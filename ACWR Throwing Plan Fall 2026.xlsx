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kstatesports-my.sharepoint.com/personal/rdarrow_kstatesports_com/Documents/Desktop/K-State Baseball/Throwing-Conditioning/"/>
    </mc:Choice>
  </mc:AlternateContent>
  <xr:revisionPtr revIDLastSave="0" documentId="8_{0167A533-9900-4684-86DE-5CFB2875E168}" xr6:coauthVersionLast="47" xr6:coauthVersionMax="47" xr10:uidLastSave="{00000000-0000-0000-0000-000000000000}"/>
  <bookViews>
    <workbookView xWindow="28680" yWindow="-120" windowWidth="29040" windowHeight="15720" tabRatio="500" xr2:uid="{00000000-000D-0000-FFFF-FFFF00000000}"/>
  </bookViews>
  <sheets>
    <sheet name="README" sheetId="1" r:id="rId1"/>
    <sheet name="Reference" sheetId="2" r:id="rId2"/>
    <sheet name="Roster" sheetId="3" r:id="rId3"/>
    <sheet name="Throw Log" sheetId="4" r:id="rId4"/>
    <sheet name="Dashboard" sheetId="5" r:id="rId5"/>
    <sheet name="Day Type Templates" sheetId="6" r:id="rId6"/>
    <sheet name="Next Outing Planner" sheetId="7" r:id="rId7"/>
    <sheet name="Build-Up Lewis" sheetId="8" r:id="rId8"/>
    <sheet name="Build-Up Doty" sheetId="9" r:id="rId9"/>
    <sheet name="Build-Up Dean" sheetId="10" r:id="rId10"/>
    <sheet name="Build-Up Ar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183" i="11" l="1"/>
  <c r="M183" i="11"/>
  <c r="N182" i="11"/>
  <c r="M182" i="11"/>
  <c r="N181" i="11"/>
  <c r="M181" i="11"/>
  <c r="N180" i="11"/>
  <c r="M180" i="11"/>
  <c r="N179" i="11"/>
  <c r="M179" i="11"/>
  <c r="N178" i="11"/>
  <c r="M178" i="11"/>
  <c r="N177" i="11"/>
  <c r="M177" i="11"/>
  <c r="N176" i="11"/>
  <c r="M176" i="11"/>
  <c r="N175" i="11"/>
  <c r="M175" i="11"/>
  <c r="N174" i="11"/>
  <c r="M174" i="11"/>
  <c r="N173" i="11"/>
  <c r="M173" i="11"/>
  <c r="N172" i="11"/>
  <c r="M172" i="11"/>
  <c r="N171" i="11"/>
  <c r="M171" i="11"/>
  <c r="N170" i="11"/>
  <c r="M170" i="11"/>
  <c r="N169" i="11"/>
  <c r="M169" i="11"/>
  <c r="N168" i="11"/>
  <c r="M168" i="11"/>
  <c r="N167" i="11"/>
  <c r="M167" i="11"/>
  <c r="N166" i="11"/>
  <c r="M166" i="11"/>
  <c r="N165" i="11"/>
  <c r="M165" i="11"/>
  <c r="N164" i="11"/>
  <c r="M164" i="11"/>
  <c r="N163" i="11"/>
  <c r="M163" i="11"/>
  <c r="N162" i="11"/>
  <c r="M162" i="11"/>
  <c r="N161" i="11"/>
  <c r="M161" i="11"/>
  <c r="N160" i="11"/>
  <c r="M160" i="11"/>
  <c r="N159" i="11"/>
  <c r="M159" i="11"/>
  <c r="N158" i="11"/>
  <c r="M158" i="11"/>
  <c r="N157" i="11"/>
  <c r="M157" i="11"/>
  <c r="N156" i="11"/>
  <c r="M156" i="11"/>
  <c r="N155" i="11"/>
  <c r="M155" i="11"/>
  <c r="N154" i="11"/>
  <c r="M154" i="11"/>
  <c r="N153" i="11"/>
  <c r="M153" i="11"/>
  <c r="N152" i="11"/>
  <c r="M152" i="11"/>
  <c r="N151" i="11"/>
  <c r="M151" i="11"/>
  <c r="N150" i="11"/>
  <c r="M150" i="11"/>
  <c r="N149" i="11"/>
  <c r="M149" i="11"/>
  <c r="N148" i="11"/>
  <c r="M148" i="11"/>
  <c r="N147" i="11"/>
  <c r="M147" i="11"/>
  <c r="N146" i="11"/>
  <c r="M146" i="11"/>
  <c r="N145" i="11"/>
  <c r="M145" i="11"/>
  <c r="N144" i="11"/>
  <c r="M144" i="11"/>
  <c r="N143" i="11"/>
  <c r="M143" i="11"/>
  <c r="N142" i="11"/>
  <c r="M142" i="11"/>
  <c r="N141" i="11"/>
  <c r="M141" i="11"/>
  <c r="N140" i="11"/>
  <c r="M140" i="11"/>
  <c r="N139" i="11"/>
  <c r="M139" i="11"/>
  <c r="N138" i="11"/>
  <c r="M138" i="11"/>
  <c r="N137" i="11"/>
  <c r="M137" i="11"/>
  <c r="N136" i="11"/>
  <c r="M136" i="11"/>
  <c r="N135" i="11"/>
  <c r="M135" i="11"/>
  <c r="N134" i="11"/>
  <c r="M134" i="11"/>
  <c r="N133" i="11"/>
  <c r="M133" i="11"/>
  <c r="N132" i="11"/>
  <c r="M132" i="11"/>
  <c r="N131" i="11"/>
  <c r="M131" i="11"/>
  <c r="N130" i="11"/>
  <c r="M130" i="11"/>
  <c r="N129" i="11"/>
  <c r="M129" i="11"/>
  <c r="N128" i="11"/>
  <c r="M128" i="11"/>
  <c r="N127" i="11"/>
  <c r="M127" i="11"/>
  <c r="N126" i="11"/>
  <c r="M126" i="11"/>
  <c r="N125" i="11"/>
  <c r="M125" i="11"/>
  <c r="N124" i="11"/>
  <c r="M124" i="11"/>
  <c r="N123" i="11"/>
  <c r="M123" i="11"/>
  <c r="N122" i="11"/>
  <c r="M122" i="11"/>
  <c r="N121" i="11"/>
  <c r="M121" i="11"/>
  <c r="N120" i="11"/>
  <c r="M120" i="11"/>
  <c r="N119" i="11"/>
  <c r="M119" i="11"/>
  <c r="N118" i="11"/>
  <c r="M118" i="11"/>
  <c r="N117" i="11"/>
  <c r="M117" i="11"/>
  <c r="N116" i="11"/>
  <c r="M116" i="11"/>
  <c r="N115" i="11"/>
  <c r="M115" i="11"/>
  <c r="N114" i="11"/>
  <c r="M114" i="11"/>
  <c r="N113" i="11"/>
  <c r="M113" i="11"/>
  <c r="N112" i="11"/>
  <c r="M112" i="11"/>
  <c r="N111" i="11"/>
  <c r="M111" i="11"/>
  <c r="N110" i="11"/>
  <c r="M110" i="11"/>
  <c r="N109" i="11"/>
  <c r="M109" i="11"/>
  <c r="N108" i="11"/>
  <c r="M108" i="11"/>
  <c r="N107" i="11"/>
  <c r="M107" i="11"/>
  <c r="N106" i="11"/>
  <c r="M106" i="11"/>
  <c r="N105" i="11"/>
  <c r="M105" i="11"/>
  <c r="N104" i="11"/>
  <c r="M104" i="11"/>
  <c r="N103" i="11"/>
  <c r="M103" i="11"/>
  <c r="N102" i="11"/>
  <c r="M102" i="11"/>
  <c r="N101" i="11"/>
  <c r="M101" i="11"/>
  <c r="N100" i="11"/>
  <c r="M100" i="11"/>
  <c r="N99" i="11"/>
  <c r="M99" i="11"/>
  <c r="N98" i="11"/>
  <c r="M98" i="11"/>
  <c r="N97" i="11"/>
  <c r="M97" i="11"/>
  <c r="N96" i="11"/>
  <c r="M96" i="11"/>
  <c r="N95" i="11"/>
  <c r="M95" i="11"/>
  <c r="N94" i="11"/>
  <c r="M94" i="11"/>
  <c r="N93" i="11"/>
  <c r="M93" i="11"/>
  <c r="N92" i="11"/>
  <c r="M92" i="11"/>
  <c r="N91" i="11"/>
  <c r="M91" i="11"/>
  <c r="N90" i="11"/>
  <c r="M90" i="11"/>
  <c r="N89" i="11"/>
  <c r="M89" i="11"/>
  <c r="N88" i="11"/>
  <c r="M88" i="11"/>
  <c r="N87" i="11"/>
  <c r="M87" i="11"/>
  <c r="N86" i="11"/>
  <c r="M86" i="11"/>
  <c r="N85" i="11"/>
  <c r="M85" i="11"/>
  <c r="N84" i="11"/>
  <c r="M84" i="11"/>
  <c r="N83" i="11"/>
  <c r="M83" i="11"/>
  <c r="N82" i="11"/>
  <c r="M82" i="11"/>
  <c r="N81" i="11"/>
  <c r="M81" i="11"/>
  <c r="N80" i="11"/>
  <c r="M80" i="11"/>
  <c r="N79" i="11"/>
  <c r="M79" i="11"/>
  <c r="N78" i="11"/>
  <c r="M78" i="11"/>
  <c r="N77" i="11"/>
  <c r="M77" i="11"/>
  <c r="N76" i="11"/>
  <c r="M76" i="11"/>
  <c r="N75" i="11"/>
  <c r="M75" i="11"/>
  <c r="N74" i="11"/>
  <c r="M74" i="11"/>
  <c r="N73" i="11"/>
  <c r="M73" i="11"/>
  <c r="N72" i="11"/>
  <c r="M72" i="11"/>
  <c r="N71" i="11"/>
  <c r="M71" i="11"/>
  <c r="N70" i="11"/>
  <c r="M70" i="11"/>
  <c r="N69" i="11"/>
  <c r="M69" i="11"/>
  <c r="N68" i="11"/>
  <c r="M68" i="11"/>
  <c r="N67" i="11"/>
  <c r="M67" i="11"/>
  <c r="N66" i="11"/>
  <c r="M66" i="11"/>
  <c r="N65" i="11"/>
  <c r="M65" i="11"/>
  <c r="N64" i="11"/>
  <c r="M64" i="11"/>
  <c r="N63" i="11"/>
  <c r="M63" i="11"/>
  <c r="N62" i="11"/>
  <c r="M62" i="11"/>
  <c r="N61" i="11"/>
  <c r="M61" i="11"/>
  <c r="N60" i="11"/>
  <c r="M60" i="11"/>
  <c r="N59" i="11"/>
  <c r="M59" i="11"/>
  <c r="N58" i="11"/>
  <c r="M58" i="11"/>
  <c r="N57" i="11"/>
  <c r="M57" i="11"/>
  <c r="N56" i="11"/>
  <c r="M56" i="11"/>
  <c r="N55" i="11"/>
  <c r="M55" i="11"/>
  <c r="N54" i="11"/>
  <c r="M54" i="11"/>
  <c r="N53" i="11"/>
  <c r="M53" i="11"/>
  <c r="N52" i="11"/>
  <c r="M52" i="11"/>
  <c r="N51" i="11"/>
  <c r="M51" i="11"/>
  <c r="N50" i="11"/>
  <c r="M50" i="11"/>
  <c r="N49" i="11"/>
  <c r="M49" i="11"/>
  <c r="N48" i="11"/>
  <c r="M48" i="11"/>
  <c r="N47" i="11"/>
  <c r="M47" i="11"/>
  <c r="N46" i="11"/>
  <c r="M46" i="11"/>
  <c r="N45" i="11"/>
  <c r="M45" i="11"/>
  <c r="N44" i="11"/>
  <c r="M44" i="11"/>
  <c r="N43" i="11"/>
  <c r="M43" i="11"/>
  <c r="A39" i="11"/>
  <c r="F39" i="11" s="1"/>
  <c r="A38" i="11"/>
  <c r="A37" i="11"/>
  <c r="C37" i="11" s="1"/>
  <c r="A36" i="11"/>
  <c r="F36" i="11" s="1"/>
  <c r="A35" i="11"/>
  <c r="C35" i="11" s="1"/>
  <c r="A34" i="11"/>
  <c r="D34" i="11" s="1"/>
  <c r="A33" i="11"/>
  <c r="F33" i="11" s="1"/>
  <c r="A32" i="11"/>
  <c r="D32" i="11" s="1"/>
  <c r="A31" i="11"/>
  <c r="A30" i="11"/>
  <c r="F30" i="11" s="1"/>
  <c r="A29" i="11"/>
  <c r="F29" i="11" s="1"/>
  <c r="A28" i="11"/>
  <c r="F28" i="11" s="1"/>
  <c r="D27" i="11"/>
  <c r="A27" i="11"/>
  <c r="F27" i="11" s="1"/>
  <c r="A26" i="11"/>
  <c r="F26" i="11" s="1"/>
  <c r="A25" i="11"/>
  <c r="A24" i="11"/>
  <c r="A23" i="11"/>
  <c r="A22" i="11"/>
  <c r="A21" i="11"/>
  <c r="A20" i="11"/>
  <c r="A19" i="11"/>
  <c r="G8" i="11"/>
  <c r="K7" i="11"/>
  <c r="K6" i="11"/>
  <c r="D5" i="11"/>
  <c r="G4" i="11"/>
  <c r="N183" i="10"/>
  <c r="M183" i="10"/>
  <c r="N182" i="10"/>
  <c r="M182" i="10"/>
  <c r="N181" i="10"/>
  <c r="M181" i="10"/>
  <c r="N180" i="10"/>
  <c r="M180" i="10"/>
  <c r="N179" i="10"/>
  <c r="M179" i="10"/>
  <c r="N178" i="10"/>
  <c r="M178" i="10"/>
  <c r="N177" i="10"/>
  <c r="M177" i="10"/>
  <c r="N176" i="10"/>
  <c r="M176" i="10"/>
  <c r="N175" i="10"/>
  <c r="M175" i="10"/>
  <c r="N174" i="10"/>
  <c r="M174" i="10"/>
  <c r="N173" i="10"/>
  <c r="M173" i="10"/>
  <c r="N172" i="10"/>
  <c r="M172" i="10"/>
  <c r="N171" i="10"/>
  <c r="M171" i="10"/>
  <c r="N170" i="10"/>
  <c r="M170" i="10"/>
  <c r="N169" i="10"/>
  <c r="M169" i="10"/>
  <c r="N168" i="10"/>
  <c r="M168" i="10"/>
  <c r="N167" i="10"/>
  <c r="M167" i="10"/>
  <c r="N166" i="10"/>
  <c r="M166" i="10"/>
  <c r="N165" i="10"/>
  <c r="M165" i="10"/>
  <c r="N164" i="10"/>
  <c r="M164" i="10"/>
  <c r="N163" i="10"/>
  <c r="M163" i="10"/>
  <c r="N162" i="10"/>
  <c r="M162" i="10"/>
  <c r="N161" i="10"/>
  <c r="M161" i="10"/>
  <c r="N160" i="10"/>
  <c r="M160" i="10"/>
  <c r="N159" i="10"/>
  <c r="M159" i="10"/>
  <c r="N158" i="10"/>
  <c r="M158" i="10"/>
  <c r="N157" i="10"/>
  <c r="M157" i="10"/>
  <c r="N156" i="10"/>
  <c r="M156" i="10"/>
  <c r="N155" i="10"/>
  <c r="M155" i="10"/>
  <c r="N154" i="10"/>
  <c r="M154" i="10"/>
  <c r="N153" i="10"/>
  <c r="M153" i="10"/>
  <c r="N152" i="10"/>
  <c r="M152" i="10"/>
  <c r="N151" i="10"/>
  <c r="M151" i="10"/>
  <c r="N150" i="10"/>
  <c r="M150" i="10"/>
  <c r="N149" i="10"/>
  <c r="M149" i="10"/>
  <c r="N148" i="10"/>
  <c r="M148" i="10"/>
  <c r="N147" i="10"/>
  <c r="M147" i="10"/>
  <c r="N146" i="10"/>
  <c r="M146" i="10"/>
  <c r="N145" i="10"/>
  <c r="M145" i="10"/>
  <c r="N144" i="10"/>
  <c r="M144" i="10"/>
  <c r="N143" i="10"/>
  <c r="M143" i="10"/>
  <c r="N142" i="10"/>
  <c r="M142" i="10"/>
  <c r="N141" i="10"/>
  <c r="M141" i="10"/>
  <c r="N140" i="10"/>
  <c r="M140" i="10"/>
  <c r="N139" i="10"/>
  <c r="M139" i="10"/>
  <c r="N138" i="10"/>
  <c r="M138" i="10"/>
  <c r="N137" i="10"/>
  <c r="M137" i="10"/>
  <c r="N136" i="10"/>
  <c r="M136" i="10"/>
  <c r="N135" i="10"/>
  <c r="M135" i="10"/>
  <c r="N134" i="10"/>
  <c r="M134" i="10"/>
  <c r="N133" i="10"/>
  <c r="M133" i="10"/>
  <c r="N132" i="10"/>
  <c r="M132" i="10"/>
  <c r="N131" i="10"/>
  <c r="M131" i="10"/>
  <c r="N130" i="10"/>
  <c r="M130" i="10"/>
  <c r="N129" i="10"/>
  <c r="M129" i="10"/>
  <c r="N128" i="10"/>
  <c r="M128" i="10"/>
  <c r="N127" i="10"/>
  <c r="M127" i="10"/>
  <c r="N126" i="10"/>
  <c r="M126" i="10"/>
  <c r="N125" i="10"/>
  <c r="M125" i="10"/>
  <c r="N124" i="10"/>
  <c r="M124" i="10"/>
  <c r="N123" i="10"/>
  <c r="M123" i="10"/>
  <c r="N122" i="10"/>
  <c r="M122" i="10"/>
  <c r="N121" i="10"/>
  <c r="M121" i="10"/>
  <c r="N120" i="10"/>
  <c r="M120" i="10"/>
  <c r="N119" i="10"/>
  <c r="M119" i="10"/>
  <c r="N118" i="10"/>
  <c r="M118" i="10"/>
  <c r="N117" i="10"/>
  <c r="M117" i="10"/>
  <c r="N116" i="10"/>
  <c r="M116" i="10"/>
  <c r="N115" i="10"/>
  <c r="M115" i="10"/>
  <c r="N114" i="10"/>
  <c r="M114" i="10"/>
  <c r="N113" i="10"/>
  <c r="M113" i="10"/>
  <c r="N112" i="10"/>
  <c r="M112" i="10"/>
  <c r="N111" i="10"/>
  <c r="M111" i="10"/>
  <c r="N110" i="10"/>
  <c r="M110" i="10"/>
  <c r="N109" i="10"/>
  <c r="M109" i="10"/>
  <c r="N108" i="10"/>
  <c r="M108" i="10"/>
  <c r="N107" i="10"/>
  <c r="M107" i="10"/>
  <c r="N106" i="10"/>
  <c r="M106" i="10"/>
  <c r="N105" i="10"/>
  <c r="M105" i="10"/>
  <c r="N104" i="10"/>
  <c r="M104" i="10"/>
  <c r="N103" i="10"/>
  <c r="M103" i="10"/>
  <c r="N102" i="10"/>
  <c r="M102" i="10"/>
  <c r="N101" i="10"/>
  <c r="M101" i="10"/>
  <c r="N100" i="10"/>
  <c r="M100" i="10"/>
  <c r="N99" i="10"/>
  <c r="M99" i="10"/>
  <c r="N98" i="10"/>
  <c r="M98" i="10"/>
  <c r="N97" i="10"/>
  <c r="M97" i="10"/>
  <c r="N96" i="10"/>
  <c r="M96" i="10"/>
  <c r="N95" i="10"/>
  <c r="M95" i="10"/>
  <c r="N94" i="10"/>
  <c r="M94" i="10"/>
  <c r="N93" i="10"/>
  <c r="M93" i="10"/>
  <c r="N92" i="10"/>
  <c r="M92" i="10"/>
  <c r="N91" i="10"/>
  <c r="M91" i="10"/>
  <c r="N90" i="10"/>
  <c r="M90" i="10"/>
  <c r="N89" i="10"/>
  <c r="M89" i="10"/>
  <c r="N88" i="10"/>
  <c r="M88" i="10"/>
  <c r="N87" i="10"/>
  <c r="M87" i="10"/>
  <c r="N86" i="10"/>
  <c r="M86" i="10"/>
  <c r="N85" i="10"/>
  <c r="M85" i="10"/>
  <c r="N84" i="10"/>
  <c r="M84" i="10"/>
  <c r="N83" i="10"/>
  <c r="M83" i="10"/>
  <c r="N82" i="10"/>
  <c r="M82" i="10"/>
  <c r="N81" i="10"/>
  <c r="M81" i="10"/>
  <c r="N80" i="10"/>
  <c r="M80" i="10"/>
  <c r="N79" i="10"/>
  <c r="M79" i="10"/>
  <c r="N78" i="10"/>
  <c r="M78" i="10"/>
  <c r="N77" i="10"/>
  <c r="M77" i="10"/>
  <c r="N76" i="10"/>
  <c r="M76" i="10"/>
  <c r="N75" i="10"/>
  <c r="M75" i="10"/>
  <c r="N74" i="10"/>
  <c r="M74" i="10"/>
  <c r="N73" i="10"/>
  <c r="M73" i="10"/>
  <c r="N72" i="10"/>
  <c r="M72" i="10"/>
  <c r="N71" i="10"/>
  <c r="M71" i="10"/>
  <c r="N70" i="10"/>
  <c r="M70" i="10"/>
  <c r="N69" i="10"/>
  <c r="M69" i="10"/>
  <c r="N68" i="10"/>
  <c r="M68" i="10"/>
  <c r="N67" i="10"/>
  <c r="M67" i="10"/>
  <c r="N66" i="10"/>
  <c r="M66" i="10"/>
  <c r="N65" i="10"/>
  <c r="M65" i="10"/>
  <c r="N64" i="10"/>
  <c r="M64" i="10"/>
  <c r="N63" i="10"/>
  <c r="M63" i="10"/>
  <c r="N62" i="10"/>
  <c r="M62" i="10"/>
  <c r="N61" i="10"/>
  <c r="M61" i="10"/>
  <c r="N60" i="10"/>
  <c r="M60" i="10"/>
  <c r="N59" i="10"/>
  <c r="M59" i="10"/>
  <c r="N58" i="10"/>
  <c r="M58" i="10"/>
  <c r="N57" i="10"/>
  <c r="M57" i="10"/>
  <c r="N56" i="10"/>
  <c r="M56" i="10"/>
  <c r="N55" i="10"/>
  <c r="M55" i="10"/>
  <c r="N54" i="10"/>
  <c r="M54" i="10"/>
  <c r="N53" i="10"/>
  <c r="M53" i="10"/>
  <c r="N52" i="10"/>
  <c r="M52" i="10"/>
  <c r="N51" i="10"/>
  <c r="M51" i="10"/>
  <c r="N50" i="10"/>
  <c r="M50" i="10"/>
  <c r="N49" i="10"/>
  <c r="M49" i="10"/>
  <c r="N48" i="10"/>
  <c r="M48" i="10"/>
  <c r="N47" i="10"/>
  <c r="M47" i="10"/>
  <c r="N46" i="10"/>
  <c r="M46" i="10"/>
  <c r="N45" i="10"/>
  <c r="M45" i="10"/>
  <c r="N44" i="10"/>
  <c r="M44" i="10"/>
  <c r="N43" i="10"/>
  <c r="M43" i="10"/>
  <c r="A39" i="10"/>
  <c r="F39" i="10" s="1"/>
  <c r="A38" i="10"/>
  <c r="A37" i="10"/>
  <c r="D37" i="10" s="1"/>
  <c r="A36" i="10"/>
  <c r="F36" i="10" s="1"/>
  <c r="A35" i="10"/>
  <c r="D35" i="10" s="1"/>
  <c r="E36" i="10" s="1"/>
  <c r="C34" i="10"/>
  <c r="A34" i="10"/>
  <c r="F34" i="10" s="1"/>
  <c r="A33" i="10"/>
  <c r="F33" i="10" s="1"/>
  <c r="A32" i="10"/>
  <c r="A31" i="10"/>
  <c r="A30" i="10"/>
  <c r="A29" i="10"/>
  <c r="A28" i="10"/>
  <c r="A27" i="10"/>
  <c r="A26" i="10"/>
  <c r="A25" i="10"/>
  <c r="A24" i="10"/>
  <c r="A23" i="10"/>
  <c r="A22" i="10"/>
  <c r="A21" i="10"/>
  <c r="A20" i="10"/>
  <c r="A19" i="10"/>
  <c r="G11" i="10"/>
  <c r="K9" i="10"/>
  <c r="K8" i="10"/>
  <c r="G8" i="10"/>
  <c r="K7" i="10"/>
  <c r="K6" i="10"/>
  <c r="D5" i="10"/>
  <c r="A16" i="10" s="1"/>
  <c r="G4" i="10"/>
  <c r="A48" i="10" s="1"/>
  <c r="N183" i="9"/>
  <c r="M183" i="9"/>
  <c r="A183" i="9"/>
  <c r="N182" i="9"/>
  <c r="M182" i="9"/>
  <c r="N181" i="9"/>
  <c r="M181" i="9"/>
  <c r="N180" i="9"/>
  <c r="M180" i="9"/>
  <c r="N179" i="9"/>
  <c r="M179" i="9"/>
  <c r="N178" i="9"/>
  <c r="M178" i="9"/>
  <c r="N177" i="9"/>
  <c r="M177" i="9"/>
  <c r="N176" i="9"/>
  <c r="M176" i="9"/>
  <c r="N175" i="9"/>
  <c r="M175" i="9"/>
  <c r="N174" i="9"/>
  <c r="M174" i="9"/>
  <c r="N173" i="9"/>
  <c r="M173" i="9"/>
  <c r="N172" i="9"/>
  <c r="M172" i="9"/>
  <c r="N171" i="9"/>
  <c r="M171" i="9"/>
  <c r="N170" i="9"/>
  <c r="M170" i="9"/>
  <c r="N169" i="9"/>
  <c r="M169" i="9"/>
  <c r="N168" i="9"/>
  <c r="M168" i="9"/>
  <c r="N167" i="9"/>
  <c r="M167" i="9"/>
  <c r="N166" i="9"/>
  <c r="M166" i="9"/>
  <c r="N165" i="9"/>
  <c r="M165" i="9"/>
  <c r="N164" i="9"/>
  <c r="M164" i="9"/>
  <c r="N163" i="9"/>
  <c r="M163" i="9"/>
  <c r="N162" i="9"/>
  <c r="M162" i="9"/>
  <c r="N161" i="9"/>
  <c r="M161" i="9"/>
  <c r="N160" i="9"/>
  <c r="M160" i="9"/>
  <c r="N159" i="9"/>
  <c r="M159" i="9"/>
  <c r="N158" i="9"/>
  <c r="M158" i="9"/>
  <c r="N157" i="9"/>
  <c r="M157" i="9"/>
  <c r="N156" i="9"/>
  <c r="M156" i="9"/>
  <c r="A156" i="9"/>
  <c r="G156" i="9" s="1"/>
  <c r="N155" i="9"/>
  <c r="M155" i="9"/>
  <c r="N154" i="9"/>
  <c r="M154" i="9"/>
  <c r="N153" i="9"/>
  <c r="M153" i="9"/>
  <c r="N152" i="9"/>
  <c r="M152" i="9"/>
  <c r="N151" i="9"/>
  <c r="M151" i="9"/>
  <c r="N150" i="9"/>
  <c r="M150" i="9"/>
  <c r="N149" i="9"/>
  <c r="M149" i="9"/>
  <c r="N148" i="9"/>
  <c r="M148" i="9"/>
  <c r="N147" i="9"/>
  <c r="M147" i="9"/>
  <c r="N146" i="9"/>
  <c r="M146" i="9"/>
  <c r="N145" i="9"/>
  <c r="M145" i="9"/>
  <c r="N144" i="9"/>
  <c r="M144" i="9"/>
  <c r="N143" i="9"/>
  <c r="M143" i="9"/>
  <c r="N142" i="9"/>
  <c r="M142" i="9"/>
  <c r="N141" i="9"/>
  <c r="M141" i="9"/>
  <c r="N140" i="9"/>
  <c r="M140" i="9"/>
  <c r="N139" i="9"/>
  <c r="M139" i="9"/>
  <c r="N138" i="9"/>
  <c r="M138" i="9"/>
  <c r="N137" i="9"/>
  <c r="M137" i="9"/>
  <c r="N136" i="9"/>
  <c r="M136" i="9"/>
  <c r="N135" i="9"/>
  <c r="M135" i="9"/>
  <c r="N134" i="9"/>
  <c r="M134" i="9"/>
  <c r="N133" i="9"/>
  <c r="M133" i="9"/>
  <c r="N132" i="9"/>
  <c r="M132" i="9"/>
  <c r="N131" i="9"/>
  <c r="M131" i="9"/>
  <c r="N130" i="9"/>
  <c r="M130" i="9"/>
  <c r="N129" i="9"/>
  <c r="M129" i="9"/>
  <c r="N128" i="9"/>
  <c r="M128" i="9"/>
  <c r="N127" i="9"/>
  <c r="M127" i="9"/>
  <c r="N126" i="9"/>
  <c r="M126" i="9"/>
  <c r="N125" i="9"/>
  <c r="M125" i="9"/>
  <c r="N124" i="9"/>
  <c r="M124" i="9"/>
  <c r="N123" i="9"/>
  <c r="M123" i="9"/>
  <c r="N122" i="9"/>
  <c r="M122" i="9"/>
  <c r="N121" i="9"/>
  <c r="M121" i="9"/>
  <c r="N120" i="9"/>
  <c r="M120" i="9"/>
  <c r="N119" i="9"/>
  <c r="M119" i="9"/>
  <c r="N118" i="9"/>
  <c r="M118" i="9"/>
  <c r="N117" i="9"/>
  <c r="M117" i="9"/>
  <c r="N116" i="9"/>
  <c r="M116" i="9"/>
  <c r="N115" i="9"/>
  <c r="M115" i="9"/>
  <c r="N114" i="9"/>
  <c r="M114" i="9"/>
  <c r="N113" i="9"/>
  <c r="M113" i="9"/>
  <c r="N112" i="9"/>
  <c r="M112" i="9"/>
  <c r="N111" i="9"/>
  <c r="M111" i="9"/>
  <c r="N110" i="9"/>
  <c r="M110" i="9"/>
  <c r="N109" i="9"/>
  <c r="M109" i="9"/>
  <c r="N108" i="9"/>
  <c r="M108" i="9"/>
  <c r="N107" i="9"/>
  <c r="M107" i="9"/>
  <c r="N106" i="9"/>
  <c r="M106" i="9"/>
  <c r="N105" i="9"/>
  <c r="M105" i="9"/>
  <c r="N104" i="9"/>
  <c r="M104" i="9"/>
  <c r="N103" i="9"/>
  <c r="M103" i="9"/>
  <c r="N102" i="9"/>
  <c r="M102" i="9"/>
  <c r="N101" i="9"/>
  <c r="M101" i="9"/>
  <c r="N100" i="9"/>
  <c r="M100" i="9"/>
  <c r="N99" i="9"/>
  <c r="M99" i="9"/>
  <c r="N98" i="9"/>
  <c r="M98" i="9"/>
  <c r="N97" i="9"/>
  <c r="M97" i="9"/>
  <c r="N96" i="9"/>
  <c r="M96" i="9"/>
  <c r="N95" i="9"/>
  <c r="M95" i="9"/>
  <c r="N94" i="9"/>
  <c r="M94" i="9"/>
  <c r="N93" i="9"/>
  <c r="M93" i="9"/>
  <c r="N92" i="9"/>
  <c r="M92" i="9"/>
  <c r="N91" i="9"/>
  <c r="M91" i="9"/>
  <c r="N90" i="9"/>
  <c r="M90" i="9"/>
  <c r="N89" i="9"/>
  <c r="M89" i="9"/>
  <c r="N88" i="9"/>
  <c r="M88" i="9"/>
  <c r="N87" i="9"/>
  <c r="M87" i="9"/>
  <c r="N86" i="9"/>
  <c r="M86" i="9"/>
  <c r="N85" i="9"/>
  <c r="M85" i="9"/>
  <c r="N84" i="9"/>
  <c r="M84" i="9"/>
  <c r="N83" i="9"/>
  <c r="M83" i="9"/>
  <c r="N82" i="9"/>
  <c r="M82" i="9"/>
  <c r="N81" i="9"/>
  <c r="M81" i="9"/>
  <c r="N80" i="9"/>
  <c r="M80" i="9"/>
  <c r="N79" i="9"/>
  <c r="M79" i="9"/>
  <c r="N78" i="9"/>
  <c r="M78" i="9"/>
  <c r="N77" i="9"/>
  <c r="M77" i="9"/>
  <c r="N76" i="9"/>
  <c r="M76" i="9"/>
  <c r="N75" i="9"/>
  <c r="M75" i="9"/>
  <c r="N74" i="9"/>
  <c r="M74" i="9"/>
  <c r="N73" i="9"/>
  <c r="M73" i="9"/>
  <c r="N72" i="9"/>
  <c r="M72" i="9"/>
  <c r="N71" i="9"/>
  <c r="M71" i="9"/>
  <c r="N70" i="9"/>
  <c r="M70" i="9"/>
  <c r="N69" i="9"/>
  <c r="M69" i="9"/>
  <c r="N68" i="9"/>
  <c r="M68" i="9"/>
  <c r="N67" i="9"/>
  <c r="M67" i="9"/>
  <c r="N66" i="9"/>
  <c r="M66" i="9"/>
  <c r="N65" i="9"/>
  <c r="M65" i="9"/>
  <c r="N64" i="9"/>
  <c r="M64" i="9"/>
  <c r="N63" i="9"/>
  <c r="M63" i="9"/>
  <c r="N62" i="9"/>
  <c r="M62" i="9"/>
  <c r="N61" i="9"/>
  <c r="M61" i="9"/>
  <c r="N60" i="9"/>
  <c r="M60" i="9"/>
  <c r="N59" i="9"/>
  <c r="M59" i="9"/>
  <c r="N58" i="9"/>
  <c r="M58" i="9"/>
  <c r="N57" i="9"/>
  <c r="M57" i="9"/>
  <c r="N56" i="9"/>
  <c r="M56" i="9"/>
  <c r="N55" i="9"/>
  <c r="M55" i="9"/>
  <c r="N54" i="9"/>
  <c r="M54" i="9"/>
  <c r="N53" i="9"/>
  <c r="M53" i="9"/>
  <c r="N52" i="9"/>
  <c r="M52" i="9"/>
  <c r="N51" i="9"/>
  <c r="M51" i="9"/>
  <c r="N50" i="9"/>
  <c r="M50" i="9"/>
  <c r="N49" i="9"/>
  <c r="M49" i="9"/>
  <c r="N48" i="9"/>
  <c r="M48" i="9"/>
  <c r="N47" i="9"/>
  <c r="M47" i="9"/>
  <c r="N46" i="9"/>
  <c r="M46" i="9"/>
  <c r="N45" i="9"/>
  <c r="M45" i="9"/>
  <c r="N44" i="9"/>
  <c r="M44" i="9"/>
  <c r="N43" i="9"/>
  <c r="M43" i="9"/>
  <c r="A39" i="9"/>
  <c r="F39" i="9" s="1"/>
  <c r="A38" i="9"/>
  <c r="A37" i="9"/>
  <c r="C37" i="9" s="1"/>
  <c r="A36" i="9"/>
  <c r="F36" i="9" s="1"/>
  <c r="A35" i="9"/>
  <c r="A34" i="9"/>
  <c r="F34" i="9" s="1"/>
  <c r="A33" i="9"/>
  <c r="A32" i="9"/>
  <c r="C32" i="9" s="1"/>
  <c r="A31" i="9"/>
  <c r="A30" i="9"/>
  <c r="A29" i="9"/>
  <c r="A28" i="9"/>
  <c r="A27" i="9"/>
  <c r="A26" i="9"/>
  <c r="A25" i="9"/>
  <c r="A24" i="9"/>
  <c r="A23" i="9"/>
  <c r="A22" i="9"/>
  <c r="A21" i="9"/>
  <c r="A20" i="9"/>
  <c r="A19" i="9"/>
  <c r="G11" i="9"/>
  <c r="K9" i="9"/>
  <c r="K8" i="9"/>
  <c r="G8" i="9"/>
  <c r="K7" i="9"/>
  <c r="K6" i="9"/>
  <c r="D5" i="9"/>
  <c r="G4" i="9"/>
  <c r="A138" i="9" s="1"/>
  <c r="N183" i="8"/>
  <c r="M183" i="8"/>
  <c r="N182" i="8"/>
  <c r="M182" i="8"/>
  <c r="N181" i="8"/>
  <c r="M181" i="8"/>
  <c r="N180" i="8"/>
  <c r="M180" i="8"/>
  <c r="N179" i="8"/>
  <c r="M179" i="8"/>
  <c r="N178" i="8"/>
  <c r="M178" i="8"/>
  <c r="N177" i="8"/>
  <c r="M177" i="8"/>
  <c r="N176" i="8"/>
  <c r="M176" i="8"/>
  <c r="N175" i="8"/>
  <c r="M175" i="8"/>
  <c r="A175" i="8"/>
  <c r="B175" i="8" s="1"/>
  <c r="N174" i="8"/>
  <c r="M174" i="8"/>
  <c r="N173" i="8"/>
  <c r="M173" i="8"/>
  <c r="N172" i="8"/>
  <c r="M172" i="8"/>
  <c r="N171" i="8"/>
  <c r="M171" i="8"/>
  <c r="N170" i="8"/>
  <c r="M170" i="8"/>
  <c r="N169" i="8"/>
  <c r="M169" i="8"/>
  <c r="N168" i="8"/>
  <c r="M168" i="8"/>
  <c r="N167" i="8"/>
  <c r="M167" i="8"/>
  <c r="N166" i="8"/>
  <c r="M166" i="8"/>
  <c r="N165" i="8"/>
  <c r="M165" i="8"/>
  <c r="N164" i="8"/>
  <c r="M164" i="8"/>
  <c r="N163" i="8"/>
  <c r="M163" i="8"/>
  <c r="N162" i="8"/>
  <c r="M162" i="8"/>
  <c r="N161" i="8"/>
  <c r="M161" i="8"/>
  <c r="N160" i="8"/>
  <c r="M160" i="8"/>
  <c r="N159" i="8"/>
  <c r="M159" i="8"/>
  <c r="N158" i="8"/>
  <c r="M158" i="8"/>
  <c r="N157" i="8"/>
  <c r="M157" i="8"/>
  <c r="N156" i="8"/>
  <c r="M156" i="8"/>
  <c r="N155" i="8"/>
  <c r="M155" i="8"/>
  <c r="N154" i="8"/>
  <c r="M154" i="8"/>
  <c r="N153" i="8"/>
  <c r="M153" i="8"/>
  <c r="N152" i="8"/>
  <c r="M152" i="8"/>
  <c r="N151" i="8"/>
  <c r="M151" i="8"/>
  <c r="N150" i="8"/>
  <c r="M150" i="8"/>
  <c r="N149" i="8"/>
  <c r="M149" i="8"/>
  <c r="N148" i="8"/>
  <c r="M148" i="8"/>
  <c r="N147" i="8"/>
  <c r="M147" i="8"/>
  <c r="N146" i="8"/>
  <c r="M146" i="8"/>
  <c r="N145" i="8"/>
  <c r="M145" i="8"/>
  <c r="N144" i="8"/>
  <c r="M144" i="8"/>
  <c r="N143" i="8"/>
  <c r="M143" i="8"/>
  <c r="N142" i="8"/>
  <c r="M142" i="8"/>
  <c r="N141" i="8"/>
  <c r="M141" i="8"/>
  <c r="N140" i="8"/>
  <c r="M140" i="8"/>
  <c r="N139" i="8"/>
  <c r="M139" i="8"/>
  <c r="N138" i="8"/>
  <c r="M138" i="8"/>
  <c r="N137" i="8"/>
  <c r="M137" i="8"/>
  <c r="N136" i="8"/>
  <c r="M136" i="8"/>
  <c r="N135" i="8"/>
  <c r="M135" i="8"/>
  <c r="N134" i="8"/>
  <c r="M134" i="8"/>
  <c r="N133" i="8"/>
  <c r="M133" i="8"/>
  <c r="N132" i="8"/>
  <c r="M132" i="8"/>
  <c r="N131" i="8"/>
  <c r="M131" i="8"/>
  <c r="N130" i="8"/>
  <c r="M130" i="8"/>
  <c r="N129" i="8"/>
  <c r="M129" i="8"/>
  <c r="N128" i="8"/>
  <c r="M128" i="8"/>
  <c r="N127" i="8"/>
  <c r="M127" i="8"/>
  <c r="N126" i="8"/>
  <c r="M126" i="8"/>
  <c r="N125" i="8"/>
  <c r="M125" i="8"/>
  <c r="N124" i="8"/>
  <c r="M124" i="8"/>
  <c r="N123" i="8"/>
  <c r="M123" i="8"/>
  <c r="N122" i="8"/>
  <c r="M122" i="8"/>
  <c r="N121" i="8"/>
  <c r="M121" i="8"/>
  <c r="N120" i="8"/>
  <c r="M120" i="8"/>
  <c r="N119" i="8"/>
  <c r="M119" i="8"/>
  <c r="N118" i="8"/>
  <c r="M118" i="8"/>
  <c r="N117" i="8"/>
  <c r="M117" i="8"/>
  <c r="N116" i="8"/>
  <c r="M116" i="8"/>
  <c r="N115" i="8"/>
  <c r="M115" i="8"/>
  <c r="N114" i="8"/>
  <c r="M114" i="8"/>
  <c r="N113" i="8"/>
  <c r="M113" i="8"/>
  <c r="N112" i="8"/>
  <c r="M112" i="8"/>
  <c r="N111" i="8"/>
  <c r="M111" i="8"/>
  <c r="N110" i="8"/>
  <c r="M110" i="8"/>
  <c r="N109" i="8"/>
  <c r="M109" i="8"/>
  <c r="N108" i="8"/>
  <c r="M108" i="8"/>
  <c r="N107" i="8"/>
  <c r="M107" i="8"/>
  <c r="N106" i="8"/>
  <c r="M106" i="8"/>
  <c r="N105" i="8"/>
  <c r="M105" i="8"/>
  <c r="A105" i="8"/>
  <c r="N104" i="8"/>
  <c r="M104" i="8"/>
  <c r="N103" i="8"/>
  <c r="M103" i="8"/>
  <c r="N102" i="8"/>
  <c r="M102" i="8"/>
  <c r="N101" i="8"/>
  <c r="M101" i="8"/>
  <c r="N100" i="8"/>
  <c r="M100" i="8"/>
  <c r="N99" i="8"/>
  <c r="M99" i="8"/>
  <c r="N98" i="8"/>
  <c r="M98" i="8"/>
  <c r="N97" i="8"/>
  <c r="M97" i="8"/>
  <c r="N96" i="8"/>
  <c r="M96" i="8"/>
  <c r="N95" i="8"/>
  <c r="M95" i="8"/>
  <c r="N94" i="8"/>
  <c r="M94" i="8"/>
  <c r="N93" i="8"/>
  <c r="M93" i="8"/>
  <c r="N92" i="8"/>
  <c r="M92" i="8"/>
  <c r="N91" i="8"/>
  <c r="M91" i="8"/>
  <c r="N90" i="8"/>
  <c r="M90" i="8"/>
  <c r="N89" i="8"/>
  <c r="M89" i="8"/>
  <c r="N88" i="8"/>
  <c r="M88" i="8"/>
  <c r="N87" i="8"/>
  <c r="M87" i="8"/>
  <c r="N86" i="8"/>
  <c r="M86" i="8"/>
  <c r="N85" i="8"/>
  <c r="M85" i="8"/>
  <c r="N84" i="8"/>
  <c r="M84" i="8"/>
  <c r="N83" i="8"/>
  <c r="M83" i="8"/>
  <c r="N82" i="8"/>
  <c r="M82" i="8"/>
  <c r="N81" i="8"/>
  <c r="M81" i="8"/>
  <c r="N80" i="8"/>
  <c r="M80" i="8"/>
  <c r="N79" i="8"/>
  <c r="M79" i="8"/>
  <c r="N78" i="8"/>
  <c r="M78" i="8"/>
  <c r="N77" i="8"/>
  <c r="M77" i="8"/>
  <c r="N76" i="8"/>
  <c r="M76" i="8"/>
  <c r="N75" i="8"/>
  <c r="M75" i="8"/>
  <c r="N74" i="8"/>
  <c r="M74" i="8"/>
  <c r="N73" i="8"/>
  <c r="M73" i="8"/>
  <c r="N72" i="8"/>
  <c r="M72" i="8"/>
  <c r="N71" i="8"/>
  <c r="M71" i="8"/>
  <c r="N70" i="8"/>
  <c r="M70" i="8"/>
  <c r="N69" i="8"/>
  <c r="M69" i="8"/>
  <c r="N68" i="8"/>
  <c r="M68" i="8"/>
  <c r="N67" i="8"/>
  <c r="M67" i="8"/>
  <c r="N66" i="8"/>
  <c r="M66" i="8"/>
  <c r="N65" i="8"/>
  <c r="M65" i="8"/>
  <c r="N64" i="8"/>
  <c r="M64" i="8"/>
  <c r="N63" i="8"/>
  <c r="M63" i="8"/>
  <c r="N62" i="8"/>
  <c r="M62" i="8"/>
  <c r="N61" i="8"/>
  <c r="M61" i="8"/>
  <c r="N60" i="8"/>
  <c r="M60" i="8"/>
  <c r="N59" i="8"/>
  <c r="M59" i="8"/>
  <c r="N58" i="8"/>
  <c r="M58" i="8"/>
  <c r="N57" i="8"/>
  <c r="M57" i="8"/>
  <c r="N56" i="8"/>
  <c r="M56" i="8"/>
  <c r="A56" i="8"/>
  <c r="N55" i="8"/>
  <c r="M55" i="8"/>
  <c r="N54" i="8"/>
  <c r="M54" i="8"/>
  <c r="N53" i="8"/>
  <c r="M53" i="8"/>
  <c r="N52" i="8"/>
  <c r="M52" i="8"/>
  <c r="N51" i="8"/>
  <c r="M51" i="8"/>
  <c r="N50" i="8"/>
  <c r="M50" i="8"/>
  <c r="N49" i="8"/>
  <c r="M49" i="8"/>
  <c r="N48" i="8"/>
  <c r="M48" i="8"/>
  <c r="N47" i="8"/>
  <c r="M47" i="8"/>
  <c r="N46" i="8"/>
  <c r="M46" i="8"/>
  <c r="N45" i="8"/>
  <c r="M45" i="8"/>
  <c r="N44" i="8"/>
  <c r="M44" i="8"/>
  <c r="N43" i="8"/>
  <c r="M43" i="8"/>
  <c r="A39" i="8"/>
  <c r="D39" i="8" s="1"/>
  <c r="A38" i="8"/>
  <c r="F38" i="8" s="1"/>
  <c r="A37" i="8"/>
  <c r="F37" i="8" s="1"/>
  <c r="A36" i="8"/>
  <c r="A35" i="8"/>
  <c r="F35" i="8" s="1"/>
  <c r="A34" i="8"/>
  <c r="D34" i="8" s="1"/>
  <c r="A33" i="8"/>
  <c r="F33" i="8" s="1"/>
  <c r="A32" i="8"/>
  <c r="A31" i="8"/>
  <c r="A30" i="8"/>
  <c r="A29" i="8"/>
  <c r="A28" i="8"/>
  <c r="A27" i="8"/>
  <c r="A26" i="8"/>
  <c r="A25" i="8"/>
  <c r="A24" i="8"/>
  <c r="A23" i="8"/>
  <c r="A22" i="8"/>
  <c r="A21" i="8"/>
  <c r="A20" i="8"/>
  <c r="A19" i="8"/>
  <c r="G11" i="8"/>
  <c r="K9" i="8"/>
  <c r="K8" i="8"/>
  <c r="G8" i="8"/>
  <c r="K7" i="8"/>
  <c r="K6" i="8"/>
  <c r="D5" i="8"/>
  <c r="A16" i="8" s="1"/>
  <c r="G4" i="8"/>
  <c r="A181" i="8" s="1"/>
  <c r="A47" i="7"/>
  <c r="A38" i="7"/>
  <c r="A37" i="7"/>
  <c r="B8" i="7"/>
  <c r="A9" i="7" s="1"/>
  <c r="B7" i="7"/>
  <c r="A63" i="7" s="1"/>
  <c r="R31" i="6"/>
  <c r="Q31" i="6" s="1"/>
  <c r="N31" i="6"/>
  <c r="K31" i="6"/>
  <c r="O31" i="6" s="1"/>
  <c r="H31" i="6"/>
  <c r="R30" i="6"/>
  <c r="Q30" i="6" s="1"/>
  <c r="N30" i="6"/>
  <c r="K30" i="6"/>
  <c r="O30" i="6" s="1"/>
  <c r="H30" i="6"/>
  <c r="R29" i="6"/>
  <c r="Q29" i="6" s="1"/>
  <c r="N29" i="6"/>
  <c r="K29" i="6"/>
  <c r="O29" i="6" s="1"/>
  <c r="H29" i="6"/>
  <c r="R28" i="6"/>
  <c r="N28" i="6"/>
  <c r="K28" i="6"/>
  <c r="O28" i="6" s="1"/>
  <c r="H28" i="6"/>
  <c r="R27" i="6"/>
  <c r="Q27" i="6" s="1"/>
  <c r="N27" i="6"/>
  <c r="M27" i="6"/>
  <c r="K27" i="6"/>
  <c r="O27" i="6" s="1"/>
  <c r="H27" i="6"/>
  <c r="R26" i="6"/>
  <c r="K26" i="6"/>
  <c r="O26" i="6" s="1"/>
  <c r="H26" i="6"/>
  <c r="R25" i="6"/>
  <c r="Q25" i="6" s="1"/>
  <c r="N25" i="6"/>
  <c r="K25" i="6"/>
  <c r="O25" i="6" s="1"/>
  <c r="H25" i="6"/>
  <c r="R24" i="6"/>
  <c r="Q24" i="6" s="1"/>
  <c r="L24" i="6"/>
  <c r="K24" i="6"/>
  <c r="O24" i="6" s="1"/>
  <c r="H24" i="6"/>
  <c r="R23" i="6"/>
  <c r="N23" i="6" s="1"/>
  <c r="O23" i="6"/>
  <c r="K23" i="6"/>
  <c r="H23" i="6"/>
  <c r="R22" i="6"/>
  <c r="Q22" i="6" s="1"/>
  <c r="K22" i="6"/>
  <c r="O22" i="6" s="1"/>
  <c r="H22" i="6"/>
  <c r="R21" i="6"/>
  <c r="Q21" i="6" s="1"/>
  <c r="N21" i="6"/>
  <c r="K21" i="6"/>
  <c r="O21" i="6" s="1"/>
  <c r="H21" i="6"/>
  <c r="R20" i="6"/>
  <c r="Q20" i="6" s="1"/>
  <c r="K20" i="6"/>
  <c r="O20" i="6" s="1"/>
  <c r="H20" i="6"/>
  <c r="R19" i="6"/>
  <c r="N19" i="6" s="1"/>
  <c r="Q19" i="6"/>
  <c r="K19" i="6"/>
  <c r="O19" i="6" s="1"/>
  <c r="H19" i="6"/>
  <c r="R18" i="6"/>
  <c r="N18" i="6" s="1"/>
  <c r="O18" i="6"/>
  <c r="K18" i="6"/>
  <c r="H18" i="6"/>
  <c r="R17" i="6"/>
  <c r="Q17" i="6" s="1"/>
  <c r="N17" i="6"/>
  <c r="M17" i="6"/>
  <c r="K17" i="6"/>
  <c r="O17" i="6" s="1"/>
  <c r="H17" i="6"/>
  <c r="R16" i="6"/>
  <c r="Q16" i="6" s="1"/>
  <c r="K16" i="6"/>
  <c r="O16" i="6" s="1"/>
  <c r="H16" i="6"/>
  <c r="R15" i="6"/>
  <c r="Q15" i="6" s="1"/>
  <c r="K15" i="6"/>
  <c r="O15" i="6" s="1"/>
  <c r="H15" i="6"/>
  <c r="R14" i="6"/>
  <c r="M14" i="6"/>
  <c r="K14" i="6"/>
  <c r="O14" i="6" s="1"/>
  <c r="H14" i="6"/>
  <c r="R13" i="6"/>
  <c r="N13" i="6" s="1"/>
  <c r="K13" i="6"/>
  <c r="O13" i="6" s="1"/>
  <c r="H13" i="6"/>
  <c r="R12" i="6"/>
  <c r="N12" i="6" s="1"/>
  <c r="K12" i="6"/>
  <c r="O12" i="6" s="1"/>
  <c r="H12" i="6"/>
  <c r="R11" i="6"/>
  <c r="Q11" i="6" s="1"/>
  <c r="K11" i="6"/>
  <c r="O11" i="6" s="1"/>
  <c r="H11" i="6"/>
  <c r="R10" i="6"/>
  <c r="Q10" i="6" s="1"/>
  <c r="O10" i="6"/>
  <c r="L10" i="6"/>
  <c r="K10" i="6"/>
  <c r="H10" i="6"/>
  <c r="E4" i="6"/>
  <c r="L22" i="6" s="1"/>
  <c r="B57" i="5"/>
  <c r="A57" i="5" s="1"/>
  <c r="B55" i="5"/>
  <c r="A55" i="5" s="1"/>
  <c r="C55" i="5" s="1"/>
  <c r="E56" i="5" s="1"/>
  <c r="B54" i="5"/>
  <c r="A54" i="5" s="1"/>
  <c r="C54" i="5" s="1"/>
  <c r="E55" i="5" s="1"/>
  <c r="A45" i="5"/>
  <c r="A44" i="5"/>
  <c r="A43" i="5"/>
  <c r="A42" i="5"/>
  <c r="A41" i="5"/>
  <c r="A37" i="5"/>
  <c r="A30" i="5"/>
  <c r="A29" i="5"/>
  <c r="A28" i="5"/>
  <c r="A27" i="5"/>
  <c r="A26" i="5"/>
  <c r="A25" i="5"/>
  <c r="A24" i="5"/>
  <c r="A23" i="5"/>
  <c r="B5" i="5"/>
  <c r="B59" i="5" s="1"/>
  <c r="A59" i="5" s="1"/>
  <c r="AF300" i="4"/>
  <c r="AE300" i="4"/>
  <c r="AA300" i="4"/>
  <c r="U300" i="4"/>
  <c r="O300" i="4"/>
  <c r="M300" i="4"/>
  <c r="L300" i="4"/>
  <c r="N300" i="4" s="1"/>
  <c r="P300" i="4" s="1"/>
  <c r="G300" i="4"/>
  <c r="I300" i="4" s="1"/>
  <c r="AF299" i="4"/>
  <c r="AE299" i="4"/>
  <c r="AA299" i="4"/>
  <c r="U299" i="4"/>
  <c r="O299" i="4"/>
  <c r="M299" i="4"/>
  <c r="AB299" i="4" s="1"/>
  <c r="AC299" i="4" s="1"/>
  <c r="L299" i="4"/>
  <c r="G299" i="4"/>
  <c r="I299" i="4" s="1"/>
  <c r="AF298" i="4"/>
  <c r="AE298" i="4"/>
  <c r="AA298" i="4"/>
  <c r="U298" i="4"/>
  <c r="O298" i="4"/>
  <c r="M298" i="4"/>
  <c r="L298" i="4"/>
  <c r="N298" i="4" s="1"/>
  <c r="P298" i="4" s="1"/>
  <c r="G298" i="4"/>
  <c r="I298" i="4" s="1"/>
  <c r="AF297" i="4"/>
  <c r="AE297" i="4"/>
  <c r="AA297" i="4"/>
  <c r="U297" i="4"/>
  <c r="O297" i="4"/>
  <c r="M297" i="4"/>
  <c r="L297" i="4"/>
  <c r="G297" i="4"/>
  <c r="I297" i="4" s="1"/>
  <c r="AF296" i="4"/>
  <c r="AE296" i="4"/>
  <c r="AB296" i="4"/>
  <c r="AC296" i="4" s="1"/>
  <c r="AA296" i="4"/>
  <c r="U296" i="4"/>
  <c r="O296" i="4"/>
  <c r="M296" i="4"/>
  <c r="N296" i="4" s="1"/>
  <c r="P296" i="4" s="1"/>
  <c r="L296" i="4"/>
  <c r="G296" i="4"/>
  <c r="I296" i="4" s="1"/>
  <c r="AF295" i="4"/>
  <c r="AE295" i="4"/>
  <c r="AA295" i="4"/>
  <c r="U295" i="4"/>
  <c r="O295" i="4"/>
  <c r="M295" i="4"/>
  <c r="L295" i="4"/>
  <c r="N295" i="4" s="1"/>
  <c r="P295" i="4" s="1"/>
  <c r="G295" i="4"/>
  <c r="I295" i="4" s="1"/>
  <c r="AF294" i="4"/>
  <c r="AE294" i="4"/>
  <c r="AA294" i="4"/>
  <c r="U294" i="4"/>
  <c r="O294" i="4"/>
  <c r="M294" i="4"/>
  <c r="L294" i="4"/>
  <c r="G294" i="4"/>
  <c r="I294" i="4" s="1"/>
  <c r="AF293" i="4"/>
  <c r="AE293" i="4"/>
  <c r="AA293" i="4"/>
  <c r="AB293" i="4" s="1"/>
  <c r="AC293" i="4" s="1"/>
  <c r="U293" i="4"/>
  <c r="O293" i="4"/>
  <c r="M293" i="4"/>
  <c r="L293" i="4"/>
  <c r="G293" i="4"/>
  <c r="I293" i="4" s="1"/>
  <c r="AF292" i="4"/>
  <c r="AE292" i="4"/>
  <c r="AA292" i="4"/>
  <c r="U292" i="4"/>
  <c r="O292" i="4"/>
  <c r="M292" i="4"/>
  <c r="V292" i="4" s="1"/>
  <c r="W292" i="4" s="1"/>
  <c r="L292" i="4"/>
  <c r="N292" i="4" s="1"/>
  <c r="P292" i="4" s="1"/>
  <c r="G292" i="4"/>
  <c r="I292" i="4" s="1"/>
  <c r="AF291" i="4"/>
  <c r="AE291" i="4"/>
  <c r="AA291" i="4"/>
  <c r="U291" i="4"/>
  <c r="O291" i="4"/>
  <c r="M291" i="4"/>
  <c r="L291" i="4"/>
  <c r="N291" i="4" s="1"/>
  <c r="P291" i="4" s="1"/>
  <c r="G291" i="4"/>
  <c r="I291" i="4" s="1"/>
  <c r="AF290" i="4"/>
  <c r="AE290" i="4"/>
  <c r="AA290" i="4"/>
  <c r="U290" i="4"/>
  <c r="V290" i="4" s="1"/>
  <c r="W290" i="4" s="1"/>
  <c r="O290" i="4"/>
  <c r="M290" i="4"/>
  <c r="L290" i="4"/>
  <c r="G290" i="4"/>
  <c r="I290" i="4" s="1"/>
  <c r="AF289" i="4"/>
  <c r="AE289" i="4"/>
  <c r="AA289" i="4"/>
  <c r="U289" i="4"/>
  <c r="O289" i="4"/>
  <c r="M289" i="4"/>
  <c r="V289" i="4" s="1"/>
  <c r="W289" i="4" s="1"/>
  <c r="L289" i="4"/>
  <c r="G289" i="4"/>
  <c r="I289" i="4" s="1"/>
  <c r="AF288" i="4"/>
  <c r="AE288" i="4"/>
  <c r="AA288" i="4"/>
  <c r="U288" i="4"/>
  <c r="O288" i="4"/>
  <c r="M288" i="4"/>
  <c r="L288" i="4"/>
  <c r="G288" i="4"/>
  <c r="I288" i="4" s="1"/>
  <c r="AF287" i="4"/>
  <c r="AE287" i="4"/>
  <c r="AA287" i="4"/>
  <c r="AB287" i="4" s="1"/>
  <c r="AC287" i="4" s="1"/>
  <c r="U287" i="4"/>
  <c r="O287" i="4"/>
  <c r="M287" i="4"/>
  <c r="L287" i="4"/>
  <c r="G287" i="4"/>
  <c r="I287" i="4" s="1"/>
  <c r="AF286" i="4"/>
  <c r="AE286" i="4"/>
  <c r="AA286" i="4"/>
  <c r="U286" i="4"/>
  <c r="O286" i="4"/>
  <c r="M286" i="4"/>
  <c r="L286" i="4"/>
  <c r="G286" i="4"/>
  <c r="I286" i="4" s="1"/>
  <c r="AF285" i="4"/>
  <c r="AE285" i="4"/>
  <c r="AA285" i="4"/>
  <c r="U285" i="4"/>
  <c r="V285" i="4" s="1"/>
  <c r="W285" i="4" s="1"/>
  <c r="O285" i="4"/>
  <c r="M285" i="4"/>
  <c r="L285" i="4"/>
  <c r="G285" i="4"/>
  <c r="I285" i="4" s="1"/>
  <c r="AF284" i="4"/>
  <c r="AE284" i="4"/>
  <c r="AA284" i="4"/>
  <c r="U284" i="4"/>
  <c r="O284" i="4"/>
  <c r="M284" i="4"/>
  <c r="L284" i="4"/>
  <c r="G284" i="4"/>
  <c r="I284" i="4" s="1"/>
  <c r="AF283" i="4"/>
  <c r="AE283" i="4"/>
  <c r="AA283" i="4"/>
  <c r="U283" i="4"/>
  <c r="V283" i="4" s="1"/>
  <c r="W283" i="4" s="1"/>
  <c r="O283" i="4"/>
  <c r="M283" i="4"/>
  <c r="L283" i="4"/>
  <c r="G283" i="4"/>
  <c r="I283" i="4" s="1"/>
  <c r="AF282" i="4"/>
  <c r="AE282" i="4"/>
  <c r="AA282" i="4"/>
  <c r="U282" i="4"/>
  <c r="O282" i="4"/>
  <c r="M282" i="4"/>
  <c r="L282" i="4"/>
  <c r="N282" i="4" s="1"/>
  <c r="P282" i="4" s="1"/>
  <c r="G282" i="4"/>
  <c r="I282" i="4" s="1"/>
  <c r="AF281" i="4"/>
  <c r="AE281" i="4"/>
  <c r="AA281" i="4"/>
  <c r="U281" i="4"/>
  <c r="O281" i="4"/>
  <c r="M281" i="4"/>
  <c r="L281" i="4"/>
  <c r="G281" i="4"/>
  <c r="I281" i="4" s="1"/>
  <c r="AF280" i="4"/>
  <c r="AE280" i="4"/>
  <c r="AA280" i="4"/>
  <c r="U280" i="4"/>
  <c r="O280" i="4"/>
  <c r="M280" i="4"/>
  <c r="L280" i="4"/>
  <c r="G280" i="4"/>
  <c r="I280" i="4" s="1"/>
  <c r="AF279" i="4"/>
  <c r="AE279" i="4"/>
  <c r="AA279" i="4"/>
  <c r="AB279" i="4" s="1"/>
  <c r="AC279" i="4" s="1"/>
  <c r="U279" i="4"/>
  <c r="O279" i="4"/>
  <c r="M279" i="4"/>
  <c r="L279" i="4"/>
  <c r="G279" i="4"/>
  <c r="I279" i="4" s="1"/>
  <c r="AF278" i="4"/>
  <c r="AE278" i="4"/>
  <c r="AA278" i="4"/>
  <c r="U278" i="4"/>
  <c r="O278" i="4"/>
  <c r="M278" i="4"/>
  <c r="L278" i="4"/>
  <c r="G278" i="4"/>
  <c r="I278" i="4" s="1"/>
  <c r="AF277" i="4"/>
  <c r="AE277" i="4"/>
  <c r="AA277" i="4"/>
  <c r="U277" i="4"/>
  <c r="O277" i="4"/>
  <c r="M277" i="4"/>
  <c r="L277" i="4"/>
  <c r="N277" i="4" s="1"/>
  <c r="P277" i="4" s="1"/>
  <c r="G277" i="4"/>
  <c r="I277" i="4" s="1"/>
  <c r="AF276" i="4"/>
  <c r="AE276" i="4"/>
  <c r="AA276" i="4"/>
  <c r="U276" i="4"/>
  <c r="O276" i="4"/>
  <c r="M276" i="4"/>
  <c r="N276" i="4" s="1"/>
  <c r="P276" i="4" s="1"/>
  <c r="L276" i="4"/>
  <c r="G276" i="4"/>
  <c r="I276" i="4" s="1"/>
  <c r="AF275" i="4"/>
  <c r="AE275" i="4"/>
  <c r="AA275" i="4"/>
  <c r="AB275" i="4" s="1"/>
  <c r="AC275" i="4" s="1"/>
  <c r="V275" i="4"/>
  <c r="W275" i="4" s="1"/>
  <c r="U275" i="4"/>
  <c r="O275" i="4"/>
  <c r="M275" i="4"/>
  <c r="L275" i="4"/>
  <c r="G275" i="4"/>
  <c r="I275" i="4" s="1"/>
  <c r="AF274" i="4"/>
  <c r="AE274" i="4"/>
  <c r="AA274" i="4"/>
  <c r="U274" i="4"/>
  <c r="O274" i="4"/>
  <c r="M274" i="4"/>
  <c r="L274" i="4"/>
  <c r="I274" i="4"/>
  <c r="G274" i="4"/>
  <c r="AF273" i="4"/>
  <c r="AE273" i="4"/>
  <c r="AA273" i="4"/>
  <c r="U273" i="4"/>
  <c r="O273" i="4"/>
  <c r="N273" i="4"/>
  <c r="P273" i="4" s="1"/>
  <c r="M273" i="4"/>
  <c r="L273" i="4"/>
  <c r="G273" i="4"/>
  <c r="I273" i="4" s="1"/>
  <c r="AF272" i="4"/>
  <c r="AE272" i="4"/>
  <c r="AA272" i="4"/>
  <c r="AB272" i="4" s="1"/>
  <c r="AC272" i="4" s="1"/>
  <c r="V272" i="4"/>
  <c r="W272" i="4" s="1"/>
  <c r="U272" i="4"/>
  <c r="O272" i="4"/>
  <c r="M272" i="4"/>
  <c r="L272" i="4"/>
  <c r="G272" i="4"/>
  <c r="I272" i="4" s="1"/>
  <c r="AF271" i="4"/>
  <c r="AE271" i="4"/>
  <c r="AA271" i="4"/>
  <c r="AB271" i="4" s="1"/>
  <c r="AC271" i="4" s="1"/>
  <c r="U271" i="4"/>
  <c r="V271" i="4" s="1"/>
  <c r="W271" i="4" s="1"/>
  <c r="O271" i="4"/>
  <c r="N271" i="4"/>
  <c r="P271" i="4" s="1"/>
  <c r="M271" i="4"/>
  <c r="L271" i="4"/>
  <c r="G271" i="4"/>
  <c r="I271" i="4" s="1"/>
  <c r="AF270" i="4"/>
  <c r="AE270" i="4"/>
  <c r="AA270" i="4"/>
  <c r="U270" i="4"/>
  <c r="O270" i="4"/>
  <c r="M270" i="4"/>
  <c r="L270" i="4"/>
  <c r="G270" i="4"/>
  <c r="I270" i="4" s="1"/>
  <c r="AF269" i="4"/>
  <c r="AE269" i="4"/>
  <c r="AA269" i="4"/>
  <c r="U269" i="4"/>
  <c r="O269" i="4"/>
  <c r="M269" i="4"/>
  <c r="L269" i="4"/>
  <c r="G269" i="4"/>
  <c r="I269" i="4" s="1"/>
  <c r="AF268" i="4"/>
  <c r="AE268" i="4"/>
  <c r="AA268" i="4"/>
  <c r="U268" i="4"/>
  <c r="O268" i="4"/>
  <c r="M268" i="4"/>
  <c r="L268" i="4"/>
  <c r="N268" i="4" s="1"/>
  <c r="P268" i="4" s="1"/>
  <c r="G268" i="4"/>
  <c r="I268" i="4" s="1"/>
  <c r="AF267" i="4"/>
  <c r="AE267" i="4"/>
  <c r="AA267" i="4"/>
  <c r="U267" i="4"/>
  <c r="O267" i="4"/>
  <c r="M267" i="4"/>
  <c r="AB267" i="4" s="1"/>
  <c r="AC267" i="4" s="1"/>
  <c r="L267" i="4"/>
  <c r="G267" i="4"/>
  <c r="I267" i="4" s="1"/>
  <c r="AF266" i="4"/>
  <c r="AE266" i="4"/>
  <c r="AA266" i="4"/>
  <c r="U266" i="4"/>
  <c r="V266" i="4" s="1"/>
  <c r="W266" i="4" s="1"/>
  <c r="O266" i="4"/>
  <c r="M266" i="4"/>
  <c r="L266" i="4"/>
  <c r="I266" i="4"/>
  <c r="G266" i="4"/>
  <c r="AF265" i="4"/>
  <c r="AE265" i="4"/>
  <c r="AA265" i="4"/>
  <c r="U265" i="4"/>
  <c r="O265" i="4"/>
  <c r="M265" i="4"/>
  <c r="AB265" i="4" s="1"/>
  <c r="AC265" i="4" s="1"/>
  <c r="L265" i="4"/>
  <c r="G265" i="4"/>
  <c r="I265" i="4" s="1"/>
  <c r="AF264" i="4"/>
  <c r="AE264" i="4"/>
  <c r="AA264" i="4"/>
  <c r="U264" i="4"/>
  <c r="O264" i="4"/>
  <c r="M264" i="4"/>
  <c r="L264" i="4"/>
  <c r="G264" i="4"/>
  <c r="I264" i="4" s="1"/>
  <c r="AF263" i="4"/>
  <c r="AE263" i="4"/>
  <c r="AA263" i="4"/>
  <c r="U263" i="4"/>
  <c r="O263" i="4"/>
  <c r="M263" i="4"/>
  <c r="L263" i="4"/>
  <c r="G263" i="4"/>
  <c r="I263" i="4" s="1"/>
  <c r="AF262" i="4"/>
  <c r="AE262" i="4"/>
  <c r="AA262" i="4"/>
  <c r="U262" i="4"/>
  <c r="O262" i="4"/>
  <c r="M262" i="4"/>
  <c r="L262" i="4"/>
  <c r="G262" i="4"/>
  <c r="I262" i="4" s="1"/>
  <c r="AF261" i="4"/>
  <c r="AE261" i="4"/>
  <c r="AA261" i="4"/>
  <c r="AB261" i="4" s="1"/>
  <c r="AC261" i="4" s="1"/>
  <c r="U261" i="4"/>
  <c r="V261" i="4" s="1"/>
  <c r="W261" i="4" s="1"/>
  <c r="O261" i="4"/>
  <c r="M261" i="4"/>
  <c r="L261" i="4"/>
  <c r="G261" i="4"/>
  <c r="I261" i="4" s="1"/>
  <c r="AF260" i="4"/>
  <c r="AE260" i="4"/>
  <c r="AA260" i="4"/>
  <c r="U260" i="4"/>
  <c r="V260" i="4" s="1"/>
  <c r="W260" i="4" s="1"/>
  <c r="O260" i="4"/>
  <c r="M260" i="4"/>
  <c r="AB260" i="4" s="1"/>
  <c r="AC260" i="4" s="1"/>
  <c r="L260" i="4"/>
  <c r="G260" i="4"/>
  <c r="I260" i="4" s="1"/>
  <c r="AF259" i="4"/>
  <c r="AE259" i="4"/>
  <c r="AA259" i="4"/>
  <c r="U259" i="4"/>
  <c r="O259" i="4"/>
  <c r="M259" i="4"/>
  <c r="L259" i="4"/>
  <c r="G259" i="4"/>
  <c r="I259" i="4" s="1"/>
  <c r="AF258" i="4"/>
  <c r="AE258" i="4"/>
  <c r="AA258" i="4"/>
  <c r="AB258" i="4" s="1"/>
  <c r="AC258" i="4" s="1"/>
  <c r="U258" i="4"/>
  <c r="V258" i="4" s="1"/>
  <c r="W258" i="4" s="1"/>
  <c r="O258" i="4"/>
  <c r="M258" i="4"/>
  <c r="L258" i="4"/>
  <c r="N258" i="4" s="1"/>
  <c r="P258" i="4" s="1"/>
  <c r="I258" i="4"/>
  <c r="G258" i="4"/>
  <c r="AF257" i="4"/>
  <c r="AE257" i="4"/>
  <c r="AA257" i="4"/>
  <c r="U257" i="4"/>
  <c r="V257" i="4" s="1"/>
  <c r="W257" i="4" s="1"/>
  <c r="O257" i="4"/>
  <c r="M257" i="4"/>
  <c r="L257" i="4"/>
  <c r="N257" i="4" s="1"/>
  <c r="P257" i="4" s="1"/>
  <c r="G257" i="4"/>
  <c r="I257" i="4" s="1"/>
  <c r="AF256" i="4"/>
  <c r="AE256" i="4"/>
  <c r="AA256" i="4"/>
  <c r="U256" i="4"/>
  <c r="O256" i="4"/>
  <c r="M256" i="4"/>
  <c r="L256" i="4"/>
  <c r="G256" i="4"/>
  <c r="I256" i="4" s="1"/>
  <c r="AF255" i="4"/>
  <c r="AE255" i="4"/>
  <c r="AA255" i="4"/>
  <c r="U255" i="4"/>
  <c r="O255" i="4"/>
  <c r="M255" i="4"/>
  <c r="L255" i="4"/>
  <c r="I255" i="4"/>
  <c r="G255" i="4"/>
  <c r="AF254" i="4"/>
  <c r="AE254" i="4"/>
  <c r="AA254" i="4"/>
  <c r="U254" i="4"/>
  <c r="O254" i="4"/>
  <c r="M254" i="4"/>
  <c r="L254" i="4"/>
  <c r="N254" i="4" s="1"/>
  <c r="P254" i="4" s="1"/>
  <c r="G254" i="4"/>
  <c r="I254" i="4" s="1"/>
  <c r="AF253" i="4"/>
  <c r="AE253" i="4"/>
  <c r="AA253" i="4"/>
  <c r="U253" i="4"/>
  <c r="O253" i="4"/>
  <c r="M253" i="4"/>
  <c r="L253" i="4"/>
  <c r="G253" i="4"/>
  <c r="I253" i="4" s="1"/>
  <c r="AF252" i="4"/>
  <c r="AE252" i="4"/>
  <c r="AA252" i="4"/>
  <c r="U252" i="4"/>
  <c r="V252" i="4" s="1"/>
  <c r="W252" i="4" s="1"/>
  <c r="O252" i="4"/>
  <c r="M252" i="4"/>
  <c r="L252" i="4"/>
  <c r="I252" i="4"/>
  <c r="G252" i="4"/>
  <c r="AF251" i="4"/>
  <c r="AE251" i="4"/>
  <c r="AA251" i="4"/>
  <c r="U251" i="4"/>
  <c r="O251" i="4"/>
  <c r="M251" i="4"/>
  <c r="L251" i="4"/>
  <c r="G251" i="4"/>
  <c r="I251" i="4" s="1"/>
  <c r="AF250" i="4"/>
  <c r="AE250" i="4"/>
  <c r="AA250" i="4"/>
  <c r="U250" i="4"/>
  <c r="O250" i="4"/>
  <c r="M250" i="4"/>
  <c r="L250" i="4"/>
  <c r="I250" i="4"/>
  <c r="G250" i="4"/>
  <c r="AF249" i="4"/>
  <c r="AE249" i="4"/>
  <c r="AA249" i="4"/>
  <c r="U249" i="4"/>
  <c r="O249" i="4"/>
  <c r="M249" i="4"/>
  <c r="AB249" i="4" s="1"/>
  <c r="AC249" i="4" s="1"/>
  <c r="L249" i="4"/>
  <c r="N249" i="4" s="1"/>
  <c r="P249" i="4" s="1"/>
  <c r="G249" i="4"/>
  <c r="I249" i="4" s="1"/>
  <c r="AF248" i="4"/>
  <c r="AE248" i="4"/>
  <c r="AA248" i="4"/>
  <c r="U248" i="4"/>
  <c r="O248" i="4"/>
  <c r="M248" i="4"/>
  <c r="L248" i="4"/>
  <c r="I248" i="4"/>
  <c r="G248" i="4"/>
  <c r="AF247" i="4"/>
  <c r="AE247" i="4"/>
  <c r="AA247" i="4"/>
  <c r="U247" i="4"/>
  <c r="O247" i="4"/>
  <c r="M247" i="4"/>
  <c r="L247" i="4"/>
  <c r="G247" i="4"/>
  <c r="I247" i="4" s="1"/>
  <c r="AF246" i="4"/>
  <c r="AE246" i="4"/>
  <c r="AA246" i="4"/>
  <c r="U246" i="4"/>
  <c r="V246" i="4" s="1"/>
  <c r="W246" i="4" s="1"/>
  <c r="O246" i="4"/>
  <c r="M246" i="4"/>
  <c r="L246" i="4"/>
  <c r="G246" i="4"/>
  <c r="I246" i="4" s="1"/>
  <c r="AF245" i="4"/>
  <c r="AE245" i="4"/>
  <c r="AA245" i="4"/>
  <c r="U245" i="4"/>
  <c r="O245" i="4"/>
  <c r="M245" i="4"/>
  <c r="L245" i="4"/>
  <c r="G245" i="4"/>
  <c r="I245" i="4" s="1"/>
  <c r="AF244" i="4"/>
  <c r="AE244" i="4"/>
  <c r="AA244" i="4"/>
  <c r="U244" i="4"/>
  <c r="O244" i="4"/>
  <c r="M244" i="4"/>
  <c r="L244" i="4"/>
  <c r="N244" i="4" s="1"/>
  <c r="P244" i="4" s="1"/>
  <c r="G244" i="4"/>
  <c r="I244" i="4" s="1"/>
  <c r="AF243" i="4"/>
  <c r="AE243" i="4"/>
  <c r="AA243" i="4"/>
  <c r="U243" i="4"/>
  <c r="O243" i="4"/>
  <c r="M243" i="4"/>
  <c r="L243" i="4"/>
  <c r="N243" i="4" s="1"/>
  <c r="P243" i="4" s="1"/>
  <c r="G243" i="4"/>
  <c r="I243" i="4" s="1"/>
  <c r="AF242" i="4"/>
  <c r="AE242" i="4"/>
  <c r="AA242" i="4"/>
  <c r="AB242" i="4" s="1"/>
  <c r="AC242" i="4" s="1"/>
  <c r="U242" i="4"/>
  <c r="O242" i="4"/>
  <c r="M242" i="4"/>
  <c r="L242" i="4"/>
  <c r="N242" i="4" s="1"/>
  <c r="P242" i="4" s="1"/>
  <c r="G242" i="4"/>
  <c r="I242" i="4" s="1"/>
  <c r="AF241" i="4"/>
  <c r="AE241" i="4"/>
  <c r="AA241" i="4"/>
  <c r="U241" i="4"/>
  <c r="O241" i="4"/>
  <c r="M241" i="4"/>
  <c r="L241" i="4"/>
  <c r="N241" i="4" s="1"/>
  <c r="P241" i="4" s="1"/>
  <c r="G241" i="4"/>
  <c r="I241" i="4" s="1"/>
  <c r="AF240" i="4"/>
  <c r="AE240" i="4"/>
  <c r="AC240" i="4"/>
  <c r="AA240" i="4"/>
  <c r="AB240" i="4" s="1"/>
  <c r="U240" i="4"/>
  <c r="O240" i="4"/>
  <c r="M240" i="4"/>
  <c r="L240" i="4"/>
  <c r="G240" i="4"/>
  <c r="I240" i="4" s="1"/>
  <c r="AF239" i="4"/>
  <c r="AE239" i="4"/>
  <c r="AA239" i="4"/>
  <c r="U239" i="4"/>
  <c r="O239" i="4"/>
  <c r="M239" i="4"/>
  <c r="AB239" i="4" s="1"/>
  <c r="AC239" i="4" s="1"/>
  <c r="L239" i="4"/>
  <c r="G239" i="4"/>
  <c r="I239" i="4" s="1"/>
  <c r="AF238" i="4"/>
  <c r="AE238" i="4"/>
  <c r="AA238" i="4"/>
  <c r="U238" i="4"/>
  <c r="O238" i="4"/>
  <c r="M238" i="4"/>
  <c r="L238" i="4"/>
  <c r="G238" i="4"/>
  <c r="I238" i="4" s="1"/>
  <c r="AF237" i="4"/>
  <c r="AE237" i="4"/>
  <c r="AA237" i="4"/>
  <c r="AB237" i="4" s="1"/>
  <c r="AC237" i="4" s="1"/>
  <c r="U237" i="4"/>
  <c r="O237" i="4"/>
  <c r="M237" i="4"/>
  <c r="L237" i="4"/>
  <c r="G237" i="4"/>
  <c r="I237" i="4" s="1"/>
  <c r="AF236" i="4"/>
  <c r="AE236" i="4"/>
  <c r="AA236" i="4"/>
  <c r="U236" i="4"/>
  <c r="O236" i="4"/>
  <c r="M236" i="4"/>
  <c r="L236" i="4"/>
  <c r="G236" i="4"/>
  <c r="I236" i="4" s="1"/>
  <c r="AF235" i="4"/>
  <c r="AE235" i="4"/>
  <c r="AA235" i="4"/>
  <c r="AB235" i="4" s="1"/>
  <c r="AC235" i="4" s="1"/>
  <c r="U235" i="4"/>
  <c r="O235" i="4"/>
  <c r="M235" i="4"/>
  <c r="L235" i="4"/>
  <c r="G235" i="4"/>
  <c r="I235" i="4" s="1"/>
  <c r="AF234" i="4"/>
  <c r="AE234" i="4"/>
  <c r="AA234" i="4"/>
  <c r="U234" i="4"/>
  <c r="O234" i="4"/>
  <c r="M234" i="4"/>
  <c r="L234" i="4"/>
  <c r="G234" i="4"/>
  <c r="I234" i="4" s="1"/>
  <c r="AF233" i="4"/>
  <c r="AE233" i="4"/>
  <c r="AA233" i="4"/>
  <c r="U233" i="4"/>
  <c r="O233" i="4"/>
  <c r="M233" i="4"/>
  <c r="L233" i="4"/>
  <c r="G233" i="4"/>
  <c r="I233" i="4" s="1"/>
  <c r="AF232" i="4"/>
  <c r="AE232" i="4"/>
  <c r="AA232" i="4"/>
  <c r="U232" i="4"/>
  <c r="V232" i="4" s="1"/>
  <c r="W232" i="4" s="1"/>
  <c r="O232" i="4"/>
  <c r="M232" i="4"/>
  <c r="L232" i="4"/>
  <c r="G232" i="4"/>
  <c r="I232" i="4" s="1"/>
  <c r="AF231" i="4"/>
  <c r="AE231" i="4"/>
  <c r="AA231" i="4"/>
  <c r="U231" i="4"/>
  <c r="O231" i="4"/>
  <c r="M231" i="4"/>
  <c r="L231" i="4"/>
  <c r="G231" i="4"/>
  <c r="I231" i="4" s="1"/>
  <c r="AF230" i="4"/>
  <c r="AE230" i="4"/>
  <c r="AA230" i="4"/>
  <c r="U230" i="4"/>
  <c r="O230" i="4"/>
  <c r="M230" i="4"/>
  <c r="L230" i="4"/>
  <c r="G230" i="4"/>
  <c r="I230" i="4" s="1"/>
  <c r="AF229" i="4"/>
  <c r="AE229" i="4"/>
  <c r="AA229" i="4"/>
  <c r="U229" i="4"/>
  <c r="V229" i="4" s="1"/>
  <c r="W229" i="4" s="1"/>
  <c r="O229" i="4"/>
  <c r="M229" i="4"/>
  <c r="L229" i="4"/>
  <c r="N229" i="4" s="1"/>
  <c r="P229" i="4" s="1"/>
  <c r="G229" i="4"/>
  <c r="I229" i="4" s="1"/>
  <c r="AF228" i="4"/>
  <c r="AE228" i="4"/>
  <c r="AA228" i="4"/>
  <c r="AB228" i="4" s="1"/>
  <c r="AC228" i="4" s="1"/>
  <c r="U228" i="4"/>
  <c r="O228" i="4"/>
  <c r="M228" i="4"/>
  <c r="L228" i="4"/>
  <c r="I228" i="4"/>
  <c r="G228" i="4"/>
  <c r="AF227" i="4"/>
  <c r="AE227" i="4"/>
  <c r="AA227" i="4"/>
  <c r="U227" i="4"/>
  <c r="O227" i="4"/>
  <c r="M227" i="4"/>
  <c r="L227" i="4"/>
  <c r="G227" i="4"/>
  <c r="I227" i="4" s="1"/>
  <c r="AF226" i="4"/>
  <c r="AE226" i="4"/>
  <c r="AA226" i="4"/>
  <c r="U226" i="4"/>
  <c r="O226" i="4"/>
  <c r="M226" i="4"/>
  <c r="L226" i="4"/>
  <c r="G226" i="4"/>
  <c r="I226" i="4" s="1"/>
  <c r="AF225" i="4"/>
  <c r="AE225" i="4"/>
  <c r="AA225" i="4"/>
  <c r="U225" i="4"/>
  <c r="V225" i="4" s="1"/>
  <c r="W225" i="4" s="1"/>
  <c r="O225" i="4"/>
  <c r="M225" i="4"/>
  <c r="L225" i="4"/>
  <c r="G225" i="4"/>
  <c r="I225" i="4" s="1"/>
  <c r="AF224" i="4"/>
  <c r="AE224" i="4"/>
  <c r="AA224" i="4"/>
  <c r="U224" i="4"/>
  <c r="O224" i="4"/>
  <c r="M224" i="4"/>
  <c r="L224" i="4"/>
  <c r="G224" i="4"/>
  <c r="I224" i="4" s="1"/>
  <c r="AF223" i="4"/>
  <c r="AE223" i="4"/>
  <c r="AA223" i="4"/>
  <c r="AB223" i="4" s="1"/>
  <c r="AC223" i="4" s="1"/>
  <c r="U223" i="4"/>
  <c r="O223" i="4"/>
  <c r="M223" i="4"/>
  <c r="L223" i="4"/>
  <c r="G223" i="4"/>
  <c r="I223" i="4" s="1"/>
  <c r="AF222" i="4"/>
  <c r="AE222" i="4"/>
  <c r="AA222" i="4"/>
  <c r="U222" i="4"/>
  <c r="O222" i="4"/>
  <c r="M222" i="4"/>
  <c r="V222" i="4" s="1"/>
  <c r="W222" i="4" s="1"/>
  <c r="L222" i="4"/>
  <c r="G222" i="4"/>
  <c r="I222" i="4" s="1"/>
  <c r="AF221" i="4"/>
  <c r="AE221" i="4"/>
  <c r="AA221" i="4"/>
  <c r="AB221" i="4" s="1"/>
  <c r="AC221" i="4" s="1"/>
  <c r="U221" i="4"/>
  <c r="O221" i="4"/>
  <c r="M221" i="4"/>
  <c r="L221" i="4"/>
  <c r="N221" i="4" s="1"/>
  <c r="P221" i="4" s="1"/>
  <c r="G221" i="4"/>
  <c r="I221" i="4" s="1"/>
  <c r="AF220" i="4"/>
  <c r="AE220" i="4"/>
  <c r="AA220" i="4"/>
  <c r="AB220" i="4" s="1"/>
  <c r="AC220" i="4" s="1"/>
  <c r="U220" i="4"/>
  <c r="O220" i="4"/>
  <c r="M220" i="4"/>
  <c r="N220" i="4" s="1"/>
  <c r="P220" i="4" s="1"/>
  <c r="L220" i="4"/>
  <c r="I220" i="4"/>
  <c r="G220" i="4"/>
  <c r="AF219" i="4"/>
  <c r="AE219" i="4"/>
  <c r="AA219" i="4"/>
  <c r="U219" i="4"/>
  <c r="O219" i="4"/>
  <c r="M219" i="4"/>
  <c r="L219" i="4"/>
  <c r="N219" i="4" s="1"/>
  <c r="P219" i="4" s="1"/>
  <c r="G219" i="4"/>
  <c r="I219" i="4" s="1"/>
  <c r="AF218" i="4"/>
  <c r="AE218" i="4"/>
  <c r="AA218" i="4"/>
  <c r="U218" i="4"/>
  <c r="V218" i="4" s="1"/>
  <c r="W218" i="4" s="1"/>
  <c r="O218" i="4"/>
  <c r="M218" i="4"/>
  <c r="L218" i="4"/>
  <c r="G218" i="4"/>
  <c r="I218" i="4" s="1"/>
  <c r="AF217" i="4"/>
  <c r="AE217" i="4"/>
  <c r="AA217" i="4"/>
  <c r="U217" i="4"/>
  <c r="O217" i="4"/>
  <c r="M217" i="4"/>
  <c r="L217" i="4"/>
  <c r="G217" i="4"/>
  <c r="I217" i="4" s="1"/>
  <c r="AF216" i="4"/>
  <c r="AE216" i="4"/>
  <c r="AA216" i="4"/>
  <c r="U216" i="4"/>
  <c r="O216" i="4"/>
  <c r="M216" i="4"/>
  <c r="L216" i="4"/>
  <c r="G216" i="4"/>
  <c r="I216" i="4" s="1"/>
  <c r="AF215" i="4"/>
  <c r="AE215" i="4"/>
  <c r="AA215" i="4"/>
  <c r="U215" i="4"/>
  <c r="V215" i="4" s="1"/>
  <c r="W215" i="4" s="1"/>
  <c r="O215" i="4"/>
  <c r="M215" i="4"/>
  <c r="L215" i="4"/>
  <c r="G215" i="4"/>
  <c r="I215" i="4" s="1"/>
  <c r="AF214" i="4"/>
  <c r="AE214" i="4"/>
  <c r="AA214" i="4"/>
  <c r="U214" i="4"/>
  <c r="O214" i="4"/>
  <c r="M214" i="4"/>
  <c r="L214" i="4"/>
  <c r="N214" i="4" s="1"/>
  <c r="P214" i="4" s="1"/>
  <c r="G214" i="4"/>
  <c r="I214" i="4" s="1"/>
  <c r="AF213" i="4"/>
  <c r="AE213" i="4"/>
  <c r="AA213" i="4"/>
  <c r="U213" i="4"/>
  <c r="O213" i="4"/>
  <c r="M213" i="4"/>
  <c r="L213" i="4"/>
  <c r="I213" i="4"/>
  <c r="G213" i="4"/>
  <c r="AF212" i="4"/>
  <c r="AE212" i="4"/>
  <c r="AA212" i="4"/>
  <c r="U212" i="4"/>
  <c r="O212" i="4"/>
  <c r="M212" i="4"/>
  <c r="V212" i="4" s="1"/>
  <c r="W212" i="4" s="1"/>
  <c r="L212" i="4"/>
  <c r="G212" i="4"/>
  <c r="I212" i="4" s="1"/>
  <c r="AF211" i="4"/>
  <c r="AE211" i="4"/>
  <c r="AA211" i="4"/>
  <c r="U211" i="4"/>
  <c r="O211" i="4"/>
  <c r="M211" i="4"/>
  <c r="L211" i="4"/>
  <c r="G211" i="4"/>
  <c r="I211" i="4" s="1"/>
  <c r="AF210" i="4"/>
  <c r="AE210" i="4"/>
  <c r="AA210" i="4"/>
  <c r="AB210" i="4" s="1"/>
  <c r="AC210" i="4" s="1"/>
  <c r="V210" i="4"/>
  <c r="W210" i="4" s="1"/>
  <c r="U210" i="4"/>
  <c r="O210" i="4"/>
  <c r="M210" i="4"/>
  <c r="N210" i="4" s="1"/>
  <c r="P210" i="4" s="1"/>
  <c r="L210" i="4"/>
  <c r="I210" i="4"/>
  <c r="G210" i="4"/>
  <c r="AF209" i="4"/>
  <c r="AE209" i="4"/>
  <c r="AA209" i="4"/>
  <c r="U209" i="4"/>
  <c r="O209" i="4"/>
  <c r="M209" i="4"/>
  <c r="L209" i="4"/>
  <c r="N209" i="4" s="1"/>
  <c r="P209" i="4" s="1"/>
  <c r="I209" i="4"/>
  <c r="G209" i="4"/>
  <c r="AF208" i="4"/>
  <c r="AE208" i="4"/>
  <c r="AA208" i="4"/>
  <c r="U208" i="4"/>
  <c r="O208" i="4"/>
  <c r="M208" i="4"/>
  <c r="L208" i="4"/>
  <c r="G208" i="4"/>
  <c r="I208" i="4" s="1"/>
  <c r="AF207" i="4"/>
  <c r="AE207" i="4"/>
  <c r="AA207" i="4"/>
  <c r="AB207" i="4" s="1"/>
  <c r="AC207" i="4" s="1"/>
  <c r="U207" i="4"/>
  <c r="O207" i="4"/>
  <c r="M207" i="4"/>
  <c r="L207" i="4"/>
  <c r="G207" i="4"/>
  <c r="I207" i="4" s="1"/>
  <c r="AF206" i="4"/>
  <c r="AE206" i="4"/>
  <c r="AA206" i="4"/>
  <c r="U206" i="4"/>
  <c r="O206" i="4"/>
  <c r="M206" i="4"/>
  <c r="L206" i="4"/>
  <c r="G206" i="4"/>
  <c r="I206" i="4" s="1"/>
  <c r="AF205" i="4"/>
  <c r="AE205" i="4"/>
  <c r="AA205" i="4"/>
  <c r="U205" i="4"/>
  <c r="O205" i="4"/>
  <c r="M205" i="4"/>
  <c r="AB205" i="4" s="1"/>
  <c r="AC205" i="4" s="1"/>
  <c r="L205" i="4"/>
  <c r="G205" i="4"/>
  <c r="I205" i="4" s="1"/>
  <c r="AF204" i="4"/>
  <c r="AE204" i="4"/>
  <c r="AA204" i="4"/>
  <c r="U204" i="4"/>
  <c r="O204" i="4"/>
  <c r="M204" i="4"/>
  <c r="L204" i="4"/>
  <c r="G204" i="4"/>
  <c r="I204" i="4" s="1"/>
  <c r="AF203" i="4"/>
  <c r="AE203" i="4"/>
  <c r="AA203" i="4"/>
  <c r="U203" i="4"/>
  <c r="O203" i="4"/>
  <c r="M203" i="4"/>
  <c r="L203" i="4"/>
  <c r="G203" i="4"/>
  <c r="I203" i="4" s="1"/>
  <c r="AF202" i="4"/>
  <c r="AE202" i="4"/>
  <c r="AA202" i="4"/>
  <c r="U202" i="4"/>
  <c r="V202" i="4" s="1"/>
  <c r="W202" i="4" s="1"/>
  <c r="O202" i="4"/>
  <c r="M202" i="4"/>
  <c r="L202" i="4"/>
  <c r="G202" i="4"/>
  <c r="I202" i="4" s="1"/>
  <c r="AF201" i="4"/>
  <c r="AE201" i="4"/>
  <c r="AA201" i="4"/>
  <c r="U201" i="4"/>
  <c r="O201" i="4"/>
  <c r="M201" i="4"/>
  <c r="L201" i="4"/>
  <c r="N201" i="4" s="1"/>
  <c r="P201" i="4" s="1"/>
  <c r="G201" i="4"/>
  <c r="I201" i="4" s="1"/>
  <c r="AF200" i="4"/>
  <c r="AE200" i="4"/>
  <c r="AA200" i="4"/>
  <c r="AB200" i="4" s="1"/>
  <c r="AC200" i="4" s="1"/>
  <c r="U200" i="4"/>
  <c r="O200" i="4"/>
  <c r="M200" i="4"/>
  <c r="L200" i="4"/>
  <c r="G200" i="4"/>
  <c r="I200" i="4" s="1"/>
  <c r="AF199" i="4"/>
  <c r="AE199" i="4"/>
  <c r="AA199" i="4"/>
  <c r="U199" i="4"/>
  <c r="O199" i="4"/>
  <c r="N199" i="4"/>
  <c r="P199" i="4" s="1"/>
  <c r="M199" i="4"/>
  <c r="L199" i="4"/>
  <c r="G199" i="4"/>
  <c r="I199" i="4" s="1"/>
  <c r="AF198" i="4"/>
  <c r="AE198" i="4"/>
  <c r="AA198" i="4"/>
  <c r="U198" i="4"/>
  <c r="O198" i="4"/>
  <c r="M198" i="4"/>
  <c r="L198" i="4"/>
  <c r="G198" i="4"/>
  <c r="I198" i="4" s="1"/>
  <c r="AF197" i="4"/>
  <c r="AE197" i="4"/>
  <c r="AA197" i="4"/>
  <c r="U197" i="4"/>
  <c r="O197" i="4"/>
  <c r="M197" i="4"/>
  <c r="L197" i="4"/>
  <c r="G197" i="4"/>
  <c r="I197" i="4" s="1"/>
  <c r="AF196" i="4"/>
  <c r="AE196" i="4"/>
  <c r="AA196" i="4"/>
  <c r="U196" i="4"/>
  <c r="O196" i="4"/>
  <c r="M196" i="4"/>
  <c r="L196" i="4"/>
  <c r="G196" i="4"/>
  <c r="I196" i="4" s="1"/>
  <c r="AF195" i="4"/>
  <c r="AE195" i="4"/>
  <c r="AA195" i="4"/>
  <c r="AB195" i="4" s="1"/>
  <c r="AC195" i="4" s="1"/>
  <c r="U195" i="4"/>
  <c r="O195" i="4"/>
  <c r="M195" i="4"/>
  <c r="L195" i="4"/>
  <c r="G195" i="4"/>
  <c r="I195" i="4" s="1"/>
  <c r="AF194" i="4"/>
  <c r="AE194" i="4"/>
  <c r="AA194" i="4"/>
  <c r="U194" i="4"/>
  <c r="O194" i="4"/>
  <c r="M194" i="4"/>
  <c r="V194" i="4" s="1"/>
  <c r="W194" i="4" s="1"/>
  <c r="L194" i="4"/>
  <c r="G194" i="4"/>
  <c r="I194" i="4" s="1"/>
  <c r="AF193" i="4"/>
  <c r="AE193" i="4"/>
  <c r="AA193" i="4"/>
  <c r="U193" i="4"/>
  <c r="O193" i="4"/>
  <c r="M193" i="4"/>
  <c r="L193" i="4"/>
  <c r="G193" i="4"/>
  <c r="I193" i="4" s="1"/>
  <c r="AF192" i="4"/>
  <c r="AE192" i="4"/>
  <c r="AA192" i="4"/>
  <c r="U192" i="4"/>
  <c r="V192" i="4" s="1"/>
  <c r="W192" i="4" s="1"/>
  <c r="O192" i="4"/>
  <c r="M192" i="4"/>
  <c r="L192" i="4"/>
  <c r="N192" i="4" s="1"/>
  <c r="P192" i="4" s="1"/>
  <c r="I192" i="4"/>
  <c r="G192" i="4"/>
  <c r="AF191" i="4"/>
  <c r="AE191" i="4"/>
  <c r="AA191" i="4"/>
  <c r="U191" i="4"/>
  <c r="O191" i="4"/>
  <c r="M191" i="4"/>
  <c r="V191" i="4" s="1"/>
  <c r="W191" i="4" s="1"/>
  <c r="L191" i="4"/>
  <c r="N191" i="4" s="1"/>
  <c r="P191" i="4" s="1"/>
  <c r="G191" i="4"/>
  <c r="I191" i="4" s="1"/>
  <c r="AF190" i="4"/>
  <c r="AE190" i="4"/>
  <c r="AA190" i="4"/>
  <c r="V190" i="4"/>
  <c r="W190" i="4" s="1"/>
  <c r="U190" i="4"/>
  <c r="O190" i="4"/>
  <c r="M190" i="4"/>
  <c r="L190" i="4"/>
  <c r="I190" i="4"/>
  <c r="G190" i="4"/>
  <c r="AF189" i="4"/>
  <c r="AE189" i="4"/>
  <c r="AA189" i="4"/>
  <c r="AB189" i="4" s="1"/>
  <c r="AC189" i="4" s="1"/>
  <c r="U189" i="4"/>
  <c r="O189" i="4"/>
  <c r="M189" i="4"/>
  <c r="N189" i="4" s="1"/>
  <c r="P189" i="4" s="1"/>
  <c r="L189" i="4"/>
  <c r="G189" i="4"/>
  <c r="I189" i="4" s="1"/>
  <c r="AF188" i="4"/>
  <c r="AE188" i="4"/>
  <c r="AA188" i="4"/>
  <c r="U188" i="4"/>
  <c r="O188" i="4"/>
  <c r="M188" i="4"/>
  <c r="L188" i="4"/>
  <c r="N188" i="4" s="1"/>
  <c r="P188" i="4" s="1"/>
  <c r="G188" i="4"/>
  <c r="I188" i="4" s="1"/>
  <c r="AF187" i="4"/>
  <c r="AE187" i="4"/>
  <c r="AA187" i="4"/>
  <c r="U187" i="4"/>
  <c r="O187" i="4"/>
  <c r="M187" i="4"/>
  <c r="AB187" i="4" s="1"/>
  <c r="AC187" i="4" s="1"/>
  <c r="L187" i="4"/>
  <c r="G187" i="4"/>
  <c r="I187" i="4" s="1"/>
  <c r="AF186" i="4"/>
  <c r="AE186" i="4"/>
  <c r="AA186" i="4"/>
  <c r="AB186" i="4" s="1"/>
  <c r="AC186" i="4" s="1"/>
  <c r="U186" i="4"/>
  <c r="V186" i="4" s="1"/>
  <c r="W186" i="4" s="1"/>
  <c r="O186" i="4"/>
  <c r="M186" i="4"/>
  <c r="L186" i="4"/>
  <c r="G186" i="4"/>
  <c r="I186" i="4" s="1"/>
  <c r="AF185" i="4"/>
  <c r="AE185" i="4"/>
  <c r="AA185" i="4"/>
  <c r="U185" i="4"/>
  <c r="O185" i="4"/>
  <c r="M185" i="4"/>
  <c r="L185" i="4"/>
  <c r="G185" i="4"/>
  <c r="I185" i="4" s="1"/>
  <c r="AF184" i="4"/>
  <c r="AE184" i="4"/>
  <c r="AA184" i="4"/>
  <c r="U184" i="4"/>
  <c r="O184" i="4"/>
  <c r="M184" i="4"/>
  <c r="V184" i="4" s="1"/>
  <c r="W184" i="4" s="1"/>
  <c r="L184" i="4"/>
  <c r="G184" i="4"/>
  <c r="I184" i="4" s="1"/>
  <c r="AF183" i="4"/>
  <c r="AE183" i="4"/>
  <c r="AA183" i="4"/>
  <c r="U183" i="4"/>
  <c r="O183" i="4"/>
  <c r="M183" i="4"/>
  <c r="L183" i="4"/>
  <c r="G183" i="4"/>
  <c r="I183" i="4" s="1"/>
  <c r="AF182" i="4"/>
  <c r="AE182" i="4"/>
  <c r="AA182" i="4"/>
  <c r="AB182" i="4" s="1"/>
  <c r="AC182" i="4" s="1"/>
  <c r="V182" i="4"/>
  <c r="W182" i="4" s="1"/>
  <c r="U182" i="4"/>
  <c r="O182" i="4"/>
  <c r="M182" i="4"/>
  <c r="L182" i="4"/>
  <c r="I182" i="4"/>
  <c r="G182" i="4"/>
  <c r="AF181" i="4"/>
  <c r="AE181" i="4"/>
  <c r="AA181" i="4"/>
  <c r="AB181" i="4" s="1"/>
  <c r="AC181" i="4" s="1"/>
  <c r="V181" i="4"/>
  <c r="W181" i="4" s="1"/>
  <c r="U181" i="4"/>
  <c r="O181" i="4"/>
  <c r="M181" i="4"/>
  <c r="L181" i="4"/>
  <c r="G181" i="4"/>
  <c r="I181" i="4" s="1"/>
  <c r="AF180" i="4"/>
  <c r="AE180" i="4"/>
  <c r="AA180" i="4"/>
  <c r="U180" i="4"/>
  <c r="V180" i="4" s="1"/>
  <c r="W180" i="4" s="1"/>
  <c r="O180" i="4"/>
  <c r="M180" i="4"/>
  <c r="L180" i="4"/>
  <c r="N180" i="4" s="1"/>
  <c r="P180" i="4" s="1"/>
  <c r="G180" i="4"/>
  <c r="I180" i="4" s="1"/>
  <c r="AF179" i="4"/>
  <c r="AE179" i="4"/>
  <c r="AA179" i="4"/>
  <c r="AB179" i="4" s="1"/>
  <c r="AC179" i="4" s="1"/>
  <c r="U179" i="4"/>
  <c r="O179" i="4"/>
  <c r="M179" i="4"/>
  <c r="L179" i="4"/>
  <c r="N179" i="4" s="1"/>
  <c r="P179" i="4" s="1"/>
  <c r="G179" i="4"/>
  <c r="I179" i="4" s="1"/>
  <c r="AF178" i="4"/>
  <c r="AE178" i="4"/>
  <c r="AA178" i="4"/>
  <c r="U178" i="4"/>
  <c r="O178" i="4"/>
  <c r="M178" i="4"/>
  <c r="N178" i="4" s="1"/>
  <c r="P178" i="4" s="1"/>
  <c r="L178" i="4"/>
  <c r="G178" i="4"/>
  <c r="I178" i="4" s="1"/>
  <c r="AF177" i="4"/>
  <c r="AE177" i="4"/>
  <c r="AA177" i="4"/>
  <c r="AB177" i="4" s="1"/>
  <c r="AC177" i="4" s="1"/>
  <c r="U177" i="4"/>
  <c r="V177" i="4" s="1"/>
  <c r="W177" i="4" s="1"/>
  <c r="O177" i="4"/>
  <c r="M177" i="4"/>
  <c r="L177" i="4"/>
  <c r="G177" i="4"/>
  <c r="I177" i="4" s="1"/>
  <c r="AF176" i="4"/>
  <c r="AE176" i="4"/>
  <c r="AA176" i="4"/>
  <c r="U176" i="4"/>
  <c r="O176" i="4"/>
  <c r="M176" i="4"/>
  <c r="L176" i="4"/>
  <c r="G176" i="4"/>
  <c r="I176" i="4" s="1"/>
  <c r="AF175" i="4"/>
  <c r="AE175" i="4"/>
  <c r="AA175" i="4"/>
  <c r="U175" i="4"/>
  <c r="O175" i="4"/>
  <c r="M175" i="4"/>
  <c r="L175" i="4"/>
  <c r="N175" i="4" s="1"/>
  <c r="P175" i="4" s="1"/>
  <c r="G175" i="4"/>
  <c r="I175" i="4" s="1"/>
  <c r="AF174" i="4"/>
  <c r="AE174" i="4"/>
  <c r="AA174" i="4"/>
  <c r="AB174" i="4" s="1"/>
  <c r="AC174" i="4" s="1"/>
  <c r="U174" i="4"/>
  <c r="V174" i="4" s="1"/>
  <c r="W174" i="4" s="1"/>
  <c r="O174" i="4"/>
  <c r="M174" i="4"/>
  <c r="L174" i="4"/>
  <c r="G174" i="4"/>
  <c r="I174" i="4" s="1"/>
  <c r="AF173" i="4"/>
  <c r="AE173" i="4"/>
  <c r="AA173" i="4"/>
  <c r="U173" i="4"/>
  <c r="O173" i="4"/>
  <c r="M173" i="4"/>
  <c r="N173" i="4" s="1"/>
  <c r="P173" i="4" s="1"/>
  <c r="L173" i="4"/>
  <c r="G173" i="4"/>
  <c r="I173" i="4" s="1"/>
  <c r="AF172" i="4"/>
  <c r="AE172" i="4"/>
  <c r="AA172" i="4"/>
  <c r="AB172" i="4" s="1"/>
  <c r="AC172" i="4" s="1"/>
  <c r="U172" i="4"/>
  <c r="V172" i="4" s="1"/>
  <c r="W172" i="4" s="1"/>
  <c r="O172" i="4"/>
  <c r="M172" i="4"/>
  <c r="L172" i="4"/>
  <c r="N172" i="4" s="1"/>
  <c r="P172" i="4" s="1"/>
  <c r="G172" i="4"/>
  <c r="I172" i="4" s="1"/>
  <c r="AF171" i="4"/>
  <c r="AE171" i="4"/>
  <c r="AA171" i="4"/>
  <c r="U171" i="4"/>
  <c r="O171" i="4"/>
  <c r="N171" i="4"/>
  <c r="P171" i="4" s="1"/>
  <c r="M171" i="4"/>
  <c r="L171" i="4"/>
  <c r="G171" i="4"/>
  <c r="I171" i="4" s="1"/>
  <c r="AF170" i="4"/>
  <c r="AE170" i="4"/>
  <c r="AA170" i="4"/>
  <c r="U170" i="4"/>
  <c r="O170" i="4"/>
  <c r="M170" i="4"/>
  <c r="L170" i="4"/>
  <c r="G170" i="4"/>
  <c r="I170" i="4" s="1"/>
  <c r="AF169" i="4"/>
  <c r="AE169" i="4"/>
  <c r="AA169" i="4"/>
  <c r="U169" i="4"/>
  <c r="O169" i="4"/>
  <c r="M169" i="4"/>
  <c r="L169" i="4"/>
  <c r="G169" i="4"/>
  <c r="I169" i="4" s="1"/>
  <c r="AF168" i="4"/>
  <c r="AE168" i="4"/>
  <c r="AA168" i="4"/>
  <c r="U168" i="4"/>
  <c r="O168" i="4"/>
  <c r="M168" i="4"/>
  <c r="L168" i="4"/>
  <c r="I168" i="4"/>
  <c r="G168" i="4"/>
  <c r="AF167" i="4"/>
  <c r="AE167" i="4"/>
  <c r="AA167" i="4"/>
  <c r="U167" i="4"/>
  <c r="V167" i="4" s="1"/>
  <c r="W167" i="4" s="1"/>
  <c r="O167" i="4"/>
  <c r="M167" i="4"/>
  <c r="AB167" i="4" s="1"/>
  <c r="AC167" i="4" s="1"/>
  <c r="L167" i="4"/>
  <c r="N167" i="4" s="1"/>
  <c r="P167" i="4" s="1"/>
  <c r="G167" i="4"/>
  <c r="I167" i="4" s="1"/>
  <c r="AF166" i="4"/>
  <c r="AE166" i="4"/>
  <c r="AA166" i="4"/>
  <c r="U166" i="4"/>
  <c r="O166" i="4"/>
  <c r="M166" i="4"/>
  <c r="L166" i="4"/>
  <c r="N166" i="4" s="1"/>
  <c r="P166" i="4" s="1"/>
  <c r="G166" i="4"/>
  <c r="I166" i="4" s="1"/>
  <c r="AF165" i="4"/>
  <c r="AE165" i="4"/>
  <c r="AA165" i="4"/>
  <c r="U165" i="4"/>
  <c r="O165" i="4"/>
  <c r="M165" i="4"/>
  <c r="L165" i="4"/>
  <c r="G165" i="4"/>
  <c r="I165" i="4" s="1"/>
  <c r="AF164" i="4"/>
  <c r="AE164" i="4"/>
  <c r="AA164" i="4"/>
  <c r="U164" i="4"/>
  <c r="O164" i="4"/>
  <c r="M164" i="4"/>
  <c r="L164" i="4"/>
  <c r="G164" i="4"/>
  <c r="I164" i="4" s="1"/>
  <c r="AF163" i="4"/>
  <c r="AE163" i="4"/>
  <c r="AA163" i="4"/>
  <c r="AB163" i="4" s="1"/>
  <c r="AC163" i="4" s="1"/>
  <c r="U163" i="4"/>
  <c r="O163" i="4"/>
  <c r="M163" i="4"/>
  <c r="L163" i="4"/>
  <c r="G163" i="4"/>
  <c r="I163" i="4" s="1"/>
  <c r="AF162" i="4"/>
  <c r="AE162" i="4"/>
  <c r="AA162" i="4"/>
  <c r="U162" i="4"/>
  <c r="O162" i="4"/>
  <c r="M162" i="4"/>
  <c r="L162" i="4"/>
  <c r="G162" i="4"/>
  <c r="I162" i="4" s="1"/>
  <c r="AF161" i="4"/>
  <c r="AE161" i="4"/>
  <c r="AA161" i="4"/>
  <c r="U161" i="4"/>
  <c r="O161" i="4"/>
  <c r="M161" i="4"/>
  <c r="L161" i="4"/>
  <c r="I161" i="4"/>
  <c r="G161" i="4"/>
  <c r="AF160" i="4"/>
  <c r="AE160" i="4"/>
  <c r="AA160" i="4"/>
  <c r="U160" i="4"/>
  <c r="O160" i="4"/>
  <c r="M160" i="4"/>
  <c r="L160" i="4"/>
  <c r="G160" i="4"/>
  <c r="I160" i="4" s="1"/>
  <c r="AF159" i="4"/>
  <c r="AE159" i="4"/>
  <c r="AA159" i="4"/>
  <c r="AB159" i="4" s="1"/>
  <c r="AC159" i="4" s="1"/>
  <c r="U159" i="4"/>
  <c r="O159" i="4"/>
  <c r="M159" i="4"/>
  <c r="L159" i="4"/>
  <c r="N159" i="4" s="1"/>
  <c r="P159" i="4" s="1"/>
  <c r="G159" i="4"/>
  <c r="I159" i="4" s="1"/>
  <c r="AF158" i="4"/>
  <c r="AE158" i="4"/>
  <c r="AA158" i="4"/>
  <c r="U158" i="4"/>
  <c r="O158" i="4"/>
  <c r="M158" i="4"/>
  <c r="L158" i="4"/>
  <c r="G158" i="4"/>
  <c r="I158" i="4" s="1"/>
  <c r="AF157" i="4"/>
  <c r="AE157" i="4"/>
  <c r="AA157" i="4"/>
  <c r="U157" i="4"/>
  <c r="O157" i="4"/>
  <c r="M157" i="4"/>
  <c r="V157" i="4" s="1"/>
  <c r="W157" i="4" s="1"/>
  <c r="L157" i="4"/>
  <c r="N157" i="4" s="1"/>
  <c r="P157" i="4" s="1"/>
  <c r="G157" i="4"/>
  <c r="I157" i="4" s="1"/>
  <c r="AF156" i="4"/>
  <c r="AE156" i="4"/>
  <c r="AA156" i="4"/>
  <c r="U156" i="4"/>
  <c r="V156" i="4" s="1"/>
  <c r="W156" i="4" s="1"/>
  <c r="O156" i="4"/>
  <c r="M156" i="4"/>
  <c r="L156" i="4"/>
  <c r="N156" i="4" s="1"/>
  <c r="P156" i="4" s="1"/>
  <c r="G156" i="4"/>
  <c r="I156" i="4" s="1"/>
  <c r="AF155" i="4"/>
  <c r="AE155" i="4"/>
  <c r="AA155" i="4"/>
  <c r="U155" i="4"/>
  <c r="O155" i="4"/>
  <c r="M155" i="4"/>
  <c r="L155" i="4"/>
  <c r="G155" i="4"/>
  <c r="I155" i="4" s="1"/>
  <c r="AF154" i="4"/>
  <c r="AE154" i="4"/>
  <c r="AA154" i="4"/>
  <c r="U154" i="4"/>
  <c r="O154" i="4"/>
  <c r="M154" i="4"/>
  <c r="L154" i="4"/>
  <c r="G154" i="4"/>
  <c r="I154" i="4" s="1"/>
  <c r="AF153" i="4"/>
  <c r="AE153" i="4"/>
  <c r="AA153" i="4"/>
  <c r="V153" i="4"/>
  <c r="W153" i="4" s="1"/>
  <c r="U153" i="4"/>
  <c r="O153" i="4"/>
  <c r="M153" i="4"/>
  <c r="L153" i="4"/>
  <c r="G153" i="4"/>
  <c r="I153" i="4" s="1"/>
  <c r="AF152" i="4"/>
  <c r="AE152" i="4"/>
  <c r="AA152" i="4"/>
  <c r="AB152" i="4" s="1"/>
  <c r="AC152" i="4" s="1"/>
  <c r="U152" i="4"/>
  <c r="O152" i="4"/>
  <c r="M152" i="4"/>
  <c r="V152" i="4" s="1"/>
  <c r="W152" i="4" s="1"/>
  <c r="L152" i="4"/>
  <c r="G152" i="4"/>
  <c r="I152" i="4" s="1"/>
  <c r="AF151" i="4"/>
  <c r="AE151" i="4"/>
  <c r="AA151" i="4"/>
  <c r="U151" i="4"/>
  <c r="O151" i="4"/>
  <c r="M151" i="4"/>
  <c r="AB151" i="4" s="1"/>
  <c r="AC151" i="4" s="1"/>
  <c r="L151" i="4"/>
  <c r="N151" i="4" s="1"/>
  <c r="P151" i="4" s="1"/>
  <c r="G151" i="4"/>
  <c r="I151" i="4" s="1"/>
  <c r="AF150" i="4"/>
  <c r="AE150" i="4"/>
  <c r="AA150" i="4"/>
  <c r="AB150" i="4" s="1"/>
  <c r="AC150" i="4" s="1"/>
  <c r="U150" i="4"/>
  <c r="V150" i="4" s="1"/>
  <c r="W150" i="4" s="1"/>
  <c r="O150" i="4"/>
  <c r="M150" i="4"/>
  <c r="N150" i="4" s="1"/>
  <c r="P150" i="4" s="1"/>
  <c r="L150" i="4"/>
  <c r="G150" i="4"/>
  <c r="I150" i="4" s="1"/>
  <c r="AF149" i="4"/>
  <c r="AE149" i="4"/>
  <c r="AA149" i="4"/>
  <c r="U149" i="4"/>
  <c r="V149" i="4" s="1"/>
  <c r="W149" i="4" s="1"/>
  <c r="O149" i="4"/>
  <c r="M149" i="4"/>
  <c r="L149" i="4"/>
  <c r="G149" i="4"/>
  <c r="I149" i="4" s="1"/>
  <c r="AF148" i="4"/>
  <c r="AE148" i="4"/>
  <c r="AA148" i="4"/>
  <c r="U148" i="4"/>
  <c r="O148" i="4"/>
  <c r="M148" i="4"/>
  <c r="L148" i="4"/>
  <c r="G148" i="4"/>
  <c r="I148" i="4" s="1"/>
  <c r="AF147" i="4"/>
  <c r="AE147" i="4"/>
  <c r="AA147" i="4"/>
  <c r="AB147" i="4" s="1"/>
  <c r="AC147" i="4" s="1"/>
  <c r="U147" i="4"/>
  <c r="O147" i="4"/>
  <c r="M147" i="4"/>
  <c r="L147" i="4"/>
  <c r="G147" i="4"/>
  <c r="I147" i="4" s="1"/>
  <c r="AF146" i="4"/>
  <c r="AE146" i="4"/>
  <c r="AA146" i="4"/>
  <c r="U146" i="4"/>
  <c r="O146" i="4"/>
  <c r="M146" i="4"/>
  <c r="L146" i="4"/>
  <c r="G146" i="4"/>
  <c r="I146" i="4" s="1"/>
  <c r="AF145" i="4"/>
  <c r="AE145" i="4"/>
  <c r="AA145" i="4"/>
  <c r="U145" i="4"/>
  <c r="O145" i="4"/>
  <c r="M145" i="4"/>
  <c r="L145" i="4"/>
  <c r="G145" i="4"/>
  <c r="I145" i="4" s="1"/>
  <c r="AF144" i="4"/>
  <c r="AE144" i="4"/>
  <c r="AA144" i="4"/>
  <c r="U144" i="4"/>
  <c r="O144" i="4"/>
  <c r="M144" i="4"/>
  <c r="L144" i="4"/>
  <c r="G144" i="4"/>
  <c r="I144" i="4" s="1"/>
  <c r="AF143" i="4"/>
  <c r="AE143" i="4"/>
  <c r="AA143" i="4"/>
  <c r="U143" i="4"/>
  <c r="O143" i="4"/>
  <c r="M143" i="4"/>
  <c r="L143" i="4"/>
  <c r="G143" i="4"/>
  <c r="I143" i="4" s="1"/>
  <c r="AF142" i="4"/>
  <c r="AE142" i="4"/>
  <c r="AA142" i="4"/>
  <c r="AB142" i="4" s="1"/>
  <c r="AC142" i="4" s="1"/>
  <c r="U142" i="4"/>
  <c r="O142" i="4"/>
  <c r="M142" i="4"/>
  <c r="L142" i="4"/>
  <c r="G142" i="4"/>
  <c r="I142" i="4" s="1"/>
  <c r="AF141" i="4"/>
  <c r="AE141" i="4"/>
  <c r="AA141" i="4"/>
  <c r="U141" i="4"/>
  <c r="V141" i="4" s="1"/>
  <c r="W141" i="4" s="1"/>
  <c r="O141" i="4"/>
  <c r="M141" i="4"/>
  <c r="L141" i="4"/>
  <c r="G141" i="4"/>
  <c r="I141" i="4" s="1"/>
  <c r="AF140" i="4"/>
  <c r="AE140" i="4"/>
  <c r="AA140" i="4"/>
  <c r="V140" i="4"/>
  <c r="W140" i="4" s="1"/>
  <c r="U140" i="4"/>
  <c r="O140" i="4"/>
  <c r="M140" i="4"/>
  <c r="L140" i="4"/>
  <c r="G140" i="4"/>
  <c r="I140" i="4" s="1"/>
  <c r="AF139" i="4"/>
  <c r="AE139" i="4"/>
  <c r="AA139" i="4"/>
  <c r="U139" i="4"/>
  <c r="O139" i="4"/>
  <c r="M139" i="4"/>
  <c r="L139" i="4"/>
  <c r="I139" i="4"/>
  <c r="G139" i="4"/>
  <c r="AF138" i="4"/>
  <c r="AE138" i="4"/>
  <c r="AA138" i="4"/>
  <c r="U138" i="4"/>
  <c r="O138" i="4"/>
  <c r="M138" i="4"/>
  <c r="L138" i="4"/>
  <c r="G138" i="4"/>
  <c r="I138" i="4" s="1"/>
  <c r="AF137" i="4"/>
  <c r="AE137" i="4"/>
  <c r="AA137" i="4"/>
  <c r="U137" i="4"/>
  <c r="O137" i="4"/>
  <c r="M137" i="4"/>
  <c r="L137" i="4"/>
  <c r="G137" i="4"/>
  <c r="I137" i="4" s="1"/>
  <c r="AF136" i="4"/>
  <c r="AE136" i="4"/>
  <c r="AA136" i="4"/>
  <c r="U136" i="4"/>
  <c r="O136" i="4"/>
  <c r="M136" i="4"/>
  <c r="V136" i="4" s="1"/>
  <c r="W136" i="4" s="1"/>
  <c r="L136" i="4"/>
  <c r="N136" i="4" s="1"/>
  <c r="P136" i="4" s="1"/>
  <c r="G136" i="4"/>
  <c r="I136" i="4" s="1"/>
  <c r="AF135" i="4"/>
  <c r="AE135" i="4"/>
  <c r="AA135" i="4"/>
  <c r="U135" i="4"/>
  <c r="O135" i="4"/>
  <c r="M135" i="4"/>
  <c r="L135" i="4"/>
  <c r="N135" i="4" s="1"/>
  <c r="P135" i="4" s="1"/>
  <c r="G135" i="4"/>
  <c r="I135" i="4" s="1"/>
  <c r="AF134" i="4"/>
  <c r="AE134" i="4"/>
  <c r="AA134" i="4"/>
  <c r="U134" i="4"/>
  <c r="O134" i="4"/>
  <c r="M134" i="4"/>
  <c r="L134" i="4"/>
  <c r="G134" i="4"/>
  <c r="I134" i="4" s="1"/>
  <c r="AF133" i="4"/>
  <c r="AE133" i="4"/>
  <c r="AA133" i="4"/>
  <c r="U133" i="4"/>
  <c r="O133" i="4"/>
  <c r="M133" i="4"/>
  <c r="N133" i="4" s="1"/>
  <c r="P133" i="4" s="1"/>
  <c r="L133" i="4"/>
  <c r="G133" i="4"/>
  <c r="I133" i="4" s="1"/>
  <c r="AF132" i="4"/>
  <c r="AE132" i="4"/>
  <c r="AA132" i="4"/>
  <c r="AB132" i="4" s="1"/>
  <c r="AC132" i="4" s="1"/>
  <c r="U132" i="4"/>
  <c r="O132" i="4"/>
  <c r="M132" i="4"/>
  <c r="L132" i="4"/>
  <c r="G132" i="4"/>
  <c r="I132" i="4" s="1"/>
  <c r="AF131" i="4"/>
  <c r="AE131" i="4"/>
  <c r="AA131" i="4"/>
  <c r="U131" i="4"/>
  <c r="O131" i="4"/>
  <c r="M131" i="4"/>
  <c r="V131" i="4" s="1"/>
  <c r="W131" i="4" s="1"/>
  <c r="L131" i="4"/>
  <c r="G131" i="4"/>
  <c r="I131" i="4" s="1"/>
  <c r="AF130" i="4"/>
  <c r="AE130" i="4"/>
  <c r="AA130" i="4"/>
  <c r="U130" i="4"/>
  <c r="V130" i="4" s="1"/>
  <c r="W130" i="4" s="1"/>
  <c r="O130" i="4"/>
  <c r="M130" i="4"/>
  <c r="L130" i="4"/>
  <c r="N130" i="4" s="1"/>
  <c r="P130" i="4" s="1"/>
  <c r="I130" i="4"/>
  <c r="G130" i="4"/>
  <c r="AF129" i="4"/>
  <c r="AE129" i="4"/>
  <c r="AA129" i="4"/>
  <c r="U129" i="4"/>
  <c r="V129" i="4" s="1"/>
  <c r="W129" i="4" s="1"/>
  <c r="O129" i="4"/>
  <c r="M129" i="4"/>
  <c r="L129" i="4"/>
  <c r="G129" i="4"/>
  <c r="I129" i="4" s="1"/>
  <c r="AF128" i="4"/>
  <c r="AE128" i="4"/>
  <c r="AA128" i="4"/>
  <c r="U128" i="4"/>
  <c r="O128" i="4"/>
  <c r="M128" i="4"/>
  <c r="L128" i="4"/>
  <c r="G128" i="4"/>
  <c r="I128" i="4" s="1"/>
  <c r="AF127" i="4"/>
  <c r="AE127" i="4"/>
  <c r="AB127" i="4"/>
  <c r="AC127" i="4" s="1"/>
  <c r="AA127" i="4"/>
  <c r="U127" i="4"/>
  <c r="O127" i="4"/>
  <c r="M127" i="4"/>
  <c r="L127" i="4"/>
  <c r="G127" i="4"/>
  <c r="I127" i="4" s="1"/>
  <c r="AF126" i="4"/>
  <c r="AE126" i="4"/>
  <c r="AA126" i="4"/>
  <c r="U126" i="4"/>
  <c r="O126" i="4"/>
  <c r="M126" i="4"/>
  <c r="L126" i="4"/>
  <c r="N126" i="4" s="1"/>
  <c r="P126" i="4" s="1"/>
  <c r="G126" i="4"/>
  <c r="I126" i="4" s="1"/>
  <c r="AF125" i="4"/>
  <c r="AE125" i="4"/>
  <c r="AA125" i="4"/>
  <c r="U125" i="4"/>
  <c r="O125" i="4"/>
  <c r="M125" i="4"/>
  <c r="L125" i="4"/>
  <c r="G125" i="4"/>
  <c r="I125" i="4" s="1"/>
  <c r="AF124" i="4"/>
  <c r="AE124" i="4"/>
  <c r="AA124" i="4"/>
  <c r="AB124" i="4" s="1"/>
  <c r="AC124" i="4" s="1"/>
  <c r="U124" i="4"/>
  <c r="V124" i="4" s="1"/>
  <c r="W124" i="4" s="1"/>
  <c r="O124" i="4"/>
  <c r="M124" i="4"/>
  <c r="L124" i="4"/>
  <c r="N124" i="4" s="1"/>
  <c r="P124" i="4" s="1"/>
  <c r="G124" i="4"/>
  <c r="I124" i="4" s="1"/>
  <c r="AF123" i="4"/>
  <c r="AE123" i="4"/>
  <c r="AA123" i="4"/>
  <c r="AB123" i="4" s="1"/>
  <c r="AC123" i="4" s="1"/>
  <c r="U123" i="4"/>
  <c r="V123" i="4" s="1"/>
  <c r="W123" i="4" s="1"/>
  <c r="O123" i="4"/>
  <c r="M123" i="4"/>
  <c r="L123" i="4"/>
  <c r="G123" i="4"/>
  <c r="I123" i="4" s="1"/>
  <c r="AF122" i="4"/>
  <c r="AE122" i="4"/>
  <c r="AA122" i="4"/>
  <c r="U122" i="4"/>
  <c r="O122" i="4"/>
  <c r="M122" i="4"/>
  <c r="L122" i="4"/>
  <c r="N122" i="4" s="1"/>
  <c r="P122" i="4" s="1"/>
  <c r="G122" i="4"/>
  <c r="I122" i="4" s="1"/>
  <c r="AF121" i="4"/>
  <c r="AE121" i="4"/>
  <c r="AA121" i="4"/>
  <c r="U121" i="4"/>
  <c r="O121" i="4"/>
  <c r="M121" i="4"/>
  <c r="L121" i="4"/>
  <c r="G121" i="4"/>
  <c r="I121" i="4" s="1"/>
  <c r="AF120" i="4"/>
  <c r="AE120" i="4"/>
  <c r="AA120" i="4"/>
  <c r="U120" i="4"/>
  <c r="O120" i="4"/>
  <c r="M120" i="4"/>
  <c r="L120" i="4"/>
  <c r="G120" i="4"/>
  <c r="I120" i="4" s="1"/>
  <c r="AF119" i="4"/>
  <c r="AE119" i="4"/>
  <c r="AA119" i="4"/>
  <c r="U119" i="4"/>
  <c r="O119" i="4"/>
  <c r="M119" i="4"/>
  <c r="L119" i="4"/>
  <c r="G119" i="4"/>
  <c r="I119" i="4" s="1"/>
  <c r="AF118" i="4"/>
  <c r="AE118" i="4"/>
  <c r="AA118" i="4"/>
  <c r="U118" i="4"/>
  <c r="V118" i="4" s="1"/>
  <c r="W118" i="4" s="1"/>
  <c r="O118" i="4"/>
  <c r="M118" i="4"/>
  <c r="L118" i="4"/>
  <c r="G118" i="4"/>
  <c r="I118" i="4" s="1"/>
  <c r="AF117" i="4"/>
  <c r="AE117" i="4"/>
  <c r="AA117" i="4"/>
  <c r="U117" i="4"/>
  <c r="O117" i="4"/>
  <c r="M117" i="4"/>
  <c r="L117" i="4"/>
  <c r="N117" i="4" s="1"/>
  <c r="P117" i="4" s="1"/>
  <c r="G117" i="4"/>
  <c r="I117" i="4" s="1"/>
  <c r="AF116" i="4"/>
  <c r="AE116" i="4"/>
  <c r="AB116" i="4"/>
  <c r="AC116" i="4" s="1"/>
  <c r="AA116" i="4"/>
  <c r="U116" i="4"/>
  <c r="V116" i="4" s="1"/>
  <c r="W116" i="4" s="1"/>
  <c r="O116" i="4"/>
  <c r="M116" i="4"/>
  <c r="L116" i="4"/>
  <c r="I116" i="4"/>
  <c r="G116" i="4"/>
  <c r="AF115" i="4"/>
  <c r="AE115" i="4"/>
  <c r="AA115" i="4"/>
  <c r="U115" i="4"/>
  <c r="O115" i="4"/>
  <c r="M115" i="4"/>
  <c r="AB115" i="4" s="1"/>
  <c r="AC115" i="4" s="1"/>
  <c r="L115" i="4"/>
  <c r="G115" i="4"/>
  <c r="I115" i="4" s="1"/>
  <c r="AF114" i="4"/>
  <c r="AE114" i="4"/>
  <c r="AA114" i="4"/>
  <c r="U114" i="4"/>
  <c r="O114" i="4"/>
  <c r="M114" i="4"/>
  <c r="L114" i="4"/>
  <c r="G114" i="4"/>
  <c r="I114" i="4" s="1"/>
  <c r="AF113" i="4"/>
  <c r="AE113" i="4"/>
  <c r="AA113" i="4"/>
  <c r="U113" i="4"/>
  <c r="V113" i="4" s="1"/>
  <c r="W113" i="4" s="1"/>
  <c r="O113" i="4"/>
  <c r="M113" i="4"/>
  <c r="L113" i="4"/>
  <c r="N113" i="4" s="1"/>
  <c r="P113" i="4" s="1"/>
  <c r="G113" i="4"/>
  <c r="I113" i="4" s="1"/>
  <c r="AF112" i="4"/>
  <c r="AE112" i="4"/>
  <c r="AA112" i="4"/>
  <c r="U112" i="4"/>
  <c r="O112" i="4"/>
  <c r="M112" i="4"/>
  <c r="L112" i="4"/>
  <c r="G112" i="4"/>
  <c r="I112" i="4" s="1"/>
  <c r="AF111" i="4"/>
  <c r="AE111" i="4"/>
  <c r="AA111" i="4"/>
  <c r="U111" i="4"/>
  <c r="O111" i="4"/>
  <c r="M111" i="4"/>
  <c r="L111" i="4"/>
  <c r="G111" i="4"/>
  <c r="I111" i="4" s="1"/>
  <c r="AF110" i="4"/>
  <c r="AE110" i="4"/>
  <c r="AA110" i="4"/>
  <c r="U110" i="4"/>
  <c r="O110" i="4"/>
  <c r="M110" i="4"/>
  <c r="L110" i="4"/>
  <c r="N110" i="4" s="1"/>
  <c r="P110" i="4" s="1"/>
  <c r="G110" i="4"/>
  <c r="I110" i="4" s="1"/>
  <c r="AF109" i="4"/>
  <c r="AE109" i="4"/>
  <c r="AA109" i="4"/>
  <c r="U109" i="4"/>
  <c r="O109" i="4"/>
  <c r="M109" i="4"/>
  <c r="L109" i="4"/>
  <c r="G109" i="4"/>
  <c r="I109" i="4" s="1"/>
  <c r="AF108" i="4"/>
  <c r="AE108" i="4"/>
  <c r="AA108" i="4"/>
  <c r="AB108" i="4" s="1"/>
  <c r="AC108" i="4" s="1"/>
  <c r="U108" i="4"/>
  <c r="V108" i="4" s="1"/>
  <c r="W108" i="4" s="1"/>
  <c r="O108" i="4"/>
  <c r="N108" i="4"/>
  <c r="P108" i="4" s="1"/>
  <c r="M108" i="4"/>
  <c r="L108" i="4"/>
  <c r="G108" i="4"/>
  <c r="I108" i="4" s="1"/>
  <c r="AF107" i="4"/>
  <c r="AE107" i="4"/>
  <c r="AA107" i="4"/>
  <c r="U107" i="4"/>
  <c r="O107" i="4"/>
  <c r="M107" i="4"/>
  <c r="L107" i="4"/>
  <c r="G107" i="4"/>
  <c r="I107" i="4" s="1"/>
  <c r="AF106" i="4"/>
  <c r="AE106" i="4"/>
  <c r="AA106" i="4"/>
  <c r="AB106" i="4" s="1"/>
  <c r="AC106" i="4" s="1"/>
  <c r="U106" i="4"/>
  <c r="V106" i="4" s="1"/>
  <c r="W106" i="4" s="1"/>
  <c r="O106" i="4"/>
  <c r="M106" i="4"/>
  <c r="L106" i="4"/>
  <c r="G106" i="4"/>
  <c r="I106" i="4" s="1"/>
  <c r="AF105" i="4"/>
  <c r="AE105" i="4"/>
  <c r="AA105" i="4"/>
  <c r="U105" i="4"/>
  <c r="O105" i="4"/>
  <c r="M105" i="4"/>
  <c r="L105" i="4"/>
  <c r="N105" i="4" s="1"/>
  <c r="P105" i="4" s="1"/>
  <c r="G105" i="4"/>
  <c r="I105" i="4" s="1"/>
  <c r="AF104" i="4"/>
  <c r="AE104" i="4"/>
  <c r="AA104" i="4"/>
  <c r="U104" i="4"/>
  <c r="O104" i="4"/>
  <c r="M104" i="4"/>
  <c r="L104" i="4"/>
  <c r="G104" i="4"/>
  <c r="I104" i="4" s="1"/>
  <c r="AF103" i="4"/>
  <c r="AE103" i="4"/>
  <c r="AA103" i="4"/>
  <c r="U103" i="4"/>
  <c r="V103" i="4" s="1"/>
  <c r="W103" i="4" s="1"/>
  <c r="O103" i="4"/>
  <c r="M103" i="4"/>
  <c r="L103" i="4"/>
  <c r="G103" i="4"/>
  <c r="I103" i="4" s="1"/>
  <c r="AF102" i="4"/>
  <c r="AE102" i="4"/>
  <c r="AA102" i="4"/>
  <c r="U102" i="4"/>
  <c r="O102" i="4"/>
  <c r="M102" i="4"/>
  <c r="L102" i="4"/>
  <c r="N102" i="4" s="1"/>
  <c r="P102" i="4" s="1"/>
  <c r="G102" i="4"/>
  <c r="I102" i="4" s="1"/>
  <c r="AF101" i="4"/>
  <c r="AE101" i="4"/>
  <c r="AA101" i="4"/>
  <c r="U101" i="4"/>
  <c r="O101" i="4"/>
  <c r="M101" i="4"/>
  <c r="L101" i="4"/>
  <c r="G101" i="4"/>
  <c r="I101" i="4" s="1"/>
  <c r="AF100" i="4"/>
  <c r="AE100" i="4"/>
  <c r="AA100" i="4"/>
  <c r="U100" i="4"/>
  <c r="O100" i="4"/>
  <c r="M100" i="4"/>
  <c r="L100" i="4"/>
  <c r="N100" i="4" s="1"/>
  <c r="P100" i="4" s="1"/>
  <c r="G100" i="4"/>
  <c r="I100" i="4" s="1"/>
  <c r="AF99" i="4"/>
  <c r="AE99" i="4"/>
  <c r="AA99" i="4"/>
  <c r="AB99" i="4" s="1"/>
  <c r="AC99" i="4" s="1"/>
  <c r="U99" i="4"/>
  <c r="V99" i="4" s="1"/>
  <c r="W99" i="4" s="1"/>
  <c r="O99" i="4"/>
  <c r="M99" i="4"/>
  <c r="L99" i="4"/>
  <c r="G99" i="4"/>
  <c r="I99" i="4" s="1"/>
  <c r="AF98" i="4"/>
  <c r="AE98" i="4"/>
  <c r="AA98" i="4"/>
  <c r="U98" i="4"/>
  <c r="V98" i="4" s="1"/>
  <c r="W98" i="4" s="1"/>
  <c r="O98" i="4"/>
  <c r="M98" i="4"/>
  <c r="N98" i="4" s="1"/>
  <c r="P98" i="4" s="1"/>
  <c r="L98" i="4"/>
  <c r="G98" i="4"/>
  <c r="I98" i="4" s="1"/>
  <c r="AF97" i="4"/>
  <c r="AE97" i="4"/>
  <c r="AA97" i="4"/>
  <c r="U97" i="4"/>
  <c r="O97" i="4"/>
  <c r="M97" i="4"/>
  <c r="L97" i="4"/>
  <c r="N97" i="4" s="1"/>
  <c r="P97" i="4" s="1"/>
  <c r="G97" i="4"/>
  <c r="I97" i="4" s="1"/>
  <c r="AF96" i="4"/>
  <c r="AE96" i="4"/>
  <c r="AA96" i="4"/>
  <c r="U96" i="4"/>
  <c r="O96" i="4"/>
  <c r="M96" i="4"/>
  <c r="L96" i="4"/>
  <c r="G96" i="4"/>
  <c r="I96" i="4" s="1"/>
  <c r="AF95" i="4"/>
  <c r="AE95" i="4"/>
  <c r="AA95" i="4"/>
  <c r="AB95" i="4" s="1"/>
  <c r="AC95" i="4" s="1"/>
  <c r="U95" i="4"/>
  <c r="O95" i="4"/>
  <c r="M95" i="4"/>
  <c r="V95" i="4" s="1"/>
  <c r="W95" i="4" s="1"/>
  <c r="L95" i="4"/>
  <c r="I95" i="4"/>
  <c r="G95" i="4"/>
  <c r="AF94" i="4"/>
  <c r="AE94" i="4"/>
  <c r="AA94" i="4"/>
  <c r="U94" i="4"/>
  <c r="V94" i="4" s="1"/>
  <c r="W94" i="4" s="1"/>
  <c r="O94" i="4"/>
  <c r="M94" i="4"/>
  <c r="L94" i="4"/>
  <c r="N94" i="4" s="1"/>
  <c r="P94" i="4" s="1"/>
  <c r="G94" i="4"/>
  <c r="I94" i="4" s="1"/>
  <c r="AF93" i="4"/>
  <c r="AE93" i="4"/>
  <c r="AA93" i="4"/>
  <c r="U93" i="4"/>
  <c r="V93" i="4" s="1"/>
  <c r="W93" i="4" s="1"/>
  <c r="O93" i="4"/>
  <c r="M93" i="4"/>
  <c r="L93" i="4"/>
  <c r="N93" i="4" s="1"/>
  <c r="P93" i="4" s="1"/>
  <c r="G93" i="4"/>
  <c r="I93" i="4" s="1"/>
  <c r="AF92" i="4"/>
  <c r="AE92" i="4"/>
  <c r="AA92" i="4"/>
  <c r="AB92" i="4" s="1"/>
  <c r="AC92" i="4" s="1"/>
  <c r="U92" i="4"/>
  <c r="O92" i="4"/>
  <c r="M92" i="4"/>
  <c r="L92" i="4"/>
  <c r="N92" i="4" s="1"/>
  <c r="P92" i="4" s="1"/>
  <c r="G92" i="4"/>
  <c r="I92" i="4" s="1"/>
  <c r="AF91" i="4"/>
  <c r="AE91" i="4"/>
  <c r="AA91" i="4"/>
  <c r="U91" i="4"/>
  <c r="O91" i="4"/>
  <c r="M91" i="4"/>
  <c r="L91" i="4"/>
  <c r="G91" i="4"/>
  <c r="I91" i="4" s="1"/>
  <c r="AF90" i="4"/>
  <c r="AE90" i="4"/>
  <c r="AA90" i="4"/>
  <c r="U90" i="4"/>
  <c r="V90" i="4" s="1"/>
  <c r="W90" i="4" s="1"/>
  <c r="O90" i="4"/>
  <c r="M90" i="4"/>
  <c r="L90" i="4"/>
  <c r="G90" i="4"/>
  <c r="I90" i="4" s="1"/>
  <c r="AF89" i="4"/>
  <c r="AE89" i="4"/>
  <c r="AA89" i="4"/>
  <c r="U89" i="4"/>
  <c r="O89" i="4"/>
  <c r="M89" i="4"/>
  <c r="L89" i="4"/>
  <c r="N89" i="4" s="1"/>
  <c r="P89" i="4" s="1"/>
  <c r="G89" i="4"/>
  <c r="I89" i="4" s="1"/>
  <c r="AF88" i="4"/>
  <c r="AE88" i="4"/>
  <c r="AA88" i="4"/>
  <c r="U88" i="4"/>
  <c r="O88" i="4"/>
  <c r="M88" i="4"/>
  <c r="L88" i="4"/>
  <c r="G88" i="4"/>
  <c r="I88" i="4" s="1"/>
  <c r="AF87" i="4"/>
  <c r="AE87" i="4"/>
  <c r="AA87" i="4"/>
  <c r="U87" i="4"/>
  <c r="O87" i="4"/>
  <c r="M87" i="4"/>
  <c r="L87" i="4"/>
  <c r="G87" i="4"/>
  <c r="I87" i="4" s="1"/>
  <c r="AF86" i="4"/>
  <c r="AE86" i="4"/>
  <c r="AA86" i="4"/>
  <c r="U86" i="4"/>
  <c r="O86" i="4"/>
  <c r="M86" i="4"/>
  <c r="L86" i="4"/>
  <c r="G86" i="4"/>
  <c r="I86" i="4" s="1"/>
  <c r="AF85" i="4"/>
  <c r="AE85" i="4"/>
  <c r="AA85" i="4"/>
  <c r="U85" i="4"/>
  <c r="O85" i="4"/>
  <c r="M85" i="4"/>
  <c r="V85" i="4" s="1"/>
  <c r="W85" i="4" s="1"/>
  <c r="L85" i="4"/>
  <c r="G85" i="4"/>
  <c r="I85" i="4" s="1"/>
  <c r="AF84" i="4"/>
  <c r="AE84" i="4"/>
  <c r="AA84" i="4"/>
  <c r="U84" i="4"/>
  <c r="O84" i="4"/>
  <c r="M84" i="4"/>
  <c r="L84" i="4"/>
  <c r="G84" i="4"/>
  <c r="I84" i="4" s="1"/>
  <c r="AF83" i="4"/>
  <c r="AE83" i="4"/>
  <c r="AA83" i="4"/>
  <c r="AB83" i="4" s="1"/>
  <c r="AC83" i="4" s="1"/>
  <c r="U83" i="4"/>
  <c r="O83" i="4"/>
  <c r="M83" i="4"/>
  <c r="L83" i="4"/>
  <c r="I83" i="4"/>
  <c r="G83" i="4"/>
  <c r="AF82" i="4"/>
  <c r="AE82" i="4"/>
  <c r="AA82" i="4"/>
  <c r="U82" i="4"/>
  <c r="O82" i="4"/>
  <c r="M82" i="4"/>
  <c r="L82" i="4"/>
  <c r="G82" i="4"/>
  <c r="I82" i="4" s="1"/>
  <c r="AF81" i="4"/>
  <c r="AE81" i="4"/>
  <c r="AA81" i="4"/>
  <c r="U81" i="4"/>
  <c r="O81" i="4"/>
  <c r="M81" i="4"/>
  <c r="V81" i="4" s="1"/>
  <c r="W81" i="4" s="1"/>
  <c r="L81" i="4"/>
  <c r="G81" i="4"/>
  <c r="I81" i="4" s="1"/>
  <c r="AF80" i="4"/>
  <c r="AE80" i="4"/>
  <c r="AA80" i="4"/>
  <c r="AB80" i="4" s="1"/>
  <c r="AC80" i="4" s="1"/>
  <c r="U80" i="4"/>
  <c r="O80" i="4"/>
  <c r="M80" i="4"/>
  <c r="N80" i="4" s="1"/>
  <c r="P80" i="4" s="1"/>
  <c r="L80" i="4"/>
  <c r="G80" i="4"/>
  <c r="I80" i="4" s="1"/>
  <c r="AF79" i="4"/>
  <c r="AE79" i="4"/>
  <c r="AA79" i="4"/>
  <c r="U79" i="4"/>
  <c r="V79" i="4" s="1"/>
  <c r="W79" i="4" s="1"/>
  <c r="O79" i="4"/>
  <c r="M79" i="4"/>
  <c r="L79" i="4"/>
  <c r="N79" i="4" s="1"/>
  <c r="P79" i="4" s="1"/>
  <c r="G79" i="4"/>
  <c r="I79" i="4" s="1"/>
  <c r="AF78" i="4"/>
  <c r="AE78" i="4"/>
  <c r="AA78" i="4"/>
  <c r="AB78" i="4" s="1"/>
  <c r="AC78" i="4" s="1"/>
  <c r="U78" i="4"/>
  <c r="O78" i="4"/>
  <c r="M78" i="4"/>
  <c r="L78" i="4"/>
  <c r="G78" i="4"/>
  <c r="I78" i="4" s="1"/>
  <c r="AF77" i="4"/>
  <c r="AE77" i="4"/>
  <c r="AA77" i="4"/>
  <c r="U77" i="4"/>
  <c r="O77" i="4"/>
  <c r="M77" i="4"/>
  <c r="L77" i="4"/>
  <c r="G77" i="4"/>
  <c r="I77" i="4" s="1"/>
  <c r="AF76" i="4"/>
  <c r="AE76" i="4"/>
  <c r="AA76" i="4"/>
  <c r="U76" i="4"/>
  <c r="V76" i="4" s="1"/>
  <c r="W76" i="4" s="1"/>
  <c r="O76" i="4"/>
  <c r="M76" i="4"/>
  <c r="L76" i="4"/>
  <c r="N76" i="4" s="1"/>
  <c r="P76" i="4" s="1"/>
  <c r="G76" i="4"/>
  <c r="I76" i="4" s="1"/>
  <c r="AF75" i="4"/>
  <c r="AE75" i="4"/>
  <c r="AA75" i="4"/>
  <c r="AB75" i="4" s="1"/>
  <c r="AC75" i="4" s="1"/>
  <c r="V75" i="4"/>
  <c r="W75" i="4" s="1"/>
  <c r="U75" i="4"/>
  <c r="O75" i="4"/>
  <c r="M75" i="4"/>
  <c r="L75" i="4"/>
  <c r="G75" i="4"/>
  <c r="I75" i="4" s="1"/>
  <c r="AF74" i="4"/>
  <c r="AE74" i="4"/>
  <c r="AA74" i="4"/>
  <c r="U74" i="4"/>
  <c r="O74" i="4"/>
  <c r="M74" i="4"/>
  <c r="L74" i="4"/>
  <c r="N74" i="4" s="1"/>
  <c r="P74" i="4" s="1"/>
  <c r="G74" i="4"/>
  <c r="I74" i="4" s="1"/>
  <c r="AF73" i="4"/>
  <c r="AE73" i="4"/>
  <c r="AA73" i="4"/>
  <c r="U73" i="4"/>
  <c r="O73" i="4"/>
  <c r="M73" i="4"/>
  <c r="L73" i="4"/>
  <c r="I73" i="4"/>
  <c r="G73" i="4"/>
  <c r="AF72" i="4"/>
  <c r="AE72" i="4"/>
  <c r="AA72" i="4"/>
  <c r="U72" i="4"/>
  <c r="O72" i="4"/>
  <c r="M72" i="4"/>
  <c r="L72" i="4"/>
  <c r="G72" i="4"/>
  <c r="I72" i="4" s="1"/>
  <c r="AF71" i="4"/>
  <c r="AE71" i="4"/>
  <c r="AA71" i="4"/>
  <c r="U71" i="4"/>
  <c r="V71" i="4" s="1"/>
  <c r="W71" i="4" s="1"/>
  <c r="O71" i="4"/>
  <c r="M71" i="4"/>
  <c r="L71" i="4"/>
  <c r="G71" i="4"/>
  <c r="I71" i="4" s="1"/>
  <c r="AF70" i="4"/>
  <c r="AE70" i="4"/>
  <c r="AA70" i="4"/>
  <c r="AB70" i="4" s="1"/>
  <c r="AC70" i="4" s="1"/>
  <c r="U70" i="4"/>
  <c r="O70" i="4"/>
  <c r="M70" i="4"/>
  <c r="L70" i="4"/>
  <c r="G70" i="4"/>
  <c r="I70" i="4" s="1"/>
  <c r="AF69" i="4"/>
  <c r="AE69" i="4"/>
  <c r="AA69" i="4"/>
  <c r="U69" i="4"/>
  <c r="O69" i="4"/>
  <c r="M69" i="4"/>
  <c r="L69" i="4"/>
  <c r="G69" i="4"/>
  <c r="I69" i="4" s="1"/>
  <c r="AF68" i="4"/>
  <c r="AE68" i="4"/>
  <c r="AA68" i="4"/>
  <c r="U68" i="4"/>
  <c r="O68" i="4"/>
  <c r="M68" i="4"/>
  <c r="L68" i="4"/>
  <c r="I68" i="4"/>
  <c r="G68" i="4"/>
  <c r="AF67" i="4"/>
  <c r="AE67" i="4"/>
  <c r="AA67" i="4"/>
  <c r="U67" i="4"/>
  <c r="O67" i="4"/>
  <c r="M67" i="4"/>
  <c r="L67" i="4"/>
  <c r="G67" i="4"/>
  <c r="I67" i="4" s="1"/>
  <c r="AF66" i="4"/>
  <c r="AE66" i="4"/>
  <c r="AA66" i="4"/>
  <c r="AB66" i="4" s="1"/>
  <c r="AC66" i="4" s="1"/>
  <c r="U66" i="4"/>
  <c r="O66" i="4"/>
  <c r="M66" i="4"/>
  <c r="L66" i="4"/>
  <c r="N66" i="4" s="1"/>
  <c r="P66" i="4" s="1"/>
  <c r="G66" i="4"/>
  <c r="I66" i="4" s="1"/>
  <c r="AF65" i="4"/>
  <c r="AE65" i="4"/>
  <c r="AA65" i="4"/>
  <c r="U65" i="4"/>
  <c r="O65" i="4"/>
  <c r="M65" i="4"/>
  <c r="L65" i="4"/>
  <c r="I65" i="4"/>
  <c r="G65" i="4"/>
  <c r="AF64" i="4"/>
  <c r="AE64" i="4"/>
  <c r="AA64" i="4"/>
  <c r="AB64" i="4" s="1"/>
  <c r="AC64" i="4" s="1"/>
  <c r="U64" i="4"/>
  <c r="O64" i="4"/>
  <c r="M64" i="4"/>
  <c r="L64" i="4"/>
  <c r="I64" i="4"/>
  <c r="G64" i="4"/>
  <c r="AF63" i="4"/>
  <c r="AE63" i="4"/>
  <c r="AA63" i="4"/>
  <c r="U63" i="4"/>
  <c r="O63" i="4"/>
  <c r="M63" i="4"/>
  <c r="L63" i="4"/>
  <c r="N63" i="4" s="1"/>
  <c r="P63" i="4" s="1"/>
  <c r="G63" i="4"/>
  <c r="I63" i="4" s="1"/>
  <c r="AF62" i="4"/>
  <c r="AE62" i="4"/>
  <c r="AA62" i="4"/>
  <c r="AB62" i="4" s="1"/>
  <c r="AC62" i="4" s="1"/>
  <c r="U62" i="4"/>
  <c r="O62" i="4"/>
  <c r="M62" i="4"/>
  <c r="L62" i="4"/>
  <c r="G62" i="4"/>
  <c r="I62" i="4" s="1"/>
  <c r="AF61" i="4"/>
  <c r="AE61" i="4"/>
  <c r="AA61" i="4"/>
  <c r="U61" i="4"/>
  <c r="O61" i="4"/>
  <c r="M61" i="4"/>
  <c r="L61" i="4"/>
  <c r="G61" i="4"/>
  <c r="I61" i="4" s="1"/>
  <c r="AF60" i="4"/>
  <c r="AE60" i="4"/>
  <c r="AA60" i="4"/>
  <c r="AB60" i="4" s="1"/>
  <c r="AC60" i="4" s="1"/>
  <c r="U60" i="4"/>
  <c r="O60" i="4"/>
  <c r="M60" i="4"/>
  <c r="L60" i="4"/>
  <c r="N60" i="4" s="1"/>
  <c r="P60" i="4" s="1"/>
  <c r="G60" i="4"/>
  <c r="I60" i="4" s="1"/>
  <c r="AF59" i="4"/>
  <c r="AE59" i="4"/>
  <c r="AA59" i="4"/>
  <c r="U59" i="4"/>
  <c r="O59" i="4"/>
  <c r="M59" i="4"/>
  <c r="L59" i="4"/>
  <c r="G59" i="4"/>
  <c r="I59" i="4" s="1"/>
  <c r="AF58" i="4"/>
  <c r="AE58" i="4"/>
  <c r="AA58" i="4"/>
  <c r="U58" i="4"/>
  <c r="O58" i="4"/>
  <c r="M58" i="4"/>
  <c r="L58" i="4"/>
  <c r="G58" i="4"/>
  <c r="I58" i="4" s="1"/>
  <c r="AF57" i="4"/>
  <c r="AE57" i="4"/>
  <c r="AA57" i="4"/>
  <c r="U57" i="4"/>
  <c r="O57" i="4"/>
  <c r="M57" i="4"/>
  <c r="L57" i="4"/>
  <c r="G57" i="4"/>
  <c r="I57" i="4" s="1"/>
  <c r="AF56" i="4"/>
  <c r="AE56" i="4"/>
  <c r="AA56" i="4"/>
  <c r="U56" i="4"/>
  <c r="O56" i="4"/>
  <c r="M56" i="4"/>
  <c r="L56" i="4"/>
  <c r="G56" i="4"/>
  <c r="I56" i="4" s="1"/>
  <c r="AF55" i="4"/>
  <c r="AE55" i="4"/>
  <c r="AA55" i="4"/>
  <c r="U55" i="4"/>
  <c r="O55" i="4"/>
  <c r="M55" i="4"/>
  <c r="L55" i="4"/>
  <c r="G55" i="4"/>
  <c r="I55" i="4" s="1"/>
  <c r="AF54" i="4"/>
  <c r="AE54" i="4"/>
  <c r="AA54" i="4"/>
  <c r="U54" i="4"/>
  <c r="O54" i="4"/>
  <c r="M54" i="4"/>
  <c r="L54" i="4"/>
  <c r="N54" i="4" s="1"/>
  <c r="P54" i="4" s="1"/>
  <c r="G54" i="4"/>
  <c r="I54" i="4" s="1"/>
  <c r="AF53" i="4"/>
  <c r="AE53" i="4"/>
  <c r="AA53" i="4"/>
  <c r="AB53" i="4" s="1"/>
  <c r="AC53" i="4" s="1"/>
  <c r="U53" i="4"/>
  <c r="O53" i="4"/>
  <c r="M53" i="4"/>
  <c r="L53" i="4"/>
  <c r="N53" i="4" s="1"/>
  <c r="P53" i="4" s="1"/>
  <c r="G53" i="4"/>
  <c r="I53" i="4" s="1"/>
  <c r="AF52" i="4"/>
  <c r="AE52" i="4"/>
  <c r="AA52" i="4"/>
  <c r="U52" i="4"/>
  <c r="O52" i="4"/>
  <c r="M52" i="4"/>
  <c r="L52" i="4"/>
  <c r="N52" i="4" s="1"/>
  <c r="P52" i="4" s="1"/>
  <c r="G52" i="4"/>
  <c r="I52" i="4" s="1"/>
  <c r="AF51" i="4"/>
  <c r="AE51" i="4"/>
  <c r="AA51" i="4"/>
  <c r="U51" i="4"/>
  <c r="O51" i="4"/>
  <c r="M51" i="4"/>
  <c r="L51" i="4"/>
  <c r="N51" i="4" s="1"/>
  <c r="P51" i="4" s="1"/>
  <c r="G51" i="4"/>
  <c r="I51" i="4" s="1"/>
  <c r="AF50" i="4"/>
  <c r="AE50" i="4"/>
  <c r="AA50" i="4"/>
  <c r="AB50" i="4" s="1"/>
  <c r="AC50" i="4" s="1"/>
  <c r="U50" i="4"/>
  <c r="O50" i="4"/>
  <c r="M50" i="4"/>
  <c r="L50" i="4"/>
  <c r="N50" i="4" s="1"/>
  <c r="P50" i="4" s="1"/>
  <c r="G50" i="4"/>
  <c r="I50" i="4" s="1"/>
  <c r="AF49" i="4"/>
  <c r="AE49" i="4"/>
  <c r="AA49" i="4"/>
  <c r="U49" i="4"/>
  <c r="O49" i="4"/>
  <c r="M49" i="4"/>
  <c r="L49" i="4"/>
  <c r="G49" i="4"/>
  <c r="I49" i="4" s="1"/>
  <c r="AF48" i="4"/>
  <c r="AE48" i="4"/>
  <c r="AA48" i="4"/>
  <c r="U48" i="4"/>
  <c r="O48" i="4"/>
  <c r="M48" i="4"/>
  <c r="L48" i="4"/>
  <c r="N48" i="4" s="1"/>
  <c r="P48" i="4" s="1"/>
  <c r="G48" i="4"/>
  <c r="I48" i="4" s="1"/>
  <c r="AF47" i="4"/>
  <c r="AE47" i="4"/>
  <c r="AA47" i="4"/>
  <c r="U47" i="4"/>
  <c r="O47" i="4"/>
  <c r="M47" i="4"/>
  <c r="L47" i="4"/>
  <c r="G47" i="4"/>
  <c r="I47" i="4" s="1"/>
  <c r="AF46" i="4"/>
  <c r="AE46" i="4"/>
  <c r="AA46" i="4"/>
  <c r="AB46" i="4" s="1"/>
  <c r="AC46" i="4" s="1"/>
  <c r="U46" i="4"/>
  <c r="O46" i="4"/>
  <c r="M46" i="4"/>
  <c r="L46" i="4"/>
  <c r="G46" i="4"/>
  <c r="I46" i="4" s="1"/>
  <c r="AF45" i="4"/>
  <c r="AE45" i="4"/>
  <c r="AA45" i="4"/>
  <c r="U45" i="4"/>
  <c r="O45" i="4"/>
  <c r="M45" i="4"/>
  <c r="L45" i="4"/>
  <c r="G45" i="4"/>
  <c r="I45" i="4" s="1"/>
  <c r="AF44" i="4"/>
  <c r="AE44" i="4"/>
  <c r="AA44" i="4"/>
  <c r="U44" i="4"/>
  <c r="O44" i="4"/>
  <c r="M44" i="4"/>
  <c r="L44" i="4"/>
  <c r="N44" i="4" s="1"/>
  <c r="P44" i="4" s="1"/>
  <c r="G44" i="4"/>
  <c r="I44" i="4" s="1"/>
  <c r="AF43" i="4"/>
  <c r="AE43" i="4"/>
  <c r="AA43" i="4"/>
  <c r="U43" i="4"/>
  <c r="O43" i="4"/>
  <c r="M43" i="4"/>
  <c r="V43" i="4" s="1"/>
  <c r="W43" i="4" s="1"/>
  <c r="L43" i="4"/>
  <c r="N43" i="4" s="1"/>
  <c r="P43" i="4" s="1"/>
  <c r="G43" i="4"/>
  <c r="I43" i="4" s="1"/>
  <c r="AF42" i="4"/>
  <c r="AE42" i="4"/>
  <c r="AA42" i="4"/>
  <c r="U42" i="4"/>
  <c r="O42" i="4"/>
  <c r="M42" i="4"/>
  <c r="N42" i="4" s="1"/>
  <c r="P42" i="4" s="1"/>
  <c r="L42" i="4"/>
  <c r="G42" i="4"/>
  <c r="I42" i="4" s="1"/>
  <c r="AF41" i="4"/>
  <c r="AE41" i="4"/>
  <c r="AA41" i="4"/>
  <c r="U41" i="4"/>
  <c r="O41" i="4"/>
  <c r="M41" i="4"/>
  <c r="L41" i="4"/>
  <c r="G41" i="4"/>
  <c r="I41" i="4" s="1"/>
  <c r="AF40" i="4"/>
  <c r="AE40" i="4"/>
  <c r="AA40" i="4"/>
  <c r="U40" i="4"/>
  <c r="O40" i="4"/>
  <c r="M40" i="4"/>
  <c r="V40" i="4" s="1"/>
  <c r="W40" i="4" s="1"/>
  <c r="L40" i="4"/>
  <c r="G40" i="4"/>
  <c r="I40" i="4" s="1"/>
  <c r="AF39" i="4"/>
  <c r="AE39" i="4"/>
  <c r="AA39" i="4"/>
  <c r="AB39" i="4" s="1"/>
  <c r="AC39" i="4" s="1"/>
  <c r="U39" i="4"/>
  <c r="V39" i="4" s="1"/>
  <c r="W39" i="4" s="1"/>
  <c r="O39" i="4"/>
  <c r="M39" i="4"/>
  <c r="L39" i="4"/>
  <c r="N39" i="4" s="1"/>
  <c r="P39" i="4" s="1"/>
  <c r="G39" i="4"/>
  <c r="I39" i="4" s="1"/>
  <c r="AF38" i="4"/>
  <c r="AE38" i="4"/>
  <c r="AA38" i="4"/>
  <c r="U38" i="4"/>
  <c r="O38" i="4"/>
  <c r="M38" i="4"/>
  <c r="V38" i="4" s="1"/>
  <c r="W38" i="4" s="1"/>
  <c r="L38" i="4"/>
  <c r="N38" i="4" s="1"/>
  <c r="P38" i="4" s="1"/>
  <c r="I38" i="4"/>
  <c r="G38" i="4"/>
  <c r="AF37" i="4"/>
  <c r="AE37" i="4"/>
  <c r="AA37" i="4"/>
  <c r="U37" i="4"/>
  <c r="O37" i="4"/>
  <c r="M37" i="4"/>
  <c r="N37" i="4" s="1"/>
  <c r="P37" i="4" s="1"/>
  <c r="L37" i="4"/>
  <c r="G37" i="4"/>
  <c r="I37" i="4" s="1"/>
  <c r="AF36" i="4"/>
  <c r="AE36" i="4"/>
  <c r="AA36" i="4"/>
  <c r="AB36" i="4" s="1"/>
  <c r="AC36" i="4" s="1"/>
  <c r="U36" i="4"/>
  <c r="O36" i="4"/>
  <c r="M36" i="4"/>
  <c r="L36" i="4"/>
  <c r="G36" i="4"/>
  <c r="I36" i="4" s="1"/>
  <c r="AF35" i="4"/>
  <c r="AE35" i="4"/>
  <c r="AA35" i="4"/>
  <c r="U35" i="4"/>
  <c r="O35" i="4"/>
  <c r="M35" i="4"/>
  <c r="L35" i="4"/>
  <c r="N35" i="4" s="1"/>
  <c r="P35" i="4" s="1"/>
  <c r="G35" i="4"/>
  <c r="I35" i="4" s="1"/>
  <c r="AF34" i="4"/>
  <c r="AE34" i="4"/>
  <c r="O34" i="4" s="1"/>
  <c r="AA34" i="4"/>
  <c r="AB34" i="4" s="1"/>
  <c r="AC34" i="4" s="1"/>
  <c r="U34" i="4"/>
  <c r="M34" i="4"/>
  <c r="L34" i="4"/>
  <c r="N34" i="4" s="1"/>
  <c r="P34" i="4" s="1"/>
  <c r="G34" i="4"/>
  <c r="I34" i="4" s="1"/>
  <c r="AF33" i="4"/>
  <c r="AE33" i="4"/>
  <c r="AA33" i="4"/>
  <c r="U33" i="4"/>
  <c r="V33" i="4" s="1"/>
  <c r="W33" i="4" s="1"/>
  <c r="O33" i="4"/>
  <c r="M33" i="4"/>
  <c r="L33" i="4"/>
  <c r="I33" i="4"/>
  <c r="G33" i="4"/>
  <c r="AF32" i="4"/>
  <c r="AE32" i="4"/>
  <c r="AA32" i="4"/>
  <c r="U32" i="4"/>
  <c r="O32" i="4"/>
  <c r="M32" i="4"/>
  <c r="L32" i="4"/>
  <c r="N32" i="4" s="1"/>
  <c r="P32" i="4" s="1"/>
  <c r="G32" i="4"/>
  <c r="I32" i="4" s="1"/>
  <c r="AF31" i="4"/>
  <c r="AE31" i="4"/>
  <c r="O31" i="4" s="1"/>
  <c r="AA31" i="4"/>
  <c r="AB31" i="4" s="1"/>
  <c r="AC31" i="4" s="1"/>
  <c r="U31" i="4"/>
  <c r="M31" i="4"/>
  <c r="L31" i="4"/>
  <c r="G31" i="4"/>
  <c r="I31" i="4" s="1"/>
  <c r="AF30" i="4"/>
  <c r="AE30" i="4"/>
  <c r="AA30" i="4"/>
  <c r="U30" i="4"/>
  <c r="O30" i="4"/>
  <c r="M30" i="4"/>
  <c r="L30" i="4"/>
  <c r="I30" i="4"/>
  <c r="G30" i="4"/>
  <c r="AF29" i="4"/>
  <c r="AE29" i="4"/>
  <c r="O29" i="4" s="1"/>
  <c r="AA29" i="4"/>
  <c r="U29" i="4"/>
  <c r="M29" i="4"/>
  <c r="N29" i="4" s="1"/>
  <c r="P29" i="4" s="1"/>
  <c r="L29" i="4"/>
  <c r="G29" i="4"/>
  <c r="I29" i="4" s="1"/>
  <c r="AF28" i="4"/>
  <c r="AE28" i="4"/>
  <c r="O28" i="4" s="1"/>
  <c r="AA28" i="4"/>
  <c r="U28" i="4"/>
  <c r="M28" i="4"/>
  <c r="L28" i="4"/>
  <c r="G28" i="4"/>
  <c r="I28" i="4" s="1"/>
  <c r="AF27" i="4"/>
  <c r="AE27" i="4"/>
  <c r="O27" i="4" s="1"/>
  <c r="AA27" i="4"/>
  <c r="U27" i="4"/>
  <c r="M27" i="4"/>
  <c r="L27" i="4"/>
  <c r="G27" i="4"/>
  <c r="I27" i="4" s="1"/>
  <c r="AF26" i="4"/>
  <c r="AE26" i="4"/>
  <c r="AA26" i="4"/>
  <c r="U26" i="4"/>
  <c r="O26" i="4"/>
  <c r="M26" i="4"/>
  <c r="L26" i="4"/>
  <c r="I26" i="4"/>
  <c r="G26" i="4"/>
  <c r="AF25" i="4"/>
  <c r="AE25" i="4"/>
  <c r="AA25" i="4"/>
  <c r="U25" i="4"/>
  <c r="O25" i="4"/>
  <c r="M25" i="4"/>
  <c r="L25" i="4"/>
  <c r="N25" i="4" s="1"/>
  <c r="P25" i="4" s="1"/>
  <c r="I25" i="4"/>
  <c r="G25" i="4"/>
  <c r="AF24" i="4"/>
  <c r="AE24" i="4"/>
  <c r="O24" i="4" s="1"/>
  <c r="AA24" i="4"/>
  <c r="U24" i="4"/>
  <c r="M24" i="4"/>
  <c r="L24" i="4"/>
  <c r="G24" i="4"/>
  <c r="I24" i="4" s="1"/>
  <c r="AF23" i="4"/>
  <c r="AE23" i="4"/>
  <c r="O23" i="4" s="1"/>
  <c r="AA23" i="4"/>
  <c r="U23" i="4"/>
  <c r="M23" i="4"/>
  <c r="L23" i="4"/>
  <c r="G23" i="4"/>
  <c r="I23" i="4" s="1"/>
  <c r="AF22" i="4"/>
  <c r="AE22" i="4"/>
  <c r="AA22" i="4"/>
  <c r="U22" i="4"/>
  <c r="O22" i="4"/>
  <c r="M22" i="4"/>
  <c r="L22" i="4"/>
  <c r="I22" i="4"/>
  <c r="G22" i="4"/>
  <c r="AF21" i="4"/>
  <c r="AE21" i="4"/>
  <c r="O21" i="4" s="1"/>
  <c r="AA21" i="4"/>
  <c r="U21" i="4"/>
  <c r="M21" i="4"/>
  <c r="L21" i="4"/>
  <c r="G21" i="4"/>
  <c r="I21" i="4" s="1"/>
  <c r="AF20" i="4"/>
  <c r="AE20" i="4"/>
  <c r="AA20" i="4"/>
  <c r="U20" i="4"/>
  <c r="O20" i="4"/>
  <c r="M20" i="4"/>
  <c r="L20" i="4"/>
  <c r="N20" i="4" s="1"/>
  <c r="P20" i="4" s="1"/>
  <c r="G20" i="4"/>
  <c r="I20" i="4" s="1"/>
  <c r="AF19" i="4"/>
  <c r="AE19" i="4"/>
  <c r="AA19" i="4"/>
  <c r="U19" i="4"/>
  <c r="O19" i="4"/>
  <c r="M19" i="4"/>
  <c r="L19" i="4"/>
  <c r="I19" i="4"/>
  <c r="G19" i="4"/>
  <c r="AF18" i="4"/>
  <c r="AE18" i="4"/>
  <c r="O18" i="4" s="1"/>
  <c r="AA18" i="4"/>
  <c r="U18" i="4"/>
  <c r="M18" i="4"/>
  <c r="L18" i="4"/>
  <c r="N18" i="4" s="1"/>
  <c r="P18" i="4" s="1"/>
  <c r="G18" i="4"/>
  <c r="I18" i="4" s="1"/>
  <c r="AF17" i="4"/>
  <c r="AE17" i="4"/>
  <c r="O17" i="4" s="1"/>
  <c r="AA17" i="4"/>
  <c r="U17" i="4"/>
  <c r="M17" i="4"/>
  <c r="L17" i="4"/>
  <c r="G17" i="4"/>
  <c r="I17" i="4" s="1"/>
  <c r="AF16" i="4"/>
  <c r="AE16" i="4"/>
  <c r="O16" i="4" s="1"/>
  <c r="AA16" i="4"/>
  <c r="U16" i="4"/>
  <c r="M16" i="4"/>
  <c r="L16" i="4"/>
  <c r="N16" i="4" s="1"/>
  <c r="P16" i="4" s="1"/>
  <c r="G16" i="4"/>
  <c r="I16" i="4" s="1"/>
  <c r="AF15" i="4"/>
  <c r="AE15" i="4"/>
  <c r="AA15" i="4"/>
  <c r="U15" i="4"/>
  <c r="O15" i="4"/>
  <c r="M15" i="4"/>
  <c r="L15" i="4"/>
  <c r="G15" i="4"/>
  <c r="I15" i="4" s="1"/>
  <c r="AF14" i="4"/>
  <c r="AE14" i="4"/>
  <c r="O14" i="4" s="1"/>
  <c r="AA14" i="4"/>
  <c r="U14" i="4"/>
  <c r="M14" i="4"/>
  <c r="L14" i="4"/>
  <c r="G14" i="4"/>
  <c r="I14" i="4" s="1"/>
  <c r="AF13" i="4"/>
  <c r="AE13" i="4"/>
  <c r="AA13" i="4"/>
  <c r="U13" i="4"/>
  <c r="O13" i="4"/>
  <c r="M13" i="4"/>
  <c r="AB13" i="4" s="1"/>
  <c r="AC13" i="4" s="1"/>
  <c r="L13" i="4"/>
  <c r="G13" i="4"/>
  <c r="I13" i="4" s="1"/>
  <c r="AF12" i="4"/>
  <c r="AE12" i="4"/>
  <c r="O12" i="4" s="1"/>
  <c r="AA12" i="4"/>
  <c r="U12" i="4"/>
  <c r="M12" i="4"/>
  <c r="L12" i="4"/>
  <c r="N12" i="4" s="1"/>
  <c r="P12" i="4" s="1"/>
  <c r="I12" i="4"/>
  <c r="G12" i="4"/>
  <c r="AF11" i="4"/>
  <c r="AE11" i="4"/>
  <c r="AA11" i="4"/>
  <c r="U11" i="4"/>
  <c r="V11" i="4" s="1"/>
  <c r="W11" i="4" s="1"/>
  <c r="O11" i="4"/>
  <c r="M11" i="4"/>
  <c r="L11" i="4"/>
  <c r="N11" i="4" s="1"/>
  <c r="P11" i="4" s="1"/>
  <c r="G11" i="4"/>
  <c r="I11" i="4" s="1"/>
  <c r="AF10" i="4"/>
  <c r="AE10" i="4"/>
  <c r="O10" i="4" s="1"/>
  <c r="AA10" i="4"/>
  <c r="AB10" i="4" s="1"/>
  <c r="AC10" i="4" s="1"/>
  <c r="U10" i="4"/>
  <c r="M10" i="4"/>
  <c r="L10" i="4"/>
  <c r="N10" i="4" s="1"/>
  <c r="P10" i="4" s="1"/>
  <c r="G10" i="4"/>
  <c r="I10" i="4" s="1"/>
  <c r="AF9" i="4"/>
  <c r="AE9" i="4"/>
  <c r="O9" i="4" s="1"/>
  <c r="AA9" i="4"/>
  <c r="AB9" i="4" s="1"/>
  <c r="AC9" i="4" s="1"/>
  <c r="U9" i="4"/>
  <c r="V9" i="4" s="1"/>
  <c r="W9" i="4" s="1"/>
  <c r="M9" i="4"/>
  <c r="L9" i="4"/>
  <c r="N9" i="4" s="1"/>
  <c r="P9" i="4" s="1"/>
  <c r="G9" i="4"/>
  <c r="I9" i="4" s="1"/>
  <c r="AF8" i="4"/>
  <c r="AE8" i="4"/>
  <c r="O8" i="4" s="1"/>
  <c r="AA8" i="4"/>
  <c r="U8" i="4"/>
  <c r="M8" i="4"/>
  <c r="L8" i="4"/>
  <c r="N8" i="4" s="1"/>
  <c r="P8" i="4" s="1"/>
  <c r="G8" i="4"/>
  <c r="I8" i="4" s="1"/>
  <c r="AF7" i="4"/>
  <c r="AE7" i="4"/>
  <c r="AA7" i="4"/>
  <c r="U7" i="4"/>
  <c r="V7" i="4" s="1"/>
  <c r="W7" i="4" s="1"/>
  <c r="O7" i="4"/>
  <c r="M7" i="4"/>
  <c r="L7" i="4"/>
  <c r="N7" i="4" s="1"/>
  <c r="P7" i="4" s="1"/>
  <c r="G7" i="4"/>
  <c r="I7" i="4" s="1"/>
  <c r="AF6" i="4"/>
  <c r="AE6" i="4"/>
  <c r="O6" i="4" s="1"/>
  <c r="AA6" i="4"/>
  <c r="U6" i="4"/>
  <c r="M6" i="4"/>
  <c r="L6" i="4"/>
  <c r="N6" i="4" s="1"/>
  <c r="P6" i="4" s="1"/>
  <c r="G6" i="4"/>
  <c r="I6" i="4" s="1"/>
  <c r="AF5" i="4"/>
  <c r="AE5" i="4"/>
  <c r="O5" i="4" s="1"/>
  <c r="AA5" i="4"/>
  <c r="U5" i="4"/>
  <c r="V5" i="4" s="1"/>
  <c r="W5" i="4" s="1"/>
  <c r="M5" i="4"/>
  <c r="L5" i="4"/>
  <c r="G5" i="4"/>
  <c r="I5" i="4" s="1"/>
  <c r="N23" i="4" l="1"/>
  <c r="P23" i="4" s="1"/>
  <c r="N120" i="4"/>
  <c r="P120" i="4" s="1"/>
  <c r="V155" i="4"/>
  <c r="W155" i="4" s="1"/>
  <c r="V23" i="4"/>
  <c r="W23" i="4" s="1"/>
  <c r="AB165" i="4"/>
  <c r="AC165" i="4" s="1"/>
  <c r="AB263" i="4"/>
  <c r="AC263" i="4" s="1"/>
  <c r="D36" i="10"/>
  <c r="E37" i="10" s="1"/>
  <c r="AB41" i="4"/>
  <c r="AC41" i="4" s="1"/>
  <c r="V51" i="4"/>
  <c r="W51" i="4" s="1"/>
  <c r="AG51" i="4" s="1"/>
  <c r="Q51" i="4" s="1"/>
  <c r="B42" i="5" s="1"/>
  <c r="AB74" i="4"/>
  <c r="AC74" i="4" s="1"/>
  <c r="AG74" i="4" s="1"/>
  <c r="Q74" i="4" s="1"/>
  <c r="V97" i="4"/>
  <c r="W97" i="4" s="1"/>
  <c r="AG97" i="4" s="1"/>
  <c r="Q97" i="4" s="1"/>
  <c r="AB139" i="4"/>
  <c r="AC139" i="4" s="1"/>
  <c r="V146" i="4"/>
  <c r="W146" i="4" s="1"/>
  <c r="N177" i="4"/>
  <c r="P177" i="4" s="1"/>
  <c r="AB188" i="4"/>
  <c r="AC188" i="4" s="1"/>
  <c r="N193" i="4"/>
  <c r="P193" i="4" s="1"/>
  <c r="V196" i="4"/>
  <c r="W196" i="4" s="1"/>
  <c r="AB201" i="4"/>
  <c r="AC201" i="4" s="1"/>
  <c r="V206" i="4"/>
  <c r="W206" i="4" s="1"/>
  <c r="AB209" i="4"/>
  <c r="AC209" i="4" s="1"/>
  <c r="V214" i="4"/>
  <c r="W214" i="4" s="1"/>
  <c r="AB219" i="4"/>
  <c r="AC219" i="4" s="1"/>
  <c r="V224" i="4"/>
  <c r="W224" i="4" s="1"/>
  <c r="AG224" i="4" s="1"/>
  <c r="Q224" i="4" s="1"/>
  <c r="AB244" i="4"/>
  <c r="AC244" i="4" s="1"/>
  <c r="V300" i="4"/>
  <c r="W300" i="4" s="1"/>
  <c r="AG300" i="4" s="1"/>
  <c r="Q300" i="4" s="1"/>
  <c r="A31" i="5"/>
  <c r="D55" i="5"/>
  <c r="A88" i="9"/>
  <c r="V46" i="4"/>
  <c r="W46" i="4" s="1"/>
  <c r="N84" i="4"/>
  <c r="P84" i="4" s="1"/>
  <c r="AB6" i="4"/>
  <c r="AC6" i="4" s="1"/>
  <c r="V274" i="4"/>
  <c r="W274" i="4" s="1"/>
  <c r="AB277" i="4"/>
  <c r="AC277" i="4" s="1"/>
  <c r="AB11" i="4"/>
  <c r="AC11" i="4" s="1"/>
  <c r="N15" i="4"/>
  <c r="P15" i="4" s="1"/>
  <c r="N22" i="4"/>
  <c r="P22" i="4" s="1"/>
  <c r="V25" i="4"/>
  <c r="W25" i="4" s="1"/>
  <c r="AG25" i="4" s="1"/>
  <c r="Q25" i="4" s="1"/>
  <c r="V32" i="4"/>
  <c r="W32" i="4" s="1"/>
  <c r="AG32" i="4" s="1"/>
  <c r="Q32" i="4" s="1"/>
  <c r="B23" i="5" s="1"/>
  <c r="AB35" i="4"/>
  <c r="AC35" i="4" s="1"/>
  <c r="N40" i="4"/>
  <c r="P40" i="4" s="1"/>
  <c r="AB51" i="4"/>
  <c r="AC51" i="4" s="1"/>
  <c r="V56" i="4"/>
  <c r="W56" i="4" s="1"/>
  <c r="V66" i="4"/>
  <c r="W66" i="4" s="1"/>
  <c r="AB79" i="4"/>
  <c r="AC79" i="4" s="1"/>
  <c r="N104" i="4"/>
  <c r="P104" i="4" s="1"/>
  <c r="V117" i="4"/>
  <c r="W117" i="4" s="1"/>
  <c r="N169" i="4"/>
  <c r="P169" i="4" s="1"/>
  <c r="AB175" i="4"/>
  <c r="AC175" i="4" s="1"/>
  <c r="AB180" i="4"/>
  <c r="AC180" i="4" s="1"/>
  <c r="N187" i="4"/>
  <c r="P187" i="4" s="1"/>
  <c r="N205" i="4"/>
  <c r="P205" i="4" s="1"/>
  <c r="AG205" i="4" s="1"/>
  <c r="Q205" i="4" s="1"/>
  <c r="AB214" i="4"/>
  <c r="AC214" i="4" s="1"/>
  <c r="AG214" i="4" s="1"/>
  <c r="Q214" i="4" s="1"/>
  <c r="AB229" i="4"/>
  <c r="AC229" i="4" s="1"/>
  <c r="AG229" i="4" s="1"/>
  <c r="Q229" i="4" s="1"/>
  <c r="AB273" i="4"/>
  <c r="AC273" i="4" s="1"/>
  <c r="AG273" i="4" s="1"/>
  <c r="Q273" i="4" s="1"/>
  <c r="V279" i="4"/>
  <c r="W279" i="4" s="1"/>
  <c r="AB300" i="4"/>
  <c r="AC300" i="4" s="1"/>
  <c r="A36" i="5"/>
  <c r="B56" i="5"/>
  <c r="A56" i="5" s="1"/>
  <c r="P28" i="6"/>
  <c r="A52" i="7"/>
  <c r="A45" i="8"/>
  <c r="V61" i="4"/>
  <c r="W61" i="4" s="1"/>
  <c r="V201" i="4"/>
  <c r="W201" i="4" s="1"/>
  <c r="V249" i="4"/>
  <c r="W249" i="4" s="1"/>
  <c r="AB268" i="4"/>
  <c r="AC268" i="4" s="1"/>
  <c r="AG268" i="4" s="1"/>
  <c r="Q268" i="4" s="1"/>
  <c r="AB8" i="4"/>
  <c r="AC8" i="4" s="1"/>
  <c r="AB20" i="4"/>
  <c r="AC20" i="4" s="1"/>
  <c r="AB25" i="4"/>
  <c r="AC25" i="4" s="1"/>
  <c r="AB32" i="4"/>
  <c r="AC32" i="4" s="1"/>
  <c r="AB38" i="4"/>
  <c r="AC38" i="4" s="1"/>
  <c r="AB43" i="4"/>
  <c r="AC43" i="4" s="1"/>
  <c r="V48" i="4"/>
  <c r="W48" i="4" s="1"/>
  <c r="AB56" i="4"/>
  <c r="AC56" i="4" s="1"/>
  <c r="AB107" i="4"/>
  <c r="AC107" i="4" s="1"/>
  <c r="AB254" i="4"/>
  <c r="AC254" i="4" s="1"/>
  <c r="AB270" i="4"/>
  <c r="AC270" i="4" s="1"/>
  <c r="D33" i="8"/>
  <c r="E34" i="8" s="1"/>
  <c r="A62" i="9"/>
  <c r="C62" i="9" s="1"/>
  <c r="N30" i="4"/>
  <c r="P30" i="4" s="1"/>
  <c r="AG30" i="4" s="1"/>
  <c r="Q30" i="4" s="1"/>
  <c r="B21" i="5" s="1"/>
  <c r="V165" i="4"/>
  <c r="W165" i="4" s="1"/>
  <c r="AB155" i="4"/>
  <c r="AC155" i="4" s="1"/>
  <c r="AG155" i="4" s="1"/>
  <c r="Q155" i="4" s="1"/>
  <c r="AB178" i="4"/>
  <c r="AC178" i="4" s="1"/>
  <c r="AG178" i="4" s="1"/>
  <c r="Q178" i="4" s="1"/>
  <c r="V277" i="4"/>
  <c r="W277" i="4" s="1"/>
  <c r="AG277" i="4" s="1"/>
  <c r="Q277" i="4" s="1"/>
  <c r="V295" i="4"/>
  <c r="W295" i="4" s="1"/>
  <c r="D54" i="5"/>
  <c r="AB89" i="4"/>
  <c r="AC89" i="4" s="1"/>
  <c r="AB120" i="4"/>
  <c r="AC120" i="4" s="1"/>
  <c r="AB24" i="4"/>
  <c r="AC24" i="4" s="1"/>
  <c r="V37" i="4"/>
  <c r="W37" i="4" s="1"/>
  <c r="AB48" i="4"/>
  <c r="AC48" i="4" s="1"/>
  <c r="V58" i="4"/>
  <c r="W58" i="4" s="1"/>
  <c r="AB71" i="4"/>
  <c r="AC71" i="4" s="1"/>
  <c r="AB76" i="4"/>
  <c r="AC76" i="4" s="1"/>
  <c r="N90" i="4"/>
  <c r="P90" i="4" s="1"/>
  <c r="AG90" i="4" s="1"/>
  <c r="Q90" i="4" s="1"/>
  <c r="N106" i="4"/>
  <c r="P106" i="4" s="1"/>
  <c r="AG106" i="4" s="1"/>
  <c r="Q106" i="4" s="1"/>
  <c r="V114" i="4"/>
  <c r="W114" i="4" s="1"/>
  <c r="AB117" i="4"/>
  <c r="AC117" i="4" s="1"/>
  <c r="AG117" i="4" s="1"/>
  <c r="Q117" i="4" s="1"/>
  <c r="AB122" i="4"/>
  <c r="AC122" i="4" s="1"/>
  <c r="AB128" i="4"/>
  <c r="AC128" i="4" s="1"/>
  <c r="AB146" i="4"/>
  <c r="AC146" i="4" s="1"/>
  <c r="AB154" i="4"/>
  <c r="AC154" i="4" s="1"/>
  <c r="V193" i="4"/>
  <c r="W193" i="4" s="1"/>
  <c r="AB203" i="4"/>
  <c r="AC203" i="4" s="1"/>
  <c r="N213" i="4"/>
  <c r="P213" i="4" s="1"/>
  <c r="V216" i="4"/>
  <c r="W216" i="4" s="1"/>
  <c r="AB218" i="4"/>
  <c r="AC218" i="4" s="1"/>
  <c r="V221" i="4"/>
  <c r="W221" i="4" s="1"/>
  <c r="AG221" i="4" s="1"/>
  <c r="Q221" i="4" s="1"/>
  <c r="N240" i="4"/>
  <c r="P240" i="4" s="1"/>
  <c r="AG240" i="4" s="1"/>
  <c r="Q240" i="4" s="1"/>
  <c r="N248" i="4"/>
  <c r="P248" i="4" s="1"/>
  <c r="V259" i="4"/>
  <c r="W259" i="4" s="1"/>
  <c r="N261" i="4"/>
  <c r="P261" i="4" s="1"/>
  <c r="AB281" i="4"/>
  <c r="AC281" i="4" s="1"/>
  <c r="AB284" i="4"/>
  <c r="AC284" i="4" s="1"/>
  <c r="AB289" i="4"/>
  <c r="AC289" i="4" s="1"/>
  <c r="AB291" i="4"/>
  <c r="AC291" i="4" s="1"/>
  <c r="A38" i="5"/>
  <c r="B58" i="5"/>
  <c r="A58" i="5" s="1"/>
  <c r="L12" i="6"/>
  <c r="A55" i="7"/>
  <c r="D37" i="9"/>
  <c r="V89" i="4"/>
  <c r="W89" i="4" s="1"/>
  <c r="AG89" i="4" s="1"/>
  <c r="Q89" i="4" s="1"/>
  <c r="C36" i="10"/>
  <c r="C32" i="11"/>
  <c r="AB105" i="4"/>
  <c r="AC105" i="4" s="1"/>
  <c r="V15" i="4"/>
  <c r="W15" i="4" s="1"/>
  <c r="N19" i="4"/>
  <c r="P19" i="4" s="1"/>
  <c r="V22" i="4"/>
  <c r="W22" i="4" s="1"/>
  <c r="AB27" i="4"/>
  <c r="AC27" i="4" s="1"/>
  <c r="N55" i="4"/>
  <c r="P55" i="4" s="1"/>
  <c r="AB65" i="4"/>
  <c r="AC65" i="4" s="1"/>
  <c r="V83" i="4"/>
  <c r="W83" i="4" s="1"/>
  <c r="AB94" i="4"/>
  <c r="AC94" i="4" s="1"/>
  <c r="V104" i="4"/>
  <c r="W104" i="4" s="1"/>
  <c r="AB114" i="4"/>
  <c r="AC114" i="4" s="1"/>
  <c r="N121" i="4"/>
  <c r="P121" i="4" s="1"/>
  <c r="N127" i="4"/>
  <c r="P127" i="4" s="1"/>
  <c r="AG127" i="4" s="1"/>
  <c r="Q127" i="4" s="1"/>
  <c r="AB135" i="4"/>
  <c r="AC135" i="4" s="1"/>
  <c r="AG135" i="4" s="1"/>
  <c r="Q135" i="4" s="1"/>
  <c r="N140" i="4"/>
  <c r="P140" i="4" s="1"/>
  <c r="N143" i="4"/>
  <c r="P143" i="4" s="1"/>
  <c r="AB193" i="4"/>
  <c r="AC193" i="4" s="1"/>
  <c r="N202" i="4"/>
  <c r="P202" i="4" s="1"/>
  <c r="V205" i="4"/>
  <c r="W205" i="4" s="1"/>
  <c r="V238" i="4"/>
  <c r="W238" i="4" s="1"/>
  <c r="AB251" i="4"/>
  <c r="AC251" i="4" s="1"/>
  <c r="V267" i="4"/>
  <c r="W267" i="4" s="1"/>
  <c r="N272" i="4"/>
  <c r="P272" i="4" s="1"/>
  <c r="V273" i="4"/>
  <c r="W273" i="4" s="1"/>
  <c r="N275" i="4"/>
  <c r="P275" i="4" s="1"/>
  <c r="AG275" i="4" s="1"/>
  <c r="Q275" i="4" s="1"/>
  <c r="V276" i="4"/>
  <c r="W276" i="4" s="1"/>
  <c r="AG276" i="4" s="1"/>
  <c r="Q276" i="4" s="1"/>
  <c r="V286" i="4"/>
  <c r="W286" i="4" s="1"/>
  <c r="N288" i="4"/>
  <c r="P288" i="4" s="1"/>
  <c r="V294" i="4"/>
  <c r="W294" i="4" s="1"/>
  <c r="V299" i="4"/>
  <c r="W299" i="4" s="1"/>
  <c r="A39" i="5"/>
  <c r="B62" i="5"/>
  <c r="A62" i="5" s="1"/>
  <c r="M12" i="6"/>
  <c r="M22" i="6"/>
  <c r="C26" i="11"/>
  <c r="F37" i="11"/>
  <c r="V173" i="4"/>
  <c r="W173" i="4" s="1"/>
  <c r="AB18" i="4"/>
  <c r="AC18" i="4" s="1"/>
  <c r="V244" i="4"/>
  <c r="W244" i="4" s="1"/>
  <c r="AG244" i="4" s="1"/>
  <c r="Q244" i="4" s="1"/>
  <c r="AG9" i="4"/>
  <c r="Q9" i="4" s="1"/>
  <c r="AB22" i="4"/>
  <c r="AC22" i="4" s="1"/>
  <c r="AG22" i="4" s="1"/>
  <c r="Q22" i="4" s="1"/>
  <c r="V34" i="4"/>
  <c r="W34" i="4" s="1"/>
  <c r="AG34" i="4" s="1"/>
  <c r="Q34" i="4" s="1"/>
  <c r="B25" i="5" s="1"/>
  <c r="N36" i="4"/>
  <c r="P36" i="4" s="1"/>
  <c r="AG36" i="4" s="1"/>
  <c r="Q36" i="4" s="1"/>
  <c r="B27" i="5" s="1"/>
  <c r="V53" i="4"/>
  <c r="W53" i="4" s="1"/>
  <c r="AB104" i="4"/>
  <c r="AC104" i="4" s="1"/>
  <c r="AB119" i="4"/>
  <c r="AC119" i="4" s="1"/>
  <c r="N145" i="4"/>
  <c r="P145" i="4" s="1"/>
  <c r="N163" i="4"/>
  <c r="P163" i="4" s="1"/>
  <c r="N181" i="4"/>
  <c r="P181" i="4" s="1"/>
  <c r="N184" i="4"/>
  <c r="P184" i="4" s="1"/>
  <c r="N207" i="4"/>
  <c r="P207" i="4" s="1"/>
  <c r="N215" i="4"/>
  <c r="P215" i="4" s="1"/>
  <c r="N230" i="4"/>
  <c r="P230" i="4" s="1"/>
  <c r="N235" i="4"/>
  <c r="P235" i="4" s="1"/>
  <c r="V243" i="4"/>
  <c r="W243" i="4" s="1"/>
  <c r="AG243" i="4" s="1"/>
  <c r="Q243" i="4" s="1"/>
  <c r="AB253" i="4"/>
  <c r="AC253" i="4" s="1"/>
  <c r="AB256" i="4"/>
  <c r="AC256" i="4" s="1"/>
  <c r="AB276" i="4"/>
  <c r="AC276" i="4" s="1"/>
  <c r="V278" i="4"/>
  <c r="W278" i="4" s="1"/>
  <c r="N283" i="4"/>
  <c r="P283" i="4" s="1"/>
  <c r="AB286" i="4"/>
  <c r="AC286" i="4" s="1"/>
  <c r="V291" i="4"/>
  <c r="W291" i="4" s="1"/>
  <c r="A22" i="5"/>
  <c r="A40" i="5"/>
  <c r="B63" i="5"/>
  <c r="A63" i="5" s="1"/>
  <c r="Q12" i="6"/>
  <c r="N16" i="6"/>
  <c r="P16" i="6" s="1"/>
  <c r="M19" i="6"/>
  <c r="B19" i="7"/>
  <c r="A65" i="7"/>
  <c r="C65" i="7" s="1"/>
  <c r="C35" i="8"/>
  <c r="A77" i="9"/>
  <c r="AJ77" i="9" s="1"/>
  <c r="N21" i="4"/>
  <c r="P21" i="4" s="1"/>
  <c r="AB52" i="4"/>
  <c r="AC52" i="4" s="1"/>
  <c r="AB158" i="4"/>
  <c r="AC158" i="4" s="1"/>
  <c r="AB243" i="4"/>
  <c r="AC243" i="4" s="1"/>
  <c r="P12" i="6"/>
  <c r="A29" i="7"/>
  <c r="F29" i="7" s="1"/>
  <c r="V142" i="4"/>
  <c r="W142" i="4" s="1"/>
  <c r="V178" i="4"/>
  <c r="W178" i="4" s="1"/>
  <c r="V134" i="4"/>
  <c r="W134" i="4" s="1"/>
  <c r="V188" i="4"/>
  <c r="W188" i="4" s="1"/>
  <c r="AG188" i="4" s="1"/>
  <c r="Q188" i="4" s="1"/>
  <c r="AB12" i="4"/>
  <c r="AC12" i="4" s="1"/>
  <c r="AG12" i="4" s="1"/>
  <c r="Q12" i="4" s="1"/>
  <c r="N64" i="4"/>
  <c r="P64" i="4" s="1"/>
  <c r="AG64" i="4" s="1"/>
  <c r="Q64" i="4" s="1"/>
  <c r="N67" i="4"/>
  <c r="P67" i="4" s="1"/>
  <c r="V127" i="4"/>
  <c r="W127" i="4" s="1"/>
  <c r="N132" i="4"/>
  <c r="P132" i="4" s="1"/>
  <c r="N147" i="4"/>
  <c r="P147" i="4" s="1"/>
  <c r="N227" i="4"/>
  <c r="P227" i="4" s="1"/>
  <c r="N237" i="4"/>
  <c r="P237" i="4" s="1"/>
  <c r="N247" i="4"/>
  <c r="P247" i="4" s="1"/>
  <c r="V250" i="4"/>
  <c r="W250" i="4" s="1"/>
  <c r="N255" i="4"/>
  <c r="P255" i="4" s="1"/>
  <c r="N285" i="4"/>
  <c r="P285" i="4" s="1"/>
  <c r="P13" i="6"/>
  <c r="A35" i="7"/>
  <c r="F35" i="7" s="1"/>
  <c r="V219" i="4"/>
  <c r="W219" i="4" s="1"/>
  <c r="AG219" i="4" s="1"/>
  <c r="Q219" i="4" s="1"/>
  <c r="N49" i="4"/>
  <c r="P49" i="4" s="1"/>
  <c r="AG49" i="4" s="1"/>
  <c r="Q49" i="4" s="1"/>
  <c r="V67" i="4"/>
  <c r="W67" i="4" s="1"/>
  <c r="V70" i="4"/>
  <c r="W70" i="4" s="1"/>
  <c r="V80" i="4"/>
  <c r="W80" i="4" s="1"/>
  <c r="N123" i="4"/>
  <c r="P123" i="4" s="1"/>
  <c r="AB137" i="4"/>
  <c r="AC137" i="4" s="1"/>
  <c r="N142" i="4"/>
  <c r="P142" i="4" s="1"/>
  <c r="N155" i="4"/>
  <c r="P155" i="4" s="1"/>
  <c r="N160" i="4"/>
  <c r="P160" i="4" s="1"/>
  <c r="V163" i="4"/>
  <c r="W163" i="4" s="1"/>
  <c r="N165" i="4"/>
  <c r="P165" i="4" s="1"/>
  <c r="V247" i="4"/>
  <c r="W247" i="4" s="1"/>
  <c r="N263" i="4"/>
  <c r="P263" i="4" s="1"/>
  <c r="AG263" i="4" s="1"/>
  <c r="Q263" i="4" s="1"/>
  <c r="V293" i="4"/>
  <c r="W293" i="4" s="1"/>
  <c r="AB298" i="4"/>
  <c r="AC298" i="4" s="1"/>
  <c r="P27" i="6"/>
  <c r="A48" i="8"/>
  <c r="AH48" i="8" s="1"/>
  <c r="AB28" i="4"/>
  <c r="AC28" i="4" s="1"/>
  <c r="V21" i="4"/>
  <c r="W21" i="4" s="1"/>
  <c r="V28" i="4"/>
  <c r="W28" i="4" s="1"/>
  <c r="N33" i="4"/>
  <c r="P33" i="4" s="1"/>
  <c r="AB45" i="4"/>
  <c r="AC45" i="4" s="1"/>
  <c r="N47" i="4"/>
  <c r="P47" i="4" s="1"/>
  <c r="N164" i="4"/>
  <c r="P164" i="4" s="1"/>
  <c r="AB194" i="4"/>
  <c r="AC194" i="4" s="1"/>
  <c r="AB15" i="4"/>
  <c r="AC15" i="4" s="1"/>
  <c r="V17" i="4"/>
  <c r="W17" i="4" s="1"/>
  <c r="AB21" i="4"/>
  <c r="AC21" i="4" s="1"/>
  <c r="V47" i="4"/>
  <c r="W47" i="4" s="1"/>
  <c r="V101" i="4"/>
  <c r="W101" i="4" s="1"/>
  <c r="AB191" i="4"/>
  <c r="AC191" i="4" s="1"/>
  <c r="AB247" i="4"/>
  <c r="AC247" i="4" s="1"/>
  <c r="F36" i="8"/>
  <c r="D36" i="8"/>
  <c r="N24" i="4"/>
  <c r="P24" i="4" s="1"/>
  <c r="V12" i="4"/>
  <c r="W12" i="4" s="1"/>
  <c r="AB17" i="4"/>
  <c r="AC17" i="4" s="1"/>
  <c r="V20" i="4"/>
  <c r="W20" i="4" s="1"/>
  <c r="AG20" i="4" s="1"/>
  <c r="Q20" i="4" s="1"/>
  <c r="V24" i="4"/>
  <c r="W24" i="4" s="1"/>
  <c r="AB37" i="4"/>
  <c r="AC37" i="4" s="1"/>
  <c r="AG37" i="4" s="1"/>
  <c r="Q37" i="4" s="1"/>
  <c r="B28" i="5" s="1"/>
  <c r="N46" i="4"/>
  <c r="P46" i="4" s="1"/>
  <c r="AG46" i="4" s="1"/>
  <c r="Q46" i="4" s="1"/>
  <c r="B37" i="5" s="1"/>
  <c r="AB47" i="4"/>
  <c r="AC47" i="4" s="1"/>
  <c r="V52" i="4"/>
  <c r="W52" i="4" s="1"/>
  <c r="AG52" i="4" s="1"/>
  <c r="Q52" i="4" s="1"/>
  <c r="B43" i="5" s="1"/>
  <c r="V55" i="4"/>
  <c r="W55" i="4" s="1"/>
  <c r="V69" i="4"/>
  <c r="W69" i="4" s="1"/>
  <c r="AG69" i="4" s="1"/>
  <c r="Q69" i="4" s="1"/>
  <c r="V226" i="4"/>
  <c r="W226" i="4" s="1"/>
  <c r="N226" i="4"/>
  <c r="P226" i="4" s="1"/>
  <c r="V280" i="4"/>
  <c r="W280" i="4" s="1"/>
  <c r="P30" i="6"/>
  <c r="N5" i="4"/>
  <c r="P5" i="4" s="1"/>
  <c r="V6" i="4"/>
  <c r="W6" i="4" s="1"/>
  <c r="AG6" i="4" s="1"/>
  <c r="Q6" i="4" s="1"/>
  <c r="AB7" i="4"/>
  <c r="AC7" i="4" s="1"/>
  <c r="AG7" i="4" s="1"/>
  <c r="Q7" i="4" s="1"/>
  <c r="V27" i="4"/>
  <c r="W27" i="4" s="1"/>
  <c r="AB33" i="4"/>
  <c r="AC33" i="4" s="1"/>
  <c r="V36" i="4"/>
  <c r="W36" i="4" s="1"/>
  <c r="V41" i="4"/>
  <c r="W41" i="4" s="1"/>
  <c r="V44" i="4"/>
  <c r="W44" i="4" s="1"/>
  <c r="V50" i="4"/>
  <c r="W50" i="4" s="1"/>
  <c r="N57" i="4"/>
  <c r="P57" i="4" s="1"/>
  <c r="N137" i="4"/>
  <c r="P137" i="4" s="1"/>
  <c r="AG181" i="4"/>
  <c r="Q181" i="4" s="1"/>
  <c r="AB44" i="4"/>
  <c r="AC44" i="4" s="1"/>
  <c r="B77" i="9"/>
  <c r="A51" i="11"/>
  <c r="AH51" i="11" s="1"/>
  <c r="G5" i="11"/>
  <c r="A67" i="11"/>
  <c r="C67" i="11" s="1"/>
  <c r="V14" i="4"/>
  <c r="W14" i="4" s="1"/>
  <c r="N59" i="4"/>
  <c r="P59" i="4" s="1"/>
  <c r="N62" i="4"/>
  <c r="P62" i="4" s="1"/>
  <c r="AB14" i="4"/>
  <c r="AC14" i="4" s="1"/>
  <c r="V29" i="4"/>
  <c r="W29" i="4" s="1"/>
  <c r="AB40" i="4"/>
  <c r="AC40" i="4" s="1"/>
  <c r="V57" i="4"/>
  <c r="W57" i="4" s="1"/>
  <c r="V84" i="4"/>
  <c r="W84" i="4" s="1"/>
  <c r="AB233" i="4"/>
  <c r="AC233" i="4" s="1"/>
  <c r="N233" i="4"/>
  <c r="P233" i="4" s="1"/>
  <c r="Q14" i="6"/>
  <c r="N14" i="6"/>
  <c r="P14" i="6" s="1"/>
  <c r="P21" i="6"/>
  <c r="B29" i="7"/>
  <c r="R29" i="7"/>
  <c r="S29" i="7" s="1"/>
  <c r="O29" i="7"/>
  <c r="D29" i="7"/>
  <c r="E29" i="7" s="1"/>
  <c r="AB5" i="4"/>
  <c r="AC5" i="4" s="1"/>
  <c r="AG5" i="4" s="1"/>
  <c r="Q5" i="4" s="1"/>
  <c r="V16" i="4"/>
  <c r="W16" i="4" s="1"/>
  <c r="V19" i="4"/>
  <c r="W19" i="4" s="1"/>
  <c r="N26" i="4"/>
  <c r="P26" i="4" s="1"/>
  <c r="AB29" i="4"/>
  <c r="AC29" i="4" s="1"/>
  <c r="N31" i="4"/>
  <c r="P31" i="4" s="1"/>
  <c r="AB54" i="4"/>
  <c r="AC54" i="4" s="1"/>
  <c r="AB57" i="4"/>
  <c r="AC57" i="4" s="1"/>
  <c r="N65" i="4"/>
  <c r="P65" i="4" s="1"/>
  <c r="AG65" i="4" s="1"/>
  <c r="Q65" i="4" s="1"/>
  <c r="N107" i="4"/>
  <c r="P107" i="4" s="1"/>
  <c r="AG107" i="4" s="1"/>
  <c r="Q107" i="4" s="1"/>
  <c r="V284" i="4"/>
  <c r="W284" i="4" s="1"/>
  <c r="R38" i="7"/>
  <c r="S38" i="7" s="1"/>
  <c r="Q38" i="7"/>
  <c r="O38" i="7"/>
  <c r="V10" i="4"/>
  <c r="W10" i="4" s="1"/>
  <c r="AB16" i="4"/>
  <c r="AC16" i="4" s="1"/>
  <c r="AB19" i="4"/>
  <c r="AC19" i="4" s="1"/>
  <c r="AB23" i="4"/>
  <c r="AC23" i="4" s="1"/>
  <c r="AG23" i="4" s="1"/>
  <c r="Q23" i="4" s="1"/>
  <c r="AB26" i="4"/>
  <c r="AC26" i="4" s="1"/>
  <c r="AG180" i="4"/>
  <c r="Q180" i="4" s="1"/>
  <c r="V233" i="4"/>
  <c r="W233" i="4" s="1"/>
  <c r="F32" i="8"/>
  <c r="D32" i="8"/>
  <c r="E33" i="8" s="1"/>
  <c r="F33" i="9"/>
  <c r="D33" i="9"/>
  <c r="C33" i="9"/>
  <c r="N280" i="4"/>
  <c r="P280" i="4" s="1"/>
  <c r="AB280" i="4"/>
  <c r="AC280" i="4" s="1"/>
  <c r="V8" i="4"/>
  <c r="W8" i="4" s="1"/>
  <c r="V18" i="4"/>
  <c r="W18" i="4" s="1"/>
  <c r="AG18" i="4" s="1"/>
  <c r="Q18" i="4" s="1"/>
  <c r="V26" i="4"/>
  <c r="W26" i="4" s="1"/>
  <c r="N28" i="4"/>
  <c r="P28" i="4" s="1"/>
  <c r="AG28" i="4" s="1"/>
  <c r="Q28" i="4" s="1"/>
  <c r="V31" i="4"/>
  <c r="W31" i="4" s="1"/>
  <c r="AB49" i="4"/>
  <c r="AC49" i="4" s="1"/>
  <c r="N56" i="4"/>
  <c r="P56" i="4" s="1"/>
  <c r="AG56" i="4" s="1"/>
  <c r="Q56" i="4" s="1"/>
  <c r="B8" i="5" s="1"/>
  <c r="V65" i="4"/>
  <c r="W65" i="4" s="1"/>
  <c r="V107" i="4"/>
  <c r="W107" i="4" s="1"/>
  <c r="V281" i="4"/>
  <c r="W281" i="4" s="1"/>
  <c r="F31" i="11"/>
  <c r="D31" i="11"/>
  <c r="C31" i="11"/>
  <c r="N73" i="4"/>
  <c r="P73" i="4" s="1"/>
  <c r="AB85" i="4"/>
  <c r="AC85" i="4" s="1"/>
  <c r="AB98" i="4"/>
  <c r="AC98" i="4" s="1"/>
  <c r="AB103" i="4"/>
  <c r="AC103" i="4" s="1"/>
  <c r="AB113" i="4"/>
  <c r="AC113" i="4" s="1"/>
  <c r="AG113" i="4" s="1"/>
  <c r="Q113" i="4" s="1"/>
  <c r="N118" i="4"/>
  <c r="P118" i="4" s="1"/>
  <c r="AG118" i="4" s="1"/>
  <c r="Q118" i="4" s="1"/>
  <c r="V122" i="4"/>
  <c r="W122" i="4" s="1"/>
  <c r="AG122" i="4" s="1"/>
  <c r="Q122" i="4" s="1"/>
  <c r="AB133" i="4"/>
  <c r="AC133" i="4" s="1"/>
  <c r="N139" i="4"/>
  <c r="P139" i="4" s="1"/>
  <c r="N148" i="4"/>
  <c r="P148" i="4" s="1"/>
  <c r="AB149" i="4"/>
  <c r="AC149" i="4" s="1"/>
  <c r="N196" i="4"/>
  <c r="P196" i="4" s="1"/>
  <c r="N206" i="4"/>
  <c r="P206" i="4" s="1"/>
  <c r="V223" i="4"/>
  <c r="W223" i="4" s="1"/>
  <c r="AB224" i="4"/>
  <c r="AC224" i="4" s="1"/>
  <c r="N234" i="4"/>
  <c r="P234" i="4" s="1"/>
  <c r="N251" i="4"/>
  <c r="P251" i="4" s="1"/>
  <c r="N262" i="4"/>
  <c r="P262" i="4" s="1"/>
  <c r="N265" i="4"/>
  <c r="P265" i="4" s="1"/>
  <c r="AG265" i="4" s="1"/>
  <c r="Q265" i="4" s="1"/>
  <c r="AB285" i="4"/>
  <c r="AC285" i="4" s="1"/>
  <c r="AG285" i="4" s="1"/>
  <c r="Q285" i="4" s="1"/>
  <c r="N294" i="4"/>
  <c r="P294" i="4" s="1"/>
  <c r="AG294" i="4" s="1"/>
  <c r="Q294" i="4" s="1"/>
  <c r="A46" i="8"/>
  <c r="AJ46" i="8" s="1"/>
  <c r="A52" i="8"/>
  <c r="F37" i="9"/>
  <c r="A48" i="9"/>
  <c r="A52" i="9"/>
  <c r="A66" i="9"/>
  <c r="F34" i="11"/>
  <c r="V59" i="4"/>
  <c r="W59" i="4" s="1"/>
  <c r="V63" i="4"/>
  <c r="W63" i="4" s="1"/>
  <c r="N70" i="4"/>
  <c r="P70" i="4" s="1"/>
  <c r="AB90" i="4"/>
  <c r="AC90" i="4" s="1"/>
  <c r="N112" i="4"/>
  <c r="P112" i="4" s="1"/>
  <c r="N129" i="4"/>
  <c r="P129" i="4" s="1"/>
  <c r="AG129" i="4" s="1"/>
  <c r="Q129" i="4" s="1"/>
  <c r="AB130" i="4"/>
  <c r="AC130" i="4" s="1"/>
  <c r="AG130" i="4" s="1"/>
  <c r="Q130" i="4" s="1"/>
  <c r="V135" i="4"/>
  <c r="W135" i="4" s="1"/>
  <c r="AB140" i="4"/>
  <c r="AC140" i="4" s="1"/>
  <c r="N154" i="4"/>
  <c r="P154" i="4" s="1"/>
  <c r="V175" i="4"/>
  <c r="W175" i="4" s="1"/>
  <c r="N195" i="4"/>
  <c r="P195" i="4" s="1"/>
  <c r="AG195" i="4" s="1"/>
  <c r="Q195" i="4" s="1"/>
  <c r="V209" i="4"/>
  <c r="W209" i="4" s="1"/>
  <c r="AG209" i="4" s="1"/>
  <c r="Q209" i="4" s="1"/>
  <c r="AB216" i="4"/>
  <c r="AC216" i="4" s="1"/>
  <c r="V237" i="4"/>
  <c r="W237" i="4" s="1"/>
  <c r="AG237" i="4" s="1"/>
  <c r="Q237" i="4" s="1"/>
  <c r="AB238" i="4"/>
  <c r="AC238" i="4" s="1"/>
  <c r="V240" i="4"/>
  <c r="W240" i="4" s="1"/>
  <c r="AB269" i="4"/>
  <c r="AC269" i="4" s="1"/>
  <c r="AG271" i="4"/>
  <c r="Q271" i="4" s="1"/>
  <c r="N287" i="4"/>
  <c r="P287" i="4" s="1"/>
  <c r="AG287" i="4" s="1"/>
  <c r="Q287" i="4" s="1"/>
  <c r="N290" i="4"/>
  <c r="P290" i="4" s="1"/>
  <c r="N293" i="4"/>
  <c r="P293" i="4" s="1"/>
  <c r="AG293" i="4" s="1"/>
  <c r="Q293" i="4" s="1"/>
  <c r="AB295" i="4"/>
  <c r="AC295" i="4" s="1"/>
  <c r="A32" i="5"/>
  <c r="A46" i="5"/>
  <c r="M15" i="6"/>
  <c r="P18" i="6"/>
  <c r="L25" i="6"/>
  <c r="C55" i="7"/>
  <c r="A66" i="7"/>
  <c r="A101" i="8"/>
  <c r="D26" i="11"/>
  <c r="E27" i="11" s="1"/>
  <c r="AB59" i="4"/>
  <c r="AC59" i="4" s="1"/>
  <c r="AB63" i="4"/>
  <c r="AC63" i="4" s="1"/>
  <c r="V73" i="4"/>
  <c r="W73" i="4" s="1"/>
  <c r="AB136" i="4"/>
  <c r="AC136" i="4" s="1"/>
  <c r="V139" i="4"/>
  <c r="W139" i="4" s="1"/>
  <c r="V148" i="4"/>
  <c r="W148" i="4" s="1"/>
  <c r="V171" i="4"/>
  <c r="W171" i="4" s="1"/>
  <c r="AG171" i="4" s="1"/>
  <c r="Q171" i="4" s="1"/>
  <c r="N174" i="4"/>
  <c r="P174" i="4" s="1"/>
  <c r="AG174" i="4" s="1"/>
  <c r="Q174" i="4" s="1"/>
  <c r="V179" i="4"/>
  <c r="W179" i="4" s="1"/>
  <c r="V187" i="4"/>
  <c r="W187" i="4" s="1"/>
  <c r="V230" i="4"/>
  <c r="W230" i="4" s="1"/>
  <c r="AB234" i="4"/>
  <c r="AC234" i="4" s="1"/>
  <c r="V251" i="4"/>
  <c r="W251" i="4" s="1"/>
  <c r="AG251" i="4" s="1"/>
  <c r="Q251" i="4" s="1"/>
  <c r="AB252" i="4"/>
  <c r="AC252" i="4" s="1"/>
  <c r="V254" i="4"/>
  <c r="W254" i="4" s="1"/>
  <c r="V265" i="4"/>
  <c r="W265" i="4" s="1"/>
  <c r="AB266" i="4"/>
  <c r="AC266" i="4" s="1"/>
  <c r="V268" i="4"/>
  <c r="W268" i="4" s="1"/>
  <c r="N279" i="4"/>
  <c r="P279" i="4" s="1"/>
  <c r="A33" i="5"/>
  <c r="A47" i="5"/>
  <c r="B60" i="5"/>
  <c r="M13" i="6"/>
  <c r="L20" i="6"/>
  <c r="M25" i="6"/>
  <c r="O55" i="7"/>
  <c r="A69" i="7"/>
  <c r="B69" i="7" s="1"/>
  <c r="A53" i="8"/>
  <c r="C53" i="8" s="1"/>
  <c r="AC53" i="8" s="1"/>
  <c r="AG53" i="8" s="1"/>
  <c r="V62" i="4"/>
  <c r="W62" i="4" s="1"/>
  <c r="AG62" i="4" s="1"/>
  <c r="Q62" i="4" s="1"/>
  <c r="AB73" i="4"/>
  <c r="AC73" i="4" s="1"/>
  <c r="N75" i="4"/>
  <c r="P75" i="4" s="1"/>
  <c r="AG75" i="4" s="1"/>
  <c r="Q75" i="4" s="1"/>
  <c r="N86" i="4"/>
  <c r="P86" i="4" s="1"/>
  <c r="V92" i="4"/>
  <c r="W92" i="4" s="1"/>
  <c r="AG92" i="4" s="1"/>
  <c r="Q92" i="4" s="1"/>
  <c r="AB93" i="4"/>
  <c r="AC93" i="4" s="1"/>
  <c r="N96" i="4"/>
  <c r="P96" i="4" s="1"/>
  <c r="N99" i="4"/>
  <c r="P99" i="4" s="1"/>
  <c r="V102" i="4"/>
  <c r="W102" i="4" s="1"/>
  <c r="V112" i="4"/>
  <c r="W112" i="4" s="1"/>
  <c r="N114" i="4"/>
  <c r="P114" i="4" s="1"/>
  <c r="AG114" i="4" s="1"/>
  <c r="Q114" i="4" s="1"/>
  <c r="V121" i="4"/>
  <c r="W121" i="4" s="1"/>
  <c r="V132" i="4"/>
  <c r="W132" i="4" s="1"/>
  <c r="AG132" i="4" s="1"/>
  <c r="Q132" i="4" s="1"/>
  <c r="V154" i="4"/>
  <c r="W154" i="4" s="1"/>
  <c r="AG154" i="4" s="1"/>
  <c r="Q154" i="4" s="1"/>
  <c r="V164" i="4"/>
  <c r="W164" i="4" s="1"/>
  <c r="N190" i="4"/>
  <c r="P190" i="4" s="1"/>
  <c r="AB196" i="4"/>
  <c r="AC196" i="4" s="1"/>
  <c r="AB202" i="4"/>
  <c r="AC202" i="4" s="1"/>
  <c r="N225" i="4"/>
  <c r="P225" i="4" s="1"/>
  <c r="AB226" i="4"/>
  <c r="AC226" i="4" s="1"/>
  <c r="AG226" i="4" s="1"/>
  <c r="Q226" i="4" s="1"/>
  <c r="AB230" i="4"/>
  <c r="AC230" i="4" s="1"/>
  <c r="AB232" i="4"/>
  <c r="AC232" i="4" s="1"/>
  <c r="AB248" i="4"/>
  <c r="AC248" i="4" s="1"/>
  <c r="V287" i="4"/>
  <c r="W287" i="4" s="1"/>
  <c r="N289" i="4"/>
  <c r="P289" i="4" s="1"/>
  <c r="AG289" i="4" s="1"/>
  <c r="Q289" i="4" s="1"/>
  <c r="N297" i="4"/>
  <c r="P297" i="4" s="1"/>
  <c r="A20" i="5"/>
  <c r="A34" i="5"/>
  <c r="B52" i="5"/>
  <c r="L11" i="6"/>
  <c r="L18" i="6"/>
  <c r="C33" i="8"/>
  <c r="K10" i="10"/>
  <c r="N58" i="4"/>
  <c r="P58" i="4" s="1"/>
  <c r="AG58" i="4" s="1"/>
  <c r="Q58" i="4" s="1"/>
  <c r="N61" i="4"/>
  <c r="P61" i="4" s="1"/>
  <c r="N72" i="4"/>
  <c r="P72" i="4" s="1"/>
  <c r="N83" i="4"/>
  <c r="P83" i="4" s="1"/>
  <c r="AB84" i="4"/>
  <c r="AC84" i="4" s="1"/>
  <c r="AB96" i="4"/>
  <c r="AC96" i="4" s="1"/>
  <c r="AB97" i="4"/>
  <c r="AC97" i="4" s="1"/>
  <c r="AB102" i="4"/>
  <c r="AC102" i="4" s="1"/>
  <c r="AG102" i="4" s="1"/>
  <c r="Q102" i="4" s="1"/>
  <c r="V105" i="4"/>
  <c r="W105" i="4" s="1"/>
  <c r="AB118" i="4"/>
  <c r="AC118" i="4" s="1"/>
  <c r="N134" i="4"/>
  <c r="P134" i="4" s="1"/>
  <c r="AB148" i="4"/>
  <c r="AC148" i="4" s="1"/>
  <c r="V159" i="4"/>
  <c r="W159" i="4" s="1"/>
  <c r="V160" i="4"/>
  <c r="W160" i="4" s="1"/>
  <c r="AB164" i="4"/>
  <c r="AC164" i="4" s="1"/>
  <c r="AB171" i="4"/>
  <c r="AC171" i="4" s="1"/>
  <c r="N186" i="4"/>
  <c r="P186" i="4" s="1"/>
  <c r="AG186" i="4" s="1"/>
  <c r="Q186" i="4" s="1"/>
  <c r="AB190" i="4"/>
  <c r="AC190" i="4" s="1"/>
  <c r="AG190" i="4" s="1"/>
  <c r="Q190" i="4" s="1"/>
  <c r="V195" i="4"/>
  <c r="W195" i="4" s="1"/>
  <c r="AB204" i="4"/>
  <c r="AC204" i="4" s="1"/>
  <c r="V208" i="4"/>
  <c r="W208" i="4" s="1"/>
  <c r="AB225" i="4"/>
  <c r="AC225" i="4" s="1"/>
  <c r="N264" i="4"/>
  <c r="P264" i="4" s="1"/>
  <c r="N286" i="4"/>
  <c r="P286" i="4" s="1"/>
  <c r="V297" i="4"/>
  <c r="W297" i="4" s="1"/>
  <c r="A21" i="5"/>
  <c r="A35" i="5"/>
  <c r="B61" i="5"/>
  <c r="A61" i="5" s="1"/>
  <c r="N11" i="6"/>
  <c r="P11" i="6" s="1"/>
  <c r="Q13" i="6"/>
  <c r="M18" i="6"/>
  <c r="M23" i="6"/>
  <c r="A30" i="7"/>
  <c r="B30" i="7" s="1"/>
  <c r="A41" i="7"/>
  <c r="A58" i="7"/>
  <c r="A49" i="9"/>
  <c r="A63" i="9"/>
  <c r="A73" i="9"/>
  <c r="B73" i="9" s="1"/>
  <c r="A132" i="9"/>
  <c r="C27" i="11"/>
  <c r="D37" i="11"/>
  <c r="N69" i="4"/>
  <c r="P69" i="4" s="1"/>
  <c r="N78" i="4"/>
  <c r="P78" i="4" s="1"/>
  <c r="AG78" i="4" s="1"/>
  <c r="Q78" i="4" s="1"/>
  <c r="N88" i="4"/>
  <c r="P88" i="4" s="1"/>
  <c r="AG88" i="4" s="1"/>
  <c r="Q88" i="4" s="1"/>
  <c r="N111" i="4"/>
  <c r="P111" i="4" s="1"/>
  <c r="AG111" i="4" s="1"/>
  <c r="Q111" i="4" s="1"/>
  <c r="AB112" i="4"/>
  <c r="AC112" i="4" s="1"/>
  <c r="AG112" i="4" s="1"/>
  <c r="Q112" i="4" s="1"/>
  <c r="AB121" i="4"/>
  <c r="AC121" i="4" s="1"/>
  <c r="N128" i="4"/>
  <c r="P128" i="4" s="1"/>
  <c r="AG128" i="4" s="1"/>
  <c r="Q128" i="4" s="1"/>
  <c r="AB129" i="4"/>
  <c r="AC129" i="4" s="1"/>
  <c r="N131" i="4"/>
  <c r="P131" i="4" s="1"/>
  <c r="V138" i="4"/>
  <c r="W138" i="4" s="1"/>
  <c r="N141" i="4"/>
  <c r="P141" i="4" s="1"/>
  <c r="N153" i="4"/>
  <c r="P153" i="4" s="1"/>
  <c r="AB160" i="4"/>
  <c r="AC160" i="4" s="1"/>
  <c r="N162" i="4"/>
  <c r="P162" i="4" s="1"/>
  <c r="AB192" i="4"/>
  <c r="AC192" i="4" s="1"/>
  <c r="N200" i="4"/>
  <c r="P200" i="4" s="1"/>
  <c r="AG200" i="4" s="1"/>
  <c r="Q200" i="4" s="1"/>
  <c r="N211" i="4"/>
  <c r="P211" i="4" s="1"/>
  <c r="AG211" i="4" s="1"/>
  <c r="Q211" i="4" s="1"/>
  <c r="AB215" i="4"/>
  <c r="AC215" i="4" s="1"/>
  <c r="AG215" i="4" s="1"/>
  <c r="Q215" i="4" s="1"/>
  <c r="N228" i="4"/>
  <c r="P228" i="4" s="1"/>
  <c r="AG228" i="4" s="1"/>
  <c r="Q228" i="4" s="1"/>
  <c r="V236" i="4"/>
  <c r="W236" i="4" s="1"/>
  <c r="N239" i="4"/>
  <c r="P239" i="4" s="1"/>
  <c r="AB246" i="4"/>
  <c r="AC246" i="4" s="1"/>
  <c r="N250" i="4"/>
  <c r="P250" i="4" s="1"/>
  <c r="V264" i="4"/>
  <c r="W264" i="4" s="1"/>
  <c r="AB294" i="4"/>
  <c r="AC294" i="4" s="1"/>
  <c r="L16" i="6"/>
  <c r="P23" i="6"/>
  <c r="A44" i="7"/>
  <c r="O44" i="7" s="1"/>
  <c r="A64" i="8"/>
  <c r="AJ64" i="8" s="1"/>
  <c r="A69" i="8"/>
  <c r="B69" i="8" s="1"/>
  <c r="C34" i="9"/>
  <c r="A139" i="9"/>
  <c r="AC139" i="9" s="1"/>
  <c r="AG139" i="9" s="1"/>
  <c r="N91" i="4"/>
  <c r="P91" i="4" s="1"/>
  <c r="N101" i="4"/>
  <c r="P101" i="4" s="1"/>
  <c r="V111" i="4"/>
  <c r="W111" i="4" s="1"/>
  <c r="AG150" i="4"/>
  <c r="Q150" i="4" s="1"/>
  <c r="AB162" i="4"/>
  <c r="AC162" i="4" s="1"/>
  <c r="AB183" i="4"/>
  <c r="AC183" i="4" s="1"/>
  <c r="AB211" i="4"/>
  <c r="AC211" i="4" s="1"/>
  <c r="AG249" i="4"/>
  <c r="Q249" i="4" s="1"/>
  <c r="N253" i="4"/>
  <c r="P253" i="4" s="1"/>
  <c r="N267" i="4"/>
  <c r="P267" i="4" s="1"/>
  <c r="AG267" i="4" s="1"/>
  <c r="Q267" i="4" s="1"/>
  <c r="N270" i="4"/>
  <c r="P270" i="4" s="1"/>
  <c r="AG270" i="4" s="1"/>
  <c r="Q270" i="4" s="1"/>
  <c r="V282" i="4"/>
  <c r="W282" i="4" s="1"/>
  <c r="AG282" i="4" s="1"/>
  <c r="Q282" i="4" s="1"/>
  <c r="N299" i="4"/>
  <c r="P299" i="4" s="1"/>
  <c r="AG299" i="4" s="1"/>
  <c r="Q299" i="4" s="1"/>
  <c r="M21" i="6"/>
  <c r="Q23" i="6"/>
  <c r="A33" i="7"/>
  <c r="M33" i="7" s="1"/>
  <c r="G5" i="9"/>
  <c r="D34" i="9"/>
  <c r="A45" i="9"/>
  <c r="A59" i="9"/>
  <c r="AJ59" i="9" s="1"/>
  <c r="A69" i="9"/>
  <c r="A61" i="7"/>
  <c r="A44" i="8"/>
  <c r="AH44" i="8" s="1"/>
  <c r="A60" i="8"/>
  <c r="B60" i="8" s="1"/>
  <c r="K10" i="9"/>
  <c r="E34" i="9"/>
  <c r="AB61" i="4"/>
  <c r="AC61" i="4" s="1"/>
  <c r="AG61" i="4" s="1"/>
  <c r="Q61" i="4" s="1"/>
  <c r="V78" i="4"/>
  <c r="W78" i="4" s="1"/>
  <c r="N85" i="4"/>
  <c r="P85" i="4" s="1"/>
  <c r="AG85" i="4" s="1"/>
  <c r="Q85" i="4" s="1"/>
  <c r="V88" i="4"/>
  <c r="W88" i="4" s="1"/>
  <c r="N103" i="4"/>
  <c r="P103" i="4" s="1"/>
  <c r="N119" i="4"/>
  <c r="P119" i="4" s="1"/>
  <c r="AG119" i="4" s="1"/>
  <c r="Q119" i="4" s="1"/>
  <c r="V128" i="4"/>
  <c r="W128" i="4" s="1"/>
  <c r="AB134" i="4"/>
  <c r="AC134" i="4" s="1"/>
  <c r="N146" i="4"/>
  <c r="P146" i="4" s="1"/>
  <c r="N149" i="4"/>
  <c r="P149" i="4" s="1"/>
  <c r="N152" i="4"/>
  <c r="P152" i="4" s="1"/>
  <c r="V162" i="4"/>
  <c r="W162" i="4" s="1"/>
  <c r="N182" i="4"/>
  <c r="P182" i="4" s="1"/>
  <c r="AG182" i="4" s="1"/>
  <c r="Q182" i="4" s="1"/>
  <c r="V183" i="4"/>
  <c r="W183" i="4" s="1"/>
  <c r="N197" i="4"/>
  <c r="P197" i="4" s="1"/>
  <c r="V200" i="4"/>
  <c r="W200" i="4" s="1"/>
  <c r="N203" i="4"/>
  <c r="P203" i="4" s="1"/>
  <c r="V211" i="4"/>
  <c r="W211" i="4" s="1"/>
  <c r="N224" i="4"/>
  <c r="P224" i="4" s="1"/>
  <c r="V228" i="4"/>
  <c r="W228" i="4" s="1"/>
  <c r="V239" i="4"/>
  <c r="W239" i="4" s="1"/>
  <c r="N256" i="4"/>
  <c r="P256" i="4" s="1"/>
  <c r="AG256" i="4" s="1"/>
  <c r="Q256" i="4" s="1"/>
  <c r="AB274" i="4"/>
  <c r="AC274" i="4" s="1"/>
  <c r="AG291" i="4"/>
  <c r="Q291" i="4" s="1"/>
  <c r="AG295" i="4"/>
  <c r="Q295" i="4" s="1"/>
  <c r="L14" i="6"/>
  <c r="L26" i="6"/>
  <c r="A51" i="7"/>
  <c r="O51" i="7" s="1"/>
  <c r="G5" i="8"/>
  <c r="C34" i="8"/>
  <c r="A65" i="8"/>
  <c r="A104" i="8"/>
  <c r="A55" i="9"/>
  <c r="F37" i="10"/>
  <c r="D28" i="11"/>
  <c r="E29" i="11" s="1"/>
  <c r="C33" i="11"/>
  <c r="AB176" i="4"/>
  <c r="AC176" i="4" s="1"/>
  <c r="AB197" i="4"/>
  <c r="AC197" i="4" s="1"/>
  <c r="V217" i="4"/>
  <c r="W217" i="4" s="1"/>
  <c r="V253" i="4"/>
  <c r="W253" i="4" s="1"/>
  <c r="AG253" i="4" s="1"/>
  <c r="Q253" i="4" s="1"/>
  <c r="V270" i="4"/>
  <c r="W270" i="4" s="1"/>
  <c r="F34" i="8"/>
  <c r="E28" i="11"/>
  <c r="D33" i="11"/>
  <c r="E34" i="11" s="1"/>
  <c r="V60" i="4"/>
  <c r="W60" i="4" s="1"/>
  <c r="AG60" i="4" s="1"/>
  <c r="Q60" i="4" s="1"/>
  <c r="V64" i="4"/>
  <c r="W64" i="4" s="1"/>
  <c r="N68" i="4"/>
  <c r="P68" i="4" s="1"/>
  <c r="AB69" i="4"/>
  <c r="AC69" i="4" s="1"/>
  <c r="N71" i="4"/>
  <c r="P71" i="4" s="1"/>
  <c r="AG71" i="4" s="1"/>
  <c r="Q71" i="4" s="1"/>
  <c r="V74" i="4"/>
  <c r="W74" i="4" s="1"/>
  <c r="AB82" i="4"/>
  <c r="AC82" i="4" s="1"/>
  <c r="AB88" i="4"/>
  <c r="AC88" i="4" s="1"/>
  <c r="AB111" i="4"/>
  <c r="AC111" i="4" s="1"/>
  <c r="AB131" i="4"/>
  <c r="AC131" i="4" s="1"/>
  <c r="AG136" i="4"/>
  <c r="Q136" i="4" s="1"/>
  <c r="V137" i="4"/>
  <c r="W137" i="4" s="1"/>
  <c r="AB144" i="4"/>
  <c r="AC144" i="4" s="1"/>
  <c r="AB153" i="4"/>
  <c r="AC153" i="4" s="1"/>
  <c r="AB156" i="4"/>
  <c r="AC156" i="4" s="1"/>
  <c r="N161" i="4"/>
  <c r="P161" i="4" s="1"/>
  <c r="AB169" i="4"/>
  <c r="AC169" i="4" s="1"/>
  <c r="V189" i="4"/>
  <c r="W189" i="4" s="1"/>
  <c r="V207" i="4"/>
  <c r="W207" i="4" s="1"/>
  <c r="AG207" i="4" s="1"/>
  <c r="Q207" i="4" s="1"/>
  <c r="N216" i="4"/>
  <c r="P216" i="4" s="1"/>
  <c r="N223" i="4"/>
  <c r="P223" i="4" s="1"/>
  <c r="N238" i="4"/>
  <c r="P238" i="4" s="1"/>
  <c r="AG238" i="4" s="1"/>
  <c r="Q238" i="4" s="1"/>
  <c r="V242" i="4"/>
  <c r="W242" i="4" s="1"/>
  <c r="AG242" i="4" s="1"/>
  <c r="Q242" i="4" s="1"/>
  <c r="AB257" i="4"/>
  <c r="AC257" i="4" s="1"/>
  <c r="AG257" i="4" s="1"/>
  <c r="Q257" i="4" s="1"/>
  <c r="AB282" i="4"/>
  <c r="AC282" i="4" s="1"/>
  <c r="AB288" i="4"/>
  <c r="AC288" i="4" s="1"/>
  <c r="V296" i="4"/>
  <c r="W296" i="4" s="1"/>
  <c r="AG296" i="4" s="1"/>
  <c r="Q296" i="4" s="1"/>
  <c r="B52" i="7"/>
  <c r="D33" i="10"/>
  <c r="AB68" i="4"/>
  <c r="AC68" i="4" s="1"/>
  <c r="N77" i="4"/>
  <c r="P77" i="4" s="1"/>
  <c r="N87" i="4"/>
  <c r="P87" i="4" s="1"/>
  <c r="AB110" i="4"/>
  <c r="AC110" i="4" s="1"/>
  <c r="V119" i="4"/>
  <c r="W119" i="4" s="1"/>
  <c r="AB141" i="4"/>
  <c r="AC141" i="4" s="1"/>
  <c r="AB173" i="4"/>
  <c r="AC173" i="4" s="1"/>
  <c r="AG173" i="4" s="1"/>
  <c r="Q173" i="4" s="1"/>
  <c r="V197" i="4"/>
  <c r="W197" i="4" s="1"/>
  <c r="V203" i="4"/>
  <c r="W203" i="4" s="1"/>
  <c r="V231" i="4"/>
  <c r="W231" i="4" s="1"/>
  <c r="V235" i="4"/>
  <c r="W235" i="4" s="1"/>
  <c r="N252" i="4"/>
  <c r="P252" i="4" s="1"/>
  <c r="AG252" i="4" s="1"/>
  <c r="Q252" i="4" s="1"/>
  <c r="V256" i="4"/>
  <c r="W256" i="4" s="1"/>
  <c r="V263" i="4"/>
  <c r="W263" i="4" s="1"/>
  <c r="N266" i="4"/>
  <c r="P266" i="4" s="1"/>
  <c r="N269" i="4"/>
  <c r="P269" i="4" s="1"/>
  <c r="N281" i="4"/>
  <c r="P281" i="4" s="1"/>
  <c r="N284" i="4"/>
  <c r="P284" i="4" s="1"/>
  <c r="A115" i="9"/>
  <c r="E34" i="10"/>
  <c r="C29" i="11"/>
  <c r="C34" i="11"/>
  <c r="AG16" i="4"/>
  <c r="Q16" i="4" s="1"/>
  <c r="AG44" i="4"/>
  <c r="Q44" i="4" s="1"/>
  <c r="AG50" i="4"/>
  <c r="Q50" i="4" s="1"/>
  <c r="B41" i="5" s="1"/>
  <c r="AG79" i="4"/>
  <c r="Q79" i="4" s="1"/>
  <c r="AG80" i="4"/>
  <c r="Q80" i="4" s="1"/>
  <c r="AG137" i="4"/>
  <c r="Q137" i="4" s="1"/>
  <c r="N13" i="4"/>
  <c r="P13" i="4" s="1"/>
  <c r="AG29" i="4"/>
  <c r="Q29" i="4" s="1"/>
  <c r="V35" i="4"/>
  <c r="W35" i="4" s="1"/>
  <c r="V45" i="4"/>
  <c r="W45" i="4" s="1"/>
  <c r="AB58" i="4"/>
  <c r="AC58" i="4" s="1"/>
  <c r="AG108" i="4"/>
  <c r="Q108" i="4" s="1"/>
  <c r="V115" i="4"/>
  <c r="W115" i="4" s="1"/>
  <c r="V120" i="4"/>
  <c r="W120" i="4" s="1"/>
  <c r="AG120" i="4" s="1"/>
  <c r="Q120" i="4" s="1"/>
  <c r="AG124" i="4"/>
  <c r="Q124" i="4" s="1"/>
  <c r="V144" i="4"/>
  <c r="W144" i="4" s="1"/>
  <c r="AG156" i="4"/>
  <c r="Q156" i="4" s="1"/>
  <c r="AG193" i="4"/>
  <c r="Q193" i="4" s="1"/>
  <c r="AB231" i="4"/>
  <c r="AC231" i="4" s="1"/>
  <c r="N231" i="4"/>
  <c r="P231" i="4" s="1"/>
  <c r="N278" i="4"/>
  <c r="P278" i="4" s="1"/>
  <c r="AB125" i="4"/>
  <c r="AC125" i="4" s="1"/>
  <c r="V125" i="4"/>
  <c r="W125" i="4" s="1"/>
  <c r="N125" i="4"/>
  <c r="P125" i="4" s="1"/>
  <c r="AG125" i="4" s="1"/>
  <c r="Q125" i="4" s="1"/>
  <c r="V13" i="4"/>
  <c r="W13" i="4" s="1"/>
  <c r="V87" i="4"/>
  <c r="W87" i="4" s="1"/>
  <c r="V143" i="4"/>
  <c r="W143" i="4" s="1"/>
  <c r="AG143" i="4" s="1"/>
  <c r="Q143" i="4" s="1"/>
  <c r="AG93" i="4"/>
  <c r="Q93" i="4" s="1"/>
  <c r="V109" i="4"/>
  <c r="W109" i="4" s="1"/>
  <c r="N109" i="4"/>
  <c r="P109" i="4" s="1"/>
  <c r="V30" i="4"/>
  <c r="W30" i="4" s="1"/>
  <c r="V82" i="4"/>
  <c r="W82" i="4" s="1"/>
  <c r="AB87" i="4"/>
  <c r="AC87" i="4" s="1"/>
  <c r="N95" i="4"/>
  <c r="P95" i="4" s="1"/>
  <c r="AG95" i="4" s="1"/>
  <c r="Q95" i="4" s="1"/>
  <c r="AB138" i="4"/>
  <c r="AC138" i="4" s="1"/>
  <c r="AB143" i="4"/>
  <c r="AC143" i="4" s="1"/>
  <c r="V151" i="4"/>
  <c r="W151" i="4" s="1"/>
  <c r="AG151" i="4" s="1"/>
  <c r="Q151" i="4" s="1"/>
  <c r="AG167" i="4"/>
  <c r="Q167" i="4" s="1"/>
  <c r="AG196" i="4"/>
  <c r="Q196" i="4" s="1"/>
  <c r="N222" i="4"/>
  <c r="P222" i="4" s="1"/>
  <c r="AB245" i="4"/>
  <c r="AC245" i="4" s="1"/>
  <c r="N245" i="4"/>
  <c r="P245" i="4" s="1"/>
  <c r="Q28" i="6"/>
  <c r="R51" i="7"/>
  <c r="S51" i="7" s="1"/>
  <c r="D51" i="7"/>
  <c r="E51" i="7" s="1"/>
  <c r="Q51" i="7"/>
  <c r="F51" i="7"/>
  <c r="M66" i="7"/>
  <c r="F66" i="7"/>
  <c r="R66" i="7"/>
  <c r="S66" i="7" s="1"/>
  <c r="Q66" i="7"/>
  <c r="O66" i="7"/>
  <c r="D66" i="7"/>
  <c r="E66" i="7" s="1"/>
  <c r="C66" i="7"/>
  <c r="B66" i="7"/>
  <c r="N208" i="4"/>
  <c r="P208" i="4" s="1"/>
  <c r="AG48" i="4"/>
  <c r="Q48" i="4" s="1"/>
  <c r="B39" i="5" s="1"/>
  <c r="AG70" i="4"/>
  <c r="Q70" i="4" s="1"/>
  <c r="V72" i="4"/>
  <c r="W72" i="4" s="1"/>
  <c r="AG105" i="4"/>
  <c r="Q105" i="4" s="1"/>
  <c r="AG121" i="4"/>
  <c r="Q121" i="4" s="1"/>
  <c r="AG149" i="4"/>
  <c r="Q149" i="4" s="1"/>
  <c r="N168" i="4"/>
  <c r="P168" i="4" s="1"/>
  <c r="AB168" i="4"/>
  <c r="AC168" i="4" s="1"/>
  <c r="V168" i="4"/>
  <c r="W168" i="4" s="1"/>
  <c r="AG202" i="4"/>
  <c r="Q202" i="4" s="1"/>
  <c r="AG94" i="4"/>
  <c r="Q94" i="4" s="1"/>
  <c r="AG123" i="4"/>
  <c r="Q123" i="4" s="1"/>
  <c r="AG53" i="4"/>
  <c r="Q53" i="4" s="1"/>
  <c r="B44" i="5" s="1"/>
  <c r="N81" i="4"/>
  <c r="P81" i="4" s="1"/>
  <c r="V110" i="4"/>
  <c r="W110" i="4" s="1"/>
  <c r="AG110" i="4" s="1"/>
  <c r="Q110" i="4" s="1"/>
  <c r="AB161" i="4"/>
  <c r="AC161" i="4" s="1"/>
  <c r="N17" i="4"/>
  <c r="P17" i="4" s="1"/>
  <c r="N27" i="4"/>
  <c r="P27" i="4" s="1"/>
  <c r="AG27" i="4" s="1"/>
  <c r="Q27" i="4" s="1"/>
  <c r="AB30" i="4"/>
  <c r="AC30" i="4" s="1"/>
  <c r="AG38" i="4"/>
  <c r="Q38" i="4" s="1"/>
  <c r="AB67" i="4"/>
  <c r="AC67" i="4" s="1"/>
  <c r="AB72" i="4"/>
  <c r="AC72" i="4" s="1"/>
  <c r="V77" i="4"/>
  <c r="W77" i="4" s="1"/>
  <c r="AG77" i="4" s="1"/>
  <c r="Q77" i="4" s="1"/>
  <c r="V96" i="4"/>
  <c r="W96" i="4" s="1"/>
  <c r="AG99" i="4"/>
  <c r="Q99" i="4" s="1"/>
  <c r="AB101" i="4"/>
  <c r="AC101" i="4" s="1"/>
  <c r="AG101" i="4" s="1"/>
  <c r="Q101" i="4" s="1"/>
  <c r="AG104" i="4"/>
  <c r="Q104" i="4" s="1"/>
  <c r="AB145" i="4"/>
  <c r="AC145" i="4" s="1"/>
  <c r="V145" i="4"/>
  <c r="W145" i="4" s="1"/>
  <c r="AG159" i="4"/>
  <c r="Q159" i="4" s="1"/>
  <c r="AG39" i="4"/>
  <c r="Q39" i="4" s="1"/>
  <c r="B30" i="5" s="1"/>
  <c r="N41" i="4"/>
  <c r="P41" i="4" s="1"/>
  <c r="AG41" i="4" s="1"/>
  <c r="Q41" i="4" s="1"/>
  <c r="AG84" i="4"/>
  <c r="Q84" i="4" s="1"/>
  <c r="V86" i="4"/>
  <c r="W86" i="4" s="1"/>
  <c r="AG86" i="4" s="1"/>
  <c r="Q86" i="4" s="1"/>
  <c r="AB109" i="4"/>
  <c r="AC109" i="4" s="1"/>
  <c r="AG153" i="4"/>
  <c r="Q153" i="4" s="1"/>
  <c r="AG179" i="4"/>
  <c r="Q179" i="4" s="1"/>
  <c r="N185" i="4"/>
  <c r="P185" i="4" s="1"/>
  <c r="V245" i="4"/>
  <c r="W245" i="4" s="1"/>
  <c r="AG245" i="4" s="1"/>
  <c r="Q245" i="4" s="1"/>
  <c r="Q26" i="6"/>
  <c r="N26" i="6"/>
  <c r="P26" i="6" s="1"/>
  <c r="AG43" i="4"/>
  <c r="Q43" i="4" s="1"/>
  <c r="AG142" i="4"/>
  <c r="Q142" i="4" s="1"/>
  <c r="V68" i="4"/>
  <c r="W68" i="4" s="1"/>
  <c r="AG68" i="4" s="1"/>
  <c r="Q68" i="4" s="1"/>
  <c r="AG76" i="4"/>
  <c r="Q76" i="4" s="1"/>
  <c r="AG10" i="4"/>
  <c r="Q10" i="4" s="1"/>
  <c r="AG15" i="4"/>
  <c r="Q15" i="4" s="1"/>
  <c r="V42" i="4"/>
  <c r="W42" i="4" s="1"/>
  <c r="V49" i="4"/>
  <c r="W49" i="4" s="1"/>
  <c r="AB55" i="4"/>
  <c r="AC55" i="4" s="1"/>
  <c r="AG55" i="4" s="1"/>
  <c r="Q55" i="4" s="1"/>
  <c r="AB77" i="4"/>
  <c r="AC77" i="4" s="1"/>
  <c r="AB81" i="4"/>
  <c r="AC81" i="4" s="1"/>
  <c r="AB86" i="4"/>
  <c r="AC86" i="4" s="1"/>
  <c r="V91" i="4"/>
  <c r="W91" i="4" s="1"/>
  <c r="AG175" i="4"/>
  <c r="Q175" i="4" s="1"/>
  <c r="AB217" i="4"/>
  <c r="AC217" i="4" s="1"/>
  <c r="N217" i="4"/>
  <c r="P217" i="4" s="1"/>
  <c r="AG217" i="4" s="1"/>
  <c r="Q217" i="4" s="1"/>
  <c r="AG11" i="4"/>
  <c r="Q11" i="4" s="1"/>
  <c r="V54" i="4"/>
  <c r="W54" i="4" s="1"/>
  <c r="AG98" i="4"/>
  <c r="Q98" i="4" s="1"/>
  <c r="V100" i="4"/>
  <c r="W100" i="4" s="1"/>
  <c r="N115" i="4"/>
  <c r="P115" i="4" s="1"/>
  <c r="AG115" i="4" s="1"/>
  <c r="Q115" i="4" s="1"/>
  <c r="N236" i="4"/>
  <c r="P236" i="4" s="1"/>
  <c r="AG239" i="4"/>
  <c r="Q239" i="4" s="1"/>
  <c r="AB259" i="4"/>
  <c r="AC259" i="4" s="1"/>
  <c r="N259" i="4"/>
  <c r="P259" i="4" s="1"/>
  <c r="D33" i="7"/>
  <c r="E33" i="7" s="1"/>
  <c r="Q33" i="7"/>
  <c r="C33" i="7"/>
  <c r="P33" i="7" s="1"/>
  <c r="O33" i="7"/>
  <c r="N82" i="4"/>
  <c r="P82" i="4" s="1"/>
  <c r="N45" i="4"/>
  <c r="P45" i="4" s="1"/>
  <c r="AG66" i="4"/>
  <c r="Q66" i="4" s="1"/>
  <c r="AG83" i="4"/>
  <c r="Q83" i="4" s="1"/>
  <c r="AB91" i="4"/>
  <c r="AC91" i="4" s="1"/>
  <c r="AB100" i="4"/>
  <c r="AC100" i="4" s="1"/>
  <c r="AG152" i="4"/>
  <c r="Q152" i="4" s="1"/>
  <c r="AB166" i="4"/>
  <c r="AC166" i="4" s="1"/>
  <c r="V166" i="4"/>
  <c r="W166" i="4" s="1"/>
  <c r="AG166" i="4" s="1"/>
  <c r="Q166" i="4" s="1"/>
  <c r="V170" i="4"/>
  <c r="W170" i="4" s="1"/>
  <c r="N170" i="4"/>
  <c r="P170" i="4" s="1"/>
  <c r="V198" i="4"/>
  <c r="W198" i="4" s="1"/>
  <c r="N198" i="4"/>
  <c r="P198" i="4" s="1"/>
  <c r="N138" i="4"/>
  <c r="P138" i="4" s="1"/>
  <c r="AG138" i="4" s="1"/>
  <c r="Q138" i="4" s="1"/>
  <c r="N14" i="4"/>
  <c r="P14" i="4" s="1"/>
  <c r="AB42" i="4"/>
  <c r="AC42" i="4" s="1"/>
  <c r="AB126" i="4"/>
  <c r="AC126" i="4" s="1"/>
  <c r="V126" i="4"/>
  <c r="W126" i="4" s="1"/>
  <c r="AG165" i="4"/>
  <c r="Q165" i="4" s="1"/>
  <c r="AG189" i="4"/>
  <c r="Q189" i="4" s="1"/>
  <c r="AG258" i="4"/>
  <c r="Q258" i="4" s="1"/>
  <c r="N144" i="4"/>
  <c r="P144" i="4" s="1"/>
  <c r="N158" i="4"/>
  <c r="P158" i="4" s="1"/>
  <c r="AG163" i="4"/>
  <c r="Q163" i="4" s="1"/>
  <c r="AB212" i="4"/>
  <c r="AC212" i="4" s="1"/>
  <c r="R37" i="7"/>
  <c r="S37" i="7" s="1"/>
  <c r="D37" i="7"/>
  <c r="E37" i="7" s="1"/>
  <c r="Q37" i="7"/>
  <c r="C37" i="7"/>
  <c r="B37" i="7"/>
  <c r="M37" i="7"/>
  <c r="O37" i="7"/>
  <c r="F37" i="7"/>
  <c r="N116" i="4"/>
  <c r="P116" i="4" s="1"/>
  <c r="AG116" i="4" s="1"/>
  <c r="Q116" i="4" s="1"/>
  <c r="N183" i="4"/>
  <c r="P183" i="4" s="1"/>
  <c r="AB292" i="4"/>
  <c r="AC292" i="4" s="1"/>
  <c r="AG292" i="4" s="1"/>
  <c r="Q292" i="4" s="1"/>
  <c r="P17" i="6"/>
  <c r="AG140" i="4"/>
  <c r="Q140" i="4" s="1"/>
  <c r="V158" i="4"/>
  <c r="W158" i="4" s="1"/>
  <c r="V169" i="4"/>
  <c r="W169" i="4" s="1"/>
  <c r="AG169" i="4" s="1"/>
  <c r="Q169" i="4" s="1"/>
  <c r="AB170" i="4"/>
  <c r="AC170" i="4" s="1"/>
  <c r="AG177" i="4"/>
  <c r="Q177" i="4" s="1"/>
  <c r="V199" i="4"/>
  <c r="W199" i="4" s="1"/>
  <c r="AG261" i="4"/>
  <c r="Q261" i="4" s="1"/>
  <c r="AB278" i="4"/>
  <c r="AC278" i="4" s="1"/>
  <c r="AG278" i="4" s="1"/>
  <c r="Q278" i="4" s="1"/>
  <c r="B22" i="7"/>
  <c r="N10" i="6"/>
  <c r="P10" i="6" s="1"/>
  <c r="C44" i="6"/>
  <c r="B46" i="8"/>
  <c r="C46" i="8"/>
  <c r="AC46" i="8" s="1"/>
  <c r="AG46" i="8" s="1"/>
  <c r="AI46" i="8"/>
  <c r="V161" i="4"/>
  <c r="W161" i="4" s="1"/>
  <c r="AG161" i="4" s="1"/>
  <c r="Q161" i="4" s="1"/>
  <c r="V185" i="4"/>
  <c r="W185" i="4" s="1"/>
  <c r="AG191" i="4"/>
  <c r="Q191" i="4" s="1"/>
  <c r="AB208" i="4"/>
  <c r="AC208" i="4" s="1"/>
  <c r="AG212" i="4"/>
  <c r="Q212" i="4" s="1"/>
  <c r="AG254" i="4"/>
  <c r="Q254" i="4" s="1"/>
  <c r="AB264" i="4"/>
  <c r="AC264" i="4" s="1"/>
  <c r="AG264" i="4" s="1"/>
  <c r="Q264" i="4" s="1"/>
  <c r="AB297" i="4"/>
  <c r="AC297" i="4" s="1"/>
  <c r="V133" i="4"/>
  <c r="W133" i="4" s="1"/>
  <c r="AB157" i="4"/>
  <c r="AC157" i="4" s="1"/>
  <c r="AG157" i="4" s="1"/>
  <c r="Q157" i="4" s="1"/>
  <c r="N176" i="4"/>
  <c r="P176" i="4" s="1"/>
  <c r="AB199" i="4"/>
  <c r="AC199" i="4" s="1"/>
  <c r="N204" i="4"/>
  <c r="P204" i="4" s="1"/>
  <c r="AB222" i="4"/>
  <c r="AC222" i="4" s="1"/>
  <c r="AB236" i="4"/>
  <c r="AC236" i="4" s="1"/>
  <c r="AG236" i="4" s="1"/>
  <c r="Q236" i="4" s="1"/>
  <c r="AB250" i="4"/>
  <c r="AC250" i="4" s="1"/>
  <c r="O63" i="7"/>
  <c r="M63" i="7"/>
  <c r="F63" i="7"/>
  <c r="D63" i="7"/>
  <c r="E63" i="7" s="1"/>
  <c r="C63" i="7"/>
  <c r="B63" i="7"/>
  <c r="R63" i="7"/>
  <c r="S63" i="7" s="1"/>
  <c r="C30" i="7"/>
  <c r="O30" i="7"/>
  <c r="M30" i="7"/>
  <c r="F47" i="7"/>
  <c r="R47" i="7"/>
  <c r="S47" i="7" s="1"/>
  <c r="D47" i="7"/>
  <c r="E47" i="7" s="1"/>
  <c r="Q47" i="7"/>
  <c r="C47" i="7"/>
  <c r="B47" i="7"/>
  <c r="O47" i="7"/>
  <c r="M47" i="7"/>
  <c r="AG172" i="4"/>
  <c r="Q172" i="4" s="1"/>
  <c r="AB185" i="4"/>
  <c r="AC185" i="4" s="1"/>
  <c r="AG192" i="4"/>
  <c r="Q192" i="4" s="1"/>
  <c r="AG280" i="4"/>
  <c r="Q280" i="4" s="1"/>
  <c r="M41" i="7"/>
  <c r="F41" i="7"/>
  <c r="R41" i="7"/>
  <c r="S41" i="7" s="1"/>
  <c r="D41" i="7"/>
  <c r="E41" i="7" s="1"/>
  <c r="Q41" i="7"/>
  <c r="O41" i="7"/>
  <c r="C41" i="7"/>
  <c r="AJ44" i="8"/>
  <c r="AI44" i="8"/>
  <c r="C44" i="8"/>
  <c r="B44" i="8"/>
  <c r="N194" i="4"/>
  <c r="P194" i="4" s="1"/>
  <c r="AB198" i="4"/>
  <c r="AC198" i="4" s="1"/>
  <c r="AG201" i="4"/>
  <c r="Q201" i="4" s="1"/>
  <c r="AG210" i="4"/>
  <c r="Q210" i="4" s="1"/>
  <c r="N212" i="4"/>
  <c r="P212" i="4" s="1"/>
  <c r="AG266" i="4"/>
  <c r="Q266" i="4" s="1"/>
  <c r="V269" i="4"/>
  <c r="W269" i="4" s="1"/>
  <c r="N274" i="4"/>
  <c r="P274" i="4" s="1"/>
  <c r="AG274" i="4" s="1"/>
  <c r="Q274" i="4" s="1"/>
  <c r="B41" i="7"/>
  <c r="Q63" i="7"/>
  <c r="AB184" i="4"/>
  <c r="AC184" i="4" s="1"/>
  <c r="AG184" i="4" s="1"/>
  <c r="Q184" i="4" s="1"/>
  <c r="AG187" i="4"/>
  <c r="Q187" i="4" s="1"/>
  <c r="V213" i="4"/>
  <c r="W213" i="4" s="1"/>
  <c r="N218" i="4"/>
  <c r="P218" i="4" s="1"/>
  <c r="V227" i="4"/>
  <c r="W227" i="4" s="1"/>
  <c r="N232" i="4"/>
  <c r="P232" i="4" s="1"/>
  <c r="AG232" i="4" s="1"/>
  <c r="Q232" i="4" s="1"/>
  <c r="V241" i="4"/>
  <c r="W241" i="4" s="1"/>
  <c r="N246" i="4"/>
  <c r="P246" i="4" s="1"/>
  <c r="V255" i="4"/>
  <c r="W255" i="4" s="1"/>
  <c r="N260" i="4"/>
  <c r="P260" i="4" s="1"/>
  <c r="AG260" i="4" s="1"/>
  <c r="Q260" i="4" s="1"/>
  <c r="V262" i="4"/>
  <c r="W262" i="4" s="1"/>
  <c r="AB283" i="4"/>
  <c r="AC283" i="4" s="1"/>
  <c r="AG283" i="4" s="1"/>
  <c r="Q283" i="4" s="1"/>
  <c r="AB290" i="4"/>
  <c r="AC290" i="4" s="1"/>
  <c r="AG290" i="4" s="1"/>
  <c r="Q290" i="4" s="1"/>
  <c r="B29" i="5"/>
  <c r="P31" i="6"/>
  <c r="AI104" i="8"/>
  <c r="AJ104" i="8"/>
  <c r="C104" i="8"/>
  <c r="AA104" i="8" s="1"/>
  <c r="B104" i="8"/>
  <c r="V204" i="4"/>
  <c r="W204" i="4" s="1"/>
  <c r="V220" i="4"/>
  <c r="W220" i="4" s="1"/>
  <c r="AG220" i="4" s="1"/>
  <c r="Q220" i="4" s="1"/>
  <c r="V234" i="4"/>
  <c r="W234" i="4" s="1"/>
  <c r="V248" i="4"/>
  <c r="W248" i="4" s="1"/>
  <c r="V147" i="4"/>
  <c r="W147" i="4" s="1"/>
  <c r="AG147" i="4" s="1"/>
  <c r="Q147" i="4" s="1"/>
  <c r="V176" i="4"/>
  <c r="W176" i="4" s="1"/>
  <c r="AG176" i="4" s="1"/>
  <c r="Q176" i="4" s="1"/>
  <c r="AB206" i="4"/>
  <c r="AC206" i="4" s="1"/>
  <c r="AG206" i="4" s="1"/>
  <c r="Q206" i="4" s="1"/>
  <c r="AB213" i="4"/>
  <c r="AC213" i="4" s="1"/>
  <c r="AB227" i="4"/>
  <c r="AC227" i="4" s="1"/>
  <c r="AB241" i="4"/>
  <c r="AC241" i="4" s="1"/>
  <c r="AB255" i="4"/>
  <c r="AC255" i="4" s="1"/>
  <c r="AB262" i="4"/>
  <c r="AC262" i="4" s="1"/>
  <c r="AG272" i="4"/>
  <c r="Q272" i="4" s="1"/>
  <c r="V288" i="4"/>
  <c r="W288" i="4" s="1"/>
  <c r="A60" i="5"/>
  <c r="L29" i="6"/>
  <c r="M31" i="6"/>
  <c r="AD181" i="8"/>
  <c r="AC181" i="8"/>
  <c r="AG181" i="8" s="1"/>
  <c r="AB181" i="8"/>
  <c r="AA181" i="8"/>
  <c r="I181" i="8"/>
  <c r="H181" i="8"/>
  <c r="X181" i="8"/>
  <c r="G181" i="8"/>
  <c r="W181" i="8"/>
  <c r="F181" i="8"/>
  <c r="AJ181" i="8"/>
  <c r="V181" i="8"/>
  <c r="E181" i="8"/>
  <c r="AH181" i="8"/>
  <c r="U181" i="8"/>
  <c r="T181" i="8"/>
  <c r="AK181" i="8" s="1"/>
  <c r="D181" i="8"/>
  <c r="AI181" i="8"/>
  <c r="C181" i="8"/>
  <c r="P181" i="8" s="1"/>
  <c r="Q181" i="8" s="1"/>
  <c r="B181" i="8"/>
  <c r="N20" i="6"/>
  <c r="P20" i="6" s="1"/>
  <c r="M29" i="6"/>
  <c r="F39" i="8"/>
  <c r="AI56" i="8"/>
  <c r="M11" i="6"/>
  <c r="P29" i="6"/>
  <c r="C43" i="6" s="1"/>
  <c r="C29" i="7"/>
  <c r="M52" i="7"/>
  <c r="F52" i="7"/>
  <c r="F58" i="7"/>
  <c r="R58" i="7"/>
  <c r="S58" i="7" s="1"/>
  <c r="D58" i="7"/>
  <c r="E58" i="7" s="1"/>
  <c r="Q58" i="7"/>
  <c r="C58" i="7"/>
  <c r="C39" i="8"/>
  <c r="AJ56" i="8"/>
  <c r="AJ65" i="8"/>
  <c r="AH65" i="8"/>
  <c r="K10" i="8"/>
  <c r="AJ62" i="9"/>
  <c r="AI62" i="9"/>
  <c r="AH62" i="9"/>
  <c r="AC62" i="9"/>
  <c r="AG62" i="9" s="1"/>
  <c r="AA62" i="9"/>
  <c r="V298" i="4"/>
  <c r="W298" i="4" s="1"/>
  <c r="L31" i="6"/>
  <c r="M20" i="6"/>
  <c r="L17" i="6"/>
  <c r="M24" i="6"/>
  <c r="L21" i="6"/>
  <c r="M10" i="6"/>
  <c r="M30" i="6"/>
  <c r="L27" i="6"/>
  <c r="M16" i="6"/>
  <c r="D38" i="6" s="1"/>
  <c r="L13" i="6"/>
  <c r="D36" i="6" s="1"/>
  <c r="L15" i="6"/>
  <c r="Q18" i="6"/>
  <c r="N22" i="6"/>
  <c r="P22" i="6" s="1"/>
  <c r="N24" i="6"/>
  <c r="P24" i="6" s="1"/>
  <c r="C52" i="7"/>
  <c r="C105" i="8"/>
  <c r="AA105" i="8" s="1"/>
  <c r="U105" i="8"/>
  <c r="B105" i="8"/>
  <c r="AJ105" i="8"/>
  <c r="AI105" i="8"/>
  <c r="B62" i="9"/>
  <c r="P19" i="6"/>
  <c r="J29" i="7"/>
  <c r="H29" i="7"/>
  <c r="I29" i="7" s="1"/>
  <c r="M38" i="7"/>
  <c r="F38" i="7"/>
  <c r="F44" i="7"/>
  <c r="R44" i="7"/>
  <c r="S44" i="7" s="1"/>
  <c r="D44" i="7"/>
  <c r="E44" i="7" s="1"/>
  <c r="Q44" i="7"/>
  <c r="C44" i="7"/>
  <c r="P44" i="7" s="1"/>
  <c r="AI52" i="8"/>
  <c r="U52" i="8"/>
  <c r="B52" i="8"/>
  <c r="AJ52" i="8"/>
  <c r="AH52" i="8"/>
  <c r="AA52" i="8"/>
  <c r="AH56" i="8"/>
  <c r="N15" i="6"/>
  <c r="P15" i="6" s="1"/>
  <c r="M26" i="6"/>
  <c r="L28" i="6"/>
  <c r="G29" i="7"/>
  <c r="B38" i="7"/>
  <c r="B44" i="7"/>
  <c r="F69" i="7"/>
  <c r="R69" i="7"/>
  <c r="S69" i="7" s="1"/>
  <c r="C52" i="8"/>
  <c r="AC52" i="8" s="1"/>
  <c r="AG52" i="8" s="1"/>
  <c r="B56" i="8"/>
  <c r="B35" i="5"/>
  <c r="L19" i="6"/>
  <c r="M28" i="6"/>
  <c r="M29" i="7"/>
  <c r="C38" i="7"/>
  <c r="P38" i="7" s="1"/>
  <c r="O52" i="7"/>
  <c r="O58" i="7"/>
  <c r="Q65" i="7"/>
  <c r="C56" i="8"/>
  <c r="AA56" i="8" s="1"/>
  <c r="L30" i="6"/>
  <c r="D38" i="7"/>
  <c r="E38" i="7" s="1"/>
  <c r="M44" i="7"/>
  <c r="L23" i="6"/>
  <c r="P25" i="6"/>
  <c r="Q29" i="7"/>
  <c r="Q52" i="7"/>
  <c r="M55" i="7"/>
  <c r="F55" i="7"/>
  <c r="R55" i="7"/>
  <c r="S55" i="7" s="1"/>
  <c r="D55" i="7"/>
  <c r="E55" i="7" s="1"/>
  <c r="F61" i="7"/>
  <c r="R61" i="7"/>
  <c r="S61" i="7" s="1"/>
  <c r="D61" i="7"/>
  <c r="E61" i="7" s="1"/>
  <c r="Q61" i="7"/>
  <c r="C61" i="7"/>
  <c r="B61" i="7"/>
  <c r="C36" i="8"/>
  <c r="AC175" i="8"/>
  <c r="AG175" i="8" s="1"/>
  <c r="AB175" i="8"/>
  <c r="AA175" i="8"/>
  <c r="I175" i="8"/>
  <c r="H175" i="8"/>
  <c r="X175" i="8"/>
  <c r="G175" i="8"/>
  <c r="W175" i="8"/>
  <c r="F175" i="8"/>
  <c r="AJ175" i="8"/>
  <c r="V175" i="8"/>
  <c r="E175" i="8"/>
  <c r="AI175" i="8"/>
  <c r="U175" i="8"/>
  <c r="AF175" i="8" s="1"/>
  <c r="D175" i="8"/>
  <c r="AH175" i="8"/>
  <c r="T175" i="8"/>
  <c r="AK175" i="8" s="1"/>
  <c r="C175" i="8"/>
  <c r="AD175" i="8"/>
  <c r="P175" i="8"/>
  <c r="Q175" i="8" s="1"/>
  <c r="B53" i="5"/>
  <c r="A36" i="7"/>
  <c r="A50" i="7"/>
  <c r="A64" i="7"/>
  <c r="A68" i="8"/>
  <c r="A75" i="8"/>
  <c r="A83" i="8"/>
  <c r="A89" i="8"/>
  <c r="A39" i="7"/>
  <c r="A53" i="7"/>
  <c r="A67" i="7"/>
  <c r="A50" i="8"/>
  <c r="A66" i="8"/>
  <c r="A28" i="7"/>
  <c r="A42" i="7"/>
  <c r="A56" i="7"/>
  <c r="A170" i="8"/>
  <c r="A173" i="8"/>
  <c r="A176" i="8"/>
  <c r="A162" i="8"/>
  <c r="A179" i="8"/>
  <c r="A182" i="8"/>
  <c r="A168" i="8"/>
  <c r="A171" i="8"/>
  <c r="A174" i="8"/>
  <c r="A160" i="8"/>
  <c r="A177" i="8"/>
  <c r="A163" i="8"/>
  <c r="A180" i="8"/>
  <c r="A166" i="8"/>
  <c r="A183" i="8"/>
  <c r="A169" i="8"/>
  <c r="A155" i="8"/>
  <c r="A167" i="8"/>
  <c r="A157" i="8"/>
  <c r="A143" i="8"/>
  <c r="A146" i="8"/>
  <c r="A132" i="8"/>
  <c r="A118" i="8"/>
  <c r="A161" i="8"/>
  <c r="A149" i="8"/>
  <c r="A156" i="8"/>
  <c r="A152" i="8"/>
  <c r="A138" i="8"/>
  <c r="A124" i="8"/>
  <c r="A141" i="8"/>
  <c r="A127" i="8"/>
  <c r="A113" i="8"/>
  <c r="A178" i="8"/>
  <c r="A172" i="8"/>
  <c r="A144" i="8"/>
  <c r="A130" i="8"/>
  <c r="A116" i="8"/>
  <c r="A159" i="8"/>
  <c r="A147" i="8"/>
  <c r="A133" i="8"/>
  <c r="A150" i="8"/>
  <c r="A136" i="8"/>
  <c r="A122" i="8"/>
  <c r="A108" i="8"/>
  <c r="A94" i="8"/>
  <c r="A165" i="8"/>
  <c r="A158" i="8"/>
  <c r="A153" i="8"/>
  <c r="A139" i="8"/>
  <c r="A142" i="8"/>
  <c r="A128" i="8"/>
  <c r="A114" i="8"/>
  <c r="A100" i="8"/>
  <c r="A125" i="8"/>
  <c r="A111" i="8"/>
  <c r="A92" i="8"/>
  <c r="A78" i="8"/>
  <c r="A81" i="8"/>
  <c r="A67" i="8"/>
  <c r="A134" i="8"/>
  <c r="A112" i="8"/>
  <c r="A107" i="8"/>
  <c r="A103" i="8"/>
  <c r="A84" i="8"/>
  <c r="A70" i="8"/>
  <c r="A135" i="8"/>
  <c r="A123" i="8"/>
  <c r="A87" i="8"/>
  <c r="A73" i="8"/>
  <c r="A110" i="8"/>
  <c r="A96" i="8"/>
  <c r="A90" i="8"/>
  <c r="A76" i="8"/>
  <c r="A121" i="8"/>
  <c r="A119" i="8"/>
  <c r="A106" i="8"/>
  <c r="A93" i="8"/>
  <c r="A79" i="8"/>
  <c r="A151" i="8"/>
  <c r="A145" i="8"/>
  <c r="A137" i="8"/>
  <c r="A99" i="8"/>
  <c r="A82" i="8"/>
  <c r="A117" i="8"/>
  <c r="A109" i="8"/>
  <c r="A95" i="8"/>
  <c r="A85" i="8"/>
  <c r="A71" i="8"/>
  <c r="A57" i="8"/>
  <c r="A131" i="8"/>
  <c r="A126" i="8"/>
  <c r="A102" i="8"/>
  <c r="A88" i="8"/>
  <c r="A74" i="8"/>
  <c r="A98" i="8"/>
  <c r="A91" i="8"/>
  <c r="A77" i="8"/>
  <c r="A63" i="8"/>
  <c r="A49" i="8"/>
  <c r="C37" i="8"/>
  <c r="A43" i="8"/>
  <c r="AC45" i="8"/>
  <c r="AG45" i="8" s="1"/>
  <c r="A54" i="8"/>
  <c r="V139" i="9"/>
  <c r="E139" i="9"/>
  <c r="AI139" i="9"/>
  <c r="U139" i="9"/>
  <c r="D139" i="9"/>
  <c r="H139" i="9"/>
  <c r="G139" i="9"/>
  <c r="C139" i="9"/>
  <c r="P139" i="9" s="1"/>
  <c r="Q139" i="9" s="1"/>
  <c r="X139" i="9"/>
  <c r="AB139" i="9"/>
  <c r="W139" i="9"/>
  <c r="T139" i="9"/>
  <c r="A31" i="7"/>
  <c r="A45" i="7"/>
  <c r="A59" i="7"/>
  <c r="D37" i="8"/>
  <c r="E38" i="8" s="1"/>
  <c r="A47" i="8"/>
  <c r="A61" i="8"/>
  <c r="A34" i="7"/>
  <c r="A48" i="7"/>
  <c r="A62" i="7"/>
  <c r="E37" i="8"/>
  <c r="A51" i="8"/>
  <c r="C32" i="8"/>
  <c r="A58" i="8"/>
  <c r="A129" i="8"/>
  <c r="A164" i="8"/>
  <c r="A40" i="7"/>
  <c r="A54" i="7"/>
  <c r="A68" i="7"/>
  <c r="AI48" i="8"/>
  <c r="A62" i="8"/>
  <c r="A43" i="7"/>
  <c r="A57" i="7"/>
  <c r="D35" i="8"/>
  <c r="E36" i="8" s="1"/>
  <c r="C38" i="8"/>
  <c r="B45" i="8"/>
  <c r="AH45" i="8"/>
  <c r="B48" i="8"/>
  <c r="AJ48" i="8"/>
  <c r="A55" i="8"/>
  <c r="A72" i="8"/>
  <c r="A80" i="8"/>
  <c r="A86" i="8"/>
  <c r="A120" i="8"/>
  <c r="A154" i="8"/>
  <c r="A32" i="7"/>
  <c r="A46" i="7"/>
  <c r="A60" i="7"/>
  <c r="E35" i="8"/>
  <c r="D38" i="8"/>
  <c r="E39" i="8" s="1"/>
  <c r="C45" i="8"/>
  <c r="T45" i="8" s="1"/>
  <c r="AI45" i="8"/>
  <c r="C48" i="8"/>
  <c r="AC48" i="8" s="1"/>
  <c r="AG48" i="8" s="1"/>
  <c r="A59" i="8"/>
  <c r="A97" i="8"/>
  <c r="A148" i="8"/>
  <c r="F38" i="9"/>
  <c r="E38" i="9"/>
  <c r="D38" i="9"/>
  <c r="E39" i="9" s="1"/>
  <c r="C38" i="9"/>
  <c r="A49" i="7"/>
  <c r="U45" i="8"/>
  <c r="AJ45" i="8"/>
  <c r="A115" i="8"/>
  <c r="A140" i="8"/>
  <c r="C88" i="9"/>
  <c r="AJ88" i="9"/>
  <c r="B88" i="9"/>
  <c r="AI88" i="9"/>
  <c r="AJ66" i="9"/>
  <c r="AI66" i="9"/>
  <c r="AH66" i="9"/>
  <c r="B66" i="9"/>
  <c r="C66" i="9"/>
  <c r="AA66" i="9" s="1"/>
  <c r="AJ45" i="9"/>
  <c r="AI45" i="9"/>
  <c r="AH45" i="9"/>
  <c r="C45" i="9"/>
  <c r="V45" i="9" s="1"/>
  <c r="B45" i="9"/>
  <c r="AH69" i="9"/>
  <c r="X49" i="9"/>
  <c r="V49" i="9"/>
  <c r="C49" i="9"/>
  <c r="AA49" i="9" s="1"/>
  <c r="AJ49" i="9"/>
  <c r="B49" i="9"/>
  <c r="AJ48" i="9"/>
  <c r="AI48" i="9"/>
  <c r="AH48" i="9"/>
  <c r="C69" i="9"/>
  <c r="AA69" i="9" s="1"/>
  <c r="AJ132" i="9"/>
  <c r="V132" i="9"/>
  <c r="E132" i="9"/>
  <c r="AH132" i="9"/>
  <c r="T132" i="9"/>
  <c r="C132" i="9"/>
  <c r="AK132" i="9" s="1"/>
  <c r="AI132" i="9"/>
  <c r="AD132" i="9"/>
  <c r="AB132" i="9"/>
  <c r="I132" i="9"/>
  <c r="G132" i="9"/>
  <c r="AC132" i="9"/>
  <c r="AG132" i="9" s="1"/>
  <c r="AA132" i="9"/>
  <c r="X132" i="9"/>
  <c r="W132" i="9"/>
  <c r="U132" i="9"/>
  <c r="AF132" i="9" s="1"/>
  <c r="H132" i="9"/>
  <c r="F132" i="9"/>
  <c r="D132" i="9"/>
  <c r="B132" i="9"/>
  <c r="F35" i="9"/>
  <c r="E35" i="9"/>
  <c r="D35" i="9"/>
  <c r="E36" i="9" s="1"/>
  <c r="B52" i="9"/>
  <c r="AB183" i="9"/>
  <c r="H183" i="9"/>
  <c r="AI183" i="9"/>
  <c r="U183" i="9"/>
  <c r="AF183" i="9" s="1"/>
  <c r="D183" i="9"/>
  <c r="B183" i="9"/>
  <c r="T183" i="9"/>
  <c r="AJ183" i="9"/>
  <c r="AH183" i="9"/>
  <c r="AD183" i="9"/>
  <c r="I183" i="9"/>
  <c r="AC183" i="9"/>
  <c r="AG183" i="9" s="1"/>
  <c r="G183" i="9"/>
  <c r="AA183" i="9"/>
  <c r="F183" i="9"/>
  <c r="W183" i="9"/>
  <c r="V183" i="9"/>
  <c r="E183" i="9"/>
  <c r="C183" i="9"/>
  <c r="AK183" i="9" s="1"/>
  <c r="X183" i="9"/>
  <c r="C35" i="9"/>
  <c r="C52" i="9"/>
  <c r="T52" i="9" s="1"/>
  <c r="AB52" i="9" s="1"/>
  <c r="AD138" i="9"/>
  <c r="AB138" i="9"/>
  <c r="X138" i="9"/>
  <c r="G138" i="9"/>
  <c r="AJ138" i="9"/>
  <c r="V138" i="9"/>
  <c r="E138" i="9"/>
  <c r="I138" i="9"/>
  <c r="H138" i="9"/>
  <c r="AC138" i="9"/>
  <c r="AG138" i="9" s="1"/>
  <c r="F138" i="9"/>
  <c r="AA138" i="9"/>
  <c r="D138" i="9"/>
  <c r="C138" i="9"/>
  <c r="P138" i="9" s="1"/>
  <c r="Q138" i="9" s="1"/>
  <c r="B138" i="9"/>
  <c r="U138" i="9"/>
  <c r="AI138" i="9"/>
  <c r="AH138" i="9"/>
  <c r="W138" i="9"/>
  <c r="T138" i="9"/>
  <c r="AK138" i="9" s="1"/>
  <c r="F32" i="9"/>
  <c r="AH55" i="9"/>
  <c r="AJ115" i="9"/>
  <c r="C115" i="9"/>
  <c r="X115" i="9" s="1"/>
  <c r="B115" i="9"/>
  <c r="AI115" i="9"/>
  <c r="A16" i="9"/>
  <c r="D32" i="9"/>
  <c r="E33" i="9" s="1"/>
  <c r="C55" i="9"/>
  <c r="AA55" i="9" s="1"/>
  <c r="AI59" i="9"/>
  <c r="AH59" i="9"/>
  <c r="C59" i="9"/>
  <c r="V59" i="9" s="1"/>
  <c r="B59" i="9"/>
  <c r="C63" i="9"/>
  <c r="AA63" i="9" s="1"/>
  <c r="AJ63" i="9"/>
  <c r="B63" i="9"/>
  <c r="AI77" i="9"/>
  <c r="W156" i="9"/>
  <c r="F156" i="9"/>
  <c r="AJ156" i="9"/>
  <c r="V156" i="9"/>
  <c r="E156" i="9"/>
  <c r="AI156" i="9"/>
  <c r="U156" i="9"/>
  <c r="D156" i="9"/>
  <c r="AH156" i="9"/>
  <c r="T156" i="9"/>
  <c r="C156" i="9"/>
  <c r="AK156" i="9" s="1"/>
  <c r="B156" i="9"/>
  <c r="AD156" i="9"/>
  <c r="AB156" i="9"/>
  <c r="AC156" i="9"/>
  <c r="AG156" i="9" s="1"/>
  <c r="AA156" i="9"/>
  <c r="X156" i="9"/>
  <c r="I156" i="9"/>
  <c r="H156" i="9"/>
  <c r="A72" i="9"/>
  <c r="A75" i="9"/>
  <c r="A109" i="9"/>
  <c r="A170" i="9"/>
  <c r="A56" i="9"/>
  <c r="A60" i="9"/>
  <c r="A70" i="9"/>
  <c r="A84" i="9"/>
  <c r="A47" i="9"/>
  <c r="A100" i="9"/>
  <c r="C36" i="9"/>
  <c r="A44" i="9"/>
  <c r="D36" i="9"/>
  <c r="E37" i="9" s="1"/>
  <c r="C39" i="9"/>
  <c r="A57" i="9"/>
  <c r="A61" i="9"/>
  <c r="A123" i="9"/>
  <c r="A151" i="9"/>
  <c r="D39" i="9"/>
  <c r="A133" i="9"/>
  <c r="A54" i="9"/>
  <c r="A68" i="9"/>
  <c r="A114" i="9"/>
  <c r="A46" i="9"/>
  <c r="A51" i="9"/>
  <c r="A58" i="9"/>
  <c r="A65" i="9"/>
  <c r="A74" i="9"/>
  <c r="A95" i="9"/>
  <c r="A101" i="9"/>
  <c r="AJ48" i="10"/>
  <c r="AI48" i="10"/>
  <c r="AH48" i="10"/>
  <c r="C48" i="10"/>
  <c r="AC48" i="10" s="1"/>
  <c r="AG48" i="10" s="1"/>
  <c r="B48" i="10"/>
  <c r="A174" i="9"/>
  <c r="A180" i="9"/>
  <c r="A173" i="9"/>
  <c r="A155" i="9"/>
  <c r="A141" i="9"/>
  <c r="A182" i="9"/>
  <c r="A169" i="9"/>
  <c r="A158" i="9"/>
  <c r="A144" i="9"/>
  <c r="A181" i="9"/>
  <c r="A176" i="9"/>
  <c r="A161" i="9"/>
  <c r="A147" i="9"/>
  <c r="A172" i="9"/>
  <c r="A164" i="9"/>
  <c r="A150" i="9"/>
  <c r="A167" i="9"/>
  <c r="A153" i="9"/>
  <c r="A179" i="9"/>
  <c r="A175" i="9"/>
  <c r="A159" i="9"/>
  <c r="A145" i="9"/>
  <c r="A178" i="9"/>
  <c r="A162" i="9"/>
  <c r="A148" i="9"/>
  <c r="A134" i="9"/>
  <c r="A171" i="9"/>
  <c r="A165" i="9"/>
  <c r="A168" i="9"/>
  <c r="A154" i="9"/>
  <c r="A140" i="9"/>
  <c r="A118" i="9"/>
  <c r="A104" i="9"/>
  <c r="A146" i="9"/>
  <c r="A135" i="9"/>
  <c r="A121" i="9"/>
  <c r="A107" i="9"/>
  <c r="A93" i="9"/>
  <c r="A128" i="9"/>
  <c r="A124" i="9"/>
  <c r="A110" i="9"/>
  <c r="A96" i="9"/>
  <c r="A113" i="9"/>
  <c r="A99" i="9"/>
  <c r="A131" i="9"/>
  <c r="A116" i="9"/>
  <c r="A102" i="9"/>
  <c r="A166" i="9"/>
  <c r="A142" i="9"/>
  <c r="A127" i="9"/>
  <c r="A119" i="9"/>
  <c r="A105" i="9"/>
  <c r="A91" i="9"/>
  <c r="A137" i="9"/>
  <c r="A130" i="9"/>
  <c r="A125" i="9"/>
  <c r="A111" i="9"/>
  <c r="A97" i="9"/>
  <c r="A83" i="9"/>
  <c r="A177" i="9"/>
  <c r="A160" i="9"/>
  <c r="A143" i="9"/>
  <c r="A117" i="9"/>
  <c r="A103" i="9"/>
  <c r="A89" i="9"/>
  <c r="A149" i="9"/>
  <c r="A129" i="9"/>
  <c r="A122" i="9"/>
  <c r="A108" i="9"/>
  <c r="A94" i="9"/>
  <c r="A87" i="9"/>
  <c r="A80" i="9"/>
  <c r="A163" i="9"/>
  <c r="A76" i="9"/>
  <c r="A71" i="9"/>
  <c r="A157" i="9"/>
  <c r="A90" i="9"/>
  <c r="A86" i="9"/>
  <c r="A79" i="9"/>
  <c r="A152" i="9"/>
  <c r="A126" i="9"/>
  <c r="A112" i="9"/>
  <c r="A98" i="9"/>
  <c r="A120" i="9"/>
  <c r="A106" i="9"/>
  <c r="A92" i="9"/>
  <c r="A82" i="9"/>
  <c r="A78" i="9"/>
  <c r="A85" i="9"/>
  <c r="A64" i="9"/>
  <c r="A50" i="9"/>
  <c r="A136" i="9"/>
  <c r="A81" i="9"/>
  <c r="A67" i="9"/>
  <c r="A53" i="9"/>
  <c r="A43" i="9"/>
  <c r="F32" i="10"/>
  <c r="D32" i="10"/>
  <c r="E33" i="10" s="1"/>
  <c r="C32" i="10"/>
  <c r="A182" i="10"/>
  <c r="A179" i="10"/>
  <c r="A168" i="10"/>
  <c r="A174" i="10"/>
  <c r="A177" i="10"/>
  <c r="A166" i="10"/>
  <c r="A169" i="10"/>
  <c r="A172" i="10"/>
  <c r="A167" i="10"/>
  <c r="A173" i="10"/>
  <c r="A178" i="10"/>
  <c r="A175" i="10"/>
  <c r="A151" i="10"/>
  <c r="A176" i="10"/>
  <c r="A154" i="10"/>
  <c r="A140" i="10"/>
  <c r="A159" i="10"/>
  <c r="A157" i="10"/>
  <c r="A143" i="10"/>
  <c r="A180" i="10"/>
  <c r="A146" i="10"/>
  <c r="A149" i="10"/>
  <c r="A171" i="10"/>
  <c r="A152" i="10"/>
  <c r="A181" i="10"/>
  <c r="A162" i="10"/>
  <c r="A155" i="10"/>
  <c r="A170" i="10"/>
  <c r="A163" i="10"/>
  <c r="A158" i="10"/>
  <c r="A164" i="10"/>
  <c r="A161" i="10"/>
  <c r="A150" i="10"/>
  <c r="A123" i="10"/>
  <c r="A183" i="10"/>
  <c r="A142" i="10"/>
  <c r="A139" i="10"/>
  <c r="A137" i="10"/>
  <c r="A126" i="10"/>
  <c r="A165" i="10"/>
  <c r="A129" i="10"/>
  <c r="A132" i="10"/>
  <c r="A118" i="10"/>
  <c r="A135" i="10"/>
  <c r="A121" i="10"/>
  <c r="A153" i="10"/>
  <c r="A124" i="10"/>
  <c r="A127" i="10"/>
  <c r="A148" i="10"/>
  <c r="A141" i="10"/>
  <c r="A130" i="10"/>
  <c r="A116" i="10"/>
  <c r="A145" i="10"/>
  <c r="A133" i="10"/>
  <c r="A138" i="10"/>
  <c r="A136" i="10"/>
  <c r="A122" i="10"/>
  <c r="A96" i="10"/>
  <c r="A82" i="10"/>
  <c r="A156" i="10"/>
  <c r="A114" i="10"/>
  <c r="A99" i="10"/>
  <c r="A85" i="10"/>
  <c r="A134" i="10"/>
  <c r="A128" i="10"/>
  <c r="A102" i="10"/>
  <c r="A88" i="10"/>
  <c r="A105" i="10"/>
  <c r="A91" i="10"/>
  <c r="A147" i="10"/>
  <c r="A110" i="10"/>
  <c r="A108" i="10"/>
  <c r="A94" i="10"/>
  <c r="A80" i="10"/>
  <c r="A120" i="10"/>
  <c r="A119" i="10"/>
  <c r="A97" i="10"/>
  <c r="A83" i="10"/>
  <c r="A117" i="10"/>
  <c r="A113" i="10"/>
  <c r="A100" i="10"/>
  <c r="A86" i="10"/>
  <c r="A103" i="10"/>
  <c r="A89" i="10"/>
  <c r="A75" i="10"/>
  <c r="A106" i="10"/>
  <c r="A131" i="10"/>
  <c r="A125" i="10"/>
  <c r="A112" i="10"/>
  <c r="A109" i="10"/>
  <c r="A95" i="10"/>
  <c r="A81" i="10"/>
  <c r="A104" i="10"/>
  <c r="A98" i="10"/>
  <c r="A72" i="10"/>
  <c r="A68" i="10"/>
  <c r="A54" i="10"/>
  <c r="A115" i="10"/>
  <c r="A111" i="10"/>
  <c r="A79" i="10"/>
  <c r="A57" i="10"/>
  <c r="A43" i="10"/>
  <c r="A60" i="10"/>
  <c r="A46" i="10"/>
  <c r="A78" i="10"/>
  <c r="A71" i="10"/>
  <c r="A63" i="10"/>
  <c r="A49" i="10"/>
  <c r="A66" i="10"/>
  <c r="A52" i="10"/>
  <c r="A144" i="10"/>
  <c r="A69" i="10"/>
  <c r="A55" i="10"/>
  <c r="A92" i="10"/>
  <c r="A74" i="10"/>
  <c r="A58" i="10"/>
  <c r="A44" i="10"/>
  <c r="A107" i="10"/>
  <c r="A101" i="10"/>
  <c r="A61" i="10"/>
  <c r="A47" i="10"/>
  <c r="A77" i="10"/>
  <c r="A64" i="10"/>
  <c r="A50" i="10"/>
  <c r="A93" i="10"/>
  <c r="A90" i="10"/>
  <c r="A73" i="10"/>
  <c r="A67" i="10"/>
  <c r="A53" i="10"/>
  <c r="A160" i="10"/>
  <c r="A76" i="10"/>
  <c r="A65" i="10"/>
  <c r="A59" i="10"/>
  <c r="A51" i="10"/>
  <c r="A45" i="10"/>
  <c r="A87" i="10"/>
  <c r="A62" i="10"/>
  <c r="A70" i="10"/>
  <c r="A84" i="10"/>
  <c r="G5" i="10"/>
  <c r="A56" i="10"/>
  <c r="F38" i="10"/>
  <c r="E38" i="10"/>
  <c r="D38" i="10"/>
  <c r="E39" i="10" s="1"/>
  <c r="C38" i="10"/>
  <c r="F35" i="10"/>
  <c r="C35" i="10"/>
  <c r="C33" i="10"/>
  <c r="C39" i="10"/>
  <c r="D39" i="10"/>
  <c r="D34" i="10"/>
  <c r="E35" i="10" s="1"/>
  <c r="C37" i="10"/>
  <c r="AI67" i="11"/>
  <c r="F32" i="11"/>
  <c r="E32" i="11"/>
  <c r="A57" i="11"/>
  <c r="F38" i="11"/>
  <c r="E38" i="11"/>
  <c r="D38" i="11"/>
  <c r="E39" i="11" s="1"/>
  <c r="C38" i="11"/>
  <c r="A45" i="11"/>
  <c r="A182" i="11"/>
  <c r="A171" i="11"/>
  <c r="A174" i="11"/>
  <c r="A160" i="11"/>
  <c r="A153" i="11"/>
  <c r="A173" i="11"/>
  <c r="A155" i="11"/>
  <c r="A149" i="11"/>
  <c r="A176" i="11"/>
  <c r="A169" i="11"/>
  <c r="A162" i="11"/>
  <c r="A157" i="11"/>
  <c r="A179" i="11"/>
  <c r="A172" i="11"/>
  <c r="A165" i="11"/>
  <c r="A159" i="11"/>
  <c r="A175" i="11"/>
  <c r="A161" i="11"/>
  <c r="A147" i="11"/>
  <c r="A178" i="11"/>
  <c r="A168" i="11"/>
  <c r="A164" i="11"/>
  <c r="A156" i="11"/>
  <c r="A142" i="11"/>
  <c r="A151" i="11"/>
  <c r="A145" i="11"/>
  <c r="A131" i="11"/>
  <c r="A154" i="11"/>
  <c r="A150" i="11"/>
  <c r="A148" i="11"/>
  <c r="A134" i="11"/>
  <c r="A137" i="11"/>
  <c r="A140" i="11"/>
  <c r="A170" i="11"/>
  <c r="A163" i="11"/>
  <c r="A143" i="11"/>
  <c r="A183" i="11"/>
  <c r="A146" i="11"/>
  <c r="A132" i="11"/>
  <c r="A152" i="11"/>
  <c r="A135" i="11"/>
  <c r="A141" i="11"/>
  <c r="A127" i="11"/>
  <c r="A138" i="11"/>
  <c r="A114" i="11"/>
  <c r="A180" i="11"/>
  <c r="A177" i="11"/>
  <c r="A117" i="11"/>
  <c r="A158" i="11"/>
  <c r="A120" i="11"/>
  <c r="A139" i="11"/>
  <c r="A136" i="11"/>
  <c r="A123" i="11"/>
  <c r="A109" i="11"/>
  <c r="A167" i="11"/>
  <c r="A144" i="11"/>
  <c r="A133" i="11"/>
  <c r="A126" i="11"/>
  <c r="A112" i="11"/>
  <c r="A115" i="11"/>
  <c r="A129" i="11"/>
  <c r="A118" i="11"/>
  <c r="A121" i="11"/>
  <c r="A107" i="11"/>
  <c r="A130" i="11"/>
  <c r="A124" i="11"/>
  <c r="A128" i="11"/>
  <c r="A113" i="11"/>
  <c r="A106" i="11"/>
  <c r="A91" i="11"/>
  <c r="A94" i="11"/>
  <c r="A125" i="11"/>
  <c r="A119" i="11"/>
  <c r="A97" i="11"/>
  <c r="A105" i="11"/>
  <c r="A100" i="11"/>
  <c r="A86" i="11"/>
  <c r="A103" i="11"/>
  <c r="A89" i="11"/>
  <c r="A92" i="11"/>
  <c r="A181" i="11"/>
  <c r="A166" i="11"/>
  <c r="A108" i="11"/>
  <c r="A95" i="11"/>
  <c r="A98" i="11"/>
  <c r="A84" i="11"/>
  <c r="A101" i="11"/>
  <c r="A122" i="11"/>
  <c r="A116" i="11"/>
  <c r="A104" i="11"/>
  <c r="A90" i="11"/>
  <c r="A102" i="11"/>
  <c r="A96" i="11"/>
  <c r="A81" i="11"/>
  <c r="A73" i="11"/>
  <c r="A88" i="11"/>
  <c r="A76" i="11"/>
  <c r="A62" i="11"/>
  <c r="A111" i="11"/>
  <c r="A79" i="11"/>
  <c r="A65" i="11"/>
  <c r="A85" i="11"/>
  <c r="A68" i="11"/>
  <c r="A71" i="11"/>
  <c r="A110" i="11"/>
  <c r="A74" i="11"/>
  <c r="A83" i="11"/>
  <c r="A77" i="11"/>
  <c r="A63" i="11"/>
  <c r="A99" i="11"/>
  <c r="A80" i="11"/>
  <c r="A66" i="11"/>
  <c r="A69" i="11"/>
  <c r="A82" i="11"/>
  <c r="A72" i="11"/>
  <c r="A58" i="11"/>
  <c r="A43" i="11"/>
  <c r="A60" i="11"/>
  <c r="A46" i="11"/>
  <c r="A78" i="11"/>
  <c r="A70" i="11"/>
  <c r="A56" i="11"/>
  <c r="A49" i="11"/>
  <c r="A87" i="11"/>
  <c r="A52" i="11"/>
  <c r="A59" i="11"/>
  <c r="A44" i="11"/>
  <c r="A55" i="11"/>
  <c r="A47" i="11"/>
  <c r="A50" i="11"/>
  <c r="A53" i="11"/>
  <c r="A75" i="11"/>
  <c r="A61" i="11"/>
  <c r="D29" i="11"/>
  <c r="E30" i="11" s="1"/>
  <c r="A64" i="11"/>
  <c r="A16" i="11"/>
  <c r="A93" i="11"/>
  <c r="E31" i="11"/>
  <c r="F35" i="11"/>
  <c r="E35" i="11"/>
  <c r="D35" i="11"/>
  <c r="E36" i="11" s="1"/>
  <c r="A48" i="11"/>
  <c r="A54" i="11"/>
  <c r="C30" i="11"/>
  <c r="D30" i="11"/>
  <c r="C36" i="11"/>
  <c r="E33" i="11"/>
  <c r="D36" i="11"/>
  <c r="E37" i="11" s="1"/>
  <c r="C39" i="11"/>
  <c r="C28" i="11"/>
  <c r="D39" i="11"/>
  <c r="AK45" i="8" l="1"/>
  <c r="AD45" i="8"/>
  <c r="AC65" i="8"/>
  <c r="AG65" i="8" s="1"/>
  <c r="B67" i="11"/>
  <c r="AH67" i="11"/>
  <c r="AA59" i="9"/>
  <c r="B65" i="7"/>
  <c r="K29" i="7"/>
  <c r="L29" i="7" s="1"/>
  <c r="AG218" i="4"/>
  <c r="Q218" i="4" s="1"/>
  <c r="AG198" i="4"/>
  <c r="Q198" i="4" s="1"/>
  <c r="AA46" i="8"/>
  <c r="AG82" i="4"/>
  <c r="Q82" i="4" s="1"/>
  <c r="AG235" i="4"/>
  <c r="Q235" i="4" s="1"/>
  <c r="AG139" i="4"/>
  <c r="Q139" i="4" s="1"/>
  <c r="AJ67" i="11"/>
  <c r="AC59" i="9"/>
  <c r="AG59" i="9" s="1"/>
  <c r="D69" i="7"/>
  <c r="E69" i="7" s="1"/>
  <c r="D37" i="6"/>
  <c r="C50" i="6" s="1"/>
  <c r="AG194" i="4"/>
  <c r="Q194" i="4" s="1"/>
  <c r="AG297" i="4"/>
  <c r="Q297" i="4" s="1"/>
  <c r="B35" i="7"/>
  <c r="AG197" i="4"/>
  <c r="Q197" i="4" s="1"/>
  <c r="AG164" i="4"/>
  <c r="Q164" i="4" s="1"/>
  <c r="AF138" i="9"/>
  <c r="P132" i="9"/>
  <c r="Q132" i="9" s="1"/>
  <c r="I139" i="9"/>
  <c r="C65" i="8"/>
  <c r="AA65" i="8" s="1"/>
  <c r="P29" i="7"/>
  <c r="AG248" i="4"/>
  <c r="Q248" i="4" s="1"/>
  <c r="AA44" i="8"/>
  <c r="C69" i="8"/>
  <c r="Q30" i="7"/>
  <c r="AG222" i="4"/>
  <c r="Q222" i="4" s="1"/>
  <c r="AG259" i="4"/>
  <c r="Q259" i="4" s="1"/>
  <c r="AG67" i="4"/>
  <c r="Q67" i="4" s="1"/>
  <c r="B101" i="8"/>
  <c r="M51" i="7"/>
  <c r="AG31" i="4"/>
  <c r="Q31" i="4" s="1"/>
  <c r="B22" i="5" s="1"/>
  <c r="C77" i="9"/>
  <c r="Q55" i="7"/>
  <c r="B55" i="7"/>
  <c r="M69" i="7"/>
  <c r="C56" i="5"/>
  <c r="AI69" i="8"/>
  <c r="AA139" i="9"/>
  <c r="D44" i="6"/>
  <c r="AG234" i="4"/>
  <c r="Q234" i="4" s="1"/>
  <c r="AC44" i="8"/>
  <c r="AG44" i="8" s="1"/>
  <c r="AH69" i="8"/>
  <c r="D30" i="7"/>
  <c r="E30" i="7" s="1"/>
  <c r="AG204" i="4"/>
  <c r="Q204" i="4" s="1"/>
  <c r="AG183" i="4"/>
  <c r="Q183" i="4" s="1"/>
  <c r="AI101" i="8"/>
  <c r="B51" i="7"/>
  <c r="AG284" i="4"/>
  <c r="Q284" i="4" s="1"/>
  <c r="AG146" i="4"/>
  <c r="Q146" i="4" s="1"/>
  <c r="AG72" i="4"/>
  <c r="Q72" i="4" s="1"/>
  <c r="P55" i="7"/>
  <c r="AG63" i="4"/>
  <c r="Q63" i="4" s="1"/>
  <c r="AG24" i="4"/>
  <c r="Q24" i="4" s="1"/>
  <c r="C59" i="5" s="1"/>
  <c r="F65" i="7"/>
  <c r="O65" i="7"/>
  <c r="P65" i="7" s="1"/>
  <c r="T59" i="9"/>
  <c r="AK59" i="9" s="1"/>
  <c r="O35" i="7"/>
  <c r="C35" i="7"/>
  <c r="P35" i="7" s="1"/>
  <c r="R35" i="7"/>
  <c r="S35" i="7" s="1"/>
  <c r="Q35" i="7"/>
  <c r="D35" i="7"/>
  <c r="E35" i="7" s="1"/>
  <c r="U59" i="9"/>
  <c r="M35" i="7"/>
  <c r="AG233" i="4"/>
  <c r="Q233" i="4" s="1"/>
  <c r="B51" i="11"/>
  <c r="B139" i="9"/>
  <c r="C64" i="8"/>
  <c r="AA64" i="8" s="1"/>
  <c r="D43" i="6"/>
  <c r="C53" i="6" s="1"/>
  <c r="D41" i="6"/>
  <c r="C52" i="6" s="1"/>
  <c r="AG246" i="4"/>
  <c r="Q246" i="4" s="1"/>
  <c r="P41" i="7"/>
  <c r="AJ69" i="8"/>
  <c r="R30" i="7"/>
  <c r="S30" i="7" s="1"/>
  <c r="AG199" i="4"/>
  <c r="Q199" i="4" s="1"/>
  <c r="AG14" i="4"/>
  <c r="Q14" i="4" s="1"/>
  <c r="C42" i="6"/>
  <c r="AJ101" i="8"/>
  <c r="C51" i="7"/>
  <c r="AG160" i="4"/>
  <c r="Q160" i="4" s="1"/>
  <c r="AG230" i="4"/>
  <c r="Q230" i="4" s="1"/>
  <c r="AG33" i="4"/>
  <c r="Q33" i="4" s="1"/>
  <c r="B24" i="5" s="1"/>
  <c r="C35" i="6"/>
  <c r="C51" i="11"/>
  <c r="AA51" i="11" s="1"/>
  <c r="C60" i="8"/>
  <c r="AA60" i="8" s="1"/>
  <c r="B53" i="8"/>
  <c r="AG288" i="4"/>
  <c r="Q288" i="4" s="1"/>
  <c r="AG269" i="4"/>
  <c r="Q269" i="4" s="1"/>
  <c r="F30" i="7"/>
  <c r="C101" i="8"/>
  <c r="X101" i="8" s="1"/>
  <c r="AE101" i="8" s="1"/>
  <c r="B47" i="5"/>
  <c r="AG216" i="4"/>
  <c r="Q216" i="4" s="1"/>
  <c r="AG223" i="4"/>
  <c r="Q223" i="4" s="1"/>
  <c r="AG73" i="4"/>
  <c r="Q73" i="4" s="1"/>
  <c r="AG8" i="4"/>
  <c r="Q8" i="4" s="1"/>
  <c r="AG40" i="4"/>
  <c r="Q40" i="4" s="1"/>
  <c r="B31" i="5" s="1"/>
  <c r="C36" i="6"/>
  <c r="R65" i="7"/>
  <c r="S65" i="7" s="1"/>
  <c r="AI51" i="11"/>
  <c r="AA45" i="8"/>
  <c r="D39" i="6"/>
  <c r="C51" i="6" s="1"/>
  <c r="C37" i="6"/>
  <c r="AH46" i="8"/>
  <c r="AG144" i="4"/>
  <c r="Q144" i="4" s="1"/>
  <c r="AG35" i="4"/>
  <c r="Q35" i="4" s="1"/>
  <c r="AG141" i="4"/>
  <c r="Q141" i="4" s="1"/>
  <c r="AG148" i="4"/>
  <c r="Q148" i="4" s="1"/>
  <c r="AG225" i="4"/>
  <c r="Q225" i="4" s="1"/>
  <c r="AG247" i="4"/>
  <c r="Q247" i="4" s="1"/>
  <c r="AG21" i="4"/>
  <c r="Q21" i="4" s="1"/>
  <c r="D52" i="7"/>
  <c r="E52" i="7" s="1"/>
  <c r="R52" i="7"/>
  <c r="S52" i="7" s="1"/>
  <c r="D65" i="7"/>
  <c r="E65" i="7" s="1"/>
  <c r="AJ51" i="11"/>
  <c r="AC45" i="9"/>
  <c r="AG45" i="9" s="1"/>
  <c r="AH64" i="8"/>
  <c r="AG103" i="4"/>
  <c r="Q103" i="4" s="1"/>
  <c r="AG286" i="4"/>
  <c r="Q286" i="4" s="1"/>
  <c r="AG279" i="4"/>
  <c r="Q279" i="4" s="1"/>
  <c r="AG57" i="4"/>
  <c r="Q57" i="4" s="1"/>
  <c r="W59" i="9"/>
  <c r="B64" i="8"/>
  <c r="AI64" i="8"/>
  <c r="C41" i="6"/>
  <c r="AG298" i="4"/>
  <c r="Q298" i="4" s="1"/>
  <c r="AG227" i="4"/>
  <c r="Q227" i="4" s="1"/>
  <c r="P63" i="7"/>
  <c r="AG133" i="4"/>
  <c r="Q133" i="4" s="1"/>
  <c r="AG145" i="4"/>
  <c r="Q145" i="4" s="1"/>
  <c r="AG17" i="4"/>
  <c r="Q17" i="4" s="1"/>
  <c r="C58" i="5" s="1"/>
  <c r="P66" i="7"/>
  <c r="AG250" i="4"/>
  <c r="Q250" i="4" s="1"/>
  <c r="AG131" i="4"/>
  <c r="Q131" i="4" s="1"/>
  <c r="X59" i="9"/>
  <c r="M65" i="7"/>
  <c r="C40" i="6"/>
  <c r="AG54" i="4"/>
  <c r="Q54" i="4" s="1"/>
  <c r="AG109" i="4"/>
  <c r="Q109" i="4" s="1"/>
  <c r="AG203" i="4"/>
  <c r="Q203" i="4" s="1"/>
  <c r="AG59" i="4"/>
  <c r="Q59" i="4" s="1"/>
  <c r="AI73" i="9"/>
  <c r="AG262" i="4"/>
  <c r="Q262" i="4" s="1"/>
  <c r="AG100" i="4"/>
  <c r="Q100" i="4" s="1"/>
  <c r="AC69" i="9"/>
  <c r="AG69" i="9" s="1"/>
  <c r="B33" i="7"/>
  <c r="AA101" i="8"/>
  <c r="AG13" i="4"/>
  <c r="Q13" i="4" s="1"/>
  <c r="AC63" i="9"/>
  <c r="AG63" i="9" s="1"/>
  <c r="D42" i="6"/>
  <c r="AG91" i="4"/>
  <c r="Q91" i="4" s="1"/>
  <c r="AG96" i="4"/>
  <c r="Q96" i="4" s="1"/>
  <c r="AI63" i="9"/>
  <c r="AH63" i="9"/>
  <c r="AI49" i="9"/>
  <c r="AH49" i="9"/>
  <c r="AI52" i="9"/>
  <c r="AJ52" i="9"/>
  <c r="AH52" i="9"/>
  <c r="AG26" i="4"/>
  <c r="Q26" i="4" s="1"/>
  <c r="V52" i="9"/>
  <c r="AG241" i="4"/>
  <c r="Q241" i="4" s="1"/>
  <c r="R33" i="7"/>
  <c r="S33" i="7" s="1"/>
  <c r="AG81" i="4"/>
  <c r="Q81" i="4" s="1"/>
  <c r="AI60" i="8"/>
  <c r="AH60" i="8"/>
  <c r="AJ60" i="8"/>
  <c r="M58" i="7"/>
  <c r="B58" i="7"/>
  <c r="C48" i="9"/>
  <c r="B48" i="9"/>
  <c r="AG19" i="4"/>
  <c r="Q19" i="4" s="1"/>
  <c r="P51" i="7"/>
  <c r="P183" i="9"/>
  <c r="Q183" i="9" s="1"/>
  <c r="AA48" i="8"/>
  <c r="AD139" i="9"/>
  <c r="AJ139" i="9"/>
  <c r="D35" i="6"/>
  <c r="C49" i="6" s="1"/>
  <c r="AG208" i="4"/>
  <c r="Q208" i="4" s="1"/>
  <c r="F33" i="7"/>
  <c r="J33" i="7" s="1"/>
  <c r="AG87" i="4"/>
  <c r="Q87" i="4" s="1"/>
  <c r="AG47" i="4"/>
  <c r="Q47" i="4" s="1"/>
  <c r="B38" i="5" s="1"/>
  <c r="D40" i="6"/>
  <c r="B53" i="6"/>
  <c r="AG168" i="4"/>
  <c r="Q168" i="4" s="1"/>
  <c r="O61" i="7"/>
  <c r="P61" i="7" s="1"/>
  <c r="M61" i="7"/>
  <c r="A52" i="5"/>
  <c r="C52" i="5" s="1"/>
  <c r="E53" i="5" s="1"/>
  <c r="D52" i="5"/>
  <c r="AG281" i="4"/>
  <c r="Q281" i="4" s="1"/>
  <c r="W45" i="9"/>
  <c r="AG185" i="4"/>
  <c r="Q185" i="4" s="1"/>
  <c r="AB59" i="9"/>
  <c r="AA115" i="9"/>
  <c r="X45" i="9"/>
  <c r="Z45" i="9" s="1"/>
  <c r="AF139" i="9"/>
  <c r="W56" i="8"/>
  <c r="AA53" i="8"/>
  <c r="P47" i="7"/>
  <c r="AG45" i="4"/>
  <c r="Q45" i="4" s="1"/>
  <c r="B36" i="5" s="1"/>
  <c r="AG134" i="4"/>
  <c r="Q134" i="4" s="1"/>
  <c r="AJ69" i="9"/>
  <c r="AI69" i="9"/>
  <c r="B69" i="9"/>
  <c r="AJ53" i="8"/>
  <c r="AI53" i="8"/>
  <c r="AH53" i="8"/>
  <c r="AH139" i="9"/>
  <c r="X56" i="8"/>
  <c r="AE56" i="8" s="1"/>
  <c r="AG126" i="4"/>
  <c r="Q126" i="4" s="1"/>
  <c r="AG42" i="4"/>
  <c r="Q42" i="4" s="1"/>
  <c r="T101" i="8"/>
  <c r="AB101" i="8" s="1"/>
  <c r="B55" i="9"/>
  <c r="AJ55" i="9"/>
  <c r="AI55" i="9"/>
  <c r="Q69" i="7"/>
  <c r="O69" i="7"/>
  <c r="C69" i="7"/>
  <c r="W49" i="9"/>
  <c r="AJ73" i="9"/>
  <c r="AK139" i="9"/>
  <c r="AG213" i="4"/>
  <c r="Q213" i="4" s="1"/>
  <c r="U101" i="8"/>
  <c r="D56" i="5"/>
  <c r="B65" i="8"/>
  <c r="AI65" i="8"/>
  <c r="C73" i="9"/>
  <c r="AC73" i="9" s="1"/>
  <c r="AG73" i="9" s="1"/>
  <c r="F139" i="9"/>
  <c r="P58" i="7"/>
  <c r="AG170" i="4"/>
  <c r="Q170" i="4" s="1"/>
  <c r="AG158" i="4"/>
  <c r="Q158" i="4" s="1"/>
  <c r="AG231" i="4"/>
  <c r="Q231" i="4" s="1"/>
  <c r="AG162" i="4"/>
  <c r="Q162" i="4" s="1"/>
  <c r="G11" i="11"/>
  <c r="K9" i="11"/>
  <c r="B45" i="5"/>
  <c r="AE115" i="9"/>
  <c r="Z115" i="9"/>
  <c r="Y115" i="9"/>
  <c r="D63" i="5"/>
  <c r="B46" i="5"/>
  <c r="B33" i="5"/>
  <c r="B26" i="5"/>
  <c r="Y101" i="8"/>
  <c r="Z101" i="8"/>
  <c r="B32" i="5"/>
  <c r="C57" i="5"/>
  <c r="AJ70" i="11"/>
  <c r="C70" i="11"/>
  <c r="V70" i="11" s="1"/>
  <c r="B70" i="11"/>
  <c r="AI70" i="11"/>
  <c r="AJ108" i="10"/>
  <c r="AI108" i="10"/>
  <c r="C108" i="10"/>
  <c r="W108" i="10" s="1"/>
  <c r="B108" i="10"/>
  <c r="AJ102" i="9"/>
  <c r="AI102" i="9"/>
  <c r="C102" i="9"/>
  <c r="AC102" i="9" s="1"/>
  <c r="AG102" i="9" s="1"/>
  <c r="B102" i="9"/>
  <c r="AN59" i="9"/>
  <c r="AM59" i="9"/>
  <c r="AL59" i="9"/>
  <c r="AJ130" i="8"/>
  <c r="V130" i="8"/>
  <c r="E130" i="8"/>
  <c r="AH130" i="8"/>
  <c r="T130" i="8"/>
  <c r="C130" i="8"/>
  <c r="B130" i="8"/>
  <c r="AD130" i="8"/>
  <c r="P130" i="8"/>
  <c r="Q130" i="8" s="1"/>
  <c r="AB130" i="8"/>
  <c r="AC130" i="8"/>
  <c r="AG130" i="8" s="1"/>
  <c r="F130" i="8"/>
  <c r="AA130" i="8"/>
  <c r="D130" i="8"/>
  <c r="X130" i="8"/>
  <c r="W130" i="8"/>
  <c r="U130" i="8"/>
  <c r="AF130" i="8" s="1"/>
  <c r="AI130" i="8"/>
  <c r="I130" i="8"/>
  <c r="H130" i="8"/>
  <c r="G130" i="8"/>
  <c r="J55" i="7"/>
  <c r="H55" i="7"/>
  <c r="I55" i="7" s="1"/>
  <c r="G55" i="7"/>
  <c r="AD102" i="11"/>
  <c r="AC102" i="11"/>
  <c r="AG102" i="11" s="1"/>
  <c r="AB102" i="11"/>
  <c r="AA102" i="11"/>
  <c r="I102" i="11"/>
  <c r="H102" i="11"/>
  <c r="X102" i="11"/>
  <c r="G102" i="11"/>
  <c r="W102" i="11"/>
  <c r="F102" i="11"/>
  <c r="AJ102" i="11"/>
  <c r="V102" i="11"/>
  <c r="E102" i="11"/>
  <c r="AI102" i="11"/>
  <c r="AH102" i="11"/>
  <c r="U102" i="11"/>
  <c r="T102" i="11"/>
  <c r="AK102" i="11" s="1"/>
  <c r="D102" i="11"/>
  <c r="C102" i="11"/>
  <c r="P102" i="11" s="1"/>
  <c r="Q102" i="11" s="1"/>
  <c r="B102" i="11"/>
  <c r="B163" i="10"/>
  <c r="AC163" i="10"/>
  <c r="AG163" i="10" s="1"/>
  <c r="I163" i="10"/>
  <c r="AH163" i="10"/>
  <c r="H163" i="10"/>
  <c r="AD163" i="10"/>
  <c r="G163" i="10"/>
  <c r="AB163" i="10"/>
  <c r="F163" i="10"/>
  <c r="AA163" i="10"/>
  <c r="E163" i="10"/>
  <c r="D163" i="10"/>
  <c r="X163" i="10"/>
  <c r="C163" i="10"/>
  <c r="P163" i="10" s="1"/>
  <c r="Q163" i="10" s="1"/>
  <c r="W163" i="10"/>
  <c r="V163" i="10"/>
  <c r="U163" i="10"/>
  <c r="AJ163" i="10"/>
  <c r="AI163" i="10"/>
  <c r="T163" i="10"/>
  <c r="AK163" i="10" s="1"/>
  <c r="AC148" i="8"/>
  <c r="AG148" i="8" s="1"/>
  <c r="AB148" i="8"/>
  <c r="AA148" i="8"/>
  <c r="I148" i="8"/>
  <c r="H148" i="8"/>
  <c r="X148" i="8"/>
  <c r="G148" i="8"/>
  <c r="W148" i="8"/>
  <c r="F148" i="8"/>
  <c r="AJ148" i="8"/>
  <c r="V148" i="8"/>
  <c r="E148" i="8"/>
  <c r="AI148" i="8"/>
  <c r="U148" i="8"/>
  <c r="AF148" i="8" s="1"/>
  <c r="D148" i="8"/>
  <c r="AH148" i="8"/>
  <c r="T148" i="8"/>
  <c r="C148" i="8"/>
  <c r="P148" i="8" s="1"/>
  <c r="Q148" i="8" s="1"/>
  <c r="AD148" i="8"/>
  <c r="B148" i="8"/>
  <c r="J35" i="7"/>
  <c r="H35" i="7"/>
  <c r="I35" i="7" s="1"/>
  <c r="G35" i="7"/>
  <c r="AD176" i="10"/>
  <c r="AC176" i="10"/>
  <c r="AG176" i="10" s="1"/>
  <c r="AB176" i="10"/>
  <c r="AA176" i="10"/>
  <c r="I176" i="10"/>
  <c r="H176" i="10"/>
  <c r="X176" i="10"/>
  <c r="G176" i="10"/>
  <c r="AI176" i="10"/>
  <c r="U176" i="10"/>
  <c r="AF176" i="10" s="1"/>
  <c r="D176" i="10"/>
  <c r="B176" i="10"/>
  <c r="C176" i="10"/>
  <c r="AJ176" i="10"/>
  <c r="AH176" i="10"/>
  <c r="W176" i="10"/>
  <c r="V176" i="10"/>
  <c r="T176" i="10"/>
  <c r="F176" i="10"/>
  <c r="E176" i="10"/>
  <c r="O32" i="7"/>
  <c r="M32" i="7"/>
  <c r="Q32" i="7"/>
  <c r="F32" i="7"/>
  <c r="D32" i="7"/>
  <c r="E32" i="7" s="1"/>
  <c r="C32" i="7"/>
  <c r="B32" i="7"/>
  <c r="R32" i="7"/>
  <c r="S32" i="7" s="1"/>
  <c r="C107" i="8"/>
  <c r="AJ107" i="8"/>
  <c r="B107" i="8"/>
  <c r="AI107" i="8"/>
  <c r="Y56" i="8"/>
  <c r="AC105" i="8"/>
  <c r="AG105" i="8" s="1"/>
  <c r="AN181" i="8"/>
  <c r="AM181" i="8"/>
  <c r="AL181" i="8"/>
  <c r="AJ103" i="10"/>
  <c r="AI103" i="10"/>
  <c r="C103" i="10"/>
  <c r="B103" i="10"/>
  <c r="AI92" i="9"/>
  <c r="B92" i="9"/>
  <c r="AJ92" i="9"/>
  <c r="C92" i="9"/>
  <c r="X92" i="9" s="1"/>
  <c r="AI74" i="9"/>
  <c r="B74" i="9"/>
  <c r="C74" i="9"/>
  <c r="AC74" i="9" s="1"/>
  <c r="AG74" i="9" s="1"/>
  <c r="AA74" i="9"/>
  <c r="AJ74" i="9"/>
  <c r="C57" i="8"/>
  <c r="AC57" i="8" s="1"/>
  <c r="AG57" i="8" s="1"/>
  <c r="B57" i="8"/>
  <c r="AJ57" i="8"/>
  <c r="AI57" i="8"/>
  <c r="AH57" i="8"/>
  <c r="AB162" i="10"/>
  <c r="I162" i="10"/>
  <c r="X162" i="10"/>
  <c r="G162" i="10"/>
  <c r="AI162" i="10"/>
  <c r="U162" i="10"/>
  <c r="D162" i="10"/>
  <c r="AD162" i="10"/>
  <c r="H162" i="10"/>
  <c r="AC162" i="10"/>
  <c r="AG162" i="10" s="1"/>
  <c r="F162" i="10"/>
  <c r="AA162" i="10"/>
  <c r="E162" i="10"/>
  <c r="C162" i="10"/>
  <c r="W162" i="10"/>
  <c r="B162" i="10"/>
  <c r="V162" i="10"/>
  <c r="T162" i="10"/>
  <c r="AJ162" i="10"/>
  <c r="AH162" i="10"/>
  <c r="P162" i="10"/>
  <c r="Q162" i="10" s="1"/>
  <c r="X71" i="8"/>
  <c r="AJ71" i="8"/>
  <c r="AI71" i="8"/>
  <c r="B71" i="8"/>
  <c r="C71" i="8"/>
  <c r="AC71" i="8" s="1"/>
  <c r="AG71" i="8" s="1"/>
  <c r="AI113" i="8"/>
  <c r="B113" i="8"/>
  <c r="C113" i="8"/>
  <c r="AC113" i="8" s="1"/>
  <c r="AG113" i="8" s="1"/>
  <c r="X113" i="8"/>
  <c r="AJ113" i="8"/>
  <c r="B162" i="8"/>
  <c r="AD162" i="8"/>
  <c r="AB162" i="8"/>
  <c r="AA162" i="8"/>
  <c r="I162" i="8"/>
  <c r="H162" i="8"/>
  <c r="U162" i="8"/>
  <c r="T162" i="8"/>
  <c r="AJ162" i="8"/>
  <c r="G162" i="8"/>
  <c r="AI162" i="8"/>
  <c r="F162" i="8"/>
  <c r="AH162" i="8"/>
  <c r="E162" i="8"/>
  <c r="D162" i="8"/>
  <c r="AC162" i="8"/>
  <c r="AG162" i="8" s="1"/>
  <c r="X162" i="8"/>
  <c r="W162" i="8"/>
  <c r="V162" i="8"/>
  <c r="C162" i="8"/>
  <c r="P162" i="8" s="1"/>
  <c r="Q162" i="8" s="1"/>
  <c r="AJ50" i="11"/>
  <c r="AI50" i="11"/>
  <c r="AH50" i="11"/>
  <c r="C50" i="11"/>
  <c r="B50" i="11"/>
  <c r="AH58" i="11"/>
  <c r="C58" i="11"/>
  <c r="AC58" i="11" s="1"/>
  <c r="AG58" i="11" s="1"/>
  <c r="B58" i="11"/>
  <c r="AJ58" i="11"/>
  <c r="AI58" i="11"/>
  <c r="AI85" i="11"/>
  <c r="U85" i="11"/>
  <c r="AJ85" i="11"/>
  <c r="C85" i="11"/>
  <c r="AC85" i="11" s="1"/>
  <c r="AG85" i="11" s="1"/>
  <c r="B85" i="11"/>
  <c r="AD122" i="11"/>
  <c r="AC122" i="11"/>
  <c r="AG122" i="11" s="1"/>
  <c r="AB122" i="11"/>
  <c r="AA122" i="11"/>
  <c r="I122" i="11"/>
  <c r="H122" i="11"/>
  <c r="X122" i="11"/>
  <c r="G122" i="11"/>
  <c r="AK122" i="11"/>
  <c r="W122" i="11"/>
  <c r="F122" i="11"/>
  <c r="AJ122" i="11"/>
  <c r="V122" i="11"/>
  <c r="E122" i="11"/>
  <c r="AI122" i="11"/>
  <c r="U122" i="11"/>
  <c r="D122" i="11"/>
  <c r="T122" i="11"/>
  <c r="C122" i="11"/>
  <c r="P122" i="11" s="1"/>
  <c r="Q122" i="11" s="1"/>
  <c r="B122" i="11"/>
  <c r="AH122" i="11"/>
  <c r="AH97" i="11"/>
  <c r="T97" i="11"/>
  <c r="C97" i="11"/>
  <c r="B97" i="11"/>
  <c r="AD97" i="11"/>
  <c r="AC97" i="11"/>
  <c r="AG97" i="11" s="1"/>
  <c r="AB97" i="11"/>
  <c r="AA97" i="11"/>
  <c r="I97" i="11"/>
  <c r="H97" i="11"/>
  <c r="F97" i="11"/>
  <c r="E97" i="11"/>
  <c r="D97" i="11"/>
  <c r="AJ97" i="11"/>
  <c r="AI97" i="11"/>
  <c r="X97" i="11"/>
  <c r="W97" i="11"/>
  <c r="V97" i="11"/>
  <c r="U97" i="11"/>
  <c r="G97" i="11"/>
  <c r="W115" i="11"/>
  <c r="F115" i="11"/>
  <c r="AJ115" i="11"/>
  <c r="V115" i="11"/>
  <c r="E115" i="11"/>
  <c r="AI115" i="11"/>
  <c r="U115" i="11"/>
  <c r="D115" i="11"/>
  <c r="AH115" i="11"/>
  <c r="T115" i="11"/>
  <c r="C115" i="11"/>
  <c r="P115" i="11" s="1"/>
  <c r="Q115" i="11" s="1"/>
  <c r="B115" i="11"/>
  <c r="AD115" i="11"/>
  <c r="AC115" i="11"/>
  <c r="AG115" i="11" s="1"/>
  <c r="AB115" i="11"/>
  <c r="X115" i="11"/>
  <c r="I115" i="11"/>
  <c r="H115" i="11"/>
  <c r="G115" i="11"/>
  <c r="AA115" i="11"/>
  <c r="AI180" i="11"/>
  <c r="U180" i="11"/>
  <c r="D180" i="11"/>
  <c r="AH180" i="11"/>
  <c r="T180" i="11"/>
  <c r="C180" i="11"/>
  <c r="P180" i="11" s="1"/>
  <c r="Q180" i="11" s="1"/>
  <c r="AJ180" i="11"/>
  <c r="AD180" i="11"/>
  <c r="AC180" i="11"/>
  <c r="AG180" i="11" s="1"/>
  <c r="AB180" i="11"/>
  <c r="I180" i="11"/>
  <c r="AA180" i="11"/>
  <c r="H180" i="11"/>
  <c r="G180" i="11"/>
  <c r="X180" i="11"/>
  <c r="W180" i="11"/>
  <c r="V180" i="11"/>
  <c r="F180" i="11"/>
  <c r="E180" i="11"/>
  <c r="B180" i="11"/>
  <c r="AI137" i="11"/>
  <c r="U137" i="11"/>
  <c r="D137" i="11"/>
  <c r="AH137" i="11"/>
  <c r="T137" i="11"/>
  <c r="C137" i="11"/>
  <c r="P137" i="11" s="1"/>
  <c r="Q137" i="11" s="1"/>
  <c r="B137" i="11"/>
  <c r="AD137" i="11"/>
  <c r="AC137" i="11"/>
  <c r="AG137" i="11" s="1"/>
  <c r="AB137" i="11"/>
  <c r="I137" i="11"/>
  <c r="F137" i="11"/>
  <c r="E137" i="11"/>
  <c r="AJ137" i="11"/>
  <c r="AA137" i="11"/>
  <c r="X137" i="11"/>
  <c r="W137" i="11"/>
  <c r="V137" i="11"/>
  <c r="H137" i="11"/>
  <c r="G137" i="11"/>
  <c r="X161" i="11"/>
  <c r="G161" i="11"/>
  <c r="W161" i="11"/>
  <c r="F161" i="11"/>
  <c r="AA161" i="11"/>
  <c r="H161" i="11"/>
  <c r="E161" i="11"/>
  <c r="D161" i="11"/>
  <c r="V161" i="11"/>
  <c r="C161" i="11"/>
  <c r="P161" i="11" s="1"/>
  <c r="Q161" i="11" s="1"/>
  <c r="U161" i="11"/>
  <c r="B161" i="11"/>
  <c r="AJ161" i="11"/>
  <c r="T161" i="11"/>
  <c r="AI161" i="11"/>
  <c r="AH161" i="11"/>
  <c r="I161" i="11"/>
  <c r="AD161" i="11"/>
  <c r="AC161" i="11"/>
  <c r="AG161" i="11" s="1"/>
  <c r="AB161" i="11"/>
  <c r="AD160" i="11"/>
  <c r="AC160" i="11"/>
  <c r="AG160" i="11" s="1"/>
  <c r="AB160" i="11"/>
  <c r="AA160" i="11"/>
  <c r="I160" i="11"/>
  <c r="H160" i="11"/>
  <c r="G160" i="11"/>
  <c r="X160" i="11"/>
  <c r="F160" i="11"/>
  <c r="U160" i="11"/>
  <c r="AF160" i="11" s="1"/>
  <c r="C160" i="11"/>
  <c r="P160" i="11" s="1"/>
  <c r="Q160" i="11" s="1"/>
  <c r="E160" i="11"/>
  <c r="D160" i="11"/>
  <c r="AJ160" i="11"/>
  <c r="B160" i="11"/>
  <c r="AI160" i="11"/>
  <c r="AH160" i="11"/>
  <c r="W160" i="11"/>
  <c r="V160" i="11"/>
  <c r="T160" i="11"/>
  <c r="AH57" i="11"/>
  <c r="AI57" i="11"/>
  <c r="C57" i="11"/>
  <c r="X57" i="11" s="1"/>
  <c r="B57" i="11"/>
  <c r="AJ57" i="11"/>
  <c r="AJ65" i="10"/>
  <c r="C65" i="10"/>
  <c r="AA65" i="10" s="1"/>
  <c r="B65" i="10"/>
  <c r="AI65" i="10"/>
  <c r="AH65" i="10"/>
  <c r="AJ101" i="10"/>
  <c r="AI101" i="10"/>
  <c r="C101" i="10"/>
  <c r="T101" i="10" s="1"/>
  <c r="AD101" i="10" s="1"/>
  <c r="B101" i="10"/>
  <c r="AI49" i="10"/>
  <c r="AH49" i="10"/>
  <c r="C49" i="10"/>
  <c r="W49" i="10" s="1"/>
  <c r="B49" i="10"/>
  <c r="AJ49" i="10"/>
  <c r="AJ72" i="10"/>
  <c r="AI72" i="10"/>
  <c r="C72" i="10"/>
  <c r="B72" i="10"/>
  <c r="AJ100" i="10"/>
  <c r="AI100" i="10"/>
  <c r="C100" i="10"/>
  <c r="AC100" i="10" s="1"/>
  <c r="AG100" i="10" s="1"/>
  <c r="B100" i="10"/>
  <c r="C88" i="10"/>
  <c r="AA88" i="10" s="1"/>
  <c r="B88" i="10"/>
  <c r="AJ88" i="10"/>
  <c r="AI88" i="10"/>
  <c r="AD145" i="10"/>
  <c r="AC145" i="10"/>
  <c r="AG145" i="10" s="1"/>
  <c r="AB145" i="10"/>
  <c r="AA145" i="10"/>
  <c r="I145" i="10"/>
  <c r="H145" i="10"/>
  <c r="AI145" i="10"/>
  <c r="U145" i="10"/>
  <c r="D145" i="10"/>
  <c r="AJ145" i="10"/>
  <c r="G145" i="10"/>
  <c r="AH145" i="10"/>
  <c r="F145" i="10"/>
  <c r="E145" i="10"/>
  <c r="C145" i="10"/>
  <c r="AK145" i="10" s="1"/>
  <c r="B145" i="10"/>
  <c r="X145" i="10"/>
  <c r="W145" i="10"/>
  <c r="T145" i="10"/>
  <c r="V145" i="10"/>
  <c r="B126" i="10"/>
  <c r="X126" i="10"/>
  <c r="AJ126" i="10"/>
  <c r="AI126" i="10"/>
  <c r="V126" i="10"/>
  <c r="U126" i="10"/>
  <c r="T126" i="10"/>
  <c r="AK126" i="10" s="1"/>
  <c r="C126" i="10"/>
  <c r="AC126" i="10" s="1"/>
  <c r="AG126" i="10" s="1"/>
  <c r="D126" i="10"/>
  <c r="AC181" i="10"/>
  <c r="AG181" i="10" s="1"/>
  <c r="AA181" i="10"/>
  <c r="H181" i="10"/>
  <c r="W181" i="10"/>
  <c r="F181" i="10"/>
  <c r="T181" i="10"/>
  <c r="AJ181" i="10"/>
  <c r="AI181" i="10"/>
  <c r="AH181" i="10"/>
  <c r="AB181" i="10"/>
  <c r="E181" i="10"/>
  <c r="X181" i="10"/>
  <c r="C181" i="10"/>
  <c r="P181" i="10" s="1"/>
  <c r="Q181" i="10" s="1"/>
  <c r="I181" i="10"/>
  <c r="G181" i="10"/>
  <c r="D181" i="10"/>
  <c r="B181" i="10"/>
  <c r="AD181" i="10"/>
  <c r="V181" i="10"/>
  <c r="U181" i="10"/>
  <c r="I178" i="10"/>
  <c r="H178" i="10"/>
  <c r="X178" i="10"/>
  <c r="G178" i="10"/>
  <c r="W178" i="10"/>
  <c r="F178" i="10"/>
  <c r="AJ178" i="10"/>
  <c r="V178" i="10"/>
  <c r="E178" i="10"/>
  <c r="AI178" i="10"/>
  <c r="U178" i="10"/>
  <c r="D178" i="10"/>
  <c r="AH178" i="10"/>
  <c r="T178" i="10"/>
  <c r="C178" i="10"/>
  <c r="AC178" i="10"/>
  <c r="AG178" i="10" s="1"/>
  <c r="AD178" i="10"/>
  <c r="AB178" i="10"/>
  <c r="AA178" i="10"/>
  <c r="P178" i="10"/>
  <c r="Q178" i="10" s="1"/>
  <c r="B178" i="10"/>
  <c r="AI120" i="9"/>
  <c r="B120" i="9"/>
  <c r="AJ120" i="9"/>
  <c r="C120" i="9"/>
  <c r="AJ94" i="9"/>
  <c r="AI94" i="9"/>
  <c r="C94" i="9"/>
  <c r="AC94" i="9" s="1"/>
  <c r="AG94" i="9" s="1"/>
  <c r="B94" i="9"/>
  <c r="AA94" i="9"/>
  <c r="AJ125" i="9"/>
  <c r="AI125" i="9"/>
  <c r="C125" i="9"/>
  <c r="B125" i="9"/>
  <c r="C96" i="9"/>
  <c r="AC96" i="9" s="1"/>
  <c r="AG96" i="9" s="1"/>
  <c r="B96" i="9"/>
  <c r="AJ96" i="9"/>
  <c r="AI96" i="9"/>
  <c r="I165" i="9"/>
  <c r="H165" i="9"/>
  <c r="X165" i="9"/>
  <c r="G165" i="9"/>
  <c r="W165" i="9"/>
  <c r="F165" i="9"/>
  <c r="AJ165" i="9"/>
  <c r="V165" i="9"/>
  <c r="E165" i="9"/>
  <c r="AI165" i="9"/>
  <c r="U165" i="9"/>
  <c r="AF165" i="9" s="1"/>
  <c r="D165" i="9"/>
  <c r="AH165" i="9"/>
  <c r="T165" i="9"/>
  <c r="C165" i="9"/>
  <c r="AK165" i="9" s="1"/>
  <c r="B165" i="9"/>
  <c r="AC165" i="9"/>
  <c r="AG165" i="9" s="1"/>
  <c r="AA165" i="9"/>
  <c r="AD165" i="9"/>
  <c r="AB165" i="9"/>
  <c r="AJ172" i="9"/>
  <c r="V172" i="9"/>
  <c r="E172" i="9"/>
  <c r="AH172" i="9"/>
  <c r="T172" i="9"/>
  <c r="C172" i="9"/>
  <c r="F172" i="9"/>
  <c r="X172" i="9"/>
  <c r="D172" i="9"/>
  <c r="W172" i="9"/>
  <c r="B172" i="9"/>
  <c r="U172" i="9"/>
  <c r="AF172" i="9" s="1"/>
  <c r="AK172" i="9"/>
  <c r="AI172" i="9"/>
  <c r="P172" i="9"/>
  <c r="Q172" i="9" s="1"/>
  <c r="AD172" i="9"/>
  <c r="AA172" i="9"/>
  <c r="I172" i="9"/>
  <c r="H172" i="9"/>
  <c r="G172" i="9"/>
  <c r="AC172" i="9"/>
  <c r="AG172" i="9" s="1"/>
  <c r="AB172" i="9"/>
  <c r="B58" i="9"/>
  <c r="AJ58" i="9"/>
  <c r="AI58" i="9"/>
  <c r="AH58" i="9"/>
  <c r="C58" i="9"/>
  <c r="AA58" i="9" s="1"/>
  <c r="C61" i="9"/>
  <c r="T61" i="9" s="1"/>
  <c r="B61" i="9"/>
  <c r="AJ61" i="9"/>
  <c r="AI61" i="9"/>
  <c r="AH61" i="9"/>
  <c r="X47" i="9"/>
  <c r="AJ47" i="9"/>
  <c r="C47" i="9"/>
  <c r="AC47" i="9" s="1"/>
  <c r="AG47" i="9" s="1"/>
  <c r="AI47" i="9"/>
  <c r="B47" i="9"/>
  <c r="AH47" i="9"/>
  <c r="U63" i="9"/>
  <c r="Y183" i="9"/>
  <c r="AE183" i="9"/>
  <c r="Z183" i="9"/>
  <c r="AL132" i="9"/>
  <c r="AN132" i="9"/>
  <c r="AM132" i="9"/>
  <c r="Z49" i="9"/>
  <c r="AE49" i="9"/>
  <c r="Y49" i="9"/>
  <c r="AN45" i="8"/>
  <c r="AM45" i="8"/>
  <c r="AL45" i="8"/>
  <c r="AJ86" i="8"/>
  <c r="AI86" i="8"/>
  <c r="C86" i="8"/>
  <c r="B86" i="8"/>
  <c r="AI58" i="8"/>
  <c r="C58" i="8"/>
  <c r="AA58" i="8" s="1"/>
  <c r="B58" i="8"/>
  <c r="AJ58" i="8"/>
  <c r="AH58" i="8"/>
  <c r="F59" i="7"/>
  <c r="R59" i="7"/>
  <c r="S59" i="7" s="1"/>
  <c r="D59" i="7"/>
  <c r="E59" i="7" s="1"/>
  <c r="B59" i="7"/>
  <c r="O59" i="7"/>
  <c r="M59" i="7"/>
  <c r="C59" i="7"/>
  <c r="Q59" i="7"/>
  <c r="AJ43" i="8"/>
  <c r="AI43" i="8"/>
  <c r="AH43" i="8"/>
  <c r="C43" i="8"/>
  <c r="AA43" i="8" s="1"/>
  <c r="B43" i="8"/>
  <c r="AJ85" i="8"/>
  <c r="AI85" i="8"/>
  <c r="C85" i="8"/>
  <c r="T85" i="8" s="1"/>
  <c r="B85" i="8"/>
  <c r="AJ76" i="8"/>
  <c r="AI76" i="8"/>
  <c r="C76" i="8"/>
  <c r="AC76" i="8" s="1"/>
  <c r="AG76" i="8" s="1"/>
  <c r="B76" i="8"/>
  <c r="AH67" i="8"/>
  <c r="AC67" i="8"/>
  <c r="AG67" i="8" s="1"/>
  <c r="AA67" i="8"/>
  <c r="C67" i="8"/>
  <c r="B67" i="8"/>
  <c r="AJ67" i="8"/>
  <c r="AI67" i="8"/>
  <c r="C94" i="8"/>
  <c r="B94" i="8"/>
  <c r="AJ94" i="8"/>
  <c r="AI94" i="8"/>
  <c r="AI127" i="8"/>
  <c r="B127" i="8"/>
  <c r="AJ127" i="8"/>
  <c r="C127" i="8"/>
  <c r="AH155" i="8"/>
  <c r="T155" i="8"/>
  <c r="AK155" i="8" s="1"/>
  <c r="C155" i="8"/>
  <c r="P155" i="8" s="1"/>
  <c r="Q155" i="8" s="1"/>
  <c r="AB155" i="8"/>
  <c r="I155" i="8"/>
  <c r="AA155" i="8"/>
  <c r="H155" i="8"/>
  <c r="G155" i="8"/>
  <c r="F155" i="8"/>
  <c r="X155" i="8"/>
  <c r="E155" i="8"/>
  <c r="W155" i="8"/>
  <c r="D155" i="8"/>
  <c r="V155" i="8"/>
  <c r="B155" i="8"/>
  <c r="U155" i="8"/>
  <c r="AJ155" i="8"/>
  <c r="AI155" i="8"/>
  <c r="AD155" i="8"/>
  <c r="AC155" i="8"/>
  <c r="AG155" i="8" s="1"/>
  <c r="AH176" i="8"/>
  <c r="T176" i="8"/>
  <c r="C176" i="8"/>
  <c r="P176" i="8" s="1"/>
  <c r="Q176" i="8" s="1"/>
  <c r="B176" i="8"/>
  <c r="AD176" i="8"/>
  <c r="AC176" i="8"/>
  <c r="AG176" i="8" s="1"/>
  <c r="AB176" i="8"/>
  <c r="AA176" i="8"/>
  <c r="I176" i="8"/>
  <c r="H176" i="8"/>
  <c r="D176" i="8"/>
  <c r="AJ176" i="8"/>
  <c r="AI176" i="8"/>
  <c r="X176" i="8"/>
  <c r="W176" i="8"/>
  <c r="V176" i="8"/>
  <c r="U176" i="8"/>
  <c r="AF176" i="8" s="1"/>
  <c r="G176" i="8"/>
  <c r="F176" i="8"/>
  <c r="E176" i="8"/>
  <c r="AJ89" i="8"/>
  <c r="C89" i="8"/>
  <c r="X89" i="8" s="1"/>
  <c r="B89" i="8"/>
  <c r="AI89" i="8"/>
  <c r="Z175" i="8"/>
  <c r="Y175" i="8"/>
  <c r="AE175" i="8"/>
  <c r="W105" i="8"/>
  <c r="W101" i="8"/>
  <c r="H66" i="7"/>
  <c r="I66" i="7" s="1"/>
  <c r="K66" i="7" s="1"/>
  <c r="L66" i="7" s="1"/>
  <c r="G66" i="7"/>
  <c r="J66" i="7"/>
  <c r="C83" i="11"/>
  <c r="AA83" i="11" s="1"/>
  <c r="B83" i="11"/>
  <c r="AJ83" i="11"/>
  <c r="AI83" i="11"/>
  <c r="AC176" i="11"/>
  <c r="AG176" i="11" s="1"/>
  <c r="AB176" i="11"/>
  <c r="U176" i="11"/>
  <c r="C176" i="11"/>
  <c r="P176" i="11" s="1"/>
  <c r="Q176" i="11" s="1"/>
  <c r="AJ176" i="11"/>
  <c r="T176" i="11"/>
  <c r="B176" i="11"/>
  <c r="AI176" i="11"/>
  <c r="AH176" i="11"/>
  <c r="AD176" i="11"/>
  <c r="AA176" i="11"/>
  <c r="I176" i="11"/>
  <c r="H176" i="11"/>
  <c r="X176" i="11"/>
  <c r="W176" i="11"/>
  <c r="V176" i="11"/>
  <c r="G176" i="11"/>
  <c r="F176" i="11"/>
  <c r="E176" i="11"/>
  <c r="D176" i="11"/>
  <c r="X50" i="10"/>
  <c r="AJ50" i="10"/>
  <c r="AI50" i="10"/>
  <c r="AH50" i="10"/>
  <c r="T50" i="10"/>
  <c r="AK50" i="10" s="1"/>
  <c r="C50" i="10"/>
  <c r="B50" i="10"/>
  <c r="AC50" i="10"/>
  <c r="AG50" i="10" s="1"/>
  <c r="AA50" i="10"/>
  <c r="AC141" i="9"/>
  <c r="AG141" i="9" s="1"/>
  <c r="H141" i="9"/>
  <c r="W141" i="9"/>
  <c r="F141" i="9"/>
  <c r="AA141" i="9"/>
  <c r="C141" i="9"/>
  <c r="P141" i="9" s="1"/>
  <c r="Q141" i="9" s="1"/>
  <c r="B141" i="9"/>
  <c r="X141" i="9"/>
  <c r="V141" i="9"/>
  <c r="U141" i="9"/>
  <c r="T141" i="9"/>
  <c r="AI141" i="9"/>
  <c r="G141" i="9"/>
  <c r="E141" i="9"/>
  <c r="D141" i="9"/>
  <c r="AJ141" i="9"/>
  <c r="AH141" i="9"/>
  <c r="AB141" i="9"/>
  <c r="I141" i="9"/>
  <c r="AD141" i="9"/>
  <c r="C76" i="9"/>
  <c r="AC76" i="9" s="1"/>
  <c r="AG76" i="9" s="1"/>
  <c r="B76" i="9"/>
  <c r="AJ76" i="9"/>
  <c r="AI76" i="9"/>
  <c r="AJ101" i="9"/>
  <c r="C101" i="9"/>
  <c r="B101" i="9"/>
  <c r="AI101" i="9"/>
  <c r="AJ158" i="11"/>
  <c r="V158" i="11"/>
  <c r="E158" i="11"/>
  <c r="AD158" i="11"/>
  <c r="AC158" i="11"/>
  <c r="AG158" i="11" s="1"/>
  <c r="AB158" i="11"/>
  <c r="AA158" i="11"/>
  <c r="I158" i="11"/>
  <c r="H158" i="11"/>
  <c r="G158" i="11"/>
  <c r="X158" i="11"/>
  <c r="F158" i="11"/>
  <c r="AI158" i="11"/>
  <c r="T158" i="11"/>
  <c r="AK158" i="11" s="1"/>
  <c r="B158" i="11"/>
  <c r="W158" i="11"/>
  <c r="U158" i="11"/>
  <c r="D158" i="11"/>
  <c r="C158" i="11"/>
  <c r="P158" i="11" s="1"/>
  <c r="Q158" i="11" s="1"/>
  <c r="AH158" i="11"/>
  <c r="AA140" i="9"/>
  <c r="I140" i="9"/>
  <c r="X140" i="9"/>
  <c r="G140" i="9"/>
  <c r="AH140" i="9"/>
  <c r="T140" i="9"/>
  <c r="AF140" i="9" s="1"/>
  <c r="C140" i="9"/>
  <c r="P140" i="9" s="1"/>
  <c r="Q140" i="9" s="1"/>
  <c r="U140" i="9"/>
  <c r="AJ140" i="9"/>
  <c r="AI140" i="9"/>
  <c r="H140" i="9"/>
  <c r="AC140" i="9"/>
  <c r="AG140" i="9" s="1"/>
  <c r="E140" i="9"/>
  <c r="AD140" i="9"/>
  <c r="AB140" i="9"/>
  <c r="W140" i="9"/>
  <c r="V140" i="9"/>
  <c r="F140" i="9"/>
  <c r="D140" i="9"/>
  <c r="B140" i="9"/>
  <c r="AJ47" i="8"/>
  <c r="C47" i="8"/>
  <c r="B47" i="8"/>
  <c r="AI47" i="8"/>
  <c r="AH47" i="8"/>
  <c r="X118" i="11"/>
  <c r="G118" i="11"/>
  <c r="W118" i="11"/>
  <c r="F118" i="11"/>
  <c r="AJ118" i="11"/>
  <c r="V118" i="11"/>
  <c r="E118" i="11"/>
  <c r="AI118" i="11"/>
  <c r="U118" i="11"/>
  <c r="D118" i="11"/>
  <c r="AH118" i="11"/>
  <c r="T118" i="11"/>
  <c r="C118" i="11"/>
  <c r="P118" i="11" s="1"/>
  <c r="Q118" i="11" s="1"/>
  <c r="B118" i="11"/>
  <c r="AD118" i="11"/>
  <c r="AC118" i="11"/>
  <c r="AG118" i="11" s="1"/>
  <c r="AB118" i="11"/>
  <c r="AA118" i="11"/>
  <c r="I118" i="11"/>
  <c r="H118" i="11"/>
  <c r="AJ51" i="10"/>
  <c r="C51" i="10"/>
  <c r="AC51" i="10" s="1"/>
  <c r="AG51" i="10" s="1"/>
  <c r="B51" i="10"/>
  <c r="AI51" i="10"/>
  <c r="AH51" i="10"/>
  <c r="AD157" i="8"/>
  <c r="AB157" i="8"/>
  <c r="AI157" i="8"/>
  <c r="AH157" i="8"/>
  <c r="AC157" i="8"/>
  <c r="AG157" i="8" s="1"/>
  <c r="AA157" i="8"/>
  <c r="I157" i="8"/>
  <c r="H157" i="8"/>
  <c r="G157" i="8"/>
  <c r="X157" i="8"/>
  <c r="F157" i="8"/>
  <c r="AJ157" i="8"/>
  <c r="W157" i="8"/>
  <c r="V157" i="8"/>
  <c r="U157" i="8"/>
  <c r="AF157" i="8" s="1"/>
  <c r="T157" i="8"/>
  <c r="E157" i="8"/>
  <c r="D157" i="8"/>
  <c r="C157" i="8"/>
  <c r="B157" i="8"/>
  <c r="AB116" i="11"/>
  <c r="AA116" i="11"/>
  <c r="I116" i="11"/>
  <c r="H116" i="11"/>
  <c r="X116" i="11"/>
  <c r="G116" i="11"/>
  <c r="W116" i="11"/>
  <c r="F116" i="11"/>
  <c r="AJ116" i="11"/>
  <c r="V116" i="11"/>
  <c r="E116" i="11"/>
  <c r="AI116" i="11"/>
  <c r="U116" i="11"/>
  <c r="D116" i="11"/>
  <c r="AH116" i="11"/>
  <c r="T116" i="11"/>
  <c r="AK116" i="11" s="1"/>
  <c r="C116" i="11"/>
  <c r="P116" i="11" s="1"/>
  <c r="Q116" i="11" s="1"/>
  <c r="B116" i="11"/>
  <c r="AD116" i="11"/>
  <c r="AC116" i="11"/>
  <c r="AG116" i="11" s="1"/>
  <c r="AJ111" i="9"/>
  <c r="AI111" i="9"/>
  <c r="C111" i="9"/>
  <c r="AC111" i="9" s="1"/>
  <c r="AG111" i="9" s="1"/>
  <c r="B111" i="9"/>
  <c r="AJ47" i="11"/>
  <c r="AI47" i="11"/>
  <c r="AH47" i="11"/>
  <c r="C47" i="11"/>
  <c r="AC47" i="11" s="1"/>
  <c r="AG47" i="11" s="1"/>
  <c r="B47" i="11"/>
  <c r="AJ72" i="11"/>
  <c r="AI72" i="11"/>
  <c r="C72" i="11"/>
  <c r="AC72" i="11" s="1"/>
  <c r="AG72" i="11" s="1"/>
  <c r="B72" i="11"/>
  <c r="AH65" i="11"/>
  <c r="C65" i="11"/>
  <c r="B65" i="11"/>
  <c r="AC65" i="11"/>
  <c r="AG65" i="11" s="1"/>
  <c r="AI65" i="11"/>
  <c r="AJ65" i="11"/>
  <c r="I101" i="11"/>
  <c r="H101" i="11"/>
  <c r="X101" i="11"/>
  <c r="G101" i="11"/>
  <c r="W101" i="11"/>
  <c r="F101" i="11"/>
  <c r="AJ101" i="11"/>
  <c r="V101" i="11"/>
  <c r="E101" i="11"/>
  <c r="AI101" i="11"/>
  <c r="U101" i="11"/>
  <c r="D101" i="11"/>
  <c r="AH101" i="11"/>
  <c r="T101" i="11"/>
  <c r="C101" i="11"/>
  <c r="P101" i="11" s="1"/>
  <c r="Q101" i="11" s="1"/>
  <c r="B101" i="11"/>
  <c r="AD101" i="11"/>
  <c r="AC101" i="11"/>
  <c r="AG101" i="11" s="1"/>
  <c r="AB101" i="11"/>
  <c r="AA101" i="11"/>
  <c r="AC119" i="11"/>
  <c r="AG119" i="11" s="1"/>
  <c r="AB119" i="11"/>
  <c r="AA119" i="11"/>
  <c r="I119" i="11"/>
  <c r="H119" i="11"/>
  <c r="X119" i="11"/>
  <c r="G119" i="11"/>
  <c r="W119" i="11"/>
  <c r="F119" i="11"/>
  <c r="AJ119" i="11"/>
  <c r="V119" i="11"/>
  <c r="E119" i="11"/>
  <c r="AI119" i="11"/>
  <c r="U119" i="11"/>
  <c r="AF119" i="11" s="1"/>
  <c r="D119" i="11"/>
  <c r="AH119" i="11"/>
  <c r="T119" i="11"/>
  <c r="C119" i="11"/>
  <c r="P119" i="11" s="1"/>
  <c r="Q119" i="11" s="1"/>
  <c r="B119" i="11"/>
  <c r="AD119" i="11"/>
  <c r="AJ112" i="11"/>
  <c r="V112" i="11"/>
  <c r="E112" i="11"/>
  <c r="AI112" i="11"/>
  <c r="U112" i="11"/>
  <c r="D112" i="11"/>
  <c r="AH112" i="11"/>
  <c r="T112" i="11"/>
  <c r="C112" i="11"/>
  <c r="P112" i="11" s="1"/>
  <c r="Q112" i="11" s="1"/>
  <c r="B112" i="11"/>
  <c r="AD112" i="11"/>
  <c r="AC112" i="11"/>
  <c r="AG112" i="11" s="1"/>
  <c r="AA112" i="11"/>
  <c r="AB112" i="11"/>
  <c r="X112" i="11"/>
  <c r="W112" i="11"/>
  <c r="I112" i="11"/>
  <c r="H112" i="11"/>
  <c r="G112" i="11"/>
  <c r="F112" i="11"/>
  <c r="AD114" i="11"/>
  <c r="P114" i="11"/>
  <c r="Q114" i="11" s="1"/>
  <c r="AC114" i="11"/>
  <c r="AG114" i="11" s="1"/>
  <c r="AB114" i="11"/>
  <c r="AA114" i="11"/>
  <c r="I114" i="11"/>
  <c r="H114" i="11"/>
  <c r="W114" i="11"/>
  <c r="F114" i="11"/>
  <c r="X114" i="11"/>
  <c r="V114" i="11"/>
  <c r="U114" i="11"/>
  <c r="T114" i="11"/>
  <c r="G114" i="11"/>
  <c r="E114" i="11"/>
  <c r="D114" i="11"/>
  <c r="AJ114" i="11"/>
  <c r="AI114" i="11"/>
  <c r="AH114" i="11"/>
  <c r="C114" i="11"/>
  <c r="B114" i="11"/>
  <c r="AH134" i="11"/>
  <c r="T134" i="11"/>
  <c r="C134" i="11"/>
  <c r="B134" i="11"/>
  <c r="AD134" i="11"/>
  <c r="AC134" i="11"/>
  <c r="AG134" i="11" s="1"/>
  <c r="AB134" i="11"/>
  <c r="AA134" i="11"/>
  <c r="H134" i="11"/>
  <c r="G134" i="11"/>
  <c r="F134" i="11"/>
  <c r="E134" i="11"/>
  <c r="D134" i="11"/>
  <c r="AJ134" i="11"/>
  <c r="AI134" i="11"/>
  <c r="X134" i="11"/>
  <c r="W134" i="11"/>
  <c r="V134" i="11"/>
  <c r="U134" i="11"/>
  <c r="I134" i="11"/>
  <c r="X175" i="11"/>
  <c r="G175" i="11"/>
  <c r="W175" i="11"/>
  <c r="F175" i="11"/>
  <c r="AA175" i="11"/>
  <c r="H175" i="11"/>
  <c r="E175" i="11"/>
  <c r="D175" i="11"/>
  <c r="V175" i="11"/>
  <c r="C175" i="11"/>
  <c r="P175" i="11" s="1"/>
  <c r="Q175" i="11" s="1"/>
  <c r="U175" i="11"/>
  <c r="B175" i="11"/>
  <c r="AJ175" i="11"/>
  <c r="T175" i="11"/>
  <c r="AI175" i="11"/>
  <c r="AH175" i="11"/>
  <c r="AD175" i="11"/>
  <c r="AC175" i="11"/>
  <c r="AG175" i="11" s="1"/>
  <c r="AB175" i="11"/>
  <c r="I175" i="11"/>
  <c r="B174" i="11"/>
  <c r="AD174" i="11"/>
  <c r="AC174" i="11"/>
  <c r="AG174" i="11" s="1"/>
  <c r="AB174" i="11"/>
  <c r="I174" i="11"/>
  <c r="AA174" i="11"/>
  <c r="H174" i="11"/>
  <c r="G174" i="11"/>
  <c r="F174" i="11"/>
  <c r="X174" i="11"/>
  <c r="E174" i="11"/>
  <c r="W174" i="11"/>
  <c r="D174" i="11"/>
  <c r="V174" i="11"/>
  <c r="C174" i="11"/>
  <c r="P174" i="11" s="1"/>
  <c r="Q174" i="11" s="1"/>
  <c r="U174" i="11"/>
  <c r="AJ174" i="11"/>
  <c r="AI174" i="11"/>
  <c r="AH174" i="11"/>
  <c r="T174" i="11"/>
  <c r="AI76" i="10"/>
  <c r="C76" i="10"/>
  <c r="AC76" i="10" s="1"/>
  <c r="AG76" i="10" s="1"/>
  <c r="B76" i="10"/>
  <c r="AJ76" i="10"/>
  <c r="AJ107" i="10"/>
  <c r="C107" i="10"/>
  <c r="AA107" i="10" s="1"/>
  <c r="B107" i="10"/>
  <c r="AI107" i="10"/>
  <c r="AI63" i="10"/>
  <c r="AH63" i="10"/>
  <c r="C63" i="10"/>
  <c r="X63" i="10" s="1"/>
  <c r="B63" i="10"/>
  <c r="AJ63" i="10"/>
  <c r="AJ98" i="10"/>
  <c r="AI98" i="10"/>
  <c r="C98" i="10"/>
  <c r="B98" i="10"/>
  <c r="C113" i="10"/>
  <c r="T113" i="10" s="1"/>
  <c r="B113" i="10"/>
  <c r="AJ113" i="10"/>
  <c r="AI113" i="10"/>
  <c r="AA113" i="10"/>
  <c r="C102" i="10"/>
  <c r="B102" i="10"/>
  <c r="AJ102" i="10"/>
  <c r="AI102" i="10"/>
  <c r="AJ116" i="10"/>
  <c r="C116" i="10"/>
  <c r="AA116" i="10" s="1"/>
  <c r="B116" i="10"/>
  <c r="AI116" i="10"/>
  <c r="W137" i="10"/>
  <c r="F137" i="10"/>
  <c r="AI137" i="10"/>
  <c r="T137" i="10"/>
  <c r="B137" i="10"/>
  <c r="AH137" i="10"/>
  <c r="AD137" i="10"/>
  <c r="AC137" i="10"/>
  <c r="AG137" i="10" s="1"/>
  <c r="AB137" i="10"/>
  <c r="AA137" i="10"/>
  <c r="I137" i="10"/>
  <c r="H137" i="10"/>
  <c r="V137" i="10"/>
  <c r="U137" i="10"/>
  <c r="G137" i="10"/>
  <c r="E137" i="10"/>
  <c r="D137" i="10"/>
  <c r="C137" i="10"/>
  <c r="X137" i="10"/>
  <c r="AJ137" i="10"/>
  <c r="W152" i="10"/>
  <c r="F152" i="10"/>
  <c r="AJ152" i="10"/>
  <c r="V152" i="10"/>
  <c r="E152" i="10"/>
  <c r="AI152" i="10"/>
  <c r="U152" i="10"/>
  <c r="D152" i="10"/>
  <c r="AH152" i="10"/>
  <c r="T152" i="10"/>
  <c r="C152" i="10"/>
  <c r="B152" i="10"/>
  <c r="AD152" i="10"/>
  <c r="AC152" i="10"/>
  <c r="AG152" i="10" s="1"/>
  <c r="AB152" i="10"/>
  <c r="I152" i="10"/>
  <c r="H152" i="10"/>
  <c r="G152" i="10"/>
  <c r="AA152" i="10"/>
  <c r="X152" i="10"/>
  <c r="AC173" i="10"/>
  <c r="AG173" i="10" s="1"/>
  <c r="AB173" i="10"/>
  <c r="AA173" i="10"/>
  <c r="I173" i="10"/>
  <c r="H173" i="10"/>
  <c r="X173" i="10"/>
  <c r="G173" i="10"/>
  <c r="W173" i="10"/>
  <c r="F173" i="10"/>
  <c r="AH173" i="10"/>
  <c r="T173" i="10"/>
  <c r="C173" i="10"/>
  <c r="E173" i="10"/>
  <c r="D173" i="10"/>
  <c r="AJ173" i="10"/>
  <c r="B173" i="10"/>
  <c r="AI173" i="10"/>
  <c r="AD173" i="10"/>
  <c r="V173" i="10"/>
  <c r="U173" i="10"/>
  <c r="AA43" i="9"/>
  <c r="C43" i="9"/>
  <c r="AC43" i="9" s="1"/>
  <c r="AG43" i="9" s="1"/>
  <c r="AJ43" i="9"/>
  <c r="AI43" i="9"/>
  <c r="AH43" i="9"/>
  <c r="B43" i="9"/>
  <c r="AI98" i="9"/>
  <c r="AJ98" i="9"/>
  <c r="C98" i="9"/>
  <c r="X98" i="9" s="1"/>
  <c r="B98" i="9"/>
  <c r="AJ108" i="9"/>
  <c r="AI108" i="9"/>
  <c r="C108" i="9"/>
  <c r="V108" i="9" s="1"/>
  <c r="B108" i="9"/>
  <c r="I130" i="9"/>
  <c r="X130" i="9"/>
  <c r="G130" i="9"/>
  <c r="AC130" i="9"/>
  <c r="AG130" i="9" s="1"/>
  <c r="AB130" i="9"/>
  <c r="H130" i="9"/>
  <c r="AA130" i="9"/>
  <c r="F130" i="9"/>
  <c r="E130" i="9"/>
  <c r="W130" i="9"/>
  <c r="D130" i="9"/>
  <c r="V130" i="9"/>
  <c r="C130" i="9"/>
  <c r="P130" i="9" s="1"/>
  <c r="Q130" i="9" s="1"/>
  <c r="AJ130" i="9"/>
  <c r="T130" i="9"/>
  <c r="AH130" i="9"/>
  <c r="AI130" i="9"/>
  <c r="AD130" i="9"/>
  <c r="U130" i="9"/>
  <c r="B130" i="9"/>
  <c r="C110" i="9"/>
  <c r="AC110" i="9" s="1"/>
  <c r="AG110" i="9" s="1"/>
  <c r="B110" i="9"/>
  <c r="AJ110" i="9"/>
  <c r="AI110" i="9"/>
  <c r="AC171" i="9"/>
  <c r="AG171" i="9" s="1"/>
  <c r="AB171" i="9"/>
  <c r="I171" i="9"/>
  <c r="AA171" i="9"/>
  <c r="H171" i="9"/>
  <c r="G171" i="9"/>
  <c r="F171" i="9"/>
  <c r="X171" i="9"/>
  <c r="E171" i="9"/>
  <c r="W171" i="9"/>
  <c r="D171" i="9"/>
  <c r="V171" i="9"/>
  <c r="C171" i="9"/>
  <c r="P171" i="9" s="1"/>
  <c r="Q171" i="9" s="1"/>
  <c r="U171" i="9"/>
  <c r="B171" i="9"/>
  <c r="AJ171" i="9"/>
  <c r="T171" i="9"/>
  <c r="AI171" i="9"/>
  <c r="AH171" i="9"/>
  <c r="AD171" i="9"/>
  <c r="AH147" i="9"/>
  <c r="T147" i="9"/>
  <c r="C147" i="9"/>
  <c r="AK147" i="9" s="1"/>
  <c r="B147" i="9"/>
  <c r="AD147" i="9"/>
  <c r="AB147" i="9"/>
  <c r="AA147" i="9"/>
  <c r="H147" i="9"/>
  <c r="X147" i="9"/>
  <c r="W147" i="9"/>
  <c r="V147" i="9"/>
  <c r="U147" i="9"/>
  <c r="I147" i="9"/>
  <c r="F147" i="9"/>
  <c r="G147" i="9"/>
  <c r="E147" i="9"/>
  <c r="D147" i="9"/>
  <c r="AJ147" i="9"/>
  <c r="AI147" i="9"/>
  <c r="AC147" i="9"/>
  <c r="AG147" i="9" s="1"/>
  <c r="AJ51" i="9"/>
  <c r="B51" i="9"/>
  <c r="AI51" i="9"/>
  <c r="AH51" i="9"/>
  <c r="C51" i="9"/>
  <c r="C57" i="9"/>
  <c r="B57" i="9"/>
  <c r="AJ57" i="9"/>
  <c r="AI57" i="9"/>
  <c r="AH57" i="9"/>
  <c r="AI84" i="9"/>
  <c r="X84" i="9"/>
  <c r="C84" i="9"/>
  <c r="B84" i="9"/>
  <c r="AJ84" i="9"/>
  <c r="T115" i="9"/>
  <c r="T45" i="9"/>
  <c r="X66" i="9"/>
  <c r="AJ80" i="8"/>
  <c r="AI80" i="8"/>
  <c r="C80" i="8"/>
  <c r="AA80" i="8" s="1"/>
  <c r="B80" i="8"/>
  <c r="Q57" i="7"/>
  <c r="C57" i="7"/>
  <c r="B57" i="7"/>
  <c r="O57" i="7"/>
  <c r="D57" i="7"/>
  <c r="E57" i="7" s="1"/>
  <c r="R57" i="7"/>
  <c r="S57" i="7" s="1"/>
  <c r="M57" i="7"/>
  <c r="F57" i="7"/>
  <c r="F45" i="7"/>
  <c r="R45" i="7"/>
  <c r="S45" i="7" s="1"/>
  <c r="D45" i="7"/>
  <c r="E45" i="7" s="1"/>
  <c r="B45" i="7"/>
  <c r="O45" i="7"/>
  <c r="M45" i="7"/>
  <c r="Q45" i="7"/>
  <c r="C45" i="7"/>
  <c r="AI95" i="8"/>
  <c r="C95" i="8"/>
  <c r="B95" i="8"/>
  <c r="AJ95" i="8"/>
  <c r="AJ90" i="8"/>
  <c r="AI90" i="8"/>
  <c r="C90" i="8"/>
  <c r="AC90" i="8" s="1"/>
  <c r="AG90" i="8" s="1"/>
  <c r="B90" i="8"/>
  <c r="B81" i="8"/>
  <c r="AC81" i="8"/>
  <c r="AG81" i="8" s="1"/>
  <c r="C81" i="8"/>
  <c r="AJ81" i="8"/>
  <c r="AI81" i="8"/>
  <c r="AD108" i="8"/>
  <c r="AA108" i="8"/>
  <c r="AJ108" i="8"/>
  <c r="AI108" i="8"/>
  <c r="V108" i="8"/>
  <c r="T108" i="8"/>
  <c r="AK108" i="8" s="1"/>
  <c r="C108" i="8"/>
  <c r="AC108" i="8" s="1"/>
  <c r="AG108" i="8" s="1"/>
  <c r="B108" i="8"/>
  <c r="AJ141" i="8"/>
  <c r="V141" i="8"/>
  <c r="E141" i="8"/>
  <c r="AI141" i="8"/>
  <c r="U141" i="8"/>
  <c r="D141" i="8"/>
  <c r="AH141" i="8"/>
  <c r="T141" i="8"/>
  <c r="C141" i="8"/>
  <c r="P141" i="8" s="1"/>
  <c r="Q141" i="8" s="1"/>
  <c r="B141" i="8"/>
  <c r="AD141" i="8"/>
  <c r="AC141" i="8"/>
  <c r="AG141" i="8" s="1"/>
  <c r="AB141" i="8"/>
  <c r="AA141" i="8"/>
  <c r="X141" i="8"/>
  <c r="W141" i="8"/>
  <c r="I141" i="8"/>
  <c r="H141" i="8"/>
  <c r="G141" i="8"/>
  <c r="F141" i="8"/>
  <c r="I169" i="8"/>
  <c r="H169" i="8"/>
  <c r="W169" i="8"/>
  <c r="F169" i="8"/>
  <c r="AJ169" i="8"/>
  <c r="V169" i="8"/>
  <c r="E169" i="8"/>
  <c r="AI169" i="8"/>
  <c r="U169" i="8"/>
  <c r="D169" i="8"/>
  <c r="AH169" i="8"/>
  <c r="T169" i="8"/>
  <c r="C169" i="8"/>
  <c r="P169" i="8" s="1"/>
  <c r="Q169" i="8" s="1"/>
  <c r="B169" i="8"/>
  <c r="G169" i="8"/>
  <c r="AD169" i="8"/>
  <c r="AA169" i="8"/>
  <c r="X169" i="8"/>
  <c r="AC169" i="8"/>
  <c r="AG169" i="8" s="1"/>
  <c r="AB169" i="8"/>
  <c r="B173" i="8"/>
  <c r="AD173" i="8"/>
  <c r="AC173" i="8"/>
  <c r="AG173" i="8" s="1"/>
  <c r="AB173" i="8"/>
  <c r="AA173" i="8"/>
  <c r="I173" i="8"/>
  <c r="H173" i="8"/>
  <c r="X173" i="8"/>
  <c r="G173" i="8"/>
  <c r="V173" i="8"/>
  <c r="U173" i="8"/>
  <c r="AF173" i="8" s="1"/>
  <c r="T173" i="8"/>
  <c r="F173" i="8"/>
  <c r="E173" i="8"/>
  <c r="D173" i="8"/>
  <c r="C173" i="8"/>
  <c r="P173" i="8" s="1"/>
  <c r="Q173" i="8" s="1"/>
  <c r="AJ173" i="8"/>
  <c r="AI173" i="8"/>
  <c r="AH173" i="8"/>
  <c r="W173" i="8"/>
  <c r="AJ83" i="8"/>
  <c r="AI83" i="8"/>
  <c r="C83" i="8"/>
  <c r="B83" i="8"/>
  <c r="AC56" i="8"/>
  <c r="AG56" i="8" s="1"/>
  <c r="C39" i="6"/>
  <c r="B51" i="6" s="1"/>
  <c r="P37" i="7"/>
  <c r="V101" i="8"/>
  <c r="K8" i="11"/>
  <c r="K10" i="11" s="1"/>
  <c r="AB130" i="11"/>
  <c r="AA130" i="11"/>
  <c r="I130" i="11"/>
  <c r="H130" i="11"/>
  <c r="X130" i="11"/>
  <c r="G130" i="11"/>
  <c r="W130" i="11"/>
  <c r="F130" i="11"/>
  <c r="AI130" i="11"/>
  <c r="U130" i="11"/>
  <c r="D130" i="11"/>
  <c r="B130" i="11"/>
  <c r="AJ130" i="11"/>
  <c r="E130" i="11"/>
  <c r="AH130" i="11"/>
  <c r="C130" i="11"/>
  <c r="P130" i="11" s="1"/>
  <c r="Q130" i="11" s="1"/>
  <c r="T130" i="11"/>
  <c r="V130" i="11"/>
  <c r="AD130" i="11"/>
  <c r="AC130" i="11"/>
  <c r="AG130" i="11" s="1"/>
  <c r="AJ106" i="10"/>
  <c r="AI106" i="10"/>
  <c r="C106" i="10"/>
  <c r="T106" i="10" s="1"/>
  <c r="B106" i="10"/>
  <c r="B140" i="10"/>
  <c r="AC140" i="10"/>
  <c r="AG140" i="10" s="1"/>
  <c r="AB140" i="10"/>
  <c r="X140" i="10"/>
  <c r="G140" i="10"/>
  <c r="AD140" i="10"/>
  <c r="E140" i="10"/>
  <c r="AA140" i="10"/>
  <c r="D140" i="10"/>
  <c r="C140" i="10"/>
  <c r="P140" i="10" s="1"/>
  <c r="Q140" i="10" s="1"/>
  <c r="W140" i="10"/>
  <c r="V140" i="10"/>
  <c r="U140" i="10"/>
  <c r="AF140" i="10" s="1"/>
  <c r="T140" i="10"/>
  <c r="I140" i="10"/>
  <c r="H140" i="10"/>
  <c r="F140" i="10"/>
  <c r="AJ140" i="10"/>
  <c r="AI140" i="10"/>
  <c r="AH140" i="10"/>
  <c r="C72" i="9"/>
  <c r="AJ72" i="9"/>
  <c r="AI72" i="9"/>
  <c r="B72" i="9"/>
  <c r="AD140" i="8"/>
  <c r="P140" i="8"/>
  <c r="Q140" i="8" s="1"/>
  <c r="AC140" i="8"/>
  <c r="AG140" i="8" s="1"/>
  <c r="AB140" i="8"/>
  <c r="AA140" i="8"/>
  <c r="I140" i="8"/>
  <c r="H140" i="8"/>
  <c r="X140" i="8"/>
  <c r="G140" i="8"/>
  <c r="W140" i="8"/>
  <c r="F140" i="8"/>
  <c r="AJ140" i="8"/>
  <c r="V140" i="8"/>
  <c r="E140" i="8"/>
  <c r="AI140" i="8"/>
  <c r="AH140" i="8"/>
  <c r="U140" i="8"/>
  <c r="T140" i="8"/>
  <c r="D140" i="8"/>
  <c r="B140" i="8"/>
  <c r="C140" i="8"/>
  <c r="AK140" i="8" s="1"/>
  <c r="C84" i="8"/>
  <c r="X84" i="8" s="1"/>
  <c r="B84" i="8"/>
  <c r="AJ84" i="8"/>
  <c r="AI84" i="8"/>
  <c r="R36" i="7"/>
  <c r="S36" i="7" s="1"/>
  <c r="D36" i="7"/>
  <c r="E36" i="7" s="1"/>
  <c r="Q36" i="7"/>
  <c r="C36" i="7"/>
  <c r="B36" i="7"/>
  <c r="O36" i="7"/>
  <c r="F36" i="7"/>
  <c r="M36" i="7"/>
  <c r="X64" i="8"/>
  <c r="AN105" i="8"/>
  <c r="AJ103" i="11"/>
  <c r="V103" i="11"/>
  <c r="E103" i="11"/>
  <c r="AI103" i="11"/>
  <c r="U103" i="11"/>
  <c r="D103" i="11"/>
  <c r="AH103" i="11"/>
  <c r="T103" i="11"/>
  <c r="AK103" i="11" s="1"/>
  <c r="C103" i="11"/>
  <c r="P103" i="11" s="1"/>
  <c r="Q103" i="11" s="1"/>
  <c r="B103" i="11"/>
  <c r="AD103" i="11"/>
  <c r="AC103" i="11"/>
  <c r="AG103" i="11" s="1"/>
  <c r="AB103" i="11"/>
  <c r="AA103" i="11"/>
  <c r="F103" i="11"/>
  <c r="X103" i="11"/>
  <c r="W103" i="11"/>
  <c r="I103" i="11"/>
  <c r="H103" i="11"/>
  <c r="G103" i="11"/>
  <c r="H164" i="11"/>
  <c r="X164" i="11"/>
  <c r="G164" i="11"/>
  <c r="AC164" i="11"/>
  <c r="AG164" i="11" s="1"/>
  <c r="AB164" i="11"/>
  <c r="I164" i="11"/>
  <c r="AA164" i="11"/>
  <c r="F164" i="11"/>
  <c r="E164" i="11"/>
  <c r="W164" i="11"/>
  <c r="D164" i="11"/>
  <c r="V164" i="11"/>
  <c r="C164" i="11"/>
  <c r="AK164" i="11" s="1"/>
  <c r="U164" i="11"/>
  <c r="AF164" i="11" s="1"/>
  <c r="B164" i="11"/>
  <c r="AJ164" i="11"/>
  <c r="T164" i="11"/>
  <c r="AH164" i="11"/>
  <c r="P164" i="11"/>
  <c r="Q164" i="11" s="1"/>
  <c r="AI164" i="11"/>
  <c r="AD164" i="11"/>
  <c r="AI118" i="10"/>
  <c r="C118" i="10"/>
  <c r="AC118" i="10" s="1"/>
  <c r="AG118" i="10" s="1"/>
  <c r="AJ118" i="10"/>
  <c r="B118" i="10"/>
  <c r="AI78" i="9"/>
  <c r="B78" i="9"/>
  <c r="AC78" i="9"/>
  <c r="AG78" i="9" s="1"/>
  <c r="AJ78" i="9"/>
  <c r="C78" i="9"/>
  <c r="AA78" i="9" s="1"/>
  <c r="AJ153" i="9"/>
  <c r="V153" i="9"/>
  <c r="E153" i="9"/>
  <c r="AI153" i="9"/>
  <c r="U153" i="9"/>
  <c r="D153" i="9"/>
  <c r="AH153" i="9"/>
  <c r="T153" i="9"/>
  <c r="C153" i="9"/>
  <c r="P153" i="9" s="1"/>
  <c r="Q153" i="9" s="1"/>
  <c r="B153" i="9"/>
  <c r="AD153" i="9"/>
  <c r="AC153" i="9"/>
  <c r="AG153" i="9" s="1"/>
  <c r="AA153" i="9"/>
  <c r="I153" i="9"/>
  <c r="H153" i="9"/>
  <c r="G153" i="9"/>
  <c r="AB153" i="9"/>
  <c r="X153" i="9"/>
  <c r="W153" i="9"/>
  <c r="F153" i="9"/>
  <c r="AJ93" i="8"/>
  <c r="AI93" i="8"/>
  <c r="C93" i="8"/>
  <c r="AC93" i="8" s="1"/>
  <c r="AG93" i="8" s="1"/>
  <c r="B93" i="8"/>
  <c r="AA93" i="8"/>
  <c r="I110" i="11"/>
  <c r="H110" i="11"/>
  <c r="X110" i="11"/>
  <c r="G110" i="11"/>
  <c r="W110" i="11"/>
  <c r="F110" i="11"/>
  <c r="AJ110" i="11"/>
  <c r="V110" i="11"/>
  <c r="E110" i="11"/>
  <c r="AI110" i="11"/>
  <c r="U110" i="11"/>
  <c r="D110" i="11"/>
  <c r="AH110" i="11"/>
  <c r="T110" i="11"/>
  <c r="C110" i="11"/>
  <c r="P110" i="11" s="1"/>
  <c r="Q110" i="11" s="1"/>
  <c r="B110" i="11"/>
  <c r="AD110" i="11"/>
  <c r="AC110" i="11"/>
  <c r="AG110" i="11" s="1"/>
  <c r="AB110" i="11"/>
  <c r="AA110" i="11"/>
  <c r="AH163" i="11"/>
  <c r="T163" i="11"/>
  <c r="C163" i="11"/>
  <c r="P163" i="11" s="1"/>
  <c r="Q163" i="11" s="1"/>
  <c r="B163" i="11"/>
  <c r="AD163" i="11"/>
  <c r="AC163" i="11"/>
  <c r="AG163" i="11" s="1"/>
  <c r="AB163" i="11"/>
  <c r="I163" i="11"/>
  <c r="AA163" i="11"/>
  <c r="H163" i="11"/>
  <c r="G163" i="11"/>
  <c r="F163" i="11"/>
  <c r="W163" i="11"/>
  <c r="D163" i="11"/>
  <c r="E163" i="11"/>
  <c r="AJ163" i="11"/>
  <c r="AI163" i="11"/>
  <c r="X163" i="11"/>
  <c r="U163" i="11"/>
  <c r="V163" i="11"/>
  <c r="AJ52" i="10"/>
  <c r="AI52" i="10"/>
  <c r="AH52" i="10"/>
  <c r="C52" i="10"/>
  <c r="W52" i="10" s="1"/>
  <c r="B52" i="10"/>
  <c r="AI132" i="10"/>
  <c r="U132" i="10"/>
  <c r="D132" i="10"/>
  <c r="AH132" i="10"/>
  <c r="T132" i="10"/>
  <c r="C132" i="10"/>
  <c r="P132" i="10" s="1"/>
  <c r="Q132" i="10" s="1"/>
  <c r="B132" i="10"/>
  <c r="AD132" i="10"/>
  <c r="AC132" i="10"/>
  <c r="AG132" i="10" s="1"/>
  <c r="AB132" i="10"/>
  <c r="AA132" i="10"/>
  <c r="I132" i="10"/>
  <c r="AJ132" i="10"/>
  <c r="X132" i="10"/>
  <c r="W132" i="10"/>
  <c r="V132" i="10"/>
  <c r="H132" i="10"/>
  <c r="G132" i="10"/>
  <c r="F132" i="10"/>
  <c r="E132" i="10"/>
  <c r="AC131" i="9"/>
  <c r="AG131" i="9" s="1"/>
  <c r="X131" i="9"/>
  <c r="E131" i="9"/>
  <c r="W131" i="9"/>
  <c r="D131" i="9"/>
  <c r="V131" i="9"/>
  <c r="C131" i="9"/>
  <c r="P131" i="9" s="1"/>
  <c r="Q131" i="9" s="1"/>
  <c r="U131" i="9"/>
  <c r="B131" i="9"/>
  <c r="AJ131" i="9"/>
  <c r="T131" i="9"/>
  <c r="AI131" i="9"/>
  <c r="AD131" i="9"/>
  <c r="AH131" i="9"/>
  <c r="AB131" i="9"/>
  <c r="AA131" i="9"/>
  <c r="I131" i="9"/>
  <c r="H131" i="9"/>
  <c r="F131" i="9"/>
  <c r="G131" i="9"/>
  <c r="AB172" i="8"/>
  <c r="AA172" i="8"/>
  <c r="I172" i="8"/>
  <c r="H172" i="8"/>
  <c r="X172" i="8"/>
  <c r="G172" i="8"/>
  <c r="W172" i="8"/>
  <c r="F172" i="8"/>
  <c r="AJ172" i="8"/>
  <c r="V172" i="8"/>
  <c r="E172" i="8"/>
  <c r="AI172" i="8"/>
  <c r="U172" i="8"/>
  <c r="D172" i="8"/>
  <c r="AH172" i="8"/>
  <c r="T172" i="8"/>
  <c r="C172" i="8"/>
  <c r="P172" i="8" s="1"/>
  <c r="Q172" i="8" s="1"/>
  <c r="B172" i="8"/>
  <c r="AD172" i="8"/>
  <c r="AC172" i="8"/>
  <c r="AG172" i="8" s="1"/>
  <c r="H38" i="7"/>
  <c r="I38" i="7" s="1"/>
  <c r="G38" i="7"/>
  <c r="J38" i="7"/>
  <c r="AJ60" i="11"/>
  <c r="B60" i="11"/>
  <c r="AI60" i="11"/>
  <c r="AH60" i="11"/>
  <c r="C60" i="11"/>
  <c r="AC60" i="11" s="1"/>
  <c r="AG60" i="11" s="1"/>
  <c r="AJ71" i="11"/>
  <c r="AI71" i="11"/>
  <c r="T71" i="11"/>
  <c r="C71" i="11"/>
  <c r="B71" i="11"/>
  <c r="AA170" i="11"/>
  <c r="I170" i="11"/>
  <c r="AH170" i="11"/>
  <c r="AD170" i="11"/>
  <c r="AC170" i="11"/>
  <c r="AG170" i="11" s="1"/>
  <c r="AB170" i="11"/>
  <c r="H170" i="11"/>
  <c r="G170" i="11"/>
  <c r="X170" i="11"/>
  <c r="F170" i="11"/>
  <c r="W170" i="11"/>
  <c r="E170" i="11"/>
  <c r="D170" i="11"/>
  <c r="C170" i="11"/>
  <c r="AK170" i="11" s="1"/>
  <c r="B170" i="11"/>
  <c r="AJ170" i="11"/>
  <c r="AI170" i="11"/>
  <c r="V170" i="11"/>
  <c r="U170" i="11"/>
  <c r="T170" i="11"/>
  <c r="AJ47" i="10"/>
  <c r="AI47" i="10"/>
  <c r="AH47" i="10"/>
  <c r="C47" i="10"/>
  <c r="T47" i="10" s="1"/>
  <c r="AD47" i="10" s="1"/>
  <c r="B47" i="10"/>
  <c r="AC47" i="10"/>
  <c r="AG47" i="10" s="1"/>
  <c r="AA47" i="10"/>
  <c r="AI91" i="10"/>
  <c r="C91" i="10"/>
  <c r="X91" i="10" s="1"/>
  <c r="B91" i="10"/>
  <c r="V91" i="10"/>
  <c r="AJ91" i="10"/>
  <c r="AA91" i="10"/>
  <c r="AD151" i="10"/>
  <c r="AC151" i="10"/>
  <c r="AG151" i="10" s="1"/>
  <c r="AB151" i="10"/>
  <c r="AA151" i="10"/>
  <c r="I151" i="10"/>
  <c r="H151" i="10"/>
  <c r="X151" i="10"/>
  <c r="G151" i="10"/>
  <c r="W151" i="10"/>
  <c r="F151" i="10"/>
  <c r="E151" i="10"/>
  <c r="D151" i="10"/>
  <c r="C151" i="10"/>
  <c r="P151" i="10" s="1"/>
  <c r="Q151" i="10" s="1"/>
  <c r="B151" i="10"/>
  <c r="AJ151" i="10"/>
  <c r="AI151" i="10"/>
  <c r="AH151" i="10"/>
  <c r="V151" i="10"/>
  <c r="U151" i="10"/>
  <c r="T151" i="10"/>
  <c r="AI150" i="9"/>
  <c r="U150" i="9"/>
  <c r="D150" i="9"/>
  <c r="AH150" i="9"/>
  <c r="T150" i="9"/>
  <c r="C150" i="9"/>
  <c r="P150" i="9" s="1"/>
  <c r="Q150" i="9" s="1"/>
  <c r="B150" i="9"/>
  <c r="AC150" i="9"/>
  <c r="AG150" i="9" s="1"/>
  <c r="AB150" i="9"/>
  <c r="I150" i="9"/>
  <c r="F150" i="9"/>
  <c r="E150" i="9"/>
  <c r="AJ150" i="9"/>
  <c r="AD150" i="9"/>
  <c r="AA150" i="9"/>
  <c r="W150" i="9"/>
  <c r="X150" i="9"/>
  <c r="V150" i="9"/>
  <c r="H150" i="9"/>
  <c r="G150" i="9"/>
  <c r="AC154" i="8"/>
  <c r="AG154" i="8" s="1"/>
  <c r="AA154" i="8"/>
  <c r="AD154" i="8"/>
  <c r="AB154" i="8"/>
  <c r="I154" i="8"/>
  <c r="H154" i="8"/>
  <c r="X154" i="8"/>
  <c r="G154" i="8"/>
  <c r="W154" i="8"/>
  <c r="F154" i="8"/>
  <c r="V154" i="8"/>
  <c r="E154" i="8"/>
  <c r="AJ154" i="8"/>
  <c r="AI154" i="8"/>
  <c r="AH154" i="8"/>
  <c r="U154" i="8"/>
  <c r="T154" i="8"/>
  <c r="C154" i="8"/>
  <c r="B154" i="8"/>
  <c r="D154" i="8"/>
  <c r="AC164" i="8"/>
  <c r="AG164" i="8" s="1"/>
  <c r="AB164" i="8"/>
  <c r="I164" i="8"/>
  <c r="X164" i="8"/>
  <c r="G164" i="8"/>
  <c r="W164" i="8"/>
  <c r="F164" i="8"/>
  <c r="AJ164" i="8"/>
  <c r="V164" i="8"/>
  <c r="E164" i="8"/>
  <c r="AI164" i="8"/>
  <c r="U164" i="8"/>
  <c r="D164" i="8"/>
  <c r="AD164" i="8"/>
  <c r="AA164" i="8"/>
  <c r="T164" i="8"/>
  <c r="AH164" i="8"/>
  <c r="H164" i="8"/>
  <c r="C164" i="8"/>
  <c r="P164" i="8" s="1"/>
  <c r="Q164" i="8" s="1"/>
  <c r="B164" i="8"/>
  <c r="AC54" i="8"/>
  <c r="AG54" i="8" s="1"/>
  <c r="X54" i="8"/>
  <c r="C54" i="8"/>
  <c r="B54" i="8"/>
  <c r="AJ54" i="8"/>
  <c r="AI54" i="8"/>
  <c r="AH54" i="8"/>
  <c r="AI119" i="8"/>
  <c r="C119" i="8"/>
  <c r="X119" i="8" s="1"/>
  <c r="B119" i="8"/>
  <c r="AJ119" i="8"/>
  <c r="V119" i="8"/>
  <c r="AI179" i="8"/>
  <c r="U179" i="8"/>
  <c r="AF179" i="8" s="1"/>
  <c r="D179" i="8"/>
  <c r="AH179" i="8"/>
  <c r="T179" i="8"/>
  <c r="C179" i="8"/>
  <c r="P179" i="8" s="1"/>
  <c r="Q179" i="8" s="1"/>
  <c r="B179" i="8"/>
  <c r="AD179" i="8"/>
  <c r="AC179" i="8"/>
  <c r="AG179" i="8" s="1"/>
  <c r="AB179" i="8"/>
  <c r="AA179" i="8"/>
  <c r="I179" i="8"/>
  <c r="V179" i="8"/>
  <c r="H179" i="8"/>
  <c r="G179" i="8"/>
  <c r="F179" i="8"/>
  <c r="E179" i="8"/>
  <c r="AJ179" i="8"/>
  <c r="X179" i="8"/>
  <c r="W179" i="8"/>
  <c r="V105" i="8"/>
  <c r="AF181" i="8"/>
  <c r="AJ105" i="11"/>
  <c r="V105" i="11"/>
  <c r="E105" i="11"/>
  <c r="AH105" i="11"/>
  <c r="T105" i="11"/>
  <c r="C105" i="11"/>
  <c r="P105" i="11" s="1"/>
  <c r="Q105" i="11" s="1"/>
  <c r="F105" i="11"/>
  <c r="X105" i="11"/>
  <c r="D105" i="11"/>
  <c r="W105" i="11"/>
  <c r="B105" i="11"/>
  <c r="U105" i="11"/>
  <c r="AI105" i="11"/>
  <c r="AD105" i="11"/>
  <c r="I105" i="11"/>
  <c r="H105" i="11"/>
  <c r="G105" i="11"/>
  <c r="AC105" i="11"/>
  <c r="AG105" i="11" s="1"/>
  <c r="AB105" i="11"/>
  <c r="AA105" i="11"/>
  <c r="AC59" i="10"/>
  <c r="AG59" i="10" s="1"/>
  <c r="W59" i="10"/>
  <c r="AJ59" i="10"/>
  <c r="AI59" i="10"/>
  <c r="U59" i="10"/>
  <c r="AH59" i="10"/>
  <c r="T59" i="10"/>
  <c r="AB59" i="10" s="1"/>
  <c r="C59" i="10"/>
  <c r="B59" i="10"/>
  <c r="AJ61" i="10"/>
  <c r="AI61" i="10"/>
  <c r="AH61" i="10"/>
  <c r="C61" i="10"/>
  <c r="AC61" i="10" s="1"/>
  <c r="AG61" i="10" s="1"/>
  <c r="B61" i="10"/>
  <c r="AJ86" i="10"/>
  <c r="AI86" i="10"/>
  <c r="C86" i="10"/>
  <c r="AC86" i="10" s="1"/>
  <c r="AG86" i="10" s="1"/>
  <c r="B86" i="10"/>
  <c r="AI164" i="9"/>
  <c r="U164" i="9"/>
  <c r="D164" i="9"/>
  <c r="AH164" i="9"/>
  <c r="T164" i="9"/>
  <c r="C164" i="9"/>
  <c r="P164" i="9" s="1"/>
  <c r="Q164" i="9" s="1"/>
  <c r="B164" i="9"/>
  <c r="AD164" i="9"/>
  <c r="AC164" i="9"/>
  <c r="AG164" i="9" s="1"/>
  <c r="AB164" i="9"/>
  <c r="AA164" i="9"/>
  <c r="I164" i="9"/>
  <c r="AJ164" i="9"/>
  <c r="X164" i="9"/>
  <c r="V164" i="9"/>
  <c r="W164" i="9"/>
  <c r="H164" i="9"/>
  <c r="F164" i="9"/>
  <c r="E164" i="9"/>
  <c r="G164" i="9"/>
  <c r="AJ100" i="9"/>
  <c r="AI100" i="9"/>
  <c r="B100" i="9"/>
  <c r="C100" i="9"/>
  <c r="AC100" i="9" s="1"/>
  <c r="AG100" i="9" s="1"/>
  <c r="B55" i="11"/>
  <c r="C55" i="11"/>
  <c r="AJ55" i="11"/>
  <c r="AI55" i="11"/>
  <c r="AH55" i="11"/>
  <c r="AJ82" i="11"/>
  <c r="C82" i="11"/>
  <c r="B82" i="11"/>
  <c r="U82" i="11"/>
  <c r="AI82" i="11"/>
  <c r="C79" i="11"/>
  <c r="AC79" i="11" s="1"/>
  <c r="AG79" i="11" s="1"/>
  <c r="B79" i="11"/>
  <c r="AJ79" i="11"/>
  <c r="AI79" i="11"/>
  <c r="AJ84" i="11"/>
  <c r="AI84" i="11"/>
  <c r="C84" i="11"/>
  <c r="B84" i="11"/>
  <c r="AD125" i="11"/>
  <c r="AC125" i="11"/>
  <c r="AG125" i="11" s="1"/>
  <c r="AB125" i="11"/>
  <c r="AA125" i="11"/>
  <c r="I125" i="11"/>
  <c r="H125" i="11"/>
  <c r="X125" i="11"/>
  <c r="G125" i="11"/>
  <c r="AK125" i="11"/>
  <c r="W125" i="11"/>
  <c r="F125" i="11"/>
  <c r="AJ125" i="11"/>
  <c r="V125" i="11"/>
  <c r="E125" i="11"/>
  <c r="C125" i="11"/>
  <c r="P125" i="11" s="1"/>
  <c r="Q125" i="11" s="1"/>
  <c r="B125" i="11"/>
  <c r="AI125" i="11"/>
  <c r="AH125" i="11"/>
  <c r="U125" i="11"/>
  <c r="T125" i="11"/>
  <c r="D125" i="11"/>
  <c r="AC126" i="11"/>
  <c r="AG126" i="11" s="1"/>
  <c r="AA126" i="11"/>
  <c r="W126" i="11"/>
  <c r="E126" i="11"/>
  <c r="V126" i="11"/>
  <c r="D126" i="11"/>
  <c r="U126" i="11"/>
  <c r="C126" i="11"/>
  <c r="P126" i="11" s="1"/>
  <c r="Q126" i="11" s="1"/>
  <c r="AJ126" i="11"/>
  <c r="T126" i="11"/>
  <c r="B126" i="11"/>
  <c r="AI126" i="11"/>
  <c r="AH126" i="11"/>
  <c r="AD126" i="11"/>
  <c r="H126" i="11"/>
  <c r="G126" i="11"/>
  <c r="F126" i="11"/>
  <c r="AB126" i="11"/>
  <c r="X126" i="11"/>
  <c r="I126" i="11"/>
  <c r="I138" i="11"/>
  <c r="H138" i="11"/>
  <c r="X138" i="11"/>
  <c r="G138" i="11"/>
  <c r="W138" i="11"/>
  <c r="F138" i="11"/>
  <c r="AJ138" i="11"/>
  <c r="V138" i="11"/>
  <c r="E138" i="11"/>
  <c r="AI138" i="11"/>
  <c r="U138" i="11"/>
  <c r="D138" i="11"/>
  <c r="AH138" i="11"/>
  <c r="T138" i="11"/>
  <c r="C138" i="11"/>
  <c r="AK138" i="11" s="1"/>
  <c r="B138" i="11"/>
  <c r="AD138" i="11"/>
  <c r="AC138" i="11"/>
  <c r="AG138" i="11" s="1"/>
  <c r="AB138" i="11"/>
  <c r="AA138" i="11"/>
  <c r="AB148" i="11"/>
  <c r="AA148" i="11"/>
  <c r="I148" i="11"/>
  <c r="H148" i="11"/>
  <c r="X148" i="11"/>
  <c r="G148" i="11"/>
  <c r="W148" i="11"/>
  <c r="F148" i="11"/>
  <c r="C148" i="11"/>
  <c r="P148" i="11" s="1"/>
  <c r="Q148" i="11" s="1"/>
  <c r="AD148" i="11"/>
  <c r="B148" i="11"/>
  <c r="AC148" i="11"/>
  <c r="AG148" i="11" s="1"/>
  <c r="V148" i="11"/>
  <c r="U148" i="11"/>
  <c r="T148" i="11"/>
  <c r="AJ148" i="11"/>
  <c r="AI148" i="11"/>
  <c r="AH148" i="11"/>
  <c r="E148" i="11"/>
  <c r="D148" i="11"/>
  <c r="AA159" i="11"/>
  <c r="V159" i="11"/>
  <c r="E159" i="11"/>
  <c r="AJ159" i="11"/>
  <c r="U159" i="11"/>
  <c r="D159" i="11"/>
  <c r="AI159" i="11"/>
  <c r="T159" i="11"/>
  <c r="C159" i="11"/>
  <c r="P159" i="11" s="1"/>
  <c r="Q159" i="11" s="1"/>
  <c r="AH159" i="11"/>
  <c r="B159" i="11"/>
  <c r="AB159" i="11"/>
  <c r="W159" i="11"/>
  <c r="I159" i="11"/>
  <c r="H159" i="11"/>
  <c r="G159" i="11"/>
  <c r="F159" i="11"/>
  <c r="AD159" i="11"/>
  <c r="AC159" i="11"/>
  <c r="AG159" i="11" s="1"/>
  <c r="X159" i="11"/>
  <c r="AC171" i="11"/>
  <c r="AG171" i="11" s="1"/>
  <c r="AB171" i="11"/>
  <c r="I171" i="11"/>
  <c r="AA171" i="11"/>
  <c r="H171" i="11"/>
  <c r="G171" i="11"/>
  <c r="F171" i="11"/>
  <c r="X171" i="11"/>
  <c r="E171" i="11"/>
  <c r="W171" i="11"/>
  <c r="D171" i="11"/>
  <c r="V171" i="11"/>
  <c r="C171" i="11"/>
  <c r="U171" i="11"/>
  <c r="B171" i="11"/>
  <c r="AJ171" i="11"/>
  <c r="T171" i="11"/>
  <c r="AD171" i="11"/>
  <c r="P171" i="11"/>
  <c r="Q171" i="11" s="1"/>
  <c r="AI171" i="11"/>
  <c r="AH171" i="11"/>
  <c r="AJ56" i="10"/>
  <c r="AI56" i="10"/>
  <c r="AH56" i="10"/>
  <c r="C56" i="10"/>
  <c r="W56" i="10" s="1"/>
  <c r="B56" i="10"/>
  <c r="AB160" i="10"/>
  <c r="H160" i="10"/>
  <c r="AH160" i="10"/>
  <c r="AD160" i="10"/>
  <c r="AC160" i="10"/>
  <c r="AG160" i="10" s="1"/>
  <c r="AA160" i="10"/>
  <c r="I160" i="10"/>
  <c r="G160" i="10"/>
  <c r="X160" i="10"/>
  <c r="F160" i="10"/>
  <c r="W160" i="10"/>
  <c r="E160" i="10"/>
  <c r="AI160" i="10"/>
  <c r="V160" i="10"/>
  <c r="U160" i="10"/>
  <c r="T160" i="10"/>
  <c r="D160" i="10"/>
  <c r="C160" i="10"/>
  <c r="P160" i="10" s="1"/>
  <c r="Q160" i="10" s="1"/>
  <c r="B160" i="10"/>
  <c r="AJ160" i="10"/>
  <c r="AJ44" i="10"/>
  <c r="AI44" i="10"/>
  <c r="AH44" i="10"/>
  <c r="C44" i="10"/>
  <c r="B44" i="10"/>
  <c r="C71" i="10"/>
  <c r="B71" i="10"/>
  <c r="AJ71" i="10"/>
  <c r="AI71" i="10"/>
  <c r="AJ104" i="10"/>
  <c r="AI104" i="10"/>
  <c r="B104" i="10"/>
  <c r="C104" i="10"/>
  <c r="AC104" i="10" s="1"/>
  <c r="AG104" i="10" s="1"/>
  <c r="AA117" i="10"/>
  <c r="AI117" i="10"/>
  <c r="C117" i="10"/>
  <c r="T117" i="10" s="1"/>
  <c r="AD117" i="10" s="1"/>
  <c r="B117" i="10"/>
  <c r="AJ117" i="10"/>
  <c r="AC128" i="10"/>
  <c r="AG128" i="10" s="1"/>
  <c r="AB128" i="10"/>
  <c r="AA128" i="10"/>
  <c r="I128" i="10"/>
  <c r="H128" i="10"/>
  <c r="X128" i="10"/>
  <c r="G128" i="10"/>
  <c r="W128" i="10"/>
  <c r="F128" i="10"/>
  <c r="AJ128" i="10"/>
  <c r="V128" i="10"/>
  <c r="E128" i="10"/>
  <c r="AI128" i="10"/>
  <c r="U128" i="10"/>
  <c r="D128" i="10"/>
  <c r="AH128" i="10"/>
  <c r="T128" i="10"/>
  <c r="C128" i="10"/>
  <c r="P128" i="10" s="1"/>
  <c r="Q128" i="10" s="1"/>
  <c r="B128" i="10"/>
  <c r="AD128" i="10"/>
  <c r="H130" i="10"/>
  <c r="X130" i="10"/>
  <c r="G130" i="10"/>
  <c r="W130" i="10"/>
  <c r="F130" i="10"/>
  <c r="AJ130" i="10"/>
  <c r="V130" i="10"/>
  <c r="E130" i="10"/>
  <c r="AI130" i="10"/>
  <c r="U130" i="10"/>
  <c r="D130" i="10"/>
  <c r="AH130" i="10"/>
  <c r="T130" i="10"/>
  <c r="C130" i="10"/>
  <c r="B130" i="10"/>
  <c r="AD130" i="10"/>
  <c r="I130" i="10"/>
  <c r="AC130" i="10"/>
  <c r="AG130" i="10" s="1"/>
  <c r="AB130" i="10"/>
  <c r="AA130" i="10"/>
  <c r="AB139" i="10"/>
  <c r="AA139" i="10"/>
  <c r="X139" i="10"/>
  <c r="W139" i="10"/>
  <c r="B139" i="10"/>
  <c r="U139" i="10"/>
  <c r="AF139" i="10" s="1"/>
  <c r="C139" i="10"/>
  <c r="T139" i="10"/>
  <c r="AJ139" i="10"/>
  <c r="P139" i="10"/>
  <c r="Q139" i="10" s="1"/>
  <c r="AI139" i="10"/>
  <c r="AH139" i="10"/>
  <c r="I139" i="10"/>
  <c r="AD139" i="10"/>
  <c r="H139" i="10"/>
  <c r="AC139" i="10"/>
  <c r="AG139" i="10" s="1"/>
  <c r="V139" i="10"/>
  <c r="G139" i="10"/>
  <c r="F139" i="10"/>
  <c r="E139" i="10"/>
  <c r="D139" i="10"/>
  <c r="B171" i="10"/>
  <c r="AD171" i="10"/>
  <c r="AC171" i="10"/>
  <c r="AG171" i="10" s="1"/>
  <c r="AB171" i="10"/>
  <c r="AA171" i="10"/>
  <c r="X171" i="10"/>
  <c r="G171" i="10"/>
  <c r="AJ171" i="10"/>
  <c r="V171" i="10"/>
  <c r="E171" i="10"/>
  <c r="I171" i="10"/>
  <c r="H171" i="10"/>
  <c r="F171" i="10"/>
  <c r="D171" i="10"/>
  <c r="C171" i="10"/>
  <c r="P171" i="10" s="1"/>
  <c r="Q171" i="10" s="1"/>
  <c r="AI171" i="10"/>
  <c r="AH171" i="10"/>
  <c r="W171" i="10"/>
  <c r="U171" i="10"/>
  <c r="AF171" i="10" s="1"/>
  <c r="T171" i="10"/>
  <c r="H167" i="10"/>
  <c r="X167" i="10"/>
  <c r="W167" i="10"/>
  <c r="F167" i="10"/>
  <c r="AJ167" i="10"/>
  <c r="V167" i="10"/>
  <c r="AI167" i="10"/>
  <c r="U167" i="10"/>
  <c r="D167" i="10"/>
  <c r="AH167" i="10"/>
  <c r="I167" i="10"/>
  <c r="G167" i="10"/>
  <c r="AD167" i="10"/>
  <c r="E167" i="10"/>
  <c r="AC167" i="10"/>
  <c r="AG167" i="10" s="1"/>
  <c r="C167" i="10"/>
  <c r="P167" i="10" s="1"/>
  <c r="Q167" i="10" s="1"/>
  <c r="AB167" i="10"/>
  <c r="AA167" i="10"/>
  <c r="T167" i="10"/>
  <c r="B167" i="10"/>
  <c r="AI112" i="9"/>
  <c r="AJ112" i="9"/>
  <c r="C112" i="9"/>
  <c r="X112" i="9" s="1"/>
  <c r="B112" i="9"/>
  <c r="AJ122" i="9"/>
  <c r="AI122" i="9"/>
  <c r="C122" i="9"/>
  <c r="B122" i="9"/>
  <c r="B137" i="9"/>
  <c r="AB137" i="9"/>
  <c r="I137" i="9"/>
  <c r="AA137" i="9"/>
  <c r="H137" i="9"/>
  <c r="G137" i="9"/>
  <c r="F137" i="9"/>
  <c r="X137" i="9"/>
  <c r="E137" i="9"/>
  <c r="W137" i="9"/>
  <c r="D137" i="9"/>
  <c r="U137" i="9"/>
  <c r="AI137" i="9"/>
  <c r="V137" i="9"/>
  <c r="T137" i="9"/>
  <c r="AK137" i="9" s="1"/>
  <c r="C137" i="9"/>
  <c r="P137" i="9" s="1"/>
  <c r="Q137" i="9" s="1"/>
  <c r="AJ137" i="9"/>
  <c r="AH137" i="9"/>
  <c r="AD137" i="9"/>
  <c r="AC137" i="9"/>
  <c r="AG137" i="9" s="1"/>
  <c r="C124" i="9"/>
  <c r="P124" i="9" s="1"/>
  <c r="Q124" i="9" s="1"/>
  <c r="B124" i="9"/>
  <c r="AJ124" i="9"/>
  <c r="AI124" i="9"/>
  <c r="AD134" i="9"/>
  <c r="G134" i="9"/>
  <c r="F134" i="9"/>
  <c r="X134" i="9"/>
  <c r="E134" i="9"/>
  <c r="W134" i="9"/>
  <c r="D134" i="9"/>
  <c r="V134" i="9"/>
  <c r="C134" i="9"/>
  <c r="P134" i="9" s="1"/>
  <c r="Q134" i="9" s="1"/>
  <c r="U134" i="9"/>
  <c r="B134" i="9"/>
  <c r="AI134" i="9"/>
  <c r="AC134" i="9"/>
  <c r="AG134" i="9" s="1"/>
  <c r="AB134" i="9"/>
  <c r="AA134" i="9"/>
  <c r="T134" i="9"/>
  <c r="I134" i="9"/>
  <c r="AJ134" i="9"/>
  <c r="AH134" i="9"/>
  <c r="H134" i="9"/>
  <c r="AH161" i="9"/>
  <c r="T161" i="9"/>
  <c r="C161" i="9"/>
  <c r="AK161" i="9" s="1"/>
  <c r="B161" i="9"/>
  <c r="AD161" i="9"/>
  <c r="AC161" i="9"/>
  <c r="AG161" i="9" s="1"/>
  <c r="AB161" i="9"/>
  <c r="AA161" i="9"/>
  <c r="H161" i="9"/>
  <c r="V161" i="9"/>
  <c r="U161" i="9"/>
  <c r="AF161" i="9" s="1"/>
  <c r="I161" i="9"/>
  <c r="G161" i="9"/>
  <c r="E161" i="9"/>
  <c r="D161" i="9"/>
  <c r="AJ161" i="9"/>
  <c r="X161" i="9"/>
  <c r="W161" i="9"/>
  <c r="AI161" i="9"/>
  <c r="F161" i="9"/>
  <c r="B46" i="9"/>
  <c r="C46" i="9"/>
  <c r="AJ46" i="9"/>
  <c r="AI46" i="9"/>
  <c r="AH46" i="9"/>
  <c r="C70" i="9"/>
  <c r="AC70" i="9" s="1"/>
  <c r="AG70" i="9" s="1"/>
  <c r="B70" i="9"/>
  <c r="AJ70" i="9"/>
  <c r="AI70" i="9"/>
  <c r="P156" i="9"/>
  <c r="Q156" i="9" s="1"/>
  <c r="AD59" i="9"/>
  <c r="U115" i="9"/>
  <c r="AC52" i="9"/>
  <c r="AG52" i="9" s="1"/>
  <c r="AE132" i="9"/>
  <c r="Z132" i="9"/>
  <c r="Y132" i="9"/>
  <c r="AA45" i="9"/>
  <c r="T73" i="9"/>
  <c r="O49" i="7"/>
  <c r="M49" i="7"/>
  <c r="F49" i="7"/>
  <c r="R49" i="7"/>
  <c r="S49" i="7" s="1"/>
  <c r="Q49" i="7"/>
  <c r="D49" i="7"/>
  <c r="E49" i="7" s="1"/>
  <c r="C49" i="7"/>
  <c r="P49" i="7" s="1"/>
  <c r="B49" i="7"/>
  <c r="AJ72" i="8"/>
  <c r="AI72" i="8"/>
  <c r="C72" i="8"/>
  <c r="AA72" i="8" s="1"/>
  <c r="B72" i="8"/>
  <c r="Q43" i="7"/>
  <c r="C43" i="7"/>
  <c r="B43" i="7"/>
  <c r="O43" i="7"/>
  <c r="R43" i="7"/>
  <c r="S43" i="7" s="1"/>
  <c r="M43" i="7"/>
  <c r="F43" i="7"/>
  <c r="D43" i="7"/>
  <c r="E43" i="7" s="1"/>
  <c r="C51" i="8"/>
  <c r="AC51" i="8" s="1"/>
  <c r="AG51" i="8" s="1"/>
  <c r="AJ51" i="8"/>
  <c r="B51" i="8"/>
  <c r="AI51" i="8"/>
  <c r="AH51" i="8"/>
  <c r="F31" i="7"/>
  <c r="R31" i="7"/>
  <c r="S31" i="7" s="1"/>
  <c r="D31" i="7"/>
  <c r="E31" i="7" s="1"/>
  <c r="B31" i="7"/>
  <c r="O31" i="7"/>
  <c r="M31" i="7"/>
  <c r="C31" i="7"/>
  <c r="Q31" i="7"/>
  <c r="AH49" i="8"/>
  <c r="C49" i="8"/>
  <c r="U49" i="8" s="1"/>
  <c r="AI49" i="8"/>
  <c r="B49" i="8"/>
  <c r="AJ49" i="8"/>
  <c r="AI109" i="8"/>
  <c r="C109" i="8"/>
  <c r="B109" i="8"/>
  <c r="AJ109" i="8"/>
  <c r="C96" i="8"/>
  <c r="AJ96" i="8"/>
  <c r="B96" i="8"/>
  <c r="AI96" i="8"/>
  <c r="B78" i="8"/>
  <c r="AJ78" i="8"/>
  <c r="AI78" i="8"/>
  <c r="T78" i="8"/>
  <c r="AD78" i="8" s="1"/>
  <c r="F78" i="8" s="1"/>
  <c r="E78" i="8"/>
  <c r="C78" i="8"/>
  <c r="X78" i="8" s="1"/>
  <c r="AJ122" i="8"/>
  <c r="AI122" i="8"/>
  <c r="C122" i="8"/>
  <c r="D122" i="8" s="1"/>
  <c r="B122" i="8"/>
  <c r="C124" i="8"/>
  <c r="D124" i="8" s="1"/>
  <c r="AJ124" i="8"/>
  <c r="AI124" i="8"/>
  <c r="AC124" i="8"/>
  <c r="AG124" i="8" s="1"/>
  <c r="B124" i="8"/>
  <c r="AA183" i="8"/>
  <c r="I183" i="8"/>
  <c r="H183" i="8"/>
  <c r="X183" i="8"/>
  <c r="G183" i="8"/>
  <c r="W183" i="8"/>
  <c r="F183" i="8"/>
  <c r="AJ183" i="8"/>
  <c r="V183" i="8"/>
  <c r="E183" i="8"/>
  <c r="AI183" i="8"/>
  <c r="U183" i="8"/>
  <c r="AF183" i="8" s="1"/>
  <c r="D183" i="8"/>
  <c r="AH183" i="8"/>
  <c r="T183" i="8"/>
  <c r="C183" i="8"/>
  <c r="AK183" i="8" s="1"/>
  <c r="B183" i="8"/>
  <c r="AD183" i="8"/>
  <c r="AC183" i="8"/>
  <c r="AG183" i="8" s="1"/>
  <c r="AB183" i="8"/>
  <c r="AD170" i="8"/>
  <c r="AB170" i="8"/>
  <c r="AA170" i="8"/>
  <c r="I170" i="8"/>
  <c r="H170" i="8"/>
  <c r="X170" i="8"/>
  <c r="G170" i="8"/>
  <c r="W170" i="8"/>
  <c r="F170" i="8"/>
  <c r="E170" i="8"/>
  <c r="D170" i="8"/>
  <c r="AJ170" i="8"/>
  <c r="C170" i="8"/>
  <c r="P170" i="8" s="1"/>
  <c r="Q170" i="8" s="1"/>
  <c r="AI170" i="8"/>
  <c r="B170" i="8"/>
  <c r="AH170" i="8"/>
  <c r="AC170" i="8"/>
  <c r="AG170" i="8" s="1"/>
  <c r="V170" i="8"/>
  <c r="U170" i="8"/>
  <c r="T170" i="8"/>
  <c r="AJ75" i="8"/>
  <c r="C75" i="8"/>
  <c r="T75" i="8" s="1"/>
  <c r="B75" i="8"/>
  <c r="AI75" i="8"/>
  <c r="X105" i="8"/>
  <c r="J58" i="7"/>
  <c r="G58" i="7"/>
  <c r="H58" i="7"/>
  <c r="I58" i="7" s="1"/>
  <c r="P30" i="7"/>
  <c r="J51" i="7"/>
  <c r="H51" i="7"/>
  <c r="I51" i="7" s="1"/>
  <c r="G51" i="7"/>
  <c r="AF158" i="10"/>
  <c r="AC158" i="10"/>
  <c r="AG158" i="10" s="1"/>
  <c r="AA158" i="10"/>
  <c r="H158" i="10"/>
  <c r="G158" i="10"/>
  <c r="F158" i="10"/>
  <c r="X158" i="10"/>
  <c r="E158" i="10"/>
  <c r="W158" i="10"/>
  <c r="D158" i="10"/>
  <c r="V158" i="10"/>
  <c r="C158" i="10"/>
  <c r="P158" i="10" s="1"/>
  <c r="Q158" i="10" s="1"/>
  <c r="U158" i="10"/>
  <c r="B158" i="10"/>
  <c r="AJ158" i="10"/>
  <c r="T158" i="10"/>
  <c r="AI158" i="10"/>
  <c r="AH158" i="10"/>
  <c r="I158" i="10"/>
  <c r="AD158" i="10"/>
  <c r="AB158" i="10"/>
  <c r="W143" i="11"/>
  <c r="F143" i="11"/>
  <c r="AJ143" i="11"/>
  <c r="V143" i="11"/>
  <c r="E143" i="11"/>
  <c r="AI143" i="11"/>
  <c r="U143" i="11"/>
  <c r="D143" i="11"/>
  <c r="AH143" i="11"/>
  <c r="T143" i="11"/>
  <c r="C143" i="11"/>
  <c r="AK143" i="11" s="1"/>
  <c r="B143" i="11"/>
  <c r="AD143" i="11"/>
  <c r="AC143" i="11"/>
  <c r="AG143" i="11" s="1"/>
  <c r="AB143" i="11"/>
  <c r="I143" i="11"/>
  <c r="H143" i="11"/>
  <c r="G143" i="11"/>
  <c r="AA143" i="11"/>
  <c r="X143" i="11"/>
  <c r="C75" i="10"/>
  <c r="X75" i="10" s="1"/>
  <c r="B75" i="10"/>
  <c r="AJ75" i="10"/>
  <c r="AI75" i="10"/>
  <c r="AI103" i="8"/>
  <c r="B103" i="8"/>
  <c r="C103" i="8"/>
  <c r="T103" i="8" s="1"/>
  <c r="AJ103" i="8"/>
  <c r="AC103" i="8"/>
  <c r="AG103" i="8" s="1"/>
  <c r="AI100" i="11"/>
  <c r="U100" i="11"/>
  <c r="D100" i="11"/>
  <c r="AH100" i="11"/>
  <c r="T100" i="11"/>
  <c r="C100" i="11"/>
  <c r="P100" i="11" s="1"/>
  <c r="Q100" i="11" s="1"/>
  <c r="B100" i="11"/>
  <c r="AF100" i="11"/>
  <c r="AD100" i="11"/>
  <c r="AC100" i="11"/>
  <c r="AG100" i="11" s="1"/>
  <c r="AB100" i="11"/>
  <c r="AA100" i="11"/>
  <c r="I100" i="11"/>
  <c r="X100" i="11"/>
  <c r="W100" i="11"/>
  <c r="V100" i="11"/>
  <c r="H100" i="11"/>
  <c r="G100" i="11"/>
  <c r="F100" i="11"/>
  <c r="E100" i="11"/>
  <c r="AK100" i="11"/>
  <c r="AJ100" i="11"/>
  <c r="AH129" i="10"/>
  <c r="T129" i="10"/>
  <c r="AK129" i="10" s="1"/>
  <c r="C129" i="10"/>
  <c r="P129" i="10" s="1"/>
  <c r="Q129" i="10" s="1"/>
  <c r="B129" i="10"/>
  <c r="AD129" i="10"/>
  <c r="AC129" i="10"/>
  <c r="AG129" i="10" s="1"/>
  <c r="AB129" i="10"/>
  <c r="AA129" i="10"/>
  <c r="I129" i="10"/>
  <c r="H129" i="10"/>
  <c r="G129" i="10"/>
  <c r="F129" i="10"/>
  <c r="E129" i="10"/>
  <c r="D129" i="10"/>
  <c r="AJ129" i="10"/>
  <c r="AI129" i="10"/>
  <c r="X129" i="10"/>
  <c r="W129" i="10"/>
  <c r="U129" i="10"/>
  <c r="V129" i="10"/>
  <c r="AA154" i="9"/>
  <c r="I154" i="9"/>
  <c r="H154" i="9"/>
  <c r="X154" i="9"/>
  <c r="G154" i="9"/>
  <c r="AK154" i="9"/>
  <c r="W154" i="9"/>
  <c r="F154" i="9"/>
  <c r="AI154" i="9"/>
  <c r="U154" i="9"/>
  <c r="D154" i="9"/>
  <c r="AH154" i="9"/>
  <c r="T154" i="9"/>
  <c r="C154" i="9"/>
  <c r="P154" i="9" s="1"/>
  <c r="Q154" i="9" s="1"/>
  <c r="E154" i="9"/>
  <c r="AJ154" i="9"/>
  <c r="B154" i="9"/>
  <c r="AC154" i="9"/>
  <c r="AG154" i="9" s="1"/>
  <c r="V154" i="9"/>
  <c r="AD154" i="9"/>
  <c r="AB154" i="9"/>
  <c r="AE156" i="9"/>
  <c r="Z156" i="9"/>
  <c r="Y156" i="9"/>
  <c r="F53" i="7"/>
  <c r="R53" i="7"/>
  <c r="S53" i="7" s="1"/>
  <c r="D53" i="7"/>
  <c r="E53" i="7" s="1"/>
  <c r="Q53" i="7"/>
  <c r="C53" i="7"/>
  <c r="B53" i="7"/>
  <c r="O53" i="7"/>
  <c r="M53" i="7"/>
  <c r="W129" i="11"/>
  <c r="AJ129" i="11"/>
  <c r="V129" i="11"/>
  <c r="AH129" i="11"/>
  <c r="T129" i="11"/>
  <c r="C129" i="11"/>
  <c r="P129" i="11" s="1"/>
  <c r="Q129" i="11" s="1"/>
  <c r="AD129" i="11"/>
  <c r="AB129" i="11"/>
  <c r="H129" i="11"/>
  <c r="AC129" i="11"/>
  <c r="AG129" i="11" s="1"/>
  <c r="G129" i="11"/>
  <c r="AA129" i="11"/>
  <c r="F129" i="11"/>
  <c r="E129" i="11"/>
  <c r="D129" i="11"/>
  <c r="X129" i="11"/>
  <c r="B129" i="11"/>
  <c r="U129" i="11"/>
  <c r="AF129" i="11" s="1"/>
  <c r="AI129" i="11"/>
  <c r="I129" i="11"/>
  <c r="AI105" i="10"/>
  <c r="C105" i="10"/>
  <c r="X105" i="10" s="1"/>
  <c r="B105" i="10"/>
  <c r="AJ105" i="10"/>
  <c r="AI113" i="9"/>
  <c r="C113" i="9"/>
  <c r="AC113" i="9" s="1"/>
  <c r="AG113" i="9" s="1"/>
  <c r="B113" i="9"/>
  <c r="AJ113" i="9"/>
  <c r="AA113" i="9"/>
  <c r="AC129" i="8"/>
  <c r="AG129" i="8" s="1"/>
  <c r="AB129" i="8"/>
  <c r="AA129" i="8"/>
  <c r="H129" i="8"/>
  <c r="W129" i="8"/>
  <c r="F129" i="8"/>
  <c r="T129" i="8"/>
  <c r="AJ129" i="8"/>
  <c r="AI129" i="8"/>
  <c r="AH129" i="8"/>
  <c r="I129" i="8"/>
  <c r="G129" i="8"/>
  <c r="E129" i="8"/>
  <c r="AD129" i="8"/>
  <c r="D129" i="8"/>
  <c r="C129" i="8"/>
  <c r="B129" i="8"/>
  <c r="X129" i="8"/>
  <c r="V129" i="8"/>
  <c r="U129" i="8"/>
  <c r="AC134" i="8"/>
  <c r="AG134" i="8" s="1"/>
  <c r="AB134" i="8"/>
  <c r="I134" i="8"/>
  <c r="H134" i="8"/>
  <c r="X134" i="8"/>
  <c r="G134" i="8"/>
  <c r="W134" i="8"/>
  <c r="F134" i="8"/>
  <c r="AJ134" i="8"/>
  <c r="V134" i="8"/>
  <c r="E134" i="8"/>
  <c r="AI134" i="8"/>
  <c r="U134" i="8"/>
  <c r="D134" i="8"/>
  <c r="AH134" i="8"/>
  <c r="T134" i="8"/>
  <c r="C134" i="8"/>
  <c r="AK134" i="8" s="1"/>
  <c r="B134" i="8"/>
  <c r="AD134" i="8"/>
  <c r="AA134" i="8"/>
  <c r="AB93" i="11"/>
  <c r="AA93" i="11"/>
  <c r="I93" i="11"/>
  <c r="H93" i="11"/>
  <c r="X93" i="11"/>
  <c r="G93" i="11"/>
  <c r="W93" i="11"/>
  <c r="F93" i="11"/>
  <c r="AJ93" i="11"/>
  <c r="V93" i="11"/>
  <c r="E93" i="11"/>
  <c r="AI93" i="11"/>
  <c r="U93" i="11"/>
  <c r="D93" i="11"/>
  <c r="B93" i="11"/>
  <c r="AD93" i="11"/>
  <c r="AC93" i="11"/>
  <c r="AG93" i="11" s="1"/>
  <c r="T93" i="11"/>
  <c r="C93" i="11"/>
  <c r="P93" i="11" s="1"/>
  <c r="Q93" i="11" s="1"/>
  <c r="AH93" i="11"/>
  <c r="AJ44" i="11"/>
  <c r="AI44" i="11"/>
  <c r="AH44" i="11"/>
  <c r="C44" i="11"/>
  <c r="B44" i="11"/>
  <c r="AA44" i="11"/>
  <c r="AJ69" i="11"/>
  <c r="AI69" i="11"/>
  <c r="AH69" i="11"/>
  <c r="C69" i="11"/>
  <c r="B69" i="11"/>
  <c r="AD111" i="11"/>
  <c r="AC111" i="11"/>
  <c r="AG111" i="11" s="1"/>
  <c r="AB111" i="11"/>
  <c r="AA111" i="11"/>
  <c r="I111" i="11"/>
  <c r="H111" i="11"/>
  <c r="X111" i="11"/>
  <c r="G111" i="11"/>
  <c r="AJ111" i="11"/>
  <c r="V111" i="11"/>
  <c r="E111" i="11"/>
  <c r="W111" i="11"/>
  <c r="U111" i="11"/>
  <c r="AF111" i="11" s="1"/>
  <c r="T111" i="11"/>
  <c r="F111" i="11"/>
  <c r="C111" i="11"/>
  <c r="P111" i="11" s="1"/>
  <c r="Q111" i="11" s="1"/>
  <c r="B111" i="11"/>
  <c r="AI111" i="11"/>
  <c r="D111" i="11"/>
  <c r="AH111" i="11"/>
  <c r="H98" i="11"/>
  <c r="X98" i="11"/>
  <c r="G98" i="11"/>
  <c r="W98" i="11"/>
  <c r="F98" i="11"/>
  <c r="AJ98" i="11"/>
  <c r="V98" i="11"/>
  <c r="E98" i="11"/>
  <c r="AI98" i="11"/>
  <c r="U98" i="11"/>
  <c r="D98" i="11"/>
  <c r="AH98" i="11"/>
  <c r="T98" i="11"/>
  <c r="AK98" i="11" s="1"/>
  <c r="C98" i="11"/>
  <c r="P98" i="11" s="1"/>
  <c r="Q98" i="11" s="1"/>
  <c r="B98" i="11"/>
  <c r="AD98" i="11"/>
  <c r="I98" i="11"/>
  <c r="AC98" i="11"/>
  <c r="AG98" i="11" s="1"/>
  <c r="AA98" i="11"/>
  <c r="AB98" i="11"/>
  <c r="B94" i="11"/>
  <c r="AD94" i="11"/>
  <c r="AC94" i="11"/>
  <c r="AG94" i="11" s="1"/>
  <c r="AB94" i="11"/>
  <c r="AA94" i="11"/>
  <c r="I94" i="11"/>
  <c r="H94" i="11"/>
  <c r="X94" i="11"/>
  <c r="G94" i="11"/>
  <c r="AH94" i="11"/>
  <c r="W94" i="11"/>
  <c r="V94" i="11"/>
  <c r="U94" i="11"/>
  <c r="T94" i="11"/>
  <c r="AF94" i="11" s="1"/>
  <c r="F94" i="11"/>
  <c r="E94" i="11"/>
  <c r="D94" i="11"/>
  <c r="AJ94" i="11"/>
  <c r="AI94" i="11"/>
  <c r="C94" i="11"/>
  <c r="P94" i="11" s="1"/>
  <c r="Q94" i="11" s="1"/>
  <c r="AC133" i="11"/>
  <c r="AG133" i="11" s="1"/>
  <c r="AB133" i="11"/>
  <c r="AA133" i="11"/>
  <c r="I133" i="11"/>
  <c r="H133" i="11"/>
  <c r="X133" i="11"/>
  <c r="G133" i="11"/>
  <c r="W133" i="11"/>
  <c r="F133" i="11"/>
  <c r="AJ133" i="11"/>
  <c r="V133" i="11"/>
  <c r="E133" i="11"/>
  <c r="AH133" i="11"/>
  <c r="T133" i="11"/>
  <c r="C133" i="11"/>
  <c r="D133" i="11"/>
  <c r="B133" i="11"/>
  <c r="AI133" i="11"/>
  <c r="AD133" i="11"/>
  <c r="U133" i="11"/>
  <c r="AH127" i="11"/>
  <c r="T127" i="11"/>
  <c r="C127" i="11"/>
  <c r="P127" i="11" s="1"/>
  <c r="Q127" i="11" s="1"/>
  <c r="AJ127" i="11"/>
  <c r="AI127" i="11"/>
  <c r="AD127" i="11"/>
  <c r="AC127" i="11"/>
  <c r="AG127" i="11" s="1"/>
  <c r="AB127" i="11"/>
  <c r="I127" i="11"/>
  <c r="AA127" i="11"/>
  <c r="H127" i="11"/>
  <c r="G127" i="11"/>
  <c r="F127" i="11"/>
  <c r="U127" i="11"/>
  <c r="E127" i="11"/>
  <c r="D127" i="11"/>
  <c r="B127" i="11"/>
  <c r="V127" i="11"/>
  <c r="X127" i="11"/>
  <c r="W127" i="11"/>
  <c r="X150" i="11"/>
  <c r="G150" i="11"/>
  <c r="W150" i="11"/>
  <c r="F150" i="11"/>
  <c r="V150" i="11"/>
  <c r="E150" i="11"/>
  <c r="AJ150" i="11"/>
  <c r="U150" i="11"/>
  <c r="AF150" i="11" s="1"/>
  <c r="D150" i="11"/>
  <c r="AI150" i="11"/>
  <c r="T150" i="11"/>
  <c r="C150" i="11"/>
  <c r="AK150" i="11" s="1"/>
  <c r="AH150" i="11"/>
  <c r="B150" i="11"/>
  <c r="AD150" i="11"/>
  <c r="I150" i="11"/>
  <c r="H150" i="11"/>
  <c r="AC150" i="11"/>
  <c r="AG150" i="11" s="1"/>
  <c r="AB150" i="11"/>
  <c r="AA150" i="11"/>
  <c r="AD165" i="11"/>
  <c r="AC165" i="11"/>
  <c r="AG165" i="11" s="1"/>
  <c r="X165" i="11"/>
  <c r="E165" i="11"/>
  <c r="W165" i="11"/>
  <c r="D165" i="11"/>
  <c r="V165" i="11"/>
  <c r="C165" i="11"/>
  <c r="P165" i="11" s="1"/>
  <c r="Q165" i="11" s="1"/>
  <c r="U165" i="11"/>
  <c r="AF165" i="11" s="1"/>
  <c r="B165" i="11"/>
  <c r="AJ165" i="11"/>
  <c r="T165" i="11"/>
  <c r="AI165" i="11"/>
  <c r="AH165" i="11"/>
  <c r="AA165" i="11"/>
  <c r="I165" i="11"/>
  <c r="H165" i="11"/>
  <c r="G165" i="11"/>
  <c r="F165" i="11"/>
  <c r="AB165" i="11"/>
  <c r="B182" i="11"/>
  <c r="AD182" i="11"/>
  <c r="AJ182" i="11"/>
  <c r="AI182" i="11"/>
  <c r="AH182" i="11"/>
  <c r="I182" i="11"/>
  <c r="AC182" i="11"/>
  <c r="AG182" i="11" s="1"/>
  <c r="H182" i="11"/>
  <c r="AB182" i="11"/>
  <c r="G182" i="11"/>
  <c r="AA182" i="11"/>
  <c r="F182" i="11"/>
  <c r="E182" i="11"/>
  <c r="D182" i="11"/>
  <c r="X182" i="11"/>
  <c r="C182" i="11"/>
  <c r="P182" i="11" s="1"/>
  <c r="Q182" i="11" s="1"/>
  <c r="W182" i="11"/>
  <c r="V182" i="11"/>
  <c r="U182" i="11"/>
  <c r="AF182" i="11" s="1"/>
  <c r="T182" i="11"/>
  <c r="AJ58" i="10"/>
  <c r="AI58" i="10"/>
  <c r="AH58" i="10"/>
  <c r="C58" i="10"/>
  <c r="AC58" i="10" s="1"/>
  <c r="AG58" i="10" s="1"/>
  <c r="B58" i="10"/>
  <c r="AJ78" i="10"/>
  <c r="B78" i="10"/>
  <c r="C78" i="10"/>
  <c r="T78" i="10" s="1"/>
  <c r="AI78" i="10"/>
  <c r="AJ81" i="10"/>
  <c r="AI81" i="10"/>
  <c r="C81" i="10"/>
  <c r="AA81" i="10" s="1"/>
  <c r="B81" i="10"/>
  <c r="AJ83" i="10"/>
  <c r="AI83" i="10"/>
  <c r="C83" i="10"/>
  <c r="AA83" i="10" s="1"/>
  <c r="B83" i="10"/>
  <c r="AD134" i="10"/>
  <c r="AC134" i="10"/>
  <c r="AG134" i="10" s="1"/>
  <c r="AB134" i="10"/>
  <c r="AA134" i="10"/>
  <c r="I134" i="10"/>
  <c r="H134" i="10"/>
  <c r="X134" i="10"/>
  <c r="G134" i="10"/>
  <c r="W134" i="10"/>
  <c r="F134" i="10"/>
  <c r="AJ134" i="10"/>
  <c r="V134" i="10"/>
  <c r="E134" i="10"/>
  <c r="C134" i="10"/>
  <c r="P134" i="10" s="1"/>
  <c r="Q134" i="10" s="1"/>
  <c r="B134" i="10"/>
  <c r="AI134" i="10"/>
  <c r="AH134" i="10"/>
  <c r="U134" i="10"/>
  <c r="T134" i="10"/>
  <c r="D134" i="10"/>
  <c r="X141" i="10"/>
  <c r="G141" i="10"/>
  <c r="W141" i="10"/>
  <c r="F141" i="10"/>
  <c r="AJ141" i="10"/>
  <c r="V141" i="10"/>
  <c r="E141" i="10"/>
  <c r="AH141" i="10"/>
  <c r="T141" i="10"/>
  <c r="C141" i="10"/>
  <c r="B141" i="10"/>
  <c r="AC141" i="10"/>
  <c r="AG141" i="10" s="1"/>
  <c r="P141" i="10"/>
  <c r="Q141" i="10" s="1"/>
  <c r="AI141" i="10"/>
  <c r="I141" i="10"/>
  <c r="H141" i="10"/>
  <c r="D141" i="10"/>
  <c r="AD141" i="10"/>
  <c r="AB141" i="10"/>
  <c r="AA141" i="10"/>
  <c r="U141" i="10"/>
  <c r="AF141" i="10" s="1"/>
  <c r="AC142" i="10"/>
  <c r="AG142" i="10" s="1"/>
  <c r="AB142" i="10"/>
  <c r="AA142" i="10"/>
  <c r="H142" i="10"/>
  <c r="X142" i="10"/>
  <c r="G142" i="10"/>
  <c r="AH142" i="10"/>
  <c r="T142" i="10"/>
  <c r="C142" i="10"/>
  <c r="B142" i="10"/>
  <c r="W142" i="10"/>
  <c r="V142" i="10"/>
  <c r="U142" i="10"/>
  <c r="AJ142" i="10"/>
  <c r="AI142" i="10"/>
  <c r="E142" i="10"/>
  <c r="D142" i="10"/>
  <c r="AD142" i="10"/>
  <c r="I142" i="10"/>
  <c r="F142" i="10"/>
  <c r="AJ149" i="10"/>
  <c r="V149" i="10"/>
  <c r="E149" i="10"/>
  <c r="AI149" i="10"/>
  <c r="U149" i="10"/>
  <c r="AF149" i="10" s="1"/>
  <c r="D149" i="10"/>
  <c r="AH149" i="10"/>
  <c r="T149" i="10"/>
  <c r="AK149" i="10" s="1"/>
  <c r="C149" i="10"/>
  <c r="B149" i="10"/>
  <c r="AC149" i="10"/>
  <c r="AG149" i="10" s="1"/>
  <c r="AB149" i="10"/>
  <c r="AA149" i="10"/>
  <c r="H149" i="10"/>
  <c r="G149" i="10"/>
  <c r="F149" i="10"/>
  <c r="AD149" i="10"/>
  <c r="X149" i="10"/>
  <c r="W149" i="10"/>
  <c r="P149" i="10"/>
  <c r="Q149" i="10" s="1"/>
  <c r="I149" i="10"/>
  <c r="X172" i="10"/>
  <c r="G172" i="10"/>
  <c r="W172" i="10"/>
  <c r="F172" i="10"/>
  <c r="AJ172" i="10"/>
  <c r="V172" i="10"/>
  <c r="E172" i="10"/>
  <c r="AI172" i="10"/>
  <c r="U172" i="10"/>
  <c r="D172" i="10"/>
  <c r="AH172" i="10"/>
  <c r="T172" i="10"/>
  <c r="AF172" i="10" s="1"/>
  <c r="C172" i="10"/>
  <c r="AK172" i="10" s="1"/>
  <c r="B172" i="10"/>
  <c r="AC172" i="10"/>
  <c r="AG172" i="10" s="1"/>
  <c r="AA172" i="10"/>
  <c r="I172" i="10"/>
  <c r="H172" i="10"/>
  <c r="AD172" i="10"/>
  <c r="AB172" i="10"/>
  <c r="B53" i="9"/>
  <c r="C53" i="9"/>
  <c r="AC53" i="9" s="1"/>
  <c r="AG53" i="9" s="1"/>
  <c r="AJ53" i="9"/>
  <c r="AI53" i="9"/>
  <c r="AH53" i="9"/>
  <c r="AC126" i="9"/>
  <c r="AG126" i="9" s="1"/>
  <c r="AA126" i="9"/>
  <c r="W126" i="9"/>
  <c r="U126" i="9"/>
  <c r="AJ126" i="9"/>
  <c r="C126" i="9"/>
  <c r="P126" i="9" s="1"/>
  <c r="Q126" i="9" s="1"/>
  <c r="AI126" i="9"/>
  <c r="B126" i="9"/>
  <c r="X126" i="9"/>
  <c r="T126" i="9"/>
  <c r="AD126" i="9" s="1"/>
  <c r="V126" i="9"/>
  <c r="AI129" i="9"/>
  <c r="U129" i="9"/>
  <c r="D129" i="9"/>
  <c r="B129" i="9"/>
  <c r="P129" i="9"/>
  <c r="Q129" i="9" s="1"/>
  <c r="AD129" i="9"/>
  <c r="AC129" i="9"/>
  <c r="AG129" i="9" s="1"/>
  <c r="AB129" i="9"/>
  <c r="I129" i="9"/>
  <c r="AA129" i="9"/>
  <c r="H129" i="9"/>
  <c r="F129" i="9"/>
  <c r="W129" i="9"/>
  <c r="C129" i="9"/>
  <c r="AJ129" i="9"/>
  <c r="AH129" i="9"/>
  <c r="X129" i="9"/>
  <c r="V129" i="9"/>
  <c r="T129" i="9"/>
  <c r="AK129" i="9" s="1"/>
  <c r="G129" i="9"/>
  <c r="E129" i="9"/>
  <c r="AJ91" i="9"/>
  <c r="C91" i="9"/>
  <c r="AA91" i="9" s="1"/>
  <c r="B91" i="9"/>
  <c r="AI91" i="9"/>
  <c r="AD128" i="9"/>
  <c r="AB128" i="9"/>
  <c r="U128" i="9"/>
  <c r="AF128" i="9" s="1"/>
  <c r="C128" i="9"/>
  <c r="P128" i="9" s="1"/>
  <c r="Q128" i="9" s="1"/>
  <c r="AJ128" i="9"/>
  <c r="T128" i="9"/>
  <c r="AK128" i="9" s="1"/>
  <c r="B128" i="9"/>
  <c r="AI128" i="9"/>
  <c r="AH128" i="9"/>
  <c r="AC128" i="9"/>
  <c r="AG128" i="9" s="1"/>
  <c r="H128" i="9"/>
  <c r="F128" i="9"/>
  <c r="E128" i="9"/>
  <c r="D128" i="9"/>
  <c r="AA128" i="9"/>
  <c r="X128" i="9"/>
  <c r="V128" i="9"/>
  <c r="I128" i="9"/>
  <c r="G128" i="9"/>
  <c r="W128" i="9"/>
  <c r="H148" i="9"/>
  <c r="X148" i="9"/>
  <c r="G148" i="9"/>
  <c r="W148" i="9"/>
  <c r="F148" i="9"/>
  <c r="AJ148" i="9"/>
  <c r="V148" i="9"/>
  <c r="E148" i="9"/>
  <c r="AI148" i="9"/>
  <c r="U148" i="9"/>
  <c r="D148" i="9"/>
  <c r="B148" i="9"/>
  <c r="AD148" i="9"/>
  <c r="T148" i="9"/>
  <c r="I148" i="9"/>
  <c r="AH148" i="9"/>
  <c r="AC148" i="9"/>
  <c r="AG148" i="9" s="1"/>
  <c r="AB148" i="9"/>
  <c r="AA148" i="9"/>
  <c r="C148" i="9"/>
  <c r="P148" i="9" s="1"/>
  <c r="Q148" i="9" s="1"/>
  <c r="AB176" i="9"/>
  <c r="I176" i="9"/>
  <c r="U176" i="9"/>
  <c r="C176" i="9"/>
  <c r="P176" i="9" s="1"/>
  <c r="Q176" i="9" s="1"/>
  <c r="AJ176" i="9"/>
  <c r="T176" i="9"/>
  <c r="AK176" i="9" s="1"/>
  <c r="B176" i="9"/>
  <c r="AI176" i="9"/>
  <c r="AH176" i="9"/>
  <c r="AD176" i="9"/>
  <c r="AC176" i="9"/>
  <c r="AG176" i="9" s="1"/>
  <c r="AA176" i="9"/>
  <c r="H176" i="9"/>
  <c r="W176" i="9"/>
  <c r="V176" i="9"/>
  <c r="G176" i="9"/>
  <c r="F176" i="9"/>
  <c r="D176" i="9"/>
  <c r="X176" i="9"/>
  <c r="E176" i="9"/>
  <c r="AC60" i="9"/>
  <c r="AG60" i="9" s="1"/>
  <c r="C60" i="9"/>
  <c r="B60" i="9"/>
  <c r="AJ60" i="9"/>
  <c r="AI60" i="9"/>
  <c r="AH60" i="9"/>
  <c r="V63" i="9"/>
  <c r="AD52" i="9"/>
  <c r="T66" i="9"/>
  <c r="AJ55" i="8"/>
  <c r="AH55" i="8"/>
  <c r="C55" i="8"/>
  <c r="AC55" i="8" s="1"/>
  <c r="AG55" i="8" s="1"/>
  <c r="B55" i="8"/>
  <c r="AI55" i="8"/>
  <c r="AH63" i="8"/>
  <c r="C63" i="8"/>
  <c r="AJ63" i="8"/>
  <c r="AI63" i="8"/>
  <c r="B63" i="8"/>
  <c r="AI117" i="8"/>
  <c r="B117" i="8"/>
  <c r="AJ117" i="8"/>
  <c r="C117" i="8"/>
  <c r="AA117" i="8" s="1"/>
  <c r="C110" i="8"/>
  <c r="AA110" i="8" s="1"/>
  <c r="B110" i="8"/>
  <c r="AJ110" i="8"/>
  <c r="AI110" i="8"/>
  <c r="AC110" i="8"/>
  <c r="AG110" i="8" s="1"/>
  <c r="B92" i="8"/>
  <c r="AJ92" i="8"/>
  <c r="AI92" i="8"/>
  <c r="C92" i="8"/>
  <c r="H136" i="8"/>
  <c r="X136" i="8"/>
  <c r="G136" i="8"/>
  <c r="W136" i="8"/>
  <c r="F136" i="8"/>
  <c r="AJ136" i="8"/>
  <c r="V136" i="8"/>
  <c r="E136" i="8"/>
  <c r="AI136" i="8"/>
  <c r="U136" i="8"/>
  <c r="D136" i="8"/>
  <c r="AH136" i="8"/>
  <c r="T136" i="8"/>
  <c r="AK136" i="8" s="1"/>
  <c r="C136" i="8"/>
  <c r="P136" i="8" s="1"/>
  <c r="Q136" i="8" s="1"/>
  <c r="B136" i="8"/>
  <c r="AD136" i="8"/>
  <c r="I136" i="8"/>
  <c r="AC136" i="8"/>
  <c r="AG136" i="8" s="1"/>
  <c r="AB136" i="8"/>
  <c r="AA136" i="8"/>
  <c r="AI138" i="8"/>
  <c r="U138" i="8"/>
  <c r="D138" i="8"/>
  <c r="AH138" i="8"/>
  <c r="T138" i="8"/>
  <c r="C138" i="8"/>
  <c r="P138" i="8" s="1"/>
  <c r="Q138" i="8" s="1"/>
  <c r="B138" i="8"/>
  <c r="AD138" i="8"/>
  <c r="AC138" i="8"/>
  <c r="AG138" i="8" s="1"/>
  <c r="AB138" i="8"/>
  <c r="AA138" i="8"/>
  <c r="I138" i="8"/>
  <c r="W138" i="8"/>
  <c r="V138" i="8"/>
  <c r="H138" i="8"/>
  <c r="G138" i="8"/>
  <c r="F138" i="8"/>
  <c r="E138" i="8"/>
  <c r="AJ138" i="8"/>
  <c r="X138" i="8"/>
  <c r="H166" i="8"/>
  <c r="X166" i="8"/>
  <c r="G166" i="8"/>
  <c r="AJ166" i="8"/>
  <c r="V166" i="8"/>
  <c r="E166" i="8"/>
  <c r="AI166" i="8"/>
  <c r="U166" i="8"/>
  <c r="D166" i="8"/>
  <c r="AH166" i="8"/>
  <c r="T166" i="8"/>
  <c r="C166" i="8"/>
  <c r="P166" i="8" s="1"/>
  <c r="Q166" i="8" s="1"/>
  <c r="B166" i="8"/>
  <c r="F166" i="8"/>
  <c r="AD166" i="8"/>
  <c r="AC166" i="8"/>
  <c r="AG166" i="8" s="1"/>
  <c r="AB166" i="8"/>
  <c r="AA166" i="8"/>
  <c r="W166" i="8"/>
  <c r="I166" i="8"/>
  <c r="F56" i="7"/>
  <c r="Q56" i="7"/>
  <c r="C56" i="7"/>
  <c r="B56" i="7"/>
  <c r="O56" i="7"/>
  <c r="M56" i="7"/>
  <c r="R56" i="7"/>
  <c r="S56" i="7" s="1"/>
  <c r="D56" i="7"/>
  <c r="E56" i="7" s="1"/>
  <c r="AJ68" i="8"/>
  <c r="AH68" i="8"/>
  <c r="C68" i="8"/>
  <c r="T68" i="8" s="1"/>
  <c r="AI68" i="8"/>
  <c r="B68" i="8"/>
  <c r="H52" i="7"/>
  <c r="I52" i="7" s="1"/>
  <c r="G52" i="7"/>
  <c r="J52" i="7"/>
  <c r="AC104" i="8"/>
  <c r="AG104" i="8" s="1"/>
  <c r="AA69" i="8"/>
  <c r="I156" i="11"/>
  <c r="AC156" i="11"/>
  <c r="AG156" i="11" s="1"/>
  <c r="AB156" i="11"/>
  <c r="AA156" i="11"/>
  <c r="H156" i="11"/>
  <c r="G156" i="11"/>
  <c r="X156" i="11"/>
  <c r="F156" i="11"/>
  <c r="W156" i="11"/>
  <c r="E156" i="11"/>
  <c r="AK156" i="11"/>
  <c r="V156" i="11"/>
  <c r="D156" i="11"/>
  <c r="AH156" i="11"/>
  <c r="AD156" i="11"/>
  <c r="U156" i="11"/>
  <c r="T156" i="11"/>
  <c r="C156" i="11"/>
  <c r="P156" i="11" s="1"/>
  <c r="Q156" i="11" s="1"/>
  <c r="B156" i="11"/>
  <c r="AJ156" i="11"/>
  <c r="AI156" i="11"/>
  <c r="AJ135" i="10"/>
  <c r="V135" i="10"/>
  <c r="E135" i="10"/>
  <c r="AI135" i="10"/>
  <c r="U135" i="10"/>
  <c r="D135" i="10"/>
  <c r="AH135" i="10"/>
  <c r="T135" i="10"/>
  <c r="AK135" i="10" s="1"/>
  <c r="C135" i="10"/>
  <c r="P135" i="10" s="1"/>
  <c r="Q135" i="10" s="1"/>
  <c r="B135" i="10"/>
  <c r="AD135" i="10"/>
  <c r="AC135" i="10"/>
  <c r="AG135" i="10" s="1"/>
  <c r="AB135" i="10"/>
  <c r="AA135" i="10"/>
  <c r="H135" i="10"/>
  <c r="G135" i="10"/>
  <c r="F135" i="10"/>
  <c r="X135" i="10"/>
  <c r="W135" i="10"/>
  <c r="I135" i="10"/>
  <c r="AC104" i="9"/>
  <c r="AG104" i="9" s="1"/>
  <c r="C104" i="9"/>
  <c r="AA104" i="9" s="1"/>
  <c r="B104" i="9"/>
  <c r="AJ104" i="9"/>
  <c r="AI104" i="9"/>
  <c r="B40" i="5"/>
  <c r="AJ74" i="11"/>
  <c r="AI74" i="11"/>
  <c r="C74" i="11"/>
  <c r="AC74" i="11" s="1"/>
  <c r="AG74" i="11" s="1"/>
  <c r="B74" i="11"/>
  <c r="AA122" i="10"/>
  <c r="X122" i="10"/>
  <c r="AJ122" i="10"/>
  <c r="AI122" i="10"/>
  <c r="C122" i="10"/>
  <c r="W122" i="10" s="1"/>
  <c r="B122" i="10"/>
  <c r="AC122" i="10"/>
  <c r="AG122" i="10" s="1"/>
  <c r="P122" i="10"/>
  <c r="Q122" i="10" s="1"/>
  <c r="AJ116" i="9"/>
  <c r="AI116" i="9"/>
  <c r="C116" i="9"/>
  <c r="B116" i="9"/>
  <c r="AN156" i="9"/>
  <c r="AM156" i="9"/>
  <c r="AL156" i="9"/>
  <c r="B146" i="8"/>
  <c r="AD146" i="8"/>
  <c r="AC146" i="8"/>
  <c r="AG146" i="8" s="1"/>
  <c r="AB146" i="8"/>
  <c r="AA146" i="8"/>
  <c r="I146" i="8"/>
  <c r="H146" i="8"/>
  <c r="X146" i="8"/>
  <c r="G146" i="8"/>
  <c r="W146" i="8"/>
  <c r="V146" i="8"/>
  <c r="U146" i="8"/>
  <c r="T146" i="8"/>
  <c r="F146" i="8"/>
  <c r="E146" i="8"/>
  <c r="D146" i="8"/>
  <c r="C146" i="8"/>
  <c r="P146" i="8" s="1"/>
  <c r="Q146" i="8" s="1"/>
  <c r="AJ146" i="8"/>
  <c r="AI146" i="8"/>
  <c r="AH146" i="8"/>
  <c r="AI61" i="11"/>
  <c r="B61" i="11"/>
  <c r="AJ61" i="11"/>
  <c r="AH61" i="11"/>
  <c r="C61" i="11"/>
  <c r="X61" i="11" s="1"/>
  <c r="T61" i="11"/>
  <c r="B115" i="10"/>
  <c r="AJ115" i="10"/>
  <c r="AI115" i="10"/>
  <c r="C115" i="10"/>
  <c r="AC115" i="10" s="1"/>
  <c r="AG115" i="10" s="1"/>
  <c r="C82" i="9"/>
  <c r="AA82" i="9" s="1"/>
  <c r="AI82" i="9"/>
  <c r="B82" i="9"/>
  <c r="AJ82" i="9"/>
  <c r="T82" i="9"/>
  <c r="AK82" i="9" s="1"/>
  <c r="AC82" i="9"/>
  <c r="AG82" i="9" s="1"/>
  <c r="AJ95" i="9"/>
  <c r="C95" i="9"/>
  <c r="AC95" i="9" s="1"/>
  <c r="AG95" i="9" s="1"/>
  <c r="B95" i="9"/>
  <c r="AI95" i="9"/>
  <c r="R40" i="7"/>
  <c r="S40" i="7" s="1"/>
  <c r="D40" i="7"/>
  <c r="E40" i="7" s="1"/>
  <c r="Q40" i="7"/>
  <c r="C40" i="7"/>
  <c r="B40" i="7"/>
  <c r="O40" i="7"/>
  <c r="M40" i="7"/>
  <c r="F40" i="7"/>
  <c r="I153" i="8"/>
  <c r="H153" i="8"/>
  <c r="X153" i="8"/>
  <c r="G153" i="8"/>
  <c r="W153" i="8"/>
  <c r="F153" i="8"/>
  <c r="AJ153" i="8"/>
  <c r="V153" i="8"/>
  <c r="E153" i="8"/>
  <c r="AI153" i="8"/>
  <c r="U153" i="8"/>
  <c r="D153" i="8"/>
  <c r="AH153" i="8"/>
  <c r="T153" i="8"/>
  <c r="C153" i="8"/>
  <c r="P153" i="8" s="1"/>
  <c r="Q153" i="8" s="1"/>
  <c r="B153" i="8"/>
  <c r="AD153" i="8"/>
  <c r="AC153" i="8"/>
  <c r="AG153" i="8" s="1"/>
  <c r="AB153" i="8"/>
  <c r="AA153" i="8"/>
  <c r="AJ182" i="8"/>
  <c r="V182" i="8"/>
  <c r="E182" i="8"/>
  <c r="AI182" i="8"/>
  <c r="U182" i="8"/>
  <c r="D182" i="8"/>
  <c r="AH182" i="8"/>
  <c r="T182" i="8"/>
  <c r="C182" i="8"/>
  <c r="P182" i="8" s="1"/>
  <c r="Q182" i="8" s="1"/>
  <c r="B182" i="8"/>
  <c r="AD182" i="8"/>
  <c r="AC182" i="8"/>
  <c r="AG182" i="8" s="1"/>
  <c r="AB182" i="8"/>
  <c r="AA182" i="8"/>
  <c r="X182" i="8"/>
  <c r="W182" i="8"/>
  <c r="I182" i="8"/>
  <c r="H182" i="8"/>
  <c r="G182" i="8"/>
  <c r="F182" i="8"/>
  <c r="AC64" i="8"/>
  <c r="AG64" i="8" s="1"/>
  <c r="AI68" i="11"/>
  <c r="AH68" i="11"/>
  <c r="C68" i="11"/>
  <c r="X68" i="11" s="1"/>
  <c r="B68" i="11"/>
  <c r="AJ68" i="11"/>
  <c r="AA68" i="10"/>
  <c r="AH68" i="10"/>
  <c r="AJ68" i="10"/>
  <c r="AI68" i="10"/>
  <c r="B68" i="10"/>
  <c r="C68" i="10"/>
  <c r="AI106" i="9"/>
  <c r="B106" i="9"/>
  <c r="AJ106" i="9"/>
  <c r="C106" i="9"/>
  <c r="AA106" i="9" s="1"/>
  <c r="AJ65" i="9"/>
  <c r="B65" i="9"/>
  <c r="AI65" i="9"/>
  <c r="AH65" i="9"/>
  <c r="AC65" i="9"/>
  <c r="AG65" i="9" s="1"/>
  <c r="AA65" i="9"/>
  <c r="C65" i="9"/>
  <c r="Y45" i="9"/>
  <c r="AE45" i="9"/>
  <c r="B121" i="8"/>
  <c r="AI121" i="8"/>
  <c r="C121" i="8"/>
  <c r="AC121" i="8" s="1"/>
  <c r="AG121" i="8" s="1"/>
  <c r="V121" i="8"/>
  <c r="AJ121" i="8"/>
  <c r="C59" i="11"/>
  <c r="U59" i="11" s="1"/>
  <c r="B59" i="11"/>
  <c r="AJ59" i="11"/>
  <c r="AI59" i="11"/>
  <c r="AH59" i="11"/>
  <c r="AJ66" i="11"/>
  <c r="AI66" i="11"/>
  <c r="AH66" i="11"/>
  <c r="C66" i="11"/>
  <c r="AC66" i="11" s="1"/>
  <c r="AG66" i="11" s="1"/>
  <c r="B66" i="11"/>
  <c r="B62" i="11"/>
  <c r="AJ62" i="11"/>
  <c r="C62" i="11"/>
  <c r="AA62" i="11" s="1"/>
  <c r="AI62" i="11"/>
  <c r="AH62" i="11"/>
  <c r="X95" i="11"/>
  <c r="G95" i="11"/>
  <c r="W95" i="11"/>
  <c r="F95" i="11"/>
  <c r="AJ95" i="11"/>
  <c r="V95" i="11"/>
  <c r="E95" i="11"/>
  <c r="AI95" i="11"/>
  <c r="U95" i="11"/>
  <c r="D95" i="11"/>
  <c r="AH95" i="11"/>
  <c r="T95" i="11"/>
  <c r="C95" i="11"/>
  <c r="P95" i="11" s="1"/>
  <c r="Q95" i="11" s="1"/>
  <c r="B95" i="11"/>
  <c r="AD95" i="11"/>
  <c r="AC95" i="11"/>
  <c r="AG95" i="11" s="1"/>
  <c r="AB95" i="11"/>
  <c r="AA95" i="11"/>
  <c r="I95" i="11"/>
  <c r="H95" i="11"/>
  <c r="AD91" i="11"/>
  <c r="P91" i="11"/>
  <c r="Q91" i="11" s="1"/>
  <c r="AC91" i="11"/>
  <c r="AG91" i="11" s="1"/>
  <c r="AB91" i="11"/>
  <c r="AA91" i="11"/>
  <c r="I91" i="11"/>
  <c r="H91" i="11"/>
  <c r="W91" i="11"/>
  <c r="F91" i="11"/>
  <c r="AH91" i="11"/>
  <c r="X91" i="11"/>
  <c r="V91" i="11"/>
  <c r="U91" i="11"/>
  <c r="T91" i="11"/>
  <c r="AK91" i="11" s="1"/>
  <c r="G91" i="11"/>
  <c r="AJ91" i="11"/>
  <c r="AI91" i="11"/>
  <c r="E91" i="11"/>
  <c r="C91" i="11"/>
  <c r="D91" i="11"/>
  <c r="B91" i="11"/>
  <c r="AB144" i="11"/>
  <c r="AA144" i="11"/>
  <c r="I144" i="11"/>
  <c r="H144" i="11"/>
  <c r="X144" i="11"/>
  <c r="G144" i="11"/>
  <c r="W144" i="11"/>
  <c r="F144" i="11"/>
  <c r="AJ144" i="11"/>
  <c r="V144" i="11"/>
  <c r="E144" i="11"/>
  <c r="AI144" i="11"/>
  <c r="U144" i="11"/>
  <c r="D144" i="11"/>
  <c r="AH144" i="11"/>
  <c r="T144" i="11"/>
  <c r="C144" i="11"/>
  <c r="P144" i="11" s="1"/>
  <c r="Q144" i="11" s="1"/>
  <c r="B144" i="11"/>
  <c r="AD144" i="11"/>
  <c r="AC144" i="11"/>
  <c r="AG144" i="11" s="1"/>
  <c r="AA141" i="11"/>
  <c r="I141" i="11"/>
  <c r="H141" i="11"/>
  <c r="X141" i="11"/>
  <c r="G141" i="11"/>
  <c r="W141" i="11"/>
  <c r="F141" i="11"/>
  <c r="AJ141" i="11"/>
  <c r="V141" i="11"/>
  <c r="E141" i="11"/>
  <c r="AI141" i="11"/>
  <c r="U141" i="11"/>
  <c r="D141" i="11"/>
  <c r="AH141" i="11"/>
  <c r="T141" i="11"/>
  <c r="C141" i="11"/>
  <c r="AD141" i="11"/>
  <c r="AC141" i="11"/>
  <c r="AG141" i="11" s="1"/>
  <c r="AB141" i="11"/>
  <c r="B141" i="11"/>
  <c r="AD154" i="11"/>
  <c r="AA154" i="11"/>
  <c r="I154" i="11"/>
  <c r="H154" i="11"/>
  <c r="G154" i="11"/>
  <c r="X154" i="11"/>
  <c r="F154" i="11"/>
  <c r="W154" i="11"/>
  <c r="E154" i="11"/>
  <c r="V154" i="11"/>
  <c r="D154" i="11"/>
  <c r="AJ154" i="11"/>
  <c r="U154" i="11"/>
  <c r="C154" i="11"/>
  <c r="P154" i="11" s="1"/>
  <c r="Q154" i="11" s="1"/>
  <c r="B154" i="11"/>
  <c r="AI154" i="11"/>
  <c r="AH154" i="11"/>
  <c r="AC154" i="11"/>
  <c r="AG154" i="11" s="1"/>
  <c r="AB154" i="11"/>
  <c r="T154" i="11"/>
  <c r="AK154" i="11" s="1"/>
  <c r="W172" i="11"/>
  <c r="F172" i="11"/>
  <c r="AJ172" i="11"/>
  <c r="V172" i="11"/>
  <c r="E172" i="11"/>
  <c r="G172" i="11"/>
  <c r="D172" i="11"/>
  <c r="X172" i="11"/>
  <c r="C172" i="11"/>
  <c r="P172" i="11" s="1"/>
  <c r="Q172" i="11" s="1"/>
  <c r="U172" i="11"/>
  <c r="B172" i="11"/>
  <c r="T172" i="11"/>
  <c r="AI172" i="11"/>
  <c r="AH172" i="11"/>
  <c r="AD172" i="11"/>
  <c r="AC172" i="11"/>
  <c r="AG172" i="11" s="1"/>
  <c r="AB172" i="11"/>
  <c r="AA172" i="11"/>
  <c r="I172" i="11"/>
  <c r="H172" i="11"/>
  <c r="AA67" i="11"/>
  <c r="AJ53" i="10"/>
  <c r="AI53" i="10"/>
  <c r="AH53" i="10"/>
  <c r="C53" i="10"/>
  <c r="AA53" i="10" s="1"/>
  <c r="B53" i="10"/>
  <c r="C74" i="10"/>
  <c r="AC74" i="10" s="1"/>
  <c r="AG74" i="10" s="1"/>
  <c r="AJ74" i="10"/>
  <c r="B74" i="10"/>
  <c r="AI74" i="10"/>
  <c r="AJ95" i="10"/>
  <c r="AI95" i="10"/>
  <c r="C95" i="10"/>
  <c r="AC95" i="10" s="1"/>
  <c r="AG95" i="10" s="1"/>
  <c r="B95" i="10"/>
  <c r="AJ97" i="10"/>
  <c r="AI97" i="10"/>
  <c r="C97" i="10"/>
  <c r="B97" i="10"/>
  <c r="B85" i="10"/>
  <c r="AJ85" i="10"/>
  <c r="AI85" i="10"/>
  <c r="C85" i="10"/>
  <c r="X85" i="10" s="1"/>
  <c r="AD148" i="10"/>
  <c r="AC148" i="10"/>
  <c r="AG148" i="10" s="1"/>
  <c r="AB148" i="10"/>
  <c r="AA148" i="10"/>
  <c r="I148" i="10"/>
  <c r="X148" i="10"/>
  <c r="G148" i="10"/>
  <c r="AJ148" i="10"/>
  <c r="V148" i="10"/>
  <c r="E148" i="10"/>
  <c r="H148" i="10"/>
  <c r="F148" i="10"/>
  <c r="AI148" i="10"/>
  <c r="D148" i="10"/>
  <c r="AH148" i="10"/>
  <c r="C148" i="10"/>
  <c r="P148" i="10" s="1"/>
  <c r="Q148" i="10" s="1"/>
  <c r="B148" i="10"/>
  <c r="W148" i="10"/>
  <c r="U148" i="10"/>
  <c r="T148" i="10"/>
  <c r="H183" i="10"/>
  <c r="W183" i="10"/>
  <c r="F183" i="10"/>
  <c r="AI183" i="10"/>
  <c r="U183" i="10"/>
  <c r="D183" i="10"/>
  <c r="B183" i="10"/>
  <c r="X183" i="10"/>
  <c r="V183" i="10"/>
  <c r="T183" i="10"/>
  <c r="AJ183" i="10"/>
  <c r="AH183" i="10"/>
  <c r="AD183" i="10"/>
  <c r="I183" i="10"/>
  <c r="AB183" i="10"/>
  <c r="E183" i="10"/>
  <c r="AF183" i="10"/>
  <c r="AC183" i="10"/>
  <c r="AG183" i="10" s="1"/>
  <c r="AA183" i="10"/>
  <c r="G183" i="10"/>
  <c r="C183" i="10"/>
  <c r="P183" i="10" s="1"/>
  <c r="Q183" i="10" s="1"/>
  <c r="AI146" i="10"/>
  <c r="U146" i="10"/>
  <c r="D146" i="10"/>
  <c r="AH146" i="10"/>
  <c r="T146" i="10"/>
  <c r="C146" i="10"/>
  <c r="P146" i="10" s="1"/>
  <c r="Q146" i="10" s="1"/>
  <c r="B146" i="10"/>
  <c r="AD146" i="10"/>
  <c r="I146" i="10"/>
  <c r="AJ146" i="10"/>
  <c r="E146" i="10"/>
  <c r="AC146" i="10"/>
  <c r="AG146" i="10" s="1"/>
  <c r="AB146" i="10"/>
  <c r="AA146" i="10"/>
  <c r="X146" i="10"/>
  <c r="W146" i="10"/>
  <c r="V146" i="10"/>
  <c r="H146" i="10"/>
  <c r="G146" i="10"/>
  <c r="F146" i="10"/>
  <c r="W169" i="10"/>
  <c r="F169" i="10"/>
  <c r="AI169" i="10"/>
  <c r="U169" i="10"/>
  <c r="AF169" i="10" s="1"/>
  <c r="D169" i="10"/>
  <c r="AH169" i="10"/>
  <c r="T169" i="10"/>
  <c r="C169" i="10"/>
  <c r="P169" i="10" s="1"/>
  <c r="Q169" i="10" s="1"/>
  <c r="B169" i="10"/>
  <c r="AB169" i="10"/>
  <c r="I169" i="10"/>
  <c r="X169" i="10"/>
  <c r="V169" i="10"/>
  <c r="H169" i="10"/>
  <c r="G169" i="10"/>
  <c r="E169" i="10"/>
  <c r="AJ169" i="10"/>
  <c r="AD169" i="10"/>
  <c r="AC169" i="10"/>
  <c r="AG169" i="10" s="1"/>
  <c r="AA169" i="10"/>
  <c r="B67" i="9"/>
  <c r="C67" i="9"/>
  <c r="AA67" i="9" s="1"/>
  <c r="AJ67" i="9"/>
  <c r="AI67" i="9"/>
  <c r="AH67" i="9"/>
  <c r="AD152" i="9"/>
  <c r="AC152" i="9"/>
  <c r="AG152" i="9" s="1"/>
  <c r="AB152" i="9"/>
  <c r="AA152" i="9"/>
  <c r="H152" i="9"/>
  <c r="X152" i="9"/>
  <c r="G152" i="9"/>
  <c r="AJ152" i="9"/>
  <c r="V152" i="9"/>
  <c r="E152" i="9"/>
  <c r="W152" i="9"/>
  <c r="U152" i="9"/>
  <c r="T152" i="9"/>
  <c r="AK152" i="9" s="1"/>
  <c r="I152" i="9"/>
  <c r="AI152" i="9"/>
  <c r="D152" i="9"/>
  <c r="F152" i="9"/>
  <c r="C152" i="9"/>
  <c r="P152" i="9" s="1"/>
  <c r="Q152" i="9" s="1"/>
  <c r="B152" i="9"/>
  <c r="AH152" i="9"/>
  <c r="AD149" i="9"/>
  <c r="AC149" i="9"/>
  <c r="AG149" i="9" s="1"/>
  <c r="AB149" i="9"/>
  <c r="AA149" i="9"/>
  <c r="I149" i="9"/>
  <c r="X149" i="9"/>
  <c r="G149" i="9"/>
  <c r="W149" i="9"/>
  <c r="F149" i="9"/>
  <c r="AI149" i="9"/>
  <c r="U149" i="9"/>
  <c r="D149" i="9"/>
  <c r="H149" i="9"/>
  <c r="AJ149" i="9"/>
  <c r="E149" i="9"/>
  <c r="AH149" i="9"/>
  <c r="C149" i="9"/>
  <c r="P149" i="9" s="1"/>
  <c r="Q149" i="9" s="1"/>
  <c r="B149" i="9"/>
  <c r="V149" i="9"/>
  <c r="T149" i="9"/>
  <c r="AJ105" i="9"/>
  <c r="AI105" i="9"/>
  <c r="C105" i="9"/>
  <c r="W105" i="9" s="1"/>
  <c r="B105" i="9"/>
  <c r="AA105" i="9"/>
  <c r="B93" i="9"/>
  <c r="AC93" i="9"/>
  <c r="AG93" i="9" s="1"/>
  <c r="AJ93" i="9"/>
  <c r="AI93" i="9"/>
  <c r="C93" i="9"/>
  <c r="AA93" i="9"/>
  <c r="H162" i="9"/>
  <c r="X162" i="9"/>
  <c r="G162" i="9"/>
  <c r="W162" i="9"/>
  <c r="F162" i="9"/>
  <c r="AJ162" i="9"/>
  <c r="V162" i="9"/>
  <c r="E162" i="9"/>
  <c r="AI162" i="9"/>
  <c r="U162" i="9"/>
  <c r="AF162" i="9" s="1"/>
  <c r="D162" i="9"/>
  <c r="AH162" i="9"/>
  <c r="T162" i="9"/>
  <c r="C162" i="9"/>
  <c r="P162" i="9" s="1"/>
  <c r="Q162" i="9" s="1"/>
  <c r="B162" i="9"/>
  <c r="AD162" i="9"/>
  <c r="AC162" i="9"/>
  <c r="AG162" i="9" s="1"/>
  <c r="AB162" i="9"/>
  <c r="AA162" i="9"/>
  <c r="I162" i="9"/>
  <c r="AC181" i="9"/>
  <c r="AG181" i="9" s="1"/>
  <c r="H181" i="9"/>
  <c r="W181" i="9"/>
  <c r="F181" i="9"/>
  <c r="X181" i="9"/>
  <c r="C181" i="9"/>
  <c r="AK181" i="9" s="1"/>
  <c r="V181" i="9"/>
  <c r="B181" i="9"/>
  <c r="U181" i="9"/>
  <c r="AF181" i="9" s="1"/>
  <c r="T181" i="9"/>
  <c r="AJ181" i="9"/>
  <c r="AI181" i="9"/>
  <c r="AH181" i="9"/>
  <c r="P181" i="9"/>
  <c r="Q181" i="9" s="1"/>
  <c r="AD181" i="9"/>
  <c r="AB181" i="9"/>
  <c r="AA181" i="9"/>
  <c r="I181" i="9"/>
  <c r="E181" i="9"/>
  <c r="D181" i="9"/>
  <c r="G181" i="9"/>
  <c r="AA48" i="10"/>
  <c r="AJ114" i="9"/>
  <c r="AI114" i="9"/>
  <c r="B114" i="9"/>
  <c r="C114" i="9"/>
  <c r="AH56" i="9"/>
  <c r="C56" i="9"/>
  <c r="B56" i="9"/>
  <c r="AJ56" i="9"/>
  <c r="AI56" i="9"/>
  <c r="AF156" i="9"/>
  <c r="AF59" i="9"/>
  <c r="V115" i="9"/>
  <c r="AC49" i="9"/>
  <c r="AG49" i="9" s="1"/>
  <c r="U45" i="9"/>
  <c r="W73" i="9"/>
  <c r="AC66" i="9"/>
  <c r="AG66" i="9" s="1"/>
  <c r="AA88" i="9"/>
  <c r="X45" i="8"/>
  <c r="W45" i="8"/>
  <c r="V45" i="8"/>
  <c r="AI62" i="8"/>
  <c r="C62" i="8"/>
  <c r="B62" i="8"/>
  <c r="AJ62" i="8"/>
  <c r="AH62" i="8"/>
  <c r="AA77" i="8"/>
  <c r="X77" i="8"/>
  <c r="W77" i="8"/>
  <c r="AJ77" i="8"/>
  <c r="V77" i="8"/>
  <c r="AI77" i="8"/>
  <c r="C77" i="8"/>
  <c r="U77" i="8" s="1"/>
  <c r="B77" i="8"/>
  <c r="AC77" i="8"/>
  <c r="AG77" i="8" s="1"/>
  <c r="AJ82" i="8"/>
  <c r="AI82" i="8"/>
  <c r="C82" i="8"/>
  <c r="X82" i="8" s="1"/>
  <c r="B82" i="8"/>
  <c r="AI73" i="8"/>
  <c r="C73" i="8"/>
  <c r="U73" i="8" s="1"/>
  <c r="B73" i="8"/>
  <c r="AJ73" i="8"/>
  <c r="B111" i="8"/>
  <c r="AJ111" i="8"/>
  <c r="AI111" i="8"/>
  <c r="C111" i="8"/>
  <c r="H150" i="8"/>
  <c r="X150" i="8"/>
  <c r="G150" i="8"/>
  <c r="W150" i="8"/>
  <c r="F150" i="8"/>
  <c r="AJ150" i="8"/>
  <c r="V150" i="8"/>
  <c r="E150" i="8"/>
  <c r="AI150" i="8"/>
  <c r="U150" i="8"/>
  <c r="D150" i="8"/>
  <c r="AH150" i="8"/>
  <c r="T150" i="8"/>
  <c r="C150" i="8"/>
  <c r="P150" i="8" s="1"/>
  <c r="Q150" i="8" s="1"/>
  <c r="B150" i="8"/>
  <c r="AD150" i="8"/>
  <c r="I150" i="8"/>
  <c r="AC150" i="8"/>
  <c r="AG150" i="8" s="1"/>
  <c r="AB150" i="8"/>
  <c r="AA150" i="8"/>
  <c r="AI152" i="8"/>
  <c r="U152" i="8"/>
  <c r="D152" i="8"/>
  <c r="AH152" i="8"/>
  <c r="T152" i="8"/>
  <c r="C152" i="8"/>
  <c r="P152" i="8" s="1"/>
  <c r="Q152" i="8" s="1"/>
  <c r="B152" i="8"/>
  <c r="AD152" i="8"/>
  <c r="AC152" i="8"/>
  <c r="AG152" i="8" s="1"/>
  <c r="AB152" i="8"/>
  <c r="AA152" i="8"/>
  <c r="I152" i="8"/>
  <c r="W152" i="8"/>
  <c r="V152" i="8"/>
  <c r="H152" i="8"/>
  <c r="G152" i="8"/>
  <c r="F152" i="8"/>
  <c r="E152" i="8"/>
  <c r="AJ152" i="8"/>
  <c r="X152" i="8"/>
  <c r="I180" i="8"/>
  <c r="H180" i="8"/>
  <c r="X180" i="8"/>
  <c r="G180" i="8"/>
  <c r="W180" i="8"/>
  <c r="F180" i="8"/>
  <c r="AJ180" i="8"/>
  <c r="V180" i="8"/>
  <c r="E180" i="8"/>
  <c r="AI180" i="8"/>
  <c r="U180" i="8"/>
  <c r="D180" i="8"/>
  <c r="AH180" i="8"/>
  <c r="T180" i="8"/>
  <c r="C180" i="8"/>
  <c r="P180" i="8" s="1"/>
  <c r="Q180" i="8" s="1"/>
  <c r="B180" i="8"/>
  <c r="AC180" i="8"/>
  <c r="AG180" i="8" s="1"/>
  <c r="AB180" i="8"/>
  <c r="AA180" i="8"/>
  <c r="AD180" i="8"/>
  <c r="F42" i="7"/>
  <c r="Q42" i="7"/>
  <c r="C42" i="7"/>
  <c r="B42" i="7"/>
  <c r="O42" i="7"/>
  <c r="M42" i="7"/>
  <c r="D42" i="7"/>
  <c r="E42" i="7" s="1"/>
  <c r="R42" i="7"/>
  <c r="S42" i="7" s="1"/>
  <c r="X52" i="8"/>
  <c r="W52" i="8"/>
  <c r="V52" i="8"/>
  <c r="P52" i="7"/>
  <c r="V56" i="8"/>
  <c r="B20" i="5"/>
  <c r="H144" i="10"/>
  <c r="X144" i="10"/>
  <c r="G144" i="10"/>
  <c r="W144" i="10"/>
  <c r="F144" i="10"/>
  <c r="AJ144" i="10"/>
  <c r="V144" i="10"/>
  <c r="AI144" i="10"/>
  <c r="U144" i="10"/>
  <c r="D144" i="10"/>
  <c r="AH144" i="10"/>
  <c r="T144" i="10"/>
  <c r="C144" i="10"/>
  <c r="P144" i="10" s="1"/>
  <c r="Q144" i="10" s="1"/>
  <c r="AD144" i="10"/>
  <c r="AB144" i="10"/>
  <c r="AA144" i="10"/>
  <c r="I144" i="10"/>
  <c r="AC144" i="10"/>
  <c r="AG144" i="10" s="1"/>
  <c r="E144" i="10"/>
  <c r="B144" i="10"/>
  <c r="B179" i="10"/>
  <c r="AC179" i="10"/>
  <c r="AG179" i="10" s="1"/>
  <c r="V179" i="10"/>
  <c r="U179" i="10"/>
  <c r="T179" i="10"/>
  <c r="AK179" i="10" s="1"/>
  <c r="AJ179" i="10"/>
  <c r="AI179" i="10"/>
  <c r="AH179" i="10"/>
  <c r="AA179" i="10"/>
  <c r="G179" i="10"/>
  <c r="E179" i="10"/>
  <c r="F179" i="10"/>
  <c r="D179" i="10"/>
  <c r="C179" i="10"/>
  <c r="P179" i="10" s="1"/>
  <c r="Q179" i="10" s="1"/>
  <c r="AD179" i="10"/>
  <c r="AB179" i="10"/>
  <c r="X179" i="10"/>
  <c r="W179" i="10"/>
  <c r="I179" i="10"/>
  <c r="H179" i="10"/>
  <c r="B179" i="9"/>
  <c r="AC179" i="9"/>
  <c r="AG179" i="9" s="1"/>
  <c r="AA179" i="9"/>
  <c r="G179" i="9"/>
  <c r="F179" i="9"/>
  <c r="X179" i="9"/>
  <c r="E179" i="9"/>
  <c r="W179" i="9"/>
  <c r="D179" i="9"/>
  <c r="V179" i="9"/>
  <c r="C179" i="9"/>
  <c r="P179" i="9" s="1"/>
  <c r="Q179" i="9" s="1"/>
  <c r="U179" i="9"/>
  <c r="T179" i="9"/>
  <c r="AJ179" i="9"/>
  <c r="AI179" i="9"/>
  <c r="AH179" i="9"/>
  <c r="I179" i="9"/>
  <c r="H179" i="9"/>
  <c r="AD179" i="9"/>
  <c r="AB179" i="9"/>
  <c r="AF132" i="8"/>
  <c r="AD132" i="8"/>
  <c r="AC132" i="8"/>
  <c r="AG132" i="8" s="1"/>
  <c r="AB132" i="8"/>
  <c r="AA132" i="8"/>
  <c r="I132" i="8"/>
  <c r="H132" i="8"/>
  <c r="X132" i="8"/>
  <c r="G132" i="8"/>
  <c r="F132" i="8"/>
  <c r="E132" i="8"/>
  <c r="D132" i="8"/>
  <c r="AJ132" i="8"/>
  <c r="C132" i="8"/>
  <c r="P132" i="8" s="1"/>
  <c r="Q132" i="8" s="1"/>
  <c r="AI132" i="8"/>
  <c r="B132" i="8"/>
  <c r="AH132" i="8"/>
  <c r="W132" i="8"/>
  <c r="V132" i="8"/>
  <c r="U132" i="8"/>
  <c r="T132" i="8"/>
  <c r="AJ54" i="11"/>
  <c r="AI54" i="11"/>
  <c r="AH54" i="11"/>
  <c r="C54" i="11"/>
  <c r="AC54" i="11" s="1"/>
  <c r="AG54" i="11" s="1"/>
  <c r="B54" i="11"/>
  <c r="AH120" i="11"/>
  <c r="T120" i="11"/>
  <c r="AK120" i="11" s="1"/>
  <c r="C120" i="11"/>
  <c r="P120" i="11" s="1"/>
  <c r="Q120" i="11" s="1"/>
  <c r="B120" i="11"/>
  <c r="AD120" i="11"/>
  <c r="AC120" i="11"/>
  <c r="AG120" i="11" s="1"/>
  <c r="AB120" i="11"/>
  <c r="AA120" i="11"/>
  <c r="I120" i="11"/>
  <c r="H120" i="11"/>
  <c r="G120" i="11"/>
  <c r="F120" i="11"/>
  <c r="E120" i="11"/>
  <c r="D120" i="11"/>
  <c r="AJ120" i="11"/>
  <c r="AI120" i="11"/>
  <c r="X120" i="11"/>
  <c r="W120" i="11"/>
  <c r="V120" i="11"/>
  <c r="U120" i="11"/>
  <c r="AI111" i="10"/>
  <c r="B111" i="10"/>
  <c r="AJ111" i="10"/>
  <c r="C111" i="10"/>
  <c r="AA111" i="10" s="1"/>
  <c r="AJ115" i="8"/>
  <c r="AI115" i="8"/>
  <c r="C115" i="8"/>
  <c r="B115" i="8"/>
  <c r="I139" i="8"/>
  <c r="H139" i="8"/>
  <c r="X139" i="8"/>
  <c r="G139" i="8"/>
  <c r="W139" i="8"/>
  <c r="F139" i="8"/>
  <c r="AJ139" i="8"/>
  <c r="V139" i="8"/>
  <c r="E139" i="8"/>
  <c r="AI139" i="8"/>
  <c r="U139" i="8"/>
  <c r="D139" i="8"/>
  <c r="AH139" i="8"/>
  <c r="T139" i="8"/>
  <c r="C139" i="8"/>
  <c r="P139" i="8" s="1"/>
  <c r="Q139" i="8" s="1"/>
  <c r="B139" i="8"/>
  <c r="AD139" i="8"/>
  <c r="AC139" i="8"/>
  <c r="AG139" i="8" s="1"/>
  <c r="AB139" i="8"/>
  <c r="AA139" i="8"/>
  <c r="AI168" i="8"/>
  <c r="U168" i="8"/>
  <c r="D168" i="8"/>
  <c r="AH168" i="8"/>
  <c r="T168" i="8"/>
  <c r="C168" i="8"/>
  <c r="AD168" i="8"/>
  <c r="AC168" i="8"/>
  <c r="AG168" i="8" s="1"/>
  <c r="AB168" i="8"/>
  <c r="AA168" i="8"/>
  <c r="X168" i="8"/>
  <c r="W168" i="8"/>
  <c r="V168" i="8"/>
  <c r="I168" i="8"/>
  <c r="H168" i="8"/>
  <c r="G168" i="8"/>
  <c r="F168" i="8"/>
  <c r="AJ168" i="8"/>
  <c r="E168" i="8"/>
  <c r="B168" i="8"/>
  <c r="AI86" i="11"/>
  <c r="C86" i="11"/>
  <c r="P86" i="11" s="1"/>
  <c r="Q86" i="11" s="1"/>
  <c r="B86" i="11"/>
  <c r="AJ86" i="11"/>
  <c r="AC51" i="11"/>
  <c r="AG51" i="11" s="1"/>
  <c r="I147" i="10"/>
  <c r="H147" i="10"/>
  <c r="X147" i="10"/>
  <c r="G147" i="10"/>
  <c r="W147" i="10"/>
  <c r="F147" i="10"/>
  <c r="AJ147" i="10"/>
  <c r="V147" i="10"/>
  <c r="E147" i="10"/>
  <c r="AI147" i="10"/>
  <c r="U147" i="10"/>
  <c r="D147" i="10"/>
  <c r="AA147" i="10"/>
  <c r="T147" i="10"/>
  <c r="AH147" i="10"/>
  <c r="C147" i="10"/>
  <c r="P147" i="10" s="1"/>
  <c r="Q147" i="10" s="1"/>
  <c r="B147" i="10"/>
  <c r="AC147" i="10"/>
  <c r="AG147" i="10" s="1"/>
  <c r="AB147" i="10"/>
  <c r="AD147" i="10"/>
  <c r="C83" i="9"/>
  <c r="B83" i="9"/>
  <c r="AJ83" i="9"/>
  <c r="AI83" i="9"/>
  <c r="AC115" i="9"/>
  <c r="AG115" i="9" s="1"/>
  <c r="AJ106" i="8"/>
  <c r="C106" i="8"/>
  <c r="B106" i="8"/>
  <c r="AI106" i="8"/>
  <c r="H178" i="11"/>
  <c r="X178" i="11"/>
  <c r="G178" i="11"/>
  <c r="AC178" i="11"/>
  <c r="AG178" i="11" s="1"/>
  <c r="AB178" i="11"/>
  <c r="I178" i="11"/>
  <c r="AA178" i="11"/>
  <c r="F178" i="11"/>
  <c r="E178" i="11"/>
  <c r="W178" i="11"/>
  <c r="D178" i="11"/>
  <c r="V178" i="11"/>
  <c r="C178" i="11"/>
  <c r="AK178" i="11" s="1"/>
  <c r="U178" i="11"/>
  <c r="B178" i="11"/>
  <c r="AJ178" i="11"/>
  <c r="T178" i="11"/>
  <c r="AI178" i="11"/>
  <c r="AH178" i="11"/>
  <c r="AD178" i="11"/>
  <c r="P178" i="11"/>
  <c r="Q178" i="11" s="1"/>
  <c r="AJ66" i="10"/>
  <c r="V66" i="10"/>
  <c r="AI66" i="10"/>
  <c r="U66" i="10"/>
  <c r="AH66" i="10"/>
  <c r="C66" i="10"/>
  <c r="T66" i="10" s="1"/>
  <c r="AD66" i="10" s="1"/>
  <c r="H66" i="10" s="1"/>
  <c r="B66" i="10"/>
  <c r="AC66" i="10"/>
  <c r="AG66" i="10" s="1"/>
  <c r="AA66" i="10"/>
  <c r="W66" i="10"/>
  <c r="X66" i="10"/>
  <c r="B80" i="9"/>
  <c r="AJ80" i="9"/>
  <c r="AI80" i="9"/>
  <c r="C80" i="9"/>
  <c r="T80" i="9" s="1"/>
  <c r="AA80" i="9"/>
  <c r="AJ59" i="8"/>
  <c r="B59" i="8"/>
  <c r="AI59" i="8"/>
  <c r="AH59" i="8"/>
  <c r="C59" i="8"/>
  <c r="U59" i="8" s="1"/>
  <c r="X59" i="8"/>
  <c r="AI158" i="8"/>
  <c r="U158" i="8"/>
  <c r="D158" i="8"/>
  <c r="B158" i="8"/>
  <c r="AD158" i="8"/>
  <c r="AC158" i="8"/>
  <c r="AG158" i="8" s="1"/>
  <c r="AB158" i="8"/>
  <c r="I158" i="8"/>
  <c r="AA158" i="8"/>
  <c r="H158" i="8"/>
  <c r="G158" i="8"/>
  <c r="F158" i="8"/>
  <c r="X158" i="8"/>
  <c r="E158" i="8"/>
  <c r="W158" i="8"/>
  <c r="C158" i="8"/>
  <c r="P158" i="8" s="1"/>
  <c r="Q158" i="8" s="1"/>
  <c r="V158" i="8"/>
  <c r="T158" i="8"/>
  <c r="AJ158" i="8"/>
  <c r="AH158" i="8"/>
  <c r="AJ140" i="11"/>
  <c r="V140" i="11"/>
  <c r="E140" i="11"/>
  <c r="AI140" i="11"/>
  <c r="U140" i="11"/>
  <c r="D140" i="11"/>
  <c r="AH140" i="11"/>
  <c r="T140" i="11"/>
  <c r="AK140" i="11" s="1"/>
  <c r="C140" i="11"/>
  <c r="P140" i="11" s="1"/>
  <c r="Q140" i="11" s="1"/>
  <c r="B140" i="11"/>
  <c r="AD140" i="11"/>
  <c r="AC140" i="11"/>
  <c r="AG140" i="11" s="1"/>
  <c r="AA140" i="11"/>
  <c r="F140" i="11"/>
  <c r="AB140" i="11"/>
  <c r="X140" i="11"/>
  <c r="W140" i="11"/>
  <c r="G140" i="11"/>
  <c r="I140" i="11"/>
  <c r="H140" i="11"/>
  <c r="H175" i="10"/>
  <c r="X175" i="10"/>
  <c r="G175" i="10"/>
  <c r="W175" i="10"/>
  <c r="F175" i="10"/>
  <c r="AJ175" i="10"/>
  <c r="V175" i="10"/>
  <c r="E175" i="10"/>
  <c r="AI175" i="10"/>
  <c r="U175" i="10"/>
  <c r="D175" i="10"/>
  <c r="AH175" i="10"/>
  <c r="T175" i="10"/>
  <c r="AK175" i="10" s="1"/>
  <c r="C175" i="10"/>
  <c r="B175" i="10"/>
  <c r="AD175" i="10"/>
  <c r="P175" i="10"/>
  <c r="Q175" i="10" s="1"/>
  <c r="AB175" i="10"/>
  <c r="AC175" i="10"/>
  <c r="AG175" i="10" s="1"/>
  <c r="AA175" i="10"/>
  <c r="I175" i="10"/>
  <c r="AC55" i="9"/>
  <c r="AG55" i="9" s="1"/>
  <c r="AD167" i="8"/>
  <c r="AC167" i="8"/>
  <c r="AG167" i="8" s="1"/>
  <c r="AA167" i="8"/>
  <c r="I167" i="8"/>
  <c r="H167" i="8"/>
  <c r="X167" i="8"/>
  <c r="G167" i="8"/>
  <c r="W167" i="8"/>
  <c r="F167" i="8"/>
  <c r="AJ167" i="8"/>
  <c r="V167" i="8"/>
  <c r="E167" i="8"/>
  <c r="AB167" i="8"/>
  <c r="U167" i="8"/>
  <c r="T167" i="8"/>
  <c r="D167" i="8"/>
  <c r="C167" i="8"/>
  <c r="P167" i="8" s="1"/>
  <c r="Q167" i="8" s="1"/>
  <c r="B167" i="8"/>
  <c r="AI167" i="8"/>
  <c r="AH167" i="8"/>
  <c r="B52" i="6"/>
  <c r="AI52" i="11"/>
  <c r="AH52" i="11"/>
  <c r="C52" i="11"/>
  <c r="T52" i="11" s="1"/>
  <c r="AK52" i="11" s="1"/>
  <c r="B52" i="11"/>
  <c r="AJ52" i="11"/>
  <c r="AJ80" i="11"/>
  <c r="AI80" i="11"/>
  <c r="C80" i="11"/>
  <c r="V80" i="11" s="1"/>
  <c r="B80" i="11"/>
  <c r="B76" i="11"/>
  <c r="AA76" i="11"/>
  <c r="AJ76" i="11"/>
  <c r="AI76" i="11"/>
  <c r="C76" i="11"/>
  <c r="AC76" i="11" s="1"/>
  <c r="AG76" i="11" s="1"/>
  <c r="AD108" i="11"/>
  <c r="AC108" i="11"/>
  <c r="AG108" i="11" s="1"/>
  <c r="AB108" i="11"/>
  <c r="AA108" i="11"/>
  <c r="I108" i="11"/>
  <c r="W108" i="11"/>
  <c r="F108" i="11"/>
  <c r="AI108" i="11"/>
  <c r="U108" i="11"/>
  <c r="AF108" i="11" s="1"/>
  <c r="D108" i="11"/>
  <c r="AJ108" i="11"/>
  <c r="H108" i="11"/>
  <c r="AH108" i="11"/>
  <c r="G108" i="11"/>
  <c r="E108" i="11"/>
  <c r="C108" i="11"/>
  <c r="AK108" i="11" s="1"/>
  <c r="B108" i="11"/>
  <c r="X108" i="11"/>
  <c r="V108" i="11"/>
  <c r="T108" i="11"/>
  <c r="AH106" i="11"/>
  <c r="T106" i="11"/>
  <c r="B106" i="11"/>
  <c r="AA106" i="11"/>
  <c r="H106" i="11"/>
  <c r="V106" i="11"/>
  <c r="U106" i="11"/>
  <c r="AJ106" i="11"/>
  <c r="AI106" i="11"/>
  <c r="AD106" i="11"/>
  <c r="I106" i="11"/>
  <c r="AC106" i="11"/>
  <c r="AG106" i="11" s="1"/>
  <c r="G106" i="11"/>
  <c r="AB106" i="11"/>
  <c r="X106" i="11"/>
  <c r="W106" i="11"/>
  <c r="F106" i="11"/>
  <c r="E106" i="11"/>
  <c r="D106" i="11"/>
  <c r="C106" i="11"/>
  <c r="I167" i="11"/>
  <c r="H167" i="11"/>
  <c r="P167" i="11"/>
  <c r="Q167" i="11" s="1"/>
  <c r="AD167" i="11"/>
  <c r="AC167" i="11"/>
  <c r="AG167" i="11" s="1"/>
  <c r="AB167" i="11"/>
  <c r="G167" i="11"/>
  <c r="AA167" i="11"/>
  <c r="F167" i="11"/>
  <c r="X167" i="11"/>
  <c r="E167" i="11"/>
  <c r="W167" i="11"/>
  <c r="D167" i="11"/>
  <c r="U167" i="11"/>
  <c r="B167" i="11"/>
  <c r="AH167" i="11"/>
  <c r="V167" i="11"/>
  <c r="T167" i="11"/>
  <c r="C167" i="11"/>
  <c r="AJ167" i="11"/>
  <c r="AI167" i="11"/>
  <c r="H135" i="11"/>
  <c r="X135" i="11"/>
  <c r="G135" i="11"/>
  <c r="W135" i="11"/>
  <c r="F135" i="11"/>
  <c r="AJ135" i="11"/>
  <c r="V135" i="11"/>
  <c r="E135" i="11"/>
  <c r="AI135" i="11"/>
  <c r="U135" i="11"/>
  <c r="AF135" i="11" s="1"/>
  <c r="D135" i="11"/>
  <c r="AH135" i="11"/>
  <c r="T135" i="11"/>
  <c r="C135" i="11"/>
  <c r="B135" i="11"/>
  <c r="AD135" i="11"/>
  <c r="P135" i="11"/>
  <c r="Q135" i="11" s="1"/>
  <c r="I135" i="11"/>
  <c r="AC135" i="11"/>
  <c r="AG135" i="11" s="1"/>
  <c r="AB135" i="11"/>
  <c r="AA135" i="11"/>
  <c r="B131" i="11"/>
  <c r="AD131" i="11"/>
  <c r="AC131" i="11"/>
  <c r="AG131" i="11" s="1"/>
  <c r="AB131" i="11"/>
  <c r="AA131" i="11"/>
  <c r="I131" i="11"/>
  <c r="X131" i="11"/>
  <c r="G131" i="11"/>
  <c r="H131" i="11"/>
  <c r="F131" i="11"/>
  <c r="E131" i="11"/>
  <c r="D131" i="11"/>
  <c r="AJ131" i="11"/>
  <c r="C131" i="11"/>
  <c r="P131" i="11" s="1"/>
  <c r="Q131" i="11" s="1"/>
  <c r="AI131" i="11"/>
  <c r="AH131" i="11"/>
  <c r="W131" i="11"/>
  <c r="V131" i="11"/>
  <c r="U131" i="11"/>
  <c r="T131" i="11"/>
  <c r="AD179" i="11"/>
  <c r="P179" i="11"/>
  <c r="Q179" i="11" s="1"/>
  <c r="AC179" i="11"/>
  <c r="AG179" i="11" s="1"/>
  <c r="X179" i="11"/>
  <c r="E179" i="11"/>
  <c r="W179" i="11"/>
  <c r="D179" i="11"/>
  <c r="V179" i="11"/>
  <c r="C179" i="11"/>
  <c r="U179" i="11"/>
  <c r="B179" i="11"/>
  <c r="AJ179" i="11"/>
  <c r="T179" i="11"/>
  <c r="AI179" i="11"/>
  <c r="AH179" i="11"/>
  <c r="I179" i="11"/>
  <c r="H179" i="11"/>
  <c r="G179" i="11"/>
  <c r="F179" i="11"/>
  <c r="AB179" i="11"/>
  <c r="AA179" i="11"/>
  <c r="AJ84" i="10"/>
  <c r="AI84" i="10"/>
  <c r="B84" i="10"/>
  <c r="C84" i="10"/>
  <c r="W84" i="10" s="1"/>
  <c r="AJ67" i="10"/>
  <c r="AI67" i="10"/>
  <c r="AH67" i="10"/>
  <c r="C67" i="10"/>
  <c r="AA67" i="10" s="1"/>
  <c r="B67" i="10"/>
  <c r="AC67" i="10"/>
  <c r="AG67" i="10" s="1"/>
  <c r="AJ92" i="10"/>
  <c r="AI92" i="10"/>
  <c r="C92" i="10"/>
  <c r="AA92" i="10" s="1"/>
  <c r="B92" i="10"/>
  <c r="AH46" i="10"/>
  <c r="C46" i="10"/>
  <c r="B46" i="10"/>
  <c r="AJ46" i="10"/>
  <c r="AI46" i="10"/>
  <c r="AJ109" i="10"/>
  <c r="C109" i="10"/>
  <c r="AC109" i="10" s="1"/>
  <c r="AG109" i="10" s="1"/>
  <c r="AI109" i="10"/>
  <c r="B109" i="10"/>
  <c r="AJ119" i="10"/>
  <c r="AI119" i="10"/>
  <c r="B119" i="10"/>
  <c r="C119" i="10"/>
  <c r="AC119" i="10" s="1"/>
  <c r="AG119" i="10" s="1"/>
  <c r="B99" i="10"/>
  <c r="AA99" i="10"/>
  <c r="C99" i="10"/>
  <c r="AC99" i="10" s="1"/>
  <c r="AG99" i="10" s="1"/>
  <c r="AJ99" i="10"/>
  <c r="AI99" i="10"/>
  <c r="AJ127" i="10"/>
  <c r="AI127" i="10"/>
  <c r="C127" i="10"/>
  <c r="AC127" i="10" s="1"/>
  <c r="AG127" i="10" s="1"/>
  <c r="B127" i="10"/>
  <c r="AC123" i="10"/>
  <c r="AG123" i="10" s="1"/>
  <c r="C123" i="10"/>
  <c r="U123" i="10" s="1"/>
  <c r="B123" i="10"/>
  <c r="AJ123" i="10"/>
  <c r="AI123" i="10"/>
  <c r="V123" i="10"/>
  <c r="X180" i="10"/>
  <c r="G180" i="10"/>
  <c r="AJ180" i="10"/>
  <c r="V180" i="10"/>
  <c r="E180" i="10"/>
  <c r="AH180" i="10"/>
  <c r="T180" i="10"/>
  <c r="C180" i="10"/>
  <c r="P180" i="10" s="1"/>
  <c r="Q180" i="10" s="1"/>
  <c r="AI180" i="10"/>
  <c r="AD180" i="10"/>
  <c r="AA180" i="10"/>
  <c r="F180" i="10"/>
  <c r="B180" i="10"/>
  <c r="I180" i="10"/>
  <c r="H180" i="10"/>
  <c r="D180" i="10"/>
  <c r="AC180" i="10"/>
  <c r="AG180" i="10" s="1"/>
  <c r="AB180" i="10"/>
  <c r="U180" i="10"/>
  <c r="AF180" i="10" s="1"/>
  <c r="W180" i="10"/>
  <c r="AH166" i="10"/>
  <c r="T166" i="10"/>
  <c r="AK166" i="10" s="1"/>
  <c r="C166" i="10"/>
  <c r="P166" i="10" s="1"/>
  <c r="Q166" i="10" s="1"/>
  <c r="AD166" i="10"/>
  <c r="AA166" i="10"/>
  <c r="AJ166" i="10"/>
  <c r="AI166" i="10"/>
  <c r="I166" i="10"/>
  <c r="AC166" i="10"/>
  <c r="AG166" i="10" s="1"/>
  <c r="H166" i="10"/>
  <c r="AB166" i="10"/>
  <c r="G166" i="10"/>
  <c r="F166" i="10"/>
  <c r="E166" i="10"/>
  <c r="X166" i="10"/>
  <c r="D166" i="10"/>
  <c r="W166" i="10"/>
  <c r="V166" i="10"/>
  <c r="U166" i="10"/>
  <c r="B166" i="10"/>
  <c r="AJ81" i="9"/>
  <c r="C81" i="9"/>
  <c r="AA81" i="9" s="1"/>
  <c r="B81" i="9"/>
  <c r="AI81" i="9"/>
  <c r="C79" i="9"/>
  <c r="AC79" i="9" s="1"/>
  <c r="AG79" i="9" s="1"/>
  <c r="B79" i="9"/>
  <c r="AJ79" i="9"/>
  <c r="AI79" i="9"/>
  <c r="AJ89" i="9"/>
  <c r="C89" i="9"/>
  <c r="B89" i="9"/>
  <c r="AI89" i="9"/>
  <c r="AJ119" i="9"/>
  <c r="AI119" i="9"/>
  <c r="C119" i="9"/>
  <c r="V119" i="9" s="1"/>
  <c r="B119" i="9"/>
  <c r="AC119" i="9"/>
  <c r="AG119" i="9" s="1"/>
  <c r="AA119" i="9"/>
  <c r="B107" i="9"/>
  <c r="AJ107" i="9"/>
  <c r="AI107" i="9"/>
  <c r="C107" i="9"/>
  <c r="AC107" i="9" s="1"/>
  <c r="AG107" i="9" s="1"/>
  <c r="AB178" i="9"/>
  <c r="X178" i="9"/>
  <c r="G178" i="9"/>
  <c r="AJ178" i="9"/>
  <c r="V178" i="9"/>
  <c r="E178" i="9"/>
  <c r="AD178" i="9"/>
  <c r="AC178" i="9"/>
  <c r="AG178" i="9" s="1"/>
  <c r="I178" i="9"/>
  <c r="AA178" i="9"/>
  <c r="H178" i="9"/>
  <c r="F178" i="9"/>
  <c r="D178" i="9"/>
  <c r="W178" i="9"/>
  <c r="C178" i="9"/>
  <c r="P178" i="9" s="1"/>
  <c r="Q178" i="9" s="1"/>
  <c r="U178" i="9"/>
  <c r="AF178" i="9" s="1"/>
  <c r="B178" i="9"/>
  <c r="T178" i="9"/>
  <c r="AI178" i="9"/>
  <c r="AH178" i="9"/>
  <c r="B144" i="9"/>
  <c r="AD144" i="9"/>
  <c r="AC144" i="9"/>
  <c r="AG144" i="9" s="1"/>
  <c r="AA144" i="9"/>
  <c r="I144" i="9"/>
  <c r="X144" i="9"/>
  <c r="G144" i="9"/>
  <c r="H144" i="9"/>
  <c r="F144" i="9"/>
  <c r="E144" i="9"/>
  <c r="AJ144" i="9"/>
  <c r="D144" i="9"/>
  <c r="AH144" i="9"/>
  <c r="AI144" i="9"/>
  <c r="AB144" i="9"/>
  <c r="W144" i="9"/>
  <c r="U144" i="9"/>
  <c r="AF144" i="9" s="1"/>
  <c r="T144" i="9"/>
  <c r="AK144" i="9" s="1"/>
  <c r="V144" i="9"/>
  <c r="C144" i="9"/>
  <c r="P144" i="9" s="1"/>
  <c r="Q144" i="9" s="1"/>
  <c r="C68" i="9"/>
  <c r="X68" i="9" s="1"/>
  <c r="B68" i="9"/>
  <c r="AJ68" i="9"/>
  <c r="T68" i="9"/>
  <c r="AD68" i="9" s="1"/>
  <c r="AI68" i="9"/>
  <c r="AH68" i="9"/>
  <c r="AA68" i="9"/>
  <c r="W63" i="9"/>
  <c r="AM183" i="9"/>
  <c r="AN183" i="9"/>
  <c r="AL183" i="9"/>
  <c r="X73" i="9"/>
  <c r="U73" i="9"/>
  <c r="AC88" i="9"/>
  <c r="AG88" i="9" s="1"/>
  <c r="F62" i="7"/>
  <c r="R62" i="7"/>
  <c r="S62" i="7" s="1"/>
  <c r="D62" i="7"/>
  <c r="E62" i="7" s="1"/>
  <c r="Q62" i="7"/>
  <c r="C62" i="7"/>
  <c r="O62" i="7"/>
  <c r="M62" i="7"/>
  <c r="B62" i="7"/>
  <c r="AJ91" i="8"/>
  <c r="AI91" i="8"/>
  <c r="U91" i="8"/>
  <c r="C91" i="8"/>
  <c r="B91" i="8"/>
  <c r="C99" i="8"/>
  <c r="AC99" i="8" s="1"/>
  <c r="AG99" i="8" s="1"/>
  <c r="AJ99" i="8"/>
  <c r="B99" i="8"/>
  <c r="AI99" i="8"/>
  <c r="AI87" i="8"/>
  <c r="C87" i="8"/>
  <c r="AA87" i="8" s="1"/>
  <c r="B87" i="8"/>
  <c r="AC87" i="8"/>
  <c r="AG87" i="8" s="1"/>
  <c r="AJ87" i="8"/>
  <c r="X87" i="8"/>
  <c r="W125" i="8"/>
  <c r="AJ125" i="8"/>
  <c r="AI125" i="8"/>
  <c r="B125" i="8"/>
  <c r="T125" i="8"/>
  <c r="AD125" i="8" s="1"/>
  <c r="P125" i="8"/>
  <c r="Q125" i="8" s="1"/>
  <c r="C125" i="8"/>
  <c r="V125" i="8" s="1"/>
  <c r="X133" i="8"/>
  <c r="G133" i="8"/>
  <c r="W133" i="8"/>
  <c r="F133" i="8"/>
  <c r="AI133" i="8"/>
  <c r="U133" i="8"/>
  <c r="D133" i="8"/>
  <c r="AH133" i="8"/>
  <c r="T133" i="8"/>
  <c r="C133" i="8"/>
  <c r="P133" i="8" s="1"/>
  <c r="Q133" i="8" s="1"/>
  <c r="B133" i="8"/>
  <c r="AD133" i="8"/>
  <c r="AC133" i="8"/>
  <c r="AG133" i="8" s="1"/>
  <c r="H133" i="8"/>
  <c r="E133" i="8"/>
  <c r="AJ133" i="8"/>
  <c r="AB133" i="8"/>
  <c r="AA133" i="8"/>
  <c r="V133" i="8"/>
  <c r="I133" i="8"/>
  <c r="H156" i="8"/>
  <c r="W156" i="8"/>
  <c r="F156" i="8"/>
  <c r="X156" i="8"/>
  <c r="D156" i="8"/>
  <c r="V156" i="8"/>
  <c r="C156" i="8"/>
  <c r="U156" i="8"/>
  <c r="B156" i="8"/>
  <c r="AJ156" i="8"/>
  <c r="T156" i="8"/>
  <c r="AK156" i="8" s="1"/>
  <c r="AI156" i="8"/>
  <c r="AH156" i="8"/>
  <c r="AF156" i="8"/>
  <c r="P156" i="8"/>
  <c r="Q156" i="8" s="1"/>
  <c r="AD156" i="8"/>
  <c r="I156" i="8"/>
  <c r="G156" i="8"/>
  <c r="E156" i="8"/>
  <c r="AC156" i="8"/>
  <c r="AG156" i="8" s="1"/>
  <c r="AB156" i="8"/>
  <c r="AA156" i="8"/>
  <c r="X163" i="8"/>
  <c r="G163" i="8"/>
  <c r="W163" i="8"/>
  <c r="F163" i="8"/>
  <c r="AI163" i="8"/>
  <c r="U163" i="8"/>
  <c r="D163" i="8"/>
  <c r="B163" i="8"/>
  <c r="AD163" i="8"/>
  <c r="I163" i="8"/>
  <c r="H163" i="8"/>
  <c r="AJ163" i="8"/>
  <c r="E163" i="8"/>
  <c r="AH163" i="8"/>
  <c r="C163" i="8"/>
  <c r="P163" i="8" s="1"/>
  <c r="Q163" i="8" s="1"/>
  <c r="AC163" i="8"/>
  <c r="AG163" i="8" s="1"/>
  <c r="AB163" i="8"/>
  <c r="AA163" i="8"/>
  <c r="V163" i="8"/>
  <c r="T163" i="8"/>
  <c r="AK163" i="8" s="1"/>
  <c r="Q28" i="7"/>
  <c r="C28" i="7"/>
  <c r="B28" i="7"/>
  <c r="O28" i="7"/>
  <c r="M28" i="7"/>
  <c r="F28" i="7"/>
  <c r="D28" i="7"/>
  <c r="E28" i="7" s="1"/>
  <c r="R28" i="7"/>
  <c r="AN175" i="8"/>
  <c r="AM175" i="8"/>
  <c r="AL175" i="8"/>
  <c r="T52" i="8"/>
  <c r="J41" i="7"/>
  <c r="H41" i="7"/>
  <c r="I41" i="7" s="1"/>
  <c r="G41" i="7"/>
  <c r="AC69" i="8"/>
  <c r="AG69" i="8" s="1"/>
  <c r="B34" i="5"/>
  <c r="AD139" i="11"/>
  <c r="AC139" i="11"/>
  <c r="AG139" i="11" s="1"/>
  <c r="AB139" i="11"/>
  <c r="AA139" i="11"/>
  <c r="I139" i="11"/>
  <c r="H139" i="11"/>
  <c r="X139" i="11"/>
  <c r="G139" i="11"/>
  <c r="AJ139" i="11"/>
  <c r="V139" i="11"/>
  <c r="E139" i="11"/>
  <c r="D139" i="11"/>
  <c r="C139" i="11"/>
  <c r="P139" i="11" s="1"/>
  <c r="Q139" i="11" s="1"/>
  <c r="AI139" i="11"/>
  <c r="B139" i="11"/>
  <c r="AH139" i="11"/>
  <c r="W139" i="11"/>
  <c r="U139" i="11"/>
  <c r="T139" i="11"/>
  <c r="F139" i="11"/>
  <c r="C85" i="9"/>
  <c r="X85" i="9" s="1"/>
  <c r="AI85" i="9"/>
  <c r="B85" i="9"/>
  <c r="AJ85" i="9"/>
  <c r="AJ64" i="10"/>
  <c r="AI64" i="10"/>
  <c r="AH64" i="10"/>
  <c r="T64" i="10"/>
  <c r="AD64" i="10" s="1"/>
  <c r="C64" i="10"/>
  <c r="B64" i="10"/>
  <c r="AH182" i="10"/>
  <c r="T182" i="10"/>
  <c r="C182" i="10"/>
  <c r="AK182" i="10" s="1"/>
  <c r="AD182" i="10"/>
  <c r="AB182" i="10"/>
  <c r="V182" i="10"/>
  <c r="U182" i="10"/>
  <c r="AJ182" i="10"/>
  <c r="AI182" i="10"/>
  <c r="AA182" i="10"/>
  <c r="G182" i="10"/>
  <c r="E182" i="10"/>
  <c r="X182" i="10"/>
  <c r="W182" i="10"/>
  <c r="I182" i="10"/>
  <c r="H182" i="10"/>
  <c r="F182" i="10"/>
  <c r="D182" i="10"/>
  <c r="B182" i="10"/>
  <c r="AC182" i="10"/>
  <c r="AG182" i="10" s="1"/>
  <c r="AD155" i="9"/>
  <c r="AC155" i="9"/>
  <c r="AG155" i="9" s="1"/>
  <c r="AB155" i="9"/>
  <c r="I155" i="9"/>
  <c r="H155" i="9"/>
  <c r="W155" i="9"/>
  <c r="F155" i="9"/>
  <c r="AJ155" i="9"/>
  <c r="D155" i="9"/>
  <c r="AI155" i="9"/>
  <c r="C155" i="9"/>
  <c r="AH155" i="9"/>
  <c r="B155" i="9"/>
  <c r="AA155" i="9"/>
  <c r="X155" i="9"/>
  <c r="U155" i="9"/>
  <c r="AF155" i="9" s="1"/>
  <c r="V155" i="9"/>
  <c r="T155" i="9"/>
  <c r="G155" i="9"/>
  <c r="E155" i="9"/>
  <c r="R54" i="7"/>
  <c r="S54" i="7" s="1"/>
  <c r="D54" i="7"/>
  <c r="E54" i="7" s="1"/>
  <c r="Q54" i="7"/>
  <c r="C54" i="7"/>
  <c r="B54" i="7"/>
  <c r="O54" i="7"/>
  <c r="M54" i="7"/>
  <c r="F54" i="7"/>
  <c r="AC48" i="11"/>
  <c r="AG48" i="11" s="1"/>
  <c r="AA48" i="11"/>
  <c r="AJ48" i="11"/>
  <c r="AI48" i="11"/>
  <c r="AH48" i="11"/>
  <c r="C48" i="11"/>
  <c r="B48" i="11"/>
  <c r="AD168" i="11"/>
  <c r="AA168" i="11"/>
  <c r="H168" i="11"/>
  <c r="G168" i="11"/>
  <c r="F168" i="11"/>
  <c r="X168" i="11"/>
  <c r="E168" i="11"/>
  <c r="W168" i="11"/>
  <c r="D168" i="11"/>
  <c r="V168" i="11"/>
  <c r="C168" i="11"/>
  <c r="AK168" i="11" s="1"/>
  <c r="U168" i="11"/>
  <c r="B168" i="11"/>
  <c r="AJ168" i="11"/>
  <c r="T168" i="11"/>
  <c r="AI168" i="11"/>
  <c r="AH168" i="11"/>
  <c r="AC168" i="11"/>
  <c r="AG168" i="11" s="1"/>
  <c r="AB168" i="11"/>
  <c r="I168" i="11"/>
  <c r="C77" i="10"/>
  <c r="AC77" i="10" s="1"/>
  <c r="AG77" i="10" s="1"/>
  <c r="AJ77" i="10"/>
  <c r="B77" i="10"/>
  <c r="AI77" i="10"/>
  <c r="AJ167" i="9"/>
  <c r="V167" i="9"/>
  <c r="E167" i="9"/>
  <c r="AI167" i="9"/>
  <c r="U167" i="9"/>
  <c r="D167" i="9"/>
  <c r="AH167" i="9"/>
  <c r="T167" i="9"/>
  <c r="C167" i="9"/>
  <c r="P167" i="9" s="1"/>
  <c r="Q167" i="9" s="1"/>
  <c r="B167" i="9"/>
  <c r="AD167" i="9"/>
  <c r="AC167" i="9"/>
  <c r="AG167" i="9" s="1"/>
  <c r="AB167" i="9"/>
  <c r="AA167" i="9"/>
  <c r="I167" i="9"/>
  <c r="H167" i="9"/>
  <c r="G167" i="9"/>
  <c r="F167" i="9"/>
  <c r="X167" i="9"/>
  <c r="W167" i="9"/>
  <c r="F67" i="7"/>
  <c r="R67" i="7"/>
  <c r="S67" i="7" s="1"/>
  <c r="D67" i="7"/>
  <c r="E67" i="7" s="1"/>
  <c r="Q67" i="7"/>
  <c r="C67" i="7"/>
  <c r="B67" i="7"/>
  <c r="O67" i="7"/>
  <c r="M67" i="7"/>
  <c r="I151" i="9"/>
  <c r="H151" i="9"/>
  <c r="X151" i="9"/>
  <c r="G151" i="9"/>
  <c r="W151" i="9"/>
  <c r="F151" i="9"/>
  <c r="AJ151" i="9"/>
  <c r="V151" i="9"/>
  <c r="E151" i="9"/>
  <c r="AH151" i="9"/>
  <c r="T151" i="9"/>
  <c r="C151" i="9"/>
  <c r="P151" i="9" s="1"/>
  <c r="Q151" i="9" s="1"/>
  <c r="B151" i="9"/>
  <c r="AD151" i="9"/>
  <c r="AC151" i="9"/>
  <c r="AG151" i="9" s="1"/>
  <c r="AB151" i="9"/>
  <c r="AA151" i="9"/>
  <c r="U151" i="9"/>
  <c r="AI151" i="9"/>
  <c r="D151" i="9"/>
  <c r="H45" i="8"/>
  <c r="G45" i="8"/>
  <c r="F45" i="8"/>
  <c r="E45" i="8"/>
  <c r="AH177" i="11"/>
  <c r="T177" i="11"/>
  <c r="C177" i="11"/>
  <c r="P177" i="11" s="1"/>
  <c r="Q177" i="11" s="1"/>
  <c r="B177" i="11"/>
  <c r="AD177" i="11"/>
  <c r="AC177" i="11"/>
  <c r="AG177" i="11" s="1"/>
  <c r="AB177" i="11"/>
  <c r="I177" i="11"/>
  <c r="AA177" i="11"/>
  <c r="H177" i="11"/>
  <c r="G177" i="11"/>
  <c r="F177" i="11"/>
  <c r="X177" i="11"/>
  <c r="E177" i="11"/>
  <c r="W177" i="11"/>
  <c r="D177" i="11"/>
  <c r="AJ177" i="11"/>
  <c r="AI177" i="11"/>
  <c r="V177" i="11"/>
  <c r="U177" i="11"/>
  <c r="AD174" i="9"/>
  <c r="AC174" i="9"/>
  <c r="AG174" i="9" s="1"/>
  <c r="AB174" i="9"/>
  <c r="I174" i="9"/>
  <c r="AA174" i="9"/>
  <c r="H174" i="9"/>
  <c r="G174" i="9"/>
  <c r="F174" i="9"/>
  <c r="X174" i="9"/>
  <c r="E174" i="9"/>
  <c r="W174" i="9"/>
  <c r="D174" i="9"/>
  <c r="V174" i="9"/>
  <c r="C174" i="9"/>
  <c r="P174" i="9" s="1"/>
  <c r="Q174" i="9" s="1"/>
  <c r="U174" i="9"/>
  <c r="AF174" i="9" s="1"/>
  <c r="B174" i="9"/>
  <c r="AJ174" i="9"/>
  <c r="AI174" i="9"/>
  <c r="AH174" i="9"/>
  <c r="T174" i="9"/>
  <c r="X52" i="9"/>
  <c r="J47" i="7"/>
  <c r="H47" i="7"/>
  <c r="I47" i="7" s="1"/>
  <c r="G47" i="7"/>
  <c r="X87" i="11"/>
  <c r="AJ87" i="11"/>
  <c r="AI87" i="11"/>
  <c r="D87" i="11"/>
  <c r="T87" i="11"/>
  <c r="C87" i="11"/>
  <c r="AK87" i="11" s="1"/>
  <c r="B87" i="11"/>
  <c r="AD87" i="11"/>
  <c r="AC87" i="11"/>
  <c r="AG87" i="11" s="1"/>
  <c r="AB87" i="11"/>
  <c r="AD99" i="11"/>
  <c r="AC99" i="11"/>
  <c r="AG99" i="11" s="1"/>
  <c r="AB99" i="11"/>
  <c r="AA99" i="11"/>
  <c r="I99" i="11"/>
  <c r="H99" i="11"/>
  <c r="X99" i="11"/>
  <c r="G99" i="11"/>
  <c r="W99" i="11"/>
  <c r="F99" i="11"/>
  <c r="AJ99" i="11"/>
  <c r="V99" i="11"/>
  <c r="E99" i="11"/>
  <c r="AI99" i="11"/>
  <c r="U99" i="11"/>
  <c r="D99" i="11"/>
  <c r="C99" i="11"/>
  <c r="P99" i="11" s="1"/>
  <c r="Q99" i="11" s="1"/>
  <c r="B99" i="11"/>
  <c r="AH99" i="11"/>
  <c r="T99" i="11"/>
  <c r="P88" i="11"/>
  <c r="Q88" i="11" s="1"/>
  <c r="AC88" i="11"/>
  <c r="AG88" i="11" s="1"/>
  <c r="AJ88" i="11"/>
  <c r="AI88" i="11"/>
  <c r="B88" i="11"/>
  <c r="W88" i="11"/>
  <c r="U88" i="11"/>
  <c r="C88" i="11"/>
  <c r="X88" i="11" s="1"/>
  <c r="AI166" i="11"/>
  <c r="U166" i="11"/>
  <c r="D166" i="11"/>
  <c r="AH166" i="11"/>
  <c r="T166" i="11"/>
  <c r="C166" i="11"/>
  <c r="P166" i="11" s="1"/>
  <c r="Q166" i="11" s="1"/>
  <c r="AJ166" i="11"/>
  <c r="AD166" i="11"/>
  <c r="AC166" i="11"/>
  <c r="AG166" i="11" s="1"/>
  <c r="AB166" i="11"/>
  <c r="I166" i="11"/>
  <c r="G166" i="11"/>
  <c r="AA166" i="11"/>
  <c r="X166" i="11"/>
  <c r="W166" i="11"/>
  <c r="V166" i="11"/>
  <c r="H166" i="11"/>
  <c r="F166" i="11"/>
  <c r="E166" i="11"/>
  <c r="B166" i="11"/>
  <c r="AA113" i="11"/>
  <c r="I113" i="11"/>
  <c r="H113" i="11"/>
  <c r="X113" i="11"/>
  <c r="G113" i="11"/>
  <c r="W113" i="11"/>
  <c r="F113" i="11"/>
  <c r="AJ113" i="11"/>
  <c r="V113" i="11"/>
  <c r="E113" i="11"/>
  <c r="AI113" i="11"/>
  <c r="U113" i="11"/>
  <c r="D113" i="11"/>
  <c r="AH113" i="11"/>
  <c r="T113" i="11"/>
  <c r="C113" i="11"/>
  <c r="P113" i="11" s="1"/>
  <c r="Q113" i="11" s="1"/>
  <c r="AD113" i="11"/>
  <c r="AC113" i="11"/>
  <c r="AG113" i="11" s="1"/>
  <c r="AB113" i="11"/>
  <c r="B113" i="11"/>
  <c r="AI109" i="11"/>
  <c r="U109" i="11"/>
  <c r="D109" i="11"/>
  <c r="AH109" i="11"/>
  <c r="T109" i="11"/>
  <c r="C109" i="11"/>
  <c r="B109" i="11"/>
  <c r="AD109" i="11"/>
  <c r="P109" i="11"/>
  <c r="Q109" i="11" s="1"/>
  <c r="AB109" i="11"/>
  <c r="I109" i="11"/>
  <c r="AJ109" i="11"/>
  <c r="AC109" i="11"/>
  <c r="AG109" i="11" s="1"/>
  <c r="AA109" i="11"/>
  <c r="X109" i="11"/>
  <c r="W109" i="11"/>
  <c r="V109" i="11"/>
  <c r="E109" i="11"/>
  <c r="H109" i="11"/>
  <c r="G109" i="11"/>
  <c r="F109" i="11"/>
  <c r="AH152" i="11"/>
  <c r="T152" i="11"/>
  <c r="AF152" i="11" s="1"/>
  <c r="C152" i="11"/>
  <c r="AK152" i="11" s="1"/>
  <c r="H152" i="11"/>
  <c r="G152" i="11"/>
  <c r="X152" i="11"/>
  <c r="F152" i="11"/>
  <c r="W152" i="11"/>
  <c r="E152" i="11"/>
  <c r="V152" i="11"/>
  <c r="D152" i="11"/>
  <c r="AJ152" i="11"/>
  <c r="U152" i="11"/>
  <c r="B152" i="11"/>
  <c r="I152" i="11"/>
  <c r="AI152" i="11"/>
  <c r="AD152" i="11"/>
  <c r="AC152" i="11"/>
  <c r="AG152" i="11" s="1"/>
  <c r="AB152" i="11"/>
  <c r="AA152" i="11"/>
  <c r="B145" i="11"/>
  <c r="AD145" i="11"/>
  <c r="AC145" i="11"/>
  <c r="AG145" i="11" s="1"/>
  <c r="AB145" i="11"/>
  <c r="AA145" i="11"/>
  <c r="I145" i="11"/>
  <c r="H145" i="11"/>
  <c r="X145" i="11"/>
  <c r="G145" i="11"/>
  <c r="U145" i="11"/>
  <c r="T145" i="11"/>
  <c r="F145" i="11"/>
  <c r="E145" i="11"/>
  <c r="D145" i="11"/>
  <c r="C145" i="11"/>
  <c r="P145" i="11" s="1"/>
  <c r="Q145" i="11" s="1"/>
  <c r="AJ145" i="11"/>
  <c r="W145" i="11"/>
  <c r="V145" i="11"/>
  <c r="AI145" i="11"/>
  <c r="AH145" i="11"/>
  <c r="V157" i="11"/>
  <c r="D157" i="11"/>
  <c r="AJ157" i="11"/>
  <c r="U157" i="11"/>
  <c r="C157" i="11"/>
  <c r="P157" i="11" s="1"/>
  <c r="Q157" i="11" s="1"/>
  <c r="AI157" i="11"/>
  <c r="T157" i="11"/>
  <c r="B157" i="11"/>
  <c r="AH157" i="11"/>
  <c r="AD157" i="11"/>
  <c r="AA157" i="11"/>
  <c r="I157" i="11"/>
  <c r="AC157" i="11"/>
  <c r="AG157" i="11" s="1"/>
  <c r="AB157" i="11"/>
  <c r="X157" i="11"/>
  <c r="W157" i="11"/>
  <c r="H157" i="11"/>
  <c r="G157" i="11"/>
  <c r="F157" i="11"/>
  <c r="E157" i="11"/>
  <c r="AC67" i="11"/>
  <c r="AG67" i="11" s="1"/>
  <c r="AI70" i="10"/>
  <c r="AJ70" i="10"/>
  <c r="C70" i="10"/>
  <c r="B70" i="10"/>
  <c r="AJ73" i="10"/>
  <c r="C73" i="10"/>
  <c r="X73" i="10" s="1"/>
  <c r="B73" i="10"/>
  <c r="AI73" i="10"/>
  <c r="AH60" i="10"/>
  <c r="C60" i="10"/>
  <c r="AA60" i="10" s="1"/>
  <c r="B60" i="10"/>
  <c r="AJ60" i="10"/>
  <c r="AI60" i="10"/>
  <c r="C112" i="10"/>
  <c r="X112" i="10" s="1"/>
  <c r="B112" i="10"/>
  <c r="AJ112" i="10"/>
  <c r="AI112" i="10"/>
  <c r="AJ120" i="10"/>
  <c r="C120" i="10"/>
  <c r="W120" i="10" s="1"/>
  <c r="AI120" i="10"/>
  <c r="B120" i="10"/>
  <c r="AJ114" i="10"/>
  <c r="C114" i="10"/>
  <c r="AA114" i="10" s="1"/>
  <c r="B114" i="10"/>
  <c r="AI114" i="10"/>
  <c r="AJ124" i="10"/>
  <c r="AI124" i="10"/>
  <c r="C124" i="10"/>
  <c r="T124" i="10" s="1"/>
  <c r="AK124" i="10" s="1"/>
  <c r="B124" i="10"/>
  <c r="AA124" i="10"/>
  <c r="AA150" i="10"/>
  <c r="I150" i="10"/>
  <c r="H150" i="10"/>
  <c r="X150" i="10"/>
  <c r="G150" i="10"/>
  <c r="W150" i="10"/>
  <c r="F150" i="10"/>
  <c r="AJ150" i="10"/>
  <c r="V150" i="10"/>
  <c r="E150" i="10"/>
  <c r="AI150" i="10"/>
  <c r="AH150" i="10"/>
  <c r="T150" i="10"/>
  <c r="C150" i="10"/>
  <c r="P150" i="10" s="1"/>
  <c r="Q150" i="10" s="1"/>
  <c r="B150" i="10"/>
  <c r="D150" i="10"/>
  <c r="AD150" i="10"/>
  <c r="AC150" i="10"/>
  <c r="AG150" i="10" s="1"/>
  <c r="AB150" i="10"/>
  <c r="U150" i="10"/>
  <c r="AH143" i="10"/>
  <c r="T143" i="10"/>
  <c r="AF143" i="10" s="1"/>
  <c r="C143" i="10"/>
  <c r="P143" i="10" s="1"/>
  <c r="Q143" i="10" s="1"/>
  <c r="B143" i="10"/>
  <c r="AD143" i="10"/>
  <c r="AC143" i="10"/>
  <c r="AG143" i="10" s="1"/>
  <c r="H143" i="10"/>
  <c r="I143" i="10"/>
  <c r="AJ143" i="10"/>
  <c r="G143" i="10"/>
  <c r="AI143" i="10"/>
  <c r="F143" i="10"/>
  <c r="E143" i="10"/>
  <c r="AB143" i="10"/>
  <c r="D143" i="10"/>
  <c r="AA143" i="10"/>
  <c r="X143" i="10"/>
  <c r="W143" i="10"/>
  <c r="V143" i="10"/>
  <c r="U143" i="10"/>
  <c r="AI177" i="10"/>
  <c r="U177" i="10"/>
  <c r="D177" i="10"/>
  <c r="AH177" i="10"/>
  <c r="T177" i="10"/>
  <c r="C177" i="10"/>
  <c r="AK177" i="10" s="1"/>
  <c r="B177" i="10"/>
  <c r="AD177" i="10"/>
  <c r="AC177" i="10"/>
  <c r="AG177" i="10" s="1"/>
  <c r="I177" i="10"/>
  <c r="X177" i="10"/>
  <c r="G177" i="10"/>
  <c r="AJ177" i="10"/>
  <c r="AB177" i="10"/>
  <c r="AA177" i="10"/>
  <c r="W177" i="10"/>
  <c r="V177" i="10"/>
  <c r="F177" i="10"/>
  <c r="E177" i="10"/>
  <c r="H177" i="10"/>
  <c r="AB136" i="9"/>
  <c r="I136" i="9"/>
  <c r="AD136" i="9"/>
  <c r="AC136" i="9"/>
  <c r="AG136" i="9" s="1"/>
  <c r="AA136" i="9"/>
  <c r="H136" i="9"/>
  <c r="X136" i="9"/>
  <c r="F136" i="9"/>
  <c r="V136" i="9"/>
  <c r="D136" i="9"/>
  <c r="U136" i="9"/>
  <c r="T136" i="9"/>
  <c r="G136" i="9"/>
  <c r="E136" i="9"/>
  <c r="AJ136" i="9"/>
  <c r="B136" i="9"/>
  <c r="AI136" i="9"/>
  <c r="AH136" i="9"/>
  <c r="W136" i="9"/>
  <c r="C136" i="9"/>
  <c r="P136" i="9" s="1"/>
  <c r="Q136" i="9" s="1"/>
  <c r="B86" i="9"/>
  <c r="C86" i="9"/>
  <c r="AJ86" i="9"/>
  <c r="AC86" i="9"/>
  <c r="AG86" i="9" s="1"/>
  <c r="AI86" i="9"/>
  <c r="AA86" i="9"/>
  <c r="AJ103" i="9"/>
  <c r="C103" i="9"/>
  <c r="T103" i="9" s="1"/>
  <c r="AD103" i="9" s="1"/>
  <c r="AI103" i="9"/>
  <c r="B103" i="9"/>
  <c r="C127" i="9"/>
  <c r="X127" i="9" s="1"/>
  <c r="B127" i="9"/>
  <c r="AJ127" i="9"/>
  <c r="AI127" i="9"/>
  <c r="B121" i="9"/>
  <c r="AJ121" i="9"/>
  <c r="D121" i="9"/>
  <c r="AI121" i="9"/>
  <c r="C121" i="9"/>
  <c r="T121" i="9" s="1"/>
  <c r="AD121" i="9" s="1"/>
  <c r="E121" i="9" s="1"/>
  <c r="V121" i="9"/>
  <c r="W121" i="9"/>
  <c r="X145" i="9"/>
  <c r="G145" i="9"/>
  <c r="W145" i="9"/>
  <c r="F145" i="9"/>
  <c r="AJ145" i="9"/>
  <c r="V145" i="9"/>
  <c r="E145" i="9"/>
  <c r="AI145" i="9"/>
  <c r="U145" i="9"/>
  <c r="D145" i="9"/>
  <c r="AH145" i="9"/>
  <c r="T145" i="9"/>
  <c r="C145" i="9"/>
  <c r="P145" i="9" s="1"/>
  <c r="Q145" i="9" s="1"/>
  <c r="AF145" i="9"/>
  <c r="AC145" i="9"/>
  <c r="AG145" i="9" s="1"/>
  <c r="I145" i="9"/>
  <c r="H145" i="9"/>
  <c r="B145" i="9"/>
  <c r="AD145" i="9"/>
  <c r="AA145" i="9"/>
  <c r="AB145" i="9"/>
  <c r="B158" i="9"/>
  <c r="AD158" i="9"/>
  <c r="AC158" i="9"/>
  <c r="AG158" i="9" s="1"/>
  <c r="AB158" i="9"/>
  <c r="AA158" i="9"/>
  <c r="I158" i="9"/>
  <c r="X158" i="9"/>
  <c r="G158" i="9"/>
  <c r="W158" i="9"/>
  <c r="V158" i="9"/>
  <c r="U158" i="9"/>
  <c r="T158" i="9"/>
  <c r="F158" i="9"/>
  <c r="D158" i="9"/>
  <c r="AJ158" i="9"/>
  <c r="AI158" i="9"/>
  <c r="AH158" i="9"/>
  <c r="E158" i="9"/>
  <c r="C158" i="9"/>
  <c r="P158" i="9" s="1"/>
  <c r="Q158" i="9" s="1"/>
  <c r="H158" i="9"/>
  <c r="C54" i="9"/>
  <c r="T54" i="9" s="1"/>
  <c r="B54" i="9"/>
  <c r="AJ54" i="9"/>
  <c r="AI54" i="9"/>
  <c r="AH54" i="9"/>
  <c r="I170" i="9"/>
  <c r="X170" i="9"/>
  <c r="G170" i="9"/>
  <c r="P170" i="9"/>
  <c r="Q170" i="9" s="1"/>
  <c r="AD170" i="9"/>
  <c r="AC170" i="9"/>
  <c r="AG170" i="9" s="1"/>
  <c r="AB170" i="9"/>
  <c r="H170" i="9"/>
  <c r="AA170" i="9"/>
  <c r="F170" i="9"/>
  <c r="E170" i="9"/>
  <c r="W170" i="9"/>
  <c r="D170" i="9"/>
  <c r="V170" i="9"/>
  <c r="C170" i="9"/>
  <c r="AJ170" i="9"/>
  <c r="AI170" i="9"/>
  <c r="AH170" i="9"/>
  <c r="U170" i="9"/>
  <c r="T170" i="9"/>
  <c r="AK170" i="9" s="1"/>
  <c r="B170" i="9"/>
  <c r="W115" i="9"/>
  <c r="AL138" i="9"/>
  <c r="AN138" i="9"/>
  <c r="AM138" i="9"/>
  <c r="AE138" i="9"/>
  <c r="Z138" i="9"/>
  <c r="Y138" i="9"/>
  <c r="U52" i="9"/>
  <c r="AA52" i="9"/>
  <c r="F48" i="7"/>
  <c r="R48" i="7"/>
  <c r="S48" i="7" s="1"/>
  <c r="D48" i="7"/>
  <c r="E48" i="7" s="1"/>
  <c r="Q48" i="7"/>
  <c r="C48" i="7"/>
  <c r="O48" i="7"/>
  <c r="M48" i="7"/>
  <c r="B48" i="7"/>
  <c r="AJ98" i="8"/>
  <c r="C98" i="8"/>
  <c r="U98" i="8" s="1"/>
  <c r="B98" i="8"/>
  <c r="AI98" i="8"/>
  <c r="AD137" i="8"/>
  <c r="AC137" i="8"/>
  <c r="AG137" i="8" s="1"/>
  <c r="AB137" i="8"/>
  <c r="AA137" i="8"/>
  <c r="I137" i="8"/>
  <c r="H137" i="8"/>
  <c r="X137" i="8"/>
  <c r="G137" i="8"/>
  <c r="W137" i="8"/>
  <c r="F137" i="8"/>
  <c r="AJ137" i="8"/>
  <c r="V137" i="8"/>
  <c r="E137" i="8"/>
  <c r="AI137" i="8"/>
  <c r="U137" i="8"/>
  <c r="D137" i="8"/>
  <c r="C137" i="8"/>
  <c r="AK137" i="8" s="1"/>
  <c r="B137" i="8"/>
  <c r="AH137" i="8"/>
  <c r="T137" i="8"/>
  <c r="AI123" i="8"/>
  <c r="C123" i="8"/>
  <c r="B123" i="8"/>
  <c r="AJ123" i="8"/>
  <c r="C100" i="8"/>
  <c r="AC100" i="8" s="1"/>
  <c r="AG100" i="8" s="1"/>
  <c r="B100" i="8"/>
  <c r="AJ100" i="8"/>
  <c r="AI100" i="8"/>
  <c r="X147" i="8"/>
  <c r="G147" i="8"/>
  <c r="W147" i="8"/>
  <c r="F147" i="8"/>
  <c r="AJ147" i="8"/>
  <c r="V147" i="8"/>
  <c r="E147" i="8"/>
  <c r="AI147" i="8"/>
  <c r="U147" i="8"/>
  <c r="D147" i="8"/>
  <c r="AH147" i="8"/>
  <c r="T147" i="8"/>
  <c r="C147" i="8"/>
  <c r="B147" i="8"/>
  <c r="AD147" i="8"/>
  <c r="P147" i="8"/>
  <c r="Q147" i="8" s="1"/>
  <c r="AC147" i="8"/>
  <c r="AG147" i="8" s="1"/>
  <c r="AB147" i="8"/>
  <c r="AA147" i="8"/>
  <c r="I147" i="8"/>
  <c r="H147" i="8"/>
  <c r="AH149" i="8"/>
  <c r="T149" i="8"/>
  <c r="C149" i="8"/>
  <c r="B149" i="8"/>
  <c r="AD149" i="8"/>
  <c r="AC149" i="8"/>
  <c r="AG149" i="8" s="1"/>
  <c r="AB149" i="8"/>
  <c r="AA149" i="8"/>
  <c r="I149" i="8"/>
  <c r="H149" i="8"/>
  <c r="E149" i="8"/>
  <c r="D149" i="8"/>
  <c r="AJ149" i="8"/>
  <c r="AI149" i="8"/>
  <c r="X149" i="8"/>
  <c r="W149" i="8"/>
  <c r="V149" i="8"/>
  <c r="U149" i="8"/>
  <c r="G149" i="8"/>
  <c r="F149" i="8"/>
  <c r="H177" i="8"/>
  <c r="X177" i="8"/>
  <c r="G177" i="8"/>
  <c r="W177" i="8"/>
  <c r="F177" i="8"/>
  <c r="AJ177" i="8"/>
  <c r="V177" i="8"/>
  <c r="E177" i="8"/>
  <c r="AI177" i="8"/>
  <c r="U177" i="8"/>
  <c r="D177" i="8"/>
  <c r="AH177" i="8"/>
  <c r="T177" i="8"/>
  <c r="C177" i="8"/>
  <c r="P177" i="8" s="1"/>
  <c r="Q177" i="8" s="1"/>
  <c r="B177" i="8"/>
  <c r="AD177" i="8"/>
  <c r="I177" i="8"/>
  <c r="AC177" i="8"/>
  <c r="AG177" i="8" s="1"/>
  <c r="AB177" i="8"/>
  <c r="AA177" i="8"/>
  <c r="B9" i="5"/>
  <c r="J61" i="7"/>
  <c r="H61" i="7"/>
  <c r="I61" i="7" s="1"/>
  <c r="G61" i="7"/>
  <c r="AG255" i="4"/>
  <c r="Q255" i="4" s="1"/>
  <c r="G30" i="7"/>
  <c r="J30" i="7"/>
  <c r="H30" i="7"/>
  <c r="I30" i="7" s="1"/>
  <c r="AJ79" i="10"/>
  <c r="B79" i="10"/>
  <c r="AI79" i="10"/>
  <c r="C79" i="10"/>
  <c r="AC160" i="9"/>
  <c r="AG160" i="9" s="1"/>
  <c r="AB160" i="9"/>
  <c r="AA160" i="9"/>
  <c r="I160" i="9"/>
  <c r="H160" i="9"/>
  <c r="X160" i="9"/>
  <c r="G160" i="9"/>
  <c r="W160" i="9"/>
  <c r="F160" i="9"/>
  <c r="AJ160" i="9"/>
  <c r="V160" i="9"/>
  <c r="E160" i="9"/>
  <c r="AH160" i="9"/>
  <c r="T160" i="9"/>
  <c r="C160" i="9"/>
  <c r="P160" i="9" s="1"/>
  <c r="Q160" i="9" s="1"/>
  <c r="U160" i="9"/>
  <c r="D160" i="9"/>
  <c r="AI160" i="9"/>
  <c r="AD160" i="9"/>
  <c r="B160" i="9"/>
  <c r="R68" i="7"/>
  <c r="S68" i="7" s="1"/>
  <c r="D68" i="7"/>
  <c r="E68" i="7" s="1"/>
  <c r="Q68" i="7"/>
  <c r="C68" i="7"/>
  <c r="B68" i="7"/>
  <c r="O68" i="7"/>
  <c r="M68" i="7"/>
  <c r="F68" i="7"/>
  <c r="AJ79" i="8"/>
  <c r="AI79" i="8"/>
  <c r="C79" i="8"/>
  <c r="AC79" i="8" s="1"/>
  <c r="AG79" i="8" s="1"/>
  <c r="B79" i="8"/>
  <c r="AA79" i="8"/>
  <c r="AN52" i="8"/>
  <c r="AM52" i="8"/>
  <c r="AL52" i="8"/>
  <c r="B149" i="11"/>
  <c r="AD149" i="11"/>
  <c r="P149" i="11"/>
  <c r="Q149" i="11" s="1"/>
  <c r="AC149" i="11"/>
  <c r="AG149" i="11" s="1"/>
  <c r="AB149" i="11"/>
  <c r="X149" i="11"/>
  <c r="G149" i="11"/>
  <c r="U149" i="11"/>
  <c r="T149" i="11"/>
  <c r="AF149" i="11" s="1"/>
  <c r="I149" i="11"/>
  <c r="H149" i="11"/>
  <c r="AJ149" i="11"/>
  <c r="F149" i="11"/>
  <c r="AI149" i="11"/>
  <c r="E149" i="11"/>
  <c r="AH149" i="11"/>
  <c r="D149" i="11"/>
  <c r="AA149" i="11"/>
  <c r="C149" i="11"/>
  <c r="W149" i="11"/>
  <c r="V149" i="11"/>
  <c r="B154" i="10"/>
  <c r="AD154" i="10"/>
  <c r="AC154" i="10"/>
  <c r="AG154" i="10" s="1"/>
  <c r="AB154" i="10"/>
  <c r="AA154" i="10"/>
  <c r="I154" i="10"/>
  <c r="H154" i="10"/>
  <c r="X154" i="10"/>
  <c r="G154" i="10"/>
  <c r="V154" i="10"/>
  <c r="U154" i="10"/>
  <c r="T154" i="10"/>
  <c r="F154" i="10"/>
  <c r="E154" i="10"/>
  <c r="D154" i="10"/>
  <c r="C154" i="10"/>
  <c r="P154" i="10" s="1"/>
  <c r="Q154" i="10" s="1"/>
  <c r="AJ154" i="10"/>
  <c r="AI154" i="10"/>
  <c r="AH154" i="10"/>
  <c r="W154" i="10"/>
  <c r="C118" i="9"/>
  <c r="B118" i="9"/>
  <c r="AJ118" i="9"/>
  <c r="AI118" i="9"/>
  <c r="B46" i="7"/>
  <c r="O46" i="7"/>
  <c r="M46" i="7"/>
  <c r="Q46" i="7"/>
  <c r="F46" i="7"/>
  <c r="D46" i="7"/>
  <c r="E46" i="7" s="1"/>
  <c r="C46" i="7"/>
  <c r="R46" i="7"/>
  <c r="S46" i="7" s="1"/>
  <c r="AJ126" i="8"/>
  <c r="AI126" i="8"/>
  <c r="C126" i="8"/>
  <c r="P126" i="8" s="1"/>
  <c r="Q126" i="8" s="1"/>
  <c r="B126" i="8"/>
  <c r="W144" i="8"/>
  <c r="F144" i="8"/>
  <c r="AJ144" i="8"/>
  <c r="V144" i="8"/>
  <c r="E144" i="8"/>
  <c r="AI144" i="8"/>
  <c r="U144" i="8"/>
  <c r="D144" i="8"/>
  <c r="AH144" i="8"/>
  <c r="T144" i="8"/>
  <c r="C144" i="8"/>
  <c r="P144" i="8" s="1"/>
  <c r="Q144" i="8" s="1"/>
  <c r="B144" i="8"/>
  <c r="AD144" i="8"/>
  <c r="AC144" i="8"/>
  <c r="AG144" i="8" s="1"/>
  <c r="AB144" i="8"/>
  <c r="I144" i="8"/>
  <c r="H144" i="8"/>
  <c r="G144" i="8"/>
  <c r="AA144" i="8"/>
  <c r="X144" i="8"/>
  <c r="AA136" i="10"/>
  <c r="I136" i="10"/>
  <c r="H136" i="10"/>
  <c r="X136" i="10"/>
  <c r="G136" i="10"/>
  <c r="W136" i="10"/>
  <c r="F136" i="10"/>
  <c r="V136" i="10"/>
  <c r="E136" i="10"/>
  <c r="AJ136" i="10"/>
  <c r="U136" i="10"/>
  <c r="D136" i="10"/>
  <c r="AI136" i="10"/>
  <c r="T136" i="10"/>
  <c r="C136" i="10"/>
  <c r="P136" i="10" s="1"/>
  <c r="Q136" i="10" s="1"/>
  <c r="AH136" i="10"/>
  <c r="B136" i="10"/>
  <c r="AD136" i="10"/>
  <c r="AC136" i="10"/>
  <c r="AG136" i="10" s="1"/>
  <c r="AB136" i="10"/>
  <c r="W52" i="9"/>
  <c r="V66" i="9"/>
  <c r="B97" i="8"/>
  <c r="AJ97" i="8"/>
  <c r="AI97" i="8"/>
  <c r="C97" i="8"/>
  <c r="AA131" i="8"/>
  <c r="H131" i="8"/>
  <c r="X131" i="8"/>
  <c r="G131" i="8"/>
  <c r="W131" i="8"/>
  <c r="F131" i="8"/>
  <c r="AJ131" i="8"/>
  <c r="V131" i="8"/>
  <c r="E131" i="8"/>
  <c r="AI131" i="8"/>
  <c r="U131" i="8"/>
  <c r="D131" i="8"/>
  <c r="B131" i="8"/>
  <c r="AH131" i="8"/>
  <c r="I131" i="8"/>
  <c r="C131" i="8"/>
  <c r="AD131" i="8"/>
  <c r="AC131" i="8"/>
  <c r="AG131" i="8" s="1"/>
  <c r="AB131" i="8"/>
  <c r="T131" i="8"/>
  <c r="AF143" i="8"/>
  <c r="AD143" i="8"/>
  <c r="AC143" i="8"/>
  <c r="AG143" i="8" s="1"/>
  <c r="AB143" i="8"/>
  <c r="AA143" i="8"/>
  <c r="I143" i="8"/>
  <c r="H143" i="8"/>
  <c r="X143" i="8"/>
  <c r="G143" i="8"/>
  <c r="W143" i="8"/>
  <c r="F143" i="8"/>
  <c r="E143" i="8"/>
  <c r="D143" i="8"/>
  <c r="C143" i="8"/>
  <c r="P143" i="8" s="1"/>
  <c r="Q143" i="8" s="1"/>
  <c r="B143" i="8"/>
  <c r="AJ143" i="8"/>
  <c r="AI143" i="8"/>
  <c r="AH143" i="8"/>
  <c r="V143" i="8"/>
  <c r="U143" i="8"/>
  <c r="T143" i="8"/>
  <c r="AJ75" i="11"/>
  <c r="AI75" i="11"/>
  <c r="C75" i="11"/>
  <c r="X75" i="11" s="1"/>
  <c r="B75" i="11"/>
  <c r="AB138" i="10"/>
  <c r="AA138" i="10"/>
  <c r="I138" i="10"/>
  <c r="H138" i="10"/>
  <c r="X138" i="10"/>
  <c r="G138" i="10"/>
  <c r="W138" i="10"/>
  <c r="F138" i="10"/>
  <c r="V138" i="10"/>
  <c r="E138" i="10"/>
  <c r="AJ138" i="10"/>
  <c r="U138" i="10"/>
  <c r="D138" i="10"/>
  <c r="AI138" i="10"/>
  <c r="T138" i="10"/>
  <c r="C138" i="10"/>
  <c r="P138" i="10" s="1"/>
  <c r="Q138" i="10" s="1"/>
  <c r="AH138" i="10"/>
  <c r="B138" i="10"/>
  <c r="AD138" i="10"/>
  <c r="AC138" i="10"/>
  <c r="AG138" i="10" s="1"/>
  <c r="AI99" i="9"/>
  <c r="T99" i="9"/>
  <c r="AD99" i="9" s="1"/>
  <c r="C99" i="9"/>
  <c r="B99" i="9"/>
  <c r="AJ99" i="9"/>
  <c r="AD178" i="8"/>
  <c r="AC178" i="8"/>
  <c r="AG178" i="8" s="1"/>
  <c r="AB178" i="8"/>
  <c r="AA178" i="8"/>
  <c r="I178" i="8"/>
  <c r="H178" i="8"/>
  <c r="X178" i="8"/>
  <c r="G178" i="8"/>
  <c r="W178" i="8"/>
  <c r="F178" i="8"/>
  <c r="AJ178" i="8"/>
  <c r="V178" i="8"/>
  <c r="E178" i="8"/>
  <c r="AI178" i="8"/>
  <c r="U178" i="8"/>
  <c r="D178" i="8"/>
  <c r="C178" i="8"/>
  <c r="P178" i="8" s="1"/>
  <c r="Q178" i="8" s="1"/>
  <c r="B178" i="8"/>
  <c r="AH178" i="8"/>
  <c r="T178" i="8"/>
  <c r="C43" i="11"/>
  <c r="AA43" i="11" s="1"/>
  <c r="B43" i="11"/>
  <c r="AJ43" i="11"/>
  <c r="AI43" i="11"/>
  <c r="AH43" i="11"/>
  <c r="W147" i="11"/>
  <c r="F147" i="11"/>
  <c r="AJ147" i="11"/>
  <c r="V147" i="11"/>
  <c r="E147" i="11"/>
  <c r="AI147" i="11"/>
  <c r="U147" i="11"/>
  <c r="AF147" i="11" s="1"/>
  <c r="D147" i="11"/>
  <c r="AH147" i="11"/>
  <c r="T147" i="11"/>
  <c r="C147" i="11"/>
  <c r="P147" i="11" s="1"/>
  <c r="Q147" i="11" s="1"/>
  <c r="B147" i="11"/>
  <c r="I147" i="11"/>
  <c r="H147" i="11"/>
  <c r="AD147" i="11"/>
  <c r="G147" i="11"/>
  <c r="AC147" i="11"/>
  <c r="AG147" i="11" s="1"/>
  <c r="AB147" i="11"/>
  <c r="AA147" i="11"/>
  <c r="X147" i="11"/>
  <c r="AC165" i="10"/>
  <c r="AG165" i="10" s="1"/>
  <c r="AA165" i="10"/>
  <c r="H165" i="10"/>
  <c r="AJ165" i="10"/>
  <c r="V165" i="10"/>
  <c r="E165" i="10"/>
  <c r="AI165" i="10"/>
  <c r="AH165" i="10"/>
  <c r="P165" i="10"/>
  <c r="Q165" i="10" s="1"/>
  <c r="AF165" i="10"/>
  <c r="I165" i="10"/>
  <c r="AD165" i="10"/>
  <c r="G165" i="10"/>
  <c r="AB165" i="10"/>
  <c r="F165" i="10"/>
  <c r="D165" i="10"/>
  <c r="X165" i="10"/>
  <c r="C165" i="10"/>
  <c r="W165" i="10"/>
  <c r="B165" i="10"/>
  <c r="U165" i="10"/>
  <c r="T165" i="10"/>
  <c r="AD168" i="9"/>
  <c r="AA168" i="9"/>
  <c r="I168" i="9"/>
  <c r="H168" i="9"/>
  <c r="X168" i="9"/>
  <c r="G168" i="9"/>
  <c r="W168" i="9"/>
  <c r="F168" i="9"/>
  <c r="V168" i="9"/>
  <c r="E168" i="9"/>
  <c r="AJ168" i="9"/>
  <c r="U168" i="9"/>
  <c r="D168" i="9"/>
  <c r="AI168" i="9"/>
  <c r="T168" i="9"/>
  <c r="C168" i="9"/>
  <c r="P168" i="9" s="1"/>
  <c r="Q168" i="9" s="1"/>
  <c r="AH168" i="9"/>
  <c r="B168" i="9"/>
  <c r="AB168" i="9"/>
  <c r="AC168" i="9"/>
  <c r="AG168" i="9" s="1"/>
  <c r="W66" i="9"/>
  <c r="AJ120" i="8"/>
  <c r="C120" i="8"/>
  <c r="V120" i="8" s="1"/>
  <c r="AI120" i="8"/>
  <c r="B120" i="8"/>
  <c r="AC120" i="8"/>
  <c r="AG120" i="8" s="1"/>
  <c r="AH165" i="8"/>
  <c r="T165" i="8"/>
  <c r="C165" i="8"/>
  <c r="AK165" i="8" s="1"/>
  <c r="B165" i="8"/>
  <c r="AC165" i="8"/>
  <c r="AG165" i="8" s="1"/>
  <c r="AB165" i="8"/>
  <c r="AA165" i="8"/>
  <c r="I165" i="8"/>
  <c r="H165" i="8"/>
  <c r="AJ165" i="8"/>
  <c r="G165" i="8"/>
  <c r="AI165" i="8"/>
  <c r="F165" i="8"/>
  <c r="E165" i="8"/>
  <c r="AD165" i="8"/>
  <c r="D165" i="8"/>
  <c r="X165" i="8"/>
  <c r="W165" i="8"/>
  <c r="V165" i="8"/>
  <c r="U165" i="8"/>
  <c r="F39" i="7"/>
  <c r="R39" i="7"/>
  <c r="S39" i="7" s="1"/>
  <c r="D39" i="7"/>
  <c r="E39" i="7" s="1"/>
  <c r="Q39" i="7"/>
  <c r="C39" i="7"/>
  <c r="P39" i="7" s="1"/>
  <c r="B39" i="7"/>
  <c r="O39" i="7"/>
  <c r="M39" i="7"/>
  <c r="AH49" i="11"/>
  <c r="C49" i="11"/>
  <c r="AC49" i="11" s="1"/>
  <c r="AG49" i="11" s="1"/>
  <c r="B49" i="11"/>
  <c r="AJ49" i="11"/>
  <c r="AI49" i="11"/>
  <c r="X63" i="11"/>
  <c r="W63" i="11"/>
  <c r="AJ63" i="11"/>
  <c r="AI63" i="11"/>
  <c r="AH63" i="11"/>
  <c r="C63" i="11"/>
  <c r="V63" i="11" s="1"/>
  <c r="B63" i="11"/>
  <c r="C73" i="11"/>
  <c r="W73" i="11" s="1"/>
  <c r="B73" i="11"/>
  <c r="AJ73" i="11"/>
  <c r="AI73" i="11"/>
  <c r="AB181" i="11"/>
  <c r="AA181" i="11"/>
  <c r="I181" i="11"/>
  <c r="H181" i="11"/>
  <c r="AH181" i="11"/>
  <c r="AD181" i="11"/>
  <c r="G181" i="11"/>
  <c r="AC181" i="11"/>
  <c r="AG181" i="11" s="1"/>
  <c r="F181" i="11"/>
  <c r="X181" i="11"/>
  <c r="E181" i="11"/>
  <c r="W181" i="11"/>
  <c r="D181" i="11"/>
  <c r="V181" i="11"/>
  <c r="C181" i="11"/>
  <c r="P181" i="11" s="1"/>
  <c r="Q181" i="11" s="1"/>
  <c r="U181" i="11"/>
  <c r="AF181" i="11" s="1"/>
  <c r="B181" i="11"/>
  <c r="AJ181" i="11"/>
  <c r="AI181" i="11"/>
  <c r="T181" i="11"/>
  <c r="H128" i="11"/>
  <c r="W128" i="11"/>
  <c r="F128" i="11"/>
  <c r="AD128" i="11"/>
  <c r="AC128" i="11"/>
  <c r="AG128" i="11" s="1"/>
  <c r="AB128" i="11"/>
  <c r="I128" i="11"/>
  <c r="AA128" i="11"/>
  <c r="G128" i="11"/>
  <c r="E128" i="11"/>
  <c r="X128" i="11"/>
  <c r="D128" i="11"/>
  <c r="V128" i="11"/>
  <c r="C128" i="11"/>
  <c r="U128" i="11"/>
  <c r="B128" i="11"/>
  <c r="AJ128" i="11"/>
  <c r="T128" i="11"/>
  <c r="P128" i="11"/>
  <c r="Q128" i="11" s="1"/>
  <c r="AI128" i="11"/>
  <c r="AH128" i="11"/>
  <c r="AI123" i="11"/>
  <c r="U123" i="11"/>
  <c r="D123" i="11"/>
  <c r="AH123" i="11"/>
  <c r="T123" i="11"/>
  <c r="C123" i="11"/>
  <c r="AK123" i="11" s="1"/>
  <c r="B123" i="11"/>
  <c r="AD123" i="11"/>
  <c r="AC123" i="11"/>
  <c r="AG123" i="11" s="1"/>
  <c r="AB123" i="11"/>
  <c r="AA123" i="11"/>
  <c r="I123" i="11"/>
  <c r="AJ123" i="11"/>
  <c r="X123" i="11"/>
  <c r="W123" i="11"/>
  <c r="V123" i="11"/>
  <c r="H123" i="11"/>
  <c r="G123" i="11"/>
  <c r="F123" i="11"/>
  <c r="E123" i="11"/>
  <c r="X132" i="11"/>
  <c r="G132" i="11"/>
  <c r="W132" i="11"/>
  <c r="F132" i="11"/>
  <c r="AJ132" i="11"/>
  <c r="V132" i="11"/>
  <c r="E132" i="11"/>
  <c r="AI132" i="11"/>
  <c r="U132" i="11"/>
  <c r="D132" i="11"/>
  <c r="AH132" i="11"/>
  <c r="T132" i="11"/>
  <c r="C132" i="11"/>
  <c r="P132" i="11" s="1"/>
  <c r="Q132" i="11" s="1"/>
  <c r="B132" i="11"/>
  <c r="AC132" i="11"/>
  <c r="AG132" i="11" s="1"/>
  <c r="I132" i="11"/>
  <c r="H132" i="11"/>
  <c r="AD132" i="11"/>
  <c r="AB132" i="11"/>
  <c r="AA132" i="11"/>
  <c r="AC151" i="11"/>
  <c r="AG151" i="11" s="1"/>
  <c r="AD151" i="11"/>
  <c r="AB151" i="11"/>
  <c r="AA151" i="11"/>
  <c r="I151" i="11"/>
  <c r="W151" i="11"/>
  <c r="E151" i="11"/>
  <c r="B151" i="11"/>
  <c r="X151" i="11"/>
  <c r="V151" i="11"/>
  <c r="U151" i="11"/>
  <c r="T151" i="11"/>
  <c r="H151" i="11"/>
  <c r="G151" i="11"/>
  <c r="F151" i="11"/>
  <c r="D151" i="11"/>
  <c r="C151" i="11"/>
  <c r="P151" i="11" s="1"/>
  <c r="Q151" i="11" s="1"/>
  <c r="AJ151" i="11"/>
  <c r="AI151" i="11"/>
  <c r="AH151" i="11"/>
  <c r="AC162" i="11"/>
  <c r="AG162" i="11" s="1"/>
  <c r="AB162" i="11"/>
  <c r="U162" i="11"/>
  <c r="C162" i="11"/>
  <c r="P162" i="11" s="1"/>
  <c r="Q162" i="11" s="1"/>
  <c r="AJ162" i="11"/>
  <c r="T162" i="11"/>
  <c r="B162" i="11"/>
  <c r="AI162" i="11"/>
  <c r="AH162" i="11"/>
  <c r="AD162" i="11"/>
  <c r="H162" i="11"/>
  <c r="I162" i="11"/>
  <c r="G162" i="11"/>
  <c r="F162" i="11"/>
  <c r="E162" i="11"/>
  <c r="D162" i="11"/>
  <c r="AA162" i="11"/>
  <c r="X162" i="11"/>
  <c r="W162" i="11"/>
  <c r="V162" i="11"/>
  <c r="AJ62" i="10"/>
  <c r="AI62" i="10"/>
  <c r="AH62" i="10"/>
  <c r="C62" i="10"/>
  <c r="B62" i="10"/>
  <c r="AI90" i="10"/>
  <c r="C90" i="10"/>
  <c r="AJ90" i="10"/>
  <c r="B90" i="10"/>
  <c r="AJ55" i="10"/>
  <c r="AI55" i="10"/>
  <c r="AH55" i="10"/>
  <c r="C55" i="10"/>
  <c r="AA55" i="10" s="1"/>
  <c r="B55" i="10"/>
  <c r="AC55" i="10"/>
  <c r="AG55" i="10" s="1"/>
  <c r="B43" i="10"/>
  <c r="AC43" i="10"/>
  <c r="AG43" i="10" s="1"/>
  <c r="C43" i="10"/>
  <c r="X43" i="10" s="1"/>
  <c r="AJ43" i="10"/>
  <c r="AI43" i="10"/>
  <c r="AH43" i="10"/>
  <c r="T43" i="10"/>
  <c r="AJ125" i="10"/>
  <c r="AI125" i="10"/>
  <c r="C125" i="10"/>
  <c r="T125" i="10" s="1"/>
  <c r="B125" i="10"/>
  <c r="AJ80" i="10"/>
  <c r="AI80" i="10"/>
  <c r="C80" i="10"/>
  <c r="T80" i="10" s="1"/>
  <c r="AD80" i="10" s="1"/>
  <c r="B80" i="10"/>
  <c r="AC156" i="10"/>
  <c r="AG156" i="10" s="1"/>
  <c r="AB156" i="10"/>
  <c r="AA156" i="10"/>
  <c r="I156" i="10"/>
  <c r="H156" i="10"/>
  <c r="X156" i="10"/>
  <c r="G156" i="10"/>
  <c r="W156" i="10"/>
  <c r="F156" i="10"/>
  <c r="AJ156" i="10"/>
  <c r="V156" i="10"/>
  <c r="E156" i="10"/>
  <c r="AI156" i="10"/>
  <c r="U156" i="10"/>
  <c r="D156" i="10"/>
  <c r="AH156" i="10"/>
  <c r="T156" i="10"/>
  <c r="C156" i="10"/>
  <c r="P156" i="10" s="1"/>
  <c r="Q156" i="10" s="1"/>
  <c r="AD156" i="10"/>
  <c r="B156" i="10"/>
  <c r="AB153" i="10"/>
  <c r="AA153" i="10"/>
  <c r="I153" i="10"/>
  <c r="H153" i="10"/>
  <c r="X153" i="10"/>
  <c r="G153" i="10"/>
  <c r="W153" i="10"/>
  <c r="F153" i="10"/>
  <c r="AJ153" i="10"/>
  <c r="V153" i="10"/>
  <c r="E153" i="10"/>
  <c r="AI153" i="10"/>
  <c r="U153" i="10"/>
  <c r="D153" i="10"/>
  <c r="AH153" i="10"/>
  <c r="T153" i="10"/>
  <c r="C153" i="10"/>
  <c r="P153" i="10" s="1"/>
  <c r="Q153" i="10" s="1"/>
  <c r="B153" i="10"/>
  <c r="AD153" i="10"/>
  <c r="AC153" i="10"/>
  <c r="AG153" i="10" s="1"/>
  <c r="AI161" i="10"/>
  <c r="B161" i="10"/>
  <c r="AD161" i="10"/>
  <c r="P161" i="10"/>
  <c r="Q161" i="10" s="1"/>
  <c r="AC161" i="10"/>
  <c r="AG161" i="10" s="1"/>
  <c r="AB161" i="10"/>
  <c r="I161" i="10"/>
  <c r="AA161" i="10"/>
  <c r="H161" i="10"/>
  <c r="G161" i="10"/>
  <c r="F161" i="10"/>
  <c r="X161" i="10"/>
  <c r="E161" i="10"/>
  <c r="W161" i="10"/>
  <c r="D161" i="10"/>
  <c r="V161" i="10"/>
  <c r="C161" i="10"/>
  <c r="U161" i="10"/>
  <c r="T161" i="10"/>
  <c r="AK161" i="10" s="1"/>
  <c r="AJ161" i="10"/>
  <c r="AH161" i="10"/>
  <c r="AH157" i="10"/>
  <c r="T157" i="10"/>
  <c r="C157" i="10"/>
  <c r="B157" i="10"/>
  <c r="AD157" i="10"/>
  <c r="P157" i="10"/>
  <c r="Q157" i="10" s="1"/>
  <c r="AC157" i="10"/>
  <c r="AG157" i="10" s="1"/>
  <c r="AB157" i="10"/>
  <c r="AA157" i="10"/>
  <c r="I157" i="10"/>
  <c r="H157" i="10"/>
  <c r="D157" i="10"/>
  <c r="AJ157" i="10"/>
  <c r="AI157" i="10"/>
  <c r="X157" i="10"/>
  <c r="W157" i="10"/>
  <c r="V157" i="10"/>
  <c r="U157" i="10"/>
  <c r="G157" i="10"/>
  <c r="F157" i="10"/>
  <c r="E157" i="10"/>
  <c r="AH174" i="10"/>
  <c r="T174" i="10"/>
  <c r="AK174" i="10" s="1"/>
  <c r="C174" i="10"/>
  <c r="P174" i="10" s="1"/>
  <c r="Q174" i="10" s="1"/>
  <c r="B174" i="10"/>
  <c r="AD174" i="10"/>
  <c r="AC174" i="10"/>
  <c r="AG174" i="10" s="1"/>
  <c r="AB174" i="10"/>
  <c r="H174" i="10"/>
  <c r="W174" i="10"/>
  <c r="F174" i="10"/>
  <c r="E174" i="10"/>
  <c r="D174" i="10"/>
  <c r="AJ174" i="10"/>
  <c r="AI174" i="10"/>
  <c r="AA174" i="10"/>
  <c r="X174" i="10"/>
  <c r="V174" i="10"/>
  <c r="U174" i="10"/>
  <c r="I174" i="10"/>
  <c r="G174" i="10"/>
  <c r="C50" i="9"/>
  <c r="AA50" i="9" s="1"/>
  <c r="B50" i="9"/>
  <c r="AJ50" i="9"/>
  <c r="AI50" i="9"/>
  <c r="AH50" i="9"/>
  <c r="C90" i="9"/>
  <c r="AC90" i="9" s="1"/>
  <c r="AG90" i="9" s="1"/>
  <c r="B90" i="9"/>
  <c r="AJ90" i="9"/>
  <c r="AI90" i="9"/>
  <c r="AJ117" i="9"/>
  <c r="C117" i="9"/>
  <c r="AA117" i="9" s="1"/>
  <c r="AI117" i="9"/>
  <c r="B117" i="9"/>
  <c r="W142" i="9"/>
  <c r="F142" i="9"/>
  <c r="AJ142" i="9"/>
  <c r="V142" i="9"/>
  <c r="E142" i="9"/>
  <c r="AH142" i="9"/>
  <c r="T142" i="9"/>
  <c r="C142" i="9"/>
  <c r="P142" i="9" s="1"/>
  <c r="Q142" i="9" s="1"/>
  <c r="AD142" i="9"/>
  <c r="AB142" i="9"/>
  <c r="I142" i="9"/>
  <c r="H142" i="9"/>
  <c r="AC142" i="9"/>
  <c r="AG142" i="9" s="1"/>
  <c r="G142" i="9"/>
  <c r="AA142" i="9"/>
  <c r="D142" i="9"/>
  <c r="B142" i="9"/>
  <c r="U142" i="9"/>
  <c r="AI142" i="9"/>
  <c r="X142" i="9"/>
  <c r="W135" i="9"/>
  <c r="F135" i="9"/>
  <c r="AI135" i="9"/>
  <c r="U135" i="9"/>
  <c r="D135" i="9"/>
  <c r="V135" i="9"/>
  <c r="B135" i="9"/>
  <c r="T135" i="9"/>
  <c r="AF135" i="9" s="1"/>
  <c r="AJ135" i="9"/>
  <c r="AH135" i="9"/>
  <c r="P135" i="9"/>
  <c r="Q135" i="9" s="1"/>
  <c r="AD135" i="9"/>
  <c r="AB135" i="9"/>
  <c r="I135" i="9"/>
  <c r="AA135" i="9"/>
  <c r="X135" i="9"/>
  <c r="H135" i="9"/>
  <c r="E135" i="9"/>
  <c r="C135" i="9"/>
  <c r="AC135" i="9"/>
  <c r="AG135" i="9" s="1"/>
  <c r="G135" i="9"/>
  <c r="X159" i="9"/>
  <c r="G159" i="9"/>
  <c r="W159" i="9"/>
  <c r="F159" i="9"/>
  <c r="AJ159" i="9"/>
  <c r="V159" i="9"/>
  <c r="E159" i="9"/>
  <c r="AI159" i="9"/>
  <c r="U159" i="9"/>
  <c r="D159" i="9"/>
  <c r="AH159" i="9"/>
  <c r="T159" i="9"/>
  <c r="C159" i="9"/>
  <c r="B159" i="9"/>
  <c r="AC159" i="9"/>
  <c r="AG159" i="9" s="1"/>
  <c r="AA159" i="9"/>
  <c r="H159" i="9"/>
  <c r="I159" i="9"/>
  <c r="AD159" i="9"/>
  <c r="AB159" i="9"/>
  <c r="AI169" i="9"/>
  <c r="U169" i="9"/>
  <c r="D169" i="9"/>
  <c r="V169" i="9"/>
  <c r="B169" i="9"/>
  <c r="T169" i="9"/>
  <c r="AJ169" i="9"/>
  <c r="AH169" i="9"/>
  <c r="AD169" i="9"/>
  <c r="AC169" i="9"/>
  <c r="AG169" i="9" s="1"/>
  <c r="AB169" i="9"/>
  <c r="I169" i="9"/>
  <c r="AA169" i="9"/>
  <c r="H169" i="9"/>
  <c r="X169" i="9"/>
  <c r="W169" i="9"/>
  <c r="G169" i="9"/>
  <c r="E169" i="9"/>
  <c r="F169" i="9"/>
  <c r="C169" i="9"/>
  <c r="P169" i="9" s="1"/>
  <c r="Q169" i="9" s="1"/>
  <c r="AJ44" i="9"/>
  <c r="AI44" i="9"/>
  <c r="AH44" i="9"/>
  <c r="C44" i="9"/>
  <c r="B44" i="9"/>
  <c r="AJ109" i="9"/>
  <c r="C109" i="9"/>
  <c r="AC109" i="9" s="1"/>
  <c r="AG109" i="9" s="1"/>
  <c r="AI109" i="9"/>
  <c r="B109" i="9"/>
  <c r="X63" i="9"/>
  <c r="AK52" i="9"/>
  <c r="U49" i="9"/>
  <c r="R34" i="7"/>
  <c r="S34" i="7" s="1"/>
  <c r="D34" i="7"/>
  <c r="E34" i="7" s="1"/>
  <c r="Q34" i="7"/>
  <c r="C34" i="7"/>
  <c r="O34" i="7"/>
  <c r="M34" i="7"/>
  <c r="F34" i="7"/>
  <c r="B34" i="7"/>
  <c r="AE139" i="9"/>
  <c r="Z139" i="9"/>
  <c r="Y139" i="9"/>
  <c r="AL139" i="9"/>
  <c r="AN139" i="9"/>
  <c r="AM139" i="9"/>
  <c r="AJ74" i="8"/>
  <c r="AI74" i="8"/>
  <c r="C74" i="8"/>
  <c r="B74" i="8"/>
  <c r="AB145" i="8"/>
  <c r="AA145" i="8"/>
  <c r="I145" i="8"/>
  <c r="H145" i="8"/>
  <c r="X145" i="8"/>
  <c r="G145" i="8"/>
  <c r="W145" i="8"/>
  <c r="F145" i="8"/>
  <c r="AJ145" i="8"/>
  <c r="V145" i="8"/>
  <c r="E145" i="8"/>
  <c r="AI145" i="8"/>
  <c r="U145" i="8"/>
  <c r="D145" i="8"/>
  <c r="AH145" i="8"/>
  <c r="T145" i="8"/>
  <c r="C145" i="8"/>
  <c r="P145" i="8" s="1"/>
  <c r="Q145" i="8" s="1"/>
  <c r="B145" i="8"/>
  <c r="AD145" i="8"/>
  <c r="AC145" i="8"/>
  <c r="AG145" i="8" s="1"/>
  <c r="AH135" i="8"/>
  <c r="T135" i="8"/>
  <c r="C135" i="8"/>
  <c r="AK135" i="8" s="1"/>
  <c r="B135" i="8"/>
  <c r="AD135" i="8"/>
  <c r="AC135" i="8"/>
  <c r="AG135" i="8" s="1"/>
  <c r="AB135" i="8"/>
  <c r="AA135" i="8"/>
  <c r="I135" i="8"/>
  <c r="H135" i="8"/>
  <c r="F135" i="8"/>
  <c r="E135" i="8"/>
  <c r="D135" i="8"/>
  <c r="AJ135" i="8"/>
  <c r="AI135" i="8"/>
  <c r="X135" i="8"/>
  <c r="W135" i="8"/>
  <c r="V135" i="8"/>
  <c r="U135" i="8"/>
  <c r="G135" i="8"/>
  <c r="C114" i="8"/>
  <c r="AA114" i="8" s="1"/>
  <c r="AJ114" i="8"/>
  <c r="AI114" i="8"/>
  <c r="B114" i="8"/>
  <c r="AC159" i="8"/>
  <c r="AG159" i="8" s="1"/>
  <c r="AA159" i="8"/>
  <c r="I159" i="8"/>
  <c r="X159" i="8"/>
  <c r="G159" i="8"/>
  <c r="H159" i="8"/>
  <c r="F159" i="8"/>
  <c r="AD159" i="8"/>
  <c r="E159" i="8"/>
  <c r="AB159" i="8"/>
  <c r="D159" i="8"/>
  <c r="C159" i="8"/>
  <c r="W159" i="8"/>
  <c r="B159" i="8"/>
  <c r="V159" i="8"/>
  <c r="U159" i="8"/>
  <c r="T159" i="8"/>
  <c r="AJ159" i="8"/>
  <c r="AI159" i="8"/>
  <c r="AH159" i="8"/>
  <c r="P159" i="8"/>
  <c r="Q159" i="8" s="1"/>
  <c r="AB161" i="8"/>
  <c r="AA161" i="8"/>
  <c r="H161" i="8"/>
  <c r="W161" i="8"/>
  <c r="F161" i="8"/>
  <c r="AJ161" i="8"/>
  <c r="V161" i="8"/>
  <c r="E161" i="8"/>
  <c r="AI161" i="8"/>
  <c r="U161" i="8"/>
  <c r="D161" i="8"/>
  <c r="AH161" i="8"/>
  <c r="T161" i="8"/>
  <c r="C161" i="8"/>
  <c r="P161" i="8" s="1"/>
  <c r="Q161" i="8" s="1"/>
  <c r="G161" i="8"/>
  <c r="B161" i="8"/>
  <c r="AD161" i="8"/>
  <c r="AC161" i="8"/>
  <c r="AG161" i="8" s="1"/>
  <c r="X161" i="8"/>
  <c r="I161" i="8"/>
  <c r="W160" i="8"/>
  <c r="AJ160" i="8"/>
  <c r="V160" i="8"/>
  <c r="E160" i="8"/>
  <c r="AH160" i="8"/>
  <c r="T160" i="8"/>
  <c r="C160" i="8"/>
  <c r="AD160" i="8"/>
  <c r="AC160" i="8"/>
  <c r="AG160" i="8" s="1"/>
  <c r="I160" i="8"/>
  <c r="H160" i="8"/>
  <c r="G160" i="8"/>
  <c r="AI160" i="8"/>
  <c r="F160" i="8"/>
  <c r="D160" i="8"/>
  <c r="AB160" i="8"/>
  <c r="B160" i="8"/>
  <c r="AA160" i="8"/>
  <c r="X160" i="8"/>
  <c r="U160" i="8"/>
  <c r="AI66" i="8"/>
  <c r="B66" i="8"/>
  <c r="C66" i="8"/>
  <c r="X66" i="8" s="1"/>
  <c r="AJ66" i="8"/>
  <c r="AH66" i="8"/>
  <c r="R64" i="7"/>
  <c r="S64" i="7" s="1"/>
  <c r="D64" i="7"/>
  <c r="E64" i="7" s="1"/>
  <c r="Q64" i="7"/>
  <c r="C64" i="7"/>
  <c r="B64" i="7"/>
  <c r="O64" i="7"/>
  <c r="M64" i="7"/>
  <c r="F64" i="7"/>
  <c r="AE181" i="8"/>
  <c r="Z181" i="8"/>
  <c r="Y181" i="8"/>
  <c r="AF45" i="8"/>
  <c r="AC96" i="11"/>
  <c r="AG96" i="11" s="1"/>
  <c r="AB96" i="11"/>
  <c r="AA96" i="11"/>
  <c r="I96" i="11"/>
  <c r="H96" i="11"/>
  <c r="X96" i="11"/>
  <c r="G96" i="11"/>
  <c r="W96" i="11"/>
  <c r="F96" i="11"/>
  <c r="AJ96" i="11"/>
  <c r="V96" i="11"/>
  <c r="E96" i="11"/>
  <c r="AI96" i="11"/>
  <c r="U96" i="11"/>
  <c r="D96" i="11"/>
  <c r="AH96" i="11"/>
  <c r="T96" i="11"/>
  <c r="C96" i="11"/>
  <c r="P96" i="11" s="1"/>
  <c r="Q96" i="11" s="1"/>
  <c r="AD96" i="11"/>
  <c r="B96" i="11"/>
  <c r="AJ89" i="11"/>
  <c r="V89" i="11"/>
  <c r="E89" i="11"/>
  <c r="AI89" i="11"/>
  <c r="U89" i="11"/>
  <c r="D89" i="11"/>
  <c r="AH89" i="11"/>
  <c r="T89" i="11"/>
  <c r="C89" i="11"/>
  <c r="P89" i="11" s="1"/>
  <c r="Q89" i="11" s="1"/>
  <c r="B89" i="11"/>
  <c r="AD89" i="11"/>
  <c r="AC89" i="11"/>
  <c r="AG89" i="11" s="1"/>
  <c r="AA89" i="11"/>
  <c r="AB89" i="11"/>
  <c r="X89" i="11"/>
  <c r="W89" i="11"/>
  <c r="I89" i="11"/>
  <c r="H89" i="11"/>
  <c r="G89" i="11"/>
  <c r="F89" i="11"/>
  <c r="X183" i="11"/>
  <c r="G183" i="11"/>
  <c r="W183" i="11"/>
  <c r="F183" i="11"/>
  <c r="AJ183" i="11"/>
  <c r="V183" i="11"/>
  <c r="E183" i="11"/>
  <c r="AI183" i="11"/>
  <c r="U183" i="11"/>
  <c r="D183" i="11"/>
  <c r="AH183" i="11"/>
  <c r="AD183" i="11"/>
  <c r="I183" i="11"/>
  <c r="AC183" i="11"/>
  <c r="AG183" i="11" s="1"/>
  <c r="H183" i="11"/>
  <c r="AB183" i="11"/>
  <c r="C183" i="11"/>
  <c r="AK183" i="11" s="1"/>
  <c r="AA183" i="11"/>
  <c r="B183" i="11"/>
  <c r="T183" i="11"/>
  <c r="AJ45" i="11"/>
  <c r="AI45" i="11"/>
  <c r="AH45" i="11"/>
  <c r="T45" i="11"/>
  <c r="AB45" i="11" s="1"/>
  <c r="C45" i="11"/>
  <c r="B45" i="11"/>
  <c r="AI96" i="10"/>
  <c r="AJ96" i="10"/>
  <c r="C96" i="10"/>
  <c r="B96" i="10"/>
  <c r="T71" i="9"/>
  <c r="AK71" i="9" s="1"/>
  <c r="X71" i="9"/>
  <c r="C71" i="9"/>
  <c r="AC71" i="9" s="1"/>
  <c r="AG71" i="9" s="1"/>
  <c r="B71" i="9"/>
  <c r="AJ71" i="9"/>
  <c r="AI71" i="9"/>
  <c r="B60" i="7"/>
  <c r="O60" i="7"/>
  <c r="M60" i="7"/>
  <c r="R60" i="7"/>
  <c r="S60" i="7" s="1"/>
  <c r="Q60" i="7"/>
  <c r="F60" i="7"/>
  <c r="D60" i="7"/>
  <c r="E60" i="7" s="1"/>
  <c r="C60" i="7"/>
  <c r="C102" i="8"/>
  <c r="AC102" i="8" s="1"/>
  <c r="AG102" i="8" s="1"/>
  <c r="AJ102" i="8"/>
  <c r="B102" i="8"/>
  <c r="AI102" i="8"/>
  <c r="AA142" i="8"/>
  <c r="I142" i="8"/>
  <c r="H142" i="8"/>
  <c r="X142" i="8"/>
  <c r="G142" i="8"/>
  <c r="W142" i="8"/>
  <c r="F142" i="8"/>
  <c r="AJ142" i="8"/>
  <c r="V142" i="8"/>
  <c r="E142" i="8"/>
  <c r="AI142" i="8"/>
  <c r="U142" i="8"/>
  <c r="D142" i="8"/>
  <c r="AH142" i="8"/>
  <c r="T142" i="8"/>
  <c r="C142" i="8"/>
  <c r="P142" i="8" s="1"/>
  <c r="Q142" i="8" s="1"/>
  <c r="B142" i="8"/>
  <c r="AD142" i="8"/>
  <c r="AC142" i="8"/>
  <c r="AG142" i="8" s="1"/>
  <c r="AB142" i="8"/>
  <c r="W171" i="8"/>
  <c r="F171" i="8"/>
  <c r="AJ171" i="8"/>
  <c r="V171" i="8"/>
  <c r="E171" i="8"/>
  <c r="AI171" i="8"/>
  <c r="U171" i="8"/>
  <c r="AF171" i="8" s="1"/>
  <c r="D171" i="8"/>
  <c r="AH171" i="8"/>
  <c r="T171" i="8"/>
  <c r="B171" i="8"/>
  <c r="AD171" i="8"/>
  <c r="AC171" i="8"/>
  <c r="AG171" i="8" s="1"/>
  <c r="AB171" i="8"/>
  <c r="I171" i="8"/>
  <c r="H171" i="8"/>
  <c r="G171" i="8"/>
  <c r="C171" i="8"/>
  <c r="P171" i="8" s="1"/>
  <c r="Q171" i="8" s="1"/>
  <c r="AA171" i="8"/>
  <c r="X171" i="8"/>
  <c r="J69" i="7"/>
  <c r="H69" i="7"/>
  <c r="I69" i="7" s="1"/>
  <c r="G69" i="7"/>
  <c r="AA78" i="11"/>
  <c r="AJ78" i="11"/>
  <c r="AI78" i="11"/>
  <c r="C78" i="11"/>
  <c r="T78" i="11" s="1"/>
  <c r="AD78" i="11" s="1"/>
  <c r="B78" i="11"/>
  <c r="H107" i="11"/>
  <c r="X107" i="11"/>
  <c r="G107" i="11"/>
  <c r="AJ107" i="11"/>
  <c r="V107" i="11"/>
  <c r="E107" i="11"/>
  <c r="AD107" i="11"/>
  <c r="AB107" i="11"/>
  <c r="C107" i="11"/>
  <c r="AA107" i="11"/>
  <c r="B107" i="11"/>
  <c r="W107" i="11"/>
  <c r="U107" i="11"/>
  <c r="T107" i="11"/>
  <c r="AI107" i="11"/>
  <c r="D107" i="11"/>
  <c r="AH107" i="11"/>
  <c r="AC107" i="11"/>
  <c r="AG107" i="11" s="1"/>
  <c r="I107" i="11"/>
  <c r="F107" i="11"/>
  <c r="C110" i="10"/>
  <c r="AJ110" i="10"/>
  <c r="B110" i="10"/>
  <c r="AI110" i="10"/>
  <c r="AC110" i="10"/>
  <c r="AG110" i="10" s="1"/>
  <c r="AA110" i="10"/>
  <c r="X110" i="10"/>
  <c r="B177" i="9"/>
  <c r="AH177" i="9"/>
  <c r="AD177" i="9"/>
  <c r="AC177" i="9"/>
  <c r="AG177" i="9" s="1"/>
  <c r="AB177" i="9"/>
  <c r="I177" i="9"/>
  <c r="AA177" i="9"/>
  <c r="H177" i="9"/>
  <c r="G177" i="9"/>
  <c r="F177" i="9"/>
  <c r="X177" i="9"/>
  <c r="E177" i="9"/>
  <c r="W177" i="9"/>
  <c r="D177" i="9"/>
  <c r="AJ177" i="9"/>
  <c r="AI177" i="9"/>
  <c r="V177" i="9"/>
  <c r="U177" i="9"/>
  <c r="AF177" i="9" s="1"/>
  <c r="T177" i="9"/>
  <c r="C177" i="9"/>
  <c r="P177" i="9" s="1"/>
  <c r="Q177" i="9" s="1"/>
  <c r="J44" i="7"/>
  <c r="G44" i="7"/>
  <c r="H44" i="7"/>
  <c r="I44" i="7" s="1"/>
  <c r="AM101" i="8"/>
  <c r="AN101" i="8"/>
  <c r="AL101" i="8"/>
  <c r="AD101" i="8"/>
  <c r="B46" i="11"/>
  <c r="AH46" i="11"/>
  <c r="C46" i="11"/>
  <c r="AC46" i="11" s="1"/>
  <c r="AG46" i="11" s="1"/>
  <c r="AJ46" i="11"/>
  <c r="AI46" i="11"/>
  <c r="AA90" i="11"/>
  <c r="I90" i="11"/>
  <c r="H90" i="11"/>
  <c r="X90" i="11"/>
  <c r="G90" i="11"/>
  <c r="W90" i="11"/>
  <c r="F90" i="11"/>
  <c r="AJ90" i="11"/>
  <c r="V90" i="11"/>
  <c r="E90" i="11"/>
  <c r="AI90" i="11"/>
  <c r="U90" i="11"/>
  <c r="AF90" i="11" s="1"/>
  <c r="D90" i="11"/>
  <c r="AH90" i="11"/>
  <c r="T90" i="11"/>
  <c r="C90" i="11"/>
  <c r="P90" i="11" s="1"/>
  <c r="Q90" i="11" s="1"/>
  <c r="AD90" i="11"/>
  <c r="AC90" i="11"/>
  <c r="AG90" i="11" s="1"/>
  <c r="AB90" i="11"/>
  <c r="B90" i="11"/>
  <c r="H121" i="11"/>
  <c r="X121" i="11"/>
  <c r="G121" i="11"/>
  <c r="W121" i="11"/>
  <c r="F121" i="11"/>
  <c r="AJ121" i="11"/>
  <c r="V121" i="11"/>
  <c r="E121" i="11"/>
  <c r="AI121" i="11"/>
  <c r="U121" i="11"/>
  <c r="AF121" i="11" s="1"/>
  <c r="D121" i="11"/>
  <c r="AH121" i="11"/>
  <c r="T121" i="11"/>
  <c r="C121" i="11"/>
  <c r="B121" i="11"/>
  <c r="AD121" i="11"/>
  <c r="I121" i="11"/>
  <c r="AA121" i="11"/>
  <c r="AC121" i="11"/>
  <c r="AG121" i="11" s="1"/>
  <c r="AB121" i="11"/>
  <c r="AI155" i="11"/>
  <c r="U155" i="11"/>
  <c r="D155" i="11"/>
  <c r="AJ155" i="11"/>
  <c r="T155" i="11"/>
  <c r="B155" i="11"/>
  <c r="AH155" i="11"/>
  <c r="AD155" i="11"/>
  <c r="AC155" i="11"/>
  <c r="AG155" i="11" s="1"/>
  <c r="H155" i="11"/>
  <c r="F155" i="11"/>
  <c r="E155" i="11"/>
  <c r="C155" i="11"/>
  <c r="P155" i="11" s="1"/>
  <c r="Q155" i="11" s="1"/>
  <c r="AB155" i="11"/>
  <c r="AA155" i="11"/>
  <c r="X155" i="11"/>
  <c r="W155" i="11"/>
  <c r="V155" i="11"/>
  <c r="I155" i="11"/>
  <c r="G155" i="11"/>
  <c r="AJ45" i="10"/>
  <c r="AI45" i="10"/>
  <c r="AH45" i="10"/>
  <c r="C45" i="10"/>
  <c r="AC45" i="10" s="1"/>
  <c r="AG45" i="10" s="1"/>
  <c r="B45" i="10"/>
  <c r="AJ89" i="10"/>
  <c r="AI89" i="10"/>
  <c r="C89" i="10"/>
  <c r="T89" i="10" s="1"/>
  <c r="AD89" i="10" s="1"/>
  <c r="B89" i="10"/>
  <c r="AB170" i="10"/>
  <c r="I170" i="10"/>
  <c r="H170" i="10"/>
  <c r="X170" i="10"/>
  <c r="G170" i="10"/>
  <c r="W170" i="10"/>
  <c r="F170" i="10"/>
  <c r="AJ170" i="10"/>
  <c r="V170" i="10"/>
  <c r="E170" i="10"/>
  <c r="B170" i="10"/>
  <c r="D170" i="10"/>
  <c r="AI170" i="10"/>
  <c r="C170" i="10"/>
  <c r="P170" i="10" s="1"/>
  <c r="Q170" i="10" s="1"/>
  <c r="AH170" i="10"/>
  <c r="AD170" i="10"/>
  <c r="U170" i="10"/>
  <c r="AF170" i="10" s="1"/>
  <c r="T170" i="10"/>
  <c r="AC170" i="10"/>
  <c r="AG170" i="10" s="1"/>
  <c r="AA170" i="10"/>
  <c r="AD163" i="9"/>
  <c r="AC163" i="9"/>
  <c r="AG163" i="9" s="1"/>
  <c r="AB163" i="9"/>
  <c r="AA163" i="9"/>
  <c r="I163" i="9"/>
  <c r="H163" i="9"/>
  <c r="X163" i="9"/>
  <c r="G163" i="9"/>
  <c r="W163" i="9"/>
  <c r="F163" i="9"/>
  <c r="AJ163" i="9"/>
  <c r="V163" i="9"/>
  <c r="E163" i="9"/>
  <c r="AI163" i="9"/>
  <c r="U163" i="9"/>
  <c r="D163" i="9"/>
  <c r="AH163" i="9"/>
  <c r="T163" i="9"/>
  <c r="C163" i="9"/>
  <c r="P163" i="9" s="1"/>
  <c r="Q163" i="9" s="1"/>
  <c r="B163" i="9"/>
  <c r="AA173" i="9"/>
  <c r="H173" i="9"/>
  <c r="AI173" i="9"/>
  <c r="AH173" i="9"/>
  <c r="AD173" i="9"/>
  <c r="AC173" i="9"/>
  <c r="AG173" i="9" s="1"/>
  <c r="AB173" i="9"/>
  <c r="I173" i="9"/>
  <c r="G173" i="9"/>
  <c r="X173" i="9"/>
  <c r="F173" i="9"/>
  <c r="AJ173" i="9"/>
  <c r="W173" i="9"/>
  <c r="V173" i="9"/>
  <c r="U173" i="9"/>
  <c r="T173" i="9"/>
  <c r="AK173" i="9" s="1"/>
  <c r="D173" i="9"/>
  <c r="C173" i="9"/>
  <c r="P173" i="9" s="1"/>
  <c r="Q173" i="9" s="1"/>
  <c r="B173" i="9"/>
  <c r="E173" i="9"/>
  <c r="D53" i="5"/>
  <c r="A53" i="5"/>
  <c r="C53" i="5" s="1"/>
  <c r="E54" i="5" s="1"/>
  <c r="J63" i="7"/>
  <c r="H63" i="7"/>
  <c r="I63" i="7" s="1"/>
  <c r="G63" i="7"/>
  <c r="J37" i="7"/>
  <c r="H37" i="7"/>
  <c r="I37" i="7" s="1"/>
  <c r="K37" i="7" s="1"/>
  <c r="L37" i="7" s="1"/>
  <c r="G37" i="7"/>
  <c r="AC104" i="11"/>
  <c r="AG104" i="11" s="1"/>
  <c r="AB104" i="11"/>
  <c r="AA104" i="11"/>
  <c r="I104" i="11"/>
  <c r="H104" i="11"/>
  <c r="G104" i="11"/>
  <c r="X104" i="11"/>
  <c r="F104" i="11"/>
  <c r="W104" i="11"/>
  <c r="E104" i="11"/>
  <c r="V104" i="11"/>
  <c r="D104" i="11"/>
  <c r="AK104" i="11"/>
  <c r="U104" i="11"/>
  <c r="C104" i="11"/>
  <c r="P104" i="11" s="1"/>
  <c r="Q104" i="11" s="1"/>
  <c r="AJ104" i="11"/>
  <c r="T104" i="11"/>
  <c r="B104" i="11"/>
  <c r="AI104" i="11"/>
  <c r="AH104" i="11"/>
  <c r="AD104" i="11"/>
  <c r="B117" i="11"/>
  <c r="AD117" i="11"/>
  <c r="AC117" i="11"/>
  <c r="AG117" i="11" s="1"/>
  <c r="AB117" i="11"/>
  <c r="AA117" i="11"/>
  <c r="I117" i="11"/>
  <c r="H117" i="11"/>
  <c r="X117" i="11"/>
  <c r="G117" i="11"/>
  <c r="AJ117" i="11"/>
  <c r="AI117" i="11"/>
  <c r="AH117" i="11"/>
  <c r="W117" i="11"/>
  <c r="V117" i="11"/>
  <c r="U117" i="11"/>
  <c r="T117" i="11"/>
  <c r="F117" i="11"/>
  <c r="E117" i="11"/>
  <c r="D117" i="11"/>
  <c r="C117" i="11"/>
  <c r="P117" i="11" s="1"/>
  <c r="Q117" i="11" s="1"/>
  <c r="AB173" i="11"/>
  <c r="AA173" i="11"/>
  <c r="AI173" i="11"/>
  <c r="B173" i="11"/>
  <c r="AH173" i="11"/>
  <c r="AD173" i="11"/>
  <c r="AC173" i="11"/>
  <c r="AG173" i="11" s="1"/>
  <c r="I173" i="11"/>
  <c r="H173" i="11"/>
  <c r="X173" i="11"/>
  <c r="G173" i="11"/>
  <c r="E173" i="11"/>
  <c r="D173" i="11"/>
  <c r="C173" i="11"/>
  <c r="P173" i="11" s="1"/>
  <c r="Q173" i="11" s="1"/>
  <c r="AJ173" i="11"/>
  <c r="W173" i="11"/>
  <c r="V173" i="11"/>
  <c r="U173" i="11"/>
  <c r="T173" i="11"/>
  <c r="F173" i="11"/>
  <c r="AH54" i="10"/>
  <c r="AJ54" i="10"/>
  <c r="AI54" i="10"/>
  <c r="C54" i="10"/>
  <c r="B54" i="10"/>
  <c r="X155" i="10"/>
  <c r="G155" i="10"/>
  <c r="W155" i="10"/>
  <c r="F155" i="10"/>
  <c r="AJ155" i="10"/>
  <c r="V155" i="10"/>
  <c r="E155" i="10"/>
  <c r="AI155" i="10"/>
  <c r="U155" i="10"/>
  <c r="D155" i="10"/>
  <c r="AH155" i="10"/>
  <c r="T155" i="10"/>
  <c r="C155" i="10"/>
  <c r="AK155" i="10" s="1"/>
  <c r="B155" i="10"/>
  <c r="AD155" i="10"/>
  <c r="AC155" i="10"/>
  <c r="AG155" i="10" s="1"/>
  <c r="AB155" i="10"/>
  <c r="AA155" i="10"/>
  <c r="I155" i="10"/>
  <c r="H155" i="10"/>
  <c r="AJ97" i="9"/>
  <c r="AI97" i="9"/>
  <c r="C97" i="9"/>
  <c r="AA97" i="9" s="1"/>
  <c r="B97" i="9"/>
  <c r="X180" i="9"/>
  <c r="G180" i="9"/>
  <c r="AH180" i="9"/>
  <c r="T180" i="9"/>
  <c r="AF180" i="9" s="1"/>
  <c r="C180" i="9"/>
  <c r="E180" i="9"/>
  <c r="D180" i="9"/>
  <c r="W180" i="9"/>
  <c r="B180" i="9"/>
  <c r="V180" i="9"/>
  <c r="U180" i="9"/>
  <c r="AJ180" i="9"/>
  <c r="AI180" i="9"/>
  <c r="AD180" i="9"/>
  <c r="AC180" i="9"/>
  <c r="AG180" i="9" s="1"/>
  <c r="AB180" i="9"/>
  <c r="AA180" i="9"/>
  <c r="H180" i="9"/>
  <c r="F180" i="9"/>
  <c r="I180" i="9"/>
  <c r="AA112" i="8"/>
  <c r="AJ112" i="8"/>
  <c r="C112" i="8"/>
  <c r="V112" i="8" s="1"/>
  <c r="B112" i="8"/>
  <c r="AI112" i="8"/>
  <c r="U56" i="8"/>
  <c r="B11" i="7"/>
  <c r="AJ53" i="11"/>
  <c r="AI53" i="11"/>
  <c r="AH53" i="11"/>
  <c r="C53" i="11"/>
  <c r="AC53" i="11" s="1"/>
  <c r="AG53" i="11" s="1"/>
  <c r="B53" i="11"/>
  <c r="H153" i="11"/>
  <c r="AH153" i="11"/>
  <c r="AF153" i="11"/>
  <c r="AD153" i="11"/>
  <c r="AC153" i="11"/>
  <c r="AG153" i="11" s="1"/>
  <c r="AB153" i="11"/>
  <c r="X153" i="11"/>
  <c r="F153" i="11"/>
  <c r="I153" i="11"/>
  <c r="G153" i="11"/>
  <c r="E153" i="11"/>
  <c r="D153" i="11"/>
  <c r="AJ153" i="11"/>
  <c r="C153" i="11"/>
  <c r="AI153" i="11"/>
  <c r="B153" i="11"/>
  <c r="AA153" i="11"/>
  <c r="W153" i="11"/>
  <c r="V153" i="11"/>
  <c r="U153" i="11"/>
  <c r="T153" i="11"/>
  <c r="I133" i="10"/>
  <c r="H133" i="10"/>
  <c r="X133" i="10"/>
  <c r="G133" i="10"/>
  <c r="W133" i="10"/>
  <c r="F133" i="10"/>
  <c r="AJ133" i="10"/>
  <c r="V133" i="10"/>
  <c r="E133" i="10"/>
  <c r="AI133" i="10"/>
  <c r="U133" i="10"/>
  <c r="D133" i="10"/>
  <c r="AH133" i="10"/>
  <c r="T133" i="10"/>
  <c r="AK133" i="10" s="1"/>
  <c r="C133" i="10"/>
  <c r="P133" i="10" s="1"/>
  <c r="Q133" i="10" s="1"/>
  <c r="B133" i="10"/>
  <c r="AD133" i="10"/>
  <c r="AC133" i="10"/>
  <c r="AG133" i="10" s="1"/>
  <c r="AB133" i="10"/>
  <c r="AA133" i="10"/>
  <c r="AJ87" i="9"/>
  <c r="AI87" i="9"/>
  <c r="C87" i="9"/>
  <c r="W87" i="9" s="1"/>
  <c r="B87" i="9"/>
  <c r="AJ123" i="9"/>
  <c r="C123" i="9"/>
  <c r="T123" i="9" s="1"/>
  <c r="B123" i="9"/>
  <c r="AI123" i="9"/>
  <c r="C63" i="5"/>
  <c r="AC64" i="11"/>
  <c r="AG64" i="11" s="1"/>
  <c r="AJ64" i="11"/>
  <c r="AH64" i="11"/>
  <c r="C64" i="11"/>
  <c r="AA64" i="11" s="1"/>
  <c r="B64" i="11"/>
  <c r="AI64" i="11"/>
  <c r="AJ56" i="11"/>
  <c r="C56" i="11"/>
  <c r="U56" i="11" s="1"/>
  <c r="B56" i="11"/>
  <c r="AI56" i="11"/>
  <c r="AH56" i="11"/>
  <c r="AJ77" i="11"/>
  <c r="AI77" i="11"/>
  <c r="C77" i="11"/>
  <c r="X77" i="11" s="1"/>
  <c r="B77" i="11"/>
  <c r="AJ81" i="11"/>
  <c r="AI81" i="11"/>
  <c r="W81" i="11"/>
  <c r="V81" i="11"/>
  <c r="C81" i="11"/>
  <c r="B81" i="11"/>
  <c r="W92" i="11"/>
  <c r="F92" i="11"/>
  <c r="AJ92" i="11"/>
  <c r="V92" i="11"/>
  <c r="E92" i="11"/>
  <c r="AI92" i="11"/>
  <c r="U92" i="11"/>
  <c r="D92" i="11"/>
  <c r="AH92" i="11"/>
  <c r="T92" i="11"/>
  <c r="C92" i="11"/>
  <c r="B92" i="11"/>
  <c r="AD92" i="11"/>
  <c r="AB92" i="11"/>
  <c r="AC92" i="11"/>
  <c r="AG92" i="11" s="1"/>
  <c r="AA92" i="11"/>
  <c r="X92" i="11"/>
  <c r="I92" i="11"/>
  <c r="H92" i="11"/>
  <c r="G92" i="11"/>
  <c r="I124" i="11"/>
  <c r="H124" i="11"/>
  <c r="X124" i="11"/>
  <c r="G124" i="11"/>
  <c r="W124" i="11"/>
  <c r="F124" i="11"/>
  <c r="AJ124" i="11"/>
  <c r="V124" i="11"/>
  <c r="E124" i="11"/>
  <c r="AI124" i="11"/>
  <c r="U124" i="11"/>
  <c r="D124" i="11"/>
  <c r="AH124" i="11"/>
  <c r="T124" i="11"/>
  <c r="C124" i="11"/>
  <c r="P124" i="11" s="1"/>
  <c r="Q124" i="11" s="1"/>
  <c r="B124" i="11"/>
  <c r="AD124" i="11"/>
  <c r="AC124" i="11"/>
  <c r="AG124" i="11" s="1"/>
  <c r="AB124" i="11"/>
  <c r="AA124" i="11"/>
  <c r="AD136" i="11"/>
  <c r="AC136" i="11"/>
  <c r="AG136" i="11" s="1"/>
  <c r="AB136" i="11"/>
  <c r="AA136" i="11"/>
  <c r="I136" i="11"/>
  <c r="H136" i="11"/>
  <c r="X136" i="11"/>
  <c r="G136" i="11"/>
  <c r="W136" i="11"/>
  <c r="F136" i="11"/>
  <c r="AI136" i="11"/>
  <c r="U136" i="11"/>
  <c r="D136" i="11"/>
  <c r="E136" i="11"/>
  <c r="C136" i="11"/>
  <c r="P136" i="11" s="1"/>
  <c r="Q136" i="11" s="1"/>
  <c r="AJ136" i="11"/>
  <c r="B136" i="11"/>
  <c r="AH136" i="11"/>
  <c r="V136" i="11"/>
  <c r="T136" i="11"/>
  <c r="AD146" i="11"/>
  <c r="AC146" i="11"/>
  <c r="AG146" i="11" s="1"/>
  <c r="AB146" i="11"/>
  <c r="AA146" i="11"/>
  <c r="AH146" i="11"/>
  <c r="G146" i="11"/>
  <c r="F146" i="11"/>
  <c r="E146" i="11"/>
  <c r="D146" i="11"/>
  <c r="X146" i="11"/>
  <c r="C146" i="11"/>
  <c r="P146" i="11" s="1"/>
  <c r="Q146" i="11" s="1"/>
  <c r="W146" i="11"/>
  <c r="B146" i="11"/>
  <c r="V146" i="11"/>
  <c r="U146" i="11"/>
  <c r="T146" i="11"/>
  <c r="AJ146" i="11"/>
  <c r="AI146" i="11"/>
  <c r="I146" i="11"/>
  <c r="H146" i="11"/>
  <c r="AF142" i="11"/>
  <c r="AD142" i="11"/>
  <c r="AC142" i="11"/>
  <c r="AG142" i="11" s="1"/>
  <c r="AB142" i="11"/>
  <c r="AA142" i="11"/>
  <c r="I142" i="11"/>
  <c r="H142" i="11"/>
  <c r="X142" i="11"/>
  <c r="G142" i="11"/>
  <c r="W142" i="11"/>
  <c r="F142" i="11"/>
  <c r="D142" i="11"/>
  <c r="C142" i="11"/>
  <c r="P142" i="11" s="1"/>
  <c r="Q142" i="11" s="1"/>
  <c r="B142" i="11"/>
  <c r="AJ142" i="11"/>
  <c r="AI142" i="11"/>
  <c r="AH142" i="11"/>
  <c r="V142" i="11"/>
  <c r="U142" i="11"/>
  <c r="T142" i="11"/>
  <c r="E142" i="11"/>
  <c r="AJ169" i="11"/>
  <c r="V169" i="11"/>
  <c r="E169" i="11"/>
  <c r="AI169" i="11"/>
  <c r="U169" i="11"/>
  <c r="D169" i="11"/>
  <c r="X169" i="11"/>
  <c r="C169" i="11"/>
  <c r="W169" i="11"/>
  <c r="B169" i="11"/>
  <c r="T169" i="11"/>
  <c r="AH169" i="11"/>
  <c r="AD169" i="11"/>
  <c r="AC169" i="11"/>
  <c r="AG169" i="11" s="1"/>
  <c r="G169" i="11"/>
  <c r="F169" i="11"/>
  <c r="AB169" i="11"/>
  <c r="AA169" i="11"/>
  <c r="I169" i="11"/>
  <c r="H169" i="11"/>
  <c r="X87" i="10"/>
  <c r="AJ87" i="10"/>
  <c r="V87" i="10"/>
  <c r="T87" i="10"/>
  <c r="AB87" i="10" s="1"/>
  <c r="C87" i="10"/>
  <c r="AC87" i="10" s="1"/>
  <c r="AG87" i="10" s="1"/>
  <c r="B87" i="10"/>
  <c r="AI87" i="10"/>
  <c r="AJ93" i="10"/>
  <c r="C93" i="10"/>
  <c r="AC93" i="10" s="1"/>
  <c r="AG93" i="10" s="1"/>
  <c r="AI93" i="10"/>
  <c r="B93" i="10"/>
  <c r="AJ69" i="10"/>
  <c r="AI69" i="10"/>
  <c r="AH69" i="10"/>
  <c r="C69" i="10"/>
  <c r="AA69" i="10" s="1"/>
  <c r="B69" i="10"/>
  <c r="B57" i="10"/>
  <c r="X57" i="10"/>
  <c r="C57" i="10"/>
  <c r="AJ57" i="10"/>
  <c r="AI57" i="10"/>
  <c r="AH57" i="10"/>
  <c r="AD131" i="10"/>
  <c r="AC131" i="10"/>
  <c r="AG131" i="10" s="1"/>
  <c r="AB131" i="10"/>
  <c r="AA131" i="10"/>
  <c r="I131" i="10"/>
  <c r="H131" i="10"/>
  <c r="X131" i="10"/>
  <c r="G131" i="10"/>
  <c r="W131" i="10"/>
  <c r="F131" i="10"/>
  <c r="AJ131" i="10"/>
  <c r="V131" i="10"/>
  <c r="E131" i="10"/>
  <c r="AI131" i="10"/>
  <c r="U131" i="10"/>
  <c r="D131" i="10"/>
  <c r="T131" i="10"/>
  <c r="C131" i="10"/>
  <c r="B131" i="10"/>
  <c r="AH131" i="10"/>
  <c r="AJ94" i="10"/>
  <c r="AI94" i="10"/>
  <c r="C94" i="10"/>
  <c r="T94" i="10" s="1"/>
  <c r="B94" i="10"/>
  <c r="AI82" i="10"/>
  <c r="B82" i="10"/>
  <c r="AJ82" i="10"/>
  <c r="C82" i="10"/>
  <c r="T82" i="10" s="1"/>
  <c r="AJ121" i="10"/>
  <c r="AI121" i="10"/>
  <c r="C121" i="10"/>
  <c r="D121" i="10" s="1"/>
  <c r="B121" i="10"/>
  <c r="X164" i="10"/>
  <c r="G164" i="10"/>
  <c r="AJ164" i="10"/>
  <c r="V164" i="10"/>
  <c r="E164" i="10"/>
  <c r="AH164" i="10"/>
  <c r="T164" i="10"/>
  <c r="C164" i="10"/>
  <c r="P164" i="10" s="1"/>
  <c r="Q164" i="10" s="1"/>
  <c r="AI164" i="10"/>
  <c r="AD164" i="10"/>
  <c r="I164" i="10"/>
  <c r="AC164" i="10"/>
  <c r="AG164" i="10" s="1"/>
  <c r="H164" i="10"/>
  <c r="AB164" i="10"/>
  <c r="F164" i="10"/>
  <c r="AA164" i="10"/>
  <c r="D164" i="10"/>
  <c r="B164" i="10"/>
  <c r="W164" i="10"/>
  <c r="U164" i="10"/>
  <c r="W159" i="10"/>
  <c r="F159" i="10"/>
  <c r="AH159" i="10"/>
  <c r="T159" i="10"/>
  <c r="C159" i="10"/>
  <c r="X159" i="10"/>
  <c r="D159" i="10"/>
  <c r="V159" i="10"/>
  <c r="B159" i="10"/>
  <c r="U159" i="10"/>
  <c r="AJ159" i="10"/>
  <c r="AI159" i="10"/>
  <c r="AD159" i="10"/>
  <c r="AC159" i="10"/>
  <c r="AG159" i="10" s="1"/>
  <c r="I159" i="10"/>
  <c r="H159" i="10"/>
  <c r="G159" i="10"/>
  <c r="E159" i="10"/>
  <c r="AB159" i="10"/>
  <c r="AA159" i="10"/>
  <c r="AD168" i="10"/>
  <c r="P168" i="10"/>
  <c r="Q168" i="10" s="1"/>
  <c r="AC168" i="10"/>
  <c r="AG168" i="10" s="1"/>
  <c r="AB168" i="10"/>
  <c r="AA168" i="10"/>
  <c r="I168" i="10"/>
  <c r="W168" i="10"/>
  <c r="F168" i="10"/>
  <c r="AH168" i="10"/>
  <c r="E168" i="10"/>
  <c r="D168" i="10"/>
  <c r="C168" i="10"/>
  <c r="B168" i="10"/>
  <c r="X168" i="10"/>
  <c r="V168" i="10"/>
  <c r="U168" i="10"/>
  <c r="T168" i="10"/>
  <c r="AK168" i="10" s="1"/>
  <c r="H168" i="10"/>
  <c r="G168" i="10"/>
  <c r="AJ168" i="10"/>
  <c r="AI168" i="10"/>
  <c r="C64" i="9"/>
  <c r="B64" i="9"/>
  <c r="AJ64" i="9"/>
  <c r="AI64" i="9"/>
  <c r="AH64" i="9"/>
  <c r="AC64" i="9"/>
  <c r="AG64" i="9" s="1"/>
  <c r="AB157" i="9"/>
  <c r="AA157" i="9"/>
  <c r="I157" i="9"/>
  <c r="H157" i="9"/>
  <c r="X157" i="9"/>
  <c r="G157" i="9"/>
  <c r="W157" i="9"/>
  <c r="F157" i="9"/>
  <c r="AJ157" i="9"/>
  <c r="V157" i="9"/>
  <c r="E157" i="9"/>
  <c r="AI157" i="9"/>
  <c r="U157" i="9"/>
  <c r="D157" i="9"/>
  <c r="B157" i="9"/>
  <c r="AD157" i="9"/>
  <c r="AC157" i="9"/>
  <c r="AG157" i="9" s="1"/>
  <c r="T157" i="9"/>
  <c r="C157" i="9"/>
  <c r="P157" i="9" s="1"/>
  <c r="Q157" i="9" s="1"/>
  <c r="AH157" i="9"/>
  <c r="AB143" i="9"/>
  <c r="AA143" i="9"/>
  <c r="I143" i="9"/>
  <c r="H143" i="9"/>
  <c r="X143" i="9"/>
  <c r="G143" i="9"/>
  <c r="AJ143" i="9"/>
  <c r="V143" i="9"/>
  <c r="E143" i="9"/>
  <c r="AI143" i="9"/>
  <c r="U143" i="9"/>
  <c r="AF143" i="9" s="1"/>
  <c r="D143" i="9"/>
  <c r="B143" i="9"/>
  <c r="T143" i="9"/>
  <c r="F143" i="9"/>
  <c r="AH143" i="9"/>
  <c r="AD143" i="9"/>
  <c r="AC143" i="9"/>
  <c r="AG143" i="9" s="1"/>
  <c r="W143" i="9"/>
  <c r="C143" i="9"/>
  <c r="P143" i="9" s="1"/>
  <c r="Q143" i="9" s="1"/>
  <c r="AD166" i="9"/>
  <c r="AC166" i="9"/>
  <c r="AG166" i="9" s="1"/>
  <c r="AB166" i="9"/>
  <c r="AA166" i="9"/>
  <c r="I166" i="9"/>
  <c r="H166" i="9"/>
  <c r="X166" i="9"/>
  <c r="G166" i="9"/>
  <c r="W166" i="9"/>
  <c r="F166" i="9"/>
  <c r="AJ166" i="9"/>
  <c r="V166" i="9"/>
  <c r="E166" i="9"/>
  <c r="D166" i="9"/>
  <c r="C166" i="9"/>
  <c r="P166" i="9" s="1"/>
  <c r="Q166" i="9" s="1"/>
  <c r="B166" i="9"/>
  <c r="AH166" i="9"/>
  <c r="AI166" i="9"/>
  <c r="U166" i="9"/>
  <c r="T166" i="9"/>
  <c r="AC146" i="9"/>
  <c r="AG146" i="9" s="1"/>
  <c r="AB146" i="9"/>
  <c r="AA146" i="9"/>
  <c r="I146" i="9"/>
  <c r="H146" i="9"/>
  <c r="W146" i="9"/>
  <c r="F146" i="9"/>
  <c r="AJ146" i="9"/>
  <c r="V146" i="9"/>
  <c r="E146" i="9"/>
  <c r="AH146" i="9"/>
  <c r="T146" i="9"/>
  <c r="AF146" i="9" s="1"/>
  <c r="C146" i="9"/>
  <c r="B146" i="9"/>
  <c r="AD146" i="9"/>
  <c r="X146" i="9"/>
  <c r="U146" i="9"/>
  <c r="AI146" i="9"/>
  <c r="G146" i="9"/>
  <c r="D146" i="9"/>
  <c r="W175" i="9"/>
  <c r="F175" i="9"/>
  <c r="AI175" i="9"/>
  <c r="U175" i="9"/>
  <c r="D175" i="9"/>
  <c r="AA175" i="9"/>
  <c r="H175" i="9"/>
  <c r="G175" i="9"/>
  <c r="E175" i="9"/>
  <c r="X175" i="9"/>
  <c r="C175" i="9"/>
  <c r="V175" i="9"/>
  <c r="B175" i="9"/>
  <c r="T175" i="9"/>
  <c r="AK175" i="9" s="1"/>
  <c r="AJ175" i="9"/>
  <c r="AH175" i="9"/>
  <c r="P175" i="9"/>
  <c r="Q175" i="9" s="1"/>
  <c r="I175" i="9"/>
  <c r="AD175" i="9"/>
  <c r="AC175" i="9"/>
  <c r="AG175" i="9" s="1"/>
  <c r="AB175" i="9"/>
  <c r="AH182" i="9"/>
  <c r="T182" i="9"/>
  <c r="C182" i="9"/>
  <c r="P182" i="9" s="1"/>
  <c r="Q182" i="9" s="1"/>
  <c r="AD182" i="9"/>
  <c r="AB182" i="9"/>
  <c r="V182" i="9"/>
  <c r="B182" i="9"/>
  <c r="U182" i="9"/>
  <c r="AK182" i="9"/>
  <c r="AJ182" i="9"/>
  <c r="AI182" i="9"/>
  <c r="AC182" i="9"/>
  <c r="AG182" i="9" s="1"/>
  <c r="I182" i="9"/>
  <c r="AA182" i="9"/>
  <c r="H182" i="9"/>
  <c r="G182" i="9"/>
  <c r="F182" i="9"/>
  <c r="E182" i="9"/>
  <c r="D182" i="9"/>
  <c r="X182" i="9"/>
  <c r="W182" i="9"/>
  <c r="AA133" i="9"/>
  <c r="H133" i="9"/>
  <c r="AD133" i="9"/>
  <c r="AC133" i="9"/>
  <c r="AG133" i="9" s="1"/>
  <c r="AB133" i="9"/>
  <c r="I133" i="9"/>
  <c r="G133" i="9"/>
  <c r="X133" i="9"/>
  <c r="F133" i="9"/>
  <c r="V133" i="9"/>
  <c r="D133" i="9"/>
  <c r="AJ133" i="9"/>
  <c r="T133" i="9"/>
  <c r="B133" i="9"/>
  <c r="AF133" i="9"/>
  <c r="W133" i="9"/>
  <c r="U133" i="9"/>
  <c r="E133" i="9"/>
  <c r="C133" i="9"/>
  <c r="P133" i="9" s="1"/>
  <c r="Q133" i="9" s="1"/>
  <c r="AI133" i="9"/>
  <c r="AH133" i="9"/>
  <c r="AJ75" i="9"/>
  <c r="B75" i="9"/>
  <c r="C75" i="9"/>
  <c r="AI75" i="9"/>
  <c r="AE59" i="9"/>
  <c r="Z59" i="9"/>
  <c r="Y59" i="9"/>
  <c r="U66" i="9"/>
  <c r="AB45" i="8"/>
  <c r="AJ61" i="8"/>
  <c r="C61" i="8"/>
  <c r="AC61" i="8" s="1"/>
  <c r="AG61" i="8" s="1"/>
  <c r="B61" i="8"/>
  <c r="AI61" i="8"/>
  <c r="AH61" i="8"/>
  <c r="AJ88" i="8"/>
  <c r="AI88" i="8"/>
  <c r="C88" i="8"/>
  <c r="B88" i="8"/>
  <c r="AA88" i="8"/>
  <c r="AD151" i="8"/>
  <c r="AC151" i="8"/>
  <c r="AG151" i="8" s="1"/>
  <c r="AB151" i="8"/>
  <c r="AA151" i="8"/>
  <c r="I151" i="8"/>
  <c r="H151" i="8"/>
  <c r="X151" i="8"/>
  <c r="G151" i="8"/>
  <c r="W151" i="8"/>
  <c r="F151" i="8"/>
  <c r="AJ151" i="8"/>
  <c r="V151" i="8"/>
  <c r="E151" i="8"/>
  <c r="AI151" i="8"/>
  <c r="U151" i="8"/>
  <c r="D151" i="8"/>
  <c r="C151" i="8"/>
  <c r="P151" i="8" s="1"/>
  <c r="Q151" i="8" s="1"/>
  <c r="B151" i="8"/>
  <c r="AH151" i="8"/>
  <c r="T151" i="8"/>
  <c r="C70" i="8"/>
  <c r="B70" i="8"/>
  <c r="AJ70" i="8"/>
  <c r="AI70" i="8"/>
  <c r="I128" i="8"/>
  <c r="X128" i="8"/>
  <c r="G128" i="8"/>
  <c r="W128" i="8"/>
  <c r="F128" i="8"/>
  <c r="AJ128" i="8"/>
  <c r="V128" i="8"/>
  <c r="E128" i="8"/>
  <c r="AH128" i="8"/>
  <c r="T128" i="8"/>
  <c r="C128" i="8"/>
  <c r="P128" i="8" s="1"/>
  <c r="Q128" i="8" s="1"/>
  <c r="AI128" i="8"/>
  <c r="H128" i="8"/>
  <c r="D128" i="8"/>
  <c r="AD128" i="8"/>
  <c r="B128" i="8"/>
  <c r="AC128" i="8"/>
  <c r="AG128" i="8" s="1"/>
  <c r="AB128" i="8"/>
  <c r="AA128" i="8"/>
  <c r="U128" i="8"/>
  <c r="AJ116" i="8"/>
  <c r="C116" i="8"/>
  <c r="AA116" i="8" s="1"/>
  <c r="B116" i="8"/>
  <c r="AI116" i="8"/>
  <c r="B118" i="8"/>
  <c r="AJ118" i="8"/>
  <c r="AI118" i="8"/>
  <c r="C118" i="8"/>
  <c r="X174" i="8"/>
  <c r="G174" i="8"/>
  <c r="W174" i="8"/>
  <c r="F174" i="8"/>
  <c r="AJ174" i="8"/>
  <c r="V174" i="8"/>
  <c r="E174" i="8"/>
  <c r="AI174" i="8"/>
  <c r="U174" i="8"/>
  <c r="D174" i="8"/>
  <c r="AH174" i="8"/>
  <c r="T174" i="8"/>
  <c r="C174" i="8"/>
  <c r="B174" i="8"/>
  <c r="AD174" i="8"/>
  <c r="P174" i="8"/>
  <c r="Q174" i="8" s="1"/>
  <c r="AC174" i="8"/>
  <c r="AG174" i="8" s="1"/>
  <c r="AB174" i="8"/>
  <c r="AA174" i="8"/>
  <c r="I174" i="8"/>
  <c r="H174" i="8"/>
  <c r="C50" i="8"/>
  <c r="B50" i="8"/>
  <c r="AJ50" i="8"/>
  <c r="AI50" i="8"/>
  <c r="AH50" i="8"/>
  <c r="R50" i="7"/>
  <c r="S50" i="7" s="1"/>
  <c r="D50" i="7"/>
  <c r="E50" i="7" s="1"/>
  <c r="Q50" i="7"/>
  <c r="C50" i="7"/>
  <c r="B50" i="7"/>
  <c r="O50" i="7"/>
  <c r="M50" i="7"/>
  <c r="F50" i="7"/>
  <c r="AC60" i="8"/>
  <c r="AG60" i="8" s="1"/>
  <c r="C38" i="6"/>
  <c r="B50" i="6" s="1"/>
  <c r="E59" i="5" l="1"/>
  <c r="AK54" i="9"/>
  <c r="AD54" i="9"/>
  <c r="X54" i="9"/>
  <c r="AF106" i="11"/>
  <c r="T61" i="8"/>
  <c r="AK159" i="8"/>
  <c r="AF169" i="9"/>
  <c r="X80" i="10"/>
  <c r="AC114" i="10"/>
  <c r="AG114" i="10" s="1"/>
  <c r="AC92" i="10"/>
  <c r="AG92" i="10" s="1"/>
  <c r="W80" i="9"/>
  <c r="AF95" i="11"/>
  <c r="AC62" i="11"/>
  <c r="AG62" i="11" s="1"/>
  <c r="AC83" i="10"/>
  <c r="AG83" i="10" s="1"/>
  <c r="AA58" i="10"/>
  <c r="AA51" i="8"/>
  <c r="P170" i="11"/>
  <c r="Q170" i="11" s="1"/>
  <c r="AF103" i="11"/>
  <c r="P147" i="9"/>
  <c r="Q147" i="9" s="1"/>
  <c r="AA111" i="9"/>
  <c r="X43" i="8"/>
  <c r="B49" i="6"/>
  <c r="T75" i="11"/>
  <c r="AD75" i="11" s="1"/>
  <c r="X126" i="8"/>
  <c r="AF159" i="10"/>
  <c r="AK177" i="9"/>
  <c r="AA71" i="9"/>
  <c r="T126" i="8"/>
  <c r="AK154" i="10"/>
  <c r="AK149" i="11"/>
  <c r="AA87" i="11"/>
  <c r="P123" i="10"/>
  <c r="Q123" i="10" s="1"/>
  <c r="X80" i="9"/>
  <c r="AK152" i="8"/>
  <c r="AF152" i="9"/>
  <c r="AK146" i="8"/>
  <c r="V122" i="10"/>
  <c r="AF142" i="10"/>
  <c r="AK129" i="8"/>
  <c r="X103" i="8"/>
  <c r="AK134" i="9"/>
  <c r="AK153" i="9"/>
  <c r="AB108" i="8"/>
  <c r="W108" i="9"/>
  <c r="D85" i="11"/>
  <c r="W77" i="9"/>
  <c r="AA77" i="9"/>
  <c r="AC77" i="9"/>
  <c r="AG77" i="9" s="1"/>
  <c r="X77" i="9"/>
  <c r="U77" i="9"/>
  <c r="AN77" i="9" s="1"/>
  <c r="V77" i="9"/>
  <c r="AK138" i="10"/>
  <c r="AA77" i="10"/>
  <c r="T127" i="10"/>
  <c r="AF153" i="8"/>
  <c r="T124" i="9"/>
  <c r="U112" i="9"/>
  <c r="AK171" i="10"/>
  <c r="T87" i="9"/>
  <c r="AK153" i="10"/>
  <c r="AC75" i="11"/>
  <c r="AG75" i="11" s="1"/>
  <c r="AK144" i="8"/>
  <c r="AK126" i="8"/>
  <c r="D59" i="5"/>
  <c r="AC68" i="9"/>
  <c r="AG68" i="9" s="1"/>
  <c r="X119" i="9"/>
  <c r="D127" i="10"/>
  <c r="U52" i="11"/>
  <c r="P121" i="8"/>
  <c r="Q121" i="8" s="1"/>
  <c r="C60" i="5"/>
  <c r="P56" i="7"/>
  <c r="P150" i="11"/>
  <c r="Q150" i="11" s="1"/>
  <c r="P161" i="9"/>
  <c r="Q161" i="9" s="1"/>
  <c r="AK139" i="10"/>
  <c r="AK130" i="10"/>
  <c r="AC116" i="10"/>
  <c r="AG116" i="10" s="1"/>
  <c r="AF114" i="11"/>
  <c r="AK112" i="11"/>
  <c r="AA47" i="11"/>
  <c r="AC43" i="8"/>
  <c r="AG43" i="8" s="1"/>
  <c r="T94" i="9"/>
  <c r="AD94" i="9" s="1"/>
  <c r="H94" i="9" s="1"/>
  <c r="W126" i="10"/>
  <c r="Z56" i="8"/>
  <c r="E58" i="5"/>
  <c r="P137" i="8"/>
  <c r="Q137" i="8" s="1"/>
  <c r="T66" i="11"/>
  <c r="AB66" i="11" s="1"/>
  <c r="AD82" i="9"/>
  <c r="AK166" i="8"/>
  <c r="AF143" i="11"/>
  <c r="AK124" i="9"/>
  <c r="T61" i="10"/>
  <c r="AK159" i="10"/>
  <c r="T121" i="10"/>
  <c r="AK121" i="10" s="1"/>
  <c r="AK131" i="10"/>
  <c r="AA77" i="11"/>
  <c r="AF145" i="8"/>
  <c r="P34" i="7"/>
  <c r="AK157" i="10"/>
  <c r="AA120" i="8"/>
  <c r="T43" i="11"/>
  <c r="AD43" i="11" s="1"/>
  <c r="E43" i="11" s="1"/>
  <c r="V126" i="8"/>
  <c r="U127" i="10"/>
  <c r="X92" i="10"/>
  <c r="AA80" i="11"/>
  <c r="AF182" i="8"/>
  <c r="AF148" i="9"/>
  <c r="AC75" i="8"/>
  <c r="AG75" i="8" s="1"/>
  <c r="D124" i="9"/>
  <c r="T64" i="8"/>
  <c r="AK64" i="8" s="1"/>
  <c r="AK173" i="10"/>
  <c r="U94" i="9"/>
  <c r="C61" i="5"/>
  <c r="E62" i="5" s="1"/>
  <c r="T86" i="11"/>
  <c r="V127" i="10"/>
  <c r="X66" i="11"/>
  <c r="AC112" i="10"/>
  <c r="AG112" i="10" s="1"/>
  <c r="T92" i="10"/>
  <c r="AK92" i="10" s="1"/>
  <c r="AK139" i="8"/>
  <c r="D58" i="5"/>
  <c r="AK168" i="9"/>
  <c r="AK124" i="11"/>
  <c r="AA54" i="9"/>
  <c r="V120" i="10"/>
  <c r="AC85" i="10"/>
  <c r="AG85" i="10" s="1"/>
  <c r="AK101" i="8"/>
  <c r="V94" i="9"/>
  <c r="V45" i="10"/>
  <c r="AK78" i="11"/>
  <c r="P183" i="11"/>
  <c r="Q183" i="11" s="1"/>
  <c r="U66" i="8"/>
  <c r="AK162" i="11"/>
  <c r="AK147" i="11"/>
  <c r="AK99" i="9"/>
  <c r="AK136" i="10"/>
  <c r="AK149" i="8"/>
  <c r="AC98" i="8"/>
  <c r="AG98" i="8" s="1"/>
  <c r="AC54" i="9"/>
  <c r="AG54" i="9" s="1"/>
  <c r="AK121" i="9"/>
  <c r="P152" i="11"/>
  <c r="Q152" i="11" s="1"/>
  <c r="U87" i="11"/>
  <c r="AF167" i="9"/>
  <c r="AF139" i="11"/>
  <c r="U80" i="11"/>
  <c r="AF178" i="11"/>
  <c r="AF154" i="9"/>
  <c r="AK158" i="10"/>
  <c r="K51" i="7"/>
  <c r="L51" i="7" s="1"/>
  <c r="V124" i="9"/>
  <c r="AK128" i="10"/>
  <c r="AK126" i="11"/>
  <c r="AK101" i="11"/>
  <c r="T47" i="11"/>
  <c r="AD47" i="11" s="1"/>
  <c r="T43" i="8"/>
  <c r="AA126" i="10"/>
  <c r="U101" i="10"/>
  <c r="AK161" i="11"/>
  <c r="AA73" i="9"/>
  <c r="AA85" i="10"/>
  <c r="AK169" i="9"/>
  <c r="AF147" i="8"/>
  <c r="V98" i="8"/>
  <c r="AA120" i="10"/>
  <c r="W119" i="9"/>
  <c r="AK131" i="11"/>
  <c r="AK183" i="10"/>
  <c r="X82" i="9"/>
  <c r="D62" i="5"/>
  <c r="AK133" i="11"/>
  <c r="AA103" i="8"/>
  <c r="W124" i="9"/>
  <c r="AK47" i="10"/>
  <c r="AK140" i="10"/>
  <c r="C62" i="5"/>
  <c r="E63" i="5" s="1"/>
  <c r="AK171" i="9"/>
  <c r="AA51" i="10"/>
  <c r="AK141" i="9"/>
  <c r="X94" i="9"/>
  <c r="P126" i="10"/>
  <c r="Q126" i="10" s="1"/>
  <c r="AK162" i="10"/>
  <c r="AF163" i="10"/>
  <c r="AF163" i="9"/>
  <c r="AA104" i="10"/>
  <c r="AK164" i="10"/>
  <c r="AK171" i="8"/>
  <c r="AA66" i="8"/>
  <c r="AA75" i="11"/>
  <c r="AC120" i="10"/>
  <c r="AG120" i="10" s="1"/>
  <c r="AF179" i="11"/>
  <c r="AF179" i="9"/>
  <c r="AF144" i="11"/>
  <c r="T122" i="10"/>
  <c r="AA124" i="9"/>
  <c r="AF174" i="11"/>
  <c r="AK127" i="11"/>
  <c r="X124" i="9"/>
  <c r="AK115" i="11"/>
  <c r="U80" i="9"/>
  <c r="J65" i="7"/>
  <c r="H65" i="7"/>
  <c r="I65" i="7" s="1"/>
  <c r="K65" i="7" s="1"/>
  <c r="L65" i="7" s="1"/>
  <c r="G65" i="7"/>
  <c r="AC56" i="11"/>
  <c r="AG56" i="11" s="1"/>
  <c r="P165" i="8"/>
  <c r="Q165" i="8" s="1"/>
  <c r="AK174" i="8"/>
  <c r="AK96" i="11"/>
  <c r="AK132" i="11"/>
  <c r="V49" i="11"/>
  <c r="X43" i="11"/>
  <c r="P120" i="10"/>
  <c r="Q120" i="10" s="1"/>
  <c r="AK109" i="11"/>
  <c r="W87" i="11"/>
  <c r="T123" i="10"/>
  <c r="AD123" i="10" s="1"/>
  <c r="AK167" i="11"/>
  <c r="W80" i="11"/>
  <c r="AK148" i="10"/>
  <c r="D122" i="10"/>
  <c r="AC124" i="9"/>
  <c r="AG124" i="9" s="1"/>
  <c r="U56" i="10"/>
  <c r="AF126" i="11"/>
  <c r="AF170" i="11"/>
  <c r="P36" i="7"/>
  <c r="AK114" i="11"/>
  <c r="W101" i="10"/>
  <c r="AA71" i="8"/>
  <c r="D60" i="5"/>
  <c r="AC101" i="8"/>
  <c r="AG101" i="8" s="1"/>
  <c r="AF166" i="9"/>
  <c r="U80" i="10"/>
  <c r="AK163" i="11"/>
  <c r="AK163" i="9"/>
  <c r="AF177" i="10"/>
  <c r="U124" i="9"/>
  <c r="AF124" i="9" s="1"/>
  <c r="AK178" i="10"/>
  <c r="T57" i="11"/>
  <c r="AF155" i="10"/>
  <c r="T117" i="9"/>
  <c r="AK155" i="11"/>
  <c r="AK145" i="8"/>
  <c r="X117" i="9"/>
  <c r="AF156" i="10"/>
  <c r="W80" i="10"/>
  <c r="W49" i="11"/>
  <c r="AC43" i="11"/>
  <c r="AG43" i="11" s="1"/>
  <c r="AF166" i="11"/>
  <c r="W123" i="10"/>
  <c r="X80" i="11"/>
  <c r="AK167" i="8"/>
  <c r="V80" i="9"/>
  <c r="AF154" i="11"/>
  <c r="U122" i="10"/>
  <c r="AK148" i="9"/>
  <c r="X47" i="11"/>
  <c r="AE47" i="11" s="1"/>
  <c r="AK43" i="8"/>
  <c r="K35" i="7"/>
  <c r="L35" i="7" s="1"/>
  <c r="D61" i="5"/>
  <c r="D57" i="5"/>
  <c r="AK82" i="10"/>
  <c r="AD82" i="10"/>
  <c r="P92" i="11"/>
  <c r="Q92" i="11" s="1"/>
  <c r="AK92" i="11"/>
  <c r="AF59" i="8"/>
  <c r="AC51" i="9"/>
  <c r="AG51" i="9" s="1"/>
  <c r="AA51" i="9"/>
  <c r="P180" i="9"/>
  <c r="Q180" i="9" s="1"/>
  <c r="AK180" i="9"/>
  <c r="AF131" i="11"/>
  <c r="P127" i="9"/>
  <c r="Q127" i="9" s="1"/>
  <c r="AC127" i="9"/>
  <c r="AG127" i="9" s="1"/>
  <c r="AA127" i="9"/>
  <c r="E126" i="9"/>
  <c r="F126" i="9"/>
  <c r="W101" i="9"/>
  <c r="V101" i="9"/>
  <c r="U101" i="9"/>
  <c r="AL101" i="9" s="1"/>
  <c r="AD57" i="11"/>
  <c r="AK57" i="11"/>
  <c r="AA46" i="11"/>
  <c r="AA90" i="9"/>
  <c r="AA46" i="10"/>
  <c r="AC46" i="10"/>
  <c r="AG46" i="10" s="1"/>
  <c r="AA96" i="8"/>
  <c r="X96" i="8"/>
  <c r="AA50" i="11"/>
  <c r="X50" i="11"/>
  <c r="T50" i="11"/>
  <c r="AC50" i="11"/>
  <c r="AG50" i="11" s="1"/>
  <c r="AA70" i="8"/>
  <c r="AC70" i="8"/>
  <c r="AG70" i="8" s="1"/>
  <c r="X70" i="8"/>
  <c r="AE70" i="8" s="1"/>
  <c r="W70" i="8"/>
  <c r="V70" i="8"/>
  <c r="U70" i="8"/>
  <c r="AN70" i="8" s="1"/>
  <c r="AC54" i="10"/>
  <c r="AG54" i="10" s="1"/>
  <c r="X54" i="10"/>
  <c r="Z54" i="10" s="1"/>
  <c r="AC70" i="10"/>
  <c r="AG70" i="10" s="1"/>
  <c r="AA70" i="10"/>
  <c r="X70" i="10"/>
  <c r="V70" i="10"/>
  <c r="U70" i="10"/>
  <c r="AA91" i="8"/>
  <c r="X91" i="8"/>
  <c r="W91" i="8"/>
  <c r="V91" i="8"/>
  <c r="AC91" i="8"/>
  <c r="AG91" i="8" s="1"/>
  <c r="AA89" i="9"/>
  <c r="AC89" i="9"/>
  <c r="AG89" i="9" s="1"/>
  <c r="T89" i="9"/>
  <c r="AD89" i="9" s="1"/>
  <c r="X89" i="9"/>
  <c r="Z89" i="9" s="1"/>
  <c r="AF151" i="8"/>
  <c r="AK151" i="8"/>
  <c r="AA75" i="9"/>
  <c r="AC75" i="9"/>
  <c r="AG75" i="9" s="1"/>
  <c r="T75" i="9"/>
  <c r="X75" i="9"/>
  <c r="AE75" i="9" s="1"/>
  <c r="AA44" i="9"/>
  <c r="AC44" i="9"/>
  <c r="AG44" i="9" s="1"/>
  <c r="AK146" i="10"/>
  <c r="AF146" i="10"/>
  <c r="V122" i="9"/>
  <c r="X122" i="9"/>
  <c r="AE122" i="9" s="1"/>
  <c r="AA122" i="9"/>
  <c r="AK122" i="9"/>
  <c r="W122" i="9"/>
  <c r="U122" i="9"/>
  <c r="D122" i="9"/>
  <c r="T122" i="9"/>
  <c r="AD122" i="9" s="1"/>
  <c r="AC122" i="9"/>
  <c r="AG122" i="9" s="1"/>
  <c r="P137" i="10"/>
  <c r="Q137" i="10" s="1"/>
  <c r="AK137" i="10"/>
  <c r="AA83" i="9"/>
  <c r="AC83" i="9"/>
  <c r="AG83" i="9" s="1"/>
  <c r="AK66" i="10"/>
  <c r="AB66" i="10"/>
  <c r="AK103" i="8"/>
  <c r="AD103" i="8"/>
  <c r="AK152" i="10"/>
  <c r="P152" i="10"/>
  <c r="Q152" i="10" s="1"/>
  <c r="P157" i="8"/>
  <c r="Q157" i="8" s="1"/>
  <c r="AK157" i="8"/>
  <c r="W125" i="9"/>
  <c r="V125" i="9"/>
  <c r="U125" i="9"/>
  <c r="D125" i="9"/>
  <c r="T125" i="9"/>
  <c r="P125" i="9"/>
  <c r="Q125" i="9" s="1"/>
  <c r="P176" i="10"/>
  <c r="Q176" i="10" s="1"/>
  <c r="AK176" i="10"/>
  <c r="AA94" i="10"/>
  <c r="X94" i="10"/>
  <c r="Z94" i="10" s="1"/>
  <c r="T57" i="10"/>
  <c r="AC57" i="10"/>
  <c r="AG57" i="10" s="1"/>
  <c r="X45" i="11"/>
  <c r="AA45" i="11"/>
  <c r="AK128" i="11"/>
  <c r="AK131" i="8"/>
  <c r="P131" i="8"/>
  <c r="Q131" i="8" s="1"/>
  <c r="U70" i="11"/>
  <c r="AC70" i="11"/>
  <c r="AG70" i="11" s="1"/>
  <c r="AA70" i="11"/>
  <c r="X70" i="11"/>
  <c r="AE70" i="11" s="1"/>
  <c r="W70" i="11"/>
  <c r="AC82" i="10"/>
  <c r="AG82" i="10" s="1"/>
  <c r="AA82" i="10"/>
  <c r="X82" i="10"/>
  <c r="AA57" i="10"/>
  <c r="P160" i="8"/>
  <c r="Q160" i="8" s="1"/>
  <c r="AK160" i="8"/>
  <c r="AA69" i="11"/>
  <c r="AC69" i="11"/>
  <c r="AG69" i="11" s="1"/>
  <c r="V94" i="10"/>
  <c r="AK142" i="8"/>
  <c r="P123" i="8"/>
  <c r="Q123" i="8" s="1"/>
  <c r="AC123" i="8"/>
  <c r="AG123" i="8" s="1"/>
  <c r="W123" i="8"/>
  <c r="U123" i="8"/>
  <c r="T123" i="8"/>
  <c r="AD123" i="8" s="1"/>
  <c r="AC85" i="9"/>
  <c r="AG85" i="9" s="1"/>
  <c r="AK169" i="11"/>
  <c r="P169" i="11"/>
  <c r="Q169" i="11" s="1"/>
  <c r="E68" i="9"/>
  <c r="F68" i="9"/>
  <c r="U81" i="11"/>
  <c r="T81" i="11"/>
  <c r="X81" i="11"/>
  <c r="AE81" i="11" s="1"/>
  <c r="AF173" i="9"/>
  <c r="D123" i="8"/>
  <c r="AC81" i="9"/>
  <c r="AG81" i="9" s="1"/>
  <c r="V59" i="8"/>
  <c r="AA68" i="11"/>
  <c r="X68" i="8"/>
  <c r="U91" i="9"/>
  <c r="AA102" i="9"/>
  <c r="K47" i="7"/>
  <c r="L47" i="7" s="1"/>
  <c r="AF163" i="8"/>
  <c r="W59" i="8"/>
  <c r="AC68" i="11"/>
  <c r="AG68" i="11" s="1"/>
  <c r="AA115" i="10"/>
  <c r="AF170" i="8"/>
  <c r="AK164" i="9"/>
  <c r="AA63" i="10"/>
  <c r="T113" i="8"/>
  <c r="AK180" i="8"/>
  <c r="AK169" i="8"/>
  <c r="W121" i="10"/>
  <c r="AC89" i="10"/>
  <c r="AG89" i="10" s="1"/>
  <c r="AA45" i="10"/>
  <c r="AA80" i="10"/>
  <c r="P123" i="11"/>
  <c r="Q123" i="11" s="1"/>
  <c r="U49" i="11"/>
  <c r="D120" i="8"/>
  <c r="AK165" i="10"/>
  <c r="AK143" i="8"/>
  <c r="AK145" i="9"/>
  <c r="AK136" i="9"/>
  <c r="AB124" i="10"/>
  <c r="AK113" i="11"/>
  <c r="V88" i="11"/>
  <c r="AF177" i="11"/>
  <c r="AF168" i="11"/>
  <c r="P54" i="7"/>
  <c r="AA59" i="8"/>
  <c r="AC105" i="9"/>
  <c r="AG105" i="9" s="1"/>
  <c r="AA74" i="10"/>
  <c r="AK144" i="11"/>
  <c r="X106" i="9"/>
  <c r="T68" i="11"/>
  <c r="T115" i="10"/>
  <c r="AD115" i="10" s="1"/>
  <c r="AF146" i="8"/>
  <c r="T110" i="8"/>
  <c r="AA55" i="8"/>
  <c r="AK129" i="11"/>
  <c r="U70" i="9"/>
  <c r="AK164" i="8"/>
  <c r="W91" i="10"/>
  <c r="AA60" i="11"/>
  <c r="AK172" i="8"/>
  <c r="P45" i="7"/>
  <c r="P57" i="7"/>
  <c r="AF112" i="11"/>
  <c r="G33" i="7"/>
  <c r="AA76" i="8"/>
  <c r="P165" i="9"/>
  <c r="Q165" i="9" s="1"/>
  <c r="P145" i="10"/>
  <c r="Q145" i="10" s="1"/>
  <c r="AA101" i="10"/>
  <c r="AA113" i="8"/>
  <c r="AA121" i="10"/>
  <c r="U87" i="10"/>
  <c r="AF87" i="10" s="1"/>
  <c r="AK146" i="11"/>
  <c r="AC112" i="8"/>
  <c r="AG112" i="8" s="1"/>
  <c r="AA89" i="10"/>
  <c r="AF107" i="11"/>
  <c r="T66" i="8"/>
  <c r="AF66" i="8" s="1"/>
  <c r="AK135" i="9"/>
  <c r="AC117" i="9"/>
  <c r="AG117" i="9" s="1"/>
  <c r="AF128" i="11"/>
  <c r="AA63" i="11"/>
  <c r="X49" i="11"/>
  <c r="AE49" i="11" s="1"/>
  <c r="AA98" i="8"/>
  <c r="AD124" i="10"/>
  <c r="P168" i="11"/>
  <c r="Q168" i="11" s="1"/>
  <c r="AK139" i="11"/>
  <c r="AK178" i="9"/>
  <c r="AA79" i="9"/>
  <c r="W119" i="10"/>
  <c r="AK135" i="11"/>
  <c r="AC80" i="11"/>
  <c r="AG80" i="11" s="1"/>
  <c r="AC59" i="8"/>
  <c r="AG59" i="8" s="1"/>
  <c r="X105" i="9"/>
  <c r="AE105" i="9" s="1"/>
  <c r="T121" i="8"/>
  <c r="U115" i="10"/>
  <c r="AK110" i="8"/>
  <c r="P172" i="10"/>
  <c r="Q172" i="10" s="1"/>
  <c r="V70" i="9"/>
  <c r="AA112" i="9"/>
  <c r="X117" i="10"/>
  <c r="P138" i="11"/>
  <c r="Q138" i="11" s="1"/>
  <c r="AC119" i="8"/>
  <c r="AG119" i="8" s="1"/>
  <c r="AK131" i="9"/>
  <c r="AC52" i="10"/>
  <c r="AG52" i="10" s="1"/>
  <c r="AC106" i="10"/>
  <c r="AG106" i="10" s="1"/>
  <c r="AK173" i="8"/>
  <c r="U63" i="10"/>
  <c r="AN63" i="10" s="1"/>
  <c r="AK134" i="11"/>
  <c r="AK176" i="11"/>
  <c r="H33" i="7"/>
  <c r="I33" i="7" s="1"/>
  <c r="W94" i="9"/>
  <c r="V49" i="10"/>
  <c r="AC101" i="10"/>
  <c r="AG101" i="10" s="1"/>
  <c r="W85" i="11"/>
  <c r="AK130" i="8"/>
  <c r="P69" i="7"/>
  <c r="P121" i="10"/>
  <c r="Q121" i="10" s="1"/>
  <c r="AK117" i="11"/>
  <c r="AF155" i="11"/>
  <c r="V66" i="8"/>
  <c r="AK159" i="9"/>
  <c r="AC63" i="11"/>
  <c r="AG63" i="11" s="1"/>
  <c r="P120" i="8"/>
  <c r="Q120" i="8" s="1"/>
  <c r="P46" i="7"/>
  <c r="P149" i="8"/>
  <c r="Q149" i="8" s="1"/>
  <c r="AA100" i="8"/>
  <c r="T120" i="10"/>
  <c r="AD120" i="10" s="1"/>
  <c r="U112" i="10"/>
  <c r="AN112" i="10" s="1"/>
  <c r="U73" i="10"/>
  <c r="AN73" i="10" s="1"/>
  <c r="AK166" i="11"/>
  <c r="U119" i="9"/>
  <c r="D123" i="10"/>
  <c r="T99" i="10"/>
  <c r="AD99" i="10" s="1"/>
  <c r="F99" i="10" s="1"/>
  <c r="X119" i="10"/>
  <c r="Y119" i="10" s="1"/>
  <c r="AK132" i="8"/>
  <c r="W73" i="8"/>
  <c r="U121" i="8"/>
  <c r="AK134" i="10"/>
  <c r="P143" i="11"/>
  <c r="Q143" i="11" s="1"/>
  <c r="X70" i="9"/>
  <c r="AC112" i="9"/>
  <c r="AG112" i="9" s="1"/>
  <c r="P130" i="10"/>
  <c r="Q130" i="10" s="1"/>
  <c r="AA79" i="11"/>
  <c r="AA86" i="10"/>
  <c r="X61" i="10"/>
  <c r="AF101" i="11"/>
  <c r="AA76" i="9"/>
  <c r="AK160" i="11"/>
  <c r="AA85" i="11"/>
  <c r="X108" i="10"/>
  <c r="AK179" i="11"/>
  <c r="AK126" i="9"/>
  <c r="AK171" i="11"/>
  <c r="AA100" i="9"/>
  <c r="U91" i="10"/>
  <c r="AC57" i="9"/>
  <c r="AG57" i="9" s="1"/>
  <c r="T43" i="9"/>
  <c r="E57" i="5"/>
  <c r="AK137" i="11"/>
  <c r="P85" i="11"/>
  <c r="Q85" i="11" s="1"/>
  <c r="AC108" i="10"/>
  <c r="AG108" i="10" s="1"/>
  <c r="AF182" i="9"/>
  <c r="AK89" i="11"/>
  <c r="W66" i="8"/>
  <c r="AF159" i="8"/>
  <c r="AA49" i="11"/>
  <c r="X99" i="9"/>
  <c r="AK147" i="8"/>
  <c r="AF137" i="8"/>
  <c r="D124" i="10"/>
  <c r="V112" i="10"/>
  <c r="W73" i="10"/>
  <c r="AK145" i="11"/>
  <c r="AK99" i="11"/>
  <c r="U77" i="10"/>
  <c r="AN77" i="10" s="1"/>
  <c r="AK180" i="10"/>
  <c r="U105" i="9"/>
  <c r="W121" i="8"/>
  <c r="AK182" i="8"/>
  <c r="AA61" i="11"/>
  <c r="AA74" i="11"/>
  <c r="T117" i="8"/>
  <c r="AD117" i="8" s="1"/>
  <c r="AK94" i="11"/>
  <c r="AK111" i="11"/>
  <c r="P183" i="8"/>
  <c r="Q183" i="8" s="1"/>
  <c r="AK78" i="8"/>
  <c r="AK167" i="10"/>
  <c r="AB117" i="10"/>
  <c r="U119" i="8"/>
  <c r="AA90" i="8"/>
  <c r="U80" i="8"/>
  <c r="X43" i="9"/>
  <c r="AE43" i="9" s="1"/>
  <c r="AA61" i="9"/>
  <c r="AC88" i="10"/>
  <c r="AG88" i="10" s="1"/>
  <c r="AF122" i="11"/>
  <c r="T71" i="8"/>
  <c r="AK142" i="11"/>
  <c r="X120" i="8"/>
  <c r="AA99" i="9"/>
  <c r="AK158" i="9"/>
  <c r="U124" i="10"/>
  <c r="AN124" i="10" s="1"/>
  <c r="W112" i="10"/>
  <c r="AA73" i="10"/>
  <c r="V77" i="10"/>
  <c r="T99" i="8"/>
  <c r="AK123" i="10"/>
  <c r="P129" i="8"/>
  <c r="Q129" i="8" s="1"/>
  <c r="AA122" i="8"/>
  <c r="AA78" i="8"/>
  <c r="AK151" i="10"/>
  <c r="AK166" i="9"/>
  <c r="P159" i="10"/>
  <c r="Q159" i="10" s="1"/>
  <c r="U121" i="10"/>
  <c r="P131" i="10"/>
  <c r="Q131" i="10" s="1"/>
  <c r="W87" i="10"/>
  <c r="T64" i="11"/>
  <c r="AK64" i="11" s="1"/>
  <c r="X112" i="8"/>
  <c r="Y112" i="8" s="1"/>
  <c r="AK173" i="11"/>
  <c r="AK89" i="10"/>
  <c r="X78" i="11"/>
  <c r="Z78" i="11" s="1"/>
  <c r="AF159" i="9"/>
  <c r="AF132" i="11"/>
  <c r="U63" i="11"/>
  <c r="AC99" i="9"/>
  <c r="AG99" i="9" s="1"/>
  <c r="AF158" i="9"/>
  <c r="D120" i="10"/>
  <c r="AA112" i="10"/>
  <c r="AC73" i="10"/>
  <c r="AG73" i="10" s="1"/>
  <c r="AF157" i="11"/>
  <c r="AK174" i="9"/>
  <c r="W77" i="10"/>
  <c r="X99" i="10"/>
  <c r="T80" i="11"/>
  <c r="AF80" i="11" s="1"/>
  <c r="AK147" i="10"/>
  <c r="V105" i="9"/>
  <c r="D121" i="8"/>
  <c r="V115" i="10"/>
  <c r="AF135" i="10"/>
  <c r="AK138" i="8"/>
  <c r="AF176" i="9"/>
  <c r="AK182" i="11"/>
  <c r="AC78" i="8"/>
  <c r="AG78" i="8" s="1"/>
  <c r="AK117" i="10"/>
  <c r="T78" i="9"/>
  <c r="V80" i="8"/>
  <c r="T57" i="9"/>
  <c r="AK57" i="9" s="1"/>
  <c r="AK118" i="11"/>
  <c r="AD126" i="10"/>
  <c r="F126" i="10" s="1"/>
  <c r="T85" i="11"/>
  <c r="AK148" i="8"/>
  <c r="U108" i="10"/>
  <c r="V73" i="9"/>
  <c r="AK143" i="9"/>
  <c r="X89" i="10"/>
  <c r="Z89" i="10" s="1"/>
  <c r="T59" i="8"/>
  <c r="V86" i="11"/>
  <c r="W115" i="10"/>
  <c r="P133" i="11"/>
  <c r="Q133" i="11" s="1"/>
  <c r="AK159" i="11"/>
  <c r="AK150" i="9"/>
  <c r="AK140" i="9"/>
  <c r="V85" i="11"/>
  <c r="AF101" i="8"/>
  <c r="V121" i="10"/>
  <c r="AA87" i="10"/>
  <c r="V77" i="11"/>
  <c r="AK153" i="11"/>
  <c r="AK170" i="10"/>
  <c r="AK90" i="11"/>
  <c r="AC78" i="11"/>
  <c r="AG78" i="11" s="1"/>
  <c r="D125" i="10"/>
  <c r="AF144" i="8"/>
  <c r="AF154" i="10"/>
  <c r="T73" i="10"/>
  <c r="AD73" i="10" s="1"/>
  <c r="X99" i="8"/>
  <c r="Z99" i="8" s="1"/>
  <c r="AK106" i="11"/>
  <c r="AK162" i="9"/>
  <c r="T85" i="10"/>
  <c r="AK85" i="10" s="1"/>
  <c r="AA121" i="8"/>
  <c r="T106" i="9"/>
  <c r="X115" i="10"/>
  <c r="Y115" i="10" s="1"/>
  <c r="X110" i="8"/>
  <c r="AC117" i="10"/>
  <c r="AG117" i="10" s="1"/>
  <c r="AF164" i="9"/>
  <c r="AA61" i="10"/>
  <c r="K38" i="7"/>
  <c r="L38" i="7" s="1"/>
  <c r="X78" i="9"/>
  <c r="P173" i="10"/>
  <c r="Q173" i="10" s="1"/>
  <c r="D83" i="11"/>
  <c r="AF97" i="11"/>
  <c r="X85" i="11"/>
  <c r="B12" i="7"/>
  <c r="B13" i="7" s="1"/>
  <c r="AA48" i="9"/>
  <c r="AC48" i="9"/>
  <c r="AG48" i="9" s="1"/>
  <c r="AK105" i="11"/>
  <c r="AK157" i="9"/>
  <c r="AF104" i="11"/>
  <c r="AK156" i="10"/>
  <c r="U125" i="10"/>
  <c r="AN125" i="10" s="1"/>
  <c r="AK151" i="11"/>
  <c r="AF160" i="9"/>
  <c r="X120" i="10"/>
  <c r="V73" i="10"/>
  <c r="AF99" i="11"/>
  <c r="AA99" i="8"/>
  <c r="AK179" i="9"/>
  <c r="AK149" i="9"/>
  <c r="AC106" i="9"/>
  <c r="AG106" i="9" s="1"/>
  <c r="P40" i="7"/>
  <c r="AK141" i="10"/>
  <c r="W108" i="8"/>
  <c r="AK180" i="11"/>
  <c r="B10" i="5"/>
  <c r="B15" i="5" s="1"/>
  <c r="B16" i="5" s="1"/>
  <c r="F78" i="11"/>
  <c r="E78" i="11"/>
  <c r="F89" i="10"/>
  <c r="E89" i="10"/>
  <c r="AE112" i="8"/>
  <c r="X96" i="10"/>
  <c r="AC96" i="10"/>
  <c r="AG96" i="10" s="1"/>
  <c r="T96" i="10"/>
  <c r="AN96" i="11"/>
  <c r="AM96" i="11"/>
  <c r="AL96" i="11"/>
  <c r="AF96" i="11"/>
  <c r="AN49" i="9"/>
  <c r="AK43" i="10"/>
  <c r="AD43" i="10"/>
  <c r="AB43" i="10"/>
  <c r="AE43" i="11"/>
  <c r="Z43" i="11"/>
  <c r="Y43" i="11"/>
  <c r="J68" i="7"/>
  <c r="H68" i="7"/>
  <c r="I68" i="7" s="1"/>
  <c r="K68" i="7" s="1"/>
  <c r="L68" i="7" s="1"/>
  <c r="G68" i="7"/>
  <c r="F54" i="9"/>
  <c r="E54" i="9"/>
  <c r="Y143" i="10"/>
  <c r="AE143" i="10"/>
  <c r="Z143" i="10"/>
  <c r="F64" i="10"/>
  <c r="E64" i="10"/>
  <c r="AC62" i="8"/>
  <c r="AG62" i="8" s="1"/>
  <c r="AA62" i="8"/>
  <c r="AK94" i="10"/>
  <c r="AD94" i="10"/>
  <c r="AB94" i="10"/>
  <c r="AN124" i="11"/>
  <c r="AM124" i="11"/>
  <c r="AL124" i="11"/>
  <c r="AF124" i="11"/>
  <c r="AN133" i="10"/>
  <c r="AM133" i="10"/>
  <c r="AL133" i="10"/>
  <c r="AF133" i="10"/>
  <c r="Y121" i="11"/>
  <c r="AE121" i="11"/>
  <c r="Z121" i="11"/>
  <c r="AK107" i="11"/>
  <c r="P107" i="11"/>
  <c r="Q107" i="11" s="1"/>
  <c r="AN142" i="8"/>
  <c r="AM142" i="8"/>
  <c r="AL142" i="8"/>
  <c r="AF142" i="8"/>
  <c r="H80" i="10"/>
  <c r="G80" i="10"/>
  <c r="E80" i="10"/>
  <c r="F80" i="10"/>
  <c r="AL151" i="11"/>
  <c r="AN151" i="11"/>
  <c r="AM151" i="11"/>
  <c r="AF151" i="11"/>
  <c r="AC97" i="8"/>
  <c r="AG97" i="8" s="1"/>
  <c r="AA97" i="8"/>
  <c r="AE88" i="11"/>
  <c r="Z88" i="11"/>
  <c r="Y88" i="11"/>
  <c r="Y89" i="10"/>
  <c r="AE89" i="10"/>
  <c r="AA118" i="8"/>
  <c r="AC118" i="8"/>
  <c r="AG118" i="8" s="1"/>
  <c r="AN168" i="10"/>
  <c r="AM168" i="10"/>
  <c r="AL168" i="10"/>
  <c r="AF168" i="10"/>
  <c r="AK57" i="10"/>
  <c r="AD57" i="10"/>
  <c r="X56" i="11"/>
  <c r="V56" i="11"/>
  <c r="AK142" i="9"/>
  <c r="Z117" i="9"/>
  <c r="Y117" i="9"/>
  <c r="AE117" i="9"/>
  <c r="AN161" i="10"/>
  <c r="AM161" i="10"/>
  <c r="AL161" i="10"/>
  <c r="AF161" i="10"/>
  <c r="AM165" i="10"/>
  <c r="AN165" i="10"/>
  <c r="AL165" i="10"/>
  <c r="AK75" i="11"/>
  <c r="AL124" i="10"/>
  <c r="AF124" i="10"/>
  <c r="F87" i="11"/>
  <c r="E87" i="11"/>
  <c r="AN182" i="10"/>
  <c r="AM182" i="10"/>
  <c r="AL182" i="10"/>
  <c r="AF182" i="10"/>
  <c r="AM173" i="9"/>
  <c r="AN173" i="9"/>
  <c r="AL173" i="9"/>
  <c r="AL89" i="11"/>
  <c r="AN89" i="11"/>
  <c r="AM89" i="11"/>
  <c r="AF89" i="11"/>
  <c r="AF161" i="8"/>
  <c r="AK161" i="8"/>
  <c r="AN162" i="11"/>
  <c r="AM162" i="11"/>
  <c r="AL162" i="11"/>
  <c r="AF162" i="11"/>
  <c r="AN138" i="10"/>
  <c r="AM138" i="10"/>
  <c r="AL138" i="10"/>
  <c r="AF138" i="10"/>
  <c r="AM131" i="8"/>
  <c r="AL131" i="8"/>
  <c r="AN131" i="8"/>
  <c r="AF131" i="8"/>
  <c r="AC118" i="9"/>
  <c r="AG118" i="9" s="1"/>
  <c r="AA118" i="9"/>
  <c r="AN105" i="11"/>
  <c r="AM105" i="11"/>
  <c r="AL105" i="11"/>
  <c r="AF105" i="11"/>
  <c r="AE77" i="11"/>
  <c r="Z77" i="11"/>
  <c r="Y77" i="11"/>
  <c r="AD87" i="9"/>
  <c r="AB87" i="9"/>
  <c r="Z170" i="10"/>
  <c r="Y170" i="10"/>
  <c r="AE170" i="10"/>
  <c r="AK121" i="11"/>
  <c r="P121" i="11"/>
  <c r="Q121" i="11" s="1"/>
  <c r="AM80" i="10"/>
  <c r="AL80" i="10"/>
  <c r="AN80" i="10"/>
  <c r="AF80" i="10"/>
  <c r="H39" i="7"/>
  <c r="I39" i="7" s="1"/>
  <c r="G39" i="7"/>
  <c r="J39" i="7"/>
  <c r="AK178" i="8"/>
  <c r="AF178" i="8"/>
  <c r="F99" i="9"/>
  <c r="E99" i="9"/>
  <c r="F103" i="9"/>
  <c r="E103" i="9"/>
  <c r="V56" i="9"/>
  <c r="U56" i="9"/>
  <c r="AC56" i="9"/>
  <c r="AG56" i="9" s="1"/>
  <c r="AA56" i="9"/>
  <c r="X56" i="9"/>
  <c r="W56" i="9"/>
  <c r="AN56" i="11"/>
  <c r="AK87" i="9"/>
  <c r="AL183" i="11"/>
  <c r="AN183" i="11"/>
  <c r="AM183" i="11"/>
  <c r="AF183" i="11"/>
  <c r="Z75" i="11"/>
  <c r="Y75" i="11"/>
  <c r="AE75" i="11"/>
  <c r="AN136" i="10"/>
  <c r="AM136" i="10"/>
  <c r="AL136" i="10"/>
  <c r="AF136" i="10"/>
  <c r="F125" i="8"/>
  <c r="E125" i="8"/>
  <c r="AN167" i="11"/>
  <c r="AM167" i="11"/>
  <c r="AL167" i="11"/>
  <c r="AF167" i="11"/>
  <c r="AK154" i="8"/>
  <c r="P154" i="8"/>
  <c r="Q154" i="8" s="1"/>
  <c r="Z143" i="9"/>
  <c r="Y143" i="9"/>
  <c r="AE143" i="9"/>
  <c r="AL81" i="11"/>
  <c r="AN81" i="11"/>
  <c r="W56" i="11"/>
  <c r="AE66" i="8"/>
  <c r="Z66" i="8"/>
  <c r="Y66" i="8"/>
  <c r="AE142" i="9"/>
  <c r="Z142" i="9"/>
  <c r="Y142" i="9"/>
  <c r="AE43" i="10"/>
  <c r="Z43" i="10"/>
  <c r="Y43" i="10"/>
  <c r="AC73" i="11"/>
  <c r="AG73" i="11" s="1"/>
  <c r="AA73" i="11"/>
  <c r="U73" i="11"/>
  <c r="X73" i="11"/>
  <c r="V73" i="11"/>
  <c r="T73" i="11"/>
  <c r="AN168" i="9"/>
  <c r="AM168" i="9"/>
  <c r="AL168" i="9"/>
  <c r="AF168" i="9"/>
  <c r="AM73" i="10"/>
  <c r="AF133" i="8"/>
  <c r="AK133" i="8"/>
  <c r="Z158" i="8"/>
  <c r="Y158" i="8"/>
  <c r="AE158" i="8"/>
  <c r="Z75" i="9"/>
  <c r="Y75" i="9"/>
  <c r="AC62" i="10"/>
  <c r="AG62" i="10" s="1"/>
  <c r="AA62" i="10"/>
  <c r="AN157" i="9"/>
  <c r="AM157" i="9"/>
  <c r="AL157" i="9"/>
  <c r="AF157" i="9"/>
  <c r="T50" i="8"/>
  <c r="AC50" i="8"/>
  <c r="AG50" i="8" s="1"/>
  <c r="AA50" i="8"/>
  <c r="AF128" i="8"/>
  <c r="AK128" i="8"/>
  <c r="AD61" i="8"/>
  <c r="AK61" i="8"/>
  <c r="AN136" i="11"/>
  <c r="AM136" i="11"/>
  <c r="AL136" i="11"/>
  <c r="AF136" i="11"/>
  <c r="AE54" i="10"/>
  <c r="AN117" i="11"/>
  <c r="AM117" i="11"/>
  <c r="AL117" i="11"/>
  <c r="AA96" i="10"/>
  <c r="AC74" i="8"/>
  <c r="AG74" i="8" s="1"/>
  <c r="AA74" i="8"/>
  <c r="AD125" i="10"/>
  <c r="AK125" i="10"/>
  <c r="F43" i="11"/>
  <c r="J46" i="7"/>
  <c r="H46" i="7"/>
  <c r="I46" i="7" s="1"/>
  <c r="G46" i="7"/>
  <c r="AN170" i="9"/>
  <c r="AL170" i="9"/>
  <c r="AM170" i="9"/>
  <c r="AF170" i="9"/>
  <c r="Y99" i="8"/>
  <c r="AE99" i="8"/>
  <c r="AM59" i="11"/>
  <c r="AN59" i="11"/>
  <c r="AL59" i="11"/>
  <c r="J50" i="7"/>
  <c r="H50" i="7"/>
  <c r="I50" i="7" s="1"/>
  <c r="G50" i="7"/>
  <c r="X50" i="8"/>
  <c r="AE57" i="10"/>
  <c r="Z57" i="10"/>
  <c r="Y57" i="10"/>
  <c r="AN169" i="11"/>
  <c r="AM169" i="11"/>
  <c r="AL169" i="11"/>
  <c r="AF169" i="11"/>
  <c r="AC123" i="9"/>
  <c r="AG123" i="9" s="1"/>
  <c r="W123" i="9"/>
  <c r="U123" i="9"/>
  <c r="P123" i="9"/>
  <c r="Q123" i="9" s="1"/>
  <c r="D123" i="9"/>
  <c r="V123" i="9"/>
  <c r="AF117" i="11"/>
  <c r="P159" i="9"/>
  <c r="Q159" i="9" s="1"/>
  <c r="AM142" i="9"/>
  <c r="AL142" i="9"/>
  <c r="AN142" i="9"/>
  <c r="AF142" i="9"/>
  <c r="P155" i="9"/>
  <c r="Q155" i="9" s="1"/>
  <c r="AK155" i="9"/>
  <c r="AC109" i="8"/>
  <c r="AG109" i="8" s="1"/>
  <c r="AA109" i="8"/>
  <c r="AD123" i="9"/>
  <c r="AK123" i="9"/>
  <c r="Z133" i="10"/>
  <c r="Y133" i="10"/>
  <c r="AE133" i="10"/>
  <c r="AA53" i="11"/>
  <c r="Z180" i="9"/>
  <c r="Y180" i="9"/>
  <c r="AE180" i="9"/>
  <c r="AF151" i="9"/>
  <c r="AK151" i="9"/>
  <c r="F123" i="10"/>
  <c r="E123" i="10"/>
  <c r="Z98" i="9"/>
  <c r="Y98" i="9"/>
  <c r="AE98" i="9"/>
  <c r="AL174" i="8"/>
  <c r="AM174" i="8"/>
  <c r="AN174" i="8"/>
  <c r="AF174" i="8"/>
  <c r="AK146" i="9"/>
  <c r="P146" i="9"/>
  <c r="Q146" i="9" s="1"/>
  <c r="Z45" i="11"/>
  <c r="Y45" i="11"/>
  <c r="AE45" i="11"/>
  <c r="AE80" i="10"/>
  <c r="Z80" i="10"/>
  <c r="Y80" i="10"/>
  <c r="AE99" i="9"/>
  <c r="Z99" i="9"/>
  <c r="Y99" i="9"/>
  <c r="AD126" i="8"/>
  <c r="AA84" i="10"/>
  <c r="V84" i="10"/>
  <c r="U84" i="10"/>
  <c r="AC84" i="10"/>
  <c r="AG84" i="10" s="1"/>
  <c r="X84" i="10"/>
  <c r="AN91" i="11"/>
  <c r="AM91" i="11"/>
  <c r="AL91" i="11"/>
  <c r="AF91" i="11"/>
  <c r="AE105" i="10"/>
  <c r="Z105" i="10"/>
  <c r="Y105" i="10"/>
  <c r="Z87" i="10"/>
  <c r="Y87" i="10"/>
  <c r="AE87" i="10"/>
  <c r="F75" i="11"/>
  <c r="E75" i="11"/>
  <c r="AC106" i="8"/>
  <c r="AG106" i="8" s="1"/>
  <c r="X106" i="8"/>
  <c r="AA106" i="8"/>
  <c r="T106" i="8"/>
  <c r="AL164" i="10"/>
  <c r="AN164" i="10"/>
  <c r="AM164" i="10"/>
  <c r="AF164" i="10"/>
  <c r="AD117" i="9"/>
  <c r="AK117" i="9"/>
  <c r="AB117" i="9"/>
  <c r="AN153" i="10"/>
  <c r="AM153" i="10"/>
  <c r="AL153" i="10"/>
  <c r="AF153" i="10"/>
  <c r="Z156" i="10"/>
  <c r="Y156" i="10"/>
  <c r="AE156" i="10"/>
  <c r="AN63" i="11"/>
  <c r="AB117" i="8"/>
  <c r="T64" i="9"/>
  <c r="X64" i="9"/>
  <c r="AA64" i="9"/>
  <c r="AL92" i="11"/>
  <c r="AN92" i="11"/>
  <c r="AM92" i="11"/>
  <c r="AF92" i="11"/>
  <c r="AA56" i="11"/>
  <c r="X64" i="11"/>
  <c r="P155" i="10"/>
  <c r="Q155" i="10" s="1"/>
  <c r="AN173" i="11"/>
  <c r="AM173" i="11"/>
  <c r="AL173" i="11"/>
  <c r="AF173" i="11"/>
  <c r="AK45" i="11"/>
  <c r="AD45" i="11"/>
  <c r="AB80" i="10"/>
  <c r="AK181" i="11"/>
  <c r="AN149" i="8"/>
  <c r="AM149" i="8"/>
  <c r="AL149" i="8"/>
  <c r="AF149" i="8"/>
  <c r="AE73" i="10"/>
  <c r="Z73" i="10"/>
  <c r="Y73" i="10"/>
  <c r="AE82" i="8"/>
  <c r="Z82" i="8"/>
  <c r="Y82" i="8"/>
  <c r="AD61" i="9"/>
  <c r="AK61" i="9"/>
  <c r="AM133" i="9"/>
  <c r="AL133" i="9"/>
  <c r="AN133" i="9"/>
  <c r="AN175" i="9"/>
  <c r="AM175" i="9"/>
  <c r="AL175" i="9"/>
  <c r="AF175" i="9"/>
  <c r="AD81" i="11"/>
  <c r="AB81" i="11"/>
  <c r="AK81" i="11"/>
  <c r="AK80" i="10"/>
  <c r="AN123" i="11"/>
  <c r="AL123" i="11"/>
  <c r="AM123" i="11"/>
  <c r="AF123" i="11"/>
  <c r="Z49" i="11"/>
  <c r="Y49" i="11"/>
  <c r="AF150" i="10"/>
  <c r="AK150" i="10"/>
  <c r="F73" i="10"/>
  <c r="H73" i="10"/>
  <c r="G73" i="10"/>
  <c r="E73" i="10"/>
  <c r="AN91" i="8"/>
  <c r="AN131" i="10"/>
  <c r="AM131" i="10"/>
  <c r="AL131" i="10"/>
  <c r="AF131" i="10"/>
  <c r="AK136" i="11"/>
  <c r="AC87" i="9"/>
  <c r="AG87" i="9" s="1"/>
  <c r="AA87" i="9"/>
  <c r="X87" i="9"/>
  <c r="V87" i="9"/>
  <c r="U87" i="9"/>
  <c r="AE123" i="11"/>
  <c r="Z123" i="11"/>
  <c r="Y123" i="11"/>
  <c r="AA111" i="8"/>
  <c r="AC111" i="8"/>
  <c r="AG111" i="8" s="1"/>
  <c r="T71" i="10"/>
  <c r="X71" i="10"/>
  <c r="AC71" i="10"/>
  <c r="AG71" i="10" s="1"/>
  <c r="AA71" i="10"/>
  <c r="AE137" i="11"/>
  <c r="Z137" i="11"/>
  <c r="Y137" i="11"/>
  <c r="AD85" i="11"/>
  <c r="AB85" i="11"/>
  <c r="Y128" i="11"/>
  <c r="AE128" i="11"/>
  <c r="Z128" i="11"/>
  <c r="AN49" i="11"/>
  <c r="AN165" i="8"/>
  <c r="AM165" i="8"/>
  <c r="AL165" i="8"/>
  <c r="Z120" i="8"/>
  <c r="Y120" i="8"/>
  <c r="AE120" i="8"/>
  <c r="Z178" i="8"/>
  <c r="Y178" i="8"/>
  <c r="AE178" i="8"/>
  <c r="K5" i="9"/>
  <c r="K12" i="9" s="1"/>
  <c r="K5" i="8"/>
  <c r="K12" i="8" s="1"/>
  <c r="K5" i="11"/>
  <c r="K12" i="11" s="1"/>
  <c r="AK177" i="8"/>
  <c r="J48" i="7"/>
  <c r="H48" i="7"/>
  <c r="I48" i="7" s="1"/>
  <c r="G48" i="7"/>
  <c r="AE54" i="9"/>
  <c r="Z54" i="9"/>
  <c r="Y54" i="9"/>
  <c r="P177" i="10"/>
  <c r="Q177" i="10" s="1"/>
  <c r="Z112" i="10"/>
  <c r="AE112" i="10"/>
  <c r="Y112" i="10"/>
  <c r="Z87" i="11"/>
  <c r="Y87" i="11"/>
  <c r="AE87" i="11"/>
  <c r="AK125" i="8"/>
  <c r="P62" i="7"/>
  <c r="Y80" i="11"/>
  <c r="AE80" i="11"/>
  <c r="Z80" i="11"/>
  <c r="AN167" i="8"/>
  <c r="AM167" i="8"/>
  <c r="AL167" i="8"/>
  <c r="AN140" i="11"/>
  <c r="AM140" i="11"/>
  <c r="AL140" i="11"/>
  <c r="AB80" i="9"/>
  <c r="AK80" i="9"/>
  <c r="AC111" i="10"/>
  <c r="AG111" i="10" s="1"/>
  <c r="AN180" i="8"/>
  <c r="AM180" i="8"/>
  <c r="AL180" i="8"/>
  <c r="AF180" i="8"/>
  <c r="AN172" i="11"/>
  <c r="AM172" i="11"/>
  <c r="AL172" i="11"/>
  <c r="AF172" i="11"/>
  <c r="W59" i="11"/>
  <c r="X59" i="11"/>
  <c r="V59" i="11"/>
  <c r="AC59" i="11"/>
  <c r="AG59" i="11" s="1"/>
  <c r="AC63" i="8"/>
  <c r="AG63" i="8" s="1"/>
  <c r="AA63" i="8"/>
  <c r="V63" i="8"/>
  <c r="Y142" i="10"/>
  <c r="Z142" i="10"/>
  <c r="AE142" i="10"/>
  <c r="AD78" i="10"/>
  <c r="AB78" i="10"/>
  <c r="AK78" i="10"/>
  <c r="AM129" i="8"/>
  <c r="AN129" i="8"/>
  <c r="AL129" i="8"/>
  <c r="AF129" i="8"/>
  <c r="AC46" i="9"/>
  <c r="AG46" i="9" s="1"/>
  <c r="AA46" i="9"/>
  <c r="V84" i="11"/>
  <c r="T84" i="11"/>
  <c r="U84" i="11"/>
  <c r="D84" i="11"/>
  <c r="P84" i="11"/>
  <c r="Q84" i="11" s="1"/>
  <c r="AK61" i="10"/>
  <c r="AD61" i="10"/>
  <c r="AK110" i="11"/>
  <c r="H108" i="8"/>
  <c r="F108" i="8"/>
  <c r="E108" i="8"/>
  <c r="AE84" i="9"/>
  <c r="Y84" i="9"/>
  <c r="Z84" i="9"/>
  <c r="AC94" i="8"/>
  <c r="AG94" i="8" s="1"/>
  <c r="V94" i="8"/>
  <c r="AA94" i="8"/>
  <c r="U94" i="8"/>
  <c r="T94" i="8"/>
  <c r="X94" i="8"/>
  <c r="W94" i="8"/>
  <c r="AE158" i="9"/>
  <c r="Z158" i="9"/>
  <c r="Y158" i="9"/>
  <c r="AK120" i="10"/>
  <c r="AE120" i="10"/>
  <c r="Z120" i="10"/>
  <c r="Y120" i="10"/>
  <c r="AN113" i="11"/>
  <c r="AM113" i="11"/>
  <c r="AL113" i="11"/>
  <c r="P67" i="7"/>
  <c r="AL127" i="10"/>
  <c r="AN127" i="10"/>
  <c r="P106" i="11"/>
  <c r="Q106" i="11" s="1"/>
  <c r="AM175" i="10"/>
  <c r="AL175" i="10"/>
  <c r="AN175" i="10"/>
  <c r="AF175" i="10"/>
  <c r="AE140" i="11"/>
  <c r="Z140" i="11"/>
  <c r="Y140" i="11"/>
  <c r="AK168" i="8"/>
  <c r="P168" i="8"/>
  <c r="Q168" i="8" s="1"/>
  <c r="AC115" i="8"/>
  <c r="AG115" i="8" s="1"/>
  <c r="AA115" i="8"/>
  <c r="P42" i="7"/>
  <c r="AN149" i="9"/>
  <c r="AL149" i="9"/>
  <c r="AM149" i="9"/>
  <c r="AF149" i="9"/>
  <c r="AE152" i="9"/>
  <c r="Y152" i="9"/>
  <c r="Z152" i="9"/>
  <c r="AC92" i="8"/>
  <c r="AG92" i="8" s="1"/>
  <c r="AN134" i="8"/>
  <c r="AM134" i="8"/>
  <c r="AL134" i="8"/>
  <c r="AF134" i="8"/>
  <c r="AC55" i="11"/>
  <c r="AG55" i="11" s="1"/>
  <c r="AA55" i="11"/>
  <c r="AN154" i="8"/>
  <c r="AM154" i="8"/>
  <c r="AL154" i="8"/>
  <c r="AF154" i="8"/>
  <c r="AM163" i="11"/>
  <c r="AN163" i="11"/>
  <c r="AL163" i="11"/>
  <c r="AF163" i="11"/>
  <c r="AE171" i="9"/>
  <c r="Z171" i="9"/>
  <c r="Y171" i="9"/>
  <c r="H101" i="10"/>
  <c r="G101" i="10"/>
  <c r="F101" i="10"/>
  <c r="E101" i="10"/>
  <c r="AN128" i="8"/>
  <c r="AL128" i="8"/>
  <c r="AM128" i="8"/>
  <c r="AC88" i="8"/>
  <c r="AG88" i="8" s="1"/>
  <c r="AM182" i="9"/>
  <c r="AL182" i="9"/>
  <c r="AN182" i="9"/>
  <c r="AN166" i="9"/>
  <c r="AM166" i="9"/>
  <c r="AL166" i="9"/>
  <c r="AE166" i="9"/>
  <c r="Z166" i="9"/>
  <c r="Y166" i="9"/>
  <c r="Z168" i="10"/>
  <c r="AE168" i="10"/>
  <c r="Y168" i="10"/>
  <c r="AN159" i="10"/>
  <c r="AM159" i="10"/>
  <c r="AL159" i="10"/>
  <c r="U94" i="10"/>
  <c r="AK87" i="10"/>
  <c r="AE92" i="11"/>
  <c r="Z92" i="11"/>
  <c r="Y92" i="11"/>
  <c r="AC81" i="11"/>
  <c r="AG81" i="11" s="1"/>
  <c r="U77" i="11"/>
  <c r="AL180" i="9"/>
  <c r="AN180" i="9"/>
  <c r="AM180" i="9"/>
  <c r="AC97" i="9"/>
  <c r="AG97" i="9" s="1"/>
  <c r="K63" i="7"/>
  <c r="L63" i="7" s="1"/>
  <c r="AN170" i="10"/>
  <c r="AM170" i="10"/>
  <c r="AL170" i="10"/>
  <c r="AE155" i="11"/>
  <c r="Z155" i="11"/>
  <c r="Y155" i="11"/>
  <c r="AN177" i="9"/>
  <c r="AM177" i="9"/>
  <c r="AL177" i="9"/>
  <c r="U45" i="11"/>
  <c r="AE89" i="11"/>
  <c r="Z89" i="11"/>
  <c r="Y89" i="11"/>
  <c r="AC114" i="8"/>
  <c r="AG114" i="8" s="1"/>
  <c r="AA109" i="9"/>
  <c r="AC50" i="9"/>
  <c r="AG50" i="9" s="1"/>
  <c r="AA43" i="10"/>
  <c r="AE151" i="11"/>
  <c r="Z151" i="11"/>
  <c r="Y151" i="11"/>
  <c r="AK43" i="11"/>
  <c r="U126" i="8"/>
  <c r="K61" i="7"/>
  <c r="L61" i="7" s="1"/>
  <c r="AE147" i="8"/>
  <c r="Z147" i="8"/>
  <c r="Y147" i="8"/>
  <c r="V123" i="8"/>
  <c r="F121" i="9"/>
  <c r="W127" i="9"/>
  <c r="V124" i="10"/>
  <c r="U120" i="10"/>
  <c r="AC60" i="10"/>
  <c r="AG60" i="10" s="1"/>
  <c r="W70" i="10"/>
  <c r="Z99" i="11"/>
  <c r="Y99" i="11"/>
  <c r="AE99" i="11"/>
  <c r="V87" i="11"/>
  <c r="P87" i="11"/>
  <c r="Q87" i="11" s="1"/>
  <c r="AN177" i="11"/>
  <c r="AM177" i="11"/>
  <c r="AL177" i="11"/>
  <c r="X77" i="10"/>
  <c r="P182" i="10"/>
  <c r="Q182" i="10" s="1"/>
  <c r="S28" i="7"/>
  <c r="B21" i="7" s="1"/>
  <c r="B20" i="7"/>
  <c r="AL133" i="8"/>
  <c r="AN133" i="8"/>
  <c r="AM133" i="8"/>
  <c r="V87" i="8"/>
  <c r="AA107" i="9"/>
  <c r="AA119" i="10"/>
  <c r="AE131" i="11"/>
  <c r="Z131" i="11"/>
  <c r="Y131" i="11"/>
  <c r="AF167" i="8"/>
  <c r="U115" i="8"/>
  <c r="X73" i="8"/>
  <c r="V73" i="8"/>
  <c r="AC73" i="8"/>
  <c r="AG73" i="8" s="1"/>
  <c r="AA73" i="8"/>
  <c r="AC97" i="10"/>
  <c r="AG97" i="10" s="1"/>
  <c r="AA97" i="10"/>
  <c r="Z172" i="11"/>
  <c r="Y172" i="11"/>
  <c r="AE172" i="11"/>
  <c r="AC78" i="10"/>
  <c r="AG78" i="10" s="1"/>
  <c r="X78" i="10"/>
  <c r="AA78" i="10"/>
  <c r="AE129" i="8"/>
  <c r="Y129" i="8"/>
  <c r="Z129" i="8"/>
  <c r="W105" i="10"/>
  <c r="X75" i="8"/>
  <c r="AA75" i="8"/>
  <c r="AN70" i="9"/>
  <c r="AN148" i="11"/>
  <c r="AM148" i="11"/>
  <c r="AL148" i="11"/>
  <c r="AF148" i="11"/>
  <c r="AK179" i="8"/>
  <c r="W84" i="8"/>
  <c r="U84" i="8"/>
  <c r="AC84" i="8"/>
  <c r="AG84" i="8" s="1"/>
  <c r="AA84" i="8"/>
  <c r="AD106" i="10"/>
  <c r="AB106" i="10"/>
  <c r="AK106" i="10"/>
  <c r="AN169" i="8"/>
  <c r="AM169" i="8"/>
  <c r="AL169" i="8"/>
  <c r="AF169" i="8"/>
  <c r="AE141" i="8"/>
  <c r="Z141" i="8"/>
  <c r="Y141" i="8"/>
  <c r="AE63" i="10"/>
  <c r="Z63" i="10"/>
  <c r="Y63" i="10"/>
  <c r="Z47" i="11"/>
  <c r="Y47" i="11"/>
  <c r="AN63" i="9"/>
  <c r="AN101" i="10"/>
  <c r="AM101" i="10"/>
  <c r="AL101" i="10"/>
  <c r="AF101" i="10"/>
  <c r="P50" i="7"/>
  <c r="AC116" i="8"/>
  <c r="AG116" i="8" s="1"/>
  <c r="X61" i="8"/>
  <c r="AE182" i="9"/>
  <c r="Y182" i="9"/>
  <c r="Z182" i="9"/>
  <c r="AC121" i="10"/>
  <c r="AG121" i="10" s="1"/>
  <c r="W94" i="10"/>
  <c r="AC69" i="10"/>
  <c r="AG69" i="10" s="1"/>
  <c r="AM153" i="11"/>
  <c r="AN153" i="11"/>
  <c r="AL153" i="11"/>
  <c r="Y153" i="11"/>
  <c r="AE153" i="11"/>
  <c r="Z153" i="11"/>
  <c r="AE155" i="10"/>
  <c r="Z155" i="10"/>
  <c r="Y155" i="10"/>
  <c r="W45" i="10"/>
  <c r="AD71" i="9"/>
  <c r="AC66" i="8"/>
  <c r="AG66" i="8" s="1"/>
  <c r="AM161" i="8"/>
  <c r="AN161" i="8"/>
  <c r="AL161" i="8"/>
  <c r="Z145" i="8"/>
  <c r="Y145" i="8"/>
  <c r="AE145" i="8"/>
  <c r="AE159" i="9"/>
  <c r="Z159" i="9"/>
  <c r="Y159" i="9"/>
  <c r="X50" i="9"/>
  <c r="V80" i="10"/>
  <c r="V125" i="10"/>
  <c r="AN181" i="11"/>
  <c r="AM181" i="11"/>
  <c r="AL181" i="11"/>
  <c r="AE165" i="8"/>
  <c r="Z165" i="8"/>
  <c r="Y165" i="8"/>
  <c r="W126" i="8"/>
  <c r="P68" i="7"/>
  <c r="AC79" i="10"/>
  <c r="AG79" i="10" s="1"/>
  <c r="AM177" i="8"/>
  <c r="AL177" i="8"/>
  <c r="AN177" i="8"/>
  <c r="AN52" i="9"/>
  <c r="AM52" i="9"/>
  <c r="AL52" i="9"/>
  <c r="AF52" i="9"/>
  <c r="AN136" i="9"/>
  <c r="AL136" i="9"/>
  <c r="AM136" i="9"/>
  <c r="AF136" i="9"/>
  <c r="X124" i="10"/>
  <c r="AN157" i="11"/>
  <c r="AM157" i="11"/>
  <c r="AL157" i="11"/>
  <c r="AE109" i="11"/>
  <c r="Z109" i="11"/>
  <c r="Y109" i="11"/>
  <c r="AN109" i="11"/>
  <c r="AM109" i="11"/>
  <c r="AL109" i="11"/>
  <c r="AN168" i="11"/>
  <c r="AM168" i="11"/>
  <c r="AL168" i="11"/>
  <c r="AA85" i="9"/>
  <c r="W87" i="8"/>
  <c r="AN123" i="10"/>
  <c r="AL123" i="10"/>
  <c r="AN131" i="11"/>
  <c r="AL131" i="11"/>
  <c r="AM131" i="11"/>
  <c r="AM106" i="11"/>
  <c r="AN106" i="11"/>
  <c r="AL106" i="11"/>
  <c r="P108" i="11"/>
  <c r="Q108" i="11" s="1"/>
  <c r="AN80" i="9"/>
  <c r="AM80" i="9"/>
  <c r="AL80" i="9"/>
  <c r="AN66" i="10"/>
  <c r="AM66" i="10"/>
  <c r="AL66" i="10"/>
  <c r="AF66" i="10"/>
  <c r="AN139" i="8"/>
  <c r="AM139" i="8"/>
  <c r="AL139" i="8"/>
  <c r="AF139" i="8"/>
  <c r="V115" i="8"/>
  <c r="H42" i="7"/>
  <c r="I42" i="7" s="1"/>
  <c r="G42" i="7"/>
  <c r="J42" i="7"/>
  <c r="T73" i="8"/>
  <c r="AC114" i="9"/>
  <c r="AG114" i="9" s="1"/>
  <c r="AA114" i="9"/>
  <c r="Y181" i="9"/>
  <c r="AE181" i="9"/>
  <c r="Z181" i="9"/>
  <c r="AK66" i="11"/>
  <c r="AD121" i="8"/>
  <c r="AK121" i="8"/>
  <c r="AE68" i="11"/>
  <c r="Z68" i="11"/>
  <c r="Y68" i="11"/>
  <c r="Y82" i="9"/>
  <c r="Z82" i="9"/>
  <c r="AE82" i="9"/>
  <c r="T92" i="8"/>
  <c r="AN126" i="9"/>
  <c r="AL126" i="9"/>
  <c r="AE172" i="10"/>
  <c r="Z172" i="10"/>
  <c r="Y172" i="10"/>
  <c r="AC81" i="10"/>
  <c r="AG81" i="10" s="1"/>
  <c r="Z93" i="11"/>
  <c r="Y93" i="11"/>
  <c r="AE93" i="11"/>
  <c r="AE75" i="10"/>
  <c r="Z75" i="10"/>
  <c r="Y75" i="10"/>
  <c r="F117" i="10"/>
  <c r="E117" i="10"/>
  <c r="AC44" i="10"/>
  <c r="AG44" i="10" s="1"/>
  <c r="AA44" i="10"/>
  <c r="W84" i="11"/>
  <c r="AN110" i="11"/>
  <c r="AM110" i="11"/>
  <c r="AL110" i="11"/>
  <c r="AF110" i="11"/>
  <c r="AE140" i="8"/>
  <c r="Z140" i="8"/>
  <c r="Y140" i="8"/>
  <c r="T47" i="8"/>
  <c r="AA47" i="8"/>
  <c r="AC47" i="8"/>
  <c r="AG47" i="8" s="1"/>
  <c r="X47" i="8"/>
  <c r="AE57" i="11"/>
  <c r="Z57" i="11"/>
  <c r="Y57" i="11"/>
  <c r="Z126" i="8"/>
  <c r="AE126" i="8"/>
  <c r="Y126" i="8"/>
  <c r="C31" i="5"/>
  <c r="C27" i="5"/>
  <c r="C23" i="5"/>
  <c r="C35" i="5"/>
  <c r="C47" i="5"/>
  <c r="C43" i="5"/>
  <c r="C39" i="5"/>
  <c r="C38" i="5"/>
  <c r="C34" i="5"/>
  <c r="C30" i="5"/>
  <c r="C26" i="5"/>
  <c r="C22" i="5"/>
  <c r="C42" i="5"/>
  <c r="C46" i="5"/>
  <c r="C21" i="5"/>
  <c r="C45" i="5"/>
  <c r="C41" i="5"/>
  <c r="C37" i="5"/>
  <c r="C33" i="5"/>
  <c r="C29" i="5"/>
  <c r="C25" i="5"/>
  <c r="C20" i="5"/>
  <c r="C28" i="5"/>
  <c r="C44" i="5"/>
  <c r="C36" i="5"/>
  <c r="C40" i="5"/>
  <c r="C32" i="5"/>
  <c r="C24" i="5"/>
  <c r="AE149" i="8"/>
  <c r="Z149" i="8"/>
  <c r="Y149" i="8"/>
  <c r="Z170" i="9"/>
  <c r="AE170" i="9"/>
  <c r="Y170" i="9"/>
  <c r="AE145" i="9"/>
  <c r="Y145" i="9"/>
  <c r="Z145" i="9"/>
  <c r="Z70" i="10"/>
  <c r="Y70" i="10"/>
  <c r="AE70" i="10"/>
  <c r="AE157" i="11"/>
  <c r="Z157" i="11"/>
  <c r="Y157" i="11"/>
  <c r="G28" i="7"/>
  <c r="H28" i="7"/>
  <c r="I28" i="7" s="1"/>
  <c r="J28" i="7"/>
  <c r="AE163" i="8"/>
  <c r="Z163" i="8"/>
  <c r="Y163" i="8"/>
  <c r="AE87" i="8"/>
  <c r="Z87" i="8"/>
  <c r="Y87" i="8"/>
  <c r="J62" i="7"/>
  <c r="H62" i="7"/>
  <c r="I62" i="7" s="1"/>
  <c r="G62" i="7"/>
  <c r="AL180" i="10"/>
  <c r="AN180" i="10"/>
  <c r="AM180" i="10"/>
  <c r="AN52" i="11"/>
  <c r="AL52" i="11"/>
  <c r="AM52" i="11"/>
  <c r="AF52" i="11"/>
  <c r="AN147" i="10"/>
  <c r="AM147" i="10"/>
  <c r="AL147" i="10"/>
  <c r="X115" i="8"/>
  <c r="AN148" i="10"/>
  <c r="AL148" i="10"/>
  <c r="AM148" i="10"/>
  <c r="AF148" i="10"/>
  <c r="AE85" i="10"/>
  <c r="Z85" i="10"/>
  <c r="Y85" i="10"/>
  <c r="AN121" i="8"/>
  <c r="AL121" i="8"/>
  <c r="AK122" i="10"/>
  <c r="AD122" i="10"/>
  <c r="AK93" i="11"/>
  <c r="AF93" i="11"/>
  <c r="AK75" i="8"/>
  <c r="AD75" i="8"/>
  <c r="AB73" i="9"/>
  <c r="AD73" i="9"/>
  <c r="AK73" i="9"/>
  <c r="AN56" i="10"/>
  <c r="AN159" i="11"/>
  <c r="AM159" i="11"/>
  <c r="AL159" i="11"/>
  <c r="AF159" i="11"/>
  <c r="AN82" i="11"/>
  <c r="E47" i="10"/>
  <c r="AN132" i="10"/>
  <c r="AM132" i="10"/>
  <c r="AL132" i="10"/>
  <c r="AF132" i="10"/>
  <c r="AN176" i="11"/>
  <c r="AM176" i="11"/>
  <c r="AL176" i="11"/>
  <c r="AF176" i="11"/>
  <c r="AN66" i="9"/>
  <c r="AM66" i="9"/>
  <c r="AL66" i="9"/>
  <c r="AF66" i="9"/>
  <c r="AD121" i="10"/>
  <c r="AE142" i="11"/>
  <c r="Z142" i="11"/>
  <c r="Y142" i="11"/>
  <c r="AE104" i="11"/>
  <c r="Z104" i="11"/>
  <c r="Y104" i="11"/>
  <c r="Z163" i="9"/>
  <c r="Y163" i="9"/>
  <c r="AE163" i="9"/>
  <c r="AN155" i="11"/>
  <c r="AM155" i="11"/>
  <c r="AL155" i="11"/>
  <c r="AM121" i="11"/>
  <c r="AL121" i="11"/>
  <c r="AN121" i="11"/>
  <c r="T110" i="10"/>
  <c r="AA102" i="8"/>
  <c r="V45" i="11"/>
  <c r="AE159" i="8"/>
  <c r="Z159" i="8"/>
  <c r="Y159" i="8"/>
  <c r="AN135" i="8"/>
  <c r="AM135" i="8"/>
  <c r="AL135" i="8"/>
  <c r="AE169" i="9"/>
  <c r="Z169" i="9"/>
  <c r="Y169" i="9"/>
  <c r="AN157" i="10"/>
  <c r="AM157" i="10"/>
  <c r="AL157" i="10"/>
  <c r="AC80" i="10"/>
  <c r="AG80" i="10" s="1"/>
  <c r="U120" i="8"/>
  <c r="AN178" i="8"/>
  <c r="AM178" i="8"/>
  <c r="AL178" i="8"/>
  <c r="T127" i="9"/>
  <c r="AN150" i="10"/>
  <c r="AM150" i="10"/>
  <c r="AL150" i="10"/>
  <c r="AC124" i="10"/>
  <c r="AG124" i="10" s="1"/>
  <c r="W124" i="10"/>
  <c r="AN145" i="11"/>
  <c r="AM145" i="11"/>
  <c r="AL145" i="11"/>
  <c r="AF145" i="11"/>
  <c r="Z152" i="11"/>
  <c r="Y152" i="11"/>
  <c r="AE152" i="11"/>
  <c r="AE174" i="9"/>
  <c r="Z174" i="9"/>
  <c r="Y174" i="9"/>
  <c r="AN151" i="9"/>
  <c r="AM151" i="9"/>
  <c r="AL151" i="9"/>
  <c r="H67" i="7"/>
  <c r="I67" i="7" s="1"/>
  <c r="G67" i="7"/>
  <c r="J67" i="7"/>
  <c r="AM156" i="8"/>
  <c r="AN156" i="8"/>
  <c r="AL156" i="8"/>
  <c r="AC125" i="8"/>
  <c r="AG125" i="8" s="1"/>
  <c r="T87" i="8"/>
  <c r="Z92" i="10"/>
  <c r="Y92" i="10"/>
  <c r="AE92" i="10"/>
  <c r="AN179" i="11"/>
  <c r="AM179" i="11"/>
  <c r="AL179" i="11"/>
  <c r="AN80" i="11"/>
  <c r="AL80" i="11"/>
  <c r="AM80" i="11"/>
  <c r="E66" i="10"/>
  <c r="AN168" i="8"/>
  <c r="AM168" i="8"/>
  <c r="AL168" i="8"/>
  <c r="AF168" i="8"/>
  <c r="T54" i="11"/>
  <c r="AK144" i="10"/>
  <c r="Y66" i="11"/>
  <c r="AE66" i="11"/>
  <c r="Z66" i="11"/>
  <c r="AM136" i="8"/>
  <c r="AL136" i="8"/>
  <c r="AN136" i="8"/>
  <c r="AF136" i="8"/>
  <c r="AN91" i="9"/>
  <c r="P124" i="8"/>
  <c r="Q124" i="8" s="1"/>
  <c r="X124" i="8"/>
  <c r="W124" i="8"/>
  <c r="V124" i="8"/>
  <c r="U124" i="8"/>
  <c r="T124" i="8"/>
  <c r="AA124" i="8"/>
  <c r="AN131" i="9"/>
  <c r="AM131" i="9"/>
  <c r="AL131" i="9"/>
  <c r="AF131" i="9"/>
  <c r="U98" i="9"/>
  <c r="AA98" i="9"/>
  <c r="W98" i="9"/>
  <c r="V98" i="9"/>
  <c r="AL118" i="11"/>
  <c r="AN118" i="11"/>
  <c r="AM118" i="11"/>
  <c r="AF118" i="11"/>
  <c r="V127" i="8"/>
  <c r="P127" i="8"/>
  <c r="Q127" i="8" s="1"/>
  <c r="U127" i="8"/>
  <c r="D127" i="8"/>
  <c r="X127" i="8"/>
  <c r="AC127" i="8"/>
  <c r="AG127" i="8" s="1"/>
  <c r="AA127" i="8"/>
  <c r="W127" i="8"/>
  <c r="T127" i="8"/>
  <c r="Z151" i="8"/>
  <c r="Y151" i="8"/>
  <c r="AE151" i="8"/>
  <c r="AE159" i="10"/>
  <c r="Y159" i="10"/>
  <c r="Z159" i="10"/>
  <c r="AN87" i="10"/>
  <c r="AM87" i="10"/>
  <c r="AL87" i="10"/>
  <c r="AN146" i="11"/>
  <c r="AM146" i="11"/>
  <c r="AL146" i="11"/>
  <c r="AA81" i="11"/>
  <c r="U112" i="8"/>
  <c r="Y173" i="9"/>
  <c r="AE173" i="9"/>
  <c r="Z173" i="9"/>
  <c r="X45" i="10"/>
  <c r="F101" i="8"/>
  <c r="G101" i="8"/>
  <c r="E101" i="8"/>
  <c r="H101" i="8"/>
  <c r="Y71" i="9"/>
  <c r="AE71" i="9"/>
  <c r="Z71" i="9"/>
  <c r="AN159" i="8"/>
  <c r="AL159" i="8"/>
  <c r="AM159" i="8"/>
  <c r="P135" i="8"/>
  <c r="Q135" i="8" s="1"/>
  <c r="Z63" i="9"/>
  <c r="AE63" i="9"/>
  <c r="Y63" i="9"/>
  <c r="AF157" i="10"/>
  <c r="P125" i="10"/>
  <c r="Q125" i="10" s="1"/>
  <c r="W125" i="10"/>
  <c r="W120" i="8"/>
  <c r="Y165" i="10"/>
  <c r="AE165" i="10"/>
  <c r="Z165" i="10"/>
  <c r="AE144" i="8"/>
  <c r="Z144" i="8"/>
  <c r="Y144" i="8"/>
  <c r="AC126" i="8"/>
  <c r="AG126" i="8" s="1"/>
  <c r="AA126" i="8"/>
  <c r="Z137" i="8"/>
  <c r="Y137" i="8"/>
  <c r="AE137" i="8"/>
  <c r="X98" i="8"/>
  <c r="U121" i="9"/>
  <c r="P124" i="10"/>
  <c r="Q124" i="10" s="1"/>
  <c r="AE166" i="11"/>
  <c r="Z166" i="11"/>
  <c r="Y166" i="11"/>
  <c r="AN166" i="11"/>
  <c r="AM166" i="11"/>
  <c r="AL166" i="11"/>
  <c r="AN87" i="11"/>
  <c r="AL87" i="11"/>
  <c r="G87" i="11" s="1"/>
  <c r="AE52" i="9"/>
  <c r="Z52" i="9"/>
  <c r="Y52" i="9"/>
  <c r="AK177" i="11"/>
  <c r="AK167" i="9"/>
  <c r="Y182" i="10"/>
  <c r="AE182" i="10"/>
  <c r="Z182" i="10"/>
  <c r="T85" i="9"/>
  <c r="K41" i="7"/>
  <c r="L41" i="7" s="1"/>
  <c r="AK68" i="9"/>
  <c r="AN119" i="9"/>
  <c r="AA127" i="10"/>
  <c r="AB127" i="10" s="1"/>
  <c r="W127" i="10"/>
  <c r="AE99" i="10"/>
  <c r="Z99" i="10"/>
  <c r="Y99" i="10"/>
  <c r="AE106" i="11"/>
  <c r="Y106" i="11"/>
  <c r="Z106" i="11"/>
  <c r="V52" i="11"/>
  <c r="W86" i="11"/>
  <c r="AN73" i="8"/>
  <c r="AM73" i="8"/>
  <c r="AL73" i="8"/>
  <c r="AM162" i="9"/>
  <c r="AL162" i="9"/>
  <c r="AN162" i="9"/>
  <c r="AE182" i="8"/>
  <c r="Z182" i="8"/>
  <c r="Y182" i="8"/>
  <c r="AN122" i="10"/>
  <c r="AL122" i="10"/>
  <c r="H56" i="7"/>
  <c r="I56" i="7" s="1"/>
  <c r="G56" i="7"/>
  <c r="J56" i="7"/>
  <c r="AN138" i="8"/>
  <c r="AM138" i="8"/>
  <c r="AL138" i="8"/>
  <c r="AF138" i="8"/>
  <c r="AN127" i="11"/>
  <c r="AM127" i="11"/>
  <c r="AL127" i="11"/>
  <c r="AF127" i="11"/>
  <c r="AM98" i="11"/>
  <c r="AL98" i="11"/>
  <c r="AN98" i="11"/>
  <c r="AF98" i="11"/>
  <c r="G31" i="7"/>
  <c r="J31" i="7"/>
  <c r="H31" i="7"/>
  <c r="I31" i="7" s="1"/>
  <c r="AC82" i="11"/>
  <c r="AG82" i="11" s="1"/>
  <c r="P82" i="11"/>
  <c r="Q82" i="11" s="1"/>
  <c r="AA82" i="11"/>
  <c r="D82" i="11"/>
  <c r="W82" i="11"/>
  <c r="T82" i="11"/>
  <c r="AL82" i="11" s="1"/>
  <c r="AB78" i="9"/>
  <c r="AK78" i="9"/>
  <c r="AD113" i="10"/>
  <c r="AK113" i="10"/>
  <c r="Z92" i="9"/>
  <c r="Y92" i="9"/>
  <c r="AE92" i="9"/>
  <c r="AE164" i="10"/>
  <c r="Z164" i="10"/>
  <c r="Y164" i="10"/>
  <c r="AC94" i="10"/>
  <c r="AG94" i="10" s="1"/>
  <c r="AD87" i="10"/>
  <c r="AN142" i="11"/>
  <c r="AM142" i="11"/>
  <c r="AL142" i="11"/>
  <c r="AC77" i="11"/>
  <c r="AG77" i="11" s="1"/>
  <c r="P153" i="11"/>
  <c r="Q153" i="11" s="1"/>
  <c r="AA54" i="10"/>
  <c r="AE117" i="11"/>
  <c r="Z117" i="11"/>
  <c r="Y117" i="11"/>
  <c r="Z90" i="11"/>
  <c r="Y90" i="11"/>
  <c r="AE90" i="11"/>
  <c r="J64" i="7"/>
  <c r="H64" i="7"/>
  <c r="I64" i="7" s="1"/>
  <c r="G64" i="7"/>
  <c r="AN66" i="8"/>
  <c r="AM66" i="8"/>
  <c r="AL66" i="8"/>
  <c r="Y161" i="8"/>
  <c r="AE161" i="8"/>
  <c r="Z161" i="8"/>
  <c r="AL169" i="9"/>
  <c r="AM169" i="9"/>
  <c r="AN169" i="9"/>
  <c r="T50" i="9"/>
  <c r="Z161" i="10"/>
  <c r="Y161" i="10"/>
  <c r="AE161" i="10"/>
  <c r="AC125" i="10"/>
  <c r="AG125" i="10" s="1"/>
  <c r="AE132" i="11"/>
  <c r="Z132" i="11"/>
  <c r="Y132" i="11"/>
  <c r="AF165" i="8"/>
  <c r="Z138" i="10"/>
  <c r="Y138" i="10"/>
  <c r="AE138" i="10"/>
  <c r="AE143" i="8"/>
  <c r="Z143" i="8"/>
  <c r="Y143" i="8"/>
  <c r="AN144" i="8"/>
  <c r="AM144" i="8"/>
  <c r="AL144" i="8"/>
  <c r="D126" i="8"/>
  <c r="AK160" i="9"/>
  <c r="AA79" i="10"/>
  <c r="AL147" i="8"/>
  <c r="AN147" i="8"/>
  <c r="AM147" i="8"/>
  <c r="AN98" i="8"/>
  <c r="AC121" i="9"/>
  <c r="AG121" i="9" s="1"/>
  <c r="AK103" i="9"/>
  <c r="Z136" i="9"/>
  <c r="AE136" i="9"/>
  <c r="Y136" i="9"/>
  <c r="AK157" i="11"/>
  <c r="AE145" i="11"/>
  <c r="Z145" i="11"/>
  <c r="Y145" i="11"/>
  <c r="AN99" i="11"/>
  <c r="AM99" i="11"/>
  <c r="AL99" i="11"/>
  <c r="AE167" i="9"/>
  <c r="Z167" i="9"/>
  <c r="Y167" i="9"/>
  <c r="D125" i="8"/>
  <c r="AM73" i="9"/>
  <c r="AN73" i="9"/>
  <c r="AL73" i="9"/>
  <c r="AF73" i="9"/>
  <c r="AE68" i="9"/>
  <c r="Z68" i="9"/>
  <c r="Y68" i="9"/>
  <c r="V119" i="10"/>
  <c r="AA109" i="10"/>
  <c r="W52" i="11"/>
  <c r="AE80" i="9"/>
  <c r="Z80" i="9"/>
  <c r="Y80" i="9"/>
  <c r="AE179" i="10"/>
  <c r="Y179" i="10"/>
  <c r="Z179" i="10"/>
  <c r="AM179" i="10"/>
  <c r="AL179" i="10"/>
  <c r="AN179" i="10"/>
  <c r="AF179" i="10"/>
  <c r="AK150" i="8"/>
  <c r="Z105" i="9"/>
  <c r="Y105" i="9"/>
  <c r="AA59" i="11"/>
  <c r="G115" i="10"/>
  <c r="F115" i="10"/>
  <c r="E115" i="10"/>
  <c r="H115" i="10"/>
  <c r="AM166" i="8"/>
  <c r="AL166" i="8"/>
  <c r="AN166" i="8"/>
  <c r="AF166" i="8"/>
  <c r="W63" i="8"/>
  <c r="AM129" i="9"/>
  <c r="AL129" i="9"/>
  <c r="AN129" i="9"/>
  <c r="AF129" i="9"/>
  <c r="V105" i="10"/>
  <c r="AC105" i="10"/>
  <c r="AG105" i="10" s="1"/>
  <c r="AA105" i="10"/>
  <c r="U105" i="10"/>
  <c r="AB75" i="8"/>
  <c r="AN49" i="8"/>
  <c r="AE124" i="9"/>
  <c r="Y124" i="9"/>
  <c r="Z124" i="9"/>
  <c r="AD78" i="9"/>
  <c r="AC83" i="8"/>
  <c r="AG83" i="8" s="1"/>
  <c r="AA83" i="8"/>
  <c r="AM141" i="9"/>
  <c r="AL141" i="9"/>
  <c r="AN141" i="9"/>
  <c r="AF141" i="9"/>
  <c r="AK50" i="11"/>
  <c r="AD50" i="11"/>
  <c r="Z128" i="8"/>
  <c r="AE128" i="8"/>
  <c r="Y128" i="8"/>
  <c r="Y133" i="9"/>
  <c r="AE133" i="9"/>
  <c r="Z133" i="9"/>
  <c r="AN143" i="9"/>
  <c r="AM143" i="9"/>
  <c r="AL143" i="9"/>
  <c r="Z131" i="10"/>
  <c r="Y131" i="10"/>
  <c r="AE131" i="10"/>
  <c r="AF146" i="11"/>
  <c r="W77" i="11"/>
  <c r="AN56" i="8"/>
  <c r="W112" i="8"/>
  <c r="AL155" i="10"/>
  <c r="AM155" i="10"/>
  <c r="AN155" i="10"/>
  <c r="T45" i="10"/>
  <c r="K69" i="7"/>
  <c r="L69" i="7" s="1"/>
  <c r="W45" i="11"/>
  <c r="AE135" i="8"/>
  <c r="Z135" i="8"/>
  <c r="Y135" i="8"/>
  <c r="AF135" i="8"/>
  <c r="AN145" i="8"/>
  <c r="AM145" i="8"/>
  <c r="AL145" i="8"/>
  <c r="AL159" i="9"/>
  <c r="AM159" i="9"/>
  <c r="AN159" i="9"/>
  <c r="AM135" i="9"/>
  <c r="AL135" i="9"/>
  <c r="AN135" i="9"/>
  <c r="AE157" i="10"/>
  <c r="Z157" i="10"/>
  <c r="Y157" i="10"/>
  <c r="AA90" i="10"/>
  <c r="T120" i="8"/>
  <c r="AN143" i="8"/>
  <c r="AM143" i="8"/>
  <c r="AL143" i="8"/>
  <c r="Y131" i="8"/>
  <c r="AE131" i="8"/>
  <c r="Z131" i="8"/>
  <c r="AL149" i="11"/>
  <c r="AN149" i="11"/>
  <c r="AM149" i="11"/>
  <c r="W98" i="8"/>
  <c r="AA121" i="9"/>
  <c r="P121" i="9"/>
  <c r="Q121" i="9" s="1"/>
  <c r="U127" i="9"/>
  <c r="AC103" i="9"/>
  <c r="AG103" i="9" s="1"/>
  <c r="AN177" i="10"/>
  <c r="AL177" i="10"/>
  <c r="AM177" i="10"/>
  <c r="AB73" i="10"/>
  <c r="D88" i="11"/>
  <c r="AN155" i="9"/>
  <c r="AM155" i="9"/>
  <c r="AL155" i="9"/>
  <c r="AA64" i="10"/>
  <c r="P28" i="7"/>
  <c r="AE133" i="8"/>
  <c r="Z133" i="8"/>
  <c r="Y133" i="8"/>
  <c r="U125" i="8"/>
  <c r="U87" i="8"/>
  <c r="AK99" i="8"/>
  <c r="Z91" i="8"/>
  <c r="Y91" i="8"/>
  <c r="AE91" i="8"/>
  <c r="P127" i="10"/>
  <c r="Q127" i="10" s="1"/>
  <c r="X127" i="10"/>
  <c r="X52" i="11"/>
  <c r="AF140" i="11"/>
  <c r="AK158" i="8"/>
  <c r="AF147" i="10"/>
  <c r="T115" i="8"/>
  <c r="AC53" i="10"/>
  <c r="AG53" i="10" s="1"/>
  <c r="AK141" i="11"/>
  <c r="P141" i="11"/>
  <c r="Q141" i="11" s="1"/>
  <c r="AK95" i="11"/>
  <c r="AD66" i="11"/>
  <c r="AC116" i="9"/>
  <c r="AG116" i="9" s="1"/>
  <c r="AA116" i="9"/>
  <c r="AK68" i="8"/>
  <c r="AD68" i="8"/>
  <c r="X92" i="8"/>
  <c r="X63" i="8"/>
  <c r="AA60" i="9"/>
  <c r="AN133" i="11"/>
  <c r="AM133" i="11"/>
  <c r="AL133" i="11"/>
  <c r="AF133" i="11"/>
  <c r="AC72" i="8"/>
  <c r="AG72" i="8" s="1"/>
  <c r="AC71" i="11"/>
  <c r="AG71" i="11" s="1"/>
  <c r="AA71" i="11"/>
  <c r="X71" i="11"/>
  <c r="AN172" i="8"/>
  <c r="AM172" i="8"/>
  <c r="AL172" i="8"/>
  <c r="AF172" i="8"/>
  <c r="AC98" i="9"/>
  <c r="AG98" i="9" s="1"/>
  <c r="Z175" i="9"/>
  <c r="Y175" i="9"/>
  <c r="AE175" i="9"/>
  <c r="Z157" i="9"/>
  <c r="Y157" i="9"/>
  <c r="AE157" i="9"/>
  <c r="AE177" i="9"/>
  <c r="Z177" i="9"/>
  <c r="Y177" i="9"/>
  <c r="P60" i="7"/>
  <c r="Z96" i="11"/>
  <c r="Y96" i="11"/>
  <c r="AE96" i="11"/>
  <c r="Z135" i="9"/>
  <c r="Y135" i="9"/>
  <c r="AE135" i="9"/>
  <c r="AM174" i="10"/>
  <c r="AN174" i="10"/>
  <c r="AL174" i="10"/>
  <c r="AN156" i="10"/>
  <c r="AM156" i="10"/>
  <c r="AL156" i="10"/>
  <c r="Z181" i="11"/>
  <c r="Y181" i="11"/>
  <c r="AE181" i="11"/>
  <c r="Z168" i="9"/>
  <c r="Y168" i="9"/>
  <c r="AE168" i="9"/>
  <c r="AE147" i="11"/>
  <c r="Z147" i="11"/>
  <c r="Y147" i="11"/>
  <c r="AN154" i="10"/>
  <c r="AM154" i="10"/>
  <c r="AL154" i="10"/>
  <c r="Z160" i="9"/>
  <c r="Y160" i="9"/>
  <c r="AE160" i="9"/>
  <c r="AL145" i="9"/>
  <c r="AN145" i="9"/>
  <c r="AM145" i="9"/>
  <c r="X103" i="9"/>
  <c r="AK143" i="10"/>
  <c r="Z150" i="10"/>
  <c r="Y150" i="10"/>
  <c r="AE150" i="10"/>
  <c r="AM167" i="9"/>
  <c r="AN167" i="9"/>
  <c r="AL167" i="9"/>
  <c r="AE155" i="9"/>
  <c r="Z155" i="9"/>
  <c r="Y155" i="9"/>
  <c r="Z85" i="9"/>
  <c r="Y85" i="9"/>
  <c r="AE85" i="9"/>
  <c r="AE139" i="11"/>
  <c r="Z139" i="11"/>
  <c r="Y139" i="11"/>
  <c r="Y156" i="8"/>
  <c r="AE156" i="8"/>
  <c r="Z156" i="8"/>
  <c r="AE144" i="9"/>
  <c r="Z144" i="9"/>
  <c r="Y144" i="9"/>
  <c r="AD92" i="10"/>
  <c r="AB92" i="10"/>
  <c r="AM135" i="11"/>
  <c r="AL135" i="11"/>
  <c r="AN135" i="11"/>
  <c r="AA52" i="11"/>
  <c r="Y175" i="10"/>
  <c r="AE175" i="10"/>
  <c r="Z175" i="10"/>
  <c r="AD80" i="9"/>
  <c r="Y150" i="8"/>
  <c r="AE150" i="8"/>
  <c r="Z150" i="8"/>
  <c r="AN77" i="8"/>
  <c r="AK68" i="11"/>
  <c r="AD68" i="11"/>
  <c r="K5" i="10"/>
  <c r="K12" i="10" s="1"/>
  <c r="AE171" i="11"/>
  <c r="Z171" i="11"/>
  <c r="Y171" i="11"/>
  <c r="V82" i="11"/>
  <c r="AD59" i="10"/>
  <c r="AK59" i="10"/>
  <c r="AE151" i="10"/>
  <c r="Z151" i="10"/>
  <c r="Y151" i="10"/>
  <c r="F47" i="10"/>
  <c r="AK71" i="11"/>
  <c r="AD71" i="11"/>
  <c r="AN126" i="10"/>
  <c r="AM126" i="10" s="1"/>
  <c r="AF126" i="10" s="1"/>
  <c r="AL126" i="10"/>
  <c r="AK85" i="11"/>
  <c r="AE174" i="8"/>
  <c r="Z174" i="8"/>
  <c r="Y174" i="8"/>
  <c r="AA61" i="8"/>
  <c r="AK133" i="9"/>
  <c r="AN146" i="9"/>
  <c r="AM146" i="9"/>
  <c r="AL146" i="9"/>
  <c r="AA93" i="10"/>
  <c r="Z136" i="11"/>
  <c r="Y136" i="11"/>
  <c r="AE136" i="11"/>
  <c r="Z124" i="11"/>
  <c r="Y124" i="11"/>
  <c r="AE124" i="11"/>
  <c r="D81" i="11"/>
  <c r="T54" i="10"/>
  <c r="AE173" i="11"/>
  <c r="Z173" i="11"/>
  <c r="Y173" i="11"/>
  <c r="AN163" i="9"/>
  <c r="AM163" i="9"/>
  <c r="AL163" i="9"/>
  <c r="K44" i="7"/>
  <c r="L44" i="7" s="1"/>
  <c r="Y107" i="11"/>
  <c r="Z107" i="11"/>
  <c r="AE107" i="11"/>
  <c r="AE171" i="8"/>
  <c r="Z171" i="8"/>
  <c r="Y171" i="8"/>
  <c r="Z142" i="8"/>
  <c r="Y142" i="8"/>
  <c r="AE142" i="8"/>
  <c r="AC45" i="11"/>
  <c r="AG45" i="11" s="1"/>
  <c r="AE183" i="11"/>
  <c r="Z183" i="11"/>
  <c r="Y183" i="11"/>
  <c r="AN160" i="8"/>
  <c r="AM160" i="8"/>
  <c r="AL160" i="8"/>
  <c r="AF160" i="8"/>
  <c r="H34" i="7"/>
  <c r="I34" i="7" s="1"/>
  <c r="G34" i="7"/>
  <c r="J34" i="7"/>
  <c r="Z153" i="10"/>
  <c r="Y153" i="10"/>
  <c r="AE153" i="10"/>
  <c r="AC90" i="10"/>
  <c r="AG90" i="10" s="1"/>
  <c r="AM128" i="11"/>
  <c r="AN128" i="11"/>
  <c r="AL128" i="11"/>
  <c r="AE63" i="11"/>
  <c r="Z63" i="11"/>
  <c r="Y63" i="11"/>
  <c r="AN147" i="11"/>
  <c r="AM147" i="11"/>
  <c r="AL147" i="11"/>
  <c r="AE149" i="11"/>
  <c r="Z149" i="11"/>
  <c r="Y149" i="11"/>
  <c r="AN123" i="8"/>
  <c r="P48" i="7"/>
  <c r="V127" i="9"/>
  <c r="AM143" i="10"/>
  <c r="AL143" i="10"/>
  <c r="AN143" i="10"/>
  <c r="AK73" i="10"/>
  <c r="AF113" i="11"/>
  <c r="Z113" i="11"/>
  <c r="Y113" i="11"/>
  <c r="AE113" i="11"/>
  <c r="AE177" i="11"/>
  <c r="Z177" i="11"/>
  <c r="Y177" i="11"/>
  <c r="AE168" i="11"/>
  <c r="Z168" i="11"/>
  <c r="Y168" i="11"/>
  <c r="J54" i="7"/>
  <c r="H54" i="7"/>
  <c r="I54" i="7" s="1"/>
  <c r="G54" i="7"/>
  <c r="AC64" i="10"/>
  <c r="AG64" i="10" s="1"/>
  <c r="AK64" i="10"/>
  <c r="AN139" i="11"/>
  <c r="AM139" i="11"/>
  <c r="AL139" i="11"/>
  <c r="AK52" i="8"/>
  <c r="AB52" i="8"/>
  <c r="AD52" i="8"/>
  <c r="AF52" i="8"/>
  <c r="AD99" i="8"/>
  <c r="AL178" i="9"/>
  <c r="AN178" i="9"/>
  <c r="AM178" i="9"/>
  <c r="Z178" i="9"/>
  <c r="Y178" i="9"/>
  <c r="AE178" i="9"/>
  <c r="AN166" i="10"/>
  <c r="AM166" i="10"/>
  <c r="AL166" i="10"/>
  <c r="AF166" i="10"/>
  <c r="AB52" i="11"/>
  <c r="AN158" i="8"/>
  <c r="AM158" i="8"/>
  <c r="AL158" i="8"/>
  <c r="AF158" i="8"/>
  <c r="W115" i="8"/>
  <c r="AN120" i="11"/>
  <c r="AM120" i="11"/>
  <c r="AL120" i="11"/>
  <c r="AF120" i="11"/>
  <c r="X54" i="11"/>
  <c r="AC82" i="8"/>
  <c r="AG82" i="8" s="1"/>
  <c r="AA82" i="8"/>
  <c r="T59" i="11"/>
  <c r="AA92" i="8"/>
  <c r="AK142" i="10"/>
  <c r="P142" i="10"/>
  <c r="Q142" i="10" s="1"/>
  <c r="AK165" i="11"/>
  <c r="U122" i="8"/>
  <c r="P122" i="8"/>
  <c r="Q122" i="8" s="1"/>
  <c r="W122" i="8"/>
  <c r="X122" i="8"/>
  <c r="V122" i="8"/>
  <c r="AC122" i="8"/>
  <c r="AG122" i="8" s="1"/>
  <c r="T122" i="8"/>
  <c r="AN134" i="9"/>
  <c r="AM134" i="9"/>
  <c r="AL134" i="9"/>
  <c r="AF134" i="9"/>
  <c r="AE154" i="8"/>
  <c r="Z154" i="8"/>
  <c r="Y154" i="8"/>
  <c r="AE91" i="10"/>
  <c r="Z91" i="10"/>
  <c r="Y91" i="10"/>
  <c r="G108" i="8"/>
  <c r="F47" i="11"/>
  <c r="E47" i="11"/>
  <c r="AN151" i="8"/>
  <c r="AM151" i="8"/>
  <c r="AL151" i="8"/>
  <c r="Z146" i="9"/>
  <c r="Y146" i="9"/>
  <c r="AE146" i="9"/>
  <c r="AE82" i="10"/>
  <c r="Z82" i="10"/>
  <c r="Y82" i="10"/>
  <c r="AE146" i="11"/>
  <c r="Z146" i="11"/>
  <c r="Y146" i="11"/>
  <c r="P81" i="11"/>
  <c r="Q81" i="11" s="1"/>
  <c r="U45" i="10"/>
  <c r="AM107" i="11"/>
  <c r="AL107" i="11"/>
  <c r="AN107" i="11"/>
  <c r="AN171" i="8"/>
  <c r="AM171" i="8"/>
  <c r="AL171" i="8"/>
  <c r="J60" i="7"/>
  <c r="H60" i="7"/>
  <c r="I60" i="7" s="1"/>
  <c r="G60" i="7"/>
  <c r="P64" i="7"/>
  <c r="AE160" i="8"/>
  <c r="Z160" i="8"/>
  <c r="Y160" i="8"/>
  <c r="AE174" i="10"/>
  <c r="Y174" i="10"/>
  <c r="Z174" i="10"/>
  <c r="AF174" i="10"/>
  <c r="AE162" i="11"/>
  <c r="Z162" i="11"/>
  <c r="Y162" i="11"/>
  <c r="K30" i="7"/>
  <c r="L30" i="7" s="1"/>
  <c r="AF177" i="8"/>
  <c r="Y177" i="8"/>
  <c r="AE177" i="8"/>
  <c r="Z177" i="8"/>
  <c r="AN137" i="8"/>
  <c r="AM137" i="8"/>
  <c r="AL137" i="8"/>
  <c r="AN158" i="9"/>
  <c r="AL158" i="9"/>
  <c r="AM158" i="9"/>
  <c r="D127" i="9"/>
  <c r="AE177" i="10"/>
  <c r="Z177" i="10"/>
  <c r="Y177" i="10"/>
  <c r="AN152" i="11"/>
  <c r="AM152" i="11"/>
  <c r="AL152" i="11"/>
  <c r="AF109" i="11"/>
  <c r="AA88" i="11"/>
  <c r="T88" i="11"/>
  <c r="AL88" i="11" s="1"/>
  <c r="AM88" i="11" s="1"/>
  <c r="AN144" i="9"/>
  <c r="AL144" i="9"/>
  <c r="AM144" i="9"/>
  <c r="Z119" i="9"/>
  <c r="Y119" i="9"/>
  <c r="AE119" i="9"/>
  <c r="AE180" i="10"/>
  <c r="Y180" i="10"/>
  <c r="Z180" i="10"/>
  <c r="U119" i="10"/>
  <c r="AC52" i="11"/>
  <c r="AG52" i="11" s="1"/>
  <c r="AF80" i="9"/>
  <c r="AC86" i="11"/>
  <c r="AG86" i="11" s="1"/>
  <c r="U86" i="11"/>
  <c r="D86" i="11"/>
  <c r="AE152" i="8"/>
  <c r="Z152" i="8"/>
  <c r="Y152" i="8"/>
  <c r="T82" i="8"/>
  <c r="AL95" i="11"/>
  <c r="AN95" i="11"/>
  <c r="AM95" i="11"/>
  <c r="W66" i="11"/>
  <c r="V66" i="11"/>
  <c r="AA66" i="11"/>
  <c r="U66" i="11"/>
  <c r="AE61" i="11"/>
  <c r="Z61" i="11"/>
  <c r="Y61" i="11"/>
  <c r="Z122" i="10"/>
  <c r="Y122" i="10"/>
  <c r="AE122" i="10"/>
  <c r="AE141" i="10"/>
  <c r="Z141" i="10"/>
  <c r="Y141" i="10"/>
  <c r="X49" i="8"/>
  <c r="AC49" i="8"/>
  <c r="AG49" i="8" s="1"/>
  <c r="AA49" i="8"/>
  <c r="W49" i="8"/>
  <c r="V49" i="8"/>
  <c r="AN151" i="10"/>
  <c r="AM151" i="10"/>
  <c r="AL151" i="10"/>
  <c r="AF151" i="10"/>
  <c r="V84" i="8"/>
  <c r="AN121" i="10"/>
  <c r="AL121" i="10"/>
  <c r="AM121" i="10" s="1"/>
  <c r="AF121" i="10" s="1"/>
  <c r="AE169" i="11"/>
  <c r="Z169" i="11"/>
  <c r="Y169" i="11"/>
  <c r="AN104" i="11"/>
  <c r="AM104" i="11"/>
  <c r="AL104" i="11"/>
  <c r="AN90" i="11"/>
  <c r="AM90" i="11"/>
  <c r="AL90" i="11"/>
  <c r="AE110" i="10"/>
  <c r="Z110" i="10"/>
  <c r="Y110" i="10"/>
  <c r="AL132" i="11"/>
  <c r="AN132" i="11"/>
  <c r="AM132" i="11"/>
  <c r="Z136" i="10"/>
  <c r="Y136" i="10"/>
  <c r="AE136" i="10"/>
  <c r="AE154" i="10"/>
  <c r="Z154" i="10"/>
  <c r="Y154" i="10"/>
  <c r="AN160" i="9"/>
  <c r="AM160" i="9"/>
  <c r="AL160" i="9"/>
  <c r="Y127" i="9"/>
  <c r="Z127" i="9"/>
  <c r="AE127" i="9"/>
  <c r="AA103" i="9"/>
  <c r="AN70" i="10"/>
  <c r="AN88" i="11"/>
  <c r="AN174" i="9"/>
  <c r="AM174" i="9"/>
  <c r="AL174" i="9"/>
  <c r="X64" i="10"/>
  <c r="AL163" i="8"/>
  <c r="AN163" i="8"/>
  <c r="AM163" i="8"/>
  <c r="AK127" i="10"/>
  <c r="AD127" i="10"/>
  <c r="AE179" i="11"/>
  <c r="Z179" i="11"/>
  <c r="Y179" i="11"/>
  <c r="Z108" i="11"/>
  <c r="AE108" i="11"/>
  <c r="Y108" i="11"/>
  <c r="AD52" i="11"/>
  <c r="G66" i="10"/>
  <c r="F66" i="10"/>
  <c r="AD86" i="11"/>
  <c r="AB86" i="11"/>
  <c r="AK86" i="11"/>
  <c r="AA54" i="11"/>
  <c r="AK169" i="10"/>
  <c r="AK172" i="11"/>
  <c r="AN141" i="11"/>
  <c r="AM141" i="11"/>
  <c r="AL141" i="11"/>
  <c r="AF141" i="11"/>
  <c r="E61" i="5"/>
  <c r="E60" i="5"/>
  <c r="U63" i="8"/>
  <c r="AK66" i="9"/>
  <c r="AD66" i="9"/>
  <c r="AB66" i="9"/>
  <c r="Z176" i="9"/>
  <c r="AE176" i="9"/>
  <c r="Y176" i="9"/>
  <c r="AL122" i="9"/>
  <c r="AM122" i="9" s="1"/>
  <c r="AF122" i="9" s="1"/>
  <c r="AN122" i="9"/>
  <c r="AN128" i="10"/>
  <c r="AM128" i="10"/>
  <c r="AL128" i="10"/>
  <c r="AF128" i="10"/>
  <c r="AC84" i="11"/>
  <c r="AG84" i="11" s="1"/>
  <c r="AE84" i="8"/>
  <c r="Z84" i="8"/>
  <c r="Y84" i="8"/>
  <c r="AN141" i="8"/>
  <c r="AM141" i="8"/>
  <c r="AL141" i="8"/>
  <c r="AF141" i="8"/>
  <c r="U98" i="10"/>
  <c r="AA98" i="10"/>
  <c r="W98" i="10"/>
  <c r="AC98" i="10"/>
  <c r="AG98" i="10" s="1"/>
  <c r="X98" i="10"/>
  <c r="V98" i="10"/>
  <c r="Z116" i="11"/>
  <c r="Y116" i="11"/>
  <c r="AE116" i="11"/>
  <c r="AL161" i="11"/>
  <c r="AN161" i="11"/>
  <c r="AM161" i="11"/>
  <c r="AF161" i="11"/>
  <c r="X68" i="10"/>
  <c r="AA68" i="8"/>
  <c r="AC91" i="9"/>
  <c r="AG91" i="9" s="1"/>
  <c r="AE129" i="9"/>
  <c r="Y129" i="9"/>
  <c r="Z129" i="9"/>
  <c r="D126" i="9"/>
  <c r="AN165" i="11"/>
  <c r="AM165" i="11"/>
  <c r="AL165" i="11"/>
  <c r="AE111" i="11"/>
  <c r="Z111" i="11"/>
  <c r="Y111" i="11"/>
  <c r="AE103" i="8"/>
  <c r="Z103" i="8"/>
  <c r="Y103" i="8"/>
  <c r="AC75" i="10"/>
  <c r="AG75" i="10" s="1"/>
  <c r="T96" i="8"/>
  <c r="AC96" i="8"/>
  <c r="AG96" i="8" s="1"/>
  <c r="AA70" i="9"/>
  <c r="W70" i="9"/>
  <c r="W112" i="9"/>
  <c r="V112" i="9"/>
  <c r="AM167" i="10"/>
  <c r="AL167" i="10"/>
  <c r="AN167" i="10"/>
  <c r="AF167" i="10"/>
  <c r="AA56" i="10"/>
  <c r="X59" i="10"/>
  <c r="AA59" i="10"/>
  <c r="AE179" i="8"/>
  <c r="Z179" i="8"/>
  <c r="Y179" i="8"/>
  <c r="AE54" i="8"/>
  <c r="Z54" i="8"/>
  <c r="Y54" i="8"/>
  <c r="AN164" i="8"/>
  <c r="AL164" i="8"/>
  <c r="AM164" i="8"/>
  <c r="AN150" i="9"/>
  <c r="AL150" i="9"/>
  <c r="AM150" i="9"/>
  <c r="AF150" i="9"/>
  <c r="AN91" i="10"/>
  <c r="AK132" i="10"/>
  <c r="AE163" i="11"/>
  <c r="Z163" i="11"/>
  <c r="Y163" i="11"/>
  <c r="U84" i="9"/>
  <c r="V84" i="9"/>
  <c r="AC84" i="9"/>
  <c r="AG84" i="9" s="1"/>
  <c r="AA84" i="9"/>
  <c r="AD57" i="9"/>
  <c r="AK130" i="9"/>
  <c r="AA76" i="10"/>
  <c r="AN174" i="11"/>
  <c r="AM174" i="11"/>
  <c r="AL174" i="11"/>
  <c r="AE134" i="11"/>
  <c r="Y134" i="11"/>
  <c r="Z134" i="11"/>
  <c r="AN162" i="10"/>
  <c r="AL162" i="10"/>
  <c r="AM162" i="10"/>
  <c r="AE168" i="8"/>
  <c r="Z168" i="8"/>
  <c r="Y168" i="8"/>
  <c r="Z179" i="9"/>
  <c r="Y179" i="9"/>
  <c r="AE179" i="9"/>
  <c r="AM144" i="10"/>
  <c r="AL144" i="10"/>
  <c r="AN144" i="10"/>
  <c r="AN152" i="8"/>
  <c r="AM152" i="8"/>
  <c r="AL152" i="8"/>
  <c r="AM150" i="8"/>
  <c r="AL150" i="8"/>
  <c r="AN150" i="8"/>
  <c r="AE146" i="10"/>
  <c r="Z146" i="10"/>
  <c r="Y146" i="10"/>
  <c r="AE148" i="10"/>
  <c r="Z148" i="10"/>
  <c r="Y148" i="10"/>
  <c r="AN154" i="11"/>
  <c r="AM154" i="11"/>
  <c r="AL154" i="11"/>
  <c r="Z144" i="11"/>
  <c r="Y144" i="11"/>
  <c r="AE144" i="11"/>
  <c r="Z156" i="11"/>
  <c r="Y156" i="11"/>
  <c r="AE156" i="11"/>
  <c r="E52" i="9"/>
  <c r="G52" i="9"/>
  <c r="F52" i="9"/>
  <c r="H52" i="9"/>
  <c r="Y148" i="9"/>
  <c r="AE148" i="9"/>
  <c r="Z148" i="9"/>
  <c r="AE134" i="10"/>
  <c r="Z134" i="10"/>
  <c r="Y134" i="10"/>
  <c r="Z133" i="11"/>
  <c r="Y133" i="11"/>
  <c r="AE133" i="11"/>
  <c r="AN94" i="11"/>
  <c r="AM94" i="11"/>
  <c r="AL94" i="11"/>
  <c r="AN93" i="11"/>
  <c r="AM93" i="11"/>
  <c r="AL93" i="11"/>
  <c r="P134" i="8"/>
  <c r="Q134" i="8" s="1"/>
  <c r="Z154" i="9"/>
  <c r="Y154" i="9"/>
  <c r="AE154" i="9"/>
  <c r="AK170" i="8"/>
  <c r="Z183" i="8"/>
  <c r="Y183" i="8"/>
  <c r="AE183" i="8"/>
  <c r="AN137" i="9"/>
  <c r="AM137" i="9"/>
  <c r="AL137" i="9"/>
  <c r="AN59" i="10"/>
  <c r="AM59" i="10"/>
  <c r="AL59" i="10"/>
  <c r="AE132" i="10"/>
  <c r="Z132" i="10"/>
  <c r="Y132" i="10"/>
  <c r="AN173" i="10"/>
  <c r="AM173" i="10"/>
  <c r="AL173" i="10"/>
  <c r="AF173" i="10"/>
  <c r="AA65" i="11"/>
  <c r="Z155" i="8"/>
  <c r="Y155" i="8"/>
  <c r="AE155" i="8"/>
  <c r="AC120" i="9"/>
  <c r="AG120" i="9" s="1"/>
  <c r="W120" i="9"/>
  <c r="V120" i="9"/>
  <c r="T120" i="9"/>
  <c r="U120" i="9"/>
  <c r="P120" i="9"/>
  <c r="Q120" i="9" s="1"/>
  <c r="AA120" i="9"/>
  <c r="X120" i="9"/>
  <c r="AK113" i="8"/>
  <c r="AD113" i="8"/>
  <c r="AN59" i="8"/>
  <c r="AM59" i="8"/>
  <c r="AL59" i="8"/>
  <c r="AE120" i="11"/>
  <c r="Z120" i="11"/>
  <c r="Y120" i="11"/>
  <c r="Z77" i="8"/>
  <c r="Y77" i="8"/>
  <c r="AE77" i="8"/>
  <c r="AN146" i="10"/>
  <c r="AM146" i="10"/>
  <c r="AL146" i="10"/>
  <c r="AE91" i="11"/>
  <c r="Z91" i="11"/>
  <c r="Y91" i="11"/>
  <c r="AC68" i="10"/>
  <c r="AG68" i="10" s="1"/>
  <c r="AK153" i="8"/>
  <c r="AN134" i="10"/>
  <c r="AM134" i="10"/>
  <c r="AL134" i="10"/>
  <c r="Y150" i="11"/>
  <c r="AE150" i="11"/>
  <c r="Z150" i="11"/>
  <c r="P53" i="7"/>
  <c r="Z96" i="8"/>
  <c r="AE96" i="8"/>
  <c r="Y96" i="8"/>
  <c r="AN112" i="9"/>
  <c r="Y130" i="10"/>
  <c r="AE130" i="10"/>
  <c r="Z130" i="10"/>
  <c r="AE117" i="10"/>
  <c r="Z117" i="10"/>
  <c r="Y117" i="10"/>
  <c r="AK160" i="10"/>
  <c r="AF160" i="10"/>
  <c r="Z138" i="11"/>
  <c r="Y138" i="11"/>
  <c r="AE138" i="11"/>
  <c r="AN125" i="11"/>
  <c r="AM125" i="11"/>
  <c r="AL125" i="11"/>
  <c r="X52" i="10"/>
  <c r="T52" i="10"/>
  <c r="Y164" i="11"/>
  <c r="Z164" i="11"/>
  <c r="AE164" i="11"/>
  <c r="AN140" i="8"/>
  <c r="AM140" i="8"/>
  <c r="AL140" i="8"/>
  <c r="AF140" i="8"/>
  <c r="X57" i="9"/>
  <c r="AA57" i="9"/>
  <c r="AM147" i="9"/>
  <c r="AN147" i="9"/>
  <c r="AL147" i="9"/>
  <c r="AF147" i="9"/>
  <c r="Z173" i="10"/>
  <c r="Y173" i="10"/>
  <c r="AE173" i="10"/>
  <c r="AE157" i="8"/>
  <c r="Z157" i="8"/>
  <c r="Y157" i="8"/>
  <c r="AN158" i="11"/>
  <c r="AM158" i="11"/>
  <c r="AL158" i="11"/>
  <c r="AF158" i="11"/>
  <c r="AE176" i="11"/>
  <c r="Z176" i="11"/>
  <c r="Y176" i="11"/>
  <c r="AE176" i="8"/>
  <c r="Z176" i="8"/>
  <c r="Y176" i="8"/>
  <c r="AK176" i="8"/>
  <c r="Z145" i="10"/>
  <c r="Y145" i="10"/>
  <c r="AE145" i="10"/>
  <c r="AC72" i="10"/>
  <c r="AG72" i="10" s="1"/>
  <c r="AC49" i="10"/>
  <c r="AG49" i="10" s="1"/>
  <c r="AA49" i="10"/>
  <c r="U49" i="10"/>
  <c r="X49" i="10"/>
  <c r="AE102" i="11"/>
  <c r="Z102" i="11"/>
  <c r="Y102" i="11"/>
  <c r="Y135" i="11"/>
  <c r="AE135" i="11"/>
  <c r="Z135" i="11"/>
  <c r="Z167" i="11"/>
  <c r="Y167" i="11"/>
  <c r="AE167" i="11"/>
  <c r="AC80" i="9"/>
  <c r="AG80" i="9" s="1"/>
  <c r="Z132" i="8"/>
  <c r="Y132" i="8"/>
  <c r="AE132" i="8"/>
  <c r="AE45" i="8"/>
  <c r="Z45" i="8"/>
  <c r="Y45" i="8"/>
  <c r="Z149" i="9"/>
  <c r="AE149" i="9"/>
  <c r="Y149" i="9"/>
  <c r="T68" i="10"/>
  <c r="K52" i="7"/>
  <c r="L52" i="7" s="1"/>
  <c r="AC117" i="8"/>
  <c r="AG117" i="8" s="1"/>
  <c r="W91" i="9"/>
  <c r="AA53" i="9"/>
  <c r="AF134" i="10"/>
  <c r="AC44" i="11"/>
  <c r="AG44" i="11" s="1"/>
  <c r="K58" i="7"/>
  <c r="L58" i="7" s="1"/>
  <c r="Z70" i="9"/>
  <c r="Y70" i="9"/>
  <c r="AE70" i="9"/>
  <c r="AN139" i="10"/>
  <c r="AL139" i="10"/>
  <c r="AM139" i="10"/>
  <c r="AM160" i="10"/>
  <c r="AN160" i="10"/>
  <c r="AL160" i="10"/>
  <c r="V56" i="10"/>
  <c r="AF125" i="11"/>
  <c r="V59" i="10"/>
  <c r="AN179" i="8"/>
  <c r="AM179" i="8"/>
  <c r="AL179" i="8"/>
  <c r="AE119" i="8"/>
  <c r="Z119" i="8"/>
  <c r="Y119" i="8"/>
  <c r="AC91" i="10"/>
  <c r="AG91" i="10" s="1"/>
  <c r="AA118" i="10"/>
  <c r="AC72" i="9"/>
  <c r="AG72" i="9" s="1"/>
  <c r="AL140" i="10"/>
  <c r="AN140" i="10"/>
  <c r="AM140" i="10"/>
  <c r="AE66" i="9"/>
  <c r="Z66" i="9"/>
  <c r="Y66" i="9"/>
  <c r="T108" i="9"/>
  <c r="X108" i="9"/>
  <c r="AC108" i="9"/>
  <c r="AG108" i="9" s="1"/>
  <c r="AA108" i="9"/>
  <c r="AF181" i="10"/>
  <c r="AK181" i="10"/>
  <c r="P97" i="11"/>
  <c r="Q97" i="11" s="1"/>
  <c r="AK97" i="11"/>
  <c r="AC103" i="10"/>
  <c r="AG103" i="10" s="1"/>
  <c r="AA103" i="10"/>
  <c r="X103" i="10"/>
  <c r="AE66" i="10"/>
  <c r="Z66" i="10"/>
  <c r="Y66" i="10"/>
  <c r="AN132" i="8"/>
  <c r="AM132" i="8"/>
  <c r="AL132" i="8"/>
  <c r="AE52" i="8"/>
  <c r="Z52" i="8"/>
  <c r="Y52" i="8"/>
  <c r="AN169" i="10"/>
  <c r="AM169" i="10"/>
  <c r="AL169" i="10"/>
  <c r="Y183" i="10"/>
  <c r="AE183" i="10"/>
  <c r="Z183" i="10"/>
  <c r="AK106" i="9"/>
  <c r="Z153" i="8"/>
  <c r="Y153" i="8"/>
  <c r="AE153" i="8"/>
  <c r="AE115" i="10"/>
  <c r="Z115" i="10"/>
  <c r="Y166" i="8"/>
  <c r="AE166" i="8"/>
  <c r="Z166" i="8"/>
  <c r="AN176" i="9"/>
  <c r="AM176" i="9"/>
  <c r="AL176" i="9"/>
  <c r="Z126" i="9"/>
  <c r="Y126" i="9"/>
  <c r="AE126" i="9"/>
  <c r="AE149" i="10"/>
  <c r="Z149" i="10"/>
  <c r="Y149" i="10"/>
  <c r="AE165" i="11"/>
  <c r="Z165" i="11"/>
  <c r="Y165" i="11"/>
  <c r="AE127" i="11"/>
  <c r="Z127" i="11"/>
  <c r="Y127" i="11"/>
  <c r="AN111" i="11"/>
  <c r="AM111" i="11"/>
  <c r="AL111" i="11"/>
  <c r="T75" i="10"/>
  <c r="P31" i="7"/>
  <c r="J43" i="7"/>
  <c r="H43" i="7"/>
  <c r="I43" i="7" s="1"/>
  <c r="G43" i="7"/>
  <c r="Y167" i="10"/>
  <c r="AE167" i="10"/>
  <c r="Z167" i="10"/>
  <c r="AK148" i="11"/>
  <c r="X47" i="10"/>
  <c r="Z170" i="11"/>
  <c r="AE170" i="11"/>
  <c r="Y170" i="11"/>
  <c r="AK45" i="9"/>
  <c r="AB45" i="9"/>
  <c r="AD45" i="9"/>
  <c r="W84" i="9"/>
  <c r="W63" i="10"/>
  <c r="AC63" i="10"/>
  <c r="AG63" i="10" s="1"/>
  <c r="AD125" i="9"/>
  <c r="AK125" i="9"/>
  <c r="G94" i="9"/>
  <c r="F94" i="9"/>
  <c r="AA72" i="10"/>
  <c r="T103" i="10"/>
  <c r="Z148" i="8"/>
  <c r="Y148" i="8"/>
  <c r="AE148" i="8"/>
  <c r="Z59" i="8"/>
  <c r="AE59" i="8"/>
  <c r="Y59" i="8"/>
  <c r="Z147" i="10"/>
  <c r="Y147" i="10"/>
  <c r="AE147" i="10"/>
  <c r="AF144" i="10"/>
  <c r="Z180" i="8"/>
  <c r="Y180" i="8"/>
  <c r="AE180" i="8"/>
  <c r="AN146" i="8"/>
  <c r="AM146" i="8"/>
  <c r="AL146" i="8"/>
  <c r="AN156" i="11"/>
  <c r="AM156" i="11"/>
  <c r="AL156" i="11"/>
  <c r="Z110" i="8"/>
  <c r="AE110" i="8"/>
  <c r="Y110" i="8"/>
  <c r="X91" i="9"/>
  <c r="V91" i="9"/>
  <c r="AL172" i="10"/>
  <c r="AN172" i="10"/>
  <c r="AM172" i="10"/>
  <c r="AN149" i="10"/>
  <c r="AM149" i="10"/>
  <c r="AL149" i="10"/>
  <c r="AL141" i="10"/>
  <c r="AN141" i="10"/>
  <c r="AM141" i="10"/>
  <c r="AN182" i="11"/>
  <c r="AM182" i="11"/>
  <c r="AL182" i="11"/>
  <c r="Z134" i="8"/>
  <c r="Y134" i="8"/>
  <c r="AE134" i="8"/>
  <c r="AN115" i="9"/>
  <c r="AL115" i="9"/>
  <c r="AM115" i="9"/>
  <c r="AF115" i="9"/>
  <c r="AE137" i="9"/>
  <c r="Z137" i="9"/>
  <c r="Y137" i="9"/>
  <c r="AF164" i="8"/>
  <c r="U52" i="10"/>
  <c r="AE153" i="9"/>
  <c r="Z153" i="9"/>
  <c r="Y153" i="9"/>
  <c r="AC95" i="8"/>
  <c r="AG95" i="8" s="1"/>
  <c r="AA95" i="8"/>
  <c r="AA110" i="9"/>
  <c r="X110" i="9"/>
  <c r="T110" i="9"/>
  <c r="U108" i="9"/>
  <c r="AC113" i="10"/>
  <c r="AG113" i="10" s="1"/>
  <c r="X113" i="10"/>
  <c r="D120" i="9"/>
  <c r="AM180" i="11"/>
  <c r="AL180" i="11"/>
  <c r="AN180" i="11"/>
  <c r="AF180" i="11"/>
  <c r="AK162" i="8"/>
  <c r="AF162" i="8"/>
  <c r="Y178" i="11"/>
  <c r="Z178" i="11"/>
  <c r="AE178" i="11"/>
  <c r="Z139" i="8"/>
  <c r="Y139" i="8"/>
  <c r="AE139" i="8"/>
  <c r="AM181" i="9"/>
  <c r="AN181" i="9"/>
  <c r="AL181" i="9"/>
  <c r="AM152" i="9"/>
  <c r="AL152" i="9"/>
  <c r="AN152" i="9"/>
  <c r="AA95" i="10"/>
  <c r="AN144" i="11"/>
  <c r="AM144" i="11"/>
  <c r="AL144" i="11"/>
  <c r="Z106" i="9"/>
  <c r="Y106" i="9"/>
  <c r="AE106" i="9"/>
  <c r="AK61" i="11"/>
  <c r="AE135" i="10"/>
  <c r="Z135" i="10"/>
  <c r="Y135" i="10"/>
  <c r="AE138" i="8"/>
  <c r="Z138" i="8"/>
  <c r="Y138" i="8"/>
  <c r="X117" i="8"/>
  <c r="AM148" i="9"/>
  <c r="AL148" i="9"/>
  <c r="AN148" i="9"/>
  <c r="AM142" i="10"/>
  <c r="AL142" i="10"/>
  <c r="AN142" i="10"/>
  <c r="T113" i="9"/>
  <c r="AN129" i="11"/>
  <c r="AM129" i="11"/>
  <c r="AL129" i="11"/>
  <c r="H53" i="7"/>
  <c r="I53" i="7" s="1"/>
  <c r="K53" i="7" s="1"/>
  <c r="L53" i="7" s="1"/>
  <c r="G53" i="7"/>
  <c r="J53" i="7"/>
  <c r="AN129" i="10"/>
  <c r="AM129" i="10"/>
  <c r="AL129" i="10"/>
  <c r="AN183" i="8"/>
  <c r="AM183" i="8"/>
  <c r="AL183" i="8"/>
  <c r="AE78" i="8"/>
  <c r="Z78" i="8"/>
  <c r="Y78" i="8"/>
  <c r="G59" i="9"/>
  <c r="E59" i="9"/>
  <c r="F59" i="9"/>
  <c r="H59" i="9"/>
  <c r="Z134" i="9"/>
  <c r="Y134" i="9"/>
  <c r="AE134" i="9"/>
  <c r="Y122" i="9"/>
  <c r="AN171" i="11"/>
  <c r="AM171" i="11"/>
  <c r="AL171" i="11"/>
  <c r="Z148" i="11"/>
  <c r="Y148" i="11"/>
  <c r="AE148" i="11"/>
  <c r="AE126" i="11"/>
  <c r="Z126" i="11"/>
  <c r="Y126" i="11"/>
  <c r="AM126" i="11"/>
  <c r="AL126" i="11"/>
  <c r="AN126" i="11"/>
  <c r="Y61" i="10"/>
  <c r="AE61" i="10"/>
  <c r="Z61" i="10"/>
  <c r="AN119" i="8"/>
  <c r="AN153" i="9"/>
  <c r="AM153" i="9"/>
  <c r="AL153" i="9"/>
  <c r="AF153" i="9"/>
  <c r="Z78" i="9"/>
  <c r="Y78" i="9"/>
  <c r="AE78" i="9"/>
  <c r="AN103" i="11"/>
  <c r="AM103" i="11"/>
  <c r="AL103" i="11"/>
  <c r="Z175" i="11"/>
  <c r="Y175" i="11"/>
  <c r="AE175" i="11"/>
  <c r="AN101" i="11"/>
  <c r="AM101" i="11"/>
  <c r="AL101" i="11"/>
  <c r="AA72" i="11"/>
  <c r="AE89" i="8"/>
  <c r="Z89" i="8"/>
  <c r="Y89" i="8"/>
  <c r="AN178" i="10"/>
  <c r="AM178" i="10"/>
  <c r="AL178" i="10"/>
  <c r="AF178" i="10"/>
  <c r="F57" i="11"/>
  <c r="E57" i="11"/>
  <c r="AF85" i="11"/>
  <c r="AA58" i="11"/>
  <c r="AA92" i="9"/>
  <c r="T92" i="9"/>
  <c r="Z176" i="10"/>
  <c r="Y176" i="10"/>
  <c r="AE176" i="10"/>
  <c r="AN108" i="11"/>
  <c r="AM108" i="11"/>
  <c r="AL108" i="11"/>
  <c r="Z167" i="8"/>
  <c r="Y167" i="8"/>
  <c r="AE167" i="8"/>
  <c r="AM178" i="11"/>
  <c r="AL178" i="11"/>
  <c r="AN178" i="11"/>
  <c r="AN105" i="9"/>
  <c r="AC67" i="9"/>
  <c r="AG67" i="9" s="1"/>
  <c r="AM183" i="10"/>
  <c r="AN183" i="10"/>
  <c r="AL183" i="10"/>
  <c r="Z141" i="11"/>
  <c r="Y141" i="11"/>
  <c r="AE141" i="11"/>
  <c r="AM182" i="8"/>
  <c r="AL182" i="8"/>
  <c r="AN182" i="8"/>
  <c r="J40" i="7"/>
  <c r="H40" i="7"/>
  <c r="I40" i="7" s="1"/>
  <c r="K40" i="7" s="1"/>
  <c r="L40" i="7" s="1"/>
  <c r="G40" i="7"/>
  <c r="AA95" i="9"/>
  <c r="AM115" i="10"/>
  <c r="AN115" i="10"/>
  <c r="AL115" i="10"/>
  <c r="AB115" i="10"/>
  <c r="AC61" i="11"/>
  <c r="AG61" i="11" s="1"/>
  <c r="AF156" i="11"/>
  <c r="AC68" i="8"/>
  <c r="AG68" i="8" s="1"/>
  <c r="Z128" i="9"/>
  <c r="AE128" i="9"/>
  <c r="Y128" i="9"/>
  <c r="AN128" i="9"/>
  <c r="AM128" i="9"/>
  <c r="AL128" i="9"/>
  <c r="AN100" i="11"/>
  <c r="AM100" i="11"/>
  <c r="AL100" i="11"/>
  <c r="AE105" i="8"/>
  <c r="Z105" i="8"/>
  <c r="Y105" i="8"/>
  <c r="AM124" i="9"/>
  <c r="AN124" i="9"/>
  <c r="AL124" i="9"/>
  <c r="AF137" i="9"/>
  <c r="AL171" i="10"/>
  <c r="AN171" i="10"/>
  <c r="AM171" i="10"/>
  <c r="AE171" i="10"/>
  <c r="Z171" i="10"/>
  <c r="Y171" i="10"/>
  <c r="AE139" i="10"/>
  <c r="Z139" i="10"/>
  <c r="Y139" i="10"/>
  <c r="AM130" i="10"/>
  <c r="AL130" i="10"/>
  <c r="AN130" i="10"/>
  <c r="AF130" i="10"/>
  <c r="Z128" i="10"/>
  <c r="Y128" i="10"/>
  <c r="AE128" i="10"/>
  <c r="AC56" i="10"/>
  <c r="AG56" i="10" s="1"/>
  <c r="AF171" i="11"/>
  <c r="AN138" i="11"/>
  <c r="AM138" i="11"/>
  <c r="AL138" i="11"/>
  <c r="AF138" i="11"/>
  <c r="AE164" i="9"/>
  <c r="Z164" i="9"/>
  <c r="Y164" i="9"/>
  <c r="AA119" i="8"/>
  <c r="AA54" i="8"/>
  <c r="T54" i="8"/>
  <c r="AN170" i="11"/>
  <c r="AM170" i="11"/>
  <c r="AL170" i="11"/>
  <c r="AE131" i="9"/>
  <c r="Z131" i="9"/>
  <c r="Y131" i="9"/>
  <c r="V52" i="10"/>
  <c r="AK141" i="8"/>
  <c r="AA81" i="8"/>
  <c r="AN80" i="8"/>
  <c r="AM80" i="8"/>
  <c r="AL80" i="8"/>
  <c r="AC102" i="10"/>
  <c r="AG102" i="10" s="1"/>
  <c r="AA102" i="10"/>
  <c r="AK174" i="11"/>
  <c r="AK175" i="11"/>
  <c r="AK119" i="11"/>
  <c r="AE118" i="11"/>
  <c r="Z118" i="11"/>
  <c r="Y118" i="11"/>
  <c r="AC85" i="8"/>
  <c r="AG85" i="8" s="1"/>
  <c r="AA85" i="8"/>
  <c r="X85" i="8"/>
  <c r="AE47" i="9"/>
  <c r="Z47" i="9"/>
  <c r="Y47" i="9"/>
  <c r="AN165" i="9"/>
  <c r="AM165" i="9"/>
  <c r="AL165" i="9"/>
  <c r="AM115" i="11"/>
  <c r="AL115" i="11"/>
  <c r="AN115" i="11"/>
  <c r="AF115" i="11"/>
  <c r="AN135" i="10"/>
  <c r="AM135" i="10"/>
  <c r="AL135" i="10"/>
  <c r="AE68" i="8"/>
  <c r="Z68" i="8"/>
  <c r="Y68" i="8"/>
  <c r="Y136" i="8"/>
  <c r="AE136" i="8"/>
  <c r="Z136" i="8"/>
  <c r="AL150" i="11"/>
  <c r="AN150" i="11"/>
  <c r="AM150" i="11"/>
  <c r="Y98" i="11"/>
  <c r="AE98" i="11"/>
  <c r="Z98" i="11"/>
  <c r="AE129" i="11"/>
  <c r="Z129" i="11"/>
  <c r="Y129" i="11"/>
  <c r="AE129" i="10"/>
  <c r="Z129" i="10"/>
  <c r="Y129" i="10"/>
  <c r="AE100" i="11"/>
  <c r="Z100" i="11"/>
  <c r="Y100" i="11"/>
  <c r="AA75" i="10"/>
  <c r="AE143" i="11"/>
  <c r="Z143" i="11"/>
  <c r="Y143" i="11"/>
  <c r="J49" i="7"/>
  <c r="H49" i="7"/>
  <c r="I49" i="7" s="1"/>
  <c r="G49" i="7"/>
  <c r="Z112" i="9"/>
  <c r="Y112" i="9"/>
  <c r="AE112" i="9"/>
  <c r="AE159" i="11"/>
  <c r="Z159" i="11"/>
  <c r="Y159" i="11"/>
  <c r="AN164" i="9"/>
  <c r="AM164" i="9"/>
  <c r="AL164" i="9"/>
  <c r="AE150" i="9"/>
  <c r="Z150" i="9"/>
  <c r="Y150" i="9"/>
  <c r="AA52" i="10"/>
  <c r="AE103" i="11"/>
  <c r="Z103" i="11"/>
  <c r="Y103" i="11"/>
  <c r="AN171" i="9"/>
  <c r="AM171" i="9"/>
  <c r="AL171" i="9"/>
  <c r="AF171" i="9"/>
  <c r="AK43" i="9"/>
  <c r="AN152" i="10"/>
  <c r="AM152" i="10"/>
  <c r="AL152" i="10"/>
  <c r="AF152" i="10"/>
  <c r="AN137" i="10"/>
  <c r="AM137" i="10"/>
  <c r="AL137" i="10"/>
  <c r="AF137" i="10"/>
  <c r="AM134" i="11"/>
  <c r="AN134" i="11"/>
  <c r="AL134" i="11"/>
  <c r="T83" i="11"/>
  <c r="P83" i="11"/>
  <c r="Q83" i="11" s="1"/>
  <c r="X83" i="11"/>
  <c r="AC83" i="11"/>
  <c r="AG83" i="11" s="1"/>
  <c r="W83" i="11"/>
  <c r="U83" i="11"/>
  <c r="AK85" i="8"/>
  <c r="AD85" i="8"/>
  <c r="AB85" i="8"/>
  <c r="AK101" i="10"/>
  <c r="AB101" i="10"/>
  <c r="AF162" i="10"/>
  <c r="AA57" i="8"/>
  <c r="T57" i="8"/>
  <c r="X57" i="8"/>
  <c r="AC92" i="9"/>
  <c r="AG92" i="9" s="1"/>
  <c r="AC107" i="8"/>
  <c r="AG107" i="8" s="1"/>
  <c r="AA107" i="8"/>
  <c r="Z151" i="9"/>
  <c r="Y151" i="9"/>
  <c r="AE151" i="9"/>
  <c r="Y73" i="9"/>
  <c r="AE73" i="9"/>
  <c r="Z73" i="9"/>
  <c r="AE166" i="10"/>
  <c r="Z166" i="10"/>
  <c r="Y166" i="10"/>
  <c r="AN179" i="9"/>
  <c r="AM179" i="9"/>
  <c r="AL179" i="9"/>
  <c r="Y144" i="10"/>
  <c r="Z144" i="10"/>
  <c r="AE144" i="10"/>
  <c r="AF152" i="8"/>
  <c r="AF150" i="8"/>
  <c r="AN45" i="9"/>
  <c r="AM45" i="9"/>
  <c r="AL45" i="9"/>
  <c r="AF45" i="9"/>
  <c r="Y162" i="9"/>
  <c r="AE162" i="9"/>
  <c r="Z162" i="9"/>
  <c r="AE169" i="10"/>
  <c r="Z169" i="10"/>
  <c r="Y169" i="10"/>
  <c r="Z154" i="11"/>
  <c r="Y154" i="11"/>
  <c r="AE154" i="11"/>
  <c r="AE95" i="11"/>
  <c r="Z95" i="11"/>
  <c r="Y95" i="11"/>
  <c r="AN153" i="8"/>
  <c r="AM153" i="8"/>
  <c r="AL153" i="8"/>
  <c r="AD61" i="11"/>
  <c r="AE146" i="8"/>
  <c r="Z146" i="8"/>
  <c r="Y146" i="8"/>
  <c r="AE182" i="11"/>
  <c r="Z182" i="11"/>
  <c r="Y182" i="11"/>
  <c r="X113" i="9"/>
  <c r="AN154" i="9"/>
  <c r="AM154" i="9"/>
  <c r="AL154" i="9"/>
  <c r="AF129" i="10"/>
  <c r="AN143" i="11"/>
  <c r="AM143" i="11"/>
  <c r="AL143" i="11"/>
  <c r="AB78" i="8"/>
  <c r="P43" i="7"/>
  <c r="Y160" i="10"/>
  <c r="AE160" i="10"/>
  <c r="Z160" i="10"/>
  <c r="X56" i="10"/>
  <c r="AF59" i="10"/>
  <c r="W119" i="8"/>
  <c r="Z172" i="8"/>
  <c r="Y172" i="8"/>
  <c r="AE172" i="8"/>
  <c r="Z110" i="11"/>
  <c r="Y110" i="11"/>
  <c r="AE110" i="11"/>
  <c r="AA72" i="9"/>
  <c r="AK130" i="11"/>
  <c r="V63" i="10"/>
  <c r="AF134" i="11"/>
  <c r="AN114" i="11"/>
  <c r="AM114" i="11"/>
  <c r="AL114" i="11"/>
  <c r="T101" i="9"/>
  <c r="AC101" i="9"/>
  <c r="AG101" i="9" s="1"/>
  <c r="AA101" i="9"/>
  <c r="X101" i="9"/>
  <c r="Z50" i="10"/>
  <c r="Y50" i="10"/>
  <c r="AE50" i="10"/>
  <c r="V83" i="11"/>
  <c r="AE108" i="10"/>
  <c r="Z108" i="10"/>
  <c r="Y108" i="10"/>
  <c r="AA106" i="10"/>
  <c r="Z130" i="9"/>
  <c r="Y130" i="9"/>
  <c r="AE130" i="9"/>
  <c r="AL175" i="11"/>
  <c r="AN175" i="11"/>
  <c r="AM175" i="11"/>
  <c r="P134" i="11"/>
  <c r="Q134" i="11" s="1"/>
  <c r="Z119" i="11"/>
  <c r="Y119" i="11"/>
  <c r="AE119" i="11"/>
  <c r="X96" i="9"/>
  <c r="AL94" i="9"/>
  <c r="AN94" i="9"/>
  <c r="AM94" i="9"/>
  <c r="AM181" i="10"/>
  <c r="AN181" i="10"/>
  <c r="AL181" i="10"/>
  <c r="AE97" i="11"/>
  <c r="Z97" i="11"/>
  <c r="Y97" i="11"/>
  <c r="AN162" i="8"/>
  <c r="AM162" i="8"/>
  <c r="AL162" i="8"/>
  <c r="AE163" i="10"/>
  <c r="Z163" i="10"/>
  <c r="Y163" i="10"/>
  <c r="AA108" i="10"/>
  <c r="V108" i="10"/>
  <c r="Z85" i="11"/>
  <c r="Y85" i="11"/>
  <c r="AE85" i="11"/>
  <c r="Z162" i="8"/>
  <c r="Y162" i="8"/>
  <c r="AE162" i="8"/>
  <c r="AE114" i="11"/>
  <c r="Z114" i="11"/>
  <c r="Y114" i="11"/>
  <c r="AN116" i="11"/>
  <c r="AM116" i="11"/>
  <c r="AL116" i="11"/>
  <c r="Z140" i="9"/>
  <c r="AE140" i="9"/>
  <c r="Y140" i="9"/>
  <c r="AA89" i="8"/>
  <c r="G59" i="7"/>
  <c r="J59" i="7"/>
  <c r="H59" i="7"/>
  <c r="I59" i="7" s="1"/>
  <c r="K59" i="7" s="1"/>
  <c r="L59" i="7" s="1"/>
  <c r="AA86" i="8"/>
  <c r="AC58" i="9"/>
  <c r="AG58" i="9" s="1"/>
  <c r="AN172" i="9"/>
  <c r="AM172" i="9"/>
  <c r="AL172" i="9"/>
  <c r="T96" i="9"/>
  <c r="AL125" i="9"/>
  <c r="AM125" i="9" s="1"/>
  <c r="AN125" i="9"/>
  <c r="AN145" i="10"/>
  <c r="AM145" i="10"/>
  <c r="AL145" i="10"/>
  <c r="V101" i="10"/>
  <c r="AN160" i="11"/>
  <c r="AM160" i="11"/>
  <c r="AL160" i="11"/>
  <c r="AN137" i="11"/>
  <c r="AM137" i="11"/>
  <c r="AL137" i="11"/>
  <c r="Z113" i="8"/>
  <c r="Y113" i="8"/>
  <c r="AE113" i="8"/>
  <c r="AN148" i="8"/>
  <c r="AM148" i="8"/>
  <c r="AL148" i="8"/>
  <c r="AN102" i="11"/>
  <c r="AM102" i="11"/>
  <c r="AL102" i="11"/>
  <c r="AN70" i="11"/>
  <c r="AN158" i="10"/>
  <c r="AM158" i="10"/>
  <c r="AL158" i="10"/>
  <c r="AE161" i="9"/>
  <c r="Z161" i="9"/>
  <c r="Y161" i="9"/>
  <c r="AE125" i="11"/>
  <c r="Z125" i="11"/>
  <c r="Y125" i="11"/>
  <c r="X106" i="10"/>
  <c r="AN173" i="8"/>
  <c r="AM173" i="8"/>
  <c r="AL173" i="8"/>
  <c r="X108" i="8"/>
  <c r="AC80" i="8"/>
  <c r="AG80" i="8" s="1"/>
  <c r="W80" i="8"/>
  <c r="AD115" i="9"/>
  <c r="AK115" i="9"/>
  <c r="AB115" i="9"/>
  <c r="AN119" i="11"/>
  <c r="AM119" i="11"/>
  <c r="AL119" i="11"/>
  <c r="Z158" i="11"/>
  <c r="Y158" i="11"/>
  <c r="AE158" i="11"/>
  <c r="AE141" i="9"/>
  <c r="Y141" i="9"/>
  <c r="Z141" i="9"/>
  <c r="AD50" i="10"/>
  <c r="K33" i="7"/>
  <c r="L33" i="7" s="1"/>
  <c r="T47" i="9"/>
  <c r="AA57" i="11"/>
  <c r="AE115" i="11"/>
  <c r="Z115" i="11"/>
  <c r="Y115" i="11"/>
  <c r="Z162" i="10"/>
  <c r="AE162" i="10"/>
  <c r="Y162" i="10"/>
  <c r="AF102" i="11"/>
  <c r="AN130" i="8"/>
  <c r="AM130" i="8"/>
  <c r="AL130" i="8"/>
  <c r="AN130" i="11"/>
  <c r="AM130" i="11"/>
  <c r="AL130" i="11"/>
  <c r="Z169" i="8"/>
  <c r="Y169" i="8"/>
  <c r="AE169" i="8"/>
  <c r="AE147" i="9"/>
  <c r="Y147" i="9"/>
  <c r="Z147" i="9"/>
  <c r="Z43" i="9"/>
  <c r="AE137" i="10"/>
  <c r="Z137" i="10"/>
  <c r="Y137" i="10"/>
  <c r="Z174" i="11"/>
  <c r="Y174" i="11"/>
  <c r="AE174" i="11"/>
  <c r="AN112" i="11"/>
  <c r="AM112" i="11"/>
  <c r="AL112" i="11"/>
  <c r="T89" i="8"/>
  <c r="AC89" i="8"/>
  <c r="AG89" i="8" s="1"/>
  <c r="AC86" i="8"/>
  <c r="AG86" i="8" s="1"/>
  <c r="AC57" i="11"/>
  <c r="AG57" i="11" s="1"/>
  <c r="Z122" i="11"/>
  <c r="Y122" i="11"/>
  <c r="AE122" i="11"/>
  <c r="P32" i="7"/>
  <c r="Z160" i="11"/>
  <c r="Y160" i="11"/>
  <c r="AE160" i="11"/>
  <c r="AE130" i="8"/>
  <c r="Z130" i="8"/>
  <c r="Y130" i="8"/>
  <c r="AM164" i="11"/>
  <c r="AL164" i="11"/>
  <c r="AN164" i="11"/>
  <c r="AE64" i="8"/>
  <c r="Y64" i="8"/>
  <c r="Z64" i="8"/>
  <c r="AE140" i="10"/>
  <c r="Z140" i="10"/>
  <c r="Y140" i="10"/>
  <c r="AE173" i="8"/>
  <c r="Z173" i="8"/>
  <c r="Y173" i="8"/>
  <c r="X80" i="8"/>
  <c r="AF175" i="11"/>
  <c r="AE112" i="11"/>
  <c r="Z112" i="11"/>
  <c r="Y112" i="11"/>
  <c r="AA47" i="9"/>
  <c r="Y172" i="9"/>
  <c r="AE172" i="9"/>
  <c r="Z172" i="9"/>
  <c r="Z165" i="9"/>
  <c r="Y165" i="9"/>
  <c r="AE165" i="9"/>
  <c r="AC125" i="9"/>
  <c r="AG125" i="9" s="1"/>
  <c r="Y181" i="10"/>
  <c r="AE181" i="10"/>
  <c r="Z181" i="10"/>
  <c r="AE126" i="10"/>
  <c r="Z126" i="10"/>
  <c r="Y126" i="10"/>
  <c r="AA100" i="10"/>
  <c r="AC65" i="10"/>
  <c r="AG65" i="10" s="1"/>
  <c r="J32" i="7"/>
  <c r="H32" i="7"/>
  <c r="I32" i="7" s="1"/>
  <c r="G32" i="7"/>
  <c r="T108" i="10"/>
  <c r="AF108" i="10" s="1"/>
  <c r="G45" i="7"/>
  <c r="J45" i="7"/>
  <c r="H45" i="7"/>
  <c r="I45" i="7" s="1"/>
  <c r="AC107" i="10"/>
  <c r="AG107" i="10" s="1"/>
  <c r="AF116" i="11"/>
  <c r="AN155" i="8"/>
  <c r="AM155" i="8"/>
  <c r="AL155" i="8"/>
  <c r="AF155" i="8"/>
  <c r="Y43" i="8"/>
  <c r="AE43" i="8"/>
  <c r="Z43" i="8"/>
  <c r="AC58" i="8"/>
  <c r="AG58" i="8" s="1"/>
  <c r="AC61" i="9"/>
  <c r="AG61" i="9" s="1"/>
  <c r="X61" i="9"/>
  <c r="AE94" i="9"/>
  <c r="Y94" i="9"/>
  <c r="Z94" i="9"/>
  <c r="J57" i="7"/>
  <c r="H57" i="7"/>
  <c r="I57" i="7" s="1"/>
  <c r="G57" i="7"/>
  <c r="T80" i="8"/>
  <c r="AN130" i="9"/>
  <c r="AL130" i="9"/>
  <c r="AM130" i="9"/>
  <c r="AE152" i="10"/>
  <c r="Z152" i="10"/>
  <c r="Y152" i="10"/>
  <c r="AN157" i="8"/>
  <c r="AM157" i="8"/>
  <c r="AL157" i="8"/>
  <c r="AF145" i="10"/>
  <c r="X101" i="10"/>
  <c r="Z161" i="11"/>
  <c r="Y161" i="11"/>
  <c r="AE161" i="11"/>
  <c r="AN176" i="10"/>
  <c r="AM176" i="10"/>
  <c r="AL176" i="10"/>
  <c r="AN163" i="10"/>
  <c r="AM163" i="10"/>
  <c r="AL163" i="10"/>
  <c r="D35" i="5"/>
  <c r="D31" i="5"/>
  <c r="D39" i="5"/>
  <c r="D26" i="5"/>
  <c r="D33" i="5"/>
  <c r="D44" i="5"/>
  <c r="D36" i="5"/>
  <c r="D27" i="5"/>
  <c r="D40" i="5"/>
  <c r="AA96" i="9"/>
  <c r="Z178" i="10"/>
  <c r="Y178" i="10"/>
  <c r="AE178" i="10"/>
  <c r="AE180" i="11"/>
  <c r="Z180" i="11"/>
  <c r="Y180" i="11"/>
  <c r="AN97" i="11"/>
  <c r="AM97" i="11"/>
  <c r="AL97" i="11"/>
  <c r="AN122" i="11"/>
  <c r="AM122" i="11"/>
  <c r="AL122" i="11"/>
  <c r="AN85" i="11"/>
  <c r="AM85" i="11"/>
  <c r="AL85" i="11"/>
  <c r="Y50" i="11"/>
  <c r="AE50" i="11"/>
  <c r="Z50" i="11"/>
  <c r="Y71" i="8"/>
  <c r="AE71" i="8"/>
  <c r="Z71" i="8"/>
  <c r="AN108" i="10"/>
  <c r="AM108" i="10"/>
  <c r="AL108" i="10"/>
  <c r="AE94" i="11"/>
  <c r="Z94" i="11"/>
  <c r="Y94" i="11"/>
  <c r="Z158" i="10"/>
  <c r="Y158" i="10"/>
  <c r="AE158" i="10"/>
  <c r="AN170" i="8"/>
  <c r="AM170" i="8"/>
  <c r="AL170" i="8"/>
  <c r="AE170" i="8"/>
  <c r="Z170" i="8"/>
  <c r="Y170" i="8"/>
  <c r="AN161" i="9"/>
  <c r="AM161" i="9"/>
  <c r="AL161" i="9"/>
  <c r="P122" i="9"/>
  <c r="Q122" i="9" s="1"/>
  <c r="Y105" i="11"/>
  <c r="AE105" i="11"/>
  <c r="Z105" i="11"/>
  <c r="Z164" i="8"/>
  <c r="Y164" i="8"/>
  <c r="AE164" i="8"/>
  <c r="J36" i="7"/>
  <c r="H36" i="7"/>
  <c r="I36" i="7" s="1"/>
  <c r="G36" i="7"/>
  <c r="AF130" i="11"/>
  <c r="Z130" i="11"/>
  <c r="Y130" i="11"/>
  <c r="AE130" i="11"/>
  <c r="U108" i="8"/>
  <c r="AF130" i="9"/>
  <c r="Z101" i="11"/>
  <c r="Y101" i="11"/>
  <c r="AE101" i="11"/>
  <c r="AN140" i="9"/>
  <c r="AL140" i="9"/>
  <c r="AM140" i="9"/>
  <c r="AN176" i="8"/>
  <c r="AM176" i="8"/>
  <c r="AL176" i="8"/>
  <c r="P59" i="7"/>
  <c r="AF137" i="11"/>
  <c r="K55" i="7"/>
  <c r="L55" i="7" s="1"/>
  <c r="AF94" i="9" l="1"/>
  <c r="AB94" i="9"/>
  <c r="Z112" i="8"/>
  <c r="AK115" i="10"/>
  <c r="Z70" i="11"/>
  <c r="AM82" i="11"/>
  <c r="E126" i="10"/>
  <c r="AM127" i="10"/>
  <c r="AF127" i="10" s="1"/>
  <c r="AF115" i="10"/>
  <c r="K39" i="7"/>
  <c r="L39" i="7" s="1"/>
  <c r="Y43" i="9"/>
  <c r="E94" i="9"/>
  <c r="AM81" i="11"/>
  <c r="AF81" i="11" s="1"/>
  <c r="AE77" i="9"/>
  <c r="Y77" i="9"/>
  <c r="Z77" i="9"/>
  <c r="AK94" i="9"/>
  <c r="K62" i="7"/>
  <c r="L62" i="7" s="1"/>
  <c r="K48" i="7"/>
  <c r="L48" i="7" s="1"/>
  <c r="AM126" i="9"/>
  <c r="AF126" i="9" s="1"/>
  <c r="AD64" i="8"/>
  <c r="F82" i="9"/>
  <c r="E82" i="9"/>
  <c r="AE78" i="11"/>
  <c r="K54" i="7"/>
  <c r="L54" i="7" s="1"/>
  <c r="Y78" i="11"/>
  <c r="AD43" i="8"/>
  <c r="AB43" i="8"/>
  <c r="AK47" i="11"/>
  <c r="AB124" i="9"/>
  <c r="AD124" i="9"/>
  <c r="B15" i="7"/>
  <c r="B14" i="7"/>
  <c r="B16" i="7" s="1"/>
  <c r="N35" i="7" s="1"/>
  <c r="D32" i="5"/>
  <c r="D30" i="5"/>
  <c r="D42" i="5"/>
  <c r="AN101" i="9"/>
  <c r="AM122" i="10"/>
  <c r="AF122" i="10" s="1"/>
  <c r="Z119" i="10"/>
  <c r="K28" i="7"/>
  <c r="L28" i="7" s="1"/>
  <c r="AD64" i="11"/>
  <c r="F64" i="11" s="1"/>
  <c r="AE94" i="10"/>
  <c r="D23" i="5"/>
  <c r="D34" i="5"/>
  <c r="F103" i="8"/>
  <c r="E103" i="8"/>
  <c r="E89" i="9"/>
  <c r="F89" i="9"/>
  <c r="AD66" i="8"/>
  <c r="AB66" i="8"/>
  <c r="D20" i="5"/>
  <c r="D43" i="5"/>
  <c r="Z122" i="9"/>
  <c r="AK99" i="10"/>
  <c r="AK117" i="8"/>
  <c r="AM124" i="10"/>
  <c r="AK59" i="8"/>
  <c r="AB59" i="8"/>
  <c r="AD59" i="8"/>
  <c r="D25" i="5"/>
  <c r="D47" i="5"/>
  <c r="AL123" i="8"/>
  <c r="AM123" i="8" s="1"/>
  <c r="Y54" i="10"/>
  <c r="AF73" i="10"/>
  <c r="D29" i="5"/>
  <c r="D24" i="5"/>
  <c r="Y70" i="11"/>
  <c r="AL73" i="10"/>
  <c r="AB43" i="9"/>
  <c r="AD43" i="9"/>
  <c r="Y81" i="11"/>
  <c r="E99" i="10"/>
  <c r="AD106" i="9"/>
  <c r="AB106" i="9"/>
  <c r="AK71" i="8"/>
  <c r="AD71" i="8"/>
  <c r="AK66" i="8"/>
  <c r="D37" i="5"/>
  <c r="D38" i="5"/>
  <c r="AE89" i="9"/>
  <c r="AM121" i="8"/>
  <c r="AF121" i="8" s="1"/>
  <c r="Z81" i="11"/>
  <c r="K46" i="7"/>
  <c r="L46" i="7" s="1"/>
  <c r="D41" i="5"/>
  <c r="D45" i="5"/>
  <c r="K43" i="7"/>
  <c r="L43" i="7" s="1"/>
  <c r="Y89" i="9"/>
  <c r="AK89" i="9"/>
  <c r="B11" i="5"/>
  <c r="AK123" i="8"/>
  <c r="AD85" i="10"/>
  <c r="AB85" i="10"/>
  <c r="D46" i="5"/>
  <c r="D21" i="5"/>
  <c r="AL125" i="10"/>
  <c r="AM125" i="10" s="1"/>
  <c r="AA125" i="10" s="1"/>
  <c r="Y70" i="8"/>
  <c r="F124" i="10"/>
  <c r="E124" i="10"/>
  <c r="H124" i="10"/>
  <c r="G124" i="10"/>
  <c r="AB75" i="9"/>
  <c r="AD75" i="9"/>
  <c r="AK75" i="9"/>
  <c r="D22" i="5"/>
  <c r="D28" i="5"/>
  <c r="K49" i="7"/>
  <c r="L49" i="7" s="1"/>
  <c r="AM101" i="9"/>
  <c r="AE119" i="10"/>
  <c r="Y94" i="10"/>
  <c r="Z70" i="8"/>
  <c r="F122" i="9"/>
  <c r="E122" i="9"/>
  <c r="F82" i="10"/>
  <c r="E82" i="10"/>
  <c r="AD80" i="11"/>
  <c r="AB80" i="11"/>
  <c r="AK80" i="11"/>
  <c r="AD110" i="8"/>
  <c r="AB110" i="8"/>
  <c r="AA125" i="9"/>
  <c r="AF125" i="9"/>
  <c r="N66" i="7"/>
  <c r="N52" i="7"/>
  <c r="N38" i="7"/>
  <c r="N63" i="7"/>
  <c r="N49" i="7"/>
  <c r="N60" i="7"/>
  <c r="N46" i="7"/>
  <c r="N32" i="7"/>
  <c r="N43" i="7"/>
  <c r="N65" i="7"/>
  <c r="N51" i="7"/>
  <c r="N37" i="7"/>
  <c r="N62" i="7"/>
  <c r="N48" i="7"/>
  <c r="N34" i="7"/>
  <c r="N59" i="7"/>
  <c r="N31" i="7"/>
  <c r="N56" i="7"/>
  <c r="N42" i="7"/>
  <c r="N67" i="7"/>
  <c r="N39" i="7"/>
  <c r="N50" i="7"/>
  <c r="N44" i="7"/>
  <c r="N54" i="7"/>
  <c r="N64" i="7"/>
  <c r="N58" i="7"/>
  <c r="N68" i="7"/>
  <c r="N33" i="7"/>
  <c r="N47" i="7"/>
  <c r="N41" i="7"/>
  <c r="N40" i="7"/>
  <c r="N55" i="7"/>
  <c r="N36" i="7"/>
  <c r="AK47" i="9"/>
  <c r="AD47" i="9"/>
  <c r="E45" i="9"/>
  <c r="G45" i="9"/>
  <c r="F45" i="9"/>
  <c r="H45" i="9"/>
  <c r="AN84" i="9"/>
  <c r="AD82" i="8"/>
  <c r="AK82" i="8"/>
  <c r="AE54" i="11"/>
  <c r="Z54" i="11"/>
  <c r="Y54" i="11"/>
  <c r="AE52" i="11"/>
  <c r="Z52" i="11"/>
  <c r="Y52" i="11"/>
  <c r="AN127" i="9"/>
  <c r="AL127" i="9"/>
  <c r="AD120" i="8"/>
  <c r="AK120" i="8"/>
  <c r="AN127" i="8"/>
  <c r="AL127" i="8"/>
  <c r="AM127" i="8" s="1"/>
  <c r="AF127" i="8" s="1"/>
  <c r="AD124" i="8"/>
  <c r="AB124" i="8"/>
  <c r="AK124" i="8"/>
  <c r="AN120" i="8"/>
  <c r="AM120" i="8" s="1"/>
  <c r="AF120" i="8" s="1"/>
  <c r="AL120" i="8"/>
  <c r="E106" i="10"/>
  <c r="F106" i="10"/>
  <c r="AE75" i="8"/>
  <c r="Z75" i="8"/>
  <c r="Y75" i="8"/>
  <c r="AM115" i="8"/>
  <c r="AN115" i="8"/>
  <c r="AL115" i="8"/>
  <c r="AF115" i="8"/>
  <c r="AN126" i="8"/>
  <c r="AM126" i="8" s="1"/>
  <c r="AF126" i="8" s="1"/>
  <c r="AL126" i="8"/>
  <c r="AL84" i="11"/>
  <c r="AN84" i="11"/>
  <c r="E61" i="9"/>
  <c r="F61" i="9"/>
  <c r="Z64" i="11"/>
  <c r="Y64" i="11"/>
  <c r="AE64" i="11"/>
  <c r="AN56" i="9"/>
  <c r="H87" i="9"/>
  <c r="F87" i="9"/>
  <c r="G87" i="9"/>
  <c r="E87" i="9"/>
  <c r="K36" i="7"/>
  <c r="L36" i="7" s="1"/>
  <c r="K32" i="7"/>
  <c r="L32" i="7" s="1"/>
  <c r="Z80" i="8"/>
  <c r="Y80" i="8"/>
  <c r="AE80" i="8"/>
  <c r="AE110" i="9"/>
  <c r="Y110" i="9"/>
  <c r="Z110" i="9"/>
  <c r="E66" i="9"/>
  <c r="H66" i="9"/>
  <c r="F66" i="9"/>
  <c r="G66" i="9"/>
  <c r="E86" i="11"/>
  <c r="F86" i="11"/>
  <c r="E59" i="10"/>
  <c r="H59" i="10"/>
  <c r="G59" i="10"/>
  <c r="F59" i="10"/>
  <c r="K56" i="7"/>
  <c r="L56" i="7" s="1"/>
  <c r="AN98" i="9"/>
  <c r="AN124" i="8"/>
  <c r="AM124" i="8"/>
  <c r="AL124" i="8"/>
  <c r="AF124" i="8"/>
  <c r="E73" i="9"/>
  <c r="H73" i="9"/>
  <c r="F73" i="9"/>
  <c r="G73" i="9"/>
  <c r="Z61" i="8"/>
  <c r="Y61" i="8"/>
  <c r="AE61" i="8"/>
  <c r="AD84" i="11"/>
  <c r="AB84" i="11"/>
  <c r="AK84" i="11"/>
  <c r="AD64" i="9"/>
  <c r="AK64" i="9"/>
  <c r="AE73" i="11"/>
  <c r="Z73" i="11"/>
  <c r="Y73" i="11"/>
  <c r="F61" i="11"/>
  <c r="E61" i="11"/>
  <c r="AD113" i="9"/>
  <c r="AK113" i="9"/>
  <c r="AK103" i="10"/>
  <c r="AD103" i="10"/>
  <c r="Z98" i="10"/>
  <c r="Y98" i="10"/>
  <c r="AE98" i="10"/>
  <c r="F92" i="10"/>
  <c r="E92" i="10"/>
  <c r="Z63" i="8"/>
  <c r="AE63" i="8"/>
  <c r="Y63" i="8"/>
  <c r="K64" i="7"/>
  <c r="L64" i="7" s="1"/>
  <c r="F113" i="10"/>
  <c r="E113" i="10"/>
  <c r="K67" i="7"/>
  <c r="L67" i="7" s="1"/>
  <c r="AK92" i="8"/>
  <c r="AD92" i="8"/>
  <c r="AB92" i="8"/>
  <c r="E85" i="11"/>
  <c r="G85" i="11"/>
  <c r="F85" i="11"/>
  <c r="H85" i="11"/>
  <c r="AN73" i="11"/>
  <c r="AM73" i="11"/>
  <c r="AL73" i="11"/>
  <c r="AF73" i="11"/>
  <c r="AE56" i="11"/>
  <c r="Y56" i="11"/>
  <c r="Z56" i="11"/>
  <c r="AK96" i="10"/>
  <c r="AD96" i="10"/>
  <c r="F75" i="8"/>
  <c r="E75" i="8"/>
  <c r="AN45" i="11"/>
  <c r="AM45" i="11"/>
  <c r="AL45" i="11"/>
  <c r="AF45" i="11"/>
  <c r="E120" i="10"/>
  <c r="F120" i="10"/>
  <c r="Y59" i="11"/>
  <c r="Z59" i="11"/>
  <c r="AE59" i="11"/>
  <c r="AN63" i="8"/>
  <c r="F113" i="8"/>
  <c r="E113" i="8"/>
  <c r="H52" i="11"/>
  <c r="G52" i="11"/>
  <c r="F52" i="11"/>
  <c r="E52" i="11"/>
  <c r="E68" i="8"/>
  <c r="F68" i="8"/>
  <c r="AE127" i="10"/>
  <c r="H127" i="10" s="1"/>
  <c r="Z127" i="10"/>
  <c r="Y127" i="10"/>
  <c r="AN112" i="8"/>
  <c r="AE124" i="8"/>
  <c r="Z124" i="8"/>
  <c r="Y124" i="8"/>
  <c r="AK54" i="11"/>
  <c r="AD54" i="11"/>
  <c r="AN120" i="10"/>
  <c r="AL120" i="10"/>
  <c r="AN77" i="11"/>
  <c r="E78" i="10"/>
  <c r="F78" i="10"/>
  <c r="AL87" i="9"/>
  <c r="AN87" i="9"/>
  <c r="AM87" i="9"/>
  <c r="AF87" i="9"/>
  <c r="E81" i="11"/>
  <c r="H81" i="11"/>
  <c r="F81" i="11"/>
  <c r="G81" i="11"/>
  <c r="H45" i="11"/>
  <c r="G45" i="11"/>
  <c r="F45" i="11"/>
  <c r="E45" i="11"/>
  <c r="Z106" i="8"/>
  <c r="Y106" i="8"/>
  <c r="AE106" i="8"/>
  <c r="F126" i="8"/>
  <c r="E126" i="8"/>
  <c r="F125" i="10"/>
  <c r="E125" i="10"/>
  <c r="E50" i="10"/>
  <c r="F50" i="10"/>
  <c r="F85" i="8"/>
  <c r="E85" i="8"/>
  <c r="AM66" i="11"/>
  <c r="AL66" i="11"/>
  <c r="AN66" i="11"/>
  <c r="AF66" i="11"/>
  <c r="K60" i="7"/>
  <c r="L60" i="7" s="1"/>
  <c r="K34" i="7"/>
  <c r="L34" i="7" s="1"/>
  <c r="AN105" i="10"/>
  <c r="AK50" i="9"/>
  <c r="AD50" i="9"/>
  <c r="AD82" i="11"/>
  <c r="AK82" i="11"/>
  <c r="AN84" i="8"/>
  <c r="Z77" i="10"/>
  <c r="Y77" i="10"/>
  <c r="AE77" i="10"/>
  <c r="F57" i="10"/>
  <c r="E57" i="10"/>
  <c r="Z56" i="10"/>
  <c r="Y56" i="10"/>
  <c r="AE56" i="10"/>
  <c r="G115" i="9"/>
  <c r="E115" i="9"/>
  <c r="H115" i="9"/>
  <c r="F115" i="9"/>
  <c r="AE101" i="9"/>
  <c r="Z101" i="9"/>
  <c r="Y101" i="9"/>
  <c r="AE113" i="9"/>
  <c r="Z113" i="9"/>
  <c r="Y113" i="9"/>
  <c r="AE113" i="10"/>
  <c r="Z113" i="10"/>
  <c r="Y113" i="10"/>
  <c r="AE108" i="9"/>
  <c r="Z108" i="9"/>
  <c r="Y108" i="9"/>
  <c r="Z120" i="9"/>
  <c r="Y120" i="9"/>
  <c r="AE120" i="9"/>
  <c r="AD122" i="8"/>
  <c r="AK122" i="8"/>
  <c r="AK110" i="10"/>
  <c r="AD110" i="10"/>
  <c r="AB110" i="10"/>
  <c r="AE87" i="9"/>
  <c r="Z87" i="9"/>
  <c r="Y87" i="9"/>
  <c r="E117" i="8"/>
  <c r="F117" i="8"/>
  <c r="F117" i="9"/>
  <c r="E117" i="9"/>
  <c r="Z84" i="10"/>
  <c r="Y84" i="10"/>
  <c r="AE84" i="10"/>
  <c r="H94" i="10"/>
  <c r="G94" i="10"/>
  <c r="F94" i="10"/>
  <c r="E94" i="10"/>
  <c r="E43" i="10"/>
  <c r="F43" i="10"/>
  <c r="AE96" i="10"/>
  <c r="Z96" i="10"/>
  <c r="Y96" i="10"/>
  <c r="AD89" i="8"/>
  <c r="AK89" i="8"/>
  <c r="Z101" i="10"/>
  <c r="Y101" i="10"/>
  <c r="AE101" i="10"/>
  <c r="AN83" i="11"/>
  <c r="AL83" i="11"/>
  <c r="Y47" i="10"/>
  <c r="AE47" i="10"/>
  <c r="Z47" i="10"/>
  <c r="AK108" i="9"/>
  <c r="AB108" i="9"/>
  <c r="AD108" i="9"/>
  <c r="AE68" i="10"/>
  <c r="Z68" i="10"/>
  <c r="Y68" i="10"/>
  <c r="AN86" i="11"/>
  <c r="AL86" i="11"/>
  <c r="AM86" i="11" s="1"/>
  <c r="AA86" i="11" s="1"/>
  <c r="AK59" i="11"/>
  <c r="AB59" i="11"/>
  <c r="AD59" i="11"/>
  <c r="E71" i="11"/>
  <c r="F71" i="11"/>
  <c r="K11" i="10"/>
  <c r="A17" i="10"/>
  <c r="G7" i="10"/>
  <c r="G6" i="10"/>
  <c r="I48" i="10"/>
  <c r="I56" i="10"/>
  <c r="F20" i="10" s="1"/>
  <c r="I50" i="10"/>
  <c r="I65" i="10"/>
  <c r="I44" i="10"/>
  <c r="I53" i="10"/>
  <c r="I66" i="10"/>
  <c r="I46" i="10"/>
  <c r="I52" i="10"/>
  <c r="I61" i="10"/>
  <c r="I51" i="10"/>
  <c r="I58" i="10"/>
  <c r="I68" i="10"/>
  <c r="I67" i="10"/>
  <c r="I55" i="10"/>
  <c r="I49" i="10"/>
  <c r="F19" i="10" s="1"/>
  <c r="I45" i="10"/>
  <c r="I63" i="10"/>
  <c r="F21" i="10" s="1"/>
  <c r="I54" i="10"/>
  <c r="I57" i="10"/>
  <c r="I59" i="10"/>
  <c r="I62" i="10"/>
  <c r="I47" i="10"/>
  <c r="I64" i="10"/>
  <c r="I69" i="10"/>
  <c r="I43" i="10"/>
  <c r="I60" i="10"/>
  <c r="E80" i="9"/>
  <c r="G80" i="9"/>
  <c r="F80" i="9"/>
  <c r="H80" i="9"/>
  <c r="AN121" i="9"/>
  <c r="AL121" i="9"/>
  <c r="Z47" i="8"/>
  <c r="Y47" i="8"/>
  <c r="AE47" i="8"/>
  <c r="AD73" i="8"/>
  <c r="AB73" i="8"/>
  <c r="AK73" i="8"/>
  <c r="AF73" i="8"/>
  <c r="AM123" i="10"/>
  <c r="Y50" i="8"/>
  <c r="Z50" i="8"/>
  <c r="AE50" i="8"/>
  <c r="AD50" i="8"/>
  <c r="AK50" i="8"/>
  <c r="E123" i="8"/>
  <c r="F123" i="8"/>
  <c r="AB92" i="9"/>
  <c r="AD92" i="9"/>
  <c r="AK92" i="9"/>
  <c r="AN52" i="10"/>
  <c r="AM52" i="10"/>
  <c r="AL52" i="10"/>
  <c r="AF52" i="10"/>
  <c r="Z91" i="9"/>
  <c r="Y91" i="9"/>
  <c r="AE91" i="9"/>
  <c r="Z103" i="9"/>
  <c r="Y103" i="9"/>
  <c r="AE103" i="9"/>
  <c r="AE92" i="8"/>
  <c r="Z92" i="8"/>
  <c r="Y92" i="8"/>
  <c r="E87" i="10"/>
  <c r="H87" i="10"/>
  <c r="G87" i="10"/>
  <c r="F87" i="10"/>
  <c r="AK96" i="9"/>
  <c r="AD96" i="9"/>
  <c r="F125" i="9"/>
  <c r="E125" i="9"/>
  <c r="AB52" i="10"/>
  <c r="AK52" i="10"/>
  <c r="AD52" i="10"/>
  <c r="E57" i="9"/>
  <c r="F57" i="9"/>
  <c r="AN98" i="10"/>
  <c r="AE49" i="8"/>
  <c r="Z49" i="8"/>
  <c r="Y49" i="8"/>
  <c r="AD54" i="10"/>
  <c r="AK54" i="10"/>
  <c r="F50" i="11"/>
  <c r="E50" i="11"/>
  <c r="AE98" i="8"/>
  <c r="Z98" i="8"/>
  <c r="Y98" i="8"/>
  <c r="AK127" i="8"/>
  <c r="AD127" i="8"/>
  <c r="AB127" i="8"/>
  <c r="AB87" i="8"/>
  <c r="AK87" i="8"/>
  <c r="AD87" i="8"/>
  <c r="AE78" i="10"/>
  <c r="Y78" i="10"/>
  <c r="Z78" i="10"/>
  <c r="F123" i="9"/>
  <c r="E123" i="9"/>
  <c r="AN108" i="8"/>
  <c r="AM108" i="8"/>
  <c r="AL108" i="8"/>
  <c r="AF108" i="8"/>
  <c r="AE61" i="9"/>
  <c r="Z61" i="9"/>
  <c r="Y61" i="9"/>
  <c r="AE108" i="8"/>
  <c r="Z108" i="8"/>
  <c r="Y108" i="8"/>
  <c r="AK54" i="8"/>
  <c r="AD54" i="8"/>
  <c r="Y117" i="8"/>
  <c r="AE117" i="8"/>
  <c r="Z117" i="8"/>
  <c r="AL108" i="9"/>
  <c r="AN108" i="9"/>
  <c r="AM108" i="9"/>
  <c r="AF108" i="9"/>
  <c r="AE52" i="10"/>
  <c r="Z52" i="10"/>
  <c r="Y52" i="10"/>
  <c r="AN120" i="9"/>
  <c r="AL120" i="9"/>
  <c r="AB88" i="11"/>
  <c r="AK88" i="11"/>
  <c r="AD88" i="11"/>
  <c r="AF88" i="11"/>
  <c r="AE122" i="8"/>
  <c r="Y122" i="8"/>
  <c r="Z122" i="8"/>
  <c r="E68" i="11"/>
  <c r="F68" i="11"/>
  <c r="AB45" i="10"/>
  <c r="AD45" i="10"/>
  <c r="AK45" i="10"/>
  <c r="AM87" i="11"/>
  <c r="AF87" i="11" s="1"/>
  <c r="H87" i="11" s="1"/>
  <c r="AB127" i="9"/>
  <c r="AK127" i="9"/>
  <c r="AD127" i="9"/>
  <c r="F121" i="10"/>
  <c r="E121" i="10"/>
  <c r="F122" i="10"/>
  <c r="E122" i="10"/>
  <c r="F71" i="9"/>
  <c r="E71" i="9"/>
  <c r="AE94" i="8"/>
  <c r="Z94" i="8"/>
  <c r="Y94" i="8"/>
  <c r="F61" i="10"/>
  <c r="E61" i="10"/>
  <c r="K50" i="7"/>
  <c r="L50" i="7" s="1"/>
  <c r="AF82" i="11"/>
  <c r="AB80" i="8"/>
  <c r="AK80" i="8"/>
  <c r="AD80" i="8"/>
  <c r="AF80" i="8"/>
  <c r="K45" i="7"/>
  <c r="L45" i="7" s="1"/>
  <c r="AE83" i="11"/>
  <c r="Y83" i="11"/>
  <c r="Z83" i="11"/>
  <c r="AE49" i="10"/>
  <c r="Z49" i="10"/>
  <c r="Y49" i="10"/>
  <c r="AK120" i="9"/>
  <c r="AD120" i="9"/>
  <c r="Z64" i="10"/>
  <c r="Y64" i="10"/>
  <c r="AE64" i="10"/>
  <c r="F99" i="8"/>
  <c r="E99" i="8"/>
  <c r="AB115" i="8"/>
  <c r="AD115" i="8"/>
  <c r="AK115" i="8"/>
  <c r="AN87" i="8"/>
  <c r="AM87" i="8"/>
  <c r="AL87" i="8"/>
  <c r="AF87" i="8"/>
  <c r="E78" i="9"/>
  <c r="F78" i="9"/>
  <c r="E121" i="8"/>
  <c r="F121" i="8"/>
  <c r="K42" i="7"/>
  <c r="L42" i="7" s="1"/>
  <c r="AN94" i="10"/>
  <c r="AM94" i="10"/>
  <c r="AL94" i="10"/>
  <c r="AF94" i="10"/>
  <c r="AB94" i="8"/>
  <c r="AD94" i="8"/>
  <c r="AK94" i="8"/>
  <c r="AN84" i="10"/>
  <c r="Z56" i="9"/>
  <c r="Y56" i="9"/>
  <c r="AE56" i="9"/>
  <c r="AD75" i="10"/>
  <c r="AK75" i="10"/>
  <c r="AB75" i="10"/>
  <c r="AD101" i="9"/>
  <c r="AK101" i="9"/>
  <c r="AB101" i="9"/>
  <c r="Z57" i="8"/>
  <c r="Y57" i="8"/>
  <c r="AE57" i="8"/>
  <c r="AK110" i="9"/>
  <c r="AB110" i="9"/>
  <c r="AD110" i="9"/>
  <c r="Z59" i="10"/>
  <c r="Y59" i="10"/>
  <c r="AE59" i="10"/>
  <c r="AN125" i="8"/>
  <c r="AL125" i="8"/>
  <c r="AM125" i="8" s="1"/>
  <c r="AA125" i="8" s="1"/>
  <c r="AK85" i="9"/>
  <c r="AB85" i="9"/>
  <c r="AD85" i="9"/>
  <c r="AE50" i="9"/>
  <c r="Z50" i="9"/>
  <c r="Y50" i="9"/>
  <c r="AN94" i="8"/>
  <c r="AM94" i="8"/>
  <c r="AL94" i="8"/>
  <c r="AF94" i="8"/>
  <c r="A17" i="11"/>
  <c r="G7" i="11"/>
  <c r="K11" i="11"/>
  <c r="G6" i="11"/>
  <c r="I51" i="11"/>
  <c r="A14" i="11"/>
  <c r="I67" i="11"/>
  <c r="I58" i="11"/>
  <c r="I50" i="11"/>
  <c r="I47" i="11"/>
  <c r="I65" i="11"/>
  <c r="I57" i="11"/>
  <c r="I55" i="11"/>
  <c r="I59" i="11"/>
  <c r="I66" i="11"/>
  <c r="I60" i="11"/>
  <c r="I52" i="11"/>
  <c r="I44" i="11"/>
  <c r="I68" i="11"/>
  <c r="I69" i="11"/>
  <c r="I61" i="11"/>
  <c r="I46" i="11"/>
  <c r="I64" i="11"/>
  <c r="I54" i="11"/>
  <c r="I49" i="11"/>
  <c r="F19" i="11" s="1"/>
  <c r="I48" i="11"/>
  <c r="I43" i="11"/>
  <c r="I53" i="11"/>
  <c r="I63" i="11"/>
  <c r="F21" i="11" s="1"/>
  <c r="I56" i="11"/>
  <c r="F20" i="11" s="1"/>
  <c r="I62" i="11"/>
  <c r="I45" i="11"/>
  <c r="Z71" i="10"/>
  <c r="AE71" i="10"/>
  <c r="Y71" i="10"/>
  <c r="AK106" i="8"/>
  <c r="AD106" i="8"/>
  <c r="AB106" i="8"/>
  <c r="AN123" i="9"/>
  <c r="AL123" i="9"/>
  <c r="AM123" i="9" s="1"/>
  <c r="AA123" i="9" s="1"/>
  <c r="F61" i="8"/>
  <c r="E61" i="8"/>
  <c r="K57" i="7"/>
  <c r="L57" i="7" s="1"/>
  <c r="AE96" i="9"/>
  <c r="Y96" i="9"/>
  <c r="Z96" i="9"/>
  <c r="AK57" i="8"/>
  <c r="AD57" i="8"/>
  <c r="AK83" i="11"/>
  <c r="AB83" i="11"/>
  <c r="AD83" i="11"/>
  <c r="Y85" i="8"/>
  <c r="AE85" i="8"/>
  <c r="Z85" i="8"/>
  <c r="AF101" i="9"/>
  <c r="Y103" i="10"/>
  <c r="AE103" i="10"/>
  <c r="Z103" i="10"/>
  <c r="AK68" i="10"/>
  <c r="AD68" i="10"/>
  <c r="AN49" i="10"/>
  <c r="AL122" i="8"/>
  <c r="AN122" i="8"/>
  <c r="G52" i="8"/>
  <c r="H52" i="8"/>
  <c r="E52" i="8"/>
  <c r="F52" i="8"/>
  <c r="AE71" i="11"/>
  <c r="Z71" i="11"/>
  <c r="Y71" i="11"/>
  <c r="K31" i="7"/>
  <c r="L31" i="7" s="1"/>
  <c r="AE127" i="8"/>
  <c r="Y127" i="8"/>
  <c r="Z127" i="8"/>
  <c r="AE115" i="8"/>
  <c r="Y115" i="8"/>
  <c r="Z115" i="8"/>
  <c r="A17" i="8"/>
  <c r="G7" i="8"/>
  <c r="G6" i="8"/>
  <c r="K11" i="8"/>
  <c r="I44" i="8"/>
  <c r="I52" i="8"/>
  <c r="I60" i="8"/>
  <c r="I45" i="8"/>
  <c r="I64" i="8"/>
  <c r="I48" i="8"/>
  <c r="I65" i="8"/>
  <c r="I69" i="8"/>
  <c r="I46" i="8"/>
  <c r="I53" i="8"/>
  <c r="I56" i="8"/>
  <c r="F20" i="8" s="1"/>
  <c r="I54" i="8"/>
  <c r="I57" i="8"/>
  <c r="I67" i="8"/>
  <c r="I58" i="8"/>
  <c r="I47" i="8"/>
  <c r="I43" i="8"/>
  <c r="I49" i="8"/>
  <c r="F19" i="8" s="1"/>
  <c r="I59" i="8"/>
  <c r="I55" i="8"/>
  <c r="I68" i="8"/>
  <c r="I63" i="8"/>
  <c r="F21" i="8" s="1"/>
  <c r="I61" i="8"/>
  <c r="I50" i="8"/>
  <c r="I51" i="8"/>
  <c r="I62" i="8"/>
  <c r="I66" i="8"/>
  <c r="AK108" i="10"/>
  <c r="AD108" i="10"/>
  <c r="AB108" i="10"/>
  <c r="Z106" i="10"/>
  <c r="Y106" i="10"/>
  <c r="AE106" i="10"/>
  <c r="Y57" i="9"/>
  <c r="Z57" i="9"/>
  <c r="AE57" i="9"/>
  <c r="AD96" i="8"/>
  <c r="AK96" i="8"/>
  <c r="F127" i="10"/>
  <c r="G127" i="10"/>
  <c r="E127" i="10"/>
  <c r="AN119" i="10"/>
  <c r="AN45" i="10"/>
  <c r="AM45" i="10"/>
  <c r="AL45" i="10"/>
  <c r="AF45" i="10"/>
  <c r="E66" i="11"/>
  <c r="H66" i="11"/>
  <c r="G66" i="11"/>
  <c r="F66" i="11"/>
  <c r="Z45" i="10"/>
  <c r="Y45" i="10"/>
  <c r="AE45" i="10"/>
  <c r="AK47" i="8"/>
  <c r="AD47" i="8"/>
  <c r="AE124" i="10"/>
  <c r="Z124" i="10"/>
  <c r="Y124" i="10"/>
  <c r="AE73" i="8"/>
  <c r="Z73" i="8"/>
  <c r="Y73" i="8"/>
  <c r="A17" i="9"/>
  <c r="G7" i="9"/>
  <c r="K11" i="9"/>
  <c r="G6" i="9"/>
  <c r="I59" i="9"/>
  <c r="I49" i="9"/>
  <c r="F19" i="9" s="1"/>
  <c r="I55" i="9"/>
  <c r="I62" i="9"/>
  <c r="I48" i="9"/>
  <c r="I63" i="9"/>
  <c r="F21" i="9" s="1"/>
  <c r="I66" i="9"/>
  <c r="I45" i="9"/>
  <c r="I52" i="9"/>
  <c r="I69" i="9"/>
  <c r="I47" i="9"/>
  <c r="I58" i="9"/>
  <c r="I43" i="9"/>
  <c r="I61" i="9"/>
  <c r="I57" i="9"/>
  <c r="I67" i="9"/>
  <c r="I56" i="9"/>
  <c r="F20" i="9" s="1"/>
  <c r="I53" i="9"/>
  <c r="I60" i="9"/>
  <c r="I65" i="9"/>
  <c r="I54" i="9"/>
  <c r="I44" i="9"/>
  <c r="I68" i="9"/>
  <c r="I64" i="9"/>
  <c r="I46" i="9"/>
  <c r="I51" i="9"/>
  <c r="I50" i="9"/>
  <c r="AD71" i="10"/>
  <c r="AK71" i="10"/>
  <c r="AE64" i="9"/>
  <c r="Z64" i="9"/>
  <c r="Y64" i="9"/>
  <c r="AF59" i="11"/>
  <c r="AB73" i="11"/>
  <c r="AK73" i="11"/>
  <c r="AD73" i="11"/>
  <c r="E64" i="8"/>
  <c r="F64" i="8"/>
  <c r="E43" i="8" l="1"/>
  <c r="F43" i="8"/>
  <c r="N61" i="7"/>
  <c r="N53" i="7"/>
  <c r="N29" i="7"/>
  <c r="AF125" i="10"/>
  <c r="AM84" i="11"/>
  <c r="N69" i="7"/>
  <c r="N28" i="7"/>
  <c r="N57" i="7"/>
  <c r="AM122" i="8"/>
  <c r="AF122" i="8" s="1"/>
  <c r="AM121" i="9"/>
  <c r="AF121" i="9" s="1"/>
  <c r="N30" i="7"/>
  <c r="N45" i="7"/>
  <c r="H124" i="9"/>
  <c r="G124" i="9"/>
  <c r="F124" i="9"/>
  <c r="E124" i="9"/>
  <c r="AA123" i="8"/>
  <c r="AF123" i="8"/>
  <c r="AM120" i="9"/>
  <c r="AF120" i="9" s="1"/>
  <c r="AM127" i="9"/>
  <c r="AF127" i="9" s="1"/>
  <c r="H127" i="9" s="1"/>
  <c r="E43" i="9"/>
  <c r="F43" i="9"/>
  <c r="E64" i="11"/>
  <c r="AM83" i="11"/>
  <c r="AF83" i="11" s="1"/>
  <c r="H83" i="11" s="1"/>
  <c r="E85" i="10"/>
  <c r="F85" i="10"/>
  <c r="H66" i="8"/>
  <c r="G66" i="8"/>
  <c r="F66" i="8"/>
  <c r="E66" i="8"/>
  <c r="E110" i="8"/>
  <c r="F110" i="8"/>
  <c r="F71" i="8"/>
  <c r="E71" i="8"/>
  <c r="B12" i="5"/>
  <c r="B13" i="5"/>
  <c r="F75" i="9"/>
  <c r="E75" i="9"/>
  <c r="G80" i="11"/>
  <c r="H80" i="11"/>
  <c r="F80" i="11"/>
  <c r="E80" i="11"/>
  <c r="E106" i="9"/>
  <c r="F106" i="9"/>
  <c r="G59" i="8"/>
  <c r="E59" i="8"/>
  <c r="F59" i="8"/>
  <c r="H59" i="8"/>
  <c r="AA84" i="11"/>
  <c r="AF84" i="11"/>
  <c r="F92" i="9"/>
  <c r="E92" i="9"/>
  <c r="F75" i="10"/>
  <c r="E75" i="10"/>
  <c r="G9" i="10"/>
  <c r="P56" i="10" s="1"/>
  <c r="P95" i="10"/>
  <c r="P109" i="10"/>
  <c r="P79" i="10"/>
  <c r="E84" i="11"/>
  <c r="F84" i="11"/>
  <c r="E96" i="8"/>
  <c r="F96" i="8"/>
  <c r="G9" i="8"/>
  <c r="P101" i="8" s="1"/>
  <c r="P46" i="8"/>
  <c r="P69" i="8"/>
  <c r="P98" i="8"/>
  <c r="P100" i="8"/>
  <c r="P106" i="8"/>
  <c r="P84" i="8"/>
  <c r="P112" i="8"/>
  <c r="G115" i="8"/>
  <c r="E115" i="8"/>
  <c r="H115" i="8"/>
  <c r="F115" i="8"/>
  <c r="O181" i="10"/>
  <c r="R181" i="10" s="1"/>
  <c r="S181" i="10" s="1"/>
  <c r="O179" i="10"/>
  <c r="R179" i="10" s="1"/>
  <c r="S179" i="10" s="1"/>
  <c r="O173" i="10"/>
  <c r="R173" i="10" s="1"/>
  <c r="S173" i="10" s="1"/>
  <c r="O176" i="10"/>
  <c r="R176" i="10" s="1"/>
  <c r="S176" i="10" s="1"/>
  <c r="O165" i="10"/>
  <c r="R165" i="10" s="1"/>
  <c r="S165" i="10" s="1"/>
  <c r="O168" i="10"/>
  <c r="R168" i="10" s="1"/>
  <c r="S168" i="10" s="1"/>
  <c r="O182" i="10"/>
  <c r="R182" i="10" s="1"/>
  <c r="S182" i="10" s="1"/>
  <c r="O180" i="10"/>
  <c r="R180" i="10" s="1"/>
  <c r="S180" i="10" s="1"/>
  <c r="O171" i="10"/>
  <c r="R171" i="10" s="1"/>
  <c r="S171" i="10" s="1"/>
  <c r="O174" i="10"/>
  <c r="R174" i="10" s="1"/>
  <c r="S174" i="10" s="1"/>
  <c r="O183" i="10"/>
  <c r="R183" i="10" s="1"/>
  <c r="S183" i="10" s="1"/>
  <c r="O177" i="10"/>
  <c r="R177" i="10" s="1"/>
  <c r="S177" i="10" s="1"/>
  <c r="O163" i="10"/>
  <c r="R163" i="10" s="1"/>
  <c r="S163" i="10" s="1"/>
  <c r="O172" i="10"/>
  <c r="R172" i="10" s="1"/>
  <c r="S172" i="10" s="1"/>
  <c r="O158" i="10"/>
  <c r="R158" i="10" s="1"/>
  <c r="S158" i="10" s="1"/>
  <c r="O178" i="10"/>
  <c r="R178" i="10" s="1"/>
  <c r="S178" i="10" s="1"/>
  <c r="O164" i="10"/>
  <c r="R164" i="10" s="1"/>
  <c r="S164" i="10" s="1"/>
  <c r="O156" i="10"/>
  <c r="R156" i="10" s="1"/>
  <c r="S156" i="10" s="1"/>
  <c r="O142" i="10"/>
  <c r="R142" i="10" s="1"/>
  <c r="S142" i="10" s="1"/>
  <c r="O166" i="10"/>
  <c r="R166" i="10" s="1"/>
  <c r="S166" i="10" s="1"/>
  <c r="O145" i="10"/>
  <c r="R145" i="10" s="1"/>
  <c r="S145" i="10" s="1"/>
  <c r="O170" i="10"/>
  <c r="R170" i="10" s="1"/>
  <c r="S170" i="10" s="1"/>
  <c r="O148" i="10"/>
  <c r="R148" i="10" s="1"/>
  <c r="S148" i="10" s="1"/>
  <c r="O167" i="10"/>
  <c r="R167" i="10" s="1"/>
  <c r="S167" i="10" s="1"/>
  <c r="O160" i="10"/>
  <c r="R160" i="10" s="1"/>
  <c r="S160" i="10" s="1"/>
  <c r="O151" i="10"/>
  <c r="R151" i="10" s="1"/>
  <c r="S151" i="10" s="1"/>
  <c r="O169" i="10"/>
  <c r="R169" i="10" s="1"/>
  <c r="S169" i="10" s="1"/>
  <c r="O154" i="10"/>
  <c r="R154" i="10" s="1"/>
  <c r="S154" i="10" s="1"/>
  <c r="O140" i="10"/>
  <c r="R140" i="10" s="1"/>
  <c r="S140" i="10" s="1"/>
  <c r="O157" i="10"/>
  <c r="R157" i="10" s="1"/>
  <c r="S157" i="10" s="1"/>
  <c r="O143" i="10"/>
  <c r="R143" i="10" s="1"/>
  <c r="S143" i="10" s="1"/>
  <c r="O159" i="10"/>
  <c r="R159" i="10" s="1"/>
  <c r="S159" i="10" s="1"/>
  <c r="O149" i="10"/>
  <c r="R149" i="10" s="1"/>
  <c r="S149" i="10" s="1"/>
  <c r="O152" i="10"/>
  <c r="R152" i="10" s="1"/>
  <c r="S152" i="10" s="1"/>
  <c r="O155" i="10"/>
  <c r="R155" i="10" s="1"/>
  <c r="S155" i="10" s="1"/>
  <c r="O141" i="10"/>
  <c r="R141" i="10" s="1"/>
  <c r="S141" i="10" s="1"/>
  <c r="O128" i="10"/>
  <c r="R128" i="10" s="1"/>
  <c r="S128" i="10" s="1"/>
  <c r="O131" i="10"/>
  <c r="R131" i="10" s="1"/>
  <c r="S131" i="10" s="1"/>
  <c r="O117" i="10"/>
  <c r="O153" i="10"/>
  <c r="R153" i="10" s="1"/>
  <c r="S153" i="10" s="1"/>
  <c r="O134" i="10"/>
  <c r="R134" i="10" s="1"/>
  <c r="S134" i="10" s="1"/>
  <c r="O120" i="10"/>
  <c r="R120" i="10" s="1"/>
  <c r="S120" i="10" s="1"/>
  <c r="O123" i="10"/>
  <c r="R123" i="10" s="1"/>
  <c r="S123" i="10" s="1"/>
  <c r="O126" i="10"/>
  <c r="R126" i="10" s="1"/>
  <c r="S126" i="10" s="1"/>
  <c r="O147" i="10"/>
  <c r="R147" i="10" s="1"/>
  <c r="S147" i="10" s="1"/>
  <c r="O139" i="10"/>
  <c r="R139" i="10" s="1"/>
  <c r="S139" i="10" s="1"/>
  <c r="O137" i="10"/>
  <c r="R137" i="10" s="1"/>
  <c r="S137" i="10" s="1"/>
  <c r="O129" i="10"/>
  <c r="R129" i="10" s="1"/>
  <c r="S129" i="10" s="1"/>
  <c r="O175" i="10"/>
  <c r="R175" i="10" s="1"/>
  <c r="S175" i="10" s="1"/>
  <c r="O144" i="10"/>
  <c r="R144" i="10" s="1"/>
  <c r="S144" i="10" s="1"/>
  <c r="O132" i="10"/>
  <c r="R132" i="10" s="1"/>
  <c r="S132" i="10" s="1"/>
  <c r="O135" i="10"/>
  <c r="R135" i="10" s="1"/>
  <c r="S135" i="10" s="1"/>
  <c r="O121" i="10"/>
  <c r="R121" i="10" s="1"/>
  <c r="S121" i="10" s="1"/>
  <c r="O161" i="10"/>
  <c r="R161" i="10" s="1"/>
  <c r="S161" i="10" s="1"/>
  <c r="O146" i="10"/>
  <c r="R146" i="10" s="1"/>
  <c r="S146" i="10" s="1"/>
  <c r="O124" i="10"/>
  <c r="R124" i="10" s="1"/>
  <c r="S124" i="10" s="1"/>
  <c r="O127" i="10"/>
  <c r="R127" i="10" s="1"/>
  <c r="S127" i="10" s="1"/>
  <c r="O113" i="10"/>
  <c r="O136" i="10"/>
  <c r="R136" i="10" s="1"/>
  <c r="S136" i="10" s="1"/>
  <c r="O122" i="10"/>
  <c r="R122" i="10" s="1"/>
  <c r="S122" i="10" s="1"/>
  <c r="O112" i="10"/>
  <c r="O101" i="10"/>
  <c r="O87" i="10"/>
  <c r="O162" i="10"/>
  <c r="R162" i="10" s="1"/>
  <c r="S162" i="10" s="1"/>
  <c r="O130" i="10"/>
  <c r="R130" i="10" s="1"/>
  <c r="S130" i="10" s="1"/>
  <c r="O119" i="10"/>
  <c r="O104" i="10"/>
  <c r="O90" i="10"/>
  <c r="O118" i="10"/>
  <c r="O115" i="10"/>
  <c r="O107" i="10"/>
  <c r="O93" i="10"/>
  <c r="O111" i="10"/>
  <c r="O96" i="10"/>
  <c r="O82" i="10"/>
  <c r="O99" i="10"/>
  <c r="O85" i="10"/>
  <c r="O138" i="10"/>
  <c r="R138" i="10" s="1"/>
  <c r="S138" i="10" s="1"/>
  <c r="O102" i="10"/>
  <c r="O88" i="10"/>
  <c r="O125" i="10"/>
  <c r="R125" i="10" s="1"/>
  <c r="S125" i="10" s="1"/>
  <c r="O114" i="10"/>
  <c r="O105" i="10"/>
  <c r="O91" i="10"/>
  <c r="O110" i="10"/>
  <c r="O108" i="10"/>
  <c r="O94" i="10"/>
  <c r="O80" i="10"/>
  <c r="O133" i="10"/>
  <c r="R133" i="10" s="1"/>
  <c r="S133" i="10" s="1"/>
  <c r="O97" i="10"/>
  <c r="O100" i="10"/>
  <c r="O86" i="10"/>
  <c r="O72" i="10"/>
  <c r="O116" i="10"/>
  <c r="O73" i="10"/>
  <c r="O59" i="10"/>
  <c r="O45" i="10"/>
  <c r="O62" i="10"/>
  <c r="O48" i="10"/>
  <c r="O76" i="10"/>
  <c r="O65" i="10"/>
  <c r="O51" i="10"/>
  <c r="O92" i="10"/>
  <c r="O89" i="10"/>
  <c r="O68" i="10"/>
  <c r="O54" i="10"/>
  <c r="O57" i="10"/>
  <c r="O43" i="10"/>
  <c r="O109" i="10"/>
  <c r="O95" i="10"/>
  <c r="O75" i="10"/>
  <c r="O60" i="10"/>
  <c r="O46" i="10"/>
  <c r="O103" i="10"/>
  <c r="O83" i="10"/>
  <c r="O79" i="10"/>
  <c r="O63" i="10"/>
  <c r="O49" i="10"/>
  <c r="O84" i="10"/>
  <c r="O78" i="10"/>
  <c r="O66" i="10"/>
  <c r="O52" i="10"/>
  <c r="O71" i="10"/>
  <c r="O69" i="10"/>
  <c r="O55" i="10"/>
  <c r="O81" i="10"/>
  <c r="O58" i="10"/>
  <c r="O44" i="10"/>
  <c r="O106" i="10"/>
  <c r="O67" i="10"/>
  <c r="O53" i="10"/>
  <c r="O77" i="10"/>
  <c r="O61" i="10"/>
  <c r="O47" i="10"/>
  <c r="O74" i="10"/>
  <c r="O50" i="10"/>
  <c r="O64" i="10"/>
  <c r="O150" i="10"/>
  <c r="R150" i="10" s="1"/>
  <c r="S150" i="10" s="1"/>
  <c r="O70" i="10"/>
  <c r="O98" i="10"/>
  <c r="O56" i="10"/>
  <c r="AM120" i="10"/>
  <c r="AF120" i="10" s="1"/>
  <c r="F113" i="9"/>
  <c r="E113" i="9"/>
  <c r="E52" i="10"/>
  <c r="H52" i="10"/>
  <c r="G52" i="10"/>
  <c r="F52" i="10"/>
  <c r="F82" i="11"/>
  <c r="E82" i="11"/>
  <c r="H88" i="11"/>
  <c r="F88" i="11"/>
  <c r="G88" i="11"/>
  <c r="E88" i="11"/>
  <c r="G108" i="9"/>
  <c r="F108" i="9"/>
  <c r="E108" i="9"/>
  <c r="H108" i="9"/>
  <c r="E110" i="10"/>
  <c r="F110" i="10"/>
  <c r="E50" i="9"/>
  <c r="F50" i="9"/>
  <c r="E120" i="8"/>
  <c r="F120" i="8"/>
  <c r="E89" i="8"/>
  <c r="F89" i="8"/>
  <c r="E54" i="10"/>
  <c r="F54" i="10"/>
  <c r="H73" i="8"/>
  <c r="F73" i="8"/>
  <c r="E73" i="8"/>
  <c r="G73" i="8"/>
  <c r="F54" i="11"/>
  <c r="E54" i="11"/>
  <c r="F71" i="10"/>
  <c r="E71" i="10"/>
  <c r="E47" i="8"/>
  <c r="F47" i="8"/>
  <c r="E85" i="9"/>
  <c r="F85" i="9"/>
  <c r="E96" i="9"/>
  <c r="F96" i="9"/>
  <c r="F50" i="8"/>
  <c r="E50" i="8"/>
  <c r="F96" i="10"/>
  <c r="E96" i="10"/>
  <c r="F92" i="8"/>
  <c r="E92" i="8"/>
  <c r="F82" i="8"/>
  <c r="E82" i="8"/>
  <c r="F127" i="9"/>
  <c r="G127" i="9"/>
  <c r="E127" i="9"/>
  <c r="H80" i="8"/>
  <c r="E80" i="8"/>
  <c r="G80" i="8"/>
  <c r="F80" i="8"/>
  <c r="F68" i="10"/>
  <c r="E68" i="10"/>
  <c r="G83" i="11"/>
  <c r="E83" i="11"/>
  <c r="F83" i="11"/>
  <c r="AF123" i="9"/>
  <c r="H45" i="10"/>
  <c r="G45" i="10"/>
  <c r="F45" i="10"/>
  <c r="E45" i="10"/>
  <c r="E54" i="8"/>
  <c r="F54" i="8"/>
  <c r="F59" i="11"/>
  <c r="E59" i="11"/>
  <c r="G59" i="11"/>
  <c r="H59" i="11"/>
  <c r="F122" i="8"/>
  <c r="E122" i="8"/>
  <c r="H87" i="8"/>
  <c r="G87" i="8"/>
  <c r="F87" i="8"/>
  <c r="E87" i="8"/>
  <c r="O175" i="8"/>
  <c r="R175" i="8" s="1"/>
  <c r="S175" i="8" s="1"/>
  <c r="O178" i="8"/>
  <c r="R178" i="8" s="1"/>
  <c r="S178" i="8" s="1"/>
  <c r="O164" i="8"/>
  <c r="R164" i="8" s="1"/>
  <c r="S164" i="8" s="1"/>
  <c r="O181" i="8"/>
  <c r="R181" i="8" s="1"/>
  <c r="S181" i="8" s="1"/>
  <c r="O167" i="8"/>
  <c r="R167" i="8" s="1"/>
  <c r="S167" i="8" s="1"/>
  <c r="O173" i="8"/>
  <c r="R173" i="8" s="1"/>
  <c r="S173" i="8" s="1"/>
  <c r="O159" i="8"/>
  <c r="R159" i="8" s="1"/>
  <c r="S159" i="8" s="1"/>
  <c r="O176" i="8"/>
  <c r="R176" i="8" s="1"/>
  <c r="S176" i="8" s="1"/>
  <c r="O179" i="8"/>
  <c r="R179" i="8" s="1"/>
  <c r="S179" i="8" s="1"/>
  <c r="O165" i="8"/>
  <c r="R165" i="8" s="1"/>
  <c r="S165" i="8" s="1"/>
  <c r="O182" i="8"/>
  <c r="R182" i="8" s="1"/>
  <c r="S182" i="8" s="1"/>
  <c r="O168" i="8"/>
  <c r="R168" i="8" s="1"/>
  <c r="S168" i="8" s="1"/>
  <c r="O171" i="8"/>
  <c r="R171" i="8" s="1"/>
  <c r="S171" i="8" s="1"/>
  <c r="O174" i="8"/>
  <c r="R174" i="8" s="1"/>
  <c r="S174" i="8" s="1"/>
  <c r="O160" i="8"/>
  <c r="R160" i="8" s="1"/>
  <c r="S160" i="8" s="1"/>
  <c r="O170" i="8"/>
  <c r="R170" i="8" s="1"/>
  <c r="S170" i="8" s="1"/>
  <c r="O148" i="8"/>
  <c r="R148" i="8" s="1"/>
  <c r="S148" i="8" s="1"/>
  <c r="O134" i="8"/>
  <c r="R134" i="8" s="1"/>
  <c r="S134" i="8" s="1"/>
  <c r="O151" i="8"/>
  <c r="R151" i="8" s="1"/>
  <c r="S151" i="8" s="1"/>
  <c r="O137" i="8"/>
  <c r="R137" i="8" s="1"/>
  <c r="S137" i="8" s="1"/>
  <c r="O123" i="8"/>
  <c r="R123" i="8" s="1"/>
  <c r="S123" i="8" s="1"/>
  <c r="O172" i="8"/>
  <c r="R172" i="8" s="1"/>
  <c r="S172" i="8" s="1"/>
  <c r="O169" i="8"/>
  <c r="R169" i="8" s="1"/>
  <c r="S169" i="8" s="1"/>
  <c r="O154" i="8"/>
  <c r="R154" i="8" s="1"/>
  <c r="S154" i="8" s="1"/>
  <c r="O140" i="8"/>
  <c r="R140" i="8" s="1"/>
  <c r="S140" i="8" s="1"/>
  <c r="O162" i="8"/>
  <c r="R162" i="8" s="1"/>
  <c r="S162" i="8" s="1"/>
  <c r="O157" i="8"/>
  <c r="R157" i="8" s="1"/>
  <c r="S157" i="8" s="1"/>
  <c r="O143" i="8"/>
  <c r="R143" i="8" s="1"/>
  <c r="S143" i="8" s="1"/>
  <c r="O129" i="8"/>
  <c r="R129" i="8" s="1"/>
  <c r="S129" i="8" s="1"/>
  <c r="O115" i="8"/>
  <c r="O180" i="8"/>
  <c r="R180" i="8" s="1"/>
  <c r="S180" i="8" s="1"/>
  <c r="O146" i="8"/>
  <c r="R146" i="8" s="1"/>
  <c r="S146" i="8" s="1"/>
  <c r="O132" i="8"/>
  <c r="R132" i="8" s="1"/>
  <c r="S132" i="8" s="1"/>
  <c r="O118" i="8"/>
  <c r="O149" i="8"/>
  <c r="R149" i="8" s="1"/>
  <c r="S149" i="8" s="1"/>
  <c r="O135" i="8"/>
  <c r="R135" i="8" s="1"/>
  <c r="S135" i="8" s="1"/>
  <c r="O121" i="8"/>
  <c r="R121" i="8" s="1"/>
  <c r="S121" i="8" s="1"/>
  <c r="O152" i="8"/>
  <c r="R152" i="8" s="1"/>
  <c r="S152" i="8" s="1"/>
  <c r="O138" i="8"/>
  <c r="R138" i="8" s="1"/>
  <c r="S138" i="8" s="1"/>
  <c r="O141" i="8"/>
  <c r="R141" i="8" s="1"/>
  <c r="S141" i="8" s="1"/>
  <c r="O127" i="8"/>
  <c r="R127" i="8" s="1"/>
  <c r="S127" i="8" s="1"/>
  <c r="O113" i="8"/>
  <c r="O99" i="8"/>
  <c r="O156" i="8"/>
  <c r="R156" i="8" s="1"/>
  <c r="S156" i="8" s="1"/>
  <c r="O144" i="8"/>
  <c r="R144" i="8" s="1"/>
  <c r="S144" i="8" s="1"/>
  <c r="O147" i="8"/>
  <c r="R147" i="8" s="1"/>
  <c r="S147" i="8" s="1"/>
  <c r="O133" i="8"/>
  <c r="R133" i="8" s="1"/>
  <c r="S133" i="8" s="1"/>
  <c r="O119" i="8"/>
  <c r="O105" i="8"/>
  <c r="O126" i="8"/>
  <c r="R126" i="8" s="1"/>
  <c r="S126" i="8" s="1"/>
  <c r="O114" i="8"/>
  <c r="O98" i="8"/>
  <c r="O83" i="8"/>
  <c r="O124" i="8"/>
  <c r="R124" i="8" s="1"/>
  <c r="S124" i="8" s="1"/>
  <c r="O117" i="8"/>
  <c r="O108" i="8"/>
  <c r="O94" i="8"/>
  <c r="O86" i="8"/>
  <c r="O72" i="8"/>
  <c r="O177" i="8"/>
  <c r="R177" i="8" s="1"/>
  <c r="S177" i="8" s="1"/>
  <c r="O101" i="8"/>
  <c r="O89" i="8"/>
  <c r="O75" i="8"/>
  <c r="O145" i="8"/>
  <c r="R145" i="8" s="1"/>
  <c r="S145" i="8" s="1"/>
  <c r="O131" i="8"/>
  <c r="R131" i="8" s="1"/>
  <c r="S131" i="8" s="1"/>
  <c r="O122" i="8"/>
  <c r="R122" i="8" s="1"/>
  <c r="S122" i="8" s="1"/>
  <c r="O97" i="8"/>
  <c r="O92" i="8"/>
  <c r="O78" i="8"/>
  <c r="O104" i="8"/>
  <c r="O81" i="8"/>
  <c r="O166" i="8"/>
  <c r="R166" i="8" s="1"/>
  <c r="S166" i="8" s="1"/>
  <c r="O153" i="8"/>
  <c r="R153" i="8" s="1"/>
  <c r="S153" i="8" s="1"/>
  <c r="O139" i="8"/>
  <c r="R139" i="8" s="1"/>
  <c r="S139" i="8" s="1"/>
  <c r="O100" i="8"/>
  <c r="O84" i="8"/>
  <c r="O120" i="8"/>
  <c r="R120" i="8" s="1"/>
  <c r="S120" i="8" s="1"/>
  <c r="O111" i="8"/>
  <c r="O107" i="8"/>
  <c r="O87" i="8"/>
  <c r="O73" i="8"/>
  <c r="O112" i="8"/>
  <c r="O103" i="8"/>
  <c r="O90" i="8"/>
  <c r="O76" i="8"/>
  <c r="O62" i="8"/>
  <c r="O48" i="8"/>
  <c r="O158" i="8"/>
  <c r="R158" i="8" s="1"/>
  <c r="S158" i="8" s="1"/>
  <c r="O130" i="8"/>
  <c r="R130" i="8" s="1"/>
  <c r="S130" i="8" s="1"/>
  <c r="O125" i="8"/>
  <c r="R125" i="8" s="1"/>
  <c r="S125" i="8" s="1"/>
  <c r="O116" i="8"/>
  <c r="O110" i="8"/>
  <c r="O96" i="8"/>
  <c r="O93" i="8"/>
  <c r="O79" i="8"/>
  <c r="O82" i="8"/>
  <c r="O68" i="8"/>
  <c r="O54" i="8"/>
  <c r="O142" i="8"/>
  <c r="R142" i="8" s="1"/>
  <c r="S142" i="8" s="1"/>
  <c r="O60" i="8"/>
  <c r="O46" i="8"/>
  <c r="O88" i="8"/>
  <c r="O74" i="8"/>
  <c r="O65" i="8"/>
  <c r="O53" i="8"/>
  <c r="O44" i="8"/>
  <c r="O49" i="8"/>
  <c r="O136" i="8"/>
  <c r="R136" i="8" s="1"/>
  <c r="S136" i="8" s="1"/>
  <c r="O95" i="8"/>
  <c r="O64" i="8"/>
  <c r="O56" i="8"/>
  <c r="O63" i="8"/>
  <c r="O52" i="8"/>
  <c r="O150" i="8"/>
  <c r="R150" i="8" s="1"/>
  <c r="S150" i="8" s="1"/>
  <c r="O69" i="8"/>
  <c r="O59" i="8"/>
  <c r="O163" i="8"/>
  <c r="R163" i="8" s="1"/>
  <c r="S163" i="8" s="1"/>
  <c r="O45" i="8"/>
  <c r="O91" i="8"/>
  <c r="O77" i="8"/>
  <c r="O55" i="8"/>
  <c r="O155" i="8"/>
  <c r="R155" i="8" s="1"/>
  <c r="S155" i="8" s="1"/>
  <c r="O128" i="8"/>
  <c r="R128" i="8" s="1"/>
  <c r="S128" i="8" s="1"/>
  <c r="O85" i="8"/>
  <c r="O51" i="8"/>
  <c r="O109" i="8"/>
  <c r="O71" i="8"/>
  <c r="O58" i="8"/>
  <c r="O106" i="8"/>
  <c r="O57" i="8"/>
  <c r="O43" i="8"/>
  <c r="O61" i="8"/>
  <c r="O102" i="8"/>
  <c r="O161" i="8"/>
  <c r="R161" i="8" s="1"/>
  <c r="S161" i="8" s="1"/>
  <c r="O183" i="8"/>
  <c r="R183" i="8" s="1"/>
  <c r="S183" i="8" s="1"/>
  <c r="O66" i="8"/>
  <c r="O50" i="8"/>
  <c r="O47" i="8"/>
  <c r="O80" i="8"/>
  <c r="O67" i="8"/>
  <c r="O70" i="8"/>
  <c r="F110" i="9"/>
  <c r="E110" i="9"/>
  <c r="H127" i="8"/>
  <c r="G127" i="8"/>
  <c r="F127" i="8"/>
  <c r="E127" i="8"/>
  <c r="G9" i="9"/>
  <c r="P45" i="9" s="1"/>
  <c r="P73" i="9"/>
  <c r="P69" i="9"/>
  <c r="P59" i="9"/>
  <c r="P62" i="9"/>
  <c r="P113" i="9"/>
  <c r="P93" i="9"/>
  <c r="P53" i="9"/>
  <c r="P88" i="9"/>
  <c r="P106" i="9"/>
  <c r="P91" i="9"/>
  <c r="P99" i="9"/>
  <c r="P100" i="9"/>
  <c r="P75" i="9"/>
  <c r="P78" i="9"/>
  <c r="P89" i="9"/>
  <c r="P90" i="9"/>
  <c r="P97" i="9"/>
  <c r="P54" i="9"/>
  <c r="P50" i="9"/>
  <c r="P119" i="9"/>
  <c r="P85" i="9"/>
  <c r="P60" i="9"/>
  <c r="P84" i="9"/>
  <c r="P61" i="9"/>
  <c r="P67" i="9"/>
  <c r="P109" i="9"/>
  <c r="P98" i="9"/>
  <c r="P71" i="9"/>
  <c r="P110" i="9"/>
  <c r="P101" i="9"/>
  <c r="P87" i="9"/>
  <c r="P46" i="9"/>
  <c r="P112" i="9"/>
  <c r="P74" i="9"/>
  <c r="P118" i="9"/>
  <c r="P72" i="9"/>
  <c r="P65" i="9"/>
  <c r="P64" i="9"/>
  <c r="P104" i="9"/>
  <c r="P51" i="9"/>
  <c r="G9" i="11"/>
  <c r="P50" i="11" s="1"/>
  <c r="P60" i="11"/>
  <c r="P43" i="11"/>
  <c r="P45" i="11"/>
  <c r="P67" i="11"/>
  <c r="P49" i="11"/>
  <c r="P55" i="11"/>
  <c r="P66" i="11"/>
  <c r="P77" i="11"/>
  <c r="P69" i="11"/>
  <c r="P47" i="11"/>
  <c r="AF125" i="8"/>
  <c r="H94" i="8"/>
  <c r="F94" i="8"/>
  <c r="E94" i="8"/>
  <c r="G94" i="8"/>
  <c r="F106" i="8"/>
  <c r="E106" i="8"/>
  <c r="H108" i="10"/>
  <c r="G108" i="10"/>
  <c r="F108" i="10"/>
  <c r="E108" i="10"/>
  <c r="F120" i="9"/>
  <c r="E120" i="9"/>
  <c r="AA123" i="10"/>
  <c r="AF123" i="10"/>
  <c r="F47" i="9"/>
  <c r="E47" i="9"/>
  <c r="H73" i="11"/>
  <c r="G73" i="11"/>
  <c r="F73" i="11"/>
  <c r="E73" i="11"/>
  <c r="O181" i="9"/>
  <c r="R181" i="9" s="1"/>
  <c r="S181" i="9" s="1"/>
  <c r="O179" i="9"/>
  <c r="R179" i="9" s="1"/>
  <c r="S179" i="9" s="1"/>
  <c r="O171" i="9"/>
  <c r="R171" i="9" s="1"/>
  <c r="S171" i="9" s="1"/>
  <c r="O160" i="9"/>
  <c r="R160" i="9" s="1"/>
  <c r="S160" i="9" s="1"/>
  <c r="O146" i="9"/>
  <c r="R146" i="9" s="1"/>
  <c r="S146" i="9" s="1"/>
  <c r="O177" i="9"/>
  <c r="R177" i="9" s="1"/>
  <c r="S177" i="9" s="1"/>
  <c r="O163" i="9"/>
  <c r="R163" i="9" s="1"/>
  <c r="S163" i="9" s="1"/>
  <c r="O149" i="9"/>
  <c r="R149" i="9" s="1"/>
  <c r="S149" i="9" s="1"/>
  <c r="O170" i="9"/>
  <c r="R170" i="9" s="1"/>
  <c r="S170" i="9" s="1"/>
  <c r="O166" i="9"/>
  <c r="R166" i="9" s="1"/>
  <c r="S166" i="9" s="1"/>
  <c r="O152" i="9"/>
  <c r="R152" i="9" s="1"/>
  <c r="S152" i="9" s="1"/>
  <c r="O155" i="9"/>
  <c r="R155" i="9" s="1"/>
  <c r="S155" i="9" s="1"/>
  <c r="O141" i="9"/>
  <c r="R141" i="9" s="1"/>
  <c r="S141" i="9" s="1"/>
  <c r="O183" i="9"/>
  <c r="R183" i="9" s="1"/>
  <c r="S183" i="9" s="1"/>
  <c r="O173" i="9"/>
  <c r="R173" i="9" s="1"/>
  <c r="S173" i="9" s="1"/>
  <c r="O158" i="9"/>
  <c r="R158" i="9" s="1"/>
  <c r="S158" i="9" s="1"/>
  <c r="O144" i="9"/>
  <c r="R144" i="9" s="1"/>
  <c r="S144" i="9" s="1"/>
  <c r="O182" i="9"/>
  <c r="R182" i="9" s="1"/>
  <c r="S182" i="9" s="1"/>
  <c r="O169" i="9"/>
  <c r="R169" i="9" s="1"/>
  <c r="S169" i="9" s="1"/>
  <c r="O161" i="9"/>
  <c r="R161" i="9" s="1"/>
  <c r="S161" i="9" s="1"/>
  <c r="O176" i="9"/>
  <c r="R176" i="9" s="1"/>
  <c r="S176" i="9" s="1"/>
  <c r="O164" i="9"/>
  <c r="R164" i="9" s="1"/>
  <c r="S164" i="9" s="1"/>
  <c r="O150" i="9"/>
  <c r="R150" i="9" s="1"/>
  <c r="S150" i="9" s="1"/>
  <c r="O167" i="9"/>
  <c r="R167" i="9" s="1"/>
  <c r="S167" i="9" s="1"/>
  <c r="O153" i="9"/>
  <c r="R153" i="9" s="1"/>
  <c r="S153" i="9" s="1"/>
  <c r="O139" i="9"/>
  <c r="R139" i="9" s="1"/>
  <c r="S139" i="9" s="1"/>
  <c r="O180" i="9"/>
  <c r="R180" i="9" s="1"/>
  <c r="S180" i="9" s="1"/>
  <c r="O172" i="9"/>
  <c r="R172" i="9" s="1"/>
  <c r="S172" i="9" s="1"/>
  <c r="O159" i="9"/>
  <c r="R159" i="9" s="1"/>
  <c r="S159" i="9" s="1"/>
  <c r="O145" i="9"/>
  <c r="R145" i="9" s="1"/>
  <c r="S145" i="9" s="1"/>
  <c r="O131" i="9"/>
  <c r="R131" i="9" s="1"/>
  <c r="S131" i="9" s="1"/>
  <c r="O133" i="9"/>
  <c r="R133" i="9" s="1"/>
  <c r="S133" i="9" s="1"/>
  <c r="O123" i="9"/>
  <c r="R123" i="9" s="1"/>
  <c r="S123" i="9" s="1"/>
  <c r="O109" i="9"/>
  <c r="O95" i="9"/>
  <c r="O129" i="9"/>
  <c r="R129" i="9" s="1"/>
  <c r="S129" i="9" s="1"/>
  <c r="O126" i="9"/>
  <c r="R126" i="9" s="1"/>
  <c r="S126" i="9" s="1"/>
  <c r="O112" i="9"/>
  <c r="O98" i="9"/>
  <c r="O148" i="9"/>
  <c r="R148" i="9" s="1"/>
  <c r="S148" i="9" s="1"/>
  <c r="O136" i="9"/>
  <c r="R136" i="9" s="1"/>
  <c r="S136" i="9" s="1"/>
  <c r="O115" i="9"/>
  <c r="O101" i="9"/>
  <c r="O168" i="9"/>
  <c r="R168" i="9" s="1"/>
  <c r="S168" i="9" s="1"/>
  <c r="O118" i="9"/>
  <c r="O104" i="9"/>
  <c r="O162" i="9"/>
  <c r="R162" i="9" s="1"/>
  <c r="S162" i="9" s="1"/>
  <c r="O147" i="9"/>
  <c r="R147" i="9" s="1"/>
  <c r="S147" i="9" s="1"/>
  <c r="O143" i="9"/>
  <c r="R143" i="9" s="1"/>
  <c r="S143" i="9" s="1"/>
  <c r="O140" i="9"/>
  <c r="R140" i="9" s="1"/>
  <c r="S140" i="9" s="1"/>
  <c r="O132" i="9"/>
  <c r="R132" i="9" s="1"/>
  <c r="S132" i="9" s="1"/>
  <c r="O121" i="9"/>
  <c r="R121" i="9" s="1"/>
  <c r="S121" i="9" s="1"/>
  <c r="O107" i="9"/>
  <c r="O93" i="9"/>
  <c r="O128" i="9"/>
  <c r="R128" i="9" s="1"/>
  <c r="S128" i="9" s="1"/>
  <c r="O124" i="9"/>
  <c r="R124" i="9" s="1"/>
  <c r="S124" i="9" s="1"/>
  <c r="O110" i="9"/>
  <c r="O96" i="9"/>
  <c r="O116" i="9"/>
  <c r="O102" i="9"/>
  <c r="O88" i="9"/>
  <c r="O178" i="9"/>
  <c r="R178" i="9" s="1"/>
  <c r="S178" i="9" s="1"/>
  <c r="O174" i="9"/>
  <c r="R174" i="9" s="1"/>
  <c r="S174" i="9" s="1"/>
  <c r="O134" i="9"/>
  <c r="R134" i="9" s="1"/>
  <c r="S134" i="9" s="1"/>
  <c r="O122" i="9"/>
  <c r="R122" i="9" s="1"/>
  <c r="S122" i="9" s="1"/>
  <c r="O108" i="9"/>
  <c r="O94" i="9"/>
  <c r="O80" i="9"/>
  <c r="O157" i="9"/>
  <c r="R157" i="9" s="1"/>
  <c r="S157" i="9" s="1"/>
  <c r="O165" i="9"/>
  <c r="R165" i="9" s="1"/>
  <c r="S165" i="9" s="1"/>
  <c r="O142" i="9"/>
  <c r="R142" i="9" s="1"/>
  <c r="S142" i="9" s="1"/>
  <c r="O125" i="9"/>
  <c r="R125" i="9" s="1"/>
  <c r="S125" i="9" s="1"/>
  <c r="O111" i="9"/>
  <c r="O97" i="9"/>
  <c r="O81" i="9"/>
  <c r="O120" i="9"/>
  <c r="R120" i="9" s="1"/>
  <c r="S120" i="9" s="1"/>
  <c r="O106" i="9"/>
  <c r="O92" i="9"/>
  <c r="O77" i="9"/>
  <c r="O137" i="9"/>
  <c r="R137" i="9" s="1"/>
  <c r="S137" i="9" s="1"/>
  <c r="O84" i="9"/>
  <c r="O135" i="9"/>
  <c r="R135" i="9" s="1"/>
  <c r="S135" i="9" s="1"/>
  <c r="O119" i="9"/>
  <c r="O105" i="9"/>
  <c r="O138" i="9"/>
  <c r="R138" i="9" s="1"/>
  <c r="S138" i="9" s="1"/>
  <c r="O87" i="9"/>
  <c r="O156" i="9"/>
  <c r="R156" i="9" s="1"/>
  <c r="S156" i="9" s="1"/>
  <c r="O114" i="9"/>
  <c r="O100" i="9"/>
  <c r="O76" i="9"/>
  <c r="O130" i="9"/>
  <c r="R130" i="9" s="1"/>
  <c r="S130" i="9" s="1"/>
  <c r="O91" i="9"/>
  <c r="O90" i="9"/>
  <c r="O79" i="9"/>
  <c r="O69" i="9"/>
  <c r="O55" i="9"/>
  <c r="O89" i="9"/>
  <c r="O72" i="9"/>
  <c r="O58" i="9"/>
  <c r="O151" i="9"/>
  <c r="R151" i="9" s="1"/>
  <c r="S151" i="9" s="1"/>
  <c r="O83" i="9"/>
  <c r="O63" i="9"/>
  <c r="O49" i="9"/>
  <c r="O66" i="9"/>
  <c r="O59" i="9"/>
  <c r="O52" i="9"/>
  <c r="O86" i="9"/>
  <c r="O154" i="9"/>
  <c r="R154" i="9" s="1"/>
  <c r="S154" i="9" s="1"/>
  <c r="O85" i="9"/>
  <c r="O75" i="9"/>
  <c r="O43" i="9"/>
  <c r="O175" i="9"/>
  <c r="R175" i="9" s="1"/>
  <c r="S175" i="9" s="1"/>
  <c r="O127" i="9"/>
  <c r="R127" i="9" s="1"/>
  <c r="S127" i="9" s="1"/>
  <c r="O73" i="9"/>
  <c r="O62" i="9"/>
  <c r="O48" i="9"/>
  <c r="O46" i="9"/>
  <c r="O113" i="9"/>
  <c r="O65" i="9"/>
  <c r="O51" i="9"/>
  <c r="O78" i="9"/>
  <c r="O68" i="9"/>
  <c r="O61" i="9"/>
  <c r="O54" i="9"/>
  <c r="O74" i="9"/>
  <c r="O44" i="9"/>
  <c r="O117" i="9"/>
  <c r="O99" i="9"/>
  <c r="O64" i="9"/>
  <c r="O57" i="9"/>
  <c r="O50" i="9"/>
  <c r="O47" i="9"/>
  <c r="O103" i="9"/>
  <c r="O56" i="9"/>
  <c r="O82" i="9"/>
  <c r="O60" i="9"/>
  <c r="O53" i="9"/>
  <c r="O70" i="9"/>
  <c r="O45" i="9"/>
  <c r="O71" i="9"/>
  <c r="O67" i="9"/>
  <c r="C31" i="10"/>
  <c r="D31" i="10"/>
  <c r="E32" i="10" s="1"/>
  <c r="F57" i="8"/>
  <c r="E57" i="8"/>
  <c r="O176" i="11"/>
  <c r="R176" i="11" s="1"/>
  <c r="S176" i="11" s="1"/>
  <c r="O162" i="11"/>
  <c r="R162" i="11" s="1"/>
  <c r="S162" i="11" s="1"/>
  <c r="O179" i="11"/>
  <c r="R179" i="11" s="1"/>
  <c r="S179" i="11" s="1"/>
  <c r="O165" i="11"/>
  <c r="R165" i="11" s="1"/>
  <c r="S165" i="11" s="1"/>
  <c r="O151" i="11"/>
  <c r="R151" i="11" s="1"/>
  <c r="S151" i="11" s="1"/>
  <c r="O182" i="11"/>
  <c r="R182" i="11" s="1"/>
  <c r="S182" i="11" s="1"/>
  <c r="O160" i="11"/>
  <c r="R160" i="11" s="1"/>
  <c r="S160" i="11" s="1"/>
  <c r="O158" i="11"/>
  <c r="R158" i="11" s="1"/>
  <c r="S158" i="11" s="1"/>
  <c r="O181" i="11"/>
  <c r="R181" i="11" s="1"/>
  <c r="S181" i="11" s="1"/>
  <c r="O177" i="11"/>
  <c r="R177" i="11" s="1"/>
  <c r="S177" i="11" s="1"/>
  <c r="O167" i="11"/>
  <c r="R167" i="11" s="1"/>
  <c r="S167" i="11" s="1"/>
  <c r="O163" i="11"/>
  <c r="R163" i="11" s="1"/>
  <c r="S163" i="11" s="1"/>
  <c r="O183" i="11"/>
  <c r="R183" i="11" s="1"/>
  <c r="S183" i="11" s="1"/>
  <c r="O170" i="11"/>
  <c r="R170" i="11" s="1"/>
  <c r="S170" i="11" s="1"/>
  <c r="O146" i="11"/>
  <c r="R146" i="11" s="1"/>
  <c r="S146" i="11" s="1"/>
  <c r="O180" i="11"/>
  <c r="R180" i="11" s="1"/>
  <c r="S180" i="11" s="1"/>
  <c r="O173" i="11"/>
  <c r="R173" i="11" s="1"/>
  <c r="S173" i="11" s="1"/>
  <c r="O166" i="11"/>
  <c r="R166" i="11" s="1"/>
  <c r="S166" i="11" s="1"/>
  <c r="O153" i="11"/>
  <c r="R153" i="11" s="1"/>
  <c r="S153" i="11" s="1"/>
  <c r="O149" i="11"/>
  <c r="R149" i="11" s="1"/>
  <c r="S149" i="11" s="1"/>
  <c r="O155" i="11"/>
  <c r="R155" i="11" s="1"/>
  <c r="S155" i="11" s="1"/>
  <c r="O157" i="11"/>
  <c r="R157" i="11" s="1"/>
  <c r="S157" i="11" s="1"/>
  <c r="O169" i="11"/>
  <c r="R169" i="11" s="1"/>
  <c r="S169" i="11" s="1"/>
  <c r="O172" i="11"/>
  <c r="R172" i="11" s="1"/>
  <c r="S172" i="11" s="1"/>
  <c r="O150" i="11"/>
  <c r="R150" i="11" s="1"/>
  <c r="S150" i="11" s="1"/>
  <c r="O178" i="11"/>
  <c r="R178" i="11" s="1"/>
  <c r="S178" i="11" s="1"/>
  <c r="O174" i="11"/>
  <c r="R174" i="11" s="1"/>
  <c r="S174" i="11" s="1"/>
  <c r="O133" i="11"/>
  <c r="R133" i="11" s="1"/>
  <c r="S133" i="11" s="1"/>
  <c r="O159" i="11"/>
  <c r="R159" i="11" s="1"/>
  <c r="S159" i="11" s="1"/>
  <c r="O136" i="11"/>
  <c r="R136" i="11" s="1"/>
  <c r="S136" i="11" s="1"/>
  <c r="O147" i="11"/>
  <c r="R147" i="11" s="1"/>
  <c r="S147" i="11" s="1"/>
  <c r="O139" i="11"/>
  <c r="R139" i="11" s="1"/>
  <c r="S139" i="11" s="1"/>
  <c r="O175" i="11"/>
  <c r="R175" i="11" s="1"/>
  <c r="S175" i="11" s="1"/>
  <c r="O171" i="11"/>
  <c r="R171" i="11" s="1"/>
  <c r="S171" i="11" s="1"/>
  <c r="O164" i="11"/>
  <c r="R164" i="11" s="1"/>
  <c r="S164" i="11" s="1"/>
  <c r="O152" i="11"/>
  <c r="R152" i="11" s="1"/>
  <c r="S152" i="11" s="1"/>
  <c r="O142" i="11"/>
  <c r="R142" i="11" s="1"/>
  <c r="S142" i="11" s="1"/>
  <c r="O145" i="11"/>
  <c r="R145" i="11" s="1"/>
  <c r="S145" i="11" s="1"/>
  <c r="O131" i="11"/>
  <c r="R131" i="11" s="1"/>
  <c r="S131" i="11" s="1"/>
  <c r="O134" i="11"/>
  <c r="R134" i="11" s="1"/>
  <c r="S134" i="11" s="1"/>
  <c r="O137" i="11"/>
  <c r="R137" i="11" s="1"/>
  <c r="S137" i="11" s="1"/>
  <c r="O168" i="11"/>
  <c r="R168" i="11" s="1"/>
  <c r="S168" i="11" s="1"/>
  <c r="O140" i="11"/>
  <c r="R140" i="11" s="1"/>
  <c r="S140" i="11" s="1"/>
  <c r="O126" i="11"/>
  <c r="R126" i="11" s="1"/>
  <c r="S126" i="11" s="1"/>
  <c r="O143" i="11"/>
  <c r="R143" i="11" s="1"/>
  <c r="S143" i="11" s="1"/>
  <c r="O156" i="11"/>
  <c r="R156" i="11" s="1"/>
  <c r="S156" i="11" s="1"/>
  <c r="O148" i="11"/>
  <c r="R148" i="11" s="1"/>
  <c r="S148" i="11" s="1"/>
  <c r="O132" i="11"/>
  <c r="R132" i="11" s="1"/>
  <c r="S132" i="11" s="1"/>
  <c r="O128" i="11"/>
  <c r="R128" i="11" s="1"/>
  <c r="S128" i="11" s="1"/>
  <c r="O119" i="11"/>
  <c r="R119" i="11" s="1"/>
  <c r="S119" i="11" s="1"/>
  <c r="O144" i="11"/>
  <c r="R144" i="11" s="1"/>
  <c r="S144" i="11" s="1"/>
  <c r="O122" i="11"/>
  <c r="R122" i="11" s="1"/>
  <c r="S122" i="11" s="1"/>
  <c r="O108" i="11"/>
  <c r="R108" i="11" s="1"/>
  <c r="S108" i="11" s="1"/>
  <c r="O125" i="11"/>
  <c r="R125" i="11" s="1"/>
  <c r="S125" i="11" s="1"/>
  <c r="O111" i="11"/>
  <c r="R111" i="11" s="1"/>
  <c r="S111" i="11" s="1"/>
  <c r="O130" i="11"/>
  <c r="R130" i="11" s="1"/>
  <c r="S130" i="11" s="1"/>
  <c r="O127" i="11"/>
  <c r="R127" i="11" s="1"/>
  <c r="S127" i="11" s="1"/>
  <c r="O114" i="11"/>
  <c r="R114" i="11" s="1"/>
  <c r="S114" i="11" s="1"/>
  <c r="O117" i="11"/>
  <c r="R117" i="11" s="1"/>
  <c r="S117" i="11" s="1"/>
  <c r="O120" i="11"/>
  <c r="R120" i="11" s="1"/>
  <c r="S120" i="11" s="1"/>
  <c r="O123" i="11"/>
  <c r="R123" i="11" s="1"/>
  <c r="S123" i="11" s="1"/>
  <c r="O112" i="11"/>
  <c r="R112" i="11" s="1"/>
  <c r="S112" i="11" s="1"/>
  <c r="O154" i="11"/>
  <c r="R154" i="11" s="1"/>
  <c r="S154" i="11" s="1"/>
  <c r="O161" i="11"/>
  <c r="R161" i="11" s="1"/>
  <c r="S161" i="11" s="1"/>
  <c r="O118" i="11"/>
  <c r="R118" i="11" s="1"/>
  <c r="S118" i="11" s="1"/>
  <c r="O104" i="11"/>
  <c r="R104" i="11" s="1"/>
  <c r="S104" i="11" s="1"/>
  <c r="O96" i="11"/>
  <c r="R96" i="11" s="1"/>
  <c r="S96" i="11" s="1"/>
  <c r="O121" i="11"/>
  <c r="R121" i="11" s="1"/>
  <c r="S121" i="11" s="1"/>
  <c r="O99" i="11"/>
  <c r="R99" i="11" s="1"/>
  <c r="S99" i="11" s="1"/>
  <c r="O85" i="11"/>
  <c r="R85" i="11" s="1"/>
  <c r="S85" i="11" s="1"/>
  <c r="O135" i="11"/>
  <c r="R135" i="11" s="1"/>
  <c r="S135" i="11" s="1"/>
  <c r="O102" i="11"/>
  <c r="R102" i="11" s="1"/>
  <c r="S102" i="11" s="1"/>
  <c r="O88" i="11"/>
  <c r="R88" i="11" s="1"/>
  <c r="S88" i="11" s="1"/>
  <c r="O115" i="11"/>
  <c r="R115" i="11" s="1"/>
  <c r="S115" i="11" s="1"/>
  <c r="O91" i="11"/>
  <c r="R91" i="11" s="1"/>
  <c r="S91" i="11" s="1"/>
  <c r="O141" i="11"/>
  <c r="R141" i="11" s="1"/>
  <c r="S141" i="11" s="1"/>
  <c r="O138" i="11"/>
  <c r="R138" i="11" s="1"/>
  <c r="S138" i="11" s="1"/>
  <c r="O94" i="11"/>
  <c r="R94" i="11" s="1"/>
  <c r="S94" i="11" s="1"/>
  <c r="O106" i="11"/>
  <c r="R106" i="11" s="1"/>
  <c r="S106" i="11" s="1"/>
  <c r="O97" i="11"/>
  <c r="R97" i="11" s="1"/>
  <c r="S97" i="11" s="1"/>
  <c r="O116" i="11"/>
  <c r="R116" i="11" s="1"/>
  <c r="S116" i="11" s="1"/>
  <c r="O113" i="11"/>
  <c r="R113" i="11" s="1"/>
  <c r="S113" i="11" s="1"/>
  <c r="O100" i="11"/>
  <c r="R100" i="11" s="1"/>
  <c r="S100" i="11" s="1"/>
  <c r="O86" i="11"/>
  <c r="R86" i="11" s="1"/>
  <c r="S86" i="11" s="1"/>
  <c r="O129" i="11"/>
  <c r="R129" i="11" s="1"/>
  <c r="S129" i="11" s="1"/>
  <c r="O110" i="11"/>
  <c r="R110" i="11" s="1"/>
  <c r="S110" i="11" s="1"/>
  <c r="O109" i="11"/>
  <c r="R109" i="11" s="1"/>
  <c r="S109" i="11" s="1"/>
  <c r="O103" i="11"/>
  <c r="R103" i="11" s="1"/>
  <c r="S103" i="11" s="1"/>
  <c r="O89" i="11"/>
  <c r="R89" i="11" s="1"/>
  <c r="S89" i="11" s="1"/>
  <c r="O124" i="11"/>
  <c r="R124" i="11" s="1"/>
  <c r="S124" i="11" s="1"/>
  <c r="O107" i="11"/>
  <c r="R107" i="11" s="1"/>
  <c r="S107" i="11" s="1"/>
  <c r="O105" i="11"/>
  <c r="R105" i="11" s="1"/>
  <c r="S105" i="11" s="1"/>
  <c r="O95" i="11"/>
  <c r="R95" i="11" s="1"/>
  <c r="S95" i="11" s="1"/>
  <c r="O81" i="11"/>
  <c r="R81" i="11" s="1"/>
  <c r="S81" i="11" s="1"/>
  <c r="O84" i="11"/>
  <c r="R84" i="11" s="1"/>
  <c r="S84" i="11" s="1"/>
  <c r="O82" i="11"/>
  <c r="R82" i="11" s="1"/>
  <c r="S82" i="11" s="1"/>
  <c r="O78" i="11"/>
  <c r="O64" i="11"/>
  <c r="O67" i="11"/>
  <c r="O70" i="11"/>
  <c r="O73" i="11"/>
  <c r="O76" i="11"/>
  <c r="O62" i="11"/>
  <c r="O92" i="11"/>
  <c r="R92" i="11" s="1"/>
  <c r="S92" i="11" s="1"/>
  <c r="O79" i="11"/>
  <c r="O65" i="11"/>
  <c r="O101" i="11"/>
  <c r="R101" i="11" s="1"/>
  <c r="S101" i="11" s="1"/>
  <c r="O93" i="11"/>
  <c r="R93" i="11" s="1"/>
  <c r="S93" i="11" s="1"/>
  <c r="O68" i="11"/>
  <c r="O71" i="11"/>
  <c r="O57" i="11"/>
  <c r="O90" i="11"/>
  <c r="R90" i="11" s="1"/>
  <c r="S90" i="11" s="1"/>
  <c r="O74" i="11"/>
  <c r="O87" i="11"/>
  <c r="R87" i="11" s="1"/>
  <c r="S87" i="11" s="1"/>
  <c r="O77" i="11"/>
  <c r="O63" i="11"/>
  <c r="O98" i="11"/>
  <c r="R98" i="11" s="1"/>
  <c r="S98" i="11" s="1"/>
  <c r="O72" i="11"/>
  <c r="O61" i="11"/>
  <c r="O48" i="11"/>
  <c r="O80" i="11"/>
  <c r="O51" i="11"/>
  <c r="O54" i="11"/>
  <c r="O43" i="11"/>
  <c r="O60" i="11"/>
  <c r="O46" i="11"/>
  <c r="O49" i="11"/>
  <c r="O75" i="11"/>
  <c r="O66" i="11"/>
  <c r="O52" i="11"/>
  <c r="O56" i="11"/>
  <c r="O69" i="11"/>
  <c r="O44" i="11"/>
  <c r="O59" i="11"/>
  <c r="O47" i="11"/>
  <c r="O83" i="11"/>
  <c r="R83" i="11" s="1"/>
  <c r="S83" i="11" s="1"/>
  <c r="O45" i="11"/>
  <c r="O53" i="11"/>
  <c r="O50" i="11"/>
  <c r="O58" i="11"/>
  <c r="O55" i="11"/>
  <c r="F101" i="9"/>
  <c r="E101" i="9"/>
  <c r="H101" i="9"/>
  <c r="G101" i="9"/>
  <c r="AF86" i="11"/>
  <c r="F103" i="10"/>
  <c r="E103" i="10"/>
  <c r="F64" i="9"/>
  <c r="E64" i="9"/>
  <c r="H124" i="8"/>
  <c r="G124" i="8"/>
  <c r="F124" i="8"/>
  <c r="E124" i="8"/>
  <c r="P79" i="8" l="1"/>
  <c r="P58" i="8"/>
  <c r="P49" i="9"/>
  <c r="P85" i="8"/>
  <c r="P110" i="8"/>
  <c r="P44" i="8"/>
  <c r="P83" i="8"/>
  <c r="P91" i="8"/>
  <c r="P102" i="8"/>
  <c r="P104" i="8"/>
  <c r="P117" i="8"/>
  <c r="P78" i="8"/>
  <c r="P95" i="8"/>
  <c r="P51" i="8"/>
  <c r="P94" i="8"/>
  <c r="P80" i="8"/>
  <c r="P81" i="8"/>
  <c r="P105" i="8"/>
  <c r="P61" i="8"/>
  <c r="P119" i="8"/>
  <c r="P73" i="8"/>
  <c r="P113" i="8"/>
  <c r="P48" i="10"/>
  <c r="P82" i="8"/>
  <c r="P76" i="8"/>
  <c r="P84" i="10"/>
  <c r="P88" i="10"/>
  <c r="P104" i="10"/>
  <c r="P44" i="11"/>
  <c r="P65" i="11"/>
  <c r="P109" i="8"/>
  <c r="P87" i="8"/>
  <c r="P88" i="8"/>
  <c r="P54" i="8"/>
  <c r="P71" i="8"/>
  <c r="P63" i="10"/>
  <c r="P57" i="10"/>
  <c r="P51" i="10"/>
  <c r="P55" i="10"/>
  <c r="P58" i="11"/>
  <c r="P78" i="11"/>
  <c r="P82" i="9"/>
  <c r="P50" i="8"/>
  <c r="P74" i="8"/>
  <c r="P60" i="8"/>
  <c r="P96" i="8"/>
  <c r="P65" i="8"/>
  <c r="P111" i="10"/>
  <c r="P105" i="10"/>
  <c r="P89" i="10"/>
  <c r="P101" i="10"/>
  <c r="P46" i="11"/>
  <c r="P62" i="11"/>
  <c r="P62" i="10"/>
  <c r="P59" i="10"/>
  <c r="P99" i="10"/>
  <c r="P79" i="11"/>
  <c r="P70" i="11"/>
  <c r="P61" i="11"/>
  <c r="P107" i="8"/>
  <c r="P63" i="8"/>
  <c r="P86" i="8"/>
  <c r="P56" i="8"/>
  <c r="P45" i="8"/>
  <c r="P43" i="10"/>
  <c r="P68" i="10"/>
  <c r="P97" i="10"/>
  <c r="P74" i="10"/>
  <c r="P66" i="10"/>
  <c r="P52" i="11"/>
  <c r="P64" i="11"/>
  <c r="P80" i="11"/>
  <c r="P93" i="8"/>
  <c r="P72" i="8"/>
  <c r="P118" i="8"/>
  <c r="P77" i="8"/>
  <c r="P67" i="8"/>
  <c r="P48" i="8"/>
  <c r="P119" i="10"/>
  <c r="P80" i="10"/>
  <c r="P86" i="10"/>
  <c r="P49" i="10"/>
  <c r="P107" i="10"/>
  <c r="P53" i="11"/>
  <c r="P75" i="11"/>
  <c r="P51" i="11"/>
  <c r="P116" i="8"/>
  <c r="P115" i="8"/>
  <c r="P68" i="8"/>
  <c r="P55" i="8"/>
  <c r="P89" i="8"/>
  <c r="P53" i="8"/>
  <c r="P65" i="10"/>
  <c r="P78" i="10"/>
  <c r="P118" i="10"/>
  <c r="P81" i="10"/>
  <c r="P71" i="10"/>
  <c r="P76" i="10"/>
  <c r="P56" i="11"/>
  <c r="P63" i="11"/>
  <c r="G10" i="11"/>
  <c r="P111" i="8"/>
  <c r="P57" i="8"/>
  <c r="P97" i="8"/>
  <c r="P75" i="8"/>
  <c r="P103" i="8"/>
  <c r="G10" i="8"/>
  <c r="AB120" i="8" s="1"/>
  <c r="P96" i="10"/>
  <c r="P87" i="10"/>
  <c r="P61" i="10"/>
  <c r="P76" i="11"/>
  <c r="P48" i="11"/>
  <c r="P55" i="9"/>
  <c r="P62" i="8"/>
  <c r="P47" i="8"/>
  <c r="P66" i="8"/>
  <c r="P59" i="8"/>
  <c r="P43" i="8"/>
  <c r="P60" i="10"/>
  <c r="P92" i="10"/>
  <c r="P116" i="10"/>
  <c r="P59" i="11"/>
  <c r="P71" i="11"/>
  <c r="P49" i="8"/>
  <c r="P92" i="8"/>
  <c r="P99" i="8"/>
  <c r="P70" i="8"/>
  <c r="P90" i="8"/>
  <c r="P52" i="10"/>
  <c r="P115" i="10"/>
  <c r="P108" i="10"/>
  <c r="R72" i="9"/>
  <c r="X72" i="9"/>
  <c r="W72" i="9"/>
  <c r="V72" i="9"/>
  <c r="D72" i="9"/>
  <c r="R43" i="8"/>
  <c r="S43" i="8" s="1"/>
  <c r="W43" i="8"/>
  <c r="U43" i="8"/>
  <c r="D43" i="8"/>
  <c r="V43" i="8"/>
  <c r="R100" i="8"/>
  <c r="X100" i="8"/>
  <c r="W100" i="8"/>
  <c r="V100" i="8"/>
  <c r="D100" i="8"/>
  <c r="R92" i="10"/>
  <c r="S92" i="10" s="1"/>
  <c r="V92" i="10"/>
  <c r="D92" i="10"/>
  <c r="W92" i="10"/>
  <c r="U92" i="10"/>
  <c r="R119" i="9"/>
  <c r="S119" i="9" s="1"/>
  <c r="D119" i="9"/>
  <c r="T119" i="9"/>
  <c r="R57" i="8"/>
  <c r="S57" i="8" s="1"/>
  <c r="W57" i="8"/>
  <c r="D57" i="8"/>
  <c r="U57" i="8"/>
  <c r="V57" i="8"/>
  <c r="R51" i="10"/>
  <c r="V51" i="10"/>
  <c r="D51" i="10"/>
  <c r="X51" i="10"/>
  <c r="W51" i="10"/>
  <c r="R56" i="11"/>
  <c r="S56" i="11" s="1"/>
  <c r="T56" i="11"/>
  <c r="D56" i="11"/>
  <c r="R62" i="11"/>
  <c r="S62" i="11" s="1"/>
  <c r="W62" i="11"/>
  <c r="D62" i="11"/>
  <c r="X62" i="11"/>
  <c r="V62" i="11"/>
  <c r="R70" i="9"/>
  <c r="S70" i="9" s="1"/>
  <c r="D70" i="9"/>
  <c r="T70" i="9"/>
  <c r="R46" i="8"/>
  <c r="S46" i="8" s="1"/>
  <c r="U46" i="8" s="1"/>
  <c r="V46" i="8"/>
  <c r="D46" i="8"/>
  <c r="X46" i="8"/>
  <c r="W46" i="8"/>
  <c r="R72" i="8"/>
  <c r="X72" i="8"/>
  <c r="V72" i="8"/>
  <c r="W72" i="8"/>
  <c r="D72" i="8"/>
  <c r="R111" i="10"/>
  <c r="S111" i="10" s="1"/>
  <c r="X111" i="10"/>
  <c r="D111" i="10"/>
  <c r="W111" i="10"/>
  <c r="V111" i="10"/>
  <c r="R84" i="9"/>
  <c r="S84" i="9" s="1"/>
  <c r="T84" i="9"/>
  <c r="D84" i="9"/>
  <c r="R115" i="8"/>
  <c r="S115" i="8" s="1"/>
  <c r="D115" i="8"/>
  <c r="R113" i="10"/>
  <c r="S113" i="10" s="1"/>
  <c r="W113" i="10"/>
  <c r="U113" i="10"/>
  <c r="D113" i="10"/>
  <c r="V113" i="10"/>
  <c r="AB126" i="8"/>
  <c r="R67" i="8"/>
  <c r="S67" i="8" s="1"/>
  <c r="U67" i="8" s="1"/>
  <c r="W67" i="8"/>
  <c r="X67" i="8"/>
  <c r="V67" i="8"/>
  <c r="D67" i="8"/>
  <c r="R108" i="8"/>
  <c r="S108" i="8" s="1"/>
  <c r="D108" i="8"/>
  <c r="R55" i="11"/>
  <c r="S55" i="11" s="1"/>
  <c r="D55" i="11"/>
  <c r="V55" i="11"/>
  <c r="X55" i="11"/>
  <c r="W55" i="11"/>
  <c r="R49" i="11"/>
  <c r="S49" i="11" s="1"/>
  <c r="D49" i="11"/>
  <c r="T49" i="11"/>
  <c r="R74" i="11"/>
  <c r="S74" i="11" s="1"/>
  <c r="W74" i="11"/>
  <c r="V74" i="11"/>
  <c r="X74" i="11"/>
  <c r="U74" i="11"/>
  <c r="D74" i="11"/>
  <c r="T74" i="11"/>
  <c r="R67" i="11"/>
  <c r="S67" i="11" s="1"/>
  <c r="U67" i="11"/>
  <c r="W67" i="11"/>
  <c r="D67" i="11"/>
  <c r="X67" i="11"/>
  <c r="V67" i="11"/>
  <c r="T67" i="11"/>
  <c r="R56" i="9"/>
  <c r="S56" i="9" s="1"/>
  <c r="D56" i="9"/>
  <c r="T56" i="9"/>
  <c r="R51" i="9"/>
  <c r="D51" i="9"/>
  <c r="V51" i="9"/>
  <c r="X51" i="9"/>
  <c r="W51" i="9"/>
  <c r="R52" i="9"/>
  <c r="S52" i="9" s="1"/>
  <c r="D52" i="9"/>
  <c r="R91" i="9"/>
  <c r="S91" i="9" s="1"/>
  <c r="D91" i="9"/>
  <c r="T91" i="9"/>
  <c r="R92" i="9"/>
  <c r="S92" i="9" s="1"/>
  <c r="W92" i="9"/>
  <c r="V92" i="9"/>
  <c r="U92" i="9"/>
  <c r="D92" i="9"/>
  <c r="R80" i="8"/>
  <c r="S80" i="8" s="1"/>
  <c r="D80" i="8"/>
  <c r="R51" i="8"/>
  <c r="W51" i="8"/>
  <c r="V51" i="8"/>
  <c r="X51" i="8"/>
  <c r="D51" i="8"/>
  <c r="R56" i="8"/>
  <c r="S56" i="8" s="1"/>
  <c r="D56" i="8"/>
  <c r="T56" i="8"/>
  <c r="R68" i="8"/>
  <c r="S68" i="8" s="1"/>
  <c r="V68" i="8"/>
  <c r="D68" i="8"/>
  <c r="U68" i="8"/>
  <c r="W68" i="8"/>
  <c r="R103" i="8"/>
  <c r="S103" i="8" s="1"/>
  <c r="W103" i="8"/>
  <c r="V103" i="8"/>
  <c r="U103" i="8"/>
  <c r="D103" i="8"/>
  <c r="R78" i="8"/>
  <c r="S78" i="8" s="1"/>
  <c r="D78" i="8"/>
  <c r="W78" i="8"/>
  <c r="V78" i="8"/>
  <c r="U78" i="8"/>
  <c r="R117" i="8"/>
  <c r="S117" i="8" s="1"/>
  <c r="U117" i="8"/>
  <c r="D117" i="8"/>
  <c r="V117" i="8"/>
  <c r="W117" i="8"/>
  <c r="R70" i="10"/>
  <c r="S70" i="10" s="1"/>
  <c r="D70" i="10"/>
  <c r="T70" i="10"/>
  <c r="R55" i="10"/>
  <c r="S55" i="10" s="1"/>
  <c r="X55" i="10"/>
  <c r="D55" i="10"/>
  <c r="V55" i="10"/>
  <c r="W55" i="10"/>
  <c r="R75" i="10"/>
  <c r="S75" i="10" s="1"/>
  <c r="D75" i="10"/>
  <c r="U75" i="10"/>
  <c r="W75" i="10"/>
  <c r="V75" i="10"/>
  <c r="R45" i="10"/>
  <c r="S45" i="10" s="1"/>
  <c r="D45" i="10"/>
  <c r="R105" i="10"/>
  <c r="S105" i="10" s="1"/>
  <c r="D105" i="10"/>
  <c r="T105" i="10"/>
  <c r="R118" i="10"/>
  <c r="S118" i="10" s="1"/>
  <c r="X118" i="10"/>
  <c r="V118" i="10"/>
  <c r="W118" i="10"/>
  <c r="D118" i="10"/>
  <c r="R44" i="9"/>
  <c r="W44" i="9"/>
  <c r="V44" i="9"/>
  <c r="X44" i="9"/>
  <c r="D44" i="9"/>
  <c r="R115" i="9"/>
  <c r="S115" i="9" s="1"/>
  <c r="D115" i="9"/>
  <c r="R74" i="8"/>
  <c r="S74" i="8" s="1"/>
  <c r="U74" i="8" s="1"/>
  <c r="X74" i="8"/>
  <c r="W74" i="8"/>
  <c r="V74" i="8"/>
  <c r="D74" i="8"/>
  <c r="R63" i="10"/>
  <c r="S63" i="10" s="1"/>
  <c r="T63" i="10"/>
  <c r="D63" i="10"/>
  <c r="R67" i="10"/>
  <c r="S67" i="10" s="1"/>
  <c r="U67" i="10" s="1"/>
  <c r="W67" i="10"/>
  <c r="X67" i="10"/>
  <c r="V67" i="10"/>
  <c r="D67" i="10"/>
  <c r="R106" i="8"/>
  <c r="S106" i="8" s="1"/>
  <c r="V106" i="8"/>
  <c r="D106" i="8"/>
  <c r="W106" i="8"/>
  <c r="U106" i="8"/>
  <c r="R77" i="11"/>
  <c r="S77" i="11" s="1"/>
  <c r="T77" i="11"/>
  <c r="D77" i="11"/>
  <c r="R76" i="8"/>
  <c r="S76" i="8" s="1"/>
  <c r="V76" i="8"/>
  <c r="X76" i="8"/>
  <c r="W76" i="8"/>
  <c r="D76" i="8"/>
  <c r="R60" i="10"/>
  <c r="S60" i="10" s="1"/>
  <c r="T60" i="10" s="1"/>
  <c r="V60" i="10"/>
  <c r="D60" i="10"/>
  <c r="X60" i="10"/>
  <c r="W60" i="10"/>
  <c r="R58" i="11"/>
  <c r="X58" i="11"/>
  <c r="W58" i="11"/>
  <c r="D58" i="11"/>
  <c r="V58" i="11"/>
  <c r="R46" i="11"/>
  <c r="S46" i="11" s="1"/>
  <c r="U46" i="11" s="1"/>
  <c r="D46" i="11"/>
  <c r="X46" i="11"/>
  <c r="W46" i="11"/>
  <c r="V46" i="11"/>
  <c r="R64" i="11"/>
  <c r="S64" i="11" s="1"/>
  <c r="V64" i="11"/>
  <c r="D64" i="11"/>
  <c r="W64" i="11"/>
  <c r="U64" i="11"/>
  <c r="R103" i="9"/>
  <c r="S103" i="9" s="1"/>
  <c r="U103" i="9"/>
  <c r="D103" i="9"/>
  <c r="W103" i="9"/>
  <c r="V103" i="9"/>
  <c r="R65" i="9"/>
  <c r="V65" i="9"/>
  <c r="X65" i="9"/>
  <c r="D65" i="9"/>
  <c r="W65" i="9"/>
  <c r="R59" i="9"/>
  <c r="S59" i="9" s="1"/>
  <c r="D59" i="9"/>
  <c r="R106" i="9"/>
  <c r="S106" i="9" s="1"/>
  <c r="D106" i="9"/>
  <c r="U106" i="9"/>
  <c r="W106" i="9"/>
  <c r="V106" i="9"/>
  <c r="R95" i="9"/>
  <c r="S95" i="9" s="1"/>
  <c r="U95" i="9"/>
  <c r="T95" i="9"/>
  <c r="D95" i="9"/>
  <c r="W95" i="9"/>
  <c r="X95" i="9"/>
  <c r="V95" i="9"/>
  <c r="P86" i="9"/>
  <c r="P76" i="9"/>
  <c r="P48" i="9"/>
  <c r="R47" i="8"/>
  <c r="S47" i="8" s="1"/>
  <c r="D47" i="8"/>
  <c r="V47" i="8"/>
  <c r="W47" i="8"/>
  <c r="U47" i="8"/>
  <c r="R85" i="8"/>
  <c r="S85" i="8" s="1"/>
  <c r="D85" i="8"/>
  <c r="W85" i="8"/>
  <c r="V85" i="8"/>
  <c r="U85" i="8"/>
  <c r="R64" i="8"/>
  <c r="S64" i="8" s="1"/>
  <c r="U64" i="8"/>
  <c r="V64" i="8"/>
  <c r="D64" i="8"/>
  <c r="W64" i="8"/>
  <c r="R82" i="8"/>
  <c r="S82" i="8" s="1"/>
  <c r="D82" i="8"/>
  <c r="W82" i="8"/>
  <c r="V82" i="8"/>
  <c r="U82" i="8"/>
  <c r="R112" i="8"/>
  <c r="S112" i="8" s="1"/>
  <c r="D112" i="8"/>
  <c r="T112" i="8"/>
  <c r="R92" i="8"/>
  <c r="S92" i="8" s="1"/>
  <c r="U92" i="8"/>
  <c r="W92" i="8"/>
  <c r="V92" i="8"/>
  <c r="D92" i="8"/>
  <c r="R69" i="10"/>
  <c r="S69" i="10" s="1"/>
  <c r="X69" i="10"/>
  <c r="W69" i="10"/>
  <c r="V69" i="10"/>
  <c r="D69" i="10"/>
  <c r="R95" i="10"/>
  <c r="S95" i="10" s="1"/>
  <c r="U95" i="10"/>
  <c r="W95" i="10"/>
  <c r="V95" i="10"/>
  <c r="D95" i="10"/>
  <c r="X95" i="10"/>
  <c r="T95" i="10"/>
  <c r="R59" i="10"/>
  <c r="S59" i="10" s="1"/>
  <c r="D59" i="10"/>
  <c r="R114" i="10"/>
  <c r="X114" i="10"/>
  <c r="W114" i="10"/>
  <c r="D114" i="10"/>
  <c r="V114" i="10"/>
  <c r="R90" i="10"/>
  <c r="S90" i="10" s="1"/>
  <c r="W90" i="10"/>
  <c r="V90" i="10"/>
  <c r="X90" i="10"/>
  <c r="D90" i="10"/>
  <c r="P94" i="10"/>
  <c r="P85" i="10"/>
  <c r="P83" i="10"/>
  <c r="G10" i="10"/>
  <c r="R44" i="11"/>
  <c r="X44" i="11"/>
  <c r="V44" i="11"/>
  <c r="W44" i="11"/>
  <c r="D44" i="11"/>
  <c r="R61" i="11"/>
  <c r="S61" i="11" s="1"/>
  <c r="D61" i="11"/>
  <c r="W61" i="11"/>
  <c r="V61" i="11"/>
  <c r="U61" i="11"/>
  <c r="R69" i="11"/>
  <c r="S69" i="11" s="1"/>
  <c r="W69" i="11"/>
  <c r="D69" i="11"/>
  <c r="X69" i="11"/>
  <c r="V69" i="11"/>
  <c r="R43" i="9"/>
  <c r="S43" i="9" s="1"/>
  <c r="U43" i="9"/>
  <c r="W43" i="9"/>
  <c r="V43" i="9"/>
  <c r="D43" i="9"/>
  <c r="R88" i="8"/>
  <c r="S88" i="8" s="1"/>
  <c r="D88" i="8"/>
  <c r="V88" i="8"/>
  <c r="X88" i="8"/>
  <c r="T88" i="8"/>
  <c r="W88" i="8"/>
  <c r="U88" i="8"/>
  <c r="R79" i="10"/>
  <c r="W79" i="10"/>
  <c r="X79" i="10"/>
  <c r="V79" i="10"/>
  <c r="D79" i="10"/>
  <c r="R80" i="10"/>
  <c r="S80" i="10" s="1"/>
  <c r="D80" i="10"/>
  <c r="R96" i="10"/>
  <c r="S96" i="10" s="1"/>
  <c r="U96" i="10"/>
  <c r="W96" i="10"/>
  <c r="V96" i="10"/>
  <c r="D96" i="10"/>
  <c r="R65" i="10"/>
  <c r="V65" i="10"/>
  <c r="X65" i="10"/>
  <c r="W65" i="10"/>
  <c r="D65" i="10"/>
  <c r="R52" i="11"/>
  <c r="S52" i="11" s="1"/>
  <c r="D52" i="11"/>
  <c r="R76" i="11"/>
  <c r="S76" i="11" s="1"/>
  <c r="V76" i="11"/>
  <c r="W76" i="11"/>
  <c r="X76" i="11"/>
  <c r="D76" i="11"/>
  <c r="R53" i="9"/>
  <c r="S53" i="9" s="1"/>
  <c r="U53" i="9" s="1"/>
  <c r="X53" i="9"/>
  <c r="D53" i="9"/>
  <c r="W53" i="9"/>
  <c r="V53" i="9"/>
  <c r="R94" i="9"/>
  <c r="S94" i="9" s="1"/>
  <c r="D94" i="9"/>
  <c r="R98" i="9"/>
  <c r="S98" i="9" s="1"/>
  <c r="D98" i="9"/>
  <c r="T98" i="9"/>
  <c r="R58" i="8"/>
  <c r="V58" i="8"/>
  <c r="D58" i="8"/>
  <c r="W58" i="8"/>
  <c r="X58" i="8"/>
  <c r="R86" i="8"/>
  <c r="X86" i="8"/>
  <c r="W86" i="8"/>
  <c r="V86" i="8"/>
  <c r="D86" i="8"/>
  <c r="R103" i="10"/>
  <c r="S103" i="10" s="1"/>
  <c r="D103" i="10"/>
  <c r="W103" i="10"/>
  <c r="V103" i="10"/>
  <c r="U103" i="10"/>
  <c r="R93" i="10"/>
  <c r="D93" i="10"/>
  <c r="V93" i="10"/>
  <c r="W93" i="10"/>
  <c r="X93" i="10"/>
  <c r="R66" i="11"/>
  <c r="S66" i="11" s="1"/>
  <c r="D66" i="11"/>
  <c r="R73" i="11"/>
  <c r="S73" i="11" s="1"/>
  <c r="D73" i="11"/>
  <c r="R68" i="9"/>
  <c r="S68" i="9" s="1"/>
  <c r="W68" i="9"/>
  <c r="V68" i="9"/>
  <c r="D68" i="9"/>
  <c r="U68" i="9"/>
  <c r="R112" i="9"/>
  <c r="S112" i="9" s="1"/>
  <c r="T112" i="9"/>
  <c r="D112" i="9"/>
  <c r="R58" i="10"/>
  <c r="D58" i="10"/>
  <c r="X58" i="10"/>
  <c r="W58" i="10"/>
  <c r="V58" i="10"/>
  <c r="R110" i="10"/>
  <c r="S110" i="10" s="1"/>
  <c r="W110" i="10"/>
  <c r="D110" i="10"/>
  <c r="U110" i="10"/>
  <c r="V110" i="10"/>
  <c r="R75" i="11"/>
  <c r="S75" i="11" s="1"/>
  <c r="V75" i="11"/>
  <c r="U75" i="11"/>
  <c r="D75" i="11"/>
  <c r="W75" i="11"/>
  <c r="R70" i="11"/>
  <c r="S70" i="11" s="1"/>
  <c r="T70" i="11"/>
  <c r="D70" i="11"/>
  <c r="R78" i="9"/>
  <c r="S78" i="9" s="1"/>
  <c r="U78" i="9"/>
  <c r="D78" i="9"/>
  <c r="V78" i="9"/>
  <c r="W78" i="9"/>
  <c r="R77" i="9"/>
  <c r="S77" i="9" s="1"/>
  <c r="T77" i="9"/>
  <c r="D77" i="9"/>
  <c r="R63" i="8"/>
  <c r="S63" i="8" s="1"/>
  <c r="D63" i="8"/>
  <c r="T63" i="8"/>
  <c r="R98" i="10"/>
  <c r="S98" i="10" s="1"/>
  <c r="D98" i="10"/>
  <c r="T98" i="10"/>
  <c r="R91" i="10"/>
  <c r="S91" i="10" s="1"/>
  <c r="D91" i="10"/>
  <c r="T91" i="10"/>
  <c r="R50" i="11"/>
  <c r="S50" i="11" s="1"/>
  <c r="W50" i="11"/>
  <c r="V50" i="11"/>
  <c r="U50" i="11"/>
  <c r="D50" i="11"/>
  <c r="R60" i="11"/>
  <c r="S60" i="11" s="1"/>
  <c r="U60" i="11" s="1"/>
  <c r="W60" i="11"/>
  <c r="V60" i="11"/>
  <c r="X60" i="11"/>
  <c r="D60" i="11"/>
  <c r="R57" i="11"/>
  <c r="S57" i="11" s="1"/>
  <c r="U57" i="11"/>
  <c r="D57" i="11"/>
  <c r="V57" i="11"/>
  <c r="W57" i="11"/>
  <c r="R78" i="11"/>
  <c r="S78" i="11" s="1"/>
  <c r="W78" i="11"/>
  <c r="V78" i="11"/>
  <c r="U78" i="11"/>
  <c r="D78" i="11"/>
  <c r="R47" i="9"/>
  <c r="S47" i="9" s="1"/>
  <c r="V47" i="9"/>
  <c r="W47" i="9"/>
  <c r="D47" i="9"/>
  <c r="U47" i="9"/>
  <c r="R113" i="9"/>
  <c r="S113" i="9" s="1"/>
  <c r="V113" i="9"/>
  <c r="D113" i="9"/>
  <c r="U113" i="9"/>
  <c r="W113" i="9"/>
  <c r="R66" i="9"/>
  <c r="S66" i="9" s="1"/>
  <c r="D66" i="9"/>
  <c r="R76" i="9"/>
  <c r="S76" i="9" s="1"/>
  <c r="X76" i="9"/>
  <c r="W76" i="9"/>
  <c r="V76" i="9"/>
  <c r="D76" i="9"/>
  <c r="R109" i="9"/>
  <c r="S109" i="9" s="1"/>
  <c r="V109" i="9"/>
  <c r="T109" i="9"/>
  <c r="X109" i="9"/>
  <c r="W109" i="9"/>
  <c r="D109" i="9"/>
  <c r="U109" i="9"/>
  <c r="P72" i="11"/>
  <c r="P73" i="11"/>
  <c r="P68" i="11"/>
  <c r="P43" i="9"/>
  <c r="P58" i="9"/>
  <c r="P52" i="9"/>
  <c r="P117" i="9"/>
  <c r="P115" i="9"/>
  <c r="P77" i="9"/>
  <c r="R50" i="8"/>
  <c r="S50" i="8" s="1"/>
  <c r="W50" i="8"/>
  <c r="D50" i="8"/>
  <c r="V50" i="8"/>
  <c r="U50" i="8"/>
  <c r="R95" i="8"/>
  <c r="S95" i="8" s="1"/>
  <c r="X95" i="8"/>
  <c r="U95" i="8"/>
  <c r="T95" i="8"/>
  <c r="D95" i="8"/>
  <c r="W95" i="8"/>
  <c r="V95" i="8"/>
  <c r="R79" i="8"/>
  <c r="W79" i="8"/>
  <c r="V79" i="8"/>
  <c r="X79" i="8"/>
  <c r="D79" i="8"/>
  <c r="R73" i="8"/>
  <c r="S73" i="8" s="1"/>
  <c r="D73" i="8"/>
  <c r="R97" i="8"/>
  <c r="S97" i="8" s="1"/>
  <c r="W97" i="8"/>
  <c r="V97" i="8"/>
  <c r="D97" i="8"/>
  <c r="X97" i="8"/>
  <c r="R83" i="8"/>
  <c r="S83" i="8" s="1"/>
  <c r="V83" i="8"/>
  <c r="W83" i="8"/>
  <c r="X83" i="8"/>
  <c r="D83" i="8"/>
  <c r="R64" i="10"/>
  <c r="S64" i="10" s="1"/>
  <c r="V64" i="10"/>
  <c r="D64" i="10"/>
  <c r="W64" i="10"/>
  <c r="U64" i="10"/>
  <c r="R71" i="10"/>
  <c r="S71" i="10" s="1"/>
  <c r="D71" i="10"/>
  <c r="U71" i="10"/>
  <c r="V71" i="10"/>
  <c r="W71" i="10"/>
  <c r="R109" i="10"/>
  <c r="S109" i="10" s="1"/>
  <c r="U109" i="10"/>
  <c r="D109" i="10"/>
  <c r="W109" i="10"/>
  <c r="T109" i="10"/>
  <c r="X109" i="10"/>
  <c r="V109" i="10"/>
  <c r="R73" i="10"/>
  <c r="S73" i="10" s="1"/>
  <c r="D73" i="10"/>
  <c r="R104" i="10"/>
  <c r="S104" i="10" s="1"/>
  <c r="X104" i="10"/>
  <c r="W104" i="10"/>
  <c r="V104" i="10"/>
  <c r="D104" i="10"/>
  <c r="R117" i="10"/>
  <c r="S117" i="10" s="1"/>
  <c r="V117" i="10"/>
  <c r="W117" i="10"/>
  <c r="D117" i="10"/>
  <c r="U117" i="10"/>
  <c r="P64" i="8"/>
  <c r="P75" i="10"/>
  <c r="P113" i="10"/>
  <c r="P69" i="10"/>
  <c r="P58" i="10"/>
  <c r="P47" i="10"/>
  <c r="R112" i="10"/>
  <c r="S112" i="10" s="1"/>
  <c r="T112" i="10"/>
  <c r="D112" i="10"/>
  <c r="R45" i="9"/>
  <c r="S45" i="9" s="1"/>
  <c r="D45" i="9"/>
  <c r="R75" i="9"/>
  <c r="S75" i="9" s="1"/>
  <c r="W75" i="9"/>
  <c r="V75" i="9"/>
  <c r="D75" i="9"/>
  <c r="U75" i="9"/>
  <c r="R106" i="10"/>
  <c r="S106" i="10" s="1"/>
  <c r="W106" i="10"/>
  <c r="D106" i="10"/>
  <c r="V106" i="10"/>
  <c r="U106" i="10"/>
  <c r="R61" i="9"/>
  <c r="S61" i="9" s="1"/>
  <c r="W61" i="9"/>
  <c r="U61" i="9"/>
  <c r="V61" i="9"/>
  <c r="D61" i="9"/>
  <c r="R60" i="8"/>
  <c r="S60" i="8" s="1"/>
  <c r="T60" i="8" s="1"/>
  <c r="W60" i="8"/>
  <c r="X60" i="8"/>
  <c r="V60" i="8"/>
  <c r="D60" i="8"/>
  <c r="R108" i="10"/>
  <c r="S108" i="10" s="1"/>
  <c r="D108" i="10"/>
  <c r="R60" i="9"/>
  <c r="S60" i="9" s="1"/>
  <c r="U60" i="9" s="1"/>
  <c r="X60" i="9"/>
  <c r="W60" i="9"/>
  <c r="D60" i="9"/>
  <c r="V60" i="9"/>
  <c r="R70" i="8"/>
  <c r="S70" i="8" s="1"/>
  <c r="T70" i="8"/>
  <c r="D70" i="8"/>
  <c r="R52" i="8"/>
  <c r="S52" i="8" s="1"/>
  <c r="D52" i="8"/>
  <c r="R81" i="8"/>
  <c r="S81" i="8" s="1"/>
  <c r="U81" i="8"/>
  <c r="T81" i="8"/>
  <c r="X81" i="8"/>
  <c r="D81" i="8"/>
  <c r="W81" i="8"/>
  <c r="V81" i="8"/>
  <c r="R56" i="10"/>
  <c r="S56" i="10" s="1"/>
  <c r="D56" i="10"/>
  <c r="T56" i="10"/>
  <c r="R107" i="10"/>
  <c r="X107" i="10"/>
  <c r="W107" i="10"/>
  <c r="D107" i="10"/>
  <c r="V107" i="10"/>
  <c r="R104" i="8"/>
  <c r="S104" i="8" s="1"/>
  <c r="X104" i="8"/>
  <c r="W104" i="8"/>
  <c r="V104" i="8"/>
  <c r="D104" i="8"/>
  <c r="R81" i="10"/>
  <c r="S81" i="10" s="1"/>
  <c r="U81" i="10"/>
  <c r="D81" i="10"/>
  <c r="X81" i="10"/>
  <c r="W81" i="10"/>
  <c r="V81" i="10"/>
  <c r="T81" i="10"/>
  <c r="R53" i="11"/>
  <c r="S53" i="11" s="1"/>
  <c r="U53" i="11" s="1"/>
  <c r="W53" i="11"/>
  <c r="D53" i="11"/>
  <c r="X53" i="11"/>
  <c r="V53" i="11"/>
  <c r="R43" i="11"/>
  <c r="S43" i="11" s="1"/>
  <c r="D43" i="11"/>
  <c r="V43" i="11"/>
  <c r="W43" i="11"/>
  <c r="U43" i="11"/>
  <c r="R71" i="11"/>
  <c r="S71" i="11" s="1"/>
  <c r="U71" i="11"/>
  <c r="D71" i="11"/>
  <c r="W71" i="11"/>
  <c r="V71" i="11"/>
  <c r="R50" i="9"/>
  <c r="S50" i="9" s="1"/>
  <c r="V50" i="9"/>
  <c r="W50" i="9"/>
  <c r="D50" i="9"/>
  <c r="U50" i="9"/>
  <c r="R46" i="9"/>
  <c r="S46" i="9" s="1"/>
  <c r="U46" i="9" s="1"/>
  <c r="X46" i="9"/>
  <c r="W46" i="9"/>
  <c r="V46" i="9"/>
  <c r="D46" i="9"/>
  <c r="R49" i="9"/>
  <c r="S49" i="9" s="1"/>
  <c r="D49" i="9"/>
  <c r="T49" i="9"/>
  <c r="R100" i="9"/>
  <c r="D100" i="9"/>
  <c r="X100" i="9"/>
  <c r="W100" i="9"/>
  <c r="V100" i="9"/>
  <c r="R81" i="9"/>
  <c r="S81" i="9" s="1"/>
  <c r="W81" i="9"/>
  <c r="V81" i="9"/>
  <c r="U81" i="9"/>
  <c r="T81" i="9"/>
  <c r="D81" i="9"/>
  <c r="X81" i="9"/>
  <c r="R88" i="9"/>
  <c r="S88" i="9" s="1"/>
  <c r="D88" i="9"/>
  <c r="W88" i="9"/>
  <c r="U88" i="9"/>
  <c r="T88" i="9"/>
  <c r="V88" i="9"/>
  <c r="X88" i="9"/>
  <c r="P74" i="11"/>
  <c r="P92" i="9"/>
  <c r="P111" i="9"/>
  <c r="P66" i="9"/>
  <c r="P68" i="9"/>
  <c r="P63" i="9"/>
  <c r="G10" i="9"/>
  <c r="R66" i="8"/>
  <c r="S66" i="8" s="1"/>
  <c r="D66" i="8"/>
  <c r="R93" i="8"/>
  <c r="V93" i="8"/>
  <c r="X93" i="8"/>
  <c r="D93" i="8"/>
  <c r="W93" i="8"/>
  <c r="R87" i="8"/>
  <c r="S87" i="8" s="1"/>
  <c r="D87" i="8"/>
  <c r="R98" i="8"/>
  <c r="S98" i="8" s="1"/>
  <c r="D98" i="8"/>
  <c r="T98" i="8"/>
  <c r="R50" i="10"/>
  <c r="S50" i="10" s="1"/>
  <c r="W50" i="10"/>
  <c r="V50" i="10"/>
  <c r="D50" i="10"/>
  <c r="U50" i="10"/>
  <c r="R52" i="10"/>
  <c r="S52" i="10" s="1"/>
  <c r="D52" i="10"/>
  <c r="R43" i="10"/>
  <c r="S43" i="10" s="1"/>
  <c r="W43" i="10"/>
  <c r="U43" i="10"/>
  <c r="V43" i="10"/>
  <c r="D43" i="10"/>
  <c r="R116" i="10"/>
  <c r="S116" i="10" s="1"/>
  <c r="X116" i="10"/>
  <c r="V116" i="10"/>
  <c r="T116" i="10"/>
  <c r="W116" i="10"/>
  <c r="D116" i="10"/>
  <c r="U116" i="10"/>
  <c r="R88" i="10"/>
  <c r="S88" i="10" s="1"/>
  <c r="W88" i="10"/>
  <c r="V88" i="10"/>
  <c r="U88" i="10"/>
  <c r="T88" i="10"/>
  <c r="X88" i="10"/>
  <c r="D88" i="10"/>
  <c r="R119" i="10"/>
  <c r="S119" i="10" s="1"/>
  <c r="D119" i="10"/>
  <c r="T119" i="10"/>
  <c r="P103" i="10"/>
  <c r="P117" i="10"/>
  <c r="P93" i="10"/>
  <c r="P82" i="10"/>
  <c r="P106" i="10"/>
  <c r="R101" i="8"/>
  <c r="S101" i="8" s="1"/>
  <c r="D101" i="8"/>
  <c r="R82" i="10"/>
  <c r="S82" i="10" s="1"/>
  <c r="V82" i="10"/>
  <c r="U82" i="10"/>
  <c r="W82" i="10"/>
  <c r="D82" i="10"/>
  <c r="R59" i="8"/>
  <c r="S59" i="8" s="1"/>
  <c r="D59" i="8"/>
  <c r="R69" i="8"/>
  <c r="S69" i="8" s="1"/>
  <c r="W69" i="8"/>
  <c r="V69" i="8"/>
  <c r="X69" i="8"/>
  <c r="D69" i="8"/>
  <c r="R63" i="11"/>
  <c r="S63" i="11" s="1"/>
  <c r="T63" i="11"/>
  <c r="D63" i="11"/>
  <c r="R85" i="9"/>
  <c r="S85" i="9" s="1"/>
  <c r="D85" i="9"/>
  <c r="V85" i="9"/>
  <c r="W85" i="9"/>
  <c r="U85" i="9"/>
  <c r="R79" i="9"/>
  <c r="W79" i="9"/>
  <c r="D79" i="9"/>
  <c r="V79" i="9"/>
  <c r="X79" i="9"/>
  <c r="R109" i="8"/>
  <c r="S109" i="8" s="1"/>
  <c r="D109" i="8"/>
  <c r="W109" i="8"/>
  <c r="T109" i="8"/>
  <c r="U109" i="8"/>
  <c r="V109" i="8"/>
  <c r="X109" i="8"/>
  <c r="R113" i="8"/>
  <c r="S113" i="8" s="1"/>
  <c r="W113" i="8"/>
  <c r="U113" i="8"/>
  <c r="D113" i="8"/>
  <c r="V113" i="8"/>
  <c r="R62" i="10"/>
  <c r="S62" i="10" s="1"/>
  <c r="X62" i="10"/>
  <c r="W62" i="10"/>
  <c r="V62" i="10"/>
  <c r="D62" i="10"/>
  <c r="R115" i="10"/>
  <c r="S115" i="10" s="1"/>
  <c r="D115" i="10"/>
  <c r="R45" i="11"/>
  <c r="S45" i="11" s="1"/>
  <c r="D45" i="11"/>
  <c r="R54" i="11"/>
  <c r="S54" i="11" s="1"/>
  <c r="D54" i="11"/>
  <c r="W54" i="11"/>
  <c r="V54" i="11"/>
  <c r="U54" i="11"/>
  <c r="R68" i="11"/>
  <c r="S68" i="11" s="1"/>
  <c r="V68" i="11"/>
  <c r="U68" i="11"/>
  <c r="D68" i="11"/>
  <c r="W68" i="11"/>
  <c r="R57" i="9"/>
  <c r="S57" i="9" s="1"/>
  <c r="W57" i="9"/>
  <c r="U57" i="9"/>
  <c r="D57" i="9"/>
  <c r="V57" i="9"/>
  <c r="R48" i="9"/>
  <c r="S48" i="9" s="1"/>
  <c r="X48" i="9"/>
  <c r="V48" i="9"/>
  <c r="D48" i="9"/>
  <c r="W48" i="9"/>
  <c r="R63" i="9"/>
  <c r="S63" i="9" s="1"/>
  <c r="T63" i="9"/>
  <c r="D63" i="9"/>
  <c r="R114" i="9"/>
  <c r="W114" i="9"/>
  <c r="V114" i="9"/>
  <c r="D114" i="9"/>
  <c r="X114" i="9"/>
  <c r="R97" i="9"/>
  <c r="S97" i="9" s="1"/>
  <c r="X97" i="9"/>
  <c r="V97" i="9"/>
  <c r="W97" i="9"/>
  <c r="D97" i="9"/>
  <c r="R102" i="9"/>
  <c r="S102" i="9" s="1"/>
  <c r="V102" i="9"/>
  <c r="X102" i="9"/>
  <c r="U102" i="9"/>
  <c r="D102" i="9"/>
  <c r="T102" i="9"/>
  <c r="W102" i="9"/>
  <c r="R104" i="9"/>
  <c r="S104" i="9" s="1"/>
  <c r="X104" i="9"/>
  <c r="D104" i="9"/>
  <c r="V104" i="9"/>
  <c r="W104" i="9"/>
  <c r="P54" i="11"/>
  <c r="P57" i="11"/>
  <c r="P80" i="9"/>
  <c r="P95" i="9"/>
  <c r="P81" i="9"/>
  <c r="P79" i="9"/>
  <c r="P96" i="9"/>
  <c r="R55" i="8"/>
  <c r="S55" i="8" s="1"/>
  <c r="X55" i="8"/>
  <c r="D55" i="8"/>
  <c r="W55" i="8"/>
  <c r="V55" i="8"/>
  <c r="R49" i="8"/>
  <c r="S49" i="8" s="1"/>
  <c r="D49" i="8"/>
  <c r="T49" i="8"/>
  <c r="R96" i="8"/>
  <c r="S96" i="8" s="1"/>
  <c r="W96" i="8"/>
  <c r="V96" i="8"/>
  <c r="D96" i="8"/>
  <c r="U96" i="8"/>
  <c r="R107" i="8"/>
  <c r="W107" i="8"/>
  <c r="V107" i="8"/>
  <c r="X107" i="8"/>
  <c r="D107" i="8"/>
  <c r="R114" i="8"/>
  <c r="D114" i="8"/>
  <c r="W114" i="8"/>
  <c r="V114" i="8"/>
  <c r="X114" i="8"/>
  <c r="R74" i="10"/>
  <c r="S74" i="10" s="1"/>
  <c r="U74" i="10" s="1"/>
  <c r="X74" i="10"/>
  <c r="W74" i="10"/>
  <c r="V74" i="10"/>
  <c r="D74" i="10"/>
  <c r="R66" i="10"/>
  <c r="S66" i="10" s="1"/>
  <c r="D66" i="10"/>
  <c r="R57" i="10"/>
  <c r="S57" i="10" s="1"/>
  <c r="D57" i="10"/>
  <c r="W57" i="10"/>
  <c r="V57" i="10"/>
  <c r="U57" i="10"/>
  <c r="R72" i="10"/>
  <c r="V72" i="10"/>
  <c r="X72" i="10"/>
  <c r="D72" i="10"/>
  <c r="W72" i="10"/>
  <c r="R102" i="10"/>
  <c r="S102" i="10" s="1"/>
  <c r="T102" i="10"/>
  <c r="W102" i="10"/>
  <c r="V102" i="10"/>
  <c r="U102" i="10"/>
  <c r="X102" i="10"/>
  <c r="D102" i="10"/>
  <c r="P52" i="8"/>
  <c r="P72" i="10"/>
  <c r="P90" i="10"/>
  <c r="P110" i="10"/>
  <c r="P67" i="10"/>
  <c r="P91" i="10"/>
  <c r="R79" i="11"/>
  <c r="D79" i="11"/>
  <c r="W79" i="11"/>
  <c r="X79" i="11"/>
  <c r="V79" i="11"/>
  <c r="R105" i="9"/>
  <c r="S105" i="9" s="1"/>
  <c r="D105" i="9"/>
  <c r="T105" i="9"/>
  <c r="R53" i="10"/>
  <c r="S53" i="10" s="1"/>
  <c r="U53" i="10"/>
  <c r="D53" i="10"/>
  <c r="T53" i="10"/>
  <c r="X53" i="10"/>
  <c r="W53" i="10"/>
  <c r="V53" i="10"/>
  <c r="R74" i="9"/>
  <c r="S74" i="9" s="1"/>
  <c r="U74" i="9" s="1"/>
  <c r="W74" i="9"/>
  <c r="V74" i="9"/>
  <c r="T74" i="9"/>
  <c r="D74" i="9"/>
  <c r="X74" i="9"/>
  <c r="R54" i="9"/>
  <c r="S54" i="9" s="1"/>
  <c r="W54" i="9"/>
  <c r="V54" i="9"/>
  <c r="D54" i="9"/>
  <c r="U54" i="9"/>
  <c r="R93" i="9"/>
  <c r="D93" i="9"/>
  <c r="V93" i="9"/>
  <c r="X93" i="9"/>
  <c r="W93" i="9"/>
  <c r="R94" i="10"/>
  <c r="S94" i="10" s="1"/>
  <c r="D94" i="10"/>
  <c r="R62" i="8"/>
  <c r="S62" i="8" s="1"/>
  <c r="W62" i="8"/>
  <c r="V62" i="8"/>
  <c r="D62" i="8"/>
  <c r="X62" i="8"/>
  <c r="R44" i="10"/>
  <c r="D44" i="10"/>
  <c r="X44" i="10"/>
  <c r="W44" i="10"/>
  <c r="V44" i="10"/>
  <c r="R71" i="8"/>
  <c r="S71" i="8" s="1"/>
  <c r="W71" i="8"/>
  <c r="U71" i="8"/>
  <c r="D71" i="8"/>
  <c r="V71" i="8"/>
  <c r="R94" i="8"/>
  <c r="S94" i="8" s="1"/>
  <c r="D94" i="8"/>
  <c r="R90" i="9"/>
  <c r="S90" i="9" s="1"/>
  <c r="W90" i="9"/>
  <c r="D90" i="9"/>
  <c r="V90" i="9"/>
  <c r="X90" i="9"/>
  <c r="R51" i="11"/>
  <c r="V51" i="11"/>
  <c r="D51" i="11"/>
  <c r="W51" i="11"/>
  <c r="X51" i="11"/>
  <c r="R64" i="9"/>
  <c r="S64" i="9" s="1"/>
  <c r="V64" i="9"/>
  <c r="W64" i="9"/>
  <c r="D64" i="9"/>
  <c r="U64" i="9"/>
  <c r="R62" i="9"/>
  <c r="S62" i="9" s="1"/>
  <c r="X62" i="9"/>
  <c r="W62" i="9"/>
  <c r="D62" i="9"/>
  <c r="V62" i="9"/>
  <c r="R83" i="9"/>
  <c r="S83" i="9" s="1"/>
  <c r="D83" i="9"/>
  <c r="X83" i="9"/>
  <c r="V83" i="9"/>
  <c r="W83" i="9"/>
  <c r="R111" i="9"/>
  <c r="S111" i="9" s="1"/>
  <c r="W111" i="9"/>
  <c r="V111" i="9"/>
  <c r="D111" i="9"/>
  <c r="X111" i="9"/>
  <c r="R116" i="9"/>
  <c r="S116" i="9" s="1"/>
  <c r="X116" i="9"/>
  <c r="T116" i="9"/>
  <c r="V116" i="9"/>
  <c r="D116" i="9"/>
  <c r="W116" i="9"/>
  <c r="U116" i="9"/>
  <c r="R118" i="9"/>
  <c r="S118" i="9" s="1"/>
  <c r="X118" i="9"/>
  <c r="W118" i="9"/>
  <c r="D118" i="9"/>
  <c r="V118" i="9"/>
  <c r="P103" i="9"/>
  <c r="P57" i="9"/>
  <c r="P47" i="9"/>
  <c r="P105" i="9"/>
  <c r="P94" i="9"/>
  <c r="R77" i="8"/>
  <c r="S77" i="8" s="1"/>
  <c r="D77" i="8"/>
  <c r="T77" i="8"/>
  <c r="R44" i="8"/>
  <c r="D44" i="8"/>
  <c r="X44" i="8"/>
  <c r="W44" i="8"/>
  <c r="V44" i="8"/>
  <c r="R110" i="8"/>
  <c r="S110" i="8" s="1"/>
  <c r="V110" i="8"/>
  <c r="U110" i="8"/>
  <c r="W110" i="8"/>
  <c r="D110" i="8"/>
  <c r="R111" i="8"/>
  <c r="S111" i="8" s="1"/>
  <c r="W111" i="8"/>
  <c r="X111" i="8"/>
  <c r="D111" i="8"/>
  <c r="V111" i="8"/>
  <c r="R47" i="10"/>
  <c r="S47" i="10" s="1"/>
  <c r="W47" i="10"/>
  <c r="V47" i="10"/>
  <c r="U47" i="10"/>
  <c r="D47" i="10"/>
  <c r="R78" i="10"/>
  <c r="S78" i="10" s="1"/>
  <c r="U78" i="10"/>
  <c r="V78" i="10"/>
  <c r="D78" i="10"/>
  <c r="W78" i="10"/>
  <c r="R54" i="10"/>
  <c r="S54" i="10" s="1"/>
  <c r="W54" i="10"/>
  <c r="V54" i="10"/>
  <c r="D54" i="10"/>
  <c r="U54" i="10"/>
  <c r="R86" i="10"/>
  <c r="D86" i="10"/>
  <c r="X86" i="10"/>
  <c r="W86" i="10"/>
  <c r="V86" i="10"/>
  <c r="P53" i="10"/>
  <c r="P54" i="10"/>
  <c r="P77" i="10"/>
  <c r="P46" i="10"/>
  <c r="P102" i="10"/>
  <c r="R71" i="9"/>
  <c r="S71" i="9" s="1"/>
  <c r="D71" i="9"/>
  <c r="W71" i="9"/>
  <c r="U71" i="9"/>
  <c r="V71" i="9"/>
  <c r="X82" i="11"/>
  <c r="X84" i="11"/>
  <c r="X86" i="11"/>
  <c r="AB82" i="11"/>
  <c r="R80" i="9"/>
  <c r="S80" i="9" s="1"/>
  <c r="D80" i="9"/>
  <c r="R69" i="9"/>
  <c r="S69" i="9" s="1"/>
  <c r="X69" i="9"/>
  <c r="W69" i="9"/>
  <c r="V69" i="9"/>
  <c r="D69" i="9"/>
  <c r="R99" i="8"/>
  <c r="S99" i="8" s="1"/>
  <c r="W99" i="8"/>
  <c r="D99" i="8"/>
  <c r="U99" i="8"/>
  <c r="V99" i="8"/>
  <c r="R48" i="10"/>
  <c r="S48" i="10" s="1"/>
  <c r="V48" i="10"/>
  <c r="W48" i="10"/>
  <c r="D48" i="10"/>
  <c r="X48" i="10"/>
  <c r="R86" i="9"/>
  <c r="X86" i="9"/>
  <c r="W86" i="9"/>
  <c r="D86" i="9"/>
  <c r="V86" i="9"/>
  <c r="R90" i="8"/>
  <c r="S90" i="8" s="1"/>
  <c r="V90" i="8"/>
  <c r="X90" i="8"/>
  <c r="W90" i="8"/>
  <c r="D90" i="8"/>
  <c r="R47" i="11"/>
  <c r="S47" i="11" s="1"/>
  <c r="U47" i="11"/>
  <c r="D47" i="11"/>
  <c r="V47" i="11"/>
  <c r="W47" i="11"/>
  <c r="R80" i="11"/>
  <c r="S80" i="11" s="1"/>
  <c r="D80" i="11"/>
  <c r="R99" i="9"/>
  <c r="S99" i="9" s="1"/>
  <c r="W99" i="9"/>
  <c r="V99" i="9"/>
  <c r="D99" i="9"/>
  <c r="U99" i="9"/>
  <c r="R73" i="9"/>
  <c r="S73" i="9" s="1"/>
  <c r="D73" i="9"/>
  <c r="R87" i="9"/>
  <c r="S87" i="9" s="1"/>
  <c r="D87" i="9"/>
  <c r="R96" i="9"/>
  <c r="S96" i="9" s="1"/>
  <c r="D96" i="9"/>
  <c r="U96" i="9"/>
  <c r="W96" i="9"/>
  <c r="V96" i="9"/>
  <c r="P70" i="9"/>
  <c r="P107" i="9"/>
  <c r="P83" i="9"/>
  <c r="P108" i="9"/>
  <c r="P102" i="9"/>
  <c r="R102" i="8"/>
  <c r="S102" i="8" s="1"/>
  <c r="X102" i="8"/>
  <c r="W102" i="8"/>
  <c r="V102" i="8"/>
  <c r="U102" i="8"/>
  <c r="T102" i="8"/>
  <c r="D102" i="8"/>
  <c r="R91" i="8"/>
  <c r="S91" i="8" s="1"/>
  <c r="D91" i="8"/>
  <c r="T91" i="8"/>
  <c r="R53" i="8"/>
  <c r="S53" i="8" s="1"/>
  <c r="T53" i="8" s="1"/>
  <c r="U53" i="8"/>
  <c r="X53" i="8"/>
  <c r="V53" i="8"/>
  <c r="D53" i="8"/>
  <c r="W53" i="8"/>
  <c r="R116" i="8"/>
  <c r="S116" i="8" s="1"/>
  <c r="X116" i="8"/>
  <c r="V116" i="8"/>
  <c r="D116" i="8"/>
  <c r="T116" i="8"/>
  <c r="U116" i="8"/>
  <c r="W116" i="8"/>
  <c r="R75" i="8"/>
  <c r="S75" i="8" s="1"/>
  <c r="D75" i="8"/>
  <c r="W75" i="8"/>
  <c r="V75" i="8"/>
  <c r="U75" i="8"/>
  <c r="R105" i="8"/>
  <c r="S105" i="8" s="1"/>
  <c r="T105" i="8"/>
  <c r="D105" i="8"/>
  <c r="R61" i="10"/>
  <c r="S61" i="10" s="1"/>
  <c r="W61" i="10"/>
  <c r="V61" i="10"/>
  <c r="D61" i="10"/>
  <c r="U61" i="10"/>
  <c r="R84" i="10"/>
  <c r="S84" i="10" s="1"/>
  <c r="D84" i="10"/>
  <c r="T84" i="10"/>
  <c r="R68" i="10"/>
  <c r="S68" i="10" s="1"/>
  <c r="W68" i="10"/>
  <c r="V68" i="10"/>
  <c r="U68" i="10"/>
  <c r="D68" i="10"/>
  <c r="R100" i="10"/>
  <c r="W100" i="10"/>
  <c r="X100" i="10"/>
  <c r="D100" i="10"/>
  <c r="V100" i="10"/>
  <c r="R85" i="10"/>
  <c r="S85" i="10" s="1"/>
  <c r="W85" i="10"/>
  <c r="V85" i="10"/>
  <c r="U85" i="10"/>
  <c r="D85" i="10"/>
  <c r="R87" i="10"/>
  <c r="S87" i="10" s="1"/>
  <c r="D87" i="10"/>
  <c r="P64" i="10"/>
  <c r="P70" i="10"/>
  <c r="P114" i="10"/>
  <c r="P112" i="10"/>
  <c r="P100" i="10"/>
  <c r="D31" i="9"/>
  <c r="E32" i="9" s="1"/>
  <c r="C31" i="9"/>
  <c r="R72" i="11"/>
  <c r="X72" i="11"/>
  <c r="V72" i="11"/>
  <c r="W72" i="11"/>
  <c r="D72" i="11"/>
  <c r="R89" i="9"/>
  <c r="S89" i="9" s="1"/>
  <c r="W89" i="9"/>
  <c r="D89" i="9"/>
  <c r="V89" i="9"/>
  <c r="U89" i="9"/>
  <c r="R55" i="9"/>
  <c r="S55" i="9" s="1"/>
  <c r="D55" i="9"/>
  <c r="W55" i="9"/>
  <c r="X55" i="9"/>
  <c r="V55" i="9"/>
  <c r="R48" i="8"/>
  <c r="S48" i="8" s="1"/>
  <c r="D48" i="8"/>
  <c r="V48" i="8"/>
  <c r="X48" i="8"/>
  <c r="W48" i="8"/>
  <c r="R83" i="10"/>
  <c r="S83" i="10" s="1"/>
  <c r="W83" i="10"/>
  <c r="X83" i="10"/>
  <c r="V83" i="10"/>
  <c r="D83" i="10"/>
  <c r="R107" i="9"/>
  <c r="V107" i="9"/>
  <c r="W107" i="9"/>
  <c r="D107" i="9"/>
  <c r="X107" i="9"/>
  <c r="R76" i="10"/>
  <c r="S76" i="10" s="1"/>
  <c r="X76" i="10"/>
  <c r="W76" i="10"/>
  <c r="V76" i="10"/>
  <c r="D76" i="10"/>
  <c r="R108" i="9"/>
  <c r="S108" i="9" s="1"/>
  <c r="D108" i="9"/>
  <c r="R46" i="10"/>
  <c r="S46" i="10" s="1"/>
  <c r="T46" i="10" s="1"/>
  <c r="X46" i="10"/>
  <c r="V46" i="10"/>
  <c r="U46" i="10"/>
  <c r="D46" i="10"/>
  <c r="W46" i="10"/>
  <c r="R82" i="9"/>
  <c r="S82" i="9" s="1"/>
  <c r="U82" i="9"/>
  <c r="W82" i="9"/>
  <c r="D82" i="9"/>
  <c r="V82" i="9"/>
  <c r="R54" i="8"/>
  <c r="S54" i="8" s="1"/>
  <c r="V54" i="8"/>
  <c r="U54" i="8"/>
  <c r="W54" i="8"/>
  <c r="D54" i="8"/>
  <c r="R59" i="11"/>
  <c r="S59" i="11" s="1"/>
  <c r="D59" i="11"/>
  <c r="R48" i="11"/>
  <c r="S48" i="11" s="1"/>
  <c r="D48" i="11"/>
  <c r="V48" i="11"/>
  <c r="W48" i="11"/>
  <c r="X48" i="11"/>
  <c r="R65" i="11"/>
  <c r="X65" i="11"/>
  <c r="W65" i="11"/>
  <c r="V65" i="11"/>
  <c r="D65" i="11"/>
  <c r="R67" i="9"/>
  <c r="S67" i="9" s="1"/>
  <c r="T67" i="9" s="1"/>
  <c r="D67" i="9"/>
  <c r="U67" i="9"/>
  <c r="X67" i="9"/>
  <c r="V67" i="9"/>
  <c r="W67" i="9"/>
  <c r="R117" i="9"/>
  <c r="S117" i="9" s="1"/>
  <c r="W117" i="9"/>
  <c r="U117" i="9"/>
  <c r="V117" i="9"/>
  <c r="D117" i="9"/>
  <c r="R58" i="9"/>
  <c r="X58" i="9"/>
  <c r="W58" i="9"/>
  <c r="V58" i="9"/>
  <c r="D58" i="9"/>
  <c r="R110" i="9"/>
  <c r="S110" i="9" s="1"/>
  <c r="D110" i="9"/>
  <c r="V110" i="9"/>
  <c r="U110" i="9"/>
  <c r="W110" i="9"/>
  <c r="R101" i="9"/>
  <c r="S101" i="9" s="1"/>
  <c r="D101" i="9"/>
  <c r="P116" i="9"/>
  <c r="P56" i="9"/>
  <c r="P114" i="9"/>
  <c r="P44" i="9"/>
  <c r="C31" i="8"/>
  <c r="D31" i="8"/>
  <c r="E32" i="8" s="1"/>
  <c r="R61" i="8"/>
  <c r="S61" i="8" s="1"/>
  <c r="V61" i="8"/>
  <c r="U61" i="8"/>
  <c r="D61" i="8"/>
  <c r="W61" i="8"/>
  <c r="R45" i="8"/>
  <c r="S45" i="8" s="1"/>
  <c r="D45" i="8"/>
  <c r="R65" i="8"/>
  <c r="V65" i="8"/>
  <c r="D65" i="8"/>
  <c r="W65" i="8"/>
  <c r="X65" i="8"/>
  <c r="R84" i="8"/>
  <c r="S84" i="8" s="1"/>
  <c r="T84" i="8"/>
  <c r="D84" i="8"/>
  <c r="R89" i="8"/>
  <c r="S89" i="8" s="1"/>
  <c r="U89" i="8"/>
  <c r="W89" i="8"/>
  <c r="V89" i="8"/>
  <c r="D89" i="8"/>
  <c r="R119" i="8"/>
  <c r="S119" i="8" s="1"/>
  <c r="D119" i="8"/>
  <c r="T119" i="8"/>
  <c r="R118" i="8"/>
  <c r="S118" i="8" s="1"/>
  <c r="D118" i="8"/>
  <c r="X118" i="8"/>
  <c r="W118" i="8"/>
  <c r="V118" i="8"/>
  <c r="R77" i="10"/>
  <c r="S77" i="10" s="1"/>
  <c r="T77" i="10"/>
  <c r="D77" i="10"/>
  <c r="R49" i="10"/>
  <c r="S49" i="10" s="1"/>
  <c r="D49" i="10"/>
  <c r="T49" i="10"/>
  <c r="R89" i="10"/>
  <c r="S89" i="10" s="1"/>
  <c r="W89" i="10"/>
  <c r="V89" i="10"/>
  <c r="U89" i="10"/>
  <c r="D89" i="10"/>
  <c r="R97" i="10"/>
  <c r="S97" i="10" s="1"/>
  <c r="W97" i="10"/>
  <c r="V97" i="10"/>
  <c r="X97" i="10"/>
  <c r="D97" i="10"/>
  <c r="R99" i="10"/>
  <c r="S99" i="10" s="1"/>
  <c r="W99" i="10"/>
  <c r="V99" i="10"/>
  <c r="U99" i="10"/>
  <c r="D99" i="10"/>
  <c r="R101" i="10"/>
  <c r="S101" i="10" s="1"/>
  <c r="D101" i="10"/>
  <c r="P114" i="8"/>
  <c r="P108" i="8"/>
  <c r="P45" i="10"/>
  <c r="P44" i="10"/>
  <c r="P98" i="10"/>
  <c r="P50" i="10"/>
  <c r="P73" i="10"/>
  <c r="T60" i="9" l="1"/>
  <c r="U60" i="10"/>
  <c r="AB122" i="8"/>
  <c r="U60" i="8"/>
  <c r="AB123" i="8"/>
  <c r="AB121" i="8"/>
  <c r="AB125" i="8"/>
  <c r="X125" i="8"/>
  <c r="X121" i="8"/>
  <c r="X123" i="8"/>
  <c r="T60" i="11"/>
  <c r="AK60" i="11" s="1"/>
  <c r="T74" i="10"/>
  <c r="AL74" i="10" s="1"/>
  <c r="AM74" i="10" s="1"/>
  <c r="AF74" i="10" s="1"/>
  <c r="T74" i="8"/>
  <c r="AL74" i="8" s="1"/>
  <c r="AM74" i="8" s="1"/>
  <c r="AF74" i="8" s="1"/>
  <c r="T46" i="11"/>
  <c r="AD46" i="11" s="1"/>
  <c r="AD53" i="8"/>
  <c r="AB53" i="8"/>
  <c r="AK53" i="8"/>
  <c r="AN74" i="9"/>
  <c r="AL74" i="9"/>
  <c r="AM74" i="9" s="1"/>
  <c r="AF74" i="9" s="1"/>
  <c r="AN53" i="9"/>
  <c r="AN67" i="8"/>
  <c r="AK60" i="8"/>
  <c r="AB60" i="8"/>
  <c r="AD60" i="8"/>
  <c r="AN67" i="10"/>
  <c r="AN46" i="9"/>
  <c r="AN53" i="11"/>
  <c r="AN74" i="10"/>
  <c r="AN46" i="8"/>
  <c r="AL61" i="8"/>
  <c r="AN61" i="8"/>
  <c r="Z79" i="9"/>
  <c r="Y79" i="9"/>
  <c r="AE79" i="9" s="1"/>
  <c r="Z88" i="9"/>
  <c r="Y88" i="9"/>
  <c r="AL103" i="10"/>
  <c r="AN103" i="10"/>
  <c r="S58" i="8"/>
  <c r="T58" i="8"/>
  <c r="U58" i="8"/>
  <c r="AN96" i="10"/>
  <c r="AL96" i="10"/>
  <c r="AN103" i="9"/>
  <c r="AL103" i="9"/>
  <c r="AD67" i="11"/>
  <c r="AK67" i="11"/>
  <c r="AB49" i="11"/>
  <c r="AD49" i="11"/>
  <c r="AF49" i="11"/>
  <c r="AK49" i="11"/>
  <c r="AL49" i="11"/>
  <c r="AM49" i="11" s="1"/>
  <c r="AL43" i="8"/>
  <c r="G43" i="8" s="1"/>
  <c r="AN43" i="8"/>
  <c r="AN75" i="8"/>
  <c r="AL75" i="8"/>
  <c r="G75" i="8" s="1"/>
  <c r="Z83" i="9"/>
  <c r="Y83" i="9"/>
  <c r="AE83" i="9" s="1"/>
  <c r="AK77" i="10"/>
  <c r="AB77" i="10"/>
  <c r="AD77" i="10"/>
  <c r="AL77" i="10"/>
  <c r="AM77" i="10" s="1"/>
  <c r="AF77" i="10"/>
  <c r="AN82" i="9"/>
  <c r="AL82" i="9"/>
  <c r="U55" i="9"/>
  <c r="T55" i="9"/>
  <c r="Z53" i="8"/>
  <c r="AE53" i="8"/>
  <c r="Y53" i="8"/>
  <c r="AL71" i="8"/>
  <c r="AN71" i="8"/>
  <c r="U62" i="8"/>
  <c r="T62" i="8"/>
  <c r="AK53" i="10"/>
  <c r="AB53" i="10"/>
  <c r="AD53" i="10"/>
  <c r="Y107" i="8"/>
  <c r="AE107" i="8" s="1"/>
  <c r="Z107" i="8"/>
  <c r="Y104" i="9"/>
  <c r="Z104" i="9"/>
  <c r="Z114" i="9"/>
  <c r="Y114" i="9"/>
  <c r="AE114" i="9"/>
  <c r="AN113" i="8"/>
  <c r="AL113" i="8"/>
  <c r="AL116" i="10"/>
  <c r="AN116" i="10"/>
  <c r="AN50" i="10"/>
  <c r="AL50" i="10"/>
  <c r="AN50" i="9"/>
  <c r="AL50" i="9"/>
  <c r="AN81" i="10"/>
  <c r="AL81" i="10"/>
  <c r="AM81" i="10" s="1"/>
  <c r="AF81" i="10" s="1"/>
  <c r="AD56" i="10"/>
  <c r="AK56" i="10"/>
  <c r="AB56" i="10"/>
  <c r="AL56" i="10"/>
  <c r="AM56" i="10" s="1"/>
  <c r="AF56" i="10"/>
  <c r="AN117" i="10"/>
  <c r="AL117" i="10"/>
  <c r="G117" i="10" s="1"/>
  <c r="AB109" i="10"/>
  <c r="AD109" i="10"/>
  <c r="AK109" i="10"/>
  <c r="AN75" i="11"/>
  <c r="AL75" i="11"/>
  <c r="Z65" i="10"/>
  <c r="Y65" i="10"/>
  <c r="AE65" i="10" s="1"/>
  <c r="AE44" i="11"/>
  <c r="Z44" i="11"/>
  <c r="Y44" i="11"/>
  <c r="Z90" i="10"/>
  <c r="AE90" i="10" s="1"/>
  <c r="Y90" i="10"/>
  <c r="AD112" i="8"/>
  <c r="AK112" i="8"/>
  <c r="AL112" i="8"/>
  <c r="AM112" i="8" s="1"/>
  <c r="AF112" i="8" s="1"/>
  <c r="AN106" i="9"/>
  <c r="AL106" i="9"/>
  <c r="G106" i="9" s="1"/>
  <c r="AN106" i="8"/>
  <c r="AL106" i="8"/>
  <c r="G106" i="8" s="1"/>
  <c r="AK91" i="9"/>
  <c r="AD91" i="9"/>
  <c r="AL91" i="9"/>
  <c r="AM91" i="9" s="1"/>
  <c r="AF91" i="9" s="1"/>
  <c r="Z67" i="8"/>
  <c r="Y67" i="8"/>
  <c r="AE67" i="8" s="1"/>
  <c r="Z97" i="10"/>
  <c r="Y97" i="10"/>
  <c r="AE97" i="10" s="1"/>
  <c r="Z67" i="9"/>
  <c r="Y67" i="9"/>
  <c r="AE67" i="9" s="1"/>
  <c r="U48" i="11"/>
  <c r="T48" i="11"/>
  <c r="Z83" i="10"/>
  <c r="AE83" i="10" s="1"/>
  <c r="Y83" i="10"/>
  <c r="AL71" i="9"/>
  <c r="AN71" i="9"/>
  <c r="AN78" i="10"/>
  <c r="AL78" i="10"/>
  <c r="G78" i="10" s="1"/>
  <c r="T83" i="9"/>
  <c r="U83" i="9"/>
  <c r="AD102" i="10"/>
  <c r="AK102" i="10"/>
  <c r="AE55" i="8"/>
  <c r="Z55" i="8"/>
  <c r="Y55" i="8"/>
  <c r="U104" i="9"/>
  <c r="T104" i="9"/>
  <c r="AL57" i="9"/>
  <c r="AN57" i="9"/>
  <c r="S93" i="8"/>
  <c r="T93" i="8"/>
  <c r="U93" i="8"/>
  <c r="AK88" i="9"/>
  <c r="AD88" i="9"/>
  <c r="AB88" i="9"/>
  <c r="Z100" i="9"/>
  <c r="Y100" i="9"/>
  <c r="AD112" i="10"/>
  <c r="AK112" i="10"/>
  <c r="AL112" i="10"/>
  <c r="AM112" i="10" s="1"/>
  <c r="AF112" i="10" s="1"/>
  <c r="AE79" i="8"/>
  <c r="Z79" i="8"/>
  <c r="Y79" i="8"/>
  <c r="Z109" i="9"/>
  <c r="Y109" i="9"/>
  <c r="AE109" i="9" s="1"/>
  <c r="AE58" i="10"/>
  <c r="Z58" i="10"/>
  <c r="Y58" i="10"/>
  <c r="Z76" i="11"/>
  <c r="Y76" i="11"/>
  <c r="S44" i="11"/>
  <c r="U44" i="11"/>
  <c r="T44" i="11"/>
  <c r="AN64" i="11"/>
  <c r="AL64" i="11"/>
  <c r="AL75" i="10"/>
  <c r="G75" i="10" s="1"/>
  <c r="AN75" i="10"/>
  <c r="AN68" i="8"/>
  <c r="AL68" i="8"/>
  <c r="Z67" i="11"/>
  <c r="Y67" i="11"/>
  <c r="Z111" i="10"/>
  <c r="Y111" i="10"/>
  <c r="AE51" i="10"/>
  <c r="Z51" i="10"/>
  <c r="Y51" i="10"/>
  <c r="AN92" i="10"/>
  <c r="AL92" i="10"/>
  <c r="G92" i="10" s="1"/>
  <c r="U97" i="9"/>
  <c r="T97" i="9"/>
  <c r="AD84" i="8"/>
  <c r="AB84" i="8"/>
  <c r="AK84" i="8"/>
  <c r="AL84" i="8"/>
  <c r="AM84" i="8" s="1"/>
  <c r="AF84" i="8"/>
  <c r="AB84" i="10"/>
  <c r="AD84" i="10"/>
  <c r="AK84" i="10"/>
  <c r="AL84" i="10"/>
  <c r="AM84" i="10" s="1"/>
  <c r="AF84" i="10"/>
  <c r="AK77" i="9"/>
  <c r="AD77" i="9"/>
  <c r="AB77" i="9"/>
  <c r="AF77" i="9"/>
  <c r="AL77" i="9"/>
  <c r="AM77" i="9" s="1"/>
  <c r="AL117" i="8"/>
  <c r="G117" i="8" s="1"/>
  <c r="AN117" i="8"/>
  <c r="AM117" i="8" s="1"/>
  <c r="AF117" i="8" s="1"/>
  <c r="H117" i="8" s="1"/>
  <c r="AN67" i="9"/>
  <c r="AL67" i="9"/>
  <c r="Z76" i="10"/>
  <c r="Y76" i="10"/>
  <c r="U83" i="10"/>
  <c r="T83" i="10"/>
  <c r="AN89" i="9"/>
  <c r="AL89" i="9"/>
  <c r="Z90" i="8"/>
  <c r="Y90" i="8"/>
  <c r="AE90" i="8" s="1"/>
  <c r="U48" i="10"/>
  <c r="T48" i="10"/>
  <c r="U69" i="9"/>
  <c r="T69" i="9"/>
  <c r="AB116" i="9"/>
  <c r="AK116" i="9"/>
  <c r="AD116" i="9"/>
  <c r="S107" i="8"/>
  <c r="T107" i="8"/>
  <c r="U107" i="8"/>
  <c r="AK102" i="9"/>
  <c r="AD102" i="9"/>
  <c r="Z109" i="8"/>
  <c r="Y109" i="8"/>
  <c r="AE109" i="8" s="1"/>
  <c r="S79" i="9"/>
  <c r="T79" i="9"/>
  <c r="U79" i="9"/>
  <c r="AD116" i="10"/>
  <c r="AB116" i="10"/>
  <c r="AK116" i="10"/>
  <c r="S100" i="9"/>
  <c r="T100" i="9"/>
  <c r="U100" i="9"/>
  <c r="T53" i="11"/>
  <c r="AN109" i="10"/>
  <c r="AL109" i="10"/>
  <c r="Z83" i="8"/>
  <c r="Y83" i="8"/>
  <c r="AN47" i="9"/>
  <c r="AL47" i="9"/>
  <c r="AM47" i="9" s="1"/>
  <c r="AF47" i="9" s="1"/>
  <c r="S58" i="10"/>
  <c r="U58" i="10"/>
  <c r="T58" i="10"/>
  <c r="U90" i="10"/>
  <c r="T90" i="10"/>
  <c r="AL82" i="8"/>
  <c r="AN82" i="8"/>
  <c r="S58" i="11"/>
  <c r="U58" i="11"/>
  <c r="T58" i="11"/>
  <c r="Z76" i="8"/>
  <c r="Y76" i="8"/>
  <c r="AE76" i="8" s="1"/>
  <c r="AD63" i="10"/>
  <c r="AB63" i="10"/>
  <c r="AK63" i="10"/>
  <c r="AL63" i="10"/>
  <c r="AM63" i="10" s="1"/>
  <c r="AF63" i="10"/>
  <c r="Z55" i="11"/>
  <c r="Y55" i="11"/>
  <c r="U76" i="11"/>
  <c r="T76" i="11"/>
  <c r="AL47" i="8"/>
  <c r="AN47" i="8"/>
  <c r="AN78" i="8"/>
  <c r="AL78" i="8"/>
  <c r="G78" i="8" s="1"/>
  <c r="AN67" i="11"/>
  <c r="AL67" i="11"/>
  <c r="H120" i="8"/>
  <c r="G120" i="8"/>
  <c r="S51" i="10"/>
  <c r="U51" i="10"/>
  <c r="T51" i="10"/>
  <c r="AN57" i="11"/>
  <c r="AL57" i="11"/>
  <c r="X123" i="10"/>
  <c r="X121" i="10"/>
  <c r="X125" i="10"/>
  <c r="AB121" i="10"/>
  <c r="AB122" i="10"/>
  <c r="AB126" i="10"/>
  <c r="AB120" i="10"/>
  <c r="AB125" i="10"/>
  <c r="AN113" i="10"/>
  <c r="AL113" i="10"/>
  <c r="U97" i="10"/>
  <c r="T97" i="10"/>
  <c r="Z65" i="8"/>
  <c r="Y65" i="8"/>
  <c r="AE65" i="8" s="1"/>
  <c r="T76" i="10"/>
  <c r="U76" i="10"/>
  <c r="AK91" i="8"/>
  <c r="AD91" i="8"/>
  <c r="AL91" i="8"/>
  <c r="AM91" i="8" s="1"/>
  <c r="AF91" i="8" s="1"/>
  <c r="AL47" i="10"/>
  <c r="AN47" i="10"/>
  <c r="Y90" i="9"/>
  <c r="Z90" i="9"/>
  <c r="AE90" i="9" s="1"/>
  <c r="Z74" i="9"/>
  <c r="Y74" i="9"/>
  <c r="AE74" i="9" s="1"/>
  <c r="AB119" i="10"/>
  <c r="AD119" i="10"/>
  <c r="AK119" i="10"/>
  <c r="AL119" i="10"/>
  <c r="AM119" i="10" s="1"/>
  <c r="AF119" i="10"/>
  <c r="X125" i="9"/>
  <c r="X121" i="9"/>
  <c r="AB122" i="9"/>
  <c r="AB126" i="9"/>
  <c r="X123" i="9"/>
  <c r="AB120" i="9"/>
  <c r="AB121" i="9"/>
  <c r="AB123" i="9"/>
  <c r="AB125" i="9"/>
  <c r="AK49" i="9"/>
  <c r="AD49" i="9"/>
  <c r="AB49" i="9"/>
  <c r="AL49" i="9"/>
  <c r="AM49" i="9" s="1"/>
  <c r="AF49" i="9"/>
  <c r="AN75" i="9"/>
  <c r="AL75" i="9"/>
  <c r="G75" i="9" s="1"/>
  <c r="S79" i="8"/>
  <c r="U79" i="8"/>
  <c r="T79" i="8"/>
  <c r="AD91" i="10"/>
  <c r="AK91" i="10"/>
  <c r="AL91" i="10"/>
  <c r="AM91" i="10" s="1"/>
  <c r="AF91" i="10" s="1"/>
  <c r="AD46" i="10"/>
  <c r="AK46" i="10"/>
  <c r="AE48" i="8"/>
  <c r="Z48" i="8"/>
  <c r="Y48" i="8"/>
  <c r="AL61" i="10"/>
  <c r="AN61" i="10"/>
  <c r="AN116" i="8"/>
  <c r="AL116" i="8"/>
  <c r="T90" i="8"/>
  <c r="U90" i="8"/>
  <c r="AN99" i="8"/>
  <c r="AL99" i="8"/>
  <c r="AM99" i="8" s="1"/>
  <c r="AF99" i="8" s="1"/>
  <c r="Z62" i="9"/>
  <c r="Y62" i="9"/>
  <c r="AD105" i="9"/>
  <c r="AB105" i="9"/>
  <c r="AK105" i="9"/>
  <c r="AL105" i="9"/>
  <c r="AM105" i="9" s="1"/>
  <c r="AF105" i="9" s="1"/>
  <c r="Z72" i="10"/>
  <c r="Y72" i="10"/>
  <c r="AE72" i="10" s="1"/>
  <c r="AN102" i="9"/>
  <c r="AL102" i="9"/>
  <c r="AM102" i="9" s="1"/>
  <c r="AF102" i="9" s="1"/>
  <c r="AN109" i="8"/>
  <c r="AL109" i="8"/>
  <c r="U69" i="8"/>
  <c r="T69" i="8"/>
  <c r="Z116" i="10"/>
  <c r="Y116" i="10"/>
  <c r="AE116" i="10"/>
  <c r="Z104" i="8"/>
  <c r="Y104" i="8"/>
  <c r="Z60" i="11"/>
  <c r="Y60" i="11"/>
  <c r="Z79" i="10"/>
  <c r="Y79" i="10"/>
  <c r="U76" i="8"/>
  <c r="T76" i="8"/>
  <c r="S44" i="9"/>
  <c r="U44" i="9"/>
  <c r="T44" i="9"/>
  <c r="AK56" i="8"/>
  <c r="AD56" i="8"/>
  <c r="AB56" i="8"/>
  <c r="AL56" i="8"/>
  <c r="AM56" i="8" s="1"/>
  <c r="AF56" i="8"/>
  <c r="G122" i="8"/>
  <c r="H122" i="8"/>
  <c r="AN89" i="8"/>
  <c r="AL89" i="8"/>
  <c r="S107" i="10"/>
  <c r="U107" i="10"/>
  <c r="T107" i="10"/>
  <c r="AN99" i="9"/>
  <c r="AL99" i="9"/>
  <c r="AN110" i="8"/>
  <c r="AL110" i="8"/>
  <c r="G110" i="8" s="1"/>
  <c r="Z53" i="11"/>
  <c r="Y53" i="11"/>
  <c r="Z58" i="11"/>
  <c r="Y58" i="11"/>
  <c r="AE58" i="11" s="1"/>
  <c r="Z118" i="8"/>
  <c r="Y118" i="8"/>
  <c r="Z86" i="10"/>
  <c r="Y86" i="10"/>
  <c r="AE86" i="10" s="1"/>
  <c r="Z116" i="9"/>
  <c r="Y116" i="9"/>
  <c r="AN96" i="8"/>
  <c r="AL96" i="8"/>
  <c r="S114" i="9"/>
  <c r="U114" i="9"/>
  <c r="T114" i="9"/>
  <c r="AL89" i="10"/>
  <c r="AN89" i="10"/>
  <c r="AM89" i="10" s="1"/>
  <c r="AF89" i="10" s="1"/>
  <c r="T118" i="8"/>
  <c r="U118" i="8"/>
  <c r="AE58" i="9"/>
  <c r="Z58" i="9"/>
  <c r="Y58" i="9"/>
  <c r="AN46" i="10"/>
  <c r="AL46" i="10"/>
  <c r="Z107" i="9"/>
  <c r="Y107" i="9"/>
  <c r="AE107" i="9" s="1"/>
  <c r="AK116" i="8"/>
  <c r="AD116" i="8"/>
  <c r="AB116" i="8"/>
  <c r="S86" i="10"/>
  <c r="T86" i="10"/>
  <c r="U86" i="10"/>
  <c r="Y111" i="9"/>
  <c r="Z111" i="9"/>
  <c r="AE111" i="9" s="1"/>
  <c r="U62" i="9"/>
  <c r="T62" i="9"/>
  <c r="AD74" i="9"/>
  <c r="AK74" i="9"/>
  <c r="AB74" i="9"/>
  <c r="Y74" i="10"/>
  <c r="Z74" i="10"/>
  <c r="AE74" i="10"/>
  <c r="Z102" i="9"/>
  <c r="Y102" i="9"/>
  <c r="AB63" i="9"/>
  <c r="AD63" i="9"/>
  <c r="AK63" i="9"/>
  <c r="AL63" i="9"/>
  <c r="AM63" i="9" s="1"/>
  <c r="AF63" i="9"/>
  <c r="AN68" i="11"/>
  <c r="AL68" i="11"/>
  <c r="AD109" i="8"/>
  <c r="AB109" i="8"/>
  <c r="AK109" i="8"/>
  <c r="AN85" i="9"/>
  <c r="AL85" i="9"/>
  <c r="G85" i="9" s="1"/>
  <c r="AK98" i="8"/>
  <c r="AD98" i="8"/>
  <c r="AF98" i="8"/>
  <c r="AL98" i="8"/>
  <c r="AM98" i="8" s="1"/>
  <c r="Y81" i="9"/>
  <c r="Z81" i="9"/>
  <c r="T104" i="8"/>
  <c r="U104" i="8"/>
  <c r="Z81" i="8"/>
  <c r="Y81" i="8"/>
  <c r="Z60" i="9"/>
  <c r="Y60" i="9"/>
  <c r="U83" i="8"/>
  <c r="T83" i="8"/>
  <c r="AK112" i="9"/>
  <c r="AD112" i="9"/>
  <c r="AL112" i="9"/>
  <c r="AM112" i="9" s="1"/>
  <c r="AF112" i="9" s="1"/>
  <c r="AN43" i="9"/>
  <c r="AL43" i="9"/>
  <c r="G43" i="9" s="1"/>
  <c r="AN61" i="11"/>
  <c r="AL61" i="11"/>
  <c r="Z95" i="9"/>
  <c r="Y95" i="9"/>
  <c r="AE95" i="9" s="1"/>
  <c r="Z118" i="10"/>
  <c r="Y118" i="10"/>
  <c r="AE118" i="10" s="1"/>
  <c r="AE51" i="9"/>
  <c r="Z51" i="9"/>
  <c r="Y51" i="9"/>
  <c r="AK74" i="11"/>
  <c r="AD74" i="11"/>
  <c r="T55" i="11"/>
  <c r="U55" i="11"/>
  <c r="Z72" i="8"/>
  <c r="Y72" i="8"/>
  <c r="AE72" i="8" s="1"/>
  <c r="Z62" i="11"/>
  <c r="Y62" i="11"/>
  <c r="AN57" i="8"/>
  <c r="AL57" i="8"/>
  <c r="Y72" i="9"/>
  <c r="Z72" i="9"/>
  <c r="Z93" i="8"/>
  <c r="Y93" i="8"/>
  <c r="AB70" i="8"/>
  <c r="AK70" i="8"/>
  <c r="AF70" i="8"/>
  <c r="AD70" i="8"/>
  <c r="AL70" i="8"/>
  <c r="AM70" i="8" s="1"/>
  <c r="Y109" i="10"/>
  <c r="AE109" i="10" s="1"/>
  <c r="Z109" i="10"/>
  <c r="AN113" i="9"/>
  <c r="AL113" i="9"/>
  <c r="AN53" i="8"/>
  <c r="AL53" i="8"/>
  <c r="AM53" i="8" s="1"/>
  <c r="AF53" i="8" s="1"/>
  <c r="T55" i="8"/>
  <c r="U55" i="8"/>
  <c r="Y69" i="8"/>
  <c r="Z69" i="8"/>
  <c r="Z60" i="8"/>
  <c r="Y60" i="8"/>
  <c r="AD109" i="9"/>
  <c r="AB109" i="9"/>
  <c r="AK109" i="9"/>
  <c r="S65" i="10"/>
  <c r="U65" i="10"/>
  <c r="T65" i="10"/>
  <c r="AN95" i="10"/>
  <c r="AL95" i="10"/>
  <c r="AD70" i="9"/>
  <c r="AB70" i="9"/>
  <c r="AK70" i="9"/>
  <c r="AL70" i="9"/>
  <c r="AM70" i="9" s="1"/>
  <c r="AF70" i="9"/>
  <c r="AN60" i="11"/>
  <c r="AD98" i="10"/>
  <c r="AK98" i="10"/>
  <c r="AL98" i="10"/>
  <c r="AM98" i="10" s="1"/>
  <c r="AF98" i="10" s="1"/>
  <c r="AN78" i="9"/>
  <c r="AL78" i="9"/>
  <c r="G78" i="9" s="1"/>
  <c r="Z86" i="8"/>
  <c r="Y86" i="8"/>
  <c r="AE86" i="8"/>
  <c r="S79" i="10"/>
  <c r="T79" i="10"/>
  <c r="U79" i="10"/>
  <c r="Z114" i="10"/>
  <c r="Y114" i="10"/>
  <c r="AE114" i="10" s="1"/>
  <c r="Z69" i="10"/>
  <c r="Y69" i="10"/>
  <c r="AN46" i="11"/>
  <c r="AL46" i="11"/>
  <c r="T67" i="10"/>
  <c r="AN74" i="8"/>
  <c r="U118" i="10"/>
  <c r="T118" i="10"/>
  <c r="AE55" i="10"/>
  <c r="Z55" i="10"/>
  <c r="Y55" i="10"/>
  <c r="H126" i="8"/>
  <c r="G126" i="8"/>
  <c r="S72" i="8"/>
  <c r="U72" i="8"/>
  <c r="T72" i="8"/>
  <c r="S72" i="9"/>
  <c r="U72" i="9"/>
  <c r="T72" i="9"/>
  <c r="S65" i="8"/>
  <c r="U65" i="8"/>
  <c r="T65" i="8"/>
  <c r="AE46" i="10"/>
  <c r="Z46" i="10"/>
  <c r="Y46" i="10"/>
  <c r="U48" i="8"/>
  <c r="T48" i="8"/>
  <c r="Z100" i="10"/>
  <c r="Y100" i="10"/>
  <c r="AE100" i="10" s="1"/>
  <c r="AK102" i="8"/>
  <c r="AD102" i="8"/>
  <c r="T90" i="9"/>
  <c r="U90" i="9"/>
  <c r="AN57" i="10"/>
  <c r="AL57" i="10"/>
  <c r="AM57" i="10" s="1"/>
  <c r="AF57" i="10" s="1"/>
  <c r="Z114" i="8"/>
  <c r="Y114" i="8"/>
  <c r="Y88" i="10"/>
  <c r="Z88" i="10"/>
  <c r="AD81" i="9"/>
  <c r="AK81" i="9"/>
  <c r="T46" i="9"/>
  <c r="AL46" i="9" s="1"/>
  <c r="AN71" i="11"/>
  <c r="AL71" i="11"/>
  <c r="AN81" i="8"/>
  <c r="AL81" i="8"/>
  <c r="AM81" i="8" s="1"/>
  <c r="AF81" i="8" s="1"/>
  <c r="AN61" i="9"/>
  <c r="AL61" i="9"/>
  <c r="Z104" i="10"/>
  <c r="Y104" i="10"/>
  <c r="AD95" i="8"/>
  <c r="AK95" i="8"/>
  <c r="Y76" i="9"/>
  <c r="Z76" i="9"/>
  <c r="AE76" i="9" s="1"/>
  <c r="AL68" i="9"/>
  <c r="AN68" i="9"/>
  <c r="Z93" i="10"/>
  <c r="Y93" i="10"/>
  <c r="AE93" i="10" s="1"/>
  <c r="S86" i="8"/>
  <c r="T86" i="8"/>
  <c r="U86" i="8"/>
  <c r="AN88" i="8"/>
  <c r="AL88" i="8"/>
  <c r="AM88" i="8" s="1"/>
  <c r="AF88" i="8" s="1"/>
  <c r="S114" i="10"/>
  <c r="T114" i="10"/>
  <c r="U114" i="10"/>
  <c r="U69" i="10"/>
  <c r="T69" i="10"/>
  <c r="AD105" i="10"/>
  <c r="AB105" i="10"/>
  <c r="AK105" i="10"/>
  <c r="AL105" i="10"/>
  <c r="AM105" i="10" s="1"/>
  <c r="AF105" i="10"/>
  <c r="U55" i="10"/>
  <c r="T55" i="10"/>
  <c r="AN74" i="11"/>
  <c r="AM74" i="11"/>
  <c r="AF74" i="11" s="1"/>
  <c r="AL74" i="11"/>
  <c r="Z123" i="8"/>
  <c r="Y123" i="8"/>
  <c r="Z48" i="10"/>
  <c r="Y48" i="10"/>
  <c r="AE48" i="10"/>
  <c r="AB67" i="9"/>
  <c r="AK67" i="9"/>
  <c r="AD67" i="9"/>
  <c r="AB123" i="10"/>
  <c r="Z93" i="9"/>
  <c r="Y93" i="9"/>
  <c r="AK81" i="8"/>
  <c r="AD81" i="8"/>
  <c r="AN71" i="10"/>
  <c r="AL71" i="10"/>
  <c r="Y65" i="11"/>
  <c r="Z65" i="11"/>
  <c r="Z116" i="8"/>
  <c r="Y116" i="8"/>
  <c r="AN102" i="8"/>
  <c r="AL102" i="8"/>
  <c r="AL96" i="9"/>
  <c r="AN96" i="9"/>
  <c r="S44" i="8"/>
  <c r="T44" i="8"/>
  <c r="U44" i="8"/>
  <c r="S44" i="10"/>
  <c r="U44" i="10"/>
  <c r="T44" i="10"/>
  <c r="Z79" i="11"/>
  <c r="AE79" i="11" s="1"/>
  <c r="Y79" i="11"/>
  <c r="AK49" i="8"/>
  <c r="AB49" i="8"/>
  <c r="AD49" i="8"/>
  <c r="AF49" i="8"/>
  <c r="AL49" i="8"/>
  <c r="AM49" i="8" s="1"/>
  <c r="AN54" i="11"/>
  <c r="AL54" i="11"/>
  <c r="AK88" i="10"/>
  <c r="AD88" i="10"/>
  <c r="AB88" i="10"/>
  <c r="AN43" i="10"/>
  <c r="AL43" i="10"/>
  <c r="G43" i="10" s="1"/>
  <c r="AL81" i="9"/>
  <c r="AM81" i="9" s="1"/>
  <c r="AF81" i="9" s="1"/>
  <c r="AN81" i="9"/>
  <c r="AD81" i="10"/>
  <c r="AK81" i="10"/>
  <c r="T104" i="10"/>
  <c r="U104" i="10"/>
  <c r="AN95" i="8"/>
  <c r="AL95" i="8"/>
  <c r="U76" i="9"/>
  <c r="T76" i="9"/>
  <c r="AN78" i="11"/>
  <c r="AL78" i="11"/>
  <c r="AM78" i="11" s="1"/>
  <c r="AF78" i="11" s="1"/>
  <c r="AL110" i="10"/>
  <c r="G110" i="10" s="1"/>
  <c r="AN110" i="10"/>
  <c r="Z58" i="8"/>
  <c r="Y58" i="8"/>
  <c r="AE58" i="8"/>
  <c r="Z69" i="11"/>
  <c r="Y69" i="11"/>
  <c r="AE69" i="11"/>
  <c r="AK95" i="9"/>
  <c r="AD95" i="9"/>
  <c r="S65" i="9"/>
  <c r="U65" i="9"/>
  <c r="T65" i="9"/>
  <c r="AK60" i="10"/>
  <c r="AD60" i="10"/>
  <c r="AB60" i="10"/>
  <c r="AK77" i="11"/>
  <c r="AD77" i="11"/>
  <c r="AL77" i="11"/>
  <c r="AM77" i="11" s="1"/>
  <c r="AF77" i="11" s="1"/>
  <c r="AB70" i="10"/>
  <c r="AD70" i="10"/>
  <c r="AK70" i="10"/>
  <c r="AL70" i="10"/>
  <c r="AM70" i="10" s="1"/>
  <c r="AF70" i="10"/>
  <c r="AE51" i="8"/>
  <c r="Z51" i="8"/>
  <c r="Y51" i="8"/>
  <c r="S51" i="9"/>
  <c r="U51" i="9"/>
  <c r="T51" i="9"/>
  <c r="Z74" i="11"/>
  <c r="Y74" i="11"/>
  <c r="AB84" i="9"/>
  <c r="AK84" i="9"/>
  <c r="AD84" i="9"/>
  <c r="AL84" i="9"/>
  <c r="AM84" i="9" s="1"/>
  <c r="AF84" i="9"/>
  <c r="T46" i="8"/>
  <c r="AL46" i="8" s="1"/>
  <c r="AM46" i="8" s="1"/>
  <c r="AF46" i="8" s="1"/>
  <c r="U62" i="11"/>
  <c r="T62" i="11"/>
  <c r="Z100" i="8"/>
  <c r="Y100" i="8"/>
  <c r="AE100" i="8" s="1"/>
  <c r="AN110" i="9"/>
  <c r="AL110" i="9"/>
  <c r="G110" i="9" s="1"/>
  <c r="Z82" i="11"/>
  <c r="Y82" i="11"/>
  <c r="S51" i="11"/>
  <c r="T51" i="11"/>
  <c r="U51" i="11"/>
  <c r="AB60" i="9"/>
  <c r="AD60" i="9"/>
  <c r="AK60" i="9"/>
  <c r="AE44" i="10"/>
  <c r="Z44" i="10"/>
  <c r="Y44" i="10"/>
  <c r="AN60" i="9"/>
  <c r="AL60" i="9"/>
  <c r="Z60" i="10"/>
  <c r="Y60" i="10"/>
  <c r="AN99" i="10"/>
  <c r="AL99" i="10"/>
  <c r="AM99" i="10" s="1"/>
  <c r="AF99" i="10" s="1"/>
  <c r="AD49" i="10"/>
  <c r="AB49" i="10"/>
  <c r="AK49" i="10"/>
  <c r="AL49" i="10"/>
  <c r="AM49" i="10" s="1"/>
  <c r="AF49" i="10"/>
  <c r="AN117" i="9"/>
  <c r="AL117" i="9"/>
  <c r="G117" i="9" s="1"/>
  <c r="S65" i="11"/>
  <c r="T65" i="11"/>
  <c r="U65" i="11"/>
  <c r="S107" i="9"/>
  <c r="U107" i="9"/>
  <c r="T107" i="9"/>
  <c r="S100" i="10"/>
  <c r="U100" i="10"/>
  <c r="T100" i="10"/>
  <c r="Y86" i="9"/>
  <c r="Z86" i="9"/>
  <c r="G82" i="11"/>
  <c r="AD77" i="8"/>
  <c r="AB77" i="8"/>
  <c r="AK77" i="8"/>
  <c r="AL77" i="8"/>
  <c r="AM77" i="8" s="1"/>
  <c r="AF77" i="8"/>
  <c r="T111" i="9"/>
  <c r="U111" i="9"/>
  <c r="Z62" i="8"/>
  <c r="Y62" i="8"/>
  <c r="S93" i="9"/>
  <c r="U93" i="9"/>
  <c r="T93" i="9"/>
  <c r="Z62" i="10"/>
  <c r="Y62" i="10"/>
  <c r="AE62" i="10" s="1"/>
  <c r="AM88" i="10"/>
  <c r="AF88" i="10" s="1"/>
  <c r="AN88" i="10"/>
  <c r="AL88" i="10"/>
  <c r="AN43" i="11"/>
  <c r="AL43" i="11"/>
  <c r="AN64" i="10"/>
  <c r="AL64" i="10"/>
  <c r="Z95" i="8"/>
  <c r="Y95" i="8"/>
  <c r="AD63" i="8"/>
  <c r="AB63" i="8"/>
  <c r="AK63" i="8"/>
  <c r="AL63" i="8"/>
  <c r="AM63" i="8" s="1"/>
  <c r="AF63" i="8"/>
  <c r="AD70" i="11"/>
  <c r="AK70" i="11"/>
  <c r="AL70" i="11"/>
  <c r="AM70" i="11" s="1"/>
  <c r="AF70" i="11" s="1"/>
  <c r="Z53" i="9"/>
  <c r="Y53" i="9"/>
  <c r="AE53" i="9"/>
  <c r="AD88" i="8"/>
  <c r="AB88" i="8"/>
  <c r="AK88" i="8"/>
  <c r="AN95" i="9"/>
  <c r="AL95" i="9"/>
  <c r="AE46" i="11"/>
  <c r="Z46" i="11"/>
  <c r="Y46" i="11"/>
  <c r="AN60" i="10"/>
  <c r="AL60" i="10"/>
  <c r="Z74" i="8"/>
  <c r="Y74" i="8"/>
  <c r="AE74" i="8" s="1"/>
  <c r="AN103" i="8"/>
  <c r="AL103" i="8"/>
  <c r="AN92" i="9"/>
  <c r="AL92" i="9"/>
  <c r="G92" i="9" s="1"/>
  <c r="AB56" i="9"/>
  <c r="AD56" i="9"/>
  <c r="AK56" i="9"/>
  <c r="AF56" i="9"/>
  <c r="AL56" i="9"/>
  <c r="AM56" i="9" s="1"/>
  <c r="Y125" i="8"/>
  <c r="G125" i="8" s="1"/>
  <c r="Z125" i="8"/>
  <c r="AE46" i="8"/>
  <c r="Z46" i="8"/>
  <c r="Y46" i="8"/>
  <c r="S100" i="8"/>
  <c r="T100" i="8"/>
  <c r="U100" i="8"/>
  <c r="AN116" i="9"/>
  <c r="AL116" i="9"/>
  <c r="AN60" i="8"/>
  <c r="AL60" i="8"/>
  <c r="AL85" i="8"/>
  <c r="G85" i="8" s="1"/>
  <c r="AN85" i="8"/>
  <c r="AN85" i="10"/>
  <c r="AL85" i="10"/>
  <c r="G85" i="10" s="1"/>
  <c r="AN82" i="10"/>
  <c r="AL82" i="10"/>
  <c r="AB119" i="8"/>
  <c r="AD119" i="8"/>
  <c r="AK119" i="8"/>
  <c r="AL119" i="8"/>
  <c r="AM119" i="8" s="1"/>
  <c r="AF119" i="8" s="1"/>
  <c r="AN54" i="8"/>
  <c r="AL54" i="8"/>
  <c r="AN54" i="10"/>
  <c r="AL54" i="10"/>
  <c r="Z44" i="8"/>
  <c r="Y44" i="8"/>
  <c r="AE44" i="8"/>
  <c r="Z97" i="8"/>
  <c r="Y97" i="8"/>
  <c r="Z65" i="9"/>
  <c r="Y65" i="9"/>
  <c r="Z48" i="11"/>
  <c r="Y48" i="11"/>
  <c r="AE48" i="11"/>
  <c r="AE55" i="9"/>
  <c r="Z55" i="9"/>
  <c r="Y55" i="9"/>
  <c r="Z72" i="11"/>
  <c r="Y72" i="11"/>
  <c r="AE72" i="11"/>
  <c r="AB105" i="8"/>
  <c r="AK105" i="8"/>
  <c r="AD105" i="8"/>
  <c r="AL105" i="8"/>
  <c r="AM105" i="8" s="1"/>
  <c r="AF105" i="8" s="1"/>
  <c r="S86" i="9"/>
  <c r="U86" i="9"/>
  <c r="T86" i="9"/>
  <c r="Z86" i="11"/>
  <c r="Y86" i="11"/>
  <c r="Y111" i="8"/>
  <c r="Z111" i="8"/>
  <c r="Y118" i="9"/>
  <c r="Z118" i="9"/>
  <c r="AL54" i="9"/>
  <c r="AN54" i="9"/>
  <c r="Z102" i="10"/>
  <c r="Y102" i="10"/>
  <c r="AE48" i="9"/>
  <c r="Z48" i="9"/>
  <c r="Y48" i="9"/>
  <c r="T62" i="10"/>
  <c r="U62" i="10"/>
  <c r="U97" i="8"/>
  <c r="T97" i="8"/>
  <c r="T53" i="9"/>
  <c r="AL53" i="9" s="1"/>
  <c r="AM53" i="9" s="1"/>
  <c r="AF53" i="9" s="1"/>
  <c r="Z88" i="8"/>
  <c r="Y88" i="8"/>
  <c r="AE88" i="8"/>
  <c r="AK95" i="10"/>
  <c r="AD95" i="10"/>
  <c r="AN64" i="8"/>
  <c r="AL64" i="8"/>
  <c r="Z67" i="10"/>
  <c r="Y67" i="10"/>
  <c r="AE67" i="10" s="1"/>
  <c r="T67" i="8"/>
  <c r="AL67" i="8" s="1"/>
  <c r="AM67" i="8" s="1"/>
  <c r="Y121" i="8"/>
  <c r="Z121" i="8"/>
  <c r="AB56" i="11"/>
  <c r="AK56" i="11"/>
  <c r="AD56" i="11"/>
  <c r="AL56" i="11"/>
  <c r="AM56" i="11" s="1"/>
  <c r="AF56" i="11"/>
  <c r="AB119" i="9"/>
  <c r="AD119" i="9"/>
  <c r="AK119" i="9"/>
  <c r="AL119" i="9"/>
  <c r="AM119" i="9" s="1"/>
  <c r="AF119" i="9" s="1"/>
  <c r="U111" i="8"/>
  <c r="T111" i="8"/>
  <c r="Z53" i="10"/>
  <c r="Y53" i="10"/>
  <c r="AE53" i="10"/>
  <c r="Z69" i="9"/>
  <c r="Y69" i="9"/>
  <c r="AN53" i="10"/>
  <c r="AL53" i="10"/>
  <c r="AM53" i="10" s="1"/>
  <c r="AF53" i="10" s="1"/>
  <c r="AN88" i="9"/>
  <c r="AL88" i="9"/>
  <c r="AK98" i="9"/>
  <c r="AD98" i="9"/>
  <c r="AL98" i="9"/>
  <c r="AM98" i="9" s="1"/>
  <c r="AF98" i="9"/>
  <c r="AE44" i="9"/>
  <c r="Z44" i="9"/>
  <c r="Y44" i="9"/>
  <c r="U111" i="10"/>
  <c r="T111" i="10"/>
  <c r="S58" i="9"/>
  <c r="T58" i="9"/>
  <c r="U58" i="9"/>
  <c r="AN64" i="9"/>
  <c r="AM64" i="9" s="1"/>
  <c r="AF64" i="9" s="1"/>
  <c r="AL64" i="9"/>
  <c r="S72" i="10"/>
  <c r="U72" i="10"/>
  <c r="T72" i="10"/>
  <c r="S72" i="11"/>
  <c r="T72" i="11"/>
  <c r="U72" i="11"/>
  <c r="AN68" i="10"/>
  <c r="AL68" i="10"/>
  <c r="Z102" i="8"/>
  <c r="Y102" i="8"/>
  <c r="AL47" i="11"/>
  <c r="AN47" i="11"/>
  <c r="Y84" i="11"/>
  <c r="G84" i="11" s="1"/>
  <c r="Z84" i="11"/>
  <c r="U118" i="9"/>
  <c r="T118" i="9"/>
  <c r="Z51" i="11"/>
  <c r="Y51" i="11"/>
  <c r="AE51" i="11" s="1"/>
  <c r="S79" i="11"/>
  <c r="U79" i="11"/>
  <c r="T79" i="11"/>
  <c r="AN102" i="10"/>
  <c r="AL102" i="10"/>
  <c r="S114" i="8"/>
  <c r="U114" i="8"/>
  <c r="T114" i="8"/>
  <c r="Y97" i="9"/>
  <c r="Z97" i="9"/>
  <c r="U48" i="9"/>
  <c r="T48" i="9"/>
  <c r="AK63" i="11"/>
  <c r="AD63" i="11"/>
  <c r="AB63" i="11"/>
  <c r="AL63" i="11"/>
  <c r="AM63" i="11" s="1"/>
  <c r="AF63" i="11"/>
  <c r="AE46" i="9"/>
  <c r="Z46" i="9"/>
  <c r="Y46" i="9"/>
  <c r="Z81" i="10"/>
  <c r="AE81" i="10" s="1"/>
  <c r="Y81" i="10"/>
  <c r="Z107" i="10"/>
  <c r="Y107" i="10"/>
  <c r="AN106" i="10"/>
  <c r="AL106" i="10"/>
  <c r="G106" i="10" s="1"/>
  <c r="AN50" i="8"/>
  <c r="AL50" i="8"/>
  <c r="AN109" i="9"/>
  <c r="AL109" i="9"/>
  <c r="AL50" i="11"/>
  <c r="AN50" i="11"/>
  <c r="S93" i="10"/>
  <c r="T93" i="10"/>
  <c r="U93" i="10"/>
  <c r="U69" i="11"/>
  <c r="T69" i="11"/>
  <c r="Z95" i="10"/>
  <c r="Y95" i="10"/>
  <c r="AN92" i="8"/>
  <c r="AL92" i="8"/>
  <c r="G92" i="8" s="1"/>
  <c r="S51" i="8"/>
  <c r="T51" i="8"/>
  <c r="U51" i="8"/>
  <c r="AE102" i="8" l="1"/>
  <c r="AE69" i="9"/>
  <c r="AE111" i="8"/>
  <c r="AM60" i="8"/>
  <c r="AF60" i="8" s="1"/>
  <c r="AM95" i="9"/>
  <c r="AF95" i="9" s="1"/>
  <c r="AM46" i="9"/>
  <c r="AF46" i="9" s="1"/>
  <c r="AE60" i="8"/>
  <c r="AE104" i="9"/>
  <c r="AE116" i="8"/>
  <c r="AM68" i="9"/>
  <c r="AF68" i="9" s="1"/>
  <c r="AE69" i="8"/>
  <c r="AE118" i="8"/>
  <c r="AE79" i="10"/>
  <c r="AM103" i="10"/>
  <c r="AF103" i="10" s="1"/>
  <c r="AM102" i="10"/>
  <c r="AF102" i="10" s="1"/>
  <c r="AE121" i="8"/>
  <c r="H121" i="8" s="1"/>
  <c r="AE86" i="11"/>
  <c r="H86" i="11" s="1"/>
  <c r="AM116" i="9"/>
  <c r="AF116" i="9" s="1"/>
  <c r="AE82" i="11"/>
  <c r="H82" i="11" s="1"/>
  <c r="AE102" i="9"/>
  <c r="AM75" i="9"/>
  <c r="AF75" i="9" s="1"/>
  <c r="H75" i="9" s="1"/>
  <c r="AE83" i="8"/>
  <c r="AM75" i="11"/>
  <c r="AF75" i="11" s="1"/>
  <c r="AM50" i="9"/>
  <c r="AF50" i="9" s="1"/>
  <c r="AM54" i="9"/>
  <c r="AF54" i="9" s="1"/>
  <c r="AE60" i="10"/>
  <c r="G123" i="8"/>
  <c r="AM103" i="8"/>
  <c r="AF103" i="8" s="1"/>
  <c r="AM60" i="9"/>
  <c r="AF60" i="9" s="1"/>
  <c r="AM110" i="9"/>
  <c r="AF110" i="9" s="1"/>
  <c r="H110" i="9" s="1"/>
  <c r="AE114" i="8"/>
  <c r="AM57" i="8"/>
  <c r="AF57" i="8" s="1"/>
  <c r="AM47" i="8"/>
  <c r="AF47" i="8" s="1"/>
  <c r="AK46" i="11"/>
  <c r="AE76" i="11"/>
  <c r="AE100" i="9"/>
  <c r="AM61" i="8"/>
  <c r="AF61" i="8" s="1"/>
  <c r="AE97" i="9"/>
  <c r="AE84" i="11"/>
  <c r="H84" i="11" s="1"/>
  <c r="AE102" i="10"/>
  <c r="AE97" i="8"/>
  <c r="AM61" i="9"/>
  <c r="AF61" i="9" s="1"/>
  <c r="AE62" i="11"/>
  <c r="AM96" i="8"/>
  <c r="AF96" i="8" s="1"/>
  <c r="AE55" i="11"/>
  <c r="AE107" i="10"/>
  <c r="AM54" i="8"/>
  <c r="AF54" i="8" s="1"/>
  <c r="AM46" i="11"/>
  <c r="AF46" i="11" s="1"/>
  <c r="AM95" i="10"/>
  <c r="AF95" i="10" s="1"/>
  <c r="AE93" i="8"/>
  <c r="AM46" i="10"/>
  <c r="AF46" i="10" s="1"/>
  <c r="AE53" i="11"/>
  <c r="AM116" i="8"/>
  <c r="AF116" i="8" s="1"/>
  <c r="H116" i="8" s="1"/>
  <c r="AE104" i="8"/>
  <c r="AM67" i="11"/>
  <c r="AF67" i="11" s="1"/>
  <c r="AM67" i="9"/>
  <c r="AF67" i="9" s="1"/>
  <c r="H67" i="9" s="1"/>
  <c r="AE67" i="11"/>
  <c r="AE88" i="9"/>
  <c r="AM64" i="8"/>
  <c r="AF64" i="8" s="1"/>
  <c r="AE65" i="9"/>
  <c r="AM71" i="10"/>
  <c r="AF71" i="10" s="1"/>
  <c r="AM113" i="9"/>
  <c r="AF113" i="9" s="1"/>
  <c r="AE72" i="9"/>
  <c r="AM110" i="8"/>
  <c r="AF110" i="8" s="1"/>
  <c r="H110" i="8" s="1"/>
  <c r="AM88" i="9"/>
  <c r="AF88" i="9" s="1"/>
  <c r="AE95" i="8"/>
  <c r="AB74" i="10"/>
  <c r="AE104" i="10"/>
  <c r="AB74" i="8"/>
  <c r="H74" i="8" s="1"/>
  <c r="AE62" i="9"/>
  <c r="AM116" i="10"/>
  <c r="AF116" i="10" s="1"/>
  <c r="AD74" i="10"/>
  <c r="F74" i="10" s="1"/>
  <c r="AD74" i="8"/>
  <c r="AD60" i="11"/>
  <c r="AM109" i="9"/>
  <c r="AF109" i="9" s="1"/>
  <c r="AM64" i="10"/>
  <c r="AF64" i="10" s="1"/>
  <c r="AE62" i="8"/>
  <c r="AK74" i="10"/>
  <c r="AM95" i="8"/>
  <c r="AF95" i="8" s="1"/>
  <c r="AM54" i="11"/>
  <c r="AF54" i="11" s="1"/>
  <c r="AL60" i="11"/>
  <c r="AM60" i="11" s="1"/>
  <c r="AF60" i="11" s="1"/>
  <c r="AK74" i="8"/>
  <c r="AM109" i="8"/>
  <c r="AF109" i="8" s="1"/>
  <c r="H109" i="8" s="1"/>
  <c r="AM109" i="10"/>
  <c r="AF109" i="10" s="1"/>
  <c r="H109" i="10" s="1"/>
  <c r="AM57" i="9"/>
  <c r="AF57" i="9" s="1"/>
  <c r="AE86" i="9"/>
  <c r="AE88" i="10"/>
  <c r="AE125" i="8"/>
  <c r="H125" i="8" s="1"/>
  <c r="AE93" i="9"/>
  <c r="AM82" i="8"/>
  <c r="AF82" i="8" s="1"/>
  <c r="AE69" i="10"/>
  <c r="AE118" i="9"/>
  <c r="AM106" i="8"/>
  <c r="AF106" i="8" s="1"/>
  <c r="H106" i="8" s="1"/>
  <c r="AE81" i="9"/>
  <c r="AM60" i="10"/>
  <c r="AF60" i="10" s="1"/>
  <c r="H60" i="10" s="1"/>
  <c r="G121" i="8"/>
  <c r="AE60" i="9"/>
  <c r="H60" i="9" s="1"/>
  <c r="AM113" i="10"/>
  <c r="AF113" i="10" s="1"/>
  <c r="AM43" i="10"/>
  <c r="AF43" i="10" s="1"/>
  <c r="H43" i="10" s="1"/>
  <c r="AE65" i="11"/>
  <c r="AE116" i="9"/>
  <c r="AE95" i="10"/>
  <c r="AM106" i="10"/>
  <c r="AF106" i="10" s="1"/>
  <c r="H106" i="10" s="1"/>
  <c r="AE74" i="11"/>
  <c r="AM102" i="8"/>
  <c r="AF102" i="8" s="1"/>
  <c r="AM78" i="9"/>
  <c r="AF78" i="9" s="1"/>
  <c r="H78" i="9" s="1"/>
  <c r="AE81" i="8"/>
  <c r="AE60" i="11"/>
  <c r="AE76" i="10"/>
  <c r="AE111" i="10"/>
  <c r="C25" i="11"/>
  <c r="D25" i="11"/>
  <c r="E26" i="11" s="1"/>
  <c r="AN69" i="8"/>
  <c r="AL69" i="8"/>
  <c r="AM69" i="8" s="1"/>
  <c r="AF69" i="8" s="1"/>
  <c r="AD58" i="8"/>
  <c r="AK58" i="8"/>
  <c r="AD86" i="10"/>
  <c r="AK86" i="10"/>
  <c r="AB86" i="10"/>
  <c r="H119" i="8"/>
  <c r="E119" i="8"/>
  <c r="F119" i="8"/>
  <c r="G119" i="8"/>
  <c r="AM85" i="8"/>
  <c r="AF85" i="8" s="1"/>
  <c r="H85" i="8" s="1"/>
  <c r="E70" i="11"/>
  <c r="H70" i="11"/>
  <c r="F70" i="11"/>
  <c r="G70" i="11"/>
  <c r="AN93" i="9"/>
  <c r="AL93" i="9"/>
  <c r="AM93" i="9" s="1"/>
  <c r="AF93" i="9" s="1"/>
  <c r="AM117" i="9"/>
  <c r="AF117" i="9" s="1"/>
  <c r="H117" i="9" s="1"/>
  <c r="AN51" i="11"/>
  <c r="AL51" i="11"/>
  <c r="AM51" i="11" s="1"/>
  <c r="AF51" i="11" s="1"/>
  <c r="AD62" i="11"/>
  <c r="AK62" i="11"/>
  <c r="AL51" i="9"/>
  <c r="AN51" i="9"/>
  <c r="AD86" i="8"/>
  <c r="AB86" i="8"/>
  <c r="AK86" i="8"/>
  <c r="AN72" i="8"/>
  <c r="AL72" i="8"/>
  <c r="AM72" i="8" s="1"/>
  <c r="AF72" i="8" s="1"/>
  <c r="AN65" i="10"/>
  <c r="AL65" i="10"/>
  <c r="AM65" i="10" s="1"/>
  <c r="AF65" i="10" s="1"/>
  <c r="F60" i="11"/>
  <c r="E60" i="11"/>
  <c r="F49" i="9"/>
  <c r="E49" i="9"/>
  <c r="H49" i="9"/>
  <c r="G49" i="9"/>
  <c r="F119" i="10"/>
  <c r="H119" i="10"/>
  <c r="G119" i="10"/>
  <c r="E119" i="10"/>
  <c r="AN51" i="10"/>
  <c r="AL51" i="10"/>
  <c r="AM51" i="10" s="1"/>
  <c r="AF51" i="10" s="1"/>
  <c r="AN100" i="9"/>
  <c r="AL100" i="9"/>
  <c r="AM100" i="9" s="1"/>
  <c r="AF100" i="9" s="1"/>
  <c r="AM92" i="10"/>
  <c r="AF92" i="10" s="1"/>
  <c r="H92" i="10" s="1"/>
  <c r="E112" i="10"/>
  <c r="F112" i="10"/>
  <c r="AD104" i="9"/>
  <c r="AK104" i="9"/>
  <c r="AM78" i="10"/>
  <c r="AF78" i="10" s="1"/>
  <c r="H78" i="10" s="1"/>
  <c r="AK62" i="8"/>
  <c r="AD62" i="8"/>
  <c r="AB62" i="8"/>
  <c r="AM75" i="8"/>
  <c r="AF75" i="8" s="1"/>
  <c r="H75" i="8" s="1"/>
  <c r="AN79" i="11"/>
  <c r="AL79" i="11"/>
  <c r="AM79" i="11" s="1"/>
  <c r="AF79" i="11" s="1"/>
  <c r="AN97" i="10"/>
  <c r="AL97" i="10"/>
  <c r="AM97" i="10" s="1"/>
  <c r="AF97" i="10" s="1"/>
  <c r="AN44" i="8"/>
  <c r="AL44" i="8"/>
  <c r="AM44" i="8" s="1"/>
  <c r="AF44" i="8" s="1"/>
  <c r="G53" i="10"/>
  <c r="F53" i="10"/>
  <c r="H53" i="10"/>
  <c r="E53" i="10"/>
  <c r="E74" i="10"/>
  <c r="H74" i="10"/>
  <c r="G74" i="10"/>
  <c r="H63" i="10"/>
  <c r="G63" i="10"/>
  <c r="F63" i="10"/>
  <c r="E63" i="10"/>
  <c r="AN55" i="9"/>
  <c r="AL55" i="9"/>
  <c r="G70" i="8"/>
  <c r="H70" i="8"/>
  <c r="F70" i="8"/>
  <c r="E70" i="8"/>
  <c r="AL58" i="10"/>
  <c r="AN58" i="10"/>
  <c r="AN48" i="10"/>
  <c r="AL48" i="10"/>
  <c r="AM68" i="8"/>
  <c r="AF68" i="8" s="1"/>
  <c r="F67" i="11"/>
  <c r="E67" i="11"/>
  <c r="AD118" i="9"/>
  <c r="AB118" i="9"/>
  <c r="AK118" i="9"/>
  <c r="F98" i="9"/>
  <c r="E98" i="9"/>
  <c r="F95" i="10"/>
  <c r="E95" i="10"/>
  <c r="G86" i="11"/>
  <c r="AK51" i="11"/>
  <c r="AD51" i="11"/>
  <c r="AN62" i="11"/>
  <c r="AM62" i="11" s="1"/>
  <c r="AF62" i="11" s="1"/>
  <c r="AL62" i="11"/>
  <c r="E95" i="8"/>
  <c r="F95" i="8"/>
  <c r="E109" i="8"/>
  <c r="F109" i="8"/>
  <c r="G109" i="8"/>
  <c r="AB107" i="10"/>
  <c r="AD107" i="10"/>
  <c r="AK107" i="10"/>
  <c r="AB44" i="9"/>
  <c r="AK44" i="9"/>
  <c r="AD44" i="9"/>
  <c r="F91" i="8"/>
  <c r="E91" i="8"/>
  <c r="AK100" i="9"/>
  <c r="AD100" i="9"/>
  <c r="AM104" i="9"/>
  <c r="AF104" i="9" s="1"/>
  <c r="AN104" i="9"/>
  <c r="AL104" i="9"/>
  <c r="AL62" i="8"/>
  <c r="AN62" i="8"/>
  <c r="AK79" i="11"/>
  <c r="AD79" i="11"/>
  <c r="AL100" i="8"/>
  <c r="AM100" i="8" s="1"/>
  <c r="AF100" i="8" s="1"/>
  <c r="AN100" i="8"/>
  <c r="G63" i="9"/>
  <c r="F63" i="9"/>
  <c r="E63" i="9"/>
  <c r="H63" i="9"/>
  <c r="F46" i="10"/>
  <c r="E46" i="10"/>
  <c r="H105" i="8"/>
  <c r="G105" i="8"/>
  <c r="F105" i="8"/>
  <c r="E105" i="8"/>
  <c r="AD72" i="9"/>
  <c r="AK72" i="9"/>
  <c r="AB72" i="9"/>
  <c r="E46" i="11"/>
  <c r="F46" i="11"/>
  <c r="AN90" i="10"/>
  <c r="AL90" i="10"/>
  <c r="AM90" i="10" s="1"/>
  <c r="AF90" i="10" s="1"/>
  <c r="AD97" i="9"/>
  <c r="AK97" i="9"/>
  <c r="AK83" i="9"/>
  <c r="AB83" i="9"/>
  <c r="AD83" i="9"/>
  <c r="AD48" i="9"/>
  <c r="AK48" i="9"/>
  <c r="AK79" i="10"/>
  <c r="AD79" i="10"/>
  <c r="E105" i="9"/>
  <c r="G105" i="9"/>
  <c r="H105" i="9"/>
  <c r="F105" i="9"/>
  <c r="AD44" i="8"/>
  <c r="AK44" i="8"/>
  <c r="AB44" i="8"/>
  <c r="AD58" i="10"/>
  <c r="AK58" i="10"/>
  <c r="AB67" i="10"/>
  <c r="AK67" i="10"/>
  <c r="AD67" i="10"/>
  <c r="AD104" i="8"/>
  <c r="AK104" i="8"/>
  <c r="AD53" i="11"/>
  <c r="AK53" i="11"/>
  <c r="E102" i="9"/>
  <c r="F102" i="9"/>
  <c r="AD114" i="8"/>
  <c r="AB114" i="8"/>
  <c r="AK114" i="8"/>
  <c r="AN118" i="9"/>
  <c r="AL118" i="9"/>
  <c r="AM118" i="9" s="1"/>
  <c r="AF118" i="9" s="1"/>
  <c r="AM68" i="10"/>
  <c r="AF68" i="10" s="1"/>
  <c r="AM43" i="11"/>
  <c r="AF43" i="11" s="1"/>
  <c r="AD46" i="8"/>
  <c r="AK46" i="8"/>
  <c r="G60" i="10"/>
  <c r="F60" i="10"/>
  <c r="E60" i="10"/>
  <c r="H49" i="8"/>
  <c r="G49" i="8"/>
  <c r="F49" i="8"/>
  <c r="E49" i="8"/>
  <c r="AM71" i="11"/>
  <c r="AF71" i="11" s="1"/>
  <c r="AD48" i="8"/>
  <c r="AK48" i="8"/>
  <c r="AM61" i="11"/>
  <c r="AF61" i="11" s="1"/>
  <c r="AN107" i="10"/>
  <c r="AL107" i="10"/>
  <c r="AM107" i="10" s="1"/>
  <c r="AF107" i="10" s="1"/>
  <c r="AL44" i="9"/>
  <c r="AM44" i="9" s="1"/>
  <c r="AF44" i="9" s="1"/>
  <c r="AN44" i="9"/>
  <c r="AM61" i="10"/>
  <c r="AF61" i="10" s="1"/>
  <c r="H120" i="10"/>
  <c r="G120" i="10"/>
  <c r="AD58" i="11"/>
  <c r="AK58" i="11"/>
  <c r="AN107" i="8"/>
  <c r="AL107" i="8"/>
  <c r="AM107" i="8" s="1"/>
  <c r="AF107" i="8" s="1"/>
  <c r="AM75" i="10"/>
  <c r="AF75" i="10" s="1"/>
  <c r="H75" i="10" s="1"/>
  <c r="AM82" i="9"/>
  <c r="AF82" i="9" s="1"/>
  <c r="AM103" i="9"/>
  <c r="AF103" i="9" s="1"/>
  <c r="AL67" i="10"/>
  <c r="AM67" i="10" s="1"/>
  <c r="AF67" i="10" s="1"/>
  <c r="G60" i="9"/>
  <c r="F60" i="9"/>
  <c r="E60" i="9"/>
  <c r="AK97" i="10"/>
  <c r="AD97" i="10"/>
  <c r="AK72" i="10"/>
  <c r="AD72" i="10"/>
  <c r="AB72" i="10"/>
  <c r="E98" i="10"/>
  <c r="F98" i="10"/>
  <c r="F112" i="8"/>
  <c r="E112" i="8"/>
  <c r="AN62" i="10"/>
  <c r="AL62" i="10"/>
  <c r="AL97" i="9"/>
  <c r="AM97" i="9" s="1"/>
  <c r="AF97" i="9" s="1"/>
  <c r="AN97" i="9"/>
  <c r="AN48" i="11"/>
  <c r="AL48" i="11"/>
  <c r="AM92" i="8"/>
  <c r="AF92" i="8" s="1"/>
  <c r="H92" i="8" s="1"/>
  <c r="AN76" i="9"/>
  <c r="AL76" i="9"/>
  <c r="AM76" i="9" s="1"/>
  <c r="AF76" i="9" s="1"/>
  <c r="AN55" i="10"/>
  <c r="AL55" i="10"/>
  <c r="AM55" i="10" s="1"/>
  <c r="AF55" i="10" s="1"/>
  <c r="AN104" i="8"/>
  <c r="AL104" i="8"/>
  <c r="AM104" i="8" s="1"/>
  <c r="AF104" i="8" s="1"/>
  <c r="AN86" i="8"/>
  <c r="AL86" i="8"/>
  <c r="AM86" i="8" s="1"/>
  <c r="AF86" i="8" s="1"/>
  <c r="AD65" i="10"/>
  <c r="AK65" i="10"/>
  <c r="E56" i="8"/>
  <c r="G56" i="8"/>
  <c r="H56" i="8"/>
  <c r="F56" i="8"/>
  <c r="AD69" i="11"/>
  <c r="AK69" i="11"/>
  <c r="AN114" i="8"/>
  <c r="AL114" i="8"/>
  <c r="AM114" i="8"/>
  <c r="AF114" i="8" s="1"/>
  <c r="AK100" i="10"/>
  <c r="AD100" i="10"/>
  <c r="F105" i="10"/>
  <c r="E105" i="10"/>
  <c r="G105" i="10"/>
  <c r="H105" i="10"/>
  <c r="AL48" i="8"/>
  <c r="AN48" i="8"/>
  <c r="AM48" i="8" s="1"/>
  <c r="AF48" i="8" s="1"/>
  <c r="AD83" i="8"/>
  <c r="AB83" i="8"/>
  <c r="AK83" i="8"/>
  <c r="E116" i="8"/>
  <c r="G116" i="8"/>
  <c r="F116" i="8"/>
  <c r="AN118" i="8"/>
  <c r="AL118" i="8"/>
  <c r="AM118" i="8" s="1"/>
  <c r="AF118" i="8" s="1"/>
  <c r="AK79" i="8"/>
  <c r="AD79" i="8"/>
  <c r="H126" i="10"/>
  <c r="G126" i="10"/>
  <c r="D30" i="8"/>
  <c r="E31" i="8" s="1"/>
  <c r="AK76" i="11"/>
  <c r="AD76" i="11"/>
  <c r="AN58" i="11"/>
  <c r="AL58" i="11"/>
  <c r="AD107" i="8"/>
  <c r="AB107" i="8"/>
  <c r="AK107" i="8"/>
  <c r="E84" i="10"/>
  <c r="F84" i="10"/>
  <c r="H84" i="10"/>
  <c r="G84" i="10"/>
  <c r="AM117" i="10"/>
  <c r="AF117" i="10" s="1"/>
  <c r="H117" i="10" s="1"/>
  <c r="AN97" i="8"/>
  <c r="AL97" i="8"/>
  <c r="AM97" i="8" s="1"/>
  <c r="AF97" i="8" s="1"/>
  <c r="F81" i="10"/>
  <c r="E81" i="10"/>
  <c r="AK65" i="11"/>
  <c r="AD65" i="11"/>
  <c r="AL79" i="10"/>
  <c r="AM79" i="10" s="1"/>
  <c r="AF79" i="10" s="1"/>
  <c r="AN79" i="10"/>
  <c r="E112" i="9"/>
  <c r="F112" i="9"/>
  <c r="AN114" i="9"/>
  <c r="AL114" i="9"/>
  <c r="AM114" i="9" s="1"/>
  <c r="AF114" i="9" s="1"/>
  <c r="AL83" i="10"/>
  <c r="AM83" i="10" s="1"/>
  <c r="AF83" i="10" s="1"/>
  <c r="AN83" i="10"/>
  <c r="AM92" i="9"/>
  <c r="AF92" i="9" s="1"/>
  <c r="H92" i="9" s="1"/>
  <c r="E77" i="8"/>
  <c r="H77" i="8"/>
  <c r="G77" i="8"/>
  <c r="F77" i="8"/>
  <c r="AL72" i="9"/>
  <c r="AM72" i="9" s="1"/>
  <c r="AF72" i="9" s="1"/>
  <c r="AN72" i="9"/>
  <c r="AM85" i="9"/>
  <c r="AF85" i="9" s="1"/>
  <c r="H85" i="9" s="1"/>
  <c r="AM47" i="10"/>
  <c r="AF47" i="10" s="1"/>
  <c r="AK51" i="9"/>
  <c r="AB51" i="9"/>
  <c r="AD51" i="9"/>
  <c r="AK72" i="8"/>
  <c r="AD72" i="8"/>
  <c r="AB72" i="8"/>
  <c r="AM99" i="9"/>
  <c r="AF99" i="9" s="1"/>
  <c r="E91" i="10"/>
  <c r="F91" i="10"/>
  <c r="AK51" i="10"/>
  <c r="AB51" i="10"/>
  <c r="AD51" i="10"/>
  <c r="AM113" i="8"/>
  <c r="AF113" i="8" s="1"/>
  <c r="AN69" i="11"/>
  <c r="AL69" i="11"/>
  <c r="AM69" i="11" s="1"/>
  <c r="AF69" i="11" s="1"/>
  <c r="AN72" i="11"/>
  <c r="AL72" i="11"/>
  <c r="AM72" i="11" s="1"/>
  <c r="AF72" i="11" s="1"/>
  <c r="AN58" i="9"/>
  <c r="AL58" i="9"/>
  <c r="AM58" i="9" s="1"/>
  <c r="AF58" i="9" s="1"/>
  <c r="AD111" i="8"/>
  <c r="AK111" i="8"/>
  <c r="AL100" i="10"/>
  <c r="AM100" i="10" s="1"/>
  <c r="AF100" i="10" s="1"/>
  <c r="AN100" i="10"/>
  <c r="AD65" i="9"/>
  <c r="AK65" i="9"/>
  <c r="AN104" i="10"/>
  <c r="AL104" i="10"/>
  <c r="AM104" i="10" s="1"/>
  <c r="AF104" i="10" s="1"/>
  <c r="AM96" i="9"/>
  <c r="AF96" i="9" s="1"/>
  <c r="AE123" i="8"/>
  <c r="H123" i="8" s="1"/>
  <c r="AK69" i="10"/>
  <c r="AD69" i="10"/>
  <c r="AD46" i="9"/>
  <c r="AK46" i="9"/>
  <c r="G109" i="9"/>
  <c r="E109" i="9"/>
  <c r="H109" i="9"/>
  <c r="F109" i="9"/>
  <c r="AN83" i="8"/>
  <c r="AL83" i="8"/>
  <c r="AM83" i="8" s="1"/>
  <c r="AF83" i="8" s="1"/>
  <c r="AM68" i="11"/>
  <c r="AF68" i="11" s="1"/>
  <c r="AK118" i="8"/>
  <c r="AB118" i="8"/>
  <c r="AD118" i="8"/>
  <c r="AK76" i="8"/>
  <c r="AD76" i="8"/>
  <c r="AB76" i="8"/>
  <c r="AN79" i="8"/>
  <c r="AL79" i="8"/>
  <c r="AM79" i="8" s="1"/>
  <c r="AF79" i="8" s="1"/>
  <c r="AN76" i="10"/>
  <c r="AL76" i="10"/>
  <c r="AM76" i="10" s="1"/>
  <c r="AF76" i="10" s="1"/>
  <c r="G122" i="10"/>
  <c r="H122" i="10"/>
  <c r="AN76" i="11"/>
  <c r="AL76" i="11"/>
  <c r="AM76" i="11" s="1"/>
  <c r="AF76" i="11" s="1"/>
  <c r="AD90" i="10"/>
  <c r="AB90" i="10"/>
  <c r="AK90" i="10"/>
  <c r="AK44" i="11"/>
  <c r="AD44" i="11"/>
  <c r="AN55" i="8"/>
  <c r="AL55" i="8"/>
  <c r="AL86" i="10"/>
  <c r="AM86" i="10" s="1"/>
  <c r="AF86" i="10" s="1"/>
  <c r="AN86" i="10"/>
  <c r="H77" i="9"/>
  <c r="E77" i="9"/>
  <c r="F77" i="9"/>
  <c r="G77" i="9"/>
  <c r="G109" i="10"/>
  <c r="F109" i="10"/>
  <c r="E109" i="10"/>
  <c r="G56" i="11"/>
  <c r="E56" i="11"/>
  <c r="H56" i="11"/>
  <c r="F56" i="11"/>
  <c r="AN51" i="8"/>
  <c r="AL51" i="8"/>
  <c r="AN93" i="10"/>
  <c r="AL93" i="10"/>
  <c r="AM93" i="10" s="1"/>
  <c r="AF93" i="10" s="1"/>
  <c r="AM50" i="8"/>
  <c r="AF50" i="8" s="1"/>
  <c r="AB72" i="11"/>
  <c r="AD72" i="11"/>
  <c r="AK72" i="11"/>
  <c r="AD58" i="9"/>
  <c r="AK58" i="9"/>
  <c r="AN111" i="8"/>
  <c r="AL111" i="8"/>
  <c r="AM111" i="8" s="1"/>
  <c r="AF111" i="8" s="1"/>
  <c r="AD67" i="8"/>
  <c r="AK67" i="8"/>
  <c r="AB67" i="8"/>
  <c r="AB86" i="9"/>
  <c r="AK86" i="9"/>
  <c r="AD86" i="9"/>
  <c r="AM82" i="10"/>
  <c r="AF82" i="10" s="1"/>
  <c r="H63" i="8"/>
  <c r="G63" i="8"/>
  <c r="F63" i="8"/>
  <c r="E63" i="8"/>
  <c r="AL111" i="9"/>
  <c r="AM111" i="9" s="1"/>
  <c r="AF111" i="9" s="1"/>
  <c r="AN111" i="9"/>
  <c r="G84" i="9"/>
  <c r="F84" i="9"/>
  <c r="H84" i="9"/>
  <c r="E84" i="9"/>
  <c r="AL65" i="9"/>
  <c r="AM65" i="9" s="1"/>
  <c r="AF65" i="9" s="1"/>
  <c r="AN65" i="9"/>
  <c r="AK104" i="10"/>
  <c r="AD104" i="10"/>
  <c r="AN69" i="10"/>
  <c r="AM69" i="10"/>
  <c r="AF69" i="10" s="1"/>
  <c r="AL69" i="10"/>
  <c r="AN76" i="8"/>
  <c r="AL76" i="8"/>
  <c r="AM76" i="8" s="1"/>
  <c r="AF76" i="8" s="1"/>
  <c r="H120" i="9"/>
  <c r="G120" i="9"/>
  <c r="AD76" i="10"/>
  <c r="AB76" i="10"/>
  <c r="AK76" i="10"/>
  <c r="G116" i="10"/>
  <c r="E116" i="10"/>
  <c r="H116" i="10"/>
  <c r="F116" i="10"/>
  <c r="H88" i="9"/>
  <c r="E88" i="9"/>
  <c r="G88" i="9"/>
  <c r="F88" i="9"/>
  <c r="AM71" i="9"/>
  <c r="AF71" i="9" s="1"/>
  <c r="AM106" i="9"/>
  <c r="AF106" i="9" s="1"/>
  <c r="H106" i="9" s="1"/>
  <c r="AM50" i="10"/>
  <c r="AF50" i="10" s="1"/>
  <c r="AM71" i="8"/>
  <c r="AF71" i="8" s="1"/>
  <c r="H77" i="10"/>
  <c r="G77" i="10"/>
  <c r="F77" i="10"/>
  <c r="E77" i="10"/>
  <c r="AM43" i="8"/>
  <c r="AF43" i="8" s="1"/>
  <c r="H43" i="8" s="1"/>
  <c r="H60" i="8"/>
  <c r="G60" i="8"/>
  <c r="F60" i="8"/>
  <c r="E60" i="8"/>
  <c r="AL44" i="10"/>
  <c r="AN44" i="10"/>
  <c r="AD55" i="11"/>
  <c r="AK55" i="11"/>
  <c r="AD114" i="9"/>
  <c r="AB114" i="9"/>
  <c r="AK114" i="9"/>
  <c r="Z121" i="9"/>
  <c r="Y121" i="9"/>
  <c r="AE121" i="9" s="1"/>
  <c r="H121" i="9" s="1"/>
  <c r="F84" i="8"/>
  <c r="H84" i="8"/>
  <c r="G84" i="8"/>
  <c r="E84" i="8"/>
  <c r="G49" i="11"/>
  <c r="H49" i="11"/>
  <c r="F49" i="11"/>
  <c r="E49" i="11"/>
  <c r="Y125" i="9"/>
  <c r="Z125" i="9"/>
  <c r="AE125" i="9" s="1"/>
  <c r="H125" i="9" s="1"/>
  <c r="AM78" i="8"/>
  <c r="AF78" i="8" s="1"/>
  <c r="H78" i="8" s="1"/>
  <c r="AM50" i="11"/>
  <c r="AF50" i="11" s="1"/>
  <c r="AN72" i="10"/>
  <c r="AL72" i="10"/>
  <c r="AM72" i="10" s="1"/>
  <c r="AF72" i="10" s="1"/>
  <c r="AB76" i="9"/>
  <c r="AK76" i="9"/>
  <c r="AD76" i="9"/>
  <c r="AN48" i="9"/>
  <c r="AL48" i="9"/>
  <c r="G67" i="9"/>
  <c r="E67" i="9"/>
  <c r="F67" i="9"/>
  <c r="AB55" i="8"/>
  <c r="AK55" i="8"/>
  <c r="AD55" i="8"/>
  <c r="AD93" i="9"/>
  <c r="AK93" i="9"/>
  <c r="F77" i="11"/>
  <c r="E77" i="11"/>
  <c r="AK51" i="8"/>
  <c r="AD51" i="8"/>
  <c r="AB51" i="8"/>
  <c r="AK93" i="10"/>
  <c r="AD93" i="10"/>
  <c r="AK53" i="9"/>
  <c r="AB53" i="9"/>
  <c r="AD53" i="9"/>
  <c r="AN86" i="9"/>
  <c r="AL86" i="9"/>
  <c r="AM86" i="9" s="1"/>
  <c r="AF86" i="9" s="1"/>
  <c r="AM54" i="10"/>
  <c r="AF54" i="10" s="1"/>
  <c r="H88" i="8"/>
  <c r="G88" i="8"/>
  <c r="F88" i="8"/>
  <c r="E88" i="8"/>
  <c r="AD111" i="9"/>
  <c r="AK111" i="9"/>
  <c r="AK107" i="9"/>
  <c r="AD107" i="9"/>
  <c r="AB107" i="9"/>
  <c r="F49" i="10"/>
  <c r="E49" i="10"/>
  <c r="H49" i="10"/>
  <c r="G49" i="10"/>
  <c r="AM110" i="10"/>
  <c r="AF110" i="10" s="1"/>
  <c r="H110" i="10" s="1"/>
  <c r="H88" i="10"/>
  <c r="G88" i="10"/>
  <c r="F88" i="10"/>
  <c r="E88" i="10"/>
  <c r="F81" i="8"/>
  <c r="E81" i="8"/>
  <c r="AL114" i="10"/>
  <c r="AM114" i="10" s="1"/>
  <c r="AF114" i="10" s="1"/>
  <c r="AN114" i="10"/>
  <c r="F74" i="8"/>
  <c r="E74" i="8"/>
  <c r="AM43" i="9"/>
  <c r="AF43" i="9" s="1"/>
  <c r="H43" i="9" s="1"/>
  <c r="G74" i="9"/>
  <c r="F74" i="9"/>
  <c r="E74" i="9"/>
  <c r="H74" i="9"/>
  <c r="AM89" i="8"/>
  <c r="AF89" i="8" s="1"/>
  <c r="Z123" i="9"/>
  <c r="Y123" i="9"/>
  <c r="Z125" i="10"/>
  <c r="Y125" i="10"/>
  <c r="G125" i="10" s="1"/>
  <c r="AN79" i="9"/>
  <c r="AL79" i="9"/>
  <c r="AM79" i="9"/>
  <c r="AF79" i="9" s="1"/>
  <c r="H116" i="9"/>
  <c r="G116" i="9"/>
  <c r="E116" i="9"/>
  <c r="F116" i="9"/>
  <c r="AM96" i="10"/>
  <c r="AF96" i="10" s="1"/>
  <c r="G63" i="11"/>
  <c r="F63" i="11"/>
  <c r="E63" i="11"/>
  <c r="H63" i="11"/>
  <c r="AN65" i="11"/>
  <c r="AL65" i="11"/>
  <c r="AM65" i="11" s="1"/>
  <c r="AF65" i="11" s="1"/>
  <c r="AK83" i="10"/>
  <c r="AD83" i="10"/>
  <c r="AB83" i="10"/>
  <c r="AL83" i="9"/>
  <c r="AM83" i="9" s="1"/>
  <c r="AF83" i="9" s="1"/>
  <c r="AN83" i="9"/>
  <c r="AK100" i="8"/>
  <c r="AD100" i="8"/>
  <c r="AK69" i="9"/>
  <c r="AD69" i="9"/>
  <c r="AL44" i="11"/>
  <c r="AN44" i="11"/>
  <c r="AD48" i="11"/>
  <c r="AK48" i="11"/>
  <c r="F91" i="9"/>
  <c r="E91" i="9"/>
  <c r="AK55" i="10"/>
  <c r="AD55" i="10"/>
  <c r="AB55" i="10"/>
  <c r="E102" i="8"/>
  <c r="F102" i="8"/>
  <c r="F74" i="11"/>
  <c r="E74" i="11"/>
  <c r="AM57" i="11"/>
  <c r="AF57" i="11" s="1"/>
  <c r="AN69" i="9"/>
  <c r="AL69" i="9"/>
  <c r="AM69" i="9" s="1"/>
  <c r="AF69" i="9" s="1"/>
  <c r="AK55" i="9"/>
  <c r="AD55" i="9"/>
  <c r="AB55" i="9"/>
  <c r="AK62" i="10"/>
  <c r="AD62" i="10"/>
  <c r="AB62" i="10"/>
  <c r="AD48" i="10"/>
  <c r="AK48" i="10"/>
  <c r="AK111" i="10"/>
  <c r="AD111" i="10"/>
  <c r="H56" i="9"/>
  <c r="G56" i="9"/>
  <c r="F56" i="9"/>
  <c r="E56" i="9"/>
  <c r="AN107" i="9"/>
  <c r="AL107" i="9"/>
  <c r="AM107" i="9" s="1"/>
  <c r="AF107" i="9" s="1"/>
  <c r="F95" i="9"/>
  <c r="E95" i="9"/>
  <c r="AK114" i="10"/>
  <c r="AD114" i="10"/>
  <c r="AB114" i="10"/>
  <c r="F81" i="9"/>
  <c r="E81" i="9"/>
  <c r="AN90" i="9"/>
  <c r="AL90" i="9"/>
  <c r="AM90" i="9" s="1"/>
  <c r="AF90" i="9" s="1"/>
  <c r="AK65" i="8"/>
  <c r="AD65" i="8"/>
  <c r="AD118" i="10"/>
  <c r="AK118" i="10"/>
  <c r="AB118" i="10"/>
  <c r="F98" i="8"/>
  <c r="E98" i="8"/>
  <c r="AK62" i="9"/>
  <c r="AB62" i="9"/>
  <c r="AD62" i="9"/>
  <c r="AL90" i="8"/>
  <c r="AM90" i="8" s="1"/>
  <c r="AF90" i="8" s="1"/>
  <c r="AN90" i="8"/>
  <c r="H126" i="9"/>
  <c r="G126" i="9"/>
  <c r="Z121" i="10"/>
  <c r="AE121" i="10" s="1"/>
  <c r="H121" i="10" s="1"/>
  <c r="Y121" i="10"/>
  <c r="AK79" i="9"/>
  <c r="AD79" i="9"/>
  <c r="AM89" i="9"/>
  <c r="AF89" i="9" s="1"/>
  <c r="AM64" i="11"/>
  <c r="AF64" i="11" s="1"/>
  <c r="AN93" i="8"/>
  <c r="AL93" i="8"/>
  <c r="AM93" i="8" s="1"/>
  <c r="AF93" i="8" s="1"/>
  <c r="F102" i="10"/>
  <c r="E102" i="10"/>
  <c r="AM47" i="11"/>
  <c r="AF47" i="11" s="1"/>
  <c r="AN111" i="10"/>
  <c r="AL111" i="10"/>
  <c r="AM111" i="10" s="1"/>
  <c r="AF111" i="10" s="1"/>
  <c r="F119" i="9"/>
  <c r="G119" i="9"/>
  <c r="E119" i="9"/>
  <c r="H119" i="9"/>
  <c r="AD97" i="8"/>
  <c r="AK97" i="8"/>
  <c r="AM85" i="10"/>
  <c r="AF85" i="10" s="1"/>
  <c r="H85" i="10" s="1"/>
  <c r="F70" i="10"/>
  <c r="H70" i="10"/>
  <c r="G70" i="10"/>
  <c r="E70" i="10"/>
  <c r="AK44" i="10"/>
  <c r="AB44" i="10"/>
  <c r="AD44" i="10"/>
  <c r="AK90" i="9"/>
  <c r="AD90" i="9"/>
  <c r="AB90" i="9"/>
  <c r="AN65" i="8"/>
  <c r="AL65" i="8"/>
  <c r="AM65" i="8" s="1"/>
  <c r="AF65" i="8" s="1"/>
  <c r="AN118" i="10"/>
  <c r="AL118" i="10"/>
  <c r="AM118" i="10" s="1"/>
  <c r="AF118" i="10" s="1"/>
  <c r="H70" i="9"/>
  <c r="G70" i="9"/>
  <c r="F70" i="9"/>
  <c r="E70" i="9"/>
  <c r="AN55" i="11"/>
  <c r="AL55" i="11"/>
  <c r="AN62" i="9"/>
  <c r="AL62" i="9"/>
  <c r="AK69" i="8"/>
  <c r="AD69" i="8"/>
  <c r="AK90" i="8"/>
  <c r="AD90" i="8"/>
  <c r="AB90" i="8"/>
  <c r="H122" i="9"/>
  <c r="G122" i="9"/>
  <c r="Z123" i="10"/>
  <c r="Y123" i="10"/>
  <c r="AD93" i="8"/>
  <c r="AK93" i="8"/>
  <c r="G56" i="10"/>
  <c r="F56" i="10"/>
  <c r="E56" i="10"/>
  <c r="H56" i="10"/>
  <c r="AN58" i="8"/>
  <c r="AL58" i="8"/>
  <c r="AL53" i="11"/>
  <c r="AM53" i="11" s="1"/>
  <c r="AF53" i="11" s="1"/>
  <c r="AF67" i="8"/>
  <c r="H53" i="8"/>
  <c r="F53" i="8"/>
  <c r="E53" i="8"/>
  <c r="G53" i="8"/>
  <c r="AM44" i="10" l="1"/>
  <c r="AF44" i="10" s="1"/>
  <c r="AM58" i="8"/>
  <c r="AF58" i="8" s="1"/>
  <c r="AM48" i="11"/>
  <c r="AF48" i="11" s="1"/>
  <c r="AM58" i="10"/>
  <c r="AF58" i="10" s="1"/>
  <c r="G121" i="10"/>
  <c r="AM55" i="9"/>
  <c r="AF55" i="9" s="1"/>
  <c r="AM55" i="8"/>
  <c r="AF55" i="8" s="1"/>
  <c r="AM62" i="9"/>
  <c r="AF62" i="9" s="1"/>
  <c r="G74" i="8"/>
  <c r="AM62" i="8"/>
  <c r="AF62" i="8" s="1"/>
  <c r="AM51" i="9"/>
  <c r="AF51" i="9" s="1"/>
  <c r="H51" i="9" s="1"/>
  <c r="AM55" i="11"/>
  <c r="AF55" i="11" s="1"/>
  <c r="AE125" i="10"/>
  <c r="H125" i="10" s="1"/>
  <c r="G125" i="9"/>
  <c r="AM51" i="8"/>
  <c r="AF51" i="8" s="1"/>
  <c r="H51" i="8" s="1"/>
  <c r="AM44" i="11"/>
  <c r="AF44" i="11" s="1"/>
  <c r="G123" i="10"/>
  <c r="G123" i="9"/>
  <c r="AM48" i="9"/>
  <c r="AF48" i="9" s="1"/>
  <c r="AM48" i="10"/>
  <c r="AF48" i="10" s="1"/>
  <c r="G121" i="9"/>
  <c r="AM58" i="11"/>
  <c r="AF58" i="11" s="1"/>
  <c r="AM62" i="10"/>
  <c r="AF62" i="10" s="1"/>
  <c r="G86" i="10"/>
  <c r="E86" i="10"/>
  <c r="H86" i="10"/>
  <c r="F86" i="10"/>
  <c r="Q80" i="10"/>
  <c r="Q78" i="10"/>
  <c r="Q81" i="10"/>
  <c r="AB81" i="10" s="1"/>
  <c r="Q79" i="10"/>
  <c r="AB79" i="10" s="1"/>
  <c r="H79" i="10" s="1"/>
  <c r="Q84" i="10"/>
  <c r="Q82" i="10"/>
  <c r="AB82" i="10" s="1"/>
  <c r="Q83" i="10"/>
  <c r="Q116" i="10"/>
  <c r="Q115" i="10"/>
  <c r="Q119" i="10"/>
  <c r="Q118" i="10"/>
  <c r="Q113" i="10"/>
  <c r="AB113" i="10" s="1"/>
  <c r="Q117" i="10"/>
  <c r="Q114" i="10"/>
  <c r="Q61" i="9"/>
  <c r="AB61" i="9" s="1"/>
  <c r="Q59" i="9"/>
  <c r="Q62" i="9"/>
  <c r="Q60" i="9"/>
  <c r="Q63" i="9"/>
  <c r="Q58" i="9"/>
  <c r="AB58" i="9" s="1"/>
  <c r="H58" i="9" s="1"/>
  <c r="Q57" i="9"/>
  <c r="AB57" i="9" s="1"/>
  <c r="G51" i="9"/>
  <c r="F51" i="9"/>
  <c r="E51" i="9"/>
  <c r="Q60" i="8"/>
  <c r="Q58" i="8"/>
  <c r="AB58" i="8" s="1"/>
  <c r="H58" i="8" s="1"/>
  <c r="Q59" i="8"/>
  <c r="Q63" i="8"/>
  <c r="Q61" i="8"/>
  <c r="AB61" i="8" s="1"/>
  <c r="Q57" i="8"/>
  <c r="AB57" i="8" s="1"/>
  <c r="Q62" i="8"/>
  <c r="Q49" i="10"/>
  <c r="Q48" i="10"/>
  <c r="Q43" i="10"/>
  <c r="Q44" i="10"/>
  <c r="Q47" i="10"/>
  <c r="AB47" i="10" s="1"/>
  <c r="Q45" i="10"/>
  <c r="Q46" i="10"/>
  <c r="AB46" i="10" s="1"/>
  <c r="F65" i="8"/>
  <c r="E65" i="8"/>
  <c r="Q101" i="8"/>
  <c r="Q105" i="8"/>
  <c r="Q104" i="8"/>
  <c r="AB104" i="8" s="1"/>
  <c r="H104" i="8" s="1"/>
  <c r="Q99" i="8"/>
  <c r="AB99" i="8" s="1"/>
  <c r="Q103" i="8"/>
  <c r="AB103" i="8" s="1"/>
  <c r="Q100" i="8"/>
  <c r="AB100" i="8" s="1"/>
  <c r="Q102" i="8"/>
  <c r="AB102" i="8" s="1"/>
  <c r="E51" i="8"/>
  <c r="G51" i="8"/>
  <c r="F51" i="8"/>
  <c r="E58" i="10"/>
  <c r="F58" i="10"/>
  <c r="F104" i="9"/>
  <c r="E104" i="9"/>
  <c r="Q69" i="8"/>
  <c r="AB69" i="8" s="1"/>
  <c r="Q67" i="8"/>
  <c r="Q65" i="8"/>
  <c r="AB65" i="8" s="1"/>
  <c r="H65" i="8" s="1"/>
  <c r="Q66" i="8"/>
  <c r="Q70" i="8"/>
  <c r="Q68" i="8"/>
  <c r="AB68" i="8" s="1"/>
  <c r="Q64" i="8"/>
  <c r="AB64" i="8" s="1"/>
  <c r="Q50" i="8"/>
  <c r="AB50" i="8" s="1"/>
  <c r="Q55" i="8"/>
  <c r="Q56" i="8"/>
  <c r="Q54" i="8"/>
  <c r="AB54" i="8" s="1"/>
  <c r="Q53" i="8"/>
  <c r="Q51" i="8"/>
  <c r="Q52" i="8"/>
  <c r="Q54" i="9"/>
  <c r="AB54" i="9" s="1"/>
  <c r="Q53" i="9"/>
  <c r="Q51" i="9"/>
  <c r="Q50" i="9"/>
  <c r="AB50" i="9" s="1"/>
  <c r="Q55" i="9"/>
  <c r="Q56" i="9"/>
  <c r="Q52" i="9"/>
  <c r="F76" i="11"/>
  <c r="E76" i="11"/>
  <c r="F58" i="11"/>
  <c r="E58" i="11"/>
  <c r="H48" i="9"/>
  <c r="E48" i="9"/>
  <c r="G48" i="9"/>
  <c r="F48" i="9"/>
  <c r="F58" i="8"/>
  <c r="E58" i="8"/>
  <c r="F55" i="8"/>
  <c r="H55" i="8"/>
  <c r="G55" i="8"/>
  <c r="E55" i="8"/>
  <c r="Q95" i="8"/>
  <c r="AB95" i="8" s="1"/>
  <c r="Q94" i="8"/>
  <c r="Q96" i="8"/>
  <c r="AB96" i="8" s="1"/>
  <c r="Q93" i="8"/>
  <c r="AB93" i="8" s="1"/>
  <c r="G93" i="8" s="1"/>
  <c r="Q92" i="8"/>
  <c r="Q97" i="8"/>
  <c r="AB97" i="8" s="1"/>
  <c r="H97" i="8" s="1"/>
  <c r="Q98" i="8"/>
  <c r="AB98" i="8" s="1"/>
  <c r="Q76" i="11"/>
  <c r="AB76" i="11" s="1"/>
  <c r="G76" i="11" s="1"/>
  <c r="Q77" i="11"/>
  <c r="AB77" i="11" s="1"/>
  <c r="Q75" i="11"/>
  <c r="AB75" i="11" s="1"/>
  <c r="Q71" i="11"/>
  <c r="AB71" i="11" s="1"/>
  <c r="Q72" i="11"/>
  <c r="Q73" i="11"/>
  <c r="Q74" i="11"/>
  <c r="AB74" i="11" s="1"/>
  <c r="F111" i="8"/>
  <c r="E111" i="8"/>
  <c r="F51" i="10"/>
  <c r="G51" i="10"/>
  <c r="E51" i="10"/>
  <c r="H51" i="10"/>
  <c r="H83" i="9"/>
  <c r="F83" i="9"/>
  <c r="E83" i="9"/>
  <c r="G83" i="9"/>
  <c r="F44" i="9"/>
  <c r="E44" i="9"/>
  <c r="H44" i="9"/>
  <c r="G44" i="9"/>
  <c r="E62" i="11"/>
  <c r="F62" i="11"/>
  <c r="H72" i="8"/>
  <c r="G72" i="8"/>
  <c r="F72" i="8"/>
  <c r="E72" i="8"/>
  <c r="E65" i="10"/>
  <c r="F65" i="10"/>
  <c r="H114" i="10"/>
  <c r="E114" i="10"/>
  <c r="G114" i="10"/>
  <c r="F114" i="10"/>
  <c r="E90" i="10"/>
  <c r="H90" i="10"/>
  <c r="G90" i="10"/>
  <c r="F90" i="10"/>
  <c r="Q61" i="10"/>
  <c r="AB61" i="10" s="1"/>
  <c r="Q62" i="10"/>
  <c r="Q57" i="10"/>
  <c r="AB57" i="10" s="1"/>
  <c r="Q63" i="10"/>
  <c r="Q60" i="10"/>
  <c r="Q59" i="10"/>
  <c r="Q58" i="10"/>
  <c r="AB58" i="10" s="1"/>
  <c r="H58" i="10" s="1"/>
  <c r="F58" i="9"/>
  <c r="E58" i="9"/>
  <c r="Q63" i="11"/>
  <c r="Q59" i="11"/>
  <c r="Q61" i="11"/>
  <c r="AB61" i="11" s="1"/>
  <c r="Q60" i="11"/>
  <c r="AB60" i="11" s="1"/>
  <c r="Q58" i="11"/>
  <c r="Q62" i="11"/>
  <c r="AB62" i="11" s="1"/>
  <c r="G62" i="11" s="1"/>
  <c r="Q57" i="11"/>
  <c r="AB57" i="11" s="1"/>
  <c r="H93" i="8"/>
  <c r="F93" i="8"/>
  <c r="E93" i="8"/>
  <c r="H62" i="9"/>
  <c r="E62" i="9"/>
  <c r="G62" i="9"/>
  <c r="F62" i="9"/>
  <c r="E48" i="10"/>
  <c r="H48" i="10"/>
  <c r="F48" i="10"/>
  <c r="G48" i="10"/>
  <c r="AE123" i="9"/>
  <c r="H123" i="9" s="1"/>
  <c r="F86" i="9"/>
  <c r="E86" i="9"/>
  <c r="H86" i="9"/>
  <c r="G86" i="9"/>
  <c r="E72" i="11"/>
  <c r="G72" i="11"/>
  <c r="H72" i="11"/>
  <c r="F72" i="11"/>
  <c r="E46" i="8"/>
  <c r="F46" i="8"/>
  <c r="Q75" i="9"/>
  <c r="Q71" i="9"/>
  <c r="AB71" i="9" s="1"/>
  <c r="Q73" i="9"/>
  <c r="Q72" i="9"/>
  <c r="Q74" i="9"/>
  <c r="Q77" i="9"/>
  <c r="Q76" i="9"/>
  <c r="Q45" i="9"/>
  <c r="Q49" i="9"/>
  <c r="Q46" i="9"/>
  <c r="AB46" i="9" s="1"/>
  <c r="G46" i="9" s="1"/>
  <c r="Q43" i="9"/>
  <c r="Q47" i="9"/>
  <c r="AB47" i="9" s="1"/>
  <c r="Q48" i="9"/>
  <c r="Q44" i="9"/>
  <c r="E83" i="8"/>
  <c r="H83" i="8"/>
  <c r="G83" i="8"/>
  <c r="F83" i="8"/>
  <c r="F44" i="10"/>
  <c r="H44" i="10"/>
  <c r="E44" i="10"/>
  <c r="G44" i="10"/>
  <c r="G118" i="10"/>
  <c r="F118" i="10"/>
  <c r="E118" i="10"/>
  <c r="H118" i="10"/>
  <c r="E79" i="9"/>
  <c r="F79" i="9"/>
  <c r="E48" i="11"/>
  <c r="F48" i="11"/>
  <c r="Q119" i="9"/>
  <c r="Q118" i="9"/>
  <c r="Q113" i="9"/>
  <c r="AB113" i="9" s="1"/>
  <c r="Q114" i="9"/>
  <c r="Q116" i="9"/>
  <c r="Q115" i="9"/>
  <c r="Q117" i="9"/>
  <c r="Q91" i="9"/>
  <c r="AB91" i="9" s="1"/>
  <c r="Q89" i="9"/>
  <c r="AB89" i="9" s="1"/>
  <c r="Q87" i="9"/>
  <c r="Q88" i="9"/>
  <c r="Q85" i="9"/>
  <c r="Q90" i="9"/>
  <c r="Q86" i="9"/>
  <c r="Q56" i="10"/>
  <c r="Q51" i="10"/>
  <c r="Q55" i="10"/>
  <c r="Q52" i="10"/>
  <c r="Q50" i="10"/>
  <c r="AB50" i="10" s="1"/>
  <c r="Q54" i="10"/>
  <c r="AB54" i="10" s="1"/>
  <c r="Q53" i="10"/>
  <c r="F69" i="11"/>
  <c r="E69" i="11"/>
  <c r="Q49" i="8"/>
  <c r="Q45" i="8"/>
  <c r="Q43" i="8"/>
  <c r="Q48" i="8"/>
  <c r="AB48" i="8" s="1"/>
  <c r="Q44" i="8"/>
  <c r="Q47" i="8"/>
  <c r="AB47" i="8" s="1"/>
  <c r="Q46" i="8"/>
  <c r="AB46" i="8" s="1"/>
  <c r="H46" i="8" s="1"/>
  <c r="F72" i="9"/>
  <c r="H72" i="9"/>
  <c r="E72" i="9"/>
  <c r="G72" i="9"/>
  <c r="E111" i="9"/>
  <c r="F111" i="9"/>
  <c r="Q74" i="8"/>
  <c r="Q72" i="8"/>
  <c r="Q77" i="8"/>
  <c r="Q71" i="8"/>
  <c r="AB71" i="8" s="1"/>
  <c r="Q76" i="8"/>
  <c r="Q75" i="8"/>
  <c r="Q73" i="8"/>
  <c r="Q107" i="10"/>
  <c r="Q111" i="10"/>
  <c r="AB111" i="10" s="1"/>
  <c r="H111" i="10" s="1"/>
  <c r="Q109" i="10"/>
  <c r="Q108" i="10"/>
  <c r="Q110" i="10"/>
  <c r="Q112" i="10"/>
  <c r="AB112" i="10" s="1"/>
  <c r="Q106" i="10"/>
  <c r="H114" i="9"/>
  <c r="G114" i="9"/>
  <c r="F114" i="9"/>
  <c r="E114" i="9"/>
  <c r="E65" i="11"/>
  <c r="F65" i="11"/>
  <c r="C30" i="8"/>
  <c r="F100" i="9"/>
  <c r="E100" i="9"/>
  <c r="H107" i="10"/>
  <c r="F107" i="10"/>
  <c r="G107" i="10"/>
  <c r="E107" i="10"/>
  <c r="Q80" i="8"/>
  <c r="Q82" i="8"/>
  <c r="AB82" i="8" s="1"/>
  <c r="Q84" i="8"/>
  <c r="Q79" i="8"/>
  <c r="AB79" i="8" s="1"/>
  <c r="G79" i="8" s="1"/>
  <c r="Q81" i="8"/>
  <c r="AB81" i="8" s="1"/>
  <c r="Q78" i="8"/>
  <c r="Q83" i="8"/>
  <c r="AE123" i="10"/>
  <c r="H123" i="10" s="1"/>
  <c r="G83" i="10"/>
  <c r="F83" i="10"/>
  <c r="H83" i="10"/>
  <c r="E83" i="10"/>
  <c r="G107" i="9"/>
  <c r="H107" i="9"/>
  <c r="F107" i="9"/>
  <c r="E107" i="9"/>
  <c r="H53" i="9"/>
  <c r="G53" i="9"/>
  <c r="F53" i="9"/>
  <c r="E53" i="9"/>
  <c r="Q98" i="9"/>
  <c r="AB98" i="9" s="1"/>
  <c r="Q93" i="9"/>
  <c r="AB93" i="9" s="1"/>
  <c r="G93" i="9" s="1"/>
  <c r="Q97" i="9"/>
  <c r="AB97" i="9" s="1"/>
  <c r="H97" i="9" s="1"/>
  <c r="Q94" i="9"/>
  <c r="Q96" i="9"/>
  <c r="AB96" i="9" s="1"/>
  <c r="Q95" i="9"/>
  <c r="AB95" i="9" s="1"/>
  <c r="Q92" i="9"/>
  <c r="E76" i="8"/>
  <c r="G76" i="8"/>
  <c r="H76" i="8"/>
  <c r="F76" i="8"/>
  <c r="Q67" i="9"/>
  <c r="Q65" i="9"/>
  <c r="AB65" i="9" s="1"/>
  <c r="G65" i="9" s="1"/>
  <c r="Q64" i="9"/>
  <c r="AB64" i="9" s="1"/>
  <c r="Q69" i="9"/>
  <c r="AB69" i="9" s="1"/>
  <c r="Q68" i="9"/>
  <c r="AB68" i="9" s="1"/>
  <c r="Q66" i="9"/>
  <c r="Q70" i="9"/>
  <c r="Q65" i="11"/>
  <c r="AB65" i="11" s="1"/>
  <c r="G65" i="11" s="1"/>
  <c r="Q70" i="11"/>
  <c r="AB70" i="11" s="1"/>
  <c r="Q67" i="11"/>
  <c r="AB67" i="11" s="1"/>
  <c r="Q69" i="11"/>
  <c r="AB69" i="11" s="1"/>
  <c r="G69" i="11" s="1"/>
  <c r="Q64" i="11"/>
  <c r="AB64" i="11" s="1"/>
  <c r="Q66" i="11"/>
  <c r="Q68" i="11"/>
  <c r="AB68" i="11" s="1"/>
  <c r="F97" i="9"/>
  <c r="E97" i="9"/>
  <c r="Q101" i="9"/>
  <c r="Q99" i="9"/>
  <c r="AB99" i="9" s="1"/>
  <c r="Q104" i="9"/>
  <c r="AB104" i="9" s="1"/>
  <c r="H104" i="9" s="1"/>
  <c r="Q100" i="9"/>
  <c r="AB100" i="9" s="1"/>
  <c r="G100" i="9" s="1"/>
  <c r="Q102" i="9"/>
  <c r="AB102" i="9" s="1"/>
  <c r="Q105" i="9"/>
  <c r="Q103" i="9"/>
  <c r="AB103" i="9" s="1"/>
  <c r="Q91" i="8"/>
  <c r="AB91" i="8" s="1"/>
  <c r="Q89" i="8"/>
  <c r="AB89" i="8" s="1"/>
  <c r="Q85" i="8"/>
  <c r="Q87" i="8"/>
  <c r="Q88" i="8"/>
  <c r="Q90" i="8"/>
  <c r="Q86" i="8"/>
  <c r="Q71" i="10"/>
  <c r="AB71" i="10" s="1"/>
  <c r="Q74" i="10"/>
  <c r="Q76" i="10"/>
  <c r="Q73" i="10"/>
  <c r="Q77" i="10"/>
  <c r="Q72" i="10"/>
  <c r="Q75" i="10"/>
  <c r="F69" i="10"/>
  <c r="E69" i="10"/>
  <c r="F62" i="10"/>
  <c r="E62" i="10"/>
  <c r="H62" i="10"/>
  <c r="G62" i="10"/>
  <c r="H48" i="8"/>
  <c r="G48" i="8"/>
  <c r="F48" i="8"/>
  <c r="E48" i="8"/>
  <c r="E53" i="11"/>
  <c r="F53" i="11"/>
  <c r="H44" i="8"/>
  <c r="G44" i="8"/>
  <c r="F44" i="8"/>
  <c r="E44" i="8"/>
  <c r="H55" i="9"/>
  <c r="G55" i="9"/>
  <c r="F55" i="9"/>
  <c r="E55" i="9"/>
  <c r="Q109" i="9"/>
  <c r="Q112" i="9"/>
  <c r="AB112" i="9" s="1"/>
  <c r="Q110" i="9"/>
  <c r="Q106" i="9"/>
  <c r="Q111" i="9"/>
  <c r="AB111" i="9" s="1"/>
  <c r="H111" i="9" s="1"/>
  <c r="Q108" i="9"/>
  <c r="Q107" i="9"/>
  <c r="F93" i="9"/>
  <c r="E93" i="9"/>
  <c r="H76" i="9"/>
  <c r="G76" i="9"/>
  <c r="E76" i="9"/>
  <c r="F76" i="9"/>
  <c r="F55" i="11"/>
  <c r="E55" i="11"/>
  <c r="G67" i="8"/>
  <c r="H67" i="8"/>
  <c r="F67" i="8"/>
  <c r="E67" i="8"/>
  <c r="F44" i="11"/>
  <c r="E44" i="11"/>
  <c r="F65" i="9"/>
  <c r="E65" i="9"/>
  <c r="Q112" i="8"/>
  <c r="AB112" i="8" s="1"/>
  <c r="Q106" i="8"/>
  <c r="Q109" i="8"/>
  <c r="Q111" i="8"/>
  <c r="AB111" i="8" s="1"/>
  <c r="H111" i="8" s="1"/>
  <c r="Q107" i="8"/>
  <c r="Q110" i="8"/>
  <c r="Q108" i="8"/>
  <c r="F100" i="10"/>
  <c r="E100" i="10"/>
  <c r="F104" i="8"/>
  <c r="E104" i="8"/>
  <c r="F79" i="11"/>
  <c r="G79" i="11"/>
  <c r="E79" i="11"/>
  <c r="H62" i="8"/>
  <c r="F62" i="8"/>
  <c r="E62" i="8"/>
  <c r="G62" i="8"/>
  <c r="E97" i="8"/>
  <c r="F97" i="8"/>
  <c r="F69" i="8"/>
  <c r="E69" i="8"/>
  <c r="G69" i="8"/>
  <c r="H69" i="8"/>
  <c r="E111" i="10"/>
  <c r="F111" i="10"/>
  <c r="H100" i="8"/>
  <c r="G100" i="8"/>
  <c r="F100" i="8"/>
  <c r="E100" i="8"/>
  <c r="H90" i="9"/>
  <c r="F90" i="9"/>
  <c r="E90" i="9"/>
  <c r="G90" i="9"/>
  <c r="Q45" i="11"/>
  <c r="Q47" i="11"/>
  <c r="AB47" i="11" s="1"/>
  <c r="Q46" i="11"/>
  <c r="AB46" i="11" s="1"/>
  <c r="Q49" i="11"/>
  <c r="Q44" i="11"/>
  <c r="AB44" i="11" s="1"/>
  <c r="H44" i="11" s="1"/>
  <c r="Q43" i="11"/>
  <c r="AB43" i="11" s="1"/>
  <c r="Q48" i="11"/>
  <c r="AB48" i="11" s="1"/>
  <c r="H48" i="11" s="1"/>
  <c r="G118" i="8"/>
  <c r="H118" i="8"/>
  <c r="F118" i="8"/>
  <c r="E118" i="8"/>
  <c r="Q99" i="10"/>
  <c r="AB99" i="10" s="1"/>
  <c r="Q104" i="10"/>
  <c r="AB104" i="10" s="1"/>
  <c r="G104" i="10" s="1"/>
  <c r="Q101" i="10"/>
  <c r="Q105" i="10"/>
  <c r="Q103" i="10"/>
  <c r="AB103" i="10" s="1"/>
  <c r="Q100" i="10"/>
  <c r="AB100" i="10" s="1"/>
  <c r="G100" i="10" s="1"/>
  <c r="Q102" i="10"/>
  <c r="AB102" i="10" s="1"/>
  <c r="Q65" i="10"/>
  <c r="AB65" i="10" s="1"/>
  <c r="H65" i="10" s="1"/>
  <c r="Q68" i="10"/>
  <c r="AB68" i="10" s="1"/>
  <c r="Q66" i="10"/>
  <c r="Q67" i="10"/>
  <c r="Q70" i="10"/>
  <c r="Q69" i="10"/>
  <c r="AB69" i="10" s="1"/>
  <c r="G69" i="10" s="1"/>
  <c r="Q64" i="10"/>
  <c r="AB64" i="10" s="1"/>
  <c r="H67" i="10"/>
  <c r="G67" i="10"/>
  <c r="F67" i="10"/>
  <c r="E67" i="10"/>
  <c r="Q78" i="11"/>
  <c r="AB78" i="11" s="1"/>
  <c r="Q80" i="11"/>
  <c r="Q79" i="11"/>
  <c r="AB79" i="11" s="1"/>
  <c r="H79" i="11" s="1"/>
  <c r="E51" i="11"/>
  <c r="F51" i="11"/>
  <c r="F86" i="8"/>
  <c r="E86" i="8"/>
  <c r="G86" i="8"/>
  <c r="H86" i="8"/>
  <c r="G90" i="8"/>
  <c r="H90" i="8"/>
  <c r="F90" i="8"/>
  <c r="E90" i="8"/>
  <c r="Q97" i="10"/>
  <c r="AB97" i="10" s="1"/>
  <c r="H97" i="10" s="1"/>
  <c r="Q92" i="10"/>
  <c r="Q96" i="10"/>
  <c r="AB96" i="10" s="1"/>
  <c r="Q95" i="10"/>
  <c r="AB95" i="10" s="1"/>
  <c r="Q94" i="10"/>
  <c r="Q98" i="10"/>
  <c r="AB98" i="10" s="1"/>
  <c r="Q93" i="10"/>
  <c r="AB93" i="10" s="1"/>
  <c r="G93" i="10" s="1"/>
  <c r="G76" i="10"/>
  <c r="E76" i="10"/>
  <c r="F76" i="10"/>
  <c r="H76" i="10"/>
  <c r="F79" i="8"/>
  <c r="E79" i="8"/>
  <c r="F97" i="10"/>
  <c r="E97" i="10"/>
  <c r="F114" i="8"/>
  <c r="H114" i="8"/>
  <c r="E114" i="8"/>
  <c r="G114" i="8"/>
  <c r="Q84" i="9"/>
  <c r="Q82" i="9"/>
  <c r="AB82" i="9" s="1"/>
  <c r="Q78" i="9"/>
  <c r="Q79" i="9"/>
  <c r="AB79" i="9" s="1"/>
  <c r="H79" i="9" s="1"/>
  <c r="Q80" i="9"/>
  <c r="Q81" i="9"/>
  <c r="AB81" i="9" s="1"/>
  <c r="Q83" i="9"/>
  <c r="E55" i="10"/>
  <c r="H55" i="10"/>
  <c r="G55" i="10"/>
  <c r="F55" i="10"/>
  <c r="E69" i="9"/>
  <c r="G69" i="9"/>
  <c r="H69" i="9"/>
  <c r="F69" i="9"/>
  <c r="E93" i="10"/>
  <c r="F93" i="10"/>
  <c r="F104" i="10"/>
  <c r="E104" i="10"/>
  <c r="F46" i="9"/>
  <c r="E46" i="9"/>
  <c r="F107" i="8"/>
  <c r="E107" i="8"/>
  <c r="G107" i="8"/>
  <c r="H107" i="8"/>
  <c r="F72" i="10"/>
  <c r="E72" i="10"/>
  <c r="H72" i="10"/>
  <c r="G72" i="10"/>
  <c r="Q118" i="8"/>
  <c r="Q116" i="8"/>
  <c r="Q113" i="8"/>
  <c r="AB113" i="8" s="1"/>
  <c r="Q119" i="8"/>
  <c r="Q115" i="8"/>
  <c r="Q117" i="8"/>
  <c r="Q114" i="8"/>
  <c r="F79" i="10"/>
  <c r="G79" i="10"/>
  <c r="E79" i="10"/>
  <c r="Q50" i="11"/>
  <c r="AB50" i="11" s="1"/>
  <c r="Q55" i="11"/>
  <c r="Q53" i="11"/>
  <c r="AB53" i="11" s="1"/>
  <c r="G53" i="11" s="1"/>
  <c r="Q52" i="11"/>
  <c r="Q51" i="11"/>
  <c r="AB51" i="11" s="1"/>
  <c r="H51" i="11" s="1"/>
  <c r="Q56" i="11"/>
  <c r="Q54" i="11"/>
  <c r="AB54" i="11" s="1"/>
  <c r="H118" i="9"/>
  <c r="G118" i="9"/>
  <c r="E118" i="9"/>
  <c r="F118" i="9"/>
  <c r="Q86" i="10"/>
  <c r="Q87" i="10"/>
  <c r="Q89" i="10"/>
  <c r="AB89" i="10" s="1"/>
  <c r="Q88" i="10"/>
  <c r="Q91" i="10"/>
  <c r="AB91" i="10" s="1"/>
  <c r="Q90" i="10"/>
  <c r="Q85" i="10"/>
  <c r="AB55" i="11" l="1"/>
  <c r="H55" i="11" s="1"/>
  <c r="G48" i="11"/>
  <c r="H93" i="10"/>
  <c r="G58" i="8"/>
  <c r="AB48" i="10"/>
  <c r="G111" i="10"/>
  <c r="AB58" i="11"/>
  <c r="H65" i="9"/>
  <c r="G79" i="9"/>
  <c r="H62" i="11"/>
  <c r="H93" i="9"/>
  <c r="H69" i="11"/>
  <c r="G44" i="11"/>
  <c r="H100" i="10"/>
  <c r="AB48" i="9"/>
  <c r="G46" i="8"/>
  <c r="H69" i="10"/>
  <c r="H95" i="9"/>
  <c r="G95" i="9"/>
  <c r="H54" i="10"/>
  <c r="G54" i="10"/>
  <c r="G91" i="9"/>
  <c r="H91" i="9"/>
  <c r="G98" i="8"/>
  <c r="H98" i="8"/>
  <c r="I103" i="8" s="1"/>
  <c r="AH103" i="8" s="1"/>
  <c r="H64" i="8"/>
  <c r="G64" i="8"/>
  <c r="H99" i="8"/>
  <c r="G99" i="8"/>
  <c r="G67" i="11"/>
  <c r="H67" i="11"/>
  <c r="H71" i="8"/>
  <c r="G71" i="8"/>
  <c r="H71" i="10"/>
  <c r="G71" i="10"/>
  <c r="H96" i="9"/>
  <c r="G96" i="9"/>
  <c r="H65" i="11"/>
  <c r="H50" i="10"/>
  <c r="G50" i="10"/>
  <c r="H54" i="9"/>
  <c r="G54" i="9"/>
  <c r="H68" i="8"/>
  <c r="G68" i="8"/>
  <c r="H57" i="8"/>
  <c r="G57" i="8"/>
  <c r="H81" i="10"/>
  <c r="G81" i="10"/>
  <c r="H46" i="9"/>
  <c r="H57" i="10"/>
  <c r="G57" i="10"/>
  <c r="H76" i="11"/>
  <c r="H61" i="8"/>
  <c r="I78" i="8" s="1"/>
  <c r="AH78" i="8" s="1"/>
  <c r="G61" i="8"/>
  <c r="G81" i="8"/>
  <c r="H81" i="8"/>
  <c r="G58" i="10"/>
  <c r="H82" i="8"/>
  <c r="G82" i="8"/>
  <c r="H54" i="11"/>
  <c r="G54" i="11"/>
  <c r="H98" i="10"/>
  <c r="G98" i="10"/>
  <c r="H68" i="9"/>
  <c r="G68" i="9"/>
  <c r="G65" i="10"/>
  <c r="G111" i="8"/>
  <c r="H96" i="8"/>
  <c r="G96" i="8"/>
  <c r="H61" i="9"/>
  <c r="G61" i="9"/>
  <c r="H113" i="8"/>
  <c r="G113" i="8"/>
  <c r="G97" i="10"/>
  <c r="H53" i="11"/>
  <c r="G98" i="9"/>
  <c r="H98" i="9"/>
  <c r="G60" i="11"/>
  <c r="H60" i="11"/>
  <c r="H61" i="10"/>
  <c r="G61" i="10"/>
  <c r="D30" i="9"/>
  <c r="E31" i="9" s="1"/>
  <c r="H95" i="10"/>
  <c r="G95" i="10"/>
  <c r="G51" i="11"/>
  <c r="G104" i="8"/>
  <c r="G97" i="9"/>
  <c r="H64" i="9"/>
  <c r="G64" i="9"/>
  <c r="G111" i="9"/>
  <c r="D30" i="10"/>
  <c r="E31" i="10" s="1"/>
  <c r="H113" i="9"/>
  <c r="G113" i="9"/>
  <c r="H61" i="11"/>
  <c r="G61" i="11"/>
  <c r="H95" i="8"/>
  <c r="G95" i="8"/>
  <c r="C30" i="9"/>
  <c r="G65" i="8"/>
  <c r="H112" i="10"/>
  <c r="G112" i="10"/>
  <c r="H64" i="10"/>
  <c r="G64" i="10"/>
  <c r="H96" i="10"/>
  <c r="G96" i="10"/>
  <c r="H112" i="8"/>
  <c r="D28" i="8" s="1"/>
  <c r="G112" i="8"/>
  <c r="C30" i="10"/>
  <c r="D25" i="8"/>
  <c r="H71" i="9"/>
  <c r="G71" i="9"/>
  <c r="H74" i="11"/>
  <c r="G74" i="11"/>
  <c r="H54" i="8"/>
  <c r="G54" i="8"/>
  <c r="H113" i="10"/>
  <c r="G113" i="10"/>
  <c r="H104" i="10"/>
  <c r="H68" i="10"/>
  <c r="G68" i="10"/>
  <c r="H43" i="11"/>
  <c r="G43" i="11"/>
  <c r="G97" i="8"/>
  <c r="G55" i="11"/>
  <c r="H100" i="9"/>
  <c r="G104" i="9"/>
  <c r="G46" i="10"/>
  <c r="H46" i="10"/>
  <c r="G91" i="10"/>
  <c r="H91" i="10"/>
  <c r="H81" i="9"/>
  <c r="G81" i="9"/>
  <c r="H79" i="8"/>
  <c r="H112" i="9"/>
  <c r="D28" i="9" s="1"/>
  <c r="G112" i="9"/>
  <c r="H89" i="8"/>
  <c r="I93" i="8" s="1"/>
  <c r="AH93" i="8" s="1"/>
  <c r="G89" i="8"/>
  <c r="H68" i="11"/>
  <c r="G68" i="11"/>
  <c r="H102" i="9"/>
  <c r="G102" i="9"/>
  <c r="H47" i="8"/>
  <c r="C19" i="8" s="1"/>
  <c r="G47" i="8"/>
  <c r="H103" i="8"/>
  <c r="G103" i="8"/>
  <c r="G102" i="10"/>
  <c r="H102" i="10"/>
  <c r="G91" i="8"/>
  <c r="H91" i="8"/>
  <c r="H71" i="11"/>
  <c r="G71" i="11"/>
  <c r="H50" i="8"/>
  <c r="G50" i="8"/>
  <c r="H47" i="10"/>
  <c r="G47" i="10"/>
  <c r="H99" i="9"/>
  <c r="G99" i="9"/>
  <c r="H50" i="11"/>
  <c r="G50" i="11"/>
  <c r="H89" i="10"/>
  <c r="G89" i="10"/>
  <c r="G46" i="11"/>
  <c r="H46" i="11"/>
  <c r="H103" i="9"/>
  <c r="G103" i="9"/>
  <c r="H64" i="11"/>
  <c r="G64" i="11"/>
  <c r="H47" i="9"/>
  <c r="G47" i="9"/>
  <c r="G58" i="9"/>
  <c r="H75" i="11"/>
  <c r="G75" i="11"/>
  <c r="H102" i="8"/>
  <c r="G102" i="8"/>
  <c r="H82" i="9"/>
  <c r="C24" i="9" s="1"/>
  <c r="G82" i="9"/>
  <c r="H89" i="9"/>
  <c r="G89" i="9"/>
  <c r="H82" i="10"/>
  <c r="I82" i="10" s="1"/>
  <c r="AH82" i="10" s="1"/>
  <c r="G82" i="10"/>
  <c r="H99" i="10"/>
  <c r="G99" i="10"/>
  <c r="H57" i="11"/>
  <c r="G57" i="11"/>
  <c r="H78" i="11"/>
  <c r="G78" i="11"/>
  <c r="H103" i="10"/>
  <c r="G103" i="10"/>
  <c r="H47" i="11"/>
  <c r="G47" i="11"/>
  <c r="G77" i="11"/>
  <c r="H77" i="11"/>
  <c r="H50" i="9"/>
  <c r="G50" i="9"/>
  <c r="H57" i="9"/>
  <c r="G57" i="9"/>
  <c r="I79" i="9" l="1"/>
  <c r="AH79" i="9" s="1"/>
  <c r="I121" i="8"/>
  <c r="AH121" i="8" s="1"/>
  <c r="D26" i="9"/>
  <c r="I116" i="8"/>
  <c r="AH116" i="8" s="1"/>
  <c r="I106" i="8"/>
  <c r="AH106" i="8" s="1"/>
  <c r="I127" i="8"/>
  <c r="I86" i="11"/>
  <c r="AH86" i="11" s="1"/>
  <c r="I111" i="9"/>
  <c r="AH111" i="9" s="1"/>
  <c r="I126" i="9"/>
  <c r="F30" i="9" s="1"/>
  <c r="I112" i="8"/>
  <c r="C28" i="8"/>
  <c r="I85" i="9"/>
  <c r="AH85" i="9" s="1"/>
  <c r="I98" i="10"/>
  <c r="AH98" i="10" s="1"/>
  <c r="I73" i="10"/>
  <c r="AH73" i="10" s="1"/>
  <c r="I79" i="10"/>
  <c r="AH79" i="10" s="1"/>
  <c r="I111" i="8"/>
  <c r="AH111" i="8" s="1"/>
  <c r="I84" i="10"/>
  <c r="F24" i="10" s="1"/>
  <c r="I117" i="8"/>
  <c r="AH117" i="8" s="1"/>
  <c r="I78" i="10"/>
  <c r="AH78" i="10" s="1"/>
  <c r="I75" i="8"/>
  <c r="AH75" i="8" s="1"/>
  <c r="D19" i="10"/>
  <c r="I114" i="9"/>
  <c r="AH114" i="9" s="1"/>
  <c r="C28" i="9"/>
  <c r="I112" i="10"/>
  <c r="F28" i="10" s="1"/>
  <c r="H58" i="11"/>
  <c r="I75" i="11" s="1"/>
  <c r="AH75" i="11" s="1"/>
  <c r="G58" i="11"/>
  <c r="I71" i="9"/>
  <c r="AH71" i="9" s="1"/>
  <c r="I126" i="10"/>
  <c r="AH126" i="10" s="1"/>
  <c r="I112" i="9"/>
  <c r="F28" i="9" s="1"/>
  <c r="I115" i="8"/>
  <c r="AH115" i="8" s="1"/>
  <c r="I82" i="8"/>
  <c r="AH82" i="8" s="1"/>
  <c r="I114" i="8"/>
  <c r="AH114" i="8" s="1"/>
  <c r="AH126" i="9"/>
  <c r="AH112" i="9"/>
  <c r="I95" i="10"/>
  <c r="AH95" i="10" s="1"/>
  <c r="I90" i="10"/>
  <c r="AH90" i="10" s="1"/>
  <c r="I94" i="10"/>
  <c r="AH94" i="10" s="1"/>
  <c r="D25" i="10"/>
  <c r="I93" i="10"/>
  <c r="AH93" i="10" s="1"/>
  <c r="C25" i="10"/>
  <c r="I91" i="10"/>
  <c r="I97" i="10"/>
  <c r="AH97" i="10" s="1"/>
  <c r="I75" i="9"/>
  <c r="AH75" i="9" s="1"/>
  <c r="C21" i="9"/>
  <c r="D21" i="9"/>
  <c r="I109" i="10"/>
  <c r="AH109" i="10" s="1"/>
  <c r="C19" i="10"/>
  <c r="D27" i="9"/>
  <c r="E28" i="9" s="1"/>
  <c r="C27" i="9"/>
  <c r="I105" i="9"/>
  <c r="I78" i="9"/>
  <c r="AH78" i="9" s="1"/>
  <c r="I83" i="9"/>
  <c r="AH83" i="9" s="1"/>
  <c r="I74" i="10"/>
  <c r="AH74" i="10" s="1"/>
  <c r="D28" i="10"/>
  <c r="I92" i="10"/>
  <c r="AH92" i="10" s="1"/>
  <c r="I102" i="8"/>
  <c r="AH102" i="8" s="1"/>
  <c r="I125" i="9"/>
  <c r="AH125" i="9" s="1"/>
  <c r="I84" i="9"/>
  <c r="I80" i="9"/>
  <c r="AH80" i="9" s="1"/>
  <c r="D27" i="10"/>
  <c r="E28" i="10" s="1"/>
  <c r="C27" i="10"/>
  <c r="I105" i="10"/>
  <c r="I95" i="9"/>
  <c r="AH95" i="9" s="1"/>
  <c r="I94" i="9"/>
  <c r="AH94" i="9" s="1"/>
  <c r="I93" i="9"/>
  <c r="AH93" i="9" s="1"/>
  <c r="D25" i="9"/>
  <c r="E26" i="9" s="1"/>
  <c r="C25" i="9"/>
  <c r="I90" i="9"/>
  <c r="AH90" i="9" s="1"/>
  <c r="I91" i="9"/>
  <c r="I72" i="10"/>
  <c r="AH72" i="10" s="1"/>
  <c r="I120" i="9"/>
  <c r="AH120" i="9" s="1"/>
  <c r="I110" i="10"/>
  <c r="AH110" i="10" s="1"/>
  <c r="C28" i="10"/>
  <c r="C22" i="9"/>
  <c r="D22" i="9"/>
  <c r="I70" i="9"/>
  <c r="I114" i="10"/>
  <c r="AH114" i="10" s="1"/>
  <c r="I120" i="8"/>
  <c r="AH120" i="8" s="1"/>
  <c r="I101" i="9"/>
  <c r="AH101" i="9" s="1"/>
  <c r="I100" i="9"/>
  <c r="AH100" i="9" s="1"/>
  <c r="I122" i="9"/>
  <c r="AH122" i="9" s="1"/>
  <c r="I121" i="9"/>
  <c r="AH121" i="9" s="1"/>
  <c r="I127" i="9"/>
  <c r="I81" i="10"/>
  <c r="AH81" i="10" s="1"/>
  <c r="C19" i="11"/>
  <c r="D19" i="11"/>
  <c r="D20" i="9"/>
  <c r="E21" i="9" s="1"/>
  <c r="C20" i="9"/>
  <c r="D24" i="11"/>
  <c r="E25" i="11" s="1"/>
  <c r="C24" i="11"/>
  <c r="I74" i="11"/>
  <c r="AH74" i="11" s="1"/>
  <c r="I104" i="9"/>
  <c r="AH104" i="9" s="1"/>
  <c r="I88" i="8"/>
  <c r="AH88" i="8" s="1"/>
  <c r="D19" i="9"/>
  <c r="C19" i="9"/>
  <c r="D24" i="9"/>
  <c r="I99" i="9"/>
  <c r="AH99" i="9" s="1"/>
  <c r="D19" i="8"/>
  <c r="I83" i="10"/>
  <c r="AH83" i="10" s="1"/>
  <c r="I104" i="10"/>
  <c r="AH104" i="10" s="1"/>
  <c r="I125" i="10"/>
  <c r="AH125" i="10" s="1"/>
  <c r="I118" i="10"/>
  <c r="AH118" i="10" s="1"/>
  <c r="I116" i="10"/>
  <c r="AH116" i="10" s="1"/>
  <c r="I89" i="10"/>
  <c r="AH89" i="10" s="1"/>
  <c r="C23" i="8"/>
  <c r="D23" i="8"/>
  <c r="I77" i="8"/>
  <c r="I76" i="8"/>
  <c r="AH76" i="8" s="1"/>
  <c r="I96" i="8"/>
  <c r="AH96" i="8" s="1"/>
  <c r="I88" i="9"/>
  <c r="AH88" i="9" s="1"/>
  <c r="D26" i="10"/>
  <c r="I97" i="8"/>
  <c r="AH97" i="8" s="1"/>
  <c r="I96" i="10"/>
  <c r="AH96" i="10" s="1"/>
  <c r="D29" i="10"/>
  <c r="E30" i="10" s="1"/>
  <c r="C29" i="10"/>
  <c r="I119" i="10"/>
  <c r="I113" i="10"/>
  <c r="AH113" i="10" s="1"/>
  <c r="I98" i="9"/>
  <c r="I124" i="9"/>
  <c r="AH124" i="9" s="1"/>
  <c r="D27" i="8"/>
  <c r="E28" i="8" s="1"/>
  <c r="C27" i="8"/>
  <c r="I105" i="8"/>
  <c r="I126" i="8"/>
  <c r="I92" i="8"/>
  <c r="AH92" i="8" s="1"/>
  <c r="D24" i="10"/>
  <c r="C20" i="8"/>
  <c r="D20" i="8"/>
  <c r="D29" i="9"/>
  <c r="E30" i="9" s="1"/>
  <c r="C29" i="9"/>
  <c r="I119" i="9"/>
  <c r="I74" i="8"/>
  <c r="AH74" i="8" s="1"/>
  <c r="I81" i="9"/>
  <c r="AH81" i="9" s="1"/>
  <c r="I92" i="9"/>
  <c r="AH92" i="9" s="1"/>
  <c r="I80" i="10"/>
  <c r="AH80" i="10" s="1"/>
  <c r="I87" i="8"/>
  <c r="AH87" i="8" s="1"/>
  <c r="I86" i="8"/>
  <c r="AH86" i="8" s="1"/>
  <c r="C24" i="10"/>
  <c r="I111" i="10"/>
  <c r="AH111" i="10" s="1"/>
  <c r="I107" i="8"/>
  <c r="AH107" i="8" s="1"/>
  <c r="I108" i="8"/>
  <c r="AH108" i="8" s="1"/>
  <c r="I82" i="9"/>
  <c r="AH82" i="9" s="1"/>
  <c r="C25" i="8"/>
  <c r="I118" i="8"/>
  <c r="AH118" i="8" s="1"/>
  <c r="I123" i="8"/>
  <c r="AH123" i="8" s="1"/>
  <c r="I90" i="8"/>
  <c r="AH90" i="8" s="1"/>
  <c r="D20" i="10"/>
  <c r="C20" i="10"/>
  <c r="C22" i="8"/>
  <c r="D22" i="8"/>
  <c r="I70" i="8"/>
  <c r="I103" i="10"/>
  <c r="AH103" i="10" s="1"/>
  <c r="D23" i="10"/>
  <c r="C23" i="10"/>
  <c r="I77" i="10"/>
  <c r="I76" i="10"/>
  <c r="AH76" i="10" s="1"/>
  <c r="C21" i="10"/>
  <c r="D21" i="10"/>
  <c r="I117" i="10"/>
  <c r="AH117" i="10" s="1"/>
  <c r="I71" i="10"/>
  <c r="AH71" i="10" s="1"/>
  <c r="E29" i="8"/>
  <c r="I109" i="9"/>
  <c r="AH109" i="9" s="1"/>
  <c r="I106" i="10"/>
  <c r="AH106" i="10" s="1"/>
  <c r="I108" i="10"/>
  <c r="AH108" i="10" s="1"/>
  <c r="I107" i="10"/>
  <c r="AH107" i="10" s="1"/>
  <c r="I118" i="9"/>
  <c r="AH118" i="9" s="1"/>
  <c r="C26" i="9"/>
  <c r="I101" i="8"/>
  <c r="AH101" i="8" s="1"/>
  <c r="I100" i="8"/>
  <c r="AH100" i="8" s="1"/>
  <c r="D26" i="8"/>
  <c r="E27" i="8" s="1"/>
  <c r="I122" i="8"/>
  <c r="AH122" i="8" s="1"/>
  <c r="I124" i="8"/>
  <c r="AH124" i="8" s="1"/>
  <c r="I86" i="10"/>
  <c r="AH86" i="10" s="1"/>
  <c r="I87" i="10"/>
  <c r="AH87" i="10" s="1"/>
  <c r="I71" i="11"/>
  <c r="AH71" i="11" s="1"/>
  <c r="I104" i="8"/>
  <c r="AH104" i="8" s="1"/>
  <c r="I125" i="8"/>
  <c r="AH125" i="8" s="1"/>
  <c r="I116" i="9"/>
  <c r="AH116" i="9" s="1"/>
  <c r="I85" i="10"/>
  <c r="AH85" i="10" s="1"/>
  <c r="D22" i="10"/>
  <c r="C22" i="10"/>
  <c r="I70" i="10"/>
  <c r="C23" i="9"/>
  <c r="D23" i="9"/>
  <c r="I77" i="9"/>
  <c r="I76" i="9"/>
  <c r="AH76" i="9" s="1"/>
  <c r="I72" i="9"/>
  <c r="AH72" i="9" s="1"/>
  <c r="I80" i="8"/>
  <c r="AH80" i="8" s="1"/>
  <c r="C22" i="11"/>
  <c r="D22" i="11"/>
  <c r="I95" i="8"/>
  <c r="AH95" i="8" s="1"/>
  <c r="I94" i="8"/>
  <c r="AH94" i="8" s="1"/>
  <c r="C26" i="10"/>
  <c r="I113" i="8"/>
  <c r="AH113" i="8" s="1"/>
  <c r="I85" i="8"/>
  <c r="AH85" i="8" s="1"/>
  <c r="I83" i="8"/>
  <c r="AH83" i="8" s="1"/>
  <c r="I79" i="8"/>
  <c r="AH79" i="8" s="1"/>
  <c r="D24" i="8"/>
  <c r="E25" i="8" s="1"/>
  <c r="C24" i="8"/>
  <c r="I81" i="8"/>
  <c r="AH81" i="8" s="1"/>
  <c r="I84" i="8"/>
  <c r="I106" i="9"/>
  <c r="AH106" i="9" s="1"/>
  <c r="I102" i="10"/>
  <c r="AH102" i="10" s="1"/>
  <c r="I123" i="10"/>
  <c r="AH123" i="10" s="1"/>
  <c r="I101" i="10"/>
  <c r="AH101" i="10" s="1"/>
  <c r="I100" i="10"/>
  <c r="AH100" i="10" s="1"/>
  <c r="I121" i="10"/>
  <c r="AH121" i="10" s="1"/>
  <c r="I122" i="10"/>
  <c r="AH122" i="10" s="1"/>
  <c r="I74" i="9"/>
  <c r="AH74" i="9" s="1"/>
  <c r="I73" i="9"/>
  <c r="AH73" i="9" s="1"/>
  <c r="I87" i="11"/>
  <c r="AH87" i="11" s="1"/>
  <c r="I117" i="9"/>
  <c r="AH117" i="9" s="1"/>
  <c r="I103" i="9"/>
  <c r="AH103" i="9" s="1"/>
  <c r="I88" i="10"/>
  <c r="AH88" i="10" s="1"/>
  <c r="I124" i="10"/>
  <c r="AH124" i="10" s="1"/>
  <c r="I96" i="9"/>
  <c r="AH96" i="9" s="1"/>
  <c r="I75" i="10"/>
  <c r="AH75" i="10" s="1"/>
  <c r="C26" i="8"/>
  <c r="I88" i="11"/>
  <c r="I73" i="8"/>
  <c r="AH73" i="8" s="1"/>
  <c r="C21" i="8"/>
  <c r="D21" i="8"/>
  <c r="E22" i="8" s="1"/>
  <c r="I102" i="9"/>
  <c r="AH102" i="9" s="1"/>
  <c r="I99" i="8"/>
  <c r="AH99" i="8" s="1"/>
  <c r="I127" i="10"/>
  <c r="G12" i="8"/>
  <c r="F31" i="8"/>
  <c r="AH127" i="8"/>
  <c r="C20" i="11"/>
  <c r="D20" i="11"/>
  <c r="I115" i="10"/>
  <c r="AH115" i="10" s="1"/>
  <c r="D23" i="11"/>
  <c r="C23" i="11"/>
  <c r="I108" i="9"/>
  <c r="AH108" i="9" s="1"/>
  <c r="I107" i="9"/>
  <c r="AH107" i="9" s="1"/>
  <c r="I123" i="9"/>
  <c r="AH123" i="9" s="1"/>
  <c r="F28" i="8"/>
  <c r="AH112" i="8"/>
  <c r="I89" i="8"/>
  <c r="AH89" i="8" s="1"/>
  <c r="I99" i="10"/>
  <c r="AH99" i="10" s="1"/>
  <c r="I115" i="9"/>
  <c r="AH115" i="9" s="1"/>
  <c r="I113" i="9"/>
  <c r="AH113" i="9" s="1"/>
  <c r="I89" i="9"/>
  <c r="AH89" i="9" s="1"/>
  <c r="I109" i="8"/>
  <c r="AH109" i="8" s="1"/>
  <c r="I87" i="9"/>
  <c r="AH87" i="9" s="1"/>
  <c r="I86" i="9"/>
  <c r="AH86" i="9" s="1"/>
  <c r="I91" i="8"/>
  <c r="D29" i="8"/>
  <c r="E30" i="8" s="1"/>
  <c r="C29" i="8"/>
  <c r="I119" i="8"/>
  <c r="I72" i="8"/>
  <c r="AH72" i="8" s="1"/>
  <c r="I120" i="10"/>
  <c r="AH120" i="10" s="1"/>
  <c r="I98" i="8"/>
  <c r="I97" i="9"/>
  <c r="AH97" i="9" s="1"/>
  <c r="I110" i="8"/>
  <c r="AH110" i="8" s="1"/>
  <c r="I71" i="8"/>
  <c r="AH71" i="8" s="1"/>
  <c r="I110" i="9"/>
  <c r="AH110" i="9" s="1"/>
  <c r="I84" i="11" l="1"/>
  <c r="AH112" i="10"/>
  <c r="I79" i="11"/>
  <c r="AH79" i="11" s="1"/>
  <c r="I80" i="11"/>
  <c r="AH80" i="11" s="1"/>
  <c r="I72" i="11"/>
  <c r="AH72" i="11" s="1"/>
  <c r="I73" i="11"/>
  <c r="AH73" i="11" s="1"/>
  <c r="F26" i="10"/>
  <c r="I77" i="11"/>
  <c r="E24" i="10"/>
  <c r="I76" i="11"/>
  <c r="AH76" i="11" s="1"/>
  <c r="I82" i="11"/>
  <c r="AH82" i="11" s="1"/>
  <c r="D21" i="11"/>
  <c r="E22" i="11" s="1"/>
  <c r="I85" i="11"/>
  <c r="AH85" i="11" s="1"/>
  <c r="E24" i="11"/>
  <c r="C21" i="11"/>
  <c r="I83" i="11"/>
  <c r="AH83" i="11" s="1"/>
  <c r="I70" i="11"/>
  <c r="AH70" i="11" s="1"/>
  <c r="I78" i="11"/>
  <c r="AH78" i="11" s="1"/>
  <c r="I81" i="11"/>
  <c r="AH81" i="11" s="1"/>
  <c r="E22" i="9"/>
  <c r="F30" i="10"/>
  <c r="E23" i="10"/>
  <c r="E25" i="9"/>
  <c r="E29" i="10"/>
  <c r="AH84" i="10"/>
  <c r="E24" i="8"/>
  <c r="E21" i="10"/>
  <c r="E26" i="10"/>
  <c r="E25" i="10"/>
  <c r="E27" i="10"/>
  <c r="E20" i="8"/>
  <c r="E20" i="11"/>
  <c r="E23" i="8"/>
  <c r="F27" i="8"/>
  <c r="AH105" i="8"/>
  <c r="F31" i="9"/>
  <c r="G12" i="9"/>
  <c r="AH127" i="9"/>
  <c r="F25" i="9"/>
  <c r="AH91" i="9"/>
  <c r="G12" i="11"/>
  <c r="F25" i="11"/>
  <c r="AH88" i="11"/>
  <c r="F30" i="8"/>
  <c r="AH126" i="8"/>
  <c r="F24" i="9"/>
  <c r="AH84" i="9"/>
  <c r="F22" i="11"/>
  <c r="E20" i="9"/>
  <c r="E20" i="10"/>
  <c r="F23" i="11"/>
  <c r="AH77" i="11"/>
  <c r="F22" i="10"/>
  <c r="AH70" i="10"/>
  <c r="A14" i="10"/>
  <c r="G13" i="10"/>
  <c r="F26" i="8"/>
  <c r="AH98" i="8"/>
  <c r="F22" i="8"/>
  <c r="AH70" i="8"/>
  <c r="A14" i="8"/>
  <c r="G13" i="8"/>
  <c r="F29" i="8"/>
  <c r="AH119" i="8"/>
  <c r="E23" i="11"/>
  <c r="F23" i="8"/>
  <c r="AH77" i="8"/>
  <c r="F25" i="10"/>
  <c r="AH91" i="10"/>
  <c r="E29" i="9"/>
  <c r="F24" i="8"/>
  <c r="AH84" i="8"/>
  <c r="E26" i="8"/>
  <c r="F26" i="9"/>
  <c r="AH98" i="9"/>
  <c r="E27" i="9"/>
  <c r="F23" i="10"/>
  <c r="AH77" i="10"/>
  <c r="F25" i="8"/>
  <c r="AH91" i="8"/>
  <c r="F31" i="10"/>
  <c r="G12" i="10"/>
  <c r="AH127" i="10"/>
  <c r="E22" i="10"/>
  <c r="F29" i="9"/>
  <c r="AH119" i="9"/>
  <c r="F29" i="10"/>
  <c r="AH119" i="10"/>
  <c r="F24" i="11"/>
  <c r="AH84" i="11"/>
  <c r="F23" i="9"/>
  <c r="AH77" i="9"/>
  <c r="F22" i="9"/>
  <c r="AH70" i="9"/>
  <c r="G13" i="9"/>
  <c r="A14" i="9"/>
  <c r="F27" i="10"/>
  <c r="AH105" i="10"/>
  <c r="F27" i="9"/>
  <c r="AH105" i="9"/>
  <c r="E21" i="8"/>
  <c r="E24" i="9"/>
  <c r="E23" i="9"/>
  <c r="G13" i="11" l="1"/>
  <c r="E21" i="11"/>
</calcChain>
</file>

<file path=xl/sharedStrings.xml><?xml version="1.0" encoding="utf-8"?>
<sst xmlns="http://schemas.openxmlformats.org/spreadsheetml/2006/main" count="801" uniqueCount="348">
  <si>
    <t>K-State Baseball — Throwing Workload Model</t>
  </si>
  <si>
    <t>Turn distance, throw count, and velocity into one workload number — then use it to plan the next day/week.</t>
  </si>
  <si>
    <t>1. What this workbook does</t>
  </si>
  <si>
    <t>Every throwing set a player does (a round of long toss, a bullpen, flat ground work) gets logged in the Throw Log tab with three inputs: distance, number of throws, and velocity. The model converts distance and velocity into two multipliers — a Distance Factor and an Intensity Factor — and multiplies them by the throw count to get a Set Workload number. Add up a player's daily workload, then track it against his own rolling history (7-day "acute" load vs. 28-day "chronic" load) on the Dashboard tab. The ratio of those two numbers — the Acute:Chronic Workload Ratio, or ACWR — tells you whether today's plan is a safe progression, should hold steady, or needs to back off. The Next Outing Planner tab turns that zone into a day-by-day throwing plan for the week ahead.</t>
  </si>
  <si>
    <t>2. The workload formula</t>
  </si>
  <si>
    <t>Set Workload  =  Number of Throws  ×  Distance Factor  ×  Intensity Factor</t>
  </si>
  <si>
    <t>Distance Factor and Intensity Factor are multiplied as two SEPARATE numbers, not folded into one, because distance is not just a stand-in for velocity — they load the arm somewhat independently. Fleisig's own biomechanics lab compared mound pitching to long toss at several distances and found max-distance throws produced the HIGHEST elbow and shoulder torque of any condition tested — without any increase in ball velocity versus pitching (Fleisig, Bolt, Fortenbaugh, Wilk &amp; Andrews, J Orthop Sports Phys Ther, 2011). Two throws released at the same measured mph are not equally stressful if one of them travels farther: covering extra distance without extra velocity means changing mechanics (more shoulder layback/external rotation, more trunk tilt, a higher looping arc), and it's that changed mechanics — not the number on a radar gun — that loads the joint. The study's authors called max-distance throws “the least efficient” (most torque for the least velocity gained) and recommended capping long toss around 180 ft thrown on a line for that reason. It's also why the interval-throwing-program researchers who built the ACWR model below (Reinold, Dowling, Fleisig, Macrina, Wilk, Streepy &amp; Andrews, Int J Sports Phys Ther, 2024) modeled elbow torque on distance ALONE, not velocity — they found velocity doesn't correlate reliably with torque and varies too much pitcher to pitcher to be a consistent stress proxy, while distance does. (One smaller study found kinetics rising with distance but never exceeding pitching — so treat “does long toss ever exceed mound stress” as a genuinely open question, not settled science.)</t>
  </si>
  <si>
    <t>Intensity Factor scales with how many mph OFF the player's own Avg Top Velo (from the Roster tab) he threw — not a percentage of his single fastest pitch ever recorded. A one-time peak reading is noisy (adrenaline, a favorable radar angle, pure chance); the average of several of his hardest, most competitive readings is a more reliable “100% intent” line, and effort doesn't fall off in a straight percentage as velo drops — the last few mph near the top cost disproportionately more effort than the same few mph do lower down. A fixed mph-below-average gap tracks felt effort much better than a max-velo ratio does. One exception: for Bullpen and Game rows, Distance Factor is replaced by a flat Mound Factor, because the pitching distance never changes (60'6") and a mound delivery loads the arm well beyond what a flat-ground throw at that same short distance would — see the callout on the Reference tab. The exact band values throughout are a coaching model, not a lab-measured constant, and you should feel free to tune them for your staff's eye once you have a season of data to compare against.</t>
  </si>
  <si>
    <t>3. Acute:Chronic Workload Ratio (ACWR)</t>
  </si>
  <si>
    <t>ACWR = (average daily workload over the trailing 7 days) ÷ (average daily workload over the trailing 28 days). It is the same framework Tim Gabbett popularized for injury-workload research (Br J Sports Med, 2016) and that the ASMI group (Reinold, Dowling, Fleisig, et al.) applied directly to pitchers' interval throwing programs, using 0.7–1.3 as the target range and flagging spikes above ~1.5 as high-risk in their workload-based throwing program study (IJSPT, 2024). This workbook uses: below 0.8 = room to progress, 0.8–1.3 = sweet spot, 1.3–1.5 = caution, above 1.5 = high risk. A quick honesty note: ACWR has real critics in the sports-science literature (Windt &amp; Gabbett, 2019) — because the acute week is part of the chronic average, the ratio is mathematically coupled to itself, which can distort it at the extremes. Treat the ACWR zone as one signal among several — combine it with what the player is telling you about arm feel, not as a stand-alone verdict.</t>
  </si>
  <si>
    <t>4. How to use this day to day</t>
  </si>
  <si>
    <t>1) Add every player to the Roster tab with his Avg Top Velo (average of several of his hardest readings, not a single one-time peak — keep the peak too, it's just for reference).   2) After each throwing session, log it as ONE row in Throw Log — the main columns are his working-out segment (whatever distance he built out to, with its own throw count and velo). If he closes the session by working back in at 60' (very common), don't start a second row for it — use the dedicated 60' Throws / 60' Velo columns further right on that SAME row; they're added into that row's Set Workload automatically at the 60' Distance Factor. Game days work the same way but for pregame bullpen warm-up instead: the box-score pitch count leaves out pregame bullpen warm-up and every between-innings/entering warm-up pitch, so use the main columns for live pitches + in-game warm-up pitches, and the dedicated Warmup/Bullpen columns on that same row for whatever he threw getting loose in the pen beforehand. See the callouts on the Reference tab for worked examples of both patterns.   3) Open Dashboard, pick the player, and read his Zone and Guidance for today.   4) Open Next Outing Planner, pick the same player, tell it what he's building toward (a live Game or his next High Bullpen day) and that date — This Week's Plan below fills in automatically for every day between now and then, before a single throw is made, so you can adjust before, not after.   5) Re-check both tabs after each session — the Dashboard zone moves as new data comes in, and Next Outing Planner's plan for the days still ahead nudges itself up or down to match. Once he throws his outing/bullpen day, just update the date to his next one and the whole week regenerates.</t>
  </si>
  <si>
    <t>5. Day Type Templates &amp; Next Outing Planner</t>
  </si>
  <si>
    <t>The Day Type Templates tab gives you 2 worked examples for each of 5 throwing-day categories — Low, Medium, High Non-Bullpen, High Bullpen, and Game — each broken into segments (distance, throw-count range, mph range) built from the same Distance/Mound Factor and Intensity Factor tables as everywhere else. Every Low/Medium/High Non-Bullpen day finishes at 60 ft working all his pitches; High Bullpen and Game days skip that finish since the mound work already covers it. Pick a Demo Player at the top to see mph ranges for a specific arm — the workload numbers themselves don't change, since they're driven by mph-deficit bands, not any one player's absolute velo.   The Next Outing Planner tab is where the whole model comes together into one weekly plan. Pick a player, what he's building toward (a live Game outing OR his next High Bullpen day — not every guy has a game on the schedule), and that date. Current Status pulls his own trailing 7-day/28-day ACWR and Zone straight from the same math as Dashboard. This Week's Plan then lays out every day between tomorrow and the day before that target, starting from the Periodization Rule table (Reference tab — a default day type by days-until-outing, e.g. bullpen ~3 days out, light the day before) and nudging each day up or down one tier using the MORE CONSERVATIVE of two signals: whether the PRIOR day's actual logged workload (Throw Log) came in more than 20% heavier or lighter than planned, and whether the trailing week's ACWR Zone is already running hot or cold. It never escalates the day immediately before the target, and an upgrade out of Medium defaults to High Non-Bullpen rather than a bullpen day, since going to the mound should be a deliberate schedule choice. There is no separate weekly-planner tab to keep in sync — log each real session in Throw Log as it happens and re-open this tab, and the plan for the days still ahead adjusts itself. Once he throws his outing/bullpen day, just update the date to his next one and the whole week regenerates for the new window. Beyond 5 days out, the plan repeats a 3-day build/compete/recover cycle from the Reference tab instead of flatlining at Low, so a long gap before the next High-Intent Day still has a training rhythm. And if you don't like a day's suggestion, pick a Day Type in that row's Manual Override column — everything after it re-plans around your choice exactly the way it would around a real logged session.</t>
  </si>
  <si>
    <t>6. Sources &amp; limits</t>
  </si>
  <si>
    <t>• Gabbett, T. "The training-injury prevention paradox." Br J Sports Med, 2016 — ACWR sweet spot (0.8–1.3) / danger zone (&gt;1.5).
• Reinold, M., Dowling, B., Fleisig, G., Macrina, L., Wilk, K., Streepy, J., Andrews, J. "An Interval Throwing Program for Baseball Pitchers Based upon Workload Data." Int J Sports Phys Ther, 2024 — 238,611 throws (111,196 long-toss) from 34 NCAA D-I pitchers; modeled elbow torque on DISTANCE, not velocity, because velocity didn't correlate reliably with torque pitcher to pitcher; direct precedent for applying 7-day/28-day ACWR to throwing distance/volume data.
• Fleisig, G., Bolt, B., Fortenbaugh, D., Wilk, K., Andrews, J. "Biomechanical Comparison of Baseball Pitching and Long-Toss: Implications for Training and Rehabilitation." J Orthop Sports Phys Ther, 2011 — found max-distance long toss produces the highest elbow/shoulder torque of any condition tested, WITHOUT higher ball velocity than pitching; the basis for treating Distance Factor and Intensity Factor as separate, independent multipliers rather than one folded into the other.
• Driveline Baseball, "Everything Long Toss and Long-Toss Programs" / "Pulldowns" — typical long-toss distance bands and pulldown intensity, used to set this workbook's Distance Factor anchor points.
• MLB / USA Baseball Pitch Smart guidelines (mlb.com/pitch-smart) — precedent for tying required rest to recent throwing volume.
• Windt, J. &amp; Gabbett, T. "How do training and competition workloads relate to injury? The workload-injury aetiology model," and follow-up critiques — mathematical-coupling limitation of ACWR noted above.
• NCAA Baseball Rules — Appendix F, Pitch/Between-Innings Clock Protocol (2025-26 rules cycle) — 5 warm-up pitches between innings for a continuing pitcher, 8 for a pitcher entering the game; basis for the Game-day throw-count guidance on the Reference tab.
This model is a coaching decision-support tool built from these public frameworks, not a validated medical instrument. It does not replace your athletic trainer, your pitching coach's eye, or what a player tells you about his arm.</t>
  </si>
  <si>
    <t>Reference Tables — Workload Model Constants</t>
  </si>
  <si>
    <t>These drive every formula in Throw Log and Dashboard. Edit values here (not in formulas) to re-tune the model.</t>
  </si>
  <si>
    <t>Distance Factor Table — smooth: in-between distances fall on a straight line between these points</t>
  </si>
  <si>
    <t>Distance (ft)</t>
  </si>
  <si>
    <t>Distance Factor</t>
  </si>
  <si>
    <t>Description</t>
  </si>
  <si>
    <t>Warm-up / catch play — 60 ft and shorter all score 1.0</t>
  </si>
  <si>
    <t>Building distance (75 ft = 1.15, halfway between 60 and 90)</t>
  </si>
  <si>
    <t>Extension / stretch (105 ft = 1.5)</t>
  </si>
  <si>
    <t>Long toss (135 ft = 1.95)</t>
  </si>
  <si>
    <t>Max long toss (165 ft = 2.5)</t>
  </si>
  <si>
    <t>Pulldowns / max distance — 210 ft and beyond all score 3.5</t>
  </si>
  <si>
    <t>Intensity Factor Table (based on mph BELOW player's Avg Top Velo — not % of a single peak pitch)</t>
  </si>
  <si>
    <t>Effort doesn't fall off in a straight line as velo drops — near your top end, a couple mph off costs a lot more effort than the same couple mph do when you're playing catch. So this compares the throw's velo to the player's AVG top velo (Roster tab) as a flat mph gap, not a percentage of his single best-ever pitch. Uses the midpoint of the Velo Low–High range entered in Throw Log.</t>
  </si>
  <si>
    <t>Min Deficit (mph below Avg Top Velo)</t>
  </si>
  <si>
    <t>Intensity Factor</t>
  </si>
  <si>
    <t>Max effort — at or near Avg Top Velo (about 0–3 mph off)</t>
  </si>
  <si>
    <t>Compete / high intent (about 4–6 mph off)</t>
  </si>
  <si>
    <t>Building (about 7–9 mph off)</t>
  </si>
  <si>
    <t>Easy / recovery catch (10+ mph off)</t>
  </si>
  <si>
    <t>ACWR Zone Thresholds</t>
  </si>
  <si>
    <t>Min ACWR</t>
  </si>
  <si>
    <t>Zone</t>
  </si>
  <si>
    <t>Guidance</t>
  </si>
  <si>
    <t>Undertrained</t>
  </si>
  <si>
    <t>Below 0.8 — there is room to progress distance/intensity next session.</t>
  </si>
  <si>
    <t>Sweet Spot</t>
  </si>
  <si>
    <t>0.8–1.3 — ideal loading zone; maintain the planned progression.</t>
  </si>
  <si>
    <t>Caution</t>
  </si>
  <si>
    <t>1.3–1.5 — hold volume/intensity flat; add a recovery day this week.</t>
  </si>
  <si>
    <t>High Risk</t>
  </si>
  <si>
    <t>Above 1.5 — mandatory easy/rest day next session; cut weekly volume 20–30%.</t>
  </si>
  <si>
    <t>Session Types (Throw Log dropdown list)</t>
  </si>
  <si>
    <t>No Throw</t>
  </si>
  <si>
    <t>Long Toss</t>
  </si>
  <si>
    <t>Compression/Pulldowns</t>
  </si>
  <si>
    <t>Bullpen</t>
  </si>
  <si>
    <t>Moderate</t>
  </si>
  <si>
    <t>Game</t>
  </si>
  <si>
    <t>Recovery/Easy Catch</t>
  </si>
  <si>
    <t>Throw Rate by Session Type (throws/minute — used to estimate throw count from clock time)</t>
  </si>
  <si>
    <t>Timing a whole staff is far more practical than counting every throw. Log Start/End time in Throw Log and it estimates throw count as Duration × this rate. These are starting assumptions, not measured constants — clock a few reps of your own guys and tune them here. For a rehab player or anyone you CAN count exactly, just type the real number into Actual Throw Count in Throw Log and it overrides the time estimate automatically.</t>
  </si>
  <si>
    <t>Session Type</t>
  </si>
  <si>
    <t>Throw Rate (throws/min)</t>
  </si>
  <si>
    <t>Why</t>
  </si>
  <si>
    <t>Slower — ball travel + retrieval time grows with distance</t>
  </si>
  <si>
    <t>High effort throws need more recovery between reps</t>
  </si>
  <si>
    <t>Reset, mechanics cues, and coach feedback between pitches</t>
  </si>
  <si>
    <t>Moderate tempo, minimal reset time</t>
  </si>
  <si>
    <t>Use actual pitch count, not a time estimate</t>
  </si>
  <si>
    <t>Quick, low-effort tempo</t>
  </si>
  <si>
    <t>Callout: Logging a Long Toss Round (working back vs. working in)</t>
  </si>
  <si>
    <t>A long-toss exchange is really two different phases, and they should be two different rows — not one row with a total throw count. Working BACK means stretching out: distance is climbing, effort is relatively low (~50–70%), throws arc more. Working IN means compression: distance is shrinking, effort is high (~80–100%), throws are thrown flatter/harder. Same throw count, very different stress, so one distance/intensity per row keeps the workload number honest.
Worked example — a player stretches out to 150 ft and works back in to 90 ft:
Row 1: Session Type “Long Toss,” Distance = 150 ft (the farthest point reached), Velo ≈ his easy long-toss velo, time the whole working-back phase (e.g. 9:00–9:10).
Row 2: Session Type “Compression/Pulldowns,” Distance = 90 ft (the working-in distance), Velo ≈ his harder working-in velo, time just that phase (e.g. 9:10–9:16).
If he pauses at a few distinct stops on the way out (say 90, then 120, then 150) and you can time each stop separately, splitting into more rows is more accurate — but two rows (back / in) is the practical minimum and is what the throw-rate table above is built around.</t>
  </si>
  <si>
    <t>Mound Factor (Bullpen &amp; Game — used INSTEAD of Distance Factor)</t>
  </si>
  <si>
    <t>Distance doesn't belong in the formula for mound work. The pitching distance is fixed (60'6"), so a distance lookup would score a bullpen the same as easy 60 ft catch play — which is backwards: a mound delivery (full leg drive, hip-shoulder separation, breaking-ball spin) loads the arm well above a flat-ground throw at that same short distance. That's exactly why Fleisig/ASMI built their distance-workload model from flat-ground throws only, and why pitch counts (Pitch Smart) have always been tracked separately from throwing-distance programs — mound work is its own category of stress, not a point on the distance curve. So for Session Type “Bullpen” or “Game,” the model ignores the Distance (ft) column entirely and uses a flat Mound Factor instead — leave Distance blank on those rows (or note 60.5 for your own records, it won't be used). Warming up before the pen is real long-toss stress and should still be its own “Long Toss” row using the distance table, same as any other long-toss set — only the mound reps themselves switch to the Mound Factor.</t>
  </si>
  <si>
    <t>Mound Factor</t>
  </si>
  <si>
    <t>Full mound mechanics + pitch mix (including breaking balls) load the arm well above a flat-ground throw, even at moderate velo</t>
  </si>
  <si>
    <t>Same mound mechanics plus in-game adrenaline/competition and less controlled pacing than a bullpen</t>
  </si>
  <si>
    <t>Callout: Logging a Game Outing (the official pitch count undercounts the real mound stress)</t>
  </si>
  <si>
    <t>The scoreboard/box-score pitch count only tallies pitches thrown to a batter — it leaves out every warm-up throw around it, and those are real mound-intensity throws too. Under current NCAA rules, a pitcher gets 5 warm-up pitches between innings if he's staying in, and 8 warm-up pitches when he enters the game (start of an inning or mid-inning) — on top of whatever he threw getting loose in the bullpen before he was ever called for. A game day still gets ONE row in Throw Log — use the Warmup/Bullpen columns (R–T) on that same row instead of a second row:
Main columns (H–L), Session Type “Game”: Actual Throw Count = his official pitches PLUS his warm-up pitches for the outing itself (8 if he entered fresh, +5 for every additional inning he continued) — this segment is scored at the Game Mound Factor.
Warmup/Bullpen columns (R–T), same row: Throws = however many he threw getting loose in the pen before entering (a bullpen catcher always has this exact number) with its own velo range — this segment is always scored at the Bullpen Mound Factor, whatever the row's Session Type is. Set Workload (column Q) adds both segments together automatically.
Worked example — an 18-pitch relief outing (entered fresh, one inning, no carryover): one “Game” row with H=26 (8 entering warm-up + 18 live, at the 3.2 Game Mound Factor) and R=18 (pen warm-up before he was called on, at the 3.0 Bullpen Mound Factor). At similar intensity, that one row runs well above a 25-pitch stand-alone bullpen. Logged as just “18 pitches” with nothing in R, it doesn't — not because the model is wrong, but because 18 was never the whole story.</t>
  </si>
  <si>
    <t>Periodization Rule — Default Day Type by Days Until Next High-Intent Day</t>
  </si>
  <si>
    <t>A starting-point schedule for the Next Outing Planner tab: given how many days away a player's next High-Intent Day is — a live Game outing, OR his next High Bullpen day for a guy without a game on the schedule — this is the default Day Type it plans for, before any adjustment for what he actually did the day before or how his trailing week's ACWR is running. This is a coaching judgment call, not a measured constant — tune the Default Day Type column for your own program's rhythm (e.g. a reliever who can pitch on back-to-back days needs a very different rule than a weekend starter).</t>
  </si>
  <si>
    <t>Days Until Outing</t>
  </si>
  <si>
    <t>Default Day Type</t>
  </si>
  <si>
    <t>The High-Intent Day itself — fixed by the schedule (Game or High Bullpen), not a training choice.</t>
  </si>
  <si>
    <t>Low</t>
  </si>
  <si>
    <t>Day before he pitches: stay loose and protect freshness — never build here.</t>
  </si>
  <si>
    <t>Medium</t>
  </si>
  <si>
    <t>Two days out: moderate catch play while yesterday's work clears.</t>
  </si>
  <si>
    <t>High Bullpen</t>
  </si>
  <si>
    <t>Classic starter bullpen day — enough runway to recover before the next outing.</t>
  </si>
  <si>
    <t>Build day — moderate long toss/pulldowns, not yet max effort.</t>
  </si>
  <si>
    <t>Start of taper week: 5 days out, base/recovery work before the build back up.</t>
  </si>
  <si>
    <t>Far-Out Build Cycle (repeats when more than 5 days from the next High-Intent Day)</t>
  </si>
  <si>
    <t>The taper table above only covers the last 5 days before your High-Intent Day. Beyond that, instead of flatlining at "Low" for the whole gap (which left long stretches with no training stimulus), Next Outing Planner cycles through this 3-day rhythm — build, compete, recover — repeating until the taper window starts. No day type repeats two days in a row. Tune this table the same way as the taper table above.</t>
  </si>
  <si>
    <t>Cycle Position (days-6) MOD 3</t>
  </si>
  <si>
    <t>Day Type</t>
  </si>
  <si>
    <t>Build day in the repeating base cycle.</t>
  </si>
  <si>
    <t>High Non-Bullpen</t>
  </si>
  <si>
    <t>Compete/high-intent day in the repeating base cycle.</t>
  </si>
  <si>
    <t>Recovery day in the repeating base cycle — spaced so it never lands two days running.</t>
  </si>
  <si>
    <t>Build-Up Engine Settings (used by every Build-Up tab)</t>
  </si>
  <si>
    <t>Every Build-Up tab builds its plan from these numbers. The weekly workload starts at the Start Weekly Load for the pitcher's Starting Point and grows each week (never faster than Max Weekly Growth) until it reaches Peak Weekly Load right before the taper week; every Nth week is a lighter deload week. Each day's target is that week's load times its Load Share below, and throw counts are solved from the target using the same Distance and Intensity Factors as Throw Log — so a longer max distance means fewer throws, not more workload. Change these to re-tune every plan at once.</t>
  </si>
  <si>
    <t>Starting Point</t>
  </si>
  <si>
    <t>Start Weekly Load</t>
  </si>
  <si>
    <t>Starting Progress (0–1)</t>
  </si>
  <si>
    <t>Recommended Minimum Window (days)</t>
  </si>
  <si>
    <t>Auto (from Throw Log)</t>
  </si>
  <si>
    <t>reads his Throw Log</t>
  </si>
  <si>
    <t>set from his load</t>
  </si>
  <si>
    <t>42 if still active / 84 if restarting</t>
  </si>
  <si>
    <t>From scratch</t>
  </si>
  <si>
    <t>Already throwing (60–90 ft)</t>
  </si>
  <si>
    <t>Already long tossing (120 ft+)</t>
  </si>
  <si>
    <t>Peak weekly load (week before taper)</t>
  </si>
  <si>
    <t>Max weekly growth (1.15 = +15%)</t>
  </si>
  <si>
    <t>Deload every N weeks</t>
  </si>
  <si>
    <t>Deload week load (share of trend)</t>
  </si>
  <si>
    <t>Min main-segment throws</t>
  </si>
  <si>
    <t>Max throws — compression / pulldowns</t>
  </si>
  <si>
    <t>Max throws — recovery catch</t>
  </si>
  <si>
    <t>6th throwing day starts at progress</t>
  </si>
  <si>
    <t>Max days off and still count his Throw Log history</t>
  </si>
  <si>
    <t>Max throws — long toss (total, all steps)</t>
  </si>
  <si>
    <t>Day of Plan Week</t>
  </si>
  <si>
    <t>Load Share</t>
  </si>
  <si>
    <t>Default Session</t>
  </si>
  <si>
    <t>Recovery catch</t>
  </si>
  <si>
    <t>Big long-toss day</t>
  </si>
  <si>
    <t>Off</t>
  </si>
  <si>
    <t>Build day (long toss → compression + flat ground later)</t>
  </si>
  <si>
    <t>Long toss (+ flat ground later)</t>
  </si>
  <si>
    <t>Off early; light catch once progress passes the 6th-day threshold</t>
  </si>
  <si>
    <t>Back-to-Back Mound Days (used by Throw Log Set Workload)</t>
  </si>
  <si>
    <t>A Bullpen or Game day that comes right after another outing is thrown on an arm that hasn't recovered, so its whole Set Workload is multiplied. Only Bullpen/Game rows trigger it or get it; pen warm-up on a game day is part of that day. If both apply, the larger one wins. These are coaching judgment calls, not measured constants — tune them here.</t>
  </si>
  <si>
    <t>Situation</t>
  </si>
  <si>
    <t>Multiplier</t>
  </si>
  <si>
    <t>Outing the day after another outing (back-to-back)</t>
  </si>
  <si>
    <t>Outing with one day between it and the last outing</t>
  </si>
  <si>
    <t>Roster — Velocity Reference</t>
  </si>
  <si>
    <t>Blue cells = edit these. Add every player who throws. Avg Top Velo (not Peak Velo) drives the Intensity Factor in Throw Log — it's the average of several of his hardest, most competitive readings (a max-effort bullpen, his best few readings across recent outings), not the single fastest pitch he's ever thrown. A one-time peak is noisy; an average of his real top gear is a more reliable “100% intent” line. Peak Velo is kept for reference only and isn't used in any calculation.</t>
  </si>
  <si>
    <t>Player Name</t>
  </si>
  <si>
    <t>Position/Role</t>
  </si>
  <si>
    <t>Peak Velo (mph)
(reference only)</t>
  </si>
  <si>
    <t>Avg Top Velo (mph)
(used in calc)</t>
  </si>
  <si>
    <t>Notes</t>
  </si>
  <si>
    <t>Adam Arther</t>
  </si>
  <si>
    <t>LHP</t>
  </si>
  <si>
    <t>Lewis</t>
  </si>
  <si>
    <t>Build-Up Plan: catch play Oct 12, first pen Jan 4</t>
  </si>
  <si>
    <t>Doty</t>
  </si>
  <si>
    <t>Dean</t>
  </si>
  <si>
    <t>Throw Log</t>
  </si>
  <si>
    <t>One row per throwing SET for most sessions (e.g. a long-toss step, a round of pulldowns). For the whole staff, log Start/End Time — throw count is estimated from that segment's pace (Reference tab); for a rehab guy or a bullpen (easy to count exactly), put the real number in Actual Throw Count and it overrides the time estimate. Enter Velo as a range (Velo Low–High, e.g. 70–74) — the midpoint is used for the calc. For Session Type “Bullpen” or “Game,” leave Distance blank — mound work uses a flat Mound Factor instead (Reference tab). GAME DAYS get ONE row, not two: fill columns H–L for the live outing (pitches + entering/between-innings warm-up, per the Reference callout) and use the Warmup/Bullpen columns (R–T) on that SAME row for whatever he threw getting loose in the pen beforehand — it's added into that row's Set Workload automatically at the Bullpen Mound Factor. Any day that closes by working back in at 60' gets the same treatment: use the 60' Throws / 60' Velo columns (X–Z) on that same row instead of a second row. BACK-TO-BACK: a Bullpen/Game row the day after another outing has its whole Set Workload multiplied (×1.5 by default); with one day in between, ×1.25 — Set Workload turns red/yellow when that happens, and columns AF–AG show the multiplier and the before-multiplier number (tune both on the Reference tab) — they're added in at the flat 60' Distance Factor. LONG TOSS: log it as ONE row — Distance = the farthest he got, Actual Throw Count = total throws for the whole step-out. It's scored as the standard step-out (90, 120, 150… every 30 ft up to that distance, more throws at the short steps), the same way the Build-Up tabs and Day Type Templates plan it. Blue cells = your input; everything else calculates automatically.</t>
  </si>
  <si>
    <t>Date</t>
  </si>
  <si>
    <t>Player</t>
  </si>
  <si>
    <t>Distance (ft)
(n/a for Bullpen/Game)</t>
  </si>
  <si>
    <t>Start Time</t>
  </si>
  <si>
    <t>End Time</t>
  </si>
  <si>
    <t>Duration (min)</t>
  </si>
  <si>
    <t>Actual Throw Count
(optional override)</t>
  </si>
  <si>
    <t>Throws Used in Calc</t>
  </si>
  <si>
    <t>Velo Low (mph)</t>
  </si>
  <si>
    <t>Velo High (mph)</t>
  </si>
  <si>
    <t>Velo Mid (mph)</t>
  </si>
  <si>
    <t>Player Avg Top Velo</t>
  </si>
  <si>
    <t>Velo Deficit (mph below avg)</t>
  </si>
  <si>
    <t>Distance/Mound Factor</t>
  </si>
  <si>
    <t>Set Workload
(main + warmup + 60',
× back-to-back)</t>
  </si>
  <si>
    <t>Warmup/Bullpen Throws
(same day, optional)</t>
  </si>
  <si>
    <t>Warmup Velo Low</t>
  </si>
  <si>
    <t>Warmup Velo High</t>
  </si>
  <si>
    <t>Warmup Velo Mid</t>
  </si>
  <si>
    <t>Warmup Deficit</t>
  </si>
  <si>
    <t>Warmup Intensity Factor</t>
  </si>
  <si>
    <t>60' Throws
(working back in, optional)</t>
  </si>
  <si>
    <t>60' Velo Low</t>
  </si>
  <si>
    <t>60' Velo High</t>
  </si>
  <si>
    <t>60' Velo Mid</t>
  </si>
  <si>
    <t>60' Deficit</t>
  </si>
  <si>
    <t>60' Intensity Factor</t>
  </si>
  <si>
    <t>Notes (arm feel, RPE, etc.)</t>
  </si>
  <si>
    <t>Long-Toss Steps (auto)</t>
  </si>
  <si>
    <t>Back-to-Back
Multiplier</t>
  </si>
  <si>
    <t>Workload Before
Multiplier</t>
  </si>
  <si>
    <t>Timed the whole group together</t>
  </si>
  <si>
    <t>WORKING BACK — stretching out to 150 ft, easy effort, estimated from time</t>
  </si>
  <si>
    <t>WORKING IN — compression at 90 ft; radar-gunned so exact count overrides the time estimate</t>
  </si>
  <si>
    <t>Rehab example: exact count, no time logged</t>
  </si>
  <si>
    <t>25 pitches off the mound — Distance left blank; Mound Factor is used automatically</t>
  </si>
  <si>
    <t>GAME DAY — ONE row: 18 live pitches + 8 entering warm-up = 26 in cols H-K, PLUS 18 pen warm-up throws before he was called on in cols R-T. Set Workload (col Q) folds both in automatically.</t>
  </si>
  <si>
    <t>Dashboard — Player Workload Status</t>
  </si>
  <si>
    <t>Pick a player and a date. Everything below recalculates from the Throw Log automatically.</t>
  </si>
  <si>
    <t>Select Player:</t>
  </si>
  <si>
    <t>As Of Date:</t>
  </si>
  <si>
    <t>Workload Status</t>
  </si>
  <si>
    <t>Today's Workload</t>
  </si>
  <si>
    <t>Acute Workload (7-day avg/day)</t>
  </si>
  <si>
    <t>Chronic Workload (28-day avg/day)</t>
  </si>
  <si>
    <t>ACWR (Acute ÷ Chronic)</t>
  </si>
  <si>
    <t>Spike Check: Today ÷ Chronic Daily Avg</t>
  </si>
  <si>
    <t>Spike Flag</t>
  </si>
  <si>
    <t>28-Day Trend (feeds the chart below)</t>
  </si>
  <si>
    <t>Daily Workload</t>
  </si>
  <si>
    <t>Acute (7d avg line)</t>
  </si>
  <si>
    <t>Chronic (28d avg line)</t>
  </si>
  <si>
    <t>Weekly Workload — last 12 weeks (7-day weeks ending on the As Of date; feeds the chart)</t>
  </si>
  <si>
    <t>Week Of</t>
  </si>
  <si>
    <t>Week Ending</t>
  </si>
  <si>
    <t>Weekly Workload</t>
  </si>
  <si>
    <t>Throwing Days</t>
  </si>
  <si>
    <t>Change vs Prior Week</t>
  </si>
  <si>
    <t>Day Type Templates</t>
  </si>
  <si>
    <t>Every throwing day falls into one of five categories: Low, Medium, High Non-Bullpen, High Bullpen, or Game. Below are 2 worked examples for each — distance, throw-count range, and mph range (below), built from the same Distance/Mound Factor and Intensity Factor tables used everywhere else in this workbook. Every Low/Medium/High Non-Bullpen day finishes by coming back to 60 ft to work all his pitches; High Bullpen and Game days don't need that finish — the mound work already covers his pitches.</t>
  </si>
  <si>
    <t>Demo Player:</t>
  </si>
  <si>
    <t>Avg Top Velo (mph):</t>
  </si>
  <si>
    <t>The mph ranges below are only a DISPLAY of this player's numbers — the workload math runs entirely on distance and mph-deficit, so it's identical for every player. Change the Demo Player to see anyone else's actual velo targets for the same template.</t>
  </si>
  <si>
    <t>Segment Detail — 2 worked examples per category</t>
  </si>
  <si>
    <t>Deficit = mph below Avg Top Velo (same bands as the Intensity Factor table on the Reference tab: 0-3=max effort, 4-6=compete, 7-9=building, 10+=easy/recovery). Distance is blank for Bullpen/Game segments — those use the flat Mound Factor instead, same as Throw Log. LONG TOSS segments past 90 ft are a step-out: Distance is the farthest step, Throws are the total for all steps, and the Long-Toss Steps column shows the split (every 30 ft from 90, more throws at the short steps). The Dist. Factor is the throw-weighted average of the steps — the same scoring Throw Log uses.</t>
  </si>
  <si>
    <t>Category</t>
  </si>
  <si>
    <t>Example #</t>
  </si>
  <si>
    <t>Segment #</t>
  </si>
  <si>
    <t>Segment Type</t>
  </si>
  <si>
    <t>Distance (ft)
(blank = mound)</t>
  </si>
  <si>
    <t>Throws Low</t>
  </si>
  <si>
    <t>Throws High</t>
  </si>
  <si>
    <t>Throws Mid</t>
  </si>
  <si>
    <t>Deficit Low</t>
  </si>
  <si>
    <t>Deficit High</t>
  </si>
  <si>
    <t>Deficit Mid</t>
  </si>
  <si>
    <t>Dist./Mound Factor</t>
  </si>
  <si>
    <t>Projected Segment Workload</t>
  </si>
  <si>
    <t>Long-Toss Steps
(ft × throws, at Throws Mid)</t>
  </si>
  <si>
    <t>Flat Ground</t>
  </si>
  <si>
    <t>Template Summary — Total Projected Workload &amp; Plan Description</t>
  </si>
  <si>
    <t>Total Projected Workload</t>
  </si>
  <si>
    <t>Segment Plan</t>
  </si>
  <si>
    <t>Day Type Quick Reference (used by Next Outing Planner)</t>
  </si>
  <si>
    <t>Avg Projected Workload is the average of the 2 examples above — and, because workload is driven by deficit bands (not absolute mph), it's the same number no matter which player is picked as Demo Player.</t>
  </si>
  <si>
    <t>Avg Projected Workload</t>
  </si>
  <si>
    <t>Representative Plan (Example 1)</t>
  </si>
  <si>
    <t>Next Outing Planner</t>
  </si>
  <si>
    <t>Pick a player, what he's building toward (a live Game outing or his next High Bullpen day), and that date. Below, This Week's Plan lays out every day between now and then — starting from the Periodization Rule on the Reference tab (a 3-day build/compete/recover cycle repeats for anything more than 5 days out, so a long gap doesn't flatline at Low), then nudging up or down one tier for three things: how his ACTUAL logged workload (Throw Log) compared to what was planned the day before, whether the PRIOR day ended up on a harder or easier tier than its own baseline (this is what makes a Manual Override cascade), and whether his trailing 7-day/28-day ACWR (right below) is already running hot or cold. Don't like a day's suggestion? Pick a Day Type in that row's Manual Override column — every day after it re-plans around your override immediately, even before it's actually been thrown. Log each real session in Throw Log as it happens and re-open this tab — the plan for the days still ahead keeps adjusting itself. Once he throws his outing/bullpen day, just update the date above to his NEXT one and this whole tab regenerates for the new week — nothing to clear by hand.</t>
  </si>
  <si>
    <t>Player:</t>
  </si>
  <si>
    <t>Next High-Intent Day Type:</t>
  </si>
  <si>
    <t>Low Bullpen</t>
  </si>
  <si>
    <t>Next High-Intent Day Date:</t>
  </si>
  <si>
    <t>Today's Date:</t>
  </si>
  <si>
    <t>Player's Avg Top Velo:</t>
  </si>
  <si>
    <t>Current Status — Last 7 / Last 28 Days (this player, as of Today's Date)</t>
  </si>
  <si>
    <t>Zone-Based Adjustment (used below)</t>
  </si>
  <si>
    <t>A hot or cautious trailing week caps how far This Week's Plan can escalate (-1 tier); an undertrained week only allows an EXTRA upgrade if yesterday's actual session also came in light — see the Combined Adjustment column below.</t>
  </si>
  <si>
    <t>Quick Glance</t>
  </si>
  <si>
    <t>Tomorrow's Date:</t>
  </si>
  <si>
    <t>Tomorrow's Recommended Day Type:</t>
  </si>
  <si>
    <t>Tomorrow's Suggested Plan:</t>
  </si>
  <si>
    <t>Outing/Bullpen Day Plan:</t>
  </si>
  <si>
    <t>If Game — Planned Pitches:</t>
  </si>
  <si>
    <t>Planned Innings:</t>
  </si>
  <si>
    <t>Velo and exact pitch count in a live game aren't something you can plan or predict game to game — enter what you're calling for here instead. Ignored for High Bullpen / Low Bullpen, where the auto-generated plan below still applies.</t>
  </si>
  <si>
    <t>This Week's Plan — Tomorrow Through the Day Before the Next High-Intent Day</t>
  </si>
  <si>
    <t>Baseline Day Type comes from the Periodization Rule table on the Reference tab (days until your next High-Intent Day, clamped at 5+, cycling through a build/compete/recover rhythm beyond that) — unless you've set a Manual Override on that day, in which case Baseline Day Type just shows your override instead. Pick "(none)" in that same dropdown to clear it and fall back to the algorithm's own pick. If the PRIOR day ended up on a harder or easier tier than ITS OWN untouched algorithmic baseline — a earlier cascaded adjustment — that Prior-Day Plan Shift decides today's Combined Adjustment on its own, in whichever direction it points, immediately, even before that prior day is actually thrown. With no such deviation, Combined Adjustment instead blends two signals: Prior-Day Adjustment (was the PRIOR day's actual logged workload &gt;20% heavier or lighter than what was planned for it) and the Zone-Based Adjustment above (is the trailing week already hot or cold) — either alone can trigger a downgrade, but an upgrade needs both to agree. The day immediately before your High-Intent Day can only be downgraded, never escalated. An upgrade out of Medium defaults to High Non-Bullpen (a bullpen day should be a deliberate schedule choice, not a reaction to one big session). This table — and Quick Glance above — recalculates automatically the moment you change Player, Next High-Intent Day Date/Type, Today's Date, or a Manual Override, and as new sessions are logged in Throw Log.</t>
  </si>
  <si>
    <t>Day</t>
  </si>
  <si>
    <t>Days Until
Outing</t>
  </si>
  <si>
    <t>Baseline
Day Type</t>
  </si>
  <si>
    <t>Baseline
Tier #</t>
  </si>
  <si>
    <t>Prior
Date</t>
  </si>
  <si>
    <t>Prior Days
Until Outing</t>
  </si>
  <si>
    <t>Prior Baseline
Day Type</t>
  </si>
  <si>
    <t>Prior Planned
Workload</t>
  </si>
  <si>
    <t>Prior Actual
Workload</t>
  </si>
  <si>
    <t>Actual/
Planned Ratio</t>
  </si>
  <si>
    <t>Prior-Day
Adjustment</t>
  </si>
  <si>
    <t>Prior-Day
Plan Shift</t>
  </si>
  <si>
    <t>Zone-Based
Adjustment</t>
  </si>
  <si>
    <t>Combined
Adjustment</t>
  </si>
  <si>
    <t>Clamped
Adjustment</t>
  </si>
  <si>
    <t>Final
Tier #</t>
  </si>
  <si>
    <t>Final
Day Type</t>
  </si>
  <si>
    <t>Suggested Plan (Example 1)</t>
  </si>
  <si>
    <t>Manual Override
(optional)</t>
  </si>
  <si>
    <t>Build-Up Plan</t>
  </si>
  <si>
    <t>Leave Starting Point on Auto and the tab reads his last 4 weeks in Throw Log (panel at right): if he's still throwing, the plan starts at his current workload and that history counts in his ACWR from day 1; if he's been off too long, it restarts him. Fill in the blue cells and the whole plan below writes itself: every day from his first catch to his first bullpen, scaled to fit the window, with throw counts solved from this workbook's own Distance × Intensity workload model so the ACWR stays in the 0.8–1.3 sweet spot. Need to skip a day (travel, a tweak, a holiday)? Pick x in Make Off — that day's share moves onto his other days that week (pick (none) to put the day back). Want a different distance or velo? Type it in the Distance / Velo Override columns (just right of Throws Override) — throws re-solve to hold the day's workload unless you also set Throws Override. Want a different count? Type it in Throws Override. The ACWR column and the warning box show the effect right away. For another pitcher, right-click this tab → Move or Copy → Create a copy, then change the Player.</t>
  </si>
  <si>
    <t>Window (days)</t>
  </si>
  <si>
    <t>His Last 4 Weeks (Throw Log)</t>
  </si>
  <si>
    <t>Avg FB Velo (from Roster)</t>
  </si>
  <si>
    <t>Build weeks</t>
  </si>
  <si>
    <t>Days since last throw</t>
  </si>
  <si>
    <t>Start Catch Play</t>
  </si>
  <si>
    <t>Start load / week</t>
  </si>
  <si>
    <t>Week −1 load</t>
  </si>
  <si>
    <t>First Bullpen</t>
  </si>
  <si>
    <t>Starting progress</t>
  </si>
  <si>
    <t>Week −2 load</t>
  </si>
  <si>
    <t>First Pen — Pitches</t>
  </si>
  <si>
    <t>Peak load / week</t>
  </si>
  <si>
    <t>Week −3 load</t>
  </si>
  <si>
    <t>First Pen — Velo (low / high mph)</t>
  </si>
  <si>
    <t>Weekly growth</t>
  </si>
  <si>
    <t>Week −4 load</t>
  </si>
  <si>
    <t>Taper scale</t>
  </si>
  <si>
    <t>ACWR going in</t>
  </si>
  <si>
    <t>Max Long-Toss Distance (ft)</t>
  </si>
  <si>
    <t>Logged load, 28 days before start</t>
  </si>
  <si>
    <t>Plan mode</t>
  </si>
  <si>
    <t>Volume Level</t>
  </si>
  <si>
    <t>First-pen-day ACWR</t>
  </si>
  <si>
    <t>History counts in ACWR</t>
  </si>
  <si>
    <t>Highest ACWR in plan</t>
  </si>
  <si>
    <t>Week</t>
  </si>
  <si>
    <t>Throw
Days</t>
  </si>
  <si>
    <t>ACWR at End of Week</t>
  </si>
  <si>
    <t>Days to
First Pen</t>
  </si>
  <si>
    <t>Phase</t>
  </si>
  <si>
    <t>Plan (distance × throws @ mph)</t>
  </si>
  <si>
    <t>Workload</t>
  </si>
  <si>
    <t>ACWR</t>
  </si>
  <si>
    <t>Make Off
(x)</t>
  </si>
  <si>
    <t>Throws
Override</t>
  </si>
  <si>
    <t>Day #</t>
  </si>
  <si>
    <t>Slot</t>
  </si>
  <si>
    <t>Progress</t>
  </si>
  <si>
    <t>Week Target</t>
  </si>
  <si>
    <t>Day Target</t>
  </si>
  <si>
    <t>Big Dist</t>
  </si>
  <si>
    <t>Med Dist</t>
  </si>
  <si>
    <t>Base Session</t>
  </si>
  <si>
    <t>Distance</t>
  </si>
  <si>
    <t>Def Lo</t>
  </si>
  <si>
    <t>Def Hi</t>
  </si>
  <si>
    <t>60' Throws</t>
  </si>
  <si>
    <t>60' Def Lo</t>
  </si>
  <si>
    <t>60' Def Hi</t>
  </si>
  <si>
    <t>Fixed Throws</t>
  </si>
  <si>
    <t>Main Throws</t>
  </si>
  <si>
    <t>Pen Pitches</t>
  </si>
  <si>
    <t>Is Off</t>
  </si>
  <si>
    <t>60' WL</t>
  </si>
  <si>
    <t>Main Factor</t>
  </si>
  <si>
    <t>Pen WL</t>
  </si>
  <si>
    <t>Chart ACWR</t>
  </si>
  <si>
    <t>Band Low</t>
  </si>
  <si>
    <t>Band High</t>
  </si>
  <si>
    <t>Active Share</t>
  </si>
  <si>
    <t>LT Steps</t>
  </si>
  <si>
    <t>Stepped Dist Factor</t>
  </si>
  <si>
    <t>Max-Dist Factor</t>
  </si>
  <si>
    <t>Distance
Override (ft)</t>
  </si>
  <si>
    <t>Velo Low
Override (mph)</t>
  </si>
  <si>
    <t>Velo High
Override (mph)</t>
  </si>
  <si>
    <t>x</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</si>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</sst>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
    <numFmt numFmtId="166" formatCode="m/d"/>
    <numFmt numFmtId="167" formatCode="\+0%;\-0%;0%"/>
    <numFmt numFmtId="168" formatCode="&quot;Yes&quot;;;&quot;No&quot;"/>
  </numFmts>
  <fonts count="12" x14ac:knownFonts="1">
    <font>
      <sz val="11"/>
      <color theme="1"/>
      <name val="Calibri"/>
      <family val="2"/>
      <charset val="1"/>
    </font>
    <font>
      <b/>
      <sz val="16"/>
      <color rgb="FF1F3864"/>
      <name val="Arial"/>
      <charset val="1"/>
    </font>
    <font>
      <i/>
      <sz val="10"/>
      <color rgb="FF595959"/>
      <name val="Arial"/>
      <charset val="1"/>
    </font>
    <font>
      <b/>
      <sz val="12"/>
      <color rgb="FF1F3864"/>
      <name val="Arial"/>
      <charset val="1"/>
    </font>
    <font>
      <sz val="10"/>
      <name val="Arial"/>
      <charset val="1"/>
    </font>
    <font>
      <b/>
      <sz val="11"/>
      <name val="Arial"/>
      <charset val="1"/>
    </font>
    <font>
      <b/>
      <sz val="10"/>
      <color rgb="FFFFFFFF"/>
      <name val="Arial"/>
      <charset val="1"/>
    </font>
    <font>
      <sz val="10"/>
      <color rgb="FF0000FF"/>
      <name val="Arial"/>
      <charset val="1"/>
    </font>
    <font>
      <sz val="10"/>
      <color rgb="FF000000"/>
      <name val="Arial"/>
      <charset val="1"/>
    </font>
    <font>
      <b/>
      <sz val="11"/>
      <color rgb="FF2E5395"/>
      <name val="Arial"/>
      <charset val="1"/>
    </font>
    <font>
      <b/>
      <sz val="10"/>
      <name val="Arial"/>
      <charset val="1"/>
    </font>
    <font>
      <b/>
      <sz val="11"/>
      <color rgb="FF1F3864"/>
      <name val="Arial"/>
      <charset val="1"/>
    </font>
  </fonts>
  <fills count="5">
    <fill>
      <patternFill patternType="none"/>
    </fill>
    <fill>
      <patternFill patternType="gray125"/>
    </fill>
    <fill>
      <patternFill patternType="solid">
        <fgColor rgb="FFD9E2F3"/>
        <bgColor rgb="FFD9D9D9"/>
      </patternFill>
    </fill>
    <fill>
      <patternFill patternType="solid">
        <fgColor rgb="FF1F3864"/>
        <bgColor rgb="FF333333"/>
      </patternFill>
    </fill>
    <fill>
      <patternFill patternType="solid">
        <fgColor rgb="FFFFF2CC"/>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8">
    <xf numFmtId="0" fontId="0" fillId="0" borderId="0" xfId="0"/>
    <xf numFmtId="0" fontId="4" fillId="0" borderId="1" xfId="0" applyFont="1" applyBorder="1"/>
    <xf numFmtId="0" fontId="6" fillId="3" borderId="0" xfId="0" applyFont="1" applyFill="1"/>
    <xf numFmtId="0" fontId="9" fillId="0" borderId="0" xfId="0" applyFont="1"/>
    <xf numFmtId="0" fontId="3" fillId="0" borderId="1" xfId="0" applyFont="1" applyBorder="1"/>
    <xf numFmtId="0" fontId="11" fillId="0" borderId="0" xfId="0" applyFont="1"/>
    <xf numFmtId="0" fontId="8" fillId="0" borderId="1" xfId="0" applyFont="1" applyBorder="1" applyAlignment="1">
      <alignment vertical="top" wrapText="1"/>
    </xf>
    <xf numFmtId="0" fontId="7" fillId="4" borderId="1" xfId="0" applyFont="1" applyFill="1" applyBorder="1"/>
    <xf numFmtId="0" fontId="10" fillId="0" borderId="0" xfId="0" applyFont="1"/>
    <xf numFmtId="0" fontId="4" fillId="0" borderId="1" xfId="0" applyFont="1" applyBorder="1" applyAlignment="1">
      <alignment vertical="top" wrapText="1"/>
    </xf>
    <xf numFmtId="0" fontId="4" fillId="0" borderId="0" xfId="0" applyFont="1" applyAlignment="1">
      <alignment vertical="top" wrapText="1"/>
    </xf>
    <xf numFmtId="0" fontId="2" fillId="0" borderId="0" xfId="0" applyFont="1" applyAlignment="1">
      <alignment vertical="top" wrapText="1"/>
    </xf>
    <xf numFmtId="0" fontId="3" fillId="2" borderId="0" xfId="0" applyFont="1" applyFill="1"/>
    <xf numFmtId="0" fontId="2" fillId="0" borderId="0" xfId="0" applyFont="1"/>
    <xf numFmtId="0" fontId="1" fillId="0" borderId="0" xfId="0" applyFont="1"/>
    <xf numFmtId="0" fontId="2" fillId="0" borderId="0" xfId="0" applyFont="1"/>
    <xf numFmtId="0" fontId="3" fillId="2" borderId="0" xfId="0" applyFont="1" applyFill="1"/>
    <xf numFmtId="0" fontId="4" fillId="0" borderId="0" xfId="0" applyFont="1" applyAlignment="1">
      <alignment vertical="top" wrapText="1"/>
    </xf>
    <xf numFmtId="0" fontId="5" fillId="0" borderId="0" xfId="0" applyFont="1" applyAlignment="1">
      <alignment vertical="top" wrapText="1"/>
    </xf>
    <xf numFmtId="0" fontId="6" fillId="3" borderId="1" xfId="0" applyFont="1" applyFill="1" applyBorder="1" applyAlignment="1">
      <alignment horizontal="center" vertical="center" wrapText="1"/>
    </xf>
    <xf numFmtId="0" fontId="7" fillId="0" borderId="1" xfId="0" applyFont="1" applyBorder="1"/>
    <xf numFmtId="0" fontId="4" fillId="0" borderId="1" xfId="0" applyFont="1" applyBorder="1"/>
    <xf numFmtId="0" fontId="4" fillId="0" borderId="1" xfId="0" applyFont="1" applyBorder="1" applyAlignment="1">
      <alignment vertical="top" wrapText="1"/>
    </xf>
    <xf numFmtId="0" fontId="4" fillId="0" borderId="0" xfId="0" applyFont="1"/>
    <xf numFmtId="0" fontId="2" fillId="0" borderId="1" xfId="0" applyFont="1" applyBorder="1"/>
    <xf numFmtId="1" fontId="7" fillId="0" borderId="1" xfId="0" applyNumberFormat="1" applyFont="1" applyBorder="1"/>
    <xf numFmtId="2" fontId="7" fillId="0" borderId="1" xfId="0" applyNumberFormat="1" applyFont="1" applyBorder="1"/>
    <xf numFmtId="9" fontId="7" fillId="0" borderId="1" xfId="0" applyNumberFormat="1" applyFont="1" applyBorder="1"/>
    <xf numFmtId="14" fontId="7" fillId="0" borderId="1" xfId="0" applyNumberFormat="1" applyFont="1" applyBorder="1"/>
    <xf numFmtId="18" fontId="7" fillId="0" borderId="1" xfId="0" applyNumberFormat="1" applyFont="1" applyBorder="1"/>
    <xf numFmtId="164" fontId="8" fillId="0" borderId="1" xfId="0" applyNumberFormat="1" applyFont="1" applyBorder="1"/>
    <xf numFmtId="0" fontId="0" fillId="0" borderId="1" xfId="0" applyBorder="1"/>
    <xf numFmtId="0" fontId="8" fillId="0" borderId="1" xfId="0" applyFont="1" applyBorder="1"/>
    <xf numFmtId="165" fontId="8" fillId="0" borderId="1" xfId="0" applyNumberFormat="1" applyFont="1" applyBorder="1"/>
    <xf numFmtId="18" fontId="0" fillId="0" borderId="1" xfId="0" applyNumberFormat="1" applyBorder="1"/>
    <xf numFmtId="14" fontId="0" fillId="0" borderId="1" xfId="0" applyNumberFormat="1" applyBorder="1"/>
    <xf numFmtId="0" fontId="9" fillId="0" borderId="0" xfId="0" applyFont="1"/>
    <xf numFmtId="0" fontId="7" fillId="4" borderId="1" xfId="0" applyFont="1" applyFill="1" applyBorder="1"/>
    <xf numFmtId="14" fontId="7" fillId="4" borderId="1" xfId="0" applyNumberFormat="1" applyFont="1" applyFill="1" applyBorder="1"/>
    <xf numFmtId="0" fontId="9" fillId="0" borderId="1" xfId="0" applyFont="1" applyBorder="1"/>
    <xf numFmtId="2" fontId="5" fillId="0" borderId="1" xfId="0" applyNumberFormat="1" applyFont="1" applyBorder="1"/>
    <xf numFmtId="0" fontId="5" fillId="0" borderId="1" xfId="0" applyFont="1" applyBorder="1"/>
    <xf numFmtId="2" fontId="8" fillId="0" borderId="0" xfId="0" applyNumberFormat="1" applyFont="1"/>
    <xf numFmtId="166" fontId="8" fillId="0" borderId="1" xfId="0" applyNumberFormat="1" applyFont="1" applyBorder="1"/>
    <xf numFmtId="1" fontId="8" fillId="0" borderId="1" xfId="0" applyNumberFormat="1" applyFont="1" applyBorder="1"/>
    <xf numFmtId="167" fontId="8" fillId="0" borderId="1" xfId="0" applyNumberFormat="1" applyFont="1" applyBorder="1"/>
    <xf numFmtId="2" fontId="8" fillId="0" borderId="1" xfId="0" applyNumberFormat="1" applyFont="1" applyBorder="1"/>
    <xf numFmtId="0" fontId="8" fillId="0" borderId="1" xfId="0" applyFont="1" applyBorder="1" applyAlignment="1">
      <alignment vertical="top" wrapText="1"/>
    </xf>
    <xf numFmtId="14" fontId="8" fillId="0" borderId="1" xfId="0" applyNumberFormat="1" applyFont="1" applyBorder="1"/>
    <xf numFmtId="1" fontId="8" fillId="0" borderId="1" xfId="0" applyNumberFormat="1" applyFont="1" applyBorder="1" applyAlignment="1">
      <alignment horizontal="left"/>
    </xf>
    <xf numFmtId="2" fontId="8" fillId="0" borderId="1" xfId="0" applyNumberFormat="1" applyFont="1" applyBorder="1" applyAlignment="1">
      <alignment horizontal="left"/>
    </xf>
    <xf numFmtId="1" fontId="7" fillId="4" borderId="1" xfId="0" applyNumberFormat="1" applyFont="1" applyFill="1" applyBorder="1"/>
    <xf numFmtId="167" fontId="8" fillId="0" borderId="1" xfId="0" applyNumberFormat="1" applyFont="1" applyBorder="1" applyAlignment="1">
      <alignment horizontal="left"/>
    </xf>
    <xf numFmtId="9" fontId="8" fillId="0" borderId="1" xfId="0" applyNumberFormat="1" applyFont="1" applyBorder="1" applyAlignment="1">
      <alignment horizontal="left"/>
    </xf>
    <xf numFmtId="9" fontId="7" fillId="4" borderId="1" xfId="0" applyNumberFormat="1" applyFont="1" applyFill="1" applyBorder="1"/>
    <xf numFmtId="168" fontId="8" fillId="0" borderId="1" xfId="0" applyNumberFormat="1" applyFont="1" applyBorder="1"/>
    <xf numFmtId="9" fontId="8" fillId="0" borderId="1" xfId="0" applyNumberFormat="1" applyFont="1" applyBorder="1"/>
    <xf numFmtId="0" fontId="11" fillId="0" borderId="0" xfId="0" applyFont="1" applyAlignment="1">
      <alignment vertical="top" wrapText="1"/>
    </xf>
  </cellXfs>
  <cellStyles count="1">
    <cellStyle name="Normal" xfId="0" builtinId="0"/>
  </cellStyles>
  <dxfs count="69">
    <dxf>
      <fill>
        <patternFill>
          <bgColor rgb="FFF8CBAD"/>
        </patternFill>
      </fill>
    </dxf>
    <dxf>
      <fill>
        <patternFill>
          <bgColor rgb="FFFFE699"/>
        </patternFill>
      </fill>
    </dxf>
    <dxf>
      <fill>
        <patternFill>
          <bgColor rgb="FFC6E0B4"/>
        </patternFill>
      </fill>
    </dxf>
    <dxf>
      <fill>
        <patternFill>
          <bgColor rgb="FFBDD7EE"/>
        </patternFill>
      </fill>
    </dxf>
    <dxf>
      <fill>
        <patternFill>
          <bgColor rgb="FFF8CBAD"/>
        </patternFill>
      </fill>
    </dxf>
    <dxf>
      <fill>
        <patternFill>
          <bgColor rgb="FFFFE699"/>
        </patternFill>
      </fill>
    </dxf>
    <dxf>
      <fill>
        <patternFill>
          <bgColor rgb="FFC6E0B4"/>
        </patternFill>
      </fill>
    </dxf>
    <dxf>
      <fill>
        <patternFill>
          <bgColor rgb="FFBDD7EE"/>
        </patternFill>
      </fill>
    </dxf>
    <dxf>
      <fill>
        <patternFill>
          <bgColor rgb="FFF8CBAD"/>
        </patternFill>
      </fill>
    </dxf>
    <dxf>
      <fill>
        <patternFill>
          <bgColor rgb="FFFFE699"/>
        </patternFill>
      </fill>
    </dxf>
    <dxf>
      <fill>
        <patternFill>
          <bgColor rgb="FFC6E0B4"/>
        </patternFill>
      </fill>
    </dxf>
    <dxf>
      <fill>
        <patternFill>
          <bgColor rgb="FFBDD7EE"/>
        </patternFill>
      </fill>
    </dxf>
    <dxf>
      <fill>
        <patternFill>
          <bgColor rgb="FFF8CBAD"/>
        </patternFill>
      </fill>
    </dxf>
    <dxf>
      <fill>
        <patternFill>
          <bgColor rgb="FFEDEDED"/>
        </patternFill>
      </fill>
    </dxf>
    <dxf>
      <fill>
        <patternFill>
          <bgColor rgb="FFF8CBAD"/>
        </patternFill>
      </fill>
    </dxf>
    <dxf>
      <fill>
        <patternFill>
          <bgColor rgb="FFFFE699"/>
        </patternFill>
      </fill>
    </dxf>
    <dxf>
      <fill>
        <patternFill>
          <bgColor rgb="FFC6E0B4"/>
        </patternFill>
      </fill>
    </dxf>
    <dxf>
      <fill>
        <patternFill>
          <bgColor rgb="FFBDD7EE"/>
        </patternFill>
      </fill>
    </dxf>
    <dxf>
      <fill>
        <patternFill>
          <bgColor rgb="FFF8CBAD"/>
        </patternFill>
      </fill>
    </dxf>
    <dxf>
      <fill>
        <patternFill>
          <bgColor rgb="FFFFE699"/>
        </patternFill>
      </fill>
    </dxf>
    <dxf>
      <fill>
        <patternFill>
          <bgColor rgb="FFC6E0B4"/>
        </patternFill>
      </fill>
    </dxf>
    <dxf>
      <fill>
        <patternFill>
          <bgColor rgb="FFBDD7EE"/>
        </patternFill>
      </fill>
    </dxf>
    <dxf>
      <fill>
        <patternFill>
          <bgColor rgb="FFF8CBAD"/>
        </patternFill>
      </fill>
    </dxf>
    <dxf>
      <fill>
        <patternFill>
          <bgColor rgb="FFFFE699"/>
        </patternFill>
      </fill>
    </dxf>
    <dxf>
      <fill>
        <patternFill>
          <bgColor rgb="FFC6E0B4"/>
        </patternFill>
      </fill>
    </dxf>
    <dxf>
      <fill>
        <patternFill>
          <bgColor rgb="FFBDD7EE"/>
        </patternFill>
      </fill>
    </dxf>
    <dxf>
      <fill>
        <patternFill>
          <bgColor rgb="FFF8CBAD"/>
        </patternFill>
      </fill>
    </dxf>
    <dxf>
      <fill>
        <patternFill>
          <bgColor rgb="FFEDEDED"/>
        </patternFill>
      </fill>
    </dxf>
    <dxf>
      <fill>
        <patternFill>
          <bgColor rgb="FFF8CBAD"/>
        </patternFill>
      </fill>
    </dxf>
    <dxf>
      <fill>
        <patternFill>
          <bgColor rgb="FFFFE699"/>
        </patternFill>
      </fill>
    </dxf>
    <dxf>
      <fill>
        <patternFill>
          <bgColor rgb="FFC6E0B4"/>
        </patternFill>
      </fill>
    </dxf>
    <dxf>
      <fill>
        <patternFill>
          <bgColor rgb="FFBDD7EE"/>
        </patternFill>
      </fill>
    </dxf>
    <dxf>
      <fill>
        <patternFill>
          <bgColor rgb="FFF8CBAD"/>
        </patternFill>
      </fill>
    </dxf>
    <dxf>
      <fill>
        <patternFill>
          <bgColor rgb="FFFFE699"/>
        </patternFill>
      </fill>
    </dxf>
    <dxf>
      <fill>
        <patternFill>
          <bgColor rgb="FFC6E0B4"/>
        </patternFill>
      </fill>
    </dxf>
    <dxf>
      <fill>
        <patternFill>
          <bgColor rgb="FFBDD7EE"/>
        </patternFill>
      </fill>
    </dxf>
    <dxf>
      <fill>
        <patternFill>
          <bgColor rgb="FFF8CBAD"/>
        </patternFill>
      </fill>
    </dxf>
    <dxf>
      <fill>
        <patternFill>
          <bgColor rgb="FFFFE699"/>
        </patternFill>
      </fill>
    </dxf>
    <dxf>
      <fill>
        <patternFill>
          <bgColor rgb="FFC6E0B4"/>
        </patternFill>
      </fill>
    </dxf>
    <dxf>
      <fill>
        <patternFill>
          <bgColor rgb="FFBDD7EE"/>
        </patternFill>
      </fill>
    </dxf>
    <dxf>
      <fill>
        <patternFill>
          <bgColor rgb="FFF8CBAD"/>
        </patternFill>
      </fill>
    </dxf>
    <dxf>
      <fill>
        <patternFill>
          <bgColor rgb="FFEDEDED"/>
        </patternFill>
      </fill>
    </dxf>
    <dxf>
      <fill>
        <patternFill>
          <bgColor rgb="FFF8CBAD"/>
        </patternFill>
      </fill>
    </dxf>
    <dxf>
      <fill>
        <patternFill>
          <bgColor rgb="FFFFE699"/>
        </patternFill>
      </fill>
    </dxf>
    <dxf>
      <fill>
        <patternFill>
          <bgColor rgb="FFC6E0B4"/>
        </patternFill>
      </fill>
    </dxf>
    <dxf>
      <fill>
        <patternFill>
          <bgColor rgb="FFBDD7EE"/>
        </patternFill>
      </fill>
    </dxf>
    <dxf>
      <fill>
        <patternFill>
          <bgColor rgb="FFF8CBAD"/>
        </patternFill>
      </fill>
    </dxf>
    <dxf>
      <fill>
        <patternFill>
          <bgColor rgb="FFFFE699"/>
        </patternFill>
      </fill>
    </dxf>
    <dxf>
      <fill>
        <patternFill>
          <bgColor rgb="FFC6E0B4"/>
        </patternFill>
      </fill>
    </dxf>
    <dxf>
      <fill>
        <patternFill>
          <bgColor rgb="FFBDD7EE"/>
        </patternFill>
      </fill>
    </dxf>
    <dxf>
      <fill>
        <patternFill>
          <bgColor rgb="FFF8CBAD"/>
        </patternFill>
      </fill>
    </dxf>
    <dxf>
      <fill>
        <patternFill>
          <bgColor rgb="FFFFE699"/>
        </patternFill>
      </fill>
    </dxf>
    <dxf>
      <fill>
        <patternFill>
          <bgColor rgb="FFC6E0B4"/>
        </patternFill>
      </fill>
    </dxf>
    <dxf>
      <fill>
        <patternFill>
          <bgColor rgb="FFBDD7EE"/>
        </patternFill>
      </fill>
    </dxf>
    <dxf>
      <fill>
        <patternFill>
          <bgColor rgb="FFF8CBAD"/>
        </patternFill>
      </fill>
    </dxf>
    <dxf>
      <fill>
        <patternFill>
          <bgColor rgb="FFEDEDED"/>
        </patternFill>
      </fill>
    </dxf>
    <dxf>
      <fill>
        <patternFill>
          <bgColor rgb="FFF8CBAD"/>
        </patternFill>
      </fill>
    </dxf>
    <dxf>
      <fill>
        <patternFill>
          <bgColor rgb="FFFFE699"/>
        </patternFill>
      </fill>
    </dxf>
    <dxf>
      <fill>
        <patternFill>
          <bgColor rgb="FFBDD7EE"/>
        </patternFill>
      </fill>
    </dxf>
    <dxf>
      <fill>
        <patternFill>
          <bgColor rgb="FFC6E0B4"/>
        </patternFill>
      </fill>
    </dxf>
    <dxf>
      <fill>
        <patternFill>
          <bgColor rgb="FFF8CBAD"/>
        </patternFill>
      </fill>
    </dxf>
    <dxf>
      <fill>
        <patternFill>
          <bgColor rgb="FFF8CBAD"/>
        </patternFill>
      </fill>
    </dxf>
    <dxf>
      <fill>
        <patternFill>
          <bgColor rgb="FFFFE699"/>
        </patternFill>
      </fill>
    </dxf>
    <dxf>
      <fill>
        <patternFill>
          <bgColor rgb="FFBDD7EE"/>
        </patternFill>
      </fill>
    </dxf>
    <dxf>
      <fill>
        <patternFill>
          <bgColor rgb="FFC6E0B4"/>
        </patternFill>
      </fill>
    </dxf>
    <dxf>
      <fill>
        <patternFill>
          <bgColor rgb="FFFFE699"/>
        </patternFill>
      </fill>
    </dxf>
    <dxf>
      <fill>
        <patternFill>
          <bgColor rgb="FFF8CBAD"/>
        </patternFill>
      </fill>
    </dxf>
    <dxf>
      <fill>
        <patternFill>
          <bgColor rgb="FFFFE699"/>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FF2CC"/>
      <rgbColor rgb="FFEDEDED"/>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E2F3"/>
      <rgbColor rgb="FFC6E0B4"/>
      <rgbColor rgb="FFFFE699"/>
      <rgbColor rgb="FFD9D9D9"/>
      <rgbColor rgb="FFFF99CC"/>
      <rgbColor rgb="FFCC99FF"/>
      <rgbColor rgb="FFF8CBAD"/>
      <rgbColor rgb="FF4A7EBB"/>
      <rgbColor rgb="FF33CCCC"/>
      <rgbColor rgb="FF98B855"/>
      <rgbColor rgb="FFFFCC00"/>
      <rgbColor rgb="FFFF9900"/>
      <rgbColor rgb="FFFF6600"/>
      <rgbColor rgb="FF595959"/>
      <rgbColor rgb="FF969696"/>
      <rgbColor rgb="FF1F3864"/>
      <rgbColor rgb="FF4F81BD"/>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Daily Workload vs. Acute/Chronic Average</a:t>
            </a:r>
          </a:p>
        </c:rich>
      </c:tx>
      <c:overlay val="0"/>
      <c:spPr>
        <a:noFill/>
        <a:ln w="0">
          <a:noFill/>
        </a:ln>
      </c:spPr>
    </c:title>
    <c:autoTitleDeleted val="0"/>
    <c:plotArea>
      <c:layout/>
      <c:lineChart>
        <c:grouping val="standard"/>
        <c:varyColors val="0"/>
        <c:ser>
          <c:idx val="0"/>
          <c:order val="0"/>
          <c:tx>
            <c:strRef>
              <c:f>Dashboard!$B$19</c:f>
              <c:strCache>
                <c:ptCount val="1"/>
                <c:pt idx="0">
                  <c:v>Daily Workload</c:v>
                </c:pt>
              </c:strCache>
            </c:strRef>
          </c:tx>
          <c:spPr>
            <a:ln w="248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Dashboard!$A$20:$A$47</c:f>
              <c:numCache>
                <c:formatCode>m/d</c:formatCode>
                <c:ptCount val="28"/>
                <c:pt idx="0">
                  <c:v>46289</c:v>
                </c:pt>
                <c:pt idx="1">
                  <c:v>46290</c:v>
                </c:pt>
                <c:pt idx="2">
                  <c:v>46291</c:v>
                </c:pt>
                <c:pt idx="3">
                  <c:v>46292</c:v>
                </c:pt>
                <c:pt idx="4">
                  <c:v>46293</c:v>
                </c:pt>
                <c:pt idx="5">
                  <c:v>46294</c:v>
                </c:pt>
                <c:pt idx="6">
                  <c:v>46295</c:v>
                </c:pt>
                <c:pt idx="7">
                  <c:v>46296</c:v>
                </c:pt>
                <c:pt idx="8">
                  <c:v>46297</c:v>
                </c:pt>
                <c:pt idx="9">
                  <c:v>46298</c:v>
                </c:pt>
                <c:pt idx="10">
                  <c:v>46299</c:v>
                </c:pt>
                <c:pt idx="11">
                  <c:v>46300</c:v>
                </c:pt>
                <c:pt idx="12">
                  <c:v>46301</c:v>
                </c:pt>
                <c:pt idx="13">
                  <c:v>46302</c:v>
                </c:pt>
                <c:pt idx="14">
                  <c:v>46303</c:v>
                </c:pt>
                <c:pt idx="15">
                  <c:v>46304</c:v>
                </c:pt>
                <c:pt idx="16">
                  <c:v>46305</c:v>
                </c:pt>
                <c:pt idx="17">
                  <c:v>46306</c:v>
                </c:pt>
                <c:pt idx="18">
                  <c:v>46307</c:v>
                </c:pt>
                <c:pt idx="19">
                  <c:v>46308</c:v>
                </c:pt>
                <c:pt idx="20">
                  <c:v>46309</c:v>
                </c:pt>
                <c:pt idx="21">
                  <c:v>46310</c:v>
                </c:pt>
                <c:pt idx="22">
                  <c:v>46311</c:v>
                </c:pt>
                <c:pt idx="23">
                  <c:v>46312</c:v>
                </c:pt>
                <c:pt idx="24">
                  <c:v>46313</c:v>
                </c:pt>
                <c:pt idx="25">
                  <c:v>46314</c:v>
                </c:pt>
                <c:pt idx="26">
                  <c:v>46315</c:v>
                </c:pt>
                <c:pt idx="27">
                  <c:v>46316</c:v>
                </c:pt>
              </c:numCache>
            </c:numRef>
          </c:cat>
          <c:val>
            <c:numRef>
              <c:f>Dashboard!$B$20:$B$47</c:f>
              <c:numCache>
                <c:formatCode>0.0</c:formatCode>
                <c:ptCount val="28"/>
                <c:pt idx="0">
                  <c:v>37.949999999999996</c:v>
                </c:pt>
                <c:pt idx="1">
                  <c:v>150</c:v>
                </c:pt>
                <c:pt idx="2">
                  <c:v>37.949999999999996</c:v>
                </c:pt>
                <c:pt idx="3">
                  <c:v>57.2</c:v>
                </c:pt>
                <c:pt idx="4">
                  <c:v>0</c:v>
                </c:pt>
                <c:pt idx="5">
                  <c:v>42.108000000000004</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val>
          <c:smooth val="1"/>
          <c:extLst>
            <c:ext xmlns:c16="http://schemas.microsoft.com/office/drawing/2014/chart" uri="{C3380CC4-5D6E-409C-BE32-E72D297353CC}">
              <c16:uniqueId val="{00000000-C5F3-44D5-8392-BEB863BBAB31}"/>
            </c:ext>
          </c:extLst>
        </c:ser>
        <c:ser>
          <c:idx val="1"/>
          <c:order val="1"/>
          <c:tx>
            <c:strRef>
              <c:f>Dashboard!$C$19</c:f>
              <c:strCache>
                <c:ptCount val="1"/>
                <c:pt idx="0">
                  <c:v>Acute (7d avg line)</c:v>
                </c:pt>
              </c:strCache>
            </c:strRef>
          </c:tx>
          <c:spPr>
            <a:ln w="28440">
              <a:solidFill>
                <a:srgbClr val="BE4B48"/>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Dashboard!$A$20:$A$47</c:f>
              <c:numCache>
                <c:formatCode>m/d</c:formatCode>
                <c:ptCount val="28"/>
                <c:pt idx="0">
                  <c:v>46289</c:v>
                </c:pt>
                <c:pt idx="1">
                  <c:v>46290</c:v>
                </c:pt>
                <c:pt idx="2">
                  <c:v>46291</c:v>
                </c:pt>
                <c:pt idx="3">
                  <c:v>46292</c:v>
                </c:pt>
                <c:pt idx="4">
                  <c:v>46293</c:v>
                </c:pt>
                <c:pt idx="5">
                  <c:v>46294</c:v>
                </c:pt>
                <c:pt idx="6">
                  <c:v>46295</c:v>
                </c:pt>
                <c:pt idx="7">
                  <c:v>46296</c:v>
                </c:pt>
                <c:pt idx="8">
                  <c:v>46297</c:v>
                </c:pt>
                <c:pt idx="9">
                  <c:v>46298</c:v>
                </c:pt>
                <c:pt idx="10">
                  <c:v>46299</c:v>
                </c:pt>
                <c:pt idx="11">
                  <c:v>46300</c:v>
                </c:pt>
                <c:pt idx="12">
                  <c:v>46301</c:v>
                </c:pt>
                <c:pt idx="13">
                  <c:v>46302</c:v>
                </c:pt>
                <c:pt idx="14">
                  <c:v>46303</c:v>
                </c:pt>
                <c:pt idx="15">
                  <c:v>46304</c:v>
                </c:pt>
                <c:pt idx="16">
                  <c:v>46305</c:v>
                </c:pt>
                <c:pt idx="17">
                  <c:v>46306</c:v>
                </c:pt>
                <c:pt idx="18">
                  <c:v>46307</c:v>
                </c:pt>
                <c:pt idx="19">
                  <c:v>46308</c:v>
                </c:pt>
                <c:pt idx="20">
                  <c:v>46309</c:v>
                </c:pt>
                <c:pt idx="21">
                  <c:v>46310</c:v>
                </c:pt>
                <c:pt idx="22">
                  <c:v>46311</c:v>
                </c:pt>
                <c:pt idx="23">
                  <c:v>46312</c:v>
                </c:pt>
                <c:pt idx="24">
                  <c:v>46313</c:v>
                </c:pt>
                <c:pt idx="25">
                  <c:v>46314</c:v>
                </c:pt>
                <c:pt idx="26">
                  <c:v>46315</c:v>
                </c:pt>
                <c:pt idx="27">
                  <c:v>46316</c:v>
                </c:pt>
              </c:numCache>
            </c:numRef>
          </c:cat>
          <c:val>
            <c:numRef>
              <c:f>Dashboard!$C$20:$C$47</c:f>
              <c:numCache>
                <c:formatCode>0.0</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val>
          <c:smooth val="1"/>
          <c:extLst>
            <c:ext xmlns:c16="http://schemas.microsoft.com/office/drawing/2014/chart" uri="{C3380CC4-5D6E-409C-BE32-E72D297353CC}">
              <c16:uniqueId val="{00000001-C5F3-44D5-8392-BEB863BBAB31}"/>
            </c:ext>
          </c:extLst>
        </c:ser>
        <c:ser>
          <c:idx val="2"/>
          <c:order val="2"/>
          <c:tx>
            <c:strRef>
              <c:f>Dashboard!$D$19</c:f>
              <c:strCache>
                <c:ptCount val="1"/>
                <c:pt idx="0">
                  <c:v>Chronic (28d avg line)</c:v>
                </c:pt>
              </c:strCache>
            </c:strRef>
          </c:tx>
          <c:spPr>
            <a:ln w="28440">
              <a:solidFill>
                <a:srgbClr val="98B855"/>
              </a:solidFill>
              <a:prstDash val="dash"/>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Dashboard!$A$20:$A$47</c:f>
              <c:numCache>
                <c:formatCode>m/d</c:formatCode>
                <c:ptCount val="28"/>
                <c:pt idx="0">
                  <c:v>46289</c:v>
                </c:pt>
                <c:pt idx="1">
                  <c:v>46290</c:v>
                </c:pt>
                <c:pt idx="2">
                  <c:v>46291</c:v>
                </c:pt>
                <c:pt idx="3">
                  <c:v>46292</c:v>
                </c:pt>
                <c:pt idx="4">
                  <c:v>46293</c:v>
                </c:pt>
                <c:pt idx="5">
                  <c:v>46294</c:v>
                </c:pt>
                <c:pt idx="6">
                  <c:v>46295</c:v>
                </c:pt>
                <c:pt idx="7">
                  <c:v>46296</c:v>
                </c:pt>
                <c:pt idx="8">
                  <c:v>46297</c:v>
                </c:pt>
                <c:pt idx="9">
                  <c:v>46298</c:v>
                </c:pt>
                <c:pt idx="10">
                  <c:v>46299</c:v>
                </c:pt>
                <c:pt idx="11">
                  <c:v>46300</c:v>
                </c:pt>
                <c:pt idx="12">
                  <c:v>46301</c:v>
                </c:pt>
                <c:pt idx="13">
                  <c:v>46302</c:v>
                </c:pt>
                <c:pt idx="14">
                  <c:v>46303</c:v>
                </c:pt>
                <c:pt idx="15">
                  <c:v>46304</c:v>
                </c:pt>
                <c:pt idx="16">
                  <c:v>46305</c:v>
                </c:pt>
                <c:pt idx="17">
                  <c:v>46306</c:v>
                </c:pt>
                <c:pt idx="18">
                  <c:v>46307</c:v>
                </c:pt>
                <c:pt idx="19">
                  <c:v>46308</c:v>
                </c:pt>
                <c:pt idx="20">
                  <c:v>46309</c:v>
                </c:pt>
                <c:pt idx="21">
                  <c:v>46310</c:v>
                </c:pt>
                <c:pt idx="22">
                  <c:v>46311</c:v>
                </c:pt>
                <c:pt idx="23">
                  <c:v>46312</c:v>
                </c:pt>
                <c:pt idx="24">
                  <c:v>46313</c:v>
                </c:pt>
                <c:pt idx="25">
                  <c:v>46314</c:v>
                </c:pt>
                <c:pt idx="26">
                  <c:v>46315</c:v>
                </c:pt>
                <c:pt idx="27">
                  <c:v>46316</c:v>
                </c:pt>
              </c:numCache>
            </c:numRef>
          </c:cat>
          <c:val>
            <c:numRef>
              <c:f>Dashboard!$D$20:$D$47</c:f>
              <c:numCache>
                <c:formatCode>0.0</c:formatCode>
                <c:ptCount val="28"/>
                <c:pt idx="0">
                  <c:v>11.614571428571427</c:v>
                </c:pt>
                <c:pt idx="1">
                  <c:v>11.614571428571427</c:v>
                </c:pt>
                <c:pt idx="2">
                  <c:v>11.614571428571427</c:v>
                </c:pt>
                <c:pt idx="3">
                  <c:v>11.614571428571427</c:v>
                </c:pt>
                <c:pt idx="4">
                  <c:v>11.614571428571427</c:v>
                </c:pt>
                <c:pt idx="5">
                  <c:v>11.614571428571427</c:v>
                </c:pt>
                <c:pt idx="6">
                  <c:v>11.614571428571427</c:v>
                </c:pt>
                <c:pt idx="7">
                  <c:v>11.614571428571427</c:v>
                </c:pt>
                <c:pt idx="8">
                  <c:v>11.614571428571427</c:v>
                </c:pt>
                <c:pt idx="9">
                  <c:v>11.614571428571427</c:v>
                </c:pt>
                <c:pt idx="10">
                  <c:v>11.614571428571427</c:v>
                </c:pt>
                <c:pt idx="11">
                  <c:v>11.614571428571427</c:v>
                </c:pt>
                <c:pt idx="12">
                  <c:v>11.614571428571427</c:v>
                </c:pt>
                <c:pt idx="13">
                  <c:v>11.614571428571427</c:v>
                </c:pt>
                <c:pt idx="14">
                  <c:v>11.614571428571427</c:v>
                </c:pt>
                <c:pt idx="15">
                  <c:v>11.614571428571427</c:v>
                </c:pt>
                <c:pt idx="16">
                  <c:v>11.614571428571427</c:v>
                </c:pt>
                <c:pt idx="17">
                  <c:v>11.614571428571427</c:v>
                </c:pt>
                <c:pt idx="18">
                  <c:v>11.614571428571427</c:v>
                </c:pt>
                <c:pt idx="19">
                  <c:v>11.614571428571427</c:v>
                </c:pt>
                <c:pt idx="20">
                  <c:v>11.614571428571427</c:v>
                </c:pt>
                <c:pt idx="21">
                  <c:v>11.614571428571427</c:v>
                </c:pt>
                <c:pt idx="22">
                  <c:v>11.614571428571427</c:v>
                </c:pt>
                <c:pt idx="23">
                  <c:v>11.614571428571427</c:v>
                </c:pt>
                <c:pt idx="24">
                  <c:v>11.614571428571427</c:v>
                </c:pt>
                <c:pt idx="25">
                  <c:v>11.614571428571427</c:v>
                </c:pt>
                <c:pt idx="26">
                  <c:v>11.614571428571427</c:v>
                </c:pt>
                <c:pt idx="27">
                  <c:v>11.614571428571427</c:v>
                </c:pt>
              </c:numCache>
            </c:numRef>
          </c:val>
          <c:smooth val="1"/>
          <c:extLst>
            <c:ext xmlns:c16="http://schemas.microsoft.com/office/drawing/2014/chart" uri="{C3380CC4-5D6E-409C-BE32-E72D297353CC}">
              <c16:uniqueId val="{00000002-C5F3-44D5-8392-BEB863BBAB31}"/>
            </c:ext>
          </c:extLst>
        </c:ser>
        <c:dLbls>
          <c:showLegendKey val="0"/>
          <c:showVal val="0"/>
          <c:showCatName val="0"/>
          <c:showSerName val="0"/>
          <c:showPercent val="0"/>
          <c:showBubbleSize val="0"/>
        </c:dLbls>
        <c:hiLowLines>
          <c:spPr>
            <a:ln w="0">
              <a:noFill/>
            </a:ln>
          </c:spPr>
        </c:hiLowLines>
        <c:smooth val="0"/>
        <c:axId val="66650730"/>
        <c:axId val="93548597"/>
      </c:lineChart>
      <c:dateAx>
        <c:axId val="66650730"/>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Date</a:t>
                </a:r>
              </a:p>
            </c:rich>
          </c:tx>
          <c:overlay val="0"/>
          <c:spPr>
            <a:noFill/>
            <a:ln w="0">
              <a:noFill/>
            </a:ln>
          </c:spPr>
        </c:title>
        <c:numFmt formatCode="m/d"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548597"/>
        <c:crosses val="autoZero"/>
        <c:auto val="1"/>
        <c:lblOffset val="100"/>
        <c:baseTimeUnit val="days"/>
      </c:dateAx>
      <c:valAx>
        <c:axId val="9354859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Workload</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665073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Weekly Workload (last 12 weeks)</a:t>
            </a:r>
          </a:p>
        </c:rich>
      </c:tx>
      <c:overlay val="0"/>
      <c:spPr>
        <a:noFill/>
        <a:ln w="0">
          <a:noFill/>
        </a:ln>
      </c:spPr>
    </c:title>
    <c:autoTitleDeleted val="0"/>
    <c:plotArea>
      <c:layout/>
      <c:barChart>
        <c:barDir val="col"/>
        <c:grouping val="clustered"/>
        <c:varyColors val="0"/>
        <c:ser>
          <c:idx val="0"/>
          <c:order val="0"/>
          <c:tx>
            <c:strRef>
              <c:f>Dashboard!$C$51</c:f>
              <c:strCache>
                <c:ptCount val="1"/>
                <c:pt idx="0">
                  <c:v>Weekly Workload</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Dashboard!$B$52:$B$63</c:f>
              <c:numCache>
                <c:formatCode>m/d</c:formatCode>
                <c:ptCount val="12"/>
                <c:pt idx="0">
                  <c:v>46239</c:v>
                </c:pt>
                <c:pt idx="1">
                  <c:v>46246</c:v>
                </c:pt>
                <c:pt idx="2">
                  <c:v>46253</c:v>
                </c:pt>
                <c:pt idx="3">
                  <c:v>46260</c:v>
                </c:pt>
                <c:pt idx="4">
                  <c:v>46267</c:v>
                </c:pt>
                <c:pt idx="5">
                  <c:v>46274</c:v>
                </c:pt>
                <c:pt idx="6">
                  <c:v>46281</c:v>
                </c:pt>
                <c:pt idx="7">
                  <c:v>46288</c:v>
                </c:pt>
                <c:pt idx="8">
                  <c:v>46295</c:v>
                </c:pt>
                <c:pt idx="9">
                  <c:v>46302</c:v>
                </c:pt>
                <c:pt idx="10">
                  <c:v>46309</c:v>
                </c:pt>
                <c:pt idx="11">
                  <c:v>46316</c:v>
                </c:pt>
              </c:numCache>
            </c:numRef>
          </c:cat>
          <c:val>
            <c:numRef>
              <c:f>Dashboard!$C$52:$C$63</c:f>
              <c:numCache>
                <c:formatCode>0</c:formatCode>
                <c:ptCount val="12"/>
                <c:pt idx="0">
                  <c:v>0</c:v>
                </c:pt>
                <c:pt idx="1">
                  <c:v>0</c:v>
                </c:pt>
                <c:pt idx="2">
                  <c:v>0</c:v>
                </c:pt>
                <c:pt idx="3">
                  <c:v>0</c:v>
                </c:pt>
                <c:pt idx="4">
                  <c:v>235.94</c:v>
                </c:pt>
                <c:pt idx="5">
                  <c:v>347.9</c:v>
                </c:pt>
                <c:pt idx="6">
                  <c:v>511.15</c:v>
                </c:pt>
                <c:pt idx="7">
                  <c:v>521.04999999999995</c:v>
                </c:pt>
                <c:pt idx="8">
                  <c:v>325.20799999999997</c:v>
                </c:pt>
                <c:pt idx="9">
                  <c:v>0</c:v>
                </c:pt>
                <c:pt idx="10">
                  <c:v>0</c:v>
                </c:pt>
                <c:pt idx="11">
                  <c:v>0</c:v>
                </c:pt>
              </c:numCache>
            </c:numRef>
          </c:val>
          <c:extLst>
            <c:ext xmlns:c16="http://schemas.microsoft.com/office/drawing/2014/chart" uri="{C3380CC4-5D6E-409C-BE32-E72D297353CC}">
              <c16:uniqueId val="{00000000-7A19-4E0A-A5E2-632C595A29D4}"/>
            </c:ext>
          </c:extLst>
        </c:ser>
        <c:dLbls>
          <c:showLegendKey val="0"/>
          <c:showVal val="0"/>
          <c:showCatName val="0"/>
          <c:showSerName val="0"/>
          <c:showPercent val="0"/>
          <c:showBubbleSize val="0"/>
        </c:dLbls>
        <c:gapWidth val="150"/>
        <c:axId val="47184685"/>
        <c:axId val="8464997"/>
      </c:barChart>
      <c:dateAx>
        <c:axId val="47184685"/>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Week ending</a:t>
                </a:r>
              </a:p>
            </c:rich>
          </c:tx>
          <c:overlay val="0"/>
          <c:spPr>
            <a:noFill/>
            <a:ln w="0">
              <a:noFill/>
            </a:ln>
          </c:spPr>
        </c:title>
        <c:numFmt formatCode="m/d"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64997"/>
        <c:crosses val="autoZero"/>
        <c:auto val="1"/>
        <c:lblOffset val="100"/>
        <c:baseTimeUnit val="days"/>
      </c:dateAx>
      <c:valAx>
        <c:axId val="846499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Workload</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718468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Weekly Workload</a:t>
            </a:r>
          </a:p>
        </c:rich>
      </c:tx>
      <c:overlay val="0"/>
      <c:spPr>
        <a:noFill/>
        <a:ln w="0">
          <a:noFill/>
        </a:ln>
      </c:spPr>
    </c:title>
    <c:autoTitleDeleted val="0"/>
    <c:plotArea>
      <c:layout/>
      <c:barChart>
        <c:barDir val="col"/>
        <c:grouping val="clustered"/>
        <c:varyColors val="0"/>
        <c:ser>
          <c:idx val="0"/>
          <c:order val="0"/>
          <c:tx>
            <c:strRef>
              <c:f>'Build-Up Lewis'!$D$18</c:f>
              <c:strCache>
                <c:ptCount val="1"/>
                <c:pt idx="0">
                  <c:v>Weekly Workload</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'Build-Up Lewis'!$B$19:$B$39</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cat>
          <c:val>
            <c:numRef>
              <c:f>'Build-Up Lewis'!$D$19:$D$39</c:f>
              <c:numCache>
                <c:formatCode>0</c:formatCode>
                <c:ptCount val="21"/>
                <c:pt idx="0">
                  <c:v>66</c:v>
                </c:pt>
                <c:pt idx="1">
                  <c:v>85.350000000000009</c:v>
                </c:pt>
                <c:pt idx="2">
                  <c:v>103.5</c:v>
                </c:pt>
                <c:pt idx="3">
                  <c:v>103.57714285714286</c:v>
                </c:pt>
                <c:pt idx="4">
                  <c:v>115.72285714285715</c:v>
                </c:pt>
                <c:pt idx="5">
                  <c:v>136.4325</c:v>
                </c:pt>
                <c:pt idx="6">
                  <c:v>145.38</c:v>
                </c:pt>
                <c:pt idx="7">
                  <c:v>165.61666666666665</c:v>
                </c:pt>
                <c:pt idx="8">
                  <c:v>206.38833333333332</c:v>
                </c:pt>
                <c:pt idx="9">
                  <c:v>211.185</c:v>
                </c:pt>
                <c:pt idx="10">
                  <c:v>223.28333333333333</c:v>
                </c:pt>
                <c:pt idx="11">
                  <c:v>225.72749999999999</c:v>
                </c:pt>
                <c:pt idx="12">
                  <c:v>109.5</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5A23-4AE8-AD95-1ACE19AA6DE2}"/>
            </c:ext>
          </c:extLst>
        </c:ser>
        <c:dLbls>
          <c:showLegendKey val="0"/>
          <c:showVal val="0"/>
          <c:showCatName val="0"/>
          <c:showSerName val="0"/>
          <c:showPercent val="0"/>
          <c:showBubbleSize val="0"/>
        </c:dLbls>
        <c:gapWidth val="150"/>
        <c:axId val="43267007"/>
        <c:axId val="70878598"/>
      </c:barChart>
      <c:catAx>
        <c:axId val="4326700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878598"/>
        <c:crosses val="autoZero"/>
        <c:auto val="1"/>
        <c:lblAlgn val="ctr"/>
        <c:lblOffset val="100"/>
        <c:noMultiLvlLbl val="0"/>
      </c:catAx>
      <c:valAx>
        <c:axId val="70878598"/>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26700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Daily ACWR vs Sweet Spot</a:t>
            </a:r>
          </a:p>
        </c:rich>
      </c:tx>
      <c:overlay val="0"/>
      <c:spPr>
        <a:noFill/>
        <a:ln w="0">
          <a:noFill/>
        </a:ln>
      </c:spPr>
    </c:title>
    <c:autoTitleDeleted val="0"/>
    <c:plotArea>
      <c:layout/>
      <c:lineChart>
        <c:grouping val="standard"/>
        <c:varyColors val="0"/>
        <c:ser>
          <c:idx val="0"/>
          <c:order val="0"/>
          <c:tx>
            <c:v>ACWR</c:v>
          </c:tx>
          <c:spPr>
            <a:ln w="28440">
              <a:solidFill>
                <a:srgbClr val="4A7EBB"/>
              </a:solidFill>
              <a:round/>
            </a:ln>
          </c:spPr>
          <c:marker>
            <c:symbol val="none"/>
          </c:marker>
          <c:cat>
            <c:strRef>
              <c:f>'Build-Up Lewis'!$A$70:$A$183</c:f>
              <c:strCache>
                <c:ptCount val="58"/>
                <c:pt idx="0">
                  <c:v>11/8/2026</c:v>
                </c:pt>
                <c:pt idx="1">
                  <c:v>11/9/2026</c:v>
                </c:pt>
                <c:pt idx="2">
                  <c:v>11/10/2026</c:v>
                </c:pt>
                <c:pt idx="3">
                  <c:v>11/11/2026</c:v>
                </c:pt>
                <c:pt idx="4">
                  <c:v>11/12/2026</c:v>
                </c:pt>
                <c:pt idx="5">
                  <c:v>11/13/2026</c:v>
                </c:pt>
                <c:pt idx="6">
                  <c:v>11/14/2026</c:v>
                </c:pt>
                <c:pt idx="7">
                  <c:v>11/15/2026</c:v>
                </c:pt>
                <c:pt idx="8">
                  <c:v>11/16/2026</c:v>
                </c:pt>
                <c:pt idx="9">
                  <c:v>11/17/2026</c:v>
                </c:pt>
                <c:pt idx="10">
                  <c:v>11/18/2026</c:v>
                </c:pt>
                <c:pt idx="11">
                  <c:v>11/19/2026</c:v>
                </c:pt>
                <c:pt idx="12">
                  <c:v>11/20/2026</c:v>
                </c:pt>
                <c:pt idx="13">
                  <c:v>11/21/2026</c:v>
                </c:pt>
                <c:pt idx="14">
                  <c:v>11/22/2026</c:v>
                </c:pt>
                <c:pt idx="15">
                  <c:v>11/23/2026</c:v>
                </c:pt>
                <c:pt idx="16">
                  <c:v>11/24/2026</c:v>
                </c:pt>
                <c:pt idx="17">
                  <c:v>11/25/2026</c:v>
                </c:pt>
                <c:pt idx="18">
                  <c:v>11/26/2026</c:v>
                </c:pt>
                <c:pt idx="19">
                  <c:v>11/27/2026</c:v>
                </c:pt>
                <c:pt idx="20">
                  <c:v>11/28/2026</c:v>
                </c:pt>
                <c:pt idx="21">
                  <c:v>11/29/2026</c:v>
                </c:pt>
                <c:pt idx="22">
                  <c:v>11/30/2026</c:v>
                </c:pt>
                <c:pt idx="23">
                  <c:v>12/1/2026</c:v>
                </c:pt>
                <c:pt idx="24">
                  <c:v>12/2/2026</c:v>
                </c:pt>
                <c:pt idx="25">
                  <c:v>12/3/2026</c:v>
                </c:pt>
                <c:pt idx="26">
                  <c:v>12/4/2026</c:v>
                </c:pt>
                <c:pt idx="27">
                  <c:v>12/5/2026</c:v>
                </c:pt>
                <c:pt idx="28">
                  <c:v>12/6/2026</c:v>
                </c:pt>
                <c:pt idx="29">
                  <c:v>12/7/2026</c:v>
                </c:pt>
                <c:pt idx="30">
                  <c:v>12/8/2026</c:v>
                </c:pt>
                <c:pt idx="31">
                  <c:v>12/9/2026</c:v>
                </c:pt>
                <c:pt idx="32">
                  <c:v>12/10/2026</c:v>
                </c:pt>
                <c:pt idx="33">
                  <c:v>12/11/2026</c:v>
                </c:pt>
                <c:pt idx="34">
                  <c:v>12/12/2026</c:v>
                </c:pt>
                <c:pt idx="35">
                  <c:v>12/13/2026</c:v>
                </c:pt>
                <c:pt idx="36">
                  <c:v>12/14/2026</c:v>
                </c:pt>
                <c:pt idx="37">
                  <c:v>12/15/2026</c:v>
                </c:pt>
                <c:pt idx="38">
                  <c:v>12/16/2026</c:v>
                </c:pt>
                <c:pt idx="39">
                  <c:v>12/17/2026</c:v>
                </c:pt>
                <c:pt idx="40">
                  <c:v>12/18/2026</c:v>
                </c:pt>
                <c:pt idx="41">
                  <c:v>12/19/2026</c:v>
                </c:pt>
                <c:pt idx="42">
                  <c:v>12/20/2026</c:v>
                </c:pt>
                <c:pt idx="43">
                  <c:v>12/21/2026</c:v>
                </c:pt>
                <c:pt idx="44">
                  <c:v>12/22/2026</c:v>
                </c:pt>
                <c:pt idx="45">
                  <c:v>12/23/2026</c:v>
                </c:pt>
                <c:pt idx="46">
                  <c:v>12/24/2026</c:v>
                </c:pt>
                <c:pt idx="47">
                  <c:v>12/25/2026</c:v>
                </c:pt>
                <c:pt idx="48">
                  <c:v>12/26/2026</c:v>
                </c:pt>
                <c:pt idx="49">
                  <c:v>12/27/2026</c:v>
                </c:pt>
                <c:pt idx="50">
                  <c:v>12/28/2026</c:v>
                </c:pt>
                <c:pt idx="51">
                  <c:v>12/29/2026</c:v>
                </c:pt>
                <c:pt idx="52">
                  <c:v>12/30/2026</c:v>
                </c:pt>
                <c:pt idx="53">
                  <c:v>12/31/2026</c:v>
                </c:pt>
                <c:pt idx="54">
                  <c:v>1/1/2027</c:v>
                </c:pt>
                <c:pt idx="55">
                  <c:v>1/2/2027</c:v>
                </c:pt>
                <c:pt idx="56">
                  <c:v>1/3/2027</c:v>
                </c:pt>
                <c:pt idx="57">
                  <c:v>1/4/2027</c:v>
                </c:pt>
              </c:strCache>
            </c:strRef>
          </c:cat>
          <c:val>
            <c:numRef>
              <c:f>'Build-Up Lewis'!$AH$70:$AH$183</c:f>
            </c:numRef>
          </c:val>
          <c:smooth val="0"/>
          <c:extLst>
            <c:ext xmlns:c16="http://schemas.microsoft.com/office/drawing/2014/chart" uri="{C3380CC4-5D6E-409C-BE32-E72D297353CC}">
              <c16:uniqueId val="{00000000-C6FB-4614-8690-873E12797EAA}"/>
            </c:ext>
          </c:extLst>
        </c:ser>
        <c:ser>
          <c:idx val="1"/>
          <c:order val="1"/>
          <c:tx>
            <c:v>0.8</c:v>
          </c:tx>
          <c:spPr>
            <a:ln w="28440">
              <a:solidFill>
                <a:srgbClr val="BE4B48"/>
              </a:solidFill>
              <a:prstDash val="dash"/>
              <a:round/>
            </a:ln>
          </c:spPr>
          <c:marker>
            <c:symbol val="none"/>
          </c:marker>
          <c:cat>
            <c:strRef>
              <c:f>'Build-Up Lewis'!$A$70:$A$183</c:f>
              <c:strCache>
                <c:ptCount val="58"/>
                <c:pt idx="0">
                  <c:v>11/8/2026</c:v>
                </c:pt>
                <c:pt idx="1">
                  <c:v>11/9/2026</c:v>
                </c:pt>
                <c:pt idx="2">
                  <c:v>11/10/2026</c:v>
                </c:pt>
                <c:pt idx="3">
                  <c:v>11/11/2026</c:v>
                </c:pt>
                <c:pt idx="4">
                  <c:v>11/12/2026</c:v>
                </c:pt>
                <c:pt idx="5">
                  <c:v>11/13/2026</c:v>
                </c:pt>
                <c:pt idx="6">
                  <c:v>11/14/2026</c:v>
                </c:pt>
                <c:pt idx="7">
                  <c:v>11/15/2026</c:v>
                </c:pt>
                <c:pt idx="8">
                  <c:v>11/16/2026</c:v>
                </c:pt>
                <c:pt idx="9">
                  <c:v>11/17/2026</c:v>
                </c:pt>
                <c:pt idx="10">
                  <c:v>11/18/2026</c:v>
                </c:pt>
                <c:pt idx="11">
                  <c:v>11/19/2026</c:v>
                </c:pt>
                <c:pt idx="12">
                  <c:v>11/20/2026</c:v>
                </c:pt>
                <c:pt idx="13">
                  <c:v>11/21/2026</c:v>
                </c:pt>
                <c:pt idx="14">
                  <c:v>11/22/2026</c:v>
                </c:pt>
                <c:pt idx="15">
                  <c:v>11/23/2026</c:v>
                </c:pt>
                <c:pt idx="16">
                  <c:v>11/24/2026</c:v>
                </c:pt>
                <c:pt idx="17">
                  <c:v>11/25/2026</c:v>
                </c:pt>
                <c:pt idx="18">
                  <c:v>11/26/2026</c:v>
                </c:pt>
                <c:pt idx="19">
                  <c:v>11/27/2026</c:v>
                </c:pt>
                <c:pt idx="20">
                  <c:v>11/28/2026</c:v>
                </c:pt>
                <c:pt idx="21">
                  <c:v>11/29/2026</c:v>
                </c:pt>
                <c:pt idx="22">
                  <c:v>11/30/2026</c:v>
                </c:pt>
                <c:pt idx="23">
                  <c:v>12/1/2026</c:v>
                </c:pt>
                <c:pt idx="24">
                  <c:v>12/2/2026</c:v>
                </c:pt>
                <c:pt idx="25">
                  <c:v>12/3/2026</c:v>
                </c:pt>
                <c:pt idx="26">
                  <c:v>12/4/2026</c:v>
                </c:pt>
                <c:pt idx="27">
                  <c:v>12/5/2026</c:v>
                </c:pt>
                <c:pt idx="28">
                  <c:v>12/6/2026</c:v>
                </c:pt>
                <c:pt idx="29">
                  <c:v>12/7/2026</c:v>
                </c:pt>
                <c:pt idx="30">
                  <c:v>12/8/2026</c:v>
                </c:pt>
                <c:pt idx="31">
                  <c:v>12/9/2026</c:v>
                </c:pt>
                <c:pt idx="32">
                  <c:v>12/10/2026</c:v>
                </c:pt>
                <c:pt idx="33">
                  <c:v>12/11/2026</c:v>
                </c:pt>
                <c:pt idx="34">
                  <c:v>12/12/2026</c:v>
                </c:pt>
                <c:pt idx="35">
                  <c:v>12/13/2026</c:v>
                </c:pt>
                <c:pt idx="36">
                  <c:v>12/14/2026</c:v>
                </c:pt>
                <c:pt idx="37">
                  <c:v>12/15/2026</c:v>
                </c:pt>
                <c:pt idx="38">
                  <c:v>12/16/2026</c:v>
                </c:pt>
                <c:pt idx="39">
                  <c:v>12/17/2026</c:v>
                </c:pt>
                <c:pt idx="40">
                  <c:v>12/18/2026</c:v>
                </c:pt>
                <c:pt idx="41">
                  <c:v>12/19/2026</c:v>
                </c:pt>
                <c:pt idx="42">
                  <c:v>12/20/2026</c:v>
                </c:pt>
                <c:pt idx="43">
                  <c:v>12/21/2026</c:v>
                </c:pt>
                <c:pt idx="44">
                  <c:v>12/22/2026</c:v>
                </c:pt>
                <c:pt idx="45">
                  <c:v>12/23/2026</c:v>
                </c:pt>
                <c:pt idx="46">
                  <c:v>12/24/2026</c:v>
                </c:pt>
                <c:pt idx="47">
                  <c:v>12/25/2026</c:v>
                </c:pt>
                <c:pt idx="48">
                  <c:v>12/26/2026</c:v>
                </c:pt>
                <c:pt idx="49">
                  <c:v>12/27/2026</c:v>
                </c:pt>
                <c:pt idx="50">
                  <c:v>12/28/2026</c:v>
                </c:pt>
                <c:pt idx="51">
                  <c:v>12/29/2026</c:v>
                </c:pt>
                <c:pt idx="52">
                  <c:v>12/30/2026</c:v>
                </c:pt>
                <c:pt idx="53">
                  <c:v>12/31/2026</c:v>
                </c:pt>
                <c:pt idx="54">
                  <c:v>1/1/2027</c:v>
                </c:pt>
                <c:pt idx="55">
                  <c:v>1/2/2027</c:v>
                </c:pt>
                <c:pt idx="56">
                  <c:v>1/3/2027</c:v>
                </c:pt>
                <c:pt idx="57">
                  <c:v>1/4/2027</c:v>
                </c:pt>
              </c:strCache>
            </c:strRef>
          </c:cat>
          <c:val>
            <c:numRef>
              <c:f>'Build-Up Lewis'!$AI$70:$AI$183</c:f>
            </c:numRef>
          </c:val>
          <c:smooth val="0"/>
          <c:extLst>
            <c:ext xmlns:c16="http://schemas.microsoft.com/office/drawing/2014/chart" uri="{C3380CC4-5D6E-409C-BE32-E72D297353CC}">
              <c16:uniqueId val="{00000001-C6FB-4614-8690-873E12797EAA}"/>
            </c:ext>
          </c:extLst>
        </c:ser>
        <c:ser>
          <c:idx val="2"/>
          <c:order val="2"/>
          <c:tx>
            <c:v>1.3</c:v>
          </c:tx>
          <c:spPr>
            <a:ln w="28440">
              <a:solidFill>
                <a:srgbClr val="98B855"/>
              </a:solidFill>
              <a:prstDash val="dash"/>
              <a:round/>
            </a:ln>
          </c:spPr>
          <c:marker>
            <c:symbol val="none"/>
          </c:marker>
          <c:cat>
            <c:strRef>
              <c:f>'Build-Up Lewis'!$A$70:$A$183</c:f>
              <c:strCache>
                <c:ptCount val="58"/>
                <c:pt idx="0">
                  <c:v>11/8/2026</c:v>
                </c:pt>
                <c:pt idx="1">
                  <c:v>11/9/2026</c:v>
                </c:pt>
                <c:pt idx="2">
                  <c:v>11/10/2026</c:v>
                </c:pt>
                <c:pt idx="3">
                  <c:v>11/11/2026</c:v>
                </c:pt>
                <c:pt idx="4">
                  <c:v>11/12/2026</c:v>
                </c:pt>
                <c:pt idx="5">
                  <c:v>11/13/2026</c:v>
                </c:pt>
                <c:pt idx="6">
                  <c:v>11/14/2026</c:v>
                </c:pt>
                <c:pt idx="7">
                  <c:v>11/15/2026</c:v>
                </c:pt>
                <c:pt idx="8">
                  <c:v>11/16/2026</c:v>
                </c:pt>
                <c:pt idx="9">
                  <c:v>11/17/2026</c:v>
                </c:pt>
                <c:pt idx="10">
                  <c:v>11/18/2026</c:v>
                </c:pt>
                <c:pt idx="11">
                  <c:v>11/19/2026</c:v>
                </c:pt>
                <c:pt idx="12">
                  <c:v>11/20/2026</c:v>
                </c:pt>
                <c:pt idx="13">
                  <c:v>11/21/2026</c:v>
                </c:pt>
                <c:pt idx="14">
                  <c:v>11/22/2026</c:v>
                </c:pt>
                <c:pt idx="15">
                  <c:v>11/23/2026</c:v>
                </c:pt>
                <c:pt idx="16">
                  <c:v>11/24/2026</c:v>
                </c:pt>
                <c:pt idx="17">
                  <c:v>11/25/2026</c:v>
                </c:pt>
                <c:pt idx="18">
                  <c:v>11/26/2026</c:v>
                </c:pt>
                <c:pt idx="19">
                  <c:v>11/27/2026</c:v>
                </c:pt>
                <c:pt idx="20">
                  <c:v>11/28/2026</c:v>
                </c:pt>
                <c:pt idx="21">
                  <c:v>11/29/2026</c:v>
                </c:pt>
                <c:pt idx="22">
                  <c:v>11/30/2026</c:v>
                </c:pt>
                <c:pt idx="23">
                  <c:v>12/1/2026</c:v>
                </c:pt>
                <c:pt idx="24">
                  <c:v>12/2/2026</c:v>
                </c:pt>
                <c:pt idx="25">
                  <c:v>12/3/2026</c:v>
                </c:pt>
                <c:pt idx="26">
                  <c:v>12/4/2026</c:v>
                </c:pt>
                <c:pt idx="27">
                  <c:v>12/5/2026</c:v>
                </c:pt>
                <c:pt idx="28">
                  <c:v>12/6/2026</c:v>
                </c:pt>
                <c:pt idx="29">
                  <c:v>12/7/2026</c:v>
                </c:pt>
                <c:pt idx="30">
                  <c:v>12/8/2026</c:v>
                </c:pt>
                <c:pt idx="31">
                  <c:v>12/9/2026</c:v>
                </c:pt>
                <c:pt idx="32">
                  <c:v>12/10/2026</c:v>
                </c:pt>
                <c:pt idx="33">
                  <c:v>12/11/2026</c:v>
                </c:pt>
                <c:pt idx="34">
                  <c:v>12/12/2026</c:v>
                </c:pt>
                <c:pt idx="35">
                  <c:v>12/13/2026</c:v>
                </c:pt>
                <c:pt idx="36">
                  <c:v>12/14/2026</c:v>
                </c:pt>
                <c:pt idx="37">
                  <c:v>12/15/2026</c:v>
                </c:pt>
                <c:pt idx="38">
                  <c:v>12/16/2026</c:v>
                </c:pt>
                <c:pt idx="39">
                  <c:v>12/17/2026</c:v>
                </c:pt>
                <c:pt idx="40">
                  <c:v>12/18/2026</c:v>
                </c:pt>
                <c:pt idx="41">
                  <c:v>12/19/2026</c:v>
                </c:pt>
                <c:pt idx="42">
                  <c:v>12/20/2026</c:v>
                </c:pt>
                <c:pt idx="43">
                  <c:v>12/21/2026</c:v>
                </c:pt>
                <c:pt idx="44">
                  <c:v>12/22/2026</c:v>
                </c:pt>
                <c:pt idx="45">
                  <c:v>12/23/2026</c:v>
                </c:pt>
                <c:pt idx="46">
                  <c:v>12/24/2026</c:v>
                </c:pt>
                <c:pt idx="47">
                  <c:v>12/25/2026</c:v>
                </c:pt>
                <c:pt idx="48">
                  <c:v>12/26/2026</c:v>
                </c:pt>
                <c:pt idx="49">
                  <c:v>12/27/2026</c:v>
                </c:pt>
                <c:pt idx="50">
                  <c:v>12/28/2026</c:v>
                </c:pt>
                <c:pt idx="51">
                  <c:v>12/29/2026</c:v>
                </c:pt>
                <c:pt idx="52">
                  <c:v>12/30/2026</c:v>
                </c:pt>
                <c:pt idx="53">
                  <c:v>12/31/2026</c:v>
                </c:pt>
                <c:pt idx="54">
                  <c:v>1/1/2027</c:v>
                </c:pt>
                <c:pt idx="55">
                  <c:v>1/2/2027</c:v>
                </c:pt>
                <c:pt idx="56">
                  <c:v>1/3/2027</c:v>
                </c:pt>
                <c:pt idx="57">
                  <c:v>1/4/2027</c:v>
                </c:pt>
              </c:strCache>
            </c:strRef>
          </c:cat>
          <c:val>
            <c:numRef>
              <c:f>'Build-Up Lewis'!$AJ$70:$AJ$183</c:f>
            </c:numRef>
          </c:val>
          <c:smooth val="0"/>
          <c:extLst>
            <c:ext xmlns:c16="http://schemas.microsoft.com/office/drawing/2014/chart" uri="{C3380CC4-5D6E-409C-BE32-E72D297353CC}">
              <c16:uniqueId val="{00000002-C6FB-4614-8690-873E12797EAA}"/>
            </c:ext>
          </c:extLst>
        </c:ser>
        <c:dLbls>
          <c:showLegendKey val="0"/>
          <c:showVal val="0"/>
          <c:showCatName val="0"/>
          <c:showSerName val="0"/>
          <c:showPercent val="0"/>
          <c:showBubbleSize val="0"/>
        </c:dLbls>
        <c:hiLowLines>
          <c:spPr>
            <a:ln w="0">
              <a:noFill/>
            </a:ln>
          </c:spPr>
        </c:hiLowLines>
        <c:marker val="1"/>
        <c:smooth val="0"/>
        <c:axId val="57748906"/>
        <c:axId val="8588638"/>
      </c:lineChart>
      <c:catAx>
        <c:axId val="57748906"/>
        <c:scaling>
          <c:orientation val="minMax"/>
        </c:scaling>
        <c:delete val="0"/>
        <c:axPos val="b"/>
        <c:numFmt formatCode="m/d"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88638"/>
        <c:crosses val="autoZero"/>
        <c:auto val="1"/>
        <c:lblAlgn val="ctr"/>
        <c:lblOffset val="100"/>
        <c:noMultiLvlLbl val="0"/>
      </c:catAx>
      <c:valAx>
        <c:axId val="8588638"/>
        <c:scaling>
          <c:orientation val="minMax"/>
          <c:max val="1.6"/>
          <c:min val="0.6"/>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74890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Weekly Workload</a:t>
            </a:r>
          </a:p>
        </c:rich>
      </c:tx>
      <c:overlay val="0"/>
      <c:spPr>
        <a:noFill/>
        <a:ln w="0">
          <a:noFill/>
        </a:ln>
      </c:spPr>
    </c:title>
    <c:autoTitleDeleted val="0"/>
    <c:plotArea>
      <c:layout/>
      <c:barChart>
        <c:barDir val="col"/>
        <c:grouping val="clustered"/>
        <c:varyColors val="0"/>
        <c:ser>
          <c:idx val="0"/>
          <c:order val="0"/>
          <c:tx>
            <c:strRef>
              <c:f>'Build-Up Doty'!$D$18</c:f>
              <c:strCache>
                <c:ptCount val="1"/>
                <c:pt idx="0">
                  <c:v>Weekly Workload</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'Build-Up Doty'!$B$19:$B$39</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cat>
          <c:val>
            <c:numRef>
              <c:f>'Build-Up Doty'!$D$19:$D$39</c:f>
              <c:numCache>
                <c:formatCode>0</c:formatCode>
                <c:ptCount val="21"/>
                <c:pt idx="0">
                  <c:v>66</c:v>
                </c:pt>
                <c:pt idx="1">
                  <c:v>85.350000000000009</c:v>
                </c:pt>
                <c:pt idx="2">
                  <c:v>103.5</c:v>
                </c:pt>
                <c:pt idx="3">
                  <c:v>103.57714285714286</c:v>
                </c:pt>
                <c:pt idx="4">
                  <c:v>115.72285714285715</c:v>
                </c:pt>
                <c:pt idx="5">
                  <c:v>136.4325</c:v>
                </c:pt>
                <c:pt idx="6">
                  <c:v>145.38</c:v>
                </c:pt>
                <c:pt idx="7">
                  <c:v>165.61666666666665</c:v>
                </c:pt>
                <c:pt idx="8">
                  <c:v>206.38833333333332</c:v>
                </c:pt>
                <c:pt idx="9">
                  <c:v>211.185</c:v>
                </c:pt>
                <c:pt idx="10">
                  <c:v>223.28333333333333</c:v>
                </c:pt>
                <c:pt idx="11">
                  <c:v>225.72749999999999</c:v>
                </c:pt>
                <c:pt idx="12">
                  <c:v>109.5</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908B-42F5-B6A8-B95A37428CB1}"/>
            </c:ext>
          </c:extLst>
        </c:ser>
        <c:dLbls>
          <c:showLegendKey val="0"/>
          <c:showVal val="0"/>
          <c:showCatName val="0"/>
          <c:showSerName val="0"/>
          <c:showPercent val="0"/>
          <c:showBubbleSize val="0"/>
        </c:dLbls>
        <c:gapWidth val="150"/>
        <c:axId val="56607267"/>
        <c:axId val="93391951"/>
      </c:barChart>
      <c:catAx>
        <c:axId val="566072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391951"/>
        <c:crosses val="autoZero"/>
        <c:auto val="1"/>
        <c:lblAlgn val="ctr"/>
        <c:lblOffset val="100"/>
        <c:noMultiLvlLbl val="0"/>
      </c:catAx>
      <c:valAx>
        <c:axId val="93391951"/>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60726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Daily ACWR vs Sweet Spot</a:t>
            </a:r>
          </a:p>
        </c:rich>
      </c:tx>
      <c:overlay val="0"/>
      <c:spPr>
        <a:noFill/>
        <a:ln w="0">
          <a:noFill/>
        </a:ln>
      </c:spPr>
    </c:title>
    <c:autoTitleDeleted val="0"/>
    <c:plotArea>
      <c:layout/>
      <c:lineChart>
        <c:grouping val="standard"/>
        <c:varyColors val="0"/>
        <c:ser>
          <c:idx val="0"/>
          <c:order val="0"/>
          <c:tx>
            <c:v>ACWR</c:v>
          </c:tx>
          <c:spPr>
            <a:ln w="28440">
              <a:solidFill>
                <a:srgbClr val="4A7EBB"/>
              </a:solidFill>
              <a:round/>
            </a:ln>
          </c:spPr>
          <c:marker>
            <c:symbol val="none"/>
          </c:marker>
          <c:cat>
            <c:strRef>
              <c:f>'Build-Up Doty'!$A$70:$A$183</c:f>
              <c:strCache>
                <c:ptCount val="58"/>
                <c:pt idx="0">
                  <c:v>11/8/2026</c:v>
                </c:pt>
                <c:pt idx="1">
                  <c:v>11/9/2026</c:v>
                </c:pt>
                <c:pt idx="2">
                  <c:v>11/10/2026</c:v>
                </c:pt>
                <c:pt idx="3">
                  <c:v>11/11/2026</c:v>
                </c:pt>
                <c:pt idx="4">
                  <c:v>11/12/2026</c:v>
                </c:pt>
                <c:pt idx="5">
                  <c:v>11/13/2026</c:v>
                </c:pt>
                <c:pt idx="6">
                  <c:v>11/14/2026</c:v>
                </c:pt>
                <c:pt idx="7">
                  <c:v>11/15/2026</c:v>
                </c:pt>
                <c:pt idx="8">
                  <c:v>11/16/2026</c:v>
                </c:pt>
                <c:pt idx="9">
                  <c:v>11/17/2026</c:v>
                </c:pt>
                <c:pt idx="10">
                  <c:v>11/18/2026</c:v>
                </c:pt>
                <c:pt idx="11">
                  <c:v>11/19/2026</c:v>
                </c:pt>
                <c:pt idx="12">
                  <c:v>11/20/2026</c:v>
                </c:pt>
                <c:pt idx="13">
                  <c:v>11/21/2026</c:v>
                </c:pt>
                <c:pt idx="14">
                  <c:v>11/22/2026</c:v>
                </c:pt>
                <c:pt idx="15">
                  <c:v>11/23/2026</c:v>
                </c:pt>
                <c:pt idx="16">
                  <c:v>11/24/2026</c:v>
                </c:pt>
                <c:pt idx="17">
                  <c:v>11/25/2026</c:v>
                </c:pt>
                <c:pt idx="18">
                  <c:v>11/26/2026</c:v>
                </c:pt>
                <c:pt idx="19">
                  <c:v>11/27/2026</c:v>
                </c:pt>
                <c:pt idx="20">
                  <c:v>11/28/2026</c:v>
                </c:pt>
                <c:pt idx="21">
                  <c:v>11/29/2026</c:v>
                </c:pt>
                <c:pt idx="22">
                  <c:v>11/30/2026</c:v>
                </c:pt>
                <c:pt idx="23">
                  <c:v>12/1/2026</c:v>
                </c:pt>
                <c:pt idx="24">
                  <c:v>12/2/2026</c:v>
                </c:pt>
                <c:pt idx="25">
                  <c:v>12/3/2026</c:v>
                </c:pt>
                <c:pt idx="26">
                  <c:v>12/4/2026</c:v>
                </c:pt>
                <c:pt idx="27">
                  <c:v>12/5/2026</c:v>
                </c:pt>
                <c:pt idx="28">
                  <c:v>12/6/2026</c:v>
                </c:pt>
                <c:pt idx="29">
                  <c:v>12/7/2026</c:v>
                </c:pt>
                <c:pt idx="30">
                  <c:v>12/8/2026</c:v>
                </c:pt>
                <c:pt idx="31">
                  <c:v>12/9/2026</c:v>
                </c:pt>
                <c:pt idx="32">
                  <c:v>12/10/2026</c:v>
                </c:pt>
                <c:pt idx="33">
                  <c:v>12/11/2026</c:v>
                </c:pt>
                <c:pt idx="34">
                  <c:v>12/12/2026</c:v>
                </c:pt>
                <c:pt idx="35">
                  <c:v>12/13/2026</c:v>
                </c:pt>
                <c:pt idx="36">
                  <c:v>12/14/2026</c:v>
                </c:pt>
                <c:pt idx="37">
                  <c:v>12/15/2026</c:v>
                </c:pt>
                <c:pt idx="38">
                  <c:v>12/16/2026</c:v>
                </c:pt>
                <c:pt idx="39">
                  <c:v>12/17/2026</c:v>
                </c:pt>
                <c:pt idx="40">
                  <c:v>12/18/2026</c:v>
                </c:pt>
                <c:pt idx="41">
                  <c:v>12/19/2026</c:v>
                </c:pt>
                <c:pt idx="42">
                  <c:v>12/20/2026</c:v>
                </c:pt>
                <c:pt idx="43">
                  <c:v>12/21/2026</c:v>
                </c:pt>
                <c:pt idx="44">
                  <c:v>12/22/2026</c:v>
                </c:pt>
                <c:pt idx="45">
                  <c:v>12/23/2026</c:v>
                </c:pt>
                <c:pt idx="46">
                  <c:v>12/24/2026</c:v>
                </c:pt>
                <c:pt idx="47">
                  <c:v>12/25/2026</c:v>
                </c:pt>
                <c:pt idx="48">
                  <c:v>12/26/2026</c:v>
                </c:pt>
                <c:pt idx="49">
                  <c:v>12/27/2026</c:v>
                </c:pt>
                <c:pt idx="50">
                  <c:v>12/28/2026</c:v>
                </c:pt>
                <c:pt idx="51">
                  <c:v>12/29/2026</c:v>
                </c:pt>
                <c:pt idx="52">
                  <c:v>12/30/2026</c:v>
                </c:pt>
                <c:pt idx="53">
                  <c:v>12/31/2026</c:v>
                </c:pt>
                <c:pt idx="54">
                  <c:v>1/1/2027</c:v>
                </c:pt>
                <c:pt idx="55">
                  <c:v>1/2/2027</c:v>
                </c:pt>
                <c:pt idx="56">
                  <c:v>1/3/2027</c:v>
                </c:pt>
                <c:pt idx="57">
                  <c:v>1/4/2027</c:v>
                </c:pt>
              </c:strCache>
            </c:strRef>
          </c:cat>
          <c:val>
            <c:numRef>
              <c:f>'Build-Up Doty'!$AH$70:$AH$183</c:f>
            </c:numRef>
          </c:val>
          <c:smooth val="0"/>
          <c:extLst>
            <c:ext xmlns:c16="http://schemas.microsoft.com/office/drawing/2014/chart" uri="{C3380CC4-5D6E-409C-BE32-E72D297353CC}">
              <c16:uniqueId val="{00000000-4F39-4B18-93BB-D4AEDBBE4A7E}"/>
            </c:ext>
          </c:extLst>
        </c:ser>
        <c:ser>
          <c:idx val="1"/>
          <c:order val="1"/>
          <c:tx>
            <c:v>0.8</c:v>
          </c:tx>
          <c:spPr>
            <a:ln w="28440">
              <a:solidFill>
                <a:srgbClr val="BE4B48"/>
              </a:solidFill>
              <a:prstDash val="dash"/>
              <a:round/>
            </a:ln>
          </c:spPr>
          <c:marker>
            <c:symbol val="none"/>
          </c:marker>
          <c:cat>
            <c:strRef>
              <c:f>'Build-Up Doty'!$A$70:$A$183</c:f>
              <c:strCache>
                <c:ptCount val="58"/>
                <c:pt idx="0">
                  <c:v>11/8/2026</c:v>
                </c:pt>
                <c:pt idx="1">
                  <c:v>11/9/2026</c:v>
                </c:pt>
                <c:pt idx="2">
                  <c:v>11/10/2026</c:v>
                </c:pt>
                <c:pt idx="3">
                  <c:v>11/11/2026</c:v>
                </c:pt>
                <c:pt idx="4">
                  <c:v>11/12/2026</c:v>
                </c:pt>
                <c:pt idx="5">
                  <c:v>11/13/2026</c:v>
                </c:pt>
                <c:pt idx="6">
                  <c:v>11/14/2026</c:v>
                </c:pt>
                <c:pt idx="7">
                  <c:v>11/15/2026</c:v>
                </c:pt>
                <c:pt idx="8">
                  <c:v>11/16/2026</c:v>
                </c:pt>
                <c:pt idx="9">
                  <c:v>11/17/2026</c:v>
                </c:pt>
                <c:pt idx="10">
                  <c:v>11/18/2026</c:v>
                </c:pt>
                <c:pt idx="11">
                  <c:v>11/19/2026</c:v>
                </c:pt>
                <c:pt idx="12">
                  <c:v>11/20/2026</c:v>
                </c:pt>
                <c:pt idx="13">
                  <c:v>11/21/2026</c:v>
                </c:pt>
                <c:pt idx="14">
                  <c:v>11/22/2026</c:v>
                </c:pt>
                <c:pt idx="15">
                  <c:v>11/23/2026</c:v>
                </c:pt>
                <c:pt idx="16">
                  <c:v>11/24/2026</c:v>
                </c:pt>
                <c:pt idx="17">
                  <c:v>11/25/2026</c:v>
                </c:pt>
                <c:pt idx="18">
                  <c:v>11/26/2026</c:v>
                </c:pt>
                <c:pt idx="19">
                  <c:v>11/27/2026</c:v>
                </c:pt>
                <c:pt idx="20">
                  <c:v>11/28/2026</c:v>
                </c:pt>
                <c:pt idx="21">
                  <c:v>11/29/2026</c:v>
                </c:pt>
                <c:pt idx="22">
                  <c:v>11/30/2026</c:v>
                </c:pt>
                <c:pt idx="23">
                  <c:v>12/1/2026</c:v>
                </c:pt>
                <c:pt idx="24">
                  <c:v>12/2/2026</c:v>
                </c:pt>
                <c:pt idx="25">
                  <c:v>12/3/2026</c:v>
                </c:pt>
                <c:pt idx="26">
                  <c:v>12/4/2026</c:v>
                </c:pt>
                <c:pt idx="27">
                  <c:v>12/5/2026</c:v>
                </c:pt>
                <c:pt idx="28">
                  <c:v>12/6/2026</c:v>
                </c:pt>
                <c:pt idx="29">
                  <c:v>12/7/2026</c:v>
                </c:pt>
                <c:pt idx="30">
                  <c:v>12/8/2026</c:v>
                </c:pt>
                <c:pt idx="31">
                  <c:v>12/9/2026</c:v>
                </c:pt>
                <c:pt idx="32">
                  <c:v>12/10/2026</c:v>
                </c:pt>
                <c:pt idx="33">
                  <c:v>12/11/2026</c:v>
                </c:pt>
                <c:pt idx="34">
                  <c:v>12/12/2026</c:v>
                </c:pt>
                <c:pt idx="35">
                  <c:v>12/13/2026</c:v>
                </c:pt>
                <c:pt idx="36">
                  <c:v>12/14/2026</c:v>
                </c:pt>
                <c:pt idx="37">
                  <c:v>12/15/2026</c:v>
                </c:pt>
                <c:pt idx="38">
                  <c:v>12/16/2026</c:v>
                </c:pt>
                <c:pt idx="39">
                  <c:v>12/17/2026</c:v>
                </c:pt>
                <c:pt idx="40">
                  <c:v>12/18/2026</c:v>
                </c:pt>
                <c:pt idx="41">
                  <c:v>12/19/2026</c:v>
                </c:pt>
                <c:pt idx="42">
                  <c:v>12/20/2026</c:v>
                </c:pt>
                <c:pt idx="43">
                  <c:v>12/21/2026</c:v>
                </c:pt>
                <c:pt idx="44">
                  <c:v>12/22/2026</c:v>
                </c:pt>
                <c:pt idx="45">
                  <c:v>12/23/2026</c:v>
                </c:pt>
                <c:pt idx="46">
                  <c:v>12/24/2026</c:v>
                </c:pt>
                <c:pt idx="47">
                  <c:v>12/25/2026</c:v>
                </c:pt>
                <c:pt idx="48">
                  <c:v>12/26/2026</c:v>
                </c:pt>
                <c:pt idx="49">
                  <c:v>12/27/2026</c:v>
                </c:pt>
                <c:pt idx="50">
                  <c:v>12/28/2026</c:v>
                </c:pt>
                <c:pt idx="51">
                  <c:v>12/29/2026</c:v>
                </c:pt>
                <c:pt idx="52">
                  <c:v>12/30/2026</c:v>
                </c:pt>
                <c:pt idx="53">
                  <c:v>12/31/2026</c:v>
                </c:pt>
                <c:pt idx="54">
                  <c:v>1/1/2027</c:v>
                </c:pt>
                <c:pt idx="55">
                  <c:v>1/2/2027</c:v>
                </c:pt>
                <c:pt idx="56">
                  <c:v>1/3/2027</c:v>
                </c:pt>
                <c:pt idx="57">
                  <c:v>1/4/2027</c:v>
                </c:pt>
              </c:strCache>
            </c:strRef>
          </c:cat>
          <c:val>
            <c:numRef>
              <c:f>'Build-Up Doty'!$AI$70:$AI$183</c:f>
            </c:numRef>
          </c:val>
          <c:smooth val="0"/>
          <c:extLst>
            <c:ext xmlns:c16="http://schemas.microsoft.com/office/drawing/2014/chart" uri="{C3380CC4-5D6E-409C-BE32-E72D297353CC}">
              <c16:uniqueId val="{00000001-4F39-4B18-93BB-D4AEDBBE4A7E}"/>
            </c:ext>
          </c:extLst>
        </c:ser>
        <c:ser>
          <c:idx val="2"/>
          <c:order val="2"/>
          <c:tx>
            <c:v>1.3</c:v>
          </c:tx>
          <c:spPr>
            <a:ln w="28440">
              <a:solidFill>
                <a:srgbClr val="98B855"/>
              </a:solidFill>
              <a:prstDash val="dash"/>
              <a:round/>
            </a:ln>
          </c:spPr>
          <c:marker>
            <c:symbol val="none"/>
          </c:marker>
          <c:cat>
            <c:strRef>
              <c:f>'Build-Up Doty'!$A$70:$A$183</c:f>
              <c:strCache>
                <c:ptCount val="58"/>
                <c:pt idx="0">
                  <c:v>11/8/2026</c:v>
                </c:pt>
                <c:pt idx="1">
                  <c:v>11/9/2026</c:v>
                </c:pt>
                <c:pt idx="2">
                  <c:v>11/10/2026</c:v>
                </c:pt>
                <c:pt idx="3">
                  <c:v>11/11/2026</c:v>
                </c:pt>
                <c:pt idx="4">
                  <c:v>11/12/2026</c:v>
                </c:pt>
                <c:pt idx="5">
                  <c:v>11/13/2026</c:v>
                </c:pt>
                <c:pt idx="6">
                  <c:v>11/14/2026</c:v>
                </c:pt>
                <c:pt idx="7">
                  <c:v>11/15/2026</c:v>
                </c:pt>
                <c:pt idx="8">
                  <c:v>11/16/2026</c:v>
                </c:pt>
                <c:pt idx="9">
                  <c:v>11/17/2026</c:v>
                </c:pt>
                <c:pt idx="10">
                  <c:v>11/18/2026</c:v>
                </c:pt>
                <c:pt idx="11">
                  <c:v>11/19/2026</c:v>
                </c:pt>
                <c:pt idx="12">
                  <c:v>11/20/2026</c:v>
                </c:pt>
                <c:pt idx="13">
                  <c:v>11/21/2026</c:v>
                </c:pt>
                <c:pt idx="14">
                  <c:v>11/22/2026</c:v>
                </c:pt>
                <c:pt idx="15">
                  <c:v>11/23/2026</c:v>
                </c:pt>
                <c:pt idx="16">
                  <c:v>11/24/2026</c:v>
                </c:pt>
                <c:pt idx="17">
                  <c:v>11/25/2026</c:v>
                </c:pt>
                <c:pt idx="18">
                  <c:v>11/26/2026</c:v>
                </c:pt>
                <c:pt idx="19">
                  <c:v>11/27/2026</c:v>
                </c:pt>
                <c:pt idx="20">
                  <c:v>11/28/2026</c:v>
                </c:pt>
                <c:pt idx="21">
                  <c:v>11/29/2026</c:v>
                </c:pt>
                <c:pt idx="22">
                  <c:v>11/30/2026</c:v>
                </c:pt>
                <c:pt idx="23">
                  <c:v>12/1/2026</c:v>
                </c:pt>
                <c:pt idx="24">
                  <c:v>12/2/2026</c:v>
                </c:pt>
                <c:pt idx="25">
                  <c:v>12/3/2026</c:v>
                </c:pt>
                <c:pt idx="26">
                  <c:v>12/4/2026</c:v>
                </c:pt>
                <c:pt idx="27">
                  <c:v>12/5/2026</c:v>
                </c:pt>
                <c:pt idx="28">
                  <c:v>12/6/2026</c:v>
                </c:pt>
                <c:pt idx="29">
                  <c:v>12/7/2026</c:v>
                </c:pt>
                <c:pt idx="30">
                  <c:v>12/8/2026</c:v>
                </c:pt>
                <c:pt idx="31">
                  <c:v>12/9/2026</c:v>
                </c:pt>
                <c:pt idx="32">
                  <c:v>12/10/2026</c:v>
                </c:pt>
                <c:pt idx="33">
                  <c:v>12/11/2026</c:v>
                </c:pt>
                <c:pt idx="34">
                  <c:v>12/12/2026</c:v>
                </c:pt>
                <c:pt idx="35">
                  <c:v>12/13/2026</c:v>
                </c:pt>
                <c:pt idx="36">
                  <c:v>12/14/2026</c:v>
                </c:pt>
                <c:pt idx="37">
                  <c:v>12/15/2026</c:v>
                </c:pt>
                <c:pt idx="38">
                  <c:v>12/16/2026</c:v>
                </c:pt>
                <c:pt idx="39">
                  <c:v>12/17/2026</c:v>
                </c:pt>
                <c:pt idx="40">
                  <c:v>12/18/2026</c:v>
                </c:pt>
                <c:pt idx="41">
                  <c:v>12/19/2026</c:v>
                </c:pt>
                <c:pt idx="42">
                  <c:v>12/20/2026</c:v>
                </c:pt>
                <c:pt idx="43">
                  <c:v>12/21/2026</c:v>
                </c:pt>
                <c:pt idx="44">
                  <c:v>12/22/2026</c:v>
                </c:pt>
                <c:pt idx="45">
                  <c:v>12/23/2026</c:v>
                </c:pt>
                <c:pt idx="46">
                  <c:v>12/24/2026</c:v>
                </c:pt>
                <c:pt idx="47">
                  <c:v>12/25/2026</c:v>
                </c:pt>
                <c:pt idx="48">
                  <c:v>12/26/2026</c:v>
                </c:pt>
                <c:pt idx="49">
                  <c:v>12/27/2026</c:v>
                </c:pt>
                <c:pt idx="50">
                  <c:v>12/28/2026</c:v>
                </c:pt>
                <c:pt idx="51">
                  <c:v>12/29/2026</c:v>
                </c:pt>
                <c:pt idx="52">
                  <c:v>12/30/2026</c:v>
                </c:pt>
                <c:pt idx="53">
                  <c:v>12/31/2026</c:v>
                </c:pt>
                <c:pt idx="54">
                  <c:v>1/1/2027</c:v>
                </c:pt>
                <c:pt idx="55">
                  <c:v>1/2/2027</c:v>
                </c:pt>
                <c:pt idx="56">
                  <c:v>1/3/2027</c:v>
                </c:pt>
                <c:pt idx="57">
                  <c:v>1/4/2027</c:v>
                </c:pt>
              </c:strCache>
            </c:strRef>
          </c:cat>
          <c:val>
            <c:numRef>
              <c:f>'Build-Up Doty'!$AJ$70:$AJ$183</c:f>
            </c:numRef>
          </c:val>
          <c:smooth val="0"/>
          <c:extLst>
            <c:ext xmlns:c16="http://schemas.microsoft.com/office/drawing/2014/chart" uri="{C3380CC4-5D6E-409C-BE32-E72D297353CC}">
              <c16:uniqueId val="{00000002-4F39-4B18-93BB-D4AEDBBE4A7E}"/>
            </c:ext>
          </c:extLst>
        </c:ser>
        <c:dLbls>
          <c:showLegendKey val="0"/>
          <c:showVal val="0"/>
          <c:showCatName val="0"/>
          <c:showSerName val="0"/>
          <c:showPercent val="0"/>
          <c:showBubbleSize val="0"/>
        </c:dLbls>
        <c:hiLowLines>
          <c:spPr>
            <a:ln w="0">
              <a:noFill/>
            </a:ln>
          </c:spPr>
        </c:hiLowLines>
        <c:marker val="1"/>
        <c:smooth val="0"/>
        <c:axId val="36469586"/>
        <c:axId val="23855453"/>
      </c:lineChart>
      <c:catAx>
        <c:axId val="36469586"/>
        <c:scaling>
          <c:orientation val="minMax"/>
        </c:scaling>
        <c:delete val="0"/>
        <c:axPos val="b"/>
        <c:numFmt formatCode="m/d"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855453"/>
        <c:crosses val="autoZero"/>
        <c:auto val="1"/>
        <c:lblAlgn val="ctr"/>
        <c:lblOffset val="100"/>
        <c:noMultiLvlLbl val="0"/>
      </c:catAx>
      <c:valAx>
        <c:axId val="23855453"/>
        <c:scaling>
          <c:orientation val="minMax"/>
          <c:max val="1.6"/>
          <c:min val="0.6"/>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646958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Weekly Workload</a:t>
            </a:r>
          </a:p>
        </c:rich>
      </c:tx>
      <c:overlay val="0"/>
      <c:spPr>
        <a:noFill/>
        <a:ln w="0">
          <a:noFill/>
        </a:ln>
      </c:spPr>
    </c:title>
    <c:autoTitleDeleted val="0"/>
    <c:plotArea>
      <c:layout/>
      <c:barChart>
        <c:barDir val="col"/>
        <c:grouping val="clustered"/>
        <c:varyColors val="0"/>
        <c:ser>
          <c:idx val="0"/>
          <c:order val="0"/>
          <c:tx>
            <c:strRef>
              <c:f>'Build-Up Dean'!$D$18</c:f>
              <c:strCache>
                <c:ptCount val="1"/>
                <c:pt idx="0">
                  <c:v>Weekly Workload</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'Build-Up Dean'!$B$19:$B$39</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cat>
          <c:val>
            <c:numRef>
              <c:f>'Build-Up Dean'!$D$19:$D$39</c:f>
              <c:numCache>
                <c:formatCode>0</c:formatCode>
                <c:ptCount val="21"/>
                <c:pt idx="0">
                  <c:v>66</c:v>
                </c:pt>
                <c:pt idx="1">
                  <c:v>85.350000000000009</c:v>
                </c:pt>
                <c:pt idx="2">
                  <c:v>103.5</c:v>
                </c:pt>
                <c:pt idx="3">
                  <c:v>103.57714285714286</c:v>
                </c:pt>
                <c:pt idx="4">
                  <c:v>115.72285714285715</c:v>
                </c:pt>
                <c:pt idx="5">
                  <c:v>136.4325</c:v>
                </c:pt>
                <c:pt idx="6">
                  <c:v>145.38</c:v>
                </c:pt>
                <c:pt idx="7">
                  <c:v>165.61666666666665</c:v>
                </c:pt>
                <c:pt idx="8">
                  <c:v>206.38833333333332</c:v>
                </c:pt>
                <c:pt idx="9">
                  <c:v>211.185</c:v>
                </c:pt>
                <c:pt idx="10">
                  <c:v>223.28333333333333</c:v>
                </c:pt>
                <c:pt idx="11">
                  <c:v>225.72749999999999</c:v>
                </c:pt>
                <c:pt idx="12">
                  <c:v>109.5</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7546-4825-8029-F0DA8EFFDC59}"/>
            </c:ext>
          </c:extLst>
        </c:ser>
        <c:dLbls>
          <c:showLegendKey val="0"/>
          <c:showVal val="0"/>
          <c:showCatName val="0"/>
          <c:showSerName val="0"/>
          <c:showPercent val="0"/>
          <c:showBubbleSize val="0"/>
        </c:dLbls>
        <c:gapWidth val="150"/>
        <c:axId val="2948919"/>
        <c:axId val="19550054"/>
      </c:barChart>
      <c:catAx>
        <c:axId val="294891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550054"/>
        <c:crosses val="autoZero"/>
        <c:auto val="1"/>
        <c:lblAlgn val="ctr"/>
        <c:lblOffset val="100"/>
        <c:noMultiLvlLbl val="0"/>
      </c:catAx>
      <c:valAx>
        <c:axId val="19550054"/>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4891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Daily ACWR vs Sweet Spot</a:t>
            </a:r>
          </a:p>
        </c:rich>
      </c:tx>
      <c:overlay val="0"/>
      <c:spPr>
        <a:noFill/>
        <a:ln w="0">
          <a:noFill/>
        </a:ln>
      </c:spPr>
    </c:title>
    <c:autoTitleDeleted val="0"/>
    <c:plotArea>
      <c:layout/>
      <c:lineChart>
        <c:grouping val="standard"/>
        <c:varyColors val="0"/>
        <c:ser>
          <c:idx val="0"/>
          <c:order val="0"/>
          <c:tx>
            <c:v>ACWR</c:v>
          </c:tx>
          <c:spPr>
            <a:ln w="28440">
              <a:solidFill>
                <a:srgbClr val="4A7EBB"/>
              </a:solidFill>
              <a:round/>
            </a:ln>
          </c:spPr>
          <c:marker>
            <c:symbol val="none"/>
          </c:marker>
          <c:cat>
            <c:strRef>
              <c:f>'Build-Up Dean'!$A$70:$A$183</c:f>
              <c:strCache>
                <c:ptCount val="58"/>
                <c:pt idx="0">
                  <c:v>11/8/2026</c:v>
                </c:pt>
                <c:pt idx="1">
                  <c:v>11/9/2026</c:v>
                </c:pt>
                <c:pt idx="2">
                  <c:v>11/10/2026</c:v>
                </c:pt>
                <c:pt idx="3">
                  <c:v>11/11/2026</c:v>
                </c:pt>
                <c:pt idx="4">
                  <c:v>11/12/2026</c:v>
                </c:pt>
                <c:pt idx="5">
                  <c:v>11/13/2026</c:v>
                </c:pt>
                <c:pt idx="6">
                  <c:v>11/14/2026</c:v>
                </c:pt>
                <c:pt idx="7">
                  <c:v>11/15/2026</c:v>
                </c:pt>
                <c:pt idx="8">
                  <c:v>11/16/2026</c:v>
                </c:pt>
                <c:pt idx="9">
                  <c:v>11/17/2026</c:v>
                </c:pt>
                <c:pt idx="10">
                  <c:v>11/18/2026</c:v>
                </c:pt>
                <c:pt idx="11">
                  <c:v>11/19/2026</c:v>
                </c:pt>
                <c:pt idx="12">
                  <c:v>11/20/2026</c:v>
                </c:pt>
                <c:pt idx="13">
                  <c:v>11/21/2026</c:v>
                </c:pt>
                <c:pt idx="14">
                  <c:v>11/22/2026</c:v>
                </c:pt>
                <c:pt idx="15">
                  <c:v>11/23/2026</c:v>
                </c:pt>
                <c:pt idx="16">
                  <c:v>11/24/2026</c:v>
                </c:pt>
                <c:pt idx="17">
                  <c:v>11/25/2026</c:v>
                </c:pt>
                <c:pt idx="18">
                  <c:v>11/26/2026</c:v>
                </c:pt>
                <c:pt idx="19">
                  <c:v>11/27/2026</c:v>
                </c:pt>
                <c:pt idx="20">
                  <c:v>11/28/2026</c:v>
                </c:pt>
                <c:pt idx="21">
                  <c:v>11/29/2026</c:v>
                </c:pt>
                <c:pt idx="22">
                  <c:v>11/30/2026</c:v>
                </c:pt>
                <c:pt idx="23">
                  <c:v>12/1/2026</c:v>
                </c:pt>
                <c:pt idx="24">
                  <c:v>12/2/2026</c:v>
                </c:pt>
                <c:pt idx="25">
                  <c:v>12/3/2026</c:v>
                </c:pt>
                <c:pt idx="26">
                  <c:v>12/4/2026</c:v>
                </c:pt>
                <c:pt idx="27">
                  <c:v>12/5/2026</c:v>
                </c:pt>
                <c:pt idx="28">
                  <c:v>12/6/2026</c:v>
                </c:pt>
                <c:pt idx="29">
                  <c:v>12/7/2026</c:v>
                </c:pt>
                <c:pt idx="30">
                  <c:v>12/8/2026</c:v>
                </c:pt>
                <c:pt idx="31">
                  <c:v>12/9/2026</c:v>
                </c:pt>
                <c:pt idx="32">
                  <c:v>12/10/2026</c:v>
                </c:pt>
                <c:pt idx="33">
                  <c:v>12/11/2026</c:v>
                </c:pt>
                <c:pt idx="34">
                  <c:v>12/12/2026</c:v>
                </c:pt>
                <c:pt idx="35">
                  <c:v>12/13/2026</c:v>
                </c:pt>
                <c:pt idx="36">
                  <c:v>12/14/2026</c:v>
                </c:pt>
                <c:pt idx="37">
                  <c:v>12/15/2026</c:v>
                </c:pt>
                <c:pt idx="38">
                  <c:v>12/16/2026</c:v>
                </c:pt>
                <c:pt idx="39">
                  <c:v>12/17/2026</c:v>
                </c:pt>
                <c:pt idx="40">
                  <c:v>12/18/2026</c:v>
                </c:pt>
                <c:pt idx="41">
                  <c:v>12/19/2026</c:v>
                </c:pt>
                <c:pt idx="42">
                  <c:v>12/20/2026</c:v>
                </c:pt>
                <c:pt idx="43">
                  <c:v>12/21/2026</c:v>
                </c:pt>
                <c:pt idx="44">
                  <c:v>12/22/2026</c:v>
                </c:pt>
                <c:pt idx="45">
                  <c:v>12/23/2026</c:v>
                </c:pt>
                <c:pt idx="46">
                  <c:v>12/24/2026</c:v>
                </c:pt>
                <c:pt idx="47">
                  <c:v>12/25/2026</c:v>
                </c:pt>
                <c:pt idx="48">
                  <c:v>12/26/2026</c:v>
                </c:pt>
                <c:pt idx="49">
                  <c:v>12/27/2026</c:v>
                </c:pt>
                <c:pt idx="50">
                  <c:v>12/28/2026</c:v>
                </c:pt>
                <c:pt idx="51">
                  <c:v>12/29/2026</c:v>
                </c:pt>
                <c:pt idx="52">
                  <c:v>12/30/2026</c:v>
                </c:pt>
                <c:pt idx="53">
                  <c:v>12/31/2026</c:v>
                </c:pt>
                <c:pt idx="54">
                  <c:v>1/1/2027</c:v>
                </c:pt>
                <c:pt idx="55">
                  <c:v>1/2/2027</c:v>
                </c:pt>
                <c:pt idx="56">
                  <c:v>1/3/2027</c:v>
                </c:pt>
                <c:pt idx="57">
                  <c:v>1/4/2027</c:v>
                </c:pt>
              </c:strCache>
            </c:strRef>
          </c:cat>
          <c:val>
            <c:numRef>
              <c:f>'Build-Up Dean'!$AH$70:$AH$183</c:f>
            </c:numRef>
          </c:val>
          <c:smooth val="0"/>
          <c:extLst>
            <c:ext xmlns:c16="http://schemas.microsoft.com/office/drawing/2014/chart" uri="{C3380CC4-5D6E-409C-BE32-E72D297353CC}">
              <c16:uniqueId val="{00000000-C2B8-4189-96D9-B2028B584A8E}"/>
            </c:ext>
          </c:extLst>
        </c:ser>
        <c:ser>
          <c:idx val="1"/>
          <c:order val="1"/>
          <c:tx>
            <c:v>0.8</c:v>
          </c:tx>
          <c:spPr>
            <a:ln w="28440">
              <a:solidFill>
                <a:srgbClr val="BE4B48"/>
              </a:solidFill>
              <a:prstDash val="dash"/>
              <a:round/>
            </a:ln>
          </c:spPr>
          <c:marker>
            <c:symbol val="none"/>
          </c:marker>
          <c:cat>
            <c:strRef>
              <c:f>'Build-Up Dean'!$A$70:$A$183</c:f>
              <c:strCache>
                <c:ptCount val="58"/>
                <c:pt idx="0">
                  <c:v>11/8/2026</c:v>
                </c:pt>
                <c:pt idx="1">
                  <c:v>11/9/2026</c:v>
                </c:pt>
                <c:pt idx="2">
                  <c:v>11/10/2026</c:v>
                </c:pt>
                <c:pt idx="3">
                  <c:v>11/11/2026</c:v>
                </c:pt>
                <c:pt idx="4">
                  <c:v>11/12/2026</c:v>
                </c:pt>
                <c:pt idx="5">
                  <c:v>11/13/2026</c:v>
                </c:pt>
                <c:pt idx="6">
                  <c:v>11/14/2026</c:v>
                </c:pt>
                <c:pt idx="7">
                  <c:v>11/15/2026</c:v>
                </c:pt>
                <c:pt idx="8">
                  <c:v>11/16/2026</c:v>
                </c:pt>
                <c:pt idx="9">
                  <c:v>11/17/2026</c:v>
                </c:pt>
                <c:pt idx="10">
                  <c:v>11/18/2026</c:v>
                </c:pt>
                <c:pt idx="11">
                  <c:v>11/19/2026</c:v>
                </c:pt>
                <c:pt idx="12">
                  <c:v>11/20/2026</c:v>
                </c:pt>
                <c:pt idx="13">
                  <c:v>11/21/2026</c:v>
                </c:pt>
                <c:pt idx="14">
                  <c:v>11/22/2026</c:v>
                </c:pt>
                <c:pt idx="15">
                  <c:v>11/23/2026</c:v>
                </c:pt>
                <c:pt idx="16">
                  <c:v>11/24/2026</c:v>
                </c:pt>
                <c:pt idx="17">
                  <c:v>11/25/2026</c:v>
                </c:pt>
                <c:pt idx="18">
                  <c:v>11/26/2026</c:v>
                </c:pt>
                <c:pt idx="19">
                  <c:v>11/27/2026</c:v>
                </c:pt>
                <c:pt idx="20">
                  <c:v>11/28/2026</c:v>
                </c:pt>
                <c:pt idx="21">
                  <c:v>11/29/2026</c:v>
                </c:pt>
                <c:pt idx="22">
                  <c:v>11/30/2026</c:v>
                </c:pt>
                <c:pt idx="23">
                  <c:v>12/1/2026</c:v>
                </c:pt>
                <c:pt idx="24">
                  <c:v>12/2/2026</c:v>
                </c:pt>
                <c:pt idx="25">
                  <c:v>12/3/2026</c:v>
                </c:pt>
                <c:pt idx="26">
                  <c:v>12/4/2026</c:v>
                </c:pt>
                <c:pt idx="27">
                  <c:v>12/5/2026</c:v>
                </c:pt>
                <c:pt idx="28">
                  <c:v>12/6/2026</c:v>
                </c:pt>
                <c:pt idx="29">
                  <c:v>12/7/2026</c:v>
                </c:pt>
                <c:pt idx="30">
                  <c:v>12/8/2026</c:v>
                </c:pt>
                <c:pt idx="31">
                  <c:v>12/9/2026</c:v>
                </c:pt>
                <c:pt idx="32">
                  <c:v>12/10/2026</c:v>
                </c:pt>
                <c:pt idx="33">
                  <c:v>12/11/2026</c:v>
                </c:pt>
                <c:pt idx="34">
                  <c:v>12/12/2026</c:v>
                </c:pt>
                <c:pt idx="35">
                  <c:v>12/13/2026</c:v>
                </c:pt>
                <c:pt idx="36">
                  <c:v>12/14/2026</c:v>
                </c:pt>
                <c:pt idx="37">
                  <c:v>12/15/2026</c:v>
                </c:pt>
                <c:pt idx="38">
                  <c:v>12/16/2026</c:v>
                </c:pt>
                <c:pt idx="39">
                  <c:v>12/17/2026</c:v>
                </c:pt>
                <c:pt idx="40">
                  <c:v>12/18/2026</c:v>
                </c:pt>
                <c:pt idx="41">
                  <c:v>12/19/2026</c:v>
                </c:pt>
                <c:pt idx="42">
                  <c:v>12/20/2026</c:v>
                </c:pt>
                <c:pt idx="43">
                  <c:v>12/21/2026</c:v>
                </c:pt>
                <c:pt idx="44">
                  <c:v>12/22/2026</c:v>
                </c:pt>
                <c:pt idx="45">
                  <c:v>12/23/2026</c:v>
                </c:pt>
                <c:pt idx="46">
                  <c:v>12/24/2026</c:v>
                </c:pt>
                <c:pt idx="47">
                  <c:v>12/25/2026</c:v>
                </c:pt>
                <c:pt idx="48">
                  <c:v>12/26/2026</c:v>
                </c:pt>
                <c:pt idx="49">
                  <c:v>12/27/2026</c:v>
                </c:pt>
                <c:pt idx="50">
                  <c:v>12/28/2026</c:v>
                </c:pt>
                <c:pt idx="51">
                  <c:v>12/29/2026</c:v>
                </c:pt>
                <c:pt idx="52">
                  <c:v>12/30/2026</c:v>
                </c:pt>
                <c:pt idx="53">
                  <c:v>12/31/2026</c:v>
                </c:pt>
                <c:pt idx="54">
                  <c:v>1/1/2027</c:v>
                </c:pt>
                <c:pt idx="55">
                  <c:v>1/2/2027</c:v>
                </c:pt>
                <c:pt idx="56">
                  <c:v>1/3/2027</c:v>
                </c:pt>
                <c:pt idx="57">
                  <c:v>1/4/2027</c:v>
                </c:pt>
              </c:strCache>
            </c:strRef>
          </c:cat>
          <c:val>
            <c:numRef>
              <c:f>'Build-Up Dean'!$AI$70:$AI$183</c:f>
            </c:numRef>
          </c:val>
          <c:smooth val="0"/>
          <c:extLst>
            <c:ext xmlns:c16="http://schemas.microsoft.com/office/drawing/2014/chart" uri="{C3380CC4-5D6E-409C-BE32-E72D297353CC}">
              <c16:uniqueId val="{00000001-C2B8-4189-96D9-B2028B584A8E}"/>
            </c:ext>
          </c:extLst>
        </c:ser>
        <c:ser>
          <c:idx val="2"/>
          <c:order val="2"/>
          <c:tx>
            <c:v>1.3</c:v>
          </c:tx>
          <c:spPr>
            <a:ln w="28440">
              <a:solidFill>
                <a:srgbClr val="98B855"/>
              </a:solidFill>
              <a:prstDash val="dash"/>
              <a:round/>
            </a:ln>
          </c:spPr>
          <c:marker>
            <c:symbol val="none"/>
          </c:marker>
          <c:cat>
            <c:strRef>
              <c:f>'Build-Up Dean'!$A$70:$A$183</c:f>
              <c:strCache>
                <c:ptCount val="58"/>
                <c:pt idx="0">
                  <c:v>11/8/2026</c:v>
                </c:pt>
                <c:pt idx="1">
                  <c:v>11/9/2026</c:v>
                </c:pt>
                <c:pt idx="2">
                  <c:v>11/10/2026</c:v>
                </c:pt>
                <c:pt idx="3">
                  <c:v>11/11/2026</c:v>
                </c:pt>
                <c:pt idx="4">
                  <c:v>11/12/2026</c:v>
                </c:pt>
                <c:pt idx="5">
                  <c:v>11/13/2026</c:v>
                </c:pt>
                <c:pt idx="6">
                  <c:v>11/14/2026</c:v>
                </c:pt>
                <c:pt idx="7">
                  <c:v>11/15/2026</c:v>
                </c:pt>
                <c:pt idx="8">
                  <c:v>11/16/2026</c:v>
                </c:pt>
                <c:pt idx="9">
                  <c:v>11/17/2026</c:v>
                </c:pt>
                <c:pt idx="10">
                  <c:v>11/18/2026</c:v>
                </c:pt>
                <c:pt idx="11">
                  <c:v>11/19/2026</c:v>
                </c:pt>
                <c:pt idx="12">
                  <c:v>11/20/2026</c:v>
                </c:pt>
                <c:pt idx="13">
                  <c:v>11/21/2026</c:v>
                </c:pt>
                <c:pt idx="14">
                  <c:v>11/22/2026</c:v>
                </c:pt>
                <c:pt idx="15">
                  <c:v>11/23/2026</c:v>
                </c:pt>
                <c:pt idx="16">
                  <c:v>11/24/2026</c:v>
                </c:pt>
                <c:pt idx="17">
                  <c:v>11/25/2026</c:v>
                </c:pt>
                <c:pt idx="18">
                  <c:v>11/26/2026</c:v>
                </c:pt>
                <c:pt idx="19">
                  <c:v>11/27/2026</c:v>
                </c:pt>
                <c:pt idx="20">
                  <c:v>11/28/2026</c:v>
                </c:pt>
                <c:pt idx="21">
                  <c:v>11/29/2026</c:v>
                </c:pt>
                <c:pt idx="22">
                  <c:v>11/30/2026</c:v>
                </c:pt>
                <c:pt idx="23">
                  <c:v>12/1/2026</c:v>
                </c:pt>
                <c:pt idx="24">
                  <c:v>12/2/2026</c:v>
                </c:pt>
                <c:pt idx="25">
                  <c:v>12/3/2026</c:v>
                </c:pt>
                <c:pt idx="26">
                  <c:v>12/4/2026</c:v>
                </c:pt>
                <c:pt idx="27">
                  <c:v>12/5/2026</c:v>
                </c:pt>
                <c:pt idx="28">
                  <c:v>12/6/2026</c:v>
                </c:pt>
                <c:pt idx="29">
                  <c:v>12/7/2026</c:v>
                </c:pt>
                <c:pt idx="30">
                  <c:v>12/8/2026</c:v>
                </c:pt>
                <c:pt idx="31">
                  <c:v>12/9/2026</c:v>
                </c:pt>
                <c:pt idx="32">
                  <c:v>12/10/2026</c:v>
                </c:pt>
                <c:pt idx="33">
                  <c:v>12/11/2026</c:v>
                </c:pt>
                <c:pt idx="34">
                  <c:v>12/12/2026</c:v>
                </c:pt>
                <c:pt idx="35">
                  <c:v>12/13/2026</c:v>
                </c:pt>
                <c:pt idx="36">
                  <c:v>12/14/2026</c:v>
                </c:pt>
                <c:pt idx="37">
                  <c:v>12/15/2026</c:v>
                </c:pt>
                <c:pt idx="38">
                  <c:v>12/16/2026</c:v>
                </c:pt>
                <c:pt idx="39">
                  <c:v>12/17/2026</c:v>
                </c:pt>
                <c:pt idx="40">
                  <c:v>12/18/2026</c:v>
                </c:pt>
                <c:pt idx="41">
                  <c:v>12/19/2026</c:v>
                </c:pt>
                <c:pt idx="42">
                  <c:v>12/20/2026</c:v>
                </c:pt>
                <c:pt idx="43">
                  <c:v>12/21/2026</c:v>
                </c:pt>
                <c:pt idx="44">
                  <c:v>12/22/2026</c:v>
                </c:pt>
                <c:pt idx="45">
                  <c:v>12/23/2026</c:v>
                </c:pt>
                <c:pt idx="46">
                  <c:v>12/24/2026</c:v>
                </c:pt>
                <c:pt idx="47">
                  <c:v>12/25/2026</c:v>
                </c:pt>
                <c:pt idx="48">
                  <c:v>12/26/2026</c:v>
                </c:pt>
                <c:pt idx="49">
                  <c:v>12/27/2026</c:v>
                </c:pt>
                <c:pt idx="50">
                  <c:v>12/28/2026</c:v>
                </c:pt>
                <c:pt idx="51">
                  <c:v>12/29/2026</c:v>
                </c:pt>
                <c:pt idx="52">
                  <c:v>12/30/2026</c:v>
                </c:pt>
                <c:pt idx="53">
                  <c:v>12/31/2026</c:v>
                </c:pt>
                <c:pt idx="54">
                  <c:v>1/1/2027</c:v>
                </c:pt>
                <c:pt idx="55">
                  <c:v>1/2/2027</c:v>
                </c:pt>
                <c:pt idx="56">
                  <c:v>1/3/2027</c:v>
                </c:pt>
                <c:pt idx="57">
                  <c:v>1/4/2027</c:v>
                </c:pt>
              </c:strCache>
            </c:strRef>
          </c:cat>
          <c:val>
            <c:numRef>
              <c:f>'Build-Up Dean'!$AJ$70:$AJ$183</c:f>
            </c:numRef>
          </c:val>
          <c:smooth val="0"/>
          <c:extLst>
            <c:ext xmlns:c16="http://schemas.microsoft.com/office/drawing/2014/chart" uri="{C3380CC4-5D6E-409C-BE32-E72D297353CC}">
              <c16:uniqueId val="{00000002-C2B8-4189-96D9-B2028B584A8E}"/>
            </c:ext>
          </c:extLst>
        </c:ser>
        <c:dLbls>
          <c:showLegendKey val="0"/>
          <c:showVal val="0"/>
          <c:showCatName val="0"/>
          <c:showSerName val="0"/>
          <c:showPercent val="0"/>
          <c:showBubbleSize val="0"/>
        </c:dLbls>
        <c:hiLowLines>
          <c:spPr>
            <a:ln w="0">
              <a:noFill/>
            </a:ln>
          </c:spPr>
        </c:hiLowLines>
        <c:marker val="1"/>
        <c:smooth val="0"/>
        <c:axId val="61005913"/>
        <c:axId val="96332050"/>
      </c:lineChart>
      <c:catAx>
        <c:axId val="61005913"/>
        <c:scaling>
          <c:orientation val="minMax"/>
        </c:scaling>
        <c:delete val="0"/>
        <c:axPos val="b"/>
        <c:numFmt formatCode="m/d"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332050"/>
        <c:crosses val="autoZero"/>
        <c:auto val="1"/>
        <c:lblAlgn val="ctr"/>
        <c:lblOffset val="100"/>
        <c:noMultiLvlLbl val="0"/>
      </c:catAx>
      <c:valAx>
        <c:axId val="96332050"/>
        <c:scaling>
          <c:orientation val="minMax"/>
          <c:max val="1.6"/>
          <c:min val="0.6"/>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00591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Weekly Workload</a:t>
            </a:r>
          </a:p>
        </c:rich>
      </c:tx>
      <c:overlay val="0"/>
      <c:spPr>
        <a:noFill/>
        <a:ln w="0">
          <a:noFill/>
        </a:ln>
      </c:spPr>
    </c:title>
    <c:autoTitleDeleted val="0"/>
    <c:plotArea>
      <c:layout/>
      <c:barChart>
        <c:barDir val="col"/>
        <c:grouping val="clustered"/>
        <c:varyColors val="0"/>
        <c:ser>
          <c:idx val="0"/>
          <c:order val="0"/>
          <c:tx>
            <c:strRef>
              <c:f>'Build-Up Arther'!$D$18</c:f>
              <c:strCache>
                <c:ptCount val="1"/>
                <c:pt idx="0">
                  <c:v>Weekly Workload</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'Build-Up Arther'!$B$19:$B$39</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cat>
          <c:val>
            <c:numRef>
              <c:f>'Build-Up Arther'!$D$19:$D$39</c:f>
              <c:numCache>
                <c:formatCode>0</c:formatCode>
                <c:ptCount val="21"/>
                <c:pt idx="0">
                  <c:v>85.59</c:v>
                </c:pt>
                <c:pt idx="1">
                  <c:v>95.64</c:v>
                </c:pt>
                <c:pt idx="2">
                  <c:v>108.18</c:v>
                </c:pt>
                <c:pt idx="3">
                  <c:v>138.35142857142856</c:v>
                </c:pt>
                <c:pt idx="4">
                  <c:v>165.37</c:v>
                </c:pt>
                <c:pt idx="5">
                  <c:v>187.35</c:v>
                </c:pt>
                <c:pt idx="6">
                  <c:v>146.1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7D42-46A8-8882-5AF9C31AC45D}"/>
            </c:ext>
          </c:extLst>
        </c:ser>
        <c:dLbls>
          <c:showLegendKey val="0"/>
          <c:showVal val="0"/>
          <c:showCatName val="0"/>
          <c:showSerName val="0"/>
          <c:showPercent val="0"/>
          <c:showBubbleSize val="0"/>
        </c:dLbls>
        <c:gapWidth val="150"/>
        <c:axId val="85340067"/>
        <c:axId val="40294417"/>
      </c:barChart>
      <c:catAx>
        <c:axId val="853400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294417"/>
        <c:crosses val="autoZero"/>
        <c:auto val="1"/>
        <c:lblAlgn val="ctr"/>
        <c:lblOffset val="100"/>
        <c:noMultiLvlLbl val="0"/>
      </c:catAx>
      <c:valAx>
        <c:axId val="40294417"/>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34006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Daily ACWR vs Sweet Spot</a:t>
            </a:r>
          </a:p>
        </c:rich>
      </c:tx>
      <c:overlay val="0"/>
      <c:spPr>
        <a:noFill/>
        <a:ln w="0">
          <a:noFill/>
        </a:ln>
      </c:spPr>
    </c:title>
    <c:autoTitleDeleted val="0"/>
    <c:plotArea>
      <c:layout/>
      <c:lineChart>
        <c:grouping val="standard"/>
        <c:varyColors val="0"/>
        <c:ser>
          <c:idx val="0"/>
          <c:order val="0"/>
          <c:tx>
            <c:v>ACWR</c:v>
          </c:tx>
          <c:spPr>
            <a:ln w="28440">
              <a:solidFill>
                <a:srgbClr val="4A7EBB"/>
              </a:solidFill>
              <a:round/>
            </a:ln>
          </c:spPr>
          <c:marker>
            <c:symbol val="none"/>
          </c:marker>
          <c:cat>
            <c:strRef>
              <c:f>'Build-Up Arther'!$A$70:$A$183</c:f>
              <c:strCache>
                <c:ptCount val="19"/>
                <c:pt idx="0">
                  <c:v>12/13/2026</c:v>
                </c:pt>
                <c:pt idx="1">
                  <c:v>12/14/2026</c:v>
                </c:pt>
                <c:pt idx="2">
                  <c:v>12/15/2026</c:v>
                </c:pt>
                <c:pt idx="3">
                  <c:v>12/16/2026</c:v>
                </c:pt>
                <c:pt idx="4">
                  <c:v>12/17/2026</c:v>
                </c:pt>
                <c:pt idx="5">
                  <c:v>12/18/2026</c:v>
                </c:pt>
                <c:pt idx="6">
                  <c:v>12/19/2026</c:v>
                </c:pt>
                <c:pt idx="7">
                  <c:v>12/20/2026</c:v>
                </c:pt>
                <c:pt idx="8">
                  <c:v>12/21/2026</c:v>
                </c:pt>
                <c:pt idx="9">
                  <c:v>12/22/2026</c:v>
                </c:pt>
                <c:pt idx="10">
                  <c:v>12/23/2026</c:v>
                </c:pt>
                <c:pt idx="11">
                  <c:v>12/24/2026</c:v>
                </c:pt>
                <c:pt idx="12">
                  <c:v>12/25/2026</c:v>
                </c:pt>
                <c:pt idx="13">
                  <c:v>12/26/2026</c:v>
                </c:pt>
                <c:pt idx="14">
                  <c:v>12/27/2026</c:v>
                </c:pt>
                <c:pt idx="15">
                  <c:v>12/28/2026</c:v>
                </c:pt>
                <c:pt idx="16">
                  <c:v>12/29/2026</c:v>
                </c:pt>
                <c:pt idx="17">
                  <c:v>12/30/2026</c:v>
                </c:pt>
                <c:pt idx="18">
                  <c:v>12/31/2026</c:v>
                </c:pt>
              </c:strCache>
            </c:strRef>
          </c:cat>
          <c:val>
            <c:numRef>
              <c:f>'Build-Up Arther'!$AH$70:$AH$183</c:f>
            </c:numRef>
          </c:val>
          <c:smooth val="0"/>
          <c:extLst>
            <c:ext xmlns:c16="http://schemas.microsoft.com/office/drawing/2014/chart" uri="{C3380CC4-5D6E-409C-BE32-E72D297353CC}">
              <c16:uniqueId val="{00000000-D3FA-44C3-B608-6DBE1C0680A9}"/>
            </c:ext>
          </c:extLst>
        </c:ser>
        <c:ser>
          <c:idx val="1"/>
          <c:order val="1"/>
          <c:tx>
            <c:v>0.8</c:v>
          </c:tx>
          <c:spPr>
            <a:ln w="28440">
              <a:solidFill>
                <a:srgbClr val="BE4B48"/>
              </a:solidFill>
              <a:prstDash val="dash"/>
              <a:round/>
            </a:ln>
          </c:spPr>
          <c:marker>
            <c:symbol val="none"/>
          </c:marker>
          <c:cat>
            <c:strRef>
              <c:f>'Build-Up Arther'!$A$70:$A$183</c:f>
              <c:strCache>
                <c:ptCount val="19"/>
                <c:pt idx="0">
                  <c:v>12/13/2026</c:v>
                </c:pt>
                <c:pt idx="1">
                  <c:v>12/14/2026</c:v>
                </c:pt>
                <c:pt idx="2">
                  <c:v>12/15/2026</c:v>
                </c:pt>
                <c:pt idx="3">
                  <c:v>12/16/2026</c:v>
                </c:pt>
                <c:pt idx="4">
                  <c:v>12/17/2026</c:v>
                </c:pt>
                <c:pt idx="5">
                  <c:v>12/18/2026</c:v>
                </c:pt>
                <c:pt idx="6">
                  <c:v>12/19/2026</c:v>
                </c:pt>
                <c:pt idx="7">
                  <c:v>12/20/2026</c:v>
                </c:pt>
                <c:pt idx="8">
                  <c:v>12/21/2026</c:v>
                </c:pt>
                <c:pt idx="9">
                  <c:v>12/22/2026</c:v>
                </c:pt>
                <c:pt idx="10">
                  <c:v>12/23/2026</c:v>
                </c:pt>
                <c:pt idx="11">
                  <c:v>12/24/2026</c:v>
                </c:pt>
                <c:pt idx="12">
                  <c:v>12/25/2026</c:v>
                </c:pt>
                <c:pt idx="13">
                  <c:v>12/26/2026</c:v>
                </c:pt>
                <c:pt idx="14">
                  <c:v>12/27/2026</c:v>
                </c:pt>
                <c:pt idx="15">
                  <c:v>12/28/2026</c:v>
                </c:pt>
                <c:pt idx="16">
                  <c:v>12/29/2026</c:v>
                </c:pt>
                <c:pt idx="17">
                  <c:v>12/30/2026</c:v>
                </c:pt>
                <c:pt idx="18">
                  <c:v>12/31/2026</c:v>
                </c:pt>
              </c:strCache>
            </c:strRef>
          </c:cat>
          <c:val>
            <c:numRef>
              <c:f>'Build-Up Arther'!$AI$70:$AI$183</c:f>
            </c:numRef>
          </c:val>
          <c:smooth val="0"/>
          <c:extLst>
            <c:ext xmlns:c16="http://schemas.microsoft.com/office/drawing/2014/chart" uri="{C3380CC4-5D6E-409C-BE32-E72D297353CC}">
              <c16:uniqueId val="{00000001-D3FA-44C3-B608-6DBE1C0680A9}"/>
            </c:ext>
          </c:extLst>
        </c:ser>
        <c:ser>
          <c:idx val="2"/>
          <c:order val="2"/>
          <c:tx>
            <c:v>1.3</c:v>
          </c:tx>
          <c:spPr>
            <a:ln w="28440">
              <a:solidFill>
                <a:srgbClr val="98B855"/>
              </a:solidFill>
              <a:prstDash val="dash"/>
              <a:round/>
            </a:ln>
          </c:spPr>
          <c:marker>
            <c:symbol val="none"/>
          </c:marker>
          <c:cat>
            <c:strRef>
              <c:f>'Build-Up Arther'!$A$70:$A$183</c:f>
              <c:strCache>
                <c:ptCount val="19"/>
                <c:pt idx="0">
                  <c:v>12/13/2026</c:v>
                </c:pt>
                <c:pt idx="1">
                  <c:v>12/14/2026</c:v>
                </c:pt>
                <c:pt idx="2">
                  <c:v>12/15/2026</c:v>
                </c:pt>
                <c:pt idx="3">
                  <c:v>12/16/2026</c:v>
                </c:pt>
                <c:pt idx="4">
                  <c:v>12/17/2026</c:v>
                </c:pt>
                <c:pt idx="5">
                  <c:v>12/18/2026</c:v>
                </c:pt>
                <c:pt idx="6">
                  <c:v>12/19/2026</c:v>
                </c:pt>
                <c:pt idx="7">
                  <c:v>12/20/2026</c:v>
                </c:pt>
                <c:pt idx="8">
                  <c:v>12/21/2026</c:v>
                </c:pt>
                <c:pt idx="9">
                  <c:v>12/22/2026</c:v>
                </c:pt>
                <c:pt idx="10">
                  <c:v>12/23/2026</c:v>
                </c:pt>
                <c:pt idx="11">
                  <c:v>12/24/2026</c:v>
                </c:pt>
                <c:pt idx="12">
                  <c:v>12/25/2026</c:v>
                </c:pt>
                <c:pt idx="13">
                  <c:v>12/26/2026</c:v>
                </c:pt>
                <c:pt idx="14">
                  <c:v>12/27/2026</c:v>
                </c:pt>
                <c:pt idx="15">
                  <c:v>12/28/2026</c:v>
                </c:pt>
                <c:pt idx="16">
                  <c:v>12/29/2026</c:v>
                </c:pt>
                <c:pt idx="17">
                  <c:v>12/30/2026</c:v>
                </c:pt>
                <c:pt idx="18">
                  <c:v>12/31/2026</c:v>
                </c:pt>
              </c:strCache>
            </c:strRef>
          </c:cat>
          <c:val>
            <c:numRef>
              <c:f>'Build-Up Arther'!$AJ$70:$AJ$183</c:f>
            </c:numRef>
          </c:val>
          <c:smooth val="0"/>
          <c:extLst>
            <c:ext xmlns:c16="http://schemas.microsoft.com/office/drawing/2014/chart" uri="{C3380CC4-5D6E-409C-BE32-E72D297353CC}">
              <c16:uniqueId val="{00000002-D3FA-44C3-B608-6DBE1C0680A9}"/>
            </c:ext>
          </c:extLst>
        </c:ser>
        <c:dLbls>
          <c:showLegendKey val="0"/>
          <c:showVal val="0"/>
          <c:showCatName val="0"/>
          <c:showSerName val="0"/>
          <c:showPercent val="0"/>
          <c:showBubbleSize val="0"/>
        </c:dLbls>
        <c:hiLowLines>
          <c:spPr>
            <a:ln w="0">
              <a:noFill/>
            </a:ln>
          </c:spPr>
        </c:hiLowLines>
        <c:marker val="1"/>
        <c:smooth val="0"/>
        <c:axId val="51102629"/>
        <c:axId val="30162034"/>
      </c:lineChart>
      <c:catAx>
        <c:axId val="51102629"/>
        <c:scaling>
          <c:orientation val="minMax"/>
        </c:scaling>
        <c:delete val="0"/>
        <c:axPos val="b"/>
        <c:numFmt formatCode="m/d"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162034"/>
        <c:crosses val="autoZero"/>
        <c:auto val="1"/>
        <c:lblAlgn val="ctr"/>
        <c:lblOffset val="100"/>
        <c:noMultiLvlLbl val="0"/>
      </c:catAx>
      <c:valAx>
        <c:axId val="30162034"/>
        <c:scaling>
          <c:orientation val="minMax"/>
          <c:max val="1.6"/>
          <c:min val="0.6"/>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110262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6</xdr:row>
      <xdr:rowOff>130680</xdr:rowOff>
    </xdr:from>
    <xdr:to>
      <xdr:col>17</xdr:col>
      <xdr:colOff>473040</xdr:colOff>
      <xdr:row>19</xdr:row>
      <xdr:rowOff>40320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24</xdr:row>
      <xdr:rowOff>18720</xdr:rowOff>
    </xdr:from>
    <xdr:to>
      <xdr:col>17</xdr:col>
      <xdr:colOff>473040</xdr:colOff>
      <xdr:row>39</xdr:row>
      <xdr:rowOff>40680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16</xdr:row>
      <xdr:rowOff>130680</xdr:rowOff>
    </xdr:from>
    <xdr:to>
      <xdr:col>6</xdr:col>
      <xdr:colOff>3779640</xdr:colOff>
      <xdr:row>27</xdr:row>
      <xdr:rowOff>76320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16</xdr:row>
      <xdr:rowOff>130680</xdr:rowOff>
    </xdr:from>
    <xdr:to>
      <xdr:col>41</xdr:col>
      <xdr:colOff>387720</xdr:colOff>
      <xdr:row>27</xdr:row>
      <xdr:rowOff>76320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16</xdr:row>
      <xdr:rowOff>130680</xdr:rowOff>
    </xdr:from>
    <xdr:to>
      <xdr:col>6</xdr:col>
      <xdr:colOff>3779640</xdr:colOff>
      <xdr:row>27</xdr:row>
      <xdr:rowOff>76320</xdr:rowOff>
    </xdr:to>
    <xdr:graphicFrame macro="">
      <xdr:nvGraphicFramePr>
        <xdr:cNvPr id="4" name="Chart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16</xdr:row>
      <xdr:rowOff>130680</xdr:rowOff>
    </xdr:from>
    <xdr:to>
      <xdr:col>41</xdr:col>
      <xdr:colOff>387720</xdr:colOff>
      <xdr:row>27</xdr:row>
      <xdr:rowOff>76320</xdr:rowOff>
    </xdr:to>
    <xdr:graphicFrame macro="">
      <xdr:nvGraphicFramePr>
        <xdr:cNvPr id="5" name="Chart 2">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16</xdr:row>
      <xdr:rowOff>130680</xdr:rowOff>
    </xdr:from>
    <xdr:to>
      <xdr:col>6</xdr:col>
      <xdr:colOff>3779640</xdr:colOff>
      <xdr:row>27</xdr:row>
      <xdr:rowOff>76320</xdr:rowOff>
    </xdr:to>
    <xdr:graphicFrame macro="">
      <xdr:nvGraphicFramePr>
        <xdr:cNvPr id="6" name="Chart 1">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16</xdr:row>
      <xdr:rowOff>130680</xdr:rowOff>
    </xdr:from>
    <xdr:to>
      <xdr:col>41</xdr:col>
      <xdr:colOff>387720</xdr:colOff>
      <xdr:row>27</xdr:row>
      <xdr:rowOff>76320</xdr:rowOff>
    </xdr:to>
    <xdr:graphicFrame macro="">
      <xdr:nvGraphicFramePr>
        <xdr:cNvPr id="7" name="Chart 2">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16</xdr:row>
      <xdr:rowOff>130680</xdr:rowOff>
    </xdr:from>
    <xdr:to>
      <xdr:col>6</xdr:col>
      <xdr:colOff>3779640</xdr:colOff>
      <xdr:row>27</xdr:row>
      <xdr:rowOff>76320</xdr:rowOff>
    </xdr:to>
    <xdr:graphicFrame macro="">
      <xdr:nvGraphicFramePr>
        <xdr:cNvPr id="8" name="Chart 1">
          <a:extLst>
            <a:ext uri="{FF2B5EF4-FFF2-40B4-BE49-F238E27FC236}">
              <a16:creationId xmlns:a16="http://schemas.microsoft.com/office/drawing/2014/main" id="{00000000-0008-0000-0A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16</xdr:row>
      <xdr:rowOff>130680</xdr:rowOff>
    </xdr:from>
    <xdr:to>
      <xdr:col>41</xdr:col>
      <xdr:colOff>387720</xdr:colOff>
      <xdr:row>27</xdr:row>
      <xdr:rowOff>76320</xdr:rowOff>
    </xdr:to>
    <xdr:graphicFrame macro="">
      <xdr:nvGraphicFramePr>
        <xdr:cNvPr id="9" name="Chart 2">
          <a:extLst>
            <a:ext uri="{FF2B5EF4-FFF2-40B4-BE49-F238E27FC236}">
              <a16:creationId xmlns:a16="http://schemas.microsoft.com/office/drawing/2014/main" id="{00000000-0008-0000-0A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2"/>
  <sheetViews>
    <sheetView showGridLines="0" tabSelected="1" zoomScaleNormal="100" workbookViewId="0">
      <selection sqref="A1:B1"/>
    </sheetView>
  </sheetViews>
  <sheetFormatPr defaultColWidth="8.6640625" defaultRowHeight="14.4" x14ac:dyDescent="0.3"/>
  <cols>
    <col min="1" max="1" width="3" customWidth="1"/>
    <col min="2" max="2" width="100" customWidth="1"/>
  </cols>
  <sheetData>
    <row r="1" spans="1:2" ht="25.5" customHeight="1" x14ac:dyDescent="0.4">
      <c r="A1" s="14" t="s">
        <v>0</v>
      </c>
      <c r="B1" s="14"/>
    </row>
    <row r="2" spans="1:2" x14ac:dyDescent="0.3">
      <c r="B2" s="15" t="s">
        <v>1</v>
      </c>
    </row>
    <row r="4" spans="1:2" ht="15.6" x14ac:dyDescent="0.3">
      <c r="B4" s="16" t="s">
        <v>2</v>
      </c>
    </row>
    <row r="6" spans="1:2" ht="90" customHeight="1" x14ac:dyDescent="0.3">
      <c r="B6" s="17" t="s">
        <v>3</v>
      </c>
    </row>
    <row r="12" spans="1:2" ht="15.6" x14ac:dyDescent="0.3">
      <c r="B12" s="16" t="s">
        <v>4</v>
      </c>
    </row>
    <row r="14" spans="1:2" x14ac:dyDescent="0.3">
      <c r="B14" s="18" t="s">
        <v>5</v>
      </c>
    </row>
    <row r="16" spans="1:2" ht="139.5" customHeight="1" x14ac:dyDescent="0.3">
      <c r="B16" s="17" t="s">
        <v>6</v>
      </c>
    </row>
    <row r="24" spans="2:2" ht="109.5" customHeight="1" x14ac:dyDescent="0.3">
      <c r="B24" s="17" t="s">
        <v>7</v>
      </c>
    </row>
    <row r="30" spans="2:2" ht="15.6" x14ac:dyDescent="0.3">
      <c r="B30" s="16" t="s">
        <v>8</v>
      </c>
    </row>
    <row r="32" spans="2:2" ht="99.75" customHeight="1" x14ac:dyDescent="0.3">
      <c r="B32" s="17" t="s">
        <v>9</v>
      </c>
    </row>
    <row r="38" spans="2:2" ht="15.6" x14ac:dyDescent="0.3">
      <c r="B38" s="16" t="s">
        <v>10</v>
      </c>
    </row>
    <row r="40" spans="2:2" ht="105" customHeight="1" x14ac:dyDescent="0.3">
      <c r="B40" s="17" t="s">
        <v>11</v>
      </c>
    </row>
    <row r="46" spans="2:2" ht="15.6" x14ac:dyDescent="0.3">
      <c r="B46" s="16" t="s">
        <v>12</v>
      </c>
    </row>
    <row r="48" spans="2:2" ht="219.75" customHeight="1" x14ac:dyDescent="0.3">
      <c r="B48" s="17" t="s">
        <v>13</v>
      </c>
    </row>
    <row r="60" spans="2:2" ht="15.6" x14ac:dyDescent="0.3">
      <c r="B60" s="16" t="s">
        <v>14</v>
      </c>
    </row>
    <row r="62" spans="2:2" ht="109.5" customHeight="1" x14ac:dyDescent="0.3">
      <c r="B62" s="17" t="s">
        <v>15</v>
      </c>
    </row>
  </sheetData>
  <mergeCells count="1">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0"/>
  <sheetViews>
    <sheetView showGridLines="0" zoomScaleNormal="100" workbookViewId="0"/>
  </sheetViews>
  <sheetFormatPr defaultColWidth="8.6640625" defaultRowHeight="14.4" x14ac:dyDescent="0.3"/>
  <cols>
    <col min="1" max="1" width="22" customWidth="1"/>
    <col min="2" max="2" width="16" customWidth="1"/>
    <col min="3" max="3" width="46" customWidth="1"/>
  </cols>
  <sheetData>
    <row r="1" spans="1:3" ht="21" x14ac:dyDescent="0.4">
      <c r="A1" s="14" t="s">
        <v>16</v>
      </c>
      <c r="B1" s="14"/>
      <c r="C1" s="14"/>
    </row>
    <row r="2" spans="1:3" x14ac:dyDescent="0.3">
      <c r="A2" s="13" t="s">
        <v>17</v>
      </c>
      <c r="B2" s="13"/>
      <c r="C2" s="13"/>
    </row>
    <row r="4" spans="1:3" ht="15.6" x14ac:dyDescent="0.3">
      <c r="A4" s="12" t="s">
        <v>18</v>
      </c>
      <c r="B4" s="12"/>
      <c r="C4" s="12"/>
    </row>
    <row r="5" spans="1:3" x14ac:dyDescent="0.3">
      <c r="A5" s="19" t="s">
        <v>19</v>
      </c>
      <c r="B5" s="19" t="s">
        <v>20</v>
      </c>
      <c r="C5" s="19" t="s">
        <v>21</v>
      </c>
    </row>
    <row r="6" spans="1:3" x14ac:dyDescent="0.3">
      <c r="A6" s="20">
        <v>60</v>
      </c>
      <c r="B6" s="20">
        <v>1</v>
      </c>
      <c r="C6" s="21" t="s">
        <v>22</v>
      </c>
    </row>
    <row r="7" spans="1:3" x14ac:dyDescent="0.3">
      <c r="A7" s="20">
        <v>90</v>
      </c>
      <c r="B7" s="20">
        <v>1.3</v>
      </c>
      <c r="C7" s="21" t="s">
        <v>23</v>
      </c>
    </row>
    <row r="8" spans="1:3" x14ac:dyDescent="0.3">
      <c r="A8" s="20">
        <v>120</v>
      </c>
      <c r="B8" s="20">
        <v>1.7</v>
      </c>
      <c r="C8" s="21" t="s">
        <v>24</v>
      </c>
    </row>
    <row r="9" spans="1:3" x14ac:dyDescent="0.3">
      <c r="A9" s="20">
        <v>150</v>
      </c>
      <c r="B9" s="20">
        <v>2.2000000000000002</v>
      </c>
      <c r="C9" s="21" t="s">
        <v>25</v>
      </c>
    </row>
    <row r="10" spans="1:3" x14ac:dyDescent="0.3">
      <c r="A10" s="20">
        <v>180</v>
      </c>
      <c r="B10" s="20">
        <v>2.8</v>
      </c>
      <c r="C10" s="21" t="s">
        <v>26</v>
      </c>
    </row>
    <row r="11" spans="1:3" x14ac:dyDescent="0.3">
      <c r="A11" s="20">
        <v>210</v>
      </c>
      <c r="B11" s="20">
        <v>3.5</v>
      </c>
      <c r="C11" s="21" t="s">
        <v>27</v>
      </c>
    </row>
    <row r="14" spans="1:3" ht="15.6" x14ac:dyDescent="0.3">
      <c r="A14" s="12" t="s">
        <v>28</v>
      </c>
      <c r="B14" s="12"/>
      <c r="C14" s="12"/>
    </row>
    <row r="15" spans="1:3" ht="43.5" customHeight="1" x14ac:dyDescent="0.3">
      <c r="A15" s="11" t="s">
        <v>29</v>
      </c>
      <c r="B15" s="11"/>
      <c r="C15" s="11"/>
    </row>
    <row r="16" spans="1:3" ht="26.4" x14ac:dyDescent="0.3">
      <c r="A16" s="19" t="s">
        <v>30</v>
      </c>
      <c r="B16" s="19" t="s">
        <v>31</v>
      </c>
      <c r="C16" s="19" t="s">
        <v>21</v>
      </c>
    </row>
    <row r="17" spans="1:3" x14ac:dyDescent="0.3">
      <c r="A17" s="20">
        <v>0</v>
      </c>
      <c r="B17" s="20">
        <v>2</v>
      </c>
      <c r="C17" s="21" t="s">
        <v>32</v>
      </c>
    </row>
    <row r="18" spans="1:3" x14ac:dyDescent="0.3">
      <c r="A18" s="20">
        <v>4</v>
      </c>
      <c r="B18" s="20">
        <v>1.5</v>
      </c>
      <c r="C18" s="21" t="s">
        <v>33</v>
      </c>
    </row>
    <row r="19" spans="1:3" x14ac:dyDescent="0.3">
      <c r="A19" s="20">
        <v>7</v>
      </c>
      <c r="B19" s="20">
        <v>1</v>
      </c>
      <c r="C19" s="21" t="s">
        <v>34</v>
      </c>
    </row>
    <row r="20" spans="1:3" x14ac:dyDescent="0.3">
      <c r="A20" s="20">
        <v>10</v>
      </c>
      <c r="B20" s="20">
        <v>0.6</v>
      </c>
      <c r="C20" s="21" t="s">
        <v>35</v>
      </c>
    </row>
    <row r="22" spans="1:3" ht="15.6" x14ac:dyDescent="0.3">
      <c r="A22" s="12" t="s">
        <v>36</v>
      </c>
      <c r="B22" s="12"/>
      <c r="C22" s="12"/>
    </row>
    <row r="23" spans="1:3" x14ac:dyDescent="0.3">
      <c r="A23" s="19" t="s">
        <v>37</v>
      </c>
      <c r="B23" s="19" t="s">
        <v>38</v>
      </c>
      <c r="C23" s="19" t="s">
        <v>39</v>
      </c>
    </row>
    <row r="24" spans="1:3" ht="26.4" x14ac:dyDescent="0.3">
      <c r="A24" s="20">
        <v>0</v>
      </c>
      <c r="B24" s="21" t="s">
        <v>40</v>
      </c>
      <c r="C24" s="22" t="s">
        <v>41</v>
      </c>
    </row>
    <row r="25" spans="1:3" ht="26.4" x14ac:dyDescent="0.3">
      <c r="A25" s="20">
        <v>0.8</v>
      </c>
      <c r="B25" s="21" t="s">
        <v>42</v>
      </c>
      <c r="C25" s="22" t="s">
        <v>43</v>
      </c>
    </row>
    <row r="26" spans="1:3" ht="26.4" x14ac:dyDescent="0.3">
      <c r="A26" s="20">
        <v>1.31</v>
      </c>
      <c r="B26" s="21" t="s">
        <v>44</v>
      </c>
      <c r="C26" s="22" t="s">
        <v>45</v>
      </c>
    </row>
    <row r="27" spans="1:3" ht="26.4" x14ac:dyDescent="0.3">
      <c r="A27" s="20">
        <v>1.51</v>
      </c>
      <c r="B27" s="21" t="s">
        <v>46</v>
      </c>
      <c r="C27" s="22" t="s">
        <v>47</v>
      </c>
    </row>
    <row r="30" spans="1:3" ht="15.6" x14ac:dyDescent="0.3">
      <c r="A30" s="12" t="s">
        <v>48</v>
      </c>
      <c r="B30" s="12"/>
      <c r="C30" s="12"/>
    </row>
    <row r="31" spans="1:3" x14ac:dyDescent="0.3">
      <c r="A31" s="23" t="s">
        <v>49</v>
      </c>
    </row>
    <row r="32" spans="1:3" x14ac:dyDescent="0.3">
      <c r="A32" s="23" t="s">
        <v>50</v>
      </c>
    </row>
    <row r="33" spans="1:3" x14ac:dyDescent="0.3">
      <c r="A33" s="23" t="s">
        <v>51</v>
      </c>
    </row>
    <row r="34" spans="1:3" x14ac:dyDescent="0.3">
      <c r="A34" s="23" t="s">
        <v>52</v>
      </c>
    </row>
    <row r="35" spans="1:3" x14ac:dyDescent="0.3">
      <c r="A35" s="23" t="s">
        <v>53</v>
      </c>
    </row>
    <row r="36" spans="1:3" x14ac:dyDescent="0.3">
      <c r="A36" s="23" t="s">
        <v>54</v>
      </c>
    </row>
    <row r="37" spans="1:3" x14ac:dyDescent="0.3">
      <c r="A37" s="23" t="s">
        <v>55</v>
      </c>
    </row>
    <row r="40" spans="1:3" ht="15.6" x14ac:dyDescent="0.3">
      <c r="A40" s="12" t="s">
        <v>56</v>
      </c>
      <c r="B40" s="12"/>
      <c r="C40" s="12"/>
    </row>
    <row r="41" spans="1:3" ht="57.75" customHeight="1" x14ac:dyDescent="0.3">
      <c r="A41" s="11" t="s">
        <v>57</v>
      </c>
      <c r="B41" s="11"/>
      <c r="C41" s="11"/>
    </row>
    <row r="43" spans="1:3" ht="26.4" x14ac:dyDescent="0.3">
      <c r="A43" s="19" t="s">
        <v>58</v>
      </c>
      <c r="B43" s="19" t="s">
        <v>59</v>
      </c>
      <c r="C43" s="19" t="s">
        <v>60</v>
      </c>
    </row>
    <row r="44" spans="1:3" x14ac:dyDescent="0.3">
      <c r="A44" s="20" t="s">
        <v>49</v>
      </c>
      <c r="B44" s="20">
        <v>0</v>
      </c>
      <c r="C44" s="21"/>
    </row>
    <row r="45" spans="1:3" x14ac:dyDescent="0.3">
      <c r="A45" s="20" t="s">
        <v>50</v>
      </c>
      <c r="B45" s="20">
        <v>3.5</v>
      </c>
      <c r="C45" s="21" t="s">
        <v>61</v>
      </c>
    </row>
    <row r="46" spans="1:3" x14ac:dyDescent="0.3">
      <c r="A46" s="20" t="s">
        <v>51</v>
      </c>
      <c r="B46" s="20">
        <v>3</v>
      </c>
      <c r="C46" s="21" t="s">
        <v>62</v>
      </c>
    </row>
    <row r="47" spans="1:3" x14ac:dyDescent="0.3">
      <c r="A47" s="20" t="s">
        <v>52</v>
      </c>
      <c r="B47" s="20">
        <v>2.5</v>
      </c>
      <c r="C47" s="21" t="s">
        <v>63</v>
      </c>
    </row>
    <row r="48" spans="1:3" x14ac:dyDescent="0.3">
      <c r="A48" s="20" t="s">
        <v>53</v>
      </c>
      <c r="B48" s="20">
        <v>4</v>
      </c>
      <c r="C48" s="21" t="s">
        <v>64</v>
      </c>
    </row>
    <row r="49" spans="1:3" x14ac:dyDescent="0.3">
      <c r="A49" s="20" t="s">
        <v>54</v>
      </c>
      <c r="B49" s="20">
        <v>0</v>
      </c>
      <c r="C49" s="21" t="s">
        <v>65</v>
      </c>
    </row>
    <row r="50" spans="1:3" x14ac:dyDescent="0.3">
      <c r="A50" s="20" t="s">
        <v>55</v>
      </c>
      <c r="B50" s="20">
        <v>5.5</v>
      </c>
      <c r="C50" s="21" t="s">
        <v>66</v>
      </c>
    </row>
    <row r="53" spans="1:3" ht="15.6" x14ac:dyDescent="0.3">
      <c r="A53" s="12" t="s">
        <v>67</v>
      </c>
      <c r="B53" s="12"/>
      <c r="C53" s="12"/>
    </row>
    <row r="54" spans="1:3" ht="229.5" customHeight="1" x14ac:dyDescent="0.3">
      <c r="A54" s="10" t="s">
        <v>68</v>
      </c>
      <c r="B54" s="10"/>
      <c r="C54" s="10"/>
    </row>
    <row r="57" spans="1:3" ht="15.6" x14ac:dyDescent="0.3">
      <c r="A57" s="12" t="s">
        <v>69</v>
      </c>
      <c r="B57" s="12"/>
      <c r="C57" s="12"/>
    </row>
    <row r="58" spans="1:3" ht="150" customHeight="1" x14ac:dyDescent="0.3">
      <c r="A58" s="10" t="s">
        <v>70</v>
      </c>
      <c r="B58" s="10"/>
      <c r="C58" s="10"/>
    </row>
    <row r="60" spans="1:3" x14ac:dyDescent="0.3">
      <c r="A60" s="19" t="s">
        <v>58</v>
      </c>
      <c r="B60" s="19" t="s">
        <v>71</v>
      </c>
      <c r="C60" s="19" t="s">
        <v>60</v>
      </c>
    </row>
    <row r="61" spans="1:3" ht="30" customHeight="1" x14ac:dyDescent="0.3">
      <c r="A61" s="20" t="s">
        <v>52</v>
      </c>
      <c r="B61" s="20">
        <v>3</v>
      </c>
      <c r="C61" s="22" t="s">
        <v>72</v>
      </c>
    </row>
    <row r="62" spans="1:3" ht="30" customHeight="1" x14ac:dyDescent="0.3">
      <c r="A62" s="20" t="s">
        <v>54</v>
      </c>
      <c r="B62" s="20">
        <v>3.2</v>
      </c>
      <c r="C62" s="22" t="s">
        <v>73</v>
      </c>
    </row>
    <row r="65" spans="1:3" ht="15.6" x14ac:dyDescent="0.3">
      <c r="A65" s="12" t="s">
        <v>74</v>
      </c>
      <c r="B65" s="12"/>
      <c r="C65" s="12"/>
    </row>
    <row r="66" spans="1:3" ht="259.5" customHeight="1" x14ac:dyDescent="0.3">
      <c r="A66" s="10" t="s">
        <v>75</v>
      </c>
      <c r="B66" s="10"/>
      <c r="C66" s="10"/>
    </row>
    <row r="69" spans="1:3" ht="15.6" x14ac:dyDescent="0.3">
      <c r="A69" s="12" t="s">
        <v>76</v>
      </c>
      <c r="B69" s="12"/>
      <c r="C69" s="12"/>
    </row>
    <row r="70" spans="1:3" ht="85.5" customHeight="1" x14ac:dyDescent="0.3">
      <c r="A70" s="11" t="s">
        <v>77</v>
      </c>
      <c r="B70" s="11"/>
      <c r="C70" s="11"/>
    </row>
    <row r="72" spans="1:3" x14ac:dyDescent="0.3">
      <c r="A72" s="19" t="s">
        <v>78</v>
      </c>
      <c r="B72" s="19" t="s">
        <v>79</v>
      </c>
      <c r="C72" s="19" t="s">
        <v>60</v>
      </c>
    </row>
    <row r="73" spans="1:3" ht="30" customHeight="1" x14ac:dyDescent="0.3">
      <c r="A73" s="20">
        <v>0</v>
      </c>
      <c r="B73" s="20" t="s">
        <v>54</v>
      </c>
      <c r="C73" s="22" t="s">
        <v>80</v>
      </c>
    </row>
    <row r="74" spans="1:3" ht="30" customHeight="1" x14ac:dyDescent="0.3">
      <c r="A74" s="20">
        <v>1</v>
      </c>
      <c r="B74" s="20" t="s">
        <v>81</v>
      </c>
      <c r="C74" s="22" t="s">
        <v>82</v>
      </c>
    </row>
    <row r="75" spans="1:3" ht="30" customHeight="1" x14ac:dyDescent="0.3">
      <c r="A75" s="20">
        <v>2</v>
      </c>
      <c r="B75" s="20" t="s">
        <v>83</v>
      </c>
      <c r="C75" s="22" t="s">
        <v>84</v>
      </c>
    </row>
    <row r="76" spans="1:3" ht="30" customHeight="1" x14ac:dyDescent="0.3">
      <c r="A76" s="20">
        <v>3</v>
      </c>
      <c r="B76" s="20" t="s">
        <v>85</v>
      </c>
      <c r="C76" s="22" t="s">
        <v>86</v>
      </c>
    </row>
    <row r="77" spans="1:3" ht="30" customHeight="1" x14ac:dyDescent="0.3">
      <c r="A77" s="20">
        <v>4</v>
      </c>
      <c r="B77" s="20" t="s">
        <v>83</v>
      </c>
      <c r="C77" s="22" t="s">
        <v>87</v>
      </c>
    </row>
    <row r="78" spans="1:3" ht="30" customHeight="1" x14ac:dyDescent="0.3">
      <c r="A78" s="20">
        <v>5</v>
      </c>
      <c r="B78" s="20" t="s">
        <v>81</v>
      </c>
      <c r="C78" s="22" t="s">
        <v>88</v>
      </c>
    </row>
    <row r="80" spans="1:3" ht="15.6" x14ac:dyDescent="0.3">
      <c r="A80" s="12" t="s">
        <v>89</v>
      </c>
      <c r="B80" s="12"/>
      <c r="C80" s="12"/>
    </row>
    <row r="81" spans="1:4" ht="57.75" customHeight="1" x14ac:dyDescent="0.3">
      <c r="A81" s="11" t="s">
        <v>90</v>
      </c>
      <c r="B81" s="11"/>
      <c r="C81" s="11"/>
    </row>
    <row r="83" spans="1:4" ht="26.4" x14ac:dyDescent="0.3">
      <c r="A83" s="19" t="s">
        <v>91</v>
      </c>
      <c r="B83" s="19" t="s">
        <v>92</v>
      </c>
      <c r="C83" s="19" t="s">
        <v>60</v>
      </c>
    </row>
    <row r="84" spans="1:4" ht="27.75" customHeight="1" x14ac:dyDescent="0.3">
      <c r="A84" s="20">
        <v>0</v>
      </c>
      <c r="B84" s="20" t="s">
        <v>83</v>
      </c>
      <c r="C84" s="22" t="s">
        <v>93</v>
      </c>
    </row>
    <row r="85" spans="1:4" ht="27.75" customHeight="1" x14ac:dyDescent="0.3">
      <c r="A85" s="20">
        <v>1</v>
      </c>
      <c r="B85" s="20" t="s">
        <v>94</v>
      </c>
      <c r="C85" s="22" t="s">
        <v>95</v>
      </c>
    </row>
    <row r="86" spans="1:4" ht="27.75" customHeight="1" x14ac:dyDescent="0.3">
      <c r="A86" s="20">
        <v>2</v>
      </c>
      <c r="B86" s="20" t="s">
        <v>81</v>
      </c>
      <c r="C86" s="22" t="s">
        <v>96</v>
      </c>
    </row>
    <row r="89" spans="1:4" ht="15.6" x14ac:dyDescent="0.3">
      <c r="A89" s="12" t="s">
        <v>97</v>
      </c>
      <c r="B89" s="12"/>
      <c r="C89" s="12"/>
      <c r="D89" s="12"/>
    </row>
    <row r="90" spans="1:4" ht="91.5" customHeight="1" x14ac:dyDescent="0.3">
      <c r="A90" s="11" t="s">
        <v>98</v>
      </c>
      <c r="B90" s="11"/>
      <c r="C90" s="11"/>
      <c r="D90" s="11"/>
    </row>
    <row r="92" spans="1:4" ht="66" x14ac:dyDescent="0.3">
      <c r="A92" s="19" t="s">
        <v>99</v>
      </c>
      <c r="B92" s="19" t="s">
        <v>100</v>
      </c>
      <c r="C92" s="19" t="s">
        <v>101</v>
      </c>
      <c r="D92" s="19" t="s">
        <v>102</v>
      </c>
    </row>
    <row r="93" spans="1:4" x14ac:dyDescent="0.3">
      <c r="A93" s="20" t="s">
        <v>103</v>
      </c>
      <c r="B93" s="24" t="s">
        <v>104</v>
      </c>
      <c r="C93" s="24" t="s">
        <v>105</v>
      </c>
      <c r="D93" s="24" t="s">
        <v>106</v>
      </c>
    </row>
    <row r="94" spans="1:4" x14ac:dyDescent="0.3">
      <c r="A94" s="20" t="s">
        <v>107</v>
      </c>
      <c r="B94" s="20">
        <v>80</v>
      </c>
      <c r="C94" s="20">
        <v>0</v>
      </c>
      <c r="D94" s="20">
        <v>84</v>
      </c>
    </row>
    <row r="95" spans="1:4" x14ac:dyDescent="0.3">
      <c r="A95" s="20" t="s">
        <v>108</v>
      </c>
      <c r="B95" s="20">
        <v>130</v>
      </c>
      <c r="C95" s="20">
        <v>0.2</v>
      </c>
      <c r="D95" s="20">
        <v>56</v>
      </c>
    </row>
    <row r="96" spans="1:4" x14ac:dyDescent="0.3">
      <c r="A96" s="20" t="s">
        <v>109</v>
      </c>
      <c r="B96" s="20">
        <v>180</v>
      </c>
      <c r="C96" s="20">
        <v>0.4</v>
      </c>
      <c r="D96" s="20">
        <v>42</v>
      </c>
    </row>
    <row r="97" spans="1:3" x14ac:dyDescent="0.3">
      <c r="A97" s="21" t="s">
        <v>110</v>
      </c>
      <c r="B97" s="25">
        <v>260</v>
      </c>
    </row>
    <row r="98" spans="1:3" x14ac:dyDescent="0.3">
      <c r="A98" s="21" t="s">
        <v>111</v>
      </c>
      <c r="B98" s="26">
        <v>1.1499999999999999</v>
      </c>
    </row>
    <row r="99" spans="1:3" x14ac:dyDescent="0.3">
      <c r="A99" s="21" t="s">
        <v>112</v>
      </c>
      <c r="B99" s="25">
        <v>4</v>
      </c>
    </row>
    <row r="100" spans="1:3" x14ac:dyDescent="0.3">
      <c r="A100" s="21" t="s">
        <v>113</v>
      </c>
      <c r="B100" s="27">
        <v>0.85</v>
      </c>
    </row>
    <row r="101" spans="1:3" x14ac:dyDescent="0.3">
      <c r="A101" s="21" t="s">
        <v>114</v>
      </c>
      <c r="B101" s="25">
        <v>20</v>
      </c>
    </row>
    <row r="102" spans="1:3" x14ac:dyDescent="0.3">
      <c r="A102" s="21" t="s">
        <v>115</v>
      </c>
      <c r="B102" s="25">
        <v>45</v>
      </c>
    </row>
    <row r="103" spans="1:3" x14ac:dyDescent="0.3">
      <c r="A103" s="21" t="s">
        <v>116</v>
      </c>
      <c r="B103" s="25">
        <v>35</v>
      </c>
    </row>
    <row r="104" spans="1:3" x14ac:dyDescent="0.3">
      <c r="A104" s="21" t="s">
        <v>117</v>
      </c>
      <c r="B104" s="26">
        <v>0.55000000000000004</v>
      </c>
    </row>
    <row r="105" spans="1:3" x14ac:dyDescent="0.3">
      <c r="A105" s="21" t="s">
        <v>118</v>
      </c>
      <c r="B105" s="25">
        <v>5</v>
      </c>
    </row>
    <row r="106" spans="1:3" x14ac:dyDescent="0.3">
      <c r="A106" s="21" t="s">
        <v>119</v>
      </c>
      <c r="B106" s="25">
        <v>70</v>
      </c>
    </row>
    <row r="107" spans="1:3" x14ac:dyDescent="0.3">
      <c r="A107" s="19" t="s">
        <v>120</v>
      </c>
      <c r="B107" s="19" t="s">
        <v>121</v>
      </c>
      <c r="C107" s="19" t="s">
        <v>122</v>
      </c>
    </row>
    <row r="108" spans="1:3" x14ac:dyDescent="0.3">
      <c r="A108" s="21">
        <v>1</v>
      </c>
      <c r="B108" s="27">
        <v>0.12</v>
      </c>
      <c r="C108" s="21" t="s">
        <v>123</v>
      </c>
    </row>
    <row r="109" spans="1:3" x14ac:dyDescent="0.3">
      <c r="A109" s="21">
        <v>2</v>
      </c>
      <c r="B109" s="27">
        <v>0.27</v>
      </c>
      <c r="C109" s="21" t="s">
        <v>124</v>
      </c>
    </row>
    <row r="110" spans="1:3" x14ac:dyDescent="0.3">
      <c r="A110" s="21">
        <v>3</v>
      </c>
      <c r="B110" s="27">
        <v>0</v>
      </c>
      <c r="C110" s="21" t="s">
        <v>125</v>
      </c>
    </row>
    <row r="111" spans="1:3" x14ac:dyDescent="0.3">
      <c r="A111" s="21">
        <v>4</v>
      </c>
      <c r="B111" s="27">
        <v>0.24</v>
      </c>
      <c r="C111" s="21" t="s">
        <v>126</v>
      </c>
    </row>
    <row r="112" spans="1:3" x14ac:dyDescent="0.3">
      <c r="A112" s="21">
        <v>5</v>
      </c>
      <c r="B112" s="27">
        <v>0.1</v>
      </c>
      <c r="C112" s="21" t="s">
        <v>123</v>
      </c>
    </row>
    <row r="113" spans="1:4" x14ac:dyDescent="0.3">
      <c r="A113" s="21">
        <v>6</v>
      </c>
      <c r="B113" s="27">
        <v>0.27</v>
      </c>
      <c r="C113" s="21" t="s">
        <v>127</v>
      </c>
    </row>
    <row r="114" spans="1:4" x14ac:dyDescent="0.3">
      <c r="A114" s="21">
        <v>7</v>
      </c>
      <c r="B114" s="27">
        <v>7.0000000000000007E-2</v>
      </c>
      <c r="C114" s="21" t="s">
        <v>128</v>
      </c>
    </row>
    <row r="116" spans="1:4" ht="15.6" x14ac:dyDescent="0.3">
      <c r="A116" s="12" t="s">
        <v>129</v>
      </c>
      <c r="B116" s="12"/>
      <c r="C116" s="12"/>
      <c r="D116" s="12"/>
    </row>
    <row r="117" spans="1:4" ht="57.75" customHeight="1" x14ac:dyDescent="0.3">
      <c r="A117" s="11" t="s">
        <v>130</v>
      </c>
      <c r="B117" s="11"/>
      <c r="C117" s="11"/>
      <c r="D117" s="11"/>
    </row>
    <row r="118" spans="1:4" x14ac:dyDescent="0.3">
      <c r="A118" s="19" t="s">
        <v>131</v>
      </c>
      <c r="B118" s="19" t="s">
        <v>132</v>
      </c>
    </row>
    <row r="119" spans="1:4" x14ac:dyDescent="0.3">
      <c r="A119" s="21" t="s">
        <v>133</v>
      </c>
      <c r="B119" s="26">
        <v>1.5</v>
      </c>
    </row>
    <row r="120" spans="1:4" x14ac:dyDescent="0.3">
      <c r="A120" s="21" t="s">
        <v>134</v>
      </c>
      <c r="B120" s="26">
        <v>1.25</v>
      </c>
    </row>
  </sheetData>
  <mergeCells count="23">
    <mergeCell ref="A90:D90"/>
    <mergeCell ref="A116:D116"/>
    <mergeCell ref="A117:D117"/>
    <mergeCell ref="A69:C69"/>
    <mergeCell ref="A70:C70"/>
    <mergeCell ref="A80:C80"/>
    <mergeCell ref="A81:C81"/>
    <mergeCell ref="A89:D89"/>
    <mergeCell ref="A54:C54"/>
    <mergeCell ref="A57:C57"/>
    <mergeCell ref="A58:C58"/>
    <mergeCell ref="A65:C65"/>
    <mergeCell ref="A66:C66"/>
    <mergeCell ref="A22:C22"/>
    <mergeCell ref="A30:C30"/>
    <mergeCell ref="A40:C40"/>
    <mergeCell ref="A41:C41"/>
    <mergeCell ref="A53:C53"/>
    <mergeCell ref="A1:C1"/>
    <mergeCell ref="A2:C2"/>
    <mergeCell ref="A4:C4"/>
    <mergeCell ref="A14:C14"/>
    <mergeCell ref="A15:C1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0"/>
  <sheetViews>
    <sheetView showGridLines="0" zoomScaleNormal="100" workbookViewId="0"/>
  </sheetViews>
  <sheetFormatPr defaultColWidth="8.6640625" defaultRowHeight="14.4" x14ac:dyDescent="0.3"/>
  <cols>
    <col min="1" max="1" width="22" customWidth="1"/>
    <col min="2" max="2" width="16" customWidth="1"/>
    <col min="3" max="3" width="12" customWidth="1"/>
    <col min="4" max="4" width="16" customWidth="1"/>
    <col min="5" max="5" width="40" customWidth="1"/>
  </cols>
  <sheetData>
    <row r="1" spans="1:5" ht="21" x14ac:dyDescent="0.4">
      <c r="A1" s="14" t="s">
        <v>135</v>
      </c>
      <c r="B1" s="14"/>
      <c r="C1" s="14"/>
      <c r="D1" s="14"/>
      <c r="E1" s="14"/>
    </row>
    <row r="2" spans="1:5" ht="43.5" customHeight="1" x14ac:dyDescent="0.3">
      <c r="A2" s="11" t="s">
        <v>136</v>
      </c>
      <c r="B2" s="11"/>
      <c r="C2" s="11"/>
      <c r="D2" s="11"/>
      <c r="E2" s="11"/>
    </row>
    <row r="4" spans="1:5" ht="30" customHeight="1" x14ac:dyDescent="0.3">
      <c r="A4" s="19" t="s">
        <v>137</v>
      </c>
      <c r="B4" s="19" t="s">
        <v>138</v>
      </c>
      <c r="C4" s="19" t="s">
        <v>139</v>
      </c>
      <c r="D4" s="19" t="s">
        <v>140</v>
      </c>
      <c r="E4" s="19" t="s">
        <v>141</v>
      </c>
    </row>
    <row r="5" spans="1:5" x14ac:dyDescent="0.3">
      <c r="A5" s="20" t="s">
        <v>142</v>
      </c>
      <c r="B5" s="20" t="s">
        <v>143</v>
      </c>
      <c r="C5" s="20">
        <v>92.2</v>
      </c>
      <c r="D5" s="20">
        <v>87.9</v>
      </c>
      <c r="E5" s="24"/>
    </row>
    <row r="6" spans="1:5" x14ac:dyDescent="0.3">
      <c r="A6" s="20" t="s">
        <v>144</v>
      </c>
      <c r="B6" s="20"/>
      <c r="C6" s="20"/>
      <c r="D6" s="20">
        <v>91</v>
      </c>
      <c r="E6" s="24" t="s">
        <v>145</v>
      </c>
    </row>
    <row r="7" spans="1:5" x14ac:dyDescent="0.3">
      <c r="A7" s="20" t="s">
        <v>146</v>
      </c>
      <c r="B7" s="20"/>
      <c r="C7" s="20"/>
      <c r="D7" s="20">
        <v>91</v>
      </c>
      <c r="E7" s="24" t="s">
        <v>145</v>
      </c>
    </row>
    <row r="8" spans="1:5" x14ac:dyDescent="0.3">
      <c r="A8" s="20" t="s">
        <v>147</v>
      </c>
      <c r="B8" s="20"/>
      <c r="C8" s="20"/>
      <c r="D8" s="20">
        <v>89</v>
      </c>
      <c r="E8" s="24" t="s">
        <v>145</v>
      </c>
    </row>
    <row r="9" spans="1:5" x14ac:dyDescent="0.3">
      <c r="A9" s="20"/>
      <c r="B9" s="20"/>
      <c r="C9" s="20"/>
      <c r="D9" s="20"/>
      <c r="E9" s="24"/>
    </row>
    <row r="10" spans="1:5" x14ac:dyDescent="0.3">
      <c r="A10" s="20"/>
      <c r="B10" s="20"/>
      <c r="C10" s="20"/>
      <c r="D10" s="20"/>
      <c r="E10" s="20"/>
    </row>
    <row r="11" spans="1:5" x14ac:dyDescent="0.3">
      <c r="A11" s="20"/>
      <c r="B11" s="20"/>
      <c r="C11" s="20"/>
      <c r="D11" s="20"/>
      <c r="E11" s="20"/>
    </row>
    <row r="12" spans="1:5" x14ac:dyDescent="0.3">
      <c r="A12" s="20"/>
      <c r="B12" s="20"/>
      <c r="C12" s="20"/>
      <c r="D12" s="20"/>
      <c r="E12" s="20"/>
    </row>
    <row r="13" spans="1:5" x14ac:dyDescent="0.3">
      <c r="A13" s="20"/>
      <c r="B13" s="20"/>
      <c r="C13" s="20"/>
      <c r="D13" s="20"/>
      <c r="E13" s="20"/>
    </row>
    <row r="14" spans="1:5" x14ac:dyDescent="0.3">
      <c r="A14" s="20"/>
      <c r="B14" s="20"/>
      <c r="C14" s="20"/>
      <c r="D14" s="20"/>
      <c r="E14" s="20"/>
    </row>
    <row r="15" spans="1:5" x14ac:dyDescent="0.3">
      <c r="A15" s="20"/>
      <c r="B15" s="20"/>
      <c r="C15" s="20"/>
      <c r="D15" s="20"/>
      <c r="E15" s="20"/>
    </row>
    <row r="16" spans="1:5" x14ac:dyDescent="0.3">
      <c r="A16" s="20"/>
      <c r="B16" s="20"/>
      <c r="C16" s="20"/>
      <c r="D16" s="20"/>
      <c r="E16" s="20"/>
    </row>
    <row r="17" spans="1:5" x14ac:dyDescent="0.3">
      <c r="A17" s="20"/>
      <c r="B17" s="20"/>
      <c r="C17" s="20"/>
      <c r="D17" s="20"/>
      <c r="E17" s="20"/>
    </row>
    <row r="18" spans="1:5" x14ac:dyDescent="0.3">
      <c r="A18" s="20"/>
      <c r="B18" s="20"/>
      <c r="C18" s="20"/>
      <c r="D18" s="20"/>
      <c r="E18" s="20"/>
    </row>
    <row r="19" spans="1:5" x14ac:dyDescent="0.3">
      <c r="A19" s="20"/>
      <c r="B19" s="20"/>
      <c r="C19" s="20"/>
      <c r="D19" s="20"/>
      <c r="E19" s="20"/>
    </row>
    <row r="20" spans="1:5" x14ac:dyDescent="0.3">
      <c r="A20" s="20"/>
      <c r="B20" s="20"/>
      <c r="C20" s="20"/>
      <c r="D20" s="20"/>
      <c r="E20" s="20"/>
    </row>
    <row r="21" spans="1:5" x14ac:dyDescent="0.3">
      <c r="A21" s="20"/>
      <c r="B21" s="20"/>
      <c r="C21" s="20"/>
      <c r="D21" s="20"/>
      <c r="E21" s="20"/>
    </row>
    <row r="22" spans="1:5" x14ac:dyDescent="0.3">
      <c r="A22" s="20"/>
      <c r="B22" s="20"/>
      <c r="C22" s="20"/>
      <c r="D22" s="20"/>
      <c r="E22" s="20"/>
    </row>
    <row r="23" spans="1:5" x14ac:dyDescent="0.3">
      <c r="A23" s="20"/>
      <c r="B23" s="20"/>
      <c r="C23" s="20"/>
      <c r="D23" s="20"/>
      <c r="E23" s="20"/>
    </row>
    <row r="24" spans="1:5" x14ac:dyDescent="0.3">
      <c r="A24" s="20"/>
      <c r="B24" s="20"/>
      <c r="C24" s="20"/>
      <c r="D24" s="20"/>
      <c r="E24" s="20"/>
    </row>
    <row r="25" spans="1:5" x14ac:dyDescent="0.3">
      <c r="A25" s="20"/>
      <c r="B25" s="20"/>
      <c r="C25" s="20"/>
      <c r="D25" s="20"/>
      <c r="E25" s="20"/>
    </row>
    <row r="26" spans="1:5" x14ac:dyDescent="0.3">
      <c r="A26" s="20"/>
      <c r="B26" s="20"/>
      <c r="C26" s="20"/>
      <c r="D26" s="20"/>
      <c r="E26" s="20"/>
    </row>
    <row r="27" spans="1:5" x14ac:dyDescent="0.3">
      <c r="A27" s="20"/>
      <c r="B27" s="20"/>
      <c r="C27" s="20"/>
      <c r="D27" s="20"/>
      <c r="E27" s="20"/>
    </row>
    <row r="28" spans="1:5" x14ac:dyDescent="0.3">
      <c r="A28" s="20"/>
      <c r="B28" s="20"/>
      <c r="C28" s="20"/>
      <c r="D28" s="20"/>
      <c r="E28" s="20"/>
    </row>
    <row r="29" spans="1:5" x14ac:dyDescent="0.3">
      <c r="A29" s="20"/>
      <c r="B29" s="20"/>
      <c r="C29" s="20"/>
      <c r="D29" s="20"/>
      <c r="E29" s="20"/>
    </row>
    <row r="30" spans="1:5" x14ac:dyDescent="0.3">
      <c r="A30" s="20"/>
      <c r="B30" s="20"/>
      <c r="C30" s="20"/>
      <c r="D30" s="20"/>
      <c r="E30" s="20"/>
    </row>
    <row r="31" spans="1:5" x14ac:dyDescent="0.3">
      <c r="A31" s="20"/>
      <c r="B31" s="20"/>
      <c r="C31" s="20"/>
      <c r="D31" s="20"/>
      <c r="E31" s="20"/>
    </row>
    <row r="32" spans="1:5" x14ac:dyDescent="0.3">
      <c r="A32" s="20"/>
      <c r="B32" s="20"/>
      <c r="C32" s="20"/>
      <c r="D32" s="20"/>
      <c r="E32" s="20"/>
    </row>
    <row r="33" spans="1:5" x14ac:dyDescent="0.3">
      <c r="A33" s="20"/>
      <c r="B33" s="20"/>
      <c r="C33" s="20"/>
      <c r="D33" s="20"/>
      <c r="E33" s="20"/>
    </row>
    <row r="34" spans="1:5" x14ac:dyDescent="0.3">
      <c r="A34" s="20"/>
      <c r="B34" s="20"/>
      <c r="C34" s="20"/>
      <c r="D34" s="20"/>
      <c r="E34" s="20"/>
    </row>
    <row r="35" spans="1:5" x14ac:dyDescent="0.3">
      <c r="A35" s="20"/>
      <c r="B35" s="20"/>
      <c r="C35" s="20"/>
      <c r="D35" s="20"/>
      <c r="E35" s="20"/>
    </row>
    <row r="36" spans="1:5" x14ac:dyDescent="0.3">
      <c r="A36" s="20"/>
      <c r="B36" s="20"/>
      <c r="C36" s="20"/>
      <c r="D36" s="20"/>
      <c r="E36" s="20"/>
    </row>
    <row r="37" spans="1:5" x14ac:dyDescent="0.3">
      <c r="A37" s="20"/>
      <c r="B37" s="20"/>
      <c r="C37" s="20"/>
      <c r="D37" s="20"/>
      <c r="E37" s="20"/>
    </row>
    <row r="38" spans="1:5" x14ac:dyDescent="0.3">
      <c r="A38" s="20"/>
      <c r="B38" s="20"/>
      <c r="C38" s="20"/>
      <c r="D38" s="20"/>
      <c r="E38" s="20"/>
    </row>
    <row r="39" spans="1:5" x14ac:dyDescent="0.3">
      <c r="A39" s="20"/>
      <c r="B39" s="20"/>
      <c r="C39" s="20"/>
      <c r="D39" s="20"/>
      <c r="E39" s="20"/>
    </row>
    <row r="40" spans="1:5" x14ac:dyDescent="0.3">
      <c r="A40" s="20"/>
      <c r="B40" s="20"/>
      <c r="C40" s="20"/>
      <c r="D40" s="20"/>
      <c r="E40" s="20"/>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300"/>
  <sheetViews>
    <sheetView showGridLines="0" zoomScaleNormal="100" workbookViewId="0">
      <pane ySplit="4" topLeftCell="A5" activePane="bottomLeft" state="frozen"/>
      <selection pane="bottomLeft"/>
    </sheetView>
  </sheetViews>
  <sheetFormatPr defaultColWidth="8.6640625" defaultRowHeight="14.4" x14ac:dyDescent="0.3"/>
  <cols>
    <col min="1" max="1" width="12" customWidth="1"/>
    <col min="2" max="2" width="18" customWidth="1"/>
    <col min="3" max="3" width="20" customWidth="1"/>
    <col min="4" max="4" width="12" customWidth="1"/>
    <col min="5" max="6" width="10" customWidth="1"/>
    <col min="7" max="7" width="12" customWidth="1"/>
    <col min="8" max="9" width="13" customWidth="1"/>
    <col min="10" max="12" width="10" customWidth="1"/>
    <col min="13" max="15" width="13" customWidth="1"/>
    <col min="16" max="16" width="12" customWidth="1"/>
    <col min="17" max="17" width="13" customWidth="1"/>
    <col min="18" max="18" width="15" customWidth="1"/>
    <col min="19" max="22" width="12" customWidth="1"/>
    <col min="23" max="23" width="13" customWidth="1"/>
    <col min="24" max="24" width="15" customWidth="1"/>
    <col min="25" max="28" width="12" customWidth="1"/>
    <col min="29" max="29" width="13" customWidth="1"/>
    <col min="30" max="30" width="26" customWidth="1"/>
    <col min="31" max="31" width="13" hidden="1" customWidth="1"/>
    <col min="32" max="32" width="13" customWidth="1"/>
    <col min="33" max="33" width="15" customWidth="1"/>
  </cols>
  <sheetData>
    <row r="1" spans="1:33" ht="21" x14ac:dyDescent="0.4">
      <c r="A1" s="14" t="s">
        <v>148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33" ht="129.75" customHeight="1" x14ac:dyDescent="0.3">
      <c r="A2" s="11" t="s">
        <v>149</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row>
    <row r="4" spans="1:33" ht="49.5" customHeight="1" x14ac:dyDescent="0.3">
      <c r="A4" s="19" t="s">
        <v>150</v>
      </c>
      <c r="B4" s="19" t="s">
        <v>151</v>
      </c>
      <c r="C4" s="19" t="s">
        <v>58</v>
      </c>
      <c r="D4" s="19" t="s">
        <v>152</v>
      </c>
      <c r="E4" s="19" t="s">
        <v>153</v>
      </c>
      <c r="F4" s="19" t="s">
        <v>154</v>
      </c>
      <c r="G4" s="19" t="s">
        <v>155</v>
      </c>
      <c r="H4" s="19" t="s">
        <v>156</v>
      </c>
      <c r="I4" s="19" t="s">
        <v>157</v>
      </c>
      <c r="J4" s="19" t="s">
        <v>158</v>
      </c>
      <c r="K4" s="19" t="s">
        <v>159</v>
      </c>
      <c r="L4" s="19" t="s">
        <v>160</v>
      </c>
      <c r="M4" s="19" t="s">
        <v>161</v>
      </c>
      <c r="N4" s="19" t="s">
        <v>162</v>
      </c>
      <c r="O4" s="19" t="s">
        <v>163</v>
      </c>
      <c r="P4" s="19" t="s">
        <v>31</v>
      </c>
      <c r="Q4" s="19" t="s">
        <v>164</v>
      </c>
      <c r="R4" s="19" t="s">
        <v>165</v>
      </c>
      <c r="S4" s="19" t="s">
        <v>166</v>
      </c>
      <c r="T4" s="19" t="s">
        <v>167</v>
      </c>
      <c r="U4" s="19" t="s">
        <v>168</v>
      </c>
      <c r="V4" s="19" t="s">
        <v>169</v>
      </c>
      <c r="W4" s="19" t="s">
        <v>170</v>
      </c>
      <c r="X4" s="19" t="s">
        <v>171</v>
      </c>
      <c r="Y4" s="19" t="s">
        <v>172</v>
      </c>
      <c r="Z4" s="19" t="s">
        <v>173</v>
      </c>
      <c r="AA4" s="19" t="s">
        <v>174</v>
      </c>
      <c r="AB4" s="19" t="s">
        <v>175</v>
      </c>
      <c r="AC4" s="19" t="s">
        <v>176</v>
      </c>
      <c r="AD4" s="19" t="s">
        <v>177</v>
      </c>
      <c r="AE4" t="s">
        <v>178</v>
      </c>
      <c r="AF4" s="19" t="s">
        <v>179</v>
      </c>
      <c r="AG4" s="19" t="s">
        <v>180</v>
      </c>
    </row>
    <row r="5" spans="1:33" x14ac:dyDescent="0.3">
      <c r="A5" s="28">
        <v>46265</v>
      </c>
      <c r="B5" s="20" t="s">
        <v>142</v>
      </c>
      <c r="C5" s="20" t="s">
        <v>53</v>
      </c>
      <c r="D5" s="20">
        <v>120</v>
      </c>
      <c r="E5" s="29">
        <v>7.5694444444444398E-2</v>
      </c>
      <c r="F5" s="29">
        <v>8.5416666666666696E-2</v>
      </c>
      <c r="G5" s="30">
        <f t="shared" ref="G5:G68" si="0">IF(OR(E5="",F5=""),"",(F5-E5)*1440)</f>
        <v>14.00000000000011</v>
      </c>
      <c r="H5" s="31"/>
      <c r="I5" s="32">
        <f>IF(H5&lt;&gt;"",H5,IF(G5="","",ROUND(G5*IFERROR(INDEX(Reference!$B$44:$B$50,MATCH(C5,Reference!$A$44:$A$50,0)),0),0)))</f>
        <v>56</v>
      </c>
      <c r="J5" s="20">
        <v>75</v>
      </c>
      <c r="K5" s="20">
        <v>81</v>
      </c>
      <c r="L5" s="32">
        <f t="shared" ref="L5:L68" si="1">IF(J5="","",IF(K5="",J5,AVERAGE(J5,K5)))</f>
        <v>78</v>
      </c>
      <c r="M5" s="32">
        <f>IFERROR(INDEX(Roster!$D$5:$D$40,MATCH(B5,Roster!$A$5:$A$40,0)),"")</f>
        <v>87.9</v>
      </c>
      <c r="N5" s="32">
        <f t="shared" ref="N5:N68" si="2">IF(OR(L5="",M5="",M5=0),"",M5-L5)</f>
        <v>9.9000000000000057</v>
      </c>
      <c r="O5" s="32">
        <f>IF(OR(C5="Bullpen",C5="Game"),IFERROR(INDEX(Reference!$B$61:$B$62,MATCH(C5,Reference!$A$61:$A$62,0)),""),IF(D5="","",IF(AE5&gt;1,((IF(1&lt;=AE5,(AE5-1+3)*(INDEX(Reference!$B$6:$B$11,MIN(5,MATCH(MAX(Reference!$A$6,MIN(Reference!$A$11,MIN(D5,90))),Reference!$A$6:$A$11,1)))+(MAX(Reference!$A$6,MIN(Reference!$A$11,MIN(D5,90)))-INDEX(Reference!$A$6:$A$11,MIN(5,MATCH(MAX(Reference!$A$6,MIN(Reference!$A$11,MIN(D5,90))),Reference!$A$6:$A$11,1))))*(INDEX(Reference!$B$6:$B$11,MIN(5,MATCH(MAX(Reference!$A$6,MIN(Reference!$A$11,MIN(D5,90))),Reference!$A$6:$A$11,1))+1)-INDEX(Reference!$B$6:$B$11,MIN(5,MATCH(MAX(Reference!$A$6,MIN(Reference!$A$11,MIN(D5,90))),Reference!$A$6:$A$11,1))))/(INDEX(Reference!$A$6:$A$11,MIN(5,MATCH(MAX(Reference!$A$6,MIN(Reference!$A$11,MIN(D5,90))),Reference!$A$6:$A$11,1))+1)-INDEX(Reference!$A$6:$A$11,MIN(5,MATCH(MAX(Reference!$A$6,MIN(Reference!$A$11,MIN(D5,90))),Reference!$A$6:$A$11,1))))),0)+IF(2&lt;=AE5,(AE5-2+3)*(INDEX(Reference!$B$6:$B$11,MIN(5,MATCH(MAX(Reference!$A$6,MIN(Reference!$A$11,MIN(D5,120))),Reference!$A$6:$A$11,1)))+(MAX(Reference!$A$6,MIN(Reference!$A$11,MIN(D5,120)))-INDEX(Reference!$A$6:$A$11,MIN(5,MATCH(MAX(Reference!$A$6,MIN(Reference!$A$11,MIN(D5,120))),Reference!$A$6:$A$11,1))))*(INDEX(Reference!$B$6:$B$11,MIN(5,MATCH(MAX(Reference!$A$6,MIN(Reference!$A$11,MIN(D5,120))),Reference!$A$6:$A$11,1))+1)-INDEX(Reference!$B$6:$B$11,MIN(5,MATCH(MAX(Reference!$A$6,MIN(Reference!$A$11,MIN(D5,120))),Reference!$A$6:$A$11,1))))/(INDEX(Reference!$A$6:$A$11,MIN(5,MATCH(MAX(Reference!$A$6,MIN(Reference!$A$11,MIN(D5,120))),Reference!$A$6:$A$11,1))+1)-INDEX(Reference!$A$6:$A$11,MIN(5,MATCH(MAX(Reference!$A$6,MIN(Reference!$A$11,MIN(D5,120))),Reference!$A$6:$A$11,1))))),0)+IF(3&lt;=AE5,(AE5-3+3)*(INDEX(Reference!$B$6:$B$11,MIN(5,MATCH(MAX(Reference!$A$6,MIN(Reference!$A$11,MIN(D5,150))),Reference!$A$6:$A$11,1)))+(MAX(Reference!$A$6,MIN(Reference!$A$11,MIN(D5,150)))-INDEX(Reference!$A$6:$A$11,MIN(5,MATCH(MAX(Reference!$A$6,MIN(Reference!$A$11,MIN(D5,150))),Reference!$A$6:$A$11,1))))*(INDEX(Reference!$B$6:$B$11,MIN(5,MATCH(MAX(Reference!$A$6,MIN(Reference!$A$11,MIN(D5,150))),Reference!$A$6:$A$11,1))+1)-INDEX(Reference!$B$6:$B$11,MIN(5,MATCH(MAX(Reference!$A$6,MIN(Reference!$A$11,MIN(D5,150))),Reference!$A$6:$A$11,1))))/(INDEX(Reference!$A$6:$A$11,MIN(5,MATCH(MAX(Reference!$A$6,MIN(Reference!$A$11,MIN(D5,150))),Reference!$A$6:$A$11,1))+1)-INDEX(Reference!$A$6:$A$11,MIN(5,MATCH(MAX(Reference!$A$6,MIN(Reference!$A$11,MIN(D5,150))),Reference!$A$6:$A$11,1))))),0)+IF(4&lt;=AE5,(AE5-4+3)*(INDEX(Reference!$B$6:$B$11,MIN(5,MATCH(MAX(Reference!$A$6,MIN(Reference!$A$11,MIN(D5,180))),Reference!$A$6:$A$11,1)))+(MAX(Reference!$A$6,MIN(Reference!$A$11,MIN(D5,180)))-INDEX(Reference!$A$6:$A$11,MIN(5,MATCH(MAX(Reference!$A$6,MIN(Reference!$A$11,MIN(D5,180))),Reference!$A$6:$A$11,1))))*(INDEX(Reference!$B$6:$B$11,MIN(5,MATCH(MAX(Reference!$A$6,MIN(Reference!$A$11,MIN(D5,180))),Reference!$A$6:$A$11,1))+1)-INDEX(Reference!$B$6:$B$11,MIN(5,MATCH(MAX(Reference!$A$6,MIN(Reference!$A$11,MIN(D5,180))),Reference!$A$6:$A$11,1))))/(INDEX(Reference!$A$6:$A$11,MIN(5,MATCH(MAX(Reference!$A$6,MIN(Reference!$A$11,MIN(D5,180))),Reference!$A$6:$A$11,1))+1)-INDEX(Reference!$A$6:$A$11,MIN(5,MATCH(MAX(Reference!$A$6,MIN(Reference!$A$11,MIN(D5,180))),Reference!$A$6:$A$11,1))))),0)+IF(5&lt;=AE5,(AE5-5+3)*(INDEX(Reference!$B$6:$B$11,MIN(5,MATCH(MAX(Reference!$A$6,MIN(Reference!$A$11,MIN(D5,210))),Reference!$A$6:$A$11,1)))+(MAX(Reference!$A$6,MIN(Reference!$A$11,MIN(D5,210)))-INDEX(Reference!$A$6:$A$11,MIN(5,MATCH(MAX(Reference!$A$6,MIN(Reference!$A$11,MIN(D5,210))),Reference!$A$6:$A$11,1))))*(INDEX(Reference!$B$6:$B$11,MIN(5,MATCH(MAX(Reference!$A$6,MIN(Reference!$A$11,MIN(D5,210))),Reference!$A$6:$A$11,1))+1)-INDEX(Reference!$B$6:$B$11,MIN(5,MATCH(MAX(Reference!$A$6,MIN(Reference!$A$11,MIN(D5,210))),Reference!$A$6:$A$11,1))))/(INDEX(Reference!$A$6:$A$11,MIN(5,MATCH(MAX(Reference!$A$6,MIN(Reference!$A$11,MIN(D5,210))),Reference!$A$6:$A$11,1))+1)-INDEX(Reference!$A$6:$A$11,MIN(5,MATCH(MAX(Reference!$A$6,MIN(Reference!$A$11,MIN(D5,210))),Reference!$A$6:$A$11,1))))),0)+IF(6&lt;=AE5,(AE5-6+3)*(INDEX(Reference!$B$6:$B$11,MIN(5,MATCH(MAX(Reference!$A$6,MIN(Reference!$A$11,MIN(D5,240))),Reference!$A$6:$A$11,1)))+(MAX(Reference!$A$6,MIN(Reference!$A$11,MIN(D5,240)))-INDEX(Reference!$A$6:$A$11,MIN(5,MATCH(MAX(Reference!$A$6,MIN(Reference!$A$11,MIN(D5,240))),Reference!$A$6:$A$11,1))))*(INDEX(Reference!$B$6:$B$11,MIN(5,MATCH(MAX(Reference!$A$6,MIN(Reference!$A$11,MIN(D5,240))),Reference!$A$6:$A$11,1))+1)-INDEX(Reference!$B$6:$B$11,MIN(5,MATCH(MAX(Reference!$A$6,MIN(Reference!$A$11,MIN(D5,240))),Reference!$A$6:$A$11,1))))/(INDEX(Reference!$A$6:$A$11,MIN(5,MATCH(MAX(Reference!$A$6,MIN(Reference!$A$11,MIN(D5,240))),Reference!$A$6:$A$11,1))+1)-INDEX(Reference!$A$6:$A$11,MIN(5,MATCH(MAX(Reference!$A$6,MIN(Reference!$A$11,MIN(D5,240))),Reference!$A$6:$A$11,1))))),0)+IF(7&lt;=AE5,(AE5-7+3)*(INDEX(Reference!$B$6:$B$11,MIN(5,MATCH(MAX(Reference!$A$6,MIN(Reference!$A$11,MIN(D5,270))),Reference!$A$6:$A$11,1)))+(MAX(Reference!$A$6,MIN(Reference!$A$11,MIN(D5,270)))-INDEX(Reference!$A$6:$A$11,MIN(5,MATCH(MAX(Reference!$A$6,MIN(Reference!$A$11,MIN(D5,270))),Reference!$A$6:$A$11,1))))*(INDEX(Reference!$B$6:$B$11,MIN(5,MATCH(MAX(Reference!$A$6,MIN(Reference!$A$11,MIN(D5,270))),Reference!$A$6:$A$11,1))+1)-INDEX(Reference!$B$6:$B$11,MIN(5,MATCH(MAX(Reference!$A$6,MIN(Reference!$A$11,MIN(D5,270))),Reference!$A$6:$A$11,1))))/(INDEX(Reference!$A$6:$A$11,MIN(5,MATCH(MAX(Reference!$A$6,MIN(Reference!$A$11,MIN(D5,270))),Reference!$A$6:$A$11,1))+1)-INDEX(Reference!$A$6:$A$11,MIN(5,MATCH(MAX(Reference!$A$6,MIN(Reference!$A$11,MIN(D5,270))),Reference!$A$6:$A$11,1))))),0)+IF(8&lt;=AE5,(AE5-8+3)*(INDEX(Reference!$B$6:$B$11,MIN(5,MATCH(MAX(Reference!$A$6,MIN(Reference!$A$11,MIN(D5,300))),Reference!$A$6:$A$11,1)))+(MAX(Reference!$A$6,MIN(Reference!$A$11,MIN(D5,300)))-INDEX(Reference!$A$6:$A$11,MIN(5,MATCH(MAX(Reference!$A$6,MIN(Reference!$A$11,MIN(D5,300))),Reference!$A$6:$A$11,1))))*(INDEX(Reference!$B$6:$B$11,MIN(5,MATCH(MAX(Reference!$A$6,MIN(Reference!$A$11,MIN(D5,300))),Reference!$A$6:$A$11,1))+1)-INDEX(Reference!$B$6:$B$11,MIN(5,MATCH(MAX(Reference!$A$6,MIN(Reference!$A$11,MIN(D5,300))),Reference!$A$6:$A$11,1))))/(INDEX(Reference!$A$6:$A$11,MIN(5,MATCH(MAX(Reference!$A$6,MIN(Reference!$A$11,MIN(D5,300))),Reference!$A$6:$A$11,1))+1)-INDEX(Reference!$A$6:$A$11,MIN(5,MATCH(MAX(Reference!$A$6,MIN(Reference!$A$11,MIN(D5,300))),Reference!$A$6:$A$11,1))))),0))/(AE5*(AE5+5)/2)),(INDEX(Reference!$B$6:$B$11,MIN(5,MATCH(MAX(Reference!$A$6,MIN(Reference!$A$11,D5)),Reference!$A$6:$A$11,1)))+(MAX(Reference!$A$6,MIN(Reference!$A$11,D5))-INDEX(Reference!$A$6:$A$11,MIN(5,MATCH(MAX(Reference!$A$6,MIN(Reference!$A$11,D5)),Reference!$A$6:$A$11,1))))*(INDEX(Reference!$B$6:$B$11,MIN(5,MATCH(MAX(Reference!$A$6,MIN(Reference!$A$11,D5)),Reference!$A$6:$A$11,1))+1)-INDEX(Reference!$B$6:$B$11,MIN(5,MATCH(MAX(Reference!$A$6,MIN(Reference!$A$11,D5)),Reference!$A$6:$A$11,1))))/(INDEX(Reference!$A$6:$A$11,MIN(5,MATCH(MAX(Reference!$A$6,MIN(Reference!$A$11,D5)),Reference!$A$6:$A$11,1))+1)-INDEX(Reference!$A$6:$A$11,MIN(5,MATCH(MAX(Reference!$A$6,MIN(Reference!$A$11,D5)),Reference!$A$6:$A$11,1))))))))</f>
        <v>1.7</v>
      </c>
      <c r="P5" s="32">
        <f>IF(N5="","",VLOOKUP(MAX(N5,0),Reference!$A$17:$B$20,2,TRUE()))</f>
        <v>1</v>
      </c>
      <c r="Q5" s="32">
        <f t="shared" ref="Q5:Q68" si="3">IF(AG5="","",AG5*IF(AF5="",1,AF5))</f>
        <v>95.2</v>
      </c>
      <c r="R5" s="31"/>
      <c r="S5" s="31"/>
      <c r="T5" s="31"/>
      <c r="U5" s="32" t="str">
        <f t="shared" ref="U5:U68" si="4">IF(S5="","",IF(T5="",S5,AVERAGE(S5,T5)))</f>
        <v/>
      </c>
      <c r="V5" s="32" t="str">
        <f t="shared" ref="V5:V68" si="5">IF(OR(U5="",M5="",M5=0),"",M5-U5)</f>
        <v/>
      </c>
      <c r="W5" s="32" t="str">
        <f>IF(V5="","",VLOOKUP(MAX(V5,0),Reference!$A$17:$B$20,2,TRUE()))</f>
        <v/>
      </c>
      <c r="X5" s="31"/>
      <c r="Y5" s="31"/>
      <c r="Z5" s="31"/>
      <c r="AA5" s="32" t="str">
        <f t="shared" ref="AA5:AA68" si="6">IF(Y5="","",IF(Z5="",Y5,AVERAGE(Y5,Z5)))</f>
        <v/>
      </c>
      <c r="AB5" s="32" t="str">
        <f t="shared" ref="AB5:AB68" si="7">IF(OR(AA5="",M5="",M5=0),"",M5-AA5)</f>
        <v/>
      </c>
      <c r="AC5" s="32" t="str">
        <f>IF(AB5="","",VLOOKUP(MAX(AB5,0),Reference!$A$17:$B$20,2,TRUE()))</f>
        <v/>
      </c>
      <c r="AD5" s="24" t="s">
        <v>181</v>
      </c>
      <c r="AE5">
        <f t="shared" ref="AE5:AE68" si="8">IF(AND(C5="Long Toss",N(D5)&gt;90),1+ROUNDUP((D5-90)/30,0),1)</f>
        <v>1</v>
      </c>
      <c r="AF5" s="33" t="str">
        <f>IF(OR(A5="",B5="",AND(C5&lt;&gt;"Bullpen",C5&lt;&gt;"Game")),"",IF((COUNTIFS($B$5:$B$300,B5,$A$5:$A$300,A5-1,$C$5:$C$300,"Bullpen",$AG$5:$AG$300,"&gt;0") + COUNTIFS($B$5:$B$300,B5,$A$5:$A$300,A5-1,$C$5:$C$300,"Game",$AG$5:$AG$300,"&gt;0"))&gt;0,Reference!$B$119,IF((COUNTIFS($B$5:$B$300,B5,$A$5:$A$300,A5-2,$C$5:$C$300,"Bullpen",$AG$5:$AG$300,"&gt;0") + COUNTIFS($B$5:$B$300,B5,$A$5:$A$300,A5-2,$C$5:$C$300,"Game",$AG$5:$AG$300,"&gt;0"))&gt;0,Reference!$B$120,1)))</f>
        <v/>
      </c>
      <c r="AG5" s="30">
        <f>IF(AND(OR(I5="",O5="",P5=""),OR(R5="",W5=""),OR(X5="",AC5="")),"",IF(OR(I5="",O5="",P5=""),0,I5*O5*P5)+IF(OR(R5="",W5=""),0,R5*IFERROR(INDEX(Reference!$B$61:$B$62,MATCH("Bullpen",Reference!$A$61:$A$62,0)),0)*W5)+IF(OR(X5="",AC5=""),0,X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5))</f>
        <v>95.2</v>
      </c>
    </row>
    <row r="6" spans="1:33" x14ac:dyDescent="0.3">
      <c r="A6" s="28">
        <v>46266</v>
      </c>
      <c r="B6" s="20" t="s">
        <v>142</v>
      </c>
      <c r="C6" s="20" t="s">
        <v>55</v>
      </c>
      <c r="D6" s="20">
        <v>75</v>
      </c>
      <c r="E6" s="29">
        <v>7.2916666666666699E-2</v>
      </c>
      <c r="F6" s="29">
        <v>8.1250000000000003E-2</v>
      </c>
      <c r="G6" s="30">
        <f t="shared" si="0"/>
        <v>11.999999999999957</v>
      </c>
      <c r="H6" s="31"/>
      <c r="I6" s="32">
        <f>IF(H6&lt;&gt;"",H6,IF(G6="","",ROUND(G6*IFERROR(INDEX(Reference!$B$44:$B$50,MATCH(C6,Reference!$A$44:$A$50,0)),0),0)))</f>
        <v>66</v>
      </c>
      <c r="J6" s="20">
        <v>72</v>
      </c>
      <c r="K6" s="20">
        <v>75</v>
      </c>
      <c r="L6" s="32">
        <f t="shared" si="1"/>
        <v>73.5</v>
      </c>
      <c r="M6" s="32">
        <f>IFERROR(INDEX(Roster!$D$5:$D$40,MATCH(B6,Roster!$A$5:$A$40,0)),"")</f>
        <v>87.9</v>
      </c>
      <c r="N6" s="32">
        <f t="shared" si="2"/>
        <v>14.400000000000006</v>
      </c>
      <c r="O6" s="32">
        <f>IF(OR(C6="Bullpen",C6="Game"),IFERROR(INDEX(Reference!$B$61:$B$62,MATCH(C6,Reference!$A$61:$A$62,0)),""),IF(D6="","",IF(AE6&gt;1,((IF(1&lt;=AE6,(AE6-1+3)*(INDEX(Reference!$B$6:$B$11,MIN(5,MATCH(MAX(Reference!$A$6,MIN(Reference!$A$11,MIN(D6,90))),Reference!$A$6:$A$11,1)))+(MAX(Reference!$A$6,MIN(Reference!$A$11,MIN(D6,90)))-INDEX(Reference!$A$6:$A$11,MIN(5,MATCH(MAX(Reference!$A$6,MIN(Reference!$A$11,MIN(D6,90))),Reference!$A$6:$A$11,1))))*(INDEX(Reference!$B$6:$B$11,MIN(5,MATCH(MAX(Reference!$A$6,MIN(Reference!$A$11,MIN(D6,90))),Reference!$A$6:$A$11,1))+1)-INDEX(Reference!$B$6:$B$11,MIN(5,MATCH(MAX(Reference!$A$6,MIN(Reference!$A$11,MIN(D6,90))),Reference!$A$6:$A$11,1))))/(INDEX(Reference!$A$6:$A$11,MIN(5,MATCH(MAX(Reference!$A$6,MIN(Reference!$A$11,MIN(D6,90))),Reference!$A$6:$A$11,1))+1)-INDEX(Reference!$A$6:$A$11,MIN(5,MATCH(MAX(Reference!$A$6,MIN(Reference!$A$11,MIN(D6,90))),Reference!$A$6:$A$11,1))))),0)+IF(2&lt;=AE6,(AE6-2+3)*(INDEX(Reference!$B$6:$B$11,MIN(5,MATCH(MAX(Reference!$A$6,MIN(Reference!$A$11,MIN(D6,120))),Reference!$A$6:$A$11,1)))+(MAX(Reference!$A$6,MIN(Reference!$A$11,MIN(D6,120)))-INDEX(Reference!$A$6:$A$11,MIN(5,MATCH(MAX(Reference!$A$6,MIN(Reference!$A$11,MIN(D6,120))),Reference!$A$6:$A$11,1))))*(INDEX(Reference!$B$6:$B$11,MIN(5,MATCH(MAX(Reference!$A$6,MIN(Reference!$A$11,MIN(D6,120))),Reference!$A$6:$A$11,1))+1)-INDEX(Reference!$B$6:$B$11,MIN(5,MATCH(MAX(Reference!$A$6,MIN(Reference!$A$11,MIN(D6,120))),Reference!$A$6:$A$11,1))))/(INDEX(Reference!$A$6:$A$11,MIN(5,MATCH(MAX(Reference!$A$6,MIN(Reference!$A$11,MIN(D6,120))),Reference!$A$6:$A$11,1))+1)-INDEX(Reference!$A$6:$A$11,MIN(5,MATCH(MAX(Reference!$A$6,MIN(Reference!$A$11,MIN(D6,120))),Reference!$A$6:$A$11,1))))),0)+IF(3&lt;=AE6,(AE6-3+3)*(INDEX(Reference!$B$6:$B$11,MIN(5,MATCH(MAX(Reference!$A$6,MIN(Reference!$A$11,MIN(D6,150))),Reference!$A$6:$A$11,1)))+(MAX(Reference!$A$6,MIN(Reference!$A$11,MIN(D6,150)))-INDEX(Reference!$A$6:$A$11,MIN(5,MATCH(MAX(Reference!$A$6,MIN(Reference!$A$11,MIN(D6,150))),Reference!$A$6:$A$11,1))))*(INDEX(Reference!$B$6:$B$11,MIN(5,MATCH(MAX(Reference!$A$6,MIN(Reference!$A$11,MIN(D6,150))),Reference!$A$6:$A$11,1))+1)-INDEX(Reference!$B$6:$B$11,MIN(5,MATCH(MAX(Reference!$A$6,MIN(Reference!$A$11,MIN(D6,150))),Reference!$A$6:$A$11,1))))/(INDEX(Reference!$A$6:$A$11,MIN(5,MATCH(MAX(Reference!$A$6,MIN(Reference!$A$11,MIN(D6,150))),Reference!$A$6:$A$11,1))+1)-INDEX(Reference!$A$6:$A$11,MIN(5,MATCH(MAX(Reference!$A$6,MIN(Reference!$A$11,MIN(D6,150))),Reference!$A$6:$A$11,1))))),0)+IF(4&lt;=AE6,(AE6-4+3)*(INDEX(Reference!$B$6:$B$11,MIN(5,MATCH(MAX(Reference!$A$6,MIN(Reference!$A$11,MIN(D6,180))),Reference!$A$6:$A$11,1)))+(MAX(Reference!$A$6,MIN(Reference!$A$11,MIN(D6,180)))-INDEX(Reference!$A$6:$A$11,MIN(5,MATCH(MAX(Reference!$A$6,MIN(Reference!$A$11,MIN(D6,180))),Reference!$A$6:$A$11,1))))*(INDEX(Reference!$B$6:$B$11,MIN(5,MATCH(MAX(Reference!$A$6,MIN(Reference!$A$11,MIN(D6,180))),Reference!$A$6:$A$11,1))+1)-INDEX(Reference!$B$6:$B$11,MIN(5,MATCH(MAX(Reference!$A$6,MIN(Reference!$A$11,MIN(D6,180))),Reference!$A$6:$A$11,1))))/(INDEX(Reference!$A$6:$A$11,MIN(5,MATCH(MAX(Reference!$A$6,MIN(Reference!$A$11,MIN(D6,180))),Reference!$A$6:$A$11,1))+1)-INDEX(Reference!$A$6:$A$11,MIN(5,MATCH(MAX(Reference!$A$6,MIN(Reference!$A$11,MIN(D6,180))),Reference!$A$6:$A$11,1))))),0)+IF(5&lt;=AE6,(AE6-5+3)*(INDEX(Reference!$B$6:$B$11,MIN(5,MATCH(MAX(Reference!$A$6,MIN(Reference!$A$11,MIN(D6,210))),Reference!$A$6:$A$11,1)))+(MAX(Reference!$A$6,MIN(Reference!$A$11,MIN(D6,210)))-INDEX(Reference!$A$6:$A$11,MIN(5,MATCH(MAX(Reference!$A$6,MIN(Reference!$A$11,MIN(D6,210))),Reference!$A$6:$A$11,1))))*(INDEX(Reference!$B$6:$B$11,MIN(5,MATCH(MAX(Reference!$A$6,MIN(Reference!$A$11,MIN(D6,210))),Reference!$A$6:$A$11,1))+1)-INDEX(Reference!$B$6:$B$11,MIN(5,MATCH(MAX(Reference!$A$6,MIN(Reference!$A$11,MIN(D6,210))),Reference!$A$6:$A$11,1))))/(INDEX(Reference!$A$6:$A$11,MIN(5,MATCH(MAX(Reference!$A$6,MIN(Reference!$A$11,MIN(D6,210))),Reference!$A$6:$A$11,1))+1)-INDEX(Reference!$A$6:$A$11,MIN(5,MATCH(MAX(Reference!$A$6,MIN(Reference!$A$11,MIN(D6,210))),Reference!$A$6:$A$11,1))))),0)+IF(6&lt;=AE6,(AE6-6+3)*(INDEX(Reference!$B$6:$B$11,MIN(5,MATCH(MAX(Reference!$A$6,MIN(Reference!$A$11,MIN(D6,240))),Reference!$A$6:$A$11,1)))+(MAX(Reference!$A$6,MIN(Reference!$A$11,MIN(D6,240)))-INDEX(Reference!$A$6:$A$11,MIN(5,MATCH(MAX(Reference!$A$6,MIN(Reference!$A$11,MIN(D6,240))),Reference!$A$6:$A$11,1))))*(INDEX(Reference!$B$6:$B$11,MIN(5,MATCH(MAX(Reference!$A$6,MIN(Reference!$A$11,MIN(D6,240))),Reference!$A$6:$A$11,1))+1)-INDEX(Reference!$B$6:$B$11,MIN(5,MATCH(MAX(Reference!$A$6,MIN(Reference!$A$11,MIN(D6,240))),Reference!$A$6:$A$11,1))))/(INDEX(Reference!$A$6:$A$11,MIN(5,MATCH(MAX(Reference!$A$6,MIN(Reference!$A$11,MIN(D6,240))),Reference!$A$6:$A$11,1))+1)-INDEX(Reference!$A$6:$A$11,MIN(5,MATCH(MAX(Reference!$A$6,MIN(Reference!$A$11,MIN(D6,240))),Reference!$A$6:$A$11,1))))),0)+IF(7&lt;=AE6,(AE6-7+3)*(INDEX(Reference!$B$6:$B$11,MIN(5,MATCH(MAX(Reference!$A$6,MIN(Reference!$A$11,MIN(D6,270))),Reference!$A$6:$A$11,1)))+(MAX(Reference!$A$6,MIN(Reference!$A$11,MIN(D6,270)))-INDEX(Reference!$A$6:$A$11,MIN(5,MATCH(MAX(Reference!$A$6,MIN(Reference!$A$11,MIN(D6,270))),Reference!$A$6:$A$11,1))))*(INDEX(Reference!$B$6:$B$11,MIN(5,MATCH(MAX(Reference!$A$6,MIN(Reference!$A$11,MIN(D6,270))),Reference!$A$6:$A$11,1))+1)-INDEX(Reference!$B$6:$B$11,MIN(5,MATCH(MAX(Reference!$A$6,MIN(Reference!$A$11,MIN(D6,270))),Reference!$A$6:$A$11,1))))/(INDEX(Reference!$A$6:$A$11,MIN(5,MATCH(MAX(Reference!$A$6,MIN(Reference!$A$11,MIN(D6,270))),Reference!$A$6:$A$11,1))+1)-INDEX(Reference!$A$6:$A$11,MIN(5,MATCH(MAX(Reference!$A$6,MIN(Reference!$A$11,MIN(D6,270))),Reference!$A$6:$A$11,1))))),0)+IF(8&lt;=AE6,(AE6-8+3)*(INDEX(Reference!$B$6:$B$11,MIN(5,MATCH(MAX(Reference!$A$6,MIN(Reference!$A$11,MIN(D6,300))),Reference!$A$6:$A$11,1)))+(MAX(Reference!$A$6,MIN(Reference!$A$11,MIN(D6,300)))-INDEX(Reference!$A$6:$A$11,MIN(5,MATCH(MAX(Reference!$A$6,MIN(Reference!$A$11,MIN(D6,300))),Reference!$A$6:$A$11,1))))*(INDEX(Reference!$B$6:$B$11,MIN(5,MATCH(MAX(Reference!$A$6,MIN(Reference!$A$11,MIN(D6,300))),Reference!$A$6:$A$11,1))+1)-INDEX(Reference!$B$6:$B$11,MIN(5,MATCH(MAX(Reference!$A$6,MIN(Reference!$A$11,MIN(D6,300))),Reference!$A$6:$A$11,1))))/(INDEX(Reference!$A$6:$A$11,MIN(5,MATCH(MAX(Reference!$A$6,MIN(Reference!$A$11,MIN(D6,300))),Reference!$A$6:$A$11,1))+1)-INDEX(Reference!$A$6:$A$11,MIN(5,MATCH(MAX(Reference!$A$6,MIN(Reference!$A$11,MIN(D6,300))),Reference!$A$6:$A$11,1))))),0))/(AE6*(AE6+5)/2)),(INDEX(Reference!$B$6:$B$11,MIN(5,MATCH(MAX(Reference!$A$6,MIN(Reference!$A$11,D6)),Reference!$A$6:$A$11,1)))+(MAX(Reference!$A$6,MIN(Reference!$A$11,D6))-INDEX(Reference!$A$6:$A$11,MIN(5,MATCH(MAX(Reference!$A$6,MIN(Reference!$A$11,D6)),Reference!$A$6:$A$11,1))))*(INDEX(Reference!$B$6:$B$11,MIN(5,MATCH(MAX(Reference!$A$6,MIN(Reference!$A$11,D6)),Reference!$A$6:$A$11,1))+1)-INDEX(Reference!$B$6:$B$11,MIN(5,MATCH(MAX(Reference!$A$6,MIN(Reference!$A$11,D6)),Reference!$A$6:$A$11,1))))/(INDEX(Reference!$A$6:$A$11,MIN(5,MATCH(MAX(Reference!$A$6,MIN(Reference!$A$11,D6)),Reference!$A$6:$A$11,1))+1)-INDEX(Reference!$A$6:$A$11,MIN(5,MATCH(MAX(Reference!$A$6,MIN(Reference!$A$11,D6)),Reference!$A$6:$A$11,1))))))))</f>
        <v>1.1499999999999999</v>
      </c>
      <c r="P6" s="32">
        <f>IF(N6="","",VLOOKUP(MAX(N6,0),Reference!$A$17:$B$20,2,TRUE()))</f>
        <v>0.6</v>
      </c>
      <c r="Q6" s="32">
        <f t="shared" si="3"/>
        <v>45.539999999999992</v>
      </c>
      <c r="R6" s="31"/>
      <c r="S6" s="31"/>
      <c r="T6" s="31"/>
      <c r="U6" s="32" t="str">
        <f t="shared" si="4"/>
        <v/>
      </c>
      <c r="V6" s="32" t="str">
        <f t="shared" si="5"/>
        <v/>
      </c>
      <c r="W6" s="32" t="str">
        <f>IF(V6="","",VLOOKUP(MAX(V6,0),Reference!$A$17:$B$20,2,TRUE()))</f>
        <v/>
      </c>
      <c r="X6" s="20"/>
      <c r="Y6" s="20"/>
      <c r="Z6" s="20"/>
      <c r="AA6" s="32" t="str">
        <f t="shared" si="6"/>
        <v/>
      </c>
      <c r="AB6" s="32" t="str">
        <f t="shared" si="7"/>
        <v/>
      </c>
      <c r="AC6" s="32" t="str">
        <f>IF(AB6="","",VLOOKUP(MAX(AB6,0),Reference!$A$17:$B$20,2,TRUE()))</f>
        <v/>
      </c>
      <c r="AD6" s="24" t="s">
        <v>182</v>
      </c>
      <c r="AE6">
        <f t="shared" si="8"/>
        <v>1</v>
      </c>
      <c r="AF6" s="33" t="str">
        <f>IF(OR(A6="",B6="",AND(C6&lt;&gt;"Bullpen",C6&lt;&gt;"Game")),"",IF((COUNTIFS($B$5:$B$300,B6,$A$5:$A$300,A6-1,$C$5:$C$300,"Bullpen",$AG$5:$AG$300,"&gt;0") + COUNTIFS($B$5:$B$300,B6,$A$5:$A$300,A6-1,$C$5:$C$300,"Game",$AG$5:$AG$300,"&gt;0"))&gt;0,Reference!$B$119,IF((COUNTIFS($B$5:$B$300,B6,$A$5:$A$300,A6-2,$C$5:$C$300,"Bullpen",$AG$5:$AG$300,"&gt;0") + COUNTIFS($B$5:$B$300,B6,$A$5:$A$300,A6-2,$C$5:$C$300,"Game",$AG$5:$AG$300,"&gt;0"))&gt;0,Reference!$B$120,1)))</f>
        <v/>
      </c>
      <c r="AG6" s="30">
        <f>IF(AND(OR(I6="",O6="",P6=""),OR(R6="",W6=""),OR(X6="",AC6="")),"",IF(OR(I6="",O6="",P6=""),0,I6*O6*P6)+IF(OR(R6="",W6=""),0,R6*IFERROR(INDEX(Reference!$B$61:$B$62,MATCH("Bullpen",Reference!$A$61:$A$62,0)),0)*W6)+IF(OR(X6="",AC6=""),0,X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6))</f>
        <v>45.539999999999992</v>
      </c>
    </row>
    <row r="7" spans="1:33" x14ac:dyDescent="0.3">
      <c r="A7" s="28">
        <v>46267</v>
      </c>
      <c r="B7" s="20" t="s">
        <v>142</v>
      </c>
      <c r="C7" s="20" t="s">
        <v>53</v>
      </c>
      <c r="D7" s="20">
        <v>120</v>
      </c>
      <c r="E7" s="29">
        <v>7.5694444444444398E-2</v>
      </c>
      <c r="F7" s="29">
        <v>8.5416666666666696E-2</v>
      </c>
      <c r="G7" s="30">
        <f t="shared" si="0"/>
        <v>14.00000000000011</v>
      </c>
      <c r="H7" s="20"/>
      <c r="I7" s="32">
        <f>IF(H7&lt;&gt;"",H7,IF(G7="","",ROUND(G7*IFERROR(INDEX(Reference!$B$44:$B$50,MATCH(C7,Reference!$A$44:$A$50,0)),0),0)))</f>
        <v>56</v>
      </c>
      <c r="J7" s="20">
        <v>75</v>
      </c>
      <c r="K7" s="20">
        <v>81</v>
      </c>
      <c r="L7" s="32">
        <f t="shared" si="1"/>
        <v>78</v>
      </c>
      <c r="M7" s="32">
        <f>IFERROR(INDEX(Roster!$D$5:$D$40,MATCH(B7,Roster!$A$5:$A$40,0)),"")</f>
        <v>87.9</v>
      </c>
      <c r="N7" s="32">
        <f t="shared" si="2"/>
        <v>9.9000000000000057</v>
      </c>
      <c r="O7" s="32">
        <f>IF(OR(C7="Bullpen",C7="Game"),IFERROR(INDEX(Reference!$B$61:$B$62,MATCH(C7,Reference!$A$61:$A$62,0)),""),IF(D7="","",IF(AE7&gt;1,((IF(1&lt;=AE7,(AE7-1+3)*(INDEX(Reference!$B$6:$B$11,MIN(5,MATCH(MAX(Reference!$A$6,MIN(Reference!$A$11,MIN(D7,90))),Reference!$A$6:$A$11,1)))+(MAX(Reference!$A$6,MIN(Reference!$A$11,MIN(D7,90)))-INDEX(Reference!$A$6:$A$11,MIN(5,MATCH(MAX(Reference!$A$6,MIN(Reference!$A$11,MIN(D7,90))),Reference!$A$6:$A$11,1))))*(INDEX(Reference!$B$6:$B$11,MIN(5,MATCH(MAX(Reference!$A$6,MIN(Reference!$A$11,MIN(D7,90))),Reference!$A$6:$A$11,1))+1)-INDEX(Reference!$B$6:$B$11,MIN(5,MATCH(MAX(Reference!$A$6,MIN(Reference!$A$11,MIN(D7,90))),Reference!$A$6:$A$11,1))))/(INDEX(Reference!$A$6:$A$11,MIN(5,MATCH(MAX(Reference!$A$6,MIN(Reference!$A$11,MIN(D7,90))),Reference!$A$6:$A$11,1))+1)-INDEX(Reference!$A$6:$A$11,MIN(5,MATCH(MAX(Reference!$A$6,MIN(Reference!$A$11,MIN(D7,90))),Reference!$A$6:$A$11,1))))),0)+IF(2&lt;=AE7,(AE7-2+3)*(INDEX(Reference!$B$6:$B$11,MIN(5,MATCH(MAX(Reference!$A$6,MIN(Reference!$A$11,MIN(D7,120))),Reference!$A$6:$A$11,1)))+(MAX(Reference!$A$6,MIN(Reference!$A$11,MIN(D7,120)))-INDEX(Reference!$A$6:$A$11,MIN(5,MATCH(MAX(Reference!$A$6,MIN(Reference!$A$11,MIN(D7,120))),Reference!$A$6:$A$11,1))))*(INDEX(Reference!$B$6:$B$11,MIN(5,MATCH(MAX(Reference!$A$6,MIN(Reference!$A$11,MIN(D7,120))),Reference!$A$6:$A$11,1))+1)-INDEX(Reference!$B$6:$B$11,MIN(5,MATCH(MAX(Reference!$A$6,MIN(Reference!$A$11,MIN(D7,120))),Reference!$A$6:$A$11,1))))/(INDEX(Reference!$A$6:$A$11,MIN(5,MATCH(MAX(Reference!$A$6,MIN(Reference!$A$11,MIN(D7,120))),Reference!$A$6:$A$11,1))+1)-INDEX(Reference!$A$6:$A$11,MIN(5,MATCH(MAX(Reference!$A$6,MIN(Reference!$A$11,MIN(D7,120))),Reference!$A$6:$A$11,1))))),0)+IF(3&lt;=AE7,(AE7-3+3)*(INDEX(Reference!$B$6:$B$11,MIN(5,MATCH(MAX(Reference!$A$6,MIN(Reference!$A$11,MIN(D7,150))),Reference!$A$6:$A$11,1)))+(MAX(Reference!$A$6,MIN(Reference!$A$11,MIN(D7,150)))-INDEX(Reference!$A$6:$A$11,MIN(5,MATCH(MAX(Reference!$A$6,MIN(Reference!$A$11,MIN(D7,150))),Reference!$A$6:$A$11,1))))*(INDEX(Reference!$B$6:$B$11,MIN(5,MATCH(MAX(Reference!$A$6,MIN(Reference!$A$11,MIN(D7,150))),Reference!$A$6:$A$11,1))+1)-INDEX(Reference!$B$6:$B$11,MIN(5,MATCH(MAX(Reference!$A$6,MIN(Reference!$A$11,MIN(D7,150))),Reference!$A$6:$A$11,1))))/(INDEX(Reference!$A$6:$A$11,MIN(5,MATCH(MAX(Reference!$A$6,MIN(Reference!$A$11,MIN(D7,150))),Reference!$A$6:$A$11,1))+1)-INDEX(Reference!$A$6:$A$11,MIN(5,MATCH(MAX(Reference!$A$6,MIN(Reference!$A$11,MIN(D7,150))),Reference!$A$6:$A$11,1))))),0)+IF(4&lt;=AE7,(AE7-4+3)*(INDEX(Reference!$B$6:$B$11,MIN(5,MATCH(MAX(Reference!$A$6,MIN(Reference!$A$11,MIN(D7,180))),Reference!$A$6:$A$11,1)))+(MAX(Reference!$A$6,MIN(Reference!$A$11,MIN(D7,180)))-INDEX(Reference!$A$6:$A$11,MIN(5,MATCH(MAX(Reference!$A$6,MIN(Reference!$A$11,MIN(D7,180))),Reference!$A$6:$A$11,1))))*(INDEX(Reference!$B$6:$B$11,MIN(5,MATCH(MAX(Reference!$A$6,MIN(Reference!$A$11,MIN(D7,180))),Reference!$A$6:$A$11,1))+1)-INDEX(Reference!$B$6:$B$11,MIN(5,MATCH(MAX(Reference!$A$6,MIN(Reference!$A$11,MIN(D7,180))),Reference!$A$6:$A$11,1))))/(INDEX(Reference!$A$6:$A$11,MIN(5,MATCH(MAX(Reference!$A$6,MIN(Reference!$A$11,MIN(D7,180))),Reference!$A$6:$A$11,1))+1)-INDEX(Reference!$A$6:$A$11,MIN(5,MATCH(MAX(Reference!$A$6,MIN(Reference!$A$11,MIN(D7,180))),Reference!$A$6:$A$11,1))))),0)+IF(5&lt;=AE7,(AE7-5+3)*(INDEX(Reference!$B$6:$B$11,MIN(5,MATCH(MAX(Reference!$A$6,MIN(Reference!$A$11,MIN(D7,210))),Reference!$A$6:$A$11,1)))+(MAX(Reference!$A$6,MIN(Reference!$A$11,MIN(D7,210)))-INDEX(Reference!$A$6:$A$11,MIN(5,MATCH(MAX(Reference!$A$6,MIN(Reference!$A$11,MIN(D7,210))),Reference!$A$6:$A$11,1))))*(INDEX(Reference!$B$6:$B$11,MIN(5,MATCH(MAX(Reference!$A$6,MIN(Reference!$A$11,MIN(D7,210))),Reference!$A$6:$A$11,1))+1)-INDEX(Reference!$B$6:$B$11,MIN(5,MATCH(MAX(Reference!$A$6,MIN(Reference!$A$11,MIN(D7,210))),Reference!$A$6:$A$11,1))))/(INDEX(Reference!$A$6:$A$11,MIN(5,MATCH(MAX(Reference!$A$6,MIN(Reference!$A$11,MIN(D7,210))),Reference!$A$6:$A$11,1))+1)-INDEX(Reference!$A$6:$A$11,MIN(5,MATCH(MAX(Reference!$A$6,MIN(Reference!$A$11,MIN(D7,210))),Reference!$A$6:$A$11,1))))),0)+IF(6&lt;=AE7,(AE7-6+3)*(INDEX(Reference!$B$6:$B$11,MIN(5,MATCH(MAX(Reference!$A$6,MIN(Reference!$A$11,MIN(D7,240))),Reference!$A$6:$A$11,1)))+(MAX(Reference!$A$6,MIN(Reference!$A$11,MIN(D7,240)))-INDEX(Reference!$A$6:$A$11,MIN(5,MATCH(MAX(Reference!$A$6,MIN(Reference!$A$11,MIN(D7,240))),Reference!$A$6:$A$11,1))))*(INDEX(Reference!$B$6:$B$11,MIN(5,MATCH(MAX(Reference!$A$6,MIN(Reference!$A$11,MIN(D7,240))),Reference!$A$6:$A$11,1))+1)-INDEX(Reference!$B$6:$B$11,MIN(5,MATCH(MAX(Reference!$A$6,MIN(Reference!$A$11,MIN(D7,240))),Reference!$A$6:$A$11,1))))/(INDEX(Reference!$A$6:$A$11,MIN(5,MATCH(MAX(Reference!$A$6,MIN(Reference!$A$11,MIN(D7,240))),Reference!$A$6:$A$11,1))+1)-INDEX(Reference!$A$6:$A$11,MIN(5,MATCH(MAX(Reference!$A$6,MIN(Reference!$A$11,MIN(D7,240))),Reference!$A$6:$A$11,1))))),0)+IF(7&lt;=AE7,(AE7-7+3)*(INDEX(Reference!$B$6:$B$11,MIN(5,MATCH(MAX(Reference!$A$6,MIN(Reference!$A$11,MIN(D7,270))),Reference!$A$6:$A$11,1)))+(MAX(Reference!$A$6,MIN(Reference!$A$11,MIN(D7,270)))-INDEX(Reference!$A$6:$A$11,MIN(5,MATCH(MAX(Reference!$A$6,MIN(Reference!$A$11,MIN(D7,270))),Reference!$A$6:$A$11,1))))*(INDEX(Reference!$B$6:$B$11,MIN(5,MATCH(MAX(Reference!$A$6,MIN(Reference!$A$11,MIN(D7,270))),Reference!$A$6:$A$11,1))+1)-INDEX(Reference!$B$6:$B$11,MIN(5,MATCH(MAX(Reference!$A$6,MIN(Reference!$A$11,MIN(D7,270))),Reference!$A$6:$A$11,1))))/(INDEX(Reference!$A$6:$A$11,MIN(5,MATCH(MAX(Reference!$A$6,MIN(Reference!$A$11,MIN(D7,270))),Reference!$A$6:$A$11,1))+1)-INDEX(Reference!$A$6:$A$11,MIN(5,MATCH(MAX(Reference!$A$6,MIN(Reference!$A$11,MIN(D7,270))),Reference!$A$6:$A$11,1))))),0)+IF(8&lt;=AE7,(AE7-8+3)*(INDEX(Reference!$B$6:$B$11,MIN(5,MATCH(MAX(Reference!$A$6,MIN(Reference!$A$11,MIN(D7,300))),Reference!$A$6:$A$11,1)))+(MAX(Reference!$A$6,MIN(Reference!$A$11,MIN(D7,300)))-INDEX(Reference!$A$6:$A$11,MIN(5,MATCH(MAX(Reference!$A$6,MIN(Reference!$A$11,MIN(D7,300))),Reference!$A$6:$A$11,1))))*(INDEX(Reference!$B$6:$B$11,MIN(5,MATCH(MAX(Reference!$A$6,MIN(Reference!$A$11,MIN(D7,300))),Reference!$A$6:$A$11,1))+1)-INDEX(Reference!$B$6:$B$11,MIN(5,MATCH(MAX(Reference!$A$6,MIN(Reference!$A$11,MIN(D7,300))),Reference!$A$6:$A$11,1))))/(INDEX(Reference!$A$6:$A$11,MIN(5,MATCH(MAX(Reference!$A$6,MIN(Reference!$A$11,MIN(D7,300))),Reference!$A$6:$A$11,1))+1)-INDEX(Reference!$A$6:$A$11,MIN(5,MATCH(MAX(Reference!$A$6,MIN(Reference!$A$11,MIN(D7,300))),Reference!$A$6:$A$11,1))))),0))/(AE7*(AE7+5)/2)),(INDEX(Reference!$B$6:$B$11,MIN(5,MATCH(MAX(Reference!$A$6,MIN(Reference!$A$11,D7)),Reference!$A$6:$A$11,1)))+(MAX(Reference!$A$6,MIN(Reference!$A$11,D7))-INDEX(Reference!$A$6:$A$11,MIN(5,MATCH(MAX(Reference!$A$6,MIN(Reference!$A$11,D7)),Reference!$A$6:$A$11,1))))*(INDEX(Reference!$B$6:$B$11,MIN(5,MATCH(MAX(Reference!$A$6,MIN(Reference!$A$11,D7)),Reference!$A$6:$A$11,1))+1)-INDEX(Reference!$B$6:$B$11,MIN(5,MATCH(MAX(Reference!$A$6,MIN(Reference!$A$11,D7)),Reference!$A$6:$A$11,1))))/(INDEX(Reference!$A$6:$A$11,MIN(5,MATCH(MAX(Reference!$A$6,MIN(Reference!$A$11,D7)),Reference!$A$6:$A$11,1))+1)-INDEX(Reference!$A$6:$A$11,MIN(5,MATCH(MAX(Reference!$A$6,MIN(Reference!$A$11,D7)),Reference!$A$6:$A$11,1))))))))</f>
        <v>1.7</v>
      </c>
      <c r="P7" s="32">
        <f>IF(N7="","",VLOOKUP(MAX(N7,0),Reference!$A$17:$B$20,2,TRUE()))</f>
        <v>1</v>
      </c>
      <c r="Q7" s="32">
        <f t="shared" si="3"/>
        <v>95.2</v>
      </c>
      <c r="R7" s="31"/>
      <c r="S7" s="31"/>
      <c r="T7" s="31"/>
      <c r="U7" s="32" t="str">
        <f t="shared" si="4"/>
        <v/>
      </c>
      <c r="V7" s="32" t="str">
        <f t="shared" si="5"/>
        <v/>
      </c>
      <c r="W7" s="32" t="str">
        <f>IF(V7="","",VLOOKUP(MAX(V7,0),Reference!$A$17:$B$20,2,TRUE()))</f>
        <v/>
      </c>
      <c r="X7" s="31"/>
      <c r="Y7" s="31"/>
      <c r="Z7" s="31"/>
      <c r="AA7" s="32" t="str">
        <f t="shared" si="6"/>
        <v/>
      </c>
      <c r="AB7" s="32" t="str">
        <f t="shared" si="7"/>
        <v/>
      </c>
      <c r="AC7" s="32" t="str">
        <f>IF(AB7="","",VLOOKUP(MAX(AB7,0),Reference!$A$17:$B$20,2,TRUE()))</f>
        <v/>
      </c>
      <c r="AD7" s="24" t="s">
        <v>183</v>
      </c>
      <c r="AE7">
        <f t="shared" si="8"/>
        <v>1</v>
      </c>
      <c r="AF7" s="33" t="str">
        <f>IF(OR(A7="",B7="",AND(C7&lt;&gt;"Bullpen",C7&lt;&gt;"Game")),"",IF((COUNTIFS($B$5:$B$300,B7,$A$5:$A$300,A7-1,$C$5:$C$300,"Bullpen",$AG$5:$AG$300,"&gt;0") + COUNTIFS($B$5:$B$300,B7,$A$5:$A$300,A7-1,$C$5:$C$300,"Game",$AG$5:$AG$300,"&gt;0"))&gt;0,Reference!$B$119,IF((COUNTIFS($B$5:$B$300,B7,$A$5:$A$300,A7-2,$C$5:$C$300,"Bullpen",$AG$5:$AG$300,"&gt;0") + COUNTIFS($B$5:$B$300,B7,$A$5:$A$300,A7-2,$C$5:$C$300,"Game",$AG$5:$AG$300,"&gt;0"))&gt;0,Reference!$B$120,1)))</f>
        <v/>
      </c>
      <c r="AG7" s="30">
        <f>IF(AND(OR(I7="",O7="",P7=""),OR(R7="",W7=""),OR(X7="",AC7="")),"",IF(OR(I7="",O7="",P7=""),0,I7*O7*P7)+IF(OR(R7="",W7=""),0,R7*IFERROR(INDEX(Reference!$B$61:$B$62,MATCH("Bullpen",Reference!$A$61:$A$62,0)),0)*W7)+IF(OR(X7="",AC7=""),0,X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7))</f>
        <v>95.2</v>
      </c>
    </row>
    <row r="8" spans="1:33" x14ac:dyDescent="0.3">
      <c r="A8" s="28">
        <v>46268</v>
      </c>
      <c r="B8" s="20" t="s">
        <v>142</v>
      </c>
      <c r="C8" s="20" t="s">
        <v>53</v>
      </c>
      <c r="D8" s="20">
        <v>120</v>
      </c>
      <c r="E8" s="34">
        <v>7.2916666666666699E-2</v>
      </c>
      <c r="F8" s="34">
        <v>8.6805555555555594E-2</v>
      </c>
      <c r="G8" s="30">
        <f t="shared" si="0"/>
        <v>20.000000000000007</v>
      </c>
      <c r="H8" s="20"/>
      <c r="I8" s="32">
        <f>IF(H8&lt;&gt;"",H8,IF(G8="","",ROUND(G8*IFERROR(INDEX(Reference!$B$44:$B$50,MATCH(C8,Reference!$A$44:$A$50,0)),0),0)))</f>
        <v>80</v>
      </c>
      <c r="J8" s="20">
        <v>75</v>
      </c>
      <c r="K8" s="20">
        <v>84</v>
      </c>
      <c r="L8" s="32">
        <f t="shared" si="1"/>
        <v>79.5</v>
      </c>
      <c r="M8" s="32">
        <f>IFERROR(INDEX(Roster!$D$5:$D$40,MATCH(B8,Roster!$A$5:$A$40,0)),"")</f>
        <v>87.9</v>
      </c>
      <c r="N8" s="32">
        <f t="shared" si="2"/>
        <v>8.4000000000000057</v>
      </c>
      <c r="O8" s="32">
        <f>IF(OR(C8="Bullpen",C8="Game"),IFERROR(INDEX(Reference!$B$61:$B$62,MATCH(C8,Reference!$A$61:$A$62,0)),""),IF(D8="","",IF(AE8&gt;1,((IF(1&lt;=AE8,(AE8-1+3)*(INDEX(Reference!$B$6:$B$11,MIN(5,MATCH(MAX(Reference!$A$6,MIN(Reference!$A$11,MIN(D8,90))),Reference!$A$6:$A$11,1)))+(MAX(Reference!$A$6,MIN(Reference!$A$11,MIN(D8,90)))-INDEX(Reference!$A$6:$A$11,MIN(5,MATCH(MAX(Reference!$A$6,MIN(Reference!$A$11,MIN(D8,90))),Reference!$A$6:$A$11,1))))*(INDEX(Reference!$B$6:$B$11,MIN(5,MATCH(MAX(Reference!$A$6,MIN(Reference!$A$11,MIN(D8,90))),Reference!$A$6:$A$11,1))+1)-INDEX(Reference!$B$6:$B$11,MIN(5,MATCH(MAX(Reference!$A$6,MIN(Reference!$A$11,MIN(D8,90))),Reference!$A$6:$A$11,1))))/(INDEX(Reference!$A$6:$A$11,MIN(5,MATCH(MAX(Reference!$A$6,MIN(Reference!$A$11,MIN(D8,90))),Reference!$A$6:$A$11,1))+1)-INDEX(Reference!$A$6:$A$11,MIN(5,MATCH(MAX(Reference!$A$6,MIN(Reference!$A$11,MIN(D8,90))),Reference!$A$6:$A$11,1))))),0)+IF(2&lt;=AE8,(AE8-2+3)*(INDEX(Reference!$B$6:$B$11,MIN(5,MATCH(MAX(Reference!$A$6,MIN(Reference!$A$11,MIN(D8,120))),Reference!$A$6:$A$11,1)))+(MAX(Reference!$A$6,MIN(Reference!$A$11,MIN(D8,120)))-INDEX(Reference!$A$6:$A$11,MIN(5,MATCH(MAX(Reference!$A$6,MIN(Reference!$A$11,MIN(D8,120))),Reference!$A$6:$A$11,1))))*(INDEX(Reference!$B$6:$B$11,MIN(5,MATCH(MAX(Reference!$A$6,MIN(Reference!$A$11,MIN(D8,120))),Reference!$A$6:$A$11,1))+1)-INDEX(Reference!$B$6:$B$11,MIN(5,MATCH(MAX(Reference!$A$6,MIN(Reference!$A$11,MIN(D8,120))),Reference!$A$6:$A$11,1))))/(INDEX(Reference!$A$6:$A$11,MIN(5,MATCH(MAX(Reference!$A$6,MIN(Reference!$A$11,MIN(D8,120))),Reference!$A$6:$A$11,1))+1)-INDEX(Reference!$A$6:$A$11,MIN(5,MATCH(MAX(Reference!$A$6,MIN(Reference!$A$11,MIN(D8,120))),Reference!$A$6:$A$11,1))))),0)+IF(3&lt;=AE8,(AE8-3+3)*(INDEX(Reference!$B$6:$B$11,MIN(5,MATCH(MAX(Reference!$A$6,MIN(Reference!$A$11,MIN(D8,150))),Reference!$A$6:$A$11,1)))+(MAX(Reference!$A$6,MIN(Reference!$A$11,MIN(D8,150)))-INDEX(Reference!$A$6:$A$11,MIN(5,MATCH(MAX(Reference!$A$6,MIN(Reference!$A$11,MIN(D8,150))),Reference!$A$6:$A$11,1))))*(INDEX(Reference!$B$6:$B$11,MIN(5,MATCH(MAX(Reference!$A$6,MIN(Reference!$A$11,MIN(D8,150))),Reference!$A$6:$A$11,1))+1)-INDEX(Reference!$B$6:$B$11,MIN(5,MATCH(MAX(Reference!$A$6,MIN(Reference!$A$11,MIN(D8,150))),Reference!$A$6:$A$11,1))))/(INDEX(Reference!$A$6:$A$11,MIN(5,MATCH(MAX(Reference!$A$6,MIN(Reference!$A$11,MIN(D8,150))),Reference!$A$6:$A$11,1))+1)-INDEX(Reference!$A$6:$A$11,MIN(5,MATCH(MAX(Reference!$A$6,MIN(Reference!$A$11,MIN(D8,150))),Reference!$A$6:$A$11,1))))),0)+IF(4&lt;=AE8,(AE8-4+3)*(INDEX(Reference!$B$6:$B$11,MIN(5,MATCH(MAX(Reference!$A$6,MIN(Reference!$A$11,MIN(D8,180))),Reference!$A$6:$A$11,1)))+(MAX(Reference!$A$6,MIN(Reference!$A$11,MIN(D8,180)))-INDEX(Reference!$A$6:$A$11,MIN(5,MATCH(MAX(Reference!$A$6,MIN(Reference!$A$11,MIN(D8,180))),Reference!$A$6:$A$11,1))))*(INDEX(Reference!$B$6:$B$11,MIN(5,MATCH(MAX(Reference!$A$6,MIN(Reference!$A$11,MIN(D8,180))),Reference!$A$6:$A$11,1))+1)-INDEX(Reference!$B$6:$B$11,MIN(5,MATCH(MAX(Reference!$A$6,MIN(Reference!$A$11,MIN(D8,180))),Reference!$A$6:$A$11,1))))/(INDEX(Reference!$A$6:$A$11,MIN(5,MATCH(MAX(Reference!$A$6,MIN(Reference!$A$11,MIN(D8,180))),Reference!$A$6:$A$11,1))+1)-INDEX(Reference!$A$6:$A$11,MIN(5,MATCH(MAX(Reference!$A$6,MIN(Reference!$A$11,MIN(D8,180))),Reference!$A$6:$A$11,1))))),0)+IF(5&lt;=AE8,(AE8-5+3)*(INDEX(Reference!$B$6:$B$11,MIN(5,MATCH(MAX(Reference!$A$6,MIN(Reference!$A$11,MIN(D8,210))),Reference!$A$6:$A$11,1)))+(MAX(Reference!$A$6,MIN(Reference!$A$11,MIN(D8,210)))-INDEX(Reference!$A$6:$A$11,MIN(5,MATCH(MAX(Reference!$A$6,MIN(Reference!$A$11,MIN(D8,210))),Reference!$A$6:$A$11,1))))*(INDEX(Reference!$B$6:$B$11,MIN(5,MATCH(MAX(Reference!$A$6,MIN(Reference!$A$11,MIN(D8,210))),Reference!$A$6:$A$11,1))+1)-INDEX(Reference!$B$6:$B$11,MIN(5,MATCH(MAX(Reference!$A$6,MIN(Reference!$A$11,MIN(D8,210))),Reference!$A$6:$A$11,1))))/(INDEX(Reference!$A$6:$A$11,MIN(5,MATCH(MAX(Reference!$A$6,MIN(Reference!$A$11,MIN(D8,210))),Reference!$A$6:$A$11,1))+1)-INDEX(Reference!$A$6:$A$11,MIN(5,MATCH(MAX(Reference!$A$6,MIN(Reference!$A$11,MIN(D8,210))),Reference!$A$6:$A$11,1))))),0)+IF(6&lt;=AE8,(AE8-6+3)*(INDEX(Reference!$B$6:$B$11,MIN(5,MATCH(MAX(Reference!$A$6,MIN(Reference!$A$11,MIN(D8,240))),Reference!$A$6:$A$11,1)))+(MAX(Reference!$A$6,MIN(Reference!$A$11,MIN(D8,240)))-INDEX(Reference!$A$6:$A$11,MIN(5,MATCH(MAX(Reference!$A$6,MIN(Reference!$A$11,MIN(D8,240))),Reference!$A$6:$A$11,1))))*(INDEX(Reference!$B$6:$B$11,MIN(5,MATCH(MAX(Reference!$A$6,MIN(Reference!$A$11,MIN(D8,240))),Reference!$A$6:$A$11,1))+1)-INDEX(Reference!$B$6:$B$11,MIN(5,MATCH(MAX(Reference!$A$6,MIN(Reference!$A$11,MIN(D8,240))),Reference!$A$6:$A$11,1))))/(INDEX(Reference!$A$6:$A$11,MIN(5,MATCH(MAX(Reference!$A$6,MIN(Reference!$A$11,MIN(D8,240))),Reference!$A$6:$A$11,1))+1)-INDEX(Reference!$A$6:$A$11,MIN(5,MATCH(MAX(Reference!$A$6,MIN(Reference!$A$11,MIN(D8,240))),Reference!$A$6:$A$11,1))))),0)+IF(7&lt;=AE8,(AE8-7+3)*(INDEX(Reference!$B$6:$B$11,MIN(5,MATCH(MAX(Reference!$A$6,MIN(Reference!$A$11,MIN(D8,270))),Reference!$A$6:$A$11,1)))+(MAX(Reference!$A$6,MIN(Reference!$A$11,MIN(D8,270)))-INDEX(Reference!$A$6:$A$11,MIN(5,MATCH(MAX(Reference!$A$6,MIN(Reference!$A$11,MIN(D8,270))),Reference!$A$6:$A$11,1))))*(INDEX(Reference!$B$6:$B$11,MIN(5,MATCH(MAX(Reference!$A$6,MIN(Reference!$A$11,MIN(D8,270))),Reference!$A$6:$A$11,1))+1)-INDEX(Reference!$B$6:$B$11,MIN(5,MATCH(MAX(Reference!$A$6,MIN(Reference!$A$11,MIN(D8,270))),Reference!$A$6:$A$11,1))))/(INDEX(Reference!$A$6:$A$11,MIN(5,MATCH(MAX(Reference!$A$6,MIN(Reference!$A$11,MIN(D8,270))),Reference!$A$6:$A$11,1))+1)-INDEX(Reference!$A$6:$A$11,MIN(5,MATCH(MAX(Reference!$A$6,MIN(Reference!$A$11,MIN(D8,270))),Reference!$A$6:$A$11,1))))),0)+IF(8&lt;=AE8,(AE8-8+3)*(INDEX(Reference!$B$6:$B$11,MIN(5,MATCH(MAX(Reference!$A$6,MIN(Reference!$A$11,MIN(D8,300))),Reference!$A$6:$A$11,1)))+(MAX(Reference!$A$6,MIN(Reference!$A$11,MIN(D8,300)))-INDEX(Reference!$A$6:$A$11,MIN(5,MATCH(MAX(Reference!$A$6,MIN(Reference!$A$11,MIN(D8,300))),Reference!$A$6:$A$11,1))))*(INDEX(Reference!$B$6:$B$11,MIN(5,MATCH(MAX(Reference!$A$6,MIN(Reference!$A$11,MIN(D8,300))),Reference!$A$6:$A$11,1))+1)-INDEX(Reference!$B$6:$B$11,MIN(5,MATCH(MAX(Reference!$A$6,MIN(Reference!$A$11,MIN(D8,300))),Reference!$A$6:$A$11,1))))/(INDEX(Reference!$A$6:$A$11,MIN(5,MATCH(MAX(Reference!$A$6,MIN(Reference!$A$11,MIN(D8,300))),Reference!$A$6:$A$11,1))+1)-INDEX(Reference!$A$6:$A$11,MIN(5,MATCH(MAX(Reference!$A$6,MIN(Reference!$A$11,MIN(D8,300))),Reference!$A$6:$A$11,1))))),0))/(AE8*(AE8+5)/2)),(INDEX(Reference!$B$6:$B$11,MIN(5,MATCH(MAX(Reference!$A$6,MIN(Reference!$A$11,D8)),Reference!$A$6:$A$11,1)))+(MAX(Reference!$A$6,MIN(Reference!$A$11,D8))-INDEX(Reference!$A$6:$A$11,MIN(5,MATCH(MAX(Reference!$A$6,MIN(Reference!$A$11,D8)),Reference!$A$6:$A$11,1))))*(INDEX(Reference!$B$6:$B$11,MIN(5,MATCH(MAX(Reference!$A$6,MIN(Reference!$A$11,D8)),Reference!$A$6:$A$11,1))+1)-INDEX(Reference!$B$6:$B$11,MIN(5,MATCH(MAX(Reference!$A$6,MIN(Reference!$A$11,D8)),Reference!$A$6:$A$11,1))))/(INDEX(Reference!$A$6:$A$11,MIN(5,MATCH(MAX(Reference!$A$6,MIN(Reference!$A$11,D8)),Reference!$A$6:$A$11,1))+1)-INDEX(Reference!$A$6:$A$11,MIN(5,MATCH(MAX(Reference!$A$6,MIN(Reference!$A$11,D8)),Reference!$A$6:$A$11,1))))))))</f>
        <v>1.7</v>
      </c>
      <c r="P8" s="32">
        <f>IF(N8="","",VLOOKUP(MAX(N8,0),Reference!$A$17:$B$20,2,TRUE()))</f>
        <v>1</v>
      </c>
      <c r="Q8" s="32">
        <f t="shared" si="3"/>
        <v>136</v>
      </c>
      <c r="R8" s="31"/>
      <c r="S8" s="31"/>
      <c r="T8" s="31"/>
      <c r="U8" s="32" t="str">
        <f t="shared" si="4"/>
        <v/>
      </c>
      <c r="V8" s="32" t="str">
        <f t="shared" si="5"/>
        <v/>
      </c>
      <c r="W8" s="32" t="str">
        <f>IF(V8="","",VLOOKUP(MAX(V8,0),Reference!$A$17:$B$20,2,TRUE()))</f>
        <v/>
      </c>
      <c r="X8" s="31"/>
      <c r="Y8" s="31"/>
      <c r="Z8" s="31"/>
      <c r="AA8" s="32" t="str">
        <f t="shared" si="6"/>
        <v/>
      </c>
      <c r="AB8" s="32" t="str">
        <f t="shared" si="7"/>
        <v/>
      </c>
      <c r="AC8" s="32" t="str">
        <f>IF(AB8="","",VLOOKUP(MAX(AB8,0),Reference!$A$17:$B$20,2,TRUE()))</f>
        <v/>
      </c>
      <c r="AD8" s="24" t="s">
        <v>184</v>
      </c>
      <c r="AE8">
        <f t="shared" si="8"/>
        <v>1</v>
      </c>
      <c r="AF8" s="33" t="str">
        <f>IF(OR(A8="",B8="",AND(C8&lt;&gt;"Bullpen",C8&lt;&gt;"Game")),"",IF((COUNTIFS($B$5:$B$300,B8,$A$5:$A$300,A8-1,$C$5:$C$300,"Bullpen",$AG$5:$AG$300,"&gt;0") + COUNTIFS($B$5:$B$300,B8,$A$5:$A$300,A8-1,$C$5:$C$300,"Game",$AG$5:$AG$300,"&gt;0"))&gt;0,Reference!$B$119,IF((COUNTIFS($B$5:$B$300,B8,$A$5:$A$300,A8-2,$C$5:$C$300,"Bullpen",$AG$5:$AG$300,"&gt;0") + COUNTIFS($B$5:$B$300,B8,$A$5:$A$300,A8-2,$C$5:$C$300,"Game",$AG$5:$AG$300,"&gt;0"))&gt;0,Reference!$B$120,1)))</f>
        <v/>
      </c>
      <c r="AG8" s="30">
        <f>IF(AND(OR(I8="",O8="",P8=""),OR(R8="",W8=""),OR(X8="",AC8="")),"",IF(OR(I8="",O8="",P8=""),0,I8*O8*P8)+IF(OR(R8="",W8=""),0,R8*IFERROR(INDEX(Reference!$B$61:$B$62,MATCH("Bullpen",Reference!$A$61:$A$62,0)),0)*W8)+IF(OR(X8="",AC8=""),0,X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8))</f>
        <v>136</v>
      </c>
    </row>
    <row r="9" spans="1:33" x14ac:dyDescent="0.3">
      <c r="A9" s="28">
        <v>46269</v>
      </c>
      <c r="B9" s="20" t="s">
        <v>142</v>
      </c>
      <c r="C9" s="20" t="s">
        <v>49</v>
      </c>
      <c r="D9" s="31">
        <v>0</v>
      </c>
      <c r="E9" s="34"/>
      <c r="F9" s="34"/>
      <c r="G9" s="30" t="str">
        <f t="shared" si="0"/>
        <v/>
      </c>
      <c r="H9" s="20"/>
      <c r="I9" s="32" t="str">
        <f>IF(H9&lt;&gt;"",H9,IF(G9="","",ROUND(G9*IFERROR(INDEX(Reference!$B$44:$B$50,MATCH(C9,Reference!$A$44:$A$50,0)),0),0)))</f>
        <v/>
      </c>
      <c r="J9" s="20"/>
      <c r="K9" s="20"/>
      <c r="L9" s="32" t="str">
        <f t="shared" si="1"/>
        <v/>
      </c>
      <c r="M9" s="32">
        <f>IFERROR(INDEX(Roster!$D$5:$D$40,MATCH(B9,Roster!$A$5:$A$40,0)),"")</f>
        <v>87.9</v>
      </c>
      <c r="N9" s="32" t="str">
        <f t="shared" si="2"/>
        <v/>
      </c>
      <c r="O9" s="32">
        <f>IF(OR(C9="Bullpen",C9="Game"),IFERROR(INDEX(Reference!$B$61:$B$62,MATCH(C9,Reference!$A$61:$A$62,0)),""),IF(D9="","",IF(AE9&gt;1,((IF(1&lt;=AE9,(AE9-1+3)*(INDEX(Reference!$B$6:$B$11,MIN(5,MATCH(MAX(Reference!$A$6,MIN(Reference!$A$11,MIN(D9,90))),Reference!$A$6:$A$11,1)))+(MAX(Reference!$A$6,MIN(Reference!$A$11,MIN(D9,90)))-INDEX(Reference!$A$6:$A$11,MIN(5,MATCH(MAX(Reference!$A$6,MIN(Reference!$A$11,MIN(D9,90))),Reference!$A$6:$A$11,1))))*(INDEX(Reference!$B$6:$B$11,MIN(5,MATCH(MAX(Reference!$A$6,MIN(Reference!$A$11,MIN(D9,90))),Reference!$A$6:$A$11,1))+1)-INDEX(Reference!$B$6:$B$11,MIN(5,MATCH(MAX(Reference!$A$6,MIN(Reference!$A$11,MIN(D9,90))),Reference!$A$6:$A$11,1))))/(INDEX(Reference!$A$6:$A$11,MIN(5,MATCH(MAX(Reference!$A$6,MIN(Reference!$A$11,MIN(D9,90))),Reference!$A$6:$A$11,1))+1)-INDEX(Reference!$A$6:$A$11,MIN(5,MATCH(MAX(Reference!$A$6,MIN(Reference!$A$11,MIN(D9,90))),Reference!$A$6:$A$11,1))))),0)+IF(2&lt;=AE9,(AE9-2+3)*(INDEX(Reference!$B$6:$B$11,MIN(5,MATCH(MAX(Reference!$A$6,MIN(Reference!$A$11,MIN(D9,120))),Reference!$A$6:$A$11,1)))+(MAX(Reference!$A$6,MIN(Reference!$A$11,MIN(D9,120)))-INDEX(Reference!$A$6:$A$11,MIN(5,MATCH(MAX(Reference!$A$6,MIN(Reference!$A$11,MIN(D9,120))),Reference!$A$6:$A$11,1))))*(INDEX(Reference!$B$6:$B$11,MIN(5,MATCH(MAX(Reference!$A$6,MIN(Reference!$A$11,MIN(D9,120))),Reference!$A$6:$A$11,1))+1)-INDEX(Reference!$B$6:$B$11,MIN(5,MATCH(MAX(Reference!$A$6,MIN(Reference!$A$11,MIN(D9,120))),Reference!$A$6:$A$11,1))))/(INDEX(Reference!$A$6:$A$11,MIN(5,MATCH(MAX(Reference!$A$6,MIN(Reference!$A$11,MIN(D9,120))),Reference!$A$6:$A$11,1))+1)-INDEX(Reference!$A$6:$A$11,MIN(5,MATCH(MAX(Reference!$A$6,MIN(Reference!$A$11,MIN(D9,120))),Reference!$A$6:$A$11,1))))),0)+IF(3&lt;=AE9,(AE9-3+3)*(INDEX(Reference!$B$6:$B$11,MIN(5,MATCH(MAX(Reference!$A$6,MIN(Reference!$A$11,MIN(D9,150))),Reference!$A$6:$A$11,1)))+(MAX(Reference!$A$6,MIN(Reference!$A$11,MIN(D9,150)))-INDEX(Reference!$A$6:$A$11,MIN(5,MATCH(MAX(Reference!$A$6,MIN(Reference!$A$11,MIN(D9,150))),Reference!$A$6:$A$11,1))))*(INDEX(Reference!$B$6:$B$11,MIN(5,MATCH(MAX(Reference!$A$6,MIN(Reference!$A$11,MIN(D9,150))),Reference!$A$6:$A$11,1))+1)-INDEX(Reference!$B$6:$B$11,MIN(5,MATCH(MAX(Reference!$A$6,MIN(Reference!$A$11,MIN(D9,150))),Reference!$A$6:$A$11,1))))/(INDEX(Reference!$A$6:$A$11,MIN(5,MATCH(MAX(Reference!$A$6,MIN(Reference!$A$11,MIN(D9,150))),Reference!$A$6:$A$11,1))+1)-INDEX(Reference!$A$6:$A$11,MIN(5,MATCH(MAX(Reference!$A$6,MIN(Reference!$A$11,MIN(D9,150))),Reference!$A$6:$A$11,1))))),0)+IF(4&lt;=AE9,(AE9-4+3)*(INDEX(Reference!$B$6:$B$11,MIN(5,MATCH(MAX(Reference!$A$6,MIN(Reference!$A$11,MIN(D9,180))),Reference!$A$6:$A$11,1)))+(MAX(Reference!$A$6,MIN(Reference!$A$11,MIN(D9,180)))-INDEX(Reference!$A$6:$A$11,MIN(5,MATCH(MAX(Reference!$A$6,MIN(Reference!$A$11,MIN(D9,180))),Reference!$A$6:$A$11,1))))*(INDEX(Reference!$B$6:$B$11,MIN(5,MATCH(MAX(Reference!$A$6,MIN(Reference!$A$11,MIN(D9,180))),Reference!$A$6:$A$11,1))+1)-INDEX(Reference!$B$6:$B$11,MIN(5,MATCH(MAX(Reference!$A$6,MIN(Reference!$A$11,MIN(D9,180))),Reference!$A$6:$A$11,1))))/(INDEX(Reference!$A$6:$A$11,MIN(5,MATCH(MAX(Reference!$A$6,MIN(Reference!$A$11,MIN(D9,180))),Reference!$A$6:$A$11,1))+1)-INDEX(Reference!$A$6:$A$11,MIN(5,MATCH(MAX(Reference!$A$6,MIN(Reference!$A$11,MIN(D9,180))),Reference!$A$6:$A$11,1))))),0)+IF(5&lt;=AE9,(AE9-5+3)*(INDEX(Reference!$B$6:$B$11,MIN(5,MATCH(MAX(Reference!$A$6,MIN(Reference!$A$11,MIN(D9,210))),Reference!$A$6:$A$11,1)))+(MAX(Reference!$A$6,MIN(Reference!$A$11,MIN(D9,210)))-INDEX(Reference!$A$6:$A$11,MIN(5,MATCH(MAX(Reference!$A$6,MIN(Reference!$A$11,MIN(D9,210))),Reference!$A$6:$A$11,1))))*(INDEX(Reference!$B$6:$B$11,MIN(5,MATCH(MAX(Reference!$A$6,MIN(Reference!$A$11,MIN(D9,210))),Reference!$A$6:$A$11,1))+1)-INDEX(Reference!$B$6:$B$11,MIN(5,MATCH(MAX(Reference!$A$6,MIN(Reference!$A$11,MIN(D9,210))),Reference!$A$6:$A$11,1))))/(INDEX(Reference!$A$6:$A$11,MIN(5,MATCH(MAX(Reference!$A$6,MIN(Reference!$A$11,MIN(D9,210))),Reference!$A$6:$A$11,1))+1)-INDEX(Reference!$A$6:$A$11,MIN(5,MATCH(MAX(Reference!$A$6,MIN(Reference!$A$11,MIN(D9,210))),Reference!$A$6:$A$11,1))))),0)+IF(6&lt;=AE9,(AE9-6+3)*(INDEX(Reference!$B$6:$B$11,MIN(5,MATCH(MAX(Reference!$A$6,MIN(Reference!$A$11,MIN(D9,240))),Reference!$A$6:$A$11,1)))+(MAX(Reference!$A$6,MIN(Reference!$A$11,MIN(D9,240)))-INDEX(Reference!$A$6:$A$11,MIN(5,MATCH(MAX(Reference!$A$6,MIN(Reference!$A$11,MIN(D9,240))),Reference!$A$6:$A$11,1))))*(INDEX(Reference!$B$6:$B$11,MIN(5,MATCH(MAX(Reference!$A$6,MIN(Reference!$A$11,MIN(D9,240))),Reference!$A$6:$A$11,1))+1)-INDEX(Reference!$B$6:$B$11,MIN(5,MATCH(MAX(Reference!$A$6,MIN(Reference!$A$11,MIN(D9,240))),Reference!$A$6:$A$11,1))))/(INDEX(Reference!$A$6:$A$11,MIN(5,MATCH(MAX(Reference!$A$6,MIN(Reference!$A$11,MIN(D9,240))),Reference!$A$6:$A$11,1))+1)-INDEX(Reference!$A$6:$A$11,MIN(5,MATCH(MAX(Reference!$A$6,MIN(Reference!$A$11,MIN(D9,240))),Reference!$A$6:$A$11,1))))),0)+IF(7&lt;=AE9,(AE9-7+3)*(INDEX(Reference!$B$6:$B$11,MIN(5,MATCH(MAX(Reference!$A$6,MIN(Reference!$A$11,MIN(D9,270))),Reference!$A$6:$A$11,1)))+(MAX(Reference!$A$6,MIN(Reference!$A$11,MIN(D9,270)))-INDEX(Reference!$A$6:$A$11,MIN(5,MATCH(MAX(Reference!$A$6,MIN(Reference!$A$11,MIN(D9,270))),Reference!$A$6:$A$11,1))))*(INDEX(Reference!$B$6:$B$11,MIN(5,MATCH(MAX(Reference!$A$6,MIN(Reference!$A$11,MIN(D9,270))),Reference!$A$6:$A$11,1))+1)-INDEX(Reference!$B$6:$B$11,MIN(5,MATCH(MAX(Reference!$A$6,MIN(Reference!$A$11,MIN(D9,270))),Reference!$A$6:$A$11,1))))/(INDEX(Reference!$A$6:$A$11,MIN(5,MATCH(MAX(Reference!$A$6,MIN(Reference!$A$11,MIN(D9,270))),Reference!$A$6:$A$11,1))+1)-INDEX(Reference!$A$6:$A$11,MIN(5,MATCH(MAX(Reference!$A$6,MIN(Reference!$A$11,MIN(D9,270))),Reference!$A$6:$A$11,1))))),0)+IF(8&lt;=AE9,(AE9-8+3)*(INDEX(Reference!$B$6:$B$11,MIN(5,MATCH(MAX(Reference!$A$6,MIN(Reference!$A$11,MIN(D9,300))),Reference!$A$6:$A$11,1)))+(MAX(Reference!$A$6,MIN(Reference!$A$11,MIN(D9,300)))-INDEX(Reference!$A$6:$A$11,MIN(5,MATCH(MAX(Reference!$A$6,MIN(Reference!$A$11,MIN(D9,300))),Reference!$A$6:$A$11,1))))*(INDEX(Reference!$B$6:$B$11,MIN(5,MATCH(MAX(Reference!$A$6,MIN(Reference!$A$11,MIN(D9,300))),Reference!$A$6:$A$11,1))+1)-INDEX(Reference!$B$6:$B$11,MIN(5,MATCH(MAX(Reference!$A$6,MIN(Reference!$A$11,MIN(D9,300))),Reference!$A$6:$A$11,1))))/(INDEX(Reference!$A$6:$A$11,MIN(5,MATCH(MAX(Reference!$A$6,MIN(Reference!$A$11,MIN(D9,300))),Reference!$A$6:$A$11,1))+1)-INDEX(Reference!$A$6:$A$11,MIN(5,MATCH(MAX(Reference!$A$6,MIN(Reference!$A$11,MIN(D9,300))),Reference!$A$6:$A$11,1))))),0))/(AE9*(AE9+5)/2)),(INDEX(Reference!$B$6:$B$11,MIN(5,MATCH(MAX(Reference!$A$6,MIN(Reference!$A$11,D9)),Reference!$A$6:$A$11,1)))+(MAX(Reference!$A$6,MIN(Reference!$A$11,D9))-INDEX(Reference!$A$6:$A$11,MIN(5,MATCH(MAX(Reference!$A$6,MIN(Reference!$A$11,D9)),Reference!$A$6:$A$11,1))))*(INDEX(Reference!$B$6:$B$11,MIN(5,MATCH(MAX(Reference!$A$6,MIN(Reference!$A$11,D9)),Reference!$A$6:$A$11,1))+1)-INDEX(Reference!$B$6:$B$11,MIN(5,MATCH(MAX(Reference!$A$6,MIN(Reference!$A$11,D9)),Reference!$A$6:$A$11,1))))/(INDEX(Reference!$A$6:$A$11,MIN(5,MATCH(MAX(Reference!$A$6,MIN(Reference!$A$11,D9)),Reference!$A$6:$A$11,1))+1)-INDEX(Reference!$A$6:$A$11,MIN(5,MATCH(MAX(Reference!$A$6,MIN(Reference!$A$11,D9)),Reference!$A$6:$A$11,1))))))))</f>
        <v>1</v>
      </c>
      <c r="P9" s="32" t="str">
        <f>IF(N9="","",VLOOKUP(MAX(N9,0),Reference!$A$17:$B$20,2,TRUE()))</f>
        <v/>
      </c>
      <c r="Q9" s="32" t="str">
        <f t="shared" si="3"/>
        <v/>
      </c>
      <c r="R9" s="31"/>
      <c r="S9" s="31"/>
      <c r="T9" s="31"/>
      <c r="U9" s="32" t="str">
        <f t="shared" si="4"/>
        <v/>
      </c>
      <c r="V9" s="32" t="str">
        <f t="shared" si="5"/>
        <v/>
      </c>
      <c r="W9" s="32" t="str">
        <f>IF(V9="","",VLOOKUP(MAX(V9,0),Reference!$A$17:$B$20,2,TRUE()))</f>
        <v/>
      </c>
      <c r="X9" s="31"/>
      <c r="Y9" s="31"/>
      <c r="Z9" s="31"/>
      <c r="AA9" s="32" t="str">
        <f t="shared" si="6"/>
        <v/>
      </c>
      <c r="AB9" s="32" t="str">
        <f t="shared" si="7"/>
        <v/>
      </c>
      <c r="AC9" s="32" t="str">
        <f>IF(AB9="","",VLOOKUP(MAX(AB9,0),Reference!$A$17:$B$20,2,TRUE()))</f>
        <v/>
      </c>
      <c r="AD9" s="24" t="s">
        <v>185</v>
      </c>
      <c r="AE9">
        <f t="shared" si="8"/>
        <v>1</v>
      </c>
      <c r="AF9" s="33" t="str">
        <f>IF(OR(A9="",B9="",AND(C9&lt;&gt;"Bullpen",C9&lt;&gt;"Game")),"",IF((COUNTIFS($B$5:$B$300,B9,$A$5:$A$300,A9-1,$C$5:$C$300,"Bullpen",$AG$5:$AG$300,"&gt;0") + COUNTIFS($B$5:$B$300,B9,$A$5:$A$300,A9-1,$C$5:$C$300,"Game",$AG$5:$AG$300,"&gt;0"))&gt;0,Reference!$B$119,IF((COUNTIFS($B$5:$B$300,B9,$A$5:$A$300,A9-2,$C$5:$C$300,"Bullpen",$AG$5:$AG$300,"&gt;0") + COUNTIFS($B$5:$B$300,B9,$A$5:$A$300,A9-2,$C$5:$C$300,"Game",$AG$5:$AG$300,"&gt;0"))&gt;0,Reference!$B$120,1)))</f>
        <v/>
      </c>
      <c r="AG9" s="30" t="str">
        <f>IF(AND(OR(I9="",O9="",P9=""),OR(R9="",W9=""),OR(X9="",AC9="")),"",IF(OR(I9="",O9="",P9=""),0,I9*O9*P9)+IF(OR(R9="",W9=""),0,R9*IFERROR(INDEX(Reference!$B$61:$B$62,MATCH("Bullpen",Reference!$A$61:$A$62,0)),0)*W9)+IF(OR(X9="",AC9=""),0,X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9))</f>
        <v/>
      </c>
    </row>
    <row r="10" spans="1:33" x14ac:dyDescent="0.3">
      <c r="A10" s="28">
        <v>46270</v>
      </c>
      <c r="B10" s="20" t="s">
        <v>142</v>
      </c>
      <c r="C10" s="20" t="s">
        <v>49</v>
      </c>
      <c r="D10" s="31">
        <v>0</v>
      </c>
      <c r="E10" s="34"/>
      <c r="F10" s="34"/>
      <c r="G10" s="30" t="str">
        <f t="shared" si="0"/>
        <v/>
      </c>
      <c r="H10" s="20"/>
      <c r="I10" s="32" t="str">
        <f>IF(H10&lt;&gt;"",H10,IF(G10="","",ROUND(G10*IFERROR(INDEX(Reference!$B$44:$B$50,MATCH(C10,Reference!$A$44:$A$50,0)),0),0)))</f>
        <v/>
      </c>
      <c r="J10" s="20"/>
      <c r="K10" s="20"/>
      <c r="L10" s="32" t="str">
        <f t="shared" si="1"/>
        <v/>
      </c>
      <c r="M10" s="32">
        <f>IFERROR(INDEX(Roster!$D$5:$D$40,MATCH(B10,Roster!$A$5:$A$40,0)),"")</f>
        <v>87.9</v>
      </c>
      <c r="N10" s="32" t="str">
        <f t="shared" si="2"/>
        <v/>
      </c>
      <c r="O10" s="32">
        <f>IF(OR(C10="Bullpen",C10="Game"),IFERROR(INDEX(Reference!$B$61:$B$62,MATCH(C10,Reference!$A$61:$A$62,0)),""),IF(D10="","",IF(AE10&gt;1,((IF(1&lt;=AE10,(AE10-1+3)*(INDEX(Reference!$B$6:$B$11,MIN(5,MATCH(MAX(Reference!$A$6,MIN(Reference!$A$11,MIN(D10,90))),Reference!$A$6:$A$11,1)))+(MAX(Reference!$A$6,MIN(Reference!$A$11,MIN(D10,90)))-INDEX(Reference!$A$6:$A$11,MIN(5,MATCH(MAX(Reference!$A$6,MIN(Reference!$A$11,MIN(D10,90))),Reference!$A$6:$A$11,1))))*(INDEX(Reference!$B$6:$B$11,MIN(5,MATCH(MAX(Reference!$A$6,MIN(Reference!$A$11,MIN(D10,90))),Reference!$A$6:$A$11,1))+1)-INDEX(Reference!$B$6:$B$11,MIN(5,MATCH(MAX(Reference!$A$6,MIN(Reference!$A$11,MIN(D10,90))),Reference!$A$6:$A$11,1))))/(INDEX(Reference!$A$6:$A$11,MIN(5,MATCH(MAX(Reference!$A$6,MIN(Reference!$A$11,MIN(D10,90))),Reference!$A$6:$A$11,1))+1)-INDEX(Reference!$A$6:$A$11,MIN(5,MATCH(MAX(Reference!$A$6,MIN(Reference!$A$11,MIN(D10,90))),Reference!$A$6:$A$11,1))))),0)+IF(2&lt;=AE10,(AE10-2+3)*(INDEX(Reference!$B$6:$B$11,MIN(5,MATCH(MAX(Reference!$A$6,MIN(Reference!$A$11,MIN(D10,120))),Reference!$A$6:$A$11,1)))+(MAX(Reference!$A$6,MIN(Reference!$A$11,MIN(D10,120)))-INDEX(Reference!$A$6:$A$11,MIN(5,MATCH(MAX(Reference!$A$6,MIN(Reference!$A$11,MIN(D10,120))),Reference!$A$6:$A$11,1))))*(INDEX(Reference!$B$6:$B$11,MIN(5,MATCH(MAX(Reference!$A$6,MIN(Reference!$A$11,MIN(D10,120))),Reference!$A$6:$A$11,1))+1)-INDEX(Reference!$B$6:$B$11,MIN(5,MATCH(MAX(Reference!$A$6,MIN(Reference!$A$11,MIN(D10,120))),Reference!$A$6:$A$11,1))))/(INDEX(Reference!$A$6:$A$11,MIN(5,MATCH(MAX(Reference!$A$6,MIN(Reference!$A$11,MIN(D10,120))),Reference!$A$6:$A$11,1))+1)-INDEX(Reference!$A$6:$A$11,MIN(5,MATCH(MAX(Reference!$A$6,MIN(Reference!$A$11,MIN(D10,120))),Reference!$A$6:$A$11,1))))),0)+IF(3&lt;=AE10,(AE10-3+3)*(INDEX(Reference!$B$6:$B$11,MIN(5,MATCH(MAX(Reference!$A$6,MIN(Reference!$A$11,MIN(D10,150))),Reference!$A$6:$A$11,1)))+(MAX(Reference!$A$6,MIN(Reference!$A$11,MIN(D10,150)))-INDEX(Reference!$A$6:$A$11,MIN(5,MATCH(MAX(Reference!$A$6,MIN(Reference!$A$11,MIN(D10,150))),Reference!$A$6:$A$11,1))))*(INDEX(Reference!$B$6:$B$11,MIN(5,MATCH(MAX(Reference!$A$6,MIN(Reference!$A$11,MIN(D10,150))),Reference!$A$6:$A$11,1))+1)-INDEX(Reference!$B$6:$B$11,MIN(5,MATCH(MAX(Reference!$A$6,MIN(Reference!$A$11,MIN(D10,150))),Reference!$A$6:$A$11,1))))/(INDEX(Reference!$A$6:$A$11,MIN(5,MATCH(MAX(Reference!$A$6,MIN(Reference!$A$11,MIN(D10,150))),Reference!$A$6:$A$11,1))+1)-INDEX(Reference!$A$6:$A$11,MIN(5,MATCH(MAX(Reference!$A$6,MIN(Reference!$A$11,MIN(D10,150))),Reference!$A$6:$A$11,1))))),0)+IF(4&lt;=AE10,(AE10-4+3)*(INDEX(Reference!$B$6:$B$11,MIN(5,MATCH(MAX(Reference!$A$6,MIN(Reference!$A$11,MIN(D10,180))),Reference!$A$6:$A$11,1)))+(MAX(Reference!$A$6,MIN(Reference!$A$11,MIN(D10,180)))-INDEX(Reference!$A$6:$A$11,MIN(5,MATCH(MAX(Reference!$A$6,MIN(Reference!$A$11,MIN(D10,180))),Reference!$A$6:$A$11,1))))*(INDEX(Reference!$B$6:$B$11,MIN(5,MATCH(MAX(Reference!$A$6,MIN(Reference!$A$11,MIN(D10,180))),Reference!$A$6:$A$11,1))+1)-INDEX(Reference!$B$6:$B$11,MIN(5,MATCH(MAX(Reference!$A$6,MIN(Reference!$A$11,MIN(D10,180))),Reference!$A$6:$A$11,1))))/(INDEX(Reference!$A$6:$A$11,MIN(5,MATCH(MAX(Reference!$A$6,MIN(Reference!$A$11,MIN(D10,180))),Reference!$A$6:$A$11,1))+1)-INDEX(Reference!$A$6:$A$11,MIN(5,MATCH(MAX(Reference!$A$6,MIN(Reference!$A$11,MIN(D10,180))),Reference!$A$6:$A$11,1))))),0)+IF(5&lt;=AE10,(AE10-5+3)*(INDEX(Reference!$B$6:$B$11,MIN(5,MATCH(MAX(Reference!$A$6,MIN(Reference!$A$11,MIN(D10,210))),Reference!$A$6:$A$11,1)))+(MAX(Reference!$A$6,MIN(Reference!$A$11,MIN(D10,210)))-INDEX(Reference!$A$6:$A$11,MIN(5,MATCH(MAX(Reference!$A$6,MIN(Reference!$A$11,MIN(D10,210))),Reference!$A$6:$A$11,1))))*(INDEX(Reference!$B$6:$B$11,MIN(5,MATCH(MAX(Reference!$A$6,MIN(Reference!$A$11,MIN(D10,210))),Reference!$A$6:$A$11,1))+1)-INDEX(Reference!$B$6:$B$11,MIN(5,MATCH(MAX(Reference!$A$6,MIN(Reference!$A$11,MIN(D10,210))),Reference!$A$6:$A$11,1))))/(INDEX(Reference!$A$6:$A$11,MIN(5,MATCH(MAX(Reference!$A$6,MIN(Reference!$A$11,MIN(D10,210))),Reference!$A$6:$A$11,1))+1)-INDEX(Reference!$A$6:$A$11,MIN(5,MATCH(MAX(Reference!$A$6,MIN(Reference!$A$11,MIN(D10,210))),Reference!$A$6:$A$11,1))))),0)+IF(6&lt;=AE10,(AE10-6+3)*(INDEX(Reference!$B$6:$B$11,MIN(5,MATCH(MAX(Reference!$A$6,MIN(Reference!$A$11,MIN(D10,240))),Reference!$A$6:$A$11,1)))+(MAX(Reference!$A$6,MIN(Reference!$A$11,MIN(D10,240)))-INDEX(Reference!$A$6:$A$11,MIN(5,MATCH(MAX(Reference!$A$6,MIN(Reference!$A$11,MIN(D10,240))),Reference!$A$6:$A$11,1))))*(INDEX(Reference!$B$6:$B$11,MIN(5,MATCH(MAX(Reference!$A$6,MIN(Reference!$A$11,MIN(D10,240))),Reference!$A$6:$A$11,1))+1)-INDEX(Reference!$B$6:$B$11,MIN(5,MATCH(MAX(Reference!$A$6,MIN(Reference!$A$11,MIN(D10,240))),Reference!$A$6:$A$11,1))))/(INDEX(Reference!$A$6:$A$11,MIN(5,MATCH(MAX(Reference!$A$6,MIN(Reference!$A$11,MIN(D10,240))),Reference!$A$6:$A$11,1))+1)-INDEX(Reference!$A$6:$A$11,MIN(5,MATCH(MAX(Reference!$A$6,MIN(Reference!$A$11,MIN(D10,240))),Reference!$A$6:$A$11,1))))),0)+IF(7&lt;=AE10,(AE10-7+3)*(INDEX(Reference!$B$6:$B$11,MIN(5,MATCH(MAX(Reference!$A$6,MIN(Reference!$A$11,MIN(D10,270))),Reference!$A$6:$A$11,1)))+(MAX(Reference!$A$6,MIN(Reference!$A$11,MIN(D10,270)))-INDEX(Reference!$A$6:$A$11,MIN(5,MATCH(MAX(Reference!$A$6,MIN(Reference!$A$11,MIN(D10,270))),Reference!$A$6:$A$11,1))))*(INDEX(Reference!$B$6:$B$11,MIN(5,MATCH(MAX(Reference!$A$6,MIN(Reference!$A$11,MIN(D10,270))),Reference!$A$6:$A$11,1))+1)-INDEX(Reference!$B$6:$B$11,MIN(5,MATCH(MAX(Reference!$A$6,MIN(Reference!$A$11,MIN(D10,270))),Reference!$A$6:$A$11,1))))/(INDEX(Reference!$A$6:$A$11,MIN(5,MATCH(MAX(Reference!$A$6,MIN(Reference!$A$11,MIN(D10,270))),Reference!$A$6:$A$11,1))+1)-INDEX(Reference!$A$6:$A$11,MIN(5,MATCH(MAX(Reference!$A$6,MIN(Reference!$A$11,MIN(D10,270))),Reference!$A$6:$A$11,1))))),0)+IF(8&lt;=AE10,(AE10-8+3)*(INDEX(Reference!$B$6:$B$11,MIN(5,MATCH(MAX(Reference!$A$6,MIN(Reference!$A$11,MIN(D10,300))),Reference!$A$6:$A$11,1)))+(MAX(Reference!$A$6,MIN(Reference!$A$11,MIN(D10,300)))-INDEX(Reference!$A$6:$A$11,MIN(5,MATCH(MAX(Reference!$A$6,MIN(Reference!$A$11,MIN(D10,300))),Reference!$A$6:$A$11,1))))*(INDEX(Reference!$B$6:$B$11,MIN(5,MATCH(MAX(Reference!$A$6,MIN(Reference!$A$11,MIN(D10,300))),Reference!$A$6:$A$11,1))+1)-INDEX(Reference!$B$6:$B$11,MIN(5,MATCH(MAX(Reference!$A$6,MIN(Reference!$A$11,MIN(D10,300))),Reference!$A$6:$A$11,1))))/(INDEX(Reference!$A$6:$A$11,MIN(5,MATCH(MAX(Reference!$A$6,MIN(Reference!$A$11,MIN(D10,300))),Reference!$A$6:$A$11,1))+1)-INDEX(Reference!$A$6:$A$11,MIN(5,MATCH(MAX(Reference!$A$6,MIN(Reference!$A$11,MIN(D10,300))),Reference!$A$6:$A$11,1))))),0))/(AE10*(AE10+5)/2)),(INDEX(Reference!$B$6:$B$11,MIN(5,MATCH(MAX(Reference!$A$6,MIN(Reference!$A$11,D10)),Reference!$A$6:$A$11,1)))+(MAX(Reference!$A$6,MIN(Reference!$A$11,D10))-INDEX(Reference!$A$6:$A$11,MIN(5,MATCH(MAX(Reference!$A$6,MIN(Reference!$A$11,D10)),Reference!$A$6:$A$11,1))))*(INDEX(Reference!$B$6:$B$11,MIN(5,MATCH(MAX(Reference!$A$6,MIN(Reference!$A$11,D10)),Reference!$A$6:$A$11,1))+1)-INDEX(Reference!$B$6:$B$11,MIN(5,MATCH(MAX(Reference!$A$6,MIN(Reference!$A$11,D10)),Reference!$A$6:$A$11,1))))/(INDEX(Reference!$A$6:$A$11,MIN(5,MATCH(MAX(Reference!$A$6,MIN(Reference!$A$11,D10)),Reference!$A$6:$A$11,1))+1)-INDEX(Reference!$A$6:$A$11,MIN(5,MATCH(MAX(Reference!$A$6,MIN(Reference!$A$11,D10)),Reference!$A$6:$A$11,1))))))))</f>
        <v>1</v>
      </c>
      <c r="P10" s="32" t="str">
        <f>IF(N10="","",VLOOKUP(MAX(N10,0),Reference!$A$17:$B$20,2,TRUE()))</f>
        <v/>
      </c>
      <c r="Q10" s="32" t="str">
        <f t="shared" si="3"/>
        <v/>
      </c>
      <c r="R10" s="20"/>
      <c r="S10" s="20"/>
      <c r="T10" s="20"/>
      <c r="U10" s="32" t="str">
        <f t="shared" si="4"/>
        <v/>
      </c>
      <c r="V10" s="32" t="str">
        <f t="shared" si="5"/>
        <v/>
      </c>
      <c r="W10" s="32" t="str">
        <f>IF(V10="","",VLOOKUP(MAX(V10,0),Reference!$A$17:$B$20,2,TRUE()))</f>
        <v/>
      </c>
      <c r="X10" s="31"/>
      <c r="Y10" s="31"/>
      <c r="Z10" s="31"/>
      <c r="AA10" s="32" t="str">
        <f t="shared" si="6"/>
        <v/>
      </c>
      <c r="AB10" s="32" t="str">
        <f t="shared" si="7"/>
        <v/>
      </c>
      <c r="AC10" s="32" t="str">
        <f>IF(AB10="","",VLOOKUP(MAX(AB10,0),Reference!$A$17:$B$20,2,TRUE()))</f>
        <v/>
      </c>
      <c r="AD10" s="24" t="s">
        <v>186</v>
      </c>
      <c r="AE10">
        <f t="shared" si="8"/>
        <v>1</v>
      </c>
      <c r="AF10" s="33" t="str">
        <f>IF(OR(A10="",B10="",AND(C10&lt;&gt;"Bullpen",C10&lt;&gt;"Game")),"",IF((COUNTIFS($B$5:$B$300,B10,$A$5:$A$300,A10-1,$C$5:$C$300,"Bullpen",$AG$5:$AG$300,"&gt;0") + COUNTIFS($B$5:$B$300,B10,$A$5:$A$300,A10-1,$C$5:$C$300,"Game",$AG$5:$AG$300,"&gt;0"))&gt;0,Reference!$B$119,IF((COUNTIFS($B$5:$B$300,B10,$A$5:$A$300,A10-2,$C$5:$C$300,"Bullpen",$AG$5:$AG$300,"&gt;0") + COUNTIFS($B$5:$B$300,B10,$A$5:$A$300,A10-2,$C$5:$C$300,"Game",$AG$5:$AG$300,"&gt;0"))&gt;0,Reference!$B$120,1)))</f>
        <v/>
      </c>
      <c r="AG10" s="30" t="str">
        <f>IF(AND(OR(I10="",O10="",P10=""),OR(R10="",W10=""),OR(X10="",AC10="")),"",IF(OR(I10="",O10="",P10=""),0,I10*O10*P10)+IF(OR(R10="",W10=""),0,R10*IFERROR(INDEX(Reference!$B$61:$B$62,MATCH("Bullpen",Reference!$A$61:$A$62,0)),0)*W10)+IF(OR(X10="",AC10=""),0,X10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10))</f>
        <v/>
      </c>
    </row>
    <row r="11" spans="1:33" x14ac:dyDescent="0.3">
      <c r="A11" s="35">
        <v>46271</v>
      </c>
      <c r="B11" s="31" t="s">
        <v>142</v>
      </c>
      <c r="C11" s="31" t="s">
        <v>53</v>
      </c>
      <c r="D11" s="31">
        <v>120</v>
      </c>
      <c r="E11" s="34">
        <v>7.2916666666666699E-2</v>
      </c>
      <c r="F11" s="34">
        <v>8.6805555555555594E-2</v>
      </c>
      <c r="G11" s="30">
        <f t="shared" si="0"/>
        <v>20.000000000000007</v>
      </c>
      <c r="H11" s="31"/>
      <c r="I11" s="32">
        <f>IF(H11&lt;&gt;"",H11,IF(G11="","",ROUND(G11*IFERROR(INDEX(Reference!$B$44:$B$50,MATCH(C11,Reference!$A$44:$A$50,0)),0),0)))</f>
        <v>80</v>
      </c>
      <c r="J11" s="31">
        <v>75</v>
      </c>
      <c r="K11" s="31">
        <v>81</v>
      </c>
      <c r="L11" s="32">
        <f t="shared" si="1"/>
        <v>78</v>
      </c>
      <c r="M11" s="32">
        <f>IFERROR(INDEX(Roster!$D$5:$D$40,MATCH(B11,Roster!$A$5:$A$40,0)),"")</f>
        <v>87.9</v>
      </c>
      <c r="N11" s="32">
        <f t="shared" si="2"/>
        <v>9.9000000000000057</v>
      </c>
      <c r="O11" s="32">
        <f>IF(OR(C11="Bullpen",C11="Game"),IFERROR(INDEX(Reference!$B$61:$B$62,MATCH(C11,Reference!$A$61:$A$62,0)),""),IF(D11="","",IF(AE11&gt;1,((IF(1&lt;=AE11,(AE11-1+3)*(INDEX(Reference!$B$6:$B$11,MIN(5,MATCH(MAX(Reference!$A$6,MIN(Reference!$A$11,MIN(D11,90))),Reference!$A$6:$A$11,1)))+(MAX(Reference!$A$6,MIN(Reference!$A$11,MIN(D11,90)))-INDEX(Reference!$A$6:$A$11,MIN(5,MATCH(MAX(Reference!$A$6,MIN(Reference!$A$11,MIN(D11,90))),Reference!$A$6:$A$11,1))))*(INDEX(Reference!$B$6:$B$11,MIN(5,MATCH(MAX(Reference!$A$6,MIN(Reference!$A$11,MIN(D11,90))),Reference!$A$6:$A$11,1))+1)-INDEX(Reference!$B$6:$B$11,MIN(5,MATCH(MAX(Reference!$A$6,MIN(Reference!$A$11,MIN(D11,90))),Reference!$A$6:$A$11,1))))/(INDEX(Reference!$A$6:$A$11,MIN(5,MATCH(MAX(Reference!$A$6,MIN(Reference!$A$11,MIN(D11,90))),Reference!$A$6:$A$11,1))+1)-INDEX(Reference!$A$6:$A$11,MIN(5,MATCH(MAX(Reference!$A$6,MIN(Reference!$A$11,MIN(D11,90))),Reference!$A$6:$A$11,1))))),0)+IF(2&lt;=AE11,(AE11-2+3)*(INDEX(Reference!$B$6:$B$11,MIN(5,MATCH(MAX(Reference!$A$6,MIN(Reference!$A$11,MIN(D11,120))),Reference!$A$6:$A$11,1)))+(MAX(Reference!$A$6,MIN(Reference!$A$11,MIN(D11,120)))-INDEX(Reference!$A$6:$A$11,MIN(5,MATCH(MAX(Reference!$A$6,MIN(Reference!$A$11,MIN(D11,120))),Reference!$A$6:$A$11,1))))*(INDEX(Reference!$B$6:$B$11,MIN(5,MATCH(MAX(Reference!$A$6,MIN(Reference!$A$11,MIN(D11,120))),Reference!$A$6:$A$11,1))+1)-INDEX(Reference!$B$6:$B$11,MIN(5,MATCH(MAX(Reference!$A$6,MIN(Reference!$A$11,MIN(D11,120))),Reference!$A$6:$A$11,1))))/(INDEX(Reference!$A$6:$A$11,MIN(5,MATCH(MAX(Reference!$A$6,MIN(Reference!$A$11,MIN(D11,120))),Reference!$A$6:$A$11,1))+1)-INDEX(Reference!$A$6:$A$11,MIN(5,MATCH(MAX(Reference!$A$6,MIN(Reference!$A$11,MIN(D11,120))),Reference!$A$6:$A$11,1))))),0)+IF(3&lt;=AE11,(AE11-3+3)*(INDEX(Reference!$B$6:$B$11,MIN(5,MATCH(MAX(Reference!$A$6,MIN(Reference!$A$11,MIN(D11,150))),Reference!$A$6:$A$11,1)))+(MAX(Reference!$A$6,MIN(Reference!$A$11,MIN(D11,150)))-INDEX(Reference!$A$6:$A$11,MIN(5,MATCH(MAX(Reference!$A$6,MIN(Reference!$A$11,MIN(D11,150))),Reference!$A$6:$A$11,1))))*(INDEX(Reference!$B$6:$B$11,MIN(5,MATCH(MAX(Reference!$A$6,MIN(Reference!$A$11,MIN(D11,150))),Reference!$A$6:$A$11,1))+1)-INDEX(Reference!$B$6:$B$11,MIN(5,MATCH(MAX(Reference!$A$6,MIN(Reference!$A$11,MIN(D11,150))),Reference!$A$6:$A$11,1))))/(INDEX(Reference!$A$6:$A$11,MIN(5,MATCH(MAX(Reference!$A$6,MIN(Reference!$A$11,MIN(D11,150))),Reference!$A$6:$A$11,1))+1)-INDEX(Reference!$A$6:$A$11,MIN(5,MATCH(MAX(Reference!$A$6,MIN(Reference!$A$11,MIN(D11,150))),Reference!$A$6:$A$11,1))))),0)+IF(4&lt;=AE11,(AE11-4+3)*(INDEX(Reference!$B$6:$B$11,MIN(5,MATCH(MAX(Reference!$A$6,MIN(Reference!$A$11,MIN(D11,180))),Reference!$A$6:$A$11,1)))+(MAX(Reference!$A$6,MIN(Reference!$A$11,MIN(D11,180)))-INDEX(Reference!$A$6:$A$11,MIN(5,MATCH(MAX(Reference!$A$6,MIN(Reference!$A$11,MIN(D11,180))),Reference!$A$6:$A$11,1))))*(INDEX(Reference!$B$6:$B$11,MIN(5,MATCH(MAX(Reference!$A$6,MIN(Reference!$A$11,MIN(D11,180))),Reference!$A$6:$A$11,1))+1)-INDEX(Reference!$B$6:$B$11,MIN(5,MATCH(MAX(Reference!$A$6,MIN(Reference!$A$11,MIN(D11,180))),Reference!$A$6:$A$11,1))))/(INDEX(Reference!$A$6:$A$11,MIN(5,MATCH(MAX(Reference!$A$6,MIN(Reference!$A$11,MIN(D11,180))),Reference!$A$6:$A$11,1))+1)-INDEX(Reference!$A$6:$A$11,MIN(5,MATCH(MAX(Reference!$A$6,MIN(Reference!$A$11,MIN(D11,180))),Reference!$A$6:$A$11,1))))),0)+IF(5&lt;=AE11,(AE11-5+3)*(INDEX(Reference!$B$6:$B$11,MIN(5,MATCH(MAX(Reference!$A$6,MIN(Reference!$A$11,MIN(D11,210))),Reference!$A$6:$A$11,1)))+(MAX(Reference!$A$6,MIN(Reference!$A$11,MIN(D11,210)))-INDEX(Reference!$A$6:$A$11,MIN(5,MATCH(MAX(Reference!$A$6,MIN(Reference!$A$11,MIN(D11,210))),Reference!$A$6:$A$11,1))))*(INDEX(Reference!$B$6:$B$11,MIN(5,MATCH(MAX(Reference!$A$6,MIN(Reference!$A$11,MIN(D11,210))),Reference!$A$6:$A$11,1))+1)-INDEX(Reference!$B$6:$B$11,MIN(5,MATCH(MAX(Reference!$A$6,MIN(Reference!$A$11,MIN(D11,210))),Reference!$A$6:$A$11,1))))/(INDEX(Reference!$A$6:$A$11,MIN(5,MATCH(MAX(Reference!$A$6,MIN(Reference!$A$11,MIN(D11,210))),Reference!$A$6:$A$11,1))+1)-INDEX(Reference!$A$6:$A$11,MIN(5,MATCH(MAX(Reference!$A$6,MIN(Reference!$A$11,MIN(D11,210))),Reference!$A$6:$A$11,1))))),0)+IF(6&lt;=AE11,(AE11-6+3)*(INDEX(Reference!$B$6:$B$11,MIN(5,MATCH(MAX(Reference!$A$6,MIN(Reference!$A$11,MIN(D11,240))),Reference!$A$6:$A$11,1)))+(MAX(Reference!$A$6,MIN(Reference!$A$11,MIN(D11,240)))-INDEX(Reference!$A$6:$A$11,MIN(5,MATCH(MAX(Reference!$A$6,MIN(Reference!$A$11,MIN(D11,240))),Reference!$A$6:$A$11,1))))*(INDEX(Reference!$B$6:$B$11,MIN(5,MATCH(MAX(Reference!$A$6,MIN(Reference!$A$11,MIN(D11,240))),Reference!$A$6:$A$11,1))+1)-INDEX(Reference!$B$6:$B$11,MIN(5,MATCH(MAX(Reference!$A$6,MIN(Reference!$A$11,MIN(D11,240))),Reference!$A$6:$A$11,1))))/(INDEX(Reference!$A$6:$A$11,MIN(5,MATCH(MAX(Reference!$A$6,MIN(Reference!$A$11,MIN(D11,240))),Reference!$A$6:$A$11,1))+1)-INDEX(Reference!$A$6:$A$11,MIN(5,MATCH(MAX(Reference!$A$6,MIN(Reference!$A$11,MIN(D11,240))),Reference!$A$6:$A$11,1))))),0)+IF(7&lt;=AE11,(AE11-7+3)*(INDEX(Reference!$B$6:$B$11,MIN(5,MATCH(MAX(Reference!$A$6,MIN(Reference!$A$11,MIN(D11,270))),Reference!$A$6:$A$11,1)))+(MAX(Reference!$A$6,MIN(Reference!$A$11,MIN(D11,270)))-INDEX(Reference!$A$6:$A$11,MIN(5,MATCH(MAX(Reference!$A$6,MIN(Reference!$A$11,MIN(D11,270))),Reference!$A$6:$A$11,1))))*(INDEX(Reference!$B$6:$B$11,MIN(5,MATCH(MAX(Reference!$A$6,MIN(Reference!$A$11,MIN(D11,270))),Reference!$A$6:$A$11,1))+1)-INDEX(Reference!$B$6:$B$11,MIN(5,MATCH(MAX(Reference!$A$6,MIN(Reference!$A$11,MIN(D11,270))),Reference!$A$6:$A$11,1))))/(INDEX(Reference!$A$6:$A$11,MIN(5,MATCH(MAX(Reference!$A$6,MIN(Reference!$A$11,MIN(D11,270))),Reference!$A$6:$A$11,1))+1)-INDEX(Reference!$A$6:$A$11,MIN(5,MATCH(MAX(Reference!$A$6,MIN(Reference!$A$11,MIN(D11,270))),Reference!$A$6:$A$11,1))))),0)+IF(8&lt;=AE11,(AE11-8+3)*(INDEX(Reference!$B$6:$B$11,MIN(5,MATCH(MAX(Reference!$A$6,MIN(Reference!$A$11,MIN(D11,300))),Reference!$A$6:$A$11,1)))+(MAX(Reference!$A$6,MIN(Reference!$A$11,MIN(D11,300)))-INDEX(Reference!$A$6:$A$11,MIN(5,MATCH(MAX(Reference!$A$6,MIN(Reference!$A$11,MIN(D11,300))),Reference!$A$6:$A$11,1))))*(INDEX(Reference!$B$6:$B$11,MIN(5,MATCH(MAX(Reference!$A$6,MIN(Reference!$A$11,MIN(D11,300))),Reference!$A$6:$A$11,1))+1)-INDEX(Reference!$B$6:$B$11,MIN(5,MATCH(MAX(Reference!$A$6,MIN(Reference!$A$11,MIN(D11,300))),Reference!$A$6:$A$11,1))))/(INDEX(Reference!$A$6:$A$11,MIN(5,MATCH(MAX(Reference!$A$6,MIN(Reference!$A$11,MIN(D11,300))),Reference!$A$6:$A$11,1))+1)-INDEX(Reference!$A$6:$A$11,MIN(5,MATCH(MAX(Reference!$A$6,MIN(Reference!$A$11,MIN(D11,300))),Reference!$A$6:$A$11,1))))),0))/(AE11*(AE11+5)/2)),(INDEX(Reference!$B$6:$B$11,MIN(5,MATCH(MAX(Reference!$A$6,MIN(Reference!$A$11,D11)),Reference!$A$6:$A$11,1)))+(MAX(Reference!$A$6,MIN(Reference!$A$11,D11))-INDEX(Reference!$A$6:$A$11,MIN(5,MATCH(MAX(Reference!$A$6,MIN(Reference!$A$11,D11)),Reference!$A$6:$A$11,1))))*(INDEX(Reference!$B$6:$B$11,MIN(5,MATCH(MAX(Reference!$A$6,MIN(Reference!$A$11,D11)),Reference!$A$6:$A$11,1))+1)-INDEX(Reference!$B$6:$B$11,MIN(5,MATCH(MAX(Reference!$A$6,MIN(Reference!$A$11,D11)),Reference!$A$6:$A$11,1))))/(INDEX(Reference!$A$6:$A$11,MIN(5,MATCH(MAX(Reference!$A$6,MIN(Reference!$A$11,D11)),Reference!$A$6:$A$11,1))+1)-INDEX(Reference!$A$6:$A$11,MIN(5,MATCH(MAX(Reference!$A$6,MIN(Reference!$A$11,D11)),Reference!$A$6:$A$11,1))))))))</f>
        <v>1.7</v>
      </c>
      <c r="P11" s="32">
        <f>IF(N11="","",VLOOKUP(MAX(N11,0),Reference!$A$17:$B$20,2,TRUE()))</f>
        <v>1</v>
      </c>
      <c r="Q11" s="32">
        <f t="shared" si="3"/>
        <v>136</v>
      </c>
      <c r="R11" s="31"/>
      <c r="S11" s="31"/>
      <c r="T11" s="31"/>
      <c r="U11" s="32" t="str">
        <f t="shared" si="4"/>
        <v/>
      </c>
      <c r="V11" s="32" t="str">
        <f t="shared" si="5"/>
        <v/>
      </c>
      <c r="W11" s="32" t="str">
        <f>IF(V11="","",VLOOKUP(MAX(V11,0),Reference!$A$17:$B$20,2,TRUE()))</f>
        <v/>
      </c>
      <c r="X11" s="31"/>
      <c r="Y11" s="31"/>
      <c r="Z11" s="31"/>
      <c r="AA11" s="32" t="str">
        <f t="shared" si="6"/>
        <v/>
      </c>
      <c r="AB11" s="32" t="str">
        <f t="shared" si="7"/>
        <v/>
      </c>
      <c r="AC11" s="32" t="str">
        <f>IF(AB11="","",VLOOKUP(MAX(AB11,0),Reference!$A$17:$B$20,2,TRUE()))</f>
        <v/>
      </c>
      <c r="AD11" s="31"/>
      <c r="AE11">
        <f t="shared" si="8"/>
        <v>1</v>
      </c>
      <c r="AF11" s="33" t="str">
        <f>IF(OR(A11="",B11="",AND(C11&lt;&gt;"Bullpen",C11&lt;&gt;"Game")),"",IF((COUNTIFS($B$5:$B$300,B11,$A$5:$A$300,A11-1,$C$5:$C$300,"Bullpen",$AG$5:$AG$300,"&gt;0") + COUNTIFS($B$5:$B$300,B11,$A$5:$A$300,A11-1,$C$5:$C$300,"Game",$AG$5:$AG$300,"&gt;0"))&gt;0,Reference!$B$119,IF((COUNTIFS($B$5:$B$300,B11,$A$5:$A$300,A11-2,$C$5:$C$300,"Bullpen",$AG$5:$AG$300,"&gt;0") + COUNTIFS($B$5:$B$300,B11,$A$5:$A$300,A11-2,$C$5:$C$300,"Game",$AG$5:$AG$300,"&gt;0"))&gt;0,Reference!$B$120,1)))</f>
        <v/>
      </c>
      <c r="AG11" s="30">
        <f>IF(AND(OR(I11="",O11="",P11=""),OR(R11="",W11=""),OR(X11="",AC11="")),"",IF(OR(I11="",O11="",P11=""),0,I11*O11*P11)+IF(OR(R11="",W11=""),0,R11*IFERROR(INDEX(Reference!$B$61:$B$62,MATCH("Bullpen",Reference!$A$61:$A$62,0)),0)*W11)+IF(OR(X11="",AC11=""),0,X11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11))</f>
        <v>136</v>
      </c>
    </row>
    <row r="12" spans="1:33" x14ac:dyDescent="0.3">
      <c r="A12" s="35">
        <v>46272</v>
      </c>
      <c r="B12" s="31" t="s">
        <v>142</v>
      </c>
      <c r="C12" s="31" t="s">
        <v>55</v>
      </c>
      <c r="D12" s="31">
        <v>75</v>
      </c>
      <c r="E12" s="34">
        <v>7.2916666666666699E-2</v>
      </c>
      <c r="F12" s="34">
        <v>7.9861111111111105E-2</v>
      </c>
      <c r="G12" s="30">
        <f t="shared" si="0"/>
        <v>9.9999999999999449</v>
      </c>
      <c r="H12" s="31"/>
      <c r="I12" s="32">
        <f>IF(H12&lt;&gt;"",H12,IF(G12="","",ROUND(G12*IFERROR(INDEX(Reference!$B$44:$B$50,MATCH(C12,Reference!$A$44:$A$50,0)),0),0)))</f>
        <v>55</v>
      </c>
      <c r="J12" s="31">
        <v>72</v>
      </c>
      <c r="K12" s="31">
        <v>75</v>
      </c>
      <c r="L12" s="32">
        <f t="shared" si="1"/>
        <v>73.5</v>
      </c>
      <c r="M12" s="32">
        <f>IFERROR(INDEX(Roster!$D$5:$D$40,MATCH(B12,Roster!$A$5:$A$40,0)),"")</f>
        <v>87.9</v>
      </c>
      <c r="N12" s="32">
        <f t="shared" si="2"/>
        <v>14.400000000000006</v>
      </c>
      <c r="O12" s="32">
        <f>IF(OR(C12="Bullpen",C12="Game"),IFERROR(INDEX(Reference!$B$61:$B$62,MATCH(C12,Reference!$A$61:$A$62,0)),""),IF(D12="","",IF(AE12&gt;1,((IF(1&lt;=AE12,(AE12-1+3)*(INDEX(Reference!$B$6:$B$11,MIN(5,MATCH(MAX(Reference!$A$6,MIN(Reference!$A$11,MIN(D12,90))),Reference!$A$6:$A$11,1)))+(MAX(Reference!$A$6,MIN(Reference!$A$11,MIN(D12,90)))-INDEX(Reference!$A$6:$A$11,MIN(5,MATCH(MAX(Reference!$A$6,MIN(Reference!$A$11,MIN(D12,90))),Reference!$A$6:$A$11,1))))*(INDEX(Reference!$B$6:$B$11,MIN(5,MATCH(MAX(Reference!$A$6,MIN(Reference!$A$11,MIN(D12,90))),Reference!$A$6:$A$11,1))+1)-INDEX(Reference!$B$6:$B$11,MIN(5,MATCH(MAX(Reference!$A$6,MIN(Reference!$A$11,MIN(D12,90))),Reference!$A$6:$A$11,1))))/(INDEX(Reference!$A$6:$A$11,MIN(5,MATCH(MAX(Reference!$A$6,MIN(Reference!$A$11,MIN(D12,90))),Reference!$A$6:$A$11,1))+1)-INDEX(Reference!$A$6:$A$11,MIN(5,MATCH(MAX(Reference!$A$6,MIN(Reference!$A$11,MIN(D12,90))),Reference!$A$6:$A$11,1))))),0)+IF(2&lt;=AE12,(AE12-2+3)*(INDEX(Reference!$B$6:$B$11,MIN(5,MATCH(MAX(Reference!$A$6,MIN(Reference!$A$11,MIN(D12,120))),Reference!$A$6:$A$11,1)))+(MAX(Reference!$A$6,MIN(Reference!$A$11,MIN(D12,120)))-INDEX(Reference!$A$6:$A$11,MIN(5,MATCH(MAX(Reference!$A$6,MIN(Reference!$A$11,MIN(D12,120))),Reference!$A$6:$A$11,1))))*(INDEX(Reference!$B$6:$B$11,MIN(5,MATCH(MAX(Reference!$A$6,MIN(Reference!$A$11,MIN(D12,120))),Reference!$A$6:$A$11,1))+1)-INDEX(Reference!$B$6:$B$11,MIN(5,MATCH(MAX(Reference!$A$6,MIN(Reference!$A$11,MIN(D12,120))),Reference!$A$6:$A$11,1))))/(INDEX(Reference!$A$6:$A$11,MIN(5,MATCH(MAX(Reference!$A$6,MIN(Reference!$A$11,MIN(D12,120))),Reference!$A$6:$A$11,1))+1)-INDEX(Reference!$A$6:$A$11,MIN(5,MATCH(MAX(Reference!$A$6,MIN(Reference!$A$11,MIN(D12,120))),Reference!$A$6:$A$11,1))))),0)+IF(3&lt;=AE12,(AE12-3+3)*(INDEX(Reference!$B$6:$B$11,MIN(5,MATCH(MAX(Reference!$A$6,MIN(Reference!$A$11,MIN(D12,150))),Reference!$A$6:$A$11,1)))+(MAX(Reference!$A$6,MIN(Reference!$A$11,MIN(D12,150)))-INDEX(Reference!$A$6:$A$11,MIN(5,MATCH(MAX(Reference!$A$6,MIN(Reference!$A$11,MIN(D12,150))),Reference!$A$6:$A$11,1))))*(INDEX(Reference!$B$6:$B$11,MIN(5,MATCH(MAX(Reference!$A$6,MIN(Reference!$A$11,MIN(D12,150))),Reference!$A$6:$A$11,1))+1)-INDEX(Reference!$B$6:$B$11,MIN(5,MATCH(MAX(Reference!$A$6,MIN(Reference!$A$11,MIN(D12,150))),Reference!$A$6:$A$11,1))))/(INDEX(Reference!$A$6:$A$11,MIN(5,MATCH(MAX(Reference!$A$6,MIN(Reference!$A$11,MIN(D12,150))),Reference!$A$6:$A$11,1))+1)-INDEX(Reference!$A$6:$A$11,MIN(5,MATCH(MAX(Reference!$A$6,MIN(Reference!$A$11,MIN(D12,150))),Reference!$A$6:$A$11,1))))),0)+IF(4&lt;=AE12,(AE12-4+3)*(INDEX(Reference!$B$6:$B$11,MIN(5,MATCH(MAX(Reference!$A$6,MIN(Reference!$A$11,MIN(D12,180))),Reference!$A$6:$A$11,1)))+(MAX(Reference!$A$6,MIN(Reference!$A$11,MIN(D12,180)))-INDEX(Reference!$A$6:$A$11,MIN(5,MATCH(MAX(Reference!$A$6,MIN(Reference!$A$11,MIN(D12,180))),Reference!$A$6:$A$11,1))))*(INDEX(Reference!$B$6:$B$11,MIN(5,MATCH(MAX(Reference!$A$6,MIN(Reference!$A$11,MIN(D12,180))),Reference!$A$6:$A$11,1))+1)-INDEX(Reference!$B$6:$B$11,MIN(5,MATCH(MAX(Reference!$A$6,MIN(Reference!$A$11,MIN(D12,180))),Reference!$A$6:$A$11,1))))/(INDEX(Reference!$A$6:$A$11,MIN(5,MATCH(MAX(Reference!$A$6,MIN(Reference!$A$11,MIN(D12,180))),Reference!$A$6:$A$11,1))+1)-INDEX(Reference!$A$6:$A$11,MIN(5,MATCH(MAX(Reference!$A$6,MIN(Reference!$A$11,MIN(D12,180))),Reference!$A$6:$A$11,1))))),0)+IF(5&lt;=AE12,(AE12-5+3)*(INDEX(Reference!$B$6:$B$11,MIN(5,MATCH(MAX(Reference!$A$6,MIN(Reference!$A$11,MIN(D12,210))),Reference!$A$6:$A$11,1)))+(MAX(Reference!$A$6,MIN(Reference!$A$11,MIN(D12,210)))-INDEX(Reference!$A$6:$A$11,MIN(5,MATCH(MAX(Reference!$A$6,MIN(Reference!$A$11,MIN(D12,210))),Reference!$A$6:$A$11,1))))*(INDEX(Reference!$B$6:$B$11,MIN(5,MATCH(MAX(Reference!$A$6,MIN(Reference!$A$11,MIN(D12,210))),Reference!$A$6:$A$11,1))+1)-INDEX(Reference!$B$6:$B$11,MIN(5,MATCH(MAX(Reference!$A$6,MIN(Reference!$A$11,MIN(D12,210))),Reference!$A$6:$A$11,1))))/(INDEX(Reference!$A$6:$A$11,MIN(5,MATCH(MAX(Reference!$A$6,MIN(Reference!$A$11,MIN(D12,210))),Reference!$A$6:$A$11,1))+1)-INDEX(Reference!$A$6:$A$11,MIN(5,MATCH(MAX(Reference!$A$6,MIN(Reference!$A$11,MIN(D12,210))),Reference!$A$6:$A$11,1))))),0)+IF(6&lt;=AE12,(AE12-6+3)*(INDEX(Reference!$B$6:$B$11,MIN(5,MATCH(MAX(Reference!$A$6,MIN(Reference!$A$11,MIN(D12,240))),Reference!$A$6:$A$11,1)))+(MAX(Reference!$A$6,MIN(Reference!$A$11,MIN(D12,240)))-INDEX(Reference!$A$6:$A$11,MIN(5,MATCH(MAX(Reference!$A$6,MIN(Reference!$A$11,MIN(D12,240))),Reference!$A$6:$A$11,1))))*(INDEX(Reference!$B$6:$B$11,MIN(5,MATCH(MAX(Reference!$A$6,MIN(Reference!$A$11,MIN(D12,240))),Reference!$A$6:$A$11,1))+1)-INDEX(Reference!$B$6:$B$11,MIN(5,MATCH(MAX(Reference!$A$6,MIN(Reference!$A$11,MIN(D12,240))),Reference!$A$6:$A$11,1))))/(INDEX(Reference!$A$6:$A$11,MIN(5,MATCH(MAX(Reference!$A$6,MIN(Reference!$A$11,MIN(D12,240))),Reference!$A$6:$A$11,1))+1)-INDEX(Reference!$A$6:$A$11,MIN(5,MATCH(MAX(Reference!$A$6,MIN(Reference!$A$11,MIN(D12,240))),Reference!$A$6:$A$11,1))))),0)+IF(7&lt;=AE12,(AE12-7+3)*(INDEX(Reference!$B$6:$B$11,MIN(5,MATCH(MAX(Reference!$A$6,MIN(Reference!$A$11,MIN(D12,270))),Reference!$A$6:$A$11,1)))+(MAX(Reference!$A$6,MIN(Reference!$A$11,MIN(D12,270)))-INDEX(Reference!$A$6:$A$11,MIN(5,MATCH(MAX(Reference!$A$6,MIN(Reference!$A$11,MIN(D12,270))),Reference!$A$6:$A$11,1))))*(INDEX(Reference!$B$6:$B$11,MIN(5,MATCH(MAX(Reference!$A$6,MIN(Reference!$A$11,MIN(D12,270))),Reference!$A$6:$A$11,1))+1)-INDEX(Reference!$B$6:$B$11,MIN(5,MATCH(MAX(Reference!$A$6,MIN(Reference!$A$11,MIN(D12,270))),Reference!$A$6:$A$11,1))))/(INDEX(Reference!$A$6:$A$11,MIN(5,MATCH(MAX(Reference!$A$6,MIN(Reference!$A$11,MIN(D12,270))),Reference!$A$6:$A$11,1))+1)-INDEX(Reference!$A$6:$A$11,MIN(5,MATCH(MAX(Reference!$A$6,MIN(Reference!$A$11,MIN(D12,270))),Reference!$A$6:$A$11,1))))),0)+IF(8&lt;=AE12,(AE12-8+3)*(INDEX(Reference!$B$6:$B$11,MIN(5,MATCH(MAX(Reference!$A$6,MIN(Reference!$A$11,MIN(D12,300))),Reference!$A$6:$A$11,1)))+(MAX(Reference!$A$6,MIN(Reference!$A$11,MIN(D12,300)))-INDEX(Reference!$A$6:$A$11,MIN(5,MATCH(MAX(Reference!$A$6,MIN(Reference!$A$11,MIN(D12,300))),Reference!$A$6:$A$11,1))))*(INDEX(Reference!$B$6:$B$11,MIN(5,MATCH(MAX(Reference!$A$6,MIN(Reference!$A$11,MIN(D12,300))),Reference!$A$6:$A$11,1))+1)-INDEX(Reference!$B$6:$B$11,MIN(5,MATCH(MAX(Reference!$A$6,MIN(Reference!$A$11,MIN(D12,300))),Reference!$A$6:$A$11,1))))/(INDEX(Reference!$A$6:$A$11,MIN(5,MATCH(MAX(Reference!$A$6,MIN(Reference!$A$11,MIN(D12,300))),Reference!$A$6:$A$11,1))+1)-INDEX(Reference!$A$6:$A$11,MIN(5,MATCH(MAX(Reference!$A$6,MIN(Reference!$A$11,MIN(D12,300))),Reference!$A$6:$A$11,1))))),0))/(AE12*(AE12+5)/2)),(INDEX(Reference!$B$6:$B$11,MIN(5,MATCH(MAX(Reference!$A$6,MIN(Reference!$A$11,D12)),Reference!$A$6:$A$11,1)))+(MAX(Reference!$A$6,MIN(Reference!$A$11,D12))-INDEX(Reference!$A$6:$A$11,MIN(5,MATCH(MAX(Reference!$A$6,MIN(Reference!$A$11,D12)),Reference!$A$6:$A$11,1))))*(INDEX(Reference!$B$6:$B$11,MIN(5,MATCH(MAX(Reference!$A$6,MIN(Reference!$A$11,D12)),Reference!$A$6:$A$11,1))+1)-INDEX(Reference!$B$6:$B$11,MIN(5,MATCH(MAX(Reference!$A$6,MIN(Reference!$A$11,D12)),Reference!$A$6:$A$11,1))))/(INDEX(Reference!$A$6:$A$11,MIN(5,MATCH(MAX(Reference!$A$6,MIN(Reference!$A$11,D12)),Reference!$A$6:$A$11,1))+1)-INDEX(Reference!$A$6:$A$11,MIN(5,MATCH(MAX(Reference!$A$6,MIN(Reference!$A$11,D12)),Reference!$A$6:$A$11,1))))))))</f>
        <v>1.1499999999999999</v>
      </c>
      <c r="P12" s="32">
        <f>IF(N12="","",VLOOKUP(MAX(N12,0),Reference!$A$17:$B$20,2,TRUE()))</f>
        <v>0.6</v>
      </c>
      <c r="Q12" s="32">
        <f t="shared" si="3"/>
        <v>37.949999999999996</v>
      </c>
      <c r="R12" s="31"/>
      <c r="S12" s="31"/>
      <c r="T12" s="31"/>
      <c r="U12" s="32" t="str">
        <f t="shared" si="4"/>
        <v/>
      </c>
      <c r="V12" s="32" t="str">
        <f t="shared" si="5"/>
        <v/>
      </c>
      <c r="W12" s="32" t="str">
        <f>IF(V12="","",VLOOKUP(MAX(V12,0),Reference!$A$17:$B$20,2,TRUE()))</f>
        <v/>
      </c>
      <c r="X12" s="31"/>
      <c r="Y12" s="31"/>
      <c r="Z12" s="31"/>
      <c r="AA12" s="32" t="str">
        <f t="shared" si="6"/>
        <v/>
      </c>
      <c r="AB12" s="32" t="str">
        <f t="shared" si="7"/>
        <v/>
      </c>
      <c r="AC12" s="32" t="str">
        <f>IF(AB12="","",VLOOKUP(MAX(AB12,0),Reference!$A$17:$B$20,2,TRUE()))</f>
        <v/>
      </c>
      <c r="AD12" s="31"/>
      <c r="AE12">
        <f t="shared" si="8"/>
        <v>1</v>
      </c>
      <c r="AF12" s="33" t="str">
        <f>IF(OR(A12="",B12="",AND(C12&lt;&gt;"Bullpen",C12&lt;&gt;"Game")),"",IF((COUNTIFS($B$5:$B$300,B12,$A$5:$A$300,A12-1,$C$5:$C$300,"Bullpen",$AG$5:$AG$300,"&gt;0") + COUNTIFS($B$5:$B$300,B12,$A$5:$A$300,A12-1,$C$5:$C$300,"Game",$AG$5:$AG$300,"&gt;0"))&gt;0,Reference!$B$119,IF((COUNTIFS($B$5:$B$300,B12,$A$5:$A$300,A12-2,$C$5:$C$300,"Bullpen",$AG$5:$AG$300,"&gt;0") + COUNTIFS($B$5:$B$300,B12,$A$5:$A$300,A12-2,$C$5:$C$300,"Game",$AG$5:$AG$300,"&gt;0"))&gt;0,Reference!$B$120,1)))</f>
        <v/>
      </c>
      <c r="AG12" s="30">
        <f>IF(AND(OR(I12="",O12="",P12=""),OR(R12="",W12=""),OR(X12="",AC12="")),"",IF(OR(I12="",O12="",P12=""),0,I12*O12*P12)+IF(OR(R12="",W12=""),0,R12*IFERROR(INDEX(Reference!$B$61:$B$62,MATCH("Bullpen",Reference!$A$61:$A$62,0)),0)*W12)+IF(OR(X12="",AC12=""),0,X12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12))</f>
        <v>37.949999999999996</v>
      </c>
    </row>
    <row r="13" spans="1:33" x14ac:dyDescent="0.3">
      <c r="A13" s="35">
        <v>46273</v>
      </c>
      <c r="B13" s="31" t="s">
        <v>142</v>
      </c>
      <c r="C13" s="31" t="s">
        <v>52</v>
      </c>
      <c r="D13" s="31"/>
      <c r="E13" s="34">
        <v>7.2916666666666699E-2</v>
      </c>
      <c r="F13" s="34"/>
      <c r="G13" s="30" t="str">
        <f t="shared" si="0"/>
        <v/>
      </c>
      <c r="H13" s="31"/>
      <c r="I13" s="32" t="str">
        <f>IF(H13&lt;&gt;"",H13,IF(G13="","",ROUND(G13*IFERROR(INDEX(Reference!$B$44:$B$50,MATCH(C13,Reference!$A$44:$A$50,0)),0),0)))</f>
        <v/>
      </c>
      <c r="J13" s="31">
        <v>86</v>
      </c>
      <c r="K13" s="31">
        <v>88</v>
      </c>
      <c r="L13" s="32">
        <f t="shared" si="1"/>
        <v>87</v>
      </c>
      <c r="M13" s="32">
        <f>IFERROR(INDEX(Roster!$D$5:$D$40,MATCH(B13,Roster!$A$5:$A$40,0)),"")</f>
        <v>87.9</v>
      </c>
      <c r="N13" s="32">
        <f t="shared" si="2"/>
        <v>0.90000000000000568</v>
      </c>
      <c r="O13" s="32">
        <f>IF(OR(C13="Bullpen",C13="Game"),IFERROR(INDEX(Reference!$B$61:$B$62,MATCH(C13,Reference!$A$61:$A$62,0)),""),IF(D13="","",IF(AE13&gt;1,((IF(1&lt;=AE13,(AE13-1+3)*(INDEX(Reference!$B$6:$B$11,MIN(5,MATCH(MAX(Reference!$A$6,MIN(Reference!$A$11,MIN(D13,90))),Reference!$A$6:$A$11,1)))+(MAX(Reference!$A$6,MIN(Reference!$A$11,MIN(D13,90)))-INDEX(Reference!$A$6:$A$11,MIN(5,MATCH(MAX(Reference!$A$6,MIN(Reference!$A$11,MIN(D13,90))),Reference!$A$6:$A$11,1))))*(INDEX(Reference!$B$6:$B$11,MIN(5,MATCH(MAX(Reference!$A$6,MIN(Reference!$A$11,MIN(D13,90))),Reference!$A$6:$A$11,1))+1)-INDEX(Reference!$B$6:$B$11,MIN(5,MATCH(MAX(Reference!$A$6,MIN(Reference!$A$11,MIN(D13,90))),Reference!$A$6:$A$11,1))))/(INDEX(Reference!$A$6:$A$11,MIN(5,MATCH(MAX(Reference!$A$6,MIN(Reference!$A$11,MIN(D13,90))),Reference!$A$6:$A$11,1))+1)-INDEX(Reference!$A$6:$A$11,MIN(5,MATCH(MAX(Reference!$A$6,MIN(Reference!$A$11,MIN(D13,90))),Reference!$A$6:$A$11,1))))),0)+IF(2&lt;=AE13,(AE13-2+3)*(INDEX(Reference!$B$6:$B$11,MIN(5,MATCH(MAX(Reference!$A$6,MIN(Reference!$A$11,MIN(D13,120))),Reference!$A$6:$A$11,1)))+(MAX(Reference!$A$6,MIN(Reference!$A$11,MIN(D13,120)))-INDEX(Reference!$A$6:$A$11,MIN(5,MATCH(MAX(Reference!$A$6,MIN(Reference!$A$11,MIN(D13,120))),Reference!$A$6:$A$11,1))))*(INDEX(Reference!$B$6:$B$11,MIN(5,MATCH(MAX(Reference!$A$6,MIN(Reference!$A$11,MIN(D13,120))),Reference!$A$6:$A$11,1))+1)-INDEX(Reference!$B$6:$B$11,MIN(5,MATCH(MAX(Reference!$A$6,MIN(Reference!$A$11,MIN(D13,120))),Reference!$A$6:$A$11,1))))/(INDEX(Reference!$A$6:$A$11,MIN(5,MATCH(MAX(Reference!$A$6,MIN(Reference!$A$11,MIN(D13,120))),Reference!$A$6:$A$11,1))+1)-INDEX(Reference!$A$6:$A$11,MIN(5,MATCH(MAX(Reference!$A$6,MIN(Reference!$A$11,MIN(D13,120))),Reference!$A$6:$A$11,1))))),0)+IF(3&lt;=AE13,(AE13-3+3)*(INDEX(Reference!$B$6:$B$11,MIN(5,MATCH(MAX(Reference!$A$6,MIN(Reference!$A$11,MIN(D13,150))),Reference!$A$6:$A$11,1)))+(MAX(Reference!$A$6,MIN(Reference!$A$11,MIN(D13,150)))-INDEX(Reference!$A$6:$A$11,MIN(5,MATCH(MAX(Reference!$A$6,MIN(Reference!$A$11,MIN(D13,150))),Reference!$A$6:$A$11,1))))*(INDEX(Reference!$B$6:$B$11,MIN(5,MATCH(MAX(Reference!$A$6,MIN(Reference!$A$11,MIN(D13,150))),Reference!$A$6:$A$11,1))+1)-INDEX(Reference!$B$6:$B$11,MIN(5,MATCH(MAX(Reference!$A$6,MIN(Reference!$A$11,MIN(D13,150))),Reference!$A$6:$A$11,1))))/(INDEX(Reference!$A$6:$A$11,MIN(5,MATCH(MAX(Reference!$A$6,MIN(Reference!$A$11,MIN(D13,150))),Reference!$A$6:$A$11,1))+1)-INDEX(Reference!$A$6:$A$11,MIN(5,MATCH(MAX(Reference!$A$6,MIN(Reference!$A$11,MIN(D13,150))),Reference!$A$6:$A$11,1))))),0)+IF(4&lt;=AE13,(AE13-4+3)*(INDEX(Reference!$B$6:$B$11,MIN(5,MATCH(MAX(Reference!$A$6,MIN(Reference!$A$11,MIN(D13,180))),Reference!$A$6:$A$11,1)))+(MAX(Reference!$A$6,MIN(Reference!$A$11,MIN(D13,180)))-INDEX(Reference!$A$6:$A$11,MIN(5,MATCH(MAX(Reference!$A$6,MIN(Reference!$A$11,MIN(D13,180))),Reference!$A$6:$A$11,1))))*(INDEX(Reference!$B$6:$B$11,MIN(5,MATCH(MAX(Reference!$A$6,MIN(Reference!$A$11,MIN(D13,180))),Reference!$A$6:$A$11,1))+1)-INDEX(Reference!$B$6:$B$11,MIN(5,MATCH(MAX(Reference!$A$6,MIN(Reference!$A$11,MIN(D13,180))),Reference!$A$6:$A$11,1))))/(INDEX(Reference!$A$6:$A$11,MIN(5,MATCH(MAX(Reference!$A$6,MIN(Reference!$A$11,MIN(D13,180))),Reference!$A$6:$A$11,1))+1)-INDEX(Reference!$A$6:$A$11,MIN(5,MATCH(MAX(Reference!$A$6,MIN(Reference!$A$11,MIN(D13,180))),Reference!$A$6:$A$11,1))))),0)+IF(5&lt;=AE13,(AE13-5+3)*(INDEX(Reference!$B$6:$B$11,MIN(5,MATCH(MAX(Reference!$A$6,MIN(Reference!$A$11,MIN(D13,210))),Reference!$A$6:$A$11,1)))+(MAX(Reference!$A$6,MIN(Reference!$A$11,MIN(D13,210)))-INDEX(Reference!$A$6:$A$11,MIN(5,MATCH(MAX(Reference!$A$6,MIN(Reference!$A$11,MIN(D13,210))),Reference!$A$6:$A$11,1))))*(INDEX(Reference!$B$6:$B$11,MIN(5,MATCH(MAX(Reference!$A$6,MIN(Reference!$A$11,MIN(D13,210))),Reference!$A$6:$A$11,1))+1)-INDEX(Reference!$B$6:$B$11,MIN(5,MATCH(MAX(Reference!$A$6,MIN(Reference!$A$11,MIN(D13,210))),Reference!$A$6:$A$11,1))))/(INDEX(Reference!$A$6:$A$11,MIN(5,MATCH(MAX(Reference!$A$6,MIN(Reference!$A$11,MIN(D13,210))),Reference!$A$6:$A$11,1))+1)-INDEX(Reference!$A$6:$A$11,MIN(5,MATCH(MAX(Reference!$A$6,MIN(Reference!$A$11,MIN(D13,210))),Reference!$A$6:$A$11,1))))),0)+IF(6&lt;=AE13,(AE13-6+3)*(INDEX(Reference!$B$6:$B$11,MIN(5,MATCH(MAX(Reference!$A$6,MIN(Reference!$A$11,MIN(D13,240))),Reference!$A$6:$A$11,1)))+(MAX(Reference!$A$6,MIN(Reference!$A$11,MIN(D13,240)))-INDEX(Reference!$A$6:$A$11,MIN(5,MATCH(MAX(Reference!$A$6,MIN(Reference!$A$11,MIN(D13,240))),Reference!$A$6:$A$11,1))))*(INDEX(Reference!$B$6:$B$11,MIN(5,MATCH(MAX(Reference!$A$6,MIN(Reference!$A$11,MIN(D13,240))),Reference!$A$6:$A$11,1))+1)-INDEX(Reference!$B$6:$B$11,MIN(5,MATCH(MAX(Reference!$A$6,MIN(Reference!$A$11,MIN(D13,240))),Reference!$A$6:$A$11,1))))/(INDEX(Reference!$A$6:$A$11,MIN(5,MATCH(MAX(Reference!$A$6,MIN(Reference!$A$11,MIN(D13,240))),Reference!$A$6:$A$11,1))+1)-INDEX(Reference!$A$6:$A$11,MIN(5,MATCH(MAX(Reference!$A$6,MIN(Reference!$A$11,MIN(D13,240))),Reference!$A$6:$A$11,1))))),0)+IF(7&lt;=AE13,(AE13-7+3)*(INDEX(Reference!$B$6:$B$11,MIN(5,MATCH(MAX(Reference!$A$6,MIN(Reference!$A$11,MIN(D13,270))),Reference!$A$6:$A$11,1)))+(MAX(Reference!$A$6,MIN(Reference!$A$11,MIN(D13,270)))-INDEX(Reference!$A$6:$A$11,MIN(5,MATCH(MAX(Reference!$A$6,MIN(Reference!$A$11,MIN(D13,270))),Reference!$A$6:$A$11,1))))*(INDEX(Reference!$B$6:$B$11,MIN(5,MATCH(MAX(Reference!$A$6,MIN(Reference!$A$11,MIN(D13,270))),Reference!$A$6:$A$11,1))+1)-INDEX(Reference!$B$6:$B$11,MIN(5,MATCH(MAX(Reference!$A$6,MIN(Reference!$A$11,MIN(D13,270))),Reference!$A$6:$A$11,1))))/(INDEX(Reference!$A$6:$A$11,MIN(5,MATCH(MAX(Reference!$A$6,MIN(Reference!$A$11,MIN(D13,270))),Reference!$A$6:$A$11,1))+1)-INDEX(Reference!$A$6:$A$11,MIN(5,MATCH(MAX(Reference!$A$6,MIN(Reference!$A$11,MIN(D13,270))),Reference!$A$6:$A$11,1))))),0)+IF(8&lt;=AE13,(AE13-8+3)*(INDEX(Reference!$B$6:$B$11,MIN(5,MATCH(MAX(Reference!$A$6,MIN(Reference!$A$11,MIN(D13,300))),Reference!$A$6:$A$11,1)))+(MAX(Reference!$A$6,MIN(Reference!$A$11,MIN(D13,300)))-INDEX(Reference!$A$6:$A$11,MIN(5,MATCH(MAX(Reference!$A$6,MIN(Reference!$A$11,MIN(D13,300))),Reference!$A$6:$A$11,1))))*(INDEX(Reference!$B$6:$B$11,MIN(5,MATCH(MAX(Reference!$A$6,MIN(Reference!$A$11,MIN(D13,300))),Reference!$A$6:$A$11,1))+1)-INDEX(Reference!$B$6:$B$11,MIN(5,MATCH(MAX(Reference!$A$6,MIN(Reference!$A$11,MIN(D13,300))),Reference!$A$6:$A$11,1))))/(INDEX(Reference!$A$6:$A$11,MIN(5,MATCH(MAX(Reference!$A$6,MIN(Reference!$A$11,MIN(D13,300))),Reference!$A$6:$A$11,1))+1)-INDEX(Reference!$A$6:$A$11,MIN(5,MATCH(MAX(Reference!$A$6,MIN(Reference!$A$11,MIN(D13,300))),Reference!$A$6:$A$11,1))))),0))/(AE13*(AE13+5)/2)),(INDEX(Reference!$B$6:$B$11,MIN(5,MATCH(MAX(Reference!$A$6,MIN(Reference!$A$11,D13)),Reference!$A$6:$A$11,1)))+(MAX(Reference!$A$6,MIN(Reference!$A$11,D13))-INDEX(Reference!$A$6:$A$11,MIN(5,MATCH(MAX(Reference!$A$6,MIN(Reference!$A$11,D13)),Reference!$A$6:$A$11,1))))*(INDEX(Reference!$B$6:$B$11,MIN(5,MATCH(MAX(Reference!$A$6,MIN(Reference!$A$11,D13)),Reference!$A$6:$A$11,1))+1)-INDEX(Reference!$B$6:$B$11,MIN(5,MATCH(MAX(Reference!$A$6,MIN(Reference!$A$11,D13)),Reference!$A$6:$A$11,1))))/(INDEX(Reference!$A$6:$A$11,MIN(5,MATCH(MAX(Reference!$A$6,MIN(Reference!$A$11,D13)),Reference!$A$6:$A$11,1))+1)-INDEX(Reference!$A$6:$A$11,MIN(5,MATCH(MAX(Reference!$A$6,MIN(Reference!$A$11,D13)),Reference!$A$6:$A$11,1))))))))</f>
        <v>3</v>
      </c>
      <c r="P13" s="32">
        <f>IF(N13="","",VLOOKUP(MAX(N13,0),Reference!$A$17:$B$20,2,TRUE()))</f>
        <v>2</v>
      </c>
      <c r="Q13" s="32" t="str">
        <f t="shared" si="3"/>
        <v/>
      </c>
      <c r="R13" s="31"/>
      <c r="S13" s="31"/>
      <c r="T13" s="31"/>
      <c r="U13" s="32" t="str">
        <f t="shared" si="4"/>
        <v/>
      </c>
      <c r="V13" s="32" t="str">
        <f t="shared" si="5"/>
        <v/>
      </c>
      <c r="W13" s="32" t="str">
        <f>IF(V13="","",VLOOKUP(MAX(V13,0),Reference!$A$17:$B$20,2,TRUE()))</f>
        <v/>
      </c>
      <c r="X13" s="31"/>
      <c r="Y13" s="31"/>
      <c r="Z13" s="31"/>
      <c r="AA13" s="32" t="str">
        <f t="shared" si="6"/>
        <v/>
      </c>
      <c r="AB13" s="32" t="str">
        <f t="shared" si="7"/>
        <v/>
      </c>
      <c r="AC13" s="32" t="str">
        <f>IF(AB13="","",VLOOKUP(MAX(AB13,0),Reference!$A$17:$B$20,2,TRUE()))</f>
        <v/>
      </c>
      <c r="AD13" s="31"/>
      <c r="AE13">
        <f t="shared" si="8"/>
        <v>1</v>
      </c>
      <c r="AF13" s="33">
        <f>IF(OR(A13="",B13="",AND(C13&lt;&gt;"Bullpen",C13&lt;&gt;"Game")),"",IF((COUNTIFS($B$5:$B$300,B13,$A$5:$A$300,A13-1,$C$5:$C$300,"Bullpen",$AG$5:$AG$300,"&gt;0") + COUNTIFS($B$5:$B$300,B13,$A$5:$A$300,A13-1,$C$5:$C$300,"Game",$AG$5:$AG$300,"&gt;0"))&gt;0,Reference!$B$119,IF((COUNTIFS($B$5:$B$300,B13,$A$5:$A$300,A13-2,$C$5:$C$300,"Bullpen",$AG$5:$AG$300,"&gt;0") + COUNTIFS($B$5:$B$300,B13,$A$5:$A$300,A13-2,$C$5:$C$300,"Game",$AG$5:$AG$300,"&gt;0"))&gt;0,Reference!$B$120,1)))</f>
        <v>1</v>
      </c>
      <c r="AG13" s="30" t="str">
        <f>IF(AND(OR(I13="",O13="",P13=""),OR(R13="",W13=""),OR(X13="",AC13="")),"",IF(OR(I13="",O13="",P13=""),0,I13*O13*P13)+IF(OR(R13="",W13=""),0,R13*IFERROR(INDEX(Reference!$B$61:$B$62,MATCH("Bullpen",Reference!$A$61:$A$62,0)),0)*W13)+IF(OR(X13="",AC13=""),0,X13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13))</f>
        <v/>
      </c>
    </row>
    <row r="14" spans="1:33" x14ac:dyDescent="0.3">
      <c r="A14" s="35">
        <v>46274</v>
      </c>
      <c r="B14" s="31" t="s">
        <v>142</v>
      </c>
      <c r="C14" s="31" t="s">
        <v>55</v>
      </c>
      <c r="D14" s="31">
        <v>75</v>
      </c>
      <c r="E14" s="34">
        <v>7.2916666666666699E-2</v>
      </c>
      <c r="F14" s="34">
        <v>7.9861111111111105E-2</v>
      </c>
      <c r="G14" s="30">
        <f t="shared" si="0"/>
        <v>9.9999999999999449</v>
      </c>
      <c r="H14" s="31"/>
      <c r="I14" s="32">
        <f>IF(H14&lt;&gt;"",H14,IF(G14="","",ROUND(G14*IFERROR(INDEX(Reference!$B$44:$B$50,MATCH(C14,Reference!$A$44:$A$50,0)),0),0)))</f>
        <v>55</v>
      </c>
      <c r="J14" s="31">
        <v>72</v>
      </c>
      <c r="K14" s="31">
        <v>75</v>
      </c>
      <c r="L14" s="32">
        <f t="shared" si="1"/>
        <v>73.5</v>
      </c>
      <c r="M14" s="32">
        <f>IFERROR(INDEX(Roster!$D$5:$D$40,MATCH(B14,Roster!$A$5:$A$40,0)),"")</f>
        <v>87.9</v>
      </c>
      <c r="N14" s="32">
        <f t="shared" si="2"/>
        <v>14.400000000000006</v>
      </c>
      <c r="O14" s="32">
        <f>IF(OR(C14="Bullpen",C14="Game"),IFERROR(INDEX(Reference!$B$61:$B$62,MATCH(C14,Reference!$A$61:$A$62,0)),""),IF(D14="","",IF(AE14&gt;1,((IF(1&lt;=AE14,(AE14-1+3)*(INDEX(Reference!$B$6:$B$11,MIN(5,MATCH(MAX(Reference!$A$6,MIN(Reference!$A$11,MIN(D14,90))),Reference!$A$6:$A$11,1)))+(MAX(Reference!$A$6,MIN(Reference!$A$11,MIN(D14,90)))-INDEX(Reference!$A$6:$A$11,MIN(5,MATCH(MAX(Reference!$A$6,MIN(Reference!$A$11,MIN(D14,90))),Reference!$A$6:$A$11,1))))*(INDEX(Reference!$B$6:$B$11,MIN(5,MATCH(MAX(Reference!$A$6,MIN(Reference!$A$11,MIN(D14,90))),Reference!$A$6:$A$11,1))+1)-INDEX(Reference!$B$6:$B$11,MIN(5,MATCH(MAX(Reference!$A$6,MIN(Reference!$A$11,MIN(D14,90))),Reference!$A$6:$A$11,1))))/(INDEX(Reference!$A$6:$A$11,MIN(5,MATCH(MAX(Reference!$A$6,MIN(Reference!$A$11,MIN(D14,90))),Reference!$A$6:$A$11,1))+1)-INDEX(Reference!$A$6:$A$11,MIN(5,MATCH(MAX(Reference!$A$6,MIN(Reference!$A$11,MIN(D14,90))),Reference!$A$6:$A$11,1))))),0)+IF(2&lt;=AE14,(AE14-2+3)*(INDEX(Reference!$B$6:$B$11,MIN(5,MATCH(MAX(Reference!$A$6,MIN(Reference!$A$11,MIN(D14,120))),Reference!$A$6:$A$11,1)))+(MAX(Reference!$A$6,MIN(Reference!$A$11,MIN(D14,120)))-INDEX(Reference!$A$6:$A$11,MIN(5,MATCH(MAX(Reference!$A$6,MIN(Reference!$A$11,MIN(D14,120))),Reference!$A$6:$A$11,1))))*(INDEX(Reference!$B$6:$B$11,MIN(5,MATCH(MAX(Reference!$A$6,MIN(Reference!$A$11,MIN(D14,120))),Reference!$A$6:$A$11,1))+1)-INDEX(Reference!$B$6:$B$11,MIN(5,MATCH(MAX(Reference!$A$6,MIN(Reference!$A$11,MIN(D14,120))),Reference!$A$6:$A$11,1))))/(INDEX(Reference!$A$6:$A$11,MIN(5,MATCH(MAX(Reference!$A$6,MIN(Reference!$A$11,MIN(D14,120))),Reference!$A$6:$A$11,1))+1)-INDEX(Reference!$A$6:$A$11,MIN(5,MATCH(MAX(Reference!$A$6,MIN(Reference!$A$11,MIN(D14,120))),Reference!$A$6:$A$11,1))))),0)+IF(3&lt;=AE14,(AE14-3+3)*(INDEX(Reference!$B$6:$B$11,MIN(5,MATCH(MAX(Reference!$A$6,MIN(Reference!$A$11,MIN(D14,150))),Reference!$A$6:$A$11,1)))+(MAX(Reference!$A$6,MIN(Reference!$A$11,MIN(D14,150)))-INDEX(Reference!$A$6:$A$11,MIN(5,MATCH(MAX(Reference!$A$6,MIN(Reference!$A$11,MIN(D14,150))),Reference!$A$6:$A$11,1))))*(INDEX(Reference!$B$6:$B$11,MIN(5,MATCH(MAX(Reference!$A$6,MIN(Reference!$A$11,MIN(D14,150))),Reference!$A$6:$A$11,1))+1)-INDEX(Reference!$B$6:$B$11,MIN(5,MATCH(MAX(Reference!$A$6,MIN(Reference!$A$11,MIN(D14,150))),Reference!$A$6:$A$11,1))))/(INDEX(Reference!$A$6:$A$11,MIN(5,MATCH(MAX(Reference!$A$6,MIN(Reference!$A$11,MIN(D14,150))),Reference!$A$6:$A$11,1))+1)-INDEX(Reference!$A$6:$A$11,MIN(5,MATCH(MAX(Reference!$A$6,MIN(Reference!$A$11,MIN(D14,150))),Reference!$A$6:$A$11,1))))),0)+IF(4&lt;=AE14,(AE14-4+3)*(INDEX(Reference!$B$6:$B$11,MIN(5,MATCH(MAX(Reference!$A$6,MIN(Reference!$A$11,MIN(D14,180))),Reference!$A$6:$A$11,1)))+(MAX(Reference!$A$6,MIN(Reference!$A$11,MIN(D14,180)))-INDEX(Reference!$A$6:$A$11,MIN(5,MATCH(MAX(Reference!$A$6,MIN(Reference!$A$11,MIN(D14,180))),Reference!$A$6:$A$11,1))))*(INDEX(Reference!$B$6:$B$11,MIN(5,MATCH(MAX(Reference!$A$6,MIN(Reference!$A$11,MIN(D14,180))),Reference!$A$6:$A$11,1))+1)-INDEX(Reference!$B$6:$B$11,MIN(5,MATCH(MAX(Reference!$A$6,MIN(Reference!$A$11,MIN(D14,180))),Reference!$A$6:$A$11,1))))/(INDEX(Reference!$A$6:$A$11,MIN(5,MATCH(MAX(Reference!$A$6,MIN(Reference!$A$11,MIN(D14,180))),Reference!$A$6:$A$11,1))+1)-INDEX(Reference!$A$6:$A$11,MIN(5,MATCH(MAX(Reference!$A$6,MIN(Reference!$A$11,MIN(D14,180))),Reference!$A$6:$A$11,1))))),0)+IF(5&lt;=AE14,(AE14-5+3)*(INDEX(Reference!$B$6:$B$11,MIN(5,MATCH(MAX(Reference!$A$6,MIN(Reference!$A$11,MIN(D14,210))),Reference!$A$6:$A$11,1)))+(MAX(Reference!$A$6,MIN(Reference!$A$11,MIN(D14,210)))-INDEX(Reference!$A$6:$A$11,MIN(5,MATCH(MAX(Reference!$A$6,MIN(Reference!$A$11,MIN(D14,210))),Reference!$A$6:$A$11,1))))*(INDEX(Reference!$B$6:$B$11,MIN(5,MATCH(MAX(Reference!$A$6,MIN(Reference!$A$11,MIN(D14,210))),Reference!$A$6:$A$11,1))+1)-INDEX(Reference!$B$6:$B$11,MIN(5,MATCH(MAX(Reference!$A$6,MIN(Reference!$A$11,MIN(D14,210))),Reference!$A$6:$A$11,1))))/(INDEX(Reference!$A$6:$A$11,MIN(5,MATCH(MAX(Reference!$A$6,MIN(Reference!$A$11,MIN(D14,210))),Reference!$A$6:$A$11,1))+1)-INDEX(Reference!$A$6:$A$11,MIN(5,MATCH(MAX(Reference!$A$6,MIN(Reference!$A$11,MIN(D14,210))),Reference!$A$6:$A$11,1))))),0)+IF(6&lt;=AE14,(AE14-6+3)*(INDEX(Reference!$B$6:$B$11,MIN(5,MATCH(MAX(Reference!$A$6,MIN(Reference!$A$11,MIN(D14,240))),Reference!$A$6:$A$11,1)))+(MAX(Reference!$A$6,MIN(Reference!$A$11,MIN(D14,240)))-INDEX(Reference!$A$6:$A$11,MIN(5,MATCH(MAX(Reference!$A$6,MIN(Reference!$A$11,MIN(D14,240))),Reference!$A$6:$A$11,1))))*(INDEX(Reference!$B$6:$B$11,MIN(5,MATCH(MAX(Reference!$A$6,MIN(Reference!$A$11,MIN(D14,240))),Reference!$A$6:$A$11,1))+1)-INDEX(Reference!$B$6:$B$11,MIN(5,MATCH(MAX(Reference!$A$6,MIN(Reference!$A$11,MIN(D14,240))),Reference!$A$6:$A$11,1))))/(INDEX(Reference!$A$6:$A$11,MIN(5,MATCH(MAX(Reference!$A$6,MIN(Reference!$A$11,MIN(D14,240))),Reference!$A$6:$A$11,1))+1)-INDEX(Reference!$A$6:$A$11,MIN(5,MATCH(MAX(Reference!$A$6,MIN(Reference!$A$11,MIN(D14,240))),Reference!$A$6:$A$11,1))))),0)+IF(7&lt;=AE14,(AE14-7+3)*(INDEX(Reference!$B$6:$B$11,MIN(5,MATCH(MAX(Reference!$A$6,MIN(Reference!$A$11,MIN(D14,270))),Reference!$A$6:$A$11,1)))+(MAX(Reference!$A$6,MIN(Reference!$A$11,MIN(D14,270)))-INDEX(Reference!$A$6:$A$11,MIN(5,MATCH(MAX(Reference!$A$6,MIN(Reference!$A$11,MIN(D14,270))),Reference!$A$6:$A$11,1))))*(INDEX(Reference!$B$6:$B$11,MIN(5,MATCH(MAX(Reference!$A$6,MIN(Reference!$A$11,MIN(D14,270))),Reference!$A$6:$A$11,1))+1)-INDEX(Reference!$B$6:$B$11,MIN(5,MATCH(MAX(Reference!$A$6,MIN(Reference!$A$11,MIN(D14,270))),Reference!$A$6:$A$11,1))))/(INDEX(Reference!$A$6:$A$11,MIN(5,MATCH(MAX(Reference!$A$6,MIN(Reference!$A$11,MIN(D14,270))),Reference!$A$6:$A$11,1))+1)-INDEX(Reference!$A$6:$A$11,MIN(5,MATCH(MAX(Reference!$A$6,MIN(Reference!$A$11,MIN(D14,270))),Reference!$A$6:$A$11,1))))),0)+IF(8&lt;=AE14,(AE14-8+3)*(INDEX(Reference!$B$6:$B$11,MIN(5,MATCH(MAX(Reference!$A$6,MIN(Reference!$A$11,MIN(D14,300))),Reference!$A$6:$A$11,1)))+(MAX(Reference!$A$6,MIN(Reference!$A$11,MIN(D14,300)))-INDEX(Reference!$A$6:$A$11,MIN(5,MATCH(MAX(Reference!$A$6,MIN(Reference!$A$11,MIN(D14,300))),Reference!$A$6:$A$11,1))))*(INDEX(Reference!$B$6:$B$11,MIN(5,MATCH(MAX(Reference!$A$6,MIN(Reference!$A$11,MIN(D14,300))),Reference!$A$6:$A$11,1))+1)-INDEX(Reference!$B$6:$B$11,MIN(5,MATCH(MAX(Reference!$A$6,MIN(Reference!$A$11,MIN(D14,300))),Reference!$A$6:$A$11,1))))/(INDEX(Reference!$A$6:$A$11,MIN(5,MATCH(MAX(Reference!$A$6,MIN(Reference!$A$11,MIN(D14,300))),Reference!$A$6:$A$11,1))+1)-INDEX(Reference!$A$6:$A$11,MIN(5,MATCH(MAX(Reference!$A$6,MIN(Reference!$A$11,MIN(D14,300))),Reference!$A$6:$A$11,1))))),0))/(AE14*(AE14+5)/2)),(INDEX(Reference!$B$6:$B$11,MIN(5,MATCH(MAX(Reference!$A$6,MIN(Reference!$A$11,D14)),Reference!$A$6:$A$11,1)))+(MAX(Reference!$A$6,MIN(Reference!$A$11,D14))-INDEX(Reference!$A$6:$A$11,MIN(5,MATCH(MAX(Reference!$A$6,MIN(Reference!$A$11,D14)),Reference!$A$6:$A$11,1))))*(INDEX(Reference!$B$6:$B$11,MIN(5,MATCH(MAX(Reference!$A$6,MIN(Reference!$A$11,D14)),Reference!$A$6:$A$11,1))+1)-INDEX(Reference!$B$6:$B$11,MIN(5,MATCH(MAX(Reference!$A$6,MIN(Reference!$A$11,D14)),Reference!$A$6:$A$11,1))))/(INDEX(Reference!$A$6:$A$11,MIN(5,MATCH(MAX(Reference!$A$6,MIN(Reference!$A$11,D14)),Reference!$A$6:$A$11,1))+1)-INDEX(Reference!$A$6:$A$11,MIN(5,MATCH(MAX(Reference!$A$6,MIN(Reference!$A$11,D14)),Reference!$A$6:$A$11,1))))))))</f>
        <v>1.1499999999999999</v>
      </c>
      <c r="P14" s="32">
        <f>IF(N14="","",VLOOKUP(MAX(N14,0),Reference!$A$17:$B$20,2,TRUE()))</f>
        <v>0.6</v>
      </c>
      <c r="Q14" s="32">
        <f t="shared" si="3"/>
        <v>37.949999999999996</v>
      </c>
      <c r="R14" s="31"/>
      <c r="S14" s="31"/>
      <c r="T14" s="31"/>
      <c r="U14" s="32" t="str">
        <f t="shared" si="4"/>
        <v/>
      </c>
      <c r="V14" s="32" t="str">
        <f t="shared" si="5"/>
        <v/>
      </c>
      <c r="W14" s="32" t="str">
        <f>IF(V14="","",VLOOKUP(MAX(V14,0),Reference!$A$17:$B$20,2,TRUE()))</f>
        <v/>
      </c>
      <c r="X14" s="31"/>
      <c r="Y14" s="31"/>
      <c r="Z14" s="31"/>
      <c r="AA14" s="32" t="str">
        <f t="shared" si="6"/>
        <v/>
      </c>
      <c r="AB14" s="32" t="str">
        <f t="shared" si="7"/>
        <v/>
      </c>
      <c r="AC14" s="32" t="str">
        <f>IF(AB14="","",VLOOKUP(MAX(AB14,0),Reference!$A$17:$B$20,2,TRUE()))</f>
        <v/>
      </c>
      <c r="AD14" s="31"/>
      <c r="AE14">
        <f t="shared" si="8"/>
        <v>1</v>
      </c>
      <c r="AF14" s="33" t="str">
        <f>IF(OR(A14="",B14="",AND(C14&lt;&gt;"Bullpen",C14&lt;&gt;"Game")),"",IF((COUNTIFS($B$5:$B$300,B14,$A$5:$A$300,A14-1,$C$5:$C$300,"Bullpen",$AG$5:$AG$300,"&gt;0") + COUNTIFS($B$5:$B$300,B14,$A$5:$A$300,A14-1,$C$5:$C$300,"Game",$AG$5:$AG$300,"&gt;0"))&gt;0,Reference!$B$119,IF((COUNTIFS($B$5:$B$300,B14,$A$5:$A$300,A14-2,$C$5:$C$300,"Bullpen",$AG$5:$AG$300,"&gt;0") + COUNTIFS($B$5:$B$300,B14,$A$5:$A$300,A14-2,$C$5:$C$300,"Game",$AG$5:$AG$300,"&gt;0"))&gt;0,Reference!$B$120,1)))</f>
        <v/>
      </c>
      <c r="AG14" s="30">
        <f>IF(AND(OR(I14="",O14="",P14=""),OR(R14="",W14=""),OR(X14="",AC14="")),"",IF(OR(I14="",O14="",P14=""),0,I14*O14*P14)+IF(OR(R14="",W14=""),0,R14*IFERROR(INDEX(Reference!$B$61:$B$62,MATCH("Bullpen",Reference!$A$61:$A$62,0)),0)*W14)+IF(OR(X14="",AC14=""),0,X14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14))</f>
        <v>37.949999999999996</v>
      </c>
    </row>
    <row r="15" spans="1:33" x14ac:dyDescent="0.3">
      <c r="A15" s="35">
        <v>46275</v>
      </c>
      <c r="B15" s="31" t="s">
        <v>142</v>
      </c>
      <c r="C15" s="31" t="s">
        <v>53</v>
      </c>
      <c r="D15" s="31">
        <v>90</v>
      </c>
      <c r="E15" s="34">
        <v>7.2916666666666699E-2</v>
      </c>
      <c r="F15" s="34">
        <v>8.6805555555555594E-2</v>
      </c>
      <c r="G15" s="30">
        <f t="shared" si="0"/>
        <v>20.000000000000007</v>
      </c>
      <c r="H15" s="31"/>
      <c r="I15" s="32">
        <f>IF(H15&lt;&gt;"",H15,IF(G15="","",ROUND(G15*IFERROR(INDEX(Reference!$B$44:$B$50,MATCH(C15,Reference!$A$44:$A$50,0)),0),0)))</f>
        <v>80</v>
      </c>
      <c r="J15" s="31">
        <v>75</v>
      </c>
      <c r="K15" s="31">
        <v>81</v>
      </c>
      <c r="L15" s="32">
        <f t="shared" si="1"/>
        <v>78</v>
      </c>
      <c r="M15" s="32">
        <f>IFERROR(INDEX(Roster!$D$5:$D$40,MATCH(B15,Roster!$A$5:$A$40,0)),"")</f>
        <v>87.9</v>
      </c>
      <c r="N15" s="32">
        <f t="shared" si="2"/>
        <v>9.9000000000000057</v>
      </c>
      <c r="O15" s="32">
        <f>IF(OR(C15="Bullpen",C15="Game"),IFERROR(INDEX(Reference!$B$61:$B$62,MATCH(C15,Reference!$A$61:$A$62,0)),""),IF(D15="","",IF(AE15&gt;1,((IF(1&lt;=AE15,(AE15-1+3)*(INDEX(Reference!$B$6:$B$11,MIN(5,MATCH(MAX(Reference!$A$6,MIN(Reference!$A$11,MIN(D15,90))),Reference!$A$6:$A$11,1)))+(MAX(Reference!$A$6,MIN(Reference!$A$11,MIN(D15,90)))-INDEX(Reference!$A$6:$A$11,MIN(5,MATCH(MAX(Reference!$A$6,MIN(Reference!$A$11,MIN(D15,90))),Reference!$A$6:$A$11,1))))*(INDEX(Reference!$B$6:$B$11,MIN(5,MATCH(MAX(Reference!$A$6,MIN(Reference!$A$11,MIN(D15,90))),Reference!$A$6:$A$11,1))+1)-INDEX(Reference!$B$6:$B$11,MIN(5,MATCH(MAX(Reference!$A$6,MIN(Reference!$A$11,MIN(D15,90))),Reference!$A$6:$A$11,1))))/(INDEX(Reference!$A$6:$A$11,MIN(5,MATCH(MAX(Reference!$A$6,MIN(Reference!$A$11,MIN(D15,90))),Reference!$A$6:$A$11,1))+1)-INDEX(Reference!$A$6:$A$11,MIN(5,MATCH(MAX(Reference!$A$6,MIN(Reference!$A$11,MIN(D15,90))),Reference!$A$6:$A$11,1))))),0)+IF(2&lt;=AE15,(AE15-2+3)*(INDEX(Reference!$B$6:$B$11,MIN(5,MATCH(MAX(Reference!$A$6,MIN(Reference!$A$11,MIN(D15,120))),Reference!$A$6:$A$11,1)))+(MAX(Reference!$A$6,MIN(Reference!$A$11,MIN(D15,120)))-INDEX(Reference!$A$6:$A$11,MIN(5,MATCH(MAX(Reference!$A$6,MIN(Reference!$A$11,MIN(D15,120))),Reference!$A$6:$A$11,1))))*(INDEX(Reference!$B$6:$B$11,MIN(5,MATCH(MAX(Reference!$A$6,MIN(Reference!$A$11,MIN(D15,120))),Reference!$A$6:$A$11,1))+1)-INDEX(Reference!$B$6:$B$11,MIN(5,MATCH(MAX(Reference!$A$6,MIN(Reference!$A$11,MIN(D15,120))),Reference!$A$6:$A$11,1))))/(INDEX(Reference!$A$6:$A$11,MIN(5,MATCH(MAX(Reference!$A$6,MIN(Reference!$A$11,MIN(D15,120))),Reference!$A$6:$A$11,1))+1)-INDEX(Reference!$A$6:$A$11,MIN(5,MATCH(MAX(Reference!$A$6,MIN(Reference!$A$11,MIN(D15,120))),Reference!$A$6:$A$11,1))))),0)+IF(3&lt;=AE15,(AE15-3+3)*(INDEX(Reference!$B$6:$B$11,MIN(5,MATCH(MAX(Reference!$A$6,MIN(Reference!$A$11,MIN(D15,150))),Reference!$A$6:$A$11,1)))+(MAX(Reference!$A$6,MIN(Reference!$A$11,MIN(D15,150)))-INDEX(Reference!$A$6:$A$11,MIN(5,MATCH(MAX(Reference!$A$6,MIN(Reference!$A$11,MIN(D15,150))),Reference!$A$6:$A$11,1))))*(INDEX(Reference!$B$6:$B$11,MIN(5,MATCH(MAX(Reference!$A$6,MIN(Reference!$A$11,MIN(D15,150))),Reference!$A$6:$A$11,1))+1)-INDEX(Reference!$B$6:$B$11,MIN(5,MATCH(MAX(Reference!$A$6,MIN(Reference!$A$11,MIN(D15,150))),Reference!$A$6:$A$11,1))))/(INDEX(Reference!$A$6:$A$11,MIN(5,MATCH(MAX(Reference!$A$6,MIN(Reference!$A$11,MIN(D15,150))),Reference!$A$6:$A$11,1))+1)-INDEX(Reference!$A$6:$A$11,MIN(5,MATCH(MAX(Reference!$A$6,MIN(Reference!$A$11,MIN(D15,150))),Reference!$A$6:$A$11,1))))),0)+IF(4&lt;=AE15,(AE15-4+3)*(INDEX(Reference!$B$6:$B$11,MIN(5,MATCH(MAX(Reference!$A$6,MIN(Reference!$A$11,MIN(D15,180))),Reference!$A$6:$A$11,1)))+(MAX(Reference!$A$6,MIN(Reference!$A$11,MIN(D15,180)))-INDEX(Reference!$A$6:$A$11,MIN(5,MATCH(MAX(Reference!$A$6,MIN(Reference!$A$11,MIN(D15,180))),Reference!$A$6:$A$11,1))))*(INDEX(Reference!$B$6:$B$11,MIN(5,MATCH(MAX(Reference!$A$6,MIN(Reference!$A$11,MIN(D15,180))),Reference!$A$6:$A$11,1))+1)-INDEX(Reference!$B$6:$B$11,MIN(5,MATCH(MAX(Reference!$A$6,MIN(Reference!$A$11,MIN(D15,180))),Reference!$A$6:$A$11,1))))/(INDEX(Reference!$A$6:$A$11,MIN(5,MATCH(MAX(Reference!$A$6,MIN(Reference!$A$11,MIN(D15,180))),Reference!$A$6:$A$11,1))+1)-INDEX(Reference!$A$6:$A$11,MIN(5,MATCH(MAX(Reference!$A$6,MIN(Reference!$A$11,MIN(D15,180))),Reference!$A$6:$A$11,1))))),0)+IF(5&lt;=AE15,(AE15-5+3)*(INDEX(Reference!$B$6:$B$11,MIN(5,MATCH(MAX(Reference!$A$6,MIN(Reference!$A$11,MIN(D15,210))),Reference!$A$6:$A$11,1)))+(MAX(Reference!$A$6,MIN(Reference!$A$11,MIN(D15,210)))-INDEX(Reference!$A$6:$A$11,MIN(5,MATCH(MAX(Reference!$A$6,MIN(Reference!$A$11,MIN(D15,210))),Reference!$A$6:$A$11,1))))*(INDEX(Reference!$B$6:$B$11,MIN(5,MATCH(MAX(Reference!$A$6,MIN(Reference!$A$11,MIN(D15,210))),Reference!$A$6:$A$11,1))+1)-INDEX(Reference!$B$6:$B$11,MIN(5,MATCH(MAX(Reference!$A$6,MIN(Reference!$A$11,MIN(D15,210))),Reference!$A$6:$A$11,1))))/(INDEX(Reference!$A$6:$A$11,MIN(5,MATCH(MAX(Reference!$A$6,MIN(Reference!$A$11,MIN(D15,210))),Reference!$A$6:$A$11,1))+1)-INDEX(Reference!$A$6:$A$11,MIN(5,MATCH(MAX(Reference!$A$6,MIN(Reference!$A$11,MIN(D15,210))),Reference!$A$6:$A$11,1))))),0)+IF(6&lt;=AE15,(AE15-6+3)*(INDEX(Reference!$B$6:$B$11,MIN(5,MATCH(MAX(Reference!$A$6,MIN(Reference!$A$11,MIN(D15,240))),Reference!$A$6:$A$11,1)))+(MAX(Reference!$A$6,MIN(Reference!$A$11,MIN(D15,240)))-INDEX(Reference!$A$6:$A$11,MIN(5,MATCH(MAX(Reference!$A$6,MIN(Reference!$A$11,MIN(D15,240))),Reference!$A$6:$A$11,1))))*(INDEX(Reference!$B$6:$B$11,MIN(5,MATCH(MAX(Reference!$A$6,MIN(Reference!$A$11,MIN(D15,240))),Reference!$A$6:$A$11,1))+1)-INDEX(Reference!$B$6:$B$11,MIN(5,MATCH(MAX(Reference!$A$6,MIN(Reference!$A$11,MIN(D15,240))),Reference!$A$6:$A$11,1))))/(INDEX(Reference!$A$6:$A$11,MIN(5,MATCH(MAX(Reference!$A$6,MIN(Reference!$A$11,MIN(D15,240))),Reference!$A$6:$A$11,1))+1)-INDEX(Reference!$A$6:$A$11,MIN(5,MATCH(MAX(Reference!$A$6,MIN(Reference!$A$11,MIN(D15,240))),Reference!$A$6:$A$11,1))))),0)+IF(7&lt;=AE15,(AE15-7+3)*(INDEX(Reference!$B$6:$B$11,MIN(5,MATCH(MAX(Reference!$A$6,MIN(Reference!$A$11,MIN(D15,270))),Reference!$A$6:$A$11,1)))+(MAX(Reference!$A$6,MIN(Reference!$A$11,MIN(D15,270)))-INDEX(Reference!$A$6:$A$11,MIN(5,MATCH(MAX(Reference!$A$6,MIN(Reference!$A$11,MIN(D15,270))),Reference!$A$6:$A$11,1))))*(INDEX(Reference!$B$6:$B$11,MIN(5,MATCH(MAX(Reference!$A$6,MIN(Reference!$A$11,MIN(D15,270))),Reference!$A$6:$A$11,1))+1)-INDEX(Reference!$B$6:$B$11,MIN(5,MATCH(MAX(Reference!$A$6,MIN(Reference!$A$11,MIN(D15,270))),Reference!$A$6:$A$11,1))))/(INDEX(Reference!$A$6:$A$11,MIN(5,MATCH(MAX(Reference!$A$6,MIN(Reference!$A$11,MIN(D15,270))),Reference!$A$6:$A$11,1))+1)-INDEX(Reference!$A$6:$A$11,MIN(5,MATCH(MAX(Reference!$A$6,MIN(Reference!$A$11,MIN(D15,270))),Reference!$A$6:$A$11,1))))),0)+IF(8&lt;=AE15,(AE15-8+3)*(INDEX(Reference!$B$6:$B$11,MIN(5,MATCH(MAX(Reference!$A$6,MIN(Reference!$A$11,MIN(D15,300))),Reference!$A$6:$A$11,1)))+(MAX(Reference!$A$6,MIN(Reference!$A$11,MIN(D15,300)))-INDEX(Reference!$A$6:$A$11,MIN(5,MATCH(MAX(Reference!$A$6,MIN(Reference!$A$11,MIN(D15,300))),Reference!$A$6:$A$11,1))))*(INDEX(Reference!$B$6:$B$11,MIN(5,MATCH(MAX(Reference!$A$6,MIN(Reference!$A$11,MIN(D15,300))),Reference!$A$6:$A$11,1))+1)-INDEX(Reference!$B$6:$B$11,MIN(5,MATCH(MAX(Reference!$A$6,MIN(Reference!$A$11,MIN(D15,300))),Reference!$A$6:$A$11,1))))/(INDEX(Reference!$A$6:$A$11,MIN(5,MATCH(MAX(Reference!$A$6,MIN(Reference!$A$11,MIN(D15,300))),Reference!$A$6:$A$11,1))+1)-INDEX(Reference!$A$6:$A$11,MIN(5,MATCH(MAX(Reference!$A$6,MIN(Reference!$A$11,MIN(D15,300))),Reference!$A$6:$A$11,1))))),0))/(AE15*(AE15+5)/2)),(INDEX(Reference!$B$6:$B$11,MIN(5,MATCH(MAX(Reference!$A$6,MIN(Reference!$A$11,D15)),Reference!$A$6:$A$11,1)))+(MAX(Reference!$A$6,MIN(Reference!$A$11,D15))-INDEX(Reference!$A$6:$A$11,MIN(5,MATCH(MAX(Reference!$A$6,MIN(Reference!$A$11,D15)),Reference!$A$6:$A$11,1))))*(INDEX(Reference!$B$6:$B$11,MIN(5,MATCH(MAX(Reference!$A$6,MIN(Reference!$A$11,D15)),Reference!$A$6:$A$11,1))+1)-INDEX(Reference!$B$6:$B$11,MIN(5,MATCH(MAX(Reference!$A$6,MIN(Reference!$A$11,D15)),Reference!$A$6:$A$11,1))))/(INDEX(Reference!$A$6:$A$11,MIN(5,MATCH(MAX(Reference!$A$6,MIN(Reference!$A$11,D15)),Reference!$A$6:$A$11,1))+1)-INDEX(Reference!$A$6:$A$11,MIN(5,MATCH(MAX(Reference!$A$6,MIN(Reference!$A$11,D15)),Reference!$A$6:$A$11,1))))))))</f>
        <v>1.3</v>
      </c>
      <c r="P15" s="32">
        <f>IF(N15="","",VLOOKUP(MAX(N15,0),Reference!$A$17:$B$20,2,TRUE()))</f>
        <v>1</v>
      </c>
      <c r="Q15" s="32">
        <f t="shared" si="3"/>
        <v>104</v>
      </c>
      <c r="R15" s="31"/>
      <c r="S15" s="31"/>
      <c r="T15" s="31"/>
      <c r="U15" s="32" t="str">
        <f t="shared" si="4"/>
        <v/>
      </c>
      <c r="V15" s="32" t="str">
        <f t="shared" si="5"/>
        <v/>
      </c>
      <c r="W15" s="32" t="str">
        <f>IF(V15="","",VLOOKUP(MAX(V15,0),Reference!$A$17:$B$20,2,TRUE()))</f>
        <v/>
      </c>
      <c r="X15" s="31"/>
      <c r="Y15" s="31"/>
      <c r="Z15" s="31"/>
      <c r="AA15" s="32" t="str">
        <f t="shared" si="6"/>
        <v/>
      </c>
      <c r="AB15" s="32" t="str">
        <f t="shared" si="7"/>
        <v/>
      </c>
      <c r="AC15" s="32" t="str">
        <f>IF(AB15="","",VLOOKUP(MAX(AB15,0),Reference!$A$17:$B$20,2,TRUE()))</f>
        <v/>
      </c>
      <c r="AD15" s="31"/>
      <c r="AE15">
        <f t="shared" si="8"/>
        <v>1</v>
      </c>
      <c r="AF15" s="33" t="str">
        <f>IF(OR(A15="",B15="",AND(C15&lt;&gt;"Bullpen",C15&lt;&gt;"Game")),"",IF((COUNTIFS($B$5:$B$300,B15,$A$5:$A$300,A15-1,$C$5:$C$300,"Bullpen",$AG$5:$AG$300,"&gt;0") + COUNTIFS($B$5:$B$300,B15,$A$5:$A$300,A15-1,$C$5:$C$300,"Game",$AG$5:$AG$300,"&gt;0"))&gt;0,Reference!$B$119,IF((COUNTIFS($B$5:$B$300,B15,$A$5:$A$300,A15-2,$C$5:$C$300,"Bullpen",$AG$5:$AG$300,"&gt;0") + COUNTIFS($B$5:$B$300,B15,$A$5:$A$300,A15-2,$C$5:$C$300,"Game",$AG$5:$AG$300,"&gt;0"))&gt;0,Reference!$B$120,1)))</f>
        <v/>
      </c>
      <c r="AG15" s="30">
        <f>IF(AND(OR(I15="",O15="",P15=""),OR(R15="",W15=""),OR(X15="",AC15="")),"",IF(OR(I15="",O15="",P15=""),0,I15*O15*P15)+IF(OR(R15="",W15=""),0,R15*IFERROR(INDEX(Reference!$B$61:$B$62,MATCH("Bullpen",Reference!$A$61:$A$62,0)),0)*W15)+IF(OR(X15="",AC15=""),0,X15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15))</f>
        <v>104</v>
      </c>
    </row>
    <row r="16" spans="1:33" x14ac:dyDescent="0.3">
      <c r="A16" s="35">
        <v>46276</v>
      </c>
      <c r="B16" s="31" t="s">
        <v>142</v>
      </c>
      <c r="C16" s="31" t="s">
        <v>53</v>
      </c>
      <c r="D16" s="31">
        <v>120</v>
      </c>
      <c r="E16" s="34">
        <v>7.2916666666666699E-2</v>
      </c>
      <c r="F16" s="34">
        <v>8.6805555555555594E-2</v>
      </c>
      <c r="G16" s="30">
        <f t="shared" si="0"/>
        <v>20.000000000000007</v>
      </c>
      <c r="H16" s="31"/>
      <c r="I16" s="32">
        <f>IF(H16&lt;&gt;"",H16,IF(G16="","",ROUND(G16*IFERROR(INDEX(Reference!$B$44:$B$50,MATCH(C16,Reference!$A$44:$A$50,0)),0),0)))</f>
        <v>80</v>
      </c>
      <c r="J16" s="31">
        <v>75</v>
      </c>
      <c r="K16" s="31">
        <v>84</v>
      </c>
      <c r="L16" s="32">
        <f t="shared" si="1"/>
        <v>79.5</v>
      </c>
      <c r="M16" s="32">
        <f>IFERROR(INDEX(Roster!$D$5:$D$40,MATCH(B16,Roster!$A$5:$A$40,0)),"")</f>
        <v>87.9</v>
      </c>
      <c r="N16" s="32">
        <f t="shared" si="2"/>
        <v>8.4000000000000057</v>
      </c>
      <c r="O16" s="32">
        <f>IF(OR(C16="Bullpen",C16="Game"),IFERROR(INDEX(Reference!$B$61:$B$62,MATCH(C16,Reference!$A$61:$A$62,0)),""),IF(D16="","",IF(AE16&gt;1,((IF(1&lt;=AE16,(AE16-1+3)*(INDEX(Reference!$B$6:$B$11,MIN(5,MATCH(MAX(Reference!$A$6,MIN(Reference!$A$11,MIN(D16,90))),Reference!$A$6:$A$11,1)))+(MAX(Reference!$A$6,MIN(Reference!$A$11,MIN(D16,90)))-INDEX(Reference!$A$6:$A$11,MIN(5,MATCH(MAX(Reference!$A$6,MIN(Reference!$A$11,MIN(D16,90))),Reference!$A$6:$A$11,1))))*(INDEX(Reference!$B$6:$B$11,MIN(5,MATCH(MAX(Reference!$A$6,MIN(Reference!$A$11,MIN(D16,90))),Reference!$A$6:$A$11,1))+1)-INDEX(Reference!$B$6:$B$11,MIN(5,MATCH(MAX(Reference!$A$6,MIN(Reference!$A$11,MIN(D16,90))),Reference!$A$6:$A$11,1))))/(INDEX(Reference!$A$6:$A$11,MIN(5,MATCH(MAX(Reference!$A$6,MIN(Reference!$A$11,MIN(D16,90))),Reference!$A$6:$A$11,1))+1)-INDEX(Reference!$A$6:$A$11,MIN(5,MATCH(MAX(Reference!$A$6,MIN(Reference!$A$11,MIN(D16,90))),Reference!$A$6:$A$11,1))))),0)+IF(2&lt;=AE16,(AE16-2+3)*(INDEX(Reference!$B$6:$B$11,MIN(5,MATCH(MAX(Reference!$A$6,MIN(Reference!$A$11,MIN(D16,120))),Reference!$A$6:$A$11,1)))+(MAX(Reference!$A$6,MIN(Reference!$A$11,MIN(D16,120)))-INDEX(Reference!$A$6:$A$11,MIN(5,MATCH(MAX(Reference!$A$6,MIN(Reference!$A$11,MIN(D16,120))),Reference!$A$6:$A$11,1))))*(INDEX(Reference!$B$6:$B$11,MIN(5,MATCH(MAX(Reference!$A$6,MIN(Reference!$A$11,MIN(D16,120))),Reference!$A$6:$A$11,1))+1)-INDEX(Reference!$B$6:$B$11,MIN(5,MATCH(MAX(Reference!$A$6,MIN(Reference!$A$11,MIN(D16,120))),Reference!$A$6:$A$11,1))))/(INDEX(Reference!$A$6:$A$11,MIN(5,MATCH(MAX(Reference!$A$6,MIN(Reference!$A$11,MIN(D16,120))),Reference!$A$6:$A$11,1))+1)-INDEX(Reference!$A$6:$A$11,MIN(5,MATCH(MAX(Reference!$A$6,MIN(Reference!$A$11,MIN(D16,120))),Reference!$A$6:$A$11,1))))),0)+IF(3&lt;=AE16,(AE16-3+3)*(INDEX(Reference!$B$6:$B$11,MIN(5,MATCH(MAX(Reference!$A$6,MIN(Reference!$A$11,MIN(D16,150))),Reference!$A$6:$A$11,1)))+(MAX(Reference!$A$6,MIN(Reference!$A$11,MIN(D16,150)))-INDEX(Reference!$A$6:$A$11,MIN(5,MATCH(MAX(Reference!$A$6,MIN(Reference!$A$11,MIN(D16,150))),Reference!$A$6:$A$11,1))))*(INDEX(Reference!$B$6:$B$11,MIN(5,MATCH(MAX(Reference!$A$6,MIN(Reference!$A$11,MIN(D16,150))),Reference!$A$6:$A$11,1))+1)-INDEX(Reference!$B$6:$B$11,MIN(5,MATCH(MAX(Reference!$A$6,MIN(Reference!$A$11,MIN(D16,150))),Reference!$A$6:$A$11,1))))/(INDEX(Reference!$A$6:$A$11,MIN(5,MATCH(MAX(Reference!$A$6,MIN(Reference!$A$11,MIN(D16,150))),Reference!$A$6:$A$11,1))+1)-INDEX(Reference!$A$6:$A$11,MIN(5,MATCH(MAX(Reference!$A$6,MIN(Reference!$A$11,MIN(D16,150))),Reference!$A$6:$A$11,1))))),0)+IF(4&lt;=AE16,(AE16-4+3)*(INDEX(Reference!$B$6:$B$11,MIN(5,MATCH(MAX(Reference!$A$6,MIN(Reference!$A$11,MIN(D16,180))),Reference!$A$6:$A$11,1)))+(MAX(Reference!$A$6,MIN(Reference!$A$11,MIN(D16,180)))-INDEX(Reference!$A$6:$A$11,MIN(5,MATCH(MAX(Reference!$A$6,MIN(Reference!$A$11,MIN(D16,180))),Reference!$A$6:$A$11,1))))*(INDEX(Reference!$B$6:$B$11,MIN(5,MATCH(MAX(Reference!$A$6,MIN(Reference!$A$11,MIN(D16,180))),Reference!$A$6:$A$11,1))+1)-INDEX(Reference!$B$6:$B$11,MIN(5,MATCH(MAX(Reference!$A$6,MIN(Reference!$A$11,MIN(D16,180))),Reference!$A$6:$A$11,1))))/(INDEX(Reference!$A$6:$A$11,MIN(5,MATCH(MAX(Reference!$A$6,MIN(Reference!$A$11,MIN(D16,180))),Reference!$A$6:$A$11,1))+1)-INDEX(Reference!$A$6:$A$11,MIN(5,MATCH(MAX(Reference!$A$6,MIN(Reference!$A$11,MIN(D16,180))),Reference!$A$6:$A$11,1))))),0)+IF(5&lt;=AE16,(AE16-5+3)*(INDEX(Reference!$B$6:$B$11,MIN(5,MATCH(MAX(Reference!$A$6,MIN(Reference!$A$11,MIN(D16,210))),Reference!$A$6:$A$11,1)))+(MAX(Reference!$A$6,MIN(Reference!$A$11,MIN(D16,210)))-INDEX(Reference!$A$6:$A$11,MIN(5,MATCH(MAX(Reference!$A$6,MIN(Reference!$A$11,MIN(D16,210))),Reference!$A$6:$A$11,1))))*(INDEX(Reference!$B$6:$B$11,MIN(5,MATCH(MAX(Reference!$A$6,MIN(Reference!$A$11,MIN(D16,210))),Reference!$A$6:$A$11,1))+1)-INDEX(Reference!$B$6:$B$11,MIN(5,MATCH(MAX(Reference!$A$6,MIN(Reference!$A$11,MIN(D16,210))),Reference!$A$6:$A$11,1))))/(INDEX(Reference!$A$6:$A$11,MIN(5,MATCH(MAX(Reference!$A$6,MIN(Reference!$A$11,MIN(D16,210))),Reference!$A$6:$A$11,1))+1)-INDEX(Reference!$A$6:$A$11,MIN(5,MATCH(MAX(Reference!$A$6,MIN(Reference!$A$11,MIN(D16,210))),Reference!$A$6:$A$11,1))))),0)+IF(6&lt;=AE16,(AE16-6+3)*(INDEX(Reference!$B$6:$B$11,MIN(5,MATCH(MAX(Reference!$A$6,MIN(Reference!$A$11,MIN(D16,240))),Reference!$A$6:$A$11,1)))+(MAX(Reference!$A$6,MIN(Reference!$A$11,MIN(D16,240)))-INDEX(Reference!$A$6:$A$11,MIN(5,MATCH(MAX(Reference!$A$6,MIN(Reference!$A$11,MIN(D16,240))),Reference!$A$6:$A$11,1))))*(INDEX(Reference!$B$6:$B$11,MIN(5,MATCH(MAX(Reference!$A$6,MIN(Reference!$A$11,MIN(D16,240))),Reference!$A$6:$A$11,1))+1)-INDEX(Reference!$B$6:$B$11,MIN(5,MATCH(MAX(Reference!$A$6,MIN(Reference!$A$11,MIN(D16,240))),Reference!$A$6:$A$11,1))))/(INDEX(Reference!$A$6:$A$11,MIN(5,MATCH(MAX(Reference!$A$6,MIN(Reference!$A$11,MIN(D16,240))),Reference!$A$6:$A$11,1))+1)-INDEX(Reference!$A$6:$A$11,MIN(5,MATCH(MAX(Reference!$A$6,MIN(Reference!$A$11,MIN(D16,240))),Reference!$A$6:$A$11,1))))),0)+IF(7&lt;=AE16,(AE16-7+3)*(INDEX(Reference!$B$6:$B$11,MIN(5,MATCH(MAX(Reference!$A$6,MIN(Reference!$A$11,MIN(D16,270))),Reference!$A$6:$A$11,1)))+(MAX(Reference!$A$6,MIN(Reference!$A$11,MIN(D16,270)))-INDEX(Reference!$A$6:$A$11,MIN(5,MATCH(MAX(Reference!$A$6,MIN(Reference!$A$11,MIN(D16,270))),Reference!$A$6:$A$11,1))))*(INDEX(Reference!$B$6:$B$11,MIN(5,MATCH(MAX(Reference!$A$6,MIN(Reference!$A$11,MIN(D16,270))),Reference!$A$6:$A$11,1))+1)-INDEX(Reference!$B$6:$B$11,MIN(5,MATCH(MAX(Reference!$A$6,MIN(Reference!$A$11,MIN(D16,270))),Reference!$A$6:$A$11,1))))/(INDEX(Reference!$A$6:$A$11,MIN(5,MATCH(MAX(Reference!$A$6,MIN(Reference!$A$11,MIN(D16,270))),Reference!$A$6:$A$11,1))+1)-INDEX(Reference!$A$6:$A$11,MIN(5,MATCH(MAX(Reference!$A$6,MIN(Reference!$A$11,MIN(D16,270))),Reference!$A$6:$A$11,1))))),0)+IF(8&lt;=AE16,(AE16-8+3)*(INDEX(Reference!$B$6:$B$11,MIN(5,MATCH(MAX(Reference!$A$6,MIN(Reference!$A$11,MIN(D16,300))),Reference!$A$6:$A$11,1)))+(MAX(Reference!$A$6,MIN(Reference!$A$11,MIN(D16,300)))-INDEX(Reference!$A$6:$A$11,MIN(5,MATCH(MAX(Reference!$A$6,MIN(Reference!$A$11,MIN(D16,300))),Reference!$A$6:$A$11,1))))*(INDEX(Reference!$B$6:$B$11,MIN(5,MATCH(MAX(Reference!$A$6,MIN(Reference!$A$11,MIN(D16,300))),Reference!$A$6:$A$11,1))+1)-INDEX(Reference!$B$6:$B$11,MIN(5,MATCH(MAX(Reference!$A$6,MIN(Reference!$A$11,MIN(D16,300))),Reference!$A$6:$A$11,1))))/(INDEX(Reference!$A$6:$A$11,MIN(5,MATCH(MAX(Reference!$A$6,MIN(Reference!$A$11,MIN(D16,300))),Reference!$A$6:$A$11,1))+1)-INDEX(Reference!$A$6:$A$11,MIN(5,MATCH(MAX(Reference!$A$6,MIN(Reference!$A$11,MIN(D16,300))),Reference!$A$6:$A$11,1))))),0))/(AE16*(AE16+5)/2)),(INDEX(Reference!$B$6:$B$11,MIN(5,MATCH(MAX(Reference!$A$6,MIN(Reference!$A$11,D16)),Reference!$A$6:$A$11,1)))+(MAX(Reference!$A$6,MIN(Reference!$A$11,D16))-INDEX(Reference!$A$6:$A$11,MIN(5,MATCH(MAX(Reference!$A$6,MIN(Reference!$A$11,D16)),Reference!$A$6:$A$11,1))))*(INDEX(Reference!$B$6:$B$11,MIN(5,MATCH(MAX(Reference!$A$6,MIN(Reference!$A$11,D16)),Reference!$A$6:$A$11,1))+1)-INDEX(Reference!$B$6:$B$11,MIN(5,MATCH(MAX(Reference!$A$6,MIN(Reference!$A$11,D16)),Reference!$A$6:$A$11,1))))/(INDEX(Reference!$A$6:$A$11,MIN(5,MATCH(MAX(Reference!$A$6,MIN(Reference!$A$11,D16)),Reference!$A$6:$A$11,1))+1)-INDEX(Reference!$A$6:$A$11,MIN(5,MATCH(MAX(Reference!$A$6,MIN(Reference!$A$11,D16)),Reference!$A$6:$A$11,1))))))))</f>
        <v>1.7</v>
      </c>
      <c r="P16" s="32">
        <f>IF(N16="","",VLOOKUP(MAX(N16,0),Reference!$A$17:$B$20,2,TRUE()))</f>
        <v>1</v>
      </c>
      <c r="Q16" s="32">
        <f t="shared" si="3"/>
        <v>136</v>
      </c>
      <c r="R16" s="31"/>
      <c r="S16" s="31"/>
      <c r="T16" s="31"/>
      <c r="U16" s="32" t="str">
        <f t="shared" si="4"/>
        <v/>
      </c>
      <c r="V16" s="32" t="str">
        <f t="shared" si="5"/>
        <v/>
      </c>
      <c r="W16" s="32" t="str">
        <f>IF(V16="","",VLOOKUP(MAX(V16,0),Reference!$A$17:$B$20,2,TRUE()))</f>
        <v/>
      </c>
      <c r="X16" s="31"/>
      <c r="Y16" s="31"/>
      <c r="Z16" s="31"/>
      <c r="AA16" s="32" t="str">
        <f t="shared" si="6"/>
        <v/>
      </c>
      <c r="AB16" s="32" t="str">
        <f t="shared" si="7"/>
        <v/>
      </c>
      <c r="AC16" s="32" t="str">
        <f>IF(AB16="","",VLOOKUP(MAX(AB16,0),Reference!$A$17:$B$20,2,TRUE()))</f>
        <v/>
      </c>
      <c r="AD16" s="31"/>
      <c r="AE16">
        <f t="shared" si="8"/>
        <v>1</v>
      </c>
      <c r="AF16" s="33" t="str">
        <f>IF(OR(A16="",B16="",AND(C16&lt;&gt;"Bullpen",C16&lt;&gt;"Game")),"",IF((COUNTIFS($B$5:$B$300,B16,$A$5:$A$300,A16-1,$C$5:$C$300,"Bullpen",$AG$5:$AG$300,"&gt;0") + COUNTIFS($B$5:$B$300,B16,$A$5:$A$300,A16-1,$C$5:$C$300,"Game",$AG$5:$AG$300,"&gt;0"))&gt;0,Reference!$B$119,IF((COUNTIFS($B$5:$B$300,B16,$A$5:$A$300,A16-2,$C$5:$C$300,"Bullpen",$AG$5:$AG$300,"&gt;0") + COUNTIFS($B$5:$B$300,B16,$A$5:$A$300,A16-2,$C$5:$C$300,"Game",$AG$5:$AG$300,"&gt;0"))&gt;0,Reference!$B$120,1)))</f>
        <v/>
      </c>
      <c r="AG16" s="30">
        <f>IF(AND(OR(I16="",O16="",P16=""),OR(R16="",W16=""),OR(X16="",AC16="")),"",IF(OR(I16="",O16="",P16=""),0,I16*O16*P16)+IF(OR(R16="",W16=""),0,R16*IFERROR(INDEX(Reference!$B$61:$B$62,MATCH("Bullpen",Reference!$A$61:$A$62,0)),0)*W16)+IF(OR(X16="",AC16=""),0,X16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16))</f>
        <v>136</v>
      </c>
    </row>
    <row r="17" spans="1:33" x14ac:dyDescent="0.3">
      <c r="A17" s="35">
        <v>46277</v>
      </c>
      <c r="B17" s="31" t="s">
        <v>142</v>
      </c>
      <c r="C17" s="31" t="s">
        <v>49</v>
      </c>
      <c r="D17" s="31">
        <v>0</v>
      </c>
      <c r="E17" s="34"/>
      <c r="F17" s="34"/>
      <c r="G17" s="30" t="str">
        <f t="shared" si="0"/>
        <v/>
      </c>
      <c r="H17" s="31"/>
      <c r="I17" s="32" t="str">
        <f>IF(H17&lt;&gt;"",H17,IF(G17="","",ROUND(G17*IFERROR(INDEX(Reference!$B$44:$B$50,MATCH(C17,Reference!$A$44:$A$50,0)),0),0)))</f>
        <v/>
      </c>
      <c r="J17" s="31"/>
      <c r="K17" s="31"/>
      <c r="L17" s="32" t="str">
        <f t="shared" si="1"/>
        <v/>
      </c>
      <c r="M17" s="32">
        <f>IFERROR(INDEX(Roster!$D$5:$D$40,MATCH(B17,Roster!$A$5:$A$40,0)),"")</f>
        <v>87.9</v>
      </c>
      <c r="N17" s="32" t="str">
        <f t="shared" si="2"/>
        <v/>
      </c>
      <c r="O17" s="32">
        <f>IF(OR(C17="Bullpen",C17="Game"),IFERROR(INDEX(Reference!$B$61:$B$62,MATCH(C17,Reference!$A$61:$A$62,0)),""),IF(D17="","",IF(AE17&gt;1,((IF(1&lt;=AE17,(AE17-1+3)*(INDEX(Reference!$B$6:$B$11,MIN(5,MATCH(MAX(Reference!$A$6,MIN(Reference!$A$11,MIN(D17,90))),Reference!$A$6:$A$11,1)))+(MAX(Reference!$A$6,MIN(Reference!$A$11,MIN(D17,90)))-INDEX(Reference!$A$6:$A$11,MIN(5,MATCH(MAX(Reference!$A$6,MIN(Reference!$A$11,MIN(D17,90))),Reference!$A$6:$A$11,1))))*(INDEX(Reference!$B$6:$B$11,MIN(5,MATCH(MAX(Reference!$A$6,MIN(Reference!$A$11,MIN(D17,90))),Reference!$A$6:$A$11,1))+1)-INDEX(Reference!$B$6:$B$11,MIN(5,MATCH(MAX(Reference!$A$6,MIN(Reference!$A$11,MIN(D17,90))),Reference!$A$6:$A$11,1))))/(INDEX(Reference!$A$6:$A$11,MIN(5,MATCH(MAX(Reference!$A$6,MIN(Reference!$A$11,MIN(D17,90))),Reference!$A$6:$A$11,1))+1)-INDEX(Reference!$A$6:$A$11,MIN(5,MATCH(MAX(Reference!$A$6,MIN(Reference!$A$11,MIN(D17,90))),Reference!$A$6:$A$11,1))))),0)+IF(2&lt;=AE17,(AE17-2+3)*(INDEX(Reference!$B$6:$B$11,MIN(5,MATCH(MAX(Reference!$A$6,MIN(Reference!$A$11,MIN(D17,120))),Reference!$A$6:$A$11,1)))+(MAX(Reference!$A$6,MIN(Reference!$A$11,MIN(D17,120)))-INDEX(Reference!$A$6:$A$11,MIN(5,MATCH(MAX(Reference!$A$6,MIN(Reference!$A$11,MIN(D17,120))),Reference!$A$6:$A$11,1))))*(INDEX(Reference!$B$6:$B$11,MIN(5,MATCH(MAX(Reference!$A$6,MIN(Reference!$A$11,MIN(D17,120))),Reference!$A$6:$A$11,1))+1)-INDEX(Reference!$B$6:$B$11,MIN(5,MATCH(MAX(Reference!$A$6,MIN(Reference!$A$11,MIN(D17,120))),Reference!$A$6:$A$11,1))))/(INDEX(Reference!$A$6:$A$11,MIN(5,MATCH(MAX(Reference!$A$6,MIN(Reference!$A$11,MIN(D17,120))),Reference!$A$6:$A$11,1))+1)-INDEX(Reference!$A$6:$A$11,MIN(5,MATCH(MAX(Reference!$A$6,MIN(Reference!$A$11,MIN(D17,120))),Reference!$A$6:$A$11,1))))),0)+IF(3&lt;=AE17,(AE17-3+3)*(INDEX(Reference!$B$6:$B$11,MIN(5,MATCH(MAX(Reference!$A$6,MIN(Reference!$A$11,MIN(D17,150))),Reference!$A$6:$A$11,1)))+(MAX(Reference!$A$6,MIN(Reference!$A$11,MIN(D17,150)))-INDEX(Reference!$A$6:$A$11,MIN(5,MATCH(MAX(Reference!$A$6,MIN(Reference!$A$11,MIN(D17,150))),Reference!$A$6:$A$11,1))))*(INDEX(Reference!$B$6:$B$11,MIN(5,MATCH(MAX(Reference!$A$6,MIN(Reference!$A$11,MIN(D17,150))),Reference!$A$6:$A$11,1))+1)-INDEX(Reference!$B$6:$B$11,MIN(5,MATCH(MAX(Reference!$A$6,MIN(Reference!$A$11,MIN(D17,150))),Reference!$A$6:$A$11,1))))/(INDEX(Reference!$A$6:$A$11,MIN(5,MATCH(MAX(Reference!$A$6,MIN(Reference!$A$11,MIN(D17,150))),Reference!$A$6:$A$11,1))+1)-INDEX(Reference!$A$6:$A$11,MIN(5,MATCH(MAX(Reference!$A$6,MIN(Reference!$A$11,MIN(D17,150))),Reference!$A$6:$A$11,1))))),0)+IF(4&lt;=AE17,(AE17-4+3)*(INDEX(Reference!$B$6:$B$11,MIN(5,MATCH(MAX(Reference!$A$6,MIN(Reference!$A$11,MIN(D17,180))),Reference!$A$6:$A$11,1)))+(MAX(Reference!$A$6,MIN(Reference!$A$11,MIN(D17,180)))-INDEX(Reference!$A$6:$A$11,MIN(5,MATCH(MAX(Reference!$A$6,MIN(Reference!$A$11,MIN(D17,180))),Reference!$A$6:$A$11,1))))*(INDEX(Reference!$B$6:$B$11,MIN(5,MATCH(MAX(Reference!$A$6,MIN(Reference!$A$11,MIN(D17,180))),Reference!$A$6:$A$11,1))+1)-INDEX(Reference!$B$6:$B$11,MIN(5,MATCH(MAX(Reference!$A$6,MIN(Reference!$A$11,MIN(D17,180))),Reference!$A$6:$A$11,1))))/(INDEX(Reference!$A$6:$A$11,MIN(5,MATCH(MAX(Reference!$A$6,MIN(Reference!$A$11,MIN(D17,180))),Reference!$A$6:$A$11,1))+1)-INDEX(Reference!$A$6:$A$11,MIN(5,MATCH(MAX(Reference!$A$6,MIN(Reference!$A$11,MIN(D17,180))),Reference!$A$6:$A$11,1))))),0)+IF(5&lt;=AE17,(AE17-5+3)*(INDEX(Reference!$B$6:$B$11,MIN(5,MATCH(MAX(Reference!$A$6,MIN(Reference!$A$11,MIN(D17,210))),Reference!$A$6:$A$11,1)))+(MAX(Reference!$A$6,MIN(Reference!$A$11,MIN(D17,210)))-INDEX(Reference!$A$6:$A$11,MIN(5,MATCH(MAX(Reference!$A$6,MIN(Reference!$A$11,MIN(D17,210))),Reference!$A$6:$A$11,1))))*(INDEX(Reference!$B$6:$B$11,MIN(5,MATCH(MAX(Reference!$A$6,MIN(Reference!$A$11,MIN(D17,210))),Reference!$A$6:$A$11,1))+1)-INDEX(Reference!$B$6:$B$11,MIN(5,MATCH(MAX(Reference!$A$6,MIN(Reference!$A$11,MIN(D17,210))),Reference!$A$6:$A$11,1))))/(INDEX(Reference!$A$6:$A$11,MIN(5,MATCH(MAX(Reference!$A$6,MIN(Reference!$A$11,MIN(D17,210))),Reference!$A$6:$A$11,1))+1)-INDEX(Reference!$A$6:$A$11,MIN(5,MATCH(MAX(Reference!$A$6,MIN(Reference!$A$11,MIN(D17,210))),Reference!$A$6:$A$11,1))))),0)+IF(6&lt;=AE17,(AE17-6+3)*(INDEX(Reference!$B$6:$B$11,MIN(5,MATCH(MAX(Reference!$A$6,MIN(Reference!$A$11,MIN(D17,240))),Reference!$A$6:$A$11,1)))+(MAX(Reference!$A$6,MIN(Reference!$A$11,MIN(D17,240)))-INDEX(Reference!$A$6:$A$11,MIN(5,MATCH(MAX(Reference!$A$6,MIN(Reference!$A$11,MIN(D17,240))),Reference!$A$6:$A$11,1))))*(INDEX(Reference!$B$6:$B$11,MIN(5,MATCH(MAX(Reference!$A$6,MIN(Reference!$A$11,MIN(D17,240))),Reference!$A$6:$A$11,1))+1)-INDEX(Reference!$B$6:$B$11,MIN(5,MATCH(MAX(Reference!$A$6,MIN(Reference!$A$11,MIN(D17,240))),Reference!$A$6:$A$11,1))))/(INDEX(Reference!$A$6:$A$11,MIN(5,MATCH(MAX(Reference!$A$6,MIN(Reference!$A$11,MIN(D17,240))),Reference!$A$6:$A$11,1))+1)-INDEX(Reference!$A$6:$A$11,MIN(5,MATCH(MAX(Reference!$A$6,MIN(Reference!$A$11,MIN(D17,240))),Reference!$A$6:$A$11,1))))),0)+IF(7&lt;=AE17,(AE17-7+3)*(INDEX(Reference!$B$6:$B$11,MIN(5,MATCH(MAX(Reference!$A$6,MIN(Reference!$A$11,MIN(D17,270))),Reference!$A$6:$A$11,1)))+(MAX(Reference!$A$6,MIN(Reference!$A$11,MIN(D17,270)))-INDEX(Reference!$A$6:$A$11,MIN(5,MATCH(MAX(Reference!$A$6,MIN(Reference!$A$11,MIN(D17,270))),Reference!$A$6:$A$11,1))))*(INDEX(Reference!$B$6:$B$11,MIN(5,MATCH(MAX(Reference!$A$6,MIN(Reference!$A$11,MIN(D17,270))),Reference!$A$6:$A$11,1))+1)-INDEX(Reference!$B$6:$B$11,MIN(5,MATCH(MAX(Reference!$A$6,MIN(Reference!$A$11,MIN(D17,270))),Reference!$A$6:$A$11,1))))/(INDEX(Reference!$A$6:$A$11,MIN(5,MATCH(MAX(Reference!$A$6,MIN(Reference!$A$11,MIN(D17,270))),Reference!$A$6:$A$11,1))+1)-INDEX(Reference!$A$6:$A$11,MIN(5,MATCH(MAX(Reference!$A$6,MIN(Reference!$A$11,MIN(D17,270))),Reference!$A$6:$A$11,1))))),0)+IF(8&lt;=AE17,(AE17-8+3)*(INDEX(Reference!$B$6:$B$11,MIN(5,MATCH(MAX(Reference!$A$6,MIN(Reference!$A$11,MIN(D17,300))),Reference!$A$6:$A$11,1)))+(MAX(Reference!$A$6,MIN(Reference!$A$11,MIN(D17,300)))-INDEX(Reference!$A$6:$A$11,MIN(5,MATCH(MAX(Reference!$A$6,MIN(Reference!$A$11,MIN(D17,300))),Reference!$A$6:$A$11,1))))*(INDEX(Reference!$B$6:$B$11,MIN(5,MATCH(MAX(Reference!$A$6,MIN(Reference!$A$11,MIN(D17,300))),Reference!$A$6:$A$11,1))+1)-INDEX(Reference!$B$6:$B$11,MIN(5,MATCH(MAX(Reference!$A$6,MIN(Reference!$A$11,MIN(D17,300))),Reference!$A$6:$A$11,1))))/(INDEX(Reference!$A$6:$A$11,MIN(5,MATCH(MAX(Reference!$A$6,MIN(Reference!$A$11,MIN(D17,300))),Reference!$A$6:$A$11,1))+1)-INDEX(Reference!$A$6:$A$11,MIN(5,MATCH(MAX(Reference!$A$6,MIN(Reference!$A$11,MIN(D17,300))),Reference!$A$6:$A$11,1))))),0))/(AE17*(AE17+5)/2)),(INDEX(Reference!$B$6:$B$11,MIN(5,MATCH(MAX(Reference!$A$6,MIN(Reference!$A$11,D17)),Reference!$A$6:$A$11,1)))+(MAX(Reference!$A$6,MIN(Reference!$A$11,D17))-INDEX(Reference!$A$6:$A$11,MIN(5,MATCH(MAX(Reference!$A$6,MIN(Reference!$A$11,D17)),Reference!$A$6:$A$11,1))))*(INDEX(Reference!$B$6:$B$11,MIN(5,MATCH(MAX(Reference!$A$6,MIN(Reference!$A$11,D17)),Reference!$A$6:$A$11,1))+1)-INDEX(Reference!$B$6:$B$11,MIN(5,MATCH(MAX(Reference!$A$6,MIN(Reference!$A$11,D17)),Reference!$A$6:$A$11,1))))/(INDEX(Reference!$A$6:$A$11,MIN(5,MATCH(MAX(Reference!$A$6,MIN(Reference!$A$11,D17)),Reference!$A$6:$A$11,1))+1)-INDEX(Reference!$A$6:$A$11,MIN(5,MATCH(MAX(Reference!$A$6,MIN(Reference!$A$11,D17)),Reference!$A$6:$A$11,1))))))))</f>
        <v>1</v>
      </c>
      <c r="P17" s="32" t="str">
        <f>IF(N17="","",VLOOKUP(MAX(N17,0),Reference!$A$17:$B$20,2,TRUE()))</f>
        <v/>
      </c>
      <c r="Q17" s="32" t="str">
        <f t="shared" si="3"/>
        <v/>
      </c>
      <c r="R17" s="31"/>
      <c r="S17" s="31"/>
      <c r="T17" s="31"/>
      <c r="U17" s="32" t="str">
        <f t="shared" si="4"/>
        <v/>
      </c>
      <c r="V17" s="32" t="str">
        <f t="shared" si="5"/>
        <v/>
      </c>
      <c r="W17" s="32" t="str">
        <f>IF(V17="","",VLOOKUP(MAX(V17,0),Reference!$A$17:$B$20,2,TRUE()))</f>
        <v/>
      </c>
      <c r="X17" s="31"/>
      <c r="Y17" s="31"/>
      <c r="Z17" s="31"/>
      <c r="AA17" s="32" t="str">
        <f t="shared" si="6"/>
        <v/>
      </c>
      <c r="AB17" s="32" t="str">
        <f t="shared" si="7"/>
        <v/>
      </c>
      <c r="AC17" s="32" t="str">
        <f>IF(AB17="","",VLOOKUP(MAX(AB17,0),Reference!$A$17:$B$20,2,TRUE()))</f>
        <v/>
      </c>
      <c r="AD17" s="31"/>
      <c r="AE17">
        <f t="shared" si="8"/>
        <v>1</v>
      </c>
      <c r="AF17" s="33" t="str">
        <f>IF(OR(A17="",B17="",AND(C17&lt;&gt;"Bullpen",C17&lt;&gt;"Game")),"",IF((COUNTIFS($B$5:$B$300,B17,$A$5:$A$300,A17-1,$C$5:$C$300,"Bullpen",$AG$5:$AG$300,"&gt;0") + COUNTIFS($B$5:$B$300,B17,$A$5:$A$300,A17-1,$C$5:$C$300,"Game",$AG$5:$AG$300,"&gt;0"))&gt;0,Reference!$B$119,IF((COUNTIFS($B$5:$B$300,B17,$A$5:$A$300,A17-2,$C$5:$C$300,"Bullpen",$AG$5:$AG$300,"&gt;0") + COUNTIFS($B$5:$B$300,B17,$A$5:$A$300,A17-2,$C$5:$C$300,"Game",$AG$5:$AG$300,"&gt;0"))&gt;0,Reference!$B$120,1)))</f>
        <v/>
      </c>
      <c r="AG17" s="30" t="str">
        <f>IF(AND(OR(I17="",O17="",P17=""),OR(R17="",W17=""),OR(X17="",AC17="")),"",IF(OR(I17="",O17="",P17=""),0,I17*O17*P17)+IF(OR(R17="",W17=""),0,R17*IFERROR(INDEX(Reference!$B$61:$B$62,MATCH("Bullpen",Reference!$A$61:$A$62,0)),0)*W17)+IF(OR(X17="",AC17=""),0,X17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17))</f>
        <v/>
      </c>
    </row>
    <row r="18" spans="1:33" x14ac:dyDescent="0.3">
      <c r="A18" s="35">
        <v>46278</v>
      </c>
      <c r="B18" s="31" t="s">
        <v>142</v>
      </c>
      <c r="C18" s="31" t="s">
        <v>55</v>
      </c>
      <c r="D18" s="31">
        <v>75</v>
      </c>
      <c r="E18" s="34">
        <v>7.2916666666666699E-2</v>
      </c>
      <c r="F18" s="34">
        <v>7.9861111111111105E-2</v>
      </c>
      <c r="G18" s="30">
        <f t="shared" si="0"/>
        <v>9.9999999999999449</v>
      </c>
      <c r="H18" s="31"/>
      <c r="I18" s="32">
        <f>IF(H18&lt;&gt;"",H18,IF(G18="","",ROUND(G18*IFERROR(INDEX(Reference!$B$44:$B$50,MATCH(C18,Reference!$A$44:$A$50,0)),0),0)))</f>
        <v>55</v>
      </c>
      <c r="J18" s="31">
        <v>72</v>
      </c>
      <c r="K18" s="31">
        <v>75</v>
      </c>
      <c r="L18" s="32">
        <f t="shared" si="1"/>
        <v>73.5</v>
      </c>
      <c r="M18" s="32">
        <f>IFERROR(INDEX(Roster!$D$5:$D$40,MATCH(B18,Roster!$A$5:$A$40,0)),"")</f>
        <v>87.9</v>
      </c>
      <c r="N18" s="32">
        <f t="shared" si="2"/>
        <v>14.400000000000006</v>
      </c>
      <c r="O18" s="32">
        <f>IF(OR(C18="Bullpen",C18="Game"),IFERROR(INDEX(Reference!$B$61:$B$62,MATCH(C18,Reference!$A$61:$A$62,0)),""),IF(D18="","",IF(AE18&gt;1,((IF(1&lt;=AE18,(AE18-1+3)*(INDEX(Reference!$B$6:$B$11,MIN(5,MATCH(MAX(Reference!$A$6,MIN(Reference!$A$11,MIN(D18,90))),Reference!$A$6:$A$11,1)))+(MAX(Reference!$A$6,MIN(Reference!$A$11,MIN(D18,90)))-INDEX(Reference!$A$6:$A$11,MIN(5,MATCH(MAX(Reference!$A$6,MIN(Reference!$A$11,MIN(D18,90))),Reference!$A$6:$A$11,1))))*(INDEX(Reference!$B$6:$B$11,MIN(5,MATCH(MAX(Reference!$A$6,MIN(Reference!$A$11,MIN(D18,90))),Reference!$A$6:$A$11,1))+1)-INDEX(Reference!$B$6:$B$11,MIN(5,MATCH(MAX(Reference!$A$6,MIN(Reference!$A$11,MIN(D18,90))),Reference!$A$6:$A$11,1))))/(INDEX(Reference!$A$6:$A$11,MIN(5,MATCH(MAX(Reference!$A$6,MIN(Reference!$A$11,MIN(D18,90))),Reference!$A$6:$A$11,1))+1)-INDEX(Reference!$A$6:$A$11,MIN(5,MATCH(MAX(Reference!$A$6,MIN(Reference!$A$11,MIN(D18,90))),Reference!$A$6:$A$11,1))))),0)+IF(2&lt;=AE18,(AE18-2+3)*(INDEX(Reference!$B$6:$B$11,MIN(5,MATCH(MAX(Reference!$A$6,MIN(Reference!$A$11,MIN(D18,120))),Reference!$A$6:$A$11,1)))+(MAX(Reference!$A$6,MIN(Reference!$A$11,MIN(D18,120)))-INDEX(Reference!$A$6:$A$11,MIN(5,MATCH(MAX(Reference!$A$6,MIN(Reference!$A$11,MIN(D18,120))),Reference!$A$6:$A$11,1))))*(INDEX(Reference!$B$6:$B$11,MIN(5,MATCH(MAX(Reference!$A$6,MIN(Reference!$A$11,MIN(D18,120))),Reference!$A$6:$A$11,1))+1)-INDEX(Reference!$B$6:$B$11,MIN(5,MATCH(MAX(Reference!$A$6,MIN(Reference!$A$11,MIN(D18,120))),Reference!$A$6:$A$11,1))))/(INDEX(Reference!$A$6:$A$11,MIN(5,MATCH(MAX(Reference!$A$6,MIN(Reference!$A$11,MIN(D18,120))),Reference!$A$6:$A$11,1))+1)-INDEX(Reference!$A$6:$A$11,MIN(5,MATCH(MAX(Reference!$A$6,MIN(Reference!$A$11,MIN(D18,120))),Reference!$A$6:$A$11,1))))),0)+IF(3&lt;=AE18,(AE18-3+3)*(INDEX(Reference!$B$6:$B$11,MIN(5,MATCH(MAX(Reference!$A$6,MIN(Reference!$A$11,MIN(D18,150))),Reference!$A$6:$A$11,1)))+(MAX(Reference!$A$6,MIN(Reference!$A$11,MIN(D18,150)))-INDEX(Reference!$A$6:$A$11,MIN(5,MATCH(MAX(Reference!$A$6,MIN(Reference!$A$11,MIN(D18,150))),Reference!$A$6:$A$11,1))))*(INDEX(Reference!$B$6:$B$11,MIN(5,MATCH(MAX(Reference!$A$6,MIN(Reference!$A$11,MIN(D18,150))),Reference!$A$6:$A$11,1))+1)-INDEX(Reference!$B$6:$B$11,MIN(5,MATCH(MAX(Reference!$A$6,MIN(Reference!$A$11,MIN(D18,150))),Reference!$A$6:$A$11,1))))/(INDEX(Reference!$A$6:$A$11,MIN(5,MATCH(MAX(Reference!$A$6,MIN(Reference!$A$11,MIN(D18,150))),Reference!$A$6:$A$11,1))+1)-INDEX(Reference!$A$6:$A$11,MIN(5,MATCH(MAX(Reference!$A$6,MIN(Reference!$A$11,MIN(D18,150))),Reference!$A$6:$A$11,1))))),0)+IF(4&lt;=AE18,(AE18-4+3)*(INDEX(Reference!$B$6:$B$11,MIN(5,MATCH(MAX(Reference!$A$6,MIN(Reference!$A$11,MIN(D18,180))),Reference!$A$6:$A$11,1)))+(MAX(Reference!$A$6,MIN(Reference!$A$11,MIN(D18,180)))-INDEX(Reference!$A$6:$A$11,MIN(5,MATCH(MAX(Reference!$A$6,MIN(Reference!$A$11,MIN(D18,180))),Reference!$A$6:$A$11,1))))*(INDEX(Reference!$B$6:$B$11,MIN(5,MATCH(MAX(Reference!$A$6,MIN(Reference!$A$11,MIN(D18,180))),Reference!$A$6:$A$11,1))+1)-INDEX(Reference!$B$6:$B$11,MIN(5,MATCH(MAX(Reference!$A$6,MIN(Reference!$A$11,MIN(D18,180))),Reference!$A$6:$A$11,1))))/(INDEX(Reference!$A$6:$A$11,MIN(5,MATCH(MAX(Reference!$A$6,MIN(Reference!$A$11,MIN(D18,180))),Reference!$A$6:$A$11,1))+1)-INDEX(Reference!$A$6:$A$11,MIN(5,MATCH(MAX(Reference!$A$6,MIN(Reference!$A$11,MIN(D18,180))),Reference!$A$6:$A$11,1))))),0)+IF(5&lt;=AE18,(AE18-5+3)*(INDEX(Reference!$B$6:$B$11,MIN(5,MATCH(MAX(Reference!$A$6,MIN(Reference!$A$11,MIN(D18,210))),Reference!$A$6:$A$11,1)))+(MAX(Reference!$A$6,MIN(Reference!$A$11,MIN(D18,210)))-INDEX(Reference!$A$6:$A$11,MIN(5,MATCH(MAX(Reference!$A$6,MIN(Reference!$A$11,MIN(D18,210))),Reference!$A$6:$A$11,1))))*(INDEX(Reference!$B$6:$B$11,MIN(5,MATCH(MAX(Reference!$A$6,MIN(Reference!$A$11,MIN(D18,210))),Reference!$A$6:$A$11,1))+1)-INDEX(Reference!$B$6:$B$11,MIN(5,MATCH(MAX(Reference!$A$6,MIN(Reference!$A$11,MIN(D18,210))),Reference!$A$6:$A$11,1))))/(INDEX(Reference!$A$6:$A$11,MIN(5,MATCH(MAX(Reference!$A$6,MIN(Reference!$A$11,MIN(D18,210))),Reference!$A$6:$A$11,1))+1)-INDEX(Reference!$A$6:$A$11,MIN(5,MATCH(MAX(Reference!$A$6,MIN(Reference!$A$11,MIN(D18,210))),Reference!$A$6:$A$11,1))))),0)+IF(6&lt;=AE18,(AE18-6+3)*(INDEX(Reference!$B$6:$B$11,MIN(5,MATCH(MAX(Reference!$A$6,MIN(Reference!$A$11,MIN(D18,240))),Reference!$A$6:$A$11,1)))+(MAX(Reference!$A$6,MIN(Reference!$A$11,MIN(D18,240)))-INDEX(Reference!$A$6:$A$11,MIN(5,MATCH(MAX(Reference!$A$6,MIN(Reference!$A$11,MIN(D18,240))),Reference!$A$6:$A$11,1))))*(INDEX(Reference!$B$6:$B$11,MIN(5,MATCH(MAX(Reference!$A$6,MIN(Reference!$A$11,MIN(D18,240))),Reference!$A$6:$A$11,1))+1)-INDEX(Reference!$B$6:$B$11,MIN(5,MATCH(MAX(Reference!$A$6,MIN(Reference!$A$11,MIN(D18,240))),Reference!$A$6:$A$11,1))))/(INDEX(Reference!$A$6:$A$11,MIN(5,MATCH(MAX(Reference!$A$6,MIN(Reference!$A$11,MIN(D18,240))),Reference!$A$6:$A$11,1))+1)-INDEX(Reference!$A$6:$A$11,MIN(5,MATCH(MAX(Reference!$A$6,MIN(Reference!$A$11,MIN(D18,240))),Reference!$A$6:$A$11,1))))),0)+IF(7&lt;=AE18,(AE18-7+3)*(INDEX(Reference!$B$6:$B$11,MIN(5,MATCH(MAX(Reference!$A$6,MIN(Reference!$A$11,MIN(D18,270))),Reference!$A$6:$A$11,1)))+(MAX(Reference!$A$6,MIN(Reference!$A$11,MIN(D18,270)))-INDEX(Reference!$A$6:$A$11,MIN(5,MATCH(MAX(Reference!$A$6,MIN(Reference!$A$11,MIN(D18,270))),Reference!$A$6:$A$11,1))))*(INDEX(Reference!$B$6:$B$11,MIN(5,MATCH(MAX(Reference!$A$6,MIN(Reference!$A$11,MIN(D18,270))),Reference!$A$6:$A$11,1))+1)-INDEX(Reference!$B$6:$B$11,MIN(5,MATCH(MAX(Reference!$A$6,MIN(Reference!$A$11,MIN(D18,270))),Reference!$A$6:$A$11,1))))/(INDEX(Reference!$A$6:$A$11,MIN(5,MATCH(MAX(Reference!$A$6,MIN(Reference!$A$11,MIN(D18,270))),Reference!$A$6:$A$11,1))+1)-INDEX(Reference!$A$6:$A$11,MIN(5,MATCH(MAX(Reference!$A$6,MIN(Reference!$A$11,MIN(D18,270))),Reference!$A$6:$A$11,1))))),0)+IF(8&lt;=AE18,(AE18-8+3)*(INDEX(Reference!$B$6:$B$11,MIN(5,MATCH(MAX(Reference!$A$6,MIN(Reference!$A$11,MIN(D18,300))),Reference!$A$6:$A$11,1)))+(MAX(Reference!$A$6,MIN(Reference!$A$11,MIN(D18,300)))-INDEX(Reference!$A$6:$A$11,MIN(5,MATCH(MAX(Reference!$A$6,MIN(Reference!$A$11,MIN(D18,300))),Reference!$A$6:$A$11,1))))*(INDEX(Reference!$B$6:$B$11,MIN(5,MATCH(MAX(Reference!$A$6,MIN(Reference!$A$11,MIN(D18,300))),Reference!$A$6:$A$11,1))+1)-INDEX(Reference!$B$6:$B$11,MIN(5,MATCH(MAX(Reference!$A$6,MIN(Reference!$A$11,MIN(D18,300))),Reference!$A$6:$A$11,1))))/(INDEX(Reference!$A$6:$A$11,MIN(5,MATCH(MAX(Reference!$A$6,MIN(Reference!$A$11,MIN(D18,300))),Reference!$A$6:$A$11,1))+1)-INDEX(Reference!$A$6:$A$11,MIN(5,MATCH(MAX(Reference!$A$6,MIN(Reference!$A$11,MIN(D18,300))),Reference!$A$6:$A$11,1))))),0))/(AE18*(AE18+5)/2)),(INDEX(Reference!$B$6:$B$11,MIN(5,MATCH(MAX(Reference!$A$6,MIN(Reference!$A$11,D18)),Reference!$A$6:$A$11,1)))+(MAX(Reference!$A$6,MIN(Reference!$A$11,D18))-INDEX(Reference!$A$6:$A$11,MIN(5,MATCH(MAX(Reference!$A$6,MIN(Reference!$A$11,D18)),Reference!$A$6:$A$11,1))))*(INDEX(Reference!$B$6:$B$11,MIN(5,MATCH(MAX(Reference!$A$6,MIN(Reference!$A$11,D18)),Reference!$A$6:$A$11,1))+1)-INDEX(Reference!$B$6:$B$11,MIN(5,MATCH(MAX(Reference!$A$6,MIN(Reference!$A$11,D18)),Reference!$A$6:$A$11,1))))/(INDEX(Reference!$A$6:$A$11,MIN(5,MATCH(MAX(Reference!$A$6,MIN(Reference!$A$11,D18)),Reference!$A$6:$A$11,1))+1)-INDEX(Reference!$A$6:$A$11,MIN(5,MATCH(MAX(Reference!$A$6,MIN(Reference!$A$11,D18)),Reference!$A$6:$A$11,1))))))))</f>
        <v>1.1499999999999999</v>
      </c>
      <c r="P18" s="32">
        <f>IF(N18="","",VLOOKUP(MAX(N18,0),Reference!$A$17:$B$20,2,TRUE()))</f>
        <v>0.6</v>
      </c>
      <c r="Q18" s="32">
        <f t="shared" si="3"/>
        <v>37.949999999999996</v>
      </c>
      <c r="R18" s="31"/>
      <c r="S18" s="31"/>
      <c r="T18" s="31"/>
      <c r="U18" s="32" t="str">
        <f t="shared" si="4"/>
        <v/>
      </c>
      <c r="V18" s="32" t="str">
        <f t="shared" si="5"/>
        <v/>
      </c>
      <c r="W18" s="32" t="str">
        <f>IF(V18="","",VLOOKUP(MAX(V18,0),Reference!$A$17:$B$20,2,TRUE()))</f>
        <v/>
      </c>
      <c r="X18" s="31"/>
      <c r="Y18" s="31"/>
      <c r="Z18" s="31"/>
      <c r="AA18" s="32" t="str">
        <f t="shared" si="6"/>
        <v/>
      </c>
      <c r="AB18" s="32" t="str">
        <f t="shared" si="7"/>
        <v/>
      </c>
      <c r="AC18" s="32" t="str">
        <f>IF(AB18="","",VLOOKUP(MAX(AB18,0),Reference!$A$17:$B$20,2,TRUE()))</f>
        <v/>
      </c>
      <c r="AD18" s="31"/>
      <c r="AE18">
        <f t="shared" si="8"/>
        <v>1</v>
      </c>
      <c r="AF18" s="33" t="str">
        <f>IF(OR(A18="",B18="",AND(C18&lt;&gt;"Bullpen",C18&lt;&gt;"Game")),"",IF((COUNTIFS($B$5:$B$300,B18,$A$5:$A$300,A18-1,$C$5:$C$300,"Bullpen",$AG$5:$AG$300,"&gt;0") + COUNTIFS($B$5:$B$300,B18,$A$5:$A$300,A18-1,$C$5:$C$300,"Game",$AG$5:$AG$300,"&gt;0"))&gt;0,Reference!$B$119,IF((COUNTIFS($B$5:$B$300,B18,$A$5:$A$300,A18-2,$C$5:$C$300,"Bullpen",$AG$5:$AG$300,"&gt;0") + COUNTIFS($B$5:$B$300,B18,$A$5:$A$300,A18-2,$C$5:$C$300,"Game",$AG$5:$AG$300,"&gt;0"))&gt;0,Reference!$B$120,1)))</f>
        <v/>
      </c>
      <c r="AG18" s="30">
        <f>IF(AND(OR(I18="",O18="",P18=""),OR(R18="",W18=""),OR(X18="",AC18="")),"",IF(OR(I18="",O18="",P18=""),0,I18*O18*P18)+IF(OR(R18="",W18=""),0,R18*IFERROR(INDEX(Reference!$B$61:$B$62,MATCH("Bullpen",Reference!$A$61:$A$62,0)),0)*W18)+IF(OR(X18="",AC18=""),0,X18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18))</f>
        <v>37.949999999999996</v>
      </c>
    </row>
    <row r="19" spans="1:33" x14ac:dyDescent="0.3">
      <c r="A19" s="35">
        <v>46279</v>
      </c>
      <c r="B19" s="31" t="s">
        <v>142</v>
      </c>
      <c r="C19" s="31" t="s">
        <v>52</v>
      </c>
      <c r="D19" s="31"/>
      <c r="E19" s="34">
        <v>7.2916666666666699E-2</v>
      </c>
      <c r="F19" s="34"/>
      <c r="G19" s="30" t="str">
        <f t="shared" si="0"/>
        <v/>
      </c>
      <c r="H19" s="31">
        <v>23</v>
      </c>
      <c r="I19" s="32">
        <f>IF(H19&lt;&gt;"",H19,IF(G19="","",ROUND(G19*IFERROR(INDEX(Reference!$B$44:$B$50,MATCH(C19,Reference!$A$44:$A$50,0)),0),0)))</f>
        <v>23</v>
      </c>
      <c r="J19" s="31">
        <v>84</v>
      </c>
      <c r="K19" s="31">
        <v>86</v>
      </c>
      <c r="L19" s="32">
        <f t="shared" si="1"/>
        <v>85</v>
      </c>
      <c r="M19" s="32">
        <f>IFERROR(INDEX(Roster!$D$5:$D$40,MATCH(B19,Roster!$A$5:$A$40,0)),"")</f>
        <v>87.9</v>
      </c>
      <c r="N19" s="32">
        <f t="shared" si="2"/>
        <v>2.9000000000000057</v>
      </c>
      <c r="O19" s="32">
        <f>IF(OR(C19="Bullpen",C19="Game"),IFERROR(INDEX(Reference!$B$61:$B$62,MATCH(C19,Reference!$A$61:$A$62,0)),""),IF(D19="","",IF(AE19&gt;1,((IF(1&lt;=AE19,(AE19-1+3)*(INDEX(Reference!$B$6:$B$11,MIN(5,MATCH(MAX(Reference!$A$6,MIN(Reference!$A$11,MIN(D19,90))),Reference!$A$6:$A$11,1)))+(MAX(Reference!$A$6,MIN(Reference!$A$11,MIN(D19,90)))-INDEX(Reference!$A$6:$A$11,MIN(5,MATCH(MAX(Reference!$A$6,MIN(Reference!$A$11,MIN(D19,90))),Reference!$A$6:$A$11,1))))*(INDEX(Reference!$B$6:$B$11,MIN(5,MATCH(MAX(Reference!$A$6,MIN(Reference!$A$11,MIN(D19,90))),Reference!$A$6:$A$11,1))+1)-INDEX(Reference!$B$6:$B$11,MIN(5,MATCH(MAX(Reference!$A$6,MIN(Reference!$A$11,MIN(D19,90))),Reference!$A$6:$A$11,1))))/(INDEX(Reference!$A$6:$A$11,MIN(5,MATCH(MAX(Reference!$A$6,MIN(Reference!$A$11,MIN(D19,90))),Reference!$A$6:$A$11,1))+1)-INDEX(Reference!$A$6:$A$11,MIN(5,MATCH(MAX(Reference!$A$6,MIN(Reference!$A$11,MIN(D19,90))),Reference!$A$6:$A$11,1))))),0)+IF(2&lt;=AE19,(AE19-2+3)*(INDEX(Reference!$B$6:$B$11,MIN(5,MATCH(MAX(Reference!$A$6,MIN(Reference!$A$11,MIN(D19,120))),Reference!$A$6:$A$11,1)))+(MAX(Reference!$A$6,MIN(Reference!$A$11,MIN(D19,120)))-INDEX(Reference!$A$6:$A$11,MIN(5,MATCH(MAX(Reference!$A$6,MIN(Reference!$A$11,MIN(D19,120))),Reference!$A$6:$A$11,1))))*(INDEX(Reference!$B$6:$B$11,MIN(5,MATCH(MAX(Reference!$A$6,MIN(Reference!$A$11,MIN(D19,120))),Reference!$A$6:$A$11,1))+1)-INDEX(Reference!$B$6:$B$11,MIN(5,MATCH(MAX(Reference!$A$6,MIN(Reference!$A$11,MIN(D19,120))),Reference!$A$6:$A$11,1))))/(INDEX(Reference!$A$6:$A$11,MIN(5,MATCH(MAX(Reference!$A$6,MIN(Reference!$A$11,MIN(D19,120))),Reference!$A$6:$A$11,1))+1)-INDEX(Reference!$A$6:$A$11,MIN(5,MATCH(MAX(Reference!$A$6,MIN(Reference!$A$11,MIN(D19,120))),Reference!$A$6:$A$11,1))))),0)+IF(3&lt;=AE19,(AE19-3+3)*(INDEX(Reference!$B$6:$B$11,MIN(5,MATCH(MAX(Reference!$A$6,MIN(Reference!$A$11,MIN(D19,150))),Reference!$A$6:$A$11,1)))+(MAX(Reference!$A$6,MIN(Reference!$A$11,MIN(D19,150)))-INDEX(Reference!$A$6:$A$11,MIN(5,MATCH(MAX(Reference!$A$6,MIN(Reference!$A$11,MIN(D19,150))),Reference!$A$6:$A$11,1))))*(INDEX(Reference!$B$6:$B$11,MIN(5,MATCH(MAX(Reference!$A$6,MIN(Reference!$A$11,MIN(D19,150))),Reference!$A$6:$A$11,1))+1)-INDEX(Reference!$B$6:$B$11,MIN(5,MATCH(MAX(Reference!$A$6,MIN(Reference!$A$11,MIN(D19,150))),Reference!$A$6:$A$11,1))))/(INDEX(Reference!$A$6:$A$11,MIN(5,MATCH(MAX(Reference!$A$6,MIN(Reference!$A$11,MIN(D19,150))),Reference!$A$6:$A$11,1))+1)-INDEX(Reference!$A$6:$A$11,MIN(5,MATCH(MAX(Reference!$A$6,MIN(Reference!$A$11,MIN(D19,150))),Reference!$A$6:$A$11,1))))),0)+IF(4&lt;=AE19,(AE19-4+3)*(INDEX(Reference!$B$6:$B$11,MIN(5,MATCH(MAX(Reference!$A$6,MIN(Reference!$A$11,MIN(D19,180))),Reference!$A$6:$A$11,1)))+(MAX(Reference!$A$6,MIN(Reference!$A$11,MIN(D19,180)))-INDEX(Reference!$A$6:$A$11,MIN(5,MATCH(MAX(Reference!$A$6,MIN(Reference!$A$11,MIN(D19,180))),Reference!$A$6:$A$11,1))))*(INDEX(Reference!$B$6:$B$11,MIN(5,MATCH(MAX(Reference!$A$6,MIN(Reference!$A$11,MIN(D19,180))),Reference!$A$6:$A$11,1))+1)-INDEX(Reference!$B$6:$B$11,MIN(5,MATCH(MAX(Reference!$A$6,MIN(Reference!$A$11,MIN(D19,180))),Reference!$A$6:$A$11,1))))/(INDEX(Reference!$A$6:$A$11,MIN(5,MATCH(MAX(Reference!$A$6,MIN(Reference!$A$11,MIN(D19,180))),Reference!$A$6:$A$11,1))+1)-INDEX(Reference!$A$6:$A$11,MIN(5,MATCH(MAX(Reference!$A$6,MIN(Reference!$A$11,MIN(D19,180))),Reference!$A$6:$A$11,1))))),0)+IF(5&lt;=AE19,(AE19-5+3)*(INDEX(Reference!$B$6:$B$11,MIN(5,MATCH(MAX(Reference!$A$6,MIN(Reference!$A$11,MIN(D19,210))),Reference!$A$6:$A$11,1)))+(MAX(Reference!$A$6,MIN(Reference!$A$11,MIN(D19,210)))-INDEX(Reference!$A$6:$A$11,MIN(5,MATCH(MAX(Reference!$A$6,MIN(Reference!$A$11,MIN(D19,210))),Reference!$A$6:$A$11,1))))*(INDEX(Reference!$B$6:$B$11,MIN(5,MATCH(MAX(Reference!$A$6,MIN(Reference!$A$11,MIN(D19,210))),Reference!$A$6:$A$11,1))+1)-INDEX(Reference!$B$6:$B$11,MIN(5,MATCH(MAX(Reference!$A$6,MIN(Reference!$A$11,MIN(D19,210))),Reference!$A$6:$A$11,1))))/(INDEX(Reference!$A$6:$A$11,MIN(5,MATCH(MAX(Reference!$A$6,MIN(Reference!$A$11,MIN(D19,210))),Reference!$A$6:$A$11,1))+1)-INDEX(Reference!$A$6:$A$11,MIN(5,MATCH(MAX(Reference!$A$6,MIN(Reference!$A$11,MIN(D19,210))),Reference!$A$6:$A$11,1))))),0)+IF(6&lt;=AE19,(AE19-6+3)*(INDEX(Reference!$B$6:$B$11,MIN(5,MATCH(MAX(Reference!$A$6,MIN(Reference!$A$11,MIN(D19,240))),Reference!$A$6:$A$11,1)))+(MAX(Reference!$A$6,MIN(Reference!$A$11,MIN(D19,240)))-INDEX(Reference!$A$6:$A$11,MIN(5,MATCH(MAX(Reference!$A$6,MIN(Reference!$A$11,MIN(D19,240))),Reference!$A$6:$A$11,1))))*(INDEX(Reference!$B$6:$B$11,MIN(5,MATCH(MAX(Reference!$A$6,MIN(Reference!$A$11,MIN(D19,240))),Reference!$A$6:$A$11,1))+1)-INDEX(Reference!$B$6:$B$11,MIN(5,MATCH(MAX(Reference!$A$6,MIN(Reference!$A$11,MIN(D19,240))),Reference!$A$6:$A$11,1))))/(INDEX(Reference!$A$6:$A$11,MIN(5,MATCH(MAX(Reference!$A$6,MIN(Reference!$A$11,MIN(D19,240))),Reference!$A$6:$A$11,1))+1)-INDEX(Reference!$A$6:$A$11,MIN(5,MATCH(MAX(Reference!$A$6,MIN(Reference!$A$11,MIN(D19,240))),Reference!$A$6:$A$11,1))))),0)+IF(7&lt;=AE19,(AE19-7+3)*(INDEX(Reference!$B$6:$B$11,MIN(5,MATCH(MAX(Reference!$A$6,MIN(Reference!$A$11,MIN(D19,270))),Reference!$A$6:$A$11,1)))+(MAX(Reference!$A$6,MIN(Reference!$A$11,MIN(D19,270)))-INDEX(Reference!$A$6:$A$11,MIN(5,MATCH(MAX(Reference!$A$6,MIN(Reference!$A$11,MIN(D19,270))),Reference!$A$6:$A$11,1))))*(INDEX(Reference!$B$6:$B$11,MIN(5,MATCH(MAX(Reference!$A$6,MIN(Reference!$A$11,MIN(D19,270))),Reference!$A$6:$A$11,1))+1)-INDEX(Reference!$B$6:$B$11,MIN(5,MATCH(MAX(Reference!$A$6,MIN(Reference!$A$11,MIN(D19,270))),Reference!$A$6:$A$11,1))))/(INDEX(Reference!$A$6:$A$11,MIN(5,MATCH(MAX(Reference!$A$6,MIN(Reference!$A$11,MIN(D19,270))),Reference!$A$6:$A$11,1))+1)-INDEX(Reference!$A$6:$A$11,MIN(5,MATCH(MAX(Reference!$A$6,MIN(Reference!$A$11,MIN(D19,270))),Reference!$A$6:$A$11,1))))),0)+IF(8&lt;=AE19,(AE19-8+3)*(INDEX(Reference!$B$6:$B$11,MIN(5,MATCH(MAX(Reference!$A$6,MIN(Reference!$A$11,MIN(D19,300))),Reference!$A$6:$A$11,1)))+(MAX(Reference!$A$6,MIN(Reference!$A$11,MIN(D19,300)))-INDEX(Reference!$A$6:$A$11,MIN(5,MATCH(MAX(Reference!$A$6,MIN(Reference!$A$11,MIN(D19,300))),Reference!$A$6:$A$11,1))))*(INDEX(Reference!$B$6:$B$11,MIN(5,MATCH(MAX(Reference!$A$6,MIN(Reference!$A$11,MIN(D19,300))),Reference!$A$6:$A$11,1))+1)-INDEX(Reference!$B$6:$B$11,MIN(5,MATCH(MAX(Reference!$A$6,MIN(Reference!$A$11,MIN(D19,300))),Reference!$A$6:$A$11,1))))/(INDEX(Reference!$A$6:$A$11,MIN(5,MATCH(MAX(Reference!$A$6,MIN(Reference!$A$11,MIN(D19,300))),Reference!$A$6:$A$11,1))+1)-INDEX(Reference!$A$6:$A$11,MIN(5,MATCH(MAX(Reference!$A$6,MIN(Reference!$A$11,MIN(D19,300))),Reference!$A$6:$A$11,1))))),0))/(AE19*(AE19+5)/2)),(INDEX(Reference!$B$6:$B$11,MIN(5,MATCH(MAX(Reference!$A$6,MIN(Reference!$A$11,D19)),Reference!$A$6:$A$11,1)))+(MAX(Reference!$A$6,MIN(Reference!$A$11,D19))-INDEX(Reference!$A$6:$A$11,MIN(5,MATCH(MAX(Reference!$A$6,MIN(Reference!$A$11,D19)),Reference!$A$6:$A$11,1))))*(INDEX(Reference!$B$6:$B$11,MIN(5,MATCH(MAX(Reference!$A$6,MIN(Reference!$A$11,D19)),Reference!$A$6:$A$11,1))+1)-INDEX(Reference!$B$6:$B$11,MIN(5,MATCH(MAX(Reference!$A$6,MIN(Reference!$A$11,D19)),Reference!$A$6:$A$11,1))))/(INDEX(Reference!$A$6:$A$11,MIN(5,MATCH(MAX(Reference!$A$6,MIN(Reference!$A$11,D19)),Reference!$A$6:$A$11,1))+1)-INDEX(Reference!$A$6:$A$11,MIN(5,MATCH(MAX(Reference!$A$6,MIN(Reference!$A$11,D19)),Reference!$A$6:$A$11,1))))))))</f>
        <v>3</v>
      </c>
      <c r="P19" s="32">
        <f>IF(N19="","",VLOOKUP(MAX(N19,0),Reference!$A$17:$B$20,2,TRUE()))</f>
        <v>2</v>
      </c>
      <c r="Q19" s="32">
        <f t="shared" si="3"/>
        <v>138</v>
      </c>
      <c r="R19" s="31"/>
      <c r="S19" s="31"/>
      <c r="T19" s="31"/>
      <c r="U19" s="32" t="str">
        <f t="shared" si="4"/>
        <v/>
      </c>
      <c r="V19" s="32" t="str">
        <f t="shared" si="5"/>
        <v/>
      </c>
      <c r="W19" s="32" t="str">
        <f>IF(V19="","",VLOOKUP(MAX(V19,0),Reference!$A$17:$B$20,2,TRUE()))</f>
        <v/>
      </c>
      <c r="X19" s="31"/>
      <c r="Y19" s="31"/>
      <c r="Z19" s="31"/>
      <c r="AA19" s="32" t="str">
        <f t="shared" si="6"/>
        <v/>
      </c>
      <c r="AB19" s="32" t="str">
        <f t="shared" si="7"/>
        <v/>
      </c>
      <c r="AC19" s="32" t="str">
        <f>IF(AB19="","",VLOOKUP(MAX(AB19,0),Reference!$A$17:$B$20,2,TRUE()))</f>
        <v/>
      </c>
      <c r="AD19" s="31"/>
      <c r="AE19">
        <f t="shared" si="8"/>
        <v>1</v>
      </c>
      <c r="AF19" s="33">
        <f>IF(OR(A19="",B19="",AND(C19&lt;&gt;"Bullpen",C19&lt;&gt;"Game")),"",IF((COUNTIFS($B$5:$B$300,B19,$A$5:$A$300,A19-1,$C$5:$C$300,"Bullpen",$AG$5:$AG$300,"&gt;0") + COUNTIFS($B$5:$B$300,B19,$A$5:$A$300,A19-1,$C$5:$C$300,"Game",$AG$5:$AG$300,"&gt;0"))&gt;0,Reference!$B$119,IF((COUNTIFS($B$5:$B$300,B19,$A$5:$A$300,A19-2,$C$5:$C$300,"Bullpen",$AG$5:$AG$300,"&gt;0") + COUNTIFS($B$5:$B$300,B19,$A$5:$A$300,A19-2,$C$5:$C$300,"Game",$AG$5:$AG$300,"&gt;0"))&gt;0,Reference!$B$120,1)))</f>
        <v>1</v>
      </c>
      <c r="AG19" s="30">
        <f>IF(AND(OR(I19="",O19="",P19=""),OR(R19="",W19=""),OR(X19="",AC19="")),"",IF(OR(I19="",O19="",P19=""),0,I19*O19*P19)+IF(OR(R19="",W19=""),0,R19*IFERROR(INDEX(Reference!$B$61:$B$62,MATCH("Bullpen",Reference!$A$61:$A$62,0)),0)*W19)+IF(OR(X19="",AC19=""),0,X19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19))</f>
        <v>138</v>
      </c>
    </row>
    <row r="20" spans="1:33" x14ac:dyDescent="0.3">
      <c r="A20" s="35">
        <v>46280</v>
      </c>
      <c r="B20" s="31" t="s">
        <v>142</v>
      </c>
      <c r="C20" s="31" t="s">
        <v>55</v>
      </c>
      <c r="D20" s="31">
        <v>75</v>
      </c>
      <c r="E20" s="34">
        <v>7.2916666666666699E-2</v>
      </c>
      <c r="F20" s="34">
        <v>7.9861111111111105E-2</v>
      </c>
      <c r="G20" s="30">
        <f t="shared" si="0"/>
        <v>9.9999999999999449</v>
      </c>
      <c r="H20" s="31"/>
      <c r="I20" s="32">
        <f>IF(H20&lt;&gt;"",H20,IF(G20="","",ROUND(G20*IFERROR(INDEX(Reference!$B$44:$B$50,MATCH(C20,Reference!$A$44:$A$50,0)),0),0)))</f>
        <v>55</v>
      </c>
      <c r="J20" s="31"/>
      <c r="K20" s="31"/>
      <c r="L20" s="32" t="str">
        <f t="shared" si="1"/>
        <v/>
      </c>
      <c r="M20" s="32">
        <f>IFERROR(INDEX(Roster!$D$5:$D$40,MATCH(B20,Roster!$A$5:$A$40,0)),"")</f>
        <v>87.9</v>
      </c>
      <c r="N20" s="32" t="str">
        <f t="shared" si="2"/>
        <v/>
      </c>
      <c r="O20" s="32">
        <f>IF(OR(C20="Bullpen",C20="Game"),IFERROR(INDEX(Reference!$B$61:$B$62,MATCH(C20,Reference!$A$61:$A$62,0)),""),IF(D20="","",IF(AE20&gt;1,((IF(1&lt;=AE20,(AE20-1+3)*(INDEX(Reference!$B$6:$B$11,MIN(5,MATCH(MAX(Reference!$A$6,MIN(Reference!$A$11,MIN(D20,90))),Reference!$A$6:$A$11,1)))+(MAX(Reference!$A$6,MIN(Reference!$A$11,MIN(D20,90)))-INDEX(Reference!$A$6:$A$11,MIN(5,MATCH(MAX(Reference!$A$6,MIN(Reference!$A$11,MIN(D20,90))),Reference!$A$6:$A$11,1))))*(INDEX(Reference!$B$6:$B$11,MIN(5,MATCH(MAX(Reference!$A$6,MIN(Reference!$A$11,MIN(D20,90))),Reference!$A$6:$A$11,1))+1)-INDEX(Reference!$B$6:$B$11,MIN(5,MATCH(MAX(Reference!$A$6,MIN(Reference!$A$11,MIN(D20,90))),Reference!$A$6:$A$11,1))))/(INDEX(Reference!$A$6:$A$11,MIN(5,MATCH(MAX(Reference!$A$6,MIN(Reference!$A$11,MIN(D20,90))),Reference!$A$6:$A$11,1))+1)-INDEX(Reference!$A$6:$A$11,MIN(5,MATCH(MAX(Reference!$A$6,MIN(Reference!$A$11,MIN(D20,90))),Reference!$A$6:$A$11,1))))),0)+IF(2&lt;=AE20,(AE20-2+3)*(INDEX(Reference!$B$6:$B$11,MIN(5,MATCH(MAX(Reference!$A$6,MIN(Reference!$A$11,MIN(D20,120))),Reference!$A$6:$A$11,1)))+(MAX(Reference!$A$6,MIN(Reference!$A$11,MIN(D20,120)))-INDEX(Reference!$A$6:$A$11,MIN(5,MATCH(MAX(Reference!$A$6,MIN(Reference!$A$11,MIN(D20,120))),Reference!$A$6:$A$11,1))))*(INDEX(Reference!$B$6:$B$11,MIN(5,MATCH(MAX(Reference!$A$6,MIN(Reference!$A$11,MIN(D20,120))),Reference!$A$6:$A$11,1))+1)-INDEX(Reference!$B$6:$B$11,MIN(5,MATCH(MAX(Reference!$A$6,MIN(Reference!$A$11,MIN(D20,120))),Reference!$A$6:$A$11,1))))/(INDEX(Reference!$A$6:$A$11,MIN(5,MATCH(MAX(Reference!$A$6,MIN(Reference!$A$11,MIN(D20,120))),Reference!$A$6:$A$11,1))+1)-INDEX(Reference!$A$6:$A$11,MIN(5,MATCH(MAX(Reference!$A$6,MIN(Reference!$A$11,MIN(D20,120))),Reference!$A$6:$A$11,1))))),0)+IF(3&lt;=AE20,(AE20-3+3)*(INDEX(Reference!$B$6:$B$11,MIN(5,MATCH(MAX(Reference!$A$6,MIN(Reference!$A$11,MIN(D20,150))),Reference!$A$6:$A$11,1)))+(MAX(Reference!$A$6,MIN(Reference!$A$11,MIN(D20,150)))-INDEX(Reference!$A$6:$A$11,MIN(5,MATCH(MAX(Reference!$A$6,MIN(Reference!$A$11,MIN(D20,150))),Reference!$A$6:$A$11,1))))*(INDEX(Reference!$B$6:$B$11,MIN(5,MATCH(MAX(Reference!$A$6,MIN(Reference!$A$11,MIN(D20,150))),Reference!$A$6:$A$11,1))+1)-INDEX(Reference!$B$6:$B$11,MIN(5,MATCH(MAX(Reference!$A$6,MIN(Reference!$A$11,MIN(D20,150))),Reference!$A$6:$A$11,1))))/(INDEX(Reference!$A$6:$A$11,MIN(5,MATCH(MAX(Reference!$A$6,MIN(Reference!$A$11,MIN(D20,150))),Reference!$A$6:$A$11,1))+1)-INDEX(Reference!$A$6:$A$11,MIN(5,MATCH(MAX(Reference!$A$6,MIN(Reference!$A$11,MIN(D20,150))),Reference!$A$6:$A$11,1))))),0)+IF(4&lt;=AE20,(AE20-4+3)*(INDEX(Reference!$B$6:$B$11,MIN(5,MATCH(MAX(Reference!$A$6,MIN(Reference!$A$11,MIN(D20,180))),Reference!$A$6:$A$11,1)))+(MAX(Reference!$A$6,MIN(Reference!$A$11,MIN(D20,180)))-INDEX(Reference!$A$6:$A$11,MIN(5,MATCH(MAX(Reference!$A$6,MIN(Reference!$A$11,MIN(D20,180))),Reference!$A$6:$A$11,1))))*(INDEX(Reference!$B$6:$B$11,MIN(5,MATCH(MAX(Reference!$A$6,MIN(Reference!$A$11,MIN(D20,180))),Reference!$A$6:$A$11,1))+1)-INDEX(Reference!$B$6:$B$11,MIN(5,MATCH(MAX(Reference!$A$6,MIN(Reference!$A$11,MIN(D20,180))),Reference!$A$6:$A$11,1))))/(INDEX(Reference!$A$6:$A$11,MIN(5,MATCH(MAX(Reference!$A$6,MIN(Reference!$A$11,MIN(D20,180))),Reference!$A$6:$A$11,1))+1)-INDEX(Reference!$A$6:$A$11,MIN(5,MATCH(MAX(Reference!$A$6,MIN(Reference!$A$11,MIN(D20,180))),Reference!$A$6:$A$11,1))))),0)+IF(5&lt;=AE20,(AE20-5+3)*(INDEX(Reference!$B$6:$B$11,MIN(5,MATCH(MAX(Reference!$A$6,MIN(Reference!$A$11,MIN(D20,210))),Reference!$A$6:$A$11,1)))+(MAX(Reference!$A$6,MIN(Reference!$A$11,MIN(D20,210)))-INDEX(Reference!$A$6:$A$11,MIN(5,MATCH(MAX(Reference!$A$6,MIN(Reference!$A$11,MIN(D20,210))),Reference!$A$6:$A$11,1))))*(INDEX(Reference!$B$6:$B$11,MIN(5,MATCH(MAX(Reference!$A$6,MIN(Reference!$A$11,MIN(D20,210))),Reference!$A$6:$A$11,1))+1)-INDEX(Reference!$B$6:$B$11,MIN(5,MATCH(MAX(Reference!$A$6,MIN(Reference!$A$11,MIN(D20,210))),Reference!$A$6:$A$11,1))))/(INDEX(Reference!$A$6:$A$11,MIN(5,MATCH(MAX(Reference!$A$6,MIN(Reference!$A$11,MIN(D20,210))),Reference!$A$6:$A$11,1))+1)-INDEX(Reference!$A$6:$A$11,MIN(5,MATCH(MAX(Reference!$A$6,MIN(Reference!$A$11,MIN(D20,210))),Reference!$A$6:$A$11,1))))),0)+IF(6&lt;=AE20,(AE20-6+3)*(INDEX(Reference!$B$6:$B$11,MIN(5,MATCH(MAX(Reference!$A$6,MIN(Reference!$A$11,MIN(D20,240))),Reference!$A$6:$A$11,1)))+(MAX(Reference!$A$6,MIN(Reference!$A$11,MIN(D20,240)))-INDEX(Reference!$A$6:$A$11,MIN(5,MATCH(MAX(Reference!$A$6,MIN(Reference!$A$11,MIN(D20,240))),Reference!$A$6:$A$11,1))))*(INDEX(Reference!$B$6:$B$11,MIN(5,MATCH(MAX(Reference!$A$6,MIN(Reference!$A$11,MIN(D20,240))),Reference!$A$6:$A$11,1))+1)-INDEX(Reference!$B$6:$B$11,MIN(5,MATCH(MAX(Reference!$A$6,MIN(Reference!$A$11,MIN(D20,240))),Reference!$A$6:$A$11,1))))/(INDEX(Reference!$A$6:$A$11,MIN(5,MATCH(MAX(Reference!$A$6,MIN(Reference!$A$11,MIN(D20,240))),Reference!$A$6:$A$11,1))+1)-INDEX(Reference!$A$6:$A$11,MIN(5,MATCH(MAX(Reference!$A$6,MIN(Reference!$A$11,MIN(D20,240))),Reference!$A$6:$A$11,1))))),0)+IF(7&lt;=AE20,(AE20-7+3)*(INDEX(Reference!$B$6:$B$11,MIN(5,MATCH(MAX(Reference!$A$6,MIN(Reference!$A$11,MIN(D20,270))),Reference!$A$6:$A$11,1)))+(MAX(Reference!$A$6,MIN(Reference!$A$11,MIN(D20,270)))-INDEX(Reference!$A$6:$A$11,MIN(5,MATCH(MAX(Reference!$A$6,MIN(Reference!$A$11,MIN(D20,270))),Reference!$A$6:$A$11,1))))*(INDEX(Reference!$B$6:$B$11,MIN(5,MATCH(MAX(Reference!$A$6,MIN(Reference!$A$11,MIN(D20,270))),Reference!$A$6:$A$11,1))+1)-INDEX(Reference!$B$6:$B$11,MIN(5,MATCH(MAX(Reference!$A$6,MIN(Reference!$A$11,MIN(D20,270))),Reference!$A$6:$A$11,1))))/(INDEX(Reference!$A$6:$A$11,MIN(5,MATCH(MAX(Reference!$A$6,MIN(Reference!$A$11,MIN(D20,270))),Reference!$A$6:$A$11,1))+1)-INDEX(Reference!$A$6:$A$11,MIN(5,MATCH(MAX(Reference!$A$6,MIN(Reference!$A$11,MIN(D20,270))),Reference!$A$6:$A$11,1))))),0)+IF(8&lt;=AE20,(AE20-8+3)*(INDEX(Reference!$B$6:$B$11,MIN(5,MATCH(MAX(Reference!$A$6,MIN(Reference!$A$11,MIN(D20,300))),Reference!$A$6:$A$11,1)))+(MAX(Reference!$A$6,MIN(Reference!$A$11,MIN(D20,300)))-INDEX(Reference!$A$6:$A$11,MIN(5,MATCH(MAX(Reference!$A$6,MIN(Reference!$A$11,MIN(D20,300))),Reference!$A$6:$A$11,1))))*(INDEX(Reference!$B$6:$B$11,MIN(5,MATCH(MAX(Reference!$A$6,MIN(Reference!$A$11,MIN(D20,300))),Reference!$A$6:$A$11,1))+1)-INDEX(Reference!$B$6:$B$11,MIN(5,MATCH(MAX(Reference!$A$6,MIN(Reference!$A$11,MIN(D20,300))),Reference!$A$6:$A$11,1))))/(INDEX(Reference!$A$6:$A$11,MIN(5,MATCH(MAX(Reference!$A$6,MIN(Reference!$A$11,MIN(D20,300))),Reference!$A$6:$A$11,1))+1)-INDEX(Reference!$A$6:$A$11,MIN(5,MATCH(MAX(Reference!$A$6,MIN(Reference!$A$11,MIN(D20,300))),Reference!$A$6:$A$11,1))))),0))/(AE20*(AE20+5)/2)),(INDEX(Reference!$B$6:$B$11,MIN(5,MATCH(MAX(Reference!$A$6,MIN(Reference!$A$11,D20)),Reference!$A$6:$A$11,1)))+(MAX(Reference!$A$6,MIN(Reference!$A$11,D20))-INDEX(Reference!$A$6:$A$11,MIN(5,MATCH(MAX(Reference!$A$6,MIN(Reference!$A$11,D20)),Reference!$A$6:$A$11,1))))*(INDEX(Reference!$B$6:$B$11,MIN(5,MATCH(MAX(Reference!$A$6,MIN(Reference!$A$11,D20)),Reference!$A$6:$A$11,1))+1)-INDEX(Reference!$B$6:$B$11,MIN(5,MATCH(MAX(Reference!$A$6,MIN(Reference!$A$11,D20)),Reference!$A$6:$A$11,1))))/(INDEX(Reference!$A$6:$A$11,MIN(5,MATCH(MAX(Reference!$A$6,MIN(Reference!$A$11,D20)),Reference!$A$6:$A$11,1))+1)-INDEX(Reference!$A$6:$A$11,MIN(5,MATCH(MAX(Reference!$A$6,MIN(Reference!$A$11,D20)),Reference!$A$6:$A$11,1))))))))</f>
        <v>1.1499999999999999</v>
      </c>
      <c r="P20" s="32" t="str">
        <f>IF(N20="","",VLOOKUP(MAX(N20,0),Reference!$A$17:$B$20,2,TRUE()))</f>
        <v/>
      </c>
      <c r="Q20" s="32" t="str">
        <f t="shared" si="3"/>
        <v/>
      </c>
      <c r="R20" s="31"/>
      <c r="S20" s="31"/>
      <c r="T20" s="31"/>
      <c r="U20" s="32" t="str">
        <f t="shared" si="4"/>
        <v/>
      </c>
      <c r="V20" s="32" t="str">
        <f t="shared" si="5"/>
        <v/>
      </c>
      <c r="W20" s="32" t="str">
        <f>IF(V20="","",VLOOKUP(MAX(V20,0),Reference!$A$17:$B$20,2,TRUE()))</f>
        <v/>
      </c>
      <c r="X20" s="31"/>
      <c r="Y20" s="31"/>
      <c r="Z20" s="31"/>
      <c r="AA20" s="32" t="str">
        <f t="shared" si="6"/>
        <v/>
      </c>
      <c r="AB20" s="32" t="str">
        <f t="shared" si="7"/>
        <v/>
      </c>
      <c r="AC20" s="32" t="str">
        <f>IF(AB20="","",VLOOKUP(MAX(AB20,0),Reference!$A$17:$B$20,2,TRUE()))</f>
        <v/>
      </c>
      <c r="AD20" s="31"/>
      <c r="AE20">
        <f t="shared" si="8"/>
        <v>1</v>
      </c>
      <c r="AF20" s="33" t="str">
        <f>IF(OR(A20="",B20="",AND(C20&lt;&gt;"Bullpen",C20&lt;&gt;"Game")),"",IF((COUNTIFS($B$5:$B$300,B20,$A$5:$A$300,A20-1,$C$5:$C$300,"Bullpen",$AG$5:$AG$300,"&gt;0") + COUNTIFS($B$5:$B$300,B20,$A$5:$A$300,A20-1,$C$5:$C$300,"Game",$AG$5:$AG$300,"&gt;0"))&gt;0,Reference!$B$119,IF((COUNTIFS($B$5:$B$300,B20,$A$5:$A$300,A20-2,$C$5:$C$300,"Bullpen",$AG$5:$AG$300,"&gt;0") + COUNTIFS($B$5:$B$300,B20,$A$5:$A$300,A20-2,$C$5:$C$300,"Game",$AG$5:$AG$300,"&gt;0"))&gt;0,Reference!$B$120,1)))</f>
        <v/>
      </c>
      <c r="AG20" s="30" t="str">
        <f>IF(AND(OR(I20="",O20="",P20=""),OR(R20="",W20=""),OR(X20="",AC20="")),"",IF(OR(I20="",O20="",P20=""),0,I20*O20*P20)+IF(OR(R20="",W20=""),0,R20*IFERROR(INDEX(Reference!$B$61:$B$62,MATCH("Bullpen",Reference!$A$61:$A$62,0)),0)*W20)+IF(OR(X20="",AC20=""),0,X20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20))</f>
        <v/>
      </c>
    </row>
    <row r="21" spans="1:33" x14ac:dyDescent="0.3">
      <c r="A21" s="35">
        <v>46281</v>
      </c>
      <c r="B21" s="31" t="s">
        <v>142</v>
      </c>
      <c r="C21" s="31" t="s">
        <v>53</v>
      </c>
      <c r="D21" s="31">
        <v>120</v>
      </c>
      <c r="E21" s="34">
        <v>7.5694444444444398E-2</v>
      </c>
      <c r="F21" s="34">
        <v>8.5416666666666696E-2</v>
      </c>
      <c r="G21" s="30">
        <f t="shared" si="0"/>
        <v>14.00000000000011</v>
      </c>
      <c r="H21" s="31"/>
      <c r="I21" s="32">
        <f>IF(H21&lt;&gt;"",H21,IF(G21="","",ROUND(G21*IFERROR(INDEX(Reference!$B$44:$B$50,MATCH(C21,Reference!$A$44:$A$50,0)),0),0)))</f>
        <v>56</v>
      </c>
      <c r="J21" s="31">
        <v>75</v>
      </c>
      <c r="K21" s="31">
        <v>81</v>
      </c>
      <c r="L21" s="32">
        <f t="shared" si="1"/>
        <v>78</v>
      </c>
      <c r="M21" s="32">
        <f>IFERROR(INDEX(Roster!$D$5:$D$40,MATCH(B21,Roster!$A$5:$A$40,0)),"")</f>
        <v>87.9</v>
      </c>
      <c r="N21" s="32">
        <f t="shared" si="2"/>
        <v>9.9000000000000057</v>
      </c>
      <c r="O21" s="32">
        <f>IF(OR(C21="Bullpen",C21="Game"),IFERROR(INDEX(Reference!$B$61:$B$62,MATCH(C21,Reference!$A$61:$A$62,0)),""),IF(D21="","",IF(AE21&gt;1,((IF(1&lt;=AE21,(AE21-1+3)*(INDEX(Reference!$B$6:$B$11,MIN(5,MATCH(MAX(Reference!$A$6,MIN(Reference!$A$11,MIN(D21,90))),Reference!$A$6:$A$11,1)))+(MAX(Reference!$A$6,MIN(Reference!$A$11,MIN(D21,90)))-INDEX(Reference!$A$6:$A$11,MIN(5,MATCH(MAX(Reference!$A$6,MIN(Reference!$A$11,MIN(D21,90))),Reference!$A$6:$A$11,1))))*(INDEX(Reference!$B$6:$B$11,MIN(5,MATCH(MAX(Reference!$A$6,MIN(Reference!$A$11,MIN(D21,90))),Reference!$A$6:$A$11,1))+1)-INDEX(Reference!$B$6:$B$11,MIN(5,MATCH(MAX(Reference!$A$6,MIN(Reference!$A$11,MIN(D21,90))),Reference!$A$6:$A$11,1))))/(INDEX(Reference!$A$6:$A$11,MIN(5,MATCH(MAX(Reference!$A$6,MIN(Reference!$A$11,MIN(D21,90))),Reference!$A$6:$A$11,1))+1)-INDEX(Reference!$A$6:$A$11,MIN(5,MATCH(MAX(Reference!$A$6,MIN(Reference!$A$11,MIN(D21,90))),Reference!$A$6:$A$11,1))))),0)+IF(2&lt;=AE21,(AE21-2+3)*(INDEX(Reference!$B$6:$B$11,MIN(5,MATCH(MAX(Reference!$A$6,MIN(Reference!$A$11,MIN(D21,120))),Reference!$A$6:$A$11,1)))+(MAX(Reference!$A$6,MIN(Reference!$A$11,MIN(D21,120)))-INDEX(Reference!$A$6:$A$11,MIN(5,MATCH(MAX(Reference!$A$6,MIN(Reference!$A$11,MIN(D21,120))),Reference!$A$6:$A$11,1))))*(INDEX(Reference!$B$6:$B$11,MIN(5,MATCH(MAX(Reference!$A$6,MIN(Reference!$A$11,MIN(D21,120))),Reference!$A$6:$A$11,1))+1)-INDEX(Reference!$B$6:$B$11,MIN(5,MATCH(MAX(Reference!$A$6,MIN(Reference!$A$11,MIN(D21,120))),Reference!$A$6:$A$11,1))))/(INDEX(Reference!$A$6:$A$11,MIN(5,MATCH(MAX(Reference!$A$6,MIN(Reference!$A$11,MIN(D21,120))),Reference!$A$6:$A$11,1))+1)-INDEX(Reference!$A$6:$A$11,MIN(5,MATCH(MAX(Reference!$A$6,MIN(Reference!$A$11,MIN(D21,120))),Reference!$A$6:$A$11,1))))),0)+IF(3&lt;=AE21,(AE21-3+3)*(INDEX(Reference!$B$6:$B$11,MIN(5,MATCH(MAX(Reference!$A$6,MIN(Reference!$A$11,MIN(D21,150))),Reference!$A$6:$A$11,1)))+(MAX(Reference!$A$6,MIN(Reference!$A$11,MIN(D21,150)))-INDEX(Reference!$A$6:$A$11,MIN(5,MATCH(MAX(Reference!$A$6,MIN(Reference!$A$11,MIN(D21,150))),Reference!$A$6:$A$11,1))))*(INDEX(Reference!$B$6:$B$11,MIN(5,MATCH(MAX(Reference!$A$6,MIN(Reference!$A$11,MIN(D21,150))),Reference!$A$6:$A$11,1))+1)-INDEX(Reference!$B$6:$B$11,MIN(5,MATCH(MAX(Reference!$A$6,MIN(Reference!$A$11,MIN(D21,150))),Reference!$A$6:$A$11,1))))/(INDEX(Reference!$A$6:$A$11,MIN(5,MATCH(MAX(Reference!$A$6,MIN(Reference!$A$11,MIN(D21,150))),Reference!$A$6:$A$11,1))+1)-INDEX(Reference!$A$6:$A$11,MIN(5,MATCH(MAX(Reference!$A$6,MIN(Reference!$A$11,MIN(D21,150))),Reference!$A$6:$A$11,1))))),0)+IF(4&lt;=AE21,(AE21-4+3)*(INDEX(Reference!$B$6:$B$11,MIN(5,MATCH(MAX(Reference!$A$6,MIN(Reference!$A$11,MIN(D21,180))),Reference!$A$6:$A$11,1)))+(MAX(Reference!$A$6,MIN(Reference!$A$11,MIN(D21,180)))-INDEX(Reference!$A$6:$A$11,MIN(5,MATCH(MAX(Reference!$A$6,MIN(Reference!$A$11,MIN(D21,180))),Reference!$A$6:$A$11,1))))*(INDEX(Reference!$B$6:$B$11,MIN(5,MATCH(MAX(Reference!$A$6,MIN(Reference!$A$11,MIN(D21,180))),Reference!$A$6:$A$11,1))+1)-INDEX(Reference!$B$6:$B$11,MIN(5,MATCH(MAX(Reference!$A$6,MIN(Reference!$A$11,MIN(D21,180))),Reference!$A$6:$A$11,1))))/(INDEX(Reference!$A$6:$A$11,MIN(5,MATCH(MAX(Reference!$A$6,MIN(Reference!$A$11,MIN(D21,180))),Reference!$A$6:$A$11,1))+1)-INDEX(Reference!$A$6:$A$11,MIN(5,MATCH(MAX(Reference!$A$6,MIN(Reference!$A$11,MIN(D21,180))),Reference!$A$6:$A$11,1))))),0)+IF(5&lt;=AE21,(AE21-5+3)*(INDEX(Reference!$B$6:$B$11,MIN(5,MATCH(MAX(Reference!$A$6,MIN(Reference!$A$11,MIN(D21,210))),Reference!$A$6:$A$11,1)))+(MAX(Reference!$A$6,MIN(Reference!$A$11,MIN(D21,210)))-INDEX(Reference!$A$6:$A$11,MIN(5,MATCH(MAX(Reference!$A$6,MIN(Reference!$A$11,MIN(D21,210))),Reference!$A$6:$A$11,1))))*(INDEX(Reference!$B$6:$B$11,MIN(5,MATCH(MAX(Reference!$A$6,MIN(Reference!$A$11,MIN(D21,210))),Reference!$A$6:$A$11,1))+1)-INDEX(Reference!$B$6:$B$11,MIN(5,MATCH(MAX(Reference!$A$6,MIN(Reference!$A$11,MIN(D21,210))),Reference!$A$6:$A$11,1))))/(INDEX(Reference!$A$6:$A$11,MIN(5,MATCH(MAX(Reference!$A$6,MIN(Reference!$A$11,MIN(D21,210))),Reference!$A$6:$A$11,1))+1)-INDEX(Reference!$A$6:$A$11,MIN(5,MATCH(MAX(Reference!$A$6,MIN(Reference!$A$11,MIN(D21,210))),Reference!$A$6:$A$11,1))))),0)+IF(6&lt;=AE21,(AE21-6+3)*(INDEX(Reference!$B$6:$B$11,MIN(5,MATCH(MAX(Reference!$A$6,MIN(Reference!$A$11,MIN(D21,240))),Reference!$A$6:$A$11,1)))+(MAX(Reference!$A$6,MIN(Reference!$A$11,MIN(D21,240)))-INDEX(Reference!$A$6:$A$11,MIN(5,MATCH(MAX(Reference!$A$6,MIN(Reference!$A$11,MIN(D21,240))),Reference!$A$6:$A$11,1))))*(INDEX(Reference!$B$6:$B$11,MIN(5,MATCH(MAX(Reference!$A$6,MIN(Reference!$A$11,MIN(D21,240))),Reference!$A$6:$A$11,1))+1)-INDEX(Reference!$B$6:$B$11,MIN(5,MATCH(MAX(Reference!$A$6,MIN(Reference!$A$11,MIN(D21,240))),Reference!$A$6:$A$11,1))))/(INDEX(Reference!$A$6:$A$11,MIN(5,MATCH(MAX(Reference!$A$6,MIN(Reference!$A$11,MIN(D21,240))),Reference!$A$6:$A$11,1))+1)-INDEX(Reference!$A$6:$A$11,MIN(5,MATCH(MAX(Reference!$A$6,MIN(Reference!$A$11,MIN(D21,240))),Reference!$A$6:$A$11,1))))),0)+IF(7&lt;=AE21,(AE21-7+3)*(INDEX(Reference!$B$6:$B$11,MIN(5,MATCH(MAX(Reference!$A$6,MIN(Reference!$A$11,MIN(D21,270))),Reference!$A$6:$A$11,1)))+(MAX(Reference!$A$6,MIN(Reference!$A$11,MIN(D21,270)))-INDEX(Reference!$A$6:$A$11,MIN(5,MATCH(MAX(Reference!$A$6,MIN(Reference!$A$11,MIN(D21,270))),Reference!$A$6:$A$11,1))))*(INDEX(Reference!$B$6:$B$11,MIN(5,MATCH(MAX(Reference!$A$6,MIN(Reference!$A$11,MIN(D21,270))),Reference!$A$6:$A$11,1))+1)-INDEX(Reference!$B$6:$B$11,MIN(5,MATCH(MAX(Reference!$A$6,MIN(Reference!$A$11,MIN(D21,270))),Reference!$A$6:$A$11,1))))/(INDEX(Reference!$A$6:$A$11,MIN(5,MATCH(MAX(Reference!$A$6,MIN(Reference!$A$11,MIN(D21,270))),Reference!$A$6:$A$11,1))+1)-INDEX(Reference!$A$6:$A$11,MIN(5,MATCH(MAX(Reference!$A$6,MIN(Reference!$A$11,MIN(D21,270))),Reference!$A$6:$A$11,1))))),0)+IF(8&lt;=AE21,(AE21-8+3)*(INDEX(Reference!$B$6:$B$11,MIN(5,MATCH(MAX(Reference!$A$6,MIN(Reference!$A$11,MIN(D21,300))),Reference!$A$6:$A$11,1)))+(MAX(Reference!$A$6,MIN(Reference!$A$11,MIN(D21,300)))-INDEX(Reference!$A$6:$A$11,MIN(5,MATCH(MAX(Reference!$A$6,MIN(Reference!$A$11,MIN(D21,300))),Reference!$A$6:$A$11,1))))*(INDEX(Reference!$B$6:$B$11,MIN(5,MATCH(MAX(Reference!$A$6,MIN(Reference!$A$11,MIN(D21,300))),Reference!$A$6:$A$11,1))+1)-INDEX(Reference!$B$6:$B$11,MIN(5,MATCH(MAX(Reference!$A$6,MIN(Reference!$A$11,MIN(D21,300))),Reference!$A$6:$A$11,1))))/(INDEX(Reference!$A$6:$A$11,MIN(5,MATCH(MAX(Reference!$A$6,MIN(Reference!$A$11,MIN(D21,300))),Reference!$A$6:$A$11,1))+1)-INDEX(Reference!$A$6:$A$11,MIN(5,MATCH(MAX(Reference!$A$6,MIN(Reference!$A$11,MIN(D21,300))),Reference!$A$6:$A$11,1))))),0))/(AE21*(AE21+5)/2)),(INDEX(Reference!$B$6:$B$11,MIN(5,MATCH(MAX(Reference!$A$6,MIN(Reference!$A$11,D21)),Reference!$A$6:$A$11,1)))+(MAX(Reference!$A$6,MIN(Reference!$A$11,D21))-INDEX(Reference!$A$6:$A$11,MIN(5,MATCH(MAX(Reference!$A$6,MIN(Reference!$A$11,D21)),Reference!$A$6:$A$11,1))))*(INDEX(Reference!$B$6:$B$11,MIN(5,MATCH(MAX(Reference!$A$6,MIN(Reference!$A$11,D21)),Reference!$A$6:$A$11,1))+1)-INDEX(Reference!$B$6:$B$11,MIN(5,MATCH(MAX(Reference!$A$6,MIN(Reference!$A$11,D21)),Reference!$A$6:$A$11,1))))/(INDEX(Reference!$A$6:$A$11,MIN(5,MATCH(MAX(Reference!$A$6,MIN(Reference!$A$11,D21)),Reference!$A$6:$A$11,1))+1)-INDEX(Reference!$A$6:$A$11,MIN(5,MATCH(MAX(Reference!$A$6,MIN(Reference!$A$11,D21)),Reference!$A$6:$A$11,1))))))))</f>
        <v>1.7</v>
      </c>
      <c r="P21" s="32">
        <f>IF(N21="","",VLOOKUP(MAX(N21,0),Reference!$A$17:$B$20,2,TRUE()))</f>
        <v>1</v>
      </c>
      <c r="Q21" s="32">
        <f t="shared" si="3"/>
        <v>95.2</v>
      </c>
      <c r="R21" s="31"/>
      <c r="S21" s="31"/>
      <c r="T21" s="31"/>
      <c r="U21" s="32" t="str">
        <f t="shared" si="4"/>
        <v/>
      </c>
      <c r="V21" s="32" t="str">
        <f t="shared" si="5"/>
        <v/>
      </c>
      <c r="W21" s="32" t="str">
        <f>IF(V21="","",VLOOKUP(MAX(V21,0),Reference!$A$17:$B$20,2,TRUE()))</f>
        <v/>
      </c>
      <c r="X21" s="31"/>
      <c r="Y21" s="31"/>
      <c r="Z21" s="31"/>
      <c r="AA21" s="32" t="str">
        <f t="shared" si="6"/>
        <v/>
      </c>
      <c r="AB21" s="32" t="str">
        <f t="shared" si="7"/>
        <v/>
      </c>
      <c r="AC21" s="32" t="str">
        <f>IF(AB21="","",VLOOKUP(MAX(AB21,0),Reference!$A$17:$B$20,2,TRUE()))</f>
        <v/>
      </c>
      <c r="AD21" s="31"/>
      <c r="AE21">
        <f t="shared" si="8"/>
        <v>1</v>
      </c>
      <c r="AF21" s="33" t="str">
        <f>IF(OR(A21="",B21="",AND(C21&lt;&gt;"Bullpen",C21&lt;&gt;"Game")),"",IF((COUNTIFS($B$5:$B$300,B21,$A$5:$A$300,A21-1,$C$5:$C$300,"Bullpen",$AG$5:$AG$300,"&gt;0") + COUNTIFS($B$5:$B$300,B21,$A$5:$A$300,A21-1,$C$5:$C$300,"Game",$AG$5:$AG$300,"&gt;0"))&gt;0,Reference!$B$119,IF((COUNTIFS($B$5:$B$300,B21,$A$5:$A$300,A21-2,$C$5:$C$300,"Bullpen",$AG$5:$AG$300,"&gt;0") + COUNTIFS($B$5:$B$300,B21,$A$5:$A$300,A21-2,$C$5:$C$300,"Game",$AG$5:$AG$300,"&gt;0"))&gt;0,Reference!$B$120,1)))</f>
        <v/>
      </c>
      <c r="AG21" s="30">
        <f>IF(AND(OR(I21="",O21="",P21=""),OR(R21="",W21=""),OR(X21="",AC21="")),"",IF(OR(I21="",O21="",P21=""),0,I21*O21*P21)+IF(OR(R21="",W21=""),0,R21*IFERROR(INDEX(Reference!$B$61:$B$62,MATCH("Bullpen",Reference!$A$61:$A$62,0)),0)*W21)+IF(OR(X21="",AC21=""),0,X21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21))</f>
        <v>95.2</v>
      </c>
    </row>
    <row r="22" spans="1:33" x14ac:dyDescent="0.3">
      <c r="A22" s="35">
        <v>46282</v>
      </c>
      <c r="B22" s="31" t="s">
        <v>142</v>
      </c>
      <c r="C22" s="31" t="s">
        <v>52</v>
      </c>
      <c r="D22" s="31"/>
      <c r="E22" s="34">
        <v>7.2916666666666699E-2</v>
      </c>
      <c r="F22" s="34"/>
      <c r="G22" s="30" t="str">
        <f t="shared" si="0"/>
        <v/>
      </c>
      <c r="H22" s="31">
        <v>27</v>
      </c>
      <c r="I22" s="32">
        <f>IF(H22&lt;&gt;"",H22,IF(G22="","",ROUND(G22*IFERROR(INDEX(Reference!$B$44:$B$50,MATCH(C22,Reference!$A$44:$A$50,0)),0),0)))</f>
        <v>27</v>
      </c>
      <c r="J22" s="31">
        <v>86</v>
      </c>
      <c r="K22" s="31">
        <v>88</v>
      </c>
      <c r="L22" s="32">
        <f t="shared" si="1"/>
        <v>87</v>
      </c>
      <c r="M22" s="32">
        <f>IFERROR(INDEX(Roster!$D$5:$D$40,MATCH(B22,Roster!$A$5:$A$40,0)),"")</f>
        <v>87.9</v>
      </c>
      <c r="N22" s="32">
        <f t="shared" si="2"/>
        <v>0.90000000000000568</v>
      </c>
      <c r="O22" s="32">
        <f>IF(OR(C22="Bullpen",C22="Game"),IFERROR(INDEX(Reference!$B$61:$B$62,MATCH(C22,Reference!$A$61:$A$62,0)),""),IF(D22="","",IF(AE22&gt;1,((IF(1&lt;=AE22,(AE22-1+3)*(INDEX(Reference!$B$6:$B$11,MIN(5,MATCH(MAX(Reference!$A$6,MIN(Reference!$A$11,MIN(D22,90))),Reference!$A$6:$A$11,1)))+(MAX(Reference!$A$6,MIN(Reference!$A$11,MIN(D22,90)))-INDEX(Reference!$A$6:$A$11,MIN(5,MATCH(MAX(Reference!$A$6,MIN(Reference!$A$11,MIN(D22,90))),Reference!$A$6:$A$11,1))))*(INDEX(Reference!$B$6:$B$11,MIN(5,MATCH(MAX(Reference!$A$6,MIN(Reference!$A$11,MIN(D22,90))),Reference!$A$6:$A$11,1))+1)-INDEX(Reference!$B$6:$B$11,MIN(5,MATCH(MAX(Reference!$A$6,MIN(Reference!$A$11,MIN(D22,90))),Reference!$A$6:$A$11,1))))/(INDEX(Reference!$A$6:$A$11,MIN(5,MATCH(MAX(Reference!$A$6,MIN(Reference!$A$11,MIN(D22,90))),Reference!$A$6:$A$11,1))+1)-INDEX(Reference!$A$6:$A$11,MIN(5,MATCH(MAX(Reference!$A$6,MIN(Reference!$A$11,MIN(D22,90))),Reference!$A$6:$A$11,1))))),0)+IF(2&lt;=AE22,(AE22-2+3)*(INDEX(Reference!$B$6:$B$11,MIN(5,MATCH(MAX(Reference!$A$6,MIN(Reference!$A$11,MIN(D22,120))),Reference!$A$6:$A$11,1)))+(MAX(Reference!$A$6,MIN(Reference!$A$11,MIN(D22,120)))-INDEX(Reference!$A$6:$A$11,MIN(5,MATCH(MAX(Reference!$A$6,MIN(Reference!$A$11,MIN(D22,120))),Reference!$A$6:$A$11,1))))*(INDEX(Reference!$B$6:$B$11,MIN(5,MATCH(MAX(Reference!$A$6,MIN(Reference!$A$11,MIN(D22,120))),Reference!$A$6:$A$11,1))+1)-INDEX(Reference!$B$6:$B$11,MIN(5,MATCH(MAX(Reference!$A$6,MIN(Reference!$A$11,MIN(D22,120))),Reference!$A$6:$A$11,1))))/(INDEX(Reference!$A$6:$A$11,MIN(5,MATCH(MAX(Reference!$A$6,MIN(Reference!$A$11,MIN(D22,120))),Reference!$A$6:$A$11,1))+1)-INDEX(Reference!$A$6:$A$11,MIN(5,MATCH(MAX(Reference!$A$6,MIN(Reference!$A$11,MIN(D22,120))),Reference!$A$6:$A$11,1))))),0)+IF(3&lt;=AE22,(AE22-3+3)*(INDEX(Reference!$B$6:$B$11,MIN(5,MATCH(MAX(Reference!$A$6,MIN(Reference!$A$11,MIN(D22,150))),Reference!$A$6:$A$11,1)))+(MAX(Reference!$A$6,MIN(Reference!$A$11,MIN(D22,150)))-INDEX(Reference!$A$6:$A$11,MIN(5,MATCH(MAX(Reference!$A$6,MIN(Reference!$A$11,MIN(D22,150))),Reference!$A$6:$A$11,1))))*(INDEX(Reference!$B$6:$B$11,MIN(5,MATCH(MAX(Reference!$A$6,MIN(Reference!$A$11,MIN(D22,150))),Reference!$A$6:$A$11,1))+1)-INDEX(Reference!$B$6:$B$11,MIN(5,MATCH(MAX(Reference!$A$6,MIN(Reference!$A$11,MIN(D22,150))),Reference!$A$6:$A$11,1))))/(INDEX(Reference!$A$6:$A$11,MIN(5,MATCH(MAX(Reference!$A$6,MIN(Reference!$A$11,MIN(D22,150))),Reference!$A$6:$A$11,1))+1)-INDEX(Reference!$A$6:$A$11,MIN(5,MATCH(MAX(Reference!$A$6,MIN(Reference!$A$11,MIN(D22,150))),Reference!$A$6:$A$11,1))))),0)+IF(4&lt;=AE22,(AE22-4+3)*(INDEX(Reference!$B$6:$B$11,MIN(5,MATCH(MAX(Reference!$A$6,MIN(Reference!$A$11,MIN(D22,180))),Reference!$A$6:$A$11,1)))+(MAX(Reference!$A$6,MIN(Reference!$A$11,MIN(D22,180)))-INDEX(Reference!$A$6:$A$11,MIN(5,MATCH(MAX(Reference!$A$6,MIN(Reference!$A$11,MIN(D22,180))),Reference!$A$6:$A$11,1))))*(INDEX(Reference!$B$6:$B$11,MIN(5,MATCH(MAX(Reference!$A$6,MIN(Reference!$A$11,MIN(D22,180))),Reference!$A$6:$A$11,1))+1)-INDEX(Reference!$B$6:$B$11,MIN(5,MATCH(MAX(Reference!$A$6,MIN(Reference!$A$11,MIN(D22,180))),Reference!$A$6:$A$11,1))))/(INDEX(Reference!$A$6:$A$11,MIN(5,MATCH(MAX(Reference!$A$6,MIN(Reference!$A$11,MIN(D22,180))),Reference!$A$6:$A$11,1))+1)-INDEX(Reference!$A$6:$A$11,MIN(5,MATCH(MAX(Reference!$A$6,MIN(Reference!$A$11,MIN(D22,180))),Reference!$A$6:$A$11,1))))),0)+IF(5&lt;=AE22,(AE22-5+3)*(INDEX(Reference!$B$6:$B$11,MIN(5,MATCH(MAX(Reference!$A$6,MIN(Reference!$A$11,MIN(D22,210))),Reference!$A$6:$A$11,1)))+(MAX(Reference!$A$6,MIN(Reference!$A$11,MIN(D22,210)))-INDEX(Reference!$A$6:$A$11,MIN(5,MATCH(MAX(Reference!$A$6,MIN(Reference!$A$11,MIN(D22,210))),Reference!$A$6:$A$11,1))))*(INDEX(Reference!$B$6:$B$11,MIN(5,MATCH(MAX(Reference!$A$6,MIN(Reference!$A$11,MIN(D22,210))),Reference!$A$6:$A$11,1))+1)-INDEX(Reference!$B$6:$B$11,MIN(5,MATCH(MAX(Reference!$A$6,MIN(Reference!$A$11,MIN(D22,210))),Reference!$A$6:$A$11,1))))/(INDEX(Reference!$A$6:$A$11,MIN(5,MATCH(MAX(Reference!$A$6,MIN(Reference!$A$11,MIN(D22,210))),Reference!$A$6:$A$11,1))+1)-INDEX(Reference!$A$6:$A$11,MIN(5,MATCH(MAX(Reference!$A$6,MIN(Reference!$A$11,MIN(D22,210))),Reference!$A$6:$A$11,1))))),0)+IF(6&lt;=AE22,(AE22-6+3)*(INDEX(Reference!$B$6:$B$11,MIN(5,MATCH(MAX(Reference!$A$6,MIN(Reference!$A$11,MIN(D22,240))),Reference!$A$6:$A$11,1)))+(MAX(Reference!$A$6,MIN(Reference!$A$11,MIN(D22,240)))-INDEX(Reference!$A$6:$A$11,MIN(5,MATCH(MAX(Reference!$A$6,MIN(Reference!$A$11,MIN(D22,240))),Reference!$A$6:$A$11,1))))*(INDEX(Reference!$B$6:$B$11,MIN(5,MATCH(MAX(Reference!$A$6,MIN(Reference!$A$11,MIN(D22,240))),Reference!$A$6:$A$11,1))+1)-INDEX(Reference!$B$6:$B$11,MIN(5,MATCH(MAX(Reference!$A$6,MIN(Reference!$A$11,MIN(D22,240))),Reference!$A$6:$A$11,1))))/(INDEX(Reference!$A$6:$A$11,MIN(5,MATCH(MAX(Reference!$A$6,MIN(Reference!$A$11,MIN(D22,240))),Reference!$A$6:$A$11,1))+1)-INDEX(Reference!$A$6:$A$11,MIN(5,MATCH(MAX(Reference!$A$6,MIN(Reference!$A$11,MIN(D22,240))),Reference!$A$6:$A$11,1))))),0)+IF(7&lt;=AE22,(AE22-7+3)*(INDEX(Reference!$B$6:$B$11,MIN(5,MATCH(MAX(Reference!$A$6,MIN(Reference!$A$11,MIN(D22,270))),Reference!$A$6:$A$11,1)))+(MAX(Reference!$A$6,MIN(Reference!$A$11,MIN(D22,270)))-INDEX(Reference!$A$6:$A$11,MIN(5,MATCH(MAX(Reference!$A$6,MIN(Reference!$A$11,MIN(D22,270))),Reference!$A$6:$A$11,1))))*(INDEX(Reference!$B$6:$B$11,MIN(5,MATCH(MAX(Reference!$A$6,MIN(Reference!$A$11,MIN(D22,270))),Reference!$A$6:$A$11,1))+1)-INDEX(Reference!$B$6:$B$11,MIN(5,MATCH(MAX(Reference!$A$6,MIN(Reference!$A$11,MIN(D22,270))),Reference!$A$6:$A$11,1))))/(INDEX(Reference!$A$6:$A$11,MIN(5,MATCH(MAX(Reference!$A$6,MIN(Reference!$A$11,MIN(D22,270))),Reference!$A$6:$A$11,1))+1)-INDEX(Reference!$A$6:$A$11,MIN(5,MATCH(MAX(Reference!$A$6,MIN(Reference!$A$11,MIN(D22,270))),Reference!$A$6:$A$11,1))))),0)+IF(8&lt;=AE22,(AE22-8+3)*(INDEX(Reference!$B$6:$B$11,MIN(5,MATCH(MAX(Reference!$A$6,MIN(Reference!$A$11,MIN(D22,300))),Reference!$A$6:$A$11,1)))+(MAX(Reference!$A$6,MIN(Reference!$A$11,MIN(D22,300)))-INDEX(Reference!$A$6:$A$11,MIN(5,MATCH(MAX(Reference!$A$6,MIN(Reference!$A$11,MIN(D22,300))),Reference!$A$6:$A$11,1))))*(INDEX(Reference!$B$6:$B$11,MIN(5,MATCH(MAX(Reference!$A$6,MIN(Reference!$A$11,MIN(D22,300))),Reference!$A$6:$A$11,1))+1)-INDEX(Reference!$B$6:$B$11,MIN(5,MATCH(MAX(Reference!$A$6,MIN(Reference!$A$11,MIN(D22,300))),Reference!$A$6:$A$11,1))))/(INDEX(Reference!$A$6:$A$11,MIN(5,MATCH(MAX(Reference!$A$6,MIN(Reference!$A$11,MIN(D22,300))),Reference!$A$6:$A$11,1))+1)-INDEX(Reference!$A$6:$A$11,MIN(5,MATCH(MAX(Reference!$A$6,MIN(Reference!$A$11,MIN(D22,300))),Reference!$A$6:$A$11,1))))),0))/(AE22*(AE22+5)/2)),(INDEX(Reference!$B$6:$B$11,MIN(5,MATCH(MAX(Reference!$A$6,MIN(Reference!$A$11,D22)),Reference!$A$6:$A$11,1)))+(MAX(Reference!$A$6,MIN(Reference!$A$11,D22))-INDEX(Reference!$A$6:$A$11,MIN(5,MATCH(MAX(Reference!$A$6,MIN(Reference!$A$11,D22)),Reference!$A$6:$A$11,1))))*(INDEX(Reference!$B$6:$B$11,MIN(5,MATCH(MAX(Reference!$A$6,MIN(Reference!$A$11,D22)),Reference!$A$6:$A$11,1))+1)-INDEX(Reference!$B$6:$B$11,MIN(5,MATCH(MAX(Reference!$A$6,MIN(Reference!$A$11,D22)),Reference!$A$6:$A$11,1))))/(INDEX(Reference!$A$6:$A$11,MIN(5,MATCH(MAX(Reference!$A$6,MIN(Reference!$A$11,D22)),Reference!$A$6:$A$11,1))+1)-INDEX(Reference!$A$6:$A$11,MIN(5,MATCH(MAX(Reference!$A$6,MIN(Reference!$A$11,D22)),Reference!$A$6:$A$11,1))))))))</f>
        <v>3</v>
      </c>
      <c r="P22" s="32">
        <f>IF(N22="","",VLOOKUP(MAX(N22,0),Reference!$A$17:$B$20,2,TRUE()))</f>
        <v>2</v>
      </c>
      <c r="Q22" s="32">
        <f t="shared" si="3"/>
        <v>162</v>
      </c>
      <c r="R22" s="31"/>
      <c r="S22" s="31"/>
      <c r="T22" s="31"/>
      <c r="U22" s="32" t="str">
        <f t="shared" si="4"/>
        <v/>
      </c>
      <c r="V22" s="32" t="str">
        <f t="shared" si="5"/>
        <v/>
      </c>
      <c r="W22" s="32" t="str">
        <f>IF(V22="","",VLOOKUP(MAX(V22,0),Reference!$A$17:$B$20,2,TRUE()))</f>
        <v/>
      </c>
      <c r="X22" s="31"/>
      <c r="Y22" s="31"/>
      <c r="Z22" s="31"/>
      <c r="AA22" s="32" t="str">
        <f t="shared" si="6"/>
        <v/>
      </c>
      <c r="AB22" s="32" t="str">
        <f t="shared" si="7"/>
        <v/>
      </c>
      <c r="AC22" s="32" t="str">
        <f>IF(AB22="","",VLOOKUP(MAX(AB22,0),Reference!$A$17:$B$20,2,TRUE()))</f>
        <v/>
      </c>
      <c r="AD22" s="31"/>
      <c r="AE22">
        <f t="shared" si="8"/>
        <v>1</v>
      </c>
      <c r="AF22" s="33">
        <f>IF(OR(A22="",B22="",AND(C22&lt;&gt;"Bullpen",C22&lt;&gt;"Game")),"",IF((COUNTIFS($B$5:$B$300,B22,$A$5:$A$300,A22-1,$C$5:$C$300,"Bullpen",$AG$5:$AG$300,"&gt;0") + COUNTIFS($B$5:$B$300,B22,$A$5:$A$300,A22-1,$C$5:$C$300,"Game",$AG$5:$AG$300,"&gt;0"))&gt;0,Reference!$B$119,IF((COUNTIFS($B$5:$B$300,B22,$A$5:$A$300,A22-2,$C$5:$C$300,"Bullpen",$AG$5:$AG$300,"&gt;0") + COUNTIFS($B$5:$B$300,B22,$A$5:$A$300,A22-2,$C$5:$C$300,"Game",$AG$5:$AG$300,"&gt;0"))&gt;0,Reference!$B$120,1)))</f>
        <v>1</v>
      </c>
      <c r="AG22" s="30">
        <f>IF(AND(OR(I22="",O22="",P22=""),OR(R22="",W22=""),OR(X22="",AC22="")),"",IF(OR(I22="",O22="",P22=""),0,I22*O22*P22)+IF(OR(R22="",W22=""),0,R22*IFERROR(INDEX(Reference!$B$61:$B$62,MATCH("Bullpen",Reference!$A$61:$A$62,0)),0)*W22)+IF(OR(X22="",AC22=""),0,X22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22))</f>
        <v>162</v>
      </c>
    </row>
    <row r="23" spans="1:33" x14ac:dyDescent="0.3">
      <c r="A23" s="35">
        <v>46283</v>
      </c>
      <c r="B23" s="31" t="s">
        <v>142</v>
      </c>
      <c r="C23" s="31" t="s">
        <v>55</v>
      </c>
      <c r="D23" s="31">
        <v>75</v>
      </c>
      <c r="E23" s="34">
        <v>7.2916666666666699E-2</v>
      </c>
      <c r="F23" s="34">
        <v>7.9861111111111105E-2</v>
      </c>
      <c r="G23" s="30">
        <f t="shared" si="0"/>
        <v>9.9999999999999449</v>
      </c>
      <c r="H23" s="31"/>
      <c r="I23" s="32">
        <f>IF(H23&lt;&gt;"",H23,IF(G23="","",ROUND(G23*IFERROR(INDEX(Reference!$B$44:$B$50,MATCH(C23,Reference!$A$44:$A$50,0)),0),0)))</f>
        <v>55</v>
      </c>
      <c r="J23" s="31">
        <v>72</v>
      </c>
      <c r="K23" s="31">
        <v>75</v>
      </c>
      <c r="L23" s="32">
        <f t="shared" si="1"/>
        <v>73.5</v>
      </c>
      <c r="M23" s="32">
        <f>IFERROR(INDEX(Roster!$D$5:$D$40,MATCH(B23,Roster!$A$5:$A$40,0)),"")</f>
        <v>87.9</v>
      </c>
      <c r="N23" s="32">
        <f t="shared" si="2"/>
        <v>14.400000000000006</v>
      </c>
      <c r="O23" s="32">
        <f>IF(OR(C23="Bullpen",C23="Game"),IFERROR(INDEX(Reference!$B$61:$B$62,MATCH(C23,Reference!$A$61:$A$62,0)),""),IF(D23="","",IF(AE23&gt;1,((IF(1&lt;=AE23,(AE23-1+3)*(INDEX(Reference!$B$6:$B$11,MIN(5,MATCH(MAX(Reference!$A$6,MIN(Reference!$A$11,MIN(D23,90))),Reference!$A$6:$A$11,1)))+(MAX(Reference!$A$6,MIN(Reference!$A$11,MIN(D23,90)))-INDEX(Reference!$A$6:$A$11,MIN(5,MATCH(MAX(Reference!$A$6,MIN(Reference!$A$11,MIN(D23,90))),Reference!$A$6:$A$11,1))))*(INDEX(Reference!$B$6:$B$11,MIN(5,MATCH(MAX(Reference!$A$6,MIN(Reference!$A$11,MIN(D23,90))),Reference!$A$6:$A$11,1))+1)-INDEX(Reference!$B$6:$B$11,MIN(5,MATCH(MAX(Reference!$A$6,MIN(Reference!$A$11,MIN(D23,90))),Reference!$A$6:$A$11,1))))/(INDEX(Reference!$A$6:$A$11,MIN(5,MATCH(MAX(Reference!$A$6,MIN(Reference!$A$11,MIN(D23,90))),Reference!$A$6:$A$11,1))+1)-INDEX(Reference!$A$6:$A$11,MIN(5,MATCH(MAX(Reference!$A$6,MIN(Reference!$A$11,MIN(D23,90))),Reference!$A$6:$A$11,1))))),0)+IF(2&lt;=AE23,(AE23-2+3)*(INDEX(Reference!$B$6:$B$11,MIN(5,MATCH(MAX(Reference!$A$6,MIN(Reference!$A$11,MIN(D23,120))),Reference!$A$6:$A$11,1)))+(MAX(Reference!$A$6,MIN(Reference!$A$11,MIN(D23,120)))-INDEX(Reference!$A$6:$A$11,MIN(5,MATCH(MAX(Reference!$A$6,MIN(Reference!$A$11,MIN(D23,120))),Reference!$A$6:$A$11,1))))*(INDEX(Reference!$B$6:$B$11,MIN(5,MATCH(MAX(Reference!$A$6,MIN(Reference!$A$11,MIN(D23,120))),Reference!$A$6:$A$11,1))+1)-INDEX(Reference!$B$6:$B$11,MIN(5,MATCH(MAX(Reference!$A$6,MIN(Reference!$A$11,MIN(D23,120))),Reference!$A$6:$A$11,1))))/(INDEX(Reference!$A$6:$A$11,MIN(5,MATCH(MAX(Reference!$A$6,MIN(Reference!$A$11,MIN(D23,120))),Reference!$A$6:$A$11,1))+1)-INDEX(Reference!$A$6:$A$11,MIN(5,MATCH(MAX(Reference!$A$6,MIN(Reference!$A$11,MIN(D23,120))),Reference!$A$6:$A$11,1))))),0)+IF(3&lt;=AE23,(AE23-3+3)*(INDEX(Reference!$B$6:$B$11,MIN(5,MATCH(MAX(Reference!$A$6,MIN(Reference!$A$11,MIN(D23,150))),Reference!$A$6:$A$11,1)))+(MAX(Reference!$A$6,MIN(Reference!$A$11,MIN(D23,150)))-INDEX(Reference!$A$6:$A$11,MIN(5,MATCH(MAX(Reference!$A$6,MIN(Reference!$A$11,MIN(D23,150))),Reference!$A$6:$A$11,1))))*(INDEX(Reference!$B$6:$B$11,MIN(5,MATCH(MAX(Reference!$A$6,MIN(Reference!$A$11,MIN(D23,150))),Reference!$A$6:$A$11,1))+1)-INDEX(Reference!$B$6:$B$11,MIN(5,MATCH(MAX(Reference!$A$6,MIN(Reference!$A$11,MIN(D23,150))),Reference!$A$6:$A$11,1))))/(INDEX(Reference!$A$6:$A$11,MIN(5,MATCH(MAX(Reference!$A$6,MIN(Reference!$A$11,MIN(D23,150))),Reference!$A$6:$A$11,1))+1)-INDEX(Reference!$A$6:$A$11,MIN(5,MATCH(MAX(Reference!$A$6,MIN(Reference!$A$11,MIN(D23,150))),Reference!$A$6:$A$11,1))))),0)+IF(4&lt;=AE23,(AE23-4+3)*(INDEX(Reference!$B$6:$B$11,MIN(5,MATCH(MAX(Reference!$A$6,MIN(Reference!$A$11,MIN(D23,180))),Reference!$A$6:$A$11,1)))+(MAX(Reference!$A$6,MIN(Reference!$A$11,MIN(D23,180)))-INDEX(Reference!$A$6:$A$11,MIN(5,MATCH(MAX(Reference!$A$6,MIN(Reference!$A$11,MIN(D23,180))),Reference!$A$6:$A$11,1))))*(INDEX(Reference!$B$6:$B$11,MIN(5,MATCH(MAX(Reference!$A$6,MIN(Reference!$A$11,MIN(D23,180))),Reference!$A$6:$A$11,1))+1)-INDEX(Reference!$B$6:$B$11,MIN(5,MATCH(MAX(Reference!$A$6,MIN(Reference!$A$11,MIN(D23,180))),Reference!$A$6:$A$11,1))))/(INDEX(Reference!$A$6:$A$11,MIN(5,MATCH(MAX(Reference!$A$6,MIN(Reference!$A$11,MIN(D23,180))),Reference!$A$6:$A$11,1))+1)-INDEX(Reference!$A$6:$A$11,MIN(5,MATCH(MAX(Reference!$A$6,MIN(Reference!$A$11,MIN(D23,180))),Reference!$A$6:$A$11,1))))),0)+IF(5&lt;=AE23,(AE23-5+3)*(INDEX(Reference!$B$6:$B$11,MIN(5,MATCH(MAX(Reference!$A$6,MIN(Reference!$A$11,MIN(D23,210))),Reference!$A$6:$A$11,1)))+(MAX(Reference!$A$6,MIN(Reference!$A$11,MIN(D23,210)))-INDEX(Reference!$A$6:$A$11,MIN(5,MATCH(MAX(Reference!$A$6,MIN(Reference!$A$11,MIN(D23,210))),Reference!$A$6:$A$11,1))))*(INDEX(Reference!$B$6:$B$11,MIN(5,MATCH(MAX(Reference!$A$6,MIN(Reference!$A$11,MIN(D23,210))),Reference!$A$6:$A$11,1))+1)-INDEX(Reference!$B$6:$B$11,MIN(5,MATCH(MAX(Reference!$A$6,MIN(Reference!$A$11,MIN(D23,210))),Reference!$A$6:$A$11,1))))/(INDEX(Reference!$A$6:$A$11,MIN(5,MATCH(MAX(Reference!$A$6,MIN(Reference!$A$11,MIN(D23,210))),Reference!$A$6:$A$11,1))+1)-INDEX(Reference!$A$6:$A$11,MIN(5,MATCH(MAX(Reference!$A$6,MIN(Reference!$A$11,MIN(D23,210))),Reference!$A$6:$A$11,1))))),0)+IF(6&lt;=AE23,(AE23-6+3)*(INDEX(Reference!$B$6:$B$11,MIN(5,MATCH(MAX(Reference!$A$6,MIN(Reference!$A$11,MIN(D23,240))),Reference!$A$6:$A$11,1)))+(MAX(Reference!$A$6,MIN(Reference!$A$11,MIN(D23,240)))-INDEX(Reference!$A$6:$A$11,MIN(5,MATCH(MAX(Reference!$A$6,MIN(Reference!$A$11,MIN(D23,240))),Reference!$A$6:$A$11,1))))*(INDEX(Reference!$B$6:$B$11,MIN(5,MATCH(MAX(Reference!$A$6,MIN(Reference!$A$11,MIN(D23,240))),Reference!$A$6:$A$11,1))+1)-INDEX(Reference!$B$6:$B$11,MIN(5,MATCH(MAX(Reference!$A$6,MIN(Reference!$A$11,MIN(D23,240))),Reference!$A$6:$A$11,1))))/(INDEX(Reference!$A$6:$A$11,MIN(5,MATCH(MAX(Reference!$A$6,MIN(Reference!$A$11,MIN(D23,240))),Reference!$A$6:$A$11,1))+1)-INDEX(Reference!$A$6:$A$11,MIN(5,MATCH(MAX(Reference!$A$6,MIN(Reference!$A$11,MIN(D23,240))),Reference!$A$6:$A$11,1))))),0)+IF(7&lt;=AE23,(AE23-7+3)*(INDEX(Reference!$B$6:$B$11,MIN(5,MATCH(MAX(Reference!$A$6,MIN(Reference!$A$11,MIN(D23,270))),Reference!$A$6:$A$11,1)))+(MAX(Reference!$A$6,MIN(Reference!$A$11,MIN(D23,270)))-INDEX(Reference!$A$6:$A$11,MIN(5,MATCH(MAX(Reference!$A$6,MIN(Reference!$A$11,MIN(D23,270))),Reference!$A$6:$A$11,1))))*(INDEX(Reference!$B$6:$B$11,MIN(5,MATCH(MAX(Reference!$A$6,MIN(Reference!$A$11,MIN(D23,270))),Reference!$A$6:$A$11,1))+1)-INDEX(Reference!$B$6:$B$11,MIN(5,MATCH(MAX(Reference!$A$6,MIN(Reference!$A$11,MIN(D23,270))),Reference!$A$6:$A$11,1))))/(INDEX(Reference!$A$6:$A$11,MIN(5,MATCH(MAX(Reference!$A$6,MIN(Reference!$A$11,MIN(D23,270))),Reference!$A$6:$A$11,1))+1)-INDEX(Reference!$A$6:$A$11,MIN(5,MATCH(MAX(Reference!$A$6,MIN(Reference!$A$11,MIN(D23,270))),Reference!$A$6:$A$11,1))))),0)+IF(8&lt;=AE23,(AE23-8+3)*(INDEX(Reference!$B$6:$B$11,MIN(5,MATCH(MAX(Reference!$A$6,MIN(Reference!$A$11,MIN(D23,300))),Reference!$A$6:$A$11,1)))+(MAX(Reference!$A$6,MIN(Reference!$A$11,MIN(D23,300)))-INDEX(Reference!$A$6:$A$11,MIN(5,MATCH(MAX(Reference!$A$6,MIN(Reference!$A$11,MIN(D23,300))),Reference!$A$6:$A$11,1))))*(INDEX(Reference!$B$6:$B$11,MIN(5,MATCH(MAX(Reference!$A$6,MIN(Reference!$A$11,MIN(D23,300))),Reference!$A$6:$A$11,1))+1)-INDEX(Reference!$B$6:$B$11,MIN(5,MATCH(MAX(Reference!$A$6,MIN(Reference!$A$11,MIN(D23,300))),Reference!$A$6:$A$11,1))))/(INDEX(Reference!$A$6:$A$11,MIN(5,MATCH(MAX(Reference!$A$6,MIN(Reference!$A$11,MIN(D23,300))),Reference!$A$6:$A$11,1))+1)-INDEX(Reference!$A$6:$A$11,MIN(5,MATCH(MAX(Reference!$A$6,MIN(Reference!$A$11,MIN(D23,300))),Reference!$A$6:$A$11,1))))),0))/(AE23*(AE23+5)/2)),(INDEX(Reference!$B$6:$B$11,MIN(5,MATCH(MAX(Reference!$A$6,MIN(Reference!$A$11,D23)),Reference!$A$6:$A$11,1)))+(MAX(Reference!$A$6,MIN(Reference!$A$11,D23))-INDEX(Reference!$A$6:$A$11,MIN(5,MATCH(MAX(Reference!$A$6,MIN(Reference!$A$11,D23)),Reference!$A$6:$A$11,1))))*(INDEX(Reference!$B$6:$B$11,MIN(5,MATCH(MAX(Reference!$A$6,MIN(Reference!$A$11,D23)),Reference!$A$6:$A$11,1))+1)-INDEX(Reference!$B$6:$B$11,MIN(5,MATCH(MAX(Reference!$A$6,MIN(Reference!$A$11,D23)),Reference!$A$6:$A$11,1))))/(INDEX(Reference!$A$6:$A$11,MIN(5,MATCH(MAX(Reference!$A$6,MIN(Reference!$A$11,D23)),Reference!$A$6:$A$11,1))+1)-INDEX(Reference!$A$6:$A$11,MIN(5,MATCH(MAX(Reference!$A$6,MIN(Reference!$A$11,D23)),Reference!$A$6:$A$11,1))))))))</f>
        <v>1.1499999999999999</v>
      </c>
      <c r="P23" s="32">
        <f>IF(N23="","",VLOOKUP(MAX(N23,0),Reference!$A$17:$B$20,2,TRUE()))</f>
        <v>0.6</v>
      </c>
      <c r="Q23" s="32">
        <f t="shared" si="3"/>
        <v>37.949999999999996</v>
      </c>
      <c r="R23" s="31"/>
      <c r="S23" s="31"/>
      <c r="T23" s="31"/>
      <c r="U23" s="32" t="str">
        <f t="shared" si="4"/>
        <v/>
      </c>
      <c r="V23" s="32" t="str">
        <f t="shared" si="5"/>
        <v/>
      </c>
      <c r="W23" s="32" t="str">
        <f>IF(V23="","",VLOOKUP(MAX(V23,0),Reference!$A$17:$B$20,2,TRUE()))</f>
        <v/>
      </c>
      <c r="X23" s="31"/>
      <c r="Y23" s="31"/>
      <c r="Z23" s="31"/>
      <c r="AA23" s="32" t="str">
        <f t="shared" si="6"/>
        <v/>
      </c>
      <c r="AB23" s="32" t="str">
        <f t="shared" si="7"/>
        <v/>
      </c>
      <c r="AC23" s="32" t="str">
        <f>IF(AB23="","",VLOOKUP(MAX(AB23,0),Reference!$A$17:$B$20,2,TRUE()))</f>
        <v/>
      </c>
      <c r="AD23" s="31"/>
      <c r="AE23">
        <f t="shared" si="8"/>
        <v>1</v>
      </c>
      <c r="AF23" s="33" t="str">
        <f>IF(OR(A23="",B23="",AND(C23&lt;&gt;"Bullpen",C23&lt;&gt;"Game")),"",IF((COUNTIFS($B$5:$B$300,B23,$A$5:$A$300,A23-1,$C$5:$C$300,"Bullpen",$AG$5:$AG$300,"&gt;0") + COUNTIFS($B$5:$B$300,B23,$A$5:$A$300,A23-1,$C$5:$C$300,"Game",$AG$5:$AG$300,"&gt;0"))&gt;0,Reference!$B$119,IF((COUNTIFS($B$5:$B$300,B23,$A$5:$A$300,A23-2,$C$5:$C$300,"Bullpen",$AG$5:$AG$300,"&gt;0") + COUNTIFS($B$5:$B$300,B23,$A$5:$A$300,A23-2,$C$5:$C$300,"Game",$AG$5:$AG$300,"&gt;0"))&gt;0,Reference!$B$120,1)))</f>
        <v/>
      </c>
      <c r="AG23" s="30">
        <f>IF(AND(OR(I23="",O23="",P23=""),OR(R23="",W23=""),OR(X23="",AC23="")),"",IF(OR(I23="",O23="",P23=""),0,I23*O23*P23)+IF(OR(R23="",W23=""),0,R23*IFERROR(INDEX(Reference!$B$61:$B$62,MATCH("Bullpen",Reference!$A$61:$A$62,0)),0)*W23)+IF(OR(X23="",AC23=""),0,X23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23))</f>
        <v>37.949999999999996</v>
      </c>
    </row>
    <row r="24" spans="1:33" x14ac:dyDescent="0.3">
      <c r="A24" s="35">
        <v>46284</v>
      </c>
      <c r="B24" s="31" t="s">
        <v>142</v>
      </c>
      <c r="C24" s="31" t="s">
        <v>49</v>
      </c>
      <c r="D24" s="31">
        <v>0</v>
      </c>
      <c r="E24" s="34"/>
      <c r="F24" s="34"/>
      <c r="G24" s="30" t="str">
        <f t="shared" si="0"/>
        <v/>
      </c>
      <c r="H24" s="31"/>
      <c r="I24" s="32" t="str">
        <f>IF(H24&lt;&gt;"",H24,IF(G24="","",ROUND(G24*IFERROR(INDEX(Reference!$B$44:$B$50,MATCH(C24,Reference!$A$44:$A$50,0)),0),0)))</f>
        <v/>
      </c>
      <c r="J24" s="31"/>
      <c r="K24" s="31"/>
      <c r="L24" s="32" t="str">
        <f t="shared" si="1"/>
        <v/>
      </c>
      <c r="M24" s="32">
        <f>IFERROR(INDEX(Roster!$D$5:$D$40,MATCH(B24,Roster!$A$5:$A$40,0)),"")</f>
        <v>87.9</v>
      </c>
      <c r="N24" s="32" t="str">
        <f t="shared" si="2"/>
        <v/>
      </c>
      <c r="O24" s="32">
        <f>IF(OR(C24="Bullpen",C24="Game"),IFERROR(INDEX(Reference!$B$61:$B$62,MATCH(C24,Reference!$A$61:$A$62,0)),""),IF(D24="","",IF(AE24&gt;1,((IF(1&lt;=AE24,(AE24-1+3)*(INDEX(Reference!$B$6:$B$11,MIN(5,MATCH(MAX(Reference!$A$6,MIN(Reference!$A$11,MIN(D24,90))),Reference!$A$6:$A$11,1)))+(MAX(Reference!$A$6,MIN(Reference!$A$11,MIN(D24,90)))-INDEX(Reference!$A$6:$A$11,MIN(5,MATCH(MAX(Reference!$A$6,MIN(Reference!$A$11,MIN(D24,90))),Reference!$A$6:$A$11,1))))*(INDEX(Reference!$B$6:$B$11,MIN(5,MATCH(MAX(Reference!$A$6,MIN(Reference!$A$11,MIN(D24,90))),Reference!$A$6:$A$11,1))+1)-INDEX(Reference!$B$6:$B$11,MIN(5,MATCH(MAX(Reference!$A$6,MIN(Reference!$A$11,MIN(D24,90))),Reference!$A$6:$A$11,1))))/(INDEX(Reference!$A$6:$A$11,MIN(5,MATCH(MAX(Reference!$A$6,MIN(Reference!$A$11,MIN(D24,90))),Reference!$A$6:$A$11,1))+1)-INDEX(Reference!$A$6:$A$11,MIN(5,MATCH(MAX(Reference!$A$6,MIN(Reference!$A$11,MIN(D24,90))),Reference!$A$6:$A$11,1))))),0)+IF(2&lt;=AE24,(AE24-2+3)*(INDEX(Reference!$B$6:$B$11,MIN(5,MATCH(MAX(Reference!$A$6,MIN(Reference!$A$11,MIN(D24,120))),Reference!$A$6:$A$11,1)))+(MAX(Reference!$A$6,MIN(Reference!$A$11,MIN(D24,120)))-INDEX(Reference!$A$6:$A$11,MIN(5,MATCH(MAX(Reference!$A$6,MIN(Reference!$A$11,MIN(D24,120))),Reference!$A$6:$A$11,1))))*(INDEX(Reference!$B$6:$B$11,MIN(5,MATCH(MAX(Reference!$A$6,MIN(Reference!$A$11,MIN(D24,120))),Reference!$A$6:$A$11,1))+1)-INDEX(Reference!$B$6:$B$11,MIN(5,MATCH(MAX(Reference!$A$6,MIN(Reference!$A$11,MIN(D24,120))),Reference!$A$6:$A$11,1))))/(INDEX(Reference!$A$6:$A$11,MIN(5,MATCH(MAX(Reference!$A$6,MIN(Reference!$A$11,MIN(D24,120))),Reference!$A$6:$A$11,1))+1)-INDEX(Reference!$A$6:$A$11,MIN(5,MATCH(MAX(Reference!$A$6,MIN(Reference!$A$11,MIN(D24,120))),Reference!$A$6:$A$11,1))))),0)+IF(3&lt;=AE24,(AE24-3+3)*(INDEX(Reference!$B$6:$B$11,MIN(5,MATCH(MAX(Reference!$A$6,MIN(Reference!$A$11,MIN(D24,150))),Reference!$A$6:$A$11,1)))+(MAX(Reference!$A$6,MIN(Reference!$A$11,MIN(D24,150)))-INDEX(Reference!$A$6:$A$11,MIN(5,MATCH(MAX(Reference!$A$6,MIN(Reference!$A$11,MIN(D24,150))),Reference!$A$6:$A$11,1))))*(INDEX(Reference!$B$6:$B$11,MIN(5,MATCH(MAX(Reference!$A$6,MIN(Reference!$A$11,MIN(D24,150))),Reference!$A$6:$A$11,1))+1)-INDEX(Reference!$B$6:$B$11,MIN(5,MATCH(MAX(Reference!$A$6,MIN(Reference!$A$11,MIN(D24,150))),Reference!$A$6:$A$11,1))))/(INDEX(Reference!$A$6:$A$11,MIN(5,MATCH(MAX(Reference!$A$6,MIN(Reference!$A$11,MIN(D24,150))),Reference!$A$6:$A$11,1))+1)-INDEX(Reference!$A$6:$A$11,MIN(5,MATCH(MAX(Reference!$A$6,MIN(Reference!$A$11,MIN(D24,150))),Reference!$A$6:$A$11,1))))),0)+IF(4&lt;=AE24,(AE24-4+3)*(INDEX(Reference!$B$6:$B$11,MIN(5,MATCH(MAX(Reference!$A$6,MIN(Reference!$A$11,MIN(D24,180))),Reference!$A$6:$A$11,1)))+(MAX(Reference!$A$6,MIN(Reference!$A$11,MIN(D24,180)))-INDEX(Reference!$A$6:$A$11,MIN(5,MATCH(MAX(Reference!$A$6,MIN(Reference!$A$11,MIN(D24,180))),Reference!$A$6:$A$11,1))))*(INDEX(Reference!$B$6:$B$11,MIN(5,MATCH(MAX(Reference!$A$6,MIN(Reference!$A$11,MIN(D24,180))),Reference!$A$6:$A$11,1))+1)-INDEX(Reference!$B$6:$B$11,MIN(5,MATCH(MAX(Reference!$A$6,MIN(Reference!$A$11,MIN(D24,180))),Reference!$A$6:$A$11,1))))/(INDEX(Reference!$A$6:$A$11,MIN(5,MATCH(MAX(Reference!$A$6,MIN(Reference!$A$11,MIN(D24,180))),Reference!$A$6:$A$11,1))+1)-INDEX(Reference!$A$6:$A$11,MIN(5,MATCH(MAX(Reference!$A$6,MIN(Reference!$A$11,MIN(D24,180))),Reference!$A$6:$A$11,1))))),0)+IF(5&lt;=AE24,(AE24-5+3)*(INDEX(Reference!$B$6:$B$11,MIN(5,MATCH(MAX(Reference!$A$6,MIN(Reference!$A$11,MIN(D24,210))),Reference!$A$6:$A$11,1)))+(MAX(Reference!$A$6,MIN(Reference!$A$11,MIN(D24,210)))-INDEX(Reference!$A$6:$A$11,MIN(5,MATCH(MAX(Reference!$A$6,MIN(Reference!$A$11,MIN(D24,210))),Reference!$A$6:$A$11,1))))*(INDEX(Reference!$B$6:$B$11,MIN(5,MATCH(MAX(Reference!$A$6,MIN(Reference!$A$11,MIN(D24,210))),Reference!$A$6:$A$11,1))+1)-INDEX(Reference!$B$6:$B$11,MIN(5,MATCH(MAX(Reference!$A$6,MIN(Reference!$A$11,MIN(D24,210))),Reference!$A$6:$A$11,1))))/(INDEX(Reference!$A$6:$A$11,MIN(5,MATCH(MAX(Reference!$A$6,MIN(Reference!$A$11,MIN(D24,210))),Reference!$A$6:$A$11,1))+1)-INDEX(Reference!$A$6:$A$11,MIN(5,MATCH(MAX(Reference!$A$6,MIN(Reference!$A$11,MIN(D24,210))),Reference!$A$6:$A$11,1))))),0)+IF(6&lt;=AE24,(AE24-6+3)*(INDEX(Reference!$B$6:$B$11,MIN(5,MATCH(MAX(Reference!$A$6,MIN(Reference!$A$11,MIN(D24,240))),Reference!$A$6:$A$11,1)))+(MAX(Reference!$A$6,MIN(Reference!$A$11,MIN(D24,240)))-INDEX(Reference!$A$6:$A$11,MIN(5,MATCH(MAX(Reference!$A$6,MIN(Reference!$A$11,MIN(D24,240))),Reference!$A$6:$A$11,1))))*(INDEX(Reference!$B$6:$B$11,MIN(5,MATCH(MAX(Reference!$A$6,MIN(Reference!$A$11,MIN(D24,240))),Reference!$A$6:$A$11,1))+1)-INDEX(Reference!$B$6:$B$11,MIN(5,MATCH(MAX(Reference!$A$6,MIN(Reference!$A$11,MIN(D24,240))),Reference!$A$6:$A$11,1))))/(INDEX(Reference!$A$6:$A$11,MIN(5,MATCH(MAX(Reference!$A$6,MIN(Reference!$A$11,MIN(D24,240))),Reference!$A$6:$A$11,1))+1)-INDEX(Reference!$A$6:$A$11,MIN(5,MATCH(MAX(Reference!$A$6,MIN(Reference!$A$11,MIN(D24,240))),Reference!$A$6:$A$11,1))))),0)+IF(7&lt;=AE24,(AE24-7+3)*(INDEX(Reference!$B$6:$B$11,MIN(5,MATCH(MAX(Reference!$A$6,MIN(Reference!$A$11,MIN(D24,270))),Reference!$A$6:$A$11,1)))+(MAX(Reference!$A$6,MIN(Reference!$A$11,MIN(D24,270)))-INDEX(Reference!$A$6:$A$11,MIN(5,MATCH(MAX(Reference!$A$6,MIN(Reference!$A$11,MIN(D24,270))),Reference!$A$6:$A$11,1))))*(INDEX(Reference!$B$6:$B$11,MIN(5,MATCH(MAX(Reference!$A$6,MIN(Reference!$A$11,MIN(D24,270))),Reference!$A$6:$A$11,1))+1)-INDEX(Reference!$B$6:$B$11,MIN(5,MATCH(MAX(Reference!$A$6,MIN(Reference!$A$11,MIN(D24,270))),Reference!$A$6:$A$11,1))))/(INDEX(Reference!$A$6:$A$11,MIN(5,MATCH(MAX(Reference!$A$6,MIN(Reference!$A$11,MIN(D24,270))),Reference!$A$6:$A$11,1))+1)-INDEX(Reference!$A$6:$A$11,MIN(5,MATCH(MAX(Reference!$A$6,MIN(Reference!$A$11,MIN(D24,270))),Reference!$A$6:$A$11,1))))),0)+IF(8&lt;=AE24,(AE24-8+3)*(INDEX(Reference!$B$6:$B$11,MIN(5,MATCH(MAX(Reference!$A$6,MIN(Reference!$A$11,MIN(D24,300))),Reference!$A$6:$A$11,1)))+(MAX(Reference!$A$6,MIN(Reference!$A$11,MIN(D24,300)))-INDEX(Reference!$A$6:$A$11,MIN(5,MATCH(MAX(Reference!$A$6,MIN(Reference!$A$11,MIN(D24,300))),Reference!$A$6:$A$11,1))))*(INDEX(Reference!$B$6:$B$11,MIN(5,MATCH(MAX(Reference!$A$6,MIN(Reference!$A$11,MIN(D24,300))),Reference!$A$6:$A$11,1))+1)-INDEX(Reference!$B$6:$B$11,MIN(5,MATCH(MAX(Reference!$A$6,MIN(Reference!$A$11,MIN(D24,300))),Reference!$A$6:$A$11,1))))/(INDEX(Reference!$A$6:$A$11,MIN(5,MATCH(MAX(Reference!$A$6,MIN(Reference!$A$11,MIN(D24,300))),Reference!$A$6:$A$11,1))+1)-INDEX(Reference!$A$6:$A$11,MIN(5,MATCH(MAX(Reference!$A$6,MIN(Reference!$A$11,MIN(D24,300))),Reference!$A$6:$A$11,1))))),0))/(AE24*(AE24+5)/2)),(INDEX(Reference!$B$6:$B$11,MIN(5,MATCH(MAX(Reference!$A$6,MIN(Reference!$A$11,D24)),Reference!$A$6:$A$11,1)))+(MAX(Reference!$A$6,MIN(Reference!$A$11,D24))-INDEX(Reference!$A$6:$A$11,MIN(5,MATCH(MAX(Reference!$A$6,MIN(Reference!$A$11,D24)),Reference!$A$6:$A$11,1))))*(INDEX(Reference!$B$6:$B$11,MIN(5,MATCH(MAX(Reference!$A$6,MIN(Reference!$A$11,D24)),Reference!$A$6:$A$11,1))+1)-INDEX(Reference!$B$6:$B$11,MIN(5,MATCH(MAX(Reference!$A$6,MIN(Reference!$A$11,D24)),Reference!$A$6:$A$11,1))))/(INDEX(Reference!$A$6:$A$11,MIN(5,MATCH(MAX(Reference!$A$6,MIN(Reference!$A$11,D24)),Reference!$A$6:$A$11,1))+1)-INDEX(Reference!$A$6:$A$11,MIN(5,MATCH(MAX(Reference!$A$6,MIN(Reference!$A$11,D24)),Reference!$A$6:$A$11,1))))))))</f>
        <v>1</v>
      </c>
      <c r="P24" s="32" t="str">
        <f>IF(N24="","",VLOOKUP(MAX(N24,0),Reference!$A$17:$B$20,2,TRUE()))</f>
        <v/>
      </c>
      <c r="Q24" s="32" t="str">
        <f t="shared" si="3"/>
        <v/>
      </c>
      <c r="R24" s="31"/>
      <c r="S24" s="31"/>
      <c r="T24" s="31"/>
      <c r="U24" s="32" t="str">
        <f t="shared" si="4"/>
        <v/>
      </c>
      <c r="V24" s="32" t="str">
        <f t="shared" si="5"/>
        <v/>
      </c>
      <c r="W24" s="32" t="str">
        <f>IF(V24="","",VLOOKUP(MAX(V24,0),Reference!$A$17:$B$20,2,TRUE()))</f>
        <v/>
      </c>
      <c r="X24" s="31"/>
      <c r="Y24" s="31"/>
      <c r="Z24" s="31"/>
      <c r="AA24" s="32" t="str">
        <f t="shared" si="6"/>
        <v/>
      </c>
      <c r="AB24" s="32" t="str">
        <f t="shared" si="7"/>
        <v/>
      </c>
      <c r="AC24" s="32" t="str">
        <f>IF(AB24="","",VLOOKUP(MAX(AB24,0),Reference!$A$17:$B$20,2,TRUE()))</f>
        <v/>
      </c>
      <c r="AD24" s="31"/>
      <c r="AE24">
        <f t="shared" si="8"/>
        <v>1</v>
      </c>
      <c r="AF24" s="33" t="str">
        <f>IF(OR(A24="",B24="",AND(C24&lt;&gt;"Bullpen",C24&lt;&gt;"Game")),"",IF((COUNTIFS($B$5:$B$300,B24,$A$5:$A$300,A24-1,$C$5:$C$300,"Bullpen",$AG$5:$AG$300,"&gt;0") + COUNTIFS($B$5:$B$300,B24,$A$5:$A$300,A24-1,$C$5:$C$300,"Game",$AG$5:$AG$300,"&gt;0"))&gt;0,Reference!$B$119,IF((COUNTIFS($B$5:$B$300,B24,$A$5:$A$300,A24-2,$C$5:$C$300,"Bullpen",$AG$5:$AG$300,"&gt;0") + COUNTIFS($B$5:$B$300,B24,$A$5:$A$300,A24-2,$C$5:$C$300,"Game",$AG$5:$AG$300,"&gt;0"))&gt;0,Reference!$B$120,1)))</f>
        <v/>
      </c>
      <c r="AG24" s="30" t="str">
        <f>IF(AND(OR(I24="",O24="",P24=""),OR(R24="",W24=""),OR(X24="",AC24="")),"",IF(OR(I24="",O24="",P24=""),0,I24*O24*P24)+IF(OR(R24="",W24=""),0,R24*IFERROR(INDEX(Reference!$B$61:$B$62,MATCH("Bullpen",Reference!$A$61:$A$62,0)),0)*W24)+IF(OR(X24="",AC24=""),0,X24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24))</f>
        <v/>
      </c>
    </row>
    <row r="25" spans="1:33" x14ac:dyDescent="0.3">
      <c r="A25" s="35">
        <v>46285</v>
      </c>
      <c r="B25" s="31" t="s">
        <v>142</v>
      </c>
      <c r="C25" s="31" t="s">
        <v>55</v>
      </c>
      <c r="D25" s="31">
        <v>75</v>
      </c>
      <c r="E25" s="34">
        <v>7.2916666666666699E-2</v>
      </c>
      <c r="F25" s="34">
        <v>7.9861111111111105E-2</v>
      </c>
      <c r="G25" s="30">
        <f t="shared" si="0"/>
        <v>9.9999999999999449</v>
      </c>
      <c r="H25" s="31"/>
      <c r="I25" s="32">
        <f>IF(H25&lt;&gt;"",H25,IF(G25="","",ROUND(G25*IFERROR(INDEX(Reference!$B$44:$B$50,MATCH(C25,Reference!$A$44:$A$50,0)),0),0)))</f>
        <v>55</v>
      </c>
      <c r="J25" s="31">
        <v>72</v>
      </c>
      <c r="K25" s="31">
        <v>75</v>
      </c>
      <c r="L25" s="32">
        <f t="shared" si="1"/>
        <v>73.5</v>
      </c>
      <c r="M25" s="32">
        <f>IFERROR(INDEX(Roster!$D$5:$D$40,MATCH(B25,Roster!$A$5:$A$40,0)),"")</f>
        <v>87.9</v>
      </c>
      <c r="N25" s="32">
        <f t="shared" si="2"/>
        <v>14.400000000000006</v>
      </c>
      <c r="O25" s="32">
        <f>IF(OR(C25="Bullpen",C25="Game"),IFERROR(INDEX(Reference!$B$61:$B$62,MATCH(C25,Reference!$A$61:$A$62,0)),""),IF(D25="","",IF(AE25&gt;1,((IF(1&lt;=AE25,(AE25-1+3)*(INDEX(Reference!$B$6:$B$11,MIN(5,MATCH(MAX(Reference!$A$6,MIN(Reference!$A$11,MIN(D25,90))),Reference!$A$6:$A$11,1)))+(MAX(Reference!$A$6,MIN(Reference!$A$11,MIN(D25,90)))-INDEX(Reference!$A$6:$A$11,MIN(5,MATCH(MAX(Reference!$A$6,MIN(Reference!$A$11,MIN(D25,90))),Reference!$A$6:$A$11,1))))*(INDEX(Reference!$B$6:$B$11,MIN(5,MATCH(MAX(Reference!$A$6,MIN(Reference!$A$11,MIN(D25,90))),Reference!$A$6:$A$11,1))+1)-INDEX(Reference!$B$6:$B$11,MIN(5,MATCH(MAX(Reference!$A$6,MIN(Reference!$A$11,MIN(D25,90))),Reference!$A$6:$A$11,1))))/(INDEX(Reference!$A$6:$A$11,MIN(5,MATCH(MAX(Reference!$A$6,MIN(Reference!$A$11,MIN(D25,90))),Reference!$A$6:$A$11,1))+1)-INDEX(Reference!$A$6:$A$11,MIN(5,MATCH(MAX(Reference!$A$6,MIN(Reference!$A$11,MIN(D25,90))),Reference!$A$6:$A$11,1))))),0)+IF(2&lt;=AE25,(AE25-2+3)*(INDEX(Reference!$B$6:$B$11,MIN(5,MATCH(MAX(Reference!$A$6,MIN(Reference!$A$11,MIN(D25,120))),Reference!$A$6:$A$11,1)))+(MAX(Reference!$A$6,MIN(Reference!$A$11,MIN(D25,120)))-INDEX(Reference!$A$6:$A$11,MIN(5,MATCH(MAX(Reference!$A$6,MIN(Reference!$A$11,MIN(D25,120))),Reference!$A$6:$A$11,1))))*(INDEX(Reference!$B$6:$B$11,MIN(5,MATCH(MAX(Reference!$A$6,MIN(Reference!$A$11,MIN(D25,120))),Reference!$A$6:$A$11,1))+1)-INDEX(Reference!$B$6:$B$11,MIN(5,MATCH(MAX(Reference!$A$6,MIN(Reference!$A$11,MIN(D25,120))),Reference!$A$6:$A$11,1))))/(INDEX(Reference!$A$6:$A$11,MIN(5,MATCH(MAX(Reference!$A$6,MIN(Reference!$A$11,MIN(D25,120))),Reference!$A$6:$A$11,1))+1)-INDEX(Reference!$A$6:$A$11,MIN(5,MATCH(MAX(Reference!$A$6,MIN(Reference!$A$11,MIN(D25,120))),Reference!$A$6:$A$11,1))))),0)+IF(3&lt;=AE25,(AE25-3+3)*(INDEX(Reference!$B$6:$B$11,MIN(5,MATCH(MAX(Reference!$A$6,MIN(Reference!$A$11,MIN(D25,150))),Reference!$A$6:$A$11,1)))+(MAX(Reference!$A$6,MIN(Reference!$A$11,MIN(D25,150)))-INDEX(Reference!$A$6:$A$11,MIN(5,MATCH(MAX(Reference!$A$6,MIN(Reference!$A$11,MIN(D25,150))),Reference!$A$6:$A$11,1))))*(INDEX(Reference!$B$6:$B$11,MIN(5,MATCH(MAX(Reference!$A$6,MIN(Reference!$A$11,MIN(D25,150))),Reference!$A$6:$A$11,1))+1)-INDEX(Reference!$B$6:$B$11,MIN(5,MATCH(MAX(Reference!$A$6,MIN(Reference!$A$11,MIN(D25,150))),Reference!$A$6:$A$11,1))))/(INDEX(Reference!$A$6:$A$11,MIN(5,MATCH(MAX(Reference!$A$6,MIN(Reference!$A$11,MIN(D25,150))),Reference!$A$6:$A$11,1))+1)-INDEX(Reference!$A$6:$A$11,MIN(5,MATCH(MAX(Reference!$A$6,MIN(Reference!$A$11,MIN(D25,150))),Reference!$A$6:$A$11,1))))),0)+IF(4&lt;=AE25,(AE25-4+3)*(INDEX(Reference!$B$6:$B$11,MIN(5,MATCH(MAX(Reference!$A$6,MIN(Reference!$A$11,MIN(D25,180))),Reference!$A$6:$A$11,1)))+(MAX(Reference!$A$6,MIN(Reference!$A$11,MIN(D25,180)))-INDEX(Reference!$A$6:$A$11,MIN(5,MATCH(MAX(Reference!$A$6,MIN(Reference!$A$11,MIN(D25,180))),Reference!$A$6:$A$11,1))))*(INDEX(Reference!$B$6:$B$11,MIN(5,MATCH(MAX(Reference!$A$6,MIN(Reference!$A$11,MIN(D25,180))),Reference!$A$6:$A$11,1))+1)-INDEX(Reference!$B$6:$B$11,MIN(5,MATCH(MAX(Reference!$A$6,MIN(Reference!$A$11,MIN(D25,180))),Reference!$A$6:$A$11,1))))/(INDEX(Reference!$A$6:$A$11,MIN(5,MATCH(MAX(Reference!$A$6,MIN(Reference!$A$11,MIN(D25,180))),Reference!$A$6:$A$11,1))+1)-INDEX(Reference!$A$6:$A$11,MIN(5,MATCH(MAX(Reference!$A$6,MIN(Reference!$A$11,MIN(D25,180))),Reference!$A$6:$A$11,1))))),0)+IF(5&lt;=AE25,(AE25-5+3)*(INDEX(Reference!$B$6:$B$11,MIN(5,MATCH(MAX(Reference!$A$6,MIN(Reference!$A$11,MIN(D25,210))),Reference!$A$6:$A$11,1)))+(MAX(Reference!$A$6,MIN(Reference!$A$11,MIN(D25,210)))-INDEX(Reference!$A$6:$A$11,MIN(5,MATCH(MAX(Reference!$A$6,MIN(Reference!$A$11,MIN(D25,210))),Reference!$A$6:$A$11,1))))*(INDEX(Reference!$B$6:$B$11,MIN(5,MATCH(MAX(Reference!$A$6,MIN(Reference!$A$11,MIN(D25,210))),Reference!$A$6:$A$11,1))+1)-INDEX(Reference!$B$6:$B$11,MIN(5,MATCH(MAX(Reference!$A$6,MIN(Reference!$A$11,MIN(D25,210))),Reference!$A$6:$A$11,1))))/(INDEX(Reference!$A$6:$A$11,MIN(5,MATCH(MAX(Reference!$A$6,MIN(Reference!$A$11,MIN(D25,210))),Reference!$A$6:$A$11,1))+1)-INDEX(Reference!$A$6:$A$11,MIN(5,MATCH(MAX(Reference!$A$6,MIN(Reference!$A$11,MIN(D25,210))),Reference!$A$6:$A$11,1))))),0)+IF(6&lt;=AE25,(AE25-6+3)*(INDEX(Reference!$B$6:$B$11,MIN(5,MATCH(MAX(Reference!$A$6,MIN(Reference!$A$11,MIN(D25,240))),Reference!$A$6:$A$11,1)))+(MAX(Reference!$A$6,MIN(Reference!$A$11,MIN(D25,240)))-INDEX(Reference!$A$6:$A$11,MIN(5,MATCH(MAX(Reference!$A$6,MIN(Reference!$A$11,MIN(D25,240))),Reference!$A$6:$A$11,1))))*(INDEX(Reference!$B$6:$B$11,MIN(5,MATCH(MAX(Reference!$A$6,MIN(Reference!$A$11,MIN(D25,240))),Reference!$A$6:$A$11,1))+1)-INDEX(Reference!$B$6:$B$11,MIN(5,MATCH(MAX(Reference!$A$6,MIN(Reference!$A$11,MIN(D25,240))),Reference!$A$6:$A$11,1))))/(INDEX(Reference!$A$6:$A$11,MIN(5,MATCH(MAX(Reference!$A$6,MIN(Reference!$A$11,MIN(D25,240))),Reference!$A$6:$A$11,1))+1)-INDEX(Reference!$A$6:$A$11,MIN(5,MATCH(MAX(Reference!$A$6,MIN(Reference!$A$11,MIN(D25,240))),Reference!$A$6:$A$11,1))))),0)+IF(7&lt;=AE25,(AE25-7+3)*(INDEX(Reference!$B$6:$B$11,MIN(5,MATCH(MAX(Reference!$A$6,MIN(Reference!$A$11,MIN(D25,270))),Reference!$A$6:$A$11,1)))+(MAX(Reference!$A$6,MIN(Reference!$A$11,MIN(D25,270)))-INDEX(Reference!$A$6:$A$11,MIN(5,MATCH(MAX(Reference!$A$6,MIN(Reference!$A$11,MIN(D25,270))),Reference!$A$6:$A$11,1))))*(INDEX(Reference!$B$6:$B$11,MIN(5,MATCH(MAX(Reference!$A$6,MIN(Reference!$A$11,MIN(D25,270))),Reference!$A$6:$A$11,1))+1)-INDEX(Reference!$B$6:$B$11,MIN(5,MATCH(MAX(Reference!$A$6,MIN(Reference!$A$11,MIN(D25,270))),Reference!$A$6:$A$11,1))))/(INDEX(Reference!$A$6:$A$11,MIN(5,MATCH(MAX(Reference!$A$6,MIN(Reference!$A$11,MIN(D25,270))),Reference!$A$6:$A$11,1))+1)-INDEX(Reference!$A$6:$A$11,MIN(5,MATCH(MAX(Reference!$A$6,MIN(Reference!$A$11,MIN(D25,270))),Reference!$A$6:$A$11,1))))),0)+IF(8&lt;=AE25,(AE25-8+3)*(INDEX(Reference!$B$6:$B$11,MIN(5,MATCH(MAX(Reference!$A$6,MIN(Reference!$A$11,MIN(D25,300))),Reference!$A$6:$A$11,1)))+(MAX(Reference!$A$6,MIN(Reference!$A$11,MIN(D25,300)))-INDEX(Reference!$A$6:$A$11,MIN(5,MATCH(MAX(Reference!$A$6,MIN(Reference!$A$11,MIN(D25,300))),Reference!$A$6:$A$11,1))))*(INDEX(Reference!$B$6:$B$11,MIN(5,MATCH(MAX(Reference!$A$6,MIN(Reference!$A$11,MIN(D25,300))),Reference!$A$6:$A$11,1))+1)-INDEX(Reference!$B$6:$B$11,MIN(5,MATCH(MAX(Reference!$A$6,MIN(Reference!$A$11,MIN(D25,300))),Reference!$A$6:$A$11,1))))/(INDEX(Reference!$A$6:$A$11,MIN(5,MATCH(MAX(Reference!$A$6,MIN(Reference!$A$11,MIN(D25,300))),Reference!$A$6:$A$11,1))+1)-INDEX(Reference!$A$6:$A$11,MIN(5,MATCH(MAX(Reference!$A$6,MIN(Reference!$A$11,MIN(D25,300))),Reference!$A$6:$A$11,1))))),0))/(AE25*(AE25+5)/2)),(INDEX(Reference!$B$6:$B$11,MIN(5,MATCH(MAX(Reference!$A$6,MIN(Reference!$A$11,D25)),Reference!$A$6:$A$11,1)))+(MAX(Reference!$A$6,MIN(Reference!$A$11,D25))-INDEX(Reference!$A$6:$A$11,MIN(5,MATCH(MAX(Reference!$A$6,MIN(Reference!$A$11,D25)),Reference!$A$6:$A$11,1))))*(INDEX(Reference!$B$6:$B$11,MIN(5,MATCH(MAX(Reference!$A$6,MIN(Reference!$A$11,D25)),Reference!$A$6:$A$11,1))+1)-INDEX(Reference!$B$6:$B$11,MIN(5,MATCH(MAX(Reference!$A$6,MIN(Reference!$A$11,D25)),Reference!$A$6:$A$11,1))))/(INDEX(Reference!$A$6:$A$11,MIN(5,MATCH(MAX(Reference!$A$6,MIN(Reference!$A$11,D25)),Reference!$A$6:$A$11,1))+1)-INDEX(Reference!$A$6:$A$11,MIN(5,MATCH(MAX(Reference!$A$6,MIN(Reference!$A$11,D25)),Reference!$A$6:$A$11,1))))))))</f>
        <v>1.1499999999999999</v>
      </c>
      <c r="P25" s="32">
        <f>IF(N25="","",VLOOKUP(MAX(N25,0),Reference!$A$17:$B$20,2,TRUE()))</f>
        <v>0.6</v>
      </c>
      <c r="Q25" s="32">
        <f t="shared" si="3"/>
        <v>37.949999999999996</v>
      </c>
      <c r="R25" s="31"/>
      <c r="S25" s="31"/>
      <c r="T25" s="31"/>
      <c r="U25" s="32" t="str">
        <f t="shared" si="4"/>
        <v/>
      </c>
      <c r="V25" s="32" t="str">
        <f t="shared" si="5"/>
        <v/>
      </c>
      <c r="W25" s="32" t="str">
        <f>IF(V25="","",VLOOKUP(MAX(V25,0),Reference!$A$17:$B$20,2,TRUE()))</f>
        <v/>
      </c>
      <c r="X25" s="31"/>
      <c r="Y25" s="31"/>
      <c r="Z25" s="31"/>
      <c r="AA25" s="32" t="str">
        <f t="shared" si="6"/>
        <v/>
      </c>
      <c r="AB25" s="32" t="str">
        <f t="shared" si="7"/>
        <v/>
      </c>
      <c r="AC25" s="32" t="str">
        <f>IF(AB25="","",VLOOKUP(MAX(AB25,0),Reference!$A$17:$B$20,2,TRUE()))</f>
        <v/>
      </c>
      <c r="AD25" s="31"/>
      <c r="AE25">
        <f t="shared" si="8"/>
        <v>1</v>
      </c>
      <c r="AF25" s="33" t="str">
        <f>IF(OR(A25="",B25="",AND(C25&lt;&gt;"Bullpen",C25&lt;&gt;"Game")),"",IF((COUNTIFS($B$5:$B$300,B25,$A$5:$A$300,A25-1,$C$5:$C$300,"Bullpen",$AG$5:$AG$300,"&gt;0") + COUNTIFS($B$5:$B$300,B25,$A$5:$A$300,A25-1,$C$5:$C$300,"Game",$AG$5:$AG$300,"&gt;0"))&gt;0,Reference!$B$119,IF((COUNTIFS($B$5:$B$300,B25,$A$5:$A$300,A25-2,$C$5:$C$300,"Bullpen",$AG$5:$AG$300,"&gt;0") + COUNTIFS($B$5:$B$300,B25,$A$5:$A$300,A25-2,$C$5:$C$300,"Game",$AG$5:$AG$300,"&gt;0"))&gt;0,Reference!$B$120,1)))</f>
        <v/>
      </c>
      <c r="AG25" s="30">
        <f>IF(AND(OR(I25="",O25="",P25=""),OR(R25="",W25=""),OR(X25="",AC25="")),"",IF(OR(I25="",O25="",P25=""),0,I25*O25*P25)+IF(OR(R25="",W25=""),0,R25*IFERROR(INDEX(Reference!$B$61:$B$62,MATCH("Bullpen",Reference!$A$61:$A$62,0)),0)*W25)+IF(OR(X25="",AC25=""),0,X25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25))</f>
        <v>37.949999999999996</v>
      </c>
    </row>
    <row r="26" spans="1:33" x14ac:dyDescent="0.3">
      <c r="A26" s="35">
        <v>46286</v>
      </c>
      <c r="B26" s="31" t="s">
        <v>142</v>
      </c>
      <c r="C26" s="31" t="s">
        <v>52</v>
      </c>
      <c r="D26" s="31"/>
      <c r="E26" s="34">
        <v>7.2916666666666699E-2</v>
      </c>
      <c r="F26" s="34"/>
      <c r="G26" s="30" t="str">
        <f t="shared" si="0"/>
        <v/>
      </c>
      <c r="H26" s="31">
        <v>25</v>
      </c>
      <c r="I26" s="32">
        <f>IF(H26&lt;&gt;"",H26,IF(G26="","",ROUND(G26*IFERROR(INDEX(Reference!$B$44:$B$50,MATCH(C26,Reference!$A$44:$A$50,0)),0),0)))</f>
        <v>25</v>
      </c>
      <c r="J26" s="31">
        <v>86</v>
      </c>
      <c r="K26" s="31">
        <v>88</v>
      </c>
      <c r="L26" s="32">
        <f t="shared" si="1"/>
        <v>87</v>
      </c>
      <c r="M26" s="32">
        <f>IFERROR(INDEX(Roster!$D$5:$D$40,MATCH(B26,Roster!$A$5:$A$40,0)),"")</f>
        <v>87.9</v>
      </c>
      <c r="N26" s="32">
        <f t="shared" si="2"/>
        <v>0.90000000000000568</v>
      </c>
      <c r="O26" s="32">
        <f>IF(OR(C26="Bullpen",C26="Game"),IFERROR(INDEX(Reference!$B$61:$B$62,MATCH(C26,Reference!$A$61:$A$62,0)),""),IF(D26="","",IF(AE26&gt;1,((IF(1&lt;=AE26,(AE26-1+3)*(INDEX(Reference!$B$6:$B$11,MIN(5,MATCH(MAX(Reference!$A$6,MIN(Reference!$A$11,MIN(D26,90))),Reference!$A$6:$A$11,1)))+(MAX(Reference!$A$6,MIN(Reference!$A$11,MIN(D26,90)))-INDEX(Reference!$A$6:$A$11,MIN(5,MATCH(MAX(Reference!$A$6,MIN(Reference!$A$11,MIN(D26,90))),Reference!$A$6:$A$11,1))))*(INDEX(Reference!$B$6:$B$11,MIN(5,MATCH(MAX(Reference!$A$6,MIN(Reference!$A$11,MIN(D26,90))),Reference!$A$6:$A$11,1))+1)-INDEX(Reference!$B$6:$B$11,MIN(5,MATCH(MAX(Reference!$A$6,MIN(Reference!$A$11,MIN(D26,90))),Reference!$A$6:$A$11,1))))/(INDEX(Reference!$A$6:$A$11,MIN(5,MATCH(MAX(Reference!$A$6,MIN(Reference!$A$11,MIN(D26,90))),Reference!$A$6:$A$11,1))+1)-INDEX(Reference!$A$6:$A$11,MIN(5,MATCH(MAX(Reference!$A$6,MIN(Reference!$A$11,MIN(D26,90))),Reference!$A$6:$A$11,1))))),0)+IF(2&lt;=AE26,(AE26-2+3)*(INDEX(Reference!$B$6:$B$11,MIN(5,MATCH(MAX(Reference!$A$6,MIN(Reference!$A$11,MIN(D26,120))),Reference!$A$6:$A$11,1)))+(MAX(Reference!$A$6,MIN(Reference!$A$11,MIN(D26,120)))-INDEX(Reference!$A$6:$A$11,MIN(5,MATCH(MAX(Reference!$A$6,MIN(Reference!$A$11,MIN(D26,120))),Reference!$A$6:$A$11,1))))*(INDEX(Reference!$B$6:$B$11,MIN(5,MATCH(MAX(Reference!$A$6,MIN(Reference!$A$11,MIN(D26,120))),Reference!$A$6:$A$11,1))+1)-INDEX(Reference!$B$6:$B$11,MIN(5,MATCH(MAX(Reference!$A$6,MIN(Reference!$A$11,MIN(D26,120))),Reference!$A$6:$A$11,1))))/(INDEX(Reference!$A$6:$A$11,MIN(5,MATCH(MAX(Reference!$A$6,MIN(Reference!$A$11,MIN(D26,120))),Reference!$A$6:$A$11,1))+1)-INDEX(Reference!$A$6:$A$11,MIN(5,MATCH(MAX(Reference!$A$6,MIN(Reference!$A$11,MIN(D26,120))),Reference!$A$6:$A$11,1))))),0)+IF(3&lt;=AE26,(AE26-3+3)*(INDEX(Reference!$B$6:$B$11,MIN(5,MATCH(MAX(Reference!$A$6,MIN(Reference!$A$11,MIN(D26,150))),Reference!$A$6:$A$11,1)))+(MAX(Reference!$A$6,MIN(Reference!$A$11,MIN(D26,150)))-INDEX(Reference!$A$6:$A$11,MIN(5,MATCH(MAX(Reference!$A$6,MIN(Reference!$A$11,MIN(D26,150))),Reference!$A$6:$A$11,1))))*(INDEX(Reference!$B$6:$B$11,MIN(5,MATCH(MAX(Reference!$A$6,MIN(Reference!$A$11,MIN(D26,150))),Reference!$A$6:$A$11,1))+1)-INDEX(Reference!$B$6:$B$11,MIN(5,MATCH(MAX(Reference!$A$6,MIN(Reference!$A$11,MIN(D26,150))),Reference!$A$6:$A$11,1))))/(INDEX(Reference!$A$6:$A$11,MIN(5,MATCH(MAX(Reference!$A$6,MIN(Reference!$A$11,MIN(D26,150))),Reference!$A$6:$A$11,1))+1)-INDEX(Reference!$A$6:$A$11,MIN(5,MATCH(MAX(Reference!$A$6,MIN(Reference!$A$11,MIN(D26,150))),Reference!$A$6:$A$11,1))))),0)+IF(4&lt;=AE26,(AE26-4+3)*(INDEX(Reference!$B$6:$B$11,MIN(5,MATCH(MAX(Reference!$A$6,MIN(Reference!$A$11,MIN(D26,180))),Reference!$A$6:$A$11,1)))+(MAX(Reference!$A$6,MIN(Reference!$A$11,MIN(D26,180)))-INDEX(Reference!$A$6:$A$11,MIN(5,MATCH(MAX(Reference!$A$6,MIN(Reference!$A$11,MIN(D26,180))),Reference!$A$6:$A$11,1))))*(INDEX(Reference!$B$6:$B$11,MIN(5,MATCH(MAX(Reference!$A$6,MIN(Reference!$A$11,MIN(D26,180))),Reference!$A$6:$A$11,1))+1)-INDEX(Reference!$B$6:$B$11,MIN(5,MATCH(MAX(Reference!$A$6,MIN(Reference!$A$11,MIN(D26,180))),Reference!$A$6:$A$11,1))))/(INDEX(Reference!$A$6:$A$11,MIN(5,MATCH(MAX(Reference!$A$6,MIN(Reference!$A$11,MIN(D26,180))),Reference!$A$6:$A$11,1))+1)-INDEX(Reference!$A$6:$A$11,MIN(5,MATCH(MAX(Reference!$A$6,MIN(Reference!$A$11,MIN(D26,180))),Reference!$A$6:$A$11,1))))),0)+IF(5&lt;=AE26,(AE26-5+3)*(INDEX(Reference!$B$6:$B$11,MIN(5,MATCH(MAX(Reference!$A$6,MIN(Reference!$A$11,MIN(D26,210))),Reference!$A$6:$A$11,1)))+(MAX(Reference!$A$6,MIN(Reference!$A$11,MIN(D26,210)))-INDEX(Reference!$A$6:$A$11,MIN(5,MATCH(MAX(Reference!$A$6,MIN(Reference!$A$11,MIN(D26,210))),Reference!$A$6:$A$11,1))))*(INDEX(Reference!$B$6:$B$11,MIN(5,MATCH(MAX(Reference!$A$6,MIN(Reference!$A$11,MIN(D26,210))),Reference!$A$6:$A$11,1))+1)-INDEX(Reference!$B$6:$B$11,MIN(5,MATCH(MAX(Reference!$A$6,MIN(Reference!$A$11,MIN(D26,210))),Reference!$A$6:$A$11,1))))/(INDEX(Reference!$A$6:$A$11,MIN(5,MATCH(MAX(Reference!$A$6,MIN(Reference!$A$11,MIN(D26,210))),Reference!$A$6:$A$11,1))+1)-INDEX(Reference!$A$6:$A$11,MIN(5,MATCH(MAX(Reference!$A$6,MIN(Reference!$A$11,MIN(D26,210))),Reference!$A$6:$A$11,1))))),0)+IF(6&lt;=AE26,(AE26-6+3)*(INDEX(Reference!$B$6:$B$11,MIN(5,MATCH(MAX(Reference!$A$6,MIN(Reference!$A$11,MIN(D26,240))),Reference!$A$6:$A$11,1)))+(MAX(Reference!$A$6,MIN(Reference!$A$11,MIN(D26,240)))-INDEX(Reference!$A$6:$A$11,MIN(5,MATCH(MAX(Reference!$A$6,MIN(Reference!$A$11,MIN(D26,240))),Reference!$A$6:$A$11,1))))*(INDEX(Reference!$B$6:$B$11,MIN(5,MATCH(MAX(Reference!$A$6,MIN(Reference!$A$11,MIN(D26,240))),Reference!$A$6:$A$11,1))+1)-INDEX(Reference!$B$6:$B$11,MIN(5,MATCH(MAX(Reference!$A$6,MIN(Reference!$A$11,MIN(D26,240))),Reference!$A$6:$A$11,1))))/(INDEX(Reference!$A$6:$A$11,MIN(5,MATCH(MAX(Reference!$A$6,MIN(Reference!$A$11,MIN(D26,240))),Reference!$A$6:$A$11,1))+1)-INDEX(Reference!$A$6:$A$11,MIN(5,MATCH(MAX(Reference!$A$6,MIN(Reference!$A$11,MIN(D26,240))),Reference!$A$6:$A$11,1))))),0)+IF(7&lt;=AE26,(AE26-7+3)*(INDEX(Reference!$B$6:$B$11,MIN(5,MATCH(MAX(Reference!$A$6,MIN(Reference!$A$11,MIN(D26,270))),Reference!$A$6:$A$11,1)))+(MAX(Reference!$A$6,MIN(Reference!$A$11,MIN(D26,270)))-INDEX(Reference!$A$6:$A$11,MIN(5,MATCH(MAX(Reference!$A$6,MIN(Reference!$A$11,MIN(D26,270))),Reference!$A$6:$A$11,1))))*(INDEX(Reference!$B$6:$B$11,MIN(5,MATCH(MAX(Reference!$A$6,MIN(Reference!$A$11,MIN(D26,270))),Reference!$A$6:$A$11,1))+1)-INDEX(Reference!$B$6:$B$11,MIN(5,MATCH(MAX(Reference!$A$6,MIN(Reference!$A$11,MIN(D26,270))),Reference!$A$6:$A$11,1))))/(INDEX(Reference!$A$6:$A$11,MIN(5,MATCH(MAX(Reference!$A$6,MIN(Reference!$A$11,MIN(D26,270))),Reference!$A$6:$A$11,1))+1)-INDEX(Reference!$A$6:$A$11,MIN(5,MATCH(MAX(Reference!$A$6,MIN(Reference!$A$11,MIN(D26,270))),Reference!$A$6:$A$11,1))))),0)+IF(8&lt;=AE26,(AE26-8+3)*(INDEX(Reference!$B$6:$B$11,MIN(5,MATCH(MAX(Reference!$A$6,MIN(Reference!$A$11,MIN(D26,300))),Reference!$A$6:$A$11,1)))+(MAX(Reference!$A$6,MIN(Reference!$A$11,MIN(D26,300)))-INDEX(Reference!$A$6:$A$11,MIN(5,MATCH(MAX(Reference!$A$6,MIN(Reference!$A$11,MIN(D26,300))),Reference!$A$6:$A$11,1))))*(INDEX(Reference!$B$6:$B$11,MIN(5,MATCH(MAX(Reference!$A$6,MIN(Reference!$A$11,MIN(D26,300))),Reference!$A$6:$A$11,1))+1)-INDEX(Reference!$B$6:$B$11,MIN(5,MATCH(MAX(Reference!$A$6,MIN(Reference!$A$11,MIN(D26,300))),Reference!$A$6:$A$11,1))))/(INDEX(Reference!$A$6:$A$11,MIN(5,MATCH(MAX(Reference!$A$6,MIN(Reference!$A$11,MIN(D26,300))),Reference!$A$6:$A$11,1))+1)-INDEX(Reference!$A$6:$A$11,MIN(5,MATCH(MAX(Reference!$A$6,MIN(Reference!$A$11,MIN(D26,300))),Reference!$A$6:$A$11,1))))),0))/(AE26*(AE26+5)/2)),(INDEX(Reference!$B$6:$B$11,MIN(5,MATCH(MAX(Reference!$A$6,MIN(Reference!$A$11,D26)),Reference!$A$6:$A$11,1)))+(MAX(Reference!$A$6,MIN(Reference!$A$11,D26))-INDEX(Reference!$A$6:$A$11,MIN(5,MATCH(MAX(Reference!$A$6,MIN(Reference!$A$11,D26)),Reference!$A$6:$A$11,1))))*(INDEX(Reference!$B$6:$B$11,MIN(5,MATCH(MAX(Reference!$A$6,MIN(Reference!$A$11,D26)),Reference!$A$6:$A$11,1))+1)-INDEX(Reference!$B$6:$B$11,MIN(5,MATCH(MAX(Reference!$A$6,MIN(Reference!$A$11,D26)),Reference!$A$6:$A$11,1))))/(INDEX(Reference!$A$6:$A$11,MIN(5,MATCH(MAX(Reference!$A$6,MIN(Reference!$A$11,D26)),Reference!$A$6:$A$11,1))+1)-INDEX(Reference!$A$6:$A$11,MIN(5,MATCH(MAX(Reference!$A$6,MIN(Reference!$A$11,D26)),Reference!$A$6:$A$11,1))))))))</f>
        <v>3</v>
      </c>
      <c r="P26" s="32">
        <f>IF(N26="","",VLOOKUP(MAX(N26,0),Reference!$A$17:$B$20,2,TRUE()))</f>
        <v>2</v>
      </c>
      <c r="Q26" s="32">
        <f t="shared" si="3"/>
        <v>150</v>
      </c>
      <c r="R26" s="31"/>
      <c r="S26" s="31"/>
      <c r="T26" s="31"/>
      <c r="U26" s="32" t="str">
        <f t="shared" si="4"/>
        <v/>
      </c>
      <c r="V26" s="32" t="str">
        <f t="shared" si="5"/>
        <v/>
      </c>
      <c r="W26" s="32" t="str">
        <f>IF(V26="","",VLOOKUP(MAX(V26,0),Reference!$A$17:$B$20,2,TRUE()))</f>
        <v/>
      </c>
      <c r="X26" s="31"/>
      <c r="Y26" s="31"/>
      <c r="Z26" s="31"/>
      <c r="AA26" s="32" t="str">
        <f t="shared" si="6"/>
        <v/>
      </c>
      <c r="AB26" s="32" t="str">
        <f t="shared" si="7"/>
        <v/>
      </c>
      <c r="AC26" s="32" t="str">
        <f>IF(AB26="","",VLOOKUP(MAX(AB26,0),Reference!$A$17:$B$20,2,TRUE()))</f>
        <v/>
      </c>
      <c r="AD26" s="31"/>
      <c r="AE26">
        <f t="shared" si="8"/>
        <v>1</v>
      </c>
      <c r="AF26" s="33">
        <f>IF(OR(A26="",B26="",AND(C26&lt;&gt;"Bullpen",C26&lt;&gt;"Game")),"",IF((COUNTIFS($B$5:$B$300,B26,$A$5:$A$300,A26-1,$C$5:$C$300,"Bullpen",$AG$5:$AG$300,"&gt;0") + COUNTIFS($B$5:$B$300,B26,$A$5:$A$300,A26-1,$C$5:$C$300,"Game",$AG$5:$AG$300,"&gt;0"))&gt;0,Reference!$B$119,IF((COUNTIFS($B$5:$B$300,B26,$A$5:$A$300,A26-2,$C$5:$C$300,"Bullpen",$AG$5:$AG$300,"&gt;0") + COUNTIFS($B$5:$B$300,B26,$A$5:$A$300,A26-2,$C$5:$C$300,"Game",$AG$5:$AG$300,"&gt;0"))&gt;0,Reference!$B$120,1)))</f>
        <v>1</v>
      </c>
      <c r="AG26" s="30">
        <f>IF(AND(OR(I26="",O26="",P26=""),OR(R26="",W26=""),OR(X26="",AC26="")),"",IF(OR(I26="",O26="",P26=""),0,I26*O26*P26)+IF(OR(R26="",W26=""),0,R26*IFERROR(INDEX(Reference!$B$61:$B$62,MATCH("Bullpen",Reference!$A$61:$A$62,0)),0)*W26)+IF(OR(X26="",AC26=""),0,X26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26))</f>
        <v>150</v>
      </c>
    </row>
    <row r="27" spans="1:33" x14ac:dyDescent="0.3">
      <c r="A27" s="35">
        <v>46287</v>
      </c>
      <c r="B27" s="31" t="s">
        <v>142</v>
      </c>
      <c r="C27" s="31" t="s">
        <v>55</v>
      </c>
      <c r="D27" s="31">
        <v>75</v>
      </c>
      <c r="E27" s="34">
        <v>7.2916666666666699E-2</v>
      </c>
      <c r="F27" s="34">
        <v>7.9861111111111105E-2</v>
      </c>
      <c r="G27" s="30">
        <f t="shared" si="0"/>
        <v>9.9999999999999449</v>
      </c>
      <c r="H27" s="31"/>
      <c r="I27" s="32">
        <f>IF(H27&lt;&gt;"",H27,IF(G27="","",ROUND(G27*IFERROR(INDEX(Reference!$B$44:$B$50,MATCH(C27,Reference!$A$44:$A$50,0)),0),0)))</f>
        <v>55</v>
      </c>
      <c r="J27" s="31">
        <v>72</v>
      </c>
      <c r="K27" s="31">
        <v>75</v>
      </c>
      <c r="L27" s="32">
        <f t="shared" si="1"/>
        <v>73.5</v>
      </c>
      <c r="M27" s="32">
        <f>IFERROR(INDEX(Roster!$D$5:$D$40,MATCH(B27,Roster!$A$5:$A$40,0)),"")</f>
        <v>87.9</v>
      </c>
      <c r="N27" s="32">
        <f t="shared" si="2"/>
        <v>14.400000000000006</v>
      </c>
      <c r="O27" s="32">
        <f>IF(OR(C27="Bullpen",C27="Game"),IFERROR(INDEX(Reference!$B$61:$B$62,MATCH(C27,Reference!$A$61:$A$62,0)),""),IF(D27="","",IF(AE27&gt;1,((IF(1&lt;=AE27,(AE27-1+3)*(INDEX(Reference!$B$6:$B$11,MIN(5,MATCH(MAX(Reference!$A$6,MIN(Reference!$A$11,MIN(D27,90))),Reference!$A$6:$A$11,1)))+(MAX(Reference!$A$6,MIN(Reference!$A$11,MIN(D27,90)))-INDEX(Reference!$A$6:$A$11,MIN(5,MATCH(MAX(Reference!$A$6,MIN(Reference!$A$11,MIN(D27,90))),Reference!$A$6:$A$11,1))))*(INDEX(Reference!$B$6:$B$11,MIN(5,MATCH(MAX(Reference!$A$6,MIN(Reference!$A$11,MIN(D27,90))),Reference!$A$6:$A$11,1))+1)-INDEX(Reference!$B$6:$B$11,MIN(5,MATCH(MAX(Reference!$A$6,MIN(Reference!$A$11,MIN(D27,90))),Reference!$A$6:$A$11,1))))/(INDEX(Reference!$A$6:$A$11,MIN(5,MATCH(MAX(Reference!$A$6,MIN(Reference!$A$11,MIN(D27,90))),Reference!$A$6:$A$11,1))+1)-INDEX(Reference!$A$6:$A$11,MIN(5,MATCH(MAX(Reference!$A$6,MIN(Reference!$A$11,MIN(D27,90))),Reference!$A$6:$A$11,1))))),0)+IF(2&lt;=AE27,(AE27-2+3)*(INDEX(Reference!$B$6:$B$11,MIN(5,MATCH(MAX(Reference!$A$6,MIN(Reference!$A$11,MIN(D27,120))),Reference!$A$6:$A$11,1)))+(MAX(Reference!$A$6,MIN(Reference!$A$11,MIN(D27,120)))-INDEX(Reference!$A$6:$A$11,MIN(5,MATCH(MAX(Reference!$A$6,MIN(Reference!$A$11,MIN(D27,120))),Reference!$A$6:$A$11,1))))*(INDEX(Reference!$B$6:$B$11,MIN(5,MATCH(MAX(Reference!$A$6,MIN(Reference!$A$11,MIN(D27,120))),Reference!$A$6:$A$11,1))+1)-INDEX(Reference!$B$6:$B$11,MIN(5,MATCH(MAX(Reference!$A$6,MIN(Reference!$A$11,MIN(D27,120))),Reference!$A$6:$A$11,1))))/(INDEX(Reference!$A$6:$A$11,MIN(5,MATCH(MAX(Reference!$A$6,MIN(Reference!$A$11,MIN(D27,120))),Reference!$A$6:$A$11,1))+1)-INDEX(Reference!$A$6:$A$11,MIN(5,MATCH(MAX(Reference!$A$6,MIN(Reference!$A$11,MIN(D27,120))),Reference!$A$6:$A$11,1))))),0)+IF(3&lt;=AE27,(AE27-3+3)*(INDEX(Reference!$B$6:$B$11,MIN(5,MATCH(MAX(Reference!$A$6,MIN(Reference!$A$11,MIN(D27,150))),Reference!$A$6:$A$11,1)))+(MAX(Reference!$A$6,MIN(Reference!$A$11,MIN(D27,150)))-INDEX(Reference!$A$6:$A$11,MIN(5,MATCH(MAX(Reference!$A$6,MIN(Reference!$A$11,MIN(D27,150))),Reference!$A$6:$A$11,1))))*(INDEX(Reference!$B$6:$B$11,MIN(5,MATCH(MAX(Reference!$A$6,MIN(Reference!$A$11,MIN(D27,150))),Reference!$A$6:$A$11,1))+1)-INDEX(Reference!$B$6:$B$11,MIN(5,MATCH(MAX(Reference!$A$6,MIN(Reference!$A$11,MIN(D27,150))),Reference!$A$6:$A$11,1))))/(INDEX(Reference!$A$6:$A$11,MIN(5,MATCH(MAX(Reference!$A$6,MIN(Reference!$A$11,MIN(D27,150))),Reference!$A$6:$A$11,1))+1)-INDEX(Reference!$A$6:$A$11,MIN(5,MATCH(MAX(Reference!$A$6,MIN(Reference!$A$11,MIN(D27,150))),Reference!$A$6:$A$11,1))))),0)+IF(4&lt;=AE27,(AE27-4+3)*(INDEX(Reference!$B$6:$B$11,MIN(5,MATCH(MAX(Reference!$A$6,MIN(Reference!$A$11,MIN(D27,180))),Reference!$A$6:$A$11,1)))+(MAX(Reference!$A$6,MIN(Reference!$A$11,MIN(D27,180)))-INDEX(Reference!$A$6:$A$11,MIN(5,MATCH(MAX(Reference!$A$6,MIN(Reference!$A$11,MIN(D27,180))),Reference!$A$6:$A$11,1))))*(INDEX(Reference!$B$6:$B$11,MIN(5,MATCH(MAX(Reference!$A$6,MIN(Reference!$A$11,MIN(D27,180))),Reference!$A$6:$A$11,1))+1)-INDEX(Reference!$B$6:$B$11,MIN(5,MATCH(MAX(Reference!$A$6,MIN(Reference!$A$11,MIN(D27,180))),Reference!$A$6:$A$11,1))))/(INDEX(Reference!$A$6:$A$11,MIN(5,MATCH(MAX(Reference!$A$6,MIN(Reference!$A$11,MIN(D27,180))),Reference!$A$6:$A$11,1))+1)-INDEX(Reference!$A$6:$A$11,MIN(5,MATCH(MAX(Reference!$A$6,MIN(Reference!$A$11,MIN(D27,180))),Reference!$A$6:$A$11,1))))),0)+IF(5&lt;=AE27,(AE27-5+3)*(INDEX(Reference!$B$6:$B$11,MIN(5,MATCH(MAX(Reference!$A$6,MIN(Reference!$A$11,MIN(D27,210))),Reference!$A$6:$A$11,1)))+(MAX(Reference!$A$6,MIN(Reference!$A$11,MIN(D27,210)))-INDEX(Reference!$A$6:$A$11,MIN(5,MATCH(MAX(Reference!$A$6,MIN(Reference!$A$11,MIN(D27,210))),Reference!$A$6:$A$11,1))))*(INDEX(Reference!$B$6:$B$11,MIN(5,MATCH(MAX(Reference!$A$6,MIN(Reference!$A$11,MIN(D27,210))),Reference!$A$6:$A$11,1))+1)-INDEX(Reference!$B$6:$B$11,MIN(5,MATCH(MAX(Reference!$A$6,MIN(Reference!$A$11,MIN(D27,210))),Reference!$A$6:$A$11,1))))/(INDEX(Reference!$A$6:$A$11,MIN(5,MATCH(MAX(Reference!$A$6,MIN(Reference!$A$11,MIN(D27,210))),Reference!$A$6:$A$11,1))+1)-INDEX(Reference!$A$6:$A$11,MIN(5,MATCH(MAX(Reference!$A$6,MIN(Reference!$A$11,MIN(D27,210))),Reference!$A$6:$A$11,1))))),0)+IF(6&lt;=AE27,(AE27-6+3)*(INDEX(Reference!$B$6:$B$11,MIN(5,MATCH(MAX(Reference!$A$6,MIN(Reference!$A$11,MIN(D27,240))),Reference!$A$6:$A$11,1)))+(MAX(Reference!$A$6,MIN(Reference!$A$11,MIN(D27,240)))-INDEX(Reference!$A$6:$A$11,MIN(5,MATCH(MAX(Reference!$A$6,MIN(Reference!$A$11,MIN(D27,240))),Reference!$A$6:$A$11,1))))*(INDEX(Reference!$B$6:$B$11,MIN(5,MATCH(MAX(Reference!$A$6,MIN(Reference!$A$11,MIN(D27,240))),Reference!$A$6:$A$11,1))+1)-INDEX(Reference!$B$6:$B$11,MIN(5,MATCH(MAX(Reference!$A$6,MIN(Reference!$A$11,MIN(D27,240))),Reference!$A$6:$A$11,1))))/(INDEX(Reference!$A$6:$A$11,MIN(5,MATCH(MAX(Reference!$A$6,MIN(Reference!$A$11,MIN(D27,240))),Reference!$A$6:$A$11,1))+1)-INDEX(Reference!$A$6:$A$11,MIN(5,MATCH(MAX(Reference!$A$6,MIN(Reference!$A$11,MIN(D27,240))),Reference!$A$6:$A$11,1))))),0)+IF(7&lt;=AE27,(AE27-7+3)*(INDEX(Reference!$B$6:$B$11,MIN(5,MATCH(MAX(Reference!$A$6,MIN(Reference!$A$11,MIN(D27,270))),Reference!$A$6:$A$11,1)))+(MAX(Reference!$A$6,MIN(Reference!$A$11,MIN(D27,270)))-INDEX(Reference!$A$6:$A$11,MIN(5,MATCH(MAX(Reference!$A$6,MIN(Reference!$A$11,MIN(D27,270))),Reference!$A$6:$A$11,1))))*(INDEX(Reference!$B$6:$B$11,MIN(5,MATCH(MAX(Reference!$A$6,MIN(Reference!$A$11,MIN(D27,270))),Reference!$A$6:$A$11,1))+1)-INDEX(Reference!$B$6:$B$11,MIN(5,MATCH(MAX(Reference!$A$6,MIN(Reference!$A$11,MIN(D27,270))),Reference!$A$6:$A$11,1))))/(INDEX(Reference!$A$6:$A$11,MIN(5,MATCH(MAX(Reference!$A$6,MIN(Reference!$A$11,MIN(D27,270))),Reference!$A$6:$A$11,1))+1)-INDEX(Reference!$A$6:$A$11,MIN(5,MATCH(MAX(Reference!$A$6,MIN(Reference!$A$11,MIN(D27,270))),Reference!$A$6:$A$11,1))))),0)+IF(8&lt;=AE27,(AE27-8+3)*(INDEX(Reference!$B$6:$B$11,MIN(5,MATCH(MAX(Reference!$A$6,MIN(Reference!$A$11,MIN(D27,300))),Reference!$A$6:$A$11,1)))+(MAX(Reference!$A$6,MIN(Reference!$A$11,MIN(D27,300)))-INDEX(Reference!$A$6:$A$11,MIN(5,MATCH(MAX(Reference!$A$6,MIN(Reference!$A$11,MIN(D27,300))),Reference!$A$6:$A$11,1))))*(INDEX(Reference!$B$6:$B$11,MIN(5,MATCH(MAX(Reference!$A$6,MIN(Reference!$A$11,MIN(D27,300))),Reference!$A$6:$A$11,1))+1)-INDEX(Reference!$B$6:$B$11,MIN(5,MATCH(MAX(Reference!$A$6,MIN(Reference!$A$11,MIN(D27,300))),Reference!$A$6:$A$11,1))))/(INDEX(Reference!$A$6:$A$11,MIN(5,MATCH(MAX(Reference!$A$6,MIN(Reference!$A$11,MIN(D27,300))),Reference!$A$6:$A$11,1))+1)-INDEX(Reference!$A$6:$A$11,MIN(5,MATCH(MAX(Reference!$A$6,MIN(Reference!$A$11,MIN(D27,300))),Reference!$A$6:$A$11,1))))),0))/(AE27*(AE27+5)/2)),(INDEX(Reference!$B$6:$B$11,MIN(5,MATCH(MAX(Reference!$A$6,MIN(Reference!$A$11,D27)),Reference!$A$6:$A$11,1)))+(MAX(Reference!$A$6,MIN(Reference!$A$11,D27))-INDEX(Reference!$A$6:$A$11,MIN(5,MATCH(MAX(Reference!$A$6,MIN(Reference!$A$11,D27)),Reference!$A$6:$A$11,1))))*(INDEX(Reference!$B$6:$B$11,MIN(5,MATCH(MAX(Reference!$A$6,MIN(Reference!$A$11,D27)),Reference!$A$6:$A$11,1))+1)-INDEX(Reference!$B$6:$B$11,MIN(5,MATCH(MAX(Reference!$A$6,MIN(Reference!$A$11,D27)),Reference!$A$6:$A$11,1))))/(INDEX(Reference!$A$6:$A$11,MIN(5,MATCH(MAX(Reference!$A$6,MIN(Reference!$A$11,D27)),Reference!$A$6:$A$11,1))+1)-INDEX(Reference!$A$6:$A$11,MIN(5,MATCH(MAX(Reference!$A$6,MIN(Reference!$A$11,D27)),Reference!$A$6:$A$11,1))))))))</f>
        <v>1.1499999999999999</v>
      </c>
      <c r="P27" s="32">
        <f>IF(N27="","",VLOOKUP(MAX(N27,0),Reference!$A$17:$B$20,2,TRUE()))</f>
        <v>0.6</v>
      </c>
      <c r="Q27" s="32">
        <f t="shared" si="3"/>
        <v>37.949999999999996</v>
      </c>
      <c r="R27" s="31"/>
      <c r="S27" s="31"/>
      <c r="T27" s="31"/>
      <c r="U27" s="32" t="str">
        <f t="shared" si="4"/>
        <v/>
      </c>
      <c r="V27" s="32" t="str">
        <f t="shared" si="5"/>
        <v/>
      </c>
      <c r="W27" s="32" t="str">
        <f>IF(V27="","",VLOOKUP(MAX(V27,0),Reference!$A$17:$B$20,2,TRUE()))</f>
        <v/>
      </c>
      <c r="X27" s="31"/>
      <c r="Y27" s="31"/>
      <c r="Z27" s="31"/>
      <c r="AA27" s="32" t="str">
        <f t="shared" si="6"/>
        <v/>
      </c>
      <c r="AB27" s="32" t="str">
        <f t="shared" si="7"/>
        <v/>
      </c>
      <c r="AC27" s="32" t="str">
        <f>IF(AB27="","",VLOOKUP(MAX(AB27,0),Reference!$A$17:$B$20,2,TRUE()))</f>
        <v/>
      </c>
      <c r="AD27" s="31"/>
      <c r="AE27">
        <f t="shared" si="8"/>
        <v>1</v>
      </c>
      <c r="AF27" s="33" t="str">
        <f>IF(OR(A27="",B27="",AND(C27&lt;&gt;"Bullpen",C27&lt;&gt;"Game")),"",IF((COUNTIFS($B$5:$B$300,B27,$A$5:$A$300,A27-1,$C$5:$C$300,"Bullpen",$AG$5:$AG$300,"&gt;0") + COUNTIFS($B$5:$B$300,B27,$A$5:$A$300,A27-1,$C$5:$C$300,"Game",$AG$5:$AG$300,"&gt;0"))&gt;0,Reference!$B$119,IF((COUNTIFS($B$5:$B$300,B27,$A$5:$A$300,A27-2,$C$5:$C$300,"Bullpen",$AG$5:$AG$300,"&gt;0") + COUNTIFS($B$5:$B$300,B27,$A$5:$A$300,A27-2,$C$5:$C$300,"Game",$AG$5:$AG$300,"&gt;0"))&gt;0,Reference!$B$120,1)))</f>
        <v/>
      </c>
      <c r="AG27" s="30">
        <f>IF(AND(OR(I27="",O27="",P27=""),OR(R27="",W27=""),OR(X27="",AC27="")),"",IF(OR(I27="",O27="",P27=""),0,I27*O27*P27)+IF(OR(R27="",W27=""),0,R27*IFERROR(INDEX(Reference!$B$61:$B$62,MATCH("Bullpen",Reference!$A$61:$A$62,0)),0)*W27)+IF(OR(X27="",AC27=""),0,X27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27))</f>
        <v>37.949999999999996</v>
      </c>
    </row>
    <row r="28" spans="1:33" x14ac:dyDescent="0.3">
      <c r="A28" s="35">
        <v>46288</v>
      </c>
      <c r="B28" s="31" t="s">
        <v>142</v>
      </c>
      <c r="C28" s="31" t="s">
        <v>53</v>
      </c>
      <c r="D28" s="31">
        <v>120</v>
      </c>
      <c r="E28" s="34">
        <v>7.5694444444444398E-2</v>
      </c>
      <c r="F28" s="34">
        <v>8.5416666666666696E-2</v>
      </c>
      <c r="G28" s="30">
        <f t="shared" si="0"/>
        <v>14.00000000000011</v>
      </c>
      <c r="H28" s="31"/>
      <c r="I28" s="32">
        <f>IF(H28&lt;&gt;"",H28,IF(G28="","",ROUND(G28*IFERROR(INDEX(Reference!$B$44:$B$50,MATCH(C28,Reference!$A$44:$A$50,0)),0),0)))</f>
        <v>56</v>
      </c>
      <c r="J28" s="31">
        <v>75</v>
      </c>
      <c r="K28" s="31">
        <v>81</v>
      </c>
      <c r="L28" s="32">
        <f t="shared" si="1"/>
        <v>78</v>
      </c>
      <c r="M28" s="32">
        <f>IFERROR(INDEX(Roster!$D$5:$D$40,MATCH(B28,Roster!$A$5:$A$40,0)),"")</f>
        <v>87.9</v>
      </c>
      <c r="N28" s="32">
        <f t="shared" si="2"/>
        <v>9.9000000000000057</v>
      </c>
      <c r="O28" s="32">
        <f>IF(OR(C28="Bullpen",C28="Game"),IFERROR(INDEX(Reference!$B$61:$B$62,MATCH(C28,Reference!$A$61:$A$62,0)),""),IF(D28="","",IF(AE28&gt;1,((IF(1&lt;=AE28,(AE28-1+3)*(INDEX(Reference!$B$6:$B$11,MIN(5,MATCH(MAX(Reference!$A$6,MIN(Reference!$A$11,MIN(D28,90))),Reference!$A$6:$A$11,1)))+(MAX(Reference!$A$6,MIN(Reference!$A$11,MIN(D28,90)))-INDEX(Reference!$A$6:$A$11,MIN(5,MATCH(MAX(Reference!$A$6,MIN(Reference!$A$11,MIN(D28,90))),Reference!$A$6:$A$11,1))))*(INDEX(Reference!$B$6:$B$11,MIN(5,MATCH(MAX(Reference!$A$6,MIN(Reference!$A$11,MIN(D28,90))),Reference!$A$6:$A$11,1))+1)-INDEX(Reference!$B$6:$B$11,MIN(5,MATCH(MAX(Reference!$A$6,MIN(Reference!$A$11,MIN(D28,90))),Reference!$A$6:$A$11,1))))/(INDEX(Reference!$A$6:$A$11,MIN(5,MATCH(MAX(Reference!$A$6,MIN(Reference!$A$11,MIN(D28,90))),Reference!$A$6:$A$11,1))+1)-INDEX(Reference!$A$6:$A$11,MIN(5,MATCH(MAX(Reference!$A$6,MIN(Reference!$A$11,MIN(D28,90))),Reference!$A$6:$A$11,1))))),0)+IF(2&lt;=AE28,(AE28-2+3)*(INDEX(Reference!$B$6:$B$11,MIN(5,MATCH(MAX(Reference!$A$6,MIN(Reference!$A$11,MIN(D28,120))),Reference!$A$6:$A$11,1)))+(MAX(Reference!$A$6,MIN(Reference!$A$11,MIN(D28,120)))-INDEX(Reference!$A$6:$A$11,MIN(5,MATCH(MAX(Reference!$A$6,MIN(Reference!$A$11,MIN(D28,120))),Reference!$A$6:$A$11,1))))*(INDEX(Reference!$B$6:$B$11,MIN(5,MATCH(MAX(Reference!$A$6,MIN(Reference!$A$11,MIN(D28,120))),Reference!$A$6:$A$11,1))+1)-INDEX(Reference!$B$6:$B$11,MIN(5,MATCH(MAX(Reference!$A$6,MIN(Reference!$A$11,MIN(D28,120))),Reference!$A$6:$A$11,1))))/(INDEX(Reference!$A$6:$A$11,MIN(5,MATCH(MAX(Reference!$A$6,MIN(Reference!$A$11,MIN(D28,120))),Reference!$A$6:$A$11,1))+1)-INDEX(Reference!$A$6:$A$11,MIN(5,MATCH(MAX(Reference!$A$6,MIN(Reference!$A$11,MIN(D28,120))),Reference!$A$6:$A$11,1))))),0)+IF(3&lt;=AE28,(AE28-3+3)*(INDEX(Reference!$B$6:$B$11,MIN(5,MATCH(MAX(Reference!$A$6,MIN(Reference!$A$11,MIN(D28,150))),Reference!$A$6:$A$11,1)))+(MAX(Reference!$A$6,MIN(Reference!$A$11,MIN(D28,150)))-INDEX(Reference!$A$6:$A$11,MIN(5,MATCH(MAX(Reference!$A$6,MIN(Reference!$A$11,MIN(D28,150))),Reference!$A$6:$A$11,1))))*(INDEX(Reference!$B$6:$B$11,MIN(5,MATCH(MAX(Reference!$A$6,MIN(Reference!$A$11,MIN(D28,150))),Reference!$A$6:$A$11,1))+1)-INDEX(Reference!$B$6:$B$11,MIN(5,MATCH(MAX(Reference!$A$6,MIN(Reference!$A$11,MIN(D28,150))),Reference!$A$6:$A$11,1))))/(INDEX(Reference!$A$6:$A$11,MIN(5,MATCH(MAX(Reference!$A$6,MIN(Reference!$A$11,MIN(D28,150))),Reference!$A$6:$A$11,1))+1)-INDEX(Reference!$A$6:$A$11,MIN(5,MATCH(MAX(Reference!$A$6,MIN(Reference!$A$11,MIN(D28,150))),Reference!$A$6:$A$11,1))))),0)+IF(4&lt;=AE28,(AE28-4+3)*(INDEX(Reference!$B$6:$B$11,MIN(5,MATCH(MAX(Reference!$A$6,MIN(Reference!$A$11,MIN(D28,180))),Reference!$A$6:$A$11,1)))+(MAX(Reference!$A$6,MIN(Reference!$A$11,MIN(D28,180)))-INDEX(Reference!$A$6:$A$11,MIN(5,MATCH(MAX(Reference!$A$6,MIN(Reference!$A$11,MIN(D28,180))),Reference!$A$6:$A$11,1))))*(INDEX(Reference!$B$6:$B$11,MIN(5,MATCH(MAX(Reference!$A$6,MIN(Reference!$A$11,MIN(D28,180))),Reference!$A$6:$A$11,1))+1)-INDEX(Reference!$B$6:$B$11,MIN(5,MATCH(MAX(Reference!$A$6,MIN(Reference!$A$11,MIN(D28,180))),Reference!$A$6:$A$11,1))))/(INDEX(Reference!$A$6:$A$11,MIN(5,MATCH(MAX(Reference!$A$6,MIN(Reference!$A$11,MIN(D28,180))),Reference!$A$6:$A$11,1))+1)-INDEX(Reference!$A$6:$A$11,MIN(5,MATCH(MAX(Reference!$A$6,MIN(Reference!$A$11,MIN(D28,180))),Reference!$A$6:$A$11,1))))),0)+IF(5&lt;=AE28,(AE28-5+3)*(INDEX(Reference!$B$6:$B$11,MIN(5,MATCH(MAX(Reference!$A$6,MIN(Reference!$A$11,MIN(D28,210))),Reference!$A$6:$A$11,1)))+(MAX(Reference!$A$6,MIN(Reference!$A$11,MIN(D28,210)))-INDEX(Reference!$A$6:$A$11,MIN(5,MATCH(MAX(Reference!$A$6,MIN(Reference!$A$11,MIN(D28,210))),Reference!$A$6:$A$11,1))))*(INDEX(Reference!$B$6:$B$11,MIN(5,MATCH(MAX(Reference!$A$6,MIN(Reference!$A$11,MIN(D28,210))),Reference!$A$6:$A$11,1))+1)-INDEX(Reference!$B$6:$B$11,MIN(5,MATCH(MAX(Reference!$A$6,MIN(Reference!$A$11,MIN(D28,210))),Reference!$A$6:$A$11,1))))/(INDEX(Reference!$A$6:$A$11,MIN(5,MATCH(MAX(Reference!$A$6,MIN(Reference!$A$11,MIN(D28,210))),Reference!$A$6:$A$11,1))+1)-INDEX(Reference!$A$6:$A$11,MIN(5,MATCH(MAX(Reference!$A$6,MIN(Reference!$A$11,MIN(D28,210))),Reference!$A$6:$A$11,1))))),0)+IF(6&lt;=AE28,(AE28-6+3)*(INDEX(Reference!$B$6:$B$11,MIN(5,MATCH(MAX(Reference!$A$6,MIN(Reference!$A$11,MIN(D28,240))),Reference!$A$6:$A$11,1)))+(MAX(Reference!$A$6,MIN(Reference!$A$11,MIN(D28,240)))-INDEX(Reference!$A$6:$A$11,MIN(5,MATCH(MAX(Reference!$A$6,MIN(Reference!$A$11,MIN(D28,240))),Reference!$A$6:$A$11,1))))*(INDEX(Reference!$B$6:$B$11,MIN(5,MATCH(MAX(Reference!$A$6,MIN(Reference!$A$11,MIN(D28,240))),Reference!$A$6:$A$11,1))+1)-INDEX(Reference!$B$6:$B$11,MIN(5,MATCH(MAX(Reference!$A$6,MIN(Reference!$A$11,MIN(D28,240))),Reference!$A$6:$A$11,1))))/(INDEX(Reference!$A$6:$A$11,MIN(5,MATCH(MAX(Reference!$A$6,MIN(Reference!$A$11,MIN(D28,240))),Reference!$A$6:$A$11,1))+1)-INDEX(Reference!$A$6:$A$11,MIN(5,MATCH(MAX(Reference!$A$6,MIN(Reference!$A$11,MIN(D28,240))),Reference!$A$6:$A$11,1))))),0)+IF(7&lt;=AE28,(AE28-7+3)*(INDEX(Reference!$B$6:$B$11,MIN(5,MATCH(MAX(Reference!$A$6,MIN(Reference!$A$11,MIN(D28,270))),Reference!$A$6:$A$11,1)))+(MAX(Reference!$A$6,MIN(Reference!$A$11,MIN(D28,270)))-INDEX(Reference!$A$6:$A$11,MIN(5,MATCH(MAX(Reference!$A$6,MIN(Reference!$A$11,MIN(D28,270))),Reference!$A$6:$A$11,1))))*(INDEX(Reference!$B$6:$B$11,MIN(5,MATCH(MAX(Reference!$A$6,MIN(Reference!$A$11,MIN(D28,270))),Reference!$A$6:$A$11,1))+1)-INDEX(Reference!$B$6:$B$11,MIN(5,MATCH(MAX(Reference!$A$6,MIN(Reference!$A$11,MIN(D28,270))),Reference!$A$6:$A$11,1))))/(INDEX(Reference!$A$6:$A$11,MIN(5,MATCH(MAX(Reference!$A$6,MIN(Reference!$A$11,MIN(D28,270))),Reference!$A$6:$A$11,1))+1)-INDEX(Reference!$A$6:$A$11,MIN(5,MATCH(MAX(Reference!$A$6,MIN(Reference!$A$11,MIN(D28,270))),Reference!$A$6:$A$11,1))))),0)+IF(8&lt;=AE28,(AE28-8+3)*(INDEX(Reference!$B$6:$B$11,MIN(5,MATCH(MAX(Reference!$A$6,MIN(Reference!$A$11,MIN(D28,300))),Reference!$A$6:$A$11,1)))+(MAX(Reference!$A$6,MIN(Reference!$A$11,MIN(D28,300)))-INDEX(Reference!$A$6:$A$11,MIN(5,MATCH(MAX(Reference!$A$6,MIN(Reference!$A$11,MIN(D28,300))),Reference!$A$6:$A$11,1))))*(INDEX(Reference!$B$6:$B$11,MIN(5,MATCH(MAX(Reference!$A$6,MIN(Reference!$A$11,MIN(D28,300))),Reference!$A$6:$A$11,1))+1)-INDEX(Reference!$B$6:$B$11,MIN(5,MATCH(MAX(Reference!$A$6,MIN(Reference!$A$11,MIN(D28,300))),Reference!$A$6:$A$11,1))))/(INDEX(Reference!$A$6:$A$11,MIN(5,MATCH(MAX(Reference!$A$6,MIN(Reference!$A$11,MIN(D28,300))),Reference!$A$6:$A$11,1))+1)-INDEX(Reference!$A$6:$A$11,MIN(5,MATCH(MAX(Reference!$A$6,MIN(Reference!$A$11,MIN(D28,300))),Reference!$A$6:$A$11,1))))),0))/(AE28*(AE28+5)/2)),(INDEX(Reference!$B$6:$B$11,MIN(5,MATCH(MAX(Reference!$A$6,MIN(Reference!$A$11,D28)),Reference!$A$6:$A$11,1)))+(MAX(Reference!$A$6,MIN(Reference!$A$11,D28))-INDEX(Reference!$A$6:$A$11,MIN(5,MATCH(MAX(Reference!$A$6,MIN(Reference!$A$11,D28)),Reference!$A$6:$A$11,1))))*(INDEX(Reference!$B$6:$B$11,MIN(5,MATCH(MAX(Reference!$A$6,MIN(Reference!$A$11,D28)),Reference!$A$6:$A$11,1))+1)-INDEX(Reference!$B$6:$B$11,MIN(5,MATCH(MAX(Reference!$A$6,MIN(Reference!$A$11,D28)),Reference!$A$6:$A$11,1))))/(INDEX(Reference!$A$6:$A$11,MIN(5,MATCH(MAX(Reference!$A$6,MIN(Reference!$A$11,D28)),Reference!$A$6:$A$11,1))+1)-INDEX(Reference!$A$6:$A$11,MIN(5,MATCH(MAX(Reference!$A$6,MIN(Reference!$A$11,D28)),Reference!$A$6:$A$11,1))))))))</f>
        <v>1.7</v>
      </c>
      <c r="P28" s="32">
        <f>IF(N28="","",VLOOKUP(MAX(N28,0),Reference!$A$17:$B$20,2,TRUE()))</f>
        <v>1</v>
      </c>
      <c r="Q28" s="32">
        <f t="shared" si="3"/>
        <v>95.2</v>
      </c>
      <c r="R28" s="31"/>
      <c r="S28" s="31"/>
      <c r="T28" s="31"/>
      <c r="U28" s="32" t="str">
        <f t="shared" si="4"/>
        <v/>
      </c>
      <c r="V28" s="32" t="str">
        <f t="shared" si="5"/>
        <v/>
      </c>
      <c r="W28" s="32" t="str">
        <f>IF(V28="","",VLOOKUP(MAX(V28,0),Reference!$A$17:$B$20,2,TRUE()))</f>
        <v/>
      </c>
      <c r="X28" s="31"/>
      <c r="Y28" s="31"/>
      <c r="Z28" s="31"/>
      <c r="AA28" s="32" t="str">
        <f t="shared" si="6"/>
        <v/>
      </c>
      <c r="AB28" s="32" t="str">
        <f t="shared" si="7"/>
        <v/>
      </c>
      <c r="AC28" s="32" t="str">
        <f>IF(AB28="","",VLOOKUP(MAX(AB28,0),Reference!$A$17:$B$20,2,TRUE()))</f>
        <v/>
      </c>
      <c r="AD28" s="31"/>
      <c r="AE28">
        <f t="shared" si="8"/>
        <v>1</v>
      </c>
      <c r="AF28" s="33" t="str">
        <f>IF(OR(A28="",B28="",AND(C28&lt;&gt;"Bullpen",C28&lt;&gt;"Game")),"",IF((COUNTIFS($B$5:$B$300,B28,$A$5:$A$300,A28-1,$C$5:$C$300,"Bullpen",$AG$5:$AG$300,"&gt;0") + COUNTIFS($B$5:$B$300,B28,$A$5:$A$300,A28-1,$C$5:$C$300,"Game",$AG$5:$AG$300,"&gt;0"))&gt;0,Reference!$B$119,IF((COUNTIFS($B$5:$B$300,B28,$A$5:$A$300,A28-2,$C$5:$C$300,"Bullpen",$AG$5:$AG$300,"&gt;0") + COUNTIFS($B$5:$B$300,B28,$A$5:$A$300,A28-2,$C$5:$C$300,"Game",$AG$5:$AG$300,"&gt;0"))&gt;0,Reference!$B$120,1)))</f>
        <v/>
      </c>
      <c r="AG28" s="30">
        <f>IF(AND(OR(I28="",O28="",P28=""),OR(R28="",W28=""),OR(X28="",AC28="")),"",IF(OR(I28="",O28="",P28=""),0,I28*O28*P28)+IF(OR(R28="",W28=""),0,R28*IFERROR(INDEX(Reference!$B$61:$B$62,MATCH("Bullpen",Reference!$A$61:$A$62,0)),0)*W28)+IF(OR(X28="",AC28=""),0,X28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28))</f>
        <v>95.2</v>
      </c>
    </row>
    <row r="29" spans="1:33" x14ac:dyDescent="0.3">
      <c r="A29" s="35">
        <v>46289</v>
      </c>
      <c r="B29" s="31" t="s">
        <v>142</v>
      </c>
      <c r="C29" s="31" t="s">
        <v>55</v>
      </c>
      <c r="D29" s="31">
        <v>75</v>
      </c>
      <c r="E29" s="34">
        <v>7.2916666666666699E-2</v>
      </c>
      <c r="F29" s="34">
        <v>7.9861111111111105E-2</v>
      </c>
      <c r="G29" s="30">
        <f t="shared" si="0"/>
        <v>9.9999999999999449</v>
      </c>
      <c r="H29" s="31"/>
      <c r="I29" s="32">
        <f>IF(H29&lt;&gt;"",H29,IF(G29="","",ROUND(G29*IFERROR(INDEX(Reference!$B$44:$B$50,MATCH(C29,Reference!$A$44:$A$50,0)),0),0)))</f>
        <v>55</v>
      </c>
      <c r="J29" s="31">
        <v>72</v>
      </c>
      <c r="K29" s="31">
        <v>75</v>
      </c>
      <c r="L29" s="32">
        <f t="shared" si="1"/>
        <v>73.5</v>
      </c>
      <c r="M29" s="32">
        <f>IFERROR(INDEX(Roster!$D$5:$D$40,MATCH(B29,Roster!$A$5:$A$40,0)),"")</f>
        <v>87.9</v>
      </c>
      <c r="N29" s="32">
        <f t="shared" si="2"/>
        <v>14.400000000000006</v>
      </c>
      <c r="O29" s="32">
        <f>IF(OR(C29="Bullpen",C29="Game"),IFERROR(INDEX(Reference!$B$61:$B$62,MATCH(C29,Reference!$A$61:$A$62,0)),""),IF(D29="","",IF(AE29&gt;1,((IF(1&lt;=AE29,(AE29-1+3)*(INDEX(Reference!$B$6:$B$11,MIN(5,MATCH(MAX(Reference!$A$6,MIN(Reference!$A$11,MIN(D29,90))),Reference!$A$6:$A$11,1)))+(MAX(Reference!$A$6,MIN(Reference!$A$11,MIN(D29,90)))-INDEX(Reference!$A$6:$A$11,MIN(5,MATCH(MAX(Reference!$A$6,MIN(Reference!$A$11,MIN(D29,90))),Reference!$A$6:$A$11,1))))*(INDEX(Reference!$B$6:$B$11,MIN(5,MATCH(MAX(Reference!$A$6,MIN(Reference!$A$11,MIN(D29,90))),Reference!$A$6:$A$11,1))+1)-INDEX(Reference!$B$6:$B$11,MIN(5,MATCH(MAX(Reference!$A$6,MIN(Reference!$A$11,MIN(D29,90))),Reference!$A$6:$A$11,1))))/(INDEX(Reference!$A$6:$A$11,MIN(5,MATCH(MAX(Reference!$A$6,MIN(Reference!$A$11,MIN(D29,90))),Reference!$A$6:$A$11,1))+1)-INDEX(Reference!$A$6:$A$11,MIN(5,MATCH(MAX(Reference!$A$6,MIN(Reference!$A$11,MIN(D29,90))),Reference!$A$6:$A$11,1))))),0)+IF(2&lt;=AE29,(AE29-2+3)*(INDEX(Reference!$B$6:$B$11,MIN(5,MATCH(MAX(Reference!$A$6,MIN(Reference!$A$11,MIN(D29,120))),Reference!$A$6:$A$11,1)))+(MAX(Reference!$A$6,MIN(Reference!$A$11,MIN(D29,120)))-INDEX(Reference!$A$6:$A$11,MIN(5,MATCH(MAX(Reference!$A$6,MIN(Reference!$A$11,MIN(D29,120))),Reference!$A$6:$A$11,1))))*(INDEX(Reference!$B$6:$B$11,MIN(5,MATCH(MAX(Reference!$A$6,MIN(Reference!$A$11,MIN(D29,120))),Reference!$A$6:$A$11,1))+1)-INDEX(Reference!$B$6:$B$11,MIN(5,MATCH(MAX(Reference!$A$6,MIN(Reference!$A$11,MIN(D29,120))),Reference!$A$6:$A$11,1))))/(INDEX(Reference!$A$6:$A$11,MIN(5,MATCH(MAX(Reference!$A$6,MIN(Reference!$A$11,MIN(D29,120))),Reference!$A$6:$A$11,1))+1)-INDEX(Reference!$A$6:$A$11,MIN(5,MATCH(MAX(Reference!$A$6,MIN(Reference!$A$11,MIN(D29,120))),Reference!$A$6:$A$11,1))))),0)+IF(3&lt;=AE29,(AE29-3+3)*(INDEX(Reference!$B$6:$B$11,MIN(5,MATCH(MAX(Reference!$A$6,MIN(Reference!$A$11,MIN(D29,150))),Reference!$A$6:$A$11,1)))+(MAX(Reference!$A$6,MIN(Reference!$A$11,MIN(D29,150)))-INDEX(Reference!$A$6:$A$11,MIN(5,MATCH(MAX(Reference!$A$6,MIN(Reference!$A$11,MIN(D29,150))),Reference!$A$6:$A$11,1))))*(INDEX(Reference!$B$6:$B$11,MIN(5,MATCH(MAX(Reference!$A$6,MIN(Reference!$A$11,MIN(D29,150))),Reference!$A$6:$A$11,1))+1)-INDEX(Reference!$B$6:$B$11,MIN(5,MATCH(MAX(Reference!$A$6,MIN(Reference!$A$11,MIN(D29,150))),Reference!$A$6:$A$11,1))))/(INDEX(Reference!$A$6:$A$11,MIN(5,MATCH(MAX(Reference!$A$6,MIN(Reference!$A$11,MIN(D29,150))),Reference!$A$6:$A$11,1))+1)-INDEX(Reference!$A$6:$A$11,MIN(5,MATCH(MAX(Reference!$A$6,MIN(Reference!$A$11,MIN(D29,150))),Reference!$A$6:$A$11,1))))),0)+IF(4&lt;=AE29,(AE29-4+3)*(INDEX(Reference!$B$6:$B$11,MIN(5,MATCH(MAX(Reference!$A$6,MIN(Reference!$A$11,MIN(D29,180))),Reference!$A$6:$A$11,1)))+(MAX(Reference!$A$6,MIN(Reference!$A$11,MIN(D29,180)))-INDEX(Reference!$A$6:$A$11,MIN(5,MATCH(MAX(Reference!$A$6,MIN(Reference!$A$11,MIN(D29,180))),Reference!$A$6:$A$11,1))))*(INDEX(Reference!$B$6:$B$11,MIN(5,MATCH(MAX(Reference!$A$6,MIN(Reference!$A$11,MIN(D29,180))),Reference!$A$6:$A$11,1))+1)-INDEX(Reference!$B$6:$B$11,MIN(5,MATCH(MAX(Reference!$A$6,MIN(Reference!$A$11,MIN(D29,180))),Reference!$A$6:$A$11,1))))/(INDEX(Reference!$A$6:$A$11,MIN(5,MATCH(MAX(Reference!$A$6,MIN(Reference!$A$11,MIN(D29,180))),Reference!$A$6:$A$11,1))+1)-INDEX(Reference!$A$6:$A$11,MIN(5,MATCH(MAX(Reference!$A$6,MIN(Reference!$A$11,MIN(D29,180))),Reference!$A$6:$A$11,1))))),0)+IF(5&lt;=AE29,(AE29-5+3)*(INDEX(Reference!$B$6:$B$11,MIN(5,MATCH(MAX(Reference!$A$6,MIN(Reference!$A$11,MIN(D29,210))),Reference!$A$6:$A$11,1)))+(MAX(Reference!$A$6,MIN(Reference!$A$11,MIN(D29,210)))-INDEX(Reference!$A$6:$A$11,MIN(5,MATCH(MAX(Reference!$A$6,MIN(Reference!$A$11,MIN(D29,210))),Reference!$A$6:$A$11,1))))*(INDEX(Reference!$B$6:$B$11,MIN(5,MATCH(MAX(Reference!$A$6,MIN(Reference!$A$11,MIN(D29,210))),Reference!$A$6:$A$11,1))+1)-INDEX(Reference!$B$6:$B$11,MIN(5,MATCH(MAX(Reference!$A$6,MIN(Reference!$A$11,MIN(D29,210))),Reference!$A$6:$A$11,1))))/(INDEX(Reference!$A$6:$A$11,MIN(5,MATCH(MAX(Reference!$A$6,MIN(Reference!$A$11,MIN(D29,210))),Reference!$A$6:$A$11,1))+1)-INDEX(Reference!$A$6:$A$11,MIN(5,MATCH(MAX(Reference!$A$6,MIN(Reference!$A$11,MIN(D29,210))),Reference!$A$6:$A$11,1))))),0)+IF(6&lt;=AE29,(AE29-6+3)*(INDEX(Reference!$B$6:$B$11,MIN(5,MATCH(MAX(Reference!$A$6,MIN(Reference!$A$11,MIN(D29,240))),Reference!$A$6:$A$11,1)))+(MAX(Reference!$A$6,MIN(Reference!$A$11,MIN(D29,240)))-INDEX(Reference!$A$6:$A$11,MIN(5,MATCH(MAX(Reference!$A$6,MIN(Reference!$A$11,MIN(D29,240))),Reference!$A$6:$A$11,1))))*(INDEX(Reference!$B$6:$B$11,MIN(5,MATCH(MAX(Reference!$A$6,MIN(Reference!$A$11,MIN(D29,240))),Reference!$A$6:$A$11,1))+1)-INDEX(Reference!$B$6:$B$11,MIN(5,MATCH(MAX(Reference!$A$6,MIN(Reference!$A$11,MIN(D29,240))),Reference!$A$6:$A$11,1))))/(INDEX(Reference!$A$6:$A$11,MIN(5,MATCH(MAX(Reference!$A$6,MIN(Reference!$A$11,MIN(D29,240))),Reference!$A$6:$A$11,1))+1)-INDEX(Reference!$A$6:$A$11,MIN(5,MATCH(MAX(Reference!$A$6,MIN(Reference!$A$11,MIN(D29,240))),Reference!$A$6:$A$11,1))))),0)+IF(7&lt;=AE29,(AE29-7+3)*(INDEX(Reference!$B$6:$B$11,MIN(5,MATCH(MAX(Reference!$A$6,MIN(Reference!$A$11,MIN(D29,270))),Reference!$A$6:$A$11,1)))+(MAX(Reference!$A$6,MIN(Reference!$A$11,MIN(D29,270)))-INDEX(Reference!$A$6:$A$11,MIN(5,MATCH(MAX(Reference!$A$6,MIN(Reference!$A$11,MIN(D29,270))),Reference!$A$6:$A$11,1))))*(INDEX(Reference!$B$6:$B$11,MIN(5,MATCH(MAX(Reference!$A$6,MIN(Reference!$A$11,MIN(D29,270))),Reference!$A$6:$A$11,1))+1)-INDEX(Reference!$B$6:$B$11,MIN(5,MATCH(MAX(Reference!$A$6,MIN(Reference!$A$11,MIN(D29,270))),Reference!$A$6:$A$11,1))))/(INDEX(Reference!$A$6:$A$11,MIN(5,MATCH(MAX(Reference!$A$6,MIN(Reference!$A$11,MIN(D29,270))),Reference!$A$6:$A$11,1))+1)-INDEX(Reference!$A$6:$A$11,MIN(5,MATCH(MAX(Reference!$A$6,MIN(Reference!$A$11,MIN(D29,270))),Reference!$A$6:$A$11,1))))),0)+IF(8&lt;=AE29,(AE29-8+3)*(INDEX(Reference!$B$6:$B$11,MIN(5,MATCH(MAX(Reference!$A$6,MIN(Reference!$A$11,MIN(D29,300))),Reference!$A$6:$A$11,1)))+(MAX(Reference!$A$6,MIN(Reference!$A$11,MIN(D29,300)))-INDEX(Reference!$A$6:$A$11,MIN(5,MATCH(MAX(Reference!$A$6,MIN(Reference!$A$11,MIN(D29,300))),Reference!$A$6:$A$11,1))))*(INDEX(Reference!$B$6:$B$11,MIN(5,MATCH(MAX(Reference!$A$6,MIN(Reference!$A$11,MIN(D29,300))),Reference!$A$6:$A$11,1))+1)-INDEX(Reference!$B$6:$B$11,MIN(5,MATCH(MAX(Reference!$A$6,MIN(Reference!$A$11,MIN(D29,300))),Reference!$A$6:$A$11,1))))/(INDEX(Reference!$A$6:$A$11,MIN(5,MATCH(MAX(Reference!$A$6,MIN(Reference!$A$11,MIN(D29,300))),Reference!$A$6:$A$11,1))+1)-INDEX(Reference!$A$6:$A$11,MIN(5,MATCH(MAX(Reference!$A$6,MIN(Reference!$A$11,MIN(D29,300))),Reference!$A$6:$A$11,1))))),0))/(AE29*(AE29+5)/2)),(INDEX(Reference!$B$6:$B$11,MIN(5,MATCH(MAX(Reference!$A$6,MIN(Reference!$A$11,D29)),Reference!$A$6:$A$11,1)))+(MAX(Reference!$A$6,MIN(Reference!$A$11,D29))-INDEX(Reference!$A$6:$A$11,MIN(5,MATCH(MAX(Reference!$A$6,MIN(Reference!$A$11,D29)),Reference!$A$6:$A$11,1))))*(INDEX(Reference!$B$6:$B$11,MIN(5,MATCH(MAX(Reference!$A$6,MIN(Reference!$A$11,D29)),Reference!$A$6:$A$11,1))+1)-INDEX(Reference!$B$6:$B$11,MIN(5,MATCH(MAX(Reference!$A$6,MIN(Reference!$A$11,D29)),Reference!$A$6:$A$11,1))))/(INDEX(Reference!$A$6:$A$11,MIN(5,MATCH(MAX(Reference!$A$6,MIN(Reference!$A$11,D29)),Reference!$A$6:$A$11,1))+1)-INDEX(Reference!$A$6:$A$11,MIN(5,MATCH(MAX(Reference!$A$6,MIN(Reference!$A$11,D29)),Reference!$A$6:$A$11,1))))))))</f>
        <v>1.1499999999999999</v>
      </c>
      <c r="P29" s="32">
        <f>IF(N29="","",VLOOKUP(MAX(N29,0),Reference!$A$17:$B$20,2,TRUE()))</f>
        <v>0.6</v>
      </c>
      <c r="Q29" s="32">
        <f t="shared" si="3"/>
        <v>37.949999999999996</v>
      </c>
      <c r="R29" s="31"/>
      <c r="S29" s="31"/>
      <c r="T29" s="31"/>
      <c r="U29" s="32" t="str">
        <f t="shared" si="4"/>
        <v/>
      </c>
      <c r="V29" s="32" t="str">
        <f t="shared" si="5"/>
        <v/>
      </c>
      <c r="W29" s="32" t="str">
        <f>IF(V29="","",VLOOKUP(MAX(V29,0),Reference!$A$17:$B$20,2,TRUE()))</f>
        <v/>
      </c>
      <c r="X29" s="31"/>
      <c r="Y29" s="31"/>
      <c r="Z29" s="31"/>
      <c r="AA29" s="32" t="str">
        <f t="shared" si="6"/>
        <v/>
      </c>
      <c r="AB29" s="32" t="str">
        <f t="shared" si="7"/>
        <v/>
      </c>
      <c r="AC29" s="32" t="str">
        <f>IF(AB29="","",VLOOKUP(MAX(AB29,0),Reference!$A$17:$B$20,2,TRUE()))</f>
        <v/>
      </c>
      <c r="AD29" s="31"/>
      <c r="AE29">
        <f t="shared" si="8"/>
        <v>1</v>
      </c>
      <c r="AF29" s="33" t="str">
        <f>IF(OR(A29="",B29="",AND(C29&lt;&gt;"Bullpen",C29&lt;&gt;"Game")),"",IF((COUNTIFS($B$5:$B$300,B29,$A$5:$A$300,A29-1,$C$5:$C$300,"Bullpen",$AG$5:$AG$300,"&gt;0") + COUNTIFS($B$5:$B$300,B29,$A$5:$A$300,A29-1,$C$5:$C$300,"Game",$AG$5:$AG$300,"&gt;0"))&gt;0,Reference!$B$119,IF((COUNTIFS($B$5:$B$300,B29,$A$5:$A$300,A29-2,$C$5:$C$300,"Bullpen",$AG$5:$AG$300,"&gt;0") + COUNTIFS($B$5:$B$300,B29,$A$5:$A$300,A29-2,$C$5:$C$300,"Game",$AG$5:$AG$300,"&gt;0"))&gt;0,Reference!$B$120,1)))</f>
        <v/>
      </c>
      <c r="AG29" s="30">
        <f>IF(AND(OR(I29="",O29="",P29=""),OR(R29="",W29=""),OR(X29="",AC29="")),"",IF(OR(I29="",O29="",P29=""),0,I29*O29*P29)+IF(OR(R29="",W29=""),0,R29*IFERROR(INDEX(Reference!$B$61:$B$62,MATCH("Bullpen",Reference!$A$61:$A$62,0)),0)*W29)+IF(OR(X29="",AC29=""),0,X29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29))</f>
        <v>37.949999999999996</v>
      </c>
    </row>
    <row r="30" spans="1:33" x14ac:dyDescent="0.3">
      <c r="A30" s="35">
        <v>46290</v>
      </c>
      <c r="B30" s="31" t="s">
        <v>142</v>
      </c>
      <c r="C30" s="31" t="s">
        <v>52</v>
      </c>
      <c r="D30" s="31"/>
      <c r="E30" s="34"/>
      <c r="F30" s="34"/>
      <c r="G30" s="30" t="str">
        <f t="shared" si="0"/>
        <v/>
      </c>
      <c r="H30" s="31">
        <v>25</v>
      </c>
      <c r="I30" s="32">
        <f>IF(H30&lt;&gt;"",H30,IF(G30="","",ROUND(G30*IFERROR(INDEX(Reference!$B$44:$B$50,MATCH(C30,Reference!$A$44:$A$50,0)),0),0)))</f>
        <v>25</v>
      </c>
      <c r="J30" s="31">
        <v>84</v>
      </c>
      <c r="K30" s="31">
        <v>86</v>
      </c>
      <c r="L30" s="32">
        <f t="shared" si="1"/>
        <v>85</v>
      </c>
      <c r="M30" s="32">
        <f>IFERROR(INDEX(Roster!$D$5:$D$40,MATCH(B30,Roster!$A$5:$A$40,0)),"")</f>
        <v>87.9</v>
      </c>
      <c r="N30" s="32">
        <f t="shared" si="2"/>
        <v>2.9000000000000057</v>
      </c>
      <c r="O30" s="32">
        <f>IF(OR(C30="Bullpen",C30="Game"),IFERROR(INDEX(Reference!$B$61:$B$62,MATCH(C30,Reference!$A$61:$A$62,0)),""),IF(D30="","",IF(AE30&gt;1,((IF(1&lt;=AE30,(AE30-1+3)*(INDEX(Reference!$B$6:$B$11,MIN(5,MATCH(MAX(Reference!$A$6,MIN(Reference!$A$11,MIN(D30,90))),Reference!$A$6:$A$11,1)))+(MAX(Reference!$A$6,MIN(Reference!$A$11,MIN(D30,90)))-INDEX(Reference!$A$6:$A$11,MIN(5,MATCH(MAX(Reference!$A$6,MIN(Reference!$A$11,MIN(D30,90))),Reference!$A$6:$A$11,1))))*(INDEX(Reference!$B$6:$B$11,MIN(5,MATCH(MAX(Reference!$A$6,MIN(Reference!$A$11,MIN(D30,90))),Reference!$A$6:$A$11,1))+1)-INDEX(Reference!$B$6:$B$11,MIN(5,MATCH(MAX(Reference!$A$6,MIN(Reference!$A$11,MIN(D30,90))),Reference!$A$6:$A$11,1))))/(INDEX(Reference!$A$6:$A$11,MIN(5,MATCH(MAX(Reference!$A$6,MIN(Reference!$A$11,MIN(D30,90))),Reference!$A$6:$A$11,1))+1)-INDEX(Reference!$A$6:$A$11,MIN(5,MATCH(MAX(Reference!$A$6,MIN(Reference!$A$11,MIN(D30,90))),Reference!$A$6:$A$11,1))))),0)+IF(2&lt;=AE30,(AE30-2+3)*(INDEX(Reference!$B$6:$B$11,MIN(5,MATCH(MAX(Reference!$A$6,MIN(Reference!$A$11,MIN(D30,120))),Reference!$A$6:$A$11,1)))+(MAX(Reference!$A$6,MIN(Reference!$A$11,MIN(D30,120)))-INDEX(Reference!$A$6:$A$11,MIN(5,MATCH(MAX(Reference!$A$6,MIN(Reference!$A$11,MIN(D30,120))),Reference!$A$6:$A$11,1))))*(INDEX(Reference!$B$6:$B$11,MIN(5,MATCH(MAX(Reference!$A$6,MIN(Reference!$A$11,MIN(D30,120))),Reference!$A$6:$A$11,1))+1)-INDEX(Reference!$B$6:$B$11,MIN(5,MATCH(MAX(Reference!$A$6,MIN(Reference!$A$11,MIN(D30,120))),Reference!$A$6:$A$11,1))))/(INDEX(Reference!$A$6:$A$11,MIN(5,MATCH(MAX(Reference!$A$6,MIN(Reference!$A$11,MIN(D30,120))),Reference!$A$6:$A$11,1))+1)-INDEX(Reference!$A$6:$A$11,MIN(5,MATCH(MAX(Reference!$A$6,MIN(Reference!$A$11,MIN(D30,120))),Reference!$A$6:$A$11,1))))),0)+IF(3&lt;=AE30,(AE30-3+3)*(INDEX(Reference!$B$6:$B$11,MIN(5,MATCH(MAX(Reference!$A$6,MIN(Reference!$A$11,MIN(D30,150))),Reference!$A$6:$A$11,1)))+(MAX(Reference!$A$6,MIN(Reference!$A$11,MIN(D30,150)))-INDEX(Reference!$A$6:$A$11,MIN(5,MATCH(MAX(Reference!$A$6,MIN(Reference!$A$11,MIN(D30,150))),Reference!$A$6:$A$11,1))))*(INDEX(Reference!$B$6:$B$11,MIN(5,MATCH(MAX(Reference!$A$6,MIN(Reference!$A$11,MIN(D30,150))),Reference!$A$6:$A$11,1))+1)-INDEX(Reference!$B$6:$B$11,MIN(5,MATCH(MAX(Reference!$A$6,MIN(Reference!$A$11,MIN(D30,150))),Reference!$A$6:$A$11,1))))/(INDEX(Reference!$A$6:$A$11,MIN(5,MATCH(MAX(Reference!$A$6,MIN(Reference!$A$11,MIN(D30,150))),Reference!$A$6:$A$11,1))+1)-INDEX(Reference!$A$6:$A$11,MIN(5,MATCH(MAX(Reference!$A$6,MIN(Reference!$A$11,MIN(D30,150))),Reference!$A$6:$A$11,1))))),0)+IF(4&lt;=AE30,(AE30-4+3)*(INDEX(Reference!$B$6:$B$11,MIN(5,MATCH(MAX(Reference!$A$6,MIN(Reference!$A$11,MIN(D30,180))),Reference!$A$6:$A$11,1)))+(MAX(Reference!$A$6,MIN(Reference!$A$11,MIN(D30,180)))-INDEX(Reference!$A$6:$A$11,MIN(5,MATCH(MAX(Reference!$A$6,MIN(Reference!$A$11,MIN(D30,180))),Reference!$A$6:$A$11,1))))*(INDEX(Reference!$B$6:$B$11,MIN(5,MATCH(MAX(Reference!$A$6,MIN(Reference!$A$11,MIN(D30,180))),Reference!$A$6:$A$11,1))+1)-INDEX(Reference!$B$6:$B$11,MIN(5,MATCH(MAX(Reference!$A$6,MIN(Reference!$A$11,MIN(D30,180))),Reference!$A$6:$A$11,1))))/(INDEX(Reference!$A$6:$A$11,MIN(5,MATCH(MAX(Reference!$A$6,MIN(Reference!$A$11,MIN(D30,180))),Reference!$A$6:$A$11,1))+1)-INDEX(Reference!$A$6:$A$11,MIN(5,MATCH(MAX(Reference!$A$6,MIN(Reference!$A$11,MIN(D30,180))),Reference!$A$6:$A$11,1))))),0)+IF(5&lt;=AE30,(AE30-5+3)*(INDEX(Reference!$B$6:$B$11,MIN(5,MATCH(MAX(Reference!$A$6,MIN(Reference!$A$11,MIN(D30,210))),Reference!$A$6:$A$11,1)))+(MAX(Reference!$A$6,MIN(Reference!$A$11,MIN(D30,210)))-INDEX(Reference!$A$6:$A$11,MIN(5,MATCH(MAX(Reference!$A$6,MIN(Reference!$A$11,MIN(D30,210))),Reference!$A$6:$A$11,1))))*(INDEX(Reference!$B$6:$B$11,MIN(5,MATCH(MAX(Reference!$A$6,MIN(Reference!$A$11,MIN(D30,210))),Reference!$A$6:$A$11,1))+1)-INDEX(Reference!$B$6:$B$11,MIN(5,MATCH(MAX(Reference!$A$6,MIN(Reference!$A$11,MIN(D30,210))),Reference!$A$6:$A$11,1))))/(INDEX(Reference!$A$6:$A$11,MIN(5,MATCH(MAX(Reference!$A$6,MIN(Reference!$A$11,MIN(D30,210))),Reference!$A$6:$A$11,1))+1)-INDEX(Reference!$A$6:$A$11,MIN(5,MATCH(MAX(Reference!$A$6,MIN(Reference!$A$11,MIN(D30,210))),Reference!$A$6:$A$11,1))))),0)+IF(6&lt;=AE30,(AE30-6+3)*(INDEX(Reference!$B$6:$B$11,MIN(5,MATCH(MAX(Reference!$A$6,MIN(Reference!$A$11,MIN(D30,240))),Reference!$A$6:$A$11,1)))+(MAX(Reference!$A$6,MIN(Reference!$A$11,MIN(D30,240)))-INDEX(Reference!$A$6:$A$11,MIN(5,MATCH(MAX(Reference!$A$6,MIN(Reference!$A$11,MIN(D30,240))),Reference!$A$6:$A$11,1))))*(INDEX(Reference!$B$6:$B$11,MIN(5,MATCH(MAX(Reference!$A$6,MIN(Reference!$A$11,MIN(D30,240))),Reference!$A$6:$A$11,1))+1)-INDEX(Reference!$B$6:$B$11,MIN(5,MATCH(MAX(Reference!$A$6,MIN(Reference!$A$11,MIN(D30,240))),Reference!$A$6:$A$11,1))))/(INDEX(Reference!$A$6:$A$11,MIN(5,MATCH(MAX(Reference!$A$6,MIN(Reference!$A$11,MIN(D30,240))),Reference!$A$6:$A$11,1))+1)-INDEX(Reference!$A$6:$A$11,MIN(5,MATCH(MAX(Reference!$A$6,MIN(Reference!$A$11,MIN(D30,240))),Reference!$A$6:$A$11,1))))),0)+IF(7&lt;=AE30,(AE30-7+3)*(INDEX(Reference!$B$6:$B$11,MIN(5,MATCH(MAX(Reference!$A$6,MIN(Reference!$A$11,MIN(D30,270))),Reference!$A$6:$A$11,1)))+(MAX(Reference!$A$6,MIN(Reference!$A$11,MIN(D30,270)))-INDEX(Reference!$A$6:$A$11,MIN(5,MATCH(MAX(Reference!$A$6,MIN(Reference!$A$11,MIN(D30,270))),Reference!$A$6:$A$11,1))))*(INDEX(Reference!$B$6:$B$11,MIN(5,MATCH(MAX(Reference!$A$6,MIN(Reference!$A$11,MIN(D30,270))),Reference!$A$6:$A$11,1))+1)-INDEX(Reference!$B$6:$B$11,MIN(5,MATCH(MAX(Reference!$A$6,MIN(Reference!$A$11,MIN(D30,270))),Reference!$A$6:$A$11,1))))/(INDEX(Reference!$A$6:$A$11,MIN(5,MATCH(MAX(Reference!$A$6,MIN(Reference!$A$11,MIN(D30,270))),Reference!$A$6:$A$11,1))+1)-INDEX(Reference!$A$6:$A$11,MIN(5,MATCH(MAX(Reference!$A$6,MIN(Reference!$A$11,MIN(D30,270))),Reference!$A$6:$A$11,1))))),0)+IF(8&lt;=AE30,(AE30-8+3)*(INDEX(Reference!$B$6:$B$11,MIN(5,MATCH(MAX(Reference!$A$6,MIN(Reference!$A$11,MIN(D30,300))),Reference!$A$6:$A$11,1)))+(MAX(Reference!$A$6,MIN(Reference!$A$11,MIN(D30,300)))-INDEX(Reference!$A$6:$A$11,MIN(5,MATCH(MAX(Reference!$A$6,MIN(Reference!$A$11,MIN(D30,300))),Reference!$A$6:$A$11,1))))*(INDEX(Reference!$B$6:$B$11,MIN(5,MATCH(MAX(Reference!$A$6,MIN(Reference!$A$11,MIN(D30,300))),Reference!$A$6:$A$11,1))+1)-INDEX(Reference!$B$6:$B$11,MIN(5,MATCH(MAX(Reference!$A$6,MIN(Reference!$A$11,MIN(D30,300))),Reference!$A$6:$A$11,1))))/(INDEX(Reference!$A$6:$A$11,MIN(5,MATCH(MAX(Reference!$A$6,MIN(Reference!$A$11,MIN(D30,300))),Reference!$A$6:$A$11,1))+1)-INDEX(Reference!$A$6:$A$11,MIN(5,MATCH(MAX(Reference!$A$6,MIN(Reference!$A$11,MIN(D30,300))),Reference!$A$6:$A$11,1))))),0))/(AE30*(AE30+5)/2)),(INDEX(Reference!$B$6:$B$11,MIN(5,MATCH(MAX(Reference!$A$6,MIN(Reference!$A$11,D30)),Reference!$A$6:$A$11,1)))+(MAX(Reference!$A$6,MIN(Reference!$A$11,D30))-INDEX(Reference!$A$6:$A$11,MIN(5,MATCH(MAX(Reference!$A$6,MIN(Reference!$A$11,D30)),Reference!$A$6:$A$11,1))))*(INDEX(Reference!$B$6:$B$11,MIN(5,MATCH(MAX(Reference!$A$6,MIN(Reference!$A$11,D30)),Reference!$A$6:$A$11,1))+1)-INDEX(Reference!$B$6:$B$11,MIN(5,MATCH(MAX(Reference!$A$6,MIN(Reference!$A$11,D30)),Reference!$A$6:$A$11,1))))/(INDEX(Reference!$A$6:$A$11,MIN(5,MATCH(MAX(Reference!$A$6,MIN(Reference!$A$11,D30)),Reference!$A$6:$A$11,1))+1)-INDEX(Reference!$A$6:$A$11,MIN(5,MATCH(MAX(Reference!$A$6,MIN(Reference!$A$11,D30)),Reference!$A$6:$A$11,1))))))))</f>
        <v>3</v>
      </c>
      <c r="P30" s="32">
        <f>IF(N30="","",VLOOKUP(MAX(N30,0),Reference!$A$17:$B$20,2,TRUE()))</f>
        <v>2</v>
      </c>
      <c r="Q30" s="32">
        <f t="shared" si="3"/>
        <v>150</v>
      </c>
      <c r="R30" s="31"/>
      <c r="S30" s="31"/>
      <c r="T30" s="31"/>
      <c r="U30" s="32" t="str">
        <f t="shared" si="4"/>
        <v/>
      </c>
      <c r="V30" s="32" t="str">
        <f t="shared" si="5"/>
        <v/>
      </c>
      <c r="W30" s="32" t="str">
        <f>IF(V30="","",VLOOKUP(MAX(V30,0),Reference!$A$17:$B$20,2,TRUE()))</f>
        <v/>
      </c>
      <c r="X30" s="31"/>
      <c r="Y30" s="31"/>
      <c r="Z30" s="31"/>
      <c r="AA30" s="32" t="str">
        <f t="shared" si="6"/>
        <v/>
      </c>
      <c r="AB30" s="32" t="str">
        <f t="shared" si="7"/>
        <v/>
      </c>
      <c r="AC30" s="32" t="str">
        <f>IF(AB30="","",VLOOKUP(MAX(AB30,0),Reference!$A$17:$B$20,2,TRUE()))</f>
        <v/>
      </c>
      <c r="AD30" s="31"/>
      <c r="AE30">
        <f t="shared" si="8"/>
        <v>1</v>
      </c>
      <c r="AF30" s="33">
        <f>IF(OR(A30="",B30="",AND(C30&lt;&gt;"Bullpen",C30&lt;&gt;"Game")),"",IF((COUNTIFS($B$5:$B$300,B30,$A$5:$A$300,A30-1,$C$5:$C$300,"Bullpen",$AG$5:$AG$300,"&gt;0") + COUNTIFS($B$5:$B$300,B30,$A$5:$A$300,A30-1,$C$5:$C$300,"Game",$AG$5:$AG$300,"&gt;0"))&gt;0,Reference!$B$119,IF((COUNTIFS($B$5:$B$300,B30,$A$5:$A$300,A30-2,$C$5:$C$300,"Bullpen",$AG$5:$AG$300,"&gt;0") + COUNTIFS($B$5:$B$300,B30,$A$5:$A$300,A30-2,$C$5:$C$300,"Game",$AG$5:$AG$300,"&gt;0"))&gt;0,Reference!$B$120,1)))</f>
        <v>1</v>
      </c>
      <c r="AG30" s="30">
        <f>IF(AND(OR(I30="",O30="",P30=""),OR(R30="",W30=""),OR(X30="",AC30="")),"",IF(OR(I30="",O30="",P30=""),0,I30*O30*P30)+IF(OR(R30="",W30=""),0,R30*IFERROR(INDEX(Reference!$B$61:$B$62,MATCH("Bullpen",Reference!$A$61:$A$62,0)),0)*W30)+IF(OR(X30="",AC30=""),0,X30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30))</f>
        <v>150</v>
      </c>
    </row>
    <row r="31" spans="1:33" x14ac:dyDescent="0.3">
      <c r="A31" s="35">
        <v>46291</v>
      </c>
      <c r="B31" s="31" t="s">
        <v>142</v>
      </c>
      <c r="C31" s="31" t="s">
        <v>55</v>
      </c>
      <c r="D31" s="31">
        <v>75</v>
      </c>
      <c r="E31" s="34">
        <v>7.2916666666666699E-2</v>
      </c>
      <c r="F31" s="34">
        <v>7.9861111111111105E-2</v>
      </c>
      <c r="G31" s="30">
        <f t="shared" si="0"/>
        <v>9.9999999999999449</v>
      </c>
      <c r="H31" s="31"/>
      <c r="I31" s="32">
        <f>IF(H31&lt;&gt;"",H31,IF(G31="","",ROUND(G31*IFERROR(INDEX(Reference!$B$44:$B$50,MATCH(C31,Reference!$A$44:$A$50,0)),0),0)))</f>
        <v>55</v>
      </c>
      <c r="J31" s="31">
        <v>72</v>
      </c>
      <c r="K31" s="31">
        <v>75</v>
      </c>
      <c r="L31" s="32">
        <f t="shared" si="1"/>
        <v>73.5</v>
      </c>
      <c r="M31" s="32">
        <f>IFERROR(INDEX(Roster!$D$5:$D$40,MATCH(B31,Roster!$A$5:$A$40,0)),"")</f>
        <v>87.9</v>
      </c>
      <c r="N31" s="32">
        <f t="shared" si="2"/>
        <v>14.400000000000006</v>
      </c>
      <c r="O31" s="32">
        <f>IF(OR(C31="Bullpen",C31="Game"),IFERROR(INDEX(Reference!$B$61:$B$62,MATCH(C31,Reference!$A$61:$A$62,0)),""),IF(D31="","",IF(AE31&gt;1,((IF(1&lt;=AE31,(AE31-1+3)*(INDEX(Reference!$B$6:$B$11,MIN(5,MATCH(MAX(Reference!$A$6,MIN(Reference!$A$11,MIN(D31,90))),Reference!$A$6:$A$11,1)))+(MAX(Reference!$A$6,MIN(Reference!$A$11,MIN(D31,90)))-INDEX(Reference!$A$6:$A$11,MIN(5,MATCH(MAX(Reference!$A$6,MIN(Reference!$A$11,MIN(D31,90))),Reference!$A$6:$A$11,1))))*(INDEX(Reference!$B$6:$B$11,MIN(5,MATCH(MAX(Reference!$A$6,MIN(Reference!$A$11,MIN(D31,90))),Reference!$A$6:$A$11,1))+1)-INDEX(Reference!$B$6:$B$11,MIN(5,MATCH(MAX(Reference!$A$6,MIN(Reference!$A$11,MIN(D31,90))),Reference!$A$6:$A$11,1))))/(INDEX(Reference!$A$6:$A$11,MIN(5,MATCH(MAX(Reference!$A$6,MIN(Reference!$A$11,MIN(D31,90))),Reference!$A$6:$A$11,1))+1)-INDEX(Reference!$A$6:$A$11,MIN(5,MATCH(MAX(Reference!$A$6,MIN(Reference!$A$11,MIN(D31,90))),Reference!$A$6:$A$11,1))))),0)+IF(2&lt;=AE31,(AE31-2+3)*(INDEX(Reference!$B$6:$B$11,MIN(5,MATCH(MAX(Reference!$A$6,MIN(Reference!$A$11,MIN(D31,120))),Reference!$A$6:$A$11,1)))+(MAX(Reference!$A$6,MIN(Reference!$A$11,MIN(D31,120)))-INDEX(Reference!$A$6:$A$11,MIN(5,MATCH(MAX(Reference!$A$6,MIN(Reference!$A$11,MIN(D31,120))),Reference!$A$6:$A$11,1))))*(INDEX(Reference!$B$6:$B$11,MIN(5,MATCH(MAX(Reference!$A$6,MIN(Reference!$A$11,MIN(D31,120))),Reference!$A$6:$A$11,1))+1)-INDEX(Reference!$B$6:$B$11,MIN(5,MATCH(MAX(Reference!$A$6,MIN(Reference!$A$11,MIN(D31,120))),Reference!$A$6:$A$11,1))))/(INDEX(Reference!$A$6:$A$11,MIN(5,MATCH(MAX(Reference!$A$6,MIN(Reference!$A$11,MIN(D31,120))),Reference!$A$6:$A$11,1))+1)-INDEX(Reference!$A$6:$A$11,MIN(5,MATCH(MAX(Reference!$A$6,MIN(Reference!$A$11,MIN(D31,120))),Reference!$A$6:$A$11,1))))),0)+IF(3&lt;=AE31,(AE31-3+3)*(INDEX(Reference!$B$6:$B$11,MIN(5,MATCH(MAX(Reference!$A$6,MIN(Reference!$A$11,MIN(D31,150))),Reference!$A$6:$A$11,1)))+(MAX(Reference!$A$6,MIN(Reference!$A$11,MIN(D31,150)))-INDEX(Reference!$A$6:$A$11,MIN(5,MATCH(MAX(Reference!$A$6,MIN(Reference!$A$11,MIN(D31,150))),Reference!$A$6:$A$11,1))))*(INDEX(Reference!$B$6:$B$11,MIN(5,MATCH(MAX(Reference!$A$6,MIN(Reference!$A$11,MIN(D31,150))),Reference!$A$6:$A$11,1))+1)-INDEX(Reference!$B$6:$B$11,MIN(5,MATCH(MAX(Reference!$A$6,MIN(Reference!$A$11,MIN(D31,150))),Reference!$A$6:$A$11,1))))/(INDEX(Reference!$A$6:$A$11,MIN(5,MATCH(MAX(Reference!$A$6,MIN(Reference!$A$11,MIN(D31,150))),Reference!$A$6:$A$11,1))+1)-INDEX(Reference!$A$6:$A$11,MIN(5,MATCH(MAX(Reference!$A$6,MIN(Reference!$A$11,MIN(D31,150))),Reference!$A$6:$A$11,1))))),0)+IF(4&lt;=AE31,(AE31-4+3)*(INDEX(Reference!$B$6:$B$11,MIN(5,MATCH(MAX(Reference!$A$6,MIN(Reference!$A$11,MIN(D31,180))),Reference!$A$6:$A$11,1)))+(MAX(Reference!$A$6,MIN(Reference!$A$11,MIN(D31,180)))-INDEX(Reference!$A$6:$A$11,MIN(5,MATCH(MAX(Reference!$A$6,MIN(Reference!$A$11,MIN(D31,180))),Reference!$A$6:$A$11,1))))*(INDEX(Reference!$B$6:$B$11,MIN(5,MATCH(MAX(Reference!$A$6,MIN(Reference!$A$11,MIN(D31,180))),Reference!$A$6:$A$11,1))+1)-INDEX(Reference!$B$6:$B$11,MIN(5,MATCH(MAX(Reference!$A$6,MIN(Reference!$A$11,MIN(D31,180))),Reference!$A$6:$A$11,1))))/(INDEX(Reference!$A$6:$A$11,MIN(5,MATCH(MAX(Reference!$A$6,MIN(Reference!$A$11,MIN(D31,180))),Reference!$A$6:$A$11,1))+1)-INDEX(Reference!$A$6:$A$11,MIN(5,MATCH(MAX(Reference!$A$6,MIN(Reference!$A$11,MIN(D31,180))),Reference!$A$6:$A$11,1))))),0)+IF(5&lt;=AE31,(AE31-5+3)*(INDEX(Reference!$B$6:$B$11,MIN(5,MATCH(MAX(Reference!$A$6,MIN(Reference!$A$11,MIN(D31,210))),Reference!$A$6:$A$11,1)))+(MAX(Reference!$A$6,MIN(Reference!$A$11,MIN(D31,210)))-INDEX(Reference!$A$6:$A$11,MIN(5,MATCH(MAX(Reference!$A$6,MIN(Reference!$A$11,MIN(D31,210))),Reference!$A$6:$A$11,1))))*(INDEX(Reference!$B$6:$B$11,MIN(5,MATCH(MAX(Reference!$A$6,MIN(Reference!$A$11,MIN(D31,210))),Reference!$A$6:$A$11,1))+1)-INDEX(Reference!$B$6:$B$11,MIN(5,MATCH(MAX(Reference!$A$6,MIN(Reference!$A$11,MIN(D31,210))),Reference!$A$6:$A$11,1))))/(INDEX(Reference!$A$6:$A$11,MIN(5,MATCH(MAX(Reference!$A$6,MIN(Reference!$A$11,MIN(D31,210))),Reference!$A$6:$A$11,1))+1)-INDEX(Reference!$A$6:$A$11,MIN(5,MATCH(MAX(Reference!$A$6,MIN(Reference!$A$11,MIN(D31,210))),Reference!$A$6:$A$11,1))))),0)+IF(6&lt;=AE31,(AE31-6+3)*(INDEX(Reference!$B$6:$B$11,MIN(5,MATCH(MAX(Reference!$A$6,MIN(Reference!$A$11,MIN(D31,240))),Reference!$A$6:$A$11,1)))+(MAX(Reference!$A$6,MIN(Reference!$A$11,MIN(D31,240)))-INDEX(Reference!$A$6:$A$11,MIN(5,MATCH(MAX(Reference!$A$6,MIN(Reference!$A$11,MIN(D31,240))),Reference!$A$6:$A$11,1))))*(INDEX(Reference!$B$6:$B$11,MIN(5,MATCH(MAX(Reference!$A$6,MIN(Reference!$A$11,MIN(D31,240))),Reference!$A$6:$A$11,1))+1)-INDEX(Reference!$B$6:$B$11,MIN(5,MATCH(MAX(Reference!$A$6,MIN(Reference!$A$11,MIN(D31,240))),Reference!$A$6:$A$11,1))))/(INDEX(Reference!$A$6:$A$11,MIN(5,MATCH(MAX(Reference!$A$6,MIN(Reference!$A$11,MIN(D31,240))),Reference!$A$6:$A$11,1))+1)-INDEX(Reference!$A$6:$A$11,MIN(5,MATCH(MAX(Reference!$A$6,MIN(Reference!$A$11,MIN(D31,240))),Reference!$A$6:$A$11,1))))),0)+IF(7&lt;=AE31,(AE31-7+3)*(INDEX(Reference!$B$6:$B$11,MIN(5,MATCH(MAX(Reference!$A$6,MIN(Reference!$A$11,MIN(D31,270))),Reference!$A$6:$A$11,1)))+(MAX(Reference!$A$6,MIN(Reference!$A$11,MIN(D31,270)))-INDEX(Reference!$A$6:$A$11,MIN(5,MATCH(MAX(Reference!$A$6,MIN(Reference!$A$11,MIN(D31,270))),Reference!$A$6:$A$11,1))))*(INDEX(Reference!$B$6:$B$11,MIN(5,MATCH(MAX(Reference!$A$6,MIN(Reference!$A$11,MIN(D31,270))),Reference!$A$6:$A$11,1))+1)-INDEX(Reference!$B$6:$B$11,MIN(5,MATCH(MAX(Reference!$A$6,MIN(Reference!$A$11,MIN(D31,270))),Reference!$A$6:$A$11,1))))/(INDEX(Reference!$A$6:$A$11,MIN(5,MATCH(MAX(Reference!$A$6,MIN(Reference!$A$11,MIN(D31,270))),Reference!$A$6:$A$11,1))+1)-INDEX(Reference!$A$6:$A$11,MIN(5,MATCH(MAX(Reference!$A$6,MIN(Reference!$A$11,MIN(D31,270))),Reference!$A$6:$A$11,1))))),0)+IF(8&lt;=AE31,(AE31-8+3)*(INDEX(Reference!$B$6:$B$11,MIN(5,MATCH(MAX(Reference!$A$6,MIN(Reference!$A$11,MIN(D31,300))),Reference!$A$6:$A$11,1)))+(MAX(Reference!$A$6,MIN(Reference!$A$11,MIN(D31,300)))-INDEX(Reference!$A$6:$A$11,MIN(5,MATCH(MAX(Reference!$A$6,MIN(Reference!$A$11,MIN(D31,300))),Reference!$A$6:$A$11,1))))*(INDEX(Reference!$B$6:$B$11,MIN(5,MATCH(MAX(Reference!$A$6,MIN(Reference!$A$11,MIN(D31,300))),Reference!$A$6:$A$11,1))+1)-INDEX(Reference!$B$6:$B$11,MIN(5,MATCH(MAX(Reference!$A$6,MIN(Reference!$A$11,MIN(D31,300))),Reference!$A$6:$A$11,1))))/(INDEX(Reference!$A$6:$A$11,MIN(5,MATCH(MAX(Reference!$A$6,MIN(Reference!$A$11,MIN(D31,300))),Reference!$A$6:$A$11,1))+1)-INDEX(Reference!$A$6:$A$11,MIN(5,MATCH(MAX(Reference!$A$6,MIN(Reference!$A$11,MIN(D31,300))),Reference!$A$6:$A$11,1))))),0))/(AE31*(AE31+5)/2)),(INDEX(Reference!$B$6:$B$11,MIN(5,MATCH(MAX(Reference!$A$6,MIN(Reference!$A$11,D31)),Reference!$A$6:$A$11,1)))+(MAX(Reference!$A$6,MIN(Reference!$A$11,D31))-INDEX(Reference!$A$6:$A$11,MIN(5,MATCH(MAX(Reference!$A$6,MIN(Reference!$A$11,D31)),Reference!$A$6:$A$11,1))))*(INDEX(Reference!$B$6:$B$11,MIN(5,MATCH(MAX(Reference!$A$6,MIN(Reference!$A$11,D31)),Reference!$A$6:$A$11,1))+1)-INDEX(Reference!$B$6:$B$11,MIN(5,MATCH(MAX(Reference!$A$6,MIN(Reference!$A$11,D31)),Reference!$A$6:$A$11,1))))/(INDEX(Reference!$A$6:$A$11,MIN(5,MATCH(MAX(Reference!$A$6,MIN(Reference!$A$11,D31)),Reference!$A$6:$A$11,1))+1)-INDEX(Reference!$A$6:$A$11,MIN(5,MATCH(MAX(Reference!$A$6,MIN(Reference!$A$11,D31)),Reference!$A$6:$A$11,1))))))))</f>
        <v>1.1499999999999999</v>
      </c>
      <c r="P31" s="32">
        <f>IF(N31="","",VLOOKUP(MAX(N31,0),Reference!$A$17:$B$20,2,TRUE()))</f>
        <v>0.6</v>
      </c>
      <c r="Q31" s="32">
        <f t="shared" si="3"/>
        <v>37.949999999999996</v>
      </c>
      <c r="R31" s="31"/>
      <c r="S31" s="31"/>
      <c r="T31" s="31"/>
      <c r="U31" s="32" t="str">
        <f t="shared" si="4"/>
        <v/>
      </c>
      <c r="V31" s="32" t="str">
        <f t="shared" si="5"/>
        <v/>
      </c>
      <c r="W31" s="32" t="str">
        <f>IF(V31="","",VLOOKUP(MAX(V31,0),Reference!$A$17:$B$20,2,TRUE()))</f>
        <v/>
      </c>
      <c r="X31" s="31"/>
      <c r="Y31" s="31"/>
      <c r="Z31" s="31"/>
      <c r="AA31" s="32" t="str">
        <f t="shared" si="6"/>
        <v/>
      </c>
      <c r="AB31" s="32" t="str">
        <f t="shared" si="7"/>
        <v/>
      </c>
      <c r="AC31" s="32" t="str">
        <f>IF(AB31="","",VLOOKUP(MAX(AB31,0),Reference!$A$17:$B$20,2,TRUE()))</f>
        <v/>
      </c>
      <c r="AD31" s="31"/>
      <c r="AE31">
        <f t="shared" si="8"/>
        <v>1</v>
      </c>
      <c r="AF31" s="33" t="str">
        <f>IF(OR(A31="",B31="",AND(C31&lt;&gt;"Bullpen",C31&lt;&gt;"Game")),"",IF((COUNTIFS($B$5:$B$300,B31,$A$5:$A$300,A31-1,$C$5:$C$300,"Bullpen",$AG$5:$AG$300,"&gt;0") + COUNTIFS($B$5:$B$300,B31,$A$5:$A$300,A31-1,$C$5:$C$300,"Game",$AG$5:$AG$300,"&gt;0"))&gt;0,Reference!$B$119,IF((COUNTIFS($B$5:$B$300,B31,$A$5:$A$300,A31-2,$C$5:$C$300,"Bullpen",$AG$5:$AG$300,"&gt;0") + COUNTIFS($B$5:$B$300,B31,$A$5:$A$300,A31-2,$C$5:$C$300,"Game",$AG$5:$AG$300,"&gt;0"))&gt;0,Reference!$B$120,1)))</f>
        <v/>
      </c>
      <c r="AG31" s="30">
        <f>IF(AND(OR(I31="",O31="",P31=""),OR(R31="",W31=""),OR(X31="",AC31="")),"",IF(OR(I31="",O31="",P31=""),0,I31*O31*P31)+IF(OR(R31="",W31=""),0,R31*IFERROR(INDEX(Reference!$B$61:$B$62,MATCH("Bullpen",Reference!$A$61:$A$62,0)),0)*W31)+IF(OR(X31="",AC31=""),0,X31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31))</f>
        <v>37.949999999999996</v>
      </c>
    </row>
    <row r="32" spans="1:33" x14ac:dyDescent="0.3">
      <c r="A32" s="35">
        <v>46292</v>
      </c>
      <c r="B32" s="31" t="s">
        <v>142</v>
      </c>
      <c r="C32" s="31" t="s">
        <v>53</v>
      </c>
      <c r="D32" s="31">
        <v>90</v>
      </c>
      <c r="E32" s="34">
        <v>7.5694444444444398E-2</v>
      </c>
      <c r="F32" s="34">
        <v>8.3333333333333301E-2</v>
      </c>
      <c r="G32" s="30">
        <f t="shared" si="0"/>
        <v>11.000000000000021</v>
      </c>
      <c r="H32" s="31"/>
      <c r="I32" s="32">
        <f>IF(H32&lt;&gt;"",H32,IF(G32="","",ROUND(G32*IFERROR(INDEX(Reference!$B$44:$B$50,MATCH(C32,Reference!$A$44:$A$50,0)),0),0)))</f>
        <v>44</v>
      </c>
      <c r="J32" s="31">
        <v>75</v>
      </c>
      <c r="K32" s="31">
        <v>81</v>
      </c>
      <c r="L32" s="32">
        <f t="shared" si="1"/>
        <v>78</v>
      </c>
      <c r="M32" s="32">
        <f>IFERROR(INDEX(Roster!$D$5:$D$40,MATCH(B32,Roster!$A$5:$A$40,0)),"")</f>
        <v>87.9</v>
      </c>
      <c r="N32" s="32">
        <f t="shared" si="2"/>
        <v>9.9000000000000057</v>
      </c>
      <c r="O32" s="32">
        <f>IF(OR(C32="Bullpen",C32="Game"),IFERROR(INDEX(Reference!$B$61:$B$62,MATCH(C32,Reference!$A$61:$A$62,0)),""),IF(D32="","",IF(AE32&gt;1,((IF(1&lt;=AE32,(AE32-1+3)*(INDEX(Reference!$B$6:$B$11,MIN(5,MATCH(MAX(Reference!$A$6,MIN(Reference!$A$11,MIN(D32,90))),Reference!$A$6:$A$11,1)))+(MAX(Reference!$A$6,MIN(Reference!$A$11,MIN(D32,90)))-INDEX(Reference!$A$6:$A$11,MIN(5,MATCH(MAX(Reference!$A$6,MIN(Reference!$A$11,MIN(D32,90))),Reference!$A$6:$A$11,1))))*(INDEX(Reference!$B$6:$B$11,MIN(5,MATCH(MAX(Reference!$A$6,MIN(Reference!$A$11,MIN(D32,90))),Reference!$A$6:$A$11,1))+1)-INDEX(Reference!$B$6:$B$11,MIN(5,MATCH(MAX(Reference!$A$6,MIN(Reference!$A$11,MIN(D32,90))),Reference!$A$6:$A$11,1))))/(INDEX(Reference!$A$6:$A$11,MIN(5,MATCH(MAX(Reference!$A$6,MIN(Reference!$A$11,MIN(D32,90))),Reference!$A$6:$A$11,1))+1)-INDEX(Reference!$A$6:$A$11,MIN(5,MATCH(MAX(Reference!$A$6,MIN(Reference!$A$11,MIN(D32,90))),Reference!$A$6:$A$11,1))))),0)+IF(2&lt;=AE32,(AE32-2+3)*(INDEX(Reference!$B$6:$B$11,MIN(5,MATCH(MAX(Reference!$A$6,MIN(Reference!$A$11,MIN(D32,120))),Reference!$A$6:$A$11,1)))+(MAX(Reference!$A$6,MIN(Reference!$A$11,MIN(D32,120)))-INDEX(Reference!$A$6:$A$11,MIN(5,MATCH(MAX(Reference!$A$6,MIN(Reference!$A$11,MIN(D32,120))),Reference!$A$6:$A$11,1))))*(INDEX(Reference!$B$6:$B$11,MIN(5,MATCH(MAX(Reference!$A$6,MIN(Reference!$A$11,MIN(D32,120))),Reference!$A$6:$A$11,1))+1)-INDEX(Reference!$B$6:$B$11,MIN(5,MATCH(MAX(Reference!$A$6,MIN(Reference!$A$11,MIN(D32,120))),Reference!$A$6:$A$11,1))))/(INDEX(Reference!$A$6:$A$11,MIN(5,MATCH(MAX(Reference!$A$6,MIN(Reference!$A$11,MIN(D32,120))),Reference!$A$6:$A$11,1))+1)-INDEX(Reference!$A$6:$A$11,MIN(5,MATCH(MAX(Reference!$A$6,MIN(Reference!$A$11,MIN(D32,120))),Reference!$A$6:$A$11,1))))),0)+IF(3&lt;=AE32,(AE32-3+3)*(INDEX(Reference!$B$6:$B$11,MIN(5,MATCH(MAX(Reference!$A$6,MIN(Reference!$A$11,MIN(D32,150))),Reference!$A$6:$A$11,1)))+(MAX(Reference!$A$6,MIN(Reference!$A$11,MIN(D32,150)))-INDEX(Reference!$A$6:$A$11,MIN(5,MATCH(MAX(Reference!$A$6,MIN(Reference!$A$11,MIN(D32,150))),Reference!$A$6:$A$11,1))))*(INDEX(Reference!$B$6:$B$11,MIN(5,MATCH(MAX(Reference!$A$6,MIN(Reference!$A$11,MIN(D32,150))),Reference!$A$6:$A$11,1))+1)-INDEX(Reference!$B$6:$B$11,MIN(5,MATCH(MAX(Reference!$A$6,MIN(Reference!$A$11,MIN(D32,150))),Reference!$A$6:$A$11,1))))/(INDEX(Reference!$A$6:$A$11,MIN(5,MATCH(MAX(Reference!$A$6,MIN(Reference!$A$11,MIN(D32,150))),Reference!$A$6:$A$11,1))+1)-INDEX(Reference!$A$6:$A$11,MIN(5,MATCH(MAX(Reference!$A$6,MIN(Reference!$A$11,MIN(D32,150))),Reference!$A$6:$A$11,1))))),0)+IF(4&lt;=AE32,(AE32-4+3)*(INDEX(Reference!$B$6:$B$11,MIN(5,MATCH(MAX(Reference!$A$6,MIN(Reference!$A$11,MIN(D32,180))),Reference!$A$6:$A$11,1)))+(MAX(Reference!$A$6,MIN(Reference!$A$11,MIN(D32,180)))-INDEX(Reference!$A$6:$A$11,MIN(5,MATCH(MAX(Reference!$A$6,MIN(Reference!$A$11,MIN(D32,180))),Reference!$A$6:$A$11,1))))*(INDEX(Reference!$B$6:$B$11,MIN(5,MATCH(MAX(Reference!$A$6,MIN(Reference!$A$11,MIN(D32,180))),Reference!$A$6:$A$11,1))+1)-INDEX(Reference!$B$6:$B$11,MIN(5,MATCH(MAX(Reference!$A$6,MIN(Reference!$A$11,MIN(D32,180))),Reference!$A$6:$A$11,1))))/(INDEX(Reference!$A$6:$A$11,MIN(5,MATCH(MAX(Reference!$A$6,MIN(Reference!$A$11,MIN(D32,180))),Reference!$A$6:$A$11,1))+1)-INDEX(Reference!$A$6:$A$11,MIN(5,MATCH(MAX(Reference!$A$6,MIN(Reference!$A$11,MIN(D32,180))),Reference!$A$6:$A$11,1))))),0)+IF(5&lt;=AE32,(AE32-5+3)*(INDEX(Reference!$B$6:$B$11,MIN(5,MATCH(MAX(Reference!$A$6,MIN(Reference!$A$11,MIN(D32,210))),Reference!$A$6:$A$11,1)))+(MAX(Reference!$A$6,MIN(Reference!$A$11,MIN(D32,210)))-INDEX(Reference!$A$6:$A$11,MIN(5,MATCH(MAX(Reference!$A$6,MIN(Reference!$A$11,MIN(D32,210))),Reference!$A$6:$A$11,1))))*(INDEX(Reference!$B$6:$B$11,MIN(5,MATCH(MAX(Reference!$A$6,MIN(Reference!$A$11,MIN(D32,210))),Reference!$A$6:$A$11,1))+1)-INDEX(Reference!$B$6:$B$11,MIN(5,MATCH(MAX(Reference!$A$6,MIN(Reference!$A$11,MIN(D32,210))),Reference!$A$6:$A$11,1))))/(INDEX(Reference!$A$6:$A$11,MIN(5,MATCH(MAX(Reference!$A$6,MIN(Reference!$A$11,MIN(D32,210))),Reference!$A$6:$A$11,1))+1)-INDEX(Reference!$A$6:$A$11,MIN(5,MATCH(MAX(Reference!$A$6,MIN(Reference!$A$11,MIN(D32,210))),Reference!$A$6:$A$11,1))))),0)+IF(6&lt;=AE32,(AE32-6+3)*(INDEX(Reference!$B$6:$B$11,MIN(5,MATCH(MAX(Reference!$A$6,MIN(Reference!$A$11,MIN(D32,240))),Reference!$A$6:$A$11,1)))+(MAX(Reference!$A$6,MIN(Reference!$A$11,MIN(D32,240)))-INDEX(Reference!$A$6:$A$11,MIN(5,MATCH(MAX(Reference!$A$6,MIN(Reference!$A$11,MIN(D32,240))),Reference!$A$6:$A$11,1))))*(INDEX(Reference!$B$6:$B$11,MIN(5,MATCH(MAX(Reference!$A$6,MIN(Reference!$A$11,MIN(D32,240))),Reference!$A$6:$A$11,1))+1)-INDEX(Reference!$B$6:$B$11,MIN(5,MATCH(MAX(Reference!$A$6,MIN(Reference!$A$11,MIN(D32,240))),Reference!$A$6:$A$11,1))))/(INDEX(Reference!$A$6:$A$11,MIN(5,MATCH(MAX(Reference!$A$6,MIN(Reference!$A$11,MIN(D32,240))),Reference!$A$6:$A$11,1))+1)-INDEX(Reference!$A$6:$A$11,MIN(5,MATCH(MAX(Reference!$A$6,MIN(Reference!$A$11,MIN(D32,240))),Reference!$A$6:$A$11,1))))),0)+IF(7&lt;=AE32,(AE32-7+3)*(INDEX(Reference!$B$6:$B$11,MIN(5,MATCH(MAX(Reference!$A$6,MIN(Reference!$A$11,MIN(D32,270))),Reference!$A$6:$A$11,1)))+(MAX(Reference!$A$6,MIN(Reference!$A$11,MIN(D32,270)))-INDEX(Reference!$A$6:$A$11,MIN(5,MATCH(MAX(Reference!$A$6,MIN(Reference!$A$11,MIN(D32,270))),Reference!$A$6:$A$11,1))))*(INDEX(Reference!$B$6:$B$11,MIN(5,MATCH(MAX(Reference!$A$6,MIN(Reference!$A$11,MIN(D32,270))),Reference!$A$6:$A$11,1))+1)-INDEX(Reference!$B$6:$B$11,MIN(5,MATCH(MAX(Reference!$A$6,MIN(Reference!$A$11,MIN(D32,270))),Reference!$A$6:$A$11,1))))/(INDEX(Reference!$A$6:$A$11,MIN(5,MATCH(MAX(Reference!$A$6,MIN(Reference!$A$11,MIN(D32,270))),Reference!$A$6:$A$11,1))+1)-INDEX(Reference!$A$6:$A$11,MIN(5,MATCH(MAX(Reference!$A$6,MIN(Reference!$A$11,MIN(D32,270))),Reference!$A$6:$A$11,1))))),0)+IF(8&lt;=AE32,(AE32-8+3)*(INDEX(Reference!$B$6:$B$11,MIN(5,MATCH(MAX(Reference!$A$6,MIN(Reference!$A$11,MIN(D32,300))),Reference!$A$6:$A$11,1)))+(MAX(Reference!$A$6,MIN(Reference!$A$11,MIN(D32,300)))-INDEX(Reference!$A$6:$A$11,MIN(5,MATCH(MAX(Reference!$A$6,MIN(Reference!$A$11,MIN(D32,300))),Reference!$A$6:$A$11,1))))*(INDEX(Reference!$B$6:$B$11,MIN(5,MATCH(MAX(Reference!$A$6,MIN(Reference!$A$11,MIN(D32,300))),Reference!$A$6:$A$11,1))+1)-INDEX(Reference!$B$6:$B$11,MIN(5,MATCH(MAX(Reference!$A$6,MIN(Reference!$A$11,MIN(D32,300))),Reference!$A$6:$A$11,1))))/(INDEX(Reference!$A$6:$A$11,MIN(5,MATCH(MAX(Reference!$A$6,MIN(Reference!$A$11,MIN(D32,300))),Reference!$A$6:$A$11,1))+1)-INDEX(Reference!$A$6:$A$11,MIN(5,MATCH(MAX(Reference!$A$6,MIN(Reference!$A$11,MIN(D32,300))),Reference!$A$6:$A$11,1))))),0))/(AE32*(AE32+5)/2)),(INDEX(Reference!$B$6:$B$11,MIN(5,MATCH(MAX(Reference!$A$6,MIN(Reference!$A$11,D32)),Reference!$A$6:$A$11,1)))+(MAX(Reference!$A$6,MIN(Reference!$A$11,D32))-INDEX(Reference!$A$6:$A$11,MIN(5,MATCH(MAX(Reference!$A$6,MIN(Reference!$A$11,D32)),Reference!$A$6:$A$11,1))))*(INDEX(Reference!$B$6:$B$11,MIN(5,MATCH(MAX(Reference!$A$6,MIN(Reference!$A$11,D32)),Reference!$A$6:$A$11,1))+1)-INDEX(Reference!$B$6:$B$11,MIN(5,MATCH(MAX(Reference!$A$6,MIN(Reference!$A$11,D32)),Reference!$A$6:$A$11,1))))/(INDEX(Reference!$A$6:$A$11,MIN(5,MATCH(MAX(Reference!$A$6,MIN(Reference!$A$11,D32)),Reference!$A$6:$A$11,1))+1)-INDEX(Reference!$A$6:$A$11,MIN(5,MATCH(MAX(Reference!$A$6,MIN(Reference!$A$11,D32)),Reference!$A$6:$A$11,1))))))))</f>
        <v>1.3</v>
      </c>
      <c r="P32" s="32">
        <f>IF(N32="","",VLOOKUP(MAX(N32,0),Reference!$A$17:$B$20,2,TRUE()))</f>
        <v>1</v>
      </c>
      <c r="Q32" s="32">
        <f t="shared" si="3"/>
        <v>57.2</v>
      </c>
      <c r="R32" s="31"/>
      <c r="S32" s="31"/>
      <c r="T32" s="31"/>
      <c r="U32" s="32" t="str">
        <f t="shared" si="4"/>
        <v/>
      </c>
      <c r="V32" s="32" t="str">
        <f t="shared" si="5"/>
        <v/>
      </c>
      <c r="W32" s="32" t="str">
        <f>IF(V32="","",VLOOKUP(MAX(V32,0),Reference!$A$17:$B$20,2,TRUE()))</f>
        <v/>
      </c>
      <c r="X32" s="31"/>
      <c r="Y32" s="31"/>
      <c r="Z32" s="31"/>
      <c r="AA32" s="32" t="str">
        <f t="shared" si="6"/>
        <v/>
      </c>
      <c r="AB32" s="32" t="str">
        <f t="shared" si="7"/>
        <v/>
      </c>
      <c r="AC32" s="32" t="str">
        <f>IF(AB32="","",VLOOKUP(MAX(AB32,0),Reference!$A$17:$B$20,2,TRUE()))</f>
        <v/>
      </c>
      <c r="AD32" s="31"/>
      <c r="AE32">
        <f t="shared" si="8"/>
        <v>1</v>
      </c>
      <c r="AF32" s="33" t="str">
        <f>IF(OR(A32="",B32="",AND(C32&lt;&gt;"Bullpen",C32&lt;&gt;"Game")),"",IF((COUNTIFS($B$5:$B$300,B32,$A$5:$A$300,A32-1,$C$5:$C$300,"Bullpen",$AG$5:$AG$300,"&gt;0") + COUNTIFS($B$5:$B$300,B32,$A$5:$A$300,A32-1,$C$5:$C$300,"Game",$AG$5:$AG$300,"&gt;0"))&gt;0,Reference!$B$119,IF((COUNTIFS($B$5:$B$300,B32,$A$5:$A$300,A32-2,$C$5:$C$300,"Bullpen",$AG$5:$AG$300,"&gt;0") + COUNTIFS($B$5:$B$300,B32,$A$5:$A$300,A32-2,$C$5:$C$300,"Game",$AG$5:$AG$300,"&gt;0"))&gt;0,Reference!$B$120,1)))</f>
        <v/>
      </c>
      <c r="AG32" s="30">
        <f>IF(AND(OR(I32="",O32="",P32=""),OR(R32="",W32=""),OR(X32="",AC32="")),"",IF(OR(I32="",O32="",P32=""),0,I32*O32*P32)+IF(OR(R32="",W32=""),0,R32*IFERROR(INDEX(Reference!$B$61:$B$62,MATCH("Bullpen",Reference!$A$61:$A$62,0)),0)*W32)+IF(OR(X32="",AC32=""),0,X32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32))</f>
        <v>57.2</v>
      </c>
    </row>
    <row r="33" spans="1:33" x14ac:dyDescent="0.3">
      <c r="A33" s="35">
        <v>46293</v>
      </c>
      <c r="B33" s="31" t="s">
        <v>142</v>
      </c>
      <c r="C33" s="31" t="s">
        <v>54</v>
      </c>
      <c r="D33" s="31"/>
      <c r="E33" s="34"/>
      <c r="F33" s="34"/>
      <c r="G33" s="30" t="str">
        <f t="shared" si="0"/>
        <v/>
      </c>
      <c r="H33" s="31"/>
      <c r="I33" s="32" t="str">
        <f>IF(H33&lt;&gt;"",H33,IF(G33="","",ROUND(G33*IFERROR(INDEX(Reference!$B$44:$B$50,MATCH(C33,Reference!$A$44:$A$50,0)),0),0)))</f>
        <v/>
      </c>
      <c r="J33" s="31"/>
      <c r="K33" s="31"/>
      <c r="L33" s="32" t="str">
        <f t="shared" si="1"/>
        <v/>
      </c>
      <c r="M33" s="32">
        <f>IFERROR(INDEX(Roster!$D$5:$D$40,MATCH(B33,Roster!$A$5:$A$40,0)),"")</f>
        <v>87.9</v>
      </c>
      <c r="N33" s="32" t="str">
        <f t="shared" si="2"/>
        <v/>
      </c>
      <c r="O33" s="32">
        <f>IF(OR(C33="Bullpen",C33="Game"),IFERROR(INDEX(Reference!$B$61:$B$62,MATCH(C33,Reference!$A$61:$A$62,0)),""),IF(D33="","",IF(AE33&gt;1,((IF(1&lt;=AE33,(AE33-1+3)*(INDEX(Reference!$B$6:$B$11,MIN(5,MATCH(MAX(Reference!$A$6,MIN(Reference!$A$11,MIN(D33,90))),Reference!$A$6:$A$11,1)))+(MAX(Reference!$A$6,MIN(Reference!$A$11,MIN(D33,90)))-INDEX(Reference!$A$6:$A$11,MIN(5,MATCH(MAX(Reference!$A$6,MIN(Reference!$A$11,MIN(D33,90))),Reference!$A$6:$A$11,1))))*(INDEX(Reference!$B$6:$B$11,MIN(5,MATCH(MAX(Reference!$A$6,MIN(Reference!$A$11,MIN(D33,90))),Reference!$A$6:$A$11,1))+1)-INDEX(Reference!$B$6:$B$11,MIN(5,MATCH(MAX(Reference!$A$6,MIN(Reference!$A$11,MIN(D33,90))),Reference!$A$6:$A$11,1))))/(INDEX(Reference!$A$6:$A$11,MIN(5,MATCH(MAX(Reference!$A$6,MIN(Reference!$A$11,MIN(D33,90))),Reference!$A$6:$A$11,1))+1)-INDEX(Reference!$A$6:$A$11,MIN(5,MATCH(MAX(Reference!$A$6,MIN(Reference!$A$11,MIN(D33,90))),Reference!$A$6:$A$11,1))))),0)+IF(2&lt;=AE33,(AE33-2+3)*(INDEX(Reference!$B$6:$B$11,MIN(5,MATCH(MAX(Reference!$A$6,MIN(Reference!$A$11,MIN(D33,120))),Reference!$A$6:$A$11,1)))+(MAX(Reference!$A$6,MIN(Reference!$A$11,MIN(D33,120)))-INDEX(Reference!$A$6:$A$11,MIN(5,MATCH(MAX(Reference!$A$6,MIN(Reference!$A$11,MIN(D33,120))),Reference!$A$6:$A$11,1))))*(INDEX(Reference!$B$6:$B$11,MIN(5,MATCH(MAX(Reference!$A$6,MIN(Reference!$A$11,MIN(D33,120))),Reference!$A$6:$A$11,1))+1)-INDEX(Reference!$B$6:$B$11,MIN(5,MATCH(MAX(Reference!$A$6,MIN(Reference!$A$11,MIN(D33,120))),Reference!$A$6:$A$11,1))))/(INDEX(Reference!$A$6:$A$11,MIN(5,MATCH(MAX(Reference!$A$6,MIN(Reference!$A$11,MIN(D33,120))),Reference!$A$6:$A$11,1))+1)-INDEX(Reference!$A$6:$A$11,MIN(5,MATCH(MAX(Reference!$A$6,MIN(Reference!$A$11,MIN(D33,120))),Reference!$A$6:$A$11,1))))),0)+IF(3&lt;=AE33,(AE33-3+3)*(INDEX(Reference!$B$6:$B$11,MIN(5,MATCH(MAX(Reference!$A$6,MIN(Reference!$A$11,MIN(D33,150))),Reference!$A$6:$A$11,1)))+(MAX(Reference!$A$6,MIN(Reference!$A$11,MIN(D33,150)))-INDEX(Reference!$A$6:$A$11,MIN(5,MATCH(MAX(Reference!$A$6,MIN(Reference!$A$11,MIN(D33,150))),Reference!$A$6:$A$11,1))))*(INDEX(Reference!$B$6:$B$11,MIN(5,MATCH(MAX(Reference!$A$6,MIN(Reference!$A$11,MIN(D33,150))),Reference!$A$6:$A$11,1))+1)-INDEX(Reference!$B$6:$B$11,MIN(5,MATCH(MAX(Reference!$A$6,MIN(Reference!$A$11,MIN(D33,150))),Reference!$A$6:$A$11,1))))/(INDEX(Reference!$A$6:$A$11,MIN(5,MATCH(MAX(Reference!$A$6,MIN(Reference!$A$11,MIN(D33,150))),Reference!$A$6:$A$11,1))+1)-INDEX(Reference!$A$6:$A$11,MIN(5,MATCH(MAX(Reference!$A$6,MIN(Reference!$A$11,MIN(D33,150))),Reference!$A$6:$A$11,1))))),0)+IF(4&lt;=AE33,(AE33-4+3)*(INDEX(Reference!$B$6:$B$11,MIN(5,MATCH(MAX(Reference!$A$6,MIN(Reference!$A$11,MIN(D33,180))),Reference!$A$6:$A$11,1)))+(MAX(Reference!$A$6,MIN(Reference!$A$11,MIN(D33,180)))-INDEX(Reference!$A$6:$A$11,MIN(5,MATCH(MAX(Reference!$A$6,MIN(Reference!$A$11,MIN(D33,180))),Reference!$A$6:$A$11,1))))*(INDEX(Reference!$B$6:$B$11,MIN(5,MATCH(MAX(Reference!$A$6,MIN(Reference!$A$11,MIN(D33,180))),Reference!$A$6:$A$11,1))+1)-INDEX(Reference!$B$6:$B$11,MIN(5,MATCH(MAX(Reference!$A$6,MIN(Reference!$A$11,MIN(D33,180))),Reference!$A$6:$A$11,1))))/(INDEX(Reference!$A$6:$A$11,MIN(5,MATCH(MAX(Reference!$A$6,MIN(Reference!$A$11,MIN(D33,180))),Reference!$A$6:$A$11,1))+1)-INDEX(Reference!$A$6:$A$11,MIN(5,MATCH(MAX(Reference!$A$6,MIN(Reference!$A$11,MIN(D33,180))),Reference!$A$6:$A$11,1))))),0)+IF(5&lt;=AE33,(AE33-5+3)*(INDEX(Reference!$B$6:$B$11,MIN(5,MATCH(MAX(Reference!$A$6,MIN(Reference!$A$11,MIN(D33,210))),Reference!$A$6:$A$11,1)))+(MAX(Reference!$A$6,MIN(Reference!$A$11,MIN(D33,210)))-INDEX(Reference!$A$6:$A$11,MIN(5,MATCH(MAX(Reference!$A$6,MIN(Reference!$A$11,MIN(D33,210))),Reference!$A$6:$A$11,1))))*(INDEX(Reference!$B$6:$B$11,MIN(5,MATCH(MAX(Reference!$A$6,MIN(Reference!$A$11,MIN(D33,210))),Reference!$A$6:$A$11,1))+1)-INDEX(Reference!$B$6:$B$11,MIN(5,MATCH(MAX(Reference!$A$6,MIN(Reference!$A$11,MIN(D33,210))),Reference!$A$6:$A$11,1))))/(INDEX(Reference!$A$6:$A$11,MIN(5,MATCH(MAX(Reference!$A$6,MIN(Reference!$A$11,MIN(D33,210))),Reference!$A$6:$A$11,1))+1)-INDEX(Reference!$A$6:$A$11,MIN(5,MATCH(MAX(Reference!$A$6,MIN(Reference!$A$11,MIN(D33,210))),Reference!$A$6:$A$11,1))))),0)+IF(6&lt;=AE33,(AE33-6+3)*(INDEX(Reference!$B$6:$B$11,MIN(5,MATCH(MAX(Reference!$A$6,MIN(Reference!$A$11,MIN(D33,240))),Reference!$A$6:$A$11,1)))+(MAX(Reference!$A$6,MIN(Reference!$A$11,MIN(D33,240)))-INDEX(Reference!$A$6:$A$11,MIN(5,MATCH(MAX(Reference!$A$6,MIN(Reference!$A$11,MIN(D33,240))),Reference!$A$6:$A$11,1))))*(INDEX(Reference!$B$6:$B$11,MIN(5,MATCH(MAX(Reference!$A$6,MIN(Reference!$A$11,MIN(D33,240))),Reference!$A$6:$A$11,1))+1)-INDEX(Reference!$B$6:$B$11,MIN(5,MATCH(MAX(Reference!$A$6,MIN(Reference!$A$11,MIN(D33,240))),Reference!$A$6:$A$11,1))))/(INDEX(Reference!$A$6:$A$11,MIN(5,MATCH(MAX(Reference!$A$6,MIN(Reference!$A$11,MIN(D33,240))),Reference!$A$6:$A$11,1))+1)-INDEX(Reference!$A$6:$A$11,MIN(5,MATCH(MAX(Reference!$A$6,MIN(Reference!$A$11,MIN(D33,240))),Reference!$A$6:$A$11,1))))),0)+IF(7&lt;=AE33,(AE33-7+3)*(INDEX(Reference!$B$6:$B$11,MIN(5,MATCH(MAX(Reference!$A$6,MIN(Reference!$A$11,MIN(D33,270))),Reference!$A$6:$A$11,1)))+(MAX(Reference!$A$6,MIN(Reference!$A$11,MIN(D33,270)))-INDEX(Reference!$A$6:$A$11,MIN(5,MATCH(MAX(Reference!$A$6,MIN(Reference!$A$11,MIN(D33,270))),Reference!$A$6:$A$11,1))))*(INDEX(Reference!$B$6:$B$11,MIN(5,MATCH(MAX(Reference!$A$6,MIN(Reference!$A$11,MIN(D33,270))),Reference!$A$6:$A$11,1))+1)-INDEX(Reference!$B$6:$B$11,MIN(5,MATCH(MAX(Reference!$A$6,MIN(Reference!$A$11,MIN(D33,270))),Reference!$A$6:$A$11,1))))/(INDEX(Reference!$A$6:$A$11,MIN(5,MATCH(MAX(Reference!$A$6,MIN(Reference!$A$11,MIN(D33,270))),Reference!$A$6:$A$11,1))+1)-INDEX(Reference!$A$6:$A$11,MIN(5,MATCH(MAX(Reference!$A$6,MIN(Reference!$A$11,MIN(D33,270))),Reference!$A$6:$A$11,1))))),0)+IF(8&lt;=AE33,(AE33-8+3)*(INDEX(Reference!$B$6:$B$11,MIN(5,MATCH(MAX(Reference!$A$6,MIN(Reference!$A$11,MIN(D33,300))),Reference!$A$6:$A$11,1)))+(MAX(Reference!$A$6,MIN(Reference!$A$11,MIN(D33,300)))-INDEX(Reference!$A$6:$A$11,MIN(5,MATCH(MAX(Reference!$A$6,MIN(Reference!$A$11,MIN(D33,300))),Reference!$A$6:$A$11,1))))*(INDEX(Reference!$B$6:$B$11,MIN(5,MATCH(MAX(Reference!$A$6,MIN(Reference!$A$11,MIN(D33,300))),Reference!$A$6:$A$11,1))+1)-INDEX(Reference!$B$6:$B$11,MIN(5,MATCH(MAX(Reference!$A$6,MIN(Reference!$A$11,MIN(D33,300))),Reference!$A$6:$A$11,1))))/(INDEX(Reference!$A$6:$A$11,MIN(5,MATCH(MAX(Reference!$A$6,MIN(Reference!$A$11,MIN(D33,300))),Reference!$A$6:$A$11,1))+1)-INDEX(Reference!$A$6:$A$11,MIN(5,MATCH(MAX(Reference!$A$6,MIN(Reference!$A$11,MIN(D33,300))),Reference!$A$6:$A$11,1))))),0))/(AE33*(AE33+5)/2)),(INDEX(Reference!$B$6:$B$11,MIN(5,MATCH(MAX(Reference!$A$6,MIN(Reference!$A$11,D33)),Reference!$A$6:$A$11,1)))+(MAX(Reference!$A$6,MIN(Reference!$A$11,D33))-INDEX(Reference!$A$6:$A$11,MIN(5,MATCH(MAX(Reference!$A$6,MIN(Reference!$A$11,D33)),Reference!$A$6:$A$11,1))))*(INDEX(Reference!$B$6:$B$11,MIN(5,MATCH(MAX(Reference!$A$6,MIN(Reference!$A$11,D33)),Reference!$A$6:$A$11,1))+1)-INDEX(Reference!$B$6:$B$11,MIN(5,MATCH(MAX(Reference!$A$6,MIN(Reference!$A$11,D33)),Reference!$A$6:$A$11,1))))/(INDEX(Reference!$A$6:$A$11,MIN(5,MATCH(MAX(Reference!$A$6,MIN(Reference!$A$11,D33)),Reference!$A$6:$A$11,1))+1)-INDEX(Reference!$A$6:$A$11,MIN(5,MATCH(MAX(Reference!$A$6,MIN(Reference!$A$11,D33)),Reference!$A$6:$A$11,1))))))))</f>
        <v>3.2</v>
      </c>
      <c r="P33" s="32" t="str">
        <f>IF(N33="","",VLOOKUP(MAX(N33,0),Reference!$A$17:$B$20,2,TRUE()))</f>
        <v/>
      </c>
      <c r="Q33" s="32" t="str">
        <f t="shared" si="3"/>
        <v/>
      </c>
      <c r="R33" s="31"/>
      <c r="S33" s="31"/>
      <c r="T33" s="31"/>
      <c r="U33" s="32" t="str">
        <f t="shared" si="4"/>
        <v/>
      </c>
      <c r="V33" s="32" t="str">
        <f t="shared" si="5"/>
        <v/>
      </c>
      <c r="W33" s="32" t="str">
        <f>IF(V33="","",VLOOKUP(MAX(V33,0),Reference!$A$17:$B$20,2,TRUE()))</f>
        <v/>
      </c>
      <c r="X33" s="31"/>
      <c r="Y33" s="31"/>
      <c r="Z33" s="31"/>
      <c r="AA33" s="32" t="str">
        <f t="shared" si="6"/>
        <v/>
      </c>
      <c r="AB33" s="32" t="str">
        <f t="shared" si="7"/>
        <v/>
      </c>
      <c r="AC33" s="32" t="str">
        <f>IF(AB33="","",VLOOKUP(MAX(AB33,0),Reference!$A$17:$B$20,2,TRUE()))</f>
        <v/>
      </c>
      <c r="AD33" s="31"/>
      <c r="AE33">
        <f t="shared" si="8"/>
        <v>1</v>
      </c>
      <c r="AF33" s="33">
        <f>IF(OR(A33="",B33="",AND(C33&lt;&gt;"Bullpen",C33&lt;&gt;"Game")),"",IF((COUNTIFS($B$5:$B$300,B33,$A$5:$A$300,A33-1,$C$5:$C$300,"Bullpen",$AG$5:$AG$300,"&gt;0") + COUNTIFS($B$5:$B$300,B33,$A$5:$A$300,A33-1,$C$5:$C$300,"Game",$AG$5:$AG$300,"&gt;0"))&gt;0,Reference!$B$119,IF((COUNTIFS($B$5:$B$300,B33,$A$5:$A$300,A33-2,$C$5:$C$300,"Bullpen",$AG$5:$AG$300,"&gt;0") + COUNTIFS($B$5:$B$300,B33,$A$5:$A$300,A33-2,$C$5:$C$300,"Game",$AG$5:$AG$300,"&gt;0"))&gt;0,Reference!$B$120,1)))</f>
        <v>1</v>
      </c>
      <c r="AG33" s="30" t="str">
        <f>IF(AND(OR(I33="",O33="",P33=""),OR(R33="",W33=""),OR(X33="",AC33="")),"",IF(OR(I33="",O33="",P33=""),0,I33*O33*P33)+IF(OR(R33="",W33=""),0,R33*IFERROR(INDEX(Reference!$B$61:$B$62,MATCH("Bullpen",Reference!$A$61:$A$62,0)),0)*W33)+IF(OR(X33="",AC33=""),0,X33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33))</f>
        <v/>
      </c>
    </row>
    <row r="34" spans="1:33" x14ac:dyDescent="0.3">
      <c r="A34" s="35">
        <v>46294</v>
      </c>
      <c r="B34" s="31" t="s">
        <v>142</v>
      </c>
      <c r="C34" s="31" t="s">
        <v>55</v>
      </c>
      <c r="D34" s="31">
        <v>87.6</v>
      </c>
      <c r="E34" s="34">
        <v>7.2916666666666699E-2</v>
      </c>
      <c r="F34" s="34">
        <v>7.9861111111111105E-2</v>
      </c>
      <c r="G34" s="30">
        <f t="shared" si="0"/>
        <v>9.9999999999999449</v>
      </c>
      <c r="H34" s="31"/>
      <c r="I34" s="32">
        <f>IF(H34&lt;&gt;"",H34,IF(G34="","",ROUND(G34*IFERROR(INDEX(Reference!$B$44:$B$50,MATCH(C34,Reference!$A$44:$A$50,0)),0),0)))</f>
        <v>55</v>
      </c>
      <c r="J34" s="31">
        <v>75</v>
      </c>
      <c r="K34" s="31">
        <v>79</v>
      </c>
      <c r="L34" s="32">
        <f t="shared" si="1"/>
        <v>77</v>
      </c>
      <c r="M34" s="32">
        <f>IFERROR(INDEX(Roster!$D$5:$D$40,MATCH(B34,Roster!$A$5:$A$40,0)),"")</f>
        <v>87.9</v>
      </c>
      <c r="N34" s="32">
        <f t="shared" si="2"/>
        <v>10.900000000000006</v>
      </c>
      <c r="O34" s="32">
        <f>IF(OR(C34="Bullpen",C34="Game"),IFERROR(INDEX(Reference!$B$61:$B$62,MATCH(C34,Reference!$A$61:$A$62,0)),""),IF(D34="","",IF(AE34&gt;1,((IF(1&lt;=AE34,(AE34-1+3)*(INDEX(Reference!$B$6:$B$11,MIN(5,MATCH(MAX(Reference!$A$6,MIN(Reference!$A$11,MIN(D34,90))),Reference!$A$6:$A$11,1)))+(MAX(Reference!$A$6,MIN(Reference!$A$11,MIN(D34,90)))-INDEX(Reference!$A$6:$A$11,MIN(5,MATCH(MAX(Reference!$A$6,MIN(Reference!$A$11,MIN(D34,90))),Reference!$A$6:$A$11,1))))*(INDEX(Reference!$B$6:$B$11,MIN(5,MATCH(MAX(Reference!$A$6,MIN(Reference!$A$11,MIN(D34,90))),Reference!$A$6:$A$11,1))+1)-INDEX(Reference!$B$6:$B$11,MIN(5,MATCH(MAX(Reference!$A$6,MIN(Reference!$A$11,MIN(D34,90))),Reference!$A$6:$A$11,1))))/(INDEX(Reference!$A$6:$A$11,MIN(5,MATCH(MAX(Reference!$A$6,MIN(Reference!$A$11,MIN(D34,90))),Reference!$A$6:$A$11,1))+1)-INDEX(Reference!$A$6:$A$11,MIN(5,MATCH(MAX(Reference!$A$6,MIN(Reference!$A$11,MIN(D34,90))),Reference!$A$6:$A$11,1))))),0)+IF(2&lt;=AE34,(AE34-2+3)*(INDEX(Reference!$B$6:$B$11,MIN(5,MATCH(MAX(Reference!$A$6,MIN(Reference!$A$11,MIN(D34,120))),Reference!$A$6:$A$11,1)))+(MAX(Reference!$A$6,MIN(Reference!$A$11,MIN(D34,120)))-INDEX(Reference!$A$6:$A$11,MIN(5,MATCH(MAX(Reference!$A$6,MIN(Reference!$A$11,MIN(D34,120))),Reference!$A$6:$A$11,1))))*(INDEX(Reference!$B$6:$B$11,MIN(5,MATCH(MAX(Reference!$A$6,MIN(Reference!$A$11,MIN(D34,120))),Reference!$A$6:$A$11,1))+1)-INDEX(Reference!$B$6:$B$11,MIN(5,MATCH(MAX(Reference!$A$6,MIN(Reference!$A$11,MIN(D34,120))),Reference!$A$6:$A$11,1))))/(INDEX(Reference!$A$6:$A$11,MIN(5,MATCH(MAX(Reference!$A$6,MIN(Reference!$A$11,MIN(D34,120))),Reference!$A$6:$A$11,1))+1)-INDEX(Reference!$A$6:$A$11,MIN(5,MATCH(MAX(Reference!$A$6,MIN(Reference!$A$11,MIN(D34,120))),Reference!$A$6:$A$11,1))))),0)+IF(3&lt;=AE34,(AE34-3+3)*(INDEX(Reference!$B$6:$B$11,MIN(5,MATCH(MAX(Reference!$A$6,MIN(Reference!$A$11,MIN(D34,150))),Reference!$A$6:$A$11,1)))+(MAX(Reference!$A$6,MIN(Reference!$A$11,MIN(D34,150)))-INDEX(Reference!$A$6:$A$11,MIN(5,MATCH(MAX(Reference!$A$6,MIN(Reference!$A$11,MIN(D34,150))),Reference!$A$6:$A$11,1))))*(INDEX(Reference!$B$6:$B$11,MIN(5,MATCH(MAX(Reference!$A$6,MIN(Reference!$A$11,MIN(D34,150))),Reference!$A$6:$A$11,1))+1)-INDEX(Reference!$B$6:$B$11,MIN(5,MATCH(MAX(Reference!$A$6,MIN(Reference!$A$11,MIN(D34,150))),Reference!$A$6:$A$11,1))))/(INDEX(Reference!$A$6:$A$11,MIN(5,MATCH(MAX(Reference!$A$6,MIN(Reference!$A$11,MIN(D34,150))),Reference!$A$6:$A$11,1))+1)-INDEX(Reference!$A$6:$A$11,MIN(5,MATCH(MAX(Reference!$A$6,MIN(Reference!$A$11,MIN(D34,150))),Reference!$A$6:$A$11,1))))),0)+IF(4&lt;=AE34,(AE34-4+3)*(INDEX(Reference!$B$6:$B$11,MIN(5,MATCH(MAX(Reference!$A$6,MIN(Reference!$A$11,MIN(D34,180))),Reference!$A$6:$A$11,1)))+(MAX(Reference!$A$6,MIN(Reference!$A$11,MIN(D34,180)))-INDEX(Reference!$A$6:$A$11,MIN(5,MATCH(MAX(Reference!$A$6,MIN(Reference!$A$11,MIN(D34,180))),Reference!$A$6:$A$11,1))))*(INDEX(Reference!$B$6:$B$11,MIN(5,MATCH(MAX(Reference!$A$6,MIN(Reference!$A$11,MIN(D34,180))),Reference!$A$6:$A$11,1))+1)-INDEX(Reference!$B$6:$B$11,MIN(5,MATCH(MAX(Reference!$A$6,MIN(Reference!$A$11,MIN(D34,180))),Reference!$A$6:$A$11,1))))/(INDEX(Reference!$A$6:$A$11,MIN(5,MATCH(MAX(Reference!$A$6,MIN(Reference!$A$11,MIN(D34,180))),Reference!$A$6:$A$11,1))+1)-INDEX(Reference!$A$6:$A$11,MIN(5,MATCH(MAX(Reference!$A$6,MIN(Reference!$A$11,MIN(D34,180))),Reference!$A$6:$A$11,1))))),0)+IF(5&lt;=AE34,(AE34-5+3)*(INDEX(Reference!$B$6:$B$11,MIN(5,MATCH(MAX(Reference!$A$6,MIN(Reference!$A$11,MIN(D34,210))),Reference!$A$6:$A$11,1)))+(MAX(Reference!$A$6,MIN(Reference!$A$11,MIN(D34,210)))-INDEX(Reference!$A$6:$A$11,MIN(5,MATCH(MAX(Reference!$A$6,MIN(Reference!$A$11,MIN(D34,210))),Reference!$A$6:$A$11,1))))*(INDEX(Reference!$B$6:$B$11,MIN(5,MATCH(MAX(Reference!$A$6,MIN(Reference!$A$11,MIN(D34,210))),Reference!$A$6:$A$11,1))+1)-INDEX(Reference!$B$6:$B$11,MIN(5,MATCH(MAX(Reference!$A$6,MIN(Reference!$A$11,MIN(D34,210))),Reference!$A$6:$A$11,1))))/(INDEX(Reference!$A$6:$A$11,MIN(5,MATCH(MAX(Reference!$A$6,MIN(Reference!$A$11,MIN(D34,210))),Reference!$A$6:$A$11,1))+1)-INDEX(Reference!$A$6:$A$11,MIN(5,MATCH(MAX(Reference!$A$6,MIN(Reference!$A$11,MIN(D34,210))),Reference!$A$6:$A$11,1))))),0)+IF(6&lt;=AE34,(AE34-6+3)*(INDEX(Reference!$B$6:$B$11,MIN(5,MATCH(MAX(Reference!$A$6,MIN(Reference!$A$11,MIN(D34,240))),Reference!$A$6:$A$11,1)))+(MAX(Reference!$A$6,MIN(Reference!$A$11,MIN(D34,240)))-INDEX(Reference!$A$6:$A$11,MIN(5,MATCH(MAX(Reference!$A$6,MIN(Reference!$A$11,MIN(D34,240))),Reference!$A$6:$A$11,1))))*(INDEX(Reference!$B$6:$B$11,MIN(5,MATCH(MAX(Reference!$A$6,MIN(Reference!$A$11,MIN(D34,240))),Reference!$A$6:$A$11,1))+1)-INDEX(Reference!$B$6:$B$11,MIN(5,MATCH(MAX(Reference!$A$6,MIN(Reference!$A$11,MIN(D34,240))),Reference!$A$6:$A$11,1))))/(INDEX(Reference!$A$6:$A$11,MIN(5,MATCH(MAX(Reference!$A$6,MIN(Reference!$A$11,MIN(D34,240))),Reference!$A$6:$A$11,1))+1)-INDEX(Reference!$A$6:$A$11,MIN(5,MATCH(MAX(Reference!$A$6,MIN(Reference!$A$11,MIN(D34,240))),Reference!$A$6:$A$11,1))))),0)+IF(7&lt;=AE34,(AE34-7+3)*(INDEX(Reference!$B$6:$B$11,MIN(5,MATCH(MAX(Reference!$A$6,MIN(Reference!$A$11,MIN(D34,270))),Reference!$A$6:$A$11,1)))+(MAX(Reference!$A$6,MIN(Reference!$A$11,MIN(D34,270)))-INDEX(Reference!$A$6:$A$11,MIN(5,MATCH(MAX(Reference!$A$6,MIN(Reference!$A$11,MIN(D34,270))),Reference!$A$6:$A$11,1))))*(INDEX(Reference!$B$6:$B$11,MIN(5,MATCH(MAX(Reference!$A$6,MIN(Reference!$A$11,MIN(D34,270))),Reference!$A$6:$A$11,1))+1)-INDEX(Reference!$B$6:$B$11,MIN(5,MATCH(MAX(Reference!$A$6,MIN(Reference!$A$11,MIN(D34,270))),Reference!$A$6:$A$11,1))))/(INDEX(Reference!$A$6:$A$11,MIN(5,MATCH(MAX(Reference!$A$6,MIN(Reference!$A$11,MIN(D34,270))),Reference!$A$6:$A$11,1))+1)-INDEX(Reference!$A$6:$A$11,MIN(5,MATCH(MAX(Reference!$A$6,MIN(Reference!$A$11,MIN(D34,270))),Reference!$A$6:$A$11,1))))),0)+IF(8&lt;=AE34,(AE34-8+3)*(INDEX(Reference!$B$6:$B$11,MIN(5,MATCH(MAX(Reference!$A$6,MIN(Reference!$A$11,MIN(D34,300))),Reference!$A$6:$A$11,1)))+(MAX(Reference!$A$6,MIN(Reference!$A$11,MIN(D34,300)))-INDEX(Reference!$A$6:$A$11,MIN(5,MATCH(MAX(Reference!$A$6,MIN(Reference!$A$11,MIN(D34,300))),Reference!$A$6:$A$11,1))))*(INDEX(Reference!$B$6:$B$11,MIN(5,MATCH(MAX(Reference!$A$6,MIN(Reference!$A$11,MIN(D34,300))),Reference!$A$6:$A$11,1))+1)-INDEX(Reference!$B$6:$B$11,MIN(5,MATCH(MAX(Reference!$A$6,MIN(Reference!$A$11,MIN(D34,300))),Reference!$A$6:$A$11,1))))/(INDEX(Reference!$A$6:$A$11,MIN(5,MATCH(MAX(Reference!$A$6,MIN(Reference!$A$11,MIN(D34,300))),Reference!$A$6:$A$11,1))+1)-INDEX(Reference!$A$6:$A$11,MIN(5,MATCH(MAX(Reference!$A$6,MIN(Reference!$A$11,MIN(D34,300))),Reference!$A$6:$A$11,1))))),0))/(AE34*(AE34+5)/2)),(INDEX(Reference!$B$6:$B$11,MIN(5,MATCH(MAX(Reference!$A$6,MIN(Reference!$A$11,D34)),Reference!$A$6:$A$11,1)))+(MAX(Reference!$A$6,MIN(Reference!$A$11,D34))-INDEX(Reference!$A$6:$A$11,MIN(5,MATCH(MAX(Reference!$A$6,MIN(Reference!$A$11,D34)),Reference!$A$6:$A$11,1))))*(INDEX(Reference!$B$6:$B$11,MIN(5,MATCH(MAX(Reference!$A$6,MIN(Reference!$A$11,D34)),Reference!$A$6:$A$11,1))+1)-INDEX(Reference!$B$6:$B$11,MIN(5,MATCH(MAX(Reference!$A$6,MIN(Reference!$A$11,D34)),Reference!$A$6:$A$11,1))))/(INDEX(Reference!$A$6:$A$11,MIN(5,MATCH(MAX(Reference!$A$6,MIN(Reference!$A$11,D34)),Reference!$A$6:$A$11,1))+1)-INDEX(Reference!$A$6:$A$11,MIN(5,MATCH(MAX(Reference!$A$6,MIN(Reference!$A$11,D34)),Reference!$A$6:$A$11,1))))))))</f>
        <v>1.276</v>
      </c>
      <c r="P34" s="32">
        <f>IF(N34="","",VLOOKUP(MAX(N34,0),Reference!$A$17:$B$20,2,TRUE()))</f>
        <v>0.6</v>
      </c>
      <c r="Q34" s="32">
        <f t="shared" si="3"/>
        <v>42.108000000000004</v>
      </c>
      <c r="R34" s="31"/>
      <c r="S34" s="31"/>
      <c r="T34" s="31"/>
      <c r="U34" s="32" t="str">
        <f t="shared" si="4"/>
        <v/>
      </c>
      <c r="V34" s="32" t="str">
        <f t="shared" si="5"/>
        <v/>
      </c>
      <c r="W34" s="32" t="str">
        <f>IF(V34="","",VLOOKUP(MAX(V34,0),Reference!$A$17:$B$20,2,TRUE()))</f>
        <v/>
      </c>
      <c r="X34" s="31"/>
      <c r="Y34" s="31"/>
      <c r="Z34" s="31"/>
      <c r="AA34" s="32" t="str">
        <f t="shared" si="6"/>
        <v/>
      </c>
      <c r="AB34" s="32" t="str">
        <f t="shared" si="7"/>
        <v/>
      </c>
      <c r="AC34" s="32" t="str">
        <f>IF(AB34="","",VLOOKUP(MAX(AB34,0),Reference!$A$17:$B$20,2,TRUE()))</f>
        <v/>
      </c>
      <c r="AD34" s="31"/>
      <c r="AE34">
        <f t="shared" si="8"/>
        <v>1</v>
      </c>
      <c r="AF34" s="33" t="str">
        <f>IF(OR(A34="",B34="",AND(C34&lt;&gt;"Bullpen",C34&lt;&gt;"Game")),"",IF((COUNTIFS($B$5:$B$300,B34,$A$5:$A$300,A34-1,$C$5:$C$300,"Bullpen",$AG$5:$AG$300,"&gt;0") + COUNTIFS($B$5:$B$300,B34,$A$5:$A$300,A34-1,$C$5:$C$300,"Game",$AG$5:$AG$300,"&gt;0"))&gt;0,Reference!$B$119,IF((COUNTIFS($B$5:$B$300,B34,$A$5:$A$300,A34-2,$C$5:$C$300,"Bullpen",$AG$5:$AG$300,"&gt;0") + COUNTIFS($B$5:$B$300,B34,$A$5:$A$300,A34-2,$C$5:$C$300,"Game",$AG$5:$AG$300,"&gt;0"))&gt;0,Reference!$B$120,1)))</f>
        <v/>
      </c>
      <c r="AG34" s="30">
        <f>IF(AND(OR(I34="",O34="",P34=""),OR(R34="",W34=""),OR(X34="",AC34="")),"",IF(OR(I34="",O34="",P34=""),0,I34*O34*P34)+IF(OR(R34="",W34=""),0,R34*IFERROR(INDEX(Reference!$B$61:$B$62,MATCH("Bullpen",Reference!$A$61:$A$62,0)),0)*W34)+IF(OR(X34="",AC34=""),0,X34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34))</f>
        <v>42.108000000000004</v>
      </c>
    </row>
    <row r="35" spans="1:33" x14ac:dyDescent="0.3">
      <c r="A35" s="35">
        <v>46295</v>
      </c>
      <c r="B35" s="31" t="s">
        <v>142</v>
      </c>
      <c r="C35" s="31"/>
      <c r="D35" s="31"/>
      <c r="E35" s="34"/>
      <c r="F35" s="34"/>
      <c r="G35" s="30" t="str">
        <f t="shared" si="0"/>
        <v/>
      </c>
      <c r="H35" s="31"/>
      <c r="I35" s="32" t="str">
        <f>IF(H35&lt;&gt;"",H35,IF(G35="","",ROUND(G35*IFERROR(INDEX(Reference!$B$44:$B$50,MATCH(C35,Reference!$A$44:$A$50,0)),0),0)))</f>
        <v/>
      </c>
      <c r="J35" s="31"/>
      <c r="K35" s="31"/>
      <c r="L35" s="32" t="str">
        <f t="shared" si="1"/>
        <v/>
      </c>
      <c r="M35" s="32">
        <f>IFERROR(INDEX(Roster!$D$5:$D$40,MATCH(B35,Roster!$A$5:$A$40,0)),"")</f>
        <v>87.9</v>
      </c>
      <c r="N35" s="32" t="str">
        <f t="shared" si="2"/>
        <v/>
      </c>
      <c r="O35" s="32" t="str">
        <f>IF(OR(C35="Bullpen",C35="Game"),IFERROR(INDEX(Reference!$B$61:$B$62,MATCH(C35,Reference!$A$61:$A$62,0)),""),IF(D35="","",IF(AE35&gt;1,((IF(1&lt;=AE35,(AE35-1+3)*(INDEX(Reference!$B$6:$B$11,MIN(5,MATCH(MAX(Reference!$A$6,MIN(Reference!$A$11,MIN(D35,90))),Reference!$A$6:$A$11,1)))+(MAX(Reference!$A$6,MIN(Reference!$A$11,MIN(D35,90)))-INDEX(Reference!$A$6:$A$11,MIN(5,MATCH(MAX(Reference!$A$6,MIN(Reference!$A$11,MIN(D35,90))),Reference!$A$6:$A$11,1))))*(INDEX(Reference!$B$6:$B$11,MIN(5,MATCH(MAX(Reference!$A$6,MIN(Reference!$A$11,MIN(D35,90))),Reference!$A$6:$A$11,1))+1)-INDEX(Reference!$B$6:$B$11,MIN(5,MATCH(MAX(Reference!$A$6,MIN(Reference!$A$11,MIN(D35,90))),Reference!$A$6:$A$11,1))))/(INDEX(Reference!$A$6:$A$11,MIN(5,MATCH(MAX(Reference!$A$6,MIN(Reference!$A$11,MIN(D35,90))),Reference!$A$6:$A$11,1))+1)-INDEX(Reference!$A$6:$A$11,MIN(5,MATCH(MAX(Reference!$A$6,MIN(Reference!$A$11,MIN(D35,90))),Reference!$A$6:$A$11,1))))),0)+IF(2&lt;=AE35,(AE35-2+3)*(INDEX(Reference!$B$6:$B$11,MIN(5,MATCH(MAX(Reference!$A$6,MIN(Reference!$A$11,MIN(D35,120))),Reference!$A$6:$A$11,1)))+(MAX(Reference!$A$6,MIN(Reference!$A$11,MIN(D35,120)))-INDEX(Reference!$A$6:$A$11,MIN(5,MATCH(MAX(Reference!$A$6,MIN(Reference!$A$11,MIN(D35,120))),Reference!$A$6:$A$11,1))))*(INDEX(Reference!$B$6:$B$11,MIN(5,MATCH(MAX(Reference!$A$6,MIN(Reference!$A$11,MIN(D35,120))),Reference!$A$6:$A$11,1))+1)-INDEX(Reference!$B$6:$B$11,MIN(5,MATCH(MAX(Reference!$A$6,MIN(Reference!$A$11,MIN(D35,120))),Reference!$A$6:$A$11,1))))/(INDEX(Reference!$A$6:$A$11,MIN(5,MATCH(MAX(Reference!$A$6,MIN(Reference!$A$11,MIN(D35,120))),Reference!$A$6:$A$11,1))+1)-INDEX(Reference!$A$6:$A$11,MIN(5,MATCH(MAX(Reference!$A$6,MIN(Reference!$A$11,MIN(D35,120))),Reference!$A$6:$A$11,1))))),0)+IF(3&lt;=AE35,(AE35-3+3)*(INDEX(Reference!$B$6:$B$11,MIN(5,MATCH(MAX(Reference!$A$6,MIN(Reference!$A$11,MIN(D35,150))),Reference!$A$6:$A$11,1)))+(MAX(Reference!$A$6,MIN(Reference!$A$11,MIN(D35,150)))-INDEX(Reference!$A$6:$A$11,MIN(5,MATCH(MAX(Reference!$A$6,MIN(Reference!$A$11,MIN(D35,150))),Reference!$A$6:$A$11,1))))*(INDEX(Reference!$B$6:$B$11,MIN(5,MATCH(MAX(Reference!$A$6,MIN(Reference!$A$11,MIN(D35,150))),Reference!$A$6:$A$11,1))+1)-INDEX(Reference!$B$6:$B$11,MIN(5,MATCH(MAX(Reference!$A$6,MIN(Reference!$A$11,MIN(D35,150))),Reference!$A$6:$A$11,1))))/(INDEX(Reference!$A$6:$A$11,MIN(5,MATCH(MAX(Reference!$A$6,MIN(Reference!$A$11,MIN(D35,150))),Reference!$A$6:$A$11,1))+1)-INDEX(Reference!$A$6:$A$11,MIN(5,MATCH(MAX(Reference!$A$6,MIN(Reference!$A$11,MIN(D35,150))),Reference!$A$6:$A$11,1))))),0)+IF(4&lt;=AE35,(AE35-4+3)*(INDEX(Reference!$B$6:$B$11,MIN(5,MATCH(MAX(Reference!$A$6,MIN(Reference!$A$11,MIN(D35,180))),Reference!$A$6:$A$11,1)))+(MAX(Reference!$A$6,MIN(Reference!$A$11,MIN(D35,180)))-INDEX(Reference!$A$6:$A$11,MIN(5,MATCH(MAX(Reference!$A$6,MIN(Reference!$A$11,MIN(D35,180))),Reference!$A$6:$A$11,1))))*(INDEX(Reference!$B$6:$B$11,MIN(5,MATCH(MAX(Reference!$A$6,MIN(Reference!$A$11,MIN(D35,180))),Reference!$A$6:$A$11,1))+1)-INDEX(Reference!$B$6:$B$11,MIN(5,MATCH(MAX(Reference!$A$6,MIN(Reference!$A$11,MIN(D35,180))),Reference!$A$6:$A$11,1))))/(INDEX(Reference!$A$6:$A$11,MIN(5,MATCH(MAX(Reference!$A$6,MIN(Reference!$A$11,MIN(D35,180))),Reference!$A$6:$A$11,1))+1)-INDEX(Reference!$A$6:$A$11,MIN(5,MATCH(MAX(Reference!$A$6,MIN(Reference!$A$11,MIN(D35,180))),Reference!$A$6:$A$11,1))))),0)+IF(5&lt;=AE35,(AE35-5+3)*(INDEX(Reference!$B$6:$B$11,MIN(5,MATCH(MAX(Reference!$A$6,MIN(Reference!$A$11,MIN(D35,210))),Reference!$A$6:$A$11,1)))+(MAX(Reference!$A$6,MIN(Reference!$A$11,MIN(D35,210)))-INDEX(Reference!$A$6:$A$11,MIN(5,MATCH(MAX(Reference!$A$6,MIN(Reference!$A$11,MIN(D35,210))),Reference!$A$6:$A$11,1))))*(INDEX(Reference!$B$6:$B$11,MIN(5,MATCH(MAX(Reference!$A$6,MIN(Reference!$A$11,MIN(D35,210))),Reference!$A$6:$A$11,1))+1)-INDEX(Reference!$B$6:$B$11,MIN(5,MATCH(MAX(Reference!$A$6,MIN(Reference!$A$11,MIN(D35,210))),Reference!$A$6:$A$11,1))))/(INDEX(Reference!$A$6:$A$11,MIN(5,MATCH(MAX(Reference!$A$6,MIN(Reference!$A$11,MIN(D35,210))),Reference!$A$6:$A$11,1))+1)-INDEX(Reference!$A$6:$A$11,MIN(5,MATCH(MAX(Reference!$A$6,MIN(Reference!$A$11,MIN(D35,210))),Reference!$A$6:$A$11,1))))),0)+IF(6&lt;=AE35,(AE35-6+3)*(INDEX(Reference!$B$6:$B$11,MIN(5,MATCH(MAX(Reference!$A$6,MIN(Reference!$A$11,MIN(D35,240))),Reference!$A$6:$A$11,1)))+(MAX(Reference!$A$6,MIN(Reference!$A$11,MIN(D35,240)))-INDEX(Reference!$A$6:$A$11,MIN(5,MATCH(MAX(Reference!$A$6,MIN(Reference!$A$11,MIN(D35,240))),Reference!$A$6:$A$11,1))))*(INDEX(Reference!$B$6:$B$11,MIN(5,MATCH(MAX(Reference!$A$6,MIN(Reference!$A$11,MIN(D35,240))),Reference!$A$6:$A$11,1))+1)-INDEX(Reference!$B$6:$B$11,MIN(5,MATCH(MAX(Reference!$A$6,MIN(Reference!$A$11,MIN(D35,240))),Reference!$A$6:$A$11,1))))/(INDEX(Reference!$A$6:$A$11,MIN(5,MATCH(MAX(Reference!$A$6,MIN(Reference!$A$11,MIN(D35,240))),Reference!$A$6:$A$11,1))+1)-INDEX(Reference!$A$6:$A$11,MIN(5,MATCH(MAX(Reference!$A$6,MIN(Reference!$A$11,MIN(D35,240))),Reference!$A$6:$A$11,1))))),0)+IF(7&lt;=AE35,(AE35-7+3)*(INDEX(Reference!$B$6:$B$11,MIN(5,MATCH(MAX(Reference!$A$6,MIN(Reference!$A$11,MIN(D35,270))),Reference!$A$6:$A$11,1)))+(MAX(Reference!$A$6,MIN(Reference!$A$11,MIN(D35,270)))-INDEX(Reference!$A$6:$A$11,MIN(5,MATCH(MAX(Reference!$A$6,MIN(Reference!$A$11,MIN(D35,270))),Reference!$A$6:$A$11,1))))*(INDEX(Reference!$B$6:$B$11,MIN(5,MATCH(MAX(Reference!$A$6,MIN(Reference!$A$11,MIN(D35,270))),Reference!$A$6:$A$11,1))+1)-INDEX(Reference!$B$6:$B$11,MIN(5,MATCH(MAX(Reference!$A$6,MIN(Reference!$A$11,MIN(D35,270))),Reference!$A$6:$A$11,1))))/(INDEX(Reference!$A$6:$A$11,MIN(5,MATCH(MAX(Reference!$A$6,MIN(Reference!$A$11,MIN(D35,270))),Reference!$A$6:$A$11,1))+1)-INDEX(Reference!$A$6:$A$11,MIN(5,MATCH(MAX(Reference!$A$6,MIN(Reference!$A$11,MIN(D35,270))),Reference!$A$6:$A$11,1))))),0)+IF(8&lt;=AE35,(AE35-8+3)*(INDEX(Reference!$B$6:$B$11,MIN(5,MATCH(MAX(Reference!$A$6,MIN(Reference!$A$11,MIN(D35,300))),Reference!$A$6:$A$11,1)))+(MAX(Reference!$A$6,MIN(Reference!$A$11,MIN(D35,300)))-INDEX(Reference!$A$6:$A$11,MIN(5,MATCH(MAX(Reference!$A$6,MIN(Reference!$A$11,MIN(D35,300))),Reference!$A$6:$A$11,1))))*(INDEX(Reference!$B$6:$B$11,MIN(5,MATCH(MAX(Reference!$A$6,MIN(Reference!$A$11,MIN(D35,300))),Reference!$A$6:$A$11,1))+1)-INDEX(Reference!$B$6:$B$11,MIN(5,MATCH(MAX(Reference!$A$6,MIN(Reference!$A$11,MIN(D35,300))),Reference!$A$6:$A$11,1))))/(INDEX(Reference!$A$6:$A$11,MIN(5,MATCH(MAX(Reference!$A$6,MIN(Reference!$A$11,MIN(D35,300))),Reference!$A$6:$A$11,1))+1)-INDEX(Reference!$A$6:$A$11,MIN(5,MATCH(MAX(Reference!$A$6,MIN(Reference!$A$11,MIN(D35,300))),Reference!$A$6:$A$11,1))))),0))/(AE35*(AE35+5)/2)),(INDEX(Reference!$B$6:$B$11,MIN(5,MATCH(MAX(Reference!$A$6,MIN(Reference!$A$11,D35)),Reference!$A$6:$A$11,1)))+(MAX(Reference!$A$6,MIN(Reference!$A$11,D35))-INDEX(Reference!$A$6:$A$11,MIN(5,MATCH(MAX(Reference!$A$6,MIN(Reference!$A$11,D35)),Reference!$A$6:$A$11,1))))*(INDEX(Reference!$B$6:$B$11,MIN(5,MATCH(MAX(Reference!$A$6,MIN(Reference!$A$11,D35)),Reference!$A$6:$A$11,1))+1)-INDEX(Reference!$B$6:$B$11,MIN(5,MATCH(MAX(Reference!$A$6,MIN(Reference!$A$11,D35)),Reference!$A$6:$A$11,1))))/(INDEX(Reference!$A$6:$A$11,MIN(5,MATCH(MAX(Reference!$A$6,MIN(Reference!$A$11,D35)),Reference!$A$6:$A$11,1))+1)-INDEX(Reference!$A$6:$A$11,MIN(5,MATCH(MAX(Reference!$A$6,MIN(Reference!$A$11,D35)),Reference!$A$6:$A$11,1))))))))</f>
        <v/>
      </c>
      <c r="P35" s="32" t="str">
        <f>IF(N35="","",VLOOKUP(MAX(N35,0),Reference!$A$17:$B$20,2,TRUE()))</f>
        <v/>
      </c>
      <c r="Q35" s="32" t="str">
        <f t="shared" si="3"/>
        <v/>
      </c>
      <c r="R35" s="31"/>
      <c r="S35" s="31"/>
      <c r="T35" s="31"/>
      <c r="U35" s="32" t="str">
        <f t="shared" si="4"/>
        <v/>
      </c>
      <c r="V35" s="32" t="str">
        <f t="shared" si="5"/>
        <v/>
      </c>
      <c r="W35" s="32" t="str">
        <f>IF(V35="","",VLOOKUP(MAX(V35,0),Reference!$A$17:$B$20,2,TRUE()))</f>
        <v/>
      </c>
      <c r="X35" s="31"/>
      <c r="Y35" s="31"/>
      <c r="Z35" s="31"/>
      <c r="AA35" s="32" t="str">
        <f t="shared" si="6"/>
        <v/>
      </c>
      <c r="AB35" s="32" t="str">
        <f t="shared" si="7"/>
        <v/>
      </c>
      <c r="AC35" s="32" t="str">
        <f>IF(AB35="","",VLOOKUP(MAX(AB35,0),Reference!$A$17:$B$20,2,TRUE()))</f>
        <v/>
      </c>
      <c r="AD35" s="31"/>
      <c r="AE35">
        <f t="shared" si="8"/>
        <v>1</v>
      </c>
      <c r="AF35" s="33" t="str">
        <f>IF(OR(A35="",B35="",AND(C35&lt;&gt;"Bullpen",C35&lt;&gt;"Game")),"",IF((COUNTIFS($B$5:$B$300,B35,$A$5:$A$300,A35-1,$C$5:$C$300,"Bullpen",$AG$5:$AG$300,"&gt;0") + COUNTIFS($B$5:$B$300,B35,$A$5:$A$300,A35-1,$C$5:$C$300,"Game",$AG$5:$AG$300,"&gt;0"))&gt;0,Reference!$B$119,IF((COUNTIFS($B$5:$B$300,B35,$A$5:$A$300,A35-2,$C$5:$C$300,"Bullpen",$AG$5:$AG$300,"&gt;0") + COUNTIFS($B$5:$B$300,B35,$A$5:$A$300,A35-2,$C$5:$C$300,"Game",$AG$5:$AG$300,"&gt;0"))&gt;0,Reference!$B$120,1)))</f>
        <v/>
      </c>
      <c r="AG35" s="30" t="str">
        <f>IF(AND(OR(I35="",O35="",P35=""),OR(R35="",W35=""),OR(X35="",AC35="")),"",IF(OR(I35="",O35="",P35=""),0,I35*O35*P35)+IF(OR(R35="",W35=""),0,R35*IFERROR(INDEX(Reference!$B$61:$B$62,MATCH("Bullpen",Reference!$A$61:$A$62,0)),0)*W35)+IF(OR(X35="",AC35=""),0,X35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35))</f>
        <v/>
      </c>
    </row>
    <row r="36" spans="1:33" x14ac:dyDescent="0.3">
      <c r="A36" s="35">
        <v>46296</v>
      </c>
      <c r="B36" s="31" t="s">
        <v>142</v>
      </c>
      <c r="C36" s="31"/>
      <c r="D36" s="31"/>
      <c r="E36" s="34"/>
      <c r="F36" s="34"/>
      <c r="G36" s="30" t="str">
        <f t="shared" si="0"/>
        <v/>
      </c>
      <c r="H36" s="31"/>
      <c r="I36" s="32" t="str">
        <f>IF(H36&lt;&gt;"",H36,IF(G36="","",ROUND(G36*IFERROR(INDEX(Reference!$B$44:$B$50,MATCH(C36,Reference!$A$44:$A$50,0)),0),0)))</f>
        <v/>
      </c>
      <c r="J36" s="31"/>
      <c r="K36" s="31"/>
      <c r="L36" s="32" t="str">
        <f t="shared" si="1"/>
        <v/>
      </c>
      <c r="M36" s="32">
        <f>IFERROR(INDEX(Roster!$D$5:$D$40,MATCH(B36,Roster!$A$5:$A$40,0)),"")</f>
        <v>87.9</v>
      </c>
      <c r="N36" s="32" t="str">
        <f t="shared" si="2"/>
        <v/>
      </c>
      <c r="O36" s="32" t="str">
        <f>IF(OR(C36="Bullpen",C36="Game"),IFERROR(INDEX(Reference!$B$61:$B$62,MATCH(C36,Reference!$A$61:$A$62,0)),""),IF(D36="","",IF(AE36&gt;1,((IF(1&lt;=AE36,(AE36-1+3)*(INDEX(Reference!$B$6:$B$11,MIN(5,MATCH(MAX(Reference!$A$6,MIN(Reference!$A$11,MIN(D36,90))),Reference!$A$6:$A$11,1)))+(MAX(Reference!$A$6,MIN(Reference!$A$11,MIN(D36,90)))-INDEX(Reference!$A$6:$A$11,MIN(5,MATCH(MAX(Reference!$A$6,MIN(Reference!$A$11,MIN(D36,90))),Reference!$A$6:$A$11,1))))*(INDEX(Reference!$B$6:$B$11,MIN(5,MATCH(MAX(Reference!$A$6,MIN(Reference!$A$11,MIN(D36,90))),Reference!$A$6:$A$11,1))+1)-INDEX(Reference!$B$6:$B$11,MIN(5,MATCH(MAX(Reference!$A$6,MIN(Reference!$A$11,MIN(D36,90))),Reference!$A$6:$A$11,1))))/(INDEX(Reference!$A$6:$A$11,MIN(5,MATCH(MAX(Reference!$A$6,MIN(Reference!$A$11,MIN(D36,90))),Reference!$A$6:$A$11,1))+1)-INDEX(Reference!$A$6:$A$11,MIN(5,MATCH(MAX(Reference!$A$6,MIN(Reference!$A$11,MIN(D36,90))),Reference!$A$6:$A$11,1))))),0)+IF(2&lt;=AE36,(AE36-2+3)*(INDEX(Reference!$B$6:$B$11,MIN(5,MATCH(MAX(Reference!$A$6,MIN(Reference!$A$11,MIN(D36,120))),Reference!$A$6:$A$11,1)))+(MAX(Reference!$A$6,MIN(Reference!$A$11,MIN(D36,120)))-INDEX(Reference!$A$6:$A$11,MIN(5,MATCH(MAX(Reference!$A$6,MIN(Reference!$A$11,MIN(D36,120))),Reference!$A$6:$A$11,1))))*(INDEX(Reference!$B$6:$B$11,MIN(5,MATCH(MAX(Reference!$A$6,MIN(Reference!$A$11,MIN(D36,120))),Reference!$A$6:$A$11,1))+1)-INDEX(Reference!$B$6:$B$11,MIN(5,MATCH(MAX(Reference!$A$6,MIN(Reference!$A$11,MIN(D36,120))),Reference!$A$6:$A$11,1))))/(INDEX(Reference!$A$6:$A$11,MIN(5,MATCH(MAX(Reference!$A$6,MIN(Reference!$A$11,MIN(D36,120))),Reference!$A$6:$A$11,1))+1)-INDEX(Reference!$A$6:$A$11,MIN(5,MATCH(MAX(Reference!$A$6,MIN(Reference!$A$11,MIN(D36,120))),Reference!$A$6:$A$11,1))))),0)+IF(3&lt;=AE36,(AE36-3+3)*(INDEX(Reference!$B$6:$B$11,MIN(5,MATCH(MAX(Reference!$A$6,MIN(Reference!$A$11,MIN(D36,150))),Reference!$A$6:$A$11,1)))+(MAX(Reference!$A$6,MIN(Reference!$A$11,MIN(D36,150)))-INDEX(Reference!$A$6:$A$11,MIN(5,MATCH(MAX(Reference!$A$6,MIN(Reference!$A$11,MIN(D36,150))),Reference!$A$6:$A$11,1))))*(INDEX(Reference!$B$6:$B$11,MIN(5,MATCH(MAX(Reference!$A$6,MIN(Reference!$A$11,MIN(D36,150))),Reference!$A$6:$A$11,1))+1)-INDEX(Reference!$B$6:$B$11,MIN(5,MATCH(MAX(Reference!$A$6,MIN(Reference!$A$11,MIN(D36,150))),Reference!$A$6:$A$11,1))))/(INDEX(Reference!$A$6:$A$11,MIN(5,MATCH(MAX(Reference!$A$6,MIN(Reference!$A$11,MIN(D36,150))),Reference!$A$6:$A$11,1))+1)-INDEX(Reference!$A$6:$A$11,MIN(5,MATCH(MAX(Reference!$A$6,MIN(Reference!$A$11,MIN(D36,150))),Reference!$A$6:$A$11,1))))),0)+IF(4&lt;=AE36,(AE36-4+3)*(INDEX(Reference!$B$6:$B$11,MIN(5,MATCH(MAX(Reference!$A$6,MIN(Reference!$A$11,MIN(D36,180))),Reference!$A$6:$A$11,1)))+(MAX(Reference!$A$6,MIN(Reference!$A$11,MIN(D36,180)))-INDEX(Reference!$A$6:$A$11,MIN(5,MATCH(MAX(Reference!$A$6,MIN(Reference!$A$11,MIN(D36,180))),Reference!$A$6:$A$11,1))))*(INDEX(Reference!$B$6:$B$11,MIN(5,MATCH(MAX(Reference!$A$6,MIN(Reference!$A$11,MIN(D36,180))),Reference!$A$6:$A$11,1))+1)-INDEX(Reference!$B$6:$B$11,MIN(5,MATCH(MAX(Reference!$A$6,MIN(Reference!$A$11,MIN(D36,180))),Reference!$A$6:$A$11,1))))/(INDEX(Reference!$A$6:$A$11,MIN(5,MATCH(MAX(Reference!$A$6,MIN(Reference!$A$11,MIN(D36,180))),Reference!$A$6:$A$11,1))+1)-INDEX(Reference!$A$6:$A$11,MIN(5,MATCH(MAX(Reference!$A$6,MIN(Reference!$A$11,MIN(D36,180))),Reference!$A$6:$A$11,1))))),0)+IF(5&lt;=AE36,(AE36-5+3)*(INDEX(Reference!$B$6:$B$11,MIN(5,MATCH(MAX(Reference!$A$6,MIN(Reference!$A$11,MIN(D36,210))),Reference!$A$6:$A$11,1)))+(MAX(Reference!$A$6,MIN(Reference!$A$11,MIN(D36,210)))-INDEX(Reference!$A$6:$A$11,MIN(5,MATCH(MAX(Reference!$A$6,MIN(Reference!$A$11,MIN(D36,210))),Reference!$A$6:$A$11,1))))*(INDEX(Reference!$B$6:$B$11,MIN(5,MATCH(MAX(Reference!$A$6,MIN(Reference!$A$11,MIN(D36,210))),Reference!$A$6:$A$11,1))+1)-INDEX(Reference!$B$6:$B$11,MIN(5,MATCH(MAX(Reference!$A$6,MIN(Reference!$A$11,MIN(D36,210))),Reference!$A$6:$A$11,1))))/(INDEX(Reference!$A$6:$A$11,MIN(5,MATCH(MAX(Reference!$A$6,MIN(Reference!$A$11,MIN(D36,210))),Reference!$A$6:$A$11,1))+1)-INDEX(Reference!$A$6:$A$11,MIN(5,MATCH(MAX(Reference!$A$6,MIN(Reference!$A$11,MIN(D36,210))),Reference!$A$6:$A$11,1))))),0)+IF(6&lt;=AE36,(AE36-6+3)*(INDEX(Reference!$B$6:$B$11,MIN(5,MATCH(MAX(Reference!$A$6,MIN(Reference!$A$11,MIN(D36,240))),Reference!$A$6:$A$11,1)))+(MAX(Reference!$A$6,MIN(Reference!$A$11,MIN(D36,240)))-INDEX(Reference!$A$6:$A$11,MIN(5,MATCH(MAX(Reference!$A$6,MIN(Reference!$A$11,MIN(D36,240))),Reference!$A$6:$A$11,1))))*(INDEX(Reference!$B$6:$B$11,MIN(5,MATCH(MAX(Reference!$A$6,MIN(Reference!$A$11,MIN(D36,240))),Reference!$A$6:$A$11,1))+1)-INDEX(Reference!$B$6:$B$11,MIN(5,MATCH(MAX(Reference!$A$6,MIN(Reference!$A$11,MIN(D36,240))),Reference!$A$6:$A$11,1))))/(INDEX(Reference!$A$6:$A$11,MIN(5,MATCH(MAX(Reference!$A$6,MIN(Reference!$A$11,MIN(D36,240))),Reference!$A$6:$A$11,1))+1)-INDEX(Reference!$A$6:$A$11,MIN(5,MATCH(MAX(Reference!$A$6,MIN(Reference!$A$11,MIN(D36,240))),Reference!$A$6:$A$11,1))))),0)+IF(7&lt;=AE36,(AE36-7+3)*(INDEX(Reference!$B$6:$B$11,MIN(5,MATCH(MAX(Reference!$A$6,MIN(Reference!$A$11,MIN(D36,270))),Reference!$A$6:$A$11,1)))+(MAX(Reference!$A$6,MIN(Reference!$A$11,MIN(D36,270)))-INDEX(Reference!$A$6:$A$11,MIN(5,MATCH(MAX(Reference!$A$6,MIN(Reference!$A$11,MIN(D36,270))),Reference!$A$6:$A$11,1))))*(INDEX(Reference!$B$6:$B$11,MIN(5,MATCH(MAX(Reference!$A$6,MIN(Reference!$A$11,MIN(D36,270))),Reference!$A$6:$A$11,1))+1)-INDEX(Reference!$B$6:$B$11,MIN(5,MATCH(MAX(Reference!$A$6,MIN(Reference!$A$11,MIN(D36,270))),Reference!$A$6:$A$11,1))))/(INDEX(Reference!$A$6:$A$11,MIN(5,MATCH(MAX(Reference!$A$6,MIN(Reference!$A$11,MIN(D36,270))),Reference!$A$6:$A$11,1))+1)-INDEX(Reference!$A$6:$A$11,MIN(5,MATCH(MAX(Reference!$A$6,MIN(Reference!$A$11,MIN(D36,270))),Reference!$A$6:$A$11,1))))),0)+IF(8&lt;=AE36,(AE36-8+3)*(INDEX(Reference!$B$6:$B$11,MIN(5,MATCH(MAX(Reference!$A$6,MIN(Reference!$A$11,MIN(D36,300))),Reference!$A$6:$A$11,1)))+(MAX(Reference!$A$6,MIN(Reference!$A$11,MIN(D36,300)))-INDEX(Reference!$A$6:$A$11,MIN(5,MATCH(MAX(Reference!$A$6,MIN(Reference!$A$11,MIN(D36,300))),Reference!$A$6:$A$11,1))))*(INDEX(Reference!$B$6:$B$11,MIN(5,MATCH(MAX(Reference!$A$6,MIN(Reference!$A$11,MIN(D36,300))),Reference!$A$6:$A$11,1))+1)-INDEX(Reference!$B$6:$B$11,MIN(5,MATCH(MAX(Reference!$A$6,MIN(Reference!$A$11,MIN(D36,300))),Reference!$A$6:$A$11,1))))/(INDEX(Reference!$A$6:$A$11,MIN(5,MATCH(MAX(Reference!$A$6,MIN(Reference!$A$11,MIN(D36,300))),Reference!$A$6:$A$11,1))+1)-INDEX(Reference!$A$6:$A$11,MIN(5,MATCH(MAX(Reference!$A$6,MIN(Reference!$A$11,MIN(D36,300))),Reference!$A$6:$A$11,1))))),0))/(AE36*(AE36+5)/2)),(INDEX(Reference!$B$6:$B$11,MIN(5,MATCH(MAX(Reference!$A$6,MIN(Reference!$A$11,D36)),Reference!$A$6:$A$11,1)))+(MAX(Reference!$A$6,MIN(Reference!$A$11,D36))-INDEX(Reference!$A$6:$A$11,MIN(5,MATCH(MAX(Reference!$A$6,MIN(Reference!$A$11,D36)),Reference!$A$6:$A$11,1))))*(INDEX(Reference!$B$6:$B$11,MIN(5,MATCH(MAX(Reference!$A$6,MIN(Reference!$A$11,D36)),Reference!$A$6:$A$11,1))+1)-INDEX(Reference!$B$6:$B$11,MIN(5,MATCH(MAX(Reference!$A$6,MIN(Reference!$A$11,D36)),Reference!$A$6:$A$11,1))))/(INDEX(Reference!$A$6:$A$11,MIN(5,MATCH(MAX(Reference!$A$6,MIN(Reference!$A$11,D36)),Reference!$A$6:$A$11,1))+1)-INDEX(Reference!$A$6:$A$11,MIN(5,MATCH(MAX(Reference!$A$6,MIN(Reference!$A$11,D36)),Reference!$A$6:$A$11,1))))))))</f>
        <v/>
      </c>
      <c r="P36" s="32" t="str">
        <f>IF(N36="","",VLOOKUP(MAX(N36,0),Reference!$A$17:$B$20,2,TRUE()))</f>
        <v/>
      </c>
      <c r="Q36" s="32" t="str">
        <f t="shared" si="3"/>
        <v/>
      </c>
      <c r="R36" s="31"/>
      <c r="S36" s="31"/>
      <c r="T36" s="31"/>
      <c r="U36" s="32" t="str">
        <f t="shared" si="4"/>
        <v/>
      </c>
      <c r="V36" s="32" t="str">
        <f t="shared" si="5"/>
        <v/>
      </c>
      <c r="W36" s="32" t="str">
        <f>IF(V36="","",VLOOKUP(MAX(V36,0),Reference!$A$17:$B$20,2,TRUE()))</f>
        <v/>
      </c>
      <c r="X36" s="31"/>
      <c r="Y36" s="31"/>
      <c r="Z36" s="31"/>
      <c r="AA36" s="32" t="str">
        <f t="shared" si="6"/>
        <v/>
      </c>
      <c r="AB36" s="32" t="str">
        <f t="shared" si="7"/>
        <v/>
      </c>
      <c r="AC36" s="32" t="str">
        <f>IF(AB36="","",VLOOKUP(MAX(AB36,0),Reference!$A$17:$B$20,2,TRUE()))</f>
        <v/>
      </c>
      <c r="AD36" s="31"/>
      <c r="AE36">
        <f t="shared" si="8"/>
        <v>1</v>
      </c>
      <c r="AF36" s="33" t="str">
        <f>IF(OR(A36="",B36="",AND(C36&lt;&gt;"Bullpen",C36&lt;&gt;"Game")),"",IF((COUNTIFS($B$5:$B$300,B36,$A$5:$A$300,A36-1,$C$5:$C$300,"Bullpen",$AG$5:$AG$300,"&gt;0") + COUNTIFS($B$5:$B$300,B36,$A$5:$A$300,A36-1,$C$5:$C$300,"Game",$AG$5:$AG$300,"&gt;0"))&gt;0,Reference!$B$119,IF((COUNTIFS($B$5:$B$300,B36,$A$5:$A$300,A36-2,$C$5:$C$300,"Bullpen",$AG$5:$AG$300,"&gt;0") + COUNTIFS($B$5:$B$300,B36,$A$5:$A$300,A36-2,$C$5:$C$300,"Game",$AG$5:$AG$300,"&gt;0"))&gt;0,Reference!$B$120,1)))</f>
        <v/>
      </c>
      <c r="AG36" s="30" t="str">
        <f>IF(AND(OR(I36="",O36="",P36=""),OR(R36="",W36=""),OR(X36="",AC36="")),"",IF(OR(I36="",O36="",P36=""),0,I36*O36*P36)+IF(OR(R36="",W36=""),0,R36*IFERROR(INDEX(Reference!$B$61:$B$62,MATCH("Bullpen",Reference!$A$61:$A$62,0)),0)*W36)+IF(OR(X36="",AC36=""),0,X36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36))</f>
        <v/>
      </c>
    </row>
    <row r="37" spans="1:33" x14ac:dyDescent="0.3">
      <c r="A37" s="35">
        <v>46297</v>
      </c>
      <c r="B37" s="31" t="s">
        <v>142</v>
      </c>
      <c r="C37" s="31"/>
      <c r="D37" s="31"/>
      <c r="E37" s="34"/>
      <c r="F37" s="34"/>
      <c r="G37" s="30" t="str">
        <f t="shared" si="0"/>
        <v/>
      </c>
      <c r="H37" s="31"/>
      <c r="I37" s="32" t="str">
        <f>IF(H37&lt;&gt;"",H37,IF(G37="","",ROUND(G37*IFERROR(INDEX(Reference!$B$44:$B$50,MATCH(C37,Reference!$A$44:$A$50,0)),0),0)))</f>
        <v/>
      </c>
      <c r="J37" s="31"/>
      <c r="K37" s="31"/>
      <c r="L37" s="32" t="str">
        <f t="shared" si="1"/>
        <v/>
      </c>
      <c r="M37" s="32">
        <f>IFERROR(INDEX(Roster!$D$5:$D$40,MATCH(B37,Roster!$A$5:$A$40,0)),"")</f>
        <v>87.9</v>
      </c>
      <c r="N37" s="32" t="str">
        <f t="shared" si="2"/>
        <v/>
      </c>
      <c r="O37" s="32" t="str">
        <f>IF(OR(C37="Bullpen",C37="Game"),IFERROR(INDEX(Reference!$B$61:$B$62,MATCH(C37,Reference!$A$61:$A$62,0)),""),IF(D37="","",IF(AE37&gt;1,((IF(1&lt;=AE37,(AE37-1+3)*(INDEX(Reference!$B$6:$B$11,MIN(5,MATCH(MAX(Reference!$A$6,MIN(Reference!$A$11,MIN(D37,90))),Reference!$A$6:$A$11,1)))+(MAX(Reference!$A$6,MIN(Reference!$A$11,MIN(D37,90)))-INDEX(Reference!$A$6:$A$11,MIN(5,MATCH(MAX(Reference!$A$6,MIN(Reference!$A$11,MIN(D37,90))),Reference!$A$6:$A$11,1))))*(INDEX(Reference!$B$6:$B$11,MIN(5,MATCH(MAX(Reference!$A$6,MIN(Reference!$A$11,MIN(D37,90))),Reference!$A$6:$A$11,1))+1)-INDEX(Reference!$B$6:$B$11,MIN(5,MATCH(MAX(Reference!$A$6,MIN(Reference!$A$11,MIN(D37,90))),Reference!$A$6:$A$11,1))))/(INDEX(Reference!$A$6:$A$11,MIN(5,MATCH(MAX(Reference!$A$6,MIN(Reference!$A$11,MIN(D37,90))),Reference!$A$6:$A$11,1))+1)-INDEX(Reference!$A$6:$A$11,MIN(5,MATCH(MAX(Reference!$A$6,MIN(Reference!$A$11,MIN(D37,90))),Reference!$A$6:$A$11,1))))),0)+IF(2&lt;=AE37,(AE37-2+3)*(INDEX(Reference!$B$6:$B$11,MIN(5,MATCH(MAX(Reference!$A$6,MIN(Reference!$A$11,MIN(D37,120))),Reference!$A$6:$A$11,1)))+(MAX(Reference!$A$6,MIN(Reference!$A$11,MIN(D37,120)))-INDEX(Reference!$A$6:$A$11,MIN(5,MATCH(MAX(Reference!$A$6,MIN(Reference!$A$11,MIN(D37,120))),Reference!$A$6:$A$11,1))))*(INDEX(Reference!$B$6:$B$11,MIN(5,MATCH(MAX(Reference!$A$6,MIN(Reference!$A$11,MIN(D37,120))),Reference!$A$6:$A$11,1))+1)-INDEX(Reference!$B$6:$B$11,MIN(5,MATCH(MAX(Reference!$A$6,MIN(Reference!$A$11,MIN(D37,120))),Reference!$A$6:$A$11,1))))/(INDEX(Reference!$A$6:$A$11,MIN(5,MATCH(MAX(Reference!$A$6,MIN(Reference!$A$11,MIN(D37,120))),Reference!$A$6:$A$11,1))+1)-INDEX(Reference!$A$6:$A$11,MIN(5,MATCH(MAX(Reference!$A$6,MIN(Reference!$A$11,MIN(D37,120))),Reference!$A$6:$A$11,1))))),0)+IF(3&lt;=AE37,(AE37-3+3)*(INDEX(Reference!$B$6:$B$11,MIN(5,MATCH(MAX(Reference!$A$6,MIN(Reference!$A$11,MIN(D37,150))),Reference!$A$6:$A$11,1)))+(MAX(Reference!$A$6,MIN(Reference!$A$11,MIN(D37,150)))-INDEX(Reference!$A$6:$A$11,MIN(5,MATCH(MAX(Reference!$A$6,MIN(Reference!$A$11,MIN(D37,150))),Reference!$A$6:$A$11,1))))*(INDEX(Reference!$B$6:$B$11,MIN(5,MATCH(MAX(Reference!$A$6,MIN(Reference!$A$11,MIN(D37,150))),Reference!$A$6:$A$11,1))+1)-INDEX(Reference!$B$6:$B$11,MIN(5,MATCH(MAX(Reference!$A$6,MIN(Reference!$A$11,MIN(D37,150))),Reference!$A$6:$A$11,1))))/(INDEX(Reference!$A$6:$A$11,MIN(5,MATCH(MAX(Reference!$A$6,MIN(Reference!$A$11,MIN(D37,150))),Reference!$A$6:$A$11,1))+1)-INDEX(Reference!$A$6:$A$11,MIN(5,MATCH(MAX(Reference!$A$6,MIN(Reference!$A$11,MIN(D37,150))),Reference!$A$6:$A$11,1))))),0)+IF(4&lt;=AE37,(AE37-4+3)*(INDEX(Reference!$B$6:$B$11,MIN(5,MATCH(MAX(Reference!$A$6,MIN(Reference!$A$11,MIN(D37,180))),Reference!$A$6:$A$11,1)))+(MAX(Reference!$A$6,MIN(Reference!$A$11,MIN(D37,180)))-INDEX(Reference!$A$6:$A$11,MIN(5,MATCH(MAX(Reference!$A$6,MIN(Reference!$A$11,MIN(D37,180))),Reference!$A$6:$A$11,1))))*(INDEX(Reference!$B$6:$B$11,MIN(5,MATCH(MAX(Reference!$A$6,MIN(Reference!$A$11,MIN(D37,180))),Reference!$A$6:$A$11,1))+1)-INDEX(Reference!$B$6:$B$11,MIN(5,MATCH(MAX(Reference!$A$6,MIN(Reference!$A$11,MIN(D37,180))),Reference!$A$6:$A$11,1))))/(INDEX(Reference!$A$6:$A$11,MIN(5,MATCH(MAX(Reference!$A$6,MIN(Reference!$A$11,MIN(D37,180))),Reference!$A$6:$A$11,1))+1)-INDEX(Reference!$A$6:$A$11,MIN(5,MATCH(MAX(Reference!$A$6,MIN(Reference!$A$11,MIN(D37,180))),Reference!$A$6:$A$11,1))))),0)+IF(5&lt;=AE37,(AE37-5+3)*(INDEX(Reference!$B$6:$B$11,MIN(5,MATCH(MAX(Reference!$A$6,MIN(Reference!$A$11,MIN(D37,210))),Reference!$A$6:$A$11,1)))+(MAX(Reference!$A$6,MIN(Reference!$A$11,MIN(D37,210)))-INDEX(Reference!$A$6:$A$11,MIN(5,MATCH(MAX(Reference!$A$6,MIN(Reference!$A$11,MIN(D37,210))),Reference!$A$6:$A$11,1))))*(INDEX(Reference!$B$6:$B$11,MIN(5,MATCH(MAX(Reference!$A$6,MIN(Reference!$A$11,MIN(D37,210))),Reference!$A$6:$A$11,1))+1)-INDEX(Reference!$B$6:$B$11,MIN(5,MATCH(MAX(Reference!$A$6,MIN(Reference!$A$11,MIN(D37,210))),Reference!$A$6:$A$11,1))))/(INDEX(Reference!$A$6:$A$11,MIN(5,MATCH(MAX(Reference!$A$6,MIN(Reference!$A$11,MIN(D37,210))),Reference!$A$6:$A$11,1))+1)-INDEX(Reference!$A$6:$A$11,MIN(5,MATCH(MAX(Reference!$A$6,MIN(Reference!$A$11,MIN(D37,210))),Reference!$A$6:$A$11,1))))),0)+IF(6&lt;=AE37,(AE37-6+3)*(INDEX(Reference!$B$6:$B$11,MIN(5,MATCH(MAX(Reference!$A$6,MIN(Reference!$A$11,MIN(D37,240))),Reference!$A$6:$A$11,1)))+(MAX(Reference!$A$6,MIN(Reference!$A$11,MIN(D37,240)))-INDEX(Reference!$A$6:$A$11,MIN(5,MATCH(MAX(Reference!$A$6,MIN(Reference!$A$11,MIN(D37,240))),Reference!$A$6:$A$11,1))))*(INDEX(Reference!$B$6:$B$11,MIN(5,MATCH(MAX(Reference!$A$6,MIN(Reference!$A$11,MIN(D37,240))),Reference!$A$6:$A$11,1))+1)-INDEX(Reference!$B$6:$B$11,MIN(5,MATCH(MAX(Reference!$A$6,MIN(Reference!$A$11,MIN(D37,240))),Reference!$A$6:$A$11,1))))/(INDEX(Reference!$A$6:$A$11,MIN(5,MATCH(MAX(Reference!$A$6,MIN(Reference!$A$11,MIN(D37,240))),Reference!$A$6:$A$11,1))+1)-INDEX(Reference!$A$6:$A$11,MIN(5,MATCH(MAX(Reference!$A$6,MIN(Reference!$A$11,MIN(D37,240))),Reference!$A$6:$A$11,1))))),0)+IF(7&lt;=AE37,(AE37-7+3)*(INDEX(Reference!$B$6:$B$11,MIN(5,MATCH(MAX(Reference!$A$6,MIN(Reference!$A$11,MIN(D37,270))),Reference!$A$6:$A$11,1)))+(MAX(Reference!$A$6,MIN(Reference!$A$11,MIN(D37,270)))-INDEX(Reference!$A$6:$A$11,MIN(5,MATCH(MAX(Reference!$A$6,MIN(Reference!$A$11,MIN(D37,270))),Reference!$A$6:$A$11,1))))*(INDEX(Reference!$B$6:$B$11,MIN(5,MATCH(MAX(Reference!$A$6,MIN(Reference!$A$11,MIN(D37,270))),Reference!$A$6:$A$11,1))+1)-INDEX(Reference!$B$6:$B$11,MIN(5,MATCH(MAX(Reference!$A$6,MIN(Reference!$A$11,MIN(D37,270))),Reference!$A$6:$A$11,1))))/(INDEX(Reference!$A$6:$A$11,MIN(5,MATCH(MAX(Reference!$A$6,MIN(Reference!$A$11,MIN(D37,270))),Reference!$A$6:$A$11,1))+1)-INDEX(Reference!$A$6:$A$11,MIN(5,MATCH(MAX(Reference!$A$6,MIN(Reference!$A$11,MIN(D37,270))),Reference!$A$6:$A$11,1))))),0)+IF(8&lt;=AE37,(AE37-8+3)*(INDEX(Reference!$B$6:$B$11,MIN(5,MATCH(MAX(Reference!$A$6,MIN(Reference!$A$11,MIN(D37,300))),Reference!$A$6:$A$11,1)))+(MAX(Reference!$A$6,MIN(Reference!$A$11,MIN(D37,300)))-INDEX(Reference!$A$6:$A$11,MIN(5,MATCH(MAX(Reference!$A$6,MIN(Reference!$A$11,MIN(D37,300))),Reference!$A$6:$A$11,1))))*(INDEX(Reference!$B$6:$B$11,MIN(5,MATCH(MAX(Reference!$A$6,MIN(Reference!$A$11,MIN(D37,300))),Reference!$A$6:$A$11,1))+1)-INDEX(Reference!$B$6:$B$11,MIN(5,MATCH(MAX(Reference!$A$6,MIN(Reference!$A$11,MIN(D37,300))),Reference!$A$6:$A$11,1))))/(INDEX(Reference!$A$6:$A$11,MIN(5,MATCH(MAX(Reference!$A$6,MIN(Reference!$A$11,MIN(D37,300))),Reference!$A$6:$A$11,1))+1)-INDEX(Reference!$A$6:$A$11,MIN(5,MATCH(MAX(Reference!$A$6,MIN(Reference!$A$11,MIN(D37,300))),Reference!$A$6:$A$11,1))))),0))/(AE37*(AE37+5)/2)),(INDEX(Reference!$B$6:$B$11,MIN(5,MATCH(MAX(Reference!$A$6,MIN(Reference!$A$11,D37)),Reference!$A$6:$A$11,1)))+(MAX(Reference!$A$6,MIN(Reference!$A$11,D37))-INDEX(Reference!$A$6:$A$11,MIN(5,MATCH(MAX(Reference!$A$6,MIN(Reference!$A$11,D37)),Reference!$A$6:$A$11,1))))*(INDEX(Reference!$B$6:$B$11,MIN(5,MATCH(MAX(Reference!$A$6,MIN(Reference!$A$11,D37)),Reference!$A$6:$A$11,1))+1)-INDEX(Reference!$B$6:$B$11,MIN(5,MATCH(MAX(Reference!$A$6,MIN(Reference!$A$11,D37)),Reference!$A$6:$A$11,1))))/(INDEX(Reference!$A$6:$A$11,MIN(5,MATCH(MAX(Reference!$A$6,MIN(Reference!$A$11,D37)),Reference!$A$6:$A$11,1))+1)-INDEX(Reference!$A$6:$A$11,MIN(5,MATCH(MAX(Reference!$A$6,MIN(Reference!$A$11,D37)),Reference!$A$6:$A$11,1))))))))</f>
        <v/>
      </c>
      <c r="P37" s="32" t="str">
        <f>IF(N37="","",VLOOKUP(MAX(N37,0),Reference!$A$17:$B$20,2,TRUE()))</f>
        <v/>
      </c>
      <c r="Q37" s="32" t="str">
        <f t="shared" si="3"/>
        <v/>
      </c>
      <c r="R37" s="31"/>
      <c r="S37" s="31"/>
      <c r="T37" s="31"/>
      <c r="U37" s="32" t="str">
        <f t="shared" si="4"/>
        <v/>
      </c>
      <c r="V37" s="32" t="str">
        <f t="shared" si="5"/>
        <v/>
      </c>
      <c r="W37" s="32" t="str">
        <f>IF(V37="","",VLOOKUP(MAX(V37,0),Reference!$A$17:$B$20,2,TRUE()))</f>
        <v/>
      </c>
      <c r="X37" s="31"/>
      <c r="Y37" s="31"/>
      <c r="Z37" s="31"/>
      <c r="AA37" s="32" t="str">
        <f t="shared" si="6"/>
        <v/>
      </c>
      <c r="AB37" s="32" t="str">
        <f t="shared" si="7"/>
        <v/>
      </c>
      <c r="AC37" s="32" t="str">
        <f>IF(AB37="","",VLOOKUP(MAX(AB37,0),Reference!$A$17:$B$20,2,TRUE()))</f>
        <v/>
      </c>
      <c r="AD37" s="31"/>
      <c r="AE37">
        <f t="shared" si="8"/>
        <v>1</v>
      </c>
      <c r="AF37" s="33" t="str">
        <f>IF(OR(A37="",B37="",AND(C37&lt;&gt;"Bullpen",C37&lt;&gt;"Game")),"",IF((COUNTIFS($B$5:$B$300,B37,$A$5:$A$300,A37-1,$C$5:$C$300,"Bullpen",$AG$5:$AG$300,"&gt;0") + COUNTIFS($B$5:$B$300,B37,$A$5:$A$300,A37-1,$C$5:$C$300,"Game",$AG$5:$AG$300,"&gt;0"))&gt;0,Reference!$B$119,IF((COUNTIFS($B$5:$B$300,B37,$A$5:$A$300,A37-2,$C$5:$C$300,"Bullpen",$AG$5:$AG$300,"&gt;0") + COUNTIFS($B$5:$B$300,B37,$A$5:$A$300,A37-2,$C$5:$C$300,"Game",$AG$5:$AG$300,"&gt;0"))&gt;0,Reference!$B$120,1)))</f>
        <v/>
      </c>
      <c r="AG37" s="30" t="str">
        <f>IF(AND(OR(I37="",O37="",P37=""),OR(R37="",W37=""),OR(X37="",AC37="")),"",IF(OR(I37="",O37="",P37=""),0,I37*O37*P37)+IF(OR(R37="",W37=""),0,R37*IFERROR(INDEX(Reference!$B$61:$B$62,MATCH("Bullpen",Reference!$A$61:$A$62,0)),0)*W37)+IF(OR(X37="",AC37=""),0,X37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37))</f>
        <v/>
      </c>
    </row>
    <row r="38" spans="1:33" x14ac:dyDescent="0.3">
      <c r="A38" s="35">
        <v>46298</v>
      </c>
      <c r="B38" s="31" t="s">
        <v>142</v>
      </c>
      <c r="C38" s="31"/>
      <c r="D38" s="31"/>
      <c r="E38" s="34"/>
      <c r="F38" s="34"/>
      <c r="G38" s="30" t="str">
        <f t="shared" si="0"/>
        <v/>
      </c>
      <c r="H38" s="31"/>
      <c r="I38" s="32" t="str">
        <f>IF(H38&lt;&gt;"",H38,IF(G38="","",ROUND(G38*IFERROR(INDEX(Reference!$B$44:$B$50,MATCH(C38,Reference!$A$44:$A$50,0)),0),0)))</f>
        <v/>
      </c>
      <c r="J38" s="31"/>
      <c r="K38" s="31"/>
      <c r="L38" s="32" t="str">
        <f t="shared" si="1"/>
        <v/>
      </c>
      <c r="M38" s="32">
        <f>IFERROR(INDEX(Roster!$D$5:$D$40,MATCH(B38,Roster!$A$5:$A$40,0)),"")</f>
        <v>87.9</v>
      </c>
      <c r="N38" s="32" t="str">
        <f t="shared" si="2"/>
        <v/>
      </c>
      <c r="O38" s="32" t="str">
        <f>IF(OR(C38="Bullpen",C38="Game"),IFERROR(INDEX(Reference!$B$61:$B$62,MATCH(C38,Reference!$A$61:$A$62,0)),""),IF(D38="","",IF(AE38&gt;1,((IF(1&lt;=AE38,(AE38-1+3)*(INDEX(Reference!$B$6:$B$11,MIN(5,MATCH(MAX(Reference!$A$6,MIN(Reference!$A$11,MIN(D38,90))),Reference!$A$6:$A$11,1)))+(MAX(Reference!$A$6,MIN(Reference!$A$11,MIN(D38,90)))-INDEX(Reference!$A$6:$A$11,MIN(5,MATCH(MAX(Reference!$A$6,MIN(Reference!$A$11,MIN(D38,90))),Reference!$A$6:$A$11,1))))*(INDEX(Reference!$B$6:$B$11,MIN(5,MATCH(MAX(Reference!$A$6,MIN(Reference!$A$11,MIN(D38,90))),Reference!$A$6:$A$11,1))+1)-INDEX(Reference!$B$6:$B$11,MIN(5,MATCH(MAX(Reference!$A$6,MIN(Reference!$A$11,MIN(D38,90))),Reference!$A$6:$A$11,1))))/(INDEX(Reference!$A$6:$A$11,MIN(5,MATCH(MAX(Reference!$A$6,MIN(Reference!$A$11,MIN(D38,90))),Reference!$A$6:$A$11,1))+1)-INDEX(Reference!$A$6:$A$11,MIN(5,MATCH(MAX(Reference!$A$6,MIN(Reference!$A$11,MIN(D38,90))),Reference!$A$6:$A$11,1))))),0)+IF(2&lt;=AE38,(AE38-2+3)*(INDEX(Reference!$B$6:$B$11,MIN(5,MATCH(MAX(Reference!$A$6,MIN(Reference!$A$11,MIN(D38,120))),Reference!$A$6:$A$11,1)))+(MAX(Reference!$A$6,MIN(Reference!$A$11,MIN(D38,120)))-INDEX(Reference!$A$6:$A$11,MIN(5,MATCH(MAX(Reference!$A$6,MIN(Reference!$A$11,MIN(D38,120))),Reference!$A$6:$A$11,1))))*(INDEX(Reference!$B$6:$B$11,MIN(5,MATCH(MAX(Reference!$A$6,MIN(Reference!$A$11,MIN(D38,120))),Reference!$A$6:$A$11,1))+1)-INDEX(Reference!$B$6:$B$11,MIN(5,MATCH(MAX(Reference!$A$6,MIN(Reference!$A$11,MIN(D38,120))),Reference!$A$6:$A$11,1))))/(INDEX(Reference!$A$6:$A$11,MIN(5,MATCH(MAX(Reference!$A$6,MIN(Reference!$A$11,MIN(D38,120))),Reference!$A$6:$A$11,1))+1)-INDEX(Reference!$A$6:$A$11,MIN(5,MATCH(MAX(Reference!$A$6,MIN(Reference!$A$11,MIN(D38,120))),Reference!$A$6:$A$11,1))))),0)+IF(3&lt;=AE38,(AE38-3+3)*(INDEX(Reference!$B$6:$B$11,MIN(5,MATCH(MAX(Reference!$A$6,MIN(Reference!$A$11,MIN(D38,150))),Reference!$A$6:$A$11,1)))+(MAX(Reference!$A$6,MIN(Reference!$A$11,MIN(D38,150)))-INDEX(Reference!$A$6:$A$11,MIN(5,MATCH(MAX(Reference!$A$6,MIN(Reference!$A$11,MIN(D38,150))),Reference!$A$6:$A$11,1))))*(INDEX(Reference!$B$6:$B$11,MIN(5,MATCH(MAX(Reference!$A$6,MIN(Reference!$A$11,MIN(D38,150))),Reference!$A$6:$A$11,1))+1)-INDEX(Reference!$B$6:$B$11,MIN(5,MATCH(MAX(Reference!$A$6,MIN(Reference!$A$11,MIN(D38,150))),Reference!$A$6:$A$11,1))))/(INDEX(Reference!$A$6:$A$11,MIN(5,MATCH(MAX(Reference!$A$6,MIN(Reference!$A$11,MIN(D38,150))),Reference!$A$6:$A$11,1))+1)-INDEX(Reference!$A$6:$A$11,MIN(5,MATCH(MAX(Reference!$A$6,MIN(Reference!$A$11,MIN(D38,150))),Reference!$A$6:$A$11,1))))),0)+IF(4&lt;=AE38,(AE38-4+3)*(INDEX(Reference!$B$6:$B$11,MIN(5,MATCH(MAX(Reference!$A$6,MIN(Reference!$A$11,MIN(D38,180))),Reference!$A$6:$A$11,1)))+(MAX(Reference!$A$6,MIN(Reference!$A$11,MIN(D38,180)))-INDEX(Reference!$A$6:$A$11,MIN(5,MATCH(MAX(Reference!$A$6,MIN(Reference!$A$11,MIN(D38,180))),Reference!$A$6:$A$11,1))))*(INDEX(Reference!$B$6:$B$11,MIN(5,MATCH(MAX(Reference!$A$6,MIN(Reference!$A$11,MIN(D38,180))),Reference!$A$6:$A$11,1))+1)-INDEX(Reference!$B$6:$B$11,MIN(5,MATCH(MAX(Reference!$A$6,MIN(Reference!$A$11,MIN(D38,180))),Reference!$A$6:$A$11,1))))/(INDEX(Reference!$A$6:$A$11,MIN(5,MATCH(MAX(Reference!$A$6,MIN(Reference!$A$11,MIN(D38,180))),Reference!$A$6:$A$11,1))+1)-INDEX(Reference!$A$6:$A$11,MIN(5,MATCH(MAX(Reference!$A$6,MIN(Reference!$A$11,MIN(D38,180))),Reference!$A$6:$A$11,1))))),0)+IF(5&lt;=AE38,(AE38-5+3)*(INDEX(Reference!$B$6:$B$11,MIN(5,MATCH(MAX(Reference!$A$6,MIN(Reference!$A$11,MIN(D38,210))),Reference!$A$6:$A$11,1)))+(MAX(Reference!$A$6,MIN(Reference!$A$11,MIN(D38,210)))-INDEX(Reference!$A$6:$A$11,MIN(5,MATCH(MAX(Reference!$A$6,MIN(Reference!$A$11,MIN(D38,210))),Reference!$A$6:$A$11,1))))*(INDEX(Reference!$B$6:$B$11,MIN(5,MATCH(MAX(Reference!$A$6,MIN(Reference!$A$11,MIN(D38,210))),Reference!$A$6:$A$11,1))+1)-INDEX(Reference!$B$6:$B$11,MIN(5,MATCH(MAX(Reference!$A$6,MIN(Reference!$A$11,MIN(D38,210))),Reference!$A$6:$A$11,1))))/(INDEX(Reference!$A$6:$A$11,MIN(5,MATCH(MAX(Reference!$A$6,MIN(Reference!$A$11,MIN(D38,210))),Reference!$A$6:$A$11,1))+1)-INDEX(Reference!$A$6:$A$11,MIN(5,MATCH(MAX(Reference!$A$6,MIN(Reference!$A$11,MIN(D38,210))),Reference!$A$6:$A$11,1))))),0)+IF(6&lt;=AE38,(AE38-6+3)*(INDEX(Reference!$B$6:$B$11,MIN(5,MATCH(MAX(Reference!$A$6,MIN(Reference!$A$11,MIN(D38,240))),Reference!$A$6:$A$11,1)))+(MAX(Reference!$A$6,MIN(Reference!$A$11,MIN(D38,240)))-INDEX(Reference!$A$6:$A$11,MIN(5,MATCH(MAX(Reference!$A$6,MIN(Reference!$A$11,MIN(D38,240))),Reference!$A$6:$A$11,1))))*(INDEX(Reference!$B$6:$B$11,MIN(5,MATCH(MAX(Reference!$A$6,MIN(Reference!$A$11,MIN(D38,240))),Reference!$A$6:$A$11,1))+1)-INDEX(Reference!$B$6:$B$11,MIN(5,MATCH(MAX(Reference!$A$6,MIN(Reference!$A$11,MIN(D38,240))),Reference!$A$6:$A$11,1))))/(INDEX(Reference!$A$6:$A$11,MIN(5,MATCH(MAX(Reference!$A$6,MIN(Reference!$A$11,MIN(D38,240))),Reference!$A$6:$A$11,1))+1)-INDEX(Reference!$A$6:$A$11,MIN(5,MATCH(MAX(Reference!$A$6,MIN(Reference!$A$11,MIN(D38,240))),Reference!$A$6:$A$11,1))))),0)+IF(7&lt;=AE38,(AE38-7+3)*(INDEX(Reference!$B$6:$B$11,MIN(5,MATCH(MAX(Reference!$A$6,MIN(Reference!$A$11,MIN(D38,270))),Reference!$A$6:$A$11,1)))+(MAX(Reference!$A$6,MIN(Reference!$A$11,MIN(D38,270)))-INDEX(Reference!$A$6:$A$11,MIN(5,MATCH(MAX(Reference!$A$6,MIN(Reference!$A$11,MIN(D38,270))),Reference!$A$6:$A$11,1))))*(INDEX(Reference!$B$6:$B$11,MIN(5,MATCH(MAX(Reference!$A$6,MIN(Reference!$A$11,MIN(D38,270))),Reference!$A$6:$A$11,1))+1)-INDEX(Reference!$B$6:$B$11,MIN(5,MATCH(MAX(Reference!$A$6,MIN(Reference!$A$11,MIN(D38,270))),Reference!$A$6:$A$11,1))))/(INDEX(Reference!$A$6:$A$11,MIN(5,MATCH(MAX(Reference!$A$6,MIN(Reference!$A$11,MIN(D38,270))),Reference!$A$6:$A$11,1))+1)-INDEX(Reference!$A$6:$A$11,MIN(5,MATCH(MAX(Reference!$A$6,MIN(Reference!$A$11,MIN(D38,270))),Reference!$A$6:$A$11,1))))),0)+IF(8&lt;=AE38,(AE38-8+3)*(INDEX(Reference!$B$6:$B$11,MIN(5,MATCH(MAX(Reference!$A$6,MIN(Reference!$A$11,MIN(D38,300))),Reference!$A$6:$A$11,1)))+(MAX(Reference!$A$6,MIN(Reference!$A$11,MIN(D38,300)))-INDEX(Reference!$A$6:$A$11,MIN(5,MATCH(MAX(Reference!$A$6,MIN(Reference!$A$11,MIN(D38,300))),Reference!$A$6:$A$11,1))))*(INDEX(Reference!$B$6:$B$11,MIN(5,MATCH(MAX(Reference!$A$6,MIN(Reference!$A$11,MIN(D38,300))),Reference!$A$6:$A$11,1))+1)-INDEX(Reference!$B$6:$B$11,MIN(5,MATCH(MAX(Reference!$A$6,MIN(Reference!$A$11,MIN(D38,300))),Reference!$A$6:$A$11,1))))/(INDEX(Reference!$A$6:$A$11,MIN(5,MATCH(MAX(Reference!$A$6,MIN(Reference!$A$11,MIN(D38,300))),Reference!$A$6:$A$11,1))+1)-INDEX(Reference!$A$6:$A$11,MIN(5,MATCH(MAX(Reference!$A$6,MIN(Reference!$A$11,MIN(D38,300))),Reference!$A$6:$A$11,1))))),0))/(AE38*(AE38+5)/2)),(INDEX(Reference!$B$6:$B$11,MIN(5,MATCH(MAX(Reference!$A$6,MIN(Reference!$A$11,D38)),Reference!$A$6:$A$11,1)))+(MAX(Reference!$A$6,MIN(Reference!$A$11,D38))-INDEX(Reference!$A$6:$A$11,MIN(5,MATCH(MAX(Reference!$A$6,MIN(Reference!$A$11,D38)),Reference!$A$6:$A$11,1))))*(INDEX(Reference!$B$6:$B$11,MIN(5,MATCH(MAX(Reference!$A$6,MIN(Reference!$A$11,D38)),Reference!$A$6:$A$11,1))+1)-INDEX(Reference!$B$6:$B$11,MIN(5,MATCH(MAX(Reference!$A$6,MIN(Reference!$A$11,D38)),Reference!$A$6:$A$11,1))))/(INDEX(Reference!$A$6:$A$11,MIN(5,MATCH(MAX(Reference!$A$6,MIN(Reference!$A$11,D38)),Reference!$A$6:$A$11,1))+1)-INDEX(Reference!$A$6:$A$11,MIN(5,MATCH(MAX(Reference!$A$6,MIN(Reference!$A$11,D38)),Reference!$A$6:$A$11,1))))))))</f>
        <v/>
      </c>
      <c r="P38" s="32" t="str">
        <f>IF(N38="","",VLOOKUP(MAX(N38,0),Reference!$A$17:$B$20,2,TRUE()))</f>
        <v/>
      </c>
      <c r="Q38" s="32" t="str">
        <f t="shared" si="3"/>
        <v/>
      </c>
      <c r="R38" s="31"/>
      <c r="S38" s="31"/>
      <c r="T38" s="31"/>
      <c r="U38" s="32" t="str">
        <f t="shared" si="4"/>
        <v/>
      </c>
      <c r="V38" s="32" t="str">
        <f t="shared" si="5"/>
        <v/>
      </c>
      <c r="W38" s="32" t="str">
        <f>IF(V38="","",VLOOKUP(MAX(V38,0),Reference!$A$17:$B$20,2,TRUE()))</f>
        <v/>
      </c>
      <c r="X38" s="31"/>
      <c r="Y38" s="31"/>
      <c r="Z38" s="31"/>
      <c r="AA38" s="32" t="str">
        <f t="shared" si="6"/>
        <v/>
      </c>
      <c r="AB38" s="32" t="str">
        <f t="shared" si="7"/>
        <v/>
      </c>
      <c r="AC38" s="32" t="str">
        <f>IF(AB38="","",VLOOKUP(MAX(AB38,0),Reference!$A$17:$B$20,2,TRUE()))</f>
        <v/>
      </c>
      <c r="AD38" s="31"/>
      <c r="AE38">
        <f t="shared" si="8"/>
        <v>1</v>
      </c>
      <c r="AF38" s="33" t="str">
        <f>IF(OR(A38="",B38="",AND(C38&lt;&gt;"Bullpen",C38&lt;&gt;"Game")),"",IF((COUNTIFS($B$5:$B$300,B38,$A$5:$A$300,A38-1,$C$5:$C$300,"Bullpen",$AG$5:$AG$300,"&gt;0") + COUNTIFS($B$5:$B$300,B38,$A$5:$A$300,A38-1,$C$5:$C$300,"Game",$AG$5:$AG$300,"&gt;0"))&gt;0,Reference!$B$119,IF((COUNTIFS($B$5:$B$300,B38,$A$5:$A$300,A38-2,$C$5:$C$300,"Bullpen",$AG$5:$AG$300,"&gt;0") + COUNTIFS($B$5:$B$300,B38,$A$5:$A$300,A38-2,$C$5:$C$300,"Game",$AG$5:$AG$300,"&gt;0"))&gt;0,Reference!$B$120,1)))</f>
        <v/>
      </c>
      <c r="AG38" s="30" t="str">
        <f>IF(AND(OR(I38="",O38="",P38=""),OR(R38="",W38=""),OR(X38="",AC38="")),"",IF(OR(I38="",O38="",P38=""),0,I38*O38*P38)+IF(OR(R38="",W38=""),0,R38*IFERROR(INDEX(Reference!$B$61:$B$62,MATCH("Bullpen",Reference!$A$61:$A$62,0)),0)*W38)+IF(OR(X38="",AC38=""),0,X38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38))</f>
        <v/>
      </c>
    </row>
    <row r="39" spans="1:33" x14ac:dyDescent="0.3">
      <c r="A39" s="35">
        <v>46299</v>
      </c>
      <c r="B39" s="31" t="s">
        <v>142</v>
      </c>
      <c r="C39" s="31"/>
      <c r="D39" s="31"/>
      <c r="E39" s="34"/>
      <c r="F39" s="34"/>
      <c r="G39" s="30" t="str">
        <f t="shared" si="0"/>
        <v/>
      </c>
      <c r="H39" s="31"/>
      <c r="I39" s="32" t="str">
        <f>IF(H39&lt;&gt;"",H39,IF(G39="","",ROUND(G39*IFERROR(INDEX(Reference!$B$44:$B$50,MATCH(C39,Reference!$A$44:$A$50,0)),0),0)))</f>
        <v/>
      </c>
      <c r="J39" s="31"/>
      <c r="K39" s="31"/>
      <c r="L39" s="32" t="str">
        <f t="shared" si="1"/>
        <v/>
      </c>
      <c r="M39" s="32">
        <f>IFERROR(INDEX(Roster!$D$5:$D$40,MATCH(B39,Roster!$A$5:$A$40,0)),"")</f>
        <v>87.9</v>
      </c>
      <c r="N39" s="32" t="str">
        <f t="shared" si="2"/>
        <v/>
      </c>
      <c r="O39" s="32" t="str">
        <f>IF(OR(C39="Bullpen",C39="Game"),IFERROR(INDEX(Reference!$B$61:$B$62,MATCH(C39,Reference!$A$61:$A$62,0)),""),IF(D39="","",IF(AE39&gt;1,((IF(1&lt;=AE39,(AE39-1+3)*(INDEX(Reference!$B$6:$B$11,MIN(5,MATCH(MAX(Reference!$A$6,MIN(Reference!$A$11,MIN(D39,90))),Reference!$A$6:$A$11,1)))+(MAX(Reference!$A$6,MIN(Reference!$A$11,MIN(D39,90)))-INDEX(Reference!$A$6:$A$11,MIN(5,MATCH(MAX(Reference!$A$6,MIN(Reference!$A$11,MIN(D39,90))),Reference!$A$6:$A$11,1))))*(INDEX(Reference!$B$6:$B$11,MIN(5,MATCH(MAX(Reference!$A$6,MIN(Reference!$A$11,MIN(D39,90))),Reference!$A$6:$A$11,1))+1)-INDEX(Reference!$B$6:$B$11,MIN(5,MATCH(MAX(Reference!$A$6,MIN(Reference!$A$11,MIN(D39,90))),Reference!$A$6:$A$11,1))))/(INDEX(Reference!$A$6:$A$11,MIN(5,MATCH(MAX(Reference!$A$6,MIN(Reference!$A$11,MIN(D39,90))),Reference!$A$6:$A$11,1))+1)-INDEX(Reference!$A$6:$A$11,MIN(5,MATCH(MAX(Reference!$A$6,MIN(Reference!$A$11,MIN(D39,90))),Reference!$A$6:$A$11,1))))),0)+IF(2&lt;=AE39,(AE39-2+3)*(INDEX(Reference!$B$6:$B$11,MIN(5,MATCH(MAX(Reference!$A$6,MIN(Reference!$A$11,MIN(D39,120))),Reference!$A$6:$A$11,1)))+(MAX(Reference!$A$6,MIN(Reference!$A$11,MIN(D39,120)))-INDEX(Reference!$A$6:$A$11,MIN(5,MATCH(MAX(Reference!$A$6,MIN(Reference!$A$11,MIN(D39,120))),Reference!$A$6:$A$11,1))))*(INDEX(Reference!$B$6:$B$11,MIN(5,MATCH(MAX(Reference!$A$6,MIN(Reference!$A$11,MIN(D39,120))),Reference!$A$6:$A$11,1))+1)-INDEX(Reference!$B$6:$B$11,MIN(5,MATCH(MAX(Reference!$A$6,MIN(Reference!$A$11,MIN(D39,120))),Reference!$A$6:$A$11,1))))/(INDEX(Reference!$A$6:$A$11,MIN(5,MATCH(MAX(Reference!$A$6,MIN(Reference!$A$11,MIN(D39,120))),Reference!$A$6:$A$11,1))+1)-INDEX(Reference!$A$6:$A$11,MIN(5,MATCH(MAX(Reference!$A$6,MIN(Reference!$A$11,MIN(D39,120))),Reference!$A$6:$A$11,1))))),0)+IF(3&lt;=AE39,(AE39-3+3)*(INDEX(Reference!$B$6:$B$11,MIN(5,MATCH(MAX(Reference!$A$6,MIN(Reference!$A$11,MIN(D39,150))),Reference!$A$6:$A$11,1)))+(MAX(Reference!$A$6,MIN(Reference!$A$11,MIN(D39,150)))-INDEX(Reference!$A$6:$A$11,MIN(5,MATCH(MAX(Reference!$A$6,MIN(Reference!$A$11,MIN(D39,150))),Reference!$A$6:$A$11,1))))*(INDEX(Reference!$B$6:$B$11,MIN(5,MATCH(MAX(Reference!$A$6,MIN(Reference!$A$11,MIN(D39,150))),Reference!$A$6:$A$11,1))+1)-INDEX(Reference!$B$6:$B$11,MIN(5,MATCH(MAX(Reference!$A$6,MIN(Reference!$A$11,MIN(D39,150))),Reference!$A$6:$A$11,1))))/(INDEX(Reference!$A$6:$A$11,MIN(5,MATCH(MAX(Reference!$A$6,MIN(Reference!$A$11,MIN(D39,150))),Reference!$A$6:$A$11,1))+1)-INDEX(Reference!$A$6:$A$11,MIN(5,MATCH(MAX(Reference!$A$6,MIN(Reference!$A$11,MIN(D39,150))),Reference!$A$6:$A$11,1))))),0)+IF(4&lt;=AE39,(AE39-4+3)*(INDEX(Reference!$B$6:$B$11,MIN(5,MATCH(MAX(Reference!$A$6,MIN(Reference!$A$11,MIN(D39,180))),Reference!$A$6:$A$11,1)))+(MAX(Reference!$A$6,MIN(Reference!$A$11,MIN(D39,180)))-INDEX(Reference!$A$6:$A$11,MIN(5,MATCH(MAX(Reference!$A$6,MIN(Reference!$A$11,MIN(D39,180))),Reference!$A$6:$A$11,1))))*(INDEX(Reference!$B$6:$B$11,MIN(5,MATCH(MAX(Reference!$A$6,MIN(Reference!$A$11,MIN(D39,180))),Reference!$A$6:$A$11,1))+1)-INDEX(Reference!$B$6:$B$11,MIN(5,MATCH(MAX(Reference!$A$6,MIN(Reference!$A$11,MIN(D39,180))),Reference!$A$6:$A$11,1))))/(INDEX(Reference!$A$6:$A$11,MIN(5,MATCH(MAX(Reference!$A$6,MIN(Reference!$A$11,MIN(D39,180))),Reference!$A$6:$A$11,1))+1)-INDEX(Reference!$A$6:$A$11,MIN(5,MATCH(MAX(Reference!$A$6,MIN(Reference!$A$11,MIN(D39,180))),Reference!$A$6:$A$11,1))))),0)+IF(5&lt;=AE39,(AE39-5+3)*(INDEX(Reference!$B$6:$B$11,MIN(5,MATCH(MAX(Reference!$A$6,MIN(Reference!$A$11,MIN(D39,210))),Reference!$A$6:$A$11,1)))+(MAX(Reference!$A$6,MIN(Reference!$A$11,MIN(D39,210)))-INDEX(Reference!$A$6:$A$11,MIN(5,MATCH(MAX(Reference!$A$6,MIN(Reference!$A$11,MIN(D39,210))),Reference!$A$6:$A$11,1))))*(INDEX(Reference!$B$6:$B$11,MIN(5,MATCH(MAX(Reference!$A$6,MIN(Reference!$A$11,MIN(D39,210))),Reference!$A$6:$A$11,1))+1)-INDEX(Reference!$B$6:$B$11,MIN(5,MATCH(MAX(Reference!$A$6,MIN(Reference!$A$11,MIN(D39,210))),Reference!$A$6:$A$11,1))))/(INDEX(Reference!$A$6:$A$11,MIN(5,MATCH(MAX(Reference!$A$6,MIN(Reference!$A$11,MIN(D39,210))),Reference!$A$6:$A$11,1))+1)-INDEX(Reference!$A$6:$A$11,MIN(5,MATCH(MAX(Reference!$A$6,MIN(Reference!$A$11,MIN(D39,210))),Reference!$A$6:$A$11,1))))),0)+IF(6&lt;=AE39,(AE39-6+3)*(INDEX(Reference!$B$6:$B$11,MIN(5,MATCH(MAX(Reference!$A$6,MIN(Reference!$A$11,MIN(D39,240))),Reference!$A$6:$A$11,1)))+(MAX(Reference!$A$6,MIN(Reference!$A$11,MIN(D39,240)))-INDEX(Reference!$A$6:$A$11,MIN(5,MATCH(MAX(Reference!$A$6,MIN(Reference!$A$11,MIN(D39,240))),Reference!$A$6:$A$11,1))))*(INDEX(Reference!$B$6:$B$11,MIN(5,MATCH(MAX(Reference!$A$6,MIN(Reference!$A$11,MIN(D39,240))),Reference!$A$6:$A$11,1))+1)-INDEX(Reference!$B$6:$B$11,MIN(5,MATCH(MAX(Reference!$A$6,MIN(Reference!$A$11,MIN(D39,240))),Reference!$A$6:$A$11,1))))/(INDEX(Reference!$A$6:$A$11,MIN(5,MATCH(MAX(Reference!$A$6,MIN(Reference!$A$11,MIN(D39,240))),Reference!$A$6:$A$11,1))+1)-INDEX(Reference!$A$6:$A$11,MIN(5,MATCH(MAX(Reference!$A$6,MIN(Reference!$A$11,MIN(D39,240))),Reference!$A$6:$A$11,1))))),0)+IF(7&lt;=AE39,(AE39-7+3)*(INDEX(Reference!$B$6:$B$11,MIN(5,MATCH(MAX(Reference!$A$6,MIN(Reference!$A$11,MIN(D39,270))),Reference!$A$6:$A$11,1)))+(MAX(Reference!$A$6,MIN(Reference!$A$11,MIN(D39,270)))-INDEX(Reference!$A$6:$A$11,MIN(5,MATCH(MAX(Reference!$A$6,MIN(Reference!$A$11,MIN(D39,270))),Reference!$A$6:$A$11,1))))*(INDEX(Reference!$B$6:$B$11,MIN(5,MATCH(MAX(Reference!$A$6,MIN(Reference!$A$11,MIN(D39,270))),Reference!$A$6:$A$11,1))+1)-INDEX(Reference!$B$6:$B$11,MIN(5,MATCH(MAX(Reference!$A$6,MIN(Reference!$A$11,MIN(D39,270))),Reference!$A$6:$A$11,1))))/(INDEX(Reference!$A$6:$A$11,MIN(5,MATCH(MAX(Reference!$A$6,MIN(Reference!$A$11,MIN(D39,270))),Reference!$A$6:$A$11,1))+1)-INDEX(Reference!$A$6:$A$11,MIN(5,MATCH(MAX(Reference!$A$6,MIN(Reference!$A$11,MIN(D39,270))),Reference!$A$6:$A$11,1))))),0)+IF(8&lt;=AE39,(AE39-8+3)*(INDEX(Reference!$B$6:$B$11,MIN(5,MATCH(MAX(Reference!$A$6,MIN(Reference!$A$11,MIN(D39,300))),Reference!$A$6:$A$11,1)))+(MAX(Reference!$A$6,MIN(Reference!$A$11,MIN(D39,300)))-INDEX(Reference!$A$6:$A$11,MIN(5,MATCH(MAX(Reference!$A$6,MIN(Reference!$A$11,MIN(D39,300))),Reference!$A$6:$A$11,1))))*(INDEX(Reference!$B$6:$B$11,MIN(5,MATCH(MAX(Reference!$A$6,MIN(Reference!$A$11,MIN(D39,300))),Reference!$A$6:$A$11,1))+1)-INDEX(Reference!$B$6:$B$11,MIN(5,MATCH(MAX(Reference!$A$6,MIN(Reference!$A$11,MIN(D39,300))),Reference!$A$6:$A$11,1))))/(INDEX(Reference!$A$6:$A$11,MIN(5,MATCH(MAX(Reference!$A$6,MIN(Reference!$A$11,MIN(D39,300))),Reference!$A$6:$A$11,1))+1)-INDEX(Reference!$A$6:$A$11,MIN(5,MATCH(MAX(Reference!$A$6,MIN(Reference!$A$11,MIN(D39,300))),Reference!$A$6:$A$11,1))))),0))/(AE39*(AE39+5)/2)),(INDEX(Reference!$B$6:$B$11,MIN(5,MATCH(MAX(Reference!$A$6,MIN(Reference!$A$11,D39)),Reference!$A$6:$A$11,1)))+(MAX(Reference!$A$6,MIN(Reference!$A$11,D39))-INDEX(Reference!$A$6:$A$11,MIN(5,MATCH(MAX(Reference!$A$6,MIN(Reference!$A$11,D39)),Reference!$A$6:$A$11,1))))*(INDEX(Reference!$B$6:$B$11,MIN(5,MATCH(MAX(Reference!$A$6,MIN(Reference!$A$11,D39)),Reference!$A$6:$A$11,1))+1)-INDEX(Reference!$B$6:$B$11,MIN(5,MATCH(MAX(Reference!$A$6,MIN(Reference!$A$11,D39)),Reference!$A$6:$A$11,1))))/(INDEX(Reference!$A$6:$A$11,MIN(5,MATCH(MAX(Reference!$A$6,MIN(Reference!$A$11,D39)),Reference!$A$6:$A$11,1))+1)-INDEX(Reference!$A$6:$A$11,MIN(5,MATCH(MAX(Reference!$A$6,MIN(Reference!$A$11,D39)),Reference!$A$6:$A$11,1))))))))</f>
        <v/>
      </c>
      <c r="P39" s="32" t="str">
        <f>IF(N39="","",VLOOKUP(MAX(N39,0),Reference!$A$17:$B$20,2,TRUE()))</f>
        <v/>
      </c>
      <c r="Q39" s="32" t="str">
        <f t="shared" si="3"/>
        <v/>
      </c>
      <c r="R39" s="31"/>
      <c r="S39" s="31"/>
      <c r="T39" s="31"/>
      <c r="U39" s="32" t="str">
        <f t="shared" si="4"/>
        <v/>
      </c>
      <c r="V39" s="32" t="str">
        <f t="shared" si="5"/>
        <v/>
      </c>
      <c r="W39" s="32" t="str">
        <f>IF(V39="","",VLOOKUP(MAX(V39,0),Reference!$A$17:$B$20,2,TRUE()))</f>
        <v/>
      </c>
      <c r="X39" s="31"/>
      <c r="Y39" s="31"/>
      <c r="Z39" s="31"/>
      <c r="AA39" s="32" t="str">
        <f t="shared" si="6"/>
        <v/>
      </c>
      <c r="AB39" s="32" t="str">
        <f t="shared" si="7"/>
        <v/>
      </c>
      <c r="AC39" s="32" t="str">
        <f>IF(AB39="","",VLOOKUP(MAX(AB39,0),Reference!$A$17:$B$20,2,TRUE()))</f>
        <v/>
      </c>
      <c r="AD39" s="31"/>
      <c r="AE39">
        <f t="shared" si="8"/>
        <v>1</v>
      </c>
      <c r="AF39" s="33" t="str">
        <f>IF(OR(A39="",B39="",AND(C39&lt;&gt;"Bullpen",C39&lt;&gt;"Game")),"",IF((COUNTIFS($B$5:$B$300,B39,$A$5:$A$300,A39-1,$C$5:$C$300,"Bullpen",$AG$5:$AG$300,"&gt;0") + COUNTIFS($B$5:$B$300,B39,$A$5:$A$300,A39-1,$C$5:$C$300,"Game",$AG$5:$AG$300,"&gt;0"))&gt;0,Reference!$B$119,IF((COUNTIFS($B$5:$B$300,B39,$A$5:$A$300,A39-2,$C$5:$C$300,"Bullpen",$AG$5:$AG$300,"&gt;0") + COUNTIFS($B$5:$B$300,B39,$A$5:$A$300,A39-2,$C$5:$C$300,"Game",$AG$5:$AG$300,"&gt;0"))&gt;0,Reference!$B$120,1)))</f>
        <v/>
      </c>
      <c r="AG39" s="30" t="str">
        <f>IF(AND(OR(I39="",O39="",P39=""),OR(R39="",W39=""),OR(X39="",AC39="")),"",IF(OR(I39="",O39="",P39=""),0,I39*O39*P39)+IF(OR(R39="",W39=""),0,R39*IFERROR(INDEX(Reference!$B$61:$B$62,MATCH("Bullpen",Reference!$A$61:$A$62,0)),0)*W39)+IF(OR(X39="",AC39=""),0,X39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39))</f>
        <v/>
      </c>
    </row>
    <row r="40" spans="1:33" x14ac:dyDescent="0.3">
      <c r="A40" s="35">
        <v>46300</v>
      </c>
      <c r="B40" s="31" t="s">
        <v>142</v>
      </c>
      <c r="C40" s="31"/>
      <c r="D40" s="31"/>
      <c r="E40" s="34"/>
      <c r="F40" s="34"/>
      <c r="G40" s="30" t="str">
        <f t="shared" si="0"/>
        <v/>
      </c>
      <c r="H40" s="31"/>
      <c r="I40" s="32" t="str">
        <f>IF(H40&lt;&gt;"",H40,IF(G40="","",ROUND(G40*IFERROR(INDEX(Reference!$B$44:$B$50,MATCH(C40,Reference!$A$44:$A$50,0)),0),0)))</f>
        <v/>
      </c>
      <c r="J40" s="31"/>
      <c r="K40" s="31"/>
      <c r="L40" s="32" t="str">
        <f t="shared" si="1"/>
        <v/>
      </c>
      <c r="M40" s="32">
        <f>IFERROR(INDEX(Roster!$D$5:$D$40,MATCH(B40,Roster!$A$5:$A$40,0)),"")</f>
        <v>87.9</v>
      </c>
      <c r="N40" s="32" t="str">
        <f t="shared" si="2"/>
        <v/>
      </c>
      <c r="O40" s="32" t="str">
        <f>IF(OR(C40="Bullpen",C40="Game"),IFERROR(INDEX(Reference!$B$61:$B$62,MATCH(C40,Reference!$A$61:$A$62,0)),""),IF(D40="","",IF(AE40&gt;1,((IF(1&lt;=AE40,(AE40-1+3)*(INDEX(Reference!$B$6:$B$11,MIN(5,MATCH(MAX(Reference!$A$6,MIN(Reference!$A$11,MIN(D40,90))),Reference!$A$6:$A$11,1)))+(MAX(Reference!$A$6,MIN(Reference!$A$11,MIN(D40,90)))-INDEX(Reference!$A$6:$A$11,MIN(5,MATCH(MAX(Reference!$A$6,MIN(Reference!$A$11,MIN(D40,90))),Reference!$A$6:$A$11,1))))*(INDEX(Reference!$B$6:$B$11,MIN(5,MATCH(MAX(Reference!$A$6,MIN(Reference!$A$11,MIN(D40,90))),Reference!$A$6:$A$11,1))+1)-INDEX(Reference!$B$6:$B$11,MIN(5,MATCH(MAX(Reference!$A$6,MIN(Reference!$A$11,MIN(D40,90))),Reference!$A$6:$A$11,1))))/(INDEX(Reference!$A$6:$A$11,MIN(5,MATCH(MAX(Reference!$A$6,MIN(Reference!$A$11,MIN(D40,90))),Reference!$A$6:$A$11,1))+1)-INDEX(Reference!$A$6:$A$11,MIN(5,MATCH(MAX(Reference!$A$6,MIN(Reference!$A$11,MIN(D40,90))),Reference!$A$6:$A$11,1))))),0)+IF(2&lt;=AE40,(AE40-2+3)*(INDEX(Reference!$B$6:$B$11,MIN(5,MATCH(MAX(Reference!$A$6,MIN(Reference!$A$11,MIN(D40,120))),Reference!$A$6:$A$11,1)))+(MAX(Reference!$A$6,MIN(Reference!$A$11,MIN(D40,120)))-INDEX(Reference!$A$6:$A$11,MIN(5,MATCH(MAX(Reference!$A$6,MIN(Reference!$A$11,MIN(D40,120))),Reference!$A$6:$A$11,1))))*(INDEX(Reference!$B$6:$B$11,MIN(5,MATCH(MAX(Reference!$A$6,MIN(Reference!$A$11,MIN(D40,120))),Reference!$A$6:$A$11,1))+1)-INDEX(Reference!$B$6:$B$11,MIN(5,MATCH(MAX(Reference!$A$6,MIN(Reference!$A$11,MIN(D40,120))),Reference!$A$6:$A$11,1))))/(INDEX(Reference!$A$6:$A$11,MIN(5,MATCH(MAX(Reference!$A$6,MIN(Reference!$A$11,MIN(D40,120))),Reference!$A$6:$A$11,1))+1)-INDEX(Reference!$A$6:$A$11,MIN(5,MATCH(MAX(Reference!$A$6,MIN(Reference!$A$11,MIN(D40,120))),Reference!$A$6:$A$11,1))))),0)+IF(3&lt;=AE40,(AE40-3+3)*(INDEX(Reference!$B$6:$B$11,MIN(5,MATCH(MAX(Reference!$A$6,MIN(Reference!$A$11,MIN(D40,150))),Reference!$A$6:$A$11,1)))+(MAX(Reference!$A$6,MIN(Reference!$A$11,MIN(D40,150)))-INDEX(Reference!$A$6:$A$11,MIN(5,MATCH(MAX(Reference!$A$6,MIN(Reference!$A$11,MIN(D40,150))),Reference!$A$6:$A$11,1))))*(INDEX(Reference!$B$6:$B$11,MIN(5,MATCH(MAX(Reference!$A$6,MIN(Reference!$A$11,MIN(D40,150))),Reference!$A$6:$A$11,1))+1)-INDEX(Reference!$B$6:$B$11,MIN(5,MATCH(MAX(Reference!$A$6,MIN(Reference!$A$11,MIN(D40,150))),Reference!$A$6:$A$11,1))))/(INDEX(Reference!$A$6:$A$11,MIN(5,MATCH(MAX(Reference!$A$6,MIN(Reference!$A$11,MIN(D40,150))),Reference!$A$6:$A$11,1))+1)-INDEX(Reference!$A$6:$A$11,MIN(5,MATCH(MAX(Reference!$A$6,MIN(Reference!$A$11,MIN(D40,150))),Reference!$A$6:$A$11,1))))),0)+IF(4&lt;=AE40,(AE40-4+3)*(INDEX(Reference!$B$6:$B$11,MIN(5,MATCH(MAX(Reference!$A$6,MIN(Reference!$A$11,MIN(D40,180))),Reference!$A$6:$A$11,1)))+(MAX(Reference!$A$6,MIN(Reference!$A$11,MIN(D40,180)))-INDEX(Reference!$A$6:$A$11,MIN(5,MATCH(MAX(Reference!$A$6,MIN(Reference!$A$11,MIN(D40,180))),Reference!$A$6:$A$11,1))))*(INDEX(Reference!$B$6:$B$11,MIN(5,MATCH(MAX(Reference!$A$6,MIN(Reference!$A$11,MIN(D40,180))),Reference!$A$6:$A$11,1))+1)-INDEX(Reference!$B$6:$B$11,MIN(5,MATCH(MAX(Reference!$A$6,MIN(Reference!$A$11,MIN(D40,180))),Reference!$A$6:$A$11,1))))/(INDEX(Reference!$A$6:$A$11,MIN(5,MATCH(MAX(Reference!$A$6,MIN(Reference!$A$11,MIN(D40,180))),Reference!$A$6:$A$11,1))+1)-INDEX(Reference!$A$6:$A$11,MIN(5,MATCH(MAX(Reference!$A$6,MIN(Reference!$A$11,MIN(D40,180))),Reference!$A$6:$A$11,1))))),0)+IF(5&lt;=AE40,(AE40-5+3)*(INDEX(Reference!$B$6:$B$11,MIN(5,MATCH(MAX(Reference!$A$6,MIN(Reference!$A$11,MIN(D40,210))),Reference!$A$6:$A$11,1)))+(MAX(Reference!$A$6,MIN(Reference!$A$11,MIN(D40,210)))-INDEX(Reference!$A$6:$A$11,MIN(5,MATCH(MAX(Reference!$A$6,MIN(Reference!$A$11,MIN(D40,210))),Reference!$A$6:$A$11,1))))*(INDEX(Reference!$B$6:$B$11,MIN(5,MATCH(MAX(Reference!$A$6,MIN(Reference!$A$11,MIN(D40,210))),Reference!$A$6:$A$11,1))+1)-INDEX(Reference!$B$6:$B$11,MIN(5,MATCH(MAX(Reference!$A$6,MIN(Reference!$A$11,MIN(D40,210))),Reference!$A$6:$A$11,1))))/(INDEX(Reference!$A$6:$A$11,MIN(5,MATCH(MAX(Reference!$A$6,MIN(Reference!$A$11,MIN(D40,210))),Reference!$A$6:$A$11,1))+1)-INDEX(Reference!$A$6:$A$11,MIN(5,MATCH(MAX(Reference!$A$6,MIN(Reference!$A$11,MIN(D40,210))),Reference!$A$6:$A$11,1))))),0)+IF(6&lt;=AE40,(AE40-6+3)*(INDEX(Reference!$B$6:$B$11,MIN(5,MATCH(MAX(Reference!$A$6,MIN(Reference!$A$11,MIN(D40,240))),Reference!$A$6:$A$11,1)))+(MAX(Reference!$A$6,MIN(Reference!$A$11,MIN(D40,240)))-INDEX(Reference!$A$6:$A$11,MIN(5,MATCH(MAX(Reference!$A$6,MIN(Reference!$A$11,MIN(D40,240))),Reference!$A$6:$A$11,1))))*(INDEX(Reference!$B$6:$B$11,MIN(5,MATCH(MAX(Reference!$A$6,MIN(Reference!$A$11,MIN(D40,240))),Reference!$A$6:$A$11,1))+1)-INDEX(Reference!$B$6:$B$11,MIN(5,MATCH(MAX(Reference!$A$6,MIN(Reference!$A$11,MIN(D40,240))),Reference!$A$6:$A$11,1))))/(INDEX(Reference!$A$6:$A$11,MIN(5,MATCH(MAX(Reference!$A$6,MIN(Reference!$A$11,MIN(D40,240))),Reference!$A$6:$A$11,1))+1)-INDEX(Reference!$A$6:$A$11,MIN(5,MATCH(MAX(Reference!$A$6,MIN(Reference!$A$11,MIN(D40,240))),Reference!$A$6:$A$11,1))))),0)+IF(7&lt;=AE40,(AE40-7+3)*(INDEX(Reference!$B$6:$B$11,MIN(5,MATCH(MAX(Reference!$A$6,MIN(Reference!$A$11,MIN(D40,270))),Reference!$A$6:$A$11,1)))+(MAX(Reference!$A$6,MIN(Reference!$A$11,MIN(D40,270)))-INDEX(Reference!$A$6:$A$11,MIN(5,MATCH(MAX(Reference!$A$6,MIN(Reference!$A$11,MIN(D40,270))),Reference!$A$6:$A$11,1))))*(INDEX(Reference!$B$6:$B$11,MIN(5,MATCH(MAX(Reference!$A$6,MIN(Reference!$A$11,MIN(D40,270))),Reference!$A$6:$A$11,1))+1)-INDEX(Reference!$B$6:$B$11,MIN(5,MATCH(MAX(Reference!$A$6,MIN(Reference!$A$11,MIN(D40,270))),Reference!$A$6:$A$11,1))))/(INDEX(Reference!$A$6:$A$11,MIN(5,MATCH(MAX(Reference!$A$6,MIN(Reference!$A$11,MIN(D40,270))),Reference!$A$6:$A$11,1))+1)-INDEX(Reference!$A$6:$A$11,MIN(5,MATCH(MAX(Reference!$A$6,MIN(Reference!$A$11,MIN(D40,270))),Reference!$A$6:$A$11,1))))),0)+IF(8&lt;=AE40,(AE40-8+3)*(INDEX(Reference!$B$6:$B$11,MIN(5,MATCH(MAX(Reference!$A$6,MIN(Reference!$A$11,MIN(D40,300))),Reference!$A$6:$A$11,1)))+(MAX(Reference!$A$6,MIN(Reference!$A$11,MIN(D40,300)))-INDEX(Reference!$A$6:$A$11,MIN(5,MATCH(MAX(Reference!$A$6,MIN(Reference!$A$11,MIN(D40,300))),Reference!$A$6:$A$11,1))))*(INDEX(Reference!$B$6:$B$11,MIN(5,MATCH(MAX(Reference!$A$6,MIN(Reference!$A$11,MIN(D40,300))),Reference!$A$6:$A$11,1))+1)-INDEX(Reference!$B$6:$B$11,MIN(5,MATCH(MAX(Reference!$A$6,MIN(Reference!$A$11,MIN(D40,300))),Reference!$A$6:$A$11,1))))/(INDEX(Reference!$A$6:$A$11,MIN(5,MATCH(MAX(Reference!$A$6,MIN(Reference!$A$11,MIN(D40,300))),Reference!$A$6:$A$11,1))+1)-INDEX(Reference!$A$6:$A$11,MIN(5,MATCH(MAX(Reference!$A$6,MIN(Reference!$A$11,MIN(D40,300))),Reference!$A$6:$A$11,1))))),0))/(AE40*(AE40+5)/2)),(INDEX(Reference!$B$6:$B$11,MIN(5,MATCH(MAX(Reference!$A$6,MIN(Reference!$A$11,D40)),Reference!$A$6:$A$11,1)))+(MAX(Reference!$A$6,MIN(Reference!$A$11,D40))-INDEX(Reference!$A$6:$A$11,MIN(5,MATCH(MAX(Reference!$A$6,MIN(Reference!$A$11,D40)),Reference!$A$6:$A$11,1))))*(INDEX(Reference!$B$6:$B$11,MIN(5,MATCH(MAX(Reference!$A$6,MIN(Reference!$A$11,D40)),Reference!$A$6:$A$11,1))+1)-INDEX(Reference!$B$6:$B$11,MIN(5,MATCH(MAX(Reference!$A$6,MIN(Reference!$A$11,D40)),Reference!$A$6:$A$11,1))))/(INDEX(Reference!$A$6:$A$11,MIN(5,MATCH(MAX(Reference!$A$6,MIN(Reference!$A$11,D40)),Reference!$A$6:$A$11,1))+1)-INDEX(Reference!$A$6:$A$11,MIN(5,MATCH(MAX(Reference!$A$6,MIN(Reference!$A$11,D40)),Reference!$A$6:$A$11,1))))))))</f>
        <v/>
      </c>
      <c r="P40" s="32" t="str">
        <f>IF(N40="","",VLOOKUP(MAX(N40,0),Reference!$A$17:$B$20,2,TRUE()))</f>
        <v/>
      </c>
      <c r="Q40" s="32" t="str">
        <f t="shared" si="3"/>
        <v/>
      </c>
      <c r="R40" s="31"/>
      <c r="S40" s="31"/>
      <c r="T40" s="31"/>
      <c r="U40" s="32" t="str">
        <f t="shared" si="4"/>
        <v/>
      </c>
      <c r="V40" s="32" t="str">
        <f t="shared" si="5"/>
        <v/>
      </c>
      <c r="W40" s="32" t="str">
        <f>IF(V40="","",VLOOKUP(MAX(V40,0),Reference!$A$17:$B$20,2,TRUE()))</f>
        <v/>
      </c>
      <c r="X40" s="31"/>
      <c r="Y40" s="31"/>
      <c r="Z40" s="31"/>
      <c r="AA40" s="32" t="str">
        <f t="shared" si="6"/>
        <v/>
      </c>
      <c r="AB40" s="32" t="str">
        <f t="shared" si="7"/>
        <v/>
      </c>
      <c r="AC40" s="32" t="str">
        <f>IF(AB40="","",VLOOKUP(MAX(AB40,0),Reference!$A$17:$B$20,2,TRUE()))</f>
        <v/>
      </c>
      <c r="AD40" s="31"/>
      <c r="AE40">
        <f t="shared" si="8"/>
        <v>1</v>
      </c>
      <c r="AF40" s="33" t="str">
        <f>IF(OR(A40="",B40="",AND(C40&lt;&gt;"Bullpen",C40&lt;&gt;"Game")),"",IF((COUNTIFS($B$5:$B$300,B40,$A$5:$A$300,A40-1,$C$5:$C$300,"Bullpen",$AG$5:$AG$300,"&gt;0") + COUNTIFS($B$5:$B$300,B40,$A$5:$A$300,A40-1,$C$5:$C$300,"Game",$AG$5:$AG$300,"&gt;0"))&gt;0,Reference!$B$119,IF((COUNTIFS($B$5:$B$300,B40,$A$5:$A$300,A40-2,$C$5:$C$300,"Bullpen",$AG$5:$AG$300,"&gt;0") + COUNTIFS($B$5:$B$300,B40,$A$5:$A$300,A40-2,$C$5:$C$300,"Game",$AG$5:$AG$300,"&gt;0"))&gt;0,Reference!$B$120,1)))</f>
        <v/>
      </c>
      <c r="AG40" s="30" t="str">
        <f>IF(AND(OR(I40="",O40="",P40=""),OR(R40="",W40=""),OR(X40="",AC40="")),"",IF(OR(I40="",O40="",P40=""),0,I40*O40*P40)+IF(OR(R40="",W40=""),0,R40*IFERROR(INDEX(Reference!$B$61:$B$62,MATCH("Bullpen",Reference!$A$61:$A$62,0)),0)*W40)+IF(OR(X40="",AC40=""),0,X40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40))</f>
        <v/>
      </c>
    </row>
    <row r="41" spans="1:33" x14ac:dyDescent="0.3">
      <c r="A41" s="35">
        <v>46301</v>
      </c>
      <c r="B41" s="31" t="s">
        <v>142</v>
      </c>
      <c r="C41" s="31"/>
      <c r="D41" s="31"/>
      <c r="E41" s="34"/>
      <c r="F41" s="34"/>
      <c r="G41" s="30" t="str">
        <f t="shared" si="0"/>
        <v/>
      </c>
      <c r="H41" s="31"/>
      <c r="I41" s="32" t="str">
        <f>IF(H41&lt;&gt;"",H41,IF(G41="","",ROUND(G41*IFERROR(INDEX(Reference!$B$44:$B$50,MATCH(C41,Reference!$A$44:$A$50,0)),0),0)))</f>
        <v/>
      </c>
      <c r="J41" s="31"/>
      <c r="K41" s="31"/>
      <c r="L41" s="32" t="str">
        <f t="shared" si="1"/>
        <v/>
      </c>
      <c r="M41" s="32">
        <f>IFERROR(INDEX(Roster!$D$5:$D$40,MATCH(B41,Roster!$A$5:$A$40,0)),"")</f>
        <v>87.9</v>
      </c>
      <c r="N41" s="32" t="str">
        <f t="shared" si="2"/>
        <v/>
      </c>
      <c r="O41" s="32" t="str">
        <f>IF(OR(C41="Bullpen",C41="Game"),IFERROR(INDEX(Reference!$B$61:$B$62,MATCH(C41,Reference!$A$61:$A$62,0)),""),IF(D41="","",IF(AE41&gt;1,((IF(1&lt;=AE41,(AE41-1+3)*(INDEX(Reference!$B$6:$B$11,MIN(5,MATCH(MAX(Reference!$A$6,MIN(Reference!$A$11,MIN(D41,90))),Reference!$A$6:$A$11,1)))+(MAX(Reference!$A$6,MIN(Reference!$A$11,MIN(D41,90)))-INDEX(Reference!$A$6:$A$11,MIN(5,MATCH(MAX(Reference!$A$6,MIN(Reference!$A$11,MIN(D41,90))),Reference!$A$6:$A$11,1))))*(INDEX(Reference!$B$6:$B$11,MIN(5,MATCH(MAX(Reference!$A$6,MIN(Reference!$A$11,MIN(D41,90))),Reference!$A$6:$A$11,1))+1)-INDEX(Reference!$B$6:$B$11,MIN(5,MATCH(MAX(Reference!$A$6,MIN(Reference!$A$11,MIN(D41,90))),Reference!$A$6:$A$11,1))))/(INDEX(Reference!$A$6:$A$11,MIN(5,MATCH(MAX(Reference!$A$6,MIN(Reference!$A$11,MIN(D41,90))),Reference!$A$6:$A$11,1))+1)-INDEX(Reference!$A$6:$A$11,MIN(5,MATCH(MAX(Reference!$A$6,MIN(Reference!$A$11,MIN(D41,90))),Reference!$A$6:$A$11,1))))),0)+IF(2&lt;=AE41,(AE41-2+3)*(INDEX(Reference!$B$6:$B$11,MIN(5,MATCH(MAX(Reference!$A$6,MIN(Reference!$A$11,MIN(D41,120))),Reference!$A$6:$A$11,1)))+(MAX(Reference!$A$6,MIN(Reference!$A$11,MIN(D41,120)))-INDEX(Reference!$A$6:$A$11,MIN(5,MATCH(MAX(Reference!$A$6,MIN(Reference!$A$11,MIN(D41,120))),Reference!$A$6:$A$11,1))))*(INDEX(Reference!$B$6:$B$11,MIN(5,MATCH(MAX(Reference!$A$6,MIN(Reference!$A$11,MIN(D41,120))),Reference!$A$6:$A$11,1))+1)-INDEX(Reference!$B$6:$B$11,MIN(5,MATCH(MAX(Reference!$A$6,MIN(Reference!$A$11,MIN(D41,120))),Reference!$A$6:$A$11,1))))/(INDEX(Reference!$A$6:$A$11,MIN(5,MATCH(MAX(Reference!$A$6,MIN(Reference!$A$11,MIN(D41,120))),Reference!$A$6:$A$11,1))+1)-INDEX(Reference!$A$6:$A$11,MIN(5,MATCH(MAX(Reference!$A$6,MIN(Reference!$A$11,MIN(D41,120))),Reference!$A$6:$A$11,1))))),0)+IF(3&lt;=AE41,(AE41-3+3)*(INDEX(Reference!$B$6:$B$11,MIN(5,MATCH(MAX(Reference!$A$6,MIN(Reference!$A$11,MIN(D41,150))),Reference!$A$6:$A$11,1)))+(MAX(Reference!$A$6,MIN(Reference!$A$11,MIN(D41,150)))-INDEX(Reference!$A$6:$A$11,MIN(5,MATCH(MAX(Reference!$A$6,MIN(Reference!$A$11,MIN(D41,150))),Reference!$A$6:$A$11,1))))*(INDEX(Reference!$B$6:$B$11,MIN(5,MATCH(MAX(Reference!$A$6,MIN(Reference!$A$11,MIN(D41,150))),Reference!$A$6:$A$11,1))+1)-INDEX(Reference!$B$6:$B$11,MIN(5,MATCH(MAX(Reference!$A$6,MIN(Reference!$A$11,MIN(D41,150))),Reference!$A$6:$A$11,1))))/(INDEX(Reference!$A$6:$A$11,MIN(5,MATCH(MAX(Reference!$A$6,MIN(Reference!$A$11,MIN(D41,150))),Reference!$A$6:$A$11,1))+1)-INDEX(Reference!$A$6:$A$11,MIN(5,MATCH(MAX(Reference!$A$6,MIN(Reference!$A$11,MIN(D41,150))),Reference!$A$6:$A$11,1))))),0)+IF(4&lt;=AE41,(AE41-4+3)*(INDEX(Reference!$B$6:$B$11,MIN(5,MATCH(MAX(Reference!$A$6,MIN(Reference!$A$11,MIN(D41,180))),Reference!$A$6:$A$11,1)))+(MAX(Reference!$A$6,MIN(Reference!$A$11,MIN(D41,180)))-INDEX(Reference!$A$6:$A$11,MIN(5,MATCH(MAX(Reference!$A$6,MIN(Reference!$A$11,MIN(D41,180))),Reference!$A$6:$A$11,1))))*(INDEX(Reference!$B$6:$B$11,MIN(5,MATCH(MAX(Reference!$A$6,MIN(Reference!$A$11,MIN(D41,180))),Reference!$A$6:$A$11,1))+1)-INDEX(Reference!$B$6:$B$11,MIN(5,MATCH(MAX(Reference!$A$6,MIN(Reference!$A$11,MIN(D41,180))),Reference!$A$6:$A$11,1))))/(INDEX(Reference!$A$6:$A$11,MIN(5,MATCH(MAX(Reference!$A$6,MIN(Reference!$A$11,MIN(D41,180))),Reference!$A$6:$A$11,1))+1)-INDEX(Reference!$A$6:$A$11,MIN(5,MATCH(MAX(Reference!$A$6,MIN(Reference!$A$11,MIN(D41,180))),Reference!$A$6:$A$11,1))))),0)+IF(5&lt;=AE41,(AE41-5+3)*(INDEX(Reference!$B$6:$B$11,MIN(5,MATCH(MAX(Reference!$A$6,MIN(Reference!$A$11,MIN(D41,210))),Reference!$A$6:$A$11,1)))+(MAX(Reference!$A$6,MIN(Reference!$A$11,MIN(D41,210)))-INDEX(Reference!$A$6:$A$11,MIN(5,MATCH(MAX(Reference!$A$6,MIN(Reference!$A$11,MIN(D41,210))),Reference!$A$6:$A$11,1))))*(INDEX(Reference!$B$6:$B$11,MIN(5,MATCH(MAX(Reference!$A$6,MIN(Reference!$A$11,MIN(D41,210))),Reference!$A$6:$A$11,1))+1)-INDEX(Reference!$B$6:$B$11,MIN(5,MATCH(MAX(Reference!$A$6,MIN(Reference!$A$11,MIN(D41,210))),Reference!$A$6:$A$11,1))))/(INDEX(Reference!$A$6:$A$11,MIN(5,MATCH(MAX(Reference!$A$6,MIN(Reference!$A$11,MIN(D41,210))),Reference!$A$6:$A$11,1))+1)-INDEX(Reference!$A$6:$A$11,MIN(5,MATCH(MAX(Reference!$A$6,MIN(Reference!$A$11,MIN(D41,210))),Reference!$A$6:$A$11,1))))),0)+IF(6&lt;=AE41,(AE41-6+3)*(INDEX(Reference!$B$6:$B$11,MIN(5,MATCH(MAX(Reference!$A$6,MIN(Reference!$A$11,MIN(D41,240))),Reference!$A$6:$A$11,1)))+(MAX(Reference!$A$6,MIN(Reference!$A$11,MIN(D41,240)))-INDEX(Reference!$A$6:$A$11,MIN(5,MATCH(MAX(Reference!$A$6,MIN(Reference!$A$11,MIN(D41,240))),Reference!$A$6:$A$11,1))))*(INDEX(Reference!$B$6:$B$11,MIN(5,MATCH(MAX(Reference!$A$6,MIN(Reference!$A$11,MIN(D41,240))),Reference!$A$6:$A$11,1))+1)-INDEX(Reference!$B$6:$B$11,MIN(5,MATCH(MAX(Reference!$A$6,MIN(Reference!$A$11,MIN(D41,240))),Reference!$A$6:$A$11,1))))/(INDEX(Reference!$A$6:$A$11,MIN(5,MATCH(MAX(Reference!$A$6,MIN(Reference!$A$11,MIN(D41,240))),Reference!$A$6:$A$11,1))+1)-INDEX(Reference!$A$6:$A$11,MIN(5,MATCH(MAX(Reference!$A$6,MIN(Reference!$A$11,MIN(D41,240))),Reference!$A$6:$A$11,1))))),0)+IF(7&lt;=AE41,(AE41-7+3)*(INDEX(Reference!$B$6:$B$11,MIN(5,MATCH(MAX(Reference!$A$6,MIN(Reference!$A$11,MIN(D41,270))),Reference!$A$6:$A$11,1)))+(MAX(Reference!$A$6,MIN(Reference!$A$11,MIN(D41,270)))-INDEX(Reference!$A$6:$A$11,MIN(5,MATCH(MAX(Reference!$A$6,MIN(Reference!$A$11,MIN(D41,270))),Reference!$A$6:$A$11,1))))*(INDEX(Reference!$B$6:$B$11,MIN(5,MATCH(MAX(Reference!$A$6,MIN(Reference!$A$11,MIN(D41,270))),Reference!$A$6:$A$11,1))+1)-INDEX(Reference!$B$6:$B$11,MIN(5,MATCH(MAX(Reference!$A$6,MIN(Reference!$A$11,MIN(D41,270))),Reference!$A$6:$A$11,1))))/(INDEX(Reference!$A$6:$A$11,MIN(5,MATCH(MAX(Reference!$A$6,MIN(Reference!$A$11,MIN(D41,270))),Reference!$A$6:$A$11,1))+1)-INDEX(Reference!$A$6:$A$11,MIN(5,MATCH(MAX(Reference!$A$6,MIN(Reference!$A$11,MIN(D41,270))),Reference!$A$6:$A$11,1))))),0)+IF(8&lt;=AE41,(AE41-8+3)*(INDEX(Reference!$B$6:$B$11,MIN(5,MATCH(MAX(Reference!$A$6,MIN(Reference!$A$11,MIN(D41,300))),Reference!$A$6:$A$11,1)))+(MAX(Reference!$A$6,MIN(Reference!$A$11,MIN(D41,300)))-INDEX(Reference!$A$6:$A$11,MIN(5,MATCH(MAX(Reference!$A$6,MIN(Reference!$A$11,MIN(D41,300))),Reference!$A$6:$A$11,1))))*(INDEX(Reference!$B$6:$B$11,MIN(5,MATCH(MAX(Reference!$A$6,MIN(Reference!$A$11,MIN(D41,300))),Reference!$A$6:$A$11,1))+1)-INDEX(Reference!$B$6:$B$11,MIN(5,MATCH(MAX(Reference!$A$6,MIN(Reference!$A$11,MIN(D41,300))),Reference!$A$6:$A$11,1))))/(INDEX(Reference!$A$6:$A$11,MIN(5,MATCH(MAX(Reference!$A$6,MIN(Reference!$A$11,MIN(D41,300))),Reference!$A$6:$A$11,1))+1)-INDEX(Reference!$A$6:$A$11,MIN(5,MATCH(MAX(Reference!$A$6,MIN(Reference!$A$11,MIN(D41,300))),Reference!$A$6:$A$11,1))))),0))/(AE41*(AE41+5)/2)),(INDEX(Reference!$B$6:$B$11,MIN(5,MATCH(MAX(Reference!$A$6,MIN(Reference!$A$11,D41)),Reference!$A$6:$A$11,1)))+(MAX(Reference!$A$6,MIN(Reference!$A$11,D41))-INDEX(Reference!$A$6:$A$11,MIN(5,MATCH(MAX(Reference!$A$6,MIN(Reference!$A$11,D41)),Reference!$A$6:$A$11,1))))*(INDEX(Reference!$B$6:$B$11,MIN(5,MATCH(MAX(Reference!$A$6,MIN(Reference!$A$11,D41)),Reference!$A$6:$A$11,1))+1)-INDEX(Reference!$B$6:$B$11,MIN(5,MATCH(MAX(Reference!$A$6,MIN(Reference!$A$11,D41)),Reference!$A$6:$A$11,1))))/(INDEX(Reference!$A$6:$A$11,MIN(5,MATCH(MAX(Reference!$A$6,MIN(Reference!$A$11,D41)),Reference!$A$6:$A$11,1))+1)-INDEX(Reference!$A$6:$A$11,MIN(5,MATCH(MAX(Reference!$A$6,MIN(Reference!$A$11,D41)),Reference!$A$6:$A$11,1))))))))</f>
        <v/>
      </c>
      <c r="P41" s="32" t="str">
        <f>IF(N41="","",VLOOKUP(MAX(N41,0),Reference!$A$17:$B$20,2,TRUE()))</f>
        <v/>
      </c>
      <c r="Q41" s="32" t="str">
        <f t="shared" si="3"/>
        <v/>
      </c>
      <c r="R41" s="31"/>
      <c r="S41" s="31"/>
      <c r="T41" s="31"/>
      <c r="U41" s="32" t="str">
        <f t="shared" si="4"/>
        <v/>
      </c>
      <c r="V41" s="32" t="str">
        <f t="shared" si="5"/>
        <v/>
      </c>
      <c r="W41" s="32" t="str">
        <f>IF(V41="","",VLOOKUP(MAX(V41,0),Reference!$A$17:$B$20,2,TRUE()))</f>
        <v/>
      </c>
      <c r="X41" s="31"/>
      <c r="Y41" s="31"/>
      <c r="Z41" s="31"/>
      <c r="AA41" s="32" t="str">
        <f t="shared" si="6"/>
        <v/>
      </c>
      <c r="AB41" s="32" t="str">
        <f t="shared" si="7"/>
        <v/>
      </c>
      <c r="AC41" s="32" t="str">
        <f>IF(AB41="","",VLOOKUP(MAX(AB41,0),Reference!$A$17:$B$20,2,TRUE()))</f>
        <v/>
      </c>
      <c r="AD41" s="31"/>
      <c r="AE41">
        <f t="shared" si="8"/>
        <v>1</v>
      </c>
      <c r="AF41" s="33" t="str">
        <f>IF(OR(A41="",B41="",AND(C41&lt;&gt;"Bullpen",C41&lt;&gt;"Game")),"",IF((COUNTIFS($B$5:$B$300,B41,$A$5:$A$300,A41-1,$C$5:$C$300,"Bullpen",$AG$5:$AG$300,"&gt;0") + COUNTIFS($B$5:$B$300,B41,$A$5:$A$300,A41-1,$C$5:$C$300,"Game",$AG$5:$AG$300,"&gt;0"))&gt;0,Reference!$B$119,IF((COUNTIFS($B$5:$B$300,B41,$A$5:$A$300,A41-2,$C$5:$C$300,"Bullpen",$AG$5:$AG$300,"&gt;0") + COUNTIFS($B$5:$B$300,B41,$A$5:$A$300,A41-2,$C$5:$C$300,"Game",$AG$5:$AG$300,"&gt;0"))&gt;0,Reference!$B$120,1)))</f>
        <v/>
      </c>
      <c r="AG41" s="30" t="str">
        <f>IF(AND(OR(I41="",O41="",P41=""),OR(R41="",W41=""),OR(X41="",AC41="")),"",IF(OR(I41="",O41="",P41=""),0,I41*O41*P41)+IF(OR(R41="",W41=""),0,R41*IFERROR(INDEX(Reference!$B$61:$B$62,MATCH("Bullpen",Reference!$A$61:$A$62,0)),0)*W41)+IF(OR(X41="",AC41=""),0,X41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41))</f>
        <v/>
      </c>
    </row>
    <row r="42" spans="1:33" x14ac:dyDescent="0.3">
      <c r="A42" s="35">
        <v>46302</v>
      </c>
      <c r="B42" s="31" t="s">
        <v>142</v>
      </c>
      <c r="C42" s="31"/>
      <c r="D42" s="31"/>
      <c r="E42" s="34"/>
      <c r="F42" s="34"/>
      <c r="G42" s="30" t="str">
        <f t="shared" si="0"/>
        <v/>
      </c>
      <c r="H42" s="31"/>
      <c r="I42" s="32" t="str">
        <f>IF(H42&lt;&gt;"",H42,IF(G42="","",ROUND(G42*IFERROR(INDEX(Reference!$B$44:$B$50,MATCH(C42,Reference!$A$44:$A$50,0)),0),0)))</f>
        <v/>
      </c>
      <c r="J42" s="31"/>
      <c r="K42" s="31"/>
      <c r="L42" s="32" t="str">
        <f t="shared" si="1"/>
        <v/>
      </c>
      <c r="M42" s="32">
        <f>IFERROR(INDEX(Roster!$D$5:$D$40,MATCH(B42,Roster!$A$5:$A$40,0)),"")</f>
        <v>87.9</v>
      </c>
      <c r="N42" s="32" t="str">
        <f t="shared" si="2"/>
        <v/>
      </c>
      <c r="O42" s="32" t="str">
        <f>IF(OR(C42="Bullpen",C42="Game"),IFERROR(INDEX(Reference!$B$61:$B$62,MATCH(C42,Reference!$A$61:$A$62,0)),""),IF(D42="","",IF(AE42&gt;1,((IF(1&lt;=AE42,(AE42-1+3)*(INDEX(Reference!$B$6:$B$11,MIN(5,MATCH(MAX(Reference!$A$6,MIN(Reference!$A$11,MIN(D42,90))),Reference!$A$6:$A$11,1)))+(MAX(Reference!$A$6,MIN(Reference!$A$11,MIN(D42,90)))-INDEX(Reference!$A$6:$A$11,MIN(5,MATCH(MAX(Reference!$A$6,MIN(Reference!$A$11,MIN(D42,90))),Reference!$A$6:$A$11,1))))*(INDEX(Reference!$B$6:$B$11,MIN(5,MATCH(MAX(Reference!$A$6,MIN(Reference!$A$11,MIN(D42,90))),Reference!$A$6:$A$11,1))+1)-INDEX(Reference!$B$6:$B$11,MIN(5,MATCH(MAX(Reference!$A$6,MIN(Reference!$A$11,MIN(D42,90))),Reference!$A$6:$A$11,1))))/(INDEX(Reference!$A$6:$A$11,MIN(5,MATCH(MAX(Reference!$A$6,MIN(Reference!$A$11,MIN(D42,90))),Reference!$A$6:$A$11,1))+1)-INDEX(Reference!$A$6:$A$11,MIN(5,MATCH(MAX(Reference!$A$6,MIN(Reference!$A$11,MIN(D42,90))),Reference!$A$6:$A$11,1))))),0)+IF(2&lt;=AE42,(AE42-2+3)*(INDEX(Reference!$B$6:$B$11,MIN(5,MATCH(MAX(Reference!$A$6,MIN(Reference!$A$11,MIN(D42,120))),Reference!$A$6:$A$11,1)))+(MAX(Reference!$A$6,MIN(Reference!$A$11,MIN(D42,120)))-INDEX(Reference!$A$6:$A$11,MIN(5,MATCH(MAX(Reference!$A$6,MIN(Reference!$A$11,MIN(D42,120))),Reference!$A$6:$A$11,1))))*(INDEX(Reference!$B$6:$B$11,MIN(5,MATCH(MAX(Reference!$A$6,MIN(Reference!$A$11,MIN(D42,120))),Reference!$A$6:$A$11,1))+1)-INDEX(Reference!$B$6:$B$11,MIN(5,MATCH(MAX(Reference!$A$6,MIN(Reference!$A$11,MIN(D42,120))),Reference!$A$6:$A$11,1))))/(INDEX(Reference!$A$6:$A$11,MIN(5,MATCH(MAX(Reference!$A$6,MIN(Reference!$A$11,MIN(D42,120))),Reference!$A$6:$A$11,1))+1)-INDEX(Reference!$A$6:$A$11,MIN(5,MATCH(MAX(Reference!$A$6,MIN(Reference!$A$11,MIN(D42,120))),Reference!$A$6:$A$11,1))))),0)+IF(3&lt;=AE42,(AE42-3+3)*(INDEX(Reference!$B$6:$B$11,MIN(5,MATCH(MAX(Reference!$A$6,MIN(Reference!$A$11,MIN(D42,150))),Reference!$A$6:$A$11,1)))+(MAX(Reference!$A$6,MIN(Reference!$A$11,MIN(D42,150)))-INDEX(Reference!$A$6:$A$11,MIN(5,MATCH(MAX(Reference!$A$6,MIN(Reference!$A$11,MIN(D42,150))),Reference!$A$6:$A$11,1))))*(INDEX(Reference!$B$6:$B$11,MIN(5,MATCH(MAX(Reference!$A$6,MIN(Reference!$A$11,MIN(D42,150))),Reference!$A$6:$A$11,1))+1)-INDEX(Reference!$B$6:$B$11,MIN(5,MATCH(MAX(Reference!$A$6,MIN(Reference!$A$11,MIN(D42,150))),Reference!$A$6:$A$11,1))))/(INDEX(Reference!$A$6:$A$11,MIN(5,MATCH(MAX(Reference!$A$6,MIN(Reference!$A$11,MIN(D42,150))),Reference!$A$6:$A$11,1))+1)-INDEX(Reference!$A$6:$A$11,MIN(5,MATCH(MAX(Reference!$A$6,MIN(Reference!$A$11,MIN(D42,150))),Reference!$A$6:$A$11,1))))),0)+IF(4&lt;=AE42,(AE42-4+3)*(INDEX(Reference!$B$6:$B$11,MIN(5,MATCH(MAX(Reference!$A$6,MIN(Reference!$A$11,MIN(D42,180))),Reference!$A$6:$A$11,1)))+(MAX(Reference!$A$6,MIN(Reference!$A$11,MIN(D42,180)))-INDEX(Reference!$A$6:$A$11,MIN(5,MATCH(MAX(Reference!$A$6,MIN(Reference!$A$11,MIN(D42,180))),Reference!$A$6:$A$11,1))))*(INDEX(Reference!$B$6:$B$11,MIN(5,MATCH(MAX(Reference!$A$6,MIN(Reference!$A$11,MIN(D42,180))),Reference!$A$6:$A$11,1))+1)-INDEX(Reference!$B$6:$B$11,MIN(5,MATCH(MAX(Reference!$A$6,MIN(Reference!$A$11,MIN(D42,180))),Reference!$A$6:$A$11,1))))/(INDEX(Reference!$A$6:$A$11,MIN(5,MATCH(MAX(Reference!$A$6,MIN(Reference!$A$11,MIN(D42,180))),Reference!$A$6:$A$11,1))+1)-INDEX(Reference!$A$6:$A$11,MIN(5,MATCH(MAX(Reference!$A$6,MIN(Reference!$A$11,MIN(D42,180))),Reference!$A$6:$A$11,1))))),0)+IF(5&lt;=AE42,(AE42-5+3)*(INDEX(Reference!$B$6:$B$11,MIN(5,MATCH(MAX(Reference!$A$6,MIN(Reference!$A$11,MIN(D42,210))),Reference!$A$6:$A$11,1)))+(MAX(Reference!$A$6,MIN(Reference!$A$11,MIN(D42,210)))-INDEX(Reference!$A$6:$A$11,MIN(5,MATCH(MAX(Reference!$A$6,MIN(Reference!$A$11,MIN(D42,210))),Reference!$A$6:$A$11,1))))*(INDEX(Reference!$B$6:$B$11,MIN(5,MATCH(MAX(Reference!$A$6,MIN(Reference!$A$11,MIN(D42,210))),Reference!$A$6:$A$11,1))+1)-INDEX(Reference!$B$6:$B$11,MIN(5,MATCH(MAX(Reference!$A$6,MIN(Reference!$A$11,MIN(D42,210))),Reference!$A$6:$A$11,1))))/(INDEX(Reference!$A$6:$A$11,MIN(5,MATCH(MAX(Reference!$A$6,MIN(Reference!$A$11,MIN(D42,210))),Reference!$A$6:$A$11,1))+1)-INDEX(Reference!$A$6:$A$11,MIN(5,MATCH(MAX(Reference!$A$6,MIN(Reference!$A$11,MIN(D42,210))),Reference!$A$6:$A$11,1))))),0)+IF(6&lt;=AE42,(AE42-6+3)*(INDEX(Reference!$B$6:$B$11,MIN(5,MATCH(MAX(Reference!$A$6,MIN(Reference!$A$11,MIN(D42,240))),Reference!$A$6:$A$11,1)))+(MAX(Reference!$A$6,MIN(Reference!$A$11,MIN(D42,240)))-INDEX(Reference!$A$6:$A$11,MIN(5,MATCH(MAX(Reference!$A$6,MIN(Reference!$A$11,MIN(D42,240))),Reference!$A$6:$A$11,1))))*(INDEX(Reference!$B$6:$B$11,MIN(5,MATCH(MAX(Reference!$A$6,MIN(Reference!$A$11,MIN(D42,240))),Reference!$A$6:$A$11,1))+1)-INDEX(Reference!$B$6:$B$11,MIN(5,MATCH(MAX(Reference!$A$6,MIN(Reference!$A$11,MIN(D42,240))),Reference!$A$6:$A$11,1))))/(INDEX(Reference!$A$6:$A$11,MIN(5,MATCH(MAX(Reference!$A$6,MIN(Reference!$A$11,MIN(D42,240))),Reference!$A$6:$A$11,1))+1)-INDEX(Reference!$A$6:$A$11,MIN(5,MATCH(MAX(Reference!$A$6,MIN(Reference!$A$11,MIN(D42,240))),Reference!$A$6:$A$11,1))))),0)+IF(7&lt;=AE42,(AE42-7+3)*(INDEX(Reference!$B$6:$B$11,MIN(5,MATCH(MAX(Reference!$A$6,MIN(Reference!$A$11,MIN(D42,270))),Reference!$A$6:$A$11,1)))+(MAX(Reference!$A$6,MIN(Reference!$A$11,MIN(D42,270)))-INDEX(Reference!$A$6:$A$11,MIN(5,MATCH(MAX(Reference!$A$6,MIN(Reference!$A$11,MIN(D42,270))),Reference!$A$6:$A$11,1))))*(INDEX(Reference!$B$6:$B$11,MIN(5,MATCH(MAX(Reference!$A$6,MIN(Reference!$A$11,MIN(D42,270))),Reference!$A$6:$A$11,1))+1)-INDEX(Reference!$B$6:$B$11,MIN(5,MATCH(MAX(Reference!$A$6,MIN(Reference!$A$11,MIN(D42,270))),Reference!$A$6:$A$11,1))))/(INDEX(Reference!$A$6:$A$11,MIN(5,MATCH(MAX(Reference!$A$6,MIN(Reference!$A$11,MIN(D42,270))),Reference!$A$6:$A$11,1))+1)-INDEX(Reference!$A$6:$A$11,MIN(5,MATCH(MAX(Reference!$A$6,MIN(Reference!$A$11,MIN(D42,270))),Reference!$A$6:$A$11,1))))),0)+IF(8&lt;=AE42,(AE42-8+3)*(INDEX(Reference!$B$6:$B$11,MIN(5,MATCH(MAX(Reference!$A$6,MIN(Reference!$A$11,MIN(D42,300))),Reference!$A$6:$A$11,1)))+(MAX(Reference!$A$6,MIN(Reference!$A$11,MIN(D42,300)))-INDEX(Reference!$A$6:$A$11,MIN(5,MATCH(MAX(Reference!$A$6,MIN(Reference!$A$11,MIN(D42,300))),Reference!$A$6:$A$11,1))))*(INDEX(Reference!$B$6:$B$11,MIN(5,MATCH(MAX(Reference!$A$6,MIN(Reference!$A$11,MIN(D42,300))),Reference!$A$6:$A$11,1))+1)-INDEX(Reference!$B$6:$B$11,MIN(5,MATCH(MAX(Reference!$A$6,MIN(Reference!$A$11,MIN(D42,300))),Reference!$A$6:$A$11,1))))/(INDEX(Reference!$A$6:$A$11,MIN(5,MATCH(MAX(Reference!$A$6,MIN(Reference!$A$11,MIN(D42,300))),Reference!$A$6:$A$11,1))+1)-INDEX(Reference!$A$6:$A$11,MIN(5,MATCH(MAX(Reference!$A$6,MIN(Reference!$A$11,MIN(D42,300))),Reference!$A$6:$A$11,1))))),0))/(AE42*(AE42+5)/2)),(INDEX(Reference!$B$6:$B$11,MIN(5,MATCH(MAX(Reference!$A$6,MIN(Reference!$A$11,D42)),Reference!$A$6:$A$11,1)))+(MAX(Reference!$A$6,MIN(Reference!$A$11,D42))-INDEX(Reference!$A$6:$A$11,MIN(5,MATCH(MAX(Reference!$A$6,MIN(Reference!$A$11,D42)),Reference!$A$6:$A$11,1))))*(INDEX(Reference!$B$6:$B$11,MIN(5,MATCH(MAX(Reference!$A$6,MIN(Reference!$A$11,D42)),Reference!$A$6:$A$11,1))+1)-INDEX(Reference!$B$6:$B$11,MIN(5,MATCH(MAX(Reference!$A$6,MIN(Reference!$A$11,D42)),Reference!$A$6:$A$11,1))))/(INDEX(Reference!$A$6:$A$11,MIN(5,MATCH(MAX(Reference!$A$6,MIN(Reference!$A$11,D42)),Reference!$A$6:$A$11,1))+1)-INDEX(Reference!$A$6:$A$11,MIN(5,MATCH(MAX(Reference!$A$6,MIN(Reference!$A$11,D42)),Reference!$A$6:$A$11,1))))))))</f>
        <v/>
      </c>
      <c r="P42" s="32" t="str">
        <f>IF(N42="","",VLOOKUP(MAX(N42,0),Reference!$A$17:$B$20,2,TRUE()))</f>
        <v/>
      </c>
      <c r="Q42" s="32" t="str">
        <f t="shared" si="3"/>
        <v/>
      </c>
      <c r="R42" s="31"/>
      <c r="S42" s="31"/>
      <c r="T42" s="31"/>
      <c r="U42" s="32" t="str">
        <f t="shared" si="4"/>
        <v/>
      </c>
      <c r="V42" s="32" t="str">
        <f t="shared" si="5"/>
        <v/>
      </c>
      <c r="W42" s="32" t="str">
        <f>IF(V42="","",VLOOKUP(MAX(V42,0),Reference!$A$17:$B$20,2,TRUE()))</f>
        <v/>
      </c>
      <c r="X42" s="31"/>
      <c r="Y42" s="31"/>
      <c r="Z42" s="31"/>
      <c r="AA42" s="32" t="str">
        <f t="shared" si="6"/>
        <v/>
      </c>
      <c r="AB42" s="32" t="str">
        <f t="shared" si="7"/>
        <v/>
      </c>
      <c r="AC42" s="32" t="str">
        <f>IF(AB42="","",VLOOKUP(MAX(AB42,0),Reference!$A$17:$B$20,2,TRUE()))</f>
        <v/>
      </c>
      <c r="AD42" s="31"/>
      <c r="AE42">
        <f t="shared" si="8"/>
        <v>1</v>
      </c>
      <c r="AF42" s="33" t="str">
        <f>IF(OR(A42="",B42="",AND(C42&lt;&gt;"Bullpen",C42&lt;&gt;"Game")),"",IF((COUNTIFS($B$5:$B$300,B42,$A$5:$A$300,A42-1,$C$5:$C$300,"Bullpen",$AG$5:$AG$300,"&gt;0") + COUNTIFS($B$5:$B$300,B42,$A$5:$A$300,A42-1,$C$5:$C$300,"Game",$AG$5:$AG$300,"&gt;0"))&gt;0,Reference!$B$119,IF((COUNTIFS($B$5:$B$300,B42,$A$5:$A$300,A42-2,$C$5:$C$300,"Bullpen",$AG$5:$AG$300,"&gt;0") + COUNTIFS($B$5:$B$300,B42,$A$5:$A$300,A42-2,$C$5:$C$300,"Game",$AG$5:$AG$300,"&gt;0"))&gt;0,Reference!$B$120,1)))</f>
        <v/>
      </c>
      <c r="AG42" s="30" t="str">
        <f>IF(AND(OR(I42="",O42="",P42=""),OR(R42="",W42=""),OR(X42="",AC42="")),"",IF(OR(I42="",O42="",P42=""),0,I42*O42*P42)+IF(OR(R42="",W42=""),0,R42*IFERROR(INDEX(Reference!$B$61:$B$62,MATCH("Bullpen",Reference!$A$61:$A$62,0)),0)*W42)+IF(OR(X42="",AC42=""),0,X42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42))</f>
        <v/>
      </c>
    </row>
    <row r="43" spans="1:33" x14ac:dyDescent="0.3">
      <c r="A43" s="35">
        <v>46303</v>
      </c>
      <c r="B43" s="31" t="s">
        <v>142</v>
      </c>
      <c r="C43" s="31"/>
      <c r="D43" s="31"/>
      <c r="E43" s="34"/>
      <c r="F43" s="34"/>
      <c r="G43" s="30" t="str">
        <f t="shared" si="0"/>
        <v/>
      </c>
      <c r="H43" s="31"/>
      <c r="I43" s="32" t="str">
        <f>IF(H43&lt;&gt;"",H43,IF(G43="","",ROUND(G43*IFERROR(INDEX(Reference!$B$44:$B$50,MATCH(C43,Reference!$A$44:$A$50,0)),0),0)))</f>
        <v/>
      </c>
      <c r="J43" s="31"/>
      <c r="K43" s="31"/>
      <c r="L43" s="32" t="str">
        <f t="shared" si="1"/>
        <v/>
      </c>
      <c r="M43" s="32">
        <f>IFERROR(INDEX(Roster!$D$5:$D$40,MATCH(B43,Roster!$A$5:$A$40,0)),"")</f>
        <v>87.9</v>
      </c>
      <c r="N43" s="32" t="str">
        <f t="shared" si="2"/>
        <v/>
      </c>
      <c r="O43" s="32" t="str">
        <f>IF(OR(C43="Bullpen",C43="Game"),IFERROR(INDEX(Reference!$B$61:$B$62,MATCH(C43,Reference!$A$61:$A$62,0)),""),IF(D43="","",IF(AE43&gt;1,((IF(1&lt;=AE43,(AE43-1+3)*(INDEX(Reference!$B$6:$B$11,MIN(5,MATCH(MAX(Reference!$A$6,MIN(Reference!$A$11,MIN(D43,90))),Reference!$A$6:$A$11,1)))+(MAX(Reference!$A$6,MIN(Reference!$A$11,MIN(D43,90)))-INDEX(Reference!$A$6:$A$11,MIN(5,MATCH(MAX(Reference!$A$6,MIN(Reference!$A$11,MIN(D43,90))),Reference!$A$6:$A$11,1))))*(INDEX(Reference!$B$6:$B$11,MIN(5,MATCH(MAX(Reference!$A$6,MIN(Reference!$A$11,MIN(D43,90))),Reference!$A$6:$A$11,1))+1)-INDEX(Reference!$B$6:$B$11,MIN(5,MATCH(MAX(Reference!$A$6,MIN(Reference!$A$11,MIN(D43,90))),Reference!$A$6:$A$11,1))))/(INDEX(Reference!$A$6:$A$11,MIN(5,MATCH(MAX(Reference!$A$6,MIN(Reference!$A$11,MIN(D43,90))),Reference!$A$6:$A$11,1))+1)-INDEX(Reference!$A$6:$A$11,MIN(5,MATCH(MAX(Reference!$A$6,MIN(Reference!$A$11,MIN(D43,90))),Reference!$A$6:$A$11,1))))),0)+IF(2&lt;=AE43,(AE43-2+3)*(INDEX(Reference!$B$6:$B$11,MIN(5,MATCH(MAX(Reference!$A$6,MIN(Reference!$A$11,MIN(D43,120))),Reference!$A$6:$A$11,1)))+(MAX(Reference!$A$6,MIN(Reference!$A$11,MIN(D43,120)))-INDEX(Reference!$A$6:$A$11,MIN(5,MATCH(MAX(Reference!$A$6,MIN(Reference!$A$11,MIN(D43,120))),Reference!$A$6:$A$11,1))))*(INDEX(Reference!$B$6:$B$11,MIN(5,MATCH(MAX(Reference!$A$6,MIN(Reference!$A$11,MIN(D43,120))),Reference!$A$6:$A$11,1))+1)-INDEX(Reference!$B$6:$B$11,MIN(5,MATCH(MAX(Reference!$A$6,MIN(Reference!$A$11,MIN(D43,120))),Reference!$A$6:$A$11,1))))/(INDEX(Reference!$A$6:$A$11,MIN(5,MATCH(MAX(Reference!$A$6,MIN(Reference!$A$11,MIN(D43,120))),Reference!$A$6:$A$11,1))+1)-INDEX(Reference!$A$6:$A$11,MIN(5,MATCH(MAX(Reference!$A$6,MIN(Reference!$A$11,MIN(D43,120))),Reference!$A$6:$A$11,1))))),0)+IF(3&lt;=AE43,(AE43-3+3)*(INDEX(Reference!$B$6:$B$11,MIN(5,MATCH(MAX(Reference!$A$6,MIN(Reference!$A$11,MIN(D43,150))),Reference!$A$6:$A$11,1)))+(MAX(Reference!$A$6,MIN(Reference!$A$11,MIN(D43,150)))-INDEX(Reference!$A$6:$A$11,MIN(5,MATCH(MAX(Reference!$A$6,MIN(Reference!$A$11,MIN(D43,150))),Reference!$A$6:$A$11,1))))*(INDEX(Reference!$B$6:$B$11,MIN(5,MATCH(MAX(Reference!$A$6,MIN(Reference!$A$11,MIN(D43,150))),Reference!$A$6:$A$11,1))+1)-INDEX(Reference!$B$6:$B$11,MIN(5,MATCH(MAX(Reference!$A$6,MIN(Reference!$A$11,MIN(D43,150))),Reference!$A$6:$A$11,1))))/(INDEX(Reference!$A$6:$A$11,MIN(5,MATCH(MAX(Reference!$A$6,MIN(Reference!$A$11,MIN(D43,150))),Reference!$A$6:$A$11,1))+1)-INDEX(Reference!$A$6:$A$11,MIN(5,MATCH(MAX(Reference!$A$6,MIN(Reference!$A$11,MIN(D43,150))),Reference!$A$6:$A$11,1))))),0)+IF(4&lt;=AE43,(AE43-4+3)*(INDEX(Reference!$B$6:$B$11,MIN(5,MATCH(MAX(Reference!$A$6,MIN(Reference!$A$11,MIN(D43,180))),Reference!$A$6:$A$11,1)))+(MAX(Reference!$A$6,MIN(Reference!$A$11,MIN(D43,180)))-INDEX(Reference!$A$6:$A$11,MIN(5,MATCH(MAX(Reference!$A$6,MIN(Reference!$A$11,MIN(D43,180))),Reference!$A$6:$A$11,1))))*(INDEX(Reference!$B$6:$B$11,MIN(5,MATCH(MAX(Reference!$A$6,MIN(Reference!$A$11,MIN(D43,180))),Reference!$A$6:$A$11,1))+1)-INDEX(Reference!$B$6:$B$11,MIN(5,MATCH(MAX(Reference!$A$6,MIN(Reference!$A$11,MIN(D43,180))),Reference!$A$6:$A$11,1))))/(INDEX(Reference!$A$6:$A$11,MIN(5,MATCH(MAX(Reference!$A$6,MIN(Reference!$A$11,MIN(D43,180))),Reference!$A$6:$A$11,1))+1)-INDEX(Reference!$A$6:$A$11,MIN(5,MATCH(MAX(Reference!$A$6,MIN(Reference!$A$11,MIN(D43,180))),Reference!$A$6:$A$11,1))))),0)+IF(5&lt;=AE43,(AE43-5+3)*(INDEX(Reference!$B$6:$B$11,MIN(5,MATCH(MAX(Reference!$A$6,MIN(Reference!$A$11,MIN(D43,210))),Reference!$A$6:$A$11,1)))+(MAX(Reference!$A$6,MIN(Reference!$A$11,MIN(D43,210)))-INDEX(Reference!$A$6:$A$11,MIN(5,MATCH(MAX(Reference!$A$6,MIN(Reference!$A$11,MIN(D43,210))),Reference!$A$6:$A$11,1))))*(INDEX(Reference!$B$6:$B$11,MIN(5,MATCH(MAX(Reference!$A$6,MIN(Reference!$A$11,MIN(D43,210))),Reference!$A$6:$A$11,1))+1)-INDEX(Reference!$B$6:$B$11,MIN(5,MATCH(MAX(Reference!$A$6,MIN(Reference!$A$11,MIN(D43,210))),Reference!$A$6:$A$11,1))))/(INDEX(Reference!$A$6:$A$11,MIN(5,MATCH(MAX(Reference!$A$6,MIN(Reference!$A$11,MIN(D43,210))),Reference!$A$6:$A$11,1))+1)-INDEX(Reference!$A$6:$A$11,MIN(5,MATCH(MAX(Reference!$A$6,MIN(Reference!$A$11,MIN(D43,210))),Reference!$A$6:$A$11,1))))),0)+IF(6&lt;=AE43,(AE43-6+3)*(INDEX(Reference!$B$6:$B$11,MIN(5,MATCH(MAX(Reference!$A$6,MIN(Reference!$A$11,MIN(D43,240))),Reference!$A$6:$A$11,1)))+(MAX(Reference!$A$6,MIN(Reference!$A$11,MIN(D43,240)))-INDEX(Reference!$A$6:$A$11,MIN(5,MATCH(MAX(Reference!$A$6,MIN(Reference!$A$11,MIN(D43,240))),Reference!$A$6:$A$11,1))))*(INDEX(Reference!$B$6:$B$11,MIN(5,MATCH(MAX(Reference!$A$6,MIN(Reference!$A$11,MIN(D43,240))),Reference!$A$6:$A$11,1))+1)-INDEX(Reference!$B$6:$B$11,MIN(5,MATCH(MAX(Reference!$A$6,MIN(Reference!$A$11,MIN(D43,240))),Reference!$A$6:$A$11,1))))/(INDEX(Reference!$A$6:$A$11,MIN(5,MATCH(MAX(Reference!$A$6,MIN(Reference!$A$11,MIN(D43,240))),Reference!$A$6:$A$11,1))+1)-INDEX(Reference!$A$6:$A$11,MIN(5,MATCH(MAX(Reference!$A$6,MIN(Reference!$A$11,MIN(D43,240))),Reference!$A$6:$A$11,1))))),0)+IF(7&lt;=AE43,(AE43-7+3)*(INDEX(Reference!$B$6:$B$11,MIN(5,MATCH(MAX(Reference!$A$6,MIN(Reference!$A$11,MIN(D43,270))),Reference!$A$6:$A$11,1)))+(MAX(Reference!$A$6,MIN(Reference!$A$11,MIN(D43,270)))-INDEX(Reference!$A$6:$A$11,MIN(5,MATCH(MAX(Reference!$A$6,MIN(Reference!$A$11,MIN(D43,270))),Reference!$A$6:$A$11,1))))*(INDEX(Reference!$B$6:$B$11,MIN(5,MATCH(MAX(Reference!$A$6,MIN(Reference!$A$11,MIN(D43,270))),Reference!$A$6:$A$11,1))+1)-INDEX(Reference!$B$6:$B$11,MIN(5,MATCH(MAX(Reference!$A$6,MIN(Reference!$A$11,MIN(D43,270))),Reference!$A$6:$A$11,1))))/(INDEX(Reference!$A$6:$A$11,MIN(5,MATCH(MAX(Reference!$A$6,MIN(Reference!$A$11,MIN(D43,270))),Reference!$A$6:$A$11,1))+1)-INDEX(Reference!$A$6:$A$11,MIN(5,MATCH(MAX(Reference!$A$6,MIN(Reference!$A$11,MIN(D43,270))),Reference!$A$6:$A$11,1))))),0)+IF(8&lt;=AE43,(AE43-8+3)*(INDEX(Reference!$B$6:$B$11,MIN(5,MATCH(MAX(Reference!$A$6,MIN(Reference!$A$11,MIN(D43,300))),Reference!$A$6:$A$11,1)))+(MAX(Reference!$A$6,MIN(Reference!$A$11,MIN(D43,300)))-INDEX(Reference!$A$6:$A$11,MIN(5,MATCH(MAX(Reference!$A$6,MIN(Reference!$A$11,MIN(D43,300))),Reference!$A$6:$A$11,1))))*(INDEX(Reference!$B$6:$B$11,MIN(5,MATCH(MAX(Reference!$A$6,MIN(Reference!$A$11,MIN(D43,300))),Reference!$A$6:$A$11,1))+1)-INDEX(Reference!$B$6:$B$11,MIN(5,MATCH(MAX(Reference!$A$6,MIN(Reference!$A$11,MIN(D43,300))),Reference!$A$6:$A$11,1))))/(INDEX(Reference!$A$6:$A$11,MIN(5,MATCH(MAX(Reference!$A$6,MIN(Reference!$A$11,MIN(D43,300))),Reference!$A$6:$A$11,1))+1)-INDEX(Reference!$A$6:$A$11,MIN(5,MATCH(MAX(Reference!$A$6,MIN(Reference!$A$11,MIN(D43,300))),Reference!$A$6:$A$11,1))))),0))/(AE43*(AE43+5)/2)),(INDEX(Reference!$B$6:$B$11,MIN(5,MATCH(MAX(Reference!$A$6,MIN(Reference!$A$11,D43)),Reference!$A$6:$A$11,1)))+(MAX(Reference!$A$6,MIN(Reference!$A$11,D43))-INDEX(Reference!$A$6:$A$11,MIN(5,MATCH(MAX(Reference!$A$6,MIN(Reference!$A$11,D43)),Reference!$A$6:$A$11,1))))*(INDEX(Reference!$B$6:$B$11,MIN(5,MATCH(MAX(Reference!$A$6,MIN(Reference!$A$11,D43)),Reference!$A$6:$A$11,1))+1)-INDEX(Reference!$B$6:$B$11,MIN(5,MATCH(MAX(Reference!$A$6,MIN(Reference!$A$11,D43)),Reference!$A$6:$A$11,1))))/(INDEX(Reference!$A$6:$A$11,MIN(5,MATCH(MAX(Reference!$A$6,MIN(Reference!$A$11,D43)),Reference!$A$6:$A$11,1))+1)-INDEX(Reference!$A$6:$A$11,MIN(5,MATCH(MAX(Reference!$A$6,MIN(Reference!$A$11,D43)),Reference!$A$6:$A$11,1))))))))</f>
        <v/>
      </c>
      <c r="P43" s="32" t="str">
        <f>IF(N43="","",VLOOKUP(MAX(N43,0),Reference!$A$17:$B$20,2,TRUE()))</f>
        <v/>
      </c>
      <c r="Q43" s="32" t="str">
        <f t="shared" si="3"/>
        <v/>
      </c>
      <c r="R43" s="31"/>
      <c r="S43" s="31"/>
      <c r="T43" s="31"/>
      <c r="U43" s="32" t="str">
        <f t="shared" si="4"/>
        <v/>
      </c>
      <c r="V43" s="32" t="str">
        <f t="shared" si="5"/>
        <v/>
      </c>
      <c r="W43" s="32" t="str">
        <f>IF(V43="","",VLOOKUP(MAX(V43,0),Reference!$A$17:$B$20,2,TRUE()))</f>
        <v/>
      </c>
      <c r="X43" s="31"/>
      <c r="Y43" s="31"/>
      <c r="Z43" s="31"/>
      <c r="AA43" s="32" t="str">
        <f t="shared" si="6"/>
        <v/>
      </c>
      <c r="AB43" s="32" t="str">
        <f t="shared" si="7"/>
        <v/>
      </c>
      <c r="AC43" s="32" t="str">
        <f>IF(AB43="","",VLOOKUP(MAX(AB43,0),Reference!$A$17:$B$20,2,TRUE()))</f>
        <v/>
      </c>
      <c r="AD43" s="31"/>
      <c r="AE43">
        <f t="shared" si="8"/>
        <v>1</v>
      </c>
      <c r="AF43" s="33" t="str">
        <f>IF(OR(A43="",B43="",AND(C43&lt;&gt;"Bullpen",C43&lt;&gt;"Game")),"",IF((COUNTIFS($B$5:$B$300,B43,$A$5:$A$300,A43-1,$C$5:$C$300,"Bullpen",$AG$5:$AG$300,"&gt;0") + COUNTIFS($B$5:$B$300,B43,$A$5:$A$300,A43-1,$C$5:$C$300,"Game",$AG$5:$AG$300,"&gt;0"))&gt;0,Reference!$B$119,IF((COUNTIFS($B$5:$B$300,B43,$A$5:$A$300,A43-2,$C$5:$C$300,"Bullpen",$AG$5:$AG$300,"&gt;0") + COUNTIFS($B$5:$B$300,B43,$A$5:$A$300,A43-2,$C$5:$C$300,"Game",$AG$5:$AG$300,"&gt;0"))&gt;0,Reference!$B$120,1)))</f>
        <v/>
      </c>
      <c r="AG43" s="30" t="str">
        <f>IF(AND(OR(I43="",O43="",P43=""),OR(R43="",W43=""),OR(X43="",AC43="")),"",IF(OR(I43="",O43="",P43=""),0,I43*O43*P43)+IF(OR(R43="",W43=""),0,R43*IFERROR(INDEX(Reference!$B$61:$B$62,MATCH("Bullpen",Reference!$A$61:$A$62,0)),0)*W43)+IF(OR(X43="",AC43=""),0,X43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43))</f>
        <v/>
      </c>
    </row>
    <row r="44" spans="1:33" x14ac:dyDescent="0.3">
      <c r="A44" s="35">
        <v>46304</v>
      </c>
      <c r="B44" s="31" t="s">
        <v>142</v>
      </c>
      <c r="C44" s="31"/>
      <c r="D44" s="31"/>
      <c r="E44" s="34"/>
      <c r="F44" s="34"/>
      <c r="G44" s="30" t="str">
        <f t="shared" si="0"/>
        <v/>
      </c>
      <c r="H44" s="31"/>
      <c r="I44" s="32" t="str">
        <f>IF(H44&lt;&gt;"",H44,IF(G44="","",ROUND(G44*IFERROR(INDEX(Reference!$B$44:$B$50,MATCH(C44,Reference!$A$44:$A$50,0)),0),0)))</f>
        <v/>
      </c>
      <c r="J44" s="31"/>
      <c r="K44" s="31"/>
      <c r="L44" s="32" t="str">
        <f t="shared" si="1"/>
        <v/>
      </c>
      <c r="M44" s="32">
        <f>IFERROR(INDEX(Roster!$D$5:$D$40,MATCH(B44,Roster!$A$5:$A$40,0)),"")</f>
        <v>87.9</v>
      </c>
      <c r="N44" s="32" t="str">
        <f t="shared" si="2"/>
        <v/>
      </c>
      <c r="O44" s="32" t="str">
        <f>IF(OR(C44="Bullpen",C44="Game"),IFERROR(INDEX(Reference!$B$61:$B$62,MATCH(C44,Reference!$A$61:$A$62,0)),""),IF(D44="","",IF(AE44&gt;1,((IF(1&lt;=AE44,(AE44-1+3)*(INDEX(Reference!$B$6:$B$11,MIN(5,MATCH(MAX(Reference!$A$6,MIN(Reference!$A$11,MIN(D44,90))),Reference!$A$6:$A$11,1)))+(MAX(Reference!$A$6,MIN(Reference!$A$11,MIN(D44,90)))-INDEX(Reference!$A$6:$A$11,MIN(5,MATCH(MAX(Reference!$A$6,MIN(Reference!$A$11,MIN(D44,90))),Reference!$A$6:$A$11,1))))*(INDEX(Reference!$B$6:$B$11,MIN(5,MATCH(MAX(Reference!$A$6,MIN(Reference!$A$11,MIN(D44,90))),Reference!$A$6:$A$11,1))+1)-INDEX(Reference!$B$6:$B$11,MIN(5,MATCH(MAX(Reference!$A$6,MIN(Reference!$A$11,MIN(D44,90))),Reference!$A$6:$A$11,1))))/(INDEX(Reference!$A$6:$A$11,MIN(5,MATCH(MAX(Reference!$A$6,MIN(Reference!$A$11,MIN(D44,90))),Reference!$A$6:$A$11,1))+1)-INDEX(Reference!$A$6:$A$11,MIN(5,MATCH(MAX(Reference!$A$6,MIN(Reference!$A$11,MIN(D44,90))),Reference!$A$6:$A$11,1))))),0)+IF(2&lt;=AE44,(AE44-2+3)*(INDEX(Reference!$B$6:$B$11,MIN(5,MATCH(MAX(Reference!$A$6,MIN(Reference!$A$11,MIN(D44,120))),Reference!$A$6:$A$11,1)))+(MAX(Reference!$A$6,MIN(Reference!$A$11,MIN(D44,120)))-INDEX(Reference!$A$6:$A$11,MIN(5,MATCH(MAX(Reference!$A$6,MIN(Reference!$A$11,MIN(D44,120))),Reference!$A$6:$A$11,1))))*(INDEX(Reference!$B$6:$B$11,MIN(5,MATCH(MAX(Reference!$A$6,MIN(Reference!$A$11,MIN(D44,120))),Reference!$A$6:$A$11,1))+1)-INDEX(Reference!$B$6:$B$11,MIN(5,MATCH(MAX(Reference!$A$6,MIN(Reference!$A$11,MIN(D44,120))),Reference!$A$6:$A$11,1))))/(INDEX(Reference!$A$6:$A$11,MIN(5,MATCH(MAX(Reference!$A$6,MIN(Reference!$A$11,MIN(D44,120))),Reference!$A$6:$A$11,1))+1)-INDEX(Reference!$A$6:$A$11,MIN(5,MATCH(MAX(Reference!$A$6,MIN(Reference!$A$11,MIN(D44,120))),Reference!$A$6:$A$11,1))))),0)+IF(3&lt;=AE44,(AE44-3+3)*(INDEX(Reference!$B$6:$B$11,MIN(5,MATCH(MAX(Reference!$A$6,MIN(Reference!$A$11,MIN(D44,150))),Reference!$A$6:$A$11,1)))+(MAX(Reference!$A$6,MIN(Reference!$A$11,MIN(D44,150)))-INDEX(Reference!$A$6:$A$11,MIN(5,MATCH(MAX(Reference!$A$6,MIN(Reference!$A$11,MIN(D44,150))),Reference!$A$6:$A$11,1))))*(INDEX(Reference!$B$6:$B$11,MIN(5,MATCH(MAX(Reference!$A$6,MIN(Reference!$A$11,MIN(D44,150))),Reference!$A$6:$A$11,1))+1)-INDEX(Reference!$B$6:$B$11,MIN(5,MATCH(MAX(Reference!$A$6,MIN(Reference!$A$11,MIN(D44,150))),Reference!$A$6:$A$11,1))))/(INDEX(Reference!$A$6:$A$11,MIN(5,MATCH(MAX(Reference!$A$6,MIN(Reference!$A$11,MIN(D44,150))),Reference!$A$6:$A$11,1))+1)-INDEX(Reference!$A$6:$A$11,MIN(5,MATCH(MAX(Reference!$A$6,MIN(Reference!$A$11,MIN(D44,150))),Reference!$A$6:$A$11,1))))),0)+IF(4&lt;=AE44,(AE44-4+3)*(INDEX(Reference!$B$6:$B$11,MIN(5,MATCH(MAX(Reference!$A$6,MIN(Reference!$A$11,MIN(D44,180))),Reference!$A$6:$A$11,1)))+(MAX(Reference!$A$6,MIN(Reference!$A$11,MIN(D44,180)))-INDEX(Reference!$A$6:$A$11,MIN(5,MATCH(MAX(Reference!$A$6,MIN(Reference!$A$11,MIN(D44,180))),Reference!$A$6:$A$11,1))))*(INDEX(Reference!$B$6:$B$11,MIN(5,MATCH(MAX(Reference!$A$6,MIN(Reference!$A$11,MIN(D44,180))),Reference!$A$6:$A$11,1))+1)-INDEX(Reference!$B$6:$B$11,MIN(5,MATCH(MAX(Reference!$A$6,MIN(Reference!$A$11,MIN(D44,180))),Reference!$A$6:$A$11,1))))/(INDEX(Reference!$A$6:$A$11,MIN(5,MATCH(MAX(Reference!$A$6,MIN(Reference!$A$11,MIN(D44,180))),Reference!$A$6:$A$11,1))+1)-INDEX(Reference!$A$6:$A$11,MIN(5,MATCH(MAX(Reference!$A$6,MIN(Reference!$A$11,MIN(D44,180))),Reference!$A$6:$A$11,1))))),0)+IF(5&lt;=AE44,(AE44-5+3)*(INDEX(Reference!$B$6:$B$11,MIN(5,MATCH(MAX(Reference!$A$6,MIN(Reference!$A$11,MIN(D44,210))),Reference!$A$6:$A$11,1)))+(MAX(Reference!$A$6,MIN(Reference!$A$11,MIN(D44,210)))-INDEX(Reference!$A$6:$A$11,MIN(5,MATCH(MAX(Reference!$A$6,MIN(Reference!$A$11,MIN(D44,210))),Reference!$A$6:$A$11,1))))*(INDEX(Reference!$B$6:$B$11,MIN(5,MATCH(MAX(Reference!$A$6,MIN(Reference!$A$11,MIN(D44,210))),Reference!$A$6:$A$11,1))+1)-INDEX(Reference!$B$6:$B$11,MIN(5,MATCH(MAX(Reference!$A$6,MIN(Reference!$A$11,MIN(D44,210))),Reference!$A$6:$A$11,1))))/(INDEX(Reference!$A$6:$A$11,MIN(5,MATCH(MAX(Reference!$A$6,MIN(Reference!$A$11,MIN(D44,210))),Reference!$A$6:$A$11,1))+1)-INDEX(Reference!$A$6:$A$11,MIN(5,MATCH(MAX(Reference!$A$6,MIN(Reference!$A$11,MIN(D44,210))),Reference!$A$6:$A$11,1))))),0)+IF(6&lt;=AE44,(AE44-6+3)*(INDEX(Reference!$B$6:$B$11,MIN(5,MATCH(MAX(Reference!$A$6,MIN(Reference!$A$11,MIN(D44,240))),Reference!$A$6:$A$11,1)))+(MAX(Reference!$A$6,MIN(Reference!$A$11,MIN(D44,240)))-INDEX(Reference!$A$6:$A$11,MIN(5,MATCH(MAX(Reference!$A$6,MIN(Reference!$A$11,MIN(D44,240))),Reference!$A$6:$A$11,1))))*(INDEX(Reference!$B$6:$B$11,MIN(5,MATCH(MAX(Reference!$A$6,MIN(Reference!$A$11,MIN(D44,240))),Reference!$A$6:$A$11,1))+1)-INDEX(Reference!$B$6:$B$11,MIN(5,MATCH(MAX(Reference!$A$6,MIN(Reference!$A$11,MIN(D44,240))),Reference!$A$6:$A$11,1))))/(INDEX(Reference!$A$6:$A$11,MIN(5,MATCH(MAX(Reference!$A$6,MIN(Reference!$A$11,MIN(D44,240))),Reference!$A$6:$A$11,1))+1)-INDEX(Reference!$A$6:$A$11,MIN(5,MATCH(MAX(Reference!$A$6,MIN(Reference!$A$11,MIN(D44,240))),Reference!$A$6:$A$11,1))))),0)+IF(7&lt;=AE44,(AE44-7+3)*(INDEX(Reference!$B$6:$B$11,MIN(5,MATCH(MAX(Reference!$A$6,MIN(Reference!$A$11,MIN(D44,270))),Reference!$A$6:$A$11,1)))+(MAX(Reference!$A$6,MIN(Reference!$A$11,MIN(D44,270)))-INDEX(Reference!$A$6:$A$11,MIN(5,MATCH(MAX(Reference!$A$6,MIN(Reference!$A$11,MIN(D44,270))),Reference!$A$6:$A$11,1))))*(INDEX(Reference!$B$6:$B$11,MIN(5,MATCH(MAX(Reference!$A$6,MIN(Reference!$A$11,MIN(D44,270))),Reference!$A$6:$A$11,1))+1)-INDEX(Reference!$B$6:$B$11,MIN(5,MATCH(MAX(Reference!$A$6,MIN(Reference!$A$11,MIN(D44,270))),Reference!$A$6:$A$11,1))))/(INDEX(Reference!$A$6:$A$11,MIN(5,MATCH(MAX(Reference!$A$6,MIN(Reference!$A$11,MIN(D44,270))),Reference!$A$6:$A$11,1))+1)-INDEX(Reference!$A$6:$A$11,MIN(5,MATCH(MAX(Reference!$A$6,MIN(Reference!$A$11,MIN(D44,270))),Reference!$A$6:$A$11,1))))),0)+IF(8&lt;=AE44,(AE44-8+3)*(INDEX(Reference!$B$6:$B$11,MIN(5,MATCH(MAX(Reference!$A$6,MIN(Reference!$A$11,MIN(D44,300))),Reference!$A$6:$A$11,1)))+(MAX(Reference!$A$6,MIN(Reference!$A$11,MIN(D44,300)))-INDEX(Reference!$A$6:$A$11,MIN(5,MATCH(MAX(Reference!$A$6,MIN(Reference!$A$11,MIN(D44,300))),Reference!$A$6:$A$11,1))))*(INDEX(Reference!$B$6:$B$11,MIN(5,MATCH(MAX(Reference!$A$6,MIN(Reference!$A$11,MIN(D44,300))),Reference!$A$6:$A$11,1))+1)-INDEX(Reference!$B$6:$B$11,MIN(5,MATCH(MAX(Reference!$A$6,MIN(Reference!$A$11,MIN(D44,300))),Reference!$A$6:$A$11,1))))/(INDEX(Reference!$A$6:$A$11,MIN(5,MATCH(MAX(Reference!$A$6,MIN(Reference!$A$11,MIN(D44,300))),Reference!$A$6:$A$11,1))+1)-INDEX(Reference!$A$6:$A$11,MIN(5,MATCH(MAX(Reference!$A$6,MIN(Reference!$A$11,MIN(D44,300))),Reference!$A$6:$A$11,1))))),0))/(AE44*(AE44+5)/2)),(INDEX(Reference!$B$6:$B$11,MIN(5,MATCH(MAX(Reference!$A$6,MIN(Reference!$A$11,D44)),Reference!$A$6:$A$11,1)))+(MAX(Reference!$A$6,MIN(Reference!$A$11,D44))-INDEX(Reference!$A$6:$A$11,MIN(5,MATCH(MAX(Reference!$A$6,MIN(Reference!$A$11,D44)),Reference!$A$6:$A$11,1))))*(INDEX(Reference!$B$6:$B$11,MIN(5,MATCH(MAX(Reference!$A$6,MIN(Reference!$A$11,D44)),Reference!$A$6:$A$11,1))+1)-INDEX(Reference!$B$6:$B$11,MIN(5,MATCH(MAX(Reference!$A$6,MIN(Reference!$A$11,D44)),Reference!$A$6:$A$11,1))))/(INDEX(Reference!$A$6:$A$11,MIN(5,MATCH(MAX(Reference!$A$6,MIN(Reference!$A$11,D44)),Reference!$A$6:$A$11,1))+1)-INDEX(Reference!$A$6:$A$11,MIN(5,MATCH(MAX(Reference!$A$6,MIN(Reference!$A$11,D44)),Reference!$A$6:$A$11,1))))))))</f>
        <v/>
      </c>
      <c r="P44" s="32" t="str">
        <f>IF(N44="","",VLOOKUP(MAX(N44,0),Reference!$A$17:$B$20,2,TRUE()))</f>
        <v/>
      </c>
      <c r="Q44" s="32" t="str">
        <f t="shared" si="3"/>
        <v/>
      </c>
      <c r="R44" s="31"/>
      <c r="S44" s="31"/>
      <c r="T44" s="31"/>
      <c r="U44" s="32" t="str">
        <f t="shared" si="4"/>
        <v/>
      </c>
      <c r="V44" s="32" t="str">
        <f t="shared" si="5"/>
        <v/>
      </c>
      <c r="W44" s="32" t="str">
        <f>IF(V44="","",VLOOKUP(MAX(V44,0),Reference!$A$17:$B$20,2,TRUE()))</f>
        <v/>
      </c>
      <c r="X44" s="31"/>
      <c r="Y44" s="31"/>
      <c r="Z44" s="31"/>
      <c r="AA44" s="32" t="str">
        <f t="shared" si="6"/>
        <v/>
      </c>
      <c r="AB44" s="32" t="str">
        <f t="shared" si="7"/>
        <v/>
      </c>
      <c r="AC44" s="32" t="str">
        <f>IF(AB44="","",VLOOKUP(MAX(AB44,0),Reference!$A$17:$B$20,2,TRUE()))</f>
        <v/>
      </c>
      <c r="AD44" s="31"/>
      <c r="AE44">
        <f t="shared" si="8"/>
        <v>1</v>
      </c>
      <c r="AF44" s="33" t="str">
        <f>IF(OR(A44="",B44="",AND(C44&lt;&gt;"Bullpen",C44&lt;&gt;"Game")),"",IF((COUNTIFS($B$5:$B$300,B44,$A$5:$A$300,A44-1,$C$5:$C$300,"Bullpen",$AG$5:$AG$300,"&gt;0") + COUNTIFS($B$5:$B$300,B44,$A$5:$A$300,A44-1,$C$5:$C$300,"Game",$AG$5:$AG$300,"&gt;0"))&gt;0,Reference!$B$119,IF((COUNTIFS($B$5:$B$300,B44,$A$5:$A$300,A44-2,$C$5:$C$300,"Bullpen",$AG$5:$AG$300,"&gt;0") + COUNTIFS($B$5:$B$300,B44,$A$5:$A$300,A44-2,$C$5:$C$300,"Game",$AG$5:$AG$300,"&gt;0"))&gt;0,Reference!$B$120,1)))</f>
        <v/>
      </c>
      <c r="AG44" s="30" t="str">
        <f>IF(AND(OR(I44="",O44="",P44=""),OR(R44="",W44=""),OR(X44="",AC44="")),"",IF(OR(I44="",O44="",P44=""),0,I44*O44*P44)+IF(OR(R44="",W44=""),0,R44*IFERROR(INDEX(Reference!$B$61:$B$62,MATCH("Bullpen",Reference!$A$61:$A$62,0)),0)*W44)+IF(OR(X44="",AC44=""),0,X44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44))</f>
        <v/>
      </c>
    </row>
    <row r="45" spans="1:33" x14ac:dyDescent="0.3">
      <c r="A45" s="35">
        <v>46305</v>
      </c>
      <c r="B45" s="31" t="s">
        <v>142</v>
      </c>
      <c r="C45" s="31"/>
      <c r="D45" s="31"/>
      <c r="E45" s="34"/>
      <c r="F45" s="34"/>
      <c r="G45" s="30" t="str">
        <f t="shared" si="0"/>
        <v/>
      </c>
      <c r="H45" s="31"/>
      <c r="I45" s="32" t="str">
        <f>IF(H45&lt;&gt;"",H45,IF(G45="","",ROUND(G45*IFERROR(INDEX(Reference!$B$44:$B$50,MATCH(C45,Reference!$A$44:$A$50,0)),0),0)))</f>
        <v/>
      </c>
      <c r="J45" s="31"/>
      <c r="K45" s="31"/>
      <c r="L45" s="32" t="str">
        <f t="shared" si="1"/>
        <v/>
      </c>
      <c r="M45" s="32">
        <f>IFERROR(INDEX(Roster!$D$5:$D$40,MATCH(B45,Roster!$A$5:$A$40,0)),"")</f>
        <v>87.9</v>
      </c>
      <c r="N45" s="32" t="str">
        <f t="shared" si="2"/>
        <v/>
      </c>
      <c r="O45" s="32" t="str">
        <f>IF(OR(C45="Bullpen",C45="Game"),IFERROR(INDEX(Reference!$B$61:$B$62,MATCH(C45,Reference!$A$61:$A$62,0)),""),IF(D45="","",IF(AE45&gt;1,((IF(1&lt;=AE45,(AE45-1+3)*(INDEX(Reference!$B$6:$B$11,MIN(5,MATCH(MAX(Reference!$A$6,MIN(Reference!$A$11,MIN(D45,90))),Reference!$A$6:$A$11,1)))+(MAX(Reference!$A$6,MIN(Reference!$A$11,MIN(D45,90)))-INDEX(Reference!$A$6:$A$11,MIN(5,MATCH(MAX(Reference!$A$6,MIN(Reference!$A$11,MIN(D45,90))),Reference!$A$6:$A$11,1))))*(INDEX(Reference!$B$6:$B$11,MIN(5,MATCH(MAX(Reference!$A$6,MIN(Reference!$A$11,MIN(D45,90))),Reference!$A$6:$A$11,1))+1)-INDEX(Reference!$B$6:$B$11,MIN(5,MATCH(MAX(Reference!$A$6,MIN(Reference!$A$11,MIN(D45,90))),Reference!$A$6:$A$11,1))))/(INDEX(Reference!$A$6:$A$11,MIN(5,MATCH(MAX(Reference!$A$6,MIN(Reference!$A$11,MIN(D45,90))),Reference!$A$6:$A$11,1))+1)-INDEX(Reference!$A$6:$A$11,MIN(5,MATCH(MAX(Reference!$A$6,MIN(Reference!$A$11,MIN(D45,90))),Reference!$A$6:$A$11,1))))),0)+IF(2&lt;=AE45,(AE45-2+3)*(INDEX(Reference!$B$6:$B$11,MIN(5,MATCH(MAX(Reference!$A$6,MIN(Reference!$A$11,MIN(D45,120))),Reference!$A$6:$A$11,1)))+(MAX(Reference!$A$6,MIN(Reference!$A$11,MIN(D45,120)))-INDEX(Reference!$A$6:$A$11,MIN(5,MATCH(MAX(Reference!$A$6,MIN(Reference!$A$11,MIN(D45,120))),Reference!$A$6:$A$11,1))))*(INDEX(Reference!$B$6:$B$11,MIN(5,MATCH(MAX(Reference!$A$6,MIN(Reference!$A$11,MIN(D45,120))),Reference!$A$6:$A$11,1))+1)-INDEX(Reference!$B$6:$B$11,MIN(5,MATCH(MAX(Reference!$A$6,MIN(Reference!$A$11,MIN(D45,120))),Reference!$A$6:$A$11,1))))/(INDEX(Reference!$A$6:$A$11,MIN(5,MATCH(MAX(Reference!$A$6,MIN(Reference!$A$11,MIN(D45,120))),Reference!$A$6:$A$11,1))+1)-INDEX(Reference!$A$6:$A$11,MIN(5,MATCH(MAX(Reference!$A$6,MIN(Reference!$A$11,MIN(D45,120))),Reference!$A$6:$A$11,1))))),0)+IF(3&lt;=AE45,(AE45-3+3)*(INDEX(Reference!$B$6:$B$11,MIN(5,MATCH(MAX(Reference!$A$6,MIN(Reference!$A$11,MIN(D45,150))),Reference!$A$6:$A$11,1)))+(MAX(Reference!$A$6,MIN(Reference!$A$11,MIN(D45,150)))-INDEX(Reference!$A$6:$A$11,MIN(5,MATCH(MAX(Reference!$A$6,MIN(Reference!$A$11,MIN(D45,150))),Reference!$A$6:$A$11,1))))*(INDEX(Reference!$B$6:$B$11,MIN(5,MATCH(MAX(Reference!$A$6,MIN(Reference!$A$11,MIN(D45,150))),Reference!$A$6:$A$11,1))+1)-INDEX(Reference!$B$6:$B$11,MIN(5,MATCH(MAX(Reference!$A$6,MIN(Reference!$A$11,MIN(D45,150))),Reference!$A$6:$A$11,1))))/(INDEX(Reference!$A$6:$A$11,MIN(5,MATCH(MAX(Reference!$A$6,MIN(Reference!$A$11,MIN(D45,150))),Reference!$A$6:$A$11,1))+1)-INDEX(Reference!$A$6:$A$11,MIN(5,MATCH(MAX(Reference!$A$6,MIN(Reference!$A$11,MIN(D45,150))),Reference!$A$6:$A$11,1))))),0)+IF(4&lt;=AE45,(AE45-4+3)*(INDEX(Reference!$B$6:$B$11,MIN(5,MATCH(MAX(Reference!$A$6,MIN(Reference!$A$11,MIN(D45,180))),Reference!$A$6:$A$11,1)))+(MAX(Reference!$A$6,MIN(Reference!$A$11,MIN(D45,180)))-INDEX(Reference!$A$6:$A$11,MIN(5,MATCH(MAX(Reference!$A$6,MIN(Reference!$A$11,MIN(D45,180))),Reference!$A$6:$A$11,1))))*(INDEX(Reference!$B$6:$B$11,MIN(5,MATCH(MAX(Reference!$A$6,MIN(Reference!$A$11,MIN(D45,180))),Reference!$A$6:$A$11,1))+1)-INDEX(Reference!$B$6:$B$11,MIN(5,MATCH(MAX(Reference!$A$6,MIN(Reference!$A$11,MIN(D45,180))),Reference!$A$6:$A$11,1))))/(INDEX(Reference!$A$6:$A$11,MIN(5,MATCH(MAX(Reference!$A$6,MIN(Reference!$A$11,MIN(D45,180))),Reference!$A$6:$A$11,1))+1)-INDEX(Reference!$A$6:$A$11,MIN(5,MATCH(MAX(Reference!$A$6,MIN(Reference!$A$11,MIN(D45,180))),Reference!$A$6:$A$11,1))))),0)+IF(5&lt;=AE45,(AE45-5+3)*(INDEX(Reference!$B$6:$B$11,MIN(5,MATCH(MAX(Reference!$A$6,MIN(Reference!$A$11,MIN(D45,210))),Reference!$A$6:$A$11,1)))+(MAX(Reference!$A$6,MIN(Reference!$A$11,MIN(D45,210)))-INDEX(Reference!$A$6:$A$11,MIN(5,MATCH(MAX(Reference!$A$6,MIN(Reference!$A$11,MIN(D45,210))),Reference!$A$6:$A$11,1))))*(INDEX(Reference!$B$6:$B$11,MIN(5,MATCH(MAX(Reference!$A$6,MIN(Reference!$A$11,MIN(D45,210))),Reference!$A$6:$A$11,1))+1)-INDEX(Reference!$B$6:$B$11,MIN(5,MATCH(MAX(Reference!$A$6,MIN(Reference!$A$11,MIN(D45,210))),Reference!$A$6:$A$11,1))))/(INDEX(Reference!$A$6:$A$11,MIN(5,MATCH(MAX(Reference!$A$6,MIN(Reference!$A$11,MIN(D45,210))),Reference!$A$6:$A$11,1))+1)-INDEX(Reference!$A$6:$A$11,MIN(5,MATCH(MAX(Reference!$A$6,MIN(Reference!$A$11,MIN(D45,210))),Reference!$A$6:$A$11,1))))),0)+IF(6&lt;=AE45,(AE45-6+3)*(INDEX(Reference!$B$6:$B$11,MIN(5,MATCH(MAX(Reference!$A$6,MIN(Reference!$A$11,MIN(D45,240))),Reference!$A$6:$A$11,1)))+(MAX(Reference!$A$6,MIN(Reference!$A$11,MIN(D45,240)))-INDEX(Reference!$A$6:$A$11,MIN(5,MATCH(MAX(Reference!$A$6,MIN(Reference!$A$11,MIN(D45,240))),Reference!$A$6:$A$11,1))))*(INDEX(Reference!$B$6:$B$11,MIN(5,MATCH(MAX(Reference!$A$6,MIN(Reference!$A$11,MIN(D45,240))),Reference!$A$6:$A$11,1))+1)-INDEX(Reference!$B$6:$B$11,MIN(5,MATCH(MAX(Reference!$A$6,MIN(Reference!$A$11,MIN(D45,240))),Reference!$A$6:$A$11,1))))/(INDEX(Reference!$A$6:$A$11,MIN(5,MATCH(MAX(Reference!$A$6,MIN(Reference!$A$11,MIN(D45,240))),Reference!$A$6:$A$11,1))+1)-INDEX(Reference!$A$6:$A$11,MIN(5,MATCH(MAX(Reference!$A$6,MIN(Reference!$A$11,MIN(D45,240))),Reference!$A$6:$A$11,1))))),0)+IF(7&lt;=AE45,(AE45-7+3)*(INDEX(Reference!$B$6:$B$11,MIN(5,MATCH(MAX(Reference!$A$6,MIN(Reference!$A$11,MIN(D45,270))),Reference!$A$6:$A$11,1)))+(MAX(Reference!$A$6,MIN(Reference!$A$11,MIN(D45,270)))-INDEX(Reference!$A$6:$A$11,MIN(5,MATCH(MAX(Reference!$A$6,MIN(Reference!$A$11,MIN(D45,270))),Reference!$A$6:$A$11,1))))*(INDEX(Reference!$B$6:$B$11,MIN(5,MATCH(MAX(Reference!$A$6,MIN(Reference!$A$11,MIN(D45,270))),Reference!$A$6:$A$11,1))+1)-INDEX(Reference!$B$6:$B$11,MIN(5,MATCH(MAX(Reference!$A$6,MIN(Reference!$A$11,MIN(D45,270))),Reference!$A$6:$A$11,1))))/(INDEX(Reference!$A$6:$A$11,MIN(5,MATCH(MAX(Reference!$A$6,MIN(Reference!$A$11,MIN(D45,270))),Reference!$A$6:$A$11,1))+1)-INDEX(Reference!$A$6:$A$11,MIN(5,MATCH(MAX(Reference!$A$6,MIN(Reference!$A$11,MIN(D45,270))),Reference!$A$6:$A$11,1))))),0)+IF(8&lt;=AE45,(AE45-8+3)*(INDEX(Reference!$B$6:$B$11,MIN(5,MATCH(MAX(Reference!$A$6,MIN(Reference!$A$11,MIN(D45,300))),Reference!$A$6:$A$11,1)))+(MAX(Reference!$A$6,MIN(Reference!$A$11,MIN(D45,300)))-INDEX(Reference!$A$6:$A$11,MIN(5,MATCH(MAX(Reference!$A$6,MIN(Reference!$A$11,MIN(D45,300))),Reference!$A$6:$A$11,1))))*(INDEX(Reference!$B$6:$B$11,MIN(5,MATCH(MAX(Reference!$A$6,MIN(Reference!$A$11,MIN(D45,300))),Reference!$A$6:$A$11,1))+1)-INDEX(Reference!$B$6:$B$11,MIN(5,MATCH(MAX(Reference!$A$6,MIN(Reference!$A$11,MIN(D45,300))),Reference!$A$6:$A$11,1))))/(INDEX(Reference!$A$6:$A$11,MIN(5,MATCH(MAX(Reference!$A$6,MIN(Reference!$A$11,MIN(D45,300))),Reference!$A$6:$A$11,1))+1)-INDEX(Reference!$A$6:$A$11,MIN(5,MATCH(MAX(Reference!$A$6,MIN(Reference!$A$11,MIN(D45,300))),Reference!$A$6:$A$11,1))))),0))/(AE45*(AE45+5)/2)),(INDEX(Reference!$B$6:$B$11,MIN(5,MATCH(MAX(Reference!$A$6,MIN(Reference!$A$11,D45)),Reference!$A$6:$A$11,1)))+(MAX(Reference!$A$6,MIN(Reference!$A$11,D45))-INDEX(Reference!$A$6:$A$11,MIN(5,MATCH(MAX(Reference!$A$6,MIN(Reference!$A$11,D45)),Reference!$A$6:$A$11,1))))*(INDEX(Reference!$B$6:$B$11,MIN(5,MATCH(MAX(Reference!$A$6,MIN(Reference!$A$11,D45)),Reference!$A$6:$A$11,1))+1)-INDEX(Reference!$B$6:$B$11,MIN(5,MATCH(MAX(Reference!$A$6,MIN(Reference!$A$11,D45)),Reference!$A$6:$A$11,1))))/(INDEX(Reference!$A$6:$A$11,MIN(5,MATCH(MAX(Reference!$A$6,MIN(Reference!$A$11,D45)),Reference!$A$6:$A$11,1))+1)-INDEX(Reference!$A$6:$A$11,MIN(5,MATCH(MAX(Reference!$A$6,MIN(Reference!$A$11,D45)),Reference!$A$6:$A$11,1))))))))</f>
        <v/>
      </c>
      <c r="P45" s="32" t="str">
        <f>IF(N45="","",VLOOKUP(MAX(N45,0),Reference!$A$17:$B$20,2,TRUE()))</f>
        <v/>
      </c>
      <c r="Q45" s="32" t="str">
        <f t="shared" si="3"/>
        <v/>
      </c>
      <c r="R45" s="31"/>
      <c r="S45" s="31"/>
      <c r="T45" s="31"/>
      <c r="U45" s="32" t="str">
        <f t="shared" si="4"/>
        <v/>
      </c>
      <c r="V45" s="32" t="str">
        <f t="shared" si="5"/>
        <v/>
      </c>
      <c r="W45" s="32" t="str">
        <f>IF(V45="","",VLOOKUP(MAX(V45,0),Reference!$A$17:$B$20,2,TRUE()))</f>
        <v/>
      </c>
      <c r="X45" s="31"/>
      <c r="Y45" s="31"/>
      <c r="Z45" s="31"/>
      <c r="AA45" s="32" t="str">
        <f t="shared" si="6"/>
        <v/>
      </c>
      <c r="AB45" s="32" t="str">
        <f t="shared" si="7"/>
        <v/>
      </c>
      <c r="AC45" s="32" t="str">
        <f>IF(AB45="","",VLOOKUP(MAX(AB45,0),Reference!$A$17:$B$20,2,TRUE()))</f>
        <v/>
      </c>
      <c r="AD45" s="31"/>
      <c r="AE45">
        <f t="shared" si="8"/>
        <v>1</v>
      </c>
      <c r="AF45" s="33" t="str">
        <f>IF(OR(A45="",B45="",AND(C45&lt;&gt;"Bullpen",C45&lt;&gt;"Game")),"",IF((COUNTIFS($B$5:$B$300,B45,$A$5:$A$300,A45-1,$C$5:$C$300,"Bullpen",$AG$5:$AG$300,"&gt;0") + COUNTIFS($B$5:$B$300,B45,$A$5:$A$300,A45-1,$C$5:$C$300,"Game",$AG$5:$AG$300,"&gt;0"))&gt;0,Reference!$B$119,IF((COUNTIFS($B$5:$B$300,B45,$A$5:$A$300,A45-2,$C$5:$C$300,"Bullpen",$AG$5:$AG$300,"&gt;0") + COUNTIFS($B$5:$B$300,B45,$A$5:$A$300,A45-2,$C$5:$C$300,"Game",$AG$5:$AG$300,"&gt;0"))&gt;0,Reference!$B$120,1)))</f>
        <v/>
      </c>
      <c r="AG45" s="30" t="str">
        <f>IF(AND(OR(I45="",O45="",P45=""),OR(R45="",W45=""),OR(X45="",AC45="")),"",IF(OR(I45="",O45="",P45=""),0,I45*O45*P45)+IF(OR(R45="",W45=""),0,R45*IFERROR(INDEX(Reference!$B$61:$B$62,MATCH("Bullpen",Reference!$A$61:$A$62,0)),0)*W45)+IF(OR(X45="",AC45=""),0,X45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45))</f>
        <v/>
      </c>
    </row>
    <row r="46" spans="1:33" x14ac:dyDescent="0.3">
      <c r="A46" s="35">
        <v>46306</v>
      </c>
      <c r="B46" s="31" t="s">
        <v>142</v>
      </c>
      <c r="C46" s="31"/>
      <c r="D46" s="31"/>
      <c r="E46" s="34"/>
      <c r="F46" s="34"/>
      <c r="G46" s="30" t="str">
        <f t="shared" si="0"/>
        <v/>
      </c>
      <c r="H46" s="31"/>
      <c r="I46" s="32" t="str">
        <f>IF(H46&lt;&gt;"",H46,IF(G46="","",ROUND(G46*IFERROR(INDEX(Reference!$B$44:$B$50,MATCH(C46,Reference!$A$44:$A$50,0)),0),0)))</f>
        <v/>
      </c>
      <c r="J46" s="31"/>
      <c r="K46" s="31"/>
      <c r="L46" s="32" t="str">
        <f t="shared" si="1"/>
        <v/>
      </c>
      <c r="M46" s="32">
        <f>IFERROR(INDEX(Roster!$D$5:$D$40,MATCH(B46,Roster!$A$5:$A$40,0)),"")</f>
        <v>87.9</v>
      </c>
      <c r="N46" s="32" t="str">
        <f t="shared" si="2"/>
        <v/>
      </c>
      <c r="O46" s="32" t="str">
        <f>IF(OR(C46="Bullpen",C46="Game"),IFERROR(INDEX(Reference!$B$61:$B$62,MATCH(C46,Reference!$A$61:$A$62,0)),""),IF(D46="","",IF(AE46&gt;1,((IF(1&lt;=AE46,(AE46-1+3)*(INDEX(Reference!$B$6:$B$11,MIN(5,MATCH(MAX(Reference!$A$6,MIN(Reference!$A$11,MIN(D46,90))),Reference!$A$6:$A$11,1)))+(MAX(Reference!$A$6,MIN(Reference!$A$11,MIN(D46,90)))-INDEX(Reference!$A$6:$A$11,MIN(5,MATCH(MAX(Reference!$A$6,MIN(Reference!$A$11,MIN(D46,90))),Reference!$A$6:$A$11,1))))*(INDEX(Reference!$B$6:$B$11,MIN(5,MATCH(MAX(Reference!$A$6,MIN(Reference!$A$11,MIN(D46,90))),Reference!$A$6:$A$11,1))+1)-INDEX(Reference!$B$6:$B$11,MIN(5,MATCH(MAX(Reference!$A$6,MIN(Reference!$A$11,MIN(D46,90))),Reference!$A$6:$A$11,1))))/(INDEX(Reference!$A$6:$A$11,MIN(5,MATCH(MAX(Reference!$A$6,MIN(Reference!$A$11,MIN(D46,90))),Reference!$A$6:$A$11,1))+1)-INDEX(Reference!$A$6:$A$11,MIN(5,MATCH(MAX(Reference!$A$6,MIN(Reference!$A$11,MIN(D46,90))),Reference!$A$6:$A$11,1))))),0)+IF(2&lt;=AE46,(AE46-2+3)*(INDEX(Reference!$B$6:$B$11,MIN(5,MATCH(MAX(Reference!$A$6,MIN(Reference!$A$11,MIN(D46,120))),Reference!$A$6:$A$11,1)))+(MAX(Reference!$A$6,MIN(Reference!$A$11,MIN(D46,120)))-INDEX(Reference!$A$6:$A$11,MIN(5,MATCH(MAX(Reference!$A$6,MIN(Reference!$A$11,MIN(D46,120))),Reference!$A$6:$A$11,1))))*(INDEX(Reference!$B$6:$B$11,MIN(5,MATCH(MAX(Reference!$A$6,MIN(Reference!$A$11,MIN(D46,120))),Reference!$A$6:$A$11,1))+1)-INDEX(Reference!$B$6:$B$11,MIN(5,MATCH(MAX(Reference!$A$6,MIN(Reference!$A$11,MIN(D46,120))),Reference!$A$6:$A$11,1))))/(INDEX(Reference!$A$6:$A$11,MIN(5,MATCH(MAX(Reference!$A$6,MIN(Reference!$A$11,MIN(D46,120))),Reference!$A$6:$A$11,1))+1)-INDEX(Reference!$A$6:$A$11,MIN(5,MATCH(MAX(Reference!$A$6,MIN(Reference!$A$11,MIN(D46,120))),Reference!$A$6:$A$11,1))))),0)+IF(3&lt;=AE46,(AE46-3+3)*(INDEX(Reference!$B$6:$B$11,MIN(5,MATCH(MAX(Reference!$A$6,MIN(Reference!$A$11,MIN(D46,150))),Reference!$A$6:$A$11,1)))+(MAX(Reference!$A$6,MIN(Reference!$A$11,MIN(D46,150)))-INDEX(Reference!$A$6:$A$11,MIN(5,MATCH(MAX(Reference!$A$6,MIN(Reference!$A$11,MIN(D46,150))),Reference!$A$6:$A$11,1))))*(INDEX(Reference!$B$6:$B$11,MIN(5,MATCH(MAX(Reference!$A$6,MIN(Reference!$A$11,MIN(D46,150))),Reference!$A$6:$A$11,1))+1)-INDEX(Reference!$B$6:$B$11,MIN(5,MATCH(MAX(Reference!$A$6,MIN(Reference!$A$11,MIN(D46,150))),Reference!$A$6:$A$11,1))))/(INDEX(Reference!$A$6:$A$11,MIN(5,MATCH(MAX(Reference!$A$6,MIN(Reference!$A$11,MIN(D46,150))),Reference!$A$6:$A$11,1))+1)-INDEX(Reference!$A$6:$A$11,MIN(5,MATCH(MAX(Reference!$A$6,MIN(Reference!$A$11,MIN(D46,150))),Reference!$A$6:$A$11,1))))),0)+IF(4&lt;=AE46,(AE46-4+3)*(INDEX(Reference!$B$6:$B$11,MIN(5,MATCH(MAX(Reference!$A$6,MIN(Reference!$A$11,MIN(D46,180))),Reference!$A$6:$A$11,1)))+(MAX(Reference!$A$6,MIN(Reference!$A$11,MIN(D46,180)))-INDEX(Reference!$A$6:$A$11,MIN(5,MATCH(MAX(Reference!$A$6,MIN(Reference!$A$11,MIN(D46,180))),Reference!$A$6:$A$11,1))))*(INDEX(Reference!$B$6:$B$11,MIN(5,MATCH(MAX(Reference!$A$6,MIN(Reference!$A$11,MIN(D46,180))),Reference!$A$6:$A$11,1))+1)-INDEX(Reference!$B$6:$B$11,MIN(5,MATCH(MAX(Reference!$A$6,MIN(Reference!$A$11,MIN(D46,180))),Reference!$A$6:$A$11,1))))/(INDEX(Reference!$A$6:$A$11,MIN(5,MATCH(MAX(Reference!$A$6,MIN(Reference!$A$11,MIN(D46,180))),Reference!$A$6:$A$11,1))+1)-INDEX(Reference!$A$6:$A$11,MIN(5,MATCH(MAX(Reference!$A$6,MIN(Reference!$A$11,MIN(D46,180))),Reference!$A$6:$A$11,1))))),0)+IF(5&lt;=AE46,(AE46-5+3)*(INDEX(Reference!$B$6:$B$11,MIN(5,MATCH(MAX(Reference!$A$6,MIN(Reference!$A$11,MIN(D46,210))),Reference!$A$6:$A$11,1)))+(MAX(Reference!$A$6,MIN(Reference!$A$11,MIN(D46,210)))-INDEX(Reference!$A$6:$A$11,MIN(5,MATCH(MAX(Reference!$A$6,MIN(Reference!$A$11,MIN(D46,210))),Reference!$A$6:$A$11,1))))*(INDEX(Reference!$B$6:$B$11,MIN(5,MATCH(MAX(Reference!$A$6,MIN(Reference!$A$11,MIN(D46,210))),Reference!$A$6:$A$11,1))+1)-INDEX(Reference!$B$6:$B$11,MIN(5,MATCH(MAX(Reference!$A$6,MIN(Reference!$A$11,MIN(D46,210))),Reference!$A$6:$A$11,1))))/(INDEX(Reference!$A$6:$A$11,MIN(5,MATCH(MAX(Reference!$A$6,MIN(Reference!$A$11,MIN(D46,210))),Reference!$A$6:$A$11,1))+1)-INDEX(Reference!$A$6:$A$11,MIN(5,MATCH(MAX(Reference!$A$6,MIN(Reference!$A$11,MIN(D46,210))),Reference!$A$6:$A$11,1))))),0)+IF(6&lt;=AE46,(AE46-6+3)*(INDEX(Reference!$B$6:$B$11,MIN(5,MATCH(MAX(Reference!$A$6,MIN(Reference!$A$11,MIN(D46,240))),Reference!$A$6:$A$11,1)))+(MAX(Reference!$A$6,MIN(Reference!$A$11,MIN(D46,240)))-INDEX(Reference!$A$6:$A$11,MIN(5,MATCH(MAX(Reference!$A$6,MIN(Reference!$A$11,MIN(D46,240))),Reference!$A$6:$A$11,1))))*(INDEX(Reference!$B$6:$B$11,MIN(5,MATCH(MAX(Reference!$A$6,MIN(Reference!$A$11,MIN(D46,240))),Reference!$A$6:$A$11,1))+1)-INDEX(Reference!$B$6:$B$11,MIN(5,MATCH(MAX(Reference!$A$6,MIN(Reference!$A$11,MIN(D46,240))),Reference!$A$6:$A$11,1))))/(INDEX(Reference!$A$6:$A$11,MIN(5,MATCH(MAX(Reference!$A$6,MIN(Reference!$A$11,MIN(D46,240))),Reference!$A$6:$A$11,1))+1)-INDEX(Reference!$A$6:$A$11,MIN(5,MATCH(MAX(Reference!$A$6,MIN(Reference!$A$11,MIN(D46,240))),Reference!$A$6:$A$11,1))))),0)+IF(7&lt;=AE46,(AE46-7+3)*(INDEX(Reference!$B$6:$B$11,MIN(5,MATCH(MAX(Reference!$A$6,MIN(Reference!$A$11,MIN(D46,270))),Reference!$A$6:$A$11,1)))+(MAX(Reference!$A$6,MIN(Reference!$A$11,MIN(D46,270)))-INDEX(Reference!$A$6:$A$11,MIN(5,MATCH(MAX(Reference!$A$6,MIN(Reference!$A$11,MIN(D46,270))),Reference!$A$6:$A$11,1))))*(INDEX(Reference!$B$6:$B$11,MIN(5,MATCH(MAX(Reference!$A$6,MIN(Reference!$A$11,MIN(D46,270))),Reference!$A$6:$A$11,1))+1)-INDEX(Reference!$B$6:$B$11,MIN(5,MATCH(MAX(Reference!$A$6,MIN(Reference!$A$11,MIN(D46,270))),Reference!$A$6:$A$11,1))))/(INDEX(Reference!$A$6:$A$11,MIN(5,MATCH(MAX(Reference!$A$6,MIN(Reference!$A$11,MIN(D46,270))),Reference!$A$6:$A$11,1))+1)-INDEX(Reference!$A$6:$A$11,MIN(5,MATCH(MAX(Reference!$A$6,MIN(Reference!$A$11,MIN(D46,270))),Reference!$A$6:$A$11,1))))),0)+IF(8&lt;=AE46,(AE46-8+3)*(INDEX(Reference!$B$6:$B$11,MIN(5,MATCH(MAX(Reference!$A$6,MIN(Reference!$A$11,MIN(D46,300))),Reference!$A$6:$A$11,1)))+(MAX(Reference!$A$6,MIN(Reference!$A$11,MIN(D46,300)))-INDEX(Reference!$A$6:$A$11,MIN(5,MATCH(MAX(Reference!$A$6,MIN(Reference!$A$11,MIN(D46,300))),Reference!$A$6:$A$11,1))))*(INDEX(Reference!$B$6:$B$11,MIN(5,MATCH(MAX(Reference!$A$6,MIN(Reference!$A$11,MIN(D46,300))),Reference!$A$6:$A$11,1))+1)-INDEX(Reference!$B$6:$B$11,MIN(5,MATCH(MAX(Reference!$A$6,MIN(Reference!$A$11,MIN(D46,300))),Reference!$A$6:$A$11,1))))/(INDEX(Reference!$A$6:$A$11,MIN(5,MATCH(MAX(Reference!$A$6,MIN(Reference!$A$11,MIN(D46,300))),Reference!$A$6:$A$11,1))+1)-INDEX(Reference!$A$6:$A$11,MIN(5,MATCH(MAX(Reference!$A$6,MIN(Reference!$A$11,MIN(D46,300))),Reference!$A$6:$A$11,1))))),0))/(AE46*(AE46+5)/2)),(INDEX(Reference!$B$6:$B$11,MIN(5,MATCH(MAX(Reference!$A$6,MIN(Reference!$A$11,D46)),Reference!$A$6:$A$11,1)))+(MAX(Reference!$A$6,MIN(Reference!$A$11,D46))-INDEX(Reference!$A$6:$A$11,MIN(5,MATCH(MAX(Reference!$A$6,MIN(Reference!$A$11,D46)),Reference!$A$6:$A$11,1))))*(INDEX(Reference!$B$6:$B$11,MIN(5,MATCH(MAX(Reference!$A$6,MIN(Reference!$A$11,D46)),Reference!$A$6:$A$11,1))+1)-INDEX(Reference!$B$6:$B$11,MIN(5,MATCH(MAX(Reference!$A$6,MIN(Reference!$A$11,D46)),Reference!$A$6:$A$11,1))))/(INDEX(Reference!$A$6:$A$11,MIN(5,MATCH(MAX(Reference!$A$6,MIN(Reference!$A$11,D46)),Reference!$A$6:$A$11,1))+1)-INDEX(Reference!$A$6:$A$11,MIN(5,MATCH(MAX(Reference!$A$6,MIN(Reference!$A$11,D46)),Reference!$A$6:$A$11,1))))))))</f>
        <v/>
      </c>
      <c r="P46" s="32" t="str">
        <f>IF(N46="","",VLOOKUP(MAX(N46,0),Reference!$A$17:$B$20,2,TRUE()))</f>
        <v/>
      </c>
      <c r="Q46" s="32" t="str">
        <f t="shared" si="3"/>
        <v/>
      </c>
      <c r="R46" s="31"/>
      <c r="S46" s="31"/>
      <c r="T46" s="31"/>
      <c r="U46" s="32" t="str">
        <f t="shared" si="4"/>
        <v/>
      </c>
      <c r="V46" s="32" t="str">
        <f t="shared" si="5"/>
        <v/>
      </c>
      <c r="W46" s="32" t="str">
        <f>IF(V46="","",VLOOKUP(MAX(V46,0),Reference!$A$17:$B$20,2,TRUE()))</f>
        <v/>
      </c>
      <c r="X46" s="31"/>
      <c r="Y46" s="31"/>
      <c r="Z46" s="31"/>
      <c r="AA46" s="32" t="str">
        <f t="shared" si="6"/>
        <v/>
      </c>
      <c r="AB46" s="32" t="str">
        <f t="shared" si="7"/>
        <v/>
      </c>
      <c r="AC46" s="32" t="str">
        <f>IF(AB46="","",VLOOKUP(MAX(AB46,0),Reference!$A$17:$B$20,2,TRUE()))</f>
        <v/>
      </c>
      <c r="AD46" s="31"/>
      <c r="AE46">
        <f t="shared" si="8"/>
        <v>1</v>
      </c>
      <c r="AF46" s="33" t="str">
        <f>IF(OR(A46="",B46="",AND(C46&lt;&gt;"Bullpen",C46&lt;&gt;"Game")),"",IF((COUNTIFS($B$5:$B$300,B46,$A$5:$A$300,A46-1,$C$5:$C$300,"Bullpen",$AG$5:$AG$300,"&gt;0") + COUNTIFS($B$5:$B$300,B46,$A$5:$A$300,A46-1,$C$5:$C$300,"Game",$AG$5:$AG$300,"&gt;0"))&gt;0,Reference!$B$119,IF((COUNTIFS($B$5:$B$300,B46,$A$5:$A$300,A46-2,$C$5:$C$300,"Bullpen",$AG$5:$AG$300,"&gt;0") + COUNTIFS($B$5:$B$300,B46,$A$5:$A$300,A46-2,$C$5:$C$300,"Game",$AG$5:$AG$300,"&gt;0"))&gt;0,Reference!$B$120,1)))</f>
        <v/>
      </c>
      <c r="AG46" s="30" t="str">
        <f>IF(AND(OR(I46="",O46="",P46=""),OR(R46="",W46=""),OR(X46="",AC46="")),"",IF(OR(I46="",O46="",P46=""),0,I46*O46*P46)+IF(OR(R46="",W46=""),0,R46*IFERROR(INDEX(Reference!$B$61:$B$62,MATCH("Bullpen",Reference!$A$61:$A$62,0)),0)*W46)+IF(OR(X46="",AC46=""),0,X46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46))</f>
        <v/>
      </c>
    </row>
    <row r="47" spans="1:33" x14ac:dyDescent="0.3">
      <c r="A47" s="35">
        <v>46307</v>
      </c>
      <c r="B47" s="31" t="s">
        <v>142</v>
      </c>
      <c r="C47" s="31"/>
      <c r="D47" s="31"/>
      <c r="E47" s="34"/>
      <c r="F47" s="34"/>
      <c r="G47" s="30" t="str">
        <f t="shared" si="0"/>
        <v/>
      </c>
      <c r="H47" s="31"/>
      <c r="I47" s="32" t="str">
        <f>IF(H47&lt;&gt;"",H47,IF(G47="","",ROUND(G47*IFERROR(INDEX(Reference!$B$44:$B$50,MATCH(C47,Reference!$A$44:$A$50,0)),0),0)))</f>
        <v/>
      </c>
      <c r="J47" s="31"/>
      <c r="K47" s="31"/>
      <c r="L47" s="32" t="str">
        <f t="shared" si="1"/>
        <v/>
      </c>
      <c r="M47" s="32">
        <f>IFERROR(INDEX(Roster!$D$5:$D$40,MATCH(B47,Roster!$A$5:$A$40,0)),"")</f>
        <v>87.9</v>
      </c>
      <c r="N47" s="32" t="str">
        <f t="shared" si="2"/>
        <v/>
      </c>
      <c r="O47" s="32" t="str">
        <f>IF(OR(C47="Bullpen",C47="Game"),IFERROR(INDEX(Reference!$B$61:$B$62,MATCH(C47,Reference!$A$61:$A$62,0)),""),IF(D47="","",IF(AE47&gt;1,((IF(1&lt;=AE47,(AE47-1+3)*(INDEX(Reference!$B$6:$B$11,MIN(5,MATCH(MAX(Reference!$A$6,MIN(Reference!$A$11,MIN(D47,90))),Reference!$A$6:$A$11,1)))+(MAX(Reference!$A$6,MIN(Reference!$A$11,MIN(D47,90)))-INDEX(Reference!$A$6:$A$11,MIN(5,MATCH(MAX(Reference!$A$6,MIN(Reference!$A$11,MIN(D47,90))),Reference!$A$6:$A$11,1))))*(INDEX(Reference!$B$6:$B$11,MIN(5,MATCH(MAX(Reference!$A$6,MIN(Reference!$A$11,MIN(D47,90))),Reference!$A$6:$A$11,1))+1)-INDEX(Reference!$B$6:$B$11,MIN(5,MATCH(MAX(Reference!$A$6,MIN(Reference!$A$11,MIN(D47,90))),Reference!$A$6:$A$11,1))))/(INDEX(Reference!$A$6:$A$11,MIN(5,MATCH(MAX(Reference!$A$6,MIN(Reference!$A$11,MIN(D47,90))),Reference!$A$6:$A$11,1))+1)-INDEX(Reference!$A$6:$A$11,MIN(5,MATCH(MAX(Reference!$A$6,MIN(Reference!$A$11,MIN(D47,90))),Reference!$A$6:$A$11,1))))),0)+IF(2&lt;=AE47,(AE47-2+3)*(INDEX(Reference!$B$6:$B$11,MIN(5,MATCH(MAX(Reference!$A$6,MIN(Reference!$A$11,MIN(D47,120))),Reference!$A$6:$A$11,1)))+(MAX(Reference!$A$6,MIN(Reference!$A$11,MIN(D47,120)))-INDEX(Reference!$A$6:$A$11,MIN(5,MATCH(MAX(Reference!$A$6,MIN(Reference!$A$11,MIN(D47,120))),Reference!$A$6:$A$11,1))))*(INDEX(Reference!$B$6:$B$11,MIN(5,MATCH(MAX(Reference!$A$6,MIN(Reference!$A$11,MIN(D47,120))),Reference!$A$6:$A$11,1))+1)-INDEX(Reference!$B$6:$B$11,MIN(5,MATCH(MAX(Reference!$A$6,MIN(Reference!$A$11,MIN(D47,120))),Reference!$A$6:$A$11,1))))/(INDEX(Reference!$A$6:$A$11,MIN(5,MATCH(MAX(Reference!$A$6,MIN(Reference!$A$11,MIN(D47,120))),Reference!$A$6:$A$11,1))+1)-INDEX(Reference!$A$6:$A$11,MIN(5,MATCH(MAX(Reference!$A$6,MIN(Reference!$A$11,MIN(D47,120))),Reference!$A$6:$A$11,1))))),0)+IF(3&lt;=AE47,(AE47-3+3)*(INDEX(Reference!$B$6:$B$11,MIN(5,MATCH(MAX(Reference!$A$6,MIN(Reference!$A$11,MIN(D47,150))),Reference!$A$6:$A$11,1)))+(MAX(Reference!$A$6,MIN(Reference!$A$11,MIN(D47,150)))-INDEX(Reference!$A$6:$A$11,MIN(5,MATCH(MAX(Reference!$A$6,MIN(Reference!$A$11,MIN(D47,150))),Reference!$A$6:$A$11,1))))*(INDEX(Reference!$B$6:$B$11,MIN(5,MATCH(MAX(Reference!$A$6,MIN(Reference!$A$11,MIN(D47,150))),Reference!$A$6:$A$11,1))+1)-INDEX(Reference!$B$6:$B$11,MIN(5,MATCH(MAX(Reference!$A$6,MIN(Reference!$A$11,MIN(D47,150))),Reference!$A$6:$A$11,1))))/(INDEX(Reference!$A$6:$A$11,MIN(5,MATCH(MAX(Reference!$A$6,MIN(Reference!$A$11,MIN(D47,150))),Reference!$A$6:$A$11,1))+1)-INDEX(Reference!$A$6:$A$11,MIN(5,MATCH(MAX(Reference!$A$6,MIN(Reference!$A$11,MIN(D47,150))),Reference!$A$6:$A$11,1))))),0)+IF(4&lt;=AE47,(AE47-4+3)*(INDEX(Reference!$B$6:$B$11,MIN(5,MATCH(MAX(Reference!$A$6,MIN(Reference!$A$11,MIN(D47,180))),Reference!$A$6:$A$11,1)))+(MAX(Reference!$A$6,MIN(Reference!$A$11,MIN(D47,180)))-INDEX(Reference!$A$6:$A$11,MIN(5,MATCH(MAX(Reference!$A$6,MIN(Reference!$A$11,MIN(D47,180))),Reference!$A$6:$A$11,1))))*(INDEX(Reference!$B$6:$B$11,MIN(5,MATCH(MAX(Reference!$A$6,MIN(Reference!$A$11,MIN(D47,180))),Reference!$A$6:$A$11,1))+1)-INDEX(Reference!$B$6:$B$11,MIN(5,MATCH(MAX(Reference!$A$6,MIN(Reference!$A$11,MIN(D47,180))),Reference!$A$6:$A$11,1))))/(INDEX(Reference!$A$6:$A$11,MIN(5,MATCH(MAX(Reference!$A$6,MIN(Reference!$A$11,MIN(D47,180))),Reference!$A$6:$A$11,1))+1)-INDEX(Reference!$A$6:$A$11,MIN(5,MATCH(MAX(Reference!$A$6,MIN(Reference!$A$11,MIN(D47,180))),Reference!$A$6:$A$11,1))))),0)+IF(5&lt;=AE47,(AE47-5+3)*(INDEX(Reference!$B$6:$B$11,MIN(5,MATCH(MAX(Reference!$A$6,MIN(Reference!$A$11,MIN(D47,210))),Reference!$A$6:$A$11,1)))+(MAX(Reference!$A$6,MIN(Reference!$A$11,MIN(D47,210)))-INDEX(Reference!$A$6:$A$11,MIN(5,MATCH(MAX(Reference!$A$6,MIN(Reference!$A$11,MIN(D47,210))),Reference!$A$6:$A$11,1))))*(INDEX(Reference!$B$6:$B$11,MIN(5,MATCH(MAX(Reference!$A$6,MIN(Reference!$A$11,MIN(D47,210))),Reference!$A$6:$A$11,1))+1)-INDEX(Reference!$B$6:$B$11,MIN(5,MATCH(MAX(Reference!$A$6,MIN(Reference!$A$11,MIN(D47,210))),Reference!$A$6:$A$11,1))))/(INDEX(Reference!$A$6:$A$11,MIN(5,MATCH(MAX(Reference!$A$6,MIN(Reference!$A$11,MIN(D47,210))),Reference!$A$6:$A$11,1))+1)-INDEX(Reference!$A$6:$A$11,MIN(5,MATCH(MAX(Reference!$A$6,MIN(Reference!$A$11,MIN(D47,210))),Reference!$A$6:$A$11,1))))),0)+IF(6&lt;=AE47,(AE47-6+3)*(INDEX(Reference!$B$6:$B$11,MIN(5,MATCH(MAX(Reference!$A$6,MIN(Reference!$A$11,MIN(D47,240))),Reference!$A$6:$A$11,1)))+(MAX(Reference!$A$6,MIN(Reference!$A$11,MIN(D47,240)))-INDEX(Reference!$A$6:$A$11,MIN(5,MATCH(MAX(Reference!$A$6,MIN(Reference!$A$11,MIN(D47,240))),Reference!$A$6:$A$11,1))))*(INDEX(Reference!$B$6:$B$11,MIN(5,MATCH(MAX(Reference!$A$6,MIN(Reference!$A$11,MIN(D47,240))),Reference!$A$6:$A$11,1))+1)-INDEX(Reference!$B$6:$B$11,MIN(5,MATCH(MAX(Reference!$A$6,MIN(Reference!$A$11,MIN(D47,240))),Reference!$A$6:$A$11,1))))/(INDEX(Reference!$A$6:$A$11,MIN(5,MATCH(MAX(Reference!$A$6,MIN(Reference!$A$11,MIN(D47,240))),Reference!$A$6:$A$11,1))+1)-INDEX(Reference!$A$6:$A$11,MIN(5,MATCH(MAX(Reference!$A$6,MIN(Reference!$A$11,MIN(D47,240))),Reference!$A$6:$A$11,1))))),0)+IF(7&lt;=AE47,(AE47-7+3)*(INDEX(Reference!$B$6:$B$11,MIN(5,MATCH(MAX(Reference!$A$6,MIN(Reference!$A$11,MIN(D47,270))),Reference!$A$6:$A$11,1)))+(MAX(Reference!$A$6,MIN(Reference!$A$11,MIN(D47,270)))-INDEX(Reference!$A$6:$A$11,MIN(5,MATCH(MAX(Reference!$A$6,MIN(Reference!$A$11,MIN(D47,270))),Reference!$A$6:$A$11,1))))*(INDEX(Reference!$B$6:$B$11,MIN(5,MATCH(MAX(Reference!$A$6,MIN(Reference!$A$11,MIN(D47,270))),Reference!$A$6:$A$11,1))+1)-INDEX(Reference!$B$6:$B$11,MIN(5,MATCH(MAX(Reference!$A$6,MIN(Reference!$A$11,MIN(D47,270))),Reference!$A$6:$A$11,1))))/(INDEX(Reference!$A$6:$A$11,MIN(5,MATCH(MAX(Reference!$A$6,MIN(Reference!$A$11,MIN(D47,270))),Reference!$A$6:$A$11,1))+1)-INDEX(Reference!$A$6:$A$11,MIN(5,MATCH(MAX(Reference!$A$6,MIN(Reference!$A$11,MIN(D47,270))),Reference!$A$6:$A$11,1))))),0)+IF(8&lt;=AE47,(AE47-8+3)*(INDEX(Reference!$B$6:$B$11,MIN(5,MATCH(MAX(Reference!$A$6,MIN(Reference!$A$11,MIN(D47,300))),Reference!$A$6:$A$11,1)))+(MAX(Reference!$A$6,MIN(Reference!$A$11,MIN(D47,300)))-INDEX(Reference!$A$6:$A$11,MIN(5,MATCH(MAX(Reference!$A$6,MIN(Reference!$A$11,MIN(D47,300))),Reference!$A$6:$A$11,1))))*(INDEX(Reference!$B$6:$B$11,MIN(5,MATCH(MAX(Reference!$A$6,MIN(Reference!$A$11,MIN(D47,300))),Reference!$A$6:$A$11,1))+1)-INDEX(Reference!$B$6:$B$11,MIN(5,MATCH(MAX(Reference!$A$6,MIN(Reference!$A$11,MIN(D47,300))),Reference!$A$6:$A$11,1))))/(INDEX(Reference!$A$6:$A$11,MIN(5,MATCH(MAX(Reference!$A$6,MIN(Reference!$A$11,MIN(D47,300))),Reference!$A$6:$A$11,1))+1)-INDEX(Reference!$A$6:$A$11,MIN(5,MATCH(MAX(Reference!$A$6,MIN(Reference!$A$11,MIN(D47,300))),Reference!$A$6:$A$11,1))))),0))/(AE47*(AE47+5)/2)),(INDEX(Reference!$B$6:$B$11,MIN(5,MATCH(MAX(Reference!$A$6,MIN(Reference!$A$11,D47)),Reference!$A$6:$A$11,1)))+(MAX(Reference!$A$6,MIN(Reference!$A$11,D47))-INDEX(Reference!$A$6:$A$11,MIN(5,MATCH(MAX(Reference!$A$6,MIN(Reference!$A$11,D47)),Reference!$A$6:$A$11,1))))*(INDEX(Reference!$B$6:$B$11,MIN(5,MATCH(MAX(Reference!$A$6,MIN(Reference!$A$11,D47)),Reference!$A$6:$A$11,1))+1)-INDEX(Reference!$B$6:$B$11,MIN(5,MATCH(MAX(Reference!$A$6,MIN(Reference!$A$11,D47)),Reference!$A$6:$A$11,1))))/(INDEX(Reference!$A$6:$A$11,MIN(5,MATCH(MAX(Reference!$A$6,MIN(Reference!$A$11,D47)),Reference!$A$6:$A$11,1))+1)-INDEX(Reference!$A$6:$A$11,MIN(5,MATCH(MAX(Reference!$A$6,MIN(Reference!$A$11,D47)),Reference!$A$6:$A$11,1))))))))</f>
        <v/>
      </c>
      <c r="P47" s="32" t="str">
        <f>IF(N47="","",VLOOKUP(MAX(N47,0),Reference!$A$17:$B$20,2,TRUE()))</f>
        <v/>
      </c>
      <c r="Q47" s="32" t="str">
        <f t="shared" si="3"/>
        <v/>
      </c>
      <c r="R47" s="31"/>
      <c r="S47" s="31"/>
      <c r="T47" s="31"/>
      <c r="U47" s="32" t="str">
        <f t="shared" si="4"/>
        <v/>
      </c>
      <c r="V47" s="32" t="str">
        <f t="shared" si="5"/>
        <v/>
      </c>
      <c r="W47" s="32" t="str">
        <f>IF(V47="","",VLOOKUP(MAX(V47,0),Reference!$A$17:$B$20,2,TRUE()))</f>
        <v/>
      </c>
      <c r="X47" s="31"/>
      <c r="Y47" s="31"/>
      <c r="Z47" s="31"/>
      <c r="AA47" s="32" t="str">
        <f t="shared" si="6"/>
        <v/>
      </c>
      <c r="AB47" s="32" t="str">
        <f t="shared" si="7"/>
        <v/>
      </c>
      <c r="AC47" s="32" t="str">
        <f>IF(AB47="","",VLOOKUP(MAX(AB47,0),Reference!$A$17:$B$20,2,TRUE()))</f>
        <v/>
      </c>
      <c r="AD47" s="31"/>
      <c r="AE47">
        <f t="shared" si="8"/>
        <v>1</v>
      </c>
      <c r="AF47" s="33" t="str">
        <f>IF(OR(A47="",B47="",AND(C47&lt;&gt;"Bullpen",C47&lt;&gt;"Game")),"",IF((COUNTIFS($B$5:$B$300,B47,$A$5:$A$300,A47-1,$C$5:$C$300,"Bullpen",$AG$5:$AG$300,"&gt;0") + COUNTIFS($B$5:$B$300,B47,$A$5:$A$300,A47-1,$C$5:$C$300,"Game",$AG$5:$AG$300,"&gt;0"))&gt;0,Reference!$B$119,IF((COUNTIFS($B$5:$B$300,B47,$A$5:$A$300,A47-2,$C$5:$C$300,"Bullpen",$AG$5:$AG$300,"&gt;0") + COUNTIFS($B$5:$B$300,B47,$A$5:$A$300,A47-2,$C$5:$C$300,"Game",$AG$5:$AG$300,"&gt;0"))&gt;0,Reference!$B$120,1)))</f>
        <v/>
      </c>
      <c r="AG47" s="30" t="str">
        <f>IF(AND(OR(I47="",O47="",P47=""),OR(R47="",W47=""),OR(X47="",AC47="")),"",IF(OR(I47="",O47="",P47=""),0,I47*O47*P47)+IF(OR(R47="",W47=""),0,R47*IFERROR(INDEX(Reference!$B$61:$B$62,MATCH("Bullpen",Reference!$A$61:$A$62,0)),0)*W47)+IF(OR(X47="",AC47=""),0,X47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47))</f>
        <v/>
      </c>
    </row>
    <row r="48" spans="1:33" x14ac:dyDescent="0.3">
      <c r="A48" s="35">
        <v>46308</v>
      </c>
      <c r="B48" s="31" t="s">
        <v>142</v>
      </c>
      <c r="C48" s="31"/>
      <c r="D48" s="31"/>
      <c r="E48" s="34"/>
      <c r="F48" s="34"/>
      <c r="G48" s="30" t="str">
        <f t="shared" si="0"/>
        <v/>
      </c>
      <c r="H48" s="31"/>
      <c r="I48" s="32" t="str">
        <f>IF(H48&lt;&gt;"",H48,IF(G48="","",ROUND(G48*IFERROR(INDEX(Reference!$B$44:$B$50,MATCH(C48,Reference!$A$44:$A$50,0)),0),0)))</f>
        <v/>
      </c>
      <c r="J48" s="31"/>
      <c r="K48" s="31"/>
      <c r="L48" s="32" t="str">
        <f t="shared" si="1"/>
        <v/>
      </c>
      <c r="M48" s="32">
        <f>IFERROR(INDEX(Roster!$D$5:$D$40,MATCH(B48,Roster!$A$5:$A$40,0)),"")</f>
        <v>87.9</v>
      </c>
      <c r="N48" s="32" t="str">
        <f t="shared" si="2"/>
        <v/>
      </c>
      <c r="O48" s="32" t="str">
        <f>IF(OR(C48="Bullpen",C48="Game"),IFERROR(INDEX(Reference!$B$61:$B$62,MATCH(C48,Reference!$A$61:$A$62,0)),""),IF(D48="","",IF(AE48&gt;1,((IF(1&lt;=AE48,(AE48-1+3)*(INDEX(Reference!$B$6:$B$11,MIN(5,MATCH(MAX(Reference!$A$6,MIN(Reference!$A$11,MIN(D48,90))),Reference!$A$6:$A$11,1)))+(MAX(Reference!$A$6,MIN(Reference!$A$11,MIN(D48,90)))-INDEX(Reference!$A$6:$A$11,MIN(5,MATCH(MAX(Reference!$A$6,MIN(Reference!$A$11,MIN(D48,90))),Reference!$A$6:$A$11,1))))*(INDEX(Reference!$B$6:$B$11,MIN(5,MATCH(MAX(Reference!$A$6,MIN(Reference!$A$11,MIN(D48,90))),Reference!$A$6:$A$11,1))+1)-INDEX(Reference!$B$6:$B$11,MIN(5,MATCH(MAX(Reference!$A$6,MIN(Reference!$A$11,MIN(D48,90))),Reference!$A$6:$A$11,1))))/(INDEX(Reference!$A$6:$A$11,MIN(5,MATCH(MAX(Reference!$A$6,MIN(Reference!$A$11,MIN(D48,90))),Reference!$A$6:$A$11,1))+1)-INDEX(Reference!$A$6:$A$11,MIN(5,MATCH(MAX(Reference!$A$6,MIN(Reference!$A$11,MIN(D48,90))),Reference!$A$6:$A$11,1))))),0)+IF(2&lt;=AE48,(AE48-2+3)*(INDEX(Reference!$B$6:$B$11,MIN(5,MATCH(MAX(Reference!$A$6,MIN(Reference!$A$11,MIN(D48,120))),Reference!$A$6:$A$11,1)))+(MAX(Reference!$A$6,MIN(Reference!$A$11,MIN(D48,120)))-INDEX(Reference!$A$6:$A$11,MIN(5,MATCH(MAX(Reference!$A$6,MIN(Reference!$A$11,MIN(D48,120))),Reference!$A$6:$A$11,1))))*(INDEX(Reference!$B$6:$B$11,MIN(5,MATCH(MAX(Reference!$A$6,MIN(Reference!$A$11,MIN(D48,120))),Reference!$A$6:$A$11,1))+1)-INDEX(Reference!$B$6:$B$11,MIN(5,MATCH(MAX(Reference!$A$6,MIN(Reference!$A$11,MIN(D48,120))),Reference!$A$6:$A$11,1))))/(INDEX(Reference!$A$6:$A$11,MIN(5,MATCH(MAX(Reference!$A$6,MIN(Reference!$A$11,MIN(D48,120))),Reference!$A$6:$A$11,1))+1)-INDEX(Reference!$A$6:$A$11,MIN(5,MATCH(MAX(Reference!$A$6,MIN(Reference!$A$11,MIN(D48,120))),Reference!$A$6:$A$11,1))))),0)+IF(3&lt;=AE48,(AE48-3+3)*(INDEX(Reference!$B$6:$B$11,MIN(5,MATCH(MAX(Reference!$A$6,MIN(Reference!$A$11,MIN(D48,150))),Reference!$A$6:$A$11,1)))+(MAX(Reference!$A$6,MIN(Reference!$A$11,MIN(D48,150)))-INDEX(Reference!$A$6:$A$11,MIN(5,MATCH(MAX(Reference!$A$6,MIN(Reference!$A$11,MIN(D48,150))),Reference!$A$6:$A$11,1))))*(INDEX(Reference!$B$6:$B$11,MIN(5,MATCH(MAX(Reference!$A$6,MIN(Reference!$A$11,MIN(D48,150))),Reference!$A$6:$A$11,1))+1)-INDEX(Reference!$B$6:$B$11,MIN(5,MATCH(MAX(Reference!$A$6,MIN(Reference!$A$11,MIN(D48,150))),Reference!$A$6:$A$11,1))))/(INDEX(Reference!$A$6:$A$11,MIN(5,MATCH(MAX(Reference!$A$6,MIN(Reference!$A$11,MIN(D48,150))),Reference!$A$6:$A$11,1))+1)-INDEX(Reference!$A$6:$A$11,MIN(5,MATCH(MAX(Reference!$A$6,MIN(Reference!$A$11,MIN(D48,150))),Reference!$A$6:$A$11,1))))),0)+IF(4&lt;=AE48,(AE48-4+3)*(INDEX(Reference!$B$6:$B$11,MIN(5,MATCH(MAX(Reference!$A$6,MIN(Reference!$A$11,MIN(D48,180))),Reference!$A$6:$A$11,1)))+(MAX(Reference!$A$6,MIN(Reference!$A$11,MIN(D48,180)))-INDEX(Reference!$A$6:$A$11,MIN(5,MATCH(MAX(Reference!$A$6,MIN(Reference!$A$11,MIN(D48,180))),Reference!$A$6:$A$11,1))))*(INDEX(Reference!$B$6:$B$11,MIN(5,MATCH(MAX(Reference!$A$6,MIN(Reference!$A$11,MIN(D48,180))),Reference!$A$6:$A$11,1))+1)-INDEX(Reference!$B$6:$B$11,MIN(5,MATCH(MAX(Reference!$A$6,MIN(Reference!$A$11,MIN(D48,180))),Reference!$A$6:$A$11,1))))/(INDEX(Reference!$A$6:$A$11,MIN(5,MATCH(MAX(Reference!$A$6,MIN(Reference!$A$11,MIN(D48,180))),Reference!$A$6:$A$11,1))+1)-INDEX(Reference!$A$6:$A$11,MIN(5,MATCH(MAX(Reference!$A$6,MIN(Reference!$A$11,MIN(D48,180))),Reference!$A$6:$A$11,1))))),0)+IF(5&lt;=AE48,(AE48-5+3)*(INDEX(Reference!$B$6:$B$11,MIN(5,MATCH(MAX(Reference!$A$6,MIN(Reference!$A$11,MIN(D48,210))),Reference!$A$6:$A$11,1)))+(MAX(Reference!$A$6,MIN(Reference!$A$11,MIN(D48,210)))-INDEX(Reference!$A$6:$A$11,MIN(5,MATCH(MAX(Reference!$A$6,MIN(Reference!$A$11,MIN(D48,210))),Reference!$A$6:$A$11,1))))*(INDEX(Reference!$B$6:$B$11,MIN(5,MATCH(MAX(Reference!$A$6,MIN(Reference!$A$11,MIN(D48,210))),Reference!$A$6:$A$11,1))+1)-INDEX(Reference!$B$6:$B$11,MIN(5,MATCH(MAX(Reference!$A$6,MIN(Reference!$A$11,MIN(D48,210))),Reference!$A$6:$A$11,1))))/(INDEX(Reference!$A$6:$A$11,MIN(5,MATCH(MAX(Reference!$A$6,MIN(Reference!$A$11,MIN(D48,210))),Reference!$A$6:$A$11,1))+1)-INDEX(Reference!$A$6:$A$11,MIN(5,MATCH(MAX(Reference!$A$6,MIN(Reference!$A$11,MIN(D48,210))),Reference!$A$6:$A$11,1))))),0)+IF(6&lt;=AE48,(AE48-6+3)*(INDEX(Reference!$B$6:$B$11,MIN(5,MATCH(MAX(Reference!$A$6,MIN(Reference!$A$11,MIN(D48,240))),Reference!$A$6:$A$11,1)))+(MAX(Reference!$A$6,MIN(Reference!$A$11,MIN(D48,240)))-INDEX(Reference!$A$6:$A$11,MIN(5,MATCH(MAX(Reference!$A$6,MIN(Reference!$A$11,MIN(D48,240))),Reference!$A$6:$A$11,1))))*(INDEX(Reference!$B$6:$B$11,MIN(5,MATCH(MAX(Reference!$A$6,MIN(Reference!$A$11,MIN(D48,240))),Reference!$A$6:$A$11,1))+1)-INDEX(Reference!$B$6:$B$11,MIN(5,MATCH(MAX(Reference!$A$6,MIN(Reference!$A$11,MIN(D48,240))),Reference!$A$6:$A$11,1))))/(INDEX(Reference!$A$6:$A$11,MIN(5,MATCH(MAX(Reference!$A$6,MIN(Reference!$A$11,MIN(D48,240))),Reference!$A$6:$A$11,1))+1)-INDEX(Reference!$A$6:$A$11,MIN(5,MATCH(MAX(Reference!$A$6,MIN(Reference!$A$11,MIN(D48,240))),Reference!$A$6:$A$11,1))))),0)+IF(7&lt;=AE48,(AE48-7+3)*(INDEX(Reference!$B$6:$B$11,MIN(5,MATCH(MAX(Reference!$A$6,MIN(Reference!$A$11,MIN(D48,270))),Reference!$A$6:$A$11,1)))+(MAX(Reference!$A$6,MIN(Reference!$A$11,MIN(D48,270)))-INDEX(Reference!$A$6:$A$11,MIN(5,MATCH(MAX(Reference!$A$6,MIN(Reference!$A$11,MIN(D48,270))),Reference!$A$6:$A$11,1))))*(INDEX(Reference!$B$6:$B$11,MIN(5,MATCH(MAX(Reference!$A$6,MIN(Reference!$A$11,MIN(D48,270))),Reference!$A$6:$A$11,1))+1)-INDEX(Reference!$B$6:$B$11,MIN(5,MATCH(MAX(Reference!$A$6,MIN(Reference!$A$11,MIN(D48,270))),Reference!$A$6:$A$11,1))))/(INDEX(Reference!$A$6:$A$11,MIN(5,MATCH(MAX(Reference!$A$6,MIN(Reference!$A$11,MIN(D48,270))),Reference!$A$6:$A$11,1))+1)-INDEX(Reference!$A$6:$A$11,MIN(5,MATCH(MAX(Reference!$A$6,MIN(Reference!$A$11,MIN(D48,270))),Reference!$A$6:$A$11,1))))),0)+IF(8&lt;=AE48,(AE48-8+3)*(INDEX(Reference!$B$6:$B$11,MIN(5,MATCH(MAX(Reference!$A$6,MIN(Reference!$A$11,MIN(D48,300))),Reference!$A$6:$A$11,1)))+(MAX(Reference!$A$6,MIN(Reference!$A$11,MIN(D48,300)))-INDEX(Reference!$A$6:$A$11,MIN(5,MATCH(MAX(Reference!$A$6,MIN(Reference!$A$11,MIN(D48,300))),Reference!$A$6:$A$11,1))))*(INDEX(Reference!$B$6:$B$11,MIN(5,MATCH(MAX(Reference!$A$6,MIN(Reference!$A$11,MIN(D48,300))),Reference!$A$6:$A$11,1))+1)-INDEX(Reference!$B$6:$B$11,MIN(5,MATCH(MAX(Reference!$A$6,MIN(Reference!$A$11,MIN(D48,300))),Reference!$A$6:$A$11,1))))/(INDEX(Reference!$A$6:$A$11,MIN(5,MATCH(MAX(Reference!$A$6,MIN(Reference!$A$11,MIN(D48,300))),Reference!$A$6:$A$11,1))+1)-INDEX(Reference!$A$6:$A$11,MIN(5,MATCH(MAX(Reference!$A$6,MIN(Reference!$A$11,MIN(D48,300))),Reference!$A$6:$A$11,1))))),0))/(AE48*(AE48+5)/2)),(INDEX(Reference!$B$6:$B$11,MIN(5,MATCH(MAX(Reference!$A$6,MIN(Reference!$A$11,D48)),Reference!$A$6:$A$11,1)))+(MAX(Reference!$A$6,MIN(Reference!$A$11,D48))-INDEX(Reference!$A$6:$A$11,MIN(5,MATCH(MAX(Reference!$A$6,MIN(Reference!$A$11,D48)),Reference!$A$6:$A$11,1))))*(INDEX(Reference!$B$6:$B$11,MIN(5,MATCH(MAX(Reference!$A$6,MIN(Reference!$A$11,D48)),Reference!$A$6:$A$11,1))+1)-INDEX(Reference!$B$6:$B$11,MIN(5,MATCH(MAX(Reference!$A$6,MIN(Reference!$A$11,D48)),Reference!$A$6:$A$11,1))))/(INDEX(Reference!$A$6:$A$11,MIN(5,MATCH(MAX(Reference!$A$6,MIN(Reference!$A$11,D48)),Reference!$A$6:$A$11,1))+1)-INDEX(Reference!$A$6:$A$11,MIN(5,MATCH(MAX(Reference!$A$6,MIN(Reference!$A$11,D48)),Reference!$A$6:$A$11,1))))))))</f>
        <v/>
      </c>
      <c r="P48" s="32" t="str">
        <f>IF(N48="","",VLOOKUP(MAX(N48,0),Reference!$A$17:$B$20,2,TRUE()))</f>
        <v/>
      </c>
      <c r="Q48" s="32" t="str">
        <f t="shared" si="3"/>
        <v/>
      </c>
      <c r="R48" s="31"/>
      <c r="S48" s="31"/>
      <c r="T48" s="31"/>
      <c r="U48" s="32" t="str">
        <f t="shared" si="4"/>
        <v/>
      </c>
      <c r="V48" s="32" t="str">
        <f t="shared" si="5"/>
        <v/>
      </c>
      <c r="W48" s="32" t="str">
        <f>IF(V48="","",VLOOKUP(MAX(V48,0),Reference!$A$17:$B$20,2,TRUE()))</f>
        <v/>
      </c>
      <c r="X48" s="31"/>
      <c r="Y48" s="31"/>
      <c r="Z48" s="31"/>
      <c r="AA48" s="32" t="str">
        <f t="shared" si="6"/>
        <v/>
      </c>
      <c r="AB48" s="32" t="str">
        <f t="shared" si="7"/>
        <v/>
      </c>
      <c r="AC48" s="32" t="str">
        <f>IF(AB48="","",VLOOKUP(MAX(AB48,0),Reference!$A$17:$B$20,2,TRUE()))</f>
        <v/>
      </c>
      <c r="AD48" s="31"/>
      <c r="AE48">
        <f t="shared" si="8"/>
        <v>1</v>
      </c>
      <c r="AF48" s="33" t="str">
        <f>IF(OR(A48="",B48="",AND(C48&lt;&gt;"Bullpen",C48&lt;&gt;"Game")),"",IF((COUNTIFS($B$5:$B$300,B48,$A$5:$A$300,A48-1,$C$5:$C$300,"Bullpen",$AG$5:$AG$300,"&gt;0") + COUNTIFS($B$5:$B$300,B48,$A$5:$A$300,A48-1,$C$5:$C$300,"Game",$AG$5:$AG$300,"&gt;0"))&gt;0,Reference!$B$119,IF((COUNTIFS($B$5:$B$300,B48,$A$5:$A$300,A48-2,$C$5:$C$300,"Bullpen",$AG$5:$AG$300,"&gt;0") + COUNTIFS($B$5:$B$300,B48,$A$5:$A$300,A48-2,$C$5:$C$300,"Game",$AG$5:$AG$300,"&gt;0"))&gt;0,Reference!$B$120,1)))</f>
        <v/>
      </c>
      <c r="AG48" s="30" t="str">
        <f>IF(AND(OR(I48="",O48="",P48=""),OR(R48="",W48=""),OR(X48="",AC48="")),"",IF(OR(I48="",O48="",P48=""),0,I48*O48*P48)+IF(OR(R48="",W48=""),0,R48*IFERROR(INDEX(Reference!$B$61:$B$62,MATCH("Bullpen",Reference!$A$61:$A$62,0)),0)*W48)+IF(OR(X48="",AC48=""),0,X48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48))</f>
        <v/>
      </c>
    </row>
    <row r="49" spans="1:33" x14ac:dyDescent="0.3">
      <c r="A49" s="35">
        <v>46309</v>
      </c>
      <c r="B49" s="31" t="s">
        <v>142</v>
      </c>
      <c r="C49" s="31"/>
      <c r="D49" s="31"/>
      <c r="E49" s="34"/>
      <c r="F49" s="34"/>
      <c r="G49" s="30" t="str">
        <f t="shared" si="0"/>
        <v/>
      </c>
      <c r="H49" s="31"/>
      <c r="I49" s="32" t="str">
        <f>IF(H49&lt;&gt;"",H49,IF(G49="","",ROUND(G49*IFERROR(INDEX(Reference!$B$44:$B$50,MATCH(C49,Reference!$A$44:$A$50,0)),0),0)))</f>
        <v/>
      </c>
      <c r="J49" s="31"/>
      <c r="K49" s="31"/>
      <c r="L49" s="32" t="str">
        <f t="shared" si="1"/>
        <v/>
      </c>
      <c r="M49" s="32">
        <f>IFERROR(INDEX(Roster!$D$5:$D$40,MATCH(B49,Roster!$A$5:$A$40,0)),"")</f>
        <v>87.9</v>
      </c>
      <c r="N49" s="32" t="str">
        <f t="shared" si="2"/>
        <v/>
      </c>
      <c r="O49" s="32" t="str">
        <f>IF(OR(C49="Bullpen",C49="Game"),IFERROR(INDEX(Reference!$B$61:$B$62,MATCH(C49,Reference!$A$61:$A$62,0)),""),IF(D49="","",IF(AE49&gt;1,((IF(1&lt;=AE49,(AE49-1+3)*(INDEX(Reference!$B$6:$B$11,MIN(5,MATCH(MAX(Reference!$A$6,MIN(Reference!$A$11,MIN(D49,90))),Reference!$A$6:$A$11,1)))+(MAX(Reference!$A$6,MIN(Reference!$A$11,MIN(D49,90)))-INDEX(Reference!$A$6:$A$11,MIN(5,MATCH(MAX(Reference!$A$6,MIN(Reference!$A$11,MIN(D49,90))),Reference!$A$6:$A$11,1))))*(INDEX(Reference!$B$6:$B$11,MIN(5,MATCH(MAX(Reference!$A$6,MIN(Reference!$A$11,MIN(D49,90))),Reference!$A$6:$A$11,1))+1)-INDEX(Reference!$B$6:$B$11,MIN(5,MATCH(MAX(Reference!$A$6,MIN(Reference!$A$11,MIN(D49,90))),Reference!$A$6:$A$11,1))))/(INDEX(Reference!$A$6:$A$11,MIN(5,MATCH(MAX(Reference!$A$6,MIN(Reference!$A$11,MIN(D49,90))),Reference!$A$6:$A$11,1))+1)-INDEX(Reference!$A$6:$A$11,MIN(5,MATCH(MAX(Reference!$A$6,MIN(Reference!$A$11,MIN(D49,90))),Reference!$A$6:$A$11,1))))),0)+IF(2&lt;=AE49,(AE49-2+3)*(INDEX(Reference!$B$6:$B$11,MIN(5,MATCH(MAX(Reference!$A$6,MIN(Reference!$A$11,MIN(D49,120))),Reference!$A$6:$A$11,1)))+(MAX(Reference!$A$6,MIN(Reference!$A$11,MIN(D49,120)))-INDEX(Reference!$A$6:$A$11,MIN(5,MATCH(MAX(Reference!$A$6,MIN(Reference!$A$11,MIN(D49,120))),Reference!$A$6:$A$11,1))))*(INDEX(Reference!$B$6:$B$11,MIN(5,MATCH(MAX(Reference!$A$6,MIN(Reference!$A$11,MIN(D49,120))),Reference!$A$6:$A$11,1))+1)-INDEX(Reference!$B$6:$B$11,MIN(5,MATCH(MAX(Reference!$A$6,MIN(Reference!$A$11,MIN(D49,120))),Reference!$A$6:$A$11,1))))/(INDEX(Reference!$A$6:$A$11,MIN(5,MATCH(MAX(Reference!$A$6,MIN(Reference!$A$11,MIN(D49,120))),Reference!$A$6:$A$11,1))+1)-INDEX(Reference!$A$6:$A$11,MIN(5,MATCH(MAX(Reference!$A$6,MIN(Reference!$A$11,MIN(D49,120))),Reference!$A$6:$A$11,1))))),0)+IF(3&lt;=AE49,(AE49-3+3)*(INDEX(Reference!$B$6:$B$11,MIN(5,MATCH(MAX(Reference!$A$6,MIN(Reference!$A$11,MIN(D49,150))),Reference!$A$6:$A$11,1)))+(MAX(Reference!$A$6,MIN(Reference!$A$11,MIN(D49,150)))-INDEX(Reference!$A$6:$A$11,MIN(5,MATCH(MAX(Reference!$A$6,MIN(Reference!$A$11,MIN(D49,150))),Reference!$A$6:$A$11,1))))*(INDEX(Reference!$B$6:$B$11,MIN(5,MATCH(MAX(Reference!$A$6,MIN(Reference!$A$11,MIN(D49,150))),Reference!$A$6:$A$11,1))+1)-INDEX(Reference!$B$6:$B$11,MIN(5,MATCH(MAX(Reference!$A$6,MIN(Reference!$A$11,MIN(D49,150))),Reference!$A$6:$A$11,1))))/(INDEX(Reference!$A$6:$A$11,MIN(5,MATCH(MAX(Reference!$A$6,MIN(Reference!$A$11,MIN(D49,150))),Reference!$A$6:$A$11,1))+1)-INDEX(Reference!$A$6:$A$11,MIN(5,MATCH(MAX(Reference!$A$6,MIN(Reference!$A$11,MIN(D49,150))),Reference!$A$6:$A$11,1))))),0)+IF(4&lt;=AE49,(AE49-4+3)*(INDEX(Reference!$B$6:$B$11,MIN(5,MATCH(MAX(Reference!$A$6,MIN(Reference!$A$11,MIN(D49,180))),Reference!$A$6:$A$11,1)))+(MAX(Reference!$A$6,MIN(Reference!$A$11,MIN(D49,180)))-INDEX(Reference!$A$6:$A$11,MIN(5,MATCH(MAX(Reference!$A$6,MIN(Reference!$A$11,MIN(D49,180))),Reference!$A$6:$A$11,1))))*(INDEX(Reference!$B$6:$B$11,MIN(5,MATCH(MAX(Reference!$A$6,MIN(Reference!$A$11,MIN(D49,180))),Reference!$A$6:$A$11,1))+1)-INDEX(Reference!$B$6:$B$11,MIN(5,MATCH(MAX(Reference!$A$6,MIN(Reference!$A$11,MIN(D49,180))),Reference!$A$6:$A$11,1))))/(INDEX(Reference!$A$6:$A$11,MIN(5,MATCH(MAX(Reference!$A$6,MIN(Reference!$A$11,MIN(D49,180))),Reference!$A$6:$A$11,1))+1)-INDEX(Reference!$A$6:$A$11,MIN(5,MATCH(MAX(Reference!$A$6,MIN(Reference!$A$11,MIN(D49,180))),Reference!$A$6:$A$11,1))))),0)+IF(5&lt;=AE49,(AE49-5+3)*(INDEX(Reference!$B$6:$B$11,MIN(5,MATCH(MAX(Reference!$A$6,MIN(Reference!$A$11,MIN(D49,210))),Reference!$A$6:$A$11,1)))+(MAX(Reference!$A$6,MIN(Reference!$A$11,MIN(D49,210)))-INDEX(Reference!$A$6:$A$11,MIN(5,MATCH(MAX(Reference!$A$6,MIN(Reference!$A$11,MIN(D49,210))),Reference!$A$6:$A$11,1))))*(INDEX(Reference!$B$6:$B$11,MIN(5,MATCH(MAX(Reference!$A$6,MIN(Reference!$A$11,MIN(D49,210))),Reference!$A$6:$A$11,1))+1)-INDEX(Reference!$B$6:$B$11,MIN(5,MATCH(MAX(Reference!$A$6,MIN(Reference!$A$11,MIN(D49,210))),Reference!$A$6:$A$11,1))))/(INDEX(Reference!$A$6:$A$11,MIN(5,MATCH(MAX(Reference!$A$6,MIN(Reference!$A$11,MIN(D49,210))),Reference!$A$6:$A$11,1))+1)-INDEX(Reference!$A$6:$A$11,MIN(5,MATCH(MAX(Reference!$A$6,MIN(Reference!$A$11,MIN(D49,210))),Reference!$A$6:$A$11,1))))),0)+IF(6&lt;=AE49,(AE49-6+3)*(INDEX(Reference!$B$6:$B$11,MIN(5,MATCH(MAX(Reference!$A$6,MIN(Reference!$A$11,MIN(D49,240))),Reference!$A$6:$A$11,1)))+(MAX(Reference!$A$6,MIN(Reference!$A$11,MIN(D49,240)))-INDEX(Reference!$A$6:$A$11,MIN(5,MATCH(MAX(Reference!$A$6,MIN(Reference!$A$11,MIN(D49,240))),Reference!$A$6:$A$11,1))))*(INDEX(Reference!$B$6:$B$11,MIN(5,MATCH(MAX(Reference!$A$6,MIN(Reference!$A$11,MIN(D49,240))),Reference!$A$6:$A$11,1))+1)-INDEX(Reference!$B$6:$B$11,MIN(5,MATCH(MAX(Reference!$A$6,MIN(Reference!$A$11,MIN(D49,240))),Reference!$A$6:$A$11,1))))/(INDEX(Reference!$A$6:$A$11,MIN(5,MATCH(MAX(Reference!$A$6,MIN(Reference!$A$11,MIN(D49,240))),Reference!$A$6:$A$11,1))+1)-INDEX(Reference!$A$6:$A$11,MIN(5,MATCH(MAX(Reference!$A$6,MIN(Reference!$A$11,MIN(D49,240))),Reference!$A$6:$A$11,1))))),0)+IF(7&lt;=AE49,(AE49-7+3)*(INDEX(Reference!$B$6:$B$11,MIN(5,MATCH(MAX(Reference!$A$6,MIN(Reference!$A$11,MIN(D49,270))),Reference!$A$6:$A$11,1)))+(MAX(Reference!$A$6,MIN(Reference!$A$11,MIN(D49,270)))-INDEX(Reference!$A$6:$A$11,MIN(5,MATCH(MAX(Reference!$A$6,MIN(Reference!$A$11,MIN(D49,270))),Reference!$A$6:$A$11,1))))*(INDEX(Reference!$B$6:$B$11,MIN(5,MATCH(MAX(Reference!$A$6,MIN(Reference!$A$11,MIN(D49,270))),Reference!$A$6:$A$11,1))+1)-INDEX(Reference!$B$6:$B$11,MIN(5,MATCH(MAX(Reference!$A$6,MIN(Reference!$A$11,MIN(D49,270))),Reference!$A$6:$A$11,1))))/(INDEX(Reference!$A$6:$A$11,MIN(5,MATCH(MAX(Reference!$A$6,MIN(Reference!$A$11,MIN(D49,270))),Reference!$A$6:$A$11,1))+1)-INDEX(Reference!$A$6:$A$11,MIN(5,MATCH(MAX(Reference!$A$6,MIN(Reference!$A$11,MIN(D49,270))),Reference!$A$6:$A$11,1))))),0)+IF(8&lt;=AE49,(AE49-8+3)*(INDEX(Reference!$B$6:$B$11,MIN(5,MATCH(MAX(Reference!$A$6,MIN(Reference!$A$11,MIN(D49,300))),Reference!$A$6:$A$11,1)))+(MAX(Reference!$A$6,MIN(Reference!$A$11,MIN(D49,300)))-INDEX(Reference!$A$6:$A$11,MIN(5,MATCH(MAX(Reference!$A$6,MIN(Reference!$A$11,MIN(D49,300))),Reference!$A$6:$A$11,1))))*(INDEX(Reference!$B$6:$B$11,MIN(5,MATCH(MAX(Reference!$A$6,MIN(Reference!$A$11,MIN(D49,300))),Reference!$A$6:$A$11,1))+1)-INDEX(Reference!$B$6:$B$11,MIN(5,MATCH(MAX(Reference!$A$6,MIN(Reference!$A$11,MIN(D49,300))),Reference!$A$6:$A$11,1))))/(INDEX(Reference!$A$6:$A$11,MIN(5,MATCH(MAX(Reference!$A$6,MIN(Reference!$A$11,MIN(D49,300))),Reference!$A$6:$A$11,1))+1)-INDEX(Reference!$A$6:$A$11,MIN(5,MATCH(MAX(Reference!$A$6,MIN(Reference!$A$11,MIN(D49,300))),Reference!$A$6:$A$11,1))))),0))/(AE49*(AE49+5)/2)),(INDEX(Reference!$B$6:$B$11,MIN(5,MATCH(MAX(Reference!$A$6,MIN(Reference!$A$11,D49)),Reference!$A$6:$A$11,1)))+(MAX(Reference!$A$6,MIN(Reference!$A$11,D49))-INDEX(Reference!$A$6:$A$11,MIN(5,MATCH(MAX(Reference!$A$6,MIN(Reference!$A$11,D49)),Reference!$A$6:$A$11,1))))*(INDEX(Reference!$B$6:$B$11,MIN(5,MATCH(MAX(Reference!$A$6,MIN(Reference!$A$11,D49)),Reference!$A$6:$A$11,1))+1)-INDEX(Reference!$B$6:$B$11,MIN(5,MATCH(MAX(Reference!$A$6,MIN(Reference!$A$11,D49)),Reference!$A$6:$A$11,1))))/(INDEX(Reference!$A$6:$A$11,MIN(5,MATCH(MAX(Reference!$A$6,MIN(Reference!$A$11,D49)),Reference!$A$6:$A$11,1))+1)-INDEX(Reference!$A$6:$A$11,MIN(5,MATCH(MAX(Reference!$A$6,MIN(Reference!$A$11,D49)),Reference!$A$6:$A$11,1))))))))</f>
        <v/>
      </c>
      <c r="P49" s="32" t="str">
        <f>IF(N49="","",VLOOKUP(MAX(N49,0),Reference!$A$17:$B$20,2,TRUE()))</f>
        <v/>
      </c>
      <c r="Q49" s="32" t="str">
        <f t="shared" si="3"/>
        <v/>
      </c>
      <c r="R49" s="31"/>
      <c r="S49" s="31"/>
      <c r="T49" s="31"/>
      <c r="U49" s="32" t="str">
        <f t="shared" si="4"/>
        <v/>
      </c>
      <c r="V49" s="32" t="str">
        <f t="shared" si="5"/>
        <v/>
      </c>
      <c r="W49" s="32" t="str">
        <f>IF(V49="","",VLOOKUP(MAX(V49,0),Reference!$A$17:$B$20,2,TRUE()))</f>
        <v/>
      </c>
      <c r="X49" s="31"/>
      <c r="Y49" s="31"/>
      <c r="Z49" s="31"/>
      <c r="AA49" s="32" t="str">
        <f t="shared" si="6"/>
        <v/>
      </c>
      <c r="AB49" s="32" t="str">
        <f t="shared" si="7"/>
        <v/>
      </c>
      <c r="AC49" s="32" t="str">
        <f>IF(AB49="","",VLOOKUP(MAX(AB49,0),Reference!$A$17:$B$20,2,TRUE()))</f>
        <v/>
      </c>
      <c r="AD49" s="31"/>
      <c r="AE49">
        <f t="shared" si="8"/>
        <v>1</v>
      </c>
      <c r="AF49" s="33" t="str">
        <f>IF(OR(A49="",B49="",AND(C49&lt;&gt;"Bullpen",C49&lt;&gt;"Game")),"",IF((COUNTIFS($B$5:$B$300,B49,$A$5:$A$300,A49-1,$C$5:$C$300,"Bullpen",$AG$5:$AG$300,"&gt;0") + COUNTIFS($B$5:$B$300,B49,$A$5:$A$300,A49-1,$C$5:$C$300,"Game",$AG$5:$AG$300,"&gt;0"))&gt;0,Reference!$B$119,IF((COUNTIFS($B$5:$B$300,B49,$A$5:$A$300,A49-2,$C$5:$C$300,"Bullpen",$AG$5:$AG$300,"&gt;0") + COUNTIFS($B$5:$B$300,B49,$A$5:$A$300,A49-2,$C$5:$C$300,"Game",$AG$5:$AG$300,"&gt;0"))&gt;0,Reference!$B$120,1)))</f>
        <v/>
      </c>
      <c r="AG49" s="30" t="str">
        <f>IF(AND(OR(I49="",O49="",P49=""),OR(R49="",W49=""),OR(X49="",AC49="")),"",IF(OR(I49="",O49="",P49=""),0,I49*O49*P49)+IF(OR(R49="",W49=""),0,R49*IFERROR(INDEX(Reference!$B$61:$B$62,MATCH("Bullpen",Reference!$A$61:$A$62,0)),0)*W49)+IF(OR(X49="",AC49=""),0,X49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49))</f>
        <v/>
      </c>
    </row>
    <row r="50" spans="1:33" x14ac:dyDescent="0.3">
      <c r="A50" s="35">
        <v>46310</v>
      </c>
      <c r="B50" s="31" t="s">
        <v>142</v>
      </c>
      <c r="C50" s="31"/>
      <c r="D50" s="31"/>
      <c r="E50" s="34"/>
      <c r="F50" s="34"/>
      <c r="G50" s="30" t="str">
        <f t="shared" si="0"/>
        <v/>
      </c>
      <c r="H50" s="31"/>
      <c r="I50" s="32" t="str">
        <f>IF(H50&lt;&gt;"",H50,IF(G50="","",ROUND(G50*IFERROR(INDEX(Reference!$B$44:$B$50,MATCH(C50,Reference!$A$44:$A$50,0)),0),0)))</f>
        <v/>
      </c>
      <c r="J50" s="31"/>
      <c r="K50" s="31"/>
      <c r="L50" s="32" t="str">
        <f t="shared" si="1"/>
        <v/>
      </c>
      <c r="M50" s="32">
        <f>IFERROR(INDEX(Roster!$D$5:$D$40,MATCH(B50,Roster!$A$5:$A$40,0)),"")</f>
        <v>87.9</v>
      </c>
      <c r="N50" s="32" t="str">
        <f t="shared" si="2"/>
        <v/>
      </c>
      <c r="O50" s="32" t="str">
        <f>IF(OR(C50="Bullpen",C50="Game"),IFERROR(INDEX(Reference!$B$61:$B$62,MATCH(C50,Reference!$A$61:$A$62,0)),""),IF(D50="","",IF(AE50&gt;1,((IF(1&lt;=AE50,(AE50-1+3)*(INDEX(Reference!$B$6:$B$11,MIN(5,MATCH(MAX(Reference!$A$6,MIN(Reference!$A$11,MIN(D50,90))),Reference!$A$6:$A$11,1)))+(MAX(Reference!$A$6,MIN(Reference!$A$11,MIN(D50,90)))-INDEX(Reference!$A$6:$A$11,MIN(5,MATCH(MAX(Reference!$A$6,MIN(Reference!$A$11,MIN(D50,90))),Reference!$A$6:$A$11,1))))*(INDEX(Reference!$B$6:$B$11,MIN(5,MATCH(MAX(Reference!$A$6,MIN(Reference!$A$11,MIN(D50,90))),Reference!$A$6:$A$11,1))+1)-INDEX(Reference!$B$6:$B$11,MIN(5,MATCH(MAX(Reference!$A$6,MIN(Reference!$A$11,MIN(D50,90))),Reference!$A$6:$A$11,1))))/(INDEX(Reference!$A$6:$A$11,MIN(5,MATCH(MAX(Reference!$A$6,MIN(Reference!$A$11,MIN(D50,90))),Reference!$A$6:$A$11,1))+1)-INDEX(Reference!$A$6:$A$11,MIN(5,MATCH(MAX(Reference!$A$6,MIN(Reference!$A$11,MIN(D50,90))),Reference!$A$6:$A$11,1))))),0)+IF(2&lt;=AE50,(AE50-2+3)*(INDEX(Reference!$B$6:$B$11,MIN(5,MATCH(MAX(Reference!$A$6,MIN(Reference!$A$11,MIN(D50,120))),Reference!$A$6:$A$11,1)))+(MAX(Reference!$A$6,MIN(Reference!$A$11,MIN(D50,120)))-INDEX(Reference!$A$6:$A$11,MIN(5,MATCH(MAX(Reference!$A$6,MIN(Reference!$A$11,MIN(D50,120))),Reference!$A$6:$A$11,1))))*(INDEX(Reference!$B$6:$B$11,MIN(5,MATCH(MAX(Reference!$A$6,MIN(Reference!$A$11,MIN(D50,120))),Reference!$A$6:$A$11,1))+1)-INDEX(Reference!$B$6:$B$11,MIN(5,MATCH(MAX(Reference!$A$6,MIN(Reference!$A$11,MIN(D50,120))),Reference!$A$6:$A$11,1))))/(INDEX(Reference!$A$6:$A$11,MIN(5,MATCH(MAX(Reference!$A$6,MIN(Reference!$A$11,MIN(D50,120))),Reference!$A$6:$A$11,1))+1)-INDEX(Reference!$A$6:$A$11,MIN(5,MATCH(MAX(Reference!$A$6,MIN(Reference!$A$11,MIN(D50,120))),Reference!$A$6:$A$11,1))))),0)+IF(3&lt;=AE50,(AE50-3+3)*(INDEX(Reference!$B$6:$B$11,MIN(5,MATCH(MAX(Reference!$A$6,MIN(Reference!$A$11,MIN(D50,150))),Reference!$A$6:$A$11,1)))+(MAX(Reference!$A$6,MIN(Reference!$A$11,MIN(D50,150)))-INDEX(Reference!$A$6:$A$11,MIN(5,MATCH(MAX(Reference!$A$6,MIN(Reference!$A$11,MIN(D50,150))),Reference!$A$6:$A$11,1))))*(INDEX(Reference!$B$6:$B$11,MIN(5,MATCH(MAX(Reference!$A$6,MIN(Reference!$A$11,MIN(D50,150))),Reference!$A$6:$A$11,1))+1)-INDEX(Reference!$B$6:$B$11,MIN(5,MATCH(MAX(Reference!$A$6,MIN(Reference!$A$11,MIN(D50,150))),Reference!$A$6:$A$11,1))))/(INDEX(Reference!$A$6:$A$11,MIN(5,MATCH(MAX(Reference!$A$6,MIN(Reference!$A$11,MIN(D50,150))),Reference!$A$6:$A$11,1))+1)-INDEX(Reference!$A$6:$A$11,MIN(5,MATCH(MAX(Reference!$A$6,MIN(Reference!$A$11,MIN(D50,150))),Reference!$A$6:$A$11,1))))),0)+IF(4&lt;=AE50,(AE50-4+3)*(INDEX(Reference!$B$6:$B$11,MIN(5,MATCH(MAX(Reference!$A$6,MIN(Reference!$A$11,MIN(D50,180))),Reference!$A$6:$A$11,1)))+(MAX(Reference!$A$6,MIN(Reference!$A$11,MIN(D50,180)))-INDEX(Reference!$A$6:$A$11,MIN(5,MATCH(MAX(Reference!$A$6,MIN(Reference!$A$11,MIN(D50,180))),Reference!$A$6:$A$11,1))))*(INDEX(Reference!$B$6:$B$11,MIN(5,MATCH(MAX(Reference!$A$6,MIN(Reference!$A$11,MIN(D50,180))),Reference!$A$6:$A$11,1))+1)-INDEX(Reference!$B$6:$B$11,MIN(5,MATCH(MAX(Reference!$A$6,MIN(Reference!$A$11,MIN(D50,180))),Reference!$A$6:$A$11,1))))/(INDEX(Reference!$A$6:$A$11,MIN(5,MATCH(MAX(Reference!$A$6,MIN(Reference!$A$11,MIN(D50,180))),Reference!$A$6:$A$11,1))+1)-INDEX(Reference!$A$6:$A$11,MIN(5,MATCH(MAX(Reference!$A$6,MIN(Reference!$A$11,MIN(D50,180))),Reference!$A$6:$A$11,1))))),0)+IF(5&lt;=AE50,(AE50-5+3)*(INDEX(Reference!$B$6:$B$11,MIN(5,MATCH(MAX(Reference!$A$6,MIN(Reference!$A$11,MIN(D50,210))),Reference!$A$6:$A$11,1)))+(MAX(Reference!$A$6,MIN(Reference!$A$11,MIN(D50,210)))-INDEX(Reference!$A$6:$A$11,MIN(5,MATCH(MAX(Reference!$A$6,MIN(Reference!$A$11,MIN(D50,210))),Reference!$A$6:$A$11,1))))*(INDEX(Reference!$B$6:$B$11,MIN(5,MATCH(MAX(Reference!$A$6,MIN(Reference!$A$11,MIN(D50,210))),Reference!$A$6:$A$11,1))+1)-INDEX(Reference!$B$6:$B$11,MIN(5,MATCH(MAX(Reference!$A$6,MIN(Reference!$A$11,MIN(D50,210))),Reference!$A$6:$A$11,1))))/(INDEX(Reference!$A$6:$A$11,MIN(5,MATCH(MAX(Reference!$A$6,MIN(Reference!$A$11,MIN(D50,210))),Reference!$A$6:$A$11,1))+1)-INDEX(Reference!$A$6:$A$11,MIN(5,MATCH(MAX(Reference!$A$6,MIN(Reference!$A$11,MIN(D50,210))),Reference!$A$6:$A$11,1))))),0)+IF(6&lt;=AE50,(AE50-6+3)*(INDEX(Reference!$B$6:$B$11,MIN(5,MATCH(MAX(Reference!$A$6,MIN(Reference!$A$11,MIN(D50,240))),Reference!$A$6:$A$11,1)))+(MAX(Reference!$A$6,MIN(Reference!$A$11,MIN(D50,240)))-INDEX(Reference!$A$6:$A$11,MIN(5,MATCH(MAX(Reference!$A$6,MIN(Reference!$A$11,MIN(D50,240))),Reference!$A$6:$A$11,1))))*(INDEX(Reference!$B$6:$B$11,MIN(5,MATCH(MAX(Reference!$A$6,MIN(Reference!$A$11,MIN(D50,240))),Reference!$A$6:$A$11,1))+1)-INDEX(Reference!$B$6:$B$11,MIN(5,MATCH(MAX(Reference!$A$6,MIN(Reference!$A$11,MIN(D50,240))),Reference!$A$6:$A$11,1))))/(INDEX(Reference!$A$6:$A$11,MIN(5,MATCH(MAX(Reference!$A$6,MIN(Reference!$A$11,MIN(D50,240))),Reference!$A$6:$A$11,1))+1)-INDEX(Reference!$A$6:$A$11,MIN(5,MATCH(MAX(Reference!$A$6,MIN(Reference!$A$11,MIN(D50,240))),Reference!$A$6:$A$11,1))))),0)+IF(7&lt;=AE50,(AE50-7+3)*(INDEX(Reference!$B$6:$B$11,MIN(5,MATCH(MAX(Reference!$A$6,MIN(Reference!$A$11,MIN(D50,270))),Reference!$A$6:$A$11,1)))+(MAX(Reference!$A$6,MIN(Reference!$A$11,MIN(D50,270)))-INDEX(Reference!$A$6:$A$11,MIN(5,MATCH(MAX(Reference!$A$6,MIN(Reference!$A$11,MIN(D50,270))),Reference!$A$6:$A$11,1))))*(INDEX(Reference!$B$6:$B$11,MIN(5,MATCH(MAX(Reference!$A$6,MIN(Reference!$A$11,MIN(D50,270))),Reference!$A$6:$A$11,1))+1)-INDEX(Reference!$B$6:$B$11,MIN(5,MATCH(MAX(Reference!$A$6,MIN(Reference!$A$11,MIN(D50,270))),Reference!$A$6:$A$11,1))))/(INDEX(Reference!$A$6:$A$11,MIN(5,MATCH(MAX(Reference!$A$6,MIN(Reference!$A$11,MIN(D50,270))),Reference!$A$6:$A$11,1))+1)-INDEX(Reference!$A$6:$A$11,MIN(5,MATCH(MAX(Reference!$A$6,MIN(Reference!$A$11,MIN(D50,270))),Reference!$A$6:$A$11,1))))),0)+IF(8&lt;=AE50,(AE50-8+3)*(INDEX(Reference!$B$6:$B$11,MIN(5,MATCH(MAX(Reference!$A$6,MIN(Reference!$A$11,MIN(D50,300))),Reference!$A$6:$A$11,1)))+(MAX(Reference!$A$6,MIN(Reference!$A$11,MIN(D50,300)))-INDEX(Reference!$A$6:$A$11,MIN(5,MATCH(MAX(Reference!$A$6,MIN(Reference!$A$11,MIN(D50,300))),Reference!$A$6:$A$11,1))))*(INDEX(Reference!$B$6:$B$11,MIN(5,MATCH(MAX(Reference!$A$6,MIN(Reference!$A$11,MIN(D50,300))),Reference!$A$6:$A$11,1))+1)-INDEX(Reference!$B$6:$B$11,MIN(5,MATCH(MAX(Reference!$A$6,MIN(Reference!$A$11,MIN(D50,300))),Reference!$A$6:$A$11,1))))/(INDEX(Reference!$A$6:$A$11,MIN(5,MATCH(MAX(Reference!$A$6,MIN(Reference!$A$11,MIN(D50,300))),Reference!$A$6:$A$11,1))+1)-INDEX(Reference!$A$6:$A$11,MIN(5,MATCH(MAX(Reference!$A$6,MIN(Reference!$A$11,MIN(D50,300))),Reference!$A$6:$A$11,1))))),0))/(AE50*(AE50+5)/2)),(INDEX(Reference!$B$6:$B$11,MIN(5,MATCH(MAX(Reference!$A$6,MIN(Reference!$A$11,D50)),Reference!$A$6:$A$11,1)))+(MAX(Reference!$A$6,MIN(Reference!$A$11,D50))-INDEX(Reference!$A$6:$A$11,MIN(5,MATCH(MAX(Reference!$A$6,MIN(Reference!$A$11,D50)),Reference!$A$6:$A$11,1))))*(INDEX(Reference!$B$6:$B$11,MIN(5,MATCH(MAX(Reference!$A$6,MIN(Reference!$A$11,D50)),Reference!$A$6:$A$11,1))+1)-INDEX(Reference!$B$6:$B$11,MIN(5,MATCH(MAX(Reference!$A$6,MIN(Reference!$A$11,D50)),Reference!$A$6:$A$11,1))))/(INDEX(Reference!$A$6:$A$11,MIN(5,MATCH(MAX(Reference!$A$6,MIN(Reference!$A$11,D50)),Reference!$A$6:$A$11,1))+1)-INDEX(Reference!$A$6:$A$11,MIN(5,MATCH(MAX(Reference!$A$6,MIN(Reference!$A$11,D50)),Reference!$A$6:$A$11,1))))))))</f>
        <v/>
      </c>
      <c r="P50" s="32" t="str">
        <f>IF(N50="","",VLOOKUP(MAX(N50,0),Reference!$A$17:$B$20,2,TRUE()))</f>
        <v/>
      </c>
      <c r="Q50" s="32" t="str">
        <f t="shared" si="3"/>
        <v/>
      </c>
      <c r="R50" s="31"/>
      <c r="S50" s="31"/>
      <c r="T50" s="31"/>
      <c r="U50" s="32" t="str">
        <f t="shared" si="4"/>
        <v/>
      </c>
      <c r="V50" s="32" t="str">
        <f t="shared" si="5"/>
        <v/>
      </c>
      <c r="W50" s="32" t="str">
        <f>IF(V50="","",VLOOKUP(MAX(V50,0),Reference!$A$17:$B$20,2,TRUE()))</f>
        <v/>
      </c>
      <c r="X50" s="31"/>
      <c r="Y50" s="31"/>
      <c r="Z50" s="31"/>
      <c r="AA50" s="32" t="str">
        <f t="shared" si="6"/>
        <v/>
      </c>
      <c r="AB50" s="32" t="str">
        <f t="shared" si="7"/>
        <v/>
      </c>
      <c r="AC50" s="32" t="str">
        <f>IF(AB50="","",VLOOKUP(MAX(AB50,0),Reference!$A$17:$B$20,2,TRUE()))</f>
        <v/>
      </c>
      <c r="AD50" s="31"/>
      <c r="AE50">
        <f t="shared" si="8"/>
        <v>1</v>
      </c>
      <c r="AF50" s="33" t="str">
        <f>IF(OR(A50="",B50="",AND(C50&lt;&gt;"Bullpen",C50&lt;&gt;"Game")),"",IF((COUNTIFS($B$5:$B$300,B50,$A$5:$A$300,A50-1,$C$5:$C$300,"Bullpen",$AG$5:$AG$300,"&gt;0") + COUNTIFS($B$5:$B$300,B50,$A$5:$A$300,A50-1,$C$5:$C$300,"Game",$AG$5:$AG$300,"&gt;0"))&gt;0,Reference!$B$119,IF((COUNTIFS($B$5:$B$300,B50,$A$5:$A$300,A50-2,$C$5:$C$300,"Bullpen",$AG$5:$AG$300,"&gt;0") + COUNTIFS($B$5:$B$300,B50,$A$5:$A$300,A50-2,$C$5:$C$300,"Game",$AG$5:$AG$300,"&gt;0"))&gt;0,Reference!$B$120,1)))</f>
        <v/>
      </c>
      <c r="AG50" s="30" t="str">
        <f>IF(AND(OR(I50="",O50="",P50=""),OR(R50="",W50=""),OR(X50="",AC50="")),"",IF(OR(I50="",O50="",P50=""),0,I50*O50*P50)+IF(OR(R50="",W50=""),0,R50*IFERROR(INDEX(Reference!$B$61:$B$62,MATCH("Bullpen",Reference!$A$61:$A$62,0)),0)*W50)+IF(OR(X50="",AC50=""),0,X50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50))</f>
        <v/>
      </c>
    </row>
    <row r="51" spans="1:33" x14ac:dyDescent="0.3">
      <c r="A51" s="35">
        <v>46311</v>
      </c>
      <c r="B51" s="31" t="s">
        <v>142</v>
      </c>
      <c r="C51" s="31"/>
      <c r="D51" s="31"/>
      <c r="E51" s="34"/>
      <c r="F51" s="34"/>
      <c r="G51" s="30" t="str">
        <f t="shared" si="0"/>
        <v/>
      </c>
      <c r="H51" s="31"/>
      <c r="I51" s="32" t="str">
        <f>IF(H51&lt;&gt;"",H51,IF(G51="","",ROUND(G51*IFERROR(INDEX(Reference!$B$44:$B$50,MATCH(C51,Reference!$A$44:$A$50,0)),0),0)))</f>
        <v/>
      </c>
      <c r="J51" s="31"/>
      <c r="K51" s="31"/>
      <c r="L51" s="32" t="str">
        <f t="shared" si="1"/>
        <v/>
      </c>
      <c r="M51" s="32">
        <f>IFERROR(INDEX(Roster!$D$5:$D$40,MATCH(B51,Roster!$A$5:$A$40,0)),"")</f>
        <v>87.9</v>
      </c>
      <c r="N51" s="32" t="str">
        <f t="shared" si="2"/>
        <v/>
      </c>
      <c r="O51" s="32" t="str">
        <f>IF(OR(C51="Bullpen",C51="Game"),IFERROR(INDEX(Reference!$B$61:$B$62,MATCH(C51,Reference!$A$61:$A$62,0)),""),IF(D51="","",IF(AE51&gt;1,((IF(1&lt;=AE51,(AE51-1+3)*(INDEX(Reference!$B$6:$B$11,MIN(5,MATCH(MAX(Reference!$A$6,MIN(Reference!$A$11,MIN(D51,90))),Reference!$A$6:$A$11,1)))+(MAX(Reference!$A$6,MIN(Reference!$A$11,MIN(D51,90)))-INDEX(Reference!$A$6:$A$11,MIN(5,MATCH(MAX(Reference!$A$6,MIN(Reference!$A$11,MIN(D51,90))),Reference!$A$6:$A$11,1))))*(INDEX(Reference!$B$6:$B$11,MIN(5,MATCH(MAX(Reference!$A$6,MIN(Reference!$A$11,MIN(D51,90))),Reference!$A$6:$A$11,1))+1)-INDEX(Reference!$B$6:$B$11,MIN(5,MATCH(MAX(Reference!$A$6,MIN(Reference!$A$11,MIN(D51,90))),Reference!$A$6:$A$11,1))))/(INDEX(Reference!$A$6:$A$11,MIN(5,MATCH(MAX(Reference!$A$6,MIN(Reference!$A$11,MIN(D51,90))),Reference!$A$6:$A$11,1))+1)-INDEX(Reference!$A$6:$A$11,MIN(5,MATCH(MAX(Reference!$A$6,MIN(Reference!$A$11,MIN(D51,90))),Reference!$A$6:$A$11,1))))),0)+IF(2&lt;=AE51,(AE51-2+3)*(INDEX(Reference!$B$6:$B$11,MIN(5,MATCH(MAX(Reference!$A$6,MIN(Reference!$A$11,MIN(D51,120))),Reference!$A$6:$A$11,1)))+(MAX(Reference!$A$6,MIN(Reference!$A$11,MIN(D51,120)))-INDEX(Reference!$A$6:$A$11,MIN(5,MATCH(MAX(Reference!$A$6,MIN(Reference!$A$11,MIN(D51,120))),Reference!$A$6:$A$11,1))))*(INDEX(Reference!$B$6:$B$11,MIN(5,MATCH(MAX(Reference!$A$6,MIN(Reference!$A$11,MIN(D51,120))),Reference!$A$6:$A$11,1))+1)-INDEX(Reference!$B$6:$B$11,MIN(5,MATCH(MAX(Reference!$A$6,MIN(Reference!$A$11,MIN(D51,120))),Reference!$A$6:$A$11,1))))/(INDEX(Reference!$A$6:$A$11,MIN(5,MATCH(MAX(Reference!$A$6,MIN(Reference!$A$11,MIN(D51,120))),Reference!$A$6:$A$11,1))+1)-INDEX(Reference!$A$6:$A$11,MIN(5,MATCH(MAX(Reference!$A$6,MIN(Reference!$A$11,MIN(D51,120))),Reference!$A$6:$A$11,1))))),0)+IF(3&lt;=AE51,(AE51-3+3)*(INDEX(Reference!$B$6:$B$11,MIN(5,MATCH(MAX(Reference!$A$6,MIN(Reference!$A$11,MIN(D51,150))),Reference!$A$6:$A$11,1)))+(MAX(Reference!$A$6,MIN(Reference!$A$11,MIN(D51,150)))-INDEX(Reference!$A$6:$A$11,MIN(5,MATCH(MAX(Reference!$A$6,MIN(Reference!$A$11,MIN(D51,150))),Reference!$A$6:$A$11,1))))*(INDEX(Reference!$B$6:$B$11,MIN(5,MATCH(MAX(Reference!$A$6,MIN(Reference!$A$11,MIN(D51,150))),Reference!$A$6:$A$11,1))+1)-INDEX(Reference!$B$6:$B$11,MIN(5,MATCH(MAX(Reference!$A$6,MIN(Reference!$A$11,MIN(D51,150))),Reference!$A$6:$A$11,1))))/(INDEX(Reference!$A$6:$A$11,MIN(5,MATCH(MAX(Reference!$A$6,MIN(Reference!$A$11,MIN(D51,150))),Reference!$A$6:$A$11,1))+1)-INDEX(Reference!$A$6:$A$11,MIN(5,MATCH(MAX(Reference!$A$6,MIN(Reference!$A$11,MIN(D51,150))),Reference!$A$6:$A$11,1))))),0)+IF(4&lt;=AE51,(AE51-4+3)*(INDEX(Reference!$B$6:$B$11,MIN(5,MATCH(MAX(Reference!$A$6,MIN(Reference!$A$11,MIN(D51,180))),Reference!$A$6:$A$11,1)))+(MAX(Reference!$A$6,MIN(Reference!$A$11,MIN(D51,180)))-INDEX(Reference!$A$6:$A$11,MIN(5,MATCH(MAX(Reference!$A$6,MIN(Reference!$A$11,MIN(D51,180))),Reference!$A$6:$A$11,1))))*(INDEX(Reference!$B$6:$B$11,MIN(5,MATCH(MAX(Reference!$A$6,MIN(Reference!$A$11,MIN(D51,180))),Reference!$A$6:$A$11,1))+1)-INDEX(Reference!$B$6:$B$11,MIN(5,MATCH(MAX(Reference!$A$6,MIN(Reference!$A$11,MIN(D51,180))),Reference!$A$6:$A$11,1))))/(INDEX(Reference!$A$6:$A$11,MIN(5,MATCH(MAX(Reference!$A$6,MIN(Reference!$A$11,MIN(D51,180))),Reference!$A$6:$A$11,1))+1)-INDEX(Reference!$A$6:$A$11,MIN(5,MATCH(MAX(Reference!$A$6,MIN(Reference!$A$11,MIN(D51,180))),Reference!$A$6:$A$11,1))))),0)+IF(5&lt;=AE51,(AE51-5+3)*(INDEX(Reference!$B$6:$B$11,MIN(5,MATCH(MAX(Reference!$A$6,MIN(Reference!$A$11,MIN(D51,210))),Reference!$A$6:$A$11,1)))+(MAX(Reference!$A$6,MIN(Reference!$A$11,MIN(D51,210)))-INDEX(Reference!$A$6:$A$11,MIN(5,MATCH(MAX(Reference!$A$6,MIN(Reference!$A$11,MIN(D51,210))),Reference!$A$6:$A$11,1))))*(INDEX(Reference!$B$6:$B$11,MIN(5,MATCH(MAX(Reference!$A$6,MIN(Reference!$A$11,MIN(D51,210))),Reference!$A$6:$A$11,1))+1)-INDEX(Reference!$B$6:$B$11,MIN(5,MATCH(MAX(Reference!$A$6,MIN(Reference!$A$11,MIN(D51,210))),Reference!$A$6:$A$11,1))))/(INDEX(Reference!$A$6:$A$11,MIN(5,MATCH(MAX(Reference!$A$6,MIN(Reference!$A$11,MIN(D51,210))),Reference!$A$6:$A$11,1))+1)-INDEX(Reference!$A$6:$A$11,MIN(5,MATCH(MAX(Reference!$A$6,MIN(Reference!$A$11,MIN(D51,210))),Reference!$A$6:$A$11,1))))),0)+IF(6&lt;=AE51,(AE51-6+3)*(INDEX(Reference!$B$6:$B$11,MIN(5,MATCH(MAX(Reference!$A$6,MIN(Reference!$A$11,MIN(D51,240))),Reference!$A$6:$A$11,1)))+(MAX(Reference!$A$6,MIN(Reference!$A$11,MIN(D51,240)))-INDEX(Reference!$A$6:$A$11,MIN(5,MATCH(MAX(Reference!$A$6,MIN(Reference!$A$11,MIN(D51,240))),Reference!$A$6:$A$11,1))))*(INDEX(Reference!$B$6:$B$11,MIN(5,MATCH(MAX(Reference!$A$6,MIN(Reference!$A$11,MIN(D51,240))),Reference!$A$6:$A$11,1))+1)-INDEX(Reference!$B$6:$B$11,MIN(5,MATCH(MAX(Reference!$A$6,MIN(Reference!$A$11,MIN(D51,240))),Reference!$A$6:$A$11,1))))/(INDEX(Reference!$A$6:$A$11,MIN(5,MATCH(MAX(Reference!$A$6,MIN(Reference!$A$11,MIN(D51,240))),Reference!$A$6:$A$11,1))+1)-INDEX(Reference!$A$6:$A$11,MIN(5,MATCH(MAX(Reference!$A$6,MIN(Reference!$A$11,MIN(D51,240))),Reference!$A$6:$A$11,1))))),0)+IF(7&lt;=AE51,(AE51-7+3)*(INDEX(Reference!$B$6:$B$11,MIN(5,MATCH(MAX(Reference!$A$6,MIN(Reference!$A$11,MIN(D51,270))),Reference!$A$6:$A$11,1)))+(MAX(Reference!$A$6,MIN(Reference!$A$11,MIN(D51,270)))-INDEX(Reference!$A$6:$A$11,MIN(5,MATCH(MAX(Reference!$A$6,MIN(Reference!$A$11,MIN(D51,270))),Reference!$A$6:$A$11,1))))*(INDEX(Reference!$B$6:$B$11,MIN(5,MATCH(MAX(Reference!$A$6,MIN(Reference!$A$11,MIN(D51,270))),Reference!$A$6:$A$11,1))+1)-INDEX(Reference!$B$6:$B$11,MIN(5,MATCH(MAX(Reference!$A$6,MIN(Reference!$A$11,MIN(D51,270))),Reference!$A$6:$A$11,1))))/(INDEX(Reference!$A$6:$A$11,MIN(5,MATCH(MAX(Reference!$A$6,MIN(Reference!$A$11,MIN(D51,270))),Reference!$A$6:$A$11,1))+1)-INDEX(Reference!$A$6:$A$11,MIN(5,MATCH(MAX(Reference!$A$6,MIN(Reference!$A$11,MIN(D51,270))),Reference!$A$6:$A$11,1))))),0)+IF(8&lt;=AE51,(AE51-8+3)*(INDEX(Reference!$B$6:$B$11,MIN(5,MATCH(MAX(Reference!$A$6,MIN(Reference!$A$11,MIN(D51,300))),Reference!$A$6:$A$11,1)))+(MAX(Reference!$A$6,MIN(Reference!$A$11,MIN(D51,300)))-INDEX(Reference!$A$6:$A$11,MIN(5,MATCH(MAX(Reference!$A$6,MIN(Reference!$A$11,MIN(D51,300))),Reference!$A$6:$A$11,1))))*(INDEX(Reference!$B$6:$B$11,MIN(5,MATCH(MAX(Reference!$A$6,MIN(Reference!$A$11,MIN(D51,300))),Reference!$A$6:$A$11,1))+1)-INDEX(Reference!$B$6:$B$11,MIN(5,MATCH(MAX(Reference!$A$6,MIN(Reference!$A$11,MIN(D51,300))),Reference!$A$6:$A$11,1))))/(INDEX(Reference!$A$6:$A$11,MIN(5,MATCH(MAX(Reference!$A$6,MIN(Reference!$A$11,MIN(D51,300))),Reference!$A$6:$A$11,1))+1)-INDEX(Reference!$A$6:$A$11,MIN(5,MATCH(MAX(Reference!$A$6,MIN(Reference!$A$11,MIN(D51,300))),Reference!$A$6:$A$11,1))))),0))/(AE51*(AE51+5)/2)),(INDEX(Reference!$B$6:$B$11,MIN(5,MATCH(MAX(Reference!$A$6,MIN(Reference!$A$11,D51)),Reference!$A$6:$A$11,1)))+(MAX(Reference!$A$6,MIN(Reference!$A$11,D51))-INDEX(Reference!$A$6:$A$11,MIN(5,MATCH(MAX(Reference!$A$6,MIN(Reference!$A$11,D51)),Reference!$A$6:$A$11,1))))*(INDEX(Reference!$B$6:$B$11,MIN(5,MATCH(MAX(Reference!$A$6,MIN(Reference!$A$11,D51)),Reference!$A$6:$A$11,1))+1)-INDEX(Reference!$B$6:$B$11,MIN(5,MATCH(MAX(Reference!$A$6,MIN(Reference!$A$11,D51)),Reference!$A$6:$A$11,1))))/(INDEX(Reference!$A$6:$A$11,MIN(5,MATCH(MAX(Reference!$A$6,MIN(Reference!$A$11,D51)),Reference!$A$6:$A$11,1))+1)-INDEX(Reference!$A$6:$A$11,MIN(5,MATCH(MAX(Reference!$A$6,MIN(Reference!$A$11,D51)),Reference!$A$6:$A$11,1))))))))</f>
        <v/>
      </c>
      <c r="P51" s="32" t="str">
        <f>IF(N51="","",VLOOKUP(MAX(N51,0),Reference!$A$17:$B$20,2,TRUE()))</f>
        <v/>
      </c>
      <c r="Q51" s="32" t="str">
        <f t="shared" si="3"/>
        <v/>
      </c>
      <c r="R51" s="31"/>
      <c r="S51" s="31"/>
      <c r="T51" s="31"/>
      <c r="U51" s="32" t="str">
        <f t="shared" si="4"/>
        <v/>
      </c>
      <c r="V51" s="32" t="str">
        <f t="shared" si="5"/>
        <v/>
      </c>
      <c r="W51" s="32" t="str">
        <f>IF(V51="","",VLOOKUP(MAX(V51,0),Reference!$A$17:$B$20,2,TRUE()))</f>
        <v/>
      </c>
      <c r="X51" s="31"/>
      <c r="Y51" s="31"/>
      <c r="Z51" s="31"/>
      <c r="AA51" s="32" t="str">
        <f t="shared" si="6"/>
        <v/>
      </c>
      <c r="AB51" s="32" t="str">
        <f t="shared" si="7"/>
        <v/>
      </c>
      <c r="AC51" s="32" t="str">
        <f>IF(AB51="","",VLOOKUP(MAX(AB51,0),Reference!$A$17:$B$20,2,TRUE()))</f>
        <v/>
      </c>
      <c r="AD51" s="31"/>
      <c r="AE51">
        <f t="shared" si="8"/>
        <v>1</v>
      </c>
      <c r="AF51" s="33" t="str">
        <f>IF(OR(A51="",B51="",AND(C51&lt;&gt;"Bullpen",C51&lt;&gt;"Game")),"",IF((COUNTIFS($B$5:$B$300,B51,$A$5:$A$300,A51-1,$C$5:$C$300,"Bullpen",$AG$5:$AG$300,"&gt;0") + COUNTIFS($B$5:$B$300,B51,$A$5:$A$300,A51-1,$C$5:$C$300,"Game",$AG$5:$AG$300,"&gt;0"))&gt;0,Reference!$B$119,IF((COUNTIFS($B$5:$B$300,B51,$A$5:$A$300,A51-2,$C$5:$C$300,"Bullpen",$AG$5:$AG$300,"&gt;0") + COUNTIFS($B$5:$B$300,B51,$A$5:$A$300,A51-2,$C$5:$C$300,"Game",$AG$5:$AG$300,"&gt;0"))&gt;0,Reference!$B$120,1)))</f>
        <v/>
      </c>
      <c r="AG51" s="30" t="str">
        <f>IF(AND(OR(I51="",O51="",P51=""),OR(R51="",W51=""),OR(X51="",AC51="")),"",IF(OR(I51="",O51="",P51=""),0,I51*O51*P51)+IF(OR(R51="",W51=""),0,R51*IFERROR(INDEX(Reference!$B$61:$B$62,MATCH("Bullpen",Reference!$A$61:$A$62,0)),0)*W51)+IF(OR(X51="",AC51=""),0,X51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51))</f>
        <v/>
      </c>
    </row>
    <row r="52" spans="1:33" x14ac:dyDescent="0.3">
      <c r="A52" s="35">
        <v>46312</v>
      </c>
      <c r="B52" s="31" t="s">
        <v>142</v>
      </c>
      <c r="C52" s="31"/>
      <c r="D52" s="31"/>
      <c r="E52" s="34"/>
      <c r="F52" s="34"/>
      <c r="G52" s="30" t="str">
        <f t="shared" si="0"/>
        <v/>
      </c>
      <c r="H52" s="31"/>
      <c r="I52" s="32" t="str">
        <f>IF(H52&lt;&gt;"",H52,IF(G52="","",ROUND(G52*IFERROR(INDEX(Reference!$B$44:$B$50,MATCH(C52,Reference!$A$44:$A$50,0)),0),0)))</f>
        <v/>
      </c>
      <c r="J52" s="31"/>
      <c r="K52" s="31"/>
      <c r="L52" s="32" t="str">
        <f t="shared" si="1"/>
        <v/>
      </c>
      <c r="M52" s="32">
        <f>IFERROR(INDEX(Roster!$D$5:$D$40,MATCH(B52,Roster!$A$5:$A$40,0)),"")</f>
        <v>87.9</v>
      </c>
      <c r="N52" s="32" t="str">
        <f t="shared" si="2"/>
        <v/>
      </c>
      <c r="O52" s="32" t="str">
        <f>IF(OR(C52="Bullpen",C52="Game"),IFERROR(INDEX(Reference!$B$61:$B$62,MATCH(C52,Reference!$A$61:$A$62,0)),""),IF(D52="","",IF(AE52&gt;1,((IF(1&lt;=AE52,(AE52-1+3)*(INDEX(Reference!$B$6:$B$11,MIN(5,MATCH(MAX(Reference!$A$6,MIN(Reference!$A$11,MIN(D52,90))),Reference!$A$6:$A$11,1)))+(MAX(Reference!$A$6,MIN(Reference!$A$11,MIN(D52,90)))-INDEX(Reference!$A$6:$A$11,MIN(5,MATCH(MAX(Reference!$A$6,MIN(Reference!$A$11,MIN(D52,90))),Reference!$A$6:$A$11,1))))*(INDEX(Reference!$B$6:$B$11,MIN(5,MATCH(MAX(Reference!$A$6,MIN(Reference!$A$11,MIN(D52,90))),Reference!$A$6:$A$11,1))+1)-INDEX(Reference!$B$6:$B$11,MIN(5,MATCH(MAX(Reference!$A$6,MIN(Reference!$A$11,MIN(D52,90))),Reference!$A$6:$A$11,1))))/(INDEX(Reference!$A$6:$A$11,MIN(5,MATCH(MAX(Reference!$A$6,MIN(Reference!$A$11,MIN(D52,90))),Reference!$A$6:$A$11,1))+1)-INDEX(Reference!$A$6:$A$11,MIN(5,MATCH(MAX(Reference!$A$6,MIN(Reference!$A$11,MIN(D52,90))),Reference!$A$6:$A$11,1))))),0)+IF(2&lt;=AE52,(AE52-2+3)*(INDEX(Reference!$B$6:$B$11,MIN(5,MATCH(MAX(Reference!$A$6,MIN(Reference!$A$11,MIN(D52,120))),Reference!$A$6:$A$11,1)))+(MAX(Reference!$A$6,MIN(Reference!$A$11,MIN(D52,120)))-INDEX(Reference!$A$6:$A$11,MIN(5,MATCH(MAX(Reference!$A$6,MIN(Reference!$A$11,MIN(D52,120))),Reference!$A$6:$A$11,1))))*(INDEX(Reference!$B$6:$B$11,MIN(5,MATCH(MAX(Reference!$A$6,MIN(Reference!$A$11,MIN(D52,120))),Reference!$A$6:$A$11,1))+1)-INDEX(Reference!$B$6:$B$11,MIN(5,MATCH(MAX(Reference!$A$6,MIN(Reference!$A$11,MIN(D52,120))),Reference!$A$6:$A$11,1))))/(INDEX(Reference!$A$6:$A$11,MIN(5,MATCH(MAX(Reference!$A$6,MIN(Reference!$A$11,MIN(D52,120))),Reference!$A$6:$A$11,1))+1)-INDEX(Reference!$A$6:$A$11,MIN(5,MATCH(MAX(Reference!$A$6,MIN(Reference!$A$11,MIN(D52,120))),Reference!$A$6:$A$11,1))))),0)+IF(3&lt;=AE52,(AE52-3+3)*(INDEX(Reference!$B$6:$B$11,MIN(5,MATCH(MAX(Reference!$A$6,MIN(Reference!$A$11,MIN(D52,150))),Reference!$A$6:$A$11,1)))+(MAX(Reference!$A$6,MIN(Reference!$A$11,MIN(D52,150)))-INDEX(Reference!$A$6:$A$11,MIN(5,MATCH(MAX(Reference!$A$6,MIN(Reference!$A$11,MIN(D52,150))),Reference!$A$6:$A$11,1))))*(INDEX(Reference!$B$6:$B$11,MIN(5,MATCH(MAX(Reference!$A$6,MIN(Reference!$A$11,MIN(D52,150))),Reference!$A$6:$A$11,1))+1)-INDEX(Reference!$B$6:$B$11,MIN(5,MATCH(MAX(Reference!$A$6,MIN(Reference!$A$11,MIN(D52,150))),Reference!$A$6:$A$11,1))))/(INDEX(Reference!$A$6:$A$11,MIN(5,MATCH(MAX(Reference!$A$6,MIN(Reference!$A$11,MIN(D52,150))),Reference!$A$6:$A$11,1))+1)-INDEX(Reference!$A$6:$A$11,MIN(5,MATCH(MAX(Reference!$A$6,MIN(Reference!$A$11,MIN(D52,150))),Reference!$A$6:$A$11,1))))),0)+IF(4&lt;=AE52,(AE52-4+3)*(INDEX(Reference!$B$6:$B$11,MIN(5,MATCH(MAX(Reference!$A$6,MIN(Reference!$A$11,MIN(D52,180))),Reference!$A$6:$A$11,1)))+(MAX(Reference!$A$6,MIN(Reference!$A$11,MIN(D52,180)))-INDEX(Reference!$A$6:$A$11,MIN(5,MATCH(MAX(Reference!$A$6,MIN(Reference!$A$11,MIN(D52,180))),Reference!$A$6:$A$11,1))))*(INDEX(Reference!$B$6:$B$11,MIN(5,MATCH(MAX(Reference!$A$6,MIN(Reference!$A$11,MIN(D52,180))),Reference!$A$6:$A$11,1))+1)-INDEX(Reference!$B$6:$B$11,MIN(5,MATCH(MAX(Reference!$A$6,MIN(Reference!$A$11,MIN(D52,180))),Reference!$A$6:$A$11,1))))/(INDEX(Reference!$A$6:$A$11,MIN(5,MATCH(MAX(Reference!$A$6,MIN(Reference!$A$11,MIN(D52,180))),Reference!$A$6:$A$11,1))+1)-INDEX(Reference!$A$6:$A$11,MIN(5,MATCH(MAX(Reference!$A$6,MIN(Reference!$A$11,MIN(D52,180))),Reference!$A$6:$A$11,1))))),0)+IF(5&lt;=AE52,(AE52-5+3)*(INDEX(Reference!$B$6:$B$11,MIN(5,MATCH(MAX(Reference!$A$6,MIN(Reference!$A$11,MIN(D52,210))),Reference!$A$6:$A$11,1)))+(MAX(Reference!$A$6,MIN(Reference!$A$11,MIN(D52,210)))-INDEX(Reference!$A$6:$A$11,MIN(5,MATCH(MAX(Reference!$A$6,MIN(Reference!$A$11,MIN(D52,210))),Reference!$A$6:$A$11,1))))*(INDEX(Reference!$B$6:$B$11,MIN(5,MATCH(MAX(Reference!$A$6,MIN(Reference!$A$11,MIN(D52,210))),Reference!$A$6:$A$11,1))+1)-INDEX(Reference!$B$6:$B$11,MIN(5,MATCH(MAX(Reference!$A$6,MIN(Reference!$A$11,MIN(D52,210))),Reference!$A$6:$A$11,1))))/(INDEX(Reference!$A$6:$A$11,MIN(5,MATCH(MAX(Reference!$A$6,MIN(Reference!$A$11,MIN(D52,210))),Reference!$A$6:$A$11,1))+1)-INDEX(Reference!$A$6:$A$11,MIN(5,MATCH(MAX(Reference!$A$6,MIN(Reference!$A$11,MIN(D52,210))),Reference!$A$6:$A$11,1))))),0)+IF(6&lt;=AE52,(AE52-6+3)*(INDEX(Reference!$B$6:$B$11,MIN(5,MATCH(MAX(Reference!$A$6,MIN(Reference!$A$11,MIN(D52,240))),Reference!$A$6:$A$11,1)))+(MAX(Reference!$A$6,MIN(Reference!$A$11,MIN(D52,240)))-INDEX(Reference!$A$6:$A$11,MIN(5,MATCH(MAX(Reference!$A$6,MIN(Reference!$A$11,MIN(D52,240))),Reference!$A$6:$A$11,1))))*(INDEX(Reference!$B$6:$B$11,MIN(5,MATCH(MAX(Reference!$A$6,MIN(Reference!$A$11,MIN(D52,240))),Reference!$A$6:$A$11,1))+1)-INDEX(Reference!$B$6:$B$11,MIN(5,MATCH(MAX(Reference!$A$6,MIN(Reference!$A$11,MIN(D52,240))),Reference!$A$6:$A$11,1))))/(INDEX(Reference!$A$6:$A$11,MIN(5,MATCH(MAX(Reference!$A$6,MIN(Reference!$A$11,MIN(D52,240))),Reference!$A$6:$A$11,1))+1)-INDEX(Reference!$A$6:$A$11,MIN(5,MATCH(MAX(Reference!$A$6,MIN(Reference!$A$11,MIN(D52,240))),Reference!$A$6:$A$11,1))))),0)+IF(7&lt;=AE52,(AE52-7+3)*(INDEX(Reference!$B$6:$B$11,MIN(5,MATCH(MAX(Reference!$A$6,MIN(Reference!$A$11,MIN(D52,270))),Reference!$A$6:$A$11,1)))+(MAX(Reference!$A$6,MIN(Reference!$A$11,MIN(D52,270)))-INDEX(Reference!$A$6:$A$11,MIN(5,MATCH(MAX(Reference!$A$6,MIN(Reference!$A$11,MIN(D52,270))),Reference!$A$6:$A$11,1))))*(INDEX(Reference!$B$6:$B$11,MIN(5,MATCH(MAX(Reference!$A$6,MIN(Reference!$A$11,MIN(D52,270))),Reference!$A$6:$A$11,1))+1)-INDEX(Reference!$B$6:$B$11,MIN(5,MATCH(MAX(Reference!$A$6,MIN(Reference!$A$11,MIN(D52,270))),Reference!$A$6:$A$11,1))))/(INDEX(Reference!$A$6:$A$11,MIN(5,MATCH(MAX(Reference!$A$6,MIN(Reference!$A$11,MIN(D52,270))),Reference!$A$6:$A$11,1))+1)-INDEX(Reference!$A$6:$A$11,MIN(5,MATCH(MAX(Reference!$A$6,MIN(Reference!$A$11,MIN(D52,270))),Reference!$A$6:$A$11,1))))),0)+IF(8&lt;=AE52,(AE52-8+3)*(INDEX(Reference!$B$6:$B$11,MIN(5,MATCH(MAX(Reference!$A$6,MIN(Reference!$A$11,MIN(D52,300))),Reference!$A$6:$A$11,1)))+(MAX(Reference!$A$6,MIN(Reference!$A$11,MIN(D52,300)))-INDEX(Reference!$A$6:$A$11,MIN(5,MATCH(MAX(Reference!$A$6,MIN(Reference!$A$11,MIN(D52,300))),Reference!$A$6:$A$11,1))))*(INDEX(Reference!$B$6:$B$11,MIN(5,MATCH(MAX(Reference!$A$6,MIN(Reference!$A$11,MIN(D52,300))),Reference!$A$6:$A$11,1))+1)-INDEX(Reference!$B$6:$B$11,MIN(5,MATCH(MAX(Reference!$A$6,MIN(Reference!$A$11,MIN(D52,300))),Reference!$A$6:$A$11,1))))/(INDEX(Reference!$A$6:$A$11,MIN(5,MATCH(MAX(Reference!$A$6,MIN(Reference!$A$11,MIN(D52,300))),Reference!$A$6:$A$11,1))+1)-INDEX(Reference!$A$6:$A$11,MIN(5,MATCH(MAX(Reference!$A$6,MIN(Reference!$A$11,MIN(D52,300))),Reference!$A$6:$A$11,1))))),0))/(AE52*(AE52+5)/2)),(INDEX(Reference!$B$6:$B$11,MIN(5,MATCH(MAX(Reference!$A$6,MIN(Reference!$A$11,D52)),Reference!$A$6:$A$11,1)))+(MAX(Reference!$A$6,MIN(Reference!$A$11,D52))-INDEX(Reference!$A$6:$A$11,MIN(5,MATCH(MAX(Reference!$A$6,MIN(Reference!$A$11,D52)),Reference!$A$6:$A$11,1))))*(INDEX(Reference!$B$6:$B$11,MIN(5,MATCH(MAX(Reference!$A$6,MIN(Reference!$A$11,D52)),Reference!$A$6:$A$11,1))+1)-INDEX(Reference!$B$6:$B$11,MIN(5,MATCH(MAX(Reference!$A$6,MIN(Reference!$A$11,D52)),Reference!$A$6:$A$11,1))))/(INDEX(Reference!$A$6:$A$11,MIN(5,MATCH(MAX(Reference!$A$6,MIN(Reference!$A$11,D52)),Reference!$A$6:$A$11,1))+1)-INDEX(Reference!$A$6:$A$11,MIN(5,MATCH(MAX(Reference!$A$6,MIN(Reference!$A$11,D52)),Reference!$A$6:$A$11,1))))))))</f>
        <v/>
      </c>
      <c r="P52" s="32" t="str">
        <f>IF(N52="","",VLOOKUP(MAX(N52,0),Reference!$A$17:$B$20,2,TRUE()))</f>
        <v/>
      </c>
      <c r="Q52" s="32" t="str">
        <f t="shared" si="3"/>
        <v/>
      </c>
      <c r="R52" s="31"/>
      <c r="S52" s="31"/>
      <c r="T52" s="31"/>
      <c r="U52" s="32" t="str">
        <f t="shared" si="4"/>
        <v/>
      </c>
      <c r="V52" s="32" t="str">
        <f t="shared" si="5"/>
        <v/>
      </c>
      <c r="W52" s="32" t="str">
        <f>IF(V52="","",VLOOKUP(MAX(V52,0),Reference!$A$17:$B$20,2,TRUE()))</f>
        <v/>
      </c>
      <c r="X52" s="31"/>
      <c r="Y52" s="31"/>
      <c r="Z52" s="31"/>
      <c r="AA52" s="32" t="str">
        <f t="shared" si="6"/>
        <v/>
      </c>
      <c r="AB52" s="32" t="str">
        <f t="shared" si="7"/>
        <v/>
      </c>
      <c r="AC52" s="32" t="str">
        <f>IF(AB52="","",VLOOKUP(MAX(AB52,0),Reference!$A$17:$B$20,2,TRUE()))</f>
        <v/>
      </c>
      <c r="AD52" s="31"/>
      <c r="AE52">
        <f t="shared" si="8"/>
        <v>1</v>
      </c>
      <c r="AF52" s="33" t="str">
        <f>IF(OR(A52="",B52="",AND(C52&lt;&gt;"Bullpen",C52&lt;&gt;"Game")),"",IF((COUNTIFS($B$5:$B$300,B52,$A$5:$A$300,A52-1,$C$5:$C$300,"Bullpen",$AG$5:$AG$300,"&gt;0") + COUNTIFS($B$5:$B$300,B52,$A$5:$A$300,A52-1,$C$5:$C$300,"Game",$AG$5:$AG$300,"&gt;0"))&gt;0,Reference!$B$119,IF((COUNTIFS($B$5:$B$300,B52,$A$5:$A$300,A52-2,$C$5:$C$300,"Bullpen",$AG$5:$AG$300,"&gt;0") + COUNTIFS($B$5:$B$300,B52,$A$5:$A$300,A52-2,$C$5:$C$300,"Game",$AG$5:$AG$300,"&gt;0"))&gt;0,Reference!$B$120,1)))</f>
        <v/>
      </c>
      <c r="AG52" s="30" t="str">
        <f>IF(AND(OR(I52="",O52="",P52=""),OR(R52="",W52=""),OR(X52="",AC52="")),"",IF(OR(I52="",O52="",P52=""),0,I52*O52*P52)+IF(OR(R52="",W52=""),0,R52*IFERROR(INDEX(Reference!$B$61:$B$62,MATCH("Bullpen",Reference!$A$61:$A$62,0)),0)*W52)+IF(OR(X52="",AC52=""),0,X52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52))</f>
        <v/>
      </c>
    </row>
    <row r="53" spans="1:33" x14ac:dyDescent="0.3">
      <c r="A53" s="35">
        <v>46313</v>
      </c>
      <c r="B53" s="31" t="s">
        <v>142</v>
      </c>
      <c r="C53" s="31"/>
      <c r="D53" s="31"/>
      <c r="E53" s="34"/>
      <c r="F53" s="34"/>
      <c r="G53" s="30" t="str">
        <f t="shared" si="0"/>
        <v/>
      </c>
      <c r="H53" s="31"/>
      <c r="I53" s="32" t="str">
        <f>IF(H53&lt;&gt;"",H53,IF(G53="","",ROUND(G53*IFERROR(INDEX(Reference!$B$44:$B$50,MATCH(C53,Reference!$A$44:$A$50,0)),0),0)))</f>
        <v/>
      </c>
      <c r="J53" s="31"/>
      <c r="K53" s="31"/>
      <c r="L53" s="32" t="str">
        <f t="shared" si="1"/>
        <v/>
      </c>
      <c r="M53" s="32">
        <f>IFERROR(INDEX(Roster!$D$5:$D$40,MATCH(B53,Roster!$A$5:$A$40,0)),"")</f>
        <v>87.9</v>
      </c>
      <c r="N53" s="32" t="str">
        <f t="shared" si="2"/>
        <v/>
      </c>
      <c r="O53" s="32" t="str">
        <f>IF(OR(C53="Bullpen",C53="Game"),IFERROR(INDEX(Reference!$B$61:$B$62,MATCH(C53,Reference!$A$61:$A$62,0)),""),IF(D53="","",IF(AE53&gt;1,((IF(1&lt;=AE53,(AE53-1+3)*(INDEX(Reference!$B$6:$B$11,MIN(5,MATCH(MAX(Reference!$A$6,MIN(Reference!$A$11,MIN(D53,90))),Reference!$A$6:$A$11,1)))+(MAX(Reference!$A$6,MIN(Reference!$A$11,MIN(D53,90)))-INDEX(Reference!$A$6:$A$11,MIN(5,MATCH(MAX(Reference!$A$6,MIN(Reference!$A$11,MIN(D53,90))),Reference!$A$6:$A$11,1))))*(INDEX(Reference!$B$6:$B$11,MIN(5,MATCH(MAX(Reference!$A$6,MIN(Reference!$A$11,MIN(D53,90))),Reference!$A$6:$A$11,1))+1)-INDEX(Reference!$B$6:$B$11,MIN(5,MATCH(MAX(Reference!$A$6,MIN(Reference!$A$11,MIN(D53,90))),Reference!$A$6:$A$11,1))))/(INDEX(Reference!$A$6:$A$11,MIN(5,MATCH(MAX(Reference!$A$6,MIN(Reference!$A$11,MIN(D53,90))),Reference!$A$6:$A$11,1))+1)-INDEX(Reference!$A$6:$A$11,MIN(5,MATCH(MAX(Reference!$A$6,MIN(Reference!$A$11,MIN(D53,90))),Reference!$A$6:$A$11,1))))),0)+IF(2&lt;=AE53,(AE53-2+3)*(INDEX(Reference!$B$6:$B$11,MIN(5,MATCH(MAX(Reference!$A$6,MIN(Reference!$A$11,MIN(D53,120))),Reference!$A$6:$A$11,1)))+(MAX(Reference!$A$6,MIN(Reference!$A$11,MIN(D53,120)))-INDEX(Reference!$A$6:$A$11,MIN(5,MATCH(MAX(Reference!$A$6,MIN(Reference!$A$11,MIN(D53,120))),Reference!$A$6:$A$11,1))))*(INDEX(Reference!$B$6:$B$11,MIN(5,MATCH(MAX(Reference!$A$6,MIN(Reference!$A$11,MIN(D53,120))),Reference!$A$6:$A$11,1))+1)-INDEX(Reference!$B$6:$B$11,MIN(5,MATCH(MAX(Reference!$A$6,MIN(Reference!$A$11,MIN(D53,120))),Reference!$A$6:$A$11,1))))/(INDEX(Reference!$A$6:$A$11,MIN(5,MATCH(MAX(Reference!$A$6,MIN(Reference!$A$11,MIN(D53,120))),Reference!$A$6:$A$11,1))+1)-INDEX(Reference!$A$6:$A$11,MIN(5,MATCH(MAX(Reference!$A$6,MIN(Reference!$A$11,MIN(D53,120))),Reference!$A$6:$A$11,1))))),0)+IF(3&lt;=AE53,(AE53-3+3)*(INDEX(Reference!$B$6:$B$11,MIN(5,MATCH(MAX(Reference!$A$6,MIN(Reference!$A$11,MIN(D53,150))),Reference!$A$6:$A$11,1)))+(MAX(Reference!$A$6,MIN(Reference!$A$11,MIN(D53,150)))-INDEX(Reference!$A$6:$A$11,MIN(5,MATCH(MAX(Reference!$A$6,MIN(Reference!$A$11,MIN(D53,150))),Reference!$A$6:$A$11,1))))*(INDEX(Reference!$B$6:$B$11,MIN(5,MATCH(MAX(Reference!$A$6,MIN(Reference!$A$11,MIN(D53,150))),Reference!$A$6:$A$11,1))+1)-INDEX(Reference!$B$6:$B$11,MIN(5,MATCH(MAX(Reference!$A$6,MIN(Reference!$A$11,MIN(D53,150))),Reference!$A$6:$A$11,1))))/(INDEX(Reference!$A$6:$A$11,MIN(5,MATCH(MAX(Reference!$A$6,MIN(Reference!$A$11,MIN(D53,150))),Reference!$A$6:$A$11,1))+1)-INDEX(Reference!$A$6:$A$11,MIN(5,MATCH(MAX(Reference!$A$6,MIN(Reference!$A$11,MIN(D53,150))),Reference!$A$6:$A$11,1))))),0)+IF(4&lt;=AE53,(AE53-4+3)*(INDEX(Reference!$B$6:$B$11,MIN(5,MATCH(MAX(Reference!$A$6,MIN(Reference!$A$11,MIN(D53,180))),Reference!$A$6:$A$11,1)))+(MAX(Reference!$A$6,MIN(Reference!$A$11,MIN(D53,180)))-INDEX(Reference!$A$6:$A$11,MIN(5,MATCH(MAX(Reference!$A$6,MIN(Reference!$A$11,MIN(D53,180))),Reference!$A$6:$A$11,1))))*(INDEX(Reference!$B$6:$B$11,MIN(5,MATCH(MAX(Reference!$A$6,MIN(Reference!$A$11,MIN(D53,180))),Reference!$A$6:$A$11,1))+1)-INDEX(Reference!$B$6:$B$11,MIN(5,MATCH(MAX(Reference!$A$6,MIN(Reference!$A$11,MIN(D53,180))),Reference!$A$6:$A$11,1))))/(INDEX(Reference!$A$6:$A$11,MIN(5,MATCH(MAX(Reference!$A$6,MIN(Reference!$A$11,MIN(D53,180))),Reference!$A$6:$A$11,1))+1)-INDEX(Reference!$A$6:$A$11,MIN(5,MATCH(MAX(Reference!$A$6,MIN(Reference!$A$11,MIN(D53,180))),Reference!$A$6:$A$11,1))))),0)+IF(5&lt;=AE53,(AE53-5+3)*(INDEX(Reference!$B$6:$B$11,MIN(5,MATCH(MAX(Reference!$A$6,MIN(Reference!$A$11,MIN(D53,210))),Reference!$A$6:$A$11,1)))+(MAX(Reference!$A$6,MIN(Reference!$A$11,MIN(D53,210)))-INDEX(Reference!$A$6:$A$11,MIN(5,MATCH(MAX(Reference!$A$6,MIN(Reference!$A$11,MIN(D53,210))),Reference!$A$6:$A$11,1))))*(INDEX(Reference!$B$6:$B$11,MIN(5,MATCH(MAX(Reference!$A$6,MIN(Reference!$A$11,MIN(D53,210))),Reference!$A$6:$A$11,1))+1)-INDEX(Reference!$B$6:$B$11,MIN(5,MATCH(MAX(Reference!$A$6,MIN(Reference!$A$11,MIN(D53,210))),Reference!$A$6:$A$11,1))))/(INDEX(Reference!$A$6:$A$11,MIN(5,MATCH(MAX(Reference!$A$6,MIN(Reference!$A$11,MIN(D53,210))),Reference!$A$6:$A$11,1))+1)-INDEX(Reference!$A$6:$A$11,MIN(5,MATCH(MAX(Reference!$A$6,MIN(Reference!$A$11,MIN(D53,210))),Reference!$A$6:$A$11,1))))),0)+IF(6&lt;=AE53,(AE53-6+3)*(INDEX(Reference!$B$6:$B$11,MIN(5,MATCH(MAX(Reference!$A$6,MIN(Reference!$A$11,MIN(D53,240))),Reference!$A$6:$A$11,1)))+(MAX(Reference!$A$6,MIN(Reference!$A$11,MIN(D53,240)))-INDEX(Reference!$A$6:$A$11,MIN(5,MATCH(MAX(Reference!$A$6,MIN(Reference!$A$11,MIN(D53,240))),Reference!$A$6:$A$11,1))))*(INDEX(Reference!$B$6:$B$11,MIN(5,MATCH(MAX(Reference!$A$6,MIN(Reference!$A$11,MIN(D53,240))),Reference!$A$6:$A$11,1))+1)-INDEX(Reference!$B$6:$B$11,MIN(5,MATCH(MAX(Reference!$A$6,MIN(Reference!$A$11,MIN(D53,240))),Reference!$A$6:$A$11,1))))/(INDEX(Reference!$A$6:$A$11,MIN(5,MATCH(MAX(Reference!$A$6,MIN(Reference!$A$11,MIN(D53,240))),Reference!$A$6:$A$11,1))+1)-INDEX(Reference!$A$6:$A$11,MIN(5,MATCH(MAX(Reference!$A$6,MIN(Reference!$A$11,MIN(D53,240))),Reference!$A$6:$A$11,1))))),0)+IF(7&lt;=AE53,(AE53-7+3)*(INDEX(Reference!$B$6:$B$11,MIN(5,MATCH(MAX(Reference!$A$6,MIN(Reference!$A$11,MIN(D53,270))),Reference!$A$6:$A$11,1)))+(MAX(Reference!$A$6,MIN(Reference!$A$11,MIN(D53,270)))-INDEX(Reference!$A$6:$A$11,MIN(5,MATCH(MAX(Reference!$A$6,MIN(Reference!$A$11,MIN(D53,270))),Reference!$A$6:$A$11,1))))*(INDEX(Reference!$B$6:$B$11,MIN(5,MATCH(MAX(Reference!$A$6,MIN(Reference!$A$11,MIN(D53,270))),Reference!$A$6:$A$11,1))+1)-INDEX(Reference!$B$6:$B$11,MIN(5,MATCH(MAX(Reference!$A$6,MIN(Reference!$A$11,MIN(D53,270))),Reference!$A$6:$A$11,1))))/(INDEX(Reference!$A$6:$A$11,MIN(5,MATCH(MAX(Reference!$A$6,MIN(Reference!$A$11,MIN(D53,270))),Reference!$A$6:$A$11,1))+1)-INDEX(Reference!$A$6:$A$11,MIN(5,MATCH(MAX(Reference!$A$6,MIN(Reference!$A$11,MIN(D53,270))),Reference!$A$6:$A$11,1))))),0)+IF(8&lt;=AE53,(AE53-8+3)*(INDEX(Reference!$B$6:$B$11,MIN(5,MATCH(MAX(Reference!$A$6,MIN(Reference!$A$11,MIN(D53,300))),Reference!$A$6:$A$11,1)))+(MAX(Reference!$A$6,MIN(Reference!$A$11,MIN(D53,300)))-INDEX(Reference!$A$6:$A$11,MIN(5,MATCH(MAX(Reference!$A$6,MIN(Reference!$A$11,MIN(D53,300))),Reference!$A$6:$A$11,1))))*(INDEX(Reference!$B$6:$B$11,MIN(5,MATCH(MAX(Reference!$A$6,MIN(Reference!$A$11,MIN(D53,300))),Reference!$A$6:$A$11,1))+1)-INDEX(Reference!$B$6:$B$11,MIN(5,MATCH(MAX(Reference!$A$6,MIN(Reference!$A$11,MIN(D53,300))),Reference!$A$6:$A$11,1))))/(INDEX(Reference!$A$6:$A$11,MIN(5,MATCH(MAX(Reference!$A$6,MIN(Reference!$A$11,MIN(D53,300))),Reference!$A$6:$A$11,1))+1)-INDEX(Reference!$A$6:$A$11,MIN(5,MATCH(MAX(Reference!$A$6,MIN(Reference!$A$11,MIN(D53,300))),Reference!$A$6:$A$11,1))))),0))/(AE53*(AE53+5)/2)),(INDEX(Reference!$B$6:$B$11,MIN(5,MATCH(MAX(Reference!$A$6,MIN(Reference!$A$11,D53)),Reference!$A$6:$A$11,1)))+(MAX(Reference!$A$6,MIN(Reference!$A$11,D53))-INDEX(Reference!$A$6:$A$11,MIN(5,MATCH(MAX(Reference!$A$6,MIN(Reference!$A$11,D53)),Reference!$A$6:$A$11,1))))*(INDEX(Reference!$B$6:$B$11,MIN(5,MATCH(MAX(Reference!$A$6,MIN(Reference!$A$11,D53)),Reference!$A$6:$A$11,1))+1)-INDEX(Reference!$B$6:$B$11,MIN(5,MATCH(MAX(Reference!$A$6,MIN(Reference!$A$11,D53)),Reference!$A$6:$A$11,1))))/(INDEX(Reference!$A$6:$A$11,MIN(5,MATCH(MAX(Reference!$A$6,MIN(Reference!$A$11,D53)),Reference!$A$6:$A$11,1))+1)-INDEX(Reference!$A$6:$A$11,MIN(5,MATCH(MAX(Reference!$A$6,MIN(Reference!$A$11,D53)),Reference!$A$6:$A$11,1))))))))</f>
        <v/>
      </c>
      <c r="P53" s="32" t="str">
        <f>IF(N53="","",VLOOKUP(MAX(N53,0),Reference!$A$17:$B$20,2,TRUE()))</f>
        <v/>
      </c>
      <c r="Q53" s="32" t="str">
        <f t="shared" si="3"/>
        <v/>
      </c>
      <c r="R53" s="31"/>
      <c r="S53" s="31"/>
      <c r="T53" s="31"/>
      <c r="U53" s="32" t="str">
        <f t="shared" si="4"/>
        <v/>
      </c>
      <c r="V53" s="32" t="str">
        <f t="shared" si="5"/>
        <v/>
      </c>
      <c r="W53" s="32" t="str">
        <f>IF(V53="","",VLOOKUP(MAX(V53,0),Reference!$A$17:$B$20,2,TRUE()))</f>
        <v/>
      </c>
      <c r="X53" s="31"/>
      <c r="Y53" s="31"/>
      <c r="Z53" s="31"/>
      <c r="AA53" s="32" t="str">
        <f t="shared" si="6"/>
        <v/>
      </c>
      <c r="AB53" s="32" t="str">
        <f t="shared" si="7"/>
        <v/>
      </c>
      <c r="AC53" s="32" t="str">
        <f>IF(AB53="","",VLOOKUP(MAX(AB53,0),Reference!$A$17:$B$20,2,TRUE()))</f>
        <v/>
      </c>
      <c r="AD53" s="31"/>
      <c r="AE53">
        <f t="shared" si="8"/>
        <v>1</v>
      </c>
      <c r="AF53" s="33" t="str">
        <f>IF(OR(A53="",B53="",AND(C53&lt;&gt;"Bullpen",C53&lt;&gt;"Game")),"",IF((COUNTIFS($B$5:$B$300,B53,$A$5:$A$300,A53-1,$C$5:$C$300,"Bullpen",$AG$5:$AG$300,"&gt;0") + COUNTIFS($B$5:$B$300,B53,$A$5:$A$300,A53-1,$C$5:$C$300,"Game",$AG$5:$AG$300,"&gt;0"))&gt;0,Reference!$B$119,IF((COUNTIFS($B$5:$B$300,B53,$A$5:$A$300,A53-2,$C$5:$C$300,"Bullpen",$AG$5:$AG$300,"&gt;0") + COUNTIFS($B$5:$B$300,B53,$A$5:$A$300,A53-2,$C$5:$C$300,"Game",$AG$5:$AG$300,"&gt;0"))&gt;0,Reference!$B$120,1)))</f>
        <v/>
      </c>
      <c r="AG53" s="30" t="str">
        <f>IF(AND(OR(I53="",O53="",P53=""),OR(R53="",W53=""),OR(X53="",AC53="")),"",IF(OR(I53="",O53="",P53=""),0,I53*O53*P53)+IF(OR(R53="",W53=""),0,R53*IFERROR(INDEX(Reference!$B$61:$B$62,MATCH("Bullpen",Reference!$A$61:$A$62,0)),0)*W53)+IF(OR(X53="",AC53=""),0,X53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53))</f>
        <v/>
      </c>
    </row>
    <row r="54" spans="1:33" x14ac:dyDescent="0.3">
      <c r="A54" s="35">
        <v>46314</v>
      </c>
      <c r="B54" s="31" t="s">
        <v>142</v>
      </c>
      <c r="C54" s="31"/>
      <c r="D54" s="31"/>
      <c r="E54" s="34"/>
      <c r="F54" s="34"/>
      <c r="G54" s="30" t="str">
        <f t="shared" si="0"/>
        <v/>
      </c>
      <c r="H54" s="31"/>
      <c r="I54" s="32" t="str">
        <f>IF(H54&lt;&gt;"",H54,IF(G54="","",ROUND(G54*IFERROR(INDEX(Reference!$B$44:$B$50,MATCH(C54,Reference!$A$44:$A$50,0)),0),0)))</f>
        <v/>
      </c>
      <c r="J54" s="31"/>
      <c r="K54" s="31"/>
      <c r="L54" s="32" t="str">
        <f t="shared" si="1"/>
        <v/>
      </c>
      <c r="M54" s="32">
        <f>IFERROR(INDEX(Roster!$D$5:$D$40,MATCH(B54,Roster!$A$5:$A$40,0)),"")</f>
        <v>87.9</v>
      </c>
      <c r="N54" s="32" t="str">
        <f t="shared" si="2"/>
        <v/>
      </c>
      <c r="O54" s="32" t="str">
        <f>IF(OR(C54="Bullpen",C54="Game"),IFERROR(INDEX(Reference!$B$61:$B$62,MATCH(C54,Reference!$A$61:$A$62,0)),""),IF(D54="","",IF(AE54&gt;1,((IF(1&lt;=AE54,(AE54-1+3)*(INDEX(Reference!$B$6:$B$11,MIN(5,MATCH(MAX(Reference!$A$6,MIN(Reference!$A$11,MIN(D54,90))),Reference!$A$6:$A$11,1)))+(MAX(Reference!$A$6,MIN(Reference!$A$11,MIN(D54,90)))-INDEX(Reference!$A$6:$A$11,MIN(5,MATCH(MAX(Reference!$A$6,MIN(Reference!$A$11,MIN(D54,90))),Reference!$A$6:$A$11,1))))*(INDEX(Reference!$B$6:$B$11,MIN(5,MATCH(MAX(Reference!$A$6,MIN(Reference!$A$11,MIN(D54,90))),Reference!$A$6:$A$11,1))+1)-INDEX(Reference!$B$6:$B$11,MIN(5,MATCH(MAX(Reference!$A$6,MIN(Reference!$A$11,MIN(D54,90))),Reference!$A$6:$A$11,1))))/(INDEX(Reference!$A$6:$A$11,MIN(5,MATCH(MAX(Reference!$A$6,MIN(Reference!$A$11,MIN(D54,90))),Reference!$A$6:$A$11,1))+1)-INDEX(Reference!$A$6:$A$11,MIN(5,MATCH(MAX(Reference!$A$6,MIN(Reference!$A$11,MIN(D54,90))),Reference!$A$6:$A$11,1))))),0)+IF(2&lt;=AE54,(AE54-2+3)*(INDEX(Reference!$B$6:$B$11,MIN(5,MATCH(MAX(Reference!$A$6,MIN(Reference!$A$11,MIN(D54,120))),Reference!$A$6:$A$11,1)))+(MAX(Reference!$A$6,MIN(Reference!$A$11,MIN(D54,120)))-INDEX(Reference!$A$6:$A$11,MIN(5,MATCH(MAX(Reference!$A$6,MIN(Reference!$A$11,MIN(D54,120))),Reference!$A$6:$A$11,1))))*(INDEX(Reference!$B$6:$B$11,MIN(5,MATCH(MAX(Reference!$A$6,MIN(Reference!$A$11,MIN(D54,120))),Reference!$A$6:$A$11,1))+1)-INDEX(Reference!$B$6:$B$11,MIN(5,MATCH(MAX(Reference!$A$6,MIN(Reference!$A$11,MIN(D54,120))),Reference!$A$6:$A$11,1))))/(INDEX(Reference!$A$6:$A$11,MIN(5,MATCH(MAX(Reference!$A$6,MIN(Reference!$A$11,MIN(D54,120))),Reference!$A$6:$A$11,1))+1)-INDEX(Reference!$A$6:$A$11,MIN(5,MATCH(MAX(Reference!$A$6,MIN(Reference!$A$11,MIN(D54,120))),Reference!$A$6:$A$11,1))))),0)+IF(3&lt;=AE54,(AE54-3+3)*(INDEX(Reference!$B$6:$B$11,MIN(5,MATCH(MAX(Reference!$A$6,MIN(Reference!$A$11,MIN(D54,150))),Reference!$A$6:$A$11,1)))+(MAX(Reference!$A$6,MIN(Reference!$A$11,MIN(D54,150)))-INDEX(Reference!$A$6:$A$11,MIN(5,MATCH(MAX(Reference!$A$6,MIN(Reference!$A$11,MIN(D54,150))),Reference!$A$6:$A$11,1))))*(INDEX(Reference!$B$6:$B$11,MIN(5,MATCH(MAX(Reference!$A$6,MIN(Reference!$A$11,MIN(D54,150))),Reference!$A$6:$A$11,1))+1)-INDEX(Reference!$B$6:$B$11,MIN(5,MATCH(MAX(Reference!$A$6,MIN(Reference!$A$11,MIN(D54,150))),Reference!$A$6:$A$11,1))))/(INDEX(Reference!$A$6:$A$11,MIN(5,MATCH(MAX(Reference!$A$6,MIN(Reference!$A$11,MIN(D54,150))),Reference!$A$6:$A$11,1))+1)-INDEX(Reference!$A$6:$A$11,MIN(5,MATCH(MAX(Reference!$A$6,MIN(Reference!$A$11,MIN(D54,150))),Reference!$A$6:$A$11,1))))),0)+IF(4&lt;=AE54,(AE54-4+3)*(INDEX(Reference!$B$6:$B$11,MIN(5,MATCH(MAX(Reference!$A$6,MIN(Reference!$A$11,MIN(D54,180))),Reference!$A$6:$A$11,1)))+(MAX(Reference!$A$6,MIN(Reference!$A$11,MIN(D54,180)))-INDEX(Reference!$A$6:$A$11,MIN(5,MATCH(MAX(Reference!$A$6,MIN(Reference!$A$11,MIN(D54,180))),Reference!$A$6:$A$11,1))))*(INDEX(Reference!$B$6:$B$11,MIN(5,MATCH(MAX(Reference!$A$6,MIN(Reference!$A$11,MIN(D54,180))),Reference!$A$6:$A$11,1))+1)-INDEX(Reference!$B$6:$B$11,MIN(5,MATCH(MAX(Reference!$A$6,MIN(Reference!$A$11,MIN(D54,180))),Reference!$A$6:$A$11,1))))/(INDEX(Reference!$A$6:$A$11,MIN(5,MATCH(MAX(Reference!$A$6,MIN(Reference!$A$11,MIN(D54,180))),Reference!$A$6:$A$11,1))+1)-INDEX(Reference!$A$6:$A$11,MIN(5,MATCH(MAX(Reference!$A$6,MIN(Reference!$A$11,MIN(D54,180))),Reference!$A$6:$A$11,1))))),0)+IF(5&lt;=AE54,(AE54-5+3)*(INDEX(Reference!$B$6:$B$11,MIN(5,MATCH(MAX(Reference!$A$6,MIN(Reference!$A$11,MIN(D54,210))),Reference!$A$6:$A$11,1)))+(MAX(Reference!$A$6,MIN(Reference!$A$11,MIN(D54,210)))-INDEX(Reference!$A$6:$A$11,MIN(5,MATCH(MAX(Reference!$A$6,MIN(Reference!$A$11,MIN(D54,210))),Reference!$A$6:$A$11,1))))*(INDEX(Reference!$B$6:$B$11,MIN(5,MATCH(MAX(Reference!$A$6,MIN(Reference!$A$11,MIN(D54,210))),Reference!$A$6:$A$11,1))+1)-INDEX(Reference!$B$6:$B$11,MIN(5,MATCH(MAX(Reference!$A$6,MIN(Reference!$A$11,MIN(D54,210))),Reference!$A$6:$A$11,1))))/(INDEX(Reference!$A$6:$A$11,MIN(5,MATCH(MAX(Reference!$A$6,MIN(Reference!$A$11,MIN(D54,210))),Reference!$A$6:$A$11,1))+1)-INDEX(Reference!$A$6:$A$11,MIN(5,MATCH(MAX(Reference!$A$6,MIN(Reference!$A$11,MIN(D54,210))),Reference!$A$6:$A$11,1))))),0)+IF(6&lt;=AE54,(AE54-6+3)*(INDEX(Reference!$B$6:$B$11,MIN(5,MATCH(MAX(Reference!$A$6,MIN(Reference!$A$11,MIN(D54,240))),Reference!$A$6:$A$11,1)))+(MAX(Reference!$A$6,MIN(Reference!$A$11,MIN(D54,240)))-INDEX(Reference!$A$6:$A$11,MIN(5,MATCH(MAX(Reference!$A$6,MIN(Reference!$A$11,MIN(D54,240))),Reference!$A$6:$A$11,1))))*(INDEX(Reference!$B$6:$B$11,MIN(5,MATCH(MAX(Reference!$A$6,MIN(Reference!$A$11,MIN(D54,240))),Reference!$A$6:$A$11,1))+1)-INDEX(Reference!$B$6:$B$11,MIN(5,MATCH(MAX(Reference!$A$6,MIN(Reference!$A$11,MIN(D54,240))),Reference!$A$6:$A$11,1))))/(INDEX(Reference!$A$6:$A$11,MIN(5,MATCH(MAX(Reference!$A$6,MIN(Reference!$A$11,MIN(D54,240))),Reference!$A$6:$A$11,1))+1)-INDEX(Reference!$A$6:$A$11,MIN(5,MATCH(MAX(Reference!$A$6,MIN(Reference!$A$11,MIN(D54,240))),Reference!$A$6:$A$11,1))))),0)+IF(7&lt;=AE54,(AE54-7+3)*(INDEX(Reference!$B$6:$B$11,MIN(5,MATCH(MAX(Reference!$A$6,MIN(Reference!$A$11,MIN(D54,270))),Reference!$A$6:$A$11,1)))+(MAX(Reference!$A$6,MIN(Reference!$A$11,MIN(D54,270)))-INDEX(Reference!$A$6:$A$11,MIN(5,MATCH(MAX(Reference!$A$6,MIN(Reference!$A$11,MIN(D54,270))),Reference!$A$6:$A$11,1))))*(INDEX(Reference!$B$6:$B$11,MIN(5,MATCH(MAX(Reference!$A$6,MIN(Reference!$A$11,MIN(D54,270))),Reference!$A$6:$A$11,1))+1)-INDEX(Reference!$B$6:$B$11,MIN(5,MATCH(MAX(Reference!$A$6,MIN(Reference!$A$11,MIN(D54,270))),Reference!$A$6:$A$11,1))))/(INDEX(Reference!$A$6:$A$11,MIN(5,MATCH(MAX(Reference!$A$6,MIN(Reference!$A$11,MIN(D54,270))),Reference!$A$6:$A$11,1))+1)-INDEX(Reference!$A$6:$A$11,MIN(5,MATCH(MAX(Reference!$A$6,MIN(Reference!$A$11,MIN(D54,270))),Reference!$A$6:$A$11,1))))),0)+IF(8&lt;=AE54,(AE54-8+3)*(INDEX(Reference!$B$6:$B$11,MIN(5,MATCH(MAX(Reference!$A$6,MIN(Reference!$A$11,MIN(D54,300))),Reference!$A$6:$A$11,1)))+(MAX(Reference!$A$6,MIN(Reference!$A$11,MIN(D54,300)))-INDEX(Reference!$A$6:$A$11,MIN(5,MATCH(MAX(Reference!$A$6,MIN(Reference!$A$11,MIN(D54,300))),Reference!$A$6:$A$11,1))))*(INDEX(Reference!$B$6:$B$11,MIN(5,MATCH(MAX(Reference!$A$6,MIN(Reference!$A$11,MIN(D54,300))),Reference!$A$6:$A$11,1))+1)-INDEX(Reference!$B$6:$B$11,MIN(5,MATCH(MAX(Reference!$A$6,MIN(Reference!$A$11,MIN(D54,300))),Reference!$A$6:$A$11,1))))/(INDEX(Reference!$A$6:$A$11,MIN(5,MATCH(MAX(Reference!$A$6,MIN(Reference!$A$11,MIN(D54,300))),Reference!$A$6:$A$11,1))+1)-INDEX(Reference!$A$6:$A$11,MIN(5,MATCH(MAX(Reference!$A$6,MIN(Reference!$A$11,MIN(D54,300))),Reference!$A$6:$A$11,1))))),0))/(AE54*(AE54+5)/2)),(INDEX(Reference!$B$6:$B$11,MIN(5,MATCH(MAX(Reference!$A$6,MIN(Reference!$A$11,D54)),Reference!$A$6:$A$11,1)))+(MAX(Reference!$A$6,MIN(Reference!$A$11,D54))-INDEX(Reference!$A$6:$A$11,MIN(5,MATCH(MAX(Reference!$A$6,MIN(Reference!$A$11,D54)),Reference!$A$6:$A$11,1))))*(INDEX(Reference!$B$6:$B$11,MIN(5,MATCH(MAX(Reference!$A$6,MIN(Reference!$A$11,D54)),Reference!$A$6:$A$11,1))+1)-INDEX(Reference!$B$6:$B$11,MIN(5,MATCH(MAX(Reference!$A$6,MIN(Reference!$A$11,D54)),Reference!$A$6:$A$11,1))))/(INDEX(Reference!$A$6:$A$11,MIN(5,MATCH(MAX(Reference!$A$6,MIN(Reference!$A$11,D54)),Reference!$A$6:$A$11,1))+1)-INDEX(Reference!$A$6:$A$11,MIN(5,MATCH(MAX(Reference!$A$6,MIN(Reference!$A$11,D54)),Reference!$A$6:$A$11,1))))))))</f>
        <v/>
      </c>
      <c r="P54" s="32" t="str">
        <f>IF(N54="","",VLOOKUP(MAX(N54,0),Reference!$A$17:$B$20,2,TRUE()))</f>
        <v/>
      </c>
      <c r="Q54" s="32" t="str">
        <f t="shared" si="3"/>
        <v/>
      </c>
      <c r="R54" s="31"/>
      <c r="S54" s="31"/>
      <c r="T54" s="31"/>
      <c r="U54" s="32" t="str">
        <f t="shared" si="4"/>
        <v/>
      </c>
      <c r="V54" s="32" t="str">
        <f t="shared" si="5"/>
        <v/>
      </c>
      <c r="W54" s="32" t="str">
        <f>IF(V54="","",VLOOKUP(MAX(V54,0),Reference!$A$17:$B$20,2,TRUE()))</f>
        <v/>
      </c>
      <c r="X54" s="31"/>
      <c r="Y54" s="31"/>
      <c r="Z54" s="31"/>
      <c r="AA54" s="32" t="str">
        <f t="shared" si="6"/>
        <v/>
      </c>
      <c r="AB54" s="32" t="str">
        <f t="shared" si="7"/>
        <v/>
      </c>
      <c r="AC54" s="32" t="str">
        <f>IF(AB54="","",VLOOKUP(MAX(AB54,0),Reference!$A$17:$B$20,2,TRUE()))</f>
        <v/>
      </c>
      <c r="AD54" s="31"/>
      <c r="AE54">
        <f t="shared" si="8"/>
        <v>1</v>
      </c>
      <c r="AF54" s="33" t="str">
        <f>IF(OR(A54="",B54="",AND(C54&lt;&gt;"Bullpen",C54&lt;&gt;"Game")),"",IF((COUNTIFS($B$5:$B$300,B54,$A$5:$A$300,A54-1,$C$5:$C$300,"Bullpen",$AG$5:$AG$300,"&gt;0") + COUNTIFS($B$5:$B$300,B54,$A$5:$A$300,A54-1,$C$5:$C$300,"Game",$AG$5:$AG$300,"&gt;0"))&gt;0,Reference!$B$119,IF((COUNTIFS($B$5:$B$300,B54,$A$5:$A$300,A54-2,$C$5:$C$300,"Bullpen",$AG$5:$AG$300,"&gt;0") + COUNTIFS($B$5:$B$300,B54,$A$5:$A$300,A54-2,$C$5:$C$300,"Game",$AG$5:$AG$300,"&gt;0"))&gt;0,Reference!$B$120,1)))</f>
        <v/>
      </c>
      <c r="AG54" s="30" t="str">
        <f>IF(AND(OR(I54="",O54="",P54=""),OR(R54="",W54=""),OR(X54="",AC54="")),"",IF(OR(I54="",O54="",P54=""),0,I54*O54*P54)+IF(OR(R54="",W54=""),0,R54*IFERROR(INDEX(Reference!$B$61:$B$62,MATCH("Bullpen",Reference!$A$61:$A$62,0)),0)*W54)+IF(OR(X54="",AC54=""),0,X54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54))</f>
        <v/>
      </c>
    </row>
    <row r="55" spans="1:33" x14ac:dyDescent="0.3">
      <c r="A55" s="35">
        <v>46315</v>
      </c>
      <c r="B55" s="31" t="s">
        <v>142</v>
      </c>
      <c r="C55" s="31"/>
      <c r="D55" s="31"/>
      <c r="E55" s="34"/>
      <c r="F55" s="34"/>
      <c r="G55" s="30" t="str">
        <f t="shared" si="0"/>
        <v/>
      </c>
      <c r="H55" s="31"/>
      <c r="I55" s="32" t="str">
        <f>IF(H55&lt;&gt;"",H55,IF(G55="","",ROUND(G55*IFERROR(INDEX(Reference!$B$44:$B$50,MATCH(C55,Reference!$A$44:$A$50,0)),0),0)))</f>
        <v/>
      </c>
      <c r="J55" s="31"/>
      <c r="K55" s="31"/>
      <c r="L55" s="32" t="str">
        <f t="shared" si="1"/>
        <v/>
      </c>
      <c r="M55" s="32">
        <f>IFERROR(INDEX(Roster!$D$5:$D$40,MATCH(B55,Roster!$A$5:$A$40,0)),"")</f>
        <v>87.9</v>
      </c>
      <c r="N55" s="32" t="str">
        <f t="shared" si="2"/>
        <v/>
      </c>
      <c r="O55" s="32" t="str">
        <f>IF(OR(C55="Bullpen",C55="Game"),IFERROR(INDEX(Reference!$B$61:$B$62,MATCH(C55,Reference!$A$61:$A$62,0)),""),IF(D55="","",IF(AE55&gt;1,((IF(1&lt;=AE55,(AE55-1+3)*(INDEX(Reference!$B$6:$B$11,MIN(5,MATCH(MAX(Reference!$A$6,MIN(Reference!$A$11,MIN(D55,90))),Reference!$A$6:$A$11,1)))+(MAX(Reference!$A$6,MIN(Reference!$A$11,MIN(D55,90)))-INDEX(Reference!$A$6:$A$11,MIN(5,MATCH(MAX(Reference!$A$6,MIN(Reference!$A$11,MIN(D55,90))),Reference!$A$6:$A$11,1))))*(INDEX(Reference!$B$6:$B$11,MIN(5,MATCH(MAX(Reference!$A$6,MIN(Reference!$A$11,MIN(D55,90))),Reference!$A$6:$A$11,1))+1)-INDEX(Reference!$B$6:$B$11,MIN(5,MATCH(MAX(Reference!$A$6,MIN(Reference!$A$11,MIN(D55,90))),Reference!$A$6:$A$11,1))))/(INDEX(Reference!$A$6:$A$11,MIN(5,MATCH(MAX(Reference!$A$6,MIN(Reference!$A$11,MIN(D55,90))),Reference!$A$6:$A$11,1))+1)-INDEX(Reference!$A$6:$A$11,MIN(5,MATCH(MAX(Reference!$A$6,MIN(Reference!$A$11,MIN(D55,90))),Reference!$A$6:$A$11,1))))),0)+IF(2&lt;=AE55,(AE55-2+3)*(INDEX(Reference!$B$6:$B$11,MIN(5,MATCH(MAX(Reference!$A$6,MIN(Reference!$A$11,MIN(D55,120))),Reference!$A$6:$A$11,1)))+(MAX(Reference!$A$6,MIN(Reference!$A$11,MIN(D55,120)))-INDEX(Reference!$A$6:$A$11,MIN(5,MATCH(MAX(Reference!$A$6,MIN(Reference!$A$11,MIN(D55,120))),Reference!$A$6:$A$11,1))))*(INDEX(Reference!$B$6:$B$11,MIN(5,MATCH(MAX(Reference!$A$6,MIN(Reference!$A$11,MIN(D55,120))),Reference!$A$6:$A$11,1))+1)-INDEX(Reference!$B$6:$B$11,MIN(5,MATCH(MAX(Reference!$A$6,MIN(Reference!$A$11,MIN(D55,120))),Reference!$A$6:$A$11,1))))/(INDEX(Reference!$A$6:$A$11,MIN(5,MATCH(MAX(Reference!$A$6,MIN(Reference!$A$11,MIN(D55,120))),Reference!$A$6:$A$11,1))+1)-INDEX(Reference!$A$6:$A$11,MIN(5,MATCH(MAX(Reference!$A$6,MIN(Reference!$A$11,MIN(D55,120))),Reference!$A$6:$A$11,1))))),0)+IF(3&lt;=AE55,(AE55-3+3)*(INDEX(Reference!$B$6:$B$11,MIN(5,MATCH(MAX(Reference!$A$6,MIN(Reference!$A$11,MIN(D55,150))),Reference!$A$6:$A$11,1)))+(MAX(Reference!$A$6,MIN(Reference!$A$11,MIN(D55,150)))-INDEX(Reference!$A$6:$A$11,MIN(5,MATCH(MAX(Reference!$A$6,MIN(Reference!$A$11,MIN(D55,150))),Reference!$A$6:$A$11,1))))*(INDEX(Reference!$B$6:$B$11,MIN(5,MATCH(MAX(Reference!$A$6,MIN(Reference!$A$11,MIN(D55,150))),Reference!$A$6:$A$11,1))+1)-INDEX(Reference!$B$6:$B$11,MIN(5,MATCH(MAX(Reference!$A$6,MIN(Reference!$A$11,MIN(D55,150))),Reference!$A$6:$A$11,1))))/(INDEX(Reference!$A$6:$A$11,MIN(5,MATCH(MAX(Reference!$A$6,MIN(Reference!$A$11,MIN(D55,150))),Reference!$A$6:$A$11,1))+1)-INDEX(Reference!$A$6:$A$11,MIN(5,MATCH(MAX(Reference!$A$6,MIN(Reference!$A$11,MIN(D55,150))),Reference!$A$6:$A$11,1))))),0)+IF(4&lt;=AE55,(AE55-4+3)*(INDEX(Reference!$B$6:$B$11,MIN(5,MATCH(MAX(Reference!$A$6,MIN(Reference!$A$11,MIN(D55,180))),Reference!$A$6:$A$11,1)))+(MAX(Reference!$A$6,MIN(Reference!$A$11,MIN(D55,180)))-INDEX(Reference!$A$6:$A$11,MIN(5,MATCH(MAX(Reference!$A$6,MIN(Reference!$A$11,MIN(D55,180))),Reference!$A$6:$A$11,1))))*(INDEX(Reference!$B$6:$B$11,MIN(5,MATCH(MAX(Reference!$A$6,MIN(Reference!$A$11,MIN(D55,180))),Reference!$A$6:$A$11,1))+1)-INDEX(Reference!$B$6:$B$11,MIN(5,MATCH(MAX(Reference!$A$6,MIN(Reference!$A$11,MIN(D55,180))),Reference!$A$6:$A$11,1))))/(INDEX(Reference!$A$6:$A$11,MIN(5,MATCH(MAX(Reference!$A$6,MIN(Reference!$A$11,MIN(D55,180))),Reference!$A$6:$A$11,1))+1)-INDEX(Reference!$A$6:$A$11,MIN(5,MATCH(MAX(Reference!$A$6,MIN(Reference!$A$11,MIN(D55,180))),Reference!$A$6:$A$11,1))))),0)+IF(5&lt;=AE55,(AE55-5+3)*(INDEX(Reference!$B$6:$B$11,MIN(5,MATCH(MAX(Reference!$A$6,MIN(Reference!$A$11,MIN(D55,210))),Reference!$A$6:$A$11,1)))+(MAX(Reference!$A$6,MIN(Reference!$A$11,MIN(D55,210)))-INDEX(Reference!$A$6:$A$11,MIN(5,MATCH(MAX(Reference!$A$6,MIN(Reference!$A$11,MIN(D55,210))),Reference!$A$6:$A$11,1))))*(INDEX(Reference!$B$6:$B$11,MIN(5,MATCH(MAX(Reference!$A$6,MIN(Reference!$A$11,MIN(D55,210))),Reference!$A$6:$A$11,1))+1)-INDEX(Reference!$B$6:$B$11,MIN(5,MATCH(MAX(Reference!$A$6,MIN(Reference!$A$11,MIN(D55,210))),Reference!$A$6:$A$11,1))))/(INDEX(Reference!$A$6:$A$11,MIN(5,MATCH(MAX(Reference!$A$6,MIN(Reference!$A$11,MIN(D55,210))),Reference!$A$6:$A$11,1))+1)-INDEX(Reference!$A$6:$A$11,MIN(5,MATCH(MAX(Reference!$A$6,MIN(Reference!$A$11,MIN(D55,210))),Reference!$A$6:$A$11,1))))),0)+IF(6&lt;=AE55,(AE55-6+3)*(INDEX(Reference!$B$6:$B$11,MIN(5,MATCH(MAX(Reference!$A$6,MIN(Reference!$A$11,MIN(D55,240))),Reference!$A$6:$A$11,1)))+(MAX(Reference!$A$6,MIN(Reference!$A$11,MIN(D55,240)))-INDEX(Reference!$A$6:$A$11,MIN(5,MATCH(MAX(Reference!$A$6,MIN(Reference!$A$11,MIN(D55,240))),Reference!$A$6:$A$11,1))))*(INDEX(Reference!$B$6:$B$11,MIN(5,MATCH(MAX(Reference!$A$6,MIN(Reference!$A$11,MIN(D55,240))),Reference!$A$6:$A$11,1))+1)-INDEX(Reference!$B$6:$B$11,MIN(5,MATCH(MAX(Reference!$A$6,MIN(Reference!$A$11,MIN(D55,240))),Reference!$A$6:$A$11,1))))/(INDEX(Reference!$A$6:$A$11,MIN(5,MATCH(MAX(Reference!$A$6,MIN(Reference!$A$11,MIN(D55,240))),Reference!$A$6:$A$11,1))+1)-INDEX(Reference!$A$6:$A$11,MIN(5,MATCH(MAX(Reference!$A$6,MIN(Reference!$A$11,MIN(D55,240))),Reference!$A$6:$A$11,1))))),0)+IF(7&lt;=AE55,(AE55-7+3)*(INDEX(Reference!$B$6:$B$11,MIN(5,MATCH(MAX(Reference!$A$6,MIN(Reference!$A$11,MIN(D55,270))),Reference!$A$6:$A$11,1)))+(MAX(Reference!$A$6,MIN(Reference!$A$11,MIN(D55,270)))-INDEX(Reference!$A$6:$A$11,MIN(5,MATCH(MAX(Reference!$A$6,MIN(Reference!$A$11,MIN(D55,270))),Reference!$A$6:$A$11,1))))*(INDEX(Reference!$B$6:$B$11,MIN(5,MATCH(MAX(Reference!$A$6,MIN(Reference!$A$11,MIN(D55,270))),Reference!$A$6:$A$11,1))+1)-INDEX(Reference!$B$6:$B$11,MIN(5,MATCH(MAX(Reference!$A$6,MIN(Reference!$A$11,MIN(D55,270))),Reference!$A$6:$A$11,1))))/(INDEX(Reference!$A$6:$A$11,MIN(5,MATCH(MAX(Reference!$A$6,MIN(Reference!$A$11,MIN(D55,270))),Reference!$A$6:$A$11,1))+1)-INDEX(Reference!$A$6:$A$11,MIN(5,MATCH(MAX(Reference!$A$6,MIN(Reference!$A$11,MIN(D55,270))),Reference!$A$6:$A$11,1))))),0)+IF(8&lt;=AE55,(AE55-8+3)*(INDEX(Reference!$B$6:$B$11,MIN(5,MATCH(MAX(Reference!$A$6,MIN(Reference!$A$11,MIN(D55,300))),Reference!$A$6:$A$11,1)))+(MAX(Reference!$A$6,MIN(Reference!$A$11,MIN(D55,300)))-INDEX(Reference!$A$6:$A$11,MIN(5,MATCH(MAX(Reference!$A$6,MIN(Reference!$A$11,MIN(D55,300))),Reference!$A$6:$A$11,1))))*(INDEX(Reference!$B$6:$B$11,MIN(5,MATCH(MAX(Reference!$A$6,MIN(Reference!$A$11,MIN(D55,300))),Reference!$A$6:$A$11,1))+1)-INDEX(Reference!$B$6:$B$11,MIN(5,MATCH(MAX(Reference!$A$6,MIN(Reference!$A$11,MIN(D55,300))),Reference!$A$6:$A$11,1))))/(INDEX(Reference!$A$6:$A$11,MIN(5,MATCH(MAX(Reference!$A$6,MIN(Reference!$A$11,MIN(D55,300))),Reference!$A$6:$A$11,1))+1)-INDEX(Reference!$A$6:$A$11,MIN(5,MATCH(MAX(Reference!$A$6,MIN(Reference!$A$11,MIN(D55,300))),Reference!$A$6:$A$11,1))))),0))/(AE55*(AE55+5)/2)),(INDEX(Reference!$B$6:$B$11,MIN(5,MATCH(MAX(Reference!$A$6,MIN(Reference!$A$11,D55)),Reference!$A$6:$A$11,1)))+(MAX(Reference!$A$6,MIN(Reference!$A$11,D55))-INDEX(Reference!$A$6:$A$11,MIN(5,MATCH(MAX(Reference!$A$6,MIN(Reference!$A$11,D55)),Reference!$A$6:$A$11,1))))*(INDEX(Reference!$B$6:$B$11,MIN(5,MATCH(MAX(Reference!$A$6,MIN(Reference!$A$11,D55)),Reference!$A$6:$A$11,1))+1)-INDEX(Reference!$B$6:$B$11,MIN(5,MATCH(MAX(Reference!$A$6,MIN(Reference!$A$11,D55)),Reference!$A$6:$A$11,1))))/(INDEX(Reference!$A$6:$A$11,MIN(5,MATCH(MAX(Reference!$A$6,MIN(Reference!$A$11,D55)),Reference!$A$6:$A$11,1))+1)-INDEX(Reference!$A$6:$A$11,MIN(5,MATCH(MAX(Reference!$A$6,MIN(Reference!$A$11,D55)),Reference!$A$6:$A$11,1))))))))</f>
        <v/>
      </c>
      <c r="P55" s="32" t="str">
        <f>IF(N55="","",VLOOKUP(MAX(N55,0),Reference!$A$17:$B$20,2,TRUE()))</f>
        <v/>
      </c>
      <c r="Q55" s="32" t="str">
        <f t="shared" si="3"/>
        <v/>
      </c>
      <c r="R55" s="31"/>
      <c r="S55" s="31"/>
      <c r="T55" s="31"/>
      <c r="U55" s="32" t="str">
        <f t="shared" si="4"/>
        <v/>
      </c>
      <c r="V55" s="32" t="str">
        <f t="shared" si="5"/>
        <v/>
      </c>
      <c r="W55" s="32" t="str">
        <f>IF(V55="","",VLOOKUP(MAX(V55,0),Reference!$A$17:$B$20,2,TRUE()))</f>
        <v/>
      </c>
      <c r="X55" s="31"/>
      <c r="Y55" s="31"/>
      <c r="Z55" s="31"/>
      <c r="AA55" s="32" t="str">
        <f t="shared" si="6"/>
        <v/>
      </c>
      <c r="AB55" s="32" t="str">
        <f t="shared" si="7"/>
        <v/>
      </c>
      <c r="AC55" s="32" t="str">
        <f>IF(AB55="","",VLOOKUP(MAX(AB55,0),Reference!$A$17:$B$20,2,TRUE()))</f>
        <v/>
      </c>
      <c r="AD55" s="31"/>
      <c r="AE55">
        <f t="shared" si="8"/>
        <v>1</v>
      </c>
      <c r="AF55" s="33" t="str">
        <f>IF(OR(A55="",B55="",AND(C55&lt;&gt;"Bullpen",C55&lt;&gt;"Game")),"",IF((COUNTIFS($B$5:$B$300,B55,$A$5:$A$300,A55-1,$C$5:$C$300,"Bullpen",$AG$5:$AG$300,"&gt;0") + COUNTIFS($B$5:$B$300,B55,$A$5:$A$300,A55-1,$C$5:$C$300,"Game",$AG$5:$AG$300,"&gt;0"))&gt;0,Reference!$B$119,IF((COUNTIFS($B$5:$B$300,B55,$A$5:$A$300,A55-2,$C$5:$C$300,"Bullpen",$AG$5:$AG$300,"&gt;0") + COUNTIFS($B$5:$B$300,B55,$A$5:$A$300,A55-2,$C$5:$C$300,"Game",$AG$5:$AG$300,"&gt;0"))&gt;0,Reference!$B$120,1)))</f>
        <v/>
      </c>
      <c r="AG55" s="30" t="str">
        <f>IF(AND(OR(I55="",O55="",P55=""),OR(R55="",W55=""),OR(X55="",AC55="")),"",IF(OR(I55="",O55="",P55=""),0,I55*O55*P55)+IF(OR(R55="",W55=""),0,R55*IFERROR(INDEX(Reference!$B$61:$B$62,MATCH("Bullpen",Reference!$A$61:$A$62,0)),0)*W55)+IF(OR(X55="",AC55=""),0,X55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55))</f>
        <v/>
      </c>
    </row>
    <row r="56" spans="1:33" x14ac:dyDescent="0.3">
      <c r="A56" s="35">
        <v>46316</v>
      </c>
      <c r="B56" s="31" t="s">
        <v>142</v>
      </c>
      <c r="C56" s="31"/>
      <c r="D56" s="31"/>
      <c r="E56" s="34"/>
      <c r="F56" s="34"/>
      <c r="G56" s="30" t="str">
        <f t="shared" si="0"/>
        <v/>
      </c>
      <c r="H56" s="31"/>
      <c r="I56" s="32" t="str">
        <f>IF(H56&lt;&gt;"",H56,IF(G56="","",ROUND(G56*IFERROR(INDEX(Reference!$B$44:$B$50,MATCH(C56,Reference!$A$44:$A$50,0)),0),0)))</f>
        <v/>
      </c>
      <c r="J56" s="31"/>
      <c r="K56" s="31"/>
      <c r="L56" s="32" t="str">
        <f t="shared" si="1"/>
        <v/>
      </c>
      <c r="M56" s="32">
        <f>IFERROR(INDEX(Roster!$D$5:$D$40,MATCH(B56,Roster!$A$5:$A$40,0)),"")</f>
        <v>87.9</v>
      </c>
      <c r="N56" s="32" t="str">
        <f t="shared" si="2"/>
        <v/>
      </c>
      <c r="O56" s="32" t="str">
        <f>IF(OR(C56="Bullpen",C56="Game"),IFERROR(INDEX(Reference!$B$61:$B$62,MATCH(C56,Reference!$A$61:$A$62,0)),""),IF(D56="","",IF(AE56&gt;1,((IF(1&lt;=AE56,(AE56-1+3)*(INDEX(Reference!$B$6:$B$11,MIN(5,MATCH(MAX(Reference!$A$6,MIN(Reference!$A$11,MIN(D56,90))),Reference!$A$6:$A$11,1)))+(MAX(Reference!$A$6,MIN(Reference!$A$11,MIN(D56,90)))-INDEX(Reference!$A$6:$A$11,MIN(5,MATCH(MAX(Reference!$A$6,MIN(Reference!$A$11,MIN(D56,90))),Reference!$A$6:$A$11,1))))*(INDEX(Reference!$B$6:$B$11,MIN(5,MATCH(MAX(Reference!$A$6,MIN(Reference!$A$11,MIN(D56,90))),Reference!$A$6:$A$11,1))+1)-INDEX(Reference!$B$6:$B$11,MIN(5,MATCH(MAX(Reference!$A$6,MIN(Reference!$A$11,MIN(D56,90))),Reference!$A$6:$A$11,1))))/(INDEX(Reference!$A$6:$A$11,MIN(5,MATCH(MAX(Reference!$A$6,MIN(Reference!$A$11,MIN(D56,90))),Reference!$A$6:$A$11,1))+1)-INDEX(Reference!$A$6:$A$11,MIN(5,MATCH(MAX(Reference!$A$6,MIN(Reference!$A$11,MIN(D56,90))),Reference!$A$6:$A$11,1))))),0)+IF(2&lt;=AE56,(AE56-2+3)*(INDEX(Reference!$B$6:$B$11,MIN(5,MATCH(MAX(Reference!$A$6,MIN(Reference!$A$11,MIN(D56,120))),Reference!$A$6:$A$11,1)))+(MAX(Reference!$A$6,MIN(Reference!$A$11,MIN(D56,120)))-INDEX(Reference!$A$6:$A$11,MIN(5,MATCH(MAX(Reference!$A$6,MIN(Reference!$A$11,MIN(D56,120))),Reference!$A$6:$A$11,1))))*(INDEX(Reference!$B$6:$B$11,MIN(5,MATCH(MAX(Reference!$A$6,MIN(Reference!$A$11,MIN(D56,120))),Reference!$A$6:$A$11,1))+1)-INDEX(Reference!$B$6:$B$11,MIN(5,MATCH(MAX(Reference!$A$6,MIN(Reference!$A$11,MIN(D56,120))),Reference!$A$6:$A$11,1))))/(INDEX(Reference!$A$6:$A$11,MIN(5,MATCH(MAX(Reference!$A$6,MIN(Reference!$A$11,MIN(D56,120))),Reference!$A$6:$A$11,1))+1)-INDEX(Reference!$A$6:$A$11,MIN(5,MATCH(MAX(Reference!$A$6,MIN(Reference!$A$11,MIN(D56,120))),Reference!$A$6:$A$11,1))))),0)+IF(3&lt;=AE56,(AE56-3+3)*(INDEX(Reference!$B$6:$B$11,MIN(5,MATCH(MAX(Reference!$A$6,MIN(Reference!$A$11,MIN(D56,150))),Reference!$A$6:$A$11,1)))+(MAX(Reference!$A$6,MIN(Reference!$A$11,MIN(D56,150)))-INDEX(Reference!$A$6:$A$11,MIN(5,MATCH(MAX(Reference!$A$6,MIN(Reference!$A$11,MIN(D56,150))),Reference!$A$6:$A$11,1))))*(INDEX(Reference!$B$6:$B$11,MIN(5,MATCH(MAX(Reference!$A$6,MIN(Reference!$A$11,MIN(D56,150))),Reference!$A$6:$A$11,1))+1)-INDEX(Reference!$B$6:$B$11,MIN(5,MATCH(MAX(Reference!$A$6,MIN(Reference!$A$11,MIN(D56,150))),Reference!$A$6:$A$11,1))))/(INDEX(Reference!$A$6:$A$11,MIN(5,MATCH(MAX(Reference!$A$6,MIN(Reference!$A$11,MIN(D56,150))),Reference!$A$6:$A$11,1))+1)-INDEX(Reference!$A$6:$A$11,MIN(5,MATCH(MAX(Reference!$A$6,MIN(Reference!$A$11,MIN(D56,150))),Reference!$A$6:$A$11,1))))),0)+IF(4&lt;=AE56,(AE56-4+3)*(INDEX(Reference!$B$6:$B$11,MIN(5,MATCH(MAX(Reference!$A$6,MIN(Reference!$A$11,MIN(D56,180))),Reference!$A$6:$A$11,1)))+(MAX(Reference!$A$6,MIN(Reference!$A$11,MIN(D56,180)))-INDEX(Reference!$A$6:$A$11,MIN(5,MATCH(MAX(Reference!$A$6,MIN(Reference!$A$11,MIN(D56,180))),Reference!$A$6:$A$11,1))))*(INDEX(Reference!$B$6:$B$11,MIN(5,MATCH(MAX(Reference!$A$6,MIN(Reference!$A$11,MIN(D56,180))),Reference!$A$6:$A$11,1))+1)-INDEX(Reference!$B$6:$B$11,MIN(5,MATCH(MAX(Reference!$A$6,MIN(Reference!$A$11,MIN(D56,180))),Reference!$A$6:$A$11,1))))/(INDEX(Reference!$A$6:$A$11,MIN(5,MATCH(MAX(Reference!$A$6,MIN(Reference!$A$11,MIN(D56,180))),Reference!$A$6:$A$11,1))+1)-INDEX(Reference!$A$6:$A$11,MIN(5,MATCH(MAX(Reference!$A$6,MIN(Reference!$A$11,MIN(D56,180))),Reference!$A$6:$A$11,1))))),0)+IF(5&lt;=AE56,(AE56-5+3)*(INDEX(Reference!$B$6:$B$11,MIN(5,MATCH(MAX(Reference!$A$6,MIN(Reference!$A$11,MIN(D56,210))),Reference!$A$6:$A$11,1)))+(MAX(Reference!$A$6,MIN(Reference!$A$11,MIN(D56,210)))-INDEX(Reference!$A$6:$A$11,MIN(5,MATCH(MAX(Reference!$A$6,MIN(Reference!$A$11,MIN(D56,210))),Reference!$A$6:$A$11,1))))*(INDEX(Reference!$B$6:$B$11,MIN(5,MATCH(MAX(Reference!$A$6,MIN(Reference!$A$11,MIN(D56,210))),Reference!$A$6:$A$11,1))+1)-INDEX(Reference!$B$6:$B$11,MIN(5,MATCH(MAX(Reference!$A$6,MIN(Reference!$A$11,MIN(D56,210))),Reference!$A$6:$A$11,1))))/(INDEX(Reference!$A$6:$A$11,MIN(5,MATCH(MAX(Reference!$A$6,MIN(Reference!$A$11,MIN(D56,210))),Reference!$A$6:$A$11,1))+1)-INDEX(Reference!$A$6:$A$11,MIN(5,MATCH(MAX(Reference!$A$6,MIN(Reference!$A$11,MIN(D56,210))),Reference!$A$6:$A$11,1))))),0)+IF(6&lt;=AE56,(AE56-6+3)*(INDEX(Reference!$B$6:$B$11,MIN(5,MATCH(MAX(Reference!$A$6,MIN(Reference!$A$11,MIN(D56,240))),Reference!$A$6:$A$11,1)))+(MAX(Reference!$A$6,MIN(Reference!$A$11,MIN(D56,240)))-INDEX(Reference!$A$6:$A$11,MIN(5,MATCH(MAX(Reference!$A$6,MIN(Reference!$A$11,MIN(D56,240))),Reference!$A$6:$A$11,1))))*(INDEX(Reference!$B$6:$B$11,MIN(5,MATCH(MAX(Reference!$A$6,MIN(Reference!$A$11,MIN(D56,240))),Reference!$A$6:$A$11,1))+1)-INDEX(Reference!$B$6:$B$11,MIN(5,MATCH(MAX(Reference!$A$6,MIN(Reference!$A$11,MIN(D56,240))),Reference!$A$6:$A$11,1))))/(INDEX(Reference!$A$6:$A$11,MIN(5,MATCH(MAX(Reference!$A$6,MIN(Reference!$A$11,MIN(D56,240))),Reference!$A$6:$A$11,1))+1)-INDEX(Reference!$A$6:$A$11,MIN(5,MATCH(MAX(Reference!$A$6,MIN(Reference!$A$11,MIN(D56,240))),Reference!$A$6:$A$11,1))))),0)+IF(7&lt;=AE56,(AE56-7+3)*(INDEX(Reference!$B$6:$B$11,MIN(5,MATCH(MAX(Reference!$A$6,MIN(Reference!$A$11,MIN(D56,270))),Reference!$A$6:$A$11,1)))+(MAX(Reference!$A$6,MIN(Reference!$A$11,MIN(D56,270)))-INDEX(Reference!$A$6:$A$11,MIN(5,MATCH(MAX(Reference!$A$6,MIN(Reference!$A$11,MIN(D56,270))),Reference!$A$6:$A$11,1))))*(INDEX(Reference!$B$6:$B$11,MIN(5,MATCH(MAX(Reference!$A$6,MIN(Reference!$A$11,MIN(D56,270))),Reference!$A$6:$A$11,1))+1)-INDEX(Reference!$B$6:$B$11,MIN(5,MATCH(MAX(Reference!$A$6,MIN(Reference!$A$11,MIN(D56,270))),Reference!$A$6:$A$11,1))))/(INDEX(Reference!$A$6:$A$11,MIN(5,MATCH(MAX(Reference!$A$6,MIN(Reference!$A$11,MIN(D56,270))),Reference!$A$6:$A$11,1))+1)-INDEX(Reference!$A$6:$A$11,MIN(5,MATCH(MAX(Reference!$A$6,MIN(Reference!$A$11,MIN(D56,270))),Reference!$A$6:$A$11,1))))),0)+IF(8&lt;=AE56,(AE56-8+3)*(INDEX(Reference!$B$6:$B$11,MIN(5,MATCH(MAX(Reference!$A$6,MIN(Reference!$A$11,MIN(D56,300))),Reference!$A$6:$A$11,1)))+(MAX(Reference!$A$6,MIN(Reference!$A$11,MIN(D56,300)))-INDEX(Reference!$A$6:$A$11,MIN(5,MATCH(MAX(Reference!$A$6,MIN(Reference!$A$11,MIN(D56,300))),Reference!$A$6:$A$11,1))))*(INDEX(Reference!$B$6:$B$11,MIN(5,MATCH(MAX(Reference!$A$6,MIN(Reference!$A$11,MIN(D56,300))),Reference!$A$6:$A$11,1))+1)-INDEX(Reference!$B$6:$B$11,MIN(5,MATCH(MAX(Reference!$A$6,MIN(Reference!$A$11,MIN(D56,300))),Reference!$A$6:$A$11,1))))/(INDEX(Reference!$A$6:$A$11,MIN(5,MATCH(MAX(Reference!$A$6,MIN(Reference!$A$11,MIN(D56,300))),Reference!$A$6:$A$11,1))+1)-INDEX(Reference!$A$6:$A$11,MIN(5,MATCH(MAX(Reference!$A$6,MIN(Reference!$A$11,MIN(D56,300))),Reference!$A$6:$A$11,1))))),0))/(AE56*(AE56+5)/2)),(INDEX(Reference!$B$6:$B$11,MIN(5,MATCH(MAX(Reference!$A$6,MIN(Reference!$A$11,D56)),Reference!$A$6:$A$11,1)))+(MAX(Reference!$A$6,MIN(Reference!$A$11,D56))-INDEX(Reference!$A$6:$A$11,MIN(5,MATCH(MAX(Reference!$A$6,MIN(Reference!$A$11,D56)),Reference!$A$6:$A$11,1))))*(INDEX(Reference!$B$6:$B$11,MIN(5,MATCH(MAX(Reference!$A$6,MIN(Reference!$A$11,D56)),Reference!$A$6:$A$11,1))+1)-INDEX(Reference!$B$6:$B$11,MIN(5,MATCH(MAX(Reference!$A$6,MIN(Reference!$A$11,D56)),Reference!$A$6:$A$11,1))))/(INDEX(Reference!$A$6:$A$11,MIN(5,MATCH(MAX(Reference!$A$6,MIN(Reference!$A$11,D56)),Reference!$A$6:$A$11,1))+1)-INDEX(Reference!$A$6:$A$11,MIN(5,MATCH(MAX(Reference!$A$6,MIN(Reference!$A$11,D56)),Reference!$A$6:$A$11,1))))))))</f>
        <v/>
      </c>
      <c r="P56" s="32" t="str">
        <f>IF(N56="","",VLOOKUP(MAX(N56,0),Reference!$A$17:$B$20,2,TRUE()))</f>
        <v/>
      </c>
      <c r="Q56" s="32" t="str">
        <f t="shared" si="3"/>
        <v/>
      </c>
      <c r="R56" s="31"/>
      <c r="S56" s="31"/>
      <c r="T56" s="31"/>
      <c r="U56" s="32" t="str">
        <f t="shared" si="4"/>
        <v/>
      </c>
      <c r="V56" s="32" t="str">
        <f t="shared" si="5"/>
        <v/>
      </c>
      <c r="W56" s="32" t="str">
        <f>IF(V56="","",VLOOKUP(MAX(V56,0),Reference!$A$17:$B$20,2,TRUE()))</f>
        <v/>
      </c>
      <c r="X56" s="31"/>
      <c r="Y56" s="31"/>
      <c r="Z56" s="31"/>
      <c r="AA56" s="32" t="str">
        <f t="shared" si="6"/>
        <v/>
      </c>
      <c r="AB56" s="32" t="str">
        <f t="shared" si="7"/>
        <v/>
      </c>
      <c r="AC56" s="32" t="str">
        <f>IF(AB56="","",VLOOKUP(MAX(AB56,0),Reference!$A$17:$B$20,2,TRUE()))</f>
        <v/>
      </c>
      <c r="AD56" s="31"/>
      <c r="AE56">
        <f t="shared" si="8"/>
        <v>1</v>
      </c>
      <c r="AF56" s="33" t="str">
        <f>IF(OR(A56="",B56="",AND(C56&lt;&gt;"Bullpen",C56&lt;&gt;"Game")),"",IF((COUNTIFS($B$5:$B$300,B56,$A$5:$A$300,A56-1,$C$5:$C$300,"Bullpen",$AG$5:$AG$300,"&gt;0") + COUNTIFS($B$5:$B$300,B56,$A$5:$A$300,A56-1,$C$5:$C$300,"Game",$AG$5:$AG$300,"&gt;0"))&gt;0,Reference!$B$119,IF((COUNTIFS($B$5:$B$300,B56,$A$5:$A$300,A56-2,$C$5:$C$300,"Bullpen",$AG$5:$AG$300,"&gt;0") + COUNTIFS($B$5:$B$300,B56,$A$5:$A$300,A56-2,$C$5:$C$300,"Game",$AG$5:$AG$300,"&gt;0"))&gt;0,Reference!$B$120,1)))</f>
        <v/>
      </c>
      <c r="AG56" s="30" t="str">
        <f>IF(AND(OR(I56="",O56="",P56=""),OR(R56="",W56=""),OR(X56="",AC56="")),"",IF(OR(I56="",O56="",P56=""),0,I56*O56*P56)+IF(OR(R56="",W56=""),0,R56*IFERROR(INDEX(Reference!$B$61:$B$62,MATCH("Bullpen",Reference!$A$61:$A$62,0)),0)*W56)+IF(OR(X56="",AC56=""),0,X56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56))</f>
        <v/>
      </c>
    </row>
    <row r="57" spans="1:33" x14ac:dyDescent="0.3">
      <c r="A57" s="35">
        <v>46317</v>
      </c>
      <c r="B57" s="31" t="s">
        <v>142</v>
      </c>
      <c r="C57" s="31"/>
      <c r="D57" s="31"/>
      <c r="E57" s="34"/>
      <c r="F57" s="34"/>
      <c r="G57" s="30" t="str">
        <f t="shared" si="0"/>
        <v/>
      </c>
      <c r="H57" s="31"/>
      <c r="I57" s="32" t="str">
        <f>IF(H57&lt;&gt;"",H57,IF(G57="","",ROUND(G57*IFERROR(INDEX(Reference!$B$44:$B$50,MATCH(C57,Reference!$A$44:$A$50,0)),0),0)))</f>
        <v/>
      </c>
      <c r="J57" s="31"/>
      <c r="K57" s="31"/>
      <c r="L57" s="32" t="str">
        <f t="shared" si="1"/>
        <v/>
      </c>
      <c r="M57" s="32">
        <f>IFERROR(INDEX(Roster!$D$5:$D$40,MATCH(B57,Roster!$A$5:$A$40,0)),"")</f>
        <v>87.9</v>
      </c>
      <c r="N57" s="32" t="str">
        <f t="shared" si="2"/>
        <v/>
      </c>
      <c r="O57" s="32" t="str">
        <f>IF(OR(C57="Bullpen",C57="Game"),IFERROR(INDEX(Reference!$B$61:$B$62,MATCH(C57,Reference!$A$61:$A$62,0)),""),IF(D57="","",IF(AE57&gt;1,((IF(1&lt;=AE57,(AE57-1+3)*(INDEX(Reference!$B$6:$B$11,MIN(5,MATCH(MAX(Reference!$A$6,MIN(Reference!$A$11,MIN(D57,90))),Reference!$A$6:$A$11,1)))+(MAX(Reference!$A$6,MIN(Reference!$A$11,MIN(D57,90)))-INDEX(Reference!$A$6:$A$11,MIN(5,MATCH(MAX(Reference!$A$6,MIN(Reference!$A$11,MIN(D57,90))),Reference!$A$6:$A$11,1))))*(INDEX(Reference!$B$6:$B$11,MIN(5,MATCH(MAX(Reference!$A$6,MIN(Reference!$A$11,MIN(D57,90))),Reference!$A$6:$A$11,1))+1)-INDEX(Reference!$B$6:$B$11,MIN(5,MATCH(MAX(Reference!$A$6,MIN(Reference!$A$11,MIN(D57,90))),Reference!$A$6:$A$11,1))))/(INDEX(Reference!$A$6:$A$11,MIN(5,MATCH(MAX(Reference!$A$6,MIN(Reference!$A$11,MIN(D57,90))),Reference!$A$6:$A$11,1))+1)-INDEX(Reference!$A$6:$A$11,MIN(5,MATCH(MAX(Reference!$A$6,MIN(Reference!$A$11,MIN(D57,90))),Reference!$A$6:$A$11,1))))),0)+IF(2&lt;=AE57,(AE57-2+3)*(INDEX(Reference!$B$6:$B$11,MIN(5,MATCH(MAX(Reference!$A$6,MIN(Reference!$A$11,MIN(D57,120))),Reference!$A$6:$A$11,1)))+(MAX(Reference!$A$6,MIN(Reference!$A$11,MIN(D57,120)))-INDEX(Reference!$A$6:$A$11,MIN(5,MATCH(MAX(Reference!$A$6,MIN(Reference!$A$11,MIN(D57,120))),Reference!$A$6:$A$11,1))))*(INDEX(Reference!$B$6:$B$11,MIN(5,MATCH(MAX(Reference!$A$6,MIN(Reference!$A$11,MIN(D57,120))),Reference!$A$6:$A$11,1))+1)-INDEX(Reference!$B$6:$B$11,MIN(5,MATCH(MAX(Reference!$A$6,MIN(Reference!$A$11,MIN(D57,120))),Reference!$A$6:$A$11,1))))/(INDEX(Reference!$A$6:$A$11,MIN(5,MATCH(MAX(Reference!$A$6,MIN(Reference!$A$11,MIN(D57,120))),Reference!$A$6:$A$11,1))+1)-INDEX(Reference!$A$6:$A$11,MIN(5,MATCH(MAX(Reference!$A$6,MIN(Reference!$A$11,MIN(D57,120))),Reference!$A$6:$A$11,1))))),0)+IF(3&lt;=AE57,(AE57-3+3)*(INDEX(Reference!$B$6:$B$11,MIN(5,MATCH(MAX(Reference!$A$6,MIN(Reference!$A$11,MIN(D57,150))),Reference!$A$6:$A$11,1)))+(MAX(Reference!$A$6,MIN(Reference!$A$11,MIN(D57,150)))-INDEX(Reference!$A$6:$A$11,MIN(5,MATCH(MAX(Reference!$A$6,MIN(Reference!$A$11,MIN(D57,150))),Reference!$A$6:$A$11,1))))*(INDEX(Reference!$B$6:$B$11,MIN(5,MATCH(MAX(Reference!$A$6,MIN(Reference!$A$11,MIN(D57,150))),Reference!$A$6:$A$11,1))+1)-INDEX(Reference!$B$6:$B$11,MIN(5,MATCH(MAX(Reference!$A$6,MIN(Reference!$A$11,MIN(D57,150))),Reference!$A$6:$A$11,1))))/(INDEX(Reference!$A$6:$A$11,MIN(5,MATCH(MAX(Reference!$A$6,MIN(Reference!$A$11,MIN(D57,150))),Reference!$A$6:$A$11,1))+1)-INDEX(Reference!$A$6:$A$11,MIN(5,MATCH(MAX(Reference!$A$6,MIN(Reference!$A$11,MIN(D57,150))),Reference!$A$6:$A$11,1))))),0)+IF(4&lt;=AE57,(AE57-4+3)*(INDEX(Reference!$B$6:$B$11,MIN(5,MATCH(MAX(Reference!$A$6,MIN(Reference!$A$11,MIN(D57,180))),Reference!$A$6:$A$11,1)))+(MAX(Reference!$A$6,MIN(Reference!$A$11,MIN(D57,180)))-INDEX(Reference!$A$6:$A$11,MIN(5,MATCH(MAX(Reference!$A$6,MIN(Reference!$A$11,MIN(D57,180))),Reference!$A$6:$A$11,1))))*(INDEX(Reference!$B$6:$B$11,MIN(5,MATCH(MAX(Reference!$A$6,MIN(Reference!$A$11,MIN(D57,180))),Reference!$A$6:$A$11,1))+1)-INDEX(Reference!$B$6:$B$11,MIN(5,MATCH(MAX(Reference!$A$6,MIN(Reference!$A$11,MIN(D57,180))),Reference!$A$6:$A$11,1))))/(INDEX(Reference!$A$6:$A$11,MIN(5,MATCH(MAX(Reference!$A$6,MIN(Reference!$A$11,MIN(D57,180))),Reference!$A$6:$A$11,1))+1)-INDEX(Reference!$A$6:$A$11,MIN(5,MATCH(MAX(Reference!$A$6,MIN(Reference!$A$11,MIN(D57,180))),Reference!$A$6:$A$11,1))))),0)+IF(5&lt;=AE57,(AE57-5+3)*(INDEX(Reference!$B$6:$B$11,MIN(5,MATCH(MAX(Reference!$A$6,MIN(Reference!$A$11,MIN(D57,210))),Reference!$A$6:$A$11,1)))+(MAX(Reference!$A$6,MIN(Reference!$A$11,MIN(D57,210)))-INDEX(Reference!$A$6:$A$11,MIN(5,MATCH(MAX(Reference!$A$6,MIN(Reference!$A$11,MIN(D57,210))),Reference!$A$6:$A$11,1))))*(INDEX(Reference!$B$6:$B$11,MIN(5,MATCH(MAX(Reference!$A$6,MIN(Reference!$A$11,MIN(D57,210))),Reference!$A$6:$A$11,1))+1)-INDEX(Reference!$B$6:$B$11,MIN(5,MATCH(MAX(Reference!$A$6,MIN(Reference!$A$11,MIN(D57,210))),Reference!$A$6:$A$11,1))))/(INDEX(Reference!$A$6:$A$11,MIN(5,MATCH(MAX(Reference!$A$6,MIN(Reference!$A$11,MIN(D57,210))),Reference!$A$6:$A$11,1))+1)-INDEX(Reference!$A$6:$A$11,MIN(5,MATCH(MAX(Reference!$A$6,MIN(Reference!$A$11,MIN(D57,210))),Reference!$A$6:$A$11,1))))),0)+IF(6&lt;=AE57,(AE57-6+3)*(INDEX(Reference!$B$6:$B$11,MIN(5,MATCH(MAX(Reference!$A$6,MIN(Reference!$A$11,MIN(D57,240))),Reference!$A$6:$A$11,1)))+(MAX(Reference!$A$6,MIN(Reference!$A$11,MIN(D57,240)))-INDEX(Reference!$A$6:$A$11,MIN(5,MATCH(MAX(Reference!$A$6,MIN(Reference!$A$11,MIN(D57,240))),Reference!$A$6:$A$11,1))))*(INDEX(Reference!$B$6:$B$11,MIN(5,MATCH(MAX(Reference!$A$6,MIN(Reference!$A$11,MIN(D57,240))),Reference!$A$6:$A$11,1))+1)-INDEX(Reference!$B$6:$B$11,MIN(5,MATCH(MAX(Reference!$A$6,MIN(Reference!$A$11,MIN(D57,240))),Reference!$A$6:$A$11,1))))/(INDEX(Reference!$A$6:$A$11,MIN(5,MATCH(MAX(Reference!$A$6,MIN(Reference!$A$11,MIN(D57,240))),Reference!$A$6:$A$11,1))+1)-INDEX(Reference!$A$6:$A$11,MIN(5,MATCH(MAX(Reference!$A$6,MIN(Reference!$A$11,MIN(D57,240))),Reference!$A$6:$A$11,1))))),0)+IF(7&lt;=AE57,(AE57-7+3)*(INDEX(Reference!$B$6:$B$11,MIN(5,MATCH(MAX(Reference!$A$6,MIN(Reference!$A$11,MIN(D57,270))),Reference!$A$6:$A$11,1)))+(MAX(Reference!$A$6,MIN(Reference!$A$11,MIN(D57,270)))-INDEX(Reference!$A$6:$A$11,MIN(5,MATCH(MAX(Reference!$A$6,MIN(Reference!$A$11,MIN(D57,270))),Reference!$A$6:$A$11,1))))*(INDEX(Reference!$B$6:$B$11,MIN(5,MATCH(MAX(Reference!$A$6,MIN(Reference!$A$11,MIN(D57,270))),Reference!$A$6:$A$11,1))+1)-INDEX(Reference!$B$6:$B$11,MIN(5,MATCH(MAX(Reference!$A$6,MIN(Reference!$A$11,MIN(D57,270))),Reference!$A$6:$A$11,1))))/(INDEX(Reference!$A$6:$A$11,MIN(5,MATCH(MAX(Reference!$A$6,MIN(Reference!$A$11,MIN(D57,270))),Reference!$A$6:$A$11,1))+1)-INDEX(Reference!$A$6:$A$11,MIN(5,MATCH(MAX(Reference!$A$6,MIN(Reference!$A$11,MIN(D57,270))),Reference!$A$6:$A$11,1))))),0)+IF(8&lt;=AE57,(AE57-8+3)*(INDEX(Reference!$B$6:$B$11,MIN(5,MATCH(MAX(Reference!$A$6,MIN(Reference!$A$11,MIN(D57,300))),Reference!$A$6:$A$11,1)))+(MAX(Reference!$A$6,MIN(Reference!$A$11,MIN(D57,300)))-INDEX(Reference!$A$6:$A$11,MIN(5,MATCH(MAX(Reference!$A$6,MIN(Reference!$A$11,MIN(D57,300))),Reference!$A$6:$A$11,1))))*(INDEX(Reference!$B$6:$B$11,MIN(5,MATCH(MAX(Reference!$A$6,MIN(Reference!$A$11,MIN(D57,300))),Reference!$A$6:$A$11,1))+1)-INDEX(Reference!$B$6:$B$11,MIN(5,MATCH(MAX(Reference!$A$6,MIN(Reference!$A$11,MIN(D57,300))),Reference!$A$6:$A$11,1))))/(INDEX(Reference!$A$6:$A$11,MIN(5,MATCH(MAX(Reference!$A$6,MIN(Reference!$A$11,MIN(D57,300))),Reference!$A$6:$A$11,1))+1)-INDEX(Reference!$A$6:$A$11,MIN(5,MATCH(MAX(Reference!$A$6,MIN(Reference!$A$11,MIN(D57,300))),Reference!$A$6:$A$11,1))))),0))/(AE57*(AE57+5)/2)),(INDEX(Reference!$B$6:$B$11,MIN(5,MATCH(MAX(Reference!$A$6,MIN(Reference!$A$11,D57)),Reference!$A$6:$A$11,1)))+(MAX(Reference!$A$6,MIN(Reference!$A$11,D57))-INDEX(Reference!$A$6:$A$11,MIN(5,MATCH(MAX(Reference!$A$6,MIN(Reference!$A$11,D57)),Reference!$A$6:$A$11,1))))*(INDEX(Reference!$B$6:$B$11,MIN(5,MATCH(MAX(Reference!$A$6,MIN(Reference!$A$11,D57)),Reference!$A$6:$A$11,1))+1)-INDEX(Reference!$B$6:$B$11,MIN(5,MATCH(MAX(Reference!$A$6,MIN(Reference!$A$11,D57)),Reference!$A$6:$A$11,1))))/(INDEX(Reference!$A$6:$A$11,MIN(5,MATCH(MAX(Reference!$A$6,MIN(Reference!$A$11,D57)),Reference!$A$6:$A$11,1))+1)-INDEX(Reference!$A$6:$A$11,MIN(5,MATCH(MAX(Reference!$A$6,MIN(Reference!$A$11,D57)),Reference!$A$6:$A$11,1))))))))</f>
        <v/>
      </c>
      <c r="P57" s="32" t="str">
        <f>IF(N57="","",VLOOKUP(MAX(N57,0),Reference!$A$17:$B$20,2,TRUE()))</f>
        <v/>
      </c>
      <c r="Q57" s="32" t="str">
        <f t="shared" si="3"/>
        <v/>
      </c>
      <c r="R57" s="31"/>
      <c r="S57" s="31"/>
      <c r="T57" s="31"/>
      <c r="U57" s="32" t="str">
        <f t="shared" si="4"/>
        <v/>
      </c>
      <c r="V57" s="32" t="str">
        <f t="shared" si="5"/>
        <v/>
      </c>
      <c r="W57" s="32" t="str">
        <f>IF(V57="","",VLOOKUP(MAX(V57,0),Reference!$A$17:$B$20,2,TRUE()))</f>
        <v/>
      </c>
      <c r="X57" s="31"/>
      <c r="Y57" s="31"/>
      <c r="Z57" s="31"/>
      <c r="AA57" s="32" t="str">
        <f t="shared" si="6"/>
        <v/>
      </c>
      <c r="AB57" s="32" t="str">
        <f t="shared" si="7"/>
        <v/>
      </c>
      <c r="AC57" s="32" t="str">
        <f>IF(AB57="","",VLOOKUP(MAX(AB57,0),Reference!$A$17:$B$20,2,TRUE()))</f>
        <v/>
      </c>
      <c r="AD57" s="31"/>
      <c r="AE57">
        <f t="shared" si="8"/>
        <v>1</v>
      </c>
      <c r="AF57" s="33" t="str">
        <f>IF(OR(A57="",B57="",AND(C57&lt;&gt;"Bullpen",C57&lt;&gt;"Game")),"",IF((COUNTIFS($B$5:$B$300,B57,$A$5:$A$300,A57-1,$C$5:$C$300,"Bullpen",$AG$5:$AG$300,"&gt;0") + COUNTIFS($B$5:$B$300,B57,$A$5:$A$300,A57-1,$C$5:$C$300,"Game",$AG$5:$AG$300,"&gt;0"))&gt;0,Reference!$B$119,IF((COUNTIFS($B$5:$B$300,B57,$A$5:$A$300,A57-2,$C$5:$C$300,"Bullpen",$AG$5:$AG$300,"&gt;0") + COUNTIFS($B$5:$B$300,B57,$A$5:$A$300,A57-2,$C$5:$C$300,"Game",$AG$5:$AG$300,"&gt;0"))&gt;0,Reference!$B$120,1)))</f>
        <v/>
      </c>
      <c r="AG57" s="30" t="str">
        <f>IF(AND(OR(I57="",O57="",P57=""),OR(R57="",W57=""),OR(X57="",AC57="")),"",IF(OR(I57="",O57="",P57=""),0,I57*O57*P57)+IF(OR(R57="",W57=""),0,R57*IFERROR(INDEX(Reference!$B$61:$B$62,MATCH("Bullpen",Reference!$A$61:$A$62,0)),0)*W57)+IF(OR(X57="",AC57=""),0,X57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57))</f>
        <v/>
      </c>
    </row>
    <row r="58" spans="1:33" x14ac:dyDescent="0.3">
      <c r="A58" s="35">
        <v>46318</v>
      </c>
      <c r="B58" s="31" t="s">
        <v>142</v>
      </c>
      <c r="C58" s="31"/>
      <c r="D58" s="31"/>
      <c r="E58" s="34"/>
      <c r="F58" s="34"/>
      <c r="G58" s="30" t="str">
        <f t="shared" si="0"/>
        <v/>
      </c>
      <c r="H58" s="31"/>
      <c r="I58" s="32" t="str">
        <f>IF(H58&lt;&gt;"",H58,IF(G58="","",ROUND(G58*IFERROR(INDEX(Reference!$B$44:$B$50,MATCH(C58,Reference!$A$44:$A$50,0)),0),0)))</f>
        <v/>
      </c>
      <c r="J58" s="31"/>
      <c r="K58" s="31"/>
      <c r="L58" s="32" t="str">
        <f t="shared" si="1"/>
        <v/>
      </c>
      <c r="M58" s="32">
        <f>IFERROR(INDEX(Roster!$D$5:$D$40,MATCH(B58,Roster!$A$5:$A$40,0)),"")</f>
        <v>87.9</v>
      </c>
      <c r="N58" s="32" t="str">
        <f t="shared" si="2"/>
        <v/>
      </c>
      <c r="O58" s="32" t="str">
        <f>IF(OR(C58="Bullpen",C58="Game"),IFERROR(INDEX(Reference!$B$61:$B$62,MATCH(C58,Reference!$A$61:$A$62,0)),""),IF(D58="","",IF(AE58&gt;1,((IF(1&lt;=AE58,(AE58-1+3)*(INDEX(Reference!$B$6:$B$11,MIN(5,MATCH(MAX(Reference!$A$6,MIN(Reference!$A$11,MIN(D58,90))),Reference!$A$6:$A$11,1)))+(MAX(Reference!$A$6,MIN(Reference!$A$11,MIN(D58,90)))-INDEX(Reference!$A$6:$A$11,MIN(5,MATCH(MAX(Reference!$A$6,MIN(Reference!$A$11,MIN(D58,90))),Reference!$A$6:$A$11,1))))*(INDEX(Reference!$B$6:$B$11,MIN(5,MATCH(MAX(Reference!$A$6,MIN(Reference!$A$11,MIN(D58,90))),Reference!$A$6:$A$11,1))+1)-INDEX(Reference!$B$6:$B$11,MIN(5,MATCH(MAX(Reference!$A$6,MIN(Reference!$A$11,MIN(D58,90))),Reference!$A$6:$A$11,1))))/(INDEX(Reference!$A$6:$A$11,MIN(5,MATCH(MAX(Reference!$A$6,MIN(Reference!$A$11,MIN(D58,90))),Reference!$A$6:$A$11,1))+1)-INDEX(Reference!$A$6:$A$11,MIN(5,MATCH(MAX(Reference!$A$6,MIN(Reference!$A$11,MIN(D58,90))),Reference!$A$6:$A$11,1))))),0)+IF(2&lt;=AE58,(AE58-2+3)*(INDEX(Reference!$B$6:$B$11,MIN(5,MATCH(MAX(Reference!$A$6,MIN(Reference!$A$11,MIN(D58,120))),Reference!$A$6:$A$11,1)))+(MAX(Reference!$A$6,MIN(Reference!$A$11,MIN(D58,120)))-INDEX(Reference!$A$6:$A$11,MIN(5,MATCH(MAX(Reference!$A$6,MIN(Reference!$A$11,MIN(D58,120))),Reference!$A$6:$A$11,1))))*(INDEX(Reference!$B$6:$B$11,MIN(5,MATCH(MAX(Reference!$A$6,MIN(Reference!$A$11,MIN(D58,120))),Reference!$A$6:$A$11,1))+1)-INDEX(Reference!$B$6:$B$11,MIN(5,MATCH(MAX(Reference!$A$6,MIN(Reference!$A$11,MIN(D58,120))),Reference!$A$6:$A$11,1))))/(INDEX(Reference!$A$6:$A$11,MIN(5,MATCH(MAX(Reference!$A$6,MIN(Reference!$A$11,MIN(D58,120))),Reference!$A$6:$A$11,1))+1)-INDEX(Reference!$A$6:$A$11,MIN(5,MATCH(MAX(Reference!$A$6,MIN(Reference!$A$11,MIN(D58,120))),Reference!$A$6:$A$11,1))))),0)+IF(3&lt;=AE58,(AE58-3+3)*(INDEX(Reference!$B$6:$B$11,MIN(5,MATCH(MAX(Reference!$A$6,MIN(Reference!$A$11,MIN(D58,150))),Reference!$A$6:$A$11,1)))+(MAX(Reference!$A$6,MIN(Reference!$A$11,MIN(D58,150)))-INDEX(Reference!$A$6:$A$11,MIN(5,MATCH(MAX(Reference!$A$6,MIN(Reference!$A$11,MIN(D58,150))),Reference!$A$6:$A$11,1))))*(INDEX(Reference!$B$6:$B$11,MIN(5,MATCH(MAX(Reference!$A$6,MIN(Reference!$A$11,MIN(D58,150))),Reference!$A$6:$A$11,1))+1)-INDEX(Reference!$B$6:$B$11,MIN(5,MATCH(MAX(Reference!$A$6,MIN(Reference!$A$11,MIN(D58,150))),Reference!$A$6:$A$11,1))))/(INDEX(Reference!$A$6:$A$11,MIN(5,MATCH(MAX(Reference!$A$6,MIN(Reference!$A$11,MIN(D58,150))),Reference!$A$6:$A$11,1))+1)-INDEX(Reference!$A$6:$A$11,MIN(5,MATCH(MAX(Reference!$A$6,MIN(Reference!$A$11,MIN(D58,150))),Reference!$A$6:$A$11,1))))),0)+IF(4&lt;=AE58,(AE58-4+3)*(INDEX(Reference!$B$6:$B$11,MIN(5,MATCH(MAX(Reference!$A$6,MIN(Reference!$A$11,MIN(D58,180))),Reference!$A$6:$A$11,1)))+(MAX(Reference!$A$6,MIN(Reference!$A$11,MIN(D58,180)))-INDEX(Reference!$A$6:$A$11,MIN(5,MATCH(MAX(Reference!$A$6,MIN(Reference!$A$11,MIN(D58,180))),Reference!$A$6:$A$11,1))))*(INDEX(Reference!$B$6:$B$11,MIN(5,MATCH(MAX(Reference!$A$6,MIN(Reference!$A$11,MIN(D58,180))),Reference!$A$6:$A$11,1))+1)-INDEX(Reference!$B$6:$B$11,MIN(5,MATCH(MAX(Reference!$A$6,MIN(Reference!$A$11,MIN(D58,180))),Reference!$A$6:$A$11,1))))/(INDEX(Reference!$A$6:$A$11,MIN(5,MATCH(MAX(Reference!$A$6,MIN(Reference!$A$11,MIN(D58,180))),Reference!$A$6:$A$11,1))+1)-INDEX(Reference!$A$6:$A$11,MIN(5,MATCH(MAX(Reference!$A$6,MIN(Reference!$A$11,MIN(D58,180))),Reference!$A$6:$A$11,1))))),0)+IF(5&lt;=AE58,(AE58-5+3)*(INDEX(Reference!$B$6:$B$11,MIN(5,MATCH(MAX(Reference!$A$6,MIN(Reference!$A$11,MIN(D58,210))),Reference!$A$6:$A$11,1)))+(MAX(Reference!$A$6,MIN(Reference!$A$11,MIN(D58,210)))-INDEX(Reference!$A$6:$A$11,MIN(5,MATCH(MAX(Reference!$A$6,MIN(Reference!$A$11,MIN(D58,210))),Reference!$A$6:$A$11,1))))*(INDEX(Reference!$B$6:$B$11,MIN(5,MATCH(MAX(Reference!$A$6,MIN(Reference!$A$11,MIN(D58,210))),Reference!$A$6:$A$11,1))+1)-INDEX(Reference!$B$6:$B$11,MIN(5,MATCH(MAX(Reference!$A$6,MIN(Reference!$A$11,MIN(D58,210))),Reference!$A$6:$A$11,1))))/(INDEX(Reference!$A$6:$A$11,MIN(5,MATCH(MAX(Reference!$A$6,MIN(Reference!$A$11,MIN(D58,210))),Reference!$A$6:$A$11,1))+1)-INDEX(Reference!$A$6:$A$11,MIN(5,MATCH(MAX(Reference!$A$6,MIN(Reference!$A$11,MIN(D58,210))),Reference!$A$6:$A$11,1))))),0)+IF(6&lt;=AE58,(AE58-6+3)*(INDEX(Reference!$B$6:$B$11,MIN(5,MATCH(MAX(Reference!$A$6,MIN(Reference!$A$11,MIN(D58,240))),Reference!$A$6:$A$11,1)))+(MAX(Reference!$A$6,MIN(Reference!$A$11,MIN(D58,240)))-INDEX(Reference!$A$6:$A$11,MIN(5,MATCH(MAX(Reference!$A$6,MIN(Reference!$A$11,MIN(D58,240))),Reference!$A$6:$A$11,1))))*(INDEX(Reference!$B$6:$B$11,MIN(5,MATCH(MAX(Reference!$A$6,MIN(Reference!$A$11,MIN(D58,240))),Reference!$A$6:$A$11,1))+1)-INDEX(Reference!$B$6:$B$11,MIN(5,MATCH(MAX(Reference!$A$6,MIN(Reference!$A$11,MIN(D58,240))),Reference!$A$6:$A$11,1))))/(INDEX(Reference!$A$6:$A$11,MIN(5,MATCH(MAX(Reference!$A$6,MIN(Reference!$A$11,MIN(D58,240))),Reference!$A$6:$A$11,1))+1)-INDEX(Reference!$A$6:$A$11,MIN(5,MATCH(MAX(Reference!$A$6,MIN(Reference!$A$11,MIN(D58,240))),Reference!$A$6:$A$11,1))))),0)+IF(7&lt;=AE58,(AE58-7+3)*(INDEX(Reference!$B$6:$B$11,MIN(5,MATCH(MAX(Reference!$A$6,MIN(Reference!$A$11,MIN(D58,270))),Reference!$A$6:$A$11,1)))+(MAX(Reference!$A$6,MIN(Reference!$A$11,MIN(D58,270)))-INDEX(Reference!$A$6:$A$11,MIN(5,MATCH(MAX(Reference!$A$6,MIN(Reference!$A$11,MIN(D58,270))),Reference!$A$6:$A$11,1))))*(INDEX(Reference!$B$6:$B$11,MIN(5,MATCH(MAX(Reference!$A$6,MIN(Reference!$A$11,MIN(D58,270))),Reference!$A$6:$A$11,1))+1)-INDEX(Reference!$B$6:$B$11,MIN(5,MATCH(MAX(Reference!$A$6,MIN(Reference!$A$11,MIN(D58,270))),Reference!$A$6:$A$11,1))))/(INDEX(Reference!$A$6:$A$11,MIN(5,MATCH(MAX(Reference!$A$6,MIN(Reference!$A$11,MIN(D58,270))),Reference!$A$6:$A$11,1))+1)-INDEX(Reference!$A$6:$A$11,MIN(5,MATCH(MAX(Reference!$A$6,MIN(Reference!$A$11,MIN(D58,270))),Reference!$A$6:$A$11,1))))),0)+IF(8&lt;=AE58,(AE58-8+3)*(INDEX(Reference!$B$6:$B$11,MIN(5,MATCH(MAX(Reference!$A$6,MIN(Reference!$A$11,MIN(D58,300))),Reference!$A$6:$A$11,1)))+(MAX(Reference!$A$6,MIN(Reference!$A$11,MIN(D58,300)))-INDEX(Reference!$A$6:$A$11,MIN(5,MATCH(MAX(Reference!$A$6,MIN(Reference!$A$11,MIN(D58,300))),Reference!$A$6:$A$11,1))))*(INDEX(Reference!$B$6:$B$11,MIN(5,MATCH(MAX(Reference!$A$6,MIN(Reference!$A$11,MIN(D58,300))),Reference!$A$6:$A$11,1))+1)-INDEX(Reference!$B$6:$B$11,MIN(5,MATCH(MAX(Reference!$A$6,MIN(Reference!$A$11,MIN(D58,300))),Reference!$A$6:$A$11,1))))/(INDEX(Reference!$A$6:$A$11,MIN(5,MATCH(MAX(Reference!$A$6,MIN(Reference!$A$11,MIN(D58,300))),Reference!$A$6:$A$11,1))+1)-INDEX(Reference!$A$6:$A$11,MIN(5,MATCH(MAX(Reference!$A$6,MIN(Reference!$A$11,MIN(D58,300))),Reference!$A$6:$A$11,1))))),0))/(AE58*(AE58+5)/2)),(INDEX(Reference!$B$6:$B$11,MIN(5,MATCH(MAX(Reference!$A$6,MIN(Reference!$A$11,D58)),Reference!$A$6:$A$11,1)))+(MAX(Reference!$A$6,MIN(Reference!$A$11,D58))-INDEX(Reference!$A$6:$A$11,MIN(5,MATCH(MAX(Reference!$A$6,MIN(Reference!$A$11,D58)),Reference!$A$6:$A$11,1))))*(INDEX(Reference!$B$6:$B$11,MIN(5,MATCH(MAX(Reference!$A$6,MIN(Reference!$A$11,D58)),Reference!$A$6:$A$11,1))+1)-INDEX(Reference!$B$6:$B$11,MIN(5,MATCH(MAX(Reference!$A$6,MIN(Reference!$A$11,D58)),Reference!$A$6:$A$11,1))))/(INDEX(Reference!$A$6:$A$11,MIN(5,MATCH(MAX(Reference!$A$6,MIN(Reference!$A$11,D58)),Reference!$A$6:$A$11,1))+1)-INDEX(Reference!$A$6:$A$11,MIN(5,MATCH(MAX(Reference!$A$6,MIN(Reference!$A$11,D58)),Reference!$A$6:$A$11,1))))))))</f>
        <v/>
      </c>
      <c r="P58" s="32" t="str">
        <f>IF(N58="","",VLOOKUP(MAX(N58,0),Reference!$A$17:$B$20,2,TRUE()))</f>
        <v/>
      </c>
      <c r="Q58" s="32" t="str">
        <f t="shared" si="3"/>
        <v/>
      </c>
      <c r="R58" s="31"/>
      <c r="S58" s="31"/>
      <c r="T58" s="31"/>
      <c r="U58" s="32" t="str">
        <f t="shared" si="4"/>
        <v/>
      </c>
      <c r="V58" s="32" t="str">
        <f t="shared" si="5"/>
        <v/>
      </c>
      <c r="W58" s="32" t="str">
        <f>IF(V58="","",VLOOKUP(MAX(V58,0),Reference!$A$17:$B$20,2,TRUE()))</f>
        <v/>
      </c>
      <c r="X58" s="31"/>
      <c r="Y58" s="31"/>
      <c r="Z58" s="31"/>
      <c r="AA58" s="32" t="str">
        <f t="shared" si="6"/>
        <v/>
      </c>
      <c r="AB58" s="32" t="str">
        <f t="shared" si="7"/>
        <v/>
      </c>
      <c r="AC58" s="32" t="str">
        <f>IF(AB58="","",VLOOKUP(MAX(AB58,0),Reference!$A$17:$B$20,2,TRUE()))</f>
        <v/>
      </c>
      <c r="AD58" s="31"/>
      <c r="AE58">
        <f t="shared" si="8"/>
        <v>1</v>
      </c>
      <c r="AF58" s="33" t="str">
        <f>IF(OR(A58="",B58="",AND(C58&lt;&gt;"Bullpen",C58&lt;&gt;"Game")),"",IF((COUNTIFS($B$5:$B$300,B58,$A$5:$A$300,A58-1,$C$5:$C$300,"Bullpen",$AG$5:$AG$300,"&gt;0") + COUNTIFS($B$5:$B$300,B58,$A$5:$A$300,A58-1,$C$5:$C$300,"Game",$AG$5:$AG$300,"&gt;0"))&gt;0,Reference!$B$119,IF((COUNTIFS($B$5:$B$300,B58,$A$5:$A$300,A58-2,$C$5:$C$300,"Bullpen",$AG$5:$AG$300,"&gt;0") + COUNTIFS($B$5:$B$300,B58,$A$5:$A$300,A58-2,$C$5:$C$300,"Game",$AG$5:$AG$300,"&gt;0"))&gt;0,Reference!$B$120,1)))</f>
        <v/>
      </c>
      <c r="AG58" s="30" t="str">
        <f>IF(AND(OR(I58="",O58="",P58=""),OR(R58="",W58=""),OR(X58="",AC58="")),"",IF(OR(I58="",O58="",P58=""),0,I58*O58*P58)+IF(OR(R58="",W58=""),0,R58*IFERROR(INDEX(Reference!$B$61:$B$62,MATCH("Bullpen",Reference!$A$61:$A$62,0)),0)*W58)+IF(OR(X58="",AC58=""),0,X58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58))</f>
        <v/>
      </c>
    </row>
    <row r="59" spans="1:33" x14ac:dyDescent="0.3">
      <c r="A59" s="35">
        <v>46319</v>
      </c>
      <c r="B59" s="31" t="s">
        <v>142</v>
      </c>
      <c r="C59" s="31"/>
      <c r="D59" s="31"/>
      <c r="E59" s="34"/>
      <c r="F59" s="34"/>
      <c r="G59" s="30" t="str">
        <f t="shared" si="0"/>
        <v/>
      </c>
      <c r="H59" s="31"/>
      <c r="I59" s="32" t="str">
        <f>IF(H59&lt;&gt;"",H59,IF(G59="","",ROUND(G59*IFERROR(INDEX(Reference!$B$44:$B$50,MATCH(C59,Reference!$A$44:$A$50,0)),0),0)))</f>
        <v/>
      </c>
      <c r="J59" s="31"/>
      <c r="K59" s="31"/>
      <c r="L59" s="32" t="str">
        <f t="shared" si="1"/>
        <v/>
      </c>
      <c r="M59" s="32">
        <f>IFERROR(INDEX(Roster!$D$5:$D$40,MATCH(B59,Roster!$A$5:$A$40,0)),"")</f>
        <v>87.9</v>
      </c>
      <c r="N59" s="32" t="str">
        <f t="shared" si="2"/>
        <v/>
      </c>
      <c r="O59" s="32" t="str">
        <f>IF(OR(C59="Bullpen",C59="Game"),IFERROR(INDEX(Reference!$B$61:$B$62,MATCH(C59,Reference!$A$61:$A$62,0)),""),IF(D59="","",IF(AE59&gt;1,((IF(1&lt;=AE59,(AE59-1+3)*(INDEX(Reference!$B$6:$B$11,MIN(5,MATCH(MAX(Reference!$A$6,MIN(Reference!$A$11,MIN(D59,90))),Reference!$A$6:$A$11,1)))+(MAX(Reference!$A$6,MIN(Reference!$A$11,MIN(D59,90)))-INDEX(Reference!$A$6:$A$11,MIN(5,MATCH(MAX(Reference!$A$6,MIN(Reference!$A$11,MIN(D59,90))),Reference!$A$6:$A$11,1))))*(INDEX(Reference!$B$6:$B$11,MIN(5,MATCH(MAX(Reference!$A$6,MIN(Reference!$A$11,MIN(D59,90))),Reference!$A$6:$A$11,1))+1)-INDEX(Reference!$B$6:$B$11,MIN(5,MATCH(MAX(Reference!$A$6,MIN(Reference!$A$11,MIN(D59,90))),Reference!$A$6:$A$11,1))))/(INDEX(Reference!$A$6:$A$11,MIN(5,MATCH(MAX(Reference!$A$6,MIN(Reference!$A$11,MIN(D59,90))),Reference!$A$6:$A$11,1))+1)-INDEX(Reference!$A$6:$A$11,MIN(5,MATCH(MAX(Reference!$A$6,MIN(Reference!$A$11,MIN(D59,90))),Reference!$A$6:$A$11,1))))),0)+IF(2&lt;=AE59,(AE59-2+3)*(INDEX(Reference!$B$6:$B$11,MIN(5,MATCH(MAX(Reference!$A$6,MIN(Reference!$A$11,MIN(D59,120))),Reference!$A$6:$A$11,1)))+(MAX(Reference!$A$6,MIN(Reference!$A$11,MIN(D59,120)))-INDEX(Reference!$A$6:$A$11,MIN(5,MATCH(MAX(Reference!$A$6,MIN(Reference!$A$11,MIN(D59,120))),Reference!$A$6:$A$11,1))))*(INDEX(Reference!$B$6:$B$11,MIN(5,MATCH(MAX(Reference!$A$6,MIN(Reference!$A$11,MIN(D59,120))),Reference!$A$6:$A$11,1))+1)-INDEX(Reference!$B$6:$B$11,MIN(5,MATCH(MAX(Reference!$A$6,MIN(Reference!$A$11,MIN(D59,120))),Reference!$A$6:$A$11,1))))/(INDEX(Reference!$A$6:$A$11,MIN(5,MATCH(MAX(Reference!$A$6,MIN(Reference!$A$11,MIN(D59,120))),Reference!$A$6:$A$11,1))+1)-INDEX(Reference!$A$6:$A$11,MIN(5,MATCH(MAX(Reference!$A$6,MIN(Reference!$A$11,MIN(D59,120))),Reference!$A$6:$A$11,1))))),0)+IF(3&lt;=AE59,(AE59-3+3)*(INDEX(Reference!$B$6:$B$11,MIN(5,MATCH(MAX(Reference!$A$6,MIN(Reference!$A$11,MIN(D59,150))),Reference!$A$6:$A$11,1)))+(MAX(Reference!$A$6,MIN(Reference!$A$11,MIN(D59,150)))-INDEX(Reference!$A$6:$A$11,MIN(5,MATCH(MAX(Reference!$A$6,MIN(Reference!$A$11,MIN(D59,150))),Reference!$A$6:$A$11,1))))*(INDEX(Reference!$B$6:$B$11,MIN(5,MATCH(MAX(Reference!$A$6,MIN(Reference!$A$11,MIN(D59,150))),Reference!$A$6:$A$11,1))+1)-INDEX(Reference!$B$6:$B$11,MIN(5,MATCH(MAX(Reference!$A$6,MIN(Reference!$A$11,MIN(D59,150))),Reference!$A$6:$A$11,1))))/(INDEX(Reference!$A$6:$A$11,MIN(5,MATCH(MAX(Reference!$A$6,MIN(Reference!$A$11,MIN(D59,150))),Reference!$A$6:$A$11,1))+1)-INDEX(Reference!$A$6:$A$11,MIN(5,MATCH(MAX(Reference!$A$6,MIN(Reference!$A$11,MIN(D59,150))),Reference!$A$6:$A$11,1))))),0)+IF(4&lt;=AE59,(AE59-4+3)*(INDEX(Reference!$B$6:$B$11,MIN(5,MATCH(MAX(Reference!$A$6,MIN(Reference!$A$11,MIN(D59,180))),Reference!$A$6:$A$11,1)))+(MAX(Reference!$A$6,MIN(Reference!$A$11,MIN(D59,180)))-INDEX(Reference!$A$6:$A$11,MIN(5,MATCH(MAX(Reference!$A$6,MIN(Reference!$A$11,MIN(D59,180))),Reference!$A$6:$A$11,1))))*(INDEX(Reference!$B$6:$B$11,MIN(5,MATCH(MAX(Reference!$A$6,MIN(Reference!$A$11,MIN(D59,180))),Reference!$A$6:$A$11,1))+1)-INDEX(Reference!$B$6:$B$11,MIN(5,MATCH(MAX(Reference!$A$6,MIN(Reference!$A$11,MIN(D59,180))),Reference!$A$6:$A$11,1))))/(INDEX(Reference!$A$6:$A$11,MIN(5,MATCH(MAX(Reference!$A$6,MIN(Reference!$A$11,MIN(D59,180))),Reference!$A$6:$A$11,1))+1)-INDEX(Reference!$A$6:$A$11,MIN(5,MATCH(MAX(Reference!$A$6,MIN(Reference!$A$11,MIN(D59,180))),Reference!$A$6:$A$11,1))))),0)+IF(5&lt;=AE59,(AE59-5+3)*(INDEX(Reference!$B$6:$B$11,MIN(5,MATCH(MAX(Reference!$A$6,MIN(Reference!$A$11,MIN(D59,210))),Reference!$A$6:$A$11,1)))+(MAX(Reference!$A$6,MIN(Reference!$A$11,MIN(D59,210)))-INDEX(Reference!$A$6:$A$11,MIN(5,MATCH(MAX(Reference!$A$6,MIN(Reference!$A$11,MIN(D59,210))),Reference!$A$6:$A$11,1))))*(INDEX(Reference!$B$6:$B$11,MIN(5,MATCH(MAX(Reference!$A$6,MIN(Reference!$A$11,MIN(D59,210))),Reference!$A$6:$A$11,1))+1)-INDEX(Reference!$B$6:$B$11,MIN(5,MATCH(MAX(Reference!$A$6,MIN(Reference!$A$11,MIN(D59,210))),Reference!$A$6:$A$11,1))))/(INDEX(Reference!$A$6:$A$11,MIN(5,MATCH(MAX(Reference!$A$6,MIN(Reference!$A$11,MIN(D59,210))),Reference!$A$6:$A$11,1))+1)-INDEX(Reference!$A$6:$A$11,MIN(5,MATCH(MAX(Reference!$A$6,MIN(Reference!$A$11,MIN(D59,210))),Reference!$A$6:$A$11,1))))),0)+IF(6&lt;=AE59,(AE59-6+3)*(INDEX(Reference!$B$6:$B$11,MIN(5,MATCH(MAX(Reference!$A$6,MIN(Reference!$A$11,MIN(D59,240))),Reference!$A$6:$A$11,1)))+(MAX(Reference!$A$6,MIN(Reference!$A$11,MIN(D59,240)))-INDEX(Reference!$A$6:$A$11,MIN(5,MATCH(MAX(Reference!$A$6,MIN(Reference!$A$11,MIN(D59,240))),Reference!$A$6:$A$11,1))))*(INDEX(Reference!$B$6:$B$11,MIN(5,MATCH(MAX(Reference!$A$6,MIN(Reference!$A$11,MIN(D59,240))),Reference!$A$6:$A$11,1))+1)-INDEX(Reference!$B$6:$B$11,MIN(5,MATCH(MAX(Reference!$A$6,MIN(Reference!$A$11,MIN(D59,240))),Reference!$A$6:$A$11,1))))/(INDEX(Reference!$A$6:$A$11,MIN(5,MATCH(MAX(Reference!$A$6,MIN(Reference!$A$11,MIN(D59,240))),Reference!$A$6:$A$11,1))+1)-INDEX(Reference!$A$6:$A$11,MIN(5,MATCH(MAX(Reference!$A$6,MIN(Reference!$A$11,MIN(D59,240))),Reference!$A$6:$A$11,1))))),0)+IF(7&lt;=AE59,(AE59-7+3)*(INDEX(Reference!$B$6:$B$11,MIN(5,MATCH(MAX(Reference!$A$6,MIN(Reference!$A$11,MIN(D59,270))),Reference!$A$6:$A$11,1)))+(MAX(Reference!$A$6,MIN(Reference!$A$11,MIN(D59,270)))-INDEX(Reference!$A$6:$A$11,MIN(5,MATCH(MAX(Reference!$A$6,MIN(Reference!$A$11,MIN(D59,270))),Reference!$A$6:$A$11,1))))*(INDEX(Reference!$B$6:$B$11,MIN(5,MATCH(MAX(Reference!$A$6,MIN(Reference!$A$11,MIN(D59,270))),Reference!$A$6:$A$11,1))+1)-INDEX(Reference!$B$6:$B$11,MIN(5,MATCH(MAX(Reference!$A$6,MIN(Reference!$A$11,MIN(D59,270))),Reference!$A$6:$A$11,1))))/(INDEX(Reference!$A$6:$A$11,MIN(5,MATCH(MAX(Reference!$A$6,MIN(Reference!$A$11,MIN(D59,270))),Reference!$A$6:$A$11,1))+1)-INDEX(Reference!$A$6:$A$11,MIN(5,MATCH(MAX(Reference!$A$6,MIN(Reference!$A$11,MIN(D59,270))),Reference!$A$6:$A$11,1))))),0)+IF(8&lt;=AE59,(AE59-8+3)*(INDEX(Reference!$B$6:$B$11,MIN(5,MATCH(MAX(Reference!$A$6,MIN(Reference!$A$11,MIN(D59,300))),Reference!$A$6:$A$11,1)))+(MAX(Reference!$A$6,MIN(Reference!$A$11,MIN(D59,300)))-INDEX(Reference!$A$6:$A$11,MIN(5,MATCH(MAX(Reference!$A$6,MIN(Reference!$A$11,MIN(D59,300))),Reference!$A$6:$A$11,1))))*(INDEX(Reference!$B$6:$B$11,MIN(5,MATCH(MAX(Reference!$A$6,MIN(Reference!$A$11,MIN(D59,300))),Reference!$A$6:$A$11,1))+1)-INDEX(Reference!$B$6:$B$11,MIN(5,MATCH(MAX(Reference!$A$6,MIN(Reference!$A$11,MIN(D59,300))),Reference!$A$6:$A$11,1))))/(INDEX(Reference!$A$6:$A$11,MIN(5,MATCH(MAX(Reference!$A$6,MIN(Reference!$A$11,MIN(D59,300))),Reference!$A$6:$A$11,1))+1)-INDEX(Reference!$A$6:$A$11,MIN(5,MATCH(MAX(Reference!$A$6,MIN(Reference!$A$11,MIN(D59,300))),Reference!$A$6:$A$11,1))))),0))/(AE59*(AE59+5)/2)),(INDEX(Reference!$B$6:$B$11,MIN(5,MATCH(MAX(Reference!$A$6,MIN(Reference!$A$11,D59)),Reference!$A$6:$A$11,1)))+(MAX(Reference!$A$6,MIN(Reference!$A$11,D59))-INDEX(Reference!$A$6:$A$11,MIN(5,MATCH(MAX(Reference!$A$6,MIN(Reference!$A$11,D59)),Reference!$A$6:$A$11,1))))*(INDEX(Reference!$B$6:$B$11,MIN(5,MATCH(MAX(Reference!$A$6,MIN(Reference!$A$11,D59)),Reference!$A$6:$A$11,1))+1)-INDEX(Reference!$B$6:$B$11,MIN(5,MATCH(MAX(Reference!$A$6,MIN(Reference!$A$11,D59)),Reference!$A$6:$A$11,1))))/(INDEX(Reference!$A$6:$A$11,MIN(5,MATCH(MAX(Reference!$A$6,MIN(Reference!$A$11,D59)),Reference!$A$6:$A$11,1))+1)-INDEX(Reference!$A$6:$A$11,MIN(5,MATCH(MAX(Reference!$A$6,MIN(Reference!$A$11,D59)),Reference!$A$6:$A$11,1))))))))</f>
        <v/>
      </c>
      <c r="P59" s="32" t="str">
        <f>IF(N59="","",VLOOKUP(MAX(N59,0),Reference!$A$17:$B$20,2,TRUE()))</f>
        <v/>
      </c>
      <c r="Q59" s="32" t="str">
        <f t="shared" si="3"/>
        <v/>
      </c>
      <c r="R59" s="31"/>
      <c r="S59" s="31"/>
      <c r="T59" s="31"/>
      <c r="U59" s="32" t="str">
        <f t="shared" si="4"/>
        <v/>
      </c>
      <c r="V59" s="32" t="str">
        <f t="shared" si="5"/>
        <v/>
      </c>
      <c r="W59" s="32" t="str">
        <f>IF(V59="","",VLOOKUP(MAX(V59,0),Reference!$A$17:$B$20,2,TRUE()))</f>
        <v/>
      </c>
      <c r="X59" s="31"/>
      <c r="Y59" s="31"/>
      <c r="Z59" s="31"/>
      <c r="AA59" s="32" t="str">
        <f t="shared" si="6"/>
        <v/>
      </c>
      <c r="AB59" s="32" t="str">
        <f t="shared" si="7"/>
        <v/>
      </c>
      <c r="AC59" s="32" t="str">
        <f>IF(AB59="","",VLOOKUP(MAX(AB59,0),Reference!$A$17:$B$20,2,TRUE()))</f>
        <v/>
      </c>
      <c r="AD59" s="31"/>
      <c r="AE59">
        <f t="shared" si="8"/>
        <v>1</v>
      </c>
      <c r="AF59" s="33" t="str">
        <f>IF(OR(A59="",B59="",AND(C59&lt;&gt;"Bullpen",C59&lt;&gt;"Game")),"",IF((COUNTIFS($B$5:$B$300,B59,$A$5:$A$300,A59-1,$C$5:$C$300,"Bullpen",$AG$5:$AG$300,"&gt;0") + COUNTIFS($B$5:$B$300,B59,$A$5:$A$300,A59-1,$C$5:$C$300,"Game",$AG$5:$AG$300,"&gt;0"))&gt;0,Reference!$B$119,IF((COUNTIFS($B$5:$B$300,B59,$A$5:$A$300,A59-2,$C$5:$C$300,"Bullpen",$AG$5:$AG$300,"&gt;0") + COUNTIFS($B$5:$B$300,B59,$A$5:$A$300,A59-2,$C$5:$C$300,"Game",$AG$5:$AG$300,"&gt;0"))&gt;0,Reference!$B$120,1)))</f>
        <v/>
      </c>
      <c r="AG59" s="30" t="str">
        <f>IF(AND(OR(I59="",O59="",P59=""),OR(R59="",W59=""),OR(X59="",AC59="")),"",IF(OR(I59="",O59="",P59=""),0,I59*O59*P59)+IF(OR(R59="",W59=""),0,R59*IFERROR(INDEX(Reference!$B$61:$B$62,MATCH("Bullpen",Reference!$A$61:$A$62,0)),0)*W59)+IF(OR(X59="",AC59=""),0,X59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59))</f>
        <v/>
      </c>
    </row>
    <row r="60" spans="1:33" x14ac:dyDescent="0.3">
      <c r="A60" s="35">
        <v>46320</v>
      </c>
      <c r="B60" s="31" t="s">
        <v>142</v>
      </c>
      <c r="C60" s="31"/>
      <c r="D60" s="31"/>
      <c r="E60" s="34"/>
      <c r="F60" s="34"/>
      <c r="G60" s="30" t="str">
        <f t="shared" si="0"/>
        <v/>
      </c>
      <c r="H60" s="31"/>
      <c r="I60" s="32" t="str">
        <f>IF(H60&lt;&gt;"",H60,IF(G60="","",ROUND(G60*IFERROR(INDEX(Reference!$B$44:$B$50,MATCH(C60,Reference!$A$44:$A$50,0)),0),0)))</f>
        <v/>
      </c>
      <c r="J60" s="31"/>
      <c r="K60" s="31"/>
      <c r="L60" s="32" t="str">
        <f t="shared" si="1"/>
        <v/>
      </c>
      <c r="M60" s="32">
        <f>IFERROR(INDEX(Roster!$D$5:$D$40,MATCH(B60,Roster!$A$5:$A$40,0)),"")</f>
        <v>87.9</v>
      </c>
      <c r="N60" s="32" t="str">
        <f t="shared" si="2"/>
        <v/>
      </c>
      <c r="O60" s="32" t="str">
        <f>IF(OR(C60="Bullpen",C60="Game"),IFERROR(INDEX(Reference!$B$61:$B$62,MATCH(C60,Reference!$A$61:$A$62,0)),""),IF(D60="","",IF(AE60&gt;1,((IF(1&lt;=AE60,(AE60-1+3)*(INDEX(Reference!$B$6:$B$11,MIN(5,MATCH(MAX(Reference!$A$6,MIN(Reference!$A$11,MIN(D60,90))),Reference!$A$6:$A$11,1)))+(MAX(Reference!$A$6,MIN(Reference!$A$11,MIN(D60,90)))-INDEX(Reference!$A$6:$A$11,MIN(5,MATCH(MAX(Reference!$A$6,MIN(Reference!$A$11,MIN(D60,90))),Reference!$A$6:$A$11,1))))*(INDEX(Reference!$B$6:$B$11,MIN(5,MATCH(MAX(Reference!$A$6,MIN(Reference!$A$11,MIN(D60,90))),Reference!$A$6:$A$11,1))+1)-INDEX(Reference!$B$6:$B$11,MIN(5,MATCH(MAX(Reference!$A$6,MIN(Reference!$A$11,MIN(D60,90))),Reference!$A$6:$A$11,1))))/(INDEX(Reference!$A$6:$A$11,MIN(5,MATCH(MAX(Reference!$A$6,MIN(Reference!$A$11,MIN(D60,90))),Reference!$A$6:$A$11,1))+1)-INDEX(Reference!$A$6:$A$11,MIN(5,MATCH(MAX(Reference!$A$6,MIN(Reference!$A$11,MIN(D60,90))),Reference!$A$6:$A$11,1))))),0)+IF(2&lt;=AE60,(AE60-2+3)*(INDEX(Reference!$B$6:$B$11,MIN(5,MATCH(MAX(Reference!$A$6,MIN(Reference!$A$11,MIN(D60,120))),Reference!$A$6:$A$11,1)))+(MAX(Reference!$A$6,MIN(Reference!$A$11,MIN(D60,120)))-INDEX(Reference!$A$6:$A$11,MIN(5,MATCH(MAX(Reference!$A$6,MIN(Reference!$A$11,MIN(D60,120))),Reference!$A$6:$A$11,1))))*(INDEX(Reference!$B$6:$B$11,MIN(5,MATCH(MAX(Reference!$A$6,MIN(Reference!$A$11,MIN(D60,120))),Reference!$A$6:$A$11,1))+1)-INDEX(Reference!$B$6:$B$11,MIN(5,MATCH(MAX(Reference!$A$6,MIN(Reference!$A$11,MIN(D60,120))),Reference!$A$6:$A$11,1))))/(INDEX(Reference!$A$6:$A$11,MIN(5,MATCH(MAX(Reference!$A$6,MIN(Reference!$A$11,MIN(D60,120))),Reference!$A$6:$A$11,1))+1)-INDEX(Reference!$A$6:$A$11,MIN(5,MATCH(MAX(Reference!$A$6,MIN(Reference!$A$11,MIN(D60,120))),Reference!$A$6:$A$11,1))))),0)+IF(3&lt;=AE60,(AE60-3+3)*(INDEX(Reference!$B$6:$B$11,MIN(5,MATCH(MAX(Reference!$A$6,MIN(Reference!$A$11,MIN(D60,150))),Reference!$A$6:$A$11,1)))+(MAX(Reference!$A$6,MIN(Reference!$A$11,MIN(D60,150)))-INDEX(Reference!$A$6:$A$11,MIN(5,MATCH(MAX(Reference!$A$6,MIN(Reference!$A$11,MIN(D60,150))),Reference!$A$6:$A$11,1))))*(INDEX(Reference!$B$6:$B$11,MIN(5,MATCH(MAX(Reference!$A$6,MIN(Reference!$A$11,MIN(D60,150))),Reference!$A$6:$A$11,1))+1)-INDEX(Reference!$B$6:$B$11,MIN(5,MATCH(MAX(Reference!$A$6,MIN(Reference!$A$11,MIN(D60,150))),Reference!$A$6:$A$11,1))))/(INDEX(Reference!$A$6:$A$11,MIN(5,MATCH(MAX(Reference!$A$6,MIN(Reference!$A$11,MIN(D60,150))),Reference!$A$6:$A$11,1))+1)-INDEX(Reference!$A$6:$A$11,MIN(5,MATCH(MAX(Reference!$A$6,MIN(Reference!$A$11,MIN(D60,150))),Reference!$A$6:$A$11,1))))),0)+IF(4&lt;=AE60,(AE60-4+3)*(INDEX(Reference!$B$6:$B$11,MIN(5,MATCH(MAX(Reference!$A$6,MIN(Reference!$A$11,MIN(D60,180))),Reference!$A$6:$A$11,1)))+(MAX(Reference!$A$6,MIN(Reference!$A$11,MIN(D60,180)))-INDEX(Reference!$A$6:$A$11,MIN(5,MATCH(MAX(Reference!$A$6,MIN(Reference!$A$11,MIN(D60,180))),Reference!$A$6:$A$11,1))))*(INDEX(Reference!$B$6:$B$11,MIN(5,MATCH(MAX(Reference!$A$6,MIN(Reference!$A$11,MIN(D60,180))),Reference!$A$6:$A$11,1))+1)-INDEX(Reference!$B$6:$B$11,MIN(5,MATCH(MAX(Reference!$A$6,MIN(Reference!$A$11,MIN(D60,180))),Reference!$A$6:$A$11,1))))/(INDEX(Reference!$A$6:$A$11,MIN(5,MATCH(MAX(Reference!$A$6,MIN(Reference!$A$11,MIN(D60,180))),Reference!$A$6:$A$11,1))+1)-INDEX(Reference!$A$6:$A$11,MIN(5,MATCH(MAX(Reference!$A$6,MIN(Reference!$A$11,MIN(D60,180))),Reference!$A$6:$A$11,1))))),0)+IF(5&lt;=AE60,(AE60-5+3)*(INDEX(Reference!$B$6:$B$11,MIN(5,MATCH(MAX(Reference!$A$6,MIN(Reference!$A$11,MIN(D60,210))),Reference!$A$6:$A$11,1)))+(MAX(Reference!$A$6,MIN(Reference!$A$11,MIN(D60,210)))-INDEX(Reference!$A$6:$A$11,MIN(5,MATCH(MAX(Reference!$A$6,MIN(Reference!$A$11,MIN(D60,210))),Reference!$A$6:$A$11,1))))*(INDEX(Reference!$B$6:$B$11,MIN(5,MATCH(MAX(Reference!$A$6,MIN(Reference!$A$11,MIN(D60,210))),Reference!$A$6:$A$11,1))+1)-INDEX(Reference!$B$6:$B$11,MIN(5,MATCH(MAX(Reference!$A$6,MIN(Reference!$A$11,MIN(D60,210))),Reference!$A$6:$A$11,1))))/(INDEX(Reference!$A$6:$A$11,MIN(5,MATCH(MAX(Reference!$A$6,MIN(Reference!$A$11,MIN(D60,210))),Reference!$A$6:$A$11,1))+1)-INDEX(Reference!$A$6:$A$11,MIN(5,MATCH(MAX(Reference!$A$6,MIN(Reference!$A$11,MIN(D60,210))),Reference!$A$6:$A$11,1))))),0)+IF(6&lt;=AE60,(AE60-6+3)*(INDEX(Reference!$B$6:$B$11,MIN(5,MATCH(MAX(Reference!$A$6,MIN(Reference!$A$11,MIN(D60,240))),Reference!$A$6:$A$11,1)))+(MAX(Reference!$A$6,MIN(Reference!$A$11,MIN(D60,240)))-INDEX(Reference!$A$6:$A$11,MIN(5,MATCH(MAX(Reference!$A$6,MIN(Reference!$A$11,MIN(D60,240))),Reference!$A$6:$A$11,1))))*(INDEX(Reference!$B$6:$B$11,MIN(5,MATCH(MAX(Reference!$A$6,MIN(Reference!$A$11,MIN(D60,240))),Reference!$A$6:$A$11,1))+1)-INDEX(Reference!$B$6:$B$11,MIN(5,MATCH(MAX(Reference!$A$6,MIN(Reference!$A$11,MIN(D60,240))),Reference!$A$6:$A$11,1))))/(INDEX(Reference!$A$6:$A$11,MIN(5,MATCH(MAX(Reference!$A$6,MIN(Reference!$A$11,MIN(D60,240))),Reference!$A$6:$A$11,1))+1)-INDEX(Reference!$A$6:$A$11,MIN(5,MATCH(MAX(Reference!$A$6,MIN(Reference!$A$11,MIN(D60,240))),Reference!$A$6:$A$11,1))))),0)+IF(7&lt;=AE60,(AE60-7+3)*(INDEX(Reference!$B$6:$B$11,MIN(5,MATCH(MAX(Reference!$A$6,MIN(Reference!$A$11,MIN(D60,270))),Reference!$A$6:$A$11,1)))+(MAX(Reference!$A$6,MIN(Reference!$A$11,MIN(D60,270)))-INDEX(Reference!$A$6:$A$11,MIN(5,MATCH(MAX(Reference!$A$6,MIN(Reference!$A$11,MIN(D60,270))),Reference!$A$6:$A$11,1))))*(INDEX(Reference!$B$6:$B$11,MIN(5,MATCH(MAX(Reference!$A$6,MIN(Reference!$A$11,MIN(D60,270))),Reference!$A$6:$A$11,1))+1)-INDEX(Reference!$B$6:$B$11,MIN(5,MATCH(MAX(Reference!$A$6,MIN(Reference!$A$11,MIN(D60,270))),Reference!$A$6:$A$11,1))))/(INDEX(Reference!$A$6:$A$11,MIN(5,MATCH(MAX(Reference!$A$6,MIN(Reference!$A$11,MIN(D60,270))),Reference!$A$6:$A$11,1))+1)-INDEX(Reference!$A$6:$A$11,MIN(5,MATCH(MAX(Reference!$A$6,MIN(Reference!$A$11,MIN(D60,270))),Reference!$A$6:$A$11,1))))),0)+IF(8&lt;=AE60,(AE60-8+3)*(INDEX(Reference!$B$6:$B$11,MIN(5,MATCH(MAX(Reference!$A$6,MIN(Reference!$A$11,MIN(D60,300))),Reference!$A$6:$A$11,1)))+(MAX(Reference!$A$6,MIN(Reference!$A$11,MIN(D60,300)))-INDEX(Reference!$A$6:$A$11,MIN(5,MATCH(MAX(Reference!$A$6,MIN(Reference!$A$11,MIN(D60,300))),Reference!$A$6:$A$11,1))))*(INDEX(Reference!$B$6:$B$11,MIN(5,MATCH(MAX(Reference!$A$6,MIN(Reference!$A$11,MIN(D60,300))),Reference!$A$6:$A$11,1))+1)-INDEX(Reference!$B$6:$B$11,MIN(5,MATCH(MAX(Reference!$A$6,MIN(Reference!$A$11,MIN(D60,300))),Reference!$A$6:$A$11,1))))/(INDEX(Reference!$A$6:$A$11,MIN(5,MATCH(MAX(Reference!$A$6,MIN(Reference!$A$11,MIN(D60,300))),Reference!$A$6:$A$11,1))+1)-INDEX(Reference!$A$6:$A$11,MIN(5,MATCH(MAX(Reference!$A$6,MIN(Reference!$A$11,MIN(D60,300))),Reference!$A$6:$A$11,1))))),0))/(AE60*(AE60+5)/2)),(INDEX(Reference!$B$6:$B$11,MIN(5,MATCH(MAX(Reference!$A$6,MIN(Reference!$A$11,D60)),Reference!$A$6:$A$11,1)))+(MAX(Reference!$A$6,MIN(Reference!$A$11,D60))-INDEX(Reference!$A$6:$A$11,MIN(5,MATCH(MAX(Reference!$A$6,MIN(Reference!$A$11,D60)),Reference!$A$6:$A$11,1))))*(INDEX(Reference!$B$6:$B$11,MIN(5,MATCH(MAX(Reference!$A$6,MIN(Reference!$A$11,D60)),Reference!$A$6:$A$11,1))+1)-INDEX(Reference!$B$6:$B$11,MIN(5,MATCH(MAX(Reference!$A$6,MIN(Reference!$A$11,D60)),Reference!$A$6:$A$11,1))))/(INDEX(Reference!$A$6:$A$11,MIN(5,MATCH(MAX(Reference!$A$6,MIN(Reference!$A$11,D60)),Reference!$A$6:$A$11,1))+1)-INDEX(Reference!$A$6:$A$11,MIN(5,MATCH(MAX(Reference!$A$6,MIN(Reference!$A$11,D60)),Reference!$A$6:$A$11,1))))))))</f>
        <v/>
      </c>
      <c r="P60" s="32" t="str">
        <f>IF(N60="","",VLOOKUP(MAX(N60,0),Reference!$A$17:$B$20,2,TRUE()))</f>
        <v/>
      </c>
      <c r="Q60" s="32" t="str">
        <f t="shared" si="3"/>
        <v/>
      </c>
      <c r="R60" s="31"/>
      <c r="S60" s="31"/>
      <c r="T60" s="31"/>
      <c r="U60" s="32" t="str">
        <f t="shared" si="4"/>
        <v/>
      </c>
      <c r="V60" s="32" t="str">
        <f t="shared" si="5"/>
        <v/>
      </c>
      <c r="W60" s="32" t="str">
        <f>IF(V60="","",VLOOKUP(MAX(V60,0),Reference!$A$17:$B$20,2,TRUE()))</f>
        <v/>
      </c>
      <c r="X60" s="31"/>
      <c r="Y60" s="31"/>
      <c r="Z60" s="31"/>
      <c r="AA60" s="32" t="str">
        <f t="shared" si="6"/>
        <v/>
      </c>
      <c r="AB60" s="32" t="str">
        <f t="shared" si="7"/>
        <v/>
      </c>
      <c r="AC60" s="32" t="str">
        <f>IF(AB60="","",VLOOKUP(MAX(AB60,0),Reference!$A$17:$B$20,2,TRUE()))</f>
        <v/>
      </c>
      <c r="AD60" s="31"/>
      <c r="AE60">
        <f t="shared" si="8"/>
        <v>1</v>
      </c>
      <c r="AF60" s="33" t="str">
        <f>IF(OR(A60="",B60="",AND(C60&lt;&gt;"Bullpen",C60&lt;&gt;"Game")),"",IF((COUNTIFS($B$5:$B$300,B60,$A$5:$A$300,A60-1,$C$5:$C$300,"Bullpen",$AG$5:$AG$300,"&gt;0") + COUNTIFS($B$5:$B$300,B60,$A$5:$A$300,A60-1,$C$5:$C$300,"Game",$AG$5:$AG$300,"&gt;0"))&gt;0,Reference!$B$119,IF((COUNTIFS($B$5:$B$300,B60,$A$5:$A$300,A60-2,$C$5:$C$300,"Bullpen",$AG$5:$AG$300,"&gt;0") + COUNTIFS($B$5:$B$300,B60,$A$5:$A$300,A60-2,$C$5:$C$300,"Game",$AG$5:$AG$300,"&gt;0"))&gt;0,Reference!$B$120,1)))</f>
        <v/>
      </c>
      <c r="AG60" s="30" t="str">
        <f>IF(AND(OR(I60="",O60="",P60=""),OR(R60="",W60=""),OR(X60="",AC60="")),"",IF(OR(I60="",O60="",P60=""),0,I60*O60*P60)+IF(OR(R60="",W60=""),0,R60*IFERROR(INDEX(Reference!$B$61:$B$62,MATCH("Bullpen",Reference!$A$61:$A$62,0)),0)*W60)+IF(OR(X60="",AC60=""),0,X60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60))</f>
        <v/>
      </c>
    </row>
    <row r="61" spans="1:33" x14ac:dyDescent="0.3">
      <c r="A61" s="35">
        <v>46321</v>
      </c>
      <c r="B61" s="31" t="s">
        <v>142</v>
      </c>
      <c r="C61" s="31"/>
      <c r="D61" s="31"/>
      <c r="E61" s="34"/>
      <c r="F61" s="34"/>
      <c r="G61" s="30" t="str">
        <f t="shared" si="0"/>
        <v/>
      </c>
      <c r="H61" s="31"/>
      <c r="I61" s="32" t="str">
        <f>IF(H61&lt;&gt;"",H61,IF(G61="","",ROUND(G61*IFERROR(INDEX(Reference!$B$44:$B$50,MATCH(C61,Reference!$A$44:$A$50,0)),0),0)))</f>
        <v/>
      </c>
      <c r="J61" s="31"/>
      <c r="K61" s="31"/>
      <c r="L61" s="32" t="str">
        <f t="shared" si="1"/>
        <v/>
      </c>
      <c r="M61" s="32">
        <f>IFERROR(INDEX(Roster!$D$5:$D$40,MATCH(B61,Roster!$A$5:$A$40,0)),"")</f>
        <v>87.9</v>
      </c>
      <c r="N61" s="32" t="str">
        <f t="shared" si="2"/>
        <v/>
      </c>
      <c r="O61" s="32" t="str">
        <f>IF(OR(C61="Bullpen",C61="Game"),IFERROR(INDEX(Reference!$B$61:$B$62,MATCH(C61,Reference!$A$61:$A$62,0)),""),IF(D61="","",IF(AE61&gt;1,((IF(1&lt;=AE61,(AE61-1+3)*(INDEX(Reference!$B$6:$B$11,MIN(5,MATCH(MAX(Reference!$A$6,MIN(Reference!$A$11,MIN(D61,90))),Reference!$A$6:$A$11,1)))+(MAX(Reference!$A$6,MIN(Reference!$A$11,MIN(D61,90)))-INDEX(Reference!$A$6:$A$11,MIN(5,MATCH(MAX(Reference!$A$6,MIN(Reference!$A$11,MIN(D61,90))),Reference!$A$6:$A$11,1))))*(INDEX(Reference!$B$6:$B$11,MIN(5,MATCH(MAX(Reference!$A$6,MIN(Reference!$A$11,MIN(D61,90))),Reference!$A$6:$A$11,1))+1)-INDEX(Reference!$B$6:$B$11,MIN(5,MATCH(MAX(Reference!$A$6,MIN(Reference!$A$11,MIN(D61,90))),Reference!$A$6:$A$11,1))))/(INDEX(Reference!$A$6:$A$11,MIN(5,MATCH(MAX(Reference!$A$6,MIN(Reference!$A$11,MIN(D61,90))),Reference!$A$6:$A$11,1))+1)-INDEX(Reference!$A$6:$A$11,MIN(5,MATCH(MAX(Reference!$A$6,MIN(Reference!$A$11,MIN(D61,90))),Reference!$A$6:$A$11,1))))),0)+IF(2&lt;=AE61,(AE61-2+3)*(INDEX(Reference!$B$6:$B$11,MIN(5,MATCH(MAX(Reference!$A$6,MIN(Reference!$A$11,MIN(D61,120))),Reference!$A$6:$A$11,1)))+(MAX(Reference!$A$6,MIN(Reference!$A$11,MIN(D61,120)))-INDEX(Reference!$A$6:$A$11,MIN(5,MATCH(MAX(Reference!$A$6,MIN(Reference!$A$11,MIN(D61,120))),Reference!$A$6:$A$11,1))))*(INDEX(Reference!$B$6:$B$11,MIN(5,MATCH(MAX(Reference!$A$6,MIN(Reference!$A$11,MIN(D61,120))),Reference!$A$6:$A$11,1))+1)-INDEX(Reference!$B$6:$B$11,MIN(5,MATCH(MAX(Reference!$A$6,MIN(Reference!$A$11,MIN(D61,120))),Reference!$A$6:$A$11,1))))/(INDEX(Reference!$A$6:$A$11,MIN(5,MATCH(MAX(Reference!$A$6,MIN(Reference!$A$11,MIN(D61,120))),Reference!$A$6:$A$11,1))+1)-INDEX(Reference!$A$6:$A$11,MIN(5,MATCH(MAX(Reference!$A$6,MIN(Reference!$A$11,MIN(D61,120))),Reference!$A$6:$A$11,1))))),0)+IF(3&lt;=AE61,(AE61-3+3)*(INDEX(Reference!$B$6:$B$11,MIN(5,MATCH(MAX(Reference!$A$6,MIN(Reference!$A$11,MIN(D61,150))),Reference!$A$6:$A$11,1)))+(MAX(Reference!$A$6,MIN(Reference!$A$11,MIN(D61,150)))-INDEX(Reference!$A$6:$A$11,MIN(5,MATCH(MAX(Reference!$A$6,MIN(Reference!$A$11,MIN(D61,150))),Reference!$A$6:$A$11,1))))*(INDEX(Reference!$B$6:$B$11,MIN(5,MATCH(MAX(Reference!$A$6,MIN(Reference!$A$11,MIN(D61,150))),Reference!$A$6:$A$11,1))+1)-INDEX(Reference!$B$6:$B$11,MIN(5,MATCH(MAX(Reference!$A$6,MIN(Reference!$A$11,MIN(D61,150))),Reference!$A$6:$A$11,1))))/(INDEX(Reference!$A$6:$A$11,MIN(5,MATCH(MAX(Reference!$A$6,MIN(Reference!$A$11,MIN(D61,150))),Reference!$A$6:$A$11,1))+1)-INDEX(Reference!$A$6:$A$11,MIN(5,MATCH(MAX(Reference!$A$6,MIN(Reference!$A$11,MIN(D61,150))),Reference!$A$6:$A$11,1))))),0)+IF(4&lt;=AE61,(AE61-4+3)*(INDEX(Reference!$B$6:$B$11,MIN(5,MATCH(MAX(Reference!$A$6,MIN(Reference!$A$11,MIN(D61,180))),Reference!$A$6:$A$11,1)))+(MAX(Reference!$A$6,MIN(Reference!$A$11,MIN(D61,180)))-INDEX(Reference!$A$6:$A$11,MIN(5,MATCH(MAX(Reference!$A$6,MIN(Reference!$A$11,MIN(D61,180))),Reference!$A$6:$A$11,1))))*(INDEX(Reference!$B$6:$B$11,MIN(5,MATCH(MAX(Reference!$A$6,MIN(Reference!$A$11,MIN(D61,180))),Reference!$A$6:$A$11,1))+1)-INDEX(Reference!$B$6:$B$11,MIN(5,MATCH(MAX(Reference!$A$6,MIN(Reference!$A$11,MIN(D61,180))),Reference!$A$6:$A$11,1))))/(INDEX(Reference!$A$6:$A$11,MIN(5,MATCH(MAX(Reference!$A$6,MIN(Reference!$A$11,MIN(D61,180))),Reference!$A$6:$A$11,1))+1)-INDEX(Reference!$A$6:$A$11,MIN(5,MATCH(MAX(Reference!$A$6,MIN(Reference!$A$11,MIN(D61,180))),Reference!$A$6:$A$11,1))))),0)+IF(5&lt;=AE61,(AE61-5+3)*(INDEX(Reference!$B$6:$B$11,MIN(5,MATCH(MAX(Reference!$A$6,MIN(Reference!$A$11,MIN(D61,210))),Reference!$A$6:$A$11,1)))+(MAX(Reference!$A$6,MIN(Reference!$A$11,MIN(D61,210)))-INDEX(Reference!$A$6:$A$11,MIN(5,MATCH(MAX(Reference!$A$6,MIN(Reference!$A$11,MIN(D61,210))),Reference!$A$6:$A$11,1))))*(INDEX(Reference!$B$6:$B$11,MIN(5,MATCH(MAX(Reference!$A$6,MIN(Reference!$A$11,MIN(D61,210))),Reference!$A$6:$A$11,1))+1)-INDEX(Reference!$B$6:$B$11,MIN(5,MATCH(MAX(Reference!$A$6,MIN(Reference!$A$11,MIN(D61,210))),Reference!$A$6:$A$11,1))))/(INDEX(Reference!$A$6:$A$11,MIN(5,MATCH(MAX(Reference!$A$6,MIN(Reference!$A$11,MIN(D61,210))),Reference!$A$6:$A$11,1))+1)-INDEX(Reference!$A$6:$A$11,MIN(5,MATCH(MAX(Reference!$A$6,MIN(Reference!$A$11,MIN(D61,210))),Reference!$A$6:$A$11,1))))),0)+IF(6&lt;=AE61,(AE61-6+3)*(INDEX(Reference!$B$6:$B$11,MIN(5,MATCH(MAX(Reference!$A$6,MIN(Reference!$A$11,MIN(D61,240))),Reference!$A$6:$A$11,1)))+(MAX(Reference!$A$6,MIN(Reference!$A$11,MIN(D61,240)))-INDEX(Reference!$A$6:$A$11,MIN(5,MATCH(MAX(Reference!$A$6,MIN(Reference!$A$11,MIN(D61,240))),Reference!$A$6:$A$11,1))))*(INDEX(Reference!$B$6:$B$11,MIN(5,MATCH(MAX(Reference!$A$6,MIN(Reference!$A$11,MIN(D61,240))),Reference!$A$6:$A$11,1))+1)-INDEX(Reference!$B$6:$B$11,MIN(5,MATCH(MAX(Reference!$A$6,MIN(Reference!$A$11,MIN(D61,240))),Reference!$A$6:$A$11,1))))/(INDEX(Reference!$A$6:$A$11,MIN(5,MATCH(MAX(Reference!$A$6,MIN(Reference!$A$11,MIN(D61,240))),Reference!$A$6:$A$11,1))+1)-INDEX(Reference!$A$6:$A$11,MIN(5,MATCH(MAX(Reference!$A$6,MIN(Reference!$A$11,MIN(D61,240))),Reference!$A$6:$A$11,1))))),0)+IF(7&lt;=AE61,(AE61-7+3)*(INDEX(Reference!$B$6:$B$11,MIN(5,MATCH(MAX(Reference!$A$6,MIN(Reference!$A$11,MIN(D61,270))),Reference!$A$6:$A$11,1)))+(MAX(Reference!$A$6,MIN(Reference!$A$11,MIN(D61,270)))-INDEX(Reference!$A$6:$A$11,MIN(5,MATCH(MAX(Reference!$A$6,MIN(Reference!$A$11,MIN(D61,270))),Reference!$A$6:$A$11,1))))*(INDEX(Reference!$B$6:$B$11,MIN(5,MATCH(MAX(Reference!$A$6,MIN(Reference!$A$11,MIN(D61,270))),Reference!$A$6:$A$11,1))+1)-INDEX(Reference!$B$6:$B$11,MIN(5,MATCH(MAX(Reference!$A$6,MIN(Reference!$A$11,MIN(D61,270))),Reference!$A$6:$A$11,1))))/(INDEX(Reference!$A$6:$A$11,MIN(5,MATCH(MAX(Reference!$A$6,MIN(Reference!$A$11,MIN(D61,270))),Reference!$A$6:$A$11,1))+1)-INDEX(Reference!$A$6:$A$11,MIN(5,MATCH(MAX(Reference!$A$6,MIN(Reference!$A$11,MIN(D61,270))),Reference!$A$6:$A$11,1))))),0)+IF(8&lt;=AE61,(AE61-8+3)*(INDEX(Reference!$B$6:$B$11,MIN(5,MATCH(MAX(Reference!$A$6,MIN(Reference!$A$11,MIN(D61,300))),Reference!$A$6:$A$11,1)))+(MAX(Reference!$A$6,MIN(Reference!$A$11,MIN(D61,300)))-INDEX(Reference!$A$6:$A$11,MIN(5,MATCH(MAX(Reference!$A$6,MIN(Reference!$A$11,MIN(D61,300))),Reference!$A$6:$A$11,1))))*(INDEX(Reference!$B$6:$B$11,MIN(5,MATCH(MAX(Reference!$A$6,MIN(Reference!$A$11,MIN(D61,300))),Reference!$A$6:$A$11,1))+1)-INDEX(Reference!$B$6:$B$11,MIN(5,MATCH(MAX(Reference!$A$6,MIN(Reference!$A$11,MIN(D61,300))),Reference!$A$6:$A$11,1))))/(INDEX(Reference!$A$6:$A$11,MIN(5,MATCH(MAX(Reference!$A$6,MIN(Reference!$A$11,MIN(D61,300))),Reference!$A$6:$A$11,1))+1)-INDEX(Reference!$A$6:$A$11,MIN(5,MATCH(MAX(Reference!$A$6,MIN(Reference!$A$11,MIN(D61,300))),Reference!$A$6:$A$11,1))))),0))/(AE61*(AE61+5)/2)),(INDEX(Reference!$B$6:$B$11,MIN(5,MATCH(MAX(Reference!$A$6,MIN(Reference!$A$11,D61)),Reference!$A$6:$A$11,1)))+(MAX(Reference!$A$6,MIN(Reference!$A$11,D61))-INDEX(Reference!$A$6:$A$11,MIN(5,MATCH(MAX(Reference!$A$6,MIN(Reference!$A$11,D61)),Reference!$A$6:$A$11,1))))*(INDEX(Reference!$B$6:$B$11,MIN(5,MATCH(MAX(Reference!$A$6,MIN(Reference!$A$11,D61)),Reference!$A$6:$A$11,1))+1)-INDEX(Reference!$B$6:$B$11,MIN(5,MATCH(MAX(Reference!$A$6,MIN(Reference!$A$11,D61)),Reference!$A$6:$A$11,1))))/(INDEX(Reference!$A$6:$A$11,MIN(5,MATCH(MAX(Reference!$A$6,MIN(Reference!$A$11,D61)),Reference!$A$6:$A$11,1))+1)-INDEX(Reference!$A$6:$A$11,MIN(5,MATCH(MAX(Reference!$A$6,MIN(Reference!$A$11,D61)),Reference!$A$6:$A$11,1))))))))</f>
        <v/>
      </c>
      <c r="P61" s="32" t="str">
        <f>IF(N61="","",VLOOKUP(MAX(N61,0),Reference!$A$17:$B$20,2,TRUE()))</f>
        <v/>
      </c>
      <c r="Q61" s="32" t="str">
        <f t="shared" si="3"/>
        <v/>
      </c>
      <c r="R61" s="31"/>
      <c r="S61" s="31"/>
      <c r="T61" s="31"/>
      <c r="U61" s="32" t="str">
        <f t="shared" si="4"/>
        <v/>
      </c>
      <c r="V61" s="32" t="str">
        <f t="shared" si="5"/>
        <v/>
      </c>
      <c r="W61" s="32" t="str">
        <f>IF(V61="","",VLOOKUP(MAX(V61,0),Reference!$A$17:$B$20,2,TRUE()))</f>
        <v/>
      </c>
      <c r="X61" s="31"/>
      <c r="Y61" s="31"/>
      <c r="Z61" s="31"/>
      <c r="AA61" s="32" t="str">
        <f t="shared" si="6"/>
        <v/>
      </c>
      <c r="AB61" s="32" t="str">
        <f t="shared" si="7"/>
        <v/>
      </c>
      <c r="AC61" s="32" t="str">
        <f>IF(AB61="","",VLOOKUP(MAX(AB61,0),Reference!$A$17:$B$20,2,TRUE()))</f>
        <v/>
      </c>
      <c r="AD61" s="31"/>
      <c r="AE61">
        <f t="shared" si="8"/>
        <v>1</v>
      </c>
      <c r="AF61" s="33" t="str">
        <f>IF(OR(A61="",B61="",AND(C61&lt;&gt;"Bullpen",C61&lt;&gt;"Game")),"",IF((COUNTIFS($B$5:$B$300,B61,$A$5:$A$300,A61-1,$C$5:$C$300,"Bullpen",$AG$5:$AG$300,"&gt;0") + COUNTIFS($B$5:$B$300,B61,$A$5:$A$300,A61-1,$C$5:$C$300,"Game",$AG$5:$AG$300,"&gt;0"))&gt;0,Reference!$B$119,IF((COUNTIFS($B$5:$B$300,B61,$A$5:$A$300,A61-2,$C$5:$C$300,"Bullpen",$AG$5:$AG$300,"&gt;0") + COUNTIFS($B$5:$B$300,B61,$A$5:$A$300,A61-2,$C$5:$C$300,"Game",$AG$5:$AG$300,"&gt;0"))&gt;0,Reference!$B$120,1)))</f>
        <v/>
      </c>
      <c r="AG61" s="30" t="str">
        <f>IF(AND(OR(I61="",O61="",P61=""),OR(R61="",W61=""),OR(X61="",AC61="")),"",IF(OR(I61="",O61="",P61=""),0,I61*O61*P61)+IF(OR(R61="",W61=""),0,R61*IFERROR(INDEX(Reference!$B$61:$B$62,MATCH("Bullpen",Reference!$A$61:$A$62,0)),0)*W61)+IF(OR(X61="",AC61=""),0,X61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61))</f>
        <v/>
      </c>
    </row>
    <row r="62" spans="1:33" x14ac:dyDescent="0.3">
      <c r="A62" s="35">
        <v>46322</v>
      </c>
      <c r="B62" s="31" t="s">
        <v>142</v>
      </c>
      <c r="C62" s="31"/>
      <c r="D62" s="31"/>
      <c r="E62" s="34"/>
      <c r="F62" s="34"/>
      <c r="G62" s="30" t="str">
        <f t="shared" si="0"/>
        <v/>
      </c>
      <c r="H62" s="31"/>
      <c r="I62" s="32" t="str">
        <f>IF(H62&lt;&gt;"",H62,IF(G62="","",ROUND(G62*IFERROR(INDEX(Reference!$B$44:$B$50,MATCH(C62,Reference!$A$44:$A$50,0)),0),0)))</f>
        <v/>
      </c>
      <c r="J62" s="31"/>
      <c r="K62" s="31"/>
      <c r="L62" s="32" t="str">
        <f t="shared" si="1"/>
        <v/>
      </c>
      <c r="M62" s="32">
        <f>IFERROR(INDEX(Roster!$D$5:$D$40,MATCH(B62,Roster!$A$5:$A$40,0)),"")</f>
        <v>87.9</v>
      </c>
      <c r="N62" s="32" t="str">
        <f t="shared" si="2"/>
        <v/>
      </c>
      <c r="O62" s="32" t="str">
        <f>IF(OR(C62="Bullpen",C62="Game"),IFERROR(INDEX(Reference!$B$61:$B$62,MATCH(C62,Reference!$A$61:$A$62,0)),""),IF(D62="","",IF(AE62&gt;1,((IF(1&lt;=AE62,(AE62-1+3)*(INDEX(Reference!$B$6:$B$11,MIN(5,MATCH(MAX(Reference!$A$6,MIN(Reference!$A$11,MIN(D62,90))),Reference!$A$6:$A$11,1)))+(MAX(Reference!$A$6,MIN(Reference!$A$11,MIN(D62,90)))-INDEX(Reference!$A$6:$A$11,MIN(5,MATCH(MAX(Reference!$A$6,MIN(Reference!$A$11,MIN(D62,90))),Reference!$A$6:$A$11,1))))*(INDEX(Reference!$B$6:$B$11,MIN(5,MATCH(MAX(Reference!$A$6,MIN(Reference!$A$11,MIN(D62,90))),Reference!$A$6:$A$11,1))+1)-INDEX(Reference!$B$6:$B$11,MIN(5,MATCH(MAX(Reference!$A$6,MIN(Reference!$A$11,MIN(D62,90))),Reference!$A$6:$A$11,1))))/(INDEX(Reference!$A$6:$A$11,MIN(5,MATCH(MAX(Reference!$A$6,MIN(Reference!$A$11,MIN(D62,90))),Reference!$A$6:$A$11,1))+1)-INDEX(Reference!$A$6:$A$11,MIN(5,MATCH(MAX(Reference!$A$6,MIN(Reference!$A$11,MIN(D62,90))),Reference!$A$6:$A$11,1))))),0)+IF(2&lt;=AE62,(AE62-2+3)*(INDEX(Reference!$B$6:$B$11,MIN(5,MATCH(MAX(Reference!$A$6,MIN(Reference!$A$11,MIN(D62,120))),Reference!$A$6:$A$11,1)))+(MAX(Reference!$A$6,MIN(Reference!$A$11,MIN(D62,120)))-INDEX(Reference!$A$6:$A$11,MIN(5,MATCH(MAX(Reference!$A$6,MIN(Reference!$A$11,MIN(D62,120))),Reference!$A$6:$A$11,1))))*(INDEX(Reference!$B$6:$B$11,MIN(5,MATCH(MAX(Reference!$A$6,MIN(Reference!$A$11,MIN(D62,120))),Reference!$A$6:$A$11,1))+1)-INDEX(Reference!$B$6:$B$11,MIN(5,MATCH(MAX(Reference!$A$6,MIN(Reference!$A$11,MIN(D62,120))),Reference!$A$6:$A$11,1))))/(INDEX(Reference!$A$6:$A$11,MIN(5,MATCH(MAX(Reference!$A$6,MIN(Reference!$A$11,MIN(D62,120))),Reference!$A$6:$A$11,1))+1)-INDEX(Reference!$A$6:$A$11,MIN(5,MATCH(MAX(Reference!$A$6,MIN(Reference!$A$11,MIN(D62,120))),Reference!$A$6:$A$11,1))))),0)+IF(3&lt;=AE62,(AE62-3+3)*(INDEX(Reference!$B$6:$B$11,MIN(5,MATCH(MAX(Reference!$A$6,MIN(Reference!$A$11,MIN(D62,150))),Reference!$A$6:$A$11,1)))+(MAX(Reference!$A$6,MIN(Reference!$A$11,MIN(D62,150)))-INDEX(Reference!$A$6:$A$11,MIN(5,MATCH(MAX(Reference!$A$6,MIN(Reference!$A$11,MIN(D62,150))),Reference!$A$6:$A$11,1))))*(INDEX(Reference!$B$6:$B$11,MIN(5,MATCH(MAX(Reference!$A$6,MIN(Reference!$A$11,MIN(D62,150))),Reference!$A$6:$A$11,1))+1)-INDEX(Reference!$B$6:$B$11,MIN(5,MATCH(MAX(Reference!$A$6,MIN(Reference!$A$11,MIN(D62,150))),Reference!$A$6:$A$11,1))))/(INDEX(Reference!$A$6:$A$11,MIN(5,MATCH(MAX(Reference!$A$6,MIN(Reference!$A$11,MIN(D62,150))),Reference!$A$6:$A$11,1))+1)-INDEX(Reference!$A$6:$A$11,MIN(5,MATCH(MAX(Reference!$A$6,MIN(Reference!$A$11,MIN(D62,150))),Reference!$A$6:$A$11,1))))),0)+IF(4&lt;=AE62,(AE62-4+3)*(INDEX(Reference!$B$6:$B$11,MIN(5,MATCH(MAX(Reference!$A$6,MIN(Reference!$A$11,MIN(D62,180))),Reference!$A$6:$A$11,1)))+(MAX(Reference!$A$6,MIN(Reference!$A$11,MIN(D62,180)))-INDEX(Reference!$A$6:$A$11,MIN(5,MATCH(MAX(Reference!$A$6,MIN(Reference!$A$11,MIN(D62,180))),Reference!$A$6:$A$11,1))))*(INDEX(Reference!$B$6:$B$11,MIN(5,MATCH(MAX(Reference!$A$6,MIN(Reference!$A$11,MIN(D62,180))),Reference!$A$6:$A$11,1))+1)-INDEX(Reference!$B$6:$B$11,MIN(5,MATCH(MAX(Reference!$A$6,MIN(Reference!$A$11,MIN(D62,180))),Reference!$A$6:$A$11,1))))/(INDEX(Reference!$A$6:$A$11,MIN(5,MATCH(MAX(Reference!$A$6,MIN(Reference!$A$11,MIN(D62,180))),Reference!$A$6:$A$11,1))+1)-INDEX(Reference!$A$6:$A$11,MIN(5,MATCH(MAX(Reference!$A$6,MIN(Reference!$A$11,MIN(D62,180))),Reference!$A$6:$A$11,1))))),0)+IF(5&lt;=AE62,(AE62-5+3)*(INDEX(Reference!$B$6:$B$11,MIN(5,MATCH(MAX(Reference!$A$6,MIN(Reference!$A$11,MIN(D62,210))),Reference!$A$6:$A$11,1)))+(MAX(Reference!$A$6,MIN(Reference!$A$11,MIN(D62,210)))-INDEX(Reference!$A$6:$A$11,MIN(5,MATCH(MAX(Reference!$A$6,MIN(Reference!$A$11,MIN(D62,210))),Reference!$A$6:$A$11,1))))*(INDEX(Reference!$B$6:$B$11,MIN(5,MATCH(MAX(Reference!$A$6,MIN(Reference!$A$11,MIN(D62,210))),Reference!$A$6:$A$11,1))+1)-INDEX(Reference!$B$6:$B$11,MIN(5,MATCH(MAX(Reference!$A$6,MIN(Reference!$A$11,MIN(D62,210))),Reference!$A$6:$A$11,1))))/(INDEX(Reference!$A$6:$A$11,MIN(5,MATCH(MAX(Reference!$A$6,MIN(Reference!$A$11,MIN(D62,210))),Reference!$A$6:$A$11,1))+1)-INDEX(Reference!$A$6:$A$11,MIN(5,MATCH(MAX(Reference!$A$6,MIN(Reference!$A$11,MIN(D62,210))),Reference!$A$6:$A$11,1))))),0)+IF(6&lt;=AE62,(AE62-6+3)*(INDEX(Reference!$B$6:$B$11,MIN(5,MATCH(MAX(Reference!$A$6,MIN(Reference!$A$11,MIN(D62,240))),Reference!$A$6:$A$11,1)))+(MAX(Reference!$A$6,MIN(Reference!$A$11,MIN(D62,240)))-INDEX(Reference!$A$6:$A$11,MIN(5,MATCH(MAX(Reference!$A$6,MIN(Reference!$A$11,MIN(D62,240))),Reference!$A$6:$A$11,1))))*(INDEX(Reference!$B$6:$B$11,MIN(5,MATCH(MAX(Reference!$A$6,MIN(Reference!$A$11,MIN(D62,240))),Reference!$A$6:$A$11,1))+1)-INDEX(Reference!$B$6:$B$11,MIN(5,MATCH(MAX(Reference!$A$6,MIN(Reference!$A$11,MIN(D62,240))),Reference!$A$6:$A$11,1))))/(INDEX(Reference!$A$6:$A$11,MIN(5,MATCH(MAX(Reference!$A$6,MIN(Reference!$A$11,MIN(D62,240))),Reference!$A$6:$A$11,1))+1)-INDEX(Reference!$A$6:$A$11,MIN(5,MATCH(MAX(Reference!$A$6,MIN(Reference!$A$11,MIN(D62,240))),Reference!$A$6:$A$11,1))))),0)+IF(7&lt;=AE62,(AE62-7+3)*(INDEX(Reference!$B$6:$B$11,MIN(5,MATCH(MAX(Reference!$A$6,MIN(Reference!$A$11,MIN(D62,270))),Reference!$A$6:$A$11,1)))+(MAX(Reference!$A$6,MIN(Reference!$A$11,MIN(D62,270)))-INDEX(Reference!$A$6:$A$11,MIN(5,MATCH(MAX(Reference!$A$6,MIN(Reference!$A$11,MIN(D62,270))),Reference!$A$6:$A$11,1))))*(INDEX(Reference!$B$6:$B$11,MIN(5,MATCH(MAX(Reference!$A$6,MIN(Reference!$A$11,MIN(D62,270))),Reference!$A$6:$A$11,1))+1)-INDEX(Reference!$B$6:$B$11,MIN(5,MATCH(MAX(Reference!$A$6,MIN(Reference!$A$11,MIN(D62,270))),Reference!$A$6:$A$11,1))))/(INDEX(Reference!$A$6:$A$11,MIN(5,MATCH(MAX(Reference!$A$6,MIN(Reference!$A$11,MIN(D62,270))),Reference!$A$6:$A$11,1))+1)-INDEX(Reference!$A$6:$A$11,MIN(5,MATCH(MAX(Reference!$A$6,MIN(Reference!$A$11,MIN(D62,270))),Reference!$A$6:$A$11,1))))),0)+IF(8&lt;=AE62,(AE62-8+3)*(INDEX(Reference!$B$6:$B$11,MIN(5,MATCH(MAX(Reference!$A$6,MIN(Reference!$A$11,MIN(D62,300))),Reference!$A$6:$A$11,1)))+(MAX(Reference!$A$6,MIN(Reference!$A$11,MIN(D62,300)))-INDEX(Reference!$A$6:$A$11,MIN(5,MATCH(MAX(Reference!$A$6,MIN(Reference!$A$11,MIN(D62,300))),Reference!$A$6:$A$11,1))))*(INDEX(Reference!$B$6:$B$11,MIN(5,MATCH(MAX(Reference!$A$6,MIN(Reference!$A$11,MIN(D62,300))),Reference!$A$6:$A$11,1))+1)-INDEX(Reference!$B$6:$B$11,MIN(5,MATCH(MAX(Reference!$A$6,MIN(Reference!$A$11,MIN(D62,300))),Reference!$A$6:$A$11,1))))/(INDEX(Reference!$A$6:$A$11,MIN(5,MATCH(MAX(Reference!$A$6,MIN(Reference!$A$11,MIN(D62,300))),Reference!$A$6:$A$11,1))+1)-INDEX(Reference!$A$6:$A$11,MIN(5,MATCH(MAX(Reference!$A$6,MIN(Reference!$A$11,MIN(D62,300))),Reference!$A$6:$A$11,1))))),0))/(AE62*(AE62+5)/2)),(INDEX(Reference!$B$6:$B$11,MIN(5,MATCH(MAX(Reference!$A$6,MIN(Reference!$A$11,D62)),Reference!$A$6:$A$11,1)))+(MAX(Reference!$A$6,MIN(Reference!$A$11,D62))-INDEX(Reference!$A$6:$A$11,MIN(5,MATCH(MAX(Reference!$A$6,MIN(Reference!$A$11,D62)),Reference!$A$6:$A$11,1))))*(INDEX(Reference!$B$6:$B$11,MIN(5,MATCH(MAX(Reference!$A$6,MIN(Reference!$A$11,D62)),Reference!$A$6:$A$11,1))+1)-INDEX(Reference!$B$6:$B$11,MIN(5,MATCH(MAX(Reference!$A$6,MIN(Reference!$A$11,D62)),Reference!$A$6:$A$11,1))))/(INDEX(Reference!$A$6:$A$11,MIN(5,MATCH(MAX(Reference!$A$6,MIN(Reference!$A$11,D62)),Reference!$A$6:$A$11,1))+1)-INDEX(Reference!$A$6:$A$11,MIN(5,MATCH(MAX(Reference!$A$6,MIN(Reference!$A$11,D62)),Reference!$A$6:$A$11,1))))))))</f>
        <v/>
      </c>
      <c r="P62" s="32" t="str">
        <f>IF(N62="","",VLOOKUP(MAX(N62,0),Reference!$A$17:$B$20,2,TRUE()))</f>
        <v/>
      </c>
      <c r="Q62" s="32" t="str">
        <f t="shared" si="3"/>
        <v/>
      </c>
      <c r="R62" s="31"/>
      <c r="S62" s="31"/>
      <c r="T62" s="31"/>
      <c r="U62" s="32" t="str">
        <f t="shared" si="4"/>
        <v/>
      </c>
      <c r="V62" s="32" t="str">
        <f t="shared" si="5"/>
        <v/>
      </c>
      <c r="W62" s="32" t="str">
        <f>IF(V62="","",VLOOKUP(MAX(V62,0),Reference!$A$17:$B$20,2,TRUE()))</f>
        <v/>
      </c>
      <c r="X62" s="31"/>
      <c r="Y62" s="31"/>
      <c r="Z62" s="31"/>
      <c r="AA62" s="32" t="str">
        <f t="shared" si="6"/>
        <v/>
      </c>
      <c r="AB62" s="32" t="str">
        <f t="shared" si="7"/>
        <v/>
      </c>
      <c r="AC62" s="32" t="str">
        <f>IF(AB62="","",VLOOKUP(MAX(AB62,0),Reference!$A$17:$B$20,2,TRUE()))</f>
        <v/>
      </c>
      <c r="AD62" s="31"/>
      <c r="AE62">
        <f t="shared" si="8"/>
        <v>1</v>
      </c>
      <c r="AF62" s="33" t="str">
        <f>IF(OR(A62="",B62="",AND(C62&lt;&gt;"Bullpen",C62&lt;&gt;"Game")),"",IF((COUNTIFS($B$5:$B$300,B62,$A$5:$A$300,A62-1,$C$5:$C$300,"Bullpen",$AG$5:$AG$300,"&gt;0") + COUNTIFS($B$5:$B$300,B62,$A$5:$A$300,A62-1,$C$5:$C$300,"Game",$AG$5:$AG$300,"&gt;0"))&gt;0,Reference!$B$119,IF((COUNTIFS($B$5:$B$300,B62,$A$5:$A$300,A62-2,$C$5:$C$300,"Bullpen",$AG$5:$AG$300,"&gt;0") + COUNTIFS($B$5:$B$300,B62,$A$5:$A$300,A62-2,$C$5:$C$300,"Game",$AG$5:$AG$300,"&gt;0"))&gt;0,Reference!$B$120,1)))</f>
        <v/>
      </c>
      <c r="AG62" s="30" t="str">
        <f>IF(AND(OR(I62="",O62="",P62=""),OR(R62="",W62=""),OR(X62="",AC62="")),"",IF(OR(I62="",O62="",P62=""),0,I62*O62*P62)+IF(OR(R62="",W62=""),0,R62*IFERROR(INDEX(Reference!$B$61:$B$62,MATCH("Bullpen",Reference!$A$61:$A$62,0)),0)*W62)+IF(OR(X62="",AC62=""),0,X62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62))</f>
        <v/>
      </c>
    </row>
    <row r="63" spans="1:33" x14ac:dyDescent="0.3">
      <c r="A63" s="35">
        <v>46323</v>
      </c>
      <c r="B63" s="31" t="s">
        <v>142</v>
      </c>
      <c r="C63" s="31"/>
      <c r="D63" s="31"/>
      <c r="E63" s="34"/>
      <c r="F63" s="34"/>
      <c r="G63" s="30" t="str">
        <f t="shared" si="0"/>
        <v/>
      </c>
      <c r="H63" s="31"/>
      <c r="I63" s="32" t="str">
        <f>IF(H63&lt;&gt;"",H63,IF(G63="","",ROUND(G63*IFERROR(INDEX(Reference!$B$44:$B$50,MATCH(C63,Reference!$A$44:$A$50,0)),0),0)))</f>
        <v/>
      </c>
      <c r="J63" s="31"/>
      <c r="K63" s="31"/>
      <c r="L63" s="32" t="str">
        <f t="shared" si="1"/>
        <v/>
      </c>
      <c r="M63" s="32">
        <f>IFERROR(INDEX(Roster!$D$5:$D$40,MATCH(B63,Roster!$A$5:$A$40,0)),"")</f>
        <v>87.9</v>
      </c>
      <c r="N63" s="32" t="str">
        <f t="shared" si="2"/>
        <v/>
      </c>
      <c r="O63" s="32" t="str">
        <f>IF(OR(C63="Bullpen",C63="Game"),IFERROR(INDEX(Reference!$B$61:$B$62,MATCH(C63,Reference!$A$61:$A$62,0)),""),IF(D63="","",IF(AE63&gt;1,((IF(1&lt;=AE63,(AE63-1+3)*(INDEX(Reference!$B$6:$B$11,MIN(5,MATCH(MAX(Reference!$A$6,MIN(Reference!$A$11,MIN(D63,90))),Reference!$A$6:$A$11,1)))+(MAX(Reference!$A$6,MIN(Reference!$A$11,MIN(D63,90)))-INDEX(Reference!$A$6:$A$11,MIN(5,MATCH(MAX(Reference!$A$6,MIN(Reference!$A$11,MIN(D63,90))),Reference!$A$6:$A$11,1))))*(INDEX(Reference!$B$6:$B$11,MIN(5,MATCH(MAX(Reference!$A$6,MIN(Reference!$A$11,MIN(D63,90))),Reference!$A$6:$A$11,1))+1)-INDEX(Reference!$B$6:$B$11,MIN(5,MATCH(MAX(Reference!$A$6,MIN(Reference!$A$11,MIN(D63,90))),Reference!$A$6:$A$11,1))))/(INDEX(Reference!$A$6:$A$11,MIN(5,MATCH(MAX(Reference!$A$6,MIN(Reference!$A$11,MIN(D63,90))),Reference!$A$6:$A$11,1))+1)-INDEX(Reference!$A$6:$A$11,MIN(5,MATCH(MAX(Reference!$A$6,MIN(Reference!$A$11,MIN(D63,90))),Reference!$A$6:$A$11,1))))),0)+IF(2&lt;=AE63,(AE63-2+3)*(INDEX(Reference!$B$6:$B$11,MIN(5,MATCH(MAX(Reference!$A$6,MIN(Reference!$A$11,MIN(D63,120))),Reference!$A$6:$A$11,1)))+(MAX(Reference!$A$6,MIN(Reference!$A$11,MIN(D63,120)))-INDEX(Reference!$A$6:$A$11,MIN(5,MATCH(MAX(Reference!$A$6,MIN(Reference!$A$11,MIN(D63,120))),Reference!$A$6:$A$11,1))))*(INDEX(Reference!$B$6:$B$11,MIN(5,MATCH(MAX(Reference!$A$6,MIN(Reference!$A$11,MIN(D63,120))),Reference!$A$6:$A$11,1))+1)-INDEX(Reference!$B$6:$B$11,MIN(5,MATCH(MAX(Reference!$A$6,MIN(Reference!$A$11,MIN(D63,120))),Reference!$A$6:$A$11,1))))/(INDEX(Reference!$A$6:$A$11,MIN(5,MATCH(MAX(Reference!$A$6,MIN(Reference!$A$11,MIN(D63,120))),Reference!$A$6:$A$11,1))+1)-INDEX(Reference!$A$6:$A$11,MIN(5,MATCH(MAX(Reference!$A$6,MIN(Reference!$A$11,MIN(D63,120))),Reference!$A$6:$A$11,1))))),0)+IF(3&lt;=AE63,(AE63-3+3)*(INDEX(Reference!$B$6:$B$11,MIN(5,MATCH(MAX(Reference!$A$6,MIN(Reference!$A$11,MIN(D63,150))),Reference!$A$6:$A$11,1)))+(MAX(Reference!$A$6,MIN(Reference!$A$11,MIN(D63,150)))-INDEX(Reference!$A$6:$A$11,MIN(5,MATCH(MAX(Reference!$A$6,MIN(Reference!$A$11,MIN(D63,150))),Reference!$A$6:$A$11,1))))*(INDEX(Reference!$B$6:$B$11,MIN(5,MATCH(MAX(Reference!$A$6,MIN(Reference!$A$11,MIN(D63,150))),Reference!$A$6:$A$11,1))+1)-INDEX(Reference!$B$6:$B$11,MIN(5,MATCH(MAX(Reference!$A$6,MIN(Reference!$A$11,MIN(D63,150))),Reference!$A$6:$A$11,1))))/(INDEX(Reference!$A$6:$A$11,MIN(5,MATCH(MAX(Reference!$A$6,MIN(Reference!$A$11,MIN(D63,150))),Reference!$A$6:$A$11,1))+1)-INDEX(Reference!$A$6:$A$11,MIN(5,MATCH(MAX(Reference!$A$6,MIN(Reference!$A$11,MIN(D63,150))),Reference!$A$6:$A$11,1))))),0)+IF(4&lt;=AE63,(AE63-4+3)*(INDEX(Reference!$B$6:$B$11,MIN(5,MATCH(MAX(Reference!$A$6,MIN(Reference!$A$11,MIN(D63,180))),Reference!$A$6:$A$11,1)))+(MAX(Reference!$A$6,MIN(Reference!$A$11,MIN(D63,180)))-INDEX(Reference!$A$6:$A$11,MIN(5,MATCH(MAX(Reference!$A$6,MIN(Reference!$A$11,MIN(D63,180))),Reference!$A$6:$A$11,1))))*(INDEX(Reference!$B$6:$B$11,MIN(5,MATCH(MAX(Reference!$A$6,MIN(Reference!$A$11,MIN(D63,180))),Reference!$A$6:$A$11,1))+1)-INDEX(Reference!$B$6:$B$11,MIN(5,MATCH(MAX(Reference!$A$6,MIN(Reference!$A$11,MIN(D63,180))),Reference!$A$6:$A$11,1))))/(INDEX(Reference!$A$6:$A$11,MIN(5,MATCH(MAX(Reference!$A$6,MIN(Reference!$A$11,MIN(D63,180))),Reference!$A$6:$A$11,1))+1)-INDEX(Reference!$A$6:$A$11,MIN(5,MATCH(MAX(Reference!$A$6,MIN(Reference!$A$11,MIN(D63,180))),Reference!$A$6:$A$11,1))))),0)+IF(5&lt;=AE63,(AE63-5+3)*(INDEX(Reference!$B$6:$B$11,MIN(5,MATCH(MAX(Reference!$A$6,MIN(Reference!$A$11,MIN(D63,210))),Reference!$A$6:$A$11,1)))+(MAX(Reference!$A$6,MIN(Reference!$A$11,MIN(D63,210)))-INDEX(Reference!$A$6:$A$11,MIN(5,MATCH(MAX(Reference!$A$6,MIN(Reference!$A$11,MIN(D63,210))),Reference!$A$6:$A$11,1))))*(INDEX(Reference!$B$6:$B$11,MIN(5,MATCH(MAX(Reference!$A$6,MIN(Reference!$A$11,MIN(D63,210))),Reference!$A$6:$A$11,1))+1)-INDEX(Reference!$B$6:$B$11,MIN(5,MATCH(MAX(Reference!$A$6,MIN(Reference!$A$11,MIN(D63,210))),Reference!$A$6:$A$11,1))))/(INDEX(Reference!$A$6:$A$11,MIN(5,MATCH(MAX(Reference!$A$6,MIN(Reference!$A$11,MIN(D63,210))),Reference!$A$6:$A$11,1))+1)-INDEX(Reference!$A$6:$A$11,MIN(5,MATCH(MAX(Reference!$A$6,MIN(Reference!$A$11,MIN(D63,210))),Reference!$A$6:$A$11,1))))),0)+IF(6&lt;=AE63,(AE63-6+3)*(INDEX(Reference!$B$6:$B$11,MIN(5,MATCH(MAX(Reference!$A$6,MIN(Reference!$A$11,MIN(D63,240))),Reference!$A$6:$A$11,1)))+(MAX(Reference!$A$6,MIN(Reference!$A$11,MIN(D63,240)))-INDEX(Reference!$A$6:$A$11,MIN(5,MATCH(MAX(Reference!$A$6,MIN(Reference!$A$11,MIN(D63,240))),Reference!$A$6:$A$11,1))))*(INDEX(Reference!$B$6:$B$11,MIN(5,MATCH(MAX(Reference!$A$6,MIN(Reference!$A$11,MIN(D63,240))),Reference!$A$6:$A$11,1))+1)-INDEX(Reference!$B$6:$B$11,MIN(5,MATCH(MAX(Reference!$A$6,MIN(Reference!$A$11,MIN(D63,240))),Reference!$A$6:$A$11,1))))/(INDEX(Reference!$A$6:$A$11,MIN(5,MATCH(MAX(Reference!$A$6,MIN(Reference!$A$11,MIN(D63,240))),Reference!$A$6:$A$11,1))+1)-INDEX(Reference!$A$6:$A$11,MIN(5,MATCH(MAX(Reference!$A$6,MIN(Reference!$A$11,MIN(D63,240))),Reference!$A$6:$A$11,1))))),0)+IF(7&lt;=AE63,(AE63-7+3)*(INDEX(Reference!$B$6:$B$11,MIN(5,MATCH(MAX(Reference!$A$6,MIN(Reference!$A$11,MIN(D63,270))),Reference!$A$6:$A$11,1)))+(MAX(Reference!$A$6,MIN(Reference!$A$11,MIN(D63,270)))-INDEX(Reference!$A$6:$A$11,MIN(5,MATCH(MAX(Reference!$A$6,MIN(Reference!$A$11,MIN(D63,270))),Reference!$A$6:$A$11,1))))*(INDEX(Reference!$B$6:$B$11,MIN(5,MATCH(MAX(Reference!$A$6,MIN(Reference!$A$11,MIN(D63,270))),Reference!$A$6:$A$11,1))+1)-INDEX(Reference!$B$6:$B$11,MIN(5,MATCH(MAX(Reference!$A$6,MIN(Reference!$A$11,MIN(D63,270))),Reference!$A$6:$A$11,1))))/(INDEX(Reference!$A$6:$A$11,MIN(5,MATCH(MAX(Reference!$A$6,MIN(Reference!$A$11,MIN(D63,270))),Reference!$A$6:$A$11,1))+1)-INDEX(Reference!$A$6:$A$11,MIN(5,MATCH(MAX(Reference!$A$6,MIN(Reference!$A$11,MIN(D63,270))),Reference!$A$6:$A$11,1))))),0)+IF(8&lt;=AE63,(AE63-8+3)*(INDEX(Reference!$B$6:$B$11,MIN(5,MATCH(MAX(Reference!$A$6,MIN(Reference!$A$11,MIN(D63,300))),Reference!$A$6:$A$11,1)))+(MAX(Reference!$A$6,MIN(Reference!$A$11,MIN(D63,300)))-INDEX(Reference!$A$6:$A$11,MIN(5,MATCH(MAX(Reference!$A$6,MIN(Reference!$A$11,MIN(D63,300))),Reference!$A$6:$A$11,1))))*(INDEX(Reference!$B$6:$B$11,MIN(5,MATCH(MAX(Reference!$A$6,MIN(Reference!$A$11,MIN(D63,300))),Reference!$A$6:$A$11,1))+1)-INDEX(Reference!$B$6:$B$11,MIN(5,MATCH(MAX(Reference!$A$6,MIN(Reference!$A$11,MIN(D63,300))),Reference!$A$6:$A$11,1))))/(INDEX(Reference!$A$6:$A$11,MIN(5,MATCH(MAX(Reference!$A$6,MIN(Reference!$A$11,MIN(D63,300))),Reference!$A$6:$A$11,1))+1)-INDEX(Reference!$A$6:$A$11,MIN(5,MATCH(MAX(Reference!$A$6,MIN(Reference!$A$11,MIN(D63,300))),Reference!$A$6:$A$11,1))))),0))/(AE63*(AE63+5)/2)),(INDEX(Reference!$B$6:$B$11,MIN(5,MATCH(MAX(Reference!$A$6,MIN(Reference!$A$11,D63)),Reference!$A$6:$A$11,1)))+(MAX(Reference!$A$6,MIN(Reference!$A$11,D63))-INDEX(Reference!$A$6:$A$11,MIN(5,MATCH(MAX(Reference!$A$6,MIN(Reference!$A$11,D63)),Reference!$A$6:$A$11,1))))*(INDEX(Reference!$B$6:$B$11,MIN(5,MATCH(MAX(Reference!$A$6,MIN(Reference!$A$11,D63)),Reference!$A$6:$A$11,1))+1)-INDEX(Reference!$B$6:$B$11,MIN(5,MATCH(MAX(Reference!$A$6,MIN(Reference!$A$11,D63)),Reference!$A$6:$A$11,1))))/(INDEX(Reference!$A$6:$A$11,MIN(5,MATCH(MAX(Reference!$A$6,MIN(Reference!$A$11,D63)),Reference!$A$6:$A$11,1))+1)-INDEX(Reference!$A$6:$A$11,MIN(5,MATCH(MAX(Reference!$A$6,MIN(Reference!$A$11,D63)),Reference!$A$6:$A$11,1))))))))</f>
        <v/>
      </c>
      <c r="P63" s="32" t="str">
        <f>IF(N63="","",VLOOKUP(MAX(N63,0),Reference!$A$17:$B$20,2,TRUE()))</f>
        <v/>
      </c>
      <c r="Q63" s="32" t="str">
        <f t="shared" si="3"/>
        <v/>
      </c>
      <c r="R63" s="31"/>
      <c r="S63" s="31"/>
      <c r="T63" s="31"/>
      <c r="U63" s="32" t="str">
        <f t="shared" si="4"/>
        <v/>
      </c>
      <c r="V63" s="32" t="str">
        <f t="shared" si="5"/>
        <v/>
      </c>
      <c r="W63" s="32" t="str">
        <f>IF(V63="","",VLOOKUP(MAX(V63,0),Reference!$A$17:$B$20,2,TRUE()))</f>
        <v/>
      </c>
      <c r="X63" s="31"/>
      <c r="Y63" s="31"/>
      <c r="Z63" s="31"/>
      <c r="AA63" s="32" t="str">
        <f t="shared" si="6"/>
        <v/>
      </c>
      <c r="AB63" s="32" t="str">
        <f t="shared" si="7"/>
        <v/>
      </c>
      <c r="AC63" s="32" t="str">
        <f>IF(AB63="","",VLOOKUP(MAX(AB63,0),Reference!$A$17:$B$20,2,TRUE()))</f>
        <v/>
      </c>
      <c r="AD63" s="31"/>
      <c r="AE63">
        <f t="shared" si="8"/>
        <v>1</v>
      </c>
      <c r="AF63" s="33" t="str">
        <f>IF(OR(A63="",B63="",AND(C63&lt;&gt;"Bullpen",C63&lt;&gt;"Game")),"",IF((COUNTIFS($B$5:$B$300,B63,$A$5:$A$300,A63-1,$C$5:$C$300,"Bullpen",$AG$5:$AG$300,"&gt;0") + COUNTIFS($B$5:$B$300,B63,$A$5:$A$300,A63-1,$C$5:$C$300,"Game",$AG$5:$AG$300,"&gt;0"))&gt;0,Reference!$B$119,IF((COUNTIFS($B$5:$B$300,B63,$A$5:$A$300,A63-2,$C$5:$C$300,"Bullpen",$AG$5:$AG$300,"&gt;0") + COUNTIFS($B$5:$B$300,B63,$A$5:$A$300,A63-2,$C$5:$C$300,"Game",$AG$5:$AG$300,"&gt;0"))&gt;0,Reference!$B$120,1)))</f>
        <v/>
      </c>
      <c r="AG63" s="30" t="str">
        <f>IF(AND(OR(I63="",O63="",P63=""),OR(R63="",W63=""),OR(X63="",AC63="")),"",IF(OR(I63="",O63="",P63=""),0,I63*O63*P63)+IF(OR(R63="",W63=""),0,R63*IFERROR(INDEX(Reference!$B$61:$B$62,MATCH("Bullpen",Reference!$A$61:$A$62,0)),0)*W63)+IF(OR(X63="",AC63=""),0,X63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63))</f>
        <v/>
      </c>
    </row>
    <row r="64" spans="1:33" x14ac:dyDescent="0.3">
      <c r="A64" s="35">
        <v>46324</v>
      </c>
      <c r="B64" s="31" t="s">
        <v>142</v>
      </c>
      <c r="C64" s="31"/>
      <c r="D64" s="31"/>
      <c r="E64" s="34"/>
      <c r="F64" s="34"/>
      <c r="G64" s="30" t="str">
        <f t="shared" si="0"/>
        <v/>
      </c>
      <c r="H64" s="31"/>
      <c r="I64" s="32" t="str">
        <f>IF(H64&lt;&gt;"",H64,IF(G64="","",ROUND(G64*IFERROR(INDEX(Reference!$B$44:$B$50,MATCH(C64,Reference!$A$44:$A$50,0)),0),0)))</f>
        <v/>
      </c>
      <c r="J64" s="31"/>
      <c r="K64" s="31"/>
      <c r="L64" s="32" t="str">
        <f t="shared" si="1"/>
        <v/>
      </c>
      <c r="M64" s="32">
        <f>IFERROR(INDEX(Roster!$D$5:$D$40,MATCH(B64,Roster!$A$5:$A$40,0)),"")</f>
        <v>87.9</v>
      </c>
      <c r="N64" s="32" t="str">
        <f t="shared" si="2"/>
        <v/>
      </c>
      <c r="O64" s="32" t="str">
        <f>IF(OR(C64="Bullpen",C64="Game"),IFERROR(INDEX(Reference!$B$61:$B$62,MATCH(C64,Reference!$A$61:$A$62,0)),""),IF(D64="","",IF(AE64&gt;1,((IF(1&lt;=AE64,(AE64-1+3)*(INDEX(Reference!$B$6:$B$11,MIN(5,MATCH(MAX(Reference!$A$6,MIN(Reference!$A$11,MIN(D64,90))),Reference!$A$6:$A$11,1)))+(MAX(Reference!$A$6,MIN(Reference!$A$11,MIN(D64,90)))-INDEX(Reference!$A$6:$A$11,MIN(5,MATCH(MAX(Reference!$A$6,MIN(Reference!$A$11,MIN(D64,90))),Reference!$A$6:$A$11,1))))*(INDEX(Reference!$B$6:$B$11,MIN(5,MATCH(MAX(Reference!$A$6,MIN(Reference!$A$11,MIN(D64,90))),Reference!$A$6:$A$11,1))+1)-INDEX(Reference!$B$6:$B$11,MIN(5,MATCH(MAX(Reference!$A$6,MIN(Reference!$A$11,MIN(D64,90))),Reference!$A$6:$A$11,1))))/(INDEX(Reference!$A$6:$A$11,MIN(5,MATCH(MAX(Reference!$A$6,MIN(Reference!$A$11,MIN(D64,90))),Reference!$A$6:$A$11,1))+1)-INDEX(Reference!$A$6:$A$11,MIN(5,MATCH(MAX(Reference!$A$6,MIN(Reference!$A$11,MIN(D64,90))),Reference!$A$6:$A$11,1))))),0)+IF(2&lt;=AE64,(AE64-2+3)*(INDEX(Reference!$B$6:$B$11,MIN(5,MATCH(MAX(Reference!$A$6,MIN(Reference!$A$11,MIN(D64,120))),Reference!$A$6:$A$11,1)))+(MAX(Reference!$A$6,MIN(Reference!$A$11,MIN(D64,120)))-INDEX(Reference!$A$6:$A$11,MIN(5,MATCH(MAX(Reference!$A$6,MIN(Reference!$A$11,MIN(D64,120))),Reference!$A$6:$A$11,1))))*(INDEX(Reference!$B$6:$B$11,MIN(5,MATCH(MAX(Reference!$A$6,MIN(Reference!$A$11,MIN(D64,120))),Reference!$A$6:$A$11,1))+1)-INDEX(Reference!$B$6:$B$11,MIN(5,MATCH(MAX(Reference!$A$6,MIN(Reference!$A$11,MIN(D64,120))),Reference!$A$6:$A$11,1))))/(INDEX(Reference!$A$6:$A$11,MIN(5,MATCH(MAX(Reference!$A$6,MIN(Reference!$A$11,MIN(D64,120))),Reference!$A$6:$A$11,1))+1)-INDEX(Reference!$A$6:$A$11,MIN(5,MATCH(MAX(Reference!$A$6,MIN(Reference!$A$11,MIN(D64,120))),Reference!$A$6:$A$11,1))))),0)+IF(3&lt;=AE64,(AE64-3+3)*(INDEX(Reference!$B$6:$B$11,MIN(5,MATCH(MAX(Reference!$A$6,MIN(Reference!$A$11,MIN(D64,150))),Reference!$A$6:$A$11,1)))+(MAX(Reference!$A$6,MIN(Reference!$A$11,MIN(D64,150)))-INDEX(Reference!$A$6:$A$11,MIN(5,MATCH(MAX(Reference!$A$6,MIN(Reference!$A$11,MIN(D64,150))),Reference!$A$6:$A$11,1))))*(INDEX(Reference!$B$6:$B$11,MIN(5,MATCH(MAX(Reference!$A$6,MIN(Reference!$A$11,MIN(D64,150))),Reference!$A$6:$A$11,1))+1)-INDEX(Reference!$B$6:$B$11,MIN(5,MATCH(MAX(Reference!$A$6,MIN(Reference!$A$11,MIN(D64,150))),Reference!$A$6:$A$11,1))))/(INDEX(Reference!$A$6:$A$11,MIN(5,MATCH(MAX(Reference!$A$6,MIN(Reference!$A$11,MIN(D64,150))),Reference!$A$6:$A$11,1))+1)-INDEX(Reference!$A$6:$A$11,MIN(5,MATCH(MAX(Reference!$A$6,MIN(Reference!$A$11,MIN(D64,150))),Reference!$A$6:$A$11,1))))),0)+IF(4&lt;=AE64,(AE64-4+3)*(INDEX(Reference!$B$6:$B$11,MIN(5,MATCH(MAX(Reference!$A$6,MIN(Reference!$A$11,MIN(D64,180))),Reference!$A$6:$A$11,1)))+(MAX(Reference!$A$6,MIN(Reference!$A$11,MIN(D64,180)))-INDEX(Reference!$A$6:$A$11,MIN(5,MATCH(MAX(Reference!$A$6,MIN(Reference!$A$11,MIN(D64,180))),Reference!$A$6:$A$11,1))))*(INDEX(Reference!$B$6:$B$11,MIN(5,MATCH(MAX(Reference!$A$6,MIN(Reference!$A$11,MIN(D64,180))),Reference!$A$6:$A$11,1))+1)-INDEX(Reference!$B$6:$B$11,MIN(5,MATCH(MAX(Reference!$A$6,MIN(Reference!$A$11,MIN(D64,180))),Reference!$A$6:$A$11,1))))/(INDEX(Reference!$A$6:$A$11,MIN(5,MATCH(MAX(Reference!$A$6,MIN(Reference!$A$11,MIN(D64,180))),Reference!$A$6:$A$11,1))+1)-INDEX(Reference!$A$6:$A$11,MIN(5,MATCH(MAX(Reference!$A$6,MIN(Reference!$A$11,MIN(D64,180))),Reference!$A$6:$A$11,1))))),0)+IF(5&lt;=AE64,(AE64-5+3)*(INDEX(Reference!$B$6:$B$11,MIN(5,MATCH(MAX(Reference!$A$6,MIN(Reference!$A$11,MIN(D64,210))),Reference!$A$6:$A$11,1)))+(MAX(Reference!$A$6,MIN(Reference!$A$11,MIN(D64,210)))-INDEX(Reference!$A$6:$A$11,MIN(5,MATCH(MAX(Reference!$A$6,MIN(Reference!$A$11,MIN(D64,210))),Reference!$A$6:$A$11,1))))*(INDEX(Reference!$B$6:$B$11,MIN(5,MATCH(MAX(Reference!$A$6,MIN(Reference!$A$11,MIN(D64,210))),Reference!$A$6:$A$11,1))+1)-INDEX(Reference!$B$6:$B$11,MIN(5,MATCH(MAX(Reference!$A$6,MIN(Reference!$A$11,MIN(D64,210))),Reference!$A$6:$A$11,1))))/(INDEX(Reference!$A$6:$A$11,MIN(5,MATCH(MAX(Reference!$A$6,MIN(Reference!$A$11,MIN(D64,210))),Reference!$A$6:$A$11,1))+1)-INDEX(Reference!$A$6:$A$11,MIN(5,MATCH(MAX(Reference!$A$6,MIN(Reference!$A$11,MIN(D64,210))),Reference!$A$6:$A$11,1))))),0)+IF(6&lt;=AE64,(AE64-6+3)*(INDEX(Reference!$B$6:$B$11,MIN(5,MATCH(MAX(Reference!$A$6,MIN(Reference!$A$11,MIN(D64,240))),Reference!$A$6:$A$11,1)))+(MAX(Reference!$A$6,MIN(Reference!$A$11,MIN(D64,240)))-INDEX(Reference!$A$6:$A$11,MIN(5,MATCH(MAX(Reference!$A$6,MIN(Reference!$A$11,MIN(D64,240))),Reference!$A$6:$A$11,1))))*(INDEX(Reference!$B$6:$B$11,MIN(5,MATCH(MAX(Reference!$A$6,MIN(Reference!$A$11,MIN(D64,240))),Reference!$A$6:$A$11,1))+1)-INDEX(Reference!$B$6:$B$11,MIN(5,MATCH(MAX(Reference!$A$6,MIN(Reference!$A$11,MIN(D64,240))),Reference!$A$6:$A$11,1))))/(INDEX(Reference!$A$6:$A$11,MIN(5,MATCH(MAX(Reference!$A$6,MIN(Reference!$A$11,MIN(D64,240))),Reference!$A$6:$A$11,1))+1)-INDEX(Reference!$A$6:$A$11,MIN(5,MATCH(MAX(Reference!$A$6,MIN(Reference!$A$11,MIN(D64,240))),Reference!$A$6:$A$11,1))))),0)+IF(7&lt;=AE64,(AE64-7+3)*(INDEX(Reference!$B$6:$B$11,MIN(5,MATCH(MAX(Reference!$A$6,MIN(Reference!$A$11,MIN(D64,270))),Reference!$A$6:$A$11,1)))+(MAX(Reference!$A$6,MIN(Reference!$A$11,MIN(D64,270)))-INDEX(Reference!$A$6:$A$11,MIN(5,MATCH(MAX(Reference!$A$6,MIN(Reference!$A$11,MIN(D64,270))),Reference!$A$6:$A$11,1))))*(INDEX(Reference!$B$6:$B$11,MIN(5,MATCH(MAX(Reference!$A$6,MIN(Reference!$A$11,MIN(D64,270))),Reference!$A$6:$A$11,1))+1)-INDEX(Reference!$B$6:$B$11,MIN(5,MATCH(MAX(Reference!$A$6,MIN(Reference!$A$11,MIN(D64,270))),Reference!$A$6:$A$11,1))))/(INDEX(Reference!$A$6:$A$11,MIN(5,MATCH(MAX(Reference!$A$6,MIN(Reference!$A$11,MIN(D64,270))),Reference!$A$6:$A$11,1))+1)-INDEX(Reference!$A$6:$A$11,MIN(5,MATCH(MAX(Reference!$A$6,MIN(Reference!$A$11,MIN(D64,270))),Reference!$A$6:$A$11,1))))),0)+IF(8&lt;=AE64,(AE64-8+3)*(INDEX(Reference!$B$6:$B$11,MIN(5,MATCH(MAX(Reference!$A$6,MIN(Reference!$A$11,MIN(D64,300))),Reference!$A$6:$A$11,1)))+(MAX(Reference!$A$6,MIN(Reference!$A$11,MIN(D64,300)))-INDEX(Reference!$A$6:$A$11,MIN(5,MATCH(MAX(Reference!$A$6,MIN(Reference!$A$11,MIN(D64,300))),Reference!$A$6:$A$11,1))))*(INDEX(Reference!$B$6:$B$11,MIN(5,MATCH(MAX(Reference!$A$6,MIN(Reference!$A$11,MIN(D64,300))),Reference!$A$6:$A$11,1))+1)-INDEX(Reference!$B$6:$B$11,MIN(5,MATCH(MAX(Reference!$A$6,MIN(Reference!$A$11,MIN(D64,300))),Reference!$A$6:$A$11,1))))/(INDEX(Reference!$A$6:$A$11,MIN(5,MATCH(MAX(Reference!$A$6,MIN(Reference!$A$11,MIN(D64,300))),Reference!$A$6:$A$11,1))+1)-INDEX(Reference!$A$6:$A$11,MIN(5,MATCH(MAX(Reference!$A$6,MIN(Reference!$A$11,MIN(D64,300))),Reference!$A$6:$A$11,1))))),0))/(AE64*(AE64+5)/2)),(INDEX(Reference!$B$6:$B$11,MIN(5,MATCH(MAX(Reference!$A$6,MIN(Reference!$A$11,D64)),Reference!$A$6:$A$11,1)))+(MAX(Reference!$A$6,MIN(Reference!$A$11,D64))-INDEX(Reference!$A$6:$A$11,MIN(5,MATCH(MAX(Reference!$A$6,MIN(Reference!$A$11,D64)),Reference!$A$6:$A$11,1))))*(INDEX(Reference!$B$6:$B$11,MIN(5,MATCH(MAX(Reference!$A$6,MIN(Reference!$A$11,D64)),Reference!$A$6:$A$11,1))+1)-INDEX(Reference!$B$6:$B$11,MIN(5,MATCH(MAX(Reference!$A$6,MIN(Reference!$A$11,D64)),Reference!$A$6:$A$11,1))))/(INDEX(Reference!$A$6:$A$11,MIN(5,MATCH(MAX(Reference!$A$6,MIN(Reference!$A$11,D64)),Reference!$A$6:$A$11,1))+1)-INDEX(Reference!$A$6:$A$11,MIN(5,MATCH(MAX(Reference!$A$6,MIN(Reference!$A$11,D64)),Reference!$A$6:$A$11,1))))))))</f>
        <v/>
      </c>
      <c r="P64" s="32" t="str">
        <f>IF(N64="","",VLOOKUP(MAX(N64,0),Reference!$A$17:$B$20,2,TRUE()))</f>
        <v/>
      </c>
      <c r="Q64" s="32" t="str">
        <f t="shared" si="3"/>
        <v/>
      </c>
      <c r="R64" s="31"/>
      <c r="S64" s="31"/>
      <c r="T64" s="31"/>
      <c r="U64" s="32" t="str">
        <f t="shared" si="4"/>
        <v/>
      </c>
      <c r="V64" s="32" t="str">
        <f t="shared" si="5"/>
        <v/>
      </c>
      <c r="W64" s="32" t="str">
        <f>IF(V64="","",VLOOKUP(MAX(V64,0),Reference!$A$17:$B$20,2,TRUE()))</f>
        <v/>
      </c>
      <c r="X64" s="31"/>
      <c r="Y64" s="31"/>
      <c r="Z64" s="31"/>
      <c r="AA64" s="32" t="str">
        <f t="shared" si="6"/>
        <v/>
      </c>
      <c r="AB64" s="32" t="str">
        <f t="shared" si="7"/>
        <v/>
      </c>
      <c r="AC64" s="32" t="str">
        <f>IF(AB64="","",VLOOKUP(MAX(AB64,0),Reference!$A$17:$B$20,2,TRUE()))</f>
        <v/>
      </c>
      <c r="AD64" s="31"/>
      <c r="AE64">
        <f t="shared" si="8"/>
        <v>1</v>
      </c>
      <c r="AF64" s="33" t="str">
        <f>IF(OR(A64="",B64="",AND(C64&lt;&gt;"Bullpen",C64&lt;&gt;"Game")),"",IF((COUNTIFS($B$5:$B$300,B64,$A$5:$A$300,A64-1,$C$5:$C$300,"Bullpen",$AG$5:$AG$300,"&gt;0") + COUNTIFS($B$5:$B$300,B64,$A$5:$A$300,A64-1,$C$5:$C$300,"Game",$AG$5:$AG$300,"&gt;0"))&gt;0,Reference!$B$119,IF((COUNTIFS($B$5:$B$300,B64,$A$5:$A$300,A64-2,$C$5:$C$300,"Bullpen",$AG$5:$AG$300,"&gt;0") + COUNTIFS($B$5:$B$300,B64,$A$5:$A$300,A64-2,$C$5:$C$300,"Game",$AG$5:$AG$300,"&gt;0"))&gt;0,Reference!$B$120,1)))</f>
        <v/>
      </c>
      <c r="AG64" s="30" t="str">
        <f>IF(AND(OR(I64="",O64="",P64=""),OR(R64="",W64=""),OR(X64="",AC64="")),"",IF(OR(I64="",O64="",P64=""),0,I64*O64*P64)+IF(OR(R64="",W64=""),0,R64*IFERROR(INDEX(Reference!$B$61:$B$62,MATCH("Bullpen",Reference!$A$61:$A$62,0)),0)*W64)+IF(OR(X64="",AC64=""),0,X64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64))</f>
        <v/>
      </c>
    </row>
    <row r="65" spans="1:33" x14ac:dyDescent="0.3">
      <c r="A65" s="35">
        <v>46325</v>
      </c>
      <c r="B65" s="31" t="s">
        <v>142</v>
      </c>
      <c r="C65" s="31"/>
      <c r="D65" s="31"/>
      <c r="E65" s="34"/>
      <c r="F65" s="34"/>
      <c r="G65" s="30" t="str">
        <f t="shared" si="0"/>
        <v/>
      </c>
      <c r="H65" s="31"/>
      <c r="I65" s="32" t="str">
        <f>IF(H65&lt;&gt;"",H65,IF(G65="","",ROUND(G65*IFERROR(INDEX(Reference!$B$44:$B$50,MATCH(C65,Reference!$A$44:$A$50,0)),0),0)))</f>
        <v/>
      </c>
      <c r="J65" s="31"/>
      <c r="K65" s="31"/>
      <c r="L65" s="32" t="str">
        <f t="shared" si="1"/>
        <v/>
      </c>
      <c r="M65" s="32">
        <f>IFERROR(INDEX(Roster!$D$5:$D$40,MATCH(B65,Roster!$A$5:$A$40,0)),"")</f>
        <v>87.9</v>
      </c>
      <c r="N65" s="32" t="str">
        <f t="shared" si="2"/>
        <v/>
      </c>
      <c r="O65" s="32" t="str">
        <f>IF(OR(C65="Bullpen",C65="Game"),IFERROR(INDEX(Reference!$B$61:$B$62,MATCH(C65,Reference!$A$61:$A$62,0)),""),IF(D65="","",IF(AE65&gt;1,((IF(1&lt;=AE65,(AE65-1+3)*(INDEX(Reference!$B$6:$B$11,MIN(5,MATCH(MAX(Reference!$A$6,MIN(Reference!$A$11,MIN(D65,90))),Reference!$A$6:$A$11,1)))+(MAX(Reference!$A$6,MIN(Reference!$A$11,MIN(D65,90)))-INDEX(Reference!$A$6:$A$11,MIN(5,MATCH(MAX(Reference!$A$6,MIN(Reference!$A$11,MIN(D65,90))),Reference!$A$6:$A$11,1))))*(INDEX(Reference!$B$6:$B$11,MIN(5,MATCH(MAX(Reference!$A$6,MIN(Reference!$A$11,MIN(D65,90))),Reference!$A$6:$A$11,1))+1)-INDEX(Reference!$B$6:$B$11,MIN(5,MATCH(MAX(Reference!$A$6,MIN(Reference!$A$11,MIN(D65,90))),Reference!$A$6:$A$11,1))))/(INDEX(Reference!$A$6:$A$11,MIN(5,MATCH(MAX(Reference!$A$6,MIN(Reference!$A$11,MIN(D65,90))),Reference!$A$6:$A$11,1))+1)-INDEX(Reference!$A$6:$A$11,MIN(5,MATCH(MAX(Reference!$A$6,MIN(Reference!$A$11,MIN(D65,90))),Reference!$A$6:$A$11,1))))),0)+IF(2&lt;=AE65,(AE65-2+3)*(INDEX(Reference!$B$6:$B$11,MIN(5,MATCH(MAX(Reference!$A$6,MIN(Reference!$A$11,MIN(D65,120))),Reference!$A$6:$A$11,1)))+(MAX(Reference!$A$6,MIN(Reference!$A$11,MIN(D65,120)))-INDEX(Reference!$A$6:$A$11,MIN(5,MATCH(MAX(Reference!$A$6,MIN(Reference!$A$11,MIN(D65,120))),Reference!$A$6:$A$11,1))))*(INDEX(Reference!$B$6:$B$11,MIN(5,MATCH(MAX(Reference!$A$6,MIN(Reference!$A$11,MIN(D65,120))),Reference!$A$6:$A$11,1))+1)-INDEX(Reference!$B$6:$B$11,MIN(5,MATCH(MAX(Reference!$A$6,MIN(Reference!$A$11,MIN(D65,120))),Reference!$A$6:$A$11,1))))/(INDEX(Reference!$A$6:$A$11,MIN(5,MATCH(MAX(Reference!$A$6,MIN(Reference!$A$11,MIN(D65,120))),Reference!$A$6:$A$11,1))+1)-INDEX(Reference!$A$6:$A$11,MIN(5,MATCH(MAX(Reference!$A$6,MIN(Reference!$A$11,MIN(D65,120))),Reference!$A$6:$A$11,1))))),0)+IF(3&lt;=AE65,(AE65-3+3)*(INDEX(Reference!$B$6:$B$11,MIN(5,MATCH(MAX(Reference!$A$6,MIN(Reference!$A$11,MIN(D65,150))),Reference!$A$6:$A$11,1)))+(MAX(Reference!$A$6,MIN(Reference!$A$11,MIN(D65,150)))-INDEX(Reference!$A$6:$A$11,MIN(5,MATCH(MAX(Reference!$A$6,MIN(Reference!$A$11,MIN(D65,150))),Reference!$A$6:$A$11,1))))*(INDEX(Reference!$B$6:$B$11,MIN(5,MATCH(MAX(Reference!$A$6,MIN(Reference!$A$11,MIN(D65,150))),Reference!$A$6:$A$11,1))+1)-INDEX(Reference!$B$6:$B$11,MIN(5,MATCH(MAX(Reference!$A$6,MIN(Reference!$A$11,MIN(D65,150))),Reference!$A$6:$A$11,1))))/(INDEX(Reference!$A$6:$A$11,MIN(5,MATCH(MAX(Reference!$A$6,MIN(Reference!$A$11,MIN(D65,150))),Reference!$A$6:$A$11,1))+1)-INDEX(Reference!$A$6:$A$11,MIN(5,MATCH(MAX(Reference!$A$6,MIN(Reference!$A$11,MIN(D65,150))),Reference!$A$6:$A$11,1))))),0)+IF(4&lt;=AE65,(AE65-4+3)*(INDEX(Reference!$B$6:$B$11,MIN(5,MATCH(MAX(Reference!$A$6,MIN(Reference!$A$11,MIN(D65,180))),Reference!$A$6:$A$11,1)))+(MAX(Reference!$A$6,MIN(Reference!$A$11,MIN(D65,180)))-INDEX(Reference!$A$6:$A$11,MIN(5,MATCH(MAX(Reference!$A$6,MIN(Reference!$A$11,MIN(D65,180))),Reference!$A$6:$A$11,1))))*(INDEX(Reference!$B$6:$B$11,MIN(5,MATCH(MAX(Reference!$A$6,MIN(Reference!$A$11,MIN(D65,180))),Reference!$A$6:$A$11,1))+1)-INDEX(Reference!$B$6:$B$11,MIN(5,MATCH(MAX(Reference!$A$6,MIN(Reference!$A$11,MIN(D65,180))),Reference!$A$6:$A$11,1))))/(INDEX(Reference!$A$6:$A$11,MIN(5,MATCH(MAX(Reference!$A$6,MIN(Reference!$A$11,MIN(D65,180))),Reference!$A$6:$A$11,1))+1)-INDEX(Reference!$A$6:$A$11,MIN(5,MATCH(MAX(Reference!$A$6,MIN(Reference!$A$11,MIN(D65,180))),Reference!$A$6:$A$11,1))))),0)+IF(5&lt;=AE65,(AE65-5+3)*(INDEX(Reference!$B$6:$B$11,MIN(5,MATCH(MAX(Reference!$A$6,MIN(Reference!$A$11,MIN(D65,210))),Reference!$A$6:$A$11,1)))+(MAX(Reference!$A$6,MIN(Reference!$A$11,MIN(D65,210)))-INDEX(Reference!$A$6:$A$11,MIN(5,MATCH(MAX(Reference!$A$6,MIN(Reference!$A$11,MIN(D65,210))),Reference!$A$6:$A$11,1))))*(INDEX(Reference!$B$6:$B$11,MIN(5,MATCH(MAX(Reference!$A$6,MIN(Reference!$A$11,MIN(D65,210))),Reference!$A$6:$A$11,1))+1)-INDEX(Reference!$B$6:$B$11,MIN(5,MATCH(MAX(Reference!$A$6,MIN(Reference!$A$11,MIN(D65,210))),Reference!$A$6:$A$11,1))))/(INDEX(Reference!$A$6:$A$11,MIN(5,MATCH(MAX(Reference!$A$6,MIN(Reference!$A$11,MIN(D65,210))),Reference!$A$6:$A$11,1))+1)-INDEX(Reference!$A$6:$A$11,MIN(5,MATCH(MAX(Reference!$A$6,MIN(Reference!$A$11,MIN(D65,210))),Reference!$A$6:$A$11,1))))),0)+IF(6&lt;=AE65,(AE65-6+3)*(INDEX(Reference!$B$6:$B$11,MIN(5,MATCH(MAX(Reference!$A$6,MIN(Reference!$A$11,MIN(D65,240))),Reference!$A$6:$A$11,1)))+(MAX(Reference!$A$6,MIN(Reference!$A$11,MIN(D65,240)))-INDEX(Reference!$A$6:$A$11,MIN(5,MATCH(MAX(Reference!$A$6,MIN(Reference!$A$11,MIN(D65,240))),Reference!$A$6:$A$11,1))))*(INDEX(Reference!$B$6:$B$11,MIN(5,MATCH(MAX(Reference!$A$6,MIN(Reference!$A$11,MIN(D65,240))),Reference!$A$6:$A$11,1))+1)-INDEX(Reference!$B$6:$B$11,MIN(5,MATCH(MAX(Reference!$A$6,MIN(Reference!$A$11,MIN(D65,240))),Reference!$A$6:$A$11,1))))/(INDEX(Reference!$A$6:$A$11,MIN(5,MATCH(MAX(Reference!$A$6,MIN(Reference!$A$11,MIN(D65,240))),Reference!$A$6:$A$11,1))+1)-INDEX(Reference!$A$6:$A$11,MIN(5,MATCH(MAX(Reference!$A$6,MIN(Reference!$A$11,MIN(D65,240))),Reference!$A$6:$A$11,1))))),0)+IF(7&lt;=AE65,(AE65-7+3)*(INDEX(Reference!$B$6:$B$11,MIN(5,MATCH(MAX(Reference!$A$6,MIN(Reference!$A$11,MIN(D65,270))),Reference!$A$6:$A$11,1)))+(MAX(Reference!$A$6,MIN(Reference!$A$11,MIN(D65,270)))-INDEX(Reference!$A$6:$A$11,MIN(5,MATCH(MAX(Reference!$A$6,MIN(Reference!$A$11,MIN(D65,270))),Reference!$A$6:$A$11,1))))*(INDEX(Reference!$B$6:$B$11,MIN(5,MATCH(MAX(Reference!$A$6,MIN(Reference!$A$11,MIN(D65,270))),Reference!$A$6:$A$11,1))+1)-INDEX(Reference!$B$6:$B$11,MIN(5,MATCH(MAX(Reference!$A$6,MIN(Reference!$A$11,MIN(D65,270))),Reference!$A$6:$A$11,1))))/(INDEX(Reference!$A$6:$A$11,MIN(5,MATCH(MAX(Reference!$A$6,MIN(Reference!$A$11,MIN(D65,270))),Reference!$A$6:$A$11,1))+1)-INDEX(Reference!$A$6:$A$11,MIN(5,MATCH(MAX(Reference!$A$6,MIN(Reference!$A$11,MIN(D65,270))),Reference!$A$6:$A$11,1))))),0)+IF(8&lt;=AE65,(AE65-8+3)*(INDEX(Reference!$B$6:$B$11,MIN(5,MATCH(MAX(Reference!$A$6,MIN(Reference!$A$11,MIN(D65,300))),Reference!$A$6:$A$11,1)))+(MAX(Reference!$A$6,MIN(Reference!$A$11,MIN(D65,300)))-INDEX(Reference!$A$6:$A$11,MIN(5,MATCH(MAX(Reference!$A$6,MIN(Reference!$A$11,MIN(D65,300))),Reference!$A$6:$A$11,1))))*(INDEX(Reference!$B$6:$B$11,MIN(5,MATCH(MAX(Reference!$A$6,MIN(Reference!$A$11,MIN(D65,300))),Reference!$A$6:$A$11,1))+1)-INDEX(Reference!$B$6:$B$11,MIN(5,MATCH(MAX(Reference!$A$6,MIN(Reference!$A$11,MIN(D65,300))),Reference!$A$6:$A$11,1))))/(INDEX(Reference!$A$6:$A$11,MIN(5,MATCH(MAX(Reference!$A$6,MIN(Reference!$A$11,MIN(D65,300))),Reference!$A$6:$A$11,1))+1)-INDEX(Reference!$A$6:$A$11,MIN(5,MATCH(MAX(Reference!$A$6,MIN(Reference!$A$11,MIN(D65,300))),Reference!$A$6:$A$11,1))))),0))/(AE65*(AE65+5)/2)),(INDEX(Reference!$B$6:$B$11,MIN(5,MATCH(MAX(Reference!$A$6,MIN(Reference!$A$11,D65)),Reference!$A$6:$A$11,1)))+(MAX(Reference!$A$6,MIN(Reference!$A$11,D65))-INDEX(Reference!$A$6:$A$11,MIN(5,MATCH(MAX(Reference!$A$6,MIN(Reference!$A$11,D65)),Reference!$A$6:$A$11,1))))*(INDEX(Reference!$B$6:$B$11,MIN(5,MATCH(MAX(Reference!$A$6,MIN(Reference!$A$11,D65)),Reference!$A$6:$A$11,1))+1)-INDEX(Reference!$B$6:$B$11,MIN(5,MATCH(MAX(Reference!$A$6,MIN(Reference!$A$11,D65)),Reference!$A$6:$A$11,1))))/(INDEX(Reference!$A$6:$A$11,MIN(5,MATCH(MAX(Reference!$A$6,MIN(Reference!$A$11,D65)),Reference!$A$6:$A$11,1))+1)-INDEX(Reference!$A$6:$A$11,MIN(5,MATCH(MAX(Reference!$A$6,MIN(Reference!$A$11,D65)),Reference!$A$6:$A$11,1))))))))</f>
        <v/>
      </c>
      <c r="P65" s="32" t="str">
        <f>IF(N65="","",VLOOKUP(MAX(N65,0),Reference!$A$17:$B$20,2,TRUE()))</f>
        <v/>
      </c>
      <c r="Q65" s="32" t="str">
        <f t="shared" si="3"/>
        <v/>
      </c>
      <c r="R65" s="31"/>
      <c r="S65" s="31"/>
      <c r="T65" s="31"/>
      <c r="U65" s="32" t="str">
        <f t="shared" si="4"/>
        <v/>
      </c>
      <c r="V65" s="32" t="str">
        <f t="shared" si="5"/>
        <v/>
      </c>
      <c r="W65" s="32" t="str">
        <f>IF(V65="","",VLOOKUP(MAX(V65,0),Reference!$A$17:$B$20,2,TRUE()))</f>
        <v/>
      </c>
      <c r="X65" s="31"/>
      <c r="Y65" s="31"/>
      <c r="Z65" s="31"/>
      <c r="AA65" s="32" t="str">
        <f t="shared" si="6"/>
        <v/>
      </c>
      <c r="AB65" s="32" t="str">
        <f t="shared" si="7"/>
        <v/>
      </c>
      <c r="AC65" s="32" t="str">
        <f>IF(AB65="","",VLOOKUP(MAX(AB65,0),Reference!$A$17:$B$20,2,TRUE()))</f>
        <v/>
      </c>
      <c r="AD65" s="31"/>
      <c r="AE65">
        <f t="shared" si="8"/>
        <v>1</v>
      </c>
      <c r="AF65" s="33" t="str">
        <f>IF(OR(A65="",B65="",AND(C65&lt;&gt;"Bullpen",C65&lt;&gt;"Game")),"",IF((COUNTIFS($B$5:$B$300,B65,$A$5:$A$300,A65-1,$C$5:$C$300,"Bullpen",$AG$5:$AG$300,"&gt;0") + COUNTIFS($B$5:$B$300,B65,$A$5:$A$300,A65-1,$C$5:$C$300,"Game",$AG$5:$AG$300,"&gt;0"))&gt;0,Reference!$B$119,IF((COUNTIFS($B$5:$B$300,B65,$A$5:$A$300,A65-2,$C$5:$C$300,"Bullpen",$AG$5:$AG$300,"&gt;0") + COUNTIFS($B$5:$B$300,B65,$A$5:$A$300,A65-2,$C$5:$C$300,"Game",$AG$5:$AG$300,"&gt;0"))&gt;0,Reference!$B$120,1)))</f>
        <v/>
      </c>
      <c r="AG65" s="30" t="str">
        <f>IF(AND(OR(I65="",O65="",P65=""),OR(R65="",W65=""),OR(X65="",AC65="")),"",IF(OR(I65="",O65="",P65=""),0,I65*O65*P65)+IF(OR(R65="",W65=""),0,R65*IFERROR(INDEX(Reference!$B$61:$B$62,MATCH("Bullpen",Reference!$A$61:$A$62,0)),0)*W65)+IF(OR(X65="",AC65=""),0,X65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65))</f>
        <v/>
      </c>
    </row>
    <row r="66" spans="1:33" x14ac:dyDescent="0.3">
      <c r="A66" s="35">
        <v>46326</v>
      </c>
      <c r="B66" s="31" t="s">
        <v>142</v>
      </c>
      <c r="C66" s="31"/>
      <c r="D66" s="31"/>
      <c r="E66" s="34"/>
      <c r="F66" s="34"/>
      <c r="G66" s="30" t="str">
        <f t="shared" si="0"/>
        <v/>
      </c>
      <c r="H66" s="31"/>
      <c r="I66" s="32" t="str">
        <f>IF(H66&lt;&gt;"",H66,IF(G66="","",ROUND(G66*IFERROR(INDEX(Reference!$B$44:$B$50,MATCH(C66,Reference!$A$44:$A$50,0)),0),0)))</f>
        <v/>
      </c>
      <c r="J66" s="31"/>
      <c r="K66" s="31"/>
      <c r="L66" s="32" t="str">
        <f t="shared" si="1"/>
        <v/>
      </c>
      <c r="M66" s="32">
        <f>IFERROR(INDEX(Roster!$D$5:$D$40,MATCH(B66,Roster!$A$5:$A$40,0)),"")</f>
        <v>87.9</v>
      </c>
      <c r="N66" s="32" t="str">
        <f t="shared" si="2"/>
        <v/>
      </c>
      <c r="O66" s="32" t="str">
        <f>IF(OR(C66="Bullpen",C66="Game"),IFERROR(INDEX(Reference!$B$61:$B$62,MATCH(C66,Reference!$A$61:$A$62,0)),""),IF(D66="","",IF(AE66&gt;1,((IF(1&lt;=AE66,(AE66-1+3)*(INDEX(Reference!$B$6:$B$11,MIN(5,MATCH(MAX(Reference!$A$6,MIN(Reference!$A$11,MIN(D66,90))),Reference!$A$6:$A$11,1)))+(MAX(Reference!$A$6,MIN(Reference!$A$11,MIN(D66,90)))-INDEX(Reference!$A$6:$A$11,MIN(5,MATCH(MAX(Reference!$A$6,MIN(Reference!$A$11,MIN(D66,90))),Reference!$A$6:$A$11,1))))*(INDEX(Reference!$B$6:$B$11,MIN(5,MATCH(MAX(Reference!$A$6,MIN(Reference!$A$11,MIN(D66,90))),Reference!$A$6:$A$11,1))+1)-INDEX(Reference!$B$6:$B$11,MIN(5,MATCH(MAX(Reference!$A$6,MIN(Reference!$A$11,MIN(D66,90))),Reference!$A$6:$A$11,1))))/(INDEX(Reference!$A$6:$A$11,MIN(5,MATCH(MAX(Reference!$A$6,MIN(Reference!$A$11,MIN(D66,90))),Reference!$A$6:$A$11,1))+1)-INDEX(Reference!$A$6:$A$11,MIN(5,MATCH(MAX(Reference!$A$6,MIN(Reference!$A$11,MIN(D66,90))),Reference!$A$6:$A$11,1))))),0)+IF(2&lt;=AE66,(AE66-2+3)*(INDEX(Reference!$B$6:$B$11,MIN(5,MATCH(MAX(Reference!$A$6,MIN(Reference!$A$11,MIN(D66,120))),Reference!$A$6:$A$11,1)))+(MAX(Reference!$A$6,MIN(Reference!$A$11,MIN(D66,120)))-INDEX(Reference!$A$6:$A$11,MIN(5,MATCH(MAX(Reference!$A$6,MIN(Reference!$A$11,MIN(D66,120))),Reference!$A$6:$A$11,1))))*(INDEX(Reference!$B$6:$B$11,MIN(5,MATCH(MAX(Reference!$A$6,MIN(Reference!$A$11,MIN(D66,120))),Reference!$A$6:$A$11,1))+1)-INDEX(Reference!$B$6:$B$11,MIN(5,MATCH(MAX(Reference!$A$6,MIN(Reference!$A$11,MIN(D66,120))),Reference!$A$6:$A$11,1))))/(INDEX(Reference!$A$6:$A$11,MIN(5,MATCH(MAX(Reference!$A$6,MIN(Reference!$A$11,MIN(D66,120))),Reference!$A$6:$A$11,1))+1)-INDEX(Reference!$A$6:$A$11,MIN(5,MATCH(MAX(Reference!$A$6,MIN(Reference!$A$11,MIN(D66,120))),Reference!$A$6:$A$11,1))))),0)+IF(3&lt;=AE66,(AE66-3+3)*(INDEX(Reference!$B$6:$B$11,MIN(5,MATCH(MAX(Reference!$A$6,MIN(Reference!$A$11,MIN(D66,150))),Reference!$A$6:$A$11,1)))+(MAX(Reference!$A$6,MIN(Reference!$A$11,MIN(D66,150)))-INDEX(Reference!$A$6:$A$11,MIN(5,MATCH(MAX(Reference!$A$6,MIN(Reference!$A$11,MIN(D66,150))),Reference!$A$6:$A$11,1))))*(INDEX(Reference!$B$6:$B$11,MIN(5,MATCH(MAX(Reference!$A$6,MIN(Reference!$A$11,MIN(D66,150))),Reference!$A$6:$A$11,1))+1)-INDEX(Reference!$B$6:$B$11,MIN(5,MATCH(MAX(Reference!$A$6,MIN(Reference!$A$11,MIN(D66,150))),Reference!$A$6:$A$11,1))))/(INDEX(Reference!$A$6:$A$11,MIN(5,MATCH(MAX(Reference!$A$6,MIN(Reference!$A$11,MIN(D66,150))),Reference!$A$6:$A$11,1))+1)-INDEX(Reference!$A$6:$A$11,MIN(5,MATCH(MAX(Reference!$A$6,MIN(Reference!$A$11,MIN(D66,150))),Reference!$A$6:$A$11,1))))),0)+IF(4&lt;=AE66,(AE66-4+3)*(INDEX(Reference!$B$6:$B$11,MIN(5,MATCH(MAX(Reference!$A$6,MIN(Reference!$A$11,MIN(D66,180))),Reference!$A$6:$A$11,1)))+(MAX(Reference!$A$6,MIN(Reference!$A$11,MIN(D66,180)))-INDEX(Reference!$A$6:$A$11,MIN(5,MATCH(MAX(Reference!$A$6,MIN(Reference!$A$11,MIN(D66,180))),Reference!$A$6:$A$11,1))))*(INDEX(Reference!$B$6:$B$11,MIN(5,MATCH(MAX(Reference!$A$6,MIN(Reference!$A$11,MIN(D66,180))),Reference!$A$6:$A$11,1))+1)-INDEX(Reference!$B$6:$B$11,MIN(5,MATCH(MAX(Reference!$A$6,MIN(Reference!$A$11,MIN(D66,180))),Reference!$A$6:$A$11,1))))/(INDEX(Reference!$A$6:$A$11,MIN(5,MATCH(MAX(Reference!$A$6,MIN(Reference!$A$11,MIN(D66,180))),Reference!$A$6:$A$11,1))+1)-INDEX(Reference!$A$6:$A$11,MIN(5,MATCH(MAX(Reference!$A$6,MIN(Reference!$A$11,MIN(D66,180))),Reference!$A$6:$A$11,1))))),0)+IF(5&lt;=AE66,(AE66-5+3)*(INDEX(Reference!$B$6:$B$11,MIN(5,MATCH(MAX(Reference!$A$6,MIN(Reference!$A$11,MIN(D66,210))),Reference!$A$6:$A$11,1)))+(MAX(Reference!$A$6,MIN(Reference!$A$11,MIN(D66,210)))-INDEX(Reference!$A$6:$A$11,MIN(5,MATCH(MAX(Reference!$A$6,MIN(Reference!$A$11,MIN(D66,210))),Reference!$A$6:$A$11,1))))*(INDEX(Reference!$B$6:$B$11,MIN(5,MATCH(MAX(Reference!$A$6,MIN(Reference!$A$11,MIN(D66,210))),Reference!$A$6:$A$11,1))+1)-INDEX(Reference!$B$6:$B$11,MIN(5,MATCH(MAX(Reference!$A$6,MIN(Reference!$A$11,MIN(D66,210))),Reference!$A$6:$A$11,1))))/(INDEX(Reference!$A$6:$A$11,MIN(5,MATCH(MAX(Reference!$A$6,MIN(Reference!$A$11,MIN(D66,210))),Reference!$A$6:$A$11,1))+1)-INDEX(Reference!$A$6:$A$11,MIN(5,MATCH(MAX(Reference!$A$6,MIN(Reference!$A$11,MIN(D66,210))),Reference!$A$6:$A$11,1))))),0)+IF(6&lt;=AE66,(AE66-6+3)*(INDEX(Reference!$B$6:$B$11,MIN(5,MATCH(MAX(Reference!$A$6,MIN(Reference!$A$11,MIN(D66,240))),Reference!$A$6:$A$11,1)))+(MAX(Reference!$A$6,MIN(Reference!$A$11,MIN(D66,240)))-INDEX(Reference!$A$6:$A$11,MIN(5,MATCH(MAX(Reference!$A$6,MIN(Reference!$A$11,MIN(D66,240))),Reference!$A$6:$A$11,1))))*(INDEX(Reference!$B$6:$B$11,MIN(5,MATCH(MAX(Reference!$A$6,MIN(Reference!$A$11,MIN(D66,240))),Reference!$A$6:$A$11,1))+1)-INDEX(Reference!$B$6:$B$11,MIN(5,MATCH(MAX(Reference!$A$6,MIN(Reference!$A$11,MIN(D66,240))),Reference!$A$6:$A$11,1))))/(INDEX(Reference!$A$6:$A$11,MIN(5,MATCH(MAX(Reference!$A$6,MIN(Reference!$A$11,MIN(D66,240))),Reference!$A$6:$A$11,1))+1)-INDEX(Reference!$A$6:$A$11,MIN(5,MATCH(MAX(Reference!$A$6,MIN(Reference!$A$11,MIN(D66,240))),Reference!$A$6:$A$11,1))))),0)+IF(7&lt;=AE66,(AE66-7+3)*(INDEX(Reference!$B$6:$B$11,MIN(5,MATCH(MAX(Reference!$A$6,MIN(Reference!$A$11,MIN(D66,270))),Reference!$A$6:$A$11,1)))+(MAX(Reference!$A$6,MIN(Reference!$A$11,MIN(D66,270)))-INDEX(Reference!$A$6:$A$11,MIN(5,MATCH(MAX(Reference!$A$6,MIN(Reference!$A$11,MIN(D66,270))),Reference!$A$6:$A$11,1))))*(INDEX(Reference!$B$6:$B$11,MIN(5,MATCH(MAX(Reference!$A$6,MIN(Reference!$A$11,MIN(D66,270))),Reference!$A$6:$A$11,1))+1)-INDEX(Reference!$B$6:$B$11,MIN(5,MATCH(MAX(Reference!$A$6,MIN(Reference!$A$11,MIN(D66,270))),Reference!$A$6:$A$11,1))))/(INDEX(Reference!$A$6:$A$11,MIN(5,MATCH(MAX(Reference!$A$6,MIN(Reference!$A$11,MIN(D66,270))),Reference!$A$6:$A$11,1))+1)-INDEX(Reference!$A$6:$A$11,MIN(5,MATCH(MAX(Reference!$A$6,MIN(Reference!$A$11,MIN(D66,270))),Reference!$A$6:$A$11,1))))),0)+IF(8&lt;=AE66,(AE66-8+3)*(INDEX(Reference!$B$6:$B$11,MIN(5,MATCH(MAX(Reference!$A$6,MIN(Reference!$A$11,MIN(D66,300))),Reference!$A$6:$A$11,1)))+(MAX(Reference!$A$6,MIN(Reference!$A$11,MIN(D66,300)))-INDEX(Reference!$A$6:$A$11,MIN(5,MATCH(MAX(Reference!$A$6,MIN(Reference!$A$11,MIN(D66,300))),Reference!$A$6:$A$11,1))))*(INDEX(Reference!$B$6:$B$11,MIN(5,MATCH(MAX(Reference!$A$6,MIN(Reference!$A$11,MIN(D66,300))),Reference!$A$6:$A$11,1))+1)-INDEX(Reference!$B$6:$B$11,MIN(5,MATCH(MAX(Reference!$A$6,MIN(Reference!$A$11,MIN(D66,300))),Reference!$A$6:$A$11,1))))/(INDEX(Reference!$A$6:$A$11,MIN(5,MATCH(MAX(Reference!$A$6,MIN(Reference!$A$11,MIN(D66,300))),Reference!$A$6:$A$11,1))+1)-INDEX(Reference!$A$6:$A$11,MIN(5,MATCH(MAX(Reference!$A$6,MIN(Reference!$A$11,MIN(D66,300))),Reference!$A$6:$A$11,1))))),0))/(AE66*(AE66+5)/2)),(INDEX(Reference!$B$6:$B$11,MIN(5,MATCH(MAX(Reference!$A$6,MIN(Reference!$A$11,D66)),Reference!$A$6:$A$11,1)))+(MAX(Reference!$A$6,MIN(Reference!$A$11,D66))-INDEX(Reference!$A$6:$A$11,MIN(5,MATCH(MAX(Reference!$A$6,MIN(Reference!$A$11,D66)),Reference!$A$6:$A$11,1))))*(INDEX(Reference!$B$6:$B$11,MIN(5,MATCH(MAX(Reference!$A$6,MIN(Reference!$A$11,D66)),Reference!$A$6:$A$11,1))+1)-INDEX(Reference!$B$6:$B$11,MIN(5,MATCH(MAX(Reference!$A$6,MIN(Reference!$A$11,D66)),Reference!$A$6:$A$11,1))))/(INDEX(Reference!$A$6:$A$11,MIN(5,MATCH(MAX(Reference!$A$6,MIN(Reference!$A$11,D66)),Reference!$A$6:$A$11,1))+1)-INDEX(Reference!$A$6:$A$11,MIN(5,MATCH(MAX(Reference!$A$6,MIN(Reference!$A$11,D66)),Reference!$A$6:$A$11,1))))))))</f>
        <v/>
      </c>
      <c r="P66" s="32" t="str">
        <f>IF(N66="","",VLOOKUP(MAX(N66,0),Reference!$A$17:$B$20,2,TRUE()))</f>
        <v/>
      </c>
      <c r="Q66" s="32" t="str">
        <f t="shared" si="3"/>
        <v/>
      </c>
      <c r="R66" s="31"/>
      <c r="S66" s="31"/>
      <c r="T66" s="31"/>
      <c r="U66" s="32" t="str">
        <f t="shared" si="4"/>
        <v/>
      </c>
      <c r="V66" s="32" t="str">
        <f t="shared" si="5"/>
        <v/>
      </c>
      <c r="W66" s="32" t="str">
        <f>IF(V66="","",VLOOKUP(MAX(V66,0),Reference!$A$17:$B$20,2,TRUE()))</f>
        <v/>
      </c>
      <c r="X66" s="31"/>
      <c r="Y66" s="31"/>
      <c r="Z66" s="31"/>
      <c r="AA66" s="32" t="str">
        <f t="shared" si="6"/>
        <v/>
      </c>
      <c r="AB66" s="32" t="str">
        <f t="shared" si="7"/>
        <v/>
      </c>
      <c r="AC66" s="32" t="str">
        <f>IF(AB66="","",VLOOKUP(MAX(AB66,0),Reference!$A$17:$B$20,2,TRUE()))</f>
        <v/>
      </c>
      <c r="AD66" s="31"/>
      <c r="AE66">
        <f t="shared" si="8"/>
        <v>1</v>
      </c>
      <c r="AF66" s="33" t="str">
        <f>IF(OR(A66="",B66="",AND(C66&lt;&gt;"Bullpen",C66&lt;&gt;"Game")),"",IF((COUNTIFS($B$5:$B$300,B66,$A$5:$A$300,A66-1,$C$5:$C$300,"Bullpen",$AG$5:$AG$300,"&gt;0") + COUNTIFS($B$5:$B$300,B66,$A$5:$A$300,A66-1,$C$5:$C$300,"Game",$AG$5:$AG$300,"&gt;0"))&gt;0,Reference!$B$119,IF((COUNTIFS($B$5:$B$300,B66,$A$5:$A$300,A66-2,$C$5:$C$300,"Bullpen",$AG$5:$AG$300,"&gt;0") + COUNTIFS($B$5:$B$300,B66,$A$5:$A$300,A66-2,$C$5:$C$300,"Game",$AG$5:$AG$300,"&gt;0"))&gt;0,Reference!$B$120,1)))</f>
        <v/>
      </c>
      <c r="AG66" s="30" t="str">
        <f>IF(AND(OR(I66="",O66="",P66=""),OR(R66="",W66=""),OR(X66="",AC66="")),"",IF(OR(I66="",O66="",P66=""),0,I66*O66*P66)+IF(OR(R66="",W66=""),0,R66*IFERROR(INDEX(Reference!$B$61:$B$62,MATCH("Bullpen",Reference!$A$61:$A$62,0)),0)*W66)+IF(OR(X66="",AC66=""),0,X66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66))</f>
        <v/>
      </c>
    </row>
    <row r="67" spans="1:33" x14ac:dyDescent="0.3">
      <c r="A67" s="35"/>
      <c r="B67" s="31"/>
      <c r="C67" s="31"/>
      <c r="D67" s="31"/>
      <c r="E67" s="34"/>
      <c r="F67" s="34"/>
      <c r="G67" s="30" t="str">
        <f t="shared" si="0"/>
        <v/>
      </c>
      <c r="H67" s="31"/>
      <c r="I67" s="32" t="str">
        <f>IF(H67&lt;&gt;"",H67,IF(G67="","",ROUND(G67*IFERROR(INDEX(Reference!$B$44:$B$50,MATCH(C67,Reference!$A$44:$A$50,0)),0),0)))</f>
        <v/>
      </c>
      <c r="J67" s="31"/>
      <c r="K67" s="31"/>
      <c r="L67" s="32" t="str">
        <f t="shared" si="1"/>
        <v/>
      </c>
      <c r="M67" s="32" t="str">
        <f>IFERROR(INDEX(Roster!$D$5:$D$40,MATCH(B67,Roster!$A$5:$A$40,0)),"")</f>
        <v/>
      </c>
      <c r="N67" s="32" t="str">
        <f t="shared" si="2"/>
        <v/>
      </c>
      <c r="O67" s="32" t="str">
        <f>IF(OR(C67="Bullpen",C67="Game"),IFERROR(INDEX(Reference!$B$61:$B$62,MATCH(C67,Reference!$A$61:$A$62,0)),""),IF(D67="","",IF(AE67&gt;1,((IF(1&lt;=AE67,(AE67-1+3)*(INDEX(Reference!$B$6:$B$11,MIN(5,MATCH(MAX(Reference!$A$6,MIN(Reference!$A$11,MIN(D67,90))),Reference!$A$6:$A$11,1)))+(MAX(Reference!$A$6,MIN(Reference!$A$11,MIN(D67,90)))-INDEX(Reference!$A$6:$A$11,MIN(5,MATCH(MAX(Reference!$A$6,MIN(Reference!$A$11,MIN(D67,90))),Reference!$A$6:$A$11,1))))*(INDEX(Reference!$B$6:$B$11,MIN(5,MATCH(MAX(Reference!$A$6,MIN(Reference!$A$11,MIN(D67,90))),Reference!$A$6:$A$11,1))+1)-INDEX(Reference!$B$6:$B$11,MIN(5,MATCH(MAX(Reference!$A$6,MIN(Reference!$A$11,MIN(D67,90))),Reference!$A$6:$A$11,1))))/(INDEX(Reference!$A$6:$A$11,MIN(5,MATCH(MAX(Reference!$A$6,MIN(Reference!$A$11,MIN(D67,90))),Reference!$A$6:$A$11,1))+1)-INDEX(Reference!$A$6:$A$11,MIN(5,MATCH(MAX(Reference!$A$6,MIN(Reference!$A$11,MIN(D67,90))),Reference!$A$6:$A$11,1))))),0)+IF(2&lt;=AE67,(AE67-2+3)*(INDEX(Reference!$B$6:$B$11,MIN(5,MATCH(MAX(Reference!$A$6,MIN(Reference!$A$11,MIN(D67,120))),Reference!$A$6:$A$11,1)))+(MAX(Reference!$A$6,MIN(Reference!$A$11,MIN(D67,120)))-INDEX(Reference!$A$6:$A$11,MIN(5,MATCH(MAX(Reference!$A$6,MIN(Reference!$A$11,MIN(D67,120))),Reference!$A$6:$A$11,1))))*(INDEX(Reference!$B$6:$B$11,MIN(5,MATCH(MAX(Reference!$A$6,MIN(Reference!$A$11,MIN(D67,120))),Reference!$A$6:$A$11,1))+1)-INDEX(Reference!$B$6:$B$11,MIN(5,MATCH(MAX(Reference!$A$6,MIN(Reference!$A$11,MIN(D67,120))),Reference!$A$6:$A$11,1))))/(INDEX(Reference!$A$6:$A$11,MIN(5,MATCH(MAX(Reference!$A$6,MIN(Reference!$A$11,MIN(D67,120))),Reference!$A$6:$A$11,1))+1)-INDEX(Reference!$A$6:$A$11,MIN(5,MATCH(MAX(Reference!$A$6,MIN(Reference!$A$11,MIN(D67,120))),Reference!$A$6:$A$11,1))))),0)+IF(3&lt;=AE67,(AE67-3+3)*(INDEX(Reference!$B$6:$B$11,MIN(5,MATCH(MAX(Reference!$A$6,MIN(Reference!$A$11,MIN(D67,150))),Reference!$A$6:$A$11,1)))+(MAX(Reference!$A$6,MIN(Reference!$A$11,MIN(D67,150)))-INDEX(Reference!$A$6:$A$11,MIN(5,MATCH(MAX(Reference!$A$6,MIN(Reference!$A$11,MIN(D67,150))),Reference!$A$6:$A$11,1))))*(INDEX(Reference!$B$6:$B$11,MIN(5,MATCH(MAX(Reference!$A$6,MIN(Reference!$A$11,MIN(D67,150))),Reference!$A$6:$A$11,1))+1)-INDEX(Reference!$B$6:$B$11,MIN(5,MATCH(MAX(Reference!$A$6,MIN(Reference!$A$11,MIN(D67,150))),Reference!$A$6:$A$11,1))))/(INDEX(Reference!$A$6:$A$11,MIN(5,MATCH(MAX(Reference!$A$6,MIN(Reference!$A$11,MIN(D67,150))),Reference!$A$6:$A$11,1))+1)-INDEX(Reference!$A$6:$A$11,MIN(5,MATCH(MAX(Reference!$A$6,MIN(Reference!$A$11,MIN(D67,150))),Reference!$A$6:$A$11,1))))),0)+IF(4&lt;=AE67,(AE67-4+3)*(INDEX(Reference!$B$6:$B$11,MIN(5,MATCH(MAX(Reference!$A$6,MIN(Reference!$A$11,MIN(D67,180))),Reference!$A$6:$A$11,1)))+(MAX(Reference!$A$6,MIN(Reference!$A$11,MIN(D67,180)))-INDEX(Reference!$A$6:$A$11,MIN(5,MATCH(MAX(Reference!$A$6,MIN(Reference!$A$11,MIN(D67,180))),Reference!$A$6:$A$11,1))))*(INDEX(Reference!$B$6:$B$11,MIN(5,MATCH(MAX(Reference!$A$6,MIN(Reference!$A$11,MIN(D67,180))),Reference!$A$6:$A$11,1))+1)-INDEX(Reference!$B$6:$B$11,MIN(5,MATCH(MAX(Reference!$A$6,MIN(Reference!$A$11,MIN(D67,180))),Reference!$A$6:$A$11,1))))/(INDEX(Reference!$A$6:$A$11,MIN(5,MATCH(MAX(Reference!$A$6,MIN(Reference!$A$11,MIN(D67,180))),Reference!$A$6:$A$11,1))+1)-INDEX(Reference!$A$6:$A$11,MIN(5,MATCH(MAX(Reference!$A$6,MIN(Reference!$A$11,MIN(D67,180))),Reference!$A$6:$A$11,1))))),0)+IF(5&lt;=AE67,(AE67-5+3)*(INDEX(Reference!$B$6:$B$11,MIN(5,MATCH(MAX(Reference!$A$6,MIN(Reference!$A$11,MIN(D67,210))),Reference!$A$6:$A$11,1)))+(MAX(Reference!$A$6,MIN(Reference!$A$11,MIN(D67,210)))-INDEX(Reference!$A$6:$A$11,MIN(5,MATCH(MAX(Reference!$A$6,MIN(Reference!$A$11,MIN(D67,210))),Reference!$A$6:$A$11,1))))*(INDEX(Reference!$B$6:$B$11,MIN(5,MATCH(MAX(Reference!$A$6,MIN(Reference!$A$11,MIN(D67,210))),Reference!$A$6:$A$11,1))+1)-INDEX(Reference!$B$6:$B$11,MIN(5,MATCH(MAX(Reference!$A$6,MIN(Reference!$A$11,MIN(D67,210))),Reference!$A$6:$A$11,1))))/(INDEX(Reference!$A$6:$A$11,MIN(5,MATCH(MAX(Reference!$A$6,MIN(Reference!$A$11,MIN(D67,210))),Reference!$A$6:$A$11,1))+1)-INDEX(Reference!$A$6:$A$11,MIN(5,MATCH(MAX(Reference!$A$6,MIN(Reference!$A$11,MIN(D67,210))),Reference!$A$6:$A$11,1))))),0)+IF(6&lt;=AE67,(AE67-6+3)*(INDEX(Reference!$B$6:$B$11,MIN(5,MATCH(MAX(Reference!$A$6,MIN(Reference!$A$11,MIN(D67,240))),Reference!$A$6:$A$11,1)))+(MAX(Reference!$A$6,MIN(Reference!$A$11,MIN(D67,240)))-INDEX(Reference!$A$6:$A$11,MIN(5,MATCH(MAX(Reference!$A$6,MIN(Reference!$A$11,MIN(D67,240))),Reference!$A$6:$A$11,1))))*(INDEX(Reference!$B$6:$B$11,MIN(5,MATCH(MAX(Reference!$A$6,MIN(Reference!$A$11,MIN(D67,240))),Reference!$A$6:$A$11,1))+1)-INDEX(Reference!$B$6:$B$11,MIN(5,MATCH(MAX(Reference!$A$6,MIN(Reference!$A$11,MIN(D67,240))),Reference!$A$6:$A$11,1))))/(INDEX(Reference!$A$6:$A$11,MIN(5,MATCH(MAX(Reference!$A$6,MIN(Reference!$A$11,MIN(D67,240))),Reference!$A$6:$A$11,1))+1)-INDEX(Reference!$A$6:$A$11,MIN(5,MATCH(MAX(Reference!$A$6,MIN(Reference!$A$11,MIN(D67,240))),Reference!$A$6:$A$11,1))))),0)+IF(7&lt;=AE67,(AE67-7+3)*(INDEX(Reference!$B$6:$B$11,MIN(5,MATCH(MAX(Reference!$A$6,MIN(Reference!$A$11,MIN(D67,270))),Reference!$A$6:$A$11,1)))+(MAX(Reference!$A$6,MIN(Reference!$A$11,MIN(D67,270)))-INDEX(Reference!$A$6:$A$11,MIN(5,MATCH(MAX(Reference!$A$6,MIN(Reference!$A$11,MIN(D67,270))),Reference!$A$6:$A$11,1))))*(INDEX(Reference!$B$6:$B$11,MIN(5,MATCH(MAX(Reference!$A$6,MIN(Reference!$A$11,MIN(D67,270))),Reference!$A$6:$A$11,1))+1)-INDEX(Reference!$B$6:$B$11,MIN(5,MATCH(MAX(Reference!$A$6,MIN(Reference!$A$11,MIN(D67,270))),Reference!$A$6:$A$11,1))))/(INDEX(Reference!$A$6:$A$11,MIN(5,MATCH(MAX(Reference!$A$6,MIN(Reference!$A$11,MIN(D67,270))),Reference!$A$6:$A$11,1))+1)-INDEX(Reference!$A$6:$A$11,MIN(5,MATCH(MAX(Reference!$A$6,MIN(Reference!$A$11,MIN(D67,270))),Reference!$A$6:$A$11,1))))),0)+IF(8&lt;=AE67,(AE67-8+3)*(INDEX(Reference!$B$6:$B$11,MIN(5,MATCH(MAX(Reference!$A$6,MIN(Reference!$A$11,MIN(D67,300))),Reference!$A$6:$A$11,1)))+(MAX(Reference!$A$6,MIN(Reference!$A$11,MIN(D67,300)))-INDEX(Reference!$A$6:$A$11,MIN(5,MATCH(MAX(Reference!$A$6,MIN(Reference!$A$11,MIN(D67,300))),Reference!$A$6:$A$11,1))))*(INDEX(Reference!$B$6:$B$11,MIN(5,MATCH(MAX(Reference!$A$6,MIN(Reference!$A$11,MIN(D67,300))),Reference!$A$6:$A$11,1))+1)-INDEX(Reference!$B$6:$B$11,MIN(5,MATCH(MAX(Reference!$A$6,MIN(Reference!$A$11,MIN(D67,300))),Reference!$A$6:$A$11,1))))/(INDEX(Reference!$A$6:$A$11,MIN(5,MATCH(MAX(Reference!$A$6,MIN(Reference!$A$11,MIN(D67,300))),Reference!$A$6:$A$11,1))+1)-INDEX(Reference!$A$6:$A$11,MIN(5,MATCH(MAX(Reference!$A$6,MIN(Reference!$A$11,MIN(D67,300))),Reference!$A$6:$A$11,1))))),0))/(AE67*(AE67+5)/2)),(INDEX(Reference!$B$6:$B$11,MIN(5,MATCH(MAX(Reference!$A$6,MIN(Reference!$A$11,D67)),Reference!$A$6:$A$11,1)))+(MAX(Reference!$A$6,MIN(Reference!$A$11,D67))-INDEX(Reference!$A$6:$A$11,MIN(5,MATCH(MAX(Reference!$A$6,MIN(Reference!$A$11,D67)),Reference!$A$6:$A$11,1))))*(INDEX(Reference!$B$6:$B$11,MIN(5,MATCH(MAX(Reference!$A$6,MIN(Reference!$A$11,D67)),Reference!$A$6:$A$11,1))+1)-INDEX(Reference!$B$6:$B$11,MIN(5,MATCH(MAX(Reference!$A$6,MIN(Reference!$A$11,D67)),Reference!$A$6:$A$11,1))))/(INDEX(Reference!$A$6:$A$11,MIN(5,MATCH(MAX(Reference!$A$6,MIN(Reference!$A$11,D67)),Reference!$A$6:$A$11,1))+1)-INDEX(Reference!$A$6:$A$11,MIN(5,MATCH(MAX(Reference!$A$6,MIN(Reference!$A$11,D67)),Reference!$A$6:$A$11,1))))))))</f>
        <v/>
      </c>
      <c r="P67" s="32" t="str">
        <f>IF(N67="","",VLOOKUP(MAX(N67,0),Reference!$A$17:$B$20,2,TRUE()))</f>
        <v/>
      </c>
      <c r="Q67" s="32" t="str">
        <f t="shared" si="3"/>
        <v/>
      </c>
      <c r="R67" s="31"/>
      <c r="S67" s="31"/>
      <c r="T67" s="31"/>
      <c r="U67" s="32" t="str">
        <f t="shared" si="4"/>
        <v/>
      </c>
      <c r="V67" s="32" t="str">
        <f t="shared" si="5"/>
        <v/>
      </c>
      <c r="W67" s="32" t="str">
        <f>IF(V67="","",VLOOKUP(MAX(V67,0),Reference!$A$17:$B$20,2,TRUE()))</f>
        <v/>
      </c>
      <c r="X67" s="31"/>
      <c r="Y67" s="31"/>
      <c r="Z67" s="31"/>
      <c r="AA67" s="32" t="str">
        <f t="shared" si="6"/>
        <v/>
      </c>
      <c r="AB67" s="32" t="str">
        <f t="shared" si="7"/>
        <v/>
      </c>
      <c r="AC67" s="32" t="str">
        <f>IF(AB67="","",VLOOKUP(MAX(AB67,0),Reference!$A$17:$B$20,2,TRUE()))</f>
        <v/>
      </c>
      <c r="AD67" s="31"/>
      <c r="AE67">
        <f t="shared" si="8"/>
        <v>1</v>
      </c>
      <c r="AF67" s="33" t="str">
        <f>IF(OR(A67="",B67="",AND(C67&lt;&gt;"Bullpen",C67&lt;&gt;"Game")),"",IF((COUNTIFS($B$5:$B$300,B67,$A$5:$A$300,A67-1,$C$5:$C$300,"Bullpen",$AG$5:$AG$300,"&gt;0") + COUNTIFS($B$5:$B$300,B67,$A$5:$A$300,A67-1,$C$5:$C$300,"Game",$AG$5:$AG$300,"&gt;0"))&gt;0,Reference!$B$119,IF((COUNTIFS($B$5:$B$300,B67,$A$5:$A$300,A67-2,$C$5:$C$300,"Bullpen",$AG$5:$AG$300,"&gt;0") + COUNTIFS($B$5:$B$300,B67,$A$5:$A$300,A67-2,$C$5:$C$300,"Game",$AG$5:$AG$300,"&gt;0"))&gt;0,Reference!$B$120,1)))</f>
        <v/>
      </c>
      <c r="AG67" s="30" t="str">
        <f>IF(AND(OR(I67="",O67="",P67=""),OR(R67="",W67=""),OR(X67="",AC67="")),"",IF(OR(I67="",O67="",P67=""),0,I67*O67*P67)+IF(OR(R67="",W67=""),0,R67*IFERROR(INDEX(Reference!$B$61:$B$62,MATCH("Bullpen",Reference!$A$61:$A$62,0)),0)*W67)+IF(OR(X67="",AC67=""),0,X67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67))</f>
        <v/>
      </c>
    </row>
    <row r="68" spans="1:33" x14ac:dyDescent="0.3">
      <c r="A68" s="35"/>
      <c r="B68" s="31"/>
      <c r="C68" s="31"/>
      <c r="D68" s="31"/>
      <c r="E68" s="34"/>
      <c r="F68" s="34"/>
      <c r="G68" s="30" t="str">
        <f t="shared" si="0"/>
        <v/>
      </c>
      <c r="H68" s="31"/>
      <c r="I68" s="32" t="str">
        <f>IF(H68&lt;&gt;"",H68,IF(G68="","",ROUND(G68*IFERROR(INDEX(Reference!$B$44:$B$50,MATCH(C68,Reference!$A$44:$A$50,0)),0),0)))</f>
        <v/>
      </c>
      <c r="J68" s="31"/>
      <c r="K68" s="31"/>
      <c r="L68" s="32" t="str">
        <f t="shared" si="1"/>
        <v/>
      </c>
      <c r="M68" s="32" t="str">
        <f>IFERROR(INDEX(Roster!$D$5:$D$40,MATCH(B68,Roster!$A$5:$A$40,0)),"")</f>
        <v/>
      </c>
      <c r="N68" s="32" t="str">
        <f t="shared" si="2"/>
        <v/>
      </c>
      <c r="O68" s="32" t="str">
        <f>IF(OR(C68="Bullpen",C68="Game"),IFERROR(INDEX(Reference!$B$61:$B$62,MATCH(C68,Reference!$A$61:$A$62,0)),""),IF(D68="","",IF(AE68&gt;1,((IF(1&lt;=AE68,(AE68-1+3)*(INDEX(Reference!$B$6:$B$11,MIN(5,MATCH(MAX(Reference!$A$6,MIN(Reference!$A$11,MIN(D68,90))),Reference!$A$6:$A$11,1)))+(MAX(Reference!$A$6,MIN(Reference!$A$11,MIN(D68,90)))-INDEX(Reference!$A$6:$A$11,MIN(5,MATCH(MAX(Reference!$A$6,MIN(Reference!$A$11,MIN(D68,90))),Reference!$A$6:$A$11,1))))*(INDEX(Reference!$B$6:$B$11,MIN(5,MATCH(MAX(Reference!$A$6,MIN(Reference!$A$11,MIN(D68,90))),Reference!$A$6:$A$11,1))+1)-INDEX(Reference!$B$6:$B$11,MIN(5,MATCH(MAX(Reference!$A$6,MIN(Reference!$A$11,MIN(D68,90))),Reference!$A$6:$A$11,1))))/(INDEX(Reference!$A$6:$A$11,MIN(5,MATCH(MAX(Reference!$A$6,MIN(Reference!$A$11,MIN(D68,90))),Reference!$A$6:$A$11,1))+1)-INDEX(Reference!$A$6:$A$11,MIN(5,MATCH(MAX(Reference!$A$6,MIN(Reference!$A$11,MIN(D68,90))),Reference!$A$6:$A$11,1))))),0)+IF(2&lt;=AE68,(AE68-2+3)*(INDEX(Reference!$B$6:$B$11,MIN(5,MATCH(MAX(Reference!$A$6,MIN(Reference!$A$11,MIN(D68,120))),Reference!$A$6:$A$11,1)))+(MAX(Reference!$A$6,MIN(Reference!$A$11,MIN(D68,120)))-INDEX(Reference!$A$6:$A$11,MIN(5,MATCH(MAX(Reference!$A$6,MIN(Reference!$A$11,MIN(D68,120))),Reference!$A$6:$A$11,1))))*(INDEX(Reference!$B$6:$B$11,MIN(5,MATCH(MAX(Reference!$A$6,MIN(Reference!$A$11,MIN(D68,120))),Reference!$A$6:$A$11,1))+1)-INDEX(Reference!$B$6:$B$11,MIN(5,MATCH(MAX(Reference!$A$6,MIN(Reference!$A$11,MIN(D68,120))),Reference!$A$6:$A$11,1))))/(INDEX(Reference!$A$6:$A$11,MIN(5,MATCH(MAX(Reference!$A$6,MIN(Reference!$A$11,MIN(D68,120))),Reference!$A$6:$A$11,1))+1)-INDEX(Reference!$A$6:$A$11,MIN(5,MATCH(MAX(Reference!$A$6,MIN(Reference!$A$11,MIN(D68,120))),Reference!$A$6:$A$11,1))))),0)+IF(3&lt;=AE68,(AE68-3+3)*(INDEX(Reference!$B$6:$B$11,MIN(5,MATCH(MAX(Reference!$A$6,MIN(Reference!$A$11,MIN(D68,150))),Reference!$A$6:$A$11,1)))+(MAX(Reference!$A$6,MIN(Reference!$A$11,MIN(D68,150)))-INDEX(Reference!$A$6:$A$11,MIN(5,MATCH(MAX(Reference!$A$6,MIN(Reference!$A$11,MIN(D68,150))),Reference!$A$6:$A$11,1))))*(INDEX(Reference!$B$6:$B$11,MIN(5,MATCH(MAX(Reference!$A$6,MIN(Reference!$A$11,MIN(D68,150))),Reference!$A$6:$A$11,1))+1)-INDEX(Reference!$B$6:$B$11,MIN(5,MATCH(MAX(Reference!$A$6,MIN(Reference!$A$11,MIN(D68,150))),Reference!$A$6:$A$11,1))))/(INDEX(Reference!$A$6:$A$11,MIN(5,MATCH(MAX(Reference!$A$6,MIN(Reference!$A$11,MIN(D68,150))),Reference!$A$6:$A$11,1))+1)-INDEX(Reference!$A$6:$A$11,MIN(5,MATCH(MAX(Reference!$A$6,MIN(Reference!$A$11,MIN(D68,150))),Reference!$A$6:$A$11,1))))),0)+IF(4&lt;=AE68,(AE68-4+3)*(INDEX(Reference!$B$6:$B$11,MIN(5,MATCH(MAX(Reference!$A$6,MIN(Reference!$A$11,MIN(D68,180))),Reference!$A$6:$A$11,1)))+(MAX(Reference!$A$6,MIN(Reference!$A$11,MIN(D68,180)))-INDEX(Reference!$A$6:$A$11,MIN(5,MATCH(MAX(Reference!$A$6,MIN(Reference!$A$11,MIN(D68,180))),Reference!$A$6:$A$11,1))))*(INDEX(Reference!$B$6:$B$11,MIN(5,MATCH(MAX(Reference!$A$6,MIN(Reference!$A$11,MIN(D68,180))),Reference!$A$6:$A$11,1))+1)-INDEX(Reference!$B$6:$B$11,MIN(5,MATCH(MAX(Reference!$A$6,MIN(Reference!$A$11,MIN(D68,180))),Reference!$A$6:$A$11,1))))/(INDEX(Reference!$A$6:$A$11,MIN(5,MATCH(MAX(Reference!$A$6,MIN(Reference!$A$11,MIN(D68,180))),Reference!$A$6:$A$11,1))+1)-INDEX(Reference!$A$6:$A$11,MIN(5,MATCH(MAX(Reference!$A$6,MIN(Reference!$A$11,MIN(D68,180))),Reference!$A$6:$A$11,1))))),0)+IF(5&lt;=AE68,(AE68-5+3)*(INDEX(Reference!$B$6:$B$11,MIN(5,MATCH(MAX(Reference!$A$6,MIN(Reference!$A$11,MIN(D68,210))),Reference!$A$6:$A$11,1)))+(MAX(Reference!$A$6,MIN(Reference!$A$11,MIN(D68,210)))-INDEX(Reference!$A$6:$A$11,MIN(5,MATCH(MAX(Reference!$A$6,MIN(Reference!$A$11,MIN(D68,210))),Reference!$A$6:$A$11,1))))*(INDEX(Reference!$B$6:$B$11,MIN(5,MATCH(MAX(Reference!$A$6,MIN(Reference!$A$11,MIN(D68,210))),Reference!$A$6:$A$11,1))+1)-INDEX(Reference!$B$6:$B$11,MIN(5,MATCH(MAX(Reference!$A$6,MIN(Reference!$A$11,MIN(D68,210))),Reference!$A$6:$A$11,1))))/(INDEX(Reference!$A$6:$A$11,MIN(5,MATCH(MAX(Reference!$A$6,MIN(Reference!$A$11,MIN(D68,210))),Reference!$A$6:$A$11,1))+1)-INDEX(Reference!$A$6:$A$11,MIN(5,MATCH(MAX(Reference!$A$6,MIN(Reference!$A$11,MIN(D68,210))),Reference!$A$6:$A$11,1))))),0)+IF(6&lt;=AE68,(AE68-6+3)*(INDEX(Reference!$B$6:$B$11,MIN(5,MATCH(MAX(Reference!$A$6,MIN(Reference!$A$11,MIN(D68,240))),Reference!$A$6:$A$11,1)))+(MAX(Reference!$A$6,MIN(Reference!$A$11,MIN(D68,240)))-INDEX(Reference!$A$6:$A$11,MIN(5,MATCH(MAX(Reference!$A$6,MIN(Reference!$A$11,MIN(D68,240))),Reference!$A$6:$A$11,1))))*(INDEX(Reference!$B$6:$B$11,MIN(5,MATCH(MAX(Reference!$A$6,MIN(Reference!$A$11,MIN(D68,240))),Reference!$A$6:$A$11,1))+1)-INDEX(Reference!$B$6:$B$11,MIN(5,MATCH(MAX(Reference!$A$6,MIN(Reference!$A$11,MIN(D68,240))),Reference!$A$6:$A$11,1))))/(INDEX(Reference!$A$6:$A$11,MIN(5,MATCH(MAX(Reference!$A$6,MIN(Reference!$A$11,MIN(D68,240))),Reference!$A$6:$A$11,1))+1)-INDEX(Reference!$A$6:$A$11,MIN(5,MATCH(MAX(Reference!$A$6,MIN(Reference!$A$11,MIN(D68,240))),Reference!$A$6:$A$11,1))))),0)+IF(7&lt;=AE68,(AE68-7+3)*(INDEX(Reference!$B$6:$B$11,MIN(5,MATCH(MAX(Reference!$A$6,MIN(Reference!$A$11,MIN(D68,270))),Reference!$A$6:$A$11,1)))+(MAX(Reference!$A$6,MIN(Reference!$A$11,MIN(D68,270)))-INDEX(Reference!$A$6:$A$11,MIN(5,MATCH(MAX(Reference!$A$6,MIN(Reference!$A$11,MIN(D68,270))),Reference!$A$6:$A$11,1))))*(INDEX(Reference!$B$6:$B$11,MIN(5,MATCH(MAX(Reference!$A$6,MIN(Reference!$A$11,MIN(D68,270))),Reference!$A$6:$A$11,1))+1)-INDEX(Reference!$B$6:$B$11,MIN(5,MATCH(MAX(Reference!$A$6,MIN(Reference!$A$11,MIN(D68,270))),Reference!$A$6:$A$11,1))))/(INDEX(Reference!$A$6:$A$11,MIN(5,MATCH(MAX(Reference!$A$6,MIN(Reference!$A$11,MIN(D68,270))),Reference!$A$6:$A$11,1))+1)-INDEX(Reference!$A$6:$A$11,MIN(5,MATCH(MAX(Reference!$A$6,MIN(Reference!$A$11,MIN(D68,270))),Reference!$A$6:$A$11,1))))),0)+IF(8&lt;=AE68,(AE68-8+3)*(INDEX(Reference!$B$6:$B$11,MIN(5,MATCH(MAX(Reference!$A$6,MIN(Reference!$A$11,MIN(D68,300))),Reference!$A$6:$A$11,1)))+(MAX(Reference!$A$6,MIN(Reference!$A$11,MIN(D68,300)))-INDEX(Reference!$A$6:$A$11,MIN(5,MATCH(MAX(Reference!$A$6,MIN(Reference!$A$11,MIN(D68,300))),Reference!$A$6:$A$11,1))))*(INDEX(Reference!$B$6:$B$11,MIN(5,MATCH(MAX(Reference!$A$6,MIN(Reference!$A$11,MIN(D68,300))),Reference!$A$6:$A$11,1))+1)-INDEX(Reference!$B$6:$B$11,MIN(5,MATCH(MAX(Reference!$A$6,MIN(Reference!$A$11,MIN(D68,300))),Reference!$A$6:$A$11,1))))/(INDEX(Reference!$A$6:$A$11,MIN(5,MATCH(MAX(Reference!$A$6,MIN(Reference!$A$11,MIN(D68,300))),Reference!$A$6:$A$11,1))+1)-INDEX(Reference!$A$6:$A$11,MIN(5,MATCH(MAX(Reference!$A$6,MIN(Reference!$A$11,MIN(D68,300))),Reference!$A$6:$A$11,1))))),0))/(AE68*(AE68+5)/2)),(INDEX(Reference!$B$6:$B$11,MIN(5,MATCH(MAX(Reference!$A$6,MIN(Reference!$A$11,D68)),Reference!$A$6:$A$11,1)))+(MAX(Reference!$A$6,MIN(Reference!$A$11,D68))-INDEX(Reference!$A$6:$A$11,MIN(5,MATCH(MAX(Reference!$A$6,MIN(Reference!$A$11,D68)),Reference!$A$6:$A$11,1))))*(INDEX(Reference!$B$6:$B$11,MIN(5,MATCH(MAX(Reference!$A$6,MIN(Reference!$A$11,D68)),Reference!$A$6:$A$11,1))+1)-INDEX(Reference!$B$6:$B$11,MIN(5,MATCH(MAX(Reference!$A$6,MIN(Reference!$A$11,D68)),Reference!$A$6:$A$11,1))))/(INDEX(Reference!$A$6:$A$11,MIN(5,MATCH(MAX(Reference!$A$6,MIN(Reference!$A$11,D68)),Reference!$A$6:$A$11,1))+1)-INDEX(Reference!$A$6:$A$11,MIN(5,MATCH(MAX(Reference!$A$6,MIN(Reference!$A$11,D68)),Reference!$A$6:$A$11,1))))))))</f>
        <v/>
      </c>
      <c r="P68" s="32" t="str">
        <f>IF(N68="","",VLOOKUP(MAX(N68,0),Reference!$A$17:$B$20,2,TRUE()))</f>
        <v/>
      </c>
      <c r="Q68" s="32" t="str">
        <f t="shared" si="3"/>
        <v/>
      </c>
      <c r="R68" s="31"/>
      <c r="S68" s="31"/>
      <c r="T68" s="31"/>
      <c r="U68" s="32" t="str">
        <f t="shared" si="4"/>
        <v/>
      </c>
      <c r="V68" s="32" t="str">
        <f t="shared" si="5"/>
        <v/>
      </c>
      <c r="W68" s="32" t="str">
        <f>IF(V68="","",VLOOKUP(MAX(V68,0),Reference!$A$17:$B$20,2,TRUE()))</f>
        <v/>
      </c>
      <c r="X68" s="31"/>
      <c r="Y68" s="31"/>
      <c r="Z68" s="31"/>
      <c r="AA68" s="32" t="str">
        <f t="shared" si="6"/>
        <v/>
      </c>
      <c r="AB68" s="32" t="str">
        <f t="shared" si="7"/>
        <v/>
      </c>
      <c r="AC68" s="32" t="str">
        <f>IF(AB68="","",VLOOKUP(MAX(AB68,0),Reference!$A$17:$B$20,2,TRUE()))</f>
        <v/>
      </c>
      <c r="AD68" s="31"/>
      <c r="AE68">
        <f t="shared" si="8"/>
        <v>1</v>
      </c>
      <c r="AF68" s="33" t="str">
        <f>IF(OR(A68="",B68="",AND(C68&lt;&gt;"Bullpen",C68&lt;&gt;"Game")),"",IF((COUNTIFS($B$5:$B$300,B68,$A$5:$A$300,A68-1,$C$5:$C$300,"Bullpen",$AG$5:$AG$300,"&gt;0") + COUNTIFS($B$5:$B$300,B68,$A$5:$A$300,A68-1,$C$5:$C$300,"Game",$AG$5:$AG$300,"&gt;0"))&gt;0,Reference!$B$119,IF((COUNTIFS($B$5:$B$300,B68,$A$5:$A$300,A68-2,$C$5:$C$300,"Bullpen",$AG$5:$AG$300,"&gt;0") + COUNTIFS($B$5:$B$300,B68,$A$5:$A$300,A68-2,$C$5:$C$300,"Game",$AG$5:$AG$300,"&gt;0"))&gt;0,Reference!$B$120,1)))</f>
        <v/>
      </c>
      <c r="AG68" s="30" t="str">
        <f>IF(AND(OR(I68="",O68="",P68=""),OR(R68="",W68=""),OR(X68="",AC68="")),"",IF(OR(I68="",O68="",P68=""),0,I68*O68*P68)+IF(OR(R68="",W68=""),0,R68*IFERROR(INDEX(Reference!$B$61:$B$62,MATCH("Bullpen",Reference!$A$61:$A$62,0)),0)*W68)+IF(OR(X68="",AC68=""),0,X68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68))</f>
        <v/>
      </c>
    </row>
    <row r="69" spans="1:33" x14ac:dyDescent="0.3">
      <c r="A69" s="35"/>
      <c r="B69" s="31"/>
      <c r="C69" s="31"/>
      <c r="D69" s="31"/>
      <c r="E69" s="34"/>
      <c r="F69" s="34"/>
      <c r="G69" s="30" t="str">
        <f t="shared" ref="G69:G132" si="9">IF(OR(E69="",F69=""),"",(F69-E69)*1440)</f>
        <v/>
      </c>
      <c r="H69" s="31"/>
      <c r="I69" s="32" t="str">
        <f>IF(H69&lt;&gt;"",H69,IF(G69="","",ROUND(G69*IFERROR(INDEX(Reference!$B$44:$B$50,MATCH(C69,Reference!$A$44:$A$50,0)),0),0)))</f>
        <v/>
      </c>
      <c r="J69" s="31"/>
      <c r="K69" s="31"/>
      <c r="L69" s="32" t="str">
        <f t="shared" ref="L69:L132" si="10">IF(J69="","",IF(K69="",J69,AVERAGE(J69,K69)))</f>
        <v/>
      </c>
      <c r="M69" s="32" t="str">
        <f>IFERROR(INDEX(Roster!$D$5:$D$40,MATCH(B69,Roster!$A$5:$A$40,0)),"")</f>
        <v/>
      </c>
      <c r="N69" s="32" t="str">
        <f t="shared" ref="N69:N132" si="11">IF(OR(L69="",M69="",M69=0),"",M69-L69)</f>
        <v/>
      </c>
      <c r="O69" s="32" t="str">
        <f>IF(OR(C69="Bullpen",C69="Game"),IFERROR(INDEX(Reference!$B$61:$B$62,MATCH(C69,Reference!$A$61:$A$62,0)),""),IF(D69="","",IF(AE69&gt;1,((IF(1&lt;=AE69,(AE69-1+3)*(INDEX(Reference!$B$6:$B$11,MIN(5,MATCH(MAX(Reference!$A$6,MIN(Reference!$A$11,MIN(D69,90))),Reference!$A$6:$A$11,1)))+(MAX(Reference!$A$6,MIN(Reference!$A$11,MIN(D69,90)))-INDEX(Reference!$A$6:$A$11,MIN(5,MATCH(MAX(Reference!$A$6,MIN(Reference!$A$11,MIN(D69,90))),Reference!$A$6:$A$11,1))))*(INDEX(Reference!$B$6:$B$11,MIN(5,MATCH(MAX(Reference!$A$6,MIN(Reference!$A$11,MIN(D69,90))),Reference!$A$6:$A$11,1))+1)-INDEX(Reference!$B$6:$B$11,MIN(5,MATCH(MAX(Reference!$A$6,MIN(Reference!$A$11,MIN(D69,90))),Reference!$A$6:$A$11,1))))/(INDEX(Reference!$A$6:$A$11,MIN(5,MATCH(MAX(Reference!$A$6,MIN(Reference!$A$11,MIN(D69,90))),Reference!$A$6:$A$11,1))+1)-INDEX(Reference!$A$6:$A$11,MIN(5,MATCH(MAX(Reference!$A$6,MIN(Reference!$A$11,MIN(D69,90))),Reference!$A$6:$A$11,1))))),0)+IF(2&lt;=AE69,(AE69-2+3)*(INDEX(Reference!$B$6:$B$11,MIN(5,MATCH(MAX(Reference!$A$6,MIN(Reference!$A$11,MIN(D69,120))),Reference!$A$6:$A$11,1)))+(MAX(Reference!$A$6,MIN(Reference!$A$11,MIN(D69,120)))-INDEX(Reference!$A$6:$A$11,MIN(5,MATCH(MAX(Reference!$A$6,MIN(Reference!$A$11,MIN(D69,120))),Reference!$A$6:$A$11,1))))*(INDEX(Reference!$B$6:$B$11,MIN(5,MATCH(MAX(Reference!$A$6,MIN(Reference!$A$11,MIN(D69,120))),Reference!$A$6:$A$11,1))+1)-INDEX(Reference!$B$6:$B$11,MIN(5,MATCH(MAX(Reference!$A$6,MIN(Reference!$A$11,MIN(D69,120))),Reference!$A$6:$A$11,1))))/(INDEX(Reference!$A$6:$A$11,MIN(5,MATCH(MAX(Reference!$A$6,MIN(Reference!$A$11,MIN(D69,120))),Reference!$A$6:$A$11,1))+1)-INDEX(Reference!$A$6:$A$11,MIN(5,MATCH(MAX(Reference!$A$6,MIN(Reference!$A$11,MIN(D69,120))),Reference!$A$6:$A$11,1))))),0)+IF(3&lt;=AE69,(AE69-3+3)*(INDEX(Reference!$B$6:$B$11,MIN(5,MATCH(MAX(Reference!$A$6,MIN(Reference!$A$11,MIN(D69,150))),Reference!$A$6:$A$11,1)))+(MAX(Reference!$A$6,MIN(Reference!$A$11,MIN(D69,150)))-INDEX(Reference!$A$6:$A$11,MIN(5,MATCH(MAX(Reference!$A$6,MIN(Reference!$A$11,MIN(D69,150))),Reference!$A$6:$A$11,1))))*(INDEX(Reference!$B$6:$B$11,MIN(5,MATCH(MAX(Reference!$A$6,MIN(Reference!$A$11,MIN(D69,150))),Reference!$A$6:$A$11,1))+1)-INDEX(Reference!$B$6:$B$11,MIN(5,MATCH(MAX(Reference!$A$6,MIN(Reference!$A$11,MIN(D69,150))),Reference!$A$6:$A$11,1))))/(INDEX(Reference!$A$6:$A$11,MIN(5,MATCH(MAX(Reference!$A$6,MIN(Reference!$A$11,MIN(D69,150))),Reference!$A$6:$A$11,1))+1)-INDEX(Reference!$A$6:$A$11,MIN(5,MATCH(MAX(Reference!$A$6,MIN(Reference!$A$11,MIN(D69,150))),Reference!$A$6:$A$11,1))))),0)+IF(4&lt;=AE69,(AE69-4+3)*(INDEX(Reference!$B$6:$B$11,MIN(5,MATCH(MAX(Reference!$A$6,MIN(Reference!$A$11,MIN(D69,180))),Reference!$A$6:$A$11,1)))+(MAX(Reference!$A$6,MIN(Reference!$A$11,MIN(D69,180)))-INDEX(Reference!$A$6:$A$11,MIN(5,MATCH(MAX(Reference!$A$6,MIN(Reference!$A$11,MIN(D69,180))),Reference!$A$6:$A$11,1))))*(INDEX(Reference!$B$6:$B$11,MIN(5,MATCH(MAX(Reference!$A$6,MIN(Reference!$A$11,MIN(D69,180))),Reference!$A$6:$A$11,1))+1)-INDEX(Reference!$B$6:$B$11,MIN(5,MATCH(MAX(Reference!$A$6,MIN(Reference!$A$11,MIN(D69,180))),Reference!$A$6:$A$11,1))))/(INDEX(Reference!$A$6:$A$11,MIN(5,MATCH(MAX(Reference!$A$6,MIN(Reference!$A$11,MIN(D69,180))),Reference!$A$6:$A$11,1))+1)-INDEX(Reference!$A$6:$A$11,MIN(5,MATCH(MAX(Reference!$A$6,MIN(Reference!$A$11,MIN(D69,180))),Reference!$A$6:$A$11,1))))),0)+IF(5&lt;=AE69,(AE69-5+3)*(INDEX(Reference!$B$6:$B$11,MIN(5,MATCH(MAX(Reference!$A$6,MIN(Reference!$A$11,MIN(D69,210))),Reference!$A$6:$A$11,1)))+(MAX(Reference!$A$6,MIN(Reference!$A$11,MIN(D69,210)))-INDEX(Reference!$A$6:$A$11,MIN(5,MATCH(MAX(Reference!$A$6,MIN(Reference!$A$11,MIN(D69,210))),Reference!$A$6:$A$11,1))))*(INDEX(Reference!$B$6:$B$11,MIN(5,MATCH(MAX(Reference!$A$6,MIN(Reference!$A$11,MIN(D69,210))),Reference!$A$6:$A$11,1))+1)-INDEX(Reference!$B$6:$B$11,MIN(5,MATCH(MAX(Reference!$A$6,MIN(Reference!$A$11,MIN(D69,210))),Reference!$A$6:$A$11,1))))/(INDEX(Reference!$A$6:$A$11,MIN(5,MATCH(MAX(Reference!$A$6,MIN(Reference!$A$11,MIN(D69,210))),Reference!$A$6:$A$11,1))+1)-INDEX(Reference!$A$6:$A$11,MIN(5,MATCH(MAX(Reference!$A$6,MIN(Reference!$A$11,MIN(D69,210))),Reference!$A$6:$A$11,1))))),0)+IF(6&lt;=AE69,(AE69-6+3)*(INDEX(Reference!$B$6:$B$11,MIN(5,MATCH(MAX(Reference!$A$6,MIN(Reference!$A$11,MIN(D69,240))),Reference!$A$6:$A$11,1)))+(MAX(Reference!$A$6,MIN(Reference!$A$11,MIN(D69,240)))-INDEX(Reference!$A$6:$A$11,MIN(5,MATCH(MAX(Reference!$A$6,MIN(Reference!$A$11,MIN(D69,240))),Reference!$A$6:$A$11,1))))*(INDEX(Reference!$B$6:$B$11,MIN(5,MATCH(MAX(Reference!$A$6,MIN(Reference!$A$11,MIN(D69,240))),Reference!$A$6:$A$11,1))+1)-INDEX(Reference!$B$6:$B$11,MIN(5,MATCH(MAX(Reference!$A$6,MIN(Reference!$A$11,MIN(D69,240))),Reference!$A$6:$A$11,1))))/(INDEX(Reference!$A$6:$A$11,MIN(5,MATCH(MAX(Reference!$A$6,MIN(Reference!$A$11,MIN(D69,240))),Reference!$A$6:$A$11,1))+1)-INDEX(Reference!$A$6:$A$11,MIN(5,MATCH(MAX(Reference!$A$6,MIN(Reference!$A$11,MIN(D69,240))),Reference!$A$6:$A$11,1))))),0)+IF(7&lt;=AE69,(AE69-7+3)*(INDEX(Reference!$B$6:$B$11,MIN(5,MATCH(MAX(Reference!$A$6,MIN(Reference!$A$11,MIN(D69,270))),Reference!$A$6:$A$11,1)))+(MAX(Reference!$A$6,MIN(Reference!$A$11,MIN(D69,270)))-INDEX(Reference!$A$6:$A$11,MIN(5,MATCH(MAX(Reference!$A$6,MIN(Reference!$A$11,MIN(D69,270))),Reference!$A$6:$A$11,1))))*(INDEX(Reference!$B$6:$B$11,MIN(5,MATCH(MAX(Reference!$A$6,MIN(Reference!$A$11,MIN(D69,270))),Reference!$A$6:$A$11,1))+1)-INDEX(Reference!$B$6:$B$11,MIN(5,MATCH(MAX(Reference!$A$6,MIN(Reference!$A$11,MIN(D69,270))),Reference!$A$6:$A$11,1))))/(INDEX(Reference!$A$6:$A$11,MIN(5,MATCH(MAX(Reference!$A$6,MIN(Reference!$A$11,MIN(D69,270))),Reference!$A$6:$A$11,1))+1)-INDEX(Reference!$A$6:$A$11,MIN(5,MATCH(MAX(Reference!$A$6,MIN(Reference!$A$11,MIN(D69,270))),Reference!$A$6:$A$11,1))))),0)+IF(8&lt;=AE69,(AE69-8+3)*(INDEX(Reference!$B$6:$B$11,MIN(5,MATCH(MAX(Reference!$A$6,MIN(Reference!$A$11,MIN(D69,300))),Reference!$A$6:$A$11,1)))+(MAX(Reference!$A$6,MIN(Reference!$A$11,MIN(D69,300)))-INDEX(Reference!$A$6:$A$11,MIN(5,MATCH(MAX(Reference!$A$6,MIN(Reference!$A$11,MIN(D69,300))),Reference!$A$6:$A$11,1))))*(INDEX(Reference!$B$6:$B$11,MIN(5,MATCH(MAX(Reference!$A$6,MIN(Reference!$A$11,MIN(D69,300))),Reference!$A$6:$A$11,1))+1)-INDEX(Reference!$B$6:$B$11,MIN(5,MATCH(MAX(Reference!$A$6,MIN(Reference!$A$11,MIN(D69,300))),Reference!$A$6:$A$11,1))))/(INDEX(Reference!$A$6:$A$11,MIN(5,MATCH(MAX(Reference!$A$6,MIN(Reference!$A$11,MIN(D69,300))),Reference!$A$6:$A$11,1))+1)-INDEX(Reference!$A$6:$A$11,MIN(5,MATCH(MAX(Reference!$A$6,MIN(Reference!$A$11,MIN(D69,300))),Reference!$A$6:$A$11,1))))),0))/(AE69*(AE69+5)/2)),(INDEX(Reference!$B$6:$B$11,MIN(5,MATCH(MAX(Reference!$A$6,MIN(Reference!$A$11,D69)),Reference!$A$6:$A$11,1)))+(MAX(Reference!$A$6,MIN(Reference!$A$11,D69))-INDEX(Reference!$A$6:$A$11,MIN(5,MATCH(MAX(Reference!$A$6,MIN(Reference!$A$11,D69)),Reference!$A$6:$A$11,1))))*(INDEX(Reference!$B$6:$B$11,MIN(5,MATCH(MAX(Reference!$A$6,MIN(Reference!$A$11,D69)),Reference!$A$6:$A$11,1))+1)-INDEX(Reference!$B$6:$B$11,MIN(5,MATCH(MAX(Reference!$A$6,MIN(Reference!$A$11,D69)),Reference!$A$6:$A$11,1))))/(INDEX(Reference!$A$6:$A$11,MIN(5,MATCH(MAX(Reference!$A$6,MIN(Reference!$A$11,D69)),Reference!$A$6:$A$11,1))+1)-INDEX(Reference!$A$6:$A$11,MIN(5,MATCH(MAX(Reference!$A$6,MIN(Reference!$A$11,D69)),Reference!$A$6:$A$11,1))))))))</f>
        <v/>
      </c>
      <c r="P69" s="32" t="str">
        <f>IF(N69="","",VLOOKUP(MAX(N69,0),Reference!$A$17:$B$20,2,TRUE()))</f>
        <v/>
      </c>
      <c r="Q69" s="32" t="str">
        <f t="shared" ref="Q69:Q132" si="12">IF(AG69="","",AG69*IF(AF69="",1,AF69))</f>
        <v/>
      </c>
      <c r="R69" s="31"/>
      <c r="S69" s="31"/>
      <c r="T69" s="31"/>
      <c r="U69" s="32" t="str">
        <f t="shared" ref="U69:U132" si="13">IF(S69="","",IF(T69="",S69,AVERAGE(S69,T69)))</f>
        <v/>
      </c>
      <c r="V69" s="32" t="str">
        <f t="shared" ref="V69:V132" si="14">IF(OR(U69="",M69="",M69=0),"",M69-U69)</f>
        <v/>
      </c>
      <c r="W69" s="32" t="str">
        <f>IF(V69="","",VLOOKUP(MAX(V69,0),Reference!$A$17:$B$20,2,TRUE()))</f>
        <v/>
      </c>
      <c r="X69" s="31"/>
      <c r="Y69" s="31"/>
      <c r="Z69" s="31"/>
      <c r="AA69" s="32" t="str">
        <f t="shared" ref="AA69:AA132" si="15">IF(Y69="","",IF(Z69="",Y69,AVERAGE(Y69,Z69)))</f>
        <v/>
      </c>
      <c r="AB69" s="32" t="str">
        <f t="shared" ref="AB69:AB132" si="16">IF(OR(AA69="",M69="",M69=0),"",M69-AA69)</f>
        <v/>
      </c>
      <c r="AC69" s="32" t="str">
        <f>IF(AB69="","",VLOOKUP(MAX(AB69,0),Reference!$A$17:$B$20,2,TRUE()))</f>
        <v/>
      </c>
      <c r="AD69" s="31"/>
      <c r="AE69">
        <f t="shared" ref="AE69:AE132" si="17">IF(AND(C69="Long Toss",N(D69)&gt;90),1+ROUNDUP((D69-90)/30,0),1)</f>
        <v>1</v>
      </c>
      <c r="AF69" s="33" t="str">
        <f>IF(OR(A69="",B69="",AND(C69&lt;&gt;"Bullpen",C69&lt;&gt;"Game")),"",IF((COUNTIFS($B$5:$B$300,B69,$A$5:$A$300,A69-1,$C$5:$C$300,"Bullpen",$AG$5:$AG$300,"&gt;0") + COUNTIFS($B$5:$B$300,B69,$A$5:$A$300,A69-1,$C$5:$C$300,"Game",$AG$5:$AG$300,"&gt;0"))&gt;0,Reference!$B$119,IF((COUNTIFS($B$5:$B$300,B69,$A$5:$A$300,A69-2,$C$5:$C$300,"Bullpen",$AG$5:$AG$300,"&gt;0") + COUNTIFS($B$5:$B$300,B69,$A$5:$A$300,A69-2,$C$5:$C$300,"Game",$AG$5:$AG$300,"&gt;0"))&gt;0,Reference!$B$120,1)))</f>
        <v/>
      </c>
      <c r="AG69" s="30" t="str">
        <f>IF(AND(OR(I69="",O69="",P69=""),OR(R69="",W69=""),OR(X69="",AC69="")),"",IF(OR(I69="",O69="",P69=""),0,I69*O69*P69)+IF(OR(R69="",W69=""),0,R69*IFERROR(INDEX(Reference!$B$61:$B$62,MATCH("Bullpen",Reference!$A$61:$A$62,0)),0)*W69)+IF(OR(X69="",AC69=""),0,X69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69))</f>
        <v/>
      </c>
    </row>
    <row r="70" spans="1:33" x14ac:dyDescent="0.3">
      <c r="A70" s="35"/>
      <c r="B70" s="31"/>
      <c r="C70" s="31"/>
      <c r="D70" s="31"/>
      <c r="E70" s="34"/>
      <c r="F70" s="34"/>
      <c r="G70" s="30" t="str">
        <f t="shared" si="9"/>
        <v/>
      </c>
      <c r="H70" s="31"/>
      <c r="I70" s="32" t="str">
        <f>IF(H70&lt;&gt;"",H70,IF(G70="","",ROUND(G70*IFERROR(INDEX(Reference!$B$44:$B$50,MATCH(C70,Reference!$A$44:$A$50,0)),0),0)))</f>
        <v/>
      </c>
      <c r="J70" s="31"/>
      <c r="K70" s="31"/>
      <c r="L70" s="32" t="str">
        <f t="shared" si="10"/>
        <v/>
      </c>
      <c r="M70" s="32" t="str">
        <f>IFERROR(INDEX(Roster!$D$5:$D$40,MATCH(B70,Roster!$A$5:$A$40,0)),"")</f>
        <v/>
      </c>
      <c r="N70" s="32" t="str">
        <f t="shared" si="11"/>
        <v/>
      </c>
      <c r="O70" s="32" t="str">
        <f>IF(OR(C70="Bullpen",C70="Game"),IFERROR(INDEX(Reference!$B$61:$B$62,MATCH(C70,Reference!$A$61:$A$62,0)),""),IF(D70="","",IF(AE70&gt;1,((IF(1&lt;=AE70,(AE70-1+3)*(INDEX(Reference!$B$6:$B$11,MIN(5,MATCH(MAX(Reference!$A$6,MIN(Reference!$A$11,MIN(D70,90))),Reference!$A$6:$A$11,1)))+(MAX(Reference!$A$6,MIN(Reference!$A$11,MIN(D70,90)))-INDEX(Reference!$A$6:$A$11,MIN(5,MATCH(MAX(Reference!$A$6,MIN(Reference!$A$11,MIN(D70,90))),Reference!$A$6:$A$11,1))))*(INDEX(Reference!$B$6:$B$11,MIN(5,MATCH(MAX(Reference!$A$6,MIN(Reference!$A$11,MIN(D70,90))),Reference!$A$6:$A$11,1))+1)-INDEX(Reference!$B$6:$B$11,MIN(5,MATCH(MAX(Reference!$A$6,MIN(Reference!$A$11,MIN(D70,90))),Reference!$A$6:$A$11,1))))/(INDEX(Reference!$A$6:$A$11,MIN(5,MATCH(MAX(Reference!$A$6,MIN(Reference!$A$11,MIN(D70,90))),Reference!$A$6:$A$11,1))+1)-INDEX(Reference!$A$6:$A$11,MIN(5,MATCH(MAX(Reference!$A$6,MIN(Reference!$A$11,MIN(D70,90))),Reference!$A$6:$A$11,1))))),0)+IF(2&lt;=AE70,(AE70-2+3)*(INDEX(Reference!$B$6:$B$11,MIN(5,MATCH(MAX(Reference!$A$6,MIN(Reference!$A$11,MIN(D70,120))),Reference!$A$6:$A$11,1)))+(MAX(Reference!$A$6,MIN(Reference!$A$11,MIN(D70,120)))-INDEX(Reference!$A$6:$A$11,MIN(5,MATCH(MAX(Reference!$A$6,MIN(Reference!$A$11,MIN(D70,120))),Reference!$A$6:$A$11,1))))*(INDEX(Reference!$B$6:$B$11,MIN(5,MATCH(MAX(Reference!$A$6,MIN(Reference!$A$11,MIN(D70,120))),Reference!$A$6:$A$11,1))+1)-INDEX(Reference!$B$6:$B$11,MIN(5,MATCH(MAX(Reference!$A$6,MIN(Reference!$A$11,MIN(D70,120))),Reference!$A$6:$A$11,1))))/(INDEX(Reference!$A$6:$A$11,MIN(5,MATCH(MAX(Reference!$A$6,MIN(Reference!$A$11,MIN(D70,120))),Reference!$A$6:$A$11,1))+1)-INDEX(Reference!$A$6:$A$11,MIN(5,MATCH(MAX(Reference!$A$6,MIN(Reference!$A$11,MIN(D70,120))),Reference!$A$6:$A$11,1))))),0)+IF(3&lt;=AE70,(AE70-3+3)*(INDEX(Reference!$B$6:$B$11,MIN(5,MATCH(MAX(Reference!$A$6,MIN(Reference!$A$11,MIN(D70,150))),Reference!$A$6:$A$11,1)))+(MAX(Reference!$A$6,MIN(Reference!$A$11,MIN(D70,150)))-INDEX(Reference!$A$6:$A$11,MIN(5,MATCH(MAX(Reference!$A$6,MIN(Reference!$A$11,MIN(D70,150))),Reference!$A$6:$A$11,1))))*(INDEX(Reference!$B$6:$B$11,MIN(5,MATCH(MAX(Reference!$A$6,MIN(Reference!$A$11,MIN(D70,150))),Reference!$A$6:$A$11,1))+1)-INDEX(Reference!$B$6:$B$11,MIN(5,MATCH(MAX(Reference!$A$6,MIN(Reference!$A$11,MIN(D70,150))),Reference!$A$6:$A$11,1))))/(INDEX(Reference!$A$6:$A$11,MIN(5,MATCH(MAX(Reference!$A$6,MIN(Reference!$A$11,MIN(D70,150))),Reference!$A$6:$A$11,1))+1)-INDEX(Reference!$A$6:$A$11,MIN(5,MATCH(MAX(Reference!$A$6,MIN(Reference!$A$11,MIN(D70,150))),Reference!$A$6:$A$11,1))))),0)+IF(4&lt;=AE70,(AE70-4+3)*(INDEX(Reference!$B$6:$B$11,MIN(5,MATCH(MAX(Reference!$A$6,MIN(Reference!$A$11,MIN(D70,180))),Reference!$A$6:$A$11,1)))+(MAX(Reference!$A$6,MIN(Reference!$A$11,MIN(D70,180)))-INDEX(Reference!$A$6:$A$11,MIN(5,MATCH(MAX(Reference!$A$6,MIN(Reference!$A$11,MIN(D70,180))),Reference!$A$6:$A$11,1))))*(INDEX(Reference!$B$6:$B$11,MIN(5,MATCH(MAX(Reference!$A$6,MIN(Reference!$A$11,MIN(D70,180))),Reference!$A$6:$A$11,1))+1)-INDEX(Reference!$B$6:$B$11,MIN(5,MATCH(MAX(Reference!$A$6,MIN(Reference!$A$11,MIN(D70,180))),Reference!$A$6:$A$11,1))))/(INDEX(Reference!$A$6:$A$11,MIN(5,MATCH(MAX(Reference!$A$6,MIN(Reference!$A$11,MIN(D70,180))),Reference!$A$6:$A$11,1))+1)-INDEX(Reference!$A$6:$A$11,MIN(5,MATCH(MAX(Reference!$A$6,MIN(Reference!$A$11,MIN(D70,180))),Reference!$A$6:$A$11,1))))),0)+IF(5&lt;=AE70,(AE70-5+3)*(INDEX(Reference!$B$6:$B$11,MIN(5,MATCH(MAX(Reference!$A$6,MIN(Reference!$A$11,MIN(D70,210))),Reference!$A$6:$A$11,1)))+(MAX(Reference!$A$6,MIN(Reference!$A$11,MIN(D70,210)))-INDEX(Reference!$A$6:$A$11,MIN(5,MATCH(MAX(Reference!$A$6,MIN(Reference!$A$11,MIN(D70,210))),Reference!$A$6:$A$11,1))))*(INDEX(Reference!$B$6:$B$11,MIN(5,MATCH(MAX(Reference!$A$6,MIN(Reference!$A$11,MIN(D70,210))),Reference!$A$6:$A$11,1))+1)-INDEX(Reference!$B$6:$B$11,MIN(5,MATCH(MAX(Reference!$A$6,MIN(Reference!$A$11,MIN(D70,210))),Reference!$A$6:$A$11,1))))/(INDEX(Reference!$A$6:$A$11,MIN(5,MATCH(MAX(Reference!$A$6,MIN(Reference!$A$11,MIN(D70,210))),Reference!$A$6:$A$11,1))+1)-INDEX(Reference!$A$6:$A$11,MIN(5,MATCH(MAX(Reference!$A$6,MIN(Reference!$A$11,MIN(D70,210))),Reference!$A$6:$A$11,1))))),0)+IF(6&lt;=AE70,(AE70-6+3)*(INDEX(Reference!$B$6:$B$11,MIN(5,MATCH(MAX(Reference!$A$6,MIN(Reference!$A$11,MIN(D70,240))),Reference!$A$6:$A$11,1)))+(MAX(Reference!$A$6,MIN(Reference!$A$11,MIN(D70,240)))-INDEX(Reference!$A$6:$A$11,MIN(5,MATCH(MAX(Reference!$A$6,MIN(Reference!$A$11,MIN(D70,240))),Reference!$A$6:$A$11,1))))*(INDEX(Reference!$B$6:$B$11,MIN(5,MATCH(MAX(Reference!$A$6,MIN(Reference!$A$11,MIN(D70,240))),Reference!$A$6:$A$11,1))+1)-INDEX(Reference!$B$6:$B$11,MIN(5,MATCH(MAX(Reference!$A$6,MIN(Reference!$A$11,MIN(D70,240))),Reference!$A$6:$A$11,1))))/(INDEX(Reference!$A$6:$A$11,MIN(5,MATCH(MAX(Reference!$A$6,MIN(Reference!$A$11,MIN(D70,240))),Reference!$A$6:$A$11,1))+1)-INDEX(Reference!$A$6:$A$11,MIN(5,MATCH(MAX(Reference!$A$6,MIN(Reference!$A$11,MIN(D70,240))),Reference!$A$6:$A$11,1))))),0)+IF(7&lt;=AE70,(AE70-7+3)*(INDEX(Reference!$B$6:$B$11,MIN(5,MATCH(MAX(Reference!$A$6,MIN(Reference!$A$11,MIN(D70,270))),Reference!$A$6:$A$11,1)))+(MAX(Reference!$A$6,MIN(Reference!$A$11,MIN(D70,270)))-INDEX(Reference!$A$6:$A$11,MIN(5,MATCH(MAX(Reference!$A$6,MIN(Reference!$A$11,MIN(D70,270))),Reference!$A$6:$A$11,1))))*(INDEX(Reference!$B$6:$B$11,MIN(5,MATCH(MAX(Reference!$A$6,MIN(Reference!$A$11,MIN(D70,270))),Reference!$A$6:$A$11,1))+1)-INDEX(Reference!$B$6:$B$11,MIN(5,MATCH(MAX(Reference!$A$6,MIN(Reference!$A$11,MIN(D70,270))),Reference!$A$6:$A$11,1))))/(INDEX(Reference!$A$6:$A$11,MIN(5,MATCH(MAX(Reference!$A$6,MIN(Reference!$A$11,MIN(D70,270))),Reference!$A$6:$A$11,1))+1)-INDEX(Reference!$A$6:$A$11,MIN(5,MATCH(MAX(Reference!$A$6,MIN(Reference!$A$11,MIN(D70,270))),Reference!$A$6:$A$11,1))))),0)+IF(8&lt;=AE70,(AE70-8+3)*(INDEX(Reference!$B$6:$B$11,MIN(5,MATCH(MAX(Reference!$A$6,MIN(Reference!$A$11,MIN(D70,300))),Reference!$A$6:$A$11,1)))+(MAX(Reference!$A$6,MIN(Reference!$A$11,MIN(D70,300)))-INDEX(Reference!$A$6:$A$11,MIN(5,MATCH(MAX(Reference!$A$6,MIN(Reference!$A$11,MIN(D70,300))),Reference!$A$6:$A$11,1))))*(INDEX(Reference!$B$6:$B$11,MIN(5,MATCH(MAX(Reference!$A$6,MIN(Reference!$A$11,MIN(D70,300))),Reference!$A$6:$A$11,1))+1)-INDEX(Reference!$B$6:$B$11,MIN(5,MATCH(MAX(Reference!$A$6,MIN(Reference!$A$11,MIN(D70,300))),Reference!$A$6:$A$11,1))))/(INDEX(Reference!$A$6:$A$11,MIN(5,MATCH(MAX(Reference!$A$6,MIN(Reference!$A$11,MIN(D70,300))),Reference!$A$6:$A$11,1))+1)-INDEX(Reference!$A$6:$A$11,MIN(5,MATCH(MAX(Reference!$A$6,MIN(Reference!$A$11,MIN(D70,300))),Reference!$A$6:$A$11,1))))),0))/(AE70*(AE70+5)/2)),(INDEX(Reference!$B$6:$B$11,MIN(5,MATCH(MAX(Reference!$A$6,MIN(Reference!$A$11,D70)),Reference!$A$6:$A$11,1)))+(MAX(Reference!$A$6,MIN(Reference!$A$11,D70))-INDEX(Reference!$A$6:$A$11,MIN(5,MATCH(MAX(Reference!$A$6,MIN(Reference!$A$11,D70)),Reference!$A$6:$A$11,1))))*(INDEX(Reference!$B$6:$B$11,MIN(5,MATCH(MAX(Reference!$A$6,MIN(Reference!$A$11,D70)),Reference!$A$6:$A$11,1))+1)-INDEX(Reference!$B$6:$B$11,MIN(5,MATCH(MAX(Reference!$A$6,MIN(Reference!$A$11,D70)),Reference!$A$6:$A$11,1))))/(INDEX(Reference!$A$6:$A$11,MIN(5,MATCH(MAX(Reference!$A$6,MIN(Reference!$A$11,D70)),Reference!$A$6:$A$11,1))+1)-INDEX(Reference!$A$6:$A$11,MIN(5,MATCH(MAX(Reference!$A$6,MIN(Reference!$A$11,D70)),Reference!$A$6:$A$11,1))))))))</f>
        <v/>
      </c>
      <c r="P70" s="32" t="str">
        <f>IF(N70="","",VLOOKUP(MAX(N70,0),Reference!$A$17:$B$20,2,TRUE()))</f>
        <v/>
      </c>
      <c r="Q70" s="32" t="str">
        <f t="shared" si="12"/>
        <v/>
      </c>
      <c r="R70" s="31"/>
      <c r="S70" s="31"/>
      <c r="T70" s="31"/>
      <c r="U70" s="32" t="str">
        <f t="shared" si="13"/>
        <v/>
      </c>
      <c r="V70" s="32" t="str">
        <f t="shared" si="14"/>
        <v/>
      </c>
      <c r="W70" s="32" t="str">
        <f>IF(V70="","",VLOOKUP(MAX(V70,0),Reference!$A$17:$B$20,2,TRUE()))</f>
        <v/>
      </c>
      <c r="X70" s="31"/>
      <c r="Y70" s="31"/>
      <c r="Z70" s="31"/>
      <c r="AA70" s="32" t="str">
        <f t="shared" si="15"/>
        <v/>
      </c>
      <c r="AB70" s="32" t="str">
        <f t="shared" si="16"/>
        <v/>
      </c>
      <c r="AC70" s="32" t="str">
        <f>IF(AB70="","",VLOOKUP(MAX(AB70,0),Reference!$A$17:$B$20,2,TRUE()))</f>
        <v/>
      </c>
      <c r="AD70" s="31"/>
      <c r="AE70">
        <f t="shared" si="17"/>
        <v>1</v>
      </c>
      <c r="AF70" s="33" t="str">
        <f>IF(OR(A70="",B70="",AND(C70&lt;&gt;"Bullpen",C70&lt;&gt;"Game")),"",IF((COUNTIFS($B$5:$B$300,B70,$A$5:$A$300,A70-1,$C$5:$C$300,"Bullpen",$AG$5:$AG$300,"&gt;0") + COUNTIFS($B$5:$B$300,B70,$A$5:$A$300,A70-1,$C$5:$C$300,"Game",$AG$5:$AG$300,"&gt;0"))&gt;0,Reference!$B$119,IF((COUNTIFS($B$5:$B$300,B70,$A$5:$A$300,A70-2,$C$5:$C$300,"Bullpen",$AG$5:$AG$300,"&gt;0") + COUNTIFS($B$5:$B$300,B70,$A$5:$A$300,A70-2,$C$5:$C$300,"Game",$AG$5:$AG$300,"&gt;0"))&gt;0,Reference!$B$120,1)))</f>
        <v/>
      </c>
      <c r="AG70" s="30" t="str">
        <f>IF(AND(OR(I70="",O70="",P70=""),OR(R70="",W70=""),OR(X70="",AC70="")),"",IF(OR(I70="",O70="",P70=""),0,I70*O70*P70)+IF(OR(R70="",W70=""),0,R70*IFERROR(INDEX(Reference!$B$61:$B$62,MATCH("Bullpen",Reference!$A$61:$A$62,0)),0)*W70)+IF(OR(X70="",AC70=""),0,X70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70))</f>
        <v/>
      </c>
    </row>
    <row r="71" spans="1:33" x14ac:dyDescent="0.3">
      <c r="A71" s="35"/>
      <c r="B71" s="31"/>
      <c r="C71" s="31"/>
      <c r="D71" s="31"/>
      <c r="E71" s="34"/>
      <c r="F71" s="34"/>
      <c r="G71" s="30" t="str">
        <f t="shared" si="9"/>
        <v/>
      </c>
      <c r="H71" s="31"/>
      <c r="I71" s="32" t="str">
        <f>IF(H71&lt;&gt;"",H71,IF(G71="","",ROUND(G71*IFERROR(INDEX(Reference!$B$44:$B$50,MATCH(C71,Reference!$A$44:$A$50,0)),0),0)))</f>
        <v/>
      </c>
      <c r="J71" s="31"/>
      <c r="K71" s="31"/>
      <c r="L71" s="32" t="str">
        <f t="shared" si="10"/>
        <v/>
      </c>
      <c r="M71" s="32" t="str">
        <f>IFERROR(INDEX(Roster!$D$5:$D$40,MATCH(B71,Roster!$A$5:$A$40,0)),"")</f>
        <v/>
      </c>
      <c r="N71" s="32" t="str">
        <f t="shared" si="11"/>
        <v/>
      </c>
      <c r="O71" s="32" t="str">
        <f>IF(OR(C71="Bullpen",C71="Game"),IFERROR(INDEX(Reference!$B$61:$B$62,MATCH(C71,Reference!$A$61:$A$62,0)),""),IF(D71="","",IF(AE71&gt;1,((IF(1&lt;=AE71,(AE71-1+3)*(INDEX(Reference!$B$6:$B$11,MIN(5,MATCH(MAX(Reference!$A$6,MIN(Reference!$A$11,MIN(D71,90))),Reference!$A$6:$A$11,1)))+(MAX(Reference!$A$6,MIN(Reference!$A$11,MIN(D71,90)))-INDEX(Reference!$A$6:$A$11,MIN(5,MATCH(MAX(Reference!$A$6,MIN(Reference!$A$11,MIN(D71,90))),Reference!$A$6:$A$11,1))))*(INDEX(Reference!$B$6:$B$11,MIN(5,MATCH(MAX(Reference!$A$6,MIN(Reference!$A$11,MIN(D71,90))),Reference!$A$6:$A$11,1))+1)-INDEX(Reference!$B$6:$B$11,MIN(5,MATCH(MAX(Reference!$A$6,MIN(Reference!$A$11,MIN(D71,90))),Reference!$A$6:$A$11,1))))/(INDEX(Reference!$A$6:$A$11,MIN(5,MATCH(MAX(Reference!$A$6,MIN(Reference!$A$11,MIN(D71,90))),Reference!$A$6:$A$11,1))+1)-INDEX(Reference!$A$6:$A$11,MIN(5,MATCH(MAX(Reference!$A$6,MIN(Reference!$A$11,MIN(D71,90))),Reference!$A$6:$A$11,1))))),0)+IF(2&lt;=AE71,(AE71-2+3)*(INDEX(Reference!$B$6:$B$11,MIN(5,MATCH(MAX(Reference!$A$6,MIN(Reference!$A$11,MIN(D71,120))),Reference!$A$6:$A$11,1)))+(MAX(Reference!$A$6,MIN(Reference!$A$11,MIN(D71,120)))-INDEX(Reference!$A$6:$A$11,MIN(5,MATCH(MAX(Reference!$A$6,MIN(Reference!$A$11,MIN(D71,120))),Reference!$A$6:$A$11,1))))*(INDEX(Reference!$B$6:$B$11,MIN(5,MATCH(MAX(Reference!$A$6,MIN(Reference!$A$11,MIN(D71,120))),Reference!$A$6:$A$11,1))+1)-INDEX(Reference!$B$6:$B$11,MIN(5,MATCH(MAX(Reference!$A$6,MIN(Reference!$A$11,MIN(D71,120))),Reference!$A$6:$A$11,1))))/(INDEX(Reference!$A$6:$A$11,MIN(5,MATCH(MAX(Reference!$A$6,MIN(Reference!$A$11,MIN(D71,120))),Reference!$A$6:$A$11,1))+1)-INDEX(Reference!$A$6:$A$11,MIN(5,MATCH(MAX(Reference!$A$6,MIN(Reference!$A$11,MIN(D71,120))),Reference!$A$6:$A$11,1))))),0)+IF(3&lt;=AE71,(AE71-3+3)*(INDEX(Reference!$B$6:$B$11,MIN(5,MATCH(MAX(Reference!$A$6,MIN(Reference!$A$11,MIN(D71,150))),Reference!$A$6:$A$11,1)))+(MAX(Reference!$A$6,MIN(Reference!$A$11,MIN(D71,150)))-INDEX(Reference!$A$6:$A$11,MIN(5,MATCH(MAX(Reference!$A$6,MIN(Reference!$A$11,MIN(D71,150))),Reference!$A$6:$A$11,1))))*(INDEX(Reference!$B$6:$B$11,MIN(5,MATCH(MAX(Reference!$A$6,MIN(Reference!$A$11,MIN(D71,150))),Reference!$A$6:$A$11,1))+1)-INDEX(Reference!$B$6:$B$11,MIN(5,MATCH(MAX(Reference!$A$6,MIN(Reference!$A$11,MIN(D71,150))),Reference!$A$6:$A$11,1))))/(INDEX(Reference!$A$6:$A$11,MIN(5,MATCH(MAX(Reference!$A$6,MIN(Reference!$A$11,MIN(D71,150))),Reference!$A$6:$A$11,1))+1)-INDEX(Reference!$A$6:$A$11,MIN(5,MATCH(MAX(Reference!$A$6,MIN(Reference!$A$11,MIN(D71,150))),Reference!$A$6:$A$11,1))))),0)+IF(4&lt;=AE71,(AE71-4+3)*(INDEX(Reference!$B$6:$B$11,MIN(5,MATCH(MAX(Reference!$A$6,MIN(Reference!$A$11,MIN(D71,180))),Reference!$A$6:$A$11,1)))+(MAX(Reference!$A$6,MIN(Reference!$A$11,MIN(D71,180)))-INDEX(Reference!$A$6:$A$11,MIN(5,MATCH(MAX(Reference!$A$6,MIN(Reference!$A$11,MIN(D71,180))),Reference!$A$6:$A$11,1))))*(INDEX(Reference!$B$6:$B$11,MIN(5,MATCH(MAX(Reference!$A$6,MIN(Reference!$A$11,MIN(D71,180))),Reference!$A$6:$A$11,1))+1)-INDEX(Reference!$B$6:$B$11,MIN(5,MATCH(MAX(Reference!$A$6,MIN(Reference!$A$11,MIN(D71,180))),Reference!$A$6:$A$11,1))))/(INDEX(Reference!$A$6:$A$11,MIN(5,MATCH(MAX(Reference!$A$6,MIN(Reference!$A$11,MIN(D71,180))),Reference!$A$6:$A$11,1))+1)-INDEX(Reference!$A$6:$A$11,MIN(5,MATCH(MAX(Reference!$A$6,MIN(Reference!$A$11,MIN(D71,180))),Reference!$A$6:$A$11,1))))),0)+IF(5&lt;=AE71,(AE71-5+3)*(INDEX(Reference!$B$6:$B$11,MIN(5,MATCH(MAX(Reference!$A$6,MIN(Reference!$A$11,MIN(D71,210))),Reference!$A$6:$A$11,1)))+(MAX(Reference!$A$6,MIN(Reference!$A$11,MIN(D71,210)))-INDEX(Reference!$A$6:$A$11,MIN(5,MATCH(MAX(Reference!$A$6,MIN(Reference!$A$11,MIN(D71,210))),Reference!$A$6:$A$11,1))))*(INDEX(Reference!$B$6:$B$11,MIN(5,MATCH(MAX(Reference!$A$6,MIN(Reference!$A$11,MIN(D71,210))),Reference!$A$6:$A$11,1))+1)-INDEX(Reference!$B$6:$B$11,MIN(5,MATCH(MAX(Reference!$A$6,MIN(Reference!$A$11,MIN(D71,210))),Reference!$A$6:$A$11,1))))/(INDEX(Reference!$A$6:$A$11,MIN(5,MATCH(MAX(Reference!$A$6,MIN(Reference!$A$11,MIN(D71,210))),Reference!$A$6:$A$11,1))+1)-INDEX(Reference!$A$6:$A$11,MIN(5,MATCH(MAX(Reference!$A$6,MIN(Reference!$A$11,MIN(D71,210))),Reference!$A$6:$A$11,1))))),0)+IF(6&lt;=AE71,(AE71-6+3)*(INDEX(Reference!$B$6:$B$11,MIN(5,MATCH(MAX(Reference!$A$6,MIN(Reference!$A$11,MIN(D71,240))),Reference!$A$6:$A$11,1)))+(MAX(Reference!$A$6,MIN(Reference!$A$11,MIN(D71,240)))-INDEX(Reference!$A$6:$A$11,MIN(5,MATCH(MAX(Reference!$A$6,MIN(Reference!$A$11,MIN(D71,240))),Reference!$A$6:$A$11,1))))*(INDEX(Reference!$B$6:$B$11,MIN(5,MATCH(MAX(Reference!$A$6,MIN(Reference!$A$11,MIN(D71,240))),Reference!$A$6:$A$11,1))+1)-INDEX(Reference!$B$6:$B$11,MIN(5,MATCH(MAX(Reference!$A$6,MIN(Reference!$A$11,MIN(D71,240))),Reference!$A$6:$A$11,1))))/(INDEX(Reference!$A$6:$A$11,MIN(5,MATCH(MAX(Reference!$A$6,MIN(Reference!$A$11,MIN(D71,240))),Reference!$A$6:$A$11,1))+1)-INDEX(Reference!$A$6:$A$11,MIN(5,MATCH(MAX(Reference!$A$6,MIN(Reference!$A$11,MIN(D71,240))),Reference!$A$6:$A$11,1))))),0)+IF(7&lt;=AE71,(AE71-7+3)*(INDEX(Reference!$B$6:$B$11,MIN(5,MATCH(MAX(Reference!$A$6,MIN(Reference!$A$11,MIN(D71,270))),Reference!$A$6:$A$11,1)))+(MAX(Reference!$A$6,MIN(Reference!$A$11,MIN(D71,270)))-INDEX(Reference!$A$6:$A$11,MIN(5,MATCH(MAX(Reference!$A$6,MIN(Reference!$A$11,MIN(D71,270))),Reference!$A$6:$A$11,1))))*(INDEX(Reference!$B$6:$B$11,MIN(5,MATCH(MAX(Reference!$A$6,MIN(Reference!$A$11,MIN(D71,270))),Reference!$A$6:$A$11,1))+1)-INDEX(Reference!$B$6:$B$11,MIN(5,MATCH(MAX(Reference!$A$6,MIN(Reference!$A$11,MIN(D71,270))),Reference!$A$6:$A$11,1))))/(INDEX(Reference!$A$6:$A$11,MIN(5,MATCH(MAX(Reference!$A$6,MIN(Reference!$A$11,MIN(D71,270))),Reference!$A$6:$A$11,1))+1)-INDEX(Reference!$A$6:$A$11,MIN(5,MATCH(MAX(Reference!$A$6,MIN(Reference!$A$11,MIN(D71,270))),Reference!$A$6:$A$11,1))))),0)+IF(8&lt;=AE71,(AE71-8+3)*(INDEX(Reference!$B$6:$B$11,MIN(5,MATCH(MAX(Reference!$A$6,MIN(Reference!$A$11,MIN(D71,300))),Reference!$A$6:$A$11,1)))+(MAX(Reference!$A$6,MIN(Reference!$A$11,MIN(D71,300)))-INDEX(Reference!$A$6:$A$11,MIN(5,MATCH(MAX(Reference!$A$6,MIN(Reference!$A$11,MIN(D71,300))),Reference!$A$6:$A$11,1))))*(INDEX(Reference!$B$6:$B$11,MIN(5,MATCH(MAX(Reference!$A$6,MIN(Reference!$A$11,MIN(D71,300))),Reference!$A$6:$A$11,1))+1)-INDEX(Reference!$B$6:$B$11,MIN(5,MATCH(MAX(Reference!$A$6,MIN(Reference!$A$11,MIN(D71,300))),Reference!$A$6:$A$11,1))))/(INDEX(Reference!$A$6:$A$11,MIN(5,MATCH(MAX(Reference!$A$6,MIN(Reference!$A$11,MIN(D71,300))),Reference!$A$6:$A$11,1))+1)-INDEX(Reference!$A$6:$A$11,MIN(5,MATCH(MAX(Reference!$A$6,MIN(Reference!$A$11,MIN(D71,300))),Reference!$A$6:$A$11,1))))),0))/(AE71*(AE71+5)/2)),(INDEX(Reference!$B$6:$B$11,MIN(5,MATCH(MAX(Reference!$A$6,MIN(Reference!$A$11,D71)),Reference!$A$6:$A$11,1)))+(MAX(Reference!$A$6,MIN(Reference!$A$11,D71))-INDEX(Reference!$A$6:$A$11,MIN(5,MATCH(MAX(Reference!$A$6,MIN(Reference!$A$11,D71)),Reference!$A$6:$A$11,1))))*(INDEX(Reference!$B$6:$B$11,MIN(5,MATCH(MAX(Reference!$A$6,MIN(Reference!$A$11,D71)),Reference!$A$6:$A$11,1))+1)-INDEX(Reference!$B$6:$B$11,MIN(5,MATCH(MAX(Reference!$A$6,MIN(Reference!$A$11,D71)),Reference!$A$6:$A$11,1))))/(INDEX(Reference!$A$6:$A$11,MIN(5,MATCH(MAX(Reference!$A$6,MIN(Reference!$A$11,D71)),Reference!$A$6:$A$11,1))+1)-INDEX(Reference!$A$6:$A$11,MIN(5,MATCH(MAX(Reference!$A$6,MIN(Reference!$A$11,D71)),Reference!$A$6:$A$11,1))))))))</f>
        <v/>
      </c>
      <c r="P71" s="32" t="str">
        <f>IF(N71="","",VLOOKUP(MAX(N71,0),Reference!$A$17:$B$20,2,TRUE()))</f>
        <v/>
      </c>
      <c r="Q71" s="32" t="str">
        <f t="shared" si="12"/>
        <v/>
      </c>
      <c r="R71" s="31"/>
      <c r="S71" s="31"/>
      <c r="T71" s="31"/>
      <c r="U71" s="32" t="str">
        <f t="shared" si="13"/>
        <v/>
      </c>
      <c r="V71" s="32" t="str">
        <f t="shared" si="14"/>
        <v/>
      </c>
      <c r="W71" s="32" t="str">
        <f>IF(V71="","",VLOOKUP(MAX(V71,0),Reference!$A$17:$B$20,2,TRUE()))</f>
        <v/>
      </c>
      <c r="X71" s="31"/>
      <c r="Y71" s="31"/>
      <c r="Z71" s="31"/>
      <c r="AA71" s="32" t="str">
        <f t="shared" si="15"/>
        <v/>
      </c>
      <c r="AB71" s="32" t="str">
        <f t="shared" si="16"/>
        <v/>
      </c>
      <c r="AC71" s="32" t="str">
        <f>IF(AB71="","",VLOOKUP(MAX(AB71,0),Reference!$A$17:$B$20,2,TRUE()))</f>
        <v/>
      </c>
      <c r="AD71" s="31"/>
      <c r="AE71">
        <f t="shared" si="17"/>
        <v>1</v>
      </c>
      <c r="AF71" s="33" t="str">
        <f>IF(OR(A71="",B71="",AND(C71&lt;&gt;"Bullpen",C71&lt;&gt;"Game")),"",IF((COUNTIFS($B$5:$B$300,B71,$A$5:$A$300,A71-1,$C$5:$C$300,"Bullpen",$AG$5:$AG$300,"&gt;0") + COUNTIFS($B$5:$B$300,B71,$A$5:$A$300,A71-1,$C$5:$C$300,"Game",$AG$5:$AG$300,"&gt;0"))&gt;0,Reference!$B$119,IF((COUNTIFS($B$5:$B$300,B71,$A$5:$A$300,A71-2,$C$5:$C$300,"Bullpen",$AG$5:$AG$300,"&gt;0") + COUNTIFS($B$5:$B$300,B71,$A$5:$A$300,A71-2,$C$5:$C$300,"Game",$AG$5:$AG$300,"&gt;0"))&gt;0,Reference!$B$120,1)))</f>
        <v/>
      </c>
      <c r="AG71" s="30" t="str">
        <f>IF(AND(OR(I71="",O71="",P71=""),OR(R71="",W71=""),OR(X71="",AC71="")),"",IF(OR(I71="",O71="",P71=""),0,I71*O71*P71)+IF(OR(R71="",W71=""),0,R71*IFERROR(INDEX(Reference!$B$61:$B$62,MATCH("Bullpen",Reference!$A$61:$A$62,0)),0)*W71)+IF(OR(X71="",AC71=""),0,X71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71))</f>
        <v/>
      </c>
    </row>
    <row r="72" spans="1:33" x14ac:dyDescent="0.3">
      <c r="A72" s="35"/>
      <c r="B72" s="31"/>
      <c r="C72" s="31"/>
      <c r="D72" s="31"/>
      <c r="E72" s="34"/>
      <c r="F72" s="34"/>
      <c r="G72" s="30" t="str">
        <f t="shared" si="9"/>
        <v/>
      </c>
      <c r="H72" s="31"/>
      <c r="I72" s="32" t="str">
        <f>IF(H72&lt;&gt;"",H72,IF(G72="","",ROUND(G72*IFERROR(INDEX(Reference!$B$44:$B$50,MATCH(C72,Reference!$A$44:$A$50,0)),0),0)))</f>
        <v/>
      </c>
      <c r="J72" s="31"/>
      <c r="K72" s="31"/>
      <c r="L72" s="32" t="str">
        <f t="shared" si="10"/>
        <v/>
      </c>
      <c r="M72" s="32" t="str">
        <f>IFERROR(INDEX(Roster!$D$5:$D$40,MATCH(B72,Roster!$A$5:$A$40,0)),"")</f>
        <v/>
      </c>
      <c r="N72" s="32" t="str">
        <f t="shared" si="11"/>
        <v/>
      </c>
      <c r="O72" s="32" t="str">
        <f>IF(OR(C72="Bullpen",C72="Game"),IFERROR(INDEX(Reference!$B$61:$B$62,MATCH(C72,Reference!$A$61:$A$62,0)),""),IF(D72="","",IF(AE72&gt;1,((IF(1&lt;=AE72,(AE72-1+3)*(INDEX(Reference!$B$6:$B$11,MIN(5,MATCH(MAX(Reference!$A$6,MIN(Reference!$A$11,MIN(D72,90))),Reference!$A$6:$A$11,1)))+(MAX(Reference!$A$6,MIN(Reference!$A$11,MIN(D72,90)))-INDEX(Reference!$A$6:$A$11,MIN(5,MATCH(MAX(Reference!$A$6,MIN(Reference!$A$11,MIN(D72,90))),Reference!$A$6:$A$11,1))))*(INDEX(Reference!$B$6:$B$11,MIN(5,MATCH(MAX(Reference!$A$6,MIN(Reference!$A$11,MIN(D72,90))),Reference!$A$6:$A$11,1))+1)-INDEX(Reference!$B$6:$B$11,MIN(5,MATCH(MAX(Reference!$A$6,MIN(Reference!$A$11,MIN(D72,90))),Reference!$A$6:$A$11,1))))/(INDEX(Reference!$A$6:$A$11,MIN(5,MATCH(MAX(Reference!$A$6,MIN(Reference!$A$11,MIN(D72,90))),Reference!$A$6:$A$11,1))+1)-INDEX(Reference!$A$6:$A$11,MIN(5,MATCH(MAX(Reference!$A$6,MIN(Reference!$A$11,MIN(D72,90))),Reference!$A$6:$A$11,1))))),0)+IF(2&lt;=AE72,(AE72-2+3)*(INDEX(Reference!$B$6:$B$11,MIN(5,MATCH(MAX(Reference!$A$6,MIN(Reference!$A$11,MIN(D72,120))),Reference!$A$6:$A$11,1)))+(MAX(Reference!$A$6,MIN(Reference!$A$11,MIN(D72,120)))-INDEX(Reference!$A$6:$A$11,MIN(5,MATCH(MAX(Reference!$A$6,MIN(Reference!$A$11,MIN(D72,120))),Reference!$A$6:$A$11,1))))*(INDEX(Reference!$B$6:$B$11,MIN(5,MATCH(MAX(Reference!$A$6,MIN(Reference!$A$11,MIN(D72,120))),Reference!$A$6:$A$11,1))+1)-INDEX(Reference!$B$6:$B$11,MIN(5,MATCH(MAX(Reference!$A$6,MIN(Reference!$A$11,MIN(D72,120))),Reference!$A$6:$A$11,1))))/(INDEX(Reference!$A$6:$A$11,MIN(5,MATCH(MAX(Reference!$A$6,MIN(Reference!$A$11,MIN(D72,120))),Reference!$A$6:$A$11,1))+1)-INDEX(Reference!$A$6:$A$11,MIN(5,MATCH(MAX(Reference!$A$6,MIN(Reference!$A$11,MIN(D72,120))),Reference!$A$6:$A$11,1))))),0)+IF(3&lt;=AE72,(AE72-3+3)*(INDEX(Reference!$B$6:$B$11,MIN(5,MATCH(MAX(Reference!$A$6,MIN(Reference!$A$11,MIN(D72,150))),Reference!$A$6:$A$11,1)))+(MAX(Reference!$A$6,MIN(Reference!$A$11,MIN(D72,150)))-INDEX(Reference!$A$6:$A$11,MIN(5,MATCH(MAX(Reference!$A$6,MIN(Reference!$A$11,MIN(D72,150))),Reference!$A$6:$A$11,1))))*(INDEX(Reference!$B$6:$B$11,MIN(5,MATCH(MAX(Reference!$A$6,MIN(Reference!$A$11,MIN(D72,150))),Reference!$A$6:$A$11,1))+1)-INDEX(Reference!$B$6:$B$11,MIN(5,MATCH(MAX(Reference!$A$6,MIN(Reference!$A$11,MIN(D72,150))),Reference!$A$6:$A$11,1))))/(INDEX(Reference!$A$6:$A$11,MIN(5,MATCH(MAX(Reference!$A$6,MIN(Reference!$A$11,MIN(D72,150))),Reference!$A$6:$A$11,1))+1)-INDEX(Reference!$A$6:$A$11,MIN(5,MATCH(MAX(Reference!$A$6,MIN(Reference!$A$11,MIN(D72,150))),Reference!$A$6:$A$11,1))))),0)+IF(4&lt;=AE72,(AE72-4+3)*(INDEX(Reference!$B$6:$B$11,MIN(5,MATCH(MAX(Reference!$A$6,MIN(Reference!$A$11,MIN(D72,180))),Reference!$A$6:$A$11,1)))+(MAX(Reference!$A$6,MIN(Reference!$A$11,MIN(D72,180)))-INDEX(Reference!$A$6:$A$11,MIN(5,MATCH(MAX(Reference!$A$6,MIN(Reference!$A$11,MIN(D72,180))),Reference!$A$6:$A$11,1))))*(INDEX(Reference!$B$6:$B$11,MIN(5,MATCH(MAX(Reference!$A$6,MIN(Reference!$A$11,MIN(D72,180))),Reference!$A$6:$A$11,1))+1)-INDEX(Reference!$B$6:$B$11,MIN(5,MATCH(MAX(Reference!$A$6,MIN(Reference!$A$11,MIN(D72,180))),Reference!$A$6:$A$11,1))))/(INDEX(Reference!$A$6:$A$11,MIN(5,MATCH(MAX(Reference!$A$6,MIN(Reference!$A$11,MIN(D72,180))),Reference!$A$6:$A$11,1))+1)-INDEX(Reference!$A$6:$A$11,MIN(5,MATCH(MAX(Reference!$A$6,MIN(Reference!$A$11,MIN(D72,180))),Reference!$A$6:$A$11,1))))),0)+IF(5&lt;=AE72,(AE72-5+3)*(INDEX(Reference!$B$6:$B$11,MIN(5,MATCH(MAX(Reference!$A$6,MIN(Reference!$A$11,MIN(D72,210))),Reference!$A$6:$A$11,1)))+(MAX(Reference!$A$6,MIN(Reference!$A$11,MIN(D72,210)))-INDEX(Reference!$A$6:$A$11,MIN(5,MATCH(MAX(Reference!$A$6,MIN(Reference!$A$11,MIN(D72,210))),Reference!$A$6:$A$11,1))))*(INDEX(Reference!$B$6:$B$11,MIN(5,MATCH(MAX(Reference!$A$6,MIN(Reference!$A$11,MIN(D72,210))),Reference!$A$6:$A$11,1))+1)-INDEX(Reference!$B$6:$B$11,MIN(5,MATCH(MAX(Reference!$A$6,MIN(Reference!$A$11,MIN(D72,210))),Reference!$A$6:$A$11,1))))/(INDEX(Reference!$A$6:$A$11,MIN(5,MATCH(MAX(Reference!$A$6,MIN(Reference!$A$11,MIN(D72,210))),Reference!$A$6:$A$11,1))+1)-INDEX(Reference!$A$6:$A$11,MIN(5,MATCH(MAX(Reference!$A$6,MIN(Reference!$A$11,MIN(D72,210))),Reference!$A$6:$A$11,1))))),0)+IF(6&lt;=AE72,(AE72-6+3)*(INDEX(Reference!$B$6:$B$11,MIN(5,MATCH(MAX(Reference!$A$6,MIN(Reference!$A$11,MIN(D72,240))),Reference!$A$6:$A$11,1)))+(MAX(Reference!$A$6,MIN(Reference!$A$11,MIN(D72,240)))-INDEX(Reference!$A$6:$A$11,MIN(5,MATCH(MAX(Reference!$A$6,MIN(Reference!$A$11,MIN(D72,240))),Reference!$A$6:$A$11,1))))*(INDEX(Reference!$B$6:$B$11,MIN(5,MATCH(MAX(Reference!$A$6,MIN(Reference!$A$11,MIN(D72,240))),Reference!$A$6:$A$11,1))+1)-INDEX(Reference!$B$6:$B$11,MIN(5,MATCH(MAX(Reference!$A$6,MIN(Reference!$A$11,MIN(D72,240))),Reference!$A$6:$A$11,1))))/(INDEX(Reference!$A$6:$A$11,MIN(5,MATCH(MAX(Reference!$A$6,MIN(Reference!$A$11,MIN(D72,240))),Reference!$A$6:$A$11,1))+1)-INDEX(Reference!$A$6:$A$11,MIN(5,MATCH(MAX(Reference!$A$6,MIN(Reference!$A$11,MIN(D72,240))),Reference!$A$6:$A$11,1))))),0)+IF(7&lt;=AE72,(AE72-7+3)*(INDEX(Reference!$B$6:$B$11,MIN(5,MATCH(MAX(Reference!$A$6,MIN(Reference!$A$11,MIN(D72,270))),Reference!$A$6:$A$11,1)))+(MAX(Reference!$A$6,MIN(Reference!$A$11,MIN(D72,270)))-INDEX(Reference!$A$6:$A$11,MIN(5,MATCH(MAX(Reference!$A$6,MIN(Reference!$A$11,MIN(D72,270))),Reference!$A$6:$A$11,1))))*(INDEX(Reference!$B$6:$B$11,MIN(5,MATCH(MAX(Reference!$A$6,MIN(Reference!$A$11,MIN(D72,270))),Reference!$A$6:$A$11,1))+1)-INDEX(Reference!$B$6:$B$11,MIN(5,MATCH(MAX(Reference!$A$6,MIN(Reference!$A$11,MIN(D72,270))),Reference!$A$6:$A$11,1))))/(INDEX(Reference!$A$6:$A$11,MIN(5,MATCH(MAX(Reference!$A$6,MIN(Reference!$A$11,MIN(D72,270))),Reference!$A$6:$A$11,1))+1)-INDEX(Reference!$A$6:$A$11,MIN(5,MATCH(MAX(Reference!$A$6,MIN(Reference!$A$11,MIN(D72,270))),Reference!$A$6:$A$11,1))))),0)+IF(8&lt;=AE72,(AE72-8+3)*(INDEX(Reference!$B$6:$B$11,MIN(5,MATCH(MAX(Reference!$A$6,MIN(Reference!$A$11,MIN(D72,300))),Reference!$A$6:$A$11,1)))+(MAX(Reference!$A$6,MIN(Reference!$A$11,MIN(D72,300)))-INDEX(Reference!$A$6:$A$11,MIN(5,MATCH(MAX(Reference!$A$6,MIN(Reference!$A$11,MIN(D72,300))),Reference!$A$6:$A$11,1))))*(INDEX(Reference!$B$6:$B$11,MIN(5,MATCH(MAX(Reference!$A$6,MIN(Reference!$A$11,MIN(D72,300))),Reference!$A$6:$A$11,1))+1)-INDEX(Reference!$B$6:$B$11,MIN(5,MATCH(MAX(Reference!$A$6,MIN(Reference!$A$11,MIN(D72,300))),Reference!$A$6:$A$11,1))))/(INDEX(Reference!$A$6:$A$11,MIN(5,MATCH(MAX(Reference!$A$6,MIN(Reference!$A$11,MIN(D72,300))),Reference!$A$6:$A$11,1))+1)-INDEX(Reference!$A$6:$A$11,MIN(5,MATCH(MAX(Reference!$A$6,MIN(Reference!$A$11,MIN(D72,300))),Reference!$A$6:$A$11,1))))),0))/(AE72*(AE72+5)/2)),(INDEX(Reference!$B$6:$B$11,MIN(5,MATCH(MAX(Reference!$A$6,MIN(Reference!$A$11,D72)),Reference!$A$6:$A$11,1)))+(MAX(Reference!$A$6,MIN(Reference!$A$11,D72))-INDEX(Reference!$A$6:$A$11,MIN(5,MATCH(MAX(Reference!$A$6,MIN(Reference!$A$11,D72)),Reference!$A$6:$A$11,1))))*(INDEX(Reference!$B$6:$B$11,MIN(5,MATCH(MAX(Reference!$A$6,MIN(Reference!$A$11,D72)),Reference!$A$6:$A$11,1))+1)-INDEX(Reference!$B$6:$B$11,MIN(5,MATCH(MAX(Reference!$A$6,MIN(Reference!$A$11,D72)),Reference!$A$6:$A$11,1))))/(INDEX(Reference!$A$6:$A$11,MIN(5,MATCH(MAX(Reference!$A$6,MIN(Reference!$A$11,D72)),Reference!$A$6:$A$11,1))+1)-INDEX(Reference!$A$6:$A$11,MIN(5,MATCH(MAX(Reference!$A$6,MIN(Reference!$A$11,D72)),Reference!$A$6:$A$11,1))))))))</f>
        <v/>
      </c>
      <c r="P72" s="32" t="str">
        <f>IF(N72="","",VLOOKUP(MAX(N72,0),Reference!$A$17:$B$20,2,TRUE()))</f>
        <v/>
      </c>
      <c r="Q72" s="32" t="str">
        <f t="shared" si="12"/>
        <v/>
      </c>
      <c r="R72" s="31"/>
      <c r="S72" s="31"/>
      <c r="T72" s="31"/>
      <c r="U72" s="32" t="str">
        <f t="shared" si="13"/>
        <v/>
      </c>
      <c r="V72" s="32" t="str">
        <f t="shared" si="14"/>
        <v/>
      </c>
      <c r="W72" s="32" t="str">
        <f>IF(V72="","",VLOOKUP(MAX(V72,0),Reference!$A$17:$B$20,2,TRUE()))</f>
        <v/>
      </c>
      <c r="X72" s="31"/>
      <c r="Y72" s="31"/>
      <c r="Z72" s="31"/>
      <c r="AA72" s="32" t="str">
        <f t="shared" si="15"/>
        <v/>
      </c>
      <c r="AB72" s="32" t="str">
        <f t="shared" si="16"/>
        <v/>
      </c>
      <c r="AC72" s="32" t="str">
        <f>IF(AB72="","",VLOOKUP(MAX(AB72,0),Reference!$A$17:$B$20,2,TRUE()))</f>
        <v/>
      </c>
      <c r="AD72" s="31"/>
      <c r="AE72">
        <f t="shared" si="17"/>
        <v>1</v>
      </c>
      <c r="AF72" s="33" t="str">
        <f>IF(OR(A72="",B72="",AND(C72&lt;&gt;"Bullpen",C72&lt;&gt;"Game")),"",IF((COUNTIFS($B$5:$B$300,B72,$A$5:$A$300,A72-1,$C$5:$C$300,"Bullpen",$AG$5:$AG$300,"&gt;0") + COUNTIFS($B$5:$B$300,B72,$A$5:$A$300,A72-1,$C$5:$C$300,"Game",$AG$5:$AG$300,"&gt;0"))&gt;0,Reference!$B$119,IF((COUNTIFS($B$5:$B$300,B72,$A$5:$A$300,A72-2,$C$5:$C$300,"Bullpen",$AG$5:$AG$300,"&gt;0") + COUNTIFS($B$5:$B$300,B72,$A$5:$A$300,A72-2,$C$5:$C$300,"Game",$AG$5:$AG$300,"&gt;0"))&gt;0,Reference!$B$120,1)))</f>
        <v/>
      </c>
      <c r="AG72" s="30" t="str">
        <f>IF(AND(OR(I72="",O72="",P72=""),OR(R72="",W72=""),OR(X72="",AC72="")),"",IF(OR(I72="",O72="",P72=""),0,I72*O72*P72)+IF(OR(R72="",W72=""),0,R72*IFERROR(INDEX(Reference!$B$61:$B$62,MATCH("Bullpen",Reference!$A$61:$A$62,0)),0)*W72)+IF(OR(X72="",AC72=""),0,X72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72))</f>
        <v/>
      </c>
    </row>
    <row r="73" spans="1:33" x14ac:dyDescent="0.3">
      <c r="A73" s="35"/>
      <c r="B73" s="31"/>
      <c r="C73" s="31"/>
      <c r="D73" s="31"/>
      <c r="E73" s="34"/>
      <c r="F73" s="34"/>
      <c r="G73" s="30" t="str">
        <f t="shared" si="9"/>
        <v/>
      </c>
      <c r="H73" s="31"/>
      <c r="I73" s="32" t="str">
        <f>IF(H73&lt;&gt;"",H73,IF(G73="","",ROUND(G73*IFERROR(INDEX(Reference!$B$44:$B$50,MATCH(C73,Reference!$A$44:$A$50,0)),0),0)))</f>
        <v/>
      </c>
      <c r="J73" s="31"/>
      <c r="K73" s="31"/>
      <c r="L73" s="32" t="str">
        <f t="shared" si="10"/>
        <v/>
      </c>
      <c r="M73" s="32" t="str">
        <f>IFERROR(INDEX(Roster!$D$5:$D$40,MATCH(B73,Roster!$A$5:$A$40,0)),"")</f>
        <v/>
      </c>
      <c r="N73" s="32" t="str">
        <f t="shared" si="11"/>
        <v/>
      </c>
      <c r="O73" s="32" t="str">
        <f>IF(OR(C73="Bullpen",C73="Game"),IFERROR(INDEX(Reference!$B$61:$B$62,MATCH(C73,Reference!$A$61:$A$62,0)),""),IF(D73="","",IF(AE73&gt;1,((IF(1&lt;=AE73,(AE73-1+3)*(INDEX(Reference!$B$6:$B$11,MIN(5,MATCH(MAX(Reference!$A$6,MIN(Reference!$A$11,MIN(D73,90))),Reference!$A$6:$A$11,1)))+(MAX(Reference!$A$6,MIN(Reference!$A$11,MIN(D73,90)))-INDEX(Reference!$A$6:$A$11,MIN(5,MATCH(MAX(Reference!$A$6,MIN(Reference!$A$11,MIN(D73,90))),Reference!$A$6:$A$11,1))))*(INDEX(Reference!$B$6:$B$11,MIN(5,MATCH(MAX(Reference!$A$6,MIN(Reference!$A$11,MIN(D73,90))),Reference!$A$6:$A$11,1))+1)-INDEX(Reference!$B$6:$B$11,MIN(5,MATCH(MAX(Reference!$A$6,MIN(Reference!$A$11,MIN(D73,90))),Reference!$A$6:$A$11,1))))/(INDEX(Reference!$A$6:$A$11,MIN(5,MATCH(MAX(Reference!$A$6,MIN(Reference!$A$11,MIN(D73,90))),Reference!$A$6:$A$11,1))+1)-INDEX(Reference!$A$6:$A$11,MIN(5,MATCH(MAX(Reference!$A$6,MIN(Reference!$A$11,MIN(D73,90))),Reference!$A$6:$A$11,1))))),0)+IF(2&lt;=AE73,(AE73-2+3)*(INDEX(Reference!$B$6:$B$11,MIN(5,MATCH(MAX(Reference!$A$6,MIN(Reference!$A$11,MIN(D73,120))),Reference!$A$6:$A$11,1)))+(MAX(Reference!$A$6,MIN(Reference!$A$11,MIN(D73,120)))-INDEX(Reference!$A$6:$A$11,MIN(5,MATCH(MAX(Reference!$A$6,MIN(Reference!$A$11,MIN(D73,120))),Reference!$A$6:$A$11,1))))*(INDEX(Reference!$B$6:$B$11,MIN(5,MATCH(MAX(Reference!$A$6,MIN(Reference!$A$11,MIN(D73,120))),Reference!$A$6:$A$11,1))+1)-INDEX(Reference!$B$6:$B$11,MIN(5,MATCH(MAX(Reference!$A$6,MIN(Reference!$A$11,MIN(D73,120))),Reference!$A$6:$A$11,1))))/(INDEX(Reference!$A$6:$A$11,MIN(5,MATCH(MAX(Reference!$A$6,MIN(Reference!$A$11,MIN(D73,120))),Reference!$A$6:$A$11,1))+1)-INDEX(Reference!$A$6:$A$11,MIN(5,MATCH(MAX(Reference!$A$6,MIN(Reference!$A$11,MIN(D73,120))),Reference!$A$6:$A$11,1))))),0)+IF(3&lt;=AE73,(AE73-3+3)*(INDEX(Reference!$B$6:$B$11,MIN(5,MATCH(MAX(Reference!$A$6,MIN(Reference!$A$11,MIN(D73,150))),Reference!$A$6:$A$11,1)))+(MAX(Reference!$A$6,MIN(Reference!$A$11,MIN(D73,150)))-INDEX(Reference!$A$6:$A$11,MIN(5,MATCH(MAX(Reference!$A$6,MIN(Reference!$A$11,MIN(D73,150))),Reference!$A$6:$A$11,1))))*(INDEX(Reference!$B$6:$B$11,MIN(5,MATCH(MAX(Reference!$A$6,MIN(Reference!$A$11,MIN(D73,150))),Reference!$A$6:$A$11,1))+1)-INDEX(Reference!$B$6:$B$11,MIN(5,MATCH(MAX(Reference!$A$6,MIN(Reference!$A$11,MIN(D73,150))),Reference!$A$6:$A$11,1))))/(INDEX(Reference!$A$6:$A$11,MIN(5,MATCH(MAX(Reference!$A$6,MIN(Reference!$A$11,MIN(D73,150))),Reference!$A$6:$A$11,1))+1)-INDEX(Reference!$A$6:$A$11,MIN(5,MATCH(MAX(Reference!$A$6,MIN(Reference!$A$11,MIN(D73,150))),Reference!$A$6:$A$11,1))))),0)+IF(4&lt;=AE73,(AE73-4+3)*(INDEX(Reference!$B$6:$B$11,MIN(5,MATCH(MAX(Reference!$A$6,MIN(Reference!$A$11,MIN(D73,180))),Reference!$A$6:$A$11,1)))+(MAX(Reference!$A$6,MIN(Reference!$A$11,MIN(D73,180)))-INDEX(Reference!$A$6:$A$11,MIN(5,MATCH(MAX(Reference!$A$6,MIN(Reference!$A$11,MIN(D73,180))),Reference!$A$6:$A$11,1))))*(INDEX(Reference!$B$6:$B$11,MIN(5,MATCH(MAX(Reference!$A$6,MIN(Reference!$A$11,MIN(D73,180))),Reference!$A$6:$A$11,1))+1)-INDEX(Reference!$B$6:$B$11,MIN(5,MATCH(MAX(Reference!$A$6,MIN(Reference!$A$11,MIN(D73,180))),Reference!$A$6:$A$11,1))))/(INDEX(Reference!$A$6:$A$11,MIN(5,MATCH(MAX(Reference!$A$6,MIN(Reference!$A$11,MIN(D73,180))),Reference!$A$6:$A$11,1))+1)-INDEX(Reference!$A$6:$A$11,MIN(5,MATCH(MAX(Reference!$A$6,MIN(Reference!$A$11,MIN(D73,180))),Reference!$A$6:$A$11,1))))),0)+IF(5&lt;=AE73,(AE73-5+3)*(INDEX(Reference!$B$6:$B$11,MIN(5,MATCH(MAX(Reference!$A$6,MIN(Reference!$A$11,MIN(D73,210))),Reference!$A$6:$A$11,1)))+(MAX(Reference!$A$6,MIN(Reference!$A$11,MIN(D73,210)))-INDEX(Reference!$A$6:$A$11,MIN(5,MATCH(MAX(Reference!$A$6,MIN(Reference!$A$11,MIN(D73,210))),Reference!$A$6:$A$11,1))))*(INDEX(Reference!$B$6:$B$11,MIN(5,MATCH(MAX(Reference!$A$6,MIN(Reference!$A$11,MIN(D73,210))),Reference!$A$6:$A$11,1))+1)-INDEX(Reference!$B$6:$B$11,MIN(5,MATCH(MAX(Reference!$A$6,MIN(Reference!$A$11,MIN(D73,210))),Reference!$A$6:$A$11,1))))/(INDEX(Reference!$A$6:$A$11,MIN(5,MATCH(MAX(Reference!$A$6,MIN(Reference!$A$11,MIN(D73,210))),Reference!$A$6:$A$11,1))+1)-INDEX(Reference!$A$6:$A$11,MIN(5,MATCH(MAX(Reference!$A$6,MIN(Reference!$A$11,MIN(D73,210))),Reference!$A$6:$A$11,1))))),0)+IF(6&lt;=AE73,(AE73-6+3)*(INDEX(Reference!$B$6:$B$11,MIN(5,MATCH(MAX(Reference!$A$6,MIN(Reference!$A$11,MIN(D73,240))),Reference!$A$6:$A$11,1)))+(MAX(Reference!$A$6,MIN(Reference!$A$11,MIN(D73,240)))-INDEX(Reference!$A$6:$A$11,MIN(5,MATCH(MAX(Reference!$A$6,MIN(Reference!$A$11,MIN(D73,240))),Reference!$A$6:$A$11,1))))*(INDEX(Reference!$B$6:$B$11,MIN(5,MATCH(MAX(Reference!$A$6,MIN(Reference!$A$11,MIN(D73,240))),Reference!$A$6:$A$11,1))+1)-INDEX(Reference!$B$6:$B$11,MIN(5,MATCH(MAX(Reference!$A$6,MIN(Reference!$A$11,MIN(D73,240))),Reference!$A$6:$A$11,1))))/(INDEX(Reference!$A$6:$A$11,MIN(5,MATCH(MAX(Reference!$A$6,MIN(Reference!$A$11,MIN(D73,240))),Reference!$A$6:$A$11,1))+1)-INDEX(Reference!$A$6:$A$11,MIN(5,MATCH(MAX(Reference!$A$6,MIN(Reference!$A$11,MIN(D73,240))),Reference!$A$6:$A$11,1))))),0)+IF(7&lt;=AE73,(AE73-7+3)*(INDEX(Reference!$B$6:$B$11,MIN(5,MATCH(MAX(Reference!$A$6,MIN(Reference!$A$11,MIN(D73,270))),Reference!$A$6:$A$11,1)))+(MAX(Reference!$A$6,MIN(Reference!$A$11,MIN(D73,270)))-INDEX(Reference!$A$6:$A$11,MIN(5,MATCH(MAX(Reference!$A$6,MIN(Reference!$A$11,MIN(D73,270))),Reference!$A$6:$A$11,1))))*(INDEX(Reference!$B$6:$B$11,MIN(5,MATCH(MAX(Reference!$A$6,MIN(Reference!$A$11,MIN(D73,270))),Reference!$A$6:$A$11,1))+1)-INDEX(Reference!$B$6:$B$11,MIN(5,MATCH(MAX(Reference!$A$6,MIN(Reference!$A$11,MIN(D73,270))),Reference!$A$6:$A$11,1))))/(INDEX(Reference!$A$6:$A$11,MIN(5,MATCH(MAX(Reference!$A$6,MIN(Reference!$A$11,MIN(D73,270))),Reference!$A$6:$A$11,1))+1)-INDEX(Reference!$A$6:$A$11,MIN(5,MATCH(MAX(Reference!$A$6,MIN(Reference!$A$11,MIN(D73,270))),Reference!$A$6:$A$11,1))))),0)+IF(8&lt;=AE73,(AE73-8+3)*(INDEX(Reference!$B$6:$B$11,MIN(5,MATCH(MAX(Reference!$A$6,MIN(Reference!$A$11,MIN(D73,300))),Reference!$A$6:$A$11,1)))+(MAX(Reference!$A$6,MIN(Reference!$A$11,MIN(D73,300)))-INDEX(Reference!$A$6:$A$11,MIN(5,MATCH(MAX(Reference!$A$6,MIN(Reference!$A$11,MIN(D73,300))),Reference!$A$6:$A$11,1))))*(INDEX(Reference!$B$6:$B$11,MIN(5,MATCH(MAX(Reference!$A$6,MIN(Reference!$A$11,MIN(D73,300))),Reference!$A$6:$A$11,1))+1)-INDEX(Reference!$B$6:$B$11,MIN(5,MATCH(MAX(Reference!$A$6,MIN(Reference!$A$11,MIN(D73,300))),Reference!$A$6:$A$11,1))))/(INDEX(Reference!$A$6:$A$11,MIN(5,MATCH(MAX(Reference!$A$6,MIN(Reference!$A$11,MIN(D73,300))),Reference!$A$6:$A$11,1))+1)-INDEX(Reference!$A$6:$A$11,MIN(5,MATCH(MAX(Reference!$A$6,MIN(Reference!$A$11,MIN(D73,300))),Reference!$A$6:$A$11,1))))),0))/(AE73*(AE73+5)/2)),(INDEX(Reference!$B$6:$B$11,MIN(5,MATCH(MAX(Reference!$A$6,MIN(Reference!$A$11,D73)),Reference!$A$6:$A$11,1)))+(MAX(Reference!$A$6,MIN(Reference!$A$11,D73))-INDEX(Reference!$A$6:$A$11,MIN(5,MATCH(MAX(Reference!$A$6,MIN(Reference!$A$11,D73)),Reference!$A$6:$A$11,1))))*(INDEX(Reference!$B$6:$B$11,MIN(5,MATCH(MAX(Reference!$A$6,MIN(Reference!$A$11,D73)),Reference!$A$6:$A$11,1))+1)-INDEX(Reference!$B$6:$B$11,MIN(5,MATCH(MAX(Reference!$A$6,MIN(Reference!$A$11,D73)),Reference!$A$6:$A$11,1))))/(INDEX(Reference!$A$6:$A$11,MIN(5,MATCH(MAX(Reference!$A$6,MIN(Reference!$A$11,D73)),Reference!$A$6:$A$11,1))+1)-INDEX(Reference!$A$6:$A$11,MIN(5,MATCH(MAX(Reference!$A$6,MIN(Reference!$A$11,D73)),Reference!$A$6:$A$11,1))))))))</f>
        <v/>
      </c>
      <c r="P73" s="32" t="str">
        <f>IF(N73="","",VLOOKUP(MAX(N73,0),Reference!$A$17:$B$20,2,TRUE()))</f>
        <v/>
      </c>
      <c r="Q73" s="32" t="str">
        <f t="shared" si="12"/>
        <v/>
      </c>
      <c r="R73" s="31"/>
      <c r="S73" s="31"/>
      <c r="T73" s="31"/>
      <c r="U73" s="32" t="str">
        <f t="shared" si="13"/>
        <v/>
      </c>
      <c r="V73" s="32" t="str">
        <f t="shared" si="14"/>
        <v/>
      </c>
      <c r="W73" s="32" t="str">
        <f>IF(V73="","",VLOOKUP(MAX(V73,0),Reference!$A$17:$B$20,2,TRUE()))</f>
        <v/>
      </c>
      <c r="X73" s="31"/>
      <c r="Y73" s="31"/>
      <c r="Z73" s="31"/>
      <c r="AA73" s="32" t="str">
        <f t="shared" si="15"/>
        <v/>
      </c>
      <c r="AB73" s="32" t="str">
        <f t="shared" si="16"/>
        <v/>
      </c>
      <c r="AC73" s="32" t="str">
        <f>IF(AB73="","",VLOOKUP(MAX(AB73,0),Reference!$A$17:$B$20,2,TRUE()))</f>
        <v/>
      </c>
      <c r="AD73" s="31"/>
      <c r="AE73">
        <f t="shared" si="17"/>
        <v>1</v>
      </c>
      <c r="AF73" s="33" t="str">
        <f>IF(OR(A73="",B73="",AND(C73&lt;&gt;"Bullpen",C73&lt;&gt;"Game")),"",IF((COUNTIFS($B$5:$B$300,B73,$A$5:$A$300,A73-1,$C$5:$C$300,"Bullpen",$AG$5:$AG$300,"&gt;0") + COUNTIFS($B$5:$B$300,B73,$A$5:$A$300,A73-1,$C$5:$C$300,"Game",$AG$5:$AG$300,"&gt;0"))&gt;0,Reference!$B$119,IF((COUNTIFS($B$5:$B$300,B73,$A$5:$A$300,A73-2,$C$5:$C$300,"Bullpen",$AG$5:$AG$300,"&gt;0") + COUNTIFS($B$5:$B$300,B73,$A$5:$A$300,A73-2,$C$5:$C$300,"Game",$AG$5:$AG$300,"&gt;0"))&gt;0,Reference!$B$120,1)))</f>
        <v/>
      </c>
      <c r="AG73" s="30" t="str">
        <f>IF(AND(OR(I73="",O73="",P73=""),OR(R73="",W73=""),OR(X73="",AC73="")),"",IF(OR(I73="",O73="",P73=""),0,I73*O73*P73)+IF(OR(R73="",W73=""),0,R73*IFERROR(INDEX(Reference!$B$61:$B$62,MATCH("Bullpen",Reference!$A$61:$A$62,0)),0)*W73)+IF(OR(X73="",AC73=""),0,X73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73))</f>
        <v/>
      </c>
    </row>
    <row r="74" spans="1:33" x14ac:dyDescent="0.3">
      <c r="A74" s="35"/>
      <c r="B74" s="31"/>
      <c r="C74" s="31"/>
      <c r="D74" s="31"/>
      <c r="E74" s="34"/>
      <c r="F74" s="34"/>
      <c r="G74" s="30" t="str">
        <f t="shared" si="9"/>
        <v/>
      </c>
      <c r="H74" s="31"/>
      <c r="I74" s="32" t="str">
        <f>IF(H74&lt;&gt;"",H74,IF(G74="","",ROUND(G74*IFERROR(INDEX(Reference!$B$44:$B$50,MATCH(C74,Reference!$A$44:$A$50,0)),0),0)))</f>
        <v/>
      </c>
      <c r="J74" s="31"/>
      <c r="K74" s="31"/>
      <c r="L74" s="32" t="str">
        <f t="shared" si="10"/>
        <v/>
      </c>
      <c r="M74" s="32" t="str">
        <f>IFERROR(INDEX(Roster!$D$5:$D$40,MATCH(B74,Roster!$A$5:$A$40,0)),"")</f>
        <v/>
      </c>
      <c r="N74" s="32" t="str">
        <f t="shared" si="11"/>
        <v/>
      </c>
      <c r="O74" s="32" t="str">
        <f>IF(OR(C74="Bullpen",C74="Game"),IFERROR(INDEX(Reference!$B$61:$B$62,MATCH(C74,Reference!$A$61:$A$62,0)),""),IF(D74="","",IF(AE74&gt;1,((IF(1&lt;=AE74,(AE74-1+3)*(INDEX(Reference!$B$6:$B$11,MIN(5,MATCH(MAX(Reference!$A$6,MIN(Reference!$A$11,MIN(D74,90))),Reference!$A$6:$A$11,1)))+(MAX(Reference!$A$6,MIN(Reference!$A$11,MIN(D74,90)))-INDEX(Reference!$A$6:$A$11,MIN(5,MATCH(MAX(Reference!$A$6,MIN(Reference!$A$11,MIN(D74,90))),Reference!$A$6:$A$11,1))))*(INDEX(Reference!$B$6:$B$11,MIN(5,MATCH(MAX(Reference!$A$6,MIN(Reference!$A$11,MIN(D74,90))),Reference!$A$6:$A$11,1))+1)-INDEX(Reference!$B$6:$B$11,MIN(5,MATCH(MAX(Reference!$A$6,MIN(Reference!$A$11,MIN(D74,90))),Reference!$A$6:$A$11,1))))/(INDEX(Reference!$A$6:$A$11,MIN(5,MATCH(MAX(Reference!$A$6,MIN(Reference!$A$11,MIN(D74,90))),Reference!$A$6:$A$11,1))+1)-INDEX(Reference!$A$6:$A$11,MIN(5,MATCH(MAX(Reference!$A$6,MIN(Reference!$A$11,MIN(D74,90))),Reference!$A$6:$A$11,1))))),0)+IF(2&lt;=AE74,(AE74-2+3)*(INDEX(Reference!$B$6:$B$11,MIN(5,MATCH(MAX(Reference!$A$6,MIN(Reference!$A$11,MIN(D74,120))),Reference!$A$6:$A$11,1)))+(MAX(Reference!$A$6,MIN(Reference!$A$11,MIN(D74,120)))-INDEX(Reference!$A$6:$A$11,MIN(5,MATCH(MAX(Reference!$A$6,MIN(Reference!$A$11,MIN(D74,120))),Reference!$A$6:$A$11,1))))*(INDEX(Reference!$B$6:$B$11,MIN(5,MATCH(MAX(Reference!$A$6,MIN(Reference!$A$11,MIN(D74,120))),Reference!$A$6:$A$11,1))+1)-INDEX(Reference!$B$6:$B$11,MIN(5,MATCH(MAX(Reference!$A$6,MIN(Reference!$A$11,MIN(D74,120))),Reference!$A$6:$A$11,1))))/(INDEX(Reference!$A$6:$A$11,MIN(5,MATCH(MAX(Reference!$A$6,MIN(Reference!$A$11,MIN(D74,120))),Reference!$A$6:$A$11,1))+1)-INDEX(Reference!$A$6:$A$11,MIN(5,MATCH(MAX(Reference!$A$6,MIN(Reference!$A$11,MIN(D74,120))),Reference!$A$6:$A$11,1))))),0)+IF(3&lt;=AE74,(AE74-3+3)*(INDEX(Reference!$B$6:$B$11,MIN(5,MATCH(MAX(Reference!$A$6,MIN(Reference!$A$11,MIN(D74,150))),Reference!$A$6:$A$11,1)))+(MAX(Reference!$A$6,MIN(Reference!$A$11,MIN(D74,150)))-INDEX(Reference!$A$6:$A$11,MIN(5,MATCH(MAX(Reference!$A$6,MIN(Reference!$A$11,MIN(D74,150))),Reference!$A$6:$A$11,1))))*(INDEX(Reference!$B$6:$B$11,MIN(5,MATCH(MAX(Reference!$A$6,MIN(Reference!$A$11,MIN(D74,150))),Reference!$A$6:$A$11,1))+1)-INDEX(Reference!$B$6:$B$11,MIN(5,MATCH(MAX(Reference!$A$6,MIN(Reference!$A$11,MIN(D74,150))),Reference!$A$6:$A$11,1))))/(INDEX(Reference!$A$6:$A$11,MIN(5,MATCH(MAX(Reference!$A$6,MIN(Reference!$A$11,MIN(D74,150))),Reference!$A$6:$A$11,1))+1)-INDEX(Reference!$A$6:$A$11,MIN(5,MATCH(MAX(Reference!$A$6,MIN(Reference!$A$11,MIN(D74,150))),Reference!$A$6:$A$11,1))))),0)+IF(4&lt;=AE74,(AE74-4+3)*(INDEX(Reference!$B$6:$B$11,MIN(5,MATCH(MAX(Reference!$A$6,MIN(Reference!$A$11,MIN(D74,180))),Reference!$A$6:$A$11,1)))+(MAX(Reference!$A$6,MIN(Reference!$A$11,MIN(D74,180)))-INDEX(Reference!$A$6:$A$11,MIN(5,MATCH(MAX(Reference!$A$6,MIN(Reference!$A$11,MIN(D74,180))),Reference!$A$6:$A$11,1))))*(INDEX(Reference!$B$6:$B$11,MIN(5,MATCH(MAX(Reference!$A$6,MIN(Reference!$A$11,MIN(D74,180))),Reference!$A$6:$A$11,1))+1)-INDEX(Reference!$B$6:$B$11,MIN(5,MATCH(MAX(Reference!$A$6,MIN(Reference!$A$11,MIN(D74,180))),Reference!$A$6:$A$11,1))))/(INDEX(Reference!$A$6:$A$11,MIN(5,MATCH(MAX(Reference!$A$6,MIN(Reference!$A$11,MIN(D74,180))),Reference!$A$6:$A$11,1))+1)-INDEX(Reference!$A$6:$A$11,MIN(5,MATCH(MAX(Reference!$A$6,MIN(Reference!$A$11,MIN(D74,180))),Reference!$A$6:$A$11,1))))),0)+IF(5&lt;=AE74,(AE74-5+3)*(INDEX(Reference!$B$6:$B$11,MIN(5,MATCH(MAX(Reference!$A$6,MIN(Reference!$A$11,MIN(D74,210))),Reference!$A$6:$A$11,1)))+(MAX(Reference!$A$6,MIN(Reference!$A$11,MIN(D74,210)))-INDEX(Reference!$A$6:$A$11,MIN(5,MATCH(MAX(Reference!$A$6,MIN(Reference!$A$11,MIN(D74,210))),Reference!$A$6:$A$11,1))))*(INDEX(Reference!$B$6:$B$11,MIN(5,MATCH(MAX(Reference!$A$6,MIN(Reference!$A$11,MIN(D74,210))),Reference!$A$6:$A$11,1))+1)-INDEX(Reference!$B$6:$B$11,MIN(5,MATCH(MAX(Reference!$A$6,MIN(Reference!$A$11,MIN(D74,210))),Reference!$A$6:$A$11,1))))/(INDEX(Reference!$A$6:$A$11,MIN(5,MATCH(MAX(Reference!$A$6,MIN(Reference!$A$11,MIN(D74,210))),Reference!$A$6:$A$11,1))+1)-INDEX(Reference!$A$6:$A$11,MIN(5,MATCH(MAX(Reference!$A$6,MIN(Reference!$A$11,MIN(D74,210))),Reference!$A$6:$A$11,1))))),0)+IF(6&lt;=AE74,(AE74-6+3)*(INDEX(Reference!$B$6:$B$11,MIN(5,MATCH(MAX(Reference!$A$6,MIN(Reference!$A$11,MIN(D74,240))),Reference!$A$6:$A$11,1)))+(MAX(Reference!$A$6,MIN(Reference!$A$11,MIN(D74,240)))-INDEX(Reference!$A$6:$A$11,MIN(5,MATCH(MAX(Reference!$A$6,MIN(Reference!$A$11,MIN(D74,240))),Reference!$A$6:$A$11,1))))*(INDEX(Reference!$B$6:$B$11,MIN(5,MATCH(MAX(Reference!$A$6,MIN(Reference!$A$11,MIN(D74,240))),Reference!$A$6:$A$11,1))+1)-INDEX(Reference!$B$6:$B$11,MIN(5,MATCH(MAX(Reference!$A$6,MIN(Reference!$A$11,MIN(D74,240))),Reference!$A$6:$A$11,1))))/(INDEX(Reference!$A$6:$A$11,MIN(5,MATCH(MAX(Reference!$A$6,MIN(Reference!$A$11,MIN(D74,240))),Reference!$A$6:$A$11,1))+1)-INDEX(Reference!$A$6:$A$11,MIN(5,MATCH(MAX(Reference!$A$6,MIN(Reference!$A$11,MIN(D74,240))),Reference!$A$6:$A$11,1))))),0)+IF(7&lt;=AE74,(AE74-7+3)*(INDEX(Reference!$B$6:$B$11,MIN(5,MATCH(MAX(Reference!$A$6,MIN(Reference!$A$11,MIN(D74,270))),Reference!$A$6:$A$11,1)))+(MAX(Reference!$A$6,MIN(Reference!$A$11,MIN(D74,270)))-INDEX(Reference!$A$6:$A$11,MIN(5,MATCH(MAX(Reference!$A$6,MIN(Reference!$A$11,MIN(D74,270))),Reference!$A$6:$A$11,1))))*(INDEX(Reference!$B$6:$B$11,MIN(5,MATCH(MAX(Reference!$A$6,MIN(Reference!$A$11,MIN(D74,270))),Reference!$A$6:$A$11,1))+1)-INDEX(Reference!$B$6:$B$11,MIN(5,MATCH(MAX(Reference!$A$6,MIN(Reference!$A$11,MIN(D74,270))),Reference!$A$6:$A$11,1))))/(INDEX(Reference!$A$6:$A$11,MIN(5,MATCH(MAX(Reference!$A$6,MIN(Reference!$A$11,MIN(D74,270))),Reference!$A$6:$A$11,1))+1)-INDEX(Reference!$A$6:$A$11,MIN(5,MATCH(MAX(Reference!$A$6,MIN(Reference!$A$11,MIN(D74,270))),Reference!$A$6:$A$11,1))))),0)+IF(8&lt;=AE74,(AE74-8+3)*(INDEX(Reference!$B$6:$B$11,MIN(5,MATCH(MAX(Reference!$A$6,MIN(Reference!$A$11,MIN(D74,300))),Reference!$A$6:$A$11,1)))+(MAX(Reference!$A$6,MIN(Reference!$A$11,MIN(D74,300)))-INDEX(Reference!$A$6:$A$11,MIN(5,MATCH(MAX(Reference!$A$6,MIN(Reference!$A$11,MIN(D74,300))),Reference!$A$6:$A$11,1))))*(INDEX(Reference!$B$6:$B$11,MIN(5,MATCH(MAX(Reference!$A$6,MIN(Reference!$A$11,MIN(D74,300))),Reference!$A$6:$A$11,1))+1)-INDEX(Reference!$B$6:$B$11,MIN(5,MATCH(MAX(Reference!$A$6,MIN(Reference!$A$11,MIN(D74,300))),Reference!$A$6:$A$11,1))))/(INDEX(Reference!$A$6:$A$11,MIN(5,MATCH(MAX(Reference!$A$6,MIN(Reference!$A$11,MIN(D74,300))),Reference!$A$6:$A$11,1))+1)-INDEX(Reference!$A$6:$A$11,MIN(5,MATCH(MAX(Reference!$A$6,MIN(Reference!$A$11,MIN(D74,300))),Reference!$A$6:$A$11,1))))),0))/(AE74*(AE74+5)/2)),(INDEX(Reference!$B$6:$B$11,MIN(5,MATCH(MAX(Reference!$A$6,MIN(Reference!$A$11,D74)),Reference!$A$6:$A$11,1)))+(MAX(Reference!$A$6,MIN(Reference!$A$11,D74))-INDEX(Reference!$A$6:$A$11,MIN(5,MATCH(MAX(Reference!$A$6,MIN(Reference!$A$11,D74)),Reference!$A$6:$A$11,1))))*(INDEX(Reference!$B$6:$B$11,MIN(5,MATCH(MAX(Reference!$A$6,MIN(Reference!$A$11,D74)),Reference!$A$6:$A$11,1))+1)-INDEX(Reference!$B$6:$B$11,MIN(5,MATCH(MAX(Reference!$A$6,MIN(Reference!$A$11,D74)),Reference!$A$6:$A$11,1))))/(INDEX(Reference!$A$6:$A$11,MIN(5,MATCH(MAX(Reference!$A$6,MIN(Reference!$A$11,D74)),Reference!$A$6:$A$11,1))+1)-INDEX(Reference!$A$6:$A$11,MIN(5,MATCH(MAX(Reference!$A$6,MIN(Reference!$A$11,D74)),Reference!$A$6:$A$11,1))))))))</f>
        <v/>
      </c>
      <c r="P74" s="32" t="str">
        <f>IF(N74="","",VLOOKUP(MAX(N74,0),Reference!$A$17:$B$20,2,TRUE()))</f>
        <v/>
      </c>
      <c r="Q74" s="32" t="str">
        <f t="shared" si="12"/>
        <v/>
      </c>
      <c r="R74" s="31"/>
      <c r="S74" s="31"/>
      <c r="T74" s="31"/>
      <c r="U74" s="32" t="str">
        <f t="shared" si="13"/>
        <v/>
      </c>
      <c r="V74" s="32" t="str">
        <f t="shared" si="14"/>
        <v/>
      </c>
      <c r="W74" s="32" t="str">
        <f>IF(V74="","",VLOOKUP(MAX(V74,0),Reference!$A$17:$B$20,2,TRUE()))</f>
        <v/>
      </c>
      <c r="X74" s="31"/>
      <c r="Y74" s="31"/>
      <c r="Z74" s="31"/>
      <c r="AA74" s="32" t="str">
        <f t="shared" si="15"/>
        <v/>
      </c>
      <c r="AB74" s="32" t="str">
        <f t="shared" si="16"/>
        <v/>
      </c>
      <c r="AC74" s="32" t="str">
        <f>IF(AB74="","",VLOOKUP(MAX(AB74,0),Reference!$A$17:$B$20,2,TRUE()))</f>
        <v/>
      </c>
      <c r="AD74" s="31"/>
      <c r="AE74">
        <f t="shared" si="17"/>
        <v>1</v>
      </c>
      <c r="AF74" s="33" t="str">
        <f>IF(OR(A74="",B74="",AND(C74&lt;&gt;"Bullpen",C74&lt;&gt;"Game")),"",IF((COUNTIFS($B$5:$B$300,B74,$A$5:$A$300,A74-1,$C$5:$C$300,"Bullpen",$AG$5:$AG$300,"&gt;0") + COUNTIFS($B$5:$B$300,B74,$A$5:$A$300,A74-1,$C$5:$C$300,"Game",$AG$5:$AG$300,"&gt;0"))&gt;0,Reference!$B$119,IF((COUNTIFS($B$5:$B$300,B74,$A$5:$A$300,A74-2,$C$5:$C$300,"Bullpen",$AG$5:$AG$300,"&gt;0") + COUNTIFS($B$5:$B$300,B74,$A$5:$A$300,A74-2,$C$5:$C$300,"Game",$AG$5:$AG$300,"&gt;0"))&gt;0,Reference!$B$120,1)))</f>
        <v/>
      </c>
      <c r="AG74" s="30" t="str">
        <f>IF(AND(OR(I74="",O74="",P74=""),OR(R74="",W74=""),OR(X74="",AC74="")),"",IF(OR(I74="",O74="",P74=""),0,I74*O74*P74)+IF(OR(R74="",W74=""),0,R74*IFERROR(INDEX(Reference!$B$61:$B$62,MATCH("Bullpen",Reference!$A$61:$A$62,0)),0)*W74)+IF(OR(X74="",AC74=""),0,X74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74))</f>
        <v/>
      </c>
    </row>
    <row r="75" spans="1:33" x14ac:dyDescent="0.3">
      <c r="A75" s="35"/>
      <c r="B75" s="31"/>
      <c r="C75" s="31"/>
      <c r="D75" s="31"/>
      <c r="E75" s="34"/>
      <c r="F75" s="34"/>
      <c r="G75" s="30" t="str">
        <f t="shared" si="9"/>
        <v/>
      </c>
      <c r="H75" s="31"/>
      <c r="I75" s="32" t="str">
        <f>IF(H75&lt;&gt;"",H75,IF(G75="","",ROUND(G75*IFERROR(INDEX(Reference!$B$44:$B$50,MATCH(C75,Reference!$A$44:$A$50,0)),0),0)))</f>
        <v/>
      </c>
      <c r="J75" s="31"/>
      <c r="K75" s="31"/>
      <c r="L75" s="32" t="str">
        <f t="shared" si="10"/>
        <v/>
      </c>
      <c r="M75" s="32" t="str">
        <f>IFERROR(INDEX(Roster!$D$5:$D$40,MATCH(B75,Roster!$A$5:$A$40,0)),"")</f>
        <v/>
      </c>
      <c r="N75" s="32" t="str">
        <f t="shared" si="11"/>
        <v/>
      </c>
      <c r="O75" s="32" t="str">
        <f>IF(OR(C75="Bullpen",C75="Game"),IFERROR(INDEX(Reference!$B$61:$B$62,MATCH(C75,Reference!$A$61:$A$62,0)),""),IF(D75="","",IF(AE75&gt;1,((IF(1&lt;=AE75,(AE75-1+3)*(INDEX(Reference!$B$6:$B$11,MIN(5,MATCH(MAX(Reference!$A$6,MIN(Reference!$A$11,MIN(D75,90))),Reference!$A$6:$A$11,1)))+(MAX(Reference!$A$6,MIN(Reference!$A$11,MIN(D75,90)))-INDEX(Reference!$A$6:$A$11,MIN(5,MATCH(MAX(Reference!$A$6,MIN(Reference!$A$11,MIN(D75,90))),Reference!$A$6:$A$11,1))))*(INDEX(Reference!$B$6:$B$11,MIN(5,MATCH(MAX(Reference!$A$6,MIN(Reference!$A$11,MIN(D75,90))),Reference!$A$6:$A$11,1))+1)-INDEX(Reference!$B$6:$B$11,MIN(5,MATCH(MAX(Reference!$A$6,MIN(Reference!$A$11,MIN(D75,90))),Reference!$A$6:$A$11,1))))/(INDEX(Reference!$A$6:$A$11,MIN(5,MATCH(MAX(Reference!$A$6,MIN(Reference!$A$11,MIN(D75,90))),Reference!$A$6:$A$11,1))+1)-INDEX(Reference!$A$6:$A$11,MIN(5,MATCH(MAX(Reference!$A$6,MIN(Reference!$A$11,MIN(D75,90))),Reference!$A$6:$A$11,1))))),0)+IF(2&lt;=AE75,(AE75-2+3)*(INDEX(Reference!$B$6:$B$11,MIN(5,MATCH(MAX(Reference!$A$6,MIN(Reference!$A$11,MIN(D75,120))),Reference!$A$6:$A$11,1)))+(MAX(Reference!$A$6,MIN(Reference!$A$11,MIN(D75,120)))-INDEX(Reference!$A$6:$A$11,MIN(5,MATCH(MAX(Reference!$A$6,MIN(Reference!$A$11,MIN(D75,120))),Reference!$A$6:$A$11,1))))*(INDEX(Reference!$B$6:$B$11,MIN(5,MATCH(MAX(Reference!$A$6,MIN(Reference!$A$11,MIN(D75,120))),Reference!$A$6:$A$11,1))+1)-INDEX(Reference!$B$6:$B$11,MIN(5,MATCH(MAX(Reference!$A$6,MIN(Reference!$A$11,MIN(D75,120))),Reference!$A$6:$A$11,1))))/(INDEX(Reference!$A$6:$A$11,MIN(5,MATCH(MAX(Reference!$A$6,MIN(Reference!$A$11,MIN(D75,120))),Reference!$A$6:$A$11,1))+1)-INDEX(Reference!$A$6:$A$11,MIN(5,MATCH(MAX(Reference!$A$6,MIN(Reference!$A$11,MIN(D75,120))),Reference!$A$6:$A$11,1))))),0)+IF(3&lt;=AE75,(AE75-3+3)*(INDEX(Reference!$B$6:$B$11,MIN(5,MATCH(MAX(Reference!$A$6,MIN(Reference!$A$11,MIN(D75,150))),Reference!$A$6:$A$11,1)))+(MAX(Reference!$A$6,MIN(Reference!$A$11,MIN(D75,150)))-INDEX(Reference!$A$6:$A$11,MIN(5,MATCH(MAX(Reference!$A$6,MIN(Reference!$A$11,MIN(D75,150))),Reference!$A$6:$A$11,1))))*(INDEX(Reference!$B$6:$B$11,MIN(5,MATCH(MAX(Reference!$A$6,MIN(Reference!$A$11,MIN(D75,150))),Reference!$A$6:$A$11,1))+1)-INDEX(Reference!$B$6:$B$11,MIN(5,MATCH(MAX(Reference!$A$6,MIN(Reference!$A$11,MIN(D75,150))),Reference!$A$6:$A$11,1))))/(INDEX(Reference!$A$6:$A$11,MIN(5,MATCH(MAX(Reference!$A$6,MIN(Reference!$A$11,MIN(D75,150))),Reference!$A$6:$A$11,1))+1)-INDEX(Reference!$A$6:$A$11,MIN(5,MATCH(MAX(Reference!$A$6,MIN(Reference!$A$11,MIN(D75,150))),Reference!$A$6:$A$11,1))))),0)+IF(4&lt;=AE75,(AE75-4+3)*(INDEX(Reference!$B$6:$B$11,MIN(5,MATCH(MAX(Reference!$A$6,MIN(Reference!$A$11,MIN(D75,180))),Reference!$A$6:$A$11,1)))+(MAX(Reference!$A$6,MIN(Reference!$A$11,MIN(D75,180)))-INDEX(Reference!$A$6:$A$11,MIN(5,MATCH(MAX(Reference!$A$6,MIN(Reference!$A$11,MIN(D75,180))),Reference!$A$6:$A$11,1))))*(INDEX(Reference!$B$6:$B$11,MIN(5,MATCH(MAX(Reference!$A$6,MIN(Reference!$A$11,MIN(D75,180))),Reference!$A$6:$A$11,1))+1)-INDEX(Reference!$B$6:$B$11,MIN(5,MATCH(MAX(Reference!$A$6,MIN(Reference!$A$11,MIN(D75,180))),Reference!$A$6:$A$11,1))))/(INDEX(Reference!$A$6:$A$11,MIN(5,MATCH(MAX(Reference!$A$6,MIN(Reference!$A$11,MIN(D75,180))),Reference!$A$6:$A$11,1))+1)-INDEX(Reference!$A$6:$A$11,MIN(5,MATCH(MAX(Reference!$A$6,MIN(Reference!$A$11,MIN(D75,180))),Reference!$A$6:$A$11,1))))),0)+IF(5&lt;=AE75,(AE75-5+3)*(INDEX(Reference!$B$6:$B$11,MIN(5,MATCH(MAX(Reference!$A$6,MIN(Reference!$A$11,MIN(D75,210))),Reference!$A$6:$A$11,1)))+(MAX(Reference!$A$6,MIN(Reference!$A$11,MIN(D75,210)))-INDEX(Reference!$A$6:$A$11,MIN(5,MATCH(MAX(Reference!$A$6,MIN(Reference!$A$11,MIN(D75,210))),Reference!$A$6:$A$11,1))))*(INDEX(Reference!$B$6:$B$11,MIN(5,MATCH(MAX(Reference!$A$6,MIN(Reference!$A$11,MIN(D75,210))),Reference!$A$6:$A$11,1))+1)-INDEX(Reference!$B$6:$B$11,MIN(5,MATCH(MAX(Reference!$A$6,MIN(Reference!$A$11,MIN(D75,210))),Reference!$A$6:$A$11,1))))/(INDEX(Reference!$A$6:$A$11,MIN(5,MATCH(MAX(Reference!$A$6,MIN(Reference!$A$11,MIN(D75,210))),Reference!$A$6:$A$11,1))+1)-INDEX(Reference!$A$6:$A$11,MIN(5,MATCH(MAX(Reference!$A$6,MIN(Reference!$A$11,MIN(D75,210))),Reference!$A$6:$A$11,1))))),0)+IF(6&lt;=AE75,(AE75-6+3)*(INDEX(Reference!$B$6:$B$11,MIN(5,MATCH(MAX(Reference!$A$6,MIN(Reference!$A$11,MIN(D75,240))),Reference!$A$6:$A$11,1)))+(MAX(Reference!$A$6,MIN(Reference!$A$11,MIN(D75,240)))-INDEX(Reference!$A$6:$A$11,MIN(5,MATCH(MAX(Reference!$A$6,MIN(Reference!$A$11,MIN(D75,240))),Reference!$A$6:$A$11,1))))*(INDEX(Reference!$B$6:$B$11,MIN(5,MATCH(MAX(Reference!$A$6,MIN(Reference!$A$11,MIN(D75,240))),Reference!$A$6:$A$11,1))+1)-INDEX(Reference!$B$6:$B$11,MIN(5,MATCH(MAX(Reference!$A$6,MIN(Reference!$A$11,MIN(D75,240))),Reference!$A$6:$A$11,1))))/(INDEX(Reference!$A$6:$A$11,MIN(5,MATCH(MAX(Reference!$A$6,MIN(Reference!$A$11,MIN(D75,240))),Reference!$A$6:$A$11,1))+1)-INDEX(Reference!$A$6:$A$11,MIN(5,MATCH(MAX(Reference!$A$6,MIN(Reference!$A$11,MIN(D75,240))),Reference!$A$6:$A$11,1))))),0)+IF(7&lt;=AE75,(AE75-7+3)*(INDEX(Reference!$B$6:$B$11,MIN(5,MATCH(MAX(Reference!$A$6,MIN(Reference!$A$11,MIN(D75,270))),Reference!$A$6:$A$11,1)))+(MAX(Reference!$A$6,MIN(Reference!$A$11,MIN(D75,270)))-INDEX(Reference!$A$6:$A$11,MIN(5,MATCH(MAX(Reference!$A$6,MIN(Reference!$A$11,MIN(D75,270))),Reference!$A$6:$A$11,1))))*(INDEX(Reference!$B$6:$B$11,MIN(5,MATCH(MAX(Reference!$A$6,MIN(Reference!$A$11,MIN(D75,270))),Reference!$A$6:$A$11,1))+1)-INDEX(Reference!$B$6:$B$11,MIN(5,MATCH(MAX(Reference!$A$6,MIN(Reference!$A$11,MIN(D75,270))),Reference!$A$6:$A$11,1))))/(INDEX(Reference!$A$6:$A$11,MIN(5,MATCH(MAX(Reference!$A$6,MIN(Reference!$A$11,MIN(D75,270))),Reference!$A$6:$A$11,1))+1)-INDEX(Reference!$A$6:$A$11,MIN(5,MATCH(MAX(Reference!$A$6,MIN(Reference!$A$11,MIN(D75,270))),Reference!$A$6:$A$11,1))))),0)+IF(8&lt;=AE75,(AE75-8+3)*(INDEX(Reference!$B$6:$B$11,MIN(5,MATCH(MAX(Reference!$A$6,MIN(Reference!$A$11,MIN(D75,300))),Reference!$A$6:$A$11,1)))+(MAX(Reference!$A$6,MIN(Reference!$A$11,MIN(D75,300)))-INDEX(Reference!$A$6:$A$11,MIN(5,MATCH(MAX(Reference!$A$6,MIN(Reference!$A$11,MIN(D75,300))),Reference!$A$6:$A$11,1))))*(INDEX(Reference!$B$6:$B$11,MIN(5,MATCH(MAX(Reference!$A$6,MIN(Reference!$A$11,MIN(D75,300))),Reference!$A$6:$A$11,1))+1)-INDEX(Reference!$B$6:$B$11,MIN(5,MATCH(MAX(Reference!$A$6,MIN(Reference!$A$11,MIN(D75,300))),Reference!$A$6:$A$11,1))))/(INDEX(Reference!$A$6:$A$11,MIN(5,MATCH(MAX(Reference!$A$6,MIN(Reference!$A$11,MIN(D75,300))),Reference!$A$6:$A$11,1))+1)-INDEX(Reference!$A$6:$A$11,MIN(5,MATCH(MAX(Reference!$A$6,MIN(Reference!$A$11,MIN(D75,300))),Reference!$A$6:$A$11,1))))),0))/(AE75*(AE75+5)/2)),(INDEX(Reference!$B$6:$B$11,MIN(5,MATCH(MAX(Reference!$A$6,MIN(Reference!$A$11,D75)),Reference!$A$6:$A$11,1)))+(MAX(Reference!$A$6,MIN(Reference!$A$11,D75))-INDEX(Reference!$A$6:$A$11,MIN(5,MATCH(MAX(Reference!$A$6,MIN(Reference!$A$11,D75)),Reference!$A$6:$A$11,1))))*(INDEX(Reference!$B$6:$B$11,MIN(5,MATCH(MAX(Reference!$A$6,MIN(Reference!$A$11,D75)),Reference!$A$6:$A$11,1))+1)-INDEX(Reference!$B$6:$B$11,MIN(5,MATCH(MAX(Reference!$A$6,MIN(Reference!$A$11,D75)),Reference!$A$6:$A$11,1))))/(INDEX(Reference!$A$6:$A$11,MIN(5,MATCH(MAX(Reference!$A$6,MIN(Reference!$A$11,D75)),Reference!$A$6:$A$11,1))+1)-INDEX(Reference!$A$6:$A$11,MIN(5,MATCH(MAX(Reference!$A$6,MIN(Reference!$A$11,D75)),Reference!$A$6:$A$11,1))))))))</f>
        <v/>
      </c>
      <c r="P75" s="32" t="str">
        <f>IF(N75="","",VLOOKUP(MAX(N75,0),Reference!$A$17:$B$20,2,TRUE()))</f>
        <v/>
      </c>
      <c r="Q75" s="32" t="str">
        <f t="shared" si="12"/>
        <v/>
      </c>
      <c r="R75" s="31"/>
      <c r="S75" s="31"/>
      <c r="T75" s="31"/>
      <c r="U75" s="32" t="str">
        <f t="shared" si="13"/>
        <v/>
      </c>
      <c r="V75" s="32" t="str">
        <f t="shared" si="14"/>
        <v/>
      </c>
      <c r="W75" s="32" t="str">
        <f>IF(V75="","",VLOOKUP(MAX(V75,0),Reference!$A$17:$B$20,2,TRUE()))</f>
        <v/>
      </c>
      <c r="X75" s="31"/>
      <c r="Y75" s="31"/>
      <c r="Z75" s="31"/>
      <c r="AA75" s="32" t="str">
        <f t="shared" si="15"/>
        <v/>
      </c>
      <c r="AB75" s="32" t="str">
        <f t="shared" si="16"/>
        <v/>
      </c>
      <c r="AC75" s="32" t="str">
        <f>IF(AB75="","",VLOOKUP(MAX(AB75,0),Reference!$A$17:$B$20,2,TRUE()))</f>
        <v/>
      </c>
      <c r="AD75" s="31"/>
      <c r="AE75">
        <f t="shared" si="17"/>
        <v>1</v>
      </c>
      <c r="AF75" s="33" t="str">
        <f>IF(OR(A75="",B75="",AND(C75&lt;&gt;"Bullpen",C75&lt;&gt;"Game")),"",IF((COUNTIFS($B$5:$B$300,B75,$A$5:$A$300,A75-1,$C$5:$C$300,"Bullpen",$AG$5:$AG$300,"&gt;0") + COUNTIFS($B$5:$B$300,B75,$A$5:$A$300,A75-1,$C$5:$C$300,"Game",$AG$5:$AG$300,"&gt;0"))&gt;0,Reference!$B$119,IF((COUNTIFS($B$5:$B$300,B75,$A$5:$A$300,A75-2,$C$5:$C$300,"Bullpen",$AG$5:$AG$300,"&gt;0") + COUNTIFS($B$5:$B$300,B75,$A$5:$A$300,A75-2,$C$5:$C$300,"Game",$AG$5:$AG$300,"&gt;0"))&gt;0,Reference!$B$120,1)))</f>
        <v/>
      </c>
      <c r="AG75" s="30" t="str">
        <f>IF(AND(OR(I75="",O75="",P75=""),OR(R75="",W75=""),OR(X75="",AC75="")),"",IF(OR(I75="",O75="",P75=""),0,I75*O75*P75)+IF(OR(R75="",W75=""),0,R75*IFERROR(INDEX(Reference!$B$61:$B$62,MATCH("Bullpen",Reference!$A$61:$A$62,0)),0)*W75)+IF(OR(X75="",AC75=""),0,X75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75))</f>
        <v/>
      </c>
    </row>
    <row r="76" spans="1:33" x14ac:dyDescent="0.3">
      <c r="A76" s="35"/>
      <c r="B76" s="31"/>
      <c r="C76" s="31"/>
      <c r="D76" s="31"/>
      <c r="E76" s="34"/>
      <c r="F76" s="34"/>
      <c r="G76" s="30" t="str">
        <f t="shared" si="9"/>
        <v/>
      </c>
      <c r="H76" s="31"/>
      <c r="I76" s="32" t="str">
        <f>IF(H76&lt;&gt;"",H76,IF(G76="","",ROUND(G76*IFERROR(INDEX(Reference!$B$44:$B$50,MATCH(C76,Reference!$A$44:$A$50,0)),0),0)))</f>
        <v/>
      </c>
      <c r="J76" s="31"/>
      <c r="K76" s="31"/>
      <c r="L76" s="32" t="str">
        <f t="shared" si="10"/>
        <v/>
      </c>
      <c r="M76" s="32" t="str">
        <f>IFERROR(INDEX(Roster!$D$5:$D$40,MATCH(B76,Roster!$A$5:$A$40,0)),"")</f>
        <v/>
      </c>
      <c r="N76" s="32" t="str">
        <f t="shared" si="11"/>
        <v/>
      </c>
      <c r="O76" s="32" t="str">
        <f>IF(OR(C76="Bullpen",C76="Game"),IFERROR(INDEX(Reference!$B$61:$B$62,MATCH(C76,Reference!$A$61:$A$62,0)),""),IF(D76="","",IF(AE76&gt;1,((IF(1&lt;=AE76,(AE76-1+3)*(INDEX(Reference!$B$6:$B$11,MIN(5,MATCH(MAX(Reference!$A$6,MIN(Reference!$A$11,MIN(D76,90))),Reference!$A$6:$A$11,1)))+(MAX(Reference!$A$6,MIN(Reference!$A$11,MIN(D76,90)))-INDEX(Reference!$A$6:$A$11,MIN(5,MATCH(MAX(Reference!$A$6,MIN(Reference!$A$11,MIN(D76,90))),Reference!$A$6:$A$11,1))))*(INDEX(Reference!$B$6:$B$11,MIN(5,MATCH(MAX(Reference!$A$6,MIN(Reference!$A$11,MIN(D76,90))),Reference!$A$6:$A$11,1))+1)-INDEX(Reference!$B$6:$B$11,MIN(5,MATCH(MAX(Reference!$A$6,MIN(Reference!$A$11,MIN(D76,90))),Reference!$A$6:$A$11,1))))/(INDEX(Reference!$A$6:$A$11,MIN(5,MATCH(MAX(Reference!$A$6,MIN(Reference!$A$11,MIN(D76,90))),Reference!$A$6:$A$11,1))+1)-INDEX(Reference!$A$6:$A$11,MIN(5,MATCH(MAX(Reference!$A$6,MIN(Reference!$A$11,MIN(D76,90))),Reference!$A$6:$A$11,1))))),0)+IF(2&lt;=AE76,(AE76-2+3)*(INDEX(Reference!$B$6:$B$11,MIN(5,MATCH(MAX(Reference!$A$6,MIN(Reference!$A$11,MIN(D76,120))),Reference!$A$6:$A$11,1)))+(MAX(Reference!$A$6,MIN(Reference!$A$11,MIN(D76,120)))-INDEX(Reference!$A$6:$A$11,MIN(5,MATCH(MAX(Reference!$A$6,MIN(Reference!$A$11,MIN(D76,120))),Reference!$A$6:$A$11,1))))*(INDEX(Reference!$B$6:$B$11,MIN(5,MATCH(MAX(Reference!$A$6,MIN(Reference!$A$11,MIN(D76,120))),Reference!$A$6:$A$11,1))+1)-INDEX(Reference!$B$6:$B$11,MIN(5,MATCH(MAX(Reference!$A$6,MIN(Reference!$A$11,MIN(D76,120))),Reference!$A$6:$A$11,1))))/(INDEX(Reference!$A$6:$A$11,MIN(5,MATCH(MAX(Reference!$A$6,MIN(Reference!$A$11,MIN(D76,120))),Reference!$A$6:$A$11,1))+1)-INDEX(Reference!$A$6:$A$11,MIN(5,MATCH(MAX(Reference!$A$6,MIN(Reference!$A$11,MIN(D76,120))),Reference!$A$6:$A$11,1))))),0)+IF(3&lt;=AE76,(AE76-3+3)*(INDEX(Reference!$B$6:$B$11,MIN(5,MATCH(MAX(Reference!$A$6,MIN(Reference!$A$11,MIN(D76,150))),Reference!$A$6:$A$11,1)))+(MAX(Reference!$A$6,MIN(Reference!$A$11,MIN(D76,150)))-INDEX(Reference!$A$6:$A$11,MIN(5,MATCH(MAX(Reference!$A$6,MIN(Reference!$A$11,MIN(D76,150))),Reference!$A$6:$A$11,1))))*(INDEX(Reference!$B$6:$B$11,MIN(5,MATCH(MAX(Reference!$A$6,MIN(Reference!$A$11,MIN(D76,150))),Reference!$A$6:$A$11,1))+1)-INDEX(Reference!$B$6:$B$11,MIN(5,MATCH(MAX(Reference!$A$6,MIN(Reference!$A$11,MIN(D76,150))),Reference!$A$6:$A$11,1))))/(INDEX(Reference!$A$6:$A$11,MIN(5,MATCH(MAX(Reference!$A$6,MIN(Reference!$A$11,MIN(D76,150))),Reference!$A$6:$A$11,1))+1)-INDEX(Reference!$A$6:$A$11,MIN(5,MATCH(MAX(Reference!$A$6,MIN(Reference!$A$11,MIN(D76,150))),Reference!$A$6:$A$11,1))))),0)+IF(4&lt;=AE76,(AE76-4+3)*(INDEX(Reference!$B$6:$B$11,MIN(5,MATCH(MAX(Reference!$A$6,MIN(Reference!$A$11,MIN(D76,180))),Reference!$A$6:$A$11,1)))+(MAX(Reference!$A$6,MIN(Reference!$A$11,MIN(D76,180)))-INDEX(Reference!$A$6:$A$11,MIN(5,MATCH(MAX(Reference!$A$6,MIN(Reference!$A$11,MIN(D76,180))),Reference!$A$6:$A$11,1))))*(INDEX(Reference!$B$6:$B$11,MIN(5,MATCH(MAX(Reference!$A$6,MIN(Reference!$A$11,MIN(D76,180))),Reference!$A$6:$A$11,1))+1)-INDEX(Reference!$B$6:$B$11,MIN(5,MATCH(MAX(Reference!$A$6,MIN(Reference!$A$11,MIN(D76,180))),Reference!$A$6:$A$11,1))))/(INDEX(Reference!$A$6:$A$11,MIN(5,MATCH(MAX(Reference!$A$6,MIN(Reference!$A$11,MIN(D76,180))),Reference!$A$6:$A$11,1))+1)-INDEX(Reference!$A$6:$A$11,MIN(5,MATCH(MAX(Reference!$A$6,MIN(Reference!$A$11,MIN(D76,180))),Reference!$A$6:$A$11,1))))),0)+IF(5&lt;=AE76,(AE76-5+3)*(INDEX(Reference!$B$6:$B$11,MIN(5,MATCH(MAX(Reference!$A$6,MIN(Reference!$A$11,MIN(D76,210))),Reference!$A$6:$A$11,1)))+(MAX(Reference!$A$6,MIN(Reference!$A$11,MIN(D76,210)))-INDEX(Reference!$A$6:$A$11,MIN(5,MATCH(MAX(Reference!$A$6,MIN(Reference!$A$11,MIN(D76,210))),Reference!$A$6:$A$11,1))))*(INDEX(Reference!$B$6:$B$11,MIN(5,MATCH(MAX(Reference!$A$6,MIN(Reference!$A$11,MIN(D76,210))),Reference!$A$6:$A$11,1))+1)-INDEX(Reference!$B$6:$B$11,MIN(5,MATCH(MAX(Reference!$A$6,MIN(Reference!$A$11,MIN(D76,210))),Reference!$A$6:$A$11,1))))/(INDEX(Reference!$A$6:$A$11,MIN(5,MATCH(MAX(Reference!$A$6,MIN(Reference!$A$11,MIN(D76,210))),Reference!$A$6:$A$11,1))+1)-INDEX(Reference!$A$6:$A$11,MIN(5,MATCH(MAX(Reference!$A$6,MIN(Reference!$A$11,MIN(D76,210))),Reference!$A$6:$A$11,1))))),0)+IF(6&lt;=AE76,(AE76-6+3)*(INDEX(Reference!$B$6:$B$11,MIN(5,MATCH(MAX(Reference!$A$6,MIN(Reference!$A$11,MIN(D76,240))),Reference!$A$6:$A$11,1)))+(MAX(Reference!$A$6,MIN(Reference!$A$11,MIN(D76,240)))-INDEX(Reference!$A$6:$A$11,MIN(5,MATCH(MAX(Reference!$A$6,MIN(Reference!$A$11,MIN(D76,240))),Reference!$A$6:$A$11,1))))*(INDEX(Reference!$B$6:$B$11,MIN(5,MATCH(MAX(Reference!$A$6,MIN(Reference!$A$11,MIN(D76,240))),Reference!$A$6:$A$11,1))+1)-INDEX(Reference!$B$6:$B$11,MIN(5,MATCH(MAX(Reference!$A$6,MIN(Reference!$A$11,MIN(D76,240))),Reference!$A$6:$A$11,1))))/(INDEX(Reference!$A$6:$A$11,MIN(5,MATCH(MAX(Reference!$A$6,MIN(Reference!$A$11,MIN(D76,240))),Reference!$A$6:$A$11,1))+1)-INDEX(Reference!$A$6:$A$11,MIN(5,MATCH(MAX(Reference!$A$6,MIN(Reference!$A$11,MIN(D76,240))),Reference!$A$6:$A$11,1))))),0)+IF(7&lt;=AE76,(AE76-7+3)*(INDEX(Reference!$B$6:$B$11,MIN(5,MATCH(MAX(Reference!$A$6,MIN(Reference!$A$11,MIN(D76,270))),Reference!$A$6:$A$11,1)))+(MAX(Reference!$A$6,MIN(Reference!$A$11,MIN(D76,270)))-INDEX(Reference!$A$6:$A$11,MIN(5,MATCH(MAX(Reference!$A$6,MIN(Reference!$A$11,MIN(D76,270))),Reference!$A$6:$A$11,1))))*(INDEX(Reference!$B$6:$B$11,MIN(5,MATCH(MAX(Reference!$A$6,MIN(Reference!$A$11,MIN(D76,270))),Reference!$A$6:$A$11,1))+1)-INDEX(Reference!$B$6:$B$11,MIN(5,MATCH(MAX(Reference!$A$6,MIN(Reference!$A$11,MIN(D76,270))),Reference!$A$6:$A$11,1))))/(INDEX(Reference!$A$6:$A$11,MIN(5,MATCH(MAX(Reference!$A$6,MIN(Reference!$A$11,MIN(D76,270))),Reference!$A$6:$A$11,1))+1)-INDEX(Reference!$A$6:$A$11,MIN(5,MATCH(MAX(Reference!$A$6,MIN(Reference!$A$11,MIN(D76,270))),Reference!$A$6:$A$11,1))))),0)+IF(8&lt;=AE76,(AE76-8+3)*(INDEX(Reference!$B$6:$B$11,MIN(5,MATCH(MAX(Reference!$A$6,MIN(Reference!$A$11,MIN(D76,300))),Reference!$A$6:$A$11,1)))+(MAX(Reference!$A$6,MIN(Reference!$A$11,MIN(D76,300)))-INDEX(Reference!$A$6:$A$11,MIN(5,MATCH(MAX(Reference!$A$6,MIN(Reference!$A$11,MIN(D76,300))),Reference!$A$6:$A$11,1))))*(INDEX(Reference!$B$6:$B$11,MIN(5,MATCH(MAX(Reference!$A$6,MIN(Reference!$A$11,MIN(D76,300))),Reference!$A$6:$A$11,1))+1)-INDEX(Reference!$B$6:$B$11,MIN(5,MATCH(MAX(Reference!$A$6,MIN(Reference!$A$11,MIN(D76,300))),Reference!$A$6:$A$11,1))))/(INDEX(Reference!$A$6:$A$11,MIN(5,MATCH(MAX(Reference!$A$6,MIN(Reference!$A$11,MIN(D76,300))),Reference!$A$6:$A$11,1))+1)-INDEX(Reference!$A$6:$A$11,MIN(5,MATCH(MAX(Reference!$A$6,MIN(Reference!$A$11,MIN(D76,300))),Reference!$A$6:$A$11,1))))),0))/(AE76*(AE76+5)/2)),(INDEX(Reference!$B$6:$B$11,MIN(5,MATCH(MAX(Reference!$A$6,MIN(Reference!$A$11,D76)),Reference!$A$6:$A$11,1)))+(MAX(Reference!$A$6,MIN(Reference!$A$11,D76))-INDEX(Reference!$A$6:$A$11,MIN(5,MATCH(MAX(Reference!$A$6,MIN(Reference!$A$11,D76)),Reference!$A$6:$A$11,1))))*(INDEX(Reference!$B$6:$B$11,MIN(5,MATCH(MAX(Reference!$A$6,MIN(Reference!$A$11,D76)),Reference!$A$6:$A$11,1))+1)-INDEX(Reference!$B$6:$B$11,MIN(5,MATCH(MAX(Reference!$A$6,MIN(Reference!$A$11,D76)),Reference!$A$6:$A$11,1))))/(INDEX(Reference!$A$6:$A$11,MIN(5,MATCH(MAX(Reference!$A$6,MIN(Reference!$A$11,D76)),Reference!$A$6:$A$11,1))+1)-INDEX(Reference!$A$6:$A$11,MIN(5,MATCH(MAX(Reference!$A$6,MIN(Reference!$A$11,D76)),Reference!$A$6:$A$11,1))))))))</f>
        <v/>
      </c>
      <c r="P76" s="32" t="str">
        <f>IF(N76="","",VLOOKUP(MAX(N76,0),Reference!$A$17:$B$20,2,TRUE()))</f>
        <v/>
      </c>
      <c r="Q76" s="32" t="str">
        <f t="shared" si="12"/>
        <v/>
      </c>
      <c r="R76" s="31"/>
      <c r="S76" s="31"/>
      <c r="T76" s="31"/>
      <c r="U76" s="32" t="str">
        <f t="shared" si="13"/>
        <v/>
      </c>
      <c r="V76" s="32" t="str">
        <f t="shared" si="14"/>
        <v/>
      </c>
      <c r="W76" s="32" t="str">
        <f>IF(V76="","",VLOOKUP(MAX(V76,0),Reference!$A$17:$B$20,2,TRUE()))</f>
        <v/>
      </c>
      <c r="X76" s="31"/>
      <c r="Y76" s="31"/>
      <c r="Z76" s="31"/>
      <c r="AA76" s="32" t="str">
        <f t="shared" si="15"/>
        <v/>
      </c>
      <c r="AB76" s="32" t="str">
        <f t="shared" si="16"/>
        <v/>
      </c>
      <c r="AC76" s="32" t="str">
        <f>IF(AB76="","",VLOOKUP(MAX(AB76,0),Reference!$A$17:$B$20,2,TRUE()))</f>
        <v/>
      </c>
      <c r="AD76" s="31"/>
      <c r="AE76">
        <f t="shared" si="17"/>
        <v>1</v>
      </c>
      <c r="AF76" s="33" t="str">
        <f>IF(OR(A76="",B76="",AND(C76&lt;&gt;"Bullpen",C76&lt;&gt;"Game")),"",IF((COUNTIFS($B$5:$B$300,B76,$A$5:$A$300,A76-1,$C$5:$C$300,"Bullpen",$AG$5:$AG$300,"&gt;0") + COUNTIFS($B$5:$B$300,B76,$A$5:$A$300,A76-1,$C$5:$C$300,"Game",$AG$5:$AG$300,"&gt;0"))&gt;0,Reference!$B$119,IF((COUNTIFS($B$5:$B$300,B76,$A$5:$A$300,A76-2,$C$5:$C$300,"Bullpen",$AG$5:$AG$300,"&gt;0") + COUNTIFS($B$5:$B$300,B76,$A$5:$A$300,A76-2,$C$5:$C$300,"Game",$AG$5:$AG$300,"&gt;0"))&gt;0,Reference!$B$120,1)))</f>
        <v/>
      </c>
      <c r="AG76" s="30" t="str">
        <f>IF(AND(OR(I76="",O76="",P76=""),OR(R76="",W76=""),OR(X76="",AC76="")),"",IF(OR(I76="",O76="",P76=""),0,I76*O76*P76)+IF(OR(R76="",W76=""),0,R76*IFERROR(INDEX(Reference!$B$61:$B$62,MATCH("Bullpen",Reference!$A$61:$A$62,0)),0)*W76)+IF(OR(X76="",AC76=""),0,X76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76))</f>
        <v/>
      </c>
    </row>
    <row r="77" spans="1:33" x14ac:dyDescent="0.3">
      <c r="A77" s="35"/>
      <c r="B77" s="31"/>
      <c r="C77" s="31"/>
      <c r="D77" s="31"/>
      <c r="E77" s="34"/>
      <c r="F77" s="34"/>
      <c r="G77" s="30" t="str">
        <f t="shared" si="9"/>
        <v/>
      </c>
      <c r="H77" s="31"/>
      <c r="I77" s="32" t="str">
        <f>IF(H77&lt;&gt;"",H77,IF(G77="","",ROUND(G77*IFERROR(INDEX(Reference!$B$44:$B$50,MATCH(C77,Reference!$A$44:$A$50,0)),0),0)))</f>
        <v/>
      </c>
      <c r="J77" s="31"/>
      <c r="K77" s="31"/>
      <c r="L77" s="32" t="str">
        <f t="shared" si="10"/>
        <v/>
      </c>
      <c r="M77" s="32" t="str">
        <f>IFERROR(INDEX(Roster!$D$5:$D$40,MATCH(B77,Roster!$A$5:$A$40,0)),"")</f>
        <v/>
      </c>
      <c r="N77" s="32" t="str">
        <f t="shared" si="11"/>
        <v/>
      </c>
      <c r="O77" s="32" t="str">
        <f>IF(OR(C77="Bullpen",C77="Game"),IFERROR(INDEX(Reference!$B$61:$B$62,MATCH(C77,Reference!$A$61:$A$62,0)),""),IF(D77="","",IF(AE77&gt;1,((IF(1&lt;=AE77,(AE77-1+3)*(INDEX(Reference!$B$6:$B$11,MIN(5,MATCH(MAX(Reference!$A$6,MIN(Reference!$A$11,MIN(D77,90))),Reference!$A$6:$A$11,1)))+(MAX(Reference!$A$6,MIN(Reference!$A$11,MIN(D77,90)))-INDEX(Reference!$A$6:$A$11,MIN(5,MATCH(MAX(Reference!$A$6,MIN(Reference!$A$11,MIN(D77,90))),Reference!$A$6:$A$11,1))))*(INDEX(Reference!$B$6:$B$11,MIN(5,MATCH(MAX(Reference!$A$6,MIN(Reference!$A$11,MIN(D77,90))),Reference!$A$6:$A$11,1))+1)-INDEX(Reference!$B$6:$B$11,MIN(5,MATCH(MAX(Reference!$A$6,MIN(Reference!$A$11,MIN(D77,90))),Reference!$A$6:$A$11,1))))/(INDEX(Reference!$A$6:$A$11,MIN(5,MATCH(MAX(Reference!$A$6,MIN(Reference!$A$11,MIN(D77,90))),Reference!$A$6:$A$11,1))+1)-INDEX(Reference!$A$6:$A$11,MIN(5,MATCH(MAX(Reference!$A$6,MIN(Reference!$A$11,MIN(D77,90))),Reference!$A$6:$A$11,1))))),0)+IF(2&lt;=AE77,(AE77-2+3)*(INDEX(Reference!$B$6:$B$11,MIN(5,MATCH(MAX(Reference!$A$6,MIN(Reference!$A$11,MIN(D77,120))),Reference!$A$6:$A$11,1)))+(MAX(Reference!$A$6,MIN(Reference!$A$11,MIN(D77,120)))-INDEX(Reference!$A$6:$A$11,MIN(5,MATCH(MAX(Reference!$A$6,MIN(Reference!$A$11,MIN(D77,120))),Reference!$A$6:$A$11,1))))*(INDEX(Reference!$B$6:$B$11,MIN(5,MATCH(MAX(Reference!$A$6,MIN(Reference!$A$11,MIN(D77,120))),Reference!$A$6:$A$11,1))+1)-INDEX(Reference!$B$6:$B$11,MIN(5,MATCH(MAX(Reference!$A$6,MIN(Reference!$A$11,MIN(D77,120))),Reference!$A$6:$A$11,1))))/(INDEX(Reference!$A$6:$A$11,MIN(5,MATCH(MAX(Reference!$A$6,MIN(Reference!$A$11,MIN(D77,120))),Reference!$A$6:$A$11,1))+1)-INDEX(Reference!$A$6:$A$11,MIN(5,MATCH(MAX(Reference!$A$6,MIN(Reference!$A$11,MIN(D77,120))),Reference!$A$6:$A$11,1))))),0)+IF(3&lt;=AE77,(AE77-3+3)*(INDEX(Reference!$B$6:$B$11,MIN(5,MATCH(MAX(Reference!$A$6,MIN(Reference!$A$11,MIN(D77,150))),Reference!$A$6:$A$11,1)))+(MAX(Reference!$A$6,MIN(Reference!$A$11,MIN(D77,150)))-INDEX(Reference!$A$6:$A$11,MIN(5,MATCH(MAX(Reference!$A$6,MIN(Reference!$A$11,MIN(D77,150))),Reference!$A$6:$A$11,1))))*(INDEX(Reference!$B$6:$B$11,MIN(5,MATCH(MAX(Reference!$A$6,MIN(Reference!$A$11,MIN(D77,150))),Reference!$A$6:$A$11,1))+1)-INDEX(Reference!$B$6:$B$11,MIN(5,MATCH(MAX(Reference!$A$6,MIN(Reference!$A$11,MIN(D77,150))),Reference!$A$6:$A$11,1))))/(INDEX(Reference!$A$6:$A$11,MIN(5,MATCH(MAX(Reference!$A$6,MIN(Reference!$A$11,MIN(D77,150))),Reference!$A$6:$A$11,1))+1)-INDEX(Reference!$A$6:$A$11,MIN(5,MATCH(MAX(Reference!$A$6,MIN(Reference!$A$11,MIN(D77,150))),Reference!$A$6:$A$11,1))))),0)+IF(4&lt;=AE77,(AE77-4+3)*(INDEX(Reference!$B$6:$B$11,MIN(5,MATCH(MAX(Reference!$A$6,MIN(Reference!$A$11,MIN(D77,180))),Reference!$A$6:$A$11,1)))+(MAX(Reference!$A$6,MIN(Reference!$A$11,MIN(D77,180)))-INDEX(Reference!$A$6:$A$11,MIN(5,MATCH(MAX(Reference!$A$6,MIN(Reference!$A$11,MIN(D77,180))),Reference!$A$6:$A$11,1))))*(INDEX(Reference!$B$6:$B$11,MIN(5,MATCH(MAX(Reference!$A$6,MIN(Reference!$A$11,MIN(D77,180))),Reference!$A$6:$A$11,1))+1)-INDEX(Reference!$B$6:$B$11,MIN(5,MATCH(MAX(Reference!$A$6,MIN(Reference!$A$11,MIN(D77,180))),Reference!$A$6:$A$11,1))))/(INDEX(Reference!$A$6:$A$11,MIN(5,MATCH(MAX(Reference!$A$6,MIN(Reference!$A$11,MIN(D77,180))),Reference!$A$6:$A$11,1))+1)-INDEX(Reference!$A$6:$A$11,MIN(5,MATCH(MAX(Reference!$A$6,MIN(Reference!$A$11,MIN(D77,180))),Reference!$A$6:$A$11,1))))),0)+IF(5&lt;=AE77,(AE77-5+3)*(INDEX(Reference!$B$6:$B$11,MIN(5,MATCH(MAX(Reference!$A$6,MIN(Reference!$A$11,MIN(D77,210))),Reference!$A$6:$A$11,1)))+(MAX(Reference!$A$6,MIN(Reference!$A$11,MIN(D77,210)))-INDEX(Reference!$A$6:$A$11,MIN(5,MATCH(MAX(Reference!$A$6,MIN(Reference!$A$11,MIN(D77,210))),Reference!$A$6:$A$11,1))))*(INDEX(Reference!$B$6:$B$11,MIN(5,MATCH(MAX(Reference!$A$6,MIN(Reference!$A$11,MIN(D77,210))),Reference!$A$6:$A$11,1))+1)-INDEX(Reference!$B$6:$B$11,MIN(5,MATCH(MAX(Reference!$A$6,MIN(Reference!$A$11,MIN(D77,210))),Reference!$A$6:$A$11,1))))/(INDEX(Reference!$A$6:$A$11,MIN(5,MATCH(MAX(Reference!$A$6,MIN(Reference!$A$11,MIN(D77,210))),Reference!$A$6:$A$11,1))+1)-INDEX(Reference!$A$6:$A$11,MIN(5,MATCH(MAX(Reference!$A$6,MIN(Reference!$A$11,MIN(D77,210))),Reference!$A$6:$A$11,1))))),0)+IF(6&lt;=AE77,(AE77-6+3)*(INDEX(Reference!$B$6:$B$11,MIN(5,MATCH(MAX(Reference!$A$6,MIN(Reference!$A$11,MIN(D77,240))),Reference!$A$6:$A$11,1)))+(MAX(Reference!$A$6,MIN(Reference!$A$11,MIN(D77,240)))-INDEX(Reference!$A$6:$A$11,MIN(5,MATCH(MAX(Reference!$A$6,MIN(Reference!$A$11,MIN(D77,240))),Reference!$A$6:$A$11,1))))*(INDEX(Reference!$B$6:$B$11,MIN(5,MATCH(MAX(Reference!$A$6,MIN(Reference!$A$11,MIN(D77,240))),Reference!$A$6:$A$11,1))+1)-INDEX(Reference!$B$6:$B$11,MIN(5,MATCH(MAX(Reference!$A$6,MIN(Reference!$A$11,MIN(D77,240))),Reference!$A$6:$A$11,1))))/(INDEX(Reference!$A$6:$A$11,MIN(5,MATCH(MAX(Reference!$A$6,MIN(Reference!$A$11,MIN(D77,240))),Reference!$A$6:$A$11,1))+1)-INDEX(Reference!$A$6:$A$11,MIN(5,MATCH(MAX(Reference!$A$6,MIN(Reference!$A$11,MIN(D77,240))),Reference!$A$6:$A$11,1))))),0)+IF(7&lt;=AE77,(AE77-7+3)*(INDEX(Reference!$B$6:$B$11,MIN(5,MATCH(MAX(Reference!$A$6,MIN(Reference!$A$11,MIN(D77,270))),Reference!$A$6:$A$11,1)))+(MAX(Reference!$A$6,MIN(Reference!$A$11,MIN(D77,270)))-INDEX(Reference!$A$6:$A$11,MIN(5,MATCH(MAX(Reference!$A$6,MIN(Reference!$A$11,MIN(D77,270))),Reference!$A$6:$A$11,1))))*(INDEX(Reference!$B$6:$B$11,MIN(5,MATCH(MAX(Reference!$A$6,MIN(Reference!$A$11,MIN(D77,270))),Reference!$A$6:$A$11,1))+1)-INDEX(Reference!$B$6:$B$11,MIN(5,MATCH(MAX(Reference!$A$6,MIN(Reference!$A$11,MIN(D77,270))),Reference!$A$6:$A$11,1))))/(INDEX(Reference!$A$6:$A$11,MIN(5,MATCH(MAX(Reference!$A$6,MIN(Reference!$A$11,MIN(D77,270))),Reference!$A$6:$A$11,1))+1)-INDEX(Reference!$A$6:$A$11,MIN(5,MATCH(MAX(Reference!$A$6,MIN(Reference!$A$11,MIN(D77,270))),Reference!$A$6:$A$11,1))))),0)+IF(8&lt;=AE77,(AE77-8+3)*(INDEX(Reference!$B$6:$B$11,MIN(5,MATCH(MAX(Reference!$A$6,MIN(Reference!$A$11,MIN(D77,300))),Reference!$A$6:$A$11,1)))+(MAX(Reference!$A$6,MIN(Reference!$A$11,MIN(D77,300)))-INDEX(Reference!$A$6:$A$11,MIN(5,MATCH(MAX(Reference!$A$6,MIN(Reference!$A$11,MIN(D77,300))),Reference!$A$6:$A$11,1))))*(INDEX(Reference!$B$6:$B$11,MIN(5,MATCH(MAX(Reference!$A$6,MIN(Reference!$A$11,MIN(D77,300))),Reference!$A$6:$A$11,1))+1)-INDEX(Reference!$B$6:$B$11,MIN(5,MATCH(MAX(Reference!$A$6,MIN(Reference!$A$11,MIN(D77,300))),Reference!$A$6:$A$11,1))))/(INDEX(Reference!$A$6:$A$11,MIN(5,MATCH(MAX(Reference!$A$6,MIN(Reference!$A$11,MIN(D77,300))),Reference!$A$6:$A$11,1))+1)-INDEX(Reference!$A$6:$A$11,MIN(5,MATCH(MAX(Reference!$A$6,MIN(Reference!$A$11,MIN(D77,300))),Reference!$A$6:$A$11,1))))),0))/(AE77*(AE77+5)/2)),(INDEX(Reference!$B$6:$B$11,MIN(5,MATCH(MAX(Reference!$A$6,MIN(Reference!$A$11,D77)),Reference!$A$6:$A$11,1)))+(MAX(Reference!$A$6,MIN(Reference!$A$11,D77))-INDEX(Reference!$A$6:$A$11,MIN(5,MATCH(MAX(Reference!$A$6,MIN(Reference!$A$11,D77)),Reference!$A$6:$A$11,1))))*(INDEX(Reference!$B$6:$B$11,MIN(5,MATCH(MAX(Reference!$A$6,MIN(Reference!$A$11,D77)),Reference!$A$6:$A$11,1))+1)-INDEX(Reference!$B$6:$B$11,MIN(5,MATCH(MAX(Reference!$A$6,MIN(Reference!$A$11,D77)),Reference!$A$6:$A$11,1))))/(INDEX(Reference!$A$6:$A$11,MIN(5,MATCH(MAX(Reference!$A$6,MIN(Reference!$A$11,D77)),Reference!$A$6:$A$11,1))+1)-INDEX(Reference!$A$6:$A$11,MIN(5,MATCH(MAX(Reference!$A$6,MIN(Reference!$A$11,D77)),Reference!$A$6:$A$11,1))))))))</f>
        <v/>
      </c>
      <c r="P77" s="32" t="str">
        <f>IF(N77="","",VLOOKUP(MAX(N77,0),Reference!$A$17:$B$20,2,TRUE()))</f>
        <v/>
      </c>
      <c r="Q77" s="32" t="str">
        <f t="shared" si="12"/>
        <v/>
      </c>
      <c r="R77" s="31"/>
      <c r="S77" s="31"/>
      <c r="T77" s="31"/>
      <c r="U77" s="32" t="str">
        <f t="shared" si="13"/>
        <v/>
      </c>
      <c r="V77" s="32" t="str">
        <f t="shared" si="14"/>
        <v/>
      </c>
      <c r="W77" s="32" t="str">
        <f>IF(V77="","",VLOOKUP(MAX(V77,0),Reference!$A$17:$B$20,2,TRUE()))</f>
        <v/>
      </c>
      <c r="X77" s="31"/>
      <c r="Y77" s="31"/>
      <c r="Z77" s="31"/>
      <c r="AA77" s="32" t="str">
        <f t="shared" si="15"/>
        <v/>
      </c>
      <c r="AB77" s="32" t="str">
        <f t="shared" si="16"/>
        <v/>
      </c>
      <c r="AC77" s="32" t="str">
        <f>IF(AB77="","",VLOOKUP(MAX(AB77,0),Reference!$A$17:$B$20,2,TRUE()))</f>
        <v/>
      </c>
      <c r="AD77" s="31"/>
      <c r="AE77">
        <f t="shared" si="17"/>
        <v>1</v>
      </c>
      <c r="AF77" s="33" t="str">
        <f>IF(OR(A77="",B77="",AND(C77&lt;&gt;"Bullpen",C77&lt;&gt;"Game")),"",IF((COUNTIFS($B$5:$B$300,B77,$A$5:$A$300,A77-1,$C$5:$C$300,"Bullpen",$AG$5:$AG$300,"&gt;0") + COUNTIFS($B$5:$B$300,B77,$A$5:$A$300,A77-1,$C$5:$C$300,"Game",$AG$5:$AG$300,"&gt;0"))&gt;0,Reference!$B$119,IF((COUNTIFS($B$5:$B$300,B77,$A$5:$A$300,A77-2,$C$5:$C$300,"Bullpen",$AG$5:$AG$300,"&gt;0") + COUNTIFS($B$5:$B$300,B77,$A$5:$A$300,A77-2,$C$5:$C$300,"Game",$AG$5:$AG$300,"&gt;0"))&gt;0,Reference!$B$120,1)))</f>
        <v/>
      </c>
      <c r="AG77" s="30" t="str">
        <f>IF(AND(OR(I77="",O77="",P77=""),OR(R77="",W77=""),OR(X77="",AC77="")),"",IF(OR(I77="",O77="",P77=""),0,I77*O77*P77)+IF(OR(R77="",W77=""),0,R77*IFERROR(INDEX(Reference!$B$61:$B$62,MATCH("Bullpen",Reference!$A$61:$A$62,0)),0)*W77)+IF(OR(X77="",AC77=""),0,X77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77))</f>
        <v/>
      </c>
    </row>
    <row r="78" spans="1:33" x14ac:dyDescent="0.3">
      <c r="A78" s="35"/>
      <c r="B78" s="31"/>
      <c r="C78" s="31"/>
      <c r="D78" s="31"/>
      <c r="E78" s="34"/>
      <c r="F78" s="34"/>
      <c r="G78" s="30" t="str">
        <f t="shared" si="9"/>
        <v/>
      </c>
      <c r="H78" s="31"/>
      <c r="I78" s="32" t="str">
        <f>IF(H78&lt;&gt;"",H78,IF(G78="","",ROUND(G78*IFERROR(INDEX(Reference!$B$44:$B$50,MATCH(C78,Reference!$A$44:$A$50,0)),0),0)))</f>
        <v/>
      </c>
      <c r="J78" s="31"/>
      <c r="K78" s="31"/>
      <c r="L78" s="32" t="str">
        <f t="shared" si="10"/>
        <v/>
      </c>
      <c r="M78" s="32" t="str">
        <f>IFERROR(INDEX(Roster!$D$5:$D$40,MATCH(B78,Roster!$A$5:$A$40,0)),"")</f>
        <v/>
      </c>
      <c r="N78" s="32" t="str">
        <f t="shared" si="11"/>
        <v/>
      </c>
      <c r="O78" s="32" t="str">
        <f>IF(OR(C78="Bullpen",C78="Game"),IFERROR(INDEX(Reference!$B$61:$B$62,MATCH(C78,Reference!$A$61:$A$62,0)),""),IF(D78="","",IF(AE78&gt;1,((IF(1&lt;=AE78,(AE78-1+3)*(INDEX(Reference!$B$6:$B$11,MIN(5,MATCH(MAX(Reference!$A$6,MIN(Reference!$A$11,MIN(D78,90))),Reference!$A$6:$A$11,1)))+(MAX(Reference!$A$6,MIN(Reference!$A$11,MIN(D78,90)))-INDEX(Reference!$A$6:$A$11,MIN(5,MATCH(MAX(Reference!$A$6,MIN(Reference!$A$11,MIN(D78,90))),Reference!$A$6:$A$11,1))))*(INDEX(Reference!$B$6:$B$11,MIN(5,MATCH(MAX(Reference!$A$6,MIN(Reference!$A$11,MIN(D78,90))),Reference!$A$6:$A$11,1))+1)-INDEX(Reference!$B$6:$B$11,MIN(5,MATCH(MAX(Reference!$A$6,MIN(Reference!$A$11,MIN(D78,90))),Reference!$A$6:$A$11,1))))/(INDEX(Reference!$A$6:$A$11,MIN(5,MATCH(MAX(Reference!$A$6,MIN(Reference!$A$11,MIN(D78,90))),Reference!$A$6:$A$11,1))+1)-INDEX(Reference!$A$6:$A$11,MIN(5,MATCH(MAX(Reference!$A$6,MIN(Reference!$A$11,MIN(D78,90))),Reference!$A$6:$A$11,1))))),0)+IF(2&lt;=AE78,(AE78-2+3)*(INDEX(Reference!$B$6:$B$11,MIN(5,MATCH(MAX(Reference!$A$6,MIN(Reference!$A$11,MIN(D78,120))),Reference!$A$6:$A$11,1)))+(MAX(Reference!$A$6,MIN(Reference!$A$11,MIN(D78,120)))-INDEX(Reference!$A$6:$A$11,MIN(5,MATCH(MAX(Reference!$A$6,MIN(Reference!$A$11,MIN(D78,120))),Reference!$A$6:$A$11,1))))*(INDEX(Reference!$B$6:$B$11,MIN(5,MATCH(MAX(Reference!$A$6,MIN(Reference!$A$11,MIN(D78,120))),Reference!$A$6:$A$11,1))+1)-INDEX(Reference!$B$6:$B$11,MIN(5,MATCH(MAX(Reference!$A$6,MIN(Reference!$A$11,MIN(D78,120))),Reference!$A$6:$A$11,1))))/(INDEX(Reference!$A$6:$A$11,MIN(5,MATCH(MAX(Reference!$A$6,MIN(Reference!$A$11,MIN(D78,120))),Reference!$A$6:$A$11,1))+1)-INDEX(Reference!$A$6:$A$11,MIN(5,MATCH(MAX(Reference!$A$6,MIN(Reference!$A$11,MIN(D78,120))),Reference!$A$6:$A$11,1))))),0)+IF(3&lt;=AE78,(AE78-3+3)*(INDEX(Reference!$B$6:$B$11,MIN(5,MATCH(MAX(Reference!$A$6,MIN(Reference!$A$11,MIN(D78,150))),Reference!$A$6:$A$11,1)))+(MAX(Reference!$A$6,MIN(Reference!$A$11,MIN(D78,150)))-INDEX(Reference!$A$6:$A$11,MIN(5,MATCH(MAX(Reference!$A$6,MIN(Reference!$A$11,MIN(D78,150))),Reference!$A$6:$A$11,1))))*(INDEX(Reference!$B$6:$B$11,MIN(5,MATCH(MAX(Reference!$A$6,MIN(Reference!$A$11,MIN(D78,150))),Reference!$A$6:$A$11,1))+1)-INDEX(Reference!$B$6:$B$11,MIN(5,MATCH(MAX(Reference!$A$6,MIN(Reference!$A$11,MIN(D78,150))),Reference!$A$6:$A$11,1))))/(INDEX(Reference!$A$6:$A$11,MIN(5,MATCH(MAX(Reference!$A$6,MIN(Reference!$A$11,MIN(D78,150))),Reference!$A$6:$A$11,1))+1)-INDEX(Reference!$A$6:$A$11,MIN(5,MATCH(MAX(Reference!$A$6,MIN(Reference!$A$11,MIN(D78,150))),Reference!$A$6:$A$11,1))))),0)+IF(4&lt;=AE78,(AE78-4+3)*(INDEX(Reference!$B$6:$B$11,MIN(5,MATCH(MAX(Reference!$A$6,MIN(Reference!$A$11,MIN(D78,180))),Reference!$A$6:$A$11,1)))+(MAX(Reference!$A$6,MIN(Reference!$A$11,MIN(D78,180)))-INDEX(Reference!$A$6:$A$11,MIN(5,MATCH(MAX(Reference!$A$6,MIN(Reference!$A$11,MIN(D78,180))),Reference!$A$6:$A$11,1))))*(INDEX(Reference!$B$6:$B$11,MIN(5,MATCH(MAX(Reference!$A$6,MIN(Reference!$A$11,MIN(D78,180))),Reference!$A$6:$A$11,1))+1)-INDEX(Reference!$B$6:$B$11,MIN(5,MATCH(MAX(Reference!$A$6,MIN(Reference!$A$11,MIN(D78,180))),Reference!$A$6:$A$11,1))))/(INDEX(Reference!$A$6:$A$11,MIN(5,MATCH(MAX(Reference!$A$6,MIN(Reference!$A$11,MIN(D78,180))),Reference!$A$6:$A$11,1))+1)-INDEX(Reference!$A$6:$A$11,MIN(5,MATCH(MAX(Reference!$A$6,MIN(Reference!$A$11,MIN(D78,180))),Reference!$A$6:$A$11,1))))),0)+IF(5&lt;=AE78,(AE78-5+3)*(INDEX(Reference!$B$6:$B$11,MIN(5,MATCH(MAX(Reference!$A$6,MIN(Reference!$A$11,MIN(D78,210))),Reference!$A$6:$A$11,1)))+(MAX(Reference!$A$6,MIN(Reference!$A$11,MIN(D78,210)))-INDEX(Reference!$A$6:$A$11,MIN(5,MATCH(MAX(Reference!$A$6,MIN(Reference!$A$11,MIN(D78,210))),Reference!$A$6:$A$11,1))))*(INDEX(Reference!$B$6:$B$11,MIN(5,MATCH(MAX(Reference!$A$6,MIN(Reference!$A$11,MIN(D78,210))),Reference!$A$6:$A$11,1))+1)-INDEX(Reference!$B$6:$B$11,MIN(5,MATCH(MAX(Reference!$A$6,MIN(Reference!$A$11,MIN(D78,210))),Reference!$A$6:$A$11,1))))/(INDEX(Reference!$A$6:$A$11,MIN(5,MATCH(MAX(Reference!$A$6,MIN(Reference!$A$11,MIN(D78,210))),Reference!$A$6:$A$11,1))+1)-INDEX(Reference!$A$6:$A$11,MIN(5,MATCH(MAX(Reference!$A$6,MIN(Reference!$A$11,MIN(D78,210))),Reference!$A$6:$A$11,1))))),0)+IF(6&lt;=AE78,(AE78-6+3)*(INDEX(Reference!$B$6:$B$11,MIN(5,MATCH(MAX(Reference!$A$6,MIN(Reference!$A$11,MIN(D78,240))),Reference!$A$6:$A$11,1)))+(MAX(Reference!$A$6,MIN(Reference!$A$11,MIN(D78,240)))-INDEX(Reference!$A$6:$A$11,MIN(5,MATCH(MAX(Reference!$A$6,MIN(Reference!$A$11,MIN(D78,240))),Reference!$A$6:$A$11,1))))*(INDEX(Reference!$B$6:$B$11,MIN(5,MATCH(MAX(Reference!$A$6,MIN(Reference!$A$11,MIN(D78,240))),Reference!$A$6:$A$11,1))+1)-INDEX(Reference!$B$6:$B$11,MIN(5,MATCH(MAX(Reference!$A$6,MIN(Reference!$A$11,MIN(D78,240))),Reference!$A$6:$A$11,1))))/(INDEX(Reference!$A$6:$A$11,MIN(5,MATCH(MAX(Reference!$A$6,MIN(Reference!$A$11,MIN(D78,240))),Reference!$A$6:$A$11,1))+1)-INDEX(Reference!$A$6:$A$11,MIN(5,MATCH(MAX(Reference!$A$6,MIN(Reference!$A$11,MIN(D78,240))),Reference!$A$6:$A$11,1))))),0)+IF(7&lt;=AE78,(AE78-7+3)*(INDEX(Reference!$B$6:$B$11,MIN(5,MATCH(MAX(Reference!$A$6,MIN(Reference!$A$11,MIN(D78,270))),Reference!$A$6:$A$11,1)))+(MAX(Reference!$A$6,MIN(Reference!$A$11,MIN(D78,270)))-INDEX(Reference!$A$6:$A$11,MIN(5,MATCH(MAX(Reference!$A$6,MIN(Reference!$A$11,MIN(D78,270))),Reference!$A$6:$A$11,1))))*(INDEX(Reference!$B$6:$B$11,MIN(5,MATCH(MAX(Reference!$A$6,MIN(Reference!$A$11,MIN(D78,270))),Reference!$A$6:$A$11,1))+1)-INDEX(Reference!$B$6:$B$11,MIN(5,MATCH(MAX(Reference!$A$6,MIN(Reference!$A$11,MIN(D78,270))),Reference!$A$6:$A$11,1))))/(INDEX(Reference!$A$6:$A$11,MIN(5,MATCH(MAX(Reference!$A$6,MIN(Reference!$A$11,MIN(D78,270))),Reference!$A$6:$A$11,1))+1)-INDEX(Reference!$A$6:$A$11,MIN(5,MATCH(MAX(Reference!$A$6,MIN(Reference!$A$11,MIN(D78,270))),Reference!$A$6:$A$11,1))))),0)+IF(8&lt;=AE78,(AE78-8+3)*(INDEX(Reference!$B$6:$B$11,MIN(5,MATCH(MAX(Reference!$A$6,MIN(Reference!$A$11,MIN(D78,300))),Reference!$A$6:$A$11,1)))+(MAX(Reference!$A$6,MIN(Reference!$A$11,MIN(D78,300)))-INDEX(Reference!$A$6:$A$11,MIN(5,MATCH(MAX(Reference!$A$6,MIN(Reference!$A$11,MIN(D78,300))),Reference!$A$6:$A$11,1))))*(INDEX(Reference!$B$6:$B$11,MIN(5,MATCH(MAX(Reference!$A$6,MIN(Reference!$A$11,MIN(D78,300))),Reference!$A$6:$A$11,1))+1)-INDEX(Reference!$B$6:$B$11,MIN(5,MATCH(MAX(Reference!$A$6,MIN(Reference!$A$11,MIN(D78,300))),Reference!$A$6:$A$11,1))))/(INDEX(Reference!$A$6:$A$11,MIN(5,MATCH(MAX(Reference!$A$6,MIN(Reference!$A$11,MIN(D78,300))),Reference!$A$6:$A$11,1))+1)-INDEX(Reference!$A$6:$A$11,MIN(5,MATCH(MAX(Reference!$A$6,MIN(Reference!$A$11,MIN(D78,300))),Reference!$A$6:$A$11,1))))),0))/(AE78*(AE78+5)/2)),(INDEX(Reference!$B$6:$B$11,MIN(5,MATCH(MAX(Reference!$A$6,MIN(Reference!$A$11,D78)),Reference!$A$6:$A$11,1)))+(MAX(Reference!$A$6,MIN(Reference!$A$11,D78))-INDEX(Reference!$A$6:$A$11,MIN(5,MATCH(MAX(Reference!$A$6,MIN(Reference!$A$11,D78)),Reference!$A$6:$A$11,1))))*(INDEX(Reference!$B$6:$B$11,MIN(5,MATCH(MAX(Reference!$A$6,MIN(Reference!$A$11,D78)),Reference!$A$6:$A$11,1))+1)-INDEX(Reference!$B$6:$B$11,MIN(5,MATCH(MAX(Reference!$A$6,MIN(Reference!$A$11,D78)),Reference!$A$6:$A$11,1))))/(INDEX(Reference!$A$6:$A$11,MIN(5,MATCH(MAX(Reference!$A$6,MIN(Reference!$A$11,D78)),Reference!$A$6:$A$11,1))+1)-INDEX(Reference!$A$6:$A$11,MIN(5,MATCH(MAX(Reference!$A$6,MIN(Reference!$A$11,D78)),Reference!$A$6:$A$11,1))))))))</f>
        <v/>
      </c>
      <c r="P78" s="32" t="str">
        <f>IF(N78="","",VLOOKUP(MAX(N78,0),Reference!$A$17:$B$20,2,TRUE()))</f>
        <v/>
      </c>
      <c r="Q78" s="32" t="str">
        <f t="shared" si="12"/>
        <v/>
      </c>
      <c r="R78" s="31"/>
      <c r="S78" s="31"/>
      <c r="T78" s="31"/>
      <c r="U78" s="32" t="str">
        <f t="shared" si="13"/>
        <v/>
      </c>
      <c r="V78" s="32" t="str">
        <f t="shared" si="14"/>
        <v/>
      </c>
      <c r="W78" s="32" t="str">
        <f>IF(V78="","",VLOOKUP(MAX(V78,0),Reference!$A$17:$B$20,2,TRUE()))</f>
        <v/>
      </c>
      <c r="X78" s="31"/>
      <c r="Y78" s="31"/>
      <c r="Z78" s="31"/>
      <c r="AA78" s="32" t="str">
        <f t="shared" si="15"/>
        <v/>
      </c>
      <c r="AB78" s="32" t="str">
        <f t="shared" si="16"/>
        <v/>
      </c>
      <c r="AC78" s="32" t="str">
        <f>IF(AB78="","",VLOOKUP(MAX(AB78,0),Reference!$A$17:$B$20,2,TRUE()))</f>
        <v/>
      </c>
      <c r="AD78" s="31"/>
      <c r="AE78">
        <f t="shared" si="17"/>
        <v>1</v>
      </c>
      <c r="AF78" s="33" t="str">
        <f>IF(OR(A78="",B78="",AND(C78&lt;&gt;"Bullpen",C78&lt;&gt;"Game")),"",IF((COUNTIFS($B$5:$B$300,B78,$A$5:$A$300,A78-1,$C$5:$C$300,"Bullpen",$AG$5:$AG$300,"&gt;0") + COUNTIFS($B$5:$B$300,B78,$A$5:$A$300,A78-1,$C$5:$C$300,"Game",$AG$5:$AG$300,"&gt;0"))&gt;0,Reference!$B$119,IF((COUNTIFS($B$5:$B$300,B78,$A$5:$A$300,A78-2,$C$5:$C$300,"Bullpen",$AG$5:$AG$300,"&gt;0") + COUNTIFS($B$5:$B$300,B78,$A$5:$A$300,A78-2,$C$5:$C$300,"Game",$AG$5:$AG$300,"&gt;0"))&gt;0,Reference!$B$120,1)))</f>
        <v/>
      </c>
      <c r="AG78" s="30" t="str">
        <f>IF(AND(OR(I78="",O78="",P78=""),OR(R78="",W78=""),OR(X78="",AC78="")),"",IF(OR(I78="",O78="",P78=""),0,I78*O78*P78)+IF(OR(R78="",W78=""),0,R78*IFERROR(INDEX(Reference!$B$61:$B$62,MATCH("Bullpen",Reference!$A$61:$A$62,0)),0)*W78)+IF(OR(X78="",AC78=""),0,X78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78))</f>
        <v/>
      </c>
    </row>
    <row r="79" spans="1:33" x14ac:dyDescent="0.3">
      <c r="A79" s="35"/>
      <c r="B79" s="31"/>
      <c r="C79" s="31"/>
      <c r="D79" s="31"/>
      <c r="E79" s="34"/>
      <c r="F79" s="34"/>
      <c r="G79" s="30" t="str">
        <f t="shared" si="9"/>
        <v/>
      </c>
      <c r="H79" s="31"/>
      <c r="I79" s="32" t="str">
        <f>IF(H79&lt;&gt;"",H79,IF(G79="","",ROUND(G79*IFERROR(INDEX(Reference!$B$44:$B$50,MATCH(C79,Reference!$A$44:$A$50,0)),0),0)))</f>
        <v/>
      </c>
      <c r="J79" s="31"/>
      <c r="K79" s="31"/>
      <c r="L79" s="32" t="str">
        <f t="shared" si="10"/>
        <v/>
      </c>
      <c r="M79" s="32" t="str">
        <f>IFERROR(INDEX(Roster!$D$5:$D$40,MATCH(B79,Roster!$A$5:$A$40,0)),"")</f>
        <v/>
      </c>
      <c r="N79" s="32" t="str">
        <f t="shared" si="11"/>
        <v/>
      </c>
      <c r="O79" s="32" t="str">
        <f>IF(OR(C79="Bullpen",C79="Game"),IFERROR(INDEX(Reference!$B$61:$B$62,MATCH(C79,Reference!$A$61:$A$62,0)),""),IF(D79="","",IF(AE79&gt;1,((IF(1&lt;=AE79,(AE79-1+3)*(INDEX(Reference!$B$6:$B$11,MIN(5,MATCH(MAX(Reference!$A$6,MIN(Reference!$A$11,MIN(D79,90))),Reference!$A$6:$A$11,1)))+(MAX(Reference!$A$6,MIN(Reference!$A$11,MIN(D79,90)))-INDEX(Reference!$A$6:$A$11,MIN(5,MATCH(MAX(Reference!$A$6,MIN(Reference!$A$11,MIN(D79,90))),Reference!$A$6:$A$11,1))))*(INDEX(Reference!$B$6:$B$11,MIN(5,MATCH(MAX(Reference!$A$6,MIN(Reference!$A$11,MIN(D79,90))),Reference!$A$6:$A$11,1))+1)-INDEX(Reference!$B$6:$B$11,MIN(5,MATCH(MAX(Reference!$A$6,MIN(Reference!$A$11,MIN(D79,90))),Reference!$A$6:$A$11,1))))/(INDEX(Reference!$A$6:$A$11,MIN(5,MATCH(MAX(Reference!$A$6,MIN(Reference!$A$11,MIN(D79,90))),Reference!$A$6:$A$11,1))+1)-INDEX(Reference!$A$6:$A$11,MIN(5,MATCH(MAX(Reference!$A$6,MIN(Reference!$A$11,MIN(D79,90))),Reference!$A$6:$A$11,1))))),0)+IF(2&lt;=AE79,(AE79-2+3)*(INDEX(Reference!$B$6:$B$11,MIN(5,MATCH(MAX(Reference!$A$6,MIN(Reference!$A$11,MIN(D79,120))),Reference!$A$6:$A$11,1)))+(MAX(Reference!$A$6,MIN(Reference!$A$11,MIN(D79,120)))-INDEX(Reference!$A$6:$A$11,MIN(5,MATCH(MAX(Reference!$A$6,MIN(Reference!$A$11,MIN(D79,120))),Reference!$A$6:$A$11,1))))*(INDEX(Reference!$B$6:$B$11,MIN(5,MATCH(MAX(Reference!$A$6,MIN(Reference!$A$11,MIN(D79,120))),Reference!$A$6:$A$11,1))+1)-INDEX(Reference!$B$6:$B$11,MIN(5,MATCH(MAX(Reference!$A$6,MIN(Reference!$A$11,MIN(D79,120))),Reference!$A$6:$A$11,1))))/(INDEX(Reference!$A$6:$A$11,MIN(5,MATCH(MAX(Reference!$A$6,MIN(Reference!$A$11,MIN(D79,120))),Reference!$A$6:$A$11,1))+1)-INDEX(Reference!$A$6:$A$11,MIN(5,MATCH(MAX(Reference!$A$6,MIN(Reference!$A$11,MIN(D79,120))),Reference!$A$6:$A$11,1))))),0)+IF(3&lt;=AE79,(AE79-3+3)*(INDEX(Reference!$B$6:$B$11,MIN(5,MATCH(MAX(Reference!$A$6,MIN(Reference!$A$11,MIN(D79,150))),Reference!$A$6:$A$11,1)))+(MAX(Reference!$A$6,MIN(Reference!$A$11,MIN(D79,150)))-INDEX(Reference!$A$6:$A$11,MIN(5,MATCH(MAX(Reference!$A$6,MIN(Reference!$A$11,MIN(D79,150))),Reference!$A$6:$A$11,1))))*(INDEX(Reference!$B$6:$B$11,MIN(5,MATCH(MAX(Reference!$A$6,MIN(Reference!$A$11,MIN(D79,150))),Reference!$A$6:$A$11,1))+1)-INDEX(Reference!$B$6:$B$11,MIN(5,MATCH(MAX(Reference!$A$6,MIN(Reference!$A$11,MIN(D79,150))),Reference!$A$6:$A$11,1))))/(INDEX(Reference!$A$6:$A$11,MIN(5,MATCH(MAX(Reference!$A$6,MIN(Reference!$A$11,MIN(D79,150))),Reference!$A$6:$A$11,1))+1)-INDEX(Reference!$A$6:$A$11,MIN(5,MATCH(MAX(Reference!$A$6,MIN(Reference!$A$11,MIN(D79,150))),Reference!$A$6:$A$11,1))))),0)+IF(4&lt;=AE79,(AE79-4+3)*(INDEX(Reference!$B$6:$B$11,MIN(5,MATCH(MAX(Reference!$A$6,MIN(Reference!$A$11,MIN(D79,180))),Reference!$A$6:$A$11,1)))+(MAX(Reference!$A$6,MIN(Reference!$A$11,MIN(D79,180)))-INDEX(Reference!$A$6:$A$11,MIN(5,MATCH(MAX(Reference!$A$6,MIN(Reference!$A$11,MIN(D79,180))),Reference!$A$6:$A$11,1))))*(INDEX(Reference!$B$6:$B$11,MIN(5,MATCH(MAX(Reference!$A$6,MIN(Reference!$A$11,MIN(D79,180))),Reference!$A$6:$A$11,1))+1)-INDEX(Reference!$B$6:$B$11,MIN(5,MATCH(MAX(Reference!$A$6,MIN(Reference!$A$11,MIN(D79,180))),Reference!$A$6:$A$11,1))))/(INDEX(Reference!$A$6:$A$11,MIN(5,MATCH(MAX(Reference!$A$6,MIN(Reference!$A$11,MIN(D79,180))),Reference!$A$6:$A$11,1))+1)-INDEX(Reference!$A$6:$A$11,MIN(5,MATCH(MAX(Reference!$A$6,MIN(Reference!$A$11,MIN(D79,180))),Reference!$A$6:$A$11,1))))),0)+IF(5&lt;=AE79,(AE79-5+3)*(INDEX(Reference!$B$6:$B$11,MIN(5,MATCH(MAX(Reference!$A$6,MIN(Reference!$A$11,MIN(D79,210))),Reference!$A$6:$A$11,1)))+(MAX(Reference!$A$6,MIN(Reference!$A$11,MIN(D79,210)))-INDEX(Reference!$A$6:$A$11,MIN(5,MATCH(MAX(Reference!$A$6,MIN(Reference!$A$11,MIN(D79,210))),Reference!$A$6:$A$11,1))))*(INDEX(Reference!$B$6:$B$11,MIN(5,MATCH(MAX(Reference!$A$6,MIN(Reference!$A$11,MIN(D79,210))),Reference!$A$6:$A$11,1))+1)-INDEX(Reference!$B$6:$B$11,MIN(5,MATCH(MAX(Reference!$A$6,MIN(Reference!$A$11,MIN(D79,210))),Reference!$A$6:$A$11,1))))/(INDEX(Reference!$A$6:$A$11,MIN(5,MATCH(MAX(Reference!$A$6,MIN(Reference!$A$11,MIN(D79,210))),Reference!$A$6:$A$11,1))+1)-INDEX(Reference!$A$6:$A$11,MIN(5,MATCH(MAX(Reference!$A$6,MIN(Reference!$A$11,MIN(D79,210))),Reference!$A$6:$A$11,1))))),0)+IF(6&lt;=AE79,(AE79-6+3)*(INDEX(Reference!$B$6:$B$11,MIN(5,MATCH(MAX(Reference!$A$6,MIN(Reference!$A$11,MIN(D79,240))),Reference!$A$6:$A$11,1)))+(MAX(Reference!$A$6,MIN(Reference!$A$11,MIN(D79,240)))-INDEX(Reference!$A$6:$A$11,MIN(5,MATCH(MAX(Reference!$A$6,MIN(Reference!$A$11,MIN(D79,240))),Reference!$A$6:$A$11,1))))*(INDEX(Reference!$B$6:$B$11,MIN(5,MATCH(MAX(Reference!$A$6,MIN(Reference!$A$11,MIN(D79,240))),Reference!$A$6:$A$11,1))+1)-INDEX(Reference!$B$6:$B$11,MIN(5,MATCH(MAX(Reference!$A$6,MIN(Reference!$A$11,MIN(D79,240))),Reference!$A$6:$A$11,1))))/(INDEX(Reference!$A$6:$A$11,MIN(5,MATCH(MAX(Reference!$A$6,MIN(Reference!$A$11,MIN(D79,240))),Reference!$A$6:$A$11,1))+1)-INDEX(Reference!$A$6:$A$11,MIN(5,MATCH(MAX(Reference!$A$6,MIN(Reference!$A$11,MIN(D79,240))),Reference!$A$6:$A$11,1))))),0)+IF(7&lt;=AE79,(AE79-7+3)*(INDEX(Reference!$B$6:$B$11,MIN(5,MATCH(MAX(Reference!$A$6,MIN(Reference!$A$11,MIN(D79,270))),Reference!$A$6:$A$11,1)))+(MAX(Reference!$A$6,MIN(Reference!$A$11,MIN(D79,270)))-INDEX(Reference!$A$6:$A$11,MIN(5,MATCH(MAX(Reference!$A$6,MIN(Reference!$A$11,MIN(D79,270))),Reference!$A$6:$A$11,1))))*(INDEX(Reference!$B$6:$B$11,MIN(5,MATCH(MAX(Reference!$A$6,MIN(Reference!$A$11,MIN(D79,270))),Reference!$A$6:$A$11,1))+1)-INDEX(Reference!$B$6:$B$11,MIN(5,MATCH(MAX(Reference!$A$6,MIN(Reference!$A$11,MIN(D79,270))),Reference!$A$6:$A$11,1))))/(INDEX(Reference!$A$6:$A$11,MIN(5,MATCH(MAX(Reference!$A$6,MIN(Reference!$A$11,MIN(D79,270))),Reference!$A$6:$A$11,1))+1)-INDEX(Reference!$A$6:$A$11,MIN(5,MATCH(MAX(Reference!$A$6,MIN(Reference!$A$11,MIN(D79,270))),Reference!$A$6:$A$11,1))))),0)+IF(8&lt;=AE79,(AE79-8+3)*(INDEX(Reference!$B$6:$B$11,MIN(5,MATCH(MAX(Reference!$A$6,MIN(Reference!$A$11,MIN(D79,300))),Reference!$A$6:$A$11,1)))+(MAX(Reference!$A$6,MIN(Reference!$A$11,MIN(D79,300)))-INDEX(Reference!$A$6:$A$11,MIN(5,MATCH(MAX(Reference!$A$6,MIN(Reference!$A$11,MIN(D79,300))),Reference!$A$6:$A$11,1))))*(INDEX(Reference!$B$6:$B$11,MIN(5,MATCH(MAX(Reference!$A$6,MIN(Reference!$A$11,MIN(D79,300))),Reference!$A$6:$A$11,1))+1)-INDEX(Reference!$B$6:$B$11,MIN(5,MATCH(MAX(Reference!$A$6,MIN(Reference!$A$11,MIN(D79,300))),Reference!$A$6:$A$11,1))))/(INDEX(Reference!$A$6:$A$11,MIN(5,MATCH(MAX(Reference!$A$6,MIN(Reference!$A$11,MIN(D79,300))),Reference!$A$6:$A$11,1))+1)-INDEX(Reference!$A$6:$A$11,MIN(5,MATCH(MAX(Reference!$A$6,MIN(Reference!$A$11,MIN(D79,300))),Reference!$A$6:$A$11,1))))),0))/(AE79*(AE79+5)/2)),(INDEX(Reference!$B$6:$B$11,MIN(5,MATCH(MAX(Reference!$A$6,MIN(Reference!$A$11,D79)),Reference!$A$6:$A$11,1)))+(MAX(Reference!$A$6,MIN(Reference!$A$11,D79))-INDEX(Reference!$A$6:$A$11,MIN(5,MATCH(MAX(Reference!$A$6,MIN(Reference!$A$11,D79)),Reference!$A$6:$A$11,1))))*(INDEX(Reference!$B$6:$B$11,MIN(5,MATCH(MAX(Reference!$A$6,MIN(Reference!$A$11,D79)),Reference!$A$6:$A$11,1))+1)-INDEX(Reference!$B$6:$B$11,MIN(5,MATCH(MAX(Reference!$A$6,MIN(Reference!$A$11,D79)),Reference!$A$6:$A$11,1))))/(INDEX(Reference!$A$6:$A$11,MIN(5,MATCH(MAX(Reference!$A$6,MIN(Reference!$A$11,D79)),Reference!$A$6:$A$11,1))+1)-INDEX(Reference!$A$6:$A$11,MIN(5,MATCH(MAX(Reference!$A$6,MIN(Reference!$A$11,D79)),Reference!$A$6:$A$11,1))))))))</f>
        <v/>
      </c>
      <c r="P79" s="32" t="str">
        <f>IF(N79="","",VLOOKUP(MAX(N79,0),Reference!$A$17:$B$20,2,TRUE()))</f>
        <v/>
      </c>
      <c r="Q79" s="32" t="str">
        <f t="shared" si="12"/>
        <v/>
      </c>
      <c r="R79" s="31"/>
      <c r="S79" s="31"/>
      <c r="T79" s="31"/>
      <c r="U79" s="32" t="str">
        <f t="shared" si="13"/>
        <v/>
      </c>
      <c r="V79" s="32" t="str">
        <f t="shared" si="14"/>
        <v/>
      </c>
      <c r="W79" s="32" t="str">
        <f>IF(V79="","",VLOOKUP(MAX(V79,0),Reference!$A$17:$B$20,2,TRUE()))</f>
        <v/>
      </c>
      <c r="X79" s="31"/>
      <c r="Y79" s="31"/>
      <c r="Z79" s="31"/>
      <c r="AA79" s="32" t="str">
        <f t="shared" si="15"/>
        <v/>
      </c>
      <c r="AB79" s="32" t="str">
        <f t="shared" si="16"/>
        <v/>
      </c>
      <c r="AC79" s="32" t="str">
        <f>IF(AB79="","",VLOOKUP(MAX(AB79,0),Reference!$A$17:$B$20,2,TRUE()))</f>
        <v/>
      </c>
      <c r="AD79" s="31"/>
      <c r="AE79">
        <f t="shared" si="17"/>
        <v>1</v>
      </c>
      <c r="AF79" s="33" t="str">
        <f>IF(OR(A79="",B79="",AND(C79&lt;&gt;"Bullpen",C79&lt;&gt;"Game")),"",IF((COUNTIFS($B$5:$B$300,B79,$A$5:$A$300,A79-1,$C$5:$C$300,"Bullpen",$AG$5:$AG$300,"&gt;0") + COUNTIFS($B$5:$B$300,B79,$A$5:$A$300,A79-1,$C$5:$C$300,"Game",$AG$5:$AG$300,"&gt;0"))&gt;0,Reference!$B$119,IF((COUNTIFS($B$5:$B$300,B79,$A$5:$A$300,A79-2,$C$5:$C$300,"Bullpen",$AG$5:$AG$300,"&gt;0") + COUNTIFS($B$5:$B$300,B79,$A$5:$A$300,A79-2,$C$5:$C$300,"Game",$AG$5:$AG$300,"&gt;0"))&gt;0,Reference!$B$120,1)))</f>
        <v/>
      </c>
      <c r="AG79" s="30" t="str">
        <f>IF(AND(OR(I79="",O79="",P79=""),OR(R79="",W79=""),OR(X79="",AC79="")),"",IF(OR(I79="",O79="",P79=""),0,I79*O79*P79)+IF(OR(R79="",W79=""),0,R79*IFERROR(INDEX(Reference!$B$61:$B$62,MATCH("Bullpen",Reference!$A$61:$A$62,0)),0)*W79)+IF(OR(X79="",AC79=""),0,X79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79))</f>
        <v/>
      </c>
    </row>
    <row r="80" spans="1:33" x14ac:dyDescent="0.3">
      <c r="A80" s="35"/>
      <c r="B80" s="31"/>
      <c r="C80" s="31"/>
      <c r="D80" s="31"/>
      <c r="E80" s="34"/>
      <c r="F80" s="34"/>
      <c r="G80" s="30" t="str">
        <f t="shared" si="9"/>
        <v/>
      </c>
      <c r="H80" s="31"/>
      <c r="I80" s="32" t="str">
        <f>IF(H80&lt;&gt;"",H80,IF(G80="","",ROUND(G80*IFERROR(INDEX(Reference!$B$44:$B$50,MATCH(C80,Reference!$A$44:$A$50,0)),0),0)))</f>
        <v/>
      </c>
      <c r="J80" s="31"/>
      <c r="K80" s="31"/>
      <c r="L80" s="32" t="str">
        <f t="shared" si="10"/>
        <v/>
      </c>
      <c r="M80" s="32" t="str">
        <f>IFERROR(INDEX(Roster!$D$5:$D$40,MATCH(B80,Roster!$A$5:$A$40,0)),"")</f>
        <v/>
      </c>
      <c r="N80" s="32" t="str">
        <f t="shared" si="11"/>
        <v/>
      </c>
      <c r="O80" s="32" t="str">
        <f>IF(OR(C80="Bullpen",C80="Game"),IFERROR(INDEX(Reference!$B$61:$B$62,MATCH(C80,Reference!$A$61:$A$62,0)),""),IF(D80="","",IF(AE80&gt;1,((IF(1&lt;=AE80,(AE80-1+3)*(INDEX(Reference!$B$6:$B$11,MIN(5,MATCH(MAX(Reference!$A$6,MIN(Reference!$A$11,MIN(D80,90))),Reference!$A$6:$A$11,1)))+(MAX(Reference!$A$6,MIN(Reference!$A$11,MIN(D80,90)))-INDEX(Reference!$A$6:$A$11,MIN(5,MATCH(MAX(Reference!$A$6,MIN(Reference!$A$11,MIN(D80,90))),Reference!$A$6:$A$11,1))))*(INDEX(Reference!$B$6:$B$11,MIN(5,MATCH(MAX(Reference!$A$6,MIN(Reference!$A$11,MIN(D80,90))),Reference!$A$6:$A$11,1))+1)-INDEX(Reference!$B$6:$B$11,MIN(5,MATCH(MAX(Reference!$A$6,MIN(Reference!$A$11,MIN(D80,90))),Reference!$A$6:$A$11,1))))/(INDEX(Reference!$A$6:$A$11,MIN(5,MATCH(MAX(Reference!$A$6,MIN(Reference!$A$11,MIN(D80,90))),Reference!$A$6:$A$11,1))+1)-INDEX(Reference!$A$6:$A$11,MIN(5,MATCH(MAX(Reference!$A$6,MIN(Reference!$A$11,MIN(D80,90))),Reference!$A$6:$A$11,1))))),0)+IF(2&lt;=AE80,(AE80-2+3)*(INDEX(Reference!$B$6:$B$11,MIN(5,MATCH(MAX(Reference!$A$6,MIN(Reference!$A$11,MIN(D80,120))),Reference!$A$6:$A$11,1)))+(MAX(Reference!$A$6,MIN(Reference!$A$11,MIN(D80,120)))-INDEX(Reference!$A$6:$A$11,MIN(5,MATCH(MAX(Reference!$A$6,MIN(Reference!$A$11,MIN(D80,120))),Reference!$A$6:$A$11,1))))*(INDEX(Reference!$B$6:$B$11,MIN(5,MATCH(MAX(Reference!$A$6,MIN(Reference!$A$11,MIN(D80,120))),Reference!$A$6:$A$11,1))+1)-INDEX(Reference!$B$6:$B$11,MIN(5,MATCH(MAX(Reference!$A$6,MIN(Reference!$A$11,MIN(D80,120))),Reference!$A$6:$A$11,1))))/(INDEX(Reference!$A$6:$A$11,MIN(5,MATCH(MAX(Reference!$A$6,MIN(Reference!$A$11,MIN(D80,120))),Reference!$A$6:$A$11,1))+1)-INDEX(Reference!$A$6:$A$11,MIN(5,MATCH(MAX(Reference!$A$6,MIN(Reference!$A$11,MIN(D80,120))),Reference!$A$6:$A$11,1))))),0)+IF(3&lt;=AE80,(AE80-3+3)*(INDEX(Reference!$B$6:$B$11,MIN(5,MATCH(MAX(Reference!$A$6,MIN(Reference!$A$11,MIN(D80,150))),Reference!$A$6:$A$11,1)))+(MAX(Reference!$A$6,MIN(Reference!$A$11,MIN(D80,150)))-INDEX(Reference!$A$6:$A$11,MIN(5,MATCH(MAX(Reference!$A$6,MIN(Reference!$A$11,MIN(D80,150))),Reference!$A$6:$A$11,1))))*(INDEX(Reference!$B$6:$B$11,MIN(5,MATCH(MAX(Reference!$A$6,MIN(Reference!$A$11,MIN(D80,150))),Reference!$A$6:$A$11,1))+1)-INDEX(Reference!$B$6:$B$11,MIN(5,MATCH(MAX(Reference!$A$6,MIN(Reference!$A$11,MIN(D80,150))),Reference!$A$6:$A$11,1))))/(INDEX(Reference!$A$6:$A$11,MIN(5,MATCH(MAX(Reference!$A$6,MIN(Reference!$A$11,MIN(D80,150))),Reference!$A$6:$A$11,1))+1)-INDEX(Reference!$A$6:$A$11,MIN(5,MATCH(MAX(Reference!$A$6,MIN(Reference!$A$11,MIN(D80,150))),Reference!$A$6:$A$11,1))))),0)+IF(4&lt;=AE80,(AE80-4+3)*(INDEX(Reference!$B$6:$B$11,MIN(5,MATCH(MAX(Reference!$A$6,MIN(Reference!$A$11,MIN(D80,180))),Reference!$A$6:$A$11,1)))+(MAX(Reference!$A$6,MIN(Reference!$A$11,MIN(D80,180)))-INDEX(Reference!$A$6:$A$11,MIN(5,MATCH(MAX(Reference!$A$6,MIN(Reference!$A$11,MIN(D80,180))),Reference!$A$6:$A$11,1))))*(INDEX(Reference!$B$6:$B$11,MIN(5,MATCH(MAX(Reference!$A$6,MIN(Reference!$A$11,MIN(D80,180))),Reference!$A$6:$A$11,1))+1)-INDEX(Reference!$B$6:$B$11,MIN(5,MATCH(MAX(Reference!$A$6,MIN(Reference!$A$11,MIN(D80,180))),Reference!$A$6:$A$11,1))))/(INDEX(Reference!$A$6:$A$11,MIN(5,MATCH(MAX(Reference!$A$6,MIN(Reference!$A$11,MIN(D80,180))),Reference!$A$6:$A$11,1))+1)-INDEX(Reference!$A$6:$A$11,MIN(5,MATCH(MAX(Reference!$A$6,MIN(Reference!$A$11,MIN(D80,180))),Reference!$A$6:$A$11,1))))),0)+IF(5&lt;=AE80,(AE80-5+3)*(INDEX(Reference!$B$6:$B$11,MIN(5,MATCH(MAX(Reference!$A$6,MIN(Reference!$A$11,MIN(D80,210))),Reference!$A$6:$A$11,1)))+(MAX(Reference!$A$6,MIN(Reference!$A$11,MIN(D80,210)))-INDEX(Reference!$A$6:$A$11,MIN(5,MATCH(MAX(Reference!$A$6,MIN(Reference!$A$11,MIN(D80,210))),Reference!$A$6:$A$11,1))))*(INDEX(Reference!$B$6:$B$11,MIN(5,MATCH(MAX(Reference!$A$6,MIN(Reference!$A$11,MIN(D80,210))),Reference!$A$6:$A$11,1))+1)-INDEX(Reference!$B$6:$B$11,MIN(5,MATCH(MAX(Reference!$A$6,MIN(Reference!$A$11,MIN(D80,210))),Reference!$A$6:$A$11,1))))/(INDEX(Reference!$A$6:$A$11,MIN(5,MATCH(MAX(Reference!$A$6,MIN(Reference!$A$11,MIN(D80,210))),Reference!$A$6:$A$11,1))+1)-INDEX(Reference!$A$6:$A$11,MIN(5,MATCH(MAX(Reference!$A$6,MIN(Reference!$A$11,MIN(D80,210))),Reference!$A$6:$A$11,1))))),0)+IF(6&lt;=AE80,(AE80-6+3)*(INDEX(Reference!$B$6:$B$11,MIN(5,MATCH(MAX(Reference!$A$6,MIN(Reference!$A$11,MIN(D80,240))),Reference!$A$6:$A$11,1)))+(MAX(Reference!$A$6,MIN(Reference!$A$11,MIN(D80,240)))-INDEX(Reference!$A$6:$A$11,MIN(5,MATCH(MAX(Reference!$A$6,MIN(Reference!$A$11,MIN(D80,240))),Reference!$A$6:$A$11,1))))*(INDEX(Reference!$B$6:$B$11,MIN(5,MATCH(MAX(Reference!$A$6,MIN(Reference!$A$11,MIN(D80,240))),Reference!$A$6:$A$11,1))+1)-INDEX(Reference!$B$6:$B$11,MIN(5,MATCH(MAX(Reference!$A$6,MIN(Reference!$A$11,MIN(D80,240))),Reference!$A$6:$A$11,1))))/(INDEX(Reference!$A$6:$A$11,MIN(5,MATCH(MAX(Reference!$A$6,MIN(Reference!$A$11,MIN(D80,240))),Reference!$A$6:$A$11,1))+1)-INDEX(Reference!$A$6:$A$11,MIN(5,MATCH(MAX(Reference!$A$6,MIN(Reference!$A$11,MIN(D80,240))),Reference!$A$6:$A$11,1))))),0)+IF(7&lt;=AE80,(AE80-7+3)*(INDEX(Reference!$B$6:$B$11,MIN(5,MATCH(MAX(Reference!$A$6,MIN(Reference!$A$11,MIN(D80,270))),Reference!$A$6:$A$11,1)))+(MAX(Reference!$A$6,MIN(Reference!$A$11,MIN(D80,270)))-INDEX(Reference!$A$6:$A$11,MIN(5,MATCH(MAX(Reference!$A$6,MIN(Reference!$A$11,MIN(D80,270))),Reference!$A$6:$A$11,1))))*(INDEX(Reference!$B$6:$B$11,MIN(5,MATCH(MAX(Reference!$A$6,MIN(Reference!$A$11,MIN(D80,270))),Reference!$A$6:$A$11,1))+1)-INDEX(Reference!$B$6:$B$11,MIN(5,MATCH(MAX(Reference!$A$6,MIN(Reference!$A$11,MIN(D80,270))),Reference!$A$6:$A$11,1))))/(INDEX(Reference!$A$6:$A$11,MIN(5,MATCH(MAX(Reference!$A$6,MIN(Reference!$A$11,MIN(D80,270))),Reference!$A$6:$A$11,1))+1)-INDEX(Reference!$A$6:$A$11,MIN(5,MATCH(MAX(Reference!$A$6,MIN(Reference!$A$11,MIN(D80,270))),Reference!$A$6:$A$11,1))))),0)+IF(8&lt;=AE80,(AE80-8+3)*(INDEX(Reference!$B$6:$B$11,MIN(5,MATCH(MAX(Reference!$A$6,MIN(Reference!$A$11,MIN(D80,300))),Reference!$A$6:$A$11,1)))+(MAX(Reference!$A$6,MIN(Reference!$A$11,MIN(D80,300)))-INDEX(Reference!$A$6:$A$11,MIN(5,MATCH(MAX(Reference!$A$6,MIN(Reference!$A$11,MIN(D80,300))),Reference!$A$6:$A$11,1))))*(INDEX(Reference!$B$6:$B$11,MIN(5,MATCH(MAX(Reference!$A$6,MIN(Reference!$A$11,MIN(D80,300))),Reference!$A$6:$A$11,1))+1)-INDEX(Reference!$B$6:$B$11,MIN(5,MATCH(MAX(Reference!$A$6,MIN(Reference!$A$11,MIN(D80,300))),Reference!$A$6:$A$11,1))))/(INDEX(Reference!$A$6:$A$11,MIN(5,MATCH(MAX(Reference!$A$6,MIN(Reference!$A$11,MIN(D80,300))),Reference!$A$6:$A$11,1))+1)-INDEX(Reference!$A$6:$A$11,MIN(5,MATCH(MAX(Reference!$A$6,MIN(Reference!$A$11,MIN(D80,300))),Reference!$A$6:$A$11,1))))),0))/(AE80*(AE80+5)/2)),(INDEX(Reference!$B$6:$B$11,MIN(5,MATCH(MAX(Reference!$A$6,MIN(Reference!$A$11,D80)),Reference!$A$6:$A$11,1)))+(MAX(Reference!$A$6,MIN(Reference!$A$11,D80))-INDEX(Reference!$A$6:$A$11,MIN(5,MATCH(MAX(Reference!$A$6,MIN(Reference!$A$11,D80)),Reference!$A$6:$A$11,1))))*(INDEX(Reference!$B$6:$B$11,MIN(5,MATCH(MAX(Reference!$A$6,MIN(Reference!$A$11,D80)),Reference!$A$6:$A$11,1))+1)-INDEX(Reference!$B$6:$B$11,MIN(5,MATCH(MAX(Reference!$A$6,MIN(Reference!$A$11,D80)),Reference!$A$6:$A$11,1))))/(INDEX(Reference!$A$6:$A$11,MIN(5,MATCH(MAX(Reference!$A$6,MIN(Reference!$A$11,D80)),Reference!$A$6:$A$11,1))+1)-INDEX(Reference!$A$6:$A$11,MIN(5,MATCH(MAX(Reference!$A$6,MIN(Reference!$A$11,D80)),Reference!$A$6:$A$11,1))))))))</f>
        <v/>
      </c>
      <c r="P80" s="32" t="str">
        <f>IF(N80="","",VLOOKUP(MAX(N80,0),Reference!$A$17:$B$20,2,TRUE()))</f>
        <v/>
      </c>
      <c r="Q80" s="32" t="str">
        <f t="shared" si="12"/>
        <v/>
      </c>
      <c r="R80" s="31"/>
      <c r="S80" s="31"/>
      <c r="T80" s="31"/>
      <c r="U80" s="32" t="str">
        <f t="shared" si="13"/>
        <v/>
      </c>
      <c r="V80" s="32" t="str">
        <f t="shared" si="14"/>
        <v/>
      </c>
      <c r="W80" s="32" t="str">
        <f>IF(V80="","",VLOOKUP(MAX(V80,0),Reference!$A$17:$B$20,2,TRUE()))</f>
        <v/>
      </c>
      <c r="X80" s="31"/>
      <c r="Y80" s="31"/>
      <c r="Z80" s="31"/>
      <c r="AA80" s="32" t="str">
        <f t="shared" si="15"/>
        <v/>
      </c>
      <c r="AB80" s="32" t="str">
        <f t="shared" si="16"/>
        <v/>
      </c>
      <c r="AC80" s="32" t="str">
        <f>IF(AB80="","",VLOOKUP(MAX(AB80,0),Reference!$A$17:$B$20,2,TRUE()))</f>
        <v/>
      </c>
      <c r="AD80" s="31"/>
      <c r="AE80">
        <f t="shared" si="17"/>
        <v>1</v>
      </c>
      <c r="AF80" s="33" t="str">
        <f>IF(OR(A80="",B80="",AND(C80&lt;&gt;"Bullpen",C80&lt;&gt;"Game")),"",IF((COUNTIFS($B$5:$B$300,B80,$A$5:$A$300,A80-1,$C$5:$C$300,"Bullpen",$AG$5:$AG$300,"&gt;0") + COUNTIFS($B$5:$B$300,B80,$A$5:$A$300,A80-1,$C$5:$C$300,"Game",$AG$5:$AG$300,"&gt;0"))&gt;0,Reference!$B$119,IF((COUNTIFS($B$5:$B$300,B80,$A$5:$A$300,A80-2,$C$5:$C$300,"Bullpen",$AG$5:$AG$300,"&gt;0") + COUNTIFS($B$5:$B$300,B80,$A$5:$A$300,A80-2,$C$5:$C$300,"Game",$AG$5:$AG$300,"&gt;0"))&gt;0,Reference!$B$120,1)))</f>
        <v/>
      </c>
      <c r="AG80" s="30" t="str">
        <f>IF(AND(OR(I80="",O80="",P80=""),OR(R80="",W80=""),OR(X80="",AC80="")),"",IF(OR(I80="",O80="",P80=""),0,I80*O80*P80)+IF(OR(R80="",W80=""),0,R80*IFERROR(INDEX(Reference!$B$61:$B$62,MATCH("Bullpen",Reference!$A$61:$A$62,0)),0)*W80)+IF(OR(X80="",AC80=""),0,X80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80))</f>
        <v/>
      </c>
    </row>
    <row r="81" spans="1:33" x14ac:dyDescent="0.3">
      <c r="A81" s="35"/>
      <c r="B81" s="31"/>
      <c r="C81" s="31"/>
      <c r="D81" s="31"/>
      <c r="E81" s="34"/>
      <c r="F81" s="34"/>
      <c r="G81" s="30" t="str">
        <f t="shared" si="9"/>
        <v/>
      </c>
      <c r="H81" s="31"/>
      <c r="I81" s="32" t="str">
        <f>IF(H81&lt;&gt;"",H81,IF(G81="","",ROUND(G81*IFERROR(INDEX(Reference!$B$44:$B$50,MATCH(C81,Reference!$A$44:$A$50,0)),0),0)))</f>
        <v/>
      </c>
      <c r="J81" s="31"/>
      <c r="K81" s="31"/>
      <c r="L81" s="32" t="str">
        <f t="shared" si="10"/>
        <v/>
      </c>
      <c r="M81" s="32" t="str">
        <f>IFERROR(INDEX(Roster!$D$5:$D$40,MATCH(B81,Roster!$A$5:$A$40,0)),"")</f>
        <v/>
      </c>
      <c r="N81" s="32" t="str">
        <f t="shared" si="11"/>
        <v/>
      </c>
      <c r="O81" s="32" t="str">
        <f>IF(OR(C81="Bullpen",C81="Game"),IFERROR(INDEX(Reference!$B$61:$B$62,MATCH(C81,Reference!$A$61:$A$62,0)),""),IF(D81="","",IF(AE81&gt;1,((IF(1&lt;=AE81,(AE81-1+3)*(INDEX(Reference!$B$6:$B$11,MIN(5,MATCH(MAX(Reference!$A$6,MIN(Reference!$A$11,MIN(D81,90))),Reference!$A$6:$A$11,1)))+(MAX(Reference!$A$6,MIN(Reference!$A$11,MIN(D81,90)))-INDEX(Reference!$A$6:$A$11,MIN(5,MATCH(MAX(Reference!$A$6,MIN(Reference!$A$11,MIN(D81,90))),Reference!$A$6:$A$11,1))))*(INDEX(Reference!$B$6:$B$11,MIN(5,MATCH(MAX(Reference!$A$6,MIN(Reference!$A$11,MIN(D81,90))),Reference!$A$6:$A$11,1))+1)-INDEX(Reference!$B$6:$B$11,MIN(5,MATCH(MAX(Reference!$A$6,MIN(Reference!$A$11,MIN(D81,90))),Reference!$A$6:$A$11,1))))/(INDEX(Reference!$A$6:$A$11,MIN(5,MATCH(MAX(Reference!$A$6,MIN(Reference!$A$11,MIN(D81,90))),Reference!$A$6:$A$11,1))+1)-INDEX(Reference!$A$6:$A$11,MIN(5,MATCH(MAX(Reference!$A$6,MIN(Reference!$A$11,MIN(D81,90))),Reference!$A$6:$A$11,1))))),0)+IF(2&lt;=AE81,(AE81-2+3)*(INDEX(Reference!$B$6:$B$11,MIN(5,MATCH(MAX(Reference!$A$6,MIN(Reference!$A$11,MIN(D81,120))),Reference!$A$6:$A$11,1)))+(MAX(Reference!$A$6,MIN(Reference!$A$11,MIN(D81,120)))-INDEX(Reference!$A$6:$A$11,MIN(5,MATCH(MAX(Reference!$A$6,MIN(Reference!$A$11,MIN(D81,120))),Reference!$A$6:$A$11,1))))*(INDEX(Reference!$B$6:$B$11,MIN(5,MATCH(MAX(Reference!$A$6,MIN(Reference!$A$11,MIN(D81,120))),Reference!$A$6:$A$11,1))+1)-INDEX(Reference!$B$6:$B$11,MIN(5,MATCH(MAX(Reference!$A$6,MIN(Reference!$A$11,MIN(D81,120))),Reference!$A$6:$A$11,1))))/(INDEX(Reference!$A$6:$A$11,MIN(5,MATCH(MAX(Reference!$A$6,MIN(Reference!$A$11,MIN(D81,120))),Reference!$A$6:$A$11,1))+1)-INDEX(Reference!$A$6:$A$11,MIN(5,MATCH(MAX(Reference!$A$6,MIN(Reference!$A$11,MIN(D81,120))),Reference!$A$6:$A$11,1))))),0)+IF(3&lt;=AE81,(AE81-3+3)*(INDEX(Reference!$B$6:$B$11,MIN(5,MATCH(MAX(Reference!$A$6,MIN(Reference!$A$11,MIN(D81,150))),Reference!$A$6:$A$11,1)))+(MAX(Reference!$A$6,MIN(Reference!$A$11,MIN(D81,150)))-INDEX(Reference!$A$6:$A$11,MIN(5,MATCH(MAX(Reference!$A$6,MIN(Reference!$A$11,MIN(D81,150))),Reference!$A$6:$A$11,1))))*(INDEX(Reference!$B$6:$B$11,MIN(5,MATCH(MAX(Reference!$A$6,MIN(Reference!$A$11,MIN(D81,150))),Reference!$A$6:$A$11,1))+1)-INDEX(Reference!$B$6:$B$11,MIN(5,MATCH(MAX(Reference!$A$6,MIN(Reference!$A$11,MIN(D81,150))),Reference!$A$6:$A$11,1))))/(INDEX(Reference!$A$6:$A$11,MIN(5,MATCH(MAX(Reference!$A$6,MIN(Reference!$A$11,MIN(D81,150))),Reference!$A$6:$A$11,1))+1)-INDEX(Reference!$A$6:$A$11,MIN(5,MATCH(MAX(Reference!$A$6,MIN(Reference!$A$11,MIN(D81,150))),Reference!$A$6:$A$11,1))))),0)+IF(4&lt;=AE81,(AE81-4+3)*(INDEX(Reference!$B$6:$B$11,MIN(5,MATCH(MAX(Reference!$A$6,MIN(Reference!$A$11,MIN(D81,180))),Reference!$A$6:$A$11,1)))+(MAX(Reference!$A$6,MIN(Reference!$A$11,MIN(D81,180)))-INDEX(Reference!$A$6:$A$11,MIN(5,MATCH(MAX(Reference!$A$6,MIN(Reference!$A$11,MIN(D81,180))),Reference!$A$6:$A$11,1))))*(INDEX(Reference!$B$6:$B$11,MIN(5,MATCH(MAX(Reference!$A$6,MIN(Reference!$A$11,MIN(D81,180))),Reference!$A$6:$A$11,1))+1)-INDEX(Reference!$B$6:$B$11,MIN(5,MATCH(MAX(Reference!$A$6,MIN(Reference!$A$11,MIN(D81,180))),Reference!$A$6:$A$11,1))))/(INDEX(Reference!$A$6:$A$11,MIN(5,MATCH(MAX(Reference!$A$6,MIN(Reference!$A$11,MIN(D81,180))),Reference!$A$6:$A$11,1))+1)-INDEX(Reference!$A$6:$A$11,MIN(5,MATCH(MAX(Reference!$A$6,MIN(Reference!$A$11,MIN(D81,180))),Reference!$A$6:$A$11,1))))),0)+IF(5&lt;=AE81,(AE81-5+3)*(INDEX(Reference!$B$6:$B$11,MIN(5,MATCH(MAX(Reference!$A$6,MIN(Reference!$A$11,MIN(D81,210))),Reference!$A$6:$A$11,1)))+(MAX(Reference!$A$6,MIN(Reference!$A$11,MIN(D81,210)))-INDEX(Reference!$A$6:$A$11,MIN(5,MATCH(MAX(Reference!$A$6,MIN(Reference!$A$11,MIN(D81,210))),Reference!$A$6:$A$11,1))))*(INDEX(Reference!$B$6:$B$11,MIN(5,MATCH(MAX(Reference!$A$6,MIN(Reference!$A$11,MIN(D81,210))),Reference!$A$6:$A$11,1))+1)-INDEX(Reference!$B$6:$B$11,MIN(5,MATCH(MAX(Reference!$A$6,MIN(Reference!$A$11,MIN(D81,210))),Reference!$A$6:$A$11,1))))/(INDEX(Reference!$A$6:$A$11,MIN(5,MATCH(MAX(Reference!$A$6,MIN(Reference!$A$11,MIN(D81,210))),Reference!$A$6:$A$11,1))+1)-INDEX(Reference!$A$6:$A$11,MIN(5,MATCH(MAX(Reference!$A$6,MIN(Reference!$A$11,MIN(D81,210))),Reference!$A$6:$A$11,1))))),0)+IF(6&lt;=AE81,(AE81-6+3)*(INDEX(Reference!$B$6:$B$11,MIN(5,MATCH(MAX(Reference!$A$6,MIN(Reference!$A$11,MIN(D81,240))),Reference!$A$6:$A$11,1)))+(MAX(Reference!$A$6,MIN(Reference!$A$11,MIN(D81,240)))-INDEX(Reference!$A$6:$A$11,MIN(5,MATCH(MAX(Reference!$A$6,MIN(Reference!$A$11,MIN(D81,240))),Reference!$A$6:$A$11,1))))*(INDEX(Reference!$B$6:$B$11,MIN(5,MATCH(MAX(Reference!$A$6,MIN(Reference!$A$11,MIN(D81,240))),Reference!$A$6:$A$11,1))+1)-INDEX(Reference!$B$6:$B$11,MIN(5,MATCH(MAX(Reference!$A$6,MIN(Reference!$A$11,MIN(D81,240))),Reference!$A$6:$A$11,1))))/(INDEX(Reference!$A$6:$A$11,MIN(5,MATCH(MAX(Reference!$A$6,MIN(Reference!$A$11,MIN(D81,240))),Reference!$A$6:$A$11,1))+1)-INDEX(Reference!$A$6:$A$11,MIN(5,MATCH(MAX(Reference!$A$6,MIN(Reference!$A$11,MIN(D81,240))),Reference!$A$6:$A$11,1))))),0)+IF(7&lt;=AE81,(AE81-7+3)*(INDEX(Reference!$B$6:$B$11,MIN(5,MATCH(MAX(Reference!$A$6,MIN(Reference!$A$11,MIN(D81,270))),Reference!$A$6:$A$11,1)))+(MAX(Reference!$A$6,MIN(Reference!$A$11,MIN(D81,270)))-INDEX(Reference!$A$6:$A$11,MIN(5,MATCH(MAX(Reference!$A$6,MIN(Reference!$A$11,MIN(D81,270))),Reference!$A$6:$A$11,1))))*(INDEX(Reference!$B$6:$B$11,MIN(5,MATCH(MAX(Reference!$A$6,MIN(Reference!$A$11,MIN(D81,270))),Reference!$A$6:$A$11,1))+1)-INDEX(Reference!$B$6:$B$11,MIN(5,MATCH(MAX(Reference!$A$6,MIN(Reference!$A$11,MIN(D81,270))),Reference!$A$6:$A$11,1))))/(INDEX(Reference!$A$6:$A$11,MIN(5,MATCH(MAX(Reference!$A$6,MIN(Reference!$A$11,MIN(D81,270))),Reference!$A$6:$A$11,1))+1)-INDEX(Reference!$A$6:$A$11,MIN(5,MATCH(MAX(Reference!$A$6,MIN(Reference!$A$11,MIN(D81,270))),Reference!$A$6:$A$11,1))))),0)+IF(8&lt;=AE81,(AE81-8+3)*(INDEX(Reference!$B$6:$B$11,MIN(5,MATCH(MAX(Reference!$A$6,MIN(Reference!$A$11,MIN(D81,300))),Reference!$A$6:$A$11,1)))+(MAX(Reference!$A$6,MIN(Reference!$A$11,MIN(D81,300)))-INDEX(Reference!$A$6:$A$11,MIN(5,MATCH(MAX(Reference!$A$6,MIN(Reference!$A$11,MIN(D81,300))),Reference!$A$6:$A$11,1))))*(INDEX(Reference!$B$6:$B$11,MIN(5,MATCH(MAX(Reference!$A$6,MIN(Reference!$A$11,MIN(D81,300))),Reference!$A$6:$A$11,1))+1)-INDEX(Reference!$B$6:$B$11,MIN(5,MATCH(MAX(Reference!$A$6,MIN(Reference!$A$11,MIN(D81,300))),Reference!$A$6:$A$11,1))))/(INDEX(Reference!$A$6:$A$11,MIN(5,MATCH(MAX(Reference!$A$6,MIN(Reference!$A$11,MIN(D81,300))),Reference!$A$6:$A$11,1))+1)-INDEX(Reference!$A$6:$A$11,MIN(5,MATCH(MAX(Reference!$A$6,MIN(Reference!$A$11,MIN(D81,300))),Reference!$A$6:$A$11,1))))),0))/(AE81*(AE81+5)/2)),(INDEX(Reference!$B$6:$B$11,MIN(5,MATCH(MAX(Reference!$A$6,MIN(Reference!$A$11,D81)),Reference!$A$6:$A$11,1)))+(MAX(Reference!$A$6,MIN(Reference!$A$11,D81))-INDEX(Reference!$A$6:$A$11,MIN(5,MATCH(MAX(Reference!$A$6,MIN(Reference!$A$11,D81)),Reference!$A$6:$A$11,1))))*(INDEX(Reference!$B$6:$B$11,MIN(5,MATCH(MAX(Reference!$A$6,MIN(Reference!$A$11,D81)),Reference!$A$6:$A$11,1))+1)-INDEX(Reference!$B$6:$B$11,MIN(5,MATCH(MAX(Reference!$A$6,MIN(Reference!$A$11,D81)),Reference!$A$6:$A$11,1))))/(INDEX(Reference!$A$6:$A$11,MIN(5,MATCH(MAX(Reference!$A$6,MIN(Reference!$A$11,D81)),Reference!$A$6:$A$11,1))+1)-INDEX(Reference!$A$6:$A$11,MIN(5,MATCH(MAX(Reference!$A$6,MIN(Reference!$A$11,D81)),Reference!$A$6:$A$11,1))))))))</f>
        <v/>
      </c>
      <c r="P81" s="32" t="str">
        <f>IF(N81="","",VLOOKUP(MAX(N81,0),Reference!$A$17:$B$20,2,TRUE()))</f>
        <v/>
      </c>
      <c r="Q81" s="32" t="str">
        <f t="shared" si="12"/>
        <v/>
      </c>
      <c r="R81" s="31"/>
      <c r="S81" s="31"/>
      <c r="T81" s="31"/>
      <c r="U81" s="32" t="str">
        <f t="shared" si="13"/>
        <v/>
      </c>
      <c r="V81" s="32" t="str">
        <f t="shared" si="14"/>
        <v/>
      </c>
      <c r="W81" s="32" t="str">
        <f>IF(V81="","",VLOOKUP(MAX(V81,0),Reference!$A$17:$B$20,2,TRUE()))</f>
        <v/>
      </c>
      <c r="X81" s="31"/>
      <c r="Y81" s="31"/>
      <c r="Z81" s="31"/>
      <c r="AA81" s="32" t="str">
        <f t="shared" si="15"/>
        <v/>
      </c>
      <c r="AB81" s="32" t="str">
        <f t="shared" si="16"/>
        <v/>
      </c>
      <c r="AC81" s="32" t="str">
        <f>IF(AB81="","",VLOOKUP(MAX(AB81,0),Reference!$A$17:$B$20,2,TRUE()))</f>
        <v/>
      </c>
      <c r="AD81" s="31"/>
      <c r="AE81">
        <f t="shared" si="17"/>
        <v>1</v>
      </c>
      <c r="AF81" s="33" t="str">
        <f>IF(OR(A81="",B81="",AND(C81&lt;&gt;"Bullpen",C81&lt;&gt;"Game")),"",IF((COUNTIFS($B$5:$B$300,B81,$A$5:$A$300,A81-1,$C$5:$C$300,"Bullpen",$AG$5:$AG$300,"&gt;0") + COUNTIFS($B$5:$B$300,B81,$A$5:$A$300,A81-1,$C$5:$C$300,"Game",$AG$5:$AG$300,"&gt;0"))&gt;0,Reference!$B$119,IF((COUNTIFS($B$5:$B$300,B81,$A$5:$A$300,A81-2,$C$5:$C$300,"Bullpen",$AG$5:$AG$300,"&gt;0") + COUNTIFS($B$5:$B$300,B81,$A$5:$A$300,A81-2,$C$5:$C$300,"Game",$AG$5:$AG$300,"&gt;0"))&gt;0,Reference!$B$120,1)))</f>
        <v/>
      </c>
      <c r="AG81" s="30" t="str">
        <f>IF(AND(OR(I81="",O81="",P81=""),OR(R81="",W81=""),OR(X81="",AC81="")),"",IF(OR(I81="",O81="",P81=""),0,I81*O81*P81)+IF(OR(R81="",W81=""),0,R81*IFERROR(INDEX(Reference!$B$61:$B$62,MATCH("Bullpen",Reference!$A$61:$A$62,0)),0)*W81)+IF(OR(X81="",AC81=""),0,X81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81))</f>
        <v/>
      </c>
    </row>
    <row r="82" spans="1:33" x14ac:dyDescent="0.3">
      <c r="A82" s="35"/>
      <c r="B82" s="31"/>
      <c r="C82" s="31"/>
      <c r="D82" s="31"/>
      <c r="E82" s="34"/>
      <c r="F82" s="34"/>
      <c r="G82" s="30" t="str">
        <f t="shared" si="9"/>
        <v/>
      </c>
      <c r="H82" s="31"/>
      <c r="I82" s="32" t="str">
        <f>IF(H82&lt;&gt;"",H82,IF(G82="","",ROUND(G82*IFERROR(INDEX(Reference!$B$44:$B$50,MATCH(C82,Reference!$A$44:$A$50,0)),0),0)))</f>
        <v/>
      </c>
      <c r="J82" s="31"/>
      <c r="K82" s="31"/>
      <c r="L82" s="32" t="str">
        <f t="shared" si="10"/>
        <v/>
      </c>
      <c r="M82" s="32" t="str">
        <f>IFERROR(INDEX(Roster!$D$5:$D$40,MATCH(B82,Roster!$A$5:$A$40,0)),"")</f>
        <v/>
      </c>
      <c r="N82" s="32" t="str">
        <f t="shared" si="11"/>
        <v/>
      </c>
      <c r="O82" s="32" t="str">
        <f>IF(OR(C82="Bullpen",C82="Game"),IFERROR(INDEX(Reference!$B$61:$B$62,MATCH(C82,Reference!$A$61:$A$62,0)),""),IF(D82="","",IF(AE82&gt;1,((IF(1&lt;=AE82,(AE82-1+3)*(INDEX(Reference!$B$6:$B$11,MIN(5,MATCH(MAX(Reference!$A$6,MIN(Reference!$A$11,MIN(D82,90))),Reference!$A$6:$A$11,1)))+(MAX(Reference!$A$6,MIN(Reference!$A$11,MIN(D82,90)))-INDEX(Reference!$A$6:$A$11,MIN(5,MATCH(MAX(Reference!$A$6,MIN(Reference!$A$11,MIN(D82,90))),Reference!$A$6:$A$11,1))))*(INDEX(Reference!$B$6:$B$11,MIN(5,MATCH(MAX(Reference!$A$6,MIN(Reference!$A$11,MIN(D82,90))),Reference!$A$6:$A$11,1))+1)-INDEX(Reference!$B$6:$B$11,MIN(5,MATCH(MAX(Reference!$A$6,MIN(Reference!$A$11,MIN(D82,90))),Reference!$A$6:$A$11,1))))/(INDEX(Reference!$A$6:$A$11,MIN(5,MATCH(MAX(Reference!$A$6,MIN(Reference!$A$11,MIN(D82,90))),Reference!$A$6:$A$11,1))+1)-INDEX(Reference!$A$6:$A$11,MIN(5,MATCH(MAX(Reference!$A$6,MIN(Reference!$A$11,MIN(D82,90))),Reference!$A$6:$A$11,1))))),0)+IF(2&lt;=AE82,(AE82-2+3)*(INDEX(Reference!$B$6:$B$11,MIN(5,MATCH(MAX(Reference!$A$6,MIN(Reference!$A$11,MIN(D82,120))),Reference!$A$6:$A$11,1)))+(MAX(Reference!$A$6,MIN(Reference!$A$11,MIN(D82,120)))-INDEX(Reference!$A$6:$A$11,MIN(5,MATCH(MAX(Reference!$A$6,MIN(Reference!$A$11,MIN(D82,120))),Reference!$A$6:$A$11,1))))*(INDEX(Reference!$B$6:$B$11,MIN(5,MATCH(MAX(Reference!$A$6,MIN(Reference!$A$11,MIN(D82,120))),Reference!$A$6:$A$11,1))+1)-INDEX(Reference!$B$6:$B$11,MIN(5,MATCH(MAX(Reference!$A$6,MIN(Reference!$A$11,MIN(D82,120))),Reference!$A$6:$A$11,1))))/(INDEX(Reference!$A$6:$A$11,MIN(5,MATCH(MAX(Reference!$A$6,MIN(Reference!$A$11,MIN(D82,120))),Reference!$A$6:$A$11,1))+1)-INDEX(Reference!$A$6:$A$11,MIN(5,MATCH(MAX(Reference!$A$6,MIN(Reference!$A$11,MIN(D82,120))),Reference!$A$6:$A$11,1))))),0)+IF(3&lt;=AE82,(AE82-3+3)*(INDEX(Reference!$B$6:$B$11,MIN(5,MATCH(MAX(Reference!$A$6,MIN(Reference!$A$11,MIN(D82,150))),Reference!$A$6:$A$11,1)))+(MAX(Reference!$A$6,MIN(Reference!$A$11,MIN(D82,150)))-INDEX(Reference!$A$6:$A$11,MIN(5,MATCH(MAX(Reference!$A$6,MIN(Reference!$A$11,MIN(D82,150))),Reference!$A$6:$A$11,1))))*(INDEX(Reference!$B$6:$B$11,MIN(5,MATCH(MAX(Reference!$A$6,MIN(Reference!$A$11,MIN(D82,150))),Reference!$A$6:$A$11,1))+1)-INDEX(Reference!$B$6:$B$11,MIN(5,MATCH(MAX(Reference!$A$6,MIN(Reference!$A$11,MIN(D82,150))),Reference!$A$6:$A$11,1))))/(INDEX(Reference!$A$6:$A$11,MIN(5,MATCH(MAX(Reference!$A$6,MIN(Reference!$A$11,MIN(D82,150))),Reference!$A$6:$A$11,1))+1)-INDEX(Reference!$A$6:$A$11,MIN(5,MATCH(MAX(Reference!$A$6,MIN(Reference!$A$11,MIN(D82,150))),Reference!$A$6:$A$11,1))))),0)+IF(4&lt;=AE82,(AE82-4+3)*(INDEX(Reference!$B$6:$B$11,MIN(5,MATCH(MAX(Reference!$A$6,MIN(Reference!$A$11,MIN(D82,180))),Reference!$A$6:$A$11,1)))+(MAX(Reference!$A$6,MIN(Reference!$A$11,MIN(D82,180)))-INDEX(Reference!$A$6:$A$11,MIN(5,MATCH(MAX(Reference!$A$6,MIN(Reference!$A$11,MIN(D82,180))),Reference!$A$6:$A$11,1))))*(INDEX(Reference!$B$6:$B$11,MIN(5,MATCH(MAX(Reference!$A$6,MIN(Reference!$A$11,MIN(D82,180))),Reference!$A$6:$A$11,1))+1)-INDEX(Reference!$B$6:$B$11,MIN(5,MATCH(MAX(Reference!$A$6,MIN(Reference!$A$11,MIN(D82,180))),Reference!$A$6:$A$11,1))))/(INDEX(Reference!$A$6:$A$11,MIN(5,MATCH(MAX(Reference!$A$6,MIN(Reference!$A$11,MIN(D82,180))),Reference!$A$6:$A$11,1))+1)-INDEX(Reference!$A$6:$A$11,MIN(5,MATCH(MAX(Reference!$A$6,MIN(Reference!$A$11,MIN(D82,180))),Reference!$A$6:$A$11,1))))),0)+IF(5&lt;=AE82,(AE82-5+3)*(INDEX(Reference!$B$6:$B$11,MIN(5,MATCH(MAX(Reference!$A$6,MIN(Reference!$A$11,MIN(D82,210))),Reference!$A$6:$A$11,1)))+(MAX(Reference!$A$6,MIN(Reference!$A$11,MIN(D82,210)))-INDEX(Reference!$A$6:$A$11,MIN(5,MATCH(MAX(Reference!$A$6,MIN(Reference!$A$11,MIN(D82,210))),Reference!$A$6:$A$11,1))))*(INDEX(Reference!$B$6:$B$11,MIN(5,MATCH(MAX(Reference!$A$6,MIN(Reference!$A$11,MIN(D82,210))),Reference!$A$6:$A$11,1))+1)-INDEX(Reference!$B$6:$B$11,MIN(5,MATCH(MAX(Reference!$A$6,MIN(Reference!$A$11,MIN(D82,210))),Reference!$A$6:$A$11,1))))/(INDEX(Reference!$A$6:$A$11,MIN(5,MATCH(MAX(Reference!$A$6,MIN(Reference!$A$11,MIN(D82,210))),Reference!$A$6:$A$11,1))+1)-INDEX(Reference!$A$6:$A$11,MIN(5,MATCH(MAX(Reference!$A$6,MIN(Reference!$A$11,MIN(D82,210))),Reference!$A$6:$A$11,1))))),0)+IF(6&lt;=AE82,(AE82-6+3)*(INDEX(Reference!$B$6:$B$11,MIN(5,MATCH(MAX(Reference!$A$6,MIN(Reference!$A$11,MIN(D82,240))),Reference!$A$6:$A$11,1)))+(MAX(Reference!$A$6,MIN(Reference!$A$11,MIN(D82,240)))-INDEX(Reference!$A$6:$A$11,MIN(5,MATCH(MAX(Reference!$A$6,MIN(Reference!$A$11,MIN(D82,240))),Reference!$A$6:$A$11,1))))*(INDEX(Reference!$B$6:$B$11,MIN(5,MATCH(MAX(Reference!$A$6,MIN(Reference!$A$11,MIN(D82,240))),Reference!$A$6:$A$11,1))+1)-INDEX(Reference!$B$6:$B$11,MIN(5,MATCH(MAX(Reference!$A$6,MIN(Reference!$A$11,MIN(D82,240))),Reference!$A$6:$A$11,1))))/(INDEX(Reference!$A$6:$A$11,MIN(5,MATCH(MAX(Reference!$A$6,MIN(Reference!$A$11,MIN(D82,240))),Reference!$A$6:$A$11,1))+1)-INDEX(Reference!$A$6:$A$11,MIN(5,MATCH(MAX(Reference!$A$6,MIN(Reference!$A$11,MIN(D82,240))),Reference!$A$6:$A$11,1))))),0)+IF(7&lt;=AE82,(AE82-7+3)*(INDEX(Reference!$B$6:$B$11,MIN(5,MATCH(MAX(Reference!$A$6,MIN(Reference!$A$11,MIN(D82,270))),Reference!$A$6:$A$11,1)))+(MAX(Reference!$A$6,MIN(Reference!$A$11,MIN(D82,270)))-INDEX(Reference!$A$6:$A$11,MIN(5,MATCH(MAX(Reference!$A$6,MIN(Reference!$A$11,MIN(D82,270))),Reference!$A$6:$A$11,1))))*(INDEX(Reference!$B$6:$B$11,MIN(5,MATCH(MAX(Reference!$A$6,MIN(Reference!$A$11,MIN(D82,270))),Reference!$A$6:$A$11,1))+1)-INDEX(Reference!$B$6:$B$11,MIN(5,MATCH(MAX(Reference!$A$6,MIN(Reference!$A$11,MIN(D82,270))),Reference!$A$6:$A$11,1))))/(INDEX(Reference!$A$6:$A$11,MIN(5,MATCH(MAX(Reference!$A$6,MIN(Reference!$A$11,MIN(D82,270))),Reference!$A$6:$A$11,1))+1)-INDEX(Reference!$A$6:$A$11,MIN(5,MATCH(MAX(Reference!$A$6,MIN(Reference!$A$11,MIN(D82,270))),Reference!$A$6:$A$11,1))))),0)+IF(8&lt;=AE82,(AE82-8+3)*(INDEX(Reference!$B$6:$B$11,MIN(5,MATCH(MAX(Reference!$A$6,MIN(Reference!$A$11,MIN(D82,300))),Reference!$A$6:$A$11,1)))+(MAX(Reference!$A$6,MIN(Reference!$A$11,MIN(D82,300)))-INDEX(Reference!$A$6:$A$11,MIN(5,MATCH(MAX(Reference!$A$6,MIN(Reference!$A$11,MIN(D82,300))),Reference!$A$6:$A$11,1))))*(INDEX(Reference!$B$6:$B$11,MIN(5,MATCH(MAX(Reference!$A$6,MIN(Reference!$A$11,MIN(D82,300))),Reference!$A$6:$A$11,1))+1)-INDEX(Reference!$B$6:$B$11,MIN(5,MATCH(MAX(Reference!$A$6,MIN(Reference!$A$11,MIN(D82,300))),Reference!$A$6:$A$11,1))))/(INDEX(Reference!$A$6:$A$11,MIN(5,MATCH(MAX(Reference!$A$6,MIN(Reference!$A$11,MIN(D82,300))),Reference!$A$6:$A$11,1))+1)-INDEX(Reference!$A$6:$A$11,MIN(5,MATCH(MAX(Reference!$A$6,MIN(Reference!$A$11,MIN(D82,300))),Reference!$A$6:$A$11,1))))),0))/(AE82*(AE82+5)/2)),(INDEX(Reference!$B$6:$B$11,MIN(5,MATCH(MAX(Reference!$A$6,MIN(Reference!$A$11,D82)),Reference!$A$6:$A$11,1)))+(MAX(Reference!$A$6,MIN(Reference!$A$11,D82))-INDEX(Reference!$A$6:$A$11,MIN(5,MATCH(MAX(Reference!$A$6,MIN(Reference!$A$11,D82)),Reference!$A$6:$A$11,1))))*(INDEX(Reference!$B$6:$B$11,MIN(5,MATCH(MAX(Reference!$A$6,MIN(Reference!$A$11,D82)),Reference!$A$6:$A$11,1))+1)-INDEX(Reference!$B$6:$B$11,MIN(5,MATCH(MAX(Reference!$A$6,MIN(Reference!$A$11,D82)),Reference!$A$6:$A$11,1))))/(INDEX(Reference!$A$6:$A$11,MIN(5,MATCH(MAX(Reference!$A$6,MIN(Reference!$A$11,D82)),Reference!$A$6:$A$11,1))+1)-INDEX(Reference!$A$6:$A$11,MIN(5,MATCH(MAX(Reference!$A$6,MIN(Reference!$A$11,D82)),Reference!$A$6:$A$11,1))))))))</f>
        <v/>
      </c>
      <c r="P82" s="32" t="str">
        <f>IF(N82="","",VLOOKUP(MAX(N82,0),Reference!$A$17:$B$20,2,TRUE()))</f>
        <v/>
      </c>
      <c r="Q82" s="32" t="str">
        <f t="shared" si="12"/>
        <v/>
      </c>
      <c r="R82" s="31"/>
      <c r="S82" s="31"/>
      <c r="T82" s="31"/>
      <c r="U82" s="32" t="str">
        <f t="shared" si="13"/>
        <v/>
      </c>
      <c r="V82" s="32" t="str">
        <f t="shared" si="14"/>
        <v/>
      </c>
      <c r="W82" s="32" t="str">
        <f>IF(V82="","",VLOOKUP(MAX(V82,0),Reference!$A$17:$B$20,2,TRUE()))</f>
        <v/>
      </c>
      <c r="X82" s="31"/>
      <c r="Y82" s="31"/>
      <c r="Z82" s="31"/>
      <c r="AA82" s="32" t="str">
        <f t="shared" si="15"/>
        <v/>
      </c>
      <c r="AB82" s="32" t="str">
        <f t="shared" si="16"/>
        <v/>
      </c>
      <c r="AC82" s="32" t="str">
        <f>IF(AB82="","",VLOOKUP(MAX(AB82,0),Reference!$A$17:$B$20,2,TRUE()))</f>
        <v/>
      </c>
      <c r="AD82" s="31"/>
      <c r="AE82">
        <f t="shared" si="17"/>
        <v>1</v>
      </c>
      <c r="AF82" s="33" t="str">
        <f>IF(OR(A82="",B82="",AND(C82&lt;&gt;"Bullpen",C82&lt;&gt;"Game")),"",IF((COUNTIFS($B$5:$B$300,B82,$A$5:$A$300,A82-1,$C$5:$C$300,"Bullpen",$AG$5:$AG$300,"&gt;0") + COUNTIFS($B$5:$B$300,B82,$A$5:$A$300,A82-1,$C$5:$C$300,"Game",$AG$5:$AG$300,"&gt;0"))&gt;0,Reference!$B$119,IF((COUNTIFS($B$5:$B$300,B82,$A$5:$A$300,A82-2,$C$5:$C$300,"Bullpen",$AG$5:$AG$300,"&gt;0") + COUNTIFS($B$5:$B$300,B82,$A$5:$A$300,A82-2,$C$5:$C$300,"Game",$AG$5:$AG$300,"&gt;0"))&gt;0,Reference!$B$120,1)))</f>
        <v/>
      </c>
      <c r="AG82" s="30" t="str">
        <f>IF(AND(OR(I82="",O82="",P82=""),OR(R82="",W82=""),OR(X82="",AC82="")),"",IF(OR(I82="",O82="",P82=""),0,I82*O82*P82)+IF(OR(R82="",W82=""),0,R82*IFERROR(INDEX(Reference!$B$61:$B$62,MATCH("Bullpen",Reference!$A$61:$A$62,0)),0)*W82)+IF(OR(X82="",AC82=""),0,X82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82))</f>
        <v/>
      </c>
    </row>
    <row r="83" spans="1:33" x14ac:dyDescent="0.3">
      <c r="A83" s="35"/>
      <c r="B83" s="31"/>
      <c r="C83" s="31"/>
      <c r="D83" s="31"/>
      <c r="E83" s="34"/>
      <c r="F83" s="34"/>
      <c r="G83" s="30" t="str">
        <f t="shared" si="9"/>
        <v/>
      </c>
      <c r="H83" s="31"/>
      <c r="I83" s="32" t="str">
        <f>IF(H83&lt;&gt;"",H83,IF(G83="","",ROUND(G83*IFERROR(INDEX(Reference!$B$44:$B$50,MATCH(C83,Reference!$A$44:$A$50,0)),0),0)))</f>
        <v/>
      </c>
      <c r="J83" s="31"/>
      <c r="K83" s="31"/>
      <c r="L83" s="32" t="str">
        <f t="shared" si="10"/>
        <v/>
      </c>
      <c r="M83" s="32" t="str">
        <f>IFERROR(INDEX(Roster!$D$5:$D$40,MATCH(B83,Roster!$A$5:$A$40,0)),"")</f>
        <v/>
      </c>
      <c r="N83" s="32" t="str">
        <f t="shared" si="11"/>
        <v/>
      </c>
      <c r="O83" s="32" t="str">
        <f>IF(OR(C83="Bullpen",C83="Game"),IFERROR(INDEX(Reference!$B$61:$B$62,MATCH(C83,Reference!$A$61:$A$62,0)),""),IF(D83="","",IF(AE83&gt;1,((IF(1&lt;=AE83,(AE83-1+3)*(INDEX(Reference!$B$6:$B$11,MIN(5,MATCH(MAX(Reference!$A$6,MIN(Reference!$A$11,MIN(D83,90))),Reference!$A$6:$A$11,1)))+(MAX(Reference!$A$6,MIN(Reference!$A$11,MIN(D83,90)))-INDEX(Reference!$A$6:$A$11,MIN(5,MATCH(MAX(Reference!$A$6,MIN(Reference!$A$11,MIN(D83,90))),Reference!$A$6:$A$11,1))))*(INDEX(Reference!$B$6:$B$11,MIN(5,MATCH(MAX(Reference!$A$6,MIN(Reference!$A$11,MIN(D83,90))),Reference!$A$6:$A$11,1))+1)-INDEX(Reference!$B$6:$B$11,MIN(5,MATCH(MAX(Reference!$A$6,MIN(Reference!$A$11,MIN(D83,90))),Reference!$A$6:$A$11,1))))/(INDEX(Reference!$A$6:$A$11,MIN(5,MATCH(MAX(Reference!$A$6,MIN(Reference!$A$11,MIN(D83,90))),Reference!$A$6:$A$11,1))+1)-INDEX(Reference!$A$6:$A$11,MIN(5,MATCH(MAX(Reference!$A$6,MIN(Reference!$A$11,MIN(D83,90))),Reference!$A$6:$A$11,1))))),0)+IF(2&lt;=AE83,(AE83-2+3)*(INDEX(Reference!$B$6:$B$11,MIN(5,MATCH(MAX(Reference!$A$6,MIN(Reference!$A$11,MIN(D83,120))),Reference!$A$6:$A$11,1)))+(MAX(Reference!$A$6,MIN(Reference!$A$11,MIN(D83,120)))-INDEX(Reference!$A$6:$A$11,MIN(5,MATCH(MAX(Reference!$A$6,MIN(Reference!$A$11,MIN(D83,120))),Reference!$A$6:$A$11,1))))*(INDEX(Reference!$B$6:$B$11,MIN(5,MATCH(MAX(Reference!$A$6,MIN(Reference!$A$11,MIN(D83,120))),Reference!$A$6:$A$11,1))+1)-INDEX(Reference!$B$6:$B$11,MIN(5,MATCH(MAX(Reference!$A$6,MIN(Reference!$A$11,MIN(D83,120))),Reference!$A$6:$A$11,1))))/(INDEX(Reference!$A$6:$A$11,MIN(5,MATCH(MAX(Reference!$A$6,MIN(Reference!$A$11,MIN(D83,120))),Reference!$A$6:$A$11,1))+1)-INDEX(Reference!$A$6:$A$11,MIN(5,MATCH(MAX(Reference!$A$6,MIN(Reference!$A$11,MIN(D83,120))),Reference!$A$6:$A$11,1))))),0)+IF(3&lt;=AE83,(AE83-3+3)*(INDEX(Reference!$B$6:$B$11,MIN(5,MATCH(MAX(Reference!$A$6,MIN(Reference!$A$11,MIN(D83,150))),Reference!$A$6:$A$11,1)))+(MAX(Reference!$A$6,MIN(Reference!$A$11,MIN(D83,150)))-INDEX(Reference!$A$6:$A$11,MIN(5,MATCH(MAX(Reference!$A$6,MIN(Reference!$A$11,MIN(D83,150))),Reference!$A$6:$A$11,1))))*(INDEX(Reference!$B$6:$B$11,MIN(5,MATCH(MAX(Reference!$A$6,MIN(Reference!$A$11,MIN(D83,150))),Reference!$A$6:$A$11,1))+1)-INDEX(Reference!$B$6:$B$11,MIN(5,MATCH(MAX(Reference!$A$6,MIN(Reference!$A$11,MIN(D83,150))),Reference!$A$6:$A$11,1))))/(INDEX(Reference!$A$6:$A$11,MIN(5,MATCH(MAX(Reference!$A$6,MIN(Reference!$A$11,MIN(D83,150))),Reference!$A$6:$A$11,1))+1)-INDEX(Reference!$A$6:$A$11,MIN(5,MATCH(MAX(Reference!$A$6,MIN(Reference!$A$11,MIN(D83,150))),Reference!$A$6:$A$11,1))))),0)+IF(4&lt;=AE83,(AE83-4+3)*(INDEX(Reference!$B$6:$B$11,MIN(5,MATCH(MAX(Reference!$A$6,MIN(Reference!$A$11,MIN(D83,180))),Reference!$A$6:$A$11,1)))+(MAX(Reference!$A$6,MIN(Reference!$A$11,MIN(D83,180)))-INDEX(Reference!$A$6:$A$11,MIN(5,MATCH(MAX(Reference!$A$6,MIN(Reference!$A$11,MIN(D83,180))),Reference!$A$6:$A$11,1))))*(INDEX(Reference!$B$6:$B$11,MIN(5,MATCH(MAX(Reference!$A$6,MIN(Reference!$A$11,MIN(D83,180))),Reference!$A$6:$A$11,1))+1)-INDEX(Reference!$B$6:$B$11,MIN(5,MATCH(MAX(Reference!$A$6,MIN(Reference!$A$11,MIN(D83,180))),Reference!$A$6:$A$11,1))))/(INDEX(Reference!$A$6:$A$11,MIN(5,MATCH(MAX(Reference!$A$6,MIN(Reference!$A$11,MIN(D83,180))),Reference!$A$6:$A$11,1))+1)-INDEX(Reference!$A$6:$A$11,MIN(5,MATCH(MAX(Reference!$A$6,MIN(Reference!$A$11,MIN(D83,180))),Reference!$A$6:$A$11,1))))),0)+IF(5&lt;=AE83,(AE83-5+3)*(INDEX(Reference!$B$6:$B$11,MIN(5,MATCH(MAX(Reference!$A$6,MIN(Reference!$A$11,MIN(D83,210))),Reference!$A$6:$A$11,1)))+(MAX(Reference!$A$6,MIN(Reference!$A$11,MIN(D83,210)))-INDEX(Reference!$A$6:$A$11,MIN(5,MATCH(MAX(Reference!$A$6,MIN(Reference!$A$11,MIN(D83,210))),Reference!$A$6:$A$11,1))))*(INDEX(Reference!$B$6:$B$11,MIN(5,MATCH(MAX(Reference!$A$6,MIN(Reference!$A$11,MIN(D83,210))),Reference!$A$6:$A$11,1))+1)-INDEX(Reference!$B$6:$B$11,MIN(5,MATCH(MAX(Reference!$A$6,MIN(Reference!$A$11,MIN(D83,210))),Reference!$A$6:$A$11,1))))/(INDEX(Reference!$A$6:$A$11,MIN(5,MATCH(MAX(Reference!$A$6,MIN(Reference!$A$11,MIN(D83,210))),Reference!$A$6:$A$11,1))+1)-INDEX(Reference!$A$6:$A$11,MIN(5,MATCH(MAX(Reference!$A$6,MIN(Reference!$A$11,MIN(D83,210))),Reference!$A$6:$A$11,1))))),0)+IF(6&lt;=AE83,(AE83-6+3)*(INDEX(Reference!$B$6:$B$11,MIN(5,MATCH(MAX(Reference!$A$6,MIN(Reference!$A$11,MIN(D83,240))),Reference!$A$6:$A$11,1)))+(MAX(Reference!$A$6,MIN(Reference!$A$11,MIN(D83,240)))-INDEX(Reference!$A$6:$A$11,MIN(5,MATCH(MAX(Reference!$A$6,MIN(Reference!$A$11,MIN(D83,240))),Reference!$A$6:$A$11,1))))*(INDEX(Reference!$B$6:$B$11,MIN(5,MATCH(MAX(Reference!$A$6,MIN(Reference!$A$11,MIN(D83,240))),Reference!$A$6:$A$11,1))+1)-INDEX(Reference!$B$6:$B$11,MIN(5,MATCH(MAX(Reference!$A$6,MIN(Reference!$A$11,MIN(D83,240))),Reference!$A$6:$A$11,1))))/(INDEX(Reference!$A$6:$A$11,MIN(5,MATCH(MAX(Reference!$A$6,MIN(Reference!$A$11,MIN(D83,240))),Reference!$A$6:$A$11,1))+1)-INDEX(Reference!$A$6:$A$11,MIN(5,MATCH(MAX(Reference!$A$6,MIN(Reference!$A$11,MIN(D83,240))),Reference!$A$6:$A$11,1))))),0)+IF(7&lt;=AE83,(AE83-7+3)*(INDEX(Reference!$B$6:$B$11,MIN(5,MATCH(MAX(Reference!$A$6,MIN(Reference!$A$11,MIN(D83,270))),Reference!$A$6:$A$11,1)))+(MAX(Reference!$A$6,MIN(Reference!$A$11,MIN(D83,270)))-INDEX(Reference!$A$6:$A$11,MIN(5,MATCH(MAX(Reference!$A$6,MIN(Reference!$A$11,MIN(D83,270))),Reference!$A$6:$A$11,1))))*(INDEX(Reference!$B$6:$B$11,MIN(5,MATCH(MAX(Reference!$A$6,MIN(Reference!$A$11,MIN(D83,270))),Reference!$A$6:$A$11,1))+1)-INDEX(Reference!$B$6:$B$11,MIN(5,MATCH(MAX(Reference!$A$6,MIN(Reference!$A$11,MIN(D83,270))),Reference!$A$6:$A$11,1))))/(INDEX(Reference!$A$6:$A$11,MIN(5,MATCH(MAX(Reference!$A$6,MIN(Reference!$A$11,MIN(D83,270))),Reference!$A$6:$A$11,1))+1)-INDEX(Reference!$A$6:$A$11,MIN(5,MATCH(MAX(Reference!$A$6,MIN(Reference!$A$11,MIN(D83,270))),Reference!$A$6:$A$11,1))))),0)+IF(8&lt;=AE83,(AE83-8+3)*(INDEX(Reference!$B$6:$B$11,MIN(5,MATCH(MAX(Reference!$A$6,MIN(Reference!$A$11,MIN(D83,300))),Reference!$A$6:$A$11,1)))+(MAX(Reference!$A$6,MIN(Reference!$A$11,MIN(D83,300)))-INDEX(Reference!$A$6:$A$11,MIN(5,MATCH(MAX(Reference!$A$6,MIN(Reference!$A$11,MIN(D83,300))),Reference!$A$6:$A$11,1))))*(INDEX(Reference!$B$6:$B$11,MIN(5,MATCH(MAX(Reference!$A$6,MIN(Reference!$A$11,MIN(D83,300))),Reference!$A$6:$A$11,1))+1)-INDEX(Reference!$B$6:$B$11,MIN(5,MATCH(MAX(Reference!$A$6,MIN(Reference!$A$11,MIN(D83,300))),Reference!$A$6:$A$11,1))))/(INDEX(Reference!$A$6:$A$11,MIN(5,MATCH(MAX(Reference!$A$6,MIN(Reference!$A$11,MIN(D83,300))),Reference!$A$6:$A$11,1))+1)-INDEX(Reference!$A$6:$A$11,MIN(5,MATCH(MAX(Reference!$A$6,MIN(Reference!$A$11,MIN(D83,300))),Reference!$A$6:$A$11,1))))),0))/(AE83*(AE83+5)/2)),(INDEX(Reference!$B$6:$B$11,MIN(5,MATCH(MAX(Reference!$A$6,MIN(Reference!$A$11,D83)),Reference!$A$6:$A$11,1)))+(MAX(Reference!$A$6,MIN(Reference!$A$11,D83))-INDEX(Reference!$A$6:$A$11,MIN(5,MATCH(MAX(Reference!$A$6,MIN(Reference!$A$11,D83)),Reference!$A$6:$A$11,1))))*(INDEX(Reference!$B$6:$B$11,MIN(5,MATCH(MAX(Reference!$A$6,MIN(Reference!$A$11,D83)),Reference!$A$6:$A$11,1))+1)-INDEX(Reference!$B$6:$B$11,MIN(5,MATCH(MAX(Reference!$A$6,MIN(Reference!$A$11,D83)),Reference!$A$6:$A$11,1))))/(INDEX(Reference!$A$6:$A$11,MIN(5,MATCH(MAX(Reference!$A$6,MIN(Reference!$A$11,D83)),Reference!$A$6:$A$11,1))+1)-INDEX(Reference!$A$6:$A$11,MIN(5,MATCH(MAX(Reference!$A$6,MIN(Reference!$A$11,D83)),Reference!$A$6:$A$11,1))))))))</f>
        <v/>
      </c>
      <c r="P83" s="32" t="str">
        <f>IF(N83="","",VLOOKUP(MAX(N83,0),Reference!$A$17:$B$20,2,TRUE()))</f>
        <v/>
      </c>
      <c r="Q83" s="32" t="str">
        <f t="shared" si="12"/>
        <v/>
      </c>
      <c r="R83" s="31"/>
      <c r="S83" s="31"/>
      <c r="T83" s="31"/>
      <c r="U83" s="32" t="str">
        <f t="shared" si="13"/>
        <v/>
      </c>
      <c r="V83" s="32" t="str">
        <f t="shared" si="14"/>
        <v/>
      </c>
      <c r="W83" s="32" t="str">
        <f>IF(V83="","",VLOOKUP(MAX(V83,0),Reference!$A$17:$B$20,2,TRUE()))</f>
        <v/>
      </c>
      <c r="X83" s="31"/>
      <c r="Y83" s="31"/>
      <c r="Z83" s="31"/>
      <c r="AA83" s="32" t="str">
        <f t="shared" si="15"/>
        <v/>
      </c>
      <c r="AB83" s="32" t="str">
        <f t="shared" si="16"/>
        <v/>
      </c>
      <c r="AC83" s="32" t="str">
        <f>IF(AB83="","",VLOOKUP(MAX(AB83,0),Reference!$A$17:$B$20,2,TRUE()))</f>
        <v/>
      </c>
      <c r="AD83" s="31"/>
      <c r="AE83">
        <f t="shared" si="17"/>
        <v>1</v>
      </c>
      <c r="AF83" s="33" t="str">
        <f>IF(OR(A83="",B83="",AND(C83&lt;&gt;"Bullpen",C83&lt;&gt;"Game")),"",IF((COUNTIFS($B$5:$B$300,B83,$A$5:$A$300,A83-1,$C$5:$C$300,"Bullpen",$AG$5:$AG$300,"&gt;0") + COUNTIFS($B$5:$B$300,B83,$A$5:$A$300,A83-1,$C$5:$C$300,"Game",$AG$5:$AG$300,"&gt;0"))&gt;0,Reference!$B$119,IF((COUNTIFS($B$5:$B$300,B83,$A$5:$A$300,A83-2,$C$5:$C$300,"Bullpen",$AG$5:$AG$300,"&gt;0") + COUNTIFS($B$5:$B$300,B83,$A$5:$A$300,A83-2,$C$5:$C$300,"Game",$AG$5:$AG$300,"&gt;0"))&gt;0,Reference!$B$120,1)))</f>
        <v/>
      </c>
      <c r="AG83" s="30" t="str">
        <f>IF(AND(OR(I83="",O83="",P83=""),OR(R83="",W83=""),OR(X83="",AC83="")),"",IF(OR(I83="",O83="",P83=""),0,I83*O83*P83)+IF(OR(R83="",W83=""),0,R83*IFERROR(INDEX(Reference!$B$61:$B$62,MATCH("Bullpen",Reference!$A$61:$A$62,0)),0)*W83)+IF(OR(X83="",AC83=""),0,X83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83))</f>
        <v/>
      </c>
    </row>
    <row r="84" spans="1:33" x14ac:dyDescent="0.3">
      <c r="A84" s="35"/>
      <c r="B84" s="31"/>
      <c r="C84" s="31"/>
      <c r="D84" s="31"/>
      <c r="E84" s="34"/>
      <c r="F84" s="34"/>
      <c r="G84" s="30" t="str">
        <f t="shared" si="9"/>
        <v/>
      </c>
      <c r="H84" s="31"/>
      <c r="I84" s="32" t="str">
        <f>IF(H84&lt;&gt;"",H84,IF(G84="","",ROUND(G84*IFERROR(INDEX(Reference!$B$44:$B$50,MATCH(C84,Reference!$A$44:$A$50,0)),0),0)))</f>
        <v/>
      </c>
      <c r="J84" s="31"/>
      <c r="K84" s="31"/>
      <c r="L84" s="32" t="str">
        <f t="shared" si="10"/>
        <v/>
      </c>
      <c r="M84" s="32" t="str">
        <f>IFERROR(INDEX(Roster!$D$5:$D$40,MATCH(B84,Roster!$A$5:$A$40,0)),"")</f>
        <v/>
      </c>
      <c r="N84" s="32" t="str">
        <f t="shared" si="11"/>
        <v/>
      </c>
      <c r="O84" s="32" t="str">
        <f>IF(OR(C84="Bullpen",C84="Game"),IFERROR(INDEX(Reference!$B$61:$B$62,MATCH(C84,Reference!$A$61:$A$62,0)),""),IF(D84="","",IF(AE84&gt;1,((IF(1&lt;=AE84,(AE84-1+3)*(INDEX(Reference!$B$6:$B$11,MIN(5,MATCH(MAX(Reference!$A$6,MIN(Reference!$A$11,MIN(D84,90))),Reference!$A$6:$A$11,1)))+(MAX(Reference!$A$6,MIN(Reference!$A$11,MIN(D84,90)))-INDEX(Reference!$A$6:$A$11,MIN(5,MATCH(MAX(Reference!$A$6,MIN(Reference!$A$11,MIN(D84,90))),Reference!$A$6:$A$11,1))))*(INDEX(Reference!$B$6:$B$11,MIN(5,MATCH(MAX(Reference!$A$6,MIN(Reference!$A$11,MIN(D84,90))),Reference!$A$6:$A$11,1))+1)-INDEX(Reference!$B$6:$B$11,MIN(5,MATCH(MAX(Reference!$A$6,MIN(Reference!$A$11,MIN(D84,90))),Reference!$A$6:$A$11,1))))/(INDEX(Reference!$A$6:$A$11,MIN(5,MATCH(MAX(Reference!$A$6,MIN(Reference!$A$11,MIN(D84,90))),Reference!$A$6:$A$11,1))+1)-INDEX(Reference!$A$6:$A$11,MIN(5,MATCH(MAX(Reference!$A$6,MIN(Reference!$A$11,MIN(D84,90))),Reference!$A$6:$A$11,1))))),0)+IF(2&lt;=AE84,(AE84-2+3)*(INDEX(Reference!$B$6:$B$11,MIN(5,MATCH(MAX(Reference!$A$6,MIN(Reference!$A$11,MIN(D84,120))),Reference!$A$6:$A$11,1)))+(MAX(Reference!$A$6,MIN(Reference!$A$11,MIN(D84,120)))-INDEX(Reference!$A$6:$A$11,MIN(5,MATCH(MAX(Reference!$A$6,MIN(Reference!$A$11,MIN(D84,120))),Reference!$A$6:$A$11,1))))*(INDEX(Reference!$B$6:$B$11,MIN(5,MATCH(MAX(Reference!$A$6,MIN(Reference!$A$11,MIN(D84,120))),Reference!$A$6:$A$11,1))+1)-INDEX(Reference!$B$6:$B$11,MIN(5,MATCH(MAX(Reference!$A$6,MIN(Reference!$A$11,MIN(D84,120))),Reference!$A$6:$A$11,1))))/(INDEX(Reference!$A$6:$A$11,MIN(5,MATCH(MAX(Reference!$A$6,MIN(Reference!$A$11,MIN(D84,120))),Reference!$A$6:$A$11,1))+1)-INDEX(Reference!$A$6:$A$11,MIN(5,MATCH(MAX(Reference!$A$6,MIN(Reference!$A$11,MIN(D84,120))),Reference!$A$6:$A$11,1))))),0)+IF(3&lt;=AE84,(AE84-3+3)*(INDEX(Reference!$B$6:$B$11,MIN(5,MATCH(MAX(Reference!$A$6,MIN(Reference!$A$11,MIN(D84,150))),Reference!$A$6:$A$11,1)))+(MAX(Reference!$A$6,MIN(Reference!$A$11,MIN(D84,150)))-INDEX(Reference!$A$6:$A$11,MIN(5,MATCH(MAX(Reference!$A$6,MIN(Reference!$A$11,MIN(D84,150))),Reference!$A$6:$A$11,1))))*(INDEX(Reference!$B$6:$B$11,MIN(5,MATCH(MAX(Reference!$A$6,MIN(Reference!$A$11,MIN(D84,150))),Reference!$A$6:$A$11,1))+1)-INDEX(Reference!$B$6:$B$11,MIN(5,MATCH(MAX(Reference!$A$6,MIN(Reference!$A$11,MIN(D84,150))),Reference!$A$6:$A$11,1))))/(INDEX(Reference!$A$6:$A$11,MIN(5,MATCH(MAX(Reference!$A$6,MIN(Reference!$A$11,MIN(D84,150))),Reference!$A$6:$A$11,1))+1)-INDEX(Reference!$A$6:$A$11,MIN(5,MATCH(MAX(Reference!$A$6,MIN(Reference!$A$11,MIN(D84,150))),Reference!$A$6:$A$11,1))))),0)+IF(4&lt;=AE84,(AE84-4+3)*(INDEX(Reference!$B$6:$B$11,MIN(5,MATCH(MAX(Reference!$A$6,MIN(Reference!$A$11,MIN(D84,180))),Reference!$A$6:$A$11,1)))+(MAX(Reference!$A$6,MIN(Reference!$A$11,MIN(D84,180)))-INDEX(Reference!$A$6:$A$11,MIN(5,MATCH(MAX(Reference!$A$6,MIN(Reference!$A$11,MIN(D84,180))),Reference!$A$6:$A$11,1))))*(INDEX(Reference!$B$6:$B$11,MIN(5,MATCH(MAX(Reference!$A$6,MIN(Reference!$A$11,MIN(D84,180))),Reference!$A$6:$A$11,1))+1)-INDEX(Reference!$B$6:$B$11,MIN(5,MATCH(MAX(Reference!$A$6,MIN(Reference!$A$11,MIN(D84,180))),Reference!$A$6:$A$11,1))))/(INDEX(Reference!$A$6:$A$11,MIN(5,MATCH(MAX(Reference!$A$6,MIN(Reference!$A$11,MIN(D84,180))),Reference!$A$6:$A$11,1))+1)-INDEX(Reference!$A$6:$A$11,MIN(5,MATCH(MAX(Reference!$A$6,MIN(Reference!$A$11,MIN(D84,180))),Reference!$A$6:$A$11,1))))),0)+IF(5&lt;=AE84,(AE84-5+3)*(INDEX(Reference!$B$6:$B$11,MIN(5,MATCH(MAX(Reference!$A$6,MIN(Reference!$A$11,MIN(D84,210))),Reference!$A$6:$A$11,1)))+(MAX(Reference!$A$6,MIN(Reference!$A$11,MIN(D84,210)))-INDEX(Reference!$A$6:$A$11,MIN(5,MATCH(MAX(Reference!$A$6,MIN(Reference!$A$11,MIN(D84,210))),Reference!$A$6:$A$11,1))))*(INDEX(Reference!$B$6:$B$11,MIN(5,MATCH(MAX(Reference!$A$6,MIN(Reference!$A$11,MIN(D84,210))),Reference!$A$6:$A$11,1))+1)-INDEX(Reference!$B$6:$B$11,MIN(5,MATCH(MAX(Reference!$A$6,MIN(Reference!$A$11,MIN(D84,210))),Reference!$A$6:$A$11,1))))/(INDEX(Reference!$A$6:$A$11,MIN(5,MATCH(MAX(Reference!$A$6,MIN(Reference!$A$11,MIN(D84,210))),Reference!$A$6:$A$11,1))+1)-INDEX(Reference!$A$6:$A$11,MIN(5,MATCH(MAX(Reference!$A$6,MIN(Reference!$A$11,MIN(D84,210))),Reference!$A$6:$A$11,1))))),0)+IF(6&lt;=AE84,(AE84-6+3)*(INDEX(Reference!$B$6:$B$11,MIN(5,MATCH(MAX(Reference!$A$6,MIN(Reference!$A$11,MIN(D84,240))),Reference!$A$6:$A$11,1)))+(MAX(Reference!$A$6,MIN(Reference!$A$11,MIN(D84,240)))-INDEX(Reference!$A$6:$A$11,MIN(5,MATCH(MAX(Reference!$A$6,MIN(Reference!$A$11,MIN(D84,240))),Reference!$A$6:$A$11,1))))*(INDEX(Reference!$B$6:$B$11,MIN(5,MATCH(MAX(Reference!$A$6,MIN(Reference!$A$11,MIN(D84,240))),Reference!$A$6:$A$11,1))+1)-INDEX(Reference!$B$6:$B$11,MIN(5,MATCH(MAX(Reference!$A$6,MIN(Reference!$A$11,MIN(D84,240))),Reference!$A$6:$A$11,1))))/(INDEX(Reference!$A$6:$A$11,MIN(5,MATCH(MAX(Reference!$A$6,MIN(Reference!$A$11,MIN(D84,240))),Reference!$A$6:$A$11,1))+1)-INDEX(Reference!$A$6:$A$11,MIN(5,MATCH(MAX(Reference!$A$6,MIN(Reference!$A$11,MIN(D84,240))),Reference!$A$6:$A$11,1))))),0)+IF(7&lt;=AE84,(AE84-7+3)*(INDEX(Reference!$B$6:$B$11,MIN(5,MATCH(MAX(Reference!$A$6,MIN(Reference!$A$11,MIN(D84,270))),Reference!$A$6:$A$11,1)))+(MAX(Reference!$A$6,MIN(Reference!$A$11,MIN(D84,270)))-INDEX(Reference!$A$6:$A$11,MIN(5,MATCH(MAX(Reference!$A$6,MIN(Reference!$A$11,MIN(D84,270))),Reference!$A$6:$A$11,1))))*(INDEX(Reference!$B$6:$B$11,MIN(5,MATCH(MAX(Reference!$A$6,MIN(Reference!$A$11,MIN(D84,270))),Reference!$A$6:$A$11,1))+1)-INDEX(Reference!$B$6:$B$11,MIN(5,MATCH(MAX(Reference!$A$6,MIN(Reference!$A$11,MIN(D84,270))),Reference!$A$6:$A$11,1))))/(INDEX(Reference!$A$6:$A$11,MIN(5,MATCH(MAX(Reference!$A$6,MIN(Reference!$A$11,MIN(D84,270))),Reference!$A$6:$A$11,1))+1)-INDEX(Reference!$A$6:$A$11,MIN(5,MATCH(MAX(Reference!$A$6,MIN(Reference!$A$11,MIN(D84,270))),Reference!$A$6:$A$11,1))))),0)+IF(8&lt;=AE84,(AE84-8+3)*(INDEX(Reference!$B$6:$B$11,MIN(5,MATCH(MAX(Reference!$A$6,MIN(Reference!$A$11,MIN(D84,300))),Reference!$A$6:$A$11,1)))+(MAX(Reference!$A$6,MIN(Reference!$A$11,MIN(D84,300)))-INDEX(Reference!$A$6:$A$11,MIN(5,MATCH(MAX(Reference!$A$6,MIN(Reference!$A$11,MIN(D84,300))),Reference!$A$6:$A$11,1))))*(INDEX(Reference!$B$6:$B$11,MIN(5,MATCH(MAX(Reference!$A$6,MIN(Reference!$A$11,MIN(D84,300))),Reference!$A$6:$A$11,1))+1)-INDEX(Reference!$B$6:$B$11,MIN(5,MATCH(MAX(Reference!$A$6,MIN(Reference!$A$11,MIN(D84,300))),Reference!$A$6:$A$11,1))))/(INDEX(Reference!$A$6:$A$11,MIN(5,MATCH(MAX(Reference!$A$6,MIN(Reference!$A$11,MIN(D84,300))),Reference!$A$6:$A$11,1))+1)-INDEX(Reference!$A$6:$A$11,MIN(5,MATCH(MAX(Reference!$A$6,MIN(Reference!$A$11,MIN(D84,300))),Reference!$A$6:$A$11,1))))),0))/(AE84*(AE84+5)/2)),(INDEX(Reference!$B$6:$B$11,MIN(5,MATCH(MAX(Reference!$A$6,MIN(Reference!$A$11,D84)),Reference!$A$6:$A$11,1)))+(MAX(Reference!$A$6,MIN(Reference!$A$11,D84))-INDEX(Reference!$A$6:$A$11,MIN(5,MATCH(MAX(Reference!$A$6,MIN(Reference!$A$11,D84)),Reference!$A$6:$A$11,1))))*(INDEX(Reference!$B$6:$B$11,MIN(5,MATCH(MAX(Reference!$A$6,MIN(Reference!$A$11,D84)),Reference!$A$6:$A$11,1))+1)-INDEX(Reference!$B$6:$B$11,MIN(5,MATCH(MAX(Reference!$A$6,MIN(Reference!$A$11,D84)),Reference!$A$6:$A$11,1))))/(INDEX(Reference!$A$6:$A$11,MIN(5,MATCH(MAX(Reference!$A$6,MIN(Reference!$A$11,D84)),Reference!$A$6:$A$11,1))+1)-INDEX(Reference!$A$6:$A$11,MIN(5,MATCH(MAX(Reference!$A$6,MIN(Reference!$A$11,D84)),Reference!$A$6:$A$11,1))))))))</f>
        <v/>
      </c>
      <c r="P84" s="32" t="str">
        <f>IF(N84="","",VLOOKUP(MAX(N84,0),Reference!$A$17:$B$20,2,TRUE()))</f>
        <v/>
      </c>
      <c r="Q84" s="32" t="str">
        <f t="shared" si="12"/>
        <v/>
      </c>
      <c r="R84" s="31"/>
      <c r="S84" s="31"/>
      <c r="T84" s="31"/>
      <c r="U84" s="32" t="str">
        <f t="shared" si="13"/>
        <v/>
      </c>
      <c r="V84" s="32" t="str">
        <f t="shared" si="14"/>
        <v/>
      </c>
      <c r="W84" s="32" t="str">
        <f>IF(V84="","",VLOOKUP(MAX(V84,0),Reference!$A$17:$B$20,2,TRUE()))</f>
        <v/>
      </c>
      <c r="X84" s="31"/>
      <c r="Y84" s="31"/>
      <c r="Z84" s="31"/>
      <c r="AA84" s="32" t="str">
        <f t="shared" si="15"/>
        <v/>
      </c>
      <c r="AB84" s="32" t="str">
        <f t="shared" si="16"/>
        <v/>
      </c>
      <c r="AC84" s="32" t="str">
        <f>IF(AB84="","",VLOOKUP(MAX(AB84,0),Reference!$A$17:$B$20,2,TRUE()))</f>
        <v/>
      </c>
      <c r="AD84" s="31"/>
      <c r="AE84">
        <f t="shared" si="17"/>
        <v>1</v>
      </c>
      <c r="AF84" s="33" t="str">
        <f>IF(OR(A84="",B84="",AND(C84&lt;&gt;"Bullpen",C84&lt;&gt;"Game")),"",IF((COUNTIFS($B$5:$B$300,B84,$A$5:$A$300,A84-1,$C$5:$C$300,"Bullpen",$AG$5:$AG$300,"&gt;0") + COUNTIFS($B$5:$B$300,B84,$A$5:$A$300,A84-1,$C$5:$C$300,"Game",$AG$5:$AG$300,"&gt;0"))&gt;0,Reference!$B$119,IF((COUNTIFS($B$5:$B$300,B84,$A$5:$A$300,A84-2,$C$5:$C$300,"Bullpen",$AG$5:$AG$300,"&gt;0") + COUNTIFS($B$5:$B$300,B84,$A$5:$A$300,A84-2,$C$5:$C$300,"Game",$AG$5:$AG$300,"&gt;0"))&gt;0,Reference!$B$120,1)))</f>
        <v/>
      </c>
      <c r="AG84" s="30" t="str">
        <f>IF(AND(OR(I84="",O84="",P84=""),OR(R84="",W84=""),OR(X84="",AC84="")),"",IF(OR(I84="",O84="",P84=""),0,I84*O84*P84)+IF(OR(R84="",W84=""),0,R84*IFERROR(INDEX(Reference!$B$61:$B$62,MATCH("Bullpen",Reference!$A$61:$A$62,0)),0)*W84)+IF(OR(X84="",AC84=""),0,X84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84))</f>
        <v/>
      </c>
    </row>
    <row r="85" spans="1:33" x14ac:dyDescent="0.3">
      <c r="A85" s="35"/>
      <c r="B85" s="31"/>
      <c r="C85" s="31"/>
      <c r="D85" s="31"/>
      <c r="E85" s="34"/>
      <c r="F85" s="34"/>
      <c r="G85" s="30" t="str">
        <f t="shared" si="9"/>
        <v/>
      </c>
      <c r="H85" s="31"/>
      <c r="I85" s="32" t="str">
        <f>IF(H85&lt;&gt;"",H85,IF(G85="","",ROUND(G85*IFERROR(INDEX(Reference!$B$44:$B$50,MATCH(C85,Reference!$A$44:$A$50,0)),0),0)))</f>
        <v/>
      </c>
      <c r="J85" s="31"/>
      <c r="K85" s="31"/>
      <c r="L85" s="32" t="str">
        <f t="shared" si="10"/>
        <v/>
      </c>
      <c r="M85" s="32" t="str">
        <f>IFERROR(INDEX(Roster!$D$5:$D$40,MATCH(B85,Roster!$A$5:$A$40,0)),"")</f>
        <v/>
      </c>
      <c r="N85" s="32" t="str">
        <f t="shared" si="11"/>
        <v/>
      </c>
      <c r="O85" s="32" t="str">
        <f>IF(OR(C85="Bullpen",C85="Game"),IFERROR(INDEX(Reference!$B$61:$B$62,MATCH(C85,Reference!$A$61:$A$62,0)),""),IF(D85="","",IF(AE85&gt;1,((IF(1&lt;=AE85,(AE85-1+3)*(INDEX(Reference!$B$6:$B$11,MIN(5,MATCH(MAX(Reference!$A$6,MIN(Reference!$A$11,MIN(D85,90))),Reference!$A$6:$A$11,1)))+(MAX(Reference!$A$6,MIN(Reference!$A$11,MIN(D85,90)))-INDEX(Reference!$A$6:$A$11,MIN(5,MATCH(MAX(Reference!$A$6,MIN(Reference!$A$11,MIN(D85,90))),Reference!$A$6:$A$11,1))))*(INDEX(Reference!$B$6:$B$11,MIN(5,MATCH(MAX(Reference!$A$6,MIN(Reference!$A$11,MIN(D85,90))),Reference!$A$6:$A$11,1))+1)-INDEX(Reference!$B$6:$B$11,MIN(5,MATCH(MAX(Reference!$A$6,MIN(Reference!$A$11,MIN(D85,90))),Reference!$A$6:$A$11,1))))/(INDEX(Reference!$A$6:$A$11,MIN(5,MATCH(MAX(Reference!$A$6,MIN(Reference!$A$11,MIN(D85,90))),Reference!$A$6:$A$11,1))+1)-INDEX(Reference!$A$6:$A$11,MIN(5,MATCH(MAX(Reference!$A$6,MIN(Reference!$A$11,MIN(D85,90))),Reference!$A$6:$A$11,1))))),0)+IF(2&lt;=AE85,(AE85-2+3)*(INDEX(Reference!$B$6:$B$11,MIN(5,MATCH(MAX(Reference!$A$6,MIN(Reference!$A$11,MIN(D85,120))),Reference!$A$6:$A$11,1)))+(MAX(Reference!$A$6,MIN(Reference!$A$11,MIN(D85,120)))-INDEX(Reference!$A$6:$A$11,MIN(5,MATCH(MAX(Reference!$A$6,MIN(Reference!$A$11,MIN(D85,120))),Reference!$A$6:$A$11,1))))*(INDEX(Reference!$B$6:$B$11,MIN(5,MATCH(MAX(Reference!$A$6,MIN(Reference!$A$11,MIN(D85,120))),Reference!$A$6:$A$11,1))+1)-INDEX(Reference!$B$6:$B$11,MIN(5,MATCH(MAX(Reference!$A$6,MIN(Reference!$A$11,MIN(D85,120))),Reference!$A$6:$A$11,1))))/(INDEX(Reference!$A$6:$A$11,MIN(5,MATCH(MAX(Reference!$A$6,MIN(Reference!$A$11,MIN(D85,120))),Reference!$A$6:$A$11,1))+1)-INDEX(Reference!$A$6:$A$11,MIN(5,MATCH(MAX(Reference!$A$6,MIN(Reference!$A$11,MIN(D85,120))),Reference!$A$6:$A$11,1))))),0)+IF(3&lt;=AE85,(AE85-3+3)*(INDEX(Reference!$B$6:$B$11,MIN(5,MATCH(MAX(Reference!$A$6,MIN(Reference!$A$11,MIN(D85,150))),Reference!$A$6:$A$11,1)))+(MAX(Reference!$A$6,MIN(Reference!$A$11,MIN(D85,150)))-INDEX(Reference!$A$6:$A$11,MIN(5,MATCH(MAX(Reference!$A$6,MIN(Reference!$A$11,MIN(D85,150))),Reference!$A$6:$A$11,1))))*(INDEX(Reference!$B$6:$B$11,MIN(5,MATCH(MAX(Reference!$A$6,MIN(Reference!$A$11,MIN(D85,150))),Reference!$A$6:$A$11,1))+1)-INDEX(Reference!$B$6:$B$11,MIN(5,MATCH(MAX(Reference!$A$6,MIN(Reference!$A$11,MIN(D85,150))),Reference!$A$6:$A$11,1))))/(INDEX(Reference!$A$6:$A$11,MIN(5,MATCH(MAX(Reference!$A$6,MIN(Reference!$A$11,MIN(D85,150))),Reference!$A$6:$A$11,1))+1)-INDEX(Reference!$A$6:$A$11,MIN(5,MATCH(MAX(Reference!$A$6,MIN(Reference!$A$11,MIN(D85,150))),Reference!$A$6:$A$11,1))))),0)+IF(4&lt;=AE85,(AE85-4+3)*(INDEX(Reference!$B$6:$B$11,MIN(5,MATCH(MAX(Reference!$A$6,MIN(Reference!$A$11,MIN(D85,180))),Reference!$A$6:$A$11,1)))+(MAX(Reference!$A$6,MIN(Reference!$A$11,MIN(D85,180)))-INDEX(Reference!$A$6:$A$11,MIN(5,MATCH(MAX(Reference!$A$6,MIN(Reference!$A$11,MIN(D85,180))),Reference!$A$6:$A$11,1))))*(INDEX(Reference!$B$6:$B$11,MIN(5,MATCH(MAX(Reference!$A$6,MIN(Reference!$A$11,MIN(D85,180))),Reference!$A$6:$A$11,1))+1)-INDEX(Reference!$B$6:$B$11,MIN(5,MATCH(MAX(Reference!$A$6,MIN(Reference!$A$11,MIN(D85,180))),Reference!$A$6:$A$11,1))))/(INDEX(Reference!$A$6:$A$11,MIN(5,MATCH(MAX(Reference!$A$6,MIN(Reference!$A$11,MIN(D85,180))),Reference!$A$6:$A$11,1))+1)-INDEX(Reference!$A$6:$A$11,MIN(5,MATCH(MAX(Reference!$A$6,MIN(Reference!$A$11,MIN(D85,180))),Reference!$A$6:$A$11,1))))),0)+IF(5&lt;=AE85,(AE85-5+3)*(INDEX(Reference!$B$6:$B$11,MIN(5,MATCH(MAX(Reference!$A$6,MIN(Reference!$A$11,MIN(D85,210))),Reference!$A$6:$A$11,1)))+(MAX(Reference!$A$6,MIN(Reference!$A$11,MIN(D85,210)))-INDEX(Reference!$A$6:$A$11,MIN(5,MATCH(MAX(Reference!$A$6,MIN(Reference!$A$11,MIN(D85,210))),Reference!$A$6:$A$11,1))))*(INDEX(Reference!$B$6:$B$11,MIN(5,MATCH(MAX(Reference!$A$6,MIN(Reference!$A$11,MIN(D85,210))),Reference!$A$6:$A$11,1))+1)-INDEX(Reference!$B$6:$B$11,MIN(5,MATCH(MAX(Reference!$A$6,MIN(Reference!$A$11,MIN(D85,210))),Reference!$A$6:$A$11,1))))/(INDEX(Reference!$A$6:$A$11,MIN(5,MATCH(MAX(Reference!$A$6,MIN(Reference!$A$11,MIN(D85,210))),Reference!$A$6:$A$11,1))+1)-INDEX(Reference!$A$6:$A$11,MIN(5,MATCH(MAX(Reference!$A$6,MIN(Reference!$A$11,MIN(D85,210))),Reference!$A$6:$A$11,1))))),0)+IF(6&lt;=AE85,(AE85-6+3)*(INDEX(Reference!$B$6:$B$11,MIN(5,MATCH(MAX(Reference!$A$6,MIN(Reference!$A$11,MIN(D85,240))),Reference!$A$6:$A$11,1)))+(MAX(Reference!$A$6,MIN(Reference!$A$11,MIN(D85,240)))-INDEX(Reference!$A$6:$A$11,MIN(5,MATCH(MAX(Reference!$A$6,MIN(Reference!$A$11,MIN(D85,240))),Reference!$A$6:$A$11,1))))*(INDEX(Reference!$B$6:$B$11,MIN(5,MATCH(MAX(Reference!$A$6,MIN(Reference!$A$11,MIN(D85,240))),Reference!$A$6:$A$11,1))+1)-INDEX(Reference!$B$6:$B$11,MIN(5,MATCH(MAX(Reference!$A$6,MIN(Reference!$A$11,MIN(D85,240))),Reference!$A$6:$A$11,1))))/(INDEX(Reference!$A$6:$A$11,MIN(5,MATCH(MAX(Reference!$A$6,MIN(Reference!$A$11,MIN(D85,240))),Reference!$A$6:$A$11,1))+1)-INDEX(Reference!$A$6:$A$11,MIN(5,MATCH(MAX(Reference!$A$6,MIN(Reference!$A$11,MIN(D85,240))),Reference!$A$6:$A$11,1))))),0)+IF(7&lt;=AE85,(AE85-7+3)*(INDEX(Reference!$B$6:$B$11,MIN(5,MATCH(MAX(Reference!$A$6,MIN(Reference!$A$11,MIN(D85,270))),Reference!$A$6:$A$11,1)))+(MAX(Reference!$A$6,MIN(Reference!$A$11,MIN(D85,270)))-INDEX(Reference!$A$6:$A$11,MIN(5,MATCH(MAX(Reference!$A$6,MIN(Reference!$A$11,MIN(D85,270))),Reference!$A$6:$A$11,1))))*(INDEX(Reference!$B$6:$B$11,MIN(5,MATCH(MAX(Reference!$A$6,MIN(Reference!$A$11,MIN(D85,270))),Reference!$A$6:$A$11,1))+1)-INDEX(Reference!$B$6:$B$11,MIN(5,MATCH(MAX(Reference!$A$6,MIN(Reference!$A$11,MIN(D85,270))),Reference!$A$6:$A$11,1))))/(INDEX(Reference!$A$6:$A$11,MIN(5,MATCH(MAX(Reference!$A$6,MIN(Reference!$A$11,MIN(D85,270))),Reference!$A$6:$A$11,1))+1)-INDEX(Reference!$A$6:$A$11,MIN(5,MATCH(MAX(Reference!$A$6,MIN(Reference!$A$11,MIN(D85,270))),Reference!$A$6:$A$11,1))))),0)+IF(8&lt;=AE85,(AE85-8+3)*(INDEX(Reference!$B$6:$B$11,MIN(5,MATCH(MAX(Reference!$A$6,MIN(Reference!$A$11,MIN(D85,300))),Reference!$A$6:$A$11,1)))+(MAX(Reference!$A$6,MIN(Reference!$A$11,MIN(D85,300)))-INDEX(Reference!$A$6:$A$11,MIN(5,MATCH(MAX(Reference!$A$6,MIN(Reference!$A$11,MIN(D85,300))),Reference!$A$6:$A$11,1))))*(INDEX(Reference!$B$6:$B$11,MIN(5,MATCH(MAX(Reference!$A$6,MIN(Reference!$A$11,MIN(D85,300))),Reference!$A$6:$A$11,1))+1)-INDEX(Reference!$B$6:$B$11,MIN(5,MATCH(MAX(Reference!$A$6,MIN(Reference!$A$11,MIN(D85,300))),Reference!$A$6:$A$11,1))))/(INDEX(Reference!$A$6:$A$11,MIN(5,MATCH(MAX(Reference!$A$6,MIN(Reference!$A$11,MIN(D85,300))),Reference!$A$6:$A$11,1))+1)-INDEX(Reference!$A$6:$A$11,MIN(5,MATCH(MAX(Reference!$A$6,MIN(Reference!$A$11,MIN(D85,300))),Reference!$A$6:$A$11,1))))),0))/(AE85*(AE85+5)/2)),(INDEX(Reference!$B$6:$B$11,MIN(5,MATCH(MAX(Reference!$A$6,MIN(Reference!$A$11,D85)),Reference!$A$6:$A$11,1)))+(MAX(Reference!$A$6,MIN(Reference!$A$11,D85))-INDEX(Reference!$A$6:$A$11,MIN(5,MATCH(MAX(Reference!$A$6,MIN(Reference!$A$11,D85)),Reference!$A$6:$A$11,1))))*(INDEX(Reference!$B$6:$B$11,MIN(5,MATCH(MAX(Reference!$A$6,MIN(Reference!$A$11,D85)),Reference!$A$6:$A$11,1))+1)-INDEX(Reference!$B$6:$B$11,MIN(5,MATCH(MAX(Reference!$A$6,MIN(Reference!$A$11,D85)),Reference!$A$6:$A$11,1))))/(INDEX(Reference!$A$6:$A$11,MIN(5,MATCH(MAX(Reference!$A$6,MIN(Reference!$A$11,D85)),Reference!$A$6:$A$11,1))+1)-INDEX(Reference!$A$6:$A$11,MIN(5,MATCH(MAX(Reference!$A$6,MIN(Reference!$A$11,D85)),Reference!$A$6:$A$11,1))))))))</f>
        <v/>
      </c>
      <c r="P85" s="32" t="str">
        <f>IF(N85="","",VLOOKUP(MAX(N85,0),Reference!$A$17:$B$20,2,TRUE()))</f>
        <v/>
      </c>
      <c r="Q85" s="32" t="str">
        <f t="shared" si="12"/>
        <v/>
      </c>
      <c r="R85" s="31"/>
      <c r="S85" s="31"/>
      <c r="T85" s="31"/>
      <c r="U85" s="32" t="str">
        <f t="shared" si="13"/>
        <v/>
      </c>
      <c r="V85" s="32" t="str">
        <f t="shared" si="14"/>
        <v/>
      </c>
      <c r="W85" s="32" t="str">
        <f>IF(V85="","",VLOOKUP(MAX(V85,0),Reference!$A$17:$B$20,2,TRUE()))</f>
        <v/>
      </c>
      <c r="X85" s="31"/>
      <c r="Y85" s="31"/>
      <c r="Z85" s="31"/>
      <c r="AA85" s="32" t="str">
        <f t="shared" si="15"/>
        <v/>
      </c>
      <c r="AB85" s="32" t="str">
        <f t="shared" si="16"/>
        <v/>
      </c>
      <c r="AC85" s="32" t="str">
        <f>IF(AB85="","",VLOOKUP(MAX(AB85,0),Reference!$A$17:$B$20,2,TRUE()))</f>
        <v/>
      </c>
      <c r="AD85" s="31"/>
      <c r="AE85">
        <f t="shared" si="17"/>
        <v>1</v>
      </c>
      <c r="AF85" s="33" t="str">
        <f>IF(OR(A85="",B85="",AND(C85&lt;&gt;"Bullpen",C85&lt;&gt;"Game")),"",IF((COUNTIFS($B$5:$B$300,B85,$A$5:$A$300,A85-1,$C$5:$C$300,"Bullpen",$AG$5:$AG$300,"&gt;0") + COUNTIFS($B$5:$B$300,B85,$A$5:$A$300,A85-1,$C$5:$C$300,"Game",$AG$5:$AG$300,"&gt;0"))&gt;0,Reference!$B$119,IF((COUNTIFS($B$5:$B$300,B85,$A$5:$A$300,A85-2,$C$5:$C$300,"Bullpen",$AG$5:$AG$300,"&gt;0") + COUNTIFS($B$5:$B$300,B85,$A$5:$A$300,A85-2,$C$5:$C$300,"Game",$AG$5:$AG$300,"&gt;0"))&gt;0,Reference!$B$120,1)))</f>
        <v/>
      </c>
      <c r="AG85" s="30" t="str">
        <f>IF(AND(OR(I85="",O85="",P85=""),OR(R85="",W85=""),OR(X85="",AC85="")),"",IF(OR(I85="",O85="",P85=""),0,I85*O85*P85)+IF(OR(R85="",W85=""),0,R85*IFERROR(INDEX(Reference!$B$61:$B$62,MATCH("Bullpen",Reference!$A$61:$A$62,0)),0)*W85)+IF(OR(X85="",AC85=""),0,X85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85))</f>
        <v/>
      </c>
    </row>
    <row r="86" spans="1:33" x14ac:dyDescent="0.3">
      <c r="A86" s="35"/>
      <c r="B86" s="31"/>
      <c r="C86" s="31"/>
      <c r="D86" s="31"/>
      <c r="E86" s="34"/>
      <c r="F86" s="34"/>
      <c r="G86" s="30" t="str">
        <f t="shared" si="9"/>
        <v/>
      </c>
      <c r="H86" s="31"/>
      <c r="I86" s="32" t="str">
        <f>IF(H86&lt;&gt;"",H86,IF(G86="","",ROUND(G86*IFERROR(INDEX(Reference!$B$44:$B$50,MATCH(C86,Reference!$A$44:$A$50,0)),0),0)))</f>
        <v/>
      </c>
      <c r="J86" s="31"/>
      <c r="K86" s="31"/>
      <c r="L86" s="32" t="str">
        <f t="shared" si="10"/>
        <v/>
      </c>
      <c r="M86" s="32" t="str">
        <f>IFERROR(INDEX(Roster!$D$5:$D$40,MATCH(B86,Roster!$A$5:$A$40,0)),"")</f>
        <v/>
      </c>
      <c r="N86" s="32" t="str">
        <f t="shared" si="11"/>
        <v/>
      </c>
      <c r="O86" s="32" t="str">
        <f>IF(OR(C86="Bullpen",C86="Game"),IFERROR(INDEX(Reference!$B$61:$B$62,MATCH(C86,Reference!$A$61:$A$62,0)),""),IF(D86="","",IF(AE86&gt;1,((IF(1&lt;=AE86,(AE86-1+3)*(INDEX(Reference!$B$6:$B$11,MIN(5,MATCH(MAX(Reference!$A$6,MIN(Reference!$A$11,MIN(D86,90))),Reference!$A$6:$A$11,1)))+(MAX(Reference!$A$6,MIN(Reference!$A$11,MIN(D86,90)))-INDEX(Reference!$A$6:$A$11,MIN(5,MATCH(MAX(Reference!$A$6,MIN(Reference!$A$11,MIN(D86,90))),Reference!$A$6:$A$11,1))))*(INDEX(Reference!$B$6:$B$11,MIN(5,MATCH(MAX(Reference!$A$6,MIN(Reference!$A$11,MIN(D86,90))),Reference!$A$6:$A$11,1))+1)-INDEX(Reference!$B$6:$B$11,MIN(5,MATCH(MAX(Reference!$A$6,MIN(Reference!$A$11,MIN(D86,90))),Reference!$A$6:$A$11,1))))/(INDEX(Reference!$A$6:$A$11,MIN(5,MATCH(MAX(Reference!$A$6,MIN(Reference!$A$11,MIN(D86,90))),Reference!$A$6:$A$11,1))+1)-INDEX(Reference!$A$6:$A$11,MIN(5,MATCH(MAX(Reference!$A$6,MIN(Reference!$A$11,MIN(D86,90))),Reference!$A$6:$A$11,1))))),0)+IF(2&lt;=AE86,(AE86-2+3)*(INDEX(Reference!$B$6:$B$11,MIN(5,MATCH(MAX(Reference!$A$6,MIN(Reference!$A$11,MIN(D86,120))),Reference!$A$6:$A$11,1)))+(MAX(Reference!$A$6,MIN(Reference!$A$11,MIN(D86,120)))-INDEX(Reference!$A$6:$A$11,MIN(5,MATCH(MAX(Reference!$A$6,MIN(Reference!$A$11,MIN(D86,120))),Reference!$A$6:$A$11,1))))*(INDEX(Reference!$B$6:$B$11,MIN(5,MATCH(MAX(Reference!$A$6,MIN(Reference!$A$11,MIN(D86,120))),Reference!$A$6:$A$11,1))+1)-INDEX(Reference!$B$6:$B$11,MIN(5,MATCH(MAX(Reference!$A$6,MIN(Reference!$A$11,MIN(D86,120))),Reference!$A$6:$A$11,1))))/(INDEX(Reference!$A$6:$A$11,MIN(5,MATCH(MAX(Reference!$A$6,MIN(Reference!$A$11,MIN(D86,120))),Reference!$A$6:$A$11,1))+1)-INDEX(Reference!$A$6:$A$11,MIN(5,MATCH(MAX(Reference!$A$6,MIN(Reference!$A$11,MIN(D86,120))),Reference!$A$6:$A$11,1))))),0)+IF(3&lt;=AE86,(AE86-3+3)*(INDEX(Reference!$B$6:$B$11,MIN(5,MATCH(MAX(Reference!$A$6,MIN(Reference!$A$11,MIN(D86,150))),Reference!$A$6:$A$11,1)))+(MAX(Reference!$A$6,MIN(Reference!$A$11,MIN(D86,150)))-INDEX(Reference!$A$6:$A$11,MIN(5,MATCH(MAX(Reference!$A$6,MIN(Reference!$A$11,MIN(D86,150))),Reference!$A$6:$A$11,1))))*(INDEX(Reference!$B$6:$B$11,MIN(5,MATCH(MAX(Reference!$A$6,MIN(Reference!$A$11,MIN(D86,150))),Reference!$A$6:$A$11,1))+1)-INDEX(Reference!$B$6:$B$11,MIN(5,MATCH(MAX(Reference!$A$6,MIN(Reference!$A$11,MIN(D86,150))),Reference!$A$6:$A$11,1))))/(INDEX(Reference!$A$6:$A$11,MIN(5,MATCH(MAX(Reference!$A$6,MIN(Reference!$A$11,MIN(D86,150))),Reference!$A$6:$A$11,1))+1)-INDEX(Reference!$A$6:$A$11,MIN(5,MATCH(MAX(Reference!$A$6,MIN(Reference!$A$11,MIN(D86,150))),Reference!$A$6:$A$11,1))))),0)+IF(4&lt;=AE86,(AE86-4+3)*(INDEX(Reference!$B$6:$B$11,MIN(5,MATCH(MAX(Reference!$A$6,MIN(Reference!$A$11,MIN(D86,180))),Reference!$A$6:$A$11,1)))+(MAX(Reference!$A$6,MIN(Reference!$A$11,MIN(D86,180)))-INDEX(Reference!$A$6:$A$11,MIN(5,MATCH(MAX(Reference!$A$6,MIN(Reference!$A$11,MIN(D86,180))),Reference!$A$6:$A$11,1))))*(INDEX(Reference!$B$6:$B$11,MIN(5,MATCH(MAX(Reference!$A$6,MIN(Reference!$A$11,MIN(D86,180))),Reference!$A$6:$A$11,1))+1)-INDEX(Reference!$B$6:$B$11,MIN(5,MATCH(MAX(Reference!$A$6,MIN(Reference!$A$11,MIN(D86,180))),Reference!$A$6:$A$11,1))))/(INDEX(Reference!$A$6:$A$11,MIN(5,MATCH(MAX(Reference!$A$6,MIN(Reference!$A$11,MIN(D86,180))),Reference!$A$6:$A$11,1))+1)-INDEX(Reference!$A$6:$A$11,MIN(5,MATCH(MAX(Reference!$A$6,MIN(Reference!$A$11,MIN(D86,180))),Reference!$A$6:$A$11,1))))),0)+IF(5&lt;=AE86,(AE86-5+3)*(INDEX(Reference!$B$6:$B$11,MIN(5,MATCH(MAX(Reference!$A$6,MIN(Reference!$A$11,MIN(D86,210))),Reference!$A$6:$A$11,1)))+(MAX(Reference!$A$6,MIN(Reference!$A$11,MIN(D86,210)))-INDEX(Reference!$A$6:$A$11,MIN(5,MATCH(MAX(Reference!$A$6,MIN(Reference!$A$11,MIN(D86,210))),Reference!$A$6:$A$11,1))))*(INDEX(Reference!$B$6:$B$11,MIN(5,MATCH(MAX(Reference!$A$6,MIN(Reference!$A$11,MIN(D86,210))),Reference!$A$6:$A$11,1))+1)-INDEX(Reference!$B$6:$B$11,MIN(5,MATCH(MAX(Reference!$A$6,MIN(Reference!$A$11,MIN(D86,210))),Reference!$A$6:$A$11,1))))/(INDEX(Reference!$A$6:$A$11,MIN(5,MATCH(MAX(Reference!$A$6,MIN(Reference!$A$11,MIN(D86,210))),Reference!$A$6:$A$11,1))+1)-INDEX(Reference!$A$6:$A$11,MIN(5,MATCH(MAX(Reference!$A$6,MIN(Reference!$A$11,MIN(D86,210))),Reference!$A$6:$A$11,1))))),0)+IF(6&lt;=AE86,(AE86-6+3)*(INDEX(Reference!$B$6:$B$11,MIN(5,MATCH(MAX(Reference!$A$6,MIN(Reference!$A$11,MIN(D86,240))),Reference!$A$6:$A$11,1)))+(MAX(Reference!$A$6,MIN(Reference!$A$11,MIN(D86,240)))-INDEX(Reference!$A$6:$A$11,MIN(5,MATCH(MAX(Reference!$A$6,MIN(Reference!$A$11,MIN(D86,240))),Reference!$A$6:$A$11,1))))*(INDEX(Reference!$B$6:$B$11,MIN(5,MATCH(MAX(Reference!$A$6,MIN(Reference!$A$11,MIN(D86,240))),Reference!$A$6:$A$11,1))+1)-INDEX(Reference!$B$6:$B$11,MIN(5,MATCH(MAX(Reference!$A$6,MIN(Reference!$A$11,MIN(D86,240))),Reference!$A$6:$A$11,1))))/(INDEX(Reference!$A$6:$A$11,MIN(5,MATCH(MAX(Reference!$A$6,MIN(Reference!$A$11,MIN(D86,240))),Reference!$A$6:$A$11,1))+1)-INDEX(Reference!$A$6:$A$11,MIN(5,MATCH(MAX(Reference!$A$6,MIN(Reference!$A$11,MIN(D86,240))),Reference!$A$6:$A$11,1))))),0)+IF(7&lt;=AE86,(AE86-7+3)*(INDEX(Reference!$B$6:$B$11,MIN(5,MATCH(MAX(Reference!$A$6,MIN(Reference!$A$11,MIN(D86,270))),Reference!$A$6:$A$11,1)))+(MAX(Reference!$A$6,MIN(Reference!$A$11,MIN(D86,270)))-INDEX(Reference!$A$6:$A$11,MIN(5,MATCH(MAX(Reference!$A$6,MIN(Reference!$A$11,MIN(D86,270))),Reference!$A$6:$A$11,1))))*(INDEX(Reference!$B$6:$B$11,MIN(5,MATCH(MAX(Reference!$A$6,MIN(Reference!$A$11,MIN(D86,270))),Reference!$A$6:$A$11,1))+1)-INDEX(Reference!$B$6:$B$11,MIN(5,MATCH(MAX(Reference!$A$6,MIN(Reference!$A$11,MIN(D86,270))),Reference!$A$6:$A$11,1))))/(INDEX(Reference!$A$6:$A$11,MIN(5,MATCH(MAX(Reference!$A$6,MIN(Reference!$A$11,MIN(D86,270))),Reference!$A$6:$A$11,1))+1)-INDEX(Reference!$A$6:$A$11,MIN(5,MATCH(MAX(Reference!$A$6,MIN(Reference!$A$11,MIN(D86,270))),Reference!$A$6:$A$11,1))))),0)+IF(8&lt;=AE86,(AE86-8+3)*(INDEX(Reference!$B$6:$B$11,MIN(5,MATCH(MAX(Reference!$A$6,MIN(Reference!$A$11,MIN(D86,300))),Reference!$A$6:$A$11,1)))+(MAX(Reference!$A$6,MIN(Reference!$A$11,MIN(D86,300)))-INDEX(Reference!$A$6:$A$11,MIN(5,MATCH(MAX(Reference!$A$6,MIN(Reference!$A$11,MIN(D86,300))),Reference!$A$6:$A$11,1))))*(INDEX(Reference!$B$6:$B$11,MIN(5,MATCH(MAX(Reference!$A$6,MIN(Reference!$A$11,MIN(D86,300))),Reference!$A$6:$A$11,1))+1)-INDEX(Reference!$B$6:$B$11,MIN(5,MATCH(MAX(Reference!$A$6,MIN(Reference!$A$11,MIN(D86,300))),Reference!$A$6:$A$11,1))))/(INDEX(Reference!$A$6:$A$11,MIN(5,MATCH(MAX(Reference!$A$6,MIN(Reference!$A$11,MIN(D86,300))),Reference!$A$6:$A$11,1))+1)-INDEX(Reference!$A$6:$A$11,MIN(5,MATCH(MAX(Reference!$A$6,MIN(Reference!$A$11,MIN(D86,300))),Reference!$A$6:$A$11,1))))),0))/(AE86*(AE86+5)/2)),(INDEX(Reference!$B$6:$B$11,MIN(5,MATCH(MAX(Reference!$A$6,MIN(Reference!$A$11,D86)),Reference!$A$6:$A$11,1)))+(MAX(Reference!$A$6,MIN(Reference!$A$11,D86))-INDEX(Reference!$A$6:$A$11,MIN(5,MATCH(MAX(Reference!$A$6,MIN(Reference!$A$11,D86)),Reference!$A$6:$A$11,1))))*(INDEX(Reference!$B$6:$B$11,MIN(5,MATCH(MAX(Reference!$A$6,MIN(Reference!$A$11,D86)),Reference!$A$6:$A$11,1))+1)-INDEX(Reference!$B$6:$B$11,MIN(5,MATCH(MAX(Reference!$A$6,MIN(Reference!$A$11,D86)),Reference!$A$6:$A$11,1))))/(INDEX(Reference!$A$6:$A$11,MIN(5,MATCH(MAX(Reference!$A$6,MIN(Reference!$A$11,D86)),Reference!$A$6:$A$11,1))+1)-INDEX(Reference!$A$6:$A$11,MIN(5,MATCH(MAX(Reference!$A$6,MIN(Reference!$A$11,D86)),Reference!$A$6:$A$11,1))))))))</f>
        <v/>
      </c>
      <c r="P86" s="32" t="str">
        <f>IF(N86="","",VLOOKUP(MAX(N86,0),Reference!$A$17:$B$20,2,TRUE()))</f>
        <v/>
      </c>
      <c r="Q86" s="32" t="str">
        <f t="shared" si="12"/>
        <v/>
      </c>
      <c r="R86" s="31"/>
      <c r="S86" s="31"/>
      <c r="T86" s="31"/>
      <c r="U86" s="32" t="str">
        <f t="shared" si="13"/>
        <v/>
      </c>
      <c r="V86" s="32" t="str">
        <f t="shared" si="14"/>
        <v/>
      </c>
      <c r="W86" s="32" t="str">
        <f>IF(V86="","",VLOOKUP(MAX(V86,0),Reference!$A$17:$B$20,2,TRUE()))</f>
        <v/>
      </c>
      <c r="X86" s="31"/>
      <c r="Y86" s="31"/>
      <c r="Z86" s="31"/>
      <c r="AA86" s="32" t="str">
        <f t="shared" si="15"/>
        <v/>
      </c>
      <c r="AB86" s="32" t="str">
        <f t="shared" si="16"/>
        <v/>
      </c>
      <c r="AC86" s="32" t="str">
        <f>IF(AB86="","",VLOOKUP(MAX(AB86,0),Reference!$A$17:$B$20,2,TRUE()))</f>
        <v/>
      </c>
      <c r="AD86" s="31"/>
      <c r="AE86">
        <f t="shared" si="17"/>
        <v>1</v>
      </c>
      <c r="AF86" s="33" t="str">
        <f>IF(OR(A86="",B86="",AND(C86&lt;&gt;"Bullpen",C86&lt;&gt;"Game")),"",IF((COUNTIFS($B$5:$B$300,B86,$A$5:$A$300,A86-1,$C$5:$C$300,"Bullpen",$AG$5:$AG$300,"&gt;0") + COUNTIFS($B$5:$B$300,B86,$A$5:$A$300,A86-1,$C$5:$C$300,"Game",$AG$5:$AG$300,"&gt;0"))&gt;0,Reference!$B$119,IF((COUNTIFS($B$5:$B$300,B86,$A$5:$A$300,A86-2,$C$5:$C$300,"Bullpen",$AG$5:$AG$300,"&gt;0") + COUNTIFS($B$5:$B$300,B86,$A$5:$A$300,A86-2,$C$5:$C$300,"Game",$AG$5:$AG$300,"&gt;0"))&gt;0,Reference!$B$120,1)))</f>
        <v/>
      </c>
      <c r="AG86" s="30" t="str">
        <f>IF(AND(OR(I86="",O86="",P86=""),OR(R86="",W86=""),OR(X86="",AC86="")),"",IF(OR(I86="",O86="",P86=""),0,I86*O86*P86)+IF(OR(R86="",W86=""),0,R86*IFERROR(INDEX(Reference!$B$61:$B$62,MATCH("Bullpen",Reference!$A$61:$A$62,0)),0)*W86)+IF(OR(X86="",AC86=""),0,X86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86))</f>
        <v/>
      </c>
    </row>
    <row r="87" spans="1:33" x14ac:dyDescent="0.3">
      <c r="A87" s="35"/>
      <c r="B87" s="31"/>
      <c r="C87" s="31"/>
      <c r="D87" s="31"/>
      <c r="E87" s="34"/>
      <c r="F87" s="34"/>
      <c r="G87" s="30" t="str">
        <f t="shared" si="9"/>
        <v/>
      </c>
      <c r="H87" s="31"/>
      <c r="I87" s="32" t="str">
        <f>IF(H87&lt;&gt;"",H87,IF(G87="","",ROUND(G87*IFERROR(INDEX(Reference!$B$44:$B$50,MATCH(C87,Reference!$A$44:$A$50,0)),0),0)))</f>
        <v/>
      </c>
      <c r="J87" s="31"/>
      <c r="K87" s="31"/>
      <c r="L87" s="32" t="str">
        <f t="shared" si="10"/>
        <v/>
      </c>
      <c r="M87" s="32" t="str">
        <f>IFERROR(INDEX(Roster!$D$5:$D$40,MATCH(B87,Roster!$A$5:$A$40,0)),"")</f>
        <v/>
      </c>
      <c r="N87" s="32" t="str">
        <f t="shared" si="11"/>
        <v/>
      </c>
      <c r="O87" s="32" t="str">
        <f>IF(OR(C87="Bullpen",C87="Game"),IFERROR(INDEX(Reference!$B$61:$B$62,MATCH(C87,Reference!$A$61:$A$62,0)),""),IF(D87="","",IF(AE87&gt;1,((IF(1&lt;=AE87,(AE87-1+3)*(INDEX(Reference!$B$6:$B$11,MIN(5,MATCH(MAX(Reference!$A$6,MIN(Reference!$A$11,MIN(D87,90))),Reference!$A$6:$A$11,1)))+(MAX(Reference!$A$6,MIN(Reference!$A$11,MIN(D87,90)))-INDEX(Reference!$A$6:$A$11,MIN(5,MATCH(MAX(Reference!$A$6,MIN(Reference!$A$11,MIN(D87,90))),Reference!$A$6:$A$11,1))))*(INDEX(Reference!$B$6:$B$11,MIN(5,MATCH(MAX(Reference!$A$6,MIN(Reference!$A$11,MIN(D87,90))),Reference!$A$6:$A$11,1))+1)-INDEX(Reference!$B$6:$B$11,MIN(5,MATCH(MAX(Reference!$A$6,MIN(Reference!$A$11,MIN(D87,90))),Reference!$A$6:$A$11,1))))/(INDEX(Reference!$A$6:$A$11,MIN(5,MATCH(MAX(Reference!$A$6,MIN(Reference!$A$11,MIN(D87,90))),Reference!$A$6:$A$11,1))+1)-INDEX(Reference!$A$6:$A$11,MIN(5,MATCH(MAX(Reference!$A$6,MIN(Reference!$A$11,MIN(D87,90))),Reference!$A$6:$A$11,1))))),0)+IF(2&lt;=AE87,(AE87-2+3)*(INDEX(Reference!$B$6:$B$11,MIN(5,MATCH(MAX(Reference!$A$6,MIN(Reference!$A$11,MIN(D87,120))),Reference!$A$6:$A$11,1)))+(MAX(Reference!$A$6,MIN(Reference!$A$11,MIN(D87,120)))-INDEX(Reference!$A$6:$A$11,MIN(5,MATCH(MAX(Reference!$A$6,MIN(Reference!$A$11,MIN(D87,120))),Reference!$A$6:$A$11,1))))*(INDEX(Reference!$B$6:$B$11,MIN(5,MATCH(MAX(Reference!$A$6,MIN(Reference!$A$11,MIN(D87,120))),Reference!$A$6:$A$11,1))+1)-INDEX(Reference!$B$6:$B$11,MIN(5,MATCH(MAX(Reference!$A$6,MIN(Reference!$A$11,MIN(D87,120))),Reference!$A$6:$A$11,1))))/(INDEX(Reference!$A$6:$A$11,MIN(5,MATCH(MAX(Reference!$A$6,MIN(Reference!$A$11,MIN(D87,120))),Reference!$A$6:$A$11,1))+1)-INDEX(Reference!$A$6:$A$11,MIN(5,MATCH(MAX(Reference!$A$6,MIN(Reference!$A$11,MIN(D87,120))),Reference!$A$6:$A$11,1))))),0)+IF(3&lt;=AE87,(AE87-3+3)*(INDEX(Reference!$B$6:$B$11,MIN(5,MATCH(MAX(Reference!$A$6,MIN(Reference!$A$11,MIN(D87,150))),Reference!$A$6:$A$11,1)))+(MAX(Reference!$A$6,MIN(Reference!$A$11,MIN(D87,150)))-INDEX(Reference!$A$6:$A$11,MIN(5,MATCH(MAX(Reference!$A$6,MIN(Reference!$A$11,MIN(D87,150))),Reference!$A$6:$A$11,1))))*(INDEX(Reference!$B$6:$B$11,MIN(5,MATCH(MAX(Reference!$A$6,MIN(Reference!$A$11,MIN(D87,150))),Reference!$A$6:$A$11,1))+1)-INDEX(Reference!$B$6:$B$11,MIN(5,MATCH(MAX(Reference!$A$6,MIN(Reference!$A$11,MIN(D87,150))),Reference!$A$6:$A$11,1))))/(INDEX(Reference!$A$6:$A$11,MIN(5,MATCH(MAX(Reference!$A$6,MIN(Reference!$A$11,MIN(D87,150))),Reference!$A$6:$A$11,1))+1)-INDEX(Reference!$A$6:$A$11,MIN(5,MATCH(MAX(Reference!$A$6,MIN(Reference!$A$11,MIN(D87,150))),Reference!$A$6:$A$11,1))))),0)+IF(4&lt;=AE87,(AE87-4+3)*(INDEX(Reference!$B$6:$B$11,MIN(5,MATCH(MAX(Reference!$A$6,MIN(Reference!$A$11,MIN(D87,180))),Reference!$A$6:$A$11,1)))+(MAX(Reference!$A$6,MIN(Reference!$A$11,MIN(D87,180)))-INDEX(Reference!$A$6:$A$11,MIN(5,MATCH(MAX(Reference!$A$6,MIN(Reference!$A$11,MIN(D87,180))),Reference!$A$6:$A$11,1))))*(INDEX(Reference!$B$6:$B$11,MIN(5,MATCH(MAX(Reference!$A$6,MIN(Reference!$A$11,MIN(D87,180))),Reference!$A$6:$A$11,1))+1)-INDEX(Reference!$B$6:$B$11,MIN(5,MATCH(MAX(Reference!$A$6,MIN(Reference!$A$11,MIN(D87,180))),Reference!$A$6:$A$11,1))))/(INDEX(Reference!$A$6:$A$11,MIN(5,MATCH(MAX(Reference!$A$6,MIN(Reference!$A$11,MIN(D87,180))),Reference!$A$6:$A$11,1))+1)-INDEX(Reference!$A$6:$A$11,MIN(5,MATCH(MAX(Reference!$A$6,MIN(Reference!$A$11,MIN(D87,180))),Reference!$A$6:$A$11,1))))),0)+IF(5&lt;=AE87,(AE87-5+3)*(INDEX(Reference!$B$6:$B$11,MIN(5,MATCH(MAX(Reference!$A$6,MIN(Reference!$A$11,MIN(D87,210))),Reference!$A$6:$A$11,1)))+(MAX(Reference!$A$6,MIN(Reference!$A$11,MIN(D87,210)))-INDEX(Reference!$A$6:$A$11,MIN(5,MATCH(MAX(Reference!$A$6,MIN(Reference!$A$11,MIN(D87,210))),Reference!$A$6:$A$11,1))))*(INDEX(Reference!$B$6:$B$11,MIN(5,MATCH(MAX(Reference!$A$6,MIN(Reference!$A$11,MIN(D87,210))),Reference!$A$6:$A$11,1))+1)-INDEX(Reference!$B$6:$B$11,MIN(5,MATCH(MAX(Reference!$A$6,MIN(Reference!$A$11,MIN(D87,210))),Reference!$A$6:$A$11,1))))/(INDEX(Reference!$A$6:$A$11,MIN(5,MATCH(MAX(Reference!$A$6,MIN(Reference!$A$11,MIN(D87,210))),Reference!$A$6:$A$11,1))+1)-INDEX(Reference!$A$6:$A$11,MIN(5,MATCH(MAX(Reference!$A$6,MIN(Reference!$A$11,MIN(D87,210))),Reference!$A$6:$A$11,1))))),0)+IF(6&lt;=AE87,(AE87-6+3)*(INDEX(Reference!$B$6:$B$11,MIN(5,MATCH(MAX(Reference!$A$6,MIN(Reference!$A$11,MIN(D87,240))),Reference!$A$6:$A$11,1)))+(MAX(Reference!$A$6,MIN(Reference!$A$11,MIN(D87,240)))-INDEX(Reference!$A$6:$A$11,MIN(5,MATCH(MAX(Reference!$A$6,MIN(Reference!$A$11,MIN(D87,240))),Reference!$A$6:$A$11,1))))*(INDEX(Reference!$B$6:$B$11,MIN(5,MATCH(MAX(Reference!$A$6,MIN(Reference!$A$11,MIN(D87,240))),Reference!$A$6:$A$11,1))+1)-INDEX(Reference!$B$6:$B$11,MIN(5,MATCH(MAX(Reference!$A$6,MIN(Reference!$A$11,MIN(D87,240))),Reference!$A$6:$A$11,1))))/(INDEX(Reference!$A$6:$A$11,MIN(5,MATCH(MAX(Reference!$A$6,MIN(Reference!$A$11,MIN(D87,240))),Reference!$A$6:$A$11,1))+1)-INDEX(Reference!$A$6:$A$11,MIN(5,MATCH(MAX(Reference!$A$6,MIN(Reference!$A$11,MIN(D87,240))),Reference!$A$6:$A$11,1))))),0)+IF(7&lt;=AE87,(AE87-7+3)*(INDEX(Reference!$B$6:$B$11,MIN(5,MATCH(MAX(Reference!$A$6,MIN(Reference!$A$11,MIN(D87,270))),Reference!$A$6:$A$11,1)))+(MAX(Reference!$A$6,MIN(Reference!$A$11,MIN(D87,270)))-INDEX(Reference!$A$6:$A$11,MIN(5,MATCH(MAX(Reference!$A$6,MIN(Reference!$A$11,MIN(D87,270))),Reference!$A$6:$A$11,1))))*(INDEX(Reference!$B$6:$B$11,MIN(5,MATCH(MAX(Reference!$A$6,MIN(Reference!$A$11,MIN(D87,270))),Reference!$A$6:$A$11,1))+1)-INDEX(Reference!$B$6:$B$11,MIN(5,MATCH(MAX(Reference!$A$6,MIN(Reference!$A$11,MIN(D87,270))),Reference!$A$6:$A$11,1))))/(INDEX(Reference!$A$6:$A$11,MIN(5,MATCH(MAX(Reference!$A$6,MIN(Reference!$A$11,MIN(D87,270))),Reference!$A$6:$A$11,1))+1)-INDEX(Reference!$A$6:$A$11,MIN(5,MATCH(MAX(Reference!$A$6,MIN(Reference!$A$11,MIN(D87,270))),Reference!$A$6:$A$11,1))))),0)+IF(8&lt;=AE87,(AE87-8+3)*(INDEX(Reference!$B$6:$B$11,MIN(5,MATCH(MAX(Reference!$A$6,MIN(Reference!$A$11,MIN(D87,300))),Reference!$A$6:$A$11,1)))+(MAX(Reference!$A$6,MIN(Reference!$A$11,MIN(D87,300)))-INDEX(Reference!$A$6:$A$11,MIN(5,MATCH(MAX(Reference!$A$6,MIN(Reference!$A$11,MIN(D87,300))),Reference!$A$6:$A$11,1))))*(INDEX(Reference!$B$6:$B$11,MIN(5,MATCH(MAX(Reference!$A$6,MIN(Reference!$A$11,MIN(D87,300))),Reference!$A$6:$A$11,1))+1)-INDEX(Reference!$B$6:$B$11,MIN(5,MATCH(MAX(Reference!$A$6,MIN(Reference!$A$11,MIN(D87,300))),Reference!$A$6:$A$11,1))))/(INDEX(Reference!$A$6:$A$11,MIN(5,MATCH(MAX(Reference!$A$6,MIN(Reference!$A$11,MIN(D87,300))),Reference!$A$6:$A$11,1))+1)-INDEX(Reference!$A$6:$A$11,MIN(5,MATCH(MAX(Reference!$A$6,MIN(Reference!$A$11,MIN(D87,300))),Reference!$A$6:$A$11,1))))),0))/(AE87*(AE87+5)/2)),(INDEX(Reference!$B$6:$B$11,MIN(5,MATCH(MAX(Reference!$A$6,MIN(Reference!$A$11,D87)),Reference!$A$6:$A$11,1)))+(MAX(Reference!$A$6,MIN(Reference!$A$11,D87))-INDEX(Reference!$A$6:$A$11,MIN(5,MATCH(MAX(Reference!$A$6,MIN(Reference!$A$11,D87)),Reference!$A$6:$A$11,1))))*(INDEX(Reference!$B$6:$B$11,MIN(5,MATCH(MAX(Reference!$A$6,MIN(Reference!$A$11,D87)),Reference!$A$6:$A$11,1))+1)-INDEX(Reference!$B$6:$B$11,MIN(5,MATCH(MAX(Reference!$A$6,MIN(Reference!$A$11,D87)),Reference!$A$6:$A$11,1))))/(INDEX(Reference!$A$6:$A$11,MIN(5,MATCH(MAX(Reference!$A$6,MIN(Reference!$A$11,D87)),Reference!$A$6:$A$11,1))+1)-INDEX(Reference!$A$6:$A$11,MIN(5,MATCH(MAX(Reference!$A$6,MIN(Reference!$A$11,D87)),Reference!$A$6:$A$11,1))))))))</f>
        <v/>
      </c>
      <c r="P87" s="32" t="str">
        <f>IF(N87="","",VLOOKUP(MAX(N87,0),Reference!$A$17:$B$20,2,TRUE()))</f>
        <v/>
      </c>
      <c r="Q87" s="32" t="str">
        <f t="shared" si="12"/>
        <v/>
      </c>
      <c r="R87" s="31"/>
      <c r="S87" s="31"/>
      <c r="T87" s="31"/>
      <c r="U87" s="32" t="str">
        <f t="shared" si="13"/>
        <v/>
      </c>
      <c r="V87" s="32" t="str">
        <f t="shared" si="14"/>
        <v/>
      </c>
      <c r="W87" s="32" t="str">
        <f>IF(V87="","",VLOOKUP(MAX(V87,0),Reference!$A$17:$B$20,2,TRUE()))</f>
        <v/>
      </c>
      <c r="X87" s="31"/>
      <c r="Y87" s="31"/>
      <c r="Z87" s="31"/>
      <c r="AA87" s="32" t="str">
        <f t="shared" si="15"/>
        <v/>
      </c>
      <c r="AB87" s="32" t="str">
        <f t="shared" si="16"/>
        <v/>
      </c>
      <c r="AC87" s="32" t="str">
        <f>IF(AB87="","",VLOOKUP(MAX(AB87,0),Reference!$A$17:$B$20,2,TRUE()))</f>
        <v/>
      </c>
      <c r="AD87" s="31"/>
      <c r="AE87">
        <f t="shared" si="17"/>
        <v>1</v>
      </c>
      <c r="AF87" s="33" t="str">
        <f>IF(OR(A87="",B87="",AND(C87&lt;&gt;"Bullpen",C87&lt;&gt;"Game")),"",IF((COUNTIFS($B$5:$B$300,B87,$A$5:$A$300,A87-1,$C$5:$C$300,"Bullpen",$AG$5:$AG$300,"&gt;0") + COUNTIFS($B$5:$B$300,B87,$A$5:$A$300,A87-1,$C$5:$C$300,"Game",$AG$5:$AG$300,"&gt;0"))&gt;0,Reference!$B$119,IF((COUNTIFS($B$5:$B$300,B87,$A$5:$A$300,A87-2,$C$5:$C$300,"Bullpen",$AG$5:$AG$300,"&gt;0") + COUNTIFS($B$5:$B$300,B87,$A$5:$A$300,A87-2,$C$5:$C$300,"Game",$AG$5:$AG$300,"&gt;0"))&gt;0,Reference!$B$120,1)))</f>
        <v/>
      </c>
      <c r="AG87" s="30" t="str">
        <f>IF(AND(OR(I87="",O87="",P87=""),OR(R87="",W87=""),OR(X87="",AC87="")),"",IF(OR(I87="",O87="",P87=""),0,I87*O87*P87)+IF(OR(R87="",W87=""),0,R87*IFERROR(INDEX(Reference!$B$61:$B$62,MATCH("Bullpen",Reference!$A$61:$A$62,0)),0)*W87)+IF(OR(X87="",AC87=""),0,X87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87))</f>
        <v/>
      </c>
    </row>
    <row r="88" spans="1:33" x14ac:dyDescent="0.3">
      <c r="A88" s="35"/>
      <c r="B88" s="31"/>
      <c r="C88" s="31"/>
      <c r="D88" s="31"/>
      <c r="E88" s="34"/>
      <c r="F88" s="34"/>
      <c r="G88" s="30" t="str">
        <f t="shared" si="9"/>
        <v/>
      </c>
      <c r="H88" s="31"/>
      <c r="I88" s="32" t="str">
        <f>IF(H88&lt;&gt;"",H88,IF(G88="","",ROUND(G88*IFERROR(INDEX(Reference!$B$44:$B$50,MATCH(C88,Reference!$A$44:$A$50,0)),0),0)))</f>
        <v/>
      </c>
      <c r="J88" s="31"/>
      <c r="K88" s="31"/>
      <c r="L88" s="32" t="str">
        <f t="shared" si="10"/>
        <v/>
      </c>
      <c r="M88" s="32" t="str">
        <f>IFERROR(INDEX(Roster!$D$5:$D$40,MATCH(B88,Roster!$A$5:$A$40,0)),"")</f>
        <v/>
      </c>
      <c r="N88" s="32" t="str">
        <f t="shared" si="11"/>
        <v/>
      </c>
      <c r="O88" s="32" t="str">
        <f>IF(OR(C88="Bullpen",C88="Game"),IFERROR(INDEX(Reference!$B$61:$B$62,MATCH(C88,Reference!$A$61:$A$62,0)),""),IF(D88="","",IF(AE88&gt;1,((IF(1&lt;=AE88,(AE88-1+3)*(INDEX(Reference!$B$6:$B$11,MIN(5,MATCH(MAX(Reference!$A$6,MIN(Reference!$A$11,MIN(D88,90))),Reference!$A$6:$A$11,1)))+(MAX(Reference!$A$6,MIN(Reference!$A$11,MIN(D88,90)))-INDEX(Reference!$A$6:$A$11,MIN(5,MATCH(MAX(Reference!$A$6,MIN(Reference!$A$11,MIN(D88,90))),Reference!$A$6:$A$11,1))))*(INDEX(Reference!$B$6:$B$11,MIN(5,MATCH(MAX(Reference!$A$6,MIN(Reference!$A$11,MIN(D88,90))),Reference!$A$6:$A$11,1))+1)-INDEX(Reference!$B$6:$B$11,MIN(5,MATCH(MAX(Reference!$A$6,MIN(Reference!$A$11,MIN(D88,90))),Reference!$A$6:$A$11,1))))/(INDEX(Reference!$A$6:$A$11,MIN(5,MATCH(MAX(Reference!$A$6,MIN(Reference!$A$11,MIN(D88,90))),Reference!$A$6:$A$11,1))+1)-INDEX(Reference!$A$6:$A$11,MIN(5,MATCH(MAX(Reference!$A$6,MIN(Reference!$A$11,MIN(D88,90))),Reference!$A$6:$A$11,1))))),0)+IF(2&lt;=AE88,(AE88-2+3)*(INDEX(Reference!$B$6:$B$11,MIN(5,MATCH(MAX(Reference!$A$6,MIN(Reference!$A$11,MIN(D88,120))),Reference!$A$6:$A$11,1)))+(MAX(Reference!$A$6,MIN(Reference!$A$11,MIN(D88,120)))-INDEX(Reference!$A$6:$A$11,MIN(5,MATCH(MAX(Reference!$A$6,MIN(Reference!$A$11,MIN(D88,120))),Reference!$A$6:$A$11,1))))*(INDEX(Reference!$B$6:$B$11,MIN(5,MATCH(MAX(Reference!$A$6,MIN(Reference!$A$11,MIN(D88,120))),Reference!$A$6:$A$11,1))+1)-INDEX(Reference!$B$6:$B$11,MIN(5,MATCH(MAX(Reference!$A$6,MIN(Reference!$A$11,MIN(D88,120))),Reference!$A$6:$A$11,1))))/(INDEX(Reference!$A$6:$A$11,MIN(5,MATCH(MAX(Reference!$A$6,MIN(Reference!$A$11,MIN(D88,120))),Reference!$A$6:$A$11,1))+1)-INDEX(Reference!$A$6:$A$11,MIN(5,MATCH(MAX(Reference!$A$6,MIN(Reference!$A$11,MIN(D88,120))),Reference!$A$6:$A$11,1))))),0)+IF(3&lt;=AE88,(AE88-3+3)*(INDEX(Reference!$B$6:$B$11,MIN(5,MATCH(MAX(Reference!$A$6,MIN(Reference!$A$11,MIN(D88,150))),Reference!$A$6:$A$11,1)))+(MAX(Reference!$A$6,MIN(Reference!$A$11,MIN(D88,150)))-INDEX(Reference!$A$6:$A$11,MIN(5,MATCH(MAX(Reference!$A$6,MIN(Reference!$A$11,MIN(D88,150))),Reference!$A$6:$A$11,1))))*(INDEX(Reference!$B$6:$B$11,MIN(5,MATCH(MAX(Reference!$A$6,MIN(Reference!$A$11,MIN(D88,150))),Reference!$A$6:$A$11,1))+1)-INDEX(Reference!$B$6:$B$11,MIN(5,MATCH(MAX(Reference!$A$6,MIN(Reference!$A$11,MIN(D88,150))),Reference!$A$6:$A$11,1))))/(INDEX(Reference!$A$6:$A$11,MIN(5,MATCH(MAX(Reference!$A$6,MIN(Reference!$A$11,MIN(D88,150))),Reference!$A$6:$A$11,1))+1)-INDEX(Reference!$A$6:$A$11,MIN(5,MATCH(MAX(Reference!$A$6,MIN(Reference!$A$11,MIN(D88,150))),Reference!$A$6:$A$11,1))))),0)+IF(4&lt;=AE88,(AE88-4+3)*(INDEX(Reference!$B$6:$B$11,MIN(5,MATCH(MAX(Reference!$A$6,MIN(Reference!$A$11,MIN(D88,180))),Reference!$A$6:$A$11,1)))+(MAX(Reference!$A$6,MIN(Reference!$A$11,MIN(D88,180)))-INDEX(Reference!$A$6:$A$11,MIN(5,MATCH(MAX(Reference!$A$6,MIN(Reference!$A$11,MIN(D88,180))),Reference!$A$6:$A$11,1))))*(INDEX(Reference!$B$6:$B$11,MIN(5,MATCH(MAX(Reference!$A$6,MIN(Reference!$A$11,MIN(D88,180))),Reference!$A$6:$A$11,1))+1)-INDEX(Reference!$B$6:$B$11,MIN(5,MATCH(MAX(Reference!$A$6,MIN(Reference!$A$11,MIN(D88,180))),Reference!$A$6:$A$11,1))))/(INDEX(Reference!$A$6:$A$11,MIN(5,MATCH(MAX(Reference!$A$6,MIN(Reference!$A$11,MIN(D88,180))),Reference!$A$6:$A$11,1))+1)-INDEX(Reference!$A$6:$A$11,MIN(5,MATCH(MAX(Reference!$A$6,MIN(Reference!$A$11,MIN(D88,180))),Reference!$A$6:$A$11,1))))),0)+IF(5&lt;=AE88,(AE88-5+3)*(INDEX(Reference!$B$6:$B$11,MIN(5,MATCH(MAX(Reference!$A$6,MIN(Reference!$A$11,MIN(D88,210))),Reference!$A$6:$A$11,1)))+(MAX(Reference!$A$6,MIN(Reference!$A$11,MIN(D88,210)))-INDEX(Reference!$A$6:$A$11,MIN(5,MATCH(MAX(Reference!$A$6,MIN(Reference!$A$11,MIN(D88,210))),Reference!$A$6:$A$11,1))))*(INDEX(Reference!$B$6:$B$11,MIN(5,MATCH(MAX(Reference!$A$6,MIN(Reference!$A$11,MIN(D88,210))),Reference!$A$6:$A$11,1))+1)-INDEX(Reference!$B$6:$B$11,MIN(5,MATCH(MAX(Reference!$A$6,MIN(Reference!$A$11,MIN(D88,210))),Reference!$A$6:$A$11,1))))/(INDEX(Reference!$A$6:$A$11,MIN(5,MATCH(MAX(Reference!$A$6,MIN(Reference!$A$11,MIN(D88,210))),Reference!$A$6:$A$11,1))+1)-INDEX(Reference!$A$6:$A$11,MIN(5,MATCH(MAX(Reference!$A$6,MIN(Reference!$A$11,MIN(D88,210))),Reference!$A$6:$A$11,1))))),0)+IF(6&lt;=AE88,(AE88-6+3)*(INDEX(Reference!$B$6:$B$11,MIN(5,MATCH(MAX(Reference!$A$6,MIN(Reference!$A$11,MIN(D88,240))),Reference!$A$6:$A$11,1)))+(MAX(Reference!$A$6,MIN(Reference!$A$11,MIN(D88,240)))-INDEX(Reference!$A$6:$A$11,MIN(5,MATCH(MAX(Reference!$A$6,MIN(Reference!$A$11,MIN(D88,240))),Reference!$A$6:$A$11,1))))*(INDEX(Reference!$B$6:$B$11,MIN(5,MATCH(MAX(Reference!$A$6,MIN(Reference!$A$11,MIN(D88,240))),Reference!$A$6:$A$11,1))+1)-INDEX(Reference!$B$6:$B$11,MIN(5,MATCH(MAX(Reference!$A$6,MIN(Reference!$A$11,MIN(D88,240))),Reference!$A$6:$A$11,1))))/(INDEX(Reference!$A$6:$A$11,MIN(5,MATCH(MAX(Reference!$A$6,MIN(Reference!$A$11,MIN(D88,240))),Reference!$A$6:$A$11,1))+1)-INDEX(Reference!$A$6:$A$11,MIN(5,MATCH(MAX(Reference!$A$6,MIN(Reference!$A$11,MIN(D88,240))),Reference!$A$6:$A$11,1))))),0)+IF(7&lt;=AE88,(AE88-7+3)*(INDEX(Reference!$B$6:$B$11,MIN(5,MATCH(MAX(Reference!$A$6,MIN(Reference!$A$11,MIN(D88,270))),Reference!$A$6:$A$11,1)))+(MAX(Reference!$A$6,MIN(Reference!$A$11,MIN(D88,270)))-INDEX(Reference!$A$6:$A$11,MIN(5,MATCH(MAX(Reference!$A$6,MIN(Reference!$A$11,MIN(D88,270))),Reference!$A$6:$A$11,1))))*(INDEX(Reference!$B$6:$B$11,MIN(5,MATCH(MAX(Reference!$A$6,MIN(Reference!$A$11,MIN(D88,270))),Reference!$A$6:$A$11,1))+1)-INDEX(Reference!$B$6:$B$11,MIN(5,MATCH(MAX(Reference!$A$6,MIN(Reference!$A$11,MIN(D88,270))),Reference!$A$6:$A$11,1))))/(INDEX(Reference!$A$6:$A$11,MIN(5,MATCH(MAX(Reference!$A$6,MIN(Reference!$A$11,MIN(D88,270))),Reference!$A$6:$A$11,1))+1)-INDEX(Reference!$A$6:$A$11,MIN(5,MATCH(MAX(Reference!$A$6,MIN(Reference!$A$11,MIN(D88,270))),Reference!$A$6:$A$11,1))))),0)+IF(8&lt;=AE88,(AE88-8+3)*(INDEX(Reference!$B$6:$B$11,MIN(5,MATCH(MAX(Reference!$A$6,MIN(Reference!$A$11,MIN(D88,300))),Reference!$A$6:$A$11,1)))+(MAX(Reference!$A$6,MIN(Reference!$A$11,MIN(D88,300)))-INDEX(Reference!$A$6:$A$11,MIN(5,MATCH(MAX(Reference!$A$6,MIN(Reference!$A$11,MIN(D88,300))),Reference!$A$6:$A$11,1))))*(INDEX(Reference!$B$6:$B$11,MIN(5,MATCH(MAX(Reference!$A$6,MIN(Reference!$A$11,MIN(D88,300))),Reference!$A$6:$A$11,1))+1)-INDEX(Reference!$B$6:$B$11,MIN(5,MATCH(MAX(Reference!$A$6,MIN(Reference!$A$11,MIN(D88,300))),Reference!$A$6:$A$11,1))))/(INDEX(Reference!$A$6:$A$11,MIN(5,MATCH(MAX(Reference!$A$6,MIN(Reference!$A$11,MIN(D88,300))),Reference!$A$6:$A$11,1))+1)-INDEX(Reference!$A$6:$A$11,MIN(5,MATCH(MAX(Reference!$A$6,MIN(Reference!$A$11,MIN(D88,300))),Reference!$A$6:$A$11,1))))),0))/(AE88*(AE88+5)/2)),(INDEX(Reference!$B$6:$B$11,MIN(5,MATCH(MAX(Reference!$A$6,MIN(Reference!$A$11,D88)),Reference!$A$6:$A$11,1)))+(MAX(Reference!$A$6,MIN(Reference!$A$11,D88))-INDEX(Reference!$A$6:$A$11,MIN(5,MATCH(MAX(Reference!$A$6,MIN(Reference!$A$11,D88)),Reference!$A$6:$A$11,1))))*(INDEX(Reference!$B$6:$B$11,MIN(5,MATCH(MAX(Reference!$A$6,MIN(Reference!$A$11,D88)),Reference!$A$6:$A$11,1))+1)-INDEX(Reference!$B$6:$B$11,MIN(5,MATCH(MAX(Reference!$A$6,MIN(Reference!$A$11,D88)),Reference!$A$6:$A$11,1))))/(INDEX(Reference!$A$6:$A$11,MIN(5,MATCH(MAX(Reference!$A$6,MIN(Reference!$A$11,D88)),Reference!$A$6:$A$11,1))+1)-INDEX(Reference!$A$6:$A$11,MIN(5,MATCH(MAX(Reference!$A$6,MIN(Reference!$A$11,D88)),Reference!$A$6:$A$11,1))))))))</f>
        <v/>
      </c>
      <c r="P88" s="32" t="str">
        <f>IF(N88="","",VLOOKUP(MAX(N88,0),Reference!$A$17:$B$20,2,TRUE()))</f>
        <v/>
      </c>
      <c r="Q88" s="32" t="str">
        <f t="shared" si="12"/>
        <v/>
      </c>
      <c r="R88" s="31"/>
      <c r="S88" s="31"/>
      <c r="T88" s="31"/>
      <c r="U88" s="32" t="str">
        <f t="shared" si="13"/>
        <v/>
      </c>
      <c r="V88" s="32" t="str">
        <f t="shared" si="14"/>
        <v/>
      </c>
      <c r="W88" s="32" t="str">
        <f>IF(V88="","",VLOOKUP(MAX(V88,0),Reference!$A$17:$B$20,2,TRUE()))</f>
        <v/>
      </c>
      <c r="X88" s="31"/>
      <c r="Y88" s="31"/>
      <c r="Z88" s="31"/>
      <c r="AA88" s="32" t="str">
        <f t="shared" si="15"/>
        <v/>
      </c>
      <c r="AB88" s="32" t="str">
        <f t="shared" si="16"/>
        <v/>
      </c>
      <c r="AC88" s="32" t="str">
        <f>IF(AB88="","",VLOOKUP(MAX(AB88,0),Reference!$A$17:$B$20,2,TRUE()))</f>
        <v/>
      </c>
      <c r="AD88" s="31"/>
      <c r="AE88">
        <f t="shared" si="17"/>
        <v>1</v>
      </c>
      <c r="AF88" s="33" t="str">
        <f>IF(OR(A88="",B88="",AND(C88&lt;&gt;"Bullpen",C88&lt;&gt;"Game")),"",IF((COUNTIFS($B$5:$B$300,B88,$A$5:$A$300,A88-1,$C$5:$C$300,"Bullpen",$AG$5:$AG$300,"&gt;0") + COUNTIFS($B$5:$B$300,B88,$A$5:$A$300,A88-1,$C$5:$C$300,"Game",$AG$5:$AG$300,"&gt;0"))&gt;0,Reference!$B$119,IF((COUNTIFS($B$5:$B$300,B88,$A$5:$A$300,A88-2,$C$5:$C$300,"Bullpen",$AG$5:$AG$300,"&gt;0") + COUNTIFS($B$5:$B$300,B88,$A$5:$A$300,A88-2,$C$5:$C$300,"Game",$AG$5:$AG$300,"&gt;0"))&gt;0,Reference!$B$120,1)))</f>
        <v/>
      </c>
      <c r="AG88" s="30" t="str">
        <f>IF(AND(OR(I88="",O88="",P88=""),OR(R88="",W88=""),OR(X88="",AC88="")),"",IF(OR(I88="",O88="",P88=""),0,I88*O88*P88)+IF(OR(R88="",W88=""),0,R88*IFERROR(INDEX(Reference!$B$61:$B$62,MATCH("Bullpen",Reference!$A$61:$A$62,0)),0)*W88)+IF(OR(X88="",AC88=""),0,X88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88))</f>
        <v/>
      </c>
    </row>
    <row r="89" spans="1:33" x14ac:dyDescent="0.3">
      <c r="A89" s="35"/>
      <c r="B89" s="31"/>
      <c r="C89" s="31"/>
      <c r="D89" s="31"/>
      <c r="E89" s="34"/>
      <c r="F89" s="34"/>
      <c r="G89" s="30" t="str">
        <f t="shared" si="9"/>
        <v/>
      </c>
      <c r="H89" s="31"/>
      <c r="I89" s="32" t="str">
        <f>IF(H89&lt;&gt;"",H89,IF(G89="","",ROUND(G89*IFERROR(INDEX(Reference!$B$44:$B$50,MATCH(C89,Reference!$A$44:$A$50,0)),0),0)))</f>
        <v/>
      </c>
      <c r="J89" s="31"/>
      <c r="K89" s="31"/>
      <c r="L89" s="32" t="str">
        <f t="shared" si="10"/>
        <v/>
      </c>
      <c r="M89" s="32" t="str">
        <f>IFERROR(INDEX(Roster!$D$5:$D$40,MATCH(B89,Roster!$A$5:$A$40,0)),"")</f>
        <v/>
      </c>
      <c r="N89" s="32" t="str">
        <f t="shared" si="11"/>
        <v/>
      </c>
      <c r="O89" s="32" t="str">
        <f>IF(OR(C89="Bullpen",C89="Game"),IFERROR(INDEX(Reference!$B$61:$B$62,MATCH(C89,Reference!$A$61:$A$62,0)),""),IF(D89="","",IF(AE89&gt;1,((IF(1&lt;=AE89,(AE89-1+3)*(INDEX(Reference!$B$6:$B$11,MIN(5,MATCH(MAX(Reference!$A$6,MIN(Reference!$A$11,MIN(D89,90))),Reference!$A$6:$A$11,1)))+(MAX(Reference!$A$6,MIN(Reference!$A$11,MIN(D89,90)))-INDEX(Reference!$A$6:$A$11,MIN(5,MATCH(MAX(Reference!$A$6,MIN(Reference!$A$11,MIN(D89,90))),Reference!$A$6:$A$11,1))))*(INDEX(Reference!$B$6:$B$11,MIN(5,MATCH(MAX(Reference!$A$6,MIN(Reference!$A$11,MIN(D89,90))),Reference!$A$6:$A$11,1))+1)-INDEX(Reference!$B$6:$B$11,MIN(5,MATCH(MAX(Reference!$A$6,MIN(Reference!$A$11,MIN(D89,90))),Reference!$A$6:$A$11,1))))/(INDEX(Reference!$A$6:$A$11,MIN(5,MATCH(MAX(Reference!$A$6,MIN(Reference!$A$11,MIN(D89,90))),Reference!$A$6:$A$11,1))+1)-INDEX(Reference!$A$6:$A$11,MIN(5,MATCH(MAX(Reference!$A$6,MIN(Reference!$A$11,MIN(D89,90))),Reference!$A$6:$A$11,1))))),0)+IF(2&lt;=AE89,(AE89-2+3)*(INDEX(Reference!$B$6:$B$11,MIN(5,MATCH(MAX(Reference!$A$6,MIN(Reference!$A$11,MIN(D89,120))),Reference!$A$6:$A$11,1)))+(MAX(Reference!$A$6,MIN(Reference!$A$11,MIN(D89,120)))-INDEX(Reference!$A$6:$A$11,MIN(5,MATCH(MAX(Reference!$A$6,MIN(Reference!$A$11,MIN(D89,120))),Reference!$A$6:$A$11,1))))*(INDEX(Reference!$B$6:$B$11,MIN(5,MATCH(MAX(Reference!$A$6,MIN(Reference!$A$11,MIN(D89,120))),Reference!$A$6:$A$11,1))+1)-INDEX(Reference!$B$6:$B$11,MIN(5,MATCH(MAX(Reference!$A$6,MIN(Reference!$A$11,MIN(D89,120))),Reference!$A$6:$A$11,1))))/(INDEX(Reference!$A$6:$A$11,MIN(5,MATCH(MAX(Reference!$A$6,MIN(Reference!$A$11,MIN(D89,120))),Reference!$A$6:$A$11,1))+1)-INDEX(Reference!$A$6:$A$11,MIN(5,MATCH(MAX(Reference!$A$6,MIN(Reference!$A$11,MIN(D89,120))),Reference!$A$6:$A$11,1))))),0)+IF(3&lt;=AE89,(AE89-3+3)*(INDEX(Reference!$B$6:$B$11,MIN(5,MATCH(MAX(Reference!$A$6,MIN(Reference!$A$11,MIN(D89,150))),Reference!$A$6:$A$11,1)))+(MAX(Reference!$A$6,MIN(Reference!$A$11,MIN(D89,150)))-INDEX(Reference!$A$6:$A$11,MIN(5,MATCH(MAX(Reference!$A$6,MIN(Reference!$A$11,MIN(D89,150))),Reference!$A$6:$A$11,1))))*(INDEX(Reference!$B$6:$B$11,MIN(5,MATCH(MAX(Reference!$A$6,MIN(Reference!$A$11,MIN(D89,150))),Reference!$A$6:$A$11,1))+1)-INDEX(Reference!$B$6:$B$11,MIN(5,MATCH(MAX(Reference!$A$6,MIN(Reference!$A$11,MIN(D89,150))),Reference!$A$6:$A$11,1))))/(INDEX(Reference!$A$6:$A$11,MIN(5,MATCH(MAX(Reference!$A$6,MIN(Reference!$A$11,MIN(D89,150))),Reference!$A$6:$A$11,1))+1)-INDEX(Reference!$A$6:$A$11,MIN(5,MATCH(MAX(Reference!$A$6,MIN(Reference!$A$11,MIN(D89,150))),Reference!$A$6:$A$11,1))))),0)+IF(4&lt;=AE89,(AE89-4+3)*(INDEX(Reference!$B$6:$B$11,MIN(5,MATCH(MAX(Reference!$A$6,MIN(Reference!$A$11,MIN(D89,180))),Reference!$A$6:$A$11,1)))+(MAX(Reference!$A$6,MIN(Reference!$A$11,MIN(D89,180)))-INDEX(Reference!$A$6:$A$11,MIN(5,MATCH(MAX(Reference!$A$6,MIN(Reference!$A$11,MIN(D89,180))),Reference!$A$6:$A$11,1))))*(INDEX(Reference!$B$6:$B$11,MIN(5,MATCH(MAX(Reference!$A$6,MIN(Reference!$A$11,MIN(D89,180))),Reference!$A$6:$A$11,1))+1)-INDEX(Reference!$B$6:$B$11,MIN(5,MATCH(MAX(Reference!$A$6,MIN(Reference!$A$11,MIN(D89,180))),Reference!$A$6:$A$11,1))))/(INDEX(Reference!$A$6:$A$11,MIN(5,MATCH(MAX(Reference!$A$6,MIN(Reference!$A$11,MIN(D89,180))),Reference!$A$6:$A$11,1))+1)-INDEX(Reference!$A$6:$A$11,MIN(5,MATCH(MAX(Reference!$A$6,MIN(Reference!$A$11,MIN(D89,180))),Reference!$A$6:$A$11,1))))),0)+IF(5&lt;=AE89,(AE89-5+3)*(INDEX(Reference!$B$6:$B$11,MIN(5,MATCH(MAX(Reference!$A$6,MIN(Reference!$A$11,MIN(D89,210))),Reference!$A$6:$A$11,1)))+(MAX(Reference!$A$6,MIN(Reference!$A$11,MIN(D89,210)))-INDEX(Reference!$A$6:$A$11,MIN(5,MATCH(MAX(Reference!$A$6,MIN(Reference!$A$11,MIN(D89,210))),Reference!$A$6:$A$11,1))))*(INDEX(Reference!$B$6:$B$11,MIN(5,MATCH(MAX(Reference!$A$6,MIN(Reference!$A$11,MIN(D89,210))),Reference!$A$6:$A$11,1))+1)-INDEX(Reference!$B$6:$B$11,MIN(5,MATCH(MAX(Reference!$A$6,MIN(Reference!$A$11,MIN(D89,210))),Reference!$A$6:$A$11,1))))/(INDEX(Reference!$A$6:$A$11,MIN(5,MATCH(MAX(Reference!$A$6,MIN(Reference!$A$11,MIN(D89,210))),Reference!$A$6:$A$11,1))+1)-INDEX(Reference!$A$6:$A$11,MIN(5,MATCH(MAX(Reference!$A$6,MIN(Reference!$A$11,MIN(D89,210))),Reference!$A$6:$A$11,1))))),0)+IF(6&lt;=AE89,(AE89-6+3)*(INDEX(Reference!$B$6:$B$11,MIN(5,MATCH(MAX(Reference!$A$6,MIN(Reference!$A$11,MIN(D89,240))),Reference!$A$6:$A$11,1)))+(MAX(Reference!$A$6,MIN(Reference!$A$11,MIN(D89,240)))-INDEX(Reference!$A$6:$A$11,MIN(5,MATCH(MAX(Reference!$A$6,MIN(Reference!$A$11,MIN(D89,240))),Reference!$A$6:$A$11,1))))*(INDEX(Reference!$B$6:$B$11,MIN(5,MATCH(MAX(Reference!$A$6,MIN(Reference!$A$11,MIN(D89,240))),Reference!$A$6:$A$11,1))+1)-INDEX(Reference!$B$6:$B$11,MIN(5,MATCH(MAX(Reference!$A$6,MIN(Reference!$A$11,MIN(D89,240))),Reference!$A$6:$A$11,1))))/(INDEX(Reference!$A$6:$A$11,MIN(5,MATCH(MAX(Reference!$A$6,MIN(Reference!$A$11,MIN(D89,240))),Reference!$A$6:$A$11,1))+1)-INDEX(Reference!$A$6:$A$11,MIN(5,MATCH(MAX(Reference!$A$6,MIN(Reference!$A$11,MIN(D89,240))),Reference!$A$6:$A$11,1))))),0)+IF(7&lt;=AE89,(AE89-7+3)*(INDEX(Reference!$B$6:$B$11,MIN(5,MATCH(MAX(Reference!$A$6,MIN(Reference!$A$11,MIN(D89,270))),Reference!$A$6:$A$11,1)))+(MAX(Reference!$A$6,MIN(Reference!$A$11,MIN(D89,270)))-INDEX(Reference!$A$6:$A$11,MIN(5,MATCH(MAX(Reference!$A$6,MIN(Reference!$A$11,MIN(D89,270))),Reference!$A$6:$A$11,1))))*(INDEX(Reference!$B$6:$B$11,MIN(5,MATCH(MAX(Reference!$A$6,MIN(Reference!$A$11,MIN(D89,270))),Reference!$A$6:$A$11,1))+1)-INDEX(Reference!$B$6:$B$11,MIN(5,MATCH(MAX(Reference!$A$6,MIN(Reference!$A$11,MIN(D89,270))),Reference!$A$6:$A$11,1))))/(INDEX(Reference!$A$6:$A$11,MIN(5,MATCH(MAX(Reference!$A$6,MIN(Reference!$A$11,MIN(D89,270))),Reference!$A$6:$A$11,1))+1)-INDEX(Reference!$A$6:$A$11,MIN(5,MATCH(MAX(Reference!$A$6,MIN(Reference!$A$11,MIN(D89,270))),Reference!$A$6:$A$11,1))))),0)+IF(8&lt;=AE89,(AE89-8+3)*(INDEX(Reference!$B$6:$B$11,MIN(5,MATCH(MAX(Reference!$A$6,MIN(Reference!$A$11,MIN(D89,300))),Reference!$A$6:$A$11,1)))+(MAX(Reference!$A$6,MIN(Reference!$A$11,MIN(D89,300)))-INDEX(Reference!$A$6:$A$11,MIN(5,MATCH(MAX(Reference!$A$6,MIN(Reference!$A$11,MIN(D89,300))),Reference!$A$6:$A$11,1))))*(INDEX(Reference!$B$6:$B$11,MIN(5,MATCH(MAX(Reference!$A$6,MIN(Reference!$A$11,MIN(D89,300))),Reference!$A$6:$A$11,1))+1)-INDEX(Reference!$B$6:$B$11,MIN(5,MATCH(MAX(Reference!$A$6,MIN(Reference!$A$11,MIN(D89,300))),Reference!$A$6:$A$11,1))))/(INDEX(Reference!$A$6:$A$11,MIN(5,MATCH(MAX(Reference!$A$6,MIN(Reference!$A$11,MIN(D89,300))),Reference!$A$6:$A$11,1))+1)-INDEX(Reference!$A$6:$A$11,MIN(5,MATCH(MAX(Reference!$A$6,MIN(Reference!$A$11,MIN(D89,300))),Reference!$A$6:$A$11,1))))),0))/(AE89*(AE89+5)/2)),(INDEX(Reference!$B$6:$B$11,MIN(5,MATCH(MAX(Reference!$A$6,MIN(Reference!$A$11,D89)),Reference!$A$6:$A$11,1)))+(MAX(Reference!$A$6,MIN(Reference!$A$11,D89))-INDEX(Reference!$A$6:$A$11,MIN(5,MATCH(MAX(Reference!$A$6,MIN(Reference!$A$11,D89)),Reference!$A$6:$A$11,1))))*(INDEX(Reference!$B$6:$B$11,MIN(5,MATCH(MAX(Reference!$A$6,MIN(Reference!$A$11,D89)),Reference!$A$6:$A$11,1))+1)-INDEX(Reference!$B$6:$B$11,MIN(5,MATCH(MAX(Reference!$A$6,MIN(Reference!$A$11,D89)),Reference!$A$6:$A$11,1))))/(INDEX(Reference!$A$6:$A$11,MIN(5,MATCH(MAX(Reference!$A$6,MIN(Reference!$A$11,D89)),Reference!$A$6:$A$11,1))+1)-INDEX(Reference!$A$6:$A$11,MIN(5,MATCH(MAX(Reference!$A$6,MIN(Reference!$A$11,D89)),Reference!$A$6:$A$11,1))))))))</f>
        <v/>
      </c>
      <c r="P89" s="32" t="str">
        <f>IF(N89="","",VLOOKUP(MAX(N89,0),Reference!$A$17:$B$20,2,TRUE()))</f>
        <v/>
      </c>
      <c r="Q89" s="32" t="str">
        <f t="shared" si="12"/>
        <v/>
      </c>
      <c r="R89" s="31"/>
      <c r="S89" s="31"/>
      <c r="T89" s="31"/>
      <c r="U89" s="32" t="str">
        <f t="shared" si="13"/>
        <v/>
      </c>
      <c r="V89" s="32" t="str">
        <f t="shared" si="14"/>
        <v/>
      </c>
      <c r="W89" s="32" t="str">
        <f>IF(V89="","",VLOOKUP(MAX(V89,0),Reference!$A$17:$B$20,2,TRUE()))</f>
        <v/>
      </c>
      <c r="X89" s="31"/>
      <c r="Y89" s="31"/>
      <c r="Z89" s="31"/>
      <c r="AA89" s="32" t="str">
        <f t="shared" si="15"/>
        <v/>
      </c>
      <c r="AB89" s="32" t="str">
        <f t="shared" si="16"/>
        <v/>
      </c>
      <c r="AC89" s="32" t="str">
        <f>IF(AB89="","",VLOOKUP(MAX(AB89,0),Reference!$A$17:$B$20,2,TRUE()))</f>
        <v/>
      </c>
      <c r="AD89" s="31"/>
      <c r="AE89">
        <f t="shared" si="17"/>
        <v>1</v>
      </c>
      <c r="AF89" s="33" t="str">
        <f>IF(OR(A89="",B89="",AND(C89&lt;&gt;"Bullpen",C89&lt;&gt;"Game")),"",IF((COUNTIFS($B$5:$B$300,B89,$A$5:$A$300,A89-1,$C$5:$C$300,"Bullpen",$AG$5:$AG$300,"&gt;0") + COUNTIFS($B$5:$B$300,B89,$A$5:$A$300,A89-1,$C$5:$C$300,"Game",$AG$5:$AG$300,"&gt;0"))&gt;0,Reference!$B$119,IF((COUNTIFS($B$5:$B$300,B89,$A$5:$A$300,A89-2,$C$5:$C$300,"Bullpen",$AG$5:$AG$300,"&gt;0") + COUNTIFS($B$5:$B$300,B89,$A$5:$A$300,A89-2,$C$5:$C$300,"Game",$AG$5:$AG$300,"&gt;0"))&gt;0,Reference!$B$120,1)))</f>
        <v/>
      </c>
      <c r="AG89" s="30" t="str">
        <f>IF(AND(OR(I89="",O89="",P89=""),OR(R89="",W89=""),OR(X89="",AC89="")),"",IF(OR(I89="",O89="",P89=""),0,I89*O89*P89)+IF(OR(R89="",W89=""),0,R89*IFERROR(INDEX(Reference!$B$61:$B$62,MATCH("Bullpen",Reference!$A$61:$A$62,0)),0)*W89)+IF(OR(X89="",AC89=""),0,X89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89))</f>
        <v/>
      </c>
    </row>
    <row r="90" spans="1:33" x14ac:dyDescent="0.3">
      <c r="A90" s="35"/>
      <c r="B90" s="31"/>
      <c r="C90" s="31"/>
      <c r="D90" s="31"/>
      <c r="E90" s="34"/>
      <c r="F90" s="34"/>
      <c r="G90" s="30" t="str">
        <f t="shared" si="9"/>
        <v/>
      </c>
      <c r="H90" s="31"/>
      <c r="I90" s="32" t="str">
        <f>IF(H90&lt;&gt;"",H90,IF(G90="","",ROUND(G90*IFERROR(INDEX(Reference!$B$44:$B$50,MATCH(C90,Reference!$A$44:$A$50,0)),0),0)))</f>
        <v/>
      </c>
      <c r="J90" s="31"/>
      <c r="K90" s="31"/>
      <c r="L90" s="32" t="str">
        <f t="shared" si="10"/>
        <v/>
      </c>
      <c r="M90" s="32" t="str">
        <f>IFERROR(INDEX(Roster!$D$5:$D$40,MATCH(B90,Roster!$A$5:$A$40,0)),"")</f>
        <v/>
      </c>
      <c r="N90" s="32" t="str">
        <f t="shared" si="11"/>
        <v/>
      </c>
      <c r="O90" s="32" t="str">
        <f>IF(OR(C90="Bullpen",C90="Game"),IFERROR(INDEX(Reference!$B$61:$B$62,MATCH(C90,Reference!$A$61:$A$62,0)),""),IF(D90="","",IF(AE90&gt;1,((IF(1&lt;=AE90,(AE90-1+3)*(INDEX(Reference!$B$6:$B$11,MIN(5,MATCH(MAX(Reference!$A$6,MIN(Reference!$A$11,MIN(D90,90))),Reference!$A$6:$A$11,1)))+(MAX(Reference!$A$6,MIN(Reference!$A$11,MIN(D90,90)))-INDEX(Reference!$A$6:$A$11,MIN(5,MATCH(MAX(Reference!$A$6,MIN(Reference!$A$11,MIN(D90,90))),Reference!$A$6:$A$11,1))))*(INDEX(Reference!$B$6:$B$11,MIN(5,MATCH(MAX(Reference!$A$6,MIN(Reference!$A$11,MIN(D90,90))),Reference!$A$6:$A$11,1))+1)-INDEX(Reference!$B$6:$B$11,MIN(5,MATCH(MAX(Reference!$A$6,MIN(Reference!$A$11,MIN(D90,90))),Reference!$A$6:$A$11,1))))/(INDEX(Reference!$A$6:$A$11,MIN(5,MATCH(MAX(Reference!$A$6,MIN(Reference!$A$11,MIN(D90,90))),Reference!$A$6:$A$11,1))+1)-INDEX(Reference!$A$6:$A$11,MIN(5,MATCH(MAX(Reference!$A$6,MIN(Reference!$A$11,MIN(D90,90))),Reference!$A$6:$A$11,1))))),0)+IF(2&lt;=AE90,(AE90-2+3)*(INDEX(Reference!$B$6:$B$11,MIN(5,MATCH(MAX(Reference!$A$6,MIN(Reference!$A$11,MIN(D90,120))),Reference!$A$6:$A$11,1)))+(MAX(Reference!$A$6,MIN(Reference!$A$11,MIN(D90,120)))-INDEX(Reference!$A$6:$A$11,MIN(5,MATCH(MAX(Reference!$A$6,MIN(Reference!$A$11,MIN(D90,120))),Reference!$A$6:$A$11,1))))*(INDEX(Reference!$B$6:$B$11,MIN(5,MATCH(MAX(Reference!$A$6,MIN(Reference!$A$11,MIN(D90,120))),Reference!$A$6:$A$11,1))+1)-INDEX(Reference!$B$6:$B$11,MIN(5,MATCH(MAX(Reference!$A$6,MIN(Reference!$A$11,MIN(D90,120))),Reference!$A$6:$A$11,1))))/(INDEX(Reference!$A$6:$A$11,MIN(5,MATCH(MAX(Reference!$A$6,MIN(Reference!$A$11,MIN(D90,120))),Reference!$A$6:$A$11,1))+1)-INDEX(Reference!$A$6:$A$11,MIN(5,MATCH(MAX(Reference!$A$6,MIN(Reference!$A$11,MIN(D90,120))),Reference!$A$6:$A$11,1))))),0)+IF(3&lt;=AE90,(AE90-3+3)*(INDEX(Reference!$B$6:$B$11,MIN(5,MATCH(MAX(Reference!$A$6,MIN(Reference!$A$11,MIN(D90,150))),Reference!$A$6:$A$11,1)))+(MAX(Reference!$A$6,MIN(Reference!$A$11,MIN(D90,150)))-INDEX(Reference!$A$6:$A$11,MIN(5,MATCH(MAX(Reference!$A$6,MIN(Reference!$A$11,MIN(D90,150))),Reference!$A$6:$A$11,1))))*(INDEX(Reference!$B$6:$B$11,MIN(5,MATCH(MAX(Reference!$A$6,MIN(Reference!$A$11,MIN(D90,150))),Reference!$A$6:$A$11,1))+1)-INDEX(Reference!$B$6:$B$11,MIN(5,MATCH(MAX(Reference!$A$6,MIN(Reference!$A$11,MIN(D90,150))),Reference!$A$6:$A$11,1))))/(INDEX(Reference!$A$6:$A$11,MIN(5,MATCH(MAX(Reference!$A$6,MIN(Reference!$A$11,MIN(D90,150))),Reference!$A$6:$A$11,1))+1)-INDEX(Reference!$A$6:$A$11,MIN(5,MATCH(MAX(Reference!$A$6,MIN(Reference!$A$11,MIN(D90,150))),Reference!$A$6:$A$11,1))))),0)+IF(4&lt;=AE90,(AE90-4+3)*(INDEX(Reference!$B$6:$B$11,MIN(5,MATCH(MAX(Reference!$A$6,MIN(Reference!$A$11,MIN(D90,180))),Reference!$A$6:$A$11,1)))+(MAX(Reference!$A$6,MIN(Reference!$A$11,MIN(D90,180)))-INDEX(Reference!$A$6:$A$11,MIN(5,MATCH(MAX(Reference!$A$6,MIN(Reference!$A$11,MIN(D90,180))),Reference!$A$6:$A$11,1))))*(INDEX(Reference!$B$6:$B$11,MIN(5,MATCH(MAX(Reference!$A$6,MIN(Reference!$A$11,MIN(D90,180))),Reference!$A$6:$A$11,1))+1)-INDEX(Reference!$B$6:$B$11,MIN(5,MATCH(MAX(Reference!$A$6,MIN(Reference!$A$11,MIN(D90,180))),Reference!$A$6:$A$11,1))))/(INDEX(Reference!$A$6:$A$11,MIN(5,MATCH(MAX(Reference!$A$6,MIN(Reference!$A$11,MIN(D90,180))),Reference!$A$6:$A$11,1))+1)-INDEX(Reference!$A$6:$A$11,MIN(5,MATCH(MAX(Reference!$A$6,MIN(Reference!$A$11,MIN(D90,180))),Reference!$A$6:$A$11,1))))),0)+IF(5&lt;=AE90,(AE90-5+3)*(INDEX(Reference!$B$6:$B$11,MIN(5,MATCH(MAX(Reference!$A$6,MIN(Reference!$A$11,MIN(D90,210))),Reference!$A$6:$A$11,1)))+(MAX(Reference!$A$6,MIN(Reference!$A$11,MIN(D90,210)))-INDEX(Reference!$A$6:$A$11,MIN(5,MATCH(MAX(Reference!$A$6,MIN(Reference!$A$11,MIN(D90,210))),Reference!$A$6:$A$11,1))))*(INDEX(Reference!$B$6:$B$11,MIN(5,MATCH(MAX(Reference!$A$6,MIN(Reference!$A$11,MIN(D90,210))),Reference!$A$6:$A$11,1))+1)-INDEX(Reference!$B$6:$B$11,MIN(5,MATCH(MAX(Reference!$A$6,MIN(Reference!$A$11,MIN(D90,210))),Reference!$A$6:$A$11,1))))/(INDEX(Reference!$A$6:$A$11,MIN(5,MATCH(MAX(Reference!$A$6,MIN(Reference!$A$11,MIN(D90,210))),Reference!$A$6:$A$11,1))+1)-INDEX(Reference!$A$6:$A$11,MIN(5,MATCH(MAX(Reference!$A$6,MIN(Reference!$A$11,MIN(D90,210))),Reference!$A$6:$A$11,1))))),0)+IF(6&lt;=AE90,(AE90-6+3)*(INDEX(Reference!$B$6:$B$11,MIN(5,MATCH(MAX(Reference!$A$6,MIN(Reference!$A$11,MIN(D90,240))),Reference!$A$6:$A$11,1)))+(MAX(Reference!$A$6,MIN(Reference!$A$11,MIN(D90,240)))-INDEX(Reference!$A$6:$A$11,MIN(5,MATCH(MAX(Reference!$A$6,MIN(Reference!$A$11,MIN(D90,240))),Reference!$A$6:$A$11,1))))*(INDEX(Reference!$B$6:$B$11,MIN(5,MATCH(MAX(Reference!$A$6,MIN(Reference!$A$11,MIN(D90,240))),Reference!$A$6:$A$11,1))+1)-INDEX(Reference!$B$6:$B$11,MIN(5,MATCH(MAX(Reference!$A$6,MIN(Reference!$A$11,MIN(D90,240))),Reference!$A$6:$A$11,1))))/(INDEX(Reference!$A$6:$A$11,MIN(5,MATCH(MAX(Reference!$A$6,MIN(Reference!$A$11,MIN(D90,240))),Reference!$A$6:$A$11,1))+1)-INDEX(Reference!$A$6:$A$11,MIN(5,MATCH(MAX(Reference!$A$6,MIN(Reference!$A$11,MIN(D90,240))),Reference!$A$6:$A$11,1))))),0)+IF(7&lt;=AE90,(AE90-7+3)*(INDEX(Reference!$B$6:$B$11,MIN(5,MATCH(MAX(Reference!$A$6,MIN(Reference!$A$11,MIN(D90,270))),Reference!$A$6:$A$11,1)))+(MAX(Reference!$A$6,MIN(Reference!$A$11,MIN(D90,270)))-INDEX(Reference!$A$6:$A$11,MIN(5,MATCH(MAX(Reference!$A$6,MIN(Reference!$A$11,MIN(D90,270))),Reference!$A$6:$A$11,1))))*(INDEX(Reference!$B$6:$B$11,MIN(5,MATCH(MAX(Reference!$A$6,MIN(Reference!$A$11,MIN(D90,270))),Reference!$A$6:$A$11,1))+1)-INDEX(Reference!$B$6:$B$11,MIN(5,MATCH(MAX(Reference!$A$6,MIN(Reference!$A$11,MIN(D90,270))),Reference!$A$6:$A$11,1))))/(INDEX(Reference!$A$6:$A$11,MIN(5,MATCH(MAX(Reference!$A$6,MIN(Reference!$A$11,MIN(D90,270))),Reference!$A$6:$A$11,1))+1)-INDEX(Reference!$A$6:$A$11,MIN(5,MATCH(MAX(Reference!$A$6,MIN(Reference!$A$11,MIN(D90,270))),Reference!$A$6:$A$11,1))))),0)+IF(8&lt;=AE90,(AE90-8+3)*(INDEX(Reference!$B$6:$B$11,MIN(5,MATCH(MAX(Reference!$A$6,MIN(Reference!$A$11,MIN(D90,300))),Reference!$A$6:$A$11,1)))+(MAX(Reference!$A$6,MIN(Reference!$A$11,MIN(D90,300)))-INDEX(Reference!$A$6:$A$11,MIN(5,MATCH(MAX(Reference!$A$6,MIN(Reference!$A$11,MIN(D90,300))),Reference!$A$6:$A$11,1))))*(INDEX(Reference!$B$6:$B$11,MIN(5,MATCH(MAX(Reference!$A$6,MIN(Reference!$A$11,MIN(D90,300))),Reference!$A$6:$A$11,1))+1)-INDEX(Reference!$B$6:$B$11,MIN(5,MATCH(MAX(Reference!$A$6,MIN(Reference!$A$11,MIN(D90,300))),Reference!$A$6:$A$11,1))))/(INDEX(Reference!$A$6:$A$11,MIN(5,MATCH(MAX(Reference!$A$6,MIN(Reference!$A$11,MIN(D90,300))),Reference!$A$6:$A$11,1))+1)-INDEX(Reference!$A$6:$A$11,MIN(5,MATCH(MAX(Reference!$A$6,MIN(Reference!$A$11,MIN(D90,300))),Reference!$A$6:$A$11,1))))),0))/(AE90*(AE90+5)/2)),(INDEX(Reference!$B$6:$B$11,MIN(5,MATCH(MAX(Reference!$A$6,MIN(Reference!$A$11,D90)),Reference!$A$6:$A$11,1)))+(MAX(Reference!$A$6,MIN(Reference!$A$11,D90))-INDEX(Reference!$A$6:$A$11,MIN(5,MATCH(MAX(Reference!$A$6,MIN(Reference!$A$11,D90)),Reference!$A$6:$A$11,1))))*(INDEX(Reference!$B$6:$B$11,MIN(5,MATCH(MAX(Reference!$A$6,MIN(Reference!$A$11,D90)),Reference!$A$6:$A$11,1))+1)-INDEX(Reference!$B$6:$B$11,MIN(5,MATCH(MAX(Reference!$A$6,MIN(Reference!$A$11,D90)),Reference!$A$6:$A$11,1))))/(INDEX(Reference!$A$6:$A$11,MIN(5,MATCH(MAX(Reference!$A$6,MIN(Reference!$A$11,D90)),Reference!$A$6:$A$11,1))+1)-INDEX(Reference!$A$6:$A$11,MIN(5,MATCH(MAX(Reference!$A$6,MIN(Reference!$A$11,D90)),Reference!$A$6:$A$11,1))))))))</f>
        <v/>
      </c>
      <c r="P90" s="32" t="str">
        <f>IF(N90="","",VLOOKUP(MAX(N90,0),Reference!$A$17:$B$20,2,TRUE()))</f>
        <v/>
      </c>
      <c r="Q90" s="32" t="str">
        <f t="shared" si="12"/>
        <v/>
      </c>
      <c r="R90" s="31"/>
      <c r="S90" s="31"/>
      <c r="T90" s="31"/>
      <c r="U90" s="32" t="str">
        <f t="shared" si="13"/>
        <v/>
      </c>
      <c r="V90" s="32" t="str">
        <f t="shared" si="14"/>
        <v/>
      </c>
      <c r="W90" s="32" t="str">
        <f>IF(V90="","",VLOOKUP(MAX(V90,0),Reference!$A$17:$B$20,2,TRUE()))</f>
        <v/>
      </c>
      <c r="X90" s="31"/>
      <c r="Y90" s="31"/>
      <c r="Z90" s="31"/>
      <c r="AA90" s="32" t="str">
        <f t="shared" si="15"/>
        <v/>
      </c>
      <c r="AB90" s="32" t="str">
        <f t="shared" si="16"/>
        <v/>
      </c>
      <c r="AC90" s="32" t="str">
        <f>IF(AB90="","",VLOOKUP(MAX(AB90,0),Reference!$A$17:$B$20,2,TRUE()))</f>
        <v/>
      </c>
      <c r="AD90" s="31"/>
      <c r="AE90">
        <f t="shared" si="17"/>
        <v>1</v>
      </c>
      <c r="AF90" s="33" t="str">
        <f>IF(OR(A90="",B90="",AND(C90&lt;&gt;"Bullpen",C90&lt;&gt;"Game")),"",IF((COUNTIFS($B$5:$B$300,B90,$A$5:$A$300,A90-1,$C$5:$C$300,"Bullpen",$AG$5:$AG$300,"&gt;0") + COUNTIFS($B$5:$B$300,B90,$A$5:$A$300,A90-1,$C$5:$C$300,"Game",$AG$5:$AG$300,"&gt;0"))&gt;0,Reference!$B$119,IF((COUNTIFS($B$5:$B$300,B90,$A$5:$A$300,A90-2,$C$5:$C$300,"Bullpen",$AG$5:$AG$300,"&gt;0") + COUNTIFS($B$5:$B$300,B90,$A$5:$A$300,A90-2,$C$5:$C$300,"Game",$AG$5:$AG$300,"&gt;0"))&gt;0,Reference!$B$120,1)))</f>
        <v/>
      </c>
      <c r="AG90" s="30" t="str">
        <f>IF(AND(OR(I90="",O90="",P90=""),OR(R90="",W90=""),OR(X90="",AC90="")),"",IF(OR(I90="",O90="",P90=""),0,I90*O90*P90)+IF(OR(R90="",W90=""),0,R90*IFERROR(INDEX(Reference!$B$61:$B$62,MATCH("Bullpen",Reference!$A$61:$A$62,0)),0)*W90)+IF(OR(X90="",AC90=""),0,X90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90))</f>
        <v/>
      </c>
    </row>
    <row r="91" spans="1:33" x14ac:dyDescent="0.3">
      <c r="A91" s="35"/>
      <c r="B91" s="31"/>
      <c r="C91" s="31"/>
      <c r="D91" s="31"/>
      <c r="E91" s="34"/>
      <c r="F91" s="34"/>
      <c r="G91" s="30" t="str">
        <f t="shared" si="9"/>
        <v/>
      </c>
      <c r="H91" s="31"/>
      <c r="I91" s="32" t="str">
        <f>IF(H91&lt;&gt;"",H91,IF(G91="","",ROUND(G91*IFERROR(INDEX(Reference!$B$44:$B$50,MATCH(C91,Reference!$A$44:$A$50,0)),0),0)))</f>
        <v/>
      </c>
      <c r="J91" s="31"/>
      <c r="K91" s="31"/>
      <c r="L91" s="32" t="str">
        <f t="shared" si="10"/>
        <v/>
      </c>
      <c r="M91" s="32" t="str">
        <f>IFERROR(INDEX(Roster!$D$5:$D$40,MATCH(B91,Roster!$A$5:$A$40,0)),"")</f>
        <v/>
      </c>
      <c r="N91" s="32" t="str">
        <f t="shared" si="11"/>
        <v/>
      </c>
      <c r="O91" s="32" t="str">
        <f>IF(OR(C91="Bullpen",C91="Game"),IFERROR(INDEX(Reference!$B$61:$B$62,MATCH(C91,Reference!$A$61:$A$62,0)),""),IF(D91="","",IF(AE91&gt;1,((IF(1&lt;=AE91,(AE91-1+3)*(INDEX(Reference!$B$6:$B$11,MIN(5,MATCH(MAX(Reference!$A$6,MIN(Reference!$A$11,MIN(D91,90))),Reference!$A$6:$A$11,1)))+(MAX(Reference!$A$6,MIN(Reference!$A$11,MIN(D91,90)))-INDEX(Reference!$A$6:$A$11,MIN(5,MATCH(MAX(Reference!$A$6,MIN(Reference!$A$11,MIN(D91,90))),Reference!$A$6:$A$11,1))))*(INDEX(Reference!$B$6:$B$11,MIN(5,MATCH(MAX(Reference!$A$6,MIN(Reference!$A$11,MIN(D91,90))),Reference!$A$6:$A$11,1))+1)-INDEX(Reference!$B$6:$B$11,MIN(5,MATCH(MAX(Reference!$A$6,MIN(Reference!$A$11,MIN(D91,90))),Reference!$A$6:$A$11,1))))/(INDEX(Reference!$A$6:$A$11,MIN(5,MATCH(MAX(Reference!$A$6,MIN(Reference!$A$11,MIN(D91,90))),Reference!$A$6:$A$11,1))+1)-INDEX(Reference!$A$6:$A$11,MIN(5,MATCH(MAX(Reference!$A$6,MIN(Reference!$A$11,MIN(D91,90))),Reference!$A$6:$A$11,1))))),0)+IF(2&lt;=AE91,(AE91-2+3)*(INDEX(Reference!$B$6:$B$11,MIN(5,MATCH(MAX(Reference!$A$6,MIN(Reference!$A$11,MIN(D91,120))),Reference!$A$6:$A$11,1)))+(MAX(Reference!$A$6,MIN(Reference!$A$11,MIN(D91,120)))-INDEX(Reference!$A$6:$A$11,MIN(5,MATCH(MAX(Reference!$A$6,MIN(Reference!$A$11,MIN(D91,120))),Reference!$A$6:$A$11,1))))*(INDEX(Reference!$B$6:$B$11,MIN(5,MATCH(MAX(Reference!$A$6,MIN(Reference!$A$11,MIN(D91,120))),Reference!$A$6:$A$11,1))+1)-INDEX(Reference!$B$6:$B$11,MIN(5,MATCH(MAX(Reference!$A$6,MIN(Reference!$A$11,MIN(D91,120))),Reference!$A$6:$A$11,1))))/(INDEX(Reference!$A$6:$A$11,MIN(5,MATCH(MAX(Reference!$A$6,MIN(Reference!$A$11,MIN(D91,120))),Reference!$A$6:$A$11,1))+1)-INDEX(Reference!$A$6:$A$11,MIN(5,MATCH(MAX(Reference!$A$6,MIN(Reference!$A$11,MIN(D91,120))),Reference!$A$6:$A$11,1))))),0)+IF(3&lt;=AE91,(AE91-3+3)*(INDEX(Reference!$B$6:$B$11,MIN(5,MATCH(MAX(Reference!$A$6,MIN(Reference!$A$11,MIN(D91,150))),Reference!$A$6:$A$11,1)))+(MAX(Reference!$A$6,MIN(Reference!$A$11,MIN(D91,150)))-INDEX(Reference!$A$6:$A$11,MIN(5,MATCH(MAX(Reference!$A$6,MIN(Reference!$A$11,MIN(D91,150))),Reference!$A$6:$A$11,1))))*(INDEX(Reference!$B$6:$B$11,MIN(5,MATCH(MAX(Reference!$A$6,MIN(Reference!$A$11,MIN(D91,150))),Reference!$A$6:$A$11,1))+1)-INDEX(Reference!$B$6:$B$11,MIN(5,MATCH(MAX(Reference!$A$6,MIN(Reference!$A$11,MIN(D91,150))),Reference!$A$6:$A$11,1))))/(INDEX(Reference!$A$6:$A$11,MIN(5,MATCH(MAX(Reference!$A$6,MIN(Reference!$A$11,MIN(D91,150))),Reference!$A$6:$A$11,1))+1)-INDEX(Reference!$A$6:$A$11,MIN(5,MATCH(MAX(Reference!$A$6,MIN(Reference!$A$11,MIN(D91,150))),Reference!$A$6:$A$11,1))))),0)+IF(4&lt;=AE91,(AE91-4+3)*(INDEX(Reference!$B$6:$B$11,MIN(5,MATCH(MAX(Reference!$A$6,MIN(Reference!$A$11,MIN(D91,180))),Reference!$A$6:$A$11,1)))+(MAX(Reference!$A$6,MIN(Reference!$A$11,MIN(D91,180)))-INDEX(Reference!$A$6:$A$11,MIN(5,MATCH(MAX(Reference!$A$6,MIN(Reference!$A$11,MIN(D91,180))),Reference!$A$6:$A$11,1))))*(INDEX(Reference!$B$6:$B$11,MIN(5,MATCH(MAX(Reference!$A$6,MIN(Reference!$A$11,MIN(D91,180))),Reference!$A$6:$A$11,1))+1)-INDEX(Reference!$B$6:$B$11,MIN(5,MATCH(MAX(Reference!$A$6,MIN(Reference!$A$11,MIN(D91,180))),Reference!$A$6:$A$11,1))))/(INDEX(Reference!$A$6:$A$11,MIN(5,MATCH(MAX(Reference!$A$6,MIN(Reference!$A$11,MIN(D91,180))),Reference!$A$6:$A$11,1))+1)-INDEX(Reference!$A$6:$A$11,MIN(5,MATCH(MAX(Reference!$A$6,MIN(Reference!$A$11,MIN(D91,180))),Reference!$A$6:$A$11,1))))),0)+IF(5&lt;=AE91,(AE91-5+3)*(INDEX(Reference!$B$6:$B$11,MIN(5,MATCH(MAX(Reference!$A$6,MIN(Reference!$A$11,MIN(D91,210))),Reference!$A$6:$A$11,1)))+(MAX(Reference!$A$6,MIN(Reference!$A$11,MIN(D91,210)))-INDEX(Reference!$A$6:$A$11,MIN(5,MATCH(MAX(Reference!$A$6,MIN(Reference!$A$11,MIN(D91,210))),Reference!$A$6:$A$11,1))))*(INDEX(Reference!$B$6:$B$11,MIN(5,MATCH(MAX(Reference!$A$6,MIN(Reference!$A$11,MIN(D91,210))),Reference!$A$6:$A$11,1))+1)-INDEX(Reference!$B$6:$B$11,MIN(5,MATCH(MAX(Reference!$A$6,MIN(Reference!$A$11,MIN(D91,210))),Reference!$A$6:$A$11,1))))/(INDEX(Reference!$A$6:$A$11,MIN(5,MATCH(MAX(Reference!$A$6,MIN(Reference!$A$11,MIN(D91,210))),Reference!$A$6:$A$11,1))+1)-INDEX(Reference!$A$6:$A$11,MIN(5,MATCH(MAX(Reference!$A$6,MIN(Reference!$A$11,MIN(D91,210))),Reference!$A$6:$A$11,1))))),0)+IF(6&lt;=AE91,(AE91-6+3)*(INDEX(Reference!$B$6:$B$11,MIN(5,MATCH(MAX(Reference!$A$6,MIN(Reference!$A$11,MIN(D91,240))),Reference!$A$6:$A$11,1)))+(MAX(Reference!$A$6,MIN(Reference!$A$11,MIN(D91,240)))-INDEX(Reference!$A$6:$A$11,MIN(5,MATCH(MAX(Reference!$A$6,MIN(Reference!$A$11,MIN(D91,240))),Reference!$A$6:$A$11,1))))*(INDEX(Reference!$B$6:$B$11,MIN(5,MATCH(MAX(Reference!$A$6,MIN(Reference!$A$11,MIN(D91,240))),Reference!$A$6:$A$11,1))+1)-INDEX(Reference!$B$6:$B$11,MIN(5,MATCH(MAX(Reference!$A$6,MIN(Reference!$A$11,MIN(D91,240))),Reference!$A$6:$A$11,1))))/(INDEX(Reference!$A$6:$A$11,MIN(5,MATCH(MAX(Reference!$A$6,MIN(Reference!$A$11,MIN(D91,240))),Reference!$A$6:$A$11,1))+1)-INDEX(Reference!$A$6:$A$11,MIN(5,MATCH(MAX(Reference!$A$6,MIN(Reference!$A$11,MIN(D91,240))),Reference!$A$6:$A$11,1))))),0)+IF(7&lt;=AE91,(AE91-7+3)*(INDEX(Reference!$B$6:$B$11,MIN(5,MATCH(MAX(Reference!$A$6,MIN(Reference!$A$11,MIN(D91,270))),Reference!$A$6:$A$11,1)))+(MAX(Reference!$A$6,MIN(Reference!$A$11,MIN(D91,270)))-INDEX(Reference!$A$6:$A$11,MIN(5,MATCH(MAX(Reference!$A$6,MIN(Reference!$A$11,MIN(D91,270))),Reference!$A$6:$A$11,1))))*(INDEX(Reference!$B$6:$B$11,MIN(5,MATCH(MAX(Reference!$A$6,MIN(Reference!$A$11,MIN(D91,270))),Reference!$A$6:$A$11,1))+1)-INDEX(Reference!$B$6:$B$11,MIN(5,MATCH(MAX(Reference!$A$6,MIN(Reference!$A$11,MIN(D91,270))),Reference!$A$6:$A$11,1))))/(INDEX(Reference!$A$6:$A$11,MIN(5,MATCH(MAX(Reference!$A$6,MIN(Reference!$A$11,MIN(D91,270))),Reference!$A$6:$A$11,1))+1)-INDEX(Reference!$A$6:$A$11,MIN(5,MATCH(MAX(Reference!$A$6,MIN(Reference!$A$11,MIN(D91,270))),Reference!$A$6:$A$11,1))))),0)+IF(8&lt;=AE91,(AE91-8+3)*(INDEX(Reference!$B$6:$B$11,MIN(5,MATCH(MAX(Reference!$A$6,MIN(Reference!$A$11,MIN(D91,300))),Reference!$A$6:$A$11,1)))+(MAX(Reference!$A$6,MIN(Reference!$A$11,MIN(D91,300)))-INDEX(Reference!$A$6:$A$11,MIN(5,MATCH(MAX(Reference!$A$6,MIN(Reference!$A$11,MIN(D91,300))),Reference!$A$6:$A$11,1))))*(INDEX(Reference!$B$6:$B$11,MIN(5,MATCH(MAX(Reference!$A$6,MIN(Reference!$A$11,MIN(D91,300))),Reference!$A$6:$A$11,1))+1)-INDEX(Reference!$B$6:$B$11,MIN(5,MATCH(MAX(Reference!$A$6,MIN(Reference!$A$11,MIN(D91,300))),Reference!$A$6:$A$11,1))))/(INDEX(Reference!$A$6:$A$11,MIN(5,MATCH(MAX(Reference!$A$6,MIN(Reference!$A$11,MIN(D91,300))),Reference!$A$6:$A$11,1))+1)-INDEX(Reference!$A$6:$A$11,MIN(5,MATCH(MAX(Reference!$A$6,MIN(Reference!$A$11,MIN(D91,300))),Reference!$A$6:$A$11,1))))),0))/(AE91*(AE91+5)/2)),(INDEX(Reference!$B$6:$B$11,MIN(5,MATCH(MAX(Reference!$A$6,MIN(Reference!$A$11,D91)),Reference!$A$6:$A$11,1)))+(MAX(Reference!$A$6,MIN(Reference!$A$11,D91))-INDEX(Reference!$A$6:$A$11,MIN(5,MATCH(MAX(Reference!$A$6,MIN(Reference!$A$11,D91)),Reference!$A$6:$A$11,1))))*(INDEX(Reference!$B$6:$B$11,MIN(5,MATCH(MAX(Reference!$A$6,MIN(Reference!$A$11,D91)),Reference!$A$6:$A$11,1))+1)-INDEX(Reference!$B$6:$B$11,MIN(5,MATCH(MAX(Reference!$A$6,MIN(Reference!$A$11,D91)),Reference!$A$6:$A$11,1))))/(INDEX(Reference!$A$6:$A$11,MIN(5,MATCH(MAX(Reference!$A$6,MIN(Reference!$A$11,D91)),Reference!$A$6:$A$11,1))+1)-INDEX(Reference!$A$6:$A$11,MIN(5,MATCH(MAX(Reference!$A$6,MIN(Reference!$A$11,D91)),Reference!$A$6:$A$11,1))))))))</f>
        <v/>
      </c>
      <c r="P91" s="32" t="str">
        <f>IF(N91="","",VLOOKUP(MAX(N91,0),Reference!$A$17:$B$20,2,TRUE()))</f>
        <v/>
      </c>
      <c r="Q91" s="32" t="str">
        <f t="shared" si="12"/>
        <v/>
      </c>
      <c r="R91" s="31"/>
      <c r="S91" s="31"/>
      <c r="T91" s="31"/>
      <c r="U91" s="32" t="str">
        <f t="shared" si="13"/>
        <v/>
      </c>
      <c r="V91" s="32" t="str">
        <f t="shared" si="14"/>
        <v/>
      </c>
      <c r="W91" s="32" t="str">
        <f>IF(V91="","",VLOOKUP(MAX(V91,0),Reference!$A$17:$B$20,2,TRUE()))</f>
        <v/>
      </c>
      <c r="X91" s="31"/>
      <c r="Y91" s="31"/>
      <c r="Z91" s="31"/>
      <c r="AA91" s="32" t="str">
        <f t="shared" si="15"/>
        <v/>
      </c>
      <c r="AB91" s="32" t="str">
        <f t="shared" si="16"/>
        <v/>
      </c>
      <c r="AC91" s="32" t="str">
        <f>IF(AB91="","",VLOOKUP(MAX(AB91,0),Reference!$A$17:$B$20,2,TRUE()))</f>
        <v/>
      </c>
      <c r="AD91" s="31"/>
      <c r="AE91">
        <f t="shared" si="17"/>
        <v>1</v>
      </c>
      <c r="AF91" s="33" t="str">
        <f>IF(OR(A91="",B91="",AND(C91&lt;&gt;"Bullpen",C91&lt;&gt;"Game")),"",IF((COUNTIFS($B$5:$B$300,B91,$A$5:$A$300,A91-1,$C$5:$C$300,"Bullpen",$AG$5:$AG$300,"&gt;0") + COUNTIFS($B$5:$B$300,B91,$A$5:$A$300,A91-1,$C$5:$C$300,"Game",$AG$5:$AG$300,"&gt;0"))&gt;0,Reference!$B$119,IF((COUNTIFS($B$5:$B$300,B91,$A$5:$A$300,A91-2,$C$5:$C$300,"Bullpen",$AG$5:$AG$300,"&gt;0") + COUNTIFS($B$5:$B$300,B91,$A$5:$A$300,A91-2,$C$5:$C$300,"Game",$AG$5:$AG$300,"&gt;0"))&gt;0,Reference!$B$120,1)))</f>
        <v/>
      </c>
      <c r="AG91" s="30" t="str">
        <f>IF(AND(OR(I91="",O91="",P91=""),OR(R91="",W91=""),OR(X91="",AC91="")),"",IF(OR(I91="",O91="",P91=""),0,I91*O91*P91)+IF(OR(R91="",W91=""),0,R91*IFERROR(INDEX(Reference!$B$61:$B$62,MATCH("Bullpen",Reference!$A$61:$A$62,0)),0)*W91)+IF(OR(X91="",AC91=""),0,X91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91))</f>
        <v/>
      </c>
    </row>
    <row r="92" spans="1:33" x14ac:dyDescent="0.3">
      <c r="A92" s="35"/>
      <c r="B92" s="31"/>
      <c r="C92" s="31"/>
      <c r="D92" s="31"/>
      <c r="E92" s="34"/>
      <c r="F92" s="34"/>
      <c r="G92" s="30" t="str">
        <f t="shared" si="9"/>
        <v/>
      </c>
      <c r="H92" s="31"/>
      <c r="I92" s="32" t="str">
        <f>IF(H92&lt;&gt;"",H92,IF(G92="","",ROUND(G92*IFERROR(INDEX(Reference!$B$44:$B$50,MATCH(C92,Reference!$A$44:$A$50,0)),0),0)))</f>
        <v/>
      </c>
      <c r="J92" s="31"/>
      <c r="K92" s="31"/>
      <c r="L92" s="32" t="str">
        <f t="shared" si="10"/>
        <v/>
      </c>
      <c r="M92" s="32" t="str">
        <f>IFERROR(INDEX(Roster!$D$5:$D$40,MATCH(B92,Roster!$A$5:$A$40,0)),"")</f>
        <v/>
      </c>
      <c r="N92" s="32" t="str">
        <f t="shared" si="11"/>
        <v/>
      </c>
      <c r="O92" s="32" t="str">
        <f>IF(OR(C92="Bullpen",C92="Game"),IFERROR(INDEX(Reference!$B$61:$B$62,MATCH(C92,Reference!$A$61:$A$62,0)),""),IF(D92="","",IF(AE92&gt;1,((IF(1&lt;=AE92,(AE92-1+3)*(INDEX(Reference!$B$6:$B$11,MIN(5,MATCH(MAX(Reference!$A$6,MIN(Reference!$A$11,MIN(D92,90))),Reference!$A$6:$A$11,1)))+(MAX(Reference!$A$6,MIN(Reference!$A$11,MIN(D92,90)))-INDEX(Reference!$A$6:$A$11,MIN(5,MATCH(MAX(Reference!$A$6,MIN(Reference!$A$11,MIN(D92,90))),Reference!$A$6:$A$11,1))))*(INDEX(Reference!$B$6:$B$11,MIN(5,MATCH(MAX(Reference!$A$6,MIN(Reference!$A$11,MIN(D92,90))),Reference!$A$6:$A$11,1))+1)-INDEX(Reference!$B$6:$B$11,MIN(5,MATCH(MAX(Reference!$A$6,MIN(Reference!$A$11,MIN(D92,90))),Reference!$A$6:$A$11,1))))/(INDEX(Reference!$A$6:$A$11,MIN(5,MATCH(MAX(Reference!$A$6,MIN(Reference!$A$11,MIN(D92,90))),Reference!$A$6:$A$11,1))+1)-INDEX(Reference!$A$6:$A$11,MIN(5,MATCH(MAX(Reference!$A$6,MIN(Reference!$A$11,MIN(D92,90))),Reference!$A$6:$A$11,1))))),0)+IF(2&lt;=AE92,(AE92-2+3)*(INDEX(Reference!$B$6:$B$11,MIN(5,MATCH(MAX(Reference!$A$6,MIN(Reference!$A$11,MIN(D92,120))),Reference!$A$6:$A$11,1)))+(MAX(Reference!$A$6,MIN(Reference!$A$11,MIN(D92,120)))-INDEX(Reference!$A$6:$A$11,MIN(5,MATCH(MAX(Reference!$A$6,MIN(Reference!$A$11,MIN(D92,120))),Reference!$A$6:$A$11,1))))*(INDEX(Reference!$B$6:$B$11,MIN(5,MATCH(MAX(Reference!$A$6,MIN(Reference!$A$11,MIN(D92,120))),Reference!$A$6:$A$11,1))+1)-INDEX(Reference!$B$6:$B$11,MIN(5,MATCH(MAX(Reference!$A$6,MIN(Reference!$A$11,MIN(D92,120))),Reference!$A$6:$A$11,1))))/(INDEX(Reference!$A$6:$A$11,MIN(5,MATCH(MAX(Reference!$A$6,MIN(Reference!$A$11,MIN(D92,120))),Reference!$A$6:$A$11,1))+1)-INDEX(Reference!$A$6:$A$11,MIN(5,MATCH(MAX(Reference!$A$6,MIN(Reference!$A$11,MIN(D92,120))),Reference!$A$6:$A$11,1))))),0)+IF(3&lt;=AE92,(AE92-3+3)*(INDEX(Reference!$B$6:$B$11,MIN(5,MATCH(MAX(Reference!$A$6,MIN(Reference!$A$11,MIN(D92,150))),Reference!$A$6:$A$11,1)))+(MAX(Reference!$A$6,MIN(Reference!$A$11,MIN(D92,150)))-INDEX(Reference!$A$6:$A$11,MIN(5,MATCH(MAX(Reference!$A$6,MIN(Reference!$A$11,MIN(D92,150))),Reference!$A$6:$A$11,1))))*(INDEX(Reference!$B$6:$B$11,MIN(5,MATCH(MAX(Reference!$A$6,MIN(Reference!$A$11,MIN(D92,150))),Reference!$A$6:$A$11,1))+1)-INDEX(Reference!$B$6:$B$11,MIN(5,MATCH(MAX(Reference!$A$6,MIN(Reference!$A$11,MIN(D92,150))),Reference!$A$6:$A$11,1))))/(INDEX(Reference!$A$6:$A$11,MIN(5,MATCH(MAX(Reference!$A$6,MIN(Reference!$A$11,MIN(D92,150))),Reference!$A$6:$A$11,1))+1)-INDEX(Reference!$A$6:$A$11,MIN(5,MATCH(MAX(Reference!$A$6,MIN(Reference!$A$11,MIN(D92,150))),Reference!$A$6:$A$11,1))))),0)+IF(4&lt;=AE92,(AE92-4+3)*(INDEX(Reference!$B$6:$B$11,MIN(5,MATCH(MAX(Reference!$A$6,MIN(Reference!$A$11,MIN(D92,180))),Reference!$A$6:$A$11,1)))+(MAX(Reference!$A$6,MIN(Reference!$A$11,MIN(D92,180)))-INDEX(Reference!$A$6:$A$11,MIN(5,MATCH(MAX(Reference!$A$6,MIN(Reference!$A$11,MIN(D92,180))),Reference!$A$6:$A$11,1))))*(INDEX(Reference!$B$6:$B$11,MIN(5,MATCH(MAX(Reference!$A$6,MIN(Reference!$A$11,MIN(D92,180))),Reference!$A$6:$A$11,1))+1)-INDEX(Reference!$B$6:$B$11,MIN(5,MATCH(MAX(Reference!$A$6,MIN(Reference!$A$11,MIN(D92,180))),Reference!$A$6:$A$11,1))))/(INDEX(Reference!$A$6:$A$11,MIN(5,MATCH(MAX(Reference!$A$6,MIN(Reference!$A$11,MIN(D92,180))),Reference!$A$6:$A$11,1))+1)-INDEX(Reference!$A$6:$A$11,MIN(5,MATCH(MAX(Reference!$A$6,MIN(Reference!$A$11,MIN(D92,180))),Reference!$A$6:$A$11,1))))),0)+IF(5&lt;=AE92,(AE92-5+3)*(INDEX(Reference!$B$6:$B$11,MIN(5,MATCH(MAX(Reference!$A$6,MIN(Reference!$A$11,MIN(D92,210))),Reference!$A$6:$A$11,1)))+(MAX(Reference!$A$6,MIN(Reference!$A$11,MIN(D92,210)))-INDEX(Reference!$A$6:$A$11,MIN(5,MATCH(MAX(Reference!$A$6,MIN(Reference!$A$11,MIN(D92,210))),Reference!$A$6:$A$11,1))))*(INDEX(Reference!$B$6:$B$11,MIN(5,MATCH(MAX(Reference!$A$6,MIN(Reference!$A$11,MIN(D92,210))),Reference!$A$6:$A$11,1))+1)-INDEX(Reference!$B$6:$B$11,MIN(5,MATCH(MAX(Reference!$A$6,MIN(Reference!$A$11,MIN(D92,210))),Reference!$A$6:$A$11,1))))/(INDEX(Reference!$A$6:$A$11,MIN(5,MATCH(MAX(Reference!$A$6,MIN(Reference!$A$11,MIN(D92,210))),Reference!$A$6:$A$11,1))+1)-INDEX(Reference!$A$6:$A$11,MIN(5,MATCH(MAX(Reference!$A$6,MIN(Reference!$A$11,MIN(D92,210))),Reference!$A$6:$A$11,1))))),0)+IF(6&lt;=AE92,(AE92-6+3)*(INDEX(Reference!$B$6:$B$11,MIN(5,MATCH(MAX(Reference!$A$6,MIN(Reference!$A$11,MIN(D92,240))),Reference!$A$6:$A$11,1)))+(MAX(Reference!$A$6,MIN(Reference!$A$11,MIN(D92,240)))-INDEX(Reference!$A$6:$A$11,MIN(5,MATCH(MAX(Reference!$A$6,MIN(Reference!$A$11,MIN(D92,240))),Reference!$A$6:$A$11,1))))*(INDEX(Reference!$B$6:$B$11,MIN(5,MATCH(MAX(Reference!$A$6,MIN(Reference!$A$11,MIN(D92,240))),Reference!$A$6:$A$11,1))+1)-INDEX(Reference!$B$6:$B$11,MIN(5,MATCH(MAX(Reference!$A$6,MIN(Reference!$A$11,MIN(D92,240))),Reference!$A$6:$A$11,1))))/(INDEX(Reference!$A$6:$A$11,MIN(5,MATCH(MAX(Reference!$A$6,MIN(Reference!$A$11,MIN(D92,240))),Reference!$A$6:$A$11,1))+1)-INDEX(Reference!$A$6:$A$11,MIN(5,MATCH(MAX(Reference!$A$6,MIN(Reference!$A$11,MIN(D92,240))),Reference!$A$6:$A$11,1))))),0)+IF(7&lt;=AE92,(AE92-7+3)*(INDEX(Reference!$B$6:$B$11,MIN(5,MATCH(MAX(Reference!$A$6,MIN(Reference!$A$11,MIN(D92,270))),Reference!$A$6:$A$11,1)))+(MAX(Reference!$A$6,MIN(Reference!$A$11,MIN(D92,270)))-INDEX(Reference!$A$6:$A$11,MIN(5,MATCH(MAX(Reference!$A$6,MIN(Reference!$A$11,MIN(D92,270))),Reference!$A$6:$A$11,1))))*(INDEX(Reference!$B$6:$B$11,MIN(5,MATCH(MAX(Reference!$A$6,MIN(Reference!$A$11,MIN(D92,270))),Reference!$A$6:$A$11,1))+1)-INDEX(Reference!$B$6:$B$11,MIN(5,MATCH(MAX(Reference!$A$6,MIN(Reference!$A$11,MIN(D92,270))),Reference!$A$6:$A$11,1))))/(INDEX(Reference!$A$6:$A$11,MIN(5,MATCH(MAX(Reference!$A$6,MIN(Reference!$A$11,MIN(D92,270))),Reference!$A$6:$A$11,1))+1)-INDEX(Reference!$A$6:$A$11,MIN(5,MATCH(MAX(Reference!$A$6,MIN(Reference!$A$11,MIN(D92,270))),Reference!$A$6:$A$11,1))))),0)+IF(8&lt;=AE92,(AE92-8+3)*(INDEX(Reference!$B$6:$B$11,MIN(5,MATCH(MAX(Reference!$A$6,MIN(Reference!$A$11,MIN(D92,300))),Reference!$A$6:$A$11,1)))+(MAX(Reference!$A$6,MIN(Reference!$A$11,MIN(D92,300)))-INDEX(Reference!$A$6:$A$11,MIN(5,MATCH(MAX(Reference!$A$6,MIN(Reference!$A$11,MIN(D92,300))),Reference!$A$6:$A$11,1))))*(INDEX(Reference!$B$6:$B$11,MIN(5,MATCH(MAX(Reference!$A$6,MIN(Reference!$A$11,MIN(D92,300))),Reference!$A$6:$A$11,1))+1)-INDEX(Reference!$B$6:$B$11,MIN(5,MATCH(MAX(Reference!$A$6,MIN(Reference!$A$11,MIN(D92,300))),Reference!$A$6:$A$11,1))))/(INDEX(Reference!$A$6:$A$11,MIN(5,MATCH(MAX(Reference!$A$6,MIN(Reference!$A$11,MIN(D92,300))),Reference!$A$6:$A$11,1))+1)-INDEX(Reference!$A$6:$A$11,MIN(5,MATCH(MAX(Reference!$A$6,MIN(Reference!$A$11,MIN(D92,300))),Reference!$A$6:$A$11,1))))),0))/(AE92*(AE92+5)/2)),(INDEX(Reference!$B$6:$B$11,MIN(5,MATCH(MAX(Reference!$A$6,MIN(Reference!$A$11,D92)),Reference!$A$6:$A$11,1)))+(MAX(Reference!$A$6,MIN(Reference!$A$11,D92))-INDEX(Reference!$A$6:$A$11,MIN(5,MATCH(MAX(Reference!$A$6,MIN(Reference!$A$11,D92)),Reference!$A$6:$A$11,1))))*(INDEX(Reference!$B$6:$B$11,MIN(5,MATCH(MAX(Reference!$A$6,MIN(Reference!$A$11,D92)),Reference!$A$6:$A$11,1))+1)-INDEX(Reference!$B$6:$B$11,MIN(5,MATCH(MAX(Reference!$A$6,MIN(Reference!$A$11,D92)),Reference!$A$6:$A$11,1))))/(INDEX(Reference!$A$6:$A$11,MIN(5,MATCH(MAX(Reference!$A$6,MIN(Reference!$A$11,D92)),Reference!$A$6:$A$11,1))+1)-INDEX(Reference!$A$6:$A$11,MIN(5,MATCH(MAX(Reference!$A$6,MIN(Reference!$A$11,D92)),Reference!$A$6:$A$11,1))))))))</f>
        <v/>
      </c>
      <c r="P92" s="32" t="str">
        <f>IF(N92="","",VLOOKUP(MAX(N92,0),Reference!$A$17:$B$20,2,TRUE()))</f>
        <v/>
      </c>
      <c r="Q92" s="32" t="str">
        <f t="shared" si="12"/>
        <v/>
      </c>
      <c r="R92" s="31"/>
      <c r="S92" s="31"/>
      <c r="T92" s="31"/>
      <c r="U92" s="32" t="str">
        <f t="shared" si="13"/>
        <v/>
      </c>
      <c r="V92" s="32" t="str">
        <f t="shared" si="14"/>
        <v/>
      </c>
      <c r="W92" s="32" t="str">
        <f>IF(V92="","",VLOOKUP(MAX(V92,0),Reference!$A$17:$B$20,2,TRUE()))</f>
        <v/>
      </c>
      <c r="X92" s="31"/>
      <c r="Y92" s="31"/>
      <c r="Z92" s="31"/>
      <c r="AA92" s="32" t="str">
        <f t="shared" si="15"/>
        <v/>
      </c>
      <c r="AB92" s="32" t="str">
        <f t="shared" si="16"/>
        <v/>
      </c>
      <c r="AC92" s="32" t="str">
        <f>IF(AB92="","",VLOOKUP(MAX(AB92,0),Reference!$A$17:$B$20,2,TRUE()))</f>
        <v/>
      </c>
      <c r="AD92" s="31"/>
      <c r="AE92">
        <f t="shared" si="17"/>
        <v>1</v>
      </c>
      <c r="AF92" s="33" t="str">
        <f>IF(OR(A92="",B92="",AND(C92&lt;&gt;"Bullpen",C92&lt;&gt;"Game")),"",IF((COUNTIFS($B$5:$B$300,B92,$A$5:$A$300,A92-1,$C$5:$C$300,"Bullpen",$AG$5:$AG$300,"&gt;0") + COUNTIFS($B$5:$B$300,B92,$A$5:$A$300,A92-1,$C$5:$C$300,"Game",$AG$5:$AG$300,"&gt;0"))&gt;0,Reference!$B$119,IF((COUNTIFS($B$5:$B$300,B92,$A$5:$A$300,A92-2,$C$5:$C$300,"Bullpen",$AG$5:$AG$300,"&gt;0") + COUNTIFS($B$5:$B$300,B92,$A$5:$A$300,A92-2,$C$5:$C$300,"Game",$AG$5:$AG$300,"&gt;0"))&gt;0,Reference!$B$120,1)))</f>
        <v/>
      </c>
      <c r="AG92" s="30" t="str">
        <f>IF(AND(OR(I92="",O92="",P92=""),OR(R92="",W92=""),OR(X92="",AC92="")),"",IF(OR(I92="",O92="",P92=""),0,I92*O92*P92)+IF(OR(R92="",W92=""),0,R92*IFERROR(INDEX(Reference!$B$61:$B$62,MATCH("Bullpen",Reference!$A$61:$A$62,0)),0)*W92)+IF(OR(X92="",AC92=""),0,X92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92))</f>
        <v/>
      </c>
    </row>
    <row r="93" spans="1:33" x14ac:dyDescent="0.3">
      <c r="A93" s="35"/>
      <c r="B93" s="31"/>
      <c r="C93" s="31"/>
      <c r="D93" s="31"/>
      <c r="E93" s="34"/>
      <c r="F93" s="34"/>
      <c r="G93" s="30" t="str">
        <f t="shared" si="9"/>
        <v/>
      </c>
      <c r="H93" s="31"/>
      <c r="I93" s="32" t="str">
        <f>IF(H93&lt;&gt;"",H93,IF(G93="","",ROUND(G93*IFERROR(INDEX(Reference!$B$44:$B$50,MATCH(C93,Reference!$A$44:$A$50,0)),0),0)))</f>
        <v/>
      </c>
      <c r="J93" s="31"/>
      <c r="K93" s="31"/>
      <c r="L93" s="32" t="str">
        <f t="shared" si="10"/>
        <v/>
      </c>
      <c r="M93" s="32" t="str">
        <f>IFERROR(INDEX(Roster!$D$5:$D$40,MATCH(B93,Roster!$A$5:$A$40,0)),"")</f>
        <v/>
      </c>
      <c r="N93" s="32" t="str">
        <f t="shared" si="11"/>
        <v/>
      </c>
      <c r="O93" s="32" t="str">
        <f>IF(OR(C93="Bullpen",C93="Game"),IFERROR(INDEX(Reference!$B$61:$B$62,MATCH(C93,Reference!$A$61:$A$62,0)),""),IF(D93="","",IF(AE93&gt;1,((IF(1&lt;=AE93,(AE93-1+3)*(INDEX(Reference!$B$6:$B$11,MIN(5,MATCH(MAX(Reference!$A$6,MIN(Reference!$A$11,MIN(D93,90))),Reference!$A$6:$A$11,1)))+(MAX(Reference!$A$6,MIN(Reference!$A$11,MIN(D93,90)))-INDEX(Reference!$A$6:$A$11,MIN(5,MATCH(MAX(Reference!$A$6,MIN(Reference!$A$11,MIN(D93,90))),Reference!$A$6:$A$11,1))))*(INDEX(Reference!$B$6:$B$11,MIN(5,MATCH(MAX(Reference!$A$6,MIN(Reference!$A$11,MIN(D93,90))),Reference!$A$6:$A$11,1))+1)-INDEX(Reference!$B$6:$B$11,MIN(5,MATCH(MAX(Reference!$A$6,MIN(Reference!$A$11,MIN(D93,90))),Reference!$A$6:$A$11,1))))/(INDEX(Reference!$A$6:$A$11,MIN(5,MATCH(MAX(Reference!$A$6,MIN(Reference!$A$11,MIN(D93,90))),Reference!$A$6:$A$11,1))+1)-INDEX(Reference!$A$6:$A$11,MIN(5,MATCH(MAX(Reference!$A$6,MIN(Reference!$A$11,MIN(D93,90))),Reference!$A$6:$A$11,1))))),0)+IF(2&lt;=AE93,(AE93-2+3)*(INDEX(Reference!$B$6:$B$11,MIN(5,MATCH(MAX(Reference!$A$6,MIN(Reference!$A$11,MIN(D93,120))),Reference!$A$6:$A$11,1)))+(MAX(Reference!$A$6,MIN(Reference!$A$11,MIN(D93,120)))-INDEX(Reference!$A$6:$A$11,MIN(5,MATCH(MAX(Reference!$A$6,MIN(Reference!$A$11,MIN(D93,120))),Reference!$A$6:$A$11,1))))*(INDEX(Reference!$B$6:$B$11,MIN(5,MATCH(MAX(Reference!$A$6,MIN(Reference!$A$11,MIN(D93,120))),Reference!$A$6:$A$11,1))+1)-INDEX(Reference!$B$6:$B$11,MIN(5,MATCH(MAX(Reference!$A$6,MIN(Reference!$A$11,MIN(D93,120))),Reference!$A$6:$A$11,1))))/(INDEX(Reference!$A$6:$A$11,MIN(5,MATCH(MAX(Reference!$A$6,MIN(Reference!$A$11,MIN(D93,120))),Reference!$A$6:$A$11,1))+1)-INDEX(Reference!$A$6:$A$11,MIN(5,MATCH(MAX(Reference!$A$6,MIN(Reference!$A$11,MIN(D93,120))),Reference!$A$6:$A$11,1))))),0)+IF(3&lt;=AE93,(AE93-3+3)*(INDEX(Reference!$B$6:$B$11,MIN(5,MATCH(MAX(Reference!$A$6,MIN(Reference!$A$11,MIN(D93,150))),Reference!$A$6:$A$11,1)))+(MAX(Reference!$A$6,MIN(Reference!$A$11,MIN(D93,150)))-INDEX(Reference!$A$6:$A$11,MIN(5,MATCH(MAX(Reference!$A$6,MIN(Reference!$A$11,MIN(D93,150))),Reference!$A$6:$A$11,1))))*(INDEX(Reference!$B$6:$B$11,MIN(5,MATCH(MAX(Reference!$A$6,MIN(Reference!$A$11,MIN(D93,150))),Reference!$A$6:$A$11,1))+1)-INDEX(Reference!$B$6:$B$11,MIN(5,MATCH(MAX(Reference!$A$6,MIN(Reference!$A$11,MIN(D93,150))),Reference!$A$6:$A$11,1))))/(INDEX(Reference!$A$6:$A$11,MIN(5,MATCH(MAX(Reference!$A$6,MIN(Reference!$A$11,MIN(D93,150))),Reference!$A$6:$A$11,1))+1)-INDEX(Reference!$A$6:$A$11,MIN(5,MATCH(MAX(Reference!$A$6,MIN(Reference!$A$11,MIN(D93,150))),Reference!$A$6:$A$11,1))))),0)+IF(4&lt;=AE93,(AE93-4+3)*(INDEX(Reference!$B$6:$B$11,MIN(5,MATCH(MAX(Reference!$A$6,MIN(Reference!$A$11,MIN(D93,180))),Reference!$A$6:$A$11,1)))+(MAX(Reference!$A$6,MIN(Reference!$A$11,MIN(D93,180)))-INDEX(Reference!$A$6:$A$11,MIN(5,MATCH(MAX(Reference!$A$6,MIN(Reference!$A$11,MIN(D93,180))),Reference!$A$6:$A$11,1))))*(INDEX(Reference!$B$6:$B$11,MIN(5,MATCH(MAX(Reference!$A$6,MIN(Reference!$A$11,MIN(D93,180))),Reference!$A$6:$A$11,1))+1)-INDEX(Reference!$B$6:$B$11,MIN(5,MATCH(MAX(Reference!$A$6,MIN(Reference!$A$11,MIN(D93,180))),Reference!$A$6:$A$11,1))))/(INDEX(Reference!$A$6:$A$11,MIN(5,MATCH(MAX(Reference!$A$6,MIN(Reference!$A$11,MIN(D93,180))),Reference!$A$6:$A$11,1))+1)-INDEX(Reference!$A$6:$A$11,MIN(5,MATCH(MAX(Reference!$A$6,MIN(Reference!$A$11,MIN(D93,180))),Reference!$A$6:$A$11,1))))),0)+IF(5&lt;=AE93,(AE93-5+3)*(INDEX(Reference!$B$6:$B$11,MIN(5,MATCH(MAX(Reference!$A$6,MIN(Reference!$A$11,MIN(D93,210))),Reference!$A$6:$A$11,1)))+(MAX(Reference!$A$6,MIN(Reference!$A$11,MIN(D93,210)))-INDEX(Reference!$A$6:$A$11,MIN(5,MATCH(MAX(Reference!$A$6,MIN(Reference!$A$11,MIN(D93,210))),Reference!$A$6:$A$11,1))))*(INDEX(Reference!$B$6:$B$11,MIN(5,MATCH(MAX(Reference!$A$6,MIN(Reference!$A$11,MIN(D93,210))),Reference!$A$6:$A$11,1))+1)-INDEX(Reference!$B$6:$B$11,MIN(5,MATCH(MAX(Reference!$A$6,MIN(Reference!$A$11,MIN(D93,210))),Reference!$A$6:$A$11,1))))/(INDEX(Reference!$A$6:$A$11,MIN(5,MATCH(MAX(Reference!$A$6,MIN(Reference!$A$11,MIN(D93,210))),Reference!$A$6:$A$11,1))+1)-INDEX(Reference!$A$6:$A$11,MIN(5,MATCH(MAX(Reference!$A$6,MIN(Reference!$A$11,MIN(D93,210))),Reference!$A$6:$A$11,1))))),0)+IF(6&lt;=AE93,(AE93-6+3)*(INDEX(Reference!$B$6:$B$11,MIN(5,MATCH(MAX(Reference!$A$6,MIN(Reference!$A$11,MIN(D93,240))),Reference!$A$6:$A$11,1)))+(MAX(Reference!$A$6,MIN(Reference!$A$11,MIN(D93,240)))-INDEX(Reference!$A$6:$A$11,MIN(5,MATCH(MAX(Reference!$A$6,MIN(Reference!$A$11,MIN(D93,240))),Reference!$A$6:$A$11,1))))*(INDEX(Reference!$B$6:$B$11,MIN(5,MATCH(MAX(Reference!$A$6,MIN(Reference!$A$11,MIN(D93,240))),Reference!$A$6:$A$11,1))+1)-INDEX(Reference!$B$6:$B$11,MIN(5,MATCH(MAX(Reference!$A$6,MIN(Reference!$A$11,MIN(D93,240))),Reference!$A$6:$A$11,1))))/(INDEX(Reference!$A$6:$A$11,MIN(5,MATCH(MAX(Reference!$A$6,MIN(Reference!$A$11,MIN(D93,240))),Reference!$A$6:$A$11,1))+1)-INDEX(Reference!$A$6:$A$11,MIN(5,MATCH(MAX(Reference!$A$6,MIN(Reference!$A$11,MIN(D93,240))),Reference!$A$6:$A$11,1))))),0)+IF(7&lt;=AE93,(AE93-7+3)*(INDEX(Reference!$B$6:$B$11,MIN(5,MATCH(MAX(Reference!$A$6,MIN(Reference!$A$11,MIN(D93,270))),Reference!$A$6:$A$11,1)))+(MAX(Reference!$A$6,MIN(Reference!$A$11,MIN(D93,270)))-INDEX(Reference!$A$6:$A$11,MIN(5,MATCH(MAX(Reference!$A$6,MIN(Reference!$A$11,MIN(D93,270))),Reference!$A$6:$A$11,1))))*(INDEX(Reference!$B$6:$B$11,MIN(5,MATCH(MAX(Reference!$A$6,MIN(Reference!$A$11,MIN(D93,270))),Reference!$A$6:$A$11,1))+1)-INDEX(Reference!$B$6:$B$11,MIN(5,MATCH(MAX(Reference!$A$6,MIN(Reference!$A$11,MIN(D93,270))),Reference!$A$6:$A$11,1))))/(INDEX(Reference!$A$6:$A$11,MIN(5,MATCH(MAX(Reference!$A$6,MIN(Reference!$A$11,MIN(D93,270))),Reference!$A$6:$A$11,1))+1)-INDEX(Reference!$A$6:$A$11,MIN(5,MATCH(MAX(Reference!$A$6,MIN(Reference!$A$11,MIN(D93,270))),Reference!$A$6:$A$11,1))))),0)+IF(8&lt;=AE93,(AE93-8+3)*(INDEX(Reference!$B$6:$B$11,MIN(5,MATCH(MAX(Reference!$A$6,MIN(Reference!$A$11,MIN(D93,300))),Reference!$A$6:$A$11,1)))+(MAX(Reference!$A$6,MIN(Reference!$A$11,MIN(D93,300)))-INDEX(Reference!$A$6:$A$11,MIN(5,MATCH(MAX(Reference!$A$6,MIN(Reference!$A$11,MIN(D93,300))),Reference!$A$6:$A$11,1))))*(INDEX(Reference!$B$6:$B$11,MIN(5,MATCH(MAX(Reference!$A$6,MIN(Reference!$A$11,MIN(D93,300))),Reference!$A$6:$A$11,1))+1)-INDEX(Reference!$B$6:$B$11,MIN(5,MATCH(MAX(Reference!$A$6,MIN(Reference!$A$11,MIN(D93,300))),Reference!$A$6:$A$11,1))))/(INDEX(Reference!$A$6:$A$11,MIN(5,MATCH(MAX(Reference!$A$6,MIN(Reference!$A$11,MIN(D93,300))),Reference!$A$6:$A$11,1))+1)-INDEX(Reference!$A$6:$A$11,MIN(5,MATCH(MAX(Reference!$A$6,MIN(Reference!$A$11,MIN(D93,300))),Reference!$A$6:$A$11,1))))),0))/(AE93*(AE93+5)/2)),(INDEX(Reference!$B$6:$B$11,MIN(5,MATCH(MAX(Reference!$A$6,MIN(Reference!$A$11,D93)),Reference!$A$6:$A$11,1)))+(MAX(Reference!$A$6,MIN(Reference!$A$11,D93))-INDEX(Reference!$A$6:$A$11,MIN(5,MATCH(MAX(Reference!$A$6,MIN(Reference!$A$11,D93)),Reference!$A$6:$A$11,1))))*(INDEX(Reference!$B$6:$B$11,MIN(5,MATCH(MAX(Reference!$A$6,MIN(Reference!$A$11,D93)),Reference!$A$6:$A$11,1))+1)-INDEX(Reference!$B$6:$B$11,MIN(5,MATCH(MAX(Reference!$A$6,MIN(Reference!$A$11,D93)),Reference!$A$6:$A$11,1))))/(INDEX(Reference!$A$6:$A$11,MIN(5,MATCH(MAX(Reference!$A$6,MIN(Reference!$A$11,D93)),Reference!$A$6:$A$11,1))+1)-INDEX(Reference!$A$6:$A$11,MIN(5,MATCH(MAX(Reference!$A$6,MIN(Reference!$A$11,D93)),Reference!$A$6:$A$11,1))))))))</f>
        <v/>
      </c>
      <c r="P93" s="32" t="str">
        <f>IF(N93="","",VLOOKUP(MAX(N93,0),Reference!$A$17:$B$20,2,TRUE()))</f>
        <v/>
      </c>
      <c r="Q93" s="32" t="str">
        <f t="shared" si="12"/>
        <v/>
      </c>
      <c r="R93" s="31"/>
      <c r="S93" s="31"/>
      <c r="T93" s="31"/>
      <c r="U93" s="32" t="str">
        <f t="shared" si="13"/>
        <v/>
      </c>
      <c r="V93" s="32" t="str">
        <f t="shared" si="14"/>
        <v/>
      </c>
      <c r="W93" s="32" t="str">
        <f>IF(V93="","",VLOOKUP(MAX(V93,0),Reference!$A$17:$B$20,2,TRUE()))</f>
        <v/>
      </c>
      <c r="X93" s="31"/>
      <c r="Y93" s="31"/>
      <c r="Z93" s="31"/>
      <c r="AA93" s="32" t="str">
        <f t="shared" si="15"/>
        <v/>
      </c>
      <c r="AB93" s="32" t="str">
        <f t="shared" si="16"/>
        <v/>
      </c>
      <c r="AC93" s="32" t="str">
        <f>IF(AB93="","",VLOOKUP(MAX(AB93,0),Reference!$A$17:$B$20,2,TRUE()))</f>
        <v/>
      </c>
      <c r="AD93" s="31"/>
      <c r="AE93">
        <f t="shared" si="17"/>
        <v>1</v>
      </c>
      <c r="AF93" s="33" t="str">
        <f>IF(OR(A93="",B93="",AND(C93&lt;&gt;"Bullpen",C93&lt;&gt;"Game")),"",IF((COUNTIFS($B$5:$B$300,B93,$A$5:$A$300,A93-1,$C$5:$C$300,"Bullpen",$AG$5:$AG$300,"&gt;0") + COUNTIFS($B$5:$B$300,B93,$A$5:$A$300,A93-1,$C$5:$C$300,"Game",$AG$5:$AG$300,"&gt;0"))&gt;0,Reference!$B$119,IF((COUNTIFS($B$5:$B$300,B93,$A$5:$A$300,A93-2,$C$5:$C$300,"Bullpen",$AG$5:$AG$300,"&gt;0") + COUNTIFS($B$5:$B$300,B93,$A$5:$A$300,A93-2,$C$5:$C$300,"Game",$AG$5:$AG$300,"&gt;0"))&gt;0,Reference!$B$120,1)))</f>
        <v/>
      </c>
      <c r="AG93" s="30" t="str">
        <f>IF(AND(OR(I93="",O93="",P93=""),OR(R93="",W93=""),OR(X93="",AC93="")),"",IF(OR(I93="",O93="",P93=""),0,I93*O93*P93)+IF(OR(R93="",W93=""),0,R93*IFERROR(INDEX(Reference!$B$61:$B$62,MATCH("Bullpen",Reference!$A$61:$A$62,0)),0)*W93)+IF(OR(X93="",AC93=""),0,X93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93))</f>
        <v/>
      </c>
    </row>
    <row r="94" spans="1:33" x14ac:dyDescent="0.3">
      <c r="A94" s="35"/>
      <c r="B94" s="31"/>
      <c r="C94" s="31"/>
      <c r="D94" s="31"/>
      <c r="E94" s="34"/>
      <c r="F94" s="34"/>
      <c r="G94" s="30" t="str">
        <f t="shared" si="9"/>
        <v/>
      </c>
      <c r="H94" s="31"/>
      <c r="I94" s="32" t="str">
        <f>IF(H94&lt;&gt;"",H94,IF(G94="","",ROUND(G94*IFERROR(INDEX(Reference!$B$44:$B$50,MATCH(C94,Reference!$A$44:$A$50,0)),0),0)))</f>
        <v/>
      </c>
      <c r="J94" s="31"/>
      <c r="K94" s="31"/>
      <c r="L94" s="32" t="str">
        <f t="shared" si="10"/>
        <v/>
      </c>
      <c r="M94" s="32" t="str">
        <f>IFERROR(INDEX(Roster!$D$5:$D$40,MATCH(B94,Roster!$A$5:$A$40,0)),"")</f>
        <v/>
      </c>
      <c r="N94" s="32" t="str">
        <f t="shared" si="11"/>
        <v/>
      </c>
      <c r="O94" s="32" t="str">
        <f>IF(OR(C94="Bullpen",C94="Game"),IFERROR(INDEX(Reference!$B$61:$B$62,MATCH(C94,Reference!$A$61:$A$62,0)),""),IF(D94="","",IF(AE94&gt;1,((IF(1&lt;=AE94,(AE94-1+3)*(INDEX(Reference!$B$6:$B$11,MIN(5,MATCH(MAX(Reference!$A$6,MIN(Reference!$A$11,MIN(D94,90))),Reference!$A$6:$A$11,1)))+(MAX(Reference!$A$6,MIN(Reference!$A$11,MIN(D94,90)))-INDEX(Reference!$A$6:$A$11,MIN(5,MATCH(MAX(Reference!$A$6,MIN(Reference!$A$11,MIN(D94,90))),Reference!$A$6:$A$11,1))))*(INDEX(Reference!$B$6:$B$11,MIN(5,MATCH(MAX(Reference!$A$6,MIN(Reference!$A$11,MIN(D94,90))),Reference!$A$6:$A$11,1))+1)-INDEX(Reference!$B$6:$B$11,MIN(5,MATCH(MAX(Reference!$A$6,MIN(Reference!$A$11,MIN(D94,90))),Reference!$A$6:$A$11,1))))/(INDEX(Reference!$A$6:$A$11,MIN(5,MATCH(MAX(Reference!$A$6,MIN(Reference!$A$11,MIN(D94,90))),Reference!$A$6:$A$11,1))+1)-INDEX(Reference!$A$6:$A$11,MIN(5,MATCH(MAX(Reference!$A$6,MIN(Reference!$A$11,MIN(D94,90))),Reference!$A$6:$A$11,1))))),0)+IF(2&lt;=AE94,(AE94-2+3)*(INDEX(Reference!$B$6:$B$11,MIN(5,MATCH(MAX(Reference!$A$6,MIN(Reference!$A$11,MIN(D94,120))),Reference!$A$6:$A$11,1)))+(MAX(Reference!$A$6,MIN(Reference!$A$11,MIN(D94,120)))-INDEX(Reference!$A$6:$A$11,MIN(5,MATCH(MAX(Reference!$A$6,MIN(Reference!$A$11,MIN(D94,120))),Reference!$A$6:$A$11,1))))*(INDEX(Reference!$B$6:$B$11,MIN(5,MATCH(MAX(Reference!$A$6,MIN(Reference!$A$11,MIN(D94,120))),Reference!$A$6:$A$11,1))+1)-INDEX(Reference!$B$6:$B$11,MIN(5,MATCH(MAX(Reference!$A$6,MIN(Reference!$A$11,MIN(D94,120))),Reference!$A$6:$A$11,1))))/(INDEX(Reference!$A$6:$A$11,MIN(5,MATCH(MAX(Reference!$A$6,MIN(Reference!$A$11,MIN(D94,120))),Reference!$A$6:$A$11,1))+1)-INDEX(Reference!$A$6:$A$11,MIN(5,MATCH(MAX(Reference!$A$6,MIN(Reference!$A$11,MIN(D94,120))),Reference!$A$6:$A$11,1))))),0)+IF(3&lt;=AE94,(AE94-3+3)*(INDEX(Reference!$B$6:$B$11,MIN(5,MATCH(MAX(Reference!$A$6,MIN(Reference!$A$11,MIN(D94,150))),Reference!$A$6:$A$11,1)))+(MAX(Reference!$A$6,MIN(Reference!$A$11,MIN(D94,150)))-INDEX(Reference!$A$6:$A$11,MIN(5,MATCH(MAX(Reference!$A$6,MIN(Reference!$A$11,MIN(D94,150))),Reference!$A$6:$A$11,1))))*(INDEX(Reference!$B$6:$B$11,MIN(5,MATCH(MAX(Reference!$A$6,MIN(Reference!$A$11,MIN(D94,150))),Reference!$A$6:$A$11,1))+1)-INDEX(Reference!$B$6:$B$11,MIN(5,MATCH(MAX(Reference!$A$6,MIN(Reference!$A$11,MIN(D94,150))),Reference!$A$6:$A$11,1))))/(INDEX(Reference!$A$6:$A$11,MIN(5,MATCH(MAX(Reference!$A$6,MIN(Reference!$A$11,MIN(D94,150))),Reference!$A$6:$A$11,1))+1)-INDEX(Reference!$A$6:$A$11,MIN(5,MATCH(MAX(Reference!$A$6,MIN(Reference!$A$11,MIN(D94,150))),Reference!$A$6:$A$11,1))))),0)+IF(4&lt;=AE94,(AE94-4+3)*(INDEX(Reference!$B$6:$B$11,MIN(5,MATCH(MAX(Reference!$A$6,MIN(Reference!$A$11,MIN(D94,180))),Reference!$A$6:$A$11,1)))+(MAX(Reference!$A$6,MIN(Reference!$A$11,MIN(D94,180)))-INDEX(Reference!$A$6:$A$11,MIN(5,MATCH(MAX(Reference!$A$6,MIN(Reference!$A$11,MIN(D94,180))),Reference!$A$6:$A$11,1))))*(INDEX(Reference!$B$6:$B$11,MIN(5,MATCH(MAX(Reference!$A$6,MIN(Reference!$A$11,MIN(D94,180))),Reference!$A$6:$A$11,1))+1)-INDEX(Reference!$B$6:$B$11,MIN(5,MATCH(MAX(Reference!$A$6,MIN(Reference!$A$11,MIN(D94,180))),Reference!$A$6:$A$11,1))))/(INDEX(Reference!$A$6:$A$11,MIN(5,MATCH(MAX(Reference!$A$6,MIN(Reference!$A$11,MIN(D94,180))),Reference!$A$6:$A$11,1))+1)-INDEX(Reference!$A$6:$A$11,MIN(5,MATCH(MAX(Reference!$A$6,MIN(Reference!$A$11,MIN(D94,180))),Reference!$A$6:$A$11,1))))),0)+IF(5&lt;=AE94,(AE94-5+3)*(INDEX(Reference!$B$6:$B$11,MIN(5,MATCH(MAX(Reference!$A$6,MIN(Reference!$A$11,MIN(D94,210))),Reference!$A$6:$A$11,1)))+(MAX(Reference!$A$6,MIN(Reference!$A$11,MIN(D94,210)))-INDEX(Reference!$A$6:$A$11,MIN(5,MATCH(MAX(Reference!$A$6,MIN(Reference!$A$11,MIN(D94,210))),Reference!$A$6:$A$11,1))))*(INDEX(Reference!$B$6:$B$11,MIN(5,MATCH(MAX(Reference!$A$6,MIN(Reference!$A$11,MIN(D94,210))),Reference!$A$6:$A$11,1))+1)-INDEX(Reference!$B$6:$B$11,MIN(5,MATCH(MAX(Reference!$A$6,MIN(Reference!$A$11,MIN(D94,210))),Reference!$A$6:$A$11,1))))/(INDEX(Reference!$A$6:$A$11,MIN(5,MATCH(MAX(Reference!$A$6,MIN(Reference!$A$11,MIN(D94,210))),Reference!$A$6:$A$11,1))+1)-INDEX(Reference!$A$6:$A$11,MIN(5,MATCH(MAX(Reference!$A$6,MIN(Reference!$A$11,MIN(D94,210))),Reference!$A$6:$A$11,1))))),0)+IF(6&lt;=AE94,(AE94-6+3)*(INDEX(Reference!$B$6:$B$11,MIN(5,MATCH(MAX(Reference!$A$6,MIN(Reference!$A$11,MIN(D94,240))),Reference!$A$6:$A$11,1)))+(MAX(Reference!$A$6,MIN(Reference!$A$11,MIN(D94,240)))-INDEX(Reference!$A$6:$A$11,MIN(5,MATCH(MAX(Reference!$A$6,MIN(Reference!$A$11,MIN(D94,240))),Reference!$A$6:$A$11,1))))*(INDEX(Reference!$B$6:$B$11,MIN(5,MATCH(MAX(Reference!$A$6,MIN(Reference!$A$11,MIN(D94,240))),Reference!$A$6:$A$11,1))+1)-INDEX(Reference!$B$6:$B$11,MIN(5,MATCH(MAX(Reference!$A$6,MIN(Reference!$A$11,MIN(D94,240))),Reference!$A$6:$A$11,1))))/(INDEX(Reference!$A$6:$A$11,MIN(5,MATCH(MAX(Reference!$A$6,MIN(Reference!$A$11,MIN(D94,240))),Reference!$A$6:$A$11,1))+1)-INDEX(Reference!$A$6:$A$11,MIN(5,MATCH(MAX(Reference!$A$6,MIN(Reference!$A$11,MIN(D94,240))),Reference!$A$6:$A$11,1))))),0)+IF(7&lt;=AE94,(AE94-7+3)*(INDEX(Reference!$B$6:$B$11,MIN(5,MATCH(MAX(Reference!$A$6,MIN(Reference!$A$11,MIN(D94,270))),Reference!$A$6:$A$11,1)))+(MAX(Reference!$A$6,MIN(Reference!$A$11,MIN(D94,270)))-INDEX(Reference!$A$6:$A$11,MIN(5,MATCH(MAX(Reference!$A$6,MIN(Reference!$A$11,MIN(D94,270))),Reference!$A$6:$A$11,1))))*(INDEX(Reference!$B$6:$B$11,MIN(5,MATCH(MAX(Reference!$A$6,MIN(Reference!$A$11,MIN(D94,270))),Reference!$A$6:$A$11,1))+1)-INDEX(Reference!$B$6:$B$11,MIN(5,MATCH(MAX(Reference!$A$6,MIN(Reference!$A$11,MIN(D94,270))),Reference!$A$6:$A$11,1))))/(INDEX(Reference!$A$6:$A$11,MIN(5,MATCH(MAX(Reference!$A$6,MIN(Reference!$A$11,MIN(D94,270))),Reference!$A$6:$A$11,1))+1)-INDEX(Reference!$A$6:$A$11,MIN(5,MATCH(MAX(Reference!$A$6,MIN(Reference!$A$11,MIN(D94,270))),Reference!$A$6:$A$11,1))))),0)+IF(8&lt;=AE94,(AE94-8+3)*(INDEX(Reference!$B$6:$B$11,MIN(5,MATCH(MAX(Reference!$A$6,MIN(Reference!$A$11,MIN(D94,300))),Reference!$A$6:$A$11,1)))+(MAX(Reference!$A$6,MIN(Reference!$A$11,MIN(D94,300)))-INDEX(Reference!$A$6:$A$11,MIN(5,MATCH(MAX(Reference!$A$6,MIN(Reference!$A$11,MIN(D94,300))),Reference!$A$6:$A$11,1))))*(INDEX(Reference!$B$6:$B$11,MIN(5,MATCH(MAX(Reference!$A$6,MIN(Reference!$A$11,MIN(D94,300))),Reference!$A$6:$A$11,1))+1)-INDEX(Reference!$B$6:$B$11,MIN(5,MATCH(MAX(Reference!$A$6,MIN(Reference!$A$11,MIN(D94,300))),Reference!$A$6:$A$11,1))))/(INDEX(Reference!$A$6:$A$11,MIN(5,MATCH(MAX(Reference!$A$6,MIN(Reference!$A$11,MIN(D94,300))),Reference!$A$6:$A$11,1))+1)-INDEX(Reference!$A$6:$A$11,MIN(5,MATCH(MAX(Reference!$A$6,MIN(Reference!$A$11,MIN(D94,300))),Reference!$A$6:$A$11,1))))),0))/(AE94*(AE94+5)/2)),(INDEX(Reference!$B$6:$B$11,MIN(5,MATCH(MAX(Reference!$A$6,MIN(Reference!$A$11,D94)),Reference!$A$6:$A$11,1)))+(MAX(Reference!$A$6,MIN(Reference!$A$11,D94))-INDEX(Reference!$A$6:$A$11,MIN(5,MATCH(MAX(Reference!$A$6,MIN(Reference!$A$11,D94)),Reference!$A$6:$A$11,1))))*(INDEX(Reference!$B$6:$B$11,MIN(5,MATCH(MAX(Reference!$A$6,MIN(Reference!$A$11,D94)),Reference!$A$6:$A$11,1))+1)-INDEX(Reference!$B$6:$B$11,MIN(5,MATCH(MAX(Reference!$A$6,MIN(Reference!$A$11,D94)),Reference!$A$6:$A$11,1))))/(INDEX(Reference!$A$6:$A$11,MIN(5,MATCH(MAX(Reference!$A$6,MIN(Reference!$A$11,D94)),Reference!$A$6:$A$11,1))+1)-INDEX(Reference!$A$6:$A$11,MIN(5,MATCH(MAX(Reference!$A$6,MIN(Reference!$A$11,D94)),Reference!$A$6:$A$11,1))))))))</f>
        <v/>
      </c>
      <c r="P94" s="32" t="str">
        <f>IF(N94="","",VLOOKUP(MAX(N94,0),Reference!$A$17:$B$20,2,TRUE()))</f>
        <v/>
      </c>
      <c r="Q94" s="32" t="str">
        <f t="shared" si="12"/>
        <v/>
      </c>
      <c r="R94" s="31"/>
      <c r="S94" s="31"/>
      <c r="T94" s="31"/>
      <c r="U94" s="32" t="str">
        <f t="shared" si="13"/>
        <v/>
      </c>
      <c r="V94" s="32" t="str">
        <f t="shared" si="14"/>
        <v/>
      </c>
      <c r="W94" s="32" t="str">
        <f>IF(V94="","",VLOOKUP(MAX(V94,0),Reference!$A$17:$B$20,2,TRUE()))</f>
        <v/>
      </c>
      <c r="X94" s="31"/>
      <c r="Y94" s="31"/>
      <c r="Z94" s="31"/>
      <c r="AA94" s="32" t="str">
        <f t="shared" si="15"/>
        <v/>
      </c>
      <c r="AB94" s="32" t="str">
        <f t="shared" si="16"/>
        <v/>
      </c>
      <c r="AC94" s="32" t="str">
        <f>IF(AB94="","",VLOOKUP(MAX(AB94,0),Reference!$A$17:$B$20,2,TRUE()))</f>
        <v/>
      </c>
      <c r="AD94" s="31"/>
      <c r="AE94">
        <f t="shared" si="17"/>
        <v>1</v>
      </c>
      <c r="AF94" s="33" t="str">
        <f>IF(OR(A94="",B94="",AND(C94&lt;&gt;"Bullpen",C94&lt;&gt;"Game")),"",IF((COUNTIFS($B$5:$B$300,B94,$A$5:$A$300,A94-1,$C$5:$C$300,"Bullpen",$AG$5:$AG$300,"&gt;0") + COUNTIFS($B$5:$B$300,B94,$A$5:$A$300,A94-1,$C$5:$C$300,"Game",$AG$5:$AG$300,"&gt;0"))&gt;0,Reference!$B$119,IF((COUNTIFS($B$5:$B$300,B94,$A$5:$A$300,A94-2,$C$5:$C$300,"Bullpen",$AG$5:$AG$300,"&gt;0") + COUNTIFS($B$5:$B$300,B94,$A$5:$A$300,A94-2,$C$5:$C$300,"Game",$AG$5:$AG$300,"&gt;0"))&gt;0,Reference!$B$120,1)))</f>
        <v/>
      </c>
      <c r="AG94" s="30" t="str">
        <f>IF(AND(OR(I94="",O94="",P94=""),OR(R94="",W94=""),OR(X94="",AC94="")),"",IF(OR(I94="",O94="",P94=""),0,I94*O94*P94)+IF(OR(R94="",W94=""),0,R94*IFERROR(INDEX(Reference!$B$61:$B$62,MATCH("Bullpen",Reference!$A$61:$A$62,0)),0)*W94)+IF(OR(X94="",AC94=""),0,X94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94))</f>
        <v/>
      </c>
    </row>
    <row r="95" spans="1:33" x14ac:dyDescent="0.3">
      <c r="A95" s="35"/>
      <c r="B95" s="31"/>
      <c r="C95" s="31"/>
      <c r="D95" s="31"/>
      <c r="E95" s="34"/>
      <c r="F95" s="34"/>
      <c r="G95" s="30" t="str">
        <f t="shared" si="9"/>
        <v/>
      </c>
      <c r="H95" s="31"/>
      <c r="I95" s="32" t="str">
        <f>IF(H95&lt;&gt;"",H95,IF(G95="","",ROUND(G95*IFERROR(INDEX(Reference!$B$44:$B$50,MATCH(C95,Reference!$A$44:$A$50,0)),0),0)))</f>
        <v/>
      </c>
      <c r="J95" s="31"/>
      <c r="K95" s="31"/>
      <c r="L95" s="32" t="str">
        <f t="shared" si="10"/>
        <v/>
      </c>
      <c r="M95" s="32" t="str">
        <f>IFERROR(INDEX(Roster!$D$5:$D$40,MATCH(B95,Roster!$A$5:$A$40,0)),"")</f>
        <v/>
      </c>
      <c r="N95" s="32" t="str">
        <f t="shared" si="11"/>
        <v/>
      </c>
      <c r="O95" s="32" t="str">
        <f>IF(OR(C95="Bullpen",C95="Game"),IFERROR(INDEX(Reference!$B$61:$B$62,MATCH(C95,Reference!$A$61:$A$62,0)),""),IF(D95="","",IF(AE95&gt;1,((IF(1&lt;=AE95,(AE95-1+3)*(INDEX(Reference!$B$6:$B$11,MIN(5,MATCH(MAX(Reference!$A$6,MIN(Reference!$A$11,MIN(D95,90))),Reference!$A$6:$A$11,1)))+(MAX(Reference!$A$6,MIN(Reference!$A$11,MIN(D95,90)))-INDEX(Reference!$A$6:$A$11,MIN(5,MATCH(MAX(Reference!$A$6,MIN(Reference!$A$11,MIN(D95,90))),Reference!$A$6:$A$11,1))))*(INDEX(Reference!$B$6:$B$11,MIN(5,MATCH(MAX(Reference!$A$6,MIN(Reference!$A$11,MIN(D95,90))),Reference!$A$6:$A$11,1))+1)-INDEX(Reference!$B$6:$B$11,MIN(5,MATCH(MAX(Reference!$A$6,MIN(Reference!$A$11,MIN(D95,90))),Reference!$A$6:$A$11,1))))/(INDEX(Reference!$A$6:$A$11,MIN(5,MATCH(MAX(Reference!$A$6,MIN(Reference!$A$11,MIN(D95,90))),Reference!$A$6:$A$11,1))+1)-INDEX(Reference!$A$6:$A$11,MIN(5,MATCH(MAX(Reference!$A$6,MIN(Reference!$A$11,MIN(D95,90))),Reference!$A$6:$A$11,1))))),0)+IF(2&lt;=AE95,(AE95-2+3)*(INDEX(Reference!$B$6:$B$11,MIN(5,MATCH(MAX(Reference!$A$6,MIN(Reference!$A$11,MIN(D95,120))),Reference!$A$6:$A$11,1)))+(MAX(Reference!$A$6,MIN(Reference!$A$11,MIN(D95,120)))-INDEX(Reference!$A$6:$A$11,MIN(5,MATCH(MAX(Reference!$A$6,MIN(Reference!$A$11,MIN(D95,120))),Reference!$A$6:$A$11,1))))*(INDEX(Reference!$B$6:$B$11,MIN(5,MATCH(MAX(Reference!$A$6,MIN(Reference!$A$11,MIN(D95,120))),Reference!$A$6:$A$11,1))+1)-INDEX(Reference!$B$6:$B$11,MIN(5,MATCH(MAX(Reference!$A$6,MIN(Reference!$A$11,MIN(D95,120))),Reference!$A$6:$A$11,1))))/(INDEX(Reference!$A$6:$A$11,MIN(5,MATCH(MAX(Reference!$A$6,MIN(Reference!$A$11,MIN(D95,120))),Reference!$A$6:$A$11,1))+1)-INDEX(Reference!$A$6:$A$11,MIN(5,MATCH(MAX(Reference!$A$6,MIN(Reference!$A$11,MIN(D95,120))),Reference!$A$6:$A$11,1))))),0)+IF(3&lt;=AE95,(AE95-3+3)*(INDEX(Reference!$B$6:$B$11,MIN(5,MATCH(MAX(Reference!$A$6,MIN(Reference!$A$11,MIN(D95,150))),Reference!$A$6:$A$11,1)))+(MAX(Reference!$A$6,MIN(Reference!$A$11,MIN(D95,150)))-INDEX(Reference!$A$6:$A$11,MIN(5,MATCH(MAX(Reference!$A$6,MIN(Reference!$A$11,MIN(D95,150))),Reference!$A$6:$A$11,1))))*(INDEX(Reference!$B$6:$B$11,MIN(5,MATCH(MAX(Reference!$A$6,MIN(Reference!$A$11,MIN(D95,150))),Reference!$A$6:$A$11,1))+1)-INDEX(Reference!$B$6:$B$11,MIN(5,MATCH(MAX(Reference!$A$6,MIN(Reference!$A$11,MIN(D95,150))),Reference!$A$6:$A$11,1))))/(INDEX(Reference!$A$6:$A$11,MIN(5,MATCH(MAX(Reference!$A$6,MIN(Reference!$A$11,MIN(D95,150))),Reference!$A$6:$A$11,1))+1)-INDEX(Reference!$A$6:$A$11,MIN(5,MATCH(MAX(Reference!$A$6,MIN(Reference!$A$11,MIN(D95,150))),Reference!$A$6:$A$11,1))))),0)+IF(4&lt;=AE95,(AE95-4+3)*(INDEX(Reference!$B$6:$B$11,MIN(5,MATCH(MAX(Reference!$A$6,MIN(Reference!$A$11,MIN(D95,180))),Reference!$A$6:$A$11,1)))+(MAX(Reference!$A$6,MIN(Reference!$A$11,MIN(D95,180)))-INDEX(Reference!$A$6:$A$11,MIN(5,MATCH(MAX(Reference!$A$6,MIN(Reference!$A$11,MIN(D95,180))),Reference!$A$6:$A$11,1))))*(INDEX(Reference!$B$6:$B$11,MIN(5,MATCH(MAX(Reference!$A$6,MIN(Reference!$A$11,MIN(D95,180))),Reference!$A$6:$A$11,1))+1)-INDEX(Reference!$B$6:$B$11,MIN(5,MATCH(MAX(Reference!$A$6,MIN(Reference!$A$11,MIN(D95,180))),Reference!$A$6:$A$11,1))))/(INDEX(Reference!$A$6:$A$11,MIN(5,MATCH(MAX(Reference!$A$6,MIN(Reference!$A$11,MIN(D95,180))),Reference!$A$6:$A$11,1))+1)-INDEX(Reference!$A$6:$A$11,MIN(5,MATCH(MAX(Reference!$A$6,MIN(Reference!$A$11,MIN(D95,180))),Reference!$A$6:$A$11,1))))),0)+IF(5&lt;=AE95,(AE95-5+3)*(INDEX(Reference!$B$6:$B$11,MIN(5,MATCH(MAX(Reference!$A$6,MIN(Reference!$A$11,MIN(D95,210))),Reference!$A$6:$A$11,1)))+(MAX(Reference!$A$6,MIN(Reference!$A$11,MIN(D95,210)))-INDEX(Reference!$A$6:$A$11,MIN(5,MATCH(MAX(Reference!$A$6,MIN(Reference!$A$11,MIN(D95,210))),Reference!$A$6:$A$11,1))))*(INDEX(Reference!$B$6:$B$11,MIN(5,MATCH(MAX(Reference!$A$6,MIN(Reference!$A$11,MIN(D95,210))),Reference!$A$6:$A$11,1))+1)-INDEX(Reference!$B$6:$B$11,MIN(5,MATCH(MAX(Reference!$A$6,MIN(Reference!$A$11,MIN(D95,210))),Reference!$A$6:$A$11,1))))/(INDEX(Reference!$A$6:$A$11,MIN(5,MATCH(MAX(Reference!$A$6,MIN(Reference!$A$11,MIN(D95,210))),Reference!$A$6:$A$11,1))+1)-INDEX(Reference!$A$6:$A$11,MIN(5,MATCH(MAX(Reference!$A$6,MIN(Reference!$A$11,MIN(D95,210))),Reference!$A$6:$A$11,1))))),0)+IF(6&lt;=AE95,(AE95-6+3)*(INDEX(Reference!$B$6:$B$11,MIN(5,MATCH(MAX(Reference!$A$6,MIN(Reference!$A$11,MIN(D95,240))),Reference!$A$6:$A$11,1)))+(MAX(Reference!$A$6,MIN(Reference!$A$11,MIN(D95,240)))-INDEX(Reference!$A$6:$A$11,MIN(5,MATCH(MAX(Reference!$A$6,MIN(Reference!$A$11,MIN(D95,240))),Reference!$A$6:$A$11,1))))*(INDEX(Reference!$B$6:$B$11,MIN(5,MATCH(MAX(Reference!$A$6,MIN(Reference!$A$11,MIN(D95,240))),Reference!$A$6:$A$11,1))+1)-INDEX(Reference!$B$6:$B$11,MIN(5,MATCH(MAX(Reference!$A$6,MIN(Reference!$A$11,MIN(D95,240))),Reference!$A$6:$A$11,1))))/(INDEX(Reference!$A$6:$A$11,MIN(5,MATCH(MAX(Reference!$A$6,MIN(Reference!$A$11,MIN(D95,240))),Reference!$A$6:$A$11,1))+1)-INDEX(Reference!$A$6:$A$11,MIN(5,MATCH(MAX(Reference!$A$6,MIN(Reference!$A$11,MIN(D95,240))),Reference!$A$6:$A$11,1))))),0)+IF(7&lt;=AE95,(AE95-7+3)*(INDEX(Reference!$B$6:$B$11,MIN(5,MATCH(MAX(Reference!$A$6,MIN(Reference!$A$11,MIN(D95,270))),Reference!$A$6:$A$11,1)))+(MAX(Reference!$A$6,MIN(Reference!$A$11,MIN(D95,270)))-INDEX(Reference!$A$6:$A$11,MIN(5,MATCH(MAX(Reference!$A$6,MIN(Reference!$A$11,MIN(D95,270))),Reference!$A$6:$A$11,1))))*(INDEX(Reference!$B$6:$B$11,MIN(5,MATCH(MAX(Reference!$A$6,MIN(Reference!$A$11,MIN(D95,270))),Reference!$A$6:$A$11,1))+1)-INDEX(Reference!$B$6:$B$11,MIN(5,MATCH(MAX(Reference!$A$6,MIN(Reference!$A$11,MIN(D95,270))),Reference!$A$6:$A$11,1))))/(INDEX(Reference!$A$6:$A$11,MIN(5,MATCH(MAX(Reference!$A$6,MIN(Reference!$A$11,MIN(D95,270))),Reference!$A$6:$A$11,1))+1)-INDEX(Reference!$A$6:$A$11,MIN(5,MATCH(MAX(Reference!$A$6,MIN(Reference!$A$11,MIN(D95,270))),Reference!$A$6:$A$11,1))))),0)+IF(8&lt;=AE95,(AE95-8+3)*(INDEX(Reference!$B$6:$B$11,MIN(5,MATCH(MAX(Reference!$A$6,MIN(Reference!$A$11,MIN(D95,300))),Reference!$A$6:$A$11,1)))+(MAX(Reference!$A$6,MIN(Reference!$A$11,MIN(D95,300)))-INDEX(Reference!$A$6:$A$11,MIN(5,MATCH(MAX(Reference!$A$6,MIN(Reference!$A$11,MIN(D95,300))),Reference!$A$6:$A$11,1))))*(INDEX(Reference!$B$6:$B$11,MIN(5,MATCH(MAX(Reference!$A$6,MIN(Reference!$A$11,MIN(D95,300))),Reference!$A$6:$A$11,1))+1)-INDEX(Reference!$B$6:$B$11,MIN(5,MATCH(MAX(Reference!$A$6,MIN(Reference!$A$11,MIN(D95,300))),Reference!$A$6:$A$11,1))))/(INDEX(Reference!$A$6:$A$11,MIN(5,MATCH(MAX(Reference!$A$6,MIN(Reference!$A$11,MIN(D95,300))),Reference!$A$6:$A$11,1))+1)-INDEX(Reference!$A$6:$A$11,MIN(5,MATCH(MAX(Reference!$A$6,MIN(Reference!$A$11,MIN(D95,300))),Reference!$A$6:$A$11,1))))),0))/(AE95*(AE95+5)/2)),(INDEX(Reference!$B$6:$B$11,MIN(5,MATCH(MAX(Reference!$A$6,MIN(Reference!$A$11,D95)),Reference!$A$6:$A$11,1)))+(MAX(Reference!$A$6,MIN(Reference!$A$11,D95))-INDEX(Reference!$A$6:$A$11,MIN(5,MATCH(MAX(Reference!$A$6,MIN(Reference!$A$11,D95)),Reference!$A$6:$A$11,1))))*(INDEX(Reference!$B$6:$B$11,MIN(5,MATCH(MAX(Reference!$A$6,MIN(Reference!$A$11,D95)),Reference!$A$6:$A$11,1))+1)-INDEX(Reference!$B$6:$B$11,MIN(5,MATCH(MAX(Reference!$A$6,MIN(Reference!$A$11,D95)),Reference!$A$6:$A$11,1))))/(INDEX(Reference!$A$6:$A$11,MIN(5,MATCH(MAX(Reference!$A$6,MIN(Reference!$A$11,D95)),Reference!$A$6:$A$11,1))+1)-INDEX(Reference!$A$6:$A$11,MIN(5,MATCH(MAX(Reference!$A$6,MIN(Reference!$A$11,D95)),Reference!$A$6:$A$11,1))))))))</f>
        <v/>
      </c>
      <c r="P95" s="32" t="str">
        <f>IF(N95="","",VLOOKUP(MAX(N95,0),Reference!$A$17:$B$20,2,TRUE()))</f>
        <v/>
      </c>
      <c r="Q95" s="32" t="str">
        <f t="shared" si="12"/>
        <v/>
      </c>
      <c r="R95" s="31"/>
      <c r="S95" s="31"/>
      <c r="T95" s="31"/>
      <c r="U95" s="32" t="str">
        <f t="shared" si="13"/>
        <v/>
      </c>
      <c r="V95" s="32" t="str">
        <f t="shared" si="14"/>
        <v/>
      </c>
      <c r="W95" s="32" t="str">
        <f>IF(V95="","",VLOOKUP(MAX(V95,0),Reference!$A$17:$B$20,2,TRUE()))</f>
        <v/>
      </c>
      <c r="X95" s="31"/>
      <c r="Y95" s="31"/>
      <c r="Z95" s="31"/>
      <c r="AA95" s="32" t="str">
        <f t="shared" si="15"/>
        <v/>
      </c>
      <c r="AB95" s="32" t="str">
        <f t="shared" si="16"/>
        <v/>
      </c>
      <c r="AC95" s="32" t="str">
        <f>IF(AB95="","",VLOOKUP(MAX(AB95,0),Reference!$A$17:$B$20,2,TRUE()))</f>
        <v/>
      </c>
      <c r="AD95" s="31"/>
      <c r="AE95">
        <f t="shared" si="17"/>
        <v>1</v>
      </c>
      <c r="AF95" s="33" t="str">
        <f>IF(OR(A95="",B95="",AND(C95&lt;&gt;"Bullpen",C95&lt;&gt;"Game")),"",IF((COUNTIFS($B$5:$B$300,B95,$A$5:$A$300,A95-1,$C$5:$C$300,"Bullpen",$AG$5:$AG$300,"&gt;0") + COUNTIFS($B$5:$B$300,B95,$A$5:$A$300,A95-1,$C$5:$C$300,"Game",$AG$5:$AG$300,"&gt;0"))&gt;0,Reference!$B$119,IF((COUNTIFS($B$5:$B$300,B95,$A$5:$A$300,A95-2,$C$5:$C$300,"Bullpen",$AG$5:$AG$300,"&gt;0") + COUNTIFS($B$5:$B$300,B95,$A$5:$A$300,A95-2,$C$5:$C$300,"Game",$AG$5:$AG$300,"&gt;0"))&gt;0,Reference!$B$120,1)))</f>
        <v/>
      </c>
      <c r="AG95" s="30" t="str">
        <f>IF(AND(OR(I95="",O95="",P95=""),OR(R95="",W95=""),OR(X95="",AC95="")),"",IF(OR(I95="",O95="",P95=""),0,I95*O95*P95)+IF(OR(R95="",W95=""),0,R95*IFERROR(INDEX(Reference!$B$61:$B$62,MATCH("Bullpen",Reference!$A$61:$A$62,0)),0)*W95)+IF(OR(X95="",AC95=""),0,X95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95))</f>
        <v/>
      </c>
    </row>
    <row r="96" spans="1:33" x14ac:dyDescent="0.3">
      <c r="A96" s="35"/>
      <c r="B96" s="31"/>
      <c r="C96" s="31"/>
      <c r="D96" s="31"/>
      <c r="E96" s="34"/>
      <c r="F96" s="34"/>
      <c r="G96" s="30" t="str">
        <f t="shared" si="9"/>
        <v/>
      </c>
      <c r="H96" s="31"/>
      <c r="I96" s="32" t="str">
        <f>IF(H96&lt;&gt;"",H96,IF(G96="","",ROUND(G96*IFERROR(INDEX(Reference!$B$44:$B$50,MATCH(C96,Reference!$A$44:$A$50,0)),0),0)))</f>
        <v/>
      </c>
      <c r="J96" s="31"/>
      <c r="K96" s="31"/>
      <c r="L96" s="32" t="str">
        <f t="shared" si="10"/>
        <v/>
      </c>
      <c r="M96" s="32" t="str">
        <f>IFERROR(INDEX(Roster!$D$5:$D$40,MATCH(B96,Roster!$A$5:$A$40,0)),"")</f>
        <v/>
      </c>
      <c r="N96" s="32" t="str">
        <f t="shared" si="11"/>
        <v/>
      </c>
      <c r="O96" s="32" t="str">
        <f>IF(OR(C96="Bullpen",C96="Game"),IFERROR(INDEX(Reference!$B$61:$B$62,MATCH(C96,Reference!$A$61:$A$62,0)),""),IF(D96="","",IF(AE96&gt;1,((IF(1&lt;=AE96,(AE96-1+3)*(INDEX(Reference!$B$6:$B$11,MIN(5,MATCH(MAX(Reference!$A$6,MIN(Reference!$A$11,MIN(D96,90))),Reference!$A$6:$A$11,1)))+(MAX(Reference!$A$6,MIN(Reference!$A$11,MIN(D96,90)))-INDEX(Reference!$A$6:$A$11,MIN(5,MATCH(MAX(Reference!$A$6,MIN(Reference!$A$11,MIN(D96,90))),Reference!$A$6:$A$11,1))))*(INDEX(Reference!$B$6:$B$11,MIN(5,MATCH(MAX(Reference!$A$6,MIN(Reference!$A$11,MIN(D96,90))),Reference!$A$6:$A$11,1))+1)-INDEX(Reference!$B$6:$B$11,MIN(5,MATCH(MAX(Reference!$A$6,MIN(Reference!$A$11,MIN(D96,90))),Reference!$A$6:$A$11,1))))/(INDEX(Reference!$A$6:$A$11,MIN(5,MATCH(MAX(Reference!$A$6,MIN(Reference!$A$11,MIN(D96,90))),Reference!$A$6:$A$11,1))+1)-INDEX(Reference!$A$6:$A$11,MIN(5,MATCH(MAX(Reference!$A$6,MIN(Reference!$A$11,MIN(D96,90))),Reference!$A$6:$A$11,1))))),0)+IF(2&lt;=AE96,(AE96-2+3)*(INDEX(Reference!$B$6:$B$11,MIN(5,MATCH(MAX(Reference!$A$6,MIN(Reference!$A$11,MIN(D96,120))),Reference!$A$6:$A$11,1)))+(MAX(Reference!$A$6,MIN(Reference!$A$11,MIN(D96,120)))-INDEX(Reference!$A$6:$A$11,MIN(5,MATCH(MAX(Reference!$A$6,MIN(Reference!$A$11,MIN(D96,120))),Reference!$A$6:$A$11,1))))*(INDEX(Reference!$B$6:$B$11,MIN(5,MATCH(MAX(Reference!$A$6,MIN(Reference!$A$11,MIN(D96,120))),Reference!$A$6:$A$11,1))+1)-INDEX(Reference!$B$6:$B$11,MIN(5,MATCH(MAX(Reference!$A$6,MIN(Reference!$A$11,MIN(D96,120))),Reference!$A$6:$A$11,1))))/(INDEX(Reference!$A$6:$A$11,MIN(5,MATCH(MAX(Reference!$A$6,MIN(Reference!$A$11,MIN(D96,120))),Reference!$A$6:$A$11,1))+1)-INDEX(Reference!$A$6:$A$11,MIN(5,MATCH(MAX(Reference!$A$6,MIN(Reference!$A$11,MIN(D96,120))),Reference!$A$6:$A$11,1))))),0)+IF(3&lt;=AE96,(AE96-3+3)*(INDEX(Reference!$B$6:$B$11,MIN(5,MATCH(MAX(Reference!$A$6,MIN(Reference!$A$11,MIN(D96,150))),Reference!$A$6:$A$11,1)))+(MAX(Reference!$A$6,MIN(Reference!$A$11,MIN(D96,150)))-INDEX(Reference!$A$6:$A$11,MIN(5,MATCH(MAX(Reference!$A$6,MIN(Reference!$A$11,MIN(D96,150))),Reference!$A$6:$A$11,1))))*(INDEX(Reference!$B$6:$B$11,MIN(5,MATCH(MAX(Reference!$A$6,MIN(Reference!$A$11,MIN(D96,150))),Reference!$A$6:$A$11,1))+1)-INDEX(Reference!$B$6:$B$11,MIN(5,MATCH(MAX(Reference!$A$6,MIN(Reference!$A$11,MIN(D96,150))),Reference!$A$6:$A$11,1))))/(INDEX(Reference!$A$6:$A$11,MIN(5,MATCH(MAX(Reference!$A$6,MIN(Reference!$A$11,MIN(D96,150))),Reference!$A$6:$A$11,1))+1)-INDEX(Reference!$A$6:$A$11,MIN(5,MATCH(MAX(Reference!$A$6,MIN(Reference!$A$11,MIN(D96,150))),Reference!$A$6:$A$11,1))))),0)+IF(4&lt;=AE96,(AE96-4+3)*(INDEX(Reference!$B$6:$B$11,MIN(5,MATCH(MAX(Reference!$A$6,MIN(Reference!$A$11,MIN(D96,180))),Reference!$A$6:$A$11,1)))+(MAX(Reference!$A$6,MIN(Reference!$A$11,MIN(D96,180)))-INDEX(Reference!$A$6:$A$11,MIN(5,MATCH(MAX(Reference!$A$6,MIN(Reference!$A$11,MIN(D96,180))),Reference!$A$6:$A$11,1))))*(INDEX(Reference!$B$6:$B$11,MIN(5,MATCH(MAX(Reference!$A$6,MIN(Reference!$A$11,MIN(D96,180))),Reference!$A$6:$A$11,1))+1)-INDEX(Reference!$B$6:$B$11,MIN(5,MATCH(MAX(Reference!$A$6,MIN(Reference!$A$11,MIN(D96,180))),Reference!$A$6:$A$11,1))))/(INDEX(Reference!$A$6:$A$11,MIN(5,MATCH(MAX(Reference!$A$6,MIN(Reference!$A$11,MIN(D96,180))),Reference!$A$6:$A$11,1))+1)-INDEX(Reference!$A$6:$A$11,MIN(5,MATCH(MAX(Reference!$A$6,MIN(Reference!$A$11,MIN(D96,180))),Reference!$A$6:$A$11,1))))),0)+IF(5&lt;=AE96,(AE96-5+3)*(INDEX(Reference!$B$6:$B$11,MIN(5,MATCH(MAX(Reference!$A$6,MIN(Reference!$A$11,MIN(D96,210))),Reference!$A$6:$A$11,1)))+(MAX(Reference!$A$6,MIN(Reference!$A$11,MIN(D96,210)))-INDEX(Reference!$A$6:$A$11,MIN(5,MATCH(MAX(Reference!$A$6,MIN(Reference!$A$11,MIN(D96,210))),Reference!$A$6:$A$11,1))))*(INDEX(Reference!$B$6:$B$11,MIN(5,MATCH(MAX(Reference!$A$6,MIN(Reference!$A$11,MIN(D96,210))),Reference!$A$6:$A$11,1))+1)-INDEX(Reference!$B$6:$B$11,MIN(5,MATCH(MAX(Reference!$A$6,MIN(Reference!$A$11,MIN(D96,210))),Reference!$A$6:$A$11,1))))/(INDEX(Reference!$A$6:$A$11,MIN(5,MATCH(MAX(Reference!$A$6,MIN(Reference!$A$11,MIN(D96,210))),Reference!$A$6:$A$11,1))+1)-INDEX(Reference!$A$6:$A$11,MIN(5,MATCH(MAX(Reference!$A$6,MIN(Reference!$A$11,MIN(D96,210))),Reference!$A$6:$A$11,1))))),0)+IF(6&lt;=AE96,(AE96-6+3)*(INDEX(Reference!$B$6:$B$11,MIN(5,MATCH(MAX(Reference!$A$6,MIN(Reference!$A$11,MIN(D96,240))),Reference!$A$6:$A$11,1)))+(MAX(Reference!$A$6,MIN(Reference!$A$11,MIN(D96,240)))-INDEX(Reference!$A$6:$A$11,MIN(5,MATCH(MAX(Reference!$A$6,MIN(Reference!$A$11,MIN(D96,240))),Reference!$A$6:$A$11,1))))*(INDEX(Reference!$B$6:$B$11,MIN(5,MATCH(MAX(Reference!$A$6,MIN(Reference!$A$11,MIN(D96,240))),Reference!$A$6:$A$11,1))+1)-INDEX(Reference!$B$6:$B$11,MIN(5,MATCH(MAX(Reference!$A$6,MIN(Reference!$A$11,MIN(D96,240))),Reference!$A$6:$A$11,1))))/(INDEX(Reference!$A$6:$A$11,MIN(5,MATCH(MAX(Reference!$A$6,MIN(Reference!$A$11,MIN(D96,240))),Reference!$A$6:$A$11,1))+1)-INDEX(Reference!$A$6:$A$11,MIN(5,MATCH(MAX(Reference!$A$6,MIN(Reference!$A$11,MIN(D96,240))),Reference!$A$6:$A$11,1))))),0)+IF(7&lt;=AE96,(AE96-7+3)*(INDEX(Reference!$B$6:$B$11,MIN(5,MATCH(MAX(Reference!$A$6,MIN(Reference!$A$11,MIN(D96,270))),Reference!$A$6:$A$11,1)))+(MAX(Reference!$A$6,MIN(Reference!$A$11,MIN(D96,270)))-INDEX(Reference!$A$6:$A$11,MIN(5,MATCH(MAX(Reference!$A$6,MIN(Reference!$A$11,MIN(D96,270))),Reference!$A$6:$A$11,1))))*(INDEX(Reference!$B$6:$B$11,MIN(5,MATCH(MAX(Reference!$A$6,MIN(Reference!$A$11,MIN(D96,270))),Reference!$A$6:$A$11,1))+1)-INDEX(Reference!$B$6:$B$11,MIN(5,MATCH(MAX(Reference!$A$6,MIN(Reference!$A$11,MIN(D96,270))),Reference!$A$6:$A$11,1))))/(INDEX(Reference!$A$6:$A$11,MIN(5,MATCH(MAX(Reference!$A$6,MIN(Reference!$A$11,MIN(D96,270))),Reference!$A$6:$A$11,1))+1)-INDEX(Reference!$A$6:$A$11,MIN(5,MATCH(MAX(Reference!$A$6,MIN(Reference!$A$11,MIN(D96,270))),Reference!$A$6:$A$11,1))))),0)+IF(8&lt;=AE96,(AE96-8+3)*(INDEX(Reference!$B$6:$B$11,MIN(5,MATCH(MAX(Reference!$A$6,MIN(Reference!$A$11,MIN(D96,300))),Reference!$A$6:$A$11,1)))+(MAX(Reference!$A$6,MIN(Reference!$A$11,MIN(D96,300)))-INDEX(Reference!$A$6:$A$11,MIN(5,MATCH(MAX(Reference!$A$6,MIN(Reference!$A$11,MIN(D96,300))),Reference!$A$6:$A$11,1))))*(INDEX(Reference!$B$6:$B$11,MIN(5,MATCH(MAX(Reference!$A$6,MIN(Reference!$A$11,MIN(D96,300))),Reference!$A$6:$A$11,1))+1)-INDEX(Reference!$B$6:$B$11,MIN(5,MATCH(MAX(Reference!$A$6,MIN(Reference!$A$11,MIN(D96,300))),Reference!$A$6:$A$11,1))))/(INDEX(Reference!$A$6:$A$11,MIN(5,MATCH(MAX(Reference!$A$6,MIN(Reference!$A$11,MIN(D96,300))),Reference!$A$6:$A$11,1))+1)-INDEX(Reference!$A$6:$A$11,MIN(5,MATCH(MAX(Reference!$A$6,MIN(Reference!$A$11,MIN(D96,300))),Reference!$A$6:$A$11,1))))),0))/(AE96*(AE96+5)/2)),(INDEX(Reference!$B$6:$B$11,MIN(5,MATCH(MAX(Reference!$A$6,MIN(Reference!$A$11,D96)),Reference!$A$6:$A$11,1)))+(MAX(Reference!$A$6,MIN(Reference!$A$11,D96))-INDEX(Reference!$A$6:$A$11,MIN(5,MATCH(MAX(Reference!$A$6,MIN(Reference!$A$11,D96)),Reference!$A$6:$A$11,1))))*(INDEX(Reference!$B$6:$B$11,MIN(5,MATCH(MAX(Reference!$A$6,MIN(Reference!$A$11,D96)),Reference!$A$6:$A$11,1))+1)-INDEX(Reference!$B$6:$B$11,MIN(5,MATCH(MAX(Reference!$A$6,MIN(Reference!$A$11,D96)),Reference!$A$6:$A$11,1))))/(INDEX(Reference!$A$6:$A$11,MIN(5,MATCH(MAX(Reference!$A$6,MIN(Reference!$A$11,D96)),Reference!$A$6:$A$11,1))+1)-INDEX(Reference!$A$6:$A$11,MIN(5,MATCH(MAX(Reference!$A$6,MIN(Reference!$A$11,D96)),Reference!$A$6:$A$11,1))))))))</f>
        <v/>
      </c>
      <c r="P96" s="32" t="str">
        <f>IF(N96="","",VLOOKUP(MAX(N96,0),Reference!$A$17:$B$20,2,TRUE()))</f>
        <v/>
      </c>
      <c r="Q96" s="32" t="str">
        <f t="shared" si="12"/>
        <v/>
      </c>
      <c r="R96" s="31"/>
      <c r="S96" s="31"/>
      <c r="T96" s="31"/>
      <c r="U96" s="32" t="str">
        <f t="shared" si="13"/>
        <v/>
      </c>
      <c r="V96" s="32" t="str">
        <f t="shared" si="14"/>
        <v/>
      </c>
      <c r="W96" s="32" t="str">
        <f>IF(V96="","",VLOOKUP(MAX(V96,0),Reference!$A$17:$B$20,2,TRUE()))</f>
        <v/>
      </c>
      <c r="X96" s="31"/>
      <c r="Y96" s="31"/>
      <c r="Z96" s="31"/>
      <c r="AA96" s="32" t="str">
        <f t="shared" si="15"/>
        <v/>
      </c>
      <c r="AB96" s="32" t="str">
        <f t="shared" si="16"/>
        <v/>
      </c>
      <c r="AC96" s="32" t="str">
        <f>IF(AB96="","",VLOOKUP(MAX(AB96,0),Reference!$A$17:$B$20,2,TRUE()))</f>
        <v/>
      </c>
      <c r="AD96" s="31"/>
      <c r="AE96">
        <f t="shared" si="17"/>
        <v>1</v>
      </c>
      <c r="AF96" s="33" t="str">
        <f>IF(OR(A96="",B96="",AND(C96&lt;&gt;"Bullpen",C96&lt;&gt;"Game")),"",IF((COUNTIFS($B$5:$B$300,B96,$A$5:$A$300,A96-1,$C$5:$C$300,"Bullpen",$AG$5:$AG$300,"&gt;0") + COUNTIFS($B$5:$B$300,B96,$A$5:$A$300,A96-1,$C$5:$C$300,"Game",$AG$5:$AG$300,"&gt;0"))&gt;0,Reference!$B$119,IF((COUNTIFS($B$5:$B$300,B96,$A$5:$A$300,A96-2,$C$5:$C$300,"Bullpen",$AG$5:$AG$300,"&gt;0") + COUNTIFS($B$5:$B$300,B96,$A$5:$A$300,A96-2,$C$5:$C$300,"Game",$AG$5:$AG$300,"&gt;0"))&gt;0,Reference!$B$120,1)))</f>
        <v/>
      </c>
      <c r="AG96" s="30" t="str">
        <f>IF(AND(OR(I96="",O96="",P96=""),OR(R96="",W96=""),OR(X96="",AC96="")),"",IF(OR(I96="",O96="",P96=""),0,I96*O96*P96)+IF(OR(R96="",W96=""),0,R96*IFERROR(INDEX(Reference!$B$61:$B$62,MATCH("Bullpen",Reference!$A$61:$A$62,0)),0)*W96)+IF(OR(X96="",AC96=""),0,X96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96))</f>
        <v/>
      </c>
    </row>
    <row r="97" spans="1:33" x14ac:dyDescent="0.3">
      <c r="A97" s="35"/>
      <c r="B97" s="31"/>
      <c r="C97" s="31"/>
      <c r="D97" s="31"/>
      <c r="E97" s="34"/>
      <c r="F97" s="34"/>
      <c r="G97" s="30" t="str">
        <f t="shared" si="9"/>
        <v/>
      </c>
      <c r="H97" s="31"/>
      <c r="I97" s="32" t="str">
        <f>IF(H97&lt;&gt;"",H97,IF(G97="","",ROUND(G97*IFERROR(INDEX(Reference!$B$44:$B$50,MATCH(C97,Reference!$A$44:$A$50,0)),0),0)))</f>
        <v/>
      </c>
      <c r="J97" s="31"/>
      <c r="K97" s="31"/>
      <c r="L97" s="32" t="str">
        <f t="shared" si="10"/>
        <v/>
      </c>
      <c r="M97" s="32" t="str">
        <f>IFERROR(INDEX(Roster!$D$5:$D$40,MATCH(B97,Roster!$A$5:$A$40,0)),"")</f>
        <v/>
      </c>
      <c r="N97" s="32" t="str">
        <f t="shared" si="11"/>
        <v/>
      </c>
      <c r="O97" s="32" t="str">
        <f>IF(OR(C97="Bullpen",C97="Game"),IFERROR(INDEX(Reference!$B$61:$B$62,MATCH(C97,Reference!$A$61:$A$62,0)),""),IF(D97="","",IF(AE97&gt;1,((IF(1&lt;=AE97,(AE97-1+3)*(INDEX(Reference!$B$6:$B$11,MIN(5,MATCH(MAX(Reference!$A$6,MIN(Reference!$A$11,MIN(D97,90))),Reference!$A$6:$A$11,1)))+(MAX(Reference!$A$6,MIN(Reference!$A$11,MIN(D97,90)))-INDEX(Reference!$A$6:$A$11,MIN(5,MATCH(MAX(Reference!$A$6,MIN(Reference!$A$11,MIN(D97,90))),Reference!$A$6:$A$11,1))))*(INDEX(Reference!$B$6:$B$11,MIN(5,MATCH(MAX(Reference!$A$6,MIN(Reference!$A$11,MIN(D97,90))),Reference!$A$6:$A$11,1))+1)-INDEX(Reference!$B$6:$B$11,MIN(5,MATCH(MAX(Reference!$A$6,MIN(Reference!$A$11,MIN(D97,90))),Reference!$A$6:$A$11,1))))/(INDEX(Reference!$A$6:$A$11,MIN(5,MATCH(MAX(Reference!$A$6,MIN(Reference!$A$11,MIN(D97,90))),Reference!$A$6:$A$11,1))+1)-INDEX(Reference!$A$6:$A$11,MIN(5,MATCH(MAX(Reference!$A$6,MIN(Reference!$A$11,MIN(D97,90))),Reference!$A$6:$A$11,1))))),0)+IF(2&lt;=AE97,(AE97-2+3)*(INDEX(Reference!$B$6:$B$11,MIN(5,MATCH(MAX(Reference!$A$6,MIN(Reference!$A$11,MIN(D97,120))),Reference!$A$6:$A$11,1)))+(MAX(Reference!$A$6,MIN(Reference!$A$11,MIN(D97,120)))-INDEX(Reference!$A$6:$A$11,MIN(5,MATCH(MAX(Reference!$A$6,MIN(Reference!$A$11,MIN(D97,120))),Reference!$A$6:$A$11,1))))*(INDEX(Reference!$B$6:$B$11,MIN(5,MATCH(MAX(Reference!$A$6,MIN(Reference!$A$11,MIN(D97,120))),Reference!$A$6:$A$11,1))+1)-INDEX(Reference!$B$6:$B$11,MIN(5,MATCH(MAX(Reference!$A$6,MIN(Reference!$A$11,MIN(D97,120))),Reference!$A$6:$A$11,1))))/(INDEX(Reference!$A$6:$A$11,MIN(5,MATCH(MAX(Reference!$A$6,MIN(Reference!$A$11,MIN(D97,120))),Reference!$A$6:$A$11,1))+1)-INDEX(Reference!$A$6:$A$11,MIN(5,MATCH(MAX(Reference!$A$6,MIN(Reference!$A$11,MIN(D97,120))),Reference!$A$6:$A$11,1))))),0)+IF(3&lt;=AE97,(AE97-3+3)*(INDEX(Reference!$B$6:$B$11,MIN(5,MATCH(MAX(Reference!$A$6,MIN(Reference!$A$11,MIN(D97,150))),Reference!$A$6:$A$11,1)))+(MAX(Reference!$A$6,MIN(Reference!$A$11,MIN(D97,150)))-INDEX(Reference!$A$6:$A$11,MIN(5,MATCH(MAX(Reference!$A$6,MIN(Reference!$A$11,MIN(D97,150))),Reference!$A$6:$A$11,1))))*(INDEX(Reference!$B$6:$B$11,MIN(5,MATCH(MAX(Reference!$A$6,MIN(Reference!$A$11,MIN(D97,150))),Reference!$A$6:$A$11,1))+1)-INDEX(Reference!$B$6:$B$11,MIN(5,MATCH(MAX(Reference!$A$6,MIN(Reference!$A$11,MIN(D97,150))),Reference!$A$6:$A$11,1))))/(INDEX(Reference!$A$6:$A$11,MIN(5,MATCH(MAX(Reference!$A$6,MIN(Reference!$A$11,MIN(D97,150))),Reference!$A$6:$A$11,1))+1)-INDEX(Reference!$A$6:$A$11,MIN(5,MATCH(MAX(Reference!$A$6,MIN(Reference!$A$11,MIN(D97,150))),Reference!$A$6:$A$11,1))))),0)+IF(4&lt;=AE97,(AE97-4+3)*(INDEX(Reference!$B$6:$B$11,MIN(5,MATCH(MAX(Reference!$A$6,MIN(Reference!$A$11,MIN(D97,180))),Reference!$A$6:$A$11,1)))+(MAX(Reference!$A$6,MIN(Reference!$A$11,MIN(D97,180)))-INDEX(Reference!$A$6:$A$11,MIN(5,MATCH(MAX(Reference!$A$6,MIN(Reference!$A$11,MIN(D97,180))),Reference!$A$6:$A$11,1))))*(INDEX(Reference!$B$6:$B$11,MIN(5,MATCH(MAX(Reference!$A$6,MIN(Reference!$A$11,MIN(D97,180))),Reference!$A$6:$A$11,1))+1)-INDEX(Reference!$B$6:$B$11,MIN(5,MATCH(MAX(Reference!$A$6,MIN(Reference!$A$11,MIN(D97,180))),Reference!$A$6:$A$11,1))))/(INDEX(Reference!$A$6:$A$11,MIN(5,MATCH(MAX(Reference!$A$6,MIN(Reference!$A$11,MIN(D97,180))),Reference!$A$6:$A$11,1))+1)-INDEX(Reference!$A$6:$A$11,MIN(5,MATCH(MAX(Reference!$A$6,MIN(Reference!$A$11,MIN(D97,180))),Reference!$A$6:$A$11,1))))),0)+IF(5&lt;=AE97,(AE97-5+3)*(INDEX(Reference!$B$6:$B$11,MIN(5,MATCH(MAX(Reference!$A$6,MIN(Reference!$A$11,MIN(D97,210))),Reference!$A$6:$A$11,1)))+(MAX(Reference!$A$6,MIN(Reference!$A$11,MIN(D97,210)))-INDEX(Reference!$A$6:$A$11,MIN(5,MATCH(MAX(Reference!$A$6,MIN(Reference!$A$11,MIN(D97,210))),Reference!$A$6:$A$11,1))))*(INDEX(Reference!$B$6:$B$11,MIN(5,MATCH(MAX(Reference!$A$6,MIN(Reference!$A$11,MIN(D97,210))),Reference!$A$6:$A$11,1))+1)-INDEX(Reference!$B$6:$B$11,MIN(5,MATCH(MAX(Reference!$A$6,MIN(Reference!$A$11,MIN(D97,210))),Reference!$A$6:$A$11,1))))/(INDEX(Reference!$A$6:$A$11,MIN(5,MATCH(MAX(Reference!$A$6,MIN(Reference!$A$11,MIN(D97,210))),Reference!$A$6:$A$11,1))+1)-INDEX(Reference!$A$6:$A$11,MIN(5,MATCH(MAX(Reference!$A$6,MIN(Reference!$A$11,MIN(D97,210))),Reference!$A$6:$A$11,1))))),0)+IF(6&lt;=AE97,(AE97-6+3)*(INDEX(Reference!$B$6:$B$11,MIN(5,MATCH(MAX(Reference!$A$6,MIN(Reference!$A$11,MIN(D97,240))),Reference!$A$6:$A$11,1)))+(MAX(Reference!$A$6,MIN(Reference!$A$11,MIN(D97,240)))-INDEX(Reference!$A$6:$A$11,MIN(5,MATCH(MAX(Reference!$A$6,MIN(Reference!$A$11,MIN(D97,240))),Reference!$A$6:$A$11,1))))*(INDEX(Reference!$B$6:$B$11,MIN(5,MATCH(MAX(Reference!$A$6,MIN(Reference!$A$11,MIN(D97,240))),Reference!$A$6:$A$11,1))+1)-INDEX(Reference!$B$6:$B$11,MIN(5,MATCH(MAX(Reference!$A$6,MIN(Reference!$A$11,MIN(D97,240))),Reference!$A$6:$A$11,1))))/(INDEX(Reference!$A$6:$A$11,MIN(5,MATCH(MAX(Reference!$A$6,MIN(Reference!$A$11,MIN(D97,240))),Reference!$A$6:$A$11,1))+1)-INDEX(Reference!$A$6:$A$11,MIN(5,MATCH(MAX(Reference!$A$6,MIN(Reference!$A$11,MIN(D97,240))),Reference!$A$6:$A$11,1))))),0)+IF(7&lt;=AE97,(AE97-7+3)*(INDEX(Reference!$B$6:$B$11,MIN(5,MATCH(MAX(Reference!$A$6,MIN(Reference!$A$11,MIN(D97,270))),Reference!$A$6:$A$11,1)))+(MAX(Reference!$A$6,MIN(Reference!$A$11,MIN(D97,270)))-INDEX(Reference!$A$6:$A$11,MIN(5,MATCH(MAX(Reference!$A$6,MIN(Reference!$A$11,MIN(D97,270))),Reference!$A$6:$A$11,1))))*(INDEX(Reference!$B$6:$B$11,MIN(5,MATCH(MAX(Reference!$A$6,MIN(Reference!$A$11,MIN(D97,270))),Reference!$A$6:$A$11,1))+1)-INDEX(Reference!$B$6:$B$11,MIN(5,MATCH(MAX(Reference!$A$6,MIN(Reference!$A$11,MIN(D97,270))),Reference!$A$6:$A$11,1))))/(INDEX(Reference!$A$6:$A$11,MIN(5,MATCH(MAX(Reference!$A$6,MIN(Reference!$A$11,MIN(D97,270))),Reference!$A$6:$A$11,1))+1)-INDEX(Reference!$A$6:$A$11,MIN(5,MATCH(MAX(Reference!$A$6,MIN(Reference!$A$11,MIN(D97,270))),Reference!$A$6:$A$11,1))))),0)+IF(8&lt;=AE97,(AE97-8+3)*(INDEX(Reference!$B$6:$B$11,MIN(5,MATCH(MAX(Reference!$A$6,MIN(Reference!$A$11,MIN(D97,300))),Reference!$A$6:$A$11,1)))+(MAX(Reference!$A$6,MIN(Reference!$A$11,MIN(D97,300)))-INDEX(Reference!$A$6:$A$11,MIN(5,MATCH(MAX(Reference!$A$6,MIN(Reference!$A$11,MIN(D97,300))),Reference!$A$6:$A$11,1))))*(INDEX(Reference!$B$6:$B$11,MIN(5,MATCH(MAX(Reference!$A$6,MIN(Reference!$A$11,MIN(D97,300))),Reference!$A$6:$A$11,1))+1)-INDEX(Reference!$B$6:$B$11,MIN(5,MATCH(MAX(Reference!$A$6,MIN(Reference!$A$11,MIN(D97,300))),Reference!$A$6:$A$11,1))))/(INDEX(Reference!$A$6:$A$11,MIN(5,MATCH(MAX(Reference!$A$6,MIN(Reference!$A$11,MIN(D97,300))),Reference!$A$6:$A$11,1))+1)-INDEX(Reference!$A$6:$A$11,MIN(5,MATCH(MAX(Reference!$A$6,MIN(Reference!$A$11,MIN(D97,300))),Reference!$A$6:$A$11,1))))),0))/(AE97*(AE97+5)/2)),(INDEX(Reference!$B$6:$B$11,MIN(5,MATCH(MAX(Reference!$A$6,MIN(Reference!$A$11,D97)),Reference!$A$6:$A$11,1)))+(MAX(Reference!$A$6,MIN(Reference!$A$11,D97))-INDEX(Reference!$A$6:$A$11,MIN(5,MATCH(MAX(Reference!$A$6,MIN(Reference!$A$11,D97)),Reference!$A$6:$A$11,1))))*(INDEX(Reference!$B$6:$B$11,MIN(5,MATCH(MAX(Reference!$A$6,MIN(Reference!$A$11,D97)),Reference!$A$6:$A$11,1))+1)-INDEX(Reference!$B$6:$B$11,MIN(5,MATCH(MAX(Reference!$A$6,MIN(Reference!$A$11,D97)),Reference!$A$6:$A$11,1))))/(INDEX(Reference!$A$6:$A$11,MIN(5,MATCH(MAX(Reference!$A$6,MIN(Reference!$A$11,D97)),Reference!$A$6:$A$11,1))+1)-INDEX(Reference!$A$6:$A$11,MIN(5,MATCH(MAX(Reference!$A$6,MIN(Reference!$A$11,D97)),Reference!$A$6:$A$11,1))))))))</f>
        <v/>
      </c>
      <c r="P97" s="32" t="str">
        <f>IF(N97="","",VLOOKUP(MAX(N97,0),Reference!$A$17:$B$20,2,TRUE()))</f>
        <v/>
      </c>
      <c r="Q97" s="32" t="str">
        <f t="shared" si="12"/>
        <v/>
      </c>
      <c r="R97" s="31"/>
      <c r="S97" s="31"/>
      <c r="T97" s="31"/>
      <c r="U97" s="32" t="str">
        <f t="shared" si="13"/>
        <v/>
      </c>
      <c r="V97" s="32" t="str">
        <f t="shared" si="14"/>
        <v/>
      </c>
      <c r="W97" s="32" t="str">
        <f>IF(V97="","",VLOOKUP(MAX(V97,0),Reference!$A$17:$B$20,2,TRUE()))</f>
        <v/>
      </c>
      <c r="X97" s="31"/>
      <c r="Y97" s="31"/>
      <c r="Z97" s="31"/>
      <c r="AA97" s="32" t="str">
        <f t="shared" si="15"/>
        <v/>
      </c>
      <c r="AB97" s="32" t="str">
        <f t="shared" si="16"/>
        <v/>
      </c>
      <c r="AC97" s="32" t="str">
        <f>IF(AB97="","",VLOOKUP(MAX(AB97,0),Reference!$A$17:$B$20,2,TRUE()))</f>
        <v/>
      </c>
      <c r="AD97" s="31"/>
      <c r="AE97">
        <f t="shared" si="17"/>
        <v>1</v>
      </c>
      <c r="AF97" s="33" t="str">
        <f>IF(OR(A97="",B97="",AND(C97&lt;&gt;"Bullpen",C97&lt;&gt;"Game")),"",IF((COUNTIFS($B$5:$B$300,B97,$A$5:$A$300,A97-1,$C$5:$C$300,"Bullpen",$AG$5:$AG$300,"&gt;0") + COUNTIFS($B$5:$B$300,B97,$A$5:$A$300,A97-1,$C$5:$C$300,"Game",$AG$5:$AG$300,"&gt;0"))&gt;0,Reference!$B$119,IF((COUNTIFS($B$5:$B$300,B97,$A$5:$A$300,A97-2,$C$5:$C$300,"Bullpen",$AG$5:$AG$300,"&gt;0") + COUNTIFS($B$5:$B$300,B97,$A$5:$A$300,A97-2,$C$5:$C$300,"Game",$AG$5:$AG$300,"&gt;0"))&gt;0,Reference!$B$120,1)))</f>
        <v/>
      </c>
      <c r="AG97" s="30" t="str">
        <f>IF(AND(OR(I97="",O97="",P97=""),OR(R97="",W97=""),OR(X97="",AC97="")),"",IF(OR(I97="",O97="",P97=""),0,I97*O97*P97)+IF(OR(R97="",W97=""),0,R97*IFERROR(INDEX(Reference!$B$61:$B$62,MATCH("Bullpen",Reference!$A$61:$A$62,0)),0)*W97)+IF(OR(X97="",AC97=""),0,X97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97))</f>
        <v/>
      </c>
    </row>
    <row r="98" spans="1:33" x14ac:dyDescent="0.3">
      <c r="A98" s="35"/>
      <c r="B98" s="31"/>
      <c r="C98" s="31"/>
      <c r="D98" s="31"/>
      <c r="E98" s="34"/>
      <c r="F98" s="34"/>
      <c r="G98" s="30" t="str">
        <f t="shared" si="9"/>
        <v/>
      </c>
      <c r="H98" s="31"/>
      <c r="I98" s="32" t="str">
        <f>IF(H98&lt;&gt;"",H98,IF(G98="","",ROUND(G98*IFERROR(INDEX(Reference!$B$44:$B$50,MATCH(C98,Reference!$A$44:$A$50,0)),0),0)))</f>
        <v/>
      </c>
      <c r="J98" s="31"/>
      <c r="K98" s="31"/>
      <c r="L98" s="32" t="str">
        <f t="shared" si="10"/>
        <v/>
      </c>
      <c r="M98" s="32" t="str">
        <f>IFERROR(INDEX(Roster!$D$5:$D$40,MATCH(B98,Roster!$A$5:$A$40,0)),"")</f>
        <v/>
      </c>
      <c r="N98" s="32" t="str">
        <f t="shared" si="11"/>
        <v/>
      </c>
      <c r="O98" s="32" t="str">
        <f>IF(OR(C98="Bullpen",C98="Game"),IFERROR(INDEX(Reference!$B$61:$B$62,MATCH(C98,Reference!$A$61:$A$62,0)),""),IF(D98="","",IF(AE98&gt;1,((IF(1&lt;=AE98,(AE98-1+3)*(INDEX(Reference!$B$6:$B$11,MIN(5,MATCH(MAX(Reference!$A$6,MIN(Reference!$A$11,MIN(D98,90))),Reference!$A$6:$A$11,1)))+(MAX(Reference!$A$6,MIN(Reference!$A$11,MIN(D98,90)))-INDEX(Reference!$A$6:$A$11,MIN(5,MATCH(MAX(Reference!$A$6,MIN(Reference!$A$11,MIN(D98,90))),Reference!$A$6:$A$11,1))))*(INDEX(Reference!$B$6:$B$11,MIN(5,MATCH(MAX(Reference!$A$6,MIN(Reference!$A$11,MIN(D98,90))),Reference!$A$6:$A$11,1))+1)-INDEX(Reference!$B$6:$B$11,MIN(5,MATCH(MAX(Reference!$A$6,MIN(Reference!$A$11,MIN(D98,90))),Reference!$A$6:$A$11,1))))/(INDEX(Reference!$A$6:$A$11,MIN(5,MATCH(MAX(Reference!$A$6,MIN(Reference!$A$11,MIN(D98,90))),Reference!$A$6:$A$11,1))+1)-INDEX(Reference!$A$6:$A$11,MIN(5,MATCH(MAX(Reference!$A$6,MIN(Reference!$A$11,MIN(D98,90))),Reference!$A$6:$A$11,1))))),0)+IF(2&lt;=AE98,(AE98-2+3)*(INDEX(Reference!$B$6:$B$11,MIN(5,MATCH(MAX(Reference!$A$6,MIN(Reference!$A$11,MIN(D98,120))),Reference!$A$6:$A$11,1)))+(MAX(Reference!$A$6,MIN(Reference!$A$11,MIN(D98,120)))-INDEX(Reference!$A$6:$A$11,MIN(5,MATCH(MAX(Reference!$A$6,MIN(Reference!$A$11,MIN(D98,120))),Reference!$A$6:$A$11,1))))*(INDEX(Reference!$B$6:$B$11,MIN(5,MATCH(MAX(Reference!$A$6,MIN(Reference!$A$11,MIN(D98,120))),Reference!$A$6:$A$11,1))+1)-INDEX(Reference!$B$6:$B$11,MIN(5,MATCH(MAX(Reference!$A$6,MIN(Reference!$A$11,MIN(D98,120))),Reference!$A$6:$A$11,1))))/(INDEX(Reference!$A$6:$A$11,MIN(5,MATCH(MAX(Reference!$A$6,MIN(Reference!$A$11,MIN(D98,120))),Reference!$A$6:$A$11,1))+1)-INDEX(Reference!$A$6:$A$11,MIN(5,MATCH(MAX(Reference!$A$6,MIN(Reference!$A$11,MIN(D98,120))),Reference!$A$6:$A$11,1))))),0)+IF(3&lt;=AE98,(AE98-3+3)*(INDEX(Reference!$B$6:$B$11,MIN(5,MATCH(MAX(Reference!$A$6,MIN(Reference!$A$11,MIN(D98,150))),Reference!$A$6:$A$11,1)))+(MAX(Reference!$A$6,MIN(Reference!$A$11,MIN(D98,150)))-INDEX(Reference!$A$6:$A$11,MIN(5,MATCH(MAX(Reference!$A$6,MIN(Reference!$A$11,MIN(D98,150))),Reference!$A$6:$A$11,1))))*(INDEX(Reference!$B$6:$B$11,MIN(5,MATCH(MAX(Reference!$A$6,MIN(Reference!$A$11,MIN(D98,150))),Reference!$A$6:$A$11,1))+1)-INDEX(Reference!$B$6:$B$11,MIN(5,MATCH(MAX(Reference!$A$6,MIN(Reference!$A$11,MIN(D98,150))),Reference!$A$6:$A$11,1))))/(INDEX(Reference!$A$6:$A$11,MIN(5,MATCH(MAX(Reference!$A$6,MIN(Reference!$A$11,MIN(D98,150))),Reference!$A$6:$A$11,1))+1)-INDEX(Reference!$A$6:$A$11,MIN(5,MATCH(MAX(Reference!$A$6,MIN(Reference!$A$11,MIN(D98,150))),Reference!$A$6:$A$11,1))))),0)+IF(4&lt;=AE98,(AE98-4+3)*(INDEX(Reference!$B$6:$B$11,MIN(5,MATCH(MAX(Reference!$A$6,MIN(Reference!$A$11,MIN(D98,180))),Reference!$A$6:$A$11,1)))+(MAX(Reference!$A$6,MIN(Reference!$A$11,MIN(D98,180)))-INDEX(Reference!$A$6:$A$11,MIN(5,MATCH(MAX(Reference!$A$6,MIN(Reference!$A$11,MIN(D98,180))),Reference!$A$6:$A$11,1))))*(INDEX(Reference!$B$6:$B$11,MIN(5,MATCH(MAX(Reference!$A$6,MIN(Reference!$A$11,MIN(D98,180))),Reference!$A$6:$A$11,1))+1)-INDEX(Reference!$B$6:$B$11,MIN(5,MATCH(MAX(Reference!$A$6,MIN(Reference!$A$11,MIN(D98,180))),Reference!$A$6:$A$11,1))))/(INDEX(Reference!$A$6:$A$11,MIN(5,MATCH(MAX(Reference!$A$6,MIN(Reference!$A$11,MIN(D98,180))),Reference!$A$6:$A$11,1))+1)-INDEX(Reference!$A$6:$A$11,MIN(5,MATCH(MAX(Reference!$A$6,MIN(Reference!$A$11,MIN(D98,180))),Reference!$A$6:$A$11,1))))),0)+IF(5&lt;=AE98,(AE98-5+3)*(INDEX(Reference!$B$6:$B$11,MIN(5,MATCH(MAX(Reference!$A$6,MIN(Reference!$A$11,MIN(D98,210))),Reference!$A$6:$A$11,1)))+(MAX(Reference!$A$6,MIN(Reference!$A$11,MIN(D98,210)))-INDEX(Reference!$A$6:$A$11,MIN(5,MATCH(MAX(Reference!$A$6,MIN(Reference!$A$11,MIN(D98,210))),Reference!$A$6:$A$11,1))))*(INDEX(Reference!$B$6:$B$11,MIN(5,MATCH(MAX(Reference!$A$6,MIN(Reference!$A$11,MIN(D98,210))),Reference!$A$6:$A$11,1))+1)-INDEX(Reference!$B$6:$B$11,MIN(5,MATCH(MAX(Reference!$A$6,MIN(Reference!$A$11,MIN(D98,210))),Reference!$A$6:$A$11,1))))/(INDEX(Reference!$A$6:$A$11,MIN(5,MATCH(MAX(Reference!$A$6,MIN(Reference!$A$11,MIN(D98,210))),Reference!$A$6:$A$11,1))+1)-INDEX(Reference!$A$6:$A$11,MIN(5,MATCH(MAX(Reference!$A$6,MIN(Reference!$A$11,MIN(D98,210))),Reference!$A$6:$A$11,1))))),0)+IF(6&lt;=AE98,(AE98-6+3)*(INDEX(Reference!$B$6:$B$11,MIN(5,MATCH(MAX(Reference!$A$6,MIN(Reference!$A$11,MIN(D98,240))),Reference!$A$6:$A$11,1)))+(MAX(Reference!$A$6,MIN(Reference!$A$11,MIN(D98,240)))-INDEX(Reference!$A$6:$A$11,MIN(5,MATCH(MAX(Reference!$A$6,MIN(Reference!$A$11,MIN(D98,240))),Reference!$A$6:$A$11,1))))*(INDEX(Reference!$B$6:$B$11,MIN(5,MATCH(MAX(Reference!$A$6,MIN(Reference!$A$11,MIN(D98,240))),Reference!$A$6:$A$11,1))+1)-INDEX(Reference!$B$6:$B$11,MIN(5,MATCH(MAX(Reference!$A$6,MIN(Reference!$A$11,MIN(D98,240))),Reference!$A$6:$A$11,1))))/(INDEX(Reference!$A$6:$A$11,MIN(5,MATCH(MAX(Reference!$A$6,MIN(Reference!$A$11,MIN(D98,240))),Reference!$A$6:$A$11,1))+1)-INDEX(Reference!$A$6:$A$11,MIN(5,MATCH(MAX(Reference!$A$6,MIN(Reference!$A$11,MIN(D98,240))),Reference!$A$6:$A$11,1))))),0)+IF(7&lt;=AE98,(AE98-7+3)*(INDEX(Reference!$B$6:$B$11,MIN(5,MATCH(MAX(Reference!$A$6,MIN(Reference!$A$11,MIN(D98,270))),Reference!$A$6:$A$11,1)))+(MAX(Reference!$A$6,MIN(Reference!$A$11,MIN(D98,270)))-INDEX(Reference!$A$6:$A$11,MIN(5,MATCH(MAX(Reference!$A$6,MIN(Reference!$A$11,MIN(D98,270))),Reference!$A$6:$A$11,1))))*(INDEX(Reference!$B$6:$B$11,MIN(5,MATCH(MAX(Reference!$A$6,MIN(Reference!$A$11,MIN(D98,270))),Reference!$A$6:$A$11,1))+1)-INDEX(Reference!$B$6:$B$11,MIN(5,MATCH(MAX(Reference!$A$6,MIN(Reference!$A$11,MIN(D98,270))),Reference!$A$6:$A$11,1))))/(INDEX(Reference!$A$6:$A$11,MIN(5,MATCH(MAX(Reference!$A$6,MIN(Reference!$A$11,MIN(D98,270))),Reference!$A$6:$A$11,1))+1)-INDEX(Reference!$A$6:$A$11,MIN(5,MATCH(MAX(Reference!$A$6,MIN(Reference!$A$11,MIN(D98,270))),Reference!$A$6:$A$11,1))))),0)+IF(8&lt;=AE98,(AE98-8+3)*(INDEX(Reference!$B$6:$B$11,MIN(5,MATCH(MAX(Reference!$A$6,MIN(Reference!$A$11,MIN(D98,300))),Reference!$A$6:$A$11,1)))+(MAX(Reference!$A$6,MIN(Reference!$A$11,MIN(D98,300)))-INDEX(Reference!$A$6:$A$11,MIN(5,MATCH(MAX(Reference!$A$6,MIN(Reference!$A$11,MIN(D98,300))),Reference!$A$6:$A$11,1))))*(INDEX(Reference!$B$6:$B$11,MIN(5,MATCH(MAX(Reference!$A$6,MIN(Reference!$A$11,MIN(D98,300))),Reference!$A$6:$A$11,1))+1)-INDEX(Reference!$B$6:$B$11,MIN(5,MATCH(MAX(Reference!$A$6,MIN(Reference!$A$11,MIN(D98,300))),Reference!$A$6:$A$11,1))))/(INDEX(Reference!$A$6:$A$11,MIN(5,MATCH(MAX(Reference!$A$6,MIN(Reference!$A$11,MIN(D98,300))),Reference!$A$6:$A$11,1))+1)-INDEX(Reference!$A$6:$A$11,MIN(5,MATCH(MAX(Reference!$A$6,MIN(Reference!$A$11,MIN(D98,300))),Reference!$A$6:$A$11,1))))),0))/(AE98*(AE98+5)/2)),(INDEX(Reference!$B$6:$B$11,MIN(5,MATCH(MAX(Reference!$A$6,MIN(Reference!$A$11,D98)),Reference!$A$6:$A$11,1)))+(MAX(Reference!$A$6,MIN(Reference!$A$11,D98))-INDEX(Reference!$A$6:$A$11,MIN(5,MATCH(MAX(Reference!$A$6,MIN(Reference!$A$11,D98)),Reference!$A$6:$A$11,1))))*(INDEX(Reference!$B$6:$B$11,MIN(5,MATCH(MAX(Reference!$A$6,MIN(Reference!$A$11,D98)),Reference!$A$6:$A$11,1))+1)-INDEX(Reference!$B$6:$B$11,MIN(5,MATCH(MAX(Reference!$A$6,MIN(Reference!$A$11,D98)),Reference!$A$6:$A$11,1))))/(INDEX(Reference!$A$6:$A$11,MIN(5,MATCH(MAX(Reference!$A$6,MIN(Reference!$A$11,D98)),Reference!$A$6:$A$11,1))+1)-INDEX(Reference!$A$6:$A$11,MIN(5,MATCH(MAX(Reference!$A$6,MIN(Reference!$A$11,D98)),Reference!$A$6:$A$11,1))))))))</f>
        <v/>
      </c>
      <c r="P98" s="32" t="str">
        <f>IF(N98="","",VLOOKUP(MAX(N98,0),Reference!$A$17:$B$20,2,TRUE()))</f>
        <v/>
      </c>
      <c r="Q98" s="32" t="str">
        <f t="shared" si="12"/>
        <v/>
      </c>
      <c r="R98" s="31"/>
      <c r="S98" s="31"/>
      <c r="T98" s="31"/>
      <c r="U98" s="32" t="str">
        <f t="shared" si="13"/>
        <v/>
      </c>
      <c r="V98" s="32" t="str">
        <f t="shared" si="14"/>
        <v/>
      </c>
      <c r="W98" s="32" t="str">
        <f>IF(V98="","",VLOOKUP(MAX(V98,0),Reference!$A$17:$B$20,2,TRUE()))</f>
        <v/>
      </c>
      <c r="X98" s="31"/>
      <c r="Y98" s="31"/>
      <c r="Z98" s="31"/>
      <c r="AA98" s="32" t="str">
        <f t="shared" si="15"/>
        <v/>
      </c>
      <c r="AB98" s="32" t="str">
        <f t="shared" si="16"/>
        <v/>
      </c>
      <c r="AC98" s="32" t="str">
        <f>IF(AB98="","",VLOOKUP(MAX(AB98,0),Reference!$A$17:$B$20,2,TRUE()))</f>
        <v/>
      </c>
      <c r="AD98" s="31"/>
      <c r="AE98">
        <f t="shared" si="17"/>
        <v>1</v>
      </c>
      <c r="AF98" s="33" t="str">
        <f>IF(OR(A98="",B98="",AND(C98&lt;&gt;"Bullpen",C98&lt;&gt;"Game")),"",IF((COUNTIFS($B$5:$B$300,B98,$A$5:$A$300,A98-1,$C$5:$C$300,"Bullpen",$AG$5:$AG$300,"&gt;0") + COUNTIFS($B$5:$B$300,B98,$A$5:$A$300,A98-1,$C$5:$C$300,"Game",$AG$5:$AG$300,"&gt;0"))&gt;0,Reference!$B$119,IF((COUNTIFS($B$5:$B$300,B98,$A$5:$A$300,A98-2,$C$5:$C$300,"Bullpen",$AG$5:$AG$300,"&gt;0") + COUNTIFS($B$5:$B$300,B98,$A$5:$A$300,A98-2,$C$5:$C$300,"Game",$AG$5:$AG$300,"&gt;0"))&gt;0,Reference!$B$120,1)))</f>
        <v/>
      </c>
      <c r="AG98" s="30" t="str">
        <f>IF(AND(OR(I98="",O98="",P98=""),OR(R98="",W98=""),OR(X98="",AC98="")),"",IF(OR(I98="",O98="",P98=""),0,I98*O98*P98)+IF(OR(R98="",W98=""),0,R98*IFERROR(INDEX(Reference!$B$61:$B$62,MATCH("Bullpen",Reference!$A$61:$A$62,0)),0)*W98)+IF(OR(X98="",AC98=""),0,X98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98))</f>
        <v/>
      </c>
    </row>
    <row r="99" spans="1:33" x14ac:dyDescent="0.3">
      <c r="A99" s="35"/>
      <c r="B99" s="31"/>
      <c r="C99" s="31"/>
      <c r="D99" s="31"/>
      <c r="E99" s="34"/>
      <c r="F99" s="34"/>
      <c r="G99" s="30" t="str">
        <f t="shared" si="9"/>
        <v/>
      </c>
      <c r="H99" s="31"/>
      <c r="I99" s="32" t="str">
        <f>IF(H99&lt;&gt;"",H99,IF(G99="","",ROUND(G99*IFERROR(INDEX(Reference!$B$44:$B$50,MATCH(C99,Reference!$A$44:$A$50,0)),0),0)))</f>
        <v/>
      </c>
      <c r="J99" s="31"/>
      <c r="K99" s="31"/>
      <c r="L99" s="32" t="str">
        <f t="shared" si="10"/>
        <v/>
      </c>
      <c r="M99" s="32" t="str">
        <f>IFERROR(INDEX(Roster!$D$5:$D$40,MATCH(B99,Roster!$A$5:$A$40,0)),"")</f>
        <v/>
      </c>
      <c r="N99" s="32" t="str">
        <f t="shared" si="11"/>
        <v/>
      </c>
      <c r="O99" s="32" t="str">
        <f>IF(OR(C99="Bullpen",C99="Game"),IFERROR(INDEX(Reference!$B$61:$B$62,MATCH(C99,Reference!$A$61:$A$62,0)),""),IF(D99="","",IF(AE99&gt;1,((IF(1&lt;=AE99,(AE99-1+3)*(INDEX(Reference!$B$6:$B$11,MIN(5,MATCH(MAX(Reference!$A$6,MIN(Reference!$A$11,MIN(D99,90))),Reference!$A$6:$A$11,1)))+(MAX(Reference!$A$6,MIN(Reference!$A$11,MIN(D99,90)))-INDEX(Reference!$A$6:$A$11,MIN(5,MATCH(MAX(Reference!$A$6,MIN(Reference!$A$11,MIN(D99,90))),Reference!$A$6:$A$11,1))))*(INDEX(Reference!$B$6:$B$11,MIN(5,MATCH(MAX(Reference!$A$6,MIN(Reference!$A$11,MIN(D99,90))),Reference!$A$6:$A$11,1))+1)-INDEX(Reference!$B$6:$B$11,MIN(5,MATCH(MAX(Reference!$A$6,MIN(Reference!$A$11,MIN(D99,90))),Reference!$A$6:$A$11,1))))/(INDEX(Reference!$A$6:$A$11,MIN(5,MATCH(MAX(Reference!$A$6,MIN(Reference!$A$11,MIN(D99,90))),Reference!$A$6:$A$11,1))+1)-INDEX(Reference!$A$6:$A$11,MIN(5,MATCH(MAX(Reference!$A$6,MIN(Reference!$A$11,MIN(D99,90))),Reference!$A$6:$A$11,1))))),0)+IF(2&lt;=AE99,(AE99-2+3)*(INDEX(Reference!$B$6:$B$11,MIN(5,MATCH(MAX(Reference!$A$6,MIN(Reference!$A$11,MIN(D99,120))),Reference!$A$6:$A$11,1)))+(MAX(Reference!$A$6,MIN(Reference!$A$11,MIN(D99,120)))-INDEX(Reference!$A$6:$A$11,MIN(5,MATCH(MAX(Reference!$A$6,MIN(Reference!$A$11,MIN(D99,120))),Reference!$A$6:$A$11,1))))*(INDEX(Reference!$B$6:$B$11,MIN(5,MATCH(MAX(Reference!$A$6,MIN(Reference!$A$11,MIN(D99,120))),Reference!$A$6:$A$11,1))+1)-INDEX(Reference!$B$6:$B$11,MIN(5,MATCH(MAX(Reference!$A$6,MIN(Reference!$A$11,MIN(D99,120))),Reference!$A$6:$A$11,1))))/(INDEX(Reference!$A$6:$A$11,MIN(5,MATCH(MAX(Reference!$A$6,MIN(Reference!$A$11,MIN(D99,120))),Reference!$A$6:$A$11,1))+1)-INDEX(Reference!$A$6:$A$11,MIN(5,MATCH(MAX(Reference!$A$6,MIN(Reference!$A$11,MIN(D99,120))),Reference!$A$6:$A$11,1))))),0)+IF(3&lt;=AE99,(AE99-3+3)*(INDEX(Reference!$B$6:$B$11,MIN(5,MATCH(MAX(Reference!$A$6,MIN(Reference!$A$11,MIN(D99,150))),Reference!$A$6:$A$11,1)))+(MAX(Reference!$A$6,MIN(Reference!$A$11,MIN(D99,150)))-INDEX(Reference!$A$6:$A$11,MIN(5,MATCH(MAX(Reference!$A$6,MIN(Reference!$A$11,MIN(D99,150))),Reference!$A$6:$A$11,1))))*(INDEX(Reference!$B$6:$B$11,MIN(5,MATCH(MAX(Reference!$A$6,MIN(Reference!$A$11,MIN(D99,150))),Reference!$A$6:$A$11,1))+1)-INDEX(Reference!$B$6:$B$11,MIN(5,MATCH(MAX(Reference!$A$6,MIN(Reference!$A$11,MIN(D99,150))),Reference!$A$6:$A$11,1))))/(INDEX(Reference!$A$6:$A$11,MIN(5,MATCH(MAX(Reference!$A$6,MIN(Reference!$A$11,MIN(D99,150))),Reference!$A$6:$A$11,1))+1)-INDEX(Reference!$A$6:$A$11,MIN(5,MATCH(MAX(Reference!$A$6,MIN(Reference!$A$11,MIN(D99,150))),Reference!$A$6:$A$11,1))))),0)+IF(4&lt;=AE99,(AE99-4+3)*(INDEX(Reference!$B$6:$B$11,MIN(5,MATCH(MAX(Reference!$A$6,MIN(Reference!$A$11,MIN(D99,180))),Reference!$A$6:$A$11,1)))+(MAX(Reference!$A$6,MIN(Reference!$A$11,MIN(D99,180)))-INDEX(Reference!$A$6:$A$11,MIN(5,MATCH(MAX(Reference!$A$6,MIN(Reference!$A$11,MIN(D99,180))),Reference!$A$6:$A$11,1))))*(INDEX(Reference!$B$6:$B$11,MIN(5,MATCH(MAX(Reference!$A$6,MIN(Reference!$A$11,MIN(D99,180))),Reference!$A$6:$A$11,1))+1)-INDEX(Reference!$B$6:$B$11,MIN(5,MATCH(MAX(Reference!$A$6,MIN(Reference!$A$11,MIN(D99,180))),Reference!$A$6:$A$11,1))))/(INDEX(Reference!$A$6:$A$11,MIN(5,MATCH(MAX(Reference!$A$6,MIN(Reference!$A$11,MIN(D99,180))),Reference!$A$6:$A$11,1))+1)-INDEX(Reference!$A$6:$A$11,MIN(5,MATCH(MAX(Reference!$A$6,MIN(Reference!$A$11,MIN(D99,180))),Reference!$A$6:$A$11,1))))),0)+IF(5&lt;=AE99,(AE99-5+3)*(INDEX(Reference!$B$6:$B$11,MIN(5,MATCH(MAX(Reference!$A$6,MIN(Reference!$A$11,MIN(D99,210))),Reference!$A$6:$A$11,1)))+(MAX(Reference!$A$6,MIN(Reference!$A$11,MIN(D99,210)))-INDEX(Reference!$A$6:$A$11,MIN(5,MATCH(MAX(Reference!$A$6,MIN(Reference!$A$11,MIN(D99,210))),Reference!$A$6:$A$11,1))))*(INDEX(Reference!$B$6:$B$11,MIN(5,MATCH(MAX(Reference!$A$6,MIN(Reference!$A$11,MIN(D99,210))),Reference!$A$6:$A$11,1))+1)-INDEX(Reference!$B$6:$B$11,MIN(5,MATCH(MAX(Reference!$A$6,MIN(Reference!$A$11,MIN(D99,210))),Reference!$A$6:$A$11,1))))/(INDEX(Reference!$A$6:$A$11,MIN(5,MATCH(MAX(Reference!$A$6,MIN(Reference!$A$11,MIN(D99,210))),Reference!$A$6:$A$11,1))+1)-INDEX(Reference!$A$6:$A$11,MIN(5,MATCH(MAX(Reference!$A$6,MIN(Reference!$A$11,MIN(D99,210))),Reference!$A$6:$A$11,1))))),0)+IF(6&lt;=AE99,(AE99-6+3)*(INDEX(Reference!$B$6:$B$11,MIN(5,MATCH(MAX(Reference!$A$6,MIN(Reference!$A$11,MIN(D99,240))),Reference!$A$6:$A$11,1)))+(MAX(Reference!$A$6,MIN(Reference!$A$11,MIN(D99,240)))-INDEX(Reference!$A$6:$A$11,MIN(5,MATCH(MAX(Reference!$A$6,MIN(Reference!$A$11,MIN(D99,240))),Reference!$A$6:$A$11,1))))*(INDEX(Reference!$B$6:$B$11,MIN(5,MATCH(MAX(Reference!$A$6,MIN(Reference!$A$11,MIN(D99,240))),Reference!$A$6:$A$11,1))+1)-INDEX(Reference!$B$6:$B$11,MIN(5,MATCH(MAX(Reference!$A$6,MIN(Reference!$A$11,MIN(D99,240))),Reference!$A$6:$A$11,1))))/(INDEX(Reference!$A$6:$A$11,MIN(5,MATCH(MAX(Reference!$A$6,MIN(Reference!$A$11,MIN(D99,240))),Reference!$A$6:$A$11,1))+1)-INDEX(Reference!$A$6:$A$11,MIN(5,MATCH(MAX(Reference!$A$6,MIN(Reference!$A$11,MIN(D99,240))),Reference!$A$6:$A$11,1))))),0)+IF(7&lt;=AE99,(AE99-7+3)*(INDEX(Reference!$B$6:$B$11,MIN(5,MATCH(MAX(Reference!$A$6,MIN(Reference!$A$11,MIN(D99,270))),Reference!$A$6:$A$11,1)))+(MAX(Reference!$A$6,MIN(Reference!$A$11,MIN(D99,270)))-INDEX(Reference!$A$6:$A$11,MIN(5,MATCH(MAX(Reference!$A$6,MIN(Reference!$A$11,MIN(D99,270))),Reference!$A$6:$A$11,1))))*(INDEX(Reference!$B$6:$B$11,MIN(5,MATCH(MAX(Reference!$A$6,MIN(Reference!$A$11,MIN(D99,270))),Reference!$A$6:$A$11,1))+1)-INDEX(Reference!$B$6:$B$11,MIN(5,MATCH(MAX(Reference!$A$6,MIN(Reference!$A$11,MIN(D99,270))),Reference!$A$6:$A$11,1))))/(INDEX(Reference!$A$6:$A$11,MIN(5,MATCH(MAX(Reference!$A$6,MIN(Reference!$A$11,MIN(D99,270))),Reference!$A$6:$A$11,1))+1)-INDEX(Reference!$A$6:$A$11,MIN(5,MATCH(MAX(Reference!$A$6,MIN(Reference!$A$11,MIN(D99,270))),Reference!$A$6:$A$11,1))))),0)+IF(8&lt;=AE99,(AE99-8+3)*(INDEX(Reference!$B$6:$B$11,MIN(5,MATCH(MAX(Reference!$A$6,MIN(Reference!$A$11,MIN(D99,300))),Reference!$A$6:$A$11,1)))+(MAX(Reference!$A$6,MIN(Reference!$A$11,MIN(D99,300)))-INDEX(Reference!$A$6:$A$11,MIN(5,MATCH(MAX(Reference!$A$6,MIN(Reference!$A$11,MIN(D99,300))),Reference!$A$6:$A$11,1))))*(INDEX(Reference!$B$6:$B$11,MIN(5,MATCH(MAX(Reference!$A$6,MIN(Reference!$A$11,MIN(D99,300))),Reference!$A$6:$A$11,1))+1)-INDEX(Reference!$B$6:$B$11,MIN(5,MATCH(MAX(Reference!$A$6,MIN(Reference!$A$11,MIN(D99,300))),Reference!$A$6:$A$11,1))))/(INDEX(Reference!$A$6:$A$11,MIN(5,MATCH(MAX(Reference!$A$6,MIN(Reference!$A$11,MIN(D99,300))),Reference!$A$6:$A$11,1))+1)-INDEX(Reference!$A$6:$A$11,MIN(5,MATCH(MAX(Reference!$A$6,MIN(Reference!$A$11,MIN(D99,300))),Reference!$A$6:$A$11,1))))),0))/(AE99*(AE99+5)/2)),(INDEX(Reference!$B$6:$B$11,MIN(5,MATCH(MAX(Reference!$A$6,MIN(Reference!$A$11,D99)),Reference!$A$6:$A$11,1)))+(MAX(Reference!$A$6,MIN(Reference!$A$11,D99))-INDEX(Reference!$A$6:$A$11,MIN(5,MATCH(MAX(Reference!$A$6,MIN(Reference!$A$11,D99)),Reference!$A$6:$A$11,1))))*(INDEX(Reference!$B$6:$B$11,MIN(5,MATCH(MAX(Reference!$A$6,MIN(Reference!$A$11,D99)),Reference!$A$6:$A$11,1))+1)-INDEX(Reference!$B$6:$B$11,MIN(5,MATCH(MAX(Reference!$A$6,MIN(Reference!$A$11,D99)),Reference!$A$6:$A$11,1))))/(INDEX(Reference!$A$6:$A$11,MIN(5,MATCH(MAX(Reference!$A$6,MIN(Reference!$A$11,D99)),Reference!$A$6:$A$11,1))+1)-INDEX(Reference!$A$6:$A$11,MIN(5,MATCH(MAX(Reference!$A$6,MIN(Reference!$A$11,D99)),Reference!$A$6:$A$11,1))))))))</f>
        <v/>
      </c>
      <c r="P99" s="32" t="str">
        <f>IF(N99="","",VLOOKUP(MAX(N99,0),Reference!$A$17:$B$20,2,TRUE()))</f>
        <v/>
      </c>
      <c r="Q99" s="32" t="str">
        <f t="shared" si="12"/>
        <v/>
      </c>
      <c r="R99" s="31"/>
      <c r="S99" s="31"/>
      <c r="T99" s="31"/>
      <c r="U99" s="32" t="str">
        <f t="shared" si="13"/>
        <v/>
      </c>
      <c r="V99" s="32" t="str">
        <f t="shared" si="14"/>
        <v/>
      </c>
      <c r="W99" s="32" t="str">
        <f>IF(V99="","",VLOOKUP(MAX(V99,0),Reference!$A$17:$B$20,2,TRUE()))</f>
        <v/>
      </c>
      <c r="X99" s="31"/>
      <c r="Y99" s="31"/>
      <c r="Z99" s="31"/>
      <c r="AA99" s="32" t="str">
        <f t="shared" si="15"/>
        <v/>
      </c>
      <c r="AB99" s="32" t="str">
        <f t="shared" si="16"/>
        <v/>
      </c>
      <c r="AC99" s="32" t="str">
        <f>IF(AB99="","",VLOOKUP(MAX(AB99,0),Reference!$A$17:$B$20,2,TRUE()))</f>
        <v/>
      </c>
      <c r="AD99" s="31"/>
      <c r="AE99">
        <f t="shared" si="17"/>
        <v>1</v>
      </c>
      <c r="AF99" s="33" t="str">
        <f>IF(OR(A99="",B99="",AND(C99&lt;&gt;"Bullpen",C99&lt;&gt;"Game")),"",IF((COUNTIFS($B$5:$B$300,B99,$A$5:$A$300,A99-1,$C$5:$C$300,"Bullpen",$AG$5:$AG$300,"&gt;0") + COUNTIFS($B$5:$B$300,B99,$A$5:$A$300,A99-1,$C$5:$C$300,"Game",$AG$5:$AG$300,"&gt;0"))&gt;0,Reference!$B$119,IF((COUNTIFS($B$5:$B$300,B99,$A$5:$A$300,A99-2,$C$5:$C$300,"Bullpen",$AG$5:$AG$300,"&gt;0") + COUNTIFS($B$5:$B$300,B99,$A$5:$A$300,A99-2,$C$5:$C$300,"Game",$AG$5:$AG$300,"&gt;0"))&gt;0,Reference!$B$120,1)))</f>
        <v/>
      </c>
      <c r="AG99" s="30" t="str">
        <f>IF(AND(OR(I99="",O99="",P99=""),OR(R99="",W99=""),OR(X99="",AC99="")),"",IF(OR(I99="",O99="",P99=""),0,I99*O99*P99)+IF(OR(R99="",W99=""),0,R99*IFERROR(INDEX(Reference!$B$61:$B$62,MATCH("Bullpen",Reference!$A$61:$A$62,0)),0)*W99)+IF(OR(X99="",AC99=""),0,X99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99))</f>
        <v/>
      </c>
    </row>
    <row r="100" spans="1:33" x14ac:dyDescent="0.3">
      <c r="A100" s="35"/>
      <c r="B100" s="31"/>
      <c r="C100" s="31"/>
      <c r="D100" s="31"/>
      <c r="E100" s="34"/>
      <c r="F100" s="34"/>
      <c r="G100" s="30" t="str">
        <f t="shared" si="9"/>
        <v/>
      </c>
      <c r="H100" s="31"/>
      <c r="I100" s="32" t="str">
        <f>IF(H100&lt;&gt;"",H100,IF(G100="","",ROUND(G100*IFERROR(INDEX(Reference!$B$44:$B$50,MATCH(C100,Reference!$A$44:$A$50,0)),0),0)))</f>
        <v/>
      </c>
      <c r="J100" s="31"/>
      <c r="K100" s="31"/>
      <c r="L100" s="32" t="str">
        <f t="shared" si="10"/>
        <v/>
      </c>
      <c r="M100" s="32" t="str">
        <f>IFERROR(INDEX(Roster!$D$5:$D$40,MATCH(B100,Roster!$A$5:$A$40,0)),"")</f>
        <v/>
      </c>
      <c r="N100" s="32" t="str">
        <f t="shared" si="11"/>
        <v/>
      </c>
      <c r="O100" s="32" t="str">
        <f>IF(OR(C100="Bullpen",C100="Game"),IFERROR(INDEX(Reference!$B$61:$B$62,MATCH(C100,Reference!$A$61:$A$62,0)),""),IF(D100="","",IF(AE100&gt;1,((IF(1&lt;=AE100,(AE100-1+3)*(INDEX(Reference!$B$6:$B$11,MIN(5,MATCH(MAX(Reference!$A$6,MIN(Reference!$A$11,MIN(D100,90))),Reference!$A$6:$A$11,1)))+(MAX(Reference!$A$6,MIN(Reference!$A$11,MIN(D100,90)))-INDEX(Reference!$A$6:$A$11,MIN(5,MATCH(MAX(Reference!$A$6,MIN(Reference!$A$11,MIN(D100,90))),Reference!$A$6:$A$11,1))))*(INDEX(Reference!$B$6:$B$11,MIN(5,MATCH(MAX(Reference!$A$6,MIN(Reference!$A$11,MIN(D100,90))),Reference!$A$6:$A$11,1))+1)-INDEX(Reference!$B$6:$B$11,MIN(5,MATCH(MAX(Reference!$A$6,MIN(Reference!$A$11,MIN(D100,90))),Reference!$A$6:$A$11,1))))/(INDEX(Reference!$A$6:$A$11,MIN(5,MATCH(MAX(Reference!$A$6,MIN(Reference!$A$11,MIN(D100,90))),Reference!$A$6:$A$11,1))+1)-INDEX(Reference!$A$6:$A$11,MIN(5,MATCH(MAX(Reference!$A$6,MIN(Reference!$A$11,MIN(D100,90))),Reference!$A$6:$A$11,1))))),0)+IF(2&lt;=AE100,(AE100-2+3)*(INDEX(Reference!$B$6:$B$11,MIN(5,MATCH(MAX(Reference!$A$6,MIN(Reference!$A$11,MIN(D100,120))),Reference!$A$6:$A$11,1)))+(MAX(Reference!$A$6,MIN(Reference!$A$11,MIN(D100,120)))-INDEX(Reference!$A$6:$A$11,MIN(5,MATCH(MAX(Reference!$A$6,MIN(Reference!$A$11,MIN(D100,120))),Reference!$A$6:$A$11,1))))*(INDEX(Reference!$B$6:$B$11,MIN(5,MATCH(MAX(Reference!$A$6,MIN(Reference!$A$11,MIN(D100,120))),Reference!$A$6:$A$11,1))+1)-INDEX(Reference!$B$6:$B$11,MIN(5,MATCH(MAX(Reference!$A$6,MIN(Reference!$A$11,MIN(D100,120))),Reference!$A$6:$A$11,1))))/(INDEX(Reference!$A$6:$A$11,MIN(5,MATCH(MAX(Reference!$A$6,MIN(Reference!$A$11,MIN(D100,120))),Reference!$A$6:$A$11,1))+1)-INDEX(Reference!$A$6:$A$11,MIN(5,MATCH(MAX(Reference!$A$6,MIN(Reference!$A$11,MIN(D100,120))),Reference!$A$6:$A$11,1))))),0)+IF(3&lt;=AE100,(AE100-3+3)*(INDEX(Reference!$B$6:$B$11,MIN(5,MATCH(MAX(Reference!$A$6,MIN(Reference!$A$11,MIN(D100,150))),Reference!$A$6:$A$11,1)))+(MAX(Reference!$A$6,MIN(Reference!$A$11,MIN(D100,150)))-INDEX(Reference!$A$6:$A$11,MIN(5,MATCH(MAX(Reference!$A$6,MIN(Reference!$A$11,MIN(D100,150))),Reference!$A$6:$A$11,1))))*(INDEX(Reference!$B$6:$B$11,MIN(5,MATCH(MAX(Reference!$A$6,MIN(Reference!$A$11,MIN(D100,150))),Reference!$A$6:$A$11,1))+1)-INDEX(Reference!$B$6:$B$11,MIN(5,MATCH(MAX(Reference!$A$6,MIN(Reference!$A$11,MIN(D100,150))),Reference!$A$6:$A$11,1))))/(INDEX(Reference!$A$6:$A$11,MIN(5,MATCH(MAX(Reference!$A$6,MIN(Reference!$A$11,MIN(D100,150))),Reference!$A$6:$A$11,1))+1)-INDEX(Reference!$A$6:$A$11,MIN(5,MATCH(MAX(Reference!$A$6,MIN(Reference!$A$11,MIN(D100,150))),Reference!$A$6:$A$11,1))))),0)+IF(4&lt;=AE100,(AE100-4+3)*(INDEX(Reference!$B$6:$B$11,MIN(5,MATCH(MAX(Reference!$A$6,MIN(Reference!$A$11,MIN(D100,180))),Reference!$A$6:$A$11,1)))+(MAX(Reference!$A$6,MIN(Reference!$A$11,MIN(D100,180)))-INDEX(Reference!$A$6:$A$11,MIN(5,MATCH(MAX(Reference!$A$6,MIN(Reference!$A$11,MIN(D100,180))),Reference!$A$6:$A$11,1))))*(INDEX(Reference!$B$6:$B$11,MIN(5,MATCH(MAX(Reference!$A$6,MIN(Reference!$A$11,MIN(D100,180))),Reference!$A$6:$A$11,1))+1)-INDEX(Reference!$B$6:$B$11,MIN(5,MATCH(MAX(Reference!$A$6,MIN(Reference!$A$11,MIN(D100,180))),Reference!$A$6:$A$11,1))))/(INDEX(Reference!$A$6:$A$11,MIN(5,MATCH(MAX(Reference!$A$6,MIN(Reference!$A$11,MIN(D100,180))),Reference!$A$6:$A$11,1))+1)-INDEX(Reference!$A$6:$A$11,MIN(5,MATCH(MAX(Reference!$A$6,MIN(Reference!$A$11,MIN(D100,180))),Reference!$A$6:$A$11,1))))),0)+IF(5&lt;=AE100,(AE100-5+3)*(INDEX(Reference!$B$6:$B$11,MIN(5,MATCH(MAX(Reference!$A$6,MIN(Reference!$A$11,MIN(D100,210))),Reference!$A$6:$A$11,1)))+(MAX(Reference!$A$6,MIN(Reference!$A$11,MIN(D100,210)))-INDEX(Reference!$A$6:$A$11,MIN(5,MATCH(MAX(Reference!$A$6,MIN(Reference!$A$11,MIN(D100,210))),Reference!$A$6:$A$11,1))))*(INDEX(Reference!$B$6:$B$11,MIN(5,MATCH(MAX(Reference!$A$6,MIN(Reference!$A$11,MIN(D100,210))),Reference!$A$6:$A$11,1))+1)-INDEX(Reference!$B$6:$B$11,MIN(5,MATCH(MAX(Reference!$A$6,MIN(Reference!$A$11,MIN(D100,210))),Reference!$A$6:$A$11,1))))/(INDEX(Reference!$A$6:$A$11,MIN(5,MATCH(MAX(Reference!$A$6,MIN(Reference!$A$11,MIN(D100,210))),Reference!$A$6:$A$11,1))+1)-INDEX(Reference!$A$6:$A$11,MIN(5,MATCH(MAX(Reference!$A$6,MIN(Reference!$A$11,MIN(D100,210))),Reference!$A$6:$A$11,1))))),0)+IF(6&lt;=AE100,(AE100-6+3)*(INDEX(Reference!$B$6:$B$11,MIN(5,MATCH(MAX(Reference!$A$6,MIN(Reference!$A$11,MIN(D100,240))),Reference!$A$6:$A$11,1)))+(MAX(Reference!$A$6,MIN(Reference!$A$11,MIN(D100,240)))-INDEX(Reference!$A$6:$A$11,MIN(5,MATCH(MAX(Reference!$A$6,MIN(Reference!$A$11,MIN(D100,240))),Reference!$A$6:$A$11,1))))*(INDEX(Reference!$B$6:$B$11,MIN(5,MATCH(MAX(Reference!$A$6,MIN(Reference!$A$11,MIN(D100,240))),Reference!$A$6:$A$11,1))+1)-INDEX(Reference!$B$6:$B$11,MIN(5,MATCH(MAX(Reference!$A$6,MIN(Reference!$A$11,MIN(D100,240))),Reference!$A$6:$A$11,1))))/(INDEX(Reference!$A$6:$A$11,MIN(5,MATCH(MAX(Reference!$A$6,MIN(Reference!$A$11,MIN(D100,240))),Reference!$A$6:$A$11,1))+1)-INDEX(Reference!$A$6:$A$11,MIN(5,MATCH(MAX(Reference!$A$6,MIN(Reference!$A$11,MIN(D100,240))),Reference!$A$6:$A$11,1))))),0)+IF(7&lt;=AE100,(AE100-7+3)*(INDEX(Reference!$B$6:$B$11,MIN(5,MATCH(MAX(Reference!$A$6,MIN(Reference!$A$11,MIN(D100,270))),Reference!$A$6:$A$11,1)))+(MAX(Reference!$A$6,MIN(Reference!$A$11,MIN(D100,270)))-INDEX(Reference!$A$6:$A$11,MIN(5,MATCH(MAX(Reference!$A$6,MIN(Reference!$A$11,MIN(D100,270))),Reference!$A$6:$A$11,1))))*(INDEX(Reference!$B$6:$B$11,MIN(5,MATCH(MAX(Reference!$A$6,MIN(Reference!$A$11,MIN(D100,270))),Reference!$A$6:$A$11,1))+1)-INDEX(Reference!$B$6:$B$11,MIN(5,MATCH(MAX(Reference!$A$6,MIN(Reference!$A$11,MIN(D100,270))),Reference!$A$6:$A$11,1))))/(INDEX(Reference!$A$6:$A$11,MIN(5,MATCH(MAX(Reference!$A$6,MIN(Reference!$A$11,MIN(D100,270))),Reference!$A$6:$A$11,1))+1)-INDEX(Reference!$A$6:$A$11,MIN(5,MATCH(MAX(Reference!$A$6,MIN(Reference!$A$11,MIN(D100,270))),Reference!$A$6:$A$11,1))))),0)+IF(8&lt;=AE100,(AE100-8+3)*(INDEX(Reference!$B$6:$B$11,MIN(5,MATCH(MAX(Reference!$A$6,MIN(Reference!$A$11,MIN(D100,300))),Reference!$A$6:$A$11,1)))+(MAX(Reference!$A$6,MIN(Reference!$A$11,MIN(D100,300)))-INDEX(Reference!$A$6:$A$11,MIN(5,MATCH(MAX(Reference!$A$6,MIN(Reference!$A$11,MIN(D100,300))),Reference!$A$6:$A$11,1))))*(INDEX(Reference!$B$6:$B$11,MIN(5,MATCH(MAX(Reference!$A$6,MIN(Reference!$A$11,MIN(D100,300))),Reference!$A$6:$A$11,1))+1)-INDEX(Reference!$B$6:$B$11,MIN(5,MATCH(MAX(Reference!$A$6,MIN(Reference!$A$11,MIN(D100,300))),Reference!$A$6:$A$11,1))))/(INDEX(Reference!$A$6:$A$11,MIN(5,MATCH(MAX(Reference!$A$6,MIN(Reference!$A$11,MIN(D100,300))),Reference!$A$6:$A$11,1))+1)-INDEX(Reference!$A$6:$A$11,MIN(5,MATCH(MAX(Reference!$A$6,MIN(Reference!$A$11,MIN(D100,300))),Reference!$A$6:$A$11,1))))),0))/(AE100*(AE100+5)/2)),(INDEX(Reference!$B$6:$B$11,MIN(5,MATCH(MAX(Reference!$A$6,MIN(Reference!$A$11,D100)),Reference!$A$6:$A$11,1)))+(MAX(Reference!$A$6,MIN(Reference!$A$11,D100))-INDEX(Reference!$A$6:$A$11,MIN(5,MATCH(MAX(Reference!$A$6,MIN(Reference!$A$11,D100)),Reference!$A$6:$A$11,1))))*(INDEX(Reference!$B$6:$B$11,MIN(5,MATCH(MAX(Reference!$A$6,MIN(Reference!$A$11,D100)),Reference!$A$6:$A$11,1))+1)-INDEX(Reference!$B$6:$B$11,MIN(5,MATCH(MAX(Reference!$A$6,MIN(Reference!$A$11,D100)),Reference!$A$6:$A$11,1))))/(INDEX(Reference!$A$6:$A$11,MIN(5,MATCH(MAX(Reference!$A$6,MIN(Reference!$A$11,D100)),Reference!$A$6:$A$11,1))+1)-INDEX(Reference!$A$6:$A$11,MIN(5,MATCH(MAX(Reference!$A$6,MIN(Reference!$A$11,D100)),Reference!$A$6:$A$11,1))))))))</f>
        <v/>
      </c>
      <c r="P100" s="32" t="str">
        <f>IF(N100="","",VLOOKUP(MAX(N100,0),Reference!$A$17:$B$20,2,TRUE()))</f>
        <v/>
      </c>
      <c r="Q100" s="32" t="str">
        <f t="shared" si="12"/>
        <v/>
      </c>
      <c r="R100" s="31"/>
      <c r="S100" s="31"/>
      <c r="T100" s="31"/>
      <c r="U100" s="32" t="str">
        <f t="shared" si="13"/>
        <v/>
      </c>
      <c r="V100" s="32" t="str">
        <f t="shared" si="14"/>
        <v/>
      </c>
      <c r="W100" s="32" t="str">
        <f>IF(V100="","",VLOOKUP(MAX(V100,0),Reference!$A$17:$B$20,2,TRUE()))</f>
        <v/>
      </c>
      <c r="X100" s="31"/>
      <c r="Y100" s="31"/>
      <c r="Z100" s="31"/>
      <c r="AA100" s="32" t="str">
        <f t="shared" si="15"/>
        <v/>
      </c>
      <c r="AB100" s="32" t="str">
        <f t="shared" si="16"/>
        <v/>
      </c>
      <c r="AC100" s="32" t="str">
        <f>IF(AB100="","",VLOOKUP(MAX(AB100,0),Reference!$A$17:$B$20,2,TRUE()))</f>
        <v/>
      </c>
      <c r="AD100" s="31"/>
      <c r="AE100">
        <f t="shared" si="17"/>
        <v>1</v>
      </c>
      <c r="AF100" s="33" t="str">
        <f>IF(OR(A100="",B100="",AND(C100&lt;&gt;"Bullpen",C100&lt;&gt;"Game")),"",IF((COUNTIFS($B$5:$B$300,B100,$A$5:$A$300,A100-1,$C$5:$C$300,"Bullpen",$AG$5:$AG$300,"&gt;0") + COUNTIFS($B$5:$B$300,B100,$A$5:$A$300,A100-1,$C$5:$C$300,"Game",$AG$5:$AG$300,"&gt;0"))&gt;0,Reference!$B$119,IF((COUNTIFS($B$5:$B$300,B100,$A$5:$A$300,A100-2,$C$5:$C$300,"Bullpen",$AG$5:$AG$300,"&gt;0") + COUNTIFS($B$5:$B$300,B100,$A$5:$A$300,A100-2,$C$5:$C$300,"Game",$AG$5:$AG$300,"&gt;0"))&gt;0,Reference!$B$120,1)))</f>
        <v/>
      </c>
      <c r="AG100" s="30" t="str">
        <f>IF(AND(OR(I100="",O100="",P100=""),OR(R100="",W100=""),OR(X100="",AC100="")),"",IF(OR(I100="",O100="",P100=""),0,I100*O100*P100)+IF(OR(R100="",W100=""),0,R100*IFERROR(INDEX(Reference!$B$61:$B$62,MATCH("Bullpen",Reference!$A$61:$A$62,0)),0)*W100)+IF(OR(X100="",AC100=""),0,X100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100))</f>
        <v/>
      </c>
    </row>
    <row r="101" spans="1:33" x14ac:dyDescent="0.3">
      <c r="A101" s="35"/>
      <c r="B101" s="31"/>
      <c r="C101" s="31"/>
      <c r="D101" s="31"/>
      <c r="E101" s="34"/>
      <c r="F101" s="34"/>
      <c r="G101" s="30" t="str">
        <f t="shared" si="9"/>
        <v/>
      </c>
      <c r="H101" s="31"/>
      <c r="I101" s="32" t="str">
        <f>IF(H101&lt;&gt;"",H101,IF(G101="","",ROUND(G101*IFERROR(INDEX(Reference!$B$44:$B$50,MATCH(C101,Reference!$A$44:$A$50,0)),0),0)))</f>
        <v/>
      </c>
      <c r="J101" s="31"/>
      <c r="K101" s="31"/>
      <c r="L101" s="32" t="str">
        <f t="shared" si="10"/>
        <v/>
      </c>
      <c r="M101" s="32" t="str">
        <f>IFERROR(INDEX(Roster!$D$5:$D$40,MATCH(B101,Roster!$A$5:$A$40,0)),"")</f>
        <v/>
      </c>
      <c r="N101" s="32" t="str">
        <f t="shared" si="11"/>
        <v/>
      </c>
      <c r="O101" s="32" t="str">
        <f>IF(OR(C101="Bullpen",C101="Game"),IFERROR(INDEX(Reference!$B$61:$B$62,MATCH(C101,Reference!$A$61:$A$62,0)),""),IF(D101="","",IF(AE101&gt;1,((IF(1&lt;=AE101,(AE101-1+3)*(INDEX(Reference!$B$6:$B$11,MIN(5,MATCH(MAX(Reference!$A$6,MIN(Reference!$A$11,MIN(D101,90))),Reference!$A$6:$A$11,1)))+(MAX(Reference!$A$6,MIN(Reference!$A$11,MIN(D101,90)))-INDEX(Reference!$A$6:$A$11,MIN(5,MATCH(MAX(Reference!$A$6,MIN(Reference!$A$11,MIN(D101,90))),Reference!$A$6:$A$11,1))))*(INDEX(Reference!$B$6:$B$11,MIN(5,MATCH(MAX(Reference!$A$6,MIN(Reference!$A$11,MIN(D101,90))),Reference!$A$6:$A$11,1))+1)-INDEX(Reference!$B$6:$B$11,MIN(5,MATCH(MAX(Reference!$A$6,MIN(Reference!$A$11,MIN(D101,90))),Reference!$A$6:$A$11,1))))/(INDEX(Reference!$A$6:$A$11,MIN(5,MATCH(MAX(Reference!$A$6,MIN(Reference!$A$11,MIN(D101,90))),Reference!$A$6:$A$11,1))+1)-INDEX(Reference!$A$6:$A$11,MIN(5,MATCH(MAX(Reference!$A$6,MIN(Reference!$A$11,MIN(D101,90))),Reference!$A$6:$A$11,1))))),0)+IF(2&lt;=AE101,(AE101-2+3)*(INDEX(Reference!$B$6:$B$11,MIN(5,MATCH(MAX(Reference!$A$6,MIN(Reference!$A$11,MIN(D101,120))),Reference!$A$6:$A$11,1)))+(MAX(Reference!$A$6,MIN(Reference!$A$11,MIN(D101,120)))-INDEX(Reference!$A$6:$A$11,MIN(5,MATCH(MAX(Reference!$A$6,MIN(Reference!$A$11,MIN(D101,120))),Reference!$A$6:$A$11,1))))*(INDEX(Reference!$B$6:$B$11,MIN(5,MATCH(MAX(Reference!$A$6,MIN(Reference!$A$11,MIN(D101,120))),Reference!$A$6:$A$11,1))+1)-INDEX(Reference!$B$6:$B$11,MIN(5,MATCH(MAX(Reference!$A$6,MIN(Reference!$A$11,MIN(D101,120))),Reference!$A$6:$A$11,1))))/(INDEX(Reference!$A$6:$A$11,MIN(5,MATCH(MAX(Reference!$A$6,MIN(Reference!$A$11,MIN(D101,120))),Reference!$A$6:$A$11,1))+1)-INDEX(Reference!$A$6:$A$11,MIN(5,MATCH(MAX(Reference!$A$6,MIN(Reference!$A$11,MIN(D101,120))),Reference!$A$6:$A$11,1))))),0)+IF(3&lt;=AE101,(AE101-3+3)*(INDEX(Reference!$B$6:$B$11,MIN(5,MATCH(MAX(Reference!$A$6,MIN(Reference!$A$11,MIN(D101,150))),Reference!$A$6:$A$11,1)))+(MAX(Reference!$A$6,MIN(Reference!$A$11,MIN(D101,150)))-INDEX(Reference!$A$6:$A$11,MIN(5,MATCH(MAX(Reference!$A$6,MIN(Reference!$A$11,MIN(D101,150))),Reference!$A$6:$A$11,1))))*(INDEX(Reference!$B$6:$B$11,MIN(5,MATCH(MAX(Reference!$A$6,MIN(Reference!$A$11,MIN(D101,150))),Reference!$A$6:$A$11,1))+1)-INDEX(Reference!$B$6:$B$11,MIN(5,MATCH(MAX(Reference!$A$6,MIN(Reference!$A$11,MIN(D101,150))),Reference!$A$6:$A$11,1))))/(INDEX(Reference!$A$6:$A$11,MIN(5,MATCH(MAX(Reference!$A$6,MIN(Reference!$A$11,MIN(D101,150))),Reference!$A$6:$A$11,1))+1)-INDEX(Reference!$A$6:$A$11,MIN(5,MATCH(MAX(Reference!$A$6,MIN(Reference!$A$11,MIN(D101,150))),Reference!$A$6:$A$11,1))))),0)+IF(4&lt;=AE101,(AE101-4+3)*(INDEX(Reference!$B$6:$B$11,MIN(5,MATCH(MAX(Reference!$A$6,MIN(Reference!$A$11,MIN(D101,180))),Reference!$A$6:$A$11,1)))+(MAX(Reference!$A$6,MIN(Reference!$A$11,MIN(D101,180)))-INDEX(Reference!$A$6:$A$11,MIN(5,MATCH(MAX(Reference!$A$6,MIN(Reference!$A$11,MIN(D101,180))),Reference!$A$6:$A$11,1))))*(INDEX(Reference!$B$6:$B$11,MIN(5,MATCH(MAX(Reference!$A$6,MIN(Reference!$A$11,MIN(D101,180))),Reference!$A$6:$A$11,1))+1)-INDEX(Reference!$B$6:$B$11,MIN(5,MATCH(MAX(Reference!$A$6,MIN(Reference!$A$11,MIN(D101,180))),Reference!$A$6:$A$11,1))))/(INDEX(Reference!$A$6:$A$11,MIN(5,MATCH(MAX(Reference!$A$6,MIN(Reference!$A$11,MIN(D101,180))),Reference!$A$6:$A$11,1))+1)-INDEX(Reference!$A$6:$A$11,MIN(5,MATCH(MAX(Reference!$A$6,MIN(Reference!$A$11,MIN(D101,180))),Reference!$A$6:$A$11,1))))),0)+IF(5&lt;=AE101,(AE101-5+3)*(INDEX(Reference!$B$6:$B$11,MIN(5,MATCH(MAX(Reference!$A$6,MIN(Reference!$A$11,MIN(D101,210))),Reference!$A$6:$A$11,1)))+(MAX(Reference!$A$6,MIN(Reference!$A$11,MIN(D101,210)))-INDEX(Reference!$A$6:$A$11,MIN(5,MATCH(MAX(Reference!$A$6,MIN(Reference!$A$11,MIN(D101,210))),Reference!$A$6:$A$11,1))))*(INDEX(Reference!$B$6:$B$11,MIN(5,MATCH(MAX(Reference!$A$6,MIN(Reference!$A$11,MIN(D101,210))),Reference!$A$6:$A$11,1))+1)-INDEX(Reference!$B$6:$B$11,MIN(5,MATCH(MAX(Reference!$A$6,MIN(Reference!$A$11,MIN(D101,210))),Reference!$A$6:$A$11,1))))/(INDEX(Reference!$A$6:$A$11,MIN(5,MATCH(MAX(Reference!$A$6,MIN(Reference!$A$11,MIN(D101,210))),Reference!$A$6:$A$11,1))+1)-INDEX(Reference!$A$6:$A$11,MIN(5,MATCH(MAX(Reference!$A$6,MIN(Reference!$A$11,MIN(D101,210))),Reference!$A$6:$A$11,1))))),0)+IF(6&lt;=AE101,(AE101-6+3)*(INDEX(Reference!$B$6:$B$11,MIN(5,MATCH(MAX(Reference!$A$6,MIN(Reference!$A$11,MIN(D101,240))),Reference!$A$6:$A$11,1)))+(MAX(Reference!$A$6,MIN(Reference!$A$11,MIN(D101,240)))-INDEX(Reference!$A$6:$A$11,MIN(5,MATCH(MAX(Reference!$A$6,MIN(Reference!$A$11,MIN(D101,240))),Reference!$A$6:$A$11,1))))*(INDEX(Reference!$B$6:$B$11,MIN(5,MATCH(MAX(Reference!$A$6,MIN(Reference!$A$11,MIN(D101,240))),Reference!$A$6:$A$11,1))+1)-INDEX(Reference!$B$6:$B$11,MIN(5,MATCH(MAX(Reference!$A$6,MIN(Reference!$A$11,MIN(D101,240))),Reference!$A$6:$A$11,1))))/(INDEX(Reference!$A$6:$A$11,MIN(5,MATCH(MAX(Reference!$A$6,MIN(Reference!$A$11,MIN(D101,240))),Reference!$A$6:$A$11,1))+1)-INDEX(Reference!$A$6:$A$11,MIN(5,MATCH(MAX(Reference!$A$6,MIN(Reference!$A$11,MIN(D101,240))),Reference!$A$6:$A$11,1))))),0)+IF(7&lt;=AE101,(AE101-7+3)*(INDEX(Reference!$B$6:$B$11,MIN(5,MATCH(MAX(Reference!$A$6,MIN(Reference!$A$11,MIN(D101,270))),Reference!$A$6:$A$11,1)))+(MAX(Reference!$A$6,MIN(Reference!$A$11,MIN(D101,270)))-INDEX(Reference!$A$6:$A$11,MIN(5,MATCH(MAX(Reference!$A$6,MIN(Reference!$A$11,MIN(D101,270))),Reference!$A$6:$A$11,1))))*(INDEX(Reference!$B$6:$B$11,MIN(5,MATCH(MAX(Reference!$A$6,MIN(Reference!$A$11,MIN(D101,270))),Reference!$A$6:$A$11,1))+1)-INDEX(Reference!$B$6:$B$11,MIN(5,MATCH(MAX(Reference!$A$6,MIN(Reference!$A$11,MIN(D101,270))),Reference!$A$6:$A$11,1))))/(INDEX(Reference!$A$6:$A$11,MIN(5,MATCH(MAX(Reference!$A$6,MIN(Reference!$A$11,MIN(D101,270))),Reference!$A$6:$A$11,1))+1)-INDEX(Reference!$A$6:$A$11,MIN(5,MATCH(MAX(Reference!$A$6,MIN(Reference!$A$11,MIN(D101,270))),Reference!$A$6:$A$11,1))))),0)+IF(8&lt;=AE101,(AE101-8+3)*(INDEX(Reference!$B$6:$B$11,MIN(5,MATCH(MAX(Reference!$A$6,MIN(Reference!$A$11,MIN(D101,300))),Reference!$A$6:$A$11,1)))+(MAX(Reference!$A$6,MIN(Reference!$A$11,MIN(D101,300)))-INDEX(Reference!$A$6:$A$11,MIN(5,MATCH(MAX(Reference!$A$6,MIN(Reference!$A$11,MIN(D101,300))),Reference!$A$6:$A$11,1))))*(INDEX(Reference!$B$6:$B$11,MIN(5,MATCH(MAX(Reference!$A$6,MIN(Reference!$A$11,MIN(D101,300))),Reference!$A$6:$A$11,1))+1)-INDEX(Reference!$B$6:$B$11,MIN(5,MATCH(MAX(Reference!$A$6,MIN(Reference!$A$11,MIN(D101,300))),Reference!$A$6:$A$11,1))))/(INDEX(Reference!$A$6:$A$11,MIN(5,MATCH(MAX(Reference!$A$6,MIN(Reference!$A$11,MIN(D101,300))),Reference!$A$6:$A$11,1))+1)-INDEX(Reference!$A$6:$A$11,MIN(5,MATCH(MAX(Reference!$A$6,MIN(Reference!$A$11,MIN(D101,300))),Reference!$A$6:$A$11,1))))),0))/(AE101*(AE101+5)/2)),(INDEX(Reference!$B$6:$B$11,MIN(5,MATCH(MAX(Reference!$A$6,MIN(Reference!$A$11,D101)),Reference!$A$6:$A$11,1)))+(MAX(Reference!$A$6,MIN(Reference!$A$11,D101))-INDEX(Reference!$A$6:$A$11,MIN(5,MATCH(MAX(Reference!$A$6,MIN(Reference!$A$11,D101)),Reference!$A$6:$A$11,1))))*(INDEX(Reference!$B$6:$B$11,MIN(5,MATCH(MAX(Reference!$A$6,MIN(Reference!$A$11,D101)),Reference!$A$6:$A$11,1))+1)-INDEX(Reference!$B$6:$B$11,MIN(5,MATCH(MAX(Reference!$A$6,MIN(Reference!$A$11,D101)),Reference!$A$6:$A$11,1))))/(INDEX(Reference!$A$6:$A$11,MIN(5,MATCH(MAX(Reference!$A$6,MIN(Reference!$A$11,D101)),Reference!$A$6:$A$11,1))+1)-INDEX(Reference!$A$6:$A$11,MIN(5,MATCH(MAX(Reference!$A$6,MIN(Reference!$A$11,D101)),Reference!$A$6:$A$11,1))))))))</f>
        <v/>
      </c>
      <c r="P101" s="32" t="str">
        <f>IF(N101="","",VLOOKUP(MAX(N101,0),Reference!$A$17:$B$20,2,TRUE()))</f>
        <v/>
      </c>
      <c r="Q101" s="32" t="str">
        <f t="shared" si="12"/>
        <v/>
      </c>
      <c r="R101" s="31"/>
      <c r="S101" s="31"/>
      <c r="T101" s="31"/>
      <c r="U101" s="32" t="str">
        <f t="shared" si="13"/>
        <v/>
      </c>
      <c r="V101" s="32" t="str">
        <f t="shared" si="14"/>
        <v/>
      </c>
      <c r="W101" s="32" t="str">
        <f>IF(V101="","",VLOOKUP(MAX(V101,0),Reference!$A$17:$B$20,2,TRUE()))</f>
        <v/>
      </c>
      <c r="X101" s="31"/>
      <c r="Y101" s="31"/>
      <c r="Z101" s="31"/>
      <c r="AA101" s="32" t="str">
        <f t="shared" si="15"/>
        <v/>
      </c>
      <c r="AB101" s="32" t="str">
        <f t="shared" si="16"/>
        <v/>
      </c>
      <c r="AC101" s="32" t="str">
        <f>IF(AB101="","",VLOOKUP(MAX(AB101,0),Reference!$A$17:$B$20,2,TRUE()))</f>
        <v/>
      </c>
      <c r="AD101" s="31"/>
      <c r="AE101">
        <f t="shared" si="17"/>
        <v>1</v>
      </c>
      <c r="AF101" s="33" t="str">
        <f>IF(OR(A101="",B101="",AND(C101&lt;&gt;"Bullpen",C101&lt;&gt;"Game")),"",IF((COUNTIFS($B$5:$B$300,B101,$A$5:$A$300,A101-1,$C$5:$C$300,"Bullpen",$AG$5:$AG$300,"&gt;0") + COUNTIFS($B$5:$B$300,B101,$A$5:$A$300,A101-1,$C$5:$C$300,"Game",$AG$5:$AG$300,"&gt;0"))&gt;0,Reference!$B$119,IF((COUNTIFS($B$5:$B$300,B101,$A$5:$A$300,A101-2,$C$5:$C$300,"Bullpen",$AG$5:$AG$300,"&gt;0") + COUNTIFS($B$5:$B$300,B101,$A$5:$A$300,A101-2,$C$5:$C$300,"Game",$AG$5:$AG$300,"&gt;0"))&gt;0,Reference!$B$120,1)))</f>
        <v/>
      </c>
      <c r="AG101" s="30" t="str">
        <f>IF(AND(OR(I101="",O101="",P101=""),OR(R101="",W101=""),OR(X101="",AC101="")),"",IF(OR(I101="",O101="",P101=""),0,I101*O101*P101)+IF(OR(R101="",W101=""),0,R101*IFERROR(INDEX(Reference!$B$61:$B$62,MATCH("Bullpen",Reference!$A$61:$A$62,0)),0)*W101)+IF(OR(X101="",AC101=""),0,X101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101))</f>
        <v/>
      </c>
    </row>
    <row r="102" spans="1:33" x14ac:dyDescent="0.3">
      <c r="A102" s="35"/>
      <c r="B102" s="31"/>
      <c r="C102" s="31"/>
      <c r="D102" s="31"/>
      <c r="E102" s="34"/>
      <c r="F102" s="34"/>
      <c r="G102" s="30" t="str">
        <f t="shared" si="9"/>
        <v/>
      </c>
      <c r="H102" s="31"/>
      <c r="I102" s="32" t="str">
        <f>IF(H102&lt;&gt;"",H102,IF(G102="","",ROUND(G102*IFERROR(INDEX(Reference!$B$44:$B$50,MATCH(C102,Reference!$A$44:$A$50,0)),0),0)))</f>
        <v/>
      </c>
      <c r="J102" s="31"/>
      <c r="K102" s="31"/>
      <c r="L102" s="32" t="str">
        <f t="shared" si="10"/>
        <v/>
      </c>
      <c r="M102" s="32" t="str">
        <f>IFERROR(INDEX(Roster!$D$5:$D$40,MATCH(B102,Roster!$A$5:$A$40,0)),"")</f>
        <v/>
      </c>
      <c r="N102" s="32" t="str">
        <f t="shared" si="11"/>
        <v/>
      </c>
      <c r="O102" s="32" t="str">
        <f>IF(OR(C102="Bullpen",C102="Game"),IFERROR(INDEX(Reference!$B$61:$B$62,MATCH(C102,Reference!$A$61:$A$62,0)),""),IF(D102="","",IF(AE102&gt;1,((IF(1&lt;=AE102,(AE102-1+3)*(INDEX(Reference!$B$6:$B$11,MIN(5,MATCH(MAX(Reference!$A$6,MIN(Reference!$A$11,MIN(D102,90))),Reference!$A$6:$A$11,1)))+(MAX(Reference!$A$6,MIN(Reference!$A$11,MIN(D102,90)))-INDEX(Reference!$A$6:$A$11,MIN(5,MATCH(MAX(Reference!$A$6,MIN(Reference!$A$11,MIN(D102,90))),Reference!$A$6:$A$11,1))))*(INDEX(Reference!$B$6:$B$11,MIN(5,MATCH(MAX(Reference!$A$6,MIN(Reference!$A$11,MIN(D102,90))),Reference!$A$6:$A$11,1))+1)-INDEX(Reference!$B$6:$B$11,MIN(5,MATCH(MAX(Reference!$A$6,MIN(Reference!$A$11,MIN(D102,90))),Reference!$A$6:$A$11,1))))/(INDEX(Reference!$A$6:$A$11,MIN(5,MATCH(MAX(Reference!$A$6,MIN(Reference!$A$11,MIN(D102,90))),Reference!$A$6:$A$11,1))+1)-INDEX(Reference!$A$6:$A$11,MIN(5,MATCH(MAX(Reference!$A$6,MIN(Reference!$A$11,MIN(D102,90))),Reference!$A$6:$A$11,1))))),0)+IF(2&lt;=AE102,(AE102-2+3)*(INDEX(Reference!$B$6:$B$11,MIN(5,MATCH(MAX(Reference!$A$6,MIN(Reference!$A$11,MIN(D102,120))),Reference!$A$6:$A$11,1)))+(MAX(Reference!$A$6,MIN(Reference!$A$11,MIN(D102,120)))-INDEX(Reference!$A$6:$A$11,MIN(5,MATCH(MAX(Reference!$A$6,MIN(Reference!$A$11,MIN(D102,120))),Reference!$A$6:$A$11,1))))*(INDEX(Reference!$B$6:$B$11,MIN(5,MATCH(MAX(Reference!$A$6,MIN(Reference!$A$11,MIN(D102,120))),Reference!$A$6:$A$11,1))+1)-INDEX(Reference!$B$6:$B$11,MIN(5,MATCH(MAX(Reference!$A$6,MIN(Reference!$A$11,MIN(D102,120))),Reference!$A$6:$A$11,1))))/(INDEX(Reference!$A$6:$A$11,MIN(5,MATCH(MAX(Reference!$A$6,MIN(Reference!$A$11,MIN(D102,120))),Reference!$A$6:$A$11,1))+1)-INDEX(Reference!$A$6:$A$11,MIN(5,MATCH(MAX(Reference!$A$6,MIN(Reference!$A$11,MIN(D102,120))),Reference!$A$6:$A$11,1))))),0)+IF(3&lt;=AE102,(AE102-3+3)*(INDEX(Reference!$B$6:$B$11,MIN(5,MATCH(MAX(Reference!$A$6,MIN(Reference!$A$11,MIN(D102,150))),Reference!$A$6:$A$11,1)))+(MAX(Reference!$A$6,MIN(Reference!$A$11,MIN(D102,150)))-INDEX(Reference!$A$6:$A$11,MIN(5,MATCH(MAX(Reference!$A$6,MIN(Reference!$A$11,MIN(D102,150))),Reference!$A$6:$A$11,1))))*(INDEX(Reference!$B$6:$B$11,MIN(5,MATCH(MAX(Reference!$A$6,MIN(Reference!$A$11,MIN(D102,150))),Reference!$A$6:$A$11,1))+1)-INDEX(Reference!$B$6:$B$11,MIN(5,MATCH(MAX(Reference!$A$6,MIN(Reference!$A$11,MIN(D102,150))),Reference!$A$6:$A$11,1))))/(INDEX(Reference!$A$6:$A$11,MIN(5,MATCH(MAX(Reference!$A$6,MIN(Reference!$A$11,MIN(D102,150))),Reference!$A$6:$A$11,1))+1)-INDEX(Reference!$A$6:$A$11,MIN(5,MATCH(MAX(Reference!$A$6,MIN(Reference!$A$11,MIN(D102,150))),Reference!$A$6:$A$11,1))))),0)+IF(4&lt;=AE102,(AE102-4+3)*(INDEX(Reference!$B$6:$B$11,MIN(5,MATCH(MAX(Reference!$A$6,MIN(Reference!$A$11,MIN(D102,180))),Reference!$A$6:$A$11,1)))+(MAX(Reference!$A$6,MIN(Reference!$A$11,MIN(D102,180)))-INDEX(Reference!$A$6:$A$11,MIN(5,MATCH(MAX(Reference!$A$6,MIN(Reference!$A$11,MIN(D102,180))),Reference!$A$6:$A$11,1))))*(INDEX(Reference!$B$6:$B$11,MIN(5,MATCH(MAX(Reference!$A$6,MIN(Reference!$A$11,MIN(D102,180))),Reference!$A$6:$A$11,1))+1)-INDEX(Reference!$B$6:$B$11,MIN(5,MATCH(MAX(Reference!$A$6,MIN(Reference!$A$11,MIN(D102,180))),Reference!$A$6:$A$11,1))))/(INDEX(Reference!$A$6:$A$11,MIN(5,MATCH(MAX(Reference!$A$6,MIN(Reference!$A$11,MIN(D102,180))),Reference!$A$6:$A$11,1))+1)-INDEX(Reference!$A$6:$A$11,MIN(5,MATCH(MAX(Reference!$A$6,MIN(Reference!$A$11,MIN(D102,180))),Reference!$A$6:$A$11,1))))),0)+IF(5&lt;=AE102,(AE102-5+3)*(INDEX(Reference!$B$6:$B$11,MIN(5,MATCH(MAX(Reference!$A$6,MIN(Reference!$A$11,MIN(D102,210))),Reference!$A$6:$A$11,1)))+(MAX(Reference!$A$6,MIN(Reference!$A$11,MIN(D102,210)))-INDEX(Reference!$A$6:$A$11,MIN(5,MATCH(MAX(Reference!$A$6,MIN(Reference!$A$11,MIN(D102,210))),Reference!$A$6:$A$11,1))))*(INDEX(Reference!$B$6:$B$11,MIN(5,MATCH(MAX(Reference!$A$6,MIN(Reference!$A$11,MIN(D102,210))),Reference!$A$6:$A$11,1))+1)-INDEX(Reference!$B$6:$B$11,MIN(5,MATCH(MAX(Reference!$A$6,MIN(Reference!$A$11,MIN(D102,210))),Reference!$A$6:$A$11,1))))/(INDEX(Reference!$A$6:$A$11,MIN(5,MATCH(MAX(Reference!$A$6,MIN(Reference!$A$11,MIN(D102,210))),Reference!$A$6:$A$11,1))+1)-INDEX(Reference!$A$6:$A$11,MIN(5,MATCH(MAX(Reference!$A$6,MIN(Reference!$A$11,MIN(D102,210))),Reference!$A$6:$A$11,1))))),0)+IF(6&lt;=AE102,(AE102-6+3)*(INDEX(Reference!$B$6:$B$11,MIN(5,MATCH(MAX(Reference!$A$6,MIN(Reference!$A$11,MIN(D102,240))),Reference!$A$6:$A$11,1)))+(MAX(Reference!$A$6,MIN(Reference!$A$11,MIN(D102,240)))-INDEX(Reference!$A$6:$A$11,MIN(5,MATCH(MAX(Reference!$A$6,MIN(Reference!$A$11,MIN(D102,240))),Reference!$A$6:$A$11,1))))*(INDEX(Reference!$B$6:$B$11,MIN(5,MATCH(MAX(Reference!$A$6,MIN(Reference!$A$11,MIN(D102,240))),Reference!$A$6:$A$11,1))+1)-INDEX(Reference!$B$6:$B$11,MIN(5,MATCH(MAX(Reference!$A$6,MIN(Reference!$A$11,MIN(D102,240))),Reference!$A$6:$A$11,1))))/(INDEX(Reference!$A$6:$A$11,MIN(5,MATCH(MAX(Reference!$A$6,MIN(Reference!$A$11,MIN(D102,240))),Reference!$A$6:$A$11,1))+1)-INDEX(Reference!$A$6:$A$11,MIN(5,MATCH(MAX(Reference!$A$6,MIN(Reference!$A$11,MIN(D102,240))),Reference!$A$6:$A$11,1))))),0)+IF(7&lt;=AE102,(AE102-7+3)*(INDEX(Reference!$B$6:$B$11,MIN(5,MATCH(MAX(Reference!$A$6,MIN(Reference!$A$11,MIN(D102,270))),Reference!$A$6:$A$11,1)))+(MAX(Reference!$A$6,MIN(Reference!$A$11,MIN(D102,270)))-INDEX(Reference!$A$6:$A$11,MIN(5,MATCH(MAX(Reference!$A$6,MIN(Reference!$A$11,MIN(D102,270))),Reference!$A$6:$A$11,1))))*(INDEX(Reference!$B$6:$B$11,MIN(5,MATCH(MAX(Reference!$A$6,MIN(Reference!$A$11,MIN(D102,270))),Reference!$A$6:$A$11,1))+1)-INDEX(Reference!$B$6:$B$11,MIN(5,MATCH(MAX(Reference!$A$6,MIN(Reference!$A$11,MIN(D102,270))),Reference!$A$6:$A$11,1))))/(INDEX(Reference!$A$6:$A$11,MIN(5,MATCH(MAX(Reference!$A$6,MIN(Reference!$A$11,MIN(D102,270))),Reference!$A$6:$A$11,1))+1)-INDEX(Reference!$A$6:$A$11,MIN(5,MATCH(MAX(Reference!$A$6,MIN(Reference!$A$11,MIN(D102,270))),Reference!$A$6:$A$11,1))))),0)+IF(8&lt;=AE102,(AE102-8+3)*(INDEX(Reference!$B$6:$B$11,MIN(5,MATCH(MAX(Reference!$A$6,MIN(Reference!$A$11,MIN(D102,300))),Reference!$A$6:$A$11,1)))+(MAX(Reference!$A$6,MIN(Reference!$A$11,MIN(D102,300)))-INDEX(Reference!$A$6:$A$11,MIN(5,MATCH(MAX(Reference!$A$6,MIN(Reference!$A$11,MIN(D102,300))),Reference!$A$6:$A$11,1))))*(INDEX(Reference!$B$6:$B$11,MIN(5,MATCH(MAX(Reference!$A$6,MIN(Reference!$A$11,MIN(D102,300))),Reference!$A$6:$A$11,1))+1)-INDEX(Reference!$B$6:$B$11,MIN(5,MATCH(MAX(Reference!$A$6,MIN(Reference!$A$11,MIN(D102,300))),Reference!$A$6:$A$11,1))))/(INDEX(Reference!$A$6:$A$11,MIN(5,MATCH(MAX(Reference!$A$6,MIN(Reference!$A$11,MIN(D102,300))),Reference!$A$6:$A$11,1))+1)-INDEX(Reference!$A$6:$A$11,MIN(5,MATCH(MAX(Reference!$A$6,MIN(Reference!$A$11,MIN(D102,300))),Reference!$A$6:$A$11,1))))),0))/(AE102*(AE102+5)/2)),(INDEX(Reference!$B$6:$B$11,MIN(5,MATCH(MAX(Reference!$A$6,MIN(Reference!$A$11,D102)),Reference!$A$6:$A$11,1)))+(MAX(Reference!$A$6,MIN(Reference!$A$11,D102))-INDEX(Reference!$A$6:$A$11,MIN(5,MATCH(MAX(Reference!$A$6,MIN(Reference!$A$11,D102)),Reference!$A$6:$A$11,1))))*(INDEX(Reference!$B$6:$B$11,MIN(5,MATCH(MAX(Reference!$A$6,MIN(Reference!$A$11,D102)),Reference!$A$6:$A$11,1))+1)-INDEX(Reference!$B$6:$B$11,MIN(5,MATCH(MAX(Reference!$A$6,MIN(Reference!$A$11,D102)),Reference!$A$6:$A$11,1))))/(INDEX(Reference!$A$6:$A$11,MIN(5,MATCH(MAX(Reference!$A$6,MIN(Reference!$A$11,D102)),Reference!$A$6:$A$11,1))+1)-INDEX(Reference!$A$6:$A$11,MIN(5,MATCH(MAX(Reference!$A$6,MIN(Reference!$A$11,D102)),Reference!$A$6:$A$11,1))))))))</f>
        <v/>
      </c>
      <c r="P102" s="32" t="str">
        <f>IF(N102="","",VLOOKUP(MAX(N102,0),Reference!$A$17:$B$20,2,TRUE()))</f>
        <v/>
      </c>
      <c r="Q102" s="32" t="str">
        <f t="shared" si="12"/>
        <v/>
      </c>
      <c r="R102" s="31"/>
      <c r="S102" s="31"/>
      <c r="T102" s="31"/>
      <c r="U102" s="32" t="str">
        <f t="shared" si="13"/>
        <v/>
      </c>
      <c r="V102" s="32" t="str">
        <f t="shared" si="14"/>
        <v/>
      </c>
      <c r="W102" s="32" t="str">
        <f>IF(V102="","",VLOOKUP(MAX(V102,0),Reference!$A$17:$B$20,2,TRUE()))</f>
        <v/>
      </c>
      <c r="X102" s="31"/>
      <c r="Y102" s="31"/>
      <c r="Z102" s="31"/>
      <c r="AA102" s="32" t="str">
        <f t="shared" si="15"/>
        <v/>
      </c>
      <c r="AB102" s="32" t="str">
        <f t="shared" si="16"/>
        <v/>
      </c>
      <c r="AC102" s="32" t="str">
        <f>IF(AB102="","",VLOOKUP(MAX(AB102,0),Reference!$A$17:$B$20,2,TRUE()))</f>
        <v/>
      </c>
      <c r="AD102" s="31"/>
      <c r="AE102">
        <f t="shared" si="17"/>
        <v>1</v>
      </c>
      <c r="AF102" s="33" t="str">
        <f>IF(OR(A102="",B102="",AND(C102&lt;&gt;"Bullpen",C102&lt;&gt;"Game")),"",IF((COUNTIFS($B$5:$B$300,B102,$A$5:$A$300,A102-1,$C$5:$C$300,"Bullpen",$AG$5:$AG$300,"&gt;0") + COUNTIFS($B$5:$B$300,B102,$A$5:$A$300,A102-1,$C$5:$C$300,"Game",$AG$5:$AG$300,"&gt;0"))&gt;0,Reference!$B$119,IF((COUNTIFS($B$5:$B$300,B102,$A$5:$A$300,A102-2,$C$5:$C$300,"Bullpen",$AG$5:$AG$300,"&gt;0") + COUNTIFS($B$5:$B$300,B102,$A$5:$A$300,A102-2,$C$5:$C$300,"Game",$AG$5:$AG$300,"&gt;0"))&gt;0,Reference!$B$120,1)))</f>
        <v/>
      </c>
      <c r="AG102" s="30" t="str">
        <f>IF(AND(OR(I102="",O102="",P102=""),OR(R102="",W102=""),OR(X102="",AC102="")),"",IF(OR(I102="",O102="",P102=""),0,I102*O102*P102)+IF(OR(R102="",W102=""),0,R102*IFERROR(INDEX(Reference!$B$61:$B$62,MATCH("Bullpen",Reference!$A$61:$A$62,0)),0)*W102)+IF(OR(X102="",AC102=""),0,X102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102))</f>
        <v/>
      </c>
    </row>
    <row r="103" spans="1:33" x14ac:dyDescent="0.3">
      <c r="A103" s="35"/>
      <c r="B103" s="31"/>
      <c r="C103" s="31"/>
      <c r="D103" s="31"/>
      <c r="E103" s="34"/>
      <c r="F103" s="34"/>
      <c r="G103" s="30" t="str">
        <f t="shared" si="9"/>
        <v/>
      </c>
      <c r="H103" s="31"/>
      <c r="I103" s="32" t="str">
        <f>IF(H103&lt;&gt;"",H103,IF(G103="","",ROUND(G103*IFERROR(INDEX(Reference!$B$44:$B$50,MATCH(C103,Reference!$A$44:$A$50,0)),0),0)))</f>
        <v/>
      </c>
      <c r="J103" s="31"/>
      <c r="K103" s="31"/>
      <c r="L103" s="32" t="str">
        <f t="shared" si="10"/>
        <v/>
      </c>
      <c r="M103" s="32" t="str">
        <f>IFERROR(INDEX(Roster!$D$5:$D$40,MATCH(B103,Roster!$A$5:$A$40,0)),"")</f>
        <v/>
      </c>
      <c r="N103" s="32" t="str">
        <f t="shared" si="11"/>
        <v/>
      </c>
      <c r="O103" s="32" t="str">
        <f>IF(OR(C103="Bullpen",C103="Game"),IFERROR(INDEX(Reference!$B$61:$B$62,MATCH(C103,Reference!$A$61:$A$62,0)),""),IF(D103="","",IF(AE103&gt;1,((IF(1&lt;=AE103,(AE103-1+3)*(INDEX(Reference!$B$6:$B$11,MIN(5,MATCH(MAX(Reference!$A$6,MIN(Reference!$A$11,MIN(D103,90))),Reference!$A$6:$A$11,1)))+(MAX(Reference!$A$6,MIN(Reference!$A$11,MIN(D103,90)))-INDEX(Reference!$A$6:$A$11,MIN(5,MATCH(MAX(Reference!$A$6,MIN(Reference!$A$11,MIN(D103,90))),Reference!$A$6:$A$11,1))))*(INDEX(Reference!$B$6:$B$11,MIN(5,MATCH(MAX(Reference!$A$6,MIN(Reference!$A$11,MIN(D103,90))),Reference!$A$6:$A$11,1))+1)-INDEX(Reference!$B$6:$B$11,MIN(5,MATCH(MAX(Reference!$A$6,MIN(Reference!$A$11,MIN(D103,90))),Reference!$A$6:$A$11,1))))/(INDEX(Reference!$A$6:$A$11,MIN(5,MATCH(MAX(Reference!$A$6,MIN(Reference!$A$11,MIN(D103,90))),Reference!$A$6:$A$11,1))+1)-INDEX(Reference!$A$6:$A$11,MIN(5,MATCH(MAX(Reference!$A$6,MIN(Reference!$A$11,MIN(D103,90))),Reference!$A$6:$A$11,1))))),0)+IF(2&lt;=AE103,(AE103-2+3)*(INDEX(Reference!$B$6:$B$11,MIN(5,MATCH(MAX(Reference!$A$6,MIN(Reference!$A$11,MIN(D103,120))),Reference!$A$6:$A$11,1)))+(MAX(Reference!$A$6,MIN(Reference!$A$11,MIN(D103,120)))-INDEX(Reference!$A$6:$A$11,MIN(5,MATCH(MAX(Reference!$A$6,MIN(Reference!$A$11,MIN(D103,120))),Reference!$A$6:$A$11,1))))*(INDEX(Reference!$B$6:$B$11,MIN(5,MATCH(MAX(Reference!$A$6,MIN(Reference!$A$11,MIN(D103,120))),Reference!$A$6:$A$11,1))+1)-INDEX(Reference!$B$6:$B$11,MIN(5,MATCH(MAX(Reference!$A$6,MIN(Reference!$A$11,MIN(D103,120))),Reference!$A$6:$A$11,1))))/(INDEX(Reference!$A$6:$A$11,MIN(5,MATCH(MAX(Reference!$A$6,MIN(Reference!$A$11,MIN(D103,120))),Reference!$A$6:$A$11,1))+1)-INDEX(Reference!$A$6:$A$11,MIN(5,MATCH(MAX(Reference!$A$6,MIN(Reference!$A$11,MIN(D103,120))),Reference!$A$6:$A$11,1))))),0)+IF(3&lt;=AE103,(AE103-3+3)*(INDEX(Reference!$B$6:$B$11,MIN(5,MATCH(MAX(Reference!$A$6,MIN(Reference!$A$11,MIN(D103,150))),Reference!$A$6:$A$11,1)))+(MAX(Reference!$A$6,MIN(Reference!$A$11,MIN(D103,150)))-INDEX(Reference!$A$6:$A$11,MIN(5,MATCH(MAX(Reference!$A$6,MIN(Reference!$A$11,MIN(D103,150))),Reference!$A$6:$A$11,1))))*(INDEX(Reference!$B$6:$B$11,MIN(5,MATCH(MAX(Reference!$A$6,MIN(Reference!$A$11,MIN(D103,150))),Reference!$A$6:$A$11,1))+1)-INDEX(Reference!$B$6:$B$11,MIN(5,MATCH(MAX(Reference!$A$6,MIN(Reference!$A$11,MIN(D103,150))),Reference!$A$6:$A$11,1))))/(INDEX(Reference!$A$6:$A$11,MIN(5,MATCH(MAX(Reference!$A$6,MIN(Reference!$A$11,MIN(D103,150))),Reference!$A$6:$A$11,1))+1)-INDEX(Reference!$A$6:$A$11,MIN(5,MATCH(MAX(Reference!$A$6,MIN(Reference!$A$11,MIN(D103,150))),Reference!$A$6:$A$11,1))))),0)+IF(4&lt;=AE103,(AE103-4+3)*(INDEX(Reference!$B$6:$B$11,MIN(5,MATCH(MAX(Reference!$A$6,MIN(Reference!$A$11,MIN(D103,180))),Reference!$A$6:$A$11,1)))+(MAX(Reference!$A$6,MIN(Reference!$A$11,MIN(D103,180)))-INDEX(Reference!$A$6:$A$11,MIN(5,MATCH(MAX(Reference!$A$6,MIN(Reference!$A$11,MIN(D103,180))),Reference!$A$6:$A$11,1))))*(INDEX(Reference!$B$6:$B$11,MIN(5,MATCH(MAX(Reference!$A$6,MIN(Reference!$A$11,MIN(D103,180))),Reference!$A$6:$A$11,1))+1)-INDEX(Reference!$B$6:$B$11,MIN(5,MATCH(MAX(Reference!$A$6,MIN(Reference!$A$11,MIN(D103,180))),Reference!$A$6:$A$11,1))))/(INDEX(Reference!$A$6:$A$11,MIN(5,MATCH(MAX(Reference!$A$6,MIN(Reference!$A$11,MIN(D103,180))),Reference!$A$6:$A$11,1))+1)-INDEX(Reference!$A$6:$A$11,MIN(5,MATCH(MAX(Reference!$A$6,MIN(Reference!$A$11,MIN(D103,180))),Reference!$A$6:$A$11,1))))),0)+IF(5&lt;=AE103,(AE103-5+3)*(INDEX(Reference!$B$6:$B$11,MIN(5,MATCH(MAX(Reference!$A$6,MIN(Reference!$A$11,MIN(D103,210))),Reference!$A$6:$A$11,1)))+(MAX(Reference!$A$6,MIN(Reference!$A$11,MIN(D103,210)))-INDEX(Reference!$A$6:$A$11,MIN(5,MATCH(MAX(Reference!$A$6,MIN(Reference!$A$11,MIN(D103,210))),Reference!$A$6:$A$11,1))))*(INDEX(Reference!$B$6:$B$11,MIN(5,MATCH(MAX(Reference!$A$6,MIN(Reference!$A$11,MIN(D103,210))),Reference!$A$6:$A$11,1))+1)-INDEX(Reference!$B$6:$B$11,MIN(5,MATCH(MAX(Reference!$A$6,MIN(Reference!$A$11,MIN(D103,210))),Reference!$A$6:$A$11,1))))/(INDEX(Reference!$A$6:$A$11,MIN(5,MATCH(MAX(Reference!$A$6,MIN(Reference!$A$11,MIN(D103,210))),Reference!$A$6:$A$11,1))+1)-INDEX(Reference!$A$6:$A$11,MIN(5,MATCH(MAX(Reference!$A$6,MIN(Reference!$A$11,MIN(D103,210))),Reference!$A$6:$A$11,1))))),0)+IF(6&lt;=AE103,(AE103-6+3)*(INDEX(Reference!$B$6:$B$11,MIN(5,MATCH(MAX(Reference!$A$6,MIN(Reference!$A$11,MIN(D103,240))),Reference!$A$6:$A$11,1)))+(MAX(Reference!$A$6,MIN(Reference!$A$11,MIN(D103,240)))-INDEX(Reference!$A$6:$A$11,MIN(5,MATCH(MAX(Reference!$A$6,MIN(Reference!$A$11,MIN(D103,240))),Reference!$A$6:$A$11,1))))*(INDEX(Reference!$B$6:$B$11,MIN(5,MATCH(MAX(Reference!$A$6,MIN(Reference!$A$11,MIN(D103,240))),Reference!$A$6:$A$11,1))+1)-INDEX(Reference!$B$6:$B$11,MIN(5,MATCH(MAX(Reference!$A$6,MIN(Reference!$A$11,MIN(D103,240))),Reference!$A$6:$A$11,1))))/(INDEX(Reference!$A$6:$A$11,MIN(5,MATCH(MAX(Reference!$A$6,MIN(Reference!$A$11,MIN(D103,240))),Reference!$A$6:$A$11,1))+1)-INDEX(Reference!$A$6:$A$11,MIN(5,MATCH(MAX(Reference!$A$6,MIN(Reference!$A$11,MIN(D103,240))),Reference!$A$6:$A$11,1))))),0)+IF(7&lt;=AE103,(AE103-7+3)*(INDEX(Reference!$B$6:$B$11,MIN(5,MATCH(MAX(Reference!$A$6,MIN(Reference!$A$11,MIN(D103,270))),Reference!$A$6:$A$11,1)))+(MAX(Reference!$A$6,MIN(Reference!$A$11,MIN(D103,270)))-INDEX(Reference!$A$6:$A$11,MIN(5,MATCH(MAX(Reference!$A$6,MIN(Reference!$A$11,MIN(D103,270))),Reference!$A$6:$A$11,1))))*(INDEX(Reference!$B$6:$B$11,MIN(5,MATCH(MAX(Reference!$A$6,MIN(Reference!$A$11,MIN(D103,270))),Reference!$A$6:$A$11,1))+1)-INDEX(Reference!$B$6:$B$11,MIN(5,MATCH(MAX(Reference!$A$6,MIN(Reference!$A$11,MIN(D103,270))),Reference!$A$6:$A$11,1))))/(INDEX(Reference!$A$6:$A$11,MIN(5,MATCH(MAX(Reference!$A$6,MIN(Reference!$A$11,MIN(D103,270))),Reference!$A$6:$A$11,1))+1)-INDEX(Reference!$A$6:$A$11,MIN(5,MATCH(MAX(Reference!$A$6,MIN(Reference!$A$11,MIN(D103,270))),Reference!$A$6:$A$11,1))))),0)+IF(8&lt;=AE103,(AE103-8+3)*(INDEX(Reference!$B$6:$B$11,MIN(5,MATCH(MAX(Reference!$A$6,MIN(Reference!$A$11,MIN(D103,300))),Reference!$A$6:$A$11,1)))+(MAX(Reference!$A$6,MIN(Reference!$A$11,MIN(D103,300)))-INDEX(Reference!$A$6:$A$11,MIN(5,MATCH(MAX(Reference!$A$6,MIN(Reference!$A$11,MIN(D103,300))),Reference!$A$6:$A$11,1))))*(INDEX(Reference!$B$6:$B$11,MIN(5,MATCH(MAX(Reference!$A$6,MIN(Reference!$A$11,MIN(D103,300))),Reference!$A$6:$A$11,1))+1)-INDEX(Reference!$B$6:$B$11,MIN(5,MATCH(MAX(Reference!$A$6,MIN(Reference!$A$11,MIN(D103,300))),Reference!$A$6:$A$11,1))))/(INDEX(Reference!$A$6:$A$11,MIN(5,MATCH(MAX(Reference!$A$6,MIN(Reference!$A$11,MIN(D103,300))),Reference!$A$6:$A$11,1))+1)-INDEX(Reference!$A$6:$A$11,MIN(5,MATCH(MAX(Reference!$A$6,MIN(Reference!$A$11,MIN(D103,300))),Reference!$A$6:$A$11,1))))),0))/(AE103*(AE103+5)/2)),(INDEX(Reference!$B$6:$B$11,MIN(5,MATCH(MAX(Reference!$A$6,MIN(Reference!$A$11,D103)),Reference!$A$6:$A$11,1)))+(MAX(Reference!$A$6,MIN(Reference!$A$11,D103))-INDEX(Reference!$A$6:$A$11,MIN(5,MATCH(MAX(Reference!$A$6,MIN(Reference!$A$11,D103)),Reference!$A$6:$A$11,1))))*(INDEX(Reference!$B$6:$B$11,MIN(5,MATCH(MAX(Reference!$A$6,MIN(Reference!$A$11,D103)),Reference!$A$6:$A$11,1))+1)-INDEX(Reference!$B$6:$B$11,MIN(5,MATCH(MAX(Reference!$A$6,MIN(Reference!$A$11,D103)),Reference!$A$6:$A$11,1))))/(INDEX(Reference!$A$6:$A$11,MIN(5,MATCH(MAX(Reference!$A$6,MIN(Reference!$A$11,D103)),Reference!$A$6:$A$11,1))+1)-INDEX(Reference!$A$6:$A$11,MIN(5,MATCH(MAX(Reference!$A$6,MIN(Reference!$A$11,D103)),Reference!$A$6:$A$11,1))))))))</f>
        <v/>
      </c>
      <c r="P103" s="32" t="str">
        <f>IF(N103="","",VLOOKUP(MAX(N103,0),Reference!$A$17:$B$20,2,TRUE()))</f>
        <v/>
      </c>
      <c r="Q103" s="32" t="str">
        <f t="shared" si="12"/>
        <v/>
      </c>
      <c r="R103" s="31"/>
      <c r="S103" s="31"/>
      <c r="T103" s="31"/>
      <c r="U103" s="32" t="str">
        <f t="shared" si="13"/>
        <v/>
      </c>
      <c r="V103" s="32" t="str">
        <f t="shared" si="14"/>
        <v/>
      </c>
      <c r="W103" s="32" t="str">
        <f>IF(V103="","",VLOOKUP(MAX(V103,0),Reference!$A$17:$B$20,2,TRUE()))</f>
        <v/>
      </c>
      <c r="X103" s="31"/>
      <c r="Y103" s="31"/>
      <c r="Z103" s="31"/>
      <c r="AA103" s="32" t="str">
        <f t="shared" si="15"/>
        <v/>
      </c>
      <c r="AB103" s="32" t="str">
        <f t="shared" si="16"/>
        <v/>
      </c>
      <c r="AC103" s="32" t="str">
        <f>IF(AB103="","",VLOOKUP(MAX(AB103,0),Reference!$A$17:$B$20,2,TRUE()))</f>
        <v/>
      </c>
      <c r="AD103" s="31"/>
      <c r="AE103">
        <f t="shared" si="17"/>
        <v>1</v>
      </c>
      <c r="AF103" s="33" t="str">
        <f>IF(OR(A103="",B103="",AND(C103&lt;&gt;"Bullpen",C103&lt;&gt;"Game")),"",IF((COUNTIFS($B$5:$B$300,B103,$A$5:$A$300,A103-1,$C$5:$C$300,"Bullpen",$AG$5:$AG$300,"&gt;0") + COUNTIFS($B$5:$B$300,B103,$A$5:$A$300,A103-1,$C$5:$C$300,"Game",$AG$5:$AG$300,"&gt;0"))&gt;0,Reference!$B$119,IF((COUNTIFS($B$5:$B$300,B103,$A$5:$A$300,A103-2,$C$5:$C$300,"Bullpen",$AG$5:$AG$300,"&gt;0") + COUNTIFS($B$5:$B$300,B103,$A$5:$A$300,A103-2,$C$5:$C$300,"Game",$AG$5:$AG$300,"&gt;0"))&gt;0,Reference!$B$120,1)))</f>
        <v/>
      </c>
      <c r="AG103" s="30" t="str">
        <f>IF(AND(OR(I103="",O103="",P103=""),OR(R103="",W103=""),OR(X103="",AC103="")),"",IF(OR(I103="",O103="",P103=""),0,I103*O103*P103)+IF(OR(R103="",W103=""),0,R103*IFERROR(INDEX(Reference!$B$61:$B$62,MATCH("Bullpen",Reference!$A$61:$A$62,0)),0)*W103)+IF(OR(X103="",AC103=""),0,X103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103))</f>
        <v/>
      </c>
    </row>
    <row r="104" spans="1:33" x14ac:dyDescent="0.3">
      <c r="A104" s="35"/>
      <c r="B104" s="31"/>
      <c r="C104" s="31"/>
      <c r="D104" s="31"/>
      <c r="E104" s="34"/>
      <c r="F104" s="34"/>
      <c r="G104" s="30" t="str">
        <f t="shared" si="9"/>
        <v/>
      </c>
      <c r="H104" s="31"/>
      <c r="I104" s="32" t="str">
        <f>IF(H104&lt;&gt;"",H104,IF(G104="","",ROUND(G104*IFERROR(INDEX(Reference!$B$44:$B$50,MATCH(C104,Reference!$A$44:$A$50,0)),0),0)))</f>
        <v/>
      </c>
      <c r="J104" s="31"/>
      <c r="K104" s="31"/>
      <c r="L104" s="32" t="str">
        <f t="shared" si="10"/>
        <v/>
      </c>
      <c r="M104" s="32" t="str">
        <f>IFERROR(INDEX(Roster!$D$5:$D$40,MATCH(B104,Roster!$A$5:$A$40,0)),"")</f>
        <v/>
      </c>
      <c r="N104" s="32" t="str">
        <f t="shared" si="11"/>
        <v/>
      </c>
      <c r="O104" s="32" t="str">
        <f>IF(OR(C104="Bullpen",C104="Game"),IFERROR(INDEX(Reference!$B$61:$B$62,MATCH(C104,Reference!$A$61:$A$62,0)),""),IF(D104="","",IF(AE104&gt;1,((IF(1&lt;=AE104,(AE104-1+3)*(INDEX(Reference!$B$6:$B$11,MIN(5,MATCH(MAX(Reference!$A$6,MIN(Reference!$A$11,MIN(D104,90))),Reference!$A$6:$A$11,1)))+(MAX(Reference!$A$6,MIN(Reference!$A$11,MIN(D104,90)))-INDEX(Reference!$A$6:$A$11,MIN(5,MATCH(MAX(Reference!$A$6,MIN(Reference!$A$11,MIN(D104,90))),Reference!$A$6:$A$11,1))))*(INDEX(Reference!$B$6:$B$11,MIN(5,MATCH(MAX(Reference!$A$6,MIN(Reference!$A$11,MIN(D104,90))),Reference!$A$6:$A$11,1))+1)-INDEX(Reference!$B$6:$B$11,MIN(5,MATCH(MAX(Reference!$A$6,MIN(Reference!$A$11,MIN(D104,90))),Reference!$A$6:$A$11,1))))/(INDEX(Reference!$A$6:$A$11,MIN(5,MATCH(MAX(Reference!$A$6,MIN(Reference!$A$11,MIN(D104,90))),Reference!$A$6:$A$11,1))+1)-INDEX(Reference!$A$6:$A$11,MIN(5,MATCH(MAX(Reference!$A$6,MIN(Reference!$A$11,MIN(D104,90))),Reference!$A$6:$A$11,1))))),0)+IF(2&lt;=AE104,(AE104-2+3)*(INDEX(Reference!$B$6:$B$11,MIN(5,MATCH(MAX(Reference!$A$6,MIN(Reference!$A$11,MIN(D104,120))),Reference!$A$6:$A$11,1)))+(MAX(Reference!$A$6,MIN(Reference!$A$11,MIN(D104,120)))-INDEX(Reference!$A$6:$A$11,MIN(5,MATCH(MAX(Reference!$A$6,MIN(Reference!$A$11,MIN(D104,120))),Reference!$A$6:$A$11,1))))*(INDEX(Reference!$B$6:$B$11,MIN(5,MATCH(MAX(Reference!$A$6,MIN(Reference!$A$11,MIN(D104,120))),Reference!$A$6:$A$11,1))+1)-INDEX(Reference!$B$6:$B$11,MIN(5,MATCH(MAX(Reference!$A$6,MIN(Reference!$A$11,MIN(D104,120))),Reference!$A$6:$A$11,1))))/(INDEX(Reference!$A$6:$A$11,MIN(5,MATCH(MAX(Reference!$A$6,MIN(Reference!$A$11,MIN(D104,120))),Reference!$A$6:$A$11,1))+1)-INDEX(Reference!$A$6:$A$11,MIN(5,MATCH(MAX(Reference!$A$6,MIN(Reference!$A$11,MIN(D104,120))),Reference!$A$6:$A$11,1))))),0)+IF(3&lt;=AE104,(AE104-3+3)*(INDEX(Reference!$B$6:$B$11,MIN(5,MATCH(MAX(Reference!$A$6,MIN(Reference!$A$11,MIN(D104,150))),Reference!$A$6:$A$11,1)))+(MAX(Reference!$A$6,MIN(Reference!$A$11,MIN(D104,150)))-INDEX(Reference!$A$6:$A$11,MIN(5,MATCH(MAX(Reference!$A$6,MIN(Reference!$A$11,MIN(D104,150))),Reference!$A$6:$A$11,1))))*(INDEX(Reference!$B$6:$B$11,MIN(5,MATCH(MAX(Reference!$A$6,MIN(Reference!$A$11,MIN(D104,150))),Reference!$A$6:$A$11,1))+1)-INDEX(Reference!$B$6:$B$11,MIN(5,MATCH(MAX(Reference!$A$6,MIN(Reference!$A$11,MIN(D104,150))),Reference!$A$6:$A$11,1))))/(INDEX(Reference!$A$6:$A$11,MIN(5,MATCH(MAX(Reference!$A$6,MIN(Reference!$A$11,MIN(D104,150))),Reference!$A$6:$A$11,1))+1)-INDEX(Reference!$A$6:$A$11,MIN(5,MATCH(MAX(Reference!$A$6,MIN(Reference!$A$11,MIN(D104,150))),Reference!$A$6:$A$11,1))))),0)+IF(4&lt;=AE104,(AE104-4+3)*(INDEX(Reference!$B$6:$B$11,MIN(5,MATCH(MAX(Reference!$A$6,MIN(Reference!$A$11,MIN(D104,180))),Reference!$A$6:$A$11,1)))+(MAX(Reference!$A$6,MIN(Reference!$A$11,MIN(D104,180)))-INDEX(Reference!$A$6:$A$11,MIN(5,MATCH(MAX(Reference!$A$6,MIN(Reference!$A$11,MIN(D104,180))),Reference!$A$6:$A$11,1))))*(INDEX(Reference!$B$6:$B$11,MIN(5,MATCH(MAX(Reference!$A$6,MIN(Reference!$A$11,MIN(D104,180))),Reference!$A$6:$A$11,1))+1)-INDEX(Reference!$B$6:$B$11,MIN(5,MATCH(MAX(Reference!$A$6,MIN(Reference!$A$11,MIN(D104,180))),Reference!$A$6:$A$11,1))))/(INDEX(Reference!$A$6:$A$11,MIN(5,MATCH(MAX(Reference!$A$6,MIN(Reference!$A$11,MIN(D104,180))),Reference!$A$6:$A$11,1))+1)-INDEX(Reference!$A$6:$A$11,MIN(5,MATCH(MAX(Reference!$A$6,MIN(Reference!$A$11,MIN(D104,180))),Reference!$A$6:$A$11,1))))),0)+IF(5&lt;=AE104,(AE104-5+3)*(INDEX(Reference!$B$6:$B$11,MIN(5,MATCH(MAX(Reference!$A$6,MIN(Reference!$A$11,MIN(D104,210))),Reference!$A$6:$A$11,1)))+(MAX(Reference!$A$6,MIN(Reference!$A$11,MIN(D104,210)))-INDEX(Reference!$A$6:$A$11,MIN(5,MATCH(MAX(Reference!$A$6,MIN(Reference!$A$11,MIN(D104,210))),Reference!$A$6:$A$11,1))))*(INDEX(Reference!$B$6:$B$11,MIN(5,MATCH(MAX(Reference!$A$6,MIN(Reference!$A$11,MIN(D104,210))),Reference!$A$6:$A$11,1))+1)-INDEX(Reference!$B$6:$B$11,MIN(5,MATCH(MAX(Reference!$A$6,MIN(Reference!$A$11,MIN(D104,210))),Reference!$A$6:$A$11,1))))/(INDEX(Reference!$A$6:$A$11,MIN(5,MATCH(MAX(Reference!$A$6,MIN(Reference!$A$11,MIN(D104,210))),Reference!$A$6:$A$11,1))+1)-INDEX(Reference!$A$6:$A$11,MIN(5,MATCH(MAX(Reference!$A$6,MIN(Reference!$A$11,MIN(D104,210))),Reference!$A$6:$A$11,1))))),0)+IF(6&lt;=AE104,(AE104-6+3)*(INDEX(Reference!$B$6:$B$11,MIN(5,MATCH(MAX(Reference!$A$6,MIN(Reference!$A$11,MIN(D104,240))),Reference!$A$6:$A$11,1)))+(MAX(Reference!$A$6,MIN(Reference!$A$11,MIN(D104,240)))-INDEX(Reference!$A$6:$A$11,MIN(5,MATCH(MAX(Reference!$A$6,MIN(Reference!$A$11,MIN(D104,240))),Reference!$A$6:$A$11,1))))*(INDEX(Reference!$B$6:$B$11,MIN(5,MATCH(MAX(Reference!$A$6,MIN(Reference!$A$11,MIN(D104,240))),Reference!$A$6:$A$11,1))+1)-INDEX(Reference!$B$6:$B$11,MIN(5,MATCH(MAX(Reference!$A$6,MIN(Reference!$A$11,MIN(D104,240))),Reference!$A$6:$A$11,1))))/(INDEX(Reference!$A$6:$A$11,MIN(5,MATCH(MAX(Reference!$A$6,MIN(Reference!$A$11,MIN(D104,240))),Reference!$A$6:$A$11,1))+1)-INDEX(Reference!$A$6:$A$11,MIN(5,MATCH(MAX(Reference!$A$6,MIN(Reference!$A$11,MIN(D104,240))),Reference!$A$6:$A$11,1))))),0)+IF(7&lt;=AE104,(AE104-7+3)*(INDEX(Reference!$B$6:$B$11,MIN(5,MATCH(MAX(Reference!$A$6,MIN(Reference!$A$11,MIN(D104,270))),Reference!$A$6:$A$11,1)))+(MAX(Reference!$A$6,MIN(Reference!$A$11,MIN(D104,270)))-INDEX(Reference!$A$6:$A$11,MIN(5,MATCH(MAX(Reference!$A$6,MIN(Reference!$A$11,MIN(D104,270))),Reference!$A$6:$A$11,1))))*(INDEX(Reference!$B$6:$B$11,MIN(5,MATCH(MAX(Reference!$A$6,MIN(Reference!$A$11,MIN(D104,270))),Reference!$A$6:$A$11,1))+1)-INDEX(Reference!$B$6:$B$11,MIN(5,MATCH(MAX(Reference!$A$6,MIN(Reference!$A$11,MIN(D104,270))),Reference!$A$6:$A$11,1))))/(INDEX(Reference!$A$6:$A$11,MIN(5,MATCH(MAX(Reference!$A$6,MIN(Reference!$A$11,MIN(D104,270))),Reference!$A$6:$A$11,1))+1)-INDEX(Reference!$A$6:$A$11,MIN(5,MATCH(MAX(Reference!$A$6,MIN(Reference!$A$11,MIN(D104,270))),Reference!$A$6:$A$11,1))))),0)+IF(8&lt;=AE104,(AE104-8+3)*(INDEX(Reference!$B$6:$B$11,MIN(5,MATCH(MAX(Reference!$A$6,MIN(Reference!$A$11,MIN(D104,300))),Reference!$A$6:$A$11,1)))+(MAX(Reference!$A$6,MIN(Reference!$A$11,MIN(D104,300)))-INDEX(Reference!$A$6:$A$11,MIN(5,MATCH(MAX(Reference!$A$6,MIN(Reference!$A$11,MIN(D104,300))),Reference!$A$6:$A$11,1))))*(INDEX(Reference!$B$6:$B$11,MIN(5,MATCH(MAX(Reference!$A$6,MIN(Reference!$A$11,MIN(D104,300))),Reference!$A$6:$A$11,1))+1)-INDEX(Reference!$B$6:$B$11,MIN(5,MATCH(MAX(Reference!$A$6,MIN(Reference!$A$11,MIN(D104,300))),Reference!$A$6:$A$11,1))))/(INDEX(Reference!$A$6:$A$11,MIN(5,MATCH(MAX(Reference!$A$6,MIN(Reference!$A$11,MIN(D104,300))),Reference!$A$6:$A$11,1))+1)-INDEX(Reference!$A$6:$A$11,MIN(5,MATCH(MAX(Reference!$A$6,MIN(Reference!$A$11,MIN(D104,300))),Reference!$A$6:$A$11,1))))),0))/(AE104*(AE104+5)/2)),(INDEX(Reference!$B$6:$B$11,MIN(5,MATCH(MAX(Reference!$A$6,MIN(Reference!$A$11,D104)),Reference!$A$6:$A$11,1)))+(MAX(Reference!$A$6,MIN(Reference!$A$11,D104))-INDEX(Reference!$A$6:$A$11,MIN(5,MATCH(MAX(Reference!$A$6,MIN(Reference!$A$11,D104)),Reference!$A$6:$A$11,1))))*(INDEX(Reference!$B$6:$B$11,MIN(5,MATCH(MAX(Reference!$A$6,MIN(Reference!$A$11,D104)),Reference!$A$6:$A$11,1))+1)-INDEX(Reference!$B$6:$B$11,MIN(5,MATCH(MAX(Reference!$A$6,MIN(Reference!$A$11,D104)),Reference!$A$6:$A$11,1))))/(INDEX(Reference!$A$6:$A$11,MIN(5,MATCH(MAX(Reference!$A$6,MIN(Reference!$A$11,D104)),Reference!$A$6:$A$11,1))+1)-INDEX(Reference!$A$6:$A$11,MIN(5,MATCH(MAX(Reference!$A$6,MIN(Reference!$A$11,D104)),Reference!$A$6:$A$11,1))))))))</f>
        <v/>
      </c>
      <c r="P104" s="32" t="str">
        <f>IF(N104="","",VLOOKUP(MAX(N104,0),Reference!$A$17:$B$20,2,TRUE()))</f>
        <v/>
      </c>
      <c r="Q104" s="32" t="str">
        <f t="shared" si="12"/>
        <v/>
      </c>
      <c r="R104" s="31"/>
      <c r="S104" s="31"/>
      <c r="T104" s="31"/>
      <c r="U104" s="32" t="str">
        <f t="shared" si="13"/>
        <v/>
      </c>
      <c r="V104" s="32" t="str">
        <f t="shared" si="14"/>
        <v/>
      </c>
      <c r="W104" s="32" t="str">
        <f>IF(V104="","",VLOOKUP(MAX(V104,0),Reference!$A$17:$B$20,2,TRUE()))</f>
        <v/>
      </c>
      <c r="X104" s="31"/>
      <c r="Y104" s="31"/>
      <c r="Z104" s="31"/>
      <c r="AA104" s="32" t="str">
        <f t="shared" si="15"/>
        <v/>
      </c>
      <c r="AB104" s="32" t="str">
        <f t="shared" si="16"/>
        <v/>
      </c>
      <c r="AC104" s="32" t="str">
        <f>IF(AB104="","",VLOOKUP(MAX(AB104,0),Reference!$A$17:$B$20,2,TRUE()))</f>
        <v/>
      </c>
      <c r="AD104" s="31"/>
      <c r="AE104">
        <f t="shared" si="17"/>
        <v>1</v>
      </c>
      <c r="AF104" s="33" t="str">
        <f>IF(OR(A104="",B104="",AND(C104&lt;&gt;"Bullpen",C104&lt;&gt;"Game")),"",IF((COUNTIFS($B$5:$B$300,B104,$A$5:$A$300,A104-1,$C$5:$C$300,"Bullpen",$AG$5:$AG$300,"&gt;0") + COUNTIFS($B$5:$B$300,B104,$A$5:$A$300,A104-1,$C$5:$C$300,"Game",$AG$5:$AG$300,"&gt;0"))&gt;0,Reference!$B$119,IF((COUNTIFS($B$5:$B$300,B104,$A$5:$A$300,A104-2,$C$5:$C$300,"Bullpen",$AG$5:$AG$300,"&gt;0") + COUNTIFS($B$5:$B$300,B104,$A$5:$A$300,A104-2,$C$5:$C$300,"Game",$AG$5:$AG$300,"&gt;0"))&gt;0,Reference!$B$120,1)))</f>
        <v/>
      </c>
      <c r="AG104" s="30" t="str">
        <f>IF(AND(OR(I104="",O104="",P104=""),OR(R104="",W104=""),OR(X104="",AC104="")),"",IF(OR(I104="",O104="",P104=""),0,I104*O104*P104)+IF(OR(R104="",W104=""),0,R104*IFERROR(INDEX(Reference!$B$61:$B$62,MATCH("Bullpen",Reference!$A$61:$A$62,0)),0)*W104)+IF(OR(X104="",AC104=""),0,X104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104))</f>
        <v/>
      </c>
    </row>
    <row r="105" spans="1:33" x14ac:dyDescent="0.3">
      <c r="A105" s="35"/>
      <c r="B105" s="31"/>
      <c r="C105" s="31"/>
      <c r="D105" s="31"/>
      <c r="E105" s="34"/>
      <c r="F105" s="34"/>
      <c r="G105" s="30" t="str">
        <f t="shared" si="9"/>
        <v/>
      </c>
      <c r="H105" s="31"/>
      <c r="I105" s="32" t="str">
        <f>IF(H105&lt;&gt;"",H105,IF(G105="","",ROUND(G105*IFERROR(INDEX(Reference!$B$44:$B$50,MATCH(C105,Reference!$A$44:$A$50,0)),0),0)))</f>
        <v/>
      </c>
      <c r="J105" s="31"/>
      <c r="K105" s="31"/>
      <c r="L105" s="32" t="str">
        <f t="shared" si="10"/>
        <v/>
      </c>
      <c r="M105" s="32" t="str">
        <f>IFERROR(INDEX(Roster!$D$5:$D$40,MATCH(B105,Roster!$A$5:$A$40,0)),"")</f>
        <v/>
      </c>
      <c r="N105" s="32" t="str">
        <f t="shared" si="11"/>
        <v/>
      </c>
      <c r="O105" s="32" t="str">
        <f>IF(OR(C105="Bullpen",C105="Game"),IFERROR(INDEX(Reference!$B$61:$B$62,MATCH(C105,Reference!$A$61:$A$62,0)),""),IF(D105="","",IF(AE105&gt;1,((IF(1&lt;=AE105,(AE105-1+3)*(INDEX(Reference!$B$6:$B$11,MIN(5,MATCH(MAX(Reference!$A$6,MIN(Reference!$A$11,MIN(D105,90))),Reference!$A$6:$A$11,1)))+(MAX(Reference!$A$6,MIN(Reference!$A$11,MIN(D105,90)))-INDEX(Reference!$A$6:$A$11,MIN(5,MATCH(MAX(Reference!$A$6,MIN(Reference!$A$11,MIN(D105,90))),Reference!$A$6:$A$11,1))))*(INDEX(Reference!$B$6:$B$11,MIN(5,MATCH(MAX(Reference!$A$6,MIN(Reference!$A$11,MIN(D105,90))),Reference!$A$6:$A$11,1))+1)-INDEX(Reference!$B$6:$B$11,MIN(5,MATCH(MAX(Reference!$A$6,MIN(Reference!$A$11,MIN(D105,90))),Reference!$A$6:$A$11,1))))/(INDEX(Reference!$A$6:$A$11,MIN(5,MATCH(MAX(Reference!$A$6,MIN(Reference!$A$11,MIN(D105,90))),Reference!$A$6:$A$11,1))+1)-INDEX(Reference!$A$6:$A$11,MIN(5,MATCH(MAX(Reference!$A$6,MIN(Reference!$A$11,MIN(D105,90))),Reference!$A$6:$A$11,1))))),0)+IF(2&lt;=AE105,(AE105-2+3)*(INDEX(Reference!$B$6:$B$11,MIN(5,MATCH(MAX(Reference!$A$6,MIN(Reference!$A$11,MIN(D105,120))),Reference!$A$6:$A$11,1)))+(MAX(Reference!$A$6,MIN(Reference!$A$11,MIN(D105,120)))-INDEX(Reference!$A$6:$A$11,MIN(5,MATCH(MAX(Reference!$A$6,MIN(Reference!$A$11,MIN(D105,120))),Reference!$A$6:$A$11,1))))*(INDEX(Reference!$B$6:$B$11,MIN(5,MATCH(MAX(Reference!$A$6,MIN(Reference!$A$11,MIN(D105,120))),Reference!$A$6:$A$11,1))+1)-INDEX(Reference!$B$6:$B$11,MIN(5,MATCH(MAX(Reference!$A$6,MIN(Reference!$A$11,MIN(D105,120))),Reference!$A$6:$A$11,1))))/(INDEX(Reference!$A$6:$A$11,MIN(5,MATCH(MAX(Reference!$A$6,MIN(Reference!$A$11,MIN(D105,120))),Reference!$A$6:$A$11,1))+1)-INDEX(Reference!$A$6:$A$11,MIN(5,MATCH(MAX(Reference!$A$6,MIN(Reference!$A$11,MIN(D105,120))),Reference!$A$6:$A$11,1))))),0)+IF(3&lt;=AE105,(AE105-3+3)*(INDEX(Reference!$B$6:$B$11,MIN(5,MATCH(MAX(Reference!$A$6,MIN(Reference!$A$11,MIN(D105,150))),Reference!$A$6:$A$11,1)))+(MAX(Reference!$A$6,MIN(Reference!$A$11,MIN(D105,150)))-INDEX(Reference!$A$6:$A$11,MIN(5,MATCH(MAX(Reference!$A$6,MIN(Reference!$A$11,MIN(D105,150))),Reference!$A$6:$A$11,1))))*(INDEX(Reference!$B$6:$B$11,MIN(5,MATCH(MAX(Reference!$A$6,MIN(Reference!$A$11,MIN(D105,150))),Reference!$A$6:$A$11,1))+1)-INDEX(Reference!$B$6:$B$11,MIN(5,MATCH(MAX(Reference!$A$6,MIN(Reference!$A$11,MIN(D105,150))),Reference!$A$6:$A$11,1))))/(INDEX(Reference!$A$6:$A$11,MIN(5,MATCH(MAX(Reference!$A$6,MIN(Reference!$A$11,MIN(D105,150))),Reference!$A$6:$A$11,1))+1)-INDEX(Reference!$A$6:$A$11,MIN(5,MATCH(MAX(Reference!$A$6,MIN(Reference!$A$11,MIN(D105,150))),Reference!$A$6:$A$11,1))))),0)+IF(4&lt;=AE105,(AE105-4+3)*(INDEX(Reference!$B$6:$B$11,MIN(5,MATCH(MAX(Reference!$A$6,MIN(Reference!$A$11,MIN(D105,180))),Reference!$A$6:$A$11,1)))+(MAX(Reference!$A$6,MIN(Reference!$A$11,MIN(D105,180)))-INDEX(Reference!$A$6:$A$11,MIN(5,MATCH(MAX(Reference!$A$6,MIN(Reference!$A$11,MIN(D105,180))),Reference!$A$6:$A$11,1))))*(INDEX(Reference!$B$6:$B$11,MIN(5,MATCH(MAX(Reference!$A$6,MIN(Reference!$A$11,MIN(D105,180))),Reference!$A$6:$A$11,1))+1)-INDEX(Reference!$B$6:$B$11,MIN(5,MATCH(MAX(Reference!$A$6,MIN(Reference!$A$11,MIN(D105,180))),Reference!$A$6:$A$11,1))))/(INDEX(Reference!$A$6:$A$11,MIN(5,MATCH(MAX(Reference!$A$6,MIN(Reference!$A$11,MIN(D105,180))),Reference!$A$6:$A$11,1))+1)-INDEX(Reference!$A$6:$A$11,MIN(5,MATCH(MAX(Reference!$A$6,MIN(Reference!$A$11,MIN(D105,180))),Reference!$A$6:$A$11,1))))),0)+IF(5&lt;=AE105,(AE105-5+3)*(INDEX(Reference!$B$6:$B$11,MIN(5,MATCH(MAX(Reference!$A$6,MIN(Reference!$A$11,MIN(D105,210))),Reference!$A$6:$A$11,1)))+(MAX(Reference!$A$6,MIN(Reference!$A$11,MIN(D105,210)))-INDEX(Reference!$A$6:$A$11,MIN(5,MATCH(MAX(Reference!$A$6,MIN(Reference!$A$11,MIN(D105,210))),Reference!$A$6:$A$11,1))))*(INDEX(Reference!$B$6:$B$11,MIN(5,MATCH(MAX(Reference!$A$6,MIN(Reference!$A$11,MIN(D105,210))),Reference!$A$6:$A$11,1))+1)-INDEX(Reference!$B$6:$B$11,MIN(5,MATCH(MAX(Reference!$A$6,MIN(Reference!$A$11,MIN(D105,210))),Reference!$A$6:$A$11,1))))/(INDEX(Reference!$A$6:$A$11,MIN(5,MATCH(MAX(Reference!$A$6,MIN(Reference!$A$11,MIN(D105,210))),Reference!$A$6:$A$11,1))+1)-INDEX(Reference!$A$6:$A$11,MIN(5,MATCH(MAX(Reference!$A$6,MIN(Reference!$A$11,MIN(D105,210))),Reference!$A$6:$A$11,1))))),0)+IF(6&lt;=AE105,(AE105-6+3)*(INDEX(Reference!$B$6:$B$11,MIN(5,MATCH(MAX(Reference!$A$6,MIN(Reference!$A$11,MIN(D105,240))),Reference!$A$6:$A$11,1)))+(MAX(Reference!$A$6,MIN(Reference!$A$11,MIN(D105,240)))-INDEX(Reference!$A$6:$A$11,MIN(5,MATCH(MAX(Reference!$A$6,MIN(Reference!$A$11,MIN(D105,240))),Reference!$A$6:$A$11,1))))*(INDEX(Reference!$B$6:$B$11,MIN(5,MATCH(MAX(Reference!$A$6,MIN(Reference!$A$11,MIN(D105,240))),Reference!$A$6:$A$11,1))+1)-INDEX(Reference!$B$6:$B$11,MIN(5,MATCH(MAX(Reference!$A$6,MIN(Reference!$A$11,MIN(D105,240))),Reference!$A$6:$A$11,1))))/(INDEX(Reference!$A$6:$A$11,MIN(5,MATCH(MAX(Reference!$A$6,MIN(Reference!$A$11,MIN(D105,240))),Reference!$A$6:$A$11,1))+1)-INDEX(Reference!$A$6:$A$11,MIN(5,MATCH(MAX(Reference!$A$6,MIN(Reference!$A$11,MIN(D105,240))),Reference!$A$6:$A$11,1))))),0)+IF(7&lt;=AE105,(AE105-7+3)*(INDEX(Reference!$B$6:$B$11,MIN(5,MATCH(MAX(Reference!$A$6,MIN(Reference!$A$11,MIN(D105,270))),Reference!$A$6:$A$11,1)))+(MAX(Reference!$A$6,MIN(Reference!$A$11,MIN(D105,270)))-INDEX(Reference!$A$6:$A$11,MIN(5,MATCH(MAX(Reference!$A$6,MIN(Reference!$A$11,MIN(D105,270))),Reference!$A$6:$A$11,1))))*(INDEX(Reference!$B$6:$B$11,MIN(5,MATCH(MAX(Reference!$A$6,MIN(Reference!$A$11,MIN(D105,270))),Reference!$A$6:$A$11,1))+1)-INDEX(Reference!$B$6:$B$11,MIN(5,MATCH(MAX(Reference!$A$6,MIN(Reference!$A$11,MIN(D105,270))),Reference!$A$6:$A$11,1))))/(INDEX(Reference!$A$6:$A$11,MIN(5,MATCH(MAX(Reference!$A$6,MIN(Reference!$A$11,MIN(D105,270))),Reference!$A$6:$A$11,1))+1)-INDEX(Reference!$A$6:$A$11,MIN(5,MATCH(MAX(Reference!$A$6,MIN(Reference!$A$11,MIN(D105,270))),Reference!$A$6:$A$11,1))))),0)+IF(8&lt;=AE105,(AE105-8+3)*(INDEX(Reference!$B$6:$B$11,MIN(5,MATCH(MAX(Reference!$A$6,MIN(Reference!$A$11,MIN(D105,300))),Reference!$A$6:$A$11,1)))+(MAX(Reference!$A$6,MIN(Reference!$A$11,MIN(D105,300)))-INDEX(Reference!$A$6:$A$11,MIN(5,MATCH(MAX(Reference!$A$6,MIN(Reference!$A$11,MIN(D105,300))),Reference!$A$6:$A$11,1))))*(INDEX(Reference!$B$6:$B$11,MIN(5,MATCH(MAX(Reference!$A$6,MIN(Reference!$A$11,MIN(D105,300))),Reference!$A$6:$A$11,1))+1)-INDEX(Reference!$B$6:$B$11,MIN(5,MATCH(MAX(Reference!$A$6,MIN(Reference!$A$11,MIN(D105,300))),Reference!$A$6:$A$11,1))))/(INDEX(Reference!$A$6:$A$11,MIN(5,MATCH(MAX(Reference!$A$6,MIN(Reference!$A$11,MIN(D105,300))),Reference!$A$6:$A$11,1))+1)-INDEX(Reference!$A$6:$A$11,MIN(5,MATCH(MAX(Reference!$A$6,MIN(Reference!$A$11,MIN(D105,300))),Reference!$A$6:$A$11,1))))),0))/(AE105*(AE105+5)/2)),(INDEX(Reference!$B$6:$B$11,MIN(5,MATCH(MAX(Reference!$A$6,MIN(Reference!$A$11,D105)),Reference!$A$6:$A$11,1)))+(MAX(Reference!$A$6,MIN(Reference!$A$11,D105))-INDEX(Reference!$A$6:$A$11,MIN(5,MATCH(MAX(Reference!$A$6,MIN(Reference!$A$11,D105)),Reference!$A$6:$A$11,1))))*(INDEX(Reference!$B$6:$B$11,MIN(5,MATCH(MAX(Reference!$A$6,MIN(Reference!$A$11,D105)),Reference!$A$6:$A$11,1))+1)-INDEX(Reference!$B$6:$B$11,MIN(5,MATCH(MAX(Reference!$A$6,MIN(Reference!$A$11,D105)),Reference!$A$6:$A$11,1))))/(INDEX(Reference!$A$6:$A$11,MIN(5,MATCH(MAX(Reference!$A$6,MIN(Reference!$A$11,D105)),Reference!$A$6:$A$11,1))+1)-INDEX(Reference!$A$6:$A$11,MIN(5,MATCH(MAX(Reference!$A$6,MIN(Reference!$A$11,D105)),Reference!$A$6:$A$11,1))))))))</f>
        <v/>
      </c>
      <c r="P105" s="32" t="str">
        <f>IF(N105="","",VLOOKUP(MAX(N105,0),Reference!$A$17:$B$20,2,TRUE()))</f>
        <v/>
      </c>
      <c r="Q105" s="32" t="str">
        <f t="shared" si="12"/>
        <v/>
      </c>
      <c r="R105" s="31"/>
      <c r="S105" s="31"/>
      <c r="T105" s="31"/>
      <c r="U105" s="32" t="str">
        <f t="shared" si="13"/>
        <v/>
      </c>
      <c r="V105" s="32" t="str">
        <f t="shared" si="14"/>
        <v/>
      </c>
      <c r="W105" s="32" t="str">
        <f>IF(V105="","",VLOOKUP(MAX(V105,0),Reference!$A$17:$B$20,2,TRUE()))</f>
        <v/>
      </c>
      <c r="X105" s="31"/>
      <c r="Y105" s="31"/>
      <c r="Z105" s="31"/>
      <c r="AA105" s="32" t="str">
        <f t="shared" si="15"/>
        <v/>
      </c>
      <c r="AB105" s="32" t="str">
        <f t="shared" si="16"/>
        <v/>
      </c>
      <c r="AC105" s="32" t="str">
        <f>IF(AB105="","",VLOOKUP(MAX(AB105,0),Reference!$A$17:$B$20,2,TRUE()))</f>
        <v/>
      </c>
      <c r="AD105" s="31"/>
      <c r="AE105">
        <f t="shared" si="17"/>
        <v>1</v>
      </c>
      <c r="AF105" s="33" t="str">
        <f>IF(OR(A105="",B105="",AND(C105&lt;&gt;"Bullpen",C105&lt;&gt;"Game")),"",IF((COUNTIFS($B$5:$B$300,B105,$A$5:$A$300,A105-1,$C$5:$C$300,"Bullpen",$AG$5:$AG$300,"&gt;0") + COUNTIFS($B$5:$B$300,B105,$A$5:$A$300,A105-1,$C$5:$C$300,"Game",$AG$5:$AG$300,"&gt;0"))&gt;0,Reference!$B$119,IF((COUNTIFS($B$5:$B$300,B105,$A$5:$A$300,A105-2,$C$5:$C$300,"Bullpen",$AG$5:$AG$300,"&gt;0") + COUNTIFS($B$5:$B$300,B105,$A$5:$A$300,A105-2,$C$5:$C$300,"Game",$AG$5:$AG$300,"&gt;0"))&gt;0,Reference!$B$120,1)))</f>
        <v/>
      </c>
      <c r="AG105" s="30" t="str">
        <f>IF(AND(OR(I105="",O105="",P105=""),OR(R105="",W105=""),OR(X105="",AC105="")),"",IF(OR(I105="",O105="",P105=""),0,I105*O105*P105)+IF(OR(R105="",W105=""),0,R105*IFERROR(INDEX(Reference!$B$61:$B$62,MATCH("Bullpen",Reference!$A$61:$A$62,0)),0)*W105)+IF(OR(X105="",AC105=""),0,X105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105))</f>
        <v/>
      </c>
    </row>
    <row r="106" spans="1:33" x14ac:dyDescent="0.3">
      <c r="A106" s="35"/>
      <c r="B106" s="31"/>
      <c r="C106" s="31"/>
      <c r="D106" s="31"/>
      <c r="E106" s="34"/>
      <c r="F106" s="34"/>
      <c r="G106" s="30" t="str">
        <f t="shared" si="9"/>
        <v/>
      </c>
      <c r="H106" s="31"/>
      <c r="I106" s="32" t="str">
        <f>IF(H106&lt;&gt;"",H106,IF(G106="","",ROUND(G106*IFERROR(INDEX(Reference!$B$44:$B$50,MATCH(C106,Reference!$A$44:$A$50,0)),0),0)))</f>
        <v/>
      </c>
      <c r="J106" s="31"/>
      <c r="K106" s="31"/>
      <c r="L106" s="32" t="str">
        <f t="shared" si="10"/>
        <v/>
      </c>
      <c r="M106" s="32" t="str">
        <f>IFERROR(INDEX(Roster!$D$5:$D$40,MATCH(B106,Roster!$A$5:$A$40,0)),"")</f>
        <v/>
      </c>
      <c r="N106" s="32" t="str">
        <f t="shared" si="11"/>
        <v/>
      </c>
      <c r="O106" s="32" t="str">
        <f>IF(OR(C106="Bullpen",C106="Game"),IFERROR(INDEX(Reference!$B$61:$B$62,MATCH(C106,Reference!$A$61:$A$62,0)),""),IF(D106="","",IF(AE106&gt;1,((IF(1&lt;=AE106,(AE106-1+3)*(INDEX(Reference!$B$6:$B$11,MIN(5,MATCH(MAX(Reference!$A$6,MIN(Reference!$A$11,MIN(D106,90))),Reference!$A$6:$A$11,1)))+(MAX(Reference!$A$6,MIN(Reference!$A$11,MIN(D106,90)))-INDEX(Reference!$A$6:$A$11,MIN(5,MATCH(MAX(Reference!$A$6,MIN(Reference!$A$11,MIN(D106,90))),Reference!$A$6:$A$11,1))))*(INDEX(Reference!$B$6:$B$11,MIN(5,MATCH(MAX(Reference!$A$6,MIN(Reference!$A$11,MIN(D106,90))),Reference!$A$6:$A$11,1))+1)-INDEX(Reference!$B$6:$B$11,MIN(5,MATCH(MAX(Reference!$A$6,MIN(Reference!$A$11,MIN(D106,90))),Reference!$A$6:$A$11,1))))/(INDEX(Reference!$A$6:$A$11,MIN(5,MATCH(MAX(Reference!$A$6,MIN(Reference!$A$11,MIN(D106,90))),Reference!$A$6:$A$11,1))+1)-INDEX(Reference!$A$6:$A$11,MIN(5,MATCH(MAX(Reference!$A$6,MIN(Reference!$A$11,MIN(D106,90))),Reference!$A$6:$A$11,1))))),0)+IF(2&lt;=AE106,(AE106-2+3)*(INDEX(Reference!$B$6:$B$11,MIN(5,MATCH(MAX(Reference!$A$6,MIN(Reference!$A$11,MIN(D106,120))),Reference!$A$6:$A$11,1)))+(MAX(Reference!$A$6,MIN(Reference!$A$11,MIN(D106,120)))-INDEX(Reference!$A$6:$A$11,MIN(5,MATCH(MAX(Reference!$A$6,MIN(Reference!$A$11,MIN(D106,120))),Reference!$A$6:$A$11,1))))*(INDEX(Reference!$B$6:$B$11,MIN(5,MATCH(MAX(Reference!$A$6,MIN(Reference!$A$11,MIN(D106,120))),Reference!$A$6:$A$11,1))+1)-INDEX(Reference!$B$6:$B$11,MIN(5,MATCH(MAX(Reference!$A$6,MIN(Reference!$A$11,MIN(D106,120))),Reference!$A$6:$A$11,1))))/(INDEX(Reference!$A$6:$A$11,MIN(5,MATCH(MAX(Reference!$A$6,MIN(Reference!$A$11,MIN(D106,120))),Reference!$A$6:$A$11,1))+1)-INDEX(Reference!$A$6:$A$11,MIN(5,MATCH(MAX(Reference!$A$6,MIN(Reference!$A$11,MIN(D106,120))),Reference!$A$6:$A$11,1))))),0)+IF(3&lt;=AE106,(AE106-3+3)*(INDEX(Reference!$B$6:$B$11,MIN(5,MATCH(MAX(Reference!$A$6,MIN(Reference!$A$11,MIN(D106,150))),Reference!$A$6:$A$11,1)))+(MAX(Reference!$A$6,MIN(Reference!$A$11,MIN(D106,150)))-INDEX(Reference!$A$6:$A$11,MIN(5,MATCH(MAX(Reference!$A$6,MIN(Reference!$A$11,MIN(D106,150))),Reference!$A$6:$A$11,1))))*(INDEX(Reference!$B$6:$B$11,MIN(5,MATCH(MAX(Reference!$A$6,MIN(Reference!$A$11,MIN(D106,150))),Reference!$A$6:$A$11,1))+1)-INDEX(Reference!$B$6:$B$11,MIN(5,MATCH(MAX(Reference!$A$6,MIN(Reference!$A$11,MIN(D106,150))),Reference!$A$6:$A$11,1))))/(INDEX(Reference!$A$6:$A$11,MIN(5,MATCH(MAX(Reference!$A$6,MIN(Reference!$A$11,MIN(D106,150))),Reference!$A$6:$A$11,1))+1)-INDEX(Reference!$A$6:$A$11,MIN(5,MATCH(MAX(Reference!$A$6,MIN(Reference!$A$11,MIN(D106,150))),Reference!$A$6:$A$11,1))))),0)+IF(4&lt;=AE106,(AE106-4+3)*(INDEX(Reference!$B$6:$B$11,MIN(5,MATCH(MAX(Reference!$A$6,MIN(Reference!$A$11,MIN(D106,180))),Reference!$A$6:$A$11,1)))+(MAX(Reference!$A$6,MIN(Reference!$A$11,MIN(D106,180)))-INDEX(Reference!$A$6:$A$11,MIN(5,MATCH(MAX(Reference!$A$6,MIN(Reference!$A$11,MIN(D106,180))),Reference!$A$6:$A$11,1))))*(INDEX(Reference!$B$6:$B$11,MIN(5,MATCH(MAX(Reference!$A$6,MIN(Reference!$A$11,MIN(D106,180))),Reference!$A$6:$A$11,1))+1)-INDEX(Reference!$B$6:$B$11,MIN(5,MATCH(MAX(Reference!$A$6,MIN(Reference!$A$11,MIN(D106,180))),Reference!$A$6:$A$11,1))))/(INDEX(Reference!$A$6:$A$11,MIN(5,MATCH(MAX(Reference!$A$6,MIN(Reference!$A$11,MIN(D106,180))),Reference!$A$6:$A$11,1))+1)-INDEX(Reference!$A$6:$A$11,MIN(5,MATCH(MAX(Reference!$A$6,MIN(Reference!$A$11,MIN(D106,180))),Reference!$A$6:$A$11,1))))),0)+IF(5&lt;=AE106,(AE106-5+3)*(INDEX(Reference!$B$6:$B$11,MIN(5,MATCH(MAX(Reference!$A$6,MIN(Reference!$A$11,MIN(D106,210))),Reference!$A$6:$A$11,1)))+(MAX(Reference!$A$6,MIN(Reference!$A$11,MIN(D106,210)))-INDEX(Reference!$A$6:$A$11,MIN(5,MATCH(MAX(Reference!$A$6,MIN(Reference!$A$11,MIN(D106,210))),Reference!$A$6:$A$11,1))))*(INDEX(Reference!$B$6:$B$11,MIN(5,MATCH(MAX(Reference!$A$6,MIN(Reference!$A$11,MIN(D106,210))),Reference!$A$6:$A$11,1))+1)-INDEX(Reference!$B$6:$B$11,MIN(5,MATCH(MAX(Reference!$A$6,MIN(Reference!$A$11,MIN(D106,210))),Reference!$A$6:$A$11,1))))/(INDEX(Reference!$A$6:$A$11,MIN(5,MATCH(MAX(Reference!$A$6,MIN(Reference!$A$11,MIN(D106,210))),Reference!$A$6:$A$11,1))+1)-INDEX(Reference!$A$6:$A$11,MIN(5,MATCH(MAX(Reference!$A$6,MIN(Reference!$A$11,MIN(D106,210))),Reference!$A$6:$A$11,1))))),0)+IF(6&lt;=AE106,(AE106-6+3)*(INDEX(Reference!$B$6:$B$11,MIN(5,MATCH(MAX(Reference!$A$6,MIN(Reference!$A$11,MIN(D106,240))),Reference!$A$6:$A$11,1)))+(MAX(Reference!$A$6,MIN(Reference!$A$11,MIN(D106,240)))-INDEX(Reference!$A$6:$A$11,MIN(5,MATCH(MAX(Reference!$A$6,MIN(Reference!$A$11,MIN(D106,240))),Reference!$A$6:$A$11,1))))*(INDEX(Reference!$B$6:$B$11,MIN(5,MATCH(MAX(Reference!$A$6,MIN(Reference!$A$11,MIN(D106,240))),Reference!$A$6:$A$11,1))+1)-INDEX(Reference!$B$6:$B$11,MIN(5,MATCH(MAX(Reference!$A$6,MIN(Reference!$A$11,MIN(D106,240))),Reference!$A$6:$A$11,1))))/(INDEX(Reference!$A$6:$A$11,MIN(5,MATCH(MAX(Reference!$A$6,MIN(Reference!$A$11,MIN(D106,240))),Reference!$A$6:$A$11,1))+1)-INDEX(Reference!$A$6:$A$11,MIN(5,MATCH(MAX(Reference!$A$6,MIN(Reference!$A$11,MIN(D106,240))),Reference!$A$6:$A$11,1))))),0)+IF(7&lt;=AE106,(AE106-7+3)*(INDEX(Reference!$B$6:$B$11,MIN(5,MATCH(MAX(Reference!$A$6,MIN(Reference!$A$11,MIN(D106,270))),Reference!$A$6:$A$11,1)))+(MAX(Reference!$A$6,MIN(Reference!$A$11,MIN(D106,270)))-INDEX(Reference!$A$6:$A$11,MIN(5,MATCH(MAX(Reference!$A$6,MIN(Reference!$A$11,MIN(D106,270))),Reference!$A$6:$A$11,1))))*(INDEX(Reference!$B$6:$B$11,MIN(5,MATCH(MAX(Reference!$A$6,MIN(Reference!$A$11,MIN(D106,270))),Reference!$A$6:$A$11,1))+1)-INDEX(Reference!$B$6:$B$11,MIN(5,MATCH(MAX(Reference!$A$6,MIN(Reference!$A$11,MIN(D106,270))),Reference!$A$6:$A$11,1))))/(INDEX(Reference!$A$6:$A$11,MIN(5,MATCH(MAX(Reference!$A$6,MIN(Reference!$A$11,MIN(D106,270))),Reference!$A$6:$A$11,1))+1)-INDEX(Reference!$A$6:$A$11,MIN(5,MATCH(MAX(Reference!$A$6,MIN(Reference!$A$11,MIN(D106,270))),Reference!$A$6:$A$11,1))))),0)+IF(8&lt;=AE106,(AE106-8+3)*(INDEX(Reference!$B$6:$B$11,MIN(5,MATCH(MAX(Reference!$A$6,MIN(Reference!$A$11,MIN(D106,300))),Reference!$A$6:$A$11,1)))+(MAX(Reference!$A$6,MIN(Reference!$A$11,MIN(D106,300)))-INDEX(Reference!$A$6:$A$11,MIN(5,MATCH(MAX(Reference!$A$6,MIN(Reference!$A$11,MIN(D106,300))),Reference!$A$6:$A$11,1))))*(INDEX(Reference!$B$6:$B$11,MIN(5,MATCH(MAX(Reference!$A$6,MIN(Reference!$A$11,MIN(D106,300))),Reference!$A$6:$A$11,1))+1)-INDEX(Reference!$B$6:$B$11,MIN(5,MATCH(MAX(Reference!$A$6,MIN(Reference!$A$11,MIN(D106,300))),Reference!$A$6:$A$11,1))))/(INDEX(Reference!$A$6:$A$11,MIN(5,MATCH(MAX(Reference!$A$6,MIN(Reference!$A$11,MIN(D106,300))),Reference!$A$6:$A$11,1))+1)-INDEX(Reference!$A$6:$A$11,MIN(5,MATCH(MAX(Reference!$A$6,MIN(Reference!$A$11,MIN(D106,300))),Reference!$A$6:$A$11,1))))),0))/(AE106*(AE106+5)/2)),(INDEX(Reference!$B$6:$B$11,MIN(5,MATCH(MAX(Reference!$A$6,MIN(Reference!$A$11,D106)),Reference!$A$6:$A$11,1)))+(MAX(Reference!$A$6,MIN(Reference!$A$11,D106))-INDEX(Reference!$A$6:$A$11,MIN(5,MATCH(MAX(Reference!$A$6,MIN(Reference!$A$11,D106)),Reference!$A$6:$A$11,1))))*(INDEX(Reference!$B$6:$B$11,MIN(5,MATCH(MAX(Reference!$A$6,MIN(Reference!$A$11,D106)),Reference!$A$6:$A$11,1))+1)-INDEX(Reference!$B$6:$B$11,MIN(5,MATCH(MAX(Reference!$A$6,MIN(Reference!$A$11,D106)),Reference!$A$6:$A$11,1))))/(INDEX(Reference!$A$6:$A$11,MIN(5,MATCH(MAX(Reference!$A$6,MIN(Reference!$A$11,D106)),Reference!$A$6:$A$11,1))+1)-INDEX(Reference!$A$6:$A$11,MIN(5,MATCH(MAX(Reference!$A$6,MIN(Reference!$A$11,D106)),Reference!$A$6:$A$11,1))))))))</f>
        <v/>
      </c>
      <c r="P106" s="32" t="str">
        <f>IF(N106="","",VLOOKUP(MAX(N106,0),Reference!$A$17:$B$20,2,TRUE()))</f>
        <v/>
      </c>
      <c r="Q106" s="32" t="str">
        <f t="shared" si="12"/>
        <v/>
      </c>
      <c r="R106" s="31"/>
      <c r="S106" s="31"/>
      <c r="T106" s="31"/>
      <c r="U106" s="32" t="str">
        <f t="shared" si="13"/>
        <v/>
      </c>
      <c r="V106" s="32" t="str">
        <f t="shared" si="14"/>
        <v/>
      </c>
      <c r="W106" s="32" t="str">
        <f>IF(V106="","",VLOOKUP(MAX(V106,0),Reference!$A$17:$B$20,2,TRUE()))</f>
        <v/>
      </c>
      <c r="X106" s="31"/>
      <c r="Y106" s="31"/>
      <c r="Z106" s="31"/>
      <c r="AA106" s="32" t="str">
        <f t="shared" si="15"/>
        <v/>
      </c>
      <c r="AB106" s="32" t="str">
        <f t="shared" si="16"/>
        <v/>
      </c>
      <c r="AC106" s="32" t="str">
        <f>IF(AB106="","",VLOOKUP(MAX(AB106,0),Reference!$A$17:$B$20,2,TRUE()))</f>
        <v/>
      </c>
      <c r="AD106" s="31"/>
      <c r="AE106">
        <f t="shared" si="17"/>
        <v>1</v>
      </c>
      <c r="AF106" s="33" t="str">
        <f>IF(OR(A106="",B106="",AND(C106&lt;&gt;"Bullpen",C106&lt;&gt;"Game")),"",IF((COUNTIFS($B$5:$B$300,B106,$A$5:$A$300,A106-1,$C$5:$C$300,"Bullpen",$AG$5:$AG$300,"&gt;0") + COUNTIFS($B$5:$B$300,B106,$A$5:$A$300,A106-1,$C$5:$C$300,"Game",$AG$5:$AG$300,"&gt;0"))&gt;0,Reference!$B$119,IF((COUNTIFS($B$5:$B$300,B106,$A$5:$A$300,A106-2,$C$5:$C$300,"Bullpen",$AG$5:$AG$300,"&gt;0") + COUNTIFS($B$5:$B$300,B106,$A$5:$A$300,A106-2,$C$5:$C$300,"Game",$AG$5:$AG$300,"&gt;0"))&gt;0,Reference!$B$120,1)))</f>
        <v/>
      </c>
      <c r="AG106" s="30" t="str">
        <f>IF(AND(OR(I106="",O106="",P106=""),OR(R106="",W106=""),OR(X106="",AC106="")),"",IF(OR(I106="",O106="",P106=""),0,I106*O106*P106)+IF(OR(R106="",W106=""),0,R106*IFERROR(INDEX(Reference!$B$61:$B$62,MATCH("Bullpen",Reference!$A$61:$A$62,0)),0)*W106)+IF(OR(X106="",AC106=""),0,X106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106))</f>
        <v/>
      </c>
    </row>
    <row r="107" spans="1:33" x14ac:dyDescent="0.3">
      <c r="A107" s="35"/>
      <c r="B107" s="31"/>
      <c r="C107" s="31"/>
      <c r="D107" s="31"/>
      <c r="E107" s="34"/>
      <c r="F107" s="34"/>
      <c r="G107" s="30" t="str">
        <f t="shared" si="9"/>
        <v/>
      </c>
      <c r="H107" s="31"/>
      <c r="I107" s="32" t="str">
        <f>IF(H107&lt;&gt;"",H107,IF(G107="","",ROUND(G107*IFERROR(INDEX(Reference!$B$44:$B$50,MATCH(C107,Reference!$A$44:$A$50,0)),0),0)))</f>
        <v/>
      </c>
      <c r="J107" s="31"/>
      <c r="K107" s="31"/>
      <c r="L107" s="32" t="str">
        <f t="shared" si="10"/>
        <v/>
      </c>
      <c r="M107" s="32" t="str">
        <f>IFERROR(INDEX(Roster!$D$5:$D$40,MATCH(B107,Roster!$A$5:$A$40,0)),"")</f>
        <v/>
      </c>
      <c r="N107" s="32" t="str">
        <f t="shared" si="11"/>
        <v/>
      </c>
      <c r="O107" s="32" t="str">
        <f>IF(OR(C107="Bullpen",C107="Game"),IFERROR(INDEX(Reference!$B$61:$B$62,MATCH(C107,Reference!$A$61:$A$62,0)),""),IF(D107="","",IF(AE107&gt;1,((IF(1&lt;=AE107,(AE107-1+3)*(INDEX(Reference!$B$6:$B$11,MIN(5,MATCH(MAX(Reference!$A$6,MIN(Reference!$A$11,MIN(D107,90))),Reference!$A$6:$A$11,1)))+(MAX(Reference!$A$6,MIN(Reference!$A$11,MIN(D107,90)))-INDEX(Reference!$A$6:$A$11,MIN(5,MATCH(MAX(Reference!$A$6,MIN(Reference!$A$11,MIN(D107,90))),Reference!$A$6:$A$11,1))))*(INDEX(Reference!$B$6:$B$11,MIN(5,MATCH(MAX(Reference!$A$6,MIN(Reference!$A$11,MIN(D107,90))),Reference!$A$6:$A$11,1))+1)-INDEX(Reference!$B$6:$B$11,MIN(5,MATCH(MAX(Reference!$A$6,MIN(Reference!$A$11,MIN(D107,90))),Reference!$A$6:$A$11,1))))/(INDEX(Reference!$A$6:$A$11,MIN(5,MATCH(MAX(Reference!$A$6,MIN(Reference!$A$11,MIN(D107,90))),Reference!$A$6:$A$11,1))+1)-INDEX(Reference!$A$6:$A$11,MIN(5,MATCH(MAX(Reference!$A$6,MIN(Reference!$A$11,MIN(D107,90))),Reference!$A$6:$A$11,1))))),0)+IF(2&lt;=AE107,(AE107-2+3)*(INDEX(Reference!$B$6:$B$11,MIN(5,MATCH(MAX(Reference!$A$6,MIN(Reference!$A$11,MIN(D107,120))),Reference!$A$6:$A$11,1)))+(MAX(Reference!$A$6,MIN(Reference!$A$11,MIN(D107,120)))-INDEX(Reference!$A$6:$A$11,MIN(5,MATCH(MAX(Reference!$A$6,MIN(Reference!$A$11,MIN(D107,120))),Reference!$A$6:$A$11,1))))*(INDEX(Reference!$B$6:$B$11,MIN(5,MATCH(MAX(Reference!$A$6,MIN(Reference!$A$11,MIN(D107,120))),Reference!$A$6:$A$11,1))+1)-INDEX(Reference!$B$6:$B$11,MIN(5,MATCH(MAX(Reference!$A$6,MIN(Reference!$A$11,MIN(D107,120))),Reference!$A$6:$A$11,1))))/(INDEX(Reference!$A$6:$A$11,MIN(5,MATCH(MAX(Reference!$A$6,MIN(Reference!$A$11,MIN(D107,120))),Reference!$A$6:$A$11,1))+1)-INDEX(Reference!$A$6:$A$11,MIN(5,MATCH(MAX(Reference!$A$6,MIN(Reference!$A$11,MIN(D107,120))),Reference!$A$6:$A$11,1))))),0)+IF(3&lt;=AE107,(AE107-3+3)*(INDEX(Reference!$B$6:$B$11,MIN(5,MATCH(MAX(Reference!$A$6,MIN(Reference!$A$11,MIN(D107,150))),Reference!$A$6:$A$11,1)))+(MAX(Reference!$A$6,MIN(Reference!$A$11,MIN(D107,150)))-INDEX(Reference!$A$6:$A$11,MIN(5,MATCH(MAX(Reference!$A$6,MIN(Reference!$A$11,MIN(D107,150))),Reference!$A$6:$A$11,1))))*(INDEX(Reference!$B$6:$B$11,MIN(5,MATCH(MAX(Reference!$A$6,MIN(Reference!$A$11,MIN(D107,150))),Reference!$A$6:$A$11,1))+1)-INDEX(Reference!$B$6:$B$11,MIN(5,MATCH(MAX(Reference!$A$6,MIN(Reference!$A$11,MIN(D107,150))),Reference!$A$6:$A$11,1))))/(INDEX(Reference!$A$6:$A$11,MIN(5,MATCH(MAX(Reference!$A$6,MIN(Reference!$A$11,MIN(D107,150))),Reference!$A$6:$A$11,1))+1)-INDEX(Reference!$A$6:$A$11,MIN(5,MATCH(MAX(Reference!$A$6,MIN(Reference!$A$11,MIN(D107,150))),Reference!$A$6:$A$11,1))))),0)+IF(4&lt;=AE107,(AE107-4+3)*(INDEX(Reference!$B$6:$B$11,MIN(5,MATCH(MAX(Reference!$A$6,MIN(Reference!$A$11,MIN(D107,180))),Reference!$A$6:$A$11,1)))+(MAX(Reference!$A$6,MIN(Reference!$A$11,MIN(D107,180)))-INDEX(Reference!$A$6:$A$11,MIN(5,MATCH(MAX(Reference!$A$6,MIN(Reference!$A$11,MIN(D107,180))),Reference!$A$6:$A$11,1))))*(INDEX(Reference!$B$6:$B$11,MIN(5,MATCH(MAX(Reference!$A$6,MIN(Reference!$A$11,MIN(D107,180))),Reference!$A$6:$A$11,1))+1)-INDEX(Reference!$B$6:$B$11,MIN(5,MATCH(MAX(Reference!$A$6,MIN(Reference!$A$11,MIN(D107,180))),Reference!$A$6:$A$11,1))))/(INDEX(Reference!$A$6:$A$11,MIN(5,MATCH(MAX(Reference!$A$6,MIN(Reference!$A$11,MIN(D107,180))),Reference!$A$6:$A$11,1))+1)-INDEX(Reference!$A$6:$A$11,MIN(5,MATCH(MAX(Reference!$A$6,MIN(Reference!$A$11,MIN(D107,180))),Reference!$A$6:$A$11,1))))),0)+IF(5&lt;=AE107,(AE107-5+3)*(INDEX(Reference!$B$6:$B$11,MIN(5,MATCH(MAX(Reference!$A$6,MIN(Reference!$A$11,MIN(D107,210))),Reference!$A$6:$A$11,1)))+(MAX(Reference!$A$6,MIN(Reference!$A$11,MIN(D107,210)))-INDEX(Reference!$A$6:$A$11,MIN(5,MATCH(MAX(Reference!$A$6,MIN(Reference!$A$11,MIN(D107,210))),Reference!$A$6:$A$11,1))))*(INDEX(Reference!$B$6:$B$11,MIN(5,MATCH(MAX(Reference!$A$6,MIN(Reference!$A$11,MIN(D107,210))),Reference!$A$6:$A$11,1))+1)-INDEX(Reference!$B$6:$B$11,MIN(5,MATCH(MAX(Reference!$A$6,MIN(Reference!$A$11,MIN(D107,210))),Reference!$A$6:$A$11,1))))/(INDEX(Reference!$A$6:$A$11,MIN(5,MATCH(MAX(Reference!$A$6,MIN(Reference!$A$11,MIN(D107,210))),Reference!$A$6:$A$11,1))+1)-INDEX(Reference!$A$6:$A$11,MIN(5,MATCH(MAX(Reference!$A$6,MIN(Reference!$A$11,MIN(D107,210))),Reference!$A$6:$A$11,1))))),0)+IF(6&lt;=AE107,(AE107-6+3)*(INDEX(Reference!$B$6:$B$11,MIN(5,MATCH(MAX(Reference!$A$6,MIN(Reference!$A$11,MIN(D107,240))),Reference!$A$6:$A$11,1)))+(MAX(Reference!$A$6,MIN(Reference!$A$11,MIN(D107,240)))-INDEX(Reference!$A$6:$A$11,MIN(5,MATCH(MAX(Reference!$A$6,MIN(Reference!$A$11,MIN(D107,240))),Reference!$A$6:$A$11,1))))*(INDEX(Reference!$B$6:$B$11,MIN(5,MATCH(MAX(Reference!$A$6,MIN(Reference!$A$11,MIN(D107,240))),Reference!$A$6:$A$11,1))+1)-INDEX(Reference!$B$6:$B$11,MIN(5,MATCH(MAX(Reference!$A$6,MIN(Reference!$A$11,MIN(D107,240))),Reference!$A$6:$A$11,1))))/(INDEX(Reference!$A$6:$A$11,MIN(5,MATCH(MAX(Reference!$A$6,MIN(Reference!$A$11,MIN(D107,240))),Reference!$A$6:$A$11,1))+1)-INDEX(Reference!$A$6:$A$11,MIN(5,MATCH(MAX(Reference!$A$6,MIN(Reference!$A$11,MIN(D107,240))),Reference!$A$6:$A$11,1))))),0)+IF(7&lt;=AE107,(AE107-7+3)*(INDEX(Reference!$B$6:$B$11,MIN(5,MATCH(MAX(Reference!$A$6,MIN(Reference!$A$11,MIN(D107,270))),Reference!$A$6:$A$11,1)))+(MAX(Reference!$A$6,MIN(Reference!$A$11,MIN(D107,270)))-INDEX(Reference!$A$6:$A$11,MIN(5,MATCH(MAX(Reference!$A$6,MIN(Reference!$A$11,MIN(D107,270))),Reference!$A$6:$A$11,1))))*(INDEX(Reference!$B$6:$B$11,MIN(5,MATCH(MAX(Reference!$A$6,MIN(Reference!$A$11,MIN(D107,270))),Reference!$A$6:$A$11,1))+1)-INDEX(Reference!$B$6:$B$11,MIN(5,MATCH(MAX(Reference!$A$6,MIN(Reference!$A$11,MIN(D107,270))),Reference!$A$6:$A$11,1))))/(INDEX(Reference!$A$6:$A$11,MIN(5,MATCH(MAX(Reference!$A$6,MIN(Reference!$A$11,MIN(D107,270))),Reference!$A$6:$A$11,1))+1)-INDEX(Reference!$A$6:$A$11,MIN(5,MATCH(MAX(Reference!$A$6,MIN(Reference!$A$11,MIN(D107,270))),Reference!$A$6:$A$11,1))))),0)+IF(8&lt;=AE107,(AE107-8+3)*(INDEX(Reference!$B$6:$B$11,MIN(5,MATCH(MAX(Reference!$A$6,MIN(Reference!$A$11,MIN(D107,300))),Reference!$A$6:$A$11,1)))+(MAX(Reference!$A$6,MIN(Reference!$A$11,MIN(D107,300)))-INDEX(Reference!$A$6:$A$11,MIN(5,MATCH(MAX(Reference!$A$6,MIN(Reference!$A$11,MIN(D107,300))),Reference!$A$6:$A$11,1))))*(INDEX(Reference!$B$6:$B$11,MIN(5,MATCH(MAX(Reference!$A$6,MIN(Reference!$A$11,MIN(D107,300))),Reference!$A$6:$A$11,1))+1)-INDEX(Reference!$B$6:$B$11,MIN(5,MATCH(MAX(Reference!$A$6,MIN(Reference!$A$11,MIN(D107,300))),Reference!$A$6:$A$11,1))))/(INDEX(Reference!$A$6:$A$11,MIN(5,MATCH(MAX(Reference!$A$6,MIN(Reference!$A$11,MIN(D107,300))),Reference!$A$6:$A$11,1))+1)-INDEX(Reference!$A$6:$A$11,MIN(5,MATCH(MAX(Reference!$A$6,MIN(Reference!$A$11,MIN(D107,300))),Reference!$A$6:$A$11,1))))),0))/(AE107*(AE107+5)/2)),(INDEX(Reference!$B$6:$B$11,MIN(5,MATCH(MAX(Reference!$A$6,MIN(Reference!$A$11,D107)),Reference!$A$6:$A$11,1)))+(MAX(Reference!$A$6,MIN(Reference!$A$11,D107))-INDEX(Reference!$A$6:$A$11,MIN(5,MATCH(MAX(Reference!$A$6,MIN(Reference!$A$11,D107)),Reference!$A$6:$A$11,1))))*(INDEX(Reference!$B$6:$B$11,MIN(5,MATCH(MAX(Reference!$A$6,MIN(Reference!$A$11,D107)),Reference!$A$6:$A$11,1))+1)-INDEX(Reference!$B$6:$B$11,MIN(5,MATCH(MAX(Reference!$A$6,MIN(Reference!$A$11,D107)),Reference!$A$6:$A$11,1))))/(INDEX(Reference!$A$6:$A$11,MIN(5,MATCH(MAX(Reference!$A$6,MIN(Reference!$A$11,D107)),Reference!$A$6:$A$11,1))+1)-INDEX(Reference!$A$6:$A$11,MIN(5,MATCH(MAX(Reference!$A$6,MIN(Reference!$A$11,D107)),Reference!$A$6:$A$11,1))))))))</f>
        <v/>
      </c>
      <c r="P107" s="32" t="str">
        <f>IF(N107="","",VLOOKUP(MAX(N107,0),Reference!$A$17:$B$20,2,TRUE()))</f>
        <v/>
      </c>
      <c r="Q107" s="32" t="str">
        <f t="shared" si="12"/>
        <v/>
      </c>
      <c r="R107" s="31"/>
      <c r="S107" s="31"/>
      <c r="T107" s="31"/>
      <c r="U107" s="32" t="str">
        <f t="shared" si="13"/>
        <v/>
      </c>
      <c r="V107" s="32" t="str">
        <f t="shared" si="14"/>
        <v/>
      </c>
      <c r="W107" s="32" t="str">
        <f>IF(V107="","",VLOOKUP(MAX(V107,0),Reference!$A$17:$B$20,2,TRUE()))</f>
        <v/>
      </c>
      <c r="X107" s="31"/>
      <c r="Y107" s="31"/>
      <c r="Z107" s="31"/>
      <c r="AA107" s="32" t="str">
        <f t="shared" si="15"/>
        <v/>
      </c>
      <c r="AB107" s="32" t="str">
        <f t="shared" si="16"/>
        <v/>
      </c>
      <c r="AC107" s="32" t="str">
        <f>IF(AB107="","",VLOOKUP(MAX(AB107,0),Reference!$A$17:$B$20,2,TRUE()))</f>
        <v/>
      </c>
      <c r="AD107" s="31"/>
      <c r="AE107">
        <f t="shared" si="17"/>
        <v>1</v>
      </c>
      <c r="AF107" s="33" t="str">
        <f>IF(OR(A107="",B107="",AND(C107&lt;&gt;"Bullpen",C107&lt;&gt;"Game")),"",IF((COUNTIFS($B$5:$B$300,B107,$A$5:$A$300,A107-1,$C$5:$C$300,"Bullpen",$AG$5:$AG$300,"&gt;0") + COUNTIFS($B$5:$B$300,B107,$A$5:$A$300,A107-1,$C$5:$C$300,"Game",$AG$5:$AG$300,"&gt;0"))&gt;0,Reference!$B$119,IF((COUNTIFS($B$5:$B$300,B107,$A$5:$A$300,A107-2,$C$5:$C$300,"Bullpen",$AG$5:$AG$300,"&gt;0") + COUNTIFS($B$5:$B$300,B107,$A$5:$A$300,A107-2,$C$5:$C$300,"Game",$AG$5:$AG$300,"&gt;0"))&gt;0,Reference!$B$120,1)))</f>
        <v/>
      </c>
      <c r="AG107" s="30" t="str">
        <f>IF(AND(OR(I107="",O107="",P107=""),OR(R107="",W107=""),OR(X107="",AC107="")),"",IF(OR(I107="",O107="",P107=""),0,I107*O107*P107)+IF(OR(R107="",W107=""),0,R107*IFERROR(INDEX(Reference!$B$61:$B$62,MATCH("Bullpen",Reference!$A$61:$A$62,0)),0)*W107)+IF(OR(X107="",AC107=""),0,X107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107))</f>
        <v/>
      </c>
    </row>
    <row r="108" spans="1:33" x14ac:dyDescent="0.3">
      <c r="A108" s="35"/>
      <c r="B108" s="31"/>
      <c r="C108" s="31"/>
      <c r="D108" s="31"/>
      <c r="E108" s="34"/>
      <c r="F108" s="34"/>
      <c r="G108" s="30" t="str">
        <f t="shared" si="9"/>
        <v/>
      </c>
      <c r="H108" s="31"/>
      <c r="I108" s="32" t="str">
        <f>IF(H108&lt;&gt;"",H108,IF(G108="","",ROUND(G108*IFERROR(INDEX(Reference!$B$44:$B$50,MATCH(C108,Reference!$A$44:$A$50,0)),0),0)))</f>
        <v/>
      </c>
      <c r="J108" s="31"/>
      <c r="K108" s="31"/>
      <c r="L108" s="32" t="str">
        <f t="shared" si="10"/>
        <v/>
      </c>
      <c r="M108" s="32" t="str">
        <f>IFERROR(INDEX(Roster!$D$5:$D$40,MATCH(B108,Roster!$A$5:$A$40,0)),"")</f>
        <v/>
      </c>
      <c r="N108" s="32" t="str">
        <f t="shared" si="11"/>
        <v/>
      </c>
      <c r="O108" s="32" t="str">
        <f>IF(OR(C108="Bullpen",C108="Game"),IFERROR(INDEX(Reference!$B$61:$B$62,MATCH(C108,Reference!$A$61:$A$62,0)),""),IF(D108="","",IF(AE108&gt;1,((IF(1&lt;=AE108,(AE108-1+3)*(INDEX(Reference!$B$6:$B$11,MIN(5,MATCH(MAX(Reference!$A$6,MIN(Reference!$A$11,MIN(D108,90))),Reference!$A$6:$A$11,1)))+(MAX(Reference!$A$6,MIN(Reference!$A$11,MIN(D108,90)))-INDEX(Reference!$A$6:$A$11,MIN(5,MATCH(MAX(Reference!$A$6,MIN(Reference!$A$11,MIN(D108,90))),Reference!$A$6:$A$11,1))))*(INDEX(Reference!$B$6:$B$11,MIN(5,MATCH(MAX(Reference!$A$6,MIN(Reference!$A$11,MIN(D108,90))),Reference!$A$6:$A$11,1))+1)-INDEX(Reference!$B$6:$B$11,MIN(5,MATCH(MAX(Reference!$A$6,MIN(Reference!$A$11,MIN(D108,90))),Reference!$A$6:$A$11,1))))/(INDEX(Reference!$A$6:$A$11,MIN(5,MATCH(MAX(Reference!$A$6,MIN(Reference!$A$11,MIN(D108,90))),Reference!$A$6:$A$11,1))+1)-INDEX(Reference!$A$6:$A$11,MIN(5,MATCH(MAX(Reference!$A$6,MIN(Reference!$A$11,MIN(D108,90))),Reference!$A$6:$A$11,1))))),0)+IF(2&lt;=AE108,(AE108-2+3)*(INDEX(Reference!$B$6:$B$11,MIN(5,MATCH(MAX(Reference!$A$6,MIN(Reference!$A$11,MIN(D108,120))),Reference!$A$6:$A$11,1)))+(MAX(Reference!$A$6,MIN(Reference!$A$11,MIN(D108,120)))-INDEX(Reference!$A$6:$A$11,MIN(5,MATCH(MAX(Reference!$A$6,MIN(Reference!$A$11,MIN(D108,120))),Reference!$A$6:$A$11,1))))*(INDEX(Reference!$B$6:$B$11,MIN(5,MATCH(MAX(Reference!$A$6,MIN(Reference!$A$11,MIN(D108,120))),Reference!$A$6:$A$11,1))+1)-INDEX(Reference!$B$6:$B$11,MIN(5,MATCH(MAX(Reference!$A$6,MIN(Reference!$A$11,MIN(D108,120))),Reference!$A$6:$A$11,1))))/(INDEX(Reference!$A$6:$A$11,MIN(5,MATCH(MAX(Reference!$A$6,MIN(Reference!$A$11,MIN(D108,120))),Reference!$A$6:$A$11,1))+1)-INDEX(Reference!$A$6:$A$11,MIN(5,MATCH(MAX(Reference!$A$6,MIN(Reference!$A$11,MIN(D108,120))),Reference!$A$6:$A$11,1))))),0)+IF(3&lt;=AE108,(AE108-3+3)*(INDEX(Reference!$B$6:$B$11,MIN(5,MATCH(MAX(Reference!$A$6,MIN(Reference!$A$11,MIN(D108,150))),Reference!$A$6:$A$11,1)))+(MAX(Reference!$A$6,MIN(Reference!$A$11,MIN(D108,150)))-INDEX(Reference!$A$6:$A$11,MIN(5,MATCH(MAX(Reference!$A$6,MIN(Reference!$A$11,MIN(D108,150))),Reference!$A$6:$A$11,1))))*(INDEX(Reference!$B$6:$B$11,MIN(5,MATCH(MAX(Reference!$A$6,MIN(Reference!$A$11,MIN(D108,150))),Reference!$A$6:$A$11,1))+1)-INDEX(Reference!$B$6:$B$11,MIN(5,MATCH(MAX(Reference!$A$6,MIN(Reference!$A$11,MIN(D108,150))),Reference!$A$6:$A$11,1))))/(INDEX(Reference!$A$6:$A$11,MIN(5,MATCH(MAX(Reference!$A$6,MIN(Reference!$A$11,MIN(D108,150))),Reference!$A$6:$A$11,1))+1)-INDEX(Reference!$A$6:$A$11,MIN(5,MATCH(MAX(Reference!$A$6,MIN(Reference!$A$11,MIN(D108,150))),Reference!$A$6:$A$11,1))))),0)+IF(4&lt;=AE108,(AE108-4+3)*(INDEX(Reference!$B$6:$B$11,MIN(5,MATCH(MAX(Reference!$A$6,MIN(Reference!$A$11,MIN(D108,180))),Reference!$A$6:$A$11,1)))+(MAX(Reference!$A$6,MIN(Reference!$A$11,MIN(D108,180)))-INDEX(Reference!$A$6:$A$11,MIN(5,MATCH(MAX(Reference!$A$6,MIN(Reference!$A$11,MIN(D108,180))),Reference!$A$6:$A$11,1))))*(INDEX(Reference!$B$6:$B$11,MIN(5,MATCH(MAX(Reference!$A$6,MIN(Reference!$A$11,MIN(D108,180))),Reference!$A$6:$A$11,1))+1)-INDEX(Reference!$B$6:$B$11,MIN(5,MATCH(MAX(Reference!$A$6,MIN(Reference!$A$11,MIN(D108,180))),Reference!$A$6:$A$11,1))))/(INDEX(Reference!$A$6:$A$11,MIN(5,MATCH(MAX(Reference!$A$6,MIN(Reference!$A$11,MIN(D108,180))),Reference!$A$6:$A$11,1))+1)-INDEX(Reference!$A$6:$A$11,MIN(5,MATCH(MAX(Reference!$A$6,MIN(Reference!$A$11,MIN(D108,180))),Reference!$A$6:$A$11,1))))),0)+IF(5&lt;=AE108,(AE108-5+3)*(INDEX(Reference!$B$6:$B$11,MIN(5,MATCH(MAX(Reference!$A$6,MIN(Reference!$A$11,MIN(D108,210))),Reference!$A$6:$A$11,1)))+(MAX(Reference!$A$6,MIN(Reference!$A$11,MIN(D108,210)))-INDEX(Reference!$A$6:$A$11,MIN(5,MATCH(MAX(Reference!$A$6,MIN(Reference!$A$11,MIN(D108,210))),Reference!$A$6:$A$11,1))))*(INDEX(Reference!$B$6:$B$11,MIN(5,MATCH(MAX(Reference!$A$6,MIN(Reference!$A$11,MIN(D108,210))),Reference!$A$6:$A$11,1))+1)-INDEX(Reference!$B$6:$B$11,MIN(5,MATCH(MAX(Reference!$A$6,MIN(Reference!$A$11,MIN(D108,210))),Reference!$A$6:$A$11,1))))/(INDEX(Reference!$A$6:$A$11,MIN(5,MATCH(MAX(Reference!$A$6,MIN(Reference!$A$11,MIN(D108,210))),Reference!$A$6:$A$11,1))+1)-INDEX(Reference!$A$6:$A$11,MIN(5,MATCH(MAX(Reference!$A$6,MIN(Reference!$A$11,MIN(D108,210))),Reference!$A$6:$A$11,1))))),0)+IF(6&lt;=AE108,(AE108-6+3)*(INDEX(Reference!$B$6:$B$11,MIN(5,MATCH(MAX(Reference!$A$6,MIN(Reference!$A$11,MIN(D108,240))),Reference!$A$6:$A$11,1)))+(MAX(Reference!$A$6,MIN(Reference!$A$11,MIN(D108,240)))-INDEX(Reference!$A$6:$A$11,MIN(5,MATCH(MAX(Reference!$A$6,MIN(Reference!$A$11,MIN(D108,240))),Reference!$A$6:$A$11,1))))*(INDEX(Reference!$B$6:$B$11,MIN(5,MATCH(MAX(Reference!$A$6,MIN(Reference!$A$11,MIN(D108,240))),Reference!$A$6:$A$11,1))+1)-INDEX(Reference!$B$6:$B$11,MIN(5,MATCH(MAX(Reference!$A$6,MIN(Reference!$A$11,MIN(D108,240))),Reference!$A$6:$A$11,1))))/(INDEX(Reference!$A$6:$A$11,MIN(5,MATCH(MAX(Reference!$A$6,MIN(Reference!$A$11,MIN(D108,240))),Reference!$A$6:$A$11,1))+1)-INDEX(Reference!$A$6:$A$11,MIN(5,MATCH(MAX(Reference!$A$6,MIN(Reference!$A$11,MIN(D108,240))),Reference!$A$6:$A$11,1))))),0)+IF(7&lt;=AE108,(AE108-7+3)*(INDEX(Reference!$B$6:$B$11,MIN(5,MATCH(MAX(Reference!$A$6,MIN(Reference!$A$11,MIN(D108,270))),Reference!$A$6:$A$11,1)))+(MAX(Reference!$A$6,MIN(Reference!$A$11,MIN(D108,270)))-INDEX(Reference!$A$6:$A$11,MIN(5,MATCH(MAX(Reference!$A$6,MIN(Reference!$A$11,MIN(D108,270))),Reference!$A$6:$A$11,1))))*(INDEX(Reference!$B$6:$B$11,MIN(5,MATCH(MAX(Reference!$A$6,MIN(Reference!$A$11,MIN(D108,270))),Reference!$A$6:$A$11,1))+1)-INDEX(Reference!$B$6:$B$11,MIN(5,MATCH(MAX(Reference!$A$6,MIN(Reference!$A$11,MIN(D108,270))),Reference!$A$6:$A$11,1))))/(INDEX(Reference!$A$6:$A$11,MIN(5,MATCH(MAX(Reference!$A$6,MIN(Reference!$A$11,MIN(D108,270))),Reference!$A$6:$A$11,1))+1)-INDEX(Reference!$A$6:$A$11,MIN(5,MATCH(MAX(Reference!$A$6,MIN(Reference!$A$11,MIN(D108,270))),Reference!$A$6:$A$11,1))))),0)+IF(8&lt;=AE108,(AE108-8+3)*(INDEX(Reference!$B$6:$B$11,MIN(5,MATCH(MAX(Reference!$A$6,MIN(Reference!$A$11,MIN(D108,300))),Reference!$A$6:$A$11,1)))+(MAX(Reference!$A$6,MIN(Reference!$A$11,MIN(D108,300)))-INDEX(Reference!$A$6:$A$11,MIN(5,MATCH(MAX(Reference!$A$6,MIN(Reference!$A$11,MIN(D108,300))),Reference!$A$6:$A$11,1))))*(INDEX(Reference!$B$6:$B$11,MIN(5,MATCH(MAX(Reference!$A$6,MIN(Reference!$A$11,MIN(D108,300))),Reference!$A$6:$A$11,1))+1)-INDEX(Reference!$B$6:$B$11,MIN(5,MATCH(MAX(Reference!$A$6,MIN(Reference!$A$11,MIN(D108,300))),Reference!$A$6:$A$11,1))))/(INDEX(Reference!$A$6:$A$11,MIN(5,MATCH(MAX(Reference!$A$6,MIN(Reference!$A$11,MIN(D108,300))),Reference!$A$6:$A$11,1))+1)-INDEX(Reference!$A$6:$A$11,MIN(5,MATCH(MAX(Reference!$A$6,MIN(Reference!$A$11,MIN(D108,300))),Reference!$A$6:$A$11,1))))),0))/(AE108*(AE108+5)/2)),(INDEX(Reference!$B$6:$B$11,MIN(5,MATCH(MAX(Reference!$A$6,MIN(Reference!$A$11,D108)),Reference!$A$6:$A$11,1)))+(MAX(Reference!$A$6,MIN(Reference!$A$11,D108))-INDEX(Reference!$A$6:$A$11,MIN(5,MATCH(MAX(Reference!$A$6,MIN(Reference!$A$11,D108)),Reference!$A$6:$A$11,1))))*(INDEX(Reference!$B$6:$B$11,MIN(5,MATCH(MAX(Reference!$A$6,MIN(Reference!$A$11,D108)),Reference!$A$6:$A$11,1))+1)-INDEX(Reference!$B$6:$B$11,MIN(5,MATCH(MAX(Reference!$A$6,MIN(Reference!$A$11,D108)),Reference!$A$6:$A$11,1))))/(INDEX(Reference!$A$6:$A$11,MIN(5,MATCH(MAX(Reference!$A$6,MIN(Reference!$A$11,D108)),Reference!$A$6:$A$11,1))+1)-INDEX(Reference!$A$6:$A$11,MIN(5,MATCH(MAX(Reference!$A$6,MIN(Reference!$A$11,D108)),Reference!$A$6:$A$11,1))))))))</f>
        <v/>
      </c>
      <c r="P108" s="32" t="str">
        <f>IF(N108="","",VLOOKUP(MAX(N108,0),Reference!$A$17:$B$20,2,TRUE()))</f>
        <v/>
      </c>
      <c r="Q108" s="32" t="str">
        <f t="shared" si="12"/>
        <v/>
      </c>
      <c r="R108" s="31"/>
      <c r="S108" s="31"/>
      <c r="T108" s="31"/>
      <c r="U108" s="32" t="str">
        <f t="shared" si="13"/>
        <v/>
      </c>
      <c r="V108" s="32" t="str">
        <f t="shared" si="14"/>
        <v/>
      </c>
      <c r="W108" s="32" t="str">
        <f>IF(V108="","",VLOOKUP(MAX(V108,0),Reference!$A$17:$B$20,2,TRUE()))</f>
        <v/>
      </c>
      <c r="X108" s="31"/>
      <c r="Y108" s="31"/>
      <c r="Z108" s="31"/>
      <c r="AA108" s="32" t="str">
        <f t="shared" si="15"/>
        <v/>
      </c>
      <c r="AB108" s="32" t="str">
        <f t="shared" si="16"/>
        <v/>
      </c>
      <c r="AC108" s="32" t="str">
        <f>IF(AB108="","",VLOOKUP(MAX(AB108,0),Reference!$A$17:$B$20,2,TRUE()))</f>
        <v/>
      </c>
      <c r="AD108" s="31"/>
      <c r="AE108">
        <f t="shared" si="17"/>
        <v>1</v>
      </c>
      <c r="AF108" s="33" t="str">
        <f>IF(OR(A108="",B108="",AND(C108&lt;&gt;"Bullpen",C108&lt;&gt;"Game")),"",IF((COUNTIFS($B$5:$B$300,B108,$A$5:$A$300,A108-1,$C$5:$C$300,"Bullpen",$AG$5:$AG$300,"&gt;0") + COUNTIFS($B$5:$B$300,B108,$A$5:$A$300,A108-1,$C$5:$C$300,"Game",$AG$5:$AG$300,"&gt;0"))&gt;0,Reference!$B$119,IF((COUNTIFS($B$5:$B$300,B108,$A$5:$A$300,A108-2,$C$5:$C$300,"Bullpen",$AG$5:$AG$300,"&gt;0") + COUNTIFS($B$5:$B$300,B108,$A$5:$A$300,A108-2,$C$5:$C$300,"Game",$AG$5:$AG$300,"&gt;0"))&gt;0,Reference!$B$120,1)))</f>
        <v/>
      </c>
      <c r="AG108" s="30" t="str">
        <f>IF(AND(OR(I108="",O108="",P108=""),OR(R108="",W108=""),OR(X108="",AC108="")),"",IF(OR(I108="",O108="",P108=""),0,I108*O108*P108)+IF(OR(R108="",W108=""),0,R108*IFERROR(INDEX(Reference!$B$61:$B$62,MATCH("Bullpen",Reference!$A$61:$A$62,0)),0)*W108)+IF(OR(X108="",AC108=""),0,X108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108))</f>
        <v/>
      </c>
    </row>
    <row r="109" spans="1:33" x14ac:dyDescent="0.3">
      <c r="A109" s="35"/>
      <c r="B109" s="31"/>
      <c r="C109" s="31"/>
      <c r="D109" s="31"/>
      <c r="E109" s="34"/>
      <c r="F109" s="34"/>
      <c r="G109" s="30" t="str">
        <f t="shared" si="9"/>
        <v/>
      </c>
      <c r="H109" s="31"/>
      <c r="I109" s="32" t="str">
        <f>IF(H109&lt;&gt;"",H109,IF(G109="","",ROUND(G109*IFERROR(INDEX(Reference!$B$44:$B$50,MATCH(C109,Reference!$A$44:$A$50,0)),0),0)))</f>
        <v/>
      </c>
      <c r="J109" s="31"/>
      <c r="K109" s="31"/>
      <c r="L109" s="32" t="str">
        <f t="shared" si="10"/>
        <v/>
      </c>
      <c r="M109" s="32" t="str">
        <f>IFERROR(INDEX(Roster!$D$5:$D$40,MATCH(B109,Roster!$A$5:$A$40,0)),"")</f>
        <v/>
      </c>
      <c r="N109" s="32" t="str">
        <f t="shared" si="11"/>
        <v/>
      </c>
      <c r="O109" s="32" t="str">
        <f>IF(OR(C109="Bullpen",C109="Game"),IFERROR(INDEX(Reference!$B$61:$B$62,MATCH(C109,Reference!$A$61:$A$62,0)),""),IF(D109="","",IF(AE109&gt;1,((IF(1&lt;=AE109,(AE109-1+3)*(INDEX(Reference!$B$6:$B$11,MIN(5,MATCH(MAX(Reference!$A$6,MIN(Reference!$A$11,MIN(D109,90))),Reference!$A$6:$A$11,1)))+(MAX(Reference!$A$6,MIN(Reference!$A$11,MIN(D109,90)))-INDEX(Reference!$A$6:$A$11,MIN(5,MATCH(MAX(Reference!$A$6,MIN(Reference!$A$11,MIN(D109,90))),Reference!$A$6:$A$11,1))))*(INDEX(Reference!$B$6:$B$11,MIN(5,MATCH(MAX(Reference!$A$6,MIN(Reference!$A$11,MIN(D109,90))),Reference!$A$6:$A$11,1))+1)-INDEX(Reference!$B$6:$B$11,MIN(5,MATCH(MAX(Reference!$A$6,MIN(Reference!$A$11,MIN(D109,90))),Reference!$A$6:$A$11,1))))/(INDEX(Reference!$A$6:$A$11,MIN(5,MATCH(MAX(Reference!$A$6,MIN(Reference!$A$11,MIN(D109,90))),Reference!$A$6:$A$11,1))+1)-INDEX(Reference!$A$6:$A$11,MIN(5,MATCH(MAX(Reference!$A$6,MIN(Reference!$A$11,MIN(D109,90))),Reference!$A$6:$A$11,1))))),0)+IF(2&lt;=AE109,(AE109-2+3)*(INDEX(Reference!$B$6:$B$11,MIN(5,MATCH(MAX(Reference!$A$6,MIN(Reference!$A$11,MIN(D109,120))),Reference!$A$6:$A$11,1)))+(MAX(Reference!$A$6,MIN(Reference!$A$11,MIN(D109,120)))-INDEX(Reference!$A$6:$A$11,MIN(5,MATCH(MAX(Reference!$A$6,MIN(Reference!$A$11,MIN(D109,120))),Reference!$A$6:$A$11,1))))*(INDEX(Reference!$B$6:$B$11,MIN(5,MATCH(MAX(Reference!$A$6,MIN(Reference!$A$11,MIN(D109,120))),Reference!$A$6:$A$11,1))+1)-INDEX(Reference!$B$6:$B$11,MIN(5,MATCH(MAX(Reference!$A$6,MIN(Reference!$A$11,MIN(D109,120))),Reference!$A$6:$A$11,1))))/(INDEX(Reference!$A$6:$A$11,MIN(5,MATCH(MAX(Reference!$A$6,MIN(Reference!$A$11,MIN(D109,120))),Reference!$A$6:$A$11,1))+1)-INDEX(Reference!$A$6:$A$11,MIN(5,MATCH(MAX(Reference!$A$6,MIN(Reference!$A$11,MIN(D109,120))),Reference!$A$6:$A$11,1))))),0)+IF(3&lt;=AE109,(AE109-3+3)*(INDEX(Reference!$B$6:$B$11,MIN(5,MATCH(MAX(Reference!$A$6,MIN(Reference!$A$11,MIN(D109,150))),Reference!$A$6:$A$11,1)))+(MAX(Reference!$A$6,MIN(Reference!$A$11,MIN(D109,150)))-INDEX(Reference!$A$6:$A$11,MIN(5,MATCH(MAX(Reference!$A$6,MIN(Reference!$A$11,MIN(D109,150))),Reference!$A$6:$A$11,1))))*(INDEX(Reference!$B$6:$B$11,MIN(5,MATCH(MAX(Reference!$A$6,MIN(Reference!$A$11,MIN(D109,150))),Reference!$A$6:$A$11,1))+1)-INDEX(Reference!$B$6:$B$11,MIN(5,MATCH(MAX(Reference!$A$6,MIN(Reference!$A$11,MIN(D109,150))),Reference!$A$6:$A$11,1))))/(INDEX(Reference!$A$6:$A$11,MIN(5,MATCH(MAX(Reference!$A$6,MIN(Reference!$A$11,MIN(D109,150))),Reference!$A$6:$A$11,1))+1)-INDEX(Reference!$A$6:$A$11,MIN(5,MATCH(MAX(Reference!$A$6,MIN(Reference!$A$11,MIN(D109,150))),Reference!$A$6:$A$11,1))))),0)+IF(4&lt;=AE109,(AE109-4+3)*(INDEX(Reference!$B$6:$B$11,MIN(5,MATCH(MAX(Reference!$A$6,MIN(Reference!$A$11,MIN(D109,180))),Reference!$A$6:$A$11,1)))+(MAX(Reference!$A$6,MIN(Reference!$A$11,MIN(D109,180)))-INDEX(Reference!$A$6:$A$11,MIN(5,MATCH(MAX(Reference!$A$6,MIN(Reference!$A$11,MIN(D109,180))),Reference!$A$6:$A$11,1))))*(INDEX(Reference!$B$6:$B$11,MIN(5,MATCH(MAX(Reference!$A$6,MIN(Reference!$A$11,MIN(D109,180))),Reference!$A$6:$A$11,1))+1)-INDEX(Reference!$B$6:$B$11,MIN(5,MATCH(MAX(Reference!$A$6,MIN(Reference!$A$11,MIN(D109,180))),Reference!$A$6:$A$11,1))))/(INDEX(Reference!$A$6:$A$11,MIN(5,MATCH(MAX(Reference!$A$6,MIN(Reference!$A$11,MIN(D109,180))),Reference!$A$6:$A$11,1))+1)-INDEX(Reference!$A$6:$A$11,MIN(5,MATCH(MAX(Reference!$A$6,MIN(Reference!$A$11,MIN(D109,180))),Reference!$A$6:$A$11,1))))),0)+IF(5&lt;=AE109,(AE109-5+3)*(INDEX(Reference!$B$6:$B$11,MIN(5,MATCH(MAX(Reference!$A$6,MIN(Reference!$A$11,MIN(D109,210))),Reference!$A$6:$A$11,1)))+(MAX(Reference!$A$6,MIN(Reference!$A$11,MIN(D109,210)))-INDEX(Reference!$A$6:$A$11,MIN(5,MATCH(MAX(Reference!$A$6,MIN(Reference!$A$11,MIN(D109,210))),Reference!$A$6:$A$11,1))))*(INDEX(Reference!$B$6:$B$11,MIN(5,MATCH(MAX(Reference!$A$6,MIN(Reference!$A$11,MIN(D109,210))),Reference!$A$6:$A$11,1))+1)-INDEX(Reference!$B$6:$B$11,MIN(5,MATCH(MAX(Reference!$A$6,MIN(Reference!$A$11,MIN(D109,210))),Reference!$A$6:$A$11,1))))/(INDEX(Reference!$A$6:$A$11,MIN(5,MATCH(MAX(Reference!$A$6,MIN(Reference!$A$11,MIN(D109,210))),Reference!$A$6:$A$11,1))+1)-INDEX(Reference!$A$6:$A$11,MIN(5,MATCH(MAX(Reference!$A$6,MIN(Reference!$A$11,MIN(D109,210))),Reference!$A$6:$A$11,1))))),0)+IF(6&lt;=AE109,(AE109-6+3)*(INDEX(Reference!$B$6:$B$11,MIN(5,MATCH(MAX(Reference!$A$6,MIN(Reference!$A$11,MIN(D109,240))),Reference!$A$6:$A$11,1)))+(MAX(Reference!$A$6,MIN(Reference!$A$11,MIN(D109,240)))-INDEX(Reference!$A$6:$A$11,MIN(5,MATCH(MAX(Reference!$A$6,MIN(Reference!$A$11,MIN(D109,240))),Reference!$A$6:$A$11,1))))*(INDEX(Reference!$B$6:$B$11,MIN(5,MATCH(MAX(Reference!$A$6,MIN(Reference!$A$11,MIN(D109,240))),Reference!$A$6:$A$11,1))+1)-INDEX(Reference!$B$6:$B$11,MIN(5,MATCH(MAX(Reference!$A$6,MIN(Reference!$A$11,MIN(D109,240))),Reference!$A$6:$A$11,1))))/(INDEX(Reference!$A$6:$A$11,MIN(5,MATCH(MAX(Reference!$A$6,MIN(Reference!$A$11,MIN(D109,240))),Reference!$A$6:$A$11,1))+1)-INDEX(Reference!$A$6:$A$11,MIN(5,MATCH(MAX(Reference!$A$6,MIN(Reference!$A$11,MIN(D109,240))),Reference!$A$6:$A$11,1))))),0)+IF(7&lt;=AE109,(AE109-7+3)*(INDEX(Reference!$B$6:$B$11,MIN(5,MATCH(MAX(Reference!$A$6,MIN(Reference!$A$11,MIN(D109,270))),Reference!$A$6:$A$11,1)))+(MAX(Reference!$A$6,MIN(Reference!$A$11,MIN(D109,270)))-INDEX(Reference!$A$6:$A$11,MIN(5,MATCH(MAX(Reference!$A$6,MIN(Reference!$A$11,MIN(D109,270))),Reference!$A$6:$A$11,1))))*(INDEX(Reference!$B$6:$B$11,MIN(5,MATCH(MAX(Reference!$A$6,MIN(Reference!$A$11,MIN(D109,270))),Reference!$A$6:$A$11,1))+1)-INDEX(Reference!$B$6:$B$11,MIN(5,MATCH(MAX(Reference!$A$6,MIN(Reference!$A$11,MIN(D109,270))),Reference!$A$6:$A$11,1))))/(INDEX(Reference!$A$6:$A$11,MIN(5,MATCH(MAX(Reference!$A$6,MIN(Reference!$A$11,MIN(D109,270))),Reference!$A$6:$A$11,1))+1)-INDEX(Reference!$A$6:$A$11,MIN(5,MATCH(MAX(Reference!$A$6,MIN(Reference!$A$11,MIN(D109,270))),Reference!$A$6:$A$11,1))))),0)+IF(8&lt;=AE109,(AE109-8+3)*(INDEX(Reference!$B$6:$B$11,MIN(5,MATCH(MAX(Reference!$A$6,MIN(Reference!$A$11,MIN(D109,300))),Reference!$A$6:$A$11,1)))+(MAX(Reference!$A$6,MIN(Reference!$A$11,MIN(D109,300)))-INDEX(Reference!$A$6:$A$11,MIN(5,MATCH(MAX(Reference!$A$6,MIN(Reference!$A$11,MIN(D109,300))),Reference!$A$6:$A$11,1))))*(INDEX(Reference!$B$6:$B$11,MIN(5,MATCH(MAX(Reference!$A$6,MIN(Reference!$A$11,MIN(D109,300))),Reference!$A$6:$A$11,1))+1)-INDEX(Reference!$B$6:$B$11,MIN(5,MATCH(MAX(Reference!$A$6,MIN(Reference!$A$11,MIN(D109,300))),Reference!$A$6:$A$11,1))))/(INDEX(Reference!$A$6:$A$11,MIN(5,MATCH(MAX(Reference!$A$6,MIN(Reference!$A$11,MIN(D109,300))),Reference!$A$6:$A$11,1))+1)-INDEX(Reference!$A$6:$A$11,MIN(5,MATCH(MAX(Reference!$A$6,MIN(Reference!$A$11,MIN(D109,300))),Reference!$A$6:$A$11,1))))),0))/(AE109*(AE109+5)/2)),(INDEX(Reference!$B$6:$B$11,MIN(5,MATCH(MAX(Reference!$A$6,MIN(Reference!$A$11,D109)),Reference!$A$6:$A$11,1)))+(MAX(Reference!$A$6,MIN(Reference!$A$11,D109))-INDEX(Reference!$A$6:$A$11,MIN(5,MATCH(MAX(Reference!$A$6,MIN(Reference!$A$11,D109)),Reference!$A$6:$A$11,1))))*(INDEX(Reference!$B$6:$B$11,MIN(5,MATCH(MAX(Reference!$A$6,MIN(Reference!$A$11,D109)),Reference!$A$6:$A$11,1))+1)-INDEX(Reference!$B$6:$B$11,MIN(5,MATCH(MAX(Reference!$A$6,MIN(Reference!$A$11,D109)),Reference!$A$6:$A$11,1))))/(INDEX(Reference!$A$6:$A$11,MIN(5,MATCH(MAX(Reference!$A$6,MIN(Reference!$A$11,D109)),Reference!$A$6:$A$11,1))+1)-INDEX(Reference!$A$6:$A$11,MIN(5,MATCH(MAX(Reference!$A$6,MIN(Reference!$A$11,D109)),Reference!$A$6:$A$11,1))))))))</f>
        <v/>
      </c>
      <c r="P109" s="32" t="str">
        <f>IF(N109="","",VLOOKUP(MAX(N109,0),Reference!$A$17:$B$20,2,TRUE()))</f>
        <v/>
      </c>
      <c r="Q109" s="32" t="str">
        <f t="shared" si="12"/>
        <v/>
      </c>
      <c r="R109" s="31"/>
      <c r="S109" s="31"/>
      <c r="T109" s="31"/>
      <c r="U109" s="32" t="str">
        <f t="shared" si="13"/>
        <v/>
      </c>
      <c r="V109" s="32" t="str">
        <f t="shared" si="14"/>
        <v/>
      </c>
      <c r="W109" s="32" t="str">
        <f>IF(V109="","",VLOOKUP(MAX(V109,0),Reference!$A$17:$B$20,2,TRUE()))</f>
        <v/>
      </c>
      <c r="X109" s="31"/>
      <c r="Y109" s="31"/>
      <c r="Z109" s="31"/>
      <c r="AA109" s="32" t="str">
        <f t="shared" si="15"/>
        <v/>
      </c>
      <c r="AB109" s="32" t="str">
        <f t="shared" si="16"/>
        <v/>
      </c>
      <c r="AC109" s="32" t="str">
        <f>IF(AB109="","",VLOOKUP(MAX(AB109,0),Reference!$A$17:$B$20,2,TRUE()))</f>
        <v/>
      </c>
      <c r="AD109" s="31"/>
      <c r="AE109">
        <f t="shared" si="17"/>
        <v>1</v>
      </c>
      <c r="AF109" s="33" t="str">
        <f>IF(OR(A109="",B109="",AND(C109&lt;&gt;"Bullpen",C109&lt;&gt;"Game")),"",IF((COUNTIFS($B$5:$B$300,B109,$A$5:$A$300,A109-1,$C$5:$C$300,"Bullpen",$AG$5:$AG$300,"&gt;0") + COUNTIFS($B$5:$B$300,B109,$A$5:$A$300,A109-1,$C$5:$C$300,"Game",$AG$5:$AG$300,"&gt;0"))&gt;0,Reference!$B$119,IF((COUNTIFS($B$5:$B$300,B109,$A$5:$A$300,A109-2,$C$5:$C$300,"Bullpen",$AG$5:$AG$300,"&gt;0") + COUNTIFS($B$5:$B$300,B109,$A$5:$A$300,A109-2,$C$5:$C$300,"Game",$AG$5:$AG$300,"&gt;0"))&gt;0,Reference!$B$120,1)))</f>
        <v/>
      </c>
      <c r="AG109" s="30" t="str">
        <f>IF(AND(OR(I109="",O109="",P109=""),OR(R109="",W109=""),OR(X109="",AC109="")),"",IF(OR(I109="",O109="",P109=""),0,I109*O109*P109)+IF(OR(R109="",W109=""),0,R109*IFERROR(INDEX(Reference!$B$61:$B$62,MATCH("Bullpen",Reference!$A$61:$A$62,0)),0)*W109)+IF(OR(X109="",AC109=""),0,X109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109))</f>
        <v/>
      </c>
    </row>
    <row r="110" spans="1:33" x14ac:dyDescent="0.3">
      <c r="A110" s="35"/>
      <c r="B110" s="31"/>
      <c r="C110" s="31"/>
      <c r="D110" s="31"/>
      <c r="E110" s="34"/>
      <c r="F110" s="34"/>
      <c r="G110" s="30" t="str">
        <f t="shared" si="9"/>
        <v/>
      </c>
      <c r="H110" s="31"/>
      <c r="I110" s="32" t="str">
        <f>IF(H110&lt;&gt;"",H110,IF(G110="","",ROUND(G110*IFERROR(INDEX(Reference!$B$44:$B$50,MATCH(C110,Reference!$A$44:$A$50,0)),0),0)))</f>
        <v/>
      </c>
      <c r="J110" s="31"/>
      <c r="K110" s="31"/>
      <c r="L110" s="32" t="str">
        <f t="shared" si="10"/>
        <v/>
      </c>
      <c r="M110" s="32" t="str">
        <f>IFERROR(INDEX(Roster!$D$5:$D$40,MATCH(B110,Roster!$A$5:$A$40,0)),"")</f>
        <v/>
      </c>
      <c r="N110" s="32" t="str">
        <f t="shared" si="11"/>
        <v/>
      </c>
      <c r="O110" s="32" t="str">
        <f>IF(OR(C110="Bullpen",C110="Game"),IFERROR(INDEX(Reference!$B$61:$B$62,MATCH(C110,Reference!$A$61:$A$62,0)),""),IF(D110="","",IF(AE110&gt;1,((IF(1&lt;=AE110,(AE110-1+3)*(INDEX(Reference!$B$6:$B$11,MIN(5,MATCH(MAX(Reference!$A$6,MIN(Reference!$A$11,MIN(D110,90))),Reference!$A$6:$A$11,1)))+(MAX(Reference!$A$6,MIN(Reference!$A$11,MIN(D110,90)))-INDEX(Reference!$A$6:$A$11,MIN(5,MATCH(MAX(Reference!$A$6,MIN(Reference!$A$11,MIN(D110,90))),Reference!$A$6:$A$11,1))))*(INDEX(Reference!$B$6:$B$11,MIN(5,MATCH(MAX(Reference!$A$6,MIN(Reference!$A$11,MIN(D110,90))),Reference!$A$6:$A$11,1))+1)-INDEX(Reference!$B$6:$B$11,MIN(5,MATCH(MAX(Reference!$A$6,MIN(Reference!$A$11,MIN(D110,90))),Reference!$A$6:$A$11,1))))/(INDEX(Reference!$A$6:$A$11,MIN(5,MATCH(MAX(Reference!$A$6,MIN(Reference!$A$11,MIN(D110,90))),Reference!$A$6:$A$11,1))+1)-INDEX(Reference!$A$6:$A$11,MIN(5,MATCH(MAX(Reference!$A$6,MIN(Reference!$A$11,MIN(D110,90))),Reference!$A$6:$A$11,1))))),0)+IF(2&lt;=AE110,(AE110-2+3)*(INDEX(Reference!$B$6:$B$11,MIN(5,MATCH(MAX(Reference!$A$6,MIN(Reference!$A$11,MIN(D110,120))),Reference!$A$6:$A$11,1)))+(MAX(Reference!$A$6,MIN(Reference!$A$11,MIN(D110,120)))-INDEX(Reference!$A$6:$A$11,MIN(5,MATCH(MAX(Reference!$A$6,MIN(Reference!$A$11,MIN(D110,120))),Reference!$A$6:$A$11,1))))*(INDEX(Reference!$B$6:$B$11,MIN(5,MATCH(MAX(Reference!$A$6,MIN(Reference!$A$11,MIN(D110,120))),Reference!$A$6:$A$11,1))+1)-INDEX(Reference!$B$6:$B$11,MIN(5,MATCH(MAX(Reference!$A$6,MIN(Reference!$A$11,MIN(D110,120))),Reference!$A$6:$A$11,1))))/(INDEX(Reference!$A$6:$A$11,MIN(5,MATCH(MAX(Reference!$A$6,MIN(Reference!$A$11,MIN(D110,120))),Reference!$A$6:$A$11,1))+1)-INDEX(Reference!$A$6:$A$11,MIN(5,MATCH(MAX(Reference!$A$6,MIN(Reference!$A$11,MIN(D110,120))),Reference!$A$6:$A$11,1))))),0)+IF(3&lt;=AE110,(AE110-3+3)*(INDEX(Reference!$B$6:$B$11,MIN(5,MATCH(MAX(Reference!$A$6,MIN(Reference!$A$11,MIN(D110,150))),Reference!$A$6:$A$11,1)))+(MAX(Reference!$A$6,MIN(Reference!$A$11,MIN(D110,150)))-INDEX(Reference!$A$6:$A$11,MIN(5,MATCH(MAX(Reference!$A$6,MIN(Reference!$A$11,MIN(D110,150))),Reference!$A$6:$A$11,1))))*(INDEX(Reference!$B$6:$B$11,MIN(5,MATCH(MAX(Reference!$A$6,MIN(Reference!$A$11,MIN(D110,150))),Reference!$A$6:$A$11,1))+1)-INDEX(Reference!$B$6:$B$11,MIN(5,MATCH(MAX(Reference!$A$6,MIN(Reference!$A$11,MIN(D110,150))),Reference!$A$6:$A$11,1))))/(INDEX(Reference!$A$6:$A$11,MIN(5,MATCH(MAX(Reference!$A$6,MIN(Reference!$A$11,MIN(D110,150))),Reference!$A$6:$A$11,1))+1)-INDEX(Reference!$A$6:$A$11,MIN(5,MATCH(MAX(Reference!$A$6,MIN(Reference!$A$11,MIN(D110,150))),Reference!$A$6:$A$11,1))))),0)+IF(4&lt;=AE110,(AE110-4+3)*(INDEX(Reference!$B$6:$B$11,MIN(5,MATCH(MAX(Reference!$A$6,MIN(Reference!$A$11,MIN(D110,180))),Reference!$A$6:$A$11,1)))+(MAX(Reference!$A$6,MIN(Reference!$A$11,MIN(D110,180)))-INDEX(Reference!$A$6:$A$11,MIN(5,MATCH(MAX(Reference!$A$6,MIN(Reference!$A$11,MIN(D110,180))),Reference!$A$6:$A$11,1))))*(INDEX(Reference!$B$6:$B$11,MIN(5,MATCH(MAX(Reference!$A$6,MIN(Reference!$A$11,MIN(D110,180))),Reference!$A$6:$A$11,1))+1)-INDEX(Reference!$B$6:$B$11,MIN(5,MATCH(MAX(Reference!$A$6,MIN(Reference!$A$11,MIN(D110,180))),Reference!$A$6:$A$11,1))))/(INDEX(Reference!$A$6:$A$11,MIN(5,MATCH(MAX(Reference!$A$6,MIN(Reference!$A$11,MIN(D110,180))),Reference!$A$6:$A$11,1))+1)-INDEX(Reference!$A$6:$A$11,MIN(5,MATCH(MAX(Reference!$A$6,MIN(Reference!$A$11,MIN(D110,180))),Reference!$A$6:$A$11,1))))),0)+IF(5&lt;=AE110,(AE110-5+3)*(INDEX(Reference!$B$6:$B$11,MIN(5,MATCH(MAX(Reference!$A$6,MIN(Reference!$A$11,MIN(D110,210))),Reference!$A$6:$A$11,1)))+(MAX(Reference!$A$6,MIN(Reference!$A$11,MIN(D110,210)))-INDEX(Reference!$A$6:$A$11,MIN(5,MATCH(MAX(Reference!$A$6,MIN(Reference!$A$11,MIN(D110,210))),Reference!$A$6:$A$11,1))))*(INDEX(Reference!$B$6:$B$11,MIN(5,MATCH(MAX(Reference!$A$6,MIN(Reference!$A$11,MIN(D110,210))),Reference!$A$6:$A$11,1))+1)-INDEX(Reference!$B$6:$B$11,MIN(5,MATCH(MAX(Reference!$A$6,MIN(Reference!$A$11,MIN(D110,210))),Reference!$A$6:$A$11,1))))/(INDEX(Reference!$A$6:$A$11,MIN(5,MATCH(MAX(Reference!$A$6,MIN(Reference!$A$11,MIN(D110,210))),Reference!$A$6:$A$11,1))+1)-INDEX(Reference!$A$6:$A$11,MIN(5,MATCH(MAX(Reference!$A$6,MIN(Reference!$A$11,MIN(D110,210))),Reference!$A$6:$A$11,1))))),0)+IF(6&lt;=AE110,(AE110-6+3)*(INDEX(Reference!$B$6:$B$11,MIN(5,MATCH(MAX(Reference!$A$6,MIN(Reference!$A$11,MIN(D110,240))),Reference!$A$6:$A$11,1)))+(MAX(Reference!$A$6,MIN(Reference!$A$11,MIN(D110,240)))-INDEX(Reference!$A$6:$A$11,MIN(5,MATCH(MAX(Reference!$A$6,MIN(Reference!$A$11,MIN(D110,240))),Reference!$A$6:$A$11,1))))*(INDEX(Reference!$B$6:$B$11,MIN(5,MATCH(MAX(Reference!$A$6,MIN(Reference!$A$11,MIN(D110,240))),Reference!$A$6:$A$11,1))+1)-INDEX(Reference!$B$6:$B$11,MIN(5,MATCH(MAX(Reference!$A$6,MIN(Reference!$A$11,MIN(D110,240))),Reference!$A$6:$A$11,1))))/(INDEX(Reference!$A$6:$A$11,MIN(5,MATCH(MAX(Reference!$A$6,MIN(Reference!$A$11,MIN(D110,240))),Reference!$A$6:$A$11,1))+1)-INDEX(Reference!$A$6:$A$11,MIN(5,MATCH(MAX(Reference!$A$6,MIN(Reference!$A$11,MIN(D110,240))),Reference!$A$6:$A$11,1))))),0)+IF(7&lt;=AE110,(AE110-7+3)*(INDEX(Reference!$B$6:$B$11,MIN(5,MATCH(MAX(Reference!$A$6,MIN(Reference!$A$11,MIN(D110,270))),Reference!$A$6:$A$11,1)))+(MAX(Reference!$A$6,MIN(Reference!$A$11,MIN(D110,270)))-INDEX(Reference!$A$6:$A$11,MIN(5,MATCH(MAX(Reference!$A$6,MIN(Reference!$A$11,MIN(D110,270))),Reference!$A$6:$A$11,1))))*(INDEX(Reference!$B$6:$B$11,MIN(5,MATCH(MAX(Reference!$A$6,MIN(Reference!$A$11,MIN(D110,270))),Reference!$A$6:$A$11,1))+1)-INDEX(Reference!$B$6:$B$11,MIN(5,MATCH(MAX(Reference!$A$6,MIN(Reference!$A$11,MIN(D110,270))),Reference!$A$6:$A$11,1))))/(INDEX(Reference!$A$6:$A$11,MIN(5,MATCH(MAX(Reference!$A$6,MIN(Reference!$A$11,MIN(D110,270))),Reference!$A$6:$A$11,1))+1)-INDEX(Reference!$A$6:$A$11,MIN(5,MATCH(MAX(Reference!$A$6,MIN(Reference!$A$11,MIN(D110,270))),Reference!$A$6:$A$11,1))))),0)+IF(8&lt;=AE110,(AE110-8+3)*(INDEX(Reference!$B$6:$B$11,MIN(5,MATCH(MAX(Reference!$A$6,MIN(Reference!$A$11,MIN(D110,300))),Reference!$A$6:$A$11,1)))+(MAX(Reference!$A$6,MIN(Reference!$A$11,MIN(D110,300)))-INDEX(Reference!$A$6:$A$11,MIN(5,MATCH(MAX(Reference!$A$6,MIN(Reference!$A$11,MIN(D110,300))),Reference!$A$6:$A$11,1))))*(INDEX(Reference!$B$6:$B$11,MIN(5,MATCH(MAX(Reference!$A$6,MIN(Reference!$A$11,MIN(D110,300))),Reference!$A$6:$A$11,1))+1)-INDEX(Reference!$B$6:$B$11,MIN(5,MATCH(MAX(Reference!$A$6,MIN(Reference!$A$11,MIN(D110,300))),Reference!$A$6:$A$11,1))))/(INDEX(Reference!$A$6:$A$11,MIN(5,MATCH(MAX(Reference!$A$6,MIN(Reference!$A$11,MIN(D110,300))),Reference!$A$6:$A$11,1))+1)-INDEX(Reference!$A$6:$A$11,MIN(5,MATCH(MAX(Reference!$A$6,MIN(Reference!$A$11,MIN(D110,300))),Reference!$A$6:$A$11,1))))),0))/(AE110*(AE110+5)/2)),(INDEX(Reference!$B$6:$B$11,MIN(5,MATCH(MAX(Reference!$A$6,MIN(Reference!$A$11,D110)),Reference!$A$6:$A$11,1)))+(MAX(Reference!$A$6,MIN(Reference!$A$11,D110))-INDEX(Reference!$A$6:$A$11,MIN(5,MATCH(MAX(Reference!$A$6,MIN(Reference!$A$11,D110)),Reference!$A$6:$A$11,1))))*(INDEX(Reference!$B$6:$B$11,MIN(5,MATCH(MAX(Reference!$A$6,MIN(Reference!$A$11,D110)),Reference!$A$6:$A$11,1))+1)-INDEX(Reference!$B$6:$B$11,MIN(5,MATCH(MAX(Reference!$A$6,MIN(Reference!$A$11,D110)),Reference!$A$6:$A$11,1))))/(INDEX(Reference!$A$6:$A$11,MIN(5,MATCH(MAX(Reference!$A$6,MIN(Reference!$A$11,D110)),Reference!$A$6:$A$11,1))+1)-INDEX(Reference!$A$6:$A$11,MIN(5,MATCH(MAX(Reference!$A$6,MIN(Reference!$A$11,D110)),Reference!$A$6:$A$11,1))))))))</f>
        <v/>
      </c>
      <c r="P110" s="32" t="str">
        <f>IF(N110="","",VLOOKUP(MAX(N110,0),Reference!$A$17:$B$20,2,TRUE()))</f>
        <v/>
      </c>
      <c r="Q110" s="32" t="str">
        <f t="shared" si="12"/>
        <v/>
      </c>
      <c r="R110" s="31"/>
      <c r="S110" s="31"/>
      <c r="T110" s="31"/>
      <c r="U110" s="32" t="str">
        <f t="shared" si="13"/>
        <v/>
      </c>
      <c r="V110" s="32" t="str">
        <f t="shared" si="14"/>
        <v/>
      </c>
      <c r="W110" s="32" t="str">
        <f>IF(V110="","",VLOOKUP(MAX(V110,0),Reference!$A$17:$B$20,2,TRUE()))</f>
        <v/>
      </c>
      <c r="X110" s="31"/>
      <c r="Y110" s="31"/>
      <c r="Z110" s="31"/>
      <c r="AA110" s="32" t="str">
        <f t="shared" si="15"/>
        <v/>
      </c>
      <c r="AB110" s="32" t="str">
        <f t="shared" si="16"/>
        <v/>
      </c>
      <c r="AC110" s="32" t="str">
        <f>IF(AB110="","",VLOOKUP(MAX(AB110,0),Reference!$A$17:$B$20,2,TRUE()))</f>
        <v/>
      </c>
      <c r="AD110" s="31"/>
      <c r="AE110">
        <f t="shared" si="17"/>
        <v>1</v>
      </c>
      <c r="AF110" s="33" t="str">
        <f>IF(OR(A110="",B110="",AND(C110&lt;&gt;"Bullpen",C110&lt;&gt;"Game")),"",IF((COUNTIFS($B$5:$B$300,B110,$A$5:$A$300,A110-1,$C$5:$C$300,"Bullpen",$AG$5:$AG$300,"&gt;0") + COUNTIFS($B$5:$B$300,B110,$A$5:$A$300,A110-1,$C$5:$C$300,"Game",$AG$5:$AG$300,"&gt;0"))&gt;0,Reference!$B$119,IF((COUNTIFS($B$5:$B$300,B110,$A$5:$A$300,A110-2,$C$5:$C$300,"Bullpen",$AG$5:$AG$300,"&gt;0") + COUNTIFS($B$5:$B$300,B110,$A$5:$A$300,A110-2,$C$5:$C$300,"Game",$AG$5:$AG$300,"&gt;0"))&gt;0,Reference!$B$120,1)))</f>
        <v/>
      </c>
      <c r="AG110" s="30" t="str">
        <f>IF(AND(OR(I110="",O110="",P110=""),OR(R110="",W110=""),OR(X110="",AC110="")),"",IF(OR(I110="",O110="",P110=""),0,I110*O110*P110)+IF(OR(R110="",W110=""),0,R110*IFERROR(INDEX(Reference!$B$61:$B$62,MATCH("Bullpen",Reference!$A$61:$A$62,0)),0)*W110)+IF(OR(X110="",AC110=""),0,X110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110))</f>
        <v/>
      </c>
    </row>
    <row r="111" spans="1:33" x14ac:dyDescent="0.3">
      <c r="A111" s="35"/>
      <c r="B111" s="31"/>
      <c r="C111" s="31"/>
      <c r="D111" s="31"/>
      <c r="E111" s="34"/>
      <c r="F111" s="34"/>
      <c r="G111" s="30" t="str">
        <f t="shared" si="9"/>
        <v/>
      </c>
      <c r="H111" s="31"/>
      <c r="I111" s="32" t="str">
        <f>IF(H111&lt;&gt;"",H111,IF(G111="","",ROUND(G111*IFERROR(INDEX(Reference!$B$44:$B$50,MATCH(C111,Reference!$A$44:$A$50,0)),0),0)))</f>
        <v/>
      </c>
      <c r="J111" s="31"/>
      <c r="K111" s="31"/>
      <c r="L111" s="32" t="str">
        <f t="shared" si="10"/>
        <v/>
      </c>
      <c r="M111" s="32" t="str">
        <f>IFERROR(INDEX(Roster!$D$5:$D$40,MATCH(B111,Roster!$A$5:$A$40,0)),"")</f>
        <v/>
      </c>
      <c r="N111" s="32" t="str">
        <f t="shared" si="11"/>
        <v/>
      </c>
      <c r="O111" s="32" t="str">
        <f>IF(OR(C111="Bullpen",C111="Game"),IFERROR(INDEX(Reference!$B$61:$B$62,MATCH(C111,Reference!$A$61:$A$62,0)),""),IF(D111="","",IF(AE111&gt;1,((IF(1&lt;=AE111,(AE111-1+3)*(INDEX(Reference!$B$6:$B$11,MIN(5,MATCH(MAX(Reference!$A$6,MIN(Reference!$A$11,MIN(D111,90))),Reference!$A$6:$A$11,1)))+(MAX(Reference!$A$6,MIN(Reference!$A$11,MIN(D111,90)))-INDEX(Reference!$A$6:$A$11,MIN(5,MATCH(MAX(Reference!$A$6,MIN(Reference!$A$11,MIN(D111,90))),Reference!$A$6:$A$11,1))))*(INDEX(Reference!$B$6:$B$11,MIN(5,MATCH(MAX(Reference!$A$6,MIN(Reference!$A$11,MIN(D111,90))),Reference!$A$6:$A$11,1))+1)-INDEX(Reference!$B$6:$B$11,MIN(5,MATCH(MAX(Reference!$A$6,MIN(Reference!$A$11,MIN(D111,90))),Reference!$A$6:$A$11,1))))/(INDEX(Reference!$A$6:$A$11,MIN(5,MATCH(MAX(Reference!$A$6,MIN(Reference!$A$11,MIN(D111,90))),Reference!$A$6:$A$11,1))+1)-INDEX(Reference!$A$6:$A$11,MIN(5,MATCH(MAX(Reference!$A$6,MIN(Reference!$A$11,MIN(D111,90))),Reference!$A$6:$A$11,1))))),0)+IF(2&lt;=AE111,(AE111-2+3)*(INDEX(Reference!$B$6:$B$11,MIN(5,MATCH(MAX(Reference!$A$6,MIN(Reference!$A$11,MIN(D111,120))),Reference!$A$6:$A$11,1)))+(MAX(Reference!$A$6,MIN(Reference!$A$11,MIN(D111,120)))-INDEX(Reference!$A$6:$A$11,MIN(5,MATCH(MAX(Reference!$A$6,MIN(Reference!$A$11,MIN(D111,120))),Reference!$A$6:$A$11,1))))*(INDEX(Reference!$B$6:$B$11,MIN(5,MATCH(MAX(Reference!$A$6,MIN(Reference!$A$11,MIN(D111,120))),Reference!$A$6:$A$11,1))+1)-INDEX(Reference!$B$6:$B$11,MIN(5,MATCH(MAX(Reference!$A$6,MIN(Reference!$A$11,MIN(D111,120))),Reference!$A$6:$A$11,1))))/(INDEX(Reference!$A$6:$A$11,MIN(5,MATCH(MAX(Reference!$A$6,MIN(Reference!$A$11,MIN(D111,120))),Reference!$A$6:$A$11,1))+1)-INDEX(Reference!$A$6:$A$11,MIN(5,MATCH(MAX(Reference!$A$6,MIN(Reference!$A$11,MIN(D111,120))),Reference!$A$6:$A$11,1))))),0)+IF(3&lt;=AE111,(AE111-3+3)*(INDEX(Reference!$B$6:$B$11,MIN(5,MATCH(MAX(Reference!$A$6,MIN(Reference!$A$11,MIN(D111,150))),Reference!$A$6:$A$11,1)))+(MAX(Reference!$A$6,MIN(Reference!$A$11,MIN(D111,150)))-INDEX(Reference!$A$6:$A$11,MIN(5,MATCH(MAX(Reference!$A$6,MIN(Reference!$A$11,MIN(D111,150))),Reference!$A$6:$A$11,1))))*(INDEX(Reference!$B$6:$B$11,MIN(5,MATCH(MAX(Reference!$A$6,MIN(Reference!$A$11,MIN(D111,150))),Reference!$A$6:$A$11,1))+1)-INDEX(Reference!$B$6:$B$11,MIN(5,MATCH(MAX(Reference!$A$6,MIN(Reference!$A$11,MIN(D111,150))),Reference!$A$6:$A$11,1))))/(INDEX(Reference!$A$6:$A$11,MIN(5,MATCH(MAX(Reference!$A$6,MIN(Reference!$A$11,MIN(D111,150))),Reference!$A$6:$A$11,1))+1)-INDEX(Reference!$A$6:$A$11,MIN(5,MATCH(MAX(Reference!$A$6,MIN(Reference!$A$11,MIN(D111,150))),Reference!$A$6:$A$11,1))))),0)+IF(4&lt;=AE111,(AE111-4+3)*(INDEX(Reference!$B$6:$B$11,MIN(5,MATCH(MAX(Reference!$A$6,MIN(Reference!$A$11,MIN(D111,180))),Reference!$A$6:$A$11,1)))+(MAX(Reference!$A$6,MIN(Reference!$A$11,MIN(D111,180)))-INDEX(Reference!$A$6:$A$11,MIN(5,MATCH(MAX(Reference!$A$6,MIN(Reference!$A$11,MIN(D111,180))),Reference!$A$6:$A$11,1))))*(INDEX(Reference!$B$6:$B$11,MIN(5,MATCH(MAX(Reference!$A$6,MIN(Reference!$A$11,MIN(D111,180))),Reference!$A$6:$A$11,1))+1)-INDEX(Reference!$B$6:$B$11,MIN(5,MATCH(MAX(Reference!$A$6,MIN(Reference!$A$11,MIN(D111,180))),Reference!$A$6:$A$11,1))))/(INDEX(Reference!$A$6:$A$11,MIN(5,MATCH(MAX(Reference!$A$6,MIN(Reference!$A$11,MIN(D111,180))),Reference!$A$6:$A$11,1))+1)-INDEX(Reference!$A$6:$A$11,MIN(5,MATCH(MAX(Reference!$A$6,MIN(Reference!$A$11,MIN(D111,180))),Reference!$A$6:$A$11,1))))),0)+IF(5&lt;=AE111,(AE111-5+3)*(INDEX(Reference!$B$6:$B$11,MIN(5,MATCH(MAX(Reference!$A$6,MIN(Reference!$A$11,MIN(D111,210))),Reference!$A$6:$A$11,1)))+(MAX(Reference!$A$6,MIN(Reference!$A$11,MIN(D111,210)))-INDEX(Reference!$A$6:$A$11,MIN(5,MATCH(MAX(Reference!$A$6,MIN(Reference!$A$11,MIN(D111,210))),Reference!$A$6:$A$11,1))))*(INDEX(Reference!$B$6:$B$11,MIN(5,MATCH(MAX(Reference!$A$6,MIN(Reference!$A$11,MIN(D111,210))),Reference!$A$6:$A$11,1))+1)-INDEX(Reference!$B$6:$B$11,MIN(5,MATCH(MAX(Reference!$A$6,MIN(Reference!$A$11,MIN(D111,210))),Reference!$A$6:$A$11,1))))/(INDEX(Reference!$A$6:$A$11,MIN(5,MATCH(MAX(Reference!$A$6,MIN(Reference!$A$11,MIN(D111,210))),Reference!$A$6:$A$11,1))+1)-INDEX(Reference!$A$6:$A$11,MIN(5,MATCH(MAX(Reference!$A$6,MIN(Reference!$A$11,MIN(D111,210))),Reference!$A$6:$A$11,1))))),0)+IF(6&lt;=AE111,(AE111-6+3)*(INDEX(Reference!$B$6:$B$11,MIN(5,MATCH(MAX(Reference!$A$6,MIN(Reference!$A$11,MIN(D111,240))),Reference!$A$6:$A$11,1)))+(MAX(Reference!$A$6,MIN(Reference!$A$11,MIN(D111,240)))-INDEX(Reference!$A$6:$A$11,MIN(5,MATCH(MAX(Reference!$A$6,MIN(Reference!$A$11,MIN(D111,240))),Reference!$A$6:$A$11,1))))*(INDEX(Reference!$B$6:$B$11,MIN(5,MATCH(MAX(Reference!$A$6,MIN(Reference!$A$11,MIN(D111,240))),Reference!$A$6:$A$11,1))+1)-INDEX(Reference!$B$6:$B$11,MIN(5,MATCH(MAX(Reference!$A$6,MIN(Reference!$A$11,MIN(D111,240))),Reference!$A$6:$A$11,1))))/(INDEX(Reference!$A$6:$A$11,MIN(5,MATCH(MAX(Reference!$A$6,MIN(Reference!$A$11,MIN(D111,240))),Reference!$A$6:$A$11,1))+1)-INDEX(Reference!$A$6:$A$11,MIN(5,MATCH(MAX(Reference!$A$6,MIN(Reference!$A$11,MIN(D111,240))),Reference!$A$6:$A$11,1))))),0)+IF(7&lt;=AE111,(AE111-7+3)*(INDEX(Reference!$B$6:$B$11,MIN(5,MATCH(MAX(Reference!$A$6,MIN(Reference!$A$11,MIN(D111,270))),Reference!$A$6:$A$11,1)))+(MAX(Reference!$A$6,MIN(Reference!$A$11,MIN(D111,270)))-INDEX(Reference!$A$6:$A$11,MIN(5,MATCH(MAX(Reference!$A$6,MIN(Reference!$A$11,MIN(D111,270))),Reference!$A$6:$A$11,1))))*(INDEX(Reference!$B$6:$B$11,MIN(5,MATCH(MAX(Reference!$A$6,MIN(Reference!$A$11,MIN(D111,270))),Reference!$A$6:$A$11,1))+1)-INDEX(Reference!$B$6:$B$11,MIN(5,MATCH(MAX(Reference!$A$6,MIN(Reference!$A$11,MIN(D111,270))),Reference!$A$6:$A$11,1))))/(INDEX(Reference!$A$6:$A$11,MIN(5,MATCH(MAX(Reference!$A$6,MIN(Reference!$A$11,MIN(D111,270))),Reference!$A$6:$A$11,1))+1)-INDEX(Reference!$A$6:$A$11,MIN(5,MATCH(MAX(Reference!$A$6,MIN(Reference!$A$11,MIN(D111,270))),Reference!$A$6:$A$11,1))))),0)+IF(8&lt;=AE111,(AE111-8+3)*(INDEX(Reference!$B$6:$B$11,MIN(5,MATCH(MAX(Reference!$A$6,MIN(Reference!$A$11,MIN(D111,300))),Reference!$A$6:$A$11,1)))+(MAX(Reference!$A$6,MIN(Reference!$A$11,MIN(D111,300)))-INDEX(Reference!$A$6:$A$11,MIN(5,MATCH(MAX(Reference!$A$6,MIN(Reference!$A$11,MIN(D111,300))),Reference!$A$6:$A$11,1))))*(INDEX(Reference!$B$6:$B$11,MIN(5,MATCH(MAX(Reference!$A$6,MIN(Reference!$A$11,MIN(D111,300))),Reference!$A$6:$A$11,1))+1)-INDEX(Reference!$B$6:$B$11,MIN(5,MATCH(MAX(Reference!$A$6,MIN(Reference!$A$11,MIN(D111,300))),Reference!$A$6:$A$11,1))))/(INDEX(Reference!$A$6:$A$11,MIN(5,MATCH(MAX(Reference!$A$6,MIN(Reference!$A$11,MIN(D111,300))),Reference!$A$6:$A$11,1))+1)-INDEX(Reference!$A$6:$A$11,MIN(5,MATCH(MAX(Reference!$A$6,MIN(Reference!$A$11,MIN(D111,300))),Reference!$A$6:$A$11,1))))),0))/(AE111*(AE111+5)/2)),(INDEX(Reference!$B$6:$B$11,MIN(5,MATCH(MAX(Reference!$A$6,MIN(Reference!$A$11,D111)),Reference!$A$6:$A$11,1)))+(MAX(Reference!$A$6,MIN(Reference!$A$11,D111))-INDEX(Reference!$A$6:$A$11,MIN(5,MATCH(MAX(Reference!$A$6,MIN(Reference!$A$11,D111)),Reference!$A$6:$A$11,1))))*(INDEX(Reference!$B$6:$B$11,MIN(5,MATCH(MAX(Reference!$A$6,MIN(Reference!$A$11,D111)),Reference!$A$6:$A$11,1))+1)-INDEX(Reference!$B$6:$B$11,MIN(5,MATCH(MAX(Reference!$A$6,MIN(Reference!$A$11,D111)),Reference!$A$6:$A$11,1))))/(INDEX(Reference!$A$6:$A$11,MIN(5,MATCH(MAX(Reference!$A$6,MIN(Reference!$A$11,D111)),Reference!$A$6:$A$11,1))+1)-INDEX(Reference!$A$6:$A$11,MIN(5,MATCH(MAX(Reference!$A$6,MIN(Reference!$A$11,D111)),Reference!$A$6:$A$11,1))))))))</f>
        <v/>
      </c>
      <c r="P111" s="32" t="str">
        <f>IF(N111="","",VLOOKUP(MAX(N111,0),Reference!$A$17:$B$20,2,TRUE()))</f>
        <v/>
      </c>
      <c r="Q111" s="32" t="str">
        <f t="shared" si="12"/>
        <v/>
      </c>
      <c r="R111" s="31"/>
      <c r="S111" s="31"/>
      <c r="T111" s="31"/>
      <c r="U111" s="32" t="str">
        <f t="shared" si="13"/>
        <v/>
      </c>
      <c r="V111" s="32" t="str">
        <f t="shared" si="14"/>
        <v/>
      </c>
      <c r="W111" s="32" t="str">
        <f>IF(V111="","",VLOOKUP(MAX(V111,0),Reference!$A$17:$B$20,2,TRUE()))</f>
        <v/>
      </c>
      <c r="X111" s="31"/>
      <c r="Y111" s="31"/>
      <c r="Z111" s="31"/>
      <c r="AA111" s="32" t="str">
        <f t="shared" si="15"/>
        <v/>
      </c>
      <c r="AB111" s="32" t="str">
        <f t="shared" si="16"/>
        <v/>
      </c>
      <c r="AC111" s="32" t="str">
        <f>IF(AB111="","",VLOOKUP(MAX(AB111,0),Reference!$A$17:$B$20,2,TRUE()))</f>
        <v/>
      </c>
      <c r="AD111" s="31"/>
      <c r="AE111">
        <f t="shared" si="17"/>
        <v>1</v>
      </c>
      <c r="AF111" s="33" t="str">
        <f>IF(OR(A111="",B111="",AND(C111&lt;&gt;"Bullpen",C111&lt;&gt;"Game")),"",IF((COUNTIFS($B$5:$B$300,B111,$A$5:$A$300,A111-1,$C$5:$C$300,"Bullpen",$AG$5:$AG$300,"&gt;0") + COUNTIFS($B$5:$B$300,B111,$A$5:$A$300,A111-1,$C$5:$C$300,"Game",$AG$5:$AG$300,"&gt;0"))&gt;0,Reference!$B$119,IF((COUNTIFS($B$5:$B$300,B111,$A$5:$A$300,A111-2,$C$5:$C$300,"Bullpen",$AG$5:$AG$300,"&gt;0") + COUNTIFS($B$5:$B$300,B111,$A$5:$A$300,A111-2,$C$5:$C$300,"Game",$AG$5:$AG$300,"&gt;0"))&gt;0,Reference!$B$120,1)))</f>
        <v/>
      </c>
      <c r="AG111" s="30" t="str">
        <f>IF(AND(OR(I111="",O111="",P111=""),OR(R111="",W111=""),OR(X111="",AC111="")),"",IF(OR(I111="",O111="",P111=""),0,I111*O111*P111)+IF(OR(R111="",W111=""),0,R111*IFERROR(INDEX(Reference!$B$61:$B$62,MATCH("Bullpen",Reference!$A$61:$A$62,0)),0)*W111)+IF(OR(X111="",AC111=""),0,X111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111))</f>
        <v/>
      </c>
    </row>
    <row r="112" spans="1:33" x14ac:dyDescent="0.3">
      <c r="A112" s="35"/>
      <c r="B112" s="31"/>
      <c r="C112" s="31"/>
      <c r="D112" s="31"/>
      <c r="E112" s="34"/>
      <c r="F112" s="34"/>
      <c r="G112" s="30" t="str">
        <f t="shared" si="9"/>
        <v/>
      </c>
      <c r="H112" s="31"/>
      <c r="I112" s="32" t="str">
        <f>IF(H112&lt;&gt;"",H112,IF(G112="","",ROUND(G112*IFERROR(INDEX(Reference!$B$44:$B$50,MATCH(C112,Reference!$A$44:$A$50,0)),0),0)))</f>
        <v/>
      </c>
      <c r="J112" s="31"/>
      <c r="K112" s="31"/>
      <c r="L112" s="32" t="str">
        <f t="shared" si="10"/>
        <v/>
      </c>
      <c r="M112" s="32" t="str">
        <f>IFERROR(INDEX(Roster!$D$5:$D$40,MATCH(B112,Roster!$A$5:$A$40,0)),"")</f>
        <v/>
      </c>
      <c r="N112" s="32" t="str">
        <f t="shared" si="11"/>
        <v/>
      </c>
      <c r="O112" s="32" t="str">
        <f>IF(OR(C112="Bullpen",C112="Game"),IFERROR(INDEX(Reference!$B$61:$B$62,MATCH(C112,Reference!$A$61:$A$62,0)),""),IF(D112="","",IF(AE112&gt;1,((IF(1&lt;=AE112,(AE112-1+3)*(INDEX(Reference!$B$6:$B$11,MIN(5,MATCH(MAX(Reference!$A$6,MIN(Reference!$A$11,MIN(D112,90))),Reference!$A$6:$A$11,1)))+(MAX(Reference!$A$6,MIN(Reference!$A$11,MIN(D112,90)))-INDEX(Reference!$A$6:$A$11,MIN(5,MATCH(MAX(Reference!$A$6,MIN(Reference!$A$11,MIN(D112,90))),Reference!$A$6:$A$11,1))))*(INDEX(Reference!$B$6:$B$11,MIN(5,MATCH(MAX(Reference!$A$6,MIN(Reference!$A$11,MIN(D112,90))),Reference!$A$6:$A$11,1))+1)-INDEX(Reference!$B$6:$B$11,MIN(5,MATCH(MAX(Reference!$A$6,MIN(Reference!$A$11,MIN(D112,90))),Reference!$A$6:$A$11,1))))/(INDEX(Reference!$A$6:$A$11,MIN(5,MATCH(MAX(Reference!$A$6,MIN(Reference!$A$11,MIN(D112,90))),Reference!$A$6:$A$11,1))+1)-INDEX(Reference!$A$6:$A$11,MIN(5,MATCH(MAX(Reference!$A$6,MIN(Reference!$A$11,MIN(D112,90))),Reference!$A$6:$A$11,1))))),0)+IF(2&lt;=AE112,(AE112-2+3)*(INDEX(Reference!$B$6:$B$11,MIN(5,MATCH(MAX(Reference!$A$6,MIN(Reference!$A$11,MIN(D112,120))),Reference!$A$6:$A$11,1)))+(MAX(Reference!$A$6,MIN(Reference!$A$11,MIN(D112,120)))-INDEX(Reference!$A$6:$A$11,MIN(5,MATCH(MAX(Reference!$A$6,MIN(Reference!$A$11,MIN(D112,120))),Reference!$A$6:$A$11,1))))*(INDEX(Reference!$B$6:$B$11,MIN(5,MATCH(MAX(Reference!$A$6,MIN(Reference!$A$11,MIN(D112,120))),Reference!$A$6:$A$11,1))+1)-INDEX(Reference!$B$6:$B$11,MIN(5,MATCH(MAX(Reference!$A$6,MIN(Reference!$A$11,MIN(D112,120))),Reference!$A$6:$A$11,1))))/(INDEX(Reference!$A$6:$A$11,MIN(5,MATCH(MAX(Reference!$A$6,MIN(Reference!$A$11,MIN(D112,120))),Reference!$A$6:$A$11,1))+1)-INDEX(Reference!$A$6:$A$11,MIN(5,MATCH(MAX(Reference!$A$6,MIN(Reference!$A$11,MIN(D112,120))),Reference!$A$6:$A$11,1))))),0)+IF(3&lt;=AE112,(AE112-3+3)*(INDEX(Reference!$B$6:$B$11,MIN(5,MATCH(MAX(Reference!$A$6,MIN(Reference!$A$11,MIN(D112,150))),Reference!$A$6:$A$11,1)))+(MAX(Reference!$A$6,MIN(Reference!$A$11,MIN(D112,150)))-INDEX(Reference!$A$6:$A$11,MIN(5,MATCH(MAX(Reference!$A$6,MIN(Reference!$A$11,MIN(D112,150))),Reference!$A$6:$A$11,1))))*(INDEX(Reference!$B$6:$B$11,MIN(5,MATCH(MAX(Reference!$A$6,MIN(Reference!$A$11,MIN(D112,150))),Reference!$A$6:$A$11,1))+1)-INDEX(Reference!$B$6:$B$11,MIN(5,MATCH(MAX(Reference!$A$6,MIN(Reference!$A$11,MIN(D112,150))),Reference!$A$6:$A$11,1))))/(INDEX(Reference!$A$6:$A$11,MIN(5,MATCH(MAX(Reference!$A$6,MIN(Reference!$A$11,MIN(D112,150))),Reference!$A$6:$A$11,1))+1)-INDEX(Reference!$A$6:$A$11,MIN(5,MATCH(MAX(Reference!$A$6,MIN(Reference!$A$11,MIN(D112,150))),Reference!$A$6:$A$11,1))))),0)+IF(4&lt;=AE112,(AE112-4+3)*(INDEX(Reference!$B$6:$B$11,MIN(5,MATCH(MAX(Reference!$A$6,MIN(Reference!$A$11,MIN(D112,180))),Reference!$A$6:$A$11,1)))+(MAX(Reference!$A$6,MIN(Reference!$A$11,MIN(D112,180)))-INDEX(Reference!$A$6:$A$11,MIN(5,MATCH(MAX(Reference!$A$6,MIN(Reference!$A$11,MIN(D112,180))),Reference!$A$6:$A$11,1))))*(INDEX(Reference!$B$6:$B$11,MIN(5,MATCH(MAX(Reference!$A$6,MIN(Reference!$A$11,MIN(D112,180))),Reference!$A$6:$A$11,1))+1)-INDEX(Reference!$B$6:$B$11,MIN(5,MATCH(MAX(Reference!$A$6,MIN(Reference!$A$11,MIN(D112,180))),Reference!$A$6:$A$11,1))))/(INDEX(Reference!$A$6:$A$11,MIN(5,MATCH(MAX(Reference!$A$6,MIN(Reference!$A$11,MIN(D112,180))),Reference!$A$6:$A$11,1))+1)-INDEX(Reference!$A$6:$A$11,MIN(5,MATCH(MAX(Reference!$A$6,MIN(Reference!$A$11,MIN(D112,180))),Reference!$A$6:$A$11,1))))),0)+IF(5&lt;=AE112,(AE112-5+3)*(INDEX(Reference!$B$6:$B$11,MIN(5,MATCH(MAX(Reference!$A$6,MIN(Reference!$A$11,MIN(D112,210))),Reference!$A$6:$A$11,1)))+(MAX(Reference!$A$6,MIN(Reference!$A$11,MIN(D112,210)))-INDEX(Reference!$A$6:$A$11,MIN(5,MATCH(MAX(Reference!$A$6,MIN(Reference!$A$11,MIN(D112,210))),Reference!$A$6:$A$11,1))))*(INDEX(Reference!$B$6:$B$11,MIN(5,MATCH(MAX(Reference!$A$6,MIN(Reference!$A$11,MIN(D112,210))),Reference!$A$6:$A$11,1))+1)-INDEX(Reference!$B$6:$B$11,MIN(5,MATCH(MAX(Reference!$A$6,MIN(Reference!$A$11,MIN(D112,210))),Reference!$A$6:$A$11,1))))/(INDEX(Reference!$A$6:$A$11,MIN(5,MATCH(MAX(Reference!$A$6,MIN(Reference!$A$11,MIN(D112,210))),Reference!$A$6:$A$11,1))+1)-INDEX(Reference!$A$6:$A$11,MIN(5,MATCH(MAX(Reference!$A$6,MIN(Reference!$A$11,MIN(D112,210))),Reference!$A$6:$A$11,1))))),0)+IF(6&lt;=AE112,(AE112-6+3)*(INDEX(Reference!$B$6:$B$11,MIN(5,MATCH(MAX(Reference!$A$6,MIN(Reference!$A$11,MIN(D112,240))),Reference!$A$6:$A$11,1)))+(MAX(Reference!$A$6,MIN(Reference!$A$11,MIN(D112,240)))-INDEX(Reference!$A$6:$A$11,MIN(5,MATCH(MAX(Reference!$A$6,MIN(Reference!$A$11,MIN(D112,240))),Reference!$A$6:$A$11,1))))*(INDEX(Reference!$B$6:$B$11,MIN(5,MATCH(MAX(Reference!$A$6,MIN(Reference!$A$11,MIN(D112,240))),Reference!$A$6:$A$11,1))+1)-INDEX(Reference!$B$6:$B$11,MIN(5,MATCH(MAX(Reference!$A$6,MIN(Reference!$A$11,MIN(D112,240))),Reference!$A$6:$A$11,1))))/(INDEX(Reference!$A$6:$A$11,MIN(5,MATCH(MAX(Reference!$A$6,MIN(Reference!$A$11,MIN(D112,240))),Reference!$A$6:$A$11,1))+1)-INDEX(Reference!$A$6:$A$11,MIN(5,MATCH(MAX(Reference!$A$6,MIN(Reference!$A$11,MIN(D112,240))),Reference!$A$6:$A$11,1))))),0)+IF(7&lt;=AE112,(AE112-7+3)*(INDEX(Reference!$B$6:$B$11,MIN(5,MATCH(MAX(Reference!$A$6,MIN(Reference!$A$11,MIN(D112,270))),Reference!$A$6:$A$11,1)))+(MAX(Reference!$A$6,MIN(Reference!$A$11,MIN(D112,270)))-INDEX(Reference!$A$6:$A$11,MIN(5,MATCH(MAX(Reference!$A$6,MIN(Reference!$A$11,MIN(D112,270))),Reference!$A$6:$A$11,1))))*(INDEX(Reference!$B$6:$B$11,MIN(5,MATCH(MAX(Reference!$A$6,MIN(Reference!$A$11,MIN(D112,270))),Reference!$A$6:$A$11,1))+1)-INDEX(Reference!$B$6:$B$11,MIN(5,MATCH(MAX(Reference!$A$6,MIN(Reference!$A$11,MIN(D112,270))),Reference!$A$6:$A$11,1))))/(INDEX(Reference!$A$6:$A$11,MIN(5,MATCH(MAX(Reference!$A$6,MIN(Reference!$A$11,MIN(D112,270))),Reference!$A$6:$A$11,1))+1)-INDEX(Reference!$A$6:$A$11,MIN(5,MATCH(MAX(Reference!$A$6,MIN(Reference!$A$11,MIN(D112,270))),Reference!$A$6:$A$11,1))))),0)+IF(8&lt;=AE112,(AE112-8+3)*(INDEX(Reference!$B$6:$B$11,MIN(5,MATCH(MAX(Reference!$A$6,MIN(Reference!$A$11,MIN(D112,300))),Reference!$A$6:$A$11,1)))+(MAX(Reference!$A$6,MIN(Reference!$A$11,MIN(D112,300)))-INDEX(Reference!$A$6:$A$11,MIN(5,MATCH(MAX(Reference!$A$6,MIN(Reference!$A$11,MIN(D112,300))),Reference!$A$6:$A$11,1))))*(INDEX(Reference!$B$6:$B$11,MIN(5,MATCH(MAX(Reference!$A$6,MIN(Reference!$A$11,MIN(D112,300))),Reference!$A$6:$A$11,1))+1)-INDEX(Reference!$B$6:$B$11,MIN(5,MATCH(MAX(Reference!$A$6,MIN(Reference!$A$11,MIN(D112,300))),Reference!$A$6:$A$11,1))))/(INDEX(Reference!$A$6:$A$11,MIN(5,MATCH(MAX(Reference!$A$6,MIN(Reference!$A$11,MIN(D112,300))),Reference!$A$6:$A$11,1))+1)-INDEX(Reference!$A$6:$A$11,MIN(5,MATCH(MAX(Reference!$A$6,MIN(Reference!$A$11,MIN(D112,300))),Reference!$A$6:$A$11,1))))),0))/(AE112*(AE112+5)/2)),(INDEX(Reference!$B$6:$B$11,MIN(5,MATCH(MAX(Reference!$A$6,MIN(Reference!$A$11,D112)),Reference!$A$6:$A$11,1)))+(MAX(Reference!$A$6,MIN(Reference!$A$11,D112))-INDEX(Reference!$A$6:$A$11,MIN(5,MATCH(MAX(Reference!$A$6,MIN(Reference!$A$11,D112)),Reference!$A$6:$A$11,1))))*(INDEX(Reference!$B$6:$B$11,MIN(5,MATCH(MAX(Reference!$A$6,MIN(Reference!$A$11,D112)),Reference!$A$6:$A$11,1))+1)-INDEX(Reference!$B$6:$B$11,MIN(5,MATCH(MAX(Reference!$A$6,MIN(Reference!$A$11,D112)),Reference!$A$6:$A$11,1))))/(INDEX(Reference!$A$6:$A$11,MIN(5,MATCH(MAX(Reference!$A$6,MIN(Reference!$A$11,D112)),Reference!$A$6:$A$11,1))+1)-INDEX(Reference!$A$6:$A$11,MIN(5,MATCH(MAX(Reference!$A$6,MIN(Reference!$A$11,D112)),Reference!$A$6:$A$11,1))))))))</f>
        <v/>
      </c>
      <c r="P112" s="32" t="str">
        <f>IF(N112="","",VLOOKUP(MAX(N112,0),Reference!$A$17:$B$20,2,TRUE()))</f>
        <v/>
      </c>
      <c r="Q112" s="32" t="str">
        <f t="shared" si="12"/>
        <v/>
      </c>
      <c r="R112" s="31"/>
      <c r="S112" s="31"/>
      <c r="T112" s="31"/>
      <c r="U112" s="32" t="str">
        <f t="shared" si="13"/>
        <v/>
      </c>
      <c r="V112" s="32" t="str">
        <f t="shared" si="14"/>
        <v/>
      </c>
      <c r="W112" s="32" t="str">
        <f>IF(V112="","",VLOOKUP(MAX(V112,0),Reference!$A$17:$B$20,2,TRUE()))</f>
        <v/>
      </c>
      <c r="X112" s="31"/>
      <c r="Y112" s="31"/>
      <c r="Z112" s="31"/>
      <c r="AA112" s="32" t="str">
        <f t="shared" si="15"/>
        <v/>
      </c>
      <c r="AB112" s="32" t="str">
        <f t="shared" si="16"/>
        <v/>
      </c>
      <c r="AC112" s="32" t="str">
        <f>IF(AB112="","",VLOOKUP(MAX(AB112,0),Reference!$A$17:$B$20,2,TRUE()))</f>
        <v/>
      </c>
      <c r="AD112" s="31"/>
      <c r="AE112">
        <f t="shared" si="17"/>
        <v>1</v>
      </c>
      <c r="AF112" s="33" t="str">
        <f>IF(OR(A112="",B112="",AND(C112&lt;&gt;"Bullpen",C112&lt;&gt;"Game")),"",IF((COUNTIFS($B$5:$B$300,B112,$A$5:$A$300,A112-1,$C$5:$C$300,"Bullpen",$AG$5:$AG$300,"&gt;0") + COUNTIFS($B$5:$B$300,B112,$A$5:$A$300,A112-1,$C$5:$C$300,"Game",$AG$5:$AG$300,"&gt;0"))&gt;0,Reference!$B$119,IF((COUNTIFS($B$5:$B$300,B112,$A$5:$A$300,A112-2,$C$5:$C$300,"Bullpen",$AG$5:$AG$300,"&gt;0") + COUNTIFS($B$5:$B$300,B112,$A$5:$A$300,A112-2,$C$5:$C$300,"Game",$AG$5:$AG$300,"&gt;0"))&gt;0,Reference!$B$120,1)))</f>
        <v/>
      </c>
      <c r="AG112" s="30" t="str">
        <f>IF(AND(OR(I112="",O112="",P112=""),OR(R112="",W112=""),OR(X112="",AC112="")),"",IF(OR(I112="",O112="",P112=""),0,I112*O112*P112)+IF(OR(R112="",W112=""),0,R112*IFERROR(INDEX(Reference!$B$61:$B$62,MATCH("Bullpen",Reference!$A$61:$A$62,0)),0)*W112)+IF(OR(X112="",AC112=""),0,X112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112))</f>
        <v/>
      </c>
    </row>
    <row r="113" spans="1:33" x14ac:dyDescent="0.3">
      <c r="A113" s="35"/>
      <c r="B113" s="31"/>
      <c r="C113" s="31"/>
      <c r="D113" s="31"/>
      <c r="E113" s="34"/>
      <c r="F113" s="34"/>
      <c r="G113" s="30" t="str">
        <f t="shared" si="9"/>
        <v/>
      </c>
      <c r="H113" s="31"/>
      <c r="I113" s="32" t="str">
        <f>IF(H113&lt;&gt;"",H113,IF(G113="","",ROUND(G113*IFERROR(INDEX(Reference!$B$44:$B$50,MATCH(C113,Reference!$A$44:$A$50,0)),0),0)))</f>
        <v/>
      </c>
      <c r="J113" s="31"/>
      <c r="K113" s="31"/>
      <c r="L113" s="32" t="str">
        <f t="shared" si="10"/>
        <v/>
      </c>
      <c r="M113" s="32" t="str">
        <f>IFERROR(INDEX(Roster!$D$5:$D$40,MATCH(B113,Roster!$A$5:$A$40,0)),"")</f>
        <v/>
      </c>
      <c r="N113" s="32" t="str">
        <f t="shared" si="11"/>
        <v/>
      </c>
      <c r="O113" s="32" t="str">
        <f>IF(OR(C113="Bullpen",C113="Game"),IFERROR(INDEX(Reference!$B$61:$B$62,MATCH(C113,Reference!$A$61:$A$62,0)),""),IF(D113="","",IF(AE113&gt;1,((IF(1&lt;=AE113,(AE113-1+3)*(INDEX(Reference!$B$6:$B$11,MIN(5,MATCH(MAX(Reference!$A$6,MIN(Reference!$A$11,MIN(D113,90))),Reference!$A$6:$A$11,1)))+(MAX(Reference!$A$6,MIN(Reference!$A$11,MIN(D113,90)))-INDEX(Reference!$A$6:$A$11,MIN(5,MATCH(MAX(Reference!$A$6,MIN(Reference!$A$11,MIN(D113,90))),Reference!$A$6:$A$11,1))))*(INDEX(Reference!$B$6:$B$11,MIN(5,MATCH(MAX(Reference!$A$6,MIN(Reference!$A$11,MIN(D113,90))),Reference!$A$6:$A$11,1))+1)-INDEX(Reference!$B$6:$B$11,MIN(5,MATCH(MAX(Reference!$A$6,MIN(Reference!$A$11,MIN(D113,90))),Reference!$A$6:$A$11,1))))/(INDEX(Reference!$A$6:$A$11,MIN(5,MATCH(MAX(Reference!$A$6,MIN(Reference!$A$11,MIN(D113,90))),Reference!$A$6:$A$11,1))+1)-INDEX(Reference!$A$6:$A$11,MIN(5,MATCH(MAX(Reference!$A$6,MIN(Reference!$A$11,MIN(D113,90))),Reference!$A$6:$A$11,1))))),0)+IF(2&lt;=AE113,(AE113-2+3)*(INDEX(Reference!$B$6:$B$11,MIN(5,MATCH(MAX(Reference!$A$6,MIN(Reference!$A$11,MIN(D113,120))),Reference!$A$6:$A$11,1)))+(MAX(Reference!$A$6,MIN(Reference!$A$11,MIN(D113,120)))-INDEX(Reference!$A$6:$A$11,MIN(5,MATCH(MAX(Reference!$A$6,MIN(Reference!$A$11,MIN(D113,120))),Reference!$A$6:$A$11,1))))*(INDEX(Reference!$B$6:$B$11,MIN(5,MATCH(MAX(Reference!$A$6,MIN(Reference!$A$11,MIN(D113,120))),Reference!$A$6:$A$11,1))+1)-INDEX(Reference!$B$6:$B$11,MIN(5,MATCH(MAX(Reference!$A$6,MIN(Reference!$A$11,MIN(D113,120))),Reference!$A$6:$A$11,1))))/(INDEX(Reference!$A$6:$A$11,MIN(5,MATCH(MAX(Reference!$A$6,MIN(Reference!$A$11,MIN(D113,120))),Reference!$A$6:$A$11,1))+1)-INDEX(Reference!$A$6:$A$11,MIN(5,MATCH(MAX(Reference!$A$6,MIN(Reference!$A$11,MIN(D113,120))),Reference!$A$6:$A$11,1))))),0)+IF(3&lt;=AE113,(AE113-3+3)*(INDEX(Reference!$B$6:$B$11,MIN(5,MATCH(MAX(Reference!$A$6,MIN(Reference!$A$11,MIN(D113,150))),Reference!$A$6:$A$11,1)))+(MAX(Reference!$A$6,MIN(Reference!$A$11,MIN(D113,150)))-INDEX(Reference!$A$6:$A$11,MIN(5,MATCH(MAX(Reference!$A$6,MIN(Reference!$A$11,MIN(D113,150))),Reference!$A$6:$A$11,1))))*(INDEX(Reference!$B$6:$B$11,MIN(5,MATCH(MAX(Reference!$A$6,MIN(Reference!$A$11,MIN(D113,150))),Reference!$A$6:$A$11,1))+1)-INDEX(Reference!$B$6:$B$11,MIN(5,MATCH(MAX(Reference!$A$6,MIN(Reference!$A$11,MIN(D113,150))),Reference!$A$6:$A$11,1))))/(INDEX(Reference!$A$6:$A$11,MIN(5,MATCH(MAX(Reference!$A$6,MIN(Reference!$A$11,MIN(D113,150))),Reference!$A$6:$A$11,1))+1)-INDEX(Reference!$A$6:$A$11,MIN(5,MATCH(MAX(Reference!$A$6,MIN(Reference!$A$11,MIN(D113,150))),Reference!$A$6:$A$11,1))))),0)+IF(4&lt;=AE113,(AE113-4+3)*(INDEX(Reference!$B$6:$B$11,MIN(5,MATCH(MAX(Reference!$A$6,MIN(Reference!$A$11,MIN(D113,180))),Reference!$A$6:$A$11,1)))+(MAX(Reference!$A$6,MIN(Reference!$A$11,MIN(D113,180)))-INDEX(Reference!$A$6:$A$11,MIN(5,MATCH(MAX(Reference!$A$6,MIN(Reference!$A$11,MIN(D113,180))),Reference!$A$6:$A$11,1))))*(INDEX(Reference!$B$6:$B$11,MIN(5,MATCH(MAX(Reference!$A$6,MIN(Reference!$A$11,MIN(D113,180))),Reference!$A$6:$A$11,1))+1)-INDEX(Reference!$B$6:$B$11,MIN(5,MATCH(MAX(Reference!$A$6,MIN(Reference!$A$11,MIN(D113,180))),Reference!$A$6:$A$11,1))))/(INDEX(Reference!$A$6:$A$11,MIN(5,MATCH(MAX(Reference!$A$6,MIN(Reference!$A$11,MIN(D113,180))),Reference!$A$6:$A$11,1))+1)-INDEX(Reference!$A$6:$A$11,MIN(5,MATCH(MAX(Reference!$A$6,MIN(Reference!$A$11,MIN(D113,180))),Reference!$A$6:$A$11,1))))),0)+IF(5&lt;=AE113,(AE113-5+3)*(INDEX(Reference!$B$6:$B$11,MIN(5,MATCH(MAX(Reference!$A$6,MIN(Reference!$A$11,MIN(D113,210))),Reference!$A$6:$A$11,1)))+(MAX(Reference!$A$6,MIN(Reference!$A$11,MIN(D113,210)))-INDEX(Reference!$A$6:$A$11,MIN(5,MATCH(MAX(Reference!$A$6,MIN(Reference!$A$11,MIN(D113,210))),Reference!$A$6:$A$11,1))))*(INDEX(Reference!$B$6:$B$11,MIN(5,MATCH(MAX(Reference!$A$6,MIN(Reference!$A$11,MIN(D113,210))),Reference!$A$6:$A$11,1))+1)-INDEX(Reference!$B$6:$B$11,MIN(5,MATCH(MAX(Reference!$A$6,MIN(Reference!$A$11,MIN(D113,210))),Reference!$A$6:$A$11,1))))/(INDEX(Reference!$A$6:$A$11,MIN(5,MATCH(MAX(Reference!$A$6,MIN(Reference!$A$11,MIN(D113,210))),Reference!$A$6:$A$11,1))+1)-INDEX(Reference!$A$6:$A$11,MIN(5,MATCH(MAX(Reference!$A$6,MIN(Reference!$A$11,MIN(D113,210))),Reference!$A$6:$A$11,1))))),0)+IF(6&lt;=AE113,(AE113-6+3)*(INDEX(Reference!$B$6:$B$11,MIN(5,MATCH(MAX(Reference!$A$6,MIN(Reference!$A$11,MIN(D113,240))),Reference!$A$6:$A$11,1)))+(MAX(Reference!$A$6,MIN(Reference!$A$11,MIN(D113,240)))-INDEX(Reference!$A$6:$A$11,MIN(5,MATCH(MAX(Reference!$A$6,MIN(Reference!$A$11,MIN(D113,240))),Reference!$A$6:$A$11,1))))*(INDEX(Reference!$B$6:$B$11,MIN(5,MATCH(MAX(Reference!$A$6,MIN(Reference!$A$11,MIN(D113,240))),Reference!$A$6:$A$11,1))+1)-INDEX(Reference!$B$6:$B$11,MIN(5,MATCH(MAX(Reference!$A$6,MIN(Reference!$A$11,MIN(D113,240))),Reference!$A$6:$A$11,1))))/(INDEX(Reference!$A$6:$A$11,MIN(5,MATCH(MAX(Reference!$A$6,MIN(Reference!$A$11,MIN(D113,240))),Reference!$A$6:$A$11,1))+1)-INDEX(Reference!$A$6:$A$11,MIN(5,MATCH(MAX(Reference!$A$6,MIN(Reference!$A$11,MIN(D113,240))),Reference!$A$6:$A$11,1))))),0)+IF(7&lt;=AE113,(AE113-7+3)*(INDEX(Reference!$B$6:$B$11,MIN(5,MATCH(MAX(Reference!$A$6,MIN(Reference!$A$11,MIN(D113,270))),Reference!$A$6:$A$11,1)))+(MAX(Reference!$A$6,MIN(Reference!$A$11,MIN(D113,270)))-INDEX(Reference!$A$6:$A$11,MIN(5,MATCH(MAX(Reference!$A$6,MIN(Reference!$A$11,MIN(D113,270))),Reference!$A$6:$A$11,1))))*(INDEX(Reference!$B$6:$B$11,MIN(5,MATCH(MAX(Reference!$A$6,MIN(Reference!$A$11,MIN(D113,270))),Reference!$A$6:$A$11,1))+1)-INDEX(Reference!$B$6:$B$11,MIN(5,MATCH(MAX(Reference!$A$6,MIN(Reference!$A$11,MIN(D113,270))),Reference!$A$6:$A$11,1))))/(INDEX(Reference!$A$6:$A$11,MIN(5,MATCH(MAX(Reference!$A$6,MIN(Reference!$A$11,MIN(D113,270))),Reference!$A$6:$A$11,1))+1)-INDEX(Reference!$A$6:$A$11,MIN(5,MATCH(MAX(Reference!$A$6,MIN(Reference!$A$11,MIN(D113,270))),Reference!$A$6:$A$11,1))))),0)+IF(8&lt;=AE113,(AE113-8+3)*(INDEX(Reference!$B$6:$B$11,MIN(5,MATCH(MAX(Reference!$A$6,MIN(Reference!$A$11,MIN(D113,300))),Reference!$A$6:$A$11,1)))+(MAX(Reference!$A$6,MIN(Reference!$A$11,MIN(D113,300)))-INDEX(Reference!$A$6:$A$11,MIN(5,MATCH(MAX(Reference!$A$6,MIN(Reference!$A$11,MIN(D113,300))),Reference!$A$6:$A$11,1))))*(INDEX(Reference!$B$6:$B$11,MIN(5,MATCH(MAX(Reference!$A$6,MIN(Reference!$A$11,MIN(D113,300))),Reference!$A$6:$A$11,1))+1)-INDEX(Reference!$B$6:$B$11,MIN(5,MATCH(MAX(Reference!$A$6,MIN(Reference!$A$11,MIN(D113,300))),Reference!$A$6:$A$11,1))))/(INDEX(Reference!$A$6:$A$11,MIN(5,MATCH(MAX(Reference!$A$6,MIN(Reference!$A$11,MIN(D113,300))),Reference!$A$6:$A$11,1))+1)-INDEX(Reference!$A$6:$A$11,MIN(5,MATCH(MAX(Reference!$A$6,MIN(Reference!$A$11,MIN(D113,300))),Reference!$A$6:$A$11,1))))),0))/(AE113*(AE113+5)/2)),(INDEX(Reference!$B$6:$B$11,MIN(5,MATCH(MAX(Reference!$A$6,MIN(Reference!$A$11,D113)),Reference!$A$6:$A$11,1)))+(MAX(Reference!$A$6,MIN(Reference!$A$11,D113))-INDEX(Reference!$A$6:$A$11,MIN(5,MATCH(MAX(Reference!$A$6,MIN(Reference!$A$11,D113)),Reference!$A$6:$A$11,1))))*(INDEX(Reference!$B$6:$B$11,MIN(5,MATCH(MAX(Reference!$A$6,MIN(Reference!$A$11,D113)),Reference!$A$6:$A$11,1))+1)-INDEX(Reference!$B$6:$B$11,MIN(5,MATCH(MAX(Reference!$A$6,MIN(Reference!$A$11,D113)),Reference!$A$6:$A$11,1))))/(INDEX(Reference!$A$6:$A$11,MIN(5,MATCH(MAX(Reference!$A$6,MIN(Reference!$A$11,D113)),Reference!$A$6:$A$11,1))+1)-INDEX(Reference!$A$6:$A$11,MIN(5,MATCH(MAX(Reference!$A$6,MIN(Reference!$A$11,D113)),Reference!$A$6:$A$11,1))))))))</f>
        <v/>
      </c>
      <c r="P113" s="32" t="str">
        <f>IF(N113="","",VLOOKUP(MAX(N113,0),Reference!$A$17:$B$20,2,TRUE()))</f>
        <v/>
      </c>
      <c r="Q113" s="32" t="str">
        <f t="shared" si="12"/>
        <v/>
      </c>
      <c r="R113" s="31"/>
      <c r="S113" s="31"/>
      <c r="T113" s="31"/>
      <c r="U113" s="32" t="str">
        <f t="shared" si="13"/>
        <v/>
      </c>
      <c r="V113" s="32" t="str">
        <f t="shared" si="14"/>
        <v/>
      </c>
      <c r="W113" s="32" t="str">
        <f>IF(V113="","",VLOOKUP(MAX(V113,0),Reference!$A$17:$B$20,2,TRUE()))</f>
        <v/>
      </c>
      <c r="X113" s="31"/>
      <c r="Y113" s="31"/>
      <c r="Z113" s="31"/>
      <c r="AA113" s="32" t="str">
        <f t="shared" si="15"/>
        <v/>
      </c>
      <c r="AB113" s="32" t="str">
        <f t="shared" si="16"/>
        <v/>
      </c>
      <c r="AC113" s="32" t="str">
        <f>IF(AB113="","",VLOOKUP(MAX(AB113,0),Reference!$A$17:$B$20,2,TRUE()))</f>
        <v/>
      </c>
      <c r="AD113" s="31"/>
      <c r="AE113">
        <f t="shared" si="17"/>
        <v>1</v>
      </c>
      <c r="AF113" s="33" t="str">
        <f>IF(OR(A113="",B113="",AND(C113&lt;&gt;"Bullpen",C113&lt;&gt;"Game")),"",IF((COUNTIFS($B$5:$B$300,B113,$A$5:$A$300,A113-1,$C$5:$C$300,"Bullpen",$AG$5:$AG$300,"&gt;0") + COUNTIFS($B$5:$B$300,B113,$A$5:$A$300,A113-1,$C$5:$C$300,"Game",$AG$5:$AG$300,"&gt;0"))&gt;0,Reference!$B$119,IF((COUNTIFS($B$5:$B$300,B113,$A$5:$A$300,A113-2,$C$5:$C$300,"Bullpen",$AG$5:$AG$300,"&gt;0") + COUNTIFS($B$5:$B$300,B113,$A$5:$A$300,A113-2,$C$5:$C$300,"Game",$AG$5:$AG$300,"&gt;0"))&gt;0,Reference!$B$120,1)))</f>
        <v/>
      </c>
      <c r="AG113" s="30" t="str">
        <f>IF(AND(OR(I113="",O113="",P113=""),OR(R113="",W113=""),OR(X113="",AC113="")),"",IF(OR(I113="",O113="",P113=""),0,I113*O113*P113)+IF(OR(R113="",W113=""),0,R113*IFERROR(INDEX(Reference!$B$61:$B$62,MATCH("Bullpen",Reference!$A$61:$A$62,0)),0)*W113)+IF(OR(X113="",AC113=""),0,X113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113))</f>
        <v/>
      </c>
    </row>
    <row r="114" spans="1:33" x14ac:dyDescent="0.3">
      <c r="A114" s="35"/>
      <c r="B114" s="31"/>
      <c r="C114" s="31"/>
      <c r="D114" s="31"/>
      <c r="E114" s="34"/>
      <c r="F114" s="34"/>
      <c r="G114" s="30" t="str">
        <f t="shared" si="9"/>
        <v/>
      </c>
      <c r="H114" s="31"/>
      <c r="I114" s="32" t="str">
        <f>IF(H114&lt;&gt;"",H114,IF(G114="","",ROUND(G114*IFERROR(INDEX(Reference!$B$44:$B$50,MATCH(C114,Reference!$A$44:$A$50,0)),0),0)))</f>
        <v/>
      </c>
      <c r="J114" s="31"/>
      <c r="K114" s="31"/>
      <c r="L114" s="32" t="str">
        <f t="shared" si="10"/>
        <v/>
      </c>
      <c r="M114" s="32" t="str">
        <f>IFERROR(INDEX(Roster!$D$5:$D$40,MATCH(B114,Roster!$A$5:$A$40,0)),"")</f>
        <v/>
      </c>
      <c r="N114" s="32" t="str">
        <f t="shared" si="11"/>
        <v/>
      </c>
      <c r="O114" s="32" t="str">
        <f>IF(OR(C114="Bullpen",C114="Game"),IFERROR(INDEX(Reference!$B$61:$B$62,MATCH(C114,Reference!$A$61:$A$62,0)),""),IF(D114="","",IF(AE114&gt;1,((IF(1&lt;=AE114,(AE114-1+3)*(INDEX(Reference!$B$6:$B$11,MIN(5,MATCH(MAX(Reference!$A$6,MIN(Reference!$A$11,MIN(D114,90))),Reference!$A$6:$A$11,1)))+(MAX(Reference!$A$6,MIN(Reference!$A$11,MIN(D114,90)))-INDEX(Reference!$A$6:$A$11,MIN(5,MATCH(MAX(Reference!$A$6,MIN(Reference!$A$11,MIN(D114,90))),Reference!$A$6:$A$11,1))))*(INDEX(Reference!$B$6:$B$11,MIN(5,MATCH(MAX(Reference!$A$6,MIN(Reference!$A$11,MIN(D114,90))),Reference!$A$6:$A$11,1))+1)-INDEX(Reference!$B$6:$B$11,MIN(5,MATCH(MAX(Reference!$A$6,MIN(Reference!$A$11,MIN(D114,90))),Reference!$A$6:$A$11,1))))/(INDEX(Reference!$A$6:$A$11,MIN(5,MATCH(MAX(Reference!$A$6,MIN(Reference!$A$11,MIN(D114,90))),Reference!$A$6:$A$11,1))+1)-INDEX(Reference!$A$6:$A$11,MIN(5,MATCH(MAX(Reference!$A$6,MIN(Reference!$A$11,MIN(D114,90))),Reference!$A$6:$A$11,1))))),0)+IF(2&lt;=AE114,(AE114-2+3)*(INDEX(Reference!$B$6:$B$11,MIN(5,MATCH(MAX(Reference!$A$6,MIN(Reference!$A$11,MIN(D114,120))),Reference!$A$6:$A$11,1)))+(MAX(Reference!$A$6,MIN(Reference!$A$11,MIN(D114,120)))-INDEX(Reference!$A$6:$A$11,MIN(5,MATCH(MAX(Reference!$A$6,MIN(Reference!$A$11,MIN(D114,120))),Reference!$A$6:$A$11,1))))*(INDEX(Reference!$B$6:$B$11,MIN(5,MATCH(MAX(Reference!$A$6,MIN(Reference!$A$11,MIN(D114,120))),Reference!$A$6:$A$11,1))+1)-INDEX(Reference!$B$6:$B$11,MIN(5,MATCH(MAX(Reference!$A$6,MIN(Reference!$A$11,MIN(D114,120))),Reference!$A$6:$A$11,1))))/(INDEX(Reference!$A$6:$A$11,MIN(5,MATCH(MAX(Reference!$A$6,MIN(Reference!$A$11,MIN(D114,120))),Reference!$A$6:$A$11,1))+1)-INDEX(Reference!$A$6:$A$11,MIN(5,MATCH(MAX(Reference!$A$6,MIN(Reference!$A$11,MIN(D114,120))),Reference!$A$6:$A$11,1))))),0)+IF(3&lt;=AE114,(AE114-3+3)*(INDEX(Reference!$B$6:$B$11,MIN(5,MATCH(MAX(Reference!$A$6,MIN(Reference!$A$11,MIN(D114,150))),Reference!$A$6:$A$11,1)))+(MAX(Reference!$A$6,MIN(Reference!$A$11,MIN(D114,150)))-INDEX(Reference!$A$6:$A$11,MIN(5,MATCH(MAX(Reference!$A$6,MIN(Reference!$A$11,MIN(D114,150))),Reference!$A$6:$A$11,1))))*(INDEX(Reference!$B$6:$B$11,MIN(5,MATCH(MAX(Reference!$A$6,MIN(Reference!$A$11,MIN(D114,150))),Reference!$A$6:$A$11,1))+1)-INDEX(Reference!$B$6:$B$11,MIN(5,MATCH(MAX(Reference!$A$6,MIN(Reference!$A$11,MIN(D114,150))),Reference!$A$6:$A$11,1))))/(INDEX(Reference!$A$6:$A$11,MIN(5,MATCH(MAX(Reference!$A$6,MIN(Reference!$A$11,MIN(D114,150))),Reference!$A$6:$A$11,1))+1)-INDEX(Reference!$A$6:$A$11,MIN(5,MATCH(MAX(Reference!$A$6,MIN(Reference!$A$11,MIN(D114,150))),Reference!$A$6:$A$11,1))))),0)+IF(4&lt;=AE114,(AE114-4+3)*(INDEX(Reference!$B$6:$B$11,MIN(5,MATCH(MAX(Reference!$A$6,MIN(Reference!$A$11,MIN(D114,180))),Reference!$A$6:$A$11,1)))+(MAX(Reference!$A$6,MIN(Reference!$A$11,MIN(D114,180)))-INDEX(Reference!$A$6:$A$11,MIN(5,MATCH(MAX(Reference!$A$6,MIN(Reference!$A$11,MIN(D114,180))),Reference!$A$6:$A$11,1))))*(INDEX(Reference!$B$6:$B$11,MIN(5,MATCH(MAX(Reference!$A$6,MIN(Reference!$A$11,MIN(D114,180))),Reference!$A$6:$A$11,1))+1)-INDEX(Reference!$B$6:$B$11,MIN(5,MATCH(MAX(Reference!$A$6,MIN(Reference!$A$11,MIN(D114,180))),Reference!$A$6:$A$11,1))))/(INDEX(Reference!$A$6:$A$11,MIN(5,MATCH(MAX(Reference!$A$6,MIN(Reference!$A$11,MIN(D114,180))),Reference!$A$6:$A$11,1))+1)-INDEX(Reference!$A$6:$A$11,MIN(5,MATCH(MAX(Reference!$A$6,MIN(Reference!$A$11,MIN(D114,180))),Reference!$A$6:$A$11,1))))),0)+IF(5&lt;=AE114,(AE114-5+3)*(INDEX(Reference!$B$6:$B$11,MIN(5,MATCH(MAX(Reference!$A$6,MIN(Reference!$A$11,MIN(D114,210))),Reference!$A$6:$A$11,1)))+(MAX(Reference!$A$6,MIN(Reference!$A$11,MIN(D114,210)))-INDEX(Reference!$A$6:$A$11,MIN(5,MATCH(MAX(Reference!$A$6,MIN(Reference!$A$11,MIN(D114,210))),Reference!$A$6:$A$11,1))))*(INDEX(Reference!$B$6:$B$11,MIN(5,MATCH(MAX(Reference!$A$6,MIN(Reference!$A$11,MIN(D114,210))),Reference!$A$6:$A$11,1))+1)-INDEX(Reference!$B$6:$B$11,MIN(5,MATCH(MAX(Reference!$A$6,MIN(Reference!$A$11,MIN(D114,210))),Reference!$A$6:$A$11,1))))/(INDEX(Reference!$A$6:$A$11,MIN(5,MATCH(MAX(Reference!$A$6,MIN(Reference!$A$11,MIN(D114,210))),Reference!$A$6:$A$11,1))+1)-INDEX(Reference!$A$6:$A$11,MIN(5,MATCH(MAX(Reference!$A$6,MIN(Reference!$A$11,MIN(D114,210))),Reference!$A$6:$A$11,1))))),0)+IF(6&lt;=AE114,(AE114-6+3)*(INDEX(Reference!$B$6:$B$11,MIN(5,MATCH(MAX(Reference!$A$6,MIN(Reference!$A$11,MIN(D114,240))),Reference!$A$6:$A$11,1)))+(MAX(Reference!$A$6,MIN(Reference!$A$11,MIN(D114,240)))-INDEX(Reference!$A$6:$A$11,MIN(5,MATCH(MAX(Reference!$A$6,MIN(Reference!$A$11,MIN(D114,240))),Reference!$A$6:$A$11,1))))*(INDEX(Reference!$B$6:$B$11,MIN(5,MATCH(MAX(Reference!$A$6,MIN(Reference!$A$11,MIN(D114,240))),Reference!$A$6:$A$11,1))+1)-INDEX(Reference!$B$6:$B$11,MIN(5,MATCH(MAX(Reference!$A$6,MIN(Reference!$A$11,MIN(D114,240))),Reference!$A$6:$A$11,1))))/(INDEX(Reference!$A$6:$A$11,MIN(5,MATCH(MAX(Reference!$A$6,MIN(Reference!$A$11,MIN(D114,240))),Reference!$A$6:$A$11,1))+1)-INDEX(Reference!$A$6:$A$11,MIN(5,MATCH(MAX(Reference!$A$6,MIN(Reference!$A$11,MIN(D114,240))),Reference!$A$6:$A$11,1))))),0)+IF(7&lt;=AE114,(AE114-7+3)*(INDEX(Reference!$B$6:$B$11,MIN(5,MATCH(MAX(Reference!$A$6,MIN(Reference!$A$11,MIN(D114,270))),Reference!$A$6:$A$11,1)))+(MAX(Reference!$A$6,MIN(Reference!$A$11,MIN(D114,270)))-INDEX(Reference!$A$6:$A$11,MIN(5,MATCH(MAX(Reference!$A$6,MIN(Reference!$A$11,MIN(D114,270))),Reference!$A$6:$A$11,1))))*(INDEX(Reference!$B$6:$B$11,MIN(5,MATCH(MAX(Reference!$A$6,MIN(Reference!$A$11,MIN(D114,270))),Reference!$A$6:$A$11,1))+1)-INDEX(Reference!$B$6:$B$11,MIN(5,MATCH(MAX(Reference!$A$6,MIN(Reference!$A$11,MIN(D114,270))),Reference!$A$6:$A$11,1))))/(INDEX(Reference!$A$6:$A$11,MIN(5,MATCH(MAX(Reference!$A$6,MIN(Reference!$A$11,MIN(D114,270))),Reference!$A$6:$A$11,1))+1)-INDEX(Reference!$A$6:$A$11,MIN(5,MATCH(MAX(Reference!$A$6,MIN(Reference!$A$11,MIN(D114,270))),Reference!$A$6:$A$11,1))))),0)+IF(8&lt;=AE114,(AE114-8+3)*(INDEX(Reference!$B$6:$B$11,MIN(5,MATCH(MAX(Reference!$A$6,MIN(Reference!$A$11,MIN(D114,300))),Reference!$A$6:$A$11,1)))+(MAX(Reference!$A$6,MIN(Reference!$A$11,MIN(D114,300)))-INDEX(Reference!$A$6:$A$11,MIN(5,MATCH(MAX(Reference!$A$6,MIN(Reference!$A$11,MIN(D114,300))),Reference!$A$6:$A$11,1))))*(INDEX(Reference!$B$6:$B$11,MIN(5,MATCH(MAX(Reference!$A$6,MIN(Reference!$A$11,MIN(D114,300))),Reference!$A$6:$A$11,1))+1)-INDEX(Reference!$B$6:$B$11,MIN(5,MATCH(MAX(Reference!$A$6,MIN(Reference!$A$11,MIN(D114,300))),Reference!$A$6:$A$11,1))))/(INDEX(Reference!$A$6:$A$11,MIN(5,MATCH(MAX(Reference!$A$6,MIN(Reference!$A$11,MIN(D114,300))),Reference!$A$6:$A$11,1))+1)-INDEX(Reference!$A$6:$A$11,MIN(5,MATCH(MAX(Reference!$A$6,MIN(Reference!$A$11,MIN(D114,300))),Reference!$A$6:$A$11,1))))),0))/(AE114*(AE114+5)/2)),(INDEX(Reference!$B$6:$B$11,MIN(5,MATCH(MAX(Reference!$A$6,MIN(Reference!$A$11,D114)),Reference!$A$6:$A$11,1)))+(MAX(Reference!$A$6,MIN(Reference!$A$11,D114))-INDEX(Reference!$A$6:$A$11,MIN(5,MATCH(MAX(Reference!$A$6,MIN(Reference!$A$11,D114)),Reference!$A$6:$A$11,1))))*(INDEX(Reference!$B$6:$B$11,MIN(5,MATCH(MAX(Reference!$A$6,MIN(Reference!$A$11,D114)),Reference!$A$6:$A$11,1))+1)-INDEX(Reference!$B$6:$B$11,MIN(5,MATCH(MAX(Reference!$A$6,MIN(Reference!$A$11,D114)),Reference!$A$6:$A$11,1))))/(INDEX(Reference!$A$6:$A$11,MIN(5,MATCH(MAX(Reference!$A$6,MIN(Reference!$A$11,D114)),Reference!$A$6:$A$11,1))+1)-INDEX(Reference!$A$6:$A$11,MIN(5,MATCH(MAX(Reference!$A$6,MIN(Reference!$A$11,D114)),Reference!$A$6:$A$11,1))))))))</f>
        <v/>
      </c>
      <c r="P114" s="32" t="str">
        <f>IF(N114="","",VLOOKUP(MAX(N114,0),Reference!$A$17:$B$20,2,TRUE()))</f>
        <v/>
      </c>
      <c r="Q114" s="32" t="str">
        <f t="shared" si="12"/>
        <v/>
      </c>
      <c r="R114" s="31"/>
      <c r="S114" s="31"/>
      <c r="T114" s="31"/>
      <c r="U114" s="32" t="str">
        <f t="shared" si="13"/>
        <v/>
      </c>
      <c r="V114" s="32" t="str">
        <f t="shared" si="14"/>
        <v/>
      </c>
      <c r="W114" s="32" t="str">
        <f>IF(V114="","",VLOOKUP(MAX(V114,0),Reference!$A$17:$B$20,2,TRUE()))</f>
        <v/>
      </c>
      <c r="X114" s="31"/>
      <c r="Y114" s="31"/>
      <c r="Z114" s="31"/>
      <c r="AA114" s="32" t="str">
        <f t="shared" si="15"/>
        <v/>
      </c>
      <c r="AB114" s="32" t="str">
        <f t="shared" si="16"/>
        <v/>
      </c>
      <c r="AC114" s="32" t="str">
        <f>IF(AB114="","",VLOOKUP(MAX(AB114,0),Reference!$A$17:$B$20,2,TRUE()))</f>
        <v/>
      </c>
      <c r="AD114" s="31"/>
      <c r="AE114">
        <f t="shared" si="17"/>
        <v>1</v>
      </c>
      <c r="AF114" s="33" t="str">
        <f>IF(OR(A114="",B114="",AND(C114&lt;&gt;"Bullpen",C114&lt;&gt;"Game")),"",IF((COUNTIFS($B$5:$B$300,B114,$A$5:$A$300,A114-1,$C$5:$C$300,"Bullpen",$AG$5:$AG$300,"&gt;0") + COUNTIFS($B$5:$B$300,B114,$A$5:$A$300,A114-1,$C$5:$C$300,"Game",$AG$5:$AG$300,"&gt;0"))&gt;0,Reference!$B$119,IF((COUNTIFS($B$5:$B$300,B114,$A$5:$A$300,A114-2,$C$5:$C$300,"Bullpen",$AG$5:$AG$300,"&gt;0") + COUNTIFS($B$5:$B$300,B114,$A$5:$A$300,A114-2,$C$5:$C$300,"Game",$AG$5:$AG$300,"&gt;0"))&gt;0,Reference!$B$120,1)))</f>
        <v/>
      </c>
      <c r="AG114" s="30" t="str">
        <f>IF(AND(OR(I114="",O114="",P114=""),OR(R114="",W114=""),OR(X114="",AC114="")),"",IF(OR(I114="",O114="",P114=""),0,I114*O114*P114)+IF(OR(R114="",W114=""),0,R114*IFERROR(INDEX(Reference!$B$61:$B$62,MATCH("Bullpen",Reference!$A$61:$A$62,0)),0)*W114)+IF(OR(X114="",AC114=""),0,X114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114))</f>
        <v/>
      </c>
    </row>
    <row r="115" spans="1:33" x14ac:dyDescent="0.3">
      <c r="A115" s="35"/>
      <c r="B115" s="31"/>
      <c r="C115" s="31"/>
      <c r="D115" s="31"/>
      <c r="E115" s="34"/>
      <c r="F115" s="34"/>
      <c r="G115" s="30" t="str">
        <f t="shared" si="9"/>
        <v/>
      </c>
      <c r="H115" s="31"/>
      <c r="I115" s="32" t="str">
        <f>IF(H115&lt;&gt;"",H115,IF(G115="","",ROUND(G115*IFERROR(INDEX(Reference!$B$44:$B$50,MATCH(C115,Reference!$A$44:$A$50,0)),0),0)))</f>
        <v/>
      </c>
      <c r="J115" s="31"/>
      <c r="K115" s="31"/>
      <c r="L115" s="32" t="str">
        <f t="shared" si="10"/>
        <v/>
      </c>
      <c r="M115" s="32" t="str">
        <f>IFERROR(INDEX(Roster!$D$5:$D$40,MATCH(B115,Roster!$A$5:$A$40,0)),"")</f>
        <v/>
      </c>
      <c r="N115" s="32" t="str">
        <f t="shared" si="11"/>
        <v/>
      </c>
      <c r="O115" s="32" t="str">
        <f>IF(OR(C115="Bullpen",C115="Game"),IFERROR(INDEX(Reference!$B$61:$B$62,MATCH(C115,Reference!$A$61:$A$62,0)),""),IF(D115="","",IF(AE115&gt;1,((IF(1&lt;=AE115,(AE115-1+3)*(INDEX(Reference!$B$6:$B$11,MIN(5,MATCH(MAX(Reference!$A$6,MIN(Reference!$A$11,MIN(D115,90))),Reference!$A$6:$A$11,1)))+(MAX(Reference!$A$6,MIN(Reference!$A$11,MIN(D115,90)))-INDEX(Reference!$A$6:$A$11,MIN(5,MATCH(MAX(Reference!$A$6,MIN(Reference!$A$11,MIN(D115,90))),Reference!$A$6:$A$11,1))))*(INDEX(Reference!$B$6:$B$11,MIN(5,MATCH(MAX(Reference!$A$6,MIN(Reference!$A$11,MIN(D115,90))),Reference!$A$6:$A$11,1))+1)-INDEX(Reference!$B$6:$B$11,MIN(5,MATCH(MAX(Reference!$A$6,MIN(Reference!$A$11,MIN(D115,90))),Reference!$A$6:$A$11,1))))/(INDEX(Reference!$A$6:$A$11,MIN(5,MATCH(MAX(Reference!$A$6,MIN(Reference!$A$11,MIN(D115,90))),Reference!$A$6:$A$11,1))+1)-INDEX(Reference!$A$6:$A$11,MIN(5,MATCH(MAX(Reference!$A$6,MIN(Reference!$A$11,MIN(D115,90))),Reference!$A$6:$A$11,1))))),0)+IF(2&lt;=AE115,(AE115-2+3)*(INDEX(Reference!$B$6:$B$11,MIN(5,MATCH(MAX(Reference!$A$6,MIN(Reference!$A$11,MIN(D115,120))),Reference!$A$6:$A$11,1)))+(MAX(Reference!$A$6,MIN(Reference!$A$11,MIN(D115,120)))-INDEX(Reference!$A$6:$A$11,MIN(5,MATCH(MAX(Reference!$A$6,MIN(Reference!$A$11,MIN(D115,120))),Reference!$A$6:$A$11,1))))*(INDEX(Reference!$B$6:$B$11,MIN(5,MATCH(MAX(Reference!$A$6,MIN(Reference!$A$11,MIN(D115,120))),Reference!$A$6:$A$11,1))+1)-INDEX(Reference!$B$6:$B$11,MIN(5,MATCH(MAX(Reference!$A$6,MIN(Reference!$A$11,MIN(D115,120))),Reference!$A$6:$A$11,1))))/(INDEX(Reference!$A$6:$A$11,MIN(5,MATCH(MAX(Reference!$A$6,MIN(Reference!$A$11,MIN(D115,120))),Reference!$A$6:$A$11,1))+1)-INDEX(Reference!$A$6:$A$11,MIN(5,MATCH(MAX(Reference!$A$6,MIN(Reference!$A$11,MIN(D115,120))),Reference!$A$6:$A$11,1))))),0)+IF(3&lt;=AE115,(AE115-3+3)*(INDEX(Reference!$B$6:$B$11,MIN(5,MATCH(MAX(Reference!$A$6,MIN(Reference!$A$11,MIN(D115,150))),Reference!$A$6:$A$11,1)))+(MAX(Reference!$A$6,MIN(Reference!$A$11,MIN(D115,150)))-INDEX(Reference!$A$6:$A$11,MIN(5,MATCH(MAX(Reference!$A$6,MIN(Reference!$A$11,MIN(D115,150))),Reference!$A$6:$A$11,1))))*(INDEX(Reference!$B$6:$B$11,MIN(5,MATCH(MAX(Reference!$A$6,MIN(Reference!$A$11,MIN(D115,150))),Reference!$A$6:$A$11,1))+1)-INDEX(Reference!$B$6:$B$11,MIN(5,MATCH(MAX(Reference!$A$6,MIN(Reference!$A$11,MIN(D115,150))),Reference!$A$6:$A$11,1))))/(INDEX(Reference!$A$6:$A$11,MIN(5,MATCH(MAX(Reference!$A$6,MIN(Reference!$A$11,MIN(D115,150))),Reference!$A$6:$A$11,1))+1)-INDEX(Reference!$A$6:$A$11,MIN(5,MATCH(MAX(Reference!$A$6,MIN(Reference!$A$11,MIN(D115,150))),Reference!$A$6:$A$11,1))))),0)+IF(4&lt;=AE115,(AE115-4+3)*(INDEX(Reference!$B$6:$B$11,MIN(5,MATCH(MAX(Reference!$A$6,MIN(Reference!$A$11,MIN(D115,180))),Reference!$A$6:$A$11,1)))+(MAX(Reference!$A$6,MIN(Reference!$A$11,MIN(D115,180)))-INDEX(Reference!$A$6:$A$11,MIN(5,MATCH(MAX(Reference!$A$6,MIN(Reference!$A$11,MIN(D115,180))),Reference!$A$6:$A$11,1))))*(INDEX(Reference!$B$6:$B$11,MIN(5,MATCH(MAX(Reference!$A$6,MIN(Reference!$A$11,MIN(D115,180))),Reference!$A$6:$A$11,1))+1)-INDEX(Reference!$B$6:$B$11,MIN(5,MATCH(MAX(Reference!$A$6,MIN(Reference!$A$11,MIN(D115,180))),Reference!$A$6:$A$11,1))))/(INDEX(Reference!$A$6:$A$11,MIN(5,MATCH(MAX(Reference!$A$6,MIN(Reference!$A$11,MIN(D115,180))),Reference!$A$6:$A$11,1))+1)-INDEX(Reference!$A$6:$A$11,MIN(5,MATCH(MAX(Reference!$A$6,MIN(Reference!$A$11,MIN(D115,180))),Reference!$A$6:$A$11,1))))),0)+IF(5&lt;=AE115,(AE115-5+3)*(INDEX(Reference!$B$6:$B$11,MIN(5,MATCH(MAX(Reference!$A$6,MIN(Reference!$A$11,MIN(D115,210))),Reference!$A$6:$A$11,1)))+(MAX(Reference!$A$6,MIN(Reference!$A$11,MIN(D115,210)))-INDEX(Reference!$A$6:$A$11,MIN(5,MATCH(MAX(Reference!$A$6,MIN(Reference!$A$11,MIN(D115,210))),Reference!$A$6:$A$11,1))))*(INDEX(Reference!$B$6:$B$11,MIN(5,MATCH(MAX(Reference!$A$6,MIN(Reference!$A$11,MIN(D115,210))),Reference!$A$6:$A$11,1))+1)-INDEX(Reference!$B$6:$B$11,MIN(5,MATCH(MAX(Reference!$A$6,MIN(Reference!$A$11,MIN(D115,210))),Reference!$A$6:$A$11,1))))/(INDEX(Reference!$A$6:$A$11,MIN(5,MATCH(MAX(Reference!$A$6,MIN(Reference!$A$11,MIN(D115,210))),Reference!$A$6:$A$11,1))+1)-INDEX(Reference!$A$6:$A$11,MIN(5,MATCH(MAX(Reference!$A$6,MIN(Reference!$A$11,MIN(D115,210))),Reference!$A$6:$A$11,1))))),0)+IF(6&lt;=AE115,(AE115-6+3)*(INDEX(Reference!$B$6:$B$11,MIN(5,MATCH(MAX(Reference!$A$6,MIN(Reference!$A$11,MIN(D115,240))),Reference!$A$6:$A$11,1)))+(MAX(Reference!$A$6,MIN(Reference!$A$11,MIN(D115,240)))-INDEX(Reference!$A$6:$A$11,MIN(5,MATCH(MAX(Reference!$A$6,MIN(Reference!$A$11,MIN(D115,240))),Reference!$A$6:$A$11,1))))*(INDEX(Reference!$B$6:$B$11,MIN(5,MATCH(MAX(Reference!$A$6,MIN(Reference!$A$11,MIN(D115,240))),Reference!$A$6:$A$11,1))+1)-INDEX(Reference!$B$6:$B$11,MIN(5,MATCH(MAX(Reference!$A$6,MIN(Reference!$A$11,MIN(D115,240))),Reference!$A$6:$A$11,1))))/(INDEX(Reference!$A$6:$A$11,MIN(5,MATCH(MAX(Reference!$A$6,MIN(Reference!$A$11,MIN(D115,240))),Reference!$A$6:$A$11,1))+1)-INDEX(Reference!$A$6:$A$11,MIN(5,MATCH(MAX(Reference!$A$6,MIN(Reference!$A$11,MIN(D115,240))),Reference!$A$6:$A$11,1))))),0)+IF(7&lt;=AE115,(AE115-7+3)*(INDEX(Reference!$B$6:$B$11,MIN(5,MATCH(MAX(Reference!$A$6,MIN(Reference!$A$11,MIN(D115,270))),Reference!$A$6:$A$11,1)))+(MAX(Reference!$A$6,MIN(Reference!$A$11,MIN(D115,270)))-INDEX(Reference!$A$6:$A$11,MIN(5,MATCH(MAX(Reference!$A$6,MIN(Reference!$A$11,MIN(D115,270))),Reference!$A$6:$A$11,1))))*(INDEX(Reference!$B$6:$B$11,MIN(5,MATCH(MAX(Reference!$A$6,MIN(Reference!$A$11,MIN(D115,270))),Reference!$A$6:$A$11,1))+1)-INDEX(Reference!$B$6:$B$11,MIN(5,MATCH(MAX(Reference!$A$6,MIN(Reference!$A$11,MIN(D115,270))),Reference!$A$6:$A$11,1))))/(INDEX(Reference!$A$6:$A$11,MIN(5,MATCH(MAX(Reference!$A$6,MIN(Reference!$A$11,MIN(D115,270))),Reference!$A$6:$A$11,1))+1)-INDEX(Reference!$A$6:$A$11,MIN(5,MATCH(MAX(Reference!$A$6,MIN(Reference!$A$11,MIN(D115,270))),Reference!$A$6:$A$11,1))))),0)+IF(8&lt;=AE115,(AE115-8+3)*(INDEX(Reference!$B$6:$B$11,MIN(5,MATCH(MAX(Reference!$A$6,MIN(Reference!$A$11,MIN(D115,300))),Reference!$A$6:$A$11,1)))+(MAX(Reference!$A$6,MIN(Reference!$A$11,MIN(D115,300)))-INDEX(Reference!$A$6:$A$11,MIN(5,MATCH(MAX(Reference!$A$6,MIN(Reference!$A$11,MIN(D115,300))),Reference!$A$6:$A$11,1))))*(INDEX(Reference!$B$6:$B$11,MIN(5,MATCH(MAX(Reference!$A$6,MIN(Reference!$A$11,MIN(D115,300))),Reference!$A$6:$A$11,1))+1)-INDEX(Reference!$B$6:$B$11,MIN(5,MATCH(MAX(Reference!$A$6,MIN(Reference!$A$11,MIN(D115,300))),Reference!$A$6:$A$11,1))))/(INDEX(Reference!$A$6:$A$11,MIN(5,MATCH(MAX(Reference!$A$6,MIN(Reference!$A$11,MIN(D115,300))),Reference!$A$6:$A$11,1))+1)-INDEX(Reference!$A$6:$A$11,MIN(5,MATCH(MAX(Reference!$A$6,MIN(Reference!$A$11,MIN(D115,300))),Reference!$A$6:$A$11,1))))),0))/(AE115*(AE115+5)/2)),(INDEX(Reference!$B$6:$B$11,MIN(5,MATCH(MAX(Reference!$A$6,MIN(Reference!$A$11,D115)),Reference!$A$6:$A$11,1)))+(MAX(Reference!$A$6,MIN(Reference!$A$11,D115))-INDEX(Reference!$A$6:$A$11,MIN(5,MATCH(MAX(Reference!$A$6,MIN(Reference!$A$11,D115)),Reference!$A$6:$A$11,1))))*(INDEX(Reference!$B$6:$B$11,MIN(5,MATCH(MAX(Reference!$A$6,MIN(Reference!$A$11,D115)),Reference!$A$6:$A$11,1))+1)-INDEX(Reference!$B$6:$B$11,MIN(5,MATCH(MAX(Reference!$A$6,MIN(Reference!$A$11,D115)),Reference!$A$6:$A$11,1))))/(INDEX(Reference!$A$6:$A$11,MIN(5,MATCH(MAX(Reference!$A$6,MIN(Reference!$A$11,D115)),Reference!$A$6:$A$11,1))+1)-INDEX(Reference!$A$6:$A$11,MIN(5,MATCH(MAX(Reference!$A$6,MIN(Reference!$A$11,D115)),Reference!$A$6:$A$11,1))))))))</f>
        <v/>
      </c>
      <c r="P115" s="32" t="str">
        <f>IF(N115="","",VLOOKUP(MAX(N115,0),Reference!$A$17:$B$20,2,TRUE()))</f>
        <v/>
      </c>
      <c r="Q115" s="32" t="str">
        <f t="shared" si="12"/>
        <v/>
      </c>
      <c r="R115" s="31"/>
      <c r="S115" s="31"/>
      <c r="T115" s="31"/>
      <c r="U115" s="32" t="str">
        <f t="shared" si="13"/>
        <v/>
      </c>
      <c r="V115" s="32" t="str">
        <f t="shared" si="14"/>
        <v/>
      </c>
      <c r="W115" s="32" t="str">
        <f>IF(V115="","",VLOOKUP(MAX(V115,0),Reference!$A$17:$B$20,2,TRUE()))</f>
        <v/>
      </c>
      <c r="X115" s="31"/>
      <c r="Y115" s="31"/>
      <c r="Z115" s="31"/>
      <c r="AA115" s="32" t="str">
        <f t="shared" si="15"/>
        <v/>
      </c>
      <c r="AB115" s="32" t="str">
        <f t="shared" si="16"/>
        <v/>
      </c>
      <c r="AC115" s="32" t="str">
        <f>IF(AB115="","",VLOOKUP(MAX(AB115,0),Reference!$A$17:$B$20,2,TRUE()))</f>
        <v/>
      </c>
      <c r="AD115" s="31"/>
      <c r="AE115">
        <f t="shared" si="17"/>
        <v>1</v>
      </c>
      <c r="AF115" s="33" t="str">
        <f>IF(OR(A115="",B115="",AND(C115&lt;&gt;"Bullpen",C115&lt;&gt;"Game")),"",IF((COUNTIFS($B$5:$B$300,B115,$A$5:$A$300,A115-1,$C$5:$C$300,"Bullpen",$AG$5:$AG$300,"&gt;0") + COUNTIFS($B$5:$B$300,B115,$A$5:$A$300,A115-1,$C$5:$C$300,"Game",$AG$5:$AG$300,"&gt;0"))&gt;0,Reference!$B$119,IF((COUNTIFS($B$5:$B$300,B115,$A$5:$A$300,A115-2,$C$5:$C$300,"Bullpen",$AG$5:$AG$300,"&gt;0") + COUNTIFS($B$5:$B$300,B115,$A$5:$A$300,A115-2,$C$5:$C$300,"Game",$AG$5:$AG$300,"&gt;0"))&gt;0,Reference!$B$120,1)))</f>
        <v/>
      </c>
      <c r="AG115" s="30" t="str">
        <f>IF(AND(OR(I115="",O115="",P115=""),OR(R115="",W115=""),OR(X115="",AC115="")),"",IF(OR(I115="",O115="",P115=""),0,I115*O115*P115)+IF(OR(R115="",W115=""),0,R115*IFERROR(INDEX(Reference!$B$61:$B$62,MATCH("Bullpen",Reference!$A$61:$A$62,0)),0)*W115)+IF(OR(X115="",AC115=""),0,X115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115))</f>
        <v/>
      </c>
    </row>
    <row r="116" spans="1:33" x14ac:dyDescent="0.3">
      <c r="A116" s="35"/>
      <c r="B116" s="31"/>
      <c r="C116" s="31"/>
      <c r="D116" s="31"/>
      <c r="E116" s="34"/>
      <c r="F116" s="34"/>
      <c r="G116" s="30" t="str">
        <f t="shared" si="9"/>
        <v/>
      </c>
      <c r="H116" s="31"/>
      <c r="I116" s="32" t="str">
        <f>IF(H116&lt;&gt;"",H116,IF(G116="","",ROUND(G116*IFERROR(INDEX(Reference!$B$44:$B$50,MATCH(C116,Reference!$A$44:$A$50,0)),0),0)))</f>
        <v/>
      </c>
      <c r="J116" s="31"/>
      <c r="K116" s="31"/>
      <c r="L116" s="32" t="str">
        <f t="shared" si="10"/>
        <v/>
      </c>
      <c r="M116" s="32" t="str">
        <f>IFERROR(INDEX(Roster!$D$5:$D$40,MATCH(B116,Roster!$A$5:$A$40,0)),"")</f>
        <v/>
      </c>
      <c r="N116" s="32" t="str">
        <f t="shared" si="11"/>
        <v/>
      </c>
      <c r="O116" s="32" t="str">
        <f>IF(OR(C116="Bullpen",C116="Game"),IFERROR(INDEX(Reference!$B$61:$B$62,MATCH(C116,Reference!$A$61:$A$62,0)),""),IF(D116="","",IF(AE116&gt;1,((IF(1&lt;=AE116,(AE116-1+3)*(INDEX(Reference!$B$6:$B$11,MIN(5,MATCH(MAX(Reference!$A$6,MIN(Reference!$A$11,MIN(D116,90))),Reference!$A$6:$A$11,1)))+(MAX(Reference!$A$6,MIN(Reference!$A$11,MIN(D116,90)))-INDEX(Reference!$A$6:$A$11,MIN(5,MATCH(MAX(Reference!$A$6,MIN(Reference!$A$11,MIN(D116,90))),Reference!$A$6:$A$11,1))))*(INDEX(Reference!$B$6:$B$11,MIN(5,MATCH(MAX(Reference!$A$6,MIN(Reference!$A$11,MIN(D116,90))),Reference!$A$6:$A$11,1))+1)-INDEX(Reference!$B$6:$B$11,MIN(5,MATCH(MAX(Reference!$A$6,MIN(Reference!$A$11,MIN(D116,90))),Reference!$A$6:$A$11,1))))/(INDEX(Reference!$A$6:$A$11,MIN(5,MATCH(MAX(Reference!$A$6,MIN(Reference!$A$11,MIN(D116,90))),Reference!$A$6:$A$11,1))+1)-INDEX(Reference!$A$6:$A$11,MIN(5,MATCH(MAX(Reference!$A$6,MIN(Reference!$A$11,MIN(D116,90))),Reference!$A$6:$A$11,1))))),0)+IF(2&lt;=AE116,(AE116-2+3)*(INDEX(Reference!$B$6:$B$11,MIN(5,MATCH(MAX(Reference!$A$6,MIN(Reference!$A$11,MIN(D116,120))),Reference!$A$6:$A$11,1)))+(MAX(Reference!$A$6,MIN(Reference!$A$11,MIN(D116,120)))-INDEX(Reference!$A$6:$A$11,MIN(5,MATCH(MAX(Reference!$A$6,MIN(Reference!$A$11,MIN(D116,120))),Reference!$A$6:$A$11,1))))*(INDEX(Reference!$B$6:$B$11,MIN(5,MATCH(MAX(Reference!$A$6,MIN(Reference!$A$11,MIN(D116,120))),Reference!$A$6:$A$11,1))+1)-INDEX(Reference!$B$6:$B$11,MIN(5,MATCH(MAX(Reference!$A$6,MIN(Reference!$A$11,MIN(D116,120))),Reference!$A$6:$A$11,1))))/(INDEX(Reference!$A$6:$A$11,MIN(5,MATCH(MAX(Reference!$A$6,MIN(Reference!$A$11,MIN(D116,120))),Reference!$A$6:$A$11,1))+1)-INDEX(Reference!$A$6:$A$11,MIN(5,MATCH(MAX(Reference!$A$6,MIN(Reference!$A$11,MIN(D116,120))),Reference!$A$6:$A$11,1))))),0)+IF(3&lt;=AE116,(AE116-3+3)*(INDEX(Reference!$B$6:$B$11,MIN(5,MATCH(MAX(Reference!$A$6,MIN(Reference!$A$11,MIN(D116,150))),Reference!$A$6:$A$11,1)))+(MAX(Reference!$A$6,MIN(Reference!$A$11,MIN(D116,150)))-INDEX(Reference!$A$6:$A$11,MIN(5,MATCH(MAX(Reference!$A$6,MIN(Reference!$A$11,MIN(D116,150))),Reference!$A$6:$A$11,1))))*(INDEX(Reference!$B$6:$B$11,MIN(5,MATCH(MAX(Reference!$A$6,MIN(Reference!$A$11,MIN(D116,150))),Reference!$A$6:$A$11,1))+1)-INDEX(Reference!$B$6:$B$11,MIN(5,MATCH(MAX(Reference!$A$6,MIN(Reference!$A$11,MIN(D116,150))),Reference!$A$6:$A$11,1))))/(INDEX(Reference!$A$6:$A$11,MIN(5,MATCH(MAX(Reference!$A$6,MIN(Reference!$A$11,MIN(D116,150))),Reference!$A$6:$A$11,1))+1)-INDEX(Reference!$A$6:$A$11,MIN(5,MATCH(MAX(Reference!$A$6,MIN(Reference!$A$11,MIN(D116,150))),Reference!$A$6:$A$11,1))))),0)+IF(4&lt;=AE116,(AE116-4+3)*(INDEX(Reference!$B$6:$B$11,MIN(5,MATCH(MAX(Reference!$A$6,MIN(Reference!$A$11,MIN(D116,180))),Reference!$A$6:$A$11,1)))+(MAX(Reference!$A$6,MIN(Reference!$A$11,MIN(D116,180)))-INDEX(Reference!$A$6:$A$11,MIN(5,MATCH(MAX(Reference!$A$6,MIN(Reference!$A$11,MIN(D116,180))),Reference!$A$6:$A$11,1))))*(INDEX(Reference!$B$6:$B$11,MIN(5,MATCH(MAX(Reference!$A$6,MIN(Reference!$A$11,MIN(D116,180))),Reference!$A$6:$A$11,1))+1)-INDEX(Reference!$B$6:$B$11,MIN(5,MATCH(MAX(Reference!$A$6,MIN(Reference!$A$11,MIN(D116,180))),Reference!$A$6:$A$11,1))))/(INDEX(Reference!$A$6:$A$11,MIN(5,MATCH(MAX(Reference!$A$6,MIN(Reference!$A$11,MIN(D116,180))),Reference!$A$6:$A$11,1))+1)-INDEX(Reference!$A$6:$A$11,MIN(5,MATCH(MAX(Reference!$A$6,MIN(Reference!$A$11,MIN(D116,180))),Reference!$A$6:$A$11,1))))),0)+IF(5&lt;=AE116,(AE116-5+3)*(INDEX(Reference!$B$6:$B$11,MIN(5,MATCH(MAX(Reference!$A$6,MIN(Reference!$A$11,MIN(D116,210))),Reference!$A$6:$A$11,1)))+(MAX(Reference!$A$6,MIN(Reference!$A$11,MIN(D116,210)))-INDEX(Reference!$A$6:$A$11,MIN(5,MATCH(MAX(Reference!$A$6,MIN(Reference!$A$11,MIN(D116,210))),Reference!$A$6:$A$11,1))))*(INDEX(Reference!$B$6:$B$11,MIN(5,MATCH(MAX(Reference!$A$6,MIN(Reference!$A$11,MIN(D116,210))),Reference!$A$6:$A$11,1))+1)-INDEX(Reference!$B$6:$B$11,MIN(5,MATCH(MAX(Reference!$A$6,MIN(Reference!$A$11,MIN(D116,210))),Reference!$A$6:$A$11,1))))/(INDEX(Reference!$A$6:$A$11,MIN(5,MATCH(MAX(Reference!$A$6,MIN(Reference!$A$11,MIN(D116,210))),Reference!$A$6:$A$11,1))+1)-INDEX(Reference!$A$6:$A$11,MIN(5,MATCH(MAX(Reference!$A$6,MIN(Reference!$A$11,MIN(D116,210))),Reference!$A$6:$A$11,1))))),0)+IF(6&lt;=AE116,(AE116-6+3)*(INDEX(Reference!$B$6:$B$11,MIN(5,MATCH(MAX(Reference!$A$6,MIN(Reference!$A$11,MIN(D116,240))),Reference!$A$6:$A$11,1)))+(MAX(Reference!$A$6,MIN(Reference!$A$11,MIN(D116,240)))-INDEX(Reference!$A$6:$A$11,MIN(5,MATCH(MAX(Reference!$A$6,MIN(Reference!$A$11,MIN(D116,240))),Reference!$A$6:$A$11,1))))*(INDEX(Reference!$B$6:$B$11,MIN(5,MATCH(MAX(Reference!$A$6,MIN(Reference!$A$11,MIN(D116,240))),Reference!$A$6:$A$11,1))+1)-INDEX(Reference!$B$6:$B$11,MIN(5,MATCH(MAX(Reference!$A$6,MIN(Reference!$A$11,MIN(D116,240))),Reference!$A$6:$A$11,1))))/(INDEX(Reference!$A$6:$A$11,MIN(5,MATCH(MAX(Reference!$A$6,MIN(Reference!$A$11,MIN(D116,240))),Reference!$A$6:$A$11,1))+1)-INDEX(Reference!$A$6:$A$11,MIN(5,MATCH(MAX(Reference!$A$6,MIN(Reference!$A$11,MIN(D116,240))),Reference!$A$6:$A$11,1))))),0)+IF(7&lt;=AE116,(AE116-7+3)*(INDEX(Reference!$B$6:$B$11,MIN(5,MATCH(MAX(Reference!$A$6,MIN(Reference!$A$11,MIN(D116,270))),Reference!$A$6:$A$11,1)))+(MAX(Reference!$A$6,MIN(Reference!$A$11,MIN(D116,270)))-INDEX(Reference!$A$6:$A$11,MIN(5,MATCH(MAX(Reference!$A$6,MIN(Reference!$A$11,MIN(D116,270))),Reference!$A$6:$A$11,1))))*(INDEX(Reference!$B$6:$B$11,MIN(5,MATCH(MAX(Reference!$A$6,MIN(Reference!$A$11,MIN(D116,270))),Reference!$A$6:$A$11,1))+1)-INDEX(Reference!$B$6:$B$11,MIN(5,MATCH(MAX(Reference!$A$6,MIN(Reference!$A$11,MIN(D116,270))),Reference!$A$6:$A$11,1))))/(INDEX(Reference!$A$6:$A$11,MIN(5,MATCH(MAX(Reference!$A$6,MIN(Reference!$A$11,MIN(D116,270))),Reference!$A$6:$A$11,1))+1)-INDEX(Reference!$A$6:$A$11,MIN(5,MATCH(MAX(Reference!$A$6,MIN(Reference!$A$11,MIN(D116,270))),Reference!$A$6:$A$11,1))))),0)+IF(8&lt;=AE116,(AE116-8+3)*(INDEX(Reference!$B$6:$B$11,MIN(5,MATCH(MAX(Reference!$A$6,MIN(Reference!$A$11,MIN(D116,300))),Reference!$A$6:$A$11,1)))+(MAX(Reference!$A$6,MIN(Reference!$A$11,MIN(D116,300)))-INDEX(Reference!$A$6:$A$11,MIN(5,MATCH(MAX(Reference!$A$6,MIN(Reference!$A$11,MIN(D116,300))),Reference!$A$6:$A$11,1))))*(INDEX(Reference!$B$6:$B$11,MIN(5,MATCH(MAX(Reference!$A$6,MIN(Reference!$A$11,MIN(D116,300))),Reference!$A$6:$A$11,1))+1)-INDEX(Reference!$B$6:$B$11,MIN(5,MATCH(MAX(Reference!$A$6,MIN(Reference!$A$11,MIN(D116,300))),Reference!$A$6:$A$11,1))))/(INDEX(Reference!$A$6:$A$11,MIN(5,MATCH(MAX(Reference!$A$6,MIN(Reference!$A$11,MIN(D116,300))),Reference!$A$6:$A$11,1))+1)-INDEX(Reference!$A$6:$A$11,MIN(5,MATCH(MAX(Reference!$A$6,MIN(Reference!$A$11,MIN(D116,300))),Reference!$A$6:$A$11,1))))),0))/(AE116*(AE116+5)/2)),(INDEX(Reference!$B$6:$B$11,MIN(5,MATCH(MAX(Reference!$A$6,MIN(Reference!$A$11,D116)),Reference!$A$6:$A$11,1)))+(MAX(Reference!$A$6,MIN(Reference!$A$11,D116))-INDEX(Reference!$A$6:$A$11,MIN(5,MATCH(MAX(Reference!$A$6,MIN(Reference!$A$11,D116)),Reference!$A$6:$A$11,1))))*(INDEX(Reference!$B$6:$B$11,MIN(5,MATCH(MAX(Reference!$A$6,MIN(Reference!$A$11,D116)),Reference!$A$6:$A$11,1))+1)-INDEX(Reference!$B$6:$B$11,MIN(5,MATCH(MAX(Reference!$A$6,MIN(Reference!$A$11,D116)),Reference!$A$6:$A$11,1))))/(INDEX(Reference!$A$6:$A$11,MIN(5,MATCH(MAX(Reference!$A$6,MIN(Reference!$A$11,D116)),Reference!$A$6:$A$11,1))+1)-INDEX(Reference!$A$6:$A$11,MIN(5,MATCH(MAX(Reference!$A$6,MIN(Reference!$A$11,D116)),Reference!$A$6:$A$11,1))))))))</f>
        <v/>
      </c>
      <c r="P116" s="32" t="str">
        <f>IF(N116="","",VLOOKUP(MAX(N116,0),Reference!$A$17:$B$20,2,TRUE()))</f>
        <v/>
      </c>
      <c r="Q116" s="32" t="str">
        <f t="shared" si="12"/>
        <v/>
      </c>
      <c r="R116" s="31"/>
      <c r="S116" s="31"/>
      <c r="T116" s="31"/>
      <c r="U116" s="32" t="str">
        <f t="shared" si="13"/>
        <v/>
      </c>
      <c r="V116" s="32" t="str">
        <f t="shared" si="14"/>
        <v/>
      </c>
      <c r="W116" s="32" t="str">
        <f>IF(V116="","",VLOOKUP(MAX(V116,0),Reference!$A$17:$B$20,2,TRUE()))</f>
        <v/>
      </c>
      <c r="X116" s="31"/>
      <c r="Y116" s="31"/>
      <c r="Z116" s="31"/>
      <c r="AA116" s="32" t="str">
        <f t="shared" si="15"/>
        <v/>
      </c>
      <c r="AB116" s="32" t="str">
        <f t="shared" si="16"/>
        <v/>
      </c>
      <c r="AC116" s="32" t="str">
        <f>IF(AB116="","",VLOOKUP(MAX(AB116,0),Reference!$A$17:$B$20,2,TRUE()))</f>
        <v/>
      </c>
      <c r="AD116" s="31"/>
      <c r="AE116">
        <f t="shared" si="17"/>
        <v>1</v>
      </c>
      <c r="AF116" s="33" t="str">
        <f>IF(OR(A116="",B116="",AND(C116&lt;&gt;"Bullpen",C116&lt;&gt;"Game")),"",IF((COUNTIFS($B$5:$B$300,B116,$A$5:$A$300,A116-1,$C$5:$C$300,"Bullpen",$AG$5:$AG$300,"&gt;0") + COUNTIFS($B$5:$B$300,B116,$A$5:$A$300,A116-1,$C$5:$C$300,"Game",$AG$5:$AG$300,"&gt;0"))&gt;0,Reference!$B$119,IF((COUNTIFS($B$5:$B$300,B116,$A$5:$A$300,A116-2,$C$5:$C$300,"Bullpen",$AG$5:$AG$300,"&gt;0") + COUNTIFS($B$5:$B$300,B116,$A$5:$A$300,A116-2,$C$5:$C$300,"Game",$AG$5:$AG$300,"&gt;0"))&gt;0,Reference!$B$120,1)))</f>
        <v/>
      </c>
      <c r="AG116" s="30" t="str">
        <f>IF(AND(OR(I116="",O116="",P116=""),OR(R116="",W116=""),OR(X116="",AC116="")),"",IF(OR(I116="",O116="",P116=""),0,I116*O116*P116)+IF(OR(R116="",W116=""),0,R116*IFERROR(INDEX(Reference!$B$61:$B$62,MATCH("Bullpen",Reference!$A$61:$A$62,0)),0)*W116)+IF(OR(X116="",AC116=""),0,X116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116))</f>
        <v/>
      </c>
    </row>
    <row r="117" spans="1:33" x14ac:dyDescent="0.3">
      <c r="A117" s="35"/>
      <c r="B117" s="31"/>
      <c r="C117" s="31"/>
      <c r="D117" s="31"/>
      <c r="E117" s="34"/>
      <c r="F117" s="34"/>
      <c r="G117" s="30" t="str">
        <f t="shared" si="9"/>
        <v/>
      </c>
      <c r="H117" s="31"/>
      <c r="I117" s="32" t="str">
        <f>IF(H117&lt;&gt;"",H117,IF(G117="","",ROUND(G117*IFERROR(INDEX(Reference!$B$44:$B$50,MATCH(C117,Reference!$A$44:$A$50,0)),0),0)))</f>
        <v/>
      </c>
      <c r="J117" s="31"/>
      <c r="K117" s="31"/>
      <c r="L117" s="32" t="str">
        <f t="shared" si="10"/>
        <v/>
      </c>
      <c r="M117" s="32" t="str">
        <f>IFERROR(INDEX(Roster!$D$5:$D$40,MATCH(B117,Roster!$A$5:$A$40,0)),"")</f>
        <v/>
      </c>
      <c r="N117" s="32" t="str">
        <f t="shared" si="11"/>
        <v/>
      </c>
      <c r="O117" s="32" t="str">
        <f>IF(OR(C117="Bullpen",C117="Game"),IFERROR(INDEX(Reference!$B$61:$B$62,MATCH(C117,Reference!$A$61:$A$62,0)),""),IF(D117="","",IF(AE117&gt;1,((IF(1&lt;=AE117,(AE117-1+3)*(INDEX(Reference!$B$6:$B$11,MIN(5,MATCH(MAX(Reference!$A$6,MIN(Reference!$A$11,MIN(D117,90))),Reference!$A$6:$A$11,1)))+(MAX(Reference!$A$6,MIN(Reference!$A$11,MIN(D117,90)))-INDEX(Reference!$A$6:$A$11,MIN(5,MATCH(MAX(Reference!$A$6,MIN(Reference!$A$11,MIN(D117,90))),Reference!$A$6:$A$11,1))))*(INDEX(Reference!$B$6:$B$11,MIN(5,MATCH(MAX(Reference!$A$6,MIN(Reference!$A$11,MIN(D117,90))),Reference!$A$6:$A$11,1))+1)-INDEX(Reference!$B$6:$B$11,MIN(5,MATCH(MAX(Reference!$A$6,MIN(Reference!$A$11,MIN(D117,90))),Reference!$A$6:$A$11,1))))/(INDEX(Reference!$A$6:$A$11,MIN(5,MATCH(MAX(Reference!$A$6,MIN(Reference!$A$11,MIN(D117,90))),Reference!$A$6:$A$11,1))+1)-INDEX(Reference!$A$6:$A$11,MIN(5,MATCH(MAX(Reference!$A$6,MIN(Reference!$A$11,MIN(D117,90))),Reference!$A$6:$A$11,1))))),0)+IF(2&lt;=AE117,(AE117-2+3)*(INDEX(Reference!$B$6:$B$11,MIN(5,MATCH(MAX(Reference!$A$6,MIN(Reference!$A$11,MIN(D117,120))),Reference!$A$6:$A$11,1)))+(MAX(Reference!$A$6,MIN(Reference!$A$11,MIN(D117,120)))-INDEX(Reference!$A$6:$A$11,MIN(5,MATCH(MAX(Reference!$A$6,MIN(Reference!$A$11,MIN(D117,120))),Reference!$A$6:$A$11,1))))*(INDEX(Reference!$B$6:$B$11,MIN(5,MATCH(MAX(Reference!$A$6,MIN(Reference!$A$11,MIN(D117,120))),Reference!$A$6:$A$11,1))+1)-INDEX(Reference!$B$6:$B$11,MIN(5,MATCH(MAX(Reference!$A$6,MIN(Reference!$A$11,MIN(D117,120))),Reference!$A$6:$A$11,1))))/(INDEX(Reference!$A$6:$A$11,MIN(5,MATCH(MAX(Reference!$A$6,MIN(Reference!$A$11,MIN(D117,120))),Reference!$A$6:$A$11,1))+1)-INDEX(Reference!$A$6:$A$11,MIN(5,MATCH(MAX(Reference!$A$6,MIN(Reference!$A$11,MIN(D117,120))),Reference!$A$6:$A$11,1))))),0)+IF(3&lt;=AE117,(AE117-3+3)*(INDEX(Reference!$B$6:$B$11,MIN(5,MATCH(MAX(Reference!$A$6,MIN(Reference!$A$11,MIN(D117,150))),Reference!$A$6:$A$11,1)))+(MAX(Reference!$A$6,MIN(Reference!$A$11,MIN(D117,150)))-INDEX(Reference!$A$6:$A$11,MIN(5,MATCH(MAX(Reference!$A$6,MIN(Reference!$A$11,MIN(D117,150))),Reference!$A$6:$A$11,1))))*(INDEX(Reference!$B$6:$B$11,MIN(5,MATCH(MAX(Reference!$A$6,MIN(Reference!$A$11,MIN(D117,150))),Reference!$A$6:$A$11,1))+1)-INDEX(Reference!$B$6:$B$11,MIN(5,MATCH(MAX(Reference!$A$6,MIN(Reference!$A$11,MIN(D117,150))),Reference!$A$6:$A$11,1))))/(INDEX(Reference!$A$6:$A$11,MIN(5,MATCH(MAX(Reference!$A$6,MIN(Reference!$A$11,MIN(D117,150))),Reference!$A$6:$A$11,1))+1)-INDEX(Reference!$A$6:$A$11,MIN(5,MATCH(MAX(Reference!$A$6,MIN(Reference!$A$11,MIN(D117,150))),Reference!$A$6:$A$11,1))))),0)+IF(4&lt;=AE117,(AE117-4+3)*(INDEX(Reference!$B$6:$B$11,MIN(5,MATCH(MAX(Reference!$A$6,MIN(Reference!$A$11,MIN(D117,180))),Reference!$A$6:$A$11,1)))+(MAX(Reference!$A$6,MIN(Reference!$A$11,MIN(D117,180)))-INDEX(Reference!$A$6:$A$11,MIN(5,MATCH(MAX(Reference!$A$6,MIN(Reference!$A$11,MIN(D117,180))),Reference!$A$6:$A$11,1))))*(INDEX(Reference!$B$6:$B$11,MIN(5,MATCH(MAX(Reference!$A$6,MIN(Reference!$A$11,MIN(D117,180))),Reference!$A$6:$A$11,1))+1)-INDEX(Reference!$B$6:$B$11,MIN(5,MATCH(MAX(Reference!$A$6,MIN(Reference!$A$11,MIN(D117,180))),Reference!$A$6:$A$11,1))))/(INDEX(Reference!$A$6:$A$11,MIN(5,MATCH(MAX(Reference!$A$6,MIN(Reference!$A$11,MIN(D117,180))),Reference!$A$6:$A$11,1))+1)-INDEX(Reference!$A$6:$A$11,MIN(5,MATCH(MAX(Reference!$A$6,MIN(Reference!$A$11,MIN(D117,180))),Reference!$A$6:$A$11,1))))),0)+IF(5&lt;=AE117,(AE117-5+3)*(INDEX(Reference!$B$6:$B$11,MIN(5,MATCH(MAX(Reference!$A$6,MIN(Reference!$A$11,MIN(D117,210))),Reference!$A$6:$A$11,1)))+(MAX(Reference!$A$6,MIN(Reference!$A$11,MIN(D117,210)))-INDEX(Reference!$A$6:$A$11,MIN(5,MATCH(MAX(Reference!$A$6,MIN(Reference!$A$11,MIN(D117,210))),Reference!$A$6:$A$11,1))))*(INDEX(Reference!$B$6:$B$11,MIN(5,MATCH(MAX(Reference!$A$6,MIN(Reference!$A$11,MIN(D117,210))),Reference!$A$6:$A$11,1))+1)-INDEX(Reference!$B$6:$B$11,MIN(5,MATCH(MAX(Reference!$A$6,MIN(Reference!$A$11,MIN(D117,210))),Reference!$A$6:$A$11,1))))/(INDEX(Reference!$A$6:$A$11,MIN(5,MATCH(MAX(Reference!$A$6,MIN(Reference!$A$11,MIN(D117,210))),Reference!$A$6:$A$11,1))+1)-INDEX(Reference!$A$6:$A$11,MIN(5,MATCH(MAX(Reference!$A$6,MIN(Reference!$A$11,MIN(D117,210))),Reference!$A$6:$A$11,1))))),0)+IF(6&lt;=AE117,(AE117-6+3)*(INDEX(Reference!$B$6:$B$11,MIN(5,MATCH(MAX(Reference!$A$6,MIN(Reference!$A$11,MIN(D117,240))),Reference!$A$6:$A$11,1)))+(MAX(Reference!$A$6,MIN(Reference!$A$11,MIN(D117,240)))-INDEX(Reference!$A$6:$A$11,MIN(5,MATCH(MAX(Reference!$A$6,MIN(Reference!$A$11,MIN(D117,240))),Reference!$A$6:$A$11,1))))*(INDEX(Reference!$B$6:$B$11,MIN(5,MATCH(MAX(Reference!$A$6,MIN(Reference!$A$11,MIN(D117,240))),Reference!$A$6:$A$11,1))+1)-INDEX(Reference!$B$6:$B$11,MIN(5,MATCH(MAX(Reference!$A$6,MIN(Reference!$A$11,MIN(D117,240))),Reference!$A$6:$A$11,1))))/(INDEX(Reference!$A$6:$A$11,MIN(5,MATCH(MAX(Reference!$A$6,MIN(Reference!$A$11,MIN(D117,240))),Reference!$A$6:$A$11,1))+1)-INDEX(Reference!$A$6:$A$11,MIN(5,MATCH(MAX(Reference!$A$6,MIN(Reference!$A$11,MIN(D117,240))),Reference!$A$6:$A$11,1))))),0)+IF(7&lt;=AE117,(AE117-7+3)*(INDEX(Reference!$B$6:$B$11,MIN(5,MATCH(MAX(Reference!$A$6,MIN(Reference!$A$11,MIN(D117,270))),Reference!$A$6:$A$11,1)))+(MAX(Reference!$A$6,MIN(Reference!$A$11,MIN(D117,270)))-INDEX(Reference!$A$6:$A$11,MIN(5,MATCH(MAX(Reference!$A$6,MIN(Reference!$A$11,MIN(D117,270))),Reference!$A$6:$A$11,1))))*(INDEX(Reference!$B$6:$B$11,MIN(5,MATCH(MAX(Reference!$A$6,MIN(Reference!$A$11,MIN(D117,270))),Reference!$A$6:$A$11,1))+1)-INDEX(Reference!$B$6:$B$11,MIN(5,MATCH(MAX(Reference!$A$6,MIN(Reference!$A$11,MIN(D117,270))),Reference!$A$6:$A$11,1))))/(INDEX(Reference!$A$6:$A$11,MIN(5,MATCH(MAX(Reference!$A$6,MIN(Reference!$A$11,MIN(D117,270))),Reference!$A$6:$A$11,1))+1)-INDEX(Reference!$A$6:$A$11,MIN(5,MATCH(MAX(Reference!$A$6,MIN(Reference!$A$11,MIN(D117,270))),Reference!$A$6:$A$11,1))))),0)+IF(8&lt;=AE117,(AE117-8+3)*(INDEX(Reference!$B$6:$B$11,MIN(5,MATCH(MAX(Reference!$A$6,MIN(Reference!$A$11,MIN(D117,300))),Reference!$A$6:$A$11,1)))+(MAX(Reference!$A$6,MIN(Reference!$A$11,MIN(D117,300)))-INDEX(Reference!$A$6:$A$11,MIN(5,MATCH(MAX(Reference!$A$6,MIN(Reference!$A$11,MIN(D117,300))),Reference!$A$6:$A$11,1))))*(INDEX(Reference!$B$6:$B$11,MIN(5,MATCH(MAX(Reference!$A$6,MIN(Reference!$A$11,MIN(D117,300))),Reference!$A$6:$A$11,1))+1)-INDEX(Reference!$B$6:$B$11,MIN(5,MATCH(MAX(Reference!$A$6,MIN(Reference!$A$11,MIN(D117,300))),Reference!$A$6:$A$11,1))))/(INDEX(Reference!$A$6:$A$11,MIN(5,MATCH(MAX(Reference!$A$6,MIN(Reference!$A$11,MIN(D117,300))),Reference!$A$6:$A$11,1))+1)-INDEX(Reference!$A$6:$A$11,MIN(5,MATCH(MAX(Reference!$A$6,MIN(Reference!$A$11,MIN(D117,300))),Reference!$A$6:$A$11,1))))),0))/(AE117*(AE117+5)/2)),(INDEX(Reference!$B$6:$B$11,MIN(5,MATCH(MAX(Reference!$A$6,MIN(Reference!$A$11,D117)),Reference!$A$6:$A$11,1)))+(MAX(Reference!$A$6,MIN(Reference!$A$11,D117))-INDEX(Reference!$A$6:$A$11,MIN(5,MATCH(MAX(Reference!$A$6,MIN(Reference!$A$11,D117)),Reference!$A$6:$A$11,1))))*(INDEX(Reference!$B$6:$B$11,MIN(5,MATCH(MAX(Reference!$A$6,MIN(Reference!$A$11,D117)),Reference!$A$6:$A$11,1))+1)-INDEX(Reference!$B$6:$B$11,MIN(5,MATCH(MAX(Reference!$A$6,MIN(Reference!$A$11,D117)),Reference!$A$6:$A$11,1))))/(INDEX(Reference!$A$6:$A$11,MIN(5,MATCH(MAX(Reference!$A$6,MIN(Reference!$A$11,D117)),Reference!$A$6:$A$11,1))+1)-INDEX(Reference!$A$6:$A$11,MIN(5,MATCH(MAX(Reference!$A$6,MIN(Reference!$A$11,D117)),Reference!$A$6:$A$11,1))))))))</f>
        <v/>
      </c>
      <c r="P117" s="32" t="str">
        <f>IF(N117="","",VLOOKUP(MAX(N117,0),Reference!$A$17:$B$20,2,TRUE()))</f>
        <v/>
      </c>
      <c r="Q117" s="32" t="str">
        <f t="shared" si="12"/>
        <v/>
      </c>
      <c r="R117" s="31"/>
      <c r="S117" s="31"/>
      <c r="T117" s="31"/>
      <c r="U117" s="32" t="str">
        <f t="shared" si="13"/>
        <v/>
      </c>
      <c r="V117" s="32" t="str">
        <f t="shared" si="14"/>
        <v/>
      </c>
      <c r="W117" s="32" t="str">
        <f>IF(V117="","",VLOOKUP(MAX(V117,0),Reference!$A$17:$B$20,2,TRUE()))</f>
        <v/>
      </c>
      <c r="X117" s="31"/>
      <c r="Y117" s="31"/>
      <c r="Z117" s="31"/>
      <c r="AA117" s="32" t="str">
        <f t="shared" si="15"/>
        <v/>
      </c>
      <c r="AB117" s="32" t="str">
        <f t="shared" si="16"/>
        <v/>
      </c>
      <c r="AC117" s="32" t="str">
        <f>IF(AB117="","",VLOOKUP(MAX(AB117,0),Reference!$A$17:$B$20,2,TRUE()))</f>
        <v/>
      </c>
      <c r="AD117" s="31"/>
      <c r="AE117">
        <f t="shared" si="17"/>
        <v>1</v>
      </c>
      <c r="AF117" s="33" t="str">
        <f>IF(OR(A117="",B117="",AND(C117&lt;&gt;"Bullpen",C117&lt;&gt;"Game")),"",IF((COUNTIFS($B$5:$B$300,B117,$A$5:$A$300,A117-1,$C$5:$C$300,"Bullpen",$AG$5:$AG$300,"&gt;0") + COUNTIFS($B$5:$B$300,B117,$A$5:$A$300,A117-1,$C$5:$C$300,"Game",$AG$5:$AG$300,"&gt;0"))&gt;0,Reference!$B$119,IF((COUNTIFS($B$5:$B$300,B117,$A$5:$A$300,A117-2,$C$5:$C$300,"Bullpen",$AG$5:$AG$300,"&gt;0") + COUNTIFS($B$5:$B$300,B117,$A$5:$A$300,A117-2,$C$5:$C$300,"Game",$AG$5:$AG$300,"&gt;0"))&gt;0,Reference!$B$120,1)))</f>
        <v/>
      </c>
      <c r="AG117" s="30" t="str">
        <f>IF(AND(OR(I117="",O117="",P117=""),OR(R117="",W117=""),OR(X117="",AC117="")),"",IF(OR(I117="",O117="",P117=""),0,I117*O117*P117)+IF(OR(R117="",W117=""),0,R117*IFERROR(INDEX(Reference!$B$61:$B$62,MATCH("Bullpen",Reference!$A$61:$A$62,0)),0)*W117)+IF(OR(X117="",AC117=""),0,X117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117))</f>
        <v/>
      </c>
    </row>
    <row r="118" spans="1:33" x14ac:dyDescent="0.3">
      <c r="A118" s="35"/>
      <c r="B118" s="31"/>
      <c r="C118" s="31"/>
      <c r="D118" s="31"/>
      <c r="E118" s="34"/>
      <c r="F118" s="34"/>
      <c r="G118" s="30" t="str">
        <f t="shared" si="9"/>
        <v/>
      </c>
      <c r="H118" s="31"/>
      <c r="I118" s="32" t="str">
        <f>IF(H118&lt;&gt;"",H118,IF(G118="","",ROUND(G118*IFERROR(INDEX(Reference!$B$44:$B$50,MATCH(C118,Reference!$A$44:$A$50,0)),0),0)))</f>
        <v/>
      </c>
      <c r="J118" s="31"/>
      <c r="K118" s="31"/>
      <c r="L118" s="32" t="str">
        <f t="shared" si="10"/>
        <v/>
      </c>
      <c r="M118" s="32" t="str">
        <f>IFERROR(INDEX(Roster!$D$5:$D$40,MATCH(B118,Roster!$A$5:$A$40,0)),"")</f>
        <v/>
      </c>
      <c r="N118" s="32" t="str">
        <f t="shared" si="11"/>
        <v/>
      </c>
      <c r="O118" s="32" t="str">
        <f>IF(OR(C118="Bullpen",C118="Game"),IFERROR(INDEX(Reference!$B$61:$B$62,MATCH(C118,Reference!$A$61:$A$62,0)),""),IF(D118="","",IF(AE118&gt;1,((IF(1&lt;=AE118,(AE118-1+3)*(INDEX(Reference!$B$6:$B$11,MIN(5,MATCH(MAX(Reference!$A$6,MIN(Reference!$A$11,MIN(D118,90))),Reference!$A$6:$A$11,1)))+(MAX(Reference!$A$6,MIN(Reference!$A$11,MIN(D118,90)))-INDEX(Reference!$A$6:$A$11,MIN(5,MATCH(MAX(Reference!$A$6,MIN(Reference!$A$11,MIN(D118,90))),Reference!$A$6:$A$11,1))))*(INDEX(Reference!$B$6:$B$11,MIN(5,MATCH(MAX(Reference!$A$6,MIN(Reference!$A$11,MIN(D118,90))),Reference!$A$6:$A$11,1))+1)-INDEX(Reference!$B$6:$B$11,MIN(5,MATCH(MAX(Reference!$A$6,MIN(Reference!$A$11,MIN(D118,90))),Reference!$A$6:$A$11,1))))/(INDEX(Reference!$A$6:$A$11,MIN(5,MATCH(MAX(Reference!$A$6,MIN(Reference!$A$11,MIN(D118,90))),Reference!$A$6:$A$11,1))+1)-INDEX(Reference!$A$6:$A$11,MIN(5,MATCH(MAX(Reference!$A$6,MIN(Reference!$A$11,MIN(D118,90))),Reference!$A$6:$A$11,1))))),0)+IF(2&lt;=AE118,(AE118-2+3)*(INDEX(Reference!$B$6:$B$11,MIN(5,MATCH(MAX(Reference!$A$6,MIN(Reference!$A$11,MIN(D118,120))),Reference!$A$6:$A$11,1)))+(MAX(Reference!$A$6,MIN(Reference!$A$11,MIN(D118,120)))-INDEX(Reference!$A$6:$A$11,MIN(5,MATCH(MAX(Reference!$A$6,MIN(Reference!$A$11,MIN(D118,120))),Reference!$A$6:$A$11,1))))*(INDEX(Reference!$B$6:$B$11,MIN(5,MATCH(MAX(Reference!$A$6,MIN(Reference!$A$11,MIN(D118,120))),Reference!$A$6:$A$11,1))+1)-INDEX(Reference!$B$6:$B$11,MIN(5,MATCH(MAX(Reference!$A$6,MIN(Reference!$A$11,MIN(D118,120))),Reference!$A$6:$A$11,1))))/(INDEX(Reference!$A$6:$A$11,MIN(5,MATCH(MAX(Reference!$A$6,MIN(Reference!$A$11,MIN(D118,120))),Reference!$A$6:$A$11,1))+1)-INDEX(Reference!$A$6:$A$11,MIN(5,MATCH(MAX(Reference!$A$6,MIN(Reference!$A$11,MIN(D118,120))),Reference!$A$6:$A$11,1))))),0)+IF(3&lt;=AE118,(AE118-3+3)*(INDEX(Reference!$B$6:$B$11,MIN(5,MATCH(MAX(Reference!$A$6,MIN(Reference!$A$11,MIN(D118,150))),Reference!$A$6:$A$11,1)))+(MAX(Reference!$A$6,MIN(Reference!$A$11,MIN(D118,150)))-INDEX(Reference!$A$6:$A$11,MIN(5,MATCH(MAX(Reference!$A$6,MIN(Reference!$A$11,MIN(D118,150))),Reference!$A$6:$A$11,1))))*(INDEX(Reference!$B$6:$B$11,MIN(5,MATCH(MAX(Reference!$A$6,MIN(Reference!$A$11,MIN(D118,150))),Reference!$A$6:$A$11,1))+1)-INDEX(Reference!$B$6:$B$11,MIN(5,MATCH(MAX(Reference!$A$6,MIN(Reference!$A$11,MIN(D118,150))),Reference!$A$6:$A$11,1))))/(INDEX(Reference!$A$6:$A$11,MIN(5,MATCH(MAX(Reference!$A$6,MIN(Reference!$A$11,MIN(D118,150))),Reference!$A$6:$A$11,1))+1)-INDEX(Reference!$A$6:$A$11,MIN(5,MATCH(MAX(Reference!$A$6,MIN(Reference!$A$11,MIN(D118,150))),Reference!$A$6:$A$11,1))))),0)+IF(4&lt;=AE118,(AE118-4+3)*(INDEX(Reference!$B$6:$B$11,MIN(5,MATCH(MAX(Reference!$A$6,MIN(Reference!$A$11,MIN(D118,180))),Reference!$A$6:$A$11,1)))+(MAX(Reference!$A$6,MIN(Reference!$A$11,MIN(D118,180)))-INDEX(Reference!$A$6:$A$11,MIN(5,MATCH(MAX(Reference!$A$6,MIN(Reference!$A$11,MIN(D118,180))),Reference!$A$6:$A$11,1))))*(INDEX(Reference!$B$6:$B$11,MIN(5,MATCH(MAX(Reference!$A$6,MIN(Reference!$A$11,MIN(D118,180))),Reference!$A$6:$A$11,1))+1)-INDEX(Reference!$B$6:$B$11,MIN(5,MATCH(MAX(Reference!$A$6,MIN(Reference!$A$11,MIN(D118,180))),Reference!$A$6:$A$11,1))))/(INDEX(Reference!$A$6:$A$11,MIN(5,MATCH(MAX(Reference!$A$6,MIN(Reference!$A$11,MIN(D118,180))),Reference!$A$6:$A$11,1))+1)-INDEX(Reference!$A$6:$A$11,MIN(5,MATCH(MAX(Reference!$A$6,MIN(Reference!$A$11,MIN(D118,180))),Reference!$A$6:$A$11,1))))),0)+IF(5&lt;=AE118,(AE118-5+3)*(INDEX(Reference!$B$6:$B$11,MIN(5,MATCH(MAX(Reference!$A$6,MIN(Reference!$A$11,MIN(D118,210))),Reference!$A$6:$A$11,1)))+(MAX(Reference!$A$6,MIN(Reference!$A$11,MIN(D118,210)))-INDEX(Reference!$A$6:$A$11,MIN(5,MATCH(MAX(Reference!$A$6,MIN(Reference!$A$11,MIN(D118,210))),Reference!$A$6:$A$11,1))))*(INDEX(Reference!$B$6:$B$11,MIN(5,MATCH(MAX(Reference!$A$6,MIN(Reference!$A$11,MIN(D118,210))),Reference!$A$6:$A$11,1))+1)-INDEX(Reference!$B$6:$B$11,MIN(5,MATCH(MAX(Reference!$A$6,MIN(Reference!$A$11,MIN(D118,210))),Reference!$A$6:$A$11,1))))/(INDEX(Reference!$A$6:$A$11,MIN(5,MATCH(MAX(Reference!$A$6,MIN(Reference!$A$11,MIN(D118,210))),Reference!$A$6:$A$11,1))+1)-INDEX(Reference!$A$6:$A$11,MIN(5,MATCH(MAX(Reference!$A$6,MIN(Reference!$A$11,MIN(D118,210))),Reference!$A$6:$A$11,1))))),0)+IF(6&lt;=AE118,(AE118-6+3)*(INDEX(Reference!$B$6:$B$11,MIN(5,MATCH(MAX(Reference!$A$6,MIN(Reference!$A$11,MIN(D118,240))),Reference!$A$6:$A$11,1)))+(MAX(Reference!$A$6,MIN(Reference!$A$11,MIN(D118,240)))-INDEX(Reference!$A$6:$A$11,MIN(5,MATCH(MAX(Reference!$A$6,MIN(Reference!$A$11,MIN(D118,240))),Reference!$A$6:$A$11,1))))*(INDEX(Reference!$B$6:$B$11,MIN(5,MATCH(MAX(Reference!$A$6,MIN(Reference!$A$11,MIN(D118,240))),Reference!$A$6:$A$11,1))+1)-INDEX(Reference!$B$6:$B$11,MIN(5,MATCH(MAX(Reference!$A$6,MIN(Reference!$A$11,MIN(D118,240))),Reference!$A$6:$A$11,1))))/(INDEX(Reference!$A$6:$A$11,MIN(5,MATCH(MAX(Reference!$A$6,MIN(Reference!$A$11,MIN(D118,240))),Reference!$A$6:$A$11,1))+1)-INDEX(Reference!$A$6:$A$11,MIN(5,MATCH(MAX(Reference!$A$6,MIN(Reference!$A$11,MIN(D118,240))),Reference!$A$6:$A$11,1))))),0)+IF(7&lt;=AE118,(AE118-7+3)*(INDEX(Reference!$B$6:$B$11,MIN(5,MATCH(MAX(Reference!$A$6,MIN(Reference!$A$11,MIN(D118,270))),Reference!$A$6:$A$11,1)))+(MAX(Reference!$A$6,MIN(Reference!$A$11,MIN(D118,270)))-INDEX(Reference!$A$6:$A$11,MIN(5,MATCH(MAX(Reference!$A$6,MIN(Reference!$A$11,MIN(D118,270))),Reference!$A$6:$A$11,1))))*(INDEX(Reference!$B$6:$B$11,MIN(5,MATCH(MAX(Reference!$A$6,MIN(Reference!$A$11,MIN(D118,270))),Reference!$A$6:$A$11,1))+1)-INDEX(Reference!$B$6:$B$11,MIN(5,MATCH(MAX(Reference!$A$6,MIN(Reference!$A$11,MIN(D118,270))),Reference!$A$6:$A$11,1))))/(INDEX(Reference!$A$6:$A$11,MIN(5,MATCH(MAX(Reference!$A$6,MIN(Reference!$A$11,MIN(D118,270))),Reference!$A$6:$A$11,1))+1)-INDEX(Reference!$A$6:$A$11,MIN(5,MATCH(MAX(Reference!$A$6,MIN(Reference!$A$11,MIN(D118,270))),Reference!$A$6:$A$11,1))))),0)+IF(8&lt;=AE118,(AE118-8+3)*(INDEX(Reference!$B$6:$B$11,MIN(5,MATCH(MAX(Reference!$A$6,MIN(Reference!$A$11,MIN(D118,300))),Reference!$A$6:$A$11,1)))+(MAX(Reference!$A$6,MIN(Reference!$A$11,MIN(D118,300)))-INDEX(Reference!$A$6:$A$11,MIN(5,MATCH(MAX(Reference!$A$6,MIN(Reference!$A$11,MIN(D118,300))),Reference!$A$6:$A$11,1))))*(INDEX(Reference!$B$6:$B$11,MIN(5,MATCH(MAX(Reference!$A$6,MIN(Reference!$A$11,MIN(D118,300))),Reference!$A$6:$A$11,1))+1)-INDEX(Reference!$B$6:$B$11,MIN(5,MATCH(MAX(Reference!$A$6,MIN(Reference!$A$11,MIN(D118,300))),Reference!$A$6:$A$11,1))))/(INDEX(Reference!$A$6:$A$11,MIN(5,MATCH(MAX(Reference!$A$6,MIN(Reference!$A$11,MIN(D118,300))),Reference!$A$6:$A$11,1))+1)-INDEX(Reference!$A$6:$A$11,MIN(5,MATCH(MAX(Reference!$A$6,MIN(Reference!$A$11,MIN(D118,300))),Reference!$A$6:$A$11,1))))),0))/(AE118*(AE118+5)/2)),(INDEX(Reference!$B$6:$B$11,MIN(5,MATCH(MAX(Reference!$A$6,MIN(Reference!$A$11,D118)),Reference!$A$6:$A$11,1)))+(MAX(Reference!$A$6,MIN(Reference!$A$11,D118))-INDEX(Reference!$A$6:$A$11,MIN(5,MATCH(MAX(Reference!$A$6,MIN(Reference!$A$11,D118)),Reference!$A$6:$A$11,1))))*(INDEX(Reference!$B$6:$B$11,MIN(5,MATCH(MAX(Reference!$A$6,MIN(Reference!$A$11,D118)),Reference!$A$6:$A$11,1))+1)-INDEX(Reference!$B$6:$B$11,MIN(5,MATCH(MAX(Reference!$A$6,MIN(Reference!$A$11,D118)),Reference!$A$6:$A$11,1))))/(INDEX(Reference!$A$6:$A$11,MIN(5,MATCH(MAX(Reference!$A$6,MIN(Reference!$A$11,D118)),Reference!$A$6:$A$11,1))+1)-INDEX(Reference!$A$6:$A$11,MIN(5,MATCH(MAX(Reference!$A$6,MIN(Reference!$A$11,D118)),Reference!$A$6:$A$11,1))))))))</f>
        <v/>
      </c>
      <c r="P118" s="32" t="str">
        <f>IF(N118="","",VLOOKUP(MAX(N118,0),Reference!$A$17:$B$20,2,TRUE()))</f>
        <v/>
      </c>
      <c r="Q118" s="32" t="str">
        <f t="shared" si="12"/>
        <v/>
      </c>
      <c r="R118" s="31"/>
      <c r="S118" s="31"/>
      <c r="T118" s="31"/>
      <c r="U118" s="32" t="str">
        <f t="shared" si="13"/>
        <v/>
      </c>
      <c r="V118" s="32" t="str">
        <f t="shared" si="14"/>
        <v/>
      </c>
      <c r="W118" s="32" t="str">
        <f>IF(V118="","",VLOOKUP(MAX(V118,0),Reference!$A$17:$B$20,2,TRUE()))</f>
        <v/>
      </c>
      <c r="X118" s="31"/>
      <c r="Y118" s="31"/>
      <c r="Z118" s="31"/>
      <c r="AA118" s="32" t="str">
        <f t="shared" si="15"/>
        <v/>
      </c>
      <c r="AB118" s="32" t="str">
        <f t="shared" si="16"/>
        <v/>
      </c>
      <c r="AC118" s="32" t="str">
        <f>IF(AB118="","",VLOOKUP(MAX(AB118,0),Reference!$A$17:$B$20,2,TRUE()))</f>
        <v/>
      </c>
      <c r="AD118" s="31"/>
      <c r="AE118">
        <f t="shared" si="17"/>
        <v>1</v>
      </c>
      <c r="AF118" s="33" t="str">
        <f>IF(OR(A118="",B118="",AND(C118&lt;&gt;"Bullpen",C118&lt;&gt;"Game")),"",IF((COUNTIFS($B$5:$B$300,B118,$A$5:$A$300,A118-1,$C$5:$C$300,"Bullpen",$AG$5:$AG$300,"&gt;0") + COUNTIFS($B$5:$B$300,B118,$A$5:$A$300,A118-1,$C$5:$C$300,"Game",$AG$5:$AG$300,"&gt;0"))&gt;0,Reference!$B$119,IF((COUNTIFS($B$5:$B$300,B118,$A$5:$A$300,A118-2,$C$5:$C$300,"Bullpen",$AG$5:$AG$300,"&gt;0") + COUNTIFS($B$5:$B$300,B118,$A$5:$A$300,A118-2,$C$5:$C$300,"Game",$AG$5:$AG$300,"&gt;0"))&gt;0,Reference!$B$120,1)))</f>
        <v/>
      </c>
      <c r="AG118" s="30" t="str">
        <f>IF(AND(OR(I118="",O118="",P118=""),OR(R118="",W118=""),OR(X118="",AC118="")),"",IF(OR(I118="",O118="",P118=""),0,I118*O118*P118)+IF(OR(R118="",W118=""),0,R118*IFERROR(INDEX(Reference!$B$61:$B$62,MATCH("Bullpen",Reference!$A$61:$A$62,0)),0)*W118)+IF(OR(X118="",AC118=""),0,X118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118))</f>
        <v/>
      </c>
    </row>
    <row r="119" spans="1:33" x14ac:dyDescent="0.3">
      <c r="A119" s="35"/>
      <c r="B119" s="31"/>
      <c r="C119" s="31"/>
      <c r="D119" s="31"/>
      <c r="E119" s="34"/>
      <c r="F119" s="34"/>
      <c r="G119" s="30" t="str">
        <f t="shared" si="9"/>
        <v/>
      </c>
      <c r="H119" s="31"/>
      <c r="I119" s="32" t="str">
        <f>IF(H119&lt;&gt;"",H119,IF(G119="","",ROUND(G119*IFERROR(INDEX(Reference!$B$44:$B$50,MATCH(C119,Reference!$A$44:$A$50,0)),0),0)))</f>
        <v/>
      </c>
      <c r="J119" s="31"/>
      <c r="K119" s="31"/>
      <c r="L119" s="32" t="str">
        <f t="shared" si="10"/>
        <v/>
      </c>
      <c r="M119" s="32" t="str">
        <f>IFERROR(INDEX(Roster!$D$5:$D$40,MATCH(B119,Roster!$A$5:$A$40,0)),"")</f>
        <v/>
      </c>
      <c r="N119" s="32" t="str">
        <f t="shared" si="11"/>
        <v/>
      </c>
      <c r="O119" s="32" t="str">
        <f>IF(OR(C119="Bullpen",C119="Game"),IFERROR(INDEX(Reference!$B$61:$B$62,MATCH(C119,Reference!$A$61:$A$62,0)),""),IF(D119="","",IF(AE119&gt;1,((IF(1&lt;=AE119,(AE119-1+3)*(INDEX(Reference!$B$6:$B$11,MIN(5,MATCH(MAX(Reference!$A$6,MIN(Reference!$A$11,MIN(D119,90))),Reference!$A$6:$A$11,1)))+(MAX(Reference!$A$6,MIN(Reference!$A$11,MIN(D119,90)))-INDEX(Reference!$A$6:$A$11,MIN(5,MATCH(MAX(Reference!$A$6,MIN(Reference!$A$11,MIN(D119,90))),Reference!$A$6:$A$11,1))))*(INDEX(Reference!$B$6:$B$11,MIN(5,MATCH(MAX(Reference!$A$6,MIN(Reference!$A$11,MIN(D119,90))),Reference!$A$6:$A$11,1))+1)-INDEX(Reference!$B$6:$B$11,MIN(5,MATCH(MAX(Reference!$A$6,MIN(Reference!$A$11,MIN(D119,90))),Reference!$A$6:$A$11,1))))/(INDEX(Reference!$A$6:$A$11,MIN(5,MATCH(MAX(Reference!$A$6,MIN(Reference!$A$11,MIN(D119,90))),Reference!$A$6:$A$11,1))+1)-INDEX(Reference!$A$6:$A$11,MIN(5,MATCH(MAX(Reference!$A$6,MIN(Reference!$A$11,MIN(D119,90))),Reference!$A$6:$A$11,1))))),0)+IF(2&lt;=AE119,(AE119-2+3)*(INDEX(Reference!$B$6:$B$11,MIN(5,MATCH(MAX(Reference!$A$6,MIN(Reference!$A$11,MIN(D119,120))),Reference!$A$6:$A$11,1)))+(MAX(Reference!$A$6,MIN(Reference!$A$11,MIN(D119,120)))-INDEX(Reference!$A$6:$A$11,MIN(5,MATCH(MAX(Reference!$A$6,MIN(Reference!$A$11,MIN(D119,120))),Reference!$A$6:$A$11,1))))*(INDEX(Reference!$B$6:$B$11,MIN(5,MATCH(MAX(Reference!$A$6,MIN(Reference!$A$11,MIN(D119,120))),Reference!$A$6:$A$11,1))+1)-INDEX(Reference!$B$6:$B$11,MIN(5,MATCH(MAX(Reference!$A$6,MIN(Reference!$A$11,MIN(D119,120))),Reference!$A$6:$A$11,1))))/(INDEX(Reference!$A$6:$A$11,MIN(5,MATCH(MAX(Reference!$A$6,MIN(Reference!$A$11,MIN(D119,120))),Reference!$A$6:$A$11,1))+1)-INDEX(Reference!$A$6:$A$11,MIN(5,MATCH(MAX(Reference!$A$6,MIN(Reference!$A$11,MIN(D119,120))),Reference!$A$6:$A$11,1))))),0)+IF(3&lt;=AE119,(AE119-3+3)*(INDEX(Reference!$B$6:$B$11,MIN(5,MATCH(MAX(Reference!$A$6,MIN(Reference!$A$11,MIN(D119,150))),Reference!$A$6:$A$11,1)))+(MAX(Reference!$A$6,MIN(Reference!$A$11,MIN(D119,150)))-INDEX(Reference!$A$6:$A$11,MIN(5,MATCH(MAX(Reference!$A$6,MIN(Reference!$A$11,MIN(D119,150))),Reference!$A$6:$A$11,1))))*(INDEX(Reference!$B$6:$B$11,MIN(5,MATCH(MAX(Reference!$A$6,MIN(Reference!$A$11,MIN(D119,150))),Reference!$A$6:$A$11,1))+1)-INDEX(Reference!$B$6:$B$11,MIN(5,MATCH(MAX(Reference!$A$6,MIN(Reference!$A$11,MIN(D119,150))),Reference!$A$6:$A$11,1))))/(INDEX(Reference!$A$6:$A$11,MIN(5,MATCH(MAX(Reference!$A$6,MIN(Reference!$A$11,MIN(D119,150))),Reference!$A$6:$A$11,1))+1)-INDEX(Reference!$A$6:$A$11,MIN(5,MATCH(MAX(Reference!$A$6,MIN(Reference!$A$11,MIN(D119,150))),Reference!$A$6:$A$11,1))))),0)+IF(4&lt;=AE119,(AE119-4+3)*(INDEX(Reference!$B$6:$B$11,MIN(5,MATCH(MAX(Reference!$A$6,MIN(Reference!$A$11,MIN(D119,180))),Reference!$A$6:$A$11,1)))+(MAX(Reference!$A$6,MIN(Reference!$A$11,MIN(D119,180)))-INDEX(Reference!$A$6:$A$11,MIN(5,MATCH(MAX(Reference!$A$6,MIN(Reference!$A$11,MIN(D119,180))),Reference!$A$6:$A$11,1))))*(INDEX(Reference!$B$6:$B$11,MIN(5,MATCH(MAX(Reference!$A$6,MIN(Reference!$A$11,MIN(D119,180))),Reference!$A$6:$A$11,1))+1)-INDEX(Reference!$B$6:$B$11,MIN(5,MATCH(MAX(Reference!$A$6,MIN(Reference!$A$11,MIN(D119,180))),Reference!$A$6:$A$11,1))))/(INDEX(Reference!$A$6:$A$11,MIN(5,MATCH(MAX(Reference!$A$6,MIN(Reference!$A$11,MIN(D119,180))),Reference!$A$6:$A$11,1))+1)-INDEX(Reference!$A$6:$A$11,MIN(5,MATCH(MAX(Reference!$A$6,MIN(Reference!$A$11,MIN(D119,180))),Reference!$A$6:$A$11,1))))),0)+IF(5&lt;=AE119,(AE119-5+3)*(INDEX(Reference!$B$6:$B$11,MIN(5,MATCH(MAX(Reference!$A$6,MIN(Reference!$A$11,MIN(D119,210))),Reference!$A$6:$A$11,1)))+(MAX(Reference!$A$6,MIN(Reference!$A$11,MIN(D119,210)))-INDEX(Reference!$A$6:$A$11,MIN(5,MATCH(MAX(Reference!$A$6,MIN(Reference!$A$11,MIN(D119,210))),Reference!$A$6:$A$11,1))))*(INDEX(Reference!$B$6:$B$11,MIN(5,MATCH(MAX(Reference!$A$6,MIN(Reference!$A$11,MIN(D119,210))),Reference!$A$6:$A$11,1))+1)-INDEX(Reference!$B$6:$B$11,MIN(5,MATCH(MAX(Reference!$A$6,MIN(Reference!$A$11,MIN(D119,210))),Reference!$A$6:$A$11,1))))/(INDEX(Reference!$A$6:$A$11,MIN(5,MATCH(MAX(Reference!$A$6,MIN(Reference!$A$11,MIN(D119,210))),Reference!$A$6:$A$11,1))+1)-INDEX(Reference!$A$6:$A$11,MIN(5,MATCH(MAX(Reference!$A$6,MIN(Reference!$A$11,MIN(D119,210))),Reference!$A$6:$A$11,1))))),0)+IF(6&lt;=AE119,(AE119-6+3)*(INDEX(Reference!$B$6:$B$11,MIN(5,MATCH(MAX(Reference!$A$6,MIN(Reference!$A$11,MIN(D119,240))),Reference!$A$6:$A$11,1)))+(MAX(Reference!$A$6,MIN(Reference!$A$11,MIN(D119,240)))-INDEX(Reference!$A$6:$A$11,MIN(5,MATCH(MAX(Reference!$A$6,MIN(Reference!$A$11,MIN(D119,240))),Reference!$A$6:$A$11,1))))*(INDEX(Reference!$B$6:$B$11,MIN(5,MATCH(MAX(Reference!$A$6,MIN(Reference!$A$11,MIN(D119,240))),Reference!$A$6:$A$11,1))+1)-INDEX(Reference!$B$6:$B$11,MIN(5,MATCH(MAX(Reference!$A$6,MIN(Reference!$A$11,MIN(D119,240))),Reference!$A$6:$A$11,1))))/(INDEX(Reference!$A$6:$A$11,MIN(5,MATCH(MAX(Reference!$A$6,MIN(Reference!$A$11,MIN(D119,240))),Reference!$A$6:$A$11,1))+1)-INDEX(Reference!$A$6:$A$11,MIN(5,MATCH(MAX(Reference!$A$6,MIN(Reference!$A$11,MIN(D119,240))),Reference!$A$6:$A$11,1))))),0)+IF(7&lt;=AE119,(AE119-7+3)*(INDEX(Reference!$B$6:$B$11,MIN(5,MATCH(MAX(Reference!$A$6,MIN(Reference!$A$11,MIN(D119,270))),Reference!$A$6:$A$11,1)))+(MAX(Reference!$A$6,MIN(Reference!$A$11,MIN(D119,270)))-INDEX(Reference!$A$6:$A$11,MIN(5,MATCH(MAX(Reference!$A$6,MIN(Reference!$A$11,MIN(D119,270))),Reference!$A$6:$A$11,1))))*(INDEX(Reference!$B$6:$B$11,MIN(5,MATCH(MAX(Reference!$A$6,MIN(Reference!$A$11,MIN(D119,270))),Reference!$A$6:$A$11,1))+1)-INDEX(Reference!$B$6:$B$11,MIN(5,MATCH(MAX(Reference!$A$6,MIN(Reference!$A$11,MIN(D119,270))),Reference!$A$6:$A$11,1))))/(INDEX(Reference!$A$6:$A$11,MIN(5,MATCH(MAX(Reference!$A$6,MIN(Reference!$A$11,MIN(D119,270))),Reference!$A$6:$A$11,1))+1)-INDEX(Reference!$A$6:$A$11,MIN(5,MATCH(MAX(Reference!$A$6,MIN(Reference!$A$11,MIN(D119,270))),Reference!$A$6:$A$11,1))))),0)+IF(8&lt;=AE119,(AE119-8+3)*(INDEX(Reference!$B$6:$B$11,MIN(5,MATCH(MAX(Reference!$A$6,MIN(Reference!$A$11,MIN(D119,300))),Reference!$A$6:$A$11,1)))+(MAX(Reference!$A$6,MIN(Reference!$A$11,MIN(D119,300)))-INDEX(Reference!$A$6:$A$11,MIN(5,MATCH(MAX(Reference!$A$6,MIN(Reference!$A$11,MIN(D119,300))),Reference!$A$6:$A$11,1))))*(INDEX(Reference!$B$6:$B$11,MIN(5,MATCH(MAX(Reference!$A$6,MIN(Reference!$A$11,MIN(D119,300))),Reference!$A$6:$A$11,1))+1)-INDEX(Reference!$B$6:$B$11,MIN(5,MATCH(MAX(Reference!$A$6,MIN(Reference!$A$11,MIN(D119,300))),Reference!$A$6:$A$11,1))))/(INDEX(Reference!$A$6:$A$11,MIN(5,MATCH(MAX(Reference!$A$6,MIN(Reference!$A$11,MIN(D119,300))),Reference!$A$6:$A$11,1))+1)-INDEX(Reference!$A$6:$A$11,MIN(5,MATCH(MAX(Reference!$A$6,MIN(Reference!$A$11,MIN(D119,300))),Reference!$A$6:$A$11,1))))),0))/(AE119*(AE119+5)/2)),(INDEX(Reference!$B$6:$B$11,MIN(5,MATCH(MAX(Reference!$A$6,MIN(Reference!$A$11,D119)),Reference!$A$6:$A$11,1)))+(MAX(Reference!$A$6,MIN(Reference!$A$11,D119))-INDEX(Reference!$A$6:$A$11,MIN(5,MATCH(MAX(Reference!$A$6,MIN(Reference!$A$11,D119)),Reference!$A$6:$A$11,1))))*(INDEX(Reference!$B$6:$B$11,MIN(5,MATCH(MAX(Reference!$A$6,MIN(Reference!$A$11,D119)),Reference!$A$6:$A$11,1))+1)-INDEX(Reference!$B$6:$B$11,MIN(5,MATCH(MAX(Reference!$A$6,MIN(Reference!$A$11,D119)),Reference!$A$6:$A$11,1))))/(INDEX(Reference!$A$6:$A$11,MIN(5,MATCH(MAX(Reference!$A$6,MIN(Reference!$A$11,D119)),Reference!$A$6:$A$11,1))+1)-INDEX(Reference!$A$6:$A$11,MIN(5,MATCH(MAX(Reference!$A$6,MIN(Reference!$A$11,D119)),Reference!$A$6:$A$11,1))))))))</f>
        <v/>
      </c>
      <c r="P119" s="32" t="str">
        <f>IF(N119="","",VLOOKUP(MAX(N119,0),Reference!$A$17:$B$20,2,TRUE()))</f>
        <v/>
      </c>
      <c r="Q119" s="32" t="str">
        <f t="shared" si="12"/>
        <v/>
      </c>
      <c r="R119" s="31"/>
      <c r="S119" s="31"/>
      <c r="T119" s="31"/>
      <c r="U119" s="32" t="str">
        <f t="shared" si="13"/>
        <v/>
      </c>
      <c r="V119" s="32" t="str">
        <f t="shared" si="14"/>
        <v/>
      </c>
      <c r="W119" s="32" t="str">
        <f>IF(V119="","",VLOOKUP(MAX(V119,0),Reference!$A$17:$B$20,2,TRUE()))</f>
        <v/>
      </c>
      <c r="X119" s="31"/>
      <c r="Y119" s="31"/>
      <c r="Z119" s="31"/>
      <c r="AA119" s="32" t="str">
        <f t="shared" si="15"/>
        <v/>
      </c>
      <c r="AB119" s="32" t="str">
        <f t="shared" si="16"/>
        <v/>
      </c>
      <c r="AC119" s="32" t="str">
        <f>IF(AB119="","",VLOOKUP(MAX(AB119,0),Reference!$A$17:$B$20,2,TRUE()))</f>
        <v/>
      </c>
      <c r="AD119" s="31"/>
      <c r="AE119">
        <f t="shared" si="17"/>
        <v>1</v>
      </c>
      <c r="AF119" s="33" t="str">
        <f>IF(OR(A119="",B119="",AND(C119&lt;&gt;"Bullpen",C119&lt;&gt;"Game")),"",IF((COUNTIFS($B$5:$B$300,B119,$A$5:$A$300,A119-1,$C$5:$C$300,"Bullpen",$AG$5:$AG$300,"&gt;0") + COUNTIFS($B$5:$B$300,B119,$A$5:$A$300,A119-1,$C$5:$C$300,"Game",$AG$5:$AG$300,"&gt;0"))&gt;0,Reference!$B$119,IF((COUNTIFS($B$5:$B$300,B119,$A$5:$A$300,A119-2,$C$5:$C$300,"Bullpen",$AG$5:$AG$300,"&gt;0") + COUNTIFS($B$5:$B$300,B119,$A$5:$A$300,A119-2,$C$5:$C$300,"Game",$AG$5:$AG$300,"&gt;0"))&gt;0,Reference!$B$120,1)))</f>
        <v/>
      </c>
      <c r="AG119" s="30" t="str">
        <f>IF(AND(OR(I119="",O119="",P119=""),OR(R119="",W119=""),OR(X119="",AC119="")),"",IF(OR(I119="",O119="",P119=""),0,I119*O119*P119)+IF(OR(R119="",W119=""),0,R119*IFERROR(INDEX(Reference!$B$61:$B$62,MATCH("Bullpen",Reference!$A$61:$A$62,0)),0)*W119)+IF(OR(X119="",AC119=""),0,X119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119))</f>
        <v/>
      </c>
    </row>
    <row r="120" spans="1:33" x14ac:dyDescent="0.3">
      <c r="A120" s="35"/>
      <c r="B120" s="31"/>
      <c r="C120" s="31"/>
      <c r="D120" s="31"/>
      <c r="E120" s="34"/>
      <c r="F120" s="34"/>
      <c r="G120" s="30" t="str">
        <f t="shared" si="9"/>
        <v/>
      </c>
      <c r="H120" s="31"/>
      <c r="I120" s="32" t="str">
        <f>IF(H120&lt;&gt;"",H120,IF(G120="","",ROUND(G120*IFERROR(INDEX(Reference!$B$44:$B$50,MATCH(C120,Reference!$A$44:$A$50,0)),0),0)))</f>
        <v/>
      </c>
      <c r="J120" s="31"/>
      <c r="K120" s="31"/>
      <c r="L120" s="32" t="str">
        <f t="shared" si="10"/>
        <v/>
      </c>
      <c r="M120" s="32" t="str">
        <f>IFERROR(INDEX(Roster!$D$5:$D$40,MATCH(B120,Roster!$A$5:$A$40,0)),"")</f>
        <v/>
      </c>
      <c r="N120" s="32" t="str">
        <f t="shared" si="11"/>
        <v/>
      </c>
      <c r="O120" s="32" t="str">
        <f>IF(OR(C120="Bullpen",C120="Game"),IFERROR(INDEX(Reference!$B$61:$B$62,MATCH(C120,Reference!$A$61:$A$62,0)),""),IF(D120="","",IF(AE120&gt;1,((IF(1&lt;=AE120,(AE120-1+3)*(INDEX(Reference!$B$6:$B$11,MIN(5,MATCH(MAX(Reference!$A$6,MIN(Reference!$A$11,MIN(D120,90))),Reference!$A$6:$A$11,1)))+(MAX(Reference!$A$6,MIN(Reference!$A$11,MIN(D120,90)))-INDEX(Reference!$A$6:$A$11,MIN(5,MATCH(MAX(Reference!$A$6,MIN(Reference!$A$11,MIN(D120,90))),Reference!$A$6:$A$11,1))))*(INDEX(Reference!$B$6:$B$11,MIN(5,MATCH(MAX(Reference!$A$6,MIN(Reference!$A$11,MIN(D120,90))),Reference!$A$6:$A$11,1))+1)-INDEX(Reference!$B$6:$B$11,MIN(5,MATCH(MAX(Reference!$A$6,MIN(Reference!$A$11,MIN(D120,90))),Reference!$A$6:$A$11,1))))/(INDEX(Reference!$A$6:$A$11,MIN(5,MATCH(MAX(Reference!$A$6,MIN(Reference!$A$11,MIN(D120,90))),Reference!$A$6:$A$11,1))+1)-INDEX(Reference!$A$6:$A$11,MIN(5,MATCH(MAX(Reference!$A$6,MIN(Reference!$A$11,MIN(D120,90))),Reference!$A$6:$A$11,1))))),0)+IF(2&lt;=AE120,(AE120-2+3)*(INDEX(Reference!$B$6:$B$11,MIN(5,MATCH(MAX(Reference!$A$6,MIN(Reference!$A$11,MIN(D120,120))),Reference!$A$6:$A$11,1)))+(MAX(Reference!$A$6,MIN(Reference!$A$11,MIN(D120,120)))-INDEX(Reference!$A$6:$A$11,MIN(5,MATCH(MAX(Reference!$A$6,MIN(Reference!$A$11,MIN(D120,120))),Reference!$A$6:$A$11,1))))*(INDEX(Reference!$B$6:$B$11,MIN(5,MATCH(MAX(Reference!$A$6,MIN(Reference!$A$11,MIN(D120,120))),Reference!$A$6:$A$11,1))+1)-INDEX(Reference!$B$6:$B$11,MIN(5,MATCH(MAX(Reference!$A$6,MIN(Reference!$A$11,MIN(D120,120))),Reference!$A$6:$A$11,1))))/(INDEX(Reference!$A$6:$A$11,MIN(5,MATCH(MAX(Reference!$A$6,MIN(Reference!$A$11,MIN(D120,120))),Reference!$A$6:$A$11,1))+1)-INDEX(Reference!$A$6:$A$11,MIN(5,MATCH(MAX(Reference!$A$6,MIN(Reference!$A$11,MIN(D120,120))),Reference!$A$6:$A$11,1))))),0)+IF(3&lt;=AE120,(AE120-3+3)*(INDEX(Reference!$B$6:$B$11,MIN(5,MATCH(MAX(Reference!$A$6,MIN(Reference!$A$11,MIN(D120,150))),Reference!$A$6:$A$11,1)))+(MAX(Reference!$A$6,MIN(Reference!$A$11,MIN(D120,150)))-INDEX(Reference!$A$6:$A$11,MIN(5,MATCH(MAX(Reference!$A$6,MIN(Reference!$A$11,MIN(D120,150))),Reference!$A$6:$A$11,1))))*(INDEX(Reference!$B$6:$B$11,MIN(5,MATCH(MAX(Reference!$A$6,MIN(Reference!$A$11,MIN(D120,150))),Reference!$A$6:$A$11,1))+1)-INDEX(Reference!$B$6:$B$11,MIN(5,MATCH(MAX(Reference!$A$6,MIN(Reference!$A$11,MIN(D120,150))),Reference!$A$6:$A$11,1))))/(INDEX(Reference!$A$6:$A$11,MIN(5,MATCH(MAX(Reference!$A$6,MIN(Reference!$A$11,MIN(D120,150))),Reference!$A$6:$A$11,1))+1)-INDEX(Reference!$A$6:$A$11,MIN(5,MATCH(MAX(Reference!$A$6,MIN(Reference!$A$11,MIN(D120,150))),Reference!$A$6:$A$11,1))))),0)+IF(4&lt;=AE120,(AE120-4+3)*(INDEX(Reference!$B$6:$B$11,MIN(5,MATCH(MAX(Reference!$A$6,MIN(Reference!$A$11,MIN(D120,180))),Reference!$A$6:$A$11,1)))+(MAX(Reference!$A$6,MIN(Reference!$A$11,MIN(D120,180)))-INDEX(Reference!$A$6:$A$11,MIN(5,MATCH(MAX(Reference!$A$6,MIN(Reference!$A$11,MIN(D120,180))),Reference!$A$6:$A$11,1))))*(INDEX(Reference!$B$6:$B$11,MIN(5,MATCH(MAX(Reference!$A$6,MIN(Reference!$A$11,MIN(D120,180))),Reference!$A$6:$A$11,1))+1)-INDEX(Reference!$B$6:$B$11,MIN(5,MATCH(MAX(Reference!$A$6,MIN(Reference!$A$11,MIN(D120,180))),Reference!$A$6:$A$11,1))))/(INDEX(Reference!$A$6:$A$11,MIN(5,MATCH(MAX(Reference!$A$6,MIN(Reference!$A$11,MIN(D120,180))),Reference!$A$6:$A$11,1))+1)-INDEX(Reference!$A$6:$A$11,MIN(5,MATCH(MAX(Reference!$A$6,MIN(Reference!$A$11,MIN(D120,180))),Reference!$A$6:$A$11,1))))),0)+IF(5&lt;=AE120,(AE120-5+3)*(INDEX(Reference!$B$6:$B$11,MIN(5,MATCH(MAX(Reference!$A$6,MIN(Reference!$A$11,MIN(D120,210))),Reference!$A$6:$A$11,1)))+(MAX(Reference!$A$6,MIN(Reference!$A$11,MIN(D120,210)))-INDEX(Reference!$A$6:$A$11,MIN(5,MATCH(MAX(Reference!$A$6,MIN(Reference!$A$11,MIN(D120,210))),Reference!$A$6:$A$11,1))))*(INDEX(Reference!$B$6:$B$11,MIN(5,MATCH(MAX(Reference!$A$6,MIN(Reference!$A$11,MIN(D120,210))),Reference!$A$6:$A$11,1))+1)-INDEX(Reference!$B$6:$B$11,MIN(5,MATCH(MAX(Reference!$A$6,MIN(Reference!$A$11,MIN(D120,210))),Reference!$A$6:$A$11,1))))/(INDEX(Reference!$A$6:$A$11,MIN(5,MATCH(MAX(Reference!$A$6,MIN(Reference!$A$11,MIN(D120,210))),Reference!$A$6:$A$11,1))+1)-INDEX(Reference!$A$6:$A$11,MIN(5,MATCH(MAX(Reference!$A$6,MIN(Reference!$A$11,MIN(D120,210))),Reference!$A$6:$A$11,1))))),0)+IF(6&lt;=AE120,(AE120-6+3)*(INDEX(Reference!$B$6:$B$11,MIN(5,MATCH(MAX(Reference!$A$6,MIN(Reference!$A$11,MIN(D120,240))),Reference!$A$6:$A$11,1)))+(MAX(Reference!$A$6,MIN(Reference!$A$11,MIN(D120,240)))-INDEX(Reference!$A$6:$A$11,MIN(5,MATCH(MAX(Reference!$A$6,MIN(Reference!$A$11,MIN(D120,240))),Reference!$A$6:$A$11,1))))*(INDEX(Reference!$B$6:$B$11,MIN(5,MATCH(MAX(Reference!$A$6,MIN(Reference!$A$11,MIN(D120,240))),Reference!$A$6:$A$11,1))+1)-INDEX(Reference!$B$6:$B$11,MIN(5,MATCH(MAX(Reference!$A$6,MIN(Reference!$A$11,MIN(D120,240))),Reference!$A$6:$A$11,1))))/(INDEX(Reference!$A$6:$A$11,MIN(5,MATCH(MAX(Reference!$A$6,MIN(Reference!$A$11,MIN(D120,240))),Reference!$A$6:$A$11,1))+1)-INDEX(Reference!$A$6:$A$11,MIN(5,MATCH(MAX(Reference!$A$6,MIN(Reference!$A$11,MIN(D120,240))),Reference!$A$6:$A$11,1))))),0)+IF(7&lt;=AE120,(AE120-7+3)*(INDEX(Reference!$B$6:$B$11,MIN(5,MATCH(MAX(Reference!$A$6,MIN(Reference!$A$11,MIN(D120,270))),Reference!$A$6:$A$11,1)))+(MAX(Reference!$A$6,MIN(Reference!$A$11,MIN(D120,270)))-INDEX(Reference!$A$6:$A$11,MIN(5,MATCH(MAX(Reference!$A$6,MIN(Reference!$A$11,MIN(D120,270))),Reference!$A$6:$A$11,1))))*(INDEX(Reference!$B$6:$B$11,MIN(5,MATCH(MAX(Reference!$A$6,MIN(Reference!$A$11,MIN(D120,270))),Reference!$A$6:$A$11,1))+1)-INDEX(Reference!$B$6:$B$11,MIN(5,MATCH(MAX(Reference!$A$6,MIN(Reference!$A$11,MIN(D120,270))),Reference!$A$6:$A$11,1))))/(INDEX(Reference!$A$6:$A$11,MIN(5,MATCH(MAX(Reference!$A$6,MIN(Reference!$A$11,MIN(D120,270))),Reference!$A$6:$A$11,1))+1)-INDEX(Reference!$A$6:$A$11,MIN(5,MATCH(MAX(Reference!$A$6,MIN(Reference!$A$11,MIN(D120,270))),Reference!$A$6:$A$11,1))))),0)+IF(8&lt;=AE120,(AE120-8+3)*(INDEX(Reference!$B$6:$B$11,MIN(5,MATCH(MAX(Reference!$A$6,MIN(Reference!$A$11,MIN(D120,300))),Reference!$A$6:$A$11,1)))+(MAX(Reference!$A$6,MIN(Reference!$A$11,MIN(D120,300)))-INDEX(Reference!$A$6:$A$11,MIN(5,MATCH(MAX(Reference!$A$6,MIN(Reference!$A$11,MIN(D120,300))),Reference!$A$6:$A$11,1))))*(INDEX(Reference!$B$6:$B$11,MIN(5,MATCH(MAX(Reference!$A$6,MIN(Reference!$A$11,MIN(D120,300))),Reference!$A$6:$A$11,1))+1)-INDEX(Reference!$B$6:$B$11,MIN(5,MATCH(MAX(Reference!$A$6,MIN(Reference!$A$11,MIN(D120,300))),Reference!$A$6:$A$11,1))))/(INDEX(Reference!$A$6:$A$11,MIN(5,MATCH(MAX(Reference!$A$6,MIN(Reference!$A$11,MIN(D120,300))),Reference!$A$6:$A$11,1))+1)-INDEX(Reference!$A$6:$A$11,MIN(5,MATCH(MAX(Reference!$A$6,MIN(Reference!$A$11,MIN(D120,300))),Reference!$A$6:$A$11,1))))),0))/(AE120*(AE120+5)/2)),(INDEX(Reference!$B$6:$B$11,MIN(5,MATCH(MAX(Reference!$A$6,MIN(Reference!$A$11,D120)),Reference!$A$6:$A$11,1)))+(MAX(Reference!$A$6,MIN(Reference!$A$11,D120))-INDEX(Reference!$A$6:$A$11,MIN(5,MATCH(MAX(Reference!$A$6,MIN(Reference!$A$11,D120)),Reference!$A$6:$A$11,1))))*(INDEX(Reference!$B$6:$B$11,MIN(5,MATCH(MAX(Reference!$A$6,MIN(Reference!$A$11,D120)),Reference!$A$6:$A$11,1))+1)-INDEX(Reference!$B$6:$B$11,MIN(5,MATCH(MAX(Reference!$A$6,MIN(Reference!$A$11,D120)),Reference!$A$6:$A$11,1))))/(INDEX(Reference!$A$6:$A$11,MIN(5,MATCH(MAX(Reference!$A$6,MIN(Reference!$A$11,D120)),Reference!$A$6:$A$11,1))+1)-INDEX(Reference!$A$6:$A$11,MIN(5,MATCH(MAX(Reference!$A$6,MIN(Reference!$A$11,D120)),Reference!$A$6:$A$11,1))))))))</f>
        <v/>
      </c>
      <c r="P120" s="32" t="str">
        <f>IF(N120="","",VLOOKUP(MAX(N120,0),Reference!$A$17:$B$20,2,TRUE()))</f>
        <v/>
      </c>
      <c r="Q120" s="32" t="str">
        <f t="shared" si="12"/>
        <v/>
      </c>
      <c r="R120" s="31"/>
      <c r="S120" s="31"/>
      <c r="T120" s="31"/>
      <c r="U120" s="32" t="str">
        <f t="shared" si="13"/>
        <v/>
      </c>
      <c r="V120" s="32" t="str">
        <f t="shared" si="14"/>
        <v/>
      </c>
      <c r="W120" s="32" t="str">
        <f>IF(V120="","",VLOOKUP(MAX(V120,0),Reference!$A$17:$B$20,2,TRUE()))</f>
        <v/>
      </c>
      <c r="X120" s="31"/>
      <c r="Y120" s="31"/>
      <c r="Z120" s="31"/>
      <c r="AA120" s="32" t="str">
        <f t="shared" si="15"/>
        <v/>
      </c>
      <c r="AB120" s="32" t="str">
        <f t="shared" si="16"/>
        <v/>
      </c>
      <c r="AC120" s="32" t="str">
        <f>IF(AB120="","",VLOOKUP(MAX(AB120,0),Reference!$A$17:$B$20,2,TRUE()))</f>
        <v/>
      </c>
      <c r="AD120" s="31"/>
      <c r="AE120">
        <f t="shared" si="17"/>
        <v>1</v>
      </c>
      <c r="AF120" s="33" t="str">
        <f>IF(OR(A120="",B120="",AND(C120&lt;&gt;"Bullpen",C120&lt;&gt;"Game")),"",IF((COUNTIFS($B$5:$B$300,B120,$A$5:$A$300,A120-1,$C$5:$C$300,"Bullpen",$AG$5:$AG$300,"&gt;0") + COUNTIFS($B$5:$B$300,B120,$A$5:$A$300,A120-1,$C$5:$C$300,"Game",$AG$5:$AG$300,"&gt;0"))&gt;0,Reference!$B$119,IF((COUNTIFS($B$5:$B$300,B120,$A$5:$A$300,A120-2,$C$5:$C$300,"Bullpen",$AG$5:$AG$300,"&gt;0") + COUNTIFS($B$5:$B$300,B120,$A$5:$A$300,A120-2,$C$5:$C$300,"Game",$AG$5:$AG$300,"&gt;0"))&gt;0,Reference!$B$120,1)))</f>
        <v/>
      </c>
      <c r="AG120" s="30" t="str">
        <f>IF(AND(OR(I120="",O120="",P120=""),OR(R120="",W120=""),OR(X120="",AC120="")),"",IF(OR(I120="",O120="",P120=""),0,I120*O120*P120)+IF(OR(R120="",W120=""),0,R120*IFERROR(INDEX(Reference!$B$61:$B$62,MATCH("Bullpen",Reference!$A$61:$A$62,0)),0)*W120)+IF(OR(X120="",AC120=""),0,X120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120))</f>
        <v/>
      </c>
    </row>
    <row r="121" spans="1:33" x14ac:dyDescent="0.3">
      <c r="A121" s="35"/>
      <c r="B121" s="31"/>
      <c r="C121" s="31"/>
      <c r="D121" s="31"/>
      <c r="E121" s="34"/>
      <c r="F121" s="34"/>
      <c r="G121" s="30" t="str">
        <f t="shared" si="9"/>
        <v/>
      </c>
      <c r="H121" s="31"/>
      <c r="I121" s="32" t="str">
        <f>IF(H121&lt;&gt;"",H121,IF(G121="","",ROUND(G121*IFERROR(INDEX(Reference!$B$44:$B$50,MATCH(C121,Reference!$A$44:$A$50,0)),0),0)))</f>
        <v/>
      </c>
      <c r="J121" s="31"/>
      <c r="K121" s="31"/>
      <c r="L121" s="32" t="str">
        <f t="shared" si="10"/>
        <v/>
      </c>
      <c r="M121" s="32" t="str">
        <f>IFERROR(INDEX(Roster!$D$5:$D$40,MATCH(B121,Roster!$A$5:$A$40,0)),"")</f>
        <v/>
      </c>
      <c r="N121" s="32" t="str">
        <f t="shared" si="11"/>
        <v/>
      </c>
      <c r="O121" s="32" t="str">
        <f>IF(OR(C121="Bullpen",C121="Game"),IFERROR(INDEX(Reference!$B$61:$B$62,MATCH(C121,Reference!$A$61:$A$62,0)),""),IF(D121="","",IF(AE121&gt;1,((IF(1&lt;=AE121,(AE121-1+3)*(INDEX(Reference!$B$6:$B$11,MIN(5,MATCH(MAX(Reference!$A$6,MIN(Reference!$A$11,MIN(D121,90))),Reference!$A$6:$A$11,1)))+(MAX(Reference!$A$6,MIN(Reference!$A$11,MIN(D121,90)))-INDEX(Reference!$A$6:$A$11,MIN(5,MATCH(MAX(Reference!$A$6,MIN(Reference!$A$11,MIN(D121,90))),Reference!$A$6:$A$11,1))))*(INDEX(Reference!$B$6:$B$11,MIN(5,MATCH(MAX(Reference!$A$6,MIN(Reference!$A$11,MIN(D121,90))),Reference!$A$6:$A$11,1))+1)-INDEX(Reference!$B$6:$B$11,MIN(5,MATCH(MAX(Reference!$A$6,MIN(Reference!$A$11,MIN(D121,90))),Reference!$A$6:$A$11,1))))/(INDEX(Reference!$A$6:$A$11,MIN(5,MATCH(MAX(Reference!$A$6,MIN(Reference!$A$11,MIN(D121,90))),Reference!$A$6:$A$11,1))+1)-INDEX(Reference!$A$6:$A$11,MIN(5,MATCH(MAX(Reference!$A$6,MIN(Reference!$A$11,MIN(D121,90))),Reference!$A$6:$A$11,1))))),0)+IF(2&lt;=AE121,(AE121-2+3)*(INDEX(Reference!$B$6:$B$11,MIN(5,MATCH(MAX(Reference!$A$6,MIN(Reference!$A$11,MIN(D121,120))),Reference!$A$6:$A$11,1)))+(MAX(Reference!$A$6,MIN(Reference!$A$11,MIN(D121,120)))-INDEX(Reference!$A$6:$A$11,MIN(5,MATCH(MAX(Reference!$A$6,MIN(Reference!$A$11,MIN(D121,120))),Reference!$A$6:$A$11,1))))*(INDEX(Reference!$B$6:$B$11,MIN(5,MATCH(MAX(Reference!$A$6,MIN(Reference!$A$11,MIN(D121,120))),Reference!$A$6:$A$11,1))+1)-INDEX(Reference!$B$6:$B$11,MIN(5,MATCH(MAX(Reference!$A$6,MIN(Reference!$A$11,MIN(D121,120))),Reference!$A$6:$A$11,1))))/(INDEX(Reference!$A$6:$A$11,MIN(5,MATCH(MAX(Reference!$A$6,MIN(Reference!$A$11,MIN(D121,120))),Reference!$A$6:$A$11,1))+1)-INDEX(Reference!$A$6:$A$11,MIN(5,MATCH(MAX(Reference!$A$6,MIN(Reference!$A$11,MIN(D121,120))),Reference!$A$6:$A$11,1))))),0)+IF(3&lt;=AE121,(AE121-3+3)*(INDEX(Reference!$B$6:$B$11,MIN(5,MATCH(MAX(Reference!$A$6,MIN(Reference!$A$11,MIN(D121,150))),Reference!$A$6:$A$11,1)))+(MAX(Reference!$A$6,MIN(Reference!$A$11,MIN(D121,150)))-INDEX(Reference!$A$6:$A$11,MIN(5,MATCH(MAX(Reference!$A$6,MIN(Reference!$A$11,MIN(D121,150))),Reference!$A$6:$A$11,1))))*(INDEX(Reference!$B$6:$B$11,MIN(5,MATCH(MAX(Reference!$A$6,MIN(Reference!$A$11,MIN(D121,150))),Reference!$A$6:$A$11,1))+1)-INDEX(Reference!$B$6:$B$11,MIN(5,MATCH(MAX(Reference!$A$6,MIN(Reference!$A$11,MIN(D121,150))),Reference!$A$6:$A$11,1))))/(INDEX(Reference!$A$6:$A$11,MIN(5,MATCH(MAX(Reference!$A$6,MIN(Reference!$A$11,MIN(D121,150))),Reference!$A$6:$A$11,1))+1)-INDEX(Reference!$A$6:$A$11,MIN(5,MATCH(MAX(Reference!$A$6,MIN(Reference!$A$11,MIN(D121,150))),Reference!$A$6:$A$11,1))))),0)+IF(4&lt;=AE121,(AE121-4+3)*(INDEX(Reference!$B$6:$B$11,MIN(5,MATCH(MAX(Reference!$A$6,MIN(Reference!$A$11,MIN(D121,180))),Reference!$A$6:$A$11,1)))+(MAX(Reference!$A$6,MIN(Reference!$A$11,MIN(D121,180)))-INDEX(Reference!$A$6:$A$11,MIN(5,MATCH(MAX(Reference!$A$6,MIN(Reference!$A$11,MIN(D121,180))),Reference!$A$6:$A$11,1))))*(INDEX(Reference!$B$6:$B$11,MIN(5,MATCH(MAX(Reference!$A$6,MIN(Reference!$A$11,MIN(D121,180))),Reference!$A$6:$A$11,1))+1)-INDEX(Reference!$B$6:$B$11,MIN(5,MATCH(MAX(Reference!$A$6,MIN(Reference!$A$11,MIN(D121,180))),Reference!$A$6:$A$11,1))))/(INDEX(Reference!$A$6:$A$11,MIN(5,MATCH(MAX(Reference!$A$6,MIN(Reference!$A$11,MIN(D121,180))),Reference!$A$6:$A$11,1))+1)-INDEX(Reference!$A$6:$A$11,MIN(5,MATCH(MAX(Reference!$A$6,MIN(Reference!$A$11,MIN(D121,180))),Reference!$A$6:$A$11,1))))),0)+IF(5&lt;=AE121,(AE121-5+3)*(INDEX(Reference!$B$6:$B$11,MIN(5,MATCH(MAX(Reference!$A$6,MIN(Reference!$A$11,MIN(D121,210))),Reference!$A$6:$A$11,1)))+(MAX(Reference!$A$6,MIN(Reference!$A$11,MIN(D121,210)))-INDEX(Reference!$A$6:$A$11,MIN(5,MATCH(MAX(Reference!$A$6,MIN(Reference!$A$11,MIN(D121,210))),Reference!$A$6:$A$11,1))))*(INDEX(Reference!$B$6:$B$11,MIN(5,MATCH(MAX(Reference!$A$6,MIN(Reference!$A$11,MIN(D121,210))),Reference!$A$6:$A$11,1))+1)-INDEX(Reference!$B$6:$B$11,MIN(5,MATCH(MAX(Reference!$A$6,MIN(Reference!$A$11,MIN(D121,210))),Reference!$A$6:$A$11,1))))/(INDEX(Reference!$A$6:$A$11,MIN(5,MATCH(MAX(Reference!$A$6,MIN(Reference!$A$11,MIN(D121,210))),Reference!$A$6:$A$11,1))+1)-INDEX(Reference!$A$6:$A$11,MIN(5,MATCH(MAX(Reference!$A$6,MIN(Reference!$A$11,MIN(D121,210))),Reference!$A$6:$A$11,1))))),0)+IF(6&lt;=AE121,(AE121-6+3)*(INDEX(Reference!$B$6:$B$11,MIN(5,MATCH(MAX(Reference!$A$6,MIN(Reference!$A$11,MIN(D121,240))),Reference!$A$6:$A$11,1)))+(MAX(Reference!$A$6,MIN(Reference!$A$11,MIN(D121,240)))-INDEX(Reference!$A$6:$A$11,MIN(5,MATCH(MAX(Reference!$A$6,MIN(Reference!$A$11,MIN(D121,240))),Reference!$A$6:$A$11,1))))*(INDEX(Reference!$B$6:$B$11,MIN(5,MATCH(MAX(Reference!$A$6,MIN(Reference!$A$11,MIN(D121,240))),Reference!$A$6:$A$11,1))+1)-INDEX(Reference!$B$6:$B$11,MIN(5,MATCH(MAX(Reference!$A$6,MIN(Reference!$A$11,MIN(D121,240))),Reference!$A$6:$A$11,1))))/(INDEX(Reference!$A$6:$A$11,MIN(5,MATCH(MAX(Reference!$A$6,MIN(Reference!$A$11,MIN(D121,240))),Reference!$A$6:$A$11,1))+1)-INDEX(Reference!$A$6:$A$11,MIN(5,MATCH(MAX(Reference!$A$6,MIN(Reference!$A$11,MIN(D121,240))),Reference!$A$6:$A$11,1))))),0)+IF(7&lt;=AE121,(AE121-7+3)*(INDEX(Reference!$B$6:$B$11,MIN(5,MATCH(MAX(Reference!$A$6,MIN(Reference!$A$11,MIN(D121,270))),Reference!$A$6:$A$11,1)))+(MAX(Reference!$A$6,MIN(Reference!$A$11,MIN(D121,270)))-INDEX(Reference!$A$6:$A$11,MIN(5,MATCH(MAX(Reference!$A$6,MIN(Reference!$A$11,MIN(D121,270))),Reference!$A$6:$A$11,1))))*(INDEX(Reference!$B$6:$B$11,MIN(5,MATCH(MAX(Reference!$A$6,MIN(Reference!$A$11,MIN(D121,270))),Reference!$A$6:$A$11,1))+1)-INDEX(Reference!$B$6:$B$11,MIN(5,MATCH(MAX(Reference!$A$6,MIN(Reference!$A$11,MIN(D121,270))),Reference!$A$6:$A$11,1))))/(INDEX(Reference!$A$6:$A$11,MIN(5,MATCH(MAX(Reference!$A$6,MIN(Reference!$A$11,MIN(D121,270))),Reference!$A$6:$A$11,1))+1)-INDEX(Reference!$A$6:$A$11,MIN(5,MATCH(MAX(Reference!$A$6,MIN(Reference!$A$11,MIN(D121,270))),Reference!$A$6:$A$11,1))))),0)+IF(8&lt;=AE121,(AE121-8+3)*(INDEX(Reference!$B$6:$B$11,MIN(5,MATCH(MAX(Reference!$A$6,MIN(Reference!$A$11,MIN(D121,300))),Reference!$A$6:$A$11,1)))+(MAX(Reference!$A$6,MIN(Reference!$A$11,MIN(D121,300)))-INDEX(Reference!$A$6:$A$11,MIN(5,MATCH(MAX(Reference!$A$6,MIN(Reference!$A$11,MIN(D121,300))),Reference!$A$6:$A$11,1))))*(INDEX(Reference!$B$6:$B$11,MIN(5,MATCH(MAX(Reference!$A$6,MIN(Reference!$A$11,MIN(D121,300))),Reference!$A$6:$A$11,1))+1)-INDEX(Reference!$B$6:$B$11,MIN(5,MATCH(MAX(Reference!$A$6,MIN(Reference!$A$11,MIN(D121,300))),Reference!$A$6:$A$11,1))))/(INDEX(Reference!$A$6:$A$11,MIN(5,MATCH(MAX(Reference!$A$6,MIN(Reference!$A$11,MIN(D121,300))),Reference!$A$6:$A$11,1))+1)-INDEX(Reference!$A$6:$A$11,MIN(5,MATCH(MAX(Reference!$A$6,MIN(Reference!$A$11,MIN(D121,300))),Reference!$A$6:$A$11,1))))),0))/(AE121*(AE121+5)/2)),(INDEX(Reference!$B$6:$B$11,MIN(5,MATCH(MAX(Reference!$A$6,MIN(Reference!$A$11,D121)),Reference!$A$6:$A$11,1)))+(MAX(Reference!$A$6,MIN(Reference!$A$11,D121))-INDEX(Reference!$A$6:$A$11,MIN(5,MATCH(MAX(Reference!$A$6,MIN(Reference!$A$11,D121)),Reference!$A$6:$A$11,1))))*(INDEX(Reference!$B$6:$B$11,MIN(5,MATCH(MAX(Reference!$A$6,MIN(Reference!$A$11,D121)),Reference!$A$6:$A$11,1))+1)-INDEX(Reference!$B$6:$B$11,MIN(5,MATCH(MAX(Reference!$A$6,MIN(Reference!$A$11,D121)),Reference!$A$6:$A$11,1))))/(INDEX(Reference!$A$6:$A$11,MIN(5,MATCH(MAX(Reference!$A$6,MIN(Reference!$A$11,D121)),Reference!$A$6:$A$11,1))+1)-INDEX(Reference!$A$6:$A$11,MIN(5,MATCH(MAX(Reference!$A$6,MIN(Reference!$A$11,D121)),Reference!$A$6:$A$11,1))))))))</f>
        <v/>
      </c>
      <c r="P121" s="32" t="str">
        <f>IF(N121="","",VLOOKUP(MAX(N121,0),Reference!$A$17:$B$20,2,TRUE()))</f>
        <v/>
      </c>
      <c r="Q121" s="32" t="str">
        <f t="shared" si="12"/>
        <v/>
      </c>
      <c r="R121" s="31"/>
      <c r="S121" s="31"/>
      <c r="T121" s="31"/>
      <c r="U121" s="32" t="str">
        <f t="shared" si="13"/>
        <v/>
      </c>
      <c r="V121" s="32" t="str">
        <f t="shared" si="14"/>
        <v/>
      </c>
      <c r="W121" s="32" t="str">
        <f>IF(V121="","",VLOOKUP(MAX(V121,0),Reference!$A$17:$B$20,2,TRUE()))</f>
        <v/>
      </c>
      <c r="X121" s="31"/>
      <c r="Y121" s="31"/>
      <c r="Z121" s="31"/>
      <c r="AA121" s="32" t="str">
        <f t="shared" si="15"/>
        <v/>
      </c>
      <c r="AB121" s="32" t="str">
        <f t="shared" si="16"/>
        <v/>
      </c>
      <c r="AC121" s="32" t="str">
        <f>IF(AB121="","",VLOOKUP(MAX(AB121,0),Reference!$A$17:$B$20,2,TRUE()))</f>
        <v/>
      </c>
      <c r="AD121" s="31"/>
      <c r="AE121">
        <f t="shared" si="17"/>
        <v>1</v>
      </c>
      <c r="AF121" s="33" t="str">
        <f>IF(OR(A121="",B121="",AND(C121&lt;&gt;"Bullpen",C121&lt;&gt;"Game")),"",IF((COUNTIFS($B$5:$B$300,B121,$A$5:$A$300,A121-1,$C$5:$C$300,"Bullpen",$AG$5:$AG$300,"&gt;0") + COUNTIFS($B$5:$B$300,B121,$A$5:$A$300,A121-1,$C$5:$C$300,"Game",$AG$5:$AG$300,"&gt;0"))&gt;0,Reference!$B$119,IF((COUNTIFS($B$5:$B$300,B121,$A$5:$A$300,A121-2,$C$5:$C$300,"Bullpen",$AG$5:$AG$300,"&gt;0") + COUNTIFS($B$5:$B$300,B121,$A$5:$A$300,A121-2,$C$5:$C$300,"Game",$AG$5:$AG$300,"&gt;0"))&gt;0,Reference!$B$120,1)))</f>
        <v/>
      </c>
      <c r="AG121" s="30" t="str">
        <f>IF(AND(OR(I121="",O121="",P121=""),OR(R121="",W121=""),OR(X121="",AC121="")),"",IF(OR(I121="",O121="",P121=""),0,I121*O121*P121)+IF(OR(R121="",W121=""),0,R121*IFERROR(INDEX(Reference!$B$61:$B$62,MATCH("Bullpen",Reference!$A$61:$A$62,0)),0)*W121)+IF(OR(X121="",AC121=""),0,X121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121))</f>
        <v/>
      </c>
    </row>
    <row r="122" spans="1:33" x14ac:dyDescent="0.3">
      <c r="A122" s="35"/>
      <c r="B122" s="31"/>
      <c r="C122" s="31"/>
      <c r="D122" s="31"/>
      <c r="E122" s="34"/>
      <c r="F122" s="34"/>
      <c r="G122" s="30" t="str">
        <f t="shared" si="9"/>
        <v/>
      </c>
      <c r="H122" s="31"/>
      <c r="I122" s="32" t="str">
        <f>IF(H122&lt;&gt;"",H122,IF(G122="","",ROUND(G122*IFERROR(INDEX(Reference!$B$44:$B$50,MATCH(C122,Reference!$A$44:$A$50,0)),0),0)))</f>
        <v/>
      </c>
      <c r="J122" s="31"/>
      <c r="K122" s="31"/>
      <c r="L122" s="32" t="str">
        <f t="shared" si="10"/>
        <v/>
      </c>
      <c r="M122" s="32" t="str">
        <f>IFERROR(INDEX(Roster!$D$5:$D$40,MATCH(B122,Roster!$A$5:$A$40,0)),"")</f>
        <v/>
      </c>
      <c r="N122" s="32" t="str">
        <f t="shared" si="11"/>
        <v/>
      </c>
      <c r="O122" s="32" t="str">
        <f>IF(OR(C122="Bullpen",C122="Game"),IFERROR(INDEX(Reference!$B$61:$B$62,MATCH(C122,Reference!$A$61:$A$62,0)),""),IF(D122="","",IF(AE122&gt;1,((IF(1&lt;=AE122,(AE122-1+3)*(INDEX(Reference!$B$6:$B$11,MIN(5,MATCH(MAX(Reference!$A$6,MIN(Reference!$A$11,MIN(D122,90))),Reference!$A$6:$A$11,1)))+(MAX(Reference!$A$6,MIN(Reference!$A$11,MIN(D122,90)))-INDEX(Reference!$A$6:$A$11,MIN(5,MATCH(MAX(Reference!$A$6,MIN(Reference!$A$11,MIN(D122,90))),Reference!$A$6:$A$11,1))))*(INDEX(Reference!$B$6:$B$11,MIN(5,MATCH(MAX(Reference!$A$6,MIN(Reference!$A$11,MIN(D122,90))),Reference!$A$6:$A$11,1))+1)-INDEX(Reference!$B$6:$B$11,MIN(5,MATCH(MAX(Reference!$A$6,MIN(Reference!$A$11,MIN(D122,90))),Reference!$A$6:$A$11,1))))/(INDEX(Reference!$A$6:$A$11,MIN(5,MATCH(MAX(Reference!$A$6,MIN(Reference!$A$11,MIN(D122,90))),Reference!$A$6:$A$11,1))+1)-INDEX(Reference!$A$6:$A$11,MIN(5,MATCH(MAX(Reference!$A$6,MIN(Reference!$A$11,MIN(D122,90))),Reference!$A$6:$A$11,1))))),0)+IF(2&lt;=AE122,(AE122-2+3)*(INDEX(Reference!$B$6:$B$11,MIN(5,MATCH(MAX(Reference!$A$6,MIN(Reference!$A$11,MIN(D122,120))),Reference!$A$6:$A$11,1)))+(MAX(Reference!$A$6,MIN(Reference!$A$11,MIN(D122,120)))-INDEX(Reference!$A$6:$A$11,MIN(5,MATCH(MAX(Reference!$A$6,MIN(Reference!$A$11,MIN(D122,120))),Reference!$A$6:$A$11,1))))*(INDEX(Reference!$B$6:$B$11,MIN(5,MATCH(MAX(Reference!$A$6,MIN(Reference!$A$11,MIN(D122,120))),Reference!$A$6:$A$11,1))+1)-INDEX(Reference!$B$6:$B$11,MIN(5,MATCH(MAX(Reference!$A$6,MIN(Reference!$A$11,MIN(D122,120))),Reference!$A$6:$A$11,1))))/(INDEX(Reference!$A$6:$A$11,MIN(5,MATCH(MAX(Reference!$A$6,MIN(Reference!$A$11,MIN(D122,120))),Reference!$A$6:$A$11,1))+1)-INDEX(Reference!$A$6:$A$11,MIN(5,MATCH(MAX(Reference!$A$6,MIN(Reference!$A$11,MIN(D122,120))),Reference!$A$6:$A$11,1))))),0)+IF(3&lt;=AE122,(AE122-3+3)*(INDEX(Reference!$B$6:$B$11,MIN(5,MATCH(MAX(Reference!$A$6,MIN(Reference!$A$11,MIN(D122,150))),Reference!$A$6:$A$11,1)))+(MAX(Reference!$A$6,MIN(Reference!$A$11,MIN(D122,150)))-INDEX(Reference!$A$6:$A$11,MIN(5,MATCH(MAX(Reference!$A$6,MIN(Reference!$A$11,MIN(D122,150))),Reference!$A$6:$A$11,1))))*(INDEX(Reference!$B$6:$B$11,MIN(5,MATCH(MAX(Reference!$A$6,MIN(Reference!$A$11,MIN(D122,150))),Reference!$A$6:$A$11,1))+1)-INDEX(Reference!$B$6:$B$11,MIN(5,MATCH(MAX(Reference!$A$6,MIN(Reference!$A$11,MIN(D122,150))),Reference!$A$6:$A$11,1))))/(INDEX(Reference!$A$6:$A$11,MIN(5,MATCH(MAX(Reference!$A$6,MIN(Reference!$A$11,MIN(D122,150))),Reference!$A$6:$A$11,1))+1)-INDEX(Reference!$A$6:$A$11,MIN(5,MATCH(MAX(Reference!$A$6,MIN(Reference!$A$11,MIN(D122,150))),Reference!$A$6:$A$11,1))))),0)+IF(4&lt;=AE122,(AE122-4+3)*(INDEX(Reference!$B$6:$B$11,MIN(5,MATCH(MAX(Reference!$A$6,MIN(Reference!$A$11,MIN(D122,180))),Reference!$A$6:$A$11,1)))+(MAX(Reference!$A$6,MIN(Reference!$A$11,MIN(D122,180)))-INDEX(Reference!$A$6:$A$11,MIN(5,MATCH(MAX(Reference!$A$6,MIN(Reference!$A$11,MIN(D122,180))),Reference!$A$6:$A$11,1))))*(INDEX(Reference!$B$6:$B$11,MIN(5,MATCH(MAX(Reference!$A$6,MIN(Reference!$A$11,MIN(D122,180))),Reference!$A$6:$A$11,1))+1)-INDEX(Reference!$B$6:$B$11,MIN(5,MATCH(MAX(Reference!$A$6,MIN(Reference!$A$11,MIN(D122,180))),Reference!$A$6:$A$11,1))))/(INDEX(Reference!$A$6:$A$11,MIN(5,MATCH(MAX(Reference!$A$6,MIN(Reference!$A$11,MIN(D122,180))),Reference!$A$6:$A$11,1))+1)-INDEX(Reference!$A$6:$A$11,MIN(5,MATCH(MAX(Reference!$A$6,MIN(Reference!$A$11,MIN(D122,180))),Reference!$A$6:$A$11,1))))),0)+IF(5&lt;=AE122,(AE122-5+3)*(INDEX(Reference!$B$6:$B$11,MIN(5,MATCH(MAX(Reference!$A$6,MIN(Reference!$A$11,MIN(D122,210))),Reference!$A$6:$A$11,1)))+(MAX(Reference!$A$6,MIN(Reference!$A$11,MIN(D122,210)))-INDEX(Reference!$A$6:$A$11,MIN(5,MATCH(MAX(Reference!$A$6,MIN(Reference!$A$11,MIN(D122,210))),Reference!$A$6:$A$11,1))))*(INDEX(Reference!$B$6:$B$11,MIN(5,MATCH(MAX(Reference!$A$6,MIN(Reference!$A$11,MIN(D122,210))),Reference!$A$6:$A$11,1))+1)-INDEX(Reference!$B$6:$B$11,MIN(5,MATCH(MAX(Reference!$A$6,MIN(Reference!$A$11,MIN(D122,210))),Reference!$A$6:$A$11,1))))/(INDEX(Reference!$A$6:$A$11,MIN(5,MATCH(MAX(Reference!$A$6,MIN(Reference!$A$11,MIN(D122,210))),Reference!$A$6:$A$11,1))+1)-INDEX(Reference!$A$6:$A$11,MIN(5,MATCH(MAX(Reference!$A$6,MIN(Reference!$A$11,MIN(D122,210))),Reference!$A$6:$A$11,1))))),0)+IF(6&lt;=AE122,(AE122-6+3)*(INDEX(Reference!$B$6:$B$11,MIN(5,MATCH(MAX(Reference!$A$6,MIN(Reference!$A$11,MIN(D122,240))),Reference!$A$6:$A$11,1)))+(MAX(Reference!$A$6,MIN(Reference!$A$11,MIN(D122,240)))-INDEX(Reference!$A$6:$A$11,MIN(5,MATCH(MAX(Reference!$A$6,MIN(Reference!$A$11,MIN(D122,240))),Reference!$A$6:$A$11,1))))*(INDEX(Reference!$B$6:$B$11,MIN(5,MATCH(MAX(Reference!$A$6,MIN(Reference!$A$11,MIN(D122,240))),Reference!$A$6:$A$11,1))+1)-INDEX(Reference!$B$6:$B$11,MIN(5,MATCH(MAX(Reference!$A$6,MIN(Reference!$A$11,MIN(D122,240))),Reference!$A$6:$A$11,1))))/(INDEX(Reference!$A$6:$A$11,MIN(5,MATCH(MAX(Reference!$A$6,MIN(Reference!$A$11,MIN(D122,240))),Reference!$A$6:$A$11,1))+1)-INDEX(Reference!$A$6:$A$11,MIN(5,MATCH(MAX(Reference!$A$6,MIN(Reference!$A$11,MIN(D122,240))),Reference!$A$6:$A$11,1))))),0)+IF(7&lt;=AE122,(AE122-7+3)*(INDEX(Reference!$B$6:$B$11,MIN(5,MATCH(MAX(Reference!$A$6,MIN(Reference!$A$11,MIN(D122,270))),Reference!$A$6:$A$11,1)))+(MAX(Reference!$A$6,MIN(Reference!$A$11,MIN(D122,270)))-INDEX(Reference!$A$6:$A$11,MIN(5,MATCH(MAX(Reference!$A$6,MIN(Reference!$A$11,MIN(D122,270))),Reference!$A$6:$A$11,1))))*(INDEX(Reference!$B$6:$B$11,MIN(5,MATCH(MAX(Reference!$A$6,MIN(Reference!$A$11,MIN(D122,270))),Reference!$A$6:$A$11,1))+1)-INDEX(Reference!$B$6:$B$11,MIN(5,MATCH(MAX(Reference!$A$6,MIN(Reference!$A$11,MIN(D122,270))),Reference!$A$6:$A$11,1))))/(INDEX(Reference!$A$6:$A$11,MIN(5,MATCH(MAX(Reference!$A$6,MIN(Reference!$A$11,MIN(D122,270))),Reference!$A$6:$A$11,1))+1)-INDEX(Reference!$A$6:$A$11,MIN(5,MATCH(MAX(Reference!$A$6,MIN(Reference!$A$11,MIN(D122,270))),Reference!$A$6:$A$11,1))))),0)+IF(8&lt;=AE122,(AE122-8+3)*(INDEX(Reference!$B$6:$B$11,MIN(5,MATCH(MAX(Reference!$A$6,MIN(Reference!$A$11,MIN(D122,300))),Reference!$A$6:$A$11,1)))+(MAX(Reference!$A$6,MIN(Reference!$A$11,MIN(D122,300)))-INDEX(Reference!$A$6:$A$11,MIN(5,MATCH(MAX(Reference!$A$6,MIN(Reference!$A$11,MIN(D122,300))),Reference!$A$6:$A$11,1))))*(INDEX(Reference!$B$6:$B$11,MIN(5,MATCH(MAX(Reference!$A$6,MIN(Reference!$A$11,MIN(D122,300))),Reference!$A$6:$A$11,1))+1)-INDEX(Reference!$B$6:$B$11,MIN(5,MATCH(MAX(Reference!$A$6,MIN(Reference!$A$11,MIN(D122,300))),Reference!$A$6:$A$11,1))))/(INDEX(Reference!$A$6:$A$11,MIN(5,MATCH(MAX(Reference!$A$6,MIN(Reference!$A$11,MIN(D122,300))),Reference!$A$6:$A$11,1))+1)-INDEX(Reference!$A$6:$A$11,MIN(5,MATCH(MAX(Reference!$A$6,MIN(Reference!$A$11,MIN(D122,300))),Reference!$A$6:$A$11,1))))),0))/(AE122*(AE122+5)/2)),(INDEX(Reference!$B$6:$B$11,MIN(5,MATCH(MAX(Reference!$A$6,MIN(Reference!$A$11,D122)),Reference!$A$6:$A$11,1)))+(MAX(Reference!$A$6,MIN(Reference!$A$11,D122))-INDEX(Reference!$A$6:$A$11,MIN(5,MATCH(MAX(Reference!$A$6,MIN(Reference!$A$11,D122)),Reference!$A$6:$A$11,1))))*(INDEX(Reference!$B$6:$B$11,MIN(5,MATCH(MAX(Reference!$A$6,MIN(Reference!$A$11,D122)),Reference!$A$6:$A$11,1))+1)-INDEX(Reference!$B$6:$B$11,MIN(5,MATCH(MAX(Reference!$A$6,MIN(Reference!$A$11,D122)),Reference!$A$6:$A$11,1))))/(INDEX(Reference!$A$6:$A$11,MIN(5,MATCH(MAX(Reference!$A$6,MIN(Reference!$A$11,D122)),Reference!$A$6:$A$11,1))+1)-INDEX(Reference!$A$6:$A$11,MIN(5,MATCH(MAX(Reference!$A$6,MIN(Reference!$A$11,D122)),Reference!$A$6:$A$11,1))))))))</f>
        <v/>
      </c>
      <c r="P122" s="32" t="str">
        <f>IF(N122="","",VLOOKUP(MAX(N122,0),Reference!$A$17:$B$20,2,TRUE()))</f>
        <v/>
      </c>
      <c r="Q122" s="32" t="str">
        <f t="shared" si="12"/>
        <v/>
      </c>
      <c r="R122" s="31"/>
      <c r="S122" s="31"/>
      <c r="T122" s="31"/>
      <c r="U122" s="32" t="str">
        <f t="shared" si="13"/>
        <v/>
      </c>
      <c r="V122" s="32" t="str">
        <f t="shared" si="14"/>
        <v/>
      </c>
      <c r="W122" s="32" t="str">
        <f>IF(V122="","",VLOOKUP(MAX(V122,0),Reference!$A$17:$B$20,2,TRUE()))</f>
        <v/>
      </c>
      <c r="X122" s="31"/>
      <c r="Y122" s="31"/>
      <c r="Z122" s="31"/>
      <c r="AA122" s="32" t="str">
        <f t="shared" si="15"/>
        <v/>
      </c>
      <c r="AB122" s="32" t="str">
        <f t="shared" si="16"/>
        <v/>
      </c>
      <c r="AC122" s="32" t="str">
        <f>IF(AB122="","",VLOOKUP(MAX(AB122,0),Reference!$A$17:$B$20,2,TRUE()))</f>
        <v/>
      </c>
      <c r="AD122" s="31"/>
      <c r="AE122">
        <f t="shared" si="17"/>
        <v>1</v>
      </c>
      <c r="AF122" s="33" t="str">
        <f>IF(OR(A122="",B122="",AND(C122&lt;&gt;"Bullpen",C122&lt;&gt;"Game")),"",IF((COUNTIFS($B$5:$B$300,B122,$A$5:$A$300,A122-1,$C$5:$C$300,"Bullpen",$AG$5:$AG$300,"&gt;0") + COUNTIFS($B$5:$B$300,B122,$A$5:$A$300,A122-1,$C$5:$C$300,"Game",$AG$5:$AG$300,"&gt;0"))&gt;0,Reference!$B$119,IF((COUNTIFS($B$5:$B$300,B122,$A$5:$A$300,A122-2,$C$5:$C$300,"Bullpen",$AG$5:$AG$300,"&gt;0") + COUNTIFS($B$5:$B$300,B122,$A$5:$A$300,A122-2,$C$5:$C$300,"Game",$AG$5:$AG$300,"&gt;0"))&gt;0,Reference!$B$120,1)))</f>
        <v/>
      </c>
      <c r="AG122" s="30" t="str">
        <f>IF(AND(OR(I122="",O122="",P122=""),OR(R122="",W122=""),OR(X122="",AC122="")),"",IF(OR(I122="",O122="",P122=""),0,I122*O122*P122)+IF(OR(R122="",W122=""),0,R122*IFERROR(INDEX(Reference!$B$61:$B$62,MATCH("Bullpen",Reference!$A$61:$A$62,0)),0)*W122)+IF(OR(X122="",AC122=""),0,X122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122))</f>
        <v/>
      </c>
    </row>
    <row r="123" spans="1:33" x14ac:dyDescent="0.3">
      <c r="A123" s="35"/>
      <c r="B123" s="31"/>
      <c r="C123" s="31"/>
      <c r="D123" s="31"/>
      <c r="E123" s="34"/>
      <c r="F123" s="34"/>
      <c r="G123" s="30" t="str">
        <f t="shared" si="9"/>
        <v/>
      </c>
      <c r="H123" s="31"/>
      <c r="I123" s="32" t="str">
        <f>IF(H123&lt;&gt;"",H123,IF(G123="","",ROUND(G123*IFERROR(INDEX(Reference!$B$44:$B$50,MATCH(C123,Reference!$A$44:$A$50,0)),0),0)))</f>
        <v/>
      </c>
      <c r="J123" s="31"/>
      <c r="K123" s="31"/>
      <c r="L123" s="32" t="str">
        <f t="shared" si="10"/>
        <v/>
      </c>
      <c r="M123" s="32" t="str">
        <f>IFERROR(INDEX(Roster!$D$5:$D$40,MATCH(B123,Roster!$A$5:$A$40,0)),"")</f>
        <v/>
      </c>
      <c r="N123" s="32" t="str">
        <f t="shared" si="11"/>
        <v/>
      </c>
      <c r="O123" s="32" t="str">
        <f>IF(OR(C123="Bullpen",C123="Game"),IFERROR(INDEX(Reference!$B$61:$B$62,MATCH(C123,Reference!$A$61:$A$62,0)),""),IF(D123="","",IF(AE123&gt;1,((IF(1&lt;=AE123,(AE123-1+3)*(INDEX(Reference!$B$6:$B$11,MIN(5,MATCH(MAX(Reference!$A$6,MIN(Reference!$A$11,MIN(D123,90))),Reference!$A$6:$A$11,1)))+(MAX(Reference!$A$6,MIN(Reference!$A$11,MIN(D123,90)))-INDEX(Reference!$A$6:$A$11,MIN(5,MATCH(MAX(Reference!$A$6,MIN(Reference!$A$11,MIN(D123,90))),Reference!$A$6:$A$11,1))))*(INDEX(Reference!$B$6:$B$11,MIN(5,MATCH(MAX(Reference!$A$6,MIN(Reference!$A$11,MIN(D123,90))),Reference!$A$6:$A$11,1))+1)-INDEX(Reference!$B$6:$B$11,MIN(5,MATCH(MAX(Reference!$A$6,MIN(Reference!$A$11,MIN(D123,90))),Reference!$A$6:$A$11,1))))/(INDEX(Reference!$A$6:$A$11,MIN(5,MATCH(MAX(Reference!$A$6,MIN(Reference!$A$11,MIN(D123,90))),Reference!$A$6:$A$11,1))+1)-INDEX(Reference!$A$6:$A$11,MIN(5,MATCH(MAX(Reference!$A$6,MIN(Reference!$A$11,MIN(D123,90))),Reference!$A$6:$A$11,1))))),0)+IF(2&lt;=AE123,(AE123-2+3)*(INDEX(Reference!$B$6:$B$11,MIN(5,MATCH(MAX(Reference!$A$6,MIN(Reference!$A$11,MIN(D123,120))),Reference!$A$6:$A$11,1)))+(MAX(Reference!$A$6,MIN(Reference!$A$11,MIN(D123,120)))-INDEX(Reference!$A$6:$A$11,MIN(5,MATCH(MAX(Reference!$A$6,MIN(Reference!$A$11,MIN(D123,120))),Reference!$A$6:$A$11,1))))*(INDEX(Reference!$B$6:$B$11,MIN(5,MATCH(MAX(Reference!$A$6,MIN(Reference!$A$11,MIN(D123,120))),Reference!$A$6:$A$11,1))+1)-INDEX(Reference!$B$6:$B$11,MIN(5,MATCH(MAX(Reference!$A$6,MIN(Reference!$A$11,MIN(D123,120))),Reference!$A$6:$A$11,1))))/(INDEX(Reference!$A$6:$A$11,MIN(5,MATCH(MAX(Reference!$A$6,MIN(Reference!$A$11,MIN(D123,120))),Reference!$A$6:$A$11,1))+1)-INDEX(Reference!$A$6:$A$11,MIN(5,MATCH(MAX(Reference!$A$6,MIN(Reference!$A$11,MIN(D123,120))),Reference!$A$6:$A$11,1))))),0)+IF(3&lt;=AE123,(AE123-3+3)*(INDEX(Reference!$B$6:$B$11,MIN(5,MATCH(MAX(Reference!$A$6,MIN(Reference!$A$11,MIN(D123,150))),Reference!$A$6:$A$11,1)))+(MAX(Reference!$A$6,MIN(Reference!$A$11,MIN(D123,150)))-INDEX(Reference!$A$6:$A$11,MIN(5,MATCH(MAX(Reference!$A$6,MIN(Reference!$A$11,MIN(D123,150))),Reference!$A$6:$A$11,1))))*(INDEX(Reference!$B$6:$B$11,MIN(5,MATCH(MAX(Reference!$A$6,MIN(Reference!$A$11,MIN(D123,150))),Reference!$A$6:$A$11,1))+1)-INDEX(Reference!$B$6:$B$11,MIN(5,MATCH(MAX(Reference!$A$6,MIN(Reference!$A$11,MIN(D123,150))),Reference!$A$6:$A$11,1))))/(INDEX(Reference!$A$6:$A$11,MIN(5,MATCH(MAX(Reference!$A$6,MIN(Reference!$A$11,MIN(D123,150))),Reference!$A$6:$A$11,1))+1)-INDEX(Reference!$A$6:$A$11,MIN(5,MATCH(MAX(Reference!$A$6,MIN(Reference!$A$11,MIN(D123,150))),Reference!$A$6:$A$11,1))))),0)+IF(4&lt;=AE123,(AE123-4+3)*(INDEX(Reference!$B$6:$B$11,MIN(5,MATCH(MAX(Reference!$A$6,MIN(Reference!$A$11,MIN(D123,180))),Reference!$A$6:$A$11,1)))+(MAX(Reference!$A$6,MIN(Reference!$A$11,MIN(D123,180)))-INDEX(Reference!$A$6:$A$11,MIN(5,MATCH(MAX(Reference!$A$6,MIN(Reference!$A$11,MIN(D123,180))),Reference!$A$6:$A$11,1))))*(INDEX(Reference!$B$6:$B$11,MIN(5,MATCH(MAX(Reference!$A$6,MIN(Reference!$A$11,MIN(D123,180))),Reference!$A$6:$A$11,1))+1)-INDEX(Reference!$B$6:$B$11,MIN(5,MATCH(MAX(Reference!$A$6,MIN(Reference!$A$11,MIN(D123,180))),Reference!$A$6:$A$11,1))))/(INDEX(Reference!$A$6:$A$11,MIN(5,MATCH(MAX(Reference!$A$6,MIN(Reference!$A$11,MIN(D123,180))),Reference!$A$6:$A$11,1))+1)-INDEX(Reference!$A$6:$A$11,MIN(5,MATCH(MAX(Reference!$A$6,MIN(Reference!$A$11,MIN(D123,180))),Reference!$A$6:$A$11,1))))),0)+IF(5&lt;=AE123,(AE123-5+3)*(INDEX(Reference!$B$6:$B$11,MIN(5,MATCH(MAX(Reference!$A$6,MIN(Reference!$A$11,MIN(D123,210))),Reference!$A$6:$A$11,1)))+(MAX(Reference!$A$6,MIN(Reference!$A$11,MIN(D123,210)))-INDEX(Reference!$A$6:$A$11,MIN(5,MATCH(MAX(Reference!$A$6,MIN(Reference!$A$11,MIN(D123,210))),Reference!$A$6:$A$11,1))))*(INDEX(Reference!$B$6:$B$11,MIN(5,MATCH(MAX(Reference!$A$6,MIN(Reference!$A$11,MIN(D123,210))),Reference!$A$6:$A$11,1))+1)-INDEX(Reference!$B$6:$B$11,MIN(5,MATCH(MAX(Reference!$A$6,MIN(Reference!$A$11,MIN(D123,210))),Reference!$A$6:$A$11,1))))/(INDEX(Reference!$A$6:$A$11,MIN(5,MATCH(MAX(Reference!$A$6,MIN(Reference!$A$11,MIN(D123,210))),Reference!$A$6:$A$11,1))+1)-INDEX(Reference!$A$6:$A$11,MIN(5,MATCH(MAX(Reference!$A$6,MIN(Reference!$A$11,MIN(D123,210))),Reference!$A$6:$A$11,1))))),0)+IF(6&lt;=AE123,(AE123-6+3)*(INDEX(Reference!$B$6:$B$11,MIN(5,MATCH(MAX(Reference!$A$6,MIN(Reference!$A$11,MIN(D123,240))),Reference!$A$6:$A$11,1)))+(MAX(Reference!$A$6,MIN(Reference!$A$11,MIN(D123,240)))-INDEX(Reference!$A$6:$A$11,MIN(5,MATCH(MAX(Reference!$A$6,MIN(Reference!$A$11,MIN(D123,240))),Reference!$A$6:$A$11,1))))*(INDEX(Reference!$B$6:$B$11,MIN(5,MATCH(MAX(Reference!$A$6,MIN(Reference!$A$11,MIN(D123,240))),Reference!$A$6:$A$11,1))+1)-INDEX(Reference!$B$6:$B$11,MIN(5,MATCH(MAX(Reference!$A$6,MIN(Reference!$A$11,MIN(D123,240))),Reference!$A$6:$A$11,1))))/(INDEX(Reference!$A$6:$A$11,MIN(5,MATCH(MAX(Reference!$A$6,MIN(Reference!$A$11,MIN(D123,240))),Reference!$A$6:$A$11,1))+1)-INDEX(Reference!$A$6:$A$11,MIN(5,MATCH(MAX(Reference!$A$6,MIN(Reference!$A$11,MIN(D123,240))),Reference!$A$6:$A$11,1))))),0)+IF(7&lt;=AE123,(AE123-7+3)*(INDEX(Reference!$B$6:$B$11,MIN(5,MATCH(MAX(Reference!$A$6,MIN(Reference!$A$11,MIN(D123,270))),Reference!$A$6:$A$11,1)))+(MAX(Reference!$A$6,MIN(Reference!$A$11,MIN(D123,270)))-INDEX(Reference!$A$6:$A$11,MIN(5,MATCH(MAX(Reference!$A$6,MIN(Reference!$A$11,MIN(D123,270))),Reference!$A$6:$A$11,1))))*(INDEX(Reference!$B$6:$B$11,MIN(5,MATCH(MAX(Reference!$A$6,MIN(Reference!$A$11,MIN(D123,270))),Reference!$A$6:$A$11,1))+1)-INDEX(Reference!$B$6:$B$11,MIN(5,MATCH(MAX(Reference!$A$6,MIN(Reference!$A$11,MIN(D123,270))),Reference!$A$6:$A$11,1))))/(INDEX(Reference!$A$6:$A$11,MIN(5,MATCH(MAX(Reference!$A$6,MIN(Reference!$A$11,MIN(D123,270))),Reference!$A$6:$A$11,1))+1)-INDEX(Reference!$A$6:$A$11,MIN(5,MATCH(MAX(Reference!$A$6,MIN(Reference!$A$11,MIN(D123,270))),Reference!$A$6:$A$11,1))))),0)+IF(8&lt;=AE123,(AE123-8+3)*(INDEX(Reference!$B$6:$B$11,MIN(5,MATCH(MAX(Reference!$A$6,MIN(Reference!$A$11,MIN(D123,300))),Reference!$A$6:$A$11,1)))+(MAX(Reference!$A$6,MIN(Reference!$A$11,MIN(D123,300)))-INDEX(Reference!$A$6:$A$11,MIN(5,MATCH(MAX(Reference!$A$6,MIN(Reference!$A$11,MIN(D123,300))),Reference!$A$6:$A$11,1))))*(INDEX(Reference!$B$6:$B$11,MIN(5,MATCH(MAX(Reference!$A$6,MIN(Reference!$A$11,MIN(D123,300))),Reference!$A$6:$A$11,1))+1)-INDEX(Reference!$B$6:$B$11,MIN(5,MATCH(MAX(Reference!$A$6,MIN(Reference!$A$11,MIN(D123,300))),Reference!$A$6:$A$11,1))))/(INDEX(Reference!$A$6:$A$11,MIN(5,MATCH(MAX(Reference!$A$6,MIN(Reference!$A$11,MIN(D123,300))),Reference!$A$6:$A$11,1))+1)-INDEX(Reference!$A$6:$A$11,MIN(5,MATCH(MAX(Reference!$A$6,MIN(Reference!$A$11,MIN(D123,300))),Reference!$A$6:$A$11,1))))),0))/(AE123*(AE123+5)/2)),(INDEX(Reference!$B$6:$B$11,MIN(5,MATCH(MAX(Reference!$A$6,MIN(Reference!$A$11,D123)),Reference!$A$6:$A$11,1)))+(MAX(Reference!$A$6,MIN(Reference!$A$11,D123))-INDEX(Reference!$A$6:$A$11,MIN(5,MATCH(MAX(Reference!$A$6,MIN(Reference!$A$11,D123)),Reference!$A$6:$A$11,1))))*(INDEX(Reference!$B$6:$B$11,MIN(5,MATCH(MAX(Reference!$A$6,MIN(Reference!$A$11,D123)),Reference!$A$6:$A$11,1))+1)-INDEX(Reference!$B$6:$B$11,MIN(5,MATCH(MAX(Reference!$A$6,MIN(Reference!$A$11,D123)),Reference!$A$6:$A$11,1))))/(INDEX(Reference!$A$6:$A$11,MIN(5,MATCH(MAX(Reference!$A$6,MIN(Reference!$A$11,D123)),Reference!$A$6:$A$11,1))+1)-INDEX(Reference!$A$6:$A$11,MIN(5,MATCH(MAX(Reference!$A$6,MIN(Reference!$A$11,D123)),Reference!$A$6:$A$11,1))))))))</f>
        <v/>
      </c>
      <c r="P123" s="32" t="str">
        <f>IF(N123="","",VLOOKUP(MAX(N123,0),Reference!$A$17:$B$20,2,TRUE()))</f>
        <v/>
      </c>
      <c r="Q123" s="32" t="str">
        <f t="shared" si="12"/>
        <v/>
      </c>
      <c r="R123" s="31"/>
      <c r="S123" s="31"/>
      <c r="T123" s="31"/>
      <c r="U123" s="32" t="str">
        <f t="shared" si="13"/>
        <v/>
      </c>
      <c r="V123" s="32" t="str">
        <f t="shared" si="14"/>
        <v/>
      </c>
      <c r="W123" s="32" t="str">
        <f>IF(V123="","",VLOOKUP(MAX(V123,0),Reference!$A$17:$B$20,2,TRUE()))</f>
        <v/>
      </c>
      <c r="X123" s="31"/>
      <c r="Y123" s="31"/>
      <c r="Z123" s="31"/>
      <c r="AA123" s="32" t="str">
        <f t="shared" si="15"/>
        <v/>
      </c>
      <c r="AB123" s="32" t="str">
        <f t="shared" si="16"/>
        <v/>
      </c>
      <c r="AC123" s="32" t="str">
        <f>IF(AB123="","",VLOOKUP(MAX(AB123,0),Reference!$A$17:$B$20,2,TRUE()))</f>
        <v/>
      </c>
      <c r="AD123" s="31"/>
      <c r="AE123">
        <f t="shared" si="17"/>
        <v>1</v>
      </c>
      <c r="AF123" s="33" t="str">
        <f>IF(OR(A123="",B123="",AND(C123&lt;&gt;"Bullpen",C123&lt;&gt;"Game")),"",IF((COUNTIFS($B$5:$B$300,B123,$A$5:$A$300,A123-1,$C$5:$C$300,"Bullpen",$AG$5:$AG$300,"&gt;0") + COUNTIFS($B$5:$B$300,B123,$A$5:$A$300,A123-1,$C$5:$C$300,"Game",$AG$5:$AG$300,"&gt;0"))&gt;0,Reference!$B$119,IF((COUNTIFS($B$5:$B$300,B123,$A$5:$A$300,A123-2,$C$5:$C$300,"Bullpen",$AG$5:$AG$300,"&gt;0") + COUNTIFS($B$5:$B$300,B123,$A$5:$A$300,A123-2,$C$5:$C$300,"Game",$AG$5:$AG$300,"&gt;0"))&gt;0,Reference!$B$120,1)))</f>
        <v/>
      </c>
      <c r="AG123" s="30" t="str">
        <f>IF(AND(OR(I123="",O123="",P123=""),OR(R123="",W123=""),OR(X123="",AC123="")),"",IF(OR(I123="",O123="",P123=""),0,I123*O123*P123)+IF(OR(R123="",W123=""),0,R123*IFERROR(INDEX(Reference!$B$61:$B$62,MATCH("Bullpen",Reference!$A$61:$A$62,0)),0)*W123)+IF(OR(X123="",AC123=""),0,X123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123))</f>
        <v/>
      </c>
    </row>
    <row r="124" spans="1:33" x14ac:dyDescent="0.3">
      <c r="A124" s="35"/>
      <c r="B124" s="31"/>
      <c r="C124" s="31"/>
      <c r="D124" s="31"/>
      <c r="E124" s="34"/>
      <c r="F124" s="34"/>
      <c r="G124" s="30" t="str">
        <f t="shared" si="9"/>
        <v/>
      </c>
      <c r="H124" s="31"/>
      <c r="I124" s="32" t="str">
        <f>IF(H124&lt;&gt;"",H124,IF(G124="","",ROUND(G124*IFERROR(INDEX(Reference!$B$44:$B$50,MATCH(C124,Reference!$A$44:$A$50,0)),0),0)))</f>
        <v/>
      </c>
      <c r="J124" s="31"/>
      <c r="K124" s="31"/>
      <c r="L124" s="32" t="str">
        <f t="shared" si="10"/>
        <v/>
      </c>
      <c r="M124" s="32" t="str">
        <f>IFERROR(INDEX(Roster!$D$5:$D$40,MATCH(B124,Roster!$A$5:$A$40,0)),"")</f>
        <v/>
      </c>
      <c r="N124" s="32" t="str">
        <f t="shared" si="11"/>
        <v/>
      </c>
      <c r="O124" s="32" t="str">
        <f>IF(OR(C124="Bullpen",C124="Game"),IFERROR(INDEX(Reference!$B$61:$B$62,MATCH(C124,Reference!$A$61:$A$62,0)),""),IF(D124="","",IF(AE124&gt;1,((IF(1&lt;=AE124,(AE124-1+3)*(INDEX(Reference!$B$6:$B$11,MIN(5,MATCH(MAX(Reference!$A$6,MIN(Reference!$A$11,MIN(D124,90))),Reference!$A$6:$A$11,1)))+(MAX(Reference!$A$6,MIN(Reference!$A$11,MIN(D124,90)))-INDEX(Reference!$A$6:$A$11,MIN(5,MATCH(MAX(Reference!$A$6,MIN(Reference!$A$11,MIN(D124,90))),Reference!$A$6:$A$11,1))))*(INDEX(Reference!$B$6:$B$11,MIN(5,MATCH(MAX(Reference!$A$6,MIN(Reference!$A$11,MIN(D124,90))),Reference!$A$6:$A$11,1))+1)-INDEX(Reference!$B$6:$B$11,MIN(5,MATCH(MAX(Reference!$A$6,MIN(Reference!$A$11,MIN(D124,90))),Reference!$A$6:$A$11,1))))/(INDEX(Reference!$A$6:$A$11,MIN(5,MATCH(MAX(Reference!$A$6,MIN(Reference!$A$11,MIN(D124,90))),Reference!$A$6:$A$11,1))+1)-INDEX(Reference!$A$6:$A$11,MIN(5,MATCH(MAX(Reference!$A$6,MIN(Reference!$A$11,MIN(D124,90))),Reference!$A$6:$A$11,1))))),0)+IF(2&lt;=AE124,(AE124-2+3)*(INDEX(Reference!$B$6:$B$11,MIN(5,MATCH(MAX(Reference!$A$6,MIN(Reference!$A$11,MIN(D124,120))),Reference!$A$6:$A$11,1)))+(MAX(Reference!$A$6,MIN(Reference!$A$11,MIN(D124,120)))-INDEX(Reference!$A$6:$A$11,MIN(5,MATCH(MAX(Reference!$A$6,MIN(Reference!$A$11,MIN(D124,120))),Reference!$A$6:$A$11,1))))*(INDEX(Reference!$B$6:$B$11,MIN(5,MATCH(MAX(Reference!$A$6,MIN(Reference!$A$11,MIN(D124,120))),Reference!$A$6:$A$11,1))+1)-INDEX(Reference!$B$6:$B$11,MIN(5,MATCH(MAX(Reference!$A$6,MIN(Reference!$A$11,MIN(D124,120))),Reference!$A$6:$A$11,1))))/(INDEX(Reference!$A$6:$A$11,MIN(5,MATCH(MAX(Reference!$A$6,MIN(Reference!$A$11,MIN(D124,120))),Reference!$A$6:$A$11,1))+1)-INDEX(Reference!$A$6:$A$11,MIN(5,MATCH(MAX(Reference!$A$6,MIN(Reference!$A$11,MIN(D124,120))),Reference!$A$6:$A$11,1))))),0)+IF(3&lt;=AE124,(AE124-3+3)*(INDEX(Reference!$B$6:$B$11,MIN(5,MATCH(MAX(Reference!$A$6,MIN(Reference!$A$11,MIN(D124,150))),Reference!$A$6:$A$11,1)))+(MAX(Reference!$A$6,MIN(Reference!$A$11,MIN(D124,150)))-INDEX(Reference!$A$6:$A$11,MIN(5,MATCH(MAX(Reference!$A$6,MIN(Reference!$A$11,MIN(D124,150))),Reference!$A$6:$A$11,1))))*(INDEX(Reference!$B$6:$B$11,MIN(5,MATCH(MAX(Reference!$A$6,MIN(Reference!$A$11,MIN(D124,150))),Reference!$A$6:$A$11,1))+1)-INDEX(Reference!$B$6:$B$11,MIN(5,MATCH(MAX(Reference!$A$6,MIN(Reference!$A$11,MIN(D124,150))),Reference!$A$6:$A$11,1))))/(INDEX(Reference!$A$6:$A$11,MIN(5,MATCH(MAX(Reference!$A$6,MIN(Reference!$A$11,MIN(D124,150))),Reference!$A$6:$A$11,1))+1)-INDEX(Reference!$A$6:$A$11,MIN(5,MATCH(MAX(Reference!$A$6,MIN(Reference!$A$11,MIN(D124,150))),Reference!$A$6:$A$11,1))))),0)+IF(4&lt;=AE124,(AE124-4+3)*(INDEX(Reference!$B$6:$B$11,MIN(5,MATCH(MAX(Reference!$A$6,MIN(Reference!$A$11,MIN(D124,180))),Reference!$A$6:$A$11,1)))+(MAX(Reference!$A$6,MIN(Reference!$A$11,MIN(D124,180)))-INDEX(Reference!$A$6:$A$11,MIN(5,MATCH(MAX(Reference!$A$6,MIN(Reference!$A$11,MIN(D124,180))),Reference!$A$6:$A$11,1))))*(INDEX(Reference!$B$6:$B$11,MIN(5,MATCH(MAX(Reference!$A$6,MIN(Reference!$A$11,MIN(D124,180))),Reference!$A$6:$A$11,1))+1)-INDEX(Reference!$B$6:$B$11,MIN(5,MATCH(MAX(Reference!$A$6,MIN(Reference!$A$11,MIN(D124,180))),Reference!$A$6:$A$11,1))))/(INDEX(Reference!$A$6:$A$11,MIN(5,MATCH(MAX(Reference!$A$6,MIN(Reference!$A$11,MIN(D124,180))),Reference!$A$6:$A$11,1))+1)-INDEX(Reference!$A$6:$A$11,MIN(5,MATCH(MAX(Reference!$A$6,MIN(Reference!$A$11,MIN(D124,180))),Reference!$A$6:$A$11,1))))),0)+IF(5&lt;=AE124,(AE124-5+3)*(INDEX(Reference!$B$6:$B$11,MIN(5,MATCH(MAX(Reference!$A$6,MIN(Reference!$A$11,MIN(D124,210))),Reference!$A$6:$A$11,1)))+(MAX(Reference!$A$6,MIN(Reference!$A$11,MIN(D124,210)))-INDEX(Reference!$A$6:$A$11,MIN(5,MATCH(MAX(Reference!$A$6,MIN(Reference!$A$11,MIN(D124,210))),Reference!$A$6:$A$11,1))))*(INDEX(Reference!$B$6:$B$11,MIN(5,MATCH(MAX(Reference!$A$6,MIN(Reference!$A$11,MIN(D124,210))),Reference!$A$6:$A$11,1))+1)-INDEX(Reference!$B$6:$B$11,MIN(5,MATCH(MAX(Reference!$A$6,MIN(Reference!$A$11,MIN(D124,210))),Reference!$A$6:$A$11,1))))/(INDEX(Reference!$A$6:$A$11,MIN(5,MATCH(MAX(Reference!$A$6,MIN(Reference!$A$11,MIN(D124,210))),Reference!$A$6:$A$11,1))+1)-INDEX(Reference!$A$6:$A$11,MIN(5,MATCH(MAX(Reference!$A$6,MIN(Reference!$A$11,MIN(D124,210))),Reference!$A$6:$A$11,1))))),0)+IF(6&lt;=AE124,(AE124-6+3)*(INDEX(Reference!$B$6:$B$11,MIN(5,MATCH(MAX(Reference!$A$6,MIN(Reference!$A$11,MIN(D124,240))),Reference!$A$6:$A$11,1)))+(MAX(Reference!$A$6,MIN(Reference!$A$11,MIN(D124,240)))-INDEX(Reference!$A$6:$A$11,MIN(5,MATCH(MAX(Reference!$A$6,MIN(Reference!$A$11,MIN(D124,240))),Reference!$A$6:$A$11,1))))*(INDEX(Reference!$B$6:$B$11,MIN(5,MATCH(MAX(Reference!$A$6,MIN(Reference!$A$11,MIN(D124,240))),Reference!$A$6:$A$11,1))+1)-INDEX(Reference!$B$6:$B$11,MIN(5,MATCH(MAX(Reference!$A$6,MIN(Reference!$A$11,MIN(D124,240))),Reference!$A$6:$A$11,1))))/(INDEX(Reference!$A$6:$A$11,MIN(5,MATCH(MAX(Reference!$A$6,MIN(Reference!$A$11,MIN(D124,240))),Reference!$A$6:$A$11,1))+1)-INDEX(Reference!$A$6:$A$11,MIN(5,MATCH(MAX(Reference!$A$6,MIN(Reference!$A$11,MIN(D124,240))),Reference!$A$6:$A$11,1))))),0)+IF(7&lt;=AE124,(AE124-7+3)*(INDEX(Reference!$B$6:$B$11,MIN(5,MATCH(MAX(Reference!$A$6,MIN(Reference!$A$11,MIN(D124,270))),Reference!$A$6:$A$11,1)))+(MAX(Reference!$A$6,MIN(Reference!$A$11,MIN(D124,270)))-INDEX(Reference!$A$6:$A$11,MIN(5,MATCH(MAX(Reference!$A$6,MIN(Reference!$A$11,MIN(D124,270))),Reference!$A$6:$A$11,1))))*(INDEX(Reference!$B$6:$B$11,MIN(5,MATCH(MAX(Reference!$A$6,MIN(Reference!$A$11,MIN(D124,270))),Reference!$A$6:$A$11,1))+1)-INDEX(Reference!$B$6:$B$11,MIN(5,MATCH(MAX(Reference!$A$6,MIN(Reference!$A$11,MIN(D124,270))),Reference!$A$6:$A$11,1))))/(INDEX(Reference!$A$6:$A$11,MIN(5,MATCH(MAX(Reference!$A$6,MIN(Reference!$A$11,MIN(D124,270))),Reference!$A$6:$A$11,1))+1)-INDEX(Reference!$A$6:$A$11,MIN(5,MATCH(MAX(Reference!$A$6,MIN(Reference!$A$11,MIN(D124,270))),Reference!$A$6:$A$11,1))))),0)+IF(8&lt;=AE124,(AE124-8+3)*(INDEX(Reference!$B$6:$B$11,MIN(5,MATCH(MAX(Reference!$A$6,MIN(Reference!$A$11,MIN(D124,300))),Reference!$A$6:$A$11,1)))+(MAX(Reference!$A$6,MIN(Reference!$A$11,MIN(D124,300)))-INDEX(Reference!$A$6:$A$11,MIN(5,MATCH(MAX(Reference!$A$6,MIN(Reference!$A$11,MIN(D124,300))),Reference!$A$6:$A$11,1))))*(INDEX(Reference!$B$6:$B$11,MIN(5,MATCH(MAX(Reference!$A$6,MIN(Reference!$A$11,MIN(D124,300))),Reference!$A$6:$A$11,1))+1)-INDEX(Reference!$B$6:$B$11,MIN(5,MATCH(MAX(Reference!$A$6,MIN(Reference!$A$11,MIN(D124,300))),Reference!$A$6:$A$11,1))))/(INDEX(Reference!$A$6:$A$11,MIN(5,MATCH(MAX(Reference!$A$6,MIN(Reference!$A$11,MIN(D124,300))),Reference!$A$6:$A$11,1))+1)-INDEX(Reference!$A$6:$A$11,MIN(5,MATCH(MAX(Reference!$A$6,MIN(Reference!$A$11,MIN(D124,300))),Reference!$A$6:$A$11,1))))),0))/(AE124*(AE124+5)/2)),(INDEX(Reference!$B$6:$B$11,MIN(5,MATCH(MAX(Reference!$A$6,MIN(Reference!$A$11,D124)),Reference!$A$6:$A$11,1)))+(MAX(Reference!$A$6,MIN(Reference!$A$11,D124))-INDEX(Reference!$A$6:$A$11,MIN(5,MATCH(MAX(Reference!$A$6,MIN(Reference!$A$11,D124)),Reference!$A$6:$A$11,1))))*(INDEX(Reference!$B$6:$B$11,MIN(5,MATCH(MAX(Reference!$A$6,MIN(Reference!$A$11,D124)),Reference!$A$6:$A$11,1))+1)-INDEX(Reference!$B$6:$B$11,MIN(5,MATCH(MAX(Reference!$A$6,MIN(Reference!$A$11,D124)),Reference!$A$6:$A$11,1))))/(INDEX(Reference!$A$6:$A$11,MIN(5,MATCH(MAX(Reference!$A$6,MIN(Reference!$A$11,D124)),Reference!$A$6:$A$11,1))+1)-INDEX(Reference!$A$6:$A$11,MIN(5,MATCH(MAX(Reference!$A$6,MIN(Reference!$A$11,D124)),Reference!$A$6:$A$11,1))))))))</f>
        <v/>
      </c>
      <c r="P124" s="32" t="str">
        <f>IF(N124="","",VLOOKUP(MAX(N124,0),Reference!$A$17:$B$20,2,TRUE()))</f>
        <v/>
      </c>
      <c r="Q124" s="32" t="str">
        <f t="shared" si="12"/>
        <v/>
      </c>
      <c r="R124" s="31"/>
      <c r="S124" s="31"/>
      <c r="T124" s="31"/>
      <c r="U124" s="32" t="str">
        <f t="shared" si="13"/>
        <v/>
      </c>
      <c r="V124" s="32" t="str">
        <f t="shared" si="14"/>
        <v/>
      </c>
      <c r="W124" s="32" t="str">
        <f>IF(V124="","",VLOOKUP(MAX(V124,0),Reference!$A$17:$B$20,2,TRUE()))</f>
        <v/>
      </c>
      <c r="X124" s="31"/>
      <c r="Y124" s="31"/>
      <c r="Z124" s="31"/>
      <c r="AA124" s="32" t="str">
        <f t="shared" si="15"/>
        <v/>
      </c>
      <c r="AB124" s="32" t="str">
        <f t="shared" si="16"/>
        <v/>
      </c>
      <c r="AC124" s="32" t="str">
        <f>IF(AB124="","",VLOOKUP(MAX(AB124,0),Reference!$A$17:$B$20,2,TRUE()))</f>
        <v/>
      </c>
      <c r="AD124" s="31"/>
      <c r="AE124">
        <f t="shared" si="17"/>
        <v>1</v>
      </c>
      <c r="AF124" s="33" t="str">
        <f>IF(OR(A124="",B124="",AND(C124&lt;&gt;"Bullpen",C124&lt;&gt;"Game")),"",IF((COUNTIFS($B$5:$B$300,B124,$A$5:$A$300,A124-1,$C$5:$C$300,"Bullpen",$AG$5:$AG$300,"&gt;0") + COUNTIFS($B$5:$B$300,B124,$A$5:$A$300,A124-1,$C$5:$C$300,"Game",$AG$5:$AG$300,"&gt;0"))&gt;0,Reference!$B$119,IF((COUNTIFS($B$5:$B$300,B124,$A$5:$A$300,A124-2,$C$5:$C$300,"Bullpen",$AG$5:$AG$300,"&gt;0") + COUNTIFS($B$5:$B$300,B124,$A$5:$A$300,A124-2,$C$5:$C$300,"Game",$AG$5:$AG$300,"&gt;0"))&gt;0,Reference!$B$120,1)))</f>
        <v/>
      </c>
      <c r="AG124" s="30" t="str">
        <f>IF(AND(OR(I124="",O124="",P124=""),OR(R124="",W124=""),OR(X124="",AC124="")),"",IF(OR(I124="",O124="",P124=""),0,I124*O124*P124)+IF(OR(R124="",W124=""),0,R124*IFERROR(INDEX(Reference!$B$61:$B$62,MATCH("Bullpen",Reference!$A$61:$A$62,0)),0)*W124)+IF(OR(X124="",AC124=""),0,X124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124))</f>
        <v/>
      </c>
    </row>
    <row r="125" spans="1:33" x14ac:dyDescent="0.3">
      <c r="A125" s="35"/>
      <c r="B125" s="31"/>
      <c r="C125" s="31"/>
      <c r="D125" s="31"/>
      <c r="E125" s="34"/>
      <c r="F125" s="34"/>
      <c r="G125" s="30" t="str">
        <f t="shared" si="9"/>
        <v/>
      </c>
      <c r="H125" s="31"/>
      <c r="I125" s="32" t="str">
        <f>IF(H125&lt;&gt;"",H125,IF(G125="","",ROUND(G125*IFERROR(INDEX(Reference!$B$44:$B$50,MATCH(C125,Reference!$A$44:$A$50,0)),0),0)))</f>
        <v/>
      </c>
      <c r="J125" s="31"/>
      <c r="K125" s="31"/>
      <c r="L125" s="32" t="str">
        <f t="shared" si="10"/>
        <v/>
      </c>
      <c r="M125" s="32" t="str">
        <f>IFERROR(INDEX(Roster!$D$5:$D$40,MATCH(B125,Roster!$A$5:$A$40,0)),"")</f>
        <v/>
      </c>
      <c r="N125" s="32" t="str">
        <f t="shared" si="11"/>
        <v/>
      </c>
      <c r="O125" s="32" t="str">
        <f>IF(OR(C125="Bullpen",C125="Game"),IFERROR(INDEX(Reference!$B$61:$B$62,MATCH(C125,Reference!$A$61:$A$62,0)),""),IF(D125="","",IF(AE125&gt;1,((IF(1&lt;=AE125,(AE125-1+3)*(INDEX(Reference!$B$6:$B$11,MIN(5,MATCH(MAX(Reference!$A$6,MIN(Reference!$A$11,MIN(D125,90))),Reference!$A$6:$A$11,1)))+(MAX(Reference!$A$6,MIN(Reference!$A$11,MIN(D125,90)))-INDEX(Reference!$A$6:$A$11,MIN(5,MATCH(MAX(Reference!$A$6,MIN(Reference!$A$11,MIN(D125,90))),Reference!$A$6:$A$11,1))))*(INDEX(Reference!$B$6:$B$11,MIN(5,MATCH(MAX(Reference!$A$6,MIN(Reference!$A$11,MIN(D125,90))),Reference!$A$6:$A$11,1))+1)-INDEX(Reference!$B$6:$B$11,MIN(5,MATCH(MAX(Reference!$A$6,MIN(Reference!$A$11,MIN(D125,90))),Reference!$A$6:$A$11,1))))/(INDEX(Reference!$A$6:$A$11,MIN(5,MATCH(MAX(Reference!$A$6,MIN(Reference!$A$11,MIN(D125,90))),Reference!$A$6:$A$11,1))+1)-INDEX(Reference!$A$6:$A$11,MIN(5,MATCH(MAX(Reference!$A$6,MIN(Reference!$A$11,MIN(D125,90))),Reference!$A$6:$A$11,1))))),0)+IF(2&lt;=AE125,(AE125-2+3)*(INDEX(Reference!$B$6:$B$11,MIN(5,MATCH(MAX(Reference!$A$6,MIN(Reference!$A$11,MIN(D125,120))),Reference!$A$6:$A$11,1)))+(MAX(Reference!$A$6,MIN(Reference!$A$11,MIN(D125,120)))-INDEX(Reference!$A$6:$A$11,MIN(5,MATCH(MAX(Reference!$A$6,MIN(Reference!$A$11,MIN(D125,120))),Reference!$A$6:$A$11,1))))*(INDEX(Reference!$B$6:$B$11,MIN(5,MATCH(MAX(Reference!$A$6,MIN(Reference!$A$11,MIN(D125,120))),Reference!$A$6:$A$11,1))+1)-INDEX(Reference!$B$6:$B$11,MIN(5,MATCH(MAX(Reference!$A$6,MIN(Reference!$A$11,MIN(D125,120))),Reference!$A$6:$A$11,1))))/(INDEX(Reference!$A$6:$A$11,MIN(5,MATCH(MAX(Reference!$A$6,MIN(Reference!$A$11,MIN(D125,120))),Reference!$A$6:$A$11,1))+1)-INDEX(Reference!$A$6:$A$11,MIN(5,MATCH(MAX(Reference!$A$6,MIN(Reference!$A$11,MIN(D125,120))),Reference!$A$6:$A$11,1))))),0)+IF(3&lt;=AE125,(AE125-3+3)*(INDEX(Reference!$B$6:$B$11,MIN(5,MATCH(MAX(Reference!$A$6,MIN(Reference!$A$11,MIN(D125,150))),Reference!$A$6:$A$11,1)))+(MAX(Reference!$A$6,MIN(Reference!$A$11,MIN(D125,150)))-INDEX(Reference!$A$6:$A$11,MIN(5,MATCH(MAX(Reference!$A$6,MIN(Reference!$A$11,MIN(D125,150))),Reference!$A$6:$A$11,1))))*(INDEX(Reference!$B$6:$B$11,MIN(5,MATCH(MAX(Reference!$A$6,MIN(Reference!$A$11,MIN(D125,150))),Reference!$A$6:$A$11,1))+1)-INDEX(Reference!$B$6:$B$11,MIN(5,MATCH(MAX(Reference!$A$6,MIN(Reference!$A$11,MIN(D125,150))),Reference!$A$6:$A$11,1))))/(INDEX(Reference!$A$6:$A$11,MIN(5,MATCH(MAX(Reference!$A$6,MIN(Reference!$A$11,MIN(D125,150))),Reference!$A$6:$A$11,1))+1)-INDEX(Reference!$A$6:$A$11,MIN(5,MATCH(MAX(Reference!$A$6,MIN(Reference!$A$11,MIN(D125,150))),Reference!$A$6:$A$11,1))))),0)+IF(4&lt;=AE125,(AE125-4+3)*(INDEX(Reference!$B$6:$B$11,MIN(5,MATCH(MAX(Reference!$A$6,MIN(Reference!$A$11,MIN(D125,180))),Reference!$A$6:$A$11,1)))+(MAX(Reference!$A$6,MIN(Reference!$A$11,MIN(D125,180)))-INDEX(Reference!$A$6:$A$11,MIN(5,MATCH(MAX(Reference!$A$6,MIN(Reference!$A$11,MIN(D125,180))),Reference!$A$6:$A$11,1))))*(INDEX(Reference!$B$6:$B$11,MIN(5,MATCH(MAX(Reference!$A$6,MIN(Reference!$A$11,MIN(D125,180))),Reference!$A$6:$A$11,1))+1)-INDEX(Reference!$B$6:$B$11,MIN(5,MATCH(MAX(Reference!$A$6,MIN(Reference!$A$11,MIN(D125,180))),Reference!$A$6:$A$11,1))))/(INDEX(Reference!$A$6:$A$11,MIN(5,MATCH(MAX(Reference!$A$6,MIN(Reference!$A$11,MIN(D125,180))),Reference!$A$6:$A$11,1))+1)-INDEX(Reference!$A$6:$A$11,MIN(5,MATCH(MAX(Reference!$A$6,MIN(Reference!$A$11,MIN(D125,180))),Reference!$A$6:$A$11,1))))),0)+IF(5&lt;=AE125,(AE125-5+3)*(INDEX(Reference!$B$6:$B$11,MIN(5,MATCH(MAX(Reference!$A$6,MIN(Reference!$A$11,MIN(D125,210))),Reference!$A$6:$A$11,1)))+(MAX(Reference!$A$6,MIN(Reference!$A$11,MIN(D125,210)))-INDEX(Reference!$A$6:$A$11,MIN(5,MATCH(MAX(Reference!$A$6,MIN(Reference!$A$11,MIN(D125,210))),Reference!$A$6:$A$11,1))))*(INDEX(Reference!$B$6:$B$11,MIN(5,MATCH(MAX(Reference!$A$6,MIN(Reference!$A$11,MIN(D125,210))),Reference!$A$6:$A$11,1))+1)-INDEX(Reference!$B$6:$B$11,MIN(5,MATCH(MAX(Reference!$A$6,MIN(Reference!$A$11,MIN(D125,210))),Reference!$A$6:$A$11,1))))/(INDEX(Reference!$A$6:$A$11,MIN(5,MATCH(MAX(Reference!$A$6,MIN(Reference!$A$11,MIN(D125,210))),Reference!$A$6:$A$11,1))+1)-INDEX(Reference!$A$6:$A$11,MIN(5,MATCH(MAX(Reference!$A$6,MIN(Reference!$A$11,MIN(D125,210))),Reference!$A$6:$A$11,1))))),0)+IF(6&lt;=AE125,(AE125-6+3)*(INDEX(Reference!$B$6:$B$11,MIN(5,MATCH(MAX(Reference!$A$6,MIN(Reference!$A$11,MIN(D125,240))),Reference!$A$6:$A$11,1)))+(MAX(Reference!$A$6,MIN(Reference!$A$11,MIN(D125,240)))-INDEX(Reference!$A$6:$A$11,MIN(5,MATCH(MAX(Reference!$A$6,MIN(Reference!$A$11,MIN(D125,240))),Reference!$A$6:$A$11,1))))*(INDEX(Reference!$B$6:$B$11,MIN(5,MATCH(MAX(Reference!$A$6,MIN(Reference!$A$11,MIN(D125,240))),Reference!$A$6:$A$11,1))+1)-INDEX(Reference!$B$6:$B$11,MIN(5,MATCH(MAX(Reference!$A$6,MIN(Reference!$A$11,MIN(D125,240))),Reference!$A$6:$A$11,1))))/(INDEX(Reference!$A$6:$A$11,MIN(5,MATCH(MAX(Reference!$A$6,MIN(Reference!$A$11,MIN(D125,240))),Reference!$A$6:$A$11,1))+1)-INDEX(Reference!$A$6:$A$11,MIN(5,MATCH(MAX(Reference!$A$6,MIN(Reference!$A$11,MIN(D125,240))),Reference!$A$6:$A$11,1))))),0)+IF(7&lt;=AE125,(AE125-7+3)*(INDEX(Reference!$B$6:$B$11,MIN(5,MATCH(MAX(Reference!$A$6,MIN(Reference!$A$11,MIN(D125,270))),Reference!$A$6:$A$11,1)))+(MAX(Reference!$A$6,MIN(Reference!$A$11,MIN(D125,270)))-INDEX(Reference!$A$6:$A$11,MIN(5,MATCH(MAX(Reference!$A$6,MIN(Reference!$A$11,MIN(D125,270))),Reference!$A$6:$A$11,1))))*(INDEX(Reference!$B$6:$B$11,MIN(5,MATCH(MAX(Reference!$A$6,MIN(Reference!$A$11,MIN(D125,270))),Reference!$A$6:$A$11,1))+1)-INDEX(Reference!$B$6:$B$11,MIN(5,MATCH(MAX(Reference!$A$6,MIN(Reference!$A$11,MIN(D125,270))),Reference!$A$6:$A$11,1))))/(INDEX(Reference!$A$6:$A$11,MIN(5,MATCH(MAX(Reference!$A$6,MIN(Reference!$A$11,MIN(D125,270))),Reference!$A$6:$A$11,1))+1)-INDEX(Reference!$A$6:$A$11,MIN(5,MATCH(MAX(Reference!$A$6,MIN(Reference!$A$11,MIN(D125,270))),Reference!$A$6:$A$11,1))))),0)+IF(8&lt;=AE125,(AE125-8+3)*(INDEX(Reference!$B$6:$B$11,MIN(5,MATCH(MAX(Reference!$A$6,MIN(Reference!$A$11,MIN(D125,300))),Reference!$A$6:$A$11,1)))+(MAX(Reference!$A$6,MIN(Reference!$A$11,MIN(D125,300)))-INDEX(Reference!$A$6:$A$11,MIN(5,MATCH(MAX(Reference!$A$6,MIN(Reference!$A$11,MIN(D125,300))),Reference!$A$6:$A$11,1))))*(INDEX(Reference!$B$6:$B$11,MIN(5,MATCH(MAX(Reference!$A$6,MIN(Reference!$A$11,MIN(D125,300))),Reference!$A$6:$A$11,1))+1)-INDEX(Reference!$B$6:$B$11,MIN(5,MATCH(MAX(Reference!$A$6,MIN(Reference!$A$11,MIN(D125,300))),Reference!$A$6:$A$11,1))))/(INDEX(Reference!$A$6:$A$11,MIN(5,MATCH(MAX(Reference!$A$6,MIN(Reference!$A$11,MIN(D125,300))),Reference!$A$6:$A$11,1))+1)-INDEX(Reference!$A$6:$A$11,MIN(5,MATCH(MAX(Reference!$A$6,MIN(Reference!$A$11,MIN(D125,300))),Reference!$A$6:$A$11,1))))),0))/(AE125*(AE125+5)/2)),(INDEX(Reference!$B$6:$B$11,MIN(5,MATCH(MAX(Reference!$A$6,MIN(Reference!$A$11,D125)),Reference!$A$6:$A$11,1)))+(MAX(Reference!$A$6,MIN(Reference!$A$11,D125))-INDEX(Reference!$A$6:$A$11,MIN(5,MATCH(MAX(Reference!$A$6,MIN(Reference!$A$11,D125)),Reference!$A$6:$A$11,1))))*(INDEX(Reference!$B$6:$B$11,MIN(5,MATCH(MAX(Reference!$A$6,MIN(Reference!$A$11,D125)),Reference!$A$6:$A$11,1))+1)-INDEX(Reference!$B$6:$B$11,MIN(5,MATCH(MAX(Reference!$A$6,MIN(Reference!$A$11,D125)),Reference!$A$6:$A$11,1))))/(INDEX(Reference!$A$6:$A$11,MIN(5,MATCH(MAX(Reference!$A$6,MIN(Reference!$A$11,D125)),Reference!$A$6:$A$11,1))+1)-INDEX(Reference!$A$6:$A$11,MIN(5,MATCH(MAX(Reference!$A$6,MIN(Reference!$A$11,D125)),Reference!$A$6:$A$11,1))))))))</f>
        <v/>
      </c>
      <c r="P125" s="32" t="str">
        <f>IF(N125="","",VLOOKUP(MAX(N125,0),Reference!$A$17:$B$20,2,TRUE()))</f>
        <v/>
      </c>
      <c r="Q125" s="32" t="str">
        <f t="shared" si="12"/>
        <v/>
      </c>
      <c r="R125" s="31"/>
      <c r="S125" s="31"/>
      <c r="T125" s="31"/>
      <c r="U125" s="32" t="str">
        <f t="shared" si="13"/>
        <v/>
      </c>
      <c r="V125" s="32" t="str">
        <f t="shared" si="14"/>
        <v/>
      </c>
      <c r="W125" s="32" t="str">
        <f>IF(V125="","",VLOOKUP(MAX(V125,0),Reference!$A$17:$B$20,2,TRUE()))</f>
        <v/>
      </c>
      <c r="X125" s="31"/>
      <c r="Y125" s="31"/>
      <c r="Z125" s="31"/>
      <c r="AA125" s="32" t="str">
        <f t="shared" si="15"/>
        <v/>
      </c>
      <c r="AB125" s="32" t="str">
        <f t="shared" si="16"/>
        <v/>
      </c>
      <c r="AC125" s="32" t="str">
        <f>IF(AB125="","",VLOOKUP(MAX(AB125,0),Reference!$A$17:$B$20,2,TRUE()))</f>
        <v/>
      </c>
      <c r="AD125" s="31"/>
      <c r="AE125">
        <f t="shared" si="17"/>
        <v>1</v>
      </c>
      <c r="AF125" s="33" t="str">
        <f>IF(OR(A125="",B125="",AND(C125&lt;&gt;"Bullpen",C125&lt;&gt;"Game")),"",IF((COUNTIFS($B$5:$B$300,B125,$A$5:$A$300,A125-1,$C$5:$C$300,"Bullpen",$AG$5:$AG$300,"&gt;0") + COUNTIFS($B$5:$B$300,B125,$A$5:$A$300,A125-1,$C$5:$C$300,"Game",$AG$5:$AG$300,"&gt;0"))&gt;0,Reference!$B$119,IF((COUNTIFS($B$5:$B$300,B125,$A$5:$A$300,A125-2,$C$5:$C$300,"Bullpen",$AG$5:$AG$300,"&gt;0") + COUNTIFS($B$5:$B$300,B125,$A$5:$A$300,A125-2,$C$5:$C$300,"Game",$AG$5:$AG$300,"&gt;0"))&gt;0,Reference!$B$120,1)))</f>
        <v/>
      </c>
      <c r="AG125" s="30" t="str">
        <f>IF(AND(OR(I125="",O125="",P125=""),OR(R125="",W125=""),OR(X125="",AC125="")),"",IF(OR(I125="",O125="",P125=""),0,I125*O125*P125)+IF(OR(R125="",W125=""),0,R125*IFERROR(INDEX(Reference!$B$61:$B$62,MATCH("Bullpen",Reference!$A$61:$A$62,0)),0)*W125)+IF(OR(X125="",AC125=""),0,X125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125))</f>
        <v/>
      </c>
    </row>
    <row r="126" spans="1:33" x14ac:dyDescent="0.3">
      <c r="A126" s="35"/>
      <c r="B126" s="31"/>
      <c r="C126" s="31"/>
      <c r="D126" s="31"/>
      <c r="E126" s="34"/>
      <c r="F126" s="34"/>
      <c r="G126" s="30" t="str">
        <f t="shared" si="9"/>
        <v/>
      </c>
      <c r="H126" s="31"/>
      <c r="I126" s="32" t="str">
        <f>IF(H126&lt;&gt;"",H126,IF(G126="","",ROUND(G126*IFERROR(INDEX(Reference!$B$44:$B$50,MATCH(C126,Reference!$A$44:$A$50,0)),0),0)))</f>
        <v/>
      </c>
      <c r="J126" s="31"/>
      <c r="K126" s="31"/>
      <c r="L126" s="32" t="str">
        <f t="shared" si="10"/>
        <v/>
      </c>
      <c r="M126" s="32" t="str">
        <f>IFERROR(INDEX(Roster!$D$5:$D$40,MATCH(B126,Roster!$A$5:$A$40,0)),"")</f>
        <v/>
      </c>
      <c r="N126" s="32" t="str">
        <f t="shared" si="11"/>
        <v/>
      </c>
      <c r="O126" s="32" t="str">
        <f>IF(OR(C126="Bullpen",C126="Game"),IFERROR(INDEX(Reference!$B$61:$B$62,MATCH(C126,Reference!$A$61:$A$62,0)),""),IF(D126="","",IF(AE126&gt;1,((IF(1&lt;=AE126,(AE126-1+3)*(INDEX(Reference!$B$6:$B$11,MIN(5,MATCH(MAX(Reference!$A$6,MIN(Reference!$A$11,MIN(D126,90))),Reference!$A$6:$A$11,1)))+(MAX(Reference!$A$6,MIN(Reference!$A$11,MIN(D126,90)))-INDEX(Reference!$A$6:$A$11,MIN(5,MATCH(MAX(Reference!$A$6,MIN(Reference!$A$11,MIN(D126,90))),Reference!$A$6:$A$11,1))))*(INDEX(Reference!$B$6:$B$11,MIN(5,MATCH(MAX(Reference!$A$6,MIN(Reference!$A$11,MIN(D126,90))),Reference!$A$6:$A$11,1))+1)-INDEX(Reference!$B$6:$B$11,MIN(5,MATCH(MAX(Reference!$A$6,MIN(Reference!$A$11,MIN(D126,90))),Reference!$A$6:$A$11,1))))/(INDEX(Reference!$A$6:$A$11,MIN(5,MATCH(MAX(Reference!$A$6,MIN(Reference!$A$11,MIN(D126,90))),Reference!$A$6:$A$11,1))+1)-INDEX(Reference!$A$6:$A$11,MIN(5,MATCH(MAX(Reference!$A$6,MIN(Reference!$A$11,MIN(D126,90))),Reference!$A$6:$A$11,1))))),0)+IF(2&lt;=AE126,(AE126-2+3)*(INDEX(Reference!$B$6:$B$11,MIN(5,MATCH(MAX(Reference!$A$6,MIN(Reference!$A$11,MIN(D126,120))),Reference!$A$6:$A$11,1)))+(MAX(Reference!$A$6,MIN(Reference!$A$11,MIN(D126,120)))-INDEX(Reference!$A$6:$A$11,MIN(5,MATCH(MAX(Reference!$A$6,MIN(Reference!$A$11,MIN(D126,120))),Reference!$A$6:$A$11,1))))*(INDEX(Reference!$B$6:$B$11,MIN(5,MATCH(MAX(Reference!$A$6,MIN(Reference!$A$11,MIN(D126,120))),Reference!$A$6:$A$11,1))+1)-INDEX(Reference!$B$6:$B$11,MIN(5,MATCH(MAX(Reference!$A$6,MIN(Reference!$A$11,MIN(D126,120))),Reference!$A$6:$A$11,1))))/(INDEX(Reference!$A$6:$A$11,MIN(5,MATCH(MAX(Reference!$A$6,MIN(Reference!$A$11,MIN(D126,120))),Reference!$A$6:$A$11,1))+1)-INDEX(Reference!$A$6:$A$11,MIN(5,MATCH(MAX(Reference!$A$6,MIN(Reference!$A$11,MIN(D126,120))),Reference!$A$6:$A$11,1))))),0)+IF(3&lt;=AE126,(AE126-3+3)*(INDEX(Reference!$B$6:$B$11,MIN(5,MATCH(MAX(Reference!$A$6,MIN(Reference!$A$11,MIN(D126,150))),Reference!$A$6:$A$11,1)))+(MAX(Reference!$A$6,MIN(Reference!$A$11,MIN(D126,150)))-INDEX(Reference!$A$6:$A$11,MIN(5,MATCH(MAX(Reference!$A$6,MIN(Reference!$A$11,MIN(D126,150))),Reference!$A$6:$A$11,1))))*(INDEX(Reference!$B$6:$B$11,MIN(5,MATCH(MAX(Reference!$A$6,MIN(Reference!$A$11,MIN(D126,150))),Reference!$A$6:$A$11,1))+1)-INDEX(Reference!$B$6:$B$11,MIN(5,MATCH(MAX(Reference!$A$6,MIN(Reference!$A$11,MIN(D126,150))),Reference!$A$6:$A$11,1))))/(INDEX(Reference!$A$6:$A$11,MIN(5,MATCH(MAX(Reference!$A$6,MIN(Reference!$A$11,MIN(D126,150))),Reference!$A$6:$A$11,1))+1)-INDEX(Reference!$A$6:$A$11,MIN(5,MATCH(MAX(Reference!$A$6,MIN(Reference!$A$11,MIN(D126,150))),Reference!$A$6:$A$11,1))))),0)+IF(4&lt;=AE126,(AE126-4+3)*(INDEX(Reference!$B$6:$B$11,MIN(5,MATCH(MAX(Reference!$A$6,MIN(Reference!$A$11,MIN(D126,180))),Reference!$A$6:$A$11,1)))+(MAX(Reference!$A$6,MIN(Reference!$A$11,MIN(D126,180)))-INDEX(Reference!$A$6:$A$11,MIN(5,MATCH(MAX(Reference!$A$6,MIN(Reference!$A$11,MIN(D126,180))),Reference!$A$6:$A$11,1))))*(INDEX(Reference!$B$6:$B$11,MIN(5,MATCH(MAX(Reference!$A$6,MIN(Reference!$A$11,MIN(D126,180))),Reference!$A$6:$A$11,1))+1)-INDEX(Reference!$B$6:$B$11,MIN(5,MATCH(MAX(Reference!$A$6,MIN(Reference!$A$11,MIN(D126,180))),Reference!$A$6:$A$11,1))))/(INDEX(Reference!$A$6:$A$11,MIN(5,MATCH(MAX(Reference!$A$6,MIN(Reference!$A$11,MIN(D126,180))),Reference!$A$6:$A$11,1))+1)-INDEX(Reference!$A$6:$A$11,MIN(5,MATCH(MAX(Reference!$A$6,MIN(Reference!$A$11,MIN(D126,180))),Reference!$A$6:$A$11,1))))),0)+IF(5&lt;=AE126,(AE126-5+3)*(INDEX(Reference!$B$6:$B$11,MIN(5,MATCH(MAX(Reference!$A$6,MIN(Reference!$A$11,MIN(D126,210))),Reference!$A$6:$A$11,1)))+(MAX(Reference!$A$6,MIN(Reference!$A$11,MIN(D126,210)))-INDEX(Reference!$A$6:$A$11,MIN(5,MATCH(MAX(Reference!$A$6,MIN(Reference!$A$11,MIN(D126,210))),Reference!$A$6:$A$11,1))))*(INDEX(Reference!$B$6:$B$11,MIN(5,MATCH(MAX(Reference!$A$6,MIN(Reference!$A$11,MIN(D126,210))),Reference!$A$6:$A$11,1))+1)-INDEX(Reference!$B$6:$B$11,MIN(5,MATCH(MAX(Reference!$A$6,MIN(Reference!$A$11,MIN(D126,210))),Reference!$A$6:$A$11,1))))/(INDEX(Reference!$A$6:$A$11,MIN(5,MATCH(MAX(Reference!$A$6,MIN(Reference!$A$11,MIN(D126,210))),Reference!$A$6:$A$11,1))+1)-INDEX(Reference!$A$6:$A$11,MIN(5,MATCH(MAX(Reference!$A$6,MIN(Reference!$A$11,MIN(D126,210))),Reference!$A$6:$A$11,1))))),0)+IF(6&lt;=AE126,(AE126-6+3)*(INDEX(Reference!$B$6:$B$11,MIN(5,MATCH(MAX(Reference!$A$6,MIN(Reference!$A$11,MIN(D126,240))),Reference!$A$6:$A$11,1)))+(MAX(Reference!$A$6,MIN(Reference!$A$11,MIN(D126,240)))-INDEX(Reference!$A$6:$A$11,MIN(5,MATCH(MAX(Reference!$A$6,MIN(Reference!$A$11,MIN(D126,240))),Reference!$A$6:$A$11,1))))*(INDEX(Reference!$B$6:$B$11,MIN(5,MATCH(MAX(Reference!$A$6,MIN(Reference!$A$11,MIN(D126,240))),Reference!$A$6:$A$11,1))+1)-INDEX(Reference!$B$6:$B$11,MIN(5,MATCH(MAX(Reference!$A$6,MIN(Reference!$A$11,MIN(D126,240))),Reference!$A$6:$A$11,1))))/(INDEX(Reference!$A$6:$A$11,MIN(5,MATCH(MAX(Reference!$A$6,MIN(Reference!$A$11,MIN(D126,240))),Reference!$A$6:$A$11,1))+1)-INDEX(Reference!$A$6:$A$11,MIN(5,MATCH(MAX(Reference!$A$6,MIN(Reference!$A$11,MIN(D126,240))),Reference!$A$6:$A$11,1))))),0)+IF(7&lt;=AE126,(AE126-7+3)*(INDEX(Reference!$B$6:$B$11,MIN(5,MATCH(MAX(Reference!$A$6,MIN(Reference!$A$11,MIN(D126,270))),Reference!$A$6:$A$11,1)))+(MAX(Reference!$A$6,MIN(Reference!$A$11,MIN(D126,270)))-INDEX(Reference!$A$6:$A$11,MIN(5,MATCH(MAX(Reference!$A$6,MIN(Reference!$A$11,MIN(D126,270))),Reference!$A$6:$A$11,1))))*(INDEX(Reference!$B$6:$B$11,MIN(5,MATCH(MAX(Reference!$A$6,MIN(Reference!$A$11,MIN(D126,270))),Reference!$A$6:$A$11,1))+1)-INDEX(Reference!$B$6:$B$11,MIN(5,MATCH(MAX(Reference!$A$6,MIN(Reference!$A$11,MIN(D126,270))),Reference!$A$6:$A$11,1))))/(INDEX(Reference!$A$6:$A$11,MIN(5,MATCH(MAX(Reference!$A$6,MIN(Reference!$A$11,MIN(D126,270))),Reference!$A$6:$A$11,1))+1)-INDEX(Reference!$A$6:$A$11,MIN(5,MATCH(MAX(Reference!$A$6,MIN(Reference!$A$11,MIN(D126,270))),Reference!$A$6:$A$11,1))))),0)+IF(8&lt;=AE126,(AE126-8+3)*(INDEX(Reference!$B$6:$B$11,MIN(5,MATCH(MAX(Reference!$A$6,MIN(Reference!$A$11,MIN(D126,300))),Reference!$A$6:$A$11,1)))+(MAX(Reference!$A$6,MIN(Reference!$A$11,MIN(D126,300)))-INDEX(Reference!$A$6:$A$11,MIN(5,MATCH(MAX(Reference!$A$6,MIN(Reference!$A$11,MIN(D126,300))),Reference!$A$6:$A$11,1))))*(INDEX(Reference!$B$6:$B$11,MIN(5,MATCH(MAX(Reference!$A$6,MIN(Reference!$A$11,MIN(D126,300))),Reference!$A$6:$A$11,1))+1)-INDEX(Reference!$B$6:$B$11,MIN(5,MATCH(MAX(Reference!$A$6,MIN(Reference!$A$11,MIN(D126,300))),Reference!$A$6:$A$11,1))))/(INDEX(Reference!$A$6:$A$11,MIN(5,MATCH(MAX(Reference!$A$6,MIN(Reference!$A$11,MIN(D126,300))),Reference!$A$6:$A$11,1))+1)-INDEX(Reference!$A$6:$A$11,MIN(5,MATCH(MAX(Reference!$A$6,MIN(Reference!$A$11,MIN(D126,300))),Reference!$A$6:$A$11,1))))),0))/(AE126*(AE126+5)/2)),(INDEX(Reference!$B$6:$B$11,MIN(5,MATCH(MAX(Reference!$A$6,MIN(Reference!$A$11,D126)),Reference!$A$6:$A$11,1)))+(MAX(Reference!$A$6,MIN(Reference!$A$11,D126))-INDEX(Reference!$A$6:$A$11,MIN(5,MATCH(MAX(Reference!$A$6,MIN(Reference!$A$11,D126)),Reference!$A$6:$A$11,1))))*(INDEX(Reference!$B$6:$B$11,MIN(5,MATCH(MAX(Reference!$A$6,MIN(Reference!$A$11,D126)),Reference!$A$6:$A$11,1))+1)-INDEX(Reference!$B$6:$B$11,MIN(5,MATCH(MAX(Reference!$A$6,MIN(Reference!$A$11,D126)),Reference!$A$6:$A$11,1))))/(INDEX(Reference!$A$6:$A$11,MIN(5,MATCH(MAX(Reference!$A$6,MIN(Reference!$A$11,D126)),Reference!$A$6:$A$11,1))+1)-INDEX(Reference!$A$6:$A$11,MIN(5,MATCH(MAX(Reference!$A$6,MIN(Reference!$A$11,D126)),Reference!$A$6:$A$11,1))))))))</f>
        <v/>
      </c>
      <c r="P126" s="32" t="str">
        <f>IF(N126="","",VLOOKUP(MAX(N126,0),Reference!$A$17:$B$20,2,TRUE()))</f>
        <v/>
      </c>
      <c r="Q126" s="32" t="str">
        <f t="shared" si="12"/>
        <v/>
      </c>
      <c r="R126" s="31"/>
      <c r="S126" s="31"/>
      <c r="T126" s="31"/>
      <c r="U126" s="32" t="str">
        <f t="shared" si="13"/>
        <v/>
      </c>
      <c r="V126" s="32" t="str">
        <f t="shared" si="14"/>
        <v/>
      </c>
      <c r="W126" s="32" t="str">
        <f>IF(V126="","",VLOOKUP(MAX(V126,0),Reference!$A$17:$B$20,2,TRUE()))</f>
        <v/>
      </c>
      <c r="X126" s="31"/>
      <c r="Y126" s="31"/>
      <c r="Z126" s="31"/>
      <c r="AA126" s="32" t="str">
        <f t="shared" si="15"/>
        <v/>
      </c>
      <c r="AB126" s="32" t="str">
        <f t="shared" si="16"/>
        <v/>
      </c>
      <c r="AC126" s="32" t="str">
        <f>IF(AB126="","",VLOOKUP(MAX(AB126,0),Reference!$A$17:$B$20,2,TRUE()))</f>
        <v/>
      </c>
      <c r="AD126" s="31"/>
      <c r="AE126">
        <f t="shared" si="17"/>
        <v>1</v>
      </c>
      <c r="AF126" s="33" t="str">
        <f>IF(OR(A126="",B126="",AND(C126&lt;&gt;"Bullpen",C126&lt;&gt;"Game")),"",IF((COUNTIFS($B$5:$B$300,B126,$A$5:$A$300,A126-1,$C$5:$C$300,"Bullpen",$AG$5:$AG$300,"&gt;0") + COUNTIFS($B$5:$B$300,B126,$A$5:$A$300,A126-1,$C$5:$C$300,"Game",$AG$5:$AG$300,"&gt;0"))&gt;0,Reference!$B$119,IF((COUNTIFS($B$5:$B$300,B126,$A$5:$A$300,A126-2,$C$5:$C$300,"Bullpen",$AG$5:$AG$300,"&gt;0") + COUNTIFS($B$5:$B$300,B126,$A$5:$A$300,A126-2,$C$5:$C$300,"Game",$AG$5:$AG$300,"&gt;0"))&gt;0,Reference!$B$120,1)))</f>
        <v/>
      </c>
      <c r="AG126" s="30" t="str">
        <f>IF(AND(OR(I126="",O126="",P126=""),OR(R126="",W126=""),OR(X126="",AC126="")),"",IF(OR(I126="",O126="",P126=""),0,I126*O126*P126)+IF(OR(R126="",W126=""),0,R126*IFERROR(INDEX(Reference!$B$61:$B$62,MATCH("Bullpen",Reference!$A$61:$A$62,0)),0)*W126)+IF(OR(X126="",AC126=""),0,X126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126))</f>
        <v/>
      </c>
    </row>
    <row r="127" spans="1:33" x14ac:dyDescent="0.3">
      <c r="A127" s="35"/>
      <c r="B127" s="31"/>
      <c r="C127" s="31"/>
      <c r="D127" s="31"/>
      <c r="E127" s="34"/>
      <c r="F127" s="34"/>
      <c r="G127" s="30" t="str">
        <f t="shared" si="9"/>
        <v/>
      </c>
      <c r="H127" s="31"/>
      <c r="I127" s="32" t="str">
        <f>IF(H127&lt;&gt;"",H127,IF(G127="","",ROUND(G127*IFERROR(INDEX(Reference!$B$44:$B$50,MATCH(C127,Reference!$A$44:$A$50,0)),0),0)))</f>
        <v/>
      </c>
      <c r="J127" s="31"/>
      <c r="K127" s="31"/>
      <c r="L127" s="32" t="str">
        <f t="shared" si="10"/>
        <v/>
      </c>
      <c r="M127" s="32" t="str">
        <f>IFERROR(INDEX(Roster!$D$5:$D$40,MATCH(B127,Roster!$A$5:$A$40,0)),"")</f>
        <v/>
      </c>
      <c r="N127" s="32" t="str">
        <f t="shared" si="11"/>
        <v/>
      </c>
      <c r="O127" s="32" t="str">
        <f>IF(OR(C127="Bullpen",C127="Game"),IFERROR(INDEX(Reference!$B$61:$B$62,MATCH(C127,Reference!$A$61:$A$62,0)),""),IF(D127="","",IF(AE127&gt;1,((IF(1&lt;=AE127,(AE127-1+3)*(INDEX(Reference!$B$6:$B$11,MIN(5,MATCH(MAX(Reference!$A$6,MIN(Reference!$A$11,MIN(D127,90))),Reference!$A$6:$A$11,1)))+(MAX(Reference!$A$6,MIN(Reference!$A$11,MIN(D127,90)))-INDEX(Reference!$A$6:$A$11,MIN(5,MATCH(MAX(Reference!$A$6,MIN(Reference!$A$11,MIN(D127,90))),Reference!$A$6:$A$11,1))))*(INDEX(Reference!$B$6:$B$11,MIN(5,MATCH(MAX(Reference!$A$6,MIN(Reference!$A$11,MIN(D127,90))),Reference!$A$6:$A$11,1))+1)-INDEX(Reference!$B$6:$B$11,MIN(5,MATCH(MAX(Reference!$A$6,MIN(Reference!$A$11,MIN(D127,90))),Reference!$A$6:$A$11,1))))/(INDEX(Reference!$A$6:$A$11,MIN(5,MATCH(MAX(Reference!$A$6,MIN(Reference!$A$11,MIN(D127,90))),Reference!$A$6:$A$11,1))+1)-INDEX(Reference!$A$6:$A$11,MIN(5,MATCH(MAX(Reference!$A$6,MIN(Reference!$A$11,MIN(D127,90))),Reference!$A$6:$A$11,1))))),0)+IF(2&lt;=AE127,(AE127-2+3)*(INDEX(Reference!$B$6:$B$11,MIN(5,MATCH(MAX(Reference!$A$6,MIN(Reference!$A$11,MIN(D127,120))),Reference!$A$6:$A$11,1)))+(MAX(Reference!$A$6,MIN(Reference!$A$11,MIN(D127,120)))-INDEX(Reference!$A$6:$A$11,MIN(5,MATCH(MAX(Reference!$A$6,MIN(Reference!$A$11,MIN(D127,120))),Reference!$A$6:$A$11,1))))*(INDEX(Reference!$B$6:$B$11,MIN(5,MATCH(MAX(Reference!$A$6,MIN(Reference!$A$11,MIN(D127,120))),Reference!$A$6:$A$11,1))+1)-INDEX(Reference!$B$6:$B$11,MIN(5,MATCH(MAX(Reference!$A$6,MIN(Reference!$A$11,MIN(D127,120))),Reference!$A$6:$A$11,1))))/(INDEX(Reference!$A$6:$A$11,MIN(5,MATCH(MAX(Reference!$A$6,MIN(Reference!$A$11,MIN(D127,120))),Reference!$A$6:$A$11,1))+1)-INDEX(Reference!$A$6:$A$11,MIN(5,MATCH(MAX(Reference!$A$6,MIN(Reference!$A$11,MIN(D127,120))),Reference!$A$6:$A$11,1))))),0)+IF(3&lt;=AE127,(AE127-3+3)*(INDEX(Reference!$B$6:$B$11,MIN(5,MATCH(MAX(Reference!$A$6,MIN(Reference!$A$11,MIN(D127,150))),Reference!$A$6:$A$11,1)))+(MAX(Reference!$A$6,MIN(Reference!$A$11,MIN(D127,150)))-INDEX(Reference!$A$6:$A$11,MIN(5,MATCH(MAX(Reference!$A$6,MIN(Reference!$A$11,MIN(D127,150))),Reference!$A$6:$A$11,1))))*(INDEX(Reference!$B$6:$B$11,MIN(5,MATCH(MAX(Reference!$A$6,MIN(Reference!$A$11,MIN(D127,150))),Reference!$A$6:$A$11,1))+1)-INDEX(Reference!$B$6:$B$11,MIN(5,MATCH(MAX(Reference!$A$6,MIN(Reference!$A$11,MIN(D127,150))),Reference!$A$6:$A$11,1))))/(INDEX(Reference!$A$6:$A$11,MIN(5,MATCH(MAX(Reference!$A$6,MIN(Reference!$A$11,MIN(D127,150))),Reference!$A$6:$A$11,1))+1)-INDEX(Reference!$A$6:$A$11,MIN(5,MATCH(MAX(Reference!$A$6,MIN(Reference!$A$11,MIN(D127,150))),Reference!$A$6:$A$11,1))))),0)+IF(4&lt;=AE127,(AE127-4+3)*(INDEX(Reference!$B$6:$B$11,MIN(5,MATCH(MAX(Reference!$A$6,MIN(Reference!$A$11,MIN(D127,180))),Reference!$A$6:$A$11,1)))+(MAX(Reference!$A$6,MIN(Reference!$A$11,MIN(D127,180)))-INDEX(Reference!$A$6:$A$11,MIN(5,MATCH(MAX(Reference!$A$6,MIN(Reference!$A$11,MIN(D127,180))),Reference!$A$6:$A$11,1))))*(INDEX(Reference!$B$6:$B$11,MIN(5,MATCH(MAX(Reference!$A$6,MIN(Reference!$A$11,MIN(D127,180))),Reference!$A$6:$A$11,1))+1)-INDEX(Reference!$B$6:$B$11,MIN(5,MATCH(MAX(Reference!$A$6,MIN(Reference!$A$11,MIN(D127,180))),Reference!$A$6:$A$11,1))))/(INDEX(Reference!$A$6:$A$11,MIN(5,MATCH(MAX(Reference!$A$6,MIN(Reference!$A$11,MIN(D127,180))),Reference!$A$6:$A$11,1))+1)-INDEX(Reference!$A$6:$A$11,MIN(5,MATCH(MAX(Reference!$A$6,MIN(Reference!$A$11,MIN(D127,180))),Reference!$A$6:$A$11,1))))),0)+IF(5&lt;=AE127,(AE127-5+3)*(INDEX(Reference!$B$6:$B$11,MIN(5,MATCH(MAX(Reference!$A$6,MIN(Reference!$A$11,MIN(D127,210))),Reference!$A$6:$A$11,1)))+(MAX(Reference!$A$6,MIN(Reference!$A$11,MIN(D127,210)))-INDEX(Reference!$A$6:$A$11,MIN(5,MATCH(MAX(Reference!$A$6,MIN(Reference!$A$11,MIN(D127,210))),Reference!$A$6:$A$11,1))))*(INDEX(Reference!$B$6:$B$11,MIN(5,MATCH(MAX(Reference!$A$6,MIN(Reference!$A$11,MIN(D127,210))),Reference!$A$6:$A$11,1))+1)-INDEX(Reference!$B$6:$B$11,MIN(5,MATCH(MAX(Reference!$A$6,MIN(Reference!$A$11,MIN(D127,210))),Reference!$A$6:$A$11,1))))/(INDEX(Reference!$A$6:$A$11,MIN(5,MATCH(MAX(Reference!$A$6,MIN(Reference!$A$11,MIN(D127,210))),Reference!$A$6:$A$11,1))+1)-INDEX(Reference!$A$6:$A$11,MIN(5,MATCH(MAX(Reference!$A$6,MIN(Reference!$A$11,MIN(D127,210))),Reference!$A$6:$A$11,1))))),0)+IF(6&lt;=AE127,(AE127-6+3)*(INDEX(Reference!$B$6:$B$11,MIN(5,MATCH(MAX(Reference!$A$6,MIN(Reference!$A$11,MIN(D127,240))),Reference!$A$6:$A$11,1)))+(MAX(Reference!$A$6,MIN(Reference!$A$11,MIN(D127,240)))-INDEX(Reference!$A$6:$A$11,MIN(5,MATCH(MAX(Reference!$A$6,MIN(Reference!$A$11,MIN(D127,240))),Reference!$A$6:$A$11,1))))*(INDEX(Reference!$B$6:$B$11,MIN(5,MATCH(MAX(Reference!$A$6,MIN(Reference!$A$11,MIN(D127,240))),Reference!$A$6:$A$11,1))+1)-INDEX(Reference!$B$6:$B$11,MIN(5,MATCH(MAX(Reference!$A$6,MIN(Reference!$A$11,MIN(D127,240))),Reference!$A$6:$A$11,1))))/(INDEX(Reference!$A$6:$A$11,MIN(5,MATCH(MAX(Reference!$A$6,MIN(Reference!$A$11,MIN(D127,240))),Reference!$A$6:$A$11,1))+1)-INDEX(Reference!$A$6:$A$11,MIN(5,MATCH(MAX(Reference!$A$6,MIN(Reference!$A$11,MIN(D127,240))),Reference!$A$6:$A$11,1))))),0)+IF(7&lt;=AE127,(AE127-7+3)*(INDEX(Reference!$B$6:$B$11,MIN(5,MATCH(MAX(Reference!$A$6,MIN(Reference!$A$11,MIN(D127,270))),Reference!$A$6:$A$11,1)))+(MAX(Reference!$A$6,MIN(Reference!$A$11,MIN(D127,270)))-INDEX(Reference!$A$6:$A$11,MIN(5,MATCH(MAX(Reference!$A$6,MIN(Reference!$A$11,MIN(D127,270))),Reference!$A$6:$A$11,1))))*(INDEX(Reference!$B$6:$B$11,MIN(5,MATCH(MAX(Reference!$A$6,MIN(Reference!$A$11,MIN(D127,270))),Reference!$A$6:$A$11,1))+1)-INDEX(Reference!$B$6:$B$11,MIN(5,MATCH(MAX(Reference!$A$6,MIN(Reference!$A$11,MIN(D127,270))),Reference!$A$6:$A$11,1))))/(INDEX(Reference!$A$6:$A$11,MIN(5,MATCH(MAX(Reference!$A$6,MIN(Reference!$A$11,MIN(D127,270))),Reference!$A$6:$A$11,1))+1)-INDEX(Reference!$A$6:$A$11,MIN(5,MATCH(MAX(Reference!$A$6,MIN(Reference!$A$11,MIN(D127,270))),Reference!$A$6:$A$11,1))))),0)+IF(8&lt;=AE127,(AE127-8+3)*(INDEX(Reference!$B$6:$B$11,MIN(5,MATCH(MAX(Reference!$A$6,MIN(Reference!$A$11,MIN(D127,300))),Reference!$A$6:$A$11,1)))+(MAX(Reference!$A$6,MIN(Reference!$A$11,MIN(D127,300)))-INDEX(Reference!$A$6:$A$11,MIN(5,MATCH(MAX(Reference!$A$6,MIN(Reference!$A$11,MIN(D127,300))),Reference!$A$6:$A$11,1))))*(INDEX(Reference!$B$6:$B$11,MIN(5,MATCH(MAX(Reference!$A$6,MIN(Reference!$A$11,MIN(D127,300))),Reference!$A$6:$A$11,1))+1)-INDEX(Reference!$B$6:$B$11,MIN(5,MATCH(MAX(Reference!$A$6,MIN(Reference!$A$11,MIN(D127,300))),Reference!$A$6:$A$11,1))))/(INDEX(Reference!$A$6:$A$11,MIN(5,MATCH(MAX(Reference!$A$6,MIN(Reference!$A$11,MIN(D127,300))),Reference!$A$6:$A$11,1))+1)-INDEX(Reference!$A$6:$A$11,MIN(5,MATCH(MAX(Reference!$A$6,MIN(Reference!$A$11,MIN(D127,300))),Reference!$A$6:$A$11,1))))),0))/(AE127*(AE127+5)/2)),(INDEX(Reference!$B$6:$B$11,MIN(5,MATCH(MAX(Reference!$A$6,MIN(Reference!$A$11,D127)),Reference!$A$6:$A$11,1)))+(MAX(Reference!$A$6,MIN(Reference!$A$11,D127))-INDEX(Reference!$A$6:$A$11,MIN(5,MATCH(MAX(Reference!$A$6,MIN(Reference!$A$11,D127)),Reference!$A$6:$A$11,1))))*(INDEX(Reference!$B$6:$B$11,MIN(5,MATCH(MAX(Reference!$A$6,MIN(Reference!$A$11,D127)),Reference!$A$6:$A$11,1))+1)-INDEX(Reference!$B$6:$B$11,MIN(5,MATCH(MAX(Reference!$A$6,MIN(Reference!$A$11,D127)),Reference!$A$6:$A$11,1))))/(INDEX(Reference!$A$6:$A$11,MIN(5,MATCH(MAX(Reference!$A$6,MIN(Reference!$A$11,D127)),Reference!$A$6:$A$11,1))+1)-INDEX(Reference!$A$6:$A$11,MIN(5,MATCH(MAX(Reference!$A$6,MIN(Reference!$A$11,D127)),Reference!$A$6:$A$11,1))))))))</f>
        <v/>
      </c>
      <c r="P127" s="32" t="str">
        <f>IF(N127="","",VLOOKUP(MAX(N127,0),Reference!$A$17:$B$20,2,TRUE()))</f>
        <v/>
      </c>
      <c r="Q127" s="32" t="str">
        <f t="shared" si="12"/>
        <v/>
      </c>
      <c r="R127" s="31"/>
      <c r="S127" s="31"/>
      <c r="T127" s="31"/>
      <c r="U127" s="32" t="str">
        <f t="shared" si="13"/>
        <v/>
      </c>
      <c r="V127" s="32" t="str">
        <f t="shared" si="14"/>
        <v/>
      </c>
      <c r="W127" s="32" t="str">
        <f>IF(V127="","",VLOOKUP(MAX(V127,0),Reference!$A$17:$B$20,2,TRUE()))</f>
        <v/>
      </c>
      <c r="X127" s="31"/>
      <c r="Y127" s="31"/>
      <c r="Z127" s="31"/>
      <c r="AA127" s="32" t="str">
        <f t="shared" si="15"/>
        <v/>
      </c>
      <c r="AB127" s="32" t="str">
        <f t="shared" si="16"/>
        <v/>
      </c>
      <c r="AC127" s="32" t="str">
        <f>IF(AB127="","",VLOOKUP(MAX(AB127,0),Reference!$A$17:$B$20,2,TRUE()))</f>
        <v/>
      </c>
      <c r="AD127" s="31"/>
      <c r="AE127">
        <f t="shared" si="17"/>
        <v>1</v>
      </c>
      <c r="AF127" s="33" t="str">
        <f>IF(OR(A127="",B127="",AND(C127&lt;&gt;"Bullpen",C127&lt;&gt;"Game")),"",IF((COUNTIFS($B$5:$B$300,B127,$A$5:$A$300,A127-1,$C$5:$C$300,"Bullpen",$AG$5:$AG$300,"&gt;0") + COUNTIFS($B$5:$B$300,B127,$A$5:$A$300,A127-1,$C$5:$C$300,"Game",$AG$5:$AG$300,"&gt;0"))&gt;0,Reference!$B$119,IF((COUNTIFS($B$5:$B$300,B127,$A$5:$A$300,A127-2,$C$5:$C$300,"Bullpen",$AG$5:$AG$300,"&gt;0") + COUNTIFS($B$5:$B$300,B127,$A$5:$A$300,A127-2,$C$5:$C$300,"Game",$AG$5:$AG$300,"&gt;0"))&gt;0,Reference!$B$120,1)))</f>
        <v/>
      </c>
      <c r="AG127" s="30" t="str">
        <f>IF(AND(OR(I127="",O127="",P127=""),OR(R127="",W127=""),OR(X127="",AC127="")),"",IF(OR(I127="",O127="",P127=""),0,I127*O127*P127)+IF(OR(R127="",W127=""),0,R127*IFERROR(INDEX(Reference!$B$61:$B$62,MATCH("Bullpen",Reference!$A$61:$A$62,0)),0)*W127)+IF(OR(X127="",AC127=""),0,X127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127))</f>
        <v/>
      </c>
    </row>
    <row r="128" spans="1:33" x14ac:dyDescent="0.3">
      <c r="A128" s="35"/>
      <c r="B128" s="31"/>
      <c r="C128" s="31"/>
      <c r="D128" s="31"/>
      <c r="E128" s="34"/>
      <c r="F128" s="34"/>
      <c r="G128" s="30" t="str">
        <f t="shared" si="9"/>
        <v/>
      </c>
      <c r="H128" s="31"/>
      <c r="I128" s="32" t="str">
        <f>IF(H128&lt;&gt;"",H128,IF(G128="","",ROUND(G128*IFERROR(INDEX(Reference!$B$44:$B$50,MATCH(C128,Reference!$A$44:$A$50,0)),0),0)))</f>
        <v/>
      </c>
      <c r="J128" s="31"/>
      <c r="K128" s="31"/>
      <c r="L128" s="32" t="str">
        <f t="shared" si="10"/>
        <v/>
      </c>
      <c r="M128" s="32" t="str">
        <f>IFERROR(INDEX(Roster!$D$5:$D$40,MATCH(B128,Roster!$A$5:$A$40,0)),"")</f>
        <v/>
      </c>
      <c r="N128" s="32" t="str">
        <f t="shared" si="11"/>
        <v/>
      </c>
      <c r="O128" s="32" t="str">
        <f>IF(OR(C128="Bullpen",C128="Game"),IFERROR(INDEX(Reference!$B$61:$B$62,MATCH(C128,Reference!$A$61:$A$62,0)),""),IF(D128="","",IF(AE128&gt;1,((IF(1&lt;=AE128,(AE128-1+3)*(INDEX(Reference!$B$6:$B$11,MIN(5,MATCH(MAX(Reference!$A$6,MIN(Reference!$A$11,MIN(D128,90))),Reference!$A$6:$A$11,1)))+(MAX(Reference!$A$6,MIN(Reference!$A$11,MIN(D128,90)))-INDEX(Reference!$A$6:$A$11,MIN(5,MATCH(MAX(Reference!$A$6,MIN(Reference!$A$11,MIN(D128,90))),Reference!$A$6:$A$11,1))))*(INDEX(Reference!$B$6:$B$11,MIN(5,MATCH(MAX(Reference!$A$6,MIN(Reference!$A$11,MIN(D128,90))),Reference!$A$6:$A$11,1))+1)-INDEX(Reference!$B$6:$B$11,MIN(5,MATCH(MAX(Reference!$A$6,MIN(Reference!$A$11,MIN(D128,90))),Reference!$A$6:$A$11,1))))/(INDEX(Reference!$A$6:$A$11,MIN(5,MATCH(MAX(Reference!$A$6,MIN(Reference!$A$11,MIN(D128,90))),Reference!$A$6:$A$11,1))+1)-INDEX(Reference!$A$6:$A$11,MIN(5,MATCH(MAX(Reference!$A$6,MIN(Reference!$A$11,MIN(D128,90))),Reference!$A$6:$A$11,1))))),0)+IF(2&lt;=AE128,(AE128-2+3)*(INDEX(Reference!$B$6:$B$11,MIN(5,MATCH(MAX(Reference!$A$6,MIN(Reference!$A$11,MIN(D128,120))),Reference!$A$6:$A$11,1)))+(MAX(Reference!$A$6,MIN(Reference!$A$11,MIN(D128,120)))-INDEX(Reference!$A$6:$A$11,MIN(5,MATCH(MAX(Reference!$A$6,MIN(Reference!$A$11,MIN(D128,120))),Reference!$A$6:$A$11,1))))*(INDEX(Reference!$B$6:$B$11,MIN(5,MATCH(MAX(Reference!$A$6,MIN(Reference!$A$11,MIN(D128,120))),Reference!$A$6:$A$11,1))+1)-INDEX(Reference!$B$6:$B$11,MIN(5,MATCH(MAX(Reference!$A$6,MIN(Reference!$A$11,MIN(D128,120))),Reference!$A$6:$A$11,1))))/(INDEX(Reference!$A$6:$A$11,MIN(5,MATCH(MAX(Reference!$A$6,MIN(Reference!$A$11,MIN(D128,120))),Reference!$A$6:$A$11,1))+1)-INDEX(Reference!$A$6:$A$11,MIN(5,MATCH(MAX(Reference!$A$6,MIN(Reference!$A$11,MIN(D128,120))),Reference!$A$6:$A$11,1))))),0)+IF(3&lt;=AE128,(AE128-3+3)*(INDEX(Reference!$B$6:$B$11,MIN(5,MATCH(MAX(Reference!$A$6,MIN(Reference!$A$11,MIN(D128,150))),Reference!$A$6:$A$11,1)))+(MAX(Reference!$A$6,MIN(Reference!$A$11,MIN(D128,150)))-INDEX(Reference!$A$6:$A$11,MIN(5,MATCH(MAX(Reference!$A$6,MIN(Reference!$A$11,MIN(D128,150))),Reference!$A$6:$A$11,1))))*(INDEX(Reference!$B$6:$B$11,MIN(5,MATCH(MAX(Reference!$A$6,MIN(Reference!$A$11,MIN(D128,150))),Reference!$A$6:$A$11,1))+1)-INDEX(Reference!$B$6:$B$11,MIN(5,MATCH(MAX(Reference!$A$6,MIN(Reference!$A$11,MIN(D128,150))),Reference!$A$6:$A$11,1))))/(INDEX(Reference!$A$6:$A$11,MIN(5,MATCH(MAX(Reference!$A$6,MIN(Reference!$A$11,MIN(D128,150))),Reference!$A$6:$A$11,1))+1)-INDEX(Reference!$A$6:$A$11,MIN(5,MATCH(MAX(Reference!$A$6,MIN(Reference!$A$11,MIN(D128,150))),Reference!$A$6:$A$11,1))))),0)+IF(4&lt;=AE128,(AE128-4+3)*(INDEX(Reference!$B$6:$B$11,MIN(5,MATCH(MAX(Reference!$A$6,MIN(Reference!$A$11,MIN(D128,180))),Reference!$A$6:$A$11,1)))+(MAX(Reference!$A$6,MIN(Reference!$A$11,MIN(D128,180)))-INDEX(Reference!$A$6:$A$11,MIN(5,MATCH(MAX(Reference!$A$6,MIN(Reference!$A$11,MIN(D128,180))),Reference!$A$6:$A$11,1))))*(INDEX(Reference!$B$6:$B$11,MIN(5,MATCH(MAX(Reference!$A$6,MIN(Reference!$A$11,MIN(D128,180))),Reference!$A$6:$A$11,1))+1)-INDEX(Reference!$B$6:$B$11,MIN(5,MATCH(MAX(Reference!$A$6,MIN(Reference!$A$11,MIN(D128,180))),Reference!$A$6:$A$11,1))))/(INDEX(Reference!$A$6:$A$11,MIN(5,MATCH(MAX(Reference!$A$6,MIN(Reference!$A$11,MIN(D128,180))),Reference!$A$6:$A$11,1))+1)-INDEX(Reference!$A$6:$A$11,MIN(5,MATCH(MAX(Reference!$A$6,MIN(Reference!$A$11,MIN(D128,180))),Reference!$A$6:$A$11,1))))),0)+IF(5&lt;=AE128,(AE128-5+3)*(INDEX(Reference!$B$6:$B$11,MIN(5,MATCH(MAX(Reference!$A$6,MIN(Reference!$A$11,MIN(D128,210))),Reference!$A$6:$A$11,1)))+(MAX(Reference!$A$6,MIN(Reference!$A$11,MIN(D128,210)))-INDEX(Reference!$A$6:$A$11,MIN(5,MATCH(MAX(Reference!$A$6,MIN(Reference!$A$11,MIN(D128,210))),Reference!$A$6:$A$11,1))))*(INDEX(Reference!$B$6:$B$11,MIN(5,MATCH(MAX(Reference!$A$6,MIN(Reference!$A$11,MIN(D128,210))),Reference!$A$6:$A$11,1))+1)-INDEX(Reference!$B$6:$B$11,MIN(5,MATCH(MAX(Reference!$A$6,MIN(Reference!$A$11,MIN(D128,210))),Reference!$A$6:$A$11,1))))/(INDEX(Reference!$A$6:$A$11,MIN(5,MATCH(MAX(Reference!$A$6,MIN(Reference!$A$11,MIN(D128,210))),Reference!$A$6:$A$11,1))+1)-INDEX(Reference!$A$6:$A$11,MIN(5,MATCH(MAX(Reference!$A$6,MIN(Reference!$A$11,MIN(D128,210))),Reference!$A$6:$A$11,1))))),0)+IF(6&lt;=AE128,(AE128-6+3)*(INDEX(Reference!$B$6:$B$11,MIN(5,MATCH(MAX(Reference!$A$6,MIN(Reference!$A$11,MIN(D128,240))),Reference!$A$6:$A$11,1)))+(MAX(Reference!$A$6,MIN(Reference!$A$11,MIN(D128,240)))-INDEX(Reference!$A$6:$A$11,MIN(5,MATCH(MAX(Reference!$A$6,MIN(Reference!$A$11,MIN(D128,240))),Reference!$A$6:$A$11,1))))*(INDEX(Reference!$B$6:$B$11,MIN(5,MATCH(MAX(Reference!$A$6,MIN(Reference!$A$11,MIN(D128,240))),Reference!$A$6:$A$11,1))+1)-INDEX(Reference!$B$6:$B$11,MIN(5,MATCH(MAX(Reference!$A$6,MIN(Reference!$A$11,MIN(D128,240))),Reference!$A$6:$A$11,1))))/(INDEX(Reference!$A$6:$A$11,MIN(5,MATCH(MAX(Reference!$A$6,MIN(Reference!$A$11,MIN(D128,240))),Reference!$A$6:$A$11,1))+1)-INDEX(Reference!$A$6:$A$11,MIN(5,MATCH(MAX(Reference!$A$6,MIN(Reference!$A$11,MIN(D128,240))),Reference!$A$6:$A$11,1))))),0)+IF(7&lt;=AE128,(AE128-7+3)*(INDEX(Reference!$B$6:$B$11,MIN(5,MATCH(MAX(Reference!$A$6,MIN(Reference!$A$11,MIN(D128,270))),Reference!$A$6:$A$11,1)))+(MAX(Reference!$A$6,MIN(Reference!$A$11,MIN(D128,270)))-INDEX(Reference!$A$6:$A$11,MIN(5,MATCH(MAX(Reference!$A$6,MIN(Reference!$A$11,MIN(D128,270))),Reference!$A$6:$A$11,1))))*(INDEX(Reference!$B$6:$B$11,MIN(5,MATCH(MAX(Reference!$A$6,MIN(Reference!$A$11,MIN(D128,270))),Reference!$A$6:$A$11,1))+1)-INDEX(Reference!$B$6:$B$11,MIN(5,MATCH(MAX(Reference!$A$6,MIN(Reference!$A$11,MIN(D128,270))),Reference!$A$6:$A$11,1))))/(INDEX(Reference!$A$6:$A$11,MIN(5,MATCH(MAX(Reference!$A$6,MIN(Reference!$A$11,MIN(D128,270))),Reference!$A$6:$A$11,1))+1)-INDEX(Reference!$A$6:$A$11,MIN(5,MATCH(MAX(Reference!$A$6,MIN(Reference!$A$11,MIN(D128,270))),Reference!$A$6:$A$11,1))))),0)+IF(8&lt;=AE128,(AE128-8+3)*(INDEX(Reference!$B$6:$B$11,MIN(5,MATCH(MAX(Reference!$A$6,MIN(Reference!$A$11,MIN(D128,300))),Reference!$A$6:$A$11,1)))+(MAX(Reference!$A$6,MIN(Reference!$A$11,MIN(D128,300)))-INDEX(Reference!$A$6:$A$11,MIN(5,MATCH(MAX(Reference!$A$6,MIN(Reference!$A$11,MIN(D128,300))),Reference!$A$6:$A$11,1))))*(INDEX(Reference!$B$6:$B$11,MIN(5,MATCH(MAX(Reference!$A$6,MIN(Reference!$A$11,MIN(D128,300))),Reference!$A$6:$A$11,1))+1)-INDEX(Reference!$B$6:$B$11,MIN(5,MATCH(MAX(Reference!$A$6,MIN(Reference!$A$11,MIN(D128,300))),Reference!$A$6:$A$11,1))))/(INDEX(Reference!$A$6:$A$11,MIN(5,MATCH(MAX(Reference!$A$6,MIN(Reference!$A$11,MIN(D128,300))),Reference!$A$6:$A$11,1))+1)-INDEX(Reference!$A$6:$A$11,MIN(5,MATCH(MAX(Reference!$A$6,MIN(Reference!$A$11,MIN(D128,300))),Reference!$A$6:$A$11,1))))),0))/(AE128*(AE128+5)/2)),(INDEX(Reference!$B$6:$B$11,MIN(5,MATCH(MAX(Reference!$A$6,MIN(Reference!$A$11,D128)),Reference!$A$6:$A$11,1)))+(MAX(Reference!$A$6,MIN(Reference!$A$11,D128))-INDEX(Reference!$A$6:$A$11,MIN(5,MATCH(MAX(Reference!$A$6,MIN(Reference!$A$11,D128)),Reference!$A$6:$A$11,1))))*(INDEX(Reference!$B$6:$B$11,MIN(5,MATCH(MAX(Reference!$A$6,MIN(Reference!$A$11,D128)),Reference!$A$6:$A$11,1))+1)-INDEX(Reference!$B$6:$B$11,MIN(5,MATCH(MAX(Reference!$A$6,MIN(Reference!$A$11,D128)),Reference!$A$6:$A$11,1))))/(INDEX(Reference!$A$6:$A$11,MIN(5,MATCH(MAX(Reference!$A$6,MIN(Reference!$A$11,D128)),Reference!$A$6:$A$11,1))+1)-INDEX(Reference!$A$6:$A$11,MIN(5,MATCH(MAX(Reference!$A$6,MIN(Reference!$A$11,D128)),Reference!$A$6:$A$11,1))))))))</f>
        <v/>
      </c>
      <c r="P128" s="32" t="str">
        <f>IF(N128="","",VLOOKUP(MAX(N128,0),Reference!$A$17:$B$20,2,TRUE()))</f>
        <v/>
      </c>
      <c r="Q128" s="32" t="str">
        <f t="shared" si="12"/>
        <v/>
      </c>
      <c r="R128" s="31"/>
      <c r="S128" s="31"/>
      <c r="T128" s="31"/>
      <c r="U128" s="32" t="str">
        <f t="shared" si="13"/>
        <v/>
      </c>
      <c r="V128" s="32" t="str">
        <f t="shared" si="14"/>
        <v/>
      </c>
      <c r="W128" s="32" t="str">
        <f>IF(V128="","",VLOOKUP(MAX(V128,0),Reference!$A$17:$B$20,2,TRUE()))</f>
        <v/>
      </c>
      <c r="X128" s="31"/>
      <c r="Y128" s="31"/>
      <c r="Z128" s="31"/>
      <c r="AA128" s="32" t="str">
        <f t="shared" si="15"/>
        <v/>
      </c>
      <c r="AB128" s="32" t="str">
        <f t="shared" si="16"/>
        <v/>
      </c>
      <c r="AC128" s="32" t="str">
        <f>IF(AB128="","",VLOOKUP(MAX(AB128,0),Reference!$A$17:$B$20,2,TRUE()))</f>
        <v/>
      </c>
      <c r="AD128" s="31"/>
      <c r="AE128">
        <f t="shared" si="17"/>
        <v>1</v>
      </c>
      <c r="AF128" s="33" t="str">
        <f>IF(OR(A128="",B128="",AND(C128&lt;&gt;"Bullpen",C128&lt;&gt;"Game")),"",IF((COUNTIFS($B$5:$B$300,B128,$A$5:$A$300,A128-1,$C$5:$C$300,"Bullpen",$AG$5:$AG$300,"&gt;0") + COUNTIFS($B$5:$B$300,B128,$A$5:$A$300,A128-1,$C$5:$C$300,"Game",$AG$5:$AG$300,"&gt;0"))&gt;0,Reference!$B$119,IF((COUNTIFS($B$5:$B$300,B128,$A$5:$A$300,A128-2,$C$5:$C$300,"Bullpen",$AG$5:$AG$300,"&gt;0") + COUNTIFS($B$5:$B$300,B128,$A$5:$A$300,A128-2,$C$5:$C$300,"Game",$AG$5:$AG$300,"&gt;0"))&gt;0,Reference!$B$120,1)))</f>
        <v/>
      </c>
      <c r="AG128" s="30" t="str">
        <f>IF(AND(OR(I128="",O128="",P128=""),OR(R128="",W128=""),OR(X128="",AC128="")),"",IF(OR(I128="",O128="",P128=""),0,I128*O128*P128)+IF(OR(R128="",W128=""),0,R128*IFERROR(INDEX(Reference!$B$61:$B$62,MATCH("Bullpen",Reference!$A$61:$A$62,0)),0)*W128)+IF(OR(X128="",AC128=""),0,X128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128))</f>
        <v/>
      </c>
    </row>
    <row r="129" spans="1:33" x14ac:dyDescent="0.3">
      <c r="A129" s="35"/>
      <c r="B129" s="31"/>
      <c r="C129" s="31"/>
      <c r="D129" s="31"/>
      <c r="E129" s="34"/>
      <c r="F129" s="34"/>
      <c r="G129" s="30" t="str">
        <f t="shared" si="9"/>
        <v/>
      </c>
      <c r="H129" s="31"/>
      <c r="I129" s="32" t="str">
        <f>IF(H129&lt;&gt;"",H129,IF(G129="","",ROUND(G129*IFERROR(INDEX(Reference!$B$44:$B$50,MATCH(C129,Reference!$A$44:$A$50,0)),0),0)))</f>
        <v/>
      </c>
      <c r="J129" s="31"/>
      <c r="K129" s="31"/>
      <c r="L129" s="32" t="str">
        <f t="shared" si="10"/>
        <v/>
      </c>
      <c r="M129" s="32" t="str">
        <f>IFERROR(INDEX(Roster!$D$5:$D$40,MATCH(B129,Roster!$A$5:$A$40,0)),"")</f>
        <v/>
      </c>
      <c r="N129" s="32" t="str">
        <f t="shared" si="11"/>
        <v/>
      </c>
      <c r="O129" s="32" t="str">
        <f>IF(OR(C129="Bullpen",C129="Game"),IFERROR(INDEX(Reference!$B$61:$B$62,MATCH(C129,Reference!$A$61:$A$62,0)),""),IF(D129="","",IF(AE129&gt;1,((IF(1&lt;=AE129,(AE129-1+3)*(INDEX(Reference!$B$6:$B$11,MIN(5,MATCH(MAX(Reference!$A$6,MIN(Reference!$A$11,MIN(D129,90))),Reference!$A$6:$A$11,1)))+(MAX(Reference!$A$6,MIN(Reference!$A$11,MIN(D129,90)))-INDEX(Reference!$A$6:$A$11,MIN(5,MATCH(MAX(Reference!$A$6,MIN(Reference!$A$11,MIN(D129,90))),Reference!$A$6:$A$11,1))))*(INDEX(Reference!$B$6:$B$11,MIN(5,MATCH(MAX(Reference!$A$6,MIN(Reference!$A$11,MIN(D129,90))),Reference!$A$6:$A$11,1))+1)-INDEX(Reference!$B$6:$B$11,MIN(5,MATCH(MAX(Reference!$A$6,MIN(Reference!$A$11,MIN(D129,90))),Reference!$A$6:$A$11,1))))/(INDEX(Reference!$A$6:$A$11,MIN(5,MATCH(MAX(Reference!$A$6,MIN(Reference!$A$11,MIN(D129,90))),Reference!$A$6:$A$11,1))+1)-INDEX(Reference!$A$6:$A$11,MIN(5,MATCH(MAX(Reference!$A$6,MIN(Reference!$A$11,MIN(D129,90))),Reference!$A$6:$A$11,1))))),0)+IF(2&lt;=AE129,(AE129-2+3)*(INDEX(Reference!$B$6:$B$11,MIN(5,MATCH(MAX(Reference!$A$6,MIN(Reference!$A$11,MIN(D129,120))),Reference!$A$6:$A$11,1)))+(MAX(Reference!$A$6,MIN(Reference!$A$11,MIN(D129,120)))-INDEX(Reference!$A$6:$A$11,MIN(5,MATCH(MAX(Reference!$A$6,MIN(Reference!$A$11,MIN(D129,120))),Reference!$A$6:$A$11,1))))*(INDEX(Reference!$B$6:$B$11,MIN(5,MATCH(MAX(Reference!$A$6,MIN(Reference!$A$11,MIN(D129,120))),Reference!$A$6:$A$11,1))+1)-INDEX(Reference!$B$6:$B$11,MIN(5,MATCH(MAX(Reference!$A$6,MIN(Reference!$A$11,MIN(D129,120))),Reference!$A$6:$A$11,1))))/(INDEX(Reference!$A$6:$A$11,MIN(5,MATCH(MAX(Reference!$A$6,MIN(Reference!$A$11,MIN(D129,120))),Reference!$A$6:$A$11,1))+1)-INDEX(Reference!$A$6:$A$11,MIN(5,MATCH(MAX(Reference!$A$6,MIN(Reference!$A$11,MIN(D129,120))),Reference!$A$6:$A$11,1))))),0)+IF(3&lt;=AE129,(AE129-3+3)*(INDEX(Reference!$B$6:$B$11,MIN(5,MATCH(MAX(Reference!$A$6,MIN(Reference!$A$11,MIN(D129,150))),Reference!$A$6:$A$11,1)))+(MAX(Reference!$A$6,MIN(Reference!$A$11,MIN(D129,150)))-INDEX(Reference!$A$6:$A$11,MIN(5,MATCH(MAX(Reference!$A$6,MIN(Reference!$A$11,MIN(D129,150))),Reference!$A$6:$A$11,1))))*(INDEX(Reference!$B$6:$B$11,MIN(5,MATCH(MAX(Reference!$A$6,MIN(Reference!$A$11,MIN(D129,150))),Reference!$A$6:$A$11,1))+1)-INDEX(Reference!$B$6:$B$11,MIN(5,MATCH(MAX(Reference!$A$6,MIN(Reference!$A$11,MIN(D129,150))),Reference!$A$6:$A$11,1))))/(INDEX(Reference!$A$6:$A$11,MIN(5,MATCH(MAX(Reference!$A$6,MIN(Reference!$A$11,MIN(D129,150))),Reference!$A$6:$A$11,1))+1)-INDEX(Reference!$A$6:$A$11,MIN(5,MATCH(MAX(Reference!$A$6,MIN(Reference!$A$11,MIN(D129,150))),Reference!$A$6:$A$11,1))))),0)+IF(4&lt;=AE129,(AE129-4+3)*(INDEX(Reference!$B$6:$B$11,MIN(5,MATCH(MAX(Reference!$A$6,MIN(Reference!$A$11,MIN(D129,180))),Reference!$A$6:$A$11,1)))+(MAX(Reference!$A$6,MIN(Reference!$A$11,MIN(D129,180)))-INDEX(Reference!$A$6:$A$11,MIN(5,MATCH(MAX(Reference!$A$6,MIN(Reference!$A$11,MIN(D129,180))),Reference!$A$6:$A$11,1))))*(INDEX(Reference!$B$6:$B$11,MIN(5,MATCH(MAX(Reference!$A$6,MIN(Reference!$A$11,MIN(D129,180))),Reference!$A$6:$A$11,1))+1)-INDEX(Reference!$B$6:$B$11,MIN(5,MATCH(MAX(Reference!$A$6,MIN(Reference!$A$11,MIN(D129,180))),Reference!$A$6:$A$11,1))))/(INDEX(Reference!$A$6:$A$11,MIN(5,MATCH(MAX(Reference!$A$6,MIN(Reference!$A$11,MIN(D129,180))),Reference!$A$6:$A$11,1))+1)-INDEX(Reference!$A$6:$A$11,MIN(5,MATCH(MAX(Reference!$A$6,MIN(Reference!$A$11,MIN(D129,180))),Reference!$A$6:$A$11,1))))),0)+IF(5&lt;=AE129,(AE129-5+3)*(INDEX(Reference!$B$6:$B$11,MIN(5,MATCH(MAX(Reference!$A$6,MIN(Reference!$A$11,MIN(D129,210))),Reference!$A$6:$A$11,1)))+(MAX(Reference!$A$6,MIN(Reference!$A$11,MIN(D129,210)))-INDEX(Reference!$A$6:$A$11,MIN(5,MATCH(MAX(Reference!$A$6,MIN(Reference!$A$11,MIN(D129,210))),Reference!$A$6:$A$11,1))))*(INDEX(Reference!$B$6:$B$11,MIN(5,MATCH(MAX(Reference!$A$6,MIN(Reference!$A$11,MIN(D129,210))),Reference!$A$6:$A$11,1))+1)-INDEX(Reference!$B$6:$B$11,MIN(5,MATCH(MAX(Reference!$A$6,MIN(Reference!$A$11,MIN(D129,210))),Reference!$A$6:$A$11,1))))/(INDEX(Reference!$A$6:$A$11,MIN(5,MATCH(MAX(Reference!$A$6,MIN(Reference!$A$11,MIN(D129,210))),Reference!$A$6:$A$11,1))+1)-INDEX(Reference!$A$6:$A$11,MIN(5,MATCH(MAX(Reference!$A$6,MIN(Reference!$A$11,MIN(D129,210))),Reference!$A$6:$A$11,1))))),0)+IF(6&lt;=AE129,(AE129-6+3)*(INDEX(Reference!$B$6:$B$11,MIN(5,MATCH(MAX(Reference!$A$6,MIN(Reference!$A$11,MIN(D129,240))),Reference!$A$6:$A$11,1)))+(MAX(Reference!$A$6,MIN(Reference!$A$11,MIN(D129,240)))-INDEX(Reference!$A$6:$A$11,MIN(5,MATCH(MAX(Reference!$A$6,MIN(Reference!$A$11,MIN(D129,240))),Reference!$A$6:$A$11,1))))*(INDEX(Reference!$B$6:$B$11,MIN(5,MATCH(MAX(Reference!$A$6,MIN(Reference!$A$11,MIN(D129,240))),Reference!$A$6:$A$11,1))+1)-INDEX(Reference!$B$6:$B$11,MIN(5,MATCH(MAX(Reference!$A$6,MIN(Reference!$A$11,MIN(D129,240))),Reference!$A$6:$A$11,1))))/(INDEX(Reference!$A$6:$A$11,MIN(5,MATCH(MAX(Reference!$A$6,MIN(Reference!$A$11,MIN(D129,240))),Reference!$A$6:$A$11,1))+1)-INDEX(Reference!$A$6:$A$11,MIN(5,MATCH(MAX(Reference!$A$6,MIN(Reference!$A$11,MIN(D129,240))),Reference!$A$6:$A$11,1))))),0)+IF(7&lt;=AE129,(AE129-7+3)*(INDEX(Reference!$B$6:$B$11,MIN(5,MATCH(MAX(Reference!$A$6,MIN(Reference!$A$11,MIN(D129,270))),Reference!$A$6:$A$11,1)))+(MAX(Reference!$A$6,MIN(Reference!$A$11,MIN(D129,270)))-INDEX(Reference!$A$6:$A$11,MIN(5,MATCH(MAX(Reference!$A$6,MIN(Reference!$A$11,MIN(D129,270))),Reference!$A$6:$A$11,1))))*(INDEX(Reference!$B$6:$B$11,MIN(5,MATCH(MAX(Reference!$A$6,MIN(Reference!$A$11,MIN(D129,270))),Reference!$A$6:$A$11,1))+1)-INDEX(Reference!$B$6:$B$11,MIN(5,MATCH(MAX(Reference!$A$6,MIN(Reference!$A$11,MIN(D129,270))),Reference!$A$6:$A$11,1))))/(INDEX(Reference!$A$6:$A$11,MIN(5,MATCH(MAX(Reference!$A$6,MIN(Reference!$A$11,MIN(D129,270))),Reference!$A$6:$A$11,1))+1)-INDEX(Reference!$A$6:$A$11,MIN(5,MATCH(MAX(Reference!$A$6,MIN(Reference!$A$11,MIN(D129,270))),Reference!$A$6:$A$11,1))))),0)+IF(8&lt;=AE129,(AE129-8+3)*(INDEX(Reference!$B$6:$B$11,MIN(5,MATCH(MAX(Reference!$A$6,MIN(Reference!$A$11,MIN(D129,300))),Reference!$A$6:$A$11,1)))+(MAX(Reference!$A$6,MIN(Reference!$A$11,MIN(D129,300)))-INDEX(Reference!$A$6:$A$11,MIN(5,MATCH(MAX(Reference!$A$6,MIN(Reference!$A$11,MIN(D129,300))),Reference!$A$6:$A$11,1))))*(INDEX(Reference!$B$6:$B$11,MIN(5,MATCH(MAX(Reference!$A$6,MIN(Reference!$A$11,MIN(D129,300))),Reference!$A$6:$A$11,1))+1)-INDEX(Reference!$B$6:$B$11,MIN(5,MATCH(MAX(Reference!$A$6,MIN(Reference!$A$11,MIN(D129,300))),Reference!$A$6:$A$11,1))))/(INDEX(Reference!$A$6:$A$11,MIN(5,MATCH(MAX(Reference!$A$6,MIN(Reference!$A$11,MIN(D129,300))),Reference!$A$6:$A$11,1))+1)-INDEX(Reference!$A$6:$A$11,MIN(5,MATCH(MAX(Reference!$A$6,MIN(Reference!$A$11,MIN(D129,300))),Reference!$A$6:$A$11,1))))),0))/(AE129*(AE129+5)/2)),(INDEX(Reference!$B$6:$B$11,MIN(5,MATCH(MAX(Reference!$A$6,MIN(Reference!$A$11,D129)),Reference!$A$6:$A$11,1)))+(MAX(Reference!$A$6,MIN(Reference!$A$11,D129))-INDEX(Reference!$A$6:$A$11,MIN(5,MATCH(MAX(Reference!$A$6,MIN(Reference!$A$11,D129)),Reference!$A$6:$A$11,1))))*(INDEX(Reference!$B$6:$B$11,MIN(5,MATCH(MAX(Reference!$A$6,MIN(Reference!$A$11,D129)),Reference!$A$6:$A$11,1))+1)-INDEX(Reference!$B$6:$B$11,MIN(5,MATCH(MAX(Reference!$A$6,MIN(Reference!$A$11,D129)),Reference!$A$6:$A$11,1))))/(INDEX(Reference!$A$6:$A$11,MIN(5,MATCH(MAX(Reference!$A$6,MIN(Reference!$A$11,D129)),Reference!$A$6:$A$11,1))+1)-INDEX(Reference!$A$6:$A$11,MIN(5,MATCH(MAX(Reference!$A$6,MIN(Reference!$A$11,D129)),Reference!$A$6:$A$11,1))))))))</f>
        <v/>
      </c>
      <c r="P129" s="32" t="str">
        <f>IF(N129="","",VLOOKUP(MAX(N129,0),Reference!$A$17:$B$20,2,TRUE()))</f>
        <v/>
      </c>
      <c r="Q129" s="32" t="str">
        <f t="shared" si="12"/>
        <v/>
      </c>
      <c r="R129" s="31"/>
      <c r="S129" s="31"/>
      <c r="T129" s="31"/>
      <c r="U129" s="32" t="str">
        <f t="shared" si="13"/>
        <v/>
      </c>
      <c r="V129" s="32" t="str">
        <f t="shared" si="14"/>
        <v/>
      </c>
      <c r="W129" s="32" t="str">
        <f>IF(V129="","",VLOOKUP(MAX(V129,0),Reference!$A$17:$B$20,2,TRUE()))</f>
        <v/>
      </c>
      <c r="X129" s="31"/>
      <c r="Y129" s="31"/>
      <c r="Z129" s="31"/>
      <c r="AA129" s="32" t="str">
        <f t="shared" si="15"/>
        <v/>
      </c>
      <c r="AB129" s="32" t="str">
        <f t="shared" si="16"/>
        <v/>
      </c>
      <c r="AC129" s="32" t="str">
        <f>IF(AB129="","",VLOOKUP(MAX(AB129,0),Reference!$A$17:$B$20,2,TRUE()))</f>
        <v/>
      </c>
      <c r="AD129" s="31"/>
      <c r="AE129">
        <f t="shared" si="17"/>
        <v>1</v>
      </c>
      <c r="AF129" s="33" t="str">
        <f>IF(OR(A129="",B129="",AND(C129&lt;&gt;"Bullpen",C129&lt;&gt;"Game")),"",IF((COUNTIFS($B$5:$B$300,B129,$A$5:$A$300,A129-1,$C$5:$C$300,"Bullpen",$AG$5:$AG$300,"&gt;0") + COUNTIFS($B$5:$B$300,B129,$A$5:$A$300,A129-1,$C$5:$C$300,"Game",$AG$5:$AG$300,"&gt;0"))&gt;0,Reference!$B$119,IF((COUNTIFS($B$5:$B$300,B129,$A$5:$A$300,A129-2,$C$5:$C$300,"Bullpen",$AG$5:$AG$300,"&gt;0") + COUNTIFS($B$5:$B$300,B129,$A$5:$A$300,A129-2,$C$5:$C$300,"Game",$AG$5:$AG$300,"&gt;0"))&gt;0,Reference!$B$120,1)))</f>
        <v/>
      </c>
      <c r="AG129" s="30" t="str">
        <f>IF(AND(OR(I129="",O129="",P129=""),OR(R129="",W129=""),OR(X129="",AC129="")),"",IF(OR(I129="",O129="",P129=""),0,I129*O129*P129)+IF(OR(R129="",W129=""),0,R129*IFERROR(INDEX(Reference!$B$61:$B$62,MATCH("Bullpen",Reference!$A$61:$A$62,0)),0)*W129)+IF(OR(X129="",AC129=""),0,X129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129))</f>
        <v/>
      </c>
    </row>
    <row r="130" spans="1:33" x14ac:dyDescent="0.3">
      <c r="A130" s="35"/>
      <c r="B130" s="31"/>
      <c r="C130" s="31"/>
      <c r="D130" s="31"/>
      <c r="E130" s="34"/>
      <c r="F130" s="34"/>
      <c r="G130" s="30" t="str">
        <f t="shared" si="9"/>
        <v/>
      </c>
      <c r="H130" s="31"/>
      <c r="I130" s="32" t="str">
        <f>IF(H130&lt;&gt;"",H130,IF(G130="","",ROUND(G130*IFERROR(INDEX(Reference!$B$44:$B$50,MATCH(C130,Reference!$A$44:$A$50,0)),0),0)))</f>
        <v/>
      </c>
      <c r="J130" s="31"/>
      <c r="K130" s="31"/>
      <c r="L130" s="32" t="str">
        <f t="shared" si="10"/>
        <v/>
      </c>
      <c r="M130" s="32" t="str">
        <f>IFERROR(INDEX(Roster!$D$5:$D$40,MATCH(B130,Roster!$A$5:$A$40,0)),"")</f>
        <v/>
      </c>
      <c r="N130" s="32" t="str">
        <f t="shared" si="11"/>
        <v/>
      </c>
      <c r="O130" s="32" t="str">
        <f>IF(OR(C130="Bullpen",C130="Game"),IFERROR(INDEX(Reference!$B$61:$B$62,MATCH(C130,Reference!$A$61:$A$62,0)),""),IF(D130="","",IF(AE130&gt;1,((IF(1&lt;=AE130,(AE130-1+3)*(INDEX(Reference!$B$6:$B$11,MIN(5,MATCH(MAX(Reference!$A$6,MIN(Reference!$A$11,MIN(D130,90))),Reference!$A$6:$A$11,1)))+(MAX(Reference!$A$6,MIN(Reference!$A$11,MIN(D130,90)))-INDEX(Reference!$A$6:$A$11,MIN(5,MATCH(MAX(Reference!$A$6,MIN(Reference!$A$11,MIN(D130,90))),Reference!$A$6:$A$11,1))))*(INDEX(Reference!$B$6:$B$11,MIN(5,MATCH(MAX(Reference!$A$6,MIN(Reference!$A$11,MIN(D130,90))),Reference!$A$6:$A$11,1))+1)-INDEX(Reference!$B$6:$B$11,MIN(5,MATCH(MAX(Reference!$A$6,MIN(Reference!$A$11,MIN(D130,90))),Reference!$A$6:$A$11,1))))/(INDEX(Reference!$A$6:$A$11,MIN(5,MATCH(MAX(Reference!$A$6,MIN(Reference!$A$11,MIN(D130,90))),Reference!$A$6:$A$11,1))+1)-INDEX(Reference!$A$6:$A$11,MIN(5,MATCH(MAX(Reference!$A$6,MIN(Reference!$A$11,MIN(D130,90))),Reference!$A$6:$A$11,1))))),0)+IF(2&lt;=AE130,(AE130-2+3)*(INDEX(Reference!$B$6:$B$11,MIN(5,MATCH(MAX(Reference!$A$6,MIN(Reference!$A$11,MIN(D130,120))),Reference!$A$6:$A$11,1)))+(MAX(Reference!$A$6,MIN(Reference!$A$11,MIN(D130,120)))-INDEX(Reference!$A$6:$A$11,MIN(5,MATCH(MAX(Reference!$A$6,MIN(Reference!$A$11,MIN(D130,120))),Reference!$A$6:$A$11,1))))*(INDEX(Reference!$B$6:$B$11,MIN(5,MATCH(MAX(Reference!$A$6,MIN(Reference!$A$11,MIN(D130,120))),Reference!$A$6:$A$11,1))+1)-INDEX(Reference!$B$6:$B$11,MIN(5,MATCH(MAX(Reference!$A$6,MIN(Reference!$A$11,MIN(D130,120))),Reference!$A$6:$A$11,1))))/(INDEX(Reference!$A$6:$A$11,MIN(5,MATCH(MAX(Reference!$A$6,MIN(Reference!$A$11,MIN(D130,120))),Reference!$A$6:$A$11,1))+1)-INDEX(Reference!$A$6:$A$11,MIN(5,MATCH(MAX(Reference!$A$6,MIN(Reference!$A$11,MIN(D130,120))),Reference!$A$6:$A$11,1))))),0)+IF(3&lt;=AE130,(AE130-3+3)*(INDEX(Reference!$B$6:$B$11,MIN(5,MATCH(MAX(Reference!$A$6,MIN(Reference!$A$11,MIN(D130,150))),Reference!$A$6:$A$11,1)))+(MAX(Reference!$A$6,MIN(Reference!$A$11,MIN(D130,150)))-INDEX(Reference!$A$6:$A$11,MIN(5,MATCH(MAX(Reference!$A$6,MIN(Reference!$A$11,MIN(D130,150))),Reference!$A$6:$A$11,1))))*(INDEX(Reference!$B$6:$B$11,MIN(5,MATCH(MAX(Reference!$A$6,MIN(Reference!$A$11,MIN(D130,150))),Reference!$A$6:$A$11,1))+1)-INDEX(Reference!$B$6:$B$11,MIN(5,MATCH(MAX(Reference!$A$6,MIN(Reference!$A$11,MIN(D130,150))),Reference!$A$6:$A$11,1))))/(INDEX(Reference!$A$6:$A$11,MIN(5,MATCH(MAX(Reference!$A$6,MIN(Reference!$A$11,MIN(D130,150))),Reference!$A$6:$A$11,1))+1)-INDEX(Reference!$A$6:$A$11,MIN(5,MATCH(MAX(Reference!$A$6,MIN(Reference!$A$11,MIN(D130,150))),Reference!$A$6:$A$11,1))))),0)+IF(4&lt;=AE130,(AE130-4+3)*(INDEX(Reference!$B$6:$B$11,MIN(5,MATCH(MAX(Reference!$A$6,MIN(Reference!$A$11,MIN(D130,180))),Reference!$A$6:$A$11,1)))+(MAX(Reference!$A$6,MIN(Reference!$A$11,MIN(D130,180)))-INDEX(Reference!$A$6:$A$11,MIN(5,MATCH(MAX(Reference!$A$6,MIN(Reference!$A$11,MIN(D130,180))),Reference!$A$6:$A$11,1))))*(INDEX(Reference!$B$6:$B$11,MIN(5,MATCH(MAX(Reference!$A$6,MIN(Reference!$A$11,MIN(D130,180))),Reference!$A$6:$A$11,1))+1)-INDEX(Reference!$B$6:$B$11,MIN(5,MATCH(MAX(Reference!$A$6,MIN(Reference!$A$11,MIN(D130,180))),Reference!$A$6:$A$11,1))))/(INDEX(Reference!$A$6:$A$11,MIN(5,MATCH(MAX(Reference!$A$6,MIN(Reference!$A$11,MIN(D130,180))),Reference!$A$6:$A$11,1))+1)-INDEX(Reference!$A$6:$A$11,MIN(5,MATCH(MAX(Reference!$A$6,MIN(Reference!$A$11,MIN(D130,180))),Reference!$A$6:$A$11,1))))),0)+IF(5&lt;=AE130,(AE130-5+3)*(INDEX(Reference!$B$6:$B$11,MIN(5,MATCH(MAX(Reference!$A$6,MIN(Reference!$A$11,MIN(D130,210))),Reference!$A$6:$A$11,1)))+(MAX(Reference!$A$6,MIN(Reference!$A$11,MIN(D130,210)))-INDEX(Reference!$A$6:$A$11,MIN(5,MATCH(MAX(Reference!$A$6,MIN(Reference!$A$11,MIN(D130,210))),Reference!$A$6:$A$11,1))))*(INDEX(Reference!$B$6:$B$11,MIN(5,MATCH(MAX(Reference!$A$6,MIN(Reference!$A$11,MIN(D130,210))),Reference!$A$6:$A$11,1))+1)-INDEX(Reference!$B$6:$B$11,MIN(5,MATCH(MAX(Reference!$A$6,MIN(Reference!$A$11,MIN(D130,210))),Reference!$A$6:$A$11,1))))/(INDEX(Reference!$A$6:$A$11,MIN(5,MATCH(MAX(Reference!$A$6,MIN(Reference!$A$11,MIN(D130,210))),Reference!$A$6:$A$11,1))+1)-INDEX(Reference!$A$6:$A$11,MIN(5,MATCH(MAX(Reference!$A$6,MIN(Reference!$A$11,MIN(D130,210))),Reference!$A$6:$A$11,1))))),0)+IF(6&lt;=AE130,(AE130-6+3)*(INDEX(Reference!$B$6:$B$11,MIN(5,MATCH(MAX(Reference!$A$6,MIN(Reference!$A$11,MIN(D130,240))),Reference!$A$6:$A$11,1)))+(MAX(Reference!$A$6,MIN(Reference!$A$11,MIN(D130,240)))-INDEX(Reference!$A$6:$A$11,MIN(5,MATCH(MAX(Reference!$A$6,MIN(Reference!$A$11,MIN(D130,240))),Reference!$A$6:$A$11,1))))*(INDEX(Reference!$B$6:$B$11,MIN(5,MATCH(MAX(Reference!$A$6,MIN(Reference!$A$11,MIN(D130,240))),Reference!$A$6:$A$11,1))+1)-INDEX(Reference!$B$6:$B$11,MIN(5,MATCH(MAX(Reference!$A$6,MIN(Reference!$A$11,MIN(D130,240))),Reference!$A$6:$A$11,1))))/(INDEX(Reference!$A$6:$A$11,MIN(5,MATCH(MAX(Reference!$A$6,MIN(Reference!$A$11,MIN(D130,240))),Reference!$A$6:$A$11,1))+1)-INDEX(Reference!$A$6:$A$11,MIN(5,MATCH(MAX(Reference!$A$6,MIN(Reference!$A$11,MIN(D130,240))),Reference!$A$6:$A$11,1))))),0)+IF(7&lt;=AE130,(AE130-7+3)*(INDEX(Reference!$B$6:$B$11,MIN(5,MATCH(MAX(Reference!$A$6,MIN(Reference!$A$11,MIN(D130,270))),Reference!$A$6:$A$11,1)))+(MAX(Reference!$A$6,MIN(Reference!$A$11,MIN(D130,270)))-INDEX(Reference!$A$6:$A$11,MIN(5,MATCH(MAX(Reference!$A$6,MIN(Reference!$A$11,MIN(D130,270))),Reference!$A$6:$A$11,1))))*(INDEX(Reference!$B$6:$B$11,MIN(5,MATCH(MAX(Reference!$A$6,MIN(Reference!$A$11,MIN(D130,270))),Reference!$A$6:$A$11,1))+1)-INDEX(Reference!$B$6:$B$11,MIN(5,MATCH(MAX(Reference!$A$6,MIN(Reference!$A$11,MIN(D130,270))),Reference!$A$6:$A$11,1))))/(INDEX(Reference!$A$6:$A$11,MIN(5,MATCH(MAX(Reference!$A$6,MIN(Reference!$A$11,MIN(D130,270))),Reference!$A$6:$A$11,1))+1)-INDEX(Reference!$A$6:$A$11,MIN(5,MATCH(MAX(Reference!$A$6,MIN(Reference!$A$11,MIN(D130,270))),Reference!$A$6:$A$11,1))))),0)+IF(8&lt;=AE130,(AE130-8+3)*(INDEX(Reference!$B$6:$B$11,MIN(5,MATCH(MAX(Reference!$A$6,MIN(Reference!$A$11,MIN(D130,300))),Reference!$A$6:$A$11,1)))+(MAX(Reference!$A$6,MIN(Reference!$A$11,MIN(D130,300)))-INDEX(Reference!$A$6:$A$11,MIN(5,MATCH(MAX(Reference!$A$6,MIN(Reference!$A$11,MIN(D130,300))),Reference!$A$6:$A$11,1))))*(INDEX(Reference!$B$6:$B$11,MIN(5,MATCH(MAX(Reference!$A$6,MIN(Reference!$A$11,MIN(D130,300))),Reference!$A$6:$A$11,1))+1)-INDEX(Reference!$B$6:$B$11,MIN(5,MATCH(MAX(Reference!$A$6,MIN(Reference!$A$11,MIN(D130,300))),Reference!$A$6:$A$11,1))))/(INDEX(Reference!$A$6:$A$11,MIN(5,MATCH(MAX(Reference!$A$6,MIN(Reference!$A$11,MIN(D130,300))),Reference!$A$6:$A$11,1))+1)-INDEX(Reference!$A$6:$A$11,MIN(5,MATCH(MAX(Reference!$A$6,MIN(Reference!$A$11,MIN(D130,300))),Reference!$A$6:$A$11,1))))),0))/(AE130*(AE130+5)/2)),(INDEX(Reference!$B$6:$B$11,MIN(5,MATCH(MAX(Reference!$A$6,MIN(Reference!$A$11,D130)),Reference!$A$6:$A$11,1)))+(MAX(Reference!$A$6,MIN(Reference!$A$11,D130))-INDEX(Reference!$A$6:$A$11,MIN(5,MATCH(MAX(Reference!$A$6,MIN(Reference!$A$11,D130)),Reference!$A$6:$A$11,1))))*(INDEX(Reference!$B$6:$B$11,MIN(5,MATCH(MAX(Reference!$A$6,MIN(Reference!$A$11,D130)),Reference!$A$6:$A$11,1))+1)-INDEX(Reference!$B$6:$B$11,MIN(5,MATCH(MAX(Reference!$A$6,MIN(Reference!$A$11,D130)),Reference!$A$6:$A$11,1))))/(INDEX(Reference!$A$6:$A$11,MIN(5,MATCH(MAX(Reference!$A$6,MIN(Reference!$A$11,D130)),Reference!$A$6:$A$11,1))+1)-INDEX(Reference!$A$6:$A$11,MIN(5,MATCH(MAX(Reference!$A$6,MIN(Reference!$A$11,D130)),Reference!$A$6:$A$11,1))))))))</f>
        <v/>
      </c>
      <c r="P130" s="32" t="str">
        <f>IF(N130="","",VLOOKUP(MAX(N130,0),Reference!$A$17:$B$20,2,TRUE()))</f>
        <v/>
      </c>
      <c r="Q130" s="32" t="str">
        <f t="shared" si="12"/>
        <v/>
      </c>
      <c r="R130" s="31"/>
      <c r="S130" s="31"/>
      <c r="T130" s="31"/>
      <c r="U130" s="32" t="str">
        <f t="shared" si="13"/>
        <v/>
      </c>
      <c r="V130" s="32" t="str">
        <f t="shared" si="14"/>
        <v/>
      </c>
      <c r="W130" s="32" t="str">
        <f>IF(V130="","",VLOOKUP(MAX(V130,0),Reference!$A$17:$B$20,2,TRUE()))</f>
        <v/>
      </c>
      <c r="X130" s="31"/>
      <c r="Y130" s="31"/>
      <c r="Z130" s="31"/>
      <c r="AA130" s="32" t="str">
        <f t="shared" si="15"/>
        <v/>
      </c>
      <c r="AB130" s="32" t="str">
        <f t="shared" si="16"/>
        <v/>
      </c>
      <c r="AC130" s="32" t="str">
        <f>IF(AB130="","",VLOOKUP(MAX(AB130,0),Reference!$A$17:$B$20,2,TRUE()))</f>
        <v/>
      </c>
      <c r="AD130" s="31"/>
      <c r="AE130">
        <f t="shared" si="17"/>
        <v>1</v>
      </c>
      <c r="AF130" s="33" t="str">
        <f>IF(OR(A130="",B130="",AND(C130&lt;&gt;"Bullpen",C130&lt;&gt;"Game")),"",IF((COUNTIFS($B$5:$B$300,B130,$A$5:$A$300,A130-1,$C$5:$C$300,"Bullpen",$AG$5:$AG$300,"&gt;0") + COUNTIFS($B$5:$B$300,B130,$A$5:$A$300,A130-1,$C$5:$C$300,"Game",$AG$5:$AG$300,"&gt;0"))&gt;0,Reference!$B$119,IF((COUNTIFS($B$5:$B$300,B130,$A$5:$A$300,A130-2,$C$5:$C$300,"Bullpen",$AG$5:$AG$300,"&gt;0") + COUNTIFS($B$5:$B$300,B130,$A$5:$A$300,A130-2,$C$5:$C$300,"Game",$AG$5:$AG$300,"&gt;0"))&gt;0,Reference!$B$120,1)))</f>
        <v/>
      </c>
      <c r="AG130" s="30" t="str">
        <f>IF(AND(OR(I130="",O130="",P130=""),OR(R130="",W130=""),OR(X130="",AC130="")),"",IF(OR(I130="",O130="",P130=""),0,I130*O130*P130)+IF(OR(R130="",W130=""),0,R130*IFERROR(INDEX(Reference!$B$61:$B$62,MATCH("Bullpen",Reference!$A$61:$A$62,0)),0)*W130)+IF(OR(X130="",AC130=""),0,X130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130))</f>
        <v/>
      </c>
    </row>
    <row r="131" spans="1:33" x14ac:dyDescent="0.3">
      <c r="A131" s="35"/>
      <c r="B131" s="31"/>
      <c r="C131" s="31"/>
      <c r="D131" s="31"/>
      <c r="E131" s="34"/>
      <c r="F131" s="34"/>
      <c r="G131" s="30" t="str">
        <f t="shared" si="9"/>
        <v/>
      </c>
      <c r="H131" s="31"/>
      <c r="I131" s="32" t="str">
        <f>IF(H131&lt;&gt;"",H131,IF(G131="","",ROUND(G131*IFERROR(INDEX(Reference!$B$44:$B$50,MATCH(C131,Reference!$A$44:$A$50,0)),0),0)))</f>
        <v/>
      </c>
      <c r="J131" s="31"/>
      <c r="K131" s="31"/>
      <c r="L131" s="32" t="str">
        <f t="shared" si="10"/>
        <v/>
      </c>
      <c r="M131" s="32" t="str">
        <f>IFERROR(INDEX(Roster!$D$5:$D$40,MATCH(B131,Roster!$A$5:$A$40,0)),"")</f>
        <v/>
      </c>
      <c r="N131" s="32" t="str">
        <f t="shared" si="11"/>
        <v/>
      </c>
      <c r="O131" s="32" t="str">
        <f>IF(OR(C131="Bullpen",C131="Game"),IFERROR(INDEX(Reference!$B$61:$B$62,MATCH(C131,Reference!$A$61:$A$62,0)),""),IF(D131="","",IF(AE131&gt;1,((IF(1&lt;=AE131,(AE131-1+3)*(INDEX(Reference!$B$6:$B$11,MIN(5,MATCH(MAX(Reference!$A$6,MIN(Reference!$A$11,MIN(D131,90))),Reference!$A$6:$A$11,1)))+(MAX(Reference!$A$6,MIN(Reference!$A$11,MIN(D131,90)))-INDEX(Reference!$A$6:$A$11,MIN(5,MATCH(MAX(Reference!$A$6,MIN(Reference!$A$11,MIN(D131,90))),Reference!$A$6:$A$11,1))))*(INDEX(Reference!$B$6:$B$11,MIN(5,MATCH(MAX(Reference!$A$6,MIN(Reference!$A$11,MIN(D131,90))),Reference!$A$6:$A$11,1))+1)-INDEX(Reference!$B$6:$B$11,MIN(5,MATCH(MAX(Reference!$A$6,MIN(Reference!$A$11,MIN(D131,90))),Reference!$A$6:$A$11,1))))/(INDEX(Reference!$A$6:$A$11,MIN(5,MATCH(MAX(Reference!$A$6,MIN(Reference!$A$11,MIN(D131,90))),Reference!$A$6:$A$11,1))+1)-INDEX(Reference!$A$6:$A$11,MIN(5,MATCH(MAX(Reference!$A$6,MIN(Reference!$A$11,MIN(D131,90))),Reference!$A$6:$A$11,1))))),0)+IF(2&lt;=AE131,(AE131-2+3)*(INDEX(Reference!$B$6:$B$11,MIN(5,MATCH(MAX(Reference!$A$6,MIN(Reference!$A$11,MIN(D131,120))),Reference!$A$6:$A$11,1)))+(MAX(Reference!$A$6,MIN(Reference!$A$11,MIN(D131,120)))-INDEX(Reference!$A$6:$A$11,MIN(5,MATCH(MAX(Reference!$A$6,MIN(Reference!$A$11,MIN(D131,120))),Reference!$A$6:$A$11,1))))*(INDEX(Reference!$B$6:$B$11,MIN(5,MATCH(MAX(Reference!$A$6,MIN(Reference!$A$11,MIN(D131,120))),Reference!$A$6:$A$11,1))+1)-INDEX(Reference!$B$6:$B$11,MIN(5,MATCH(MAX(Reference!$A$6,MIN(Reference!$A$11,MIN(D131,120))),Reference!$A$6:$A$11,1))))/(INDEX(Reference!$A$6:$A$11,MIN(5,MATCH(MAX(Reference!$A$6,MIN(Reference!$A$11,MIN(D131,120))),Reference!$A$6:$A$11,1))+1)-INDEX(Reference!$A$6:$A$11,MIN(5,MATCH(MAX(Reference!$A$6,MIN(Reference!$A$11,MIN(D131,120))),Reference!$A$6:$A$11,1))))),0)+IF(3&lt;=AE131,(AE131-3+3)*(INDEX(Reference!$B$6:$B$11,MIN(5,MATCH(MAX(Reference!$A$6,MIN(Reference!$A$11,MIN(D131,150))),Reference!$A$6:$A$11,1)))+(MAX(Reference!$A$6,MIN(Reference!$A$11,MIN(D131,150)))-INDEX(Reference!$A$6:$A$11,MIN(5,MATCH(MAX(Reference!$A$6,MIN(Reference!$A$11,MIN(D131,150))),Reference!$A$6:$A$11,1))))*(INDEX(Reference!$B$6:$B$11,MIN(5,MATCH(MAX(Reference!$A$6,MIN(Reference!$A$11,MIN(D131,150))),Reference!$A$6:$A$11,1))+1)-INDEX(Reference!$B$6:$B$11,MIN(5,MATCH(MAX(Reference!$A$6,MIN(Reference!$A$11,MIN(D131,150))),Reference!$A$6:$A$11,1))))/(INDEX(Reference!$A$6:$A$11,MIN(5,MATCH(MAX(Reference!$A$6,MIN(Reference!$A$11,MIN(D131,150))),Reference!$A$6:$A$11,1))+1)-INDEX(Reference!$A$6:$A$11,MIN(5,MATCH(MAX(Reference!$A$6,MIN(Reference!$A$11,MIN(D131,150))),Reference!$A$6:$A$11,1))))),0)+IF(4&lt;=AE131,(AE131-4+3)*(INDEX(Reference!$B$6:$B$11,MIN(5,MATCH(MAX(Reference!$A$6,MIN(Reference!$A$11,MIN(D131,180))),Reference!$A$6:$A$11,1)))+(MAX(Reference!$A$6,MIN(Reference!$A$11,MIN(D131,180)))-INDEX(Reference!$A$6:$A$11,MIN(5,MATCH(MAX(Reference!$A$6,MIN(Reference!$A$11,MIN(D131,180))),Reference!$A$6:$A$11,1))))*(INDEX(Reference!$B$6:$B$11,MIN(5,MATCH(MAX(Reference!$A$6,MIN(Reference!$A$11,MIN(D131,180))),Reference!$A$6:$A$11,1))+1)-INDEX(Reference!$B$6:$B$11,MIN(5,MATCH(MAX(Reference!$A$6,MIN(Reference!$A$11,MIN(D131,180))),Reference!$A$6:$A$11,1))))/(INDEX(Reference!$A$6:$A$11,MIN(5,MATCH(MAX(Reference!$A$6,MIN(Reference!$A$11,MIN(D131,180))),Reference!$A$6:$A$11,1))+1)-INDEX(Reference!$A$6:$A$11,MIN(5,MATCH(MAX(Reference!$A$6,MIN(Reference!$A$11,MIN(D131,180))),Reference!$A$6:$A$11,1))))),0)+IF(5&lt;=AE131,(AE131-5+3)*(INDEX(Reference!$B$6:$B$11,MIN(5,MATCH(MAX(Reference!$A$6,MIN(Reference!$A$11,MIN(D131,210))),Reference!$A$6:$A$11,1)))+(MAX(Reference!$A$6,MIN(Reference!$A$11,MIN(D131,210)))-INDEX(Reference!$A$6:$A$11,MIN(5,MATCH(MAX(Reference!$A$6,MIN(Reference!$A$11,MIN(D131,210))),Reference!$A$6:$A$11,1))))*(INDEX(Reference!$B$6:$B$11,MIN(5,MATCH(MAX(Reference!$A$6,MIN(Reference!$A$11,MIN(D131,210))),Reference!$A$6:$A$11,1))+1)-INDEX(Reference!$B$6:$B$11,MIN(5,MATCH(MAX(Reference!$A$6,MIN(Reference!$A$11,MIN(D131,210))),Reference!$A$6:$A$11,1))))/(INDEX(Reference!$A$6:$A$11,MIN(5,MATCH(MAX(Reference!$A$6,MIN(Reference!$A$11,MIN(D131,210))),Reference!$A$6:$A$11,1))+1)-INDEX(Reference!$A$6:$A$11,MIN(5,MATCH(MAX(Reference!$A$6,MIN(Reference!$A$11,MIN(D131,210))),Reference!$A$6:$A$11,1))))),0)+IF(6&lt;=AE131,(AE131-6+3)*(INDEX(Reference!$B$6:$B$11,MIN(5,MATCH(MAX(Reference!$A$6,MIN(Reference!$A$11,MIN(D131,240))),Reference!$A$6:$A$11,1)))+(MAX(Reference!$A$6,MIN(Reference!$A$11,MIN(D131,240)))-INDEX(Reference!$A$6:$A$11,MIN(5,MATCH(MAX(Reference!$A$6,MIN(Reference!$A$11,MIN(D131,240))),Reference!$A$6:$A$11,1))))*(INDEX(Reference!$B$6:$B$11,MIN(5,MATCH(MAX(Reference!$A$6,MIN(Reference!$A$11,MIN(D131,240))),Reference!$A$6:$A$11,1))+1)-INDEX(Reference!$B$6:$B$11,MIN(5,MATCH(MAX(Reference!$A$6,MIN(Reference!$A$11,MIN(D131,240))),Reference!$A$6:$A$11,1))))/(INDEX(Reference!$A$6:$A$11,MIN(5,MATCH(MAX(Reference!$A$6,MIN(Reference!$A$11,MIN(D131,240))),Reference!$A$6:$A$11,1))+1)-INDEX(Reference!$A$6:$A$11,MIN(5,MATCH(MAX(Reference!$A$6,MIN(Reference!$A$11,MIN(D131,240))),Reference!$A$6:$A$11,1))))),0)+IF(7&lt;=AE131,(AE131-7+3)*(INDEX(Reference!$B$6:$B$11,MIN(5,MATCH(MAX(Reference!$A$6,MIN(Reference!$A$11,MIN(D131,270))),Reference!$A$6:$A$11,1)))+(MAX(Reference!$A$6,MIN(Reference!$A$11,MIN(D131,270)))-INDEX(Reference!$A$6:$A$11,MIN(5,MATCH(MAX(Reference!$A$6,MIN(Reference!$A$11,MIN(D131,270))),Reference!$A$6:$A$11,1))))*(INDEX(Reference!$B$6:$B$11,MIN(5,MATCH(MAX(Reference!$A$6,MIN(Reference!$A$11,MIN(D131,270))),Reference!$A$6:$A$11,1))+1)-INDEX(Reference!$B$6:$B$11,MIN(5,MATCH(MAX(Reference!$A$6,MIN(Reference!$A$11,MIN(D131,270))),Reference!$A$6:$A$11,1))))/(INDEX(Reference!$A$6:$A$11,MIN(5,MATCH(MAX(Reference!$A$6,MIN(Reference!$A$11,MIN(D131,270))),Reference!$A$6:$A$11,1))+1)-INDEX(Reference!$A$6:$A$11,MIN(5,MATCH(MAX(Reference!$A$6,MIN(Reference!$A$11,MIN(D131,270))),Reference!$A$6:$A$11,1))))),0)+IF(8&lt;=AE131,(AE131-8+3)*(INDEX(Reference!$B$6:$B$11,MIN(5,MATCH(MAX(Reference!$A$6,MIN(Reference!$A$11,MIN(D131,300))),Reference!$A$6:$A$11,1)))+(MAX(Reference!$A$6,MIN(Reference!$A$11,MIN(D131,300)))-INDEX(Reference!$A$6:$A$11,MIN(5,MATCH(MAX(Reference!$A$6,MIN(Reference!$A$11,MIN(D131,300))),Reference!$A$6:$A$11,1))))*(INDEX(Reference!$B$6:$B$11,MIN(5,MATCH(MAX(Reference!$A$6,MIN(Reference!$A$11,MIN(D131,300))),Reference!$A$6:$A$11,1))+1)-INDEX(Reference!$B$6:$B$11,MIN(5,MATCH(MAX(Reference!$A$6,MIN(Reference!$A$11,MIN(D131,300))),Reference!$A$6:$A$11,1))))/(INDEX(Reference!$A$6:$A$11,MIN(5,MATCH(MAX(Reference!$A$6,MIN(Reference!$A$11,MIN(D131,300))),Reference!$A$6:$A$11,1))+1)-INDEX(Reference!$A$6:$A$11,MIN(5,MATCH(MAX(Reference!$A$6,MIN(Reference!$A$11,MIN(D131,300))),Reference!$A$6:$A$11,1))))),0))/(AE131*(AE131+5)/2)),(INDEX(Reference!$B$6:$B$11,MIN(5,MATCH(MAX(Reference!$A$6,MIN(Reference!$A$11,D131)),Reference!$A$6:$A$11,1)))+(MAX(Reference!$A$6,MIN(Reference!$A$11,D131))-INDEX(Reference!$A$6:$A$11,MIN(5,MATCH(MAX(Reference!$A$6,MIN(Reference!$A$11,D131)),Reference!$A$6:$A$11,1))))*(INDEX(Reference!$B$6:$B$11,MIN(5,MATCH(MAX(Reference!$A$6,MIN(Reference!$A$11,D131)),Reference!$A$6:$A$11,1))+1)-INDEX(Reference!$B$6:$B$11,MIN(5,MATCH(MAX(Reference!$A$6,MIN(Reference!$A$11,D131)),Reference!$A$6:$A$11,1))))/(INDEX(Reference!$A$6:$A$11,MIN(5,MATCH(MAX(Reference!$A$6,MIN(Reference!$A$11,D131)),Reference!$A$6:$A$11,1))+1)-INDEX(Reference!$A$6:$A$11,MIN(5,MATCH(MAX(Reference!$A$6,MIN(Reference!$A$11,D131)),Reference!$A$6:$A$11,1))))))))</f>
        <v/>
      </c>
      <c r="P131" s="32" t="str">
        <f>IF(N131="","",VLOOKUP(MAX(N131,0),Reference!$A$17:$B$20,2,TRUE()))</f>
        <v/>
      </c>
      <c r="Q131" s="32" t="str">
        <f t="shared" si="12"/>
        <v/>
      </c>
      <c r="R131" s="31"/>
      <c r="S131" s="31"/>
      <c r="T131" s="31"/>
      <c r="U131" s="32" t="str">
        <f t="shared" si="13"/>
        <v/>
      </c>
      <c r="V131" s="32" t="str">
        <f t="shared" si="14"/>
        <v/>
      </c>
      <c r="W131" s="32" t="str">
        <f>IF(V131="","",VLOOKUP(MAX(V131,0),Reference!$A$17:$B$20,2,TRUE()))</f>
        <v/>
      </c>
      <c r="X131" s="31"/>
      <c r="Y131" s="31"/>
      <c r="Z131" s="31"/>
      <c r="AA131" s="32" t="str">
        <f t="shared" si="15"/>
        <v/>
      </c>
      <c r="AB131" s="32" t="str">
        <f t="shared" si="16"/>
        <v/>
      </c>
      <c r="AC131" s="32" t="str">
        <f>IF(AB131="","",VLOOKUP(MAX(AB131,0),Reference!$A$17:$B$20,2,TRUE()))</f>
        <v/>
      </c>
      <c r="AD131" s="31"/>
      <c r="AE131">
        <f t="shared" si="17"/>
        <v>1</v>
      </c>
      <c r="AF131" s="33" t="str">
        <f>IF(OR(A131="",B131="",AND(C131&lt;&gt;"Bullpen",C131&lt;&gt;"Game")),"",IF((COUNTIFS($B$5:$B$300,B131,$A$5:$A$300,A131-1,$C$5:$C$300,"Bullpen",$AG$5:$AG$300,"&gt;0") + COUNTIFS($B$5:$B$300,B131,$A$5:$A$300,A131-1,$C$5:$C$300,"Game",$AG$5:$AG$300,"&gt;0"))&gt;0,Reference!$B$119,IF((COUNTIFS($B$5:$B$300,B131,$A$5:$A$300,A131-2,$C$5:$C$300,"Bullpen",$AG$5:$AG$300,"&gt;0") + COUNTIFS($B$5:$B$300,B131,$A$5:$A$300,A131-2,$C$5:$C$300,"Game",$AG$5:$AG$300,"&gt;0"))&gt;0,Reference!$B$120,1)))</f>
        <v/>
      </c>
      <c r="AG131" s="30" t="str">
        <f>IF(AND(OR(I131="",O131="",P131=""),OR(R131="",W131=""),OR(X131="",AC131="")),"",IF(OR(I131="",O131="",P131=""),0,I131*O131*P131)+IF(OR(R131="",W131=""),0,R131*IFERROR(INDEX(Reference!$B$61:$B$62,MATCH("Bullpen",Reference!$A$61:$A$62,0)),0)*W131)+IF(OR(X131="",AC131=""),0,X131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131))</f>
        <v/>
      </c>
    </row>
    <row r="132" spans="1:33" x14ac:dyDescent="0.3">
      <c r="A132" s="35"/>
      <c r="B132" s="31"/>
      <c r="C132" s="31"/>
      <c r="D132" s="31"/>
      <c r="E132" s="34"/>
      <c r="F132" s="34"/>
      <c r="G132" s="30" t="str">
        <f t="shared" si="9"/>
        <v/>
      </c>
      <c r="H132" s="31"/>
      <c r="I132" s="32" t="str">
        <f>IF(H132&lt;&gt;"",H132,IF(G132="","",ROUND(G132*IFERROR(INDEX(Reference!$B$44:$B$50,MATCH(C132,Reference!$A$44:$A$50,0)),0),0)))</f>
        <v/>
      </c>
      <c r="J132" s="31"/>
      <c r="K132" s="31"/>
      <c r="L132" s="32" t="str">
        <f t="shared" si="10"/>
        <v/>
      </c>
      <c r="M132" s="32" t="str">
        <f>IFERROR(INDEX(Roster!$D$5:$D$40,MATCH(B132,Roster!$A$5:$A$40,0)),"")</f>
        <v/>
      </c>
      <c r="N132" s="32" t="str">
        <f t="shared" si="11"/>
        <v/>
      </c>
      <c r="O132" s="32" t="str">
        <f>IF(OR(C132="Bullpen",C132="Game"),IFERROR(INDEX(Reference!$B$61:$B$62,MATCH(C132,Reference!$A$61:$A$62,0)),""),IF(D132="","",IF(AE132&gt;1,((IF(1&lt;=AE132,(AE132-1+3)*(INDEX(Reference!$B$6:$B$11,MIN(5,MATCH(MAX(Reference!$A$6,MIN(Reference!$A$11,MIN(D132,90))),Reference!$A$6:$A$11,1)))+(MAX(Reference!$A$6,MIN(Reference!$A$11,MIN(D132,90)))-INDEX(Reference!$A$6:$A$11,MIN(5,MATCH(MAX(Reference!$A$6,MIN(Reference!$A$11,MIN(D132,90))),Reference!$A$6:$A$11,1))))*(INDEX(Reference!$B$6:$B$11,MIN(5,MATCH(MAX(Reference!$A$6,MIN(Reference!$A$11,MIN(D132,90))),Reference!$A$6:$A$11,1))+1)-INDEX(Reference!$B$6:$B$11,MIN(5,MATCH(MAX(Reference!$A$6,MIN(Reference!$A$11,MIN(D132,90))),Reference!$A$6:$A$11,1))))/(INDEX(Reference!$A$6:$A$11,MIN(5,MATCH(MAX(Reference!$A$6,MIN(Reference!$A$11,MIN(D132,90))),Reference!$A$6:$A$11,1))+1)-INDEX(Reference!$A$6:$A$11,MIN(5,MATCH(MAX(Reference!$A$6,MIN(Reference!$A$11,MIN(D132,90))),Reference!$A$6:$A$11,1))))),0)+IF(2&lt;=AE132,(AE132-2+3)*(INDEX(Reference!$B$6:$B$11,MIN(5,MATCH(MAX(Reference!$A$6,MIN(Reference!$A$11,MIN(D132,120))),Reference!$A$6:$A$11,1)))+(MAX(Reference!$A$6,MIN(Reference!$A$11,MIN(D132,120)))-INDEX(Reference!$A$6:$A$11,MIN(5,MATCH(MAX(Reference!$A$6,MIN(Reference!$A$11,MIN(D132,120))),Reference!$A$6:$A$11,1))))*(INDEX(Reference!$B$6:$B$11,MIN(5,MATCH(MAX(Reference!$A$6,MIN(Reference!$A$11,MIN(D132,120))),Reference!$A$6:$A$11,1))+1)-INDEX(Reference!$B$6:$B$11,MIN(5,MATCH(MAX(Reference!$A$6,MIN(Reference!$A$11,MIN(D132,120))),Reference!$A$6:$A$11,1))))/(INDEX(Reference!$A$6:$A$11,MIN(5,MATCH(MAX(Reference!$A$6,MIN(Reference!$A$11,MIN(D132,120))),Reference!$A$6:$A$11,1))+1)-INDEX(Reference!$A$6:$A$11,MIN(5,MATCH(MAX(Reference!$A$6,MIN(Reference!$A$11,MIN(D132,120))),Reference!$A$6:$A$11,1))))),0)+IF(3&lt;=AE132,(AE132-3+3)*(INDEX(Reference!$B$6:$B$11,MIN(5,MATCH(MAX(Reference!$A$6,MIN(Reference!$A$11,MIN(D132,150))),Reference!$A$6:$A$11,1)))+(MAX(Reference!$A$6,MIN(Reference!$A$11,MIN(D132,150)))-INDEX(Reference!$A$6:$A$11,MIN(5,MATCH(MAX(Reference!$A$6,MIN(Reference!$A$11,MIN(D132,150))),Reference!$A$6:$A$11,1))))*(INDEX(Reference!$B$6:$B$11,MIN(5,MATCH(MAX(Reference!$A$6,MIN(Reference!$A$11,MIN(D132,150))),Reference!$A$6:$A$11,1))+1)-INDEX(Reference!$B$6:$B$11,MIN(5,MATCH(MAX(Reference!$A$6,MIN(Reference!$A$11,MIN(D132,150))),Reference!$A$6:$A$11,1))))/(INDEX(Reference!$A$6:$A$11,MIN(5,MATCH(MAX(Reference!$A$6,MIN(Reference!$A$11,MIN(D132,150))),Reference!$A$6:$A$11,1))+1)-INDEX(Reference!$A$6:$A$11,MIN(5,MATCH(MAX(Reference!$A$6,MIN(Reference!$A$11,MIN(D132,150))),Reference!$A$6:$A$11,1))))),0)+IF(4&lt;=AE132,(AE132-4+3)*(INDEX(Reference!$B$6:$B$11,MIN(5,MATCH(MAX(Reference!$A$6,MIN(Reference!$A$11,MIN(D132,180))),Reference!$A$6:$A$11,1)))+(MAX(Reference!$A$6,MIN(Reference!$A$11,MIN(D132,180)))-INDEX(Reference!$A$6:$A$11,MIN(5,MATCH(MAX(Reference!$A$6,MIN(Reference!$A$11,MIN(D132,180))),Reference!$A$6:$A$11,1))))*(INDEX(Reference!$B$6:$B$11,MIN(5,MATCH(MAX(Reference!$A$6,MIN(Reference!$A$11,MIN(D132,180))),Reference!$A$6:$A$11,1))+1)-INDEX(Reference!$B$6:$B$11,MIN(5,MATCH(MAX(Reference!$A$6,MIN(Reference!$A$11,MIN(D132,180))),Reference!$A$6:$A$11,1))))/(INDEX(Reference!$A$6:$A$11,MIN(5,MATCH(MAX(Reference!$A$6,MIN(Reference!$A$11,MIN(D132,180))),Reference!$A$6:$A$11,1))+1)-INDEX(Reference!$A$6:$A$11,MIN(5,MATCH(MAX(Reference!$A$6,MIN(Reference!$A$11,MIN(D132,180))),Reference!$A$6:$A$11,1))))),0)+IF(5&lt;=AE132,(AE132-5+3)*(INDEX(Reference!$B$6:$B$11,MIN(5,MATCH(MAX(Reference!$A$6,MIN(Reference!$A$11,MIN(D132,210))),Reference!$A$6:$A$11,1)))+(MAX(Reference!$A$6,MIN(Reference!$A$11,MIN(D132,210)))-INDEX(Reference!$A$6:$A$11,MIN(5,MATCH(MAX(Reference!$A$6,MIN(Reference!$A$11,MIN(D132,210))),Reference!$A$6:$A$11,1))))*(INDEX(Reference!$B$6:$B$11,MIN(5,MATCH(MAX(Reference!$A$6,MIN(Reference!$A$11,MIN(D132,210))),Reference!$A$6:$A$11,1))+1)-INDEX(Reference!$B$6:$B$11,MIN(5,MATCH(MAX(Reference!$A$6,MIN(Reference!$A$11,MIN(D132,210))),Reference!$A$6:$A$11,1))))/(INDEX(Reference!$A$6:$A$11,MIN(5,MATCH(MAX(Reference!$A$6,MIN(Reference!$A$11,MIN(D132,210))),Reference!$A$6:$A$11,1))+1)-INDEX(Reference!$A$6:$A$11,MIN(5,MATCH(MAX(Reference!$A$6,MIN(Reference!$A$11,MIN(D132,210))),Reference!$A$6:$A$11,1))))),0)+IF(6&lt;=AE132,(AE132-6+3)*(INDEX(Reference!$B$6:$B$11,MIN(5,MATCH(MAX(Reference!$A$6,MIN(Reference!$A$11,MIN(D132,240))),Reference!$A$6:$A$11,1)))+(MAX(Reference!$A$6,MIN(Reference!$A$11,MIN(D132,240)))-INDEX(Reference!$A$6:$A$11,MIN(5,MATCH(MAX(Reference!$A$6,MIN(Reference!$A$11,MIN(D132,240))),Reference!$A$6:$A$11,1))))*(INDEX(Reference!$B$6:$B$11,MIN(5,MATCH(MAX(Reference!$A$6,MIN(Reference!$A$11,MIN(D132,240))),Reference!$A$6:$A$11,1))+1)-INDEX(Reference!$B$6:$B$11,MIN(5,MATCH(MAX(Reference!$A$6,MIN(Reference!$A$11,MIN(D132,240))),Reference!$A$6:$A$11,1))))/(INDEX(Reference!$A$6:$A$11,MIN(5,MATCH(MAX(Reference!$A$6,MIN(Reference!$A$11,MIN(D132,240))),Reference!$A$6:$A$11,1))+1)-INDEX(Reference!$A$6:$A$11,MIN(5,MATCH(MAX(Reference!$A$6,MIN(Reference!$A$11,MIN(D132,240))),Reference!$A$6:$A$11,1))))),0)+IF(7&lt;=AE132,(AE132-7+3)*(INDEX(Reference!$B$6:$B$11,MIN(5,MATCH(MAX(Reference!$A$6,MIN(Reference!$A$11,MIN(D132,270))),Reference!$A$6:$A$11,1)))+(MAX(Reference!$A$6,MIN(Reference!$A$11,MIN(D132,270)))-INDEX(Reference!$A$6:$A$11,MIN(5,MATCH(MAX(Reference!$A$6,MIN(Reference!$A$11,MIN(D132,270))),Reference!$A$6:$A$11,1))))*(INDEX(Reference!$B$6:$B$11,MIN(5,MATCH(MAX(Reference!$A$6,MIN(Reference!$A$11,MIN(D132,270))),Reference!$A$6:$A$11,1))+1)-INDEX(Reference!$B$6:$B$11,MIN(5,MATCH(MAX(Reference!$A$6,MIN(Reference!$A$11,MIN(D132,270))),Reference!$A$6:$A$11,1))))/(INDEX(Reference!$A$6:$A$11,MIN(5,MATCH(MAX(Reference!$A$6,MIN(Reference!$A$11,MIN(D132,270))),Reference!$A$6:$A$11,1))+1)-INDEX(Reference!$A$6:$A$11,MIN(5,MATCH(MAX(Reference!$A$6,MIN(Reference!$A$11,MIN(D132,270))),Reference!$A$6:$A$11,1))))),0)+IF(8&lt;=AE132,(AE132-8+3)*(INDEX(Reference!$B$6:$B$11,MIN(5,MATCH(MAX(Reference!$A$6,MIN(Reference!$A$11,MIN(D132,300))),Reference!$A$6:$A$11,1)))+(MAX(Reference!$A$6,MIN(Reference!$A$11,MIN(D132,300)))-INDEX(Reference!$A$6:$A$11,MIN(5,MATCH(MAX(Reference!$A$6,MIN(Reference!$A$11,MIN(D132,300))),Reference!$A$6:$A$11,1))))*(INDEX(Reference!$B$6:$B$11,MIN(5,MATCH(MAX(Reference!$A$6,MIN(Reference!$A$11,MIN(D132,300))),Reference!$A$6:$A$11,1))+1)-INDEX(Reference!$B$6:$B$11,MIN(5,MATCH(MAX(Reference!$A$6,MIN(Reference!$A$11,MIN(D132,300))),Reference!$A$6:$A$11,1))))/(INDEX(Reference!$A$6:$A$11,MIN(5,MATCH(MAX(Reference!$A$6,MIN(Reference!$A$11,MIN(D132,300))),Reference!$A$6:$A$11,1))+1)-INDEX(Reference!$A$6:$A$11,MIN(5,MATCH(MAX(Reference!$A$6,MIN(Reference!$A$11,MIN(D132,300))),Reference!$A$6:$A$11,1))))),0))/(AE132*(AE132+5)/2)),(INDEX(Reference!$B$6:$B$11,MIN(5,MATCH(MAX(Reference!$A$6,MIN(Reference!$A$11,D132)),Reference!$A$6:$A$11,1)))+(MAX(Reference!$A$6,MIN(Reference!$A$11,D132))-INDEX(Reference!$A$6:$A$11,MIN(5,MATCH(MAX(Reference!$A$6,MIN(Reference!$A$11,D132)),Reference!$A$6:$A$11,1))))*(INDEX(Reference!$B$6:$B$11,MIN(5,MATCH(MAX(Reference!$A$6,MIN(Reference!$A$11,D132)),Reference!$A$6:$A$11,1))+1)-INDEX(Reference!$B$6:$B$11,MIN(5,MATCH(MAX(Reference!$A$6,MIN(Reference!$A$11,D132)),Reference!$A$6:$A$11,1))))/(INDEX(Reference!$A$6:$A$11,MIN(5,MATCH(MAX(Reference!$A$6,MIN(Reference!$A$11,D132)),Reference!$A$6:$A$11,1))+1)-INDEX(Reference!$A$6:$A$11,MIN(5,MATCH(MAX(Reference!$A$6,MIN(Reference!$A$11,D132)),Reference!$A$6:$A$11,1))))))))</f>
        <v/>
      </c>
      <c r="P132" s="32" t="str">
        <f>IF(N132="","",VLOOKUP(MAX(N132,0),Reference!$A$17:$B$20,2,TRUE()))</f>
        <v/>
      </c>
      <c r="Q132" s="32" t="str">
        <f t="shared" si="12"/>
        <v/>
      </c>
      <c r="R132" s="31"/>
      <c r="S132" s="31"/>
      <c r="T132" s="31"/>
      <c r="U132" s="32" t="str">
        <f t="shared" si="13"/>
        <v/>
      </c>
      <c r="V132" s="32" t="str">
        <f t="shared" si="14"/>
        <v/>
      </c>
      <c r="W132" s="32" t="str">
        <f>IF(V132="","",VLOOKUP(MAX(V132,0),Reference!$A$17:$B$20,2,TRUE()))</f>
        <v/>
      </c>
      <c r="X132" s="31"/>
      <c r="Y132" s="31"/>
      <c r="Z132" s="31"/>
      <c r="AA132" s="32" t="str">
        <f t="shared" si="15"/>
        <v/>
      </c>
      <c r="AB132" s="32" t="str">
        <f t="shared" si="16"/>
        <v/>
      </c>
      <c r="AC132" s="32" t="str">
        <f>IF(AB132="","",VLOOKUP(MAX(AB132,0),Reference!$A$17:$B$20,2,TRUE()))</f>
        <v/>
      </c>
      <c r="AD132" s="31"/>
      <c r="AE132">
        <f t="shared" si="17"/>
        <v>1</v>
      </c>
      <c r="AF132" s="33" t="str">
        <f>IF(OR(A132="",B132="",AND(C132&lt;&gt;"Bullpen",C132&lt;&gt;"Game")),"",IF((COUNTIFS($B$5:$B$300,B132,$A$5:$A$300,A132-1,$C$5:$C$300,"Bullpen",$AG$5:$AG$300,"&gt;0") + COUNTIFS($B$5:$B$300,B132,$A$5:$A$300,A132-1,$C$5:$C$300,"Game",$AG$5:$AG$300,"&gt;0"))&gt;0,Reference!$B$119,IF((COUNTIFS($B$5:$B$300,B132,$A$5:$A$300,A132-2,$C$5:$C$300,"Bullpen",$AG$5:$AG$300,"&gt;0") + COUNTIFS($B$5:$B$300,B132,$A$5:$A$300,A132-2,$C$5:$C$300,"Game",$AG$5:$AG$300,"&gt;0"))&gt;0,Reference!$B$120,1)))</f>
        <v/>
      </c>
      <c r="AG132" s="30" t="str">
        <f>IF(AND(OR(I132="",O132="",P132=""),OR(R132="",W132=""),OR(X132="",AC132="")),"",IF(OR(I132="",O132="",P132=""),0,I132*O132*P132)+IF(OR(R132="",W132=""),0,R132*IFERROR(INDEX(Reference!$B$61:$B$62,MATCH("Bullpen",Reference!$A$61:$A$62,0)),0)*W132)+IF(OR(X132="",AC132=""),0,X132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132))</f>
        <v/>
      </c>
    </row>
    <row r="133" spans="1:33" x14ac:dyDescent="0.3">
      <c r="A133" s="35"/>
      <c r="B133" s="31"/>
      <c r="C133" s="31"/>
      <c r="D133" s="31"/>
      <c r="E133" s="34"/>
      <c r="F133" s="34"/>
      <c r="G133" s="30" t="str">
        <f t="shared" ref="G133:G196" si="18">IF(OR(E133="",F133=""),"",(F133-E133)*1440)</f>
        <v/>
      </c>
      <c r="H133" s="31"/>
      <c r="I133" s="32" t="str">
        <f>IF(H133&lt;&gt;"",H133,IF(G133="","",ROUND(G133*IFERROR(INDEX(Reference!$B$44:$B$50,MATCH(C133,Reference!$A$44:$A$50,0)),0),0)))</f>
        <v/>
      </c>
      <c r="J133" s="31"/>
      <c r="K133" s="31"/>
      <c r="L133" s="32" t="str">
        <f t="shared" ref="L133:L196" si="19">IF(J133="","",IF(K133="",J133,AVERAGE(J133,K133)))</f>
        <v/>
      </c>
      <c r="M133" s="32" t="str">
        <f>IFERROR(INDEX(Roster!$D$5:$D$40,MATCH(B133,Roster!$A$5:$A$40,0)),"")</f>
        <v/>
      </c>
      <c r="N133" s="32" t="str">
        <f t="shared" ref="N133:N196" si="20">IF(OR(L133="",M133="",M133=0),"",M133-L133)</f>
        <v/>
      </c>
      <c r="O133" s="32" t="str">
        <f>IF(OR(C133="Bullpen",C133="Game"),IFERROR(INDEX(Reference!$B$61:$B$62,MATCH(C133,Reference!$A$61:$A$62,0)),""),IF(D133="","",IF(AE133&gt;1,((IF(1&lt;=AE133,(AE133-1+3)*(INDEX(Reference!$B$6:$B$11,MIN(5,MATCH(MAX(Reference!$A$6,MIN(Reference!$A$11,MIN(D133,90))),Reference!$A$6:$A$11,1)))+(MAX(Reference!$A$6,MIN(Reference!$A$11,MIN(D133,90)))-INDEX(Reference!$A$6:$A$11,MIN(5,MATCH(MAX(Reference!$A$6,MIN(Reference!$A$11,MIN(D133,90))),Reference!$A$6:$A$11,1))))*(INDEX(Reference!$B$6:$B$11,MIN(5,MATCH(MAX(Reference!$A$6,MIN(Reference!$A$11,MIN(D133,90))),Reference!$A$6:$A$11,1))+1)-INDEX(Reference!$B$6:$B$11,MIN(5,MATCH(MAX(Reference!$A$6,MIN(Reference!$A$11,MIN(D133,90))),Reference!$A$6:$A$11,1))))/(INDEX(Reference!$A$6:$A$11,MIN(5,MATCH(MAX(Reference!$A$6,MIN(Reference!$A$11,MIN(D133,90))),Reference!$A$6:$A$11,1))+1)-INDEX(Reference!$A$6:$A$11,MIN(5,MATCH(MAX(Reference!$A$6,MIN(Reference!$A$11,MIN(D133,90))),Reference!$A$6:$A$11,1))))),0)+IF(2&lt;=AE133,(AE133-2+3)*(INDEX(Reference!$B$6:$B$11,MIN(5,MATCH(MAX(Reference!$A$6,MIN(Reference!$A$11,MIN(D133,120))),Reference!$A$6:$A$11,1)))+(MAX(Reference!$A$6,MIN(Reference!$A$11,MIN(D133,120)))-INDEX(Reference!$A$6:$A$11,MIN(5,MATCH(MAX(Reference!$A$6,MIN(Reference!$A$11,MIN(D133,120))),Reference!$A$6:$A$11,1))))*(INDEX(Reference!$B$6:$B$11,MIN(5,MATCH(MAX(Reference!$A$6,MIN(Reference!$A$11,MIN(D133,120))),Reference!$A$6:$A$11,1))+1)-INDEX(Reference!$B$6:$B$11,MIN(5,MATCH(MAX(Reference!$A$6,MIN(Reference!$A$11,MIN(D133,120))),Reference!$A$6:$A$11,1))))/(INDEX(Reference!$A$6:$A$11,MIN(5,MATCH(MAX(Reference!$A$6,MIN(Reference!$A$11,MIN(D133,120))),Reference!$A$6:$A$11,1))+1)-INDEX(Reference!$A$6:$A$11,MIN(5,MATCH(MAX(Reference!$A$6,MIN(Reference!$A$11,MIN(D133,120))),Reference!$A$6:$A$11,1))))),0)+IF(3&lt;=AE133,(AE133-3+3)*(INDEX(Reference!$B$6:$B$11,MIN(5,MATCH(MAX(Reference!$A$6,MIN(Reference!$A$11,MIN(D133,150))),Reference!$A$6:$A$11,1)))+(MAX(Reference!$A$6,MIN(Reference!$A$11,MIN(D133,150)))-INDEX(Reference!$A$6:$A$11,MIN(5,MATCH(MAX(Reference!$A$6,MIN(Reference!$A$11,MIN(D133,150))),Reference!$A$6:$A$11,1))))*(INDEX(Reference!$B$6:$B$11,MIN(5,MATCH(MAX(Reference!$A$6,MIN(Reference!$A$11,MIN(D133,150))),Reference!$A$6:$A$11,1))+1)-INDEX(Reference!$B$6:$B$11,MIN(5,MATCH(MAX(Reference!$A$6,MIN(Reference!$A$11,MIN(D133,150))),Reference!$A$6:$A$11,1))))/(INDEX(Reference!$A$6:$A$11,MIN(5,MATCH(MAX(Reference!$A$6,MIN(Reference!$A$11,MIN(D133,150))),Reference!$A$6:$A$11,1))+1)-INDEX(Reference!$A$6:$A$11,MIN(5,MATCH(MAX(Reference!$A$6,MIN(Reference!$A$11,MIN(D133,150))),Reference!$A$6:$A$11,1))))),0)+IF(4&lt;=AE133,(AE133-4+3)*(INDEX(Reference!$B$6:$B$11,MIN(5,MATCH(MAX(Reference!$A$6,MIN(Reference!$A$11,MIN(D133,180))),Reference!$A$6:$A$11,1)))+(MAX(Reference!$A$6,MIN(Reference!$A$11,MIN(D133,180)))-INDEX(Reference!$A$6:$A$11,MIN(5,MATCH(MAX(Reference!$A$6,MIN(Reference!$A$11,MIN(D133,180))),Reference!$A$6:$A$11,1))))*(INDEX(Reference!$B$6:$B$11,MIN(5,MATCH(MAX(Reference!$A$6,MIN(Reference!$A$11,MIN(D133,180))),Reference!$A$6:$A$11,1))+1)-INDEX(Reference!$B$6:$B$11,MIN(5,MATCH(MAX(Reference!$A$6,MIN(Reference!$A$11,MIN(D133,180))),Reference!$A$6:$A$11,1))))/(INDEX(Reference!$A$6:$A$11,MIN(5,MATCH(MAX(Reference!$A$6,MIN(Reference!$A$11,MIN(D133,180))),Reference!$A$6:$A$11,1))+1)-INDEX(Reference!$A$6:$A$11,MIN(5,MATCH(MAX(Reference!$A$6,MIN(Reference!$A$11,MIN(D133,180))),Reference!$A$6:$A$11,1))))),0)+IF(5&lt;=AE133,(AE133-5+3)*(INDEX(Reference!$B$6:$B$11,MIN(5,MATCH(MAX(Reference!$A$6,MIN(Reference!$A$11,MIN(D133,210))),Reference!$A$6:$A$11,1)))+(MAX(Reference!$A$6,MIN(Reference!$A$11,MIN(D133,210)))-INDEX(Reference!$A$6:$A$11,MIN(5,MATCH(MAX(Reference!$A$6,MIN(Reference!$A$11,MIN(D133,210))),Reference!$A$6:$A$11,1))))*(INDEX(Reference!$B$6:$B$11,MIN(5,MATCH(MAX(Reference!$A$6,MIN(Reference!$A$11,MIN(D133,210))),Reference!$A$6:$A$11,1))+1)-INDEX(Reference!$B$6:$B$11,MIN(5,MATCH(MAX(Reference!$A$6,MIN(Reference!$A$11,MIN(D133,210))),Reference!$A$6:$A$11,1))))/(INDEX(Reference!$A$6:$A$11,MIN(5,MATCH(MAX(Reference!$A$6,MIN(Reference!$A$11,MIN(D133,210))),Reference!$A$6:$A$11,1))+1)-INDEX(Reference!$A$6:$A$11,MIN(5,MATCH(MAX(Reference!$A$6,MIN(Reference!$A$11,MIN(D133,210))),Reference!$A$6:$A$11,1))))),0)+IF(6&lt;=AE133,(AE133-6+3)*(INDEX(Reference!$B$6:$B$11,MIN(5,MATCH(MAX(Reference!$A$6,MIN(Reference!$A$11,MIN(D133,240))),Reference!$A$6:$A$11,1)))+(MAX(Reference!$A$6,MIN(Reference!$A$11,MIN(D133,240)))-INDEX(Reference!$A$6:$A$11,MIN(5,MATCH(MAX(Reference!$A$6,MIN(Reference!$A$11,MIN(D133,240))),Reference!$A$6:$A$11,1))))*(INDEX(Reference!$B$6:$B$11,MIN(5,MATCH(MAX(Reference!$A$6,MIN(Reference!$A$11,MIN(D133,240))),Reference!$A$6:$A$11,1))+1)-INDEX(Reference!$B$6:$B$11,MIN(5,MATCH(MAX(Reference!$A$6,MIN(Reference!$A$11,MIN(D133,240))),Reference!$A$6:$A$11,1))))/(INDEX(Reference!$A$6:$A$11,MIN(5,MATCH(MAX(Reference!$A$6,MIN(Reference!$A$11,MIN(D133,240))),Reference!$A$6:$A$11,1))+1)-INDEX(Reference!$A$6:$A$11,MIN(5,MATCH(MAX(Reference!$A$6,MIN(Reference!$A$11,MIN(D133,240))),Reference!$A$6:$A$11,1))))),0)+IF(7&lt;=AE133,(AE133-7+3)*(INDEX(Reference!$B$6:$B$11,MIN(5,MATCH(MAX(Reference!$A$6,MIN(Reference!$A$11,MIN(D133,270))),Reference!$A$6:$A$11,1)))+(MAX(Reference!$A$6,MIN(Reference!$A$11,MIN(D133,270)))-INDEX(Reference!$A$6:$A$11,MIN(5,MATCH(MAX(Reference!$A$6,MIN(Reference!$A$11,MIN(D133,270))),Reference!$A$6:$A$11,1))))*(INDEX(Reference!$B$6:$B$11,MIN(5,MATCH(MAX(Reference!$A$6,MIN(Reference!$A$11,MIN(D133,270))),Reference!$A$6:$A$11,1))+1)-INDEX(Reference!$B$6:$B$11,MIN(5,MATCH(MAX(Reference!$A$6,MIN(Reference!$A$11,MIN(D133,270))),Reference!$A$6:$A$11,1))))/(INDEX(Reference!$A$6:$A$11,MIN(5,MATCH(MAX(Reference!$A$6,MIN(Reference!$A$11,MIN(D133,270))),Reference!$A$6:$A$11,1))+1)-INDEX(Reference!$A$6:$A$11,MIN(5,MATCH(MAX(Reference!$A$6,MIN(Reference!$A$11,MIN(D133,270))),Reference!$A$6:$A$11,1))))),0)+IF(8&lt;=AE133,(AE133-8+3)*(INDEX(Reference!$B$6:$B$11,MIN(5,MATCH(MAX(Reference!$A$6,MIN(Reference!$A$11,MIN(D133,300))),Reference!$A$6:$A$11,1)))+(MAX(Reference!$A$6,MIN(Reference!$A$11,MIN(D133,300)))-INDEX(Reference!$A$6:$A$11,MIN(5,MATCH(MAX(Reference!$A$6,MIN(Reference!$A$11,MIN(D133,300))),Reference!$A$6:$A$11,1))))*(INDEX(Reference!$B$6:$B$11,MIN(5,MATCH(MAX(Reference!$A$6,MIN(Reference!$A$11,MIN(D133,300))),Reference!$A$6:$A$11,1))+1)-INDEX(Reference!$B$6:$B$11,MIN(5,MATCH(MAX(Reference!$A$6,MIN(Reference!$A$11,MIN(D133,300))),Reference!$A$6:$A$11,1))))/(INDEX(Reference!$A$6:$A$11,MIN(5,MATCH(MAX(Reference!$A$6,MIN(Reference!$A$11,MIN(D133,300))),Reference!$A$6:$A$11,1))+1)-INDEX(Reference!$A$6:$A$11,MIN(5,MATCH(MAX(Reference!$A$6,MIN(Reference!$A$11,MIN(D133,300))),Reference!$A$6:$A$11,1))))),0))/(AE133*(AE133+5)/2)),(INDEX(Reference!$B$6:$B$11,MIN(5,MATCH(MAX(Reference!$A$6,MIN(Reference!$A$11,D133)),Reference!$A$6:$A$11,1)))+(MAX(Reference!$A$6,MIN(Reference!$A$11,D133))-INDEX(Reference!$A$6:$A$11,MIN(5,MATCH(MAX(Reference!$A$6,MIN(Reference!$A$11,D133)),Reference!$A$6:$A$11,1))))*(INDEX(Reference!$B$6:$B$11,MIN(5,MATCH(MAX(Reference!$A$6,MIN(Reference!$A$11,D133)),Reference!$A$6:$A$11,1))+1)-INDEX(Reference!$B$6:$B$11,MIN(5,MATCH(MAX(Reference!$A$6,MIN(Reference!$A$11,D133)),Reference!$A$6:$A$11,1))))/(INDEX(Reference!$A$6:$A$11,MIN(5,MATCH(MAX(Reference!$A$6,MIN(Reference!$A$11,D133)),Reference!$A$6:$A$11,1))+1)-INDEX(Reference!$A$6:$A$11,MIN(5,MATCH(MAX(Reference!$A$6,MIN(Reference!$A$11,D133)),Reference!$A$6:$A$11,1))))))))</f>
        <v/>
      </c>
      <c r="P133" s="32" t="str">
        <f>IF(N133="","",VLOOKUP(MAX(N133,0),Reference!$A$17:$B$20,2,TRUE()))</f>
        <v/>
      </c>
      <c r="Q133" s="32" t="str">
        <f t="shared" ref="Q133:Q196" si="21">IF(AG133="","",AG133*IF(AF133="",1,AF133))</f>
        <v/>
      </c>
      <c r="R133" s="31"/>
      <c r="S133" s="31"/>
      <c r="T133" s="31"/>
      <c r="U133" s="32" t="str">
        <f t="shared" ref="U133:U196" si="22">IF(S133="","",IF(T133="",S133,AVERAGE(S133,T133)))</f>
        <v/>
      </c>
      <c r="V133" s="32" t="str">
        <f t="shared" ref="V133:V196" si="23">IF(OR(U133="",M133="",M133=0),"",M133-U133)</f>
        <v/>
      </c>
      <c r="W133" s="32" t="str">
        <f>IF(V133="","",VLOOKUP(MAX(V133,0),Reference!$A$17:$B$20,2,TRUE()))</f>
        <v/>
      </c>
      <c r="X133" s="31"/>
      <c r="Y133" s="31"/>
      <c r="Z133" s="31"/>
      <c r="AA133" s="32" t="str">
        <f t="shared" ref="AA133:AA196" si="24">IF(Y133="","",IF(Z133="",Y133,AVERAGE(Y133,Z133)))</f>
        <v/>
      </c>
      <c r="AB133" s="32" t="str">
        <f t="shared" ref="AB133:AB196" si="25">IF(OR(AA133="",M133="",M133=0),"",M133-AA133)</f>
        <v/>
      </c>
      <c r="AC133" s="32" t="str">
        <f>IF(AB133="","",VLOOKUP(MAX(AB133,0),Reference!$A$17:$B$20,2,TRUE()))</f>
        <v/>
      </c>
      <c r="AD133" s="31"/>
      <c r="AE133">
        <f t="shared" ref="AE133:AE196" si="26">IF(AND(C133="Long Toss",N(D133)&gt;90),1+ROUNDUP((D133-90)/30,0),1)</f>
        <v>1</v>
      </c>
      <c r="AF133" s="33" t="str">
        <f>IF(OR(A133="",B133="",AND(C133&lt;&gt;"Bullpen",C133&lt;&gt;"Game")),"",IF((COUNTIFS($B$5:$B$300,B133,$A$5:$A$300,A133-1,$C$5:$C$300,"Bullpen",$AG$5:$AG$300,"&gt;0") + COUNTIFS($B$5:$B$300,B133,$A$5:$A$300,A133-1,$C$5:$C$300,"Game",$AG$5:$AG$300,"&gt;0"))&gt;0,Reference!$B$119,IF((COUNTIFS($B$5:$B$300,B133,$A$5:$A$300,A133-2,$C$5:$C$300,"Bullpen",$AG$5:$AG$300,"&gt;0") + COUNTIFS($B$5:$B$300,B133,$A$5:$A$300,A133-2,$C$5:$C$300,"Game",$AG$5:$AG$300,"&gt;0"))&gt;0,Reference!$B$120,1)))</f>
        <v/>
      </c>
      <c r="AG133" s="30" t="str">
        <f>IF(AND(OR(I133="",O133="",P133=""),OR(R133="",W133=""),OR(X133="",AC133="")),"",IF(OR(I133="",O133="",P133=""),0,I133*O133*P133)+IF(OR(R133="",W133=""),0,R133*IFERROR(INDEX(Reference!$B$61:$B$62,MATCH("Bullpen",Reference!$A$61:$A$62,0)),0)*W133)+IF(OR(X133="",AC133=""),0,X133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133))</f>
        <v/>
      </c>
    </row>
    <row r="134" spans="1:33" x14ac:dyDescent="0.3">
      <c r="A134" s="35"/>
      <c r="B134" s="31"/>
      <c r="C134" s="31"/>
      <c r="D134" s="31"/>
      <c r="E134" s="34"/>
      <c r="F134" s="34"/>
      <c r="G134" s="30" t="str">
        <f t="shared" si="18"/>
        <v/>
      </c>
      <c r="H134" s="31"/>
      <c r="I134" s="32" t="str">
        <f>IF(H134&lt;&gt;"",H134,IF(G134="","",ROUND(G134*IFERROR(INDEX(Reference!$B$44:$B$50,MATCH(C134,Reference!$A$44:$A$50,0)),0),0)))</f>
        <v/>
      </c>
      <c r="J134" s="31"/>
      <c r="K134" s="31"/>
      <c r="L134" s="32" t="str">
        <f t="shared" si="19"/>
        <v/>
      </c>
      <c r="M134" s="32" t="str">
        <f>IFERROR(INDEX(Roster!$D$5:$D$40,MATCH(B134,Roster!$A$5:$A$40,0)),"")</f>
        <v/>
      </c>
      <c r="N134" s="32" t="str">
        <f t="shared" si="20"/>
        <v/>
      </c>
      <c r="O134" s="32" t="str">
        <f>IF(OR(C134="Bullpen",C134="Game"),IFERROR(INDEX(Reference!$B$61:$B$62,MATCH(C134,Reference!$A$61:$A$62,0)),""),IF(D134="","",IF(AE134&gt;1,((IF(1&lt;=AE134,(AE134-1+3)*(INDEX(Reference!$B$6:$B$11,MIN(5,MATCH(MAX(Reference!$A$6,MIN(Reference!$A$11,MIN(D134,90))),Reference!$A$6:$A$11,1)))+(MAX(Reference!$A$6,MIN(Reference!$A$11,MIN(D134,90)))-INDEX(Reference!$A$6:$A$11,MIN(5,MATCH(MAX(Reference!$A$6,MIN(Reference!$A$11,MIN(D134,90))),Reference!$A$6:$A$11,1))))*(INDEX(Reference!$B$6:$B$11,MIN(5,MATCH(MAX(Reference!$A$6,MIN(Reference!$A$11,MIN(D134,90))),Reference!$A$6:$A$11,1))+1)-INDEX(Reference!$B$6:$B$11,MIN(5,MATCH(MAX(Reference!$A$6,MIN(Reference!$A$11,MIN(D134,90))),Reference!$A$6:$A$11,1))))/(INDEX(Reference!$A$6:$A$11,MIN(5,MATCH(MAX(Reference!$A$6,MIN(Reference!$A$11,MIN(D134,90))),Reference!$A$6:$A$11,1))+1)-INDEX(Reference!$A$6:$A$11,MIN(5,MATCH(MAX(Reference!$A$6,MIN(Reference!$A$11,MIN(D134,90))),Reference!$A$6:$A$11,1))))),0)+IF(2&lt;=AE134,(AE134-2+3)*(INDEX(Reference!$B$6:$B$11,MIN(5,MATCH(MAX(Reference!$A$6,MIN(Reference!$A$11,MIN(D134,120))),Reference!$A$6:$A$11,1)))+(MAX(Reference!$A$6,MIN(Reference!$A$11,MIN(D134,120)))-INDEX(Reference!$A$6:$A$11,MIN(5,MATCH(MAX(Reference!$A$6,MIN(Reference!$A$11,MIN(D134,120))),Reference!$A$6:$A$11,1))))*(INDEX(Reference!$B$6:$B$11,MIN(5,MATCH(MAX(Reference!$A$6,MIN(Reference!$A$11,MIN(D134,120))),Reference!$A$6:$A$11,1))+1)-INDEX(Reference!$B$6:$B$11,MIN(5,MATCH(MAX(Reference!$A$6,MIN(Reference!$A$11,MIN(D134,120))),Reference!$A$6:$A$11,1))))/(INDEX(Reference!$A$6:$A$11,MIN(5,MATCH(MAX(Reference!$A$6,MIN(Reference!$A$11,MIN(D134,120))),Reference!$A$6:$A$11,1))+1)-INDEX(Reference!$A$6:$A$11,MIN(5,MATCH(MAX(Reference!$A$6,MIN(Reference!$A$11,MIN(D134,120))),Reference!$A$6:$A$11,1))))),0)+IF(3&lt;=AE134,(AE134-3+3)*(INDEX(Reference!$B$6:$B$11,MIN(5,MATCH(MAX(Reference!$A$6,MIN(Reference!$A$11,MIN(D134,150))),Reference!$A$6:$A$11,1)))+(MAX(Reference!$A$6,MIN(Reference!$A$11,MIN(D134,150)))-INDEX(Reference!$A$6:$A$11,MIN(5,MATCH(MAX(Reference!$A$6,MIN(Reference!$A$11,MIN(D134,150))),Reference!$A$6:$A$11,1))))*(INDEX(Reference!$B$6:$B$11,MIN(5,MATCH(MAX(Reference!$A$6,MIN(Reference!$A$11,MIN(D134,150))),Reference!$A$6:$A$11,1))+1)-INDEX(Reference!$B$6:$B$11,MIN(5,MATCH(MAX(Reference!$A$6,MIN(Reference!$A$11,MIN(D134,150))),Reference!$A$6:$A$11,1))))/(INDEX(Reference!$A$6:$A$11,MIN(5,MATCH(MAX(Reference!$A$6,MIN(Reference!$A$11,MIN(D134,150))),Reference!$A$6:$A$11,1))+1)-INDEX(Reference!$A$6:$A$11,MIN(5,MATCH(MAX(Reference!$A$6,MIN(Reference!$A$11,MIN(D134,150))),Reference!$A$6:$A$11,1))))),0)+IF(4&lt;=AE134,(AE134-4+3)*(INDEX(Reference!$B$6:$B$11,MIN(5,MATCH(MAX(Reference!$A$6,MIN(Reference!$A$11,MIN(D134,180))),Reference!$A$6:$A$11,1)))+(MAX(Reference!$A$6,MIN(Reference!$A$11,MIN(D134,180)))-INDEX(Reference!$A$6:$A$11,MIN(5,MATCH(MAX(Reference!$A$6,MIN(Reference!$A$11,MIN(D134,180))),Reference!$A$6:$A$11,1))))*(INDEX(Reference!$B$6:$B$11,MIN(5,MATCH(MAX(Reference!$A$6,MIN(Reference!$A$11,MIN(D134,180))),Reference!$A$6:$A$11,1))+1)-INDEX(Reference!$B$6:$B$11,MIN(5,MATCH(MAX(Reference!$A$6,MIN(Reference!$A$11,MIN(D134,180))),Reference!$A$6:$A$11,1))))/(INDEX(Reference!$A$6:$A$11,MIN(5,MATCH(MAX(Reference!$A$6,MIN(Reference!$A$11,MIN(D134,180))),Reference!$A$6:$A$11,1))+1)-INDEX(Reference!$A$6:$A$11,MIN(5,MATCH(MAX(Reference!$A$6,MIN(Reference!$A$11,MIN(D134,180))),Reference!$A$6:$A$11,1))))),0)+IF(5&lt;=AE134,(AE134-5+3)*(INDEX(Reference!$B$6:$B$11,MIN(5,MATCH(MAX(Reference!$A$6,MIN(Reference!$A$11,MIN(D134,210))),Reference!$A$6:$A$11,1)))+(MAX(Reference!$A$6,MIN(Reference!$A$11,MIN(D134,210)))-INDEX(Reference!$A$6:$A$11,MIN(5,MATCH(MAX(Reference!$A$6,MIN(Reference!$A$11,MIN(D134,210))),Reference!$A$6:$A$11,1))))*(INDEX(Reference!$B$6:$B$11,MIN(5,MATCH(MAX(Reference!$A$6,MIN(Reference!$A$11,MIN(D134,210))),Reference!$A$6:$A$11,1))+1)-INDEX(Reference!$B$6:$B$11,MIN(5,MATCH(MAX(Reference!$A$6,MIN(Reference!$A$11,MIN(D134,210))),Reference!$A$6:$A$11,1))))/(INDEX(Reference!$A$6:$A$11,MIN(5,MATCH(MAX(Reference!$A$6,MIN(Reference!$A$11,MIN(D134,210))),Reference!$A$6:$A$11,1))+1)-INDEX(Reference!$A$6:$A$11,MIN(5,MATCH(MAX(Reference!$A$6,MIN(Reference!$A$11,MIN(D134,210))),Reference!$A$6:$A$11,1))))),0)+IF(6&lt;=AE134,(AE134-6+3)*(INDEX(Reference!$B$6:$B$11,MIN(5,MATCH(MAX(Reference!$A$6,MIN(Reference!$A$11,MIN(D134,240))),Reference!$A$6:$A$11,1)))+(MAX(Reference!$A$6,MIN(Reference!$A$11,MIN(D134,240)))-INDEX(Reference!$A$6:$A$11,MIN(5,MATCH(MAX(Reference!$A$6,MIN(Reference!$A$11,MIN(D134,240))),Reference!$A$6:$A$11,1))))*(INDEX(Reference!$B$6:$B$11,MIN(5,MATCH(MAX(Reference!$A$6,MIN(Reference!$A$11,MIN(D134,240))),Reference!$A$6:$A$11,1))+1)-INDEX(Reference!$B$6:$B$11,MIN(5,MATCH(MAX(Reference!$A$6,MIN(Reference!$A$11,MIN(D134,240))),Reference!$A$6:$A$11,1))))/(INDEX(Reference!$A$6:$A$11,MIN(5,MATCH(MAX(Reference!$A$6,MIN(Reference!$A$11,MIN(D134,240))),Reference!$A$6:$A$11,1))+1)-INDEX(Reference!$A$6:$A$11,MIN(5,MATCH(MAX(Reference!$A$6,MIN(Reference!$A$11,MIN(D134,240))),Reference!$A$6:$A$11,1))))),0)+IF(7&lt;=AE134,(AE134-7+3)*(INDEX(Reference!$B$6:$B$11,MIN(5,MATCH(MAX(Reference!$A$6,MIN(Reference!$A$11,MIN(D134,270))),Reference!$A$6:$A$11,1)))+(MAX(Reference!$A$6,MIN(Reference!$A$11,MIN(D134,270)))-INDEX(Reference!$A$6:$A$11,MIN(5,MATCH(MAX(Reference!$A$6,MIN(Reference!$A$11,MIN(D134,270))),Reference!$A$6:$A$11,1))))*(INDEX(Reference!$B$6:$B$11,MIN(5,MATCH(MAX(Reference!$A$6,MIN(Reference!$A$11,MIN(D134,270))),Reference!$A$6:$A$11,1))+1)-INDEX(Reference!$B$6:$B$11,MIN(5,MATCH(MAX(Reference!$A$6,MIN(Reference!$A$11,MIN(D134,270))),Reference!$A$6:$A$11,1))))/(INDEX(Reference!$A$6:$A$11,MIN(5,MATCH(MAX(Reference!$A$6,MIN(Reference!$A$11,MIN(D134,270))),Reference!$A$6:$A$11,1))+1)-INDEX(Reference!$A$6:$A$11,MIN(5,MATCH(MAX(Reference!$A$6,MIN(Reference!$A$11,MIN(D134,270))),Reference!$A$6:$A$11,1))))),0)+IF(8&lt;=AE134,(AE134-8+3)*(INDEX(Reference!$B$6:$B$11,MIN(5,MATCH(MAX(Reference!$A$6,MIN(Reference!$A$11,MIN(D134,300))),Reference!$A$6:$A$11,1)))+(MAX(Reference!$A$6,MIN(Reference!$A$11,MIN(D134,300)))-INDEX(Reference!$A$6:$A$11,MIN(5,MATCH(MAX(Reference!$A$6,MIN(Reference!$A$11,MIN(D134,300))),Reference!$A$6:$A$11,1))))*(INDEX(Reference!$B$6:$B$11,MIN(5,MATCH(MAX(Reference!$A$6,MIN(Reference!$A$11,MIN(D134,300))),Reference!$A$6:$A$11,1))+1)-INDEX(Reference!$B$6:$B$11,MIN(5,MATCH(MAX(Reference!$A$6,MIN(Reference!$A$11,MIN(D134,300))),Reference!$A$6:$A$11,1))))/(INDEX(Reference!$A$6:$A$11,MIN(5,MATCH(MAX(Reference!$A$6,MIN(Reference!$A$11,MIN(D134,300))),Reference!$A$6:$A$11,1))+1)-INDEX(Reference!$A$6:$A$11,MIN(5,MATCH(MAX(Reference!$A$6,MIN(Reference!$A$11,MIN(D134,300))),Reference!$A$6:$A$11,1))))),0))/(AE134*(AE134+5)/2)),(INDEX(Reference!$B$6:$B$11,MIN(5,MATCH(MAX(Reference!$A$6,MIN(Reference!$A$11,D134)),Reference!$A$6:$A$11,1)))+(MAX(Reference!$A$6,MIN(Reference!$A$11,D134))-INDEX(Reference!$A$6:$A$11,MIN(5,MATCH(MAX(Reference!$A$6,MIN(Reference!$A$11,D134)),Reference!$A$6:$A$11,1))))*(INDEX(Reference!$B$6:$B$11,MIN(5,MATCH(MAX(Reference!$A$6,MIN(Reference!$A$11,D134)),Reference!$A$6:$A$11,1))+1)-INDEX(Reference!$B$6:$B$11,MIN(5,MATCH(MAX(Reference!$A$6,MIN(Reference!$A$11,D134)),Reference!$A$6:$A$11,1))))/(INDEX(Reference!$A$6:$A$11,MIN(5,MATCH(MAX(Reference!$A$6,MIN(Reference!$A$11,D134)),Reference!$A$6:$A$11,1))+1)-INDEX(Reference!$A$6:$A$11,MIN(5,MATCH(MAX(Reference!$A$6,MIN(Reference!$A$11,D134)),Reference!$A$6:$A$11,1))))))))</f>
        <v/>
      </c>
      <c r="P134" s="32" t="str">
        <f>IF(N134="","",VLOOKUP(MAX(N134,0),Reference!$A$17:$B$20,2,TRUE()))</f>
        <v/>
      </c>
      <c r="Q134" s="32" t="str">
        <f t="shared" si="21"/>
        <v/>
      </c>
      <c r="R134" s="31"/>
      <c r="S134" s="31"/>
      <c r="T134" s="31"/>
      <c r="U134" s="32" t="str">
        <f t="shared" si="22"/>
        <v/>
      </c>
      <c r="V134" s="32" t="str">
        <f t="shared" si="23"/>
        <v/>
      </c>
      <c r="W134" s="32" t="str">
        <f>IF(V134="","",VLOOKUP(MAX(V134,0),Reference!$A$17:$B$20,2,TRUE()))</f>
        <v/>
      </c>
      <c r="X134" s="31"/>
      <c r="Y134" s="31"/>
      <c r="Z134" s="31"/>
      <c r="AA134" s="32" t="str">
        <f t="shared" si="24"/>
        <v/>
      </c>
      <c r="AB134" s="32" t="str">
        <f t="shared" si="25"/>
        <v/>
      </c>
      <c r="AC134" s="32" t="str">
        <f>IF(AB134="","",VLOOKUP(MAX(AB134,0),Reference!$A$17:$B$20,2,TRUE()))</f>
        <v/>
      </c>
      <c r="AD134" s="31"/>
      <c r="AE134">
        <f t="shared" si="26"/>
        <v>1</v>
      </c>
      <c r="AF134" s="33" t="str">
        <f>IF(OR(A134="",B134="",AND(C134&lt;&gt;"Bullpen",C134&lt;&gt;"Game")),"",IF((COUNTIFS($B$5:$B$300,B134,$A$5:$A$300,A134-1,$C$5:$C$300,"Bullpen",$AG$5:$AG$300,"&gt;0") + COUNTIFS($B$5:$B$300,B134,$A$5:$A$300,A134-1,$C$5:$C$300,"Game",$AG$5:$AG$300,"&gt;0"))&gt;0,Reference!$B$119,IF((COUNTIFS($B$5:$B$300,B134,$A$5:$A$300,A134-2,$C$5:$C$300,"Bullpen",$AG$5:$AG$300,"&gt;0") + COUNTIFS($B$5:$B$300,B134,$A$5:$A$300,A134-2,$C$5:$C$300,"Game",$AG$5:$AG$300,"&gt;0"))&gt;0,Reference!$B$120,1)))</f>
        <v/>
      </c>
      <c r="AG134" s="30" t="str">
        <f>IF(AND(OR(I134="",O134="",P134=""),OR(R134="",W134=""),OR(X134="",AC134="")),"",IF(OR(I134="",O134="",P134=""),0,I134*O134*P134)+IF(OR(R134="",W134=""),0,R134*IFERROR(INDEX(Reference!$B$61:$B$62,MATCH("Bullpen",Reference!$A$61:$A$62,0)),0)*W134)+IF(OR(X134="",AC134=""),0,X134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134))</f>
        <v/>
      </c>
    </row>
    <row r="135" spans="1:33" x14ac:dyDescent="0.3">
      <c r="A135" s="35"/>
      <c r="B135" s="31"/>
      <c r="C135" s="31"/>
      <c r="D135" s="31"/>
      <c r="E135" s="34"/>
      <c r="F135" s="34"/>
      <c r="G135" s="30" t="str">
        <f t="shared" si="18"/>
        <v/>
      </c>
      <c r="H135" s="31"/>
      <c r="I135" s="32" t="str">
        <f>IF(H135&lt;&gt;"",H135,IF(G135="","",ROUND(G135*IFERROR(INDEX(Reference!$B$44:$B$50,MATCH(C135,Reference!$A$44:$A$50,0)),0),0)))</f>
        <v/>
      </c>
      <c r="J135" s="31"/>
      <c r="K135" s="31"/>
      <c r="L135" s="32" t="str">
        <f t="shared" si="19"/>
        <v/>
      </c>
      <c r="M135" s="32" t="str">
        <f>IFERROR(INDEX(Roster!$D$5:$D$40,MATCH(B135,Roster!$A$5:$A$40,0)),"")</f>
        <v/>
      </c>
      <c r="N135" s="32" t="str">
        <f t="shared" si="20"/>
        <v/>
      </c>
      <c r="O135" s="32" t="str">
        <f>IF(OR(C135="Bullpen",C135="Game"),IFERROR(INDEX(Reference!$B$61:$B$62,MATCH(C135,Reference!$A$61:$A$62,0)),""),IF(D135="","",IF(AE135&gt;1,((IF(1&lt;=AE135,(AE135-1+3)*(INDEX(Reference!$B$6:$B$11,MIN(5,MATCH(MAX(Reference!$A$6,MIN(Reference!$A$11,MIN(D135,90))),Reference!$A$6:$A$11,1)))+(MAX(Reference!$A$6,MIN(Reference!$A$11,MIN(D135,90)))-INDEX(Reference!$A$6:$A$11,MIN(5,MATCH(MAX(Reference!$A$6,MIN(Reference!$A$11,MIN(D135,90))),Reference!$A$6:$A$11,1))))*(INDEX(Reference!$B$6:$B$11,MIN(5,MATCH(MAX(Reference!$A$6,MIN(Reference!$A$11,MIN(D135,90))),Reference!$A$6:$A$11,1))+1)-INDEX(Reference!$B$6:$B$11,MIN(5,MATCH(MAX(Reference!$A$6,MIN(Reference!$A$11,MIN(D135,90))),Reference!$A$6:$A$11,1))))/(INDEX(Reference!$A$6:$A$11,MIN(5,MATCH(MAX(Reference!$A$6,MIN(Reference!$A$11,MIN(D135,90))),Reference!$A$6:$A$11,1))+1)-INDEX(Reference!$A$6:$A$11,MIN(5,MATCH(MAX(Reference!$A$6,MIN(Reference!$A$11,MIN(D135,90))),Reference!$A$6:$A$11,1))))),0)+IF(2&lt;=AE135,(AE135-2+3)*(INDEX(Reference!$B$6:$B$11,MIN(5,MATCH(MAX(Reference!$A$6,MIN(Reference!$A$11,MIN(D135,120))),Reference!$A$6:$A$11,1)))+(MAX(Reference!$A$6,MIN(Reference!$A$11,MIN(D135,120)))-INDEX(Reference!$A$6:$A$11,MIN(5,MATCH(MAX(Reference!$A$6,MIN(Reference!$A$11,MIN(D135,120))),Reference!$A$6:$A$11,1))))*(INDEX(Reference!$B$6:$B$11,MIN(5,MATCH(MAX(Reference!$A$6,MIN(Reference!$A$11,MIN(D135,120))),Reference!$A$6:$A$11,1))+1)-INDEX(Reference!$B$6:$B$11,MIN(5,MATCH(MAX(Reference!$A$6,MIN(Reference!$A$11,MIN(D135,120))),Reference!$A$6:$A$11,1))))/(INDEX(Reference!$A$6:$A$11,MIN(5,MATCH(MAX(Reference!$A$6,MIN(Reference!$A$11,MIN(D135,120))),Reference!$A$6:$A$11,1))+1)-INDEX(Reference!$A$6:$A$11,MIN(5,MATCH(MAX(Reference!$A$6,MIN(Reference!$A$11,MIN(D135,120))),Reference!$A$6:$A$11,1))))),0)+IF(3&lt;=AE135,(AE135-3+3)*(INDEX(Reference!$B$6:$B$11,MIN(5,MATCH(MAX(Reference!$A$6,MIN(Reference!$A$11,MIN(D135,150))),Reference!$A$6:$A$11,1)))+(MAX(Reference!$A$6,MIN(Reference!$A$11,MIN(D135,150)))-INDEX(Reference!$A$6:$A$11,MIN(5,MATCH(MAX(Reference!$A$6,MIN(Reference!$A$11,MIN(D135,150))),Reference!$A$6:$A$11,1))))*(INDEX(Reference!$B$6:$B$11,MIN(5,MATCH(MAX(Reference!$A$6,MIN(Reference!$A$11,MIN(D135,150))),Reference!$A$6:$A$11,1))+1)-INDEX(Reference!$B$6:$B$11,MIN(5,MATCH(MAX(Reference!$A$6,MIN(Reference!$A$11,MIN(D135,150))),Reference!$A$6:$A$11,1))))/(INDEX(Reference!$A$6:$A$11,MIN(5,MATCH(MAX(Reference!$A$6,MIN(Reference!$A$11,MIN(D135,150))),Reference!$A$6:$A$11,1))+1)-INDEX(Reference!$A$6:$A$11,MIN(5,MATCH(MAX(Reference!$A$6,MIN(Reference!$A$11,MIN(D135,150))),Reference!$A$6:$A$11,1))))),0)+IF(4&lt;=AE135,(AE135-4+3)*(INDEX(Reference!$B$6:$B$11,MIN(5,MATCH(MAX(Reference!$A$6,MIN(Reference!$A$11,MIN(D135,180))),Reference!$A$6:$A$11,1)))+(MAX(Reference!$A$6,MIN(Reference!$A$11,MIN(D135,180)))-INDEX(Reference!$A$6:$A$11,MIN(5,MATCH(MAX(Reference!$A$6,MIN(Reference!$A$11,MIN(D135,180))),Reference!$A$6:$A$11,1))))*(INDEX(Reference!$B$6:$B$11,MIN(5,MATCH(MAX(Reference!$A$6,MIN(Reference!$A$11,MIN(D135,180))),Reference!$A$6:$A$11,1))+1)-INDEX(Reference!$B$6:$B$11,MIN(5,MATCH(MAX(Reference!$A$6,MIN(Reference!$A$11,MIN(D135,180))),Reference!$A$6:$A$11,1))))/(INDEX(Reference!$A$6:$A$11,MIN(5,MATCH(MAX(Reference!$A$6,MIN(Reference!$A$11,MIN(D135,180))),Reference!$A$6:$A$11,1))+1)-INDEX(Reference!$A$6:$A$11,MIN(5,MATCH(MAX(Reference!$A$6,MIN(Reference!$A$11,MIN(D135,180))),Reference!$A$6:$A$11,1))))),0)+IF(5&lt;=AE135,(AE135-5+3)*(INDEX(Reference!$B$6:$B$11,MIN(5,MATCH(MAX(Reference!$A$6,MIN(Reference!$A$11,MIN(D135,210))),Reference!$A$6:$A$11,1)))+(MAX(Reference!$A$6,MIN(Reference!$A$11,MIN(D135,210)))-INDEX(Reference!$A$6:$A$11,MIN(5,MATCH(MAX(Reference!$A$6,MIN(Reference!$A$11,MIN(D135,210))),Reference!$A$6:$A$11,1))))*(INDEX(Reference!$B$6:$B$11,MIN(5,MATCH(MAX(Reference!$A$6,MIN(Reference!$A$11,MIN(D135,210))),Reference!$A$6:$A$11,1))+1)-INDEX(Reference!$B$6:$B$11,MIN(5,MATCH(MAX(Reference!$A$6,MIN(Reference!$A$11,MIN(D135,210))),Reference!$A$6:$A$11,1))))/(INDEX(Reference!$A$6:$A$11,MIN(5,MATCH(MAX(Reference!$A$6,MIN(Reference!$A$11,MIN(D135,210))),Reference!$A$6:$A$11,1))+1)-INDEX(Reference!$A$6:$A$11,MIN(5,MATCH(MAX(Reference!$A$6,MIN(Reference!$A$11,MIN(D135,210))),Reference!$A$6:$A$11,1))))),0)+IF(6&lt;=AE135,(AE135-6+3)*(INDEX(Reference!$B$6:$B$11,MIN(5,MATCH(MAX(Reference!$A$6,MIN(Reference!$A$11,MIN(D135,240))),Reference!$A$6:$A$11,1)))+(MAX(Reference!$A$6,MIN(Reference!$A$11,MIN(D135,240)))-INDEX(Reference!$A$6:$A$11,MIN(5,MATCH(MAX(Reference!$A$6,MIN(Reference!$A$11,MIN(D135,240))),Reference!$A$6:$A$11,1))))*(INDEX(Reference!$B$6:$B$11,MIN(5,MATCH(MAX(Reference!$A$6,MIN(Reference!$A$11,MIN(D135,240))),Reference!$A$6:$A$11,1))+1)-INDEX(Reference!$B$6:$B$11,MIN(5,MATCH(MAX(Reference!$A$6,MIN(Reference!$A$11,MIN(D135,240))),Reference!$A$6:$A$11,1))))/(INDEX(Reference!$A$6:$A$11,MIN(5,MATCH(MAX(Reference!$A$6,MIN(Reference!$A$11,MIN(D135,240))),Reference!$A$6:$A$11,1))+1)-INDEX(Reference!$A$6:$A$11,MIN(5,MATCH(MAX(Reference!$A$6,MIN(Reference!$A$11,MIN(D135,240))),Reference!$A$6:$A$11,1))))),0)+IF(7&lt;=AE135,(AE135-7+3)*(INDEX(Reference!$B$6:$B$11,MIN(5,MATCH(MAX(Reference!$A$6,MIN(Reference!$A$11,MIN(D135,270))),Reference!$A$6:$A$11,1)))+(MAX(Reference!$A$6,MIN(Reference!$A$11,MIN(D135,270)))-INDEX(Reference!$A$6:$A$11,MIN(5,MATCH(MAX(Reference!$A$6,MIN(Reference!$A$11,MIN(D135,270))),Reference!$A$6:$A$11,1))))*(INDEX(Reference!$B$6:$B$11,MIN(5,MATCH(MAX(Reference!$A$6,MIN(Reference!$A$11,MIN(D135,270))),Reference!$A$6:$A$11,1))+1)-INDEX(Reference!$B$6:$B$11,MIN(5,MATCH(MAX(Reference!$A$6,MIN(Reference!$A$11,MIN(D135,270))),Reference!$A$6:$A$11,1))))/(INDEX(Reference!$A$6:$A$11,MIN(5,MATCH(MAX(Reference!$A$6,MIN(Reference!$A$11,MIN(D135,270))),Reference!$A$6:$A$11,1))+1)-INDEX(Reference!$A$6:$A$11,MIN(5,MATCH(MAX(Reference!$A$6,MIN(Reference!$A$11,MIN(D135,270))),Reference!$A$6:$A$11,1))))),0)+IF(8&lt;=AE135,(AE135-8+3)*(INDEX(Reference!$B$6:$B$11,MIN(5,MATCH(MAX(Reference!$A$6,MIN(Reference!$A$11,MIN(D135,300))),Reference!$A$6:$A$11,1)))+(MAX(Reference!$A$6,MIN(Reference!$A$11,MIN(D135,300)))-INDEX(Reference!$A$6:$A$11,MIN(5,MATCH(MAX(Reference!$A$6,MIN(Reference!$A$11,MIN(D135,300))),Reference!$A$6:$A$11,1))))*(INDEX(Reference!$B$6:$B$11,MIN(5,MATCH(MAX(Reference!$A$6,MIN(Reference!$A$11,MIN(D135,300))),Reference!$A$6:$A$11,1))+1)-INDEX(Reference!$B$6:$B$11,MIN(5,MATCH(MAX(Reference!$A$6,MIN(Reference!$A$11,MIN(D135,300))),Reference!$A$6:$A$11,1))))/(INDEX(Reference!$A$6:$A$11,MIN(5,MATCH(MAX(Reference!$A$6,MIN(Reference!$A$11,MIN(D135,300))),Reference!$A$6:$A$11,1))+1)-INDEX(Reference!$A$6:$A$11,MIN(5,MATCH(MAX(Reference!$A$6,MIN(Reference!$A$11,MIN(D135,300))),Reference!$A$6:$A$11,1))))),0))/(AE135*(AE135+5)/2)),(INDEX(Reference!$B$6:$B$11,MIN(5,MATCH(MAX(Reference!$A$6,MIN(Reference!$A$11,D135)),Reference!$A$6:$A$11,1)))+(MAX(Reference!$A$6,MIN(Reference!$A$11,D135))-INDEX(Reference!$A$6:$A$11,MIN(5,MATCH(MAX(Reference!$A$6,MIN(Reference!$A$11,D135)),Reference!$A$6:$A$11,1))))*(INDEX(Reference!$B$6:$B$11,MIN(5,MATCH(MAX(Reference!$A$6,MIN(Reference!$A$11,D135)),Reference!$A$6:$A$11,1))+1)-INDEX(Reference!$B$6:$B$11,MIN(5,MATCH(MAX(Reference!$A$6,MIN(Reference!$A$11,D135)),Reference!$A$6:$A$11,1))))/(INDEX(Reference!$A$6:$A$11,MIN(5,MATCH(MAX(Reference!$A$6,MIN(Reference!$A$11,D135)),Reference!$A$6:$A$11,1))+1)-INDEX(Reference!$A$6:$A$11,MIN(5,MATCH(MAX(Reference!$A$6,MIN(Reference!$A$11,D135)),Reference!$A$6:$A$11,1))))))))</f>
        <v/>
      </c>
      <c r="P135" s="32" t="str">
        <f>IF(N135="","",VLOOKUP(MAX(N135,0),Reference!$A$17:$B$20,2,TRUE()))</f>
        <v/>
      </c>
      <c r="Q135" s="32" t="str">
        <f t="shared" si="21"/>
        <v/>
      </c>
      <c r="R135" s="31"/>
      <c r="S135" s="31"/>
      <c r="T135" s="31"/>
      <c r="U135" s="32" t="str">
        <f t="shared" si="22"/>
        <v/>
      </c>
      <c r="V135" s="32" t="str">
        <f t="shared" si="23"/>
        <v/>
      </c>
      <c r="W135" s="32" t="str">
        <f>IF(V135="","",VLOOKUP(MAX(V135,0),Reference!$A$17:$B$20,2,TRUE()))</f>
        <v/>
      </c>
      <c r="X135" s="31"/>
      <c r="Y135" s="31"/>
      <c r="Z135" s="31"/>
      <c r="AA135" s="32" t="str">
        <f t="shared" si="24"/>
        <v/>
      </c>
      <c r="AB135" s="32" t="str">
        <f t="shared" si="25"/>
        <v/>
      </c>
      <c r="AC135" s="32" t="str">
        <f>IF(AB135="","",VLOOKUP(MAX(AB135,0),Reference!$A$17:$B$20,2,TRUE()))</f>
        <v/>
      </c>
      <c r="AD135" s="31"/>
      <c r="AE135">
        <f t="shared" si="26"/>
        <v>1</v>
      </c>
      <c r="AF135" s="33" t="str">
        <f>IF(OR(A135="",B135="",AND(C135&lt;&gt;"Bullpen",C135&lt;&gt;"Game")),"",IF((COUNTIFS($B$5:$B$300,B135,$A$5:$A$300,A135-1,$C$5:$C$300,"Bullpen",$AG$5:$AG$300,"&gt;0") + COUNTIFS($B$5:$B$300,B135,$A$5:$A$300,A135-1,$C$5:$C$300,"Game",$AG$5:$AG$300,"&gt;0"))&gt;0,Reference!$B$119,IF((COUNTIFS($B$5:$B$300,B135,$A$5:$A$300,A135-2,$C$5:$C$300,"Bullpen",$AG$5:$AG$300,"&gt;0") + COUNTIFS($B$5:$B$300,B135,$A$5:$A$300,A135-2,$C$5:$C$300,"Game",$AG$5:$AG$300,"&gt;0"))&gt;0,Reference!$B$120,1)))</f>
        <v/>
      </c>
      <c r="AG135" s="30" t="str">
        <f>IF(AND(OR(I135="",O135="",P135=""),OR(R135="",W135=""),OR(X135="",AC135="")),"",IF(OR(I135="",O135="",P135=""),0,I135*O135*P135)+IF(OR(R135="",W135=""),0,R135*IFERROR(INDEX(Reference!$B$61:$B$62,MATCH("Bullpen",Reference!$A$61:$A$62,0)),0)*W135)+IF(OR(X135="",AC135=""),0,X135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135))</f>
        <v/>
      </c>
    </row>
    <row r="136" spans="1:33" x14ac:dyDescent="0.3">
      <c r="A136" s="35"/>
      <c r="B136" s="31"/>
      <c r="C136" s="31"/>
      <c r="D136" s="31"/>
      <c r="E136" s="34"/>
      <c r="F136" s="34"/>
      <c r="G136" s="30" t="str">
        <f t="shared" si="18"/>
        <v/>
      </c>
      <c r="H136" s="31"/>
      <c r="I136" s="32" t="str">
        <f>IF(H136&lt;&gt;"",H136,IF(G136="","",ROUND(G136*IFERROR(INDEX(Reference!$B$44:$B$50,MATCH(C136,Reference!$A$44:$A$50,0)),0),0)))</f>
        <v/>
      </c>
      <c r="J136" s="31"/>
      <c r="K136" s="31"/>
      <c r="L136" s="32" t="str">
        <f t="shared" si="19"/>
        <v/>
      </c>
      <c r="M136" s="32" t="str">
        <f>IFERROR(INDEX(Roster!$D$5:$D$40,MATCH(B136,Roster!$A$5:$A$40,0)),"")</f>
        <v/>
      </c>
      <c r="N136" s="32" t="str">
        <f t="shared" si="20"/>
        <v/>
      </c>
      <c r="O136" s="32" t="str">
        <f>IF(OR(C136="Bullpen",C136="Game"),IFERROR(INDEX(Reference!$B$61:$B$62,MATCH(C136,Reference!$A$61:$A$62,0)),""),IF(D136="","",IF(AE136&gt;1,((IF(1&lt;=AE136,(AE136-1+3)*(INDEX(Reference!$B$6:$B$11,MIN(5,MATCH(MAX(Reference!$A$6,MIN(Reference!$A$11,MIN(D136,90))),Reference!$A$6:$A$11,1)))+(MAX(Reference!$A$6,MIN(Reference!$A$11,MIN(D136,90)))-INDEX(Reference!$A$6:$A$11,MIN(5,MATCH(MAX(Reference!$A$6,MIN(Reference!$A$11,MIN(D136,90))),Reference!$A$6:$A$11,1))))*(INDEX(Reference!$B$6:$B$11,MIN(5,MATCH(MAX(Reference!$A$6,MIN(Reference!$A$11,MIN(D136,90))),Reference!$A$6:$A$11,1))+1)-INDEX(Reference!$B$6:$B$11,MIN(5,MATCH(MAX(Reference!$A$6,MIN(Reference!$A$11,MIN(D136,90))),Reference!$A$6:$A$11,1))))/(INDEX(Reference!$A$6:$A$11,MIN(5,MATCH(MAX(Reference!$A$6,MIN(Reference!$A$11,MIN(D136,90))),Reference!$A$6:$A$11,1))+1)-INDEX(Reference!$A$6:$A$11,MIN(5,MATCH(MAX(Reference!$A$6,MIN(Reference!$A$11,MIN(D136,90))),Reference!$A$6:$A$11,1))))),0)+IF(2&lt;=AE136,(AE136-2+3)*(INDEX(Reference!$B$6:$B$11,MIN(5,MATCH(MAX(Reference!$A$6,MIN(Reference!$A$11,MIN(D136,120))),Reference!$A$6:$A$11,1)))+(MAX(Reference!$A$6,MIN(Reference!$A$11,MIN(D136,120)))-INDEX(Reference!$A$6:$A$11,MIN(5,MATCH(MAX(Reference!$A$6,MIN(Reference!$A$11,MIN(D136,120))),Reference!$A$6:$A$11,1))))*(INDEX(Reference!$B$6:$B$11,MIN(5,MATCH(MAX(Reference!$A$6,MIN(Reference!$A$11,MIN(D136,120))),Reference!$A$6:$A$11,1))+1)-INDEX(Reference!$B$6:$B$11,MIN(5,MATCH(MAX(Reference!$A$6,MIN(Reference!$A$11,MIN(D136,120))),Reference!$A$6:$A$11,1))))/(INDEX(Reference!$A$6:$A$11,MIN(5,MATCH(MAX(Reference!$A$6,MIN(Reference!$A$11,MIN(D136,120))),Reference!$A$6:$A$11,1))+1)-INDEX(Reference!$A$6:$A$11,MIN(5,MATCH(MAX(Reference!$A$6,MIN(Reference!$A$11,MIN(D136,120))),Reference!$A$6:$A$11,1))))),0)+IF(3&lt;=AE136,(AE136-3+3)*(INDEX(Reference!$B$6:$B$11,MIN(5,MATCH(MAX(Reference!$A$6,MIN(Reference!$A$11,MIN(D136,150))),Reference!$A$6:$A$11,1)))+(MAX(Reference!$A$6,MIN(Reference!$A$11,MIN(D136,150)))-INDEX(Reference!$A$6:$A$11,MIN(5,MATCH(MAX(Reference!$A$6,MIN(Reference!$A$11,MIN(D136,150))),Reference!$A$6:$A$11,1))))*(INDEX(Reference!$B$6:$B$11,MIN(5,MATCH(MAX(Reference!$A$6,MIN(Reference!$A$11,MIN(D136,150))),Reference!$A$6:$A$11,1))+1)-INDEX(Reference!$B$6:$B$11,MIN(5,MATCH(MAX(Reference!$A$6,MIN(Reference!$A$11,MIN(D136,150))),Reference!$A$6:$A$11,1))))/(INDEX(Reference!$A$6:$A$11,MIN(5,MATCH(MAX(Reference!$A$6,MIN(Reference!$A$11,MIN(D136,150))),Reference!$A$6:$A$11,1))+1)-INDEX(Reference!$A$6:$A$11,MIN(5,MATCH(MAX(Reference!$A$6,MIN(Reference!$A$11,MIN(D136,150))),Reference!$A$6:$A$11,1))))),0)+IF(4&lt;=AE136,(AE136-4+3)*(INDEX(Reference!$B$6:$B$11,MIN(5,MATCH(MAX(Reference!$A$6,MIN(Reference!$A$11,MIN(D136,180))),Reference!$A$6:$A$11,1)))+(MAX(Reference!$A$6,MIN(Reference!$A$11,MIN(D136,180)))-INDEX(Reference!$A$6:$A$11,MIN(5,MATCH(MAX(Reference!$A$6,MIN(Reference!$A$11,MIN(D136,180))),Reference!$A$6:$A$11,1))))*(INDEX(Reference!$B$6:$B$11,MIN(5,MATCH(MAX(Reference!$A$6,MIN(Reference!$A$11,MIN(D136,180))),Reference!$A$6:$A$11,1))+1)-INDEX(Reference!$B$6:$B$11,MIN(5,MATCH(MAX(Reference!$A$6,MIN(Reference!$A$11,MIN(D136,180))),Reference!$A$6:$A$11,1))))/(INDEX(Reference!$A$6:$A$11,MIN(5,MATCH(MAX(Reference!$A$6,MIN(Reference!$A$11,MIN(D136,180))),Reference!$A$6:$A$11,1))+1)-INDEX(Reference!$A$6:$A$11,MIN(5,MATCH(MAX(Reference!$A$6,MIN(Reference!$A$11,MIN(D136,180))),Reference!$A$6:$A$11,1))))),0)+IF(5&lt;=AE136,(AE136-5+3)*(INDEX(Reference!$B$6:$B$11,MIN(5,MATCH(MAX(Reference!$A$6,MIN(Reference!$A$11,MIN(D136,210))),Reference!$A$6:$A$11,1)))+(MAX(Reference!$A$6,MIN(Reference!$A$11,MIN(D136,210)))-INDEX(Reference!$A$6:$A$11,MIN(5,MATCH(MAX(Reference!$A$6,MIN(Reference!$A$11,MIN(D136,210))),Reference!$A$6:$A$11,1))))*(INDEX(Reference!$B$6:$B$11,MIN(5,MATCH(MAX(Reference!$A$6,MIN(Reference!$A$11,MIN(D136,210))),Reference!$A$6:$A$11,1))+1)-INDEX(Reference!$B$6:$B$11,MIN(5,MATCH(MAX(Reference!$A$6,MIN(Reference!$A$11,MIN(D136,210))),Reference!$A$6:$A$11,1))))/(INDEX(Reference!$A$6:$A$11,MIN(5,MATCH(MAX(Reference!$A$6,MIN(Reference!$A$11,MIN(D136,210))),Reference!$A$6:$A$11,1))+1)-INDEX(Reference!$A$6:$A$11,MIN(5,MATCH(MAX(Reference!$A$6,MIN(Reference!$A$11,MIN(D136,210))),Reference!$A$6:$A$11,1))))),0)+IF(6&lt;=AE136,(AE136-6+3)*(INDEX(Reference!$B$6:$B$11,MIN(5,MATCH(MAX(Reference!$A$6,MIN(Reference!$A$11,MIN(D136,240))),Reference!$A$6:$A$11,1)))+(MAX(Reference!$A$6,MIN(Reference!$A$11,MIN(D136,240)))-INDEX(Reference!$A$6:$A$11,MIN(5,MATCH(MAX(Reference!$A$6,MIN(Reference!$A$11,MIN(D136,240))),Reference!$A$6:$A$11,1))))*(INDEX(Reference!$B$6:$B$11,MIN(5,MATCH(MAX(Reference!$A$6,MIN(Reference!$A$11,MIN(D136,240))),Reference!$A$6:$A$11,1))+1)-INDEX(Reference!$B$6:$B$11,MIN(5,MATCH(MAX(Reference!$A$6,MIN(Reference!$A$11,MIN(D136,240))),Reference!$A$6:$A$11,1))))/(INDEX(Reference!$A$6:$A$11,MIN(5,MATCH(MAX(Reference!$A$6,MIN(Reference!$A$11,MIN(D136,240))),Reference!$A$6:$A$11,1))+1)-INDEX(Reference!$A$6:$A$11,MIN(5,MATCH(MAX(Reference!$A$6,MIN(Reference!$A$11,MIN(D136,240))),Reference!$A$6:$A$11,1))))),0)+IF(7&lt;=AE136,(AE136-7+3)*(INDEX(Reference!$B$6:$B$11,MIN(5,MATCH(MAX(Reference!$A$6,MIN(Reference!$A$11,MIN(D136,270))),Reference!$A$6:$A$11,1)))+(MAX(Reference!$A$6,MIN(Reference!$A$11,MIN(D136,270)))-INDEX(Reference!$A$6:$A$11,MIN(5,MATCH(MAX(Reference!$A$6,MIN(Reference!$A$11,MIN(D136,270))),Reference!$A$6:$A$11,1))))*(INDEX(Reference!$B$6:$B$11,MIN(5,MATCH(MAX(Reference!$A$6,MIN(Reference!$A$11,MIN(D136,270))),Reference!$A$6:$A$11,1))+1)-INDEX(Reference!$B$6:$B$11,MIN(5,MATCH(MAX(Reference!$A$6,MIN(Reference!$A$11,MIN(D136,270))),Reference!$A$6:$A$11,1))))/(INDEX(Reference!$A$6:$A$11,MIN(5,MATCH(MAX(Reference!$A$6,MIN(Reference!$A$11,MIN(D136,270))),Reference!$A$6:$A$11,1))+1)-INDEX(Reference!$A$6:$A$11,MIN(5,MATCH(MAX(Reference!$A$6,MIN(Reference!$A$11,MIN(D136,270))),Reference!$A$6:$A$11,1))))),0)+IF(8&lt;=AE136,(AE136-8+3)*(INDEX(Reference!$B$6:$B$11,MIN(5,MATCH(MAX(Reference!$A$6,MIN(Reference!$A$11,MIN(D136,300))),Reference!$A$6:$A$11,1)))+(MAX(Reference!$A$6,MIN(Reference!$A$11,MIN(D136,300)))-INDEX(Reference!$A$6:$A$11,MIN(5,MATCH(MAX(Reference!$A$6,MIN(Reference!$A$11,MIN(D136,300))),Reference!$A$6:$A$11,1))))*(INDEX(Reference!$B$6:$B$11,MIN(5,MATCH(MAX(Reference!$A$6,MIN(Reference!$A$11,MIN(D136,300))),Reference!$A$6:$A$11,1))+1)-INDEX(Reference!$B$6:$B$11,MIN(5,MATCH(MAX(Reference!$A$6,MIN(Reference!$A$11,MIN(D136,300))),Reference!$A$6:$A$11,1))))/(INDEX(Reference!$A$6:$A$11,MIN(5,MATCH(MAX(Reference!$A$6,MIN(Reference!$A$11,MIN(D136,300))),Reference!$A$6:$A$11,1))+1)-INDEX(Reference!$A$6:$A$11,MIN(5,MATCH(MAX(Reference!$A$6,MIN(Reference!$A$11,MIN(D136,300))),Reference!$A$6:$A$11,1))))),0))/(AE136*(AE136+5)/2)),(INDEX(Reference!$B$6:$B$11,MIN(5,MATCH(MAX(Reference!$A$6,MIN(Reference!$A$11,D136)),Reference!$A$6:$A$11,1)))+(MAX(Reference!$A$6,MIN(Reference!$A$11,D136))-INDEX(Reference!$A$6:$A$11,MIN(5,MATCH(MAX(Reference!$A$6,MIN(Reference!$A$11,D136)),Reference!$A$6:$A$11,1))))*(INDEX(Reference!$B$6:$B$11,MIN(5,MATCH(MAX(Reference!$A$6,MIN(Reference!$A$11,D136)),Reference!$A$6:$A$11,1))+1)-INDEX(Reference!$B$6:$B$11,MIN(5,MATCH(MAX(Reference!$A$6,MIN(Reference!$A$11,D136)),Reference!$A$6:$A$11,1))))/(INDEX(Reference!$A$6:$A$11,MIN(5,MATCH(MAX(Reference!$A$6,MIN(Reference!$A$11,D136)),Reference!$A$6:$A$11,1))+1)-INDEX(Reference!$A$6:$A$11,MIN(5,MATCH(MAX(Reference!$A$6,MIN(Reference!$A$11,D136)),Reference!$A$6:$A$11,1))))))))</f>
        <v/>
      </c>
      <c r="P136" s="32" t="str">
        <f>IF(N136="","",VLOOKUP(MAX(N136,0),Reference!$A$17:$B$20,2,TRUE()))</f>
        <v/>
      </c>
      <c r="Q136" s="32" t="str">
        <f t="shared" si="21"/>
        <v/>
      </c>
      <c r="R136" s="31"/>
      <c r="S136" s="31"/>
      <c r="T136" s="31"/>
      <c r="U136" s="32" t="str">
        <f t="shared" si="22"/>
        <v/>
      </c>
      <c r="V136" s="32" t="str">
        <f t="shared" si="23"/>
        <v/>
      </c>
      <c r="W136" s="32" t="str">
        <f>IF(V136="","",VLOOKUP(MAX(V136,0),Reference!$A$17:$B$20,2,TRUE()))</f>
        <v/>
      </c>
      <c r="X136" s="31"/>
      <c r="Y136" s="31"/>
      <c r="Z136" s="31"/>
      <c r="AA136" s="32" t="str">
        <f t="shared" si="24"/>
        <v/>
      </c>
      <c r="AB136" s="32" t="str">
        <f t="shared" si="25"/>
        <v/>
      </c>
      <c r="AC136" s="32" t="str">
        <f>IF(AB136="","",VLOOKUP(MAX(AB136,0),Reference!$A$17:$B$20,2,TRUE()))</f>
        <v/>
      </c>
      <c r="AD136" s="31"/>
      <c r="AE136">
        <f t="shared" si="26"/>
        <v>1</v>
      </c>
      <c r="AF136" s="33" t="str">
        <f>IF(OR(A136="",B136="",AND(C136&lt;&gt;"Bullpen",C136&lt;&gt;"Game")),"",IF((COUNTIFS($B$5:$B$300,B136,$A$5:$A$300,A136-1,$C$5:$C$300,"Bullpen",$AG$5:$AG$300,"&gt;0") + COUNTIFS($B$5:$B$300,B136,$A$5:$A$300,A136-1,$C$5:$C$300,"Game",$AG$5:$AG$300,"&gt;0"))&gt;0,Reference!$B$119,IF((COUNTIFS($B$5:$B$300,B136,$A$5:$A$300,A136-2,$C$5:$C$300,"Bullpen",$AG$5:$AG$300,"&gt;0") + COUNTIFS($B$5:$B$300,B136,$A$5:$A$300,A136-2,$C$5:$C$300,"Game",$AG$5:$AG$300,"&gt;0"))&gt;0,Reference!$B$120,1)))</f>
        <v/>
      </c>
      <c r="AG136" s="30" t="str">
        <f>IF(AND(OR(I136="",O136="",P136=""),OR(R136="",W136=""),OR(X136="",AC136="")),"",IF(OR(I136="",O136="",P136=""),0,I136*O136*P136)+IF(OR(R136="",W136=""),0,R136*IFERROR(INDEX(Reference!$B$61:$B$62,MATCH("Bullpen",Reference!$A$61:$A$62,0)),0)*W136)+IF(OR(X136="",AC136=""),0,X136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136))</f>
        <v/>
      </c>
    </row>
    <row r="137" spans="1:33" x14ac:dyDescent="0.3">
      <c r="A137" s="35"/>
      <c r="B137" s="31"/>
      <c r="C137" s="31"/>
      <c r="D137" s="31"/>
      <c r="E137" s="34"/>
      <c r="F137" s="34"/>
      <c r="G137" s="30" t="str">
        <f t="shared" si="18"/>
        <v/>
      </c>
      <c r="H137" s="31"/>
      <c r="I137" s="32" t="str">
        <f>IF(H137&lt;&gt;"",H137,IF(G137="","",ROUND(G137*IFERROR(INDEX(Reference!$B$44:$B$50,MATCH(C137,Reference!$A$44:$A$50,0)),0),0)))</f>
        <v/>
      </c>
      <c r="J137" s="31"/>
      <c r="K137" s="31"/>
      <c r="L137" s="32" t="str">
        <f t="shared" si="19"/>
        <v/>
      </c>
      <c r="M137" s="32" t="str">
        <f>IFERROR(INDEX(Roster!$D$5:$D$40,MATCH(B137,Roster!$A$5:$A$40,0)),"")</f>
        <v/>
      </c>
      <c r="N137" s="32" t="str">
        <f t="shared" si="20"/>
        <v/>
      </c>
      <c r="O137" s="32" t="str">
        <f>IF(OR(C137="Bullpen",C137="Game"),IFERROR(INDEX(Reference!$B$61:$B$62,MATCH(C137,Reference!$A$61:$A$62,0)),""),IF(D137="","",IF(AE137&gt;1,((IF(1&lt;=AE137,(AE137-1+3)*(INDEX(Reference!$B$6:$B$11,MIN(5,MATCH(MAX(Reference!$A$6,MIN(Reference!$A$11,MIN(D137,90))),Reference!$A$6:$A$11,1)))+(MAX(Reference!$A$6,MIN(Reference!$A$11,MIN(D137,90)))-INDEX(Reference!$A$6:$A$11,MIN(5,MATCH(MAX(Reference!$A$6,MIN(Reference!$A$11,MIN(D137,90))),Reference!$A$6:$A$11,1))))*(INDEX(Reference!$B$6:$B$11,MIN(5,MATCH(MAX(Reference!$A$6,MIN(Reference!$A$11,MIN(D137,90))),Reference!$A$6:$A$11,1))+1)-INDEX(Reference!$B$6:$B$11,MIN(5,MATCH(MAX(Reference!$A$6,MIN(Reference!$A$11,MIN(D137,90))),Reference!$A$6:$A$11,1))))/(INDEX(Reference!$A$6:$A$11,MIN(5,MATCH(MAX(Reference!$A$6,MIN(Reference!$A$11,MIN(D137,90))),Reference!$A$6:$A$11,1))+1)-INDEX(Reference!$A$6:$A$11,MIN(5,MATCH(MAX(Reference!$A$6,MIN(Reference!$A$11,MIN(D137,90))),Reference!$A$6:$A$11,1))))),0)+IF(2&lt;=AE137,(AE137-2+3)*(INDEX(Reference!$B$6:$B$11,MIN(5,MATCH(MAX(Reference!$A$6,MIN(Reference!$A$11,MIN(D137,120))),Reference!$A$6:$A$11,1)))+(MAX(Reference!$A$6,MIN(Reference!$A$11,MIN(D137,120)))-INDEX(Reference!$A$6:$A$11,MIN(5,MATCH(MAX(Reference!$A$6,MIN(Reference!$A$11,MIN(D137,120))),Reference!$A$6:$A$11,1))))*(INDEX(Reference!$B$6:$B$11,MIN(5,MATCH(MAX(Reference!$A$6,MIN(Reference!$A$11,MIN(D137,120))),Reference!$A$6:$A$11,1))+1)-INDEX(Reference!$B$6:$B$11,MIN(5,MATCH(MAX(Reference!$A$6,MIN(Reference!$A$11,MIN(D137,120))),Reference!$A$6:$A$11,1))))/(INDEX(Reference!$A$6:$A$11,MIN(5,MATCH(MAX(Reference!$A$6,MIN(Reference!$A$11,MIN(D137,120))),Reference!$A$6:$A$11,1))+1)-INDEX(Reference!$A$6:$A$11,MIN(5,MATCH(MAX(Reference!$A$6,MIN(Reference!$A$11,MIN(D137,120))),Reference!$A$6:$A$11,1))))),0)+IF(3&lt;=AE137,(AE137-3+3)*(INDEX(Reference!$B$6:$B$11,MIN(5,MATCH(MAX(Reference!$A$6,MIN(Reference!$A$11,MIN(D137,150))),Reference!$A$6:$A$11,1)))+(MAX(Reference!$A$6,MIN(Reference!$A$11,MIN(D137,150)))-INDEX(Reference!$A$6:$A$11,MIN(5,MATCH(MAX(Reference!$A$6,MIN(Reference!$A$11,MIN(D137,150))),Reference!$A$6:$A$11,1))))*(INDEX(Reference!$B$6:$B$11,MIN(5,MATCH(MAX(Reference!$A$6,MIN(Reference!$A$11,MIN(D137,150))),Reference!$A$6:$A$11,1))+1)-INDEX(Reference!$B$6:$B$11,MIN(5,MATCH(MAX(Reference!$A$6,MIN(Reference!$A$11,MIN(D137,150))),Reference!$A$6:$A$11,1))))/(INDEX(Reference!$A$6:$A$11,MIN(5,MATCH(MAX(Reference!$A$6,MIN(Reference!$A$11,MIN(D137,150))),Reference!$A$6:$A$11,1))+1)-INDEX(Reference!$A$6:$A$11,MIN(5,MATCH(MAX(Reference!$A$6,MIN(Reference!$A$11,MIN(D137,150))),Reference!$A$6:$A$11,1))))),0)+IF(4&lt;=AE137,(AE137-4+3)*(INDEX(Reference!$B$6:$B$11,MIN(5,MATCH(MAX(Reference!$A$6,MIN(Reference!$A$11,MIN(D137,180))),Reference!$A$6:$A$11,1)))+(MAX(Reference!$A$6,MIN(Reference!$A$11,MIN(D137,180)))-INDEX(Reference!$A$6:$A$11,MIN(5,MATCH(MAX(Reference!$A$6,MIN(Reference!$A$11,MIN(D137,180))),Reference!$A$6:$A$11,1))))*(INDEX(Reference!$B$6:$B$11,MIN(5,MATCH(MAX(Reference!$A$6,MIN(Reference!$A$11,MIN(D137,180))),Reference!$A$6:$A$11,1))+1)-INDEX(Reference!$B$6:$B$11,MIN(5,MATCH(MAX(Reference!$A$6,MIN(Reference!$A$11,MIN(D137,180))),Reference!$A$6:$A$11,1))))/(INDEX(Reference!$A$6:$A$11,MIN(5,MATCH(MAX(Reference!$A$6,MIN(Reference!$A$11,MIN(D137,180))),Reference!$A$6:$A$11,1))+1)-INDEX(Reference!$A$6:$A$11,MIN(5,MATCH(MAX(Reference!$A$6,MIN(Reference!$A$11,MIN(D137,180))),Reference!$A$6:$A$11,1))))),0)+IF(5&lt;=AE137,(AE137-5+3)*(INDEX(Reference!$B$6:$B$11,MIN(5,MATCH(MAX(Reference!$A$6,MIN(Reference!$A$11,MIN(D137,210))),Reference!$A$6:$A$11,1)))+(MAX(Reference!$A$6,MIN(Reference!$A$11,MIN(D137,210)))-INDEX(Reference!$A$6:$A$11,MIN(5,MATCH(MAX(Reference!$A$6,MIN(Reference!$A$11,MIN(D137,210))),Reference!$A$6:$A$11,1))))*(INDEX(Reference!$B$6:$B$11,MIN(5,MATCH(MAX(Reference!$A$6,MIN(Reference!$A$11,MIN(D137,210))),Reference!$A$6:$A$11,1))+1)-INDEX(Reference!$B$6:$B$11,MIN(5,MATCH(MAX(Reference!$A$6,MIN(Reference!$A$11,MIN(D137,210))),Reference!$A$6:$A$11,1))))/(INDEX(Reference!$A$6:$A$11,MIN(5,MATCH(MAX(Reference!$A$6,MIN(Reference!$A$11,MIN(D137,210))),Reference!$A$6:$A$11,1))+1)-INDEX(Reference!$A$6:$A$11,MIN(5,MATCH(MAX(Reference!$A$6,MIN(Reference!$A$11,MIN(D137,210))),Reference!$A$6:$A$11,1))))),0)+IF(6&lt;=AE137,(AE137-6+3)*(INDEX(Reference!$B$6:$B$11,MIN(5,MATCH(MAX(Reference!$A$6,MIN(Reference!$A$11,MIN(D137,240))),Reference!$A$6:$A$11,1)))+(MAX(Reference!$A$6,MIN(Reference!$A$11,MIN(D137,240)))-INDEX(Reference!$A$6:$A$11,MIN(5,MATCH(MAX(Reference!$A$6,MIN(Reference!$A$11,MIN(D137,240))),Reference!$A$6:$A$11,1))))*(INDEX(Reference!$B$6:$B$11,MIN(5,MATCH(MAX(Reference!$A$6,MIN(Reference!$A$11,MIN(D137,240))),Reference!$A$6:$A$11,1))+1)-INDEX(Reference!$B$6:$B$11,MIN(5,MATCH(MAX(Reference!$A$6,MIN(Reference!$A$11,MIN(D137,240))),Reference!$A$6:$A$11,1))))/(INDEX(Reference!$A$6:$A$11,MIN(5,MATCH(MAX(Reference!$A$6,MIN(Reference!$A$11,MIN(D137,240))),Reference!$A$6:$A$11,1))+1)-INDEX(Reference!$A$6:$A$11,MIN(5,MATCH(MAX(Reference!$A$6,MIN(Reference!$A$11,MIN(D137,240))),Reference!$A$6:$A$11,1))))),0)+IF(7&lt;=AE137,(AE137-7+3)*(INDEX(Reference!$B$6:$B$11,MIN(5,MATCH(MAX(Reference!$A$6,MIN(Reference!$A$11,MIN(D137,270))),Reference!$A$6:$A$11,1)))+(MAX(Reference!$A$6,MIN(Reference!$A$11,MIN(D137,270)))-INDEX(Reference!$A$6:$A$11,MIN(5,MATCH(MAX(Reference!$A$6,MIN(Reference!$A$11,MIN(D137,270))),Reference!$A$6:$A$11,1))))*(INDEX(Reference!$B$6:$B$11,MIN(5,MATCH(MAX(Reference!$A$6,MIN(Reference!$A$11,MIN(D137,270))),Reference!$A$6:$A$11,1))+1)-INDEX(Reference!$B$6:$B$11,MIN(5,MATCH(MAX(Reference!$A$6,MIN(Reference!$A$11,MIN(D137,270))),Reference!$A$6:$A$11,1))))/(INDEX(Reference!$A$6:$A$11,MIN(5,MATCH(MAX(Reference!$A$6,MIN(Reference!$A$11,MIN(D137,270))),Reference!$A$6:$A$11,1))+1)-INDEX(Reference!$A$6:$A$11,MIN(5,MATCH(MAX(Reference!$A$6,MIN(Reference!$A$11,MIN(D137,270))),Reference!$A$6:$A$11,1))))),0)+IF(8&lt;=AE137,(AE137-8+3)*(INDEX(Reference!$B$6:$B$11,MIN(5,MATCH(MAX(Reference!$A$6,MIN(Reference!$A$11,MIN(D137,300))),Reference!$A$6:$A$11,1)))+(MAX(Reference!$A$6,MIN(Reference!$A$11,MIN(D137,300)))-INDEX(Reference!$A$6:$A$11,MIN(5,MATCH(MAX(Reference!$A$6,MIN(Reference!$A$11,MIN(D137,300))),Reference!$A$6:$A$11,1))))*(INDEX(Reference!$B$6:$B$11,MIN(5,MATCH(MAX(Reference!$A$6,MIN(Reference!$A$11,MIN(D137,300))),Reference!$A$6:$A$11,1))+1)-INDEX(Reference!$B$6:$B$11,MIN(5,MATCH(MAX(Reference!$A$6,MIN(Reference!$A$11,MIN(D137,300))),Reference!$A$6:$A$11,1))))/(INDEX(Reference!$A$6:$A$11,MIN(5,MATCH(MAX(Reference!$A$6,MIN(Reference!$A$11,MIN(D137,300))),Reference!$A$6:$A$11,1))+1)-INDEX(Reference!$A$6:$A$11,MIN(5,MATCH(MAX(Reference!$A$6,MIN(Reference!$A$11,MIN(D137,300))),Reference!$A$6:$A$11,1))))),0))/(AE137*(AE137+5)/2)),(INDEX(Reference!$B$6:$B$11,MIN(5,MATCH(MAX(Reference!$A$6,MIN(Reference!$A$11,D137)),Reference!$A$6:$A$11,1)))+(MAX(Reference!$A$6,MIN(Reference!$A$11,D137))-INDEX(Reference!$A$6:$A$11,MIN(5,MATCH(MAX(Reference!$A$6,MIN(Reference!$A$11,D137)),Reference!$A$6:$A$11,1))))*(INDEX(Reference!$B$6:$B$11,MIN(5,MATCH(MAX(Reference!$A$6,MIN(Reference!$A$11,D137)),Reference!$A$6:$A$11,1))+1)-INDEX(Reference!$B$6:$B$11,MIN(5,MATCH(MAX(Reference!$A$6,MIN(Reference!$A$11,D137)),Reference!$A$6:$A$11,1))))/(INDEX(Reference!$A$6:$A$11,MIN(5,MATCH(MAX(Reference!$A$6,MIN(Reference!$A$11,D137)),Reference!$A$6:$A$11,1))+1)-INDEX(Reference!$A$6:$A$11,MIN(5,MATCH(MAX(Reference!$A$6,MIN(Reference!$A$11,D137)),Reference!$A$6:$A$11,1))))))))</f>
        <v/>
      </c>
      <c r="P137" s="32" t="str">
        <f>IF(N137="","",VLOOKUP(MAX(N137,0),Reference!$A$17:$B$20,2,TRUE()))</f>
        <v/>
      </c>
      <c r="Q137" s="32" t="str">
        <f t="shared" si="21"/>
        <v/>
      </c>
      <c r="R137" s="31"/>
      <c r="S137" s="31"/>
      <c r="T137" s="31"/>
      <c r="U137" s="32" t="str">
        <f t="shared" si="22"/>
        <v/>
      </c>
      <c r="V137" s="32" t="str">
        <f t="shared" si="23"/>
        <v/>
      </c>
      <c r="W137" s="32" t="str">
        <f>IF(V137="","",VLOOKUP(MAX(V137,0),Reference!$A$17:$B$20,2,TRUE()))</f>
        <v/>
      </c>
      <c r="X137" s="31"/>
      <c r="Y137" s="31"/>
      <c r="Z137" s="31"/>
      <c r="AA137" s="32" t="str">
        <f t="shared" si="24"/>
        <v/>
      </c>
      <c r="AB137" s="32" t="str">
        <f t="shared" si="25"/>
        <v/>
      </c>
      <c r="AC137" s="32" t="str">
        <f>IF(AB137="","",VLOOKUP(MAX(AB137,0),Reference!$A$17:$B$20,2,TRUE()))</f>
        <v/>
      </c>
      <c r="AD137" s="31"/>
      <c r="AE137">
        <f t="shared" si="26"/>
        <v>1</v>
      </c>
      <c r="AF137" s="33" t="str">
        <f>IF(OR(A137="",B137="",AND(C137&lt;&gt;"Bullpen",C137&lt;&gt;"Game")),"",IF((COUNTIFS($B$5:$B$300,B137,$A$5:$A$300,A137-1,$C$5:$C$300,"Bullpen",$AG$5:$AG$300,"&gt;0") + COUNTIFS($B$5:$B$300,B137,$A$5:$A$300,A137-1,$C$5:$C$300,"Game",$AG$5:$AG$300,"&gt;0"))&gt;0,Reference!$B$119,IF((COUNTIFS($B$5:$B$300,B137,$A$5:$A$300,A137-2,$C$5:$C$300,"Bullpen",$AG$5:$AG$300,"&gt;0") + COUNTIFS($B$5:$B$300,B137,$A$5:$A$300,A137-2,$C$5:$C$300,"Game",$AG$5:$AG$300,"&gt;0"))&gt;0,Reference!$B$120,1)))</f>
        <v/>
      </c>
      <c r="AG137" s="30" t="str">
        <f>IF(AND(OR(I137="",O137="",P137=""),OR(R137="",W137=""),OR(X137="",AC137="")),"",IF(OR(I137="",O137="",P137=""),0,I137*O137*P137)+IF(OR(R137="",W137=""),0,R137*IFERROR(INDEX(Reference!$B$61:$B$62,MATCH("Bullpen",Reference!$A$61:$A$62,0)),0)*W137)+IF(OR(X137="",AC137=""),0,X137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137))</f>
        <v/>
      </c>
    </row>
    <row r="138" spans="1:33" x14ac:dyDescent="0.3">
      <c r="A138" s="35"/>
      <c r="B138" s="31"/>
      <c r="C138" s="31"/>
      <c r="D138" s="31"/>
      <c r="E138" s="34"/>
      <c r="F138" s="34"/>
      <c r="G138" s="30" t="str">
        <f t="shared" si="18"/>
        <v/>
      </c>
      <c r="H138" s="31"/>
      <c r="I138" s="32" t="str">
        <f>IF(H138&lt;&gt;"",H138,IF(G138="","",ROUND(G138*IFERROR(INDEX(Reference!$B$44:$B$50,MATCH(C138,Reference!$A$44:$A$50,0)),0),0)))</f>
        <v/>
      </c>
      <c r="J138" s="31"/>
      <c r="K138" s="31"/>
      <c r="L138" s="32" t="str">
        <f t="shared" si="19"/>
        <v/>
      </c>
      <c r="M138" s="32" t="str">
        <f>IFERROR(INDEX(Roster!$D$5:$D$40,MATCH(B138,Roster!$A$5:$A$40,0)),"")</f>
        <v/>
      </c>
      <c r="N138" s="32" t="str">
        <f t="shared" si="20"/>
        <v/>
      </c>
      <c r="O138" s="32" t="str">
        <f>IF(OR(C138="Bullpen",C138="Game"),IFERROR(INDEX(Reference!$B$61:$B$62,MATCH(C138,Reference!$A$61:$A$62,0)),""),IF(D138="","",IF(AE138&gt;1,((IF(1&lt;=AE138,(AE138-1+3)*(INDEX(Reference!$B$6:$B$11,MIN(5,MATCH(MAX(Reference!$A$6,MIN(Reference!$A$11,MIN(D138,90))),Reference!$A$6:$A$11,1)))+(MAX(Reference!$A$6,MIN(Reference!$A$11,MIN(D138,90)))-INDEX(Reference!$A$6:$A$11,MIN(5,MATCH(MAX(Reference!$A$6,MIN(Reference!$A$11,MIN(D138,90))),Reference!$A$6:$A$11,1))))*(INDEX(Reference!$B$6:$B$11,MIN(5,MATCH(MAX(Reference!$A$6,MIN(Reference!$A$11,MIN(D138,90))),Reference!$A$6:$A$11,1))+1)-INDEX(Reference!$B$6:$B$11,MIN(5,MATCH(MAX(Reference!$A$6,MIN(Reference!$A$11,MIN(D138,90))),Reference!$A$6:$A$11,1))))/(INDEX(Reference!$A$6:$A$11,MIN(5,MATCH(MAX(Reference!$A$6,MIN(Reference!$A$11,MIN(D138,90))),Reference!$A$6:$A$11,1))+1)-INDEX(Reference!$A$6:$A$11,MIN(5,MATCH(MAX(Reference!$A$6,MIN(Reference!$A$11,MIN(D138,90))),Reference!$A$6:$A$11,1))))),0)+IF(2&lt;=AE138,(AE138-2+3)*(INDEX(Reference!$B$6:$B$11,MIN(5,MATCH(MAX(Reference!$A$6,MIN(Reference!$A$11,MIN(D138,120))),Reference!$A$6:$A$11,1)))+(MAX(Reference!$A$6,MIN(Reference!$A$11,MIN(D138,120)))-INDEX(Reference!$A$6:$A$11,MIN(5,MATCH(MAX(Reference!$A$6,MIN(Reference!$A$11,MIN(D138,120))),Reference!$A$6:$A$11,1))))*(INDEX(Reference!$B$6:$B$11,MIN(5,MATCH(MAX(Reference!$A$6,MIN(Reference!$A$11,MIN(D138,120))),Reference!$A$6:$A$11,1))+1)-INDEX(Reference!$B$6:$B$11,MIN(5,MATCH(MAX(Reference!$A$6,MIN(Reference!$A$11,MIN(D138,120))),Reference!$A$6:$A$11,1))))/(INDEX(Reference!$A$6:$A$11,MIN(5,MATCH(MAX(Reference!$A$6,MIN(Reference!$A$11,MIN(D138,120))),Reference!$A$6:$A$11,1))+1)-INDEX(Reference!$A$6:$A$11,MIN(5,MATCH(MAX(Reference!$A$6,MIN(Reference!$A$11,MIN(D138,120))),Reference!$A$6:$A$11,1))))),0)+IF(3&lt;=AE138,(AE138-3+3)*(INDEX(Reference!$B$6:$B$11,MIN(5,MATCH(MAX(Reference!$A$6,MIN(Reference!$A$11,MIN(D138,150))),Reference!$A$6:$A$11,1)))+(MAX(Reference!$A$6,MIN(Reference!$A$11,MIN(D138,150)))-INDEX(Reference!$A$6:$A$11,MIN(5,MATCH(MAX(Reference!$A$6,MIN(Reference!$A$11,MIN(D138,150))),Reference!$A$6:$A$11,1))))*(INDEX(Reference!$B$6:$B$11,MIN(5,MATCH(MAX(Reference!$A$6,MIN(Reference!$A$11,MIN(D138,150))),Reference!$A$6:$A$11,1))+1)-INDEX(Reference!$B$6:$B$11,MIN(5,MATCH(MAX(Reference!$A$6,MIN(Reference!$A$11,MIN(D138,150))),Reference!$A$6:$A$11,1))))/(INDEX(Reference!$A$6:$A$11,MIN(5,MATCH(MAX(Reference!$A$6,MIN(Reference!$A$11,MIN(D138,150))),Reference!$A$6:$A$11,1))+1)-INDEX(Reference!$A$6:$A$11,MIN(5,MATCH(MAX(Reference!$A$6,MIN(Reference!$A$11,MIN(D138,150))),Reference!$A$6:$A$11,1))))),0)+IF(4&lt;=AE138,(AE138-4+3)*(INDEX(Reference!$B$6:$B$11,MIN(5,MATCH(MAX(Reference!$A$6,MIN(Reference!$A$11,MIN(D138,180))),Reference!$A$6:$A$11,1)))+(MAX(Reference!$A$6,MIN(Reference!$A$11,MIN(D138,180)))-INDEX(Reference!$A$6:$A$11,MIN(5,MATCH(MAX(Reference!$A$6,MIN(Reference!$A$11,MIN(D138,180))),Reference!$A$6:$A$11,1))))*(INDEX(Reference!$B$6:$B$11,MIN(5,MATCH(MAX(Reference!$A$6,MIN(Reference!$A$11,MIN(D138,180))),Reference!$A$6:$A$11,1))+1)-INDEX(Reference!$B$6:$B$11,MIN(5,MATCH(MAX(Reference!$A$6,MIN(Reference!$A$11,MIN(D138,180))),Reference!$A$6:$A$11,1))))/(INDEX(Reference!$A$6:$A$11,MIN(5,MATCH(MAX(Reference!$A$6,MIN(Reference!$A$11,MIN(D138,180))),Reference!$A$6:$A$11,1))+1)-INDEX(Reference!$A$6:$A$11,MIN(5,MATCH(MAX(Reference!$A$6,MIN(Reference!$A$11,MIN(D138,180))),Reference!$A$6:$A$11,1))))),0)+IF(5&lt;=AE138,(AE138-5+3)*(INDEX(Reference!$B$6:$B$11,MIN(5,MATCH(MAX(Reference!$A$6,MIN(Reference!$A$11,MIN(D138,210))),Reference!$A$6:$A$11,1)))+(MAX(Reference!$A$6,MIN(Reference!$A$11,MIN(D138,210)))-INDEX(Reference!$A$6:$A$11,MIN(5,MATCH(MAX(Reference!$A$6,MIN(Reference!$A$11,MIN(D138,210))),Reference!$A$6:$A$11,1))))*(INDEX(Reference!$B$6:$B$11,MIN(5,MATCH(MAX(Reference!$A$6,MIN(Reference!$A$11,MIN(D138,210))),Reference!$A$6:$A$11,1))+1)-INDEX(Reference!$B$6:$B$11,MIN(5,MATCH(MAX(Reference!$A$6,MIN(Reference!$A$11,MIN(D138,210))),Reference!$A$6:$A$11,1))))/(INDEX(Reference!$A$6:$A$11,MIN(5,MATCH(MAX(Reference!$A$6,MIN(Reference!$A$11,MIN(D138,210))),Reference!$A$6:$A$11,1))+1)-INDEX(Reference!$A$6:$A$11,MIN(5,MATCH(MAX(Reference!$A$6,MIN(Reference!$A$11,MIN(D138,210))),Reference!$A$6:$A$11,1))))),0)+IF(6&lt;=AE138,(AE138-6+3)*(INDEX(Reference!$B$6:$B$11,MIN(5,MATCH(MAX(Reference!$A$6,MIN(Reference!$A$11,MIN(D138,240))),Reference!$A$6:$A$11,1)))+(MAX(Reference!$A$6,MIN(Reference!$A$11,MIN(D138,240)))-INDEX(Reference!$A$6:$A$11,MIN(5,MATCH(MAX(Reference!$A$6,MIN(Reference!$A$11,MIN(D138,240))),Reference!$A$6:$A$11,1))))*(INDEX(Reference!$B$6:$B$11,MIN(5,MATCH(MAX(Reference!$A$6,MIN(Reference!$A$11,MIN(D138,240))),Reference!$A$6:$A$11,1))+1)-INDEX(Reference!$B$6:$B$11,MIN(5,MATCH(MAX(Reference!$A$6,MIN(Reference!$A$11,MIN(D138,240))),Reference!$A$6:$A$11,1))))/(INDEX(Reference!$A$6:$A$11,MIN(5,MATCH(MAX(Reference!$A$6,MIN(Reference!$A$11,MIN(D138,240))),Reference!$A$6:$A$11,1))+1)-INDEX(Reference!$A$6:$A$11,MIN(5,MATCH(MAX(Reference!$A$6,MIN(Reference!$A$11,MIN(D138,240))),Reference!$A$6:$A$11,1))))),0)+IF(7&lt;=AE138,(AE138-7+3)*(INDEX(Reference!$B$6:$B$11,MIN(5,MATCH(MAX(Reference!$A$6,MIN(Reference!$A$11,MIN(D138,270))),Reference!$A$6:$A$11,1)))+(MAX(Reference!$A$6,MIN(Reference!$A$11,MIN(D138,270)))-INDEX(Reference!$A$6:$A$11,MIN(5,MATCH(MAX(Reference!$A$6,MIN(Reference!$A$11,MIN(D138,270))),Reference!$A$6:$A$11,1))))*(INDEX(Reference!$B$6:$B$11,MIN(5,MATCH(MAX(Reference!$A$6,MIN(Reference!$A$11,MIN(D138,270))),Reference!$A$6:$A$11,1))+1)-INDEX(Reference!$B$6:$B$11,MIN(5,MATCH(MAX(Reference!$A$6,MIN(Reference!$A$11,MIN(D138,270))),Reference!$A$6:$A$11,1))))/(INDEX(Reference!$A$6:$A$11,MIN(5,MATCH(MAX(Reference!$A$6,MIN(Reference!$A$11,MIN(D138,270))),Reference!$A$6:$A$11,1))+1)-INDEX(Reference!$A$6:$A$11,MIN(5,MATCH(MAX(Reference!$A$6,MIN(Reference!$A$11,MIN(D138,270))),Reference!$A$6:$A$11,1))))),0)+IF(8&lt;=AE138,(AE138-8+3)*(INDEX(Reference!$B$6:$B$11,MIN(5,MATCH(MAX(Reference!$A$6,MIN(Reference!$A$11,MIN(D138,300))),Reference!$A$6:$A$11,1)))+(MAX(Reference!$A$6,MIN(Reference!$A$11,MIN(D138,300)))-INDEX(Reference!$A$6:$A$11,MIN(5,MATCH(MAX(Reference!$A$6,MIN(Reference!$A$11,MIN(D138,300))),Reference!$A$6:$A$11,1))))*(INDEX(Reference!$B$6:$B$11,MIN(5,MATCH(MAX(Reference!$A$6,MIN(Reference!$A$11,MIN(D138,300))),Reference!$A$6:$A$11,1))+1)-INDEX(Reference!$B$6:$B$11,MIN(5,MATCH(MAX(Reference!$A$6,MIN(Reference!$A$11,MIN(D138,300))),Reference!$A$6:$A$11,1))))/(INDEX(Reference!$A$6:$A$11,MIN(5,MATCH(MAX(Reference!$A$6,MIN(Reference!$A$11,MIN(D138,300))),Reference!$A$6:$A$11,1))+1)-INDEX(Reference!$A$6:$A$11,MIN(5,MATCH(MAX(Reference!$A$6,MIN(Reference!$A$11,MIN(D138,300))),Reference!$A$6:$A$11,1))))),0))/(AE138*(AE138+5)/2)),(INDEX(Reference!$B$6:$B$11,MIN(5,MATCH(MAX(Reference!$A$6,MIN(Reference!$A$11,D138)),Reference!$A$6:$A$11,1)))+(MAX(Reference!$A$6,MIN(Reference!$A$11,D138))-INDEX(Reference!$A$6:$A$11,MIN(5,MATCH(MAX(Reference!$A$6,MIN(Reference!$A$11,D138)),Reference!$A$6:$A$11,1))))*(INDEX(Reference!$B$6:$B$11,MIN(5,MATCH(MAX(Reference!$A$6,MIN(Reference!$A$11,D138)),Reference!$A$6:$A$11,1))+1)-INDEX(Reference!$B$6:$B$11,MIN(5,MATCH(MAX(Reference!$A$6,MIN(Reference!$A$11,D138)),Reference!$A$6:$A$11,1))))/(INDEX(Reference!$A$6:$A$11,MIN(5,MATCH(MAX(Reference!$A$6,MIN(Reference!$A$11,D138)),Reference!$A$6:$A$11,1))+1)-INDEX(Reference!$A$6:$A$11,MIN(5,MATCH(MAX(Reference!$A$6,MIN(Reference!$A$11,D138)),Reference!$A$6:$A$11,1))))))))</f>
        <v/>
      </c>
      <c r="P138" s="32" t="str">
        <f>IF(N138="","",VLOOKUP(MAX(N138,0),Reference!$A$17:$B$20,2,TRUE()))</f>
        <v/>
      </c>
      <c r="Q138" s="32" t="str">
        <f t="shared" si="21"/>
        <v/>
      </c>
      <c r="R138" s="31"/>
      <c r="S138" s="31"/>
      <c r="T138" s="31"/>
      <c r="U138" s="32" t="str">
        <f t="shared" si="22"/>
        <v/>
      </c>
      <c r="V138" s="32" t="str">
        <f t="shared" si="23"/>
        <v/>
      </c>
      <c r="W138" s="32" t="str">
        <f>IF(V138="","",VLOOKUP(MAX(V138,0),Reference!$A$17:$B$20,2,TRUE()))</f>
        <v/>
      </c>
      <c r="X138" s="31"/>
      <c r="Y138" s="31"/>
      <c r="Z138" s="31"/>
      <c r="AA138" s="32" t="str">
        <f t="shared" si="24"/>
        <v/>
      </c>
      <c r="AB138" s="32" t="str">
        <f t="shared" si="25"/>
        <v/>
      </c>
      <c r="AC138" s="32" t="str">
        <f>IF(AB138="","",VLOOKUP(MAX(AB138,0),Reference!$A$17:$B$20,2,TRUE()))</f>
        <v/>
      </c>
      <c r="AD138" s="31"/>
      <c r="AE138">
        <f t="shared" si="26"/>
        <v>1</v>
      </c>
      <c r="AF138" s="33" t="str">
        <f>IF(OR(A138="",B138="",AND(C138&lt;&gt;"Bullpen",C138&lt;&gt;"Game")),"",IF((COUNTIFS($B$5:$B$300,B138,$A$5:$A$300,A138-1,$C$5:$C$300,"Bullpen",$AG$5:$AG$300,"&gt;0") + COUNTIFS($B$5:$B$300,B138,$A$5:$A$300,A138-1,$C$5:$C$300,"Game",$AG$5:$AG$300,"&gt;0"))&gt;0,Reference!$B$119,IF((COUNTIFS($B$5:$B$300,B138,$A$5:$A$300,A138-2,$C$5:$C$300,"Bullpen",$AG$5:$AG$300,"&gt;0") + COUNTIFS($B$5:$B$300,B138,$A$5:$A$300,A138-2,$C$5:$C$300,"Game",$AG$5:$AG$300,"&gt;0"))&gt;0,Reference!$B$120,1)))</f>
        <v/>
      </c>
      <c r="AG138" s="30" t="str">
        <f>IF(AND(OR(I138="",O138="",P138=""),OR(R138="",W138=""),OR(X138="",AC138="")),"",IF(OR(I138="",O138="",P138=""),0,I138*O138*P138)+IF(OR(R138="",W138=""),0,R138*IFERROR(INDEX(Reference!$B$61:$B$62,MATCH("Bullpen",Reference!$A$61:$A$62,0)),0)*W138)+IF(OR(X138="",AC138=""),0,X138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138))</f>
        <v/>
      </c>
    </row>
    <row r="139" spans="1:33" x14ac:dyDescent="0.3">
      <c r="A139" s="35"/>
      <c r="B139" s="31"/>
      <c r="C139" s="31"/>
      <c r="D139" s="31"/>
      <c r="E139" s="34"/>
      <c r="F139" s="34"/>
      <c r="G139" s="30" t="str">
        <f t="shared" si="18"/>
        <v/>
      </c>
      <c r="H139" s="31"/>
      <c r="I139" s="32" t="str">
        <f>IF(H139&lt;&gt;"",H139,IF(G139="","",ROUND(G139*IFERROR(INDEX(Reference!$B$44:$B$50,MATCH(C139,Reference!$A$44:$A$50,0)),0),0)))</f>
        <v/>
      </c>
      <c r="J139" s="31"/>
      <c r="K139" s="31"/>
      <c r="L139" s="32" t="str">
        <f t="shared" si="19"/>
        <v/>
      </c>
      <c r="M139" s="32" t="str">
        <f>IFERROR(INDEX(Roster!$D$5:$D$40,MATCH(B139,Roster!$A$5:$A$40,0)),"")</f>
        <v/>
      </c>
      <c r="N139" s="32" t="str">
        <f t="shared" si="20"/>
        <v/>
      </c>
      <c r="O139" s="32" t="str">
        <f>IF(OR(C139="Bullpen",C139="Game"),IFERROR(INDEX(Reference!$B$61:$B$62,MATCH(C139,Reference!$A$61:$A$62,0)),""),IF(D139="","",IF(AE139&gt;1,((IF(1&lt;=AE139,(AE139-1+3)*(INDEX(Reference!$B$6:$B$11,MIN(5,MATCH(MAX(Reference!$A$6,MIN(Reference!$A$11,MIN(D139,90))),Reference!$A$6:$A$11,1)))+(MAX(Reference!$A$6,MIN(Reference!$A$11,MIN(D139,90)))-INDEX(Reference!$A$6:$A$11,MIN(5,MATCH(MAX(Reference!$A$6,MIN(Reference!$A$11,MIN(D139,90))),Reference!$A$6:$A$11,1))))*(INDEX(Reference!$B$6:$B$11,MIN(5,MATCH(MAX(Reference!$A$6,MIN(Reference!$A$11,MIN(D139,90))),Reference!$A$6:$A$11,1))+1)-INDEX(Reference!$B$6:$B$11,MIN(5,MATCH(MAX(Reference!$A$6,MIN(Reference!$A$11,MIN(D139,90))),Reference!$A$6:$A$11,1))))/(INDEX(Reference!$A$6:$A$11,MIN(5,MATCH(MAX(Reference!$A$6,MIN(Reference!$A$11,MIN(D139,90))),Reference!$A$6:$A$11,1))+1)-INDEX(Reference!$A$6:$A$11,MIN(5,MATCH(MAX(Reference!$A$6,MIN(Reference!$A$11,MIN(D139,90))),Reference!$A$6:$A$11,1))))),0)+IF(2&lt;=AE139,(AE139-2+3)*(INDEX(Reference!$B$6:$B$11,MIN(5,MATCH(MAX(Reference!$A$6,MIN(Reference!$A$11,MIN(D139,120))),Reference!$A$6:$A$11,1)))+(MAX(Reference!$A$6,MIN(Reference!$A$11,MIN(D139,120)))-INDEX(Reference!$A$6:$A$11,MIN(5,MATCH(MAX(Reference!$A$6,MIN(Reference!$A$11,MIN(D139,120))),Reference!$A$6:$A$11,1))))*(INDEX(Reference!$B$6:$B$11,MIN(5,MATCH(MAX(Reference!$A$6,MIN(Reference!$A$11,MIN(D139,120))),Reference!$A$6:$A$11,1))+1)-INDEX(Reference!$B$6:$B$11,MIN(5,MATCH(MAX(Reference!$A$6,MIN(Reference!$A$11,MIN(D139,120))),Reference!$A$6:$A$11,1))))/(INDEX(Reference!$A$6:$A$11,MIN(5,MATCH(MAX(Reference!$A$6,MIN(Reference!$A$11,MIN(D139,120))),Reference!$A$6:$A$11,1))+1)-INDEX(Reference!$A$6:$A$11,MIN(5,MATCH(MAX(Reference!$A$6,MIN(Reference!$A$11,MIN(D139,120))),Reference!$A$6:$A$11,1))))),0)+IF(3&lt;=AE139,(AE139-3+3)*(INDEX(Reference!$B$6:$B$11,MIN(5,MATCH(MAX(Reference!$A$6,MIN(Reference!$A$11,MIN(D139,150))),Reference!$A$6:$A$11,1)))+(MAX(Reference!$A$6,MIN(Reference!$A$11,MIN(D139,150)))-INDEX(Reference!$A$6:$A$11,MIN(5,MATCH(MAX(Reference!$A$6,MIN(Reference!$A$11,MIN(D139,150))),Reference!$A$6:$A$11,1))))*(INDEX(Reference!$B$6:$B$11,MIN(5,MATCH(MAX(Reference!$A$6,MIN(Reference!$A$11,MIN(D139,150))),Reference!$A$6:$A$11,1))+1)-INDEX(Reference!$B$6:$B$11,MIN(5,MATCH(MAX(Reference!$A$6,MIN(Reference!$A$11,MIN(D139,150))),Reference!$A$6:$A$11,1))))/(INDEX(Reference!$A$6:$A$11,MIN(5,MATCH(MAX(Reference!$A$6,MIN(Reference!$A$11,MIN(D139,150))),Reference!$A$6:$A$11,1))+1)-INDEX(Reference!$A$6:$A$11,MIN(5,MATCH(MAX(Reference!$A$6,MIN(Reference!$A$11,MIN(D139,150))),Reference!$A$6:$A$11,1))))),0)+IF(4&lt;=AE139,(AE139-4+3)*(INDEX(Reference!$B$6:$B$11,MIN(5,MATCH(MAX(Reference!$A$6,MIN(Reference!$A$11,MIN(D139,180))),Reference!$A$6:$A$11,1)))+(MAX(Reference!$A$6,MIN(Reference!$A$11,MIN(D139,180)))-INDEX(Reference!$A$6:$A$11,MIN(5,MATCH(MAX(Reference!$A$6,MIN(Reference!$A$11,MIN(D139,180))),Reference!$A$6:$A$11,1))))*(INDEX(Reference!$B$6:$B$11,MIN(5,MATCH(MAX(Reference!$A$6,MIN(Reference!$A$11,MIN(D139,180))),Reference!$A$6:$A$11,1))+1)-INDEX(Reference!$B$6:$B$11,MIN(5,MATCH(MAX(Reference!$A$6,MIN(Reference!$A$11,MIN(D139,180))),Reference!$A$6:$A$11,1))))/(INDEX(Reference!$A$6:$A$11,MIN(5,MATCH(MAX(Reference!$A$6,MIN(Reference!$A$11,MIN(D139,180))),Reference!$A$6:$A$11,1))+1)-INDEX(Reference!$A$6:$A$11,MIN(5,MATCH(MAX(Reference!$A$6,MIN(Reference!$A$11,MIN(D139,180))),Reference!$A$6:$A$11,1))))),0)+IF(5&lt;=AE139,(AE139-5+3)*(INDEX(Reference!$B$6:$B$11,MIN(5,MATCH(MAX(Reference!$A$6,MIN(Reference!$A$11,MIN(D139,210))),Reference!$A$6:$A$11,1)))+(MAX(Reference!$A$6,MIN(Reference!$A$11,MIN(D139,210)))-INDEX(Reference!$A$6:$A$11,MIN(5,MATCH(MAX(Reference!$A$6,MIN(Reference!$A$11,MIN(D139,210))),Reference!$A$6:$A$11,1))))*(INDEX(Reference!$B$6:$B$11,MIN(5,MATCH(MAX(Reference!$A$6,MIN(Reference!$A$11,MIN(D139,210))),Reference!$A$6:$A$11,1))+1)-INDEX(Reference!$B$6:$B$11,MIN(5,MATCH(MAX(Reference!$A$6,MIN(Reference!$A$11,MIN(D139,210))),Reference!$A$6:$A$11,1))))/(INDEX(Reference!$A$6:$A$11,MIN(5,MATCH(MAX(Reference!$A$6,MIN(Reference!$A$11,MIN(D139,210))),Reference!$A$6:$A$11,1))+1)-INDEX(Reference!$A$6:$A$11,MIN(5,MATCH(MAX(Reference!$A$6,MIN(Reference!$A$11,MIN(D139,210))),Reference!$A$6:$A$11,1))))),0)+IF(6&lt;=AE139,(AE139-6+3)*(INDEX(Reference!$B$6:$B$11,MIN(5,MATCH(MAX(Reference!$A$6,MIN(Reference!$A$11,MIN(D139,240))),Reference!$A$6:$A$11,1)))+(MAX(Reference!$A$6,MIN(Reference!$A$11,MIN(D139,240)))-INDEX(Reference!$A$6:$A$11,MIN(5,MATCH(MAX(Reference!$A$6,MIN(Reference!$A$11,MIN(D139,240))),Reference!$A$6:$A$11,1))))*(INDEX(Reference!$B$6:$B$11,MIN(5,MATCH(MAX(Reference!$A$6,MIN(Reference!$A$11,MIN(D139,240))),Reference!$A$6:$A$11,1))+1)-INDEX(Reference!$B$6:$B$11,MIN(5,MATCH(MAX(Reference!$A$6,MIN(Reference!$A$11,MIN(D139,240))),Reference!$A$6:$A$11,1))))/(INDEX(Reference!$A$6:$A$11,MIN(5,MATCH(MAX(Reference!$A$6,MIN(Reference!$A$11,MIN(D139,240))),Reference!$A$6:$A$11,1))+1)-INDEX(Reference!$A$6:$A$11,MIN(5,MATCH(MAX(Reference!$A$6,MIN(Reference!$A$11,MIN(D139,240))),Reference!$A$6:$A$11,1))))),0)+IF(7&lt;=AE139,(AE139-7+3)*(INDEX(Reference!$B$6:$B$11,MIN(5,MATCH(MAX(Reference!$A$6,MIN(Reference!$A$11,MIN(D139,270))),Reference!$A$6:$A$11,1)))+(MAX(Reference!$A$6,MIN(Reference!$A$11,MIN(D139,270)))-INDEX(Reference!$A$6:$A$11,MIN(5,MATCH(MAX(Reference!$A$6,MIN(Reference!$A$11,MIN(D139,270))),Reference!$A$6:$A$11,1))))*(INDEX(Reference!$B$6:$B$11,MIN(5,MATCH(MAX(Reference!$A$6,MIN(Reference!$A$11,MIN(D139,270))),Reference!$A$6:$A$11,1))+1)-INDEX(Reference!$B$6:$B$11,MIN(5,MATCH(MAX(Reference!$A$6,MIN(Reference!$A$11,MIN(D139,270))),Reference!$A$6:$A$11,1))))/(INDEX(Reference!$A$6:$A$11,MIN(5,MATCH(MAX(Reference!$A$6,MIN(Reference!$A$11,MIN(D139,270))),Reference!$A$6:$A$11,1))+1)-INDEX(Reference!$A$6:$A$11,MIN(5,MATCH(MAX(Reference!$A$6,MIN(Reference!$A$11,MIN(D139,270))),Reference!$A$6:$A$11,1))))),0)+IF(8&lt;=AE139,(AE139-8+3)*(INDEX(Reference!$B$6:$B$11,MIN(5,MATCH(MAX(Reference!$A$6,MIN(Reference!$A$11,MIN(D139,300))),Reference!$A$6:$A$11,1)))+(MAX(Reference!$A$6,MIN(Reference!$A$11,MIN(D139,300)))-INDEX(Reference!$A$6:$A$11,MIN(5,MATCH(MAX(Reference!$A$6,MIN(Reference!$A$11,MIN(D139,300))),Reference!$A$6:$A$11,1))))*(INDEX(Reference!$B$6:$B$11,MIN(5,MATCH(MAX(Reference!$A$6,MIN(Reference!$A$11,MIN(D139,300))),Reference!$A$6:$A$11,1))+1)-INDEX(Reference!$B$6:$B$11,MIN(5,MATCH(MAX(Reference!$A$6,MIN(Reference!$A$11,MIN(D139,300))),Reference!$A$6:$A$11,1))))/(INDEX(Reference!$A$6:$A$11,MIN(5,MATCH(MAX(Reference!$A$6,MIN(Reference!$A$11,MIN(D139,300))),Reference!$A$6:$A$11,1))+1)-INDEX(Reference!$A$6:$A$11,MIN(5,MATCH(MAX(Reference!$A$6,MIN(Reference!$A$11,MIN(D139,300))),Reference!$A$6:$A$11,1))))),0))/(AE139*(AE139+5)/2)),(INDEX(Reference!$B$6:$B$11,MIN(5,MATCH(MAX(Reference!$A$6,MIN(Reference!$A$11,D139)),Reference!$A$6:$A$11,1)))+(MAX(Reference!$A$6,MIN(Reference!$A$11,D139))-INDEX(Reference!$A$6:$A$11,MIN(5,MATCH(MAX(Reference!$A$6,MIN(Reference!$A$11,D139)),Reference!$A$6:$A$11,1))))*(INDEX(Reference!$B$6:$B$11,MIN(5,MATCH(MAX(Reference!$A$6,MIN(Reference!$A$11,D139)),Reference!$A$6:$A$11,1))+1)-INDEX(Reference!$B$6:$B$11,MIN(5,MATCH(MAX(Reference!$A$6,MIN(Reference!$A$11,D139)),Reference!$A$6:$A$11,1))))/(INDEX(Reference!$A$6:$A$11,MIN(5,MATCH(MAX(Reference!$A$6,MIN(Reference!$A$11,D139)),Reference!$A$6:$A$11,1))+1)-INDEX(Reference!$A$6:$A$11,MIN(5,MATCH(MAX(Reference!$A$6,MIN(Reference!$A$11,D139)),Reference!$A$6:$A$11,1))))))))</f>
        <v/>
      </c>
      <c r="P139" s="32" t="str">
        <f>IF(N139="","",VLOOKUP(MAX(N139,0),Reference!$A$17:$B$20,2,TRUE()))</f>
        <v/>
      </c>
      <c r="Q139" s="32" t="str">
        <f t="shared" si="21"/>
        <v/>
      </c>
      <c r="R139" s="31"/>
      <c r="S139" s="31"/>
      <c r="T139" s="31"/>
      <c r="U139" s="32" t="str">
        <f t="shared" si="22"/>
        <v/>
      </c>
      <c r="V139" s="32" t="str">
        <f t="shared" si="23"/>
        <v/>
      </c>
      <c r="W139" s="32" t="str">
        <f>IF(V139="","",VLOOKUP(MAX(V139,0),Reference!$A$17:$B$20,2,TRUE()))</f>
        <v/>
      </c>
      <c r="X139" s="31"/>
      <c r="Y139" s="31"/>
      <c r="Z139" s="31"/>
      <c r="AA139" s="32" t="str">
        <f t="shared" si="24"/>
        <v/>
      </c>
      <c r="AB139" s="32" t="str">
        <f t="shared" si="25"/>
        <v/>
      </c>
      <c r="AC139" s="32" t="str">
        <f>IF(AB139="","",VLOOKUP(MAX(AB139,0),Reference!$A$17:$B$20,2,TRUE()))</f>
        <v/>
      </c>
      <c r="AD139" s="31"/>
      <c r="AE139">
        <f t="shared" si="26"/>
        <v>1</v>
      </c>
      <c r="AF139" s="33" t="str">
        <f>IF(OR(A139="",B139="",AND(C139&lt;&gt;"Bullpen",C139&lt;&gt;"Game")),"",IF((COUNTIFS($B$5:$B$300,B139,$A$5:$A$300,A139-1,$C$5:$C$300,"Bullpen",$AG$5:$AG$300,"&gt;0") + COUNTIFS($B$5:$B$300,B139,$A$5:$A$300,A139-1,$C$5:$C$300,"Game",$AG$5:$AG$300,"&gt;0"))&gt;0,Reference!$B$119,IF((COUNTIFS($B$5:$B$300,B139,$A$5:$A$300,A139-2,$C$5:$C$300,"Bullpen",$AG$5:$AG$300,"&gt;0") + COUNTIFS($B$5:$B$300,B139,$A$5:$A$300,A139-2,$C$5:$C$300,"Game",$AG$5:$AG$300,"&gt;0"))&gt;0,Reference!$B$120,1)))</f>
        <v/>
      </c>
      <c r="AG139" s="30" t="str">
        <f>IF(AND(OR(I139="",O139="",P139=""),OR(R139="",W139=""),OR(X139="",AC139="")),"",IF(OR(I139="",O139="",P139=""),0,I139*O139*P139)+IF(OR(R139="",W139=""),0,R139*IFERROR(INDEX(Reference!$B$61:$B$62,MATCH("Bullpen",Reference!$A$61:$A$62,0)),0)*W139)+IF(OR(X139="",AC139=""),0,X139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139))</f>
        <v/>
      </c>
    </row>
    <row r="140" spans="1:33" x14ac:dyDescent="0.3">
      <c r="A140" s="35"/>
      <c r="B140" s="31"/>
      <c r="C140" s="31"/>
      <c r="D140" s="31"/>
      <c r="E140" s="34"/>
      <c r="F140" s="34"/>
      <c r="G140" s="30" t="str">
        <f t="shared" si="18"/>
        <v/>
      </c>
      <c r="H140" s="31"/>
      <c r="I140" s="32" t="str">
        <f>IF(H140&lt;&gt;"",H140,IF(G140="","",ROUND(G140*IFERROR(INDEX(Reference!$B$44:$B$50,MATCH(C140,Reference!$A$44:$A$50,0)),0),0)))</f>
        <v/>
      </c>
      <c r="J140" s="31"/>
      <c r="K140" s="31"/>
      <c r="L140" s="32" t="str">
        <f t="shared" si="19"/>
        <v/>
      </c>
      <c r="M140" s="32" t="str">
        <f>IFERROR(INDEX(Roster!$D$5:$D$40,MATCH(B140,Roster!$A$5:$A$40,0)),"")</f>
        <v/>
      </c>
      <c r="N140" s="32" t="str">
        <f t="shared" si="20"/>
        <v/>
      </c>
      <c r="O140" s="32" t="str">
        <f>IF(OR(C140="Bullpen",C140="Game"),IFERROR(INDEX(Reference!$B$61:$B$62,MATCH(C140,Reference!$A$61:$A$62,0)),""),IF(D140="","",IF(AE140&gt;1,((IF(1&lt;=AE140,(AE140-1+3)*(INDEX(Reference!$B$6:$B$11,MIN(5,MATCH(MAX(Reference!$A$6,MIN(Reference!$A$11,MIN(D140,90))),Reference!$A$6:$A$11,1)))+(MAX(Reference!$A$6,MIN(Reference!$A$11,MIN(D140,90)))-INDEX(Reference!$A$6:$A$11,MIN(5,MATCH(MAX(Reference!$A$6,MIN(Reference!$A$11,MIN(D140,90))),Reference!$A$6:$A$11,1))))*(INDEX(Reference!$B$6:$B$11,MIN(5,MATCH(MAX(Reference!$A$6,MIN(Reference!$A$11,MIN(D140,90))),Reference!$A$6:$A$11,1))+1)-INDEX(Reference!$B$6:$B$11,MIN(5,MATCH(MAX(Reference!$A$6,MIN(Reference!$A$11,MIN(D140,90))),Reference!$A$6:$A$11,1))))/(INDEX(Reference!$A$6:$A$11,MIN(5,MATCH(MAX(Reference!$A$6,MIN(Reference!$A$11,MIN(D140,90))),Reference!$A$6:$A$11,1))+1)-INDEX(Reference!$A$6:$A$11,MIN(5,MATCH(MAX(Reference!$A$6,MIN(Reference!$A$11,MIN(D140,90))),Reference!$A$6:$A$11,1))))),0)+IF(2&lt;=AE140,(AE140-2+3)*(INDEX(Reference!$B$6:$B$11,MIN(5,MATCH(MAX(Reference!$A$6,MIN(Reference!$A$11,MIN(D140,120))),Reference!$A$6:$A$11,1)))+(MAX(Reference!$A$6,MIN(Reference!$A$11,MIN(D140,120)))-INDEX(Reference!$A$6:$A$11,MIN(5,MATCH(MAX(Reference!$A$6,MIN(Reference!$A$11,MIN(D140,120))),Reference!$A$6:$A$11,1))))*(INDEX(Reference!$B$6:$B$11,MIN(5,MATCH(MAX(Reference!$A$6,MIN(Reference!$A$11,MIN(D140,120))),Reference!$A$6:$A$11,1))+1)-INDEX(Reference!$B$6:$B$11,MIN(5,MATCH(MAX(Reference!$A$6,MIN(Reference!$A$11,MIN(D140,120))),Reference!$A$6:$A$11,1))))/(INDEX(Reference!$A$6:$A$11,MIN(5,MATCH(MAX(Reference!$A$6,MIN(Reference!$A$11,MIN(D140,120))),Reference!$A$6:$A$11,1))+1)-INDEX(Reference!$A$6:$A$11,MIN(5,MATCH(MAX(Reference!$A$6,MIN(Reference!$A$11,MIN(D140,120))),Reference!$A$6:$A$11,1))))),0)+IF(3&lt;=AE140,(AE140-3+3)*(INDEX(Reference!$B$6:$B$11,MIN(5,MATCH(MAX(Reference!$A$6,MIN(Reference!$A$11,MIN(D140,150))),Reference!$A$6:$A$11,1)))+(MAX(Reference!$A$6,MIN(Reference!$A$11,MIN(D140,150)))-INDEX(Reference!$A$6:$A$11,MIN(5,MATCH(MAX(Reference!$A$6,MIN(Reference!$A$11,MIN(D140,150))),Reference!$A$6:$A$11,1))))*(INDEX(Reference!$B$6:$B$11,MIN(5,MATCH(MAX(Reference!$A$6,MIN(Reference!$A$11,MIN(D140,150))),Reference!$A$6:$A$11,1))+1)-INDEX(Reference!$B$6:$B$11,MIN(5,MATCH(MAX(Reference!$A$6,MIN(Reference!$A$11,MIN(D140,150))),Reference!$A$6:$A$11,1))))/(INDEX(Reference!$A$6:$A$11,MIN(5,MATCH(MAX(Reference!$A$6,MIN(Reference!$A$11,MIN(D140,150))),Reference!$A$6:$A$11,1))+1)-INDEX(Reference!$A$6:$A$11,MIN(5,MATCH(MAX(Reference!$A$6,MIN(Reference!$A$11,MIN(D140,150))),Reference!$A$6:$A$11,1))))),0)+IF(4&lt;=AE140,(AE140-4+3)*(INDEX(Reference!$B$6:$B$11,MIN(5,MATCH(MAX(Reference!$A$6,MIN(Reference!$A$11,MIN(D140,180))),Reference!$A$6:$A$11,1)))+(MAX(Reference!$A$6,MIN(Reference!$A$11,MIN(D140,180)))-INDEX(Reference!$A$6:$A$11,MIN(5,MATCH(MAX(Reference!$A$6,MIN(Reference!$A$11,MIN(D140,180))),Reference!$A$6:$A$11,1))))*(INDEX(Reference!$B$6:$B$11,MIN(5,MATCH(MAX(Reference!$A$6,MIN(Reference!$A$11,MIN(D140,180))),Reference!$A$6:$A$11,1))+1)-INDEX(Reference!$B$6:$B$11,MIN(5,MATCH(MAX(Reference!$A$6,MIN(Reference!$A$11,MIN(D140,180))),Reference!$A$6:$A$11,1))))/(INDEX(Reference!$A$6:$A$11,MIN(5,MATCH(MAX(Reference!$A$6,MIN(Reference!$A$11,MIN(D140,180))),Reference!$A$6:$A$11,1))+1)-INDEX(Reference!$A$6:$A$11,MIN(5,MATCH(MAX(Reference!$A$6,MIN(Reference!$A$11,MIN(D140,180))),Reference!$A$6:$A$11,1))))),0)+IF(5&lt;=AE140,(AE140-5+3)*(INDEX(Reference!$B$6:$B$11,MIN(5,MATCH(MAX(Reference!$A$6,MIN(Reference!$A$11,MIN(D140,210))),Reference!$A$6:$A$11,1)))+(MAX(Reference!$A$6,MIN(Reference!$A$11,MIN(D140,210)))-INDEX(Reference!$A$6:$A$11,MIN(5,MATCH(MAX(Reference!$A$6,MIN(Reference!$A$11,MIN(D140,210))),Reference!$A$6:$A$11,1))))*(INDEX(Reference!$B$6:$B$11,MIN(5,MATCH(MAX(Reference!$A$6,MIN(Reference!$A$11,MIN(D140,210))),Reference!$A$6:$A$11,1))+1)-INDEX(Reference!$B$6:$B$11,MIN(5,MATCH(MAX(Reference!$A$6,MIN(Reference!$A$11,MIN(D140,210))),Reference!$A$6:$A$11,1))))/(INDEX(Reference!$A$6:$A$11,MIN(5,MATCH(MAX(Reference!$A$6,MIN(Reference!$A$11,MIN(D140,210))),Reference!$A$6:$A$11,1))+1)-INDEX(Reference!$A$6:$A$11,MIN(5,MATCH(MAX(Reference!$A$6,MIN(Reference!$A$11,MIN(D140,210))),Reference!$A$6:$A$11,1))))),0)+IF(6&lt;=AE140,(AE140-6+3)*(INDEX(Reference!$B$6:$B$11,MIN(5,MATCH(MAX(Reference!$A$6,MIN(Reference!$A$11,MIN(D140,240))),Reference!$A$6:$A$11,1)))+(MAX(Reference!$A$6,MIN(Reference!$A$11,MIN(D140,240)))-INDEX(Reference!$A$6:$A$11,MIN(5,MATCH(MAX(Reference!$A$6,MIN(Reference!$A$11,MIN(D140,240))),Reference!$A$6:$A$11,1))))*(INDEX(Reference!$B$6:$B$11,MIN(5,MATCH(MAX(Reference!$A$6,MIN(Reference!$A$11,MIN(D140,240))),Reference!$A$6:$A$11,1))+1)-INDEX(Reference!$B$6:$B$11,MIN(5,MATCH(MAX(Reference!$A$6,MIN(Reference!$A$11,MIN(D140,240))),Reference!$A$6:$A$11,1))))/(INDEX(Reference!$A$6:$A$11,MIN(5,MATCH(MAX(Reference!$A$6,MIN(Reference!$A$11,MIN(D140,240))),Reference!$A$6:$A$11,1))+1)-INDEX(Reference!$A$6:$A$11,MIN(5,MATCH(MAX(Reference!$A$6,MIN(Reference!$A$11,MIN(D140,240))),Reference!$A$6:$A$11,1))))),0)+IF(7&lt;=AE140,(AE140-7+3)*(INDEX(Reference!$B$6:$B$11,MIN(5,MATCH(MAX(Reference!$A$6,MIN(Reference!$A$11,MIN(D140,270))),Reference!$A$6:$A$11,1)))+(MAX(Reference!$A$6,MIN(Reference!$A$11,MIN(D140,270)))-INDEX(Reference!$A$6:$A$11,MIN(5,MATCH(MAX(Reference!$A$6,MIN(Reference!$A$11,MIN(D140,270))),Reference!$A$6:$A$11,1))))*(INDEX(Reference!$B$6:$B$11,MIN(5,MATCH(MAX(Reference!$A$6,MIN(Reference!$A$11,MIN(D140,270))),Reference!$A$6:$A$11,1))+1)-INDEX(Reference!$B$6:$B$11,MIN(5,MATCH(MAX(Reference!$A$6,MIN(Reference!$A$11,MIN(D140,270))),Reference!$A$6:$A$11,1))))/(INDEX(Reference!$A$6:$A$11,MIN(5,MATCH(MAX(Reference!$A$6,MIN(Reference!$A$11,MIN(D140,270))),Reference!$A$6:$A$11,1))+1)-INDEX(Reference!$A$6:$A$11,MIN(5,MATCH(MAX(Reference!$A$6,MIN(Reference!$A$11,MIN(D140,270))),Reference!$A$6:$A$11,1))))),0)+IF(8&lt;=AE140,(AE140-8+3)*(INDEX(Reference!$B$6:$B$11,MIN(5,MATCH(MAX(Reference!$A$6,MIN(Reference!$A$11,MIN(D140,300))),Reference!$A$6:$A$11,1)))+(MAX(Reference!$A$6,MIN(Reference!$A$11,MIN(D140,300)))-INDEX(Reference!$A$6:$A$11,MIN(5,MATCH(MAX(Reference!$A$6,MIN(Reference!$A$11,MIN(D140,300))),Reference!$A$6:$A$11,1))))*(INDEX(Reference!$B$6:$B$11,MIN(5,MATCH(MAX(Reference!$A$6,MIN(Reference!$A$11,MIN(D140,300))),Reference!$A$6:$A$11,1))+1)-INDEX(Reference!$B$6:$B$11,MIN(5,MATCH(MAX(Reference!$A$6,MIN(Reference!$A$11,MIN(D140,300))),Reference!$A$6:$A$11,1))))/(INDEX(Reference!$A$6:$A$11,MIN(5,MATCH(MAX(Reference!$A$6,MIN(Reference!$A$11,MIN(D140,300))),Reference!$A$6:$A$11,1))+1)-INDEX(Reference!$A$6:$A$11,MIN(5,MATCH(MAX(Reference!$A$6,MIN(Reference!$A$11,MIN(D140,300))),Reference!$A$6:$A$11,1))))),0))/(AE140*(AE140+5)/2)),(INDEX(Reference!$B$6:$B$11,MIN(5,MATCH(MAX(Reference!$A$6,MIN(Reference!$A$11,D140)),Reference!$A$6:$A$11,1)))+(MAX(Reference!$A$6,MIN(Reference!$A$11,D140))-INDEX(Reference!$A$6:$A$11,MIN(5,MATCH(MAX(Reference!$A$6,MIN(Reference!$A$11,D140)),Reference!$A$6:$A$11,1))))*(INDEX(Reference!$B$6:$B$11,MIN(5,MATCH(MAX(Reference!$A$6,MIN(Reference!$A$11,D140)),Reference!$A$6:$A$11,1))+1)-INDEX(Reference!$B$6:$B$11,MIN(5,MATCH(MAX(Reference!$A$6,MIN(Reference!$A$11,D140)),Reference!$A$6:$A$11,1))))/(INDEX(Reference!$A$6:$A$11,MIN(5,MATCH(MAX(Reference!$A$6,MIN(Reference!$A$11,D140)),Reference!$A$6:$A$11,1))+1)-INDEX(Reference!$A$6:$A$11,MIN(5,MATCH(MAX(Reference!$A$6,MIN(Reference!$A$11,D140)),Reference!$A$6:$A$11,1))))))))</f>
        <v/>
      </c>
      <c r="P140" s="32" t="str">
        <f>IF(N140="","",VLOOKUP(MAX(N140,0),Reference!$A$17:$B$20,2,TRUE()))</f>
        <v/>
      </c>
      <c r="Q140" s="32" t="str">
        <f t="shared" si="21"/>
        <v/>
      </c>
      <c r="R140" s="31"/>
      <c r="S140" s="31"/>
      <c r="T140" s="31"/>
      <c r="U140" s="32" t="str">
        <f t="shared" si="22"/>
        <v/>
      </c>
      <c r="V140" s="32" t="str">
        <f t="shared" si="23"/>
        <v/>
      </c>
      <c r="W140" s="32" t="str">
        <f>IF(V140="","",VLOOKUP(MAX(V140,0),Reference!$A$17:$B$20,2,TRUE()))</f>
        <v/>
      </c>
      <c r="X140" s="31"/>
      <c r="Y140" s="31"/>
      <c r="Z140" s="31"/>
      <c r="AA140" s="32" t="str">
        <f t="shared" si="24"/>
        <v/>
      </c>
      <c r="AB140" s="32" t="str">
        <f t="shared" si="25"/>
        <v/>
      </c>
      <c r="AC140" s="32" t="str">
        <f>IF(AB140="","",VLOOKUP(MAX(AB140,0),Reference!$A$17:$B$20,2,TRUE()))</f>
        <v/>
      </c>
      <c r="AD140" s="31"/>
      <c r="AE140">
        <f t="shared" si="26"/>
        <v>1</v>
      </c>
      <c r="AF140" s="33" t="str">
        <f>IF(OR(A140="",B140="",AND(C140&lt;&gt;"Bullpen",C140&lt;&gt;"Game")),"",IF((COUNTIFS($B$5:$B$300,B140,$A$5:$A$300,A140-1,$C$5:$C$300,"Bullpen",$AG$5:$AG$300,"&gt;0") + COUNTIFS($B$5:$B$300,B140,$A$5:$A$300,A140-1,$C$5:$C$300,"Game",$AG$5:$AG$300,"&gt;0"))&gt;0,Reference!$B$119,IF((COUNTIFS($B$5:$B$300,B140,$A$5:$A$300,A140-2,$C$5:$C$300,"Bullpen",$AG$5:$AG$300,"&gt;0") + COUNTIFS($B$5:$B$300,B140,$A$5:$A$300,A140-2,$C$5:$C$300,"Game",$AG$5:$AG$300,"&gt;0"))&gt;0,Reference!$B$120,1)))</f>
        <v/>
      </c>
      <c r="AG140" s="30" t="str">
        <f>IF(AND(OR(I140="",O140="",P140=""),OR(R140="",W140=""),OR(X140="",AC140="")),"",IF(OR(I140="",O140="",P140=""),0,I140*O140*P140)+IF(OR(R140="",W140=""),0,R140*IFERROR(INDEX(Reference!$B$61:$B$62,MATCH("Bullpen",Reference!$A$61:$A$62,0)),0)*W140)+IF(OR(X140="",AC140=""),0,X140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140))</f>
        <v/>
      </c>
    </row>
    <row r="141" spans="1:33" x14ac:dyDescent="0.3">
      <c r="A141" s="35"/>
      <c r="B141" s="31"/>
      <c r="C141" s="31"/>
      <c r="D141" s="31"/>
      <c r="E141" s="34"/>
      <c r="F141" s="34"/>
      <c r="G141" s="30" t="str">
        <f t="shared" si="18"/>
        <v/>
      </c>
      <c r="H141" s="31"/>
      <c r="I141" s="32" t="str">
        <f>IF(H141&lt;&gt;"",H141,IF(G141="","",ROUND(G141*IFERROR(INDEX(Reference!$B$44:$B$50,MATCH(C141,Reference!$A$44:$A$50,0)),0),0)))</f>
        <v/>
      </c>
      <c r="J141" s="31"/>
      <c r="K141" s="31"/>
      <c r="L141" s="32" t="str">
        <f t="shared" si="19"/>
        <v/>
      </c>
      <c r="M141" s="32" t="str">
        <f>IFERROR(INDEX(Roster!$D$5:$D$40,MATCH(B141,Roster!$A$5:$A$40,0)),"")</f>
        <v/>
      </c>
      <c r="N141" s="32" t="str">
        <f t="shared" si="20"/>
        <v/>
      </c>
      <c r="O141" s="32" t="str">
        <f>IF(OR(C141="Bullpen",C141="Game"),IFERROR(INDEX(Reference!$B$61:$B$62,MATCH(C141,Reference!$A$61:$A$62,0)),""),IF(D141="","",IF(AE141&gt;1,((IF(1&lt;=AE141,(AE141-1+3)*(INDEX(Reference!$B$6:$B$11,MIN(5,MATCH(MAX(Reference!$A$6,MIN(Reference!$A$11,MIN(D141,90))),Reference!$A$6:$A$11,1)))+(MAX(Reference!$A$6,MIN(Reference!$A$11,MIN(D141,90)))-INDEX(Reference!$A$6:$A$11,MIN(5,MATCH(MAX(Reference!$A$6,MIN(Reference!$A$11,MIN(D141,90))),Reference!$A$6:$A$11,1))))*(INDEX(Reference!$B$6:$B$11,MIN(5,MATCH(MAX(Reference!$A$6,MIN(Reference!$A$11,MIN(D141,90))),Reference!$A$6:$A$11,1))+1)-INDEX(Reference!$B$6:$B$11,MIN(5,MATCH(MAX(Reference!$A$6,MIN(Reference!$A$11,MIN(D141,90))),Reference!$A$6:$A$11,1))))/(INDEX(Reference!$A$6:$A$11,MIN(5,MATCH(MAX(Reference!$A$6,MIN(Reference!$A$11,MIN(D141,90))),Reference!$A$6:$A$11,1))+1)-INDEX(Reference!$A$6:$A$11,MIN(5,MATCH(MAX(Reference!$A$6,MIN(Reference!$A$11,MIN(D141,90))),Reference!$A$6:$A$11,1))))),0)+IF(2&lt;=AE141,(AE141-2+3)*(INDEX(Reference!$B$6:$B$11,MIN(5,MATCH(MAX(Reference!$A$6,MIN(Reference!$A$11,MIN(D141,120))),Reference!$A$6:$A$11,1)))+(MAX(Reference!$A$6,MIN(Reference!$A$11,MIN(D141,120)))-INDEX(Reference!$A$6:$A$11,MIN(5,MATCH(MAX(Reference!$A$6,MIN(Reference!$A$11,MIN(D141,120))),Reference!$A$6:$A$11,1))))*(INDEX(Reference!$B$6:$B$11,MIN(5,MATCH(MAX(Reference!$A$6,MIN(Reference!$A$11,MIN(D141,120))),Reference!$A$6:$A$11,1))+1)-INDEX(Reference!$B$6:$B$11,MIN(5,MATCH(MAX(Reference!$A$6,MIN(Reference!$A$11,MIN(D141,120))),Reference!$A$6:$A$11,1))))/(INDEX(Reference!$A$6:$A$11,MIN(5,MATCH(MAX(Reference!$A$6,MIN(Reference!$A$11,MIN(D141,120))),Reference!$A$6:$A$11,1))+1)-INDEX(Reference!$A$6:$A$11,MIN(5,MATCH(MAX(Reference!$A$6,MIN(Reference!$A$11,MIN(D141,120))),Reference!$A$6:$A$11,1))))),0)+IF(3&lt;=AE141,(AE141-3+3)*(INDEX(Reference!$B$6:$B$11,MIN(5,MATCH(MAX(Reference!$A$6,MIN(Reference!$A$11,MIN(D141,150))),Reference!$A$6:$A$11,1)))+(MAX(Reference!$A$6,MIN(Reference!$A$11,MIN(D141,150)))-INDEX(Reference!$A$6:$A$11,MIN(5,MATCH(MAX(Reference!$A$6,MIN(Reference!$A$11,MIN(D141,150))),Reference!$A$6:$A$11,1))))*(INDEX(Reference!$B$6:$B$11,MIN(5,MATCH(MAX(Reference!$A$6,MIN(Reference!$A$11,MIN(D141,150))),Reference!$A$6:$A$11,1))+1)-INDEX(Reference!$B$6:$B$11,MIN(5,MATCH(MAX(Reference!$A$6,MIN(Reference!$A$11,MIN(D141,150))),Reference!$A$6:$A$11,1))))/(INDEX(Reference!$A$6:$A$11,MIN(5,MATCH(MAX(Reference!$A$6,MIN(Reference!$A$11,MIN(D141,150))),Reference!$A$6:$A$11,1))+1)-INDEX(Reference!$A$6:$A$11,MIN(5,MATCH(MAX(Reference!$A$6,MIN(Reference!$A$11,MIN(D141,150))),Reference!$A$6:$A$11,1))))),0)+IF(4&lt;=AE141,(AE141-4+3)*(INDEX(Reference!$B$6:$B$11,MIN(5,MATCH(MAX(Reference!$A$6,MIN(Reference!$A$11,MIN(D141,180))),Reference!$A$6:$A$11,1)))+(MAX(Reference!$A$6,MIN(Reference!$A$11,MIN(D141,180)))-INDEX(Reference!$A$6:$A$11,MIN(5,MATCH(MAX(Reference!$A$6,MIN(Reference!$A$11,MIN(D141,180))),Reference!$A$6:$A$11,1))))*(INDEX(Reference!$B$6:$B$11,MIN(5,MATCH(MAX(Reference!$A$6,MIN(Reference!$A$11,MIN(D141,180))),Reference!$A$6:$A$11,1))+1)-INDEX(Reference!$B$6:$B$11,MIN(5,MATCH(MAX(Reference!$A$6,MIN(Reference!$A$11,MIN(D141,180))),Reference!$A$6:$A$11,1))))/(INDEX(Reference!$A$6:$A$11,MIN(5,MATCH(MAX(Reference!$A$6,MIN(Reference!$A$11,MIN(D141,180))),Reference!$A$6:$A$11,1))+1)-INDEX(Reference!$A$6:$A$11,MIN(5,MATCH(MAX(Reference!$A$6,MIN(Reference!$A$11,MIN(D141,180))),Reference!$A$6:$A$11,1))))),0)+IF(5&lt;=AE141,(AE141-5+3)*(INDEX(Reference!$B$6:$B$11,MIN(5,MATCH(MAX(Reference!$A$6,MIN(Reference!$A$11,MIN(D141,210))),Reference!$A$6:$A$11,1)))+(MAX(Reference!$A$6,MIN(Reference!$A$11,MIN(D141,210)))-INDEX(Reference!$A$6:$A$11,MIN(5,MATCH(MAX(Reference!$A$6,MIN(Reference!$A$11,MIN(D141,210))),Reference!$A$6:$A$11,1))))*(INDEX(Reference!$B$6:$B$11,MIN(5,MATCH(MAX(Reference!$A$6,MIN(Reference!$A$11,MIN(D141,210))),Reference!$A$6:$A$11,1))+1)-INDEX(Reference!$B$6:$B$11,MIN(5,MATCH(MAX(Reference!$A$6,MIN(Reference!$A$11,MIN(D141,210))),Reference!$A$6:$A$11,1))))/(INDEX(Reference!$A$6:$A$11,MIN(5,MATCH(MAX(Reference!$A$6,MIN(Reference!$A$11,MIN(D141,210))),Reference!$A$6:$A$11,1))+1)-INDEX(Reference!$A$6:$A$11,MIN(5,MATCH(MAX(Reference!$A$6,MIN(Reference!$A$11,MIN(D141,210))),Reference!$A$6:$A$11,1))))),0)+IF(6&lt;=AE141,(AE141-6+3)*(INDEX(Reference!$B$6:$B$11,MIN(5,MATCH(MAX(Reference!$A$6,MIN(Reference!$A$11,MIN(D141,240))),Reference!$A$6:$A$11,1)))+(MAX(Reference!$A$6,MIN(Reference!$A$11,MIN(D141,240)))-INDEX(Reference!$A$6:$A$11,MIN(5,MATCH(MAX(Reference!$A$6,MIN(Reference!$A$11,MIN(D141,240))),Reference!$A$6:$A$11,1))))*(INDEX(Reference!$B$6:$B$11,MIN(5,MATCH(MAX(Reference!$A$6,MIN(Reference!$A$11,MIN(D141,240))),Reference!$A$6:$A$11,1))+1)-INDEX(Reference!$B$6:$B$11,MIN(5,MATCH(MAX(Reference!$A$6,MIN(Reference!$A$11,MIN(D141,240))),Reference!$A$6:$A$11,1))))/(INDEX(Reference!$A$6:$A$11,MIN(5,MATCH(MAX(Reference!$A$6,MIN(Reference!$A$11,MIN(D141,240))),Reference!$A$6:$A$11,1))+1)-INDEX(Reference!$A$6:$A$11,MIN(5,MATCH(MAX(Reference!$A$6,MIN(Reference!$A$11,MIN(D141,240))),Reference!$A$6:$A$11,1))))),0)+IF(7&lt;=AE141,(AE141-7+3)*(INDEX(Reference!$B$6:$B$11,MIN(5,MATCH(MAX(Reference!$A$6,MIN(Reference!$A$11,MIN(D141,270))),Reference!$A$6:$A$11,1)))+(MAX(Reference!$A$6,MIN(Reference!$A$11,MIN(D141,270)))-INDEX(Reference!$A$6:$A$11,MIN(5,MATCH(MAX(Reference!$A$6,MIN(Reference!$A$11,MIN(D141,270))),Reference!$A$6:$A$11,1))))*(INDEX(Reference!$B$6:$B$11,MIN(5,MATCH(MAX(Reference!$A$6,MIN(Reference!$A$11,MIN(D141,270))),Reference!$A$6:$A$11,1))+1)-INDEX(Reference!$B$6:$B$11,MIN(5,MATCH(MAX(Reference!$A$6,MIN(Reference!$A$11,MIN(D141,270))),Reference!$A$6:$A$11,1))))/(INDEX(Reference!$A$6:$A$11,MIN(5,MATCH(MAX(Reference!$A$6,MIN(Reference!$A$11,MIN(D141,270))),Reference!$A$6:$A$11,1))+1)-INDEX(Reference!$A$6:$A$11,MIN(5,MATCH(MAX(Reference!$A$6,MIN(Reference!$A$11,MIN(D141,270))),Reference!$A$6:$A$11,1))))),0)+IF(8&lt;=AE141,(AE141-8+3)*(INDEX(Reference!$B$6:$B$11,MIN(5,MATCH(MAX(Reference!$A$6,MIN(Reference!$A$11,MIN(D141,300))),Reference!$A$6:$A$11,1)))+(MAX(Reference!$A$6,MIN(Reference!$A$11,MIN(D141,300)))-INDEX(Reference!$A$6:$A$11,MIN(5,MATCH(MAX(Reference!$A$6,MIN(Reference!$A$11,MIN(D141,300))),Reference!$A$6:$A$11,1))))*(INDEX(Reference!$B$6:$B$11,MIN(5,MATCH(MAX(Reference!$A$6,MIN(Reference!$A$11,MIN(D141,300))),Reference!$A$6:$A$11,1))+1)-INDEX(Reference!$B$6:$B$11,MIN(5,MATCH(MAX(Reference!$A$6,MIN(Reference!$A$11,MIN(D141,300))),Reference!$A$6:$A$11,1))))/(INDEX(Reference!$A$6:$A$11,MIN(5,MATCH(MAX(Reference!$A$6,MIN(Reference!$A$11,MIN(D141,300))),Reference!$A$6:$A$11,1))+1)-INDEX(Reference!$A$6:$A$11,MIN(5,MATCH(MAX(Reference!$A$6,MIN(Reference!$A$11,MIN(D141,300))),Reference!$A$6:$A$11,1))))),0))/(AE141*(AE141+5)/2)),(INDEX(Reference!$B$6:$B$11,MIN(5,MATCH(MAX(Reference!$A$6,MIN(Reference!$A$11,D141)),Reference!$A$6:$A$11,1)))+(MAX(Reference!$A$6,MIN(Reference!$A$11,D141))-INDEX(Reference!$A$6:$A$11,MIN(5,MATCH(MAX(Reference!$A$6,MIN(Reference!$A$11,D141)),Reference!$A$6:$A$11,1))))*(INDEX(Reference!$B$6:$B$11,MIN(5,MATCH(MAX(Reference!$A$6,MIN(Reference!$A$11,D141)),Reference!$A$6:$A$11,1))+1)-INDEX(Reference!$B$6:$B$11,MIN(5,MATCH(MAX(Reference!$A$6,MIN(Reference!$A$11,D141)),Reference!$A$6:$A$11,1))))/(INDEX(Reference!$A$6:$A$11,MIN(5,MATCH(MAX(Reference!$A$6,MIN(Reference!$A$11,D141)),Reference!$A$6:$A$11,1))+1)-INDEX(Reference!$A$6:$A$11,MIN(5,MATCH(MAX(Reference!$A$6,MIN(Reference!$A$11,D141)),Reference!$A$6:$A$11,1))))))))</f>
        <v/>
      </c>
      <c r="P141" s="32" t="str">
        <f>IF(N141="","",VLOOKUP(MAX(N141,0),Reference!$A$17:$B$20,2,TRUE()))</f>
        <v/>
      </c>
      <c r="Q141" s="32" t="str">
        <f t="shared" si="21"/>
        <v/>
      </c>
      <c r="R141" s="31"/>
      <c r="S141" s="31"/>
      <c r="T141" s="31"/>
      <c r="U141" s="32" t="str">
        <f t="shared" si="22"/>
        <v/>
      </c>
      <c r="V141" s="32" t="str">
        <f t="shared" si="23"/>
        <v/>
      </c>
      <c r="W141" s="32" t="str">
        <f>IF(V141="","",VLOOKUP(MAX(V141,0),Reference!$A$17:$B$20,2,TRUE()))</f>
        <v/>
      </c>
      <c r="X141" s="31"/>
      <c r="Y141" s="31"/>
      <c r="Z141" s="31"/>
      <c r="AA141" s="32" t="str">
        <f t="shared" si="24"/>
        <v/>
      </c>
      <c r="AB141" s="32" t="str">
        <f t="shared" si="25"/>
        <v/>
      </c>
      <c r="AC141" s="32" t="str">
        <f>IF(AB141="","",VLOOKUP(MAX(AB141,0),Reference!$A$17:$B$20,2,TRUE()))</f>
        <v/>
      </c>
      <c r="AD141" s="31"/>
      <c r="AE141">
        <f t="shared" si="26"/>
        <v>1</v>
      </c>
      <c r="AF141" s="33" t="str">
        <f>IF(OR(A141="",B141="",AND(C141&lt;&gt;"Bullpen",C141&lt;&gt;"Game")),"",IF((COUNTIFS($B$5:$B$300,B141,$A$5:$A$300,A141-1,$C$5:$C$300,"Bullpen",$AG$5:$AG$300,"&gt;0") + COUNTIFS($B$5:$B$300,B141,$A$5:$A$300,A141-1,$C$5:$C$300,"Game",$AG$5:$AG$300,"&gt;0"))&gt;0,Reference!$B$119,IF((COUNTIFS($B$5:$B$300,B141,$A$5:$A$300,A141-2,$C$5:$C$300,"Bullpen",$AG$5:$AG$300,"&gt;0") + COUNTIFS($B$5:$B$300,B141,$A$5:$A$300,A141-2,$C$5:$C$300,"Game",$AG$5:$AG$300,"&gt;0"))&gt;0,Reference!$B$120,1)))</f>
        <v/>
      </c>
      <c r="AG141" s="30" t="str">
        <f>IF(AND(OR(I141="",O141="",P141=""),OR(R141="",W141=""),OR(X141="",AC141="")),"",IF(OR(I141="",O141="",P141=""),0,I141*O141*P141)+IF(OR(R141="",W141=""),0,R141*IFERROR(INDEX(Reference!$B$61:$B$62,MATCH("Bullpen",Reference!$A$61:$A$62,0)),0)*W141)+IF(OR(X141="",AC141=""),0,X141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141))</f>
        <v/>
      </c>
    </row>
    <row r="142" spans="1:33" x14ac:dyDescent="0.3">
      <c r="A142" s="35"/>
      <c r="B142" s="31"/>
      <c r="C142" s="31"/>
      <c r="D142" s="31"/>
      <c r="E142" s="34"/>
      <c r="F142" s="34"/>
      <c r="G142" s="30" t="str">
        <f t="shared" si="18"/>
        <v/>
      </c>
      <c r="H142" s="31"/>
      <c r="I142" s="32" t="str">
        <f>IF(H142&lt;&gt;"",H142,IF(G142="","",ROUND(G142*IFERROR(INDEX(Reference!$B$44:$B$50,MATCH(C142,Reference!$A$44:$A$50,0)),0),0)))</f>
        <v/>
      </c>
      <c r="J142" s="31"/>
      <c r="K142" s="31"/>
      <c r="L142" s="32" t="str">
        <f t="shared" si="19"/>
        <v/>
      </c>
      <c r="M142" s="32" t="str">
        <f>IFERROR(INDEX(Roster!$D$5:$D$40,MATCH(B142,Roster!$A$5:$A$40,0)),"")</f>
        <v/>
      </c>
      <c r="N142" s="32" t="str">
        <f t="shared" si="20"/>
        <v/>
      </c>
      <c r="O142" s="32" t="str">
        <f>IF(OR(C142="Bullpen",C142="Game"),IFERROR(INDEX(Reference!$B$61:$B$62,MATCH(C142,Reference!$A$61:$A$62,0)),""),IF(D142="","",IF(AE142&gt;1,((IF(1&lt;=AE142,(AE142-1+3)*(INDEX(Reference!$B$6:$B$11,MIN(5,MATCH(MAX(Reference!$A$6,MIN(Reference!$A$11,MIN(D142,90))),Reference!$A$6:$A$11,1)))+(MAX(Reference!$A$6,MIN(Reference!$A$11,MIN(D142,90)))-INDEX(Reference!$A$6:$A$11,MIN(5,MATCH(MAX(Reference!$A$6,MIN(Reference!$A$11,MIN(D142,90))),Reference!$A$6:$A$11,1))))*(INDEX(Reference!$B$6:$B$11,MIN(5,MATCH(MAX(Reference!$A$6,MIN(Reference!$A$11,MIN(D142,90))),Reference!$A$6:$A$11,1))+1)-INDEX(Reference!$B$6:$B$11,MIN(5,MATCH(MAX(Reference!$A$6,MIN(Reference!$A$11,MIN(D142,90))),Reference!$A$6:$A$11,1))))/(INDEX(Reference!$A$6:$A$11,MIN(5,MATCH(MAX(Reference!$A$6,MIN(Reference!$A$11,MIN(D142,90))),Reference!$A$6:$A$11,1))+1)-INDEX(Reference!$A$6:$A$11,MIN(5,MATCH(MAX(Reference!$A$6,MIN(Reference!$A$11,MIN(D142,90))),Reference!$A$6:$A$11,1))))),0)+IF(2&lt;=AE142,(AE142-2+3)*(INDEX(Reference!$B$6:$B$11,MIN(5,MATCH(MAX(Reference!$A$6,MIN(Reference!$A$11,MIN(D142,120))),Reference!$A$6:$A$11,1)))+(MAX(Reference!$A$6,MIN(Reference!$A$11,MIN(D142,120)))-INDEX(Reference!$A$6:$A$11,MIN(5,MATCH(MAX(Reference!$A$6,MIN(Reference!$A$11,MIN(D142,120))),Reference!$A$6:$A$11,1))))*(INDEX(Reference!$B$6:$B$11,MIN(5,MATCH(MAX(Reference!$A$6,MIN(Reference!$A$11,MIN(D142,120))),Reference!$A$6:$A$11,1))+1)-INDEX(Reference!$B$6:$B$11,MIN(5,MATCH(MAX(Reference!$A$6,MIN(Reference!$A$11,MIN(D142,120))),Reference!$A$6:$A$11,1))))/(INDEX(Reference!$A$6:$A$11,MIN(5,MATCH(MAX(Reference!$A$6,MIN(Reference!$A$11,MIN(D142,120))),Reference!$A$6:$A$11,1))+1)-INDEX(Reference!$A$6:$A$11,MIN(5,MATCH(MAX(Reference!$A$6,MIN(Reference!$A$11,MIN(D142,120))),Reference!$A$6:$A$11,1))))),0)+IF(3&lt;=AE142,(AE142-3+3)*(INDEX(Reference!$B$6:$B$11,MIN(5,MATCH(MAX(Reference!$A$6,MIN(Reference!$A$11,MIN(D142,150))),Reference!$A$6:$A$11,1)))+(MAX(Reference!$A$6,MIN(Reference!$A$11,MIN(D142,150)))-INDEX(Reference!$A$6:$A$11,MIN(5,MATCH(MAX(Reference!$A$6,MIN(Reference!$A$11,MIN(D142,150))),Reference!$A$6:$A$11,1))))*(INDEX(Reference!$B$6:$B$11,MIN(5,MATCH(MAX(Reference!$A$6,MIN(Reference!$A$11,MIN(D142,150))),Reference!$A$6:$A$11,1))+1)-INDEX(Reference!$B$6:$B$11,MIN(5,MATCH(MAX(Reference!$A$6,MIN(Reference!$A$11,MIN(D142,150))),Reference!$A$6:$A$11,1))))/(INDEX(Reference!$A$6:$A$11,MIN(5,MATCH(MAX(Reference!$A$6,MIN(Reference!$A$11,MIN(D142,150))),Reference!$A$6:$A$11,1))+1)-INDEX(Reference!$A$6:$A$11,MIN(5,MATCH(MAX(Reference!$A$6,MIN(Reference!$A$11,MIN(D142,150))),Reference!$A$6:$A$11,1))))),0)+IF(4&lt;=AE142,(AE142-4+3)*(INDEX(Reference!$B$6:$B$11,MIN(5,MATCH(MAX(Reference!$A$6,MIN(Reference!$A$11,MIN(D142,180))),Reference!$A$6:$A$11,1)))+(MAX(Reference!$A$6,MIN(Reference!$A$11,MIN(D142,180)))-INDEX(Reference!$A$6:$A$11,MIN(5,MATCH(MAX(Reference!$A$6,MIN(Reference!$A$11,MIN(D142,180))),Reference!$A$6:$A$11,1))))*(INDEX(Reference!$B$6:$B$11,MIN(5,MATCH(MAX(Reference!$A$6,MIN(Reference!$A$11,MIN(D142,180))),Reference!$A$6:$A$11,1))+1)-INDEX(Reference!$B$6:$B$11,MIN(5,MATCH(MAX(Reference!$A$6,MIN(Reference!$A$11,MIN(D142,180))),Reference!$A$6:$A$11,1))))/(INDEX(Reference!$A$6:$A$11,MIN(5,MATCH(MAX(Reference!$A$6,MIN(Reference!$A$11,MIN(D142,180))),Reference!$A$6:$A$11,1))+1)-INDEX(Reference!$A$6:$A$11,MIN(5,MATCH(MAX(Reference!$A$6,MIN(Reference!$A$11,MIN(D142,180))),Reference!$A$6:$A$11,1))))),0)+IF(5&lt;=AE142,(AE142-5+3)*(INDEX(Reference!$B$6:$B$11,MIN(5,MATCH(MAX(Reference!$A$6,MIN(Reference!$A$11,MIN(D142,210))),Reference!$A$6:$A$11,1)))+(MAX(Reference!$A$6,MIN(Reference!$A$11,MIN(D142,210)))-INDEX(Reference!$A$6:$A$11,MIN(5,MATCH(MAX(Reference!$A$6,MIN(Reference!$A$11,MIN(D142,210))),Reference!$A$6:$A$11,1))))*(INDEX(Reference!$B$6:$B$11,MIN(5,MATCH(MAX(Reference!$A$6,MIN(Reference!$A$11,MIN(D142,210))),Reference!$A$6:$A$11,1))+1)-INDEX(Reference!$B$6:$B$11,MIN(5,MATCH(MAX(Reference!$A$6,MIN(Reference!$A$11,MIN(D142,210))),Reference!$A$6:$A$11,1))))/(INDEX(Reference!$A$6:$A$11,MIN(5,MATCH(MAX(Reference!$A$6,MIN(Reference!$A$11,MIN(D142,210))),Reference!$A$6:$A$11,1))+1)-INDEX(Reference!$A$6:$A$11,MIN(5,MATCH(MAX(Reference!$A$6,MIN(Reference!$A$11,MIN(D142,210))),Reference!$A$6:$A$11,1))))),0)+IF(6&lt;=AE142,(AE142-6+3)*(INDEX(Reference!$B$6:$B$11,MIN(5,MATCH(MAX(Reference!$A$6,MIN(Reference!$A$11,MIN(D142,240))),Reference!$A$6:$A$11,1)))+(MAX(Reference!$A$6,MIN(Reference!$A$11,MIN(D142,240)))-INDEX(Reference!$A$6:$A$11,MIN(5,MATCH(MAX(Reference!$A$6,MIN(Reference!$A$11,MIN(D142,240))),Reference!$A$6:$A$11,1))))*(INDEX(Reference!$B$6:$B$11,MIN(5,MATCH(MAX(Reference!$A$6,MIN(Reference!$A$11,MIN(D142,240))),Reference!$A$6:$A$11,1))+1)-INDEX(Reference!$B$6:$B$11,MIN(5,MATCH(MAX(Reference!$A$6,MIN(Reference!$A$11,MIN(D142,240))),Reference!$A$6:$A$11,1))))/(INDEX(Reference!$A$6:$A$11,MIN(5,MATCH(MAX(Reference!$A$6,MIN(Reference!$A$11,MIN(D142,240))),Reference!$A$6:$A$11,1))+1)-INDEX(Reference!$A$6:$A$11,MIN(5,MATCH(MAX(Reference!$A$6,MIN(Reference!$A$11,MIN(D142,240))),Reference!$A$6:$A$11,1))))),0)+IF(7&lt;=AE142,(AE142-7+3)*(INDEX(Reference!$B$6:$B$11,MIN(5,MATCH(MAX(Reference!$A$6,MIN(Reference!$A$11,MIN(D142,270))),Reference!$A$6:$A$11,1)))+(MAX(Reference!$A$6,MIN(Reference!$A$11,MIN(D142,270)))-INDEX(Reference!$A$6:$A$11,MIN(5,MATCH(MAX(Reference!$A$6,MIN(Reference!$A$11,MIN(D142,270))),Reference!$A$6:$A$11,1))))*(INDEX(Reference!$B$6:$B$11,MIN(5,MATCH(MAX(Reference!$A$6,MIN(Reference!$A$11,MIN(D142,270))),Reference!$A$6:$A$11,1))+1)-INDEX(Reference!$B$6:$B$11,MIN(5,MATCH(MAX(Reference!$A$6,MIN(Reference!$A$11,MIN(D142,270))),Reference!$A$6:$A$11,1))))/(INDEX(Reference!$A$6:$A$11,MIN(5,MATCH(MAX(Reference!$A$6,MIN(Reference!$A$11,MIN(D142,270))),Reference!$A$6:$A$11,1))+1)-INDEX(Reference!$A$6:$A$11,MIN(5,MATCH(MAX(Reference!$A$6,MIN(Reference!$A$11,MIN(D142,270))),Reference!$A$6:$A$11,1))))),0)+IF(8&lt;=AE142,(AE142-8+3)*(INDEX(Reference!$B$6:$B$11,MIN(5,MATCH(MAX(Reference!$A$6,MIN(Reference!$A$11,MIN(D142,300))),Reference!$A$6:$A$11,1)))+(MAX(Reference!$A$6,MIN(Reference!$A$11,MIN(D142,300)))-INDEX(Reference!$A$6:$A$11,MIN(5,MATCH(MAX(Reference!$A$6,MIN(Reference!$A$11,MIN(D142,300))),Reference!$A$6:$A$11,1))))*(INDEX(Reference!$B$6:$B$11,MIN(5,MATCH(MAX(Reference!$A$6,MIN(Reference!$A$11,MIN(D142,300))),Reference!$A$6:$A$11,1))+1)-INDEX(Reference!$B$6:$B$11,MIN(5,MATCH(MAX(Reference!$A$6,MIN(Reference!$A$11,MIN(D142,300))),Reference!$A$6:$A$11,1))))/(INDEX(Reference!$A$6:$A$11,MIN(5,MATCH(MAX(Reference!$A$6,MIN(Reference!$A$11,MIN(D142,300))),Reference!$A$6:$A$11,1))+1)-INDEX(Reference!$A$6:$A$11,MIN(5,MATCH(MAX(Reference!$A$6,MIN(Reference!$A$11,MIN(D142,300))),Reference!$A$6:$A$11,1))))),0))/(AE142*(AE142+5)/2)),(INDEX(Reference!$B$6:$B$11,MIN(5,MATCH(MAX(Reference!$A$6,MIN(Reference!$A$11,D142)),Reference!$A$6:$A$11,1)))+(MAX(Reference!$A$6,MIN(Reference!$A$11,D142))-INDEX(Reference!$A$6:$A$11,MIN(5,MATCH(MAX(Reference!$A$6,MIN(Reference!$A$11,D142)),Reference!$A$6:$A$11,1))))*(INDEX(Reference!$B$6:$B$11,MIN(5,MATCH(MAX(Reference!$A$6,MIN(Reference!$A$11,D142)),Reference!$A$6:$A$11,1))+1)-INDEX(Reference!$B$6:$B$11,MIN(5,MATCH(MAX(Reference!$A$6,MIN(Reference!$A$11,D142)),Reference!$A$6:$A$11,1))))/(INDEX(Reference!$A$6:$A$11,MIN(5,MATCH(MAX(Reference!$A$6,MIN(Reference!$A$11,D142)),Reference!$A$6:$A$11,1))+1)-INDEX(Reference!$A$6:$A$11,MIN(5,MATCH(MAX(Reference!$A$6,MIN(Reference!$A$11,D142)),Reference!$A$6:$A$11,1))))))))</f>
        <v/>
      </c>
      <c r="P142" s="32" t="str">
        <f>IF(N142="","",VLOOKUP(MAX(N142,0),Reference!$A$17:$B$20,2,TRUE()))</f>
        <v/>
      </c>
      <c r="Q142" s="32" t="str">
        <f t="shared" si="21"/>
        <v/>
      </c>
      <c r="R142" s="31"/>
      <c r="S142" s="31"/>
      <c r="T142" s="31"/>
      <c r="U142" s="32" t="str">
        <f t="shared" si="22"/>
        <v/>
      </c>
      <c r="V142" s="32" t="str">
        <f t="shared" si="23"/>
        <v/>
      </c>
      <c r="W142" s="32" t="str">
        <f>IF(V142="","",VLOOKUP(MAX(V142,0),Reference!$A$17:$B$20,2,TRUE()))</f>
        <v/>
      </c>
      <c r="X142" s="31"/>
      <c r="Y142" s="31"/>
      <c r="Z142" s="31"/>
      <c r="AA142" s="32" t="str">
        <f t="shared" si="24"/>
        <v/>
      </c>
      <c r="AB142" s="32" t="str">
        <f t="shared" si="25"/>
        <v/>
      </c>
      <c r="AC142" s="32" t="str">
        <f>IF(AB142="","",VLOOKUP(MAX(AB142,0),Reference!$A$17:$B$20,2,TRUE()))</f>
        <v/>
      </c>
      <c r="AD142" s="31"/>
      <c r="AE142">
        <f t="shared" si="26"/>
        <v>1</v>
      </c>
      <c r="AF142" s="33" t="str">
        <f>IF(OR(A142="",B142="",AND(C142&lt;&gt;"Bullpen",C142&lt;&gt;"Game")),"",IF((COUNTIFS($B$5:$B$300,B142,$A$5:$A$300,A142-1,$C$5:$C$300,"Bullpen",$AG$5:$AG$300,"&gt;0") + COUNTIFS($B$5:$B$300,B142,$A$5:$A$300,A142-1,$C$5:$C$300,"Game",$AG$5:$AG$300,"&gt;0"))&gt;0,Reference!$B$119,IF((COUNTIFS($B$5:$B$300,B142,$A$5:$A$300,A142-2,$C$5:$C$300,"Bullpen",$AG$5:$AG$300,"&gt;0") + COUNTIFS($B$5:$B$300,B142,$A$5:$A$300,A142-2,$C$5:$C$300,"Game",$AG$5:$AG$300,"&gt;0"))&gt;0,Reference!$B$120,1)))</f>
        <v/>
      </c>
      <c r="AG142" s="30" t="str">
        <f>IF(AND(OR(I142="",O142="",P142=""),OR(R142="",W142=""),OR(X142="",AC142="")),"",IF(OR(I142="",O142="",P142=""),0,I142*O142*P142)+IF(OR(R142="",W142=""),0,R142*IFERROR(INDEX(Reference!$B$61:$B$62,MATCH("Bullpen",Reference!$A$61:$A$62,0)),0)*W142)+IF(OR(X142="",AC142=""),0,X142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142))</f>
        <v/>
      </c>
    </row>
    <row r="143" spans="1:33" x14ac:dyDescent="0.3">
      <c r="A143" s="35"/>
      <c r="B143" s="31"/>
      <c r="C143" s="31"/>
      <c r="D143" s="31"/>
      <c r="E143" s="34"/>
      <c r="F143" s="34"/>
      <c r="G143" s="30" t="str">
        <f t="shared" si="18"/>
        <v/>
      </c>
      <c r="H143" s="31"/>
      <c r="I143" s="32" t="str">
        <f>IF(H143&lt;&gt;"",H143,IF(G143="","",ROUND(G143*IFERROR(INDEX(Reference!$B$44:$B$50,MATCH(C143,Reference!$A$44:$A$50,0)),0),0)))</f>
        <v/>
      </c>
      <c r="J143" s="31"/>
      <c r="K143" s="31"/>
      <c r="L143" s="32" t="str">
        <f t="shared" si="19"/>
        <v/>
      </c>
      <c r="M143" s="32" t="str">
        <f>IFERROR(INDEX(Roster!$D$5:$D$40,MATCH(B143,Roster!$A$5:$A$40,0)),"")</f>
        <v/>
      </c>
      <c r="N143" s="32" t="str">
        <f t="shared" si="20"/>
        <v/>
      </c>
      <c r="O143" s="32" t="str">
        <f>IF(OR(C143="Bullpen",C143="Game"),IFERROR(INDEX(Reference!$B$61:$B$62,MATCH(C143,Reference!$A$61:$A$62,0)),""),IF(D143="","",IF(AE143&gt;1,((IF(1&lt;=AE143,(AE143-1+3)*(INDEX(Reference!$B$6:$B$11,MIN(5,MATCH(MAX(Reference!$A$6,MIN(Reference!$A$11,MIN(D143,90))),Reference!$A$6:$A$11,1)))+(MAX(Reference!$A$6,MIN(Reference!$A$11,MIN(D143,90)))-INDEX(Reference!$A$6:$A$11,MIN(5,MATCH(MAX(Reference!$A$6,MIN(Reference!$A$11,MIN(D143,90))),Reference!$A$6:$A$11,1))))*(INDEX(Reference!$B$6:$B$11,MIN(5,MATCH(MAX(Reference!$A$6,MIN(Reference!$A$11,MIN(D143,90))),Reference!$A$6:$A$11,1))+1)-INDEX(Reference!$B$6:$B$11,MIN(5,MATCH(MAX(Reference!$A$6,MIN(Reference!$A$11,MIN(D143,90))),Reference!$A$6:$A$11,1))))/(INDEX(Reference!$A$6:$A$11,MIN(5,MATCH(MAX(Reference!$A$6,MIN(Reference!$A$11,MIN(D143,90))),Reference!$A$6:$A$11,1))+1)-INDEX(Reference!$A$6:$A$11,MIN(5,MATCH(MAX(Reference!$A$6,MIN(Reference!$A$11,MIN(D143,90))),Reference!$A$6:$A$11,1))))),0)+IF(2&lt;=AE143,(AE143-2+3)*(INDEX(Reference!$B$6:$B$11,MIN(5,MATCH(MAX(Reference!$A$6,MIN(Reference!$A$11,MIN(D143,120))),Reference!$A$6:$A$11,1)))+(MAX(Reference!$A$6,MIN(Reference!$A$11,MIN(D143,120)))-INDEX(Reference!$A$6:$A$11,MIN(5,MATCH(MAX(Reference!$A$6,MIN(Reference!$A$11,MIN(D143,120))),Reference!$A$6:$A$11,1))))*(INDEX(Reference!$B$6:$B$11,MIN(5,MATCH(MAX(Reference!$A$6,MIN(Reference!$A$11,MIN(D143,120))),Reference!$A$6:$A$11,1))+1)-INDEX(Reference!$B$6:$B$11,MIN(5,MATCH(MAX(Reference!$A$6,MIN(Reference!$A$11,MIN(D143,120))),Reference!$A$6:$A$11,1))))/(INDEX(Reference!$A$6:$A$11,MIN(5,MATCH(MAX(Reference!$A$6,MIN(Reference!$A$11,MIN(D143,120))),Reference!$A$6:$A$11,1))+1)-INDEX(Reference!$A$6:$A$11,MIN(5,MATCH(MAX(Reference!$A$6,MIN(Reference!$A$11,MIN(D143,120))),Reference!$A$6:$A$11,1))))),0)+IF(3&lt;=AE143,(AE143-3+3)*(INDEX(Reference!$B$6:$B$11,MIN(5,MATCH(MAX(Reference!$A$6,MIN(Reference!$A$11,MIN(D143,150))),Reference!$A$6:$A$11,1)))+(MAX(Reference!$A$6,MIN(Reference!$A$11,MIN(D143,150)))-INDEX(Reference!$A$6:$A$11,MIN(5,MATCH(MAX(Reference!$A$6,MIN(Reference!$A$11,MIN(D143,150))),Reference!$A$6:$A$11,1))))*(INDEX(Reference!$B$6:$B$11,MIN(5,MATCH(MAX(Reference!$A$6,MIN(Reference!$A$11,MIN(D143,150))),Reference!$A$6:$A$11,1))+1)-INDEX(Reference!$B$6:$B$11,MIN(5,MATCH(MAX(Reference!$A$6,MIN(Reference!$A$11,MIN(D143,150))),Reference!$A$6:$A$11,1))))/(INDEX(Reference!$A$6:$A$11,MIN(5,MATCH(MAX(Reference!$A$6,MIN(Reference!$A$11,MIN(D143,150))),Reference!$A$6:$A$11,1))+1)-INDEX(Reference!$A$6:$A$11,MIN(5,MATCH(MAX(Reference!$A$6,MIN(Reference!$A$11,MIN(D143,150))),Reference!$A$6:$A$11,1))))),0)+IF(4&lt;=AE143,(AE143-4+3)*(INDEX(Reference!$B$6:$B$11,MIN(5,MATCH(MAX(Reference!$A$6,MIN(Reference!$A$11,MIN(D143,180))),Reference!$A$6:$A$11,1)))+(MAX(Reference!$A$6,MIN(Reference!$A$11,MIN(D143,180)))-INDEX(Reference!$A$6:$A$11,MIN(5,MATCH(MAX(Reference!$A$6,MIN(Reference!$A$11,MIN(D143,180))),Reference!$A$6:$A$11,1))))*(INDEX(Reference!$B$6:$B$11,MIN(5,MATCH(MAX(Reference!$A$6,MIN(Reference!$A$11,MIN(D143,180))),Reference!$A$6:$A$11,1))+1)-INDEX(Reference!$B$6:$B$11,MIN(5,MATCH(MAX(Reference!$A$6,MIN(Reference!$A$11,MIN(D143,180))),Reference!$A$6:$A$11,1))))/(INDEX(Reference!$A$6:$A$11,MIN(5,MATCH(MAX(Reference!$A$6,MIN(Reference!$A$11,MIN(D143,180))),Reference!$A$6:$A$11,1))+1)-INDEX(Reference!$A$6:$A$11,MIN(5,MATCH(MAX(Reference!$A$6,MIN(Reference!$A$11,MIN(D143,180))),Reference!$A$6:$A$11,1))))),0)+IF(5&lt;=AE143,(AE143-5+3)*(INDEX(Reference!$B$6:$B$11,MIN(5,MATCH(MAX(Reference!$A$6,MIN(Reference!$A$11,MIN(D143,210))),Reference!$A$6:$A$11,1)))+(MAX(Reference!$A$6,MIN(Reference!$A$11,MIN(D143,210)))-INDEX(Reference!$A$6:$A$11,MIN(5,MATCH(MAX(Reference!$A$6,MIN(Reference!$A$11,MIN(D143,210))),Reference!$A$6:$A$11,1))))*(INDEX(Reference!$B$6:$B$11,MIN(5,MATCH(MAX(Reference!$A$6,MIN(Reference!$A$11,MIN(D143,210))),Reference!$A$6:$A$11,1))+1)-INDEX(Reference!$B$6:$B$11,MIN(5,MATCH(MAX(Reference!$A$6,MIN(Reference!$A$11,MIN(D143,210))),Reference!$A$6:$A$11,1))))/(INDEX(Reference!$A$6:$A$11,MIN(5,MATCH(MAX(Reference!$A$6,MIN(Reference!$A$11,MIN(D143,210))),Reference!$A$6:$A$11,1))+1)-INDEX(Reference!$A$6:$A$11,MIN(5,MATCH(MAX(Reference!$A$6,MIN(Reference!$A$11,MIN(D143,210))),Reference!$A$6:$A$11,1))))),0)+IF(6&lt;=AE143,(AE143-6+3)*(INDEX(Reference!$B$6:$B$11,MIN(5,MATCH(MAX(Reference!$A$6,MIN(Reference!$A$11,MIN(D143,240))),Reference!$A$6:$A$11,1)))+(MAX(Reference!$A$6,MIN(Reference!$A$11,MIN(D143,240)))-INDEX(Reference!$A$6:$A$11,MIN(5,MATCH(MAX(Reference!$A$6,MIN(Reference!$A$11,MIN(D143,240))),Reference!$A$6:$A$11,1))))*(INDEX(Reference!$B$6:$B$11,MIN(5,MATCH(MAX(Reference!$A$6,MIN(Reference!$A$11,MIN(D143,240))),Reference!$A$6:$A$11,1))+1)-INDEX(Reference!$B$6:$B$11,MIN(5,MATCH(MAX(Reference!$A$6,MIN(Reference!$A$11,MIN(D143,240))),Reference!$A$6:$A$11,1))))/(INDEX(Reference!$A$6:$A$11,MIN(5,MATCH(MAX(Reference!$A$6,MIN(Reference!$A$11,MIN(D143,240))),Reference!$A$6:$A$11,1))+1)-INDEX(Reference!$A$6:$A$11,MIN(5,MATCH(MAX(Reference!$A$6,MIN(Reference!$A$11,MIN(D143,240))),Reference!$A$6:$A$11,1))))),0)+IF(7&lt;=AE143,(AE143-7+3)*(INDEX(Reference!$B$6:$B$11,MIN(5,MATCH(MAX(Reference!$A$6,MIN(Reference!$A$11,MIN(D143,270))),Reference!$A$6:$A$11,1)))+(MAX(Reference!$A$6,MIN(Reference!$A$11,MIN(D143,270)))-INDEX(Reference!$A$6:$A$11,MIN(5,MATCH(MAX(Reference!$A$6,MIN(Reference!$A$11,MIN(D143,270))),Reference!$A$6:$A$11,1))))*(INDEX(Reference!$B$6:$B$11,MIN(5,MATCH(MAX(Reference!$A$6,MIN(Reference!$A$11,MIN(D143,270))),Reference!$A$6:$A$11,1))+1)-INDEX(Reference!$B$6:$B$11,MIN(5,MATCH(MAX(Reference!$A$6,MIN(Reference!$A$11,MIN(D143,270))),Reference!$A$6:$A$11,1))))/(INDEX(Reference!$A$6:$A$11,MIN(5,MATCH(MAX(Reference!$A$6,MIN(Reference!$A$11,MIN(D143,270))),Reference!$A$6:$A$11,1))+1)-INDEX(Reference!$A$6:$A$11,MIN(5,MATCH(MAX(Reference!$A$6,MIN(Reference!$A$11,MIN(D143,270))),Reference!$A$6:$A$11,1))))),0)+IF(8&lt;=AE143,(AE143-8+3)*(INDEX(Reference!$B$6:$B$11,MIN(5,MATCH(MAX(Reference!$A$6,MIN(Reference!$A$11,MIN(D143,300))),Reference!$A$6:$A$11,1)))+(MAX(Reference!$A$6,MIN(Reference!$A$11,MIN(D143,300)))-INDEX(Reference!$A$6:$A$11,MIN(5,MATCH(MAX(Reference!$A$6,MIN(Reference!$A$11,MIN(D143,300))),Reference!$A$6:$A$11,1))))*(INDEX(Reference!$B$6:$B$11,MIN(5,MATCH(MAX(Reference!$A$6,MIN(Reference!$A$11,MIN(D143,300))),Reference!$A$6:$A$11,1))+1)-INDEX(Reference!$B$6:$B$11,MIN(5,MATCH(MAX(Reference!$A$6,MIN(Reference!$A$11,MIN(D143,300))),Reference!$A$6:$A$11,1))))/(INDEX(Reference!$A$6:$A$11,MIN(5,MATCH(MAX(Reference!$A$6,MIN(Reference!$A$11,MIN(D143,300))),Reference!$A$6:$A$11,1))+1)-INDEX(Reference!$A$6:$A$11,MIN(5,MATCH(MAX(Reference!$A$6,MIN(Reference!$A$11,MIN(D143,300))),Reference!$A$6:$A$11,1))))),0))/(AE143*(AE143+5)/2)),(INDEX(Reference!$B$6:$B$11,MIN(5,MATCH(MAX(Reference!$A$6,MIN(Reference!$A$11,D143)),Reference!$A$6:$A$11,1)))+(MAX(Reference!$A$6,MIN(Reference!$A$11,D143))-INDEX(Reference!$A$6:$A$11,MIN(5,MATCH(MAX(Reference!$A$6,MIN(Reference!$A$11,D143)),Reference!$A$6:$A$11,1))))*(INDEX(Reference!$B$6:$B$11,MIN(5,MATCH(MAX(Reference!$A$6,MIN(Reference!$A$11,D143)),Reference!$A$6:$A$11,1))+1)-INDEX(Reference!$B$6:$B$11,MIN(5,MATCH(MAX(Reference!$A$6,MIN(Reference!$A$11,D143)),Reference!$A$6:$A$11,1))))/(INDEX(Reference!$A$6:$A$11,MIN(5,MATCH(MAX(Reference!$A$6,MIN(Reference!$A$11,D143)),Reference!$A$6:$A$11,1))+1)-INDEX(Reference!$A$6:$A$11,MIN(5,MATCH(MAX(Reference!$A$6,MIN(Reference!$A$11,D143)),Reference!$A$6:$A$11,1))))))))</f>
        <v/>
      </c>
      <c r="P143" s="32" t="str">
        <f>IF(N143="","",VLOOKUP(MAX(N143,0),Reference!$A$17:$B$20,2,TRUE()))</f>
        <v/>
      </c>
      <c r="Q143" s="32" t="str">
        <f t="shared" si="21"/>
        <v/>
      </c>
      <c r="R143" s="31"/>
      <c r="S143" s="31"/>
      <c r="T143" s="31"/>
      <c r="U143" s="32" t="str">
        <f t="shared" si="22"/>
        <v/>
      </c>
      <c r="V143" s="32" t="str">
        <f t="shared" si="23"/>
        <v/>
      </c>
      <c r="W143" s="32" t="str">
        <f>IF(V143="","",VLOOKUP(MAX(V143,0),Reference!$A$17:$B$20,2,TRUE()))</f>
        <v/>
      </c>
      <c r="X143" s="31"/>
      <c r="Y143" s="31"/>
      <c r="Z143" s="31"/>
      <c r="AA143" s="32" t="str">
        <f t="shared" si="24"/>
        <v/>
      </c>
      <c r="AB143" s="32" t="str">
        <f t="shared" si="25"/>
        <v/>
      </c>
      <c r="AC143" s="32" t="str">
        <f>IF(AB143="","",VLOOKUP(MAX(AB143,0),Reference!$A$17:$B$20,2,TRUE()))</f>
        <v/>
      </c>
      <c r="AD143" s="31"/>
      <c r="AE143">
        <f t="shared" si="26"/>
        <v>1</v>
      </c>
      <c r="AF143" s="33" t="str">
        <f>IF(OR(A143="",B143="",AND(C143&lt;&gt;"Bullpen",C143&lt;&gt;"Game")),"",IF((COUNTIFS($B$5:$B$300,B143,$A$5:$A$300,A143-1,$C$5:$C$300,"Bullpen",$AG$5:$AG$300,"&gt;0") + COUNTIFS($B$5:$B$300,B143,$A$5:$A$300,A143-1,$C$5:$C$300,"Game",$AG$5:$AG$300,"&gt;0"))&gt;0,Reference!$B$119,IF((COUNTIFS($B$5:$B$300,B143,$A$5:$A$300,A143-2,$C$5:$C$300,"Bullpen",$AG$5:$AG$300,"&gt;0") + COUNTIFS($B$5:$B$300,B143,$A$5:$A$300,A143-2,$C$5:$C$300,"Game",$AG$5:$AG$300,"&gt;0"))&gt;0,Reference!$B$120,1)))</f>
        <v/>
      </c>
      <c r="AG143" s="30" t="str">
        <f>IF(AND(OR(I143="",O143="",P143=""),OR(R143="",W143=""),OR(X143="",AC143="")),"",IF(OR(I143="",O143="",P143=""),0,I143*O143*P143)+IF(OR(R143="",W143=""),0,R143*IFERROR(INDEX(Reference!$B$61:$B$62,MATCH("Bullpen",Reference!$A$61:$A$62,0)),0)*W143)+IF(OR(X143="",AC143=""),0,X143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143))</f>
        <v/>
      </c>
    </row>
    <row r="144" spans="1:33" x14ac:dyDescent="0.3">
      <c r="A144" s="35"/>
      <c r="B144" s="31"/>
      <c r="C144" s="31"/>
      <c r="D144" s="31"/>
      <c r="E144" s="34"/>
      <c r="F144" s="34"/>
      <c r="G144" s="30" t="str">
        <f t="shared" si="18"/>
        <v/>
      </c>
      <c r="H144" s="31"/>
      <c r="I144" s="32" t="str">
        <f>IF(H144&lt;&gt;"",H144,IF(G144="","",ROUND(G144*IFERROR(INDEX(Reference!$B$44:$B$50,MATCH(C144,Reference!$A$44:$A$50,0)),0),0)))</f>
        <v/>
      </c>
      <c r="J144" s="31"/>
      <c r="K144" s="31"/>
      <c r="L144" s="32" t="str">
        <f t="shared" si="19"/>
        <v/>
      </c>
      <c r="M144" s="32" t="str">
        <f>IFERROR(INDEX(Roster!$D$5:$D$40,MATCH(B144,Roster!$A$5:$A$40,0)),"")</f>
        <v/>
      </c>
      <c r="N144" s="32" t="str">
        <f t="shared" si="20"/>
        <v/>
      </c>
      <c r="O144" s="32" t="str">
        <f>IF(OR(C144="Bullpen",C144="Game"),IFERROR(INDEX(Reference!$B$61:$B$62,MATCH(C144,Reference!$A$61:$A$62,0)),""),IF(D144="","",IF(AE144&gt;1,((IF(1&lt;=AE144,(AE144-1+3)*(INDEX(Reference!$B$6:$B$11,MIN(5,MATCH(MAX(Reference!$A$6,MIN(Reference!$A$11,MIN(D144,90))),Reference!$A$6:$A$11,1)))+(MAX(Reference!$A$6,MIN(Reference!$A$11,MIN(D144,90)))-INDEX(Reference!$A$6:$A$11,MIN(5,MATCH(MAX(Reference!$A$6,MIN(Reference!$A$11,MIN(D144,90))),Reference!$A$6:$A$11,1))))*(INDEX(Reference!$B$6:$B$11,MIN(5,MATCH(MAX(Reference!$A$6,MIN(Reference!$A$11,MIN(D144,90))),Reference!$A$6:$A$11,1))+1)-INDEX(Reference!$B$6:$B$11,MIN(5,MATCH(MAX(Reference!$A$6,MIN(Reference!$A$11,MIN(D144,90))),Reference!$A$6:$A$11,1))))/(INDEX(Reference!$A$6:$A$11,MIN(5,MATCH(MAX(Reference!$A$6,MIN(Reference!$A$11,MIN(D144,90))),Reference!$A$6:$A$11,1))+1)-INDEX(Reference!$A$6:$A$11,MIN(5,MATCH(MAX(Reference!$A$6,MIN(Reference!$A$11,MIN(D144,90))),Reference!$A$6:$A$11,1))))),0)+IF(2&lt;=AE144,(AE144-2+3)*(INDEX(Reference!$B$6:$B$11,MIN(5,MATCH(MAX(Reference!$A$6,MIN(Reference!$A$11,MIN(D144,120))),Reference!$A$6:$A$11,1)))+(MAX(Reference!$A$6,MIN(Reference!$A$11,MIN(D144,120)))-INDEX(Reference!$A$6:$A$11,MIN(5,MATCH(MAX(Reference!$A$6,MIN(Reference!$A$11,MIN(D144,120))),Reference!$A$6:$A$11,1))))*(INDEX(Reference!$B$6:$B$11,MIN(5,MATCH(MAX(Reference!$A$6,MIN(Reference!$A$11,MIN(D144,120))),Reference!$A$6:$A$11,1))+1)-INDEX(Reference!$B$6:$B$11,MIN(5,MATCH(MAX(Reference!$A$6,MIN(Reference!$A$11,MIN(D144,120))),Reference!$A$6:$A$11,1))))/(INDEX(Reference!$A$6:$A$11,MIN(5,MATCH(MAX(Reference!$A$6,MIN(Reference!$A$11,MIN(D144,120))),Reference!$A$6:$A$11,1))+1)-INDEX(Reference!$A$6:$A$11,MIN(5,MATCH(MAX(Reference!$A$6,MIN(Reference!$A$11,MIN(D144,120))),Reference!$A$6:$A$11,1))))),0)+IF(3&lt;=AE144,(AE144-3+3)*(INDEX(Reference!$B$6:$B$11,MIN(5,MATCH(MAX(Reference!$A$6,MIN(Reference!$A$11,MIN(D144,150))),Reference!$A$6:$A$11,1)))+(MAX(Reference!$A$6,MIN(Reference!$A$11,MIN(D144,150)))-INDEX(Reference!$A$6:$A$11,MIN(5,MATCH(MAX(Reference!$A$6,MIN(Reference!$A$11,MIN(D144,150))),Reference!$A$6:$A$11,1))))*(INDEX(Reference!$B$6:$B$11,MIN(5,MATCH(MAX(Reference!$A$6,MIN(Reference!$A$11,MIN(D144,150))),Reference!$A$6:$A$11,1))+1)-INDEX(Reference!$B$6:$B$11,MIN(5,MATCH(MAX(Reference!$A$6,MIN(Reference!$A$11,MIN(D144,150))),Reference!$A$6:$A$11,1))))/(INDEX(Reference!$A$6:$A$11,MIN(5,MATCH(MAX(Reference!$A$6,MIN(Reference!$A$11,MIN(D144,150))),Reference!$A$6:$A$11,1))+1)-INDEX(Reference!$A$6:$A$11,MIN(5,MATCH(MAX(Reference!$A$6,MIN(Reference!$A$11,MIN(D144,150))),Reference!$A$6:$A$11,1))))),0)+IF(4&lt;=AE144,(AE144-4+3)*(INDEX(Reference!$B$6:$B$11,MIN(5,MATCH(MAX(Reference!$A$6,MIN(Reference!$A$11,MIN(D144,180))),Reference!$A$6:$A$11,1)))+(MAX(Reference!$A$6,MIN(Reference!$A$11,MIN(D144,180)))-INDEX(Reference!$A$6:$A$11,MIN(5,MATCH(MAX(Reference!$A$6,MIN(Reference!$A$11,MIN(D144,180))),Reference!$A$6:$A$11,1))))*(INDEX(Reference!$B$6:$B$11,MIN(5,MATCH(MAX(Reference!$A$6,MIN(Reference!$A$11,MIN(D144,180))),Reference!$A$6:$A$11,1))+1)-INDEX(Reference!$B$6:$B$11,MIN(5,MATCH(MAX(Reference!$A$6,MIN(Reference!$A$11,MIN(D144,180))),Reference!$A$6:$A$11,1))))/(INDEX(Reference!$A$6:$A$11,MIN(5,MATCH(MAX(Reference!$A$6,MIN(Reference!$A$11,MIN(D144,180))),Reference!$A$6:$A$11,1))+1)-INDEX(Reference!$A$6:$A$11,MIN(5,MATCH(MAX(Reference!$A$6,MIN(Reference!$A$11,MIN(D144,180))),Reference!$A$6:$A$11,1))))),0)+IF(5&lt;=AE144,(AE144-5+3)*(INDEX(Reference!$B$6:$B$11,MIN(5,MATCH(MAX(Reference!$A$6,MIN(Reference!$A$11,MIN(D144,210))),Reference!$A$6:$A$11,1)))+(MAX(Reference!$A$6,MIN(Reference!$A$11,MIN(D144,210)))-INDEX(Reference!$A$6:$A$11,MIN(5,MATCH(MAX(Reference!$A$6,MIN(Reference!$A$11,MIN(D144,210))),Reference!$A$6:$A$11,1))))*(INDEX(Reference!$B$6:$B$11,MIN(5,MATCH(MAX(Reference!$A$6,MIN(Reference!$A$11,MIN(D144,210))),Reference!$A$6:$A$11,1))+1)-INDEX(Reference!$B$6:$B$11,MIN(5,MATCH(MAX(Reference!$A$6,MIN(Reference!$A$11,MIN(D144,210))),Reference!$A$6:$A$11,1))))/(INDEX(Reference!$A$6:$A$11,MIN(5,MATCH(MAX(Reference!$A$6,MIN(Reference!$A$11,MIN(D144,210))),Reference!$A$6:$A$11,1))+1)-INDEX(Reference!$A$6:$A$11,MIN(5,MATCH(MAX(Reference!$A$6,MIN(Reference!$A$11,MIN(D144,210))),Reference!$A$6:$A$11,1))))),0)+IF(6&lt;=AE144,(AE144-6+3)*(INDEX(Reference!$B$6:$B$11,MIN(5,MATCH(MAX(Reference!$A$6,MIN(Reference!$A$11,MIN(D144,240))),Reference!$A$6:$A$11,1)))+(MAX(Reference!$A$6,MIN(Reference!$A$11,MIN(D144,240)))-INDEX(Reference!$A$6:$A$11,MIN(5,MATCH(MAX(Reference!$A$6,MIN(Reference!$A$11,MIN(D144,240))),Reference!$A$6:$A$11,1))))*(INDEX(Reference!$B$6:$B$11,MIN(5,MATCH(MAX(Reference!$A$6,MIN(Reference!$A$11,MIN(D144,240))),Reference!$A$6:$A$11,1))+1)-INDEX(Reference!$B$6:$B$11,MIN(5,MATCH(MAX(Reference!$A$6,MIN(Reference!$A$11,MIN(D144,240))),Reference!$A$6:$A$11,1))))/(INDEX(Reference!$A$6:$A$11,MIN(5,MATCH(MAX(Reference!$A$6,MIN(Reference!$A$11,MIN(D144,240))),Reference!$A$6:$A$11,1))+1)-INDEX(Reference!$A$6:$A$11,MIN(5,MATCH(MAX(Reference!$A$6,MIN(Reference!$A$11,MIN(D144,240))),Reference!$A$6:$A$11,1))))),0)+IF(7&lt;=AE144,(AE144-7+3)*(INDEX(Reference!$B$6:$B$11,MIN(5,MATCH(MAX(Reference!$A$6,MIN(Reference!$A$11,MIN(D144,270))),Reference!$A$6:$A$11,1)))+(MAX(Reference!$A$6,MIN(Reference!$A$11,MIN(D144,270)))-INDEX(Reference!$A$6:$A$11,MIN(5,MATCH(MAX(Reference!$A$6,MIN(Reference!$A$11,MIN(D144,270))),Reference!$A$6:$A$11,1))))*(INDEX(Reference!$B$6:$B$11,MIN(5,MATCH(MAX(Reference!$A$6,MIN(Reference!$A$11,MIN(D144,270))),Reference!$A$6:$A$11,1))+1)-INDEX(Reference!$B$6:$B$11,MIN(5,MATCH(MAX(Reference!$A$6,MIN(Reference!$A$11,MIN(D144,270))),Reference!$A$6:$A$11,1))))/(INDEX(Reference!$A$6:$A$11,MIN(5,MATCH(MAX(Reference!$A$6,MIN(Reference!$A$11,MIN(D144,270))),Reference!$A$6:$A$11,1))+1)-INDEX(Reference!$A$6:$A$11,MIN(5,MATCH(MAX(Reference!$A$6,MIN(Reference!$A$11,MIN(D144,270))),Reference!$A$6:$A$11,1))))),0)+IF(8&lt;=AE144,(AE144-8+3)*(INDEX(Reference!$B$6:$B$11,MIN(5,MATCH(MAX(Reference!$A$6,MIN(Reference!$A$11,MIN(D144,300))),Reference!$A$6:$A$11,1)))+(MAX(Reference!$A$6,MIN(Reference!$A$11,MIN(D144,300)))-INDEX(Reference!$A$6:$A$11,MIN(5,MATCH(MAX(Reference!$A$6,MIN(Reference!$A$11,MIN(D144,300))),Reference!$A$6:$A$11,1))))*(INDEX(Reference!$B$6:$B$11,MIN(5,MATCH(MAX(Reference!$A$6,MIN(Reference!$A$11,MIN(D144,300))),Reference!$A$6:$A$11,1))+1)-INDEX(Reference!$B$6:$B$11,MIN(5,MATCH(MAX(Reference!$A$6,MIN(Reference!$A$11,MIN(D144,300))),Reference!$A$6:$A$11,1))))/(INDEX(Reference!$A$6:$A$11,MIN(5,MATCH(MAX(Reference!$A$6,MIN(Reference!$A$11,MIN(D144,300))),Reference!$A$6:$A$11,1))+1)-INDEX(Reference!$A$6:$A$11,MIN(5,MATCH(MAX(Reference!$A$6,MIN(Reference!$A$11,MIN(D144,300))),Reference!$A$6:$A$11,1))))),0))/(AE144*(AE144+5)/2)),(INDEX(Reference!$B$6:$B$11,MIN(5,MATCH(MAX(Reference!$A$6,MIN(Reference!$A$11,D144)),Reference!$A$6:$A$11,1)))+(MAX(Reference!$A$6,MIN(Reference!$A$11,D144))-INDEX(Reference!$A$6:$A$11,MIN(5,MATCH(MAX(Reference!$A$6,MIN(Reference!$A$11,D144)),Reference!$A$6:$A$11,1))))*(INDEX(Reference!$B$6:$B$11,MIN(5,MATCH(MAX(Reference!$A$6,MIN(Reference!$A$11,D144)),Reference!$A$6:$A$11,1))+1)-INDEX(Reference!$B$6:$B$11,MIN(5,MATCH(MAX(Reference!$A$6,MIN(Reference!$A$11,D144)),Reference!$A$6:$A$11,1))))/(INDEX(Reference!$A$6:$A$11,MIN(5,MATCH(MAX(Reference!$A$6,MIN(Reference!$A$11,D144)),Reference!$A$6:$A$11,1))+1)-INDEX(Reference!$A$6:$A$11,MIN(5,MATCH(MAX(Reference!$A$6,MIN(Reference!$A$11,D144)),Reference!$A$6:$A$11,1))))))))</f>
        <v/>
      </c>
      <c r="P144" s="32" t="str">
        <f>IF(N144="","",VLOOKUP(MAX(N144,0),Reference!$A$17:$B$20,2,TRUE()))</f>
        <v/>
      </c>
      <c r="Q144" s="32" t="str">
        <f t="shared" si="21"/>
        <v/>
      </c>
      <c r="R144" s="31"/>
      <c r="S144" s="31"/>
      <c r="T144" s="31"/>
      <c r="U144" s="32" t="str">
        <f t="shared" si="22"/>
        <v/>
      </c>
      <c r="V144" s="32" t="str">
        <f t="shared" si="23"/>
        <v/>
      </c>
      <c r="W144" s="32" t="str">
        <f>IF(V144="","",VLOOKUP(MAX(V144,0),Reference!$A$17:$B$20,2,TRUE()))</f>
        <v/>
      </c>
      <c r="X144" s="31"/>
      <c r="Y144" s="31"/>
      <c r="Z144" s="31"/>
      <c r="AA144" s="32" t="str">
        <f t="shared" si="24"/>
        <v/>
      </c>
      <c r="AB144" s="32" t="str">
        <f t="shared" si="25"/>
        <v/>
      </c>
      <c r="AC144" s="32" t="str">
        <f>IF(AB144="","",VLOOKUP(MAX(AB144,0),Reference!$A$17:$B$20,2,TRUE()))</f>
        <v/>
      </c>
      <c r="AD144" s="31"/>
      <c r="AE144">
        <f t="shared" si="26"/>
        <v>1</v>
      </c>
      <c r="AF144" s="33" t="str">
        <f>IF(OR(A144="",B144="",AND(C144&lt;&gt;"Bullpen",C144&lt;&gt;"Game")),"",IF((COUNTIFS($B$5:$B$300,B144,$A$5:$A$300,A144-1,$C$5:$C$300,"Bullpen",$AG$5:$AG$300,"&gt;0") + COUNTIFS($B$5:$B$300,B144,$A$5:$A$300,A144-1,$C$5:$C$300,"Game",$AG$5:$AG$300,"&gt;0"))&gt;0,Reference!$B$119,IF((COUNTIFS($B$5:$B$300,B144,$A$5:$A$300,A144-2,$C$5:$C$300,"Bullpen",$AG$5:$AG$300,"&gt;0") + COUNTIFS($B$5:$B$300,B144,$A$5:$A$300,A144-2,$C$5:$C$300,"Game",$AG$5:$AG$300,"&gt;0"))&gt;0,Reference!$B$120,1)))</f>
        <v/>
      </c>
      <c r="AG144" s="30" t="str">
        <f>IF(AND(OR(I144="",O144="",P144=""),OR(R144="",W144=""),OR(X144="",AC144="")),"",IF(OR(I144="",O144="",P144=""),0,I144*O144*P144)+IF(OR(R144="",W144=""),0,R144*IFERROR(INDEX(Reference!$B$61:$B$62,MATCH("Bullpen",Reference!$A$61:$A$62,0)),0)*W144)+IF(OR(X144="",AC144=""),0,X144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144))</f>
        <v/>
      </c>
    </row>
    <row r="145" spans="1:33" x14ac:dyDescent="0.3">
      <c r="A145" s="35"/>
      <c r="B145" s="31"/>
      <c r="C145" s="31"/>
      <c r="D145" s="31"/>
      <c r="E145" s="34"/>
      <c r="F145" s="34"/>
      <c r="G145" s="30" t="str">
        <f t="shared" si="18"/>
        <v/>
      </c>
      <c r="H145" s="31"/>
      <c r="I145" s="32" t="str">
        <f>IF(H145&lt;&gt;"",H145,IF(G145="","",ROUND(G145*IFERROR(INDEX(Reference!$B$44:$B$50,MATCH(C145,Reference!$A$44:$A$50,0)),0),0)))</f>
        <v/>
      </c>
      <c r="J145" s="31"/>
      <c r="K145" s="31"/>
      <c r="L145" s="32" t="str">
        <f t="shared" si="19"/>
        <v/>
      </c>
      <c r="M145" s="32" t="str">
        <f>IFERROR(INDEX(Roster!$D$5:$D$40,MATCH(B145,Roster!$A$5:$A$40,0)),"")</f>
        <v/>
      </c>
      <c r="N145" s="32" t="str">
        <f t="shared" si="20"/>
        <v/>
      </c>
      <c r="O145" s="32" t="str">
        <f>IF(OR(C145="Bullpen",C145="Game"),IFERROR(INDEX(Reference!$B$61:$B$62,MATCH(C145,Reference!$A$61:$A$62,0)),""),IF(D145="","",IF(AE145&gt;1,((IF(1&lt;=AE145,(AE145-1+3)*(INDEX(Reference!$B$6:$B$11,MIN(5,MATCH(MAX(Reference!$A$6,MIN(Reference!$A$11,MIN(D145,90))),Reference!$A$6:$A$11,1)))+(MAX(Reference!$A$6,MIN(Reference!$A$11,MIN(D145,90)))-INDEX(Reference!$A$6:$A$11,MIN(5,MATCH(MAX(Reference!$A$6,MIN(Reference!$A$11,MIN(D145,90))),Reference!$A$6:$A$11,1))))*(INDEX(Reference!$B$6:$B$11,MIN(5,MATCH(MAX(Reference!$A$6,MIN(Reference!$A$11,MIN(D145,90))),Reference!$A$6:$A$11,1))+1)-INDEX(Reference!$B$6:$B$11,MIN(5,MATCH(MAX(Reference!$A$6,MIN(Reference!$A$11,MIN(D145,90))),Reference!$A$6:$A$11,1))))/(INDEX(Reference!$A$6:$A$11,MIN(5,MATCH(MAX(Reference!$A$6,MIN(Reference!$A$11,MIN(D145,90))),Reference!$A$6:$A$11,1))+1)-INDEX(Reference!$A$6:$A$11,MIN(5,MATCH(MAX(Reference!$A$6,MIN(Reference!$A$11,MIN(D145,90))),Reference!$A$6:$A$11,1))))),0)+IF(2&lt;=AE145,(AE145-2+3)*(INDEX(Reference!$B$6:$B$11,MIN(5,MATCH(MAX(Reference!$A$6,MIN(Reference!$A$11,MIN(D145,120))),Reference!$A$6:$A$11,1)))+(MAX(Reference!$A$6,MIN(Reference!$A$11,MIN(D145,120)))-INDEX(Reference!$A$6:$A$11,MIN(5,MATCH(MAX(Reference!$A$6,MIN(Reference!$A$11,MIN(D145,120))),Reference!$A$6:$A$11,1))))*(INDEX(Reference!$B$6:$B$11,MIN(5,MATCH(MAX(Reference!$A$6,MIN(Reference!$A$11,MIN(D145,120))),Reference!$A$6:$A$11,1))+1)-INDEX(Reference!$B$6:$B$11,MIN(5,MATCH(MAX(Reference!$A$6,MIN(Reference!$A$11,MIN(D145,120))),Reference!$A$6:$A$11,1))))/(INDEX(Reference!$A$6:$A$11,MIN(5,MATCH(MAX(Reference!$A$6,MIN(Reference!$A$11,MIN(D145,120))),Reference!$A$6:$A$11,1))+1)-INDEX(Reference!$A$6:$A$11,MIN(5,MATCH(MAX(Reference!$A$6,MIN(Reference!$A$11,MIN(D145,120))),Reference!$A$6:$A$11,1))))),0)+IF(3&lt;=AE145,(AE145-3+3)*(INDEX(Reference!$B$6:$B$11,MIN(5,MATCH(MAX(Reference!$A$6,MIN(Reference!$A$11,MIN(D145,150))),Reference!$A$6:$A$11,1)))+(MAX(Reference!$A$6,MIN(Reference!$A$11,MIN(D145,150)))-INDEX(Reference!$A$6:$A$11,MIN(5,MATCH(MAX(Reference!$A$6,MIN(Reference!$A$11,MIN(D145,150))),Reference!$A$6:$A$11,1))))*(INDEX(Reference!$B$6:$B$11,MIN(5,MATCH(MAX(Reference!$A$6,MIN(Reference!$A$11,MIN(D145,150))),Reference!$A$6:$A$11,1))+1)-INDEX(Reference!$B$6:$B$11,MIN(5,MATCH(MAX(Reference!$A$6,MIN(Reference!$A$11,MIN(D145,150))),Reference!$A$6:$A$11,1))))/(INDEX(Reference!$A$6:$A$11,MIN(5,MATCH(MAX(Reference!$A$6,MIN(Reference!$A$11,MIN(D145,150))),Reference!$A$6:$A$11,1))+1)-INDEX(Reference!$A$6:$A$11,MIN(5,MATCH(MAX(Reference!$A$6,MIN(Reference!$A$11,MIN(D145,150))),Reference!$A$6:$A$11,1))))),0)+IF(4&lt;=AE145,(AE145-4+3)*(INDEX(Reference!$B$6:$B$11,MIN(5,MATCH(MAX(Reference!$A$6,MIN(Reference!$A$11,MIN(D145,180))),Reference!$A$6:$A$11,1)))+(MAX(Reference!$A$6,MIN(Reference!$A$11,MIN(D145,180)))-INDEX(Reference!$A$6:$A$11,MIN(5,MATCH(MAX(Reference!$A$6,MIN(Reference!$A$11,MIN(D145,180))),Reference!$A$6:$A$11,1))))*(INDEX(Reference!$B$6:$B$11,MIN(5,MATCH(MAX(Reference!$A$6,MIN(Reference!$A$11,MIN(D145,180))),Reference!$A$6:$A$11,1))+1)-INDEX(Reference!$B$6:$B$11,MIN(5,MATCH(MAX(Reference!$A$6,MIN(Reference!$A$11,MIN(D145,180))),Reference!$A$6:$A$11,1))))/(INDEX(Reference!$A$6:$A$11,MIN(5,MATCH(MAX(Reference!$A$6,MIN(Reference!$A$11,MIN(D145,180))),Reference!$A$6:$A$11,1))+1)-INDEX(Reference!$A$6:$A$11,MIN(5,MATCH(MAX(Reference!$A$6,MIN(Reference!$A$11,MIN(D145,180))),Reference!$A$6:$A$11,1))))),0)+IF(5&lt;=AE145,(AE145-5+3)*(INDEX(Reference!$B$6:$B$11,MIN(5,MATCH(MAX(Reference!$A$6,MIN(Reference!$A$11,MIN(D145,210))),Reference!$A$6:$A$11,1)))+(MAX(Reference!$A$6,MIN(Reference!$A$11,MIN(D145,210)))-INDEX(Reference!$A$6:$A$11,MIN(5,MATCH(MAX(Reference!$A$6,MIN(Reference!$A$11,MIN(D145,210))),Reference!$A$6:$A$11,1))))*(INDEX(Reference!$B$6:$B$11,MIN(5,MATCH(MAX(Reference!$A$6,MIN(Reference!$A$11,MIN(D145,210))),Reference!$A$6:$A$11,1))+1)-INDEX(Reference!$B$6:$B$11,MIN(5,MATCH(MAX(Reference!$A$6,MIN(Reference!$A$11,MIN(D145,210))),Reference!$A$6:$A$11,1))))/(INDEX(Reference!$A$6:$A$11,MIN(5,MATCH(MAX(Reference!$A$6,MIN(Reference!$A$11,MIN(D145,210))),Reference!$A$6:$A$11,1))+1)-INDEX(Reference!$A$6:$A$11,MIN(5,MATCH(MAX(Reference!$A$6,MIN(Reference!$A$11,MIN(D145,210))),Reference!$A$6:$A$11,1))))),0)+IF(6&lt;=AE145,(AE145-6+3)*(INDEX(Reference!$B$6:$B$11,MIN(5,MATCH(MAX(Reference!$A$6,MIN(Reference!$A$11,MIN(D145,240))),Reference!$A$6:$A$11,1)))+(MAX(Reference!$A$6,MIN(Reference!$A$11,MIN(D145,240)))-INDEX(Reference!$A$6:$A$11,MIN(5,MATCH(MAX(Reference!$A$6,MIN(Reference!$A$11,MIN(D145,240))),Reference!$A$6:$A$11,1))))*(INDEX(Reference!$B$6:$B$11,MIN(5,MATCH(MAX(Reference!$A$6,MIN(Reference!$A$11,MIN(D145,240))),Reference!$A$6:$A$11,1))+1)-INDEX(Reference!$B$6:$B$11,MIN(5,MATCH(MAX(Reference!$A$6,MIN(Reference!$A$11,MIN(D145,240))),Reference!$A$6:$A$11,1))))/(INDEX(Reference!$A$6:$A$11,MIN(5,MATCH(MAX(Reference!$A$6,MIN(Reference!$A$11,MIN(D145,240))),Reference!$A$6:$A$11,1))+1)-INDEX(Reference!$A$6:$A$11,MIN(5,MATCH(MAX(Reference!$A$6,MIN(Reference!$A$11,MIN(D145,240))),Reference!$A$6:$A$11,1))))),0)+IF(7&lt;=AE145,(AE145-7+3)*(INDEX(Reference!$B$6:$B$11,MIN(5,MATCH(MAX(Reference!$A$6,MIN(Reference!$A$11,MIN(D145,270))),Reference!$A$6:$A$11,1)))+(MAX(Reference!$A$6,MIN(Reference!$A$11,MIN(D145,270)))-INDEX(Reference!$A$6:$A$11,MIN(5,MATCH(MAX(Reference!$A$6,MIN(Reference!$A$11,MIN(D145,270))),Reference!$A$6:$A$11,1))))*(INDEX(Reference!$B$6:$B$11,MIN(5,MATCH(MAX(Reference!$A$6,MIN(Reference!$A$11,MIN(D145,270))),Reference!$A$6:$A$11,1))+1)-INDEX(Reference!$B$6:$B$11,MIN(5,MATCH(MAX(Reference!$A$6,MIN(Reference!$A$11,MIN(D145,270))),Reference!$A$6:$A$11,1))))/(INDEX(Reference!$A$6:$A$11,MIN(5,MATCH(MAX(Reference!$A$6,MIN(Reference!$A$11,MIN(D145,270))),Reference!$A$6:$A$11,1))+1)-INDEX(Reference!$A$6:$A$11,MIN(5,MATCH(MAX(Reference!$A$6,MIN(Reference!$A$11,MIN(D145,270))),Reference!$A$6:$A$11,1))))),0)+IF(8&lt;=AE145,(AE145-8+3)*(INDEX(Reference!$B$6:$B$11,MIN(5,MATCH(MAX(Reference!$A$6,MIN(Reference!$A$11,MIN(D145,300))),Reference!$A$6:$A$11,1)))+(MAX(Reference!$A$6,MIN(Reference!$A$11,MIN(D145,300)))-INDEX(Reference!$A$6:$A$11,MIN(5,MATCH(MAX(Reference!$A$6,MIN(Reference!$A$11,MIN(D145,300))),Reference!$A$6:$A$11,1))))*(INDEX(Reference!$B$6:$B$11,MIN(5,MATCH(MAX(Reference!$A$6,MIN(Reference!$A$11,MIN(D145,300))),Reference!$A$6:$A$11,1))+1)-INDEX(Reference!$B$6:$B$11,MIN(5,MATCH(MAX(Reference!$A$6,MIN(Reference!$A$11,MIN(D145,300))),Reference!$A$6:$A$11,1))))/(INDEX(Reference!$A$6:$A$11,MIN(5,MATCH(MAX(Reference!$A$6,MIN(Reference!$A$11,MIN(D145,300))),Reference!$A$6:$A$11,1))+1)-INDEX(Reference!$A$6:$A$11,MIN(5,MATCH(MAX(Reference!$A$6,MIN(Reference!$A$11,MIN(D145,300))),Reference!$A$6:$A$11,1))))),0))/(AE145*(AE145+5)/2)),(INDEX(Reference!$B$6:$B$11,MIN(5,MATCH(MAX(Reference!$A$6,MIN(Reference!$A$11,D145)),Reference!$A$6:$A$11,1)))+(MAX(Reference!$A$6,MIN(Reference!$A$11,D145))-INDEX(Reference!$A$6:$A$11,MIN(5,MATCH(MAX(Reference!$A$6,MIN(Reference!$A$11,D145)),Reference!$A$6:$A$11,1))))*(INDEX(Reference!$B$6:$B$11,MIN(5,MATCH(MAX(Reference!$A$6,MIN(Reference!$A$11,D145)),Reference!$A$6:$A$11,1))+1)-INDEX(Reference!$B$6:$B$11,MIN(5,MATCH(MAX(Reference!$A$6,MIN(Reference!$A$11,D145)),Reference!$A$6:$A$11,1))))/(INDEX(Reference!$A$6:$A$11,MIN(5,MATCH(MAX(Reference!$A$6,MIN(Reference!$A$11,D145)),Reference!$A$6:$A$11,1))+1)-INDEX(Reference!$A$6:$A$11,MIN(5,MATCH(MAX(Reference!$A$6,MIN(Reference!$A$11,D145)),Reference!$A$6:$A$11,1))))))))</f>
        <v/>
      </c>
      <c r="P145" s="32" t="str">
        <f>IF(N145="","",VLOOKUP(MAX(N145,0),Reference!$A$17:$B$20,2,TRUE()))</f>
        <v/>
      </c>
      <c r="Q145" s="32" t="str">
        <f t="shared" si="21"/>
        <v/>
      </c>
      <c r="R145" s="31"/>
      <c r="S145" s="31"/>
      <c r="T145" s="31"/>
      <c r="U145" s="32" t="str">
        <f t="shared" si="22"/>
        <v/>
      </c>
      <c r="V145" s="32" t="str">
        <f t="shared" si="23"/>
        <v/>
      </c>
      <c r="W145" s="32" t="str">
        <f>IF(V145="","",VLOOKUP(MAX(V145,0),Reference!$A$17:$B$20,2,TRUE()))</f>
        <v/>
      </c>
      <c r="X145" s="31"/>
      <c r="Y145" s="31"/>
      <c r="Z145" s="31"/>
      <c r="AA145" s="32" t="str">
        <f t="shared" si="24"/>
        <v/>
      </c>
      <c r="AB145" s="32" t="str">
        <f t="shared" si="25"/>
        <v/>
      </c>
      <c r="AC145" s="32" t="str">
        <f>IF(AB145="","",VLOOKUP(MAX(AB145,0),Reference!$A$17:$B$20,2,TRUE()))</f>
        <v/>
      </c>
      <c r="AD145" s="31"/>
      <c r="AE145">
        <f t="shared" si="26"/>
        <v>1</v>
      </c>
      <c r="AF145" s="33" t="str">
        <f>IF(OR(A145="",B145="",AND(C145&lt;&gt;"Bullpen",C145&lt;&gt;"Game")),"",IF((COUNTIFS($B$5:$B$300,B145,$A$5:$A$300,A145-1,$C$5:$C$300,"Bullpen",$AG$5:$AG$300,"&gt;0") + COUNTIFS($B$5:$B$300,B145,$A$5:$A$300,A145-1,$C$5:$C$300,"Game",$AG$5:$AG$300,"&gt;0"))&gt;0,Reference!$B$119,IF((COUNTIFS($B$5:$B$300,B145,$A$5:$A$300,A145-2,$C$5:$C$300,"Bullpen",$AG$5:$AG$300,"&gt;0") + COUNTIFS($B$5:$B$300,B145,$A$5:$A$300,A145-2,$C$5:$C$300,"Game",$AG$5:$AG$300,"&gt;0"))&gt;0,Reference!$B$120,1)))</f>
        <v/>
      </c>
      <c r="AG145" s="30" t="str">
        <f>IF(AND(OR(I145="",O145="",P145=""),OR(R145="",W145=""),OR(X145="",AC145="")),"",IF(OR(I145="",O145="",P145=""),0,I145*O145*P145)+IF(OR(R145="",W145=""),0,R145*IFERROR(INDEX(Reference!$B$61:$B$62,MATCH("Bullpen",Reference!$A$61:$A$62,0)),0)*W145)+IF(OR(X145="",AC145=""),0,X145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145))</f>
        <v/>
      </c>
    </row>
    <row r="146" spans="1:33" x14ac:dyDescent="0.3">
      <c r="A146" s="35"/>
      <c r="B146" s="31"/>
      <c r="C146" s="31"/>
      <c r="D146" s="31"/>
      <c r="E146" s="34"/>
      <c r="F146" s="34"/>
      <c r="G146" s="30" t="str">
        <f t="shared" si="18"/>
        <v/>
      </c>
      <c r="H146" s="31"/>
      <c r="I146" s="32" t="str">
        <f>IF(H146&lt;&gt;"",H146,IF(G146="","",ROUND(G146*IFERROR(INDEX(Reference!$B$44:$B$50,MATCH(C146,Reference!$A$44:$A$50,0)),0),0)))</f>
        <v/>
      </c>
      <c r="J146" s="31"/>
      <c r="K146" s="31"/>
      <c r="L146" s="32" t="str">
        <f t="shared" si="19"/>
        <v/>
      </c>
      <c r="M146" s="32" t="str">
        <f>IFERROR(INDEX(Roster!$D$5:$D$40,MATCH(B146,Roster!$A$5:$A$40,0)),"")</f>
        <v/>
      </c>
      <c r="N146" s="32" t="str">
        <f t="shared" si="20"/>
        <v/>
      </c>
      <c r="O146" s="32" t="str">
        <f>IF(OR(C146="Bullpen",C146="Game"),IFERROR(INDEX(Reference!$B$61:$B$62,MATCH(C146,Reference!$A$61:$A$62,0)),""),IF(D146="","",IF(AE146&gt;1,((IF(1&lt;=AE146,(AE146-1+3)*(INDEX(Reference!$B$6:$B$11,MIN(5,MATCH(MAX(Reference!$A$6,MIN(Reference!$A$11,MIN(D146,90))),Reference!$A$6:$A$11,1)))+(MAX(Reference!$A$6,MIN(Reference!$A$11,MIN(D146,90)))-INDEX(Reference!$A$6:$A$11,MIN(5,MATCH(MAX(Reference!$A$6,MIN(Reference!$A$11,MIN(D146,90))),Reference!$A$6:$A$11,1))))*(INDEX(Reference!$B$6:$B$11,MIN(5,MATCH(MAX(Reference!$A$6,MIN(Reference!$A$11,MIN(D146,90))),Reference!$A$6:$A$11,1))+1)-INDEX(Reference!$B$6:$B$11,MIN(5,MATCH(MAX(Reference!$A$6,MIN(Reference!$A$11,MIN(D146,90))),Reference!$A$6:$A$11,1))))/(INDEX(Reference!$A$6:$A$11,MIN(5,MATCH(MAX(Reference!$A$6,MIN(Reference!$A$11,MIN(D146,90))),Reference!$A$6:$A$11,1))+1)-INDEX(Reference!$A$6:$A$11,MIN(5,MATCH(MAX(Reference!$A$6,MIN(Reference!$A$11,MIN(D146,90))),Reference!$A$6:$A$11,1))))),0)+IF(2&lt;=AE146,(AE146-2+3)*(INDEX(Reference!$B$6:$B$11,MIN(5,MATCH(MAX(Reference!$A$6,MIN(Reference!$A$11,MIN(D146,120))),Reference!$A$6:$A$11,1)))+(MAX(Reference!$A$6,MIN(Reference!$A$11,MIN(D146,120)))-INDEX(Reference!$A$6:$A$11,MIN(5,MATCH(MAX(Reference!$A$6,MIN(Reference!$A$11,MIN(D146,120))),Reference!$A$6:$A$11,1))))*(INDEX(Reference!$B$6:$B$11,MIN(5,MATCH(MAX(Reference!$A$6,MIN(Reference!$A$11,MIN(D146,120))),Reference!$A$6:$A$11,1))+1)-INDEX(Reference!$B$6:$B$11,MIN(5,MATCH(MAX(Reference!$A$6,MIN(Reference!$A$11,MIN(D146,120))),Reference!$A$6:$A$11,1))))/(INDEX(Reference!$A$6:$A$11,MIN(5,MATCH(MAX(Reference!$A$6,MIN(Reference!$A$11,MIN(D146,120))),Reference!$A$6:$A$11,1))+1)-INDEX(Reference!$A$6:$A$11,MIN(5,MATCH(MAX(Reference!$A$6,MIN(Reference!$A$11,MIN(D146,120))),Reference!$A$6:$A$11,1))))),0)+IF(3&lt;=AE146,(AE146-3+3)*(INDEX(Reference!$B$6:$B$11,MIN(5,MATCH(MAX(Reference!$A$6,MIN(Reference!$A$11,MIN(D146,150))),Reference!$A$6:$A$11,1)))+(MAX(Reference!$A$6,MIN(Reference!$A$11,MIN(D146,150)))-INDEX(Reference!$A$6:$A$11,MIN(5,MATCH(MAX(Reference!$A$6,MIN(Reference!$A$11,MIN(D146,150))),Reference!$A$6:$A$11,1))))*(INDEX(Reference!$B$6:$B$11,MIN(5,MATCH(MAX(Reference!$A$6,MIN(Reference!$A$11,MIN(D146,150))),Reference!$A$6:$A$11,1))+1)-INDEX(Reference!$B$6:$B$11,MIN(5,MATCH(MAX(Reference!$A$6,MIN(Reference!$A$11,MIN(D146,150))),Reference!$A$6:$A$11,1))))/(INDEX(Reference!$A$6:$A$11,MIN(5,MATCH(MAX(Reference!$A$6,MIN(Reference!$A$11,MIN(D146,150))),Reference!$A$6:$A$11,1))+1)-INDEX(Reference!$A$6:$A$11,MIN(5,MATCH(MAX(Reference!$A$6,MIN(Reference!$A$11,MIN(D146,150))),Reference!$A$6:$A$11,1))))),0)+IF(4&lt;=AE146,(AE146-4+3)*(INDEX(Reference!$B$6:$B$11,MIN(5,MATCH(MAX(Reference!$A$6,MIN(Reference!$A$11,MIN(D146,180))),Reference!$A$6:$A$11,1)))+(MAX(Reference!$A$6,MIN(Reference!$A$11,MIN(D146,180)))-INDEX(Reference!$A$6:$A$11,MIN(5,MATCH(MAX(Reference!$A$6,MIN(Reference!$A$11,MIN(D146,180))),Reference!$A$6:$A$11,1))))*(INDEX(Reference!$B$6:$B$11,MIN(5,MATCH(MAX(Reference!$A$6,MIN(Reference!$A$11,MIN(D146,180))),Reference!$A$6:$A$11,1))+1)-INDEX(Reference!$B$6:$B$11,MIN(5,MATCH(MAX(Reference!$A$6,MIN(Reference!$A$11,MIN(D146,180))),Reference!$A$6:$A$11,1))))/(INDEX(Reference!$A$6:$A$11,MIN(5,MATCH(MAX(Reference!$A$6,MIN(Reference!$A$11,MIN(D146,180))),Reference!$A$6:$A$11,1))+1)-INDEX(Reference!$A$6:$A$11,MIN(5,MATCH(MAX(Reference!$A$6,MIN(Reference!$A$11,MIN(D146,180))),Reference!$A$6:$A$11,1))))),0)+IF(5&lt;=AE146,(AE146-5+3)*(INDEX(Reference!$B$6:$B$11,MIN(5,MATCH(MAX(Reference!$A$6,MIN(Reference!$A$11,MIN(D146,210))),Reference!$A$6:$A$11,1)))+(MAX(Reference!$A$6,MIN(Reference!$A$11,MIN(D146,210)))-INDEX(Reference!$A$6:$A$11,MIN(5,MATCH(MAX(Reference!$A$6,MIN(Reference!$A$11,MIN(D146,210))),Reference!$A$6:$A$11,1))))*(INDEX(Reference!$B$6:$B$11,MIN(5,MATCH(MAX(Reference!$A$6,MIN(Reference!$A$11,MIN(D146,210))),Reference!$A$6:$A$11,1))+1)-INDEX(Reference!$B$6:$B$11,MIN(5,MATCH(MAX(Reference!$A$6,MIN(Reference!$A$11,MIN(D146,210))),Reference!$A$6:$A$11,1))))/(INDEX(Reference!$A$6:$A$11,MIN(5,MATCH(MAX(Reference!$A$6,MIN(Reference!$A$11,MIN(D146,210))),Reference!$A$6:$A$11,1))+1)-INDEX(Reference!$A$6:$A$11,MIN(5,MATCH(MAX(Reference!$A$6,MIN(Reference!$A$11,MIN(D146,210))),Reference!$A$6:$A$11,1))))),0)+IF(6&lt;=AE146,(AE146-6+3)*(INDEX(Reference!$B$6:$B$11,MIN(5,MATCH(MAX(Reference!$A$6,MIN(Reference!$A$11,MIN(D146,240))),Reference!$A$6:$A$11,1)))+(MAX(Reference!$A$6,MIN(Reference!$A$11,MIN(D146,240)))-INDEX(Reference!$A$6:$A$11,MIN(5,MATCH(MAX(Reference!$A$6,MIN(Reference!$A$11,MIN(D146,240))),Reference!$A$6:$A$11,1))))*(INDEX(Reference!$B$6:$B$11,MIN(5,MATCH(MAX(Reference!$A$6,MIN(Reference!$A$11,MIN(D146,240))),Reference!$A$6:$A$11,1))+1)-INDEX(Reference!$B$6:$B$11,MIN(5,MATCH(MAX(Reference!$A$6,MIN(Reference!$A$11,MIN(D146,240))),Reference!$A$6:$A$11,1))))/(INDEX(Reference!$A$6:$A$11,MIN(5,MATCH(MAX(Reference!$A$6,MIN(Reference!$A$11,MIN(D146,240))),Reference!$A$6:$A$11,1))+1)-INDEX(Reference!$A$6:$A$11,MIN(5,MATCH(MAX(Reference!$A$6,MIN(Reference!$A$11,MIN(D146,240))),Reference!$A$6:$A$11,1))))),0)+IF(7&lt;=AE146,(AE146-7+3)*(INDEX(Reference!$B$6:$B$11,MIN(5,MATCH(MAX(Reference!$A$6,MIN(Reference!$A$11,MIN(D146,270))),Reference!$A$6:$A$11,1)))+(MAX(Reference!$A$6,MIN(Reference!$A$11,MIN(D146,270)))-INDEX(Reference!$A$6:$A$11,MIN(5,MATCH(MAX(Reference!$A$6,MIN(Reference!$A$11,MIN(D146,270))),Reference!$A$6:$A$11,1))))*(INDEX(Reference!$B$6:$B$11,MIN(5,MATCH(MAX(Reference!$A$6,MIN(Reference!$A$11,MIN(D146,270))),Reference!$A$6:$A$11,1))+1)-INDEX(Reference!$B$6:$B$11,MIN(5,MATCH(MAX(Reference!$A$6,MIN(Reference!$A$11,MIN(D146,270))),Reference!$A$6:$A$11,1))))/(INDEX(Reference!$A$6:$A$11,MIN(5,MATCH(MAX(Reference!$A$6,MIN(Reference!$A$11,MIN(D146,270))),Reference!$A$6:$A$11,1))+1)-INDEX(Reference!$A$6:$A$11,MIN(5,MATCH(MAX(Reference!$A$6,MIN(Reference!$A$11,MIN(D146,270))),Reference!$A$6:$A$11,1))))),0)+IF(8&lt;=AE146,(AE146-8+3)*(INDEX(Reference!$B$6:$B$11,MIN(5,MATCH(MAX(Reference!$A$6,MIN(Reference!$A$11,MIN(D146,300))),Reference!$A$6:$A$11,1)))+(MAX(Reference!$A$6,MIN(Reference!$A$11,MIN(D146,300)))-INDEX(Reference!$A$6:$A$11,MIN(5,MATCH(MAX(Reference!$A$6,MIN(Reference!$A$11,MIN(D146,300))),Reference!$A$6:$A$11,1))))*(INDEX(Reference!$B$6:$B$11,MIN(5,MATCH(MAX(Reference!$A$6,MIN(Reference!$A$11,MIN(D146,300))),Reference!$A$6:$A$11,1))+1)-INDEX(Reference!$B$6:$B$11,MIN(5,MATCH(MAX(Reference!$A$6,MIN(Reference!$A$11,MIN(D146,300))),Reference!$A$6:$A$11,1))))/(INDEX(Reference!$A$6:$A$11,MIN(5,MATCH(MAX(Reference!$A$6,MIN(Reference!$A$11,MIN(D146,300))),Reference!$A$6:$A$11,1))+1)-INDEX(Reference!$A$6:$A$11,MIN(5,MATCH(MAX(Reference!$A$6,MIN(Reference!$A$11,MIN(D146,300))),Reference!$A$6:$A$11,1))))),0))/(AE146*(AE146+5)/2)),(INDEX(Reference!$B$6:$B$11,MIN(5,MATCH(MAX(Reference!$A$6,MIN(Reference!$A$11,D146)),Reference!$A$6:$A$11,1)))+(MAX(Reference!$A$6,MIN(Reference!$A$11,D146))-INDEX(Reference!$A$6:$A$11,MIN(5,MATCH(MAX(Reference!$A$6,MIN(Reference!$A$11,D146)),Reference!$A$6:$A$11,1))))*(INDEX(Reference!$B$6:$B$11,MIN(5,MATCH(MAX(Reference!$A$6,MIN(Reference!$A$11,D146)),Reference!$A$6:$A$11,1))+1)-INDEX(Reference!$B$6:$B$11,MIN(5,MATCH(MAX(Reference!$A$6,MIN(Reference!$A$11,D146)),Reference!$A$6:$A$11,1))))/(INDEX(Reference!$A$6:$A$11,MIN(5,MATCH(MAX(Reference!$A$6,MIN(Reference!$A$11,D146)),Reference!$A$6:$A$11,1))+1)-INDEX(Reference!$A$6:$A$11,MIN(5,MATCH(MAX(Reference!$A$6,MIN(Reference!$A$11,D146)),Reference!$A$6:$A$11,1))))))))</f>
        <v/>
      </c>
      <c r="P146" s="32" t="str">
        <f>IF(N146="","",VLOOKUP(MAX(N146,0),Reference!$A$17:$B$20,2,TRUE()))</f>
        <v/>
      </c>
      <c r="Q146" s="32" t="str">
        <f t="shared" si="21"/>
        <v/>
      </c>
      <c r="R146" s="31"/>
      <c r="S146" s="31"/>
      <c r="T146" s="31"/>
      <c r="U146" s="32" t="str">
        <f t="shared" si="22"/>
        <v/>
      </c>
      <c r="V146" s="32" t="str">
        <f t="shared" si="23"/>
        <v/>
      </c>
      <c r="W146" s="32" t="str">
        <f>IF(V146="","",VLOOKUP(MAX(V146,0),Reference!$A$17:$B$20,2,TRUE()))</f>
        <v/>
      </c>
      <c r="X146" s="31"/>
      <c r="Y146" s="31"/>
      <c r="Z146" s="31"/>
      <c r="AA146" s="32" t="str">
        <f t="shared" si="24"/>
        <v/>
      </c>
      <c r="AB146" s="32" t="str">
        <f t="shared" si="25"/>
        <v/>
      </c>
      <c r="AC146" s="32" t="str">
        <f>IF(AB146="","",VLOOKUP(MAX(AB146,0),Reference!$A$17:$B$20,2,TRUE()))</f>
        <v/>
      </c>
      <c r="AD146" s="31"/>
      <c r="AE146">
        <f t="shared" si="26"/>
        <v>1</v>
      </c>
      <c r="AF146" s="33" t="str">
        <f>IF(OR(A146="",B146="",AND(C146&lt;&gt;"Bullpen",C146&lt;&gt;"Game")),"",IF((COUNTIFS($B$5:$B$300,B146,$A$5:$A$300,A146-1,$C$5:$C$300,"Bullpen",$AG$5:$AG$300,"&gt;0") + COUNTIFS($B$5:$B$300,B146,$A$5:$A$300,A146-1,$C$5:$C$300,"Game",$AG$5:$AG$300,"&gt;0"))&gt;0,Reference!$B$119,IF((COUNTIFS($B$5:$B$300,B146,$A$5:$A$300,A146-2,$C$5:$C$300,"Bullpen",$AG$5:$AG$300,"&gt;0") + COUNTIFS($B$5:$B$300,B146,$A$5:$A$300,A146-2,$C$5:$C$300,"Game",$AG$5:$AG$300,"&gt;0"))&gt;0,Reference!$B$120,1)))</f>
        <v/>
      </c>
      <c r="AG146" s="30" t="str">
        <f>IF(AND(OR(I146="",O146="",P146=""),OR(R146="",W146=""),OR(X146="",AC146="")),"",IF(OR(I146="",O146="",P146=""),0,I146*O146*P146)+IF(OR(R146="",W146=""),0,R146*IFERROR(INDEX(Reference!$B$61:$B$62,MATCH("Bullpen",Reference!$A$61:$A$62,0)),0)*W146)+IF(OR(X146="",AC146=""),0,X146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146))</f>
        <v/>
      </c>
    </row>
    <row r="147" spans="1:33" x14ac:dyDescent="0.3">
      <c r="A147" s="35"/>
      <c r="B147" s="31"/>
      <c r="C147" s="31"/>
      <c r="D147" s="31"/>
      <c r="E147" s="34"/>
      <c r="F147" s="34"/>
      <c r="G147" s="30" t="str">
        <f t="shared" si="18"/>
        <v/>
      </c>
      <c r="H147" s="31"/>
      <c r="I147" s="32" t="str">
        <f>IF(H147&lt;&gt;"",H147,IF(G147="","",ROUND(G147*IFERROR(INDEX(Reference!$B$44:$B$50,MATCH(C147,Reference!$A$44:$A$50,0)),0),0)))</f>
        <v/>
      </c>
      <c r="J147" s="31"/>
      <c r="K147" s="31"/>
      <c r="L147" s="32" t="str">
        <f t="shared" si="19"/>
        <v/>
      </c>
      <c r="M147" s="32" t="str">
        <f>IFERROR(INDEX(Roster!$D$5:$D$40,MATCH(B147,Roster!$A$5:$A$40,0)),"")</f>
        <v/>
      </c>
      <c r="N147" s="32" t="str">
        <f t="shared" si="20"/>
        <v/>
      </c>
      <c r="O147" s="32" t="str">
        <f>IF(OR(C147="Bullpen",C147="Game"),IFERROR(INDEX(Reference!$B$61:$B$62,MATCH(C147,Reference!$A$61:$A$62,0)),""),IF(D147="","",IF(AE147&gt;1,((IF(1&lt;=AE147,(AE147-1+3)*(INDEX(Reference!$B$6:$B$11,MIN(5,MATCH(MAX(Reference!$A$6,MIN(Reference!$A$11,MIN(D147,90))),Reference!$A$6:$A$11,1)))+(MAX(Reference!$A$6,MIN(Reference!$A$11,MIN(D147,90)))-INDEX(Reference!$A$6:$A$11,MIN(5,MATCH(MAX(Reference!$A$6,MIN(Reference!$A$11,MIN(D147,90))),Reference!$A$6:$A$11,1))))*(INDEX(Reference!$B$6:$B$11,MIN(5,MATCH(MAX(Reference!$A$6,MIN(Reference!$A$11,MIN(D147,90))),Reference!$A$6:$A$11,1))+1)-INDEX(Reference!$B$6:$B$11,MIN(5,MATCH(MAX(Reference!$A$6,MIN(Reference!$A$11,MIN(D147,90))),Reference!$A$6:$A$11,1))))/(INDEX(Reference!$A$6:$A$11,MIN(5,MATCH(MAX(Reference!$A$6,MIN(Reference!$A$11,MIN(D147,90))),Reference!$A$6:$A$11,1))+1)-INDEX(Reference!$A$6:$A$11,MIN(5,MATCH(MAX(Reference!$A$6,MIN(Reference!$A$11,MIN(D147,90))),Reference!$A$6:$A$11,1))))),0)+IF(2&lt;=AE147,(AE147-2+3)*(INDEX(Reference!$B$6:$B$11,MIN(5,MATCH(MAX(Reference!$A$6,MIN(Reference!$A$11,MIN(D147,120))),Reference!$A$6:$A$11,1)))+(MAX(Reference!$A$6,MIN(Reference!$A$11,MIN(D147,120)))-INDEX(Reference!$A$6:$A$11,MIN(5,MATCH(MAX(Reference!$A$6,MIN(Reference!$A$11,MIN(D147,120))),Reference!$A$6:$A$11,1))))*(INDEX(Reference!$B$6:$B$11,MIN(5,MATCH(MAX(Reference!$A$6,MIN(Reference!$A$11,MIN(D147,120))),Reference!$A$6:$A$11,1))+1)-INDEX(Reference!$B$6:$B$11,MIN(5,MATCH(MAX(Reference!$A$6,MIN(Reference!$A$11,MIN(D147,120))),Reference!$A$6:$A$11,1))))/(INDEX(Reference!$A$6:$A$11,MIN(5,MATCH(MAX(Reference!$A$6,MIN(Reference!$A$11,MIN(D147,120))),Reference!$A$6:$A$11,1))+1)-INDEX(Reference!$A$6:$A$11,MIN(5,MATCH(MAX(Reference!$A$6,MIN(Reference!$A$11,MIN(D147,120))),Reference!$A$6:$A$11,1))))),0)+IF(3&lt;=AE147,(AE147-3+3)*(INDEX(Reference!$B$6:$B$11,MIN(5,MATCH(MAX(Reference!$A$6,MIN(Reference!$A$11,MIN(D147,150))),Reference!$A$6:$A$11,1)))+(MAX(Reference!$A$6,MIN(Reference!$A$11,MIN(D147,150)))-INDEX(Reference!$A$6:$A$11,MIN(5,MATCH(MAX(Reference!$A$6,MIN(Reference!$A$11,MIN(D147,150))),Reference!$A$6:$A$11,1))))*(INDEX(Reference!$B$6:$B$11,MIN(5,MATCH(MAX(Reference!$A$6,MIN(Reference!$A$11,MIN(D147,150))),Reference!$A$6:$A$11,1))+1)-INDEX(Reference!$B$6:$B$11,MIN(5,MATCH(MAX(Reference!$A$6,MIN(Reference!$A$11,MIN(D147,150))),Reference!$A$6:$A$11,1))))/(INDEX(Reference!$A$6:$A$11,MIN(5,MATCH(MAX(Reference!$A$6,MIN(Reference!$A$11,MIN(D147,150))),Reference!$A$6:$A$11,1))+1)-INDEX(Reference!$A$6:$A$11,MIN(5,MATCH(MAX(Reference!$A$6,MIN(Reference!$A$11,MIN(D147,150))),Reference!$A$6:$A$11,1))))),0)+IF(4&lt;=AE147,(AE147-4+3)*(INDEX(Reference!$B$6:$B$11,MIN(5,MATCH(MAX(Reference!$A$6,MIN(Reference!$A$11,MIN(D147,180))),Reference!$A$6:$A$11,1)))+(MAX(Reference!$A$6,MIN(Reference!$A$11,MIN(D147,180)))-INDEX(Reference!$A$6:$A$11,MIN(5,MATCH(MAX(Reference!$A$6,MIN(Reference!$A$11,MIN(D147,180))),Reference!$A$6:$A$11,1))))*(INDEX(Reference!$B$6:$B$11,MIN(5,MATCH(MAX(Reference!$A$6,MIN(Reference!$A$11,MIN(D147,180))),Reference!$A$6:$A$11,1))+1)-INDEX(Reference!$B$6:$B$11,MIN(5,MATCH(MAX(Reference!$A$6,MIN(Reference!$A$11,MIN(D147,180))),Reference!$A$6:$A$11,1))))/(INDEX(Reference!$A$6:$A$11,MIN(5,MATCH(MAX(Reference!$A$6,MIN(Reference!$A$11,MIN(D147,180))),Reference!$A$6:$A$11,1))+1)-INDEX(Reference!$A$6:$A$11,MIN(5,MATCH(MAX(Reference!$A$6,MIN(Reference!$A$11,MIN(D147,180))),Reference!$A$6:$A$11,1))))),0)+IF(5&lt;=AE147,(AE147-5+3)*(INDEX(Reference!$B$6:$B$11,MIN(5,MATCH(MAX(Reference!$A$6,MIN(Reference!$A$11,MIN(D147,210))),Reference!$A$6:$A$11,1)))+(MAX(Reference!$A$6,MIN(Reference!$A$11,MIN(D147,210)))-INDEX(Reference!$A$6:$A$11,MIN(5,MATCH(MAX(Reference!$A$6,MIN(Reference!$A$11,MIN(D147,210))),Reference!$A$6:$A$11,1))))*(INDEX(Reference!$B$6:$B$11,MIN(5,MATCH(MAX(Reference!$A$6,MIN(Reference!$A$11,MIN(D147,210))),Reference!$A$6:$A$11,1))+1)-INDEX(Reference!$B$6:$B$11,MIN(5,MATCH(MAX(Reference!$A$6,MIN(Reference!$A$11,MIN(D147,210))),Reference!$A$6:$A$11,1))))/(INDEX(Reference!$A$6:$A$11,MIN(5,MATCH(MAX(Reference!$A$6,MIN(Reference!$A$11,MIN(D147,210))),Reference!$A$6:$A$11,1))+1)-INDEX(Reference!$A$6:$A$11,MIN(5,MATCH(MAX(Reference!$A$6,MIN(Reference!$A$11,MIN(D147,210))),Reference!$A$6:$A$11,1))))),0)+IF(6&lt;=AE147,(AE147-6+3)*(INDEX(Reference!$B$6:$B$11,MIN(5,MATCH(MAX(Reference!$A$6,MIN(Reference!$A$11,MIN(D147,240))),Reference!$A$6:$A$11,1)))+(MAX(Reference!$A$6,MIN(Reference!$A$11,MIN(D147,240)))-INDEX(Reference!$A$6:$A$11,MIN(5,MATCH(MAX(Reference!$A$6,MIN(Reference!$A$11,MIN(D147,240))),Reference!$A$6:$A$11,1))))*(INDEX(Reference!$B$6:$B$11,MIN(5,MATCH(MAX(Reference!$A$6,MIN(Reference!$A$11,MIN(D147,240))),Reference!$A$6:$A$11,1))+1)-INDEX(Reference!$B$6:$B$11,MIN(5,MATCH(MAX(Reference!$A$6,MIN(Reference!$A$11,MIN(D147,240))),Reference!$A$6:$A$11,1))))/(INDEX(Reference!$A$6:$A$11,MIN(5,MATCH(MAX(Reference!$A$6,MIN(Reference!$A$11,MIN(D147,240))),Reference!$A$6:$A$11,1))+1)-INDEX(Reference!$A$6:$A$11,MIN(5,MATCH(MAX(Reference!$A$6,MIN(Reference!$A$11,MIN(D147,240))),Reference!$A$6:$A$11,1))))),0)+IF(7&lt;=AE147,(AE147-7+3)*(INDEX(Reference!$B$6:$B$11,MIN(5,MATCH(MAX(Reference!$A$6,MIN(Reference!$A$11,MIN(D147,270))),Reference!$A$6:$A$11,1)))+(MAX(Reference!$A$6,MIN(Reference!$A$11,MIN(D147,270)))-INDEX(Reference!$A$6:$A$11,MIN(5,MATCH(MAX(Reference!$A$6,MIN(Reference!$A$11,MIN(D147,270))),Reference!$A$6:$A$11,1))))*(INDEX(Reference!$B$6:$B$11,MIN(5,MATCH(MAX(Reference!$A$6,MIN(Reference!$A$11,MIN(D147,270))),Reference!$A$6:$A$11,1))+1)-INDEX(Reference!$B$6:$B$11,MIN(5,MATCH(MAX(Reference!$A$6,MIN(Reference!$A$11,MIN(D147,270))),Reference!$A$6:$A$11,1))))/(INDEX(Reference!$A$6:$A$11,MIN(5,MATCH(MAX(Reference!$A$6,MIN(Reference!$A$11,MIN(D147,270))),Reference!$A$6:$A$11,1))+1)-INDEX(Reference!$A$6:$A$11,MIN(5,MATCH(MAX(Reference!$A$6,MIN(Reference!$A$11,MIN(D147,270))),Reference!$A$6:$A$11,1))))),0)+IF(8&lt;=AE147,(AE147-8+3)*(INDEX(Reference!$B$6:$B$11,MIN(5,MATCH(MAX(Reference!$A$6,MIN(Reference!$A$11,MIN(D147,300))),Reference!$A$6:$A$11,1)))+(MAX(Reference!$A$6,MIN(Reference!$A$11,MIN(D147,300)))-INDEX(Reference!$A$6:$A$11,MIN(5,MATCH(MAX(Reference!$A$6,MIN(Reference!$A$11,MIN(D147,300))),Reference!$A$6:$A$11,1))))*(INDEX(Reference!$B$6:$B$11,MIN(5,MATCH(MAX(Reference!$A$6,MIN(Reference!$A$11,MIN(D147,300))),Reference!$A$6:$A$11,1))+1)-INDEX(Reference!$B$6:$B$11,MIN(5,MATCH(MAX(Reference!$A$6,MIN(Reference!$A$11,MIN(D147,300))),Reference!$A$6:$A$11,1))))/(INDEX(Reference!$A$6:$A$11,MIN(5,MATCH(MAX(Reference!$A$6,MIN(Reference!$A$11,MIN(D147,300))),Reference!$A$6:$A$11,1))+1)-INDEX(Reference!$A$6:$A$11,MIN(5,MATCH(MAX(Reference!$A$6,MIN(Reference!$A$11,MIN(D147,300))),Reference!$A$6:$A$11,1))))),0))/(AE147*(AE147+5)/2)),(INDEX(Reference!$B$6:$B$11,MIN(5,MATCH(MAX(Reference!$A$6,MIN(Reference!$A$11,D147)),Reference!$A$6:$A$11,1)))+(MAX(Reference!$A$6,MIN(Reference!$A$11,D147))-INDEX(Reference!$A$6:$A$11,MIN(5,MATCH(MAX(Reference!$A$6,MIN(Reference!$A$11,D147)),Reference!$A$6:$A$11,1))))*(INDEX(Reference!$B$6:$B$11,MIN(5,MATCH(MAX(Reference!$A$6,MIN(Reference!$A$11,D147)),Reference!$A$6:$A$11,1))+1)-INDEX(Reference!$B$6:$B$11,MIN(5,MATCH(MAX(Reference!$A$6,MIN(Reference!$A$11,D147)),Reference!$A$6:$A$11,1))))/(INDEX(Reference!$A$6:$A$11,MIN(5,MATCH(MAX(Reference!$A$6,MIN(Reference!$A$11,D147)),Reference!$A$6:$A$11,1))+1)-INDEX(Reference!$A$6:$A$11,MIN(5,MATCH(MAX(Reference!$A$6,MIN(Reference!$A$11,D147)),Reference!$A$6:$A$11,1))))))))</f>
        <v/>
      </c>
      <c r="P147" s="32" t="str">
        <f>IF(N147="","",VLOOKUP(MAX(N147,0),Reference!$A$17:$B$20,2,TRUE()))</f>
        <v/>
      </c>
      <c r="Q147" s="32" t="str">
        <f t="shared" si="21"/>
        <v/>
      </c>
      <c r="R147" s="31"/>
      <c r="S147" s="31"/>
      <c r="T147" s="31"/>
      <c r="U147" s="32" t="str">
        <f t="shared" si="22"/>
        <v/>
      </c>
      <c r="V147" s="32" t="str">
        <f t="shared" si="23"/>
        <v/>
      </c>
      <c r="W147" s="32" t="str">
        <f>IF(V147="","",VLOOKUP(MAX(V147,0),Reference!$A$17:$B$20,2,TRUE()))</f>
        <v/>
      </c>
      <c r="X147" s="31"/>
      <c r="Y147" s="31"/>
      <c r="Z147" s="31"/>
      <c r="AA147" s="32" t="str">
        <f t="shared" si="24"/>
        <v/>
      </c>
      <c r="AB147" s="32" t="str">
        <f t="shared" si="25"/>
        <v/>
      </c>
      <c r="AC147" s="32" t="str">
        <f>IF(AB147="","",VLOOKUP(MAX(AB147,0),Reference!$A$17:$B$20,2,TRUE()))</f>
        <v/>
      </c>
      <c r="AD147" s="31"/>
      <c r="AE147">
        <f t="shared" si="26"/>
        <v>1</v>
      </c>
      <c r="AF147" s="33" t="str">
        <f>IF(OR(A147="",B147="",AND(C147&lt;&gt;"Bullpen",C147&lt;&gt;"Game")),"",IF((COUNTIFS($B$5:$B$300,B147,$A$5:$A$300,A147-1,$C$5:$C$300,"Bullpen",$AG$5:$AG$300,"&gt;0") + COUNTIFS($B$5:$B$300,B147,$A$5:$A$300,A147-1,$C$5:$C$300,"Game",$AG$5:$AG$300,"&gt;0"))&gt;0,Reference!$B$119,IF((COUNTIFS($B$5:$B$300,B147,$A$5:$A$300,A147-2,$C$5:$C$300,"Bullpen",$AG$5:$AG$300,"&gt;0") + COUNTIFS($B$5:$B$300,B147,$A$5:$A$300,A147-2,$C$5:$C$300,"Game",$AG$5:$AG$300,"&gt;0"))&gt;0,Reference!$B$120,1)))</f>
        <v/>
      </c>
      <c r="AG147" s="30" t="str">
        <f>IF(AND(OR(I147="",O147="",P147=""),OR(R147="",W147=""),OR(X147="",AC147="")),"",IF(OR(I147="",O147="",P147=""),0,I147*O147*P147)+IF(OR(R147="",W147=""),0,R147*IFERROR(INDEX(Reference!$B$61:$B$62,MATCH("Bullpen",Reference!$A$61:$A$62,0)),0)*W147)+IF(OR(X147="",AC147=""),0,X147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147))</f>
        <v/>
      </c>
    </row>
    <row r="148" spans="1:33" x14ac:dyDescent="0.3">
      <c r="A148" s="35"/>
      <c r="B148" s="31"/>
      <c r="C148" s="31"/>
      <c r="D148" s="31"/>
      <c r="E148" s="34"/>
      <c r="F148" s="34"/>
      <c r="G148" s="30" t="str">
        <f t="shared" si="18"/>
        <v/>
      </c>
      <c r="H148" s="31"/>
      <c r="I148" s="32" t="str">
        <f>IF(H148&lt;&gt;"",H148,IF(G148="","",ROUND(G148*IFERROR(INDEX(Reference!$B$44:$B$50,MATCH(C148,Reference!$A$44:$A$50,0)),0),0)))</f>
        <v/>
      </c>
      <c r="J148" s="31"/>
      <c r="K148" s="31"/>
      <c r="L148" s="32" t="str">
        <f t="shared" si="19"/>
        <v/>
      </c>
      <c r="M148" s="32" t="str">
        <f>IFERROR(INDEX(Roster!$D$5:$D$40,MATCH(B148,Roster!$A$5:$A$40,0)),"")</f>
        <v/>
      </c>
      <c r="N148" s="32" t="str">
        <f t="shared" si="20"/>
        <v/>
      </c>
      <c r="O148" s="32" t="str">
        <f>IF(OR(C148="Bullpen",C148="Game"),IFERROR(INDEX(Reference!$B$61:$B$62,MATCH(C148,Reference!$A$61:$A$62,0)),""),IF(D148="","",IF(AE148&gt;1,((IF(1&lt;=AE148,(AE148-1+3)*(INDEX(Reference!$B$6:$B$11,MIN(5,MATCH(MAX(Reference!$A$6,MIN(Reference!$A$11,MIN(D148,90))),Reference!$A$6:$A$11,1)))+(MAX(Reference!$A$6,MIN(Reference!$A$11,MIN(D148,90)))-INDEX(Reference!$A$6:$A$11,MIN(5,MATCH(MAX(Reference!$A$6,MIN(Reference!$A$11,MIN(D148,90))),Reference!$A$6:$A$11,1))))*(INDEX(Reference!$B$6:$B$11,MIN(5,MATCH(MAX(Reference!$A$6,MIN(Reference!$A$11,MIN(D148,90))),Reference!$A$6:$A$11,1))+1)-INDEX(Reference!$B$6:$B$11,MIN(5,MATCH(MAX(Reference!$A$6,MIN(Reference!$A$11,MIN(D148,90))),Reference!$A$6:$A$11,1))))/(INDEX(Reference!$A$6:$A$11,MIN(5,MATCH(MAX(Reference!$A$6,MIN(Reference!$A$11,MIN(D148,90))),Reference!$A$6:$A$11,1))+1)-INDEX(Reference!$A$6:$A$11,MIN(5,MATCH(MAX(Reference!$A$6,MIN(Reference!$A$11,MIN(D148,90))),Reference!$A$6:$A$11,1))))),0)+IF(2&lt;=AE148,(AE148-2+3)*(INDEX(Reference!$B$6:$B$11,MIN(5,MATCH(MAX(Reference!$A$6,MIN(Reference!$A$11,MIN(D148,120))),Reference!$A$6:$A$11,1)))+(MAX(Reference!$A$6,MIN(Reference!$A$11,MIN(D148,120)))-INDEX(Reference!$A$6:$A$11,MIN(5,MATCH(MAX(Reference!$A$6,MIN(Reference!$A$11,MIN(D148,120))),Reference!$A$6:$A$11,1))))*(INDEX(Reference!$B$6:$B$11,MIN(5,MATCH(MAX(Reference!$A$6,MIN(Reference!$A$11,MIN(D148,120))),Reference!$A$6:$A$11,1))+1)-INDEX(Reference!$B$6:$B$11,MIN(5,MATCH(MAX(Reference!$A$6,MIN(Reference!$A$11,MIN(D148,120))),Reference!$A$6:$A$11,1))))/(INDEX(Reference!$A$6:$A$11,MIN(5,MATCH(MAX(Reference!$A$6,MIN(Reference!$A$11,MIN(D148,120))),Reference!$A$6:$A$11,1))+1)-INDEX(Reference!$A$6:$A$11,MIN(5,MATCH(MAX(Reference!$A$6,MIN(Reference!$A$11,MIN(D148,120))),Reference!$A$6:$A$11,1))))),0)+IF(3&lt;=AE148,(AE148-3+3)*(INDEX(Reference!$B$6:$B$11,MIN(5,MATCH(MAX(Reference!$A$6,MIN(Reference!$A$11,MIN(D148,150))),Reference!$A$6:$A$11,1)))+(MAX(Reference!$A$6,MIN(Reference!$A$11,MIN(D148,150)))-INDEX(Reference!$A$6:$A$11,MIN(5,MATCH(MAX(Reference!$A$6,MIN(Reference!$A$11,MIN(D148,150))),Reference!$A$6:$A$11,1))))*(INDEX(Reference!$B$6:$B$11,MIN(5,MATCH(MAX(Reference!$A$6,MIN(Reference!$A$11,MIN(D148,150))),Reference!$A$6:$A$11,1))+1)-INDEX(Reference!$B$6:$B$11,MIN(5,MATCH(MAX(Reference!$A$6,MIN(Reference!$A$11,MIN(D148,150))),Reference!$A$6:$A$11,1))))/(INDEX(Reference!$A$6:$A$11,MIN(5,MATCH(MAX(Reference!$A$6,MIN(Reference!$A$11,MIN(D148,150))),Reference!$A$6:$A$11,1))+1)-INDEX(Reference!$A$6:$A$11,MIN(5,MATCH(MAX(Reference!$A$6,MIN(Reference!$A$11,MIN(D148,150))),Reference!$A$6:$A$11,1))))),0)+IF(4&lt;=AE148,(AE148-4+3)*(INDEX(Reference!$B$6:$B$11,MIN(5,MATCH(MAX(Reference!$A$6,MIN(Reference!$A$11,MIN(D148,180))),Reference!$A$6:$A$11,1)))+(MAX(Reference!$A$6,MIN(Reference!$A$11,MIN(D148,180)))-INDEX(Reference!$A$6:$A$11,MIN(5,MATCH(MAX(Reference!$A$6,MIN(Reference!$A$11,MIN(D148,180))),Reference!$A$6:$A$11,1))))*(INDEX(Reference!$B$6:$B$11,MIN(5,MATCH(MAX(Reference!$A$6,MIN(Reference!$A$11,MIN(D148,180))),Reference!$A$6:$A$11,1))+1)-INDEX(Reference!$B$6:$B$11,MIN(5,MATCH(MAX(Reference!$A$6,MIN(Reference!$A$11,MIN(D148,180))),Reference!$A$6:$A$11,1))))/(INDEX(Reference!$A$6:$A$11,MIN(5,MATCH(MAX(Reference!$A$6,MIN(Reference!$A$11,MIN(D148,180))),Reference!$A$6:$A$11,1))+1)-INDEX(Reference!$A$6:$A$11,MIN(5,MATCH(MAX(Reference!$A$6,MIN(Reference!$A$11,MIN(D148,180))),Reference!$A$6:$A$11,1))))),0)+IF(5&lt;=AE148,(AE148-5+3)*(INDEX(Reference!$B$6:$B$11,MIN(5,MATCH(MAX(Reference!$A$6,MIN(Reference!$A$11,MIN(D148,210))),Reference!$A$6:$A$11,1)))+(MAX(Reference!$A$6,MIN(Reference!$A$11,MIN(D148,210)))-INDEX(Reference!$A$6:$A$11,MIN(5,MATCH(MAX(Reference!$A$6,MIN(Reference!$A$11,MIN(D148,210))),Reference!$A$6:$A$11,1))))*(INDEX(Reference!$B$6:$B$11,MIN(5,MATCH(MAX(Reference!$A$6,MIN(Reference!$A$11,MIN(D148,210))),Reference!$A$6:$A$11,1))+1)-INDEX(Reference!$B$6:$B$11,MIN(5,MATCH(MAX(Reference!$A$6,MIN(Reference!$A$11,MIN(D148,210))),Reference!$A$6:$A$11,1))))/(INDEX(Reference!$A$6:$A$11,MIN(5,MATCH(MAX(Reference!$A$6,MIN(Reference!$A$11,MIN(D148,210))),Reference!$A$6:$A$11,1))+1)-INDEX(Reference!$A$6:$A$11,MIN(5,MATCH(MAX(Reference!$A$6,MIN(Reference!$A$11,MIN(D148,210))),Reference!$A$6:$A$11,1))))),0)+IF(6&lt;=AE148,(AE148-6+3)*(INDEX(Reference!$B$6:$B$11,MIN(5,MATCH(MAX(Reference!$A$6,MIN(Reference!$A$11,MIN(D148,240))),Reference!$A$6:$A$11,1)))+(MAX(Reference!$A$6,MIN(Reference!$A$11,MIN(D148,240)))-INDEX(Reference!$A$6:$A$11,MIN(5,MATCH(MAX(Reference!$A$6,MIN(Reference!$A$11,MIN(D148,240))),Reference!$A$6:$A$11,1))))*(INDEX(Reference!$B$6:$B$11,MIN(5,MATCH(MAX(Reference!$A$6,MIN(Reference!$A$11,MIN(D148,240))),Reference!$A$6:$A$11,1))+1)-INDEX(Reference!$B$6:$B$11,MIN(5,MATCH(MAX(Reference!$A$6,MIN(Reference!$A$11,MIN(D148,240))),Reference!$A$6:$A$11,1))))/(INDEX(Reference!$A$6:$A$11,MIN(5,MATCH(MAX(Reference!$A$6,MIN(Reference!$A$11,MIN(D148,240))),Reference!$A$6:$A$11,1))+1)-INDEX(Reference!$A$6:$A$11,MIN(5,MATCH(MAX(Reference!$A$6,MIN(Reference!$A$11,MIN(D148,240))),Reference!$A$6:$A$11,1))))),0)+IF(7&lt;=AE148,(AE148-7+3)*(INDEX(Reference!$B$6:$B$11,MIN(5,MATCH(MAX(Reference!$A$6,MIN(Reference!$A$11,MIN(D148,270))),Reference!$A$6:$A$11,1)))+(MAX(Reference!$A$6,MIN(Reference!$A$11,MIN(D148,270)))-INDEX(Reference!$A$6:$A$11,MIN(5,MATCH(MAX(Reference!$A$6,MIN(Reference!$A$11,MIN(D148,270))),Reference!$A$6:$A$11,1))))*(INDEX(Reference!$B$6:$B$11,MIN(5,MATCH(MAX(Reference!$A$6,MIN(Reference!$A$11,MIN(D148,270))),Reference!$A$6:$A$11,1))+1)-INDEX(Reference!$B$6:$B$11,MIN(5,MATCH(MAX(Reference!$A$6,MIN(Reference!$A$11,MIN(D148,270))),Reference!$A$6:$A$11,1))))/(INDEX(Reference!$A$6:$A$11,MIN(5,MATCH(MAX(Reference!$A$6,MIN(Reference!$A$11,MIN(D148,270))),Reference!$A$6:$A$11,1))+1)-INDEX(Reference!$A$6:$A$11,MIN(5,MATCH(MAX(Reference!$A$6,MIN(Reference!$A$11,MIN(D148,270))),Reference!$A$6:$A$11,1))))),0)+IF(8&lt;=AE148,(AE148-8+3)*(INDEX(Reference!$B$6:$B$11,MIN(5,MATCH(MAX(Reference!$A$6,MIN(Reference!$A$11,MIN(D148,300))),Reference!$A$6:$A$11,1)))+(MAX(Reference!$A$6,MIN(Reference!$A$11,MIN(D148,300)))-INDEX(Reference!$A$6:$A$11,MIN(5,MATCH(MAX(Reference!$A$6,MIN(Reference!$A$11,MIN(D148,300))),Reference!$A$6:$A$11,1))))*(INDEX(Reference!$B$6:$B$11,MIN(5,MATCH(MAX(Reference!$A$6,MIN(Reference!$A$11,MIN(D148,300))),Reference!$A$6:$A$11,1))+1)-INDEX(Reference!$B$6:$B$11,MIN(5,MATCH(MAX(Reference!$A$6,MIN(Reference!$A$11,MIN(D148,300))),Reference!$A$6:$A$11,1))))/(INDEX(Reference!$A$6:$A$11,MIN(5,MATCH(MAX(Reference!$A$6,MIN(Reference!$A$11,MIN(D148,300))),Reference!$A$6:$A$11,1))+1)-INDEX(Reference!$A$6:$A$11,MIN(5,MATCH(MAX(Reference!$A$6,MIN(Reference!$A$11,MIN(D148,300))),Reference!$A$6:$A$11,1))))),0))/(AE148*(AE148+5)/2)),(INDEX(Reference!$B$6:$B$11,MIN(5,MATCH(MAX(Reference!$A$6,MIN(Reference!$A$11,D148)),Reference!$A$6:$A$11,1)))+(MAX(Reference!$A$6,MIN(Reference!$A$11,D148))-INDEX(Reference!$A$6:$A$11,MIN(5,MATCH(MAX(Reference!$A$6,MIN(Reference!$A$11,D148)),Reference!$A$6:$A$11,1))))*(INDEX(Reference!$B$6:$B$11,MIN(5,MATCH(MAX(Reference!$A$6,MIN(Reference!$A$11,D148)),Reference!$A$6:$A$11,1))+1)-INDEX(Reference!$B$6:$B$11,MIN(5,MATCH(MAX(Reference!$A$6,MIN(Reference!$A$11,D148)),Reference!$A$6:$A$11,1))))/(INDEX(Reference!$A$6:$A$11,MIN(5,MATCH(MAX(Reference!$A$6,MIN(Reference!$A$11,D148)),Reference!$A$6:$A$11,1))+1)-INDEX(Reference!$A$6:$A$11,MIN(5,MATCH(MAX(Reference!$A$6,MIN(Reference!$A$11,D148)),Reference!$A$6:$A$11,1))))))))</f>
        <v/>
      </c>
      <c r="P148" s="32" t="str">
        <f>IF(N148="","",VLOOKUP(MAX(N148,0),Reference!$A$17:$B$20,2,TRUE()))</f>
        <v/>
      </c>
      <c r="Q148" s="32" t="str">
        <f t="shared" si="21"/>
        <v/>
      </c>
      <c r="R148" s="31"/>
      <c r="S148" s="31"/>
      <c r="T148" s="31"/>
      <c r="U148" s="32" t="str">
        <f t="shared" si="22"/>
        <v/>
      </c>
      <c r="V148" s="32" t="str">
        <f t="shared" si="23"/>
        <v/>
      </c>
      <c r="W148" s="32" t="str">
        <f>IF(V148="","",VLOOKUP(MAX(V148,0),Reference!$A$17:$B$20,2,TRUE()))</f>
        <v/>
      </c>
      <c r="X148" s="31"/>
      <c r="Y148" s="31"/>
      <c r="Z148" s="31"/>
      <c r="AA148" s="32" t="str">
        <f t="shared" si="24"/>
        <v/>
      </c>
      <c r="AB148" s="32" t="str">
        <f t="shared" si="25"/>
        <v/>
      </c>
      <c r="AC148" s="32" t="str">
        <f>IF(AB148="","",VLOOKUP(MAX(AB148,0),Reference!$A$17:$B$20,2,TRUE()))</f>
        <v/>
      </c>
      <c r="AD148" s="31"/>
      <c r="AE148">
        <f t="shared" si="26"/>
        <v>1</v>
      </c>
      <c r="AF148" s="33" t="str">
        <f>IF(OR(A148="",B148="",AND(C148&lt;&gt;"Bullpen",C148&lt;&gt;"Game")),"",IF((COUNTIFS($B$5:$B$300,B148,$A$5:$A$300,A148-1,$C$5:$C$300,"Bullpen",$AG$5:$AG$300,"&gt;0") + COUNTIFS($B$5:$B$300,B148,$A$5:$A$300,A148-1,$C$5:$C$300,"Game",$AG$5:$AG$300,"&gt;0"))&gt;0,Reference!$B$119,IF((COUNTIFS($B$5:$B$300,B148,$A$5:$A$300,A148-2,$C$5:$C$300,"Bullpen",$AG$5:$AG$300,"&gt;0") + COUNTIFS($B$5:$B$300,B148,$A$5:$A$300,A148-2,$C$5:$C$300,"Game",$AG$5:$AG$300,"&gt;0"))&gt;0,Reference!$B$120,1)))</f>
        <v/>
      </c>
      <c r="AG148" s="30" t="str">
        <f>IF(AND(OR(I148="",O148="",P148=""),OR(R148="",W148=""),OR(X148="",AC148="")),"",IF(OR(I148="",O148="",P148=""),0,I148*O148*P148)+IF(OR(R148="",W148=""),0,R148*IFERROR(INDEX(Reference!$B$61:$B$62,MATCH("Bullpen",Reference!$A$61:$A$62,0)),0)*W148)+IF(OR(X148="",AC148=""),0,X148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148))</f>
        <v/>
      </c>
    </row>
    <row r="149" spans="1:33" x14ac:dyDescent="0.3">
      <c r="A149" s="35"/>
      <c r="B149" s="31"/>
      <c r="C149" s="31"/>
      <c r="D149" s="31"/>
      <c r="E149" s="34"/>
      <c r="F149" s="34"/>
      <c r="G149" s="30" t="str">
        <f t="shared" si="18"/>
        <v/>
      </c>
      <c r="H149" s="31"/>
      <c r="I149" s="32" t="str">
        <f>IF(H149&lt;&gt;"",H149,IF(G149="","",ROUND(G149*IFERROR(INDEX(Reference!$B$44:$B$50,MATCH(C149,Reference!$A$44:$A$50,0)),0),0)))</f>
        <v/>
      </c>
      <c r="J149" s="31"/>
      <c r="K149" s="31"/>
      <c r="L149" s="32" t="str">
        <f t="shared" si="19"/>
        <v/>
      </c>
      <c r="M149" s="32" t="str">
        <f>IFERROR(INDEX(Roster!$D$5:$D$40,MATCH(B149,Roster!$A$5:$A$40,0)),"")</f>
        <v/>
      </c>
      <c r="N149" s="32" t="str">
        <f t="shared" si="20"/>
        <v/>
      </c>
      <c r="O149" s="32" t="str">
        <f>IF(OR(C149="Bullpen",C149="Game"),IFERROR(INDEX(Reference!$B$61:$B$62,MATCH(C149,Reference!$A$61:$A$62,0)),""),IF(D149="","",IF(AE149&gt;1,((IF(1&lt;=AE149,(AE149-1+3)*(INDEX(Reference!$B$6:$B$11,MIN(5,MATCH(MAX(Reference!$A$6,MIN(Reference!$A$11,MIN(D149,90))),Reference!$A$6:$A$11,1)))+(MAX(Reference!$A$6,MIN(Reference!$A$11,MIN(D149,90)))-INDEX(Reference!$A$6:$A$11,MIN(5,MATCH(MAX(Reference!$A$6,MIN(Reference!$A$11,MIN(D149,90))),Reference!$A$6:$A$11,1))))*(INDEX(Reference!$B$6:$B$11,MIN(5,MATCH(MAX(Reference!$A$6,MIN(Reference!$A$11,MIN(D149,90))),Reference!$A$6:$A$11,1))+1)-INDEX(Reference!$B$6:$B$11,MIN(5,MATCH(MAX(Reference!$A$6,MIN(Reference!$A$11,MIN(D149,90))),Reference!$A$6:$A$11,1))))/(INDEX(Reference!$A$6:$A$11,MIN(5,MATCH(MAX(Reference!$A$6,MIN(Reference!$A$11,MIN(D149,90))),Reference!$A$6:$A$11,1))+1)-INDEX(Reference!$A$6:$A$11,MIN(5,MATCH(MAX(Reference!$A$6,MIN(Reference!$A$11,MIN(D149,90))),Reference!$A$6:$A$11,1))))),0)+IF(2&lt;=AE149,(AE149-2+3)*(INDEX(Reference!$B$6:$B$11,MIN(5,MATCH(MAX(Reference!$A$6,MIN(Reference!$A$11,MIN(D149,120))),Reference!$A$6:$A$11,1)))+(MAX(Reference!$A$6,MIN(Reference!$A$11,MIN(D149,120)))-INDEX(Reference!$A$6:$A$11,MIN(5,MATCH(MAX(Reference!$A$6,MIN(Reference!$A$11,MIN(D149,120))),Reference!$A$6:$A$11,1))))*(INDEX(Reference!$B$6:$B$11,MIN(5,MATCH(MAX(Reference!$A$6,MIN(Reference!$A$11,MIN(D149,120))),Reference!$A$6:$A$11,1))+1)-INDEX(Reference!$B$6:$B$11,MIN(5,MATCH(MAX(Reference!$A$6,MIN(Reference!$A$11,MIN(D149,120))),Reference!$A$6:$A$11,1))))/(INDEX(Reference!$A$6:$A$11,MIN(5,MATCH(MAX(Reference!$A$6,MIN(Reference!$A$11,MIN(D149,120))),Reference!$A$6:$A$11,1))+1)-INDEX(Reference!$A$6:$A$11,MIN(5,MATCH(MAX(Reference!$A$6,MIN(Reference!$A$11,MIN(D149,120))),Reference!$A$6:$A$11,1))))),0)+IF(3&lt;=AE149,(AE149-3+3)*(INDEX(Reference!$B$6:$B$11,MIN(5,MATCH(MAX(Reference!$A$6,MIN(Reference!$A$11,MIN(D149,150))),Reference!$A$6:$A$11,1)))+(MAX(Reference!$A$6,MIN(Reference!$A$11,MIN(D149,150)))-INDEX(Reference!$A$6:$A$11,MIN(5,MATCH(MAX(Reference!$A$6,MIN(Reference!$A$11,MIN(D149,150))),Reference!$A$6:$A$11,1))))*(INDEX(Reference!$B$6:$B$11,MIN(5,MATCH(MAX(Reference!$A$6,MIN(Reference!$A$11,MIN(D149,150))),Reference!$A$6:$A$11,1))+1)-INDEX(Reference!$B$6:$B$11,MIN(5,MATCH(MAX(Reference!$A$6,MIN(Reference!$A$11,MIN(D149,150))),Reference!$A$6:$A$11,1))))/(INDEX(Reference!$A$6:$A$11,MIN(5,MATCH(MAX(Reference!$A$6,MIN(Reference!$A$11,MIN(D149,150))),Reference!$A$6:$A$11,1))+1)-INDEX(Reference!$A$6:$A$11,MIN(5,MATCH(MAX(Reference!$A$6,MIN(Reference!$A$11,MIN(D149,150))),Reference!$A$6:$A$11,1))))),0)+IF(4&lt;=AE149,(AE149-4+3)*(INDEX(Reference!$B$6:$B$11,MIN(5,MATCH(MAX(Reference!$A$6,MIN(Reference!$A$11,MIN(D149,180))),Reference!$A$6:$A$11,1)))+(MAX(Reference!$A$6,MIN(Reference!$A$11,MIN(D149,180)))-INDEX(Reference!$A$6:$A$11,MIN(5,MATCH(MAX(Reference!$A$6,MIN(Reference!$A$11,MIN(D149,180))),Reference!$A$6:$A$11,1))))*(INDEX(Reference!$B$6:$B$11,MIN(5,MATCH(MAX(Reference!$A$6,MIN(Reference!$A$11,MIN(D149,180))),Reference!$A$6:$A$11,1))+1)-INDEX(Reference!$B$6:$B$11,MIN(5,MATCH(MAX(Reference!$A$6,MIN(Reference!$A$11,MIN(D149,180))),Reference!$A$6:$A$11,1))))/(INDEX(Reference!$A$6:$A$11,MIN(5,MATCH(MAX(Reference!$A$6,MIN(Reference!$A$11,MIN(D149,180))),Reference!$A$6:$A$11,1))+1)-INDEX(Reference!$A$6:$A$11,MIN(5,MATCH(MAX(Reference!$A$6,MIN(Reference!$A$11,MIN(D149,180))),Reference!$A$6:$A$11,1))))),0)+IF(5&lt;=AE149,(AE149-5+3)*(INDEX(Reference!$B$6:$B$11,MIN(5,MATCH(MAX(Reference!$A$6,MIN(Reference!$A$11,MIN(D149,210))),Reference!$A$6:$A$11,1)))+(MAX(Reference!$A$6,MIN(Reference!$A$11,MIN(D149,210)))-INDEX(Reference!$A$6:$A$11,MIN(5,MATCH(MAX(Reference!$A$6,MIN(Reference!$A$11,MIN(D149,210))),Reference!$A$6:$A$11,1))))*(INDEX(Reference!$B$6:$B$11,MIN(5,MATCH(MAX(Reference!$A$6,MIN(Reference!$A$11,MIN(D149,210))),Reference!$A$6:$A$11,1))+1)-INDEX(Reference!$B$6:$B$11,MIN(5,MATCH(MAX(Reference!$A$6,MIN(Reference!$A$11,MIN(D149,210))),Reference!$A$6:$A$11,1))))/(INDEX(Reference!$A$6:$A$11,MIN(5,MATCH(MAX(Reference!$A$6,MIN(Reference!$A$11,MIN(D149,210))),Reference!$A$6:$A$11,1))+1)-INDEX(Reference!$A$6:$A$11,MIN(5,MATCH(MAX(Reference!$A$6,MIN(Reference!$A$11,MIN(D149,210))),Reference!$A$6:$A$11,1))))),0)+IF(6&lt;=AE149,(AE149-6+3)*(INDEX(Reference!$B$6:$B$11,MIN(5,MATCH(MAX(Reference!$A$6,MIN(Reference!$A$11,MIN(D149,240))),Reference!$A$6:$A$11,1)))+(MAX(Reference!$A$6,MIN(Reference!$A$11,MIN(D149,240)))-INDEX(Reference!$A$6:$A$11,MIN(5,MATCH(MAX(Reference!$A$6,MIN(Reference!$A$11,MIN(D149,240))),Reference!$A$6:$A$11,1))))*(INDEX(Reference!$B$6:$B$11,MIN(5,MATCH(MAX(Reference!$A$6,MIN(Reference!$A$11,MIN(D149,240))),Reference!$A$6:$A$11,1))+1)-INDEX(Reference!$B$6:$B$11,MIN(5,MATCH(MAX(Reference!$A$6,MIN(Reference!$A$11,MIN(D149,240))),Reference!$A$6:$A$11,1))))/(INDEX(Reference!$A$6:$A$11,MIN(5,MATCH(MAX(Reference!$A$6,MIN(Reference!$A$11,MIN(D149,240))),Reference!$A$6:$A$11,1))+1)-INDEX(Reference!$A$6:$A$11,MIN(5,MATCH(MAX(Reference!$A$6,MIN(Reference!$A$11,MIN(D149,240))),Reference!$A$6:$A$11,1))))),0)+IF(7&lt;=AE149,(AE149-7+3)*(INDEX(Reference!$B$6:$B$11,MIN(5,MATCH(MAX(Reference!$A$6,MIN(Reference!$A$11,MIN(D149,270))),Reference!$A$6:$A$11,1)))+(MAX(Reference!$A$6,MIN(Reference!$A$11,MIN(D149,270)))-INDEX(Reference!$A$6:$A$11,MIN(5,MATCH(MAX(Reference!$A$6,MIN(Reference!$A$11,MIN(D149,270))),Reference!$A$6:$A$11,1))))*(INDEX(Reference!$B$6:$B$11,MIN(5,MATCH(MAX(Reference!$A$6,MIN(Reference!$A$11,MIN(D149,270))),Reference!$A$6:$A$11,1))+1)-INDEX(Reference!$B$6:$B$11,MIN(5,MATCH(MAX(Reference!$A$6,MIN(Reference!$A$11,MIN(D149,270))),Reference!$A$6:$A$11,1))))/(INDEX(Reference!$A$6:$A$11,MIN(5,MATCH(MAX(Reference!$A$6,MIN(Reference!$A$11,MIN(D149,270))),Reference!$A$6:$A$11,1))+1)-INDEX(Reference!$A$6:$A$11,MIN(5,MATCH(MAX(Reference!$A$6,MIN(Reference!$A$11,MIN(D149,270))),Reference!$A$6:$A$11,1))))),0)+IF(8&lt;=AE149,(AE149-8+3)*(INDEX(Reference!$B$6:$B$11,MIN(5,MATCH(MAX(Reference!$A$6,MIN(Reference!$A$11,MIN(D149,300))),Reference!$A$6:$A$11,1)))+(MAX(Reference!$A$6,MIN(Reference!$A$11,MIN(D149,300)))-INDEX(Reference!$A$6:$A$11,MIN(5,MATCH(MAX(Reference!$A$6,MIN(Reference!$A$11,MIN(D149,300))),Reference!$A$6:$A$11,1))))*(INDEX(Reference!$B$6:$B$11,MIN(5,MATCH(MAX(Reference!$A$6,MIN(Reference!$A$11,MIN(D149,300))),Reference!$A$6:$A$11,1))+1)-INDEX(Reference!$B$6:$B$11,MIN(5,MATCH(MAX(Reference!$A$6,MIN(Reference!$A$11,MIN(D149,300))),Reference!$A$6:$A$11,1))))/(INDEX(Reference!$A$6:$A$11,MIN(5,MATCH(MAX(Reference!$A$6,MIN(Reference!$A$11,MIN(D149,300))),Reference!$A$6:$A$11,1))+1)-INDEX(Reference!$A$6:$A$11,MIN(5,MATCH(MAX(Reference!$A$6,MIN(Reference!$A$11,MIN(D149,300))),Reference!$A$6:$A$11,1))))),0))/(AE149*(AE149+5)/2)),(INDEX(Reference!$B$6:$B$11,MIN(5,MATCH(MAX(Reference!$A$6,MIN(Reference!$A$11,D149)),Reference!$A$6:$A$11,1)))+(MAX(Reference!$A$6,MIN(Reference!$A$11,D149))-INDEX(Reference!$A$6:$A$11,MIN(5,MATCH(MAX(Reference!$A$6,MIN(Reference!$A$11,D149)),Reference!$A$6:$A$11,1))))*(INDEX(Reference!$B$6:$B$11,MIN(5,MATCH(MAX(Reference!$A$6,MIN(Reference!$A$11,D149)),Reference!$A$6:$A$11,1))+1)-INDEX(Reference!$B$6:$B$11,MIN(5,MATCH(MAX(Reference!$A$6,MIN(Reference!$A$11,D149)),Reference!$A$6:$A$11,1))))/(INDEX(Reference!$A$6:$A$11,MIN(5,MATCH(MAX(Reference!$A$6,MIN(Reference!$A$11,D149)),Reference!$A$6:$A$11,1))+1)-INDEX(Reference!$A$6:$A$11,MIN(5,MATCH(MAX(Reference!$A$6,MIN(Reference!$A$11,D149)),Reference!$A$6:$A$11,1))))))))</f>
        <v/>
      </c>
      <c r="P149" s="32" t="str">
        <f>IF(N149="","",VLOOKUP(MAX(N149,0),Reference!$A$17:$B$20,2,TRUE()))</f>
        <v/>
      </c>
      <c r="Q149" s="32" t="str">
        <f t="shared" si="21"/>
        <v/>
      </c>
      <c r="R149" s="31"/>
      <c r="S149" s="31"/>
      <c r="T149" s="31"/>
      <c r="U149" s="32" t="str">
        <f t="shared" si="22"/>
        <v/>
      </c>
      <c r="V149" s="32" t="str">
        <f t="shared" si="23"/>
        <v/>
      </c>
      <c r="W149" s="32" t="str">
        <f>IF(V149="","",VLOOKUP(MAX(V149,0),Reference!$A$17:$B$20,2,TRUE()))</f>
        <v/>
      </c>
      <c r="X149" s="31"/>
      <c r="Y149" s="31"/>
      <c r="Z149" s="31"/>
      <c r="AA149" s="32" t="str">
        <f t="shared" si="24"/>
        <v/>
      </c>
      <c r="AB149" s="32" t="str">
        <f t="shared" si="25"/>
        <v/>
      </c>
      <c r="AC149" s="32" t="str">
        <f>IF(AB149="","",VLOOKUP(MAX(AB149,0),Reference!$A$17:$B$20,2,TRUE()))</f>
        <v/>
      </c>
      <c r="AD149" s="31"/>
      <c r="AE149">
        <f t="shared" si="26"/>
        <v>1</v>
      </c>
      <c r="AF149" s="33" t="str">
        <f>IF(OR(A149="",B149="",AND(C149&lt;&gt;"Bullpen",C149&lt;&gt;"Game")),"",IF((COUNTIFS($B$5:$B$300,B149,$A$5:$A$300,A149-1,$C$5:$C$300,"Bullpen",$AG$5:$AG$300,"&gt;0") + COUNTIFS($B$5:$B$300,B149,$A$5:$A$300,A149-1,$C$5:$C$300,"Game",$AG$5:$AG$300,"&gt;0"))&gt;0,Reference!$B$119,IF((COUNTIFS($B$5:$B$300,B149,$A$5:$A$300,A149-2,$C$5:$C$300,"Bullpen",$AG$5:$AG$300,"&gt;0") + COUNTIFS($B$5:$B$300,B149,$A$5:$A$300,A149-2,$C$5:$C$300,"Game",$AG$5:$AG$300,"&gt;0"))&gt;0,Reference!$B$120,1)))</f>
        <v/>
      </c>
      <c r="AG149" s="30" t="str">
        <f>IF(AND(OR(I149="",O149="",P149=""),OR(R149="",W149=""),OR(X149="",AC149="")),"",IF(OR(I149="",O149="",P149=""),0,I149*O149*P149)+IF(OR(R149="",W149=""),0,R149*IFERROR(INDEX(Reference!$B$61:$B$62,MATCH("Bullpen",Reference!$A$61:$A$62,0)),0)*W149)+IF(OR(X149="",AC149=""),0,X149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149))</f>
        <v/>
      </c>
    </row>
    <row r="150" spans="1:33" x14ac:dyDescent="0.3">
      <c r="A150" s="35"/>
      <c r="B150" s="31"/>
      <c r="C150" s="31"/>
      <c r="D150" s="31"/>
      <c r="E150" s="34"/>
      <c r="F150" s="34"/>
      <c r="G150" s="30" t="str">
        <f t="shared" si="18"/>
        <v/>
      </c>
      <c r="H150" s="31"/>
      <c r="I150" s="32" t="str">
        <f>IF(H150&lt;&gt;"",H150,IF(G150="","",ROUND(G150*IFERROR(INDEX(Reference!$B$44:$B$50,MATCH(C150,Reference!$A$44:$A$50,0)),0),0)))</f>
        <v/>
      </c>
      <c r="J150" s="31"/>
      <c r="K150" s="31"/>
      <c r="L150" s="32" t="str">
        <f t="shared" si="19"/>
        <v/>
      </c>
      <c r="M150" s="32" t="str">
        <f>IFERROR(INDEX(Roster!$D$5:$D$40,MATCH(B150,Roster!$A$5:$A$40,0)),"")</f>
        <v/>
      </c>
      <c r="N150" s="32" t="str">
        <f t="shared" si="20"/>
        <v/>
      </c>
      <c r="O150" s="32" t="str">
        <f>IF(OR(C150="Bullpen",C150="Game"),IFERROR(INDEX(Reference!$B$61:$B$62,MATCH(C150,Reference!$A$61:$A$62,0)),""),IF(D150="","",IF(AE150&gt;1,((IF(1&lt;=AE150,(AE150-1+3)*(INDEX(Reference!$B$6:$B$11,MIN(5,MATCH(MAX(Reference!$A$6,MIN(Reference!$A$11,MIN(D150,90))),Reference!$A$6:$A$11,1)))+(MAX(Reference!$A$6,MIN(Reference!$A$11,MIN(D150,90)))-INDEX(Reference!$A$6:$A$11,MIN(5,MATCH(MAX(Reference!$A$6,MIN(Reference!$A$11,MIN(D150,90))),Reference!$A$6:$A$11,1))))*(INDEX(Reference!$B$6:$B$11,MIN(5,MATCH(MAX(Reference!$A$6,MIN(Reference!$A$11,MIN(D150,90))),Reference!$A$6:$A$11,1))+1)-INDEX(Reference!$B$6:$B$11,MIN(5,MATCH(MAX(Reference!$A$6,MIN(Reference!$A$11,MIN(D150,90))),Reference!$A$6:$A$11,1))))/(INDEX(Reference!$A$6:$A$11,MIN(5,MATCH(MAX(Reference!$A$6,MIN(Reference!$A$11,MIN(D150,90))),Reference!$A$6:$A$11,1))+1)-INDEX(Reference!$A$6:$A$11,MIN(5,MATCH(MAX(Reference!$A$6,MIN(Reference!$A$11,MIN(D150,90))),Reference!$A$6:$A$11,1))))),0)+IF(2&lt;=AE150,(AE150-2+3)*(INDEX(Reference!$B$6:$B$11,MIN(5,MATCH(MAX(Reference!$A$6,MIN(Reference!$A$11,MIN(D150,120))),Reference!$A$6:$A$11,1)))+(MAX(Reference!$A$6,MIN(Reference!$A$11,MIN(D150,120)))-INDEX(Reference!$A$6:$A$11,MIN(5,MATCH(MAX(Reference!$A$6,MIN(Reference!$A$11,MIN(D150,120))),Reference!$A$6:$A$11,1))))*(INDEX(Reference!$B$6:$B$11,MIN(5,MATCH(MAX(Reference!$A$6,MIN(Reference!$A$11,MIN(D150,120))),Reference!$A$6:$A$11,1))+1)-INDEX(Reference!$B$6:$B$11,MIN(5,MATCH(MAX(Reference!$A$6,MIN(Reference!$A$11,MIN(D150,120))),Reference!$A$6:$A$11,1))))/(INDEX(Reference!$A$6:$A$11,MIN(5,MATCH(MAX(Reference!$A$6,MIN(Reference!$A$11,MIN(D150,120))),Reference!$A$6:$A$11,1))+1)-INDEX(Reference!$A$6:$A$11,MIN(5,MATCH(MAX(Reference!$A$6,MIN(Reference!$A$11,MIN(D150,120))),Reference!$A$6:$A$11,1))))),0)+IF(3&lt;=AE150,(AE150-3+3)*(INDEX(Reference!$B$6:$B$11,MIN(5,MATCH(MAX(Reference!$A$6,MIN(Reference!$A$11,MIN(D150,150))),Reference!$A$6:$A$11,1)))+(MAX(Reference!$A$6,MIN(Reference!$A$11,MIN(D150,150)))-INDEX(Reference!$A$6:$A$11,MIN(5,MATCH(MAX(Reference!$A$6,MIN(Reference!$A$11,MIN(D150,150))),Reference!$A$6:$A$11,1))))*(INDEX(Reference!$B$6:$B$11,MIN(5,MATCH(MAX(Reference!$A$6,MIN(Reference!$A$11,MIN(D150,150))),Reference!$A$6:$A$11,1))+1)-INDEX(Reference!$B$6:$B$11,MIN(5,MATCH(MAX(Reference!$A$6,MIN(Reference!$A$11,MIN(D150,150))),Reference!$A$6:$A$11,1))))/(INDEX(Reference!$A$6:$A$11,MIN(5,MATCH(MAX(Reference!$A$6,MIN(Reference!$A$11,MIN(D150,150))),Reference!$A$6:$A$11,1))+1)-INDEX(Reference!$A$6:$A$11,MIN(5,MATCH(MAX(Reference!$A$6,MIN(Reference!$A$11,MIN(D150,150))),Reference!$A$6:$A$11,1))))),0)+IF(4&lt;=AE150,(AE150-4+3)*(INDEX(Reference!$B$6:$B$11,MIN(5,MATCH(MAX(Reference!$A$6,MIN(Reference!$A$11,MIN(D150,180))),Reference!$A$6:$A$11,1)))+(MAX(Reference!$A$6,MIN(Reference!$A$11,MIN(D150,180)))-INDEX(Reference!$A$6:$A$11,MIN(5,MATCH(MAX(Reference!$A$6,MIN(Reference!$A$11,MIN(D150,180))),Reference!$A$6:$A$11,1))))*(INDEX(Reference!$B$6:$B$11,MIN(5,MATCH(MAX(Reference!$A$6,MIN(Reference!$A$11,MIN(D150,180))),Reference!$A$6:$A$11,1))+1)-INDEX(Reference!$B$6:$B$11,MIN(5,MATCH(MAX(Reference!$A$6,MIN(Reference!$A$11,MIN(D150,180))),Reference!$A$6:$A$11,1))))/(INDEX(Reference!$A$6:$A$11,MIN(5,MATCH(MAX(Reference!$A$6,MIN(Reference!$A$11,MIN(D150,180))),Reference!$A$6:$A$11,1))+1)-INDEX(Reference!$A$6:$A$11,MIN(5,MATCH(MAX(Reference!$A$6,MIN(Reference!$A$11,MIN(D150,180))),Reference!$A$6:$A$11,1))))),0)+IF(5&lt;=AE150,(AE150-5+3)*(INDEX(Reference!$B$6:$B$11,MIN(5,MATCH(MAX(Reference!$A$6,MIN(Reference!$A$11,MIN(D150,210))),Reference!$A$6:$A$11,1)))+(MAX(Reference!$A$6,MIN(Reference!$A$11,MIN(D150,210)))-INDEX(Reference!$A$6:$A$11,MIN(5,MATCH(MAX(Reference!$A$6,MIN(Reference!$A$11,MIN(D150,210))),Reference!$A$6:$A$11,1))))*(INDEX(Reference!$B$6:$B$11,MIN(5,MATCH(MAX(Reference!$A$6,MIN(Reference!$A$11,MIN(D150,210))),Reference!$A$6:$A$11,1))+1)-INDEX(Reference!$B$6:$B$11,MIN(5,MATCH(MAX(Reference!$A$6,MIN(Reference!$A$11,MIN(D150,210))),Reference!$A$6:$A$11,1))))/(INDEX(Reference!$A$6:$A$11,MIN(5,MATCH(MAX(Reference!$A$6,MIN(Reference!$A$11,MIN(D150,210))),Reference!$A$6:$A$11,1))+1)-INDEX(Reference!$A$6:$A$11,MIN(5,MATCH(MAX(Reference!$A$6,MIN(Reference!$A$11,MIN(D150,210))),Reference!$A$6:$A$11,1))))),0)+IF(6&lt;=AE150,(AE150-6+3)*(INDEX(Reference!$B$6:$B$11,MIN(5,MATCH(MAX(Reference!$A$6,MIN(Reference!$A$11,MIN(D150,240))),Reference!$A$6:$A$11,1)))+(MAX(Reference!$A$6,MIN(Reference!$A$11,MIN(D150,240)))-INDEX(Reference!$A$6:$A$11,MIN(5,MATCH(MAX(Reference!$A$6,MIN(Reference!$A$11,MIN(D150,240))),Reference!$A$6:$A$11,1))))*(INDEX(Reference!$B$6:$B$11,MIN(5,MATCH(MAX(Reference!$A$6,MIN(Reference!$A$11,MIN(D150,240))),Reference!$A$6:$A$11,1))+1)-INDEX(Reference!$B$6:$B$11,MIN(5,MATCH(MAX(Reference!$A$6,MIN(Reference!$A$11,MIN(D150,240))),Reference!$A$6:$A$11,1))))/(INDEX(Reference!$A$6:$A$11,MIN(5,MATCH(MAX(Reference!$A$6,MIN(Reference!$A$11,MIN(D150,240))),Reference!$A$6:$A$11,1))+1)-INDEX(Reference!$A$6:$A$11,MIN(5,MATCH(MAX(Reference!$A$6,MIN(Reference!$A$11,MIN(D150,240))),Reference!$A$6:$A$11,1))))),0)+IF(7&lt;=AE150,(AE150-7+3)*(INDEX(Reference!$B$6:$B$11,MIN(5,MATCH(MAX(Reference!$A$6,MIN(Reference!$A$11,MIN(D150,270))),Reference!$A$6:$A$11,1)))+(MAX(Reference!$A$6,MIN(Reference!$A$11,MIN(D150,270)))-INDEX(Reference!$A$6:$A$11,MIN(5,MATCH(MAX(Reference!$A$6,MIN(Reference!$A$11,MIN(D150,270))),Reference!$A$6:$A$11,1))))*(INDEX(Reference!$B$6:$B$11,MIN(5,MATCH(MAX(Reference!$A$6,MIN(Reference!$A$11,MIN(D150,270))),Reference!$A$6:$A$11,1))+1)-INDEX(Reference!$B$6:$B$11,MIN(5,MATCH(MAX(Reference!$A$6,MIN(Reference!$A$11,MIN(D150,270))),Reference!$A$6:$A$11,1))))/(INDEX(Reference!$A$6:$A$11,MIN(5,MATCH(MAX(Reference!$A$6,MIN(Reference!$A$11,MIN(D150,270))),Reference!$A$6:$A$11,1))+1)-INDEX(Reference!$A$6:$A$11,MIN(5,MATCH(MAX(Reference!$A$6,MIN(Reference!$A$11,MIN(D150,270))),Reference!$A$6:$A$11,1))))),0)+IF(8&lt;=AE150,(AE150-8+3)*(INDEX(Reference!$B$6:$B$11,MIN(5,MATCH(MAX(Reference!$A$6,MIN(Reference!$A$11,MIN(D150,300))),Reference!$A$6:$A$11,1)))+(MAX(Reference!$A$6,MIN(Reference!$A$11,MIN(D150,300)))-INDEX(Reference!$A$6:$A$11,MIN(5,MATCH(MAX(Reference!$A$6,MIN(Reference!$A$11,MIN(D150,300))),Reference!$A$6:$A$11,1))))*(INDEX(Reference!$B$6:$B$11,MIN(5,MATCH(MAX(Reference!$A$6,MIN(Reference!$A$11,MIN(D150,300))),Reference!$A$6:$A$11,1))+1)-INDEX(Reference!$B$6:$B$11,MIN(5,MATCH(MAX(Reference!$A$6,MIN(Reference!$A$11,MIN(D150,300))),Reference!$A$6:$A$11,1))))/(INDEX(Reference!$A$6:$A$11,MIN(5,MATCH(MAX(Reference!$A$6,MIN(Reference!$A$11,MIN(D150,300))),Reference!$A$6:$A$11,1))+1)-INDEX(Reference!$A$6:$A$11,MIN(5,MATCH(MAX(Reference!$A$6,MIN(Reference!$A$11,MIN(D150,300))),Reference!$A$6:$A$11,1))))),0))/(AE150*(AE150+5)/2)),(INDEX(Reference!$B$6:$B$11,MIN(5,MATCH(MAX(Reference!$A$6,MIN(Reference!$A$11,D150)),Reference!$A$6:$A$11,1)))+(MAX(Reference!$A$6,MIN(Reference!$A$11,D150))-INDEX(Reference!$A$6:$A$11,MIN(5,MATCH(MAX(Reference!$A$6,MIN(Reference!$A$11,D150)),Reference!$A$6:$A$11,1))))*(INDEX(Reference!$B$6:$B$11,MIN(5,MATCH(MAX(Reference!$A$6,MIN(Reference!$A$11,D150)),Reference!$A$6:$A$11,1))+1)-INDEX(Reference!$B$6:$B$11,MIN(5,MATCH(MAX(Reference!$A$6,MIN(Reference!$A$11,D150)),Reference!$A$6:$A$11,1))))/(INDEX(Reference!$A$6:$A$11,MIN(5,MATCH(MAX(Reference!$A$6,MIN(Reference!$A$11,D150)),Reference!$A$6:$A$11,1))+1)-INDEX(Reference!$A$6:$A$11,MIN(5,MATCH(MAX(Reference!$A$6,MIN(Reference!$A$11,D150)),Reference!$A$6:$A$11,1))))))))</f>
        <v/>
      </c>
      <c r="P150" s="32" t="str">
        <f>IF(N150="","",VLOOKUP(MAX(N150,0),Reference!$A$17:$B$20,2,TRUE()))</f>
        <v/>
      </c>
      <c r="Q150" s="32" t="str">
        <f t="shared" si="21"/>
        <v/>
      </c>
      <c r="R150" s="31"/>
      <c r="S150" s="31"/>
      <c r="T150" s="31"/>
      <c r="U150" s="32" t="str">
        <f t="shared" si="22"/>
        <v/>
      </c>
      <c r="V150" s="32" t="str">
        <f t="shared" si="23"/>
        <v/>
      </c>
      <c r="W150" s="32" t="str">
        <f>IF(V150="","",VLOOKUP(MAX(V150,0),Reference!$A$17:$B$20,2,TRUE()))</f>
        <v/>
      </c>
      <c r="X150" s="31"/>
      <c r="Y150" s="31"/>
      <c r="Z150" s="31"/>
      <c r="AA150" s="32" t="str">
        <f t="shared" si="24"/>
        <v/>
      </c>
      <c r="AB150" s="32" t="str">
        <f t="shared" si="25"/>
        <v/>
      </c>
      <c r="AC150" s="32" t="str">
        <f>IF(AB150="","",VLOOKUP(MAX(AB150,0),Reference!$A$17:$B$20,2,TRUE()))</f>
        <v/>
      </c>
      <c r="AD150" s="31"/>
      <c r="AE150">
        <f t="shared" si="26"/>
        <v>1</v>
      </c>
      <c r="AF150" s="33" t="str">
        <f>IF(OR(A150="",B150="",AND(C150&lt;&gt;"Bullpen",C150&lt;&gt;"Game")),"",IF((COUNTIFS($B$5:$B$300,B150,$A$5:$A$300,A150-1,$C$5:$C$300,"Bullpen",$AG$5:$AG$300,"&gt;0") + COUNTIFS($B$5:$B$300,B150,$A$5:$A$300,A150-1,$C$5:$C$300,"Game",$AG$5:$AG$300,"&gt;0"))&gt;0,Reference!$B$119,IF((COUNTIFS($B$5:$B$300,B150,$A$5:$A$300,A150-2,$C$5:$C$300,"Bullpen",$AG$5:$AG$300,"&gt;0") + COUNTIFS($B$5:$B$300,B150,$A$5:$A$300,A150-2,$C$5:$C$300,"Game",$AG$5:$AG$300,"&gt;0"))&gt;0,Reference!$B$120,1)))</f>
        <v/>
      </c>
      <c r="AG150" s="30" t="str">
        <f>IF(AND(OR(I150="",O150="",P150=""),OR(R150="",W150=""),OR(X150="",AC150="")),"",IF(OR(I150="",O150="",P150=""),0,I150*O150*P150)+IF(OR(R150="",W150=""),0,R150*IFERROR(INDEX(Reference!$B$61:$B$62,MATCH("Bullpen",Reference!$A$61:$A$62,0)),0)*W150)+IF(OR(X150="",AC150=""),0,X150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150))</f>
        <v/>
      </c>
    </row>
    <row r="151" spans="1:33" x14ac:dyDescent="0.3">
      <c r="A151" s="35"/>
      <c r="B151" s="31"/>
      <c r="C151" s="31"/>
      <c r="D151" s="31"/>
      <c r="E151" s="34"/>
      <c r="F151" s="34"/>
      <c r="G151" s="30" t="str">
        <f t="shared" si="18"/>
        <v/>
      </c>
      <c r="H151" s="31"/>
      <c r="I151" s="32" t="str">
        <f>IF(H151&lt;&gt;"",H151,IF(G151="","",ROUND(G151*IFERROR(INDEX(Reference!$B$44:$B$50,MATCH(C151,Reference!$A$44:$A$50,0)),0),0)))</f>
        <v/>
      </c>
      <c r="J151" s="31"/>
      <c r="K151" s="31"/>
      <c r="L151" s="32" t="str">
        <f t="shared" si="19"/>
        <v/>
      </c>
      <c r="M151" s="32" t="str">
        <f>IFERROR(INDEX(Roster!$D$5:$D$40,MATCH(B151,Roster!$A$5:$A$40,0)),"")</f>
        <v/>
      </c>
      <c r="N151" s="32" t="str">
        <f t="shared" si="20"/>
        <v/>
      </c>
      <c r="O151" s="32" t="str">
        <f>IF(OR(C151="Bullpen",C151="Game"),IFERROR(INDEX(Reference!$B$61:$B$62,MATCH(C151,Reference!$A$61:$A$62,0)),""),IF(D151="","",IF(AE151&gt;1,((IF(1&lt;=AE151,(AE151-1+3)*(INDEX(Reference!$B$6:$B$11,MIN(5,MATCH(MAX(Reference!$A$6,MIN(Reference!$A$11,MIN(D151,90))),Reference!$A$6:$A$11,1)))+(MAX(Reference!$A$6,MIN(Reference!$A$11,MIN(D151,90)))-INDEX(Reference!$A$6:$A$11,MIN(5,MATCH(MAX(Reference!$A$6,MIN(Reference!$A$11,MIN(D151,90))),Reference!$A$6:$A$11,1))))*(INDEX(Reference!$B$6:$B$11,MIN(5,MATCH(MAX(Reference!$A$6,MIN(Reference!$A$11,MIN(D151,90))),Reference!$A$6:$A$11,1))+1)-INDEX(Reference!$B$6:$B$11,MIN(5,MATCH(MAX(Reference!$A$6,MIN(Reference!$A$11,MIN(D151,90))),Reference!$A$6:$A$11,1))))/(INDEX(Reference!$A$6:$A$11,MIN(5,MATCH(MAX(Reference!$A$6,MIN(Reference!$A$11,MIN(D151,90))),Reference!$A$6:$A$11,1))+1)-INDEX(Reference!$A$6:$A$11,MIN(5,MATCH(MAX(Reference!$A$6,MIN(Reference!$A$11,MIN(D151,90))),Reference!$A$6:$A$11,1))))),0)+IF(2&lt;=AE151,(AE151-2+3)*(INDEX(Reference!$B$6:$B$11,MIN(5,MATCH(MAX(Reference!$A$6,MIN(Reference!$A$11,MIN(D151,120))),Reference!$A$6:$A$11,1)))+(MAX(Reference!$A$6,MIN(Reference!$A$11,MIN(D151,120)))-INDEX(Reference!$A$6:$A$11,MIN(5,MATCH(MAX(Reference!$A$6,MIN(Reference!$A$11,MIN(D151,120))),Reference!$A$6:$A$11,1))))*(INDEX(Reference!$B$6:$B$11,MIN(5,MATCH(MAX(Reference!$A$6,MIN(Reference!$A$11,MIN(D151,120))),Reference!$A$6:$A$11,1))+1)-INDEX(Reference!$B$6:$B$11,MIN(5,MATCH(MAX(Reference!$A$6,MIN(Reference!$A$11,MIN(D151,120))),Reference!$A$6:$A$11,1))))/(INDEX(Reference!$A$6:$A$11,MIN(5,MATCH(MAX(Reference!$A$6,MIN(Reference!$A$11,MIN(D151,120))),Reference!$A$6:$A$11,1))+1)-INDEX(Reference!$A$6:$A$11,MIN(5,MATCH(MAX(Reference!$A$6,MIN(Reference!$A$11,MIN(D151,120))),Reference!$A$6:$A$11,1))))),0)+IF(3&lt;=AE151,(AE151-3+3)*(INDEX(Reference!$B$6:$B$11,MIN(5,MATCH(MAX(Reference!$A$6,MIN(Reference!$A$11,MIN(D151,150))),Reference!$A$6:$A$11,1)))+(MAX(Reference!$A$6,MIN(Reference!$A$11,MIN(D151,150)))-INDEX(Reference!$A$6:$A$11,MIN(5,MATCH(MAX(Reference!$A$6,MIN(Reference!$A$11,MIN(D151,150))),Reference!$A$6:$A$11,1))))*(INDEX(Reference!$B$6:$B$11,MIN(5,MATCH(MAX(Reference!$A$6,MIN(Reference!$A$11,MIN(D151,150))),Reference!$A$6:$A$11,1))+1)-INDEX(Reference!$B$6:$B$11,MIN(5,MATCH(MAX(Reference!$A$6,MIN(Reference!$A$11,MIN(D151,150))),Reference!$A$6:$A$11,1))))/(INDEX(Reference!$A$6:$A$11,MIN(5,MATCH(MAX(Reference!$A$6,MIN(Reference!$A$11,MIN(D151,150))),Reference!$A$6:$A$11,1))+1)-INDEX(Reference!$A$6:$A$11,MIN(5,MATCH(MAX(Reference!$A$6,MIN(Reference!$A$11,MIN(D151,150))),Reference!$A$6:$A$11,1))))),0)+IF(4&lt;=AE151,(AE151-4+3)*(INDEX(Reference!$B$6:$B$11,MIN(5,MATCH(MAX(Reference!$A$6,MIN(Reference!$A$11,MIN(D151,180))),Reference!$A$6:$A$11,1)))+(MAX(Reference!$A$6,MIN(Reference!$A$11,MIN(D151,180)))-INDEX(Reference!$A$6:$A$11,MIN(5,MATCH(MAX(Reference!$A$6,MIN(Reference!$A$11,MIN(D151,180))),Reference!$A$6:$A$11,1))))*(INDEX(Reference!$B$6:$B$11,MIN(5,MATCH(MAX(Reference!$A$6,MIN(Reference!$A$11,MIN(D151,180))),Reference!$A$6:$A$11,1))+1)-INDEX(Reference!$B$6:$B$11,MIN(5,MATCH(MAX(Reference!$A$6,MIN(Reference!$A$11,MIN(D151,180))),Reference!$A$6:$A$11,1))))/(INDEX(Reference!$A$6:$A$11,MIN(5,MATCH(MAX(Reference!$A$6,MIN(Reference!$A$11,MIN(D151,180))),Reference!$A$6:$A$11,1))+1)-INDEX(Reference!$A$6:$A$11,MIN(5,MATCH(MAX(Reference!$A$6,MIN(Reference!$A$11,MIN(D151,180))),Reference!$A$6:$A$11,1))))),0)+IF(5&lt;=AE151,(AE151-5+3)*(INDEX(Reference!$B$6:$B$11,MIN(5,MATCH(MAX(Reference!$A$6,MIN(Reference!$A$11,MIN(D151,210))),Reference!$A$6:$A$11,1)))+(MAX(Reference!$A$6,MIN(Reference!$A$11,MIN(D151,210)))-INDEX(Reference!$A$6:$A$11,MIN(5,MATCH(MAX(Reference!$A$6,MIN(Reference!$A$11,MIN(D151,210))),Reference!$A$6:$A$11,1))))*(INDEX(Reference!$B$6:$B$11,MIN(5,MATCH(MAX(Reference!$A$6,MIN(Reference!$A$11,MIN(D151,210))),Reference!$A$6:$A$11,1))+1)-INDEX(Reference!$B$6:$B$11,MIN(5,MATCH(MAX(Reference!$A$6,MIN(Reference!$A$11,MIN(D151,210))),Reference!$A$6:$A$11,1))))/(INDEX(Reference!$A$6:$A$11,MIN(5,MATCH(MAX(Reference!$A$6,MIN(Reference!$A$11,MIN(D151,210))),Reference!$A$6:$A$11,1))+1)-INDEX(Reference!$A$6:$A$11,MIN(5,MATCH(MAX(Reference!$A$6,MIN(Reference!$A$11,MIN(D151,210))),Reference!$A$6:$A$11,1))))),0)+IF(6&lt;=AE151,(AE151-6+3)*(INDEX(Reference!$B$6:$B$11,MIN(5,MATCH(MAX(Reference!$A$6,MIN(Reference!$A$11,MIN(D151,240))),Reference!$A$6:$A$11,1)))+(MAX(Reference!$A$6,MIN(Reference!$A$11,MIN(D151,240)))-INDEX(Reference!$A$6:$A$11,MIN(5,MATCH(MAX(Reference!$A$6,MIN(Reference!$A$11,MIN(D151,240))),Reference!$A$6:$A$11,1))))*(INDEX(Reference!$B$6:$B$11,MIN(5,MATCH(MAX(Reference!$A$6,MIN(Reference!$A$11,MIN(D151,240))),Reference!$A$6:$A$11,1))+1)-INDEX(Reference!$B$6:$B$11,MIN(5,MATCH(MAX(Reference!$A$6,MIN(Reference!$A$11,MIN(D151,240))),Reference!$A$6:$A$11,1))))/(INDEX(Reference!$A$6:$A$11,MIN(5,MATCH(MAX(Reference!$A$6,MIN(Reference!$A$11,MIN(D151,240))),Reference!$A$6:$A$11,1))+1)-INDEX(Reference!$A$6:$A$11,MIN(5,MATCH(MAX(Reference!$A$6,MIN(Reference!$A$11,MIN(D151,240))),Reference!$A$6:$A$11,1))))),0)+IF(7&lt;=AE151,(AE151-7+3)*(INDEX(Reference!$B$6:$B$11,MIN(5,MATCH(MAX(Reference!$A$6,MIN(Reference!$A$11,MIN(D151,270))),Reference!$A$6:$A$11,1)))+(MAX(Reference!$A$6,MIN(Reference!$A$11,MIN(D151,270)))-INDEX(Reference!$A$6:$A$11,MIN(5,MATCH(MAX(Reference!$A$6,MIN(Reference!$A$11,MIN(D151,270))),Reference!$A$6:$A$11,1))))*(INDEX(Reference!$B$6:$B$11,MIN(5,MATCH(MAX(Reference!$A$6,MIN(Reference!$A$11,MIN(D151,270))),Reference!$A$6:$A$11,1))+1)-INDEX(Reference!$B$6:$B$11,MIN(5,MATCH(MAX(Reference!$A$6,MIN(Reference!$A$11,MIN(D151,270))),Reference!$A$6:$A$11,1))))/(INDEX(Reference!$A$6:$A$11,MIN(5,MATCH(MAX(Reference!$A$6,MIN(Reference!$A$11,MIN(D151,270))),Reference!$A$6:$A$11,1))+1)-INDEX(Reference!$A$6:$A$11,MIN(5,MATCH(MAX(Reference!$A$6,MIN(Reference!$A$11,MIN(D151,270))),Reference!$A$6:$A$11,1))))),0)+IF(8&lt;=AE151,(AE151-8+3)*(INDEX(Reference!$B$6:$B$11,MIN(5,MATCH(MAX(Reference!$A$6,MIN(Reference!$A$11,MIN(D151,300))),Reference!$A$6:$A$11,1)))+(MAX(Reference!$A$6,MIN(Reference!$A$11,MIN(D151,300)))-INDEX(Reference!$A$6:$A$11,MIN(5,MATCH(MAX(Reference!$A$6,MIN(Reference!$A$11,MIN(D151,300))),Reference!$A$6:$A$11,1))))*(INDEX(Reference!$B$6:$B$11,MIN(5,MATCH(MAX(Reference!$A$6,MIN(Reference!$A$11,MIN(D151,300))),Reference!$A$6:$A$11,1))+1)-INDEX(Reference!$B$6:$B$11,MIN(5,MATCH(MAX(Reference!$A$6,MIN(Reference!$A$11,MIN(D151,300))),Reference!$A$6:$A$11,1))))/(INDEX(Reference!$A$6:$A$11,MIN(5,MATCH(MAX(Reference!$A$6,MIN(Reference!$A$11,MIN(D151,300))),Reference!$A$6:$A$11,1))+1)-INDEX(Reference!$A$6:$A$11,MIN(5,MATCH(MAX(Reference!$A$6,MIN(Reference!$A$11,MIN(D151,300))),Reference!$A$6:$A$11,1))))),0))/(AE151*(AE151+5)/2)),(INDEX(Reference!$B$6:$B$11,MIN(5,MATCH(MAX(Reference!$A$6,MIN(Reference!$A$11,D151)),Reference!$A$6:$A$11,1)))+(MAX(Reference!$A$6,MIN(Reference!$A$11,D151))-INDEX(Reference!$A$6:$A$11,MIN(5,MATCH(MAX(Reference!$A$6,MIN(Reference!$A$11,D151)),Reference!$A$6:$A$11,1))))*(INDEX(Reference!$B$6:$B$11,MIN(5,MATCH(MAX(Reference!$A$6,MIN(Reference!$A$11,D151)),Reference!$A$6:$A$11,1))+1)-INDEX(Reference!$B$6:$B$11,MIN(5,MATCH(MAX(Reference!$A$6,MIN(Reference!$A$11,D151)),Reference!$A$6:$A$11,1))))/(INDEX(Reference!$A$6:$A$11,MIN(5,MATCH(MAX(Reference!$A$6,MIN(Reference!$A$11,D151)),Reference!$A$6:$A$11,1))+1)-INDEX(Reference!$A$6:$A$11,MIN(5,MATCH(MAX(Reference!$A$6,MIN(Reference!$A$11,D151)),Reference!$A$6:$A$11,1))))))))</f>
        <v/>
      </c>
      <c r="P151" s="32" t="str">
        <f>IF(N151="","",VLOOKUP(MAX(N151,0),Reference!$A$17:$B$20,2,TRUE()))</f>
        <v/>
      </c>
      <c r="Q151" s="32" t="str">
        <f t="shared" si="21"/>
        <v/>
      </c>
      <c r="R151" s="31"/>
      <c r="S151" s="31"/>
      <c r="T151" s="31"/>
      <c r="U151" s="32" t="str">
        <f t="shared" si="22"/>
        <v/>
      </c>
      <c r="V151" s="32" t="str">
        <f t="shared" si="23"/>
        <v/>
      </c>
      <c r="W151" s="32" t="str">
        <f>IF(V151="","",VLOOKUP(MAX(V151,0),Reference!$A$17:$B$20,2,TRUE()))</f>
        <v/>
      </c>
      <c r="X151" s="31"/>
      <c r="Y151" s="31"/>
      <c r="Z151" s="31"/>
      <c r="AA151" s="32" t="str">
        <f t="shared" si="24"/>
        <v/>
      </c>
      <c r="AB151" s="32" t="str">
        <f t="shared" si="25"/>
        <v/>
      </c>
      <c r="AC151" s="32" t="str">
        <f>IF(AB151="","",VLOOKUP(MAX(AB151,0),Reference!$A$17:$B$20,2,TRUE()))</f>
        <v/>
      </c>
      <c r="AD151" s="31"/>
      <c r="AE151">
        <f t="shared" si="26"/>
        <v>1</v>
      </c>
      <c r="AF151" s="33" t="str">
        <f>IF(OR(A151="",B151="",AND(C151&lt;&gt;"Bullpen",C151&lt;&gt;"Game")),"",IF((COUNTIFS($B$5:$B$300,B151,$A$5:$A$300,A151-1,$C$5:$C$300,"Bullpen",$AG$5:$AG$300,"&gt;0") + COUNTIFS($B$5:$B$300,B151,$A$5:$A$300,A151-1,$C$5:$C$300,"Game",$AG$5:$AG$300,"&gt;0"))&gt;0,Reference!$B$119,IF((COUNTIFS($B$5:$B$300,B151,$A$5:$A$300,A151-2,$C$5:$C$300,"Bullpen",$AG$5:$AG$300,"&gt;0") + COUNTIFS($B$5:$B$300,B151,$A$5:$A$300,A151-2,$C$5:$C$300,"Game",$AG$5:$AG$300,"&gt;0"))&gt;0,Reference!$B$120,1)))</f>
        <v/>
      </c>
      <c r="AG151" s="30" t="str">
        <f>IF(AND(OR(I151="",O151="",P151=""),OR(R151="",W151=""),OR(X151="",AC151="")),"",IF(OR(I151="",O151="",P151=""),0,I151*O151*P151)+IF(OR(R151="",W151=""),0,R151*IFERROR(INDEX(Reference!$B$61:$B$62,MATCH("Bullpen",Reference!$A$61:$A$62,0)),0)*W151)+IF(OR(X151="",AC151=""),0,X151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151))</f>
        <v/>
      </c>
    </row>
    <row r="152" spans="1:33" x14ac:dyDescent="0.3">
      <c r="A152" s="35"/>
      <c r="B152" s="31"/>
      <c r="C152" s="31"/>
      <c r="D152" s="31"/>
      <c r="E152" s="34"/>
      <c r="F152" s="34"/>
      <c r="G152" s="30" t="str">
        <f t="shared" si="18"/>
        <v/>
      </c>
      <c r="H152" s="31"/>
      <c r="I152" s="32" t="str">
        <f>IF(H152&lt;&gt;"",H152,IF(G152="","",ROUND(G152*IFERROR(INDEX(Reference!$B$44:$B$50,MATCH(C152,Reference!$A$44:$A$50,0)),0),0)))</f>
        <v/>
      </c>
      <c r="J152" s="31"/>
      <c r="K152" s="31"/>
      <c r="L152" s="32" t="str">
        <f t="shared" si="19"/>
        <v/>
      </c>
      <c r="M152" s="32" t="str">
        <f>IFERROR(INDEX(Roster!$D$5:$D$40,MATCH(B152,Roster!$A$5:$A$40,0)),"")</f>
        <v/>
      </c>
      <c r="N152" s="32" t="str">
        <f t="shared" si="20"/>
        <v/>
      </c>
      <c r="O152" s="32" t="str">
        <f>IF(OR(C152="Bullpen",C152="Game"),IFERROR(INDEX(Reference!$B$61:$B$62,MATCH(C152,Reference!$A$61:$A$62,0)),""),IF(D152="","",IF(AE152&gt;1,((IF(1&lt;=AE152,(AE152-1+3)*(INDEX(Reference!$B$6:$B$11,MIN(5,MATCH(MAX(Reference!$A$6,MIN(Reference!$A$11,MIN(D152,90))),Reference!$A$6:$A$11,1)))+(MAX(Reference!$A$6,MIN(Reference!$A$11,MIN(D152,90)))-INDEX(Reference!$A$6:$A$11,MIN(5,MATCH(MAX(Reference!$A$6,MIN(Reference!$A$11,MIN(D152,90))),Reference!$A$6:$A$11,1))))*(INDEX(Reference!$B$6:$B$11,MIN(5,MATCH(MAX(Reference!$A$6,MIN(Reference!$A$11,MIN(D152,90))),Reference!$A$6:$A$11,1))+1)-INDEX(Reference!$B$6:$B$11,MIN(5,MATCH(MAX(Reference!$A$6,MIN(Reference!$A$11,MIN(D152,90))),Reference!$A$6:$A$11,1))))/(INDEX(Reference!$A$6:$A$11,MIN(5,MATCH(MAX(Reference!$A$6,MIN(Reference!$A$11,MIN(D152,90))),Reference!$A$6:$A$11,1))+1)-INDEX(Reference!$A$6:$A$11,MIN(5,MATCH(MAX(Reference!$A$6,MIN(Reference!$A$11,MIN(D152,90))),Reference!$A$6:$A$11,1))))),0)+IF(2&lt;=AE152,(AE152-2+3)*(INDEX(Reference!$B$6:$B$11,MIN(5,MATCH(MAX(Reference!$A$6,MIN(Reference!$A$11,MIN(D152,120))),Reference!$A$6:$A$11,1)))+(MAX(Reference!$A$6,MIN(Reference!$A$11,MIN(D152,120)))-INDEX(Reference!$A$6:$A$11,MIN(5,MATCH(MAX(Reference!$A$6,MIN(Reference!$A$11,MIN(D152,120))),Reference!$A$6:$A$11,1))))*(INDEX(Reference!$B$6:$B$11,MIN(5,MATCH(MAX(Reference!$A$6,MIN(Reference!$A$11,MIN(D152,120))),Reference!$A$6:$A$11,1))+1)-INDEX(Reference!$B$6:$B$11,MIN(5,MATCH(MAX(Reference!$A$6,MIN(Reference!$A$11,MIN(D152,120))),Reference!$A$6:$A$11,1))))/(INDEX(Reference!$A$6:$A$11,MIN(5,MATCH(MAX(Reference!$A$6,MIN(Reference!$A$11,MIN(D152,120))),Reference!$A$6:$A$11,1))+1)-INDEX(Reference!$A$6:$A$11,MIN(5,MATCH(MAX(Reference!$A$6,MIN(Reference!$A$11,MIN(D152,120))),Reference!$A$6:$A$11,1))))),0)+IF(3&lt;=AE152,(AE152-3+3)*(INDEX(Reference!$B$6:$B$11,MIN(5,MATCH(MAX(Reference!$A$6,MIN(Reference!$A$11,MIN(D152,150))),Reference!$A$6:$A$11,1)))+(MAX(Reference!$A$6,MIN(Reference!$A$11,MIN(D152,150)))-INDEX(Reference!$A$6:$A$11,MIN(5,MATCH(MAX(Reference!$A$6,MIN(Reference!$A$11,MIN(D152,150))),Reference!$A$6:$A$11,1))))*(INDEX(Reference!$B$6:$B$11,MIN(5,MATCH(MAX(Reference!$A$6,MIN(Reference!$A$11,MIN(D152,150))),Reference!$A$6:$A$11,1))+1)-INDEX(Reference!$B$6:$B$11,MIN(5,MATCH(MAX(Reference!$A$6,MIN(Reference!$A$11,MIN(D152,150))),Reference!$A$6:$A$11,1))))/(INDEX(Reference!$A$6:$A$11,MIN(5,MATCH(MAX(Reference!$A$6,MIN(Reference!$A$11,MIN(D152,150))),Reference!$A$6:$A$11,1))+1)-INDEX(Reference!$A$6:$A$11,MIN(5,MATCH(MAX(Reference!$A$6,MIN(Reference!$A$11,MIN(D152,150))),Reference!$A$6:$A$11,1))))),0)+IF(4&lt;=AE152,(AE152-4+3)*(INDEX(Reference!$B$6:$B$11,MIN(5,MATCH(MAX(Reference!$A$6,MIN(Reference!$A$11,MIN(D152,180))),Reference!$A$6:$A$11,1)))+(MAX(Reference!$A$6,MIN(Reference!$A$11,MIN(D152,180)))-INDEX(Reference!$A$6:$A$11,MIN(5,MATCH(MAX(Reference!$A$6,MIN(Reference!$A$11,MIN(D152,180))),Reference!$A$6:$A$11,1))))*(INDEX(Reference!$B$6:$B$11,MIN(5,MATCH(MAX(Reference!$A$6,MIN(Reference!$A$11,MIN(D152,180))),Reference!$A$6:$A$11,1))+1)-INDEX(Reference!$B$6:$B$11,MIN(5,MATCH(MAX(Reference!$A$6,MIN(Reference!$A$11,MIN(D152,180))),Reference!$A$6:$A$11,1))))/(INDEX(Reference!$A$6:$A$11,MIN(5,MATCH(MAX(Reference!$A$6,MIN(Reference!$A$11,MIN(D152,180))),Reference!$A$6:$A$11,1))+1)-INDEX(Reference!$A$6:$A$11,MIN(5,MATCH(MAX(Reference!$A$6,MIN(Reference!$A$11,MIN(D152,180))),Reference!$A$6:$A$11,1))))),0)+IF(5&lt;=AE152,(AE152-5+3)*(INDEX(Reference!$B$6:$B$11,MIN(5,MATCH(MAX(Reference!$A$6,MIN(Reference!$A$11,MIN(D152,210))),Reference!$A$6:$A$11,1)))+(MAX(Reference!$A$6,MIN(Reference!$A$11,MIN(D152,210)))-INDEX(Reference!$A$6:$A$11,MIN(5,MATCH(MAX(Reference!$A$6,MIN(Reference!$A$11,MIN(D152,210))),Reference!$A$6:$A$11,1))))*(INDEX(Reference!$B$6:$B$11,MIN(5,MATCH(MAX(Reference!$A$6,MIN(Reference!$A$11,MIN(D152,210))),Reference!$A$6:$A$11,1))+1)-INDEX(Reference!$B$6:$B$11,MIN(5,MATCH(MAX(Reference!$A$6,MIN(Reference!$A$11,MIN(D152,210))),Reference!$A$6:$A$11,1))))/(INDEX(Reference!$A$6:$A$11,MIN(5,MATCH(MAX(Reference!$A$6,MIN(Reference!$A$11,MIN(D152,210))),Reference!$A$6:$A$11,1))+1)-INDEX(Reference!$A$6:$A$11,MIN(5,MATCH(MAX(Reference!$A$6,MIN(Reference!$A$11,MIN(D152,210))),Reference!$A$6:$A$11,1))))),0)+IF(6&lt;=AE152,(AE152-6+3)*(INDEX(Reference!$B$6:$B$11,MIN(5,MATCH(MAX(Reference!$A$6,MIN(Reference!$A$11,MIN(D152,240))),Reference!$A$6:$A$11,1)))+(MAX(Reference!$A$6,MIN(Reference!$A$11,MIN(D152,240)))-INDEX(Reference!$A$6:$A$11,MIN(5,MATCH(MAX(Reference!$A$6,MIN(Reference!$A$11,MIN(D152,240))),Reference!$A$6:$A$11,1))))*(INDEX(Reference!$B$6:$B$11,MIN(5,MATCH(MAX(Reference!$A$6,MIN(Reference!$A$11,MIN(D152,240))),Reference!$A$6:$A$11,1))+1)-INDEX(Reference!$B$6:$B$11,MIN(5,MATCH(MAX(Reference!$A$6,MIN(Reference!$A$11,MIN(D152,240))),Reference!$A$6:$A$11,1))))/(INDEX(Reference!$A$6:$A$11,MIN(5,MATCH(MAX(Reference!$A$6,MIN(Reference!$A$11,MIN(D152,240))),Reference!$A$6:$A$11,1))+1)-INDEX(Reference!$A$6:$A$11,MIN(5,MATCH(MAX(Reference!$A$6,MIN(Reference!$A$11,MIN(D152,240))),Reference!$A$6:$A$11,1))))),0)+IF(7&lt;=AE152,(AE152-7+3)*(INDEX(Reference!$B$6:$B$11,MIN(5,MATCH(MAX(Reference!$A$6,MIN(Reference!$A$11,MIN(D152,270))),Reference!$A$6:$A$11,1)))+(MAX(Reference!$A$6,MIN(Reference!$A$11,MIN(D152,270)))-INDEX(Reference!$A$6:$A$11,MIN(5,MATCH(MAX(Reference!$A$6,MIN(Reference!$A$11,MIN(D152,270))),Reference!$A$6:$A$11,1))))*(INDEX(Reference!$B$6:$B$11,MIN(5,MATCH(MAX(Reference!$A$6,MIN(Reference!$A$11,MIN(D152,270))),Reference!$A$6:$A$11,1))+1)-INDEX(Reference!$B$6:$B$11,MIN(5,MATCH(MAX(Reference!$A$6,MIN(Reference!$A$11,MIN(D152,270))),Reference!$A$6:$A$11,1))))/(INDEX(Reference!$A$6:$A$11,MIN(5,MATCH(MAX(Reference!$A$6,MIN(Reference!$A$11,MIN(D152,270))),Reference!$A$6:$A$11,1))+1)-INDEX(Reference!$A$6:$A$11,MIN(5,MATCH(MAX(Reference!$A$6,MIN(Reference!$A$11,MIN(D152,270))),Reference!$A$6:$A$11,1))))),0)+IF(8&lt;=AE152,(AE152-8+3)*(INDEX(Reference!$B$6:$B$11,MIN(5,MATCH(MAX(Reference!$A$6,MIN(Reference!$A$11,MIN(D152,300))),Reference!$A$6:$A$11,1)))+(MAX(Reference!$A$6,MIN(Reference!$A$11,MIN(D152,300)))-INDEX(Reference!$A$6:$A$11,MIN(5,MATCH(MAX(Reference!$A$6,MIN(Reference!$A$11,MIN(D152,300))),Reference!$A$6:$A$11,1))))*(INDEX(Reference!$B$6:$B$11,MIN(5,MATCH(MAX(Reference!$A$6,MIN(Reference!$A$11,MIN(D152,300))),Reference!$A$6:$A$11,1))+1)-INDEX(Reference!$B$6:$B$11,MIN(5,MATCH(MAX(Reference!$A$6,MIN(Reference!$A$11,MIN(D152,300))),Reference!$A$6:$A$11,1))))/(INDEX(Reference!$A$6:$A$11,MIN(5,MATCH(MAX(Reference!$A$6,MIN(Reference!$A$11,MIN(D152,300))),Reference!$A$6:$A$11,1))+1)-INDEX(Reference!$A$6:$A$11,MIN(5,MATCH(MAX(Reference!$A$6,MIN(Reference!$A$11,MIN(D152,300))),Reference!$A$6:$A$11,1))))),0))/(AE152*(AE152+5)/2)),(INDEX(Reference!$B$6:$B$11,MIN(5,MATCH(MAX(Reference!$A$6,MIN(Reference!$A$11,D152)),Reference!$A$6:$A$11,1)))+(MAX(Reference!$A$6,MIN(Reference!$A$11,D152))-INDEX(Reference!$A$6:$A$11,MIN(5,MATCH(MAX(Reference!$A$6,MIN(Reference!$A$11,D152)),Reference!$A$6:$A$11,1))))*(INDEX(Reference!$B$6:$B$11,MIN(5,MATCH(MAX(Reference!$A$6,MIN(Reference!$A$11,D152)),Reference!$A$6:$A$11,1))+1)-INDEX(Reference!$B$6:$B$11,MIN(5,MATCH(MAX(Reference!$A$6,MIN(Reference!$A$11,D152)),Reference!$A$6:$A$11,1))))/(INDEX(Reference!$A$6:$A$11,MIN(5,MATCH(MAX(Reference!$A$6,MIN(Reference!$A$11,D152)),Reference!$A$6:$A$11,1))+1)-INDEX(Reference!$A$6:$A$11,MIN(5,MATCH(MAX(Reference!$A$6,MIN(Reference!$A$11,D152)),Reference!$A$6:$A$11,1))))))))</f>
        <v/>
      </c>
      <c r="P152" s="32" t="str">
        <f>IF(N152="","",VLOOKUP(MAX(N152,0),Reference!$A$17:$B$20,2,TRUE()))</f>
        <v/>
      </c>
      <c r="Q152" s="32" t="str">
        <f t="shared" si="21"/>
        <v/>
      </c>
      <c r="R152" s="31"/>
      <c r="S152" s="31"/>
      <c r="T152" s="31"/>
      <c r="U152" s="32" t="str">
        <f t="shared" si="22"/>
        <v/>
      </c>
      <c r="V152" s="32" t="str">
        <f t="shared" si="23"/>
        <v/>
      </c>
      <c r="W152" s="32" t="str">
        <f>IF(V152="","",VLOOKUP(MAX(V152,0),Reference!$A$17:$B$20,2,TRUE()))</f>
        <v/>
      </c>
      <c r="X152" s="31"/>
      <c r="Y152" s="31"/>
      <c r="Z152" s="31"/>
      <c r="AA152" s="32" t="str">
        <f t="shared" si="24"/>
        <v/>
      </c>
      <c r="AB152" s="32" t="str">
        <f t="shared" si="25"/>
        <v/>
      </c>
      <c r="AC152" s="32" t="str">
        <f>IF(AB152="","",VLOOKUP(MAX(AB152,0),Reference!$A$17:$B$20,2,TRUE()))</f>
        <v/>
      </c>
      <c r="AD152" s="31"/>
      <c r="AE152">
        <f t="shared" si="26"/>
        <v>1</v>
      </c>
      <c r="AF152" s="33" t="str">
        <f>IF(OR(A152="",B152="",AND(C152&lt;&gt;"Bullpen",C152&lt;&gt;"Game")),"",IF((COUNTIFS($B$5:$B$300,B152,$A$5:$A$300,A152-1,$C$5:$C$300,"Bullpen",$AG$5:$AG$300,"&gt;0") + COUNTIFS($B$5:$B$300,B152,$A$5:$A$300,A152-1,$C$5:$C$300,"Game",$AG$5:$AG$300,"&gt;0"))&gt;0,Reference!$B$119,IF((COUNTIFS($B$5:$B$300,B152,$A$5:$A$300,A152-2,$C$5:$C$300,"Bullpen",$AG$5:$AG$300,"&gt;0") + COUNTIFS($B$5:$B$300,B152,$A$5:$A$300,A152-2,$C$5:$C$300,"Game",$AG$5:$AG$300,"&gt;0"))&gt;0,Reference!$B$120,1)))</f>
        <v/>
      </c>
      <c r="AG152" s="30" t="str">
        <f>IF(AND(OR(I152="",O152="",P152=""),OR(R152="",W152=""),OR(X152="",AC152="")),"",IF(OR(I152="",O152="",P152=""),0,I152*O152*P152)+IF(OR(R152="",W152=""),0,R152*IFERROR(INDEX(Reference!$B$61:$B$62,MATCH("Bullpen",Reference!$A$61:$A$62,0)),0)*W152)+IF(OR(X152="",AC152=""),0,X152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152))</f>
        <v/>
      </c>
    </row>
    <row r="153" spans="1:33" x14ac:dyDescent="0.3">
      <c r="A153" s="35"/>
      <c r="B153" s="31"/>
      <c r="C153" s="31"/>
      <c r="D153" s="31"/>
      <c r="E153" s="34"/>
      <c r="F153" s="34"/>
      <c r="G153" s="30" t="str">
        <f t="shared" si="18"/>
        <v/>
      </c>
      <c r="H153" s="31"/>
      <c r="I153" s="32" t="str">
        <f>IF(H153&lt;&gt;"",H153,IF(G153="","",ROUND(G153*IFERROR(INDEX(Reference!$B$44:$B$50,MATCH(C153,Reference!$A$44:$A$50,0)),0),0)))</f>
        <v/>
      </c>
      <c r="J153" s="31"/>
      <c r="K153" s="31"/>
      <c r="L153" s="32" t="str">
        <f t="shared" si="19"/>
        <v/>
      </c>
      <c r="M153" s="32" t="str">
        <f>IFERROR(INDEX(Roster!$D$5:$D$40,MATCH(B153,Roster!$A$5:$A$40,0)),"")</f>
        <v/>
      </c>
      <c r="N153" s="32" t="str">
        <f t="shared" si="20"/>
        <v/>
      </c>
      <c r="O153" s="32" t="str">
        <f>IF(OR(C153="Bullpen",C153="Game"),IFERROR(INDEX(Reference!$B$61:$B$62,MATCH(C153,Reference!$A$61:$A$62,0)),""),IF(D153="","",IF(AE153&gt;1,((IF(1&lt;=AE153,(AE153-1+3)*(INDEX(Reference!$B$6:$B$11,MIN(5,MATCH(MAX(Reference!$A$6,MIN(Reference!$A$11,MIN(D153,90))),Reference!$A$6:$A$11,1)))+(MAX(Reference!$A$6,MIN(Reference!$A$11,MIN(D153,90)))-INDEX(Reference!$A$6:$A$11,MIN(5,MATCH(MAX(Reference!$A$6,MIN(Reference!$A$11,MIN(D153,90))),Reference!$A$6:$A$11,1))))*(INDEX(Reference!$B$6:$B$11,MIN(5,MATCH(MAX(Reference!$A$6,MIN(Reference!$A$11,MIN(D153,90))),Reference!$A$6:$A$11,1))+1)-INDEX(Reference!$B$6:$B$11,MIN(5,MATCH(MAX(Reference!$A$6,MIN(Reference!$A$11,MIN(D153,90))),Reference!$A$6:$A$11,1))))/(INDEX(Reference!$A$6:$A$11,MIN(5,MATCH(MAX(Reference!$A$6,MIN(Reference!$A$11,MIN(D153,90))),Reference!$A$6:$A$11,1))+1)-INDEX(Reference!$A$6:$A$11,MIN(5,MATCH(MAX(Reference!$A$6,MIN(Reference!$A$11,MIN(D153,90))),Reference!$A$6:$A$11,1))))),0)+IF(2&lt;=AE153,(AE153-2+3)*(INDEX(Reference!$B$6:$B$11,MIN(5,MATCH(MAX(Reference!$A$6,MIN(Reference!$A$11,MIN(D153,120))),Reference!$A$6:$A$11,1)))+(MAX(Reference!$A$6,MIN(Reference!$A$11,MIN(D153,120)))-INDEX(Reference!$A$6:$A$11,MIN(5,MATCH(MAX(Reference!$A$6,MIN(Reference!$A$11,MIN(D153,120))),Reference!$A$6:$A$11,1))))*(INDEX(Reference!$B$6:$B$11,MIN(5,MATCH(MAX(Reference!$A$6,MIN(Reference!$A$11,MIN(D153,120))),Reference!$A$6:$A$11,1))+1)-INDEX(Reference!$B$6:$B$11,MIN(5,MATCH(MAX(Reference!$A$6,MIN(Reference!$A$11,MIN(D153,120))),Reference!$A$6:$A$11,1))))/(INDEX(Reference!$A$6:$A$11,MIN(5,MATCH(MAX(Reference!$A$6,MIN(Reference!$A$11,MIN(D153,120))),Reference!$A$6:$A$11,1))+1)-INDEX(Reference!$A$6:$A$11,MIN(5,MATCH(MAX(Reference!$A$6,MIN(Reference!$A$11,MIN(D153,120))),Reference!$A$6:$A$11,1))))),0)+IF(3&lt;=AE153,(AE153-3+3)*(INDEX(Reference!$B$6:$B$11,MIN(5,MATCH(MAX(Reference!$A$6,MIN(Reference!$A$11,MIN(D153,150))),Reference!$A$6:$A$11,1)))+(MAX(Reference!$A$6,MIN(Reference!$A$11,MIN(D153,150)))-INDEX(Reference!$A$6:$A$11,MIN(5,MATCH(MAX(Reference!$A$6,MIN(Reference!$A$11,MIN(D153,150))),Reference!$A$6:$A$11,1))))*(INDEX(Reference!$B$6:$B$11,MIN(5,MATCH(MAX(Reference!$A$6,MIN(Reference!$A$11,MIN(D153,150))),Reference!$A$6:$A$11,1))+1)-INDEX(Reference!$B$6:$B$11,MIN(5,MATCH(MAX(Reference!$A$6,MIN(Reference!$A$11,MIN(D153,150))),Reference!$A$6:$A$11,1))))/(INDEX(Reference!$A$6:$A$11,MIN(5,MATCH(MAX(Reference!$A$6,MIN(Reference!$A$11,MIN(D153,150))),Reference!$A$6:$A$11,1))+1)-INDEX(Reference!$A$6:$A$11,MIN(5,MATCH(MAX(Reference!$A$6,MIN(Reference!$A$11,MIN(D153,150))),Reference!$A$6:$A$11,1))))),0)+IF(4&lt;=AE153,(AE153-4+3)*(INDEX(Reference!$B$6:$B$11,MIN(5,MATCH(MAX(Reference!$A$6,MIN(Reference!$A$11,MIN(D153,180))),Reference!$A$6:$A$11,1)))+(MAX(Reference!$A$6,MIN(Reference!$A$11,MIN(D153,180)))-INDEX(Reference!$A$6:$A$11,MIN(5,MATCH(MAX(Reference!$A$6,MIN(Reference!$A$11,MIN(D153,180))),Reference!$A$6:$A$11,1))))*(INDEX(Reference!$B$6:$B$11,MIN(5,MATCH(MAX(Reference!$A$6,MIN(Reference!$A$11,MIN(D153,180))),Reference!$A$6:$A$11,1))+1)-INDEX(Reference!$B$6:$B$11,MIN(5,MATCH(MAX(Reference!$A$6,MIN(Reference!$A$11,MIN(D153,180))),Reference!$A$6:$A$11,1))))/(INDEX(Reference!$A$6:$A$11,MIN(5,MATCH(MAX(Reference!$A$6,MIN(Reference!$A$11,MIN(D153,180))),Reference!$A$6:$A$11,1))+1)-INDEX(Reference!$A$6:$A$11,MIN(5,MATCH(MAX(Reference!$A$6,MIN(Reference!$A$11,MIN(D153,180))),Reference!$A$6:$A$11,1))))),0)+IF(5&lt;=AE153,(AE153-5+3)*(INDEX(Reference!$B$6:$B$11,MIN(5,MATCH(MAX(Reference!$A$6,MIN(Reference!$A$11,MIN(D153,210))),Reference!$A$6:$A$11,1)))+(MAX(Reference!$A$6,MIN(Reference!$A$11,MIN(D153,210)))-INDEX(Reference!$A$6:$A$11,MIN(5,MATCH(MAX(Reference!$A$6,MIN(Reference!$A$11,MIN(D153,210))),Reference!$A$6:$A$11,1))))*(INDEX(Reference!$B$6:$B$11,MIN(5,MATCH(MAX(Reference!$A$6,MIN(Reference!$A$11,MIN(D153,210))),Reference!$A$6:$A$11,1))+1)-INDEX(Reference!$B$6:$B$11,MIN(5,MATCH(MAX(Reference!$A$6,MIN(Reference!$A$11,MIN(D153,210))),Reference!$A$6:$A$11,1))))/(INDEX(Reference!$A$6:$A$11,MIN(5,MATCH(MAX(Reference!$A$6,MIN(Reference!$A$11,MIN(D153,210))),Reference!$A$6:$A$11,1))+1)-INDEX(Reference!$A$6:$A$11,MIN(5,MATCH(MAX(Reference!$A$6,MIN(Reference!$A$11,MIN(D153,210))),Reference!$A$6:$A$11,1))))),0)+IF(6&lt;=AE153,(AE153-6+3)*(INDEX(Reference!$B$6:$B$11,MIN(5,MATCH(MAX(Reference!$A$6,MIN(Reference!$A$11,MIN(D153,240))),Reference!$A$6:$A$11,1)))+(MAX(Reference!$A$6,MIN(Reference!$A$11,MIN(D153,240)))-INDEX(Reference!$A$6:$A$11,MIN(5,MATCH(MAX(Reference!$A$6,MIN(Reference!$A$11,MIN(D153,240))),Reference!$A$6:$A$11,1))))*(INDEX(Reference!$B$6:$B$11,MIN(5,MATCH(MAX(Reference!$A$6,MIN(Reference!$A$11,MIN(D153,240))),Reference!$A$6:$A$11,1))+1)-INDEX(Reference!$B$6:$B$11,MIN(5,MATCH(MAX(Reference!$A$6,MIN(Reference!$A$11,MIN(D153,240))),Reference!$A$6:$A$11,1))))/(INDEX(Reference!$A$6:$A$11,MIN(5,MATCH(MAX(Reference!$A$6,MIN(Reference!$A$11,MIN(D153,240))),Reference!$A$6:$A$11,1))+1)-INDEX(Reference!$A$6:$A$11,MIN(5,MATCH(MAX(Reference!$A$6,MIN(Reference!$A$11,MIN(D153,240))),Reference!$A$6:$A$11,1))))),0)+IF(7&lt;=AE153,(AE153-7+3)*(INDEX(Reference!$B$6:$B$11,MIN(5,MATCH(MAX(Reference!$A$6,MIN(Reference!$A$11,MIN(D153,270))),Reference!$A$6:$A$11,1)))+(MAX(Reference!$A$6,MIN(Reference!$A$11,MIN(D153,270)))-INDEX(Reference!$A$6:$A$11,MIN(5,MATCH(MAX(Reference!$A$6,MIN(Reference!$A$11,MIN(D153,270))),Reference!$A$6:$A$11,1))))*(INDEX(Reference!$B$6:$B$11,MIN(5,MATCH(MAX(Reference!$A$6,MIN(Reference!$A$11,MIN(D153,270))),Reference!$A$6:$A$11,1))+1)-INDEX(Reference!$B$6:$B$11,MIN(5,MATCH(MAX(Reference!$A$6,MIN(Reference!$A$11,MIN(D153,270))),Reference!$A$6:$A$11,1))))/(INDEX(Reference!$A$6:$A$11,MIN(5,MATCH(MAX(Reference!$A$6,MIN(Reference!$A$11,MIN(D153,270))),Reference!$A$6:$A$11,1))+1)-INDEX(Reference!$A$6:$A$11,MIN(5,MATCH(MAX(Reference!$A$6,MIN(Reference!$A$11,MIN(D153,270))),Reference!$A$6:$A$11,1))))),0)+IF(8&lt;=AE153,(AE153-8+3)*(INDEX(Reference!$B$6:$B$11,MIN(5,MATCH(MAX(Reference!$A$6,MIN(Reference!$A$11,MIN(D153,300))),Reference!$A$6:$A$11,1)))+(MAX(Reference!$A$6,MIN(Reference!$A$11,MIN(D153,300)))-INDEX(Reference!$A$6:$A$11,MIN(5,MATCH(MAX(Reference!$A$6,MIN(Reference!$A$11,MIN(D153,300))),Reference!$A$6:$A$11,1))))*(INDEX(Reference!$B$6:$B$11,MIN(5,MATCH(MAX(Reference!$A$6,MIN(Reference!$A$11,MIN(D153,300))),Reference!$A$6:$A$11,1))+1)-INDEX(Reference!$B$6:$B$11,MIN(5,MATCH(MAX(Reference!$A$6,MIN(Reference!$A$11,MIN(D153,300))),Reference!$A$6:$A$11,1))))/(INDEX(Reference!$A$6:$A$11,MIN(5,MATCH(MAX(Reference!$A$6,MIN(Reference!$A$11,MIN(D153,300))),Reference!$A$6:$A$11,1))+1)-INDEX(Reference!$A$6:$A$11,MIN(5,MATCH(MAX(Reference!$A$6,MIN(Reference!$A$11,MIN(D153,300))),Reference!$A$6:$A$11,1))))),0))/(AE153*(AE153+5)/2)),(INDEX(Reference!$B$6:$B$11,MIN(5,MATCH(MAX(Reference!$A$6,MIN(Reference!$A$11,D153)),Reference!$A$6:$A$11,1)))+(MAX(Reference!$A$6,MIN(Reference!$A$11,D153))-INDEX(Reference!$A$6:$A$11,MIN(5,MATCH(MAX(Reference!$A$6,MIN(Reference!$A$11,D153)),Reference!$A$6:$A$11,1))))*(INDEX(Reference!$B$6:$B$11,MIN(5,MATCH(MAX(Reference!$A$6,MIN(Reference!$A$11,D153)),Reference!$A$6:$A$11,1))+1)-INDEX(Reference!$B$6:$B$11,MIN(5,MATCH(MAX(Reference!$A$6,MIN(Reference!$A$11,D153)),Reference!$A$6:$A$11,1))))/(INDEX(Reference!$A$6:$A$11,MIN(5,MATCH(MAX(Reference!$A$6,MIN(Reference!$A$11,D153)),Reference!$A$6:$A$11,1))+1)-INDEX(Reference!$A$6:$A$11,MIN(5,MATCH(MAX(Reference!$A$6,MIN(Reference!$A$11,D153)),Reference!$A$6:$A$11,1))))))))</f>
        <v/>
      </c>
      <c r="P153" s="32" t="str">
        <f>IF(N153="","",VLOOKUP(MAX(N153,0),Reference!$A$17:$B$20,2,TRUE()))</f>
        <v/>
      </c>
      <c r="Q153" s="32" t="str">
        <f t="shared" si="21"/>
        <v/>
      </c>
      <c r="R153" s="31"/>
      <c r="S153" s="31"/>
      <c r="T153" s="31"/>
      <c r="U153" s="32" t="str">
        <f t="shared" si="22"/>
        <v/>
      </c>
      <c r="V153" s="32" t="str">
        <f t="shared" si="23"/>
        <v/>
      </c>
      <c r="W153" s="32" t="str">
        <f>IF(V153="","",VLOOKUP(MAX(V153,0),Reference!$A$17:$B$20,2,TRUE()))</f>
        <v/>
      </c>
      <c r="X153" s="31"/>
      <c r="Y153" s="31"/>
      <c r="Z153" s="31"/>
      <c r="AA153" s="32" t="str">
        <f t="shared" si="24"/>
        <v/>
      </c>
      <c r="AB153" s="32" t="str">
        <f t="shared" si="25"/>
        <v/>
      </c>
      <c r="AC153" s="32" t="str">
        <f>IF(AB153="","",VLOOKUP(MAX(AB153,0),Reference!$A$17:$B$20,2,TRUE()))</f>
        <v/>
      </c>
      <c r="AD153" s="31"/>
      <c r="AE153">
        <f t="shared" si="26"/>
        <v>1</v>
      </c>
      <c r="AF153" s="33" t="str">
        <f>IF(OR(A153="",B153="",AND(C153&lt;&gt;"Bullpen",C153&lt;&gt;"Game")),"",IF((COUNTIFS($B$5:$B$300,B153,$A$5:$A$300,A153-1,$C$5:$C$300,"Bullpen",$AG$5:$AG$300,"&gt;0") + COUNTIFS($B$5:$B$300,B153,$A$5:$A$300,A153-1,$C$5:$C$300,"Game",$AG$5:$AG$300,"&gt;0"))&gt;0,Reference!$B$119,IF((COUNTIFS($B$5:$B$300,B153,$A$5:$A$300,A153-2,$C$5:$C$300,"Bullpen",$AG$5:$AG$300,"&gt;0") + COUNTIFS($B$5:$B$300,B153,$A$5:$A$300,A153-2,$C$5:$C$300,"Game",$AG$5:$AG$300,"&gt;0"))&gt;0,Reference!$B$120,1)))</f>
        <v/>
      </c>
      <c r="AG153" s="30" t="str">
        <f>IF(AND(OR(I153="",O153="",P153=""),OR(R153="",W153=""),OR(X153="",AC153="")),"",IF(OR(I153="",O153="",P153=""),0,I153*O153*P153)+IF(OR(R153="",W153=""),0,R153*IFERROR(INDEX(Reference!$B$61:$B$62,MATCH("Bullpen",Reference!$A$61:$A$62,0)),0)*W153)+IF(OR(X153="",AC153=""),0,X153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153))</f>
        <v/>
      </c>
    </row>
    <row r="154" spans="1:33" x14ac:dyDescent="0.3">
      <c r="A154" s="35"/>
      <c r="B154" s="31"/>
      <c r="C154" s="31"/>
      <c r="D154" s="31"/>
      <c r="E154" s="34"/>
      <c r="F154" s="34"/>
      <c r="G154" s="30" t="str">
        <f t="shared" si="18"/>
        <v/>
      </c>
      <c r="H154" s="31"/>
      <c r="I154" s="32" t="str">
        <f>IF(H154&lt;&gt;"",H154,IF(G154="","",ROUND(G154*IFERROR(INDEX(Reference!$B$44:$B$50,MATCH(C154,Reference!$A$44:$A$50,0)),0),0)))</f>
        <v/>
      </c>
      <c r="J154" s="31"/>
      <c r="K154" s="31"/>
      <c r="L154" s="32" t="str">
        <f t="shared" si="19"/>
        <v/>
      </c>
      <c r="M154" s="32" t="str">
        <f>IFERROR(INDEX(Roster!$D$5:$D$40,MATCH(B154,Roster!$A$5:$A$40,0)),"")</f>
        <v/>
      </c>
      <c r="N154" s="32" t="str">
        <f t="shared" si="20"/>
        <v/>
      </c>
      <c r="O154" s="32" t="str">
        <f>IF(OR(C154="Bullpen",C154="Game"),IFERROR(INDEX(Reference!$B$61:$B$62,MATCH(C154,Reference!$A$61:$A$62,0)),""),IF(D154="","",IF(AE154&gt;1,((IF(1&lt;=AE154,(AE154-1+3)*(INDEX(Reference!$B$6:$B$11,MIN(5,MATCH(MAX(Reference!$A$6,MIN(Reference!$A$11,MIN(D154,90))),Reference!$A$6:$A$11,1)))+(MAX(Reference!$A$6,MIN(Reference!$A$11,MIN(D154,90)))-INDEX(Reference!$A$6:$A$11,MIN(5,MATCH(MAX(Reference!$A$6,MIN(Reference!$A$11,MIN(D154,90))),Reference!$A$6:$A$11,1))))*(INDEX(Reference!$B$6:$B$11,MIN(5,MATCH(MAX(Reference!$A$6,MIN(Reference!$A$11,MIN(D154,90))),Reference!$A$6:$A$11,1))+1)-INDEX(Reference!$B$6:$B$11,MIN(5,MATCH(MAX(Reference!$A$6,MIN(Reference!$A$11,MIN(D154,90))),Reference!$A$6:$A$11,1))))/(INDEX(Reference!$A$6:$A$11,MIN(5,MATCH(MAX(Reference!$A$6,MIN(Reference!$A$11,MIN(D154,90))),Reference!$A$6:$A$11,1))+1)-INDEX(Reference!$A$6:$A$11,MIN(5,MATCH(MAX(Reference!$A$6,MIN(Reference!$A$11,MIN(D154,90))),Reference!$A$6:$A$11,1))))),0)+IF(2&lt;=AE154,(AE154-2+3)*(INDEX(Reference!$B$6:$B$11,MIN(5,MATCH(MAX(Reference!$A$6,MIN(Reference!$A$11,MIN(D154,120))),Reference!$A$6:$A$11,1)))+(MAX(Reference!$A$6,MIN(Reference!$A$11,MIN(D154,120)))-INDEX(Reference!$A$6:$A$11,MIN(5,MATCH(MAX(Reference!$A$6,MIN(Reference!$A$11,MIN(D154,120))),Reference!$A$6:$A$11,1))))*(INDEX(Reference!$B$6:$B$11,MIN(5,MATCH(MAX(Reference!$A$6,MIN(Reference!$A$11,MIN(D154,120))),Reference!$A$6:$A$11,1))+1)-INDEX(Reference!$B$6:$B$11,MIN(5,MATCH(MAX(Reference!$A$6,MIN(Reference!$A$11,MIN(D154,120))),Reference!$A$6:$A$11,1))))/(INDEX(Reference!$A$6:$A$11,MIN(5,MATCH(MAX(Reference!$A$6,MIN(Reference!$A$11,MIN(D154,120))),Reference!$A$6:$A$11,1))+1)-INDEX(Reference!$A$6:$A$11,MIN(5,MATCH(MAX(Reference!$A$6,MIN(Reference!$A$11,MIN(D154,120))),Reference!$A$6:$A$11,1))))),0)+IF(3&lt;=AE154,(AE154-3+3)*(INDEX(Reference!$B$6:$B$11,MIN(5,MATCH(MAX(Reference!$A$6,MIN(Reference!$A$11,MIN(D154,150))),Reference!$A$6:$A$11,1)))+(MAX(Reference!$A$6,MIN(Reference!$A$11,MIN(D154,150)))-INDEX(Reference!$A$6:$A$11,MIN(5,MATCH(MAX(Reference!$A$6,MIN(Reference!$A$11,MIN(D154,150))),Reference!$A$6:$A$11,1))))*(INDEX(Reference!$B$6:$B$11,MIN(5,MATCH(MAX(Reference!$A$6,MIN(Reference!$A$11,MIN(D154,150))),Reference!$A$6:$A$11,1))+1)-INDEX(Reference!$B$6:$B$11,MIN(5,MATCH(MAX(Reference!$A$6,MIN(Reference!$A$11,MIN(D154,150))),Reference!$A$6:$A$11,1))))/(INDEX(Reference!$A$6:$A$11,MIN(5,MATCH(MAX(Reference!$A$6,MIN(Reference!$A$11,MIN(D154,150))),Reference!$A$6:$A$11,1))+1)-INDEX(Reference!$A$6:$A$11,MIN(5,MATCH(MAX(Reference!$A$6,MIN(Reference!$A$11,MIN(D154,150))),Reference!$A$6:$A$11,1))))),0)+IF(4&lt;=AE154,(AE154-4+3)*(INDEX(Reference!$B$6:$B$11,MIN(5,MATCH(MAX(Reference!$A$6,MIN(Reference!$A$11,MIN(D154,180))),Reference!$A$6:$A$11,1)))+(MAX(Reference!$A$6,MIN(Reference!$A$11,MIN(D154,180)))-INDEX(Reference!$A$6:$A$11,MIN(5,MATCH(MAX(Reference!$A$6,MIN(Reference!$A$11,MIN(D154,180))),Reference!$A$6:$A$11,1))))*(INDEX(Reference!$B$6:$B$11,MIN(5,MATCH(MAX(Reference!$A$6,MIN(Reference!$A$11,MIN(D154,180))),Reference!$A$6:$A$11,1))+1)-INDEX(Reference!$B$6:$B$11,MIN(5,MATCH(MAX(Reference!$A$6,MIN(Reference!$A$11,MIN(D154,180))),Reference!$A$6:$A$11,1))))/(INDEX(Reference!$A$6:$A$11,MIN(5,MATCH(MAX(Reference!$A$6,MIN(Reference!$A$11,MIN(D154,180))),Reference!$A$6:$A$11,1))+1)-INDEX(Reference!$A$6:$A$11,MIN(5,MATCH(MAX(Reference!$A$6,MIN(Reference!$A$11,MIN(D154,180))),Reference!$A$6:$A$11,1))))),0)+IF(5&lt;=AE154,(AE154-5+3)*(INDEX(Reference!$B$6:$B$11,MIN(5,MATCH(MAX(Reference!$A$6,MIN(Reference!$A$11,MIN(D154,210))),Reference!$A$6:$A$11,1)))+(MAX(Reference!$A$6,MIN(Reference!$A$11,MIN(D154,210)))-INDEX(Reference!$A$6:$A$11,MIN(5,MATCH(MAX(Reference!$A$6,MIN(Reference!$A$11,MIN(D154,210))),Reference!$A$6:$A$11,1))))*(INDEX(Reference!$B$6:$B$11,MIN(5,MATCH(MAX(Reference!$A$6,MIN(Reference!$A$11,MIN(D154,210))),Reference!$A$6:$A$11,1))+1)-INDEX(Reference!$B$6:$B$11,MIN(5,MATCH(MAX(Reference!$A$6,MIN(Reference!$A$11,MIN(D154,210))),Reference!$A$6:$A$11,1))))/(INDEX(Reference!$A$6:$A$11,MIN(5,MATCH(MAX(Reference!$A$6,MIN(Reference!$A$11,MIN(D154,210))),Reference!$A$6:$A$11,1))+1)-INDEX(Reference!$A$6:$A$11,MIN(5,MATCH(MAX(Reference!$A$6,MIN(Reference!$A$11,MIN(D154,210))),Reference!$A$6:$A$11,1))))),0)+IF(6&lt;=AE154,(AE154-6+3)*(INDEX(Reference!$B$6:$B$11,MIN(5,MATCH(MAX(Reference!$A$6,MIN(Reference!$A$11,MIN(D154,240))),Reference!$A$6:$A$11,1)))+(MAX(Reference!$A$6,MIN(Reference!$A$11,MIN(D154,240)))-INDEX(Reference!$A$6:$A$11,MIN(5,MATCH(MAX(Reference!$A$6,MIN(Reference!$A$11,MIN(D154,240))),Reference!$A$6:$A$11,1))))*(INDEX(Reference!$B$6:$B$11,MIN(5,MATCH(MAX(Reference!$A$6,MIN(Reference!$A$11,MIN(D154,240))),Reference!$A$6:$A$11,1))+1)-INDEX(Reference!$B$6:$B$11,MIN(5,MATCH(MAX(Reference!$A$6,MIN(Reference!$A$11,MIN(D154,240))),Reference!$A$6:$A$11,1))))/(INDEX(Reference!$A$6:$A$11,MIN(5,MATCH(MAX(Reference!$A$6,MIN(Reference!$A$11,MIN(D154,240))),Reference!$A$6:$A$11,1))+1)-INDEX(Reference!$A$6:$A$11,MIN(5,MATCH(MAX(Reference!$A$6,MIN(Reference!$A$11,MIN(D154,240))),Reference!$A$6:$A$11,1))))),0)+IF(7&lt;=AE154,(AE154-7+3)*(INDEX(Reference!$B$6:$B$11,MIN(5,MATCH(MAX(Reference!$A$6,MIN(Reference!$A$11,MIN(D154,270))),Reference!$A$6:$A$11,1)))+(MAX(Reference!$A$6,MIN(Reference!$A$11,MIN(D154,270)))-INDEX(Reference!$A$6:$A$11,MIN(5,MATCH(MAX(Reference!$A$6,MIN(Reference!$A$11,MIN(D154,270))),Reference!$A$6:$A$11,1))))*(INDEX(Reference!$B$6:$B$11,MIN(5,MATCH(MAX(Reference!$A$6,MIN(Reference!$A$11,MIN(D154,270))),Reference!$A$6:$A$11,1))+1)-INDEX(Reference!$B$6:$B$11,MIN(5,MATCH(MAX(Reference!$A$6,MIN(Reference!$A$11,MIN(D154,270))),Reference!$A$6:$A$11,1))))/(INDEX(Reference!$A$6:$A$11,MIN(5,MATCH(MAX(Reference!$A$6,MIN(Reference!$A$11,MIN(D154,270))),Reference!$A$6:$A$11,1))+1)-INDEX(Reference!$A$6:$A$11,MIN(5,MATCH(MAX(Reference!$A$6,MIN(Reference!$A$11,MIN(D154,270))),Reference!$A$6:$A$11,1))))),0)+IF(8&lt;=AE154,(AE154-8+3)*(INDEX(Reference!$B$6:$B$11,MIN(5,MATCH(MAX(Reference!$A$6,MIN(Reference!$A$11,MIN(D154,300))),Reference!$A$6:$A$11,1)))+(MAX(Reference!$A$6,MIN(Reference!$A$11,MIN(D154,300)))-INDEX(Reference!$A$6:$A$11,MIN(5,MATCH(MAX(Reference!$A$6,MIN(Reference!$A$11,MIN(D154,300))),Reference!$A$6:$A$11,1))))*(INDEX(Reference!$B$6:$B$11,MIN(5,MATCH(MAX(Reference!$A$6,MIN(Reference!$A$11,MIN(D154,300))),Reference!$A$6:$A$11,1))+1)-INDEX(Reference!$B$6:$B$11,MIN(5,MATCH(MAX(Reference!$A$6,MIN(Reference!$A$11,MIN(D154,300))),Reference!$A$6:$A$11,1))))/(INDEX(Reference!$A$6:$A$11,MIN(5,MATCH(MAX(Reference!$A$6,MIN(Reference!$A$11,MIN(D154,300))),Reference!$A$6:$A$11,1))+1)-INDEX(Reference!$A$6:$A$11,MIN(5,MATCH(MAX(Reference!$A$6,MIN(Reference!$A$11,MIN(D154,300))),Reference!$A$6:$A$11,1))))),0))/(AE154*(AE154+5)/2)),(INDEX(Reference!$B$6:$B$11,MIN(5,MATCH(MAX(Reference!$A$6,MIN(Reference!$A$11,D154)),Reference!$A$6:$A$11,1)))+(MAX(Reference!$A$6,MIN(Reference!$A$11,D154))-INDEX(Reference!$A$6:$A$11,MIN(5,MATCH(MAX(Reference!$A$6,MIN(Reference!$A$11,D154)),Reference!$A$6:$A$11,1))))*(INDEX(Reference!$B$6:$B$11,MIN(5,MATCH(MAX(Reference!$A$6,MIN(Reference!$A$11,D154)),Reference!$A$6:$A$11,1))+1)-INDEX(Reference!$B$6:$B$11,MIN(5,MATCH(MAX(Reference!$A$6,MIN(Reference!$A$11,D154)),Reference!$A$6:$A$11,1))))/(INDEX(Reference!$A$6:$A$11,MIN(5,MATCH(MAX(Reference!$A$6,MIN(Reference!$A$11,D154)),Reference!$A$6:$A$11,1))+1)-INDEX(Reference!$A$6:$A$11,MIN(5,MATCH(MAX(Reference!$A$6,MIN(Reference!$A$11,D154)),Reference!$A$6:$A$11,1))))))))</f>
        <v/>
      </c>
      <c r="P154" s="32" t="str">
        <f>IF(N154="","",VLOOKUP(MAX(N154,0),Reference!$A$17:$B$20,2,TRUE()))</f>
        <v/>
      </c>
      <c r="Q154" s="32" t="str">
        <f t="shared" si="21"/>
        <v/>
      </c>
      <c r="R154" s="31"/>
      <c r="S154" s="31"/>
      <c r="T154" s="31"/>
      <c r="U154" s="32" t="str">
        <f t="shared" si="22"/>
        <v/>
      </c>
      <c r="V154" s="32" t="str">
        <f t="shared" si="23"/>
        <v/>
      </c>
      <c r="W154" s="32" t="str">
        <f>IF(V154="","",VLOOKUP(MAX(V154,0),Reference!$A$17:$B$20,2,TRUE()))</f>
        <v/>
      </c>
      <c r="X154" s="31"/>
      <c r="Y154" s="31"/>
      <c r="Z154" s="31"/>
      <c r="AA154" s="32" t="str">
        <f t="shared" si="24"/>
        <v/>
      </c>
      <c r="AB154" s="32" t="str">
        <f t="shared" si="25"/>
        <v/>
      </c>
      <c r="AC154" s="32" t="str">
        <f>IF(AB154="","",VLOOKUP(MAX(AB154,0),Reference!$A$17:$B$20,2,TRUE()))</f>
        <v/>
      </c>
      <c r="AD154" s="31"/>
      <c r="AE154">
        <f t="shared" si="26"/>
        <v>1</v>
      </c>
      <c r="AF154" s="33" t="str">
        <f>IF(OR(A154="",B154="",AND(C154&lt;&gt;"Bullpen",C154&lt;&gt;"Game")),"",IF((COUNTIFS($B$5:$B$300,B154,$A$5:$A$300,A154-1,$C$5:$C$300,"Bullpen",$AG$5:$AG$300,"&gt;0") + COUNTIFS($B$5:$B$300,B154,$A$5:$A$300,A154-1,$C$5:$C$300,"Game",$AG$5:$AG$300,"&gt;0"))&gt;0,Reference!$B$119,IF((COUNTIFS($B$5:$B$300,B154,$A$5:$A$300,A154-2,$C$5:$C$300,"Bullpen",$AG$5:$AG$300,"&gt;0") + COUNTIFS($B$5:$B$300,B154,$A$5:$A$300,A154-2,$C$5:$C$300,"Game",$AG$5:$AG$300,"&gt;0"))&gt;0,Reference!$B$120,1)))</f>
        <v/>
      </c>
      <c r="AG154" s="30" t="str">
        <f>IF(AND(OR(I154="",O154="",P154=""),OR(R154="",W154=""),OR(X154="",AC154="")),"",IF(OR(I154="",O154="",P154=""),0,I154*O154*P154)+IF(OR(R154="",W154=""),0,R154*IFERROR(INDEX(Reference!$B$61:$B$62,MATCH("Bullpen",Reference!$A$61:$A$62,0)),0)*W154)+IF(OR(X154="",AC154=""),0,X154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154))</f>
        <v/>
      </c>
    </row>
    <row r="155" spans="1:33" x14ac:dyDescent="0.3">
      <c r="A155" s="35"/>
      <c r="B155" s="31"/>
      <c r="C155" s="31"/>
      <c r="D155" s="31"/>
      <c r="E155" s="34"/>
      <c r="F155" s="34"/>
      <c r="G155" s="30" t="str">
        <f t="shared" si="18"/>
        <v/>
      </c>
      <c r="H155" s="31"/>
      <c r="I155" s="32" t="str">
        <f>IF(H155&lt;&gt;"",H155,IF(G155="","",ROUND(G155*IFERROR(INDEX(Reference!$B$44:$B$50,MATCH(C155,Reference!$A$44:$A$50,0)),0),0)))</f>
        <v/>
      </c>
      <c r="J155" s="31"/>
      <c r="K155" s="31"/>
      <c r="L155" s="32" t="str">
        <f t="shared" si="19"/>
        <v/>
      </c>
      <c r="M155" s="32" t="str">
        <f>IFERROR(INDEX(Roster!$D$5:$D$40,MATCH(B155,Roster!$A$5:$A$40,0)),"")</f>
        <v/>
      </c>
      <c r="N155" s="32" t="str">
        <f t="shared" si="20"/>
        <v/>
      </c>
      <c r="O155" s="32" t="str">
        <f>IF(OR(C155="Bullpen",C155="Game"),IFERROR(INDEX(Reference!$B$61:$B$62,MATCH(C155,Reference!$A$61:$A$62,0)),""),IF(D155="","",IF(AE155&gt;1,((IF(1&lt;=AE155,(AE155-1+3)*(INDEX(Reference!$B$6:$B$11,MIN(5,MATCH(MAX(Reference!$A$6,MIN(Reference!$A$11,MIN(D155,90))),Reference!$A$6:$A$11,1)))+(MAX(Reference!$A$6,MIN(Reference!$A$11,MIN(D155,90)))-INDEX(Reference!$A$6:$A$11,MIN(5,MATCH(MAX(Reference!$A$6,MIN(Reference!$A$11,MIN(D155,90))),Reference!$A$6:$A$11,1))))*(INDEX(Reference!$B$6:$B$11,MIN(5,MATCH(MAX(Reference!$A$6,MIN(Reference!$A$11,MIN(D155,90))),Reference!$A$6:$A$11,1))+1)-INDEX(Reference!$B$6:$B$11,MIN(5,MATCH(MAX(Reference!$A$6,MIN(Reference!$A$11,MIN(D155,90))),Reference!$A$6:$A$11,1))))/(INDEX(Reference!$A$6:$A$11,MIN(5,MATCH(MAX(Reference!$A$6,MIN(Reference!$A$11,MIN(D155,90))),Reference!$A$6:$A$11,1))+1)-INDEX(Reference!$A$6:$A$11,MIN(5,MATCH(MAX(Reference!$A$6,MIN(Reference!$A$11,MIN(D155,90))),Reference!$A$6:$A$11,1))))),0)+IF(2&lt;=AE155,(AE155-2+3)*(INDEX(Reference!$B$6:$B$11,MIN(5,MATCH(MAX(Reference!$A$6,MIN(Reference!$A$11,MIN(D155,120))),Reference!$A$6:$A$11,1)))+(MAX(Reference!$A$6,MIN(Reference!$A$11,MIN(D155,120)))-INDEX(Reference!$A$6:$A$11,MIN(5,MATCH(MAX(Reference!$A$6,MIN(Reference!$A$11,MIN(D155,120))),Reference!$A$6:$A$11,1))))*(INDEX(Reference!$B$6:$B$11,MIN(5,MATCH(MAX(Reference!$A$6,MIN(Reference!$A$11,MIN(D155,120))),Reference!$A$6:$A$11,1))+1)-INDEX(Reference!$B$6:$B$11,MIN(5,MATCH(MAX(Reference!$A$6,MIN(Reference!$A$11,MIN(D155,120))),Reference!$A$6:$A$11,1))))/(INDEX(Reference!$A$6:$A$11,MIN(5,MATCH(MAX(Reference!$A$6,MIN(Reference!$A$11,MIN(D155,120))),Reference!$A$6:$A$11,1))+1)-INDEX(Reference!$A$6:$A$11,MIN(5,MATCH(MAX(Reference!$A$6,MIN(Reference!$A$11,MIN(D155,120))),Reference!$A$6:$A$11,1))))),0)+IF(3&lt;=AE155,(AE155-3+3)*(INDEX(Reference!$B$6:$B$11,MIN(5,MATCH(MAX(Reference!$A$6,MIN(Reference!$A$11,MIN(D155,150))),Reference!$A$6:$A$11,1)))+(MAX(Reference!$A$6,MIN(Reference!$A$11,MIN(D155,150)))-INDEX(Reference!$A$6:$A$11,MIN(5,MATCH(MAX(Reference!$A$6,MIN(Reference!$A$11,MIN(D155,150))),Reference!$A$6:$A$11,1))))*(INDEX(Reference!$B$6:$B$11,MIN(5,MATCH(MAX(Reference!$A$6,MIN(Reference!$A$11,MIN(D155,150))),Reference!$A$6:$A$11,1))+1)-INDEX(Reference!$B$6:$B$11,MIN(5,MATCH(MAX(Reference!$A$6,MIN(Reference!$A$11,MIN(D155,150))),Reference!$A$6:$A$11,1))))/(INDEX(Reference!$A$6:$A$11,MIN(5,MATCH(MAX(Reference!$A$6,MIN(Reference!$A$11,MIN(D155,150))),Reference!$A$6:$A$11,1))+1)-INDEX(Reference!$A$6:$A$11,MIN(5,MATCH(MAX(Reference!$A$6,MIN(Reference!$A$11,MIN(D155,150))),Reference!$A$6:$A$11,1))))),0)+IF(4&lt;=AE155,(AE155-4+3)*(INDEX(Reference!$B$6:$B$11,MIN(5,MATCH(MAX(Reference!$A$6,MIN(Reference!$A$11,MIN(D155,180))),Reference!$A$6:$A$11,1)))+(MAX(Reference!$A$6,MIN(Reference!$A$11,MIN(D155,180)))-INDEX(Reference!$A$6:$A$11,MIN(5,MATCH(MAX(Reference!$A$6,MIN(Reference!$A$11,MIN(D155,180))),Reference!$A$6:$A$11,1))))*(INDEX(Reference!$B$6:$B$11,MIN(5,MATCH(MAX(Reference!$A$6,MIN(Reference!$A$11,MIN(D155,180))),Reference!$A$6:$A$11,1))+1)-INDEX(Reference!$B$6:$B$11,MIN(5,MATCH(MAX(Reference!$A$6,MIN(Reference!$A$11,MIN(D155,180))),Reference!$A$6:$A$11,1))))/(INDEX(Reference!$A$6:$A$11,MIN(5,MATCH(MAX(Reference!$A$6,MIN(Reference!$A$11,MIN(D155,180))),Reference!$A$6:$A$11,1))+1)-INDEX(Reference!$A$6:$A$11,MIN(5,MATCH(MAX(Reference!$A$6,MIN(Reference!$A$11,MIN(D155,180))),Reference!$A$6:$A$11,1))))),0)+IF(5&lt;=AE155,(AE155-5+3)*(INDEX(Reference!$B$6:$B$11,MIN(5,MATCH(MAX(Reference!$A$6,MIN(Reference!$A$11,MIN(D155,210))),Reference!$A$6:$A$11,1)))+(MAX(Reference!$A$6,MIN(Reference!$A$11,MIN(D155,210)))-INDEX(Reference!$A$6:$A$11,MIN(5,MATCH(MAX(Reference!$A$6,MIN(Reference!$A$11,MIN(D155,210))),Reference!$A$6:$A$11,1))))*(INDEX(Reference!$B$6:$B$11,MIN(5,MATCH(MAX(Reference!$A$6,MIN(Reference!$A$11,MIN(D155,210))),Reference!$A$6:$A$11,1))+1)-INDEX(Reference!$B$6:$B$11,MIN(5,MATCH(MAX(Reference!$A$6,MIN(Reference!$A$11,MIN(D155,210))),Reference!$A$6:$A$11,1))))/(INDEX(Reference!$A$6:$A$11,MIN(5,MATCH(MAX(Reference!$A$6,MIN(Reference!$A$11,MIN(D155,210))),Reference!$A$6:$A$11,1))+1)-INDEX(Reference!$A$6:$A$11,MIN(5,MATCH(MAX(Reference!$A$6,MIN(Reference!$A$11,MIN(D155,210))),Reference!$A$6:$A$11,1))))),0)+IF(6&lt;=AE155,(AE155-6+3)*(INDEX(Reference!$B$6:$B$11,MIN(5,MATCH(MAX(Reference!$A$6,MIN(Reference!$A$11,MIN(D155,240))),Reference!$A$6:$A$11,1)))+(MAX(Reference!$A$6,MIN(Reference!$A$11,MIN(D155,240)))-INDEX(Reference!$A$6:$A$11,MIN(5,MATCH(MAX(Reference!$A$6,MIN(Reference!$A$11,MIN(D155,240))),Reference!$A$6:$A$11,1))))*(INDEX(Reference!$B$6:$B$11,MIN(5,MATCH(MAX(Reference!$A$6,MIN(Reference!$A$11,MIN(D155,240))),Reference!$A$6:$A$11,1))+1)-INDEX(Reference!$B$6:$B$11,MIN(5,MATCH(MAX(Reference!$A$6,MIN(Reference!$A$11,MIN(D155,240))),Reference!$A$6:$A$11,1))))/(INDEX(Reference!$A$6:$A$11,MIN(5,MATCH(MAX(Reference!$A$6,MIN(Reference!$A$11,MIN(D155,240))),Reference!$A$6:$A$11,1))+1)-INDEX(Reference!$A$6:$A$11,MIN(5,MATCH(MAX(Reference!$A$6,MIN(Reference!$A$11,MIN(D155,240))),Reference!$A$6:$A$11,1))))),0)+IF(7&lt;=AE155,(AE155-7+3)*(INDEX(Reference!$B$6:$B$11,MIN(5,MATCH(MAX(Reference!$A$6,MIN(Reference!$A$11,MIN(D155,270))),Reference!$A$6:$A$11,1)))+(MAX(Reference!$A$6,MIN(Reference!$A$11,MIN(D155,270)))-INDEX(Reference!$A$6:$A$11,MIN(5,MATCH(MAX(Reference!$A$6,MIN(Reference!$A$11,MIN(D155,270))),Reference!$A$6:$A$11,1))))*(INDEX(Reference!$B$6:$B$11,MIN(5,MATCH(MAX(Reference!$A$6,MIN(Reference!$A$11,MIN(D155,270))),Reference!$A$6:$A$11,1))+1)-INDEX(Reference!$B$6:$B$11,MIN(5,MATCH(MAX(Reference!$A$6,MIN(Reference!$A$11,MIN(D155,270))),Reference!$A$6:$A$11,1))))/(INDEX(Reference!$A$6:$A$11,MIN(5,MATCH(MAX(Reference!$A$6,MIN(Reference!$A$11,MIN(D155,270))),Reference!$A$6:$A$11,1))+1)-INDEX(Reference!$A$6:$A$11,MIN(5,MATCH(MAX(Reference!$A$6,MIN(Reference!$A$11,MIN(D155,270))),Reference!$A$6:$A$11,1))))),0)+IF(8&lt;=AE155,(AE155-8+3)*(INDEX(Reference!$B$6:$B$11,MIN(5,MATCH(MAX(Reference!$A$6,MIN(Reference!$A$11,MIN(D155,300))),Reference!$A$6:$A$11,1)))+(MAX(Reference!$A$6,MIN(Reference!$A$11,MIN(D155,300)))-INDEX(Reference!$A$6:$A$11,MIN(5,MATCH(MAX(Reference!$A$6,MIN(Reference!$A$11,MIN(D155,300))),Reference!$A$6:$A$11,1))))*(INDEX(Reference!$B$6:$B$11,MIN(5,MATCH(MAX(Reference!$A$6,MIN(Reference!$A$11,MIN(D155,300))),Reference!$A$6:$A$11,1))+1)-INDEX(Reference!$B$6:$B$11,MIN(5,MATCH(MAX(Reference!$A$6,MIN(Reference!$A$11,MIN(D155,300))),Reference!$A$6:$A$11,1))))/(INDEX(Reference!$A$6:$A$11,MIN(5,MATCH(MAX(Reference!$A$6,MIN(Reference!$A$11,MIN(D155,300))),Reference!$A$6:$A$11,1))+1)-INDEX(Reference!$A$6:$A$11,MIN(5,MATCH(MAX(Reference!$A$6,MIN(Reference!$A$11,MIN(D155,300))),Reference!$A$6:$A$11,1))))),0))/(AE155*(AE155+5)/2)),(INDEX(Reference!$B$6:$B$11,MIN(5,MATCH(MAX(Reference!$A$6,MIN(Reference!$A$11,D155)),Reference!$A$6:$A$11,1)))+(MAX(Reference!$A$6,MIN(Reference!$A$11,D155))-INDEX(Reference!$A$6:$A$11,MIN(5,MATCH(MAX(Reference!$A$6,MIN(Reference!$A$11,D155)),Reference!$A$6:$A$11,1))))*(INDEX(Reference!$B$6:$B$11,MIN(5,MATCH(MAX(Reference!$A$6,MIN(Reference!$A$11,D155)),Reference!$A$6:$A$11,1))+1)-INDEX(Reference!$B$6:$B$11,MIN(5,MATCH(MAX(Reference!$A$6,MIN(Reference!$A$11,D155)),Reference!$A$6:$A$11,1))))/(INDEX(Reference!$A$6:$A$11,MIN(5,MATCH(MAX(Reference!$A$6,MIN(Reference!$A$11,D155)),Reference!$A$6:$A$11,1))+1)-INDEX(Reference!$A$6:$A$11,MIN(5,MATCH(MAX(Reference!$A$6,MIN(Reference!$A$11,D155)),Reference!$A$6:$A$11,1))))))))</f>
        <v/>
      </c>
      <c r="P155" s="32" t="str">
        <f>IF(N155="","",VLOOKUP(MAX(N155,0),Reference!$A$17:$B$20,2,TRUE()))</f>
        <v/>
      </c>
      <c r="Q155" s="32" t="str">
        <f t="shared" si="21"/>
        <v/>
      </c>
      <c r="R155" s="31"/>
      <c r="S155" s="31"/>
      <c r="T155" s="31"/>
      <c r="U155" s="32" t="str">
        <f t="shared" si="22"/>
        <v/>
      </c>
      <c r="V155" s="32" t="str">
        <f t="shared" si="23"/>
        <v/>
      </c>
      <c r="W155" s="32" t="str">
        <f>IF(V155="","",VLOOKUP(MAX(V155,0),Reference!$A$17:$B$20,2,TRUE()))</f>
        <v/>
      </c>
      <c r="X155" s="31"/>
      <c r="Y155" s="31"/>
      <c r="Z155" s="31"/>
      <c r="AA155" s="32" t="str">
        <f t="shared" si="24"/>
        <v/>
      </c>
      <c r="AB155" s="32" t="str">
        <f t="shared" si="25"/>
        <v/>
      </c>
      <c r="AC155" s="32" t="str">
        <f>IF(AB155="","",VLOOKUP(MAX(AB155,0),Reference!$A$17:$B$20,2,TRUE()))</f>
        <v/>
      </c>
      <c r="AD155" s="31"/>
      <c r="AE155">
        <f t="shared" si="26"/>
        <v>1</v>
      </c>
      <c r="AF155" s="33" t="str">
        <f>IF(OR(A155="",B155="",AND(C155&lt;&gt;"Bullpen",C155&lt;&gt;"Game")),"",IF((COUNTIFS($B$5:$B$300,B155,$A$5:$A$300,A155-1,$C$5:$C$300,"Bullpen",$AG$5:$AG$300,"&gt;0") + COUNTIFS($B$5:$B$300,B155,$A$5:$A$300,A155-1,$C$5:$C$300,"Game",$AG$5:$AG$300,"&gt;0"))&gt;0,Reference!$B$119,IF((COUNTIFS($B$5:$B$300,B155,$A$5:$A$300,A155-2,$C$5:$C$300,"Bullpen",$AG$5:$AG$300,"&gt;0") + COUNTIFS($B$5:$B$300,B155,$A$5:$A$300,A155-2,$C$5:$C$300,"Game",$AG$5:$AG$300,"&gt;0"))&gt;0,Reference!$B$120,1)))</f>
        <v/>
      </c>
      <c r="AG155" s="30" t="str">
        <f>IF(AND(OR(I155="",O155="",P155=""),OR(R155="",W155=""),OR(X155="",AC155="")),"",IF(OR(I155="",O155="",P155=""),0,I155*O155*P155)+IF(OR(R155="",W155=""),0,R155*IFERROR(INDEX(Reference!$B$61:$B$62,MATCH("Bullpen",Reference!$A$61:$A$62,0)),0)*W155)+IF(OR(X155="",AC155=""),0,X155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155))</f>
        <v/>
      </c>
    </row>
    <row r="156" spans="1:33" x14ac:dyDescent="0.3">
      <c r="A156" s="35"/>
      <c r="B156" s="31"/>
      <c r="C156" s="31"/>
      <c r="D156" s="31"/>
      <c r="E156" s="34"/>
      <c r="F156" s="34"/>
      <c r="G156" s="30" t="str">
        <f t="shared" si="18"/>
        <v/>
      </c>
      <c r="H156" s="31"/>
      <c r="I156" s="32" t="str">
        <f>IF(H156&lt;&gt;"",H156,IF(G156="","",ROUND(G156*IFERROR(INDEX(Reference!$B$44:$B$50,MATCH(C156,Reference!$A$44:$A$50,0)),0),0)))</f>
        <v/>
      </c>
      <c r="J156" s="31"/>
      <c r="K156" s="31"/>
      <c r="L156" s="32" t="str">
        <f t="shared" si="19"/>
        <v/>
      </c>
      <c r="M156" s="32" t="str">
        <f>IFERROR(INDEX(Roster!$D$5:$D$40,MATCH(B156,Roster!$A$5:$A$40,0)),"")</f>
        <v/>
      </c>
      <c r="N156" s="32" t="str">
        <f t="shared" si="20"/>
        <v/>
      </c>
      <c r="O156" s="32" t="str">
        <f>IF(OR(C156="Bullpen",C156="Game"),IFERROR(INDEX(Reference!$B$61:$B$62,MATCH(C156,Reference!$A$61:$A$62,0)),""),IF(D156="","",IF(AE156&gt;1,((IF(1&lt;=AE156,(AE156-1+3)*(INDEX(Reference!$B$6:$B$11,MIN(5,MATCH(MAX(Reference!$A$6,MIN(Reference!$A$11,MIN(D156,90))),Reference!$A$6:$A$11,1)))+(MAX(Reference!$A$6,MIN(Reference!$A$11,MIN(D156,90)))-INDEX(Reference!$A$6:$A$11,MIN(5,MATCH(MAX(Reference!$A$6,MIN(Reference!$A$11,MIN(D156,90))),Reference!$A$6:$A$11,1))))*(INDEX(Reference!$B$6:$B$11,MIN(5,MATCH(MAX(Reference!$A$6,MIN(Reference!$A$11,MIN(D156,90))),Reference!$A$6:$A$11,1))+1)-INDEX(Reference!$B$6:$B$11,MIN(5,MATCH(MAX(Reference!$A$6,MIN(Reference!$A$11,MIN(D156,90))),Reference!$A$6:$A$11,1))))/(INDEX(Reference!$A$6:$A$11,MIN(5,MATCH(MAX(Reference!$A$6,MIN(Reference!$A$11,MIN(D156,90))),Reference!$A$6:$A$11,1))+1)-INDEX(Reference!$A$6:$A$11,MIN(5,MATCH(MAX(Reference!$A$6,MIN(Reference!$A$11,MIN(D156,90))),Reference!$A$6:$A$11,1))))),0)+IF(2&lt;=AE156,(AE156-2+3)*(INDEX(Reference!$B$6:$B$11,MIN(5,MATCH(MAX(Reference!$A$6,MIN(Reference!$A$11,MIN(D156,120))),Reference!$A$6:$A$11,1)))+(MAX(Reference!$A$6,MIN(Reference!$A$11,MIN(D156,120)))-INDEX(Reference!$A$6:$A$11,MIN(5,MATCH(MAX(Reference!$A$6,MIN(Reference!$A$11,MIN(D156,120))),Reference!$A$6:$A$11,1))))*(INDEX(Reference!$B$6:$B$11,MIN(5,MATCH(MAX(Reference!$A$6,MIN(Reference!$A$11,MIN(D156,120))),Reference!$A$6:$A$11,1))+1)-INDEX(Reference!$B$6:$B$11,MIN(5,MATCH(MAX(Reference!$A$6,MIN(Reference!$A$11,MIN(D156,120))),Reference!$A$6:$A$11,1))))/(INDEX(Reference!$A$6:$A$11,MIN(5,MATCH(MAX(Reference!$A$6,MIN(Reference!$A$11,MIN(D156,120))),Reference!$A$6:$A$11,1))+1)-INDEX(Reference!$A$6:$A$11,MIN(5,MATCH(MAX(Reference!$A$6,MIN(Reference!$A$11,MIN(D156,120))),Reference!$A$6:$A$11,1))))),0)+IF(3&lt;=AE156,(AE156-3+3)*(INDEX(Reference!$B$6:$B$11,MIN(5,MATCH(MAX(Reference!$A$6,MIN(Reference!$A$11,MIN(D156,150))),Reference!$A$6:$A$11,1)))+(MAX(Reference!$A$6,MIN(Reference!$A$11,MIN(D156,150)))-INDEX(Reference!$A$6:$A$11,MIN(5,MATCH(MAX(Reference!$A$6,MIN(Reference!$A$11,MIN(D156,150))),Reference!$A$6:$A$11,1))))*(INDEX(Reference!$B$6:$B$11,MIN(5,MATCH(MAX(Reference!$A$6,MIN(Reference!$A$11,MIN(D156,150))),Reference!$A$6:$A$11,1))+1)-INDEX(Reference!$B$6:$B$11,MIN(5,MATCH(MAX(Reference!$A$6,MIN(Reference!$A$11,MIN(D156,150))),Reference!$A$6:$A$11,1))))/(INDEX(Reference!$A$6:$A$11,MIN(5,MATCH(MAX(Reference!$A$6,MIN(Reference!$A$11,MIN(D156,150))),Reference!$A$6:$A$11,1))+1)-INDEX(Reference!$A$6:$A$11,MIN(5,MATCH(MAX(Reference!$A$6,MIN(Reference!$A$11,MIN(D156,150))),Reference!$A$6:$A$11,1))))),0)+IF(4&lt;=AE156,(AE156-4+3)*(INDEX(Reference!$B$6:$B$11,MIN(5,MATCH(MAX(Reference!$A$6,MIN(Reference!$A$11,MIN(D156,180))),Reference!$A$6:$A$11,1)))+(MAX(Reference!$A$6,MIN(Reference!$A$11,MIN(D156,180)))-INDEX(Reference!$A$6:$A$11,MIN(5,MATCH(MAX(Reference!$A$6,MIN(Reference!$A$11,MIN(D156,180))),Reference!$A$6:$A$11,1))))*(INDEX(Reference!$B$6:$B$11,MIN(5,MATCH(MAX(Reference!$A$6,MIN(Reference!$A$11,MIN(D156,180))),Reference!$A$6:$A$11,1))+1)-INDEX(Reference!$B$6:$B$11,MIN(5,MATCH(MAX(Reference!$A$6,MIN(Reference!$A$11,MIN(D156,180))),Reference!$A$6:$A$11,1))))/(INDEX(Reference!$A$6:$A$11,MIN(5,MATCH(MAX(Reference!$A$6,MIN(Reference!$A$11,MIN(D156,180))),Reference!$A$6:$A$11,1))+1)-INDEX(Reference!$A$6:$A$11,MIN(5,MATCH(MAX(Reference!$A$6,MIN(Reference!$A$11,MIN(D156,180))),Reference!$A$6:$A$11,1))))),0)+IF(5&lt;=AE156,(AE156-5+3)*(INDEX(Reference!$B$6:$B$11,MIN(5,MATCH(MAX(Reference!$A$6,MIN(Reference!$A$11,MIN(D156,210))),Reference!$A$6:$A$11,1)))+(MAX(Reference!$A$6,MIN(Reference!$A$11,MIN(D156,210)))-INDEX(Reference!$A$6:$A$11,MIN(5,MATCH(MAX(Reference!$A$6,MIN(Reference!$A$11,MIN(D156,210))),Reference!$A$6:$A$11,1))))*(INDEX(Reference!$B$6:$B$11,MIN(5,MATCH(MAX(Reference!$A$6,MIN(Reference!$A$11,MIN(D156,210))),Reference!$A$6:$A$11,1))+1)-INDEX(Reference!$B$6:$B$11,MIN(5,MATCH(MAX(Reference!$A$6,MIN(Reference!$A$11,MIN(D156,210))),Reference!$A$6:$A$11,1))))/(INDEX(Reference!$A$6:$A$11,MIN(5,MATCH(MAX(Reference!$A$6,MIN(Reference!$A$11,MIN(D156,210))),Reference!$A$6:$A$11,1))+1)-INDEX(Reference!$A$6:$A$11,MIN(5,MATCH(MAX(Reference!$A$6,MIN(Reference!$A$11,MIN(D156,210))),Reference!$A$6:$A$11,1))))),0)+IF(6&lt;=AE156,(AE156-6+3)*(INDEX(Reference!$B$6:$B$11,MIN(5,MATCH(MAX(Reference!$A$6,MIN(Reference!$A$11,MIN(D156,240))),Reference!$A$6:$A$11,1)))+(MAX(Reference!$A$6,MIN(Reference!$A$11,MIN(D156,240)))-INDEX(Reference!$A$6:$A$11,MIN(5,MATCH(MAX(Reference!$A$6,MIN(Reference!$A$11,MIN(D156,240))),Reference!$A$6:$A$11,1))))*(INDEX(Reference!$B$6:$B$11,MIN(5,MATCH(MAX(Reference!$A$6,MIN(Reference!$A$11,MIN(D156,240))),Reference!$A$6:$A$11,1))+1)-INDEX(Reference!$B$6:$B$11,MIN(5,MATCH(MAX(Reference!$A$6,MIN(Reference!$A$11,MIN(D156,240))),Reference!$A$6:$A$11,1))))/(INDEX(Reference!$A$6:$A$11,MIN(5,MATCH(MAX(Reference!$A$6,MIN(Reference!$A$11,MIN(D156,240))),Reference!$A$6:$A$11,1))+1)-INDEX(Reference!$A$6:$A$11,MIN(5,MATCH(MAX(Reference!$A$6,MIN(Reference!$A$11,MIN(D156,240))),Reference!$A$6:$A$11,1))))),0)+IF(7&lt;=AE156,(AE156-7+3)*(INDEX(Reference!$B$6:$B$11,MIN(5,MATCH(MAX(Reference!$A$6,MIN(Reference!$A$11,MIN(D156,270))),Reference!$A$6:$A$11,1)))+(MAX(Reference!$A$6,MIN(Reference!$A$11,MIN(D156,270)))-INDEX(Reference!$A$6:$A$11,MIN(5,MATCH(MAX(Reference!$A$6,MIN(Reference!$A$11,MIN(D156,270))),Reference!$A$6:$A$11,1))))*(INDEX(Reference!$B$6:$B$11,MIN(5,MATCH(MAX(Reference!$A$6,MIN(Reference!$A$11,MIN(D156,270))),Reference!$A$6:$A$11,1))+1)-INDEX(Reference!$B$6:$B$11,MIN(5,MATCH(MAX(Reference!$A$6,MIN(Reference!$A$11,MIN(D156,270))),Reference!$A$6:$A$11,1))))/(INDEX(Reference!$A$6:$A$11,MIN(5,MATCH(MAX(Reference!$A$6,MIN(Reference!$A$11,MIN(D156,270))),Reference!$A$6:$A$11,1))+1)-INDEX(Reference!$A$6:$A$11,MIN(5,MATCH(MAX(Reference!$A$6,MIN(Reference!$A$11,MIN(D156,270))),Reference!$A$6:$A$11,1))))),0)+IF(8&lt;=AE156,(AE156-8+3)*(INDEX(Reference!$B$6:$B$11,MIN(5,MATCH(MAX(Reference!$A$6,MIN(Reference!$A$11,MIN(D156,300))),Reference!$A$6:$A$11,1)))+(MAX(Reference!$A$6,MIN(Reference!$A$11,MIN(D156,300)))-INDEX(Reference!$A$6:$A$11,MIN(5,MATCH(MAX(Reference!$A$6,MIN(Reference!$A$11,MIN(D156,300))),Reference!$A$6:$A$11,1))))*(INDEX(Reference!$B$6:$B$11,MIN(5,MATCH(MAX(Reference!$A$6,MIN(Reference!$A$11,MIN(D156,300))),Reference!$A$6:$A$11,1))+1)-INDEX(Reference!$B$6:$B$11,MIN(5,MATCH(MAX(Reference!$A$6,MIN(Reference!$A$11,MIN(D156,300))),Reference!$A$6:$A$11,1))))/(INDEX(Reference!$A$6:$A$11,MIN(5,MATCH(MAX(Reference!$A$6,MIN(Reference!$A$11,MIN(D156,300))),Reference!$A$6:$A$11,1))+1)-INDEX(Reference!$A$6:$A$11,MIN(5,MATCH(MAX(Reference!$A$6,MIN(Reference!$A$11,MIN(D156,300))),Reference!$A$6:$A$11,1))))),0))/(AE156*(AE156+5)/2)),(INDEX(Reference!$B$6:$B$11,MIN(5,MATCH(MAX(Reference!$A$6,MIN(Reference!$A$11,D156)),Reference!$A$6:$A$11,1)))+(MAX(Reference!$A$6,MIN(Reference!$A$11,D156))-INDEX(Reference!$A$6:$A$11,MIN(5,MATCH(MAX(Reference!$A$6,MIN(Reference!$A$11,D156)),Reference!$A$6:$A$11,1))))*(INDEX(Reference!$B$6:$B$11,MIN(5,MATCH(MAX(Reference!$A$6,MIN(Reference!$A$11,D156)),Reference!$A$6:$A$11,1))+1)-INDEX(Reference!$B$6:$B$11,MIN(5,MATCH(MAX(Reference!$A$6,MIN(Reference!$A$11,D156)),Reference!$A$6:$A$11,1))))/(INDEX(Reference!$A$6:$A$11,MIN(5,MATCH(MAX(Reference!$A$6,MIN(Reference!$A$11,D156)),Reference!$A$6:$A$11,1))+1)-INDEX(Reference!$A$6:$A$11,MIN(5,MATCH(MAX(Reference!$A$6,MIN(Reference!$A$11,D156)),Reference!$A$6:$A$11,1))))))))</f>
        <v/>
      </c>
      <c r="P156" s="32" t="str">
        <f>IF(N156="","",VLOOKUP(MAX(N156,0),Reference!$A$17:$B$20,2,TRUE()))</f>
        <v/>
      </c>
      <c r="Q156" s="32" t="str">
        <f t="shared" si="21"/>
        <v/>
      </c>
      <c r="R156" s="31"/>
      <c r="S156" s="31"/>
      <c r="T156" s="31"/>
      <c r="U156" s="32" t="str">
        <f t="shared" si="22"/>
        <v/>
      </c>
      <c r="V156" s="32" t="str">
        <f t="shared" si="23"/>
        <v/>
      </c>
      <c r="W156" s="32" t="str">
        <f>IF(V156="","",VLOOKUP(MAX(V156,0),Reference!$A$17:$B$20,2,TRUE()))</f>
        <v/>
      </c>
      <c r="X156" s="31"/>
      <c r="Y156" s="31"/>
      <c r="Z156" s="31"/>
      <c r="AA156" s="32" t="str">
        <f t="shared" si="24"/>
        <v/>
      </c>
      <c r="AB156" s="32" t="str">
        <f t="shared" si="25"/>
        <v/>
      </c>
      <c r="AC156" s="32" t="str">
        <f>IF(AB156="","",VLOOKUP(MAX(AB156,0),Reference!$A$17:$B$20,2,TRUE()))</f>
        <v/>
      </c>
      <c r="AD156" s="31"/>
      <c r="AE156">
        <f t="shared" si="26"/>
        <v>1</v>
      </c>
      <c r="AF156" s="33" t="str">
        <f>IF(OR(A156="",B156="",AND(C156&lt;&gt;"Bullpen",C156&lt;&gt;"Game")),"",IF((COUNTIFS($B$5:$B$300,B156,$A$5:$A$300,A156-1,$C$5:$C$300,"Bullpen",$AG$5:$AG$300,"&gt;0") + COUNTIFS($B$5:$B$300,B156,$A$5:$A$300,A156-1,$C$5:$C$300,"Game",$AG$5:$AG$300,"&gt;0"))&gt;0,Reference!$B$119,IF((COUNTIFS($B$5:$B$300,B156,$A$5:$A$300,A156-2,$C$5:$C$300,"Bullpen",$AG$5:$AG$300,"&gt;0") + COUNTIFS($B$5:$B$300,B156,$A$5:$A$300,A156-2,$C$5:$C$300,"Game",$AG$5:$AG$300,"&gt;0"))&gt;0,Reference!$B$120,1)))</f>
        <v/>
      </c>
      <c r="AG156" s="30" t="str">
        <f>IF(AND(OR(I156="",O156="",P156=""),OR(R156="",W156=""),OR(X156="",AC156="")),"",IF(OR(I156="",O156="",P156=""),0,I156*O156*P156)+IF(OR(R156="",W156=""),0,R156*IFERROR(INDEX(Reference!$B$61:$B$62,MATCH("Bullpen",Reference!$A$61:$A$62,0)),0)*W156)+IF(OR(X156="",AC156=""),0,X156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156))</f>
        <v/>
      </c>
    </row>
    <row r="157" spans="1:33" x14ac:dyDescent="0.3">
      <c r="A157" s="35"/>
      <c r="B157" s="31"/>
      <c r="C157" s="31"/>
      <c r="D157" s="31"/>
      <c r="E157" s="34"/>
      <c r="F157" s="34"/>
      <c r="G157" s="30" t="str">
        <f t="shared" si="18"/>
        <v/>
      </c>
      <c r="H157" s="31"/>
      <c r="I157" s="32" t="str">
        <f>IF(H157&lt;&gt;"",H157,IF(G157="","",ROUND(G157*IFERROR(INDEX(Reference!$B$44:$B$50,MATCH(C157,Reference!$A$44:$A$50,0)),0),0)))</f>
        <v/>
      </c>
      <c r="J157" s="31"/>
      <c r="K157" s="31"/>
      <c r="L157" s="32" t="str">
        <f t="shared" si="19"/>
        <v/>
      </c>
      <c r="M157" s="32" t="str">
        <f>IFERROR(INDEX(Roster!$D$5:$D$40,MATCH(B157,Roster!$A$5:$A$40,0)),"")</f>
        <v/>
      </c>
      <c r="N157" s="32" t="str">
        <f t="shared" si="20"/>
        <v/>
      </c>
      <c r="O157" s="32" t="str">
        <f>IF(OR(C157="Bullpen",C157="Game"),IFERROR(INDEX(Reference!$B$61:$B$62,MATCH(C157,Reference!$A$61:$A$62,0)),""),IF(D157="","",IF(AE157&gt;1,((IF(1&lt;=AE157,(AE157-1+3)*(INDEX(Reference!$B$6:$B$11,MIN(5,MATCH(MAX(Reference!$A$6,MIN(Reference!$A$11,MIN(D157,90))),Reference!$A$6:$A$11,1)))+(MAX(Reference!$A$6,MIN(Reference!$A$11,MIN(D157,90)))-INDEX(Reference!$A$6:$A$11,MIN(5,MATCH(MAX(Reference!$A$6,MIN(Reference!$A$11,MIN(D157,90))),Reference!$A$6:$A$11,1))))*(INDEX(Reference!$B$6:$B$11,MIN(5,MATCH(MAX(Reference!$A$6,MIN(Reference!$A$11,MIN(D157,90))),Reference!$A$6:$A$11,1))+1)-INDEX(Reference!$B$6:$B$11,MIN(5,MATCH(MAX(Reference!$A$6,MIN(Reference!$A$11,MIN(D157,90))),Reference!$A$6:$A$11,1))))/(INDEX(Reference!$A$6:$A$11,MIN(5,MATCH(MAX(Reference!$A$6,MIN(Reference!$A$11,MIN(D157,90))),Reference!$A$6:$A$11,1))+1)-INDEX(Reference!$A$6:$A$11,MIN(5,MATCH(MAX(Reference!$A$6,MIN(Reference!$A$11,MIN(D157,90))),Reference!$A$6:$A$11,1))))),0)+IF(2&lt;=AE157,(AE157-2+3)*(INDEX(Reference!$B$6:$B$11,MIN(5,MATCH(MAX(Reference!$A$6,MIN(Reference!$A$11,MIN(D157,120))),Reference!$A$6:$A$11,1)))+(MAX(Reference!$A$6,MIN(Reference!$A$11,MIN(D157,120)))-INDEX(Reference!$A$6:$A$11,MIN(5,MATCH(MAX(Reference!$A$6,MIN(Reference!$A$11,MIN(D157,120))),Reference!$A$6:$A$11,1))))*(INDEX(Reference!$B$6:$B$11,MIN(5,MATCH(MAX(Reference!$A$6,MIN(Reference!$A$11,MIN(D157,120))),Reference!$A$6:$A$11,1))+1)-INDEX(Reference!$B$6:$B$11,MIN(5,MATCH(MAX(Reference!$A$6,MIN(Reference!$A$11,MIN(D157,120))),Reference!$A$6:$A$11,1))))/(INDEX(Reference!$A$6:$A$11,MIN(5,MATCH(MAX(Reference!$A$6,MIN(Reference!$A$11,MIN(D157,120))),Reference!$A$6:$A$11,1))+1)-INDEX(Reference!$A$6:$A$11,MIN(5,MATCH(MAX(Reference!$A$6,MIN(Reference!$A$11,MIN(D157,120))),Reference!$A$6:$A$11,1))))),0)+IF(3&lt;=AE157,(AE157-3+3)*(INDEX(Reference!$B$6:$B$11,MIN(5,MATCH(MAX(Reference!$A$6,MIN(Reference!$A$11,MIN(D157,150))),Reference!$A$6:$A$11,1)))+(MAX(Reference!$A$6,MIN(Reference!$A$11,MIN(D157,150)))-INDEX(Reference!$A$6:$A$11,MIN(5,MATCH(MAX(Reference!$A$6,MIN(Reference!$A$11,MIN(D157,150))),Reference!$A$6:$A$11,1))))*(INDEX(Reference!$B$6:$B$11,MIN(5,MATCH(MAX(Reference!$A$6,MIN(Reference!$A$11,MIN(D157,150))),Reference!$A$6:$A$11,1))+1)-INDEX(Reference!$B$6:$B$11,MIN(5,MATCH(MAX(Reference!$A$6,MIN(Reference!$A$11,MIN(D157,150))),Reference!$A$6:$A$11,1))))/(INDEX(Reference!$A$6:$A$11,MIN(5,MATCH(MAX(Reference!$A$6,MIN(Reference!$A$11,MIN(D157,150))),Reference!$A$6:$A$11,1))+1)-INDEX(Reference!$A$6:$A$11,MIN(5,MATCH(MAX(Reference!$A$6,MIN(Reference!$A$11,MIN(D157,150))),Reference!$A$6:$A$11,1))))),0)+IF(4&lt;=AE157,(AE157-4+3)*(INDEX(Reference!$B$6:$B$11,MIN(5,MATCH(MAX(Reference!$A$6,MIN(Reference!$A$11,MIN(D157,180))),Reference!$A$6:$A$11,1)))+(MAX(Reference!$A$6,MIN(Reference!$A$11,MIN(D157,180)))-INDEX(Reference!$A$6:$A$11,MIN(5,MATCH(MAX(Reference!$A$6,MIN(Reference!$A$11,MIN(D157,180))),Reference!$A$6:$A$11,1))))*(INDEX(Reference!$B$6:$B$11,MIN(5,MATCH(MAX(Reference!$A$6,MIN(Reference!$A$11,MIN(D157,180))),Reference!$A$6:$A$11,1))+1)-INDEX(Reference!$B$6:$B$11,MIN(5,MATCH(MAX(Reference!$A$6,MIN(Reference!$A$11,MIN(D157,180))),Reference!$A$6:$A$11,1))))/(INDEX(Reference!$A$6:$A$11,MIN(5,MATCH(MAX(Reference!$A$6,MIN(Reference!$A$11,MIN(D157,180))),Reference!$A$6:$A$11,1))+1)-INDEX(Reference!$A$6:$A$11,MIN(5,MATCH(MAX(Reference!$A$6,MIN(Reference!$A$11,MIN(D157,180))),Reference!$A$6:$A$11,1))))),0)+IF(5&lt;=AE157,(AE157-5+3)*(INDEX(Reference!$B$6:$B$11,MIN(5,MATCH(MAX(Reference!$A$6,MIN(Reference!$A$11,MIN(D157,210))),Reference!$A$6:$A$11,1)))+(MAX(Reference!$A$6,MIN(Reference!$A$11,MIN(D157,210)))-INDEX(Reference!$A$6:$A$11,MIN(5,MATCH(MAX(Reference!$A$6,MIN(Reference!$A$11,MIN(D157,210))),Reference!$A$6:$A$11,1))))*(INDEX(Reference!$B$6:$B$11,MIN(5,MATCH(MAX(Reference!$A$6,MIN(Reference!$A$11,MIN(D157,210))),Reference!$A$6:$A$11,1))+1)-INDEX(Reference!$B$6:$B$11,MIN(5,MATCH(MAX(Reference!$A$6,MIN(Reference!$A$11,MIN(D157,210))),Reference!$A$6:$A$11,1))))/(INDEX(Reference!$A$6:$A$11,MIN(5,MATCH(MAX(Reference!$A$6,MIN(Reference!$A$11,MIN(D157,210))),Reference!$A$6:$A$11,1))+1)-INDEX(Reference!$A$6:$A$11,MIN(5,MATCH(MAX(Reference!$A$6,MIN(Reference!$A$11,MIN(D157,210))),Reference!$A$6:$A$11,1))))),0)+IF(6&lt;=AE157,(AE157-6+3)*(INDEX(Reference!$B$6:$B$11,MIN(5,MATCH(MAX(Reference!$A$6,MIN(Reference!$A$11,MIN(D157,240))),Reference!$A$6:$A$11,1)))+(MAX(Reference!$A$6,MIN(Reference!$A$11,MIN(D157,240)))-INDEX(Reference!$A$6:$A$11,MIN(5,MATCH(MAX(Reference!$A$6,MIN(Reference!$A$11,MIN(D157,240))),Reference!$A$6:$A$11,1))))*(INDEX(Reference!$B$6:$B$11,MIN(5,MATCH(MAX(Reference!$A$6,MIN(Reference!$A$11,MIN(D157,240))),Reference!$A$6:$A$11,1))+1)-INDEX(Reference!$B$6:$B$11,MIN(5,MATCH(MAX(Reference!$A$6,MIN(Reference!$A$11,MIN(D157,240))),Reference!$A$6:$A$11,1))))/(INDEX(Reference!$A$6:$A$11,MIN(5,MATCH(MAX(Reference!$A$6,MIN(Reference!$A$11,MIN(D157,240))),Reference!$A$6:$A$11,1))+1)-INDEX(Reference!$A$6:$A$11,MIN(5,MATCH(MAX(Reference!$A$6,MIN(Reference!$A$11,MIN(D157,240))),Reference!$A$6:$A$11,1))))),0)+IF(7&lt;=AE157,(AE157-7+3)*(INDEX(Reference!$B$6:$B$11,MIN(5,MATCH(MAX(Reference!$A$6,MIN(Reference!$A$11,MIN(D157,270))),Reference!$A$6:$A$11,1)))+(MAX(Reference!$A$6,MIN(Reference!$A$11,MIN(D157,270)))-INDEX(Reference!$A$6:$A$11,MIN(5,MATCH(MAX(Reference!$A$6,MIN(Reference!$A$11,MIN(D157,270))),Reference!$A$6:$A$11,1))))*(INDEX(Reference!$B$6:$B$11,MIN(5,MATCH(MAX(Reference!$A$6,MIN(Reference!$A$11,MIN(D157,270))),Reference!$A$6:$A$11,1))+1)-INDEX(Reference!$B$6:$B$11,MIN(5,MATCH(MAX(Reference!$A$6,MIN(Reference!$A$11,MIN(D157,270))),Reference!$A$6:$A$11,1))))/(INDEX(Reference!$A$6:$A$11,MIN(5,MATCH(MAX(Reference!$A$6,MIN(Reference!$A$11,MIN(D157,270))),Reference!$A$6:$A$11,1))+1)-INDEX(Reference!$A$6:$A$11,MIN(5,MATCH(MAX(Reference!$A$6,MIN(Reference!$A$11,MIN(D157,270))),Reference!$A$6:$A$11,1))))),0)+IF(8&lt;=AE157,(AE157-8+3)*(INDEX(Reference!$B$6:$B$11,MIN(5,MATCH(MAX(Reference!$A$6,MIN(Reference!$A$11,MIN(D157,300))),Reference!$A$6:$A$11,1)))+(MAX(Reference!$A$6,MIN(Reference!$A$11,MIN(D157,300)))-INDEX(Reference!$A$6:$A$11,MIN(5,MATCH(MAX(Reference!$A$6,MIN(Reference!$A$11,MIN(D157,300))),Reference!$A$6:$A$11,1))))*(INDEX(Reference!$B$6:$B$11,MIN(5,MATCH(MAX(Reference!$A$6,MIN(Reference!$A$11,MIN(D157,300))),Reference!$A$6:$A$11,1))+1)-INDEX(Reference!$B$6:$B$11,MIN(5,MATCH(MAX(Reference!$A$6,MIN(Reference!$A$11,MIN(D157,300))),Reference!$A$6:$A$11,1))))/(INDEX(Reference!$A$6:$A$11,MIN(5,MATCH(MAX(Reference!$A$6,MIN(Reference!$A$11,MIN(D157,300))),Reference!$A$6:$A$11,1))+1)-INDEX(Reference!$A$6:$A$11,MIN(5,MATCH(MAX(Reference!$A$6,MIN(Reference!$A$11,MIN(D157,300))),Reference!$A$6:$A$11,1))))),0))/(AE157*(AE157+5)/2)),(INDEX(Reference!$B$6:$B$11,MIN(5,MATCH(MAX(Reference!$A$6,MIN(Reference!$A$11,D157)),Reference!$A$6:$A$11,1)))+(MAX(Reference!$A$6,MIN(Reference!$A$11,D157))-INDEX(Reference!$A$6:$A$11,MIN(5,MATCH(MAX(Reference!$A$6,MIN(Reference!$A$11,D157)),Reference!$A$6:$A$11,1))))*(INDEX(Reference!$B$6:$B$11,MIN(5,MATCH(MAX(Reference!$A$6,MIN(Reference!$A$11,D157)),Reference!$A$6:$A$11,1))+1)-INDEX(Reference!$B$6:$B$11,MIN(5,MATCH(MAX(Reference!$A$6,MIN(Reference!$A$11,D157)),Reference!$A$6:$A$11,1))))/(INDEX(Reference!$A$6:$A$11,MIN(5,MATCH(MAX(Reference!$A$6,MIN(Reference!$A$11,D157)),Reference!$A$6:$A$11,1))+1)-INDEX(Reference!$A$6:$A$11,MIN(5,MATCH(MAX(Reference!$A$6,MIN(Reference!$A$11,D157)),Reference!$A$6:$A$11,1))))))))</f>
        <v/>
      </c>
      <c r="P157" s="32" t="str">
        <f>IF(N157="","",VLOOKUP(MAX(N157,0),Reference!$A$17:$B$20,2,TRUE()))</f>
        <v/>
      </c>
      <c r="Q157" s="32" t="str">
        <f t="shared" si="21"/>
        <v/>
      </c>
      <c r="R157" s="31"/>
      <c r="S157" s="31"/>
      <c r="T157" s="31"/>
      <c r="U157" s="32" t="str">
        <f t="shared" si="22"/>
        <v/>
      </c>
      <c r="V157" s="32" t="str">
        <f t="shared" si="23"/>
        <v/>
      </c>
      <c r="W157" s="32" t="str">
        <f>IF(V157="","",VLOOKUP(MAX(V157,0),Reference!$A$17:$B$20,2,TRUE()))</f>
        <v/>
      </c>
      <c r="X157" s="31"/>
      <c r="Y157" s="31"/>
      <c r="Z157" s="31"/>
      <c r="AA157" s="32" t="str">
        <f t="shared" si="24"/>
        <v/>
      </c>
      <c r="AB157" s="32" t="str">
        <f t="shared" si="25"/>
        <v/>
      </c>
      <c r="AC157" s="32" t="str">
        <f>IF(AB157="","",VLOOKUP(MAX(AB157,0),Reference!$A$17:$B$20,2,TRUE()))</f>
        <v/>
      </c>
      <c r="AD157" s="31"/>
      <c r="AE157">
        <f t="shared" si="26"/>
        <v>1</v>
      </c>
      <c r="AF157" s="33" t="str">
        <f>IF(OR(A157="",B157="",AND(C157&lt;&gt;"Bullpen",C157&lt;&gt;"Game")),"",IF((COUNTIFS($B$5:$B$300,B157,$A$5:$A$300,A157-1,$C$5:$C$300,"Bullpen",$AG$5:$AG$300,"&gt;0") + COUNTIFS($B$5:$B$300,B157,$A$5:$A$300,A157-1,$C$5:$C$300,"Game",$AG$5:$AG$300,"&gt;0"))&gt;0,Reference!$B$119,IF((COUNTIFS($B$5:$B$300,B157,$A$5:$A$300,A157-2,$C$5:$C$300,"Bullpen",$AG$5:$AG$300,"&gt;0") + COUNTIFS($B$5:$B$300,B157,$A$5:$A$300,A157-2,$C$5:$C$300,"Game",$AG$5:$AG$300,"&gt;0"))&gt;0,Reference!$B$120,1)))</f>
        <v/>
      </c>
      <c r="AG157" s="30" t="str">
        <f>IF(AND(OR(I157="",O157="",P157=""),OR(R157="",W157=""),OR(X157="",AC157="")),"",IF(OR(I157="",O157="",P157=""),0,I157*O157*P157)+IF(OR(R157="",W157=""),0,R157*IFERROR(INDEX(Reference!$B$61:$B$62,MATCH("Bullpen",Reference!$A$61:$A$62,0)),0)*W157)+IF(OR(X157="",AC157=""),0,X157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157))</f>
        <v/>
      </c>
    </row>
    <row r="158" spans="1:33" x14ac:dyDescent="0.3">
      <c r="A158" s="35"/>
      <c r="B158" s="31"/>
      <c r="C158" s="31"/>
      <c r="D158" s="31"/>
      <c r="E158" s="34"/>
      <c r="F158" s="34"/>
      <c r="G158" s="30" t="str">
        <f t="shared" si="18"/>
        <v/>
      </c>
      <c r="H158" s="31"/>
      <c r="I158" s="32" t="str">
        <f>IF(H158&lt;&gt;"",H158,IF(G158="","",ROUND(G158*IFERROR(INDEX(Reference!$B$44:$B$50,MATCH(C158,Reference!$A$44:$A$50,0)),0),0)))</f>
        <v/>
      </c>
      <c r="J158" s="31"/>
      <c r="K158" s="31"/>
      <c r="L158" s="32" t="str">
        <f t="shared" si="19"/>
        <v/>
      </c>
      <c r="M158" s="32" t="str">
        <f>IFERROR(INDEX(Roster!$D$5:$D$40,MATCH(B158,Roster!$A$5:$A$40,0)),"")</f>
        <v/>
      </c>
      <c r="N158" s="32" t="str">
        <f t="shared" si="20"/>
        <v/>
      </c>
      <c r="O158" s="32" t="str">
        <f>IF(OR(C158="Bullpen",C158="Game"),IFERROR(INDEX(Reference!$B$61:$B$62,MATCH(C158,Reference!$A$61:$A$62,0)),""),IF(D158="","",IF(AE158&gt;1,((IF(1&lt;=AE158,(AE158-1+3)*(INDEX(Reference!$B$6:$B$11,MIN(5,MATCH(MAX(Reference!$A$6,MIN(Reference!$A$11,MIN(D158,90))),Reference!$A$6:$A$11,1)))+(MAX(Reference!$A$6,MIN(Reference!$A$11,MIN(D158,90)))-INDEX(Reference!$A$6:$A$11,MIN(5,MATCH(MAX(Reference!$A$6,MIN(Reference!$A$11,MIN(D158,90))),Reference!$A$6:$A$11,1))))*(INDEX(Reference!$B$6:$B$11,MIN(5,MATCH(MAX(Reference!$A$6,MIN(Reference!$A$11,MIN(D158,90))),Reference!$A$6:$A$11,1))+1)-INDEX(Reference!$B$6:$B$11,MIN(5,MATCH(MAX(Reference!$A$6,MIN(Reference!$A$11,MIN(D158,90))),Reference!$A$6:$A$11,1))))/(INDEX(Reference!$A$6:$A$11,MIN(5,MATCH(MAX(Reference!$A$6,MIN(Reference!$A$11,MIN(D158,90))),Reference!$A$6:$A$11,1))+1)-INDEX(Reference!$A$6:$A$11,MIN(5,MATCH(MAX(Reference!$A$6,MIN(Reference!$A$11,MIN(D158,90))),Reference!$A$6:$A$11,1))))),0)+IF(2&lt;=AE158,(AE158-2+3)*(INDEX(Reference!$B$6:$B$11,MIN(5,MATCH(MAX(Reference!$A$6,MIN(Reference!$A$11,MIN(D158,120))),Reference!$A$6:$A$11,1)))+(MAX(Reference!$A$6,MIN(Reference!$A$11,MIN(D158,120)))-INDEX(Reference!$A$6:$A$11,MIN(5,MATCH(MAX(Reference!$A$6,MIN(Reference!$A$11,MIN(D158,120))),Reference!$A$6:$A$11,1))))*(INDEX(Reference!$B$6:$B$11,MIN(5,MATCH(MAX(Reference!$A$6,MIN(Reference!$A$11,MIN(D158,120))),Reference!$A$6:$A$11,1))+1)-INDEX(Reference!$B$6:$B$11,MIN(5,MATCH(MAX(Reference!$A$6,MIN(Reference!$A$11,MIN(D158,120))),Reference!$A$6:$A$11,1))))/(INDEX(Reference!$A$6:$A$11,MIN(5,MATCH(MAX(Reference!$A$6,MIN(Reference!$A$11,MIN(D158,120))),Reference!$A$6:$A$11,1))+1)-INDEX(Reference!$A$6:$A$11,MIN(5,MATCH(MAX(Reference!$A$6,MIN(Reference!$A$11,MIN(D158,120))),Reference!$A$6:$A$11,1))))),0)+IF(3&lt;=AE158,(AE158-3+3)*(INDEX(Reference!$B$6:$B$11,MIN(5,MATCH(MAX(Reference!$A$6,MIN(Reference!$A$11,MIN(D158,150))),Reference!$A$6:$A$11,1)))+(MAX(Reference!$A$6,MIN(Reference!$A$11,MIN(D158,150)))-INDEX(Reference!$A$6:$A$11,MIN(5,MATCH(MAX(Reference!$A$6,MIN(Reference!$A$11,MIN(D158,150))),Reference!$A$6:$A$11,1))))*(INDEX(Reference!$B$6:$B$11,MIN(5,MATCH(MAX(Reference!$A$6,MIN(Reference!$A$11,MIN(D158,150))),Reference!$A$6:$A$11,1))+1)-INDEX(Reference!$B$6:$B$11,MIN(5,MATCH(MAX(Reference!$A$6,MIN(Reference!$A$11,MIN(D158,150))),Reference!$A$6:$A$11,1))))/(INDEX(Reference!$A$6:$A$11,MIN(5,MATCH(MAX(Reference!$A$6,MIN(Reference!$A$11,MIN(D158,150))),Reference!$A$6:$A$11,1))+1)-INDEX(Reference!$A$6:$A$11,MIN(5,MATCH(MAX(Reference!$A$6,MIN(Reference!$A$11,MIN(D158,150))),Reference!$A$6:$A$11,1))))),0)+IF(4&lt;=AE158,(AE158-4+3)*(INDEX(Reference!$B$6:$B$11,MIN(5,MATCH(MAX(Reference!$A$6,MIN(Reference!$A$11,MIN(D158,180))),Reference!$A$6:$A$11,1)))+(MAX(Reference!$A$6,MIN(Reference!$A$11,MIN(D158,180)))-INDEX(Reference!$A$6:$A$11,MIN(5,MATCH(MAX(Reference!$A$6,MIN(Reference!$A$11,MIN(D158,180))),Reference!$A$6:$A$11,1))))*(INDEX(Reference!$B$6:$B$11,MIN(5,MATCH(MAX(Reference!$A$6,MIN(Reference!$A$11,MIN(D158,180))),Reference!$A$6:$A$11,1))+1)-INDEX(Reference!$B$6:$B$11,MIN(5,MATCH(MAX(Reference!$A$6,MIN(Reference!$A$11,MIN(D158,180))),Reference!$A$6:$A$11,1))))/(INDEX(Reference!$A$6:$A$11,MIN(5,MATCH(MAX(Reference!$A$6,MIN(Reference!$A$11,MIN(D158,180))),Reference!$A$6:$A$11,1))+1)-INDEX(Reference!$A$6:$A$11,MIN(5,MATCH(MAX(Reference!$A$6,MIN(Reference!$A$11,MIN(D158,180))),Reference!$A$6:$A$11,1))))),0)+IF(5&lt;=AE158,(AE158-5+3)*(INDEX(Reference!$B$6:$B$11,MIN(5,MATCH(MAX(Reference!$A$6,MIN(Reference!$A$11,MIN(D158,210))),Reference!$A$6:$A$11,1)))+(MAX(Reference!$A$6,MIN(Reference!$A$11,MIN(D158,210)))-INDEX(Reference!$A$6:$A$11,MIN(5,MATCH(MAX(Reference!$A$6,MIN(Reference!$A$11,MIN(D158,210))),Reference!$A$6:$A$11,1))))*(INDEX(Reference!$B$6:$B$11,MIN(5,MATCH(MAX(Reference!$A$6,MIN(Reference!$A$11,MIN(D158,210))),Reference!$A$6:$A$11,1))+1)-INDEX(Reference!$B$6:$B$11,MIN(5,MATCH(MAX(Reference!$A$6,MIN(Reference!$A$11,MIN(D158,210))),Reference!$A$6:$A$11,1))))/(INDEX(Reference!$A$6:$A$11,MIN(5,MATCH(MAX(Reference!$A$6,MIN(Reference!$A$11,MIN(D158,210))),Reference!$A$6:$A$11,1))+1)-INDEX(Reference!$A$6:$A$11,MIN(5,MATCH(MAX(Reference!$A$6,MIN(Reference!$A$11,MIN(D158,210))),Reference!$A$6:$A$11,1))))),0)+IF(6&lt;=AE158,(AE158-6+3)*(INDEX(Reference!$B$6:$B$11,MIN(5,MATCH(MAX(Reference!$A$6,MIN(Reference!$A$11,MIN(D158,240))),Reference!$A$6:$A$11,1)))+(MAX(Reference!$A$6,MIN(Reference!$A$11,MIN(D158,240)))-INDEX(Reference!$A$6:$A$11,MIN(5,MATCH(MAX(Reference!$A$6,MIN(Reference!$A$11,MIN(D158,240))),Reference!$A$6:$A$11,1))))*(INDEX(Reference!$B$6:$B$11,MIN(5,MATCH(MAX(Reference!$A$6,MIN(Reference!$A$11,MIN(D158,240))),Reference!$A$6:$A$11,1))+1)-INDEX(Reference!$B$6:$B$11,MIN(5,MATCH(MAX(Reference!$A$6,MIN(Reference!$A$11,MIN(D158,240))),Reference!$A$6:$A$11,1))))/(INDEX(Reference!$A$6:$A$11,MIN(5,MATCH(MAX(Reference!$A$6,MIN(Reference!$A$11,MIN(D158,240))),Reference!$A$6:$A$11,1))+1)-INDEX(Reference!$A$6:$A$11,MIN(5,MATCH(MAX(Reference!$A$6,MIN(Reference!$A$11,MIN(D158,240))),Reference!$A$6:$A$11,1))))),0)+IF(7&lt;=AE158,(AE158-7+3)*(INDEX(Reference!$B$6:$B$11,MIN(5,MATCH(MAX(Reference!$A$6,MIN(Reference!$A$11,MIN(D158,270))),Reference!$A$6:$A$11,1)))+(MAX(Reference!$A$6,MIN(Reference!$A$11,MIN(D158,270)))-INDEX(Reference!$A$6:$A$11,MIN(5,MATCH(MAX(Reference!$A$6,MIN(Reference!$A$11,MIN(D158,270))),Reference!$A$6:$A$11,1))))*(INDEX(Reference!$B$6:$B$11,MIN(5,MATCH(MAX(Reference!$A$6,MIN(Reference!$A$11,MIN(D158,270))),Reference!$A$6:$A$11,1))+1)-INDEX(Reference!$B$6:$B$11,MIN(5,MATCH(MAX(Reference!$A$6,MIN(Reference!$A$11,MIN(D158,270))),Reference!$A$6:$A$11,1))))/(INDEX(Reference!$A$6:$A$11,MIN(5,MATCH(MAX(Reference!$A$6,MIN(Reference!$A$11,MIN(D158,270))),Reference!$A$6:$A$11,1))+1)-INDEX(Reference!$A$6:$A$11,MIN(5,MATCH(MAX(Reference!$A$6,MIN(Reference!$A$11,MIN(D158,270))),Reference!$A$6:$A$11,1))))),0)+IF(8&lt;=AE158,(AE158-8+3)*(INDEX(Reference!$B$6:$B$11,MIN(5,MATCH(MAX(Reference!$A$6,MIN(Reference!$A$11,MIN(D158,300))),Reference!$A$6:$A$11,1)))+(MAX(Reference!$A$6,MIN(Reference!$A$11,MIN(D158,300)))-INDEX(Reference!$A$6:$A$11,MIN(5,MATCH(MAX(Reference!$A$6,MIN(Reference!$A$11,MIN(D158,300))),Reference!$A$6:$A$11,1))))*(INDEX(Reference!$B$6:$B$11,MIN(5,MATCH(MAX(Reference!$A$6,MIN(Reference!$A$11,MIN(D158,300))),Reference!$A$6:$A$11,1))+1)-INDEX(Reference!$B$6:$B$11,MIN(5,MATCH(MAX(Reference!$A$6,MIN(Reference!$A$11,MIN(D158,300))),Reference!$A$6:$A$11,1))))/(INDEX(Reference!$A$6:$A$11,MIN(5,MATCH(MAX(Reference!$A$6,MIN(Reference!$A$11,MIN(D158,300))),Reference!$A$6:$A$11,1))+1)-INDEX(Reference!$A$6:$A$11,MIN(5,MATCH(MAX(Reference!$A$6,MIN(Reference!$A$11,MIN(D158,300))),Reference!$A$6:$A$11,1))))),0))/(AE158*(AE158+5)/2)),(INDEX(Reference!$B$6:$B$11,MIN(5,MATCH(MAX(Reference!$A$6,MIN(Reference!$A$11,D158)),Reference!$A$6:$A$11,1)))+(MAX(Reference!$A$6,MIN(Reference!$A$11,D158))-INDEX(Reference!$A$6:$A$11,MIN(5,MATCH(MAX(Reference!$A$6,MIN(Reference!$A$11,D158)),Reference!$A$6:$A$11,1))))*(INDEX(Reference!$B$6:$B$11,MIN(5,MATCH(MAX(Reference!$A$6,MIN(Reference!$A$11,D158)),Reference!$A$6:$A$11,1))+1)-INDEX(Reference!$B$6:$B$11,MIN(5,MATCH(MAX(Reference!$A$6,MIN(Reference!$A$11,D158)),Reference!$A$6:$A$11,1))))/(INDEX(Reference!$A$6:$A$11,MIN(5,MATCH(MAX(Reference!$A$6,MIN(Reference!$A$11,D158)),Reference!$A$6:$A$11,1))+1)-INDEX(Reference!$A$6:$A$11,MIN(5,MATCH(MAX(Reference!$A$6,MIN(Reference!$A$11,D158)),Reference!$A$6:$A$11,1))))))))</f>
        <v/>
      </c>
      <c r="P158" s="32" t="str">
        <f>IF(N158="","",VLOOKUP(MAX(N158,0),Reference!$A$17:$B$20,2,TRUE()))</f>
        <v/>
      </c>
      <c r="Q158" s="32" t="str">
        <f t="shared" si="21"/>
        <v/>
      </c>
      <c r="R158" s="31"/>
      <c r="S158" s="31"/>
      <c r="T158" s="31"/>
      <c r="U158" s="32" t="str">
        <f t="shared" si="22"/>
        <v/>
      </c>
      <c r="V158" s="32" t="str">
        <f t="shared" si="23"/>
        <v/>
      </c>
      <c r="W158" s="32" t="str">
        <f>IF(V158="","",VLOOKUP(MAX(V158,0),Reference!$A$17:$B$20,2,TRUE()))</f>
        <v/>
      </c>
      <c r="X158" s="31"/>
      <c r="Y158" s="31"/>
      <c r="Z158" s="31"/>
      <c r="AA158" s="32" t="str">
        <f t="shared" si="24"/>
        <v/>
      </c>
      <c r="AB158" s="32" t="str">
        <f t="shared" si="25"/>
        <v/>
      </c>
      <c r="AC158" s="32" t="str">
        <f>IF(AB158="","",VLOOKUP(MAX(AB158,0),Reference!$A$17:$B$20,2,TRUE()))</f>
        <v/>
      </c>
      <c r="AD158" s="31"/>
      <c r="AE158">
        <f t="shared" si="26"/>
        <v>1</v>
      </c>
      <c r="AF158" s="33" t="str">
        <f>IF(OR(A158="",B158="",AND(C158&lt;&gt;"Bullpen",C158&lt;&gt;"Game")),"",IF((COUNTIFS($B$5:$B$300,B158,$A$5:$A$300,A158-1,$C$5:$C$300,"Bullpen",$AG$5:$AG$300,"&gt;0") + COUNTIFS($B$5:$B$300,B158,$A$5:$A$300,A158-1,$C$5:$C$300,"Game",$AG$5:$AG$300,"&gt;0"))&gt;0,Reference!$B$119,IF((COUNTIFS($B$5:$B$300,B158,$A$5:$A$300,A158-2,$C$5:$C$300,"Bullpen",$AG$5:$AG$300,"&gt;0") + COUNTIFS($B$5:$B$300,B158,$A$5:$A$300,A158-2,$C$5:$C$300,"Game",$AG$5:$AG$300,"&gt;0"))&gt;0,Reference!$B$120,1)))</f>
        <v/>
      </c>
      <c r="AG158" s="30" t="str">
        <f>IF(AND(OR(I158="",O158="",P158=""),OR(R158="",W158=""),OR(X158="",AC158="")),"",IF(OR(I158="",O158="",P158=""),0,I158*O158*P158)+IF(OR(R158="",W158=""),0,R158*IFERROR(INDEX(Reference!$B$61:$B$62,MATCH("Bullpen",Reference!$A$61:$A$62,0)),0)*W158)+IF(OR(X158="",AC158=""),0,X158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158))</f>
        <v/>
      </c>
    </row>
    <row r="159" spans="1:33" x14ac:dyDescent="0.3">
      <c r="A159" s="35"/>
      <c r="B159" s="31"/>
      <c r="C159" s="31"/>
      <c r="D159" s="31"/>
      <c r="E159" s="34"/>
      <c r="F159" s="34"/>
      <c r="G159" s="30" t="str">
        <f t="shared" si="18"/>
        <v/>
      </c>
      <c r="H159" s="31"/>
      <c r="I159" s="32" t="str">
        <f>IF(H159&lt;&gt;"",H159,IF(G159="","",ROUND(G159*IFERROR(INDEX(Reference!$B$44:$B$50,MATCH(C159,Reference!$A$44:$A$50,0)),0),0)))</f>
        <v/>
      </c>
      <c r="J159" s="31"/>
      <c r="K159" s="31"/>
      <c r="L159" s="32" t="str">
        <f t="shared" si="19"/>
        <v/>
      </c>
      <c r="M159" s="32" t="str">
        <f>IFERROR(INDEX(Roster!$D$5:$D$40,MATCH(B159,Roster!$A$5:$A$40,0)),"")</f>
        <v/>
      </c>
      <c r="N159" s="32" t="str">
        <f t="shared" si="20"/>
        <v/>
      </c>
      <c r="O159" s="32" t="str">
        <f>IF(OR(C159="Bullpen",C159="Game"),IFERROR(INDEX(Reference!$B$61:$B$62,MATCH(C159,Reference!$A$61:$A$62,0)),""),IF(D159="","",IF(AE159&gt;1,((IF(1&lt;=AE159,(AE159-1+3)*(INDEX(Reference!$B$6:$B$11,MIN(5,MATCH(MAX(Reference!$A$6,MIN(Reference!$A$11,MIN(D159,90))),Reference!$A$6:$A$11,1)))+(MAX(Reference!$A$6,MIN(Reference!$A$11,MIN(D159,90)))-INDEX(Reference!$A$6:$A$11,MIN(5,MATCH(MAX(Reference!$A$6,MIN(Reference!$A$11,MIN(D159,90))),Reference!$A$6:$A$11,1))))*(INDEX(Reference!$B$6:$B$11,MIN(5,MATCH(MAX(Reference!$A$6,MIN(Reference!$A$11,MIN(D159,90))),Reference!$A$6:$A$11,1))+1)-INDEX(Reference!$B$6:$B$11,MIN(5,MATCH(MAX(Reference!$A$6,MIN(Reference!$A$11,MIN(D159,90))),Reference!$A$6:$A$11,1))))/(INDEX(Reference!$A$6:$A$11,MIN(5,MATCH(MAX(Reference!$A$6,MIN(Reference!$A$11,MIN(D159,90))),Reference!$A$6:$A$11,1))+1)-INDEX(Reference!$A$6:$A$11,MIN(5,MATCH(MAX(Reference!$A$6,MIN(Reference!$A$11,MIN(D159,90))),Reference!$A$6:$A$11,1))))),0)+IF(2&lt;=AE159,(AE159-2+3)*(INDEX(Reference!$B$6:$B$11,MIN(5,MATCH(MAX(Reference!$A$6,MIN(Reference!$A$11,MIN(D159,120))),Reference!$A$6:$A$11,1)))+(MAX(Reference!$A$6,MIN(Reference!$A$11,MIN(D159,120)))-INDEX(Reference!$A$6:$A$11,MIN(5,MATCH(MAX(Reference!$A$6,MIN(Reference!$A$11,MIN(D159,120))),Reference!$A$6:$A$11,1))))*(INDEX(Reference!$B$6:$B$11,MIN(5,MATCH(MAX(Reference!$A$6,MIN(Reference!$A$11,MIN(D159,120))),Reference!$A$6:$A$11,1))+1)-INDEX(Reference!$B$6:$B$11,MIN(5,MATCH(MAX(Reference!$A$6,MIN(Reference!$A$11,MIN(D159,120))),Reference!$A$6:$A$11,1))))/(INDEX(Reference!$A$6:$A$11,MIN(5,MATCH(MAX(Reference!$A$6,MIN(Reference!$A$11,MIN(D159,120))),Reference!$A$6:$A$11,1))+1)-INDEX(Reference!$A$6:$A$11,MIN(5,MATCH(MAX(Reference!$A$6,MIN(Reference!$A$11,MIN(D159,120))),Reference!$A$6:$A$11,1))))),0)+IF(3&lt;=AE159,(AE159-3+3)*(INDEX(Reference!$B$6:$B$11,MIN(5,MATCH(MAX(Reference!$A$6,MIN(Reference!$A$11,MIN(D159,150))),Reference!$A$6:$A$11,1)))+(MAX(Reference!$A$6,MIN(Reference!$A$11,MIN(D159,150)))-INDEX(Reference!$A$6:$A$11,MIN(5,MATCH(MAX(Reference!$A$6,MIN(Reference!$A$11,MIN(D159,150))),Reference!$A$6:$A$11,1))))*(INDEX(Reference!$B$6:$B$11,MIN(5,MATCH(MAX(Reference!$A$6,MIN(Reference!$A$11,MIN(D159,150))),Reference!$A$6:$A$11,1))+1)-INDEX(Reference!$B$6:$B$11,MIN(5,MATCH(MAX(Reference!$A$6,MIN(Reference!$A$11,MIN(D159,150))),Reference!$A$6:$A$11,1))))/(INDEX(Reference!$A$6:$A$11,MIN(5,MATCH(MAX(Reference!$A$6,MIN(Reference!$A$11,MIN(D159,150))),Reference!$A$6:$A$11,1))+1)-INDEX(Reference!$A$6:$A$11,MIN(5,MATCH(MAX(Reference!$A$6,MIN(Reference!$A$11,MIN(D159,150))),Reference!$A$6:$A$11,1))))),0)+IF(4&lt;=AE159,(AE159-4+3)*(INDEX(Reference!$B$6:$B$11,MIN(5,MATCH(MAX(Reference!$A$6,MIN(Reference!$A$11,MIN(D159,180))),Reference!$A$6:$A$11,1)))+(MAX(Reference!$A$6,MIN(Reference!$A$11,MIN(D159,180)))-INDEX(Reference!$A$6:$A$11,MIN(5,MATCH(MAX(Reference!$A$6,MIN(Reference!$A$11,MIN(D159,180))),Reference!$A$6:$A$11,1))))*(INDEX(Reference!$B$6:$B$11,MIN(5,MATCH(MAX(Reference!$A$6,MIN(Reference!$A$11,MIN(D159,180))),Reference!$A$6:$A$11,1))+1)-INDEX(Reference!$B$6:$B$11,MIN(5,MATCH(MAX(Reference!$A$6,MIN(Reference!$A$11,MIN(D159,180))),Reference!$A$6:$A$11,1))))/(INDEX(Reference!$A$6:$A$11,MIN(5,MATCH(MAX(Reference!$A$6,MIN(Reference!$A$11,MIN(D159,180))),Reference!$A$6:$A$11,1))+1)-INDEX(Reference!$A$6:$A$11,MIN(5,MATCH(MAX(Reference!$A$6,MIN(Reference!$A$11,MIN(D159,180))),Reference!$A$6:$A$11,1))))),0)+IF(5&lt;=AE159,(AE159-5+3)*(INDEX(Reference!$B$6:$B$11,MIN(5,MATCH(MAX(Reference!$A$6,MIN(Reference!$A$11,MIN(D159,210))),Reference!$A$6:$A$11,1)))+(MAX(Reference!$A$6,MIN(Reference!$A$11,MIN(D159,210)))-INDEX(Reference!$A$6:$A$11,MIN(5,MATCH(MAX(Reference!$A$6,MIN(Reference!$A$11,MIN(D159,210))),Reference!$A$6:$A$11,1))))*(INDEX(Reference!$B$6:$B$11,MIN(5,MATCH(MAX(Reference!$A$6,MIN(Reference!$A$11,MIN(D159,210))),Reference!$A$6:$A$11,1))+1)-INDEX(Reference!$B$6:$B$11,MIN(5,MATCH(MAX(Reference!$A$6,MIN(Reference!$A$11,MIN(D159,210))),Reference!$A$6:$A$11,1))))/(INDEX(Reference!$A$6:$A$11,MIN(5,MATCH(MAX(Reference!$A$6,MIN(Reference!$A$11,MIN(D159,210))),Reference!$A$6:$A$11,1))+1)-INDEX(Reference!$A$6:$A$11,MIN(5,MATCH(MAX(Reference!$A$6,MIN(Reference!$A$11,MIN(D159,210))),Reference!$A$6:$A$11,1))))),0)+IF(6&lt;=AE159,(AE159-6+3)*(INDEX(Reference!$B$6:$B$11,MIN(5,MATCH(MAX(Reference!$A$6,MIN(Reference!$A$11,MIN(D159,240))),Reference!$A$6:$A$11,1)))+(MAX(Reference!$A$6,MIN(Reference!$A$11,MIN(D159,240)))-INDEX(Reference!$A$6:$A$11,MIN(5,MATCH(MAX(Reference!$A$6,MIN(Reference!$A$11,MIN(D159,240))),Reference!$A$6:$A$11,1))))*(INDEX(Reference!$B$6:$B$11,MIN(5,MATCH(MAX(Reference!$A$6,MIN(Reference!$A$11,MIN(D159,240))),Reference!$A$6:$A$11,1))+1)-INDEX(Reference!$B$6:$B$11,MIN(5,MATCH(MAX(Reference!$A$6,MIN(Reference!$A$11,MIN(D159,240))),Reference!$A$6:$A$11,1))))/(INDEX(Reference!$A$6:$A$11,MIN(5,MATCH(MAX(Reference!$A$6,MIN(Reference!$A$11,MIN(D159,240))),Reference!$A$6:$A$11,1))+1)-INDEX(Reference!$A$6:$A$11,MIN(5,MATCH(MAX(Reference!$A$6,MIN(Reference!$A$11,MIN(D159,240))),Reference!$A$6:$A$11,1))))),0)+IF(7&lt;=AE159,(AE159-7+3)*(INDEX(Reference!$B$6:$B$11,MIN(5,MATCH(MAX(Reference!$A$6,MIN(Reference!$A$11,MIN(D159,270))),Reference!$A$6:$A$11,1)))+(MAX(Reference!$A$6,MIN(Reference!$A$11,MIN(D159,270)))-INDEX(Reference!$A$6:$A$11,MIN(5,MATCH(MAX(Reference!$A$6,MIN(Reference!$A$11,MIN(D159,270))),Reference!$A$6:$A$11,1))))*(INDEX(Reference!$B$6:$B$11,MIN(5,MATCH(MAX(Reference!$A$6,MIN(Reference!$A$11,MIN(D159,270))),Reference!$A$6:$A$11,1))+1)-INDEX(Reference!$B$6:$B$11,MIN(5,MATCH(MAX(Reference!$A$6,MIN(Reference!$A$11,MIN(D159,270))),Reference!$A$6:$A$11,1))))/(INDEX(Reference!$A$6:$A$11,MIN(5,MATCH(MAX(Reference!$A$6,MIN(Reference!$A$11,MIN(D159,270))),Reference!$A$6:$A$11,1))+1)-INDEX(Reference!$A$6:$A$11,MIN(5,MATCH(MAX(Reference!$A$6,MIN(Reference!$A$11,MIN(D159,270))),Reference!$A$6:$A$11,1))))),0)+IF(8&lt;=AE159,(AE159-8+3)*(INDEX(Reference!$B$6:$B$11,MIN(5,MATCH(MAX(Reference!$A$6,MIN(Reference!$A$11,MIN(D159,300))),Reference!$A$6:$A$11,1)))+(MAX(Reference!$A$6,MIN(Reference!$A$11,MIN(D159,300)))-INDEX(Reference!$A$6:$A$11,MIN(5,MATCH(MAX(Reference!$A$6,MIN(Reference!$A$11,MIN(D159,300))),Reference!$A$6:$A$11,1))))*(INDEX(Reference!$B$6:$B$11,MIN(5,MATCH(MAX(Reference!$A$6,MIN(Reference!$A$11,MIN(D159,300))),Reference!$A$6:$A$11,1))+1)-INDEX(Reference!$B$6:$B$11,MIN(5,MATCH(MAX(Reference!$A$6,MIN(Reference!$A$11,MIN(D159,300))),Reference!$A$6:$A$11,1))))/(INDEX(Reference!$A$6:$A$11,MIN(5,MATCH(MAX(Reference!$A$6,MIN(Reference!$A$11,MIN(D159,300))),Reference!$A$6:$A$11,1))+1)-INDEX(Reference!$A$6:$A$11,MIN(5,MATCH(MAX(Reference!$A$6,MIN(Reference!$A$11,MIN(D159,300))),Reference!$A$6:$A$11,1))))),0))/(AE159*(AE159+5)/2)),(INDEX(Reference!$B$6:$B$11,MIN(5,MATCH(MAX(Reference!$A$6,MIN(Reference!$A$11,D159)),Reference!$A$6:$A$11,1)))+(MAX(Reference!$A$6,MIN(Reference!$A$11,D159))-INDEX(Reference!$A$6:$A$11,MIN(5,MATCH(MAX(Reference!$A$6,MIN(Reference!$A$11,D159)),Reference!$A$6:$A$11,1))))*(INDEX(Reference!$B$6:$B$11,MIN(5,MATCH(MAX(Reference!$A$6,MIN(Reference!$A$11,D159)),Reference!$A$6:$A$11,1))+1)-INDEX(Reference!$B$6:$B$11,MIN(5,MATCH(MAX(Reference!$A$6,MIN(Reference!$A$11,D159)),Reference!$A$6:$A$11,1))))/(INDEX(Reference!$A$6:$A$11,MIN(5,MATCH(MAX(Reference!$A$6,MIN(Reference!$A$11,D159)),Reference!$A$6:$A$11,1))+1)-INDEX(Reference!$A$6:$A$11,MIN(5,MATCH(MAX(Reference!$A$6,MIN(Reference!$A$11,D159)),Reference!$A$6:$A$11,1))))))))</f>
        <v/>
      </c>
      <c r="P159" s="32" t="str">
        <f>IF(N159="","",VLOOKUP(MAX(N159,0),Reference!$A$17:$B$20,2,TRUE()))</f>
        <v/>
      </c>
      <c r="Q159" s="32" t="str">
        <f t="shared" si="21"/>
        <v/>
      </c>
      <c r="R159" s="31"/>
      <c r="S159" s="31"/>
      <c r="T159" s="31"/>
      <c r="U159" s="32" t="str">
        <f t="shared" si="22"/>
        <v/>
      </c>
      <c r="V159" s="32" t="str">
        <f t="shared" si="23"/>
        <v/>
      </c>
      <c r="W159" s="32" t="str">
        <f>IF(V159="","",VLOOKUP(MAX(V159,0),Reference!$A$17:$B$20,2,TRUE()))</f>
        <v/>
      </c>
      <c r="X159" s="31"/>
      <c r="Y159" s="31"/>
      <c r="Z159" s="31"/>
      <c r="AA159" s="32" t="str">
        <f t="shared" si="24"/>
        <v/>
      </c>
      <c r="AB159" s="32" t="str">
        <f t="shared" si="25"/>
        <v/>
      </c>
      <c r="AC159" s="32" t="str">
        <f>IF(AB159="","",VLOOKUP(MAX(AB159,0),Reference!$A$17:$B$20,2,TRUE()))</f>
        <v/>
      </c>
      <c r="AD159" s="31"/>
      <c r="AE159">
        <f t="shared" si="26"/>
        <v>1</v>
      </c>
      <c r="AF159" s="33" t="str">
        <f>IF(OR(A159="",B159="",AND(C159&lt;&gt;"Bullpen",C159&lt;&gt;"Game")),"",IF((COUNTIFS($B$5:$B$300,B159,$A$5:$A$300,A159-1,$C$5:$C$300,"Bullpen",$AG$5:$AG$300,"&gt;0") + COUNTIFS($B$5:$B$300,B159,$A$5:$A$300,A159-1,$C$5:$C$300,"Game",$AG$5:$AG$300,"&gt;0"))&gt;0,Reference!$B$119,IF((COUNTIFS($B$5:$B$300,B159,$A$5:$A$300,A159-2,$C$5:$C$300,"Bullpen",$AG$5:$AG$300,"&gt;0") + COUNTIFS($B$5:$B$300,B159,$A$5:$A$300,A159-2,$C$5:$C$300,"Game",$AG$5:$AG$300,"&gt;0"))&gt;0,Reference!$B$120,1)))</f>
        <v/>
      </c>
      <c r="AG159" s="30" t="str">
        <f>IF(AND(OR(I159="",O159="",P159=""),OR(R159="",W159=""),OR(X159="",AC159="")),"",IF(OR(I159="",O159="",P159=""),0,I159*O159*P159)+IF(OR(R159="",W159=""),0,R159*IFERROR(INDEX(Reference!$B$61:$B$62,MATCH("Bullpen",Reference!$A$61:$A$62,0)),0)*W159)+IF(OR(X159="",AC159=""),0,X159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159))</f>
        <v/>
      </c>
    </row>
    <row r="160" spans="1:33" x14ac:dyDescent="0.3">
      <c r="A160" s="35"/>
      <c r="B160" s="31"/>
      <c r="C160" s="31"/>
      <c r="D160" s="31"/>
      <c r="E160" s="34"/>
      <c r="F160" s="34"/>
      <c r="G160" s="30" t="str">
        <f t="shared" si="18"/>
        <v/>
      </c>
      <c r="H160" s="31"/>
      <c r="I160" s="32" t="str">
        <f>IF(H160&lt;&gt;"",H160,IF(G160="","",ROUND(G160*IFERROR(INDEX(Reference!$B$44:$B$50,MATCH(C160,Reference!$A$44:$A$50,0)),0),0)))</f>
        <v/>
      </c>
      <c r="J160" s="31"/>
      <c r="K160" s="31"/>
      <c r="L160" s="32" t="str">
        <f t="shared" si="19"/>
        <v/>
      </c>
      <c r="M160" s="32" t="str">
        <f>IFERROR(INDEX(Roster!$D$5:$D$40,MATCH(B160,Roster!$A$5:$A$40,0)),"")</f>
        <v/>
      </c>
      <c r="N160" s="32" t="str">
        <f t="shared" si="20"/>
        <v/>
      </c>
      <c r="O160" s="32" t="str">
        <f>IF(OR(C160="Bullpen",C160="Game"),IFERROR(INDEX(Reference!$B$61:$B$62,MATCH(C160,Reference!$A$61:$A$62,0)),""),IF(D160="","",IF(AE160&gt;1,((IF(1&lt;=AE160,(AE160-1+3)*(INDEX(Reference!$B$6:$B$11,MIN(5,MATCH(MAX(Reference!$A$6,MIN(Reference!$A$11,MIN(D160,90))),Reference!$A$6:$A$11,1)))+(MAX(Reference!$A$6,MIN(Reference!$A$11,MIN(D160,90)))-INDEX(Reference!$A$6:$A$11,MIN(5,MATCH(MAX(Reference!$A$6,MIN(Reference!$A$11,MIN(D160,90))),Reference!$A$6:$A$11,1))))*(INDEX(Reference!$B$6:$B$11,MIN(5,MATCH(MAX(Reference!$A$6,MIN(Reference!$A$11,MIN(D160,90))),Reference!$A$6:$A$11,1))+1)-INDEX(Reference!$B$6:$B$11,MIN(5,MATCH(MAX(Reference!$A$6,MIN(Reference!$A$11,MIN(D160,90))),Reference!$A$6:$A$11,1))))/(INDEX(Reference!$A$6:$A$11,MIN(5,MATCH(MAX(Reference!$A$6,MIN(Reference!$A$11,MIN(D160,90))),Reference!$A$6:$A$11,1))+1)-INDEX(Reference!$A$6:$A$11,MIN(5,MATCH(MAX(Reference!$A$6,MIN(Reference!$A$11,MIN(D160,90))),Reference!$A$6:$A$11,1))))),0)+IF(2&lt;=AE160,(AE160-2+3)*(INDEX(Reference!$B$6:$B$11,MIN(5,MATCH(MAX(Reference!$A$6,MIN(Reference!$A$11,MIN(D160,120))),Reference!$A$6:$A$11,1)))+(MAX(Reference!$A$6,MIN(Reference!$A$11,MIN(D160,120)))-INDEX(Reference!$A$6:$A$11,MIN(5,MATCH(MAX(Reference!$A$6,MIN(Reference!$A$11,MIN(D160,120))),Reference!$A$6:$A$11,1))))*(INDEX(Reference!$B$6:$B$11,MIN(5,MATCH(MAX(Reference!$A$6,MIN(Reference!$A$11,MIN(D160,120))),Reference!$A$6:$A$11,1))+1)-INDEX(Reference!$B$6:$B$11,MIN(5,MATCH(MAX(Reference!$A$6,MIN(Reference!$A$11,MIN(D160,120))),Reference!$A$6:$A$11,1))))/(INDEX(Reference!$A$6:$A$11,MIN(5,MATCH(MAX(Reference!$A$6,MIN(Reference!$A$11,MIN(D160,120))),Reference!$A$6:$A$11,1))+1)-INDEX(Reference!$A$6:$A$11,MIN(5,MATCH(MAX(Reference!$A$6,MIN(Reference!$A$11,MIN(D160,120))),Reference!$A$6:$A$11,1))))),0)+IF(3&lt;=AE160,(AE160-3+3)*(INDEX(Reference!$B$6:$B$11,MIN(5,MATCH(MAX(Reference!$A$6,MIN(Reference!$A$11,MIN(D160,150))),Reference!$A$6:$A$11,1)))+(MAX(Reference!$A$6,MIN(Reference!$A$11,MIN(D160,150)))-INDEX(Reference!$A$6:$A$11,MIN(5,MATCH(MAX(Reference!$A$6,MIN(Reference!$A$11,MIN(D160,150))),Reference!$A$6:$A$11,1))))*(INDEX(Reference!$B$6:$B$11,MIN(5,MATCH(MAX(Reference!$A$6,MIN(Reference!$A$11,MIN(D160,150))),Reference!$A$6:$A$11,1))+1)-INDEX(Reference!$B$6:$B$11,MIN(5,MATCH(MAX(Reference!$A$6,MIN(Reference!$A$11,MIN(D160,150))),Reference!$A$6:$A$11,1))))/(INDEX(Reference!$A$6:$A$11,MIN(5,MATCH(MAX(Reference!$A$6,MIN(Reference!$A$11,MIN(D160,150))),Reference!$A$6:$A$11,1))+1)-INDEX(Reference!$A$6:$A$11,MIN(5,MATCH(MAX(Reference!$A$6,MIN(Reference!$A$11,MIN(D160,150))),Reference!$A$6:$A$11,1))))),0)+IF(4&lt;=AE160,(AE160-4+3)*(INDEX(Reference!$B$6:$B$11,MIN(5,MATCH(MAX(Reference!$A$6,MIN(Reference!$A$11,MIN(D160,180))),Reference!$A$6:$A$11,1)))+(MAX(Reference!$A$6,MIN(Reference!$A$11,MIN(D160,180)))-INDEX(Reference!$A$6:$A$11,MIN(5,MATCH(MAX(Reference!$A$6,MIN(Reference!$A$11,MIN(D160,180))),Reference!$A$6:$A$11,1))))*(INDEX(Reference!$B$6:$B$11,MIN(5,MATCH(MAX(Reference!$A$6,MIN(Reference!$A$11,MIN(D160,180))),Reference!$A$6:$A$11,1))+1)-INDEX(Reference!$B$6:$B$11,MIN(5,MATCH(MAX(Reference!$A$6,MIN(Reference!$A$11,MIN(D160,180))),Reference!$A$6:$A$11,1))))/(INDEX(Reference!$A$6:$A$11,MIN(5,MATCH(MAX(Reference!$A$6,MIN(Reference!$A$11,MIN(D160,180))),Reference!$A$6:$A$11,1))+1)-INDEX(Reference!$A$6:$A$11,MIN(5,MATCH(MAX(Reference!$A$6,MIN(Reference!$A$11,MIN(D160,180))),Reference!$A$6:$A$11,1))))),0)+IF(5&lt;=AE160,(AE160-5+3)*(INDEX(Reference!$B$6:$B$11,MIN(5,MATCH(MAX(Reference!$A$6,MIN(Reference!$A$11,MIN(D160,210))),Reference!$A$6:$A$11,1)))+(MAX(Reference!$A$6,MIN(Reference!$A$11,MIN(D160,210)))-INDEX(Reference!$A$6:$A$11,MIN(5,MATCH(MAX(Reference!$A$6,MIN(Reference!$A$11,MIN(D160,210))),Reference!$A$6:$A$11,1))))*(INDEX(Reference!$B$6:$B$11,MIN(5,MATCH(MAX(Reference!$A$6,MIN(Reference!$A$11,MIN(D160,210))),Reference!$A$6:$A$11,1))+1)-INDEX(Reference!$B$6:$B$11,MIN(5,MATCH(MAX(Reference!$A$6,MIN(Reference!$A$11,MIN(D160,210))),Reference!$A$6:$A$11,1))))/(INDEX(Reference!$A$6:$A$11,MIN(5,MATCH(MAX(Reference!$A$6,MIN(Reference!$A$11,MIN(D160,210))),Reference!$A$6:$A$11,1))+1)-INDEX(Reference!$A$6:$A$11,MIN(5,MATCH(MAX(Reference!$A$6,MIN(Reference!$A$11,MIN(D160,210))),Reference!$A$6:$A$11,1))))),0)+IF(6&lt;=AE160,(AE160-6+3)*(INDEX(Reference!$B$6:$B$11,MIN(5,MATCH(MAX(Reference!$A$6,MIN(Reference!$A$11,MIN(D160,240))),Reference!$A$6:$A$11,1)))+(MAX(Reference!$A$6,MIN(Reference!$A$11,MIN(D160,240)))-INDEX(Reference!$A$6:$A$11,MIN(5,MATCH(MAX(Reference!$A$6,MIN(Reference!$A$11,MIN(D160,240))),Reference!$A$6:$A$11,1))))*(INDEX(Reference!$B$6:$B$11,MIN(5,MATCH(MAX(Reference!$A$6,MIN(Reference!$A$11,MIN(D160,240))),Reference!$A$6:$A$11,1))+1)-INDEX(Reference!$B$6:$B$11,MIN(5,MATCH(MAX(Reference!$A$6,MIN(Reference!$A$11,MIN(D160,240))),Reference!$A$6:$A$11,1))))/(INDEX(Reference!$A$6:$A$11,MIN(5,MATCH(MAX(Reference!$A$6,MIN(Reference!$A$11,MIN(D160,240))),Reference!$A$6:$A$11,1))+1)-INDEX(Reference!$A$6:$A$11,MIN(5,MATCH(MAX(Reference!$A$6,MIN(Reference!$A$11,MIN(D160,240))),Reference!$A$6:$A$11,1))))),0)+IF(7&lt;=AE160,(AE160-7+3)*(INDEX(Reference!$B$6:$B$11,MIN(5,MATCH(MAX(Reference!$A$6,MIN(Reference!$A$11,MIN(D160,270))),Reference!$A$6:$A$11,1)))+(MAX(Reference!$A$6,MIN(Reference!$A$11,MIN(D160,270)))-INDEX(Reference!$A$6:$A$11,MIN(5,MATCH(MAX(Reference!$A$6,MIN(Reference!$A$11,MIN(D160,270))),Reference!$A$6:$A$11,1))))*(INDEX(Reference!$B$6:$B$11,MIN(5,MATCH(MAX(Reference!$A$6,MIN(Reference!$A$11,MIN(D160,270))),Reference!$A$6:$A$11,1))+1)-INDEX(Reference!$B$6:$B$11,MIN(5,MATCH(MAX(Reference!$A$6,MIN(Reference!$A$11,MIN(D160,270))),Reference!$A$6:$A$11,1))))/(INDEX(Reference!$A$6:$A$11,MIN(5,MATCH(MAX(Reference!$A$6,MIN(Reference!$A$11,MIN(D160,270))),Reference!$A$6:$A$11,1))+1)-INDEX(Reference!$A$6:$A$11,MIN(5,MATCH(MAX(Reference!$A$6,MIN(Reference!$A$11,MIN(D160,270))),Reference!$A$6:$A$11,1))))),0)+IF(8&lt;=AE160,(AE160-8+3)*(INDEX(Reference!$B$6:$B$11,MIN(5,MATCH(MAX(Reference!$A$6,MIN(Reference!$A$11,MIN(D160,300))),Reference!$A$6:$A$11,1)))+(MAX(Reference!$A$6,MIN(Reference!$A$11,MIN(D160,300)))-INDEX(Reference!$A$6:$A$11,MIN(5,MATCH(MAX(Reference!$A$6,MIN(Reference!$A$11,MIN(D160,300))),Reference!$A$6:$A$11,1))))*(INDEX(Reference!$B$6:$B$11,MIN(5,MATCH(MAX(Reference!$A$6,MIN(Reference!$A$11,MIN(D160,300))),Reference!$A$6:$A$11,1))+1)-INDEX(Reference!$B$6:$B$11,MIN(5,MATCH(MAX(Reference!$A$6,MIN(Reference!$A$11,MIN(D160,300))),Reference!$A$6:$A$11,1))))/(INDEX(Reference!$A$6:$A$11,MIN(5,MATCH(MAX(Reference!$A$6,MIN(Reference!$A$11,MIN(D160,300))),Reference!$A$6:$A$11,1))+1)-INDEX(Reference!$A$6:$A$11,MIN(5,MATCH(MAX(Reference!$A$6,MIN(Reference!$A$11,MIN(D160,300))),Reference!$A$6:$A$11,1))))),0))/(AE160*(AE160+5)/2)),(INDEX(Reference!$B$6:$B$11,MIN(5,MATCH(MAX(Reference!$A$6,MIN(Reference!$A$11,D160)),Reference!$A$6:$A$11,1)))+(MAX(Reference!$A$6,MIN(Reference!$A$11,D160))-INDEX(Reference!$A$6:$A$11,MIN(5,MATCH(MAX(Reference!$A$6,MIN(Reference!$A$11,D160)),Reference!$A$6:$A$11,1))))*(INDEX(Reference!$B$6:$B$11,MIN(5,MATCH(MAX(Reference!$A$6,MIN(Reference!$A$11,D160)),Reference!$A$6:$A$11,1))+1)-INDEX(Reference!$B$6:$B$11,MIN(5,MATCH(MAX(Reference!$A$6,MIN(Reference!$A$11,D160)),Reference!$A$6:$A$11,1))))/(INDEX(Reference!$A$6:$A$11,MIN(5,MATCH(MAX(Reference!$A$6,MIN(Reference!$A$11,D160)),Reference!$A$6:$A$11,1))+1)-INDEX(Reference!$A$6:$A$11,MIN(5,MATCH(MAX(Reference!$A$6,MIN(Reference!$A$11,D160)),Reference!$A$6:$A$11,1))))))))</f>
        <v/>
      </c>
      <c r="P160" s="32" t="str">
        <f>IF(N160="","",VLOOKUP(MAX(N160,0),Reference!$A$17:$B$20,2,TRUE()))</f>
        <v/>
      </c>
      <c r="Q160" s="32" t="str">
        <f t="shared" si="21"/>
        <v/>
      </c>
      <c r="R160" s="31"/>
      <c r="S160" s="31"/>
      <c r="T160" s="31"/>
      <c r="U160" s="32" t="str">
        <f t="shared" si="22"/>
        <v/>
      </c>
      <c r="V160" s="32" t="str">
        <f t="shared" si="23"/>
        <v/>
      </c>
      <c r="W160" s="32" t="str">
        <f>IF(V160="","",VLOOKUP(MAX(V160,0),Reference!$A$17:$B$20,2,TRUE()))</f>
        <v/>
      </c>
      <c r="X160" s="31"/>
      <c r="Y160" s="31"/>
      <c r="Z160" s="31"/>
      <c r="AA160" s="32" t="str">
        <f t="shared" si="24"/>
        <v/>
      </c>
      <c r="AB160" s="32" t="str">
        <f t="shared" si="25"/>
        <v/>
      </c>
      <c r="AC160" s="32" t="str">
        <f>IF(AB160="","",VLOOKUP(MAX(AB160,0),Reference!$A$17:$B$20,2,TRUE()))</f>
        <v/>
      </c>
      <c r="AD160" s="31"/>
      <c r="AE160">
        <f t="shared" si="26"/>
        <v>1</v>
      </c>
      <c r="AF160" s="33" t="str">
        <f>IF(OR(A160="",B160="",AND(C160&lt;&gt;"Bullpen",C160&lt;&gt;"Game")),"",IF((COUNTIFS($B$5:$B$300,B160,$A$5:$A$300,A160-1,$C$5:$C$300,"Bullpen",$AG$5:$AG$300,"&gt;0") + COUNTIFS($B$5:$B$300,B160,$A$5:$A$300,A160-1,$C$5:$C$300,"Game",$AG$5:$AG$300,"&gt;0"))&gt;0,Reference!$B$119,IF((COUNTIFS($B$5:$B$300,B160,$A$5:$A$300,A160-2,$C$5:$C$300,"Bullpen",$AG$5:$AG$300,"&gt;0") + COUNTIFS($B$5:$B$300,B160,$A$5:$A$300,A160-2,$C$5:$C$300,"Game",$AG$5:$AG$300,"&gt;0"))&gt;0,Reference!$B$120,1)))</f>
        <v/>
      </c>
      <c r="AG160" s="30" t="str">
        <f>IF(AND(OR(I160="",O160="",P160=""),OR(R160="",W160=""),OR(X160="",AC160="")),"",IF(OR(I160="",O160="",P160=""),0,I160*O160*P160)+IF(OR(R160="",W160=""),0,R160*IFERROR(INDEX(Reference!$B$61:$B$62,MATCH("Bullpen",Reference!$A$61:$A$62,0)),0)*W160)+IF(OR(X160="",AC160=""),0,X160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160))</f>
        <v/>
      </c>
    </row>
    <row r="161" spans="1:33" x14ac:dyDescent="0.3">
      <c r="A161" s="35"/>
      <c r="B161" s="31"/>
      <c r="C161" s="31"/>
      <c r="D161" s="31"/>
      <c r="E161" s="34"/>
      <c r="F161" s="34"/>
      <c r="G161" s="30" t="str">
        <f t="shared" si="18"/>
        <v/>
      </c>
      <c r="H161" s="31"/>
      <c r="I161" s="32" t="str">
        <f>IF(H161&lt;&gt;"",H161,IF(G161="","",ROUND(G161*IFERROR(INDEX(Reference!$B$44:$B$50,MATCH(C161,Reference!$A$44:$A$50,0)),0),0)))</f>
        <v/>
      </c>
      <c r="J161" s="31"/>
      <c r="K161" s="31"/>
      <c r="L161" s="32" t="str">
        <f t="shared" si="19"/>
        <v/>
      </c>
      <c r="M161" s="32" t="str">
        <f>IFERROR(INDEX(Roster!$D$5:$D$40,MATCH(B161,Roster!$A$5:$A$40,0)),"")</f>
        <v/>
      </c>
      <c r="N161" s="32" t="str">
        <f t="shared" si="20"/>
        <v/>
      </c>
      <c r="O161" s="32" t="str">
        <f>IF(OR(C161="Bullpen",C161="Game"),IFERROR(INDEX(Reference!$B$61:$B$62,MATCH(C161,Reference!$A$61:$A$62,0)),""),IF(D161="","",IF(AE161&gt;1,((IF(1&lt;=AE161,(AE161-1+3)*(INDEX(Reference!$B$6:$B$11,MIN(5,MATCH(MAX(Reference!$A$6,MIN(Reference!$A$11,MIN(D161,90))),Reference!$A$6:$A$11,1)))+(MAX(Reference!$A$6,MIN(Reference!$A$11,MIN(D161,90)))-INDEX(Reference!$A$6:$A$11,MIN(5,MATCH(MAX(Reference!$A$6,MIN(Reference!$A$11,MIN(D161,90))),Reference!$A$6:$A$11,1))))*(INDEX(Reference!$B$6:$B$11,MIN(5,MATCH(MAX(Reference!$A$6,MIN(Reference!$A$11,MIN(D161,90))),Reference!$A$6:$A$11,1))+1)-INDEX(Reference!$B$6:$B$11,MIN(5,MATCH(MAX(Reference!$A$6,MIN(Reference!$A$11,MIN(D161,90))),Reference!$A$6:$A$11,1))))/(INDEX(Reference!$A$6:$A$11,MIN(5,MATCH(MAX(Reference!$A$6,MIN(Reference!$A$11,MIN(D161,90))),Reference!$A$6:$A$11,1))+1)-INDEX(Reference!$A$6:$A$11,MIN(5,MATCH(MAX(Reference!$A$6,MIN(Reference!$A$11,MIN(D161,90))),Reference!$A$6:$A$11,1))))),0)+IF(2&lt;=AE161,(AE161-2+3)*(INDEX(Reference!$B$6:$B$11,MIN(5,MATCH(MAX(Reference!$A$6,MIN(Reference!$A$11,MIN(D161,120))),Reference!$A$6:$A$11,1)))+(MAX(Reference!$A$6,MIN(Reference!$A$11,MIN(D161,120)))-INDEX(Reference!$A$6:$A$11,MIN(5,MATCH(MAX(Reference!$A$6,MIN(Reference!$A$11,MIN(D161,120))),Reference!$A$6:$A$11,1))))*(INDEX(Reference!$B$6:$B$11,MIN(5,MATCH(MAX(Reference!$A$6,MIN(Reference!$A$11,MIN(D161,120))),Reference!$A$6:$A$11,1))+1)-INDEX(Reference!$B$6:$B$11,MIN(5,MATCH(MAX(Reference!$A$6,MIN(Reference!$A$11,MIN(D161,120))),Reference!$A$6:$A$11,1))))/(INDEX(Reference!$A$6:$A$11,MIN(5,MATCH(MAX(Reference!$A$6,MIN(Reference!$A$11,MIN(D161,120))),Reference!$A$6:$A$11,1))+1)-INDEX(Reference!$A$6:$A$11,MIN(5,MATCH(MAX(Reference!$A$6,MIN(Reference!$A$11,MIN(D161,120))),Reference!$A$6:$A$11,1))))),0)+IF(3&lt;=AE161,(AE161-3+3)*(INDEX(Reference!$B$6:$B$11,MIN(5,MATCH(MAX(Reference!$A$6,MIN(Reference!$A$11,MIN(D161,150))),Reference!$A$6:$A$11,1)))+(MAX(Reference!$A$6,MIN(Reference!$A$11,MIN(D161,150)))-INDEX(Reference!$A$6:$A$11,MIN(5,MATCH(MAX(Reference!$A$6,MIN(Reference!$A$11,MIN(D161,150))),Reference!$A$6:$A$11,1))))*(INDEX(Reference!$B$6:$B$11,MIN(5,MATCH(MAX(Reference!$A$6,MIN(Reference!$A$11,MIN(D161,150))),Reference!$A$6:$A$11,1))+1)-INDEX(Reference!$B$6:$B$11,MIN(5,MATCH(MAX(Reference!$A$6,MIN(Reference!$A$11,MIN(D161,150))),Reference!$A$6:$A$11,1))))/(INDEX(Reference!$A$6:$A$11,MIN(5,MATCH(MAX(Reference!$A$6,MIN(Reference!$A$11,MIN(D161,150))),Reference!$A$6:$A$11,1))+1)-INDEX(Reference!$A$6:$A$11,MIN(5,MATCH(MAX(Reference!$A$6,MIN(Reference!$A$11,MIN(D161,150))),Reference!$A$6:$A$11,1))))),0)+IF(4&lt;=AE161,(AE161-4+3)*(INDEX(Reference!$B$6:$B$11,MIN(5,MATCH(MAX(Reference!$A$6,MIN(Reference!$A$11,MIN(D161,180))),Reference!$A$6:$A$11,1)))+(MAX(Reference!$A$6,MIN(Reference!$A$11,MIN(D161,180)))-INDEX(Reference!$A$6:$A$11,MIN(5,MATCH(MAX(Reference!$A$6,MIN(Reference!$A$11,MIN(D161,180))),Reference!$A$6:$A$11,1))))*(INDEX(Reference!$B$6:$B$11,MIN(5,MATCH(MAX(Reference!$A$6,MIN(Reference!$A$11,MIN(D161,180))),Reference!$A$6:$A$11,1))+1)-INDEX(Reference!$B$6:$B$11,MIN(5,MATCH(MAX(Reference!$A$6,MIN(Reference!$A$11,MIN(D161,180))),Reference!$A$6:$A$11,1))))/(INDEX(Reference!$A$6:$A$11,MIN(5,MATCH(MAX(Reference!$A$6,MIN(Reference!$A$11,MIN(D161,180))),Reference!$A$6:$A$11,1))+1)-INDEX(Reference!$A$6:$A$11,MIN(5,MATCH(MAX(Reference!$A$6,MIN(Reference!$A$11,MIN(D161,180))),Reference!$A$6:$A$11,1))))),0)+IF(5&lt;=AE161,(AE161-5+3)*(INDEX(Reference!$B$6:$B$11,MIN(5,MATCH(MAX(Reference!$A$6,MIN(Reference!$A$11,MIN(D161,210))),Reference!$A$6:$A$11,1)))+(MAX(Reference!$A$6,MIN(Reference!$A$11,MIN(D161,210)))-INDEX(Reference!$A$6:$A$11,MIN(5,MATCH(MAX(Reference!$A$6,MIN(Reference!$A$11,MIN(D161,210))),Reference!$A$6:$A$11,1))))*(INDEX(Reference!$B$6:$B$11,MIN(5,MATCH(MAX(Reference!$A$6,MIN(Reference!$A$11,MIN(D161,210))),Reference!$A$6:$A$11,1))+1)-INDEX(Reference!$B$6:$B$11,MIN(5,MATCH(MAX(Reference!$A$6,MIN(Reference!$A$11,MIN(D161,210))),Reference!$A$6:$A$11,1))))/(INDEX(Reference!$A$6:$A$11,MIN(5,MATCH(MAX(Reference!$A$6,MIN(Reference!$A$11,MIN(D161,210))),Reference!$A$6:$A$11,1))+1)-INDEX(Reference!$A$6:$A$11,MIN(5,MATCH(MAX(Reference!$A$6,MIN(Reference!$A$11,MIN(D161,210))),Reference!$A$6:$A$11,1))))),0)+IF(6&lt;=AE161,(AE161-6+3)*(INDEX(Reference!$B$6:$B$11,MIN(5,MATCH(MAX(Reference!$A$6,MIN(Reference!$A$11,MIN(D161,240))),Reference!$A$6:$A$11,1)))+(MAX(Reference!$A$6,MIN(Reference!$A$11,MIN(D161,240)))-INDEX(Reference!$A$6:$A$11,MIN(5,MATCH(MAX(Reference!$A$6,MIN(Reference!$A$11,MIN(D161,240))),Reference!$A$6:$A$11,1))))*(INDEX(Reference!$B$6:$B$11,MIN(5,MATCH(MAX(Reference!$A$6,MIN(Reference!$A$11,MIN(D161,240))),Reference!$A$6:$A$11,1))+1)-INDEX(Reference!$B$6:$B$11,MIN(5,MATCH(MAX(Reference!$A$6,MIN(Reference!$A$11,MIN(D161,240))),Reference!$A$6:$A$11,1))))/(INDEX(Reference!$A$6:$A$11,MIN(5,MATCH(MAX(Reference!$A$6,MIN(Reference!$A$11,MIN(D161,240))),Reference!$A$6:$A$11,1))+1)-INDEX(Reference!$A$6:$A$11,MIN(5,MATCH(MAX(Reference!$A$6,MIN(Reference!$A$11,MIN(D161,240))),Reference!$A$6:$A$11,1))))),0)+IF(7&lt;=AE161,(AE161-7+3)*(INDEX(Reference!$B$6:$B$11,MIN(5,MATCH(MAX(Reference!$A$6,MIN(Reference!$A$11,MIN(D161,270))),Reference!$A$6:$A$11,1)))+(MAX(Reference!$A$6,MIN(Reference!$A$11,MIN(D161,270)))-INDEX(Reference!$A$6:$A$11,MIN(5,MATCH(MAX(Reference!$A$6,MIN(Reference!$A$11,MIN(D161,270))),Reference!$A$6:$A$11,1))))*(INDEX(Reference!$B$6:$B$11,MIN(5,MATCH(MAX(Reference!$A$6,MIN(Reference!$A$11,MIN(D161,270))),Reference!$A$6:$A$11,1))+1)-INDEX(Reference!$B$6:$B$11,MIN(5,MATCH(MAX(Reference!$A$6,MIN(Reference!$A$11,MIN(D161,270))),Reference!$A$6:$A$11,1))))/(INDEX(Reference!$A$6:$A$11,MIN(5,MATCH(MAX(Reference!$A$6,MIN(Reference!$A$11,MIN(D161,270))),Reference!$A$6:$A$11,1))+1)-INDEX(Reference!$A$6:$A$11,MIN(5,MATCH(MAX(Reference!$A$6,MIN(Reference!$A$11,MIN(D161,270))),Reference!$A$6:$A$11,1))))),0)+IF(8&lt;=AE161,(AE161-8+3)*(INDEX(Reference!$B$6:$B$11,MIN(5,MATCH(MAX(Reference!$A$6,MIN(Reference!$A$11,MIN(D161,300))),Reference!$A$6:$A$11,1)))+(MAX(Reference!$A$6,MIN(Reference!$A$11,MIN(D161,300)))-INDEX(Reference!$A$6:$A$11,MIN(5,MATCH(MAX(Reference!$A$6,MIN(Reference!$A$11,MIN(D161,300))),Reference!$A$6:$A$11,1))))*(INDEX(Reference!$B$6:$B$11,MIN(5,MATCH(MAX(Reference!$A$6,MIN(Reference!$A$11,MIN(D161,300))),Reference!$A$6:$A$11,1))+1)-INDEX(Reference!$B$6:$B$11,MIN(5,MATCH(MAX(Reference!$A$6,MIN(Reference!$A$11,MIN(D161,300))),Reference!$A$6:$A$11,1))))/(INDEX(Reference!$A$6:$A$11,MIN(5,MATCH(MAX(Reference!$A$6,MIN(Reference!$A$11,MIN(D161,300))),Reference!$A$6:$A$11,1))+1)-INDEX(Reference!$A$6:$A$11,MIN(5,MATCH(MAX(Reference!$A$6,MIN(Reference!$A$11,MIN(D161,300))),Reference!$A$6:$A$11,1))))),0))/(AE161*(AE161+5)/2)),(INDEX(Reference!$B$6:$B$11,MIN(5,MATCH(MAX(Reference!$A$6,MIN(Reference!$A$11,D161)),Reference!$A$6:$A$11,1)))+(MAX(Reference!$A$6,MIN(Reference!$A$11,D161))-INDEX(Reference!$A$6:$A$11,MIN(5,MATCH(MAX(Reference!$A$6,MIN(Reference!$A$11,D161)),Reference!$A$6:$A$11,1))))*(INDEX(Reference!$B$6:$B$11,MIN(5,MATCH(MAX(Reference!$A$6,MIN(Reference!$A$11,D161)),Reference!$A$6:$A$11,1))+1)-INDEX(Reference!$B$6:$B$11,MIN(5,MATCH(MAX(Reference!$A$6,MIN(Reference!$A$11,D161)),Reference!$A$6:$A$11,1))))/(INDEX(Reference!$A$6:$A$11,MIN(5,MATCH(MAX(Reference!$A$6,MIN(Reference!$A$11,D161)),Reference!$A$6:$A$11,1))+1)-INDEX(Reference!$A$6:$A$11,MIN(5,MATCH(MAX(Reference!$A$6,MIN(Reference!$A$11,D161)),Reference!$A$6:$A$11,1))))))))</f>
        <v/>
      </c>
      <c r="P161" s="32" t="str">
        <f>IF(N161="","",VLOOKUP(MAX(N161,0),Reference!$A$17:$B$20,2,TRUE()))</f>
        <v/>
      </c>
      <c r="Q161" s="32" t="str">
        <f t="shared" si="21"/>
        <v/>
      </c>
      <c r="R161" s="31"/>
      <c r="S161" s="31"/>
      <c r="T161" s="31"/>
      <c r="U161" s="32" t="str">
        <f t="shared" si="22"/>
        <v/>
      </c>
      <c r="V161" s="32" t="str">
        <f t="shared" si="23"/>
        <v/>
      </c>
      <c r="W161" s="32" t="str">
        <f>IF(V161="","",VLOOKUP(MAX(V161,0),Reference!$A$17:$B$20,2,TRUE()))</f>
        <v/>
      </c>
      <c r="X161" s="31"/>
      <c r="Y161" s="31"/>
      <c r="Z161" s="31"/>
      <c r="AA161" s="32" t="str">
        <f t="shared" si="24"/>
        <v/>
      </c>
      <c r="AB161" s="32" t="str">
        <f t="shared" si="25"/>
        <v/>
      </c>
      <c r="AC161" s="32" t="str">
        <f>IF(AB161="","",VLOOKUP(MAX(AB161,0),Reference!$A$17:$B$20,2,TRUE()))</f>
        <v/>
      </c>
      <c r="AD161" s="31"/>
      <c r="AE161">
        <f t="shared" si="26"/>
        <v>1</v>
      </c>
      <c r="AF161" s="33" t="str">
        <f>IF(OR(A161="",B161="",AND(C161&lt;&gt;"Bullpen",C161&lt;&gt;"Game")),"",IF((COUNTIFS($B$5:$B$300,B161,$A$5:$A$300,A161-1,$C$5:$C$300,"Bullpen",$AG$5:$AG$300,"&gt;0") + COUNTIFS($B$5:$B$300,B161,$A$5:$A$300,A161-1,$C$5:$C$300,"Game",$AG$5:$AG$300,"&gt;0"))&gt;0,Reference!$B$119,IF((COUNTIFS($B$5:$B$300,B161,$A$5:$A$300,A161-2,$C$5:$C$300,"Bullpen",$AG$5:$AG$300,"&gt;0") + COUNTIFS($B$5:$B$300,B161,$A$5:$A$300,A161-2,$C$5:$C$300,"Game",$AG$5:$AG$300,"&gt;0"))&gt;0,Reference!$B$120,1)))</f>
        <v/>
      </c>
      <c r="AG161" s="30" t="str">
        <f>IF(AND(OR(I161="",O161="",P161=""),OR(R161="",W161=""),OR(X161="",AC161="")),"",IF(OR(I161="",O161="",P161=""),0,I161*O161*P161)+IF(OR(R161="",W161=""),0,R161*IFERROR(INDEX(Reference!$B$61:$B$62,MATCH("Bullpen",Reference!$A$61:$A$62,0)),0)*W161)+IF(OR(X161="",AC161=""),0,X161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161))</f>
        <v/>
      </c>
    </row>
    <row r="162" spans="1:33" x14ac:dyDescent="0.3">
      <c r="A162" s="35"/>
      <c r="B162" s="31"/>
      <c r="C162" s="31"/>
      <c r="D162" s="31"/>
      <c r="E162" s="34"/>
      <c r="F162" s="34"/>
      <c r="G162" s="30" t="str">
        <f t="shared" si="18"/>
        <v/>
      </c>
      <c r="H162" s="31"/>
      <c r="I162" s="32" t="str">
        <f>IF(H162&lt;&gt;"",H162,IF(G162="","",ROUND(G162*IFERROR(INDEX(Reference!$B$44:$B$50,MATCH(C162,Reference!$A$44:$A$50,0)),0),0)))</f>
        <v/>
      </c>
      <c r="J162" s="31"/>
      <c r="K162" s="31"/>
      <c r="L162" s="32" t="str">
        <f t="shared" si="19"/>
        <v/>
      </c>
      <c r="M162" s="32" t="str">
        <f>IFERROR(INDEX(Roster!$D$5:$D$40,MATCH(B162,Roster!$A$5:$A$40,0)),"")</f>
        <v/>
      </c>
      <c r="N162" s="32" t="str">
        <f t="shared" si="20"/>
        <v/>
      </c>
      <c r="O162" s="32" t="str">
        <f>IF(OR(C162="Bullpen",C162="Game"),IFERROR(INDEX(Reference!$B$61:$B$62,MATCH(C162,Reference!$A$61:$A$62,0)),""),IF(D162="","",IF(AE162&gt;1,((IF(1&lt;=AE162,(AE162-1+3)*(INDEX(Reference!$B$6:$B$11,MIN(5,MATCH(MAX(Reference!$A$6,MIN(Reference!$A$11,MIN(D162,90))),Reference!$A$6:$A$11,1)))+(MAX(Reference!$A$6,MIN(Reference!$A$11,MIN(D162,90)))-INDEX(Reference!$A$6:$A$11,MIN(5,MATCH(MAX(Reference!$A$6,MIN(Reference!$A$11,MIN(D162,90))),Reference!$A$6:$A$11,1))))*(INDEX(Reference!$B$6:$B$11,MIN(5,MATCH(MAX(Reference!$A$6,MIN(Reference!$A$11,MIN(D162,90))),Reference!$A$6:$A$11,1))+1)-INDEX(Reference!$B$6:$B$11,MIN(5,MATCH(MAX(Reference!$A$6,MIN(Reference!$A$11,MIN(D162,90))),Reference!$A$6:$A$11,1))))/(INDEX(Reference!$A$6:$A$11,MIN(5,MATCH(MAX(Reference!$A$6,MIN(Reference!$A$11,MIN(D162,90))),Reference!$A$6:$A$11,1))+1)-INDEX(Reference!$A$6:$A$11,MIN(5,MATCH(MAX(Reference!$A$6,MIN(Reference!$A$11,MIN(D162,90))),Reference!$A$6:$A$11,1))))),0)+IF(2&lt;=AE162,(AE162-2+3)*(INDEX(Reference!$B$6:$B$11,MIN(5,MATCH(MAX(Reference!$A$6,MIN(Reference!$A$11,MIN(D162,120))),Reference!$A$6:$A$11,1)))+(MAX(Reference!$A$6,MIN(Reference!$A$11,MIN(D162,120)))-INDEX(Reference!$A$6:$A$11,MIN(5,MATCH(MAX(Reference!$A$6,MIN(Reference!$A$11,MIN(D162,120))),Reference!$A$6:$A$11,1))))*(INDEX(Reference!$B$6:$B$11,MIN(5,MATCH(MAX(Reference!$A$6,MIN(Reference!$A$11,MIN(D162,120))),Reference!$A$6:$A$11,1))+1)-INDEX(Reference!$B$6:$B$11,MIN(5,MATCH(MAX(Reference!$A$6,MIN(Reference!$A$11,MIN(D162,120))),Reference!$A$6:$A$11,1))))/(INDEX(Reference!$A$6:$A$11,MIN(5,MATCH(MAX(Reference!$A$6,MIN(Reference!$A$11,MIN(D162,120))),Reference!$A$6:$A$11,1))+1)-INDEX(Reference!$A$6:$A$11,MIN(5,MATCH(MAX(Reference!$A$6,MIN(Reference!$A$11,MIN(D162,120))),Reference!$A$6:$A$11,1))))),0)+IF(3&lt;=AE162,(AE162-3+3)*(INDEX(Reference!$B$6:$B$11,MIN(5,MATCH(MAX(Reference!$A$6,MIN(Reference!$A$11,MIN(D162,150))),Reference!$A$6:$A$11,1)))+(MAX(Reference!$A$6,MIN(Reference!$A$11,MIN(D162,150)))-INDEX(Reference!$A$6:$A$11,MIN(5,MATCH(MAX(Reference!$A$6,MIN(Reference!$A$11,MIN(D162,150))),Reference!$A$6:$A$11,1))))*(INDEX(Reference!$B$6:$B$11,MIN(5,MATCH(MAX(Reference!$A$6,MIN(Reference!$A$11,MIN(D162,150))),Reference!$A$6:$A$11,1))+1)-INDEX(Reference!$B$6:$B$11,MIN(5,MATCH(MAX(Reference!$A$6,MIN(Reference!$A$11,MIN(D162,150))),Reference!$A$6:$A$11,1))))/(INDEX(Reference!$A$6:$A$11,MIN(5,MATCH(MAX(Reference!$A$6,MIN(Reference!$A$11,MIN(D162,150))),Reference!$A$6:$A$11,1))+1)-INDEX(Reference!$A$6:$A$11,MIN(5,MATCH(MAX(Reference!$A$6,MIN(Reference!$A$11,MIN(D162,150))),Reference!$A$6:$A$11,1))))),0)+IF(4&lt;=AE162,(AE162-4+3)*(INDEX(Reference!$B$6:$B$11,MIN(5,MATCH(MAX(Reference!$A$6,MIN(Reference!$A$11,MIN(D162,180))),Reference!$A$6:$A$11,1)))+(MAX(Reference!$A$6,MIN(Reference!$A$11,MIN(D162,180)))-INDEX(Reference!$A$6:$A$11,MIN(5,MATCH(MAX(Reference!$A$6,MIN(Reference!$A$11,MIN(D162,180))),Reference!$A$6:$A$11,1))))*(INDEX(Reference!$B$6:$B$11,MIN(5,MATCH(MAX(Reference!$A$6,MIN(Reference!$A$11,MIN(D162,180))),Reference!$A$6:$A$11,1))+1)-INDEX(Reference!$B$6:$B$11,MIN(5,MATCH(MAX(Reference!$A$6,MIN(Reference!$A$11,MIN(D162,180))),Reference!$A$6:$A$11,1))))/(INDEX(Reference!$A$6:$A$11,MIN(5,MATCH(MAX(Reference!$A$6,MIN(Reference!$A$11,MIN(D162,180))),Reference!$A$6:$A$11,1))+1)-INDEX(Reference!$A$6:$A$11,MIN(5,MATCH(MAX(Reference!$A$6,MIN(Reference!$A$11,MIN(D162,180))),Reference!$A$6:$A$11,1))))),0)+IF(5&lt;=AE162,(AE162-5+3)*(INDEX(Reference!$B$6:$B$11,MIN(5,MATCH(MAX(Reference!$A$6,MIN(Reference!$A$11,MIN(D162,210))),Reference!$A$6:$A$11,1)))+(MAX(Reference!$A$6,MIN(Reference!$A$11,MIN(D162,210)))-INDEX(Reference!$A$6:$A$11,MIN(5,MATCH(MAX(Reference!$A$6,MIN(Reference!$A$11,MIN(D162,210))),Reference!$A$6:$A$11,1))))*(INDEX(Reference!$B$6:$B$11,MIN(5,MATCH(MAX(Reference!$A$6,MIN(Reference!$A$11,MIN(D162,210))),Reference!$A$6:$A$11,1))+1)-INDEX(Reference!$B$6:$B$11,MIN(5,MATCH(MAX(Reference!$A$6,MIN(Reference!$A$11,MIN(D162,210))),Reference!$A$6:$A$11,1))))/(INDEX(Reference!$A$6:$A$11,MIN(5,MATCH(MAX(Reference!$A$6,MIN(Reference!$A$11,MIN(D162,210))),Reference!$A$6:$A$11,1))+1)-INDEX(Reference!$A$6:$A$11,MIN(5,MATCH(MAX(Reference!$A$6,MIN(Reference!$A$11,MIN(D162,210))),Reference!$A$6:$A$11,1))))),0)+IF(6&lt;=AE162,(AE162-6+3)*(INDEX(Reference!$B$6:$B$11,MIN(5,MATCH(MAX(Reference!$A$6,MIN(Reference!$A$11,MIN(D162,240))),Reference!$A$6:$A$11,1)))+(MAX(Reference!$A$6,MIN(Reference!$A$11,MIN(D162,240)))-INDEX(Reference!$A$6:$A$11,MIN(5,MATCH(MAX(Reference!$A$6,MIN(Reference!$A$11,MIN(D162,240))),Reference!$A$6:$A$11,1))))*(INDEX(Reference!$B$6:$B$11,MIN(5,MATCH(MAX(Reference!$A$6,MIN(Reference!$A$11,MIN(D162,240))),Reference!$A$6:$A$11,1))+1)-INDEX(Reference!$B$6:$B$11,MIN(5,MATCH(MAX(Reference!$A$6,MIN(Reference!$A$11,MIN(D162,240))),Reference!$A$6:$A$11,1))))/(INDEX(Reference!$A$6:$A$11,MIN(5,MATCH(MAX(Reference!$A$6,MIN(Reference!$A$11,MIN(D162,240))),Reference!$A$6:$A$11,1))+1)-INDEX(Reference!$A$6:$A$11,MIN(5,MATCH(MAX(Reference!$A$6,MIN(Reference!$A$11,MIN(D162,240))),Reference!$A$6:$A$11,1))))),0)+IF(7&lt;=AE162,(AE162-7+3)*(INDEX(Reference!$B$6:$B$11,MIN(5,MATCH(MAX(Reference!$A$6,MIN(Reference!$A$11,MIN(D162,270))),Reference!$A$6:$A$11,1)))+(MAX(Reference!$A$6,MIN(Reference!$A$11,MIN(D162,270)))-INDEX(Reference!$A$6:$A$11,MIN(5,MATCH(MAX(Reference!$A$6,MIN(Reference!$A$11,MIN(D162,270))),Reference!$A$6:$A$11,1))))*(INDEX(Reference!$B$6:$B$11,MIN(5,MATCH(MAX(Reference!$A$6,MIN(Reference!$A$11,MIN(D162,270))),Reference!$A$6:$A$11,1))+1)-INDEX(Reference!$B$6:$B$11,MIN(5,MATCH(MAX(Reference!$A$6,MIN(Reference!$A$11,MIN(D162,270))),Reference!$A$6:$A$11,1))))/(INDEX(Reference!$A$6:$A$11,MIN(5,MATCH(MAX(Reference!$A$6,MIN(Reference!$A$11,MIN(D162,270))),Reference!$A$6:$A$11,1))+1)-INDEX(Reference!$A$6:$A$11,MIN(5,MATCH(MAX(Reference!$A$6,MIN(Reference!$A$11,MIN(D162,270))),Reference!$A$6:$A$11,1))))),0)+IF(8&lt;=AE162,(AE162-8+3)*(INDEX(Reference!$B$6:$B$11,MIN(5,MATCH(MAX(Reference!$A$6,MIN(Reference!$A$11,MIN(D162,300))),Reference!$A$6:$A$11,1)))+(MAX(Reference!$A$6,MIN(Reference!$A$11,MIN(D162,300)))-INDEX(Reference!$A$6:$A$11,MIN(5,MATCH(MAX(Reference!$A$6,MIN(Reference!$A$11,MIN(D162,300))),Reference!$A$6:$A$11,1))))*(INDEX(Reference!$B$6:$B$11,MIN(5,MATCH(MAX(Reference!$A$6,MIN(Reference!$A$11,MIN(D162,300))),Reference!$A$6:$A$11,1))+1)-INDEX(Reference!$B$6:$B$11,MIN(5,MATCH(MAX(Reference!$A$6,MIN(Reference!$A$11,MIN(D162,300))),Reference!$A$6:$A$11,1))))/(INDEX(Reference!$A$6:$A$11,MIN(5,MATCH(MAX(Reference!$A$6,MIN(Reference!$A$11,MIN(D162,300))),Reference!$A$6:$A$11,1))+1)-INDEX(Reference!$A$6:$A$11,MIN(5,MATCH(MAX(Reference!$A$6,MIN(Reference!$A$11,MIN(D162,300))),Reference!$A$6:$A$11,1))))),0))/(AE162*(AE162+5)/2)),(INDEX(Reference!$B$6:$B$11,MIN(5,MATCH(MAX(Reference!$A$6,MIN(Reference!$A$11,D162)),Reference!$A$6:$A$11,1)))+(MAX(Reference!$A$6,MIN(Reference!$A$11,D162))-INDEX(Reference!$A$6:$A$11,MIN(5,MATCH(MAX(Reference!$A$6,MIN(Reference!$A$11,D162)),Reference!$A$6:$A$11,1))))*(INDEX(Reference!$B$6:$B$11,MIN(5,MATCH(MAX(Reference!$A$6,MIN(Reference!$A$11,D162)),Reference!$A$6:$A$11,1))+1)-INDEX(Reference!$B$6:$B$11,MIN(5,MATCH(MAX(Reference!$A$6,MIN(Reference!$A$11,D162)),Reference!$A$6:$A$11,1))))/(INDEX(Reference!$A$6:$A$11,MIN(5,MATCH(MAX(Reference!$A$6,MIN(Reference!$A$11,D162)),Reference!$A$6:$A$11,1))+1)-INDEX(Reference!$A$6:$A$11,MIN(5,MATCH(MAX(Reference!$A$6,MIN(Reference!$A$11,D162)),Reference!$A$6:$A$11,1))))))))</f>
        <v/>
      </c>
      <c r="P162" s="32" t="str">
        <f>IF(N162="","",VLOOKUP(MAX(N162,0),Reference!$A$17:$B$20,2,TRUE()))</f>
        <v/>
      </c>
      <c r="Q162" s="32" t="str">
        <f t="shared" si="21"/>
        <v/>
      </c>
      <c r="R162" s="31"/>
      <c r="S162" s="31"/>
      <c r="T162" s="31"/>
      <c r="U162" s="32" t="str">
        <f t="shared" si="22"/>
        <v/>
      </c>
      <c r="V162" s="32" t="str">
        <f t="shared" si="23"/>
        <v/>
      </c>
      <c r="W162" s="32" t="str">
        <f>IF(V162="","",VLOOKUP(MAX(V162,0),Reference!$A$17:$B$20,2,TRUE()))</f>
        <v/>
      </c>
      <c r="X162" s="31"/>
      <c r="Y162" s="31"/>
      <c r="Z162" s="31"/>
      <c r="AA162" s="32" t="str">
        <f t="shared" si="24"/>
        <v/>
      </c>
      <c r="AB162" s="32" t="str">
        <f t="shared" si="25"/>
        <v/>
      </c>
      <c r="AC162" s="32" t="str">
        <f>IF(AB162="","",VLOOKUP(MAX(AB162,0),Reference!$A$17:$B$20,2,TRUE()))</f>
        <v/>
      </c>
      <c r="AD162" s="31"/>
      <c r="AE162">
        <f t="shared" si="26"/>
        <v>1</v>
      </c>
      <c r="AF162" s="33" t="str">
        <f>IF(OR(A162="",B162="",AND(C162&lt;&gt;"Bullpen",C162&lt;&gt;"Game")),"",IF((COUNTIFS($B$5:$B$300,B162,$A$5:$A$300,A162-1,$C$5:$C$300,"Bullpen",$AG$5:$AG$300,"&gt;0") + COUNTIFS($B$5:$B$300,B162,$A$5:$A$300,A162-1,$C$5:$C$300,"Game",$AG$5:$AG$300,"&gt;0"))&gt;0,Reference!$B$119,IF((COUNTIFS($B$5:$B$300,B162,$A$5:$A$300,A162-2,$C$5:$C$300,"Bullpen",$AG$5:$AG$300,"&gt;0") + COUNTIFS($B$5:$B$300,B162,$A$5:$A$300,A162-2,$C$5:$C$300,"Game",$AG$5:$AG$300,"&gt;0"))&gt;0,Reference!$B$120,1)))</f>
        <v/>
      </c>
      <c r="AG162" s="30" t="str">
        <f>IF(AND(OR(I162="",O162="",P162=""),OR(R162="",W162=""),OR(X162="",AC162="")),"",IF(OR(I162="",O162="",P162=""),0,I162*O162*P162)+IF(OR(R162="",W162=""),0,R162*IFERROR(INDEX(Reference!$B$61:$B$62,MATCH("Bullpen",Reference!$A$61:$A$62,0)),0)*W162)+IF(OR(X162="",AC162=""),0,X162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162))</f>
        <v/>
      </c>
    </row>
    <row r="163" spans="1:33" x14ac:dyDescent="0.3">
      <c r="A163" s="35"/>
      <c r="B163" s="31"/>
      <c r="C163" s="31"/>
      <c r="D163" s="31"/>
      <c r="E163" s="34"/>
      <c r="F163" s="34"/>
      <c r="G163" s="30" t="str">
        <f t="shared" si="18"/>
        <v/>
      </c>
      <c r="H163" s="31"/>
      <c r="I163" s="32" t="str">
        <f>IF(H163&lt;&gt;"",H163,IF(G163="","",ROUND(G163*IFERROR(INDEX(Reference!$B$44:$B$50,MATCH(C163,Reference!$A$44:$A$50,0)),0),0)))</f>
        <v/>
      </c>
      <c r="J163" s="31"/>
      <c r="K163" s="31"/>
      <c r="L163" s="32" t="str">
        <f t="shared" si="19"/>
        <v/>
      </c>
      <c r="M163" s="32" t="str">
        <f>IFERROR(INDEX(Roster!$D$5:$D$40,MATCH(B163,Roster!$A$5:$A$40,0)),"")</f>
        <v/>
      </c>
      <c r="N163" s="32" t="str">
        <f t="shared" si="20"/>
        <v/>
      </c>
      <c r="O163" s="32" t="str">
        <f>IF(OR(C163="Bullpen",C163="Game"),IFERROR(INDEX(Reference!$B$61:$B$62,MATCH(C163,Reference!$A$61:$A$62,0)),""),IF(D163="","",IF(AE163&gt;1,((IF(1&lt;=AE163,(AE163-1+3)*(INDEX(Reference!$B$6:$B$11,MIN(5,MATCH(MAX(Reference!$A$6,MIN(Reference!$A$11,MIN(D163,90))),Reference!$A$6:$A$11,1)))+(MAX(Reference!$A$6,MIN(Reference!$A$11,MIN(D163,90)))-INDEX(Reference!$A$6:$A$11,MIN(5,MATCH(MAX(Reference!$A$6,MIN(Reference!$A$11,MIN(D163,90))),Reference!$A$6:$A$11,1))))*(INDEX(Reference!$B$6:$B$11,MIN(5,MATCH(MAX(Reference!$A$6,MIN(Reference!$A$11,MIN(D163,90))),Reference!$A$6:$A$11,1))+1)-INDEX(Reference!$B$6:$B$11,MIN(5,MATCH(MAX(Reference!$A$6,MIN(Reference!$A$11,MIN(D163,90))),Reference!$A$6:$A$11,1))))/(INDEX(Reference!$A$6:$A$11,MIN(5,MATCH(MAX(Reference!$A$6,MIN(Reference!$A$11,MIN(D163,90))),Reference!$A$6:$A$11,1))+1)-INDEX(Reference!$A$6:$A$11,MIN(5,MATCH(MAX(Reference!$A$6,MIN(Reference!$A$11,MIN(D163,90))),Reference!$A$6:$A$11,1))))),0)+IF(2&lt;=AE163,(AE163-2+3)*(INDEX(Reference!$B$6:$B$11,MIN(5,MATCH(MAX(Reference!$A$6,MIN(Reference!$A$11,MIN(D163,120))),Reference!$A$6:$A$11,1)))+(MAX(Reference!$A$6,MIN(Reference!$A$11,MIN(D163,120)))-INDEX(Reference!$A$6:$A$11,MIN(5,MATCH(MAX(Reference!$A$6,MIN(Reference!$A$11,MIN(D163,120))),Reference!$A$6:$A$11,1))))*(INDEX(Reference!$B$6:$B$11,MIN(5,MATCH(MAX(Reference!$A$6,MIN(Reference!$A$11,MIN(D163,120))),Reference!$A$6:$A$11,1))+1)-INDEX(Reference!$B$6:$B$11,MIN(5,MATCH(MAX(Reference!$A$6,MIN(Reference!$A$11,MIN(D163,120))),Reference!$A$6:$A$11,1))))/(INDEX(Reference!$A$6:$A$11,MIN(5,MATCH(MAX(Reference!$A$6,MIN(Reference!$A$11,MIN(D163,120))),Reference!$A$6:$A$11,1))+1)-INDEX(Reference!$A$6:$A$11,MIN(5,MATCH(MAX(Reference!$A$6,MIN(Reference!$A$11,MIN(D163,120))),Reference!$A$6:$A$11,1))))),0)+IF(3&lt;=AE163,(AE163-3+3)*(INDEX(Reference!$B$6:$B$11,MIN(5,MATCH(MAX(Reference!$A$6,MIN(Reference!$A$11,MIN(D163,150))),Reference!$A$6:$A$11,1)))+(MAX(Reference!$A$6,MIN(Reference!$A$11,MIN(D163,150)))-INDEX(Reference!$A$6:$A$11,MIN(5,MATCH(MAX(Reference!$A$6,MIN(Reference!$A$11,MIN(D163,150))),Reference!$A$6:$A$11,1))))*(INDEX(Reference!$B$6:$B$11,MIN(5,MATCH(MAX(Reference!$A$6,MIN(Reference!$A$11,MIN(D163,150))),Reference!$A$6:$A$11,1))+1)-INDEX(Reference!$B$6:$B$11,MIN(5,MATCH(MAX(Reference!$A$6,MIN(Reference!$A$11,MIN(D163,150))),Reference!$A$6:$A$11,1))))/(INDEX(Reference!$A$6:$A$11,MIN(5,MATCH(MAX(Reference!$A$6,MIN(Reference!$A$11,MIN(D163,150))),Reference!$A$6:$A$11,1))+1)-INDEX(Reference!$A$6:$A$11,MIN(5,MATCH(MAX(Reference!$A$6,MIN(Reference!$A$11,MIN(D163,150))),Reference!$A$6:$A$11,1))))),0)+IF(4&lt;=AE163,(AE163-4+3)*(INDEX(Reference!$B$6:$B$11,MIN(5,MATCH(MAX(Reference!$A$6,MIN(Reference!$A$11,MIN(D163,180))),Reference!$A$6:$A$11,1)))+(MAX(Reference!$A$6,MIN(Reference!$A$11,MIN(D163,180)))-INDEX(Reference!$A$6:$A$11,MIN(5,MATCH(MAX(Reference!$A$6,MIN(Reference!$A$11,MIN(D163,180))),Reference!$A$6:$A$11,1))))*(INDEX(Reference!$B$6:$B$11,MIN(5,MATCH(MAX(Reference!$A$6,MIN(Reference!$A$11,MIN(D163,180))),Reference!$A$6:$A$11,1))+1)-INDEX(Reference!$B$6:$B$11,MIN(5,MATCH(MAX(Reference!$A$6,MIN(Reference!$A$11,MIN(D163,180))),Reference!$A$6:$A$11,1))))/(INDEX(Reference!$A$6:$A$11,MIN(5,MATCH(MAX(Reference!$A$6,MIN(Reference!$A$11,MIN(D163,180))),Reference!$A$6:$A$11,1))+1)-INDEX(Reference!$A$6:$A$11,MIN(5,MATCH(MAX(Reference!$A$6,MIN(Reference!$A$11,MIN(D163,180))),Reference!$A$6:$A$11,1))))),0)+IF(5&lt;=AE163,(AE163-5+3)*(INDEX(Reference!$B$6:$B$11,MIN(5,MATCH(MAX(Reference!$A$6,MIN(Reference!$A$11,MIN(D163,210))),Reference!$A$6:$A$11,1)))+(MAX(Reference!$A$6,MIN(Reference!$A$11,MIN(D163,210)))-INDEX(Reference!$A$6:$A$11,MIN(5,MATCH(MAX(Reference!$A$6,MIN(Reference!$A$11,MIN(D163,210))),Reference!$A$6:$A$11,1))))*(INDEX(Reference!$B$6:$B$11,MIN(5,MATCH(MAX(Reference!$A$6,MIN(Reference!$A$11,MIN(D163,210))),Reference!$A$6:$A$11,1))+1)-INDEX(Reference!$B$6:$B$11,MIN(5,MATCH(MAX(Reference!$A$6,MIN(Reference!$A$11,MIN(D163,210))),Reference!$A$6:$A$11,1))))/(INDEX(Reference!$A$6:$A$11,MIN(5,MATCH(MAX(Reference!$A$6,MIN(Reference!$A$11,MIN(D163,210))),Reference!$A$6:$A$11,1))+1)-INDEX(Reference!$A$6:$A$11,MIN(5,MATCH(MAX(Reference!$A$6,MIN(Reference!$A$11,MIN(D163,210))),Reference!$A$6:$A$11,1))))),0)+IF(6&lt;=AE163,(AE163-6+3)*(INDEX(Reference!$B$6:$B$11,MIN(5,MATCH(MAX(Reference!$A$6,MIN(Reference!$A$11,MIN(D163,240))),Reference!$A$6:$A$11,1)))+(MAX(Reference!$A$6,MIN(Reference!$A$11,MIN(D163,240)))-INDEX(Reference!$A$6:$A$11,MIN(5,MATCH(MAX(Reference!$A$6,MIN(Reference!$A$11,MIN(D163,240))),Reference!$A$6:$A$11,1))))*(INDEX(Reference!$B$6:$B$11,MIN(5,MATCH(MAX(Reference!$A$6,MIN(Reference!$A$11,MIN(D163,240))),Reference!$A$6:$A$11,1))+1)-INDEX(Reference!$B$6:$B$11,MIN(5,MATCH(MAX(Reference!$A$6,MIN(Reference!$A$11,MIN(D163,240))),Reference!$A$6:$A$11,1))))/(INDEX(Reference!$A$6:$A$11,MIN(5,MATCH(MAX(Reference!$A$6,MIN(Reference!$A$11,MIN(D163,240))),Reference!$A$6:$A$11,1))+1)-INDEX(Reference!$A$6:$A$11,MIN(5,MATCH(MAX(Reference!$A$6,MIN(Reference!$A$11,MIN(D163,240))),Reference!$A$6:$A$11,1))))),0)+IF(7&lt;=AE163,(AE163-7+3)*(INDEX(Reference!$B$6:$B$11,MIN(5,MATCH(MAX(Reference!$A$6,MIN(Reference!$A$11,MIN(D163,270))),Reference!$A$6:$A$11,1)))+(MAX(Reference!$A$6,MIN(Reference!$A$11,MIN(D163,270)))-INDEX(Reference!$A$6:$A$11,MIN(5,MATCH(MAX(Reference!$A$6,MIN(Reference!$A$11,MIN(D163,270))),Reference!$A$6:$A$11,1))))*(INDEX(Reference!$B$6:$B$11,MIN(5,MATCH(MAX(Reference!$A$6,MIN(Reference!$A$11,MIN(D163,270))),Reference!$A$6:$A$11,1))+1)-INDEX(Reference!$B$6:$B$11,MIN(5,MATCH(MAX(Reference!$A$6,MIN(Reference!$A$11,MIN(D163,270))),Reference!$A$6:$A$11,1))))/(INDEX(Reference!$A$6:$A$11,MIN(5,MATCH(MAX(Reference!$A$6,MIN(Reference!$A$11,MIN(D163,270))),Reference!$A$6:$A$11,1))+1)-INDEX(Reference!$A$6:$A$11,MIN(5,MATCH(MAX(Reference!$A$6,MIN(Reference!$A$11,MIN(D163,270))),Reference!$A$6:$A$11,1))))),0)+IF(8&lt;=AE163,(AE163-8+3)*(INDEX(Reference!$B$6:$B$11,MIN(5,MATCH(MAX(Reference!$A$6,MIN(Reference!$A$11,MIN(D163,300))),Reference!$A$6:$A$11,1)))+(MAX(Reference!$A$6,MIN(Reference!$A$11,MIN(D163,300)))-INDEX(Reference!$A$6:$A$11,MIN(5,MATCH(MAX(Reference!$A$6,MIN(Reference!$A$11,MIN(D163,300))),Reference!$A$6:$A$11,1))))*(INDEX(Reference!$B$6:$B$11,MIN(5,MATCH(MAX(Reference!$A$6,MIN(Reference!$A$11,MIN(D163,300))),Reference!$A$6:$A$11,1))+1)-INDEX(Reference!$B$6:$B$11,MIN(5,MATCH(MAX(Reference!$A$6,MIN(Reference!$A$11,MIN(D163,300))),Reference!$A$6:$A$11,1))))/(INDEX(Reference!$A$6:$A$11,MIN(5,MATCH(MAX(Reference!$A$6,MIN(Reference!$A$11,MIN(D163,300))),Reference!$A$6:$A$11,1))+1)-INDEX(Reference!$A$6:$A$11,MIN(5,MATCH(MAX(Reference!$A$6,MIN(Reference!$A$11,MIN(D163,300))),Reference!$A$6:$A$11,1))))),0))/(AE163*(AE163+5)/2)),(INDEX(Reference!$B$6:$B$11,MIN(5,MATCH(MAX(Reference!$A$6,MIN(Reference!$A$11,D163)),Reference!$A$6:$A$11,1)))+(MAX(Reference!$A$6,MIN(Reference!$A$11,D163))-INDEX(Reference!$A$6:$A$11,MIN(5,MATCH(MAX(Reference!$A$6,MIN(Reference!$A$11,D163)),Reference!$A$6:$A$11,1))))*(INDEX(Reference!$B$6:$B$11,MIN(5,MATCH(MAX(Reference!$A$6,MIN(Reference!$A$11,D163)),Reference!$A$6:$A$11,1))+1)-INDEX(Reference!$B$6:$B$11,MIN(5,MATCH(MAX(Reference!$A$6,MIN(Reference!$A$11,D163)),Reference!$A$6:$A$11,1))))/(INDEX(Reference!$A$6:$A$11,MIN(5,MATCH(MAX(Reference!$A$6,MIN(Reference!$A$11,D163)),Reference!$A$6:$A$11,1))+1)-INDEX(Reference!$A$6:$A$11,MIN(5,MATCH(MAX(Reference!$A$6,MIN(Reference!$A$11,D163)),Reference!$A$6:$A$11,1))))))))</f>
        <v/>
      </c>
      <c r="P163" s="32" t="str">
        <f>IF(N163="","",VLOOKUP(MAX(N163,0),Reference!$A$17:$B$20,2,TRUE()))</f>
        <v/>
      </c>
      <c r="Q163" s="32" t="str">
        <f t="shared" si="21"/>
        <v/>
      </c>
      <c r="R163" s="31"/>
      <c r="S163" s="31"/>
      <c r="T163" s="31"/>
      <c r="U163" s="32" t="str">
        <f t="shared" si="22"/>
        <v/>
      </c>
      <c r="V163" s="32" t="str">
        <f t="shared" si="23"/>
        <v/>
      </c>
      <c r="W163" s="32" t="str">
        <f>IF(V163="","",VLOOKUP(MAX(V163,0),Reference!$A$17:$B$20,2,TRUE()))</f>
        <v/>
      </c>
      <c r="X163" s="31"/>
      <c r="Y163" s="31"/>
      <c r="Z163" s="31"/>
      <c r="AA163" s="32" t="str">
        <f t="shared" si="24"/>
        <v/>
      </c>
      <c r="AB163" s="32" t="str">
        <f t="shared" si="25"/>
        <v/>
      </c>
      <c r="AC163" s="32" t="str">
        <f>IF(AB163="","",VLOOKUP(MAX(AB163,0),Reference!$A$17:$B$20,2,TRUE()))</f>
        <v/>
      </c>
      <c r="AD163" s="31"/>
      <c r="AE163">
        <f t="shared" si="26"/>
        <v>1</v>
      </c>
      <c r="AF163" s="33" t="str">
        <f>IF(OR(A163="",B163="",AND(C163&lt;&gt;"Bullpen",C163&lt;&gt;"Game")),"",IF((COUNTIFS($B$5:$B$300,B163,$A$5:$A$300,A163-1,$C$5:$C$300,"Bullpen",$AG$5:$AG$300,"&gt;0") + COUNTIFS($B$5:$B$300,B163,$A$5:$A$300,A163-1,$C$5:$C$300,"Game",$AG$5:$AG$300,"&gt;0"))&gt;0,Reference!$B$119,IF((COUNTIFS($B$5:$B$300,B163,$A$5:$A$300,A163-2,$C$5:$C$300,"Bullpen",$AG$5:$AG$300,"&gt;0") + COUNTIFS($B$5:$B$300,B163,$A$5:$A$300,A163-2,$C$5:$C$300,"Game",$AG$5:$AG$300,"&gt;0"))&gt;0,Reference!$B$120,1)))</f>
        <v/>
      </c>
      <c r="AG163" s="30" t="str">
        <f>IF(AND(OR(I163="",O163="",P163=""),OR(R163="",W163=""),OR(X163="",AC163="")),"",IF(OR(I163="",O163="",P163=""),0,I163*O163*P163)+IF(OR(R163="",W163=""),0,R163*IFERROR(INDEX(Reference!$B$61:$B$62,MATCH("Bullpen",Reference!$A$61:$A$62,0)),0)*W163)+IF(OR(X163="",AC163=""),0,X163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163))</f>
        <v/>
      </c>
    </row>
    <row r="164" spans="1:33" x14ac:dyDescent="0.3">
      <c r="A164" s="35"/>
      <c r="B164" s="31"/>
      <c r="C164" s="31"/>
      <c r="D164" s="31"/>
      <c r="E164" s="34"/>
      <c r="F164" s="34"/>
      <c r="G164" s="30" t="str">
        <f t="shared" si="18"/>
        <v/>
      </c>
      <c r="H164" s="31"/>
      <c r="I164" s="32" t="str">
        <f>IF(H164&lt;&gt;"",H164,IF(G164="","",ROUND(G164*IFERROR(INDEX(Reference!$B$44:$B$50,MATCH(C164,Reference!$A$44:$A$50,0)),0),0)))</f>
        <v/>
      </c>
      <c r="J164" s="31"/>
      <c r="K164" s="31"/>
      <c r="L164" s="32" t="str">
        <f t="shared" si="19"/>
        <v/>
      </c>
      <c r="M164" s="32" t="str">
        <f>IFERROR(INDEX(Roster!$D$5:$D$40,MATCH(B164,Roster!$A$5:$A$40,0)),"")</f>
        <v/>
      </c>
      <c r="N164" s="32" t="str">
        <f t="shared" si="20"/>
        <v/>
      </c>
      <c r="O164" s="32" t="str">
        <f>IF(OR(C164="Bullpen",C164="Game"),IFERROR(INDEX(Reference!$B$61:$B$62,MATCH(C164,Reference!$A$61:$A$62,0)),""),IF(D164="","",IF(AE164&gt;1,((IF(1&lt;=AE164,(AE164-1+3)*(INDEX(Reference!$B$6:$B$11,MIN(5,MATCH(MAX(Reference!$A$6,MIN(Reference!$A$11,MIN(D164,90))),Reference!$A$6:$A$11,1)))+(MAX(Reference!$A$6,MIN(Reference!$A$11,MIN(D164,90)))-INDEX(Reference!$A$6:$A$11,MIN(5,MATCH(MAX(Reference!$A$6,MIN(Reference!$A$11,MIN(D164,90))),Reference!$A$6:$A$11,1))))*(INDEX(Reference!$B$6:$B$11,MIN(5,MATCH(MAX(Reference!$A$6,MIN(Reference!$A$11,MIN(D164,90))),Reference!$A$6:$A$11,1))+1)-INDEX(Reference!$B$6:$B$11,MIN(5,MATCH(MAX(Reference!$A$6,MIN(Reference!$A$11,MIN(D164,90))),Reference!$A$6:$A$11,1))))/(INDEX(Reference!$A$6:$A$11,MIN(5,MATCH(MAX(Reference!$A$6,MIN(Reference!$A$11,MIN(D164,90))),Reference!$A$6:$A$11,1))+1)-INDEX(Reference!$A$6:$A$11,MIN(5,MATCH(MAX(Reference!$A$6,MIN(Reference!$A$11,MIN(D164,90))),Reference!$A$6:$A$11,1))))),0)+IF(2&lt;=AE164,(AE164-2+3)*(INDEX(Reference!$B$6:$B$11,MIN(5,MATCH(MAX(Reference!$A$6,MIN(Reference!$A$11,MIN(D164,120))),Reference!$A$6:$A$11,1)))+(MAX(Reference!$A$6,MIN(Reference!$A$11,MIN(D164,120)))-INDEX(Reference!$A$6:$A$11,MIN(5,MATCH(MAX(Reference!$A$6,MIN(Reference!$A$11,MIN(D164,120))),Reference!$A$6:$A$11,1))))*(INDEX(Reference!$B$6:$B$11,MIN(5,MATCH(MAX(Reference!$A$6,MIN(Reference!$A$11,MIN(D164,120))),Reference!$A$6:$A$11,1))+1)-INDEX(Reference!$B$6:$B$11,MIN(5,MATCH(MAX(Reference!$A$6,MIN(Reference!$A$11,MIN(D164,120))),Reference!$A$6:$A$11,1))))/(INDEX(Reference!$A$6:$A$11,MIN(5,MATCH(MAX(Reference!$A$6,MIN(Reference!$A$11,MIN(D164,120))),Reference!$A$6:$A$11,1))+1)-INDEX(Reference!$A$6:$A$11,MIN(5,MATCH(MAX(Reference!$A$6,MIN(Reference!$A$11,MIN(D164,120))),Reference!$A$6:$A$11,1))))),0)+IF(3&lt;=AE164,(AE164-3+3)*(INDEX(Reference!$B$6:$B$11,MIN(5,MATCH(MAX(Reference!$A$6,MIN(Reference!$A$11,MIN(D164,150))),Reference!$A$6:$A$11,1)))+(MAX(Reference!$A$6,MIN(Reference!$A$11,MIN(D164,150)))-INDEX(Reference!$A$6:$A$11,MIN(5,MATCH(MAX(Reference!$A$6,MIN(Reference!$A$11,MIN(D164,150))),Reference!$A$6:$A$11,1))))*(INDEX(Reference!$B$6:$B$11,MIN(5,MATCH(MAX(Reference!$A$6,MIN(Reference!$A$11,MIN(D164,150))),Reference!$A$6:$A$11,1))+1)-INDEX(Reference!$B$6:$B$11,MIN(5,MATCH(MAX(Reference!$A$6,MIN(Reference!$A$11,MIN(D164,150))),Reference!$A$6:$A$11,1))))/(INDEX(Reference!$A$6:$A$11,MIN(5,MATCH(MAX(Reference!$A$6,MIN(Reference!$A$11,MIN(D164,150))),Reference!$A$6:$A$11,1))+1)-INDEX(Reference!$A$6:$A$11,MIN(5,MATCH(MAX(Reference!$A$6,MIN(Reference!$A$11,MIN(D164,150))),Reference!$A$6:$A$11,1))))),0)+IF(4&lt;=AE164,(AE164-4+3)*(INDEX(Reference!$B$6:$B$11,MIN(5,MATCH(MAX(Reference!$A$6,MIN(Reference!$A$11,MIN(D164,180))),Reference!$A$6:$A$11,1)))+(MAX(Reference!$A$6,MIN(Reference!$A$11,MIN(D164,180)))-INDEX(Reference!$A$6:$A$11,MIN(5,MATCH(MAX(Reference!$A$6,MIN(Reference!$A$11,MIN(D164,180))),Reference!$A$6:$A$11,1))))*(INDEX(Reference!$B$6:$B$11,MIN(5,MATCH(MAX(Reference!$A$6,MIN(Reference!$A$11,MIN(D164,180))),Reference!$A$6:$A$11,1))+1)-INDEX(Reference!$B$6:$B$11,MIN(5,MATCH(MAX(Reference!$A$6,MIN(Reference!$A$11,MIN(D164,180))),Reference!$A$6:$A$11,1))))/(INDEX(Reference!$A$6:$A$11,MIN(5,MATCH(MAX(Reference!$A$6,MIN(Reference!$A$11,MIN(D164,180))),Reference!$A$6:$A$11,1))+1)-INDEX(Reference!$A$6:$A$11,MIN(5,MATCH(MAX(Reference!$A$6,MIN(Reference!$A$11,MIN(D164,180))),Reference!$A$6:$A$11,1))))),0)+IF(5&lt;=AE164,(AE164-5+3)*(INDEX(Reference!$B$6:$B$11,MIN(5,MATCH(MAX(Reference!$A$6,MIN(Reference!$A$11,MIN(D164,210))),Reference!$A$6:$A$11,1)))+(MAX(Reference!$A$6,MIN(Reference!$A$11,MIN(D164,210)))-INDEX(Reference!$A$6:$A$11,MIN(5,MATCH(MAX(Reference!$A$6,MIN(Reference!$A$11,MIN(D164,210))),Reference!$A$6:$A$11,1))))*(INDEX(Reference!$B$6:$B$11,MIN(5,MATCH(MAX(Reference!$A$6,MIN(Reference!$A$11,MIN(D164,210))),Reference!$A$6:$A$11,1))+1)-INDEX(Reference!$B$6:$B$11,MIN(5,MATCH(MAX(Reference!$A$6,MIN(Reference!$A$11,MIN(D164,210))),Reference!$A$6:$A$11,1))))/(INDEX(Reference!$A$6:$A$11,MIN(5,MATCH(MAX(Reference!$A$6,MIN(Reference!$A$11,MIN(D164,210))),Reference!$A$6:$A$11,1))+1)-INDEX(Reference!$A$6:$A$11,MIN(5,MATCH(MAX(Reference!$A$6,MIN(Reference!$A$11,MIN(D164,210))),Reference!$A$6:$A$11,1))))),0)+IF(6&lt;=AE164,(AE164-6+3)*(INDEX(Reference!$B$6:$B$11,MIN(5,MATCH(MAX(Reference!$A$6,MIN(Reference!$A$11,MIN(D164,240))),Reference!$A$6:$A$11,1)))+(MAX(Reference!$A$6,MIN(Reference!$A$11,MIN(D164,240)))-INDEX(Reference!$A$6:$A$11,MIN(5,MATCH(MAX(Reference!$A$6,MIN(Reference!$A$11,MIN(D164,240))),Reference!$A$6:$A$11,1))))*(INDEX(Reference!$B$6:$B$11,MIN(5,MATCH(MAX(Reference!$A$6,MIN(Reference!$A$11,MIN(D164,240))),Reference!$A$6:$A$11,1))+1)-INDEX(Reference!$B$6:$B$11,MIN(5,MATCH(MAX(Reference!$A$6,MIN(Reference!$A$11,MIN(D164,240))),Reference!$A$6:$A$11,1))))/(INDEX(Reference!$A$6:$A$11,MIN(5,MATCH(MAX(Reference!$A$6,MIN(Reference!$A$11,MIN(D164,240))),Reference!$A$6:$A$11,1))+1)-INDEX(Reference!$A$6:$A$11,MIN(5,MATCH(MAX(Reference!$A$6,MIN(Reference!$A$11,MIN(D164,240))),Reference!$A$6:$A$11,1))))),0)+IF(7&lt;=AE164,(AE164-7+3)*(INDEX(Reference!$B$6:$B$11,MIN(5,MATCH(MAX(Reference!$A$6,MIN(Reference!$A$11,MIN(D164,270))),Reference!$A$6:$A$11,1)))+(MAX(Reference!$A$6,MIN(Reference!$A$11,MIN(D164,270)))-INDEX(Reference!$A$6:$A$11,MIN(5,MATCH(MAX(Reference!$A$6,MIN(Reference!$A$11,MIN(D164,270))),Reference!$A$6:$A$11,1))))*(INDEX(Reference!$B$6:$B$11,MIN(5,MATCH(MAX(Reference!$A$6,MIN(Reference!$A$11,MIN(D164,270))),Reference!$A$6:$A$11,1))+1)-INDEX(Reference!$B$6:$B$11,MIN(5,MATCH(MAX(Reference!$A$6,MIN(Reference!$A$11,MIN(D164,270))),Reference!$A$6:$A$11,1))))/(INDEX(Reference!$A$6:$A$11,MIN(5,MATCH(MAX(Reference!$A$6,MIN(Reference!$A$11,MIN(D164,270))),Reference!$A$6:$A$11,1))+1)-INDEX(Reference!$A$6:$A$11,MIN(5,MATCH(MAX(Reference!$A$6,MIN(Reference!$A$11,MIN(D164,270))),Reference!$A$6:$A$11,1))))),0)+IF(8&lt;=AE164,(AE164-8+3)*(INDEX(Reference!$B$6:$B$11,MIN(5,MATCH(MAX(Reference!$A$6,MIN(Reference!$A$11,MIN(D164,300))),Reference!$A$6:$A$11,1)))+(MAX(Reference!$A$6,MIN(Reference!$A$11,MIN(D164,300)))-INDEX(Reference!$A$6:$A$11,MIN(5,MATCH(MAX(Reference!$A$6,MIN(Reference!$A$11,MIN(D164,300))),Reference!$A$6:$A$11,1))))*(INDEX(Reference!$B$6:$B$11,MIN(5,MATCH(MAX(Reference!$A$6,MIN(Reference!$A$11,MIN(D164,300))),Reference!$A$6:$A$11,1))+1)-INDEX(Reference!$B$6:$B$11,MIN(5,MATCH(MAX(Reference!$A$6,MIN(Reference!$A$11,MIN(D164,300))),Reference!$A$6:$A$11,1))))/(INDEX(Reference!$A$6:$A$11,MIN(5,MATCH(MAX(Reference!$A$6,MIN(Reference!$A$11,MIN(D164,300))),Reference!$A$6:$A$11,1))+1)-INDEX(Reference!$A$6:$A$11,MIN(5,MATCH(MAX(Reference!$A$6,MIN(Reference!$A$11,MIN(D164,300))),Reference!$A$6:$A$11,1))))),0))/(AE164*(AE164+5)/2)),(INDEX(Reference!$B$6:$B$11,MIN(5,MATCH(MAX(Reference!$A$6,MIN(Reference!$A$11,D164)),Reference!$A$6:$A$11,1)))+(MAX(Reference!$A$6,MIN(Reference!$A$11,D164))-INDEX(Reference!$A$6:$A$11,MIN(5,MATCH(MAX(Reference!$A$6,MIN(Reference!$A$11,D164)),Reference!$A$6:$A$11,1))))*(INDEX(Reference!$B$6:$B$11,MIN(5,MATCH(MAX(Reference!$A$6,MIN(Reference!$A$11,D164)),Reference!$A$6:$A$11,1))+1)-INDEX(Reference!$B$6:$B$11,MIN(5,MATCH(MAX(Reference!$A$6,MIN(Reference!$A$11,D164)),Reference!$A$6:$A$11,1))))/(INDEX(Reference!$A$6:$A$11,MIN(5,MATCH(MAX(Reference!$A$6,MIN(Reference!$A$11,D164)),Reference!$A$6:$A$11,1))+1)-INDEX(Reference!$A$6:$A$11,MIN(5,MATCH(MAX(Reference!$A$6,MIN(Reference!$A$11,D164)),Reference!$A$6:$A$11,1))))))))</f>
        <v/>
      </c>
      <c r="P164" s="32" t="str">
        <f>IF(N164="","",VLOOKUP(MAX(N164,0),Reference!$A$17:$B$20,2,TRUE()))</f>
        <v/>
      </c>
      <c r="Q164" s="32" t="str">
        <f t="shared" si="21"/>
        <v/>
      </c>
      <c r="R164" s="31"/>
      <c r="S164" s="31"/>
      <c r="T164" s="31"/>
      <c r="U164" s="32" t="str">
        <f t="shared" si="22"/>
        <v/>
      </c>
      <c r="V164" s="32" t="str">
        <f t="shared" si="23"/>
        <v/>
      </c>
      <c r="W164" s="32" t="str">
        <f>IF(V164="","",VLOOKUP(MAX(V164,0),Reference!$A$17:$B$20,2,TRUE()))</f>
        <v/>
      </c>
      <c r="X164" s="31"/>
      <c r="Y164" s="31"/>
      <c r="Z164" s="31"/>
      <c r="AA164" s="32" t="str">
        <f t="shared" si="24"/>
        <v/>
      </c>
      <c r="AB164" s="32" t="str">
        <f t="shared" si="25"/>
        <v/>
      </c>
      <c r="AC164" s="32" t="str">
        <f>IF(AB164="","",VLOOKUP(MAX(AB164,0),Reference!$A$17:$B$20,2,TRUE()))</f>
        <v/>
      </c>
      <c r="AD164" s="31"/>
      <c r="AE164">
        <f t="shared" si="26"/>
        <v>1</v>
      </c>
      <c r="AF164" s="33" t="str">
        <f>IF(OR(A164="",B164="",AND(C164&lt;&gt;"Bullpen",C164&lt;&gt;"Game")),"",IF((COUNTIFS($B$5:$B$300,B164,$A$5:$A$300,A164-1,$C$5:$C$300,"Bullpen",$AG$5:$AG$300,"&gt;0") + COUNTIFS($B$5:$B$300,B164,$A$5:$A$300,A164-1,$C$5:$C$300,"Game",$AG$5:$AG$300,"&gt;0"))&gt;0,Reference!$B$119,IF((COUNTIFS($B$5:$B$300,B164,$A$5:$A$300,A164-2,$C$5:$C$300,"Bullpen",$AG$5:$AG$300,"&gt;0") + COUNTIFS($B$5:$B$300,B164,$A$5:$A$300,A164-2,$C$5:$C$300,"Game",$AG$5:$AG$300,"&gt;0"))&gt;0,Reference!$B$120,1)))</f>
        <v/>
      </c>
      <c r="AG164" s="30" t="str">
        <f>IF(AND(OR(I164="",O164="",P164=""),OR(R164="",W164=""),OR(X164="",AC164="")),"",IF(OR(I164="",O164="",P164=""),0,I164*O164*P164)+IF(OR(R164="",W164=""),0,R164*IFERROR(INDEX(Reference!$B$61:$B$62,MATCH("Bullpen",Reference!$A$61:$A$62,0)),0)*W164)+IF(OR(X164="",AC164=""),0,X164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164))</f>
        <v/>
      </c>
    </row>
    <row r="165" spans="1:33" x14ac:dyDescent="0.3">
      <c r="A165" s="35"/>
      <c r="B165" s="31"/>
      <c r="C165" s="31"/>
      <c r="D165" s="31"/>
      <c r="E165" s="34"/>
      <c r="F165" s="34"/>
      <c r="G165" s="30" t="str">
        <f t="shared" si="18"/>
        <v/>
      </c>
      <c r="H165" s="31"/>
      <c r="I165" s="32" t="str">
        <f>IF(H165&lt;&gt;"",H165,IF(G165="","",ROUND(G165*IFERROR(INDEX(Reference!$B$44:$B$50,MATCH(C165,Reference!$A$44:$A$50,0)),0),0)))</f>
        <v/>
      </c>
      <c r="J165" s="31"/>
      <c r="K165" s="31"/>
      <c r="L165" s="32" t="str">
        <f t="shared" si="19"/>
        <v/>
      </c>
      <c r="M165" s="32" t="str">
        <f>IFERROR(INDEX(Roster!$D$5:$D$40,MATCH(B165,Roster!$A$5:$A$40,0)),"")</f>
        <v/>
      </c>
      <c r="N165" s="32" t="str">
        <f t="shared" si="20"/>
        <v/>
      </c>
      <c r="O165" s="32" t="str">
        <f>IF(OR(C165="Bullpen",C165="Game"),IFERROR(INDEX(Reference!$B$61:$B$62,MATCH(C165,Reference!$A$61:$A$62,0)),""),IF(D165="","",IF(AE165&gt;1,((IF(1&lt;=AE165,(AE165-1+3)*(INDEX(Reference!$B$6:$B$11,MIN(5,MATCH(MAX(Reference!$A$6,MIN(Reference!$A$11,MIN(D165,90))),Reference!$A$6:$A$11,1)))+(MAX(Reference!$A$6,MIN(Reference!$A$11,MIN(D165,90)))-INDEX(Reference!$A$6:$A$11,MIN(5,MATCH(MAX(Reference!$A$6,MIN(Reference!$A$11,MIN(D165,90))),Reference!$A$6:$A$11,1))))*(INDEX(Reference!$B$6:$B$11,MIN(5,MATCH(MAX(Reference!$A$6,MIN(Reference!$A$11,MIN(D165,90))),Reference!$A$6:$A$11,1))+1)-INDEX(Reference!$B$6:$B$11,MIN(5,MATCH(MAX(Reference!$A$6,MIN(Reference!$A$11,MIN(D165,90))),Reference!$A$6:$A$11,1))))/(INDEX(Reference!$A$6:$A$11,MIN(5,MATCH(MAX(Reference!$A$6,MIN(Reference!$A$11,MIN(D165,90))),Reference!$A$6:$A$11,1))+1)-INDEX(Reference!$A$6:$A$11,MIN(5,MATCH(MAX(Reference!$A$6,MIN(Reference!$A$11,MIN(D165,90))),Reference!$A$6:$A$11,1))))),0)+IF(2&lt;=AE165,(AE165-2+3)*(INDEX(Reference!$B$6:$B$11,MIN(5,MATCH(MAX(Reference!$A$6,MIN(Reference!$A$11,MIN(D165,120))),Reference!$A$6:$A$11,1)))+(MAX(Reference!$A$6,MIN(Reference!$A$11,MIN(D165,120)))-INDEX(Reference!$A$6:$A$11,MIN(5,MATCH(MAX(Reference!$A$6,MIN(Reference!$A$11,MIN(D165,120))),Reference!$A$6:$A$11,1))))*(INDEX(Reference!$B$6:$B$11,MIN(5,MATCH(MAX(Reference!$A$6,MIN(Reference!$A$11,MIN(D165,120))),Reference!$A$6:$A$11,1))+1)-INDEX(Reference!$B$6:$B$11,MIN(5,MATCH(MAX(Reference!$A$6,MIN(Reference!$A$11,MIN(D165,120))),Reference!$A$6:$A$11,1))))/(INDEX(Reference!$A$6:$A$11,MIN(5,MATCH(MAX(Reference!$A$6,MIN(Reference!$A$11,MIN(D165,120))),Reference!$A$6:$A$11,1))+1)-INDEX(Reference!$A$6:$A$11,MIN(5,MATCH(MAX(Reference!$A$6,MIN(Reference!$A$11,MIN(D165,120))),Reference!$A$6:$A$11,1))))),0)+IF(3&lt;=AE165,(AE165-3+3)*(INDEX(Reference!$B$6:$B$11,MIN(5,MATCH(MAX(Reference!$A$6,MIN(Reference!$A$11,MIN(D165,150))),Reference!$A$6:$A$11,1)))+(MAX(Reference!$A$6,MIN(Reference!$A$11,MIN(D165,150)))-INDEX(Reference!$A$6:$A$11,MIN(5,MATCH(MAX(Reference!$A$6,MIN(Reference!$A$11,MIN(D165,150))),Reference!$A$6:$A$11,1))))*(INDEX(Reference!$B$6:$B$11,MIN(5,MATCH(MAX(Reference!$A$6,MIN(Reference!$A$11,MIN(D165,150))),Reference!$A$6:$A$11,1))+1)-INDEX(Reference!$B$6:$B$11,MIN(5,MATCH(MAX(Reference!$A$6,MIN(Reference!$A$11,MIN(D165,150))),Reference!$A$6:$A$11,1))))/(INDEX(Reference!$A$6:$A$11,MIN(5,MATCH(MAX(Reference!$A$6,MIN(Reference!$A$11,MIN(D165,150))),Reference!$A$6:$A$11,1))+1)-INDEX(Reference!$A$6:$A$11,MIN(5,MATCH(MAX(Reference!$A$6,MIN(Reference!$A$11,MIN(D165,150))),Reference!$A$6:$A$11,1))))),0)+IF(4&lt;=AE165,(AE165-4+3)*(INDEX(Reference!$B$6:$B$11,MIN(5,MATCH(MAX(Reference!$A$6,MIN(Reference!$A$11,MIN(D165,180))),Reference!$A$6:$A$11,1)))+(MAX(Reference!$A$6,MIN(Reference!$A$11,MIN(D165,180)))-INDEX(Reference!$A$6:$A$11,MIN(5,MATCH(MAX(Reference!$A$6,MIN(Reference!$A$11,MIN(D165,180))),Reference!$A$6:$A$11,1))))*(INDEX(Reference!$B$6:$B$11,MIN(5,MATCH(MAX(Reference!$A$6,MIN(Reference!$A$11,MIN(D165,180))),Reference!$A$6:$A$11,1))+1)-INDEX(Reference!$B$6:$B$11,MIN(5,MATCH(MAX(Reference!$A$6,MIN(Reference!$A$11,MIN(D165,180))),Reference!$A$6:$A$11,1))))/(INDEX(Reference!$A$6:$A$11,MIN(5,MATCH(MAX(Reference!$A$6,MIN(Reference!$A$11,MIN(D165,180))),Reference!$A$6:$A$11,1))+1)-INDEX(Reference!$A$6:$A$11,MIN(5,MATCH(MAX(Reference!$A$6,MIN(Reference!$A$11,MIN(D165,180))),Reference!$A$6:$A$11,1))))),0)+IF(5&lt;=AE165,(AE165-5+3)*(INDEX(Reference!$B$6:$B$11,MIN(5,MATCH(MAX(Reference!$A$6,MIN(Reference!$A$11,MIN(D165,210))),Reference!$A$6:$A$11,1)))+(MAX(Reference!$A$6,MIN(Reference!$A$11,MIN(D165,210)))-INDEX(Reference!$A$6:$A$11,MIN(5,MATCH(MAX(Reference!$A$6,MIN(Reference!$A$11,MIN(D165,210))),Reference!$A$6:$A$11,1))))*(INDEX(Reference!$B$6:$B$11,MIN(5,MATCH(MAX(Reference!$A$6,MIN(Reference!$A$11,MIN(D165,210))),Reference!$A$6:$A$11,1))+1)-INDEX(Reference!$B$6:$B$11,MIN(5,MATCH(MAX(Reference!$A$6,MIN(Reference!$A$11,MIN(D165,210))),Reference!$A$6:$A$11,1))))/(INDEX(Reference!$A$6:$A$11,MIN(5,MATCH(MAX(Reference!$A$6,MIN(Reference!$A$11,MIN(D165,210))),Reference!$A$6:$A$11,1))+1)-INDEX(Reference!$A$6:$A$11,MIN(5,MATCH(MAX(Reference!$A$6,MIN(Reference!$A$11,MIN(D165,210))),Reference!$A$6:$A$11,1))))),0)+IF(6&lt;=AE165,(AE165-6+3)*(INDEX(Reference!$B$6:$B$11,MIN(5,MATCH(MAX(Reference!$A$6,MIN(Reference!$A$11,MIN(D165,240))),Reference!$A$6:$A$11,1)))+(MAX(Reference!$A$6,MIN(Reference!$A$11,MIN(D165,240)))-INDEX(Reference!$A$6:$A$11,MIN(5,MATCH(MAX(Reference!$A$6,MIN(Reference!$A$11,MIN(D165,240))),Reference!$A$6:$A$11,1))))*(INDEX(Reference!$B$6:$B$11,MIN(5,MATCH(MAX(Reference!$A$6,MIN(Reference!$A$11,MIN(D165,240))),Reference!$A$6:$A$11,1))+1)-INDEX(Reference!$B$6:$B$11,MIN(5,MATCH(MAX(Reference!$A$6,MIN(Reference!$A$11,MIN(D165,240))),Reference!$A$6:$A$11,1))))/(INDEX(Reference!$A$6:$A$11,MIN(5,MATCH(MAX(Reference!$A$6,MIN(Reference!$A$11,MIN(D165,240))),Reference!$A$6:$A$11,1))+1)-INDEX(Reference!$A$6:$A$11,MIN(5,MATCH(MAX(Reference!$A$6,MIN(Reference!$A$11,MIN(D165,240))),Reference!$A$6:$A$11,1))))),0)+IF(7&lt;=AE165,(AE165-7+3)*(INDEX(Reference!$B$6:$B$11,MIN(5,MATCH(MAX(Reference!$A$6,MIN(Reference!$A$11,MIN(D165,270))),Reference!$A$6:$A$11,1)))+(MAX(Reference!$A$6,MIN(Reference!$A$11,MIN(D165,270)))-INDEX(Reference!$A$6:$A$11,MIN(5,MATCH(MAX(Reference!$A$6,MIN(Reference!$A$11,MIN(D165,270))),Reference!$A$6:$A$11,1))))*(INDEX(Reference!$B$6:$B$11,MIN(5,MATCH(MAX(Reference!$A$6,MIN(Reference!$A$11,MIN(D165,270))),Reference!$A$6:$A$11,1))+1)-INDEX(Reference!$B$6:$B$11,MIN(5,MATCH(MAX(Reference!$A$6,MIN(Reference!$A$11,MIN(D165,270))),Reference!$A$6:$A$11,1))))/(INDEX(Reference!$A$6:$A$11,MIN(5,MATCH(MAX(Reference!$A$6,MIN(Reference!$A$11,MIN(D165,270))),Reference!$A$6:$A$11,1))+1)-INDEX(Reference!$A$6:$A$11,MIN(5,MATCH(MAX(Reference!$A$6,MIN(Reference!$A$11,MIN(D165,270))),Reference!$A$6:$A$11,1))))),0)+IF(8&lt;=AE165,(AE165-8+3)*(INDEX(Reference!$B$6:$B$11,MIN(5,MATCH(MAX(Reference!$A$6,MIN(Reference!$A$11,MIN(D165,300))),Reference!$A$6:$A$11,1)))+(MAX(Reference!$A$6,MIN(Reference!$A$11,MIN(D165,300)))-INDEX(Reference!$A$6:$A$11,MIN(5,MATCH(MAX(Reference!$A$6,MIN(Reference!$A$11,MIN(D165,300))),Reference!$A$6:$A$11,1))))*(INDEX(Reference!$B$6:$B$11,MIN(5,MATCH(MAX(Reference!$A$6,MIN(Reference!$A$11,MIN(D165,300))),Reference!$A$6:$A$11,1))+1)-INDEX(Reference!$B$6:$B$11,MIN(5,MATCH(MAX(Reference!$A$6,MIN(Reference!$A$11,MIN(D165,300))),Reference!$A$6:$A$11,1))))/(INDEX(Reference!$A$6:$A$11,MIN(5,MATCH(MAX(Reference!$A$6,MIN(Reference!$A$11,MIN(D165,300))),Reference!$A$6:$A$11,1))+1)-INDEX(Reference!$A$6:$A$11,MIN(5,MATCH(MAX(Reference!$A$6,MIN(Reference!$A$11,MIN(D165,300))),Reference!$A$6:$A$11,1))))),0))/(AE165*(AE165+5)/2)),(INDEX(Reference!$B$6:$B$11,MIN(5,MATCH(MAX(Reference!$A$6,MIN(Reference!$A$11,D165)),Reference!$A$6:$A$11,1)))+(MAX(Reference!$A$6,MIN(Reference!$A$11,D165))-INDEX(Reference!$A$6:$A$11,MIN(5,MATCH(MAX(Reference!$A$6,MIN(Reference!$A$11,D165)),Reference!$A$6:$A$11,1))))*(INDEX(Reference!$B$6:$B$11,MIN(5,MATCH(MAX(Reference!$A$6,MIN(Reference!$A$11,D165)),Reference!$A$6:$A$11,1))+1)-INDEX(Reference!$B$6:$B$11,MIN(5,MATCH(MAX(Reference!$A$6,MIN(Reference!$A$11,D165)),Reference!$A$6:$A$11,1))))/(INDEX(Reference!$A$6:$A$11,MIN(5,MATCH(MAX(Reference!$A$6,MIN(Reference!$A$11,D165)),Reference!$A$6:$A$11,1))+1)-INDEX(Reference!$A$6:$A$11,MIN(5,MATCH(MAX(Reference!$A$6,MIN(Reference!$A$11,D165)),Reference!$A$6:$A$11,1))))))))</f>
        <v/>
      </c>
      <c r="P165" s="32" t="str">
        <f>IF(N165="","",VLOOKUP(MAX(N165,0),Reference!$A$17:$B$20,2,TRUE()))</f>
        <v/>
      </c>
      <c r="Q165" s="32" t="str">
        <f t="shared" si="21"/>
        <v/>
      </c>
      <c r="R165" s="31"/>
      <c r="S165" s="31"/>
      <c r="T165" s="31"/>
      <c r="U165" s="32" t="str">
        <f t="shared" si="22"/>
        <v/>
      </c>
      <c r="V165" s="32" t="str">
        <f t="shared" si="23"/>
        <v/>
      </c>
      <c r="W165" s="32" t="str">
        <f>IF(V165="","",VLOOKUP(MAX(V165,0),Reference!$A$17:$B$20,2,TRUE()))</f>
        <v/>
      </c>
      <c r="X165" s="31"/>
      <c r="Y165" s="31"/>
      <c r="Z165" s="31"/>
      <c r="AA165" s="32" t="str">
        <f t="shared" si="24"/>
        <v/>
      </c>
      <c r="AB165" s="32" t="str">
        <f t="shared" si="25"/>
        <v/>
      </c>
      <c r="AC165" s="32" t="str">
        <f>IF(AB165="","",VLOOKUP(MAX(AB165,0),Reference!$A$17:$B$20,2,TRUE()))</f>
        <v/>
      </c>
      <c r="AD165" s="31"/>
      <c r="AE165">
        <f t="shared" si="26"/>
        <v>1</v>
      </c>
      <c r="AF165" s="33" t="str">
        <f>IF(OR(A165="",B165="",AND(C165&lt;&gt;"Bullpen",C165&lt;&gt;"Game")),"",IF((COUNTIFS($B$5:$B$300,B165,$A$5:$A$300,A165-1,$C$5:$C$300,"Bullpen",$AG$5:$AG$300,"&gt;0") + COUNTIFS($B$5:$B$300,B165,$A$5:$A$300,A165-1,$C$5:$C$300,"Game",$AG$5:$AG$300,"&gt;0"))&gt;0,Reference!$B$119,IF((COUNTIFS($B$5:$B$300,B165,$A$5:$A$300,A165-2,$C$5:$C$300,"Bullpen",$AG$5:$AG$300,"&gt;0") + COUNTIFS($B$5:$B$300,B165,$A$5:$A$300,A165-2,$C$5:$C$300,"Game",$AG$5:$AG$300,"&gt;0"))&gt;0,Reference!$B$120,1)))</f>
        <v/>
      </c>
      <c r="AG165" s="30" t="str">
        <f>IF(AND(OR(I165="",O165="",P165=""),OR(R165="",W165=""),OR(X165="",AC165="")),"",IF(OR(I165="",O165="",P165=""),0,I165*O165*P165)+IF(OR(R165="",W165=""),0,R165*IFERROR(INDEX(Reference!$B$61:$B$62,MATCH("Bullpen",Reference!$A$61:$A$62,0)),0)*W165)+IF(OR(X165="",AC165=""),0,X165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165))</f>
        <v/>
      </c>
    </row>
    <row r="166" spans="1:33" x14ac:dyDescent="0.3">
      <c r="A166" s="35"/>
      <c r="B166" s="31"/>
      <c r="C166" s="31"/>
      <c r="D166" s="31"/>
      <c r="E166" s="34"/>
      <c r="F166" s="34"/>
      <c r="G166" s="30" t="str">
        <f t="shared" si="18"/>
        <v/>
      </c>
      <c r="H166" s="31"/>
      <c r="I166" s="32" t="str">
        <f>IF(H166&lt;&gt;"",H166,IF(G166="","",ROUND(G166*IFERROR(INDEX(Reference!$B$44:$B$50,MATCH(C166,Reference!$A$44:$A$50,0)),0),0)))</f>
        <v/>
      </c>
      <c r="J166" s="31"/>
      <c r="K166" s="31"/>
      <c r="L166" s="32" t="str">
        <f t="shared" si="19"/>
        <v/>
      </c>
      <c r="M166" s="32" t="str">
        <f>IFERROR(INDEX(Roster!$D$5:$D$40,MATCH(B166,Roster!$A$5:$A$40,0)),"")</f>
        <v/>
      </c>
      <c r="N166" s="32" t="str">
        <f t="shared" si="20"/>
        <v/>
      </c>
      <c r="O166" s="32" t="str">
        <f>IF(OR(C166="Bullpen",C166="Game"),IFERROR(INDEX(Reference!$B$61:$B$62,MATCH(C166,Reference!$A$61:$A$62,0)),""),IF(D166="","",IF(AE166&gt;1,((IF(1&lt;=AE166,(AE166-1+3)*(INDEX(Reference!$B$6:$B$11,MIN(5,MATCH(MAX(Reference!$A$6,MIN(Reference!$A$11,MIN(D166,90))),Reference!$A$6:$A$11,1)))+(MAX(Reference!$A$6,MIN(Reference!$A$11,MIN(D166,90)))-INDEX(Reference!$A$6:$A$11,MIN(5,MATCH(MAX(Reference!$A$6,MIN(Reference!$A$11,MIN(D166,90))),Reference!$A$6:$A$11,1))))*(INDEX(Reference!$B$6:$B$11,MIN(5,MATCH(MAX(Reference!$A$6,MIN(Reference!$A$11,MIN(D166,90))),Reference!$A$6:$A$11,1))+1)-INDEX(Reference!$B$6:$B$11,MIN(5,MATCH(MAX(Reference!$A$6,MIN(Reference!$A$11,MIN(D166,90))),Reference!$A$6:$A$11,1))))/(INDEX(Reference!$A$6:$A$11,MIN(5,MATCH(MAX(Reference!$A$6,MIN(Reference!$A$11,MIN(D166,90))),Reference!$A$6:$A$11,1))+1)-INDEX(Reference!$A$6:$A$11,MIN(5,MATCH(MAX(Reference!$A$6,MIN(Reference!$A$11,MIN(D166,90))),Reference!$A$6:$A$11,1))))),0)+IF(2&lt;=AE166,(AE166-2+3)*(INDEX(Reference!$B$6:$B$11,MIN(5,MATCH(MAX(Reference!$A$6,MIN(Reference!$A$11,MIN(D166,120))),Reference!$A$6:$A$11,1)))+(MAX(Reference!$A$6,MIN(Reference!$A$11,MIN(D166,120)))-INDEX(Reference!$A$6:$A$11,MIN(5,MATCH(MAX(Reference!$A$6,MIN(Reference!$A$11,MIN(D166,120))),Reference!$A$6:$A$11,1))))*(INDEX(Reference!$B$6:$B$11,MIN(5,MATCH(MAX(Reference!$A$6,MIN(Reference!$A$11,MIN(D166,120))),Reference!$A$6:$A$11,1))+1)-INDEX(Reference!$B$6:$B$11,MIN(5,MATCH(MAX(Reference!$A$6,MIN(Reference!$A$11,MIN(D166,120))),Reference!$A$6:$A$11,1))))/(INDEX(Reference!$A$6:$A$11,MIN(5,MATCH(MAX(Reference!$A$6,MIN(Reference!$A$11,MIN(D166,120))),Reference!$A$6:$A$11,1))+1)-INDEX(Reference!$A$6:$A$11,MIN(5,MATCH(MAX(Reference!$A$6,MIN(Reference!$A$11,MIN(D166,120))),Reference!$A$6:$A$11,1))))),0)+IF(3&lt;=AE166,(AE166-3+3)*(INDEX(Reference!$B$6:$B$11,MIN(5,MATCH(MAX(Reference!$A$6,MIN(Reference!$A$11,MIN(D166,150))),Reference!$A$6:$A$11,1)))+(MAX(Reference!$A$6,MIN(Reference!$A$11,MIN(D166,150)))-INDEX(Reference!$A$6:$A$11,MIN(5,MATCH(MAX(Reference!$A$6,MIN(Reference!$A$11,MIN(D166,150))),Reference!$A$6:$A$11,1))))*(INDEX(Reference!$B$6:$B$11,MIN(5,MATCH(MAX(Reference!$A$6,MIN(Reference!$A$11,MIN(D166,150))),Reference!$A$6:$A$11,1))+1)-INDEX(Reference!$B$6:$B$11,MIN(5,MATCH(MAX(Reference!$A$6,MIN(Reference!$A$11,MIN(D166,150))),Reference!$A$6:$A$11,1))))/(INDEX(Reference!$A$6:$A$11,MIN(5,MATCH(MAX(Reference!$A$6,MIN(Reference!$A$11,MIN(D166,150))),Reference!$A$6:$A$11,1))+1)-INDEX(Reference!$A$6:$A$11,MIN(5,MATCH(MAX(Reference!$A$6,MIN(Reference!$A$11,MIN(D166,150))),Reference!$A$6:$A$11,1))))),0)+IF(4&lt;=AE166,(AE166-4+3)*(INDEX(Reference!$B$6:$B$11,MIN(5,MATCH(MAX(Reference!$A$6,MIN(Reference!$A$11,MIN(D166,180))),Reference!$A$6:$A$11,1)))+(MAX(Reference!$A$6,MIN(Reference!$A$11,MIN(D166,180)))-INDEX(Reference!$A$6:$A$11,MIN(5,MATCH(MAX(Reference!$A$6,MIN(Reference!$A$11,MIN(D166,180))),Reference!$A$6:$A$11,1))))*(INDEX(Reference!$B$6:$B$11,MIN(5,MATCH(MAX(Reference!$A$6,MIN(Reference!$A$11,MIN(D166,180))),Reference!$A$6:$A$11,1))+1)-INDEX(Reference!$B$6:$B$11,MIN(5,MATCH(MAX(Reference!$A$6,MIN(Reference!$A$11,MIN(D166,180))),Reference!$A$6:$A$11,1))))/(INDEX(Reference!$A$6:$A$11,MIN(5,MATCH(MAX(Reference!$A$6,MIN(Reference!$A$11,MIN(D166,180))),Reference!$A$6:$A$11,1))+1)-INDEX(Reference!$A$6:$A$11,MIN(5,MATCH(MAX(Reference!$A$6,MIN(Reference!$A$11,MIN(D166,180))),Reference!$A$6:$A$11,1))))),0)+IF(5&lt;=AE166,(AE166-5+3)*(INDEX(Reference!$B$6:$B$11,MIN(5,MATCH(MAX(Reference!$A$6,MIN(Reference!$A$11,MIN(D166,210))),Reference!$A$6:$A$11,1)))+(MAX(Reference!$A$6,MIN(Reference!$A$11,MIN(D166,210)))-INDEX(Reference!$A$6:$A$11,MIN(5,MATCH(MAX(Reference!$A$6,MIN(Reference!$A$11,MIN(D166,210))),Reference!$A$6:$A$11,1))))*(INDEX(Reference!$B$6:$B$11,MIN(5,MATCH(MAX(Reference!$A$6,MIN(Reference!$A$11,MIN(D166,210))),Reference!$A$6:$A$11,1))+1)-INDEX(Reference!$B$6:$B$11,MIN(5,MATCH(MAX(Reference!$A$6,MIN(Reference!$A$11,MIN(D166,210))),Reference!$A$6:$A$11,1))))/(INDEX(Reference!$A$6:$A$11,MIN(5,MATCH(MAX(Reference!$A$6,MIN(Reference!$A$11,MIN(D166,210))),Reference!$A$6:$A$11,1))+1)-INDEX(Reference!$A$6:$A$11,MIN(5,MATCH(MAX(Reference!$A$6,MIN(Reference!$A$11,MIN(D166,210))),Reference!$A$6:$A$11,1))))),0)+IF(6&lt;=AE166,(AE166-6+3)*(INDEX(Reference!$B$6:$B$11,MIN(5,MATCH(MAX(Reference!$A$6,MIN(Reference!$A$11,MIN(D166,240))),Reference!$A$6:$A$11,1)))+(MAX(Reference!$A$6,MIN(Reference!$A$11,MIN(D166,240)))-INDEX(Reference!$A$6:$A$11,MIN(5,MATCH(MAX(Reference!$A$6,MIN(Reference!$A$11,MIN(D166,240))),Reference!$A$6:$A$11,1))))*(INDEX(Reference!$B$6:$B$11,MIN(5,MATCH(MAX(Reference!$A$6,MIN(Reference!$A$11,MIN(D166,240))),Reference!$A$6:$A$11,1))+1)-INDEX(Reference!$B$6:$B$11,MIN(5,MATCH(MAX(Reference!$A$6,MIN(Reference!$A$11,MIN(D166,240))),Reference!$A$6:$A$11,1))))/(INDEX(Reference!$A$6:$A$11,MIN(5,MATCH(MAX(Reference!$A$6,MIN(Reference!$A$11,MIN(D166,240))),Reference!$A$6:$A$11,1))+1)-INDEX(Reference!$A$6:$A$11,MIN(5,MATCH(MAX(Reference!$A$6,MIN(Reference!$A$11,MIN(D166,240))),Reference!$A$6:$A$11,1))))),0)+IF(7&lt;=AE166,(AE166-7+3)*(INDEX(Reference!$B$6:$B$11,MIN(5,MATCH(MAX(Reference!$A$6,MIN(Reference!$A$11,MIN(D166,270))),Reference!$A$6:$A$11,1)))+(MAX(Reference!$A$6,MIN(Reference!$A$11,MIN(D166,270)))-INDEX(Reference!$A$6:$A$11,MIN(5,MATCH(MAX(Reference!$A$6,MIN(Reference!$A$11,MIN(D166,270))),Reference!$A$6:$A$11,1))))*(INDEX(Reference!$B$6:$B$11,MIN(5,MATCH(MAX(Reference!$A$6,MIN(Reference!$A$11,MIN(D166,270))),Reference!$A$6:$A$11,1))+1)-INDEX(Reference!$B$6:$B$11,MIN(5,MATCH(MAX(Reference!$A$6,MIN(Reference!$A$11,MIN(D166,270))),Reference!$A$6:$A$11,1))))/(INDEX(Reference!$A$6:$A$11,MIN(5,MATCH(MAX(Reference!$A$6,MIN(Reference!$A$11,MIN(D166,270))),Reference!$A$6:$A$11,1))+1)-INDEX(Reference!$A$6:$A$11,MIN(5,MATCH(MAX(Reference!$A$6,MIN(Reference!$A$11,MIN(D166,270))),Reference!$A$6:$A$11,1))))),0)+IF(8&lt;=AE166,(AE166-8+3)*(INDEX(Reference!$B$6:$B$11,MIN(5,MATCH(MAX(Reference!$A$6,MIN(Reference!$A$11,MIN(D166,300))),Reference!$A$6:$A$11,1)))+(MAX(Reference!$A$6,MIN(Reference!$A$11,MIN(D166,300)))-INDEX(Reference!$A$6:$A$11,MIN(5,MATCH(MAX(Reference!$A$6,MIN(Reference!$A$11,MIN(D166,300))),Reference!$A$6:$A$11,1))))*(INDEX(Reference!$B$6:$B$11,MIN(5,MATCH(MAX(Reference!$A$6,MIN(Reference!$A$11,MIN(D166,300))),Reference!$A$6:$A$11,1))+1)-INDEX(Reference!$B$6:$B$11,MIN(5,MATCH(MAX(Reference!$A$6,MIN(Reference!$A$11,MIN(D166,300))),Reference!$A$6:$A$11,1))))/(INDEX(Reference!$A$6:$A$11,MIN(5,MATCH(MAX(Reference!$A$6,MIN(Reference!$A$11,MIN(D166,300))),Reference!$A$6:$A$11,1))+1)-INDEX(Reference!$A$6:$A$11,MIN(5,MATCH(MAX(Reference!$A$6,MIN(Reference!$A$11,MIN(D166,300))),Reference!$A$6:$A$11,1))))),0))/(AE166*(AE166+5)/2)),(INDEX(Reference!$B$6:$B$11,MIN(5,MATCH(MAX(Reference!$A$6,MIN(Reference!$A$11,D166)),Reference!$A$6:$A$11,1)))+(MAX(Reference!$A$6,MIN(Reference!$A$11,D166))-INDEX(Reference!$A$6:$A$11,MIN(5,MATCH(MAX(Reference!$A$6,MIN(Reference!$A$11,D166)),Reference!$A$6:$A$11,1))))*(INDEX(Reference!$B$6:$B$11,MIN(5,MATCH(MAX(Reference!$A$6,MIN(Reference!$A$11,D166)),Reference!$A$6:$A$11,1))+1)-INDEX(Reference!$B$6:$B$11,MIN(5,MATCH(MAX(Reference!$A$6,MIN(Reference!$A$11,D166)),Reference!$A$6:$A$11,1))))/(INDEX(Reference!$A$6:$A$11,MIN(5,MATCH(MAX(Reference!$A$6,MIN(Reference!$A$11,D166)),Reference!$A$6:$A$11,1))+1)-INDEX(Reference!$A$6:$A$11,MIN(5,MATCH(MAX(Reference!$A$6,MIN(Reference!$A$11,D166)),Reference!$A$6:$A$11,1))))))))</f>
        <v/>
      </c>
      <c r="P166" s="32" t="str">
        <f>IF(N166="","",VLOOKUP(MAX(N166,0),Reference!$A$17:$B$20,2,TRUE()))</f>
        <v/>
      </c>
      <c r="Q166" s="32" t="str">
        <f t="shared" si="21"/>
        <v/>
      </c>
      <c r="R166" s="31"/>
      <c r="S166" s="31"/>
      <c r="T166" s="31"/>
      <c r="U166" s="32" t="str">
        <f t="shared" si="22"/>
        <v/>
      </c>
      <c r="V166" s="32" t="str">
        <f t="shared" si="23"/>
        <v/>
      </c>
      <c r="W166" s="32" t="str">
        <f>IF(V166="","",VLOOKUP(MAX(V166,0),Reference!$A$17:$B$20,2,TRUE()))</f>
        <v/>
      </c>
      <c r="X166" s="31"/>
      <c r="Y166" s="31"/>
      <c r="Z166" s="31"/>
      <c r="AA166" s="32" t="str">
        <f t="shared" si="24"/>
        <v/>
      </c>
      <c r="AB166" s="32" t="str">
        <f t="shared" si="25"/>
        <v/>
      </c>
      <c r="AC166" s="32" t="str">
        <f>IF(AB166="","",VLOOKUP(MAX(AB166,0),Reference!$A$17:$B$20,2,TRUE()))</f>
        <v/>
      </c>
      <c r="AD166" s="31"/>
      <c r="AE166">
        <f t="shared" si="26"/>
        <v>1</v>
      </c>
      <c r="AF166" s="33" t="str">
        <f>IF(OR(A166="",B166="",AND(C166&lt;&gt;"Bullpen",C166&lt;&gt;"Game")),"",IF((COUNTIFS($B$5:$B$300,B166,$A$5:$A$300,A166-1,$C$5:$C$300,"Bullpen",$AG$5:$AG$300,"&gt;0") + COUNTIFS($B$5:$B$300,B166,$A$5:$A$300,A166-1,$C$5:$C$300,"Game",$AG$5:$AG$300,"&gt;0"))&gt;0,Reference!$B$119,IF((COUNTIFS($B$5:$B$300,B166,$A$5:$A$300,A166-2,$C$5:$C$300,"Bullpen",$AG$5:$AG$300,"&gt;0") + COUNTIFS($B$5:$B$300,B166,$A$5:$A$300,A166-2,$C$5:$C$300,"Game",$AG$5:$AG$300,"&gt;0"))&gt;0,Reference!$B$120,1)))</f>
        <v/>
      </c>
      <c r="AG166" s="30" t="str">
        <f>IF(AND(OR(I166="",O166="",P166=""),OR(R166="",W166=""),OR(X166="",AC166="")),"",IF(OR(I166="",O166="",P166=""),0,I166*O166*P166)+IF(OR(R166="",W166=""),0,R166*IFERROR(INDEX(Reference!$B$61:$B$62,MATCH("Bullpen",Reference!$A$61:$A$62,0)),0)*W166)+IF(OR(X166="",AC166=""),0,X166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166))</f>
        <v/>
      </c>
    </row>
    <row r="167" spans="1:33" x14ac:dyDescent="0.3">
      <c r="A167" s="35"/>
      <c r="B167" s="31"/>
      <c r="C167" s="31"/>
      <c r="D167" s="31"/>
      <c r="E167" s="34"/>
      <c r="F167" s="34"/>
      <c r="G167" s="30" t="str">
        <f t="shared" si="18"/>
        <v/>
      </c>
      <c r="H167" s="31"/>
      <c r="I167" s="32" t="str">
        <f>IF(H167&lt;&gt;"",H167,IF(G167="","",ROUND(G167*IFERROR(INDEX(Reference!$B$44:$B$50,MATCH(C167,Reference!$A$44:$A$50,0)),0),0)))</f>
        <v/>
      </c>
      <c r="J167" s="31"/>
      <c r="K167" s="31"/>
      <c r="L167" s="32" t="str">
        <f t="shared" si="19"/>
        <v/>
      </c>
      <c r="M167" s="32" t="str">
        <f>IFERROR(INDEX(Roster!$D$5:$D$40,MATCH(B167,Roster!$A$5:$A$40,0)),"")</f>
        <v/>
      </c>
      <c r="N167" s="32" t="str">
        <f t="shared" si="20"/>
        <v/>
      </c>
      <c r="O167" s="32" t="str">
        <f>IF(OR(C167="Bullpen",C167="Game"),IFERROR(INDEX(Reference!$B$61:$B$62,MATCH(C167,Reference!$A$61:$A$62,0)),""),IF(D167="","",IF(AE167&gt;1,((IF(1&lt;=AE167,(AE167-1+3)*(INDEX(Reference!$B$6:$B$11,MIN(5,MATCH(MAX(Reference!$A$6,MIN(Reference!$A$11,MIN(D167,90))),Reference!$A$6:$A$11,1)))+(MAX(Reference!$A$6,MIN(Reference!$A$11,MIN(D167,90)))-INDEX(Reference!$A$6:$A$11,MIN(5,MATCH(MAX(Reference!$A$6,MIN(Reference!$A$11,MIN(D167,90))),Reference!$A$6:$A$11,1))))*(INDEX(Reference!$B$6:$B$11,MIN(5,MATCH(MAX(Reference!$A$6,MIN(Reference!$A$11,MIN(D167,90))),Reference!$A$6:$A$11,1))+1)-INDEX(Reference!$B$6:$B$11,MIN(5,MATCH(MAX(Reference!$A$6,MIN(Reference!$A$11,MIN(D167,90))),Reference!$A$6:$A$11,1))))/(INDEX(Reference!$A$6:$A$11,MIN(5,MATCH(MAX(Reference!$A$6,MIN(Reference!$A$11,MIN(D167,90))),Reference!$A$6:$A$11,1))+1)-INDEX(Reference!$A$6:$A$11,MIN(5,MATCH(MAX(Reference!$A$6,MIN(Reference!$A$11,MIN(D167,90))),Reference!$A$6:$A$11,1))))),0)+IF(2&lt;=AE167,(AE167-2+3)*(INDEX(Reference!$B$6:$B$11,MIN(5,MATCH(MAX(Reference!$A$6,MIN(Reference!$A$11,MIN(D167,120))),Reference!$A$6:$A$11,1)))+(MAX(Reference!$A$6,MIN(Reference!$A$11,MIN(D167,120)))-INDEX(Reference!$A$6:$A$11,MIN(5,MATCH(MAX(Reference!$A$6,MIN(Reference!$A$11,MIN(D167,120))),Reference!$A$6:$A$11,1))))*(INDEX(Reference!$B$6:$B$11,MIN(5,MATCH(MAX(Reference!$A$6,MIN(Reference!$A$11,MIN(D167,120))),Reference!$A$6:$A$11,1))+1)-INDEX(Reference!$B$6:$B$11,MIN(5,MATCH(MAX(Reference!$A$6,MIN(Reference!$A$11,MIN(D167,120))),Reference!$A$6:$A$11,1))))/(INDEX(Reference!$A$6:$A$11,MIN(5,MATCH(MAX(Reference!$A$6,MIN(Reference!$A$11,MIN(D167,120))),Reference!$A$6:$A$11,1))+1)-INDEX(Reference!$A$6:$A$11,MIN(5,MATCH(MAX(Reference!$A$6,MIN(Reference!$A$11,MIN(D167,120))),Reference!$A$6:$A$11,1))))),0)+IF(3&lt;=AE167,(AE167-3+3)*(INDEX(Reference!$B$6:$B$11,MIN(5,MATCH(MAX(Reference!$A$6,MIN(Reference!$A$11,MIN(D167,150))),Reference!$A$6:$A$11,1)))+(MAX(Reference!$A$6,MIN(Reference!$A$11,MIN(D167,150)))-INDEX(Reference!$A$6:$A$11,MIN(5,MATCH(MAX(Reference!$A$6,MIN(Reference!$A$11,MIN(D167,150))),Reference!$A$6:$A$11,1))))*(INDEX(Reference!$B$6:$B$11,MIN(5,MATCH(MAX(Reference!$A$6,MIN(Reference!$A$11,MIN(D167,150))),Reference!$A$6:$A$11,1))+1)-INDEX(Reference!$B$6:$B$11,MIN(5,MATCH(MAX(Reference!$A$6,MIN(Reference!$A$11,MIN(D167,150))),Reference!$A$6:$A$11,1))))/(INDEX(Reference!$A$6:$A$11,MIN(5,MATCH(MAX(Reference!$A$6,MIN(Reference!$A$11,MIN(D167,150))),Reference!$A$6:$A$11,1))+1)-INDEX(Reference!$A$6:$A$11,MIN(5,MATCH(MAX(Reference!$A$6,MIN(Reference!$A$11,MIN(D167,150))),Reference!$A$6:$A$11,1))))),0)+IF(4&lt;=AE167,(AE167-4+3)*(INDEX(Reference!$B$6:$B$11,MIN(5,MATCH(MAX(Reference!$A$6,MIN(Reference!$A$11,MIN(D167,180))),Reference!$A$6:$A$11,1)))+(MAX(Reference!$A$6,MIN(Reference!$A$11,MIN(D167,180)))-INDEX(Reference!$A$6:$A$11,MIN(5,MATCH(MAX(Reference!$A$6,MIN(Reference!$A$11,MIN(D167,180))),Reference!$A$6:$A$11,1))))*(INDEX(Reference!$B$6:$B$11,MIN(5,MATCH(MAX(Reference!$A$6,MIN(Reference!$A$11,MIN(D167,180))),Reference!$A$6:$A$11,1))+1)-INDEX(Reference!$B$6:$B$11,MIN(5,MATCH(MAX(Reference!$A$6,MIN(Reference!$A$11,MIN(D167,180))),Reference!$A$6:$A$11,1))))/(INDEX(Reference!$A$6:$A$11,MIN(5,MATCH(MAX(Reference!$A$6,MIN(Reference!$A$11,MIN(D167,180))),Reference!$A$6:$A$11,1))+1)-INDEX(Reference!$A$6:$A$11,MIN(5,MATCH(MAX(Reference!$A$6,MIN(Reference!$A$11,MIN(D167,180))),Reference!$A$6:$A$11,1))))),0)+IF(5&lt;=AE167,(AE167-5+3)*(INDEX(Reference!$B$6:$B$11,MIN(5,MATCH(MAX(Reference!$A$6,MIN(Reference!$A$11,MIN(D167,210))),Reference!$A$6:$A$11,1)))+(MAX(Reference!$A$6,MIN(Reference!$A$11,MIN(D167,210)))-INDEX(Reference!$A$6:$A$11,MIN(5,MATCH(MAX(Reference!$A$6,MIN(Reference!$A$11,MIN(D167,210))),Reference!$A$6:$A$11,1))))*(INDEX(Reference!$B$6:$B$11,MIN(5,MATCH(MAX(Reference!$A$6,MIN(Reference!$A$11,MIN(D167,210))),Reference!$A$6:$A$11,1))+1)-INDEX(Reference!$B$6:$B$11,MIN(5,MATCH(MAX(Reference!$A$6,MIN(Reference!$A$11,MIN(D167,210))),Reference!$A$6:$A$11,1))))/(INDEX(Reference!$A$6:$A$11,MIN(5,MATCH(MAX(Reference!$A$6,MIN(Reference!$A$11,MIN(D167,210))),Reference!$A$6:$A$11,1))+1)-INDEX(Reference!$A$6:$A$11,MIN(5,MATCH(MAX(Reference!$A$6,MIN(Reference!$A$11,MIN(D167,210))),Reference!$A$6:$A$11,1))))),0)+IF(6&lt;=AE167,(AE167-6+3)*(INDEX(Reference!$B$6:$B$11,MIN(5,MATCH(MAX(Reference!$A$6,MIN(Reference!$A$11,MIN(D167,240))),Reference!$A$6:$A$11,1)))+(MAX(Reference!$A$6,MIN(Reference!$A$11,MIN(D167,240)))-INDEX(Reference!$A$6:$A$11,MIN(5,MATCH(MAX(Reference!$A$6,MIN(Reference!$A$11,MIN(D167,240))),Reference!$A$6:$A$11,1))))*(INDEX(Reference!$B$6:$B$11,MIN(5,MATCH(MAX(Reference!$A$6,MIN(Reference!$A$11,MIN(D167,240))),Reference!$A$6:$A$11,1))+1)-INDEX(Reference!$B$6:$B$11,MIN(5,MATCH(MAX(Reference!$A$6,MIN(Reference!$A$11,MIN(D167,240))),Reference!$A$6:$A$11,1))))/(INDEX(Reference!$A$6:$A$11,MIN(5,MATCH(MAX(Reference!$A$6,MIN(Reference!$A$11,MIN(D167,240))),Reference!$A$6:$A$11,1))+1)-INDEX(Reference!$A$6:$A$11,MIN(5,MATCH(MAX(Reference!$A$6,MIN(Reference!$A$11,MIN(D167,240))),Reference!$A$6:$A$11,1))))),0)+IF(7&lt;=AE167,(AE167-7+3)*(INDEX(Reference!$B$6:$B$11,MIN(5,MATCH(MAX(Reference!$A$6,MIN(Reference!$A$11,MIN(D167,270))),Reference!$A$6:$A$11,1)))+(MAX(Reference!$A$6,MIN(Reference!$A$11,MIN(D167,270)))-INDEX(Reference!$A$6:$A$11,MIN(5,MATCH(MAX(Reference!$A$6,MIN(Reference!$A$11,MIN(D167,270))),Reference!$A$6:$A$11,1))))*(INDEX(Reference!$B$6:$B$11,MIN(5,MATCH(MAX(Reference!$A$6,MIN(Reference!$A$11,MIN(D167,270))),Reference!$A$6:$A$11,1))+1)-INDEX(Reference!$B$6:$B$11,MIN(5,MATCH(MAX(Reference!$A$6,MIN(Reference!$A$11,MIN(D167,270))),Reference!$A$6:$A$11,1))))/(INDEX(Reference!$A$6:$A$11,MIN(5,MATCH(MAX(Reference!$A$6,MIN(Reference!$A$11,MIN(D167,270))),Reference!$A$6:$A$11,1))+1)-INDEX(Reference!$A$6:$A$11,MIN(5,MATCH(MAX(Reference!$A$6,MIN(Reference!$A$11,MIN(D167,270))),Reference!$A$6:$A$11,1))))),0)+IF(8&lt;=AE167,(AE167-8+3)*(INDEX(Reference!$B$6:$B$11,MIN(5,MATCH(MAX(Reference!$A$6,MIN(Reference!$A$11,MIN(D167,300))),Reference!$A$6:$A$11,1)))+(MAX(Reference!$A$6,MIN(Reference!$A$11,MIN(D167,300)))-INDEX(Reference!$A$6:$A$11,MIN(5,MATCH(MAX(Reference!$A$6,MIN(Reference!$A$11,MIN(D167,300))),Reference!$A$6:$A$11,1))))*(INDEX(Reference!$B$6:$B$11,MIN(5,MATCH(MAX(Reference!$A$6,MIN(Reference!$A$11,MIN(D167,300))),Reference!$A$6:$A$11,1))+1)-INDEX(Reference!$B$6:$B$11,MIN(5,MATCH(MAX(Reference!$A$6,MIN(Reference!$A$11,MIN(D167,300))),Reference!$A$6:$A$11,1))))/(INDEX(Reference!$A$6:$A$11,MIN(5,MATCH(MAX(Reference!$A$6,MIN(Reference!$A$11,MIN(D167,300))),Reference!$A$6:$A$11,1))+1)-INDEX(Reference!$A$6:$A$11,MIN(5,MATCH(MAX(Reference!$A$6,MIN(Reference!$A$11,MIN(D167,300))),Reference!$A$6:$A$11,1))))),0))/(AE167*(AE167+5)/2)),(INDEX(Reference!$B$6:$B$11,MIN(5,MATCH(MAX(Reference!$A$6,MIN(Reference!$A$11,D167)),Reference!$A$6:$A$11,1)))+(MAX(Reference!$A$6,MIN(Reference!$A$11,D167))-INDEX(Reference!$A$6:$A$11,MIN(5,MATCH(MAX(Reference!$A$6,MIN(Reference!$A$11,D167)),Reference!$A$6:$A$11,1))))*(INDEX(Reference!$B$6:$B$11,MIN(5,MATCH(MAX(Reference!$A$6,MIN(Reference!$A$11,D167)),Reference!$A$6:$A$11,1))+1)-INDEX(Reference!$B$6:$B$11,MIN(5,MATCH(MAX(Reference!$A$6,MIN(Reference!$A$11,D167)),Reference!$A$6:$A$11,1))))/(INDEX(Reference!$A$6:$A$11,MIN(5,MATCH(MAX(Reference!$A$6,MIN(Reference!$A$11,D167)),Reference!$A$6:$A$11,1))+1)-INDEX(Reference!$A$6:$A$11,MIN(5,MATCH(MAX(Reference!$A$6,MIN(Reference!$A$11,D167)),Reference!$A$6:$A$11,1))))))))</f>
        <v/>
      </c>
      <c r="P167" s="32" t="str">
        <f>IF(N167="","",VLOOKUP(MAX(N167,0),Reference!$A$17:$B$20,2,TRUE()))</f>
        <v/>
      </c>
      <c r="Q167" s="32" t="str">
        <f t="shared" si="21"/>
        <v/>
      </c>
      <c r="R167" s="31"/>
      <c r="S167" s="31"/>
      <c r="T167" s="31"/>
      <c r="U167" s="32" t="str">
        <f t="shared" si="22"/>
        <v/>
      </c>
      <c r="V167" s="32" t="str">
        <f t="shared" si="23"/>
        <v/>
      </c>
      <c r="W167" s="32" t="str">
        <f>IF(V167="","",VLOOKUP(MAX(V167,0),Reference!$A$17:$B$20,2,TRUE()))</f>
        <v/>
      </c>
      <c r="X167" s="31"/>
      <c r="Y167" s="31"/>
      <c r="Z167" s="31"/>
      <c r="AA167" s="32" t="str">
        <f t="shared" si="24"/>
        <v/>
      </c>
      <c r="AB167" s="32" t="str">
        <f t="shared" si="25"/>
        <v/>
      </c>
      <c r="AC167" s="32" t="str">
        <f>IF(AB167="","",VLOOKUP(MAX(AB167,0),Reference!$A$17:$B$20,2,TRUE()))</f>
        <v/>
      </c>
      <c r="AD167" s="31"/>
      <c r="AE167">
        <f t="shared" si="26"/>
        <v>1</v>
      </c>
      <c r="AF167" s="33" t="str">
        <f>IF(OR(A167="",B167="",AND(C167&lt;&gt;"Bullpen",C167&lt;&gt;"Game")),"",IF((COUNTIFS($B$5:$B$300,B167,$A$5:$A$300,A167-1,$C$5:$C$300,"Bullpen",$AG$5:$AG$300,"&gt;0") + COUNTIFS($B$5:$B$300,B167,$A$5:$A$300,A167-1,$C$5:$C$300,"Game",$AG$5:$AG$300,"&gt;0"))&gt;0,Reference!$B$119,IF((COUNTIFS($B$5:$B$300,B167,$A$5:$A$300,A167-2,$C$5:$C$300,"Bullpen",$AG$5:$AG$300,"&gt;0") + COUNTIFS($B$5:$B$300,B167,$A$5:$A$300,A167-2,$C$5:$C$300,"Game",$AG$5:$AG$300,"&gt;0"))&gt;0,Reference!$B$120,1)))</f>
        <v/>
      </c>
      <c r="AG167" s="30" t="str">
        <f>IF(AND(OR(I167="",O167="",P167=""),OR(R167="",W167=""),OR(X167="",AC167="")),"",IF(OR(I167="",O167="",P167=""),0,I167*O167*P167)+IF(OR(R167="",W167=""),0,R167*IFERROR(INDEX(Reference!$B$61:$B$62,MATCH("Bullpen",Reference!$A$61:$A$62,0)),0)*W167)+IF(OR(X167="",AC167=""),0,X167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167))</f>
        <v/>
      </c>
    </row>
    <row r="168" spans="1:33" x14ac:dyDescent="0.3">
      <c r="A168" s="35"/>
      <c r="B168" s="31"/>
      <c r="C168" s="31"/>
      <c r="D168" s="31"/>
      <c r="E168" s="34"/>
      <c r="F168" s="34"/>
      <c r="G168" s="30" t="str">
        <f t="shared" si="18"/>
        <v/>
      </c>
      <c r="H168" s="31"/>
      <c r="I168" s="32" t="str">
        <f>IF(H168&lt;&gt;"",H168,IF(G168="","",ROUND(G168*IFERROR(INDEX(Reference!$B$44:$B$50,MATCH(C168,Reference!$A$44:$A$50,0)),0),0)))</f>
        <v/>
      </c>
      <c r="J168" s="31"/>
      <c r="K168" s="31"/>
      <c r="L168" s="32" t="str">
        <f t="shared" si="19"/>
        <v/>
      </c>
      <c r="M168" s="32" t="str">
        <f>IFERROR(INDEX(Roster!$D$5:$D$40,MATCH(B168,Roster!$A$5:$A$40,0)),"")</f>
        <v/>
      </c>
      <c r="N168" s="32" t="str">
        <f t="shared" si="20"/>
        <v/>
      </c>
      <c r="O168" s="32" t="str">
        <f>IF(OR(C168="Bullpen",C168="Game"),IFERROR(INDEX(Reference!$B$61:$B$62,MATCH(C168,Reference!$A$61:$A$62,0)),""),IF(D168="","",IF(AE168&gt;1,((IF(1&lt;=AE168,(AE168-1+3)*(INDEX(Reference!$B$6:$B$11,MIN(5,MATCH(MAX(Reference!$A$6,MIN(Reference!$A$11,MIN(D168,90))),Reference!$A$6:$A$11,1)))+(MAX(Reference!$A$6,MIN(Reference!$A$11,MIN(D168,90)))-INDEX(Reference!$A$6:$A$11,MIN(5,MATCH(MAX(Reference!$A$6,MIN(Reference!$A$11,MIN(D168,90))),Reference!$A$6:$A$11,1))))*(INDEX(Reference!$B$6:$B$11,MIN(5,MATCH(MAX(Reference!$A$6,MIN(Reference!$A$11,MIN(D168,90))),Reference!$A$6:$A$11,1))+1)-INDEX(Reference!$B$6:$B$11,MIN(5,MATCH(MAX(Reference!$A$6,MIN(Reference!$A$11,MIN(D168,90))),Reference!$A$6:$A$11,1))))/(INDEX(Reference!$A$6:$A$11,MIN(5,MATCH(MAX(Reference!$A$6,MIN(Reference!$A$11,MIN(D168,90))),Reference!$A$6:$A$11,1))+1)-INDEX(Reference!$A$6:$A$11,MIN(5,MATCH(MAX(Reference!$A$6,MIN(Reference!$A$11,MIN(D168,90))),Reference!$A$6:$A$11,1))))),0)+IF(2&lt;=AE168,(AE168-2+3)*(INDEX(Reference!$B$6:$B$11,MIN(5,MATCH(MAX(Reference!$A$6,MIN(Reference!$A$11,MIN(D168,120))),Reference!$A$6:$A$11,1)))+(MAX(Reference!$A$6,MIN(Reference!$A$11,MIN(D168,120)))-INDEX(Reference!$A$6:$A$11,MIN(5,MATCH(MAX(Reference!$A$6,MIN(Reference!$A$11,MIN(D168,120))),Reference!$A$6:$A$11,1))))*(INDEX(Reference!$B$6:$B$11,MIN(5,MATCH(MAX(Reference!$A$6,MIN(Reference!$A$11,MIN(D168,120))),Reference!$A$6:$A$11,1))+1)-INDEX(Reference!$B$6:$B$11,MIN(5,MATCH(MAX(Reference!$A$6,MIN(Reference!$A$11,MIN(D168,120))),Reference!$A$6:$A$11,1))))/(INDEX(Reference!$A$6:$A$11,MIN(5,MATCH(MAX(Reference!$A$6,MIN(Reference!$A$11,MIN(D168,120))),Reference!$A$6:$A$11,1))+1)-INDEX(Reference!$A$6:$A$11,MIN(5,MATCH(MAX(Reference!$A$6,MIN(Reference!$A$11,MIN(D168,120))),Reference!$A$6:$A$11,1))))),0)+IF(3&lt;=AE168,(AE168-3+3)*(INDEX(Reference!$B$6:$B$11,MIN(5,MATCH(MAX(Reference!$A$6,MIN(Reference!$A$11,MIN(D168,150))),Reference!$A$6:$A$11,1)))+(MAX(Reference!$A$6,MIN(Reference!$A$11,MIN(D168,150)))-INDEX(Reference!$A$6:$A$11,MIN(5,MATCH(MAX(Reference!$A$6,MIN(Reference!$A$11,MIN(D168,150))),Reference!$A$6:$A$11,1))))*(INDEX(Reference!$B$6:$B$11,MIN(5,MATCH(MAX(Reference!$A$6,MIN(Reference!$A$11,MIN(D168,150))),Reference!$A$6:$A$11,1))+1)-INDEX(Reference!$B$6:$B$11,MIN(5,MATCH(MAX(Reference!$A$6,MIN(Reference!$A$11,MIN(D168,150))),Reference!$A$6:$A$11,1))))/(INDEX(Reference!$A$6:$A$11,MIN(5,MATCH(MAX(Reference!$A$6,MIN(Reference!$A$11,MIN(D168,150))),Reference!$A$6:$A$11,1))+1)-INDEX(Reference!$A$6:$A$11,MIN(5,MATCH(MAX(Reference!$A$6,MIN(Reference!$A$11,MIN(D168,150))),Reference!$A$6:$A$11,1))))),0)+IF(4&lt;=AE168,(AE168-4+3)*(INDEX(Reference!$B$6:$B$11,MIN(5,MATCH(MAX(Reference!$A$6,MIN(Reference!$A$11,MIN(D168,180))),Reference!$A$6:$A$11,1)))+(MAX(Reference!$A$6,MIN(Reference!$A$11,MIN(D168,180)))-INDEX(Reference!$A$6:$A$11,MIN(5,MATCH(MAX(Reference!$A$6,MIN(Reference!$A$11,MIN(D168,180))),Reference!$A$6:$A$11,1))))*(INDEX(Reference!$B$6:$B$11,MIN(5,MATCH(MAX(Reference!$A$6,MIN(Reference!$A$11,MIN(D168,180))),Reference!$A$6:$A$11,1))+1)-INDEX(Reference!$B$6:$B$11,MIN(5,MATCH(MAX(Reference!$A$6,MIN(Reference!$A$11,MIN(D168,180))),Reference!$A$6:$A$11,1))))/(INDEX(Reference!$A$6:$A$11,MIN(5,MATCH(MAX(Reference!$A$6,MIN(Reference!$A$11,MIN(D168,180))),Reference!$A$6:$A$11,1))+1)-INDEX(Reference!$A$6:$A$11,MIN(5,MATCH(MAX(Reference!$A$6,MIN(Reference!$A$11,MIN(D168,180))),Reference!$A$6:$A$11,1))))),0)+IF(5&lt;=AE168,(AE168-5+3)*(INDEX(Reference!$B$6:$B$11,MIN(5,MATCH(MAX(Reference!$A$6,MIN(Reference!$A$11,MIN(D168,210))),Reference!$A$6:$A$11,1)))+(MAX(Reference!$A$6,MIN(Reference!$A$11,MIN(D168,210)))-INDEX(Reference!$A$6:$A$11,MIN(5,MATCH(MAX(Reference!$A$6,MIN(Reference!$A$11,MIN(D168,210))),Reference!$A$6:$A$11,1))))*(INDEX(Reference!$B$6:$B$11,MIN(5,MATCH(MAX(Reference!$A$6,MIN(Reference!$A$11,MIN(D168,210))),Reference!$A$6:$A$11,1))+1)-INDEX(Reference!$B$6:$B$11,MIN(5,MATCH(MAX(Reference!$A$6,MIN(Reference!$A$11,MIN(D168,210))),Reference!$A$6:$A$11,1))))/(INDEX(Reference!$A$6:$A$11,MIN(5,MATCH(MAX(Reference!$A$6,MIN(Reference!$A$11,MIN(D168,210))),Reference!$A$6:$A$11,1))+1)-INDEX(Reference!$A$6:$A$11,MIN(5,MATCH(MAX(Reference!$A$6,MIN(Reference!$A$11,MIN(D168,210))),Reference!$A$6:$A$11,1))))),0)+IF(6&lt;=AE168,(AE168-6+3)*(INDEX(Reference!$B$6:$B$11,MIN(5,MATCH(MAX(Reference!$A$6,MIN(Reference!$A$11,MIN(D168,240))),Reference!$A$6:$A$11,1)))+(MAX(Reference!$A$6,MIN(Reference!$A$11,MIN(D168,240)))-INDEX(Reference!$A$6:$A$11,MIN(5,MATCH(MAX(Reference!$A$6,MIN(Reference!$A$11,MIN(D168,240))),Reference!$A$6:$A$11,1))))*(INDEX(Reference!$B$6:$B$11,MIN(5,MATCH(MAX(Reference!$A$6,MIN(Reference!$A$11,MIN(D168,240))),Reference!$A$6:$A$11,1))+1)-INDEX(Reference!$B$6:$B$11,MIN(5,MATCH(MAX(Reference!$A$6,MIN(Reference!$A$11,MIN(D168,240))),Reference!$A$6:$A$11,1))))/(INDEX(Reference!$A$6:$A$11,MIN(5,MATCH(MAX(Reference!$A$6,MIN(Reference!$A$11,MIN(D168,240))),Reference!$A$6:$A$11,1))+1)-INDEX(Reference!$A$6:$A$11,MIN(5,MATCH(MAX(Reference!$A$6,MIN(Reference!$A$11,MIN(D168,240))),Reference!$A$6:$A$11,1))))),0)+IF(7&lt;=AE168,(AE168-7+3)*(INDEX(Reference!$B$6:$B$11,MIN(5,MATCH(MAX(Reference!$A$6,MIN(Reference!$A$11,MIN(D168,270))),Reference!$A$6:$A$11,1)))+(MAX(Reference!$A$6,MIN(Reference!$A$11,MIN(D168,270)))-INDEX(Reference!$A$6:$A$11,MIN(5,MATCH(MAX(Reference!$A$6,MIN(Reference!$A$11,MIN(D168,270))),Reference!$A$6:$A$11,1))))*(INDEX(Reference!$B$6:$B$11,MIN(5,MATCH(MAX(Reference!$A$6,MIN(Reference!$A$11,MIN(D168,270))),Reference!$A$6:$A$11,1))+1)-INDEX(Reference!$B$6:$B$11,MIN(5,MATCH(MAX(Reference!$A$6,MIN(Reference!$A$11,MIN(D168,270))),Reference!$A$6:$A$11,1))))/(INDEX(Reference!$A$6:$A$11,MIN(5,MATCH(MAX(Reference!$A$6,MIN(Reference!$A$11,MIN(D168,270))),Reference!$A$6:$A$11,1))+1)-INDEX(Reference!$A$6:$A$11,MIN(5,MATCH(MAX(Reference!$A$6,MIN(Reference!$A$11,MIN(D168,270))),Reference!$A$6:$A$11,1))))),0)+IF(8&lt;=AE168,(AE168-8+3)*(INDEX(Reference!$B$6:$B$11,MIN(5,MATCH(MAX(Reference!$A$6,MIN(Reference!$A$11,MIN(D168,300))),Reference!$A$6:$A$11,1)))+(MAX(Reference!$A$6,MIN(Reference!$A$11,MIN(D168,300)))-INDEX(Reference!$A$6:$A$11,MIN(5,MATCH(MAX(Reference!$A$6,MIN(Reference!$A$11,MIN(D168,300))),Reference!$A$6:$A$11,1))))*(INDEX(Reference!$B$6:$B$11,MIN(5,MATCH(MAX(Reference!$A$6,MIN(Reference!$A$11,MIN(D168,300))),Reference!$A$6:$A$11,1))+1)-INDEX(Reference!$B$6:$B$11,MIN(5,MATCH(MAX(Reference!$A$6,MIN(Reference!$A$11,MIN(D168,300))),Reference!$A$6:$A$11,1))))/(INDEX(Reference!$A$6:$A$11,MIN(5,MATCH(MAX(Reference!$A$6,MIN(Reference!$A$11,MIN(D168,300))),Reference!$A$6:$A$11,1))+1)-INDEX(Reference!$A$6:$A$11,MIN(5,MATCH(MAX(Reference!$A$6,MIN(Reference!$A$11,MIN(D168,300))),Reference!$A$6:$A$11,1))))),0))/(AE168*(AE168+5)/2)),(INDEX(Reference!$B$6:$B$11,MIN(5,MATCH(MAX(Reference!$A$6,MIN(Reference!$A$11,D168)),Reference!$A$6:$A$11,1)))+(MAX(Reference!$A$6,MIN(Reference!$A$11,D168))-INDEX(Reference!$A$6:$A$11,MIN(5,MATCH(MAX(Reference!$A$6,MIN(Reference!$A$11,D168)),Reference!$A$6:$A$11,1))))*(INDEX(Reference!$B$6:$B$11,MIN(5,MATCH(MAX(Reference!$A$6,MIN(Reference!$A$11,D168)),Reference!$A$6:$A$11,1))+1)-INDEX(Reference!$B$6:$B$11,MIN(5,MATCH(MAX(Reference!$A$6,MIN(Reference!$A$11,D168)),Reference!$A$6:$A$11,1))))/(INDEX(Reference!$A$6:$A$11,MIN(5,MATCH(MAX(Reference!$A$6,MIN(Reference!$A$11,D168)),Reference!$A$6:$A$11,1))+1)-INDEX(Reference!$A$6:$A$11,MIN(5,MATCH(MAX(Reference!$A$6,MIN(Reference!$A$11,D168)),Reference!$A$6:$A$11,1))))))))</f>
        <v/>
      </c>
      <c r="P168" s="32" t="str">
        <f>IF(N168="","",VLOOKUP(MAX(N168,0),Reference!$A$17:$B$20,2,TRUE()))</f>
        <v/>
      </c>
      <c r="Q168" s="32" t="str">
        <f t="shared" si="21"/>
        <v/>
      </c>
      <c r="R168" s="31"/>
      <c r="S168" s="31"/>
      <c r="T168" s="31"/>
      <c r="U168" s="32" t="str">
        <f t="shared" si="22"/>
        <v/>
      </c>
      <c r="V168" s="32" t="str">
        <f t="shared" si="23"/>
        <v/>
      </c>
      <c r="W168" s="32" t="str">
        <f>IF(V168="","",VLOOKUP(MAX(V168,0),Reference!$A$17:$B$20,2,TRUE()))</f>
        <v/>
      </c>
      <c r="X168" s="31"/>
      <c r="Y168" s="31"/>
      <c r="Z168" s="31"/>
      <c r="AA168" s="32" t="str">
        <f t="shared" si="24"/>
        <v/>
      </c>
      <c r="AB168" s="32" t="str">
        <f t="shared" si="25"/>
        <v/>
      </c>
      <c r="AC168" s="32" t="str">
        <f>IF(AB168="","",VLOOKUP(MAX(AB168,0),Reference!$A$17:$B$20,2,TRUE()))</f>
        <v/>
      </c>
      <c r="AD168" s="31"/>
      <c r="AE168">
        <f t="shared" si="26"/>
        <v>1</v>
      </c>
      <c r="AF168" s="33" t="str">
        <f>IF(OR(A168="",B168="",AND(C168&lt;&gt;"Bullpen",C168&lt;&gt;"Game")),"",IF((COUNTIFS($B$5:$B$300,B168,$A$5:$A$300,A168-1,$C$5:$C$300,"Bullpen",$AG$5:$AG$300,"&gt;0") + COUNTIFS($B$5:$B$300,B168,$A$5:$A$300,A168-1,$C$5:$C$300,"Game",$AG$5:$AG$300,"&gt;0"))&gt;0,Reference!$B$119,IF((COUNTIFS($B$5:$B$300,B168,$A$5:$A$300,A168-2,$C$5:$C$300,"Bullpen",$AG$5:$AG$300,"&gt;0") + COUNTIFS($B$5:$B$300,B168,$A$5:$A$300,A168-2,$C$5:$C$300,"Game",$AG$5:$AG$300,"&gt;0"))&gt;0,Reference!$B$120,1)))</f>
        <v/>
      </c>
      <c r="AG168" s="30" t="str">
        <f>IF(AND(OR(I168="",O168="",P168=""),OR(R168="",W168=""),OR(X168="",AC168="")),"",IF(OR(I168="",O168="",P168=""),0,I168*O168*P168)+IF(OR(R168="",W168=""),0,R168*IFERROR(INDEX(Reference!$B$61:$B$62,MATCH("Bullpen",Reference!$A$61:$A$62,0)),0)*W168)+IF(OR(X168="",AC168=""),0,X168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168))</f>
        <v/>
      </c>
    </row>
    <row r="169" spans="1:33" x14ac:dyDescent="0.3">
      <c r="A169" s="35"/>
      <c r="B169" s="31"/>
      <c r="C169" s="31"/>
      <c r="D169" s="31"/>
      <c r="E169" s="34"/>
      <c r="F169" s="34"/>
      <c r="G169" s="30" t="str">
        <f t="shared" si="18"/>
        <v/>
      </c>
      <c r="H169" s="31"/>
      <c r="I169" s="32" t="str">
        <f>IF(H169&lt;&gt;"",H169,IF(G169="","",ROUND(G169*IFERROR(INDEX(Reference!$B$44:$B$50,MATCH(C169,Reference!$A$44:$A$50,0)),0),0)))</f>
        <v/>
      </c>
      <c r="J169" s="31"/>
      <c r="K169" s="31"/>
      <c r="L169" s="32" t="str">
        <f t="shared" si="19"/>
        <v/>
      </c>
      <c r="M169" s="32" t="str">
        <f>IFERROR(INDEX(Roster!$D$5:$D$40,MATCH(B169,Roster!$A$5:$A$40,0)),"")</f>
        <v/>
      </c>
      <c r="N169" s="32" t="str">
        <f t="shared" si="20"/>
        <v/>
      </c>
      <c r="O169" s="32" t="str">
        <f>IF(OR(C169="Bullpen",C169="Game"),IFERROR(INDEX(Reference!$B$61:$B$62,MATCH(C169,Reference!$A$61:$A$62,0)),""),IF(D169="","",IF(AE169&gt;1,((IF(1&lt;=AE169,(AE169-1+3)*(INDEX(Reference!$B$6:$B$11,MIN(5,MATCH(MAX(Reference!$A$6,MIN(Reference!$A$11,MIN(D169,90))),Reference!$A$6:$A$11,1)))+(MAX(Reference!$A$6,MIN(Reference!$A$11,MIN(D169,90)))-INDEX(Reference!$A$6:$A$11,MIN(5,MATCH(MAX(Reference!$A$6,MIN(Reference!$A$11,MIN(D169,90))),Reference!$A$6:$A$11,1))))*(INDEX(Reference!$B$6:$B$11,MIN(5,MATCH(MAX(Reference!$A$6,MIN(Reference!$A$11,MIN(D169,90))),Reference!$A$6:$A$11,1))+1)-INDEX(Reference!$B$6:$B$11,MIN(5,MATCH(MAX(Reference!$A$6,MIN(Reference!$A$11,MIN(D169,90))),Reference!$A$6:$A$11,1))))/(INDEX(Reference!$A$6:$A$11,MIN(5,MATCH(MAX(Reference!$A$6,MIN(Reference!$A$11,MIN(D169,90))),Reference!$A$6:$A$11,1))+1)-INDEX(Reference!$A$6:$A$11,MIN(5,MATCH(MAX(Reference!$A$6,MIN(Reference!$A$11,MIN(D169,90))),Reference!$A$6:$A$11,1))))),0)+IF(2&lt;=AE169,(AE169-2+3)*(INDEX(Reference!$B$6:$B$11,MIN(5,MATCH(MAX(Reference!$A$6,MIN(Reference!$A$11,MIN(D169,120))),Reference!$A$6:$A$11,1)))+(MAX(Reference!$A$6,MIN(Reference!$A$11,MIN(D169,120)))-INDEX(Reference!$A$6:$A$11,MIN(5,MATCH(MAX(Reference!$A$6,MIN(Reference!$A$11,MIN(D169,120))),Reference!$A$6:$A$11,1))))*(INDEX(Reference!$B$6:$B$11,MIN(5,MATCH(MAX(Reference!$A$6,MIN(Reference!$A$11,MIN(D169,120))),Reference!$A$6:$A$11,1))+1)-INDEX(Reference!$B$6:$B$11,MIN(5,MATCH(MAX(Reference!$A$6,MIN(Reference!$A$11,MIN(D169,120))),Reference!$A$6:$A$11,1))))/(INDEX(Reference!$A$6:$A$11,MIN(5,MATCH(MAX(Reference!$A$6,MIN(Reference!$A$11,MIN(D169,120))),Reference!$A$6:$A$11,1))+1)-INDEX(Reference!$A$6:$A$11,MIN(5,MATCH(MAX(Reference!$A$6,MIN(Reference!$A$11,MIN(D169,120))),Reference!$A$6:$A$11,1))))),0)+IF(3&lt;=AE169,(AE169-3+3)*(INDEX(Reference!$B$6:$B$11,MIN(5,MATCH(MAX(Reference!$A$6,MIN(Reference!$A$11,MIN(D169,150))),Reference!$A$6:$A$11,1)))+(MAX(Reference!$A$6,MIN(Reference!$A$11,MIN(D169,150)))-INDEX(Reference!$A$6:$A$11,MIN(5,MATCH(MAX(Reference!$A$6,MIN(Reference!$A$11,MIN(D169,150))),Reference!$A$6:$A$11,1))))*(INDEX(Reference!$B$6:$B$11,MIN(5,MATCH(MAX(Reference!$A$6,MIN(Reference!$A$11,MIN(D169,150))),Reference!$A$6:$A$11,1))+1)-INDEX(Reference!$B$6:$B$11,MIN(5,MATCH(MAX(Reference!$A$6,MIN(Reference!$A$11,MIN(D169,150))),Reference!$A$6:$A$11,1))))/(INDEX(Reference!$A$6:$A$11,MIN(5,MATCH(MAX(Reference!$A$6,MIN(Reference!$A$11,MIN(D169,150))),Reference!$A$6:$A$11,1))+1)-INDEX(Reference!$A$6:$A$11,MIN(5,MATCH(MAX(Reference!$A$6,MIN(Reference!$A$11,MIN(D169,150))),Reference!$A$6:$A$11,1))))),0)+IF(4&lt;=AE169,(AE169-4+3)*(INDEX(Reference!$B$6:$B$11,MIN(5,MATCH(MAX(Reference!$A$6,MIN(Reference!$A$11,MIN(D169,180))),Reference!$A$6:$A$11,1)))+(MAX(Reference!$A$6,MIN(Reference!$A$11,MIN(D169,180)))-INDEX(Reference!$A$6:$A$11,MIN(5,MATCH(MAX(Reference!$A$6,MIN(Reference!$A$11,MIN(D169,180))),Reference!$A$6:$A$11,1))))*(INDEX(Reference!$B$6:$B$11,MIN(5,MATCH(MAX(Reference!$A$6,MIN(Reference!$A$11,MIN(D169,180))),Reference!$A$6:$A$11,1))+1)-INDEX(Reference!$B$6:$B$11,MIN(5,MATCH(MAX(Reference!$A$6,MIN(Reference!$A$11,MIN(D169,180))),Reference!$A$6:$A$11,1))))/(INDEX(Reference!$A$6:$A$11,MIN(5,MATCH(MAX(Reference!$A$6,MIN(Reference!$A$11,MIN(D169,180))),Reference!$A$6:$A$11,1))+1)-INDEX(Reference!$A$6:$A$11,MIN(5,MATCH(MAX(Reference!$A$6,MIN(Reference!$A$11,MIN(D169,180))),Reference!$A$6:$A$11,1))))),0)+IF(5&lt;=AE169,(AE169-5+3)*(INDEX(Reference!$B$6:$B$11,MIN(5,MATCH(MAX(Reference!$A$6,MIN(Reference!$A$11,MIN(D169,210))),Reference!$A$6:$A$11,1)))+(MAX(Reference!$A$6,MIN(Reference!$A$11,MIN(D169,210)))-INDEX(Reference!$A$6:$A$11,MIN(5,MATCH(MAX(Reference!$A$6,MIN(Reference!$A$11,MIN(D169,210))),Reference!$A$6:$A$11,1))))*(INDEX(Reference!$B$6:$B$11,MIN(5,MATCH(MAX(Reference!$A$6,MIN(Reference!$A$11,MIN(D169,210))),Reference!$A$6:$A$11,1))+1)-INDEX(Reference!$B$6:$B$11,MIN(5,MATCH(MAX(Reference!$A$6,MIN(Reference!$A$11,MIN(D169,210))),Reference!$A$6:$A$11,1))))/(INDEX(Reference!$A$6:$A$11,MIN(5,MATCH(MAX(Reference!$A$6,MIN(Reference!$A$11,MIN(D169,210))),Reference!$A$6:$A$11,1))+1)-INDEX(Reference!$A$6:$A$11,MIN(5,MATCH(MAX(Reference!$A$6,MIN(Reference!$A$11,MIN(D169,210))),Reference!$A$6:$A$11,1))))),0)+IF(6&lt;=AE169,(AE169-6+3)*(INDEX(Reference!$B$6:$B$11,MIN(5,MATCH(MAX(Reference!$A$6,MIN(Reference!$A$11,MIN(D169,240))),Reference!$A$6:$A$11,1)))+(MAX(Reference!$A$6,MIN(Reference!$A$11,MIN(D169,240)))-INDEX(Reference!$A$6:$A$11,MIN(5,MATCH(MAX(Reference!$A$6,MIN(Reference!$A$11,MIN(D169,240))),Reference!$A$6:$A$11,1))))*(INDEX(Reference!$B$6:$B$11,MIN(5,MATCH(MAX(Reference!$A$6,MIN(Reference!$A$11,MIN(D169,240))),Reference!$A$6:$A$11,1))+1)-INDEX(Reference!$B$6:$B$11,MIN(5,MATCH(MAX(Reference!$A$6,MIN(Reference!$A$11,MIN(D169,240))),Reference!$A$6:$A$11,1))))/(INDEX(Reference!$A$6:$A$11,MIN(5,MATCH(MAX(Reference!$A$6,MIN(Reference!$A$11,MIN(D169,240))),Reference!$A$6:$A$11,1))+1)-INDEX(Reference!$A$6:$A$11,MIN(5,MATCH(MAX(Reference!$A$6,MIN(Reference!$A$11,MIN(D169,240))),Reference!$A$6:$A$11,1))))),0)+IF(7&lt;=AE169,(AE169-7+3)*(INDEX(Reference!$B$6:$B$11,MIN(5,MATCH(MAX(Reference!$A$6,MIN(Reference!$A$11,MIN(D169,270))),Reference!$A$6:$A$11,1)))+(MAX(Reference!$A$6,MIN(Reference!$A$11,MIN(D169,270)))-INDEX(Reference!$A$6:$A$11,MIN(5,MATCH(MAX(Reference!$A$6,MIN(Reference!$A$11,MIN(D169,270))),Reference!$A$6:$A$11,1))))*(INDEX(Reference!$B$6:$B$11,MIN(5,MATCH(MAX(Reference!$A$6,MIN(Reference!$A$11,MIN(D169,270))),Reference!$A$6:$A$11,1))+1)-INDEX(Reference!$B$6:$B$11,MIN(5,MATCH(MAX(Reference!$A$6,MIN(Reference!$A$11,MIN(D169,270))),Reference!$A$6:$A$11,1))))/(INDEX(Reference!$A$6:$A$11,MIN(5,MATCH(MAX(Reference!$A$6,MIN(Reference!$A$11,MIN(D169,270))),Reference!$A$6:$A$11,1))+1)-INDEX(Reference!$A$6:$A$11,MIN(5,MATCH(MAX(Reference!$A$6,MIN(Reference!$A$11,MIN(D169,270))),Reference!$A$6:$A$11,1))))),0)+IF(8&lt;=AE169,(AE169-8+3)*(INDEX(Reference!$B$6:$B$11,MIN(5,MATCH(MAX(Reference!$A$6,MIN(Reference!$A$11,MIN(D169,300))),Reference!$A$6:$A$11,1)))+(MAX(Reference!$A$6,MIN(Reference!$A$11,MIN(D169,300)))-INDEX(Reference!$A$6:$A$11,MIN(5,MATCH(MAX(Reference!$A$6,MIN(Reference!$A$11,MIN(D169,300))),Reference!$A$6:$A$11,1))))*(INDEX(Reference!$B$6:$B$11,MIN(5,MATCH(MAX(Reference!$A$6,MIN(Reference!$A$11,MIN(D169,300))),Reference!$A$6:$A$11,1))+1)-INDEX(Reference!$B$6:$B$11,MIN(5,MATCH(MAX(Reference!$A$6,MIN(Reference!$A$11,MIN(D169,300))),Reference!$A$6:$A$11,1))))/(INDEX(Reference!$A$6:$A$11,MIN(5,MATCH(MAX(Reference!$A$6,MIN(Reference!$A$11,MIN(D169,300))),Reference!$A$6:$A$11,1))+1)-INDEX(Reference!$A$6:$A$11,MIN(5,MATCH(MAX(Reference!$A$6,MIN(Reference!$A$11,MIN(D169,300))),Reference!$A$6:$A$11,1))))),0))/(AE169*(AE169+5)/2)),(INDEX(Reference!$B$6:$B$11,MIN(5,MATCH(MAX(Reference!$A$6,MIN(Reference!$A$11,D169)),Reference!$A$6:$A$11,1)))+(MAX(Reference!$A$6,MIN(Reference!$A$11,D169))-INDEX(Reference!$A$6:$A$11,MIN(5,MATCH(MAX(Reference!$A$6,MIN(Reference!$A$11,D169)),Reference!$A$6:$A$11,1))))*(INDEX(Reference!$B$6:$B$11,MIN(5,MATCH(MAX(Reference!$A$6,MIN(Reference!$A$11,D169)),Reference!$A$6:$A$11,1))+1)-INDEX(Reference!$B$6:$B$11,MIN(5,MATCH(MAX(Reference!$A$6,MIN(Reference!$A$11,D169)),Reference!$A$6:$A$11,1))))/(INDEX(Reference!$A$6:$A$11,MIN(5,MATCH(MAX(Reference!$A$6,MIN(Reference!$A$11,D169)),Reference!$A$6:$A$11,1))+1)-INDEX(Reference!$A$6:$A$11,MIN(5,MATCH(MAX(Reference!$A$6,MIN(Reference!$A$11,D169)),Reference!$A$6:$A$11,1))))))))</f>
        <v/>
      </c>
      <c r="P169" s="32" t="str">
        <f>IF(N169="","",VLOOKUP(MAX(N169,0),Reference!$A$17:$B$20,2,TRUE()))</f>
        <v/>
      </c>
      <c r="Q169" s="32" t="str">
        <f t="shared" si="21"/>
        <v/>
      </c>
      <c r="R169" s="31"/>
      <c r="S169" s="31"/>
      <c r="T169" s="31"/>
      <c r="U169" s="32" t="str">
        <f t="shared" si="22"/>
        <v/>
      </c>
      <c r="V169" s="32" t="str">
        <f t="shared" si="23"/>
        <v/>
      </c>
      <c r="W169" s="32" t="str">
        <f>IF(V169="","",VLOOKUP(MAX(V169,0),Reference!$A$17:$B$20,2,TRUE()))</f>
        <v/>
      </c>
      <c r="X169" s="31"/>
      <c r="Y169" s="31"/>
      <c r="Z169" s="31"/>
      <c r="AA169" s="32" t="str">
        <f t="shared" si="24"/>
        <v/>
      </c>
      <c r="AB169" s="32" t="str">
        <f t="shared" si="25"/>
        <v/>
      </c>
      <c r="AC169" s="32" t="str">
        <f>IF(AB169="","",VLOOKUP(MAX(AB169,0),Reference!$A$17:$B$20,2,TRUE()))</f>
        <v/>
      </c>
      <c r="AD169" s="31"/>
      <c r="AE169">
        <f t="shared" si="26"/>
        <v>1</v>
      </c>
      <c r="AF169" s="33" t="str">
        <f>IF(OR(A169="",B169="",AND(C169&lt;&gt;"Bullpen",C169&lt;&gt;"Game")),"",IF((COUNTIFS($B$5:$B$300,B169,$A$5:$A$300,A169-1,$C$5:$C$300,"Bullpen",$AG$5:$AG$300,"&gt;0") + COUNTIFS($B$5:$B$300,B169,$A$5:$A$300,A169-1,$C$5:$C$300,"Game",$AG$5:$AG$300,"&gt;0"))&gt;0,Reference!$B$119,IF((COUNTIFS($B$5:$B$300,B169,$A$5:$A$300,A169-2,$C$5:$C$300,"Bullpen",$AG$5:$AG$300,"&gt;0") + COUNTIFS($B$5:$B$300,B169,$A$5:$A$300,A169-2,$C$5:$C$300,"Game",$AG$5:$AG$300,"&gt;0"))&gt;0,Reference!$B$120,1)))</f>
        <v/>
      </c>
      <c r="AG169" s="30" t="str">
        <f>IF(AND(OR(I169="",O169="",P169=""),OR(R169="",W169=""),OR(X169="",AC169="")),"",IF(OR(I169="",O169="",P169=""),0,I169*O169*P169)+IF(OR(R169="",W169=""),0,R169*IFERROR(INDEX(Reference!$B$61:$B$62,MATCH("Bullpen",Reference!$A$61:$A$62,0)),0)*W169)+IF(OR(X169="",AC169=""),0,X169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169))</f>
        <v/>
      </c>
    </row>
    <row r="170" spans="1:33" x14ac:dyDescent="0.3">
      <c r="A170" s="35"/>
      <c r="B170" s="31"/>
      <c r="C170" s="31"/>
      <c r="D170" s="31"/>
      <c r="E170" s="34"/>
      <c r="F170" s="34"/>
      <c r="G170" s="30" t="str">
        <f t="shared" si="18"/>
        <v/>
      </c>
      <c r="H170" s="31"/>
      <c r="I170" s="32" t="str">
        <f>IF(H170&lt;&gt;"",H170,IF(G170="","",ROUND(G170*IFERROR(INDEX(Reference!$B$44:$B$50,MATCH(C170,Reference!$A$44:$A$50,0)),0),0)))</f>
        <v/>
      </c>
      <c r="J170" s="31"/>
      <c r="K170" s="31"/>
      <c r="L170" s="32" t="str">
        <f t="shared" si="19"/>
        <v/>
      </c>
      <c r="M170" s="32" t="str">
        <f>IFERROR(INDEX(Roster!$D$5:$D$40,MATCH(B170,Roster!$A$5:$A$40,0)),"")</f>
        <v/>
      </c>
      <c r="N170" s="32" t="str">
        <f t="shared" si="20"/>
        <v/>
      </c>
      <c r="O170" s="32" t="str">
        <f>IF(OR(C170="Bullpen",C170="Game"),IFERROR(INDEX(Reference!$B$61:$B$62,MATCH(C170,Reference!$A$61:$A$62,0)),""),IF(D170="","",IF(AE170&gt;1,((IF(1&lt;=AE170,(AE170-1+3)*(INDEX(Reference!$B$6:$B$11,MIN(5,MATCH(MAX(Reference!$A$6,MIN(Reference!$A$11,MIN(D170,90))),Reference!$A$6:$A$11,1)))+(MAX(Reference!$A$6,MIN(Reference!$A$11,MIN(D170,90)))-INDEX(Reference!$A$6:$A$11,MIN(5,MATCH(MAX(Reference!$A$6,MIN(Reference!$A$11,MIN(D170,90))),Reference!$A$6:$A$11,1))))*(INDEX(Reference!$B$6:$B$11,MIN(5,MATCH(MAX(Reference!$A$6,MIN(Reference!$A$11,MIN(D170,90))),Reference!$A$6:$A$11,1))+1)-INDEX(Reference!$B$6:$B$11,MIN(5,MATCH(MAX(Reference!$A$6,MIN(Reference!$A$11,MIN(D170,90))),Reference!$A$6:$A$11,1))))/(INDEX(Reference!$A$6:$A$11,MIN(5,MATCH(MAX(Reference!$A$6,MIN(Reference!$A$11,MIN(D170,90))),Reference!$A$6:$A$11,1))+1)-INDEX(Reference!$A$6:$A$11,MIN(5,MATCH(MAX(Reference!$A$6,MIN(Reference!$A$11,MIN(D170,90))),Reference!$A$6:$A$11,1))))),0)+IF(2&lt;=AE170,(AE170-2+3)*(INDEX(Reference!$B$6:$B$11,MIN(5,MATCH(MAX(Reference!$A$6,MIN(Reference!$A$11,MIN(D170,120))),Reference!$A$6:$A$11,1)))+(MAX(Reference!$A$6,MIN(Reference!$A$11,MIN(D170,120)))-INDEX(Reference!$A$6:$A$11,MIN(5,MATCH(MAX(Reference!$A$6,MIN(Reference!$A$11,MIN(D170,120))),Reference!$A$6:$A$11,1))))*(INDEX(Reference!$B$6:$B$11,MIN(5,MATCH(MAX(Reference!$A$6,MIN(Reference!$A$11,MIN(D170,120))),Reference!$A$6:$A$11,1))+1)-INDEX(Reference!$B$6:$B$11,MIN(5,MATCH(MAX(Reference!$A$6,MIN(Reference!$A$11,MIN(D170,120))),Reference!$A$6:$A$11,1))))/(INDEX(Reference!$A$6:$A$11,MIN(5,MATCH(MAX(Reference!$A$6,MIN(Reference!$A$11,MIN(D170,120))),Reference!$A$6:$A$11,1))+1)-INDEX(Reference!$A$6:$A$11,MIN(5,MATCH(MAX(Reference!$A$6,MIN(Reference!$A$11,MIN(D170,120))),Reference!$A$6:$A$11,1))))),0)+IF(3&lt;=AE170,(AE170-3+3)*(INDEX(Reference!$B$6:$B$11,MIN(5,MATCH(MAX(Reference!$A$6,MIN(Reference!$A$11,MIN(D170,150))),Reference!$A$6:$A$11,1)))+(MAX(Reference!$A$6,MIN(Reference!$A$11,MIN(D170,150)))-INDEX(Reference!$A$6:$A$11,MIN(5,MATCH(MAX(Reference!$A$6,MIN(Reference!$A$11,MIN(D170,150))),Reference!$A$6:$A$11,1))))*(INDEX(Reference!$B$6:$B$11,MIN(5,MATCH(MAX(Reference!$A$6,MIN(Reference!$A$11,MIN(D170,150))),Reference!$A$6:$A$11,1))+1)-INDEX(Reference!$B$6:$B$11,MIN(5,MATCH(MAX(Reference!$A$6,MIN(Reference!$A$11,MIN(D170,150))),Reference!$A$6:$A$11,1))))/(INDEX(Reference!$A$6:$A$11,MIN(5,MATCH(MAX(Reference!$A$6,MIN(Reference!$A$11,MIN(D170,150))),Reference!$A$6:$A$11,1))+1)-INDEX(Reference!$A$6:$A$11,MIN(5,MATCH(MAX(Reference!$A$6,MIN(Reference!$A$11,MIN(D170,150))),Reference!$A$6:$A$11,1))))),0)+IF(4&lt;=AE170,(AE170-4+3)*(INDEX(Reference!$B$6:$B$11,MIN(5,MATCH(MAX(Reference!$A$6,MIN(Reference!$A$11,MIN(D170,180))),Reference!$A$6:$A$11,1)))+(MAX(Reference!$A$6,MIN(Reference!$A$11,MIN(D170,180)))-INDEX(Reference!$A$6:$A$11,MIN(5,MATCH(MAX(Reference!$A$6,MIN(Reference!$A$11,MIN(D170,180))),Reference!$A$6:$A$11,1))))*(INDEX(Reference!$B$6:$B$11,MIN(5,MATCH(MAX(Reference!$A$6,MIN(Reference!$A$11,MIN(D170,180))),Reference!$A$6:$A$11,1))+1)-INDEX(Reference!$B$6:$B$11,MIN(5,MATCH(MAX(Reference!$A$6,MIN(Reference!$A$11,MIN(D170,180))),Reference!$A$6:$A$11,1))))/(INDEX(Reference!$A$6:$A$11,MIN(5,MATCH(MAX(Reference!$A$6,MIN(Reference!$A$11,MIN(D170,180))),Reference!$A$6:$A$11,1))+1)-INDEX(Reference!$A$6:$A$11,MIN(5,MATCH(MAX(Reference!$A$6,MIN(Reference!$A$11,MIN(D170,180))),Reference!$A$6:$A$11,1))))),0)+IF(5&lt;=AE170,(AE170-5+3)*(INDEX(Reference!$B$6:$B$11,MIN(5,MATCH(MAX(Reference!$A$6,MIN(Reference!$A$11,MIN(D170,210))),Reference!$A$6:$A$11,1)))+(MAX(Reference!$A$6,MIN(Reference!$A$11,MIN(D170,210)))-INDEX(Reference!$A$6:$A$11,MIN(5,MATCH(MAX(Reference!$A$6,MIN(Reference!$A$11,MIN(D170,210))),Reference!$A$6:$A$11,1))))*(INDEX(Reference!$B$6:$B$11,MIN(5,MATCH(MAX(Reference!$A$6,MIN(Reference!$A$11,MIN(D170,210))),Reference!$A$6:$A$11,1))+1)-INDEX(Reference!$B$6:$B$11,MIN(5,MATCH(MAX(Reference!$A$6,MIN(Reference!$A$11,MIN(D170,210))),Reference!$A$6:$A$11,1))))/(INDEX(Reference!$A$6:$A$11,MIN(5,MATCH(MAX(Reference!$A$6,MIN(Reference!$A$11,MIN(D170,210))),Reference!$A$6:$A$11,1))+1)-INDEX(Reference!$A$6:$A$11,MIN(5,MATCH(MAX(Reference!$A$6,MIN(Reference!$A$11,MIN(D170,210))),Reference!$A$6:$A$11,1))))),0)+IF(6&lt;=AE170,(AE170-6+3)*(INDEX(Reference!$B$6:$B$11,MIN(5,MATCH(MAX(Reference!$A$6,MIN(Reference!$A$11,MIN(D170,240))),Reference!$A$6:$A$11,1)))+(MAX(Reference!$A$6,MIN(Reference!$A$11,MIN(D170,240)))-INDEX(Reference!$A$6:$A$11,MIN(5,MATCH(MAX(Reference!$A$6,MIN(Reference!$A$11,MIN(D170,240))),Reference!$A$6:$A$11,1))))*(INDEX(Reference!$B$6:$B$11,MIN(5,MATCH(MAX(Reference!$A$6,MIN(Reference!$A$11,MIN(D170,240))),Reference!$A$6:$A$11,1))+1)-INDEX(Reference!$B$6:$B$11,MIN(5,MATCH(MAX(Reference!$A$6,MIN(Reference!$A$11,MIN(D170,240))),Reference!$A$6:$A$11,1))))/(INDEX(Reference!$A$6:$A$11,MIN(5,MATCH(MAX(Reference!$A$6,MIN(Reference!$A$11,MIN(D170,240))),Reference!$A$6:$A$11,1))+1)-INDEX(Reference!$A$6:$A$11,MIN(5,MATCH(MAX(Reference!$A$6,MIN(Reference!$A$11,MIN(D170,240))),Reference!$A$6:$A$11,1))))),0)+IF(7&lt;=AE170,(AE170-7+3)*(INDEX(Reference!$B$6:$B$11,MIN(5,MATCH(MAX(Reference!$A$6,MIN(Reference!$A$11,MIN(D170,270))),Reference!$A$6:$A$11,1)))+(MAX(Reference!$A$6,MIN(Reference!$A$11,MIN(D170,270)))-INDEX(Reference!$A$6:$A$11,MIN(5,MATCH(MAX(Reference!$A$6,MIN(Reference!$A$11,MIN(D170,270))),Reference!$A$6:$A$11,1))))*(INDEX(Reference!$B$6:$B$11,MIN(5,MATCH(MAX(Reference!$A$6,MIN(Reference!$A$11,MIN(D170,270))),Reference!$A$6:$A$11,1))+1)-INDEX(Reference!$B$6:$B$11,MIN(5,MATCH(MAX(Reference!$A$6,MIN(Reference!$A$11,MIN(D170,270))),Reference!$A$6:$A$11,1))))/(INDEX(Reference!$A$6:$A$11,MIN(5,MATCH(MAX(Reference!$A$6,MIN(Reference!$A$11,MIN(D170,270))),Reference!$A$6:$A$11,1))+1)-INDEX(Reference!$A$6:$A$11,MIN(5,MATCH(MAX(Reference!$A$6,MIN(Reference!$A$11,MIN(D170,270))),Reference!$A$6:$A$11,1))))),0)+IF(8&lt;=AE170,(AE170-8+3)*(INDEX(Reference!$B$6:$B$11,MIN(5,MATCH(MAX(Reference!$A$6,MIN(Reference!$A$11,MIN(D170,300))),Reference!$A$6:$A$11,1)))+(MAX(Reference!$A$6,MIN(Reference!$A$11,MIN(D170,300)))-INDEX(Reference!$A$6:$A$11,MIN(5,MATCH(MAX(Reference!$A$6,MIN(Reference!$A$11,MIN(D170,300))),Reference!$A$6:$A$11,1))))*(INDEX(Reference!$B$6:$B$11,MIN(5,MATCH(MAX(Reference!$A$6,MIN(Reference!$A$11,MIN(D170,300))),Reference!$A$6:$A$11,1))+1)-INDEX(Reference!$B$6:$B$11,MIN(5,MATCH(MAX(Reference!$A$6,MIN(Reference!$A$11,MIN(D170,300))),Reference!$A$6:$A$11,1))))/(INDEX(Reference!$A$6:$A$11,MIN(5,MATCH(MAX(Reference!$A$6,MIN(Reference!$A$11,MIN(D170,300))),Reference!$A$6:$A$11,1))+1)-INDEX(Reference!$A$6:$A$11,MIN(5,MATCH(MAX(Reference!$A$6,MIN(Reference!$A$11,MIN(D170,300))),Reference!$A$6:$A$11,1))))),0))/(AE170*(AE170+5)/2)),(INDEX(Reference!$B$6:$B$11,MIN(5,MATCH(MAX(Reference!$A$6,MIN(Reference!$A$11,D170)),Reference!$A$6:$A$11,1)))+(MAX(Reference!$A$6,MIN(Reference!$A$11,D170))-INDEX(Reference!$A$6:$A$11,MIN(5,MATCH(MAX(Reference!$A$6,MIN(Reference!$A$11,D170)),Reference!$A$6:$A$11,1))))*(INDEX(Reference!$B$6:$B$11,MIN(5,MATCH(MAX(Reference!$A$6,MIN(Reference!$A$11,D170)),Reference!$A$6:$A$11,1))+1)-INDEX(Reference!$B$6:$B$11,MIN(5,MATCH(MAX(Reference!$A$6,MIN(Reference!$A$11,D170)),Reference!$A$6:$A$11,1))))/(INDEX(Reference!$A$6:$A$11,MIN(5,MATCH(MAX(Reference!$A$6,MIN(Reference!$A$11,D170)),Reference!$A$6:$A$11,1))+1)-INDEX(Reference!$A$6:$A$11,MIN(5,MATCH(MAX(Reference!$A$6,MIN(Reference!$A$11,D170)),Reference!$A$6:$A$11,1))))))))</f>
        <v/>
      </c>
      <c r="P170" s="32" t="str">
        <f>IF(N170="","",VLOOKUP(MAX(N170,0),Reference!$A$17:$B$20,2,TRUE()))</f>
        <v/>
      </c>
      <c r="Q170" s="32" t="str">
        <f t="shared" si="21"/>
        <v/>
      </c>
      <c r="R170" s="31"/>
      <c r="S170" s="31"/>
      <c r="T170" s="31"/>
      <c r="U170" s="32" t="str">
        <f t="shared" si="22"/>
        <v/>
      </c>
      <c r="V170" s="32" t="str">
        <f t="shared" si="23"/>
        <v/>
      </c>
      <c r="W170" s="32" t="str">
        <f>IF(V170="","",VLOOKUP(MAX(V170,0),Reference!$A$17:$B$20,2,TRUE()))</f>
        <v/>
      </c>
      <c r="X170" s="31"/>
      <c r="Y170" s="31"/>
      <c r="Z170" s="31"/>
      <c r="AA170" s="32" t="str">
        <f t="shared" si="24"/>
        <v/>
      </c>
      <c r="AB170" s="32" t="str">
        <f t="shared" si="25"/>
        <v/>
      </c>
      <c r="AC170" s="32" t="str">
        <f>IF(AB170="","",VLOOKUP(MAX(AB170,0),Reference!$A$17:$B$20,2,TRUE()))</f>
        <v/>
      </c>
      <c r="AD170" s="31"/>
      <c r="AE170">
        <f t="shared" si="26"/>
        <v>1</v>
      </c>
      <c r="AF170" s="33" t="str">
        <f>IF(OR(A170="",B170="",AND(C170&lt;&gt;"Bullpen",C170&lt;&gt;"Game")),"",IF((COUNTIFS($B$5:$B$300,B170,$A$5:$A$300,A170-1,$C$5:$C$300,"Bullpen",$AG$5:$AG$300,"&gt;0") + COUNTIFS($B$5:$B$300,B170,$A$5:$A$300,A170-1,$C$5:$C$300,"Game",$AG$5:$AG$300,"&gt;0"))&gt;0,Reference!$B$119,IF((COUNTIFS($B$5:$B$300,B170,$A$5:$A$300,A170-2,$C$5:$C$300,"Bullpen",$AG$5:$AG$300,"&gt;0") + COUNTIFS($B$5:$B$300,B170,$A$5:$A$300,A170-2,$C$5:$C$300,"Game",$AG$5:$AG$300,"&gt;0"))&gt;0,Reference!$B$120,1)))</f>
        <v/>
      </c>
      <c r="AG170" s="30" t="str">
        <f>IF(AND(OR(I170="",O170="",P170=""),OR(R170="",W170=""),OR(X170="",AC170="")),"",IF(OR(I170="",O170="",P170=""),0,I170*O170*P170)+IF(OR(R170="",W170=""),0,R170*IFERROR(INDEX(Reference!$B$61:$B$62,MATCH("Bullpen",Reference!$A$61:$A$62,0)),0)*W170)+IF(OR(X170="",AC170=""),0,X170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170))</f>
        <v/>
      </c>
    </row>
    <row r="171" spans="1:33" x14ac:dyDescent="0.3">
      <c r="A171" s="35"/>
      <c r="B171" s="31"/>
      <c r="C171" s="31"/>
      <c r="D171" s="31"/>
      <c r="E171" s="34"/>
      <c r="F171" s="34"/>
      <c r="G171" s="30" t="str">
        <f t="shared" si="18"/>
        <v/>
      </c>
      <c r="H171" s="31"/>
      <c r="I171" s="32" t="str">
        <f>IF(H171&lt;&gt;"",H171,IF(G171="","",ROUND(G171*IFERROR(INDEX(Reference!$B$44:$B$50,MATCH(C171,Reference!$A$44:$A$50,0)),0),0)))</f>
        <v/>
      </c>
      <c r="J171" s="31"/>
      <c r="K171" s="31"/>
      <c r="L171" s="32" t="str">
        <f t="shared" si="19"/>
        <v/>
      </c>
      <c r="M171" s="32" t="str">
        <f>IFERROR(INDEX(Roster!$D$5:$D$40,MATCH(B171,Roster!$A$5:$A$40,0)),"")</f>
        <v/>
      </c>
      <c r="N171" s="32" t="str">
        <f t="shared" si="20"/>
        <v/>
      </c>
      <c r="O171" s="32" t="str">
        <f>IF(OR(C171="Bullpen",C171="Game"),IFERROR(INDEX(Reference!$B$61:$B$62,MATCH(C171,Reference!$A$61:$A$62,0)),""),IF(D171="","",IF(AE171&gt;1,((IF(1&lt;=AE171,(AE171-1+3)*(INDEX(Reference!$B$6:$B$11,MIN(5,MATCH(MAX(Reference!$A$6,MIN(Reference!$A$11,MIN(D171,90))),Reference!$A$6:$A$11,1)))+(MAX(Reference!$A$6,MIN(Reference!$A$11,MIN(D171,90)))-INDEX(Reference!$A$6:$A$11,MIN(5,MATCH(MAX(Reference!$A$6,MIN(Reference!$A$11,MIN(D171,90))),Reference!$A$6:$A$11,1))))*(INDEX(Reference!$B$6:$B$11,MIN(5,MATCH(MAX(Reference!$A$6,MIN(Reference!$A$11,MIN(D171,90))),Reference!$A$6:$A$11,1))+1)-INDEX(Reference!$B$6:$B$11,MIN(5,MATCH(MAX(Reference!$A$6,MIN(Reference!$A$11,MIN(D171,90))),Reference!$A$6:$A$11,1))))/(INDEX(Reference!$A$6:$A$11,MIN(5,MATCH(MAX(Reference!$A$6,MIN(Reference!$A$11,MIN(D171,90))),Reference!$A$6:$A$11,1))+1)-INDEX(Reference!$A$6:$A$11,MIN(5,MATCH(MAX(Reference!$A$6,MIN(Reference!$A$11,MIN(D171,90))),Reference!$A$6:$A$11,1))))),0)+IF(2&lt;=AE171,(AE171-2+3)*(INDEX(Reference!$B$6:$B$11,MIN(5,MATCH(MAX(Reference!$A$6,MIN(Reference!$A$11,MIN(D171,120))),Reference!$A$6:$A$11,1)))+(MAX(Reference!$A$6,MIN(Reference!$A$11,MIN(D171,120)))-INDEX(Reference!$A$6:$A$11,MIN(5,MATCH(MAX(Reference!$A$6,MIN(Reference!$A$11,MIN(D171,120))),Reference!$A$6:$A$11,1))))*(INDEX(Reference!$B$6:$B$11,MIN(5,MATCH(MAX(Reference!$A$6,MIN(Reference!$A$11,MIN(D171,120))),Reference!$A$6:$A$11,1))+1)-INDEX(Reference!$B$6:$B$11,MIN(5,MATCH(MAX(Reference!$A$6,MIN(Reference!$A$11,MIN(D171,120))),Reference!$A$6:$A$11,1))))/(INDEX(Reference!$A$6:$A$11,MIN(5,MATCH(MAX(Reference!$A$6,MIN(Reference!$A$11,MIN(D171,120))),Reference!$A$6:$A$11,1))+1)-INDEX(Reference!$A$6:$A$11,MIN(5,MATCH(MAX(Reference!$A$6,MIN(Reference!$A$11,MIN(D171,120))),Reference!$A$6:$A$11,1))))),0)+IF(3&lt;=AE171,(AE171-3+3)*(INDEX(Reference!$B$6:$B$11,MIN(5,MATCH(MAX(Reference!$A$6,MIN(Reference!$A$11,MIN(D171,150))),Reference!$A$6:$A$11,1)))+(MAX(Reference!$A$6,MIN(Reference!$A$11,MIN(D171,150)))-INDEX(Reference!$A$6:$A$11,MIN(5,MATCH(MAX(Reference!$A$6,MIN(Reference!$A$11,MIN(D171,150))),Reference!$A$6:$A$11,1))))*(INDEX(Reference!$B$6:$B$11,MIN(5,MATCH(MAX(Reference!$A$6,MIN(Reference!$A$11,MIN(D171,150))),Reference!$A$6:$A$11,1))+1)-INDEX(Reference!$B$6:$B$11,MIN(5,MATCH(MAX(Reference!$A$6,MIN(Reference!$A$11,MIN(D171,150))),Reference!$A$6:$A$11,1))))/(INDEX(Reference!$A$6:$A$11,MIN(5,MATCH(MAX(Reference!$A$6,MIN(Reference!$A$11,MIN(D171,150))),Reference!$A$6:$A$11,1))+1)-INDEX(Reference!$A$6:$A$11,MIN(5,MATCH(MAX(Reference!$A$6,MIN(Reference!$A$11,MIN(D171,150))),Reference!$A$6:$A$11,1))))),0)+IF(4&lt;=AE171,(AE171-4+3)*(INDEX(Reference!$B$6:$B$11,MIN(5,MATCH(MAX(Reference!$A$6,MIN(Reference!$A$11,MIN(D171,180))),Reference!$A$6:$A$11,1)))+(MAX(Reference!$A$6,MIN(Reference!$A$11,MIN(D171,180)))-INDEX(Reference!$A$6:$A$11,MIN(5,MATCH(MAX(Reference!$A$6,MIN(Reference!$A$11,MIN(D171,180))),Reference!$A$6:$A$11,1))))*(INDEX(Reference!$B$6:$B$11,MIN(5,MATCH(MAX(Reference!$A$6,MIN(Reference!$A$11,MIN(D171,180))),Reference!$A$6:$A$11,1))+1)-INDEX(Reference!$B$6:$B$11,MIN(5,MATCH(MAX(Reference!$A$6,MIN(Reference!$A$11,MIN(D171,180))),Reference!$A$6:$A$11,1))))/(INDEX(Reference!$A$6:$A$11,MIN(5,MATCH(MAX(Reference!$A$6,MIN(Reference!$A$11,MIN(D171,180))),Reference!$A$6:$A$11,1))+1)-INDEX(Reference!$A$6:$A$11,MIN(5,MATCH(MAX(Reference!$A$6,MIN(Reference!$A$11,MIN(D171,180))),Reference!$A$6:$A$11,1))))),0)+IF(5&lt;=AE171,(AE171-5+3)*(INDEX(Reference!$B$6:$B$11,MIN(5,MATCH(MAX(Reference!$A$6,MIN(Reference!$A$11,MIN(D171,210))),Reference!$A$6:$A$11,1)))+(MAX(Reference!$A$6,MIN(Reference!$A$11,MIN(D171,210)))-INDEX(Reference!$A$6:$A$11,MIN(5,MATCH(MAX(Reference!$A$6,MIN(Reference!$A$11,MIN(D171,210))),Reference!$A$6:$A$11,1))))*(INDEX(Reference!$B$6:$B$11,MIN(5,MATCH(MAX(Reference!$A$6,MIN(Reference!$A$11,MIN(D171,210))),Reference!$A$6:$A$11,1))+1)-INDEX(Reference!$B$6:$B$11,MIN(5,MATCH(MAX(Reference!$A$6,MIN(Reference!$A$11,MIN(D171,210))),Reference!$A$6:$A$11,1))))/(INDEX(Reference!$A$6:$A$11,MIN(5,MATCH(MAX(Reference!$A$6,MIN(Reference!$A$11,MIN(D171,210))),Reference!$A$6:$A$11,1))+1)-INDEX(Reference!$A$6:$A$11,MIN(5,MATCH(MAX(Reference!$A$6,MIN(Reference!$A$11,MIN(D171,210))),Reference!$A$6:$A$11,1))))),0)+IF(6&lt;=AE171,(AE171-6+3)*(INDEX(Reference!$B$6:$B$11,MIN(5,MATCH(MAX(Reference!$A$6,MIN(Reference!$A$11,MIN(D171,240))),Reference!$A$6:$A$11,1)))+(MAX(Reference!$A$6,MIN(Reference!$A$11,MIN(D171,240)))-INDEX(Reference!$A$6:$A$11,MIN(5,MATCH(MAX(Reference!$A$6,MIN(Reference!$A$11,MIN(D171,240))),Reference!$A$6:$A$11,1))))*(INDEX(Reference!$B$6:$B$11,MIN(5,MATCH(MAX(Reference!$A$6,MIN(Reference!$A$11,MIN(D171,240))),Reference!$A$6:$A$11,1))+1)-INDEX(Reference!$B$6:$B$11,MIN(5,MATCH(MAX(Reference!$A$6,MIN(Reference!$A$11,MIN(D171,240))),Reference!$A$6:$A$11,1))))/(INDEX(Reference!$A$6:$A$11,MIN(5,MATCH(MAX(Reference!$A$6,MIN(Reference!$A$11,MIN(D171,240))),Reference!$A$6:$A$11,1))+1)-INDEX(Reference!$A$6:$A$11,MIN(5,MATCH(MAX(Reference!$A$6,MIN(Reference!$A$11,MIN(D171,240))),Reference!$A$6:$A$11,1))))),0)+IF(7&lt;=AE171,(AE171-7+3)*(INDEX(Reference!$B$6:$B$11,MIN(5,MATCH(MAX(Reference!$A$6,MIN(Reference!$A$11,MIN(D171,270))),Reference!$A$6:$A$11,1)))+(MAX(Reference!$A$6,MIN(Reference!$A$11,MIN(D171,270)))-INDEX(Reference!$A$6:$A$11,MIN(5,MATCH(MAX(Reference!$A$6,MIN(Reference!$A$11,MIN(D171,270))),Reference!$A$6:$A$11,1))))*(INDEX(Reference!$B$6:$B$11,MIN(5,MATCH(MAX(Reference!$A$6,MIN(Reference!$A$11,MIN(D171,270))),Reference!$A$6:$A$11,1))+1)-INDEX(Reference!$B$6:$B$11,MIN(5,MATCH(MAX(Reference!$A$6,MIN(Reference!$A$11,MIN(D171,270))),Reference!$A$6:$A$11,1))))/(INDEX(Reference!$A$6:$A$11,MIN(5,MATCH(MAX(Reference!$A$6,MIN(Reference!$A$11,MIN(D171,270))),Reference!$A$6:$A$11,1))+1)-INDEX(Reference!$A$6:$A$11,MIN(5,MATCH(MAX(Reference!$A$6,MIN(Reference!$A$11,MIN(D171,270))),Reference!$A$6:$A$11,1))))),0)+IF(8&lt;=AE171,(AE171-8+3)*(INDEX(Reference!$B$6:$B$11,MIN(5,MATCH(MAX(Reference!$A$6,MIN(Reference!$A$11,MIN(D171,300))),Reference!$A$6:$A$11,1)))+(MAX(Reference!$A$6,MIN(Reference!$A$11,MIN(D171,300)))-INDEX(Reference!$A$6:$A$11,MIN(5,MATCH(MAX(Reference!$A$6,MIN(Reference!$A$11,MIN(D171,300))),Reference!$A$6:$A$11,1))))*(INDEX(Reference!$B$6:$B$11,MIN(5,MATCH(MAX(Reference!$A$6,MIN(Reference!$A$11,MIN(D171,300))),Reference!$A$6:$A$11,1))+1)-INDEX(Reference!$B$6:$B$11,MIN(5,MATCH(MAX(Reference!$A$6,MIN(Reference!$A$11,MIN(D171,300))),Reference!$A$6:$A$11,1))))/(INDEX(Reference!$A$6:$A$11,MIN(5,MATCH(MAX(Reference!$A$6,MIN(Reference!$A$11,MIN(D171,300))),Reference!$A$6:$A$11,1))+1)-INDEX(Reference!$A$6:$A$11,MIN(5,MATCH(MAX(Reference!$A$6,MIN(Reference!$A$11,MIN(D171,300))),Reference!$A$6:$A$11,1))))),0))/(AE171*(AE171+5)/2)),(INDEX(Reference!$B$6:$B$11,MIN(5,MATCH(MAX(Reference!$A$6,MIN(Reference!$A$11,D171)),Reference!$A$6:$A$11,1)))+(MAX(Reference!$A$6,MIN(Reference!$A$11,D171))-INDEX(Reference!$A$6:$A$11,MIN(5,MATCH(MAX(Reference!$A$6,MIN(Reference!$A$11,D171)),Reference!$A$6:$A$11,1))))*(INDEX(Reference!$B$6:$B$11,MIN(5,MATCH(MAX(Reference!$A$6,MIN(Reference!$A$11,D171)),Reference!$A$6:$A$11,1))+1)-INDEX(Reference!$B$6:$B$11,MIN(5,MATCH(MAX(Reference!$A$6,MIN(Reference!$A$11,D171)),Reference!$A$6:$A$11,1))))/(INDEX(Reference!$A$6:$A$11,MIN(5,MATCH(MAX(Reference!$A$6,MIN(Reference!$A$11,D171)),Reference!$A$6:$A$11,1))+1)-INDEX(Reference!$A$6:$A$11,MIN(5,MATCH(MAX(Reference!$A$6,MIN(Reference!$A$11,D171)),Reference!$A$6:$A$11,1))))))))</f>
        <v/>
      </c>
      <c r="P171" s="32" t="str">
        <f>IF(N171="","",VLOOKUP(MAX(N171,0),Reference!$A$17:$B$20,2,TRUE()))</f>
        <v/>
      </c>
      <c r="Q171" s="32" t="str">
        <f t="shared" si="21"/>
        <v/>
      </c>
      <c r="R171" s="31"/>
      <c r="S171" s="31"/>
      <c r="T171" s="31"/>
      <c r="U171" s="32" t="str">
        <f t="shared" si="22"/>
        <v/>
      </c>
      <c r="V171" s="32" t="str">
        <f t="shared" si="23"/>
        <v/>
      </c>
      <c r="W171" s="32" t="str">
        <f>IF(V171="","",VLOOKUP(MAX(V171,0),Reference!$A$17:$B$20,2,TRUE()))</f>
        <v/>
      </c>
      <c r="X171" s="31"/>
      <c r="Y171" s="31"/>
      <c r="Z171" s="31"/>
      <c r="AA171" s="32" t="str">
        <f t="shared" si="24"/>
        <v/>
      </c>
      <c r="AB171" s="32" t="str">
        <f t="shared" si="25"/>
        <v/>
      </c>
      <c r="AC171" s="32" t="str">
        <f>IF(AB171="","",VLOOKUP(MAX(AB171,0),Reference!$A$17:$B$20,2,TRUE()))</f>
        <v/>
      </c>
      <c r="AD171" s="31"/>
      <c r="AE171">
        <f t="shared" si="26"/>
        <v>1</v>
      </c>
      <c r="AF171" s="33" t="str">
        <f>IF(OR(A171="",B171="",AND(C171&lt;&gt;"Bullpen",C171&lt;&gt;"Game")),"",IF((COUNTIFS($B$5:$B$300,B171,$A$5:$A$300,A171-1,$C$5:$C$300,"Bullpen",$AG$5:$AG$300,"&gt;0") + COUNTIFS($B$5:$B$300,B171,$A$5:$A$300,A171-1,$C$5:$C$300,"Game",$AG$5:$AG$300,"&gt;0"))&gt;0,Reference!$B$119,IF((COUNTIFS($B$5:$B$300,B171,$A$5:$A$300,A171-2,$C$5:$C$300,"Bullpen",$AG$5:$AG$300,"&gt;0") + COUNTIFS($B$5:$B$300,B171,$A$5:$A$300,A171-2,$C$5:$C$300,"Game",$AG$5:$AG$300,"&gt;0"))&gt;0,Reference!$B$120,1)))</f>
        <v/>
      </c>
      <c r="AG171" s="30" t="str">
        <f>IF(AND(OR(I171="",O171="",P171=""),OR(R171="",W171=""),OR(X171="",AC171="")),"",IF(OR(I171="",O171="",P171=""),0,I171*O171*P171)+IF(OR(R171="",W171=""),0,R171*IFERROR(INDEX(Reference!$B$61:$B$62,MATCH("Bullpen",Reference!$A$61:$A$62,0)),0)*W171)+IF(OR(X171="",AC171=""),0,X171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171))</f>
        <v/>
      </c>
    </row>
    <row r="172" spans="1:33" x14ac:dyDescent="0.3">
      <c r="A172" s="35"/>
      <c r="B172" s="31"/>
      <c r="C172" s="31"/>
      <c r="D172" s="31"/>
      <c r="E172" s="34"/>
      <c r="F172" s="34"/>
      <c r="G172" s="30" t="str">
        <f t="shared" si="18"/>
        <v/>
      </c>
      <c r="H172" s="31"/>
      <c r="I172" s="32" t="str">
        <f>IF(H172&lt;&gt;"",H172,IF(G172="","",ROUND(G172*IFERROR(INDEX(Reference!$B$44:$B$50,MATCH(C172,Reference!$A$44:$A$50,0)),0),0)))</f>
        <v/>
      </c>
      <c r="J172" s="31"/>
      <c r="K172" s="31"/>
      <c r="L172" s="32" t="str">
        <f t="shared" si="19"/>
        <v/>
      </c>
      <c r="M172" s="32" t="str">
        <f>IFERROR(INDEX(Roster!$D$5:$D$40,MATCH(B172,Roster!$A$5:$A$40,0)),"")</f>
        <v/>
      </c>
      <c r="N172" s="32" t="str">
        <f t="shared" si="20"/>
        <v/>
      </c>
      <c r="O172" s="32" t="str">
        <f>IF(OR(C172="Bullpen",C172="Game"),IFERROR(INDEX(Reference!$B$61:$B$62,MATCH(C172,Reference!$A$61:$A$62,0)),""),IF(D172="","",IF(AE172&gt;1,((IF(1&lt;=AE172,(AE172-1+3)*(INDEX(Reference!$B$6:$B$11,MIN(5,MATCH(MAX(Reference!$A$6,MIN(Reference!$A$11,MIN(D172,90))),Reference!$A$6:$A$11,1)))+(MAX(Reference!$A$6,MIN(Reference!$A$11,MIN(D172,90)))-INDEX(Reference!$A$6:$A$11,MIN(5,MATCH(MAX(Reference!$A$6,MIN(Reference!$A$11,MIN(D172,90))),Reference!$A$6:$A$11,1))))*(INDEX(Reference!$B$6:$B$11,MIN(5,MATCH(MAX(Reference!$A$6,MIN(Reference!$A$11,MIN(D172,90))),Reference!$A$6:$A$11,1))+1)-INDEX(Reference!$B$6:$B$11,MIN(5,MATCH(MAX(Reference!$A$6,MIN(Reference!$A$11,MIN(D172,90))),Reference!$A$6:$A$11,1))))/(INDEX(Reference!$A$6:$A$11,MIN(5,MATCH(MAX(Reference!$A$6,MIN(Reference!$A$11,MIN(D172,90))),Reference!$A$6:$A$11,1))+1)-INDEX(Reference!$A$6:$A$11,MIN(5,MATCH(MAX(Reference!$A$6,MIN(Reference!$A$11,MIN(D172,90))),Reference!$A$6:$A$11,1))))),0)+IF(2&lt;=AE172,(AE172-2+3)*(INDEX(Reference!$B$6:$B$11,MIN(5,MATCH(MAX(Reference!$A$6,MIN(Reference!$A$11,MIN(D172,120))),Reference!$A$6:$A$11,1)))+(MAX(Reference!$A$6,MIN(Reference!$A$11,MIN(D172,120)))-INDEX(Reference!$A$6:$A$11,MIN(5,MATCH(MAX(Reference!$A$6,MIN(Reference!$A$11,MIN(D172,120))),Reference!$A$6:$A$11,1))))*(INDEX(Reference!$B$6:$B$11,MIN(5,MATCH(MAX(Reference!$A$6,MIN(Reference!$A$11,MIN(D172,120))),Reference!$A$6:$A$11,1))+1)-INDEX(Reference!$B$6:$B$11,MIN(5,MATCH(MAX(Reference!$A$6,MIN(Reference!$A$11,MIN(D172,120))),Reference!$A$6:$A$11,1))))/(INDEX(Reference!$A$6:$A$11,MIN(5,MATCH(MAX(Reference!$A$6,MIN(Reference!$A$11,MIN(D172,120))),Reference!$A$6:$A$11,1))+1)-INDEX(Reference!$A$6:$A$11,MIN(5,MATCH(MAX(Reference!$A$6,MIN(Reference!$A$11,MIN(D172,120))),Reference!$A$6:$A$11,1))))),0)+IF(3&lt;=AE172,(AE172-3+3)*(INDEX(Reference!$B$6:$B$11,MIN(5,MATCH(MAX(Reference!$A$6,MIN(Reference!$A$11,MIN(D172,150))),Reference!$A$6:$A$11,1)))+(MAX(Reference!$A$6,MIN(Reference!$A$11,MIN(D172,150)))-INDEX(Reference!$A$6:$A$11,MIN(5,MATCH(MAX(Reference!$A$6,MIN(Reference!$A$11,MIN(D172,150))),Reference!$A$6:$A$11,1))))*(INDEX(Reference!$B$6:$B$11,MIN(5,MATCH(MAX(Reference!$A$6,MIN(Reference!$A$11,MIN(D172,150))),Reference!$A$6:$A$11,1))+1)-INDEX(Reference!$B$6:$B$11,MIN(5,MATCH(MAX(Reference!$A$6,MIN(Reference!$A$11,MIN(D172,150))),Reference!$A$6:$A$11,1))))/(INDEX(Reference!$A$6:$A$11,MIN(5,MATCH(MAX(Reference!$A$6,MIN(Reference!$A$11,MIN(D172,150))),Reference!$A$6:$A$11,1))+1)-INDEX(Reference!$A$6:$A$11,MIN(5,MATCH(MAX(Reference!$A$6,MIN(Reference!$A$11,MIN(D172,150))),Reference!$A$6:$A$11,1))))),0)+IF(4&lt;=AE172,(AE172-4+3)*(INDEX(Reference!$B$6:$B$11,MIN(5,MATCH(MAX(Reference!$A$6,MIN(Reference!$A$11,MIN(D172,180))),Reference!$A$6:$A$11,1)))+(MAX(Reference!$A$6,MIN(Reference!$A$11,MIN(D172,180)))-INDEX(Reference!$A$6:$A$11,MIN(5,MATCH(MAX(Reference!$A$6,MIN(Reference!$A$11,MIN(D172,180))),Reference!$A$6:$A$11,1))))*(INDEX(Reference!$B$6:$B$11,MIN(5,MATCH(MAX(Reference!$A$6,MIN(Reference!$A$11,MIN(D172,180))),Reference!$A$6:$A$11,1))+1)-INDEX(Reference!$B$6:$B$11,MIN(5,MATCH(MAX(Reference!$A$6,MIN(Reference!$A$11,MIN(D172,180))),Reference!$A$6:$A$11,1))))/(INDEX(Reference!$A$6:$A$11,MIN(5,MATCH(MAX(Reference!$A$6,MIN(Reference!$A$11,MIN(D172,180))),Reference!$A$6:$A$11,1))+1)-INDEX(Reference!$A$6:$A$11,MIN(5,MATCH(MAX(Reference!$A$6,MIN(Reference!$A$11,MIN(D172,180))),Reference!$A$6:$A$11,1))))),0)+IF(5&lt;=AE172,(AE172-5+3)*(INDEX(Reference!$B$6:$B$11,MIN(5,MATCH(MAX(Reference!$A$6,MIN(Reference!$A$11,MIN(D172,210))),Reference!$A$6:$A$11,1)))+(MAX(Reference!$A$6,MIN(Reference!$A$11,MIN(D172,210)))-INDEX(Reference!$A$6:$A$11,MIN(5,MATCH(MAX(Reference!$A$6,MIN(Reference!$A$11,MIN(D172,210))),Reference!$A$6:$A$11,1))))*(INDEX(Reference!$B$6:$B$11,MIN(5,MATCH(MAX(Reference!$A$6,MIN(Reference!$A$11,MIN(D172,210))),Reference!$A$6:$A$11,1))+1)-INDEX(Reference!$B$6:$B$11,MIN(5,MATCH(MAX(Reference!$A$6,MIN(Reference!$A$11,MIN(D172,210))),Reference!$A$6:$A$11,1))))/(INDEX(Reference!$A$6:$A$11,MIN(5,MATCH(MAX(Reference!$A$6,MIN(Reference!$A$11,MIN(D172,210))),Reference!$A$6:$A$11,1))+1)-INDEX(Reference!$A$6:$A$11,MIN(5,MATCH(MAX(Reference!$A$6,MIN(Reference!$A$11,MIN(D172,210))),Reference!$A$6:$A$11,1))))),0)+IF(6&lt;=AE172,(AE172-6+3)*(INDEX(Reference!$B$6:$B$11,MIN(5,MATCH(MAX(Reference!$A$6,MIN(Reference!$A$11,MIN(D172,240))),Reference!$A$6:$A$11,1)))+(MAX(Reference!$A$6,MIN(Reference!$A$11,MIN(D172,240)))-INDEX(Reference!$A$6:$A$11,MIN(5,MATCH(MAX(Reference!$A$6,MIN(Reference!$A$11,MIN(D172,240))),Reference!$A$6:$A$11,1))))*(INDEX(Reference!$B$6:$B$11,MIN(5,MATCH(MAX(Reference!$A$6,MIN(Reference!$A$11,MIN(D172,240))),Reference!$A$6:$A$11,1))+1)-INDEX(Reference!$B$6:$B$11,MIN(5,MATCH(MAX(Reference!$A$6,MIN(Reference!$A$11,MIN(D172,240))),Reference!$A$6:$A$11,1))))/(INDEX(Reference!$A$6:$A$11,MIN(5,MATCH(MAX(Reference!$A$6,MIN(Reference!$A$11,MIN(D172,240))),Reference!$A$6:$A$11,1))+1)-INDEX(Reference!$A$6:$A$11,MIN(5,MATCH(MAX(Reference!$A$6,MIN(Reference!$A$11,MIN(D172,240))),Reference!$A$6:$A$11,1))))),0)+IF(7&lt;=AE172,(AE172-7+3)*(INDEX(Reference!$B$6:$B$11,MIN(5,MATCH(MAX(Reference!$A$6,MIN(Reference!$A$11,MIN(D172,270))),Reference!$A$6:$A$11,1)))+(MAX(Reference!$A$6,MIN(Reference!$A$11,MIN(D172,270)))-INDEX(Reference!$A$6:$A$11,MIN(5,MATCH(MAX(Reference!$A$6,MIN(Reference!$A$11,MIN(D172,270))),Reference!$A$6:$A$11,1))))*(INDEX(Reference!$B$6:$B$11,MIN(5,MATCH(MAX(Reference!$A$6,MIN(Reference!$A$11,MIN(D172,270))),Reference!$A$6:$A$11,1))+1)-INDEX(Reference!$B$6:$B$11,MIN(5,MATCH(MAX(Reference!$A$6,MIN(Reference!$A$11,MIN(D172,270))),Reference!$A$6:$A$11,1))))/(INDEX(Reference!$A$6:$A$11,MIN(5,MATCH(MAX(Reference!$A$6,MIN(Reference!$A$11,MIN(D172,270))),Reference!$A$6:$A$11,1))+1)-INDEX(Reference!$A$6:$A$11,MIN(5,MATCH(MAX(Reference!$A$6,MIN(Reference!$A$11,MIN(D172,270))),Reference!$A$6:$A$11,1))))),0)+IF(8&lt;=AE172,(AE172-8+3)*(INDEX(Reference!$B$6:$B$11,MIN(5,MATCH(MAX(Reference!$A$6,MIN(Reference!$A$11,MIN(D172,300))),Reference!$A$6:$A$11,1)))+(MAX(Reference!$A$6,MIN(Reference!$A$11,MIN(D172,300)))-INDEX(Reference!$A$6:$A$11,MIN(5,MATCH(MAX(Reference!$A$6,MIN(Reference!$A$11,MIN(D172,300))),Reference!$A$6:$A$11,1))))*(INDEX(Reference!$B$6:$B$11,MIN(5,MATCH(MAX(Reference!$A$6,MIN(Reference!$A$11,MIN(D172,300))),Reference!$A$6:$A$11,1))+1)-INDEX(Reference!$B$6:$B$11,MIN(5,MATCH(MAX(Reference!$A$6,MIN(Reference!$A$11,MIN(D172,300))),Reference!$A$6:$A$11,1))))/(INDEX(Reference!$A$6:$A$11,MIN(5,MATCH(MAX(Reference!$A$6,MIN(Reference!$A$11,MIN(D172,300))),Reference!$A$6:$A$11,1))+1)-INDEX(Reference!$A$6:$A$11,MIN(5,MATCH(MAX(Reference!$A$6,MIN(Reference!$A$11,MIN(D172,300))),Reference!$A$6:$A$11,1))))),0))/(AE172*(AE172+5)/2)),(INDEX(Reference!$B$6:$B$11,MIN(5,MATCH(MAX(Reference!$A$6,MIN(Reference!$A$11,D172)),Reference!$A$6:$A$11,1)))+(MAX(Reference!$A$6,MIN(Reference!$A$11,D172))-INDEX(Reference!$A$6:$A$11,MIN(5,MATCH(MAX(Reference!$A$6,MIN(Reference!$A$11,D172)),Reference!$A$6:$A$11,1))))*(INDEX(Reference!$B$6:$B$11,MIN(5,MATCH(MAX(Reference!$A$6,MIN(Reference!$A$11,D172)),Reference!$A$6:$A$11,1))+1)-INDEX(Reference!$B$6:$B$11,MIN(5,MATCH(MAX(Reference!$A$6,MIN(Reference!$A$11,D172)),Reference!$A$6:$A$11,1))))/(INDEX(Reference!$A$6:$A$11,MIN(5,MATCH(MAX(Reference!$A$6,MIN(Reference!$A$11,D172)),Reference!$A$6:$A$11,1))+1)-INDEX(Reference!$A$6:$A$11,MIN(5,MATCH(MAX(Reference!$A$6,MIN(Reference!$A$11,D172)),Reference!$A$6:$A$11,1))))))))</f>
        <v/>
      </c>
      <c r="P172" s="32" t="str">
        <f>IF(N172="","",VLOOKUP(MAX(N172,0),Reference!$A$17:$B$20,2,TRUE()))</f>
        <v/>
      </c>
      <c r="Q172" s="32" t="str">
        <f t="shared" si="21"/>
        <v/>
      </c>
      <c r="R172" s="31"/>
      <c r="S172" s="31"/>
      <c r="T172" s="31"/>
      <c r="U172" s="32" t="str">
        <f t="shared" si="22"/>
        <v/>
      </c>
      <c r="V172" s="32" t="str">
        <f t="shared" si="23"/>
        <v/>
      </c>
      <c r="W172" s="32" t="str">
        <f>IF(V172="","",VLOOKUP(MAX(V172,0),Reference!$A$17:$B$20,2,TRUE()))</f>
        <v/>
      </c>
      <c r="X172" s="31"/>
      <c r="Y172" s="31"/>
      <c r="Z172" s="31"/>
      <c r="AA172" s="32" t="str">
        <f t="shared" si="24"/>
        <v/>
      </c>
      <c r="AB172" s="32" t="str">
        <f t="shared" si="25"/>
        <v/>
      </c>
      <c r="AC172" s="32" t="str">
        <f>IF(AB172="","",VLOOKUP(MAX(AB172,0),Reference!$A$17:$B$20,2,TRUE()))</f>
        <v/>
      </c>
      <c r="AD172" s="31"/>
      <c r="AE172">
        <f t="shared" si="26"/>
        <v>1</v>
      </c>
      <c r="AF172" s="33" t="str">
        <f>IF(OR(A172="",B172="",AND(C172&lt;&gt;"Bullpen",C172&lt;&gt;"Game")),"",IF((COUNTIFS($B$5:$B$300,B172,$A$5:$A$300,A172-1,$C$5:$C$300,"Bullpen",$AG$5:$AG$300,"&gt;0") + COUNTIFS($B$5:$B$300,B172,$A$5:$A$300,A172-1,$C$5:$C$300,"Game",$AG$5:$AG$300,"&gt;0"))&gt;0,Reference!$B$119,IF((COUNTIFS($B$5:$B$300,B172,$A$5:$A$300,A172-2,$C$5:$C$300,"Bullpen",$AG$5:$AG$300,"&gt;0") + COUNTIFS($B$5:$B$300,B172,$A$5:$A$300,A172-2,$C$5:$C$300,"Game",$AG$5:$AG$300,"&gt;0"))&gt;0,Reference!$B$120,1)))</f>
        <v/>
      </c>
      <c r="AG172" s="30" t="str">
        <f>IF(AND(OR(I172="",O172="",P172=""),OR(R172="",W172=""),OR(X172="",AC172="")),"",IF(OR(I172="",O172="",P172=""),0,I172*O172*P172)+IF(OR(R172="",W172=""),0,R172*IFERROR(INDEX(Reference!$B$61:$B$62,MATCH("Bullpen",Reference!$A$61:$A$62,0)),0)*W172)+IF(OR(X172="",AC172=""),0,X172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172))</f>
        <v/>
      </c>
    </row>
    <row r="173" spans="1:33" x14ac:dyDescent="0.3">
      <c r="A173" s="35"/>
      <c r="B173" s="31"/>
      <c r="C173" s="31"/>
      <c r="D173" s="31"/>
      <c r="E173" s="34"/>
      <c r="F173" s="34"/>
      <c r="G173" s="30" t="str">
        <f t="shared" si="18"/>
        <v/>
      </c>
      <c r="H173" s="31"/>
      <c r="I173" s="32" t="str">
        <f>IF(H173&lt;&gt;"",H173,IF(G173="","",ROUND(G173*IFERROR(INDEX(Reference!$B$44:$B$50,MATCH(C173,Reference!$A$44:$A$50,0)),0),0)))</f>
        <v/>
      </c>
      <c r="J173" s="31"/>
      <c r="K173" s="31"/>
      <c r="L173" s="32" t="str">
        <f t="shared" si="19"/>
        <v/>
      </c>
      <c r="M173" s="32" t="str">
        <f>IFERROR(INDEX(Roster!$D$5:$D$40,MATCH(B173,Roster!$A$5:$A$40,0)),"")</f>
        <v/>
      </c>
      <c r="N173" s="32" t="str">
        <f t="shared" si="20"/>
        <v/>
      </c>
      <c r="O173" s="32" t="str">
        <f>IF(OR(C173="Bullpen",C173="Game"),IFERROR(INDEX(Reference!$B$61:$B$62,MATCH(C173,Reference!$A$61:$A$62,0)),""),IF(D173="","",IF(AE173&gt;1,((IF(1&lt;=AE173,(AE173-1+3)*(INDEX(Reference!$B$6:$B$11,MIN(5,MATCH(MAX(Reference!$A$6,MIN(Reference!$A$11,MIN(D173,90))),Reference!$A$6:$A$11,1)))+(MAX(Reference!$A$6,MIN(Reference!$A$11,MIN(D173,90)))-INDEX(Reference!$A$6:$A$11,MIN(5,MATCH(MAX(Reference!$A$6,MIN(Reference!$A$11,MIN(D173,90))),Reference!$A$6:$A$11,1))))*(INDEX(Reference!$B$6:$B$11,MIN(5,MATCH(MAX(Reference!$A$6,MIN(Reference!$A$11,MIN(D173,90))),Reference!$A$6:$A$11,1))+1)-INDEX(Reference!$B$6:$B$11,MIN(5,MATCH(MAX(Reference!$A$6,MIN(Reference!$A$11,MIN(D173,90))),Reference!$A$6:$A$11,1))))/(INDEX(Reference!$A$6:$A$11,MIN(5,MATCH(MAX(Reference!$A$6,MIN(Reference!$A$11,MIN(D173,90))),Reference!$A$6:$A$11,1))+1)-INDEX(Reference!$A$6:$A$11,MIN(5,MATCH(MAX(Reference!$A$6,MIN(Reference!$A$11,MIN(D173,90))),Reference!$A$6:$A$11,1))))),0)+IF(2&lt;=AE173,(AE173-2+3)*(INDEX(Reference!$B$6:$B$11,MIN(5,MATCH(MAX(Reference!$A$6,MIN(Reference!$A$11,MIN(D173,120))),Reference!$A$6:$A$11,1)))+(MAX(Reference!$A$6,MIN(Reference!$A$11,MIN(D173,120)))-INDEX(Reference!$A$6:$A$11,MIN(5,MATCH(MAX(Reference!$A$6,MIN(Reference!$A$11,MIN(D173,120))),Reference!$A$6:$A$11,1))))*(INDEX(Reference!$B$6:$B$11,MIN(5,MATCH(MAX(Reference!$A$6,MIN(Reference!$A$11,MIN(D173,120))),Reference!$A$6:$A$11,1))+1)-INDEX(Reference!$B$6:$B$11,MIN(5,MATCH(MAX(Reference!$A$6,MIN(Reference!$A$11,MIN(D173,120))),Reference!$A$6:$A$11,1))))/(INDEX(Reference!$A$6:$A$11,MIN(5,MATCH(MAX(Reference!$A$6,MIN(Reference!$A$11,MIN(D173,120))),Reference!$A$6:$A$11,1))+1)-INDEX(Reference!$A$6:$A$11,MIN(5,MATCH(MAX(Reference!$A$6,MIN(Reference!$A$11,MIN(D173,120))),Reference!$A$6:$A$11,1))))),0)+IF(3&lt;=AE173,(AE173-3+3)*(INDEX(Reference!$B$6:$B$11,MIN(5,MATCH(MAX(Reference!$A$6,MIN(Reference!$A$11,MIN(D173,150))),Reference!$A$6:$A$11,1)))+(MAX(Reference!$A$6,MIN(Reference!$A$11,MIN(D173,150)))-INDEX(Reference!$A$6:$A$11,MIN(5,MATCH(MAX(Reference!$A$6,MIN(Reference!$A$11,MIN(D173,150))),Reference!$A$6:$A$11,1))))*(INDEX(Reference!$B$6:$B$11,MIN(5,MATCH(MAX(Reference!$A$6,MIN(Reference!$A$11,MIN(D173,150))),Reference!$A$6:$A$11,1))+1)-INDEX(Reference!$B$6:$B$11,MIN(5,MATCH(MAX(Reference!$A$6,MIN(Reference!$A$11,MIN(D173,150))),Reference!$A$6:$A$11,1))))/(INDEX(Reference!$A$6:$A$11,MIN(5,MATCH(MAX(Reference!$A$6,MIN(Reference!$A$11,MIN(D173,150))),Reference!$A$6:$A$11,1))+1)-INDEX(Reference!$A$6:$A$11,MIN(5,MATCH(MAX(Reference!$A$6,MIN(Reference!$A$11,MIN(D173,150))),Reference!$A$6:$A$11,1))))),0)+IF(4&lt;=AE173,(AE173-4+3)*(INDEX(Reference!$B$6:$B$11,MIN(5,MATCH(MAX(Reference!$A$6,MIN(Reference!$A$11,MIN(D173,180))),Reference!$A$6:$A$11,1)))+(MAX(Reference!$A$6,MIN(Reference!$A$11,MIN(D173,180)))-INDEX(Reference!$A$6:$A$11,MIN(5,MATCH(MAX(Reference!$A$6,MIN(Reference!$A$11,MIN(D173,180))),Reference!$A$6:$A$11,1))))*(INDEX(Reference!$B$6:$B$11,MIN(5,MATCH(MAX(Reference!$A$6,MIN(Reference!$A$11,MIN(D173,180))),Reference!$A$6:$A$11,1))+1)-INDEX(Reference!$B$6:$B$11,MIN(5,MATCH(MAX(Reference!$A$6,MIN(Reference!$A$11,MIN(D173,180))),Reference!$A$6:$A$11,1))))/(INDEX(Reference!$A$6:$A$11,MIN(5,MATCH(MAX(Reference!$A$6,MIN(Reference!$A$11,MIN(D173,180))),Reference!$A$6:$A$11,1))+1)-INDEX(Reference!$A$6:$A$11,MIN(5,MATCH(MAX(Reference!$A$6,MIN(Reference!$A$11,MIN(D173,180))),Reference!$A$6:$A$11,1))))),0)+IF(5&lt;=AE173,(AE173-5+3)*(INDEX(Reference!$B$6:$B$11,MIN(5,MATCH(MAX(Reference!$A$6,MIN(Reference!$A$11,MIN(D173,210))),Reference!$A$6:$A$11,1)))+(MAX(Reference!$A$6,MIN(Reference!$A$11,MIN(D173,210)))-INDEX(Reference!$A$6:$A$11,MIN(5,MATCH(MAX(Reference!$A$6,MIN(Reference!$A$11,MIN(D173,210))),Reference!$A$6:$A$11,1))))*(INDEX(Reference!$B$6:$B$11,MIN(5,MATCH(MAX(Reference!$A$6,MIN(Reference!$A$11,MIN(D173,210))),Reference!$A$6:$A$11,1))+1)-INDEX(Reference!$B$6:$B$11,MIN(5,MATCH(MAX(Reference!$A$6,MIN(Reference!$A$11,MIN(D173,210))),Reference!$A$6:$A$11,1))))/(INDEX(Reference!$A$6:$A$11,MIN(5,MATCH(MAX(Reference!$A$6,MIN(Reference!$A$11,MIN(D173,210))),Reference!$A$6:$A$11,1))+1)-INDEX(Reference!$A$6:$A$11,MIN(5,MATCH(MAX(Reference!$A$6,MIN(Reference!$A$11,MIN(D173,210))),Reference!$A$6:$A$11,1))))),0)+IF(6&lt;=AE173,(AE173-6+3)*(INDEX(Reference!$B$6:$B$11,MIN(5,MATCH(MAX(Reference!$A$6,MIN(Reference!$A$11,MIN(D173,240))),Reference!$A$6:$A$11,1)))+(MAX(Reference!$A$6,MIN(Reference!$A$11,MIN(D173,240)))-INDEX(Reference!$A$6:$A$11,MIN(5,MATCH(MAX(Reference!$A$6,MIN(Reference!$A$11,MIN(D173,240))),Reference!$A$6:$A$11,1))))*(INDEX(Reference!$B$6:$B$11,MIN(5,MATCH(MAX(Reference!$A$6,MIN(Reference!$A$11,MIN(D173,240))),Reference!$A$6:$A$11,1))+1)-INDEX(Reference!$B$6:$B$11,MIN(5,MATCH(MAX(Reference!$A$6,MIN(Reference!$A$11,MIN(D173,240))),Reference!$A$6:$A$11,1))))/(INDEX(Reference!$A$6:$A$11,MIN(5,MATCH(MAX(Reference!$A$6,MIN(Reference!$A$11,MIN(D173,240))),Reference!$A$6:$A$11,1))+1)-INDEX(Reference!$A$6:$A$11,MIN(5,MATCH(MAX(Reference!$A$6,MIN(Reference!$A$11,MIN(D173,240))),Reference!$A$6:$A$11,1))))),0)+IF(7&lt;=AE173,(AE173-7+3)*(INDEX(Reference!$B$6:$B$11,MIN(5,MATCH(MAX(Reference!$A$6,MIN(Reference!$A$11,MIN(D173,270))),Reference!$A$6:$A$11,1)))+(MAX(Reference!$A$6,MIN(Reference!$A$11,MIN(D173,270)))-INDEX(Reference!$A$6:$A$11,MIN(5,MATCH(MAX(Reference!$A$6,MIN(Reference!$A$11,MIN(D173,270))),Reference!$A$6:$A$11,1))))*(INDEX(Reference!$B$6:$B$11,MIN(5,MATCH(MAX(Reference!$A$6,MIN(Reference!$A$11,MIN(D173,270))),Reference!$A$6:$A$11,1))+1)-INDEX(Reference!$B$6:$B$11,MIN(5,MATCH(MAX(Reference!$A$6,MIN(Reference!$A$11,MIN(D173,270))),Reference!$A$6:$A$11,1))))/(INDEX(Reference!$A$6:$A$11,MIN(5,MATCH(MAX(Reference!$A$6,MIN(Reference!$A$11,MIN(D173,270))),Reference!$A$6:$A$11,1))+1)-INDEX(Reference!$A$6:$A$11,MIN(5,MATCH(MAX(Reference!$A$6,MIN(Reference!$A$11,MIN(D173,270))),Reference!$A$6:$A$11,1))))),0)+IF(8&lt;=AE173,(AE173-8+3)*(INDEX(Reference!$B$6:$B$11,MIN(5,MATCH(MAX(Reference!$A$6,MIN(Reference!$A$11,MIN(D173,300))),Reference!$A$6:$A$11,1)))+(MAX(Reference!$A$6,MIN(Reference!$A$11,MIN(D173,300)))-INDEX(Reference!$A$6:$A$11,MIN(5,MATCH(MAX(Reference!$A$6,MIN(Reference!$A$11,MIN(D173,300))),Reference!$A$6:$A$11,1))))*(INDEX(Reference!$B$6:$B$11,MIN(5,MATCH(MAX(Reference!$A$6,MIN(Reference!$A$11,MIN(D173,300))),Reference!$A$6:$A$11,1))+1)-INDEX(Reference!$B$6:$B$11,MIN(5,MATCH(MAX(Reference!$A$6,MIN(Reference!$A$11,MIN(D173,300))),Reference!$A$6:$A$11,1))))/(INDEX(Reference!$A$6:$A$11,MIN(5,MATCH(MAX(Reference!$A$6,MIN(Reference!$A$11,MIN(D173,300))),Reference!$A$6:$A$11,1))+1)-INDEX(Reference!$A$6:$A$11,MIN(5,MATCH(MAX(Reference!$A$6,MIN(Reference!$A$11,MIN(D173,300))),Reference!$A$6:$A$11,1))))),0))/(AE173*(AE173+5)/2)),(INDEX(Reference!$B$6:$B$11,MIN(5,MATCH(MAX(Reference!$A$6,MIN(Reference!$A$11,D173)),Reference!$A$6:$A$11,1)))+(MAX(Reference!$A$6,MIN(Reference!$A$11,D173))-INDEX(Reference!$A$6:$A$11,MIN(5,MATCH(MAX(Reference!$A$6,MIN(Reference!$A$11,D173)),Reference!$A$6:$A$11,1))))*(INDEX(Reference!$B$6:$B$11,MIN(5,MATCH(MAX(Reference!$A$6,MIN(Reference!$A$11,D173)),Reference!$A$6:$A$11,1))+1)-INDEX(Reference!$B$6:$B$11,MIN(5,MATCH(MAX(Reference!$A$6,MIN(Reference!$A$11,D173)),Reference!$A$6:$A$11,1))))/(INDEX(Reference!$A$6:$A$11,MIN(5,MATCH(MAX(Reference!$A$6,MIN(Reference!$A$11,D173)),Reference!$A$6:$A$11,1))+1)-INDEX(Reference!$A$6:$A$11,MIN(5,MATCH(MAX(Reference!$A$6,MIN(Reference!$A$11,D173)),Reference!$A$6:$A$11,1))))))))</f>
        <v/>
      </c>
      <c r="P173" s="32" t="str">
        <f>IF(N173="","",VLOOKUP(MAX(N173,0),Reference!$A$17:$B$20,2,TRUE()))</f>
        <v/>
      </c>
      <c r="Q173" s="32" t="str">
        <f t="shared" si="21"/>
        <v/>
      </c>
      <c r="R173" s="31"/>
      <c r="S173" s="31"/>
      <c r="T173" s="31"/>
      <c r="U173" s="32" t="str">
        <f t="shared" si="22"/>
        <v/>
      </c>
      <c r="V173" s="32" t="str">
        <f t="shared" si="23"/>
        <v/>
      </c>
      <c r="W173" s="32" t="str">
        <f>IF(V173="","",VLOOKUP(MAX(V173,0),Reference!$A$17:$B$20,2,TRUE()))</f>
        <v/>
      </c>
      <c r="X173" s="31"/>
      <c r="Y173" s="31"/>
      <c r="Z173" s="31"/>
      <c r="AA173" s="32" t="str">
        <f t="shared" si="24"/>
        <v/>
      </c>
      <c r="AB173" s="32" t="str">
        <f t="shared" si="25"/>
        <v/>
      </c>
      <c r="AC173" s="32" t="str">
        <f>IF(AB173="","",VLOOKUP(MAX(AB173,0),Reference!$A$17:$B$20,2,TRUE()))</f>
        <v/>
      </c>
      <c r="AD173" s="31"/>
      <c r="AE173">
        <f t="shared" si="26"/>
        <v>1</v>
      </c>
      <c r="AF173" s="33" t="str">
        <f>IF(OR(A173="",B173="",AND(C173&lt;&gt;"Bullpen",C173&lt;&gt;"Game")),"",IF((COUNTIFS($B$5:$B$300,B173,$A$5:$A$300,A173-1,$C$5:$C$300,"Bullpen",$AG$5:$AG$300,"&gt;0") + COUNTIFS($B$5:$B$300,B173,$A$5:$A$300,A173-1,$C$5:$C$300,"Game",$AG$5:$AG$300,"&gt;0"))&gt;0,Reference!$B$119,IF((COUNTIFS($B$5:$B$300,B173,$A$5:$A$300,A173-2,$C$5:$C$300,"Bullpen",$AG$5:$AG$300,"&gt;0") + COUNTIFS($B$5:$B$300,B173,$A$5:$A$300,A173-2,$C$5:$C$300,"Game",$AG$5:$AG$300,"&gt;0"))&gt;0,Reference!$B$120,1)))</f>
        <v/>
      </c>
      <c r="AG173" s="30" t="str">
        <f>IF(AND(OR(I173="",O173="",P173=""),OR(R173="",W173=""),OR(X173="",AC173="")),"",IF(OR(I173="",O173="",P173=""),0,I173*O173*P173)+IF(OR(R173="",W173=""),0,R173*IFERROR(INDEX(Reference!$B$61:$B$62,MATCH("Bullpen",Reference!$A$61:$A$62,0)),0)*W173)+IF(OR(X173="",AC173=""),0,X173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173))</f>
        <v/>
      </c>
    </row>
    <row r="174" spans="1:33" x14ac:dyDescent="0.3">
      <c r="A174" s="35"/>
      <c r="B174" s="31"/>
      <c r="C174" s="31"/>
      <c r="D174" s="31"/>
      <c r="E174" s="34"/>
      <c r="F174" s="34"/>
      <c r="G174" s="30" t="str">
        <f t="shared" si="18"/>
        <v/>
      </c>
      <c r="H174" s="31"/>
      <c r="I174" s="32" t="str">
        <f>IF(H174&lt;&gt;"",H174,IF(G174="","",ROUND(G174*IFERROR(INDEX(Reference!$B$44:$B$50,MATCH(C174,Reference!$A$44:$A$50,0)),0),0)))</f>
        <v/>
      </c>
      <c r="J174" s="31"/>
      <c r="K174" s="31"/>
      <c r="L174" s="32" t="str">
        <f t="shared" si="19"/>
        <v/>
      </c>
      <c r="M174" s="32" t="str">
        <f>IFERROR(INDEX(Roster!$D$5:$D$40,MATCH(B174,Roster!$A$5:$A$40,0)),"")</f>
        <v/>
      </c>
      <c r="N174" s="32" t="str">
        <f t="shared" si="20"/>
        <v/>
      </c>
      <c r="O174" s="32" t="str">
        <f>IF(OR(C174="Bullpen",C174="Game"),IFERROR(INDEX(Reference!$B$61:$B$62,MATCH(C174,Reference!$A$61:$A$62,0)),""),IF(D174="","",IF(AE174&gt;1,((IF(1&lt;=AE174,(AE174-1+3)*(INDEX(Reference!$B$6:$B$11,MIN(5,MATCH(MAX(Reference!$A$6,MIN(Reference!$A$11,MIN(D174,90))),Reference!$A$6:$A$11,1)))+(MAX(Reference!$A$6,MIN(Reference!$A$11,MIN(D174,90)))-INDEX(Reference!$A$6:$A$11,MIN(5,MATCH(MAX(Reference!$A$6,MIN(Reference!$A$11,MIN(D174,90))),Reference!$A$6:$A$11,1))))*(INDEX(Reference!$B$6:$B$11,MIN(5,MATCH(MAX(Reference!$A$6,MIN(Reference!$A$11,MIN(D174,90))),Reference!$A$6:$A$11,1))+1)-INDEX(Reference!$B$6:$B$11,MIN(5,MATCH(MAX(Reference!$A$6,MIN(Reference!$A$11,MIN(D174,90))),Reference!$A$6:$A$11,1))))/(INDEX(Reference!$A$6:$A$11,MIN(5,MATCH(MAX(Reference!$A$6,MIN(Reference!$A$11,MIN(D174,90))),Reference!$A$6:$A$11,1))+1)-INDEX(Reference!$A$6:$A$11,MIN(5,MATCH(MAX(Reference!$A$6,MIN(Reference!$A$11,MIN(D174,90))),Reference!$A$6:$A$11,1))))),0)+IF(2&lt;=AE174,(AE174-2+3)*(INDEX(Reference!$B$6:$B$11,MIN(5,MATCH(MAX(Reference!$A$6,MIN(Reference!$A$11,MIN(D174,120))),Reference!$A$6:$A$11,1)))+(MAX(Reference!$A$6,MIN(Reference!$A$11,MIN(D174,120)))-INDEX(Reference!$A$6:$A$11,MIN(5,MATCH(MAX(Reference!$A$6,MIN(Reference!$A$11,MIN(D174,120))),Reference!$A$6:$A$11,1))))*(INDEX(Reference!$B$6:$B$11,MIN(5,MATCH(MAX(Reference!$A$6,MIN(Reference!$A$11,MIN(D174,120))),Reference!$A$6:$A$11,1))+1)-INDEX(Reference!$B$6:$B$11,MIN(5,MATCH(MAX(Reference!$A$6,MIN(Reference!$A$11,MIN(D174,120))),Reference!$A$6:$A$11,1))))/(INDEX(Reference!$A$6:$A$11,MIN(5,MATCH(MAX(Reference!$A$6,MIN(Reference!$A$11,MIN(D174,120))),Reference!$A$6:$A$11,1))+1)-INDEX(Reference!$A$6:$A$11,MIN(5,MATCH(MAX(Reference!$A$6,MIN(Reference!$A$11,MIN(D174,120))),Reference!$A$6:$A$11,1))))),0)+IF(3&lt;=AE174,(AE174-3+3)*(INDEX(Reference!$B$6:$B$11,MIN(5,MATCH(MAX(Reference!$A$6,MIN(Reference!$A$11,MIN(D174,150))),Reference!$A$6:$A$11,1)))+(MAX(Reference!$A$6,MIN(Reference!$A$11,MIN(D174,150)))-INDEX(Reference!$A$6:$A$11,MIN(5,MATCH(MAX(Reference!$A$6,MIN(Reference!$A$11,MIN(D174,150))),Reference!$A$6:$A$11,1))))*(INDEX(Reference!$B$6:$B$11,MIN(5,MATCH(MAX(Reference!$A$6,MIN(Reference!$A$11,MIN(D174,150))),Reference!$A$6:$A$11,1))+1)-INDEX(Reference!$B$6:$B$11,MIN(5,MATCH(MAX(Reference!$A$6,MIN(Reference!$A$11,MIN(D174,150))),Reference!$A$6:$A$11,1))))/(INDEX(Reference!$A$6:$A$11,MIN(5,MATCH(MAX(Reference!$A$6,MIN(Reference!$A$11,MIN(D174,150))),Reference!$A$6:$A$11,1))+1)-INDEX(Reference!$A$6:$A$11,MIN(5,MATCH(MAX(Reference!$A$6,MIN(Reference!$A$11,MIN(D174,150))),Reference!$A$6:$A$11,1))))),0)+IF(4&lt;=AE174,(AE174-4+3)*(INDEX(Reference!$B$6:$B$11,MIN(5,MATCH(MAX(Reference!$A$6,MIN(Reference!$A$11,MIN(D174,180))),Reference!$A$6:$A$11,1)))+(MAX(Reference!$A$6,MIN(Reference!$A$11,MIN(D174,180)))-INDEX(Reference!$A$6:$A$11,MIN(5,MATCH(MAX(Reference!$A$6,MIN(Reference!$A$11,MIN(D174,180))),Reference!$A$6:$A$11,1))))*(INDEX(Reference!$B$6:$B$11,MIN(5,MATCH(MAX(Reference!$A$6,MIN(Reference!$A$11,MIN(D174,180))),Reference!$A$6:$A$11,1))+1)-INDEX(Reference!$B$6:$B$11,MIN(5,MATCH(MAX(Reference!$A$6,MIN(Reference!$A$11,MIN(D174,180))),Reference!$A$6:$A$11,1))))/(INDEX(Reference!$A$6:$A$11,MIN(5,MATCH(MAX(Reference!$A$6,MIN(Reference!$A$11,MIN(D174,180))),Reference!$A$6:$A$11,1))+1)-INDEX(Reference!$A$6:$A$11,MIN(5,MATCH(MAX(Reference!$A$6,MIN(Reference!$A$11,MIN(D174,180))),Reference!$A$6:$A$11,1))))),0)+IF(5&lt;=AE174,(AE174-5+3)*(INDEX(Reference!$B$6:$B$11,MIN(5,MATCH(MAX(Reference!$A$6,MIN(Reference!$A$11,MIN(D174,210))),Reference!$A$6:$A$11,1)))+(MAX(Reference!$A$6,MIN(Reference!$A$11,MIN(D174,210)))-INDEX(Reference!$A$6:$A$11,MIN(5,MATCH(MAX(Reference!$A$6,MIN(Reference!$A$11,MIN(D174,210))),Reference!$A$6:$A$11,1))))*(INDEX(Reference!$B$6:$B$11,MIN(5,MATCH(MAX(Reference!$A$6,MIN(Reference!$A$11,MIN(D174,210))),Reference!$A$6:$A$11,1))+1)-INDEX(Reference!$B$6:$B$11,MIN(5,MATCH(MAX(Reference!$A$6,MIN(Reference!$A$11,MIN(D174,210))),Reference!$A$6:$A$11,1))))/(INDEX(Reference!$A$6:$A$11,MIN(5,MATCH(MAX(Reference!$A$6,MIN(Reference!$A$11,MIN(D174,210))),Reference!$A$6:$A$11,1))+1)-INDEX(Reference!$A$6:$A$11,MIN(5,MATCH(MAX(Reference!$A$6,MIN(Reference!$A$11,MIN(D174,210))),Reference!$A$6:$A$11,1))))),0)+IF(6&lt;=AE174,(AE174-6+3)*(INDEX(Reference!$B$6:$B$11,MIN(5,MATCH(MAX(Reference!$A$6,MIN(Reference!$A$11,MIN(D174,240))),Reference!$A$6:$A$11,1)))+(MAX(Reference!$A$6,MIN(Reference!$A$11,MIN(D174,240)))-INDEX(Reference!$A$6:$A$11,MIN(5,MATCH(MAX(Reference!$A$6,MIN(Reference!$A$11,MIN(D174,240))),Reference!$A$6:$A$11,1))))*(INDEX(Reference!$B$6:$B$11,MIN(5,MATCH(MAX(Reference!$A$6,MIN(Reference!$A$11,MIN(D174,240))),Reference!$A$6:$A$11,1))+1)-INDEX(Reference!$B$6:$B$11,MIN(5,MATCH(MAX(Reference!$A$6,MIN(Reference!$A$11,MIN(D174,240))),Reference!$A$6:$A$11,1))))/(INDEX(Reference!$A$6:$A$11,MIN(5,MATCH(MAX(Reference!$A$6,MIN(Reference!$A$11,MIN(D174,240))),Reference!$A$6:$A$11,1))+1)-INDEX(Reference!$A$6:$A$11,MIN(5,MATCH(MAX(Reference!$A$6,MIN(Reference!$A$11,MIN(D174,240))),Reference!$A$6:$A$11,1))))),0)+IF(7&lt;=AE174,(AE174-7+3)*(INDEX(Reference!$B$6:$B$11,MIN(5,MATCH(MAX(Reference!$A$6,MIN(Reference!$A$11,MIN(D174,270))),Reference!$A$6:$A$11,1)))+(MAX(Reference!$A$6,MIN(Reference!$A$11,MIN(D174,270)))-INDEX(Reference!$A$6:$A$11,MIN(5,MATCH(MAX(Reference!$A$6,MIN(Reference!$A$11,MIN(D174,270))),Reference!$A$6:$A$11,1))))*(INDEX(Reference!$B$6:$B$11,MIN(5,MATCH(MAX(Reference!$A$6,MIN(Reference!$A$11,MIN(D174,270))),Reference!$A$6:$A$11,1))+1)-INDEX(Reference!$B$6:$B$11,MIN(5,MATCH(MAX(Reference!$A$6,MIN(Reference!$A$11,MIN(D174,270))),Reference!$A$6:$A$11,1))))/(INDEX(Reference!$A$6:$A$11,MIN(5,MATCH(MAX(Reference!$A$6,MIN(Reference!$A$11,MIN(D174,270))),Reference!$A$6:$A$11,1))+1)-INDEX(Reference!$A$6:$A$11,MIN(5,MATCH(MAX(Reference!$A$6,MIN(Reference!$A$11,MIN(D174,270))),Reference!$A$6:$A$11,1))))),0)+IF(8&lt;=AE174,(AE174-8+3)*(INDEX(Reference!$B$6:$B$11,MIN(5,MATCH(MAX(Reference!$A$6,MIN(Reference!$A$11,MIN(D174,300))),Reference!$A$6:$A$11,1)))+(MAX(Reference!$A$6,MIN(Reference!$A$11,MIN(D174,300)))-INDEX(Reference!$A$6:$A$11,MIN(5,MATCH(MAX(Reference!$A$6,MIN(Reference!$A$11,MIN(D174,300))),Reference!$A$6:$A$11,1))))*(INDEX(Reference!$B$6:$B$11,MIN(5,MATCH(MAX(Reference!$A$6,MIN(Reference!$A$11,MIN(D174,300))),Reference!$A$6:$A$11,1))+1)-INDEX(Reference!$B$6:$B$11,MIN(5,MATCH(MAX(Reference!$A$6,MIN(Reference!$A$11,MIN(D174,300))),Reference!$A$6:$A$11,1))))/(INDEX(Reference!$A$6:$A$11,MIN(5,MATCH(MAX(Reference!$A$6,MIN(Reference!$A$11,MIN(D174,300))),Reference!$A$6:$A$11,1))+1)-INDEX(Reference!$A$6:$A$11,MIN(5,MATCH(MAX(Reference!$A$6,MIN(Reference!$A$11,MIN(D174,300))),Reference!$A$6:$A$11,1))))),0))/(AE174*(AE174+5)/2)),(INDEX(Reference!$B$6:$B$11,MIN(5,MATCH(MAX(Reference!$A$6,MIN(Reference!$A$11,D174)),Reference!$A$6:$A$11,1)))+(MAX(Reference!$A$6,MIN(Reference!$A$11,D174))-INDEX(Reference!$A$6:$A$11,MIN(5,MATCH(MAX(Reference!$A$6,MIN(Reference!$A$11,D174)),Reference!$A$6:$A$11,1))))*(INDEX(Reference!$B$6:$B$11,MIN(5,MATCH(MAX(Reference!$A$6,MIN(Reference!$A$11,D174)),Reference!$A$6:$A$11,1))+1)-INDEX(Reference!$B$6:$B$11,MIN(5,MATCH(MAX(Reference!$A$6,MIN(Reference!$A$11,D174)),Reference!$A$6:$A$11,1))))/(INDEX(Reference!$A$6:$A$11,MIN(5,MATCH(MAX(Reference!$A$6,MIN(Reference!$A$11,D174)),Reference!$A$6:$A$11,1))+1)-INDEX(Reference!$A$6:$A$11,MIN(5,MATCH(MAX(Reference!$A$6,MIN(Reference!$A$11,D174)),Reference!$A$6:$A$11,1))))))))</f>
        <v/>
      </c>
      <c r="P174" s="32" t="str">
        <f>IF(N174="","",VLOOKUP(MAX(N174,0),Reference!$A$17:$B$20,2,TRUE()))</f>
        <v/>
      </c>
      <c r="Q174" s="32" t="str">
        <f t="shared" si="21"/>
        <v/>
      </c>
      <c r="R174" s="31"/>
      <c r="S174" s="31"/>
      <c r="T174" s="31"/>
      <c r="U174" s="32" t="str">
        <f t="shared" si="22"/>
        <v/>
      </c>
      <c r="V174" s="32" t="str">
        <f t="shared" si="23"/>
        <v/>
      </c>
      <c r="W174" s="32" t="str">
        <f>IF(V174="","",VLOOKUP(MAX(V174,0),Reference!$A$17:$B$20,2,TRUE()))</f>
        <v/>
      </c>
      <c r="X174" s="31"/>
      <c r="Y174" s="31"/>
      <c r="Z174" s="31"/>
      <c r="AA174" s="32" t="str">
        <f t="shared" si="24"/>
        <v/>
      </c>
      <c r="AB174" s="32" t="str">
        <f t="shared" si="25"/>
        <v/>
      </c>
      <c r="AC174" s="32" t="str">
        <f>IF(AB174="","",VLOOKUP(MAX(AB174,0),Reference!$A$17:$B$20,2,TRUE()))</f>
        <v/>
      </c>
      <c r="AD174" s="31"/>
      <c r="AE174">
        <f t="shared" si="26"/>
        <v>1</v>
      </c>
      <c r="AF174" s="33" t="str">
        <f>IF(OR(A174="",B174="",AND(C174&lt;&gt;"Bullpen",C174&lt;&gt;"Game")),"",IF((COUNTIFS($B$5:$B$300,B174,$A$5:$A$300,A174-1,$C$5:$C$300,"Bullpen",$AG$5:$AG$300,"&gt;0") + COUNTIFS($B$5:$B$300,B174,$A$5:$A$300,A174-1,$C$5:$C$300,"Game",$AG$5:$AG$300,"&gt;0"))&gt;0,Reference!$B$119,IF((COUNTIFS($B$5:$B$300,B174,$A$5:$A$300,A174-2,$C$5:$C$300,"Bullpen",$AG$5:$AG$300,"&gt;0") + COUNTIFS($B$5:$B$300,B174,$A$5:$A$300,A174-2,$C$5:$C$300,"Game",$AG$5:$AG$300,"&gt;0"))&gt;0,Reference!$B$120,1)))</f>
        <v/>
      </c>
      <c r="AG174" s="30" t="str">
        <f>IF(AND(OR(I174="",O174="",P174=""),OR(R174="",W174=""),OR(X174="",AC174="")),"",IF(OR(I174="",O174="",P174=""),0,I174*O174*P174)+IF(OR(R174="",W174=""),0,R174*IFERROR(INDEX(Reference!$B$61:$B$62,MATCH("Bullpen",Reference!$A$61:$A$62,0)),0)*W174)+IF(OR(X174="",AC174=""),0,X174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174))</f>
        <v/>
      </c>
    </row>
    <row r="175" spans="1:33" x14ac:dyDescent="0.3">
      <c r="A175" s="35"/>
      <c r="B175" s="31"/>
      <c r="C175" s="31"/>
      <c r="D175" s="31"/>
      <c r="E175" s="34"/>
      <c r="F175" s="34"/>
      <c r="G175" s="30" t="str">
        <f t="shared" si="18"/>
        <v/>
      </c>
      <c r="H175" s="31"/>
      <c r="I175" s="32" t="str">
        <f>IF(H175&lt;&gt;"",H175,IF(G175="","",ROUND(G175*IFERROR(INDEX(Reference!$B$44:$B$50,MATCH(C175,Reference!$A$44:$A$50,0)),0),0)))</f>
        <v/>
      </c>
      <c r="J175" s="31"/>
      <c r="K175" s="31"/>
      <c r="L175" s="32" t="str">
        <f t="shared" si="19"/>
        <v/>
      </c>
      <c r="M175" s="32" t="str">
        <f>IFERROR(INDEX(Roster!$D$5:$D$40,MATCH(B175,Roster!$A$5:$A$40,0)),"")</f>
        <v/>
      </c>
      <c r="N175" s="32" t="str">
        <f t="shared" si="20"/>
        <v/>
      </c>
      <c r="O175" s="32" t="str">
        <f>IF(OR(C175="Bullpen",C175="Game"),IFERROR(INDEX(Reference!$B$61:$B$62,MATCH(C175,Reference!$A$61:$A$62,0)),""),IF(D175="","",IF(AE175&gt;1,((IF(1&lt;=AE175,(AE175-1+3)*(INDEX(Reference!$B$6:$B$11,MIN(5,MATCH(MAX(Reference!$A$6,MIN(Reference!$A$11,MIN(D175,90))),Reference!$A$6:$A$11,1)))+(MAX(Reference!$A$6,MIN(Reference!$A$11,MIN(D175,90)))-INDEX(Reference!$A$6:$A$11,MIN(5,MATCH(MAX(Reference!$A$6,MIN(Reference!$A$11,MIN(D175,90))),Reference!$A$6:$A$11,1))))*(INDEX(Reference!$B$6:$B$11,MIN(5,MATCH(MAX(Reference!$A$6,MIN(Reference!$A$11,MIN(D175,90))),Reference!$A$6:$A$11,1))+1)-INDEX(Reference!$B$6:$B$11,MIN(5,MATCH(MAX(Reference!$A$6,MIN(Reference!$A$11,MIN(D175,90))),Reference!$A$6:$A$11,1))))/(INDEX(Reference!$A$6:$A$11,MIN(5,MATCH(MAX(Reference!$A$6,MIN(Reference!$A$11,MIN(D175,90))),Reference!$A$6:$A$11,1))+1)-INDEX(Reference!$A$6:$A$11,MIN(5,MATCH(MAX(Reference!$A$6,MIN(Reference!$A$11,MIN(D175,90))),Reference!$A$6:$A$11,1))))),0)+IF(2&lt;=AE175,(AE175-2+3)*(INDEX(Reference!$B$6:$B$11,MIN(5,MATCH(MAX(Reference!$A$6,MIN(Reference!$A$11,MIN(D175,120))),Reference!$A$6:$A$11,1)))+(MAX(Reference!$A$6,MIN(Reference!$A$11,MIN(D175,120)))-INDEX(Reference!$A$6:$A$11,MIN(5,MATCH(MAX(Reference!$A$6,MIN(Reference!$A$11,MIN(D175,120))),Reference!$A$6:$A$11,1))))*(INDEX(Reference!$B$6:$B$11,MIN(5,MATCH(MAX(Reference!$A$6,MIN(Reference!$A$11,MIN(D175,120))),Reference!$A$6:$A$11,1))+1)-INDEX(Reference!$B$6:$B$11,MIN(5,MATCH(MAX(Reference!$A$6,MIN(Reference!$A$11,MIN(D175,120))),Reference!$A$6:$A$11,1))))/(INDEX(Reference!$A$6:$A$11,MIN(5,MATCH(MAX(Reference!$A$6,MIN(Reference!$A$11,MIN(D175,120))),Reference!$A$6:$A$11,1))+1)-INDEX(Reference!$A$6:$A$11,MIN(5,MATCH(MAX(Reference!$A$6,MIN(Reference!$A$11,MIN(D175,120))),Reference!$A$6:$A$11,1))))),0)+IF(3&lt;=AE175,(AE175-3+3)*(INDEX(Reference!$B$6:$B$11,MIN(5,MATCH(MAX(Reference!$A$6,MIN(Reference!$A$11,MIN(D175,150))),Reference!$A$6:$A$11,1)))+(MAX(Reference!$A$6,MIN(Reference!$A$11,MIN(D175,150)))-INDEX(Reference!$A$6:$A$11,MIN(5,MATCH(MAX(Reference!$A$6,MIN(Reference!$A$11,MIN(D175,150))),Reference!$A$6:$A$11,1))))*(INDEX(Reference!$B$6:$B$11,MIN(5,MATCH(MAX(Reference!$A$6,MIN(Reference!$A$11,MIN(D175,150))),Reference!$A$6:$A$11,1))+1)-INDEX(Reference!$B$6:$B$11,MIN(5,MATCH(MAX(Reference!$A$6,MIN(Reference!$A$11,MIN(D175,150))),Reference!$A$6:$A$11,1))))/(INDEX(Reference!$A$6:$A$11,MIN(5,MATCH(MAX(Reference!$A$6,MIN(Reference!$A$11,MIN(D175,150))),Reference!$A$6:$A$11,1))+1)-INDEX(Reference!$A$6:$A$11,MIN(5,MATCH(MAX(Reference!$A$6,MIN(Reference!$A$11,MIN(D175,150))),Reference!$A$6:$A$11,1))))),0)+IF(4&lt;=AE175,(AE175-4+3)*(INDEX(Reference!$B$6:$B$11,MIN(5,MATCH(MAX(Reference!$A$6,MIN(Reference!$A$11,MIN(D175,180))),Reference!$A$6:$A$11,1)))+(MAX(Reference!$A$6,MIN(Reference!$A$11,MIN(D175,180)))-INDEX(Reference!$A$6:$A$11,MIN(5,MATCH(MAX(Reference!$A$6,MIN(Reference!$A$11,MIN(D175,180))),Reference!$A$6:$A$11,1))))*(INDEX(Reference!$B$6:$B$11,MIN(5,MATCH(MAX(Reference!$A$6,MIN(Reference!$A$11,MIN(D175,180))),Reference!$A$6:$A$11,1))+1)-INDEX(Reference!$B$6:$B$11,MIN(5,MATCH(MAX(Reference!$A$6,MIN(Reference!$A$11,MIN(D175,180))),Reference!$A$6:$A$11,1))))/(INDEX(Reference!$A$6:$A$11,MIN(5,MATCH(MAX(Reference!$A$6,MIN(Reference!$A$11,MIN(D175,180))),Reference!$A$6:$A$11,1))+1)-INDEX(Reference!$A$6:$A$11,MIN(5,MATCH(MAX(Reference!$A$6,MIN(Reference!$A$11,MIN(D175,180))),Reference!$A$6:$A$11,1))))),0)+IF(5&lt;=AE175,(AE175-5+3)*(INDEX(Reference!$B$6:$B$11,MIN(5,MATCH(MAX(Reference!$A$6,MIN(Reference!$A$11,MIN(D175,210))),Reference!$A$6:$A$11,1)))+(MAX(Reference!$A$6,MIN(Reference!$A$11,MIN(D175,210)))-INDEX(Reference!$A$6:$A$11,MIN(5,MATCH(MAX(Reference!$A$6,MIN(Reference!$A$11,MIN(D175,210))),Reference!$A$6:$A$11,1))))*(INDEX(Reference!$B$6:$B$11,MIN(5,MATCH(MAX(Reference!$A$6,MIN(Reference!$A$11,MIN(D175,210))),Reference!$A$6:$A$11,1))+1)-INDEX(Reference!$B$6:$B$11,MIN(5,MATCH(MAX(Reference!$A$6,MIN(Reference!$A$11,MIN(D175,210))),Reference!$A$6:$A$11,1))))/(INDEX(Reference!$A$6:$A$11,MIN(5,MATCH(MAX(Reference!$A$6,MIN(Reference!$A$11,MIN(D175,210))),Reference!$A$6:$A$11,1))+1)-INDEX(Reference!$A$6:$A$11,MIN(5,MATCH(MAX(Reference!$A$6,MIN(Reference!$A$11,MIN(D175,210))),Reference!$A$6:$A$11,1))))),0)+IF(6&lt;=AE175,(AE175-6+3)*(INDEX(Reference!$B$6:$B$11,MIN(5,MATCH(MAX(Reference!$A$6,MIN(Reference!$A$11,MIN(D175,240))),Reference!$A$6:$A$11,1)))+(MAX(Reference!$A$6,MIN(Reference!$A$11,MIN(D175,240)))-INDEX(Reference!$A$6:$A$11,MIN(5,MATCH(MAX(Reference!$A$6,MIN(Reference!$A$11,MIN(D175,240))),Reference!$A$6:$A$11,1))))*(INDEX(Reference!$B$6:$B$11,MIN(5,MATCH(MAX(Reference!$A$6,MIN(Reference!$A$11,MIN(D175,240))),Reference!$A$6:$A$11,1))+1)-INDEX(Reference!$B$6:$B$11,MIN(5,MATCH(MAX(Reference!$A$6,MIN(Reference!$A$11,MIN(D175,240))),Reference!$A$6:$A$11,1))))/(INDEX(Reference!$A$6:$A$11,MIN(5,MATCH(MAX(Reference!$A$6,MIN(Reference!$A$11,MIN(D175,240))),Reference!$A$6:$A$11,1))+1)-INDEX(Reference!$A$6:$A$11,MIN(5,MATCH(MAX(Reference!$A$6,MIN(Reference!$A$11,MIN(D175,240))),Reference!$A$6:$A$11,1))))),0)+IF(7&lt;=AE175,(AE175-7+3)*(INDEX(Reference!$B$6:$B$11,MIN(5,MATCH(MAX(Reference!$A$6,MIN(Reference!$A$11,MIN(D175,270))),Reference!$A$6:$A$11,1)))+(MAX(Reference!$A$6,MIN(Reference!$A$11,MIN(D175,270)))-INDEX(Reference!$A$6:$A$11,MIN(5,MATCH(MAX(Reference!$A$6,MIN(Reference!$A$11,MIN(D175,270))),Reference!$A$6:$A$11,1))))*(INDEX(Reference!$B$6:$B$11,MIN(5,MATCH(MAX(Reference!$A$6,MIN(Reference!$A$11,MIN(D175,270))),Reference!$A$6:$A$11,1))+1)-INDEX(Reference!$B$6:$B$11,MIN(5,MATCH(MAX(Reference!$A$6,MIN(Reference!$A$11,MIN(D175,270))),Reference!$A$6:$A$11,1))))/(INDEX(Reference!$A$6:$A$11,MIN(5,MATCH(MAX(Reference!$A$6,MIN(Reference!$A$11,MIN(D175,270))),Reference!$A$6:$A$11,1))+1)-INDEX(Reference!$A$6:$A$11,MIN(5,MATCH(MAX(Reference!$A$6,MIN(Reference!$A$11,MIN(D175,270))),Reference!$A$6:$A$11,1))))),0)+IF(8&lt;=AE175,(AE175-8+3)*(INDEX(Reference!$B$6:$B$11,MIN(5,MATCH(MAX(Reference!$A$6,MIN(Reference!$A$11,MIN(D175,300))),Reference!$A$6:$A$11,1)))+(MAX(Reference!$A$6,MIN(Reference!$A$11,MIN(D175,300)))-INDEX(Reference!$A$6:$A$11,MIN(5,MATCH(MAX(Reference!$A$6,MIN(Reference!$A$11,MIN(D175,300))),Reference!$A$6:$A$11,1))))*(INDEX(Reference!$B$6:$B$11,MIN(5,MATCH(MAX(Reference!$A$6,MIN(Reference!$A$11,MIN(D175,300))),Reference!$A$6:$A$11,1))+1)-INDEX(Reference!$B$6:$B$11,MIN(5,MATCH(MAX(Reference!$A$6,MIN(Reference!$A$11,MIN(D175,300))),Reference!$A$6:$A$11,1))))/(INDEX(Reference!$A$6:$A$11,MIN(5,MATCH(MAX(Reference!$A$6,MIN(Reference!$A$11,MIN(D175,300))),Reference!$A$6:$A$11,1))+1)-INDEX(Reference!$A$6:$A$11,MIN(5,MATCH(MAX(Reference!$A$6,MIN(Reference!$A$11,MIN(D175,300))),Reference!$A$6:$A$11,1))))),0))/(AE175*(AE175+5)/2)),(INDEX(Reference!$B$6:$B$11,MIN(5,MATCH(MAX(Reference!$A$6,MIN(Reference!$A$11,D175)),Reference!$A$6:$A$11,1)))+(MAX(Reference!$A$6,MIN(Reference!$A$11,D175))-INDEX(Reference!$A$6:$A$11,MIN(5,MATCH(MAX(Reference!$A$6,MIN(Reference!$A$11,D175)),Reference!$A$6:$A$11,1))))*(INDEX(Reference!$B$6:$B$11,MIN(5,MATCH(MAX(Reference!$A$6,MIN(Reference!$A$11,D175)),Reference!$A$6:$A$11,1))+1)-INDEX(Reference!$B$6:$B$11,MIN(5,MATCH(MAX(Reference!$A$6,MIN(Reference!$A$11,D175)),Reference!$A$6:$A$11,1))))/(INDEX(Reference!$A$6:$A$11,MIN(5,MATCH(MAX(Reference!$A$6,MIN(Reference!$A$11,D175)),Reference!$A$6:$A$11,1))+1)-INDEX(Reference!$A$6:$A$11,MIN(5,MATCH(MAX(Reference!$A$6,MIN(Reference!$A$11,D175)),Reference!$A$6:$A$11,1))))))))</f>
        <v/>
      </c>
      <c r="P175" s="32" t="str">
        <f>IF(N175="","",VLOOKUP(MAX(N175,0),Reference!$A$17:$B$20,2,TRUE()))</f>
        <v/>
      </c>
      <c r="Q175" s="32" t="str">
        <f t="shared" si="21"/>
        <v/>
      </c>
      <c r="R175" s="31"/>
      <c r="S175" s="31"/>
      <c r="T175" s="31"/>
      <c r="U175" s="32" t="str">
        <f t="shared" si="22"/>
        <v/>
      </c>
      <c r="V175" s="32" t="str">
        <f t="shared" si="23"/>
        <v/>
      </c>
      <c r="W175" s="32" t="str">
        <f>IF(V175="","",VLOOKUP(MAX(V175,0),Reference!$A$17:$B$20,2,TRUE()))</f>
        <v/>
      </c>
      <c r="X175" s="31"/>
      <c r="Y175" s="31"/>
      <c r="Z175" s="31"/>
      <c r="AA175" s="32" t="str">
        <f t="shared" si="24"/>
        <v/>
      </c>
      <c r="AB175" s="32" t="str">
        <f t="shared" si="25"/>
        <v/>
      </c>
      <c r="AC175" s="32" t="str">
        <f>IF(AB175="","",VLOOKUP(MAX(AB175,0),Reference!$A$17:$B$20,2,TRUE()))</f>
        <v/>
      </c>
      <c r="AD175" s="31"/>
      <c r="AE175">
        <f t="shared" si="26"/>
        <v>1</v>
      </c>
      <c r="AF175" s="33" t="str">
        <f>IF(OR(A175="",B175="",AND(C175&lt;&gt;"Bullpen",C175&lt;&gt;"Game")),"",IF((COUNTIFS($B$5:$B$300,B175,$A$5:$A$300,A175-1,$C$5:$C$300,"Bullpen",$AG$5:$AG$300,"&gt;0") + COUNTIFS($B$5:$B$300,B175,$A$5:$A$300,A175-1,$C$5:$C$300,"Game",$AG$5:$AG$300,"&gt;0"))&gt;0,Reference!$B$119,IF((COUNTIFS($B$5:$B$300,B175,$A$5:$A$300,A175-2,$C$5:$C$300,"Bullpen",$AG$5:$AG$300,"&gt;0") + COUNTIFS($B$5:$B$300,B175,$A$5:$A$300,A175-2,$C$5:$C$300,"Game",$AG$5:$AG$300,"&gt;0"))&gt;0,Reference!$B$120,1)))</f>
        <v/>
      </c>
      <c r="AG175" s="30" t="str">
        <f>IF(AND(OR(I175="",O175="",P175=""),OR(R175="",W175=""),OR(X175="",AC175="")),"",IF(OR(I175="",O175="",P175=""),0,I175*O175*P175)+IF(OR(R175="",W175=""),0,R175*IFERROR(INDEX(Reference!$B$61:$B$62,MATCH("Bullpen",Reference!$A$61:$A$62,0)),0)*W175)+IF(OR(X175="",AC175=""),0,X175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175))</f>
        <v/>
      </c>
    </row>
    <row r="176" spans="1:33" x14ac:dyDescent="0.3">
      <c r="A176" s="35"/>
      <c r="B176" s="31"/>
      <c r="C176" s="31"/>
      <c r="D176" s="31"/>
      <c r="E176" s="34"/>
      <c r="F176" s="34"/>
      <c r="G176" s="30" t="str">
        <f t="shared" si="18"/>
        <v/>
      </c>
      <c r="H176" s="31"/>
      <c r="I176" s="32" t="str">
        <f>IF(H176&lt;&gt;"",H176,IF(G176="","",ROUND(G176*IFERROR(INDEX(Reference!$B$44:$B$50,MATCH(C176,Reference!$A$44:$A$50,0)),0),0)))</f>
        <v/>
      </c>
      <c r="J176" s="31"/>
      <c r="K176" s="31"/>
      <c r="L176" s="32" t="str">
        <f t="shared" si="19"/>
        <v/>
      </c>
      <c r="M176" s="32" t="str">
        <f>IFERROR(INDEX(Roster!$D$5:$D$40,MATCH(B176,Roster!$A$5:$A$40,0)),"")</f>
        <v/>
      </c>
      <c r="N176" s="32" t="str">
        <f t="shared" si="20"/>
        <v/>
      </c>
      <c r="O176" s="32" t="str">
        <f>IF(OR(C176="Bullpen",C176="Game"),IFERROR(INDEX(Reference!$B$61:$B$62,MATCH(C176,Reference!$A$61:$A$62,0)),""),IF(D176="","",IF(AE176&gt;1,((IF(1&lt;=AE176,(AE176-1+3)*(INDEX(Reference!$B$6:$B$11,MIN(5,MATCH(MAX(Reference!$A$6,MIN(Reference!$A$11,MIN(D176,90))),Reference!$A$6:$A$11,1)))+(MAX(Reference!$A$6,MIN(Reference!$A$11,MIN(D176,90)))-INDEX(Reference!$A$6:$A$11,MIN(5,MATCH(MAX(Reference!$A$6,MIN(Reference!$A$11,MIN(D176,90))),Reference!$A$6:$A$11,1))))*(INDEX(Reference!$B$6:$B$11,MIN(5,MATCH(MAX(Reference!$A$6,MIN(Reference!$A$11,MIN(D176,90))),Reference!$A$6:$A$11,1))+1)-INDEX(Reference!$B$6:$B$11,MIN(5,MATCH(MAX(Reference!$A$6,MIN(Reference!$A$11,MIN(D176,90))),Reference!$A$6:$A$11,1))))/(INDEX(Reference!$A$6:$A$11,MIN(5,MATCH(MAX(Reference!$A$6,MIN(Reference!$A$11,MIN(D176,90))),Reference!$A$6:$A$11,1))+1)-INDEX(Reference!$A$6:$A$11,MIN(5,MATCH(MAX(Reference!$A$6,MIN(Reference!$A$11,MIN(D176,90))),Reference!$A$6:$A$11,1))))),0)+IF(2&lt;=AE176,(AE176-2+3)*(INDEX(Reference!$B$6:$B$11,MIN(5,MATCH(MAX(Reference!$A$6,MIN(Reference!$A$11,MIN(D176,120))),Reference!$A$6:$A$11,1)))+(MAX(Reference!$A$6,MIN(Reference!$A$11,MIN(D176,120)))-INDEX(Reference!$A$6:$A$11,MIN(5,MATCH(MAX(Reference!$A$6,MIN(Reference!$A$11,MIN(D176,120))),Reference!$A$6:$A$11,1))))*(INDEX(Reference!$B$6:$B$11,MIN(5,MATCH(MAX(Reference!$A$6,MIN(Reference!$A$11,MIN(D176,120))),Reference!$A$6:$A$11,1))+1)-INDEX(Reference!$B$6:$B$11,MIN(5,MATCH(MAX(Reference!$A$6,MIN(Reference!$A$11,MIN(D176,120))),Reference!$A$6:$A$11,1))))/(INDEX(Reference!$A$6:$A$11,MIN(5,MATCH(MAX(Reference!$A$6,MIN(Reference!$A$11,MIN(D176,120))),Reference!$A$6:$A$11,1))+1)-INDEX(Reference!$A$6:$A$11,MIN(5,MATCH(MAX(Reference!$A$6,MIN(Reference!$A$11,MIN(D176,120))),Reference!$A$6:$A$11,1))))),0)+IF(3&lt;=AE176,(AE176-3+3)*(INDEX(Reference!$B$6:$B$11,MIN(5,MATCH(MAX(Reference!$A$6,MIN(Reference!$A$11,MIN(D176,150))),Reference!$A$6:$A$11,1)))+(MAX(Reference!$A$6,MIN(Reference!$A$11,MIN(D176,150)))-INDEX(Reference!$A$6:$A$11,MIN(5,MATCH(MAX(Reference!$A$6,MIN(Reference!$A$11,MIN(D176,150))),Reference!$A$6:$A$11,1))))*(INDEX(Reference!$B$6:$B$11,MIN(5,MATCH(MAX(Reference!$A$6,MIN(Reference!$A$11,MIN(D176,150))),Reference!$A$6:$A$11,1))+1)-INDEX(Reference!$B$6:$B$11,MIN(5,MATCH(MAX(Reference!$A$6,MIN(Reference!$A$11,MIN(D176,150))),Reference!$A$6:$A$11,1))))/(INDEX(Reference!$A$6:$A$11,MIN(5,MATCH(MAX(Reference!$A$6,MIN(Reference!$A$11,MIN(D176,150))),Reference!$A$6:$A$11,1))+1)-INDEX(Reference!$A$6:$A$11,MIN(5,MATCH(MAX(Reference!$A$6,MIN(Reference!$A$11,MIN(D176,150))),Reference!$A$6:$A$11,1))))),0)+IF(4&lt;=AE176,(AE176-4+3)*(INDEX(Reference!$B$6:$B$11,MIN(5,MATCH(MAX(Reference!$A$6,MIN(Reference!$A$11,MIN(D176,180))),Reference!$A$6:$A$11,1)))+(MAX(Reference!$A$6,MIN(Reference!$A$11,MIN(D176,180)))-INDEX(Reference!$A$6:$A$11,MIN(5,MATCH(MAX(Reference!$A$6,MIN(Reference!$A$11,MIN(D176,180))),Reference!$A$6:$A$11,1))))*(INDEX(Reference!$B$6:$B$11,MIN(5,MATCH(MAX(Reference!$A$6,MIN(Reference!$A$11,MIN(D176,180))),Reference!$A$6:$A$11,1))+1)-INDEX(Reference!$B$6:$B$11,MIN(5,MATCH(MAX(Reference!$A$6,MIN(Reference!$A$11,MIN(D176,180))),Reference!$A$6:$A$11,1))))/(INDEX(Reference!$A$6:$A$11,MIN(5,MATCH(MAX(Reference!$A$6,MIN(Reference!$A$11,MIN(D176,180))),Reference!$A$6:$A$11,1))+1)-INDEX(Reference!$A$6:$A$11,MIN(5,MATCH(MAX(Reference!$A$6,MIN(Reference!$A$11,MIN(D176,180))),Reference!$A$6:$A$11,1))))),0)+IF(5&lt;=AE176,(AE176-5+3)*(INDEX(Reference!$B$6:$B$11,MIN(5,MATCH(MAX(Reference!$A$6,MIN(Reference!$A$11,MIN(D176,210))),Reference!$A$6:$A$11,1)))+(MAX(Reference!$A$6,MIN(Reference!$A$11,MIN(D176,210)))-INDEX(Reference!$A$6:$A$11,MIN(5,MATCH(MAX(Reference!$A$6,MIN(Reference!$A$11,MIN(D176,210))),Reference!$A$6:$A$11,1))))*(INDEX(Reference!$B$6:$B$11,MIN(5,MATCH(MAX(Reference!$A$6,MIN(Reference!$A$11,MIN(D176,210))),Reference!$A$6:$A$11,1))+1)-INDEX(Reference!$B$6:$B$11,MIN(5,MATCH(MAX(Reference!$A$6,MIN(Reference!$A$11,MIN(D176,210))),Reference!$A$6:$A$11,1))))/(INDEX(Reference!$A$6:$A$11,MIN(5,MATCH(MAX(Reference!$A$6,MIN(Reference!$A$11,MIN(D176,210))),Reference!$A$6:$A$11,1))+1)-INDEX(Reference!$A$6:$A$11,MIN(5,MATCH(MAX(Reference!$A$6,MIN(Reference!$A$11,MIN(D176,210))),Reference!$A$6:$A$11,1))))),0)+IF(6&lt;=AE176,(AE176-6+3)*(INDEX(Reference!$B$6:$B$11,MIN(5,MATCH(MAX(Reference!$A$6,MIN(Reference!$A$11,MIN(D176,240))),Reference!$A$6:$A$11,1)))+(MAX(Reference!$A$6,MIN(Reference!$A$11,MIN(D176,240)))-INDEX(Reference!$A$6:$A$11,MIN(5,MATCH(MAX(Reference!$A$6,MIN(Reference!$A$11,MIN(D176,240))),Reference!$A$6:$A$11,1))))*(INDEX(Reference!$B$6:$B$11,MIN(5,MATCH(MAX(Reference!$A$6,MIN(Reference!$A$11,MIN(D176,240))),Reference!$A$6:$A$11,1))+1)-INDEX(Reference!$B$6:$B$11,MIN(5,MATCH(MAX(Reference!$A$6,MIN(Reference!$A$11,MIN(D176,240))),Reference!$A$6:$A$11,1))))/(INDEX(Reference!$A$6:$A$11,MIN(5,MATCH(MAX(Reference!$A$6,MIN(Reference!$A$11,MIN(D176,240))),Reference!$A$6:$A$11,1))+1)-INDEX(Reference!$A$6:$A$11,MIN(5,MATCH(MAX(Reference!$A$6,MIN(Reference!$A$11,MIN(D176,240))),Reference!$A$6:$A$11,1))))),0)+IF(7&lt;=AE176,(AE176-7+3)*(INDEX(Reference!$B$6:$B$11,MIN(5,MATCH(MAX(Reference!$A$6,MIN(Reference!$A$11,MIN(D176,270))),Reference!$A$6:$A$11,1)))+(MAX(Reference!$A$6,MIN(Reference!$A$11,MIN(D176,270)))-INDEX(Reference!$A$6:$A$11,MIN(5,MATCH(MAX(Reference!$A$6,MIN(Reference!$A$11,MIN(D176,270))),Reference!$A$6:$A$11,1))))*(INDEX(Reference!$B$6:$B$11,MIN(5,MATCH(MAX(Reference!$A$6,MIN(Reference!$A$11,MIN(D176,270))),Reference!$A$6:$A$11,1))+1)-INDEX(Reference!$B$6:$B$11,MIN(5,MATCH(MAX(Reference!$A$6,MIN(Reference!$A$11,MIN(D176,270))),Reference!$A$6:$A$11,1))))/(INDEX(Reference!$A$6:$A$11,MIN(5,MATCH(MAX(Reference!$A$6,MIN(Reference!$A$11,MIN(D176,270))),Reference!$A$6:$A$11,1))+1)-INDEX(Reference!$A$6:$A$11,MIN(5,MATCH(MAX(Reference!$A$6,MIN(Reference!$A$11,MIN(D176,270))),Reference!$A$6:$A$11,1))))),0)+IF(8&lt;=AE176,(AE176-8+3)*(INDEX(Reference!$B$6:$B$11,MIN(5,MATCH(MAX(Reference!$A$6,MIN(Reference!$A$11,MIN(D176,300))),Reference!$A$6:$A$11,1)))+(MAX(Reference!$A$6,MIN(Reference!$A$11,MIN(D176,300)))-INDEX(Reference!$A$6:$A$11,MIN(5,MATCH(MAX(Reference!$A$6,MIN(Reference!$A$11,MIN(D176,300))),Reference!$A$6:$A$11,1))))*(INDEX(Reference!$B$6:$B$11,MIN(5,MATCH(MAX(Reference!$A$6,MIN(Reference!$A$11,MIN(D176,300))),Reference!$A$6:$A$11,1))+1)-INDEX(Reference!$B$6:$B$11,MIN(5,MATCH(MAX(Reference!$A$6,MIN(Reference!$A$11,MIN(D176,300))),Reference!$A$6:$A$11,1))))/(INDEX(Reference!$A$6:$A$11,MIN(5,MATCH(MAX(Reference!$A$6,MIN(Reference!$A$11,MIN(D176,300))),Reference!$A$6:$A$11,1))+1)-INDEX(Reference!$A$6:$A$11,MIN(5,MATCH(MAX(Reference!$A$6,MIN(Reference!$A$11,MIN(D176,300))),Reference!$A$6:$A$11,1))))),0))/(AE176*(AE176+5)/2)),(INDEX(Reference!$B$6:$B$11,MIN(5,MATCH(MAX(Reference!$A$6,MIN(Reference!$A$11,D176)),Reference!$A$6:$A$11,1)))+(MAX(Reference!$A$6,MIN(Reference!$A$11,D176))-INDEX(Reference!$A$6:$A$11,MIN(5,MATCH(MAX(Reference!$A$6,MIN(Reference!$A$11,D176)),Reference!$A$6:$A$11,1))))*(INDEX(Reference!$B$6:$B$11,MIN(5,MATCH(MAX(Reference!$A$6,MIN(Reference!$A$11,D176)),Reference!$A$6:$A$11,1))+1)-INDEX(Reference!$B$6:$B$11,MIN(5,MATCH(MAX(Reference!$A$6,MIN(Reference!$A$11,D176)),Reference!$A$6:$A$11,1))))/(INDEX(Reference!$A$6:$A$11,MIN(5,MATCH(MAX(Reference!$A$6,MIN(Reference!$A$11,D176)),Reference!$A$6:$A$11,1))+1)-INDEX(Reference!$A$6:$A$11,MIN(5,MATCH(MAX(Reference!$A$6,MIN(Reference!$A$11,D176)),Reference!$A$6:$A$11,1))))))))</f>
        <v/>
      </c>
      <c r="P176" s="32" t="str">
        <f>IF(N176="","",VLOOKUP(MAX(N176,0),Reference!$A$17:$B$20,2,TRUE()))</f>
        <v/>
      </c>
      <c r="Q176" s="32" t="str">
        <f t="shared" si="21"/>
        <v/>
      </c>
      <c r="R176" s="31"/>
      <c r="S176" s="31"/>
      <c r="T176" s="31"/>
      <c r="U176" s="32" t="str">
        <f t="shared" si="22"/>
        <v/>
      </c>
      <c r="V176" s="32" t="str">
        <f t="shared" si="23"/>
        <v/>
      </c>
      <c r="W176" s="32" t="str">
        <f>IF(V176="","",VLOOKUP(MAX(V176,0),Reference!$A$17:$B$20,2,TRUE()))</f>
        <v/>
      </c>
      <c r="X176" s="31"/>
      <c r="Y176" s="31"/>
      <c r="Z176" s="31"/>
      <c r="AA176" s="32" t="str">
        <f t="shared" si="24"/>
        <v/>
      </c>
      <c r="AB176" s="32" t="str">
        <f t="shared" si="25"/>
        <v/>
      </c>
      <c r="AC176" s="32" t="str">
        <f>IF(AB176="","",VLOOKUP(MAX(AB176,0),Reference!$A$17:$B$20,2,TRUE()))</f>
        <v/>
      </c>
      <c r="AD176" s="31"/>
      <c r="AE176">
        <f t="shared" si="26"/>
        <v>1</v>
      </c>
      <c r="AF176" s="33" t="str">
        <f>IF(OR(A176="",B176="",AND(C176&lt;&gt;"Bullpen",C176&lt;&gt;"Game")),"",IF((COUNTIFS($B$5:$B$300,B176,$A$5:$A$300,A176-1,$C$5:$C$300,"Bullpen",$AG$5:$AG$300,"&gt;0") + COUNTIFS($B$5:$B$300,B176,$A$5:$A$300,A176-1,$C$5:$C$300,"Game",$AG$5:$AG$300,"&gt;0"))&gt;0,Reference!$B$119,IF((COUNTIFS($B$5:$B$300,B176,$A$5:$A$300,A176-2,$C$5:$C$300,"Bullpen",$AG$5:$AG$300,"&gt;0") + COUNTIFS($B$5:$B$300,B176,$A$5:$A$300,A176-2,$C$5:$C$300,"Game",$AG$5:$AG$300,"&gt;0"))&gt;0,Reference!$B$120,1)))</f>
        <v/>
      </c>
      <c r="AG176" s="30" t="str">
        <f>IF(AND(OR(I176="",O176="",P176=""),OR(R176="",W176=""),OR(X176="",AC176="")),"",IF(OR(I176="",O176="",P176=""),0,I176*O176*P176)+IF(OR(R176="",W176=""),0,R176*IFERROR(INDEX(Reference!$B$61:$B$62,MATCH("Bullpen",Reference!$A$61:$A$62,0)),0)*W176)+IF(OR(X176="",AC176=""),0,X176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176))</f>
        <v/>
      </c>
    </row>
    <row r="177" spans="1:33" x14ac:dyDescent="0.3">
      <c r="A177" s="35"/>
      <c r="B177" s="31"/>
      <c r="C177" s="31"/>
      <c r="D177" s="31"/>
      <c r="E177" s="34"/>
      <c r="F177" s="34"/>
      <c r="G177" s="30" t="str">
        <f t="shared" si="18"/>
        <v/>
      </c>
      <c r="H177" s="31"/>
      <c r="I177" s="32" t="str">
        <f>IF(H177&lt;&gt;"",H177,IF(G177="","",ROUND(G177*IFERROR(INDEX(Reference!$B$44:$B$50,MATCH(C177,Reference!$A$44:$A$50,0)),0),0)))</f>
        <v/>
      </c>
      <c r="J177" s="31"/>
      <c r="K177" s="31"/>
      <c r="L177" s="32" t="str">
        <f t="shared" si="19"/>
        <v/>
      </c>
      <c r="M177" s="32" t="str">
        <f>IFERROR(INDEX(Roster!$D$5:$D$40,MATCH(B177,Roster!$A$5:$A$40,0)),"")</f>
        <v/>
      </c>
      <c r="N177" s="32" t="str">
        <f t="shared" si="20"/>
        <v/>
      </c>
      <c r="O177" s="32" t="str">
        <f>IF(OR(C177="Bullpen",C177="Game"),IFERROR(INDEX(Reference!$B$61:$B$62,MATCH(C177,Reference!$A$61:$A$62,0)),""),IF(D177="","",IF(AE177&gt;1,((IF(1&lt;=AE177,(AE177-1+3)*(INDEX(Reference!$B$6:$B$11,MIN(5,MATCH(MAX(Reference!$A$6,MIN(Reference!$A$11,MIN(D177,90))),Reference!$A$6:$A$11,1)))+(MAX(Reference!$A$6,MIN(Reference!$A$11,MIN(D177,90)))-INDEX(Reference!$A$6:$A$11,MIN(5,MATCH(MAX(Reference!$A$6,MIN(Reference!$A$11,MIN(D177,90))),Reference!$A$6:$A$11,1))))*(INDEX(Reference!$B$6:$B$11,MIN(5,MATCH(MAX(Reference!$A$6,MIN(Reference!$A$11,MIN(D177,90))),Reference!$A$6:$A$11,1))+1)-INDEX(Reference!$B$6:$B$11,MIN(5,MATCH(MAX(Reference!$A$6,MIN(Reference!$A$11,MIN(D177,90))),Reference!$A$6:$A$11,1))))/(INDEX(Reference!$A$6:$A$11,MIN(5,MATCH(MAX(Reference!$A$6,MIN(Reference!$A$11,MIN(D177,90))),Reference!$A$6:$A$11,1))+1)-INDEX(Reference!$A$6:$A$11,MIN(5,MATCH(MAX(Reference!$A$6,MIN(Reference!$A$11,MIN(D177,90))),Reference!$A$6:$A$11,1))))),0)+IF(2&lt;=AE177,(AE177-2+3)*(INDEX(Reference!$B$6:$B$11,MIN(5,MATCH(MAX(Reference!$A$6,MIN(Reference!$A$11,MIN(D177,120))),Reference!$A$6:$A$11,1)))+(MAX(Reference!$A$6,MIN(Reference!$A$11,MIN(D177,120)))-INDEX(Reference!$A$6:$A$11,MIN(5,MATCH(MAX(Reference!$A$6,MIN(Reference!$A$11,MIN(D177,120))),Reference!$A$6:$A$11,1))))*(INDEX(Reference!$B$6:$B$11,MIN(5,MATCH(MAX(Reference!$A$6,MIN(Reference!$A$11,MIN(D177,120))),Reference!$A$6:$A$11,1))+1)-INDEX(Reference!$B$6:$B$11,MIN(5,MATCH(MAX(Reference!$A$6,MIN(Reference!$A$11,MIN(D177,120))),Reference!$A$6:$A$11,1))))/(INDEX(Reference!$A$6:$A$11,MIN(5,MATCH(MAX(Reference!$A$6,MIN(Reference!$A$11,MIN(D177,120))),Reference!$A$6:$A$11,1))+1)-INDEX(Reference!$A$6:$A$11,MIN(5,MATCH(MAX(Reference!$A$6,MIN(Reference!$A$11,MIN(D177,120))),Reference!$A$6:$A$11,1))))),0)+IF(3&lt;=AE177,(AE177-3+3)*(INDEX(Reference!$B$6:$B$11,MIN(5,MATCH(MAX(Reference!$A$6,MIN(Reference!$A$11,MIN(D177,150))),Reference!$A$6:$A$11,1)))+(MAX(Reference!$A$6,MIN(Reference!$A$11,MIN(D177,150)))-INDEX(Reference!$A$6:$A$11,MIN(5,MATCH(MAX(Reference!$A$6,MIN(Reference!$A$11,MIN(D177,150))),Reference!$A$6:$A$11,1))))*(INDEX(Reference!$B$6:$B$11,MIN(5,MATCH(MAX(Reference!$A$6,MIN(Reference!$A$11,MIN(D177,150))),Reference!$A$6:$A$11,1))+1)-INDEX(Reference!$B$6:$B$11,MIN(5,MATCH(MAX(Reference!$A$6,MIN(Reference!$A$11,MIN(D177,150))),Reference!$A$6:$A$11,1))))/(INDEX(Reference!$A$6:$A$11,MIN(5,MATCH(MAX(Reference!$A$6,MIN(Reference!$A$11,MIN(D177,150))),Reference!$A$6:$A$11,1))+1)-INDEX(Reference!$A$6:$A$11,MIN(5,MATCH(MAX(Reference!$A$6,MIN(Reference!$A$11,MIN(D177,150))),Reference!$A$6:$A$11,1))))),0)+IF(4&lt;=AE177,(AE177-4+3)*(INDEX(Reference!$B$6:$B$11,MIN(5,MATCH(MAX(Reference!$A$6,MIN(Reference!$A$11,MIN(D177,180))),Reference!$A$6:$A$11,1)))+(MAX(Reference!$A$6,MIN(Reference!$A$11,MIN(D177,180)))-INDEX(Reference!$A$6:$A$11,MIN(5,MATCH(MAX(Reference!$A$6,MIN(Reference!$A$11,MIN(D177,180))),Reference!$A$6:$A$11,1))))*(INDEX(Reference!$B$6:$B$11,MIN(5,MATCH(MAX(Reference!$A$6,MIN(Reference!$A$11,MIN(D177,180))),Reference!$A$6:$A$11,1))+1)-INDEX(Reference!$B$6:$B$11,MIN(5,MATCH(MAX(Reference!$A$6,MIN(Reference!$A$11,MIN(D177,180))),Reference!$A$6:$A$11,1))))/(INDEX(Reference!$A$6:$A$11,MIN(5,MATCH(MAX(Reference!$A$6,MIN(Reference!$A$11,MIN(D177,180))),Reference!$A$6:$A$11,1))+1)-INDEX(Reference!$A$6:$A$11,MIN(5,MATCH(MAX(Reference!$A$6,MIN(Reference!$A$11,MIN(D177,180))),Reference!$A$6:$A$11,1))))),0)+IF(5&lt;=AE177,(AE177-5+3)*(INDEX(Reference!$B$6:$B$11,MIN(5,MATCH(MAX(Reference!$A$6,MIN(Reference!$A$11,MIN(D177,210))),Reference!$A$6:$A$11,1)))+(MAX(Reference!$A$6,MIN(Reference!$A$11,MIN(D177,210)))-INDEX(Reference!$A$6:$A$11,MIN(5,MATCH(MAX(Reference!$A$6,MIN(Reference!$A$11,MIN(D177,210))),Reference!$A$6:$A$11,1))))*(INDEX(Reference!$B$6:$B$11,MIN(5,MATCH(MAX(Reference!$A$6,MIN(Reference!$A$11,MIN(D177,210))),Reference!$A$6:$A$11,1))+1)-INDEX(Reference!$B$6:$B$11,MIN(5,MATCH(MAX(Reference!$A$6,MIN(Reference!$A$11,MIN(D177,210))),Reference!$A$6:$A$11,1))))/(INDEX(Reference!$A$6:$A$11,MIN(5,MATCH(MAX(Reference!$A$6,MIN(Reference!$A$11,MIN(D177,210))),Reference!$A$6:$A$11,1))+1)-INDEX(Reference!$A$6:$A$11,MIN(5,MATCH(MAX(Reference!$A$6,MIN(Reference!$A$11,MIN(D177,210))),Reference!$A$6:$A$11,1))))),0)+IF(6&lt;=AE177,(AE177-6+3)*(INDEX(Reference!$B$6:$B$11,MIN(5,MATCH(MAX(Reference!$A$6,MIN(Reference!$A$11,MIN(D177,240))),Reference!$A$6:$A$11,1)))+(MAX(Reference!$A$6,MIN(Reference!$A$11,MIN(D177,240)))-INDEX(Reference!$A$6:$A$11,MIN(5,MATCH(MAX(Reference!$A$6,MIN(Reference!$A$11,MIN(D177,240))),Reference!$A$6:$A$11,1))))*(INDEX(Reference!$B$6:$B$11,MIN(5,MATCH(MAX(Reference!$A$6,MIN(Reference!$A$11,MIN(D177,240))),Reference!$A$6:$A$11,1))+1)-INDEX(Reference!$B$6:$B$11,MIN(5,MATCH(MAX(Reference!$A$6,MIN(Reference!$A$11,MIN(D177,240))),Reference!$A$6:$A$11,1))))/(INDEX(Reference!$A$6:$A$11,MIN(5,MATCH(MAX(Reference!$A$6,MIN(Reference!$A$11,MIN(D177,240))),Reference!$A$6:$A$11,1))+1)-INDEX(Reference!$A$6:$A$11,MIN(5,MATCH(MAX(Reference!$A$6,MIN(Reference!$A$11,MIN(D177,240))),Reference!$A$6:$A$11,1))))),0)+IF(7&lt;=AE177,(AE177-7+3)*(INDEX(Reference!$B$6:$B$11,MIN(5,MATCH(MAX(Reference!$A$6,MIN(Reference!$A$11,MIN(D177,270))),Reference!$A$6:$A$11,1)))+(MAX(Reference!$A$6,MIN(Reference!$A$11,MIN(D177,270)))-INDEX(Reference!$A$6:$A$11,MIN(5,MATCH(MAX(Reference!$A$6,MIN(Reference!$A$11,MIN(D177,270))),Reference!$A$6:$A$11,1))))*(INDEX(Reference!$B$6:$B$11,MIN(5,MATCH(MAX(Reference!$A$6,MIN(Reference!$A$11,MIN(D177,270))),Reference!$A$6:$A$11,1))+1)-INDEX(Reference!$B$6:$B$11,MIN(5,MATCH(MAX(Reference!$A$6,MIN(Reference!$A$11,MIN(D177,270))),Reference!$A$6:$A$11,1))))/(INDEX(Reference!$A$6:$A$11,MIN(5,MATCH(MAX(Reference!$A$6,MIN(Reference!$A$11,MIN(D177,270))),Reference!$A$6:$A$11,1))+1)-INDEX(Reference!$A$6:$A$11,MIN(5,MATCH(MAX(Reference!$A$6,MIN(Reference!$A$11,MIN(D177,270))),Reference!$A$6:$A$11,1))))),0)+IF(8&lt;=AE177,(AE177-8+3)*(INDEX(Reference!$B$6:$B$11,MIN(5,MATCH(MAX(Reference!$A$6,MIN(Reference!$A$11,MIN(D177,300))),Reference!$A$6:$A$11,1)))+(MAX(Reference!$A$6,MIN(Reference!$A$11,MIN(D177,300)))-INDEX(Reference!$A$6:$A$11,MIN(5,MATCH(MAX(Reference!$A$6,MIN(Reference!$A$11,MIN(D177,300))),Reference!$A$6:$A$11,1))))*(INDEX(Reference!$B$6:$B$11,MIN(5,MATCH(MAX(Reference!$A$6,MIN(Reference!$A$11,MIN(D177,300))),Reference!$A$6:$A$11,1))+1)-INDEX(Reference!$B$6:$B$11,MIN(5,MATCH(MAX(Reference!$A$6,MIN(Reference!$A$11,MIN(D177,300))),Reference!$A$6:$A$11,1))))/(INDEX(Reference!$A$6:$A$11,MIN(5,MATCH(MAX(Reference!$A$6,MIN(Reference!$A$11,MIN(D177,300))),Reference!$A$6:$A$11,1))+1)-INDEX(Reference!$A$6:$A$11,MIN(5,MATCH(MAX(Reference!$A$6,MIN(Reference!$A$11,MIN(D177,300))),Reference!$A$6:$A$11,1))))),0))/(AE177*(AE177+5)/2)),(INDEX(Reference!$B$6:$B$11,MIN(5,MATCH(MAX(Reference!$A$6,MIN(Reference!$A$11,D177)),Reference!$A$6:$A$11,1)))+(MAX(Reference!$A$6,MIN(Reference!$A$11,D177))-INDEX(Reference!$A$6:$A$11,MIN(5,MATCH(MAX(Reference!$A$6,MIN(Reference!$A$11,D177)),Reference!$A$6:$A$11,1))))*(INDEX(Reference!$B$6:$B$11,MIN(5,MATCH(MAX(Reference!$A$6,MIN(Reference!$A$11,D177)),Reference!$A$6:$A$11,1))+1)-INDEX(Reference!$B$6:$B$11,MIN(5,MATCH(MAX(Reference!$A$6,MIN(Reference!$A$11,D177)),Reference!$A$6:$A$11,1))))/(INDEX(Reference!$A$6:$A$11,MIN(5,MATCH(MAX(Reference!$A$6,MIN(Reference!$A$11,D177)),Reference!$A$6:$A$11,1))+1)-INDEX(Reference!$A$6:$A$11,MIN(5,MATCH(MAX(Reference!$A$6,MIN(Reference!$A$11,D177)),Reference!$A$6:$A$11,1))))))))</f>
        <v/>
      </c>
      <c r="P177" s="32" t="str">
        <f>IF(N177="","",VLOOKUP(MAX(N177,0),Reference!$A$17:$B$20,2,TRUE()))</f>
        <v/>
      </c>
      <c r="Q177" s="32" t="str">
        <f t="shared" si="21"/>
        <v/>
      </c>
      <c r="R177" s="31"/>
      <c r="S177" s="31"/>
      <c r="T177" s="31"/>
      <c r="U177" s="32" t="str">
        <f t="shared" si="22"/>
        <v/>
      </c>
      <c r="V177" s="32" t="str">
        <f t="shared" si="23"/>
        <v/>
      </c>
      <c r="W177" s="32" t="str">
        <f>IF(V177="","",VLOOKUP(MAX(V177,0),Reference!$A$17:$B$20,2,TRUE()))</f>
        <v/>
      </c>
      <c r="X177" s="31"/>
      <c r="Y177" s="31"/>
      <c r="Z177" s="31"/>
      <c r="AA177" s="32" t="str">
        <f t="shared" si="24"/>
        <v/>
      </c>
      <c r="AB177" s="32" t="str">
        <f t="shared" si="25"/>
        <v/>
      </c>
      <c r="AC177" s="32" t="str">
        <f>IF(AB177="","",VLOOKUP(MAX(AB177,0),Reference!$A$17:$B$20,2,TRUE()))</f>
        <v/>
      </c>
      <c r="AD177" s="31"/>
      <c r="AE177">
        <f t="shared" si="26"/>
        <v>1</v>
      </c>
      <c r="AF177" s="33" t="str">
        <f>IF(OR(A177="",B177="",AND(C177&lt;&gt;"Bullpen",C177&lt;&gt;"Game")),"",IF((COUNTIFS($B$5:$B$300,B177,$A$5:$A$300,A177-1,$C$5:$C$300,"Bullpen",$AG$5:$AG$300,"&gt;0") + COUNTIFS($B$5:$B$300,B177,$A$5:$A$300,A177-1,$C$5:$C$300,"Game",$AG$5:$AG$300,"&gt;0"))&gt;0,Reference!$B$119,IF((COUNTIFS($B$5:$B$300,B177,$A$5:$A$300,A177-2,$C$5:$C$300,"Bullpen",$AG$5:$AG$300,"&gt;0") + COUNTIFS($B$5:$B$300,B177,$A$5:$A$300,A177-2,$C$5:$C$300,"Game",$AG$5:$AG$300,"&gt;0"))&gt;0,Reference!$B$120,1)))</f>
        <v/>
      </c>
      <c r="AG177" s="30" t="str">
        <f>IF(AND(OR(I177="",O177="",P177=""),OR(R177="",W177=""),OR(X177="",AC177="")),"",IF(OR(I177="",O177="",P177=""),0,I177*O177*P177)+IF(OR(R177="",W177=""),0,R177*IFERROR(INDEX(Reference!$B$61:$B$62,MATCH("Bullpen",Reference!$A$61:$A$62,0)),0)*W177)+IF(OR(X177="",AC177=""),0,X177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177))</f>
        <v/>
      </c>
    </row>
    <row r="178" spans="1:33" x14ac:dyDescent="0.3">
      <c r="A178" s="35"/>
      <c r="B178" s="31"/>
      <c r="C178" s="31"/>
      <c r="D178" s="31"/>
      <c r="E178" s="34"/>
      <c r="F178" s="34"/>
      <c r="G178" s="30" t="str">
        <f t="shared" si="18"/>
        <v/>
      </c>
      <c r="H178" s="31"/>
      <c r="I178" s="32" t="str">
        <f>IF(H178&lt;&gt;"",H178,IF(G178="","",ROUND(G178*IFERROR(INDEX(Reference!$B$44:$B$50,MATCH(C178,Reference!$A$44:$A$50,0)),0),0)))</f>
        <v/>
      </c>
      <c r="J178" s="31"/>
      <c r="K178" s="31"/>
      <c r="L178" s="32" t="str">
        <f t="shared" si="19"/>
        <v/>
      </c>
      <c r="M178" s="32" t="str">
        <f>IFERROR(INDEX(Roster!$D$5:$D$40,MATCH(B178,Roster!$A$5:$A$40,0)),"")</f>
        <v/>
      </c>
      <c r="N178" s="32" t="str">
        <f t="shared" si="20"/>
        <v/>
      </c>
      <c r="O178" s="32" t="str">
        <f>IF(OR(C178="Bullpen",C178="Game"),IFERROR(INDEX(Reference!$B$61:$B$62,MATCH(C178,Reference!$A$61:$A$62,0)),""),IF(D178="","",IF(AE178&gt;1,((IF(1&lt;=AE178,(AE178-1+3)*(INDEX(Reference!$B$6:$B$11,MIN(5,MATCH(MAX(Reference!$A$6,MIN(Reference!$A$11,MIN(D178,90))),Reference!$A$6:$A$11,1)))+(MAX(Reference!$A$6,MIN(Reference!$A$11,MIN(D178,90)))-INDEX(Reference!$A$6:$A$11,MIN(5,MATCH(MAX(Reference!$A$6,MIN(Reference!$A$11,MIN(D178,90))),Reference!$A$6:$A$11,1))))*(INDEX(Reference!$B$6:$B$11,MIN(5,MATCH(MAX(Reference!$A$6,MIN(Reference!$A$11,MIN(D178,90))),Reference!$A$6:$A$11,1))+1)-INDEX(Reference!$B$6:$B$11,MIN(5,MATCH(MAX(Reference!$A$6,MIN(Reference!$A$11,MIN(D178,90))),Reference!$A$6:$A$11,1))))/(INDEX(Reference!$A$6:$A$11,MIN(5,MATCH(MAX(Reference!$A$6,MIN(Reference!$A$11,MIN(D178,90))),Reference!$A$6:$A$11,1))+1)-INDEX(Reference!$A$6:$A$11,MIN(5,MATCH(MAX(Reference!$A$6,MIN(Reference!$A$11,MIN(D178,90))),Reference!$A$6:$A$11,1))))),0)+IF(2&lt;=AE178,(AE178-2+3)*(INDEX(Reference!$B$6:$B$11,MIN(5,MATCH(MAX(Reference!$A$6,MIN(Reference!$A$11,MIN(D178,120))),Reference!$A$6:$A$11,1)))+(MAX(Reference!$A$6,MIN(Reference!$A$11,MIN(D178,120)))-INDEX(Reference!$A$6:$A$11,MIN(5,MATCH(MAX(Reference!$A$6,MIN(Reference!$A$11,MIN(D178,120))),Reference!$A$6:$A$11,1))))*(INDEX(Reference!$B$6:$B$11,MIN(5,MATCH(MAX(Reference!$A$6,MIN(Reference!$A$11,MIN(D178,120))),Reference!$A$6:$A$11,1))+1)-INDEX(Reference!$B$6:$B$11,MIN(5,MATCH(MAX(Reference!$A$6,MIN(Reference!$A$11,MIN(D178,120))),Reference!$A$6:$A$11,1))))/(INDEX(Reference!$A$6:$A$11,MIN(5,MATCH(MAX(Reference!$A$6,MIN(Reference!$A$11,MIN(D178,120))),Reference!$A$6:$A$11,1))+1)-INDEX(Reference!$A$6:$A$11,MIN(5,MATCH(MAX(Reference!$A$6,MIN(Reference!$A$11,MIN(D178,120))),Reference!$A$6:$A$11,1))))),0)+IF(3&lt;=AE178,(AE178-3+3)*(INDEX(Reference!$B$6:$B$11,MIN(5,MATCH(MAX(Reference!$A$6,MIN(Reference!$A$11,MIN(D178,150))),Reference!$A$6:$A$11,1)))+(MAX(Reference!$A$6,MIN(Reference!$A$11,MIN(D178,150)))-INDEX(Reference!$A$6:$A$11,MIN(5,MATCH(MAX(Reference!$A$6,MIN(Reference!$A$11,MIN(D178,150))),Reference!$A$6:$A$11,1))))*(INDEX(Reference!$B$6:$B$11,MIN(5,MATCH(MAX(Reference!$A$6,MIN(Reference!$A$11,MIN(D178,150))),Reference!$A$6:$A$11,1))+1)-INDEX(Reference!$B$6:$B$11,MIN(5,MATCH(MAX(Reference!$A$6,MIN(Reference!$A$11,MIN(D178,150))),Reference!$A$6:$A$11,1))))/(INDEX(Reference!$A$6:$A$11,MIN(5,MATCH(MAX(Reference!$A$6,MIN(Reference!$A$11,MIN(D178,150))),Reference!$A$6:$A$11,1))+1)-INDEX(Reference!$A$6:$A$11,MIN(5,MATCH(MAX(Reference!$A$6,MIN(Reference!$A$11,MIN(D178,150))),Reference!$A$6:$A$11,1))))),0)+IF(4&lt;=AE178,(AE178-4+3)*(INDEX(Reference!$B$6:$B$11,MIN(5,MATCH(MAX(Reference!$A$6,MIN(Reference!$A$11,MIN(D178,180))),Reference!$A$6:$A$11,1)))+(MAX(Reference!$A$6,MIN(Reference!$A$11,MIN(D178,180)))-INDEX(Reference!$A$6:$A$11,MIN(5,MATCH(MAX(Reference!$A$6,MIN(Reference!$A$11,MIN(D178,180))),Reference!$A$6:$A$11,1))))*(INDEX(Reference!$B$6:$B$11,MIN(5,MATCH(MAX(Reference!$A$6,MIN(Reference!$A$11,MIN(D178,180))),Reference!$A$6:$A$11,1))+1)-INDEX(Reference!$B$6:$B$11,MIN(5,MATCH(MAX(Reference!$A$6,MIN(Reference!$A$11,MIN(D178,180))),Reference!$A$6:$A$11,1))))/(INDEX(Reference!$A$6:$A$11,MIN(5,MATCH(MAX(Reference!$A$6,MIN(Reference!$A$11,MIN(D178,180))),Reference!$A$6:$A$11,1))+1)-INDEX(Reference!$A$6:$A$11,MIN(5,MATCH(MAX(Reference!$A$6,MIN(Reference!$A$11,MIN(D178,180))),Reference!$A$6:$A$11,1))))),0)+IF(5&lt;=AE178,(AE178-5+3)*(INDEX(Reference!$B$6:$B$11,MIN(5,MATCH(MAX(Reference!$A$6,MIN(Reference!$A$11,MIN(D178,210))),Reference!$A$6:$A$11,1)))+(MAX(Reference!$A$6,MIN(Reference!$A$11,MIN(D178,210)))-INDEX(Reference!$A$6:$A$11,MIN(5,MATCH(MAX(Reference!$A$6,MIN(Reference!$A$11,MIN(D178,210))),Reference!$A$6:$A$11,1))))*(INDEX(Reference!$B$6:$B$11,MIN(5,MATCH(MAX(Reference!$A$6,MIN(Reference!$A$11,MIN(D178,210))),Reference!$A$6:$A$11,1))+1)-INDEX(Reference!$B$6:$B$11,MIN(5,MATCH(MAX(Reference!$A$6,MIN(Reference!$A$11,MIN(D178,210))),Reference!$A$6:$A$11,1))))/(INDEX(Reference!$A$6:$A$11,MIN(5,MATCH(MAX(Reference!$A$6,MIN(Reference!$A$11,MIN(D178,210))),Reference!$A$6:$A$11,1))+1)-INDEX(Reference!$A$6:$A$11,MIN(5,MATCH(MAX(Reference!$A$6,MIN(Reference!$A$11,MIN(D178,210))),Reference!$A$6:$A$11,1))))),0)+IF(6&lt;=AE178,(AE178-6+3)*(INDEX(Reference!$B$6:$B$11,MIN(5,MATCH(MAX(Reference!$A$6,MIN(Reference!$A$11,MIN(D178,240))),Reference!$A$6:$A$11,1)))+(MAX(Reference!$A$6,MIN(Reference!$A$11,MIN(D178,240)))-INDEX(Reference!$A$6:$A$11,MIN(5,MATCH(MAX(Reference!$A$6,MIN(Reference!$A$11,MIN(D178,240))),Reference!$A$6:$A$11,1))))*(INDEX(Reference!$B$6:$B$11,MIN(5,MATCH(MAX(Reference!$A$6,MIN(Reference!$A$11,MIN(D178,240))),Reference!$A$6:$A$11,1))+1)-INDEX(Reference!$B$6:$B$11,MIN(5,MATCH(MAX(Reference!$A$6,MIN(Reference!$A$11,MIN(D178,240))),Reference!$A$6:$A$11,1))))/(INDEX(Reference!$A$6:$A$11,MIN(5,MATCH(MAX(Reference!$A$6,MIN(Reference!$A$11,MIN(D178,240))),Reference!$A$6:$A$11,1))+1)-INDEX(Reference!$A$6:$A$11,MIN(5,MATCH(MAX(Reference!$A$6,MIN(Reference!$A$11,MIN(D178,240))),Reference!$A$6:$A$11,1))))),0)+IF(7&lt;=AE178,(AE178-7+3)*(INDEX(Reference!$B$6:$B$11,MIN(5,MATCH(MAX(Reference!$A$6,MIN(Reference!$A$11,MIN(D178,270))),Reference!$A$6:$A$11,1)))+(MAX(Reference!$A$6,MIN(Reference!$A$11,MIN(D178,270)))-INDEX(Reference!$A$6:$A$11,MIN(5,MATCH(MAX(Reference!$A$6,MIN(Reference!$A$11,MIN(D178,270))),Reference!$A$6:$A$11,1))))*(INDEX(Reference!$B$6:$B$11,MIN(5,MATCH(MAX(Reference!$A$6,MIN(Reference!$A$11,MIN(D178,270))),Reference!$A$6:$A$11,1))+1)-INDEX(Reference!$B$6:$B$11,MIN(5,MATCH(MAX(Reference!$A$6,MIN(Reference!$A$11,MIN(D178,270))),Reference!$A$6:$A$11,1))))/(INDEX(Reference!$A$6:$A$11,MIN(5,MATCH(MAX(Reference!$A$6,MIN(Reference!$A$11,MIN(D178,270))),Reference!$A$6:$A$11,1))+1)-INDEX(Reference!$A$6:$A$11,MIN(5,MATCH(MAX(Reference!$A$6,MIN(Reference!$A$11,MIN(D178,270))),Reference!$A$6:$A$11,1))))),0)+IF(8&lt;=AE178,(AE178-8+3)*(INDEX(Reference!$B$6:$B$11,MIN(5,MATCH(MAX(Reference!$A$6,MIN(Reference!$A$11,MIN(D178,300))),Reference!$A$6:$A$11,1)))+(MAX(Reference!$A$6,MIN(Reference!$A$11,MIN(D178,300)))-INDEX(Reference!$A$6:$A$11,MIN(5,MATCH(MAX(Reference!$A$6,MIN(Reference!$A$11,MIN(D178,300))),Reference!$A$6:$A$11,1))))*(INDEX(Reference!$B$6:$B$11,MIN(5,MATCH(MAX(Reference!$A$6,MIN(Reference!$A$11,MIN(D178,300))),Reference!$A$6:$A$11,1))+1)-INDEX(Reference!$B$6:$B$11,MIN(5,MATCH(MAX(Reference!$A$6,MIN(Reference!$A$11,MIN(D178,300))),Reference!$A$6:$A$11,1))))/(INDEX(Reference!$A$6:$A$11,MIN(5,MATCH(MAX(Reference!$A$6,MIN(Reference!$A$11,MIN(D178,300))),Reference!$A$6:$A$11,1))+1)-INDEX(Reference!$A$6:$A$11,MIN(5,MATCH(MAX(Reference!$A$6,MIN(Reference!$A$11,MIN(D178,300))),Reference!$A$6:$A$11,1))))),0))/(AE178*(AE178+5)/2)),(INDEX(Reference!$B$6:$B$11,MIN(5,MATCH(MAX(Reference!$A$6,MIN(Reference!$A$11,D178)),Reference!$A$6:$A$11,1)))+(MAX(Reference!$A$6,MIN(Reference!$A$11,D178))-INDEX(Reference!$A$6:$A$11,MIN(5,MATCH(MAX(Reference!$A$6,MIN(Reference!$A$11,D178)),Reference!$A$6:$A$11,1))))*(INDEX(Reference!$B$6:$B$11,MIN(5,MATCH(MAX(Reference!$A$6,MIN(Reference!$A$11,D178)),Reference!$A$6:$A$11,1))+1)-INDEX(Reference!$B$6:$B$11,MIN(5,MATCH(MAX(Reference!$A$6,MIN(Reference!$A$11,D178)),Reference!$A$6:$A$11,1))))/(INDEX(Reference!$A$6:$A$11,MIN(5,MATCH(MAX(Reference!$A$6,MIN(Reference!$A$11,D178)),Reference!$A$6:$A$11,1))+1)-INDEX(Reference!$A$6:$A$11,MIN(5,MATCH(MAX(Reference!$A$6,MIN(Reference!$A$11,D178)),Reference!$A$6:$A$11,1))))))))</f>
        <v/>
      </c>
      <c r="P178" s="32" t="str">
        <f>IF(N178="","",VLOOKUP(MAX(N178,0),Reference!$A$17:$B$20,2,TRUE()))</f>
        <v/>
      </c>
      <c r="Q178" s="32" t="str">
        <f t="shared" si="21"/>
        <v/>
      </c>
      <c r="R178" s="31"/>
      <c r="S178" s="31"/>
      <c r="T178" s="31"/>
      <c r="U178" s="32" t="str">
        <f t="shared" si="22"/>
        <v/>
      </c>
      <c r="V178" s="32" t="str">
        <f t="shared" si="23"/>
        <v/>
      </c>
      <c r="W178" s="32" t="str">
        <f>IF(V178="","",VLOOKUP(MAX(V178,0),Reference!$A$17:$B$20,2,TRUE()))</f>
        <v/>
      </c>
      <c r="X178" s="31"/>
      <c r="Y178" s="31"/>
      <c r="Z178" s="31"/>
      <c r="AA178" s="32" t="str">
        <f t="shared" si="24"/>
        <v/>
      </c>
      <c r="AB178" s="32" t="str">
        <f t="shared" si="25"/>
        <v/>
      </c>
      <c r="AC178" s="32" t="str">
        <f>IF(AB178="","",VLOOKUP(MAX(AB178,0),Reference!$A$17:$B$20,2,TRUE()))</f>
        <v/>
      </c>
      <c r="AD178" s="31"/>
      <c r="AE178">
        <f t="shared" si="26"/>
        <v>1</v>
      </c>
      <c r="AF178" s="33" t="str">
        <f>IF(OR(A178="",B178="",AND(C178&lt;&gt;"Bullpen",C178&lt;&gt;"Game")),"",IF((COUNTIFS($B$5:$B$300,B178,$A$5:$A$300,A178-1,$C$5:$C$300,"Bullpen",$AG$5:$AG$300,"&gt;0") + COUNTIFS($B$5:$B$300,B178,$A$5:$A$300,A178-1,$C$5:$C$300,"Game",$AG$5:$AG$300,"&gt;0"))&gt;0,Reference!$B$119,IF((COUNTIFS($B$5:$B$300,B178,$A$5:$A$300,A178-2,$C$5:$C$300,"Bullpen",$AG$5:$AG$300,"&gt;0") + COUNTIFS($B$5:$B$300,B178,$A$5:$A$300,A178-2,$C$5:$C$300,"Game",$AG$5:$AG$300,"&gt;0"))&gt;0,Reference!$B$120,1)))</f>
        <v/>
      </c>
      <c r="AG178" s="30" t="str">
        <f>IF(AND(OR(I178="",O178="",P178=""),OR(R178="",W178=""),OR(X178="",AC178="")),"",IF(OR(I178="",O178="",P178=""),0,I178*O178*P178)+IF(OR(R178="",W178=""),0,R178*IFERROR(INDEX(Reference!$B$61:$B$62,MATCH("Bullpen",Reference!$A$61:$A$62,0)),0)*W178)+IF(OR(X178="",AC178=""),0,X178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178))</f>
        <v/>
      </c>
    </row>
    <row r="179" spans="1:33" x14ac:dyDescent="0.3">
      <c r="A179" s="35"/>
      <c r="B179" s="31"/>
      <c r="C179" s="31"/>
      <c r="D179" s="31"/>
      <c r="E179" s="34"/>
      <c r="F179" s="34"/>
      <c r="G179" s="30" t="str">
        <f t="shared" si="18"/>
        <v/>
      </c>
      <c r="H179" s="31"/>
      <c r="I179" s="32" t="str">
        <f>IF(H179&lt;&gt;"",H179,IF(G179="","",ROUND(G179*IFERROR(INDEX(Reference!$B$44:$B$50,MATCH(C179,Reference!$A$44:$A$50,0)),0),0)))</f>
        <v/>
      </c>
      <c r="J179" s="31"/>
      <c r="K179" s="31"/>
      <c r="L179" s="32" t="str">
        <f t="shared" si="19"/>
        <v/>
      </c>
      <c r="M179" s="32" t="str">
        <f>IFERROR(INDEX(Roster!$D$5:$D$40,MATCH(B179,Roster!$A$5:$A$40,0)),"")</f>
        <v/>
      </c>
      <c r="N179" s="32" t="str">
        <f t="shared" si="20"/>
        <v/>
      </c>
      <c r="O179" s="32" t="str">
        <f>IF(OR(C179="Bullpen",C179="Game"),IFERROR(INDEX(Reference!$B$61:$B$62,MATCH(C179,Reference!$A$61:$A$62,0)),""),IF(D179="","",IF(AE179&gt;1,((IF(1&lt;=AE179,(AE179-1+3)*(INDEX(Reference!$B$6:$B$11,MIN(5,MATCH(MAX(Reference!$A$6,MIN(Reference!$A$11,MIN(D179,90))),Reference!$A$6:$A$11,1)))+(MAX(Reference!$A$6,MIN(Reference!$A$11,MIN(D179,90)))-INDEX(Reference!$A$6:$A$11,MIN(5,MATCH(MAX(Reference!$A$6,MIN(Reference!$A$11,MIN(D179,90))),Reference!$A$6:$A$11,1))))*(INDEX(Reference!$B$6:$B$11,MIN(5,MATCH(MAX(Reference!$A$6,MIN(Reference!$A$11,MIN(D179,90))),Reference!$A$6:$A$11,1))+1)-INDEX(Reference!$B$6:$B$11,MIN(5,MATCH(MAX(Reference!$A$6,MIN(Reference!$A$11,MIN(D179,90))),Reference!$A$6:$A$11,1))))/(INDEX(Reference!$A$6:$A$11,MIN(5,MATCH(MAX(Reference!$A$6,MIN(Reference!$A$11,MIN(D179,90))),Reference!$A$6:$A$11,1))+1)-INDEX(Reference!$A$6:$A$11,MIN(5,MATCH(MAX(Reference!$A$6,MIN(Reference!$A$11,MIN(D179,90))),Reference!$A$6:$A$11,1))))),0)+IF(2&lt;=AE179,(AE179-2+3)*(INDEX(Reference!$B$6:$B$11,MIN(5,MATCH(MAX(Reference!$A$6,MIN(Reference!$A$11,MIN(D179,120))),Reference!$A$6:$A$11,1)))+(MAX(Reference!$A$6,MIN(Reference!$A$11,MIN(D179,120)))-INDEX(Reference!$A$6:$A$11,MIN(5,MATCH(MAX(Reference!$A$6,MIN(Reference!$A$11,MIN(D179,120))),Reference!$A$6:$A$11,1))))*(INDEX(Reference!$B$6:$B$11,MIN(5,MATCH(MAX(Reference!$A$6,MIN(Reference!$A$11,MIN(D179,120))),Reference!$A$6:$A$11,1))+1)-INDEX(Reference!$B$6:$B$11,MIN(5,MATCH(MAX(Reference!$A$6,MIN(Reference!$A$11,MIN(D179,120))),Reference!$A$6:$A$11,1))))/(INDEX(Reference!$A$6:$A$11,MIN(5,MATCH(MAX(Reference!$A$6,MIN(Reference!$A$11,MIN(D179,120))),Reference!$A$6:$A$11,1))+1)-INDEX(Reference!$A$6:$A$11,MIN(5,MATCH(MAX(Reference!$A$6,MIN(Reference!$A$11,MIN(D179,120))),Reference!$A$6:$A$11,1))))),0)+IF(3&lt;=AE179,(AE179-3+3)*(INDEX(Reference!$B$6:$B$11,MIN(5,MATCH(MAX(Reference!$A$6,MIN(Reference!$A$11,MIN(D179,150))),Reference!$A$6:$A$11,1)))+(MAX(Reference!$A$6,MIN(Reference!$A$11,MIN(D179,150)))-INDEX(Reference!$A$6:$A$11,MIN(5,MATCH(MAX(Reference!$A$6,MIN(Reference!$A$11,MIN(D179,150))),Reference!$A$6:$A$11,1))))*(INDEX(Reference!$B$6:$B$11,MIN(5,MATCH(MAX(Reference!$A$6,MIN(Reference!$A$11,MIN(D179,150))),Reference!$A$6:$A$11,1))+1)-INDEX(Reference!$B$6:$B$11,MIN(5,MATCH(MAX(Reference!$A$6,MIN(Reference!$A$11,MIN(D179,150))),Reference!$A$6:$A$11,1))))/(INDEX(Reference!$A$6:$A$11,MIN(5,MATCH(MAX(Reference!$A$6,MIN(Reference!$A$11,MIN(D179,150))),Reference!$A$6:$A$11,1))+1)-INDEX(Reference!$A$6:$A$11,MIN(5,MATCH(MAX(Reference!$A$6,MIN(Reference!$A$11,MIN(D179,150))),Reference!$A$6:$A$11,1))))),0)+IF(4&lt;=AE179,(AE179-4+3)*(INDEX(Reference!$B$6:$B$11,MIN(5,MATCH(MAX(Reference!$A$6,MIN(Reference!$A$11,MIN(D179,180))),Reference!$A$6:$A$11,1)))+(MAX(Reference!$A$6,MIN(Reference!$A$11,MIN(D179,180)))-INDEX(Reference!$A$6:$A$11,MIN(5,MATCH(MAX(Reference!$A$6,MIN(Reference!$A$11,MIN(D179,180))),Reference!$A$6:$A$11,1))))*(INDEX(Reference!$B$6:$B$11,MIN(5,MATCH(MAX(Reference!$A$6,MIN(Reference!$A$11,MIN(D179,180))),Reference!$A$6:$A$11,1))+1)-INDEX(Reference!$B$6:$B$11,MIN(5,MATCH(MAX(Reference!$A$6,MIN(Reference!$A$11,MIN(D179,180))),Reference!$A$6:$A$11,1))))/(INDEX(Reference!$A$6:$A$11,MIN(5,MATCH(MAX(Reference!$A$6,MIN(Reference!$A$11,MIN(D179,180))),Reference!$A$6:$A$11,1))+1)-INDEX(Reference!$A$6:$A$11,MIN(5,MATCH(MAX(Reference!$A$6,MIN(Reference!$A$11,MIN(D179,180))),Reference!$A$6:$A$11,1))))),0)+IF(5&lt;=AE179,(AE179-5+3)*(INDEX(Reference!$B$6:$B$11,MIN(5,MATCH(MAX(Reference!$A$6,MIN(Reference!$A$11,MIN(D179,210))),Reference!$A$6:$A$11,1)))+(MAX(Reference!$A$6,MIN(Reference!$A$11,MIN(D179,210)))-INDEX(Reference!$A$6:$A$11,MIN(5,MATCH(MAX(Reference!$A$6,MIN(Reference!$A$11,MIN(D179,210))),Reference!$A$6:$A$11,1))))*(INDEX(Reference!$B$6:$B$11,MIN(5,MATCH(MAX(Reference!$A$6,MIN(Reference!$A$11,MIN(D179,210))),Reference!$A$6:$A$11,1))+1)-INDEX(Reference!$B$6:$B$11,MIN(5,MATCH(MAX(Reference!$A$6,MIN(Reference!$A$11,MIN(D179,210))),Reference!$A$6:$A$11,1))))/(INDEX(Reference!$A$6:$A$11,MIN(5,MATCH(MAX(Reference!$A$6,MIN(Reference!$A$11,MIN(D179,210))),Reference!$A$6:$A$11,1))+1)-INDEX(Reference!$A$6:$A$11,MIN(5,MATCH(MAX(Reference!$A$6,MIN(Reference!$A$11,MIN(D179,210))),Reference!$A$6:$A$11,1))))),0)+IF(6&lt;=AE179,(AE179-6+3)*(INDEX(Reference!$B$6:$B$11,MIN(5,MATCH(MAX(Reference!$A$6,MIN(Reference!$A$11,MIN(D179,240))),Reference!$A$6:$A$11,1)))+(MAX(Reference!$A$6,MIN(Reference!$A$11,MIN(D179,240)))-INDEX(Reference!$A$6:$A$11,MIN(5,MATCH(MAX(Reference!$A$6,MIN(Reference!$A$11,MIN(D179,240))),Reference!$A$6:$A$11,1))))*(INDEX(Reference!$B$6:$B$11,MIN(5,MATCH(MAX(Reference!$A$6,MIN(Reference!$A$11,MIN(D179,240))),Reference!$A$6:$A$11,1))+1)-INDEX(Reference!$B$6:$B$11,MIN(5,MATCH(MAX(Reference!$A$6,MIN(Reference!$A$11,MIN(D179,240))),Reference!$A$6:$A$11,1))))/(INDEX(Reference!$A$6:$A$11,MIN(5,MATCH(MAX(Reference!$A$6,MIN(Reference!$A$11,MIN(D179,240))),Reference!$A$6:$A$11,1))+1)-INDEX(Reference!$A$6:$A$11,MIN(5,MATCH(MAX(Reference!$A$6,MIN(Reference!$A$11,MIN(D179,240))),Reference!$A$6:$A$11,1))))),0)+IF(7&lt;=AE179,(AE179-7+3)*(INDEX(Reference!$B$6:$B$11,MIN(5,MATCH(MAX(Reference!$A$6,MIN(Reference!$A$11,MIN(D179,270))),Reference!$A$6:$A$11,1)))+(MAX(Reference!$A$6,MIN(Reference!$A$11,MIN(D179,270)))-INDEX(Reference!$A$6:$A$11,MIN(5,MATCH(MAX(Reference!$A$6,MIN(Reference!$A$11,MIN(D179,270))),Reference!$A$6:$A$11,1))))*(INDEX(Reference!$B$6:$B$11,MIN(5,MATCH(MAX(Reference!$A$6,MIN(Reference!$A$11,MIN(D179,270))),Reference!$A$6:$A$11,1))+1)-INDEX(Reference!$B$6:$B$11,MIN(5,MATCH(MAX(Reference!$A$6,MIN(Reference!$A$11,MIN(D179,270))),Reference!$A$6:$A$11,1))))/(INDEX(Reference!$A$6:$A$11,MIN(5,MATCH(MAX(Reference!$A$6,MIN(Reference!$A$11,MIN(D179,270))),Reference!$A$6:$A$11,1))+1)-INDEX(Reference!$A$6:$A$11,MIN(5,MATCH(MAX(Reference!$A$6,MIN(Reference!$A$11,MIN(D179,270))),Reference!$A$6:$A$11,1))))),0)+IF(8&lt;=AE179,(AE179-8+3)*(INDEX(Reference!$B$6:$B$11,MIN(5,MATCH(MAX(Reference!$A$6,MIN(Reference!$A$11,MIN(D179,300))),Reference!$A$6:$A$11,1)))+(MAX(Reference!$A$6,MIN(Reference!$A$11,MIN(D179,300)))-INDEX(Reference!$A$6:$A$11,MIN(5,MATCH(MAX(Reference!$A$6,MIN(Reference!$A$11,MIN(D179,300))),Reference!$A$6:$A$11,1))))*(INDEX(Reference!$B$6:$B$11,MIN(5,MATCH(MAX(Reference!$A$6,MIN(Reference!$A$11,MIN(D179,300))),Reference!$A$6:$A$11,1))+1)-INDEX(Reference!$B$6:$B$11,MIN(5,MATCH(MAX(Reference!$A$6,MIN(Reference!$A$11,MIN(D179,300))),Reference!$A$6:$A$11,1))))/(INDEX(Reference!$A$6:$A$11,MIN(5,MATCH(MAX(Reference!$A$6,MIN(Reference!$A$11,MIN(D179,300))),Reference!$A$6:$A$11,1))+1)-INDEX(Reference!$A$6:$A$11,MIN(5,MATCH(MAX(Reference!$A$6,MIN(Reference!$A$11,MIN(D179,300))),Reference!$A$6:$A$11,1))))),0))/(AE179*(AE179+5)/2)),(INDEX(Reference!$B$6:$B$11,MIN(5,MATCH(MAX(Reference!$A$6,MIN(Reference!$A$11,D179)),Reference!$A$6:$A$11,1)))+(MAX(Reference!$A$6,MIN(Reference!$A$11,D179))-INDEX(Reference!$A$6:$A$11,MIN(5,MATCH(MAX(Reference!$A$6,MIN(Reference!$A$11,D179)),Reference!$A$6:$A$11,1))))*(INDEX(Reference!$B$6:$B$11,MIN(5,MATCH(MAX(Reference!$A$6,MIN(Reference!$A$11,D179)),Reference!$A$6:$A$11,1))+1)-INDEX(Reference!$B$6:$B$11,MIN(5,MATCH(MAX(Reference!$A$6,MIN(Reference!$A$11,D179)),Reference!$A$6:$A$11,1))))/(INDEX(Reference!$A$6:$A$11,MIN(5,MATCH(MAX(Reference!$A$6,MIN(Reference!$A$11,D179)),Reference!$A$6:$A$11,1))+1)-INDEX(Reference!$A$6:$A$11,MIN(5,MATCH(MAX(Reference!$A$6,MIN(Reference!$A$11,D179)),Reference!$A$6:$A$11,1))))))))</f>
        <v/>
      </c>
      <c r="P179" s="32" t="str">
        <f>IF(N179="","",VLOOKUP(MAX(N179,0),Reference!$A$17:$B$20,2,TRUE()))</f>
        <v/>
      </c>
      <c r="Q179" s="32" t="str">
        <f t="shared" si="21"/>
        <v/>
      </c>
      <c r="R179" s="31"/>
      <c r="S179" s="31"/>
      <c r="T179" s="31"/>
      <c r="U179" s="32" t="str">
        <f t="shared" si="22"/>
        <v/>
      </c>
      <c r="V179" s="32" t="str">
        <f t="shared" si="23"/>
        <v/>
      </c>
      <c r="W179" s="32" t="str">
        <f>IF(V179="","",VLOOKUP(MAX(V179,0),Reference!$A$17:$B$20,2,TRUE()))</f>
        <v/>
      </c>
      <c r="X179" s="31"/>
      <c r="Y179" s="31"/>
      <c r="Z179" s="31"/>
      <c r="AA179" s="32" t="str">
        <f t="shared" si="24"/>
        <v/>
      </c>
      <c r="AB179" s="32" t="str">
        <f t="shared" si="25"/>
        <v/>
      </c>
      <c r="AC179" s="32" t="str">
        <f>IF(AB179="","",VLOOKUP(MAX(AB179,0),Reference!$A$17:$B$20,2,TRUE()))</f>
        <v/>
      </c>
      <c r="AD179" s="31"/>
      <c r="AE179">
        <f t="shared" si="26"/>
        <v>1</v>
      </c>
      <c r="AF179" s="33" t="str">
        <f>IF(OR(A179="",B179="",AND(C179&lt;&gt;"Bullpen",C179&lt;&gt;"Game")),"",IF((COUNTIFS($B$5:$B$300,B179,$A$5:$A$300,A179-1,$C$5:$C$300,"Bullpen",$AG$5:$AG$300,"&gt;0") + COUNTIFS($B$5:$B$300,B179,$A$5:$A$300,A179-1,$C$5:$C$300,"Game",$AG$5:$AG$300,"&gt;0"))&gt;0,Reference!$B$119,IF((COUNTIFS($B$5:$B$300,B179,$A$5:$A$300,A179-2,$C$5:$C$300,"Bullpen",$AG$5:$AG$300,"&gt;0") + COUNTIFS($B$5:$B$300,B179,$A$5:$A$300,A179-2,$C$5:$C$300,"Game",$AG$5:$AG$300,"&gt;0"))&gt;0,Reference!$B$120,1)))</f>
        <v/>
      </c>
      <c r="AG179" s="30" t="str">
        <f>IF(AND(OR(I179="",O179="",P179=""),OR(R179="",W179=""),OR(X179="",AC179="")),"",IF(OR(I179="",O179="",P179=""),0,I179*O179*P179)+IF(OR(R179="",W179=""),0,R179*IFERROR(INDEX(Reference!$B$61:$B$62,MATCH("Bullpen",Reference!$A$61:$A$62,0)),0)*W179)+IF(OR(X179="",AC179=""),0,X179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179))</f>
        <v/>
      </c>
    </row>
    <row r="180" spans="1:33" x14ac:dyDescent="0.3">
      <c r="A180" s="35"/>
      <c r="B180" s="31"/>
      <c r="C180" s="31"/>
      <c r="D180" s="31"/>
      <c r="E180" s="34"/>
      <c r="F180" s="34"/>
      <c r="G180" s="30" t="str">
        <f t="shared" si="18"/>
        <v/>
      </c>
      <c r="H180" s="31"/>
      <c r="I180" s="32" t="str">
        <f>IF(H180&lt;&gt;"",H180,IF(G180="","",ROUND(G180*IFERROR(INDEX(Reference!$B$44:$B$50,MATCH(C180,Reference!$A$44:$A$50,0)),0),0)))</f>
        <v/>
      </c>
      <c r="J180" s="31"/>
      <c r="K180" s="31"/>
      <c r="L180" s="32" t="str">
        <f t="shared" si="19"/>
        <v/>
      </c>
      <c r="M180" s="32" t="str">
        <f>IFERROR(INDEX(Roster!$D$5:$D$40,MATCH(B180,Roster!$A$5:$A$40,0)),"")</f>
        <v/>
      </c>
      <c r="N180" s="32" t="str">
        <f t="shared" si="20"/>
        <v/>
      </c>
      <c r="O180" s="32" t="str">
        <f>IF(OR(C180="Bullpen",C180="Game"),IFERROR(INDEX(Reference!$B$61:$B$62,MATCH(C180,Reference!$A$61:$A$62,0)),""),IF(D180="","",IF(AE180&gt;1,((IF(1&lt;=AE180,(AE180-1+3)*(INDEX(Reference!$B$6:$B$11,MIN(5,MATCH(MAX(Reference!$A$6,MIN(Reference!$A$11,MIN(D180,90))),Reference!$A$6:$A$11,1)))+(MAX(Reference!$A$6,MIN(Reference!$A$11,MIN(D180,90)))-INDEX(Reference!$A$6:$A$11,MIN(5,MATCH(MAX(Reference!$A$6,MIN(Reference!$A$11,MIN(D180,90))),Reference!$A$6:$A$11,1))))*(INDEX(Reference!$B$6:$B$11,MIN(5,MATCH(MAX(Reference!$A$6,MIN(Reference!$A$11,MIN(D180,90))),Reference!$A$6:$A$11,1))+1)-INDEX(Reference!$B$6:$B$11,MIN(5,MATCH(MAX(Reference!$A$6,MIN(Reference!$A$11,MIN(D180,90))),Reference!$A$6:$A$11,1))))/(INDEX(Reference!$A$6:$A$11,MIN(5,MATCH(MAX(Reference!$A$6,MIN(Reference!$A$11,MIN(D180,90))),Reference!$A$6:$A$11,1))+1)-INDEX(Reference!$A$6:$A$11,MIN(5,MATCH(MAX(Reference!$A$6,MIN(Reference!$A$11,MIN(D180,90))),Reference!$A$6:$A$11,1))))),0)+IF(2&lt;=AE180,(AE180-2+3)*(INDEX(Reference!$B$6:$B$11,MIN(5,MATCH(MAX(Reference!$A$6,MIN(Reference!$A$11,MIN(D180,120))),Reference!$A$6:$A$11,1)))+(MAX(Reference!$A$6,MIN(Reference!$A$11,MIN(D180,120)))-INDEX(Reference!$A$6:$A$11,MIN(5,MATCH(MAX(Reference!$A$6,MIN(Reference!$A$11,MIN(D180,120))),Reference!$A$6:$A$11,1))))*(INDEX(Reference!$B$6:$B$11,MIN(5,MATCH(MAX(Reference!$A$6,MIN(Reference!$A$11,MIN(D180,120))),Reference!$A$6:$A$11,1))+1)-INDEX(Reference!$B$6:$B$11,MIN(5,MATCH(MAX(Reference!$A$6,MIN(Reference!$A$11,MIN(D180,120))),Reference!$A$6:$A$11,1))))/(INDEX(Reference!$A$6:$A$11,MIN(5,MATCH(MAX(Reference!$A$6,MIN(Reference!$A$11,MIN(D180,120))),Reference!$A$6:$A$11,1))+1)-INDEX(Reference!$A$6:$A$11,MIN(5,MATCH(MAX(Reference!$A$6,MIN(Reference!$A$11,MIN(D180,120))),Reference!$A$6:$A$11,1))))),0)+IF(3&lt;=AE180,(AE180-3+3)*(INDEX(Reference!$B$6:$B$11,MIN(5,MATCH(MAX(Reference!$A$6,MIN(Reference!$A$11,MIN(D180,150))),Reference!$A$6:$A$11,1)))+(MAX(Reference!$A$6,MIN(Reference!$A$11,MIN(D180,150)))-INDEX(Reference!$A$6:$A$11,MIN(5,MATCH(MAX(Reference!$A$6,MIN(Reference!$A$11,MIN(D180,150))),Reference!$A$6:$A$11,1))))*(INDEX(Reference!$B$6:$B$11,MIN(5,MATCH(MAX(Reference!$A$6,MIN(Reference!$A$11,MIN(D180,150))),Reference!$A$6:$A$11,1))+1)-INDEX(Reference!$B$6:$B$11,MIN(5,MATCH(MAX(Reference!$A$6,MIN(Reference!$A$11,MIN(D180,150))),Reference!$A$6:$A$11,1))))/(INDEX(Reference!$A$6:$A$11,MIN(5,MATCH(MAX(Reference!$A$6,MIN(Reference!$A$11,MIN(D180,150))),Reference!$A$6:$A$11,1))+1)-INDEX(Reference!$A$6:$A$11,MIN(5,MATCH(MAX(Reference!$A$6,MIN(Reference!$A$11,MIN(D180,150))),Reference!$A$6:$A$11,1))))),0)+IF(4&lt;=AE180,(AE180-4+3)*(INDEX(Reference!$B$6:$B$11,MIN(5,MATCH(MAX(Reference!$A$6,MIN(Reference!$A$11,MIN(D180,180))),Reference!$A$6:$A$11,1)))+(MAX(Reference!$A$6,MIN(Reference!$A$11,MIN(D180,180)))-INDEX(Reference!$A$6:$A$11,MIN(5,MATCH(MAX(Reference!$A$6,MIN(Reference!$A$11,MIN(D180,180))),Reference!$A$6:$A$11,1))))*(INDEX(Reference!$B$6:$B$11,MIN(5,MATCH(MAX(Reference!$A$6,MIN(Reference!$A$11,MIN(D180,180))),Reference!$A$6:$A$11,1))+1)-INDEX(Reference!$B$6:$B$11,MIN(5,MATCH(MAX(Reference!$A$6,MIN(Reference!$A$11,MIN(D180,180))),Reference!$A$6:$A$11,1))))/(INDEX(Reference!$A$6:$A$11,MIN(5,MATCH(MAX(Reference!$A$6,MIN(Reference!$A$11,MIN(D180,180))),Reference!$A$6:$A$11,1))+1)-INDEX(Reference!$A$6:$A$11,MIN(5,MATCH(MAX(Reference!$A$6,MIN(Reference!$A$11,MIN(D180,180))),Reference!$A$6:$A$11,1))))),0)+IF(5&lt;=AE180,(AE180-5+3)*(INDEX(Reference!$B$6:$B$11,MIN(5,MATCH(MAX(Reference!$A$6,MIN(Reference!$A$11,MIN(D180,210))),Reference!$A$6:$A$11,1)))+(MAX(Reference!$A$6,MIN(Reference!$A$11,MIN(D180,210)))-INDEX(Reference!$A$6:$A$11,MIN(5,MATCH(MAX(Reference!$A$6,MIN(Reference!$A$11,MIN(D180,210))),Reference!$A$6:$A$11,1))))*(INDEX(Reference!$B$6:$B$11,MIN(5,MATCH(MAX(Reference!$A$6,MIN(Reference!$A$11,MIN(D180,210))),Reference!$A$6:$A$11,1))+1)-INDEX(Reference!$B$6:$B$11,MIN(5,MATCH(MAX(Reference!$A$6,MIN(Reference!$A$11,MIN(D180,210))),Reference!$A$6:$A$11,1))))/(INDEX(Reference!$A$6:$A$11,MIN(5,MATCH(MAX(Reference!$A$6,MIN(Reference!$A$11,MIN(D180,210))),Reference!$A$6:$A$11,1))+1)-INDEX(Reference!$A$6:$A$11,MIN(5,MATCH(MAX(Reference!$A$6,MIN(Reference!$A$11,MIN(D180,210))),Reference!$A$6:$A$11,1))))),0)+IF(6&lt;=AE180,(AE180-6+3)*(INDEX(Reference!$B$6:$B$11,MIN(5,MATCH(MAX(Reference!$A$6,MIN(Reference!$A$11,MIN(D180,240))),Reference!$A$6:$A$11,1)))+(MAX(Reference!$A$6,MIN(Reference!$A$11,MIN(D180,240)))-INDEX(Reference!$A$6:$A$11,MIN(5,MATCH(MAX(Reference!$A$6,MIN(Reference!$A$11,MIN(D180,240))),Reference!$A$6:$A$11,1))))*(INDEX(Reference!$B$6:$B$11,MIN(5,MATCH(MAX(Reference!$A$6,MIN(Reference!$A$11,MIN(D180,240))),Reference!$A$6:$A$11,1))+1)-INDEX(Reference!$B$6:$B$11,MIN(5,MATCH(MAX(Reference!$A$6,MIN(Reference!$A$11,MIN(D180,240))),Reference!$A$6:$A$11,1))))/(INDEX(Reference!$A$6:$A$11,MIN(5,MATCH(MAX(Reference!$A$6,MIN(Reference!$A$11,MIN(D180,240))),Reference!$A$6:$A$11,1))+1)-INDEX(Reference!$A$6:$A$11,MIN(5,MATCH(MAX(Reference!$A$6,MIN(Reference!$A$11,MIN(D180,240))),Reference!$A$6:$A$11,1))))),0)+IF(7&lt;=AE180,(AE180-7+3)*(INDEX(Reference!$B$6:$B$11,MIN(5,MATCH(MAX(Reference!$A$6,MIN(Reference!$A$11,MIN(D180,270))),Reference!$A$6:$A$11,1)))+(MAX(Reference!$A$6,MIN(Reference!$A$11,MIN(D180,270)))-INDEX(Reference!$A$6:$A$11,MIN(5,MATCH(MAX(Reference!$A$6,MIN(Reference!$A$11,MIN(D180,270))),Reference!$A$6:$A$11,1))))*(INDEX(Reference!$B$6:$B$11,MIN(5,MATCH(MAX(Reference!$A$6,MIN(Reference!$A$11,MIN(D180,270))),Reference!$A$6:$A$11,1))+1)-INDEX(Reference!$B$6:$B$11,MIN(5,MATCH(MAX(Reference!$A$6,MIN(Reference!$A$11,MIN(D180,270))),Reference!$A$6:$A$11,1))))/(INDEX(Reference!$A$6:$A$11,MIN(5,MATCH(MAX(Reference!$A$6,MIN(Reference!$A$11,MIN(D180,270))),Reference!$A$6:$A$11,1))+1)-INDEX(Reference!$A$6:$A$11,MIN(5,MATCH(MAX(Reference!$A$6,MIN(Reference!$A$11,MIN(D180,270))),Reference!$A$6:$A$11,1))))),0)+IF(8&lt;=AE180,(AE180-8+3)*(INDEX(Reference!$B$6:$B$11,MIN(5,MATCH(MAX(Reference!$A$6,MIN(Reference!$A$11,MIN(D180,300))),Reference!$A$6:$A$11,1)))+(MAX(Reference!$A$6,MIN(Reference!$A$11,MIN(D180,300)))-INDEX(Reference!$A$6:$A$11,MIN(5,MATCH(MAX(Reference!$A$6,MIN(Reference!$A$11,MIN(D180,300))),Reference!$A$6:$A$11,1))))*(INDEX(Reference!$B$6:$B$11,MIN(5,MATCH(MAX(Reference!$A$6,MIN(Reference!$A$11,MIN(D180,300))),Reference!$A$6:$A$11,1))+1)-INDEX(Reference!$B$6:$B$11,MIN(5,MATCH(MAX(Reference!$A$6,MIN(Reference!$A$11,MIN(D180,300))),Reference!$A$6:$A$11,1))))/(INDEX(Reference!$A$6:$A$11,MIN(5,MATCH(MAX(Reference!$A$6,MIN(Reference!$A$11,MIN(D180,300))),Reference!$A$6:$A$11,1))+1)-INDEX(Reference!$A$6:$A$11,MIN(5,MATCH(MAX(Reference!$A$6,MIN(Reference!$A$11,MIN(D180,300))),Reference!$A$6:$A$11,1))))),0))/(AE180*(AE180+5)/2)),(INDEX(Reference!$B$6:$B$11,MIN(5,MATCH(MAX(Reference!$A$6,MIN(Reference!$A$11,D180)),Reference!$A$6:$A$11,1)))+(MAX(Reference!$A$6,MIN(Reference!$A$11,D180))-INDEX(Reference!$A$6:$A$11,MIN(5,MATCH(MAX(Reference!$A$6,MIN(Reference!$A$11,D180)),Reference!$A$6:$A$11,1))))*(INDEX(Reference!$B$6:$B$11,MIN(5,MATCH(MAX(Reference!$A$6,MIN(Reference!$A$11,D180)),Reference!$A$6:$A$11,1))+1)-INDEX(Reference!$B$6:$B$11,MIN(5,MATCH(MAX(Reference!$A$6,MIN(Reference!$A$11,D180)),Reference!$A$6:$A$11,1))))/(INDEX(Reference!$A$6:$A$11,MIN(5,MATCH(MAX(Reference!$A$6,MIN(Reference!$A$11,D180)),Reference!$A$6:$A$11,1))+1)-INDEX(Reference!$A$6:$A$11,MIN(5,MATCH(MAX(Reference!$A$6,MIN(Reference!$A$11,D180)),Reference!$A$6:$A$11,1))))))))</f>
        <v/>
      </c>
      <c r="P180" s="32" t="str">
        <f>IF(N180="","",VLOOKUP(MAX(N180,0),Reference!$A$17:$B$20,2,TRUE()))</f>
        <v/>
      </c>
      <c r="Q180" s="32" t="str">
        <f t="shared" si="21"/>
        <v/>
      </c>
      <c r="R180" s="31"/>
      <c r="S180" s="31"/>
      <c r="T180" s="31"/>
      <c r="U180" s="32" t="str">
        <f t="shared" si="22"/>
        <v/>
      </c>
      <c r="V180" s="32" t="str">
        <f t="shared" si="23"/>
        <v/>
      </c>
      <c r="W180" s="32" t="str">
        <f>IF(V180="","",VLOOKUP(MAX(V180,0),Reference!$A$17:$B$20,2,TRUE()))</f>
        <v/>
      </c>
      <c r="X180" s="31"/>
      <c r="Y180" s="31"/>
      <c r="Z180" s="31"/>
      <c r="AA180" s="32" t="str">
        <f t="shared" si="24"/>
        <v/>
      </c>
      <c r="AB180" s="32" t="str">
        <f t="shared" si="25"/>
        <v/>
      </c>
      <c r="AC180" s="32" t="str">
        <f>IF(AB180="","",VLOOKUP(MAX(AB180,0),Reference!$A$17:$B$20,2,TRUE()))</f>
        <v/>
      </c>
      <c r="AD180" s="31"/>
      <c r="AE180">
        <f t="shared" si="26"/>
        <v>1</v>
      </c>
      <c r="AF180" s="33" t="str">
        <f>IF(OR(A180="",B180="",AND(C180&lt;&gt;"Bullpen",C180&lt;&gt;"Game")),"",IF((COUNTIFS($B$5:$B$300,B180,$A$5:$A$300,A180-1,$C$5:$C$300,"Bullpen",$AG$5:$AG$300,"&gt;0") + COUNTIFS($B$5:$B$300,B180,$A$5:$A$300,A180-1,$C$5:$C$300,"Game",$AG$5:$AG$300,"&gt;0"))&gt;0,Reference!$B$119,IF((COUNTIFS($B$5:$B$300,B180,$A$5:$A$300,A180-2,$C$5:$C$300,"Bullpen",$AG$5:$AG$300,"&gt;0") + COUNTIFS($B$5:$B$300,B180,$A$5:$A$300,A180-2,$C$5:$C$300,"Game",$AG$5:$AG$300,"&gt;0"))&gt;0,Reference!$B$120,1)))</f>
        <v/>
      </c>
      <c r="AG180" s="30" t="str">
        <f>IF(AND(OR(I180="",O180="",P180=""),OR(R180="",W180=""),OR(X180="",AC180="")),"",IF(OR(I180="",O180="",P180=""),0,I180*O180*P180)+IF(OR(R180="",W180=""),0,R180*IFERROR(INDEX(Reference!$B$61:$B$62,MATCH("Bullpen",Reference!$A$61:$A$62,0)),0)*W180)+IF(OR(X180="",AC180=""),0,X180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180))</f>
        <v/>
      </c>
    </row>
    <row r="181" spans="1:33" x14ac:dyDescent="0.3">
      <c r="A181" s="35"/>
      <c r="B181" s="31"/>
      <c r="C181" s="31"/>
      <c r="D181" s="31"/>
      <c r="E181" s="34"/>
      <c r="F181" s="34"/>
      <c r="G181" s="30" t="str">
        <f t="shared" si="18"/>
        <v/>
      </c>
      <c r="H181" s="31"/>
      <c r="I181" s="32" t="str">
        <f>IF(H181&lt;&gt;"",H181,IF(G181="","",ROUND(G181*IFERROR(INDEX(Reference!$B$44:$B$50,MATCH(C181,Reference!$A$44:$A$50,0)),0),0)))</f>
        <v/>
      </c>
      <c r="J181" s="31"/>
      <c r="K181" s="31"/>
      <c r="L181" s="32" t="str">
        <f t="shared" si="19"/>
        <v/>
      </c>
      <c r="M181" s="32" t="str">
        <f>IFERROR(INDEX(Roster!$D$5:$D$40,MATCH(B181,Roster!$A$5:$A$40,0)),"")</f>
        <v/>
      </c>
      <c r="N181" s="32" t="str">
        <f t="shared" si="20"/>
        <v/>
      </c>
      <c r="O181" s="32" t="str">
        <f>IF(OR(C181="Bullpen",C181="Game"),IFERROR(INDEX(Reference!$B$61:$B$62,MATCH(C181,Reference!$A$61:$A$62,0)),""),IF(D181="","",IF(AE181&gt;1,((IF(1&lt;=AE181,(AE181-1+3)*(INDEX(Reference!$B$6:$B$11,MIN(5,MATCH(MAX(Reference!$A$6,MIN(Reference!$A$11,MIN(D181,90))),Reference!$A$6:$A$11,1)))+(MAX(Reference!$A$6,MIN(Reference!$A$11,MIN(D181,90)))-INDEX(Reference!$A$6:$A$11,MIN(5,MATCH(MAX(Reference!$A$6,MIN(Reference!$A$11,MIN(D181,90))),Reference!$A$6:$A$11,1))))*(INDEX(Reference!$B$6:$B$11,MIN(5,MATCH(MAX(Reference!$A$6,MIN(Reference!$A$11,MIN(D181,90))),Reference!$A$6:$A$11,1))+1)-INDEX(Reference!$B$6:$B$11,MIN(5,MATCH(MAX(Reference!$A$6,MIN(Reference!$A$11,MIN(D181,90))),Reference!$A$6:$A$11,1))))/(INDEX(Reference!$A$6:$A$11,MIN(5,MATCH(MAX(Reference!$A$6,MIN(Reference!$A$11,MIN(D181,90))),Reference!$A$6:$A$11,1))+1)-INDEX(Reference!$A$6:$A$11,MIN(5,MATCH(MAX(Reference!$A$6,MIN(Reference!$A$11,MIN(D181,90))),Reference!$A$6:$A$11,1))))),0)+IF(2&lt;=AE181,(AE181-2+3)*(INDEX(Reference!$B$6:$B$11,MIN(5,MATCH(MAX(Reference!$A$6,MIN(Reference!$A$11,MIN(D181,120))),Reference!$A$6:$A$11,1)))+(MAX(Reference!$A$6,MIN(Reference!$A$11,MIN(D181,120)))-INDEX(Reference!$A$6:$A$11,MIN(5,MATCH(MAX(Reference!$A$6,MIN(Reference!$A$11,MIN(D181,120))),Reference!$A$6:$A$11,1))))*(INDEX(Reference!$B$6:$B$11,MIN(5,MATCH(MAX(Reference!$A$6,MIN(Reference!$A$11,MIN(D181,120))),Reference!$A$6:$A$11,1))+1)-INDEX(Reference!$B$6:$B$11,MIN(5,MATCH(MAX(Reference!$A$6,MIN(Reference!$A$11,MIN(D181,120))),Reference!$A$6:$A$11,1))))/(INDEX(Reference!$A$6:$A$11,MIN(5,MATCH(MAX(Reference!$A$6,MIN(Reference!$A$11,MIN(D181,120))),Reference!$A$6:$A$11,1))+1)-INDEX(Reference!$A$6:$A$11,MIN(5,MATCH(MAX(Reference!$A$6,MIN(Reference!$A$11,MIN(D181,120))),Reference!$A$6:$A$11,1))))),0)+IF(3&lt;=AE181,(AE181-3+3)*(INDEX(Reference!$B$6:$B$11,MIN(5,MATCH(MAX(Reference!$A$6,MIN(Reference!$A$11,MIN(D181,150))),Reference!$A$6:$A$11,1)))+(MAX(Reference!$A$6,MIN(Reference!$A$11,MIN(D181,150)))-INDEX(Reference!$A$6:$A$11,MIN(5,MATCH(MAX(Reference!$A$6,MIN(Reference!$A$11,MIN(D181,150))),Reference!$A$6:$A$11,1))))*(INDEX(Reference!$B$6:$B$11,MIN(5,MATCH(MAX(Reference!$A$6,MIN(Reference!$A$11,MIN(D181,150))),Reference!$A$6:$A$11,1))+1)-INDEX(Reference!$B$6:$B$11,MIN(5,MATCH(MAX(Reference!$A$6,MIN(Reference!$A$11,MIN(D181,150))),Reference!$A$6:$A$11,1))))/(INDEX(Reference!$A$6:$A$11,MIN(5,MATCH(MAX(Reference!$A$6,MIN(Reference!$A$11,MIN(D181,150))),Reference!$A$6:$A$11,1))+1)-INDEX(Reference!$A$6:$A$11,MIN(5,MATCH(MAX(Reference!$A$6,MIN(Reference!$A$11,MIN(D181,150))),Reference!$A$6:$A$11,1))))),0)+IF(4&lt;=AE181,(AE181-4+3)*(INDEX(Reference!$B$6:$B$11,MIN(5,MATCH(MAX(Reference!$A$6,MIN(Reference!$A$11,MIN(D181,180))),Reference!$A$6:$A$11,1)))+(MAX(Reference!$A$6,MIN(Reference!$A$11,MIN(D181,180)))-INDEX(Reference!$A$6:$A$11,MIN(5,MATCH(MAX(Reference!$A$6,MIN(Reference!$A$11,MIN(D181,180))),Reference!$A$6:$A$11,1))))*(INDEX(Reference!$B$6:$B$11,MIN(5,MATCH(MAX(Reference!$A$6,MIN(Reference!$A$11,MIN(D181,180))),Reference!$A$6:$A$11,1))+1)-INDEX(Reference!$B$6:$B$11,MIN(5,MATCH(MAX(Reference!$A$6,MIN(Reference!$A$11,MIN(D181,180))),Reference!$A$6:$A$11,1))))/(INDEX(Reference!$A$6:$A$11,MIN(5,MATCH(MAX(Reference!$A$6,MIN(Reference!$A$11,MIN(D181,180))),Reference!$A$6:$A$11,1))+1)-INDEX(Reference!$A$6:$A$11,MIN(5,MATCH(MAX(Reference!$A$6,MIN(Reference!$A$11,MIN(D181,180))),Reference!$A$6:$A$11,1))))),0)+IF(5&lt;=AE181,(AE181-5+3)*(INDEX(Reference!$B$6:$B$11,MIN(5,MATCH(MAX(Reference!$A$6,MIN(Reference!$A$11,MIN(D181,210))),Reference!$A$6:$A$11,1)))+(MAX(Reference!$A$6,MIN(Reference!$A$11,MIN(D181,210)))-INDEX(Reference!$A$6:$A$11,MIN(5,MATCH(MAX(Reference!$A$6,MIN(Reference!$A$11,MIN(D181,210))),Reference!$A$6:$A$11,1))))*(INDEX(Reference!$B$6:$B$11,MIN(5,MATCH(MAX(Reference!$A$6,MIN(Reference!$A$11,MIN(D181,210))),Reference!$A$6:$A$11,1))+1)-INDEX(Reference!$B$6:$B$11,MIN(5,MATCH(MAX(Reference!$A$6,MIN(Reference!$A$11,MIN(D181,210))),Reference!$A$6:$A$11,1))))/(INDEX(Reference!$A$6:$A$11,MIN(5,MATCH(MAX(Reference!$A$6,MIN(Reference!$A$11,MIN(D181,210))),Reference!$A$6:$A$11,1))+1)-INDEX(Reference!$A$6:$A$11,MIN(5,MATCH(MAX(Reference!$A$6,MIN(Reference!$A$11,MIN(D181,210))),Reference!$A$6:$A$11,1))))),0)+IF(6&lt;=AE181,(AE181-6+3)*(INDEX(Reference!$B$6:$B$11,MIN(5,MATCH(MAX(Reference!$A$6,MIN(Reference!$A$11,MIN(D181,240))),Reference!$A$6:$A$11,1)))+(MAX(Reference!$A$6,MIN(Reference!$A$11,MIN(D181,240)))-INDEX(Reference!$A$6:$A$11,MIN(5,MATCH(MAX(Reference!$A$6,MIN(Reference!$A$11,MIN(D181,240))),Reference!$A$6:$A$11,1))))*(INDEX(Reference!$B$6:$B$11,MIN(5,MATCH(MAX(Reference!$A$6,MIN(Reference!$A$11,MIN(D181,240))),Reference!$A$6:$A$11,1))+1)-INDEX(Reference!$B$6:$B$11,MIN(5,MATCH(MAX(Reference!$A$6,MIN(Reference!$A$11,MIN(D181,240))),Reference!$A$6:$A$11,1))))/(INDEX(Reference!$A$6:$A$11,MIN(5,MATCH(MAX(Reference!$A$6,MIN(Reference!$A$11,MIN(D181,240))),Reference!$A$6:$A$11,1))+1)-INDEX(Reference!$A$6:$A$11,MIN(5,MATCH(MAX(Reference!$A$6,MIN(Reference!$A$11,MIN(D181,240))),Reference!$A$6:$A$11,1))))),0)+IF(7&lt;=AE181,(AE181-7+3)*(INDEX(Reference!$B$6:$B$11,MIN(5,MATCH(MAX(Reference!$A$6,MIN(Reference!$A$11,MIN(D181,270))),Reference!$A$6:$A$11,1)))+(MAX(Reference!$A$6,MIN(Reference!$A$11,MIN(D181,270)))-INDEX(Reference!$A$6:$A$11,MIN(5,MATCH(MAX(Reference!$A$6,MIN(Reference!$A$11,MIN(D181,270))),Reference!$A$6:$A$11,1))))*(INDEX(Reference!$B$6:$B$11,MIN(5,MATCH(MAX(Reference!$A$6,MIN(Reference!$A$11,MIN(D181,270))),Reference!$A$6:$A$11,1))+1)-INDEX(Reference!$B$6:$B$11,MIN(5,MATCH(MAX(Reference!$A$6,MIN(Reference!$A$11,MIN(D181,270))),Reference!$A$6:$A$11,1))))/(INDEX(Reference!$A$6:$A$11,MIN(5,MATCH(MAX(Reference!$A$6,MIN(Reference!$A$11,MIN(D181,270))),Reference!$A$6:$A$11,1))+1)-INDEX(Reference!$A$6:$A$11,MIN(5,MATCH(MAX(Reference!$A$6,MIN(Reference!$A$11,MIN(D181,270))),Reference!$A$6:$A$11,1))))),0)+IF(8&lt;=AE181,(AE181-8+3)*(INDEX(Reference!$B$6:$B$11,MIN(5,MATCH(MAX(Reference!$A$6,MIN(Reference!$A$11,MIN(D181,300))),Reference!$A$6:$A$11,1)))+(MAX(Reference!$A$6,MIN(Reference!$A$11,MIN(D181,300)))-INDEX(Reference!$A$6:$A$11,MIN(5,MATCH(MAX(Reference!$A$6,MIN(Reference!$A$11,MIN(D181,300))),Reference!$A$6:$A$11,1))))*(INDEX(Reference!$B$6:$B$11,MIN(5,MATCH(MAX(Reference!$A$6,MIN(Reference!$A$11,MIN(D181,300))),Reference!$A$6:$A$11,1))+1)-INDEX(Reference!$B$6:$B$11,MIN(5,MATCH(MAX(Reference!$A$6,MIN(Reference!$A$11,MIN(D181,300))),Reference!$A$6:$A$11,1))))/(INDEX(Reference!$A$6:$A$11,MIN(5,MATCH(MAX(Reference!$A$6,MIN(Reference!$A$11,MIN(D181,300))),Reference!$A$6:$A$11,1))+1)-INDEX(Reference!$A$6:$A$11,MIN(5,MATCH(MAX(Reference!$A$6,MIN(Reference!$A$11,MIN(D181,300))),Reference!$A$6:$A$11,1))))),0))/(AE181*(AE181+5)/2)),(INDEX(Reference!$B$6:$B$11,MIN(5,MATCH(MAX(Reference!$A$6,MIN(Reference!$A$11,D181)),Reference!$A$6:$A$11,1)))+(MAX(Reference!$A$6,MIN(Reference!$A$11,D181))-INDEX(Reference!$A$6:$A$11,MIN(5,MATCH(MAX(Reference!$A$6,MIN(Reference!$A$11,D181)),Reference!$A$6:$A$11,1))))*(INDEX(Reference!$B$6:$B$11,MIN(5,MATCH(MAX(Reference!$A$6,MIN(Reference!$A$11,D181)),Reference!$A$6:$A$11,1))+1)-INDEX(Reference!$B$6:$B$11,MIN(5,MATCH(MAX(Reference!$A$6,MIN(Reference!$A$11,D181)),Reference!$A$6:$A$11,1))))/(INDEX(Reference!$A$6:$A$11,MIN(5,MATCH(MAX(Reference!$A$6,MIN(Reference!$A$11,D181)),Reference!$A$6:$A$11,1))+1)-INDEX(Reference!$A$6:$A$11,MIN(5,MATCH(MAX(Reference!$A$6,MIN(Reference!$A$11,D181)),Reference!$A$6:$A$11,1))))))))</f>
        <v/>
      </c>
      <c r="P181" s="32" t="str">
        <f>IF(N181="","",VLOOKUP(MAX(N181,0),Reference!$A$17:$B$20,2,TRUE()))</f>
        <v/>
      </c>
      <c r="Q181" s="32" t="str">
        <f t="shared" si="21"/>
        <v/>
      </c>
      <c r="R181" s="31"/>
      <c r="S181" s="31"/>
      <c r="T181" s="31"/>
      <c r="U181" s="32" t="str">
        <f t="shared" si="22"/>
        <v/>
      </c>
      <c r="V181" s="32" t="str">
        <f t="shared" si="23"/>
        <v/>
      </c>
      <c r="W181" s="32" t="str">
        <f>IF(V181="","",VLOOKUP(MAX(V181,0),Reference!$A$17:$B$20,2,TRUE()))</f>
        <v/>
      </c>
      <c r="X181" s="31"/>
      <c r="Y181" s="31"/>
      <c r="Z181" s="31"/>
      <c r="AA181" s="32" t="str">
        <f t="shared" si="24"/>
        <v/>
      </c>
      <c r="AB181" s="32" t="str">
        <f t="shared" si="25"/>
        <v/>
      </c>
      <c r="AC181" s="32" t="str">
        <f>IF(AB181="","",VLOOKUP(MAX(AB181,0),Reference!$A$17:$B$20,2,TRUE()))</f>
        <v/>
      </c>
      <c r="AD181" s="31"/>
      <c r="AE181">
        <f t="shared" si="26"/>
        <v>1</v>
      </c>
      <c r="AF181" s="33" t="str">
        <f>IF(OR(A181="",B181="",AND(C181&lt;&gt;"Bullpen",C181&lt;&gt;"Game")),"",IF((COUNTIFS($B$5:$B$300,B181,$A$5:$A$300,A181-1,$C$5:$C$300,"Bullpen",$AG$5:$AG$300,"&gt;0") + COUNTIFS($B$5:$B$300,B181,$A$5:$A$300,A181-1,$C$5:$C$300,"Game",$AG$5:$AG$300,"&gt;0"))&gt;0,Reference!$B$119,IF((COUNTIFS($B$5:$B$300,B181,$A$5:$A$300,A181-2,$C$5:$C$300,"Bullpen",$AG$5:$AG$300,"&gt;0") + COUNTIFS($B$5:$B$300,B181,$A$5:$A$300,A181-2,$C$5:$C$300,"Game",$AG$5:$AG$300,"&gt;0"))&gt;0,Reference!$B$120,1)))</f>
        <v/>
      </c>
      <c r="AG181" s="30" t="str">
        <f>IF(AND(OR(I181="",O181="",P181=""),OR(R181="",W181=""),OR(X181="",AC181="")),"",IF(OR(I181="",O181="",P181=""),0,I181*O181*P181)+IF(OR(R181="",W181=""),0,R181*IFERROR(INDEX(Reference!$B$61:$B$62,MATCH("Bullpen",Reference!$A$61:$A$62,0)),0)*W181)+IF(OR(X181="",AC181=""),0,X181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181))</f>
        <v/>
      </c>
    </row>
    <row r="182" spans="1:33" x14ac:dyDescent="0.3">
      <c r="A182" s="35"/>
      <c r="B182" s="31"/>
      <c r="C182" s="31"/>
      <c r="D182" s="31"/>
      <c r="E182" s="34"/>
      <c r="F182" s="34"/>
      <c r="G182" s="30" t="str">
        <f t="shared" si="18"/>
        <v/>
      </c>
      <c r="H182" s="31"/>
      <c r="I182" s="32" t="str">
        <f>IF(H182&lt;&gt;"",H182,IF(G182="","",ROUND(G182*IFERROR(INDEX(Reference!$B$44:$B$50,MATCH(C182,Reference!$A$44:$A$50,0)),0),0)))</f>
        <v/>
      </c>
      <c r="J182" s="31"/>
      <c r="K182" s="31"/>
      <c r="L182" s="32" t="str">
        <f t="shared" si="19"/>
        <v/>
      </c>
      <c r="M182" s="32" t="str">
        <f>IFERROR(INDEX(Roster!$D$5:$D$40,MATCH(B182,Roster!$A$5:$A$40,0)),"")</f>
        <v/>
      </c>
      <c r="N182" s="32" t="str">
        <f t="shared" si="20"/>
        <v/>
      </c>
      <c r="O182" s="32" t="str">
        <f>IF(OR(C182="Bullpen",C182="Game"),IFERROR(INDEX(Reference!$B$61:$B$62,MATCH(C182,Reference!$A$61:$A$62,0)),""),IF(D182="","",IF(AE182&gt;1,((IF(1&lt;=AE182,(AE182-1+3)*(INDEX(Reference!$B$6:$B$11,MIN(5,MATCH(MAX(Reference!$A$6,MIN(Reference!$A$11,MIN(D182,90))),Reference!$A$6:$A$11,1)))+(MAX(Reference!$A$6,MIN(Reference!$A$11,MIN(D182,90)))-INDEX(Reference!$A$6:$A$11,MIN(5,MATCH(MAX(Reference!$A$6,MIN(Reference!$A$11,MIN(D182,90))),Reference!$A$6:$A$11,1))))*(INDEX(Reference!$B$6:$B$11,MIN(5,MATCH(MAX(Reference!$A$6,MIN(Reference!$A$11,MIN(D182,90))),Reference!$A$6:$A$11,1))+1)-INDEX(Reference!$B$6:$B$11,MIN(5,MATCH(MAX(Reference!$A$6,MIN(Reference!$A$11,MIN(D182,90))),Reference!$A$6:$A$11,1))))/(INDEX(Reference!$A$6:$A$11,MIN(5,MATCH(MAX(Reference!$A$6,MIN(Reference!$A$11,MIN(D182,90))),Reference!$A$6:$A$11,1))+1)-INDEX(Reference!$A$6:$A$11,MIN(5,MATCH(MAX(Reference!$A$6,MIN(Reference!$A$11,MIN(D182,90))),Reference!$A$6:$A$11,1))))),0)+IF(2&lt;=AE182,(AE182-2+3)*(INDEX(Reference!$B$6:$B$11,MIN(5,MATCH(MAX(Reference!$A$6,MIN(Reference!$A$11,MIN(D182,120))),Reference!$A$6:$A$11,1)))+(MAX(Reference!$A$6,MIN(Reference!$A$11,MIN(D182,120)))-INDEX(Reference!$A$6:$A$11,MIN(5,MATCH(MAX(Reference!$A$6,MIN(Reference!$A$11,MIN(D182,120))),Reference!$A$6:$A$11,1))))*(INDEX(Reference!$B$6:$B$11,MIN(5,MATCH(MAX(Reference!$A$6,MIN(Reference!$A$11,MIN(D182,120))),Reference!$A$6:$A$11,1))+1)-INDEX(Reference!$B$6:$B$11,MIN(5,MATCH(MAX(Reference!$A$6,MIN(Reference!$A$11,MIN(D182,120))),Reference!$A$6:$A$11,1))))/(INDEX(Reference!$A$6:$A$11,MIN(5,MATCH(MAX(Reference!$A$6,MIN(Reference!$A$11,MIN(D182,120))),Reference!$A$6:$A$11,1))+1)-INDEX(Reference!$A$6:$A$11,MIN(5,MATCH(MAX(Reference!$A$6,MIN(Reference!$A$11,MIN(D182,120))),Reference!$A$6:$A$11,1))))),0)+IF(3&lt;=AE182,(AE182-3+3)*(INDEX(Reference!$B$6:$B$11,MIN(5,MATCH(MAX(Reference!$A$6,MIN(Reference!$A$11,MIN(D182,150))),Reference!$A$6:$A$11,1)))+(MAX(Reference!$A$6,MIN(Reference!$A$11,MIN(D182,150)))-INDEX(Reference!$A$6:$A$11,MIN(5,MATCH(MAX(Reference!$A$6,MIN(Reference!$A$11,MIN(D182,150))),Reference!$A$6:$A$11,1))))*(INDEX(Reference!$B$6:$B$11,MIN(5,MATCH(MAX(Reference!$A$6,MIN(Reference!$A$11,MIN(D182,150))),Reference!$A$6:$A$11,1))+1)-INDEX(Reference!$B$6:$B$11,MIN(5,MATCH(MAX(Reference!$A$6,MIN(Reference!$A$11,MIN(D182,150))),Reference!$A$6:$A$11,1))))/(INDEX(Reference!$A$6:$A$11,MIN(5,MATCH(MAX(Reference!$A$6,MIN(Reference!$A$11,MIN(D182,150))),Reference!$A$6:$A$11,1))+1)-INDEX(Reference!$A$6:$A$11,MIN(5,MATCH(MAX(Reference!$A$6,MIN(Reference!$A$11,MIN(D182,150))),Reference!$A$6:$A$11,1))))),0)+IF(4&lt;=AE182,(AE182-4+3)*(INDEX(Reference!$B$6:$B$11,MIN(5,MATCH(MAX(Reference!$A$6,MIN(Reference!$A$11,MIN(D182,180))),Reference!$A$6:$A$11,1)))+(MAX(Reference!$A$6,MIN(Reference!$A$11,MIN(D182,180)))-INDEX(Reference!$A$6:$A$11,MIN(5,MATCH(MAX(Reference!$A$6,MIN(Reference!$A$11,MIN(D182,180))),Reference!$A$6:$A$11,1))))*(INDEX(Reference!$B$6:$B$11,MIN(5,MATCH(MAX(Reference!$A$6,MIN(Reference!$A$11,MIN(D182,180))),Reference!$A$6:$A$11,1))+1)-INDEX(Reference!$B$6:$B$11,MIN(5,MATCH(MAX(Reference!$A$6,MIN(Reference!$A$11,MIN(D182,180))),Reference!$A$6:$A$11,1))))/(INDEX(Reference!$A$6:$A$11,MIN(5,MATCH(MAX(Reference!$A$6,MIN(Reference!$A$11,MIN(D182,180))),Reference!$A$6:$A$11,1))+1)-INDEX(Reference!$A$6:$A$11,MIN(5,MATCH(MAX(Reference!$A$6,MIN(Reference!$A$11,MIN(D182,180))),Reference!$A$6:$A$11,1))))),0)+IF(5&lt;=AE182,(AE182-5+3)*(INDEX(Reference!$B$6:$B$11,MIN(5,MATCH(MAX(Reference!$A$6,MIN(Reference!$A$11,MIN(D182,210))),Reference!$A$6:$A$11,1)))+(MAX(Reference!$A$6,MIN(Reference!$A$11,MIN(D182,210)))-INDEX(Reference!$A$6:$A$11,MIN(5,MATCH(MAX(Reference!$A$6,MIN(Reference!$A$11,MIN(D182,210))),Reference!$A$6:$A$11,1))))*(INDEX(Reference!$B$6:$B$11,MIN(5,MATCH(MAX(Reference!$A$6,MIN(Reference!$A$11,MIN(D182,210))),Reference!$A$6:$A$11,1))+1)-INDEX(Reference!$B$6:$B$11,MIN(5,MATCH(MAX(Reference!$A$6,MIN(Reference!$A$11,MIN(D182,210))),Reference!$A$6:$A$11,1))))/(INDEX(Reference!$A$6:$A$11,MIN(5,MATCH(MAX(Reference!$A$6,MIN(Reference!$A$11,MIN(D182,210))),Reference!$A$6:$A$11,1))+1)-INDEX(Reference!$A$6:$A$11,MIN(5,MATCH(MAX(Reference!$A$6,MIN(Reference!$A$11,MIN(D182,210))),Reference!$A$6:$A$11,1))))),0)+IF(6&lt;=AE182,(AE182-6+3)*(INDEX(Reference!$B$6:$B$11,MIN(5,MATCH(MAX(Reference!$A$6,MIN(Reference!$A$11,MIN(D182,240))),Reference!$A$6:$A$11,1)))+(MAX(Reference!$A$6,MIN(Reference!$A$11,MIN(D182,240)))-INDEX(Reference!$A$6:$A$11,MIN(5,MATCH(MAX(Reference!$A$6,MIN(Reference!$A$11,MIN(D182,240))),Reference!$A$6:$A$11,1))))*(INDEX(Reference!$B$6:$B$11,MIN(5,MATCH(MAX(Reference!$A$6,MIN(Reference!$A$11,MIN(D182,240))),Reference!$A$6:$A$11,1))+1)-INDEX(Reference!$B$6:$B$11,MIN(5,MATCH(MAX(Reference!$A$6,MIN(Reference!$A$11,MIN(D182,240))),Reference!$A$6:$A$11,1))))/(INDEX(Reference!$A$6:$A$11,MIN(5,MATCH(MAX(Reference!$A$6,MIN(Reference!$A$11,MIN(D182,240))),Reference!$A$6:$A$11,1))+1)-INDEX(Reference!$A$6:$A$11,MIN(5,MATCH(MAX(Reference!$A$6,MIN(Reference!$A$11,MIN(D182,240))),Reference!$A$6:$A$11,1))))),0)+IF(7&lt;=AE182,(AE182-7+3)*(INDEX(Reference!$B$6:$B$11,MIN(5,MATCH(MAX(Reference!$A$6,MIN(Reference!$A$11,MIN(D182,270))),Reference!$A$6:$A$11,1)))+(MAX(Reference!$A$6,MIN(Reference!$A$11,MIN(D182,270)))-INDEX(Reference!$A$6:$A$11,MIN(5,MATCH(MAX(Reference!$A$6,MIN(Reference!$A$11,MIN(D182,270))),Reference!$A$6:$A$11,1))))*(INDEX(Reference!$B$6:$B$11,MIN(5,MATCH(MAX(Reference!$A$6,MIN(Reference!$A$11,MIN(D182,270))),Reference!$A$6:$A$11,1))+1)-INDEX(Reference!$B$6:$B$11,MIN(5,MATCH(MAX(Reference!$A$6,MIN(Reference!$A$11,MIN(D182,270))),Reference!$A$6:$A$11,1))))/(INDEX(Reference!$A$6:$A$11,MIN(5,MATCH(MAX(Reference!$A$6,MIN(Reference!$A$11,MIN(D182,270))),Reference!$A$6:$A$11,1))+1)-INDEX(Reference!$A$6:$A$11,MIN(5,MATCH(MAX(Reference!$A$6,MIN(Reference!$A$11,MIN(D182,270))),Reference!$A$6:$A$11,1))))),0)+IF(8&lt;=AE182,(AE182-8+3)*(INDEX(Reference!$B$6:$B$11,MIN(5,MATCH(MAX(Reference!$A$6,MIN(Reference!$A$11,MIN(D182,300))),Reference!$A$6:$A$11,1)))+(MAX(Reference!$A$6,MIN(Reference!$A$11,MIN(D182,300)))-INDEX(Reference!$A$6:$A$11,MIN(5,MATCH(MAX(Reference!$A$6,MIN(Reference!$A$11,MIN(D182,300))),Reference!$A$6:$A$11,1))))*(INDEX(Reference!$B$6:$B$11,MIN(5,MATCH(MAX(Reference!$A$6,MIN(Reference!$A$11,MIN(D182,300))),Reference!$A$6:$A$11,1))+1)-INDEX(Reference!$B$6:$B$11,MIN(5,MATCH(MAX(Reference!$A$6,MIN(Reference!$A$11,MIN(D182,300))),Reference!$A$6:$A$11,1))))/(INDEX(Reference!$A$6:$A$11,MIN(5,MATCH(MAX(Reference!$A$6,MIN(Reference!$A$11,MIN(D182,300))),Reference!$A$6:$A$11,1))+1)-INDEX(Reference!$A$6:$A$11,MIN(5,MATCH(MAX(Reference!$A$6,MIN(Reference!$A$11,MIN(D182,300))),Reference!$A$6:$A$11,1))))),0))/(AE182*(AE182+5)/2)),(INDEX(Reference!$B$6:$B$11,MIN(5,MATCH(MAX(Reference!$A$6,MIN(Reference!$A$11,D182)),Reference!$A$6:$A$11,1)))+(MAX(Reference!$A$6,MIN(Reference!$A$11,D182))-INDEX(Reference!$A$6:$A$11,MIN(5,MATCH(MAX(Reference!$A$6,MIN(Reference!$A$11,D182)),Reference!$A$6:$A$11,1))))*(INDEX(Reference!$B$6:$B$11,MIN(5,MATCH(MAX(Reference!$A$6,MIN(Reference!$A$11,D182)),Reference!$A$6:$A$11,1))+1)-INDEX(Reference!$B$6:$B$11,MIN(5,MATCH(MAX(Reference!$A$6,MIN(Reference!$A$11,D182)),Reference!$A$6:$A$11,1))))/(INDEX(Reference!$A$6:$A$11,MIN(5,MATCH(MAX(Reference!$A$6,MIN(Reference!$A$11,D182)),Reference!$A$6:$A$11,1))+1)-INDEX(Reference!$A$6:$A$11,MIN(5,MATCH(MAX(Reference!$A$6,MIN(Reference!$A$11,D182)),Reference!$A$6:$A$11,1))))))))</f>
        <v/>
      </c>
      <c r="P182" s="32" t="str">
        <f>IF(N182="","",VLOOKUP(MAX(N182,0),Reference!$A$17:$B$20,2,TRUE()))</f>
        <v/>
      </c>
      <c r="Q182" s="32" t="str">
        <f t="shared" si="21"/>
        <v/>
      </c>
      <c r="R182" s="31"/>
      <c r="S182" s="31"/>
      <c r="T182" s="31"/>
      <c r="U182" s="32" t="str">
        <f t="shared" si="22"/>
        <v/>
      </c>
      <c r="V182" s="32" t="str">
        <f t="shared" si="23"/>
        <v/>
      </c>
      <c r="W182" s="32" t="str">
        <f>IF(V182="","",VLOOKUP(MAX(V182,0),Reference!$A$17:$B$20,2,TRUE()))</f>
        <v/>
      </c>
      <c r="X182" s="31"/>
      <c r="Y182" s="31"/>
      <c r="Z182" s="31"/>
      <c r="AA182" s="32" t="str">
        <f t="shared" si="24"/>
        <v/>
      </c>
      <c r="AB182" s="32" t="str">
        <f t="shared" si="25"/>
        <v/>
      </c>
      <c r="AC182" s="32" t="str">
        <f>IF(AB182="","",VLOOKUP(MAX(AB182,0),Reference!$A$17:$B$20,2,TRUE()))</f>
        <v/>
      </c>
      <c r="AD182" s="31"/>
      <c r="AE182">
        <f t="shared" si="26"/>
        <v>1</v>
      </c>
      <c r="AF182" s="33" t="str">
        <f>IF(OR(A182="",B182="",AND(C182&lt;&gt;"Bullpen",C182&lt;&gt;"Game")),"",IF((COUNTIFS($B$5:$B$300,B182,$A$5:$A$300,A182-1,$C$5:$C$300,"Bullpen",$AG$5:$AG$300,"&gt;0") + COUNTIFS($B$5:$B$300,B182,$A$5:$A$300,A182-1,$C$5:$C$300,"Game",$AG$5:$AG$300,"&gt;0"))&gt;0,Reference!$B$119,IF((COUNTIFS($B$5:$B$300,B182,$A$5:$A$300,A182-2,$C$5:$C$300,"Bullpen",$AG$5:$AG$300,"&gt;0") + COUNTIFS($B$5:$B$300,B182,$A$5:$A$300,A182-2,$C$5:$C$300,"Game",$AG$5:$AG$300,"&gt;0"))&gt;0,Reference!$B$120,1)))</f>
        <v/>
      </c>
      <c r="AG182" s="30" t="str">
        <f>IF(AND(OR(I182="",O182="",P182=""),OR(R182="",W182=""),OR(X182="",AC182="")),"",IF(OR(I182="",O182="",P182=""),0,I182*O182*P182)+IF(OR(R182="",W182=""),0,R182*IFERROR(INDEX(Reference!$B$61:$B$62,MATCH("Bullpen",Reference!$A$61:$A$62,0)),0)*W182)+IF(OR(X182="",AC182=""),0,X182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182))</f>
        <v/>
      </c>
    </row>
    <row r="183" spans="1:33" x14ac:dyDescent="0.3">
      <c r="A183" s="35"/>
      <c r="B183" s="31"/>
      <c r="C183" s="31"/>
      <c r="D183" s="31"/>
      <c r="E183" s="34"/>
      <c r="F183" s="34"/>
      <c r="G183" s="30" t="str">
        <f t="shared" si="18"/>
        <v/>
      </c>
      <c r="H183" s="31"/>
      <c r="I183" s="32" t="str">
        <f>IF(H183&lt;&gt;"",H183,IF(G183="","",ROUND(G183*IFERROR(INDEX(Reference!$B$44:$B$50,MATCH(C183,Reference!$A$44:$A$50,0)),0),0)))</f>
        <v/>
      </c>
      <c r="J183" s="31"/>
      <c r="K183" s="31"/>
      <c r="L183" s="32" t="str">
        <f t="shared" si="19"/>
        <v/>
      </c>
      <c r="M183" s="32" t="str">
        <f>IFERROR(INDEX(Roster!$D$5:$D$40,MATCH(B183,Roster!$A$5:$A$40,0)),"")</f>
        <v/>
      </c>
      <c r="N183" s="32" t="str">
        <f t="shared" si="20"/>
        <v/>
      </c>
      <c r="O183" s="32" t="str">
        <f>IF(OR(C183="Bullpen",C183="Game"),IFERROR(INDEX(Reference!$B$61:$B$62,MATCH(C183,Reference!$A$61:$A$62,0)),""),IF(D183="","",IF(AE183&gt;1,((IF(1&lt;=AE183,(AE183-1+3)*(INDEX(Reference!$B$6:$B$11,MIN(5,MATCH(MAX(Reference!$A$6,MIN(Reference!$A$11,MIN(D183,90))),Reference!$A$6:$A$11,1)))+(MAX(Reference!$A$6,MIN(Reference!$A$11,MIN(D183,90)))-INDEX(Reference!$A$6:$A$11,MIN(5,MATCH(MAX(Reference!$A$6,MIN(Reference!$A$11,MIN(D183,90))),Reference!$A$6:$A$11,1))))*(INDEX(Reference!$B$6:$B$11,MIN(5,MATCH(MAX(Reference!$A$6,MIN(Reference!$A$11,MIN(D183,90))),Reference!$A$6:$A$11,1))+1)-INDEX(Reference!$B$6:$B$11,MIN(5,MATCH(MAX(Reference!$A$6,MIN(Reference!$A$11,MIN(D183,90))),Reference!$A$6:$A$11,1))))/(INDEX(Reference!$A$6:$A$11,MIN(5,MATCH(MAX(Reference!$A$6,MIN(Reference!$A$11,MIN(D183,90))),Reference!$A$6:$A$11,1))+1)-INDEX(Reference!$A$6:$A$11,MIN(5,MATCH(MAX(Reference!$A$6,MIN(Reference!$A$11,MIN(D183,90))),Reference!$A$6:$A$11,1))))),0)+IF(2&lt;=AE183,(AE183-2+3)*(INDEX(Reference!$B$6:$B$11,MIN(5,MATCH(MAX(Reference!$A$6,MIN(Reference!$A$11,MIN(D183,120))),Reference!$A$6:$A$11,1)))+(MAX(Reference!$A$6,MIN(Reference!$A$11,MIN(D183,120)))-INDEX(Reference!$A$6:$A$11,MIN(5,MATCH(MAX(Reference!$A$6,MIN(Reference!$A$11,MIN(D183,120))),Reference!$A$6:$A$11,1))))*(INDEX(Reference!$B$6:$B$11,MIN(5,MATCH(MAX(Reference!$A$6,MIN(Reference!$A$11,MIN(D183,120))),Reference!$A$6:$A$11,1))+1)-INDEX(Reference!$B$6:$B$11,MIN(5,MATCH(MAX(Reference!$A$6,MIN(Reference!$A$11,MIN(D183,120))),Reference!$A$6:$A$11,1))))/(INDEX(Reference!$A$6:$A$11,MIN(5,MATCH(MAX(Reference!$A$6,MIN(Reference!$A$11,MIN(D183,120))),Reference!$A$6:$A$11,1))+1)-INDEX(Reference!$A$6:$A$11,MIN(5,MATCH(MAX(Reference!$A$6,MIN(Reference!$A$11,MIN(D183,120))),Reference!$A$6:$A$11,1))))),0)+IF(3&lt;=AE183,(AE183-3+3)*(INDEX(Reference!$B$6:$B$11,MIN(5,MATCH(MAX(Reference!$A$6,MIN(Reference!$A$11,MIN(D183,150))),Reference!$A$6:$A$11,1)))+(MAX(Reference!$A$6,MIN(Reference!$A$11,MIN(D183,150)))-INDEX(Reference!$A$6:$A$11,MIN(5,MATCH(MAX(Reference!$A$6,MIN(Reference!$A$11,MIN(D183,150))),Reference!$A$6:$A$11,1))))*(INDEX(Reference!$B$6:$B$11,MIN(5,MATCH(MAX(Reference!$A$6,MIN(Reference!$A$11,MIN(D183,150))),Reference!$A$6:$A$11,1))+1)-INDEX(Reference!$B$6:$B$11,MIN(5,MATCH(MAX(Reference!$A$6,MIN(Reference!$A$11,MIN(D183,150))),Reference!$A$6:$A$11,1))))/(INDEX(Reference!$A$6:$A$11,MIN(5,MATCH(MAX(Reference!$A$6,MIN(Reference!$A$11,MIN(D183,150))),Reference!$A$6:$A$11,1))+1)-INDEX(Reference!$A$6:$A$11,MIN(5,MATCH(MAX(Reference!$A$6,MIN(Reference!$A$11,MIN(D183,150))),Reference!$A$6:$A$11,1))))),0)+IF(4&lt;=AE183,(AE183-4+3)*(INDEX(Reference!$B$6:$B$11,MIN(5,MATCH(MAX(Reference!$A$6,MIN(Reference!$A$11,MIN(D183,180))),Reference!$A$6:$A$11,1)))+(MAX(Reference!$A$6,MIN(Reference!$A$11,MIN(D183,180)))-INDEX(Reference!$A$6:$A$11,MIN(5,MATCH(MAX(Reference!$A$6,MIN(Reference!$A$11,MIN(D183,180))),Reference!$A$6:$A$11,1))))*(INDEX(Reference!$B$6:$B$11,MIN(5,MATCH(MAX(Reference!$A$6,MIN(Reference!$A$11,MIN(D183,180))),Reference!$A$6:$A$11,1))+1)-INDEX(Reference!$B$6:$B$11,MIN(5,MATCH(MAX(Reference!$A$6,MIN(Reference!$A$11,MIN(D183,180))),Reference!$A$6:$A$11,1))))/(INDEX(Reference!$A$6:$A$11,MIN(5,MATCH(MAX(Reference!$A$6,MIN(Reference!$A$11,MIN(D183,180))),Reference!$A$6:$A$11,1))+1)-INDEX(Reference!$A$6:$A$11,MIN(5,MATCH(MAX(Reference!$A$6,MIN(Reference!$A$11,MIN(D183,180))),Reference!$A$6:$A$11,1))))),0)+IF(5&lt;=AE183,(AE183-5+3)*(INDEX(Reference!$B$6:$B$11,MIN(5,MATCH(MAX(Reference!$A$6,MIN(Reference!$A$11,MIN(D183,210))),Reference!$A$6:$A$11,1)))+(MAX(Reference!$A$6,MIN(Reference!$A$11,MIN(D183,210)))-INDEX(Reference!$A$6:$A$11,MIN(5,MATCH(MAX(Reference!$A$6,MIN(Reference!$A$11,MIN(D183,210))),Reference!$A$6:$A$11,1))))*(INDEX(Reference!$B$6:$B$11,MIN(5,MATCH(MAX(Reference!$A$6,MIN(Reference!$A$11,MIN(D183,210))),Reference!$A$6:$A$11,1))+1)-INDEX(Reference!$B$6:$B$11,MIN(5,MATCH(MAX(Reference!$A$6,MIN(Reference!$A$11,MIN(D183,210))),Reference!$A$6:$A$11,1))))/(INDEX(Reference!$A$6:$A$11,MIN(5,MATCH(MAX(Reference!$A$6,MIN(Reference!$A$11,MIN(D183,210))),Reference!$A$6:$A$11,1))+1)-INDEX(Reference!$A$6:$A$11,MIN(5,MATCH(MAX(Reference!$A$6,MIN(Reference!$A$11,MIN(D183,210))),Reference!$A$6:$A$11,1))))),0)+IF(6&lt;=AE183,(AE183-6+3)*(INDEX(Reference!$B$6:$B$11,MIN(5,MATCH(MAX(Reference!$A$6,MIN(Reference!$A$11,MIN(D183,240))),Reference!$A$6:$A$11,1)))+(MAX(Reference!$A$6,MIN(Reference!$A$11,MIN(D183,240)))-INDEX(Reference!$A$6:$A$11,MIN(5,MATCH(MAX(Reference!$A$6,MIN(Reference!$A$11,MIN(D183,240))),Reference!$A$6:$A$11,1))))*(INDEX(Reference!$B$6:$B$11,MIN(5,MATCH(MAX(Reference!$A$6,MIN(Reference!$A$11,MIN(D183,240))),Reference!$A$6:$A$11,1))+1)-INDEX(Reference!$B$6:$B$11,MIN(5,MATCH(MAX(Reference!$A$6,MIN(Reference!$A$11,MIN(D183,240))),Reference!$A$6:$A$11,1))))/(INDEX(Reference!$A$6:$A$11,MIN(5,MATCH(MAX(Reference!$A$6,MIN(Reference!$A$11,MIN(D183,240))),Reference!$A$6:$A$11,1))+1)-INDEX(Reference!$A$6:$A$11,MIN(5,MATCH(MAX(Reference!$A$6,MIN(Reference!$A$11,MIN(D183,240))),Reference!$A$6:$A$11,1))))),0)+IF(7&lt;=AE183,(AE183-7+3)*(INDEX(Reference!$B$6:$B$11,MIN(5,MATCH(MAX(Reference!$A$6,MIN(Reference!$A$11,MIN(D183,270))),Reference!$A$6:$A$11,1)))+(MAX(Reference!$A$6,MIN(Reference!$A$11,MIN(D183,270)))-INDEX(Reference!$A$6:$A$11,MIN(5,MATCH(MAX(Reference!$A$6,MIN(Reference!$A$11,MIN(D183,270))),Reference!$A$6:$A$11,1))))*(INDEX(Reference!$B$6:$B$11,MIN(5,MATCH(MAX(Reference!$A$6,MIN(Reference!$A$11,MIN(D183,270))),Reference!$A$6:$A$11,1))+1)-INDEX(Reference!$B$6:$B$11,MIN(5,MATCH(MAX(Reference!$A$6,MIN(Reference!$A$11,MIN(D183,270))),Reference!$A$6:$A$11,1))))/(INDEX(Reference!$A$6:$A$11,MIN(5,MATCH(MAX(Reference!$A$6,MIN(Reference!$A$11,MIN(D183,270))),Reference!$A$6:$A$11,1))+1)-INDEX(Reference!$A$6:$A$11,MIN(5,MATCH(MAX(Reference!$A$6,MIN(Reference!$A$11,MIN(D183,270))),Reference!$A$6:$A$11,1))))),0)+IF(8&lt;=AE183,(AE183-8+3)*(INDEX(Reference!$B$6:$B$11,MIN(5,MATCH(MAX(Reference!$A$6,MIN(Reference!$A$11,MIN(D183,300))),Reference!$A$6:$A$11,1)))+(MAX(Reference!$A$6,MIN(Reference!$A$11,MIN(D183,300)))-INDEX(Reference!$A$6:$A$11,MIN(5,MATCH(MAX(Reference!$A$6,MIN(Reference!$A$11,MIN(D183,300))),Reference!$A$6:$A$11,1))))*(INDEX(Reference!$B$6:$B$11,MIN(5,MATCH(MAX(Reference!$A$6,MIN(Reference!$A$11,MIN(D183,300))),Reference!$A$6:$A$11,1))+1)-INDEX(Reference!$B$6:$B$11,MIN(5,MATCH(MAX(Reference!$A$6,MIN(Reference!$A$11,MIN(D183,300))),Reference!$A$6:$A$11,1))))/(INDEX(Reference!$A$6:$A$11,MIN(5,MATCH(MAX(Reference!$A$6,MIN(Reference!$A$11,MIN(D183,300))),Reference!$A$6:$A$11,1))+1)-INDEX(Reference!$A$6:$A$11,MIN(5,MATCH(MAX(Reference!$A$6,MIN(Reference!$A$11,MIN(D183,300))),Reference!$A$6:$A$11,1))))),0))/(AE183*(AE183+5)/2)),(INDEX(Reference!$B$6:$B$11,MIN(5,MATCH(MAX(Reference!$A$6,MIN(Reference!$A$11,D183)),Reference!$A$6:$A$11,1)))+(MAX(Reference!$A$6,MIN(Reference!$A$11,D183))-INDEX(Reference!$A$6:$A$11,MIN(5,MATCH(MAX(Reference!$A$6,MIN(Reference!$A$11,D183)),Reference!$A$6:$A$11,1))))*(INDEX(Reference!$B$6:$B$11,MIN(5,MATCH(MAX(Reference!$A$6,MIN(Reference!$A$11,D183)),Reference!$A$6:$A$11,1))+1)-INDEX(Reference!$B$6:$B$11,MIN(5,MATCH(MAX(Reference!$A$6,MIN(Reference!$A$11,D183)),Reference!$A$6:$A$11,1))))/(INDEX(Reference!$A$6:$A$11,MIN(5,MATCH(MAX(Reference!$A$6,MIN(Reference!$A$11,D183)),Reference!$A$6:$A$11,1))+1)-INDEX(Reference!$A$6:$A$11,MIN(5,MATCH(MAX(Reference!$A$6,MIN(Reference!$A$11,D183)),Reference!$A$6:$A$11,1))))))))</f>
        <v/>
      </c>
      <c r="P183" s="32" t="str">
        <f>IF(N183="","",VLOOKUP(MAX(N183,0),Reference!$A$17:$B$20,2,TRUE()))</f>
        <v/>
      </c>
      <c r="Q183" s="32" t="str">
        <f t="shared" si="21"/>
        <v/>
      </c>
      <c r="R183" s="31"/>
      <c r="S183" s="31"/>
      <c r="T183" s="31"/>
      <c r="U183" s="32" t="str">
        <f t="shared" si="22"/>
        <v/>
      </c>
      <c r="V183" s="32" t="str">
        <f t="shared" si="23"/>
        <v/>
      </c>
      <c r="W183" s="32" t="str">
        <f>IF(V183="","",VLOOKUP(MAX(V183,0),Reference!$A$17:$B$20,2,TRUE()))</f>
        <v/>
      </c>
      <c r="X183" s="31"/>
      <c r="Y183" s="31"/>
      <c r="Z183" s="31"/>
      <c r="AA183" s="32" t="str">
        <f t="shared" si="24"/>
        <v/>
      </c>
      <c r="AB183" s="32" t="str">
        <f t="shared" si="25"/>
        <v/>
      </c>
      <c r="AC183" s="32" t="str">
        <f>IF(AB183="","",VLOOKUP(MAX(AB183,0),Reference!$A$17:$B$20,2,TRUE()))</f>
        <v/>
      </c>
      <c r="AD183" s="31"/>
      <c r="AE183">
        <f t="shared" si="26"/>
        <v>1</v>
      </c>
      <c r="AF183" s="33" t="str">
        <f>IF(OR(A183="",B183="",AND(C183&lt;&gt;"Bullpen",C183&lt;&gt;"Game")),"",IF((COUNTIFS($B$5:$B$300,B183,$A$5:$A$300,A183-1,$C$5:$C$300,"Bullpen",$AG$5:$AG$300,"&gt;0") + COUNTIFS($B$5:$B$300,B183,$A$5:$A$300,A183-1,$C$5:$C$300,"Game",$AG$5:$AG$300,"&gt;0"))&gt;0,Reference!$B$119,IF((COUNTIFS($B$5:$B$300,B183,$A$5:$A$300,A183-2,$C$5:$C$300,"Bullpen",$AG$5:$AG$300,"&gt;0") + COUNTIFS($B$5:$B$300,B183,$A$5:$A$300,A183-2,$C$5:$C$300,"Game",$AG$5:$AG$300,"&gt;0"))&gt;0,Reference!$B$120,1)))</f>
        <v/>
      </c>
      <c r="AG183" s="30" t="str">
        <f>IF(AND(OR(I183="",O183="",P183=""),OR(R183="",W183=""),OR(X183="",AC183="")),"",IF(OR(I183="",O183="",P183=""),0,I183*O183*P183)+IF(OR(R183="",W183=""),0,R183*IFERROR(INDEX(Reference!$B$61:$B$62,MATCH("Bullpen",Reference!$A$61:$A$62,0)),0)*W183)+IF(OR(X183="",AC183=""),0,X183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183))</f>
        <v/>
      </c>
    </row>
    <row r="184" spans="1:33" x14ac:dyDescent="0.3">
      <c r="A184" s="35"/>
      <c r="B184" s="31"/>
      <c r="C184" s="31"/>
      <c r="D184" s="31"/>
      <c r="E184" s="34"/>
      <c r="F184" s="34"/>
      <c r="G184" s="30" t="str">
        <f t="shared" si="18"/>
        <v/>
      </c>
      <c r="H184" s="31"/>
      <c r="I184" s="32" t="str">
        <f>IF(H184&lt;&gt;"",H184,IF(G184="","",ROUND(G184*IFERROR(INDEX(Reference!$B$44:$B$50,MATCH(C184,Reference!$A$44:$A$50,0)),0),0)))</f>
        <v/>
      </c>
      <c r="J184" s="31"/>
      <c r="K184" s="31"/>
      <c r="L184" s="32" t="str">
        <f t="shared" si="19"/>
        <v/>
      </c>
      <c r="M184" s="32" t="str">
        <f>IFERROR(INDEX(Roster!$D$5:$D$40,MATCH(B184,Roster!$A$5:$A$40,0)),"")</f>
        <v/>
      </c>
      <c r="N184" s="32" t="str">
        <f t="shared" si="20"/>
        <v/>
      </c>
      <c r="O184" s="32" t="str">
        <f>IF(OR(C184="Bullpen",C184="Game"),IFERROR(INDEX(Reference!$B$61:$B$62,MATCH(C184,Reference!$A$61:$A$62,0)),""),IF(D184="","",IF(AE184&gt;1,((IF(1&lt;=AE184,(AE184-1+3)*(INDEX(Reference!$B$6:$B$11,MIN(5,MATCH(MAX(Reference!$A$6,MIN(Reference!$A$11,MIN(D184,90))),Reference!$A$6:$A$11,1)))+(MAX(Reference!$A$6,MIN(Reference!$A$11,MIN(D184,90)))-INDEX(Reference!$A$6:$A$11,MIN(5,MATCH(MAX(Reference!$A$6,MIN(Reference!$A$11,MIN(D184,90))),Reference!$A$6:$A$11,1))))*(INDEX(Reference!$B$6:$B$11,MIN(5,MATCH(MAX(Reference!$A$6,MIN(Reference!$A$11,MIN(D184,90))),Reference!$A$6:$A$11,1))+1)-INDEX(Reference!$B$6:$B$11,MIN(5,MATCH(MAX(Reference!$A$6,MIN(Reference!$A$11,MIN(D184,90))),Reference!$A$6:$A$11,1))))/(INDEX(Reference!$A$6:$A$11,MIN(5,MATCH(MAX(Reference!$A$6,MIN(Reference!$A$11,MIN(D184,90))),Reference!$A$6:$A$11,1))+1)-INDEX(Reference!$A$6:$A$11,MIN(5,MATCH(MAX(Reference!$A$6,MIN(Reference!$A$11,MIN(D184,90))),Reference!$A$6:$A$11,1))))),0)+IF(2&lt;=AE184,(AE184-2+3)*(INDEX(Reference!$B$6:$B$11,MIN(5,MATCH(MAX(Reference!$A$6,MIN(Reference!$A$11,MIN(D184,120))),Reference!$A$6:$A$11,1)))+(MAX(Reference!$A$6,MIN(Reference!$A$11,MIN(D184,120)))-INDEX(Reference!$A$6:$A$11,MIN(5,MATCH(MAX(Reference!$A$6,MIN(Reference!$A$11,MIN(D184,120))),Reference!$A$6:$A$11,1))))*(INDEX(Reference!$B$6:$B$11,MIN(5,MATCH(MAX(Reference!$A$6,MIN(Reference!$A$11,MIN(D184,120))),Reference!$A$6:$A$11,1))+1)-INDEX(Reference!$B$6:$B$11,MIN(5,MATCH(MAX(Reference!$A$6,MIN(Reference!$A$11,MIN(D184,120))),Reference!$A$6:$A$11,1))))/(INDEX(Reference!$A$6:$A$11,MIN(5,MATCH(MAX(Reference!$A$6,MIN(Reference!$A$11,MIN(D184,120))),Reference!$A$6:$A$11,1))+1)-INDEX(Reference!$A$6:$A$11,MIN(5,MATCH(MAX(Reference!$A$6,MIN(Reference!$A$11,MIN(D184,120))),Reference!$A$6:$A$11,1))))),0)+IF(3&lt;=AE184,(AE184-3+3)*(INDEX(Reference!$B$6:$B$11,MIN(5,MATCH(MAX(Reference!$A$6,MIN(Reference!$A$11,MIN(D184,150))),Reference!$A$6:$A$11,1)))+(MAX(Reference!$A$6,MIN(Reference!$A$11,MIN(D184,150)))-INDEX(Reference!$A$6:$A$11,MIN(5,MATCH(MAX(Reference!$A$6,MIN(Reference!$A$11,MIN(D184,150))),Reference!$A$6:$A$11,1))))*(INDEX(Reference!$B$6:$B$11,MIN(5,MATCH(MAX(Reference!$A$6,MIN(Reference!$A$11,MIN(D184,150))),Reference!$A$6:$A$11,1))+1)-INDEX(Reference!$B$6:$B$11,MIN(5,MATCH(MAX(Reference!$A$6,MIN(Reference!$A$11,MIN(D184,150))),Reference!$A$6:$A$11,1))))/(INDEX(Reference!$A$6:$A$11,MIN(5,MATCH(MAX(Reference!$A$6,MIN(Reference!$A$11,MIN(D184,150))),Reference!$A$6:$A$11,1))+1)-INDEX(Reference!$A$6:$A$11,MIN(5,MATCH(MAX(Reference!$A$6,MIN(Reference!$A$11,MIN(D184,150))),Reference!$A$6:$A$11,1))))),0)+IF(4&lt;=AE184,(AE184-4+3)*(INDEX(Reference!$B$6:$B$11,MIN(5,MATCH(MAX(Reference!$A$6,MIN(Reference!$A$11,MIN(D184,180))),Reference!$A$6:$A$11,1)))+(MAX(Reference!$A$6,MIN(Reference!$A$11,MIN(D184,180)))-INDEX(Reference!$A$6:$A$11,MIN(5,MATCH(MAX(Reference!$A$6,MIN(Reference!$A$11,MIN(D184,180))),Reference!$A$6:$A$11,1))))*(INDEX(Reference!$B$6:$B$11,MIN(5,MATCH(MAX(Reference!$A$6,MIN(Reference!$A$11,MIN(D184,180))),Reference!$A$6:$A$11,1))+1)-INDEX(Reference!$B$6:$B$11,MIN(5,MATCH(MAX(Reference!$A$6,MIN(Reference!$A$11,MIN(D184,180))),Reference!$A$6:$A$11,1))))/(INDEX(Reference!$A$6:$A$11,MIN(5,MATCH(MAX(Reference!$A$6,MIN(Reference!$A$11,MIN(D184,180))),Reference!$A$6:$A$11,1))+1)-INDEX(Reference!$A$6:$A$11,MIN(5,MATCH(MAX(Reference!$A$6,MIN(Reference!$A$11,MIN(D184,180))),Reference!$A$6:$A$11,1))))),0)+IF(5&lt;=AE184,(AE184-5+3)*(INDEX(Reference!$B$6:$B$11,MIN(5,MATCH(MAX(Reference!$A$6,MIN(Reference!$A$11,MIN(D184,210))),Reference!$A$6:$A$11,1)))+(MAX(Reference!$A$6,MIN(Reference!$A$11,MIN(D184,210)))-INDEX(Reference!$A$6:$A$11,MIN(5,MATCH(MAX(Reference!$A$6,MIN(Reference!$A$11,MIN(D184,210))),Reference!$A$6:$A$11,1))))*(INDEX(Reference!$B$6:$B$11,MIN(5,MATCH(MAX(Reference!$A$6,MIN(Reference!$A$11,MIN(D184,210))),Reference!$A$6:$A$11,1))+1)-INDEX(Reference!$B$6:$B$11,MIN(5,MATCH(MAX(Reference!$A$6,MIN(Reference!$A$11,MIN(D184,210))),Reference!$A$6:$A$11,1))))/(INDEX(Reference!$A$6:$A$11,MIN(5,MATCH(MAX(Reference!$A$6,MIN(Reference!$A$11,MIN(D184,210))),Reference!$A$6:$A$11,1))+1)-INDEX(Reference!$A$6:$A$11,MIN(5,MATCH(MAX(Reference!$A$6,MIN(Reference!$A$11,MIN(D184,210))),Reference!$A$6:$A$11,1))))),0)+IF(6&lt;=AE184,(AE184-6+3)*(INDEX(Reference!$B$6:$B$11,MIN(5,MATCH(MAX(Reference!$A$6,MIN(Reference!$A$11,MIN(D184,240))),Reference!$A$6:$A$11,1)))+(MAX(Reference!$A$6,MIN(Reference!$A$11,MIN(D184,240)))-INDEX(Reference!$A$6:$A$11,MIN(5,MATCH(MAX(Reference!$A$6,MIN(Reference!$A$11,MIN(D184,240))),Reference!$A$6:$A$11,1))))*(INDEX(Reference!$B$6:$B$11,MIN(5,MATCH(MAX(Reference!$A$6,MIN(Reference!$A$11,MIN(D184,240))),Reference!$A$6:$A$11,1))+1)-INDEX(Reference!$B$6:$B$11,MIN(5,MATCH(MAX(Reference!$A$6,MIN(Reference!$A$11,MIN(D184,240))),Reference!$A$6:$A$11,1))))/(INDEX(Reference!$A$6:$A$11,MIN(5,MATCH(MAX(Reference!$A$6,MIN(Reference!$A$11,MIN(D184,240))),Reference!$A$6:$A$11,1))+1)-INDEX(Reference!$A$6:$A$11,MIN(5,MATCH(MAX(Reference!$A$6,MIN(Reference!$A$11,MIN(D184,240))),Reference!$A$6:$A$11,1))))),0)+IF(7&lt;=AE184,(AE184-7+3)*(INDEX(Reference!$B$6:$B$11,MIN(5,MATCH(MAX(Reference!$A$6,MIN(Reference!$A$11,MIN(D184,270))),Reference!$A$6:$A$11,1)))+(MAX(Reference!$A$6,MIN(Reference!$A$11,MIN(D184,270)))-INDEX(Reference!$A$6:$A$11,MIN(5,MATCH(MAX(Reference!$A$6,MIN(Reference!$A$11,MIN(D184,270))),Reference!$A$6:$A$11,1))))*(INDEX(Reference!$B$6:$B$11,MIN(5,MATCH(MAX(Reference!$A$6,MIN(Reference!$A$11,MIN(D184,270))),Reference!$A$6:$A$11,1))+1)-INDEX(Reference!$B$6:$B$11,MIN(5,MATCH(MAX(Reference!$A$6,MIN(Reference!$A$11,MIN(D184,270))),Reference!$A$6:$A$11,1))))/(INDEX(Reference!$A$6:$A$11,MIN(5,MATCH(MAX(Reference!$A$6,MIN(Reference!$A$11,MIN(D184,270))),Reference!$A$6:$A$11,1))+1)-INDEX(Reference!$A$6:$A$11,MIN(5,MATCH(MAX(Reference!$A$6,MIN(Reference!$A$11,MIN(D184,270))),Reference!$A$6:$A$11,1))))),0)+IF(8&lt;=AE184,(AE184-8+3)*(INDEX(Reference!$B$6:$B$11,MIN(5,MATCH(MAX(Reference!$A$6,MIN(Reference!$A$11,MIN(D184,300))),Reference!$A$6:$A$11,1)))+(MAX(Reference!$A$6,MIN(Reference!$A$11,MIN(D184,300)))-INDEX(Reference!$A$6:$A$11,MIN(5,MATCH(MAX(Reference!$A$6,MIN(Reference!$A$11,MIN(D184,300))),Reference!$A$6:$A$11,1))))*(INDEX(Reference!$B$6:$B$11,MIN(5,MATCH(MAX(Reference!$A$6,MIN(Reference!$A$11,MIN(D184,300))),Reference!$A$6:$A$11,1))+1)-INDEX(Reference!$B$6:$B$11,MIN(5,MATCH(MAX(Reference!$A$6,MIN(Reference!$A$11,MIN(D184,300))),Reference!$A$6:$A$11,1))))/(INDEX(Reference!$A$6:$A$11,MIN(5,MATCH(MAX(Reference!$A$6,MIN(Reference!$A$11,MIN(D184,300))),Reference!$A$6:$A$11,1))+1)-INDEX(Reference!$A$6:$A$11,MIN(5,MATCH(MAX(Reference!$A$6,MIN(Reference!$A$11,MIN(D184,300))),Reference!$A$6:$A$11,1))))),0))/(AE184*(AE184+5)/2)),(INDEX(Reference!$B$6:$B$11,MIN(5,MATCH(MAX(Reference!$A$6,MIN(Reference!$A$11,D184)),Reference!$A$6:$A$11,1)))+(MAX(Reference!$A$6,MIN(Reference!$A$11,D184))-INDEX(Reference!$A$6:$A$11,MIN(5,MATCH(MAX(Reference!$A$6,MIN(Reference!$A$11,D184)),Reference!$A$6:$A$11,1))))*(INDEX(Reference!$B$6:$B$11,MIN(5,MATCH(MAX(Reference!$A$6,MIN(Reference!$A$11,D184)),Reference!$A$6:$A$11,1))+1)-INDEX(Reference!$B$6:$B$11,MIN(5,MATCH(MAX(Reference!$A$6,MIN(Reference!$A$11,D184)),Reference!$A$6:$A$11,1))))/(INDEX(Reference!$A$6:$A$11,MIN(5,MATCH(MAX(Reference!$A$6,MIN(Reference!$A$11,D184)),Reference!$A$6:$A$11,1))+1)-INDEX(Reference!$A$6:$A$11,MIN(5,MATCH(MAX(Reference!$A$6,MIN(Reference!$A$11,D184)),Reference!$A$6:$A$11,1))))))))</f>
        <v/>
      </c>
      <c r="P184" s="32" t="str">
        <f>IF(N184="","",VLOOKUP(MAX(N184,0),Reference!$A$17:$B$20,2,TRUE()))</f>
        <v/>
      </c>
      <c r="Q184" s="32" t="str">
        <f t="shared" si="21"/>
        <v/>
      </c>
      <c r="R184" s="31"/>
      <c r="S184" s="31"/>
      <c r="T184" s="31"/>
      <c r="U184" s="32" t="str">
        <f t="shared" si="22"/>
        <v/>
      </c>
      <c r="V184" s="32" t="str">
        <f t="shared" si="23"/>
        <v/>
      </c>
      <c r="W184" s="32" t="str">
        <f>IF(V184="","",VLOOKUP(MAX(V184,0),Reference!$A$17:$B$20,2,TRUE()))</f>
        <v/>
      </c>
      <c r="X184" s="31"/>
      <c r="Y184" s="31"/>
      <c r="Z184" s="31"/>
      <c r="AA184" s="32" t="str">
        <f t="shared" si="24"/>
        <v/>
      </c>
      <c r="AB184" s="32" t="str">
        <f t="shared" si="25"/>
        <v/>
      </c>
      <c r="AC184" s="32" t="str">
        <f>IF(AB184="","",VLOOKUP(MAX(AB184,0),Reference!$A$17:$B$20,2,TRUE()))</f>
        <v/>
      </c>
      <c r="AD184" s="31"/>
      <c r="AE184">
        <f t="shared" si="26"/>
        <v>1</v>
      </c>
      <c r="AF184" s="33" t="str">
        <f>IF(OR(A184="",B184="",AND(C184&lt;&gt;"Bullpen",C184&lt;&gt;"Game")),"",IF((COUNTIFS($B$5:$B$300,B184,$A$5:$A$300,A184-1,$C$5:$C$300,"Bullpen",$AG$5:$AG$300,"&gt;0") + COUNTIFS($B$5:$B$300,B184,$A$5:$A$300,A184-1,$C$5:$C$300,"Game",$AG$5:$AG$300,"&gt;0"))&gt;0,Reference!$B$119,IF((COUNTIFS($B$5:$B$300,B184,$A$5:$A$300,A184-2,$C$5:$C$300,"Bullpen",$AG$5:$AG$300,"&gt;0") + COUNTIFS($B$5:$B$300,B184,$A$5:$A$300,A184-2,$C$5:$C$300,"Game",$AG$5:$AG$300,"&gt;0"))&gt;0,Reference!$B$120,1)))</f>
        <v/>
      </c>
      <c r="AG184" s="30" t="str">
        <f>IF(AND(OR(I184="",O184="",P184=""),OR(R184="",W184=""),OR(X184="",AC184="")),"",IF(OR(I184="",O184="",P184=""),0,I184*O184*P184)+IF(OR(R184="",W184=""),0,R184*IFERROR(INDEX(Reference!$B$61:$B$62,MATCH("Bullpen",Reference!$A$61:$A$62,0)),0)*W184)+IF(OR(X184="",AC184=""),0,X184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184))</f>
        <v/>
      </c>
    </row>
    <row r="185" spans="1:33" x14ac:dyDescent="0.3">
      <c r="A185" s="35"/>
      <c r="B185" s="31"/>
      <c r="C185" s="31"/>
      <c r="D185" s="31"/>
      <c r="E185" s="34"/>
      <c r="F185" s="34"/>
      <c r="G185" s="30" t="str">
        <f t="shared" si="18"/>
        <v/>
      </c>
      <c r="H185" s="31"/>
      <c r="I185" s="32" t="str">
        <f>IF(H185&lt;&gt;"",H185,IF(G185="","",ROUND(G185*IFERROR(INDEX(Reference!$B$44:$B$50,MATCH(C185,Reference!$A$44:$A$50,0)),0),0)))</f>
        <v/>
      </c>
      <c r="J185" s="31"/>
      <c r="K185" s="31"/>
      <c r="L185" s="32" t="str">
        <f t="shared" si="19"/>
        <v/>
      </c>
      <c r="M185" s="32" t="str">
        <f>IFERROR(INDEX(Roster!$D$5:$D$40,MATCH(B185,Roster!$A$5:$A$40,0)),"")</f>
        <v/>
      </c>
      <c r="N185" s="32" t="str">
        <f t="shared" si="20"/>
        <v/>
      </c>
      <c r="O185" s="32" t="str">
        <f>IF(OR(C185="Bullpen",C185="Game"),IFERROR(INDEX(Reference!$B$61:$B$62,MATCH(C185,Reference!$A$61:$A$62,0)),""),IF(D185="","",IF(AE185&gt;1,((IF(1&lt;=AE185,(AE185-1+3)*(INDEX(Reference!$B$6:$B$11,MIN(5,MATCH(MAX(Reference!$A$6,MIN(Reference!$A$11,MIN(D185,90))),Reference!$A$6:$A$11,1)))+(MAX(Reference!$A$6,MIN(Reference!$A$11,MIN(D185,90)))-INDEX(Reference!$A$6:$A$11,MIN(5,MATCH(MAX(Reference!$A$6,MIN(Reference!$A$11,MIN(D185,90))),Reference!$A$6:$A$11,1))))*(INDEX(Reference!$B$6:$B$11,MIN(5,MATCH(MAX(Reference!$A$6,MIN(Reference!$A$11,MIN(D185,90))),Reference!$A$6:$A$11,1))+1)-INDEX(Reference!$B$6:$B$11,MIN(5,MATCH(MAX(Reference!$A$6,MIN(Reference!$A$11,MIN(D185,90))),Reference!$A$6:$A$11,1))))/(INDEX(Reference!$A$6:$A$11,MIN(5,MATCH(MAX(Reference!$A$6,MIN(Reference!$A$11,MIN(D185,90))),Reference!$A$6:$A$11,1))+1)-INDEX(Reference!$A$6:$A$11,MIN(5,MATCH(MAX(Reference!$A$6,MIN(Reference!$A$11,MIN(D185,90))),Reference!$A$6:$A$11,1))))),0)+IF(2&lt;=AE185,(AE185-2+3)*(INDEX(Reference!$B$6:$B$11,MIN(5,MATCH(MAX(Reference!$A$6,MIN(Reference!$A$11,MIN(D185,120))),Reference!$A$6:$A$11,1)))+(MAX(Reference!$A$6,MIN(Reference!$A$11,MIN(D185,120)))-INDEX(Reference!$A$6:$A$11,MIN(5,MATCH(MAX(Reference!$A$6,MIN(Reference!$A$11,MIN(D185,120))),Reference!$A$6:$A$11,1))))*(INDEX(Reference!$B$6:$B$11,MIN(5,MATCH(MAX(Reference!$A$6,MIN(Reference!$A$11,MIN(D185,120))),Reference!$A$6:$A$11,1))+1)-INDEX(Reference!$B$6:$B$11,MIN(5,MATCH(MAX(Reference!$A$6,MIN(Reference!$A$11,MIN(D185,120))),Reference!$A$6:$A$11,1))))/(INDEX(Reference!$A$6:$A$11,MIN(5,MATCH(MAX(Reference!$A$6,MIN(Reference!$A$11,MIN(D185,120))),Reference!$A$6:$A$11,1))+1)-INDEX(Reference!$A$6:$A$11,MIN(5,MATCH(MAX(Reference!$A$6,MIN(Reference!$A$11,MIN(D185,120))),Reference!$A$6:$A$11,1))))),0)+IF(3&lt;=AE185,(AE185-3+3)*(INDEX(Reference!$B$6:$B$11,MIN(5,MATCH(MAX(Reference!$A$6,MIN(Reference!$A$11,MIN(D185,150))),Reference!$A$6:$A$11,1)))+(MAX(Reference!$A$6,MIN(Reference!$A$11,MIN(D185,150)))-INDEX(Reference!$A$6:$A$11,MIN(5,MATCH(MAX(Reference!$A$6,MIN(Reference!$A$11,MIN(D185,150))),Reference!$A$6:$A$11,1))))*(INDEX(Reference!$B$6:$B$11,MIN(5,MATCH(MAX(Reference!$A$6,MIN(Reference!$A$11,MIN(D185,150))),Reference!$A$6:$A$11,1))+1)-INDEX(Reference!$B$6:$B$11,MIN(5,MATCH(MAX(Reference!$A$6,MIN(Reference!$A$11,MIN(D185,150))),Reference!$A$6:$A$11,1))))/(INDEX(Reference!$A$6:$A$11,MIN(5,MATCH(MAX(Reference!$A$6,MIN(Reference!$A$11,MIN(D185,150))),Reference!$A$6:$A$11,1))+1)-INDEX(Reference!$A$6:$A$11,MIN(5,MATCH(MAX(Reference!$A$6,MIN(Reference!$A$11,MIN(D185,150))),Reference!$A$6:$A$11,1))))),0)+IF(4&lt;=AE185,(AE185-4+3)*(INDEX(Reference!$B$6:$B$11,MIN(5,MATCH(MAX(Reference!$A$6,MIN(Reference!$A$11,MIN(D185,180))),Reference!$A$6:$A$11,1)))+(MAX(Reference!$A$6,MIN(Reference!$A$11,MIN(D185,180)))-INDEX(Reference!$A$6:$A$11,MIN(5,MATCH(MAX(Reference!$A$6,MIN(Reference!$A$11,MIN(D185,180))),Reference!$A$6:$A$11,1))))*(INDEX(Reference!$B$6:$B$11,MIN(5,MATCH(MAX(Reference!$A$6,MIN(Reference!$A$11,MIN(D185,180))),Reference!$A$6:$A$11,1))+1)-INDEX(Reference!$B$6:$B$11,MIN(5,MATCH(MAX(Reference!$A$6,MIN(Reference!$A$11,MIN(D185,180))),Reference!$A$6:$A$11,1))))/(INDEX(Reference!$A$6:$A$11,MIN(5,MATCH(MAX(Reference!$A$6,MIN(Reference!$A$11,MIN(D185,180))),Reference!$A$6:$A$11,1))+1)-INDEX(Reference!$A$6:$A$11,MIN(5,MATCH(MAX(Reference!$A$6,MIN(Reference!$A$11,MIN(D185,180))),Reference!$A$6:$A$11,1))))),0)+IF(5&lt;=AE185,(AE185-5+3)*(INDEX(Reference!$B$6:$B$11,MIN(5,MATCH(MAX(Reference!$A$6,MIN(Reference!$A$11,MIN(D185,210))),Reference!$A$6:$A$11,1)))+(MAX(Reference!$A$6,MIN(Reference!$A$11,MIN(D185,210)))-INDEX(Reference!$A$6:$A$11,MIN(5,MATCH(MAX(Reference!$A$6,MIN(Reference!$A$11,MIN(D185,210))),Reference!$A$6:$A$11,1))))*(INDEX(Reference!$B$6:$B$11,MIN(5,MATCH(MAX(Reference!$A$6,MIN(Reference!$A$11,MIN(D185,210))),Reference!$A$6:$A$11,1))+1)-INDEX(Reference!$B$6:$B$11,MIN(5,MATCH(MAX(Reference!$A$6,MIN(Reference!$A$11,MIN(D185,210))),Reference!$A$6:$A$11,1))))/(INDEX(Reference!$A$6:$A$11,MIN(5,MATCH(MAX(Reference!$A$6,MIN(Reference!$A$11,MIN(D185,210))),Reference!$A$6:$A$11,1))+1)-INDEX(Reference!$A$6:$A$11,MIN(5,MATCH(MAX(Reference!$A$6,MIN(Reference!$A$11,MIN(D185,210))),Reference!$A$6:$A$11,1))))),0)+IF(6&lt;=AE185,(AE185-6+3)*(INDEX(Reference!$B$6:$B$11,MIN(5,MATCH(MAX(Reference!$A$6,MIN(Reference!$A$11,MIN(D185,240))),Reference!$A$6:$A$11,1)))+(MAX(Reference!$A$6,MIN(Reference!$A$11,MIN(D185,240)))-INDEX(Reference!$A$6:$A$11,MIN(5,MATCH(MAX(Reference!$A$6,MIN(Reference!$A$11,MIN(D185,240))),Reference!$A$6:$A$11,1))))*(INDEX(Reference!$B$6:$B$11,MIN(5,MATCH(MAX(Reference!$A$6,MIN(Reference!$A$11,MIN(D185,240))),Reference!$A$6:$A$11,1))+1)-INDEX(Reference!$B$6:$B$11,MIN(5,MATCH(MAX(Reference!$A$6,MIN(Reference!$A$11,MIN(D185,240))),Reference!$A$6:$A$11,1))))/(INDEX(Reference!$A$6:$A$11,MIN(5,MATCH(MAX(Reference!$A$6,MIN(Reference!$A$11,MIN(D185,240))),Reference!$A$6:$A$11,1))+1)-INDEX(Reference!$A$6:$A$11,MIN(5,MATCH(MAX(Reference!$A$6,MIN(Reference!$A$11,MIN(D185,240))),Reference!$A$6:$A$11,1))))),0)+IF(7&lt;=AE185,(AE185-7+3)*(INDEX(Reference!$B$6:$B$11,MIN(5,MATCH(MAX(Reference!$A$6,MIN(Reference!$A$11,MIN(D185,270))),Reference!$A$6:$A$11,1)))+(MAX(Reference!$A$6,MIN(Reference!$A$11,MIN(D185,270)))-INDEX(Reference!$A$6:$A$11,MIN(5,MATCH(MAX(Reference!$A$6,MIN(Reference!$A$11,MIN(D185,270))),Reference!$A$6:$A$11,1))))*(INDEX(Reference!$B$6:$B$11,MIN(5,MATCH(MAX(Reference!$A$6,MIN(Reference!$A$11,MIN(D185,270))),Reference!$A$6:$A$11,1))+1)-INDEX(Reference!$B$6:$B$11,MIN(5,MATCH(MAX(Reference!$A$6,MIN(Reference!$A$11,MIN(D185,270))),Reference!$A$6:$A$11,1))))/(INDEX(Reference!$A$6:$A$11,MIN(5,MATCH(MAX(Reference!$A$6,MIN(Reference!$A$11,MIN(D185,270))),Reference!$A$6:$A$11,1))+1)-INDEX(Reference!$A$6:$A$11,MIN(5,MATCH(MAX(Reference!$A$6,MIN(Reference!$A$11,MIN(D185,270))),Reference!$A$6:$A$11,1))))),0)+IF(8&lt;=AE185,(AE185-8+3)*(INDEX(Reference!$B$6:$B$11,MIN(5,MATCH(MAX(Reference!$A$6,MIN(Reference!$A$11,MIN(D185,300))),Reference!$A$6:$A$11,1)))+(MAX(Reference!$A$6,MIN(Reference!$A$11,MIN(D185,300)))-INDEX(Reference!$A$6:$A$11,MIN(5,MATCH(MAX(Reference!$A$6,MIN(Reference!$A$11,MIN(D185,300))),Reference!$A$6:$A$11,1))))*(INDEX(Reference!$B$6:$B$11,MIN(5,MATCH(MAX(Reference!$A$6,MIN(Reference!$A$11,MIN(D185,300))),Reference!$A$6:$A$11,1))+1)-INDEX(Reference!$B$6:$B$11,MIN(5,MATCH(MAX(Reference!$A$6,MIN(Reference!$A$11,MIN(D185,300))),Reference!$A$6:$A$11,1))))/(INDEX(Reference!$A$6:$A$11,MIN(5,MATCH(MAX(Reference!$A$6,MIN(Reference!$A$11,MIN(D185,300))),Reference!$A$6:$A$11,1))+1)-INDEX(Reference!$A$6:$A$11,MIN(5,MATCH(MAX(Reference!$A$6,MIN(Reference!$A$11,MIN(D185,300))),Reference!$A$6:$A$11,1))))),0))/(AE185*(AE185+5)/2)),(INDEX(Reference!$B$6:$B$11,MIN(5,MATCH(MAX(Reference!$A$6,MIN(Reference!$A$11,D185)),Reference!$A$6:$A$11,1)))+(MAX(Reference!$A$6,MIN(Reference!$A$11,D185))-INDEX(Reference!$A$6:$A$11,MIN(5,MATCH(MAX(Reference!$A$6,MIN(Reference!$A$11,D185)),Reference!$A$6:$A$11,1))))*(INDEX(Reference!$B$6:$B$11,MIN(5,MATCH(MAX(Reference!$A$6,MIN(Reference!$A$11,D185)),Reference!$A$6:$A$11,1))+1)-INDEX(Reference!$B$6:$B$11,MIN(5,MATCH(MAX(Reference!$A$6,MIN(Reference!$A$11,D185)),Reference!$A$6:$A$11,1))))/(INDEX(Reference!$A$6:$A$11,MIN(5,MATCH(MAX(Reference!$A$6,MIN(Reference!$A$11,D185)),Reference!$A$6:$A$11,1))+1)-INDEX(Reference!$A$6:$A$11,MIN(5,MATCH(MAX(Reference!$A$6,MIN(Reference!$A$11,D185)),Reference!$A$6:$A$11,1))))))))</f>
        <v/>
      </c>
      <c r="P185" s="32" t="str">
        <f>IF(N185="","",VLOOKUP(MAX(N185,0),Reference!$A$17:$B$20,2,TRUE()))</f>
        <v/>
      </c>
      <c r="Q185" s="32" t="str">
        <f t="shared" si="21"/>
        <v/>
      </c>
      <c r="R185" s="31"/>
      <c r="S185" s="31"/>
      <c r="T185" s="31"/>
      <c r="U185" s="32" t="str">
        <f t="shared" si="22"/>
        <v/>
      </c>
      <c r="V185" s="32" t="str">
        <f t="shared" si="23"/>
        <v/>
      </c>
      <c r="W185" s="32" t="str">
        <f>IF(V185="","",VLOOKUP(MAX(V185,0),Reference!$A$17:$B$20,2,TRUE()))</f>
        <v/>
      </c>
      <c r="X185" s="31"/>
      <c r="Y185" s="31"/>
      <c r="Z185" s="31"/>
      <c r="AA185" s="32" t="str">
        <f t="shared" si="24"/>
        <v/>
      </c>
      <c r="AB185" s="32" t="str">
        <f t="shared" si="25"/>
        <v/>
      </c>
      <c r="AC185" s="32" t="str">
        <f>IF(AB185="","",VLOOKUP(MAX(AB185,0),Reference!$A$17:$B$20,2,TRUE()))</f>
        <v/>
      </c>
      <c r="AD185" s="31"/>
      <c r="AE185">
        <f t="shared" si="26"/>
        <v>1</v>
      </c>
      <c r="AF185" s="33" t="str">
        <f>IF(OR(A185="",B185="",AND(C185&lt;&gt;"Bullpen",C185&lt;&gt;"Game")),"",IF((COUNTIFS($B$5:$B$300,B185,$A$5:$A$300,A185-1,$C$5:$C$300,"Bullpen",$AG$5:$AG$300,"&gt;0") + COUNTIFS($B$5:$B$300,B185,$A$5:$A$300,A185-1,$C$5:$C$300,"Game",$AG$5:$AG$300,"&gt;0"))&gt;0,Reference!$B$119,IF((COUNTIFS($B$5:$B$300,B185,$A$5:$A$300,A185-2,$C$5:$C$300,"Bullpen",$AG$5:$AG$300,"&gt;0") + COUNTIFS($B$5:$B$300,B185,$A$5:$A$300,A185-2,$C$5:$C$300,"Game",$AG$5:$AG$300,"&gt;0"))&gt;0,Reference!$B$120,1)))</f>
        <v/>
      </c>
      <c r="AG185" s="30" t="str">
        <f>IF(AND(OR(I185="",O185="",P185=""),OR(R185="",W185=""),OR(X185="",AC185="")),"",IF(OR(I185="",O185="",P185=""),0,I185*O185*P185)+IF(OR(R185="",W185=""),0,R185*IFERROR(INDEX(Reference!$B$61:$B$62,MATCH("Bullpen",Reference!$A$61:$A$62,0)),0)*W185)+IF(OR(X185="",AC185=""),0,X185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185))</f>
        <v/>
      </c>
    </row>
    <row r="186" spans="1:33" x14ac:dyDescent="0.3">
      <c r="A186" s="35"/>
      <c r="B186" s="31"/>
      <c r="C186" s="31"/>
      <c r="D186" s="31"/>
      <c r="E186" s="34"/>
      <c r="F186" s="34"/>
      <c r="G186" s="30" t="str">
        <f t="shared" si="18"/>
        <v/>
      </c>
      <c r="H186" s="31"/>
      <c r="I186" s="32" t="str">
        <f>IF(H186&lt;&gt;"",H186,IF(G186="","",ROUND(G186*IFERROR(INDEX(Reference!$B$44:$B$50,MATCH(C186,Reference!$A$44:$A$50,0)),0),0)))</f>
        <v/>
      </c>
      <c r="J186" s="31"/>
      <c r="K186" s="31"/>
      <c r="L186" s="32" t="str">
        <f t="shared" si="19"/>
        <v/>
      </c>
      <c r="M186" s="32" t="str">
        <f>IFERROR(INDEX(Roster!$D$5:$D$40,MATCH(B186,Roster!$A$5:$A$40,0)),"")</f>
        <v/>
      </c>
      <c r="N186" s="32" t="str">
        <f t="shared" si="20"/>
        <v/>
      </c>
      <c r="O186" s="32" t="str">
        <f>IF(OR(C186="Bullpen",C186="Game"),IFERROR(INDEX(Reference!$B$61:$B$62,MATCH(C186,Reference!$A$61:$A$62,0)),""),IF(D186="","",IF(AE186&gt;1,((IF(1&lt;=AE186,(AE186-1+3)*(INDEX(Reference!$B$6:$B$11,MIN(5,MATCH(MAX(Reference!$A$6,MIN(Reference!$A$11,MIN(D186,90))),Reference!$A$6:$A$11,1)))+(MAX(Reference!$A$6,MIN(Reference!$A$11,MIN(D186,90)))-INDEX(Reference!$A$6:$A$11,MIN(5,MATCH(MAX(Reference!$A$6,MIN(Reference!$A$11,MIN(D186,90))),Reference!$A$6:$A$11,1))))*(INDEX(Reference!$B$6:$B$11,MIN(5,MATCH(MAX(Reference!$A$6,MIN(Reference!$A$11,MIN(D186,90))),Reference!$A$6:$A$11,1))+1)-INDEX(Reference!$B$6:$B$11,MIN(5,MATCH(MAX(Reference!$A$6,MIN(Reference!$A$11,MIN(D186,90))),Reference!$A$6:$A$11,1))))/(INDEX(Reference!$A$6:$A$11,MIN(5,MATCH(MAX(Reference!$A$6,MIN(Reference!$A$11,MIN(D186,90))),Reference!$A$6:$A$11,1))+1)-INDEX(Reference!$A$6:$A$11,MIN(5,MATCH(MAX(Reference!$A$6,MIN(Reference!$A$11,MIN(D186,90))),Reference!$A$6:$A$11,1))))),0)+IF(2&lt;=AE186,(AE186-2+3)*(INDEX(Reference!$B$6:$B$11,MIN(5,MATCH(MAX(Reference!$A$6,MIN(Reference!$A$11,MIN(D186,120))),Reference!$A$6:$A$11,1)))+(MAX(Reference!$A$6,MIN(Reference!$A$11,MIN(D186,120)))-INDEX(Reference!$A$6:$A$11,MIN(5,MATCH(MAX(Reference!$A$6,MIN(Reference!$A$11,MIN(D186,120))),Reference!$A$6:$A$11,1))))*(INDEX(Reference!$B$6:$B$11,MIN(5,MATCH(MAX(Reference!$A$6,MIN(Reference!$A$11,MIN(D186,120))),Reference!$A$6:$A$11,1))+1)-INDEX(Reference!$B$6:$B$11,MIN(5,MATCH(MAX(Reference!$A$6,MIN(Reference!$A$11,MIN(D186,120))),Reference!$A$6:$A$11,1))))/(INDEX(Reference!$A$6:$A$11,MIN(5,MATCH(MAX(Reference!$A$6,MIN(Reference!$A$11,MIN(D186,120))),Reference!$A$6:$A$11,1))+1)-INDEX(Reference!$A$6:$A$11,MIN(5,MATCH(MAX(Reference!$A$6,MIN(Reference!$A$11,MIN(D186,120))),Reference!$A$6:$A$11,1))))),0)+IF(3&lt;=AE186,(AE186-3+3)*(INDEX(Reference!$B$6:$B$11,MIN(5,MATCH(MAX(Reference!$A$6,MIN(Reference!$A$11,MIN(D186,150))),Reference!$A$6:$A$11,1)))+(MAX(Reference!$A$6,MIN(Reference!$A$11,MIN(D186,150)))-INDEX(Reference!$A$6:$A$11,MIN(5,MATCH(MAX(Reference!$A$6,MIN(Reference!$A$11,MIN(D186,150))),Reference!$A$6:$A$11,1))))*(INDEX(Reference!$B$6:$B$11,MIN(5,MATCH(MAX(Reference!$A$6,MIN(Reference!$A$11,MIN(D186,150))),Reference!$A$6:$A$11,1))+1)-INDEX(Reference!$B$6:$B$11,MIN(5,MATCH(MAX(Reference!$A$6,MIN(Reference!$A$11,MIN(D186,150))),Reference!$A$6:$A$11,1))))/(INDEX(Reference!$A$6:$A$11,MIN(5,MATCH(MAX(Reference!$A$6,MIN(Reference!$A$11,MIN(D186,150))),Reference!$A$6:$A$11,1))+1)-INDEX(Reference!$A$6:$A$11,MIN(5,MATCH(MAX(Reference!$A$6,MIN(Reference!$A$11,MIN(D186,150))),Reference!$A$6:$A$11,1))))),0)+IF(4&lt;=AE186,(AE186-4+3)*(INDEX(Reference!$B$6:$B$11,MIN(5,MATCH(MAX(Reference!$A$6,MIN(Reference!$A$11,MIN(D186,180))),Reference!$A$6:$A$11,1)))+(MAX(Reference!$A$6,MIN(Reference!$A$11,MIN(D186,180)))-INDEX(Reference!$A$6:$A$11,MIN(5,MATCH(MAX(Reference!$A$6,MIN(Reference!$A$11,MIN(D186,180))),Reference!$A$6:$A$11,1))))*(INDEX(Reference!$B$6:$B$11,MIN(5,MATCH(MAX(Reference!$A$6,MIN(Reference!$A$11,MIN(D186,180))),Reference!$A$6:$A$11,1))+1)-INDEX(Reference!$B$6:$B$11,MIN(5,MATCH(MAX(Reference!$A$6,MIN(Reference!$A$11,MIN(D186,180))),Reference!$A$6:$A$11,1))))/(INDEX(Reference!$A$6:$A$11,MIN(5,MATCH(MAX(Reference!$A$6,MIN(Reference!$A$11,MIN(D186,180))),Reference!$A$6:$A$11,1))+1)-INDEX(Reference!$A$6:$A$11,MIN(5,MATCH(MAX(Reference!$A$6,MIN(Reference!$A$11,MIN(D186,180))),Reference!$A$6:$A$11,1))))),0)+IF(5&lt;=AE186,(AE186-5+3)*(INDEX(Reference!$B$6:$B$11,MIN(5,MATCH(MAX(Reference!$A$6,MIN(Reference!$A$11,MIN(D186,210))),Reference!$A$6:$A$11,1)))+(MAX(Reference!$A$6,MIN(Reference!$A$11,MIN(D186,210)))-INDEX(Reference!$A$6:$A$11,MIN(5,MATCH(MAX(Reference!$A$6,MIN(Reference!$A$11,MIN(D186,210))),Reference!$A$6:$A$11,1))))*(INDEX(Reference!$B$6:$B$11,MIN(5,MATCH(MAX(Reference!$A$6,MIN(Reference!$A$11,MIN(D186,210))),Reference!$A$6:$A$11,1))+1)-INDEX(Reference!$B$6:$B$11,MIN(5,MATCH(MAX(Reference!$A$6,MIN(Reference!$A$11,MIN(D186,210))),Reference!$A$6:$A$11,1))))/(INDEX(Reference!$A$6:$A$11,MIN(5,MATCH(MAX(Reference!$A$6,MIN(Reference!$A$11,MIN(D186,210))),Reference!$A$6:$A$11,1))+1)-INDEX(Reference!$A$6:$A$11,MIN(5,MATCH(MAX(Reference!$A$6,MIN(Reference!$A$11,MIN(D186,210))),Reference!$A$6:$A$11,1))))),0)+IF(6&lt;=AE186,(AE186-6+3)*(INDEX(Reference!$B$6:$B$11,MIN(5,MATCH(MAX(Reference!$A$6,MIN(Reference!$A$11,MIN(D186,240))),Reference!$A$6:$A$11,1)))+(MAX(Reference!$A$6,MIN(Reference!$A$11,MIN(D186,240)))-INDEX(Reference!$A$6:$A$11,MIN(5,MATCH(MAX(Reference!$A$6,MIN(Reference!$A$11,MIN(D186,240))),Reference!$A$6:$A$11,1))))*(INDEX(Reference!$B$6:$B$11,MIN(5,MATCH(MAX(Reference!$A$6,MIN(Reference!$A$11,MIN(D186,240))),Reference!$A$6:$A$11,1))+1)-INDEX(Reference!$B$6:$B$11,MIN(5,MATCH(MAX(Reference!$A$6,MIN(Reference!$A$11,MIN(D186,240))),Reference!$A$6:$A$11,1))))/(INDEX(Reference!$A$6:$A$11,MIN(5,MATCH(MAX(Reference!$A$6,MIN(Reference!$A$11,MIN(D186,240))),Reference!$A$6:$A$11,1))+1)-INDEX(Reference!$A$6:$A$11,MIN(5,MATCH(MAX(Reference!$A$6,MIN(Reference!$A$11,MIN(D186,240))),Reference!$A$6:$A$11,1))))),0)+IF(7&lt;=AE186,(AE186-7+3)*(INDEX(Reference!$B$6:$B$11,MIN(5,MATCH(MAX(Reference!$A$6,MIN(Reference!$A$11,MIN(D186,270))),Reference!$A$6:$A$11,1)))+(MAX(Reference!$A$6,MIN(Reference!$A$11,MIN(D186,270)))-INDEX(Reference!$A$6:$A$11,MIN(5,MATCH(MAX(Reference!$A$6,MIN(Reference!$A$11,MIN(D186,270))),Reference!$A$6:$A$11,1))))*(INDEX(Reference!$B$6:$B$11,MIN(5,MATCH(MAX(Reference!$A$6,MIN(Reference!$A$11,MIN(D186,270))),Reference!$A$6:$A$11,1))+1)-INDEX(Reference!$B$6:$B$11,MIN(5,MATCH(MAX(Reference!$A$6,MIN(Reference!$A$11,MIN(D186,270))),Reference!$A$6:$A$11,1))))/(INDEX(Reference!$A$6:$A$11,MIN(5,MATCH(MAX(Reference!$A$6,MIN(Reference!$A$11,MIN(D186,270))),Reference!$A$6:$A$11,1))+1)-INDEX(Reference!$A$6:$A$11,MIN(5,MATCH(MAX(Reference!$A$6,MIN(Reference!$A$11,MIN(D186,270))),Reference!$A$6:$A$11,1))))),0)+IF(8&lt;=AE186,(AE186-8+3)*(INDEX(Reference!$B$6:$B$11,MIN(5,MATCH(MAX(Reference!$A$6,MIN(Reference!$A$11,MIN(D186,300))),Reference!$A$6:$A$11,1)))+(MAX(Reference!$A$6,MIN(Reference!$A$11,MIN(D186,300)))-INDEX(Reference!$A$6:$A$11,MIN(5,MATCH(MAX(Reference!$A$6,MIN(Reference!$A$11,MIN(D186,300))),Reference!$A$6:$A$11,1))))*(INDEX(Reference!$B$6:$B$11,MIN(5,MATCH(MAX(Reference!$A$6,MIN(Reference!$A$11,MIN(D186,300))),Reference!$A$6:$A$11,1))+1)-INDEX(Reference!$B$6:$B$11,MIN(5,MATCH(MAX(Reference!$A$6,MIN(Reference!$A$11,MIN(D186,300))),Reference!$A$6:$A$11,1))))/(INDEX(Reference!$A$6:$A$11,MIN(5,MATCH(MAX(Reference!$A$6,MIN(Reference!$A$11,MIN(D186,300))),Reference!$A$6:$A$11,1))+1)-INDEX(Reference!$A$6:$A$11,MIN(5,MATCH(MAX(Reference!$A$6,MIN(Reference!$A$11,MIN(D186,300))),Reference!$A$6:$A$11,1))))),0))/(AE186*(AE186+5)/2)),(INDEX(Reference!$B$6:$B$11,MIN(5,MATCH(MAX(Reference!$A$6,MIN(Reference!$A$11,D186)),Reference!$A$6:$A$11,1)))+(MAX(Reference!$A$6,MIN(Reference!$A$11,D186))-INDEX(Reference!$A$6:$A$11,MIN(5,MATCH(MAX(Reference!$A$6,MIN(Reference!$A$11,D186)),Reference!$A$6:$A$11,1))))*(INDEX(Reference!$B$6:$B$11,MIN(5,MATCH(MAX(Reference!$A$6,MIN(Reference!$A$11,D186)),Reference!$A$6:$A$11,1))+1)-INDEX(Reference!$B$6:$B$11,MIN(5,MATCH(MAX(Reference!$A$6,MIN(Reference!$A$11,D186)),Reference!$A$6:$A$11,1))))/(INDEX(Reference!$A$6:$A$11,MIN(5,MATCH(MAX(Reference!$A$6,MIN(Reference!$A$11,D186)),Reference!$A$6:$A$11,1))+1)-INDEX(Reference!$A$6:$A$11,MIN(5,MATCH(MAX(Reference!$A$6,MIN(Reference!$A$11,D186)),Reference!$A$6:$A$11,1))))))))</f>
        <v/>
      </c>
      <c r="P186" s="32" t="str">
        <f>IF(N186="","",VLOOKUP(MAX(N186,0),Reference!$A$17:$B$20,2,TRUE()))</f>
        <v/>
      </c>
      <c r="Q186" s="32" t="str">
        <f t="shared" si="21"/>
        <v/>
      </c>
      <c r="R186" s="31"/>
      <c r="S186" s="31"/>
      <c r="T186" s="31"/>
      <c r="U186" s="32" t="str">
        <f t="shared" si="22"/>
        <v/>
      </c>
      <c r="V186" s="32" t="str">
        <f t="shared" si="23"/>
        <v/>
      </c>
      <c r="W186" s="32" t="str">
        <f>IF(V186="","",VLOOKUP(MAX(V186,0),Reference!$A$17:$B$20,2,TRUE()))</f>
        <v/>
      </c>
      <c r="X186" s="31"/>
      <c r="Y186" s="31"/>
      <c r="Z186" s="31"/>
      <c r="AA186" s="32" t="str">
        <f t="shared" si="24"/>
        <v/>
      </c>
      <c r="AB186" s="32" t="str">
        <f t="shared" si="25"/>
        <v/>
      </c>
      <c r="AC186" s="32" t="str">
        <f>IF(AB186="","",VLOOKUP(MAX(AB186,0),Reference!$A$17:$B$20,2,TRUE()))</f>
        <v/>
      </c>
      <c r="AD186" s="31"/>
      <c r="AE186">
        <f t="shared" si="26"/>
        <v>1</v>
      </c>
      <c r="AF186" s="33" t="str">
        <f>IF(OR(A186="",B186="",AND(C186&lt;&gt;"Bullpen",C186&lt;&gt;"Game")),"",IF((COUNTIFS($B$5:$B$300,B186,$A$5:$A$300,A186-1,$C$5:$C$300,"Bullpen",$AG$5:$AG$300,"&gt;0") + COUNTIFS($B$5:$B$300,B186,$A$5:$A$300,A186-1,$C$5:$C$300,"Game",$AG$5:$AG$300,"&gt;0"))&gt;0,Reference!$B$119,IF((COUNTIFS($B$5:$B$300,B186,$A$5:$A$300,A186-2,$C$5:$C$300,"Bullpen",$AG$5:$AG$300,"&gt;0") + COUNTIFS($B$5:$B$300,B186,$A$5:$A$300,A186-2,$C$5:$C$300,"Game",$AG$5:$AG$300,"&gt;0"))&gt;0,Reference!$B$120,1)))</f>
        <v/>
      </c>
      <c r="AG186" s="30" t="str">
        <f>IF(AND(OR(I186="",O186="",P186=""),OR(R186="",W186=""),OR(X186="",AC186="")),"",IF(OR(I186="",O186="",P186=""),0,I186*O186*P186)+IF(OR(R186="",W186=""),0,R186*IFERROR(INDEX(Reference!$B$61:$B$62,MATCH("Bullpen",Reference!$A$61:$A$62,0)),0)*W186)+IF(OR(X186="",AC186=""),0,X186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186))</f>
        <v/>
      </c>
    </row>
    <row r="187" spans="1:33" x14ac:dyDescent="0.3">
      <c r="A187" s="35"/>
      <c r="B187" s="31"/>
      <c r="C187" s="31"/>
      <c r="D187" s="31"/>
      <c r="E187" s="34"/>
      <c r="F187" s="34"/>
      <c r="G187" s="30" t="str">
        <f t="shared" si="18"/>
        <v/>
      </c>
      <c r="H187" s="31"/>
      <c r="I187" s="32" t="str">
        <f>IF(H187&lt;&gt;"",H187,IF(G187="","",ROUND(G187*IFERROR(INDEX(Reference!$B$44:$B$50,MATCH(C187,Reference!$A$44:$A$50,0)),0),0)))</f>
        <v/>
      </c>
      <c r="J187" s="31"/>
      <c r="K187" s="31"/>
      <c r="L187" s="32" t="str">
        <f t="shared" si="19"/>
        <v/>
      </c>
      <c r="M187" s="32" t="str">
        <f>IFERROR(INDEX(Roster!$D$5:$D$40,MATCH(B187,Roster!$A$5:$A$40,0)),"")</f>
        <v/>
      </c>
      <c r="N187" s="32" t="str">
        <f t="shared" si="20"/>
        <v/>
      </c>
      <c r="O187" s="32" t="str">
        <f>IF(OR(C187="Bullpen",C187="Game"),IFERROR(INDEX(Reference!$B$61:$B$62,MATCH(C187,Reference!$A$61:$A$62,0)),""),IF(D187="","",IF(AE187&gt;1,((IF(1&lt;=AE187,(AE187-1+3)*(INDEX(Reference!$B$6:$B$11,MIN(5,MATCH(MAX(Reference!$A$6,MIN(Reference!$A$11,MIN(D187,90))),Reference!$A$6:$A$11,1)))+(MAX(Reference!$A$6,MIN(Reference!$A$11,MIN(D187,90)))-INDEX(Reference!$A$6:$A$11,MIN(5,MATCH(MAX(Reference!$A$6,MIN(Reference!$A$11,MIN(D187,90))),Reference!$A$6:$A$11,1))))*(INDEX(Reference!$B$6:$B$11,MIN(5,MATCH(MAX(Reference!$A$6,MIN(Reference!$A$11,MIN(D187,90))),Reference!$A$6:$A$11,1))+1)-INDEX(Reference!$B$6:$B$11,MIN(5,MATCH(MAX(Reference!$A$6,MIN(Reference!$A$11,MIN(D187,90))),Reference!$A$6:$A$11,1))))/(INDEX(Reference!$A$6:$A$11,MIN(5,MATCH(MAX(Reference!$A$6,MIN(Reference!$A$11,MIN(D187,90))),Reference!$A$6:$A$11,1))+1)-INDEX(Reference!$A$6:$A$11,MIN(5,MATCH(MAX(Reference!$A$6,MIN(Reference!$A$11,MIN(D187,90))),Reference!$A$6:$A$11,1))))),0)+IF(2&lt;=AE187,(AE187-2+3)*(INDEX(Reference!$B$6:$B$11,MIN(5,MATCH(MAX(Reference!$A$6,MIN(Reference!$A$11,MIN(D187,120))),Reference!$A$6:$A$11,1)))+(MAX(Reference!$A$6,MIN(Reference!$A$11,MIN(D187,120)))-INDEX(Reference!$A$6:$A$11,MIN(5,MATCH(MAX(Reference!$A$6,MIN(Reference!$A$11,MIN(D187,120))),Reference!$A$6:$A$11,1))))*(INDEX(Reference!$B$6:$B$11,MIN(5,MATCH(MAX(Reference!$A$6,MIN(Reference!$A$11,MIN(D187,120))),Reference!$A$6:$A$11,1))+1)-INDEX(Reference!$B$6:$B$11,MIN(5,MATCH(MAX(Reference!$A$6,MIN(Reference!$A$11,MIN(D187,120))),Reference!$A$6:$A$11,1))))/(INDEX(Reference!$A$6:$A$11,MIN(5,MATCH(MAX(Reference!$A$6,MIN(Reference!$A$11,MIN(D187,120))),Reference!$A$6:$A$11,1))+1)-INDEX(Reference!$A$6:$A$11,MIN(5,MATCH(MAX(Reference!$A$6,MIN(Reference!$A$11,MIN(D187,120))),Reference!$A$6:$A$11,1))))),0)+IF(3&lt;=AE187,(AE187-3+3)*(INDEX(Reference!$B$6:$B$11,MIN(5,MATCH(MAX(Reference!$A$6,MIN(Reference!$A$11,MIN(D187,150))),Reference!$A$6:$A$11,1)))+(MAX(Reference!$A$6,MIN(Reference!$A$11,MIN(D187,150)))-INDEX(Reference!$A$6:$A$11,MIN(5,MATCH(MAX(Reference!$A$6,MIN(Reference!$A$11,MIN(D187,150))),Reference!$A$6:$A$11,1))))*(INDEX(Reference!$B$6:$B$11,MIN(5,MATCH(MAX(Reference!$A$6,MIN(Reference!$A$11,MIN(D187,150))),Reference!$A$6:$A$11,1))+1)-INDEX(Reference!$B$6:$B$11,MIN(5,MATCH(MAX(Reference!$A$6,MIN(Reference!$A$11,MIN(D187,150))),Reference!$A$6:$A$11,1))))/(INDEX(Reference!$A$6:$A$11,MIN(5,MATCH(MAX(Reference!$A$6,MIN(Reference!$A$11,MIN(D187,150))),Reference!$A$6:$A$11,1))+1)-INDEX(Reference!$A$6:$A$11,MIN(5,MATCH(MAX(Reference!$A$6,MIN(Reference!$A$11,MIN(D187,150))),Reference!$A$6:$A$11,1))))),0)+IF(4&lt;=AE187,(AE187-4+3)*(INDEX(Reference!$B$6:$B$11,MIN(5,MATCH(MAX(Reference!$A$6,MIN(Reference!$A$11,MIN(D187,180))),Reference!$A$6:$A$11,1)))+(MAX(Reference!$A$6,MIN(Reference!$A$11,MIN(D187,180)))-INDEX(Reference!$A$6:$A$11,MIN(5,MATCH(MAX(Reference!$A$6,MIN(Reference!$A$11,MIN(D187,180))),Reference!$A$6:$A$11,1))))*(INDEX(Reference!$B$6:$B$11,MIN(5,MATCH(MAX(Reference!$A$6,MIN(Reference!$A$11,MIN(D187,180))),Reference!$A$6:$A$11,1))+1)-INDEX(Reference!$B$6:$B$11,MIN(5,MATCH(MAX(Reference!$A$6,MIN(Reference!$A$11,MIN(D187,180))),Reference!$A$6:$A$11,1))))/(INDEX(Reference!$A$6:$A$11,MIN(5,MATCH(MAX(Reference!$A$6,MIN(Reference!$A$11,MIN(D187,180))),Reference!$A$6:$A$11,1))+1)-INDEX(Reference!$A$6:$A$11,MIN(5,MATCH(MAX(Reference!$A$6,MIN(Reference!$A$11,MIN(D187,180))),Reference!$A$6:$A$11,1))))),0)+IF(5&lt;=AE187,(AE187-5+3)*(INDEX(Reference!$B$6:$B$11,MIN(5,MATCH(MAX(Reference!$A$6,MIN(Reference!$A$11,MIN(D187,210))),Reference!$A$6:$A$11,1)))+(MAX(Reference!$A$6,MIN(Reference!$A$11,MIN(D187,210)))-INDEX(Reference!$A$6:$A$11,MIN(5,MATCH(MAX(Reference!$A$6,MIN(Reference!$A$11,MIN(D187,210))),Reference!$A$6:$A$11,1))))*(INDEX(Reference!$B$6:$B$11,MIN(5,MATCH(MAX(Reference!$A$6,MIN(Reference!$A$11,MIN(D187,210))),Reference!$A$6:$A$11,1))+1)-INDEX(Reference!$B$6:$B$11,MIN(5,MATCH(MAX(Reference!$A$6,MIN(Reference!$A$11,MIN(D187,210))),Reference!$A$6:$A$11,1))))/(INDEX(Reference!$A$6:$A$11,MIN(5,MATCH(MAX(Reference!$A$6,MIN(Reference!$A$11,MIN(D187,210))),Reference!$A$6:$A$11,1))+1)-INDEX(Reference!$A$6:$A$11,MIN(5,MATCH(MAX(Reference!$A$6,MIN(Reference!$A$11,MIN(D187,210))),Reference!$A$6:$A$11,1))))),0)+IF(6&lt;=AE187,(AE187-6+3)*(INDEX(Reference!$B$6:$B$11,MIN(5,MATCH(MAX(Reference!$A$6,MIN(Reference!$A$11,MIN(D187,240))),Reference!$A$6:$A$11,1)))+(MAX(Reference!$A$6,MIN(Reference!$A$11,MIN(D187,240)))-INDEX(Reference!$A$6:$A$11,MIN(5,MATCH(MAX(Reference!$A$6,MIN(Reference!$A$11,MIN(D187,240))),Reference!$A$6:$A$11,1))))*(INDEX(Reference!$B$6:$B$11,MIN(5,MATCH(MAX(Reference!$A$6,MIN(Reference!$A$11,MIN(D187,240))),Reference!$A$6:$A$11,1))+1)-INDEX(Reference!$B$6:$B$11,MIN(5,MATCH(MAX(Reference!$A$6,MIN(Reference!$A$11,MIN(D187,240))),Reference!$A$6:$A$11,1))))/(INDEX(Reference!$A$6:$A$11,MIN(5,MATCH(MAX(Reference!$A$6,MIN(Reference!$A$11,MIN(D187,240))),Reference!$A$6:$A$11,1))+1)-INDEX(Reference!$A$6:$A$11,MIN(5,MATCH(MAX(Reference!$A$6,MIN(Reference!$A$11,MIN(D187,240))),Reference!$A$6:$A$11,1))))),0)+IF(7&lt;=AE187,(AE187-7+3)*(INDEX(Reference!$B$6:$B$11,MIN(5,MATCH(MAX(Reference!$A$6,MIN(Reference!$A$11,MIN(D187,270))),Reference!$A$6:$A$11,1)))+(MAX(Reference!$A$6,MIN(Reference!$A$11,MIN(D187,270)))-INDEX(Reference!$A$6:$A$11,MIN(5,MATCH(MAX(Reference!$A$6,MIN(Reference!$A$11,MIN(D187,270))),Reference!$A$6:$A$11,1))))*(INDEX(Reference!$B$6:$B$11,MIN(5,MATCH(MAX(Reference!$A$6,MIN(Reference!$A$11,MIN(D187,270))),Reference!$A$6:$A$11,1))+1)-INDEX(Reference!$B$6:$B$11,MIN(5,MATCH(MAX(Reference!$A$6,MIN(Reference!$A$11,MIN(D187,270))),Reference!$A$6:$A$11,1))))/(INDEX(Reference!$A$6:$A$11,MIN(5,MATCH(MAX(Reference!$A$6,MIN(Reference!$A$11,MIN(D187,270))),Reference!$A$6:$A$11,1))+1)-INDEX(Reference!$A$6:$A$11,MIN(5,MATCH(MAX(Reference!$A$6,MIN(Reference!$A$11,MIN(D187,270))),Reference!$A$6:$A$11,1))))),0)+IF(8&lt;=AE187,(AE187-8+3)*(INDEX(Reference!$B$6:$B$11,MIN(5,MATCH(MAX(Reference!$A$6,MIN(Reference!$A$11,MIN(D187,300))),Reference!$A$6:$A$11,1)))+(MAX(Reference!$A$6,MIN(Reference!$A$11,MIN(D187,300)))-INDEX(Reference!$A$6:$A$11,MIN(5,MATCH(MAX(Reference!$A$6,MIN(Reference!$A$11,MIN(D187,300))),Reference!$A$6:$A$11,1))))*(INDEX(Reference!$B$6:$B$11,MIN(5,MATCH(MAX(Reference!$A$6,MIN(Reference!$A$11,MIN(D187,300))),Reference!$A$6:$A$11,1))+1)-INDEX(Reference!$B$6:$B$11,MIN(5,MATCH(MAX(Reference!$A$6,MIN(Reference!$A$11,MIN(D187,300))),Reference!$A$6:$A$11,1))))/(INDEX(Reference!$A$6:$A$11,MIN(5,MATCH(MAX(Reference!$A$6,MIN(Reference!$A$11,MIN(D187,300))),Reference!$A$6:$A$11,1))+1)-INDEX(Reference!$A$6:$A$11,MIN(5,MATCH(MAX(Reference!$A$6,MIN(Reference!$A$11,MIN(D187,300))),Reference!$A$6:$A$11,1))))),0))/(AE187*(AE187+5)/2)),(INDEX(Reference!$B$6:$B$11,MIN(5,MATCH(MAX(Reference!$A$6,MIN(Reference!$A$11,D187)),Reference!$A$6:$A$11,1)))+(MAX(Reference!$A$6,MIN(Reference!$A$11,D187))-INDEX(Reference!$A$6:$A$11,MIN(5,MATCH(MAX(Reference!$A$6,MIN(Reference!$A$11,D187)),Reference!$A$6:$A$11,1))))*(INDEX(Reference!$B$6:$B$11,MIN(5,MATCH(MAX(Reference!$A$6,MIN(Reference!$A$11,D187)),Reference!$A$6:$A$11,1))+1)-INDEX(Reference!$B$6:$B$11,MIN(5,MATCH(MAX(Reference!$A$6,MIN(Reference!$A$11,D187)),Reference!$A$6:$A$11,1))))/(INDEX(Reference!$A$6:$A$11,MIN(5,MATCH(MAX(Reference!$A$6,MIN(Reference!$A$11,D187)),Reference!$A$6:$A$11,1))+1)-INDEX(Reference!$A$6:$A$11,MIN(5,MATCH(MAX(Reference!$A$6,MIN(Reference!$A$11,D187)),Reference!$A$6:$A$11,1))))))))</f>
        <v/>
      </c>
      <c r="P187" s="32" t="str">
        <f>IF(N187="","",VLOOKUP(MAX(N187,0),Reference!$A$17:$B$20,2,TRUE()))</f>
        <v/>
      </c>
      <c r="Q187" s="32" t="str">
        <f t="shared" si="21"/>
        <v/>
      </c>
      <c r="R187" s="31"/>
      <c r="S187" s="31"/>
      <c r="T187" s="31"/>
      <c r="U187" s="32" t="str">
        <f t="shared" si="22"/>
        <v/>
      </c>
      <c r="V187" s="32" t="str">
        <f t="shared" si="23"/>
        <v/>
      </c>
      <c r="W187" s="32" t="str">
        <f>IF(V187="","",VLOOKUP(MAX(V187,0),Reference!$A$17:$B$20,2,TRUE()))</f>
        <v/>
      </c>
      <c r="X187" s="31"/>
      <c r="Y187" s="31"/>
      <c r="Z187" s="31"/>
      <c r="AA187" s="32" t="str">
        <f t="shared" si="24"/>
        <v/>
      </c>
      <c r="AB187" s="32" t="str">
        <f t="shared" si="25"/>
        <v/>
      </c>
      <c r="AC187" s="32" t="str">
        <f>IF(AB187="","",VLOOKUP(MAX(AB187,0),Reference!$A$17:$B$20,2,TRUE()))</f>
        <v/>
      </c>
      <c r="AD187" s="31"/>
      <c r="AE187">
        <f t="shared" si="26"/>
        <v>1</v>
      </c>
      <c r="AF187" s="33" t="str">
        <f>IF(OR(A187="",B187="",AND(C187&lt;&gt;"Bullpen",C187&lt;&gt;"Game")),"",IF((COUNTIFS($B$5:$B$300,B187,$A$5:$A$300,A187-1,$C$5:$C$300,"Bullpen",$AG$5:$AG$300,"&gt;0") + COUNTIFS($B$5:$B$300,B187,$A$5:$A$300,A187-1,$C$5:$C$300,"Game",$AG$5:$AG$300,"&gt;0"))&gt;0,Reference!$B$119,IF((COUNTIFS($B$5:$B$300,B187,$A$5:$A$300,A187-2,$C$5:$C$300,"Bullpen",$AG$5:$AG$300,"&gt;0") + COUNTIFS($B$5:$B$300,B187,$A$5:$A$300,A187-2,$C$5:$C$300,"Game",$AG$5:$AG$300,"&gt;0"))&gt;0,Reference!$B$120,1)))</f>
        <v/>
      </c>
      <c r="AG187" s="30" t="str">
        <f>IF(AND(OR(I187="",O187="",P187=""),OR(R187="",W187=""),OR(X187="",AC187="")),"",IF(OR(I187="",O187="",P187=""),0,I187*O187*P187)+IF(OR(R187="",W187=""),0,R187*IFERROR(INDEX(Reference!$B$61:$B$62,MATCH("Bullpen",Reference!$A$61:$A$62,0)),0)*W187)+IF(OR(X187="",AC187=""),0,X187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187))</f>
        <v/>
      </c>
    </row>
    <row r="188" spans="1:33" x14ac:dyDescent="0.3">
      <c r="A188" s="35"/>
      <c r="B188" s="31"/>
      <c r="C188" s="31"/>
      <c r="D188" s="31"/>
      <c r="E188" s="34"/>
      <c r="F188" s="34"/>
      <c r="G188" s="30" t="str">
        <f t="shared" si="18"/>
        <v/>
      </c>
      <c r="H188" s="31"/>
      <c r="I188" s="32" t="str">
        <f>IF(H188&lt;&gt;"",H188,IF(G188="","",ROUND(G188*IFERROR(INDEX(Reference!$B$44:$B$50,MATCH(C188,Reference!$A$44:$A$50,0)),0),0)))</f>
        <v/>
      </c>
      <c r="J188" s="31"/>
      <c r="K188" s="31"/>
      <c r="L188" s="32" t="str">
        <f t="shared" si="19"/>
        <v/>
      </c>
      <c r="M188" s="32" t="str">
        <f>IFERROR(INDEX(Roster!$D$5:$D$40,MATCH(B188,Roster!$A$5:$A$40,0)),"")</f>
        <v/>
      </c>
      <c r="N188" s="32" t="str">
        <f t="shared" si="20"/>
        <v/>
      </c>
      <c r="O188" s="32" t="str">
        <f>IF(OR(C188="Bullpen",C188="Game"),IFERROR(INDEX(Reference!$B$61:$B$62,MATCH(C188,Reference!$A$61:$A$62,0)),""),IF(D188="","",IF(AE188&gt;1,((IF(1&lt;=AE188,(AE188-1+3)*(INDEX(Reference!$B$6:$B$11,MIN(5,MATCH(MAX(Reference!$A$6,MIN(Reference!$A$11,MIN(D188,90))),Reference!$A$6:$A$11,1)))+(MAX(Reference!$A$6,MIN(Reference!$A$11,MIN(D188,90)))-INDEX(Reference!$A$6:$A$11,MIN(5,MATCH(MAX(Reference!$A$6,MIN(Reference!$A$11,MIN(D188,90))),Reference!$A$6:$A$11,1))))*(INDEX(Reference!$B$6:$B$11,MIN(5,MATCH(MAX(Reference!$A$6,MIN(Reference!$A$11,MIN(D188,90))),Reference!$A$6:$A$11,1))+1)-INDEX(Reference!$B$6:$B$11,MIN(5,MATCH(MAX(Reference!$A$6,MIN(Reference!$A$11,MIN(D188,90))),Reference!$A$6:$A$11,1))))/(INDEX(Reference!$A$6:$A$11,MIN(5,MATCH(MAX(Reference!$A$6,MIN(Reference!$A$11,MIN(D188,90))),Reference!$A$6:$A$11,1))+1)-INDEX(Reference!$A$6:$A$11,MIN(5,MATCH(MAX(Reference!$A$6,MIN(Reference!$A$11,MIN(D188,90))),Reference!$A$6:$A$11,1))))),0)+IF(2&lt;=AE188,(AE188-2+3)*(INDEX(Reference!$B$6:$B$11,MIN(5,MATCH(MAX(Reference!$A$6,MIN(Reference!$A$11,MIN(D188,120))),Reference!$A$6:$A$11,1)))+(MAX(Reference!$A$6,MIN(Reference!$A$11,MIN(D188,120)))-INDEX(Reference!$A$6:$A$11,MIN(5,MATCH(MAX(Reference!$A$6,MIN(Reference!$A$11,MIN(D188,120))),Reference!$A$6:$A$11,1))))*(INDEX(Reference!$B$6:$B$11,MIN(5,MATCH(MAX(Reference!$A$6,MIN(Reference!$A$11,MIN(D188,120))),Reference!$A$6:$A$11,1))+1)-INDEX(Reference!$B$6:$B$11,MIN(5,MATCH(MAX(Reference!$A$6,MIN(Reference!$A$11,MIN(D188,120))),Reference!$A$6:$A$11,1))))/(INDEX(Reference!$A$6:$A$11,MIN(5,MATCH(MAX(Reference!$A$6,MIN(Reference!$A$11,MIN(D188,120))),Reference!$A$6:$A$11,1))+1)-INDEX(Reference!$A$6:$A$11,MIN(5,MATCH(MAX(Reference!$A$6,MIN(Reference!$A$11,MIN(D188,120))),Reference!$A$6:$A$11,1))))),0)+IF(3&lt;=AE188,(AE188-3+3)*(INDEX(Reference!$B$6:$B$11,MIN(5,MATCH(MAX(Reference!$A$6,MIN(Reference!$A$11,MIN(D188,150))),Reference!$A$6:$A$11,1)))+(MAX(Reference!$A$6,MIN(Reference!$A$11,MIN(D188,150)))-INDEX(Reference!$A$6:$A$11,MIN(5,MATCH(MAX(Reference!$A$6,MIN(Reference!$A$11,MIN(D188,150))),Reference!$A$6:$A$11,1))))*(INDEX(Reference!$B$6:$B$11,MIN(5,MATCH(MAX(Reference!$A$6,MIN(Reference!$A$11,MIN(D188,150))),Reference!$A$6:$A$11,1))+1)-INDEX(Reference!$B$6:$B$11,MIN(5,MATCH(MAX(Reference!$A$6,MIN(Reference!$A$11,MIN(D188,150))),Reference!$A$6:$A$11,1))))/(INDEX(Reference!$A$6:$A$11,MIN(5,MATCH(MAX(Reference!$A$6,MIN(Reference!$A$11,MIN(D188,150))),Reference!$A$6:$A$11,1))+1)-INDEX(Reference!$A$6:$A$11,MIN(5,MATCH(MAX(Reference!$A$6,MIN(Reference!$A$11,MIN(D188,150))),Reference!$A$6:$A$11,1))))),0)+IF(4&lt;=AE188,(AE188-4+3)*(INDEX(Reference!$B$6:$B$11,MIN(5,MATCH(MAX(Reference!$A$6,MIN(Reference!$A$11,MIN(D188,180))),Reference!$A$6:$A$11,1)))+(MAX(Reference!$A$6,MIN(Reference!$A$11,MIN(D188,180)))-INDEX(Reference!$A$6:$A$11,MIN(5,MATCH(MAX(Reference!$A$6,MIN(Reference!$A$11,MIN(D188,180))),Reference!$A$6:$A$11,1))))*(INDEX(Reference!$B$6:$B$11,MIN(5,MATCH(MAX(Reference!$A$6,MIN(Reference!$A$11,MIN(D188,180))),Reference!$A$6:$A$11,1))+1)-INDEX(Reference!$B$6:$B$11,MIN(5,MATCH(MAX(Reference!$A$6,MIN(Reference!$A$11,MIN(D188,180))),Reference!$A$6:$A$11,1))))/(INDEX(Reference!$A$6:$A$11,MIN(5,MATCH(MAX(Reference!$A$6,MIN(Reference!$A$11,MIN(D188,180))),Reference!$A$6:$A$11,1))+1)-INDEX(Reference!$A$6:$A$11,MIN(5,MATCH(MAX(Reference!$A$6,MIN(Reference!$A$11,MIN(D188,180))),Reference!$A$6:$A$11,1))))),0)+IF(5&lt;=AE188,(AE188-5+3)*(INDEX(Reference!$B$6:$B$11,MIN(5,MATCH(MAX(Reference!$A$6,MIN(Reference!$A$11,MIN(D188,210))),Reference!$A$6:$A$11,1)))+(MAX(Reference!$A$6,MIN(Reference!$A$11,MIN(D188,210)))-INDEX(Reference!$A$6:$A$11,MIN(5,MATCH(MAX(Reference!$A$6,MIN(Reference!$A$11,MIN(D188,210))),Reference!$A$6:$A$11,1))))*(INDEX(Reference!$B$6:$B$11,MIN(5,MATCH(MAX(Reference!$A$6,MIN(Reference!$A$11,MIN(D188,210))),Reference!$A$6:$A$11,1))+1)-INDEX(Reference!$B$6:$B$11,MIN(5,MATCH(MAX(Reference!$A$6,MIN(Reference!$A$11,MIN(D188,210))),Reference!$A$6:$A$11,1))))/(INDEX(Reference!$A$6:$A$11,MIN(5,MATCH(MAX(Reference!$A$6,MIN(Reference!$A$11,MIN(D188,210))),Reference!$A$6:$A$11,1))+1)-INDEX(Reference!$A$6:$A$11,MIN(5,MATCH(MAX(Reference!$A$6,MIN(Reference!$A$11,MIN(D188,210))),Reference!$A$6:$A$11,1))))),0)+IF(6&lt;=AE188,(AE188-6+3)*(INDEX(Reference!$B$6:$B$11,MIN(5,MATCH(MAX(Reference!$A$6,MIN(Reference!$A$11,MIN(D188,240))),Reference!$A$6:$A$11,1)))+(MAX(Reference!$A$6,MIN(Reference!$A$11,MIN(D188,240)))-INDEX(Reference!$A$6:$A$11,MIN(5,MATCH(MAX(Reference!$A$6,MIN(Reference!$A$11,MIN(D188,240))),Reference!$A$6:$A$11,1))))*(INDEX(Reference!$B$6:$B$11,MIN(5,MATCH(MAX(Reference!$A$6,MIN(Reference!$A$11,MIN(D188,240))),Reference!$A$6:$A$11,1))+1)-INDEX(Reference!$B$6:$B$11,MIN(5,MATCH(MAX(Reference!$A$6,MIN(Reference!$A$11,MIN(D188,240))),Reference!$A$6:$A$11,1))))/(INDEX(Reference!$A$6:$A$11,MIN(5,MATCH(MAX(Reference!$A$6,MIN(Reference!$A$11,MIN(D188,240))),Reference!$A$6:$A$11,1))+1)-INDEX(Reference!$A$6:$A$11,MIN(5,MATCH(MAX(Reference!$A$6,MIN(Reference!$A$11,MIN(D188,240))),Reference!$A$6:$A$11,1))))),0)+IF(7&lt;=AE188,(AE188-7+3)*(INDEX(Reference!$B$6:$B$11,MIN(5,MATCH(MAX(Reference!$A$6,MIN(Reference!$A$11,MIN(D188,270))),Reference!$A$6:$A$11,1)))+(MAX(Reference!$A$6,MIN(Reference!$A$11,MIN(D188,270)))-INDEX(Reference!$A$6:$A$11,MIN(5,MATCH(MAX(Reference!$A$6,MIN(Reference!$A$11,MIN(D188,270))),Reference!$A$6:$A$11,1))))*(INDEX(Reference!$B$6:$B$11,MIN(5,MATCH(MAX(Reference!$A$6,MIN(Reference!$A$11,MIN(D188,270))),Reference!$A$6:$A$11,1))+1)-INDEX(Reference!$B$6:$B$11,MIN(5,MATCH(MAX(Reference!$A$6,MIN(Reference!$A$11,MIN(D188,270))),Reference!$A$6:$A$11,1))))/(INDEX(Reference!$A$6:$A$11,MIN(5,MATCH(MAX(Reference!$A$6,MIN(Reference!$A$11,MIN(D188,270))),Reference!$A$6:$A$11,1))+1)-INDEX(Reference!$A$6:$A$11,MIN(5,MATCH(MAX(Reference!$A$6,MIN(Reference!$A$11,MIN(D188,270))),Reference!$A$6:$A$11,1))))),0)+IF(8&lt;=AE188,(AE188-8+3)*(INDEX(Reference!$B$6:$B$11,MIN(5,MATCH(MAX(Reference!$A$6,MIN(Reference!$A$11,MIN(D188,300))),Reference!$A$6:$A$11,1)))+(MAX(Reference!$A$6,MIN(Reference!$A$11,MIN(D188,300)))-INDEX(Reference!$A$6:$A$11,MIN(5,MATCH(MAX(Reference!$A$6,MIN(Reference!$A$11,MIN(D188,300))),Reference!$A$6:$A$11,1))))*(INDEX(Reference!$B$6:$B$11,MIN(5,MATCH(MAX(Reference!$A$6,MIN(Reference!$A$11,MIN(D188,300))),Reference!$A$6:$A$11,1))+1)-INDEX(Reference!$B$6:$B$11,MIN(5,MATCH(MAX(Reference!$A$6,MIN(Reference!$A$11,MIN(D188,300))),Reference!$A$6:$A$11,1))))/(INDEX(Reference!$A$6:$A$11,MIN(5,MATCH(MAX(Reference!$A$6,MIN(Reference!$A$11,MIN(D188,300))),Reference!$A$6:$A$11,1))+1)-INDEX(Reference!$A$6:$A$11,MIN(5,MATCH(MAX(Reference!$A$6,MIN(Reference!$A$11,MIN(D188,300))),Reference!$A$6:$A$11,1))))),0))/(AE188*(AE188+5)/2)),(INDEX(Reference!$B$6:$B$11,MIN(5,MATCH(MAX(Reference!$A$6,MIN(Reference!$A$11,D188)),Reference!$A$6:$A$11,1)))+(MAX(Reference!$A$6,MIN(Reference!$A$11,D188))-INDEX(Reference!$A$6:$A$11,MIN(5,MATCH(MAX(Reference!$A$6,MIN(Reference!$A$11,D188)),Reference!$A$6:$A$11,1))))*(INDEX(Reference!$B$6:$B$11,MIN(5,MATCH(MAX(Reference!$A$6,MIN(Reference!$A$11,D188)),Reference!$A$6:$A$11,1))+1)-INDEX(Reference!$B$6:$B$11,MIN(5,MATCH(MAX(Reference!$A$6,MIN(Reference!$A$11,D188)),Reference!$A$6:$A$11,1))))/(INDEX(Reference!$A$6:$A$11,MIN(5,MATCH(MAX(Reference!$A$6,MIN(Reference!$A$11,D188)),Reference!$A$6:$A$11,1))+1)-INDEX(Reference!$A$6:$A$11,MIN(5,MATCH(MAX(Reference!$A$6,MIN(Reference!$A$11,D188)),Reference!$A$6:$A$11,1))))))))</f>
        <v/>
      </c>
      <c r="P188" s="32" t="str">
        <f>IF(N188="","",VLOOKUP(MAX(N188,0),Reference!$A$17:$B$20,2,TRUE()))</f>
        <v/>
      </c>
      <c r="Q188" s="32" t="str">
        <f t="shared" si="21"/>
        <v/>
      </c>
      <c r="R188" s="31"/>
      <c r="S188" s="31"/>
      <c r="T188" s="31"/>
      <c r="U188" s="32" t="str">
        <f t="shared" si="22"/>
        <v/>
      </c>
      <c r="V188" s="32" t="str">
        <f t="shared" si="23"/>
        <v/>
      </c>
      <c r="W188" s="32" t="str">
        <f>IF(V188="","",VLOOKUP(MAX(V188,0),Reference!$A$17:$B$20,2,TRUE()))</f>
        <v/>
      </c>
      <c r="X188" s="31"/>
      <c r="Y188" s="31"/>
      <c r="Z188" s="31"/>
      <c r="AA188" s="32" t="str">
        <f t="shared" si="24"/>
        <v/>
      </c>
      <c r="AB188" s="32" t="str">
        <f t="shared" si="25"/>
        <v/>
      </c>
      <c r="AC188" s="32" t="str">
        <f>IF(AB188="","",VLOOKUP(MAX(AB188,0),Reference!$A$17:$B$20,2,TRUE()))</f>
        <v/>
      </c>
      <c r="AD188" s="31"/>
      <c r="AE188">
        <f t="shared" si="26"/>
        <v>1</v>
      </c>
      <c r="AF188" s="33" t="str">
        <f>IF(OR(A188="",B188="",AND(C188&lt;&gt;"Bullpen",C188&lt;&gt;"Game")),"",IF((COUNTIFS($B$5:$B$300,B188,$A$5:$A$300,A188-1,$C$5:$C$300,"Bullpen",$AG$5:$AG$300,"&gt;0") + COUNTIFS($B$5:$B$300,B188,$A$5:$A$300,A188-1,$C$5:$C$300,"Game",$AG$5:$AG$300,"&gt;0"))&gt;0,Reference!$B$119,IF((COUNTIFS($B$5:$B$300,B188,$A$5:$A$300,A188-2,$C$5:$C$300,"Bullpen",$AG$5:$AG$300,"&gt;0") + COUNTIFS($B$5:$B$300,B188,$A$5:$A$300,A188-2,$C$5:$C$300,"Game",$AG$5:$AG$300,"&gt;0"))&gt;0,Reference!$B$120,1)))</f>
        <v/>
      </c>
      <c r="AG188" s="30" t="str">
        <f>IF(AND(OR(I188="",O188="",P188=""),OR(R188="",W188=""),OR(X188="",AC188="")),"",IF(OR(I188="",O188="",P188=""),0,I188*O188*P188)+IF(OR(R188="",W188=""),0,R188*IFERROR(INDEX(Reference!$B$61:$B$62,MATCH("Bullpen",Reference!$A$61:$A$62,0)),0)*W188)+IF(OR(X188="",AC188=""),0,X188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188))</f>
        <v/>
      </c>
    </row>
    <row r="189" spans="1:33" x14ac:dyDescent="0.3">
      <c r="A189" s="35"/>
      <c r="B189" s="31"/>
      <c r="C189" s="31"/>
      <c r="D189" s="31"/>
      <c r="E189" s="34"/>
      <c r="F189" s="34"/>
      <c r="G189" s="30" t="str">
        <f t="shared" si="18"/>
        <v/>
      </c>
      <c r="H189" s="31"/>
      <c r="I189" s="32" t="str">
        <f>IF(H189&lt;&gt;"",H189,IF(G189="","",ROUND(G189*IFERROR(INDEX(Reference!$B$44:$B$50,MATCH(C189,Reference!$A$44:$A$50,0)),0),0)))</f>
        <v/>
      </c>
      <c r="J189" s="31"/>
      <c r="K189" s="31"/>
      <c r="L189" s="32" t="str">
        <f t="shared" si="19"/>
        <v/>
      </c>
      <c r="M189" s="32" t="str">
        <f>IFERROR(INDEX(Roster!$D$5:$D$40,MATCH(B189,Roster!$A$5:$A$40,0)),"")</f>
        <v/>
      </c>
      <c r="N189" s="32" t="str">
        <f t="shared" si="20"/>
        <v/>
      </c>
      <c r="O189" s="32" t="str">
        <f>IF(OR(C189="Bullpen",C189="Game"),IFERROR(INDEX(Reference!$B$61:$B$62,MATCH(C189,Reference!$A$61:$A$62,0)),""),IF(D189="","",IF(AE189&gt;1,((IF(1&lt;=AE189,(AE189-1+3)*(INDEX(Reference!$B$6:$B$11,MIN(5,MATCH(MAX(Reference!$A$6,MIN(Reference!$A$11,MIN(D189,90))),Reference!$A$6:$A$11,1)))+(MAX(Reference!$A$6,MIN(Reference!$A$11,MIN(D189,90)))-INDEX(Reference!$A$6:$A$11,MIN(5,MATCH(MAX(Reference!$A$6,MIN(Reference!$A$11,MIN(D189,90))),Reference!$A$6:$A$11,1))))*(INDEX(Reference!$B$6:$B$11,MIN(5,MATCH(MAX(Reference!$A$6,MIN(Reference!$A$11,MIN(D189,90))),Reference!$A$6:$A$11,1))+1)-INDEX(Reference!$B$6:$B$11,MIN(5,MATCH(MAX(Reference!$A$6,MIN(Reference!$A$11,MIN(D189,90))),Reference!$A$6:$A$11,1))))/(INDEX(Reference!$A$6:$A$11,MIN(5,MATCH(MAX(Reference!$A$6,MIN(Reference!$A$11,MIN(D189,90))),Reference!$A$6:$A$11,1))+1)-INDEX(Reference!$A$6:$A$11,MIN(5,MATCH(MAX(Reference!$A$6,MIN(Reference!$A$11,MIN(D189,90))),Reference!$A$6:$A$11,1))))),0)+IF(2&lt;=AE189,(AE189-2+3)*(INDEX(Reference!$B$6:$B$11,MIN(5,MATCH(MAX(Reference!$A$6,MIN(Reference!$A$11,MIN(D189,120))),Reference!$A$6:$A$11,1)))+(MAX(Reference!$A$6,MIN(Reference!$A$11,MIN(D189,120)))-INDEX(Reference!$A$6:$A$11,MIN(5,MATCH(MAX(Reference!$A$6,MIN(Reference!$A$11,MIN(D189,120))),Reference!$A$6:$A$11,1))))*(INDEX(Reference!$B$6:$B$11,MIN(5,MATCH(MAX(Reference!$A$6,MIN(Reference!$A$11,MIN(D189,120))),Reference!$A$6:$A$11,1))+1)-INDEX(Reference!$B$6:$B$11,MIN(5,MATCH(MAX(Reference!$A$6,MIN(Reference!$A$11,MIN(D189,120))),Reference!$A$6:$A$11,1))))/(INDEX(Reference!$A$6:$A$11,MIN(5,MATCH(MAX(Reference!$A$6,MIN(Reference!$A$11,MIN(D189,120))),Reference!$A$6:$A$11,1))+1)-INDEX(Reference!$A$6:$A$11,MIN(5,MATCH(MAX(Reference!$A$6,MIN(Reference!$A$11,MIN(D189,120))),Reference!$A$6:$A$11,1))))),0)+IF(3&lt;=AE189,(AE189-3+3)*(INDEX(Reference!$B$6:$B$11,MIN(5,MATCH(MAX(Reference!$A$6,MIN(Reference!$A$11,MIN(D189,150))),Reference!$A$6:$A$11,1)))+(MAX(Reference!$A$6,MIN(Reference!$A$11,MIN(D189,150)))-INDEX(Reference!$A$6:$A$11,MIN(5,MATCH(MAX(Reference!$A$6,MIN(Reference!$A$11,MIN(D189,150))),Reference!$A$6:$A$11,1))))*(INDEX(Reference!$B$6:$B$11,MIN(5,MATCH(MAX(Reference!$A$6,MIN(Reference!$A$11,MIN(D189,150))),Reference!$A$6:$A$11,1))+1)-INDEX(Reference!$B$6:$B$11,MIN(5,MATCH(MAX(Reference!$A$6,MIN(Reference!$A$11,MIN(D189,150))),Reference!$A$6:$A$11,1))))/(INDEX(Reference!$A$6:$A$11,MIN(5,MATCH(MAX(Reference!$A$6,MIN(Reference!$A$11,MIN(D189,150))),Reference!$A$6:$A$11,1))+1)-INDEX(Reference!$A$6:$A$11,MIN(5,MATCH(MAX(Reference!$A$6,MIN(Reference!$A$11,MIN(D189,150))),Reference!$A$6:$A$11,1))))),0)+IF(4&lt;=AE189,(AE189-4+3)*(INDEX(Reference!$B$6:$B$11,MIN(5,MATCH(MAX(Reference!$A$6,MIN(Reference!$A$11,MIN(D189,180))),Reference!$A$6:$A$11,1)))+(MAX(Reference!$A$6,MIN(Reference!$A$11,MIN(D189,180)))-INDEX(Reference!$A$6:$A$11,MIN(5,MATCH(MAX(Reference!$A$6,MIN(Reference!$A$11,MIN(D189,180))),Reference!$A$6:$A$11,1))))*(INDEX(Reference!$B$6:$B$11,MIN(5,MATCH(MAX(Reference!$A$6,MIN(Reference!$A$11,MIN(D189,180))),Reference!$A$6:$A$11,1))+1)-INDEX(Reference!$B$6:$B$11,MIN(5,MATCH(MAX(Reference!$A$6,MIN(Reference!$A$11,MIN(D189,180))),Reference!$A$6:$A$11,1))))/(INDEX(Reference!$A$6:$A$11,MIN(5,MATCH(MAX(Reference!$A$6,MIN(Reference!$A$11,MIN(D189,180))),Reference!$A$6:$A$11,1))+1)-INDEX(Reference!$A$6:$A$11,MIN(5,MATCH(MAX(Reference!$A$6,MIN(Reference!$A$11,MIN(D189,180))),Reference!$A$6:$A$11,1))))),0)+IF(5&lt;=AE189,(AE189-5+3)*(INDEX(Reference!$B$6:$B$11,MIN(5,MATCH(MAX(Reference!$A$6,MIN(Reference!$A$11,MIN(D189,210))),Reference!$A$6:$A$11,1)))+(MAX(Reference!$A$6,MIN(Reference!$A$11,MIN(D189,210)))-INDEX(Reference!$A$6:$A$11,MIN(5,MATCH(MAX(Reference!$A$6,MIN(Reference!$A$11,MIN(D189,210))),Reference!$A$6:$A$11,1))))*(INDEX(Reference!$B$6:$B$11,MIN(5,MATCH(MAX(Reference!$A$6,MIN(Reference!$A$11,MIN(D189,210))),Reference!$A$6:$A$11,1))+1)-INDEX(Reference!$B$6:$B$11,MIN(5,MATCH(MAX(Reference!$A$6,MIN(Reference!$A$11,MIN(D189,210))),Reference!$A$6:$A$11,1))))/(INDEX(Reference!$A$6:$A$11,MIN(5,MATCH(MAX(Reference!$A$6,MIN(Reference!$A$11,MIN(D189,210))),Reference!$A$6:$A$11,1))+1)-INDEX(Reference!$A$6:$A$11,MIN(5,MATCH(MAX(Reference!$A$6,MIN(Reference!$A$11,MIN(D189,210))),Reference!$A$6:$A$11,1))))),0)+IF(6&lt;=AE189,(AE189-6+3)*(INDEX(Reference!$B$6:$B$11,MIN(5,MATCH(MAX(Reference!$A$6,MIN(Reference!$A$11,MIN(D189,240))),Reference!$A$6:$A$11,1)))+(MAX(Reference!$A$6,MIN(Reference!$A$11,MIN(D189,240)))-INDEX(Reference!$A$6:$A$11,MIN(5,MATCH(MAX(Reference!$A$6,MIN(Reference!$A$11,MIN(D189,240))),Reference!$A$6:$A$11,1))))*(INDEX(Reference!$B$6:$B$11,MIN(5,MATCH(MAX(Reference!$A$6,MIN(Reference!$A$11,MIN(D189,240))),Reference!$A$6:$A$11,1))+1)-INDEX(Reference!$B$6:$B$11,MIN(5,MATCH(MAX(Reference!$A$6,MIN(Reference!$A$11,MIN(D189,240))),Reference!$A$6:$A$11,1))))/(INDEX(Reference!$A$6:$A$11,MIN(5,MATCH(MAX(Reference!$A$6,MIN(Reference!$A$11,MIN(D189,240))),Reference!$A$6:$A$11,1))+1)-INDEX(Reference!$A$6:$A$11,MIN(5,MATCH(MAX(Reference!$A$6,MIN(Reference!$A$11,MIN(D189,240))),Reference!$A$6:$A$11,1))))),0)+IF(7&lt;=AE189,(AE189-7+3)*(INDEX(Reference!$B$6:$B$11,MIN(5,MATCH(MAX(Reference!$A$6,MIN(Reference!$A$11,MIN(D189,270))),Reference!$A$6:$A$11,1)))+(MAX(Reference!$A$6,MIN(Reference!$A$11,MIN(D189,270)))-INDEX(Reference!$A$6:$A$11,MIN(5,MATCH(MAX(Reference!$A$6,MIN(Reference!$A$11,MIN(D189,270))),Reference!$A$6:$A$11,1))))*(INDEX(Reference!$B$6:$B$11,MIN(5,MATCH(MAX(Reference!$A$6,MIN(Reference!$A$11,MIN(D189,270))),Reference!$A$6:$A$11,1))+1)-INDEX(Reference!$B$6:$B$11,MIN(5,MATCH(MAX(Reference!$A$6,MIN(Reference!$A$11,MIN(D189,270))),Reference!$A$6:$A$11,1))))/(INDEX(Reference!$A$6:$A$11,MIN(5,MATCH(MAX(Reference!$A$6,MIN(Reference!$A$11,MIN(D189,270))),Reference!$A$6:$A$11,1))+1)-INDEX(Reference!$A$6:$A$11,MIN(5,MATCH(MAX(Reference!$A$6,MIN(Reference!$A$11,MIN(D189,270))),Reference!$A$6:$A$11,1))))),0)+IF(8&lt;=AE189,(AE189-8+3)*(INDEX(Reference!$B$6:$B$11,MIN(5,MATCH(MAX(Reference!$A$6,MIN(Reference!$A$11,MIN(D189,300))),Reference!$A$6:$A$11,1)))+(MAX(Reference!$A$6,MIN(Reference!$A$11,MIN(D189,300)))-INDEX(Reference!$A$6:$A$11,MIN(5,MATCH(MAX(Reference!$A$6,MIN(Reference!$A$11,MIN(D189,300))),Reference!$A$6:$A$11,1))))*(INDEX(Reference!$B$6:$B$11,MIN(5,MATCH(MAX(Reference!$A$6,MIN(Reference!$A$11,MIN(D189,300))),Reference!$A$6:$A$11,1))+1)-INDEX(Reference!$B$6:$B$11,MIN(5,MATCH(MAX(Reference!$A$6,MIN(Reference!$A$11,MIN(D189,300))),Reference!$A$6:$A$11,1))))/(INDEX(Reference!$A$6:$A$11,MIN(5,MATCH(MAX(Reference!$A$6,MIN(Reference!$A$11,MIN(D189,300))),Reference!$A$6:$A$11,1))+1)-INDEX(Reference!$A$6:$A$11,MIN(5,MATCH(MAX(Reference!$A$6,MIN(Reference!$A$11,MIN(D189,300))),Reference!$A$6:$A$11,1))))),0))/(AE189*(AE189+5)/2)),(INDEX(Reference!$B$6:$B$11,MIN(5,MATCH(MAX(Reference!$A$6,MIN(Reference!$A$11,D189)),Reference!$A$6:$A$11,1)))+(MAX(Reference!$A$6,MIN(Reference!$A$11,D189))-INDEX(Reference!$A$6:$A$11,MIN(5,MATCH(MAX(Reference!$A$6,MIN(Reference!$A$11,D189)),Reference!$A$6:$A$11,1))))*(INDEX(Reference!$B$6:$B$11,MIN(5,MATCH(MAX(Reference!$A$6,MIN(Reference!$A$11,D189)),Reference!$A$6:$A$11,1))+1)-INDEX(Reference!$B$6:$B$11,MIN(5,MATCH(MAX(Reference!$A$6,MIN(Reference!$A$11,D189)),Reference!$A$6:$A$11,1))))/(INDEX(Reference!$A$6:$A$11,MIN(5,MATCH(MAX(Reference!$A$6,MIN(Reference!$A$11,D189)),Reference!$A$6:$A$11,1))+1)-INDEX(Reference!$A$6:$A$11,MIN(5,MATCH(MAX(Reference!$A$6,MIN(Reference!$A$11,D189)),Reference!$A$6:$A$11,1))))))))</f>
        <v/>
      </c>
      <c r="P189" s="32" t="str">
        <f>IF(N189="","",VLOOKUP(MAX(N189,0),Reference!$A$17:$B$20,2,TRUE()))</f>
        <v/>
      </c>
      <c r="Q189" s="32" t="str">
        <f t="shared" si="21"/>
        <v/>
      </c>
      <c r="R189" s="31"/>
      <c r="S189" s="31"/>
      <c r="T189" s="31"/>
      <c r="U189" s="32" t="str">
        <f t="shared" si="22"/>
        <v/>
      </c>
      <c r="V189" s="32" t="str">
        <f t="shared" si="23"/>
        <v/>
      </c>
      <c r="W189" s="32" t="str">
        <f>IF(V189="","",VLOOKUP(MAX(V189,0),Reference!$A$17:$B$20,2,TRUE()))</f>
        <v/>
      </c>
      <c r="X189" s="31"/>
      <c r="Y189" s="31"/>
      <c r="Z189" s="31"/>
      <c r="AA189" s="32" t="str">
        <f t="shared" si="24"/>
        <v/>
      </c>
      <c r="AB189" s="32" t="str">
        <f t="shared" si="25"/>
        <v/>
      </c>
      <c r="AC189" s="32" t="str">
        <f>IF(AB189="","",VLOOKUP(MAX(AB189,0),Reference!$A$17:$B$20,2,TRUE()))</f>
        <v/>
      </c>
      <c r="AD189" s="31"/>
      <c r="AE189">
        <f t="shared" si="26"/>
        <v>1</v>
      </c>
      <c r="AF189" s="33" t="str">
        <f>IF(OR(A189="",B189="",AND(C189&lt;&gt;"Bullpen",C189&lt;&gt;"Game")),"",IF((COUNTIFS($B$5:$B$300,B189,$A$5:$A$300,A189-1,$C$5:$C$300,"Bullpen",$AG$5:$AG$300,"&gt;0") + COUNTIFS($B$5:$B$300,B189,$A$5:$A$300,A189-1,$C$5:$C$300,"Game",$AG$5:$AG$300,"&gt;0"))&gt;0,Reference!$B$119,IF((COUNTIFS($B$5:$B$300,B189,$A$5:$A$300,A189-2,$C$5:$C$300,"Bullpen",$AG$5:$AG$300,"&gt;0") + COUNTIFS($B$5:$B$300,B189,$A$5:$A$300,A189-2,$C$5:$C$300,"Game",$AG$5:$AG$300,"&gt;0"))&gt;0,Reference!$B$120,1)))</f>
        <v/>
      </c>
      <c r="AG189" s="30" t="str">
        <f>IF(AND(OR(I189="",O189="",P189=""),OR(R189="",W189=""),OR(X189="",AC189="")),"",IF(OR(I189="",O189="",P189=""),0,I189*O189*P189)+IF(OR(R189="",W189=""),0,R189*IFERROR(INDEX(Reference!$B$61:$B$62,MATCH("Bullpen",Reference!$A$61:$A$62,0)),0)*W189)+IF(OR(X189="",AC189=""),0,X189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189))</f>
        <v/>
      </c>
    </row>
    <row r="190" spans="1:33" x14ac:dyDescent="0.3">
      <c r="A190" s="35"/>
      <c r="B190" s="31"/>
      <c r="C190" s="31"/>
      <c r="D190" s="31"/>
      <c r="E190" s="34"/>
      <c r="F190" s="34"/>
      <c r="G190" s="30" t="str">
        <f t="shared" si="18"/>
        <v/>
      </c>
      <c r="H190" s="31"/>
      <c r="I190" s="32" t="str">
        <f>IF(H190&lt;&gt;"",H190,IF(G190="","",ROUND(G190*IFERROR(INDEX(Reference!$B$44:$B$50,MATCH(C190,Reference!$A$44:$A$50,0)),0),0)))</f>
        <v/>
      </c>
      <c r="J190" s="31"/>
      <c r="K190" s="31"/>
      <c r="L190" s="32" t="str">
        <f t="shared" si="19"/>
        <v/>
      </c>
      <c r="M190" s="32" t="str">
        <f>IFERROR(INDEX(Roster!$D$5:$D$40,MATCH(B190,Roster!$A$5:$A$40,0)),"")</f>
        <v/>
      </c>
      <c r="N190" s="32" t="str">
        <f t="shared" si="20"/>
        <v/>
      </c>
      <c r="O190" s="32" t="str">
        <f>IF(OR(C190="Bullpen",C190="Game"),IFERROR(INDEX(Reference!$B$61:$B$62,MATCH(C190,Reference!$A$61:$A$62,0)),""),IF(D190="","",IF(AE190&gt;1,((IF(1&lt;=AE190,(AE190-1+3)*(INDEX(Reference!$B$6:$B$11,MIN(5,MATCH(MAX(Reference!$A$6,MIN(Reference!$A$11,MIN(D190,90))),Reference!$A$6:$A$11,1)))+(MAX(Reference!$A$6,MIN(Reference!$A$11,MIN(D190,90)))-INDEX(Reference!$A$6:$A$11,MIN(5,MATCH(MAX(Reference!$A$6,MIN(Reference!$A$11,MIN(D190,90))),Reference!$A$6:$A$11,1))))*(INDEX(Reference!$B$6:$B$11,MIN(5,MATCH(MAX(Reference!$A$6,MIN(Reference!$A$11,MIN(D190,90))),Reference!$A$6:$A$11,1))+1)-INDEX(Reference!$B$6:$B$11,MIN(5,MATCH(MAX(Reference!$A$6,MIN(Reference!$A$11,MIN(D190,90))),Reference!$A$6:$A$11,1))))/(INDEX(Reference!$A$6:$A$11,MIN(5,MATCH(MAX(Reference!$A$6,MIN(Reference!$A$11,MIN(D190,90))),Reference!$A$6:$A$11,1))+1)-INDEX(Reference!$A$6:$A$11,MIN(5,MATCH(MAX(Reference!$A$6,MIN(Reference!$A$11,MIN(D190,90))),Reference!$A$6:$A$11,1))))),0)+IF(2&lt;=AE190,(AE190-2+3)*(INDEX(Reference!$B$6:$B$11,MIN(5,MATCH(MAX(Reference!$A$6,MIN(Reference!$A$11,MIN(D190,120))),Reference!$A$6:$A$11,1)))+(MAX(Reference!$A$6,MIN(Reference!$A$11,MIN(D190,120)))-INDEX(Reference!$A$6:$A$11,MIN(5,MATCH(MAX(Reference!$A$6,MIN(Reference!$A$11,MIN(D190,120))),Reference!$A$6:$A$11,1))))*(INDEX(Reference!$B$6:$B$11,MIN(5,MATCH(MAX(Reference!$A$6,MIN(Reference!$A$11,MIN(D190,120))),Reference!$A$6:$A$11,1))+1)-INDEX(Reference!$B$6:$B$11,MIN(5,MATCH(MAX(Reference!$A$6,MIN(Reference!$A$11,MIN(D190,120))),Reference!$A$6:$A$11,1))))/(INDEX(Reference!$A$6:$A$11,MIN(5,MATCH(MAX(Reference!$A$6,MIN(Reference!$A$11,MIN(D190,120))),Reference!$A$6:$A$11,1))+1)-INDEX(Reference!$A$6:$A$11,MIN(5,MATCH(MAX(Reference!$A$6,MIN(Reference!$A$11,MIN(D190,120))),Reference!$A$6:$A$11,1))))),0)+IF(3&lt;=AE190,(AE190-3+3)*(INDEX(Reference!$B$6:$B$11,MIN(5,MATCH(MAX(Reference!$A$6,MIN(Reference!$A$11,MIN(D190,150))),Reference!$A$6:$A$11,1)))+(MAX(Reference!$A$6,MIN(Reference!$A$11,MIN(D190,150)))-INDEX(Reference!$A$6:$A$11,MIN(5,MATCH(MAX(Reference!$A$6,MIN(Reference!$A$11,MIN(D190,150))),Reference!$A$6:$A$11,1))))*(INDEX(Reference!$B$6:$B$11,MIN(5,MATCH(MAX(Reference!$A$6,MIN(Reference!$A$11,MIN(D190,150))),Reference!$A$6:$A$11,1))+1)-INDEX(Reference!$B$6:$B$11,MIN(5,MATCH(MAX(Reference!$A$6,MIN(Reference!$A$11,MIN(D190,150))),Reference!$A$6:$A$11,1))))/(INDEX(Reference!$A$6:$A$11,MIN(5,MATCH(MAX(Reference!$A$6,MIN(Reference!$A$11,MIN(D190,150))),Reference!$A$6:$A$11,1))+1)-INDEX(Reference!$A$6:$A$11,MIN(5,MATCH(MAX(Reference!$A$6,MIN(Reference!$A$11,MIN(D190,150))),Reference!$A$6:$A$11,1))))),0)+IF(4&lt;=AE190,(AE190-4+3)*(INDEX(Reference!$B$6:$B$11,MIN(5,MATCH(MAX(Reference!$A$6,MIN(Reference!$A$11,MIN(D190,180))),Reference!$A$6:$A$11,1)))+(MAX(Reference!$A$6,MIN(Reference!$A$11,MIN(D190,180)))-INDEX(Reference!$A$6:$A$11,MIN(5,MATCH(MAX(Reference!$A$6,MIN(Reference!$A$11,MIN(D190,180))),Reference!$A$6:$A$11,1))))*(INDEX(Reference!$B$6:$B$11,MIN(5,MATCH(MAX(Reference!$A$6,MIN(Reference!$A$11,MIN(D190,180))),Reference!$A$6:$A$11,1))+1)-INDEX(Reference!$B$6:$B$11,MIN(5,MATCH(MAX(Reference!$A$6,MIN(Reference!$A$11,MIN(D190,180))),Reference!$A$6:$A$11,1))))/(INDEX(Reference!$A$6:$A$11,MIN(5,MATCH(MAX(Reference!$A$6,MIN(Reference!$A$11,MIN(D190,180))),Reference!$A$6:$A$11,1))+1)-INDEX(Reference!$A$6:$A$11,MIN(5,MATCH(MAX(Reference!$A$6,MIN(Reference!$A$11,MIN(D190,180))),Reference!$A$6:$A$11,1))))),0)+IF(5&lt;=AE190,(AE190-5+3)*(INDEX(Reference!$B$6:$B$11,MIN(5,MATCH(MAX(Reference!$A$6,MIN(Reference!$A$11,MIN(D190,210))),Reference!$A$6:$A$11,1)))+(MAX(Reference!$A$6,MIN(Reference!$A$11,MIN(D190,210)))-INDEX(Reference!$A$6:$A$11,MIN(5,MATCH(MAX(Reference!$A$6,MIN(Reference!$A$11,MIN(D190,210))),Reference!$A$6:$A$11,1))))*(INDEX(Reference!$B$6:$B$11,MIN(5,MATCH(MAX(Reference!$A$6,MIN(Reference!$A$11,MIN(D190,210))),Reference!$A$6:$A$11,1))+1)-INDEX(Reference!$B$6:$B$11,MIN(5,MATCH(MAX(Reference!$A$6,MIN(Reference!$A$11,MIN(D190,210))),Reference!$A$6:$A$11,1))))/(INDEX(Reference!$A$6:$A$11,MIN(5,MATCH(MAX(Reference!$A$6,MIN(Reference!$A$11,MIN(D190,210))),Reference!$A$6:$A$11,1))+1)-INDEX(Reference!$A$6:$A$11,MIN(5,MATCH(MAX(Reference!$A$6,MIN(Reference!$A$11,MIN(D190,210))),Reference!$A$6:$A$11,1))))),0)+IF(6&lt;=AE190,(AE190-6+3)*(INDEX(Reference!$B$6:$B$11,MIN(5,MATCH(MAX(Reference!$A$6,MIN(Reference!$A$11,MIN(D190,240))),Reference!$A$6:$A$11,1)))+(MAX(Reference!$A$6,MIN(Reference!$A$11,MIN(D190,240)))-INDEX(Reference!$A$6:$A$11,MIN(5,MATCH(MAX(Reference!$A$6,MIN(Reference!$A$11,MIN(D190,240))),Reference!$A$6:$A$11,1))))*(INDEX(Reference!$B$6:$B$11,MIN(5,MATCH(MAX(Reference!$A$6,MIN(Reference!$A$11,MIN(D190,240))),Reference!$A$6:$A$11,1))+1)-INDEX(Reference!$B$6:$B$11,MIN(5,MATCH(MAX(Reference!$A$6,MIN(Reference!$A$11,MIN(D190,240))),Reference!$A$6:$A$11,1))))/(INDEX(Reference!$A$6:$A$11,MIN(5,MATCH(MAX(Reference!$A$6,MIN(Reference!$A$11,MIN(D190,240))),Reference!$A$6:$A$11,1))+1)-INDEX(Reference!$A$6:$A$11,MIN(5,MATCH(MAX(Reference!$A$6,MIN(Reference!$A$11,MIN(D190,240))),Reference!$A$6:$A$11,1))))),0)+IF(7&lt;=AE190,(AE190-7+3)*(INDEX(Reference!$B$6:$B$11,MIN(5,MATCH(MAX(Reference!$A$6,MIN(Reference!$A$11,MIN(D190,270))),Reference!$A$6:$A$11,1)))+(MAX(Reference!$A$6,MIN(Reference!$A$11,MIN(D190,270)))-INDEX(Reference!$A$6:$A$11,MIN(5,MATCH(MAX(Reference!$A$6,MIN(Reference!$A$11,MIN(D190,270))),Reference!$A$6:$A$11,1))))*(INDEX(Reference!$B$6:$B$11,MIN(5,MATCH(MAX(Reference!$A$6,MIN(Reference!$A$11,MIN(D190,270))),Reference!$A$6:$A$11,1))+1)-INDEX(Reference!$B$6:$B$11,MIN(5,MATCH(MAX(Reference!$A$6,MIN(Reference!$A$11,MIN(D190,270))),Reference!$A$6:$A$11,1))))/(INDEX(Reference!$A$6:$A$11,MIN(5,MATCH(MAX(Reference!$A$6,MIN(Reference!$A$11,MIN(D190,270))),Reference!$A$6:$A$11,1))+1)-INDEX(Reference!$A$6:$A$11,MIN(5,MATCH(MAX(Reference!$A$6,MIN(Reference!$A$11,MIN(D190,270))),Reference!$A$6:$A$11,1))))),0)+IF(8&lt;=AE190,(AE190-8+3)*(INDEX(Reference!$B$6:$B$11,MIN(5,MATCH(MAX(Reference!$A$6,MIN(Reference!$A$11,MIN(D190,300))),Reference!$A$6:$A$11,1)))+(MAX(Reference!$A$6,MIN(Reference!$A$11,MIN(D190,300)))-INDEX(Reference!$A$6:$A$11,MIN(5,MATCH(MAX(Reference!$A$6,MIN(Reference!$A$11,MIN(D190,300))),Reference!$A$6:$A$11,1))))*(INDEX(Reference!$B$6:$B$11,MIN(5,MATCH(MAX(Reference!$A$6,MIN(Reference!$A$11,MIN(D190,300))),Reference!$A$6:$A$11,1))+1)-INDEX(Reference!$B$6:$B$11,MIN(5,MATCH(MAX(Reference!$A$6,MIN(Reference!$A$11,MIN(D190,300))),Reference!$A$6:$A$11,1))))/(INDEX(Reference!$A$6:$A$11,MIN(5,MATCH(MAX(Reference!$A$6,MIN(Reference!$A$11,MIN(D190,300))),Reference!$A$6:$A$11,1))+1)-INDEX(Reference!$A$6:$A$11,MIN(5,MATCH(MAX(Reference!$A$6,MIN(Reference!$A$11,MIN(D190,300))),Reference!$A$6:$A$11,1))))),0))/(AE190*(AE190+5)/2)),(INDEX(Reference!$B$6:$B$11,MIN(5,MATCH(MAX(Reference!$A$6,MIN(Reference!$A$11,D190)),Reference!$A$6:$A$11,1)))+(MAX(Reference!$A$6,MIN(Reference!$A$11,D190))-INDEX(Reference!$A$6:$A$11,MIN(5,MATCH(MAX(Reference!$A$6,MIN(Reference!$A$11,D190)),Reference!$A$6:$A$11,1))))*(INDEX(Reference!$B$6:$B$11,MIN(5,MATCH(MAX(Reference!$A$6,MIN(Reference!$A$11,D190)),Reference!$A$6:$A$11,1))+1)-INDEX(Reference!$B$6:$B$11,MIN(5,MATCH(MAX(Reference!$A$6,MIN(Reference!$A$11,D190)),Reference!$A$6:$A$11,1))))/(INDEX(Reference!$A$6:$A$11,MIN(5,MATCH(MAX(Reference!$A$6,MIN(Reference!$A$11,D190)),Reference!$A$6:$A$11,1))+1)-INDEX(Reference!$A$6:$A$11,MIN(5,MATCH(MAX(Reference!$A$6,MIN(Reference!$A$11,D190)),Reference!$A$6:$A$11,1))))))))</f>
        <v/>
      </c>
      <c r="P190" s="32" t="str">
        <f>IF(N190="","",VLOOKUP(MAX(N190,0),Reference!$A$17:$B$20,2,TRUE()))</f>
        <v/>
      </c>
      <c r="Q190" s="32" t="str">
        <f t="shared" si="21"/>
        <v/>
      </c>
      <c r="R190" s="31"/>
      <c r="S190" s="31"/>
      <c r="T190" s="31"/>
      <c r="U190" s="32" t="str">
        <f t="shared" si="22"/>
        <v/>
      </c>
      <c r="V190" s="32" t="str">
        <f t="shared" si="23"/>
        <v/>
      </c>
      <c r="W190" s="32" t="str">
        <f>IF(V190="","",VLOOKUP(MAX(V190,0),Reference!$A$17:$B$20,2,TRUE()))</f>
        <v/>
      </c>
      <c r="X190" s="31"/>
      <c r="Y190" s="31"/>
      <c r="Z190" s="31"/>
      <c r="AA190" s="32" t="str">
        <f t="shared" si="24"/>
        <v/>
      </c>
      <c r="AB190" s="32" t="str">
        <f t="shared" si="25"/>
        <v/>
      </c>
      <c r="AC190" s="32" t="str">
        <f>IF(AB190="","",VLOOKUP(MAX(AB190,0),Reference!$A$17:$B$20,2,TRUE()))</f>
        <v/>
      </c>
      <c r="AD190" s="31"/>
      <c r="AE190">
        <f t="shared" si="26"/>
        <v>1</v>
      </c>
      <c r="AF190" s="33" t="str">
        <f>IF(OR(A190="",B190="",AND(C190&lt;&gt;"Bullpen",C190&lt;&gt;"Game")),"",IF((COUNTIFS($B$5:$B$300,B190,$A$5:$A$300,A190-1,$C$5:$C$300,"Bullpen",$AG$5:$AG$300,"&gt;0") + COUNTIFS($B$5:$B$300,B190,$A$5:$A$300,A190-1,$C$5:$C$300,"Game",$AG$5:$AG$300,"&gt;0"))&gt;0,Reference!$B$119,IF((COUNTIFS($B$5:$B$300,B190,$A$5:$A$300,A190-2,$C$5:$C$300,"Bullpen",$AG$5:$AG$300,"&gt;0") + COUNTIFS($B$5:$B$300,B190,$A$5:$A$300,A190-2,$C$5:$C$300,"Game",$AG$5:$AG$300,"&gt;0"))&gt;0,Reference!$B$120,1)))</f>
        <v/>
      </c>
      <c r="AG190" s="30" t="str">
        <f>IF(AND(OR(I190="",O190="",P190=""),OR(R190="",W190=""),OR(X190="",AC190="")),"",IF(OR(I190="",O190="",P190=""),0,I190*O190*P190)+IF(OR(R190="",W190=""),0,R190*IFERROR(INDEX(Reference!$B$61:$B$62,MATCH("Bullpen",Reference!$A$61:$A$62,0)),0)*W190)+IF(OR(X190="",AC190=""),0,X190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190))</f>
        <v/>
      </c>
    </row>
    <row r="191" spans="1:33" x14ac:dyDescent="0.3">
      <c r="A191" s="35"/>
      <c r="B191" s="31"/>
      <c r="C191" s="31"/>
      <c r="D191" s="31"/>
      <c r="E191" s="34"/>
      <c r="F191" s="34"/>
      <c r="G191" s="30" t="str">
        <f t="shared" si="18"/>
        <v/>
      </c>
      <c r="H191" s="31"/>
      <c r="I191" s="32" t="str">
        <f>IF(H191&lt;&gt;"",H191,IF(G191="","",ROUND(G191*IFERROR(INDEX(Reference!$B$44:$B$50,MATCH(C191,Reference!$A$44:$A$50,0)),0),0)))</f>
        <v/>
      </c>
      <c r="J191" s="31"/>
      <c r="K191" s="31"/>
      <c r="L191" s="32" t="str">
        <f t="shared" si="19"/>
        <v/>
      </c>
      <c r="M191" s="32" t="str">
        <f>IFERROR(INDEX(Roster!$D$5:$D$40,MATCH(B191,Roster!$A$5:$A$40,0)),"")</f>
        <v/>
      </c>
      <c r="N191" s="32" t="str">
        <f t="shared" si="20"/>
        <v/>
      </c>
      <c r="O191" s="32" t="str">
        <f>IF(OR(C191="Bullpen",C191="Game"),IFERROR(INDEX(Reference!$B$61:$B$62,MATCH(C191,Reference!$A$61:$A$62,0)),""),IF(D191="","",IF(AE191&gt;1,((IF(1&lt;=AE191,(AE191-1+3)*(INDEX(Reference!$B$6:$B$11,MIN(5,MATCH(MAX(Reference!$A$6,MIN(Reference!$A$11,MIN(D191,90))),Reference!$A$6:$A$11,1)))+(MAX(Reference!$A$6,MIN(Reference!$A$11,MIN(D191,90)))-INDEX(Reference!$A$6:$A$11,MIN(5,MATCH(MAX(Reference!$A$6,MIN(Reference!$A$11,MIN(D191,90))),Reference!$A$6:$A$11,1))))*(INDEX(Reference!$B$6:$B$11,MIN(5,MATCH(MAX(Reference!$A$6,MIN(Reference!$A$11,MIN(D191,90))),Reference!$A$6:$A$11,1))+1)-INDEX(Reference!$B$6:$B$11,MIN(5,MATCH(MAX(Reference!$A$6,MIN(Reference!$A$11,MIN(D191,90))),Reference!$A$6:$A$11,1))))/(INDEX(Reference!$A$6:$A$11,MIN(5,MATCH(MAX(Reference!$A$6,MIN(Reference!$A$11,MIN(D191,90))),Reference!$A$6:$A$11,1))+1)-INDEX(Reference!$A$6:$A$11,MIN(5,MATCH(MAX(Reference!$A$6,MIN(Reference!$A$11,MIN(D191,90))),Reference!$A$6:$A$11,1))))),0)+IF(2&lt;=AE191,(AE191-2+3)*(INDEX(Reference!$B$6:$B$11,MIN(5,MATCH(MAX(Reference!$A$6,MIN(Reference!$A$11,MIN(D191,120))),Reference!$A$6:$A$11,1)))+(MAX(Reference!$A$6,MIN(Reference!$A$11,MIN(D191,120)))-INDEX(Reference!$A$6:$A$11,MIN(5,MATCH(MAX(Reference!$A$6,MIN(Reference!$A$11,MIN(D191,120))),Reference!$A$6:$A$11,1))))*(INDEX(Reference!$B$6:$B$11,MIN(5,MATCH(MAX(Reference!$A$6,MIN(Reference!$A$11,MIN(D191,120))),Reference!$A$6:$A$11,1))+1)-INDEX(Reference!$B$6:$B$11,MIN(5,MATCH(MAX(Reference!$A$6,MIN(Reference!$A$11,MIN(D191,120))),Reference!$A$6:$A$11,1))))/(INDEX(Reference!$A$6:$A$11,MIN(5,MATCH(MAX(Reference!$A$6,MIN(Reference!$A$11,MIN(D191,120))),Reference!$A$6:$A$11,1))+1)-INDEX(Reference!$A$6:$A$11,MIN(5,MATCH(MAX(Reference!$A$6,MIN(Reference!$A$11,MIN(D191,120))),Reference!$A$6:$A$11,1))))),0)+IF(3&lt;=AE191,(AE191-3+3)*(INDEX(Reference!$B$6:$B$11,MIN(5,MATCH(MAX(Reference!$A$6,MIN(Reference!$A$11,MIN(D191,150))),Reference!$A$6:$A$11,1)))+(MAX(Reference!$A$6,MIN(Reference!$A$11,MIN(D191,150)))-INDEX(Reference!$A$6:$A$11,MIN(5,MATCH(MAX(Reference!$A$6,MIN(Reference!$A$11,MIN(D191,150))),Reference!$A$6:$A$11,1))))*(INDEX(Reference!$B$6:$B$11,MIN(5,MATCH(MAX(Reference!$A$6,MIN(Reference!$A$11,MIN(D191,150))),Reference!$A$6:$A$11,1))+1)-INDEX(Reference!$B$6:$B$11,MIN(5,MATCH(MAX(Reference!$A$6,MIN(Reference!$A$11,MIN(D191,150))),Reference!$A$6:$A$11,1))))/(INDEX(Reference!$A$6:$A$11,MIN(5,MATCH(MAX(Reference!$A$6,MIN(Reference!$A$11,MIN(D191,150))),Reference!$A$6:$A$11,1))+1)-INDEX(Reference!$A$6:$A$11,MIN(5,MATCH(MAX(Reference!$A$6,MIN(Reference!$A$11,MIN(D191,150))),Reference!$A$6:$A$11,1))))),0)+IF(4&lt;=AE191,(AE191-4+3)*(INDEX(Reference!$B$6:$B$11,MIN(5,MATCH(MAX(Reference!$A$6,MIN(Reference!$A$11,MIN(D191,180))),Reference!$A$6:$A$11,1)))+(MAX(Reference!$A$6,MIN(Reference!$A$11,MIN(D191,180)))-INDEX(Reference!$A$6:$A$11,MIN(5,MATCH(MAX(Reference!$A$6,MIN(Reference!$A$11,MIN(D191,180))),Reference!$A$6:$A$11,1))))*(INDEX(Reference!$B$6:$B$11,MIN(5,MATCH(MAX(Reference!$A$6,MIN(Reference!$A$11,MIN(D191,180))),Reference!$A$6:$A$11,1))+1)-INDEX(Reference!$B$6:$B$11,MIN(5,MATCH(MAX(Reference!$A$6,MIN(Reference!$A$11,MIN(D191,180))),Reference!$A$6:$A$11,1))))/(INDEX(Reference!$A$6:$A$11,MIN(5,MATCH(MAX(Reference!$A$6,MIN(Reference!$A$11,MIN(D191,180))),Reference!$A$6:$A$11,1))+1)-INDEX(Reference!$A$6:$A$11,MIN(5,MATCH(MAX(Reference!$A$6,MIN(Reference!$A$11,MIN(D191,180))),Reference!$A$6:$A$11,1))))),0)+IF(5&lt;=AE191,(AE191-5+3)*(INDEX(Reference!$B$6:$B$11,MIN(5,MATCH(MAX(Reference!$A$6,MIN(Reference!$A$11,MIN(D191,210))),Reference!$A$6:$A$11,1)))+(MAX(Reference!$A$6,MIN(Reference!$A$11,MIN(D191,210)))-INDEX(Reference!$A$6:$A$11,MIN(5,MATCH(MAX(Reference!$A$6,MIN(Reference!$A$11,MIN(D191,210))),Reference!$A$6:$A$11,1))))*(INDEX(Reference!$B$6:$B$11,MIN(5,MATCH(MAX(Reference!$A$6,MIN(Reference!$A$11,MIN(D191,210))),Reference!$A$6:$A$11,1))+1)-INDEX(Reference!$B$6:$B$11,MIN(5,MATCH(MAX(Reference!$A$6,MIN(Reference!$A$11,MIN(D191,210))),Reference!$A$6:$A$11,1))))/(INDEX(Reference!$A$6:$A$11,MIN(5,MATCH(MAX(Reference!$A$6,MIN(Reference!$A$11,MIN(D191,210))),Reference!$A$6:$A$11,1))+1)-INDEX(Reference!$A$6:$A$11,MIN(5,MATCH(MAX(Reference!$A$6,MIN(Reference!$A$11,MIN(D191,210))),Reference!$A$6:$A$11,1))))),0)+IF(6&lt;=AE191,(AE191-6+3)*(INDEX(Reference!$B$6:$B$11,MIN(5,MATCH(MAX(Reference!$A$6,MIN(Reference!$A$11,MIN(D191,240))),Reference!$A$6:$A$11,1)))+(MAX(Reference!$A$6,MIN(Reference!$A$11,MIN(D191,240)))-INDEX(Reference!$A$6:$A$11,MIN(5,MATCH(MAX(Reference!$A$6,MIN(Reference!$A$11,MIN(D191,240))),Reference!$A$6:$A$11,1))))*(INDEX(Reference!$B$6:$B$11,MIN(5,MATCH(MAX(Reference!$A$6,MIN(Reference!$A$11,MIN(D191,240))),Reference!$A$6:$A$11,1))+1)-INDEX(Reference!$B$6:$B$11,MIN(5,MATCH(MAX(Reference!$A$6,MIN(Reference!$A$11,MIN(D191,240))),Reference!$A$6:$A$11,1))))/(INDEX(Reference!$A$6:$A$11,MIN(5,MATCH(MAX(Reference!$A$6,MIN(Reference!$A$11,MIN(D191,240))),Reference!$A$6:$A$11,1))+1)-INDEX(Reference!$A$6:$A$11,MIN(5,MATCH(MAX(Reference!$A$6,MIN(Reference!$A$11,MIN(D191,240))),Reference!$A$6:$A$11,1))))),0)+IF(7&lt;=AE191,(AE191-7+3)*(INDEX(Reference!$B$6:$B$11,MIN(5,MATCH(MAX(Reference!$A$6,MIN(Reference!$A$11,MIN(D191,270))),Reference!$A$6:$A$11,1)))+(MAX(Reference!$A$6,MIN(Reference!$A$11,MIN(D191,270)))-INDEX(Reference!$A$6:$A$11,MIN(5,MATCH(MAX(Reference!$A$6,MIN(Reference!$A$11,MIN(D191,270))),Reference!$A$6:$A$11,1))))*(INDEX(Reference!$B$6:$B$11,MIN(5,MATCH(MAX(Reference!$A$6,MIN(Reference!$A$11,MIN(D191,270))),Reference!$A$6:$A$11,1))+1)-INDEX(Reference!$B$6:$B$11,MIN(5,MATCH(MAX(Reference!$A$6,MIN(Reference!$A$11,MIN(D191,270))),Reference!$A$6:$A$11,1))))/(INDEX(Reference!$A$6:$A$11,MIN(5,MATCH(MAX(Reference!$A$6,MIN(Reference!$A$11,MIN(D191,270))),Reference!$A$6:$A$11,1))+1)-INDEX(Reference!$A$6:$A$11,MIN(5,MATCH(MAX(Reference!$A$6,MIN(Reference!$A$11,MIN(D191,270))),Reference!$A$6:$A$11,1))))),0)+IF(8&lt;=AE191,(AE191-8+3)*(INDEX(Reference!$B$6:$B$11,MIN(5,MATCH(MAX(Reference!$A$6,MIN(Reference!$A$11,MIN(D191,300))),Reference!$A$6:$A$11,1)))+(MAX(Reference!$A$6,MIN(Reference!$A$11,MIN(D191,300)))-INDEX(Reference!$A$6:$A$11,MIN(5,MATCH(MAX(Reference!$A$6,MIN(Reference!$A$11,MIN(D191,300))),Reference!$A$6:$A$11,1))))*(INDEX(Reference!$B$6:$B$11,MIN(5,MATCH(MAX(Reference!$A$6,MIN(Reference!$A$11,MIN(D191,300))),Reference!$A$6:$A$11,1))+1)-INDEX(Reference!$B$6:$B$11,MIN(5,MATCH(MAX(Reference!$A$6,MIN(Reference!$A$11,MIN(D191,300))),Reference!$A$6:$A$11,1))))/(INDEX(Reference!$A$6:$A$11,MIN(5,MATCH(MAX(Reference!$A$6,MIN(Reference!$A$11,MIN(D191,300))),Reference!$A$6:$A$11,1))+1)-INDEX(Reference!$A$6:$A$11,MIN(5,MATCH(MAX(Reference!$A$6,MIN(Reference!$A$11,MIN(D191,300))),Reference!$A$6:$A$11,1))))),0))/(AE191*(AE191+5)/2)),(INDEX(Reference!$B$6:$B$11,MIN(5,MATCH(MAX(Reference!$A$6,MIN(Reference!$A$11,D191)),Reference!$A$6:$A$11,1)))+(MAX(Reference!$A$6,MIN(Reference!$A$11,D191))-INDEX(Reference!$A$6:$A$11,MIN(5,MATCH(MAX(Reference!$A$6,MIN(Reference!$A$11,D191)),Reference!$A$6:$A$11,1))))*(INDEX(Reference!$B$6:$B$11,MIN(5,MATCH(MAX(Reference!$A$6,MIN(Reference!$A$11,D191)),Reference!$A$6:$A$11,1))+1)-INDEX(Reference!$B$6:$B$11,MIN(5,MATCH(MAX(Reference!$A$6,MIN(Reference!$A$11,D191)),Reference!$A$6:$A$11,1))))/(INDEX(Reference!$A$6:$A$11,MIN(5,MATCH(MAX(Reference!$A$6,MIN(Reference!$A$11,D191)),Reference!$A$6:$A$11,1))+1)-INDEX(Reference!$A$6:$A$11,MIN(5,MATCH(MAX(Reference!$A$6,MIN(Reference!$A$11,D191)),Reference!$A$6:$A$11,1))))))))</f>
        <v/>
      </c>
      <c r="P191" s="32" t="str">
        <f>IF(N191="","",VLOOKUP(MAX(N191,0),Reference!$A$17:$B$20,2,TRUE()))</f>
        <v/>
      </c>
      <c r="Q191" s="32" t="str">
        <f t="shared" si="21"/>
        <v/>
      </c>
      <c r="R191" s="31"/>
      <c r="S191" s="31"/>
      <c r="T191" s="31"/>
      <c r="U191" s="32" t="str">
        <f t="shared" si="22"/>
        <v/>
      </c>
      <c r="V191" s="32" t="str">
        <f t="shared" si="23"/>
        <v/>
      </c>
      <c r="W191" s="32" t="str">
        <f>IF(V191="","",VLOOKUP(MAX(V191,0),Reference!$A$17:$B$20,2,TRUE()))</f>
        <v/>
      </c>
      <c r="X191" s="31"/>
      <c r="Y191" s="31"/>
      <c r="Z191" s="31"/>
      <c r="AA191" s="32" t="str">
        <f t="shared" si="24"/>
        <v/>
      </c>
      <c r="AB191" s="32" t="str">
        <f t="shared" si="25"/>
        <v/>
      </c>
      <c r="AC191" s="32" t="str">
        <f>IF(AB191="","",VLOOKUP(MAX(AB191,0),Reference!$A$17:$B$20,2,TRUE()))</f>
        <v/>
      </c>
      <c r="AD191" s="31"/>
      <c r="AE191">
        <f t="shared" si="26"/>
        <v>1</v>
      </c>
      <c r="AF191" s="33" t="str">
        <f>IF(OR(A191="",B191="",AND(C191&lt;&gt;"Bullpen",C191&lt;&gt;"Game")),"",IF((COUNTIFS($B$5:$B$300,B191,$A$5:$A$300,A191-1,$C$5:$C$300,"Bullpen",$AG$5:$AG$300,"&gt;0") + COUNTIFS($B$5:$B$300,B191,$A$5:$A$300,A191-1,$C$5:$C$300,"Game",$AG$5:$AG$300,"&gt;0"))&gt;0,Reference!$B$119,IF((COUNTIFS($B$5:$B$300,B191,$A$5:$A$300,A191-2,$C$5:$C$300,"Bullpen",$AG$5:$AG$300,"&gt;0") + COUNTIFS($B$5:$B$300,B191,$A$5:$A$300,A191-2,$C$5:$C$300,"Game",$AG$5:$AG$300,"&gt;0"))&gt;0,Reference!$B$120,1)))</f>
        <v/>
      </c>
      <c r="AG191" s="30" t="str">
        <f>IF(AND(OR(I191="",O191="",P191=""),OR(R191="",W191=""),OR(X191="",AC191="")),"",IF(OR(I191="",O191="",P191=""),0,I191*O191*P191)+IF(OR(R191="",W191=""),0,R191*IFERROR(INDEX(Reference!$B$61:$B$62,MATCH("Bullpen",Reference!$A$61:$A$62,0)),0)*W191)+IF(OR(X191="",AC191=""),0,X191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191))</f>
        <v/>
      </c>
    </row>
    <row r="192" spans="1:33" x14ac:dyDescent="0.3">
      <c r="A192" s="35"/>
      <c r="B192" s="31"/>
      <c r="C192" s="31"/>
      <c r="D192" s="31"/>
      <c r="E192" s="34"/>
      <c r="F192" s="34"/>
      <c r="G192" s="30" t="str">
        <f t="shared" si="18"/>
        <v/>
      </c>
      <c r="H192" s="31"/>
      <c r="I192" s="32" t="str">
        <f>IF(H192&lt;&gt;"",H192,IF(G192="","",ROUND(G192*IFERROR(INDEX(Reference!$B$44:$B$50,MATCH(C192,Reference!$A$44:$A$50,0)),0),0)))</f>
        <v/>
      </c>
      <c r="J192" s="31"/>
      <c r="K192" s="31"/>
      <c r="L192" s="32" t="str">
        <f t="shared" si="19"/>
        <v/>
      </c>
      <c r="M192" s="32" t="str">
        <f>IFERROR(INDEX(Roster!$D$5:$D$40,MATCH(B192,Roster!$A$5:$A$40,0)),"")</f>
        <v/>
      </c>
      <c r="N192" s="32" t="str">
        <f t="shared" si="20"/>
        <v/>
      </c>
      <c r="O192" s="32" t="str">
        <f>IF(OR(C192="Bullpen",C192="Game"),IFERROR(INDEX(Reference!$B$61:$B$62,MATCH(C192,Reference!$A$61:$A$62,0)),""),IF(D192="","",IF(AE192&gt;1,((IF(1&lt;=AE192,(AE192-1+3)*(INDEX(Reference!$B$6:$B$11,MIN(5,MATCH(MAX(Reference!$A$6,MIN(Reference!$A$11,MIN(D192,90))),Reference!$A$6:$A$11,1)))+(MAX(Reference!$A$6,MIN(Reference!$A$11,MIN(D192,90)))-INDEX(Reference!$A$6:$A$11,MIN(5,MATCH(MAX(Reference!$A$6,MIN(Reference!$A$11,MIN(D192,90))),Reference!$A$6:$A$11,1))))*(INDEX(Reference!$B$6:$B$11,MIN(5,MATCH(MAX(Reference!$A$6,MIN(Reference!$A$11,MIN(D192,90))),Reference!$A$6:$A$11,1))+1)-INDEX(Reference!$B$6:$B$11,MIN(5,MATCH(MAX(Reference!$A$6,MIN(Reference!$A$11,MIN(D192,90))),Reference!$A$6:$A$11,1))))/(INDEX(Reference!$A$6:$A$11,MIN(5,MATCH(MAX(Reference!$A$6,MIN(Reference!$A$11,MIN(D192,90))),Reference!$A$6:$A$11,1))+1)-INDEX(Reference!$A$6:$A$11,MIN(5,MATCH(MAX(Reference!$A$6,MIN(Reference!$A$11,MIN(D192,90))),Reference!$A$6:$A$11,1))))),0)+IF(2&lt;=AE192,(AE192-2+3)*(INDEX(Reference!$B$6:$B$11,MIN(5,MATCH(MAX(Reference!$A$6,MIN(Reference!$A$11,MIN(D192,120))),Reference!$A$6:$A$11,1)))+(MAX(Reference!$A$6,MIN(Reference!$A$11,MIN(D192,120)))-INDEX(Reference!$A$6:$A$11,MIN(5,MATCH(MAX(Reference!$A$6,MIN(Reference!$A$11,MIN(D192,120))),Reference!$A$6:$A$11,1))))*(INDEX(Reference!$B$6:$B$11,MIN(5,MATCH(MAX(Reference!$A$6,MIN(Reference!$A$11,MIN(D192,120))),Reference!$A$6:$A$11,1))+1)-INDEX(Reference!$B$6:$B$11,MIN(5,MATCH(MAX(Reference!$A$6,MIN(Reference!$A$11,MIN(D192,120))),Reference!$A$6:$A$11,1))))/(INDEX(Reference!$A$6:$A$11,MIN(5,MATCH(MAX(Reference!$A$6,MIN(Reference!$A$11,MIN(D192,120))),Reference!$A$6:$A$11,1))+1)-INDEX(Reference!$A$6:$A$11,MIN(5,MATCH(MAX(Reference!$A$6,MIN(Reference!$A$11,MIN(D192,120))),Reference!$A$6:$A$11,1))))),0)+IF(3&lt;=AE192,(AE192-3+3)*(INDEX(Reference!$B$6:$B$11,MIN(5,MATCH(MAX(Reference!$A$6,MIN(Reference!$A$11,MIN(D192,150))),Reference!$A$6:$A$11,1)))+(MAX(Reference!$A$6,MIN(Reference!$A$11,MIN(D192,150)))-INDEX(Reference!$A$6:$A$11,MIN(5,MATCH(MAX(Reference!$A$6,MIN(Reference!$A$11,MIN(D192,150))),Reference!$A$6:$A$11,1))))*(INDEX(Reference!$B$6:$B$11,MIN(5,MATCH(MAX(Reference!$A$6,MIN(Reference!$A$11,MIN(D192,150))),Reference!$A$6:$A$11,1))+1)-INDEX(Reference!$B$6:$B$11,MIN(5,MATCH(MAX(Reference!$A$6,MIN(Reference!$A$11,MIN(D192,150))),Reference!$A$6:$A$11,1))))/(INDEX(Reference!$A$6:$A$11,MIN(5,MATCH(MAX(Reference!$A$6,MIN(Reference!$A$11,MIN(D192,150))),Reference!$A$6:$A$11,1))+1)-INDEX(Reference!$A$6:$A$11,MIN(5,MATCH(MAX(Reference!$A$6,MIN(Reference!$A$11,MIN(D192,150))),Reference!$A$6:$A$11,1))))),0)+IF(4&lt;=AE192,(AE192-4+3)*(INDEX(Reference!$B$6:$B$11,MIN(5,MATCH(MAX(Reference!$A$6,MIN(Reference!$A$11,MIN(D192,180))),Reference!$A$6:$A$11,1)))+(MAX(Reference!$A$6,MIN(Reference!$A$11,MIN(D192,180)))-INDEX(Reference!$A$6:$A$11,MIN(5,MATCH(MAX(Reference!$A$6,MIN(Reference!$A$11,MIN(D192,180))),Reference!$A$6:$A$11,1))))*(INDEX(Reference!$B$6:$B$11,MIN(5,MATCH(MAX(Reference!$A$6,MIN(Reference!$A$11,MIN(D192,180))),Reference!$A$6:$A$11,1))+1)-INDEX(Reference!$B$6:$B$11,MIN(5,MATCH(MAX(Reference!$A$6,MIN(Reference!$A$11,MIN(D192,180))),Reference!$A$6:$A$11,1))))/(INDEX(Reference!$A$6:$A$11,MIN(5,MATCH(MAX(Reference!$A$6,MIN(Reference!$A$11,MIN(D192,180))),Reference!$A$6:$A$11,1))+1)-INDEX(Reference!$A$6:$A$11,MIN(5,MATCH(MAX(Reference!$A$6,MIN(Reference!$A$11,MIN(D192,180))),Reference!$A$6:$A$11,1))))),0)+IF(5&lt;=AE192,(AE192-5+3)*(INDEX(Reference!$B$6:$B$11,MIN(5,MATCH(MAX(Reference!$A$6,MIN(Reference!$A$11,MIN(D192,210))),Reference!$A$6:$A$11,1)))+(MAX(Reference!$A$6,MIN(Reference!$A$11,MIN(D192,210)))-INDEX(Reference!$A$6:$A$11,MIN(5,MATCH(MAX(Reference!$A$6,MIN(Reference!$A$11,MIN(D192,210))),Reference!$A$6:$A$11,1))))*(INDEX(Reference!$B$6:$B$11,MIN(5,MATCH(MAX(Reference!$A$6,MIN(Reference!$A$11,MIN(D192,210))),Reference!$A$6:$A$11,1))+1)-INDEX(Reference!$B$6:$B$11,MIN(5,MATCH(MAX(Reference!$A$6,MIN(Reference!$A$11,MIN(D192,210))),Reference!$A$6:$A$11,1))))/(INDEX(Reference!$A$6:$A$11,MIN(5,MATCH(MAX(Reference!$A$6,MIN(Reference!$A$11,MIN(D192,210))),Reference!$A$6:$A$11,1))+1)-INDEX(Reference!$A$6:$A$11,MIN(5,MATCH(MAX(Reference!$A$6,MIN(Reference!$A$11,MIN(D192,210))),Reference!$A$6:$A$11,1))))),0)+IF(6&lt;=AE192,(AE192-6+3)*(INDEX(Reference!$B$6:$B$11,MIN(5,MATCH(MAX(Reference!$A$6,MIN(Reference!$A$11,MIN(D192,240))),Reference!$A$6:$A$11,1)))+(MAX(Reference!$A$6,MIN(Reference!$A$11,MIN(D192,240)))-INDEX(Reference!$A$6:$A$11,MIN(5,MATCH(MAX(Reference!$A$6,MIN(Reference!$A$11,MIN(D192,240))),Reference!$A$6:$A$11,1))))*(INDEX(Reference!$B$6:$B$11,MIN(5,MATCH(MAX(Reference!$A$6,MIN(Reference!$A$11,MIN(D192,240))),Reference!$A$6:$A$11,1))+1)-INDEX(Reference!$B$6:$B$11,MIN(5,MATCH(MAX(Reference!$A$6,MIN(Reference!$A$11,MIN(D192,240))),Reference!$A$6:$A$11,1))))/(INDEX(Reference!$A$6:$A$11,MIN(5,MATCH(MAX(Reference!$A$6,MIN(Reference!$A$11,MIN(D192,240))),Reference!$A$6:$A$11,1))+1)-INDEX(Reference!$A$6:$A$11,MIN(5,MATCH(MAX(Reference!$A$6,MIN(Reference!$A$11,MIN(D192,240))),Reference!$A$6:$A$11,1))))),0)+IF(7&lt;=AE192,(AE192-7+3)*(INDEX(Reference!$B$6:$B$11,MIN(5,MATCH(MAX(Reference!$A$6,MIN(Reference!$A$11,MIN(D192,270))),Reference!$A$6:$A$11,1)))+(MAX(Reference!$A$6,MIN(Reference!$A$11,MIN(D192,270)))-INDEX(Reference!$A$6:$A$11,MIN(5,MATCH(MAX(Reference!$A$6,MIN(Reference!$A$11,MIN(D192,270))),Reference!$A$6:$A$11,1))))*(INDEX(Reference!$B$6:$B$11,MIN(5,MATCH(MAX(Reference!$A$6,MIN(Reference!$A$11,MIN(D192,270))),Reference!$A$6:$A$11,1))+1)-INDEX(Reference!$B$6:$B$11,MIN(5,MATCH(MAX(Reference!$A$6,MIN(Reference!$A$11,MIN(D192,270))),Reference!$A$6:$A$11,1))))/(INDEX(Reference!$A$6:$A$11,MIN(5,MATCH(MAX(Reference!$A$6,MIN(Reference!$A$11,MIN(D192,270))),Reference!$A$6:$A$11,1))+1)-INDEX(Reference!$A$6:$A$11,MIN(5,MATCH(MAX(Reference!$A$6,MIN(Reference!$A$11,MIN(D192,270))),Reference!$A$6:$A$11,1))))),0)+IF(8&lt;=AE192,(AE192-8+3)*(INDEX(Reference!$B$6:$B$11,MIN(5,MATCH(MAX(Reference!$A$6,MIN(Reference!$A$11,MIN(D192,300))),Reference!$A$6:$A$11,1)))+(MAX(Reference!$A$6,MIN(Reference!$A$11,MIN(D192,300)))-INDEX(Reference!$A$6:$A$11,MIN(5,MATCH(MAX(Reference!$A$6,MIN(Reference!$A$11,MIN(D192,300))),Reference!$A$6:$A$11,1))))*(INDEX(Reference!$B$6:$B$11,MIN(5,MATCH(MAX(Reference!$A$6,MIN(Reference!$A$11,MIN(D192,300))),Reference!$A$6:$A$11,1))+1)-INDEX(Reference!$B$6:$B$11,MIN(5,MATCH(MAX(Reference!$A$6,MIN(Reference!$A$11,MIN(D192,300))),Reference!$A$6:$A$11,1))))/(INDEX(Reference!$A$6:$A$11,MIN(5,MATCH(MAX(Reference!$A$6,MIN(Reference!$A$11,MIN(D192,300))),Reference!$A$6:$A$11,1))+1)-INDEX(Reference!$A$6:$A$11,MIN(5,MATCH(MAX(Reference!$A$6,MIN(Reference!$A$11,MIN(D192,300))),Reference!$A$6:$A$11,1))))),0))/(AE192*(AE192+5)/2)),(INDEX(Reference!$B$6:$B$11,MIN(5,MATCH(MAX(Reference!$A$6,MIN(Reference!$A$11,D192)),Reference!$A$6:$A$11,1)))+(MAX(Reference!$A$6,MIN(Reference!$A$11,D192))-INDEX(Reference!$A$6:$A$11,MIN(5,MATCH(MAX(Reference!$A$6,MIN(Reference!$A$11,D192)),Reference!$A$6:$A$11,1))))*(INDEX(Reference!$B$6:$B$11,MIN(5,MATCH(MAX(Reference!$A$6,MIN(Reference!$A$11,D192)),Reference!$A$6:$A$11,1))+1)-INDEX(Reference!$B$6:$B$11,MIN(5,MATCH(MAX(Reference!$A$6,MIN(Reference!$A$11,D192)),Reference!$A$6:$A$11,1))))/(INDEX(Reference!$A$6:$A$11,MIN(5,MATCH(MAX(Reference!$A$6,MIN(Reference!$A$11,D192)),Reference!$A$6:$A$11,1))+1)-INDEX(Reference!$A$6:$A$11,MIN(5,MATCH(MAX(Reference!$A$6,MIN(Reference!$A$11,D192)),Reference!$A$6:$A$11,1))))))))</f>
        <v/>
      </c>
      <c r="P192" s="32" t="str">
        <f>IF(N192="","",VLOOKUP(MAX(N192,0),Reference!$A$17:$B$20,2,TRUE()))</f>
        <v/>
      </c>
      <c r="Q192" s="32" t="str">
        <f t="shared" si="21"/>
        <v/>
      </c>
      <c r="R192" s="31"/>
      <c r="S192" s="31"/>
      <c r="T192" s="31"/>
      <c r="U192" s="32" t="str">
        <f t="shared" si="22"/>
        <v/>
      </c>
      <c r="V192" s="32" t="str">
        <f t="shared" si="23"/>
        <v/>
      </c>
      <c r="W192" s="32" t="str">
        <f>IF(V192="","",VLOOKUP(MAX(V192,0),Reference!$A$17:$B$20,2,TRUE()))</f>
        <v/>
      </c>
      <c r="X192" s="31"/>
      <c r="Y192" s="31"/>
      <c r="Z192" s="31"/>
      <c r="AA192" s="32" t="str">
        <f t="shared" si="24"/>
        <v/>
      </c>
      <c r="AB192" s="32" t="str">
        <f t="shared" si="25"/>
        <v/>
      </c>
      <c r="AC192" s="32" t="str">
        <f>IF(AB192="","",VLOOKUP(MAX(AB192,0),Reference!$A$17:$B$20,2,TRUE()))</f>
        <v/>
      </c>
      <c r="AD192" s="31"/>
      <c r="AE192">
        <f t="shared" si="26"/>
        <v>1</v>
      </c>
      <c r="AF192" s="33" t="str">
        <f>IF(OR(A192="",B192="",AND(C192&lt;&gt;"Bullpen",C192&lt;&gt;"Game")),"",IF((COUNTIFS($B$5:$B$300,B192,$A$5:$A$300,A192-1,$C$5:$C$300,"Bullpen",$AG$5:$AG$300,"&gt;0") + COUNTIFS($B$5:$B$300,B192,$A$5:$A$300,A192-1,$C$5:$C$300,"Game",$AG$5:$AG$300,"&gt;0"))&gt;0,Reference!$B$119,IF((COUNTIFS($B$5:$B$300,B192,$A$5:$A$300,A192-2,$C$5:$C$300,"Bullpen",$AG$5:$AG$300,"&gt;0") + COUNTIFS($B$5:$B$300,B192,$A$5:$A$300,A192-2,$C$5:$C$300,"Game",$AG$5:$AG$300,"&gt;0"))&gt;0,Reference!$B$120,1)))</f>
        <v/>
      </c>
      <c r="AG192" s="30" t="str">
        <f>IF(AND(OR(I192="",O192="",P192=""),OR(R192="",W192=""),OR(X192="",AC192="")),"",IF(OR(I192="",O192="",P192=""),0,I192*O192*P192)+IF(OR(R192="",W192=""),0,R192*IFERROR(INDEX(Reference!$B$61:$B$62,MATCH("Bullpen",Reference!$A$61:$A$62,0)),0)*W192)+IF(OR(X192="",AC192=""),0,X192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192))</f>
        <v/>
      </c>
    </row>
    <row r="193" spans="1:33" x14ac:dyDescent="0.3">
      <c r="A193" s="35"/>
      <c r="B193" s="31"/>
      <c r="C193" s="31"/>
      <c r="D193" s="31"/>
      <c r="E193" s="34"/>
      <c r="F193" s="34"/>
      <c r="G193" s="30" t="str">
        <f t="shared" si="18"/>
        <v/>
      </c>
      <c r="H193" s="31"/>
      <c r="I193" s="32" t="str">
        <f>IF(H193&lt;&gt;"",H193,IF(G193="","",ROUND(G193*IFERROR(INDEX(Reference!$B$44:$B$50,MATCH(C193,Reference!$A$44:$A$50,0)),0),0)))</f>
        <v/>
      </c>
      <c r="J193" s="31"/>
      <c r="K193" s="31"/>
      <c r="L193" s="32" t="str">
        <f t="shared" si="19"/>
        <v/>
      </c>
      <c r="M193" s="32" t="str">
        <f>IFERROR(INDEX(Roster!$D$5:$D$40,MATCH(B193,Roster!$A$5:$A$40,0)),"")</f>
        <v/>
      </c>
      <c r="N193" s="32" t="str">
        <f t="shared" si="20"/>
        <v/>
      </c>
      <c r="O193" s="32" t="str">
        <f>IF(OR(C193="Bullpen",C193="Game"),IFERROR(INDEX(Reference!$B$61:$B$62,MATCH(C193,Reference!$A$61:$A$62,0)),""),IF(D193="","",IF(AE193&gt;1,((IF(1&lt;=AE193,(AE193-1+3)*(INDEX(Reference!$B$6:$B$11,MIN(5,MATCH(MAX(Reference!$A$6,MIN(Reference!$A$11,MIN(D193,90))),Reference!$A$6:$A$11,1)))+(MAX(Reference!$A$6,MIN(Reference!$A$11,MIN(D193,90)))-INDEX(Reference!$A$6:$A$11,MIN(5,MATCH(MAX(Reference!$A$6,MIN(Reference!$A$11,MIN(D193,90))),Reference!$A$6:$A$11,1))))*(INDEX(Reference!$B$6:$B$11,MIN(5,MATCH(MAX(Reference!$A$6,MIN(Reference!$A$11,MIN(D193,90))),Reference!$A$6:$A$11,1))+1)-INDEX(Reference!$B$6:$B$11,MIN(5,MATCH(MAX(Reference!$A$6,MIN(Reference!$A$11,MIN(D193,90))),Reference!$A$6:$A$11,1))))/(INDEX(Reference!$A$6:$A$11,MIN(5,MATCH(MAX(Reference!$A$6,MIN(Reference!$A$11,MIN(D193,90))),Reference!$A$6:$A$11,1))+1)-INDEX(Reference!$A$6:$A$11,MIN(5,MATCH(MAX(Reference!$A$6,MIN(Reference!$A$11,MIN(D193,90))),Reference!$A$6:$A$11,1))))),0)+IF(2&lt;=AE193,(AE193-2+3)*(INDEX(Reference!$B$6:$B$11,MIN(5,MATCH(MAX(Reference!$A$6,MIN(Reference!$A$11,MIN(D193,120))),Reference!$A$6:$A$11,1)))+(MAX(Reference!$A$6,MIN(Reference!$A$11,MIN(D193,120)))-INDEX(Reference!$A$6:$A$11,MIN(5,MATCH(MAX(Reference!$A$6,MIN(Reference!$A$11,MIN(D193,120))),Reference!$A$6:$A$11,1))))*(INDEX(Reference!$B$6:$B$11,MIN(5,MATCH(MAX(Reference!$A$6,MIN(Reference!$A$11,MIN(D193,120))),Reference!$A$6:$A$11,1))+1)-INDEX(Reference!$B$6:$B$11,MIN(5,MATCH(MAX(Reference!$A$6,MIN(Reference!$A$11,MIN(D193,120))),Reference!$A$6:$A$11,1))))/(INDEX(Reference!$A$6:$A$11,MIN(5,MATCH(MAX(Reference!$A$6,MIN(Reference!$A$11,MIN(D193,120))),Reference!$A$6:$A$11,1))+1)-INDEX(Reference!$A$6:$A$11,MIN(5,MATCH(MAX(Reference!$A$6,MIN(Reference!$A$11,MIN(D193,120))),Reference!$A$6:$A$11,1))))),0)+IF(3&lt;=AE193,(AE193-3+3)*(INDEX(Reference!$B$6:$B$11,MIN(5,MATCH(MAX(Reference!$A$6,MIN(Reference!$A$11,MIN(D193,150))),Reference!$A$6:$A$11,1)))+(MAX(Reference!$A$6,MIN(Reference!$A$11,MIN(D193,150)))-INDEX(Reference!$A$6:$A$11,MIN(5,MATCH(MAX(Reference!$A$6,MIN(Reference!$A$11,MIN(D193,150))),Reference!$A$6:$A$11,1))))*(INDEX(Reference!$B$6:$B$11,MIN(5,MATCH(MAX(Reference!$A$6,MIN(Reference!$A$11,MIN(D193,150))),Reference!$A$6:$A$11,1))+1)-INDEX(Reference!$B$6:$B$11,MIN(5,MATCH(MAX(Reference!$A$6,MIN(Reference!$A$11,MIN(D193,150))),Reference!$A$6:$A$11,1))))/(INDEX(Reference!$A$6:$A$11,MIN(5,MATCH(MAX(Reference!$A$6,MIN(Reference!$A$11,MIN(D193,150))),Reference!$A$6:$A$11,1))+1)-INDEX(Reference!$A$6:$A$11,MIN(5,MATCH(MAX(Reference!$A$6,MIN(Reference!$A$11,MIN(D193,150))),Reference!$A$6:$A$11,1))))),0)+IF(4&lt;=AE193,(AE193-4+3)*(INDEX(Reference!$B$6:$B$11,MIN(5,MATCH(MAX(Reference!$A$6,MIN(Reference!$A$11,MIN(D193,180))),Reference!$A$6:$A$11,1)))+(MAX(Reference!$A$6,MIN(Reference!$A$11,MIN(D193,180)))-INDEX(Reference!$A$6:$A$11,MIN(5,MATCH(MAX(Reference!$A$6,MIN(Reference!$A$11,MIN(D193,180))),Reference!$A$6:$A$11,1))))*(INDEX(Reference!$B$6:$B$11,MIN(5,MATCH(MAX(Reference!$A$6,MIN(Reference!$A$11,MIN(D193,180))),Reference!$A$6:$A$11,1))+1)-INDEX(Reference!$B$6:$B$11,MIN(5,MATCH(MAX(Reference!$A$6,MIN(Reference!$A$11,MIN(D193,180))),Reference!$A$6:$A$11,1))))/(INDEX(Reference!$A$6:$A$11,MIN(5,MATCH(MAX(Reference!$A$6,MIN(Reference!$A$11,MIN(D193,180))),Reference!$A$6:$A$11,1))+1)-INDEX(Reference!$A$6:$A$11,MIN(5,MATCH(MAX(Reference!$A$6,MIN(Reference!$A$11,MIN(D193,180))),Reference!$A$6:$A$11,1))))),0)+IF(5&lt;=AE193,(AE193-5+3)*(INDEX(Reference!$B$6:$B$11,MIN(5,MATCH(MAX(Reference!$A$6,MIN(Reference!$A$11,MIN(D193,210))),Reference!$A$6:$A$11,1)))+(MAX(Reference!$A$6,MIN(Reference!$A$11,MIN(D193,210)))-INDEX(Reference!$A$6:$A$11,MIN(5,MATCH(MAX(Reference!$A$6,MIN(Reference!$A$11,MIN(D193,210))),Reference!$A$6:$A$11,1))))*(INDEX(Reference!$B$6:$B$11,MIN(5,MATCH(MAX(Reference!$A$6,MIN(Reference!$A$11,MIN(D193,210))),Reference!$A$6:$A$11,1))+1)-INDEX(Reference!$B$6:$B$11,MIN(5,MATCH(MAX(Reference!$A$6,MIN(Reference!$A$11,MIN(D193,210))),Reference!$A$6:$A$11,1))))/(INDEX(Reference!$A$6:$A$11,MIN(5,MATCH(MAX(Reference!$A$6,MIN(Reference!$A$11,MIN(D193,210))),Reference!$A$6:$A$11,1))+1)-INDEX(Reference!$A$6:$A$11,MIN(5,MATCH(MAX(Reference!$A$6,MIN(Reference!$A$11,MIN(D193,210))),Reference!$A$6:$A$11,1))))),0)+IF(6&lt;=AE193,(AE193-6+3)*(INDEX(Reference!$B$6:$B$11,MIN(5,MATCH(MAX(Reference!$A$6,MIN(Reference!$A$11,MIN(D193,240))),Reference!$A$6:$A$11,1)))+(MAX(Reference!$A$6,MIN(Reference!$A$11,MIN(D193,240)))-INDEX(Reference!$A$6:$A$11,MIN(5,MATCH(MAX(Reference!$A$6,MIN(Reference!$A$11,MIN(D193,240))),Reference!$A$6:$A$11,1))))*(INDEX(Reference!$B$6:$B$11,MIN(5,MATCH(MAX(Reference!$A$6,MIN(Reference!$A$11,MIN(D193,240))),Reference!$A$6:$A$11,1))+1)-INDEX(Reference!$B$6:$B$11,MIN(5,MATCH(MAX(Reference!$A$6,MIN(Reference!$A$11,MIN(D193,240))),Reference!$A$6:$A$11,1))))/(INDEX(Reference!$A$6:$A$11,MIN(5,MATCH(MAX(Reference!$A$6,MIN(Reference!$A$11,MIN(D193,240))),Reference!$A$6:$A$11,1))+1)-INDEX(Reference!$A$6:$A$11,MIN(5,MATCH(MAX(Reference!$A$6,MIN(Reference!$A$11,MIN(D193,240))),Reference!$A$6:$A$11,1))))),0)+IF(7&lt;=AE193,(AE193-7+3)*(INDEX(Reference!$B$6:$B$11,MIN(5,MATCH(MAX(Reference!$A$6,MIN(Reference!$A$11,MIN(D193,270))),Reference!$A$6:$A$11,1)))+(MAX(Reference!$A$6,MIN(Reference!$A$11,MIN(D193,270)))-INDEX(Reference!$A$6:$A$11,MIN(5,MATCH(MAX(Reference!$A$6,MIN(Reference!$A$11,MIN(D193,270))),Reference!$A$6:$A$11,1))))*(INDEX(Reference!$B$6:$B$11,MIN(5,MATCH(MAX(Reference!$A$6,MIN(Reference!$A$11,MIN(D193,270))),Reference!$A$6:$A$11,1))+1)-INDEX(Reference!$B$6:$B$11,MIN(5,MATCH(MAX(Reference!$A$6,MIN(Reference!$A$11,MIN(D193,270))),Reference!$A$6:$A$11,1))))/(INDEX(Reference!$A$6:$A$11,MIN(5,MATCH(MAX(Reference!$A$6,MIN(Reference!$A$11,MIN(D193,270))),Reference!$A$6:$A$11,1))+1)-INDEX(Reference!$A$6:$A$11,MIN(5,MATCH(MAX(Reference!$A$6,MIN(Reference!$A$11,MIN(D193,270))),Reference!$A$6:$A$11,1))))),0)+IF(8&lt;=AE193,(AE193-8+3)*(INDEX(Reference!$B$6:$B$11,MIN(5,MATCH(MAX(Reference!$A$6,MIN(Reference!$A$11,MIN(D193,300))),Reference!$A$6:$A$11,1)))+(MAX(Reference!$A$6,MIN(Reference!$A$11,MIN(D193,300)))-INDEX(Reference!$A$6:$A$11,MIN(5,MATCH(MAX(Reference!$A$6,MIN(Reference!$A$11,MIN(D193,300))),Reference!$A$6:$A$11,1))))*(INDEX(Reference!$B$6:$B$11,MIN(5,MATCH(MAX(Reference!$A$6,MIN(Reference!$A$11,MIN(D193,300))),Reference!$A$6:$A$11,1))+1)-INDEX(Reference!$B$6:$B$11,MIN(5,MATCH(MAX(Reference!$A$6,MIN(Reference!$A$11,MIN(D193,300))),Reference!$A$6:$A$11,1))))/(INDEX(Reference!$A$6:$A$11,MIN(5,MATCH(MAX(Reference!$A$6,MIN(Reference!$A$11,MIN(D193,300))),Reference!$A$6:$A$11,1))+1)-INDEX(Reference!$A$6:$A$11,MIN(5,MATCH(MAX(Reference!$A$6,MIN(Reference!$A$11,MIN(D193,300))),Reference!$A$6:$A$11,1))))),0))/(AE193*(AE193+5)/2)),(INDEX(Reference!$B$6:$B$11,MIN(5,MATCH(MAX(Reference!$A$6,MIN(Reference!$A$11,D193)),Reference!$A$6:$A$11,1)))+(MAX(Reference!$A$6,MIN(Reference!$A$11,D193))-INDEX(Reference!$A$6:$A$11,MIN(5,MATCH(MAX(Reference!$A$6,MIN(Reference!$A$11,D193)),Reference!$A$6:$A$11,1))))*(INDEX(Reference!$B$6:$B$11,MIN(5,MATCH(MAX(Reference!$A$6,MIN(Reference!$A$11,D193)),Reference!$A$6:$A$11,1))+1)-INDEX(Reference!$B$6:$B$11,MIN(5,MATCH(MAX(Reference!$A$6,MIN(Reference!$A$11,D193)),Reference!$A$6:$A$11,1))))/(INDEX(Reference!$A$6:$A$11,MIN(5,MATCH(MAX(Reference!$A$6,MIN(Reference!$A$11,D193)),Reference!$A$6:$A$11,1))+1)-INDEX(Reference!$A$6:$A$11,MIN(5,MATCH(MAX(Reference!$A$6,MIN(Reference!$A$11,D193)),Reference!$A$6:$A$11,1))))))))</f>
        <v/>
      </c>
      <c r="P193" s="32" t="str">
        <f>IF(N193="","",VLOOKUP(MAX(N193,0),Reference!$A$17:$B$20,2,TRUE()))</f>
        <v/>
      </c>
      <c r="Q193" s="32" t="str">
        <f t="shared" si="21"/>
        <v/>
      </c>
      <c r="R193" s="31"/>
      <c r="S193" s="31"/>
      <c r="T193" s="31"/>
      <c r="U193" s="32" t="str">
        <f t="shared" si="22"/>
        <v/>
      </c>
      <c r="V193" s="32" t="str">
        <f t="shared" si="23"/>
        <v/>
      </c>
      <c r="W193" s="32" t="str">
        <f>IF(V193="","",VLOOKUP(MAX(V193,0),Reference!$A$17:$B$20,2,TRUE()))</f>
        <v/>
      </c>
      <c r="X193" s="31"/>
      <c r="Y193" s="31"/>
      <c r="Z193" s="31"/>
      <c r="AA193" s="32" t="str">
        <f t="shared" si="24"/>
        <v/>
      </c>
      <c r="AB193" s="32" t="str">
        <f t="shared" si="25"/>
        <v/>
      </c>
      <c r="AC193" s="32" t="str">
        <f>IF(AB193="","",VLOOKUP(MAX(AB193,0),Reference!$A$17:$B$20,2,TRUE()))</f>
        <v/>
      </c>
      <c r="AD193" s="31"/>
      <c r="AE193">
        <f t="shared" si="26"/>
        <v>1</v>
      </c>
      <c r="AF193" s="33" t="str">
        <f>IF(OR(A193="",B193="",AND(C193&lt;&gt;"Bullpen",C193&lt;&gt;"Game")),"",IF((COUNTIFS($B$5:$B$300,B193,$A$5:$A$300,A193-1,$C$5:$C$300,"Bullpen",$AG$5:$AG$300,"&gt;0") + COUNTIFS($B$5:$B$300,B193,$A$5:$A$300,A193-1,$C$5:$C$300,"Game",$AG$5:$AG$300,"&gt;0"))&gt;0,Reference!$B$119,IF((COUNTIFS($B$5:$B$300,B193,$A$5:$A$300,A193-2,$C$5:$C$300,"Bullpen",$AG$5:$AG$300,"&gt;0") + COUNTIFS($B$5:$B$300,B193,$A$5:$A$300,A193-2,$C$5:$C$300,"Game",$AG$5:$AG$300,"&gt;0"))&gt;0,Reference!$B$120,1)))</f>
        <v/>
      </c>
      <c r="AG193" s="30" t="str">
        <f>IF(AND(OR(I193="",O193="",P193=""),OR(R193="",W193=""),OR(X193="",AC193="")),"",IF(OR(I193="",O193="",P193=""),0,I193*O193*P193)+IF(OR(R193="",W193=""),0,R193*IFERROR(INDEX(Reference!$B$61:$B$62,MATCH("Bullpen",Reference!$A$61:$A$62,0)),0)*W193)+IF(OR(X193="",AC193=""),0,X193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193))</f>
        <v/>
      </c>
    </row>
    <row r="194" spans="1:33" x14ac:dyDescent="0.3">
      <c r="A194" s="35"/>
      <c r="B194" s="31"/>
      <c r="C194" s="31"/>
      <c r="D194" s="31"/>
      <c r="E194" s="34"/>
      <c r="F194" s="34"/>
      <c r="G194" s="30" t="str">
        <f t="shared" si="18"/>
        <v/>
      </c>
      <c r="H194" s="31"/>
      <c r="I194" s="32" t="str">
        <f>IF(H194&lt;&gt;"",H194,IF(G194="","",ROUND(G194*IFERROR(INDEX(Reference!$B$44:$B$50,MATCH(C194,Reference!$A$44:$A$50,0)),0),0)))</f>
        <v/>
      </c>
      <c r="J194" s="31"/>
      <c r="K194" s="31"/>
      <c r="L194" s="32" t="str">
        <f t="shared" si="19"/>
        <v/>
      </c>
      <c r="M194" s="32" t="str">
        <f>IFERROR(INDEX(Roster!$D$5:$D$40,MATCH(B194,Roster!$A$5:$A$40,0)),"")</f>
        <v/>
      </c>
      <c r="N194" s="32" t="str">
        <f t="shared" si="20"/>
        <v/>
      </c>
      <c r="O194" s="32" t="str">
        <f>IF(OR(C194="Bullpen",C194="Game"),IFERROR(INDEX(Reference!$B$61:$B$62,MATCH(C194,Reference!$A$61:$A$62,0)),""),IF(D194="","",IF(AE194&gt;1,((IF(1&lt;=AE194,(AE194-1+3)*(INDEX(Reference!$B$6:$B$11,MIN(5,MATCH(MAX(Reference!$A$6,MIN(Reference!$A$11,MIN(D194,90))),Reference!$A$6:$A$11,1)))+(MAX(Reference!$A$6,MIN(Reference!$A$11,MIN(D194,90)))-INDEX(Reference!$A$6:$A$11,MIN(5,MATCH(MAX(Reference!$A$6,MIN(Reference!$A$11,MIN(D194,90))),Reference!$A$6:$A$11,1))))*(INDEX(Reference!$B$6:$B$11,MIN(5,MATCH(MAX(Reference!$A$6,MIN(Reference!$A$11,MIN(D194,90))),Reference!$A$6:$A$11,1))+1)-INDEX(Reference!$B$6:$B$11,MIN(5,MATCH(MAX(Reference!$A$6,MIN(Reference!$A$11,MIN(D194,90))),Reference!$A$6:$A$11,1))))/(INDEX(Reference!$A$6:$A$11,MIN(5,MATCH(MAX(Reference!$A$6,MIN(Reference!$A$11,MIN(D194,90))),Reference!$A$6:$A$11,1))+1)-INDEX(Reference!$A$6:$A$11,MIN(5,MATCH(MAX(Reference!$A$6,MIN(Reference!$A$11,MIN(D194,90))),Reference!$A$6:$A$11,1))))),0)+IF(2&lt;=AE194,(AE194-2+3)*(INDEX(Reference!$B$6:$B$11,MIN(5,MATCH(MAX(Reference!$A$6,MIN(Reference!$A$11,MIN(D194,120))),Reference!$A$6:$A$11,1)))+(MAX(Reference!$A$6,MIN(Reference!$A$11,MIN(D194,120)))-INDEX(Reference!$A$6:$A$11,MIN(5,MATCH(MAX(Reference!$A$6,MIN(Reference!$A$11,MIN(D194,120))),Reference!$A$6:$A$11,1))))*(INDEX(Reference!$B$6:$B$11,MIN(5,MATCH(MAX(Reference!$A$6,MIN(Reference!$A$11,MIN(D194,120))),Reference!$A$6:$A$11,1))+1)-INDEX(Reference!$B$6:$B$11,MIN(5,MATCH(MAX(Reference!$A$6,MIN(Reference!$A$11,MIN(D194,120))),Reference!$A$6:$A$11,1))))/(INDEX(Reference!$A$6:$A$11,MIN(5,MATCH(MAX(Reference!$A$6,MIN(Reference!$A$11,MIN(D194,120))),Reference!$A$6:$A$11,1))+1)-INDEX(Reference!$A$6:$A$11,MIN(5,MATCH(MAX(Reference!$A$6,MIN(Reference!$A$11,MIN(D194,120))),Reference!$A$6:$A$11,1))))),0)+IF(3&lt;=AE194,(AE194-3+3)*(INDEX(Reference!$B$6:$B$11,MIN(5,MATCH(MAX(Reference!$A$6,MIN(Reference!$A$11,MIN(D194,150))),Reference!$A$6:$A$11,1)))+(MAX(Reference!$A$6,MIN(Reference!$A$11,MIN(D194,150)))-INDEX(Reference!$A$6:$A$11,MIN(5,MATCH(MAX(Reference!$A$6,MIN(Reference!$A$11,MIN(D194,150))),Reference!$A$6:$A$11,1))))*(INDEX(Reference!$B$6:$B$11,MIN(5,MATCH(MAX(Reference!$A$6,MIN(Reference!$A$11,MIN(D194,150))),Reference!$A$6:$A$11,1))+1)-INDEX(Reference!$B$6:$B$11,MIN(5,MATCH(MAX(Reference!$A$6,MIN(Reference!$A$11,MIN(D194,150))),Reference!$A$6:$A$11,1))))/(INDEX(Reference!$A$6:$A$11,MIN(5,MATCH(MAX(Reference!$A$6,MIN(Reference!$A$11,MIN(D194,150))),Reference!$A$6:$A$11,1))+1)-INDEX(Reference!$A$6:$A$11,MIN(5,MATCH(MAX(Reference!$A$6,MIN(Reference!$A$11,MIN(D194,150))),Reference!$A$6:$A$11,1))))),0)+IF(4&lt;=AE194,(AE194-4+3)*(INDEX(Reference!$B$6:$B$11,MIN(5,MATCH(MAX(Reference!$A$6,MIN(Reference!$A$11,MIN(D194,180))),Reference!$A$6:$A$11,1)))+(MAX(Reference!$A$6,MIN(Reference!$A$11,MIN(D194,180)))-INDEX(Reference!$A$6:$A$11,MIN(5,MATCH(MAX(Reference!$A$6,MIN(Reference!$A$11,MIN(D194,180))),Reference!$A$6:$A$11,1))))*(INDEX(Reference!$B$6:$B$11,MIN(5,MATCH(MAX(Reference!$A$6,MIN(Reference!$A$11,MIN(D194,180))),Reference!$A$6:$A$11,1))+1)-INDEX(Reference!$B$6:$B$11,MIN(5,MATCH(MAX(Reference!$A$6,MIN(Reference!$A$11,MIN(D194,180))),Reference!$A$6:$A$11,1))))/(INDEX(Reference!$A$6:$A$11,MIN(5,MATCH(MAX(Reference!$A$6,MIN(Reference!$A$11,MIN(D194,180))),Reference!$A$6:$A$11,1))+1)-INDEX(Reference!$A$6:$A$11,MIN(5,MATCH(MAX(Reference!$A$6,MIN(Reference!$A$11,MIN(D194,180))),Reference!$A$6:$A$11,1))))),0)+IF(5&lt;=AE194,(AE194-5+3)*(INDEX(Reference!$B$6:$B$11,MIN(5,MATCH(MAX(Reference!$A$6,MIN(Reference!$A$11,MIN(D194,210))),Reference!$A$6:$A$11,1)))+(MAX(Reference!$A$6,MIN(Reference!$A$11,MIN(D194,210)))-INDEX(Reference!$A$6:$A$11,MIN(5,MATCH(MAX(Reference!$A$6,MIN(Reference!$A$11,MIN(D194,210))),Reference!$A$6:$A$11,1))))*(INDEX(Reference!$B$6:$B$11,MIN(5,MATCH(MAX(Reference!$A$6,MIN(Reference!$A$11,MIN(D194,210))),Reference!$A$6:$A$11,1))+1)-INDEX(Reference!$B$6:$B$11,MIN(5,MATCH(MAX(Reference!$A$6,MIN(Reference!$A$11,MIN(D194,210))),Reference!$A$6:$A$11,1))))/(INDEX(Reference!$A$6:$A$11,MIN(5,MATCH(MAX(Reference!$A$6,MIN(Reference!$A$11,MIN(D194,210))),Reference!$A$6:$A$11,1))+1)-INDEX(Reference!$A$6:$A$11,MIN(5,MATCH(MAX(Reference!$A$6,MIN(Reference!$A$11,MIN(D194,210))),Reference!$A$6:$A$11,1))))),0)+IF(6&lt;=AE194,(AE194-6+3)*(INDEX(Reference!$B$6:$B$11,MIN(5,MATCH(MAX(Reference!$A$6,MIN(Reference!$A$11,MIN(D194,240))),Reference!$A$6:$A$11,1)))+(MAX(Reference!$A$6,MIN(Reference!$A$11,MIN(D194,240)))-INDEX(Reference!$A$6:$A$11,MIN(5,MATCH(MAX(Reference!$A$6,MIN(Reference!$A$11,MIN(D194,240))),Reference!$A$6:$A$11,1))))*(INDEX(Reference!$B$6:$B$11,MIN(5,MATCH(MAX(Reference!$A$6,MIN(Reference!$A$11,MIN(D194,240))),Reference!$A$6:$A$11,1))+1)-INDEX(Reference!$B$6:$B$11,MIN(5,MATCH(MAX(Reference!$A$6,MIN(Reference!$A$11,MIN(D194,240))),Reference!$A$6:$A$11,1))))/(INDEX(Reference!$A$6:$A$11,MIN(5,MATCH(MAX(Reference!$A$6,MIN(Reference!$A$11,MIN(D194,240))),Reference!$A$6:$A$11,1))+1)-INDEX(Reference!$A$6:$A$11,MIN(5,MATCH(MAX(Reference!$A$6,MIN(Reference!$A$11,MIN(D194,240))),Reference!$A$6:$A$11,1))))),0)+IF(7&lt;=AE194,(AE194-7+3)*(INDEX(Reference!$B$6:$B$11,MIN(5,MATCH(MAX(Reference!$A$6,MIN(Reference!$A$11,MIN(D194,270))),Reference!$A$6:$A$11,1)))+(MAX(Reference!$A$6,MIN(Reference!$A$11,MIN(D194,270)))-INDEX(Reference!$A$6:$A$11,MIN(5,MATCH(MAX(Reference!$A$6,MIN(Reference!$A$11,MIN(D194,270))),Reference!$A$6:$A$11,1))))*(INDEX(Reference!$B$6:$B$11,MIN(5,MATCH(MAX(Reference!$A$6,MIN(Reference!$A$11,MIN(D194,270))),Reference!$A$6:$A$11,1))+1)-INDEX(Reference!$B$6:$B$11,MIN(5,MATCH(MAX(Reference!$A$6,MIN(Reference!$A$11,MIN(D194,270))),Reference!$A$6:$A$11,1))))/(INDEX(Reference!$A$6:$A$11,MIN(5,MATCH(MAX(Reference!$A$6,MIN(Reference!$A$11,MIN(D194,270))),Reference!$A$6:$A$11,1))+1)-INDEX(Reference!$A$6:$A$11,MIN(5,MATCH(MAX(Reference!$A$6,MIN(Reference!$A$11,MIN(D194,270))),Reference!$A$6:$A$11,1))))),0)+IF(8&lt;=AE194,(AE194-8+3)*(INDEX(Reference!$B$6:$B$11,MIN(5,MATCH(MAX(Reference!$A$6,MIN(Reference!$A$11,MIN(D194,300))),Reference!$A$6:$A$11,1)))+(MAX(Reference!$A$6,MIN(Reference!$A$11,MIN(D194,300)))-INDEX(Reference!$A$6:$A$11,MIN(5,MATCH(MAX(Reference!$A$6,MIN(Reference!$A$11,MIN(D194,300))),Reference!$A$6:$A$11,1))))*(INDEX(Reference!$B$6:$B$11,MIN(5,MATCH(MAX(Reference!$A$6,MIN(Reference!$A$11,MIN(D194,300))),Reference!$A$6:$A$11,1))+1)-INDEX(Reference!$B$6:$B$11,MIN(5,MATCH(MAX(Reference!$A$6,MIN(Reference!$A$11,MIN(D194,300))),Reference!$A$6:$A$11,1))))/(INDEX(Reference!$A$6:$A$11,MIN(5,MATCH(MAX(Reference!$A$6,MIN(Reference!$A$11,MIN(D194,300))),Reference!$A$6:$A$11,1))+1)-INDEX(Reference!$A$6:$A$11,MIN(5,MATCH(MAX(Reference!$A$6,MIN(Reference!$A$11,MIN(D194,300))),Reference!$A$6:$A$11,1))))),0))/(AE194*(AE194+5)/2)),(INDEX(Reference!$B$6:$B$11,MIN(5,MATCH(MAX(Reference!$A$6,MIN(Reference!$A$11,D194)),Reference!$A$6:$A$11,1)))+(MAX(Reference!$A$6,MIN(Reference!$A$11,D194))-INDEX(Reference!$A$6:$A$11,MIN(5,MATCH(MAX(Reference!$A$6,MIN(Reference!$A$11,D194)),Reference!$A$6:$A$11,1))))*(INDEX(Reference!$B$6:$B$11,MIN(5,MATCH(MAX(Reference!$A$6,MIN(Reference!$A$11,D194)),Reference!$A$6:$A$11,1))+1)-INDEX(Reference!$B$6:$B$11,MIN(5,MATCH(MAX(Reference!$A$6,MIN(Reference!$A$11,D194)),Reference!$A$6:$A$11,1))))/(INDEX(Reference!$A$6:$A$11,MIN(5,MATCH(MAX(Reference!$A$6,MIN(Reference!$A$11,D194)),Reference!$A$6:$A$11,1))+1)-INDEX(Reference!$A$6:$A$11,MIN(5,MATCH(MAX(Reference!$A$6,MIN(Reference!$A$11,D194)),Reference!$A$6:$A$11,1))))))))</f>
        <v/>
      </c>
      <c r="P194" s="32" t="str">
        <f>IF(N194="","",VLOOKUP(MAX(N194,0),Reference!$A$17:$B$20,2,TRUE()))</f>
        <v/>
      </c>
      <c r="Q194" s="32" t="str">
        <f t="shared" si="21"/>
        <v/>
      </c>
      <c r="R194" s="31"/>
      <c r="S194" s="31"/>
      <c r="T194" s="31"/>
      <c r="U194" s="32" t="str">
        <f t="shared" si="22"/>
        <v/>
      </c>
      <c r="V194" s="32" t="str">
        <f t="shared" si="23"/>
        <v/>
      </c>
      <c r="W194" s="32" t="str">
        <f>IF(V194="","",VLOOKUP(MAX(V194,0),Reference!$A$17:$B$20,2,TRUE()))</f>
        <v/>
      </c>
      <c r="X194" s="31"/>
      <c r="Y194" s="31"/>
      <c r="Z194" s="31"/>
      <c r="AA194" s="32" t="str">
        <f t="shared" si="24"/>
        <v/>
      </c>
      <c r="AB194" s="32" t="str">
        <f t="shared" si="25"/>
        <v/>
      </c>
      <c r="AC194" s="32" t="str">
        <f>IF(AB194="","",VLOOKUP(MAX(AB194,0),Reference!$A$17:$B$20,2,TRUE()))</f>
        <v/>
      </c>
      <c r="AD194" s="31"/>
      <c r="AE194">
        <f t="shared" si="26"/>
        <v>1</v>
      </c>
      <c r="AF194" s="33" t="str">
        <f>IF(OR(A194="",B194="",AND(C194&lt;&gt;"Bullpen",C194&lt;&gt;"Game")),"",IF((COUNTIFS($B$5:$B$300,B194,$A$5:$A$300,A194-1,$C$5:$C$300,"Bullpen",$AG$5:$AG$300,"&gt;0") + COUNTIFS($B$5:$B$300,B194,$A$5:$A$300,A194-1,$C$5:$C$300,"Game",$AG$5:$AG$300,"&gt;0"))&gt;0,Reference!$B$119,IF((COUNTIFS($B$5:$B$300,B194,$A$5:$A$300,A194-2,$C$5:$C$300,"Bullpen",$AG$5:$AG$300,"&gt;0") + COUNTIFS($B$5:$B$300,B194,$A$5:$A$300,A194-2,$C$5:$C$300,"Game",$AG$5:$AG$300,"&gt;0"))&gt;0,Reference!$B$120,1)))</f>
        <v/>
      </c>
      <c r="AG194" s="30" t="str">
        <f>IF(AND(OR(I194="",O194="",P194=""),OR(R194="",W194=""),OR(X194="",AC194="")),"",IF(OR(I194="",O194="",P194=""),0,I194*O194*P194)+IF(OR(R194="",W194=""),0,R194*IFERROR(INDEX(Reference!$B$61:$B$62,MATCH("Bullpen",Reference!$A$61:$A$62,0)),0)*W194)+IF(OR(X194="",AC194=""),0,X194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194))</f>
        <v/>
      </c>
    </row>
    <row r="195" spans="1:33" x14ac:dyDescent="0.3">
      <c r="A195" s="35"/>
      <c r="B195" s="31"/>
      <c r="C195" s="31"/>
      <c r="D195" s="31"/>
      <c r="E195" s="34"/>
      <c r="F195" s="34"/>
      <c r="G195" s="30" t="str">
        <f t="shared" si="18"/>
        <v/>
      </c>
      <c r="H195" s="31"/>
      <c r="I195" s="32" t="str">
        <f>IF(H195&lt;&gt;"",H195,IF(G195="","",ROUND(G195*IFERROR(INDEX(Reference!$B$44:$B$50,MATCH(C195,Reference!$A$44:$A$50,0)),0),0)))</f>
        <v/>
      </c>
      <c r="J195" s="31"/>
      <c r="K195" s="31"/>
      <c r="L195" s="32" t="str">
        <f t="shared" si="19"/>
        <v/>
      </c>
      <c r="M195" s="32" t="str">
        <f>IFERROR(INDEX(Roster!$D$5:$D$40,MATCH(B195,Roster!$A$5:$A$40,0)),"")</f>
        <v/>
      </c>
      <c r="N195" s="32" t="str">
        <f t="shared" si="20"/>
        <v/>
      </c>
      <c r="O195" s="32" t="str">
        <f>IF(OR(C195="Bullpen",C195="Game"),IFERROR(INDEX(Reference!$B$61:$B$62,MATCH(C195,Reference!$A$61:$A$62,0)),""),IF(D195="","",IF(AE195&gt;1,((IF(1&lt;=AE195,(AE195-1+3)*(INDEX(Reference!$B$6:$B$11,MIN(5,MATCH(MAX(Reference!$A$6,MIN(Reference!$A$11,MIN(D195,90))),Reference!$A$6:$A$11,1)))+(MAX(Reference!$A$6,MIN(Reference!$A$11,MIN(D195,90)))-INDEX(Reference!$A$6:$A$11,MIN(5,MATCH(MAX(Reference!$A$6,MIN(Reference!$A$11,MIN(D195,90))),Reference!$A$6:$A$11,1))))*(INDEX(Reference!$B$6:$B$11,MIN(5,MATCH(MAX(Reference!$A$6,MIN(Reference!$A$11,MIN(D195,90))),Reference!$A$6:$A$11,1))+1)-INDEX(Reference!$B$6:$B$11,MIN(5,MATCH(MAX(Reference!$A$6,MIN(Reference!$A$11,MIN(D195,90))),Reference!$A$6:$A$11,1))))/(INDEX(Reference!$A$6:$A$11,MIN(5,MATCH(MAX(Reference!$A$6,MIN(Reference!$A$11,MIN(D195,90))),Reference!$A$6:$A$11,1))+1)-INDEX(Reference!$A$6:$A$11,MIN(5,MATCH(MAX(Reference!$A$6,MIN(Reference!$A$11,MIN(D195,90))),Reference!$A$6:$A$11,1))))),0)+IF(2&lt;=AE195,(AE195-2+3)*(INDEX(Reference!$B$6:$B$11,MIN(5,MATCH(MAX(Reference!$A$6,MIN(Reference!$A$11,MIN(D195,120))),Reference!$A$6:$A$11,1)))+(MAX(Reference!$A$6,MIN(Reference!$A$11,MIN(D195,120)))-INDEX(Reference!$A$6:$A$11,MIN(5,MATCH(MAX(Reference!$A$6,MIN(Reference!$A$11,MIN(D195,120))),Reference!$A$6:$A$11,1))))*(INDEX(Reference!$B$6:$B$11,MIN(5,MATCH(MAX(Reference!$A$6,MIN(Reference!$A$11,MIN(D195,120))),Reference!$A$6:$A$11,1))+1)-INDEX(Reference!$B$6:$B$11,MIN(5,MATCH(MAX(Reference!$A$6,MIN(Reference!$A$11,MIN(D195,120))),Reference!$A$6:$A$11,1))))/(INDEX(Reference!$A$6:$A$11,MIN(5,MATCH(MAX(Reference!$A$6,MIN(Reference!$A$11,MIN(D195,120))),Reference!$A$6:$A$11,1))+1)-INDEX(Reference!$A$6:$A$11,MIN(5,MATCH(MAX(Reference!$A$6,MIN(Reference!$A$11,MIN(D195,120))),Reference!$A$6:$A$11,1))))),0)+IF(3&lt;=AE195,(AE195-3+3)*(INDEX(Reference!$B$6:$B$11,MIN(5,MATCH(MAX(Reference!$A$6,MIN(Reference!$A$11,MIN(D195,150))),Reference!$A$6:$A$11,1)))+(MAX(Reference!$A$6,MIN(Reference!$A$11,MIN(D195,150)))-INDEX(Reference!$A$6:$A$11,MIN(5,MATCH(MAX(Reference!$A$6,MIN(Reference!$A$11,MIN(D195,150))),Reference!$A$6:$A$11,1))))*(INDEX(Reference!$B$6:$B$11,MIN(5,MATCH(MAX(Reference!$A$6,MIN(Reference!$A$11,MIN(D195,150))),Reference!$A$6:$A$11,1))+1)-INDEX(Reference!$B$6:$B$11,MIN(5,MATCH(MAX(Reference!$A$6,MIN(Reference!$A$11,MIN(D195,150))),Reference!$A$6:$A$11,1))))/(INDEX(Reference!$A$6:$A$11,MIN(5,MATCH(MAX(Reference!$A$6,MIN(Reference!$A$11,MIN(D195,150))),Reference!$A$6:$A$11,1))+1)-INDEX(Reference!$A$6:$A$11,MIN(5,MATCH(MAX(Reference!$A$6,MIN(Reference!$A$11,MIN(D195,150))),Reference!$A$6:$A$11,1))))),0)+IF(4&lt;=AE195,(AE195-4+3)*(INDEX(Reference!$B$6:$B$11,MIN(5,MATCH(MAX(Reference!$A$6,MIN(Reference!$A$11,MIN(D195,180))),Reference!$A$6:$A$11,1)))+(MAX(Reference!$A$6,MIN(Reference!$A$11,MIN(D195,180)))-INDEX(Reference!$A$6:$A$11,MIN(5,MATCH(MAX(Reference!$A$6,MIN(Reference!$A$11,MIN(D195,180))),Reference!$A$6:$A$11,1))))*(INDEX(Reference!$B$6:$B$11,MIN(5,MATCH(MAX(Reference!$A$6,MIN(Reference!$A$11,MIN(D195,180))),Reference!$A$6:$A$11,1))+1)-INDEX(Reference!$B$6:$B$11,MIN(5,MATCH(MAX(Reference!$A$6,MIN(Reference!$A$11,MIN(D195,180))),Reference!$A$6:$A$11,1))))/(INDEX(Reference!$A$6:$A$11,MIN(5,MATCH(MAX(Reference!$A$6,MIN(Reference!$A$11,MIN(D195,180))),Reference!$A$6:$A$11,1))+1)-INDEX(Reference!$A$6:$A$11,MIN(5,MATCH(MAX(Reference!$A$6,MIN(Reference!$A$11,MIN(D195,180))),Reference!$A$6:$A$11,1))))),0)+IF(5&lt;=AE195,(AE195-5+3)*(INDEX(Reference!$B$6:$B$11,MIN(5,MATCH(MAX(Reference!$A$6,MIN(Reference!$A$11,MIN(D195,210))),Reference!$A$6:$A$11,1)))+(MAX(Reference!$A$6,MIN(Reference!$A$11,MIN(D195,210)))-INDEX(Reference!$A$6:$A$11,MIN(5,MATCH(MAX(Reference!$A$6,MIN(Reference!$A$11,MIN(D195,210))),Reference!$A$6:$A$11,1))))*(INDEX(Reference!$B$6:$B$11,MIN(5,MATCH(MAX(Reference!$A$6,MIN(Reference!$A$11,MIN(D195,210))),Reference!$A$6:$A$11,1))+1)-INDEX(Reference!$B$6:$B$11,MIN(5,MATCH(MAX(Reference!$A$6,MIN(Reference!$A$11,MIN(D195,210))),Reference!$A$6:$A$11,1))))/(INDEX(Reference!$A$6:$A$11,MIN(5,MATCH(MAX(Reference!$A$6,MIN(Reference!$A$11,MIN(D195,210))),Reference!$A$6:$A$11,1))+1)-INDEX(Reference!$A$6:$A$11,MIN(5,MATCH(MAX(Reference!$A$6,MIN(Reference!$A$11,MIN(D195,210))),Reference!$A$6:$A$11,1))))),0)+IF(6&lt;=AE195,(AE195-6+3)*(INDEX(Reference!$B$6:$B$11,MIN(5,MATCH(MAX(Reference!$A$6,MIN(Reference!$A$11,MIN(D195,240))),Reference!$A$6:$A$11,1)))+(MAX(Reference!$A$6,MIN(Reference!$A$11,MIN(D195,240)))-INDEX(Reference!$A$6:$A$11,MIN(5,MATCH(MAX(Reference!$A$6,MIN(Reference!$A$11,MIN(D195,240))),Reference!$A$6:$A$11,1))))*(INDEX(Reference!$B$6:$B$11,MIN(5,MATCH(MAX(Reference!$A$6,MIN(Reference!$A$11,MIN(D195,240))),Reference!$A$6:$A$11,1))+1)-INDEX(Reference!$B$6:$B$11,MIN(5,MATCH(MAX(Reference!$A$6,MIN(Reference!$A$11,MIN(D195,240))),Reference!$A$6:$A$11,1))))/(INDEX(Reference!$A$6:$A$11,MIN(5,MATCH(MAX(Reference!$A$6,MIN(Reference!$A$11,MIN(D195,240))),Reference!$A$6:$A$11,1))+1)-INDEX(Reference!$A$6:$A$11,MIN(5,MATCH(MAX(Reference!$A$6,MIN(Reference!$A$11,MIN(D195,240))),Reference!$A$6:$A$11,1))))),0)+IF(7&lt;=AE195,(AE195-7+3)*(INDEX(Reference!$B$6:$B$11,MIN(5,MATCH(MAX(Reference!$A$6,MIN(Reference!$A$11,MIN(D195,270))),Reference!$A$6:$A$11,1)))+(MAX(Reference!$A$6,MIN(Reference!$A$11,MIN(D195,270)))-INDEX(Reference!$A$6:$A$11,MIN(5,MATCH(MAX(Reference!$A$6,MIN(Reference!$A$11,MIN(D195,270))),Reference!$A$6:$A$11,1))))*(INDEX(Reference!$B$6:$B$11,MIN(5,MATCH(MAX(Reference!$A$6,MIN(Reference!$A$11,MIN(D195,270))),Reference!$A$6:$A$11,1))+1)-INDEX(Reference!$B$6:$B$11,MIN(5,MATCH(MAX(Reference!$A$6,MIN(Reference!$A$11,MIN(D195,270))),Reference!$A$6:$A$11,1))))/(INDEX(Reference!$A$6:$A$11,MIN(5,MATCH(MAX(Reference!$A$6,MIN(Reference!$A$11,MIN(D195,270))),Reference!$A$6:$A$11,1))+1)-INDEX(Reference!$A$6:$A$11,MIN(5,MATCH(MAX(Reference!$A$6,MIN(Reference!$A$11,MIN(D195,270))),Reference!$A$6:$A$11,1))))),0)+IF(8&lt;=AE195,(AE195-8+3)*(INDEX(Reference!$B$6:$B$11,MIN(5,MATCH(MAX(Reference!$A$6,MIN(Reference!$A$11,MIN(D195,300))),Reference!$A$6:$A$11,1)))+(MAX(Reference!$A$6,MIN(Reference!$A$11,MIN(D195,300)))-INDEX(Reference!$A$6:$A$11,MIN(5,MATCH(MAX(Reference!$A$6,MIN(Reference!$A$11,MIN(D195,300))),Reference!$A$6:$A$11,1))))*(INDEX(Reference!$B$6:$B$11,MIN(5,MATCH(MAX(Reference!$A$6,MIN(Reference!$A$11,MIN(D195,300))),Reference!$A$6:$A$11,1))+1)-INDEX(Reference!$B$6:$B$11,MIN(5,MATCH(MAX(Reference!$A$6,MIN(Reference!$A$11,MIN(D195,300))),Reference!$A$6:$A$11,1))))/(INDEX(Reference!$A$6:$A$11,MIN(5,MATCH(MAX(Reference!$A$6,MIN(Reference!$A$11,MIN(D195,300))),Reference!$A$6:$A$11,1))+1)-INDEX(Reference!$A$6:$A$11,MIN(5,MATCH(MAX(Reference!$A$6,MIN(Reference!$A$11,MIN(D195,300))),Reference!$A$6:$A$11,1))))),0))/(AE195*(AE195+5)/2)),(INDEX(Reference!$B$6:$B$11,MIN(5,MATCH(MAX(Reference!$A$6,MIN(Reference!$A$11,D195)),Reference!$A$6:$A$11,1)))+(MAX(Reference!$A$6,MIN(Reference!$A$11,D195))-INDEX(Reference!$A$6:$A$11,MIN(5,MATCH(MAX(Reference!$A$6,MIN(Reference!$A$11,D195)),Reference!$A$6:$A$11,1))))*(INDEX(Reference!$B$6:$B$11,MIN(5,MATCH(MAX(Reference!$A$6,MIN(Reference!$A$11,D195)),Reference!$A$6:$A$11,1))+1)-INDEX(Reference!$B$6:$B$11,MIN(5,MATCH(MAX(Reference!$A$6,MIN(Reference!$A$11,D195)),Reference!$A$6:$A$11,1))))/(INDEX(Reference!$A$6:$A$11,MIN(5,MATCH(MAX(Reference!$A$6,MIN(Reference!$A$11,D195)),Reference!$A$6:$A$11,1))+1)-INDEX(Reference!$A$6:$A$11,MIN(5,MATCH(MAX(Reference!$A$6,MIN(Reference!$A$11,D195)),Reference!$A$6:$A$11,1))))))))</f>
        <v/>
      </c>
      <c r="P195" s="32" t="str">
        <f>IF(N195="","",VLOOKUP(MAX(N195,0),Reference!$A$17:$B$20,2,TRUE()))</f>
        <v/>
      </c>
      <c r="Q195" s="32" t="str">
        <f t="shared" si="21"/>
        <v/>
      </c>
      <c r="R195" s="31"/>
      <c r="S195" s="31"/>
      <c r="T195" s="31"/>
      <c r="U195" s="32" t="str">
        <f t="shared" si="22"/>
        <v/>
      </c>
      <c r="V195" s="32" t="str">
        <f t="shared" si="23"/>
        <v/>
      </c>
      <c r="W195" s="32" t="str">
        <f>IF(V195="","",VLOOKUP(MAX(V195,0),Reference!$A$17:$B$20,2,TRUE()))</f>
        <v/>
      </c>
      <c r="X195" s="31"/>
      <c r="Y195" s="31"/>
      <c r="Z195" s="31"/>
      <c r="AA195" s="32" t="str">
        <f t="shared" si="24"/>
        <v/>
      </c>
      <c r="AB195" s="32" t="str">
        <f t="shared" si="25"/>
        <v/>
      </c>
      <c r="AC195" s="32" t="str">
        <f>IF(AB195="","",VLOOKUP(MAX(AB195,0),Reference!$A$17:$B$20,2,TRUE()))</f>
        <v/>
      </c>
      <c r="AD195" s="31"/>
      <c r="AE195">
        <f t="shared" si="26"/>
        <v>1</v>
      </c>
      <c r="AF195" s="33" t="str">
        <f>IF(OR(A195="",B195="",AND(C195&lt;&gt;"Bullpen",C195&lt;&gt;"Game")),"",IF((COUNTIFS($B$5:$B$300,B195,$A$5:$A$300,A195-1,$C$5:$C$300,"Bullpen",$AG$5:$AG$300,"&gt;0") + COUNTIFS($B$5:$B$300,B195,$A$5:$A$300,A195-1,$C$5:$C$300,"Game",$AG$5:$AG$300,"&gt;0"))&gt;0,Reference!$B$119,IF((COUNTIFS($B$5:$B$300,B195,$A$5:$A$300,A195-2,$C$5:$C$300,"Bullpen",$AG$5:$AG$300,"&gt;0") + COUNTIFS($B$5:$B$300,B195,$A$5:$A$300,A195-2,$C$5:$C$300,"Game",$AG$5:$AG$300,"&gt;0"))&gt;0,Reference!$B$120,1)))</f>
        <v/>
      </c>
      <c r="AG195" s="30" t="str">
        <f>IF(AND(OR(I195="",O195="",P195=""),OR(R195="",W195=""),OR(X195="",AC195="")),"",IF(OR(I195="",O195="",P195=""),0,I195*O195*P195)+IF(OR(R195="",W195=""),0,R195*IFERROR(INDEX(Reference!$B$61:$B$62,MATCH("Bullpen",Reference!$A$61:$A$62,0)),0)*W195)+IF(OR(X195="",AC195=""),0,X195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195))</f>
        <v/>
      </c>
    </row>
    <row r="196" spans="1:33" x14ac:dyDescent="0.3">
      <c r="A196" s="35"/>
      <c r="B196" s="31"/>
      <c r="C196" s="31"/>
      <c r="D196" s="31"/>
      <c r="E196" s="34"/>
      <c r="F196" s="34"/>
      <c r="G196" s="30" t="str">
        <f t="shared" si="18"/>
        <v/>
      </c>
      <c r="H196" s="31"/>
      <c r="I196" s="32" t="str">
        <f>IF(H196&lt;&gt;"",H196,IF(G196="","",ROUND(G196*IFERROR(INDEX(Reference!$B$44:$B$50,MATCH(C196,Reference!$A$44:$A$50,0)),0),0)))</f>
        <v/>
      </c>
      <c r="J196" s="31"/>
      <c r="K196" s="31"/>
      <c r="L196" s="32" t="str">
        <f t="shared" si="19"/>
        <v/>
      </c>
      <c r="M196" s="32" t="str">
        <f>IFERROR(INDEX(Roster!$D$5:$D$40,MATCH(B196,Roster!$A$5:$A$40,0)),"")</f>
        <v/>
      </c>
      <c r="N196" s="32" t="str">
        <f t="shared" si="20"/>
        <v/>
      </c>
      <c r="O196" s="32" t="str">
        <f>IF(OR(C196="Bullpen",C196="Game"),IFERROR(INDEX(Reference!$B$61:$B$62,MATCH(C196,Reference!$A$61:$A$62,0)),""),IF(D196="","",IF(AE196&gt;1,((IF(1&lt;=AE196,(AE196-1+3)*(INDEX(Reference!$B$6:$B$11,MIN(5,MATCH(MAX(Reference!$A$6,MIN(Reference!$A$11,MIN(D196,90))),Reference!$A$6:$A$11,1)))+(MAX(Reference!$A$6,MIN(Reference!$A$11,MIN(D196,90)))-INDEX(Reference!$A$6:$A$11,MIN(5,MATCH(MAX(Reference!$A$6,MIN(Reference!$A$11,MIN(D196,90))),Reference!$A$6:$A$11,1))))*(INDEX(Reference!$B$6:$B$11,MIN(5,MATCH(MAX(Reference!$A$6,MIN(Reference!$A$11,MIN(D196,90))),Reference!$A$6:$A$11,1))+1)-INDEX(Reference!$B$6:$B$11,MIN(5,MATCH(MAX(Reference!$A$6,MIN(Reference!$A$11,MIN(D196,90))),Reference!$A$6:$A$11,1))))/(INDEX(Reference!$A$6:$A$11,MIN(5,MATCH(MAX(Reference!$A$6,MIN(Reference!$A$11,MIN(D196,90))),Reference!$A$6:$A$11,1))+1)-INDEX(Reference!$A$6:$A$11,MIN(5,MATCH(MAX(Reference!$A$6,MIN(Reference!$A$11,MIN(D196,90))),Reference!$A$6:$A$11,1))))),0)+IF(2&lt;=AE196,(AE196-2+3)*(INDEX(Reference!$B$6:$B$11,MIN(5,MATCH(MAX(Reference!$A$6,MIN(Reference!$A$11,MIN(D196,120))),Reference!$A$6:$A$11,1)))+(MAX(Reference!$A$6,MIN(Reference!$A$11,MIN(D196,120)))-INDEX(Reference!$A$6:$A$11,MIN(5,MATCH(MAX(Reference!$A$6,MIN(Reference!$A$11,MIN(D196,120))),Reference!$A$6:$A$11,1))))*(INDEX(Reference!$B$6:$B$11,MIN(5,MATCH(MAX(Reference!$A$6,MIN(Reference!$A$11,MIN(D196,120))),Reference!$A$6:$A$11,1))+1)-INDEX(Reference!$B$6:$B$11,MIN(5,MATCH(MAX(Reference!$A$6,MIN(Reference!$A$11,MIN(D196,120))),Reference!$A$6:$A$11,1))))/(INDEX(Reference!$A$6:$A$11,MIN(5,MATCH(MAX(Reference!$A$6,MIN(Reference!$A$11,MIN(D196,120))),Reference!$A$6:$A$11,1))+1)-INDEX(Reference!$A$6:$A$11,MIN(5,MATCH(MAX(Reference!$A$6,MIN(Reference!$A$11,MIN(D196,120))),Reference!$A$6:$A$11,1))))),0)+IF(3&lt;=AE196,(AE196-3+3)*(INDEX(Reference!$B$6:$B$11,MIN(5,MATCH(MAX(Reference!$A$6,MIN(Reference!$A$11,MIN(D196,150))),Reference!$A$6:$A$11,1)))+(MAX(Reference!$A$6,MIN(Reference!$A$11,MIN(D196,150)))-INDEX(Reference!$A$6:$A$11,MIN(5,MATCH(MAX(Reference!$A$6,MIN(Reference!$A$11,MIN(D196,150))),Reference!$A$6:$A$11,1))))*(INDEX(Reference!$B$6:$B$11,MIN(5,MATCH(MAX(Reference!$A$6,MIN(Reference!$A$11,MIN(D196,150))),Reference!$A$6:$A$11,1))+1)-INDEX(Reference!$B$6:$B$11,MIN(5,MATCH(MAX(Reference!$A$6,MIN(Reference!$A$11,MIN(D196,150))),Reference!$A$6:$A$11,1))))/(INDEX(Reference!$A$6:$A$11,MIN(5,MATCH(MAX(Reference!$A$6,MIN(Reference!$A$11,MIN(D196,150))),Reference!$A$6:$A$11,1))+1)-INDEX(Reference!$A$6:$A$11,MIN(5,MATCH(MAX(Reference!$A$6,MIN(Reference!$A$11,MIN(D196,150))),Reference!$A$6:$A$11,1))))),0)+IF(4&lt;=AE196,(AE196-4+3)*(INDEX(Reference!$B$6:$B$11,MIN(5,MATCH(MAX(Reference!$A$6,MIN(Reference!$A$11,MIN(D196,180))),Reference!$A$6:$A$11,1)))+(MAX(Reference!$A$6,MIN(Reference!$A$11,MIN(D196,180)))-INDEX(Reference!$A$6:$A$11,MIN(5,MATCH(MAX(Reference!$A$6,MIN(Reference!$A$11,MIN(D196,180))),Reference!$A$6:$A$11,1))))*(INDEX(Reference!$B$6:$B$11,MIN(5,MATCH(MAX(Reference!$A$6,MIN(Reference!$A$11,MIN(D196,180))),Reference!$A$6:$A$11,1))+1)-INDEX(Reference!$B$6:$B$11,MIN(5,MATCH(MAX(Reference!$A$6,MIN(Reference!$A$11,MIN(D196,180))),Reference!$A$6:$A$11,1))))/(INDEX(Reference!$A$6:$A$11,MIN(5,MATCH(MAX(Reference!$A$6,MIN(Reference!$A$11,MIN(D196,180))),Reference!$A$6:$A$11,1))+1)-INDEX(Reference!$A$6:$A$11,MIN(5,MATCH(MAX(Reference!$A$6,MIN(Reference!$A$11,MIN(D196,180))),Reference!$A$6:$A$11,1))))),0)+IF(5&lt;=AE196,(AE196-5+3)*(INDEX(Reference!$B$6:$B$11,MIN(5,MATCH(MAX(Reference!$A$6,MIN(Reference!$A$11,MIN(D196,210))),Reference!$A$6:$A$11,1)))+(MAX(Reference!$A$6,MIN(Reference!$A$11,MIN(D196,210)))-INDEX(Reference!$A$6:$A$11,MIN(5,MATCH(MAX(Reference!$A$6,MIN(Reference!$A$11,MIN(D196,210))),Reference!$A$6:$A$11,1))))*(INDEX(Reference!$B$6:$B$11,MIN(5,MATCH(MAX(Reference!$A$6,MIN(Reference!$A$11,MIN(D196,210))),Reference!$A$6:$A$11,1))+1)-INDEX(Reference!$B$6:$B$11,MIN(5,MATCH(MAX(Reference!$A$6,MIN(Reference!$A$11,MIN(D196,210))),Reference!$A$6:$A$11,1))))/(INDEX(Reference!$A$6:$A$11,MIN(5,MATCH(MAX(Reference!$A$6,MIN(Reference!$A$11,MIN(D196,210))),Reference!$A$6:$A$11,1))+1)-INDEX(Reference!$A$6:$A$11,MIN(5,MATCH(MAX(Reference!$A$6,MIN(Reference!$A$11,MIN(D196,210))),Reference!$A$6:$A$11,1))))),0)+IF(6&lt;=AE196,(AE196-6+3)*(INDEX(Reference!$B$6:$B$11,MIN(5,MATCH(MAX(Reference!$A$6,MIN(Reference!$A$11,MIN(D196,240))),Reference!$A$6:$A$11,1)))+(MAX(Reference!$A$6,MIN(Reference!$A$11,MIN(D196,240)))-INDEX(Reference!$A$6:$A$11,MIN(5,MATCH(MAX(Reference!$A$6,MIN(Reference!$A$11,MIN(D196,240))),Reference!$A$6:$A$11,1))))*(INDEX(Reference!$B$6:$B$11,MIN(5,MATCH(MAX(Reference!$A$6,MIN(Reference!$A$11,MIN(D196,240))),Reference!$A$6:$A$11,1))+1)-INDEX(Reference!$B$6:$B$11,MIN(5,MATCH(MAX(Reference!$A$6,MIN(Reference!$A$11,MIN(D196,240))),Reference!$A$6:$A$11,1))))/(INDEX(Reference!$A$6:$A$11,MIN(5,MATCH(MAX(Reference!$A$6,MIN(Reference!$A$11,MIN(D196,240))),Reference!$A$6:$A$11,1))+1)-INDEX(Reference!$A$6:$A$11,MIN(5,MATCH(MAX(Reference!$A$6,MIN(Reference!$A$11,MIN(D196,240))),Reference!$A$6:$A$11,1))))),0)+IF(7&lt;=AE196,(AE196-7+3)*(INDEX(Reference!$B$6:$B$11,MIN(5,MATCH(MAX(Reference!$A$6,MIN(Reference!$A$11,MIN(D196,270))),Reference!$A$6:$A$11,1)))+(MAX(Reference!$A$6,MIN(Reference!$A$11,MIN(D196,270)))-INDEX(Reference!$A$6:$A$11,MIN(5,MATCH(MAX(Reference!$A$6,MIN(Reference!$A$11,MIN(D196,270))),Reference!$A$6:$A$11,1))))*(INDEX(Reference!$B$6:$B$11,MIN(5,MATCH(MAX(Reference!$A$6,MIN(Reference!$A$11,MIN(D196,270))),Reference!$A$6:$A$11,1))+1)-INDEX(Reference!$B$6:$B$11,MIN(5,MATCH(MAX(Reference!$A$6,MIN(Reference!$A$11,MIN(D196,270))),Reference!$A$6:$A$11,1))))/(INDEX(Reference!$A$6:$A$11,MIN(5,MATCH(MAX(Reference!$A$6,MIN(Reference!$A$11,MIN(D196,270))),Reference!$A$6:$A$11,1))+1)-INDEX(Reference!$A$6:$A$11,MIN(5,MATCH(MAX(Reference!$A$6,MIN(Reference!$A$11,MIN(D196,270))),Reference!$A$6:$A$11,1))))),0)+IF(8&lt;=AE196,(AE196-8+3)*(INDEX(Reference!$B$6:$B$11,MIN(5,MATCH(MAX(Reference!$A$6,MIN(Reference!$A$11,MIN(D196,300))),Reference!$A$6:$A$11,1)))+(MAX(Reference!$A$6,MIN(Reference!$A$11,MIN(D196,300)))-INDEX(Reference!$A$6:$A$11,MIN(5,MATCH(MAX(Reference!$A$6,MIN(Reference!$A$11,MIN(D196,300))),Reference!$A$6:$A$11,1))))*(INDEX(Reference!$B$6:$B$11,MIN(5,MATCH(MAX(Reference!$A$6,MIN(Reference!$A$11,MIN(D196,300))),Reference!$A$6:$A$11,1))+1)-INDEX(Reference!$B$6:$B$11,MIN(5,MATCH(MAX(Reference!$A$6,MIN(Reference!$A$11,MIN(D196,300))),Reference!$A$6:$A$11,1))))/(INDEX(Reference!$A$6:$A$11,MIN(5,MATCH(MAX(Reference!$A$6,MIN(Reference!$A$11,MIN(D196,300))),Reference!$A$6:$A$11,1))+1)-INDEX(Reference!$A$6:$A$11,MIN(5,MATCH(MAX(Reference!$A$6,MIN(Reference!$A$11,MIN(D196,300))),Reference!$A$6:$A$11,1))))),0))/(AE196*(AE196+5)/2)),(INDEX(Reference!$B$6:$B$11,MIN(5,MATCH(MAX(Reference!$A$6,MIN(Reference!$A$11,D196)),Reference!$A$6:$A$11,1)))+(MAX(Reference!$A$6,MIN(Reference!$A$11,D196))-INDEX(Reference!$A$6:$A$11,MIN(5,MATCH(MAX(Reference!$A$6,MIN(Reference!$A$11,D196)),Reference!$A$6:$A$11,1))))*(INDEX(Reference!$B$6:$B$11,MIN(5,MATCH(MAX(Reference!$A$6,MIN(Reference!$A$11,D196)),Reference!$A$6:$A$11,1))+1)-INDEX(Reference!$B$6:$B$11,MIN(5,MATCH(MAX(Reference!$A$6,MIN(Reference!$A$11,D196)),Reference!$A$6:$A$11,1))))/(INDEX(Reference!$A$6:$A$11,MIN(5,MATCH(MAX(Reference!$A$6,MIN(Reference!$A$11,D196)),Reference!$A$6:$A$11,1))+1)-INDEX(Reference!$A$6:$A$11,MIN(5,MATCH(MAX(Reference!$A$6,MIN(Reference!$A$11,D196)),Reference!$A$6:$A$11,1))))))))</f>
        <v/>
      </c>
      <c r="P196" s="32" t="str">
        <f>IF(N196="","",VLOOKUP(MAX(N196,0),Reference!$A$17:$B$20,2,TRUE()))</f>
        <v/>
      </c>
      <c r="Q196" s="32" t="str">
        <f t="shared" si="21"/>
        <v/>
      </c>
      <c r="R196" s="31"/>
      <c r="S196" s="31"/>
      <c r="T196" s="31"/>
      <c r="U196" s="32" t="str">
        <f t="shared" si="22"/>
        <v/>
      </c>
      <c r="V196" s="32" t="str">
        <f t="shared" si="23"/>
        <v/>
      </c>
      <c r="W196" s="32" t="str">
        <f>IF(V196="","",VLOOKUP(MAX(V196,0),Reference!$A$17:$B$20,2,TRUE()))</f>
        <v/>
      </c>
      <c r="X196" s="31"/>
      <c r="Y196" s="31"/>
      <c r="Z196" s="31"/>
      <c r="AA196" s="32" t="str">
        <f t="shared" si="24"/>
        <v/>
      </c>
      <c r="AB196" s="32" t="str">
        <f t="shared" si="25"/>
        <v/>
      </c>
      <c r="AC196" s="32" t="str">
        <f>IF(AB196="","",VLOOKUP(MAX(AB196,0),Reference!$A$17:$B$20,2,TRUE()))</f>
        <v/>
      </c>
      <c r="AD196" s="31"/>
      <c r="AE196">
        <f t="shared" si="26"/>
        <v>1</v>
      </c>
      <c r="AF196" s="33" t="str">
        <f>IF(OR(A196="",B196="",AND(C196&lt;&gt;"Bullpen",C196&lt;&gt;"Game")),"",IF((COUNTIFS($B$5:$B$300,B196,$A$5:$A$300,A196-1,$C$5:$C$300,"Bullpen",$AG$5:$AG$300,"&gt;0") + COUNTIFS($B$5:$B$300,B196,$A$5:$A$300,A196-1,$C$5:$C$300,"Game",$AG$5:$AG$300,"&gt;0"))&gt;0,Reference!$B$119,IF((COUNTIFS($B$5:$B$300,B196,$A$5:$A$300,A196-2,$C$5:$C$300,"Bullpen",$AG$5:$AG$300,"&gt;0") + COUNTIFS($B$5:$B$300,B196,$A$5:$A$300,A196-2,$C$5:$C$300,"Game",$AG$5:$AG$300,"&gt;0"))&gt;0,Reference!$B$120,1)))</f>
        <v/>
      </c>
      <c r="AG196" s="30" t="str">
        <f>IF(AND(OR(I196="",O196="",P196=""),OR(R196="",W196=""),OR(X196="",AC196="")),"",IF(OR(I196="",O196="",P196=""),0,I196*O196*P196)+IF(OR(R196="",W196=""),0,R196*IFERROR(INDEX(Reference!$B$61:$B$62,MATCH("Bullpen",Reference!$A$61:$A$62,0)),0)*W196)+IF(OR(X196="",AC196=""),0,X196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196))</f>
        <v/>
      </c>
    </row>
    <row r="197" spans="1:33" x14ac:dyDescent="0.3">
      <c r="A197" s="35"/>
      <c r="B197" s="31"/>
      <c r="C197" s="31"/>
      <c r="D197" s="31"/>
      <c r="E197" s="34"/>
      <c r="F197" s="34"/>
      <c r="G197" s="30" t="str">
        <f t="shared" ref="G197:G260" si="27">IF(OR(E197="",F197=""),"",(F197-E197)*1440)</f>
        <v/>
      </c>
      <c r="H197" s="31"/>
      <c r="I197" s="32" t="str">
        <f>IF(H197&lt;&gt;"",H197,IF(G197="","",ROUND(G197*IFERROR(INDEX(Reference!$B$44:$B$50,MATCH(C197,Reference!$A$44:$A$50,0)),0),0)))</f>
        <v/>
      </c>
      <c r="J197" s="31"/>
      <c r="K197" s="31"/>
      <c r="L197" s="32" t="str">
        <f t="shared" ref="L197:L260" si="28">IF(J197="","",IF(K197="",J197,AVERAGE(J197,K197)))</f>
        <v/>
      </c>
      <c r="M197" s="32" t="str">
        <f>IFERROR(INDEX(Roster!$D$5:$D$40,MATCH(B197,Roster!$A$5:$A$40,0)),"")</f>
        <v/>
      </c>
      <c r="N197" s="32" t="str">
        <f t="shared" ref="N197:N260" si="29">IF(OR(L197="",M197="",M197=0),"",M197-L197)</f>
        <v/>
      </c>
      <c r="O197" s="32" t="str">
        <f>IF(OR(C197="Bullpen",C197="Game"),IFERROR(INDEX(Reference!$B$61:$B$62,MATCH(C197,Reference!$A$61:$A$62,0)),""),IF(D197="","",IF(AE197&gt;1,((IF(1&lt;=AE197,(AE197-1+3)*(INDEX(Reference!$B$6:$B$11,MIN(5,MATCH(MAX(Reference!$A$6,MIN(Reference!$A$11,MIN(D197,90))),Reference!$A$6:$A$11,1)))+(MAX(Reference!$A$6,MIN(Reference!$A$11,MIN(D197,90)))-INDEX(Reference!$A$6:$A$11,MIN(5,MATCH(MAX(Reference!$A$6,MIN(Reference!$A$11,MIN(D197,90))),Reference!$A$6:$A$11,1))))*(INDEX(Reference!$B$6:$B$11,MIN(5,MATCH(MAX(Reference!$A$6,MIN(Reference!$A$11,MIN(D197,90))),Reference!$A$6:$A$11,1))+1)-INDEX(Reference!$B$6:$B$11,MIN(5,MATCH(MAX(Reference!$A$6,MIN(Reference!$A$11,MIN(D197,90))),Reference!$A$6:$A$11,1))))/(INDEX(Reference!$A$6:$A$11,MIN(5,MATCH(MAX(Reference!$A$6,MIN(Reference!$A$11,MIN(D197,90))),Reference!$A$6:$A$11,1))+1)-INDEX(Reference!$A$6:$A$11,MIN(5,MATCH(MAX(Reference!$A$6,MIN(Reference!$A$11,MIN(D197,90))),Reference!$A$6:$A$11,1))))),0)+IF(2&lt;=AE197,(AE197-2+3)*(INDEX(Reference!$B$6:$B$11,MIN(5,MATCH(MAX(Reference!$A$6,MIN(Reference!$A$11,MIN(D197,120))),Reference!$A$6:$A$11,1)))+(MAX(Reference!$A$6,MIN(Reference!$A$11,MIN(D197,120)))-INDEX(Reference!$A$6:$A$11,MIN(5,MATCH(MAX(Reference!$A$6,MIN(Reference!$A$11,MIN(D197,120))),Reference!$A$6:$A$11,1))))*(INDEX(Reference!$B$6:$B$11,MIN(5,MATCH(MAX(Reference!$A$6,MIN(Reference!$A$11,MIN(D197,120))),Reference!$A$6:$A$11,1))+1)-INDEX(Reference!$B$6:$B$11,MIN(5,MATCH(MAX(Reference!$A$6,MIN(Reference!$A$11,MIN(D197,120))),Reference!$A$6:$A$11,1))))/(INDEX(Reference!$A$6:$A$11,MIN(5,MATCH(MAX(Reference!$A$6,MIN(Reference!$A$11,MIN(D197,120))),Reference!$A$6:$A$11,1))+1)-INDEX(Reference!$A$6:$A$11,MIN(5,MATCH(MAX(Reference!$A$6,MIN(Reference!$A$11,MIN(D197,120))),Reference!$A$6:$A$11,1))))),0)+IF(3&lt;=AE197,(AE197-3+3)*(INDEX(Reference!$B$6:$B$11,MIN(5,MATCH(MAX(Reference!$A$6,MIN(Reference!$A$11,MIN(D197,150))),Reference!$A$6:$A$11,1)))+(MAX(Reference!$A$6,MIN(Reference!$A$11,MIN(D197,150)))-INDEX(Reference!$A$6:$A$11,MIN(5,MATCH(MAX(Reference!$A$6,MIN(Reference!$A$11,MIN(D197,150))),Reference!$A$6:$A$11,1))))*(INDEX(Reference!$B$6:$B$11,MIN(5,MATCH(MAX(Reference!$A$6,MIN(Reference!$A$11,MIN(D197,150))),Reference!$A$6:$A$11,1))+1)-INDEX(Reference!$B$6:$B$11,MIN(5,MATCH(MAX(Reference!$A$6,MIN(Reference!$A$11,MIN(D197,150))),Reference!$A$6:$A$11,1))))/(INDEX(Reference!$A$6:$A$11,MIN(5,MATCH(MAX(Reference!$A$6,MIN(Reference!$A$11,MIN(D197,150))),Reference!$A$6:$A$11,1))+1)-INDEX(Reference!$A$6:$A$11,MIN(5,MATCH(MAX(Reference!$A$6,MIN(Reference!$A$11,MIN(D197,150))),Reference!$A$6:$A$11,1))))),0)+IF(4&lt;=AE197,(AE197-4+3)*(INDEX(Reference!$B$6:$B$11,MIN(5,MATCH(MAX(Reference!$A$6,MIN(Reference!$A$11,MIN(D197,180))),Reference!$A$6:$A$11,1)))+(MAX(Reference!$A$6,MIN(Reference!$A$11,MIN(D197,180)))-INDEX(Reference!$A$6:$A$11,MIN(5,MATCH(MAX(Reference!$A$6,MIN(Reference!$A$11,MIN(D197,180))),Reference!$A$6:$A$11,1))))*(INDEX(Reference!$B$6:$B$11,MIN(5,MATCH(MAX(Reference!$A$6,MIN(Reference!$A$11,MIN(D197,180))),Reference!$A$6:$A$11,1))+1)-INDEX(Reference!$B$6:$B$11,MIN(5,MATCH(MAX(Reference!$A$6,MIN(Reference!$A$11,MIN(D197,180))),Reference!$A$6:$A$11,1))))/(INDEX(Reference!$A$6:$A$11,MIN(5,MATCH(MAX(Reference!$A$6,MIN(Reference!$A$11,MIN(D197,180))),Reference!$A$6:$A$11,1))+1)-INDEX(Reference!$A$6:$A$11,MIN(5,MATCH(MAX(Reference!$A$6,MIN(Reference!$A$11,MIN(D197,180))),Reference!$A$6:$A$11,1))))),0)+IF(5&lt;=AE197,(AE197-5+3)*(INDEX(Reference!$B$6:$B$11,MIN(5,MATCH(MAX(Reference!$A$6,MIN(Reference!$A$11,MIN(D197,210))),Reference!$A$6:$A$11,1)))+(MAX(Reference!$A$6,MIN(Reference!$A$11,MIN(D197,210)))-INDEX(Reference!$A$6:$A$11,MIN(5,MATCH(MAX(Reference!$A$6,MIN(Reference!$A$11,MIN(D197,210))),Reference!$A$6:$A$11,1))))*(INDEX(Reference!$B$6:$B$11,MIN(5,MATCH(MAX(Reference!$A$6,MIN(Reference!$A$11,MIN(D197,210))),Reference!$A$6:$A$11,1))+1)-INDEX(Reference!$B$6:$B$11,MIN(5,MATCH(MAX(Reference!$A$6,MIN(Reference!$A$11,MIN(D197,210))),Reference!$A$6:$A$11,1))))/(INDEX(Reference!$A$6:$A$11,MIN(5,MATCH(MAX(Reference!$A$6,MIN(Reference!$A$11,MIN(D197,210))),Reference!$A$6:$A$11,1))+1)-INDEX(Reference!$A$6:$A$11,MIN(5,MATCH(MAX(Reference!$A$6,MIN(Reference!$A$11,MIN(D197,210))),Reference!$A$6:$A$11,1))))),0)+IF(6&lt;=AE197,(AE197-6+3)*(INDEX(Reference!$B$6:$B$11,MIN(5,MATCH(MAX(Reference!$A$6,MIN(Reference!$A$11,MIN(D197,240))),Reference!$A$6:$A$11,1)))+(MAX(Reference!$A$6,MIN(Reference!$A$11,MIN(D197,240)))-INDEX(Reference!$A$6:$A$11,MIN(5,MATCH(MAX(Reference!$A$6,MIN(Reference!$A$11,MIN(D197,240))),Reference!$A$6:$A$11,1))))*(INDEX(Reference!$B$6:$B$11,MIN(5,MATCH(MAX(Reference!$A$6,MIN(Reference!$A$11,MIN(D197,240))),Reference!$A$6:$A$11,1))+1)-INDEX(Reference!$B$6:$B$11,MIN(5,MATCH(MAX(Reference!$A$6,MIN(Reference!$A$11,MIN(D197,240))),Reference!$A$6:$A$11,1))))/(INDEX(Reference!$A$6:$A$11,MIN(5,MATCH(MAX(Reference!$A$6,MIN(Reference!$A$11,MIN(D197,240))),Reference!$A$6:$A$11,1))+1)-INDEX(Reference!$A$6:$A$11,MIN(5,MATCH(MAX(Reference!$A$6,MIN(Reference!$A$11,MIN(D197,240))),Reference!$A$6:$A$11,1))))),0)+IF(7&lt;=AE197,(AE197-7+3)*(INDEX(Reference!$B$6:$B$11,MIN(5,MATCH(MAX(Reference!$A$6,MIN(Reference!$A$11,MIN(D197,270))),Reference!$A$6:$A$11,1)))+(MAX(Reference!$A$6,MIN(Reference!$A$11,MIN(D197,270)))-INDEX(Reference!$A$6:$A$11,MIN(5,MATCH(MAX(Reference!$A$6,MIN(Reference!$A$11,MIN(D197,270))),Reference!$A$6:$A$11,1))))*(INDEX(Reference!$B$6:$B$11,MIN(5,MATCH(MAX(Reference!$A$6,MIN(Reference!$A$11,MIN(D197,270))),Reference!$A$6:$A$11,1))+1)-INDEX(Reference!$B$6:$B$11,MIN(5,MATCH(MAX(Reference!$A$6,MIN(Reference!$A$11,MIN(D197,270))),Reference!$A$6:$A$11,1))))/(INDEX(Reference!$A$6:$A$11,MIN(5,MATCH(MAX(Reference!$A$6,MIN(Reference!$A$11,MIN(D197,270))),Reference!$A$6:$A$11,1))+1)-INDEX(Reference!$A$6:$A$11,MIN(5,MATCH(MAX(Reference!$A$6,MIN(Reference!$A$11,MIN(D197,270))),Reference!$A$6:$A$11,1))))),0)+IF(8&lt;=AE197,(AE197-8+3)*(INDEX(Reference!$B$6:$B$11,MIN(5,MATCH(MAX(Reference!$A$6,MIN(Reference!$A$11,MIN(D197,300))),Reference!$A$6:$A$11,1)))+(MAX(Reference!$A$6,MIN(Reference!$A$11,MIN(D197,300)))-INDEX(Reference!$A$6:$A$11,MIN(5,MATCH(MAX(Reference!$A$6,MIN(Reference!$A$11,MIN(D197,300))),Reference!$A$6:$A$11,1))))*(INDEX(Reference!$B$6:$B$11,MIN(5,MATCH(MAX(Reference!$A$6,MIN(Reference!$A$11,MIN(D197,300))),Reference!$A$6:$A$11,1))+1)-INDEX(Reference!$B$6:$B$11,MIN(5,MATCH(MAX(Reference!$A$6,MIN(Reference!$A$11,MIN(D197,300))),Reference!$A$6:$A$11,1))))/(INDEX(Reference!$A$6:$A$11,MIN(5,MATCH(MAX(Reference!$A$6,MIN(Reference!$A$11,MIN(D197,300))),Reference!$A$6:$A$11,1))+1)-INDEX(Reference!$A$6:$A$11,MIN(5,MATCH(MAX(Reference!$A$6,MIN(Reference!$A$11,MIN(D197,300))),Reference!$A$6:$A$11,1))))),0))/(AE197*(AE197+5)/2)),(INDEX(Reference!$B$6:$B$11,MIN(5,MATCH(MAX(Reference!$A$6,MIN(Reference!$A$11,D197)),Reference!$A$6:$A$11,1)))+(MAX(Reference!$A$6,MIN(Reference!$A$11,D197))-INDEX(Reference!$A$6:$A$11,MIN(5,MATCH(MAX(Reference!$A$6,MIN(Reference!$A$11,D197)),Reference!$A$6:$A$11,1))))*(INDEX(Reference!$B$6:$B$11,MIN(5,MATCH(MAX(Reference!$A$6,MIN(Reference!$A$11,D197)),Reference!$A$6:$A$11,1))+1)-INDEX(Reference!$B$6:$B$11,MIN(5,MATCH(MAX(Reference!$A$6,MIN(Reference!$A$11,D197)),Reference!$A$6:$A$11,1))))/(INDEX(Reference!$A$6:$A$11,MIN(5,MATCH(MAX(Reference!$A$6,MIN(Reference!$A$11,D197)),Reference!$A$6:$A$11,1))+1)-INDEX(Reference!$A$6:$A$11,MIN(5,MATCH(MAX(Reference!$A$6,MIN(Reference!$A$11,D197)),Reference!$A$6:$A$11,1))))))))</f>
        <v/>
      </c>
      <c r="P197" s="32" t="str">
        <f>IF(N197="","",VLOOKUP(MAX(N197,0),Reference!$A$17:$B$20,2,TRUE()))</f>
        <v/>
      </c>
      <c r="Q197" s="32" t="str">
        <f t="shared" ref="Q197:Q260" si="30">IF(AG197="","",AG197*IF(AF197="",1,AF197))</f>
        <v/>
      </c>
      <c r="R197" s="31"/>
      <c r="S197" s="31"/>
      <c r="T197" s="31"/>
      <c r="U197" s="32" t="str">
        <f t="shared" ref="U197:U260" si="31">IF(S197="","",IF(T197="",S197,AVERAGE(S197,T197)))</f>
        <v/>
      </c>
      <c r="V197" s="32" t="str">
        <f t="shared" ref="V197:V260" si="32">IF(OR(U197="",M197="",M197=0),"",M197-U197)</f>
        <v/>
      </c>
      <c r="W197" s="32" t="str">
        <f>IF(V197="","",VLOOKUP(MAX(V197,0),Reference!$A$17:$B$20,2,TRUE()))</f>
        <v/>
      </c>
      <c r="X197" s="31"/>
      <c r="Y197" s="31"/>
      <c r="Z197" s="31"/>
      <c r="AA197" s="32" t="str">
        <f t="shared" ref="AA197:AA260" si="33">IF(Y197="","",IF(Z197="",Y197,AVERAGE(Y197,Z197)))</f>
        <v/>
      </c>
      <c r="AB197" s="32" t="str">
        <f t="shared" ref="AB197:AB260" si="34">IF(OR(AA197="",M197="",M197=0),"",M197-AA197)</f>
        <v/>
      </c>
      <c r="AC197" s="32" t="str">
        <f>IF(AB197="","",VLOOKUP(MAX(AB197,0),Reference!$A$17:$B$20,2,TRUE()))</f>
        <v/>
      </c>
      <c r="AD197" s="31"/>
      <c r="AE197">
        <f t="shared" ref="AE197:AE260" si="35">IF(AND(C197="Long Toss",N(D197)&gt;90),1+ROUNDUP((D197-90)/30,0),1)</f>
        <v>1</v>
      </c>
      <c r="AF197" s="33" t="str">
        <f>IF(OR(A197="",B197="",AND(C197&lt;&gt;"Bullpen",C197&lt;&gt;"Game")),"",IF((COUNTIFS($B$5:$B$300,B197,$A$5:$A$300,A197-1,$C$5:$C$300,"Bullpen",$AG$5:$AG$300,"&gt;0") + COUNTIFS($B$5:$B$300,B197,$A$5:$A$300,A197-1,$C$5:$C$300,"Game",$AG$5:$AG$300,"&gt;0"))&gt;0,Reference!$B$119,IF((COUNTIFS($B$5:$B$300,B197,$A$5:$A$300,A197-2,$C$5:$C$300,"Bullpen",$AG$5:$AG$300,"&gt;0") + COUNTIFS($B$5:$B$300,B197,$A$5:$A$300,A197-2,$C$5:$C$300,"Game",$AG$5:$AG$300,"&gt;0"))&gt;0,Reference!$B$120,1)))</f>
        <v/>
      </c>
      <c r="AG197" s="30" t="str">
        <f>IF(AND(OR(I197="",O197="",P197=""),OR(R197="",W197=""),OR(X197="",AC197="")),"",IF(OR(I197="",O197="",P197=""),0,I197*O197*P197)+IF(OR(R197="",W197=""),0,R197*IFERROR(INDEX(Reference!$B$61:$B$62,MATCH("Bullpen",Reference!$A$61:$A$62,0)),0)*W197)+IF(OR(X197="",AC197=""),0,X197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197))</f>
        <v/>
      </c>
    </row>
    <row r="198" spans="1:33" x14ac:dyDescent="0.3">
      <c r="A198" s="35"/>
      <c r="B198" s="31"/>
      <c r="C198" s="31"/>
      <c r="D198" s="31"/>
      <c r="E198" s="34"/>
      <c r="F198" s="34"/>
      <c r="G198" s="30" t="str">
        <f t="shared" si="27"/>
        <v/>
      </c>
      <c r="H198" s="31"/>
      <c r="I198" s="32" t="str">
        <f>IF(H198&lt;&gt;"",H198,IF(G198="","",ROUND(G198*IFERROR(INDEX(Reference!$B$44:$B$50,MATCH(C198,Reference!$A$44:$A$50,0)),0),0)))</f>
        <v/>
      </c>
      <c r="J198" s="31"/>
      <c r="K198" s="31"/>
      <c r="L198" s="32" t="str">
        <f t="shared" si="28"/>
        <v/>
      </c>
      <c r="M198" s="32" t="str">
        <f>IFERROR(INDEX(Roster!$D$5:$D$40,MATCH(B198,Roster!$A$5:$A$40,0)),"")</f>
        <v/>
      </c>
      <c r="N198" s="32" t="str">
        <f t="shared" si="29"/>
        <v/>
      </c>
      <c r="O198" s="32" t="str">
        <f>IF(OR(C198="Bullpen",C198="Game"),IFERROR(INDEX(Reference!$B$61:$B$62,MATCH(C198,Reference!$A$61:$A$62,0)),""),IF(D198="","",IF(AE198&gt;1,((IF(1&lt;=AE198,(AE198-1+3)*(INDEX(Reference!$B$6:$B$11,MIN(5,MATCH(MAX(Reference!$A$6,MIN(Reference!$A$11,MIN(D198,90))),Reference!$A$6:$A$11,1)))+(MAX(Reference!$A$6,MIN(Reference!$A$11,MIN(D198,90)))-INDEX(Reference!$A$6:$A$11,MIN(5,MATCH(MAX(Reference!$A$6,MIN(Reference!$A$11,MIN(D198,90))),Reference!$A$6:$A$11,1))))*(INDEX(Reference!$B$6:$B$11,MIN(5,MATCH(MAX(Reference!$A$6,MIN(Reference!$A$11,MIN(D198,90))),Reference!$A$6:$A$11,1))+1)-INDEX(Reference!$B$6:$B$11,MIN(5,MATCH(MAX(Reference!$A$6,MIN(Reference!$A$11,MIN(D198,90))),Reference!$A$6:$A$11,1))))/(INDEX(Reference!$A$6:$A$11,MIN(5,MATCH(MAX(Reference!$A$6,MIN(Reference!$A$11,MIN(D198,90))),Reference!$A$6:$A$11,1))+1)-INDEX(Reference!$A$6:$A$11,MIN(5,MATCH(MAX(Reference!$A$6,MIN(Reference!$A$11,MIN(D198,90))),Reference!$A$6:$A$11,1))))),0)+IF(2&lt;=AE198,(AE198-2+3)*(INDEX(Reference!$B$6:$B$11,MIN(5,MATCH(MAX(Reference!$A$6,MIN(Reference!$A$11,MIN(D198,120))),Reference!$A$6:$A$11,1)))+(MAX(Reference!$A$6,MIN(Reference!$A$11,MIN(D198,120)))-INDEX(Reference!$A$6:$A$11,MIN(5,MATCH(MAX(Reference!$A$6,MIN(Reference!$A$11,MIN(D198,120))),Reference!$A$6:$A$11,1))))*(INDEX(Reference!$B$6:$B$11,MIN(5,MATCH(MAX(Reference!$A$6,MIN(Reference!$A$11,MIN(D198,120))),Reference!$A$6:$A$11,1))+1)-INDEX(Reference!$B$6:$B$11,MIN(5,MATCH(MAX(Reference!$A$6,MIN(Reference!$A$11,MIN(D198,120))),Reference!$A$6:$A$11,1))))/(INDEX(Reference!$A$6:$A$11,MIN(5,MATCH(MAX(Reference!$A$6,MIN(Reference!$A$11,MIN(D198,120))),Reference!$A$6:$A$11,1))+1)-INDEX(Reference!$A$6:$A$11,MIN(5,MATCH(MAX(Reference!$A$6,MIN(Reference!$A$11,MIN(D198,120))),Reference!$A$6:$A$11,1))))),0)+IF(3&lt;=AE198,(AE198-3+3)*(INDEX(Reference!$B$6:$B$11,MIN(5,MATCH(MAX(Reference!$A$6,MIN(Reference!$A$11,MIN(D198,150))),Reference!$A$6:$A$11,1)))+(MAX(Reference!$A$6,MIN(Reference!$A$11,MIN(D198,150)))-INDEX(Reference!$A$6:$A$11,MIN(5,MATCH(MAX(Reference!$A$6,MIN(Reference!$A$11,MIN(D198,150))),Reference!$A$6:$A$11,1))))*(INDEX(Reference!$B$6:$B$11,MIN(5,MATCH(MAX(Reference!$A$6,MIN(Reference!$A$11,MIN(D198,150))),Reference!$A$6:$A$11,1))+1)-INDEX(Reference!$B$6:$B$11,MIN(5,MATCH(MAX(Reference!$A$6,MIN(Reference!$A$11,MIN(D198,150))),Reference!$A$6:$A$11,1))))/(INDEX(Reference!$A$6:$A$11,MIN(5,MATCH(MAX(Reference!$A$6,MIN(Reference!$A$11,MIN(D198,150))),Reference!$A$6:$A$11,1))+1)-INDEX(Reference!$A$6:$A$11,MIN(5,MATCH(MAX(Reference!$A$6,MIN(Reference!$A$11,MIN(D198,150))),Reference!$A$6:$A$11,1))))),0)+IF(4&lt;=AE198,(AE198-4+3)*(INDEX(Reference!$B$6:$B$11,MIN(5,MATCH(MAX(Reference!$A$6,MIN(Reference!$A$11,MIN(D198,180))),Reference!$A$6:$A$11,1)))+(MAX(Reference!$A$6,MIN(Reference!$A$11,MIN(D198,180)))-INDEX(Reference!$A$6:$A$11,MIN(5,MATCH(MAX(Reference!$A$6,MIN(Reference!$A$11,MIN(D198,180))),Reference!$A$6:$A$11,1))))*(INDEX(Reference!$B$6:$B$11,MIN(5,MATCH(MAX(Reference!$A$6,MIN(Reference!$A$11,MIN(D198,180))),Reference!$A$6:$A$11,1))+1)-INDEX(Reference!$B$6:$B$11,MIN(5,MATCH(MAX(Reference!$A$6,MIN(Reference!$A$11,MIN(D198,180))),Reference!$A$6:$A$11,1))))/(INDEX(Reference!$A$6:$A$11,MIN(5,MATCH(MAX(Reference!$A$6,MIN(Reference!$A$11,MIN(D198,180))),Reference!$A$6:$A$11,1))+1)-INDEX(Reference!$A$6:$A$11,MIN(5,MATCH(MAX(Reference!$A$6,MIN(Reference!$A$11,MIN(D198,180))),Reference!$A$6:$A$11,1))))),0)+IF(5&lt;=AE198,(AE198-5+3)*(INDEX(Reference!$B$6:$B$11,MIN(5,MATCH(MAX(Reference!$A$6,MIN(Reference!$A$11,MIN(D198,210))),Reference!$A$6:$A$11,1)))+(MAX(Reference!$A$6,MIN(Reference!$A$11,MIN(D198,210)))-INDEX(Reference!$A$6:$A$11,MIN(5,MATCH(MAX(Reference!$A$6,MIN(Reference!$A$11,MIN(D198,210))),Reference!$A$6:$A$11,1))))*(INDEX(Reference!$B$6:$B$11,MIN(5,MATCH(MAX(Reference!$A$6,MIN(Reference!$A$11,MIN(D198,210))),Reference!$A$6:$A$11,1))+1)-INDEX(Reference!$B$6:$B$11,MIN(5,MATCH(MAX(Reference!$A$6,MIN(Reference!$A$11,MIN(D198,210))),Reference!$A$6:$A$11,1))))/(INDEX(Reference!$A$6:$A$11,MIN(5,MATCH(MAX(Reference!$A$6,MIN(Reference!$A$11,MIN(D198,210))),Reference!$A$6:$A$11,1))+1)-INDEX(Reference!$A$6:$A$11,MIN(5,MATCH(MAX(Reference!$A$6,MIN(Reference!$A$11,MIN(D198,210))),Reference!$A$6:$A$11,1))))),0)+IF(6&lt;=AE198,(AE198-6+3)*(INDEX(Reference!$B$6:$B$11,MIN(5,MATCH(MAX(Reference!$A$6,MIN(Reference!$A$11,MIN(D198,240))),Reference!$A$6:$A$11,1)))+(MAX(Reference!$A$6,MIN(Reference!$A$11,MIN(D198,240)))-INDEX(Reference!$A$6:$A$11,MIN(5,MATCH(MAX(Reference!$A$6,MIN(Reference!$A$11,MIN(D198,240))),Reference!$A$6:$A$11,1))))*(INDEX(Reference!$B$6:$B$11,MIN(5,MATCH(MAX(Reference!$A$6,MIN(Reference!$A$11,MIN(D198,240))),Reference!$A$6:$A$11,1))+1)-INDEX(Reference!$B$6:$B$11,MIN(5,MATCH(MAX(Reference!$A$6,MIN(Reference!$A$11,MIN(D198,240))),Reference!$A$6:$A$11,1))))/(INDEX(Reference!$A$6:$A$11,MIN(5,MATCH(MAX(Reference!$A$6,MIN(Reference!$A$11,MIN(D198,240))),Reference!$A$6:$A$11,1))+1)-INDEX(Reference!$A$6:$A$11,MIN(5,MATCH(MAX(Reference!$A$6,MIN(Reference!$A$11,MIN(D198,240))),Reference!$A$6:$A$11,1))))),0)+IF(7&lt;=AE198,(AE198-7+3)*(INDEX(Reference!$B$6:$B$11,MIN(5,MATCH(MAX(Reference!$A$6,MIN(Reference!$A$11,MIN(D198,270))),Reference!$A$6:$A$11,1)))+(MAX(Reference!$A$6,MIN(Reference!$A$11,MIN(D198,270)))-INDEX(Reference!$A$6:$A$11,MIN(5,MATCH(MAX(Reference!$A$6,MIN(Reference!$A$11,MIN(D198,270))),Reference!$A$6:$A$11,1))))*(INDEX(Reference!$B$6:$B$11,MIN(5,MATCH(MAX(Reference!$A$6,MIN(Reference!$A$11,MIN(D198,270))),Reference!$A$6:$A$11,1))+1)-INDEX(Reference!$B$6:$B$11,MIN(5,MATCH(MAX(Reference!$A$6,MIN(Reference!$A$11,MIN(D198,270))),Reference!$A$6:$A$11,1))))/(INDEX(Reference!$A$6:$A$11,MIN(5,MATCH(MAX(Reference!$A$6,MIN(Reference!$A$11,MIN(D198,270))),Reference!$A$6:$A$11,1))+1)-INDEX(Reference!$A$6:$A$11,MIN(5,MATCH(MAX(Reference!$A$6,MIN(Reference!$A$11,MIN(D198,270))),Reference!$A$6:$A$11,1))))),0)+IF(8&lt;=AE198,(AE198-8+3)*(INDEX(Reference!$B$6:$B$11,MIN(5,MATCH(MAX(Reference!$A$6,MIN(Reference!$A$11,MIN(D198,300))),Reference!$A$6:$A$11,1)))+(MAX(Reference!$A$6,MIN(Reference!$A$11,MIN(D198,300)))-INDEX(Reference!$A$6:$A$11,MIN(5,MATCH(MAX(Reference!$A$6,MIN(Reference!$A$11,MIN(D198,300))),Reference!$A$6:$A$11,1))))*(INDEX(Reference!$B$6:$B$11,MIN(5,MATCH(MAX(Reference!$A$6,MIN(Reference!$A$11,MIN(D198,300))),Reference!$A$6:$A$11,1))+1)-INDEX(Reference!$B$6:$B$11,MIN(5,MATCH(MAX(Reference!$A$6,MIN(Reference!$A$11,MIN(D198,300))),Reference!$A$6:$A$11,1))))/(INDEX(Reference!$A$6:$A$11,MIN(5,MATCH(MAX(Reference!$A$6,MIN(Reference!$A$11,MIN(D198,300))),Reference!$A$6:$A$11,1))+1)-INDEX(Reference!$A$6:$A$11,MIN(5,MATCH(MAX(Reference!$A$6,MIN(Reference!$A$11,MIN(D198,300))),Reference!$A$6:$A$11,1))))),0))/(AE198*(AE198+5)/2)),(INDEX(Reference!$B$6:$B$11,MIN(5,MATCH(MAX(Reference!$A$6,MIN(Reference!$A$11,D198)),Reference!$A$6:$A$11,1)))+(MAX(Reference!$A$6,MIN(Reference!$A$11,D198))-INDEX(Reference!$A$6:$A$11,MIN(5,MATCH(MAX(Reference!$A$6,MIN(Reference!$A$11,D198)),Reference!$A$6:$A$11,1))))*(INDEX(Reference!$B$6:$B$11,MIN(5,MATCH(MAX(Reference!$A$6,MIN(Reference!$A$11,D198)),Reference!$A$6:$A$11,1))+1)-INDEX(Reference!$B$6:$B$11,MIN(5,MATCH(MAX(Reference!$A$6,MIN(Reference!$A$11,D198)),Reference!$A$6:$A$11,1))))/(INDEX(Reference!$A$6:$A$11,MIN(5,MATCH(MAX(Reference!$A$6,MIN(Reference!$A$11,D198)),Reference!$A$6:$A$11,1))+1)-INDEX(Reference!$A$6:$A$11,MIN(5,MATCH(MAX(Reference!$A$6,MIN(Reference!$A$11,D198)),Reference!$A$6:$A$11,1))))))))</f>
        <v/>
      </c>
      <c r="P198" s="32" t="str">
        <f>IF(N198="","",VLOOKUP(MAX(N198,0),Reference!$A$17:$B$20,2,TRUE()))</f>
        <v/>
      </c>
      <c r="Q198" s="32" t="str">
        <f t="shared" si="30"/>
        <v/>
      </c>
      <c r="R198" s="31"/>
      <c r="S198" s="31"/>
      <c r="T198" s="31"/>
      <c r="U198" s="32" t="str">
        <f t="shared" si="31"/>
        <v/>
      </c>
      <c r="V198" s="32" t="str">
        <f t="shared" si="32"/>
        <v/>
      </c>
      <c r="W198" s="32" t="str">
        <f>IF(V198="","",VLOOKUP(MAX(V198,0),Reference!$A$17:$B$20,2,TRUE()))</f>
        <v/>
      </c>
      <c r="X198" s="31"/>
      <c r="Y198" s="31"/>
      <c r="Z198" s="31"/>
      <c r="AA198" s="32" t="str">
        <f t="shared" si="33"/>
        <v/>
      </c>
      <c r="AB198" s="32" t="str">
        <f t="shared" si="34"/>
        <v/>
      </c>
      <c r="AC198" s="32" t="str">
        <f>IF(AB198="","",VLOOKUP(MAX(AB198,0),Reference!$A$17:$B$20,2,TRUE()))</f>
        <v/>
      </c>
      <c r="AD198" s="31"/>
      <c r="AE198">
        <f t="shared" si="35"/>
        <v>1</v>
      </c>
      <c r="AF198" s="33" t="str">
        <f>IF(OR(A198="",B198="",AND(C198&lt;&gt;"Bullpen",C198&lt;&gt;"Game")),"",IF((COUNTIFS($B$5:$B$300,B198,$A$5:$A$300,A198-1,$C$5:$C$300,"Bullpen",$AG$5:$AG$300,"&gt;0") + COUNTIFS($B$5:$B$300,B198,$A$5:$A$300,A198-1,$C$5:$C$300,"Game",$AG$5:$AG$300,"&gt;0"))&gt;0,Reference!$B$119,IF((COUNTIFS($B$5:$B$300,B198,$A$5:$A$300,A198-2,$C$5:$C$300,"Bullpen",$AG$5:$AG$300,"&gt;0") + COUNTIFS($B$5:$B$300,B198,$A$5:$A$300,A198-2,$C$5:$C$300,"Game",$AG$5:$AG$300,"&gt;0"))&gt;0,Reference!$B$120,1)))</f>
        <v/>
      </c>
      <c r="AG198" s="30" t="str">
        <f>IF(AND(OR(I198="",O198="",P198=""),OR(R198="",W198=""),OR(X198="",AC198="")),"",IF(OR(I198="",O198="",P198=""),0,I198*O198*P198)+IF(OR(R198="",W198=""),0,R198*IFERROR(INDEX(Reference!$B$61:$B$62,MATCH("Bullpen",Reference!$A$61:$A$62,0)),0)*W198)+IF(OR(X198="",AC198=""),0,X198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198))</f>
        <v/>
      </c>
    </row>
    <row r="199" spans="1:33" x14ac:dyDescent="0.3">
      <c r="A199" s="35"/>
      <c r="B199" s="31"/>
      <c r="C199" s="31"/>
      <c r="D199" s="31"/>
      <c r="E199" s="34"/>
      <c r="F199" s="34"/>
      <c r="G199" s="30" t="str">
        <f t="shared" si="27"/>
        <v/>
      </c>
      <c r="H199" s="31"/>
      <c r="I199" s="32" t="str">
        <f>IF(H199&lt;&gt;"",H199,IF(G199="","",ROUND(G199*IFERROR(INDEX(Reference!$B$44:$B$50,MATCH(C199,Reference!$A$44:$A$50,0)),0),0)))</f>
        <v/>
      </c>
      <c r="J199" s="31"/>
      <c r="K199" s="31"/>
      <c r="L199" s="32" t="str">
        <f t="shared" si="28"/>
        <v/>
      </c>
      <c r="M199" s="32" t="str">
        <f>IFERROR(INDEX(Roster!$D$5:$D$40,MATCH(B199,Roster!$A$5:$A$40,0)),"")</f>
        <v/>
      </c>
      <c r="N199" s="32" t="str">
        <f t="shared" si="29"/>
        <v/>
      </c>
      <c r="O199" s="32" t="str">
        <f>IF(OR(C199="Bullpen",C199="Game"),IFERROR(INDEX(Reference!$B$61:$B$62,MATCH(C199,Reference!$A$61:$A$62,0)),""),IF(D199="","",IF(AE199&gt;1,((IF(1&lt;=AE199,(AE199-1+3)*(INDEX(Reference!$B$6:$B$11,MIN(5,MATCH(MAX(Reference!$A$6,MIN(Reference!$A$11,MIN(D199,90))),Reference!$A$6:$A$11,1)))+(MAX(Reference!$A$6,MIN(Reference!$A$11,MIN(D199,90)))-INDEX(Reference!$A$6:$A$11,MIN(5,MATCH(MAX(Reference!$A$6,MIN(Reference!$A$11,MIN(D199,90))),Reference!$A$6:$A$11,1))))*(INDEX(Reference!$B$6:$B$11,MIN(5,MATCH(MAX(Reference!$A$6,MIN(Reference!$A$11,MIN(D199,90))),Reference!$A$6:$A$11,1))+1)-INDEX(Reference!$B$6:$B$11,MIN(5,MATCH(MAX(Reference!$A$6,MIN(Reference!$A$11,MIN(D199,90))),Reference!$A$6:$A$11,1))))/(INDEX(Reference!$A$6:$A$11,MIN(5,MATCH(MAX(Reference!$A$6,MIN(Reference!$A$11,MIN(D199,90))),Reference!$A$6:$A$11,1))+1)-INDEX(Reference!$A$6:$A$11,MIN(5,MATCH(MAX(Reference!$A$6,MIN(Reference!$A$11,MIN(D199,90))),Reference!$A$6:$A$11,1))))),0)+IF(2&lt;=AE199,(AE199-2+3)*(INDEX(Reference!$B$6:$B$11,MIN(5,MATCH(MAX(Reference!$A$6,MIN(Reference!$A$11,MIN(D199,120))),Reference!$A$6:$A$11,1)))+(MAX(Reference!$A$6,MIN(Reference!$A$11,MIN(D199,120)))-INDEX(Reference!$A$6:$A$11,MIN(5,MATCH(MAX(Reference!$A$6,MIN(Reference!$A$11,MIN(D199,120))),Reference!$A$6:$A$11,1))))*(INDEX(Reference!$B$6:$B$11,MIN(5,MATCH(MAX(Reference!$A$6,MIN(Reference!$A$11,MIN(D199,120))),Reference!$A$6:$A$11,1))+1)-INDEX(Reference!$B$6:$B$11,MIN(5,MATCH(MAX(Reference!$A$6,MIN(Reference!$A$11,MIN(D199,120))),Reference!$A$6:$A$11,1))))/(INDEX(Reference!$A$6:$A$11,MIN(5,MATCH(MAX(Reference!$A$6,MIN(Reference!$A$11,MIN(D199,120))),Reference!$A$6:$A$11,1))+1)-INDEX(Reference!$A$6:$A$11,MIN(5,MATCH(MAX(Reference!$A$6,MIN(Reference!$A$11,MIN(D199,120))),Reference!$A$6:$A$11,1))))),0)+IF(3&lt;=AE199,(AE199-3+3)*(INDEX(Reference!$B$6:$B$11,MIN(5,MATCH(MAX(Reference!$A$6,MIN(Reference!$A$11,MIN(D199,150))),Reference!$A$6:$A$11,1)))+(MAX(Reference!$A$6,MIN(Reference!$A$11,MIN(D199,150)))-INDEX(Reference!$A$6:$A$11,MIN(5,MATCH(MAX(Reference!$A$6,MIN(Reference!$A$11,MIN(D199,150))),Reference!$A$6:$A$11,1))))*(INDEX(Reference!$B$6:$B$11,MIN(5,MATCH(MAX(Reference!$A$6,MIN(Reference!$A$11,MIN(D199,150))),Reference!$A$6:$A$11,1))+1)-INDEX(Reference!$B$6:$B$11,MIN(5,MATCH(MAX(Reference!$A$6,MIN(Reference!$A$11,MIN(D199,150))),Reference!$A$6:$A$11,1))))/(INDEX(Reference!$A$6:$A$11,MIN(5,MATCH(MAX(Reference!$A$6,MIN(Reference!$A$11,MIN(D199,150))),Reference!$A$6:$A$11,1))+1)-INDEX(Reference!$A$6:$A$11,MIN(5,MATCH(MAX(Reference!$A$6,MIN(Reference!$A$11,MIN(D199,150))),Reference!$A$6:$A$11,1))))),0)+IF(4&lt;=AE199,(AE199-4+3)*(INDEX(Reference!$B$6:$B$11,MIN(5,MATCH(MAX(Reference!$A$6,MIN(Reference!$A$11,MIN(D199,180))),Reference!$A$6:$A$11,1)))+(MAX(Reference!$A$6,MIN(Reference!$A$11,MIN(D199,180)))-INDEX(Reference!$A$6:$A$11,MIN(5,MATCH(MAX(Reference!$A$6,MIN(Reference!$A$11,MIN(D199,180))),Reference!$A$6:$A$11,1))))*(INDEX(Reference!$B$6:$B$11,MIN(5,MATCH(MAX(Reference!$A$6,MIN(Reference!$A$11,MIN(D199,180))),Reference!$A$6:$A$11,1))+1)-INDEX(Reference!$B$6:$B$11,MIN(5,MATCH(MAX(Reference!$A$6,MIN(Reference!$A$11,MIN(D199,180))),Reference!$A$6:$A$11,1))))/(INDEX(Reference!$A$6:$A$11,MIN(5,MATCH(MAX(Reference!$A$6,MIN(Reference!$A$11,MIN(D199,180))),Reference!$A$6:$A$11,1))+1)-INDEX(Reference!$A$6:$A$11,MIN(5,MATCH(MAX(Reference!$A$6,MIN(Reference!$A$11,MIN(D199,180))),Reference!$A$6:$A$11,1))))),0)+IF(5&lt;=AE199,(AE199-5+3)*(INDEX(Reference!$B$6:$B$11,MIN(5,MATCH(MAX(Reference!$A$6,MIN(Reference!$A$11,MIN(D199,210))),Reference!$A$6:$A$11,1)))+(MAX(Reference!$A$6,MIN(Reference!$A$11,MIN(D199,210)))-INDEX(Reference!$A$6:$A$11,MIN(5,MATCH(MAX(Reference!$A$6,MIN(Reference!$A$11,MIN(D199,210))),Reference!$A$6:$A$11,1))))*(INDEX(Reference!$B$6:$B$11,MIN(5,MATCH(MAX(Reference!$A$6,MIN(Reference!$A$11,MIN(D199,210))),Reference!$A$6:$A$11,1))+1)-INDEX(Reference!$B$6:$B$11,MIN(5,MATCH(MAX(Reference!$A$6,MIN(Reference!$A$11,MIN(D199,210))),Reference!$A$6:$A$11,1))))/(INDEX(Reference!$A$6:$A$11,MIN(5,MATCH(MAX(Reference!$A$6,MIN(Reference!$A$11,MIN(D199,210))),Reference!$A$6:$A$11,1))+1)-INDEX(Reference!$A$6:$A$11,MIN(5,MATCH(MAX(Reference!$A$6,MIN(Reference!$A$11,MIN(D199,210))),Reference!$A$6:$A$11,1))))),0)+IF(6&lt;=AE199,(AE199-6+3)*(INDEX(Reference!$B$6:$B$11,MIN(5,MATCH(MAX(Reference!$A$6,MIN(Reference!$A$11,MIN(D199,240))),Reference!$A$6:$A$11,1)))+(MAX(Reference!$A$6,MIN(Reference!$A$11,MIN(D199,240)))-INDEX(Reference!$A$6:$A$11,MIN(5,MATCH(MAX(Reference!$A$6,MIN(Reference!$A$11,MIN(D199,240))),Reference!$A$6:$A$11,1))))*(INDEX(Reference!$B$6:$B$11,MIN(5,MATCH(MAX(Reference!$A$6,MIN(Reference!$A$11,MIN(D199,240))),Reference!$A$6:$A$11,1))+1)-INDEX(Reference!$B$6:$B$11,MIN(5,MATCH(MAX(Reference!$A$6,MIN(Reference!$A$11,MIN(D199,240))),Reference!$A$6:$A$11,1))))/(INDEX(Reference!$A$6:$A$11,MIN(5,MATCH(MAX(Reference!$A$6,MIN(Reference!$A$11,MIN(D199,240))),Reference!$A$6:$A$11,1))+1)-INDEX(Reference!$A$6:$A$11,MIN(5,MATCH(MAX(Reference!$A$6,MIN(Reference!$A$11,MIN(D199,240))),Reference!$A$6:$A$11,1))))),0)+IF(7&lt;=AE199,(AE199-7+3)*(INDEX(Reference!$B$6:$B$11,MIN(5,MATCH(MAX(Reference!$A$6,MIN(Reference!$A$11,MIN(D199,270))),Reference!$A$6:$A$11,1)))+(MAX(Reference!$A$6,MIN(Reference!$A$11,MIN(D199,270)))-INDEX(Reference!$A$6:$A$11,MIN(5,MATCH(MAX(Reference!$A$6,MIN(Reference!$A$11,MIN(D199,270))),Reference!$A$6:$A$11,1))))*(INDEX(Reference!$B$6:$B$11,MIN(5,MATCH(MAX(Reference!$A$6,MIN(Reference!$A$11,MIN(D199,270))),Reference!$A$6:$A$11,1))+1)-INDEX(Reference!$B$6:$B$11,MIN(5,MATCH(MAX(Reference!$A$6,MIN(Reference!$A$11,MIN(D199,270))),Reference!$A$6:$A$11,1))))/(INDEX(Reference!$A$6:$A$11,MIN(5,MATCH(MAX(Reference!$A$6,MIN(Reference!$A$11,MIN(D199,270))),Reference!$A$6:$A$11,1))+1)-INDEX(Reference!$A$6:$A$11,MIN(5,MATCH(MAX(Reference!$A$6,MIN(Reference!$A$11,MIN(D199,270))),Reference!$A$6:$A$11,1))))),0)+IF(8&lt;=AE199,(AE199-8+3)*(INDEX(Reference!$B$6:$B$11,MIN(5,MATCH(MAX(Reference!$A$6,MIN(Reference!$A$11,MIN(D199,300))),Reference!$A$6:$A$11,1)))+(MAX(Reference!$A$6,MIN(Reference!$A$11,MIN(D199,300)))-INDEX(Reference!$A$6:$A$11,MIN(5,MATCH(MAX(Reference!$A$6,MIN(Reference!$A$11,MIN(D199,300))),Reference!$A$6:$A$11,1))))*(INDEX(Reference!$B$6:$B$11,MIN(5,MATCH(MAX(Reference!$A$6,MIN(Reference!$A$11,MIN(D199,300))),Reference!$A$6:$A$11,1))+1)-INDEX(Reference!$B$6:$B$11,MIN(5,MATCH(MAX(Reference!$A$6,MIN(Reference!$A$11,MIN(D199,300))),Reference!$A$6:$A$11,1))))/(INDEX(Reference!$A$6:$A$11,MIN(5,MATCH(MAX(Reference!$A$6,MIN(Reference!$A$11,MIN(D199,300))),Reference!$A$6:$A$11,1))+1)-INDEX(Reference!$A$6:$A$11,MIN(5,MATCH(MAX(Reference!$A$6,MIN(Reference!$A$11,MIN(D199,300))),Reference!$A$6:$A$11,1))))),0))/(AE199*(AE199+5)/2)),(INDEX(Reference!$B$6:$B$11,MIN(5,MATCH(MAX(Reference!$A$6,MIN(Reference!$A$11,D199)),Reference!$A$6:$A$11,1)))+(MAX(Reference!$A$6,MIN(Reference!$A$11,D199))-INDEX(Reference!$A$6:$A$11,MIN(5,MATCH(MAX(Reference!$A$6,MIN(Reference!$A$11,D199)),Reference!$A$6:$A$11,1))))*(INDEX(Reference!$B$6:$B$11,MIN(5,MATCH(MAX(Reference!$A$6,MIN(Reference!$A$11,D199)),Reference!$A$6:$A$11,1))+1)-INDEX(Reference!$B$6:$B$11,MIN(5,MATCH(MAX(Reference!$A$6,MIN(Reference!$A$11,D199)),Reference!$A$6:$A$11,1))))/(INDEX(Reference!$A$6:$A$11,MIN(5,MATCH(MAX(Reference!$A$6,MIN(Reference!$A$11,D199)),Reference!$A$6:$A$11,1))+1)-INDEX(Reference!$A$6:$A$11,MIN(5,MATCH(MAX(Reference!$A$6,MIN(Reference!$A$11,D199)),Reference!$A$6:$A$11,1))))))))</f>
        <v/>
      </c>
      <c r="P199" s="32" t="str">
        <f>IF(N199="","",VLOOKUP(MAX(N199,0),Reference!$A$17:$B$20,2,TRUE()))</f>
        <v/>
      </c>
      <c r="Q199" s="32" t="str">
        <f t="shared" si="30"/>
        <v/>
      </c>
      <c r="R199" s="31"/>
      <c r="S199" s="31"/>
      <c r="T199" s="31"/>
      <c r="U199" s="32" t="str">
        <f t="shared" si="31"/>
        <v/>
      </c>
      <c r="V199" s="32" t="str">
        <f t="shared" si="32"/>
        <v/>
      </c>
      <c r="W199" s="32" t="str">
        <f>IF(V199="","",VLOOKUP(MAX(V199,0),Reference!$A$17:$B$20,2,TRUE()))</f>
        <v/>
      </c>
      <c r="X199" s="31"/>
      <c r="Y199" s="31"/>
      <c r="Z199" s="31"/>
      <c r="AA199" s="32" t="str">
        <f t="shared" si="33"/>
        <v/>
      </c>
      <c r="AB199" s="32" t="str">
        <f t="shared" si="34"/>
        <v/>
      </c>
      <c r="AC199" s="32" t="str">
        <f>IF(AB199="","",VLOOKUP(MAX(AB199,0),Reference!$A$17:$B$20,2,TRUE()))</f>
        <v/>
      </c>
      <c r="AD199" s="31"/>
      <c r="AE199">
        <f t="shared" si="35"/>
        <v>1</v>
      </c>
      <c r="AF199" s="33" t="str">
        <f>IF(OR(A199="",B199="",AND(C199&lt;&gt;"Bullpen",C199&lt;&gt;"Game")),"",IF((COUNTIFS($B$5:$B$300,B199,$A$5:$A$300,A199-1,$C$5:$C$300,"Bullpen",$AG$5:$AG$300,"&gt;0") + COUNTIFS($B$5:$B$300,B199,$A$5:$A$300,A199-1,$C$5:$C$300,"Game",$AG$5:$AG$300,"&gt;0"))&gt;0,Reference!$B$119,IF((COUNTIFS($B$5:$B$300,B199,$A$5:$A$300,A199-2,$C$5:$C$300,"Bullpen",$AG$5:$AG$300,"&gt;0") + COUNTIFS($B$5:$B$300,B199,$A$5:$A$300,A199-2,$C$5:$C$300,"Game",$AG$5:$AG$300,"&gt;0"))&gt;0,Reference!$B$120,1)))</f>
        <v/>
      </c>
      <c r="AG199" s="30" t="str">
        <f>IF(AND(OR(I199="",O199="",P199=""),OR(R199="",W199=""),OR(X199="",AC199="")),"",IF(OR(I199="",O199="",P199=""),0,I199*O199*P199)+IF(OR(R199="",W199=""),0,R199*IFERROR(INDEX(Reference!$B$61:$B$62,MATCH("Bullpen",Reference!$A$61:$A$62,0)),0)*W199)+IF(OR(X199="",AC199=""),0,X199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199))</f>
        <v/>
      </c>
    </row>
    <row r="200" spans="1:33" x14ac:dyDescent="0.3">
      <c r="A200" s="35"/>
      <c r="B200" s="31"/>
      <c r="C200" s="31"/>
      <c r="D200" s="31"/>
      <c r="E200" s="34"/>
      <c r="F200" s="34"/>
      <c r="G200" s="30" t="str">
        <f t="shared" si="27"/>
        <v/>
      </c>
      <c r="H200" s="31"/>
      <c r="I200" s="32" t="str">
        <f>IF(H200&lt;&gt;"",H200,IF(G200="","",ROUND(G200*IFERROR(INDEX(Reference!$B$44:$B$50,MATCH(C200,Reference!$A$44:$A$50,0)),0),0)))</f>
        <v/>
      </c>
      <c r="J200" s="31"/>
      <c r="K200" s="31"/>
      <c r="L200" s="32" t="str">
        <f t="shared" si="28"/>
        <v/>
      </c>
      <c r="M200" s="32" t="str">
        <f>IFERROR(INDEX(Roster!$D$5:$D$40,MATCH(B200,Roster!$A$5:$A$40,0)),"")</f>
        <v/>
      </c>
      <c r="N200" s="32" t="str">
        <f t="shared" si="29"/>
        <v/>
      </c>
      <c r="O200" s="32" t="str">
        <f>IF(OR(C200="Bullpen",C200="Game"),IFERROR(INDEX(Reference!$B$61:$B$62,MATCH(C200,Reference!$A$61:$A$62,0)),""),IF(D200="","",IF(AE200&gt;1,((IF(1&lt;=AE200,(AE200-1+3)*(INDEX(Reference!$B$6:$B$11,MIN(5,MATCH(MAX(Reference!$A$6,MIN(Reference!$A$11,MIN(D200,90))),Reference!$A$6:$A$11,1)))+(MAX(Reference!$A$6,MIN(Reference!$A$11,MIN(D200,90)))-INDEX(Reference!$A$6:$A$11,MIN(5,MATCH(MAX(Reference!$A$6,MIN(Reference!$A$11,MIN(D200,90))),Reference!$A$6:$A$11,1))))*(INDEX(Reference!$B$6:$B$11,MIN(5,MATCH(MAX(Reference!$A$6,MIN(Reference!$A$11,MIN(D200,90))),Reference!$A$6:$A$11,1))+1)-INDEX(Reference!$B$6:$B$11,MIN(5,MATCH(MAX(Reference!$A$6,MIN(Reference!$A$11,MIN(D200,90))),Reference!$A$6:$A$11,1))))/(INDEX(Reference!$A$6:$A$11,MIN(5,MATCH(MAX(Reference!$A$6,MIN(Reference!$A$11,MIN(D200,90))),Reference!$A$6:$A$11,1))+1)-INDEX(Reference!$A$6:$A$11,MIN(5,MATCH(MAX(Reference!$A$6,MIN(Reference!$A$11,MIN(D200,90))),Reference!$A$6:$A$11,1))))),0)+IF(2&lt;=AE200,(AE200-2+3)*(INDEX(Reference!$B$6:$B$11,MIN(5,MATCH(MAX(Reference!$A$6,MIN(Reference!$A$11,MIN(D200,120))),Reference!$A$6:$A$11,1)))+(MAX(Reference!$A$6,MIN(Reference!$A$11,MIN(D200,120)))-INDEX(Reference!$A$6:$A$11,MIN(5,MATCH(MAX(Reference!$A$6,MIN(Reference!$A$11,MIN(D200,120))),Reference!$A$6:$A$11,1))))*(INDEX(Reference!$B$6:$B$11,MIN(5,MATCH(MAX(Reference!$A$6,MIN(Reference!$A$11,MIN(D200,120))),Reference!$A$6:$A$11,1))+1)-INDEX(Reference!$B$6:$B$11,MIN(5,MATCH(MAX(Reference!$A$6,MIN(Reference!$A$11,MIN(D200,120))),Reference!$A$6:$A$11,1))))/(INDEX(Reference!$A$6:$A$11,MIN(5,MATCH(MAX(Reference!$A$6,MIN(Reference!$A$11,MIN(D200,120))),Reference!$A$6:$A$11,1))+1)-INDEX(Reference!$A$6:$A$11,MIN(5,MATCH(MAX(Reference!$A$6,MIN(Reference!$A$11,MIN(D200,120))),Reference!$A$6:$A$11,1))))),0)+IF(3&lt;=AE200,(AE200-3+3)*(INDEX(Reference!$B$6:$B$11,MIN(5,MATCH(MAX(Reference!$A$6,MIN(Reference!$A$11,MIN(D200,150))),Reference!$A$6:$A$11,1)))+(MAX(Reference!$A$6,MIN(Reference!$A$11,MIN(D200,150)))-INDEX(Reference!$A$6:$A$11,MIN(5,MATCH(MAX(Reference!$A$6,MIN(Reference!$A$11,MIN(D200,150))),Reference!$A$6:$A$11,1))))*(INDEX(Reference!$B$6:$B$11,MIN(5,MATCH(MAX(Reference!$A$6,MIN(Reference!$A$11,MIN(D200,150))),Reference!$A$6:$A$11,1))+1)-INDEX(Reference!$B$6:$B$11,MIN(5,MATCH(MAX(Reference!$A$6,MIN(Reference!$A$11,MIN(D200,150))),Reference!$A$6:$A$11,1))))/(INDEX(Reference!$A$6:$A$11,MIN(5,MATCH(MAX(Reference!$A$6,MIN(Reference!$A$11,MIN(D200,150))),Reference!$A$6:$A$11,1))+1)-INDEX(Reference!$A$6:$A$11,MIN(5,MATCH(MAX(Reference!$A$6,MIN(Reference!$A$11,MIN(D200,150))),Reference!$A$6:$A$11,1))))),0)+IF(4&lt;=AE200,(AE200-4+3)*(INDEX(Reference!$B$6:$B$11,MIN(5,MATCH(MAX(Reference!$A$6,MIN(Reference!$A$11,MIN(D200,180))),Reference!$A$6:$A$11,1)))+(MAX(Reference!$A$6,MIN(Reference!$A$11,MIN(D200,180)))-INDEX(Reference!$A$6:$A$11,MIN(5,MATCH(MAX(Reference!$A$6,MIN(Reference!$A$11,MIN(D200,180))),Reference!$A$6:$A$11,1))))*(INDEX(Reference!$B$6:$B$11,MIN(5,MATCH(MAX(Reference!$A$6,MIN(Reference!$A$11,MIN(D200,180))),Reference!$A$6:$A$11,1))+1)-INDEX(Reference!$B$6:$B$11,MIN(5,MATCH(MAX(Reference!$A$6,MIN(Reference!$A$11,MIN(D200,180))),Reference!$A$6:$A$11,1))))/(INDEX(Reference!$A$6:$A$11,MIN(5,MATCH(MAX(Reference!$A$6,MIN(Reference!$A$11,MIN(D200,180))),Reference!$A$6:$A$11,1))+1)-INDEX(Reference!$A$6:$A$11,MIN(5,MATCH(MAX(Reference!$A$6,MIN(Reference!$A$11,MIN(D200,180))),Reference!$A$6:$A$11,1))))),0)+IF(5&lt;=AE200,(AE200-5+3)*(INDEX(Reference!$B$6:$B$11,MIN(5,MATCH(MAX(Reference!$A$6,MIN(Reference!$A$11,MIN(D200,210))),Reference!$A$6:$A$11,1)))+(MAX(Reference!$A$6,MIN(Reference!$A$11,MIN(D200,210)))-INDEX(Reference!$A$6:$A$11,MIN(5,MATCH(MAX(Reference!$A$6,MIN(Reference!$A$11,MIN(D200,210))),Reference!$A$6:$A$11,1))))*(INDEX(Reference!$B$6:$B$11,MIN(5,MATCH(MAX(Reference!$A$6,MIN(Reference!$A$11,MIN(D200,210))),Reference!$A$6:$A$11,1))+1)-INDEX(Reference!$B$6:$B$11,MIN(5,MATCH(MAX(Reference!$A$6,MIN(Reference!$A$11,MIN(D200,210))),Reference!$A$6:$A$11,1))))/(INDEX(Reference!$A$6:$A$11,MIN(5,MATCH(MAX(Reference!$A$6,MIN(Reference!$A$11,MIN(D200,210))),Reference!$A$6:$A$11,1))+1)-INDEX(Reference!$A$6:$A$11,MIN(5,MATCH(MAX(Reference!$A$6,MIN(Reference!$A$11,MIN(D200,210))),Reference!$A$6:$A$11,1))))),0)+IF(6&lt;=AE200,(AE200-6+3)*(INDEX(Reference!$B$6:$B$11,MIN(5,MATCH(MAX(Reference!$A$6,MIN(Reference!$A$11,MIN(D200,240))),Reference!$A$6:$A$11,1)))+(MAX(Reference!$A$6,MIN(Reference!$A$11,MIN(D200,240)))-INDEX(Reference!$A$6:$A$11,MIN(5,MATCH(MAX(Reference!$A$6,MIN(Reference!$A$11,MIN(D200,240))),Reference!$A$6:$A$11,1))))*(INDEX(Reference!$B$6:$B$11,MIN(5,MATCH(MAX(Reference!$A$6,MIN(Reference!$A$11,MIN(D200,240))),Reference!$A$6:$A$11,1))+1)-INDEX(Reference!$B$6:$B$11,MIN(5,MATCH(MAX(Reference!$A$6,MIN(Reference!$A$11,MIN(D200,240))),Reference!$A$6:$A$11,1))))/(INDEX(Reference!$A$6:$A$11,MIN(5,MATCH(MAX(Reference!$A$6,MIN(Reference!$A$11,MIN(D200,240))),Reference!$A$6:$A$11,1))+1)-INDEX(Reference!$A$6:$A$11,MIN(5,MATCH(MAX(Reference!$A$6,MIN(Reference!$A$11,MIN(D200,240))),Reference!$A$6:$A$11,1))))),0)+IF(7&lt;=AE200,(AE200-7+3)*(INDEX(Reference!$B$6:$B$11,MIN(5,MATCH(MAX(Reference!$A$6,MIN(Reference!$A$11,MIN(D200,270))),Reference!$A$6:$A$11,1)))+(MAX(Reference!$A$6,MIN(Reference!$A$11,MIN(D200,270)))-INDEX(Reference!$A$6:$A$11,MIN(5,MATCH(MAX(Reference!$A$6,MIN(Reference!$A$11,MIN(D200,270))),Reference!$A$6:$A$11,1))))*(INDEX(Reference!$B$6:$B$11,MIN(5,MATCH(MAX(Reference!$A$6,MIN(Reference!$A$11,MIN(D200,270))),Reference!$A$6:$A$11,1))+1)-INDEX(Reference!$B$6:$B$11,MIN(5,MATCH(MAX(Reference!$A$6,MIN(Reference!$A$11,MIN(D200,270))),Reference!$A$6:$A$11,1))))/(INDEX(Reference!$A$6:$A$11,MIN(5,MATCH(MAX(Reference!$A$6,MIN(Reference!$A$11,MIN(D200,270))),Reference!$A$6:$A$11,1))+1)-INDEX(Reference!$A$6:$A$11,MIN(5,MATCH(MAX(Reference!$A$6,MIN(Reference!$A$11,MIN(D200,270))),Reference!$A$6:$A$11,1))))),0)+IF(8&lt;=AE200,(AE200-8+3)*(INDEX(Reference!$B$6:$B$11,MIN(5,MATCH(MAX(Reference!$A$6,MIN(Reference!$A$11,MIN(D200,300))),Reference!$A$6:$A$11,1)))+(MAX(Reference!$A$6,MIN(Reference!$A$11,MIN(D200,300)))-INDEX(Reference!$A$6:$A$11,MIN(5,MATCH(MAX(Reference!$A$6,MIN(Reference!$A$11,MIN(D200,300))),Reference!$A$6:$A$11,1))))*(INDEX(Reference!$B$6:$B$11,MIN(5,MATCH(MAX(Reference!$A$6,MIN(Reference!$A$11,MIN(D200,300))),Reference!$A$6:$A$11,1))+1)-INDEX(Reference!$B$6:$B$11,MIN(5,MATCH(MAX(Reference!$A$6,MIN(Reference!$A$11,MIN(D200,300))),Reference!$A$6:$A$11,1))))/(INDEX(Reference!$A$6:$A$11,MIN(5,MATCH(MAX(Reference!$A$6,MIN(Reference!$A$11,MIN(D200,300))),Reference!$A$6:$A$11,1))+1)-INDEX(Reference!$A$6:$A$11,MIN(5,MATCH(MAX(Reference!$A$6,MIN(Reference!$A$11,MIN(D200,300))),Reference!$A$6:$A$11,1))))),0))/(AE200*(AE200+5)/2)),(INDEX(Reference!$B$6:$B$11,MIN(5,MATCH(MAX(Reference!$A$6,MIN(Reference!$A$11,D200)),Reference!$A$6:$A$11,1)))+(MAX(Reference!$A$6,MIN(Reference!$A$11,D200))-INDEX(Reference!$A$6:$A$11,MIN(5,MATCH(MAX(Reference!$A$6,MIN(Reference!$A$11,D200)),Reference!$A$6:$A$11,1))))*(INDEX(Reference!$B$6:$B$11,MIN(5,MATCH(MAX(Reference!$A$6,MIN(Reference!$A$11,D200)),Reference!$A$6:$A$11,1))+1)-INDEX(Reference!$B$6:$B$11,MIN(5,MATCH(MAX(Reference!$A$6,MIN(Reference!$A$11,D200)),Reference!$A$6:$A$11,1))))/(INDEX(Reference!$A$6:$A$11,MIN(5,MATCH(MAX(Reference!$A$6,MIN(Reference!$A$11,D200)),Reference!$A$6:$A$11,1))+1)-INDEX(Reference!$A$6:$A$11,MIN(5,MATCH(MAX(Reference!$A$6,MIN(Reference!$A$11,D200)),Reference!$A$6:$A$11,1))))))))</f>
        <v/>
      </c>
      <c r="P200" s="32" t="str">
        <f>IF(N200="","",VLOOKUP(MAX(N200,0),Reference!$A$17:$B$20,2,TRUE()))</f>
        <v/>
      </c>
      <c r="Q200" s="32" t="str">
        <f t="shared" si="30"/>
        <v/>
      </c>
      <c r="R200" s="31"/>
      <c r="S200" s="31"/>
      <c r="T200" s="31"/>
      <c r="U200" s="32" t="str">
        <f t="shared" si="31"/>
        <v/>
      </c>
      <c r="V200" s="32" t="str">
        <f t="shared" si="32"/>
        <v/>
      </c>
      <c r="W200" s="32" t="str">
        <f>IF(V200="","",VLOOKUP(MAX(V200,0),Reference!$A$17:$B$20,2,TRUE()))</f>
        <v/>
      </c>
      <c r="X200" s="31"/>
      <c r="Y200" s="31"/>
      <c r="Z200" s="31"/>
      <c r="AA200" s="32" t="str">
        <f t="shared" si="33"/>
        <v/>
      </c>
      <c r="AB200" s="32" t="str">
        <f t="shared" si="34"/>
        <v/>
      </c>
      <c r="AC200" s="32" t="str">
        <f>IF(AB200="","",VLOOKUP(MAX(AB200,0),Reference!$A$17:$B$20,2,TRUE()))</f>
        <v/>
      </c>
      <c r="AD200" s="31"/>
      <c r="AE200">
        <f t="shared" si="35"/>
        <v>1</v>
      </c>
      <c r="AF200" s="33" t="str">
        <f>IF(OR(A200="",B200="",AND(C200&lt;&gt;"Bullpen",C200&lt;&gt;"Game")),"",IF((COUNTIFS($B$5:$B$300,B200,$A$5:$A$300,A200-1,$C$5:$C$300,"Bullpen",$AG$5:$AG$300,"&gt;0") + COUNTIFS($B$5:$B$300,B200,$A$5:$A$300,A200-1,$C$5:$C$300,"Game",$AG$5:$AG$300,"&gt;0"))&gt;0,Reference!$B$119,IF((COUNTIFS($B$5:$B$300,B200,$A$5:$A$300,A200-2,$C$5:$C$300,"Bullpen",$AG$5:$AG$300,"&gt;0") + COUNTIFS($B$5:$B$300,B200,$A$5:$A$300,A200-2,$C$5:$C$300,"Game",$AG$5:$AG$300,"&gt;0"))&gt;0,Reference!$B$120,1)))</f>
        <v/>
      </c>
      <c r="AG200" s="30" t="str">
        <f>IF(AND(OR(I200="",O200="",P200=""),OR(R200="",W200=""),OR(X200="",AC200="")),"",IF(OR(I200="",O200="",P200=""),0,I200*O200*P200)+IF(OR(R200="",W200=""),0,R200*IFERROR(INDEX(Reference!$B$61:$B$62,MATCH("Bullpen",Reference!$A$61:$A$62,0)),0)*W200)+IF(OR(X200="",AC200=""),0,X200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200))</f>
        <v/>
      </c>
    </row>
    <row r="201" spans="1:33" x14ac:dyDescent="0.3">
      <c r="A201" s="35"/>
      <c r="B201" s="31"/>
      <c r="C201" s="31"/>
      <c r="D201" s="31"/>
      <c r="E201" s="34"/>
      <c r="F201" s="34"/>
      <c r="G201" s="30" t="str">
        <f t="shared" si="27"/>
        <v/>
      </c>
      <c r="H201" s="31"/>
      <c r="I201" s="32" t="str">
        <f>IF(H201&lt;&gt;"",H201,IF(G201="","",ROUND(G201*IFERROR(INDEX(Reference!$B$44:$B$50,MATCH(C201,Reference!$A$44:$A$50,0)),0),0)))</f>
        <v/>
      </c>
      <c r="J201" s="31"/>
      <c r="K201" s="31"/>
      <c r="L201" s="32" t="str">
        <f t="shared" si="28"/>
        <v/>
      </c>
      <c r="M201" s="32" t="str">
        <f>IFERROR(INDEX(Roster!$D$5:$D$40,MATCH(B201,Roster!$A$5:$A$40,0)),"")</f>
        <v/>
      </c>
      <c r="N201" s="32" t="str">
        <f t="shared" si="29"/>
        <v/>
      </c>
      <c r="O201" s="32" t="str">
        <f>IF(OR(C201="Bullpen",C201="Game"),IFERROR(INDEX(Reference!$B$61:$B$62,MATCH(C201,Reference!$A$61:$A$62,0)),""),IF(D201="","",IF(AE201&gt;1,((IF(1&lt;=AE201,(AE201-1+3)*(INDEX(Reference!$B$6:$B$11,MIN(5,MATCH(MAX(Reference!$A$6,MIN(Reference!$A$11,MIN(D201,90))),Reference!$A$6:$A$11,1)))+(MAX(Reference!$A$6,MIN(Reference!$A$11,MIN(D201,90)))-INDEX(Reference!$A$6:$A$11,MIN(5,MATCH(MAX(Reference!$A$6,MIN(Reference!$A$11,MIN(D201,90))),Reference!$A$6:$A$11,1))))*(INDEX(Reference!$B$6:$B$11,MIN(5,MATCH(MAX(Reference!$A$6,MIN(Reference!$A$11,MIN(D201,90))),Reference!$A$6:$A$11,1))+1)-INDEX(Reference!$B$6:$B$11,MIN(5,MATCH(MAX(Reference!$A$6,MIN(Reference!$A$11,MIN(D201,90))),Reference!$A$6:$A$11,1))))/(INDEX(Reference!$A$6:$A$11,MIN(5,MATCH(MAX(Reference!$A$6,MIN(Reference!$A$11,MIN(D201,90))),Reference!$A$6:$A$11,1))+1)-INDEX(Reference!$A$6:$A$11,MIN(5,MATCH(MAX(Reference!$A$6,MIN(Reference!$A$11,MIN(D201,90))),Reference!$A$6:$A$11,1))))),0)+IF(2&lt;=AE201,(AE201-2+3)*(INDEX(Reference!$B$6:$B$11,MIN(5,MATCH(MAX(Reference!$A$6,MIN(Reference!$A$11,MIN(D201,120))),Reference!$A$6:$A$11,1)))+(MAX(Reference!$A$6,MIN(Reference!$A$11,MIN(D201,120)))-INDEX(Reference!$A$6:$A$11,MIN(5,MATCH(MAX(Reference!$A$6,MIN(Reference!$A$11,MIN(D201,120))),Reference!$A$6:$A$11,1))))*(INDEX(Reference!$B$6:$B$11,MIN(5,MATCH(MAX(Reference!$A$6,MIN(Reference!$A$11,MIN(D201,120))),Reference!$A$6:$A$11,1))+1)-INDEX(Reference!$B$6:$B$11,MIN(5,MATCH(MAX(Reference!$A$6,MIN(Reference!$A$11,MIN(D201,120))),Reference!$A$6:$A$11,1))))/(INDEX(Reference!$A$6:$A$11,MIN(5,MATCH(MAX(Reference!$A$6,MIN(Reference!$A$11,MIN(D201,120))),Reference!$A$6:$A$11,1))+1)-INDEX(Reference!$A$6:$A$11,MIN(5,MATCH(MAX(Reference!$A$6,MIN(Reference!$A$11,MIN(D201,120))),Reference!$A$6:$A$11,1))))),0)+IF(3&lt;=AE201,(AE201-3+3)*(INDEX(Reference!$B$6:$B$11,MIN(5,MATCH(MAX(Reference!$A$6,MIN(Reference!$A$11,MIN(D201,150))),Reference!$A$6:$A$11,1)))+(MAX(Reference!$A$6,MIN(Reference!$A$11,MIN(D201,150)))-INDEX(Reference!$A$6:$A$11,MIN(5,MATCH(MAX(Reference!$A$6,MIN(Reference!$A$11,MIN(D201,150))),Reference!$A$6:$A$11,1))))*(INDEX(Reference!$B$6:$B$11,MIN(5,MATCH(MAX(Reference!$A$6,MIN(Reference!$A$11,MIN(D201,150))),Reference!$A$6:$A$11,1))+1)-INDEX(Reference!$B$6:$B$11,MIN(5,MATCH(MAX(Reference!$A$6,MIN(Reference!$A$11,MIN(D201,150))),Reference!$A$6:$A$11,1))))/(INDEX(Reference!$A$6:$A$11,MIN(5,MATCH(MAX(Reference!$A$6,MIN(Reference!$A$11,MIN(D201,150))),Reference!$A$6:$A$11,1))+1)-INDEX(Reference!$A$6:$A$11,MIN(5,MATCH(MAX(Reference!$A$6,MIN(Reference!$A$11,MIN(D201,150))),Reference!$A$6:$A$11,1))))),0)+IF(4&lt;=AE201,(AE201-4+3)*(INDEX(Reference!$B$6:$B$11,MIN(5,MATCH(MAX(Reference!$A$6,MIN(Reference!$A$11,MIN(D201,180))),Reference!$A$6:$A$11,1)))+(MAX(Reference!$A$6,MIN(Reference!$A$11,MIN(D201,180)))-INDEX(Reference!$A$6:$A$11,MIN(5,MATCH(MAX(Reference!$A$6,MIN(Reference!$A$11,MIN(D201,180))),Reference!$A$6:$A$11,1))))*(INDEX(Reference!$B$6:$B$11,MIN(5,MATCH(MAX(Reference!$A$6,MIN(Reference!$A$11,MIN(D201,180))),Reference!$A$6:$A$11,1))+1)-INDEX(Reference!$B$6:$B$11,MIN(5,MATCH(MAX(Reference!$A$6,MIN(Reference!$A$11,MIN(D201,180))),Reference!$A$6:$A$11,1))))/(INDEX(Reference!$A$6:$A$11,MIN(5,MATCH(MAX(Reference!$A$6,MIN(Reference!$A$11,MIN(D201,180))),Reference!$A$6:$A$11,1))+1)-INDEX(Reference!$A$6:$A$11,MIN(5,MATCH(MAX(Reference!$A$6,MIN(Reference!$A$11,MIN(D201,180))),Reference!$A$6:$A$11,1))))),0)+IF(5&lt;=AE201,(AE201-5+3)*(INDEX(Reference!$B$6:$B$11,MIN(5,MATCH(MAX(Reference!$A$6,MIN(Reference!$A$11,MIN(D201,210))),Reference!$A$6:$A$11,1)))+(MAX(Reference!$A$6,MIN(Reference!$A$11,MIN(D201,210)))-INDEX(Reference!$A$6:$A$11,MIN(5,MATCH(MAX(Reference!$A$6,MIN(Reference!$A$11,MIN(D201,210))),Reference!$A$6:$A$11,1))))*(INDEX(Reference!$B$6:$B$11,MIN(5,MATCH(MAX(Reference!$A$6,MIN(Reference!$A$11,MIN(D201,210))),Reference!$A$6:$A$11,1))+1)-INDEX(Reference!$B$6:$B$11,MIN(5,MATCH(MAX(Reference!$A$6,MIN(Reference!$A$11,MIN(D201,210))),Reference!$A$6:$A$11,1))))/(INDEX(Reference!$A$6:$A$11,MIN(5,MATCH(MAX(Reference!$A$6,MIN(Reference!$A$11,MIN(D201,210))),Reference!$A$6:$A$11,1))+1)-INDEX(Reference!$A$6:$A$11,MIN(5,MATCH(MAX(Reference!$A$6,MIN(Reference!$A$11,MIN(D201,210))),Reference!$A$6:$A$11,1))))),0)+IF(6&lt;=AE201,(AE201-6+3)*(INDEX(Reference!$B$6:$B$11,MIN(5,MATCH(MAX(Reference!$A$6,MIN(Reference!$A$11,MIN(D201,240))),Reference!$A$6:$A$11,1)))+(MAX(Reference!$A$6,MIN(Reference!$A$11,MIN(D201,240)))-INDEX(Reference!$A$6:$A$11,MIN(5,MATCH(MAX(Reference!$A$6,MIN(Reference!$A$11,MIN(D201,240))),Reference!$A$6:$A$11,1))))*(INDEX(Reference!$B$6:$B$11,MIN(5,MATCH(MAX(Reference!$A$6,MIN(Reference!$A$11,MIN(D201,240))),Reference!$A$6:$A$11,1))+1)-INDEX(Reference!$B$6:$B$11,MIN(5,MATCH(MAX(Reference!$A$6,MIN(Reference!$A$11,MIN(D201,240))),Reference!$A$6:$A$11,1))))/(INDEX(Reference!$A$6:$A$11,MIN(5,MATCH(MAX(Reference!$A$6,MIN(Reference!$A$11,MIN(D201,240))),Reference!$A$6:$A$11,1))+1)-INDEX(Reference!$A$6:$A$11,MIN(5,MATCH(MAX(Reference!$A$6,MIN(Reference!$A$11,MIN(D201,240))),Reference!$A$6:$A$11,1))))),0)+IF(7&lt;=AE201,(AE201-7+3)*(INDEX(Reference!$B$6:$B$11,MIN(5,MATCH(MAX(Reference!$A$6,MIN(Reference!$A$11,MIN(D201,270))),Reference!$A$6:$A$11,1)))+(MAX(Reference!$A$6,MIN(Reference!$A$11,MIN(D201,270)))-INDEX(Reference!$A$6:$A$11,MIN(5,MATCH(MAX(Reference!$A$6,MIN(Reference!$A$11,MIN(D201,270))),Reference!$A$6:$A$11,1))))*(INDEX(Reference!$B$6:$B$11,MIN(5,MATCH(MAX(Reference!$A$6,MIN(Reference!$A$11,MIN(D201,270))),Reference!$A$6:$A$11,1))+1)-INDEX(Reference!$B$6:$B$11,MIN(5,MATCH(MAX(Reference!$A$6,MIN(Reference!$A$11,MIN(D201,270))),Reference!$A$6:$A$11,1))))/(INDEX(Reference!$A$6:$A$11,MIN(5,MATCH(MAX(Reference!$A$6,MIN(Reference!$A$11,MIN(D201,270))),Reference!$A$6:$A$11,1))+1)-INDEX(Reference!$A$6:$A$11,MIN(5,MATCH(MAX(Reference!$A$6,MIN(Reference!$A$11,MIN(D201,270))),Reference!$A$6:$A$11,1))))),0)+IF(8&lt;=AE201,(AE201-8+3)*(INDEX(Reference!$B$6:$B$11,MIN(5,MATCH(MAX(Reference!$A$6,MIN(Reference!$A$11,MIN(D201,300))),Reference!$A$6:$A$11,1)))+(MAX(Reference!$A$6,MIN(Reference!$A$11,MIN(D201,300)))-INDEX(Reference!$A$6:$A$11,MIN(5,MATCH(MAX(Reference!$A$6,MIN(Reference!$A$11,MIN(D201,300))),Reference!$A$6:$A$11,1))))*(INDEX(Reference!$B$6:$B$11,MIN(5,MATCH(MAX(Reference!$A$6,MIN(Reference!$A$11,MIN(D201,300))),Reference!$A$6:$A$11,1))+1)-INDEX(Reference!$B$6:$B$11,MIN(5,MATCH(MAX(Reference!$A$6,MIN(Reference!$A$11,MIN(D201,300))),Reference!$A$6:$A$11,1))))/(INDEX(Reference!$A$6:$A$11,MIN(5,MATCH(MAX(Reference!$A$6,MIN(Reference!$A$11,MIN(D201,300))),Reference!$A$6:$A$11,1))+1)-INDEX(Reference!$A$6:$A$11,MIN(5,MATCH(MAX(Reference!$A$6,MIN(Reference!$A$11,MIN(D201,300))),Reference!$A$6:$A$11,1))))),0))/(AE201*(AE201+5)/2)),(INDEX(Reference!$B$6:$B$11,MIN(5,MATCH(MAX(Reference!$A$6,MIN(Reference!$A$11,D201)),Reference!$A$6:$A$11,1)))+(MAX(Reference!$A$6,MIN(Reference!$A$11,D201))-INDEX(Reference!$A$6:$A$11,MIN(5,MATCH(MAX(Reference!$A$6,MIN(Reference!$A$11,D201)),Reference!$A$6:$A$11,1))))*(INDEX(Reference!$B$6:$B$11,MIN(5,MATCH(MAX(Reference!$A$6,MIN(Reference!$A$11,D201)),Reference!$A$6:$A$11,1))+1)-INDEX(Reference!$B$6:$B$11,MIN(5,MATCH(MAX(Reference!$A$6,MIN(Reference!$A$11,D201)),Reference!$A$6:$A$11,1))))/(INDEX(Reference!$A$6:$A$11,MIN(5,MATCH(MAX(Reference!$A$6,MIN(Reference!$A$11,D201)),Reference!$A$6:$A$11,1))+1)-INDEX(Reference!$A$6:$A$11,MIN(5,MATCH(MAX(Reference!$A$6,MIN(Reference!$A$11,D201)),Reference!$A$6:$A$11,1))))))))</f>
        <v/>
      </c>
      <c r="P201" s="32" t="str">
        <f>IF(N201="","",VLOOKUP(MAX(N201,0),Reference!$A$17:$B$20,2,TRUE()))</f>
        <v/>
      </c>
      <c r="Q201" s="32" t="str">
        <f t="shared" si="30"/>
        <v/>
      </c>
      <c r="R201" s="31"/>
      <c r="S201" s="31"/>
      <c r="T201" s="31"/>
      <c r="U201" s="32" t="str">
        <f t="shared" si="31"/>
        <v/>
      </c>
      <c r="V201" s="32" t="str">
        <f t="shared" si="32"/>
        <v/>
      </c>
      <c r="W201" s="32" t="str">
        <f>IF(V201="","",VLOOKUP(MAX(V201,0),Reference!$A$17:$B$20,2,TRUE()))</f>
        <v/>
      </c>
      <c r="X201" s="31"/>
      <c r="Y201" s="31"/>
      <c r="Z201" s="31"/>
      <c r="AA201" s="32" t="str">
        <f t="shared" si="33"/>
        <v/>
      </c>
      <c r="AB201" s="32" t="str">
        <f t="shared" si="34"/>
        <v/>
      </c>
      <c r="AC201" s="32" t="str">
        <f>IF(AB201="","",VLOOKUP(MAX(AB201,0),Reference!$A$17:$B$20,2,TRUE()))</f>
        <v/>
      </c>
      <c r="AD201" s="31"/>
      <c r="AE201">
        <f t="shared" si="35"/>
        <v>1</v>
      </c>
      <c r="AF201" s="33" t="str">
        <f>IF(OR(A201="",B201="",AND(C201&lt;&gt;"Bullpen",C201&lt;&gt;"Game")),"",IF((COUNTIFS($B$5:$B$300,B201,$A$5:$A$300,A201-1,$C$5:$C$300,"Bullpen",$AG$5:$AG$300,"&gt;0") + COUNTIFS($B$5:$B$300,B201,$A$5:$A$300,A201-1,$C$5:$C$300,"Game",$AG$5:$AG$300,"&gt;0"))&gt;0,Reference!$B$119,IF((COUNTIFS($B$5:$B$300,B201,$A$5:$A$300,A201-2,$C$5:$C$300,"Bullpen",$AG$5:$AG$300,"&gt;0") + COUNTIFS($B$5:$B$300,B201,$A$5:$A$300,A201-2,$C$5:$C$300,"Game",$AG$5:$AG$300,"&gt;0"))&gt;0,Reference!$B$120,1)))</f>
        <v/>
      </c>
      <c r="AG201" s="30" t="str">
        <f>IF(AND(OR(I201="",O201="",P201=""),OR(R201="",W201=""),OR(X201="",AC201="")),"",IF(OR(I201="",O201="",P201=""),0,I201*O201*P201)+IF(OR(R201="",W201=""),0,R201*IFERROR(INDEX(Reference!$B$61:$B$62,MATCH("Bullpen",Reference!$A$61:$A$62,0)),0)*W201)+IF(OR(X201="",AC201=""),0,X201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201))</f>
        <v/>
      </c>
    </row>
    <row r="202" spans="1:33" x14ac:dyDescent="0.3">
      <c r="A202" s="35"/>
      <c r="B202" s="31"/>
      <c r="C202" s="31"/>
      <c r="D202" s="31"/>
      <c r="E202" s="34"/>
      <c r="F202" s="34"/>
      <c r="G202" s="30" t="str">
        <f t="shared" si="27"/>
        <v/>
      </c>
      <c r="H202" s="31"/>
      <c r="I202" s="32" t="str">
        <f>IF(H202&lt;&gt;"",H202,IF(G202="","",ROUND(G202*IFERROR(INDEX(Reference!$B$44:$B$50,MATCH(C202,Reference!$A$44:$A$50,0)),0),0)))</f>
        <v/>
      </c>
      <c r="J202" s="31"/>
      <c r="K202" s="31"/>
      <c r="L202" s="32" t="str">
        <f t="shared" si="28"/>
        <v/>
      </c>
      <c r="M202" s="32" t="str">
        <f>IFERROR(INDEX(Roster!$D$5:$D$40,MATCH(B202,Roster!$A$5:$A$40,0)),"")</f>
        <v/>
      </c>
      <c r="N202" s="32" t="str">
        <f t="shared" si="29"/>
        <v/>
      </c>
      <c r="O202" s="32" t="str">
        <f>IF(OR(C202="Bullpen",C202="Game"),IFERROR(INDEX(Reference!$B$61:$B$62,MATCH(C202,Reference!$A$61:$A$62,0)),""),IF(D202="","",IF(AE202&gt;1,((IF(1&lt;=AE202,(AE202-1+3)*(INDEX(Reference!$B$6:$B$11,MIN(5,MATCH(MAX(Reference!$A$6,MIN(Reference!$A$11,MIN(D202,90))),Reference!$A$6:$A$11,1)))+(MAX(Reference!$A$6,MIN(Reference!$A$11,MIN(D202,90)))-INDEX(Reference!$A$6:$A$11,MIN(5,MATCH(MAX(Reference!$A$6,MIN(Reference!$A$11,MIN(D202,90))),Reference!$A$6:$A$11,1))))*(INDEX(Reference!$B$6:$B$11,MIN(5,MATCH(MAX(Reference!$A$6,MIN(Reference!$A$11,MIN(D202,90))),Reference!$A$6:$A$11,1))+1)-INDEX(Reference!$B$6:$B$11,MIN(5,MATCH(MAX(Reference!$A$6,MIN(Reference!$A$11,MIN(D202,90))),Reference!$A$6:$A$11,1))))/(INDEX(Reference!$A$6:$A$11,MIN(5,MATCH(MAX(Reference!$A$6,MIN(Reference!$A$11,MIN(D202,90))),Reference!$A$6:$A$11,1))+1)-INDEX(Reference!$A$6:$A$11,MIN(5,MATCH(MAX(Reference!$A$6,MIN(Reference!$A$11,MIN(D202,90))),Reference!$A$6:$A$11,1))))),0)+IF(2&lt;=AE202,(AE202-2+3)*(INDEX(Reference!$B$6:$B$11,MIN(5,MATCH(MAX(Reference!$A$6,MIN(Reference!$A$11,MIN(D202,120))),Reference!$A$6:$A$11,1)))+(MAX(Reference!$A$6,MIN(Reference!$A$11,MIN(D202,120)))-INDEX(Reference!$A$6:$A$11,MIN(5,MATCH(MAX(Reference!$A$6,MIN(Reference!$A$11,MIN(D202,120))),Reference!$A$6:$A$11,1))))*(INDEX(Reference!$B$6:$B$11,MIN(5,MATCH(MAX(Reference!$A$6,MIN(Reference!$A$11,MIN(D202,120))),Reference!$A$6:$A$11,1))+1)-INDEX(Reference!$B$6:$B$11,MIN(5,MATCH(MAX(Reference!$A$6,MIN(Reference!$A$11,MIN(D202,120))),Reference!$A$6:$A$11,1))))/(INDEX(Reference!$A$6:$A$11,MIN(5,MATCH(MAX(Reference!$A$6,MIN(Reference!$A$11,MIN(D202,120))),Reference!$A$6:$A$11,1))+1)-INDEX(Reference!$A$6:$A$11,MIN(5,MATCH(MAX(Reference!$A$6,MIN(Reference!$A$11,MIN(D202,120))),Reference!$A$6:$A$11,1))))),0)+IF(3&lt;=AE202,(AE202-3+3)*(INDEX(Reference!$B$6:$B$11,MIN(5,MATCH(MAX(Reference!$A$6,MIN(Reference!$A$11,MIN(D202,150))),Reference!$A$6:$A$11,1)))+(MAX(Reference!$A$6,MIN(Reference!$A$11,MIN(D202,150)))-INDEX(Reference!$A$6:$A$11,MIN(5,MATCH(MAX(Reference!$A$6,MIN(Reference!$A$11,MIN(D202,150))),Reference!$A$6:$A$11,1))))*(INDEX(Reference!$B$6:$B$11,MIN(5,MATCH(MAX(Reference!$A$6,MIN(Reference!$A$11,MIN(D202,150))),Reference!$A$6:$A$11,1))+1)-INDEX(Reference!$B$6:$B$11,MIN(5,MATCH(MAX(Reference!$A$6,MIN(Reference!$A$11,MIN(D202,150))),Reference!$A$6:$A$11,1))))/(INDEX(Reference!$A$6:$A$11,MIN(5,MATCH(MAX(Reference!$A$6,MIN(Reference!$A$11,MIN(D202,150))),Reference!$A$6:$A$11,1))+1)-INDEX(Reference!$A$6:$A$11,MIN(5,MATCH(MAX(Reference!$A$6,MIN(Reference!$A$11,MIN(D202,150))),Reference!$A$6:$A$11,1))))),0)+IF(4&lt;=AE202,(AE202-4+3)*(INDEX(Reference!$B$6:$B$11,MIN(5,MATCH(MAX(Reference!$A$6,MIN(Reference!$A$11,MIN(D202,180))),Reference!$A$6:$A$11,1)))+(MAX(Reference!$A$6,MIN(Reference!$A$11,MIN(D202,180)))-INDEX(Reference!$A$6:$A$11,MIN(5,MATCH(MAX(Reference!$A$6,MIN(Reference!$A$11,MIN(D202,180))),Reference!$A$6:$A$11,1))))*(INDEX(Reference!$B$6:$B$11,MIN(5,MATCH(MAX(Reference!$A$6,MIN(Reference!$A$11,MIN(D202,180))),Reference!$A$6:$A$11,1))+1)-INDEX(Reference!$B$6:$B$11,MIN(5,MATCH(MAX(Reference!$A$6,MIN(Reference!$A$11,MIN(D202,180))),Reference!$A$6:$A$11,1))))/(INDEX(Reference!$A$6:$A$11,MIN(5,MATCH(MAX(Reference!$A$6,MIN(Reference!$A$11,MIN(D202,180))),Reference!$A$6:$A$11,1))+1)-INDEX(Reference!$A$6:$A$11,MIN(5,MATCH(MAX(Reference!$A$6,MIN(Reference!$A$11,MIN(D202,180))),Reference!$A$6:$A$11,1))))),0)+IF(5&lt;=AE202,(AE202-5+3)*(INDEX(Reference!$B$6:$B$11,MIN(5,MATCH(MAX(Reference!$A$6,MIN(Reference!$A$11,MIN(D202,210))),Reference!$A$6:$A$11,1)))+(MAX(Reference!$A$6,MIN(Reference!$A$11,MIN(D202,210)))-INDEX(Reference!$A$6:$A$11,MIN(5,MATCH(MAX(Reference!$A$6,MIN(Reference!$A$11,MIN(D202,210))),Reference!$A$6:$A$11,1))))*(INDEX(Reference!$B$6:$B$11,MIN(5,MATCH(MAX(Reference!$A$6,MIN(Reference!$A$11,MIN(D202,210))),Reference!$A$6:$A$11,1))+1)-INDEX(Reference!$B$6:$B$11,MIN(5,MATCH(MAX(Reference!$A$6,MIN(Reference!$A$11,MIN(D202,210))),Reference!$A$6:$A$11,1))))/(INDEX(Reference!$A$6:$A$11,MIN(5,MATCH(MAX(Reference!$A$6,MIN(Reference!$A$11,MIN(D202,210))),Reference!$A$6:$A$11,1))+1)-INDEX(Reference!$A$6:$A$11,MIN(5,MATCH(MAX(Reference!$A$6,MIN(Reference!$A$11,MIN(D202,210))),Reference!$A$6:$A$11,1))))),0)+IF(6&lt;=AE202,(AE202-6+3)*(INDEX(Reference!$B$6:$B$11,MIN(5,MATCH(MAX(Reference!$A$6,MIN(Reference!$A$11,MIN(D202,240))),Reference!$A$6:$A$11,1)))+(MAX(Reference!$A$6,MIN(Reference!$A$11,MIN(D202,240)))-INDEX(Reference!$A$6:$A$11,MIN(5,MATCH(MAX(Reference!$A$6,MIN(Reference!$A$11,MIN(D202,240))),Reference!$A$6:$A$11,1))))*(INDEX(Reference!$B$6:$B$11,MIN(5,MATCH(MAX(Reference!$A$6,MIN(Reference!$A$11,MIN(D202,240))),Reference!$A$6:$A$11,1))+1)-INDEX(Reference!$B$6:$B$11,MIN(5,MATCH(MAX(Reference!$A$6,MIN(Reference!$A$11,MIN(D202,240))),Reference!$A$6:$A$11,1))))/(INDEX(Reference!$A$6:$A$11,MIN(5,MATCH(MAX(Reference!$A$6,MIN(Reference!$A$11,MIN(D202,240))),Reference!$A$6:$A$11,1))+1)-INDEX(Reference!$A$6:$A$11,MIN(5,MATCH(MAX(Reference!$A$6,MIN(Reference!$A$11,MIN(D202,240))),Reference!$A$6:$A$11,1))))),0)+IF(7&lt;=AE202,(AE202-7+3)*(INDEX(Reference!$B$6:$B$11,MIN(5,MATCH(MAX(Reference!$A$6,MIN(Reference!$A$11,MIN(D202,270))),Reference!$A$6:$A$11,1)))+(MAX(Reference!$A$6,MIN(Reference!$A$11,MIN(D202,270)))-INDEX(Reference!$A$6:$A$11,MIN(5,MATCH(MAX(Reference!$A$6,MIN(Reference!$A$11,MIN(D202,270))),Reference!$A$6:$A$11,1))))*(INDEX(Reference!$B$6:$B$11,MIN(5,MATCH(MAX(Reference!$A$6,MIN(Reference!$A$11,MIN(D202,270))),Reference!$A$6:$A$11,1))+1)-INDEX(Reference!$B$6:$B$11,MIN(5,MATCH(MAX(Reference!$A$6,MIN(Reference!$A$11,MIN(D202,270))),Reference!$A$6:$A$11,1))))/(INDEX(Reference!$A$6:$A$11,MIN(5,MATCH(MAX(Reference!$A$6,MIN(Reference!$A$11,MIN(D202,270))),Reference!$A$6:$A$11,1))+1)-INDEX(Reference!$A$6:$A$11,MIN(5,MATCH(MAX(Reference!$A$6,MIN(Reference!$A$11,MIN(D202,270))),Reference!$A$6:$A$11,1))))),0)+IF(8&lt;=AE202,(AE202-8+3)*(INDEX(Reference!$B$6:$B$11,MIN(5,MATCH(MAX(Reference!$A$6,MIN(Reference!$A$11,MIN(D202,300))),Reference!$A$6:$A$11,1)))+(MAX(Reference!$A$6,MIN(Reference!$A$11,MIN(D202,300)))-INDEX(Reference!$A$6:$A$11,MIN(5,MATCH(MAX(Reference!$A$6,MIN(Reference!$A$11,MIN(D202,300))),Reference!$A$6:$A$11,1))))*(INDEX(Reference!$B$6:$B$11,MIN(5,MATCH(MAX(Reference!$A$6,MIN(Reference!$A$11,MIN(D202,300))),Reference!$A$6:$A$11,1))+1)-INDEX(Reference!$B$6:$B$11,MIN(5,MATCH(MAX(Reference!$A$6,MIN(Reference!$A$11,MIN(D202,300))),Reference!$A$6:$A$11,1))))/(INDEX(Reference!$A$6:$A$11,MIN(5,MATCH(MAX(Reference!$A$6,MIN(Reference!$A$11,MIN(D202,300))),Reference!$A$6:$A$11,1))+1)-INDEX(Reference!$A$6:$A$11,MIN(5,MATCH(MAX(Reference!$A$6,MIN(Reference!$A$11,MIN(D202,300))),Reference!$A$6:$A$11,1))))),0))/(AE202*(AE202+5)/2)),(INDEX(Reference!$B$6:$B$11,MIN(5,MATCH(MAX(Reference!$A$6,MIN(Reference!$A$11,D202)),Reference!$A$6:$A$11,1)))+(MAX(Reference!$A$6,MIN(Reference!$A$11,D202))-INDEX(Reference!$A$6:$A$11,MIN(5,MATCH(MAX(Reference!$A$6,MIN(Reference!$A$11,D202)),Reference!$A$6:$A$11,1))))*(INDEX(Reference!$B$6:$B$11,MIN(5,MATCH(MAX(Reference!$A$6,MIN(Reference!$A$11,D202)),Reference!$A$6:$A$11,1))+1)-INDEX(Reference!$B$6:$B$11,MIN(5,MATCH(MAX(Reference!$A$6,MIN(Reference!$A$11,D202)),Reference!$A$6:$A$11,1))))/(INDEX(Reference!$A$6:$A$11,MIN(5,MATCH(MAX(Reference!$A$6,MIN(Reference!$A$11,D202)),Reference!$A$6:$A$11,1))+1)-INDEX(Reference!$A$6:$A$11,MIN(5,MATCH(MAX(Reference!$A$6,MIN(Reference!$A$11,D202)),Reference!$A$6:$A$11,1))))))))</f>
        <v/>
      </c>
      <c r="P202" s="32" t="str">
        <f>IF(N202="","",VLOOKUP(MAX(N202,0),Reference!$A$17:$B$20,2,TRUE()))</f>
        <v/>
      </c>
      <c r="Q202" s="32" t="str">
        <f t="shared" si="30"/>
        <v/>
      </c>
      <c r="R202" s="31"/>
      <c r="S202" s="31"/>
      <c r="T202" s="31"/>
      <c r="U202" s="32" t="str">
        <f t="shared" si="31"/>
        <v/>
      </c>
      <c r="V202" s="32" t="str">
        <f t="shared" si="32"/>
        <v/>
      </c>
      <c r="W202" s="32" t="str">
        <f>IF(V202="","",VLOOKUP(MAX(V202,0),Reference!$A$17:$B$20,2,TRUE()))</f>
        <v/>
      </c>
      <c r="X202" s="31"/>
      <c r="Y202" s="31"/>
      <c r="Z202" s="31"/>
      <c r="AA202" s="32" t="str">
        <f t="shared" si="33"/>
        <v/>
      </c>
      <c r="AB202" s="32" t="str">
        <f t="shared" si="34"/>
        <v/>
      </c>
      <c r="AC202" s="32" t="str">
        <f>IF(AB202="","",VLOOKUP(MAX(AB202,0),Reference!$A$17:$B$20,2,TRUE()))</f>
        <v/>
      </c>
      <c r="AD202" s="31"/>
      <c r="AE202">
        <f t="shared" si="35"/>
        <v>1</v>
      </c>
      <c r="AF202" s="33" t="str">
        <f>IF(OR(A202="",B202="",AND(C202&lt;&gt;"Bullpen",C202&lt;&gt;"Game")),"",IF((COUNTIFS($B$5:$B$300,B202,$A$5:$A$300,A202-1,$C$5:$C$300,"Bullpen",$AG$5:$AG$300,"&gt;0") + COUNTIFS($B$5:$B$300,B202,$A$5:$A$300,A202-1,$C$5:$C$300,"Game",$AG$5:$AG$300,"&gt;0"))&gt;0,Reference!$B$119,IF((COUNTIFS($B$5:$B$300,B202,$A$5:$A$300,A202-2,$C$5:$C$300,"Bullpen",$AG$5:$AG$300,"&gt;0") + COUNTIFS($B$5:$B$300,B202,$A$5:$A$300,A202-2,$C$5:$C$300,"Game",$AG$5:$AG$300,"&gt;0"))&gt;0,Reference!$B$120,1)))</f>
        <v/>
      </c>
      <c r="AG202" s="30" t="str">
        <f>IF(AND(OR(I202="",O202="",P202=""),OR(R202="",W202=""),OR(X202="",AC202="")),"",IF(OR(I202="",O202="",P202=""),0,I202*O202*P202)+IF(OR(R202="",W202=""),0,R202*IFERROR(INDEX(Reference!$B$61:$B$62,MATCH("Bullpen",Reference!$A$61:$A$62,0)),0)*W202)+IF(OR(X202="",AC202=""),0,X202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202))</f>
        <v/>
      </c>
    </row>
    <row r="203" spans="1:33" x14ac:dyDescent="0.3">
      <c r="A203" s="35"/>
      <c r="B203" s="31"/>
      <c r="C203" s="31"/>
      <c r="D203" s="31"/>
      <c r="E203" s="34"/>
      <c r="F203" s="34"/>
      <c r="G203" s="30" t="str">
        <f t="shared" si="27"/>
        <v/>
      </c>
      <c r="H203" s="31"/>
      <c r="I203" s="32" t="str">
        <f>IF(H203&lt;&gt;"",H203,IF(G203="","",ROUND(G203*IFERROR(INDEX(Reference!$B$44:$B$50,MATCH(C203,Reference!$A$44:$A$50,0)),0),0)))</f>
        <v/>
      </c>
      <c r="J203" s="31"/>
      <c r="K203" s="31"/>
      <c r="L203" s="32" t="str">
        <f t="shared" si="28"/>
        <v/>
      </c>
      <c r="M203" s="32" t="str">
        <f>IFERROR(INDEX(Roster!$D$5:$D$40,MATCH(B203,Roster!$A$5:$A$40,0)),"")</f>
        <v/>
      </c>
      <c r="N203" s="32" t="str">
        <f t="shared" si="29"/>
        <v/>
      </c>
      <c r="O203" s="32" t="str">
        <f>IF(OR(C203="Bullpen",C203="Game"),IFERROR(INDEX(Reference!$B$61:$B$62,MATCH(C203,Reference!$A$61:$A$62,0)),""),IF(D203="","",IF(AE203&gt;1,((IF(1&lt;=AE203,(AE203-1+3)*(INDEX(Reference!$B$6:$B$11,MIN(5,MATCH(MAX(Reference!$A$6,MIN(Reference!$A$11,MIN(D203,90))),Reference!$A$6:$A$11,1)))+(MAX(Reference!$A$6,MIN(Reference!$A$11,MIN(D203,90)))-INDEX(Reference!$A$6:$A$11,MIN(5,MATCH(MAX(Reference!$A$6,MIN(Reference!$A$11,MIN(D203,90))),Reference!$A$6:$A$11,1))))*(INDEX(Reference!$B$6:$B$11,MIN(5,MATCH(MAX(Reference!$A$6,MIN(Reference!$A$11,MIN(D203,90))),Reference!$A$6:$A$11,1))+1)-INDEX(Reference!$B$6:$B$11,MIN(5,MATCH(MAX(Reference!$A$6,MIN(Reference!$A$11,MIN(D203,90))),Reference!$A$6:$A$11,1))))/(INDEX(Reference!$A$6:$A$11,MIN(5,MATCH(MAX(Reference!$A$6,MIN(Reference!$A$11,MIN(D203,90))),Reference!$A$6:$A$11,1))+1)-INDEX(Reference!$A$6:$A$11,MIN(5,MATCH(MAX(Reference!$A$6,MIN(Reference!$A$11,MIN(D203,90))),Reference!$A$6:$A$11,1))))),0)+IF(2&lt;=AE203,(AE203-2+3)*(INDEX(Reference!$B$6:$B$11,MIN(5,MATCH(MAX(Reference!$A$6,MIN(Reference!$A$11,MIN(D203,120))),Reference!$A$6:$A$11,1)))+(MAX(Reference!$A$6,MIN(Reference!$A$11,MIN(D203,120)))-INDEX(Reference!$A$6:$A$11,MIN(5,MATCH(MAX(Reference!$A$6,MIN(Reference!$A$11,MIN(D203,120))),Reference!$A$6:$A$11,1))))*(INDEX(Reference!$B$6:$B$11,MIN(5,MATCH(MAX(Reference!$A$6,MIN(Reference!$A$11,MIN(D203,120))),Reference!$A$6:$A$11,1))+1)-INDEX(Reference!$B$6:$B$11,MIN(5,MATCH(MAX(Reference!$A$6,MIN(Reference!$A$11,MIN(D203,120))),Reference!$A$6:$A$11,1))))/(INDEX(Reference!$A$6:$A$11,MIN(5,MATCH(MAX(Reference!$A$6,MIN(Reference!$A$11,MIN(D203,120))),Reference!$A$6:$A$11,1))+1)-INDEX(Reference!$A$6:$A$11,MIN(5,MATCH(MAX(Reference!$A$6,MIN(Reference!$A$11,MIN(D203,120))),Reference!$A$6:$A$11,1))))),0)+IF(3&lt;=AE203,(AE203-3+3)*(INDEX(Reference!$B$6:$B$11,MIN(5,MATCH(MAX(Reference!$A$6,MIN(Reference!$A$11,MIN(D203,150))),Reference!$A$6:$A$11,1)))+(MAX(Reference!$A$6,MIN(Reference!$A$11,MIN(D203,150)))-INDEX(Reference!$A$6:$A$11,MIN(5,MATCH(MAX(Reference!$A$6,MIN(Reference!$A$11,MIN(D203,150))),Reference!$A$6:$A$11,1))))*(INDEX(Reference!$B$6:$B$11,MIN(5,MATCH(MAX(Reference!$A$6,MIN(Reference!$A$11,MIN(D203,150))),Reference!$A$6:$A$11,1))+1)-INDEX(Reference!$B$6:$B$11,MIN(5,MATCH(MAX(Reference!$A$6,MIN(Reference!$A$11,MIN(D203,150))),Reference!$A$6:$A$11,1))))/(INDEX(Reference!$A$6:$A$11,MIN(5,MATCH(MAX(Reference!$A$6,MIN(Reference!$A$11,MIN(D203,150))),Reference!$A$6:$A$11,1))+1)-INDEX(Reference!$A$6:$A$11,MIN(5,MATCH(MAX(Reference!$A$6,MIN(Reference!$A$11,MIN(D203,150))),Reference!$A$6:$A$11,1))))),0)+IF(4&lt;=AE203,(AE203-4+3)*(INDEX(Reference!$B$6:$B$11,MIN(5,MATCH(MAX(Reference!$A$6,MIN(Reference!$A$11,MIN(D203,180))),Reference!$A$6:$A$11,1)))+(MAX(Reference!$A$6,MIN(Reference!$A$11,MIN(D203,180)))-INDEX(Reference!$A$6:$A$11,MIN(5,MATCH(MAX(Reference!$A$6,MIN(Reference!$A$11,MIN(D203,180))),Reference!$A$6:$A$11,1))))*(INDEX(Reference!$B$6:$B$11,MIN(5,MATCH(MAX(Reference!$A$6,MIN(Reference!$A$11,MIN(D203,180))),Reference!$A$6:$A$11,1))+1)-INDEX(Reference!$B$6:$B$11,MIN(5,MATCH(MAX(Reference!$A$6,MIN(Reference!$A$11,MIN(D203,180))),Reference!$A$6:$A$11,1))))/(INDEX(Reference!$A$6:$A$11,MIN(5,MATCH(MAX(Reference!$A$6,MIN(Reference!$A$11,MIN(D203,180))),Reference!$A$6:$A$11,1))+1)-INDEX(Reference!$A$6:$A$11,MIN(5,MATCH(MAX(Reference!$A$6,MIN(Reference!$A$11,MIN(D203,180))),Reference!$A$6:$A$11,1))))),0)+IF(5&lt;=AE203,(AE203-5+3)*(INDEX(Reference!$B$6:$B$11,MIN(5,MATCH(MAX(Reference!$A$6,MIN(Reference!$A$11,MIN(D203,210))),Reference!$A$6:$A$11,1)))+(MAX(Reference!$A$6,MIN(Reference!$A$11,MIN(D203,210)))-INDEX(Reference!$A$6:$A$11,MIN(5,MATCH(MAX(Reference!$A$6,MIN(Reference!$A$11,MIN(D203,210))),Reference!$A$6:$A$11,1))))*(INDEX(Reference!$B$6:$B$11,MIN(5,MATCH(MAX(Reference!$A$6,MIN(Reference!$A$11,MIN(D203,210))),Reference!$A$6:$A$11,1))+1)-INDEX(Reference!$B$6:$B$11,MIN(5,MATCH(MAX(Reference!$A$6,MIN(Reference!$A$11,MIN(D203,210))),Reference!$A$6:$A$11,1))))/(INDEX(Reference!$A$6:$A$11,MIN(5,MATCH(MAX(Reference!$A$6,MIN(Reference!$A$11,MIN(D203,210))),Reference!$A$6:$A$11,1))+1)-INDEX(Reference!$A$6:$A$11,MIN(5,MATCH(MAX(Reference!$A$6,MIN(Reference!$A$11,MIN(D203,210))),Reference!$A$6:$A$11,1))))),0)+IF(6&lt;=AE203,(AE203-6+3)*(INDEX(Reference!$B$6:$B$11,MIN(5,MATCH(MAX(Reference!$A$6,MIN(Reference!$A$11,MIN(D203,240))),Reference!$A$6:$A$11,1)))+(MAX(Reference!$A$6,MIN(Reference!$A$11,MIN(D203,240)))-INDEX(Reference!$A$6:$A$11,MIN(5,MATCH(MAX(Reference!$A$6,MIN(Reference!$A$11,MIN(D203,240))),Reference!$A$6:$A$11,1))))*(INDEX(Reference!$B$6:$B$11,MIN(5,MATCH(MAX(Reference!$A$6,MIN(Reference!$A$11,MIN(D203,240))),Reference!$A$6:$A$11,1))+1)-INDEX(Reference!$B$6:$B$11,MIN(5,MATCH(MAX(Reference!$A$6,MIN(Reference!$A$11,MIN(D203,240))),Reference!$A$6:$A$11,1))))/(INDEX(Reference!$A$6:$A$11,MIN(5,MATCH(MAX(Reference!$A$6,MIN(Reference!$A$11,MIN(D203,240))),Reference!$A$6:$A$11,1))+1)-INDEX(Reference!$A$6:$A$11,MIN(5,MATCH(MAX(Reference!$A$6,MIN(Reference!$A$11,MIN(D203,240))),Reference!$A$6:$A$11,1))))),0)+IF(7&lt;=AE203,(AE203-7+3)*(INDEX(Reference!$B$6:$B$11,MIN(5,MATCH(MAX(Reference!$A$6,MIN(Reference!$A$11,MIN(D203,270))),Reference!$A$6:$A$11,1)))+(MAX(Reference!$A$6,MIN(Reference!$A$11,MIN(D203,270)))-INDEX(Reference!$A$6:$A$11,MIN(5,MATCH(MAX(Reference!$A$6,MIN(Reference!$A$11,MIN(D203,270))),Reference!$A$6:$A$11,1))))*(INDEX(Reference!$B$6:$B$11,MIN(5,MATCH(MAX(Reference!$A$6,MIN(Reference!$A$11,MIN(D203,270))),Reference!$A$6:$A$11,1))+1)-INDEX(Reference!$B$6:$B$11,MIN(5,MATCH(MAX(Reference!$A$6,MIN(Reference!$A$11,MIN(D203,270))),Reference!$A$6:$A$11,1))))/(INDEX(Reference!$A$6:$A$11,MIN(5,MATCH(MAX(Reference!$A$6,MIN(Reference!$A$11,MIN(D203,270))),Reference!$A$6:$A$11,1))+1)-INDEX(Reference!$A$6:$A$11,MIN(5,MATCH(MAX(Reference!$A$6,MIN(Reference!$A$11,MIN(D203,270))),Reference!$A$6:$A$11,1))))),0)+IF(8&lt;=AE203,(AE203-8+3)*(INDEX(Reference!$B$6:$B$11,MIN(5,MATCH(MAX(Reference!$A$6,MIN(Reference!$A$11,MIN(D203,300))),Reference!$A$6:$A$11,1)))+(MAX(Reference!$A$6,MIN(Reference!$A$11,MIN(D203,300)))-INDEX(Reference!$A$6:$A$11,MIN(5,MATCH(MAX(Reference!$A$6,MIN(Reference!$A$11,MIN(D203,300))),Reference!$A$6:$A$11,1))))*(INDEX(Reference!$B$6:$B$11,MIN(5,MATCH(MAX(Reference!$A$6,MIN(Reference!$A$11,MIN(D203,300))),Reference!$A$6:$A$11,1))+1)-INDEX(Reference!$B$6:$B$11,MIN(5,MATCH(MAX(Reference!$A$6,MIN(Reference!$A$11,MIN(D203,300))),Reference!$A$6:$A$11,1))))/(INDEX(Reference!$A$6:$A$11,MIN(5,MATCH(MAX(Reference!$A$6,MIN(Reference!$A$11,MIN(D203,300))),Reference!$A$6:$A$11,1))+1)-INDEX(Reference!$A$6:$A$11,MIN(5,MATCH(MAX(Reference!$A$6,MIN(Reference!$A$11,MIN(D203,300))),Reference!$A$6:$A$11,1))))),0))/(AE203*(AE203+5)/2)),(INDEX(Reference!$B$6:$B$11,MIN(5,MATCH(MAX(Reference!$A$6,MIN(Reference!$A$11,D203)),Reference!$A$6:$A$11,1)))+(MAX(Reference!$A$6,MIN(Reference!$A$11,D203))-INDEX(Reference!$A$6:$A$11,MIN(5,MATCH(MAX(Reference!$A$6,MIN(Reference!$A$11,D203)),Reference!$A$6:$A$11,1))))*(INDEX(Reference!$B$6:$B$11,MIN(5,MATCH(MAX(Reference!$A$6,MIN(Reference!$A$11,D203)),Reference!$A$6:$A$11,1))+1)-INDEX(Reference!$B$6:$B$11,MIN(5,MATCH(MAX(Reference!$A$6,MIN(Reference!$A$11,D203)),Reference!$A$6:$A$11,1))))/(INDEX(Reference!$A$6:$A$11,MIN(5,MATCH(MAX(Reference!$A$6,MIN(Reference!$A$11,D203)),Reference!$A$6:$A$11,1))+1)-INDEX(Reference!$A$6:$A$11,MIN(5,MATCH(MAX(Reference!$A$6,MIN(Reference!$A$11,D203)),Reference!$A$6:$A$11,1))))))))</f>
        <v/>
      </c>
      <c r="P203" s="32" t="str">
        <f>IF(N203="","",VLOOKUP(MAX(N203,0),Reference!$A$17:$B$20,2,TRUE()))</f>
        <v/>
      </c>
      <c r="Q203" s="32" t="str">
        <f t="shared" si="30"/>
        <v/>
      </c>
      <c r="R203" s="31"/>
      <c r="S203" s="31"/>
      <c r="T203" s="31"/>
      <c r="U203" s="32" t="str">
        <f t="shared" si="31"/>
        <v/>
      </c>
      <c r="V203" s="32" t="str">
        <f t="shared" si="32"/>
        <v/>
      </c>
      <c r="W203" s="32" t="str">
        <f>IF(V203="","",VLOOKUP(MAX(V203,0),Reference!$A$17:$B$20,2,TRUE()))</f>
        <v/>
      </c>
      <c r="X203" s="31"/>
      <c r="Y203" s="31"/>
      <c r="Z203" s="31"/>
      <c r="AA203" s="32" t="str">
        <f t="shared" si="33"/>
        <v/>
      </c>
      <c r="AB203" s="32" t="str">
        <f t="shared" si="34"/>
        <v/>
      </c>
      <c r="AC203" s="32" t="str">
        <f>IF(AB203="","",VLOOKUP(MAX(AB203,0),Reference!$A$17:$B$20,2,TRUE()))</f>
        <v/>
      </c>
      <c r="AD203" s="31"/>
      <c r="AE203">
        <f t="shared" si="35"/>
        <v>1</v>
      </c>
      <c r="AF203" s="33" t="str">
        <f>IF(OR(A203="",B203="",AND(C203&lt;&gt;"Bullpen",C203&lt;&gt;"Game")),"",IF((COUNTIFS($B$5:$B$300,B203,$A$5:$A$300,A203-1,$C$5:$C$300,"Bullpen",$AG$5:$AG$300,"&gt;0") + COUNTIFS($B$5:$B$300,B203,$A$5:$A$300,A203-1,$C$5:$C$300,"Game",$AG$5:$AG$300,"&gt;0"))&gt;0,Reference!$B$119,IF((COUNTIFS($B$5:$B$300,B203,$A$5:$A$300,A203-2,$C$5:$C$300,"Bullpen",$AG$5:$AG$300,"&gt;0") + COUNTIFS($B$5:$B$300,B203,$A$5:$A$300,A203-2,$C$5:$C$300,"Game",$AG$5:$AG$300,"&gt;0"))&gt;0,Reference!$B$120,1)))</f>
        <v/>
      </c>
      <c r="AG203" s="30" t="str">
        <f>IF(AND(OR(I203="",O203="",P203=""),OR(R203="",W203=""),OR(X203="",AC203="")),"",IF(OR(I203="",O203="",P203=""),0,I203*O203*P203)+IF(OR(R203="",W203=""),0,R203*IFERROR(INDEX(Reference!$B$61:$B$62,MATCH("Bullpen",Reference!$A$61:$A$62,0)),0)*W203)+IF(OR(X203="",AC203=""),0,X203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203))</f>
        <v/>
      </c>
    </row>
    <row r="204" spans="1:33" x14ac:dyDescent="0.3">
      <c r="A204" s="35"/>
      <c r="B204" s="31"/>
      <c r="C204" s="31"/>
      <c r="D204" s="31"/>
      <c r="E204" s="34"/>
      <c r="F204" s="34"/>
      <c r="G204" s="30" t="str">
        <f t="shared" si="27"/>
        <v/>
      </c>
      <c r="H204" s="31"/>
      <c r="I204" s="32" t="str">
        <f>IF(H204&lt;&gt;"",H204,IF(G204="","",ROUND(G204*IFERROR(INDEX(Reference!$B$44:$B$50,MATCH(C204,Reference!$A$44:$A$50,0)),0),0)))</f>
        <v/>
      </c>
      <c r="J204" s="31"/>
      <c r="K204" s="31"/>
      <c r="L204" s="32" t="str">
        <f t="shared" si="28"/>
        <v/>
      </c>
      <c r="M204" s="32" t="str">
        <f>IFERROR(INDEX(Roster!$D$5:$D$40,MATCH(B204,Roster!$A$5:$A$40,0)),"")</f>
        <v/>
      </c>
      <c r="N204" s="32" t="str">
        <f t="shared" si="29"/>
        <v/>
      </c>
      <c r="O204" s="32" t="str">
        <f>IF(OR(C204="Bullpen",C204="Game"),IFERROR(INDEX(Reference!$B$61:$B$62,MATCH(C204,Reference!$A$61:$A$62,0)),""),IF(D204="","",IF(AE204&gt;1,((IF(1&lt;=AE204,(AE204-1+3)*(INDEX(Reference!$B$6:$B$11,MIN(5,MATCH(MAX(Reference!$A$6,MIN(Reference!$A$11,MIN(D204,90))),Reference!$A$6:$A$11,1)))+(MAX(Reference!$A$6,MIN(Reference!$A$11,MIN(D204,90)))-INDEX(Reference!$A$6:$A$11,MIN(5,MATCH(MAX(Reference!$A$6,MIN(Reference!$A$11,MIN(D204,90))),Reference!$A$6:$A$11,1))))*(INDEX(Reference!$B$6:$B$11,MIN(5,MATCH(MAX(Reference!$A$6,MIN(Reference!$A$11,MIN(D204,90))),Reference!$A$6:$A$11,1))+1)-INDEX(Reference!$B$6:$B$11,MIN(5,MATCH(MAX(Reference!$A$6,MIN(Reference!$A$11,MIN(D204,90))),Reference!$A$6:$A$11,1))))/(INDEX(Reference!$A$6:$A$11,MIN(5,MATCH(MAX(Reference!$A$6,MIN(Reference!$A$11,MIN(D204,90))),Reference!$A$6:$A$11,1))+1)-INDEX(Reference!$A$6:$A$11,MIN(5,MATCH(MAX(Reference!$A$6,MIN(Reference!$A$11,MIN(D204,90))),Reference!$A$6:$A$11,1))))),0)+IF(2&lt;=AE204,(AE204-2+3)*(INDEX(Reference!$B$6:$B$11,MIN(5,MATCH(MAX(Reference!$A$6,MIN(Reference!$A$11,MIN(D204,120))),Reference!$A$6:$A$11,1)))+(MAX(Reference!$A$6,MIN(Reference!$A$11,MIN(D204,120)))-INDEX(Reference!$A$6:$A$11,MIN(5,MATCH(MAX(Reference!$A$6,MIN(Reference!$A$11,MIN(D204,120))),Reference!$A$6:$A$11,1))))*(INDEX(Reference!$B$6:$B$11,MIN(5,MATCH(MAX(Reference!$A$6,MIN(Reference!$A$11,MIN(D204,120))),Reference!$A$6:$A$11,1))+1)-INDEX(Reference!$B$6:$B$11,MIN(5,MATCH(MAX(Reference!$A$6,MIN(Reference!$A$11,MIN(D204,120))),Reference!$A$6:$A$11,1))))/(INDEX(Reference!$A$6:$A$11,MIN(5,MATCH(MAX(Reference!$A$6,MIN(Reference!$A$11,MIN(D204,120))),Reference!$A$6:$A$11,1))+1)-INDEX(Reference!$A$6:$A$11,MIN(5,MATCH(MAX(Reference!$A$6,MIN(Reference!$A$11,MIN(D204,120))),Reference!$A$6:$A$11,1))))),0)+IF(3&lt;=AE204,(AE204-3+3)*(INDEX(Reference!$B$6:$B$11,MIN(5,MATCH(MAX(Reference!$A$6,MIN(Reference!$A$11,MIN(D204,150))),Reference!$A$6:$A$11,1)))+(MAX(Reference!$A$6,MIN(Reference!$A$11,MIN(D204,150)))-INDEX(Reference!$A$6:$A$11,MIN(5,MATCH(MAX(Reference!$A$6,MIN(Reference!$A$11,MIN(D204,150))),Reference!$A$6:$A$11,1))))*(INDEX(Reference!$B$6:$B$11,MIN(5,MATCH(MAX(Reference!$A$6,MIN(Reference!$A$11,MIN(D204,150))),Reference!$A$6:$A$11,1))+1)-INDEX(Reference!$B$6:$B$11,MIN(5,MATCH(MAX(Reference!$A$6,MIN(Reference!$A$11,MIN(D204,150))),Reference!$A$6:$A$11,1))))/(INDEX(Reference!$A$6:$A$11,MIN(5,MATCH(MAX(Reference!$A$6,MIN(Reference!$A$11,MIN(D204,150))),Reference!$A$6:$A$11,1))+1)-INDEX(Reference!$A$6:$A$11,MIN(5,MATCH(MAX(Reference!$A$6,MIN(Reference!$A$11,MIN(D204,150))),Reference!$A$6:$A$11,1))))),0)+IF(4&lt;=AE204,(AE204-4+3)*(INDEX(Reference!$B$6:$B$11,MIN(5,MATCH(MAX(Reference!$A$6,MIN(Reference!$A$11,MIN(D204,180))),Reference!$A$6:$A$11,1)))+(MAX(Reference!$A$6,MIN(Reference!$A$11,MIN(D204,180)))-INDEX(Reference!$A$6:$A$11,MIN(5,MATCH(MAX(Reference!$A$6,MIN(Reference!$A$11,MIN(D204,180))),Reference!$A$6:$A$11,1))))*(INDEX(Reference!$B$6:$B$11,MIN(5,MATCH(MAX(Reference!$A$6,MIN(Reference!$A$11,MIN(D204,180))),Reference!$A$6:$A$11,1))+1)-INDEX(Reference!$B$6:$B$11,MIN(5,MATCH(MAX(Reference!$A$6,MIN(Reference!$A$11,MIN(D204,180))),Reference!$A$6:$A$11,1))))/(INDEX(Reference!$A$6:$A$11,MIN(5,MATCH(MAX(Reference!$A$6,MIN(Reference!$A$11,MIN(D204,180))),Reference!$A$6:$A$11,1))+1)-INDEX(Reference!$A$6:$A$11,MIN(5,MATCH(MAX(Reference!$A$6,MIN(Reference!$A$11,MIN(D204,180))),Reference!$A$6:$A$11,1))))),0)+IF(5&lt;=AE204,(AE204-5+3)*(INDEX(Reference!$B$6:$B$11,MIN(5,MATCH(MAX(Reference!$A$6,MIN(Reference!$A$11,MIN(D204,210))),Reference!$A$6:$A$11,1)))+(MAX(Reference!$A$6,MIN(Reference!$A$11,MIN(D204,210)))-INDEX(Reference!$A$6:$A$11,MIN(5,MATCH(MAX(Reference!$A$6,MIN(Reference!$A$11,MIN(D204,210))),Reference!$A$6:$A$11,1))))*(INDEX(Reference!$B$6:$B$11,MIN(5,MATCH(MAX(Reference!$A$6,MIN(Reference!$A$11,MIN(D204,210))),Reference!$A$6:$A$11,1))+1)-INDEX(Reference!$B$6:$B$11,MIN(5,MATCH(MAX(Reference!$A$6,MIN(Reference!$A$11,MIN(D204,210))),Reference!$A$6:$A$11,1))))/(INDEX(Reference!$A$6:$A$11,MIN(5,MATCH(MAX(Reference!$A$6,MIN(Reference!$A$11,MIN(D204,210))),Reference!$A$6:$A$11,1))+1)-INDEX(Reference!$A$6:$A$11,MIN(5,MATCH(MAX(Reference!$A$6,MIN(Reference!$A$11,MIN(D204,210))),Reference!$A$6:$A$11,1))))),0)+IF(6&lt;=AE204,(AE204-6+3)*(INDEX(Reference!$B$6:$B$11,MIN(5,MATCH(MAX(Reference!$A$6,MIN(Reference!$A$11,MIN(D204,240))),Reference!$A$6:$A$11,1)))+(MAX(Reference!$A$6,MIN(Reference!$A$11,MIN(D204,240)))-INDEX(Reference!$A$6:$A$11,MIN(5,MATCH(MAX(Reference!$A$6,MIN(Reference!$A$11,MIN(D204,240))),Reference!$A$6:$A$11,1))))*(INDEX(Reference!$B$6:$B$11,MIN(5,MATCH(MAX(Reference!$A$6,MIN(Reference!$A$11,MIN(D204,240))),Reference!$A$6:$A$11,1))+1)-INDEX(Reference!$B$6:$B$11,MIN(5,MATCH(MAX(Reference!$A$6,MIN(Reference!$A$11,MIN(D204,240))),Reference!$A$6:$A$11,1))))/(INDEX(Reference!$A$6:$A$11,MIN(5,MATCH(MAX(Reference!$A$6,MIN(Reference!$A$11,MIN(D204,240))),Reference!$A$6:$A$11,1))+1)-INDEX(Reference!$A$6:$A$11,MIN(5,MATCH(MAX(Reference!$A$6,MIN(Reference!$A$11,MIN(D204,240))),Reference!$A$6:$A$11,1))))),0)+IF(7&lt;=AE204,(AE204-7+3)*(INDEX(Reference!$B$6:$B$11,MIN(5,MATCH(MAX(Reference!$A$6,MIN(Reference!$A$11,MIN(D204,270))),Reference!$A$6:$A$11,1)))+(MAX(Reference!$A$6,MIN(Reference!$A$11,MIN(D204,270)))-INDEX(Reference!$A$6:$A$11,MIN(5,MATCH(MAX(Reference!$A$6,MIN(Reference!$A$11,MIN(D204,270))),Reference!$A$6:$A$11,1))))*(INDEX(Reference!$B$6:$B$11,MIN(5,MATCH(MAX(Reference!$A$6,MIN(Reference!$A$11,MIN(D204,270))),Reference!$A$6:$A$11,1))+1)-INDEX(Reference!$B$6:$B$11,MIN(5,MATCH(MAX(Reference!$A$6,MIN(Reference!$A$11,MIN(D204,270))),Reference!$A$6:$A$11,1))))/(INDEX(Reference!$A$6:$A$11,MIN(5,MATCH(MAX(Reference!$A$6,MIN(Reference!$A$11,MIN(D204,270))),Reference!$A$6:$A$11,1))+1)-INDEX(Reference!$A$6:$A$11,MIN(5,MATCH(MAX(Reference!$A$6,MIN(Reference!$A$11,MIN(D204,270))),Reference!$A$6:$A$11,1))))),0)+IF(8&lt;=AE204,(AE204-8+3)*(INDEX(Reference!$B$6:$B$11,MIN(5,MATCH(MAX(Reference!$A$6,MIN(Reference!$A$11,MIN(D204,300))),Reference!$A$6:$A$11,1)))+(MAX(Reference!$A$6,MIN(Reference!$A$11,MIN(D204,300)))-INDEX(Reference!$A$6:$A$11,MIN(5,MATCH(MAX(Reference!$A$6,MIN(Reference!$A$11,MIN(D204,300))),Reference!$A$6:$A$11,1))))*(INDEX(Reference!$B$6:$B$11,MIN(5,MATCH(MAX(Reference!$A$6,MIN(Reference!$A$11,MIN(D204,300))),Reference!$A$6:$A$11,1))+1)-INDEX(Reference!$B$6:$B$11,MIN(5,MATCH(MAX(Reference!$A$6,MIN(Reference!$A$11,MIN(D204,300))),Reference!$A$6:$A$11,1))))/(INDEX(Reference!$A$6:$A$11,MIN(5,MATCH(MAX(Reference!$A$6,MIN(Reference!$A$11,MIN(D204,300))),Reference!$A$6:$A$11,1))+1)-INDEX(Reference!$A$6:$A$11,MIN(5,MATCH(MAX(Reference!$A$6,MIN(Reference!$A$11,MIN(D204,300))),Reference!$A$6:$A$11,1))))),0))/(AE204*(AE204+5)/2)),(INDEX(Reference!$B$6:$B$11,MIN(5,MATCH(MAX(Reference!$A$6,MIN(Reference!$A$11,D204)),Reference!$A$6:$A$11,1)))+(MAX(Reference!$A$6,MIN(Reference!$A$11,D204))-INDEX(Reference!$A$6:$A$11,MIN(5,MATCH(MAX(Reference!$A$6,MIN(Reference!$A$11,D204)),Reference!$A$6:$A$11,1))))*(INDEX(Reference!$B$6:$B$11,MIN(5,MATCH(MAX(Reference!$A$6,MIN(Reference!$A$11,D204)),Reference!$A$6:$A$11,1))+1)-INDEX(Reference!$B$6:$B$11,MIN(5,MATCH(MAX(Reference!$A$6,MIN(Reference!$A$11,D204)),Reference!$A$6:$A$11,1))))/(INDEX(Reference!$A$6:$A$11,MIN(5,MATCH(MAX(Reference!$A$6,MIN(Reference!$A$11,D204)),Reference!$A$6:$A$11,1))+1)-INDEX(Reference!$A$6:$A$11,MIN(5,MATCH(MAX(Reference!$A$6,MIN(Reference!$A$11,D204)),Reference!$A$6:$A$11,1))))))))</f>
        <v/>
      </c>
      <c r="P204" s="32" t="str">
        <f>IF(N204="","",VLOOKUP(MAX(N204,0),Reference!$A$17:$B$20,2,TRUE()))</f>
        <v/>
      </c>
      <c r="Q204" s="32" t="str">
        <f t="shared" si="30"/>
        <v/>
      </c>
      <c r="R204" s="31"/>
      <c r="S204" s="31"/>
      <c r="T204" s="31"/>
      <c r="U204" s="32" t="str">
        <f t="shared" si="31"/>
        <v/>
      </c>
      <c r="V204" s="32" t="str">
        <f t="shared" si="32"/>
        <v/>
      </c>
      <c r="W204" s="32" t="str">
        <f>IF(V204="","",VLOOKUP(MAX(V204,0),Reference!$A$17:$B$20,2,TRUE()))</f>
        <v/>
      </c>
      <c r="X204" s="31"/>
      <c r="Y204" s="31"/>
      <c r="Z204" s="31"/>
      <c r="AA204" s="32" t="str">
        <f t="shared" si="33"/>
        <v/>
      </c>
      <c r="AB204" s="32" t="str">
        <f t="shared" si="34"/>
        <v/>
      </c>
      <c r="AC204" s="32" t="str">
        <f>IF(AB204="","",VLOOKUP(MAX(AB204,0),Reference!$A$17:$B$20,2,TRUE()))</f>
        <v/>
      </c>
      <c r="AD204" s="31"/>
      <c r="AE204">
        <f t="shared" si="35"/>
        <v>1</v>
      </c>
      <c r="AF204" s="33" t="str">
        <f>IF(OR(A204="",B204="",AND(C204&lt;&gt;"Bullpen",C204&lt;&gt;"Game")),"",IF((COUNTIFS($B$5:$B$300,B204,$A$5:$A$300,A204-1,$C$5:$C$300,"Bullpen",$AG$5:$AG$300,"&gt;0") + COUNTIFS($B$5:$B$300,B204,$A$5:$A$300,A204-1,$C$5:$C$300,"Game",$AG$5:$AG$300,"&gt;0"))&gt;0,Reference!$B$119,IF((COUNTIFS($B$5:$B$300,B204,$A$5:$A$300,A204-2,$C$5:$C$300,"Bullpen",$AG$5:$AG$300,"&gt;0") + COUNTIFS($B$5:$B$300,B204,$A$5:$A$300,A204-2,$C$5:$C$300,"Game",$AG$5:$AG$300,"&gt;0"))&gt;0,Reference!$B$120,1)))</f>
        <v/>
      </c>
      <c r="AG204" s="30" t="str">
        <f>IF(AND(OR(I204="",O204="",P204=""),OR(R204="",W204=""),OR(X204="",AC204="")),"",IF(OR(I204="",O204="",P204=""),0,I204*O204*P204)+IF(OR(R204="",W204=""),0,R204*IFERROR(INDEX(Reference!$B$61:$B$62,MATCH("Bullpen",Reference!$A$61:$A$62,0)),0)*W204)+IF(OR(X204="",AC204=""),0,X204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204))</f>
        <v/>
      </c>
    </row>
    <row r="205" spans="1:33" x14ac:dyDescent="0.3">
      <c r="A205" s="35"/>
      <c r="B205" s="31"/>
      <c r="C205" s="31"/>
      <c r="D205" s="31"/>
      <c r="E205" s="34"/>
      <c r="F205" s="34"/>
      <c r="G205" s="30" t="str">
        <f t="shared" si="27"/>
        <v/>
      </c>
      <c r="H205" s="31"/>
      <c r="I205" s="32" t="str">
        <f>IF(H205&lt;&gt;"",H205,IF(G205="","",ROUND(G205*IFERROR(INDEX(Reference!$B$44:$B$50,MATCH(C205,Reference!$A$44:$A$50,0)),0),0)))</f>
        <v/>
      </c>
      <c r="J205" s="31"/>
      <c r="K205" s="31"/>
      <c r="L205" s="32" t="str">
        <f t="shared" si="28"/>
        <v/>
      </c>
      <c r="M205" s="32" t="str">
        <f>IFERROR(INDEX(Roster!$D$5:$D$40,MATCH(B205,Roster!$A$5:$A$40,0)),"")</f>
        <v/>
      </c>
      <c r="N205" s="32" t="str">
        <f t="shared" si="29"/>
        <v/>
      </c>
      <c r="O205" s="32" t="str">
        <f>IF(OR(C205="Bullpen",C205="Game"),IFERROR(INDEX(Reference!$B$61:$B$62,MATCH(C205,Reference!$A$61:$A$62,0)),""),IF(D205="","",IF(AE205&gt;1,((IF(1&lt;=AE205,(AE205-1+3)*(INDEX(Reference!$B$6:$B$11,MIN(5,MATCH(MAX(Reference!$A$6,MIN(Reference!$A$11,MIN(D205,90))),Reference!$A$6:$A$11,1)))+(MAX(Reference!$A$6,MIN(Reference!$A$11,MIN(D205,90)))-INDEX(Reference!$A$6:$A$11,MIN(5,MATCH(MAX(Reference!$A$6,MIN(Reference!$A$11,MIN(D205,90))),Reference!$A$6:$A$11,1))))*(INDEX(Reference!$B$6:$B$11,MIN(5,MATCH(MAX(Reference!$A$6,MIN(Reference!$A$11,MIN(D205,90))),Reference!$A$6:$A$11,1))+1)-INDEX(Reference!$B$6:$B$11,MIN(5,MATCH(MAX(Reference!$A$6,MIN(Reference!$A$11,MIN(D205,90))),Reference!$A$6:$A$11,1))))/(INDEX(Reference!$A$6:$A$11,MIN(5,MATCH(MAX(Reference!$A$6,MIN(Reference!$A$11,MIN(D205,90))),Reference!$A$6:$A$11,1))+1)-INDEX(Reference!$A$6:$A$11,MIN(5,MATCH(MAX(Reference!$A$6,MIN(Reference!$A$11,MIN(D205,90))),Reference!$A$6:$A$11,1))))),0)+IF(2&lt;=AE205,(AE205-2+3)*(INDEX(Reference!$B$6:$B$11,MIN(5,MATCH(MAX(Reference!$A$6,MIN(Reference!$A$11,MIN(D205,120))),Reference!$A$6:$A$11,1)))+(MAX(Reference!$A$6,MIN(Reference!$A$11,MIN(D205,120)))-INDEX(Reference!$A$6:$A$11,MIN(5,MATCH(MAX(Reference!$A$6,MIN(Reference!$A$11,MIN(D205,120))),Reference!$A$6:$A$11,1))))*(INDEX(Reference!$B$6:$B$11,MIN(5,MATCH(MAX(Reference!$A$6,MIN(Reference!$A$11,MIN(D205,120))),Reference!$A$6:$A$11,1))+1)-INDEX(Reference!$B$6:$B$11,MIN(5,MATCH(MAX(Reference!$A$6,MIN(Reference!$A$11,MIN(D205,120))),Reference!$A$6:$A$11,1))))/(INDEX(Reference!$A$6:$A$11,MIN(5,MATCH(MAX(Reference!$A$6,MIN(Reference!$A$11,MIN(D205,120))),Reference!$A$6:$A$11,1))+1)-INDEX(Reference!$A$6:$A$11,MIN(5,MATCH(MAX(Reference!$A$6,MIN(Reference!$A$11,MIN(D205,120))),Reference!$A$6:$A$11,1))))),0)+IF(3&lt;=AE205,(AE205-3+3)*(INDEX(Reference!$B$6:$B$11,MIN(5,MATCH(MAX(Reference!$A$6,MIN(Reference!$A$11,MIN(D205,150))),Reference!$A$6:$A$11,1)))+(MAX(Reference!$A$6,MIN(Reference!$A$11,MIN(D205,150)))-INDEX(Reference!$A$6:$A$11,MIN(5,MATCH(MAX(Reference!$A$6,MIN(Reference!$A$11,MIN(D205,150))),Reference!$A$6:$A$11,1))))*(INDEX(Reference!$B$6:$B$11,MIN(5,MATCH(MAX(Reference!$A$6,MIN(Reference!$A$11,MIN(D205,150))),Reference!$A$6:$A$11,1))+1)-INDEX(Reference!$B$6:$B$11,MIN(5,MATCH(MAX(Reference!$A$6,MIN(Reference!$A$11,MIN(D205,150))),Reference!$A$6:$A$11,1))))/(INDEX(Reference!$A$6:$A$11,MIN(5,MATCH(MAX(Reference!$A$6,MIN(Reference!$A$11,MIN(D205,150))),Reference!$A$6:$A$11,1))+1)-INDEX(Reference!$A$6:$A$11,MIN(5,MATCH(MAX(Reference!$A$6,MIN(Reference!$A$11,MIN(D205,150))),Reference!$A$6:$A$11,1))))),0)+IF(4&lt;=AE205,(AE205-4+3)*(INDEX(Reference!$B$6:$B$11,MIN(5,MATCH(MAX(Reference!$A$6,MIN(Reference!$A$11,MIN(D205,180))),Reference!$A$6:$A$11,1)))+(MAX(Reference!$A$6,MIN(Reference!$A$11,MIN(D205,180)))-INDEX(Reference!$A$6:$A$11,MIN(5,MATCH(MAX(Reference!$A$6,MIN(Reference!$A$11,MIN(D205,180))),Reference!$A$6:$A$11,1))))*(INDEX(Reference!$B$6:$B$11,MIN(5,MATCH(MAX(Reference!$A$6,MIN(Reference!$A$11,MIN(D205,180))),Reference!$A$6:$A$11,1))+1)-INDEX(Reference!$B$6:$B$11,MIN(5,MATCH(MAX(Reference!$A$6,MIN(Reference!$A$11,MIN(D205,180))),Reference!$A$6:$A$11,1))))/(INDEX(Reference!$A$6:$A$11,MIN(5,MATCH(MAX(Reference!$A$6,MIN(Reference!$A$11,MIN(D205,180))),Reference!$A$6:$A$11,1))+1)-INDEX(Reference!$A$6:$A$11,MIN(5,MATCH(MAX(Reference!$A$6,MIN(Reference!$A$11,MIN(D205,180))),Reference!$A$6:$A$11,1))))),0)+IF(5&lt;=AE205,(AE205-5+3)*(INDEX(Reference!$B$6:$B$11,MIN(5,MATCH(MAX(Reference!$A$6,MIN(Reference!$A$11,MIN(D205,210))),Reference!$A$6:$A$11,1)))+(MAX(Reference!$A$6,MIN(Reference!$A$11,MIN(D205,210)))-INDEX(Reference!$A$6:$A$11,MIN(5,MATCH(MAX(Reference!$A$6,MIN(Reference!$A$11,MIN(D205,210))),Reference!$A$6:$A$11,1))))*(INDEX(Reference!$B$6:$B$11,MIN(5,MATCH(MAX(Reference!$A$6,MIN(Reference!$A$11,MIN(D205,210))),Reference!$A$6:$A$11,1))+1)-INDEX(Reference!$B$6:$B$11,MIN(5,MATCH(MAX(Reference!$A$6,MIN(Reference!$A$11,MIN(D205,210))),Reference!$A$6:$A$11,1))))/(INDEX(Reference!$A$6:$A$11,MIN(5,MATCH(MAX(Reference!$A$6,MIN(Reference!$A$11,MIN(D205,210))),Reference!$A$6:$A$11,1))+1)-INDEX(Reference!$A$6:$A$11,MIN(5,MATCH(MAX(Reference!$A$6,MIN(Reference!$A$11,MIN(D205,210))),Reference!$A$6:$A$11,1))))),0)+IF(6&lt;=AE205,(AE205-6+3)*(INDEX(Reference!$B$6:$B$11,MIN(5,MATCH(MAX(Reference!$A$6,MIN(Reference!$A$11,MIN(D205,240))),Reference!$A$6:$A$11,1)))+(MAX(Reference!$A$6,MIN(Reference!$A$11,MIN(D205,240)))-INDEX(Reference!$A$6:$A$11,MIN(5,MATCH(MAX(Reference!$A$6,MIN(Reference!$A$11,MIN(D205,240))),Reference!$A$6:$A$11,1))))*(INDEX(Reference!$B$6:$B$11,MIN(5,MATCH(MAX(Reference!$A$6,MIN(Reference!$A$11,MIN(D205,240))),Reference!$A$6:$A$11,1))+1)-INDEX(Reference!$B$6:$B$11,MIN(5,MATCH(MAX(Reference!$A$6,MIN(Reference!$A$11,MIN(D205,240))),Reference!$A$6:$A$11,1))))/(INDEX(Reference!$A$6:$A$11,MIN(5,MATCH(MAX(Reference!$A$6,MIN(Reference!$A$11,MIN(D205,240))),Reference!$A$6:$A$11,1))+1)-INDEX(Reference!$A$6:$A$11,MIN(5,MATCH(MAX(Reference!$A$6,MIN(Reference!$A$11,MIN(D205,240))),Reference!$A$6:$A$11,1))))),0)+IF(7&lt;=AE205,(AE205-7+3)*(INDEX(Reference!$B$6:$B$11,MIN(5,MATCH(MAX(Reference!$A$6,MIN(Reference!$A$11,MIN(D205,270))),Reference!$A$6:$A$11,1)))+(MAX(Reference!$A$6,MIN(Reference!$A$11,MIN(D205,270)))-INDEX(Reference!$A$6:$A$11,MIN(5,MATCH(MAX(Reference!$A$6,MIN(Reference!$A$11,MIN(D205,270))),Reference!$A$6:$A$11,1))))*(INDEX(Reference!$B$6:$B$11,MIN(5,MATCH(MAX(Reference!$A$6,MIN(Reference!$A$11,MIN(D205,270))),Reference!$A$6:$A$11,1))+1)-INDEX(Reference!$B$6:$B$11,MIN(5,MATCH(MAX(Reference!$A$6,MIN(Reference!$A$11,MIN(D205,270))),Reference!$A$6:$A$11,1))))/(INDEX(Reference!$A$6:$A$11,MIN(5,MATCH(MAX(Reference!$A$6,MIN(Reference!$A$11,MIN(D205,270))),Reference!$A$6:$A$11,1))+1)-INDEX(Reference!$A$6:$A$11,MIN(5,MATCH(MAX(Reference!$A$6,MIN(Reference!$A$11,MIN(D205,270))),Reference!$A$6:$A$11,1))))),0)+IF(8&lt;=AE205,(AE205-8+3)*(INDEX(Reference!$B$6:$B$11,MIN(5,MATCH(MAX(Reference!$A$6,MIN(Reference!$A$11,MIN(D205,300))),Reference!$A$6:$A$11,1)))+(MAX(Reference!$A$6,MIN(Reference!$A$11,MIN(D205,300)))-INDEX(Reference!$A$6:$A$11,MIN(5,MATCH(MAX(Reference!$A$6,MIN(Reference!$A$11,MIN(D205,300))),Reference!$A$6:$A$11,1))))*(INDEX(Reference!$B$6:$B$11,MIN(5,MATCH(MAX(Reference!$A$6,MIN(Reference!$A$11,MIN(D205,300))),Reference!$A$6:$A$11,1))+1)-INDEX(Reference!$B$6:$B$11,MIN(5,MATCH(MAX(Reference!$A$6,MIN(Reference!$A$11,MIN(D205,300))),Reference!$A$6:$A$11,1))))/(INDEX(Reference!$A$6:$A$11,MIN(5,MATCH(MAX(Reference!$A$6,MIN(Reference!$A$11,MIN(D205,300))),Reference!$A$6:$A$11,1))+1)-INDEX(Reference!$A$6:$A$11,MIN(5,MATCH(MAX(Reference!$A$6,MIN(Reference!$A$11,MIN(D205,300))),Reference!$A$6:$A$11,1))))),0))/(AE205*(AE205+5)/2)),(INDEX(Reference!$B$6:$B$11,MIN(5,MATCH(MAX(Reference!$A$6,MIN(Reference!$A$11,D205)),Reference!$A$6:$A$11,1)))+(MAX(Reference!$A$6,MIN(Reference!$A$11,D205))-INDEX(Reference!$A$6:$A$11,MIN(5,MATCH(MAX(Reference!$A$6,MIN(Reference!$A$11,D205)),Reference!$A$6:$A$11,1))))*(INDEX(Reference!$B$6:$B$11,MIN(5,MATCH(MAX(Reference!$A$6,MIN(Reference!$A$11,D205)),Reference!$A$6:$A$11,1))+1)-INDEX(Reference!$B$6:$B$11,MIN(5,MATCH(MAX(Reference!$A$6,MIN(Reference!$A$11,D205)),Reference!$A$6:$A$11,1))))/(INDEX(Reference!$A$6:$A$11,MIN(5,MATCH(MAX(Reference!$A$6,MIN(Reference!$A$11,D205)),Reference!$A$6:$A$11,1))+1)-INDEX(Reference!$A$6:$A$11,MIN(5,MATCH(MAX(Reference!$A$6,MIN(Reference!$A$11,D205)),Reference!$A$6:$A$11,1))))))))</f>
        <v/>
      </c>
      <c r="P205" s="32" t="str">
        <f>IF(N205="","",VLOOKUP(MAX(N205,0),Reference!$A$17:$B$20,2,TRUE()))</f>
        <v/>
      </c>
      <c r="Q205" s="32" t="str">
        <f t="shared" si="30"/>
        <v/>
      </c>
      <c r="R205" s="31"/>
      <c r="S205" s="31"/>
      <c r="T205" s="31"/>
      <c r="U205" s="32" t="str">
        <f t="shared" si="31"/>
        <v/>
      </c>
      <c r="V205" s="32" t="str">
        <f t="shared" si="32"/>
        <v/>
      </c>
      <c r="W205" s="32" t="str">
        <f>IF(V205="","",VLOOKUP(MAX(V205,0),Reference!$A$17:$B$20,2,TRUE()))</f>
        <v/>
      </c>
      <c r="X205" s="31"/>
      <c r="Y205" s="31"/>
      <c r="Z205" s="31"/>
      <c r="AA205" s="32" t="str">
        <f t="shared" si="33"/>
        <v/>
      </c>
      <c r="AB205" s="32" t="str">
        <f t="shared" si="34"/>
        <v/>
      </c>
      <c r="AC205" s="32" t="str">
        <f>IF(AB205="","",VLOOKUP(MAX(AB205,0),Reference!$A$17:$B$20,2,TRUE()))</f>
        <v/>
      </c>
      <c r="AD205" s="31"/>
      <c r="AE205">
        <f t="shared" si="35"/>
        <v>1</v>
      </c>
      <c r="AF205" s="33" t="str">
        <f>IF(OR(A205="",B205="",AND(C205&lt;&gt;"Bullpen",C205&lt;&gt;"Game")),"",IF((COUNTIFS($B$5:$B$300,B205,$A$5:$A$300,A205-1,$C$5:$C$300,"Bullpen",$AG$5:$AG$300,"&gt;0") + COUNTIFS($B$5:$B$300,B205,$A$5:$A$300,A205-1,$C$5:$C$300,"Game",$AG$5:$AG$300,"&gt;0"))&gt;0,Reference!$B$119,IF((COUNTIFS($B$5:$B$300,B205,$A$5:$A$300,A205-2,$C$5:$C$300,"Bullpen",$AG$5:$AG$300,"&gt;0") + COUNTIFS($B$5:$B$300,B205,$A$5:$A$300,A205-2,$C$5:$C$300,"Game",$AG$5:$AG$300,"&gt;0"))&gt;0,Reference!$B$120,1)))</f>
        <v/>
      </c>
      <c r="AG205" s="30" t="str">
        <f>IF(AND(OR(I205="",O205="",P205=""),OR(R205="",W205=""),OR(X205="",AC205="")),"",IF(OR(I205="",O205="",P205=""),0,I205*O205*P205)+IF(OR(R205="",W205=""),0,R205*IFERROR(INDEX(Reference!$B$61:$B$62,MATCH("Bullpen",Reference!$A$61:$A$62,0)),0)*W205)+IF(OR(X205="",AC205=""),0,X205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205))</f>
        <v/>
      </c>
    </row>
    <row r="206" spans="1:33" x14ac:dyDescent="0.3">
      <c r="A206" s="35"/>
      <c r="B206" s="31"/>
      <c r="C206" s="31"/>
      <c r="D206" s="31"/>
      <c r="E206" s="34"/>
      <c r="F206" s="34"/>
      <c r="G206" s="30" t="str">
        <f t="shared" si="27"/>
        <v/>
      </c>
      <c r="H206" s="31"/>
      <c r="I206" s="32" t="str">
        <f>IF(H206&lt;&gt;"",H206,IF(G206="","",ROUND(G206*IFERROR(INDEX(Reference!$B$44:$B$50,MATCH(C206,Reference!$A$44:$A$50,0)),0),0)))</f>
        <v/>
      </c>
      <c r="J206" s="31"/>
      <c r="K206" s="31"/>
      <c r="L206" s="32" t="str">
        <f t="shared" si="28"/>
        <v/>
      </c>
      <c r="M206" s="32" t="str">
        <f>IFERROR(INDEX(Roster!$D$5:$D$40,MATCH(B206,Roster!$A$5:$A$40,0)),"")</f>
        <v/>
      </c>
      <c r="N206" s="32" t="str">
        <f t="shared" si="29"/>
        <v/>
      </c>
      <c r="O206" s="32" t="str">
        <f>IF(OR(C206="Bullpen",C206="Game"),IFERROR(INDEX(Reference!$B$61:$B$62,MATCH(C206,Reference!$A$61:$A$62,0)),""),IF(D206="","",IF(AE206&gt;1,((IF(1&lt;=AE206,(AE206-1+3)*(INDEX(Reference!$B$6:$B$11,MIN(5,MATCH(MAX(Reference!$A$6,MIN(Reference!$A$11,MIN(D206,90))),Reference!$A$6:$A$11,1)))+(MAX(Reference!$A$6,MIN(Reference!$A$11,MIN(D206,90)))-INDEX(Reference!$A$6:$A$11,MIN(5,MATCH(MAX(Reference!$A$6,MIN(Reference!$A$11,MIN(D206,90))),Reference!$A$6:$A$11,1))))*(INDEX(Reference!$B$6:$B$11,MIN(5,MATCH(MAX(Reference!$A$6,MIN(Reference!$A$11,MIN(D206,90))),Reference!$A$6:$A$11,1))+1)-INDEX(Reference!$B$6:$B$11,MIN(5,MATCH(MAX(Reference!$A$6,MIN(Reference!$A$11,MIN(D206,90))),Reference!$A$6:$A$11,1))))/(INDEX(Reference!$A$6:$A$11,MIN(5,MATCH(MAX(Reference!$A$6,MIN(Reference!$A$11,MIN(D206,90))),Reference!$A$6:$A$11,1))+1)-INDEX(Reference!$A$6:$A$11,MIN(5,MATCH(MAX(Reference!$A$6,MIN(Reference!$A$11,MIN(D206,90))),Reference!$A$6:$A$11,1))))),0)+IF(2&lt;=AE206,(AE206-2+3)*(INDEX(Reference!$B$6:$B$11,MIN(5,MATCH(MAX(Reference!$A$6,MIN(Reference!$A$11,MIN(D206,120))),Reference!$A$6:$A$11,1)))+(MAX(Reference!$A$6,MIN(Reference!$A$11,MIN(D206,120)))-INDEX(Reference!$A$6:$A$11,MIN(5,MATCH(MAX(Reference!$A$6,MIN(Reference!$A$11,MIN(D206,120))),Reference!$A$6:$A$11,1))))*(INDEX(Reference!$B$6:$B$11,MIN(5,MATCH(MAX(Reference!$A$6,MIN(Reference!$A$11,MIN(D206,120))),Reference!$A$6:$A$11,1))+1)-INDEX(Reference!$B$6:$B$11,MIN(5,MATCH(MAX(Reference!$A$6,MIN(Reference!$A$11,MIN(D206,120))),Reference!$A$6:$A$11,1))))/(INDEX(Reference!$A$6:$A$11,MIN(5,MATCH(MAX(Reference!$A$6,MIN(Reference!$A$11,MIN(D206,120))),Reference!$A$6:$A$11,1))+1)-INDEX(Reference!$A$6:$A$11,MIN(5,MATCH(MAX(Reference!$A$6,MIN(Reference!$A$11,MIN(D206,120))),Reference!$A$6:$A$11,1))))),0)+IF(3&lt;=AE206,(AE206-3+3)*(INDEX(Reference!$B$6:$B$11,MIN(5,MATCH(MAX(Reference!$A$6,MIN(Reference!$A$11,MIN(D206,150))),Reference!$A$6:$A$11,1)))+(MAX(Reference!$A$6,MIN(Reference!$A$11,MIN(D206,150)))-INDEX(Reference!$A$6:$A$11,MIN(5,MATCH(MAX(Reference!$A$6,MIN(Reference!$A$11,MIN(D206,150))),Reference!$A$6:$A$11,1))))*(INDEX(Reference!$B$6:$B$11,MIN(5,MATCH(MAX(Reference!$A$6,MIN(Reference!$A$11,MIN(D206,150))),Reference!$A$6:$A$11,1))+1)-INDEX(Reference!$B$6:$B$11,MIN(5,MATCH(MAX(Reference!$A$6,MIN(Reference!$A$11,MIN(D206,150))),Reference!$A$6:$A$11,1))))/(INDEX(Reference!$A$6:$A$11,MIN(5,MATCH(MAX(Reference!$A$6,MIN(Reference!$A$11,MIN(D206,150))),Reference!$A$6:$A$11,1))+1)-INDEX(Reference!$A$6:$A$11,MIN(5,MATCH(MAX(Reference!$A$6,MIN(Reference!$A$11,MIN(D206,150))),Reference!$A$6:$A$11,1))))),0)+IF(4&lt;=AE206,(AE206-4+3)*(INDEX(Reference!$B$6:$B$11,MIN(5,MATCH(MAX(Reference!$A$6,MIN(Reference!$A$11,MIN(D206,180))),Reference!$A$6:$A$11,1)))+(MAX(Reference!$A$6,MIN(Reference!$A$11,MIN(D206,180)))-INDEX(Reference!$A$6:$A$11,MIN(5,MATCH(MAX(Reference!$A$6,MIN(Reference!$A$11,MIN(D206,180))),Reference!$A$6:$A$11,1))))*(INDEX(Reference!$B$6:$B$11,MIN(5,MATCH(MAX(Reference!$A$6,MIN(Reference!$A$11,MIN(D206,180))),Reference!$A$6:$A$11,1))+1)-INDEX(Reference!$B$6:$B$11,MIN(5,MATCH(MAX(Reference!$A$6,MIN(Reference!$A$11,MIN(D206,180))),Reference!$A$6:$A$11,1))))/(INDEX(Reference!$A$6:$A$11,MIN(5,MATCH(MAX(Reference!$A$6,MIN(Reference!$A$11,MIN(D206,180))),Reference!$A$6:$A$11,1))+1)-INDEX(Reference!$A$6:$A$11,MIN(5,MATCH(MAX(Reference!$A$6,MIN(Reference!$A$11,MIN(D206,180))),Reference!$A$6:$A$11,1))))),0)+IF(5&lt;=AE206,(AE206-5+3)*(INDEX(Reference!$B$6:$B$11,MIN(5,MATCH(MAX(Reference!$A$6,MIN(Reference!$A$11,MIN(D206,210))),Reference!$A$6:$A$11,1)))+(MAX(Reference!$A$6,MIN(Reference!$A$11,MIN(D206,210)))-INDEX(Reference!$A$6:$A$11,MIN(5,MATCH(MAX(Reference!$A$6,MIN(Reference!$A$11,MIN(D206,210))),Reference!$A$6:$A$11,1))))*(INDEX(Reference!$B$6:$B$11,MIN(5,MATCH(MAX(Reference!$A$6,MIN(Reference!$A$11,MIN(D206,210))),Reference!$A$6:$A$11,1))+1)-INDEX(Reference!$B$6:$B$11,MIN(5,MATCH(MAX(Reference!$A$6,MIN(Reference!$A$11,MIN(D206,210))),Reference!$A$6:$A$11,1))))/(INDEX(Reference!$A$6:$A$11,MIN(5,MATCH(MAX(Reference!$A$6,MIN(Reference!$A$11,MIN(D206,210))),Reference!$A$6:$A$11,1))+1)-INDEX(Reference!$A$6:$A$11,MIN(5,MATCH(MAX(Reference!$A$6,MIN(Reference!$A$11,MIN(D206,210))),Reference!$A$6:$A$11,1))))),0)+IF(6&lt;=AE206,(AE206-6+3)*(INDEX(Reference!$B$6:$B$11,MIN(5,MATCH(MAX(Reference!$A$6,MIN(Reference!$A$11,MIN(D206,240))),Reference!$A$6:$A$11,1)))+(MAX(Reference!$A$6,MIN(Reference!$A$11,MIN(D206,240)))-INDEX(Reference!$A$6:$A$11,MIN(5,MATCH(MAX(Reference!$A$6,MIN(Reference!$A$11,MIN(D206,240))),Reference!$A$6:$A$11,1))))*(INDEX(Reference!$B$6:$B$11,MIN(5,MATCH(MAX(Reference!$A$6,MIN(Reference!$A$11,MIN(D206,240))),Reference!$A$6:$A$11,1))+1)-INDEX(Reference!$B$6:$B$11,MIN(5,MATCH(MAX(Reference!$A$6,MIN(Reference!$A$11,MIN(D206,240))),Reference!$A$6:$A$11,1))))/(INDEX(Reference!$A$6:$A$11,MIN(5,MATCH(MAX(Reference!$A$6,MIN(Reference!$A$11,MIN(D206,240))),Reference!$A$6:$A$11,1))+1)-INDEX(Reference!$A$6:$A$11,MIN(5,MATCH(MAX(Reference!$A$6,MIN(Reference!$A$11,MIN(D206,240))),Reference!$A$6:$A$11,1))))),0)+IF(7&lt;=AE206,(AE206-7+3)*(INDEX(Reference!$B$6:$B$11,MIN(5,MATCH(MAX(Reference!$A$6,MIN(Reference!$A$11,MIN(D206,270))),Reference!$A$6:$A$11,1)))+(MAX(Reference!$A$6,MIN(Reference!$A$11,MIN(D206,270)))-INDEX(Reference!$A$6:$A$11,MIN(5,MATCH(MAX(Reference!$A$6,MIN(Reference!$A$11,MIN(D206,270))),Reference!$A$6:$A$11,1))))*(INDEX(Reference!$B$6:$B$11,MIN(5,MATCH(MAX(Reference!$A$6,MIN(Reference!$A$11,MIN(D206,270))),Reference!$A$6:$A$11,1))+1)-INDEX(Reference!$B$6:$B$11,MIN(5,MATCH(MAX(Reference!$A$6,MIN(Reference!$A$11,MIN(D206,270))),Reference!$A$6:$A$11,1))))/(INDEX(Reference!$A$6:$A$11,MIN(5,MATCH(MAX(Reference!$A$6,MIN(Reference!$A$11,MIN(D206,270))),Reference!$A$6:$A$11,1))+1)-INDEX(Reference!$A$6:$A$11,MIN(5,MATCH(MAX(Reference!$A$6,MIN(Reference!$A$11,MIN(D206,270))),Reference!$A$6:$A$11,1))))),0)+IF(8&lt;=AE206,(AE206-8+3)*(INDEX(Reference!$B$6:$B$11,MIN(5,MATCH(MAX(Reference!$A$6,MIN(Reference!$A$11,MIN(D206,300))),Reference!$A$6:$A$11,1)))+(MAX(Reference!$A$6,MIN(Reference!$A$11,MIN(D206,300)))-INDEX(Reference!$A$6:$A$11,MIN(5,MATCH(MAX(Reference!$A$6,MIN(Reference!$A$11,MIN(D206,300))),Reference!$A$6:$A$11,1))))*(INDEX(Reference!$B$6:$B$11,MIN(5,MATCH(MAX(Reference!$A$6,MIN(Reference!$A$11,MIN(D206,300))),Reference!$A$6:$A$11,1))+1)-INDEX(Reference!$B$6:$B$11,MIN(5,MATCH(MAX(Reference!$A$6,MIN(Reference!$A$11,MIN(D206,300))),Reference!$A$6:$A$11,1))))/(INDEX(Reference!$A$6:$A$11,MIN(5,MATCH(MAX(Reference!$A$6,MIN(Reference!$A$11,MIN(D206,300))),Reference!$A$6:$A$11,1))+1)-INDEX(Reference!$A$6:$A$11,MIN(5,MATCH(MAX(Reference!$A$6,MIN(Reference!$A$11,MIN(D206,300))),Reference!$A$6:$A$11,1))))),0))/(AE206*(AE206+5)/2)),(INDEX(Reference!$B$6:$B$11,MIN(5,MATCH(MAX(Reference!$A$6,MIN(Reference!$A$11,D206)),Reference!$A$6:$A$11,1)))+(MAX(Reference!$A$6,MIN(Reference!$A$11,D206))-INDEX(Reference!$A$6:$A$11,MIN(5,MATCH(MAX(Reference!$A$6,MIN(Reference!$A$11,D206)),Reference!$A$6:$A$11,1))))*(INDEX(Reference!$B$6:$B$11,MIN(5,MATCH(MAX(Reference!$A$6,MIN(Reference!$A$11,D206)),Reference!$A$6:$A$11,1))+1)-INDEX(Reference!$B$6:$B$11,MIN(5,MATCH(MAX(Reference!$A$6,MIN(Reference!$A$11,D206)),Reference!$A$6:$A$11,1))))/(INDEX(Reference!$A$6:$A$11,MIN(5,MATCH(MAX(Reference!$A$6,MIN(Reference!$A$11,D206)),Reference!$A$6:$A$11,1))+1)-INDEX(Reference!$A$6:$A$11,MIN(5,MATCH(MAX(Reference!$A$6,MIN(Reference!$A$11,D206)),Reference!$A$6:$A$11,1))))))))</f>
        <v/>
      </c>
      <c r="P206" s="32" t="str">
        <f>IF(N206="","",VLOOKUP(MAX(N206,0),Reference!$A$17:$B$20,2,TRUE()))</f>
        <v/>
      </c>
      <c r="Q206" s="32" t="str">
        <f t="shared" si="30"/>
        <v/>
      </c>
      <c r="R206" s="31"/>
      <c r="S206" s="31"/>
      <c r="T206" s="31"/>
      <c r="U206" s="32" t="str">
        <f t="shared" si="31"/>
        <v/>
      </c>
      <c r="V206" s="32" t="str">
        <f t="shared" si="32"/>
        <v/>
      </c>
      <c r="W206" s="32" t="str">
        <f>IF(V206="","",VLOOKUP(MAX(V206,0),Reference!$A$17:$B$20,2,TRUE()))</f>
        <v/>
      </c>
      <c r="X206" s="31"/>
      <c r="Y206" s="31"/>
      <c r="Z206" s="31"/>
      <c r="AA206" s="32" t="str">
        <f t="shared" si="33"/>
        <v/>
      </c>
      <c r="AB206" s="32" t="str">
        <f t="shared" si="34"/>
        <v/>
      </c>
      <c r="AC206" s="32" t="str">
        <f>IF(AB206="","",VLOOKUP(MAX(AB206,0),Reference!$A$17:$B$20,2,TRUE()))</f>
        <v/>
      </c>
      <c r="AD206" s="31"/>
      <c r="AE206">
        <f t="shared" si="35"/>
        <v>1</v>
      </c>
      <c r="AF206" s="33" t="str">
        <f>IF(OR(A206="",B206="",AND(C206&lt;&gt;"Bullpen",C206&lt;&gt;"Game")),"",IF((COUNTIFS($B$5:$B$300,B206,$A$5:$A$300,A206-1,$C$5:$C$300,"Bullpen",$AG$5:$AG$300,"&gt;0") + COUNTIFS($B$5:$B$300,B206,$A$5:$A$300,A206-1,$C$5:$C$300,"Game",$AG$5:$AG$300,"&gt;0"))&gt;0,Reference!$B$119,IF((COUNTIFS($B$5:$B$300,B206,$A$5:$A$300,A206-2,$C$5:$C$300,"Bullpen",$AG$5:$AG$300,"&gt;0") + COUNTIFS($B$5:$B$300,B206,$A$5:$A$300,A206-2,$C$5:$C$300,"Game",$AG$5:$AG$300,"&gt;0"))&gt;0,Reference!$B$120,1)))</f>
        <v/>
      </c>
      <c r="AG206" s="30" t="str">
        <f>IF(AND(OR(I206="",O206="",P206=""),OR(R206="",W206=""),OR(X206="",AC206="")),"",IF(OR(I206="",O206="",P206=""),0,I206*O206*P206)+IF(OR(R206="",W206=""),0,R206*IFERROR(INDEX(Reference!$B$61:$B$62,MATCH("Bullpen",Reference!$A$61:$A$62,0)),0)*W206)+IF(OR(X206="",AC206=""),0,X206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206))</f>
        <v/>
      </c>
    </row>
    <row r="207" spans="1:33" x14ac:dyDescent="0.3">
      <c r="A207" s="35"/>
      <c r="B207" s="31"/>
      <c r="C207" s="31"/>
      <c r="D207" s="31"/>
      <c r="E207" s="34"/>
      <c r="F207" s="34"/>
      <c r="G207" s="30" t="str">
        <f t="shared" si="27"/>
        <v/>
      </c>
      <c r="H207" s="31"/>
      <c r="I207" s="32" t="str">
        <f>IF(H207&lt;&gt;"",H207,IF(G207="","",ROUND(G207*IFERROR(INDEX(Reference!$B$44:$B$50,MATCH(C207,Reference!$A$44:$A$50,0)),0),0)))</f>
        <v/>
      </c>
      <c r="J207" s="31"/>
      <c r="K207" s="31"/>
      <c r="L207" s="32" t="str">
        <f t="shared" si="28"/>
        <v/>
      </c>
      <c r="M207" s="32" t="str">
        <f>IFERROR(INDEX(Roster!$D$5:$D$40,MATCH(B207,Roster!$A$5:$A$40,0)),"")</f>
        <v/>
      </c>
      <c r="N207" s="32" t="str">
        <f t="shared" si="29"/>
        <v/>
      </c>
      <c r="O207" s="32" t="str">
        <f>IF(OR(C207="Bullpen",C207="Game"),IFERROR(INDEX(Reference!$B$61:$B$62,MATCH(C207,Reference!$A$61:$A$62,0)),""),IF(D207="","",IF(AE207&gt;1,((IF(1&lt;=AE207,(AE207-1+3)*(INDEX(Reference!$B$6:$B$11,MIN(5,MATCH(MAX(Reference!$A$6,MIN(Reference!$A$11,MIN(D207,90))),Reference!$A$6:$A$11,1)))+(MAX(Reference!$A$6,MIN(Reference!$A$11,MIN(D207,90)))-INDEX(Reference!$A$6:$A$11,MIN(5,MATCH(MAX(Reference!$A$6,MIN(Reference!$A$11,MIN(D207,90))),Reference!$A$6:$A$11,1))))*(INDEX(Reference!$B$6:$B$11,MIN(5,MATCH(MAX(Reference!$A$6,MIN(Reference!$A$11,MIN(D207,90))),Reference!$A$6:$A$11,1))+1)-INDEX(Reference!$B$6:$B$11,MIN(5,MATCH(MAX(Reference!$A$6,MIN(Reference!$A$11,MIN(D207,90))),Reference!$A$6:$A$11,1))))/(INDEX(Reference!$A$6:$A$11,MIN(5,MATCH(MAX(Reference!$A$6,MIN(Reference!$A$11,MIN(D207,90))),Reference!$A$6:$A$11,1))+1)-INDEX(Reference!$A$6:$A$11,MIN(5,MATCH(MAX(Reference!$A$6,MIN(Reference!$A$11,MIN(D207,90))),Reference!$A$6:$A$11,1))))),0)+IF(2&lt;=AE207,(AE207-2+3)*(INDEX(Reference!$B$6:$B$11,MIN(5,MATCH(MAX(Reference!$A$6,MIN(Reference!$A$11,MIN(D207,120))),Reference!$A$6:$A$11,1)))+(MAX(Reference!$A$6,MIN(Reference!$A$11,MIN(D207,120)))-INDEX(Reference!$A$6:$A$11,MIN(5,MATCH(MAX(Reference!$A$6,MIN(Reference!$A$11,MIN(D207,120))),Reference!$A$6:$A$11,1))))*(INDEX(Reference!$B$6:$B$11,MIN(5,MATCH(MAX(Reference!$A$6,MIN(Reference!$A$11,MIN(D207,120))),Reference!$A$6:$A$11,1))+1)-INDEX(Reference!$B$6:$B$11,MIN(5,MATCH(MAX(Reference!$A$6,MIN(Reference!$A$11,MIN(D207,120))),Reference!$A$6:$A$11,1))))/(INDEX(Reference!$A$6:$A$11,MIN(5,MATCH(MAX(Reference!$A$6,MIN(Reference!$A$11,MIN(D207,120))),Reference!$A$6:$A$11,1))+1)-INDEX(Reference!$A$6:$A$11,MIN(5,MATCH(MAX(Reference!$A$6,MIN(Reference!$A$11,MIN(D207,120))),Reference!$A$6:$A$11,1))))),0)+IF(3&lt;=AE207,(AE207-3+3)*(INDEX(Reference!$B$6:$B$11,MIN(5,MATCH(MAX(Reference!$A$6,MIN(Reference!$A$11,MIN(D207,150))),Reference!$A$6:$A$11,1)))+(MAX(Reference!$A$6,MIN(Reference!$A$11,MIN(D207,150)))-INDEX(Reference!$A$6:$A$11,MIN(5,MATCH(MAX(Reference!$A$6,MIN(Reference!$A$11,MIN(D207,150))),Reference!$A$6:$A$11,1))))*(INDEX(Reference!$B$6:$B$11,MIN(5,MATCH(MAX(Reference!$A$6,MIN(Reference!$A$11,MIN(D207,150))),Reference!$A$6:$A$11,1))+1)-INDEX(Reference!$B$6:$B$11,MIN(5,MATCH(MAX(Reference!$A$6,MIN(Reference!$A$11,MIN(D207,150))),Reference!$A$6:$A$11,1))))/(INDEX(Reference!$A$6:$A$11,MIN(5,MATCH(MAX(Reference!$A$6,MIN(Reference!$A$11,MIN(D207,150))),Reference!$A$6:$A$11,1))+1)-INDEX(Reference!$A$6:$A$11,MIN(5,MATCH(MAX(Reference!$A$6,MIN(Reference!$A$11,MIN(D207,150))),Reference!$A$6:$A$11,1))))),0)+IF(4&lt;=AE207,(AE207-4+3)*(INDEX(Reference!$B$6:$B$11,MIN(5,MATCH(MAX(Reference!$A$6,MIN(Reference!$A$11,MIN(D207,180))),Reference!$A$6:$A$11,1)))+(MAX(Reference!$A$6,MIN(Reference!$A$11,MIN(D207,180)))-INDEX(Reference!$A$6:$A$11,MIN(5,MATCH(MAX(Reference!$A$6,MIN(Reference!$A$11,MIN(D207,180))),Reference!$A$6:$A$11,1))))*(INDEX(Reference!$B$6:$B$11,MIN(5,MATCH(MAX(Reference!$A$6,MIN(Reference!$A$11,MIN(D207,180))),Reference!$A$6:$A$11,1))+1)-INDEX(Reference!$B$6:$B$11,MIN(5,MATCH(MAX(Reference!$A$6,MIN(Reference!$A$11,MIN(D207,180))),Reference!$A$6:$A$11,1))))/(INDEX(Reference!$A$6:$A$11,MIN(5,MATCH(MAX(Reference!$A$6,MIN(Reference!$A$11,MIN(D207,180))),Reference!$A$6:$A$11,1))+1)-INDEX(Reference!$A$6:$A$11,MIN(5,MATCH(MAX(Reference!$A$6,MIN(Reference!$A$11,MIN(D207,180))),Reference!$A$6:$A$11,1))))),0)+IF(5&lt;=AE207,(AE207-5+3)*(INDEX(Reference!$B$6:$B$11,MIN(5,MATCH(MAX(Reference!$A$6,MIN(Reference!$A$11,MIN(D207,210))),Reference!$A$6:$A$11,1)))+(MAX(Reference!$A$6,MIN(Reference!$A$11,MIN(D207,210)))-INDEX(Reference!$A$6:$A$11,MIN(5,MATCH(MAX(Reference!$A$6,MIN(Reference!$A$11,MIN(D207,210))),Reference!$A$6:$A$11,1))))*(INDEX(Reference!$B$6:$B$11,MIN(5,MATCH(MAX(Reference!$A$6,MIN(Reference!$A$11,MIN(D207,210))),Reference!$A$6:$A$11,1))+1)-INDEX(Reference!$B$6:$B$11,MIN(5,MATCH(MAX(Reference!$A$6,MIN(Reference!$A$11,MIN(D207,210))),Reference!$A$6:$A$11,1))))/(INDEX(Reference!$A$6:$A$11,MIN(5,MATCH(MAX(Reference!$A$6,MIN(Reference!$A$11,MIN(D207,210))),Reference!$A$6:$A$11,1))+1)-INDEX(Reference!$A$6:$A$11,MIN(5,MATCH(MAX(Reference!$A$6,MIN(Reference!$A$11,MIN(D207,210))),Reference!$A$6:$A$11,1))))),0)+IF(6&lt;=AE207,(AE207-6+3)*(INDEX(Reference!$B$6:$B$11,MIN(5,MATCH(MAX(Reference!$A$6,MIN(Reference!$A$11,MIN(D207,240))),Reference!$A$6:$A$11,1)))+(MAX(Reference!$A$6,MIN(Reference!$A$11,MIN(D207,240)))-INDEX(Reference!$A$6:$A$11,MIN(5,MATCH(MAX(Reference!$A$6,MIN(Reference!$A$11,MIN(D207,240))),Reference!$A$6:$A$11,1))))*(INDEX(Reference!$B$6:$B$11,MIN(5,MATCH(MAX(Reference!$A$6,MIN(Reference!$A$11,MIN(D207,240))),Reference!$A$6:$A$11,1))+1)-INDEX(Reference!$B$6:$B$11,MIN(5,MATCH(MAX(Reference!$A$6,MIN(Reference!$A$11,MIN(D207,240))),Reference!$A$6:$A$11,1))))/(INDEX(Reference!$A$6:$A$11,MIN(5,MATCH(MAX(Reference!$A$6,MIN(Reference!$A$11,MIN(D207,240))),Reference!$A$6:$A$11,1))+1)-INDEX(Reference!$A$6:$A$11,MIN(5,MATCH(MAX(Reference!$A$6,MIN(Reference!$A$11,MIN(D207,240))),Reference!$A$6:$A$11,1))))),0)+IF(7&lt;=AE207,(AE207-7+3)*(INDEX(Reference!$B$6:$B$11,MIN(5,MATCH(MAX(Reference!$A$6,MIN(Reference!$A$11,MIN(D207,270))),Reference!$A$6:$A$11,1)))+(MAX(Reference!$A$6,MIN(Reference!$A$11,MIN(D207,270)))-INDEX(Reference!$A$6:$A$11,MIN(5,MATCH(MAX(Reference!$A$6,MIN(Reference!$A$11,MIN(D207,270))),Reference!$A$6:$A$11,1))))*(INDEX(Reference!$B$6:$B$11,MIN(5,MATCH(MAX(Reference!$A$6,MIN(Reference!$A$11,MIN(D207,270))),Reference!$A$6:$A$11,1))+1)-INDEX(Reference!$B$6:$B$11,MIN(5,MATCH(MAX(Reference!$A$6,MIN(Reference!$A$11,MIN(D207,270))),Reference!$A$6:$A$11,1))))/(INDEX(Reference!$A$6:$A$11,MIN(5,MATCH(MAX(Reference!$A$6,MIN(Reference!$A$11,MIN(D207,270))),Reference!$A$6:$A$11,1))+1)-INDEX(Reference!$A$6:$A$11,MIN(5,MATCH(MAX(Reference!$A$6,MIN(Reference!$A$11,MIN(D207,270))),Reference!$A$6:$A$11,1))))),0)+IF(8&lt;=AE207,(AE207-8+3)*(INDEX(Reference!$B$6:$B$11,MIN(5,MATCH(MAX(Reference!$A$6,MIN(Reference!$A$11,MIN(D207,300))),Reference!$A$6:$A$11,1)))+(MAX(Reference!$A$6,MIN(Reference!$A$11,MIN(D207,300)))-INDEX(Reference!$A$6:$A$11,MIN(5,MATCH(MAX(Reference!$A$6,MIN(Reference!$A$11,MIN(D207,300))),Reference!$A$6:$A$11,1))))*(INDEX(Reference!$B$6:$B$11,MIN(5,MATCH(MAX(Reference!$A$6,MIN(Reference!$A$11,MIN(D207,300))),Reference!$A$6:$A$11,1))+1)-INDEX(Reference!$B$6:$B$11,MIN(5,MATCH(MAX(Reference!$A$6,MIN(Reference!$A$11,MIN(D207,300))),Reference!$A$6:$A$11,1))))/(INDEX(Reference!$A$6:$A$11,MIN(5,MATCH(MAX(Reference!$A$6,MIN(Reference!$A$11,MIN(D207,300))),Reference!$A$6:$A$11,1))+1)-INDEX(Reference!$A$6:$A$11,MIN(5,MATCH(MAX(Reference!$A$6,MIN(Reference!$A$11,MIN(D207,300))),Reference!$A$6:$A$11,1))))),0))/(AE207*(AE207+5)/2)),(INDEX(Reference!$B$6:$B$11,MIN(5,MATCH(MAX(Reference!$A$6,MIN(Reference!$A$11,D207)),Reference!$A$6:$A$11,1)))+(MAX(Reference!$A$6,MIN(Reference!$A$11,D207))-INDEX(Reference!$A$6:$A$11,MIN(5,MATCH(MAX(Reference!$A$6,MIN(Reference!$A$11,D207)),Reference!$A$6:$A$11,1))))*(INDEX(Reference!$B$6:$B$11,MIN(5,MATCH(MAX(Reference!$A$6,MIN(Reference!$A$11,D207)),Reference!$A$6:$A$11,1))+1)-INDEX(Reference!$B$6:$B$11,MIN(5,MATCH(MAX(Reference!$A$6,MIN(Reference!$A$11,D207)),Reference!$A$6:$A$11,1))))/(INDEX(Reference!$A$6:$A$11,MIN(5,MATCH(MAX(Reference!$A$6,MIN(Reference!$A$11,D207)),Reference!$A$6:$A$11,1))+1)-INDEX(Reference!$A$6:$A$11,MIN(5,MATCH(MAX(Reference!$A$6,MIN(Reference!$A$11,D207)),Reference!$A$6:$A$11,1))))))))</f>
        <v/>
      </c>
      <c r="P207" s="32" t="str">
        <f>IF(N207="","",VLOOKUP(MAX(N207,0),Reference!$A$17:$B$20,2,TRUE()))</f>
        <v/>
      </c>
      <c r="Q207" s="32" t="str">
        <f t="shared" si="30"/>
        <v/>
      </c>
      <c r="R207" s="31"/>
      <c r="S207" s="31"/>
      <c r="T207" s="31"/>
      <c r="U207" s="32" t="str">
        <f t="shared" si="31"/>
        <v/>
      </c>
      <c r="V207" s="32" t="str">
        <f t="shared" si="32"/>
        <v/>
      </c>
      <c r="W207" s="32" t="str">
        <f>IF(V207="","",VLOOKUP(MAX(V207,0),Reference!$A$17:$B$20,2,TRUE()))</f>
        <v/>
      </c>
      <c r="X207" s="31"/>
      <c r="Y207" s="31"/>
      <c r="Z207" s="31"/>
      <c r="AA207" s="32" t="str">
        <f t="shared" si="33"/>
        <v/>
      </c>
      <c r="AB207" s="32" t="str">
        <f t="shared" si="34"/>
        <v/>
      </c>
      <c r="AC207" s="32" t="str">
        <f>IF(AB207="","",VLOOKUP(MAX(AB207,0),Reference!$A$17:$B$20,2,TRUE()))</f>
        <v/>
      </c>
      <c r="AD207" s="31"/>
      <c r="AE207">
        <f t="shared" si="35"/>
        <v>1</v>
      </c>
      <c r="AF207" s="33" t="str">
        <f>IF(OR(A207="",B207="",AND(C207&lt;&gt;"Bullpen",C207&lt;&gt;"Game")),"",IF((COUNTIFS($B$5:$B$300,B207,$A$5:$A$300,A207-1,$C$5:$C$300,"Bullpen",$AG$5:$AG$300,"&gt;0") + COUNTIFS($B$5:$B$300,B207,$A$5:$A$300,A207-1,$C$5:$C$300,"Game",$AG$5:$AG$300,"&gt;0"))&gt;0,Reference!$B$119,IF((COUNTIFS($B$5:$B$300,B207,$A$5:$A$300,A207-2,$C$5:$C$300,"Bullpen",$AG$5:$AG$300,"&gt;0") + COUNTIFS($B$5:$B$300,B207,$A$5:$A$300,A207-2,$C$5:$C$300,"Game",$AG$5:$AG$300,"&gt;0"))&gt;0,Reference!$B$120,1)))</f>
        <v/>
      </c>
      <c r="AG207" s="30" t="str">
        <f>IF(AND(OR(I207="",O207="",P207=""),OR(R207="",W207=""),OR(X207="",AC207="")),"",IF(OR(I207="",O207="",P207=""),0,I207*O207*P207)+IF(OR(R207="",W207=""),0,R207*IFERROR(INDEX(Reference!$B$61:$B$62,MATCH("Bullpen",Reference!$A$61:$A$62,0)),0)*W207)+IF(OR(X207="",AC207=""),0,X207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207))</f>
        <v/>
      </c>
    </row>
    <row r="208" spans="1:33" x14ac:dyDescent="0.3">
      <c r="A208" s="35"/>
      <c r="B208" s="31"/>
      <c r="C208" s="31"/>
      <c r="D208" s="31"/>
      <c r="E208" s="34"/>
      <c r="F208" s="34"/>
      <c r="G208" s="30" t="str">
        <f t="shared" si="27"/>
        <v/>
      </c>
      <c r="H208" s="31"/>
      <c r="I208" s="32" t="str">
        <f>IF(H208&lt;&gt;"",H208,IF(G208="","",ROUND(G208*IFERROR(INDEX(Reference!$B$44:$B$50,MATCH(C208,Reference!$A$44:$A$50,0)),0),0)))</f>
        <v/>
      </c>
      <c r="J208" s="31"/>
      <c r="K208" s="31"/>
      <c r="L208" s="32" t="str">
        <f t="shared" si="28"/>
        <v/>
      </c>
      <c r="M208" s="32" t="str">
        <f>IFERROR(INDEX(Roster!$D$5:$D$40,MATCH(B208,Roster!$A$5:$A$40,0)),"")</f>
        <v/>
      </c>
      <c r="N208" s="32" t="str">
        <f t="shared" si="29"/>
        <v/>
      </c>
      <c r="O208" s="32" t="str">
        <f>IF(OR(C208="Bullpen",C208="Game"),IFERROR(INDEX(Reference!$B$61:$B$62,MATCH(C208,Reference!$A$61:$A$62,0)),""),IF(D208="","",IF(AE208&gt;1,((IF(1&lt;=AE208,(AE208-1+3)*(INDEX(Reference!$B$6:$B$11,MIN(5,MATCH(MAX(Reference!$A$6,MIN(Reference!$A$11,MIN(D208,90))),Reference!$A$6:$A$11,1)))+(MAX(Reference!$A$6,MIN(Reference!$A$11,MIN(D208,90)))-INDEX(Reference!$A$6:$A$11,MIN(5,MATCH(MAX(Reference!$A$6,MIN(Reference!$A$11,MIN(D208,90))),Reference!$A$6:$A$11,1))))*(INDEX(Reference!$B$6:$B$11,MIN(5,MATCH(MAX(Reference!$A$6,MIN(Reference!$A$11,MIN(D208,90))),Reference!$A$6:$A$11,1))+1)-INDEX(Reference!$B$6:$B$11,MIN(5,MATCH(MAX(Reference!$A$6,MIN(Reference!$A$11,MIN(D208,90))),Reference!$A$6:$A$11,1))))/(INDEX(Reference!$A$6:$A$11,MIN(5,MATCH(MAX(Reference!$A$6,MIN(Reference!$A$11,MIN(D208,90))),Reference!$A$6:$A$11,1))+1)-INDEX(Reference!$A$6:$A$11,MIN(5,MATCH(MAX(Reference!$A$6,MIN(Reference!$A$11,MIN(D208,90))),Reference!$A$6:$A$11,1))))),0)+IF(2&lt;=AE208,(AE208-2+3)*(INDEX(Reference!$B$6:$B$11,MIN(5,MATCH(MAX(Reference!$A$6,MIN(Reference!$A$11,MIN(D208,120))),Reference!$A$6:$A$11,1)))+(MAX(Reference!$A$6,MIN(Reference!$A$11,MIN(D208,120)))-INDEX(Reference!$A$6:$A$11,MIN(5,MATCH(MAX(Reference!$A$6,MIN(Reference!$A$11,MIN(D208,120))),Reference!$A$6:$A$11,1))))*(INDEX(Reference!$B$6:$B$11,MIN(5,MATCH(MAX(Reference!$A$6,MIN(Reference!$A$11,MIN(D208,120))),Reference!$A$6:$A$11,1))+1)-INDEX(Reference!$B$6:$B$11,MIN(5,MATCH(MAX(Reference!$A$6,MIN(Reference!$A$11,MIN(D208,120))),Reference!$A$6:$A$11,1))))/(INDEX(Reference!$A$6:$A$11,MIN(5,MATCH(MAX(Reference!$A$6,MIN(Reference!$A$11,MIN(D208,120))),Reference!$A$6:$A$11,1))+1)-INDEX(Reference!$A$6:$A$11,MIN(5,MATCH(MAX(Reference!$A$6,MIN(Reference!$A$11,MIN(D208,120))),Reference!$A$6:$A$11,1))))),0)+IF(3&lt;=AE208,(AE208-3+3)*(INDEX(Reference!$B$6:$B$11,MIN(5,MATCH(MAX(Reference!$A$6,MIN(Reference!$A$11,MIN(D208,150))),Reference!$A$6:$A$11,1)))+(MAX(Reference!$A$6,MIN(Reference!$A$11,MIN(D208,150)))-INDEX(Reference!$A$6:$A$11,MIN(5,MATCH(MAX(Reference!$A$6,MIN(Reference!$A$11,MIN(D208,150))),Reference!$A$6:$A$11,1))))*(INDEX(Reference!$B$6:$B$11,MIN(5,MATCH(MAX(Reference!$A$6,MIN(Reference!$A$11,MIN(D208,150))),Reference!$A$6:$A$11,1))+1)-INDEX(Reference!$B$6:$B$11,MIN(5,MATCH(MAX(Reference!$A$6,MIN(Reference!$A$11,MIN(D208,150))),Reference!$A$6:$A$11,1))))/(INDEX(Reference!$A$6:$A$11,MIN(5,MATCH(MAX(Reference!$A$6,MIN(Reference!$A$11,MIN(D208,150))),Reference!$A$6:$A$11,1))+1)-INDEX(Reference!$A$6:$A$11,MIN(5,MATCH(MAX(Reference!$A$6,MIN(Reference!$A$11,MIN(D208,150))),Reference!$A$6:$A$11,1))))),0)+IF(4&lt;=AE208,(AE208-4+3)*(INDEX(Reference!$B$6:$B$11,MIN(5,MATCH(MAX(Reference!$A$6,MIN(Reference!$A$11,MIN(D208,180))),Reference!$A$6:$A$11,1)))+(MAX(Reference!$A$6,MIN(Reference!$A$11,MIN(D208,180)))-INDEX(Reference!$A$6:$A$11,MIN(5,MATCH(MAX(Reference!$A$6,MIN(Reference!$A$11,MIN(D208,180))),Reference!$A$6:$A$11,1))))*(INDEX(Reference!$B$6:$B$11,MIN(5,MATCH(MAX(Reference!$A$6,MIN(Reference!$A$11,MIN(D208,180))),Reference!$A$6:$A$11,1))+1)-INDEX(Reference!$B$6:$B$11,MIN(5,MATCH(MAX(Reference!$A$6,MIN(Reference!$A$11,MIN(D208,180))),Reference!$A$6:$A$11,1))))/(INDEX(Reference!$A$6:$A$11,MIN(5,MATCH(MAX(Reference!$A$6,MIN(Reference!$A$11,MIN(D208,180))),Reference!$A$6:$A$11,1))+1)-INDEX(Reference!$A$6:$A$11,MIN(5,MATCH(MAX(Reference!$A$6,MIN(Reference!$A$11,MIN(D208,180))),Reference!$A$6:$A$11,1))))),0)+IF(5&lt;=AE208,(AE208-5+3)*(INDEX(Reference!$B$6:$B$11,MIN(5,MATCH(MAX(Reference!$A$6,MIN(Reference!$A$11,MIN(D208,210))),Reference!$A$6:$A$11,1)))+(MAX(Reference!$A$6,MIN(Reference!$A$11,MIN(D208,210)))-INDEX(Reference!$A$6:$A$11,MIN(5,MATCH(MAX(Reference!$A$6,MIN(Reference!$A$11,MIN(D208,210))),Reference!$A$6:$A$11,1))))*(INDEX(Reference!$B$6:$B$11,MIN(5,MATCH(MAX(Reference!$A$6,MIN(Reference!$A$11,MIN(D208,210))),Reference!$A$6:$A$11,1))+1)-INDEX(Reference!$B$6:$B$11,MIN(5,MATCH(MAX(Reference!$A$6,MIN(Reference!$A$11,MIN(D208,210))),Reference!$A$6:$A$11,1))))/(INDEX(Reference!$A$6:$A$11,MIN(5,MATCH(MAX(Reference!$A$6,MIN(Reference!$A$11,MIN(D208,210))),Reference!$A$6:$A$11,1))+1)-INDEX(Reference!$A$6:$A$11,MIN(5,MATCH(MAX(Reference!$A$6,MIN(Reference!$A$11,MIN(D208,210))),Reference!$A$6:$A$11,1))))),0)+IF(6&lt;=AE208,(AE208-6+3)*(INDEX(Reference!$B$6:$B$11,MIN(5,MATCH(MAX(Reference!$A$6,MIN(Reference!$A$11,MIN(D208,240))),Reference!$A$6:$A$11,1)))+(MAX(Reference!$A$6,MIN(Reference!$A$11,MIN(D208,240)))-INDEX(Reference!$A$6:$A$11,MIN(5,MATCH(MAX(Reference!$A$6,MIN(Reference!$A$11,MIN(D208,240))),Reference!$A$6:$A$11,1))))*(INDEX(Reference!$B$6:$B$11,MIN(5,MATCH(MAX(Reference!$A$6,MIN(Reference!$A$11,MIN(D208,240))),Reference!$A$6:$A$11,1))+1)-INDEX(Reference!$B$6:$B$11,MIN(5,MATCH(MAX(Reference!$A$6,MIN(Reference!$A$11,MIN(D208,240))),Reference!$A$6:$A$11,1))))/(INDEX(Reference!$A$6:$A$11,MIN(5,MATCH(MAX(Reference!$A$6,MIN(Reference!$A$11,MIN(D208,240))),Reference!$A$6:$A$11,1))+1)-INDEX(Reference!$A$6:$A$11,MIN(5,MATCH(MAX(Reference!$A$6,MIN(Reference!$A$11,MIN(D208,240))),Reference!$A$6:$A$11,1))))),0)+IF(7&lt;=AE208,(AE208-7+3)*(INDEX(Reference!$B$6:$B$11,MIN(5,MATCH(MAX(Reference!$A$6,MIN(Reference!$A$11,MIN(D208,270))),Reference!$A$6:$A$11,1)))+(MAX(Reference!$A$6,MIN(Reference!$A$11,MIN(D208,270)))-INDEX(Reference!$A$6:$A$11,MIN(5,MATCH(MAX(Reference!$A$6,MIN(Reference!$A$11,MIN(D208,270))),Reference!$A$6:$A$11,1))))*(INDEX(Reference!$B$6:$B$11,MIN(5,MATCH(MAX(Reference!$A$6,MIN(Reference!$A$11,MIN(D208,270))),Reference!$A$6:$A$11,1))+1)-INDEX(Reference!$B$6:$B$11,MIN(5,MATCH(MAX(Reference!$A$6,MIN(Reference!$A$11,MIN(D208,270))),Reference!$A$6:$A$11,1))))/(INDEX(Reference!$A$6:$A$11,MIN(5,MATCH(MAX(Reference!$A$6,MIN(Reference!$A$11,MIN(D208,270))),Reference!$A$6:$A$11,1))+1)-INDEX(Reference!$A$6:$A$11,MIN(5,MATCH(MAX(Reference!$A$6,MIN(Reference!$A$11,MIN(D208,270))),Reference!$A$6:$A$11,1))))),0)+IF(8&lt;=AE208,(AE208-8+3)*(INDEX(Reference!$B$6:$B$11,MIN(5,MATCH(MAX(Reference!$A$6,MIN(Reference!$A$11,MIN(D208,300))),Reference!$A$6:$A$11,1)))+(MAX(Reference!$A$6,MIN(Reference!$A$11,MIN(D208,300)))-INDEX(Reference!$A$6:$A$11,MIN(5,MATCH(MAX(Reference!$A$6,MIN(Reference!$A$11,MIN(D208,300))),Reference!$A$6:$A$11,1))))*(INDEX(Reference!$B$6:$B$11,MIN(5,MATCH(MAX(Reference!$A$6,MIN(Reference!$A$11,MIN(D208,300))),Reference!$A$6:$A$11,1))+1)-INDEX(Reference!$B$6:$B$11,MIN(5,MATCH(MAX(Reference!$A$6,MIN(Reference!$A$11,MIN(D208,300))),Reference!$A$6:$A$11,1))))/(INDEX(Reference!$A$6:$A$11,MIN(5,MATCH(MAX(Reference!$A$6,MIN(Reference!$A$11,MIN(D208,300))),Reference!$A$6:$A$11,1))+1)-INDEX(Reference!$A$6:$A$11,MIN(5,MATCH(MAX(Reference!$A$6,MIN(Reference!$A$11,MIN(D208,300))),Reference!$A$6:$A$11,1))))),0))/(AE208*(AE208+5)/2)),(INDEX(Reference!$B$6:$B$11,MIN(5,MATCH(MAX(Reference!$A$6,MIN(Reference!$A$11,D208)),Reference!$A$6:$A$11,1)))+(MAX(Reference!$A$6,MIN(Reference!$A$11,D208))-INDEX(Reference!$A$6:$A$11,MIN(5,MATCH(MAX(Reference!$A$6,MIN(Reference!$A$11,D208)),Reference!$A$6:$A$11,1))))*(INDEX(Reference!$B$6:$B$11,MIN(5,MATCH(MAX(Reference!$A$6,MIN(Reference!$A$11,D208)),Reference!$A$6:$A$11,1))+1)-INDEX(Reference!$B$6:$B$11,MIN(5,MATCH(MAX(Reference!$A$6,MIN(Reference!$A$11,D208)),Reference!$A$6:$A$11,1))))/(INDEX(Reference!$A$6:$A$11,MIN(5,MATCH(MAX(Reference!$A$6,MIN(Reference!$A$11,D208)),Reference!$A$6:$A$11,1))+1)-INDEX(Reference!$A$6:$A$11,MIN(5,MATCH(MAX(Reference!$A$6,MIN(Reference!$A$11,D208)),Reference!$A$6:$A$11,1))))))))</f>
        <v/>
      </c>
      <c r="P208" s="32" t="str">
        <f>IF(N208="","",VLOOKUP(MAX(N208,0),Reference!$A$17:$B$20,2,TRUE()))</f>
        <v/>
      </c>
      <c r="Q208" s="32" t="str">
        <f t="shared" si="30"/>
        <v/>
      </c>
      <c r="R208" s="31"/>
      <c r="S208" s="31"/>
      <c r="T208" s="31"/>
      <c r="U208" s="32" t="str">
        <f t="shared" si="31"/>
        <v/>
      </c>
      <c r="V208" s="32" t="str">
        <f t="shared" si="32"/>
        <v/>
      </c>
      <c r="W208" s="32" t="str">
        <f>IF(V208="","",VLOOKUP(MAX(V208,0),Reference!$A$17:$B$20,2,TRUE()))</f>
        <v/>
      </c>
      <c r="X208" s="31"/>
      <c r="Y208" s="31"/>
      <c r="Z208" s="31"/>
      <c r="AA208" s="32" t="str">
        <f t="shared" si="33"/>
        <v/>
      </c>
      <c r="AB208" s="32" t="str">
        <f t="shared" si="34"/>
        <v/>
      </c>
      <c r="AC208" s="32" t="str">
        <f>IF(AB208="","",VLOOKUP(MAX(AB208,0),Reference!$A$17:$B$20,2,TRUE()))</f>
        <v/>
      </c>
      <c r="AD208" s="31"/>
      <c r="AE208">
        <f t="shared" si="35"/>
        <v>1</v>
      </c>
      <c r="AF208" s="33" t="str">
        <f>IF(OR(A208="",B208="",AND(C208&lt;&gt;"Bullpen",C208&lt;&gt;"Game")),"",IF((COUNTIFS($B$5:$B$300,B208,$A$5:$A$300,A208-1,$C$5:$C$300,"Bullpen",$AG$5:$AG$300,"&gt;0") + COUNTIFS($B$5:$B$300,B208,$A$5:$A$300,A208-1,$C$5:$C$300,"Game",$AG$5:$AG$300,"&gt;0"))&gt;0,Reference!$B$119,IF((COUNTIFS($B$5:$B$300,B208,$A$5:$A$300,A208-2,$C$5:$C$300,"Bullpen",$AG$5:$AG$300,"&gt;0") + COUNTIFS($B$5:$B$300,B208,$A$5:$A$300,A208-2,$C$5:$C$300,"Game",$AG$5:$AG$300,"&gt;0"))&gt;0,Reference!$B$120,1)))</f>
        <v/>
      </c>
      <c r="AG208" s="30" t="str">
        <f>IF(AND(OR(I208="",O208="",P208=""),OR(R208="",W208=""),OR(X208="",AC208="")),"",IF(OR(I208="",O208="",P208=""),0,I208*O208*P208)+IF(OR(R208="",W208=""),0,R208*IFERROR(INDEX(Reference!$B$61:$B$62,MATCH("Bullpen",Reference!$A$61:$A$62,0)),0)*W208)+IF(OR(X208="",AC208=""),0,X208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208))</f>
        <v/>
      </c>
    </row>
    <row r="209" spans="1:33" x14ac:dyDescent="0.3">
      <c r="A209" s="35"/>
      <c r="B209" s="31"/>
      <c r="C209" s="31"/>
      <c r="D209" s="31"/>
      <c r="E209" s="34"/>
      <c r="F209" s="34"/>
      <c r="G209" s="30" t="str">
        <f t="shared" si="27"/>
        <v/>
      </c>
      <c r="H209" s="31"/>
      <c r="I209" s="32" t="str">
        <f>IF(H209&lt;&gt;"",H209,IF(G209="","",ROUND(G209*IFERROR(INDEX(Reference!$B$44:$B$50,MATCH(C209,Reference!$A$44:$A$50,0)),0),0)))</f>
        <v/>
      </c>
      <c r="J209" s="31"/>
      <c r="K209" s="31"/>
      <c r="L209" s="32" t="str">
        <f t="shared" si="28"/>
        <v/>
      </c>
      <c r="M209" s="32" t="str">
        <f>IFERROR(INDEX(Roster!$D$5:$D$40,MATCH(B209,Roster!$A$5:$A$40,0)),"")</f>
        <v/>
      </c>
      <c r="N209" s="32" t="str">
        <f t="shared" si="29"/>
        <v/>
      </c>
      <c r="O209" s="32" t="str">
        <f>IF(OR(C209="Bullpen",C209="Game"),IFERROR(INDEX(Reference!$B$61:$B$62,MATCH(C209,Reference!$A$61:$A$62,0)),""),IF(D209="","",IF(AE209&gt;1,((IF(1&lt;=AE209,(AE209-1+3)*(INDEX(Reference!$B$6:$B$11,MIN(5,MATCH(MAX(Reference!$A$6,MIN(Reference!$A$11,MIN(D209,90))),Reference!$A$6:$A$11,1)))+(MAX(Reference!$A$6,MIN(Reference!$A$11,MIN(D209,90)))-INDEX(Reference!$A$6:$A$11,MIN(5,MATCH(MAX(Reference!$A$6,MIN(Reference!$A$11,MIN(D209,90))),Reference!$A$6:$A$11,1))))*(INDEX(Reference!$B$6:$B$11,MIN(5,MATCH(MAX(Reference!$A$6,MIN(Reference!$A$11,MIN(D209,90))),Reference!$A$6:$A$11,1))+1)-INDEX(Reference!$B$6:$B$11,MIN(5,MATCH(MAX(Reference!$A$6,MIN(Reference!$A$11,MIN(D209,90))),Reference!$A$6:$A$11,1))))/(INDEX(Reference!$A$6:$A$11,MIN(5,MATCH(MAX(Reference!$A$6,MIN(Reference!$A$11,MIN(D209,90))),Reference!$A$6:$A$11,1))+1)-INDEX(Reference!$A$6:$A$11,MIN(5,MATCH(MAX(Reference!$A$6,MIN(Reference!$A$11,MIN(D209,90))),Reference!$A$6:$A$11,1))))),0)+IF(2&lt;=AE209,(AE209-2+3)*(INDEX(Reference!$B$6:$B$11,MIN(5,MATCH(MAX(Reference!$A$6,MIN(Reference!$A$11,MIN(D209,120))),Reference!$A$6:$A$11,1)))+(MAX(Reference!$A$6,MIN(Reference!$A$11,MIN(D209,120)))-INDEX(Reference!$A$6:$A$11,MIN(5,MATCH(MAX(Reference!$A$6,MIN(Reference!$A$11,MIN(D209,120))),Reference!$A$6:$A$11,1))))*(INDEX(Reference!$B$6:$B$11,MIN(5,MATCH(MAX(Reference!$A$6,MIN(Reference!$A$11,MIN(D209,120))),Reference!$A$6:$A$11,1))+1)-INDEX(Reference!$B$6:$B$11,MIN(5,MATCH(MAX(Reference!$A$6,MIN(Reference!$A$11,MIN(D209,120))),Reference!$A$6:$A$11,1))))/(INDEX(Reference!$A$6:$A$11,MIN(5,MATCH(MAX(Reference!$A$6,MIN(Reference!$A$11,MIN(D209,120))),Reference!$A$6:$A$11,1))+1)-INDEX(Reference!$A$6:$A$11,MIN(5,MATCH(MAX(Reference!$A$6,MIN(Reference!$A$11,MIN(D209,120))),Reference!$A$6:$A$11,1))))),0)+IF(3&lt;=AE209,(AE209-3+3)*(INDEX(Reference!$B$6:$B$11,MIN(5,MATCH(MAX(Reference!$A$6,MIN(Reference!$A$11,MIN(D209,150))),Reference!$A$6:$A$11,1)))+(MAX(Reference!$A$6,MIN(Reference!$A$11,MIN(D209,150)))-INDEX(Reference!$A$6:$A$11,MIN(5,MATCH(MAX(Reference!$A$6,MIN(Reference!$A$11,MIN(D209,150))),Reference!$A$6:$A$11,1))))*(INDEX(Reference!$B$6:$B$11,MIN(5,MATCH(MAX(Reference!$A$6,MIN(Reference!$A$11,MIN(D209,150))),Reference!$A$6:$A$11,1))+1)-INDEX(Reference!$B$6:$B$11,MIN(5,MATCH(MAX(Reference!$A$6,MIN(Reference!$A$11,MIN(D209,150))),Reference!$A$6:$A$11,1))))/(INDEX(Reference!$A$6:$A$11,MIN(5,MATCH(MAX(Reference!$A$6,MIN(Reference!$A$11,MIN(D209,150))),Reference!$A$6:$A$11,1))+1)-INDEX(Reference!$A$6:$A$11,MIN(5,MATCH(MAX(Reference!$A$6,MIN(Reference!$A$11,MIN(D209,150))),Reference!$A$6:$A$11,1))))),0)+IF(4&lt;=AE209,(AE209-4+3)*(INDEX(Reference!$B$6:$B$11,MIN(5,MATCH(MAX(Reference!$A$6,MIN(Reference!$A$11,MIN(D209,180))),Reference!$A$6:$A$11,1)))+(MAX(Reference!$A$6,MIN(Reference!$A$11,MIN(D209,180)))-INDEX(Reference!$A$6:$A$11,MIN(5,MATCH(MAX(Reference!$A$6,MIN(Reference!$A$11,MIN(D209,180))),Reference!$A$6:$A$11,1))))*(INDEX(Reference!$B$6:$B$11,MIN(5,MATCH(MAX(Reference!$A$6,MIN(Reference!$A$11,MIN(D209,180))),Reference!$A$6:$A$11,1))+1)-INDEX(Reference!$B$6:$B$11,MIN(5,MATCH(MAX(Reference!$A$6,MIN(Reference!$A$11,MIN(D209,180))),Reference!$A$6:$A$11,1))))/(INDEX(Reference!$A$6:$A$11,MIN(5,MATCH(MAX(Reference!$A$6,MIN(Reference!$A$11,MIN(D209,180))),Reference!$A$6:$A$11,1))+1)-INDEX(Reference!$A$6:$A$11,MIN(5,MATCH(MAX(Reference!$A$6,MIN(Reference!$A$11,MIN(D209,180))),Reference!$A$6:$A$11,1))))),0)+IF(5&lt;=AE209,(AE209-5+3)*(INDEX(Reference!$B$6:$B$11,MIN(5,MATCH(MAX(Reference!$A$6,MIN(Reference!$A$11,MIN(D209,210))),Reference!$A$6:$A$11,1)))+(MAX(Reference!$A$6,MIN(Reference!$A$11,MIN(D209,210)))-INDEX(Reference!$A$6:$A$11,MIN(5,MATCH(MAX(Reference!$A$6,MIN(Reference!$A$11,MIN(D209,210))),Reference!$A$6:$A$11,1))))*(INDEX(Reference!$B$6:$B$11,MIN(5,MATCH(MAX(Reference!$A$6,MIN(Reference!$A$11,MIN(D209,210))),Reference!$A$6:$A$11,1))+1)-INDEX(Reference!$B$6:$B$11,MIN(5,MATCH(MAX(Reference!$A$6,MIN(Reference!$A$11,MIN(D209,210))),Reference!$A$6:$A$11,1))))/(INDEX(Reference!$A$6:$A$11,MIN(5,MATCH(MAX(Reference!$A$6,MIN(Reference!$A$11,MIN(D209,210))),Reference!$A$6:$A$11,1))+1)-INDEX(Reference!$A$6:$A$11,MIN(5,MATCH(MAX(Reference!$A$6,MIN(Reference!$A$11,MIN(D209,210))),Reference!$A$6:$A$11,1))))),0)+IF(6&lt;=AE209,(AE209-6+3)*(INDEX(Reference!$B$6:$B$11,MIN(5,MATCH(MAX(Reference!$A$6,MIN(Reference!$A$11,MIN(D209,240))),Reference!$A$6:$A$11,1)))+(MAX(Reference!$A$6,MIN(Reference!$A$11,MIN(D209,240)))-INDEX(Reference!$A$6:$A$11,MIN(5,MATCH(MAX(Reference!$A$6,MIN(Reference!$A$11,MIN(D209,240))),Reference!$A$6:$A$11,1))))*(INDEX(Reference!$B$6:$B$11,MIN(5,MATCH(MAX(Reference!$A$6,MIN(Reference!$A$11,MIN(D209,240))),Reference!$A$6:$A$11,1))+1)-INDEX(Reference!$B$6:$B$11,MIN(5,MATCH(MAX(Reference!$A$6,MIN(Reference!$A$11,MIN(D209,240))),Reference!$A$6:$A$11,1))))/(INDEX(Reference!$A$6:$A$11,MIN(5,MATCH(MAX(Reference!$A$6,MIN(Reference!$A$11,MIN(D209,240))),Reference!$A$6:$A$11,1))+1)-INDEX(Reference!$A$6:$A$11,MIN(5,MATCH(MAX(Reference!$A$6,MIN(Reference!$A$11,MIN(D209,240))),Reference!$A$6:$A$11,1))))),0)+IF(7&lt;=AE209,(AE209-7+3)*(INDEX(Reference!$B$6:$B$11,MIN(5,MATCH(MAX(Reference!$A$6,MIN(Reference!$A$11,MIN(D209,270))),Reference!$A$6:$A$11,1)))+(MAX(Reference!$A$6,MIN(Reference!$A$11,MIN(D209,270)))-INDEX(Reference!$A$6:$A$11,MIN(5,MATCH(MAX(Reference!$A$6,MIN(Reference!$A$11,MIN(D209,270))),Reference!$A$6:$A$11,1))))*(INDEX(Reference!$B$6:$B$11,MIN(5,MATCH(MAX(Reference!$A$6,MIN(Reference!$A$11,MIN(D209,270))),Reference!$A$6:$A$11,1))+1)-INDEX(Reference!$B$6:$B$11,MIN(5,MATCH(MAX(Reference!$A$6,MIN(Reference!$A$11,MIN(D209,270))),Reference!$A$6:$A$11,1))))/(INDEX(Reference!$A$6:$A$11,MIN(5,MATCH(MAX(Reference!$A$6,MIN(Reference!$A$11,MIN(D209,270))),Reference!$A$6:$A$11,1))+1)-INDEX(Reference!$A$6:$A$11,MIN(5,MATCH(MAX(Reference!$A$6,MIN(Reference!$A$11,MIN(D209,270))),Reference!$A$6:$A$11,1))))),0)+IF(8&lt;=AE209,(AE209-8+3)*(INDEX(Reference!$B$6:$B$11,MIN(5,MATCH(MAX(Reference!$A$6,MIN(Reference!$A$11,MIN(D209,300))),Reference!$A$6:$A$11,1)))+(MAX(Reference!$A$6,MIN(Reference!$A$11,MIN(D209,300)))-INDEX(Reference!$A$6:$A$11,MIN(5,MATCH(MAX(Reference!$A$6,MIN(Reference!$A$11,MIN(D209,300))),Reference!$A$6:$A$11,1))))*(INDEX(Reference!$B$6:$B$11,MIN(5,MATCH(MAX(Reference!$A$6,MIN(Reference!$A$11,MIN(D209,300))),Reference!$A$6:$A$11,1))+1)-INDEX(Reference!$B$6:$B$11,MIN(5,MATCH(MAX(Reference!$A$6,MIN(Reference!$A$11,MIN(D209,300))),Reference!$A$6:$A$11,1))))/(INDEX(Reference!$A$6:$A$11,MIN(5,MATCH(MAX(Reference!$A$6,MIN(Reference!$A$11,MIN(D209,300))),Reference!$A$6:$A$11,1))+1)-INDEX(Reference!$A$6:$A$11,MIN(5,MATCH(MAX(Reference!$A$6,MIN(Reference!$A$11,MIN(D209,300))),Reference!$A$6:$A$11,1))))),0))/(AE209*(AE209+5)/2)),(INDEX(Reference!$B$6:$B$11,MIN(5,MATCH(MAX(Reference!$A$6,MIN(Reference!$A$11,D209)),Reference!$A$6:$A$11,1)))+(MAX(Reference!$A$6,MIN(Reference!$A$11,D209))-INDEX(Reference!$A$6:$A$11,MIN(5,MATCH(MAX(Reference!$A$6,MIN(Reference!$A$11,D209)),Reference!$A$6:$A$11,1))))*(INDEX(Reference!$B$6:$B$11,MIN(5,MATCH(MAX(Reference!$A$6,MIN(Reference!$A$11,D209)),Reference!$A$6:$A$11,1))+1)-INDEX(Reference!$B$6:$B$11,MIN(5,MATCH(MAX(Reference!$A$6,MIN(Reference!$A$11,D209)),Reference!$A$6:$A$11,1))))/(INDEX(Reference!$A$6:$A$11,MIN(5,MATCH(MAX(Reference!$A$6,MIN(Reference!$A$11,D209)),Reference!$A$6:$A$11,1))+1)-INDEX(Reference!$A$6:$A$11,MIN(5,MATCH(MAX(Reference!$A$6,MIN(Reference!$A$11,D209)),Reference!$A$6:$A$11,1))))))))</f>
        <v/>
      </c>
      <c r="P209" s="32" t="str">
        <f>IF(N209="","",VLOOKUP(MAX(N209,0),Reference!$A$17:$B$20,2,TRUE()))</f>
        <v/>
      </c>
      <c r="Q209" s="32" t="str">
        <f t="shared" si="30"/>
        <v/>
      </c>
      <c r="R209" s="31"/>
      <c r="S209" s="31"/>
      <c r="T209" s="31"/>
      <c r="U209" s="32" t="str">
        <f t="shared" si="31"/>
        <v/>
      </c>
      <c r="V209" s="32" t="str">
        <f t="shared" si="32"/>
        <v/>
      </c>
      <c r="W209" s="32" t="str">
        <f>IF(V209="","",VLOOKUP(MAX(V209,0),Reference!$A$17:$B$20,2,TRUE()))</f>
        <v/>
      </c>
      <c r="X209" s="31"/>
      <c r="Y209" s="31"/>
      <c r="Z209" s="31"/>
      <c r="AA209" s="32" t="str">
        <f t="shared" si="33"/>
        <v/>
      </c>
      <c r="AB209" s="32" t="str">
        <f t="shared" si="34"/>
        <v/>
      </c>
      <c r="AC209" s="32" t="str">
        <f>IF(AB209="","",VLOOKUP(MAX(AB209,0),Reference!$A$17:$B$20,2,TRUE()))</f>
        <v/>
      </c>
      <c r="AD209" s="31"/>
      <c r="AE209">
        <f t="shared" si="35"/>
        <v>1</v>
      </c>
      <c r="AF209" s="33" t="str">
        <f>IF(OR(A209="",B209="",AND(C209&lt;&gt;"Bullpen",C209&lt;&gt;"Game")),"",IF((COUNTIFS($B$5:$B$300,B209,$A$5:$A$300,A209-1,$C$5:$C$300,"Bullpen",$AG$5:$AG$300,"&gt;0") + COUNTIFS($B$5:$B$300,B209,$A$5:$A$300,A209-1,$C$5:$C$300,"Game",$AG$5:$AG$300,"&gt;0"))&gt;0,Reference!$B$119,IF((COUNTIFS($B$5:$B$300,B209,$A$5:$A$300,A209-2,$C$5:$C$300,"Bullpen",$AG$5:$AG$300,"&gt;0") + COUNTIFS($B$5:$B$300,B209,$A$5:$A$300,A209-2,$C$5:$C$300,"Game",$AG$5:$AG$300,"&gt;0"))&gt;0,Reference!$B$120,1)))</f>
        <v/>
      </c>
      <c r="AG209" s="30" t="str">
        <f>IF(AND(OR(I209="",O209="",P209=""),OR(R209="",W209=""),OR(X209="",AC209="")),"",IF(OR(I209="",O209="",P209=""),0,I209*O209*P209)+IF(OR(R209="",W209=""),0,R209*IFERROR(INDEX(Reference!$B$61:$B$62,MATCH("Bullpen",Reference!$A$61:$A$62,0)),0)*W209)+IF(OR(X209="",AC209=""),0,X209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209))</f>
        <v/>
      </c>
    </row>
    <row r="210" spans="1:33" x14ac:dyDescent="0.3">
      <c r="A210" s="35"/>
      <c r="B210" s="31"/>
      <c r="C210" s="31"/>
      <c r="D210" s="31"/>
      <c r="E210" s="34"/>
      <c r="F210" s="34"/>
      <c r="G210" s="30" t="str">
        <f t="shared" si="27"/>
        <v/>
      </c>
      <c r="H210" s="31"/>
      <c r="I210" s="32" t="str">
        <f>IF(H210&lt;&gt;"",H210,IF(G210="","",ROUND(G210*IFERROR(INDEX(Reference!$B$44:$B$50,MATCH(C210,Reference!$A$44:$A$50,0)),0),0)))</f>
        <v/>
      </c>
      <c r="J210" s="31"/>
      <c r="K210" s="31"/>
      <c r="L210" s="32" t="str">
        <f t="shared" si="28"/>
        <v/>
      </c>
      <c r="M210" s="32" t="str">
        <f>IFERROR(INDEX(Roster!$D$5:$D$40,MATCH(B210,Roster!$A$5:$A$40,0)),"")</f>
        <v/>
      </c>
      <c r="N210" s="32" t="str">
        <f t="shared" si="29"/>
        <v/>
      </c>
      <c r="O210" s="32" t="str">
        <f>IF(OR(C210="Bullpen",C210="Game"),IFERROR(INDEX(Reference!$B$61:$B$62,MATCH(C210,Reference!$A$61:$A$62,0)),""),IF(D210="","",IF(AE210&gt;1,((IF(1&lt;=AE210,(AE210-1+3)*(INDEX(Reference!$B$6:$B$11,MIN(5,MATCH(MAX(Reference!$A$6,MIN(Reference!$A$11,MIN(D210,90))),Reference!$A$6:$A$11,1)))+(MAX(Reference!$A$6,MIN(Reference!$A$11,MIN(D210,90)))-INDEX(Reference!$A$6:$A$11,MIN(5,MATCH(MAX(Reference!$A$6,MIN(Reference!$A$11,MIN(D210,90))),Reference!$A$6:$A$11,1))))*(INDEX(Reference!$B$6:$B$11,MIN(5,MATCH(MAX(Reference!$A$6,MIN(Reference!$A$11,MIN(D210,90))),Reference!$A$6:$A$11,1))+1)-INDEX(Reference!$B$6:$B$11,MIN(5,MATCH(MAX(Reference!$A$6,MIN(Reference!$A$11,MIN(D210,90))),Reference!$A$6:$A$11,1))))/(INDEX(Reference!$A$6:$A$11,MIN(5,MATCH(MAX(Reference!$A$6,MIN(Reference!$A$11,MIN(D210,90))),Reference!$A$6:$A$11,1))+1)-INDEX(Reference!$A$6:$A$11,MIN(5,MATCH(MAX(Reference!$A$6,MIN(Reference!$A$11,MIN(D210,90))),Reference!$A$6:$A$11,1))))),0)+IF(2&lt;=AE210,(AE210-2+3)*(INDEX(Reference!$B$6:$B$11,MIN(5,MATCH(MAX(Reference!$A$6,MIN(Reference!$A$11,MIN(D210,120))),Reference!$A$6:$A$11,1)))+(MAX(Reference!$A$6,MIN(Reference!$A$11,MIN(D210,120)))-INDEX(Reference!$A$6:$A$11,MIN(5,MATCH(MAX(Reference!$A$6,MIN(Reference!$A$11,MIN(D210,120))),Reference!$A$6:$A$11,1))))*(INDEX(Reference!$B$6:$B$11,MIN(5,MATCH(MAX(Reference!$A$6,MIN(Reference!$A$11,MIN(D210,120))),Reference!$A$6:$A$11,1))+1)-INDEX(Reference!$B$6:$B$11,MIN(5,MATCH(MAX(Reference!$A$6,MIN(Reference!$A$11,MIN(D210,120))),Reference!$A$6:$A$11,1))))/(INDEX(Reference!$A$6:$A$11,MIN(5,MATCH(MAX(Reference!$A$6,MIN(Reference!$A$11,MIN(D210,120))),Reference!$A$6:$A$11,1))+1)-INDEX(Reference!$A$6:$A$11,MIN(5,MATCH(MAX(Reference!$A$6,MIN(Reference!$A$11,MIN(D210,120))),Reference!$A$6:$A$11,1))))),0)+IF(3&lt;=AE210,(AE210-3+3)*(INDEX(Reference!$B$6:$B$11,MIN(5,MATCH(MAX(Reference!$A$6,MIN(Reference!$A$11,MIN(D210,150))),Reference!$A$6:$A$11,1)))+(MAX(Reference!$A$6,MIN(Reference!$A$11,MIN(D210,150)))-INDEX(Reference!$A$6:$A$11,MIN(5,MATCH(MAX(Reference!$A$6,MIN(Reference!$A$11,MIN(D210,150))),Reference!$A$6:$A$11,1))))*(INDEX(Reference!$B$6:$B$11,MIN(5,MATCH(MAX(Reference!$A$6,MIN(Reference!$A$11,MIN(D210,150))),Reference!$A$6:$A$11,1))+1)-INDEX(Reference!$B$6:$B$11,MIN(5,MATCH(MAX(Reference!$A$6,MIN(Reference!$A$11,MIN(D210,150))),Reference!$A$6:$A$11,1))))/(INDEX(Reference!$A$6:$A$11,MIN(5,MATCH(MAX(Reference!$A$6,MIN(Reference!$A$11,MIN(D210,150))),Reference!$A$6:$A$11,1))+1)-INDEX(Reference!$A$6:$A$11,MIN(5,MATCH(MAX(Reference!$A$6,MIN(Reference!$A$11,MIN(D210,150))),Reference!$A$6:$A$11,1))))),0)+IF(4&lt;=AE210,(AE210-4+3)*(INDEX(Reference!$B$6:$B$11,MIN(5,MATCH(MAX(Reference!$A$6,MIN(Reference!$A$11,MIN(D210,180))),Reference!$A$6:$A$11,1)))+(MAX(Reference!$A$6,MIN(Reference!$A$11,MIN(D210,180)))-INDEX(Reference!$A$6:$A$11,MIN(5,MATCH(MAX(Reference!$A$6,MIN(Reference!$A$11,MIN(D210,180))),Reference!$A$6:$A$11,1))))*(INDEX(Reference!$B$6:$B$11,MIN(5,MATCH(MAX(Reference!$A$6,MIN(Reference!$A$11,MIN(D210,180))),Reference!$A$6:$A$11,1))+1)-INDEX(Reference!$B$6:$B$11,MIN(5,MATCH(MAX(Reference!$A$6,MIN(Reference!$A$11,MIN(D210,180))),Reference!$A$6:$A$11,1))))/(INDEX(Reference!$A$6:$A$11,MIN(5,MATCH(MAX(Reference!$A$6,MIN(Reference!$A$11,MIN(D210,180))),Reference!$A$6:$A$11,1))+1)-INDEX(Reference!$A$6:$A$11,MIN(5,MATCH(MAX(Reference!$A$6,MIN(Reference!$A$11,MIN(D210,180))),Reference!$A$6:$A$11,1))))),0)+IF(5&lt;=AE210,(AE210-5+3)*(INDEX(Reference!$B$6:$B$11,MIN(5,MATCH(MAX(Reference!$A$6,MIN(Reference!$A$11,MIN(D210,210))),Reference!$A$6:$A$11,1)))+(MAX(Reference!$A$6,MIN(Reference!$A$11,MIN(D210,210)))-INDEX(Reference!$A$6:$A$11,MIN(5,MATCH(MAX(Reference!$A$6,MIN(Reference!$A$11,MIN(D210,210))),Reference!$A$6:$A$11,1))))*(INDEX(Reference!$B$6:$B$11,MIN(5,MATCH(MAX(Reference!$A$6,MIN(Reference!$A$11,MIN(D210,210))),Reference!$A$6:$A$11,1))+1)-INDEX(Reference!$B$6:$B$11,MIN(5,MATCH(MAX(Reference!$A$6,MIN(Reference!$A$11,MIN(D210,210))),Reference!$A$6:$A$11,1))))/(INDEX(Reference!$A$6:$A$11,MIN(5,MATCH(MAX(Reference!$A$6,MIN(Reference!$A$11,MIN(D210,210))),Reference!$A$6:$A$11,1))+1)-INDEX(Reference!$A$6:$A$11,MIN(5,MATCH(MAX(Reference!$A$6,MIN(Reference!$A$11,MIN(D210,210))),Reference!$A$6:$A$11,1))))),0)+IF(6&lt;=AE210,(AE210-6+3)*(INDEX(Reference!$B$6:$B$11,MIN(5,MATCH(MAX(Reference!$A$6,MIN(Reference!$A$11,MIN(D210,240))),Reference!$A$6:$A$11,1)))+(MAX(Reference!$A$6,MIN(Reference!$A$11,MIN(D210,240)))-INDEX(Reference!$A$6:$A$11,MIN(5,MATCH(MAX(Reference!$A$6,MIN(Reference!$A$11,MIN(D210,240))),Reference!$A$6:$A$11,1))))*(INDEX(Reference!$B$6:$B$11,MIN(5,MATCH(MAX(Reference!$A$6,MIN(Reference!$A$11,MIN(D210,240))),Reference!$A$6:$A$11,1))+1)-INDEX(Reference!$B$6:$B$11,MIN(5,MATCH(MAX(Reference!$A$6,MIN(Reference!$A$11,MIN(D210,240))),Reference!$A$6:$A$11,1))))/(INDEX(Reference!$A$6:$A$11,MIN(5,MATCH(MAX(Reference!$A$6,MIN(Reference!$A$11,MIN(D210,240))),Reference!$A$6:$A$11,1))+1)-INDEX(Reference!$A$6:$A$11,MIN(5,MATCH(MAX(Reference!$A$6,MIN(Reference!$A$11,MIN(D210,240))),Reference!$A$6:$A$11,1))))),0)+IF(7&lt;=AE210,(AE210-7+3)*(INDEX(Reference!$B$6:$B$11,MIN(5,MATCH(MAX(Reference!$A$6,MIN(Reference!$A$11,MIN(D210,270))),Reference!$A$6:$A$11,1)))+(MAX(Reference!$A$6,MIN(Reference!$A$11,MIN(D210,270)))-INDEX(Reference!$A$6:$A$11,MIN(5,MATCH(MAX(Reference!$A$6,MIN(Reference!$A$11,MIN(D210,270))),Reference!$A$6:$A$11,1))))*(INDEX(Reference!$B$6:$B$11,MIN(5,MATCH(MAX(Reference!$A$6,MIN(Reference!$A$11,MIN(D210,270))),Reference!$A$6:$A$11,1))+1)-INDEX(Reference!$B$6:$B$11,MIN(5,MATCH(MAX(Reference!$A$6,MIN(Reference!$A$11,MIN(D210,270))),Reference!$A$6:$A$11,1))))/(INDEX(Reference!$A$6:$A$11,MIN(5,MATCH(MAX(Reference!$A$6,MIN(Reference!$A$11,MIN(D210,270))),Reference!$A$6:$A$11,1))+1)-INDEX(Reference!$A$6:$A$11,MIN(5,MATCH(MAX(Reference!$A$6,MIN(Reference!$A$11,MIN(D210,270))),Reference!$A$6:$A$11,1))))),0)+IF(8&lt;=AE210,(AE210-8+3)*(INDEX(Reference!$B$6:$B$11,MIN(5,MATCH(MAX(Reference!$A$6,MIN(Reference!$A$11,MIN(D210,300))),Reference!$A$6:$A$11,1)))+(MAX(Reference!$A$6,MIN(Reference!$A$11,MIN(D210,300)))-INDEX(Reference!$A$6:$A$11,MIN(5,MATCH(MAX(Reference!$A$6,MIN(Reference!$A$11,MIN(D210,300))),Reference!$A$6:$A$11,1))))*(INDEX(Reference!$B$6:$B$11,MIN(5,MATCH(MAX(Reference!$A$6,MIN(Reference!$A$11,MIN(D210,300))),Reference!$A$6:$A$11,1))+1)-INDEX(Reference!$B$6:$B$11,MIN(5,MATCH(MAX(Reference!$A$6,MIN(Reference!$A$11,MIN(D210,300))),Reference!$A$6:$A$11,1))))/(INDEX(Reference!$A$6:$A$11,MIN(5,MATCH(MAX(Reference!$A$6,MIN(Reference!$A$11,MIN(D210,300))),Reference!$A$6:$A$11,1))+1)-INDEX(Reference!$A$6:$A$11,MIN(5,MATCH(MAX(Reference!$A$6,MIN(Reference!$A$11,MIN(D210,300))),Reference!$A$6:$A$11,1))))),0))/(AE210*(AE210+5)/2)),(INDEX(Reference!$B$6:$B$11,MIN(5,MATCH(MAX(Reference!$A$6,MIN(Reference!$A$11,D210)),Reference!$A$6:$A$11,1)))+(MAX(Reference!$A$6,MIN(Reference!$A$11,D210))-INDEX(Reference!$A$6:$A$11,MIN(5,MATCH(MAX(Reference!$A$6,MIN(Reference!$A$11,D210)),Reference!$A$6:$A$11,1))))*(INDEX(Reference!$B$6:$B$11,MIN(5,MATCH(MAX(Reference!$A$6,MIN(Reference!$A$11,D210)),Reference!$A$6:$A$11,1))+1)-INDEX(Reference!$B$6:$B$11,MIN(5,MATCH(MAX(Reference!$A$6,MIN(Reference!$A$11,D210)),Reference!$A$6:$A$11,1))))/(INDEX(Reference!$A$6:$A$11,MIN(5,MATCH(MAX(Reference!$A$6,MIN(Reference!$A$11,D210)),Reference!$A$6:$A$11,1))+1)-INDEX(Reference!$A$6:$A$11,MIN(5,MATCH(MAX(Reference!$A$6,MIN(Reference!$A$11,D210)),Reference!$A$6:$A$11,1))))))))</f>
        <v/>
      </c>
      <c r="P210" s="32" t="str">
        <f>IF(N210="","",VLOOKUP(MAX(N210,0),Reference!$A$17:$B$20,2,TRUE()))</f>
        <v/>
      </c>
      <c r="Q210" s="32" t="str">
        <f t="shared" si="30"/>
        <v/>
      </c>
      <c r="R210" s="31"/>
      <c r="S210" s="31"/>
      <c r="T210" s="31"/>
      <c r="U210" s="32" t="str">
        <f t="shared" si="31"/>
        <v/>
      </c>
      <c r="V210" s="32" t="str">
        <f t="shared" si="32"/>
        <v/>
      </c>
      <c r="W210" s="32" t="str">
        <f>IF(V210="","",VLOOKUP(MAX(V210,0),Reference!$A$17:$B$20,2,TRUE()))</f>
        <v/>
      </c>
      <c r="X210" s="31"/>
      <c r="Y210" s="31"/>
      <c r="Z210" s="31"/>
      <c r="AA210" s="32" t="str">
        <f t="shared" si="33"/>
        <v/>
      </c>
      <c r="AB210" s="32" t="str">
        <f t="shared" si="34"/>
        <v/>
      </c>
      <c r="AC210" s="32" t="str">
        <f>IF(AB210="","",VLOOKUP(MAX(AB210,0),Reference!$A$17:$B$20,2,TRUE()))</f>
        <v/>
      </c>
      <c r="AD210" s="31"/>
      <c r="AE210">
        <f t="shared" si="35"/>
        <v>1</v>
      </c>
      <c r="AF210" s="33" t="str">
        <f>IF(OR(A210="",B210="",AND(C210&lt;&gt;"Bullpen",C210&lt;&gt;"Game")),"",IF((COUNTIFS($B$5:$B$300,B210,$A$5:$A$300,A210-1,$C$5:$C$300,"Bullpen",$AG$5:$AG$300,"&gt;0") + COUNTIFS($B$5:$B$300,B210,$A$5:$A$300,A210-1,$C$5:$C$300,"Game",$AG$5:$AG$300,"&gt;0"))&gt;0,Reference!$B$119,IF((COUNTIFS($B$5:$B$300,B210,$A$5:$A$300,A210-2,$C$5:$C$300,"Bullpen",$AG$5:$AG$300,"&gt;0") + COUNTIFS($B$5:$B$300,B210,$A$5:$A$300,A210-2,$C$5:$C$300,"Game",$AG$5:$AG$300,"&gt;0"))&gt;0,Reference!$B$120,1)))</f>
        <v/>
      </c>
      <c r="AG210" s="30" t="str">
        <f>IF(AND(OR(I210="",O210="",P210=""),OR(R210="",W210=""),OR(X210="",AC210="")),"",IF(OR(I210="",O210="",P210=""),0,I210*O210*P210)+IF(OR(R210="",W210=""),0,R210*IFERROR(INDEX(Reference!$B$61:$B$62,MATCH("Bullpen",Reference!$A$61:$A$62,0)),0)*W210)+IF(OR(X210="",AC210=""),0,X210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210))</f>
        <v/>
      </c>
    </row>
    <row r="211" spans="1:33" x14ac:dyDescent="0.3">
      <c r="A211" s="35"/>
      <c r="B211" s="31"/>
      <c r="C211" s="31"/>
      <c r="D211" s="31"/>
      <c r="E211" s="34"/>
      <c r="F211" s="34"/>
      <c r="G211" s="30" t="str">
        <f t="shared" si="27"/>
        <v/>
      </c>
      <c r="H211" s="31"/>
      <c r="I211" s="32" t="str">
        <f>IF(H211&lt;&gt;"",H211,IF(G211="","",ROUND(G211*IFERROR(INDEX(Reference!$B$44:$B$50,MATCH(C211,Reference!$A$44:$A$50,0)),0),0)))</f>
        <v/>
      </c>
      <c r="J211" s="31"/>
      <c r="K211" s="31"/>
      <c r="L211" s="32" t="str">
        <f t="shared" si="28"/>
        <v/>
      </c>
      <c r="M211" s="32" t="str">
        <f>IFERROR(INDEX(Roster!$D$5:$D$40,MATCH(B211,Roster!$A$5:$A$40,0)),"")</f>
        <v/>
      </c>
      <c r="N211" s="32" t="str">
        <f t="shared" si="29"/>
        <v/>
      </c>
      <c r="O211" s="32" t="str">
        <f>IF(OR(C211="Bullpen",C211="Game"),IFERROR(INDEX(Reference!$B$61:$B$62,MATCH(C211,Reference!$A$61:$A$62,0)),""),IF(D211="","",IF(AE211&gt;1,((IF(1&lt;=AE211,(AE211-1+3)*(INDEX(Reference!$B$6:$B$11,MIN(5,MATCH(MAX(Reference!$A$6,MIN(Reference!$A$11,MIN(D211,90))),Reference!$A$6:$A$11,1)))+(MAX(Reference!$A$6,MIN(Reference!$A$11,MIN(D211,90)))-INDEX(Reference!$A$6:$A$11,MIN(5,MATCH(MAX(Reference!$A$6,MIN(Reference!$A$11,MIN(D211,90))),Reference!$A$6:$A$11,1))))*(INDEX(Reference!$B$6:$B$11,MIN(5,MATCH(MAX(Reference!$A$6,MIN(Reference!$A$11,MIN(D211,90))),Reference!$A$6:$A$11,1))+1)-INDEX(Reference!$B$6:$B$11,MIN(5,MATCH(MAX(Reference!$A$6,MIN(Reference!$A$11,MIN(D211,90))),Reference!$A$6:$A$11,1))))/(INDEX(Reference!$A$6:$A$11,MIN(5,MATCH(MAX(Reference!$A$6,MIN(Reference!$A$11,MIN(D211,90))),Reference!$A$6:$A$11,1))+1)-INDEX(Reference!$A$6:$A$11,MIN(5,MATCH(MAX(Reference!$A$6,MIN(Reference!$A$11,MIN(D211,90))),Reference!$A$6:$A$11,1))))),0)+IF(2&lt;=AE211,(AE211-2+3)*(INDEX(Reference!$B$6:$B$11,MIN(5,MATCH(MAX(Reference!$A$6,MIN(Reference!$A$11,MIN(D211,120))),Reference!$A$6:$A$11,1)))+(MAX(Reference!$A$6,MIN(Reference!$A$11,MIN(D211,120)))-INDEX(Reference!$A$6:$A$11,MIN(5,MATCH(MAX(Reference!$A$6,MIN(Reference!$A$11,MIN(D211,120))),Reference!$A$6:$A$11,1))))*(INDEX(Reference!$B$6:$B$11,MIN(5,MATCH(MAX(Reference!$A$6,MIN(Reference!$A$11,MIN(D211,120))),Reference!$A$6:$A$11,1))+1)-INDEX(Reference!$B$6:$B$11,MIN(5,MATCH(MAX(Reference!$A$6,MIN(Reference!$A$11,MIN(D211,120))),Reference!$A$6:$A$11,1))))/(INDEX(Reference!$A$6:$A$11,MIN(5,MATCH(MAX(Reference!$A$6,MIN(Reference!$A$11,MIN(D211,120))),Reference!$A$6:$A$11,1))+1)-INDEX(Reference!$A$6:$A$11,MIN(5,MATCH(MAX(Reference!$A$6,MIN(Reference!$A$11,MIN(D211,120))),Reference!$A$6:$A$11,1))))),0)+IF(3&lt;=AE211,(AE211-3+3)*(INDEX(Reference!$B$6:$B$11,MIN(5,MATCH(MAX(Reference!$A$6,MIN(Reference!$A$11,MIN(D211,150))),Reference!$A$6:$A$11,1)))+(MAX(Reference!$A$6,MIN(Reference!$A$11,MIN(D211,150)))-INDEX(Reference!$A$6:$A$11,MIN(5,MATCH(MAX(Reference!$A$6,MIN(Reference!$A$11,MIN(D211,150))),Reference!$A$6:$A$11,1))))*(INDEX(Reference!$B$6:$B$11,MIN(5,MATCH(MAX(Reference!$A$6,MIN(Reference!$A$11,MIN(D211,150))),Reference!$A$6:$A$11,1))+1)-INDEX(Reference!$B$6:$B$11,MIN(5,MATCH(MAX(Reference!$A$6,MIN(Reference!$A$11,MIN(D211,150))),Reference!$A$6:$A$11,1))))/(INDEX(Reference!$A$6:$A$11,MIN(5,MATCH(MAX(Reference!$A$6,MIN(Reference!$A$11,MIN(D211,150))),Reference!$A$6:$A$11,1))+1)-INDEX(Reference!$A$6:$A$11,MIN(5,MATCH(MAX(Reference!$A$6,MIN(Reference!$A$11,MIN(D211,150))),Reference!$A$6:$A$11,1))))),0)+IF(4&lt;=AE211,(AE211-4+3)*(INDEX(Reference!$B$6:$B$11,MIN(5,MATCH(MAX(Reference!$A$6,MIN(Reference!$A$11,MIN(D211,180))),Reference!$A$6:$A$11,1)))+(MAX(Reference!$A$6,MIN(Reference!$A$11,MIN(D211,180)))-INDEX(Reference!$A$6:$A$11,MIN(5,MATCH(MAX(Reference!$A$6,MIN(Reference!$A$11,MIN(D211,180))),Reference!$A$6:$A$11,1))))*(INDEX(Reference!$B$6:$B$11,MIN(5,MATCH(MAX(Reference!$A$6,MIN(Reference!$A$11,MIN(D211,180))),Reference!$A$6:$A$11,1))+1)-INDEX(Reference!$B$6:$B$11,MIN(5,MATCH(MAX(Reference!$A$6,MIN(Reference!$A$11,MIN(D211,180))),Reference!$A$6:$A$11,1))))/(INDEX(Reference!$A$6:$A$11,MIN(5,MATCH(MAX(Reference!$A$6,MIN(Reference!$A$11,MIN(D211,180))),Reference!$A$6:$A$11,1))+1)-INDEX(Reference!$A$6:$A$11,MIN(5,MATCH(MAX(Reference!$A$6,MIN(Reference!$A$11,MIN(D211,180))),Reference!$A$6:$A$11,1))))),0)+IF(5&lt;=AE211,(AE211-5+3)*(INDEX(Reference!$B$6:$B$11,MIN(5,MATCH(MAX(Reference!$A$6,MIN(Reference!$A$11,MIN(D211,210))),Reference!$A$6:$A$11,1)))+(MAX(Reference!$A$6,MIN(Reference!$A$11,MIN(D211,210)))-INDEX(Reference!$A$6:$A$11,MIN(5,MATCH(MAX(Reference!$A$6,MIN(Reference!$A$11,MIN(D211,210))),Reference!$A$6:$A$11,1))))*(INDEX(Reference!$B$6:$B$11,MIN(5,MATCH(MAX(Reference!$A$6,MIN(Reference!$A$11,MIN(D211,210))),Reference!$A$6:$A$11,1))+1)-INDEX(Reference!$B$6:$B$11,MIN(5,MATCH(MAX(Reference!$A$6,MIN(Reference!$A$11,MIN(D211,210))),Reference!$A$6:$A$11,1))))/(INDEX(Reference!$A$6:$A$11,MIN(5,MATCH(MAX(Reference!$A$6,MIN(Reference!$A$11,MIN(D211,210))),Reference!$A$6:$A$11,1))+1)-INDEX(Reference!$A$6:$A$11,MIN(5,MATCH(MAX(Reference!$A$6,MIN(Reference!$A$11,MIN(D211,210))),Reference!$A$6:$A$11,1))))),0)+IF(6&lt;=AE211,(AE211-6+3)*(INDEX(Reference!$B$6:$B$11,MIN(5,MATCH(MAX(Reference!$A$6,MIN(Reference!$A$11,MIN(D211,240))),Reference!$A$6:$A$11,1)))+(MAX(Reference!$A$6,MIN(Reference!$A$11,MIN(D211,240)))-INDEX(Reference!$A$6:$A$11,MIN(5,MATCH(MAX(Reference!$A$6,MIN(Reference!$A$11,MIN(D211,240))),Reference!$A$6:$A$11,1))))*(INDEX(Reference!$B$6:$B$11,MIN(5,MATCH(MAX(Reference!$A$6,MIN(Reference!$A$11,MIN(D211,240))),Reference!$A$6:$A$11,1))+1)-INDEX(Reference!$B$6:$B$11,MIN(5,MATCH(MAX(Reference!$A$6,MIN(Reference!$A$11,MIN(D211,240))),Reference!$A$6:$A$11,1))))/(INDEX(Reference!$A$6:$A$11,MIN(5,MATCH(MAX(Reference!$A$6,MIN(Reference!$A$11,MIN(D211,240))),Reference!$A$6:$A$11,1))+1)-INDEX(Reference!$A$6:$A$11,MIN(5,MATCH(MAX(Reference!$A$6,MIN(Reference!$A$11,MIN(D211,240))),Reference!$A$6:$A$11,1))))),0)+IF(7&lt;=AE211,(AE211-7+3)*(INDEX(Reference!$B$6:$B$11,MIN(5,MATCH(MAX(Reference!$A$6,MIN(Reference!$A$11,MIN(D211,270))),Reference!$A$6:$A$11,1)))+(MAX(Reference!$A$6,MIN(Reference!$A$11,MIN(D211,270)))-INDEX(Reference!$A$6:$A$11,MIN(5,MATCH(MAX(Reference!$A$6,MIN(Reference!$A$11,MIN(D211,270))),Reference!$A$6:$A$11,1))))*(INDEX(Reference!$B$6:$B$11,MIN(5,MATCH(MAX(Reference!$A$6,MIN(Reference!$A$11,MIN(D211,270))),Reference!$A$6:$A$11,1))+1)-INDEX(Reference!$B$6:$B$11,MIN(5,MATCH(MAX(Reference!$A$6,MIN(Reference!$A$11,MIN(D211,270))),Reference!$A$6:$A$11,1))))/(INDEX(Reference!$A$6:$A$11,MIN(5,MATCH(MAX(Reference!$A$6,MIN(Reference!$A$11,MIN(D211,270))),Reference!$A$6:$A$11,1))+1)-INDEX(Reference!$A$6:$A$11,MIN(5,MATCH(MAX(Reference!$A$6,MIN(Reference!$A$11,MIN(D211,270))),Reference!$A$6:$A$11,1))))),0)+IF(8&lt;=AE211,(AE211-8+3)*(INDEX(Reference!$B$6:$B$11,MIN(5,MATCH(MAX(Reference!$A$6,MIN(Reference!$A$11,MIN(D211,300))),Reference!$A$6:$A$11,1)))+(MAX(Reference!$A$6,MIN(Reference!$A$11,MIN(D211,300)))-INDEX(Reference!$A$6:$A$11,MIN(5,MATCH(MAX(Reference!$A$6,MIN(Reference!$A$11,MIN(D211,300))),Reference!$A$6:$A$11,1))))*(INDEX(Reference!$B$6:$B$11,MIN(5,MATCH(MAX(Reference!$A$6,MIN(Reference!$A$11,MIN(D211,300))),Reference!$A$6:$A$11,1))+1)-INDEX(Reference!$B$6:$B$11,MIN(5,MATCH(MAX(Reference!$A$6,MIN(Reference!$A$11,MIN(D211,300))),Reference!$A$6:$A$11,1))))/(INDEX(Reference!$A$6:$A$11,MIN(5,MATCH(MAX(Reference!$A$6,MIN(Reference!$A$11,MIN(D211,300))),Reference!$A$6:$A$11,1))+1)-INDEX(Reference!$A$6:$A$11,MIN(5,MATCH(MAX(Reference!$A$6,MIN(Reference!$A$11,MIN(D211,300))),Reference!$A$6:$A$11,1))))),0))/(AE211*(AE211+5)/2)),(INDEX(Reference!$B$6:$B$11,MIN(5,MATCH(MAX(Reference!$A$6,MIN(Reference!$A$11,D211)),Reference!$A$6:$A$11,1)))+(MAX(Reference!$A$6,MIN(Reference!$A$11,D211))-INDEX(Reference!$A$6:$A$11,MIN(5,MATCH(MAX(Reference!$A$6,MIN(Reference!$A$11,D211)),Reference!$A$6:$A$11,1))))*(INDEX(Reference!$B$6:$B$11,MIN(5,MATCH(MAX(Reference!$A$6,MIN(Reference!$A$11,D211)),Reference!$A$6:$A$11,1))+1)-INDEX(Reference!$B$6:$B$11,MIN(5,MATCH(MAX(Reference!$A$6,MIN(Reference!$A$11,D211)),Reference!$A$6:$A$11,1))))/(INDEX(Reference!$A$6:$A$11,MIN(5,MATCH(MAX(Reference!$A$6,MIN(Reference!$A$11,D211)),Reference!$A$6:$A$11,1))+1)-INDEX(Reference!$A$6:$A$11,MIN(5,MATCH(MAX(Reference!$A$6,MIN(Reference!$A$11,D211)),Reference!$A$6:$A$11,1))))))))</f>
        <v/>
      </c>
      <c r="P211" s="32" t="str">
        <f>IF(N211="","",VLOOKUP(MAX(N211,0),Reference!$A$17:$B$20,2,TRUE()))</f>
        <v/>
      </c>
      <c r="Q211" s="32" t="str">
        <f t="shared" si="30"/>
        <v/>
      </c>
      <c r="R211" s="31"/>
      <c r="S211" s="31"/>
      <c r="T211" s="31"/>
      <c r="U211" s="32" t="str">
        <f t="shared" si="31"/>
        <v/>
      </c>
      <c r="V211" s="32" t="str">
        <f t="shared" si="32"/>
        <v/>
      </c>
      <c r="W211" s="32" t="str">
        <f>IF(V211="","",VLOOKUP(MAX(V211,0),Reference!$A$17:$B$20,2,TRUE()))</f>
        <v/>
      </c>
      <c r="X211" s="31"/>
      <c r="Y211" s="31"/>
      <c r="Z211" s="31"/>
      <c r="AA211" s="32" t="str">
        <f t="shared" si="33"/>
        <v/>
      </c>
      <c r="AB211" s="32" t="str">
        <f t="shared" si="34"/>
        <v/>
      </c>
      <c r="AC211" s="32" t="str">
        <f>IF(AB211="","",VLOOKUP(MAX(AB211,0),Reference!$A$17:$B$20,2,TRUE()))</f>
        <v/>
      </c>
      <c r="AD211" s="31"/>
      <c r="AE211">
        <f t="shared" si="35"/>
        <v>1</v>
      </c>
      <c r="AF211" s="33" t="str">
        <f>IF(OR(A211="",B211="",AND(C211&lt;&gt;"Bullpen",C211&lt;&gt;"Game")),"",IF((COUNTIFS($B$5:$B$300,B211,$A$5:$A$300,A211-1,$C$5:$C$300,"Bullpen",$AG$5:$AG$300,"&gt;0") + COUNTIFS($B$5:$B$300,B211,$A$5:$A$300,A211-1,$C$5:$C$300,"Game",$AG$5:$AG$300,"&gt;0"))&gt;0,Reference!$B$119,IF((COUNTIFS($B$5:$B$300,B211,$A$5:$A$300,A211-2,$C$5:$C$300,"Bullpen",$AG$5:$AG$300,"&gt;0") + COUNTIFS($B$5:$B$300,B211,$A$5:$A$300,A211-2,$C$5:$C$300,"Game",$AG$5:$AG$300,"&gt;0"))&gt;0,Reference!$B$120,1)))</f>
        <v/>
      </c>
      <c r="AG211" s="30" t="str">
        <f>IF(AND(OR(I211="",O211="",P211=""),OR(R211="",W211=""),OR(X211="",AC211="")),"",IF(OR(I211="",O211="",P211=""),0,I211*O211*P211)+IF(OR(R211="",W211=""),0,R211*IFERROR(INDEX(Reference!$B$61:$B$62,MATCH("Bullpen",Reference!$A$61:$A$62,0)),0)*W211)+IF(OR(X211="",AC211=""),0,X211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211))</f>
        <v/>
      </c>
    </row>
    <row r="212" spans="1:33" x14ac:dyDescent="0.3">
      <c r="A212" s="35"/>
      <c r="B212" s="31"/>
      <c r="C212" s="31"/>
      <c r="D212" s="31"/>
      <c r="E212" s="34"/>
      <c r="F212" s="34"/>
      <c r="G212" s="30" t="str">
        <f t="shared" si="27"/>
        <v/>
      </c>
      <c r="H212" s="31"/>
      <c r="I212" s="32" t="str">
        <f>IF(H212&lt;&gt;"",H212,IF(G212="","",ROUND(G212*IFERROR(INDEX(Reference!$B$44:$B$50,MATCH(C212,Reference!$A$44:$A$50,0)),0),0)))</f>
        <v/>
      </c>
      <c r="J212" s="31"/>
      <c r="K212" s="31"/>
      <c r="L212" s="32" t="str">
        <f t="shared" si="28"/>
        <v/>
      </c>
      <c r="M212" s="32" t="str">
        <f>IFERROR(INDEX(Roster!$D$5:$D$40,MATCH(B212,Roster!$A$5:$A$40,0)),"")</f>
        <v/>
      </c>
      <c r="N212" s="32" t="str">
        <f t="shared" si="29"/>
        <v/>
      </c>
      <c r="O212" s="32" t="str">
        <f>IF(OR(C212="Bullpen",C212="Game"),IFERROR(INDEX(Reference!$B$61:$B$62,MATCH(C212,Reference!$A$61:$A$62,0)),""),IF(D212="","",IF(AE212&gt;1,((IF(1&lt;=AE212,(AE212-1+3)*(INDEX(Reference!$B$6:$B$11,MIN(5,MATCH(MAX(Reference!$A$6,MIN(Reference!$A$11,MIN(D212,90))),Reference!$A$6:$A$11,1)))+(MAX(Reference!$A$6,MIN(Reference!$A$11,MIN(D212,90)))-INDEX(Reference!$A$6:$A$11,MIN(5,MATCH(MAX(Reference!$A$6,MIN(Reference!$A$11,MIN(D212,90))),Reference!$A$6:$A$11,1))))*(INDEX(Reference!$B$6:$B$11,MIN(5,MATCH(MAX(Reference!$A$6,MIN(Reference!$A$11,MIN(D212,90))),Reference!$A$6:$A$11,1))+1)-INDEX(Reference!$B$6:$B$11,MIN(5,MATCH(MAX(Reference!$A$6,MIN(Reference!$A$11,MIN(D212,90))),Reference!$A$6:$A$11,1))))/(INDEX(Reference!$A$6:$A$11,MIN(5,MATCH(MAX(Reference!$A$6,MIN(Reference!$A$11,MIN(D212,90))),Reference!$A$6:$A$11,1))+1)-INDEX(Reference!$A$6:$A$11,MIN(5,MATCH(MAX(Reference!$A$6,MIN(Reference!$A$11,MIN(D212,90))),Reference!$A$6:$A$11,1))))),0)+IF(2&lt;=AE212,(AE212-2+3)*(INDEX(Reference!$B$6:$B$11,MIN(5,MATCH(MAX(Reference!$A$6,MIN(Reference!$A$11,MIN(D212,120))),Reference!$A$6:$A$11,1)))+(MAX(Reference!$A$6,MIN(Reference!$A$11,MIN(D212,120)))-INDEX(Reference!$A$6:$A$11,MIN(5,MATCH(MAX(Reference!$A$6,MIN(Reference!$A$11,MIN(D212,120))),Reference!$A$6:$A$11,1))))*(INDEX(Reference!$B$6:$B$11,MIN(5,MATCH(MAX(Reference!$A$6,MIN(Reference!$A$11,MIN(D212,120))),Reference!$A$6:$A$11,1))+1)-INDEX(Reference!$B$6:$B$11,MIN(5,MATCH(MAX(Reference!$A$6,MIN(Reference!$A$11,MIN(D212,120))),Reference!$A$6:$A$11,1))))/(INDEX(Reference!$A$6:$A$11,MIN(5,MATCH(MAX(Reference!$A$6,MIN(Reference!$A$11,MIN(D212,120))),Reference!$A$6:$A$11,1))+1)-INDEX(Reference!$A$6:$A$11,MIN(5,MATCH(MAX(Reference!$A$6,MIN(Reference!$A$11,MIN(D212,120))),Reference!$A$6:$A$11,1))))),0)+IF(3&lt;=AE212,(AE212-3+3)*(INDEX(Reference!$B$6:$B$11,MIN(5,MATCH(MAX(Reference!$A$6,MIN(Reference!$A$11,MIN(D212,150))),Reference!$A$6:$A$11,1)))+(MAX(Reference!$A$6,MIN(Reference!$A$11,MIN(D212,150)))-INDEX(Reference!$A$6:$A$11,MIN(5,MATCH(MAX(Reference!$A$6,MIN(Reference!$A$11,MIN(D212,150))),Reference!$A$6:$A$11,1))))*(INDEX(Reference!$B$6:$B$11,MIN(5,MATCH(MAX(Reference!$A$6,MIN(Reference!$A$11,MIN(D212,150))),Reference!$A$6:$A$11,1))+1)-INDEX(Reference!$B$6:$B$11,MIN(5,MATCH(MAX(Reference!$A$6,MIN(Reference!$A$11,MIN(D212,150))),Reference!$A$6:$A$11,1))))/(INDEX(Reference!$A$6:$A$11,MIN(5,MATCH(MAX(Reference!$A$6,MIN(Reference!$A$11,MIN(D212,150))),Reference!$A$6:$A$11,1))+1)-INDEX(Reference!$A$6:$A$11,MIN(5,MATCH(MAX(Reference!$A$6,MIN(Reference!$A$11,MIN(D212,150))),Reference!$A$6:$A$11,1))))),0)+IF(4&lt;=AE212,(AE212-4+3)*(INDEX(Reference!$B$6:$B$11,MIN(5,MATCH(MAX(Reference!$A$6,MIN(Reference!$A$11,MIN(D212,180))),Reference!$A$6:$A$11,1)))+(MAX(Reference!$A$6,MIN(Reference!$A$11,MIN(D212,180)))-INDEX(Reference!$A$6:$A$11,MIN(5,MATCH(MAX(Reference!$A$6,MIN(Reference!$A$11,MIN(D212,180))),Reference!$A$6:$A$11,1))))*(INDEX(Reference!$B$6:$B$11,MIN(5,MATCH(MAX(Reference!$A$6,MIN(Reference!$A$11,MIN(D212,180))),Reference!$A$6:$A$11,1))+1)-INDEX(Reference!$B$6:$B$11,MIN(5,MATCH(MAX(Reference!$A$6,MIN(Reference!$A$11,MIN(D212,180))),Reference!$A$6:$A$11,1))))/(INDEX(Reference!$A$6:$A$11,MIN(5,MATCH(MAX(Reference!$A$6,MIN(Reference!$A$11,MIN(D212,180))),Reference!$A$6:$A$11,1))+1)-INDEX(Reference!$A$6:$A$11,MIN(5,MATCH(MAX(Reference!$A$6,MIN(Reference!$A$11,MIN(D212,180))),Reference!$A$6:$A$11,1))))),0)+IF(5&lt;=AE212,(AE212-5+3)*(INDEX(Reference!$B$6:$B$11,MIN(5,MATCH(MAX(Reference!$A$6,MIN(Reference!$A$11,MIN(D212,210))),Reference!$A$6:$A$11,1)))+(MAX(Reference!$A$6,MIN(Reference!$A$11,MIN(D212,210)))-INDEX(Reference!$A$6:$A$11,MIN(5,MATCH(MAX(Reference!$A$6,MIN(Reference!$A$11,MIN(D212,210))),Reference!$A$6:$A$11,1))))*(INDEX(Reference!$B$6:$B$11,MIN(5,MATCH(MAX(Reference!$A$6,MIN(Reference!$A$11,MIN(D212,210))),Reference!$A$6:$A$11,1))+1)-INDEX(Reference!$B$6:$B$11,MIN(5,MATCH(MAX(Reference!$A$6,MIN(Reference!$A$11,MIN(D212,210))),Reference!$A$6:$A$11,1))))/(INDEX(Reference!$A$6:$A$11,MIN(5,MATCH(MAX(Reference!$A$6,MIN(Reference!$A$11,MIN(D212,210))),Reference!$A$6:$A$11,1))+1)-INDEX(Reference!$A$6:$A$11,MIN(5,MATCH(MAX(Reference!$A$6,MIN(Reference!$A$11,MIN(D212,210))),Reference!$A$6:$A$11,1))))),0)+IF(6&lt;=AE212,(AE212-6+3)*(INDEX(Reference!$B$6:$B$11,MIN(5,MATCH(MAX(Reference!$A$6,MIN(Reference!$A$11,MIN(D212,240))),Reference!$A$6:$A$11,1)))+(MAX(Reference!$A$6,MIN(Reference!$A$11,MIN(D212,240)))-INDEX(Reference!$A$6:$A$11,MIN(5,MATCH(MAX(Reference!$A$6,MIN(Reference!$A$11,MIN(D212,240))),Reference!$A$6:$A$11,1))))*(INDEX(Reference!$B$6:$B$11,MIN(5,MATCH(MAX(Reference!$A$6,MIN(Reference!$A$11,MIN(D212,240))),Reference!$A$6:$A$11,1))+1)-INDEX(Reference!$B$6:$B$11,MIN(5,MATCH(MAX(Reference!$A$6,MIN(Reference!$A$11,MIN(D212,240))),Reference!$A$6:$A$11,1))))/(INDEX(Reference!$A$6:$A$11,MIN(5,MATCH(MAX(Reference!$A$6,MIN(Reference!$A$11,MIN(D212,240))),Reference!$A$6:$A$11,1))+1)-INDEX(Reference!$A$6:$A$11,MIN(5,MATCH(MAX(Reference!$A$6,MIN(Reference!$A$11,MIN(D212,240))),Reference!$A$6:$A$11,1))))),0)+IF(7&lt;=AE212,(AE212-7+3)*(INDEX(Reference!$B$6:$B$11,MIN(5,MATCH(MAX(Reference!$A$6,MIN(Reference!$A$11,MIN(D212,270))),Reference!$A$6:$A$11,1)))+(MAX(Reference!$A$6,MIN(Reference!$A$11,MIN(D212,270)))-INDEX(Reference!$A$6:$A$11,MIN(5,MATCH(MAX(Reference!$A$6,MIN(Reference!$A$11,MIN(D212,270))),Reference!$A$6:$A$11,1))))*(INDEX(Reference!$B$6:$B$11,MIN(5,MATCH(MAX(Reference!$A$6,MIN(Reference!$A$11,MIN(D212,270))),Reference!$A$6:$A$11,1))+1)-INDEX(Reference!$B$6:$B$11,MIN(5,MATCH(MAX(Reference!$A$6,MIN(Reference!$A$11,MIN(D212,270))),Reference!$A$6:$A$11,1))))/(INDEX(Reference!$A$6:$A$11,MIN(5,MATCH(MAX(Reference!$A$6,MIN(Reference!$A$11,MIN(D212,270))),Reference!$A$6:$A$11,1))+1)-INDEX(Reference!$A$6:$A$11,MIN(5,MATCH(MAX(Reference!$A$6,MIN(Reference!$A$11,MIN(D212,270))),Reference!$A$6:$A$11,1))))),0)+IF(8&lt;=AE212,(AE212-8+3)*(INDEX(Reference!$B$6:$B$11,MIN(5,MATCH(MAX(Reference!$A$6,MIN(Reference!$A$11,MIN(D212,300))),Reference!$A$6:$A$11,1)))+(MAX(Reference!$A$6,MIN(Reference!$A$11,MIN(D212,300)))-INDEX(Reference!$A$6:$A$11,MIN(5,MATCH(MAX(Reference!$A$6,MIN(Reference!$A$11,MIN(D212,300))),Reference!$A$6:$A$11,1))))*(INDEX(Reference!$B$6:$B$11,MIN(5,MATCH(MAX(Reference!$A$6,MIN(Reference!$A$11,MIN(D212,300))),Reference!$A$6:$A$11,1))+1)-INDEX(Reference!$B$6:$B$11,MIN(5,MATCH(MAX(Reference!$A$6,MIN(Reference!$A$11,MIN(D212,300))),Reference!$A$6:$A$11,1))))/(INDEX(Reference!$A$6:$A$11,MIN(5,MATCH(MAX(Reference!$A$6,MIN(Reference!$A$11,MIN(D212,300))),Reference!$A$6:$A$11,1))+1)-INDEX(Reference!$A$6:$A$11,MIN(5,MATCH(MAX(Reference!$A$6,MIN(Reference!$A$11,MIN(D212,300))),Reference!$A$6:$A$11,1))))),0))/(AE212*(AE212+5)/2)),(INDEX(Reference!$B$6:$B$11,MIN(5,MATCH(MAX(Reference!$A$6,MIN(Reference!$A$11,D212)),Reference!$A$6:$A$11,1)))+(MAX(Reference!$A$6,MIN(Reference!$A$11,D212))-INDEX(Reference!$A$6:$A$11,MIN(5,MATCH(MAX(Reference!$A$6,MIN(Reference!$A$11,D212)),Reference!$A$6:$A$11,1))))*(INDEX(Reference!$B$6:$B$11,MIN(5,MATCH(MAX(Reference!$A$6,MIN(Reference!$A$11,D212)),Reference!$A$6:$A$11,1))+1)-INDEX(Reference!$B$6:$B$11,MIN(5,MATCH(MAX(Reference!$A$6,MIN(Reference!$A$11,D212)),Reference!$A$6:$A$11,1))))/(INDEX(Reference!$A$6:$A$11,MIN(5,MATCH(MAX(Reference!$A$6,MIN(Reference!$A$11,D212)),Reference!$A$6:$A$11,1))+1)-INDEX(Reference!$A$6:$A$11,MIN(5,MATCH(MAX(Reference!$A$6,MIN(Reference!$A$11,D212)),Reference!$A$6:$A$11,1))))))))</f>
        <v/>
      </c>
      <c r="P212" s="32" t="str">
        <f>IF(N212="","",VLOOKUP(MAX(N212,0),Reference!$A$17:$B$20,2,TRUE()))</f>
        <v/>
      </c>
      <c r="Q212" s="32" t="str">
        <f t="shared" si="30"/>
        <v/>
      </c>
      <c r="R212" s="31"/>
      <c r="S212" s="31"/>
      <c r="T212" s="31"/>
      <c r="U212" s="32" t="str">
        <f t="shared" si="31"/>
        <v/>
      </c>
      <c r="V212" s="32" t="str">
        <f t="shared" si="32"/>
        <v/>
      </c>
      <c r="W212" s="32" t="str">
        <f>IF(V212="","",VLOOKUP(MAX(V212,0),Reference!$A$17:$B$20,2,TRUE()))</f>
        <v/>
      </c>
      <c r="X212" s="31"/>
      <c r="Y212" s="31"/>
      <c r="Z212" s="31"/>
      <c r="AA212" s="32" t="str">
        <f t="shared" si="33"/>
        <v/>
      </c>
      <c r="AB212" s="32" t="str">
        <f t="shared" si="34"/>
        <v/>
      </c>
      <c r="AC212" s="32" t="str">
        <f>IF(AB212="","",VLOOKUP(MAX(AB212,0),Reference!$A$17:$B$20,2,TRUE()))</f>
        <v/>
      </c>
      <c r="AD212" s="31"/>
      <c r="AE212">
        <f t="shared" si="35"/>
        <v>1</v>
      </c>
      <c r="AF212" s="33" t="str">
        <f>IF(OR(A212="",B212="",AND(C212&lt;&gt;"Bullpen",C212&lt;&gt;"Game")),"",IF((COUNTIFS($B$5:$B$300,B212,$A$5:$A$300,A212-1,$C$5:$C$300,"Bullpen",$AG$5:$AG$300,"&gt;0") + COUNTIFS($B$5:$B$300,B212,$A$5:$A$300,A212-1,$C$5:$C$300,"Game",$AG$5:$AG$300,"&gt;0"))&gt;0,Reference!$B$119,IF((COUNTIFS($B$5:$B$300,B212,$A$5:$A$300,A212-2,$C$5:$C$300,"Bullpen",$AG$5:$AG$300,"&gt;0") + COUNTIFS($B$5:$B$300,B212,$A$5:$A$300,A212-2,$C$5:$C$300,"Game",$AG$5:$AG$300,"&gt;0"))&gt;0,Reference!$B$120,1)))</f>
        <v/>
      </c>
      <c r="AG212" s="30" t="str">
        <f>IF(AND(OR(I212="",O212="",P212=""),OR(R212="",W212=""),OR(X212="",AC212="")),"",IF(OR(I212="",O212="",P212=""),0,I212*O212*P212)+IF(OR(R212="",W212=""),0,R212*IFERROR(INDEX(Reference!$B$61:$B$62,MATCH("Bullpen",Reference!$A$61:$A$62,0)),0)*W212)+IF(OR(X212="",AC212=""),0,X212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212))</f>
        <v/>
      </c>
    </row>
    <row r="213" spans="1:33" x14ac:dyDescent="0.3">
      <c r="A213" s="35"/>
      <c r="B213" s="31"/>
      <c r="C213" s="31"/>
      <c r="D213" s="31"/>
      <c r="E213" s="34"/>
      <c r="F213" s="34"/>
      <c r="G213" s="30" t="str">
        <f t="shared" si="27"/>
        <v/>
      </c>
      <c r="H213" s="31"/>
      <c r="I213" s="32" t="str">
        <f>IF(H213&lt;&gt;"",H213,IF(G213="","",ROUND(G213*IFERROR(INDEX(Reference!$B$44:$B$50,MATCH(C213,Reference!$A$44:$A$50,0)),0),0)))</f>
        <v/>
      </c>
      <c r="J213" s="31"/>
      <c r="K213" s="31"/>
      <c r="L213" s="32" t="str">
        <f t="shared" si="28"/>
        <v/>
      </c>
      <c r="M213" s="32" t="str">
        <f>IFERROR(INDEX(Roster!$D$5:$D$40,MATCH(B213,Roster!$A$5:$A$40,0)),"")</f>
        <v/>
      </c>
      <c r="N213" s="32" t="str">
        <f t="shared" si="29"/>
        <v/>
      </c>
      <c r="O213" s="32" t="str">
        <f>IF(OR(C213="Bullpen",C213="Game"),IFERROR(INDEX(Reference!$B$61:$B$62,MATCH(C213,Reference!$A$61:$A$62,0)),""),IF(D213="","",IF(AE213&gt;1,((IF(1&lt;=AE213,(AE213-1+3)*(INDEX(Reference!$B$6:$B$11,MIN(5,MATCH(MAX(Reference!$A$6,MIN(Reference!$A$11,MIN(D213,90))),Reference!$A$6:$A$11,1)))+(MAX(Reference!$A$6,MIN(Reference!$A$11,MIN(D213,90)))-INDEX(Reference!$A$6:$A$11,MIN(5,MATCH(MAX(Reference!$A$6,MIN(Reference!$A$11,MIN(D213,90))),Reference!$A$6:$A$11,1))))*(INDEX(Reference!$B$6:$B$11,MIN(5,MATCH(MAX(Reference!$A$6,MIN(Reference!$A$11,MIN(D213,90))),Reference!$A$6:$A$11,1))+1)-INDEX(Reference!$B$6:$B$11,MIN(5,MATCH(MAX(Reference!$A$6,MIN(Reference!$A$11,MIN(D213,90))),Reference!$A$6:$A$11,1))))/(INDEX(Reference!$A$6:$A$11,MIN(5,MATCH(MAX(Reference!$A$6,MIN(Reference!$A$11,MIN(D213,90))),Reference!$A$6:$A$11,1))+1)-INDEX(Reference!$A$6:$A$11,MIN(5,MATCH(MAX(Reference!$A$6,MIN(Reference!$A$11,MIN(D213,90))),Reference!$A$6:$A$11,1))))),0)+IF(2&lt;=AE213,(AE213-2+3)*(INDEX(Reference!$B$6:$B$11,MIN(5,MATCH(MAX(Reference!$A$6,MIN(Reference!$A$11,MIN(D213,120))),Reference!$A$6:$A$11,1)))+(MAX(Reference!$A$6,MIN(Reference!$A$11,MIN(D213,120)))-INDEX(Reference!$A$6:$A$11,MIN(5,MATCH(MAX(Reference!$A$6,MIN(Reference!$A$11,MIN(D213,120))),Reference!$A$6:$A$11,1))))*(INDEX(Reference!$B$6:$B$11,MIN(5,MATCH(MAX(Reference!$A$6,MIN(Reference!$A$11,MIN(D213,120))),Reference!$A$6:$A$11,1))+1)-INDEX(Reference!$B$6:$B$11,MIN(5,MATCH(MAX(Reference!$A$6,MIN(Reference!$A$11,MIN(D213,120))),Reference!$A$6:$A$11,1))))/(INDEX(Reference!$A$6:$A$11,MIN(5,MATCH(MAX(Reference!$A$6,MIN(Reference!$A$11,MIN(D213,120))),Reference!$A$6:$A$11,1))+1)-INDEX(Reference!$A$6:$A$11,MIN(5,MATCH(MAX(Reference!$A$6,MIN(Reference!$A$11,MIN(D213,120))),Reference!$A$6:$A$11,1))))),0)+IF(3&lt;=AE213,(AE213-3+3)*(INDEX(Reference!$B$6:$B$11,MIN(5,MATCH(MAX(Reference!$A$6,MIN(Reference!$A$11,MIN(D213,150))),Reference!$A$6:$A$11,1)))+(MAX(Reference!$A$6,MIN(Reference!$A$11,MIN(D213,150)))-INDEX(Reference!$A$6:$A$11,MIN(5,MATCH(MAX(Reference!$A$6,MIN(Reference!$A$11,MIN(D213,150))),Reference!$A$6:$A$11,1))))*(INDEX(Reference!$B$6:$B$11,MIN(5,MATCH(MAX(Reference!$A$6,MIN(Reference!$A$11,MIN(D213,150))),Reference!$A$6:$A$11,1))+1)-INDEX(Reference!$B$6:$B$11,MIN(5,MATCH(MAX(Reference!$A$6,MIN(Reference!$A$11,MIN(D213,150))),Reference!$A$6:$A$11,1))))/(INDEX(Reference!$A$6:$A$11,MIN(5,MATCH(MAX(Reference!$A$6,MIN(Reference!$A$11,MIN(D213,150))),Reference!$A$6:$A$11,1))+1)-INDEX(Reference!$A$6:$A$11,MIN(5,MATCH(MAX(Reference!$A$6,MIN(Reference!$A$11,MIN(D213,150))),Reference!$A$6:$A$11,1))))),0)+IF(4&lt;=AE213,(AE213-4+3)*(INDEX(Reference!$B$6:$B$11,MIN(5,MATCH(MAX(Reference!$A$6,MIN(Reference!$A$11,MIN(D213,180))),Reference!$A$6:$A$11,1)))+(MAX(Reference!$A$6,MIN(Reference!$A$11,MIN(D213,180)))-INDEX(Reference!$A$6:$A$11,MIN(5,MATCH(MAX(Reference!$A$6,MIN(Reference!$A$11,MIN(D213,180))),Reference!$A$6:$A$11,1))))*(INDEX(Reference!$B$6:$B$11,MIN(5,MATCH(MAX(Reference!$A$6,MIN(Reference!$A$11,MIN(D213,180))),Reference!$A$6:$A$11,1))+1)-INDEX(Reference!$B$6:$B$11,MIN(5,MATCH(MAX(Reference!$A$6,MIN(Reference!$A$11,MIN(D213,180))),Reference!$A$6:$A$11,1))))/(INDEX(Reference!$A$6:$A$11,MIN(5,MATCH(MAX(Reference!$A$6,MIN(Reference!$A$11,MIN(D213,180))),Reference!$A$6:$A$11,1))+1)-INDEX(Reference!$A$6:$A$11,MIN(5,MATCH(MAX(Reference!$A$6,MIN(Reference!$A$11,MIN(D213,180))),Reference!$A$6:$A$11,1))))),0)+IF(5&lt;=AE213,(AE213-5+3)*(INDEX(Reference!$B$6:$B$11,MIN(5,MATCH(MAX(Reference!$A$6,MIN(Reference!$A$11,MIN(D213,210))),Reference!$A$6:$A$11,1)))+(MAX(Reference!$A$6,MIN(Reference!$A$11,MIN(D213,210)))-INDEX(Reference!$A$6:$A$11,MIN(5,MATCH(MAX(Reference!$A$6,MIN(Reference!$A$11,MIN(D213,210))),Reference!$A$6:$A$11,1))))*(INDEX(Reference!$B$6:$B$11,MIN(5,MATCH(MAX(Reference!$A$6,MIN(Reference!$A$11,MIN(D213,210))),Reference!$A$6:$A$11,1))+1)-INDEX(Reference!$B$6:$B$11,MIN(5,MATCH(MAX(Reference!$A$6,MIN(Reference!$A$11,MIN(D213,210))),Reference!$A$6:$A$11,1))))/(INDEX(Reference!$A$6:$A$11,MIN(5,MATCH(MAX(Reference!$A$6,MIN(Reference!$A$11,MIN(D213,210))),Reference!$A$6:$A$11,1))+1)-INDEX(Reference!$A$6:$A$11,MIN(5,MATCH(MAX(Reference!$A$6,MIN(Reference!$A$11,MIN(D213,210))),Reference!$A$6:$A$11,1))))),0)+IF(6&lt;=AE213,(AE213-6+3)*(INDEX(Reference!$B$6:$B$11,MIN(5,MATCH(MAX(Reference!$A$6,MIN(Reference!$A$11,MIN(D213,240))),Reference!$A$6:$A$11,1)))+(MAX(Reference!$A$6,MIN(Reference!$A$11,MIN(D213,240)))-INDEX(Reference!$A$6:$A$11,MIN(5,MATCH(MAX(Reference!$A$6,MIN(Reference!$A$11,MIN(D213,240))),Reference!$A$6:$A$11,1))))*(INDEX(Reference!$B$6:$B$11,MIN(5,MATCH(MAX(Reference!$A$6,MIN(Reference!$A$11,MIN(D213,240))),Reference!$A$6:$A$11,1))+1)-INDEX(Reference!$B$6:$B$11,MIN(5,MATCH(MAX(Reference!$A$6,MIN(Reference!$A$11,MIN(D213,240))),Reference!$A$6:$A$11,1))))/(INDEX(Reference!$A$6:$A$11,MIN(5,MATCH(MAX(Reference!$A$6,MIN(Reference!$A$11,MIN(D213,240))),Reference!$A$6:$A$11,1))+1)-INDEX(Reference!$A$6:$A$11,MIN(5,MATCH(MAX(Reference!$A$6,MIN(Reference!$A$11,MIN(D213,240))),Reference!$A$6:$A$11,1))))),0)+IF(7&lt;=AE213,(AE213-7+3)*(INDEX(Reference!$B$6:$B$11,MIN(5,MATCH(MAX(Reference!$A$6,MIN(Reference!$A$11,MIN(D213,270))),Reference!$A$6:$A$11,1)))+(MAX(Reference!$A$6,MIN(Reference!$A$11,MIN(D213,270)))-INDEX(Reference!$A$6:$A$11,MIN(5,MATCH(MAX(Reference!$A$6,MIN(Reference!$A$11,MIN(D213,270))),Reference!$A$6:$A$11,1))))*(INDEX(Reference!$B$6:$B$11,MIN(5,MATCH(MAX(Reference!$A$6,MIN(Reference!$A$11,MIN(D213,270))),Reference!$A$6:$A$11,1))+1)-INDEX(Reference!$B$6:$B$11,MIN(5,MATCH(MAX(Reference!$A$6,MIN(Reference!$A$11,MIN(D213,270))),Reference!$A$6:$A$11,1))))/(INDEX(Reference!$A$6:$A$11,MIN(5,MATCH(MAX(Reference!$A$6,MIN(Reference!$A$11,MIN(D213,270))),Reference!$A$6:$A$11,1))+1)-INDEX(Reference!$A$6:$A$11,MIN(5,MATCH(MAX(Reference!$A$6,MIN(Reference!$A$11,MIN(D213,270))),Reference!$A$6:$A$11,1))))),0)+IF(8&lt;=AE213,(AE213-8+3)*(INDEX(Reference!$B$6:$B$11,MIN(5,MATCH(MAX(Reference!$A$6,MIN(Reference!$A$11,MIN(D213,300))),Reference!$A$6:$A$11,1)))+(MAX(Reference!$A$6,MIN(Reference!$A$11,MIN(D213,300)))-INDEX(Reference!$A$6:$A$11,MIN(5,MATCH(MAX(Reference!$A$6,MIN(Reference!$A$11,MIN(D213,300))),Reference!$A$6:$A$11,1))))*(INDEX(Reference!$B$6:$B$11,MIN(5,MATCH(MAX(Reference!$A$6,MIN(Reference!$A$11,MIN(D213,300))),Reference!$A$6:$A$11,1))+1)-INDEX(Reference!$B$6:$B$11,MIN(5,MATCH(MAX(Reference!$A$6,MIN(Reference!$A$11,MIN(D213,300))),Reference!$A$6:$A$11,1))))/(INDEX(Reference!$A$6:$A$11,MIN(5,MATCH(MAX(Reference!$A$6,MIN(Reference!$A$11,MIN(D213,300))),Reference!$A$6:$A$11,1))+1)-INDEX(Reference!$A$6:$A$11,MIN(5,MATCH(MAX(Reference!$A$6,MIN(Reference!$A$11,MIN(D213,300))),Reference!$A$6:$A$11,1))))),0))/(AE213*(AE213+5)/2)),(INDEX(Reference!$B$6:$B$11,MIN(5,MATCH(MAX(Reference!$A$6,MIN(Reference!$A$11,D213)),Reference!$A$6:$A$11,1)))+(MAX(Reference!$A$6,MIN(Reference!$A$11,D213))-INDEX(Reference!$A$6:$A$11,MIN(5,MATCH(MAX(Reference!$A$6,MIN(Reference!$A$11,D213)),Reference!$A$6:$A$11,1))))*(INDEX(Reference!$B$6:$B$11,MIN(5,MATCH(MAX(Reference!$A$6,MIN(Reference!$A$11,D213)),Reference!$A$6:$A$11,1))+1)-INDEX(Reference!$B$6:$B$11,MIN(5,MATCH(MAX(Reference!$A$6,MIN(Reference!$A$11,D213)),Reference!$A$6:$A$11,1))))/(INDEX(Reference!$A$6:$A$11,MIN(5,MATCH(MAX(Reference!$A$6,MIN(Reference!$A$11,D213)),Reference!$A$6:$A$11,1))+1)-INDEX(Reference!$A$6:$A$11,MIN(5,MATCH(MAX(Reference!$A$6,MIN(Reference!$A$11,D213)),Reference!$A$6:$A$11,1))))))))</f>
        <v/>
      </c>
      <c r="P213" s="32" t="str">
        <f>IF(N213="","",VLOOKUP(MAX(N213,0),Reference!$A$17:$B$20,2,TRUE()))</f>
        <v/>
      </c>
      <c r="Q213" s="32" t="str">
        <f t="shared" si="30"/>
        <v/>
      </c>
      <c r="R213" s="31"/>
      <c r="S213" s="31"/>
      <c r="T213" s="31"/>
      <c r="U213" s="32" t="str">
        <f t="shared" si="31"/>
        <v/>
      </c>
      <c r="V213" s="32" t="str">
        <f t="shared" si="32"/>
        <v/>
      </c>
      <c r="W213" s="32" t="str">
        <f>IF(V213="","",VLOOKUP(MAX(V213,0),Reference!$A$17:$B$20,2,TRUE()))</f>
        <v/>
      </c>
      <c r="X213" s="31"/>
      <c r="Y213" s="31"/>
      <c r="Z213" s="31"/>
      <c r="AA213" s="32" t="str">
        <f t="shared" si="33"/>
        <v/>
      </c>
      <c r="AB213" s="32" t="str">
        <f t="shared" si="34"/>
        <v/>
      </c>
      <c r="AC213" s="32" t="str">
        <f>IF(AB213="","",VLOOKUP(MAX(AB213,0),Reference!$A$17:$B$20,2,TRUE()))</f>
        <v/>
      </c>
      <c r="AD213" s="31"/>
      <c r="AE213">
        <f t="shared" si="35"/>
        <v>1</v>
      </c>
      <c r="AF213" s="33" t="str">
        <f>IF(OR(A213="",B213="",AND(C213&lt;&gt;"Bullpen",C213&lt;&gt;"Game")),"",IF((COUNTIFS($B$5:$B$300,B213,$A$5:$A$300,A213-1,$C$5:$C$300,"Bullpen",$AG$5:$AG$300,"&gt;0") + COUNTIFS($B$5:$B$300,B213,$A$5:$A$300,A213-1,$C$5:$C$300,"Game",$AG$5:$AG$300,"&gt;0"))&gt;0,Reference!$B$119,IF((COUNTIFS($B$5:$B$300,B213,$A$5:$A$300,A213-2,$C$5:$C$300,"Bullpen",$AG$5:$AG$300,"&gt;0") + COUNTIFS($B$5:$B$300,B213,$A$5:$A$300,A213-2,$C$5:$C$300,"Game",$AG$5:$AG$300,"&gt;0"))&gt;0,Reference!$B$120,1)))</f>
        <v/>
      </c>
      <c r="AG213" s="30" t="str">
        <f>IF(AND(OR(I213="",O213="",P213=""),OR(R213="",W213=""),OR(X213="",AC213="")),"",IF(OR(I213="",O213="",P213=""),0,I213*O213*P213)+IF(OR(R213="",W213=""),0,R213*IFERROR(INDEX(Reference!$B$61:$B$62,MATCH("Bullpen",Reference!$A$61:$A$62,0)),0)*W213)+IF(OR(X213="",AC213=""),0,X213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213))</f>
        <v/>
      </c>
    </row>
    <row r="214" spans="1:33" x14ac:dyDescent="0.3">
      <c r="A214" s="35"/>
      <c r="B214" s="31"/>
      <c r="C214" s="31"/>
      <c r="D214" s="31"/>
      <c r="E214" s="34"/>
      <c r="F214" s="34"/>
      <c r="G214" s="30" t="str">
        <f t="shared" si="27"/>
        <v/>
      </c>
      <c r="H214" s="31"/>
      <c r="I214" s="32" t="str">
        <f>IF(H214&lt;&gt;"",H214,IF(G214="","",ROUND(G214*IFERROR(INDEX(Reference!$B$44:$B$50,MATCH(C214,Reference!$A$44:$A$50,0)),0),0)))</f>
        <v/>
      </c>
      <c r="J214" s="31"/>
      <c r="K214" s="31"/>
      <c r="L214" s="32" t="str">
        <f t="shared" si="28"/>
        <v/>
      </c>
      <c r="M214" s="32" t="str">
        <f>IFERROR(INDEX(Roster!$D$5:$D$40,MATCH(B214,Roster!$A$5:$A$40,0)),"")</f>
        <v/>
      </c>
      <c r="N214" s="32" t="str">
        <f t="shared" si="29"/>
        <v/>
      </c>
      <c r="O214" s="32" t="str">
        <f>IF(OR(C214="Bullpen",C214="Game"),IFERROR(INDEX(Reference!$B$61:$B$62,MATCH(C214,Reference!$A$61:$A$62,0)),""),IF(D214="","",IF(AE214&gt;1,((IF(1&lt;=AE214,(AE214-1+3)*(INDEX(Reference!$B$6:$B$11,MIN(5,MATCH(MAX(Reference!$A$6,MIN(Reference!$A$11,MIN(D214,90))),Reference!$A$6:$A$11,1)))+(MAX(Reference!$A$6,MIN(Reference!$A$11,MIN(D214,90)))-INDEX(Reference!$A$6:$A$11,MIN(5,MATCH(MAX(Reference!$A$6,MIN(Reference!$A$11,MIN(D214,90))),Reference!$A$6:$A$11,1))))*(INDEX(Reference!$B$6:$B$11,MIN(5,MATCH(MAX(Reference!$A$6,MIN(Reference!$A$11,MIN(D214,90))),Reference!$A$6:$A$11,1))+1)-INDEX(Reference!$B$6:$B$11,MIN(5,MATCH(MAX(Reference!$A$6,MIN(Reference!$A$11,MIN(D214,90))),Reference!$A$6:$A$11,1))))/(INDEX(Reference!$A$6:$A$11,MIN(5,MATCH(MAX(Reference!$A$6,MIN(Reference!$A$11,MIN(D214,90))),Reference!$A$6:$A$11,1))+1)-INDEX(Reference!$A$6:$A$11,MIN(5,MATCH(MAX(Reference!$A$6,MIN(Reference!$A$11,MIN(D214,90))),Reference!$A$6:$A$11,1))))),0)+IF(2&lt;=AE214,(AE214-2+3)*(INDEX(Reference!$B$6:$B$11,MIN(5,MATCH(MAX(Reference!$A$6,MIN(Reference!$A$11,MIN(D214,120))),Reference!$A$6:$A$11,1)))+(MAX(Reference!$A$6,MIN(Reference!$A$11,MIN(D214,120)))-INDEX(Reference!$A$6:$A$11,MIN(5,MATCH(MAX(Reference!$A$6,MIN(Reference!$A$11,MIN(D214,120))),Reference!$A$6:$A$11,1))))*(INDEX(Reference!$B$6:$B$11,MIN(5,MATCH(MAX(Reference!$A$6,MIN(Reference!$A$11,MIN(D214,120))),Reference!$A$6:$A$11,1))+1)-INDEX(Reference!$B$6:$B$11,MIN(5,MATCH(MAX(Reference!$A$6,MIN(Reference!$A$11,MIN(D214,120))),Reference!$A$6:$A$11,1))))/(INDEX(Reference!$A$6:$A$11,MIN(5,MATCH(MAX(Reference!$A$6,MIN(Reference!$A$11,MIN(D214,120))),Reference!$A$6:$A$11,1))+1)-INDEX(Reference!$A$6:$A$11,MIN(5,MATCH(MAX(Reference!$A$6,MIN(Reference!$A$11,MIN(D214,120))),Reference!$A$6:$A$11,1))))),0)+IF(3&lt;=AE214,(AE214-3+3)*(INDEX(Reference!$B$6:$B$11,MIN(5,MATCH(MAX(Reference!$A$6,MIN(Reference!$A$11,MIN(D214,150))),Reference!$A$6:$A$11,1)))+(MAX(Reference!$A$6,MIN(Reference!$A$11,MIN(D214,150)))-INDEX(Reference!$A$6:$A$11,MIN(5,MATCH(MAX(Reference!$A$6,MIN(Reference!$A$11,MIN(D214,150))),Reference!$A$6:$A$11,1))))*(INDEX(Reference!$B$6:$B$11,MIN(5,MATCH(MAX(Reference!$A$6,MIN(Reference!$A$11,MIN(D214,150))),Reference!$A$6:$A$11,1))+1)-INDEX(Reference!$B$6:$B$11,MIN(5,MATCH(MAX(Reference!$A$6,MIN(Reference!$A$11,MIN(D214,150))),Reference!$A$6:$A$11,1))))/(INDEX(Reference!$A$6:$A$11,MIN(5,MATCH(MAX(Reference!$A$6,MIN(Reference!$A$11,MIN(D214,150))),Reference!$A$6:$A$11,1))+1)-INDEX(Reference!$A$6:$A$11,MIN(5,MATCH(MAX(Reference!$A$6,MIN(Reference!$A$11,MIN(D214,150))),Reference!$A$6:$A$11,1))))),0)+IF(4&lt;=AE214,(AE214-4+3)*(INDEX(Reference!$B$6:$B$11,MIN(5,MATCH(MAX(Reference!$A$6,MIN(Reference!$A$11,MIN(D214,180))),Reference!$A$6:$A$11,1)))+(MAX(Reference!$A$6,MIN(Reference!$A$11,MIN(D214,180)))-INDEX(Reference!$A$6:$A$11,MIN(5,MATCH(MAX(Reference!$A$6,MIN(Reference!$A$11,MIN(D214,180))),Reference!$A$6:$A$11,1))))*(INDEX(Reference!$B$6:$B$11,MIN(5,MATCH(MAX(Reference!$A$6,MIN(Reference!$A$11,MIN(D214,180))),Reference!$A$6:$A$11,1))+1)-INDEX(Reference!$B$6:$B$11,MIN(5,MATCH(MAX(Reference!$A$6,MIN(Reference!$A$11,MIN(D214,180))),Reference!$A$6:$A$11,1))))/(INDEX(Reference!$A$6:$A$11,MIN(5,MATCH(MAX(Reference!$A$6,MIN(Reference!$A$11,MIN(D214,180))),Reference!$A$6:$A$11,1))+1)-INDEX(Reference!$A$6:$A$11,MIN(5,MATCH(MAX(Reference!$A$6,MIN(Reference!$A$11,MIN(D214,180))),Reference!$A$6:$A$11,1))))),0)+IF(5&lt;=AE214,(AE214-5+3)*(INDEX(Reference!$B$6:$B$11,MIN(5,MATCH(MAX(Reference!$A$6,MIN(Reference!$A$11,MIN(D214,210))),Reference!$A$6:$A$11,1)))+(MAX(Reference!$A$6,MIN(Reference!$A$11,MIN(D214,210)))-INDEX(Reference!$A$6:$A$11,MIN(5,MATCH(MAX(Reference!$A$6,MIN(Reference!$A$11,MIN(D214,210))),Reference!$A$6:$A$11,1))))*(INDEX(Reference!$B$6:$B$11,MIN(5,MATCH(MAX(Reference!$A$6,MIN(Reference!$A$11,MIN(D214,210))),Reference!$A$6:$A$11,1))+1)-INDEX(Reference!$B$6:$B$11,MIN(5,MATCH(MAX(Reference!$A$6,MIN(Reference!$A$11,MIN(D214,210))),Reference!$A$6:$A$11,1))))/(INDEX(Reference!$A$6:$A$11,MIN(5,MATCH(MAX(Reference!$A$6,MIN(Reference!$A$11,MIN(D214,210))),Reference!$A$6:$A$11,1))+1)-INDEX(Reference!$A$6:$A$11,MIN(5,MATCH(MAX(Reference!$A$6,MIN(Reference!$A$11,MIN(D214,210))),Reference!$A$6:$A$11,1))))),0)+IF(6&lt;=AE214,(AE214-6+3)*(INDEX(Reference!$B$6:$B$11,MIN(5,MATCH(MAX(Reference!$A$6,MIN(Reference!$A$11,MIN(D214,240))),Reference!$A$6:$A$11,1)))+(MAX(Reference!$A$6,MIN(Reference!$A$11,MIN(D214,240)))-INDEX(Reference!$A$6:$A$11,MIN(5,MATCH(MAX(Reference!$A$6,MIN(Reference!$A$11,MIN(D214,240))),Reference!$A$6:$A$11,1))))*(INDEX(Reference!$B$6:$B$11,MIN(5,MATCH(MAX(Reference!$A$6,MIN(Reference!$A$11,MIN(D214,240))),Reference!$A$6:$A$11,1))+1)-INDEX(Reference!$B$6:$B$11,MIN(5,MATCH(MAX(Reference!$A$6,MIN(Reference!$A$11,MIN(D214,240))),Reference!$A$6:$A$11,1))))/(INDEX(Reference!$A$6:$A$11,MIN(5,MATCH(MAX(Reference!$A$6,MIN(Reference!$A$11,MIN(D214,240))),Reference!$A$6:$A$11,1))+1)-INDEX(Reference!$A$6:$A$11,MIN(5,MATCH(MAX(Reference!$A$6,MIN(Reference!$A$11,MIN(D214,240))),Reference!$A$6:$A$11,1))))),0)+IF(7&lt;=AE214,(AE214-7+3)*(INDEX(Reference!$B$6:$B$11,MIN(5,MATCH(MAX(Reference!$A$6,MIN(Reference!$A$11,MIN(D214,270))),Reference!$A$6:$A$11,1)))+(MAX(Reference!$A$6,MIN(Reference!$A$11,MIN(D214,270)))-INDEX(Reference!$A$6:$A$11,MIN(5,MATCH(MAX(Reference!$A$6,MIN(Reference!$A$11,MIN(D214,270))),Reference!$A$6:$A$11,1))))*(INDEX(Reference!$B$6:$B$11,MIN(5,MATCH(MAX(Reference!$A$6,MIN(Reference!$A$11,MIN(D214,270))),Reference!$A$6:$A$11,1))+1)-INDEX(Reference!$B$6:$B$11,MIN(5,MATCH(MAX(Reference!$A$6,MIN(Reference!$A$11,MIN(D214,270))),Reference!$A$6:$A$11,1))))/(INDEX(Reference!$A$6:$A$11,MIN(5,MATCH(MAX(Reference!$A$6,MIN(Reference!$A$11,MIN(D214,270))),Reference!$A$6:$A$11,1))+1)-INDEX(Reference!$A$6:$A$11,MIN(5,MATCH(MAX(Reference!$A$6,MIN(Reference!$A$11,MIN(D214,270))),Reference!$A$6:$A$11,1))))),0)+IF(8&lt;=AE214,(AE214-8+3)*(INDEX(Reference!$B$6:$B$11,MIN(5,MATCH(MAX(Reference!$A$6,MIN(Reference!$A$11,MIN(D214,300))),Reference!$A$6:$A$11,1)))+(MAX(Reference!$A$6,MIN(Reference!$A$11,MIN(D214,300)))-INDEX(Reference!$A$6:$A$11,MIN(5,MATCH(MAX(Reference!$A$6,MIN(Reference!$A$11,MIN(D214,300))),Reference!$A$6:$A$11,1))))*(INDEX(Reference!$B$6:$B$11,MIN(5,MATCH(MAX(Reference!$A$6,MIN(Reference!$A$11,MIN(D214,300))),Reference!$A$6:$A$11,1))+1)-INDEX(Reference!$B$6:$B$11,MIN(5,MATCH(MAX(Reference!$A$6,MIN(Reference!$A$11,MIN(D214,300))),Reference!$A$6:$A$11,1))))/(INDEX(Reference!$A$6:$A$11,MIN(5,MATCH(MAX(Reference!$A$6,MIN(Reference!$A$11,MIN(D214,300))),Reference!$A$6:$A$11,1))+1)-INDEX(Reference!$A$6:$A$11,MIN(5,MATCH(MAX(Reference!$A$6,MIN(Reference!$A$11,MIN(D214,300))),Reference!$A$6:$A$11,1))))),0))/(AE214*(AE214+5)/2)),(INDEX(Reference!$B$6:$B$11,MIN(5,MATCH(MAX(Reference!$A$6,MIN(Reference!$A$11,D214)),Reference!$A$6:$A$11,1)))+(MAX(Reference!$A$6,MIN(Reference!$A$11,D214))-INDEX(Reference!$A$6:$A$11,MIN(5,MATCH(MAX(Reference!$A$6,MIN(Reference!$A$11,D214)),Reference!$A$6:$A$11,1))))*(INDEX(Reference!$B$6:$B$11,MIN(5,MATCH(MAX(Reference!$A$6,MIN(Reference!$A$11,D214)),Reference!$A$6:$A$11,1))+1)-INDEX(Reference!$B$6:$B$11,MIN(5,MATCH(MAX(Reference!$A$6,MIN(Reference!$A$11,D214)),Reference!$A$6:$A$11,1))))/(INDEX(Reference!$A$6:$A$11,MIN(5,MATCH(MAX(Reference!$A$6,MIN(Reference!$A$11,D214)),Reference!$A$6:$A$11,1))+1)-INDEX(Reference!$A$6:$A$11,MIN(5,MATCH(MAX(Reference!$A$6,MIN(Reference!$A$11,D214)),Reference!$A$6:$A$11,1))))))))</f>
        <v/>
      </c>
      <c r="P214" s="32" t="str">
        <f>IF(N214="","",VLOOKUP(MAX(N214,0),Reference!$A$17:$B$20,2,TRUE()))</f>
        <v/>
      </c>
      <c r="Q214" s="32" t="str">
        <f t="shared" si="30"/>
        <v/>
      </c>
      <c r="R214" s="31"/>
      <c r="S214" s="31"/>
      <c r="T214" s="31"/>
      <c r="U214" s="32" t="str">
        <f t="shared" si="31"/>
        <v/>
      </c>
      <c r="V214" s="32" t="str">
        <f t="shared" si="32"/>
        <v/>
      </c>
      <c r="W214" s="32" t="str">
        <f>IF(V214="","",VLOOKUP(MAX(V214,0),Reference!$A$17:$B$20,2,TRUE()))</f>
        <v/>
      </c>
      <c r="X214" s="31"/>
      <c r="Y214" s="31"/>
      <c r="Z214" s="31"/>
      <c r="AA214" s="32" t="str">
        <f t="shared" si="33"/>
        <v/>
      </c>
      <c r="AB214" s="32" t="str">
        <f t="shared" si="34"/>
        <v/>
      </c>
      <c r="AC214" s="32" t="str">
        <f>IF(AB214="","",VLOOKUP(MAX(AB214,0),Reference!$A$17:$B$20,2,TRUE()))</f>
        <v/>
      </c>
      <c r="AD214" s="31"/>
      <c r="AE214">
        <f t="shared" si="35"/>
        <v>1</v>
      </c>
      <c r="AF214" s="33" t="str">
        <f>IF(OR(A214="",B214="",AND(C214&lt;&gt;"Bullpen",C214&lt;&gt;"Game")),"",IF((COUNTIFS($B$5:$B$300,B214,$A$5:$A$300,A214-1,$C$5:$C$300,"Bullpen",$AG$5:$AG$300,"&gt;0") + COUNTIFS($B$5:$B$300,B214,$A$5:$A$300,A214-1,$C$5:$C$300,"Game",$AG$5:$AG$300,"&gt;0"))&gt;0,Reference!$B$119,IF((COUNTIFS($B$5:$B$300,B214,$A$5:$A$300,A214-2,$C$5:$C$300,"Bullpen",$AG$5:$AG$300,"&gt;0") + COUNTIFS($B$5:$B$300,B214,$A$5:$A$300,A214-2,$C$5:$C$300,"Game",$AG$5:$AG$300,"&gt;0"))&gt;0,Reference!$B$120,1)))</f>
        <v/>
      </c>
      <c r="AG214" s="30" t="str">
        <f>IF(AND(OR(I214="",O214="",P214=""),OR(R214="",W214=""),OR(X214="",AC214="")),"",IF(OR(I214="",O214="",P214=""),0,I214*O214*P214)+IF(OR(R214="",W214=""),0,R214*IFERROR(INDEX(Reference!$B$61:$B$62,MATCH("Bullpen",Reference!$A$61:$A$62,0)),0)*W214)+IF(OR(X214="",AC214=""),0,X214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214))</f>
        <v/>
      </c>
    </row>
    <row r="215" spans="1:33" x14ac:dyDescent="0.3">
      <c r="A215" s="35"/>
      <c r="B215" s="31"/>
      <c r="C215" s="31"/>
      <c r="D215" s="31"/>
      <c r="E215" s="34"/>
      <c r="F215" s="34"/>
      <c r="G215" s="30" t="str">
        <f t="shared" si="27"/>
        <v/>
      </c>
      <c r="H215" s="31"/>
      <c r="I215" s="32" t="str">
        <f>IF(H215&lt;&gt;"",H215,IF(G215="","",ROUND(G215*IFERROR(INDEX(Reference!$B$44:$B$50,MATCH(C215,Reference!$A$44:$A$50,0)),0),0)))</f>
        <v/>
      </c>
      <c r="J215" s="31"/>
      <c r="K215" s="31"/>
      <c r="L215" s="32" t="str">
        <f t="shared" si="28"/>
        <v/>
      </c>
      <c r="M215" s="32" t="str">
        <f>IFERROR(INDEX(Roster!$D$5:$D$40,MATCH(B215,Roster!$A$5:$A$40,0)),"")</f>
        <v/>
      </c>
      <c r="N215" s="32" t="str">
        <f t="shared" si="29"/>
        <v/>
      </c>
      <c r="O215" s="32" t="str">
        <f>IF(OR(C215="Bullpen",C215="Game"),IFERROR(INDEX(Reference!$B$61:$B$62,MATCH(C215,Reference!$A$61:$A$62,0)),""),IF(D215="","",IF(AE215&gt;1,((IF(1&lt;=AE215,(AE215-1+3)*(INDEX(Reference!$B$6:$B$11,MIN(5,MATCH(MAX(Reference!$A$6,MIN(Reference!$A$11,MIN(D215,90))),Reference!$A$6:$A$11,1)))+(MAX(Reference!$A$6,MIN(Reference!$A$11,MIN(D215,90)))-INDEX(Reference!$A$6:$A$11,MIN(5,MATCH(MAX(Reference!$A$6,MIN(Reference!$A$11,MIN(D215,90))),Reference!$A$6:$A$11,1))))*(INDEX(Reference!$B$6:$B$11,MIN(5,MATCH(MAX(Reference!$A$6,MIN(Reference!$A$11,MIN(D215,90))),Reference!$A$6:$A$11,1))+1)-INDEX(Reference!$B$6:$B$11,MIN(5,MATCH(MAX(Reference!$A$6,MIN(Reference!$A$11,MIN(D215,90))),Reference!$A$6:$A$11,1))))/(INDEX(Reference!$A$6:$A$11,MIN(5,MATCH(MAX(Reference!$A$6,MIN(Reference!$A$11,MIN(D215,90))),Reference!$A$6:$A$11,1))+1)-INDEX(Reference!$A$6:$A$11,MIN(5,MATCH(MAX(Reference!$A$6,MIN(Reference!$A$11,MIN(D215,90))),Reference!$A$6:$A$11,1))))),0)+IF(2&lt;=AE215,(AE215-2+3)*(INDEX(Reference!$B$6:$B$11,MIN(5,MATCH(MAX(Reference!$A$6,MIN(Reference!$A$11,MIN(D215,120))),Reference!$A$6:$A$11,1)))+(MAX(Reference!$A$6,MIN(Reference!$A$11,MIN(D215,120)))-INDEX(Reference!$A$6:$A$11,MIN(5,MATCH(MAX(Reference!$A$6,MIN(Reference!$A$11,MIN(D215,120))),Reference!$A$6:$A$11,1))))*(INDEX(Reference!$B$6:$B$11,MIN(5,MATCH(MAX(Reference!$A$6,MIN(Reference!$A$11,MIN(D215,120))),Reference!$A$6:$A$11,1))+1)-INDEX(Reference!$B$6:$B$11,MIN(5,MATCH(MAX(Reference!$A$6,MIN(Reference!$A$11,MIN(D215,120))),Reference!$A$6:$A$11,1))))/(INDEX(Reference!$A$6:$A$11,MIN(5,MATCH(MAX(Reference!$A$6,MIN(Reference!$A$11,MIN(D215,120))),Reference!$A$6:$A$11,1))+1)-INDEX(Reference!$A$6:$A$11,MIN(5,MATCH(MAX(Reference!$A$6,MIN(Reference!$A$11,MIN(D215,120))),Reference!$A$6:$A$11,1))))),0)+IF(3&lt;=AE215,(AE215-3+3)*(INDEX(Reference!$B$6:$B$11,MIN(5,MATCH(MAX(Reference!$A$6,MIN(Reference!$A$11,MIN(D215,150))),Reference!$A$6:$A$11,1)))+(MAX(Reference!$A$6,MIN(Reference!$A$11,MIN(D215,150)))-INDEX(Reference!$A$6:$A$11,MIN(5,MATCH(MAX(Reference!$A$6,MIN(Reference!$A$11,MIN(D215,150))),Reference!$A$6:$A$11,1))))*(INDEX(Reference!$B$6:$B$11,MIN(5,MATCH(MAX(Reference!$A$6,MIN(Reference!$A$11,MIN(D215,150))),Reference!$A$6:$A$11,1))+1)-INDEX(Reference!$B$6:$B$11,MIN(5,MATCH(MAX(Reference!$A$6,MIN(Reference!$A$11,MIN(D215,150))),Reference!$A$6:$A$11,1))))/(INDEX(Reference!$A$6:$A$11,MIN(5,MATCH(MAX(Reference!$A$6,MIN(Reference!$A$11,MIN(D215,150))),Reference!$A$6:$A$11,1))+1)-INDEX(Reference!$A$6:$A$11,MIN(5,MATCH(MAX(Reference!$A$6,MIN(Reference!$A$11,MIN(D215,150))),Reference!$A$6:$A$11,1))))),0)+IF(4&lt;=AE215,(AE215-4+3)*(INDEX(Reference!$B$6:$B$11,MIN(5,MATCH(MAX(Reference!$A$6,MIN(Reference!$A$11,MIN(D215,180))),Reference!$A$6:$A$11,1)))+(MAX(Reference!$A$6,MIN(Reference!$A$11,MIN(D215,180)))-INDEX(Reference!$A$6:$A$11,MIN(5,MATCH(MAX(Reference!$A$6,MIN(Reference!$A$11,MIN(D215,180))),Reference!$A$6:$A$11,1))))*(INDEX(Reference!$B$6:$B$11,MIN(5,MATCH(MAX(Reference!$A$6,MIN(Reference!$A$11,MIN(D215,180))),Reference!$A$6:$A$11,1))+1)-INDEX(Reference!$B$6:$B$11,MIN(5,MATCH(MAX(Reference!$A$6,MIN(Reference!$A$11,MIN(D215,180))),Reference!$A$6:$A$11,1))))/(INDEX(Reference!$A$6:$A$11,MIN(5,MATCH(MAX(Reference!$A$6,MIN(Reference!$A$11,MIN(D215,180))),Reference!$A$6:$A$11,1))+1)-INDEX(Reference!$A$6:$A$11,MIN(5,MATCH(MAX(Reference!$A$6,MIN(Reference!$A$11,MIN(D215,180))),Reference!$A$6:$A$11,1))))),0)+IF(5&lt;=AE215,(AE215-5+3)*(INDEX(Reference!$B$6:$B$11,MIN(5,MATCH(MAX(Reference!$A$6,MIN(Reference!$A$11,MIN(D215,210))),Reference!$A$6:$A$11,1)))+(MAX(Reference!$A$6,MIN(Reference!$A$11,MIN(D215,210)))-INDEX(Reference!$A$6:$A$11,MIN(5,MATCH(MAX(Reference!$A$6,MIN(Reference!$A$11,MIN(D215,210))),Reference!$A$6:$A$11,1))))*(INDEX(Reference!$B$6:$B$11,MIN(5,MATCH(MAX(Reference!$A$6,MIN(Reference!$A$11,MIN(D215,210))),Reference!$A$6:$A$11,1))+1)-INDEX(Reference!$B$6:$B$11,MIN(5,MATCH(MAX(Reference!$A$6,MIN(Reference!$A$11,MIN(D215,210))),Reference!$A$6:$A$11,1))))/(INDEX(Reference!$A$6:$A$11,MIN(5,MATCH(MAX(Reference!$A$6,MIN(Reference!$A$11,MIN(D215,210))),Reference!$A$6:$A$11,1))+1)-INDEX(Reference!$A$6:$A$11,MIN(5,MATCH(MAX(Reference!$A$6,MIN(Reference!$A$11,MIN(D215,210))),Reference!$A$6:$A$11,1))))),0)+IF(6&lt;=AE215,(AE215-6+3)*(INDEX(Reference!$B$6:$B$11,MIN(5,MATCH(MAX(Reference!$A$6,MIN(Reference!$A$11,MIN(D215,240))),Reference!$A$6:$A$11,1)))+(MAX(Reference!$A$6,MIN(Reference!$A$11,MIN(D215,240)))-INDEX(Reference!$A$6:$A$11,MIN(5,MATCH(MAX(Reference!$A$6,MIN(Reference!$A$11,MIN(D215,240))),Reference!$A$6:$A$11,1))))*(INDEX(Reference!$B$6:$B$11,MIN(5,MATCH(MAX(Reference!$A$6,MIN(Reference!$A$11,MIN(D215,240))),Reference!$A$6:$A$11,1))+1)-INDEX(Reference!$B$6:$B$11,MIN(5,MATCH(MAX(Reference!$A$6,MIN(Reference!$A$11,MIN(D215,240))),Reference!$A$6:$A$11,1))))/(INDEX(Reference!$A$6:$A$11,MIN(5,MATCH(MAX(Reference!$A$6,MIN(Reference!$A$11,MIN(D215,240))),Reference!$A$6:$A$11,1))+1)-INDEX(Reference!$A$6:$A$11,MIN(5,MATCH(MAX(Reference!$A$6,MIN(Reference!$A$11,MIN(D215,240))),Reference!$A$6:$A$11,1))))),0)+IF(7&lt;=AE215,(AE215-7+3)*(INDEX(Reference!$B$6:$B$11,MIN(5,MATCH(MAX(Reference!$A$6,MIN(Reference!$A$11,MIN(D215,270))),Reference!$A$6:$A$11,1)))+(MAX(Reference!$A$6,MIN(Reference!$A$11,MIN(D215,270)))-INDEX(Reference!$A$6:$A$11,MIN(5,MATCH(MAX(Reference!$A$6,MIN(Reference!$A$11,MIN(D215,270))),Reference!$A$6:$A$11,1))))*(INDEX(Reference!$B$6:$B$11,MIN(5,MATCH(MAX(Reference!$A$6,MIN(Reference!$A$11,MIN(D215,270))),Reference!$A$6:$A$11,1))+1)-INDEX(Reference!$B$6:$B$11,MIN(5,MATCH(MAX(Reference!$A$6,MIN(Reference!$A$11,MIN(D215,270))),Reference!$A$6:$A$11,1))))/(INDEX(Reference!$A$6:$A$11,MIN(5,MATCH(MAX(Reference!$A$6,MIN(Reference!$A$11,MIN(D215,270))),Reference!$A$6:$A$11,1))+1)-INDEX(Reference!$A$6:$A$11,MIN(5,MATCH(MAX(Reference!$A$6,MIN(Reference!$A$11,MIN(D215,270))),Reference!$A$6:$A$11,1))))),0)+IF(8&lt;=AE215,(AE215-8+3)*(INDEX(Reference!$B$6:$B$11,MIN(5,MATCH(MAX(Reference!$A$6,MIN(Reference!$A$11,MIN(D215,300))),Reference!$A$6:$A$11,1)))+(MAX(Reference!$A$6,MIN(Reference!$A$11,MIN(D215,300)))-INDEX(Reference!$A$6:$A$11,MIN(5,MATCH(MAX(Reference!$A$6,MIN(Reference!$A$11,MIN(D215,300))),Reference!$A$6:$A$11,1))))*(INDEX(Reference!$B$6:$B$11,MIN(5,MATCH(MAX(Reference!$A$6,MIN(Reference!$A$11,MIN(D215,300))),Reference!$A$6:$A$11,1))+1)-INDEX(Reference!$B$6:$B$11,MIN(5,MATCH(MAX(Reference!$A$6,MIN(Reference!$A$11,MIN(D215,300))),Reference!$A$6:$A$11,1))))/(INDEX(Reference!$A$6:$A$11,MIN(5,MATCH(MAX(Reference!$A$6,MIN(Reference!$A$11,MIN(D215,300))),Reference!$A$6:$A$11,1))+1)-INDEX(Reference!$A$6:$A$11,MIN(5,MATCH(MAX(Reference!$A$6,MIN(Reference!$A$11,MIN(D215,300))),Reference!$A$6:$A$11,1))))),0))/(AE215*(AE215+5)/2)),(INDEX(Reference!$B$6:$B$11,MIN(5,MATCH(MAX(Reference!$A$6,MIN(Reference!$A$11,D215)),Reference!$A$6:$A$11,1)))+(MAX(Reference!$A$6,MIN(Reference!$A$11,D215))-INDEX(Reference!$A$6:$A$11,MIN(5,MATCH(MAX(Reference!$A$6,MIN(Reference!$A$11,D215)),Reference!$A$6:$A$11,1))))*(INDEX(Reference!$B$6:$B$11,MIN(5,MATCH(MAX(Reference!$A$6,MIN(Reference!$A$11,D215)),Reference!$A$6:$A$11,1))+1)-INDEX(Reference!$B$6:$B$11,MIN(5,MATCH(MAX(Reference!$A$6,MIN(Reference!$A$11,D215)),Reference!$A$6:$A$11,1))))/(INDEX(Reference!$A$6:$A$11,MIN(5,MATCH(MAX(Reference!$A$6,MIN(Reference!$A$11,D215)),Reference!$A$6:$A$11,1))+1)-INDEX(Reference!$A$6:$A$11,MIN(5,MATCH(MAX(Reference!$A$6,MIN(Reference!$A$11,D215)),Reference!$A$6:$A$11,1))))))))</f>
        <v/>
      </c>
      <c r="P215" s="32" t="str">
        <f>IF(N215="","",VLOOKUP(MAX(N215,0),Reference!$A$17:$B$20,2,TRUE()))</f>
        <v/>
      </c>
      <c r="Q215" s="32" t="str">
        <f t="shared" si="30"/>
        <v/>
      </c>
      <c r="R215" s="31"/>
      <c r="S215" s="31"/>
      <c r="T215" s="31"/>
      <c r="U215" s="32" t="str">
        <f t="shared" si="31"/>
        <v/>
      </c>
      <c r="V215" s="32" t="str">
        <f t="shared" si="32"/>
        <v/>
      </c>
      <c r="W215" s="32" t="str">
        <f>IF(V215="","",VLOOKUP(MAX(V215,0),Reference!$A$17:$B$20,2,TRUE()))</f>
        <v/>
      </c>
      <c r="X215" s="31"/>
      <c r="Y215" s="31"/>
      <c r="Z215" s="31"/>
      <c r="AA215" s="32" t="str">
        <f t="shared" si="33"/>
        <v/>
      </c>
      <c r="AB215" s="32" t="str">
        <f t="shared" si="34"/>
        <v/>
      </c>
      <c r="AC215" s="32" t="str">
        <f>IF(AB215="","",VLOOKUP(MAX(AB215,0),Reference!$A$17:$B$20,2,TRUE()))</f>
        <v/>
      </c>
      <c r="AD215" s="31"/>
      <c r="AE215">
        <f t="shared" si="35"/>
        <v>1</v>
      </c>
      <c r="AF215" s="33" t="str">
        <f>IF(OR(A215="",B215="",AND(C215&lt;&gt;"Bullpen",C215&lt;&gt;"Game")),"",IF((COUNTIFS($B$5:$B$300,B215,$A$5:$A$300,A215-1,$C$5:$C$300,"Bullpen",$AG$5:$AG$300,"&gt;0") + COUNTIFS($B$5:$B$300,B215,$A$5:$A$300,A215-1,$C$5:$C$300,"Game",$AG$5:$AG$300,"&gt;0"))&gt;0,Reference!$B$119,IF((COUNTIFS($B$5:$B$300,B215,$A$5:$A$300,A215-2,$C$5:$C$300,"Bullpen",$AG$5:$AG$300,"&gt;0") + COUNTIFS($B$5:$B$300,B215,$A$5:$A$300,A215-2,$C$5:$C$300,"Game",$AG$5:$AG$300,"&gt;0"))&gt;0,Reference!$B$120,1)))</f>
        <v/>
      </c>
      <c r="AG215" s="30" t="str">
        <f>IF(AND(OR(I215="",O215="",P215=""),OR(R215="",W215=""),OR(X215="",AC215="")),"",IF(OR(I215="",O215="",P215=""),0,I215*O215*P215)+IF(OR(R215="",W215=""),0,R215*IFERROR(INDEX(Reference!$B$61:$B$62,MATCH("Bullpen",Reference!$A$61:$A$62,0)),0)*W215)+IF(OR(X215="",AC215=""),0,X215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215))</f>
        <v/>
      </c>
    </row>
    <row r="216" spans="1:33" x14ac:dyDescent="0.3">
      <c r="A216" s="35"/>
      <c r="B216" s="31"/>
      <c r="C216" s="31"/>
      <c r="D216" s="31"/>
      <c r="E216" s="34"/>
      <c r="F216" s="34"/>
      <c r="G216" s="30" t="str">
        <f t="shared" si="27"/>
        <v/>
      </c>
      <c r="H216" s="31"/>
      <c r="I216" s="32" t="str">
        <f>IF(H216&lt;&gt;"",H216,IF(G216="","",ROUND(G216*IFERROR(INDEX(Reference!$B$44:$B$50,MATCH(C216,Reference!$A$44:$A$50,0)),0),0)))</f>
        <v/>
      </c>
      <c r="J216" s="31"/>
      <c r="K216" s="31"/>
      <c r="L216" s="32" t="str">
        <f t="shared" si="28"/>
        <v/>
      </c>
      <c r="M216" s="32" t="str">
        <f>IFERROR(INDEX(Roster!$D$5:$D$40,MATCH(B216,Roster!$A$5:$A$40,0)),"")</f>
        <v/>
      </c>
      <c r="N216" s="32" t="str">
        <f t="shared" si="29"/>
        <v/>
      </c>
      <c r="O216" s="32" t="str">
        <f>IF(OR(C216="Bullpen",C216="Game"),IFERROR(INDEX(Reference!$B$61:$B$62,MATCH(C216,Reference!$A$61:$A$62,0)),""),IF(D216="","",IF(AE216&gt;1,((IF(1&lt;=AE216,(AE216-1+3)*(INDEX(Reference!$B$6:$B$11,MIN(5,MATCH(MAX(Reference!$A$6,MIN(Reference!$A$11,MIN(D216,90))),Reference!$A$6:$A$11,1)))+(MAX(Reference!$A$6,MIN(Reference!$A$11,MIN(D216,90)))-INDEX(Reference!$A$6:$A$11,MIN(5,MATCH(MAX(Reference!$A$6,MIN(Reference!$A$11,MIN(D216,90))),Reference!$A$6:$A$11,1))))*(INDEX(Reference!$B$6:$B$11,MIN(5,MATCH(MAX(Reference!$A$6,MIN(Reference!$A$11,MIN(D216,90))),Reference!$A$6:$A$11,1))+1)-INDEX(Reference!$B$6:$B$11,MIN(5,MATCH(MAX(Reference!$A$6,MIN(Reference!$A$11,MIN(D216,90))),Reference!$A$6:$A$11,1))))/(INDEX(Reference!$A$6:$A$11,MIN(5,MATCH(MAX(Reference!$A$6,MIN(Reference!$A$11,MIN(D216,90))),Reference!$A$6:$A$11,1))+1)-INDEX(Reference!$A$6:$A$11,MIN(5,MATCH(MAX(Reference!$A$6,MIN(Reference!$A$11,MIN(D216,90))),Reference!$A$6:$A$11,1))))),0)+IF(2&lt;=AE216,(AE216-2+3)*(INDEX(Reference!$B$6:$B$11,MIN(5,MATCH(MAX(Reference!$A$6,MIN(Reference!$A$11,MIN(D216,120))),Reference!$A$6:$A$11,1)))+(MAX(Reference!$A$6,MIN(Reference!$A$11,MIN(D216,120)))-INDEX(Reference!$A$6:$A$11,MIN(5,MATCH(MAX(Reference!$A$6,MIN(Reference!$A$11,MIN(D216,120))),Reference!$A$6:$A$11,1))))*(INDEX(Reference!$B$6:$B$11,MIN(5,MATCH(MAX(Reference!$A$6,MIN(Reference!$A$11,MIN(D216,120))),Reference!$A$6:$A$11,1))+1)-INDEX(Reference!$B$6:$B$11,MIN(5,MATCH(MAX(Reference!$A$6,MIN(Reference!$A$11,MIN(D216,120))),Reference!$A$6:$A$11,1))))/(INDEX(Reference!$A$6:$A$11,MIN(5,MATCH(MAX(Reference!$A$6,MIN(Reference!$A$11,MIN(D216,120))),Reference!$A$6:$A$11,1))+1)-INDEX(Reference!$A$6:$A$11,MIN(5,MATCH(MAX(Reference!$A$6,MIN(Reference!$A$11,MIN(D216,120))),Reference!$A$6:$A$11,1))))),0)+IF(3&lt;=AE216,(AE216-3+3)*(INDEX(Reference!$B$6:$B$11,MIN(5,MATCH(MAX(Reference!$A$6,MIN(Reference!$A$11,MIN(D216,150))),Reference!$A$6:$A$11,1)))+(MAX(Reference!$A$6,MIN(Reference!$A$11,MIN(D216,150)))-INDEX(Reference!$A$6:$A$11,MIN(5,MATCH(MAX(Reference!$A$6,MIN(Reference!$A$11,MIN(D216,150))),Reference!$A$6:$A$11,1))))*(INDEX(Reference!$B$6:$B$11,MIN(5,MATCH(MAX(Reference!$A$6,MIN(Reference!$A$11,MIN(D216,150))),Reference!$A$6:$A$11,1))+1)-INDEX(Reference!$B$6:$B$11,MIN(5,MATCH(MAX(Reference!$A$6,MIN(Reference!$A$11,MIN(D216,150))),Reference!$A$6:$A$11,1))))/(INDEX(Reference!$A$6:$A$11,MIN(5,MATCH(MAX(Reference!$A$6,MIN(Reference!$A$11,MIN(D216,150))),Reference!$A$6:$A$11,1))+1)-INDEX(Reference!$A$6:$A$11,MIN(5,MATCH(MAX(Reference!$A$6,MIN(Reference!$A$11,MIN(D216,150))),Reference!$A$6:$A$11,1))))),0)+IF(4&lt;=AE216,(AE216-4+3)*(INDEX(Reference!$B$6:$B$11,MIN(5,MATCH(MAX(Reference!$A$6,MIN(Reference!$A$11,MIN(D216,180))),Reference!$A$6:$A$11,1)))+(MAX(Reference!$A$6,MIN(Reference!$A$11,MIN(D216,180)))-INDEX(Reference!$A$6:$A$11,MIN(5,MATCH(MAX(Reference!$A$6,MIN(Reference!$A$11,MIN(D216,180))),Reference!$A$6:$A$11,1))))*(INDEX(Reference!$B$6:$B$11,MIN(5,MATCH(MAX(Reference!$A$6,MIN(Reference!$A$11,MIN(D216,180))),Reference!$A$6:$A$11,1))+1)-INDEX(Reference!$B$6:$B$11,MIN(5,MATCH(MAX(Reference!$A$6,MIN(Reference!$A$11,MIN(D216,180))),Reference!$A$6:$A$11,1))))/(INDEX(Reference!$A$6:$A$11,MIN(5,MATCH(MAX(Reference!$A$6,MIN(Reference!$A$11,MIN(D216,180))),Reference!$A$6:$A$11,1))+1)-INDEX(Reference!$A$6:$A$11,MIN(5,MATCH(MAX(Reference!$A$6,MIN(Reference!$A$11,MIN(D216,180))),Reference!$A$6:$A$11,1))))),0)+IF(5&lt;=AE216,(AE216-5+3)*(INDEX(Reference!$B$6:$B$11,MIN(5,MATCH(MAX(Reference!$A$6,MIN(Reference!$A$11,MIN(D216,210))),Reference!$A$6:$A$11,1)))+(MAX(Reference!$A$6,MIN(Reference!$A$11,MIN(D216,210)))-INDEX(Reference!$A$6:$A$11,MIN(5,MATCH(MAX(Reference!$A$6,MIN(Reference!$A$11,MIN(D216,210))),Reference!$A$6:$A$11,1))))*(INDEX(Reference!$B$6:$B$11,MIN(5,MATCH(MAX(Reference!$A$6,MIN(Reference!$A$11,MIN(D216,210))),Reference!$A$6:$A$11,1))+1)-INDEX(Reference!$B$6:$B$11,MIN(5,MATCH(MAX(Reference!$A$6,MIN(Reference!$A$11,MIN(D216,210))),Reference!$A$6:$A$11,1))))/(INDEX(Reference!$A$6:$A$11,MIN(5,MATCH(MAX(Reference!$A$6,MIN(Reference!$A$11,MIN(D216,210))),Reference!$A$6:$A$11,1))+1)-INDEX(Reference!$A$6:$A$11,MIN(5,MATCH(MAX(Reference!$A$6,MIN(Reference!$A$11,MIN(D216,210))),Reference!$A$6:$A$11,1))))),0)+IF(6&lt;=AE216,(AE216-6+3)*(INDEX(Reference!$B$6:$B$11,MIN(5,MATCH(MAX(Reference!$A$6,MIN(Reference!$A$11,MIN(D216,240))),Reference!$A$6:$A$11,1)))+(MAX(Reference!$A$6,MIN(Reference!$A$11,MIN(D216,240)))-INDEX(Reference!$A$6:$A$11,MIN(5,MATCH(MAX(Reference!$A$6,MIN(Reference!$A$11,MIN(D216,240))),Reference!$A$6:$A$11,1))))*(INDEX(Reference!$B$6:$B$11,MIN(5,MATCH(MAX(Reference!$A$6,MIN(Reference!$A$11,MIN(D216,240))),Reference!$A$6:$A$11,1))+1)-INDEX(Reference!$B$6:$B$11,MIN(5,MATCH(MAX(Reference!$A$6,MIN(Reference!$A$11,MIN(D216,240))),Reference!$A$6:$A$11,1))))/(INDEX(Reference!$A$6:$A$11,MIN(5,MATCH(MAX(Reference!$A$6,MIN(Reference!$A$11,MIN(D216,240))),Reference!$A$6:$A$11,1))+1)-INDEX(Reference!$A$6:$A$11,MIN(5,MATCH(MAX(Reference!$A$6,MIN(Reference!$A$11,MIN(D216,240))),Reference!$A$6:$A$11,1))))),0)+IF(7&lt;=AE216,(AE216-7+3)*(INDEX(Reference!$B$6:$B$11,MIN(5,MATCH(MAX(Reference!$A$6,MIN(Reference!$A$11,MIN(D216,270))),Reference!$A$6:$A$11,1)))+(MAX(Reference!$A$6,MIN(Reference!$A$11,MIN(D216,270)))-INDEX(Reference!$A$6:$A$11,MIN(5,MATCH(MAX(Reference!$A$6,MIN(Reference!$A$11,MIN(D216,270))),Reference!$A$6:$A$11,1))))*(INDEX(Reference!$B$6:$B$11,MIN(5,MATCH(MAX(Reference!$A$6,MIN(Reference!$A$11,MIN(D216,270))),Reference!$A$6:$A$11,1))+1)-INDEX(Reference!$B$6:$B$11,MIN(5,MATCH(MAX(Reference!$A$6,MIN(Reference!$A$11,MIN(D216,270))),Reference!$A$6:$A$11,1))))/(INDEX(Reference!$A$6:$A$11,MIN(5,MATCH(MAX(Reference!$A$6,MIN(Reference!$A$11,MIN(D216,270))),Reference!$A$6:$A$11,1))+1)-INDEX(Reference!$A$6:$A$11,MIN(5,MATCH(MAX(Reference!$A$6,MIN(Reference!$A$11,MIN(D216,270))),Reference!$A$6:$A$11,1))))),0)+IF(8&lt;=AE216,(AE216-8+3)*(INDEX(Reference!$B$6:$B$11,MIN(5,MATCH(MAX(Reference!$A$6,MIN(Reference!$A$11,MIN(D216,300))),Reference!$A$6:$A$11,1)))+(MAX(Reference!$A$6,MIN(Reference!$A$11,MIN(D216,300)))-INDEX(Reference!$A$6:$A$11,MIN(5,MATCH(MAX(Reference!$A$6,MIN(Reference!$A$11,MIN(D216,300))),Reference!$A$6:$A$11,1))))*(INDEX(Reference!$B$6:$B$11,MIN(5,MATCH(MAX(Reference!$A$6,MIN(Reference!$A$11,MIN(D216,300))),Reference!$A$6:$A$11,1))+1)-INDEX(Reference!$B$6:$B$11,MIN(5,MATCH(MAX(Reference!$A$6,MIN(Reference!$A$11,MIN(D216,300))),Reference!$A$6:$A$11,1))))/(INDEX(Reference!$A$6:$A$11,MIN(5,MATCH(MAX(Reference!$A$6,MIN(Reference!$A$11,MIN(D216,300))),Reference!$A$6:$A$11,1))+1)-INDEX(Reference!$A$6:$A$11,MIN(5,MATCH(MAX(Reference!$A$6,MIN(Reference!$A$11,MIN(D216,300))),Reference!$A$6:$A$11,1))))),0))/(AE216*(AE216+5)/2)),(INDEX(Reference!$B$6:$B$11,MIN(5,MATCH(MAX(Reference!$A$6,MIN(Reference!$A$11,D216)),Reference!$A$6:$A$11,1)))+(MAX(Reference!$A$6,MIN(Reference!$A$11,D216))-INDEX(Reference!$A$6:$A$11,MIN(5,MATCH(MAX(Reference!$A$6,MIN(Reference!$A$11,D216)),Reference!$A$6:$A$11,1))))*(INDEX(Reference!$B$6:$B$11,MIN(5,MATCH(MAX(Reference!$A$6,MIN(Reference!$A$11,D216)),Reference!$A$6:$A$11,1))+1)-INDEX(Reference!$B$6:$B$11,MIN(5,MATCH(MAX(Reference!$A$6,MIN(Reference!$A$11,D216)),Reference!$A$6:$A$11,1))))/(INDEX(Reference!$A$6:$A$11,MIN(5,MATCH(MAX(Reference!$A$6,MIN(Reference!$A$11,D216)),Reference!$A$6:$A$11,1))+1)-INDEX(Reference!$A$6:$A$11,MIN(5,MATCH(MAX(Reference!$A$6,MIN(Reference!$A$11,D216)),Reference!$A$6:$A$11,1))))))))</f>
        <v/>
      </c>
      <c r="P216" s="32" t="str">
        <f>IF(N216="","",VLOOKUP(MAX(N216,0),Reference!$A$17:$B$20,2,TRUE()))</f>
        <v/>
      </c>
      <c r="Q216" s="32" t="str">
        <f t="shared" si="30"/>
        <v/>
      </c>
      <c r="R216" s="31"/>
      <c r="S216" s="31"/>
      <c r="T216" s="31"/>
      <c r="U216" s="32" t="str">
        <f t="shared" si="31"/>
        <v/>
      </c>
      <c r="V216" s="32" t="str">
        <f t="shared" si="32"/>
        <v/>
      </c>
      <c r="W216" s="32" t="str">
        <f>IF(V216="","",VLOOKUP(MAX(V216,0),Reference!$A$17:$B$20,2,TRUE()))</f>
        <v/>
      </c>
      <c r="X216" s="31"/>
      <c r="Y216" s="31"/>
      <c r="Z216" s="31"/>
      <c r="AA216" s="32" t="str">
        <f t="shared" si="33"/>
        <v/>
      </c>
      <c r="AB216" s="32" t="str">
        <f t="shared" si="34"/>
        <v/>
      </c>
      <c r="AC216" s="32" t="str">
        <f>IF(AB216="","",VLOOKUP(MAX(AB216,0),Reference!$A$17:$B$20,2,TRUE()))</f>
        <v/>
      </c>
      <c r="AD216" s="31"/>
      <c r="AE216">
        <f t="shared" si="35"/>
        <v>1</v>
      </c>
      <c r="AF216" s="33" t="str">
        <f>IF(OR(A216="",B216="",AND(C216&lt;&gt;"Bullpen",C216&lt;&gt;"Game")),"",IF((COUNTIFS($B$5:$B$300,B216,$A$5:$A$300,A216-1,$C$5:$C$300,"Bullpen",$AG$5:$AG$300,"&gt;0") + COUNTIFS($B$5:$B$300,B216,$A$5:$A$300,A216-1,$C$5:$C$300,"Game",$AG$5:$AG$300,"&gt;0"))&gt;0,Reference!$B$119,IF((COUNTIFS($B$5:$B$300,B216,$A$5:$A$300,A216-2,$C$5:$C$300,"Bullpen",$AG$5:$AG$300,"&gt;0") + COUNTIFS($B$5:$B$300,B216,$A$5:$A$300,A216-2,$C$5:$C$300,"Game",$AG$5:$AG$300,"&gt;0"))&gt;0,Reference!$B$120,1)))</f>
        <v/>
      </c>
      <c r="AG216" s="30" t="str">
        <f>IF(AND(OR(I216="",O216="",P216=""),OR(R216="",W216=""),OR(X216="",AC216="")),"",IF(OR(I216="",O216="",P216=""),0,I216*O216*P216)+IF(OR(R216="",W216=""),0,R216*IFERROR(INDEX(Reference!$B$61:$B$62,MATCH("Bullpen",Reference!$A$61:$A$62,0)),0)*W216)+IF(OR(X216="",AC216=""),0,X216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216))</f>
        <v/>
      </c>
    </row>
    <row r="217" spans="1:33" x14ac:dyDescent="0.3">
      <c r="A217" s="35"/>
      <c r="B217" s="31"/>
      <c r="C217" s="31"/>
      <c r="D217" s="31"/>
      <c r="E217" s="34"/>
      <c r="F217" s="34"/>
      <c r="G217" s="30" t="str">
        <f t="shared" si="27"/>
        <v/>
      </c>
      <c r="H217" s="31"/>
      <c r="I217" s="32" t="str">
        <f>IF(H217&lt;&gt;"",H217,IF(G217="","",ROUND(G217*IFERROR(INDEX(Reference!$B$44:$B$50,MATCH(C217,Reference!$A$44:$A$50,0)),0),0)))</f>
        <v/>
      </c>
      <c r="J217" s="31"/>
      <c r="K217" s="31"/>
      <c r="L217" s="32" t="str">
        <f t="shared" si="28"/>
        <v/>
      </c>
      <c r="M217" s="32" t="str">
        <f>IFERROR(INDEX(Roster!$D$5:$D$40,MATCH(B217,Roster!$A$5:$A$40,0)),"")</f>
        <v/>
      </c>
      <c r="N217" s="32" t="str">
        <f t="shared" si="29"/>
        <v/>
      </c>
      <c r="O217" s="32" t="str">
        <f>IF(OR(C217="Bullpen",C217="Game"),IFERROR(INDEX(Reference!$B$61:$B$62,MATCH(C217,Reference!$A$61:$A$62,0)),""),IF(D217="","",IF(AE217&gt;1,((IF(1&lt;=AE217,(AE217-1+3)*(INDEX(Reference!$B$6:$B$11,MIN(5,MATCH(MAX(Reference!$A$6,MIN(Reference!$A$11,MIN(D217,90))),Reference!$A$6:$A$11,1)))+(MAX(Reference!$A$6,MIN(Reference!$A$11,MIN(D217,90)))-INDEX(Reference!$A$6:$A$11,MIN(5,MATCH(MAX(Reference!$A$6,MIN(Reference!$A$11,MIN(D217,90))),Reference!$A$6:$A$11,1))))*(INDEX(Reference!$B$6:$B$11,MIN(5,MATCH(MAX(Reference!$A$6,MIN(Reference!$A$11,MIN(D217,90))),Reference!$A$6:$A$11,1))+1)-INDEX(Reference!$B$6:$B$11,MIN(5,MATCH(MAX(Reference!$A$6,MIN(Reference!$A$11,MIN(D217,90))),Reference!$A$6:$A$11,1))))/(INDEX(Reference!$A$6:$A$11,MIN(5,MATCH(MAX(Reference!$A$6,MIN(Reference!$A$11,MIN(D217,90))),Reference!$A$6:$A$11,1))+1)-INDEX(Reference!$A$6:$A$11,MIN(5,MATCH(MAX(Reference!$A$6,MIN(Reference!$A$11,MIN(D217,90))),Reference!$A$6:$A$11,1))))),0)+IF(2&lt;=AE217,(AE217-2+3)*(INDEX(Reference!$B$6:$B$11,MIN(5,MATCH(MAX(Reference!$A$6,MIN(Reference!$A$11,MIN(D217,120))),Reference!$A$6:$A$11,1)))+(MAX(Reference!$A$6,MIN(Reference!$A$11,MIN(D217,120)))-INDEX(Reference!$A$6:$A$11,MIN(5,MATCH(MAX(Reference!$A$6,MIN(Reference!$A$11,MIN(D217,120))),Reference!$A$6:$A$11,1))))*(INDEX(Reference!$B$6:$B$11,MIN(5,MATCH(MAX(Reference!$A$6,MIN(Reference!$A$11,MIN(D217,120))),Reference!$A$6:$A$11,1))+1)-INDEX(Reference!$B$6:$B$11,MIN(5,MATCH(MAX(Reference!$A$6,MIN(Reference!$A$11,MIN(D217,120))),Reference!$A$6:$A$11,1))))/(INDEX(Reference!$A$6:$A$11,MIN(5,MATCH(MAX(Reference!$A$6,MIN(Reference!$A$11,MIN(D217,120))),Reference!$A$6:$A$11,1))+1)-INDEX(Reference!$A$6:$A$11,MIN(5,MATCH(MAX(Reference!$A$6,MIN(Reference!$A$11,MIN(D217,120))),Reference!$A$6:$A$11,1))))),0)+IF(3&lt;=AE217,(AE217-3+3)*(INDEX(Reference!$B$6:$B$11,MIN(5,MATCH(MAX(Reference!$A$6,MIN(Reference!$A$11,MIN(D217,150))),Reference!$A$6:$A$11,1)))+(MAX(Reference!$A$6,MIN(Reference!$A$11,MIN(D217,150)))-INDEX(Reference!$A$6:$A$11,MIN(5,MATCH(MAX(Reference!$A$6,MIN(Reference!$A$11,MIN(D217,150))),Reference!$A$6:$A$11,1))))*(INDEX(Reference!$B$6:$B$11,MIN(5,MATCH(MAX(Reference!$A$6,MIN(Reference!$A$11,MIN(D217,150))),Reference!$A$6:$A$11,1))+1)-INDEX(Reference!$B$6:$B$11,MIN(5,MATCH(MAX(Reference!$A$6,MIN(Reference!$A$11,MIN(D217,150))),Reference!$A$6:$A$11,1))))/(INDEX(Reference!$A$6:$A$11,MIN(5,MATCH(MAX(Reference!$A$6,MIN(Reference!$A$11,MIN(D217,150))),Reference!$A$6:$A$11,1))+1)-INDEX(Reference!$A$6:$A$11,MIN(5,MATCH(MAX(Reference!$A$6,MIN(Reference!$A$11,MIN(D217,150))),Reference!$A$6:$A$11,1))))),0)+IF(4&lt;=AE217,(AE217-4+3)*(INDEX(Reference!$B$6:$B$11,MIN(5,MATCH(MAX(Reference!$A$6,MIN(Reference!$A$11,MIN(D217,180))),Reference!$A$6:$A$11,1)))+(MAX(Reference!$A$6,MIN(Reference!$A$11,MIN(D217,180)))-INDEX(Reference!$A$6:$A$11,MIN(5,MATCH(MAX(Reference!$A$6,MIN(Reference!$A$11,MIN(D217,180))),Reference!$A$6:$A$11,1))))*(INDEX(Reference!$B$6:$B$11,MIN(5,MATCH(MAX(Reference!$A$6,MIN(Reference!$A$11,MIN(D217,180))),Reference!$A$6:$A$11,1))+1)-INDEX(Reference!$B$6:$B$11,MIN(5,MATCH(MAX(Reference!$A$6,MIN(Reference!$A$11,MIN(D217,180))),Reference!$A$6:$A$11,1))))/(INDEX(Reference!$A$6:$A$11,MIN(5,MATCH(MAX(Reference!$A$6,MIN(Reference!$A$11,MIN(D217,180))),Reference!$A$6:$A$11,1))+1)-INDEX(Reference!$A$6:$A$11,MIN(5,MATCH(MAX(Reference!$A$6,MIN(Reference!$A$11,MIN(D217,180))),Reference!$A$6:$A$11,1))))),0)+IF(5&lt;=AE217,(AE217-5+3)*(INDEX(Reference!$B$6:$B$11,MIN(5,MATCH(MAX(Reference!$A$6,MIN(Reference!$A$11,MIN(D217,210))),Reference!$A$6:$A$11,1)))+(MAX(Reference!$A$6,MIN(Reference!$A$11,MIN(D217,210)))-INDEX(Reference!$A$6:$A$11,MIN(5,MATCH(MAX(Reference!$A$6,MIN(Reference!$A$11,MIN(D217,210))),Reference!$A$6:$A$11,1))))*(INDEX(Reference!$B$6:$B$11,MIN(5,MATCH(MAX(Reference!$A$6,MIN(Reference!$A$11,MIN(D217,210))),Reference!$A$6:$A$11,1))+1)-INDEX(Reference!$B$6:$B$11,MIN(5,MATCH(MAX(Reference!$A$6,MIN(Reference!$A$11,MIN(D217,210))),Reference!$A$6:$A$11,1))))/(INDEX(Reference!$A$6:$A$11,MIN(5,MATCH(MAX(Reference!$A$6,MIN(Reference!$A$11,MIN(D217,210))),Reference!$A$6:$A$11,1))+1)-INDEX(Reference!$A$6:$A$11,MIN(5,MATCH(MAX(Reference!$A$6,MIN(Reference!$A$11,MIN(D217,210))),Reference!$A$6:$A$11,1))))),0)+IF(6&lt;=AE217,(AE217-6+3)*(INDEX(Reference!$B$6:$B$11,MIN(5,MATCH(MAX(Reference!$A$6,MIN(Reference!$A$11,MIN(D217,240))),Reference!$A$6:$A$11,1)))+(MAX(Reference!$A$6,MIN(Reference!$A$11,MIN(D217,240)))-INDEX(Reference!$A$6:$A$11,MIN(5,MATCH(MAX(Reference!$A$6,MIN(Reference!$A$11,MIN(D217,240))),Reference!$A$6:$A$11,1))))*(INDEX(Reference!$B$6:$B$11,MIN(5,MATCH(MAX(Reference!$A$6,MIN(Reference!$A$11,MIN(D217,240))),Reference!$A$6:$A$11,1))+1)-INDEX(Reference!$B$6:$B$11,MIN(5,MATCH(MAX(Reference!$A$6,MIN(Reference!$A$11,MIN(D217,240))),Reference!$A$6:$A$11,1))))/(INDEX(Reference!$A$6:$A$11,MIN(5,MATCH(MAX(Reference!$A$6,MIN(Reference!$A$11,MIN(D217,240))),Reference!$A$6:$A$11,1))+1)-INDEX(Reference!$A$6:$A$11,MIN(5,MATCH(MAX(Reference!$A$6,MIN(Reference!$A$11,MIN(D217,240))),Reference!$A$6:$A$11,1))))),0)+IF(7&lt;=AE217,(AE217-7+3)*(INDEX(Reference!$B$6:$B$11,MIN(5,MATCH(MAX(Reference!$A$6,MIN(Reference!$A$11,MIN(D217,270))),Reference!$A$6:$A$11,1)))+(MAX(Reference!$A$6,MIN(Reference!$A$11,MIN(D217,270)))-INDEX(Reference!$A$6:$A$11,MIN(5,MATCH(MAX(Reference!$A$6,MIN(Reference!$A$11,MIN(D217,270))),Reference!$A$6:$A$11,1))))*(INDEX(Reference!$B$6:$B$11,MIN(5,MATCH(MAX(Reference!$A$6,MIN(Reference!$A$11,MIN(D217,270))),Reference!$A$6:$A$11,1))+1)-INDEX(Reference!$B$6:$B$11,MIN(5,MATCH(MAX(Reference!$A$6,MIN(Reference!$A$11,MIN(D217,270))),Reference!$A$6:$A$11,1))))/(INDEX(Reference!$A$6:$A$11,MIN(5,MATCH(MAX(Reference!$A$6,MIN(Reference!$A$11,MIN(D217,270))),Reference!$A$6:$A$11,1))+1)-INDEX(Reference!$A$6:$A$11,MIN(5,MATCH(MAX(Reference!$A$6,MIN(Reference!$A$11,MIN(D217,270))),Reference!$A$6:$A$11,1))))),0)+IF(8&lt;=AE217,(AE217-8+3)*(INDEX(Reference!$B$6:$B$11,MIN(5,MATCH(MAX(Reference!$A$6,MIN(Reference!$A$11,MIN(D217,300))),Reference!$A$6:$A$11,1)))+(MAX(Reference!$A$6,MIN(Reference!$A$11,MIN(D217,300)))-INDEX(Reference!$A$6:$A$11,MIN(5,MATCH(MAX(Reference!$A$6,MIN(Reference!$A$11,MIN(D217,300))),Reference!$A$6:$A$11,1))))*(INDEX(Reference!$B$6:$B$11,MIN(5,MATCH(MAX(Reference!$A$6,MIN(Reference!$A$11,MIN(D217,300))),Reference!$A$6:$A$11,1))+1)-INDEX(Reference!$B$6:$B$11,MIN(5,MATCH(MAX(Reference!$A$6,MIN(Reference!$A$11,MIN(D217,300))),Reference!$A$6:$A$11,1))))/(INDEX(Reference!$A$6:$A$11,MIN(5,MATCH(MAX(Reference!$A$6,MIN(Reference!$A$11,MIN(D217,300))),Reference!$A$6:$A$11,1))+1)-INDEX(Reference!$A$6:$A$11,MIN(5,MATCH(MAX(Reference!$A$6,MIN(Reference!$A$11,MIN(D217,300))),Reference!$A$6:$A$11,1))))),0))/(AE217*(AE217+5)/2)),(INDEX(Reference!$B$6:$B$11,MIN(5,MATCH(MAX(Reference!$A$6,MIN(Reference!$A$11,D217)),Reference!$A$6:$A$11,1)))+(MAX(Reference!$A$6,MIN(Reference!$A$11,D217))-INDEX(Reference!$A$6:$A$11,MIN(5,MATCH(MAX(Reference!$A$6,MIN(Reference!$A$11,D217)),Reference!$A$6:$A$11,1))))*(INDEX(Reference!$B$6:$B$11,MIN(5,MATCH(MAX(Reference!$A$6,MIN(Reference!$A$11,D217)),Reference!$A$6:$A$11,1))+1)-INDEX(Reference!$B$6:$B$11,MIN(5,MATCH(MAX(Reference!$A$6,MIN(Reference!$A$11,D217)),Reference!$A$6:$A$11,1))))/(INDEX(Reference!$A$6:$A$11,MIN(5,MATCH(MAX(Reference!$A$6,MIN(Reference!$A$11,D217)),Reference!$A$6:$A$11,1))+1)-INDEX(Reference!$A$6:$A$11,MIN(5,MATCH(MAX(Reference!$A$6,MIN(Reference!$A$11,D217)),Reference!$A$6:$A$11,1))))))))</f>
        <v/>
      </c>
      <c r="P217" s="32" t="str">
        <f>IF(N217="","",VLOOKUP(MAX(N217,0),Reference!$A$17:$B$20,2,TRUE()))</f>
        <v/>
      </c>
      <c r="Q217" s="32" t="str">
        <f t="shared" si="30"/>
        <v/>
      </c>
      <c r="R217" s="31"/>
      <c r="S217" s="31"/>
      <c r="T217" s="31"/>
      <c r="U217" s="32" t="str">
        <f t="shared" si="31"/>
        <v/>
      </c>
      <c r="V217" s="32" t="str">
        <f t="shared" si="32"/>
        <v/>
      </c>
      <c r="W217" s="32" t="str">
        <f>IF(V217="","",VLOOKUP(MAX(V217,0),Reference!$A$17:$B$20,2,TRUE()))</f>
        <v/>
      </c>
      <c r="X217" s="31"/>
      <c r="Y217" s="31"/>
      <c r="Z217" s="31"/>
      <c r="AA217" s="32" t="str">
        <f t="shared" si="33"/>
        <v/>
      </c>
      <c r="AB217" s="32" t="str">
        <f t="shared" si="34"/>
        <v/>
      </c>
      <c r="AC217" s="32" t="str">
        <f>IF(AB217="","",VLOOKUP(MAX(AB217,0),Reference!$A$17:$B$20,2,TRUE()))</f>
        <v/>
      </c>
      <c r="AD217" s="31"/>
      <c r="AE217">
        <f t="shared" si="35"/>
        <v>1</v>
      </c>
      <c r="AF217" s="33" t="str">
        <f>IF(OR(A217="",B217="",AND(C217&lt;&gt;"Bullpen",C217&lt;&gt;"Game")),"",IF((COUNTIFS($B$5:$B$300,B217,$A$5:$A$300,A217-1,$C$5:$C$300,"Bullpen",$AG$5:$AG$300,"&gt;0") + COUNTIFS($B$5:$B$300,B217,$A$5:$A$300,A217-1,$C$5:$C$300,"Game",$AG$5:$AG$300,"&gt;0"))&gt;0,Reference!$B$119,IF((COUNTIFS($B$5:$B$300,B217,$A$5:$A$300,A217-2,$C$5:$C$300,"Bullpen",$AG$5:$AG$300,"&gt;0") + COUNTIFS($B$5:$B$300,B217,$A$5:$A$300,A217-2,$C$5:$C$300,"Game",$AG$5:$AG$300,"&gt;0"))&gt;0,Reference!$B$120,1)))</f>
        <v/>
      </c>
      <c r="AG217" s="30" t="str">
        <f>IF(AND(OR(I217="",O217="",P217=""),OR(R217="",W217=""),OR(X217="",AC217="")),"",IF(OR(I217="",O217="",P217=""),0,I217*O217*P217)+IF(OR(R217="",W217=""),0,R217*IFERROR(INDEX(Reference!$B$61:$B$62,MATCH("Bullpen",Reference!$A$61:$A$62,0)),0)*W217)+IF(OR(X217="",AC217=""),0,X217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217))</f>
        <v/>
      </c>
    </row>
    <row r="218" spans="1:33" x14ac:dyDescent="0.3">
      <c r="A218" s="35"/>
      <c r="B218" s="31"/>
      <c r="C218" s="31"/>
      <c r="D218" s="31"/>
      <c r="E218" s="34"/>
      <c r="F218" s="34"/>
      <c r="G218" s="30" t="str">
        <f t="shared" si="27"/>
        <v/>
      </c>
      <c r="H218" s="31"/>
      <c r="I218" s="32" t="str">
        <f>IF(H218&lt;&gt;"",H218,IF(G218="","",ROUND(G218*IFERROR(INDEX(Reference!$B$44:$B$50,MATCH(C218,Reference!$A$44:$A$50,0)),0),0)))</f>
        <v/>
      </c>
      <c r="J218" s="31"/>
      <c r="K218" s="31"/>
      <c r="L218" s="32" t="str">
        <f t="shared" si="28"/>
        <v/>
      </c>
      <c r="M218" s="32" t="str">
        <f>IFERROR(INDEX(Roster!$D$5:$D$40,MATCH(B218,Roster!$A$5:$A$40,0)),"")</f>
        <v/>
      </c>
      <c r="N218" s="32" t="str">
        <f t="shared" si="29"/>
        <v/>
      </c>
      <c r="O218" s="32" t="str">
        <f>IF(OR(C218="Bullpen",C218="Game"),IFERROR(INDEX(Reference!$B$61:$B$62,MATCH(C218,Reference!$A$61:$A$62,0)),""),IF(D218="","",IF(AE218&gt;1,((IF(1&lt;=AE218,(AE218-1+3)*(INDEX(Reference!$B$6:$B$11,MIN(5,MATCH(MAX(Reference!$A$6,MIN(Reference!$A$11,MIN(D218,90))),Reference!$A$6:$A$11,1)))+(MAX(Reference!$A$6,MIN(Reference!$A$11,MIN(D218,90)))-INDEX(Reference!$A$6:$A$11,MIN(5,MATCH(MAX(Reference!$A$6,MIN(Reference!$A$11,MIN(D218,90))),Reference!$A$6:$A$11,1))))*(INDEX(Reference!$B$6:$B$11,MIN(5,MATCH(MAX(Reference!$A$6,MIN(Reference!$A$11,MIN(D218,90))),Reference!$A$6:$A$11,1))+1)-INDEX(Reference!$B$6:$B$11,MIN(5,MATCH(MAX(Reference!$A$6,MIN(Reference!$A$11,MIN(D218,90))),Reference!$A$6:$A$11,1))))/(INDEX(Reference!$A$6:$A$11,MIN(5,MATCH(MAX(Reference!$A$6,MIN(Reference!$A$11,MIN(D218,90))),Reference!$A$6:$A$11,1))+1)-INDEX(Reference!$A$6:$A$11,MIN(5,MATCH(MAX(Reference!$A$6,MIN(Reference!$A$11,MIN(D218,90))),Reference!$A$6:$A$11,1))))),0)+IF(2&lt;=AE218,(AE218-2+3)*(INDEX(Reference!$B$6:$B$11,MIN(5,MATCH(MAX(Reference!$A$6,MIN(Reference!$A$11,MIN(D218,120))),Reference!$A$6:$A$11,1)))+(MAX(Reference!$A$6,MIN(Reference!$A$11,MIN(D218,120)))-INDEX(Reference!$A$6:$A$11,MIN(5,MATCH(MAX(Reference!$A$6,MIN(Reference!$A$11,MIN(D218,120))),Reference!$A$6:$A$11,1))))*(INDEX(Reference!$B$6:$B$11,MIN(5,MATCH(MAX(Reference!$A$6,MIN(Reference!$A$11,MIN(D218,120))),Reference!$A$6:$A$11,1))+1)-INDEX(Reference!$B$6:$B$11,MIN(5,MATCH(MAX(Reference!$A$6,MIN(Reference!$A$11,MIN(D218,120))),Reference!$A$6:$A$11,1))))/(INDEX(Reference!$A$6:$A$11,MIN(5,MATCH(MAX(Reference!$A$6,MIN(Reference!$A$11,MIN(D218,120))),Reference!$A$6:$A$11,1))+1)-INDEX(Reference!$A$6:$A$11,MIN(5,MATCH(MAX(Reference!$A$6,MIN(Reference!$A$11,MIN(D218,120))),Reference!$A$6:$A$11,1))))),0)+IF(3&lt;=AE218,(AE218-3+3)*(INDEX(Reference!$B$6:$B$11,MIN(5,MATCH(MAX(Reference!$A$6,MIN(Reference!$A$11,MIN(D218,150))),Reference!$A$6:$A$11,1)))+(MAX(Reference!$A$6,MIN(Reference!$A$11,MIN(D218,150)))-INDEX(Reference!$A$6:$A$11,MIN(5,MATCH(MAX(Reference!$A$6,MIN(Reference!$A$11,MIN(D218,150))),Reference!$A$6:$A$11,1))))*(INDEX(Reference!$B$6:$B$11,MIN(5,MATCH(MAX(Reference!$A$6,MIN(Reference!$A$11,MIN(D218,150))),Reference!$A$6:$A$11,1))+1)-INDEX(Reference!$B$6:$B$11,MIN(5,MATCH(MAX(Reference!$A$6,MIN(Reference!$A$11,MIN(D218,150))),Reference!$A$6:$A$11,1))))/(INDEX(Reference!$A$6:$A$11,MIN(5,MATCH(MAX(Reference!$A$6,MIN(Reference!$A$11,MIN(D218,150))),Reference!$A$6:$A$11,1))+1)-INDEX(Reference!$A$6:$A$11,MIN(5,MATCH(MAX(Reference!$A$6,MIN(Reference!$A$11,MIN(D218,150))),Reference!$A$6:$A$11,1))))),0)+IF(4&lt;=AE218,(AE218-4+3)*(INDEX(Reference!$B$6:$B$11,MIN(5,MATCH(MAX(Reference!$A$6,MIN(Reference!$A$11,MIN(D218,180))),Reference!$A$6:$A$11,1)))+(MAX(Reference!$A$6,MIN(Reference!$A$11,MIN(D218,180)))-INDEX(Reference!$A$6:$A$11,MIN(5,MATCH(MAX(Reference!$A$6,MIN(Reference!$A$11,MIN(D218,180))),Reference!$A$6:$A$11,1))))*(INDEX(Reference!$B$6:$B$11,MIN(5,MATCH(MAX(Reference!$A$6,MIN(Reference!$A$11,MIN(D218,180))),Reference!$A$6:$A$11,1))+1)-INDEX(Reference!$B$6:$B$11,MIN(5,MATCH(MAX(Reference!$A$6,MIN(Reference!$A$11,MIN(D218,180))),Reference!$A$6:$A$11,1))))/(INDEX(Reference!$A$6:$A$11,MIN(5,MATCH(MAX(Reference!$A$6,MIN(Reference!$A$11,MIN(D218,180))),Reference!$A$6:$A$11,1))+1)-INDEX(Reference!$A$6:$A$11,MIN(5,MATCH(MAX(Reference!$A$6,MIN(Reference!$A$11,MIN(D218,180))),Reference!$A$6:$A$11,1))))),0)+IF(5&lt;=AE218,(AE218-5+3)*(INDEX(Reference!$B$6:$B$11,MIN(5,MATCH(MAX(Reference!$A$6,MIN(Reference!$A$11,MIN(D218,210))),Reference!$A$6:$A$11,1)))+(MAX(Reference!$A$6,MIN(Reference!$A$11,MIN(D218,210)))-INDEX(Reference!$A$6:$A$11,MIN(5,MATCH(MAX(Reference!$A$6,MIN(Reference!$A$11,MIN(D218,210))),Reference!$A$6:$A$11,1))))*(INDEX(Reference!$B$6:$B$11,MIN(5,MATCH(MAX(Reference!$A$6,MIN(Reference!$A$11,MIN(D218,210))),Reference!$A$6:$A$11,1))+1)-INDEX(Reference!$B$6:$B$11,MIN(5,MATCH(MAX(Reference!$A$6,MIN(Reference!$A$11,MIN(D218,210))),Reference!$A$6:$A$11,1))))/(INDEX(Reference!$A$6:$A$11,MIN(5,MATCH(MAX(Reference!$A$6,MIN(Reference!$A$11,MIN(D218,210))),Reference!$A$6:$A$11,1))+1)-INDEX(Reference!$A$6:$A$11,MIN(5,MATCH(MAX(Reference!$A$6,MIN(Reference!$A$11,MIN(D218,210))),Reference!$A$6:$A$11,1))))),0)+IF(6&lt;=AE218,(AE218-6+3)*(INDEX(Reference!$B$6:$B$11,MIN(5,MATCH(MAX(Reference!$A$6,MIN(Reference!$A$11,MIN(D218,240))),Reference!$A$6:$A$11,1)))+(MAX(Reference!$A$6,MIN(Reference!$A$11,MIN(D218,240)))-INDEX(Reference!$A$6:$A$11,MIN(5,MATCH(MAX(Reference!$A$6,MIN(Reference!$A$11,MIN(D218,240))),Reference!$A$6:$A$11,1))))*(INDEX(Reference!$B$6:$B$11,MIN(5,MATCH(MAX(Reference!$A$6,MIN(Reference!$A$11,MIN(D218,240))),Reference!$A$6:$A$11,1))+1)-INDEX(Reference!$B$6:$B$11,MIN(5,MATCH(MAX(Reference!$A$6,MIN(Reference!$A$11,MIN(D218,240))),Reference!$A$6:$A$11,1))))/(INDEX(Reference!$A$6:$A$11,MIN(5,MATCH(MAX(Reference!$A$6,MIN(Reference!$A$11,MIN(D218,240))),Reference!$A$6:$A$11,1))+1)-INDEX(Reference!$A$6:$A$11,MIN(5,MATCH(MAX(Reference!$A$6,MIN(Reference!$A$11,MIN(D218,240))),Reference!$A$6:$A$11,1))))),0)+IF(7&lt;=AE218,(AE218-7+3)*(INDEX(Reference!$B$6:$B$11,MIN(5,MATCH(MAX(Reference!$A$6,MIN(Reference!$A$11,MIN(D218,270))),Reference!$A$6:$A$11,1)))+(MAX(Reference!$A$6,MIN(Reference!$A$11,MIN(D218,270)))-INDEX(Reference!$A$6:$A$11,MIN(5,MATCH(MAX(Reference!$A$6,MIN(Reference!$A$11,MIN(D218,270))),Reference!$A$6:$A$11,1))))*(INDEX(Reference!$B$6:$B$11,MIN(5,MATCH(MAX(Reference!$A$6,MIN(Reference!$A$11,MIN(D218,270))),Reference!$A$6:$A$11,1))+1)-INDEX(Reference!$B$6:$B$11,MIN(5,MATCH(MAX(Reference!$A$6,MIN(Reference!$A$11,MIN(D218,270))),Reference!$A$6:$A$11,1))))/(INDEX(Reference!$A$6:$A$11,MIN(5,MATCH(MAX(Reference!$A$6,MIN(Reference!$A$11,MIN(D218,270))),Reference!$A$6:$A$11,1))+1)-INDEX(Reference!$A$6:$A$11,MIN(5,MATCH(MAX(Reference!$A$6,MIN(Reference!$A$11,MIN(D218,270))),Reference!$A$6:$A$11,1))))),0)+IF(8&lt;=AE218,(AE218-8+3)*(INDEX(Reference!$B$6:$B$11,MIN(5,MATCH(MAX(Reference!$A$6,MIN(Reference!$A$11,MIN(D218,300))),Reference!$A$6:$A$11,1)))+(MAX(Reference!$A$6,MIN(Reference!$A$11,MIN(D218,300)))-INDEX(Reference!$A$6:$A$11,MIN(5,MATCH(MAX(Reference!$A$6,MIN(Reference!$A$11,MIN(D218,300))),Reference!$A$6:$A$11,1))))*(INDEX(Reference!$B$6:$B$11,MIN(5,MATCH(MAX(Reference!$A$6,MIN(Reference!$A$11,MIN(D218,300))),Reference!$A$6:$A$11,1))+1)-INDEX(Reference!$B$6:$B$11,MIN(5,MATCH(MAX(Reference!$A$6,MIN(Reference!$A$11,MIN(D218,300))),Reference!$A$6:$A$11,1))))/(INDEX(Reference!$A$6:$A$11,MIN(5,MATCH(MAX(Reference!$A$6,MIN(Reference!$A$11,MIN(D218,300))),Reference!$A$6:$A$11,1))+1)-INDEX(Reference!$A$6:$A$11,MIN(5,MATCH(MAX(Reference!$A$6,MIN(Reference!$A$11,MIN(D218,300))),Reference!$A$6:$A$11,1))))),0))/(AE218*(AE218+5)/2)),(INDEX(Reference!$B$6:$B$11,MIN(5,MATCH(MAX(Reference!$A$6,MIN(Reference!$A$11,D218)),Reference!$A$6:$A$11,1)))+(MAX(Reference!$A$6,MIN(Reference!$A$11,D218))-INDEX(Reference!$A$6:$A$11,MIN(5,MATCH(MAX(Reference!$A$6,MIN(Reference!$A$11,D218)),Reference!$A$6:$A$11,1))))*(INDEX(Reference!$B$6:$B$11,MIN(5,MATCH(MAX(Reference!$A$6,MIN(Reference!$A$11,D218)),Reference!$A$6:$A$11,1))+1)-INDEX(Reference!$B$6:$B$11,MIN(5,MATCH(MAX(Reference!$A$6,MIN(Reference!$A$11,D218)),Reference!$A$6:$A$11,1))))/(INDEX(Reference!$A$6:$A$11,MIN(5,MATCH(MAX(Reference!$A$6,MIN(Reference!$A$11,D218)),Reference!$A$6:$A$11,1))+1)-INDEX(Reference!$A$6:$A$11,MIN(5,MATCH(MAX(Reference!$A$6,MIN(Reference!$A$11,D218)),Reference!$A$6:$A$11,1))))))))</f>
        <v/>
      </c>
      <c r="P218" s="32" t="str">
        <f>IF(N218="","",VLOOKUP(MAX(N218,0),Reference!$A$17:$B$20,2,TRUE()))</f>
        <v/>
      </c>
      <c r="Q218" s="32" t="str">
        <f t="shared" si="30"/>
        <v/>
      </c>
      <c r="R218" s="31"/>
      <c r="S218" s="31"/>
      <c r="T218" s="31"/>
      <c r="U218" s="32" t="str">
        <f t="shared" si="31"/>
        <v/>
      </c>
      <c r="V218" s="32" t="str">
        <f t="shared" si="32"/>
        <v/>
      </c>
      <c r="W218" s="32" t="str">
        <f>IF(V218="","",VLOOKUP(MAX(V218,0),Reference!$A$17:$B$20,2,TRUE()))</f>
        <v/>
      </c>
      <c r="X218" s="31"/>
      <c r="Y218" s="31"/>
      <c r="Z218" s="31"/>
      <c r="AA218" s="32" t="str">
        <f t="shared" si="33"/>
        <v/>
      </c>
      <c r="AB218" s="32" t="str">
        <f t="shared" si="34"/>
        <v/>
      </c>
      <c r="AC218" s="32" t="str">
        <f>IF(AB218="","",VLOOKUP(MAX(AB218,0),Reference!$A$17:$B$20,2,TRUE()))</f>
        <v/>
      </c>
      <c r="AD218" s="31"/>
      <c r="AE218">
        <f t="shared" si="35"/>
        <v>1</v>
      </c>
      <c r="AF218" s="33" t="str">
        <f>IF(OR(A218="",B218="",AND(C218&lt;&gt;"Bullpen",C218&lt;&gt;"Game")),"",IF((COUNTIFS($B$5:$B$300,B218,$A$5:$A$300,A218-1,$C$5:$C$300,"Bullpen",$AG$5:$AG$300,"&gt;0") + COUNTIFS($B$5:$B$300,B218,$A$5:$A$300,A218-1,$C$5:$C$300,"Game",$AG$5:$AG$300,"&gt;0"))&gt;0,Reference!$B$119,IF((COUNTIFS($B$5:$B$300,B218,$A$5:$A$300,A218-2,$C$5:$C$300,"Bullpen",$AG$5:$AG$300,"&gt;0") + COUNTIFS($B$5:$B$300,B218,$A$5:$A$300,A218-2,$C$5:$C$300,"Game",$AG$5:$AG$300,"&gt;0"))&gt;0,Reference!$B$120,1)))</f>
        <v/>
      </c>
      <c r="AG218" s="30" t="str">
        <f>IF(AND(OR(I218="",O218="",P218=""),OR(R218="",W218=""),OR(X218="",AC218="")),"",IF(OR(I218="",O218="",P218=""),0,I218*O218*P218)+IF(OR(R218="",W218=""),0,R218*IFERROR(INDEX(Reference!$B$61:$B$62,MATCH("Bullpen",Reference!$A$61:$A$62,0)),0)*W218)+IF(OR(X218="",AC218=""),0,X218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218))</f>
        <v/>
      </c>
    </row>
    <row r="219" spans="1:33" x14ac:dyDescent="0.3">
      <c r="A219" s="35"/>
      <c r="B219" s="31"/>
      <c r="C219" s="31"/>
      <c r="D219" s="31"/>
      <c r="E219" s="34"/>
      <c r="F219" s="34"/>
      <c r="G219" s="30" t="str">
        <f t="shared" si="27"/>
        <v/>
      </c>
      <c r="H219" s="31"/>
      <c r="I219" s="32" t="str">
        <f>IF(H219&lt;&gt;"",H219,IF(G219="","",ROUND(G219*IFERROR(INDEX(Reference!$B$44:$B$50,MATCH(C219,Reference!$A$44:$A$50,0)),0),0)))</f>
        <v/>
      </c>
      <c r="J219" s="31"/>
      <c r="K219" s="31"/>
      <c r="L219" s="32" t="str">
        <f t="shared" si="28"/>
        <v/>
      </c>
      <c r="M219" s="32" t="str">
        <f>IFERROR(INDEX(Roster!$D$5:$D$40,MATCH(B219,Roster!$A$5:$A$40,0)),"")</f>
        <v/>
      </c>
      <c r="N219" s="32" t="str">
        <f t="shared" si="29"/>
        <v/>
      </c>
      <c r="O219" s="32" t="str">
        <f>IF(OR(C219="Bullpen",C219="Game"),IFERROR(INDEX(Reference!$B$61:$B$62,MATCH(C219,Reference!$A$61:$A$62,0)),""),IF(D219="","",IF(AE219&gt;1,((IF(1&lt;=AE219,(AE219-1+3)*(INDEX(Reference!$B$6:$B$11,MIN(5,MATCH(MAX(Reference!$A$6,MIN(Reference!$A$11,MIN(D219,90))),Reference!$A$6:$A$11,1)))+(MAX(Reference!$A$6,MIN(Reference!$A$11,MIN(D219,90)))-INDEX(Reference!$A$6:$A$11,MIN(5,MATCH(MAX(Reference!$A$6,MIN(Reference!$A$11,MIN(D219,90))),Reference!$A$6:$A$11,1))))*(INDEX(Reference!$B$6:$B$11,MIN(5,MATCH(MAX(Reference!$A$6,MIN(Reference!$A$11,MIN(D219,90))),Reference!$A$6:$A$11,1))+1)-INDEX(Reference!$B$6:$B$11,MIN(5,MATCH(MAX(Reference!$A$6,MIN(Reference!$A$11,MIN(D219,90))),Reference!$A$6:$A$11,1))))/(INDEX(Reference!$A$6:$A$11,MIN(5,MATCH(MAX(Reference!$A$6,MIN(Reference!$A$11,MIN(D219,90))),Reference!$A$6:$A$11,1))+1)-INDEX(Reference!$A$6:$A$11,MIN(5,MATCH(MAX(Reference!$A$6,MIN(Reference!$A$11,MIN(D219,90))),Reference!$A$6:$A$11,1))))),0)+IF(2&lt;=AE219,(AE219-2+3)*(INDEX(Reference!$B$6:$B$11,MIN(5,MATCH(MAX(Reference!$A$6,MIN(Reference!$A$11,MIN(D219,120))),Reference!$A$6:$A$11,1)))+(MAX(Reference!$A$6,MIN(Reference!$A$11,MIN(D219,120)))-INDEX(Reference!$A$6:$A$11,MIN(5,MATCH(MAX(Reference!$A$6,MIN(Reference!$A$11,MIN(D219,120))),Reference!$A$6:$A$11,1))))*(INDEX(Reference!$B$6:$B$11,MIN(5,MATCH(MAX(Reference!$A$6,MIN(Reference!$A$11,MIN(D219,120))),Reference!$A$6:$A$11,1))+1)-INDEX(Reference!$B$6:$B$11,MIN(5,MATCH(MAX(Reference!$A$6,MIN(Reference!$A$11,MIN(D219,120))),Reference!$A$6:$A$11,1))))/(INDEX(Reference!$A$6:$A$11,MIN(5,MATCH(MAX(Reference!$A$6,MIN(Reference!$A$11,MIN(D219,120))),Reference!$A$6:$A$11,1))+1)-INDEX(Reference!$A$6:$A$11,MIN(5,MATCH(MAX(Reference!$A$6,MIN(Reference!$A$11,MIN(D219,120))),Reference!$A$6:$A$11,1))))),0)+IF(3&lt;=AE219,(AE219-3+3)*(INDEX(Reference!$B$6:$B$11,MIN(5,MATCH(MAX(Reference!$A$6,MIN(Reference!$A$11,MIN(D219,150))),Reference!$A$6:$A$11,1)))+(MAX(Reference!$A$6,MIN(Reference!$A$11,MIN(D219,150)))-INDEX(Reference!$A$6:$A$11,MIN(5,MATCH(MAX(Reference!$A$6,MIN(Reference!$A$11,MIN(D219,150))),Reference!$A$6:$A$11,1))))*(INDEX(Reference!$B$6:$B$11,MIN(5,MATCH(MAX(Reference!$A$6,MIN(Reference!$A$11,MIN(D219,150))),Reference!$A$6:$A$11,1))+1)-INDEX(Reference!$B$6:$B$11,MIN(5,MATCH(MAX(Reference!$A$6,MIN(Reference!$A$11,MIN(D219,150))),Reference!$A$6:$A$11,1))))/(INDEX(Reference!$A$6:$A$11,MIN(5,MATCH(MAX(Reference!$A$6,MIN(Reference!$A$11,MIN(D219,150))),Reference!$A$6:$A$11,1))+1)-INDEX(Reference!$A$6:$A$11,MIN(5,MATCH(MAX(Reference!$A$6,MIN(Reference!$A$11,MIN(D219,150))),Reference!$A$6:$A$11,1))))),0)+IF(4&lt;=AE219,(AE219-4+3)*(INDEX(Reference!$B$6:$B$11,MIN(5,MATCH(MAX(Reference!$A$6,MIN(Reference!$A$11,MIN(D219,180))),Reference!$A$6:$A$11,1)))+(MAX(Reference!$A$6,MIN(Reference!$A$11,MIN(D219,180)))-INDEX(Reference!$A$6:$A$11,MIN(5,MATCH(MAX(Reference!$A$6,MIN(Reference!$A$11,MIN(D219,180))),Reference!$A$6:$A$11,1))))*(INDEX(Reference!$B$6:$B$11,MIN(5,MATCH(MAX(Reference!$A$6,MIN(Reference!$A$11,MIN(D219,180))),Reference!$A$6:$A$11,1))+1)-INDEX(Reference!$B$6:$B$11,MIN(5,MATCH(MAX(Reference!$A$6,MIN(Reference!$A$11,MIN(D219,180))),Reference!$A$6:$A$11,1))))/(INDEX(Reference!$A$6:$A$11,MIN(5,MATCH(MAX(Reference!$A$6,MIN(Reference!$A$11,MIN(D219,180))),Reference!$A$6:$A$11,1))+1)-INDEX(Reference!$A$6:$A$11,MIN(5,MATCH(MAX(Reference!$A$6,MIN(Reference!$A$11,MIN(D219,180))),Reference!$A$6:$A$11,1))))),0)+IF(5&lt;=AE219,(AE219-5+3)*(INDEX(Reference!$B$6:$B$11,MIN(5,MATCH(MAX(Reference!$A$6,MIN(Reference!$A$11,MIN(D219,210))),Reference!$A$6:$A$11,1)))+(MAX(Reference!$A$6,MIN(Reference!$A$11,MIN(D219,210)))-INDEX(Reference!$A$6:$A$11,MIN(5,MATCH(MAX(Reference!$A$6,MIN(Reference!$A$11,MIN(D219,210))),Reference!$A$6:$A$11,1))))*(INDEX(Reference!$B$6:$B$11,MIN(5,MATCH(MAX(Reference!$A$6,MIN(Reference!$A$11,MIN(D219,210))),Reference!$A$6:$A$11,1))+1)-INDEX(Reference!$B$6:$B$11,MIN(5,MATCH(MAX(Reference!$A$6,MIN(Reference!$A$11,MIN(D219,210))),Reference!$A$6:$A$11,1))))/(INDEX(Reference!$A$6:$A$11,MIN(5,MATCH(MAX(Reference!$A$6,MIN(Reference!$A$11,MIN(D219,210))),Reference!$A$6:$A$11,1))+1)-INDEX(Reference!$A$6:$A$11,MIN(5,MATCH(MAX(Reference!$A$6,MIN(Reference!$A$11,MIN(D219,210))),Reference!$A$6:$A$11,1))))),0)+IF(6&lt;=AE219,(AE219-6+3)*(INDEX(Reference!$B$6:$B$11,MIN(5,MATCH(MAX(Reference!$A$6,MIN(Reference!$A$11,MIN(D219,240))),Reference!$A$6:$A$11,1)))+(MAX(Reference!$A$6,MIN(Reference!$A$11,MIN(D219,240)))-INDEX(Reference!$A$6:$A$11,MIN(5,MATCH(MAX(Reference!$A$6,MIN(Reference!$A$11,MIN(D219,240))),Reference!$A$6:$A$11,1))))*(INDEX(Reference!$B$6:$B$11,MIN(5,MATCH(MAX(Reference!$A$6,MIN(Reference!$A$11,MIN(D219,240))),Reference!$A$6:$A$11,1))+1)-INDEX(Reference!$B$6:$B$11,MIN(5,MATCH(MAX(Reference!$A$6,MIN(Reference!$A$11,MIN(D219,240))),Reference!$A$6:$A$11,1))))/(INDEX(Reference!$A$6:$A$11,MIN(5,MATCH(MAX(Reference!$A$6,MIN(Reference!$A$11,MIN(D219,240))),Reference!$A$6:$A$11,1))+1)-INDEX(Reference!$A$6:$A$11,MIN(5,MATCH(MAX(Reference!$A$6,MIN(Reference!$A$11,MIN(D219,240))),Reference!$A$6:$A$11,1))))),0)+IF(7&lt;=AE219,(AE219-7+3)*(INDEX(Reference!$B$6:$B$11,MIN(5,MATCH(MAX(Reference!$A$6,MIN(Reference!$A$11,MIN(D219,270))),Reference!$A$6:$A$11,1)))+(MAX(Reference!$A$6,MIN(Reference!$A$11,MIN(D219,270)))-INDEX(Reference!$A$6:$A$11,MIN(5,MATCH(MAX(Reference!$A$6,MIN(Reference!$A$11,MIN(D219,270))),Reference!$A$6:$A$11,1))))*(INDEX(Reference!$B$6:$B$11,MIN(5,MATCH(MAX(Reference!$A$6,MIN(Reference!$A$11,MIN(D219,270))),Reference!$A$6:$A$11,1))+1)-INDEX(Reference!$B$6:$B$11,MIN(5,MATCH(MAX(Reference!$A$6,MIN(Reference!$A$11,MIN(D219,270))),Reference!$A$6:$A$11,1))))/(INDEX(Reference!$A$6:$A$11,MIN(5,MATCH(MAX(Reference!$A$6,MIN(Reference!$A$11,MIN(D219,270))),Reference!$A$6:$A$11,1))+1)-INDEX(Reference!$A$6:$A$11,MIN(5,MATCH(MAX(Reference!$A$6,MIN(Reference!$A$11,MIN(D219,270))),Reference!$A$6:$A$11,1))))),0)+IF(8&lt;=AE219,(AE219-8+3)*(INDEX(Reference!$B$6:$B$11,MIN(5,MATCH(MAX(Reference!$A$6,MIN(Reference!$A$11,MIN(D219,300))),Reference!$A$6:$A$11,1)))+(MAX(Reference!$A$6,MIN(Reference!$A$11,MIN(D219,300)))-INDEX(Reference!$A$6:$A$11,MIN(5,MATCH(MAX(Reference!$A$6,MIN(Reference!$A$11,MIN(D219,300))),Reference!$A$6:$A$11,1))))*(INDEX(Reference!$B$6:$B$11,MIN(5,MATCH(MAX(Reference!$A$6,MIN(Reference!$A$11,MIN(D219,300))),Reference!$A$6:$A$11,1))+1)-INDEX(Reference!$B$6:$B$11,MIN(5,MATCH(MAX(Reference!$A$6,MIN(Reference!$A$11,MIN(D219,300))),Reference!$A$6:$A$11,1))))/(INDEX(Reference!$A$6:$A$11,MIN(5,MATCH(MAX(Reference!$A$6,MIN(Reference!$A$11,MIN(D219,300))),Reference!$A$6:$A$11,1))+1)-INDEX(Reference!$A$6:$A$11,MIN(5,MATCH(MAX(Reference!$A$6,MIN(Reference!$A$11,MIN(D219,300))),Reference!$A$6:$A$11,1))))),0))/(AE219*(AE219+5)/2)),(INDEX(Reference!$B$6:$B$11,MIN(5,MATCH(MAX(Reference!$A$6,MIN(Reference!$A$11,D219)),Reference!$A$6:$A$11,1)))+(MAX(Reference!$A$6,MIN(Reference!$A$11,D219))-INDEX(Reference!$A$6:$A$11,MIN(5,MATCH(MAX(Reference!$A$6,MIN(Reference!$A$11,D219)),Reference!$A$6:$A$11,1))))*(INDEX(Reference!$B$6:$B$11,MIN(5,MATCH(MAX(Reference!$A$6,MIN(Reference!$A$11,D219)),Reference!$A$6:$A$11,1))+1)-INDEX(Reference!$B$6:$B$11,MIN(5,MATCH(MAX(Reference!$A$6,MIN(Reference!$A$11,D219)),Reference!$A$6:$A$11,1))))/(INDEX(Reference!$A$6:$A$11,MIN(5,MATCH(MAX(Reference!$A$6,MIN(Reference!$A$11,D219)),Reference!$A$6:$A$11,1))+1)-INDEX(Reference!$A$6:$A$11,MIN(5,MATCH(MAX(Reference!$A$6,MIN(Reference!$A$11,D219)),Reference!$A$6:$A$11,1))))))))</f>
        <v/>
      </c>
      <c r="P219" s="32" t="str">
        <f>IF(N219="","",VLOOKUP(MAX(N219,0),Reference!$A$17:$B$20,2,TRUE()))</f>
        <v/>
      </c>
      <c r="Q219" s="32" t="str">
        <f t="shared" si="30"/>
        <v/>
      </c>
      <c r="R219" s="31"/>
      <c r="S219" s="31"/>
      <c r="T219" s="31"/>
      <c r="U219" s="32" t="str">
        <f t="shared" si="31"/>
        <v/>
      </c>
      <c r="V219" s="32" t="str">
        <f t="shared" si="32"/>
        <v/>
      </c>
      <c r="W219" s="32" t="str">
        <f>IF(V219="","",VLOOKUP(MAX(V219,0),Reference!$A$17:$B$20,2,TRUE()))</f>
        <v/>
      </c>
      <c r="X219" s="31"/>
      <c r="Y219" s="31"/>
      <c r="Z219" s="31"/>
      <c r="AA219" s="32" t="str">
        <f t="shared" si="33"/>
        <v/>
      </c>
      <c r="AB219" s="32" t="str">
        <f t="shared" si="34"/>
        <v/>
      </c>
      <c r="AC219" s="32" t="str">
        <f>IF(AB219="","",VLOOKUP(MAX(AB219,0),Reference!$A$17:$B$20,2,TRUE()))</f>
        <v/>
      </c>
      <c r="AD219" s="31"/>
      <c r="AE219">
        <f t="shared" si="35"/>
        <v>1</v>
      </c>
      <c r="AF219" s="33" t="str">
        <f>IF(OR(A219="",B219="",AND(C219&lt;&gt;"Bullpen",C219&lt;&gt;"Game")),"",IF((COUNTIFS($B$5:$B$300,B219,$A$5:$A$300,A219-1,$C$5:$C$300,"Bullpen",$AG$5:$AG$300,"&gt;0") + COUNTIFS($B$5:$B$300,B219,$A$5:$A$300,A219-1,$C$5:$C$300,"Game",$AG$5:$AG$300,"&gt;0"))&gt;0,Reference!$B$119,IF((COUNTIFS($B$5:$B$300,B219,$A$5:$A$300,A219-2,$C$5:$C$300,"Bullpen",$AG$5:$AG$300,"&gt;0") + COUNTIFS($B$5:$B$300,B219,$A$5:$A$300,A219-2,$C$5:$C$300,"Game",$AG$5:$AG$300,"&gt;0"))&gt;0,Reference!$B$120,1)))</f>
        <v/>
      </c>
      <c r="AG219" s="30" t="str">
        <f>IF(AND(OR(I219="",O219="",P219=""),OR(R219="",W219=""),OR(X219="",AC219="")),"",IF(OR(I219="",O219="",P219=""),0,I219*O219*P219)+IF(OR(R219="",W219=""),0,R219*IFERROR(INDEX(Reference!$B$61:$B$62,MATCH("Bullpen",Reference!$A$61:$A$62,0)),0)*W219)+IF(OR(X219="",AC219=""),0,X219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219))</f>
        <v/>
      </c>
    </row>
    <row r="220" spans="1:33" x14ac:dyDescent="0.3">
      <c r="A220" s="35"/>
      <c r="B220" s="31"/>
      <c r="C220" s="31"/>
      <c r="D220" s="31"/>
      <c r="E220" s="34"/>
      <c r="F220" s="34"/>
      <c r="G220" s="30" t="str">
        <f t="shared" si="27"/>
        <v/>
      </c>
      <c r="H220" s="31"/>
      <c r="I220" s="32" t="str">
        <f>IF(H220&lt;&gt;"",H220,IF(G220="","",ROUND(G220*IFERROR(INDEX(Reference!$B$44:$B$50,MATCH(C220,Reference!$A$44:$A$50,0)),0),0)))</f>
        <v/>
      </c>
      <c r="J220" s="31"/>
      <c r="K220" s="31"/>
      <c r="L220" s="32" t="str">
        <f t="shared" si="28"/>
        <v/>
      </c>
      <c r="M220" s="32" t="str">
        <f>IFERROR(INDEX(Roster!$D$5:$D$40,MATCH(B220,Roster!$A$5:$A$40,0)),"")</f>
        <v/>
      </c>
      <c r="N220" s="32" t="str">
        <f t="shared" si="29"/>
        <v/>
      </c>
      <c r="O220" s="32" t="str">
        <f>IF(OR(C220="Bullpen",C220="Game"),IFERROR(INDEX(Reference!$B$61:$B$62,MATCH(C220,Reference!$A$61:$A$62,0)),""),IF(D220="","",IF(AE220&gt;1,((IF(1&lt;=AE220,(AE220-1+3)*(INDEX(Reference!$B$6:$B$11,MIN(5,MATCH(MAX(Reference!$A$6,MIN(Reference!$A$11,MIN(D220,90))),Reference!$A$6:$A$11,1)))+(MAX(Reference!$A$6,MIN(Reference!$A$11,MIN(D220,90)))-INDEX(Reference!$A$6:$A$11,MIN(5,MATCH(MAX(Reference!$A$6,MIN(Reference!$A$11,MIN(D220,90))),Reference!$A$6:$A$11,1))))*(INDEX(Reference!$B$6:$B$11,MIN(5,MATCH(MAX(Reference!$A$6,MIN(Reference!$A$11,MIN(D220,90))),Reference!$A$6:$A$11,1))+1)-INDEX(Reference!$B$6:$B$11,MIN(5,MATCH(MAX(Reference!$A$6,MIN(Reference!$A$11,MIN(D220,90))),Reference!$A$6:$A$11,1))))/(INDEX(Reference!$A$6:$A$11,MIN(5,MATCH(MAX(Reference!$A$6,MIN(Reference!$A$11,MIN(D220,90))),Reference!$A$6:$A$11,1))+1)-INDEX(Reference!$A$6:$A$11,MIN(5,MATCH(MAX(Reference!$A$6,MIN(Reference!$A$11,MIN(D220,90))),Reference!$A$6:$A$11,1))))),0)+IF(2&lt;=AE220,(AE220-2+3)*(INDEX(Reference!$B$6:$B$11,MIN(5,MATCH(MAX(Reference!$A$6,MIN(Reference!$A$11,MIN(D220,120))),Reference!$A$6:$A$11,1)))+(MAX(Reference!$A$6,MIN(Reference!$A$11,MIN(D220,120)))-INDEX(Reference!$A$6:$A$11,MIN(5,MATCH(MAX(Reference!$A$6,MIN(Reference!$A$11,MIN(D220,120))),Reference!$A$6:$A$11,1))))*(INDEX(Reference!$B$6:$B$11,MIN(5,MATCH(MAX(Reference!$A$6,MIN(Reference!$A$11,MIN(D220,120))),Reference!$A$6:$A$11,1))+1)-INDEX(Reference!$B$6:$B$11,MIN(5,MATCH(MAX(Reference!$A$6,MIN(Reference!$A$11,MIN(D220,120))),Reference!$A$6:$A$11,1))))/(INDEX(Reference!$A$6:$A$11,MIN(5,MATCH(MAX(Reference!$A$6,MIN(Reference!$A$11,MIN(D220,120))),Reference!$A$6:$A$11,1))+1)-INDEX(Reference!$A$6:$A$11,MIN(5,MATCH(MAX(Reference!$A$6,MIN(Reference!$A$11,MIN(D220,120))),Reference!$A$6:$A$11,1))))),0)+IF(3&lt;=AE220,(AE220-3+3)*(INDEX(Reference!$B$6:$B$11,MIN(5,MATCH(MAX(Reference!$A$6,MIN(Reference!$A$11,MIN(D220,150))),Reference!$A$6:$A$11,1)))+(MAX(Reference!$A$6,MIN(Reference!$A$11,MIN(D220,150)))-INDEX(Reference!$A$6:$A$11,MIN(5,MATCH(MAX(Reference!$A$6,MIN(Reference!$A$11,MIN(D220,150))),Reference!$A$6:$A$11,1))))*(INDEX(Reference!$B$6:$B$11,MIN(5,MATCH(MAX(Reference!$A$6,MIN(Reference!$A$11,MIN(D220,150))),Reference!$A$6:$A$11,1))+1)-INDEX(Reference!$B$6:$B$11,MIN(5,MATCH(MAX(Reference!$A$6,MIN(Reference!$A$11,MIN(D220,150))),Reference!$A$6:$A$11,1))))/(INDEX(Reference!$A$6:$A$11,MIN(5,MATCH(MAX(Reference!$A$6,MIN(Reference!$A$11,MIN(D220,150))),Reference!$A$6:$A$11,1))+1)-INDEX(Reference!$A$6:$A$11,MIN(5,MATCH(MAX(Reference!$A$6,MIN(Reference!$A$11,MIN(D220,150))),Reference!$A$6:$A$11,1))))),0)+IF(4&lt;=AE220,(AE220-4+3)*(INDEX(Reference!$B$6:$B$11,MIN(5,MATCH(MAX(Reference!$A$6,MIN(Reference!$A$11,MIN(D220,180))),Reference!$A$6:$A$11,1)))+(MAX(Reference!$A$6,MIN(Reference!$A$11,MIN(D220,180)))-INDEX(Reference!$A$6:$A$11,MIN(5,MATCH(MAX(Reference!$A$6,MIN(Reference!$A$11,MIN(D220,180))),Reference!$A$6:$A$11,1))))*(INDEX(Reference!$B$6:$B$11,MIN(5,MATCH(MAX(Reference!$A$6,MIN(Reference!$A$11,MIN(D220,180))),Reference!$A$6:$A$11,1))+1)-INDEX(Reference!$B$6:$B$11,MIN(5,MATCH(MAX(Reference!$A$6,MIN(Reference!$A$11,MIN(D220,180))),Reference!$A$6:$A$11,1))))/(INDEX(Reference!$A$6:$A$11,MIN(5,MATCH(MAX(Reference!$A$6,MIN(Reference!$A$11,MIN(D220,180))),Reference!$A$6:$A$11,1))+1)-INDEX(Reference!$A$6:$A$11,MIN(5,MATCH(MAX(Reference!$A$6,MIN(Reference!$A$11,MIN(D220,180))),Reference!$A$6:$A$11,1))))),0)+IF(5&lt;=AE220,(AE220-5+3)*(INDEX(Reference!$B$6:$B$11,MIN(5,MATCH(MAX(Reference!$A$6,MIN(Reference!$A$11,MIN(D220,210))),Reference!$A$6:$A$11,1)))+(MAX(Reference!$A$6,MIN(Reference!$A$11,MIN(D220,210)))-INDEX(Reference!$A$6:$A$11,MIN(5,MATCH(MAX(Reference!$A$6,MIN(Reference!$A$11,MIN(D220,210))),Reference!$A$6:$A$11,1))))*(INDEX(Reference!$B$6:$B$11,MIN(5,MATCH(MAX(Reference!$A$6,MIN(Reference!$A$11,MIN(D220,210))),Reference!$A$6:$A$11,1))+1)-INDEX(Reference!$B$6:$B$11,MIN(5,MATCH(MAX(Reference!$A$6,MIN(Reference!$A$11,MIN(D220,210))),Reference!$A$6:$A$11,1))))/(INDEX(Reference!$A$6:$A$11,MIN(5,MATCH(MAX(Reference!$A$6,MIN(Reference!$A$11,MIN(D220,210))),Reference!$A$6:$A$11,1))+1)-INDEX(Reference!$A$6:$A$11,MIN(5,MATCH(MAX(Reference!$A$6,MIN(Reference!$A$11,MIN(D220,210))),Reference!$A$6:$A$11,1))))),0)+IF(6&lt;=AE220,(AE220-6+3)*(INDEX(Reference!$B$6:$B$11,MIN(5,MATCH(MAX(Reference!$A$6,MIN(Reference!$A$11,MIN(D220,240))),Reference!$A$6:$A$11,1)))+(MAX(Reference!$A$6,MIN(Reference!$A$11,MIN(D220,240)))-INDEX(Reference!$A$6:$A$11,MIN(5,MATCH(MAX(Reference!$A$6,MIN(Reference!$A$11,MIN(D220,240))),Reference!$A$6:$A$11,1))))*(INDEX(Reference!$B$6:$B$11,MIN(5,MATCH(MAX(Reference!$A$6,MIN(Reference!$A$11,MIN(D220,240))),Reference!$A$6:$A$11,1))+1)-INDEX(Reference!$B$6:$B$11,MIN(5,MATCH(MAX(Reference!$A$6,MIN(Reference!$A$11,MIN(D220,240))),Reference!$A$6:$A$11,1))))/(INDEX(Reference!$A$6:$A$11,MIN(5,MATCH(MAX(Reference!$A$6,MIN(Reference!$A$11,MIN(D220,240))),Reference!$A$6:$A$11,1))+1)-INDEX(Reference!$A$6:$A$11,MIN(5,MATCH(MAX(Reference!$A$6,MIN(Reference!$A$11,MIN(D220,240))),Reference!$A$6:$A$11,1))))),0)+IF(7&lt;=AE220,(AE220-7+3)*(INDEX(Reference!$B$6:$B$11,MIN(5,MATCH(MAX(Reference!$A$6,MIN(Reference!$A$11,MIN(D220,270))),Reference!$A$6:$A$11,1)))+(MAX(Reference!$A$6,MIN(Reference!$A$11,MIN(D220,270)))-INDEX(Reference!$A$6:$A$11,MIN(5,MATCH(MAX(Reference!$A$6,MIN(Reference!$A$11,MIN(D220,270))),Reference!$A$6:$A$11,1))))*(INDEX(Reference!$B$6:$B$11,MIN(5,MATCH(MAX(Reference!$A$6,MIN(Reference!$A$11,MIN(D220,270))),Reference!$A$6:$A$11,1))+1)-INDEX(Reference!$B$6:$B$11,MIN(5,MATCH(MAX(Reference!$A$6,MIN(Reference!$A$11,MIN(D220,270))),Reference!$A$6:$A$11,1))))/(INDEX(Reference!$A$6:$A$11,MIN(5,MATCH(MAX(Reference!$A$6,MIN(Reference!$A$11,MIN(D220,270))),Reference!$A$6:$A$11,1))+1)-INDEX(Reference!$A$6:$A$11,MIN(5,MATCH(MAX(Reference!$A$6,MIN(Reference!$A$11,MIN(D220,270))),Reference!$A$6:$A$11,1))))),0)+IF(8&lt;=AE220,(AE220-8+3)*(INDEX(Reference!$B$6:$B$11,MIN(5,MATCH(MAX(Reference!$A$6,MIN(Reference!$A$11,MIN(D220,300))),Reference!$A$6:$A$11,1)))+(MAX(Reference!$A$6,MIN(Reference!$A$11,MIN(D220,300)))-INDEX(Reference!$A$6:$A$11,MIN(5,MATCH(MAX(Reference!$A$6,MIN(Reference!$A$11,MIN(D220,300))),Reference!$A$6:$A$11,1))))*(INDEX(Reference!$B$6:$B$11,MIN(5,MATCH(MAX(Reference!$A$6,MIN(Reference!$A$11,MIN(D220,300))),Reference!$A$6:$A$11,1))+1)-INDEX(Reference!$B$6:$B$11,MIN(5,MATCH(MAX(Reference!$A$6,MIN(Reference!$A$11,MIN(D220,300))),Reference!$A$6:$A$11,1))))/(INDEX(Reference!$A$6:$A$11,MIN(5,MATCH(MAX(Reference!$A$6,MIN(Reference!$A$11,MIN(D220,300))),Reference!$A$6:$A$11,1))+1)-INDEX(Reference!$A$6:$A$11,MIN(5,MATCH(MAX(Reference!$A$6,MIN(Reference!$A$11,MIN(D220,300))),Reference!$A$6:$A$11,1))))),0))/(AE220*(AE220+5)/2)),(INDEX(Reference!$B$6:$B$11,MIN(5,MATCH(MAX(Reference!$A$6,MIN(Reference!$A$11,D220)),Reference!$A$6:$A$11,1)))+(MAX(Reference!$A$6,MIN(Reference!$A$11,D220))-INDEX(Reference!$A$6:$A$11,MIN(5,MATCH(MAX(Reference!$A$6,MIN(Reference!$A$11,D220)),Reference!$A$6:$A$11,1))))*(INDEX(Reference!$B$6:$B$11,MIN(5,MATCH(MAX(Reference!$A$6,MIN(Reference!$A$11,D220)),Reference!$A$6:$A$11,1))+1)-INDEX(Reference!$B$6:$B$11,MIN(5,MATCH(MAX(Reference!$A$6,MIN(Reference!$A$11,D220)),Reference!$A$6:$A$11,1))))/(INDEX(Reference!$A$6:$A$11,MIN(5,MATCH(MAX(Reference!$A$6,MIN(Reference!$A$11,D220)),Reference!$A$6:$A$11,1))+1)-INDEX(Reference!$A$6:$A$11,MIN(5,MATCH(MAX(Reference!$A$6,MIN(Reference!$A$11,D220)),Reference!$A$6:$A$11,1))))))))</f>
        <v/>
      </c>
      <c r="P220" s="32" t="str">
        <f>IF(N220="","",VLOOKUP(MAX(N220,0),Reference!$A$17:$B$20,2,TRUE()))</f>
        <v/>
      </c>
      <c r="Q220" s="32" t="str">
        <f t="shared" si="30"/>
        <v/>
      </c>
      <c r="R220" s="31"/>
      <c r="S220" s="31"/>
      <c r="T220" s="31"/>
      <c r="U220" s="32" t="str">
        <f t="shared" si="31"/>
        <v/>
      </c>
      <c r="V220" s="32" t="str">
        <f t="shared" si="32"/>
        <v/>
      </c>
      <c r="W220" s="32" t="str">
        <f>IF(V220="","",VLOOKUP(MAX(V220,0),Reference!$A$17:$B$20,2,TRUE()))</f>
        <v/>
      </c>
      <c r="X220" s="31"/>
      <c r="Y220" s="31"/>
      <c r="Z220" s="31"/>
      <c r="AA220" s="32" t="str">
        <f t="shared" si="33"/>
        <v/>
      </c>
      <c r="AB220" s="32" t="str">
        <f t="shared" si="34"/>
        <v/>
      </c>
      <c r="AC220" s="32" t="str">
        <f>IF(AB220="","",VLOOKUP(MAX(AB220,0),Reference!$A$17:$B$20,2,TRUE()))</f>
        <v/>
      </c>
      <c r="AD220" s="31"/>
      <c r="AE220">
        <f t="shared" si="35"/>
        <v>1</v>
      </c>
      <c r="AF220" s="33" t="str">
        <f>IF(OR(A220="",B220="",AND(C220&lt;&gt;"Bullpen",C220&lt;&gt;"Game")),"",IF((COUNTIFS($B$5:$B$300,B220,$A$5:$A$300,A220-1,$C$5:$C$300,"Bullpen",$AG$5:$AG$300,"&gt;0") + COUNTIFS($B$5:$B$300,B220,$A$5:$A$300,A220-1,$C$5:$C$300,"Game",$AG$5:$AG$300,"&gt;0"))&gt;0,Reference!$B$119,IF((COUNTIFS($B$5:$B$300,B220,$A$5:$A$300,A220-2,$C$5:$C$300,"Bullpen",$AG$5:$AG$300,"&gt;0") + COUNTIFS($B$5:$B$300,B220,$A$5:$A$300,A220-2,$C$5:$C$300,"Game",$AG$5:$AG$300,"&gt;0"))&gt;0,Reference!$B$120,1)))</f>
        <v/>
      </c>
      <c r="AG220" s="30" t="str">
        <f>IF(AND(OR(I220="",O220="",P220=""),OR(R220="",W220=""),OR(X220="",AC220="")),"",IF(OR(I220="",O220="",P220=""),0,I220*O220*P220)+IF(OR(R220="",W220=""),0,R220*IFERROR(INDEX(Reference!$B$61:$B$62,MATCH("Bullpen",Reference!$A$61:$A$62,0)),0)*W220)+IF(OR(X220="",AC220=""),0,X220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220))</f>
        <v/>
      </c>
    </row>
    <row r="221" spans="1:33" x14ac:dyDescent="0.3">
      <c r="A221" s="35"/>
      <c r="B221" s="31"/>
      <c r="C221" s="31"/>
      <c r="D221" s="31"/>
      <c r="E221" s="34"/>
      <c r="F221" s="34"/>
      <c r="G221" s="30" t="str">
        <f t="shared" si="27"/>
        <v/>
      </c>
      <c r="H221" s="31"/>
      <c r="I221" s="32" t="str">
        <f>IF(H221&lt;&gt;"",H221,IF(G221="","",ROUND(G221*IFERROR(INDEX(Reference!$B$44:$B$50,MATCH(C221,Reference!$A$44:$A$50,0)),0),0)))</f>
        <v/>
      </c>
      <c r="J221" s="31"/>
      <c r="K221" s="31"/>
      <c r="L221" s="32" t="str">
        <f t="shared" si="28"/>
        <v/>
      </c>
      <c r="M221" s="32" t="str">
        <f>IFERROR(INDEX(Roster!$D$5:$D$40,MATCH(B221,Roster!$A$5:$A$40,0)),"")</f>
        <v/>
      </c>
      <c r="N221" s="32" t="str">
        <f t="shared" si="29"/>
        <v/>
      </c>
      <c r="O221" s="32" t="str">
        <f>IF(OR(C221="Bullpen",C221="Game"),IFERROR(INDEX(Reference!$B$61:$B$62,MATCH(C221,Reference!$A$61:$A$62,0)),""),IF(D221="","",IF(AE221&gt;1,((IF(1&lt;=AE221,(AE221-1+3)*(INDEX(Reference!$B$6:$B$11,MIN(5,MATCH(MAX(Reference!$A$6,MIN(Reference!$A$11,MIN(D221,90))),Reference!$A$6:$A$11,1)))+(MAX(Reference!$A$6,MIN(Reference!$A$11,MIN(D221,90)))-INDEX(Reference!$A$6:$A$11,MIN(5,MATCH(MAX(Reference!$A$6,MIN(Reference!$A$11,MIN(D221,90))),Reference!$A$6:$A$11,1))))*(INDEX(Reference!$B$6:$B$11,MIN(5,MATCH(MAX(Reference!$A$6,MIN(Reference!$A$11,MIN(D221,90))),Reference!$A$6:$A$11,1))+1)-INDEX(Reference!$B$6:$B$11,MIN(5,MATCH(MAX(Reference!$A$6,MIN(Reference!$A$11,MIN(D221,90))),Reference!$A$6:$A$11,1))))/(INDEX(Reference!$A$6:$A$11,MIN(5,MATCH(MAX(Reference!$A$6,MIN(Reference!$A$11,MIN(D221,90))),Reference!$A$6:$A$11,1))+1)-INDEX(Reference!$A$6:$A$11,MIN(5,MATCH(MAX(Reference!$A$6,MIN(Reference!$A$11,MIN(D221,90))),Reference!$A$6:$A$11,1))))),0)+IF(2&lt;=AE221,(AE221-2+3)*(INDEX(Reference!$B$6:$B$11,MIN(5,MATCH(MAX(Reference!$A$6,MIN(Reference!$A$11,MIN(D221,120))),Reference!$A$6:$A$11,1)))+(MAX(Reference!$A$6,MIN(Reference!$A$11,MIN(D221,120)))-INDEX(Reference!$A$6:$A$11,MIN(5,MATCH(MAX(Reference!$A$6,MIN(Reference!$A$11,MIN(D221,120))),Reference!$A$6:$A$11,1))))*(INDEX(Reference!$B$6:$B$11,MIN(5,MATCH(MAX(Reference!$A$6,MIN(Reference!$A$11,MIN(D221,120))),Reference!$A$6:$A$11,1))+1)-INDEX(Reference!$B$6:$B$11,MIN(5,MATCH(MAX(Reference!$A$6,MIN(Reference!$A$11,MIN(D221,120))),Reference!$A$6:$A$11,1))))/(INDEX(Reference!$A$6:$A$11,MIN(5,MATCH(MAX(Reference!$A$6,MIN(Reference!$A$11,MIN(D221,120))),Reference!$A$6:$A$11,1))+1)-INDEX(Reference!$A$6:$A$11,MIN(5,MATCH(MAX(Reference!$A$6,MIN(Reference!$A$11,MIN(D221,120))),Reference!$A$6:$A$11,1))))),0)+IF(3&lt;=AE221,(AE221-3+3)*(INDEX(Reference!$B$6:$B$11,MIN(5,MATCH(MAX(Reference!$A$6,MIN(Reference!$A$11,MIN(D221,150))),Reference!$A$6:$A$11,1)))+(MAX(Reference!$A$6,MIN(Reference!$A$11,MIN(D221,150)))-INDEX(Reference!$A$6:$A$11,MIN(5,MATCH(MAX(Reference!$A$6,MIN(Reference!$A$11,MIN(D221,150))),Reference!$A$6:$A$11,1))))*(INDEX(Reference!$B$6:$B$11,MIN(5,MATCH(MAX(Reference!$A$6,MIN(Reference!$A$11,MIN(D221,150))),Reference!$A$6:$A$11,1))+1)-INDEX(Reference!$B$6:$B$11,MIN(5,MATCH(MAX(Reference!$A$6,MIN(Reference!$A$11,MIN(D221,150))),Reference!$A$6:$A$11,1))))/(INDEX(Reference!$A$6:$A$11,MIN(5,MATCH(MAX(Reference!$A$6,MIN(Reference!$A$11,MIN(D221,150))),Reference!$A$6:$A$11,1))+1)-INDEX(Reference!$A$6:$A$11,MIN(5,MATCH(MAX(Reference!$A$6,MIN(Reference!$A$11,MIN(D221,150))),Reference!$A$6:$A$11,1))))),0)+IF(4&lt;=AE221,(AE221-4+3)*(INDEX(Reference!$B$6:$B$11,MIN(5,MATCH(MAX(Reference!$A$6,MIN(Reference!$A$11,MIN(D221,180))),Reference!$A$6:$A$11,1)))+(MAX(Reference!$A$6,MIN(Reference!$A$11,MIN(D221,180)))-INDEX(Reference!$A$6:$A$11,MIN(5,MATCH(MAX(Reference!$A$6,MIN(Reference!$A$11,MIN(D221,180))),Reference!$A$6:$A$11,1))))*(INDEX(Reference!$B$6:$B$11,MIN(5,MATCH(MAX(Reference!$A$6,MIN(Reference!$A$11,MIN(D221,180))),Reference!$A$6:$A$11,1))+1)-INDEX(Reference!$B$6:$B$11,MIN(5,MATCH(MAX(Reference!$A$6,MIN(Reference!$A$11,MIN(D221,180))),Reference!$A$6:$A$11,1))))/(INDEX(Reference!$A$6:$A$11,MIN(5,MATCH(MAX(Reference!$A$6,MIN(Reference!$A$11,MIN(D221,180))),Reference!$A$6:$A$11,1))+1)-INDEX(Reference!$A$6:$A$11,MIN(5,MATCH(MAX(Reference!$A$6,MIN(Reference!$A$11,MIN(D221,180))),Reference!$A$6:$A$11,1))))),0)+IF(5&lt;=AE221,(AE221-5+3)*(INDEX(Reference!$B$6:$B$11,MIN(5,MATCH(MAX(Reference!$A$6,MIN(Reference!$A$11,MIN(D221,210))),Reference!$A$6:$A$11,1)))+(MAX(Reference!$A$6,MIN(Reference!$A$11,MIN(D221,210)))-INDEX(Reference!$A$6:$A$11,MIN(5,MATCH(MAX(Reference!$A$6,MIN(Reference!$A$11,MIN(D221,210))),Reference!$A$6:$A$11,1))))*(INDEX(Reference!$B$6:$B$11,MIN(5,MATCH(MAX(Reference!$A$6,MIN(Reference!$A$11,MIN(D221,210))),Reference!$A$6:$A$11,1))+1)-INDEX(Reference!$B$6:$B$11,MIN(5,MATCH(MAX(Reference!$A$6,MIN(Reference!$A$11,MIN(D221,210))),Reference!$A$6:$A$11,1))))/(INDEX(Reference!$A$6:$A$11,MIN(5,MATCH(MAX(Reference!$A$6,MIN(Reference!$A$11,MIN(D221,210))),Reference!$A$6:$A$11,1))+1)-INDEX(Reference!$A$6:$A$11,MIN(5,MATCH(MAX(Reference!$A$6,MIN(Reference!$A$11,MIN(D221,210))),Reference!$A$6:$A$11,1))))),0)+IF(6&lt;=AE221,(AE221-6+3)*(INDEX(Reference!$B$6:$B$11,MIN(5,MATCH(MAX(Reference!$A$6,MIN(Reference!$A$11,MIN(D221,240))),Reference!$A$6:$A$11,1)))+(MAX(Reference!$A$6,MIN(Reference!$A$11,MIN(D221,240)))-INDEX(Reference!$A$6:$A$11,MIN(5,MATCH(MAX(Reference!$A$6,MIN(Reference!$A$11,MIN(D221,240))),Reference!$A$6:$A$11,1))))*(INDEX(Reference!$B$6:$B$11,MIN(5,MATCH(MAX(Reference!$A$6,MIN(Reference!$A$11,MIN(D221,240))),Reference!$A$6:$A$11,1))+1)-INDEX(Reference!$B$6:$B$11,MIN(5,MATCH(MAX(Reference!$A$6,MIN(Reference!$A$11,MIN(D221,240))),Reference!$A$6:$A$11,1))))/(INDEX(Reference!$A$6:$A$11,MIN(5,MATCH(MAX(Reference!$A$6,MIN(Reference!$A$11,MIN(D221,240))),Reference!$A$6:$A$11,1))+1)-INDEX(Reference!$A$6:$A$11,MIN(5,MATCH(MAX(Reference!$A$6,MIN(Reference!$A$11,MIN(D221,240))),Reference!$A$6:$A$11,1))))),0)+IF(7&lt;=AE221,(AE221-7+3)*(INDEX(Reference!$B$6:$B$11,MIN(5,MATCH(MAX(Reference!$A$6,MIN(Reference!$A$11,MIN(D221,270))),Reference!$A$6:$A$11,1)))+(MAX(Reference!$A$6,MIN(Reference!$A$11,MIN(D221,270)))-INDEX(Reference!$A$6:$A$11,MIN(5,MATCH(MAX(Reference!$A$6,MIN(Reference!$A$11,MIN(D221,270))),Reference!$A$6:$A$11,1))))*(INDEX(Reference!$B$6:$B$11,MIN(5,MATCH(MAX(Reference!$A$6,MIN(Reference!$A$11,MIN(D221,270))),Reference!$A$6:$A$11,1))+1)-INDEX(Reference!$B$6:$B$11,MIN(5,MATCH(MAX(Reference!$A$6,MIN(Reference!$A$11,MIN(D221,270))),Reference!$A$6:$A$11,1))))/(INDEX(Reference!$A$6:$A$11,MIN(5,MATCH(MAX(Reference!$A$6,MIN(Reference!$A$11,MIN(D221,270))),Reference!$A$6:$A$11,1))+1)-INDEX(Reference!$A$6:$A$11,MIN(5,MATCH(MAX(Reference!$A$6,MIN(Reference!$A$11,MIN(D221,270))),Reference!$A$6:$A$11,1))))),0)+IF(8&lt;=AE221,(AE221-8+3)*(INDEX(Reference!$B$6:$B$11,MIN(5,MATCH(MAX(Reference!$A$6,MIN(Reference!$A$11,MIN(D221,300))),Reference!$A$6:$A$11,1)))+(MAX(Reference!$A$6,MIN(Reference!$A$11,MIN(D221,300)))-INDEX(Reference!$A$6:$A$11,MIN(5,MATCH(MAX(Reference!$A$6,MIN(Reference!$A$11,MIN(D221,300))),Reference!$A$6:$A$11,1))))*(INDEX(Reference!$B$6:$B$11,MIN(5,MATCH(MAX(Reference!$A$6,MIN(Reference!$A$11,MIN(D221,300))),Reference!$A$6:$A$11,1))+1)-INDEX(Reference!$B$6:$B$11,MIN(5,MATCH(MAX(Reference!$A$6,MIN(Reference!$A$11,MIN(D221,300))),Reference!$A$6:$A$11,1))))/(INDEX(Reference!$A$6:$A$11,MIN(5,MATCH(MAX(Reference!$A$6,MIN(Reference!$A$11,MIN(D221,300))),Reference!$A$6:$A$11,1))+1)-INDEX(Reference!$A$6:$A$11,MIN(5,MATCH(MAX(Reference!$A$6,MIN(Reference!$A$11,MIN(D221,300))),Reference!$A$6:$A$11,1))))),0))/(AE221*(AE221+5)/2)),(INDEX(Reference!$B$6:$B$11,MIN(5,MATCH(MAX(Reference!$A$6,MIN(Reference!$A$11,D221)),Reference!$A$6:$A$11,1)))+(MAX(Reference!$A$6,MIN(Reference!$A$11,D221))-INDEX(Reference!$A$6:$A$11,MIN(5,MATCH(MAX(Reference!$A$6,MIN(Reference!$A$11,D221)),Reference!$A$6:$A$11,1))))*(INDEX(Reference!$B$6:$B$11,MIN(5,MATCH(MAX(Reference!$A$6,MIN(Reference!$A$11,D221)),Reference!$A$6:$A$11,1))+1)-INDEX(Reference!$B$6:$B$11,MIN(5,MATCH(MAX(Reference!$A$6,MIN(Reference!$A$11,D221)),Reference!$A$6:$A$11,1))))/(INDEX(Reference!$A$6:$A$11,MIN(5,MATCH(MAX(Reference!$A$6,MIN(Reference!$A$11,D221)),Reference!$A$6:$A$11,1))+1)-INDEX(Reference!$A$6:$A$11,MIN(5,MATCH(MAX(Reference!$A$6,MIN(Reference!$A$11,D221)),Reference!$A$6:$A$11,1))))))))</f>
        <v/>
      </c>
      <c r="P221" s="32" t="str">
        <f>IF(N221="","",VLOOKUP(MAX(N221,0),Reference!$A$17:$B$20,2,TRUE()))</f>
        <v/>
      </c>
      <c r="Q221" s="32" t="str">
        <f t="shared" si="30"/>
        <v/>
      </c>
      <c r="R221" s="31"/>
      <c r="S221" s="31"/>
      <c r="T221" s="31"/>
      <c r="U221" s="32" t="str">
        <f t="shared" si="31"/>
        <v/>
      </c>
      <c r="V221" s="32" t="str">
        <f t="shared" si="32"/>
        <v/>
      </c>
      <c r="W221" s="32" t="str">
        <f>IF(V221="","",VLOOKUP(MAX(V221,0),Reference!$A$17:$B$20,2,TRUE()))</f>
        <v/>
      </c>
      <c r="X221" s="31"/>
      <c r="Y221" s="31"/>
      <c r="Z221" s="31"/>
      <c r="AA221" s="32" t="str">
        <f t="shared" si="33"/>
        <v/>
      </c>
      <c r="AB221" s="32" t="str">
        <f t="shared" si="34"/>
        <v/>
      </c>
      <c r="AC221" s="32" t="str">
        <f>IF(AB221="","",VLOOKUP(MAX(AB221,0),Reference!$A$17:$B$20,2,TRUE()))</f>
        <v/>
      </c>
      <c r="AD221" s="31"/>
      <c r="AE221">
        <f t="shared" si="35"/>
        <v>1</v>
      </c>
      <c r="AF221" s="33" t="str">
        <f>IF(OR(A221="",B221="",AND(C221&lt;&gt;"Bullpen",C221&lt;&gt;"Game")),"",IF((COUNTIFS($B$5:$B$300,B221,$A$5:$A$300,A221-1,$C$5:$C$300,"Bullpen",$AG$5:$AG$300,"&gt;0") + COUNTIFS($B$5:$B$300,B221,$A$5:$A$300,A221-1,$C$5:$C$300,"Game",$AG$5:$AG$300,"&gt;0"))&gt;0,Reference!$B$119,IF((COUNTIFS($B$5:$B$300,B221,$A$5:$A$300,A221-2,$C$5:$C$300,"Bullpen",$AG$5:$AG$300,"&gt;0") + COUNTIFS($B$5:$B$300,B221,$A$5:$A$300,A221-2,$C$5:$C$300,"Game",$AG$5:$AG$300,"&gt;0"))&gt;0,Reference!$B$120,1)))</f>
        <v/>
      </c>
      <c r="AG221" s="30" t="str">
        <f>IF(AND(OR(I221="",O221="",P221=""),OR(R221="",W221=""),OR(X221="",AC221="")),"",IF(OR(I221="",O221="",P221=""),0,I221*O221*P221)+IF(OR(R221="",W221=""),0,R221*IFERROR(INDEX(Reference!$B$61:$B$62,MATCH("Bullpen",Reference!$A$61:$A$62,0)),0)*W221)+IF(OR(X221="",AC221=""),0,X221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221))</f>
        <v/>
      </c>
    </row>
    <row r="222" spans="1:33" x14ac:dyDescent="0.3">
      <c r="A222" s="35"/>
      <c r="B222" s="31"/>
      <c r="C222" s="31"/>
      <c r="D222" s="31"/>
      <c r="E222" s="34"/>
      <c r="F222" s="34"/>
      <c r="G222" s="30" t="str">
        <f t="shared" si="27"/>
        <v/>
      </c>
      <c r="H222" s="31"/>
      <c r="I222" s="32" t="str">
        <f>IF(H222&lt;&gt;"",H222,IF(G222="","",ROUND(G222*IFERROR(INDEX(Reference!$B$44:$B$50,MATCH(C222,Reference!$A$44:$A$50,0)),0),0)))</f>
        <v/>
      </c>
      <c r="J222" s="31"/>
      <c r="K222" s="31"/>
      <c r="L222" s="32" t="str">
        <f t="shared" si="28"/>
        <v/>
      </c>
      <c r="M222" s="32" t="str">
        <f>IFERROR(INDEX(Roster!$D$5:$D$40,MATCH(B222,Roster!$A$5:$A$40,0)),"")</f>
        <v/>
      </c>
      <c r="N222" s="32" t="str">
        <f t="shared" si="29"/>
        <v/>
      </c>
      <c r="O222" s="32" t="str">
        <f>IF(OR(C222="Bullpen",C222="Game"),IFERROR(INDEX(Reference!$B$61:$B$62,MATCH(C222,Reference!$A$61:$A$62,0)),""),IF(D222="","",IF(AE222&gt;1,((IF(1&lt;=AE222,(AE222-1+3)*(INDEX(Reference!$B$6:$B$11,MIN(5,MATCH(MAX(Reference!$A$6,MIN(Reference!$A$11,MIN(D222,90))),Reference!$A$6:$A$11,1)))+(MAX(Reference!$A$6,MIN(Reference!$A$11,MIN(D222,90)))-INDEX(Reference!$A$6:$A$11,MIN(5,MATCH(MAX(Reference!$A$6,MIN(Reference!$A$11,MIN(D222,90))),Reference!$A$6:$A$11,1))))*(INDEX(Reference!$B$6:$B$11,MIN(5,MATCH(MAX(Reference!$A$6,MIN(Reference!$A$11,MIN(D222,90))),Reference!$A$6:$A$11,1))+1)-INDEX(Reference!$B$6:$B$11,MIN(5,MATCH(MAX(Reference!$A$6,MIN(Reference!$A$11,MIN(D222,90))),Reference!$A$6:$A$11,1))))/(INDEX(Reference!$A$6:$A$11,MIN(5,MATCH(MAX(Reference!$A$6,MIN(Reference!$A$11,MIN(D222,90))),Reference!$A$6:$A$11,1))+1)-INDEX(Reference!$A$6:$A$11,MIN(5,MATCH(MAX(Reference!$A$6,MIN(Reference!$A$11,MIN(D222,90))),Reference!$A$6:$A$11,1))))),0)+IF(2&lt;=AE222,(AE222-2+3)*(INDEX(Reference!$B$6:$B$11,MIN(5,MATCH(MAX(Reference!$A$6,MIN(Reference!$A$11,MIN(D222,120))),Reference!$A$6:$A$11,1)))+(MAX(Reference!$A$6,MIN(Reference!$A$11,MIN(D222,120)))-INDEX(Reference!$A$6:$A$11,MIN(5,MATCH(MAX(Reference!$A$6,MIN(Reference!$A$11,MIN(D222,120))),Reference!$A$6:$A$11,1))))*(INDEX(Reference!$B$6:$B$11,MIN(5,MATCH(MAX(Reference!$A$6,MIN(Reference!$A$11,MIN(D222,120))),Reference!$A$6:$A$11,1))+1)-INDEX(Reference!$B$6:$B$11,MIN(5,MATCH(MAX(Reference!$A$6,MIN(Reference!$A$11,MIN(D222,120))),Reference!$A$6:$A$11,1))))/(INDEX(Reference!$A$6:$A$11,MIN(5,MATCH(MAX(Reference!$A$6,MIN(Reference!$A$11,MIN(D222,120))),Reference!$A$6:$A$11,1))+1)-INDEX(Reference!$A$6:$A$11,MIN(5,MATCH(MAX(Reference!$A$6,MIN(Reference!$A$11,MIN(D222,120))),Reference!$A$6:$A$11,1))))),0)+IF(3&lt;=AE222,(AE222-3+3)*(INDEX(Reference!$B$6:$B$11,MIN(5,MATCH(MAX(Reference!$A$6,MIN(Reference!$A$11,MIN(D222,150))),Reference!$A$6:$A$11,1)))+(MAX(Reference!$A$6,MIN(Reference!$A$11,MIN(D222,150)))-INDEX(Reference!$A$6:$A$11,MIN(5,MATCH(MAX(Reference!$A$6,MIN(Reference!$A$11,MIN(D222,150))),Reference!$A$6:$A$11,1))))*(INDEX(Reference!$B$6:$B$11,MIN(5,MATCH(MAX(Reference!$A$6,MIN(Reference!$A$11,MIN(D222,150))),Reference!$A$6:$A$11,1))+1)-INDEX(Reference!$B$6:$B$11,MIN(5,MATCH(MAX(Reference!$A$6,MIN(Reference!$A$11,MIN(D222,150))),Reference!$A$6:$A$11,1))))/(INDEX(Reference!$A$6:$A$11,MIN(5,MATCH(MAX(Reference!$A$6,MIN(Reference!$A$11,MIN(D222,150))),Reference!$A$6:$A$11,1))+1)-INDEX(Reference!$A$6:$A$11,MIN(5,MATCH(MAX(Reference!$A$6,MIN(Reference!$A$11,MIN(D222,150))),Reference!$A$6:$A$11,1))))),0)+IF(4&lt;=AE222,(AE222-4+3)*(INDEX(Reference!$B$6:$B$11,MIN(5,MATCH(MAX(Reference!$A$6,MIN(Reference!$A$11,MIN(D222,180))),Reference!$A$6:$A$11,1)))+(MAX(Reference!$A$6,MIN(Reference!$A$11,MIN(D222,180)))-INDEX(Reference!$A$6:$A$11,MIN(5,MATCH(MAX(Reference!$A$6,MIN(Reference!$A$11,MIN(D222,180))),Reference!$A$6:$A$11,1))))*(INDEX(Reference!$B$6:$B$11,MIN(5,MATCH(MAX(Reference!$A$6,MIN(Reference!$A$11,MIN(D222,180))),Reference!$A$6:$A$11,1))+1)-INDEX(Reference!$B$6:$B$11,MIN(5,MATCH(MAX(Reference!$A$6,MIN(Reference!$A$11,MIN(D222,180))),Reference!$A$6:$A$11,1))))/(INDEX(Reference!$A$6:$A$11,MIN(5,MATCH(MAX(Reference!$A$6,MIN(Reference!$A$11,MIN(D222,180))),Reference!$A$6:$A$11,1))+1)-INDEX(Reference!$A$6:$A$11,MIN(5,MATCH(MAX(Reference!$A$6,MIN(Reference!$A$11,MIN(D222,180))),Reference!$A$6:$A$11,1))))),0)+IF(5&lt;=AE222,(AE222-5+3)*(INDEX(Reference!$B$6:$B$11,MIN(5,MATCH(MAX(Reference!$A$6,MIN(Reference!$A$11,MIN(D222,210))),Reference!$A$6:$A$11,1)))+(MAX(Reference!$A$6,MIN(Reference!$A$11,MIN(D222,210)))-INDEX(Reference!$A$6:$A$11,MIN(5,MATCH(MAX(Reference!$A$6,MIN(Reference!$A$11,MIN(D222,210))),Reference!$A$6:$A$11,1))))*(INDEX(Reference!$B$6:$B$11,MIN(5,MATCH(MAX(Reference!$A$6,MIN(Reference!$A$11,MIN(D222,210))),Reference!$A$6:$A$11,1))+1)-INDEX(Reference!$B$6:$B$11,MIN(5,MATCH(MAX(Reference!$A$6,MIN(Reference!$A$11,MIN(D222,210))),Reference!$A$6:$A$11,1))))/(INDEX(Reference!$A$6:$A$11,MIN(5,MATCH(MAX(Reference!$A$6,MIN(Reference!$A$11,MIN(D222,210))),Reference!$A$6:$A$11,1))+1)-INDEX(Reference!$A$6:$A$11,MIN(5,MATCH(MAX(Reference!$A$6,MIN(Reference!$A$11,MIN(D222,210))),Reference!$A$6:$A$11,1))))),0)+IF(6&lt;=AE222,(AE222-6+3)*(INDEX(Reference!$B$6:$B$11,MIN(5,MATCH(MAX(Reference!$A$6,MIN(Reference!$A$11,MIN(D222,240))),Reference!$A$6:$A$11,1)))+(MAX(Reference!$A$6,MIN(Reference!$A$11,MIN(D222,240)))-INDEX(Reference!$A$6:$A$11,MIN(5,MATCH(MAX(Reference!$A$6,MIN(Reference!$A$11,MIN(D222,240))),Reference!$A$6:$A$11,1))))*(INDEX(Reference!$B$6:$B$11,MIN(5,MATCH(MAX(Reference!$A$6,MIN(Reference!$A$11,MIN(D222,240))),Reference!$A$6:$A$11,1))+1)-INDEX(Reference!$B$6:$B$11,MIN(5,MATCH(MAX(Reference!$A$6,MIN(Reference!$A$11,MIN(D222,240))),Reference!$A$6:$A$11,1))))/(INDEX(Reference!$A$6:$A$11,MIN(5,MATCH(MAX(Reference!$A$6,MIN(Reference!$A$11,MIN(D222,240))),Reference!$A$6:$A$11,1))+1)-INDEX(Reference!$A$6:$A$11,MIN(5,MATCH(MAX(Reference!$A$6,MIN(Reference!$A$11,MIN(D222,240))),Reference!$A$6:$A$11,1))))),0)+IF(7&lt;=AE222,(AE222-7+3)*(INDEX(Reference!$B$6:$B$11,MIN(5,MATCH(MAX(Reference!$A$6,MIN(Reference!$A$11,MIN(D222,270))),Reference!$A$6:$A$11,1)))+(MAX(Reference!$A$6,MIN(Reference!$A$11,MIN(D222,270)))-INDEX(Reference!$A$6:$A$11,MIN(5,MATCH(MAX(Reference!$A$6,MIN(Reference!$A$11,MIN(D222,270))),Reference!$A$6:$A$11,1))))*(INDEX(Reference!$B$6:$B$11,MIN(5,MATCH(MAX(Reference!$A$6,MIN(Reference!$A$11,MIN(D222,270))),Reference!$A$6:$A$11,1))+1)-INDEX(Reference!$B$6:$B$11,MIN(5,MATCH(MAX(Reference!$A$6,MIN(Reference!$A$11,MIN(D222,270))),Reference!$A$6:$A$11,1))))/(INDEX(Reference!$A$6:$A$11,MIN(5,MATCH(MAX(Reference!$A$6,MIN(Reference!$A$11,MIN(D222,270))),Reference!$A$6:$A$11,1))+1)-INDEX(Reference!$A$6:$A$11,MIN(5,MATCH(MAX(Reference!$A$6,MIN(Reference!$A$11,MIN(D222,270))),Reference!$A$6:$A$11,1))))),0)+IF(8&lt;=AE222,(AE222-8+3)*(INDEX(Reference!$B$6:$B$11,MIN(5,MATCH(MAX(Reference!$A$6,MIN(Reference!$A$11,MIN(D222,300))),Reference!$A$6:$A$11,1)))+(MAX(Reference!$A$6,MIN(Reference!$A$11,MIN(D222,300)))-INDEX(Reference!$A$6:$A$11,MIN(5,MATCH(MAX(Reference!$A$6,MIN(Reference!$A$11,MIN(D222,300))),Reference!$A$6:$A$11,1))))*(INDEX(Reference!$B$6:$B$11,MIN(5,MATCH(MAX(Reference!$A$6,MIN(Reference!$A$11,MIN(D222,300))),Reference!$A$6:$A$11,1))+1)-INDEX(Reference!$B$6:$B$11,MIN(5,MATCH(MAX(Reference!$A$6,MIN(Reference!$A$11,MIN(D222,300))),Reference!$A$6:$A$11,1))))/(INDEX(Reference!$A$6:$A$11,MIN(5,MATCH(MAX(Reference!$A$6,MIN(Reference!$A$11,MIN(D222,300))),Reference!$A$6:$A$11,1))+1)-INDEX(Reference!$A$6:$A$11,MIN(5,MATCH(MAX(Reference!$A$6,MIN(Reference!$A$11,MIN(D222,300))),Reference!$A$6:$A$11,1))))),0))/(AE222*(AE222+5)/2)),(INDEX(Reference!$B$6:$B$11,MIN(5,MATCH(MAX(Reference!$A$6,MIN(Reference!$A$11,D222)),Reference!$A$6:$A$11,1)))+(MAX(Reference!$A$6,MIN(Reference!$A$11,D222))-INDEX(Reference!$A$6:$A$11,MIN(5,MATCH(MAX(Reference!$A$6,MIN(Reference!$A$11,D222)),Reference!$A$6:$A$11,1))))*(INDEX(Reference!$B$6:$B$11,MIN(5,MATCH(MAX(Reference!$A$6,MIN(Reference!$A$11,D222)),Reference!$A$6:$A$11,1))+1)-INDEX(Reference!$B$6:$B$11,MIN(5,MATCH(MAX(Reference!$A$6,MIN(Reference!$A$11,D222)),Reference!$A$6:$A$11,1))))/(INDEX(Reference!$A$6:$A$11,MIN(5,MATCH(MAX(Reference!$A$6,MIN(Reference!$A$11,D222)),Reference!$A$6:$A$11,1))+1)-INDEX(Reference!$A$6:$A$11,MIN(5,MATCH(MAX(Reference!$A$6,MIN(Reference!$A$11,D222)),Reference!$A$6:$A$11,1))))))))</f>
        <v/>
      </c>
      <c r="P222" s="32" t="str">
        <f>IF(N222="","",VLOOKUP(MAX(N222,0),Reference!$A$17:$B$20,2,TRUE()))</f>
        <v/>
      </c>
      <c r="Q222" s="32" t="str">
        <f t="shared" si="30"/>
        <v/>
      </c>
      <c r="R222" s="31"/>
      <c r="S222" s="31"/>
      <c r="T222" s="31"/>
      <c r="U222" s="32" t="str">
        <f t="shared" si="31"/>
        <v/>
      </c>
      <c r="V222" s="32" t="str">
        <f t="shared" si="32"/>
        <v/>
      </c>
      <c r="W222" s="32" t="str">
        <f>IF(V222="","",VLOOKUP(MAX(V222,0),Reference!$A$17:$B$20,2,TRUE()))</f>
        <v/>
      </c>
      <c r="X222" s="31"/>
      <c r="Y222" s="31"/>
      <c r="Z222" s="31"/>
      <c r="AA222" s="32" t="str">
        <f t="shared" si="33"/>
        <v/>
      </c>
      <c r="AB222" s="32" t="str">
        <f t="shared" si="34"/>
        <v/>
      </c>
      <c r="AC222" s="32" t="str">
        <f>IF(AB222="","",VLOOKUP(MAX(AB222,0),Reference!$A$17:$B$20,2,TRUE()))</f>
        <v/>
      </c>
      <c r="AD222" s="31"/>
      <c r="AE222">
        <f t="shared" si="35"/>
        <v>1</v>
      </c>
      <c r="AF222" s="33" t="str">
        <f>IF(OR(A222="",B222="",AND(C222&lt;&gt;"Bullpen",C222&lt;&gt;"Game")),"",IF((COUNTIFS($B$5:$B$300,B222,$A$5:$A$300,A222-1,$C$5:$C$300,"Bullpen",$AG$5:$AG$300,"&gt;0") + COUNTIFS($B$5:$B$300,B222,$A$5:$A$300,A222-1,$C$5:$C$300,"Game",$AG$5:$AG$300,"&gt;0"))&gt;0,Reference!$B$119,IF((COUNTIFS($B$5:$B$300,B222,$A$5:$A$300,A222-2,$C$5:$C$300,"Bullpen",$AG$5:$AG$300,"&gt;0") + COUNTIFS($B$5:$B$300,B222,$A$5:$A$300,A222-2,$C$5:$C$300,"Game",$AG$5:$AG$300,"&gt;0"))&gt;0,Reference!$B$120,1)))</f>
        <v/>
      </c>
      <c r="AG222" s="30" t="str">
        <f>IF(AND(OR(I222="",O222="",P222=""),OR(R222="",W222=""),OR(X222="",AC222="")),"",IF(OR(I222="",O222="",P222=""),0,I222*O222*P222)+IF(OR(R222="",W222=""),0,R222*IFERROR(INDEX(Reference!$B$61:$B$62,MATCH("Bullpen",Reference!$A$61:$A$62,0)),0)*W222)+IF(OR(X222="",AC222=""),0,X222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222))</f>
        <v/>
      </c>
    </row>
    <row r="223" spans="1:33" x14ac:dyDescent="0.3">
      <c r="A223" s="35"/>
      <c r="B223" s="31"/>
      <c r="C223" s="31"/>
      <c r="D223" s="31"/>
      <c r="E223" s="34"/>
      <c r="F223" s="34"/>
      <c r="G223" s="30" t="str">
        <f t="shared" si="27"/>
        <v/>
      </c>
      <c r="H223" s="31"/>
      <c r="I223" s="32" t="str">
        <f>IF(H223&lt;&gt;"",H223,IF(G223="","",ROUND(G223*IFERROR(INDEX(Reference!$B$44:$B$50,MATCH(C223,Reference!$A$44:$A$50,0)),0),0)))</f>
        <v/>
      </c>
      <c r="J223" s="31"/>
      <c r="K223" s="31"/>
      <c r="L223" s="32" t="str">
        <f t="shared" si="28"/>
        <v/>
      </c>
      <c r="M223" s="32" t="str">
        <f>IFERROR(INDEX(Roster!$D$5:$D$40,MATCH(B223,Roster!$A$5:$A$40,0)),"")</f>
        <v/>
      </c>
      <c r="N223" s="32" t="str">
        <f t="shared" si="29"/>
        <v/>
      </c>
      <c r="O223" s="32" t="str">
        <f>IF(OR(C223="Bullpen",C223="Game"),IFERROR(INDEX(Reference!$B$61:$B$62,MATCH(C223,Reference!$A$61:$A$62,0)),""),IF(D223="","",IF(AE223&gt;1,((IF(1&lt;=AE223,(AE223-1+3)*(INDEX(Reference!$B$6:$B$11,MIN(5,MATCH(MAX(Reference!$A$6,MIN(Reference!$A$11,MIN(D223,90))),Reference!$A$6:$A$11,1)))+(MAX(Reference!$A$6,MIN(Reference!$A$11,MIN(D223,90)))-INDEX(Reference!$A$6:$A$11,MIN(5,MATCH(MAX(Reference!$A$6,MIN(Reference!$A$11,MIN(D223,90))),Reference!$A$6:$A$11,1))))*(INDEX(Reference!$B$6:$B$11,MIN(5,MATCH(MAX(Reference!$A$6,MIN(Reference!$A$11,MIN(D223,90))),Reference!$A$6:$A$11,1))+1)-INDEX(Reference!$B$6:$B$11,MIN(5,MATCH(MAX(Reference!$A$6,MIN(Reference!$A$11,MIN(D223,90))),Reference!$A$6:$A$11,1))))/(INDEX(Reference!$A$6:$A$11,MIN(5,MATCH(MAX(Reference!$A$6,MIN(Reference!$A$11,MIN(D223,90))),Reference!$A$6:$A$11,1))+1)-INDEX(Reference!$A$6:$A$11,MIN(5,MATCH(MAX(Reference!$A$6,MIN(Reference!$A$11,MIN(D223,90))),Reference!$A$6:$A$11,1))))),0)+IF(2&lt;=AE223,(AE223-2+3)*(INDEX(Reference!$B$6:$B$11,MIN(5,MATCH(MAX(Reference!$A$6,MIN(Reference!$A$11,MIN(D223,120))),Reference!$A$6:$A$11,1)))+(MAX(Reference!$A$6,MIN(Reference!$A$11,MIN(D223,120)))-INDEX(Reference!$A$6:$A$11,MIN(5,MATCH(MAX(Reference!$A$6,MIN(Reference!$A$11,MIN(D223,120))),Reference!$A$6:$A$11,1))))*(INDEX(Reference!$B$6:$B$11,MIN(5,MATCH(MAX(Reference!$A$6,MIN(Reference!$A$11,MIN(D223,120))),Reference!$A$6:$A$11,1))+1)-INDEX(Reference!$B$6:$B$11,MIN(5,MATCH(MAX(Reference!$A$6,MIN(Reference!$A$11,MIN(D223,120))),Reference!$A$6:$A$11,1))))/(INDEX(Reference!$A$6:$A$11,MIN(5,MATCH(MAX(Reference!$A$6,MIN(Reference!$A$11,MIN(D223,120))),Reference!$A$6:$A$11,1))+1)-INDEX(Reference!$A$6:$A$11,MIN(5,MATCH(MAX(Reference!$A$6,MIN(Reference!$A$11,MIN(D223,120))),Reference!$A$6:$A$11,1))))),0)+IF(3&lt;=AE223,(AE223-3+3)*(INDEX(Reference!$B$6:$B$11,MIN(5,MATCH(MAX(Reference!$A$6,MIN(Reference!$A$11,MIN(D223,150))),Reference!$A$6:$A$11,1)))+(MAX(Reference!$A$6,MIN(Reference!$A$11,MIN(D223,150)))-INDEX(Reference!$A$6:$A$11,MIN(5,MATCH(MAX(Reference!$A$6,MIN(Reference!$A$11,MIN(D223,150))),Reference!$A$6:$A$11,1))))*(INDEX(Reference!$B$6:$B$11,MIN(5,MATCH(MAX(Reference!$A$6,MIN(Reference!$A$11,MIN(D223,150))),Reference!$A$6:$A$11,1))+1)-INDEX(Reference!$B$6:$B$11,MIN(5,MATCH(MAX(Reference!$A$6,MIN(Reference!$A$11,MIN(D223,150))),Reference!$A$6:$A$11,1))))/(INDEX(Reference!$A$6:$A$11,MIN(5,MATCH(MAX(Reference!$A$6,MIN(Reference!$A$11,MIN(D223,150))),Reference!$A$6:$A$11,1))+1)-INDEX(Reference!$A$6:$A$11,MIN(5,MATCH(MAX(Reference!$A$6,MIN(Reference!$A$11,MIN(D223,150))),Reference!$A$6:$A$11,1))))),0)+IF(4&lt;=AE223,(AE223-4+3)*(INDEX(Reference!$B$6:$B$11,MIN(5,MATCH(MAX(Reference!$A$6,MIN(Reference!$A$11,MIN(D223,180))),Reference!$A$6:$A$11,1)))+(MAX(Reference!$A$6,MIN(Reference!$A$11,MIN(D223,180)))-INDEX(Reference!$A$6:$A$11,MIN(5,MATCH(MAX(Reference!$A$6,MIN(Reference!$A$11,MIN(D223,180))),Reference!$A$6:$A$11,1))))*(INDEX(Reference!$B$6:$B$11,MIN(5,MATCH(MAX(Reference!$A$6,MIN(Reference!$A$11,MIN(D223,180))),Reference!$A$6:$A$11,1))+1)-INDEX(Reference!$B$6:$B$11,MIN(5,MATCH(MAX(Reference!$A$6,MIN(Reference!$A$11,MIN(D223,180))),Reference!$A$6:$A$11,1))))/(INDEX(Reference!$A$6:$A$11,MIN(5,MATCH(MAX(Reference!$A$6,MIN(Reference!$A$11,MIN(D223,180))),Reference!$A$6:$A$11,1))+1)-INDEX(Reference!$A$6:$A$11,MIN(5,MATCH(MAX(Reference!$A$6,MIN(Reference!$A$11,MIN(D223,180))),Reference!$A$6:$A$11,1))))),0)+IF(5&lt;=AE223,(AE223-5+3)*(INDEX(Reference!$B$6:$B$11,MIN(5,MATCH(MAX(Reference!$A$6,MIN(Reference!$A$11,MIN(D223,210))),Reference!$A$6:$A$11,1)))+(MAX(Reference!$A$6,MIN(Reference!$A$11,MIN(D223,210)))-INDEX(Reference!$A$6:$A$11,MIN(5,MATCH(MAX(Reference!$A$6,MIN(Reference!$A$11,MIN(D223,210))),Reference!$A$6:$A$11,1))))*(INDEX(Reference!$B$6:$B$11,MIN(5,MATCH(MAX(Reference!$A$6,MIN(Reference!$A$11,MIN(D223,210))),Reference!$A$6:$A$11,1))+1)-INDEX(Reference!$B$6:$B$11,MIN(5,MATCH(MAX(Reference!$A$6,MIN(Reference!$A$11,MIN(D223,210))),Reference!$A$6:$A$11,1))))/(INDEX(Reference!$A$6:$A$11,MIN(5,MATCH(MAX(Reference!$A$6,MIN(Reference!$A$11,MIN(D223,210))),Reference!$A$6:$A$11,1))+1)-INDEX(Reference!$A$6:$A$11,MIN(5,MATCH(MAX(Reference!$A$6,MIN(Reference!$A$11,MIN(D223,210))),Reference!$A$6:$A$11,1))))),0)+IF(6&lt;=AE223,(AE223-6+3)*(INDEX(Reference!$B$6:$B$11,MIN(5,MATCH(MAX(Reference!$A$6,MIN(Reference!$A$11,MIN(D223,240))),Reference!$A$6:$A$11,1)))+(MAX(Reference!$A$6,MIN(Reference!$A$11,MIN(D223,240)))-INDEX(Reference!$A$6:$A$11,MIN(5,MATCH(MAX(Reference!$A$6,MIN(Reference!$A$11,MIN(D223,240))),Reference!$A$6:$A$11,1))))*(INDEX(Reference!$B$6:$B$11,MIN(5,MATCH(MAX(Reference!$A$6,MIN(Reference!$A$11,MIN(D223,240))),Reference!$A$6:$A$11,1))+1)-INDEX(Reference!$B$6:$B$11,MIN(5,MATCH(MAX(Reference!$A$6,MIN(Reference!$A$11,MIN(D223,240))),Reference!$A$6:$A$11,1))))/(INDEX(Reference!$A$6:$A$11,MIN(5,MATCH(MAX(Reference!$A$6,MIN(Reference!$A$11,MIN(D223,240))),Reference!$A$6:$A$11,1))+1)-INDEX(Reference!$A$6:$A$11,MIN(5,MATCH(MAX(Reference!$A$6,MIN(Reference!$A$11,MIN(D223,240))),Reference!$A$6:$A$11,1))))),0)+IF(7&lt;=AE223,(AE223-7+3)*(INDEX(Reference!$B$6:$B$11,MIN(5,MATCH(MAX(Reference!$A$6,MIN(Reference!$A$11,MIN(D223,270))),Reference!$A$6:$A$11,1)))+(MAX(Reference!$A$6,MIN(Reference!$A$11,MIN(D223,270)))-INDEX(Reference!$A$6:$A$11,MIN(5,MATCH(MAX(Reference!$A$6,MIN(Reference!$A$11,MIN(D223,270))),Reference!$A$6:$A$11,1))))*(INDEX(Reference!$B$6:$B$11,MIN(5,MATCH(MAX(Reference!$A$6,MIN(Reference!$A$11,MIN(D223,270))),Reference!$A$6:$A$11,1))+1)-INDEX(Reference!$B$6:$B$11,MIN(5,MATCH(MAX(Reference!$A$6,MIN(Reference!$A$11,MIN(D223,270))),Reference!$A$6:$A$11,1))))/(INDEX(Reference!$A$6:$A$11,MIN(5,MATCH(MAX(Reference!$A$6,MIN(Reference!$A$11,MIN(D223,270))),Reference!$A$6:$A$11,1))+1)-INDEX(Reference!$A$6:$A$11,MIN(5,MATCH(MAX(Reference!$A$6,MIN(Reference!$A$11,MIN(D223,270))),Reference!$A$6:$A$11,1))))),0)+IF(8&lt;=AE223,(AE223-8+3)*(INDEX(Reference!$B$6:$B$11,MIN(5,MATCH(MAX(Reference!$A$6,MIN(Reference!$A$11,MIN(D223,300))),Reference!$A$6:$A$11,1)))+(MAX(Reference!$A$6,MIN(Reference!$A$11,MIN(D223,300)))-INDEX(Reference!$A$6:$A$11,MIN(5,MATCH(MAX(Reference!$A$6,MIN(Reference!$A$11,MIN(D223,300))),Reference!$A$6:$A$11,1))))*(INDEX(Reference!$B$6:$B$11,MIN(5,MATCH(MAX(Reference!$A$6,MIN(Reference!$A$11,MIN(D223,300))),Reference!$A$6:$A$11,1))+1)-INDEX(Reference!$B$6:$B$11,MIN(5,MATCH(MAX(Reference!$A$6,MIN(Reference!$A$11,MIN(D223,300))),Reference!$A$6:$A$11,1))))/(INDEX(Reference!$A$6:$A$11,MIN(5,MATCH(MAX(Reference!$A$6,MIN(Reference!$A$11,MIN(D223,300))),Reference!$A$6:$A$11,1))+1)-INDEX(Reference!$A$6:$A$11,MIN(5,MATCH(MAX(Reference!$A$6,MIN(Reference!$A$11,MIN(D223,300))),Reference!$A$6:$A$11,1))))),0))/(AE223*(AE223+5)/2)),(INDEX(Reference!$B$6:$B$11,MIN(5,MATCH(MAX(Reference!$A$6,MIN(Reference!$A$11,D223)),Reference!$A$6:$A$11,1)))+(MAX(Reference!$A$6,MIN(Reference!$A$11,D223))-INDEX(Reference!$A$6:$A$11,MIN(5,MATCH(MAX(Reference!$A$6,MIN(Reference!$A$11,D223)),Reference!$A$6:$A$11,1))))*(INDEX(Reference!$B$6:$B$11,MIN(5,MATCH(MAX(Reference!$A$6,MIN(Reference!$A$11,D223)),Reference!$A$6:$A$11,1))+1)-INDEX(Reference!$B$6:$B$11,MIN(5,MATCH(MAX(Reference!$A$6,MIN(Reference!$A$11,D223)),Reference!$A$6:$A$11,1))))/(INDEX(Reference!$A$6:$A$11,MIN(5,MATCH(MAX(Reference!$A$6,MIN(Reference!$A$11,D223)),Reference!$A$6:$A$11,1))+1)-INDEX(Reference!$A$6:$A$11,MIN(5,MATCH(MAX(Reference!$A$6,MIN(Reference!$A$11,D223)),Reference!$A$6:$A$11,1))))))))</f>
        <v/>
      </c>
      <c r="P223" s="32" t="str">
        <f>IF(N223="","",VLOOKUP(MAX(N223,0),Reference!$A$17:$B$20,2,TRUE()))</f>
        <v/>
      </c>
      <c r="Q223" s="32" t="str">
        <f t="shared" si="30"/>
        <v/>
      </c>
      <c r="R223" s="31"/>
      <c r="S223" s="31"/>
      <c r="T223" s="31"/>
      <c r="U223" s="32" t="str">
        <f t="shared" si="31"/>
        <v/>
      </c>
      <c r="V223" s="32" t="str">
        <f t="shared" si="32"/>
        <v/>
      </c>
      <c r="W223" s="32" t="str">
        <f>IF(V223="","",VLOOKUP(MAX(V223,0),Reference!$A$17:$B$20,2,TRUE()))</f>
        <v/>
      </c>
      <c r="X223" s="31"/>
      <c r="Y223" s="31"/>
      <c r="Z223" s="31"/>
      <c r="AA223" s="32" t="str">
        <f t="shared" si="33"/>
        <v/>
      </c>
      <c r="AB223" s="32" t="str">
        <f t="shared" si="34"/>
        <v/>
      </c>
      <c r="AC223" s="32" t="str">
        <f>IF(AB223="","",VLOOKUP(MAX(AB223,0),Reference!$A$17:$B$20,2,TRUE()))</f>
        <v/>
      </c>
      <c r="AD223" s="31"/>
      <c r="AE223">
        <f t="shared" si="35"/>
        <v>1</v>
      </c>
      <c r="AF223" s="33" t="str">
        <f>IF(OR(A223="",B223="",AND(C223&lt;&gt;"Bullpen",C223&lt;&gt;"Game")),"",IF((COUNTIFS($B$5:$B$300,B223,$A$5:$A$300,A223-1,$C$5:$C$300,"Bullpen",$AG$5:$AG$300,"&gt;0") + COUNTIFS($B$5:$B$300,B223,$A$5:$A$300,A223-1,$C$5:$C$300,"Game",$AG$5:$AG$300,"&gt;0"))&gt;0,Reference!$B$119,IF((COUNTIFS($B$5:$B$300,B223,$A$5:$A$300,A223-2,$C$5:$C$300,"Bullpen",$AG$5:$AG$300,"&gt;0") + COUNTIFS($B$5:$B$300,B223,$A$5:$A$300,A223-2,$C$5:$C$300,"Game",$AG$5:$AG$300,"&gt;0"))&gt;0,Reference!$B$120,1)))</f>
        <v/>
      </c>
      <c r="AG223" s="30" t="str">
        <f>IF(AND(OR(I223="",O223="",P223=""),OR(R223="",W223=""),OR(X223="",AC223="")),"",IF(OR(I223="",O223="",P223=""),0,I223*O223*P223)+IF(OR(R223="",W223=""),0,R223*IFERROR(INDEX(Reference!$B$61:$B$62,MATCH("Bullpen",Reference!$A$61:$A$62,0)),0)*W223)+IF(OR(X223="",AC223=""),0,X223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223))</f>
        <v/>
      </c>
    </row>
    <row r="224" spans="1:33" x14ac:dyDescent="0.3">
      <c r="A224" s="35"/>
      <c r="B224" s="31"/>
      <c r="C224" s="31"/>
      <c r="D224" s="31"/>
      <c r="E224" s="34"/>
      <c r="F224" s="34"/>
      <c r="G224" s="30" t="str">
        <f t="shared" si="27"/>
        <v/>
      </c>
      <c r="H224" s="31"/>
      <c r="I224" s="32" t="str">
        <f>IF(H224&lt;&gt;"",H224,IF(G224="","",ROUND(G224*IFERROR(INDEX(Reference!$B$44:$B$50,MATCH(C224,Reference!$A$44:$A$50,0)),0),0)))</f>
        <v/>
      </c>
      <c r="J224" s="31"/>
      <c r="K224" s="31"/>
      <c r="L224" s="32" t="str">
        <f t="shared" si="28"/>
        <v/>
      </c>
      <c r="M224" s="32" t="str">
        <f>IFERROR(INDEX(Roster!$D$5:$D$40,MATCH(B224,Roster!$A$5:$A$40,0)),"")</f>
        <v/>
      </c>
      <c r="N224" s="32" t="str">
        <f t="shared" si="29"/>
        <v/>
      </c>
      <c r="O224" s="32" t="str">
        <f>IF(OR(C224="Bullpen",C224="Game"),IFERROR(INDEX(Reference!$B$61:$B$62,MATCH(C224,Reference!$A$61:$A$62,0)),""),IF(D224="","",IF(AE224&gt;1,((IF(1&lt;=AE224,(AE224-1+3)*(INDEX(Reference!$B$6:$B$11,MIN(5,MATCH(MAX(Reference!$A$6,MIN(Reference!$A$11,MIN(D224,90))),Reference!$A$6:$A$11,1)))+(MAX(Reference!$A$6,MIN(Reference!$A$11,MIN(D224,90)))-INDEX(Reference!$A$6:$A$11,MIN(5,MATCH(MAX(Reference!$A$6,MIN(Reference!$A$11,MIN(D224,90))),Reference!$A$6:$A$11,1))))*(INDEX(Reference!$B$6:$B$11,MIN(5,MATCH(MAX(Reference!$A$6,MIN(Reference!$A$11,MIN(D224,90))),Reference!$A$6:$A$11,1))+1)-INDEX(Reference!$B$6:$B$11,MIN(5,MATCH(MAX(Reference!$A$6,MIN(Reference!$A$11,MIN(D224,90))),Reference!$A$6:$A$11,1))))/(INDEX(Reference!$A$6:$A$11,MIN(5,MATCH(MAX(Reference!$A$6,MIN(Reference!$A$11,MIN(D224,90))),Reference!$A$6:$A$11,1))+1)-INDEX(Reference!$A$6:$A$11,MIN(5,MATCH(MAX(Reference!$A$6,MIN(Reference!$A$11,MIN(D224,90))),Reference!$A$6:$A$11,1))))),0)+IF(2&lt;=AE224,(AE224-2+3)*(INDEX(Reference!$B$6:$B$11,MIN(5,MATCH(MAX(Reference!$A$6,MIN(Reference!$A$11,MIN(D224,120))),Reference!$A$6:$A$11,1)))+(MAX(Reference!$A$6,MIN(Reference!$A$11,MIN(D224,120)))-INDEX(Reference!$A$6:$A$11,MIN(5,MATCH(MAX(Reference!$A$6,MIN(Reference!$A$11,MIN(D224,120))),Reference!$A$6:$A$11,1))))*(INDEX(Reference!$B$6:$B$11,MIN(5,MATCH(MAX(Reference!$A$6,MIN(Reference!$A$11,MIN(D224,120))),Reference!$A$6:$A$11,1))+1)-INDEX(Reference!$B$6:$B$11,MIN(5,MATCH(MAX(Reference!$A$6,MIN(Reference!$A$11,MIN(D224,120))),Reference!$A$6:$A$11,1))))/(INDEX(Reference!$A$6:$A$11,MIN(5,MATCH(MAX(Reference!$A$6,MIN(Reference!$A$11,MIN(D224,120))),Reference!$A$6:$A$11,1))+1)-INDEX(Reference!$A$6:$A$11,MIN(5,MATCH(MAX(Reference!$A$6,MIN(Reference!$A$11,MIN(D224,120))),Reference!$A$6:$A$11,1))))),0)+IF(3&lt;=AE224,(AE224-3+3)*(INDEX(Reference!$B$6:$B$11,MIN(5,MATCH(MAX(Reference!$A$6,MIN(Reference!$A$11,MIN(D224,150))),Reference!$A$6:$A$11,1)))+(MAX(Reference!$A$6,MIN(Reference!$A$11,MIN(D224,150)))-INDEX(Reference!$A$6:$A$11,MIN(5,MATCH(MAX(Reference!$A$6,MIN(Reference!$A$11,MIN(D224,150))),Reference!$A$6:$A$11,1))))*(INDEX(Reference!$B$6:$B$11,MIN(5,MATCH(MAX(Reference!$A$6,MIN(Reference!$A$11,MIN(D224,150))),Reference!$A$6:$A$11,1))+1)-INDEX(Reference!$B$6:$B$11,MIN(5,MATCH(MAX(Reference!$A$6,MIN(Reference!$A$11,MIN(D224,150))),Reference!$A$6:$A$11,1))))/(INDEX(Reference!$A$6:$A$11,MIN(5,MATCH(MAX(Reference!$A$6,MIN(Reference!$A$11,MIN(D224,150))),Reference!$A$6:$A$11,1))+1)-INDEX(Reference!$A$6:$A$11,MIN(5,MATCH(MAX(Reference!$A$6,MIN(Reference!$A$11,MIN(D224,150))),Reference!$A$6:$A$11,1))))),0)+IF(4&lt;=AE224,(AE224-4+3)*(INDEX(Reference!$B$6:$B$11,MIN(5,MATCH(MAX(Reference!$A$6,MIN(Reference!$A$11,MIN(D224,180))),Reference!$A$6:$A$11,1)))+(MAX(Reference!$A$6,MIN(Reference!$A$11,MIN(D224,180)))-INDEX(Reference!$A$6:$A$11,MIN(5,MATCH(MAX(Reference!$A$6,MIN(Reference!$A$11,MIN(D224,180))),Reference!$A$6:$A$11,1))))*(INDEX(Reference!$B$6:$B$11,MIN(5,MATCH(MAX(Reference!$A$6,MIN(Reference!$A$11,MIN(D224,180))),Reference!$A$6:$A$11,1))+1)-INDEX(Reference!$B$6:$B$11,MIN(5,MATCH(MAX(Reference!$A$6,MIN(Reference!$A$11,MIN(D224,180))),Reference!$A$6:$A$11,1))))/(INDEX(Reference!$A$6:$A$11,MIN(5,MATCH(MAX(Reference!$A$6,MIN(Reference!$A$11,MIN(D224,180))),Reference!$A$6:$A$11,1))+1)-INDEX(Reference!$A$6:$A$11,MIN(5,MATCH(MAX(Reference!$A$6,MIN(Reference!$A$11,MIN(D224,180))),Reference!$A$6:$A$11,1))))),0)+IF(5&lt;=AE224,(AE224-5+3)*(INDEX(Reference!$B$6:$B$11,MIN(5,MATCH(MAX(Reference!$A$6,MIN(Reference!$A$11,MIN(D224,210))),Reference!$A$6:$A$11,1)))+(MAX(Reference!$A$6,MIN(Reference!$A$11,MIN(D224,210)))-INDEX(Reference!$A$6:$A$11,MIN(5,MATCH(MAX(Reference!$A$6,MIN(Reference!$A$11,MIN(D224,210))),Reference!$A$6:$A$11,1))))*(INDEX(Reference!$B$6:$B$11,MIN(5,MATCH(MAX(Reference!$A$6,MIN(Reference!$A$11,MIN(D224,210))),Reference!$A$6:$A$11,1))+1)-INDEX(Reference!$B$6:$B$11,MIN(5,MATCH(MAX(Reference!$A$6,MIN(Reference!$A$11,MIN(D224,210))),Reference!$A$6:$A$11,1))))/(INDEX(Reference!$A$6:$A$11,MIN(5,MATCH(MAX(Reference!$A$6,MIN(Reference!$A$11,MIN(D224,210))),Reference!$A$6:$A$11,1))+1)-INDEX(Reference!$A$6:$A$11,MIN(5,MATCH(MAX(Reference!$A$6,MIN(Reference!$A$11,MIN(D224,210))),Reference!$A$6:$A$11,1))))),0)+IF(6&lt;=AE224,(AE224-6+3)*(INDEX(Reference!$B$6:$B$11,MIN(5,MATCH(MAX(Reference!$A$6,MIN(Reference!$A$11,MIN(D224,240))),Reference!$A$6:$A$11,1)))+(MAX(Reference!$A$6,MIN(Reference!$A$11,MIN(D224,240)))-INDEX(Reference!$A$6:$A$11,MIN(5,MATCH(MAX(Reference!$A$6,MIN(Reference!$A$11,MIN(D224,240))),Reference!$A$6:$A$11,1))))*(INDEX(Reference!$B$6:$B$11,MIN(5,MATCH(MAX(Reference!$A$6,MIN(Reference!$A$11,MIN(D224,240))),Reference!$A$6:$A$11,1))+1)-INDEX(Reference!$B$6:$B$11,MIN(5,MATCH(MAX(Reference!$A$6,MIN(Reference!$A$11,MIN(D224,240))),Reference!$A$6:$A$11,1))))/(INDEX(Reference!$A$6:$A$11,MIN(5,MATCH(MAX(Reference!$A$6,MIN(Reference!$A$11,MIN(D224,240))),Reference!$A$6:$A$11,1))+1)-INDEX(Reference!$A$6:$A$11,MIN(5,MATCH(MAX(Reference!$A$6,MIN(Reference!$A$11,MIN(D224,240))),Reference!$A$6:$A$11,1))))),0)+IF(7&lt;=AE224,(AE224-7+3)*(INDEX(Reference!$B$6:$B$11,MIN(5,MATCH(MAX(Reference!$A$6,MIN(Reference!$A$11,MIN(D224,270))),Reference!$A$6:$A$11,1)))+(MAX(Reference!$A$6,MIN(Reference!$A$11,MIN(D224,270)))-INDEX(Reference!$A$6:$A$11,MIN(5,MATCH(MAX(Reference!$A$6,MIN(Reference!$A$11,MIN(D224,270))),Reference!$A$6:$A$11,1))))*(INDEX(Reference!$B$6:$B$11,MIN(5,MATCH(MAX(Reference!$A$6,MIN(Reference!$A$11,MIN(D224,270))),Reference!$A$6:$A$11,1))+1)-INDEX(Reference!$B$6:$B$11,MIN(5,MATCH(MAX(Reference!$A$6,MIN(Reference!$A$11,MIN(D224,270))),Reference!$A$6:$A$11,1))))/(INDEX(Reference!$A$6:$A$11,MIN(5,MATCH(MAX(Reference!$A$6,MIN(Reference!$A$11,MIN(D224,270))),Reference!$A$6:$A$11,1))+1)-INDEX(Reference!$A$6:$A$11,MIN(5,MATCH(MAX(Reference!$A$6,MIN(Reference!$A$11,MIN(D224,270))),Reference!$A$6:$A$11,1))))),0)+IF(8&lt;=AE224,(AE224-8+3)*(INDEX(Reference!$B$6:$B$11,MIN(5,MATCH(MAX(Reference!$A$6,MIN(Reference!$A$11,MIN(D224,300))),Reference!$A$6:$A$11,1)))+(MAX(Reference!$A$6,MIN(Reference!$A$11,MIN(D224,300)))-INDEX(Reference!$A$6:$A$11,MIN(5,MATCH(MAX(Reference!$A$6,MIN(Reference!$A$11,MIN(D224,300))),Reference!$A$6:$A$11,1))))*(INDEX(Reference!$B$6:$B$11,MIN(5,MATCH(MAX(Reference!$A$6,MIN(Reference!$A$11,MIN(D224,300))),Reference!$A$6:$A$11,1))+1)-INDEX(Reference!$B$6:$B$11,MIN(5,MATCH(MAX(Reference!$A$6,MIN(Reference!$A$11,MIN(D224,300))),Reference!$A$6:$A$11,1))))/(INDEX(Reference!$A$6:$A$11,MIN(5,MATCH(MAX(Reference!$A$6,MIN(Reference!$A$11,MIN(D224,300))),Reference!$A$6:$A$11,1))+1)-INDEX(Reference!$A$6:$A$11,MIN(5,MATCH(MAX(Reference!$A$6,MIN(Reference!$A$11,MIN(D224,300))),Reference!$A$6:$A$11,1))))),0))/(AE224*(AE224+5)/2)),(INDEX(Reference!$B$6:$B$11,MIN(5,MATCH(MAX(Reference!$A$6,MIN(Reference!$A$11,D224)),Reference!$A$6:$A$11,1)))+(MAX(Reference!$A$6,MIN(Reference!$A$11,D224))-INDEX(Reference!$A$6:$A$11,MIN(5,MATCH(MAX(Reference!$A$6,MIN(Reference!$A$11,D224)),Reference!$A$6:$A$11,1))))*(INDEX(Reference!$B$6:$B$11,MIN(5,MATCH(MAX(Reference!$A$6,MIN(Reference!$A$11,D224)),Reference!$A$6:$A$11,1))+1)-INDEX(Reference!$B$6:$B$11,MIN(5,MATCH(MAX(Reference!$A$6,MIN(Reference!$A$11,D224)),Reference!$A$6:$A$11,1))))/(INDEX(Reference!$A$6:$A$11,MIN(5,MATCH(MAX(Reference!$A$6,MIN(Reference!$A$11,D224)),Reference!$A$6:$A$11,1))+1)-INDEX(Reference!$A$6:$A$11,MIN(5,MATCH(MAX(Reference!$A$6,MIN(Reference!$A$11,D224)),Reference!$A$6:$A$11,1))))))))</f>
        <v/>
      </c>
      <c r="P224" s="32" t="str">
        <f>IF(N224="","",VLOOKUP(MAX(N224,0),Reference!$A$17:$B$20,2,TRUE()))</f>
        <v/>
      </c>
      <c r="Q224" s="32" t="str">
        <f t="shared" si="30"/>
        <v/>
      </c>
      <c r="R224" s="31"/>
      <c r="S224" s="31"/>
      <c r="T224" s="31"/>
      <c r="U224" s="32" t="str">
        <f t="shared" si="31"/>
        <v/>
      </c>
      <c r="V224" s="32" t="str">
        <f t="shared" si="32"/>
        <v/>
      </c>
      <c r="W224" s="32" t="str">
        <f>IF(V224="","",VLOOKUP(MAX(V224,0),Reference!$A$17:$B$20,2,TRUE()))</f>
        <v/>
      </c>
      <c r="X224" s="31"/>
      <c r="Y224" s="31"/>
      <c r="Z224" s="31"/>
      <c r="AA224" s="32" t="str">
        <f t="shared" si="33"/>
        <v/>
      </c>
      <c r="AB224" s="32" t="str">
        <f t="shared" si="34"/>
        <v/>
      </c>
      <c r="AC224" s="32" t="str">
        <f>IF(AB224="","",VLOOKUP(MAX(AB224,0),Reference!$A$17:$B$20,2,TRUE()))</f>
        <v/>
      </c>
      <c r="AD224" s="31"/>
      <c r="AE224">
        <f t="shared" si="35"/>
        <v>1</v>
      </c>
      <c r="AF224" s="33" t="str">
        <f>IF(OR(A224="",B224="",AND(C224&lt;&gt;"Bullpen",C224&lt;&gt;"Game")),"",IF((COUNTIFS($B$5:$B$300,B224,$A$5:$A$300,A224-1,$C$5:$C$300,"Bullpen",$AG$5:$AG$300,"&gt;0") + COUNTIFS($B$5:$B$300,B224,$A$5:$A$300,A224-1,$C$5:$C$300,"Game",$AG$5:$AG$300,"&gt;0"))&gt;0,Reference!$B$119,IF((COUNTIFS($B$5:$B$300,B224,$A$5:$A$300,A224-2,$C$5:$C$300,"Bullpen",$AG$5:$AG$300,"&gt;0") + COUNTIFS($B$5:$B$300,B224,$A$5:$A$300,A224-2,$C$5:$C$300,"Game",$AG$5:$AG$300,"&gt;0"))&gt;0,Reference!$B$120,1)))</f>
        <v/>
      </c>
      <c r="AG224" s="30" t="str">
        <f>IF(AND(OR(I224="",O224="",P224=""),OR(R224="",W224=""),OR(X224="",AC224="")),"",IF(OR(I224="",O224="",P224=""),0,I224*O224*P224)+IF(OR(R224="",W224=""),0,R224*IFERROR(INDEX(Reference!$B$61:$B$62,MATCH("Bullpen",Reference!$A$61:$A$62,0)),0)*W224)+IF(OR(X224="",AC224=""),0,X224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224))</f>
        <v/>
      </c>
    </row>
    <row r="225" spans="1:33" x14ac:dyDescent="0.3">
      <c r="A225" s="35"/>
      <c r="B225" s="31"/>
      <c r="C225" s="31"/>
      <c r="D225" s="31"/>
      <c r="E225" s="34"/>
      <c r="F225" s="34"/>
      <c r="G225" s="30" t="str">
        <f t="shared" si="27"/>
        <v/>
      </c>
      <c r="H225" s="31"/>
      <c r="I225" s="32" t="str">
        <f>IF(H225&lt;&gt;"",H225,IF(G225="","",ROUND(G225*IFERROR(INDEX(Reference!$B$44:$B$50,MATCH(C225,Reference!$A$44:$A$50,0)),0),0)))</f>
        <v/>
      </c>
      <c r="J225" s="31"/>
      <c r="K225" s="31"/>
      <c r="L225" s="32" t="str">
        <f t="shared" si="28"/>
        <v/>
      </c>
      <c r="M225" s="32" t="str">
        <f>IFERROR(INDEX(Roster!$D$5:$D$40,MATCH(B225,Roster!$A$5:$A$40,0)),"")</f>
        <v/>
      </c>
      <c r="N225" s="32" t="str">
        <f t="shared" si="29"/>
        <v/>
      </c>
      <c r="O225" s="32" t="str">
        <f>IF(OR(C225="Bullpen",C225="Game"),IFERROR(INDEX(Reference!$B$61:$B$62,MATCH(C225,Reference!$A$61:$A$62,0)),""),IF(D225="","",IF(AE225&gt;1,((IF(1&lt;=AE225,(AE225-1+3)*(INDEX(Reference!$B$6:$B$11,MIN(5,MATCH(MAX(Reference!$A$6,MIN(Reference!$A$11,MIN(D225,90))),Reference!$A$6:$A$11,1)))+(MAX(Reference!$A$6,MIN(Reference!$A$11,MIN(D225,90)))-INDEX(Reference!$A$6:$A$11,MIN(5,MATCH(MAX(Reference!$A$6,MIN(Reference!$A$11,MIN(D225,90))),Reference!$A$6:$A$11,1))))*(INDEX(Reference!$B$6:$B$11,MIN(5,MATCH(MAX(Reference!$A$6,MIN(Reference!$A$11,MIN(D225,90))),Reference!$A$6:$A$11,1))+1)-INDEX(Reference!$B$6:$B$11,MIN(5,MATCH(MAX(Reference!$A$6,MIN(Reference!$A$11,MIN(D225,90))),Reference!$A$6:$A$11,1))))/(INDEX(Reference!$A$6:$A$11,MIN(5,MATCH(MAX(Reference!$A$6,MIN(Reference!$A$11,MIN(D225,90))),Reference!$A$6:$A$11,1))+1)-INDEX(Reference!$A$6:$A$11,MIN(5,MATCH(MAX(Reference!$A$6,MIN(Reference!$A$11,MIN(D225,90))),Reference!$A$6:$A$11,1))))),0)+IF(2&lt;=AE225,(AE225-2+3)*(INDEX(Reference!$B$6:$B$11,MIN(5,MATCH(MAX(Reference!$A$6,MIN(Reference!$A$11,MIN(D225,120))),Reference!$A$6:$A$11,1)))+(MAX(Reference!$A$6,MIN(Reference!$A$11,MIN(D225,120)))-INDEX(Reference!$A$6:$A$11,MIN(5,MATCH(MAX(Reference!$A$6,MIN(Reference!$A$11,MIN(D225,120))),Reference!$A$6:$A$11,1))))*(INDEX(Reference!$B$6:$B$11,MIN(5,MATCH(MAX(Reference!$A$6,MIN(Reference!$A$11,MIN(D225,120))),Reference!$A$6:$A$11,1))+1)-INDEX(Reference!$B$6:$B$11,MIN(5,MATCH(MAX(Reference!$A$6,MIN(Reference!$A$11,MIN(D225,120))),Reference!$A$6:$A$11,1))))/(INDEX(Reference!$A$6:$A$11,MIN(5,MATCH(MAX(Reference!$A$6,MIN(Reference!$A$11,MIN(D225,120))),Reference!$A$6:$A$11,1))+1)-INDEX(Reference!$A$6:$A$11,MIN(5,MATCH(MAX(Reference!$A$6,MIN(Reference!$A$11,MIN(D225,120))),Reference!$A$6:$A$11,1))))),0)+IF(3&lt;=AE225,(AE225-3+3)*(INDEX(Reference!$B$6:$B$11,MIN(5,MATCH(MAX(Reference!$A$6,MIN(Reference!$A$11,MIN(D225,150))),Reference!$A$6:$A$11,1)))+(MAX(Reference!$A$6,MIN(Reference!$A$11,MIN(D225,150)))-INDEX(Reference!$A$6:$A$11,MIN(5,MATCH(MAX(Reference!$A$6,MIN(Reference!$A$11,MIN(D225,150))),Reference!$A$6:$A$11,1))))*(INDEX(Reference!$B$6:$B$11,MIN(5,MATCH(MAX(Reference!$A$6,MIN(Reference!$A$11,MIN(D225,150))),Reference!$A$6:$A$11,1))+1)-INDEX(Reference!$B$6:$B$11,MIN(5,MATCH(MAX(Reference!$A$6,MIN(Reference!$A$11,MIN(D225,150))),Reference!$A$6:$A$11,1))))/(INDEX(Reference!$A$6:$A$11,MIN(5,MATCH(MAX(Reference!$A$6,MIN(Reference!$A$11,MIN(D225,150))),Reference!$A$6:$A$11,1))+1)-INDEX(Reference!$A$6:$A$11,MIN(5,MATCH(MAX(Reference!$A$6,MIN(Reference!$A$11,MIN(D225,150))),Reference!$A$6:$A$11,1))))),0)+IF(4&lt;=AE225,(AE225-4+3)*(INDEX(Reference!$B$6:$B$11,MIN(5,MATCH(MAX(Reference!$A$6,MIN(Reference!$A$11,MIN(D225,180))),Reference!$A$6:$A$11,1)))+(MAX(Reference!$A$6,MIN(Reference!$A$11,MIN(D225,180)))-INDEX(Reference!$A$6:$A$11,MIN(5,MATCH(MAX(Reference!$A$6,MIN(Reference!$A$11,MIN(D225,180))),Reference!$A$6:$A$11,1))))*(INDEX(Reference!$B$6:$B$11,MIN(5,MATCH(MAX(Reference!$A$6,MIN(Reference!$A$11,MIN(D225,180))),Reference!$A$6:$A$11,1))+1)-INDEX(Reference!$B$6:$B$11,MIN(5,MATCH(MAX(Reference!$A$6,MIN(Reference!$A$11,MIN(D225,180))),Reference!$A$6:$A$11,1))))/(INDEX(Reference!$A$6:$A$11,MIN(5,MATCH(MAX(Reference!$A$6,MIN(Reference!$A$11,MIN(D225,180))),Reference!$A$6:$A$11,1))+1)-INDEX(Reference!$A$6:$A$11,MIN(5,MATCH(MAX(Reference!$A$6,MIN(Reference!$A$11,MIN(D225,180))),Reference!$A$6:$A$11,1))))),0)+IF(5&lt;=AE225,(AE225-5+3)*(INDEX(Reference!$B$6:$B$11,MIN(5,MATCH(MAX(Reference!$A$6,MIN(Reference!$A$11,MIN(D225,210))),Reference!$A$6:$A$11,1)))+(MAX(Reference!$A$6,MIN(Reference!$A$11,MIN(D225,210)))-INDEX(Reference!$A$6:$A$11,MIN(5,MATCH(MAX(Reference!$A$6,MIN(Reference!$A$11,MIN(D225,210))),Reference!$A$6:$A$11,1))))*(INDEX(Reference!$B$6:$B$11,MIN(5,MATCH(MAX(Reference!$A$6,MIN(Reference!$A$11,MIN(D225,210))),Reference!$A$6:$A$11,1))+1)-INDEX(Reference!$B$6:$B$11,MIN(5,MATCH(MAX(Reference!$A$6,MIN(Reference!$A$11,MIN(D225,210))),Reference!$A$6:$A$11,1))))/(INDEX(Reference!$A$6:$A$11,MIN(5,MATCH(MAX(Reference!$A$6,MIN(Reference!$A$11,MIN(D225,210))),Reference!$A$6:$A$11,1))+1)-INDEX(Reference!$A$6:$A$11,MIN(5,MATCH(MAX(Reference!$A$6,MIN(Reference!$A$11,MIN(D225,210))),Reference!$A$6:$A$11,1))))),0)+IF(6&lt;=AE225,(AE225-6+3)*(INDEX(Reference!$B$6:$B$11,MIN(5,MATCH(MAX(Reference!$A$6,MIN(Reference!$A$11,MIN(D225,240))),Reference!$A$6:$A$11,1)))+(MAX(Reference!$A$6,MIN(Reference!$A$11,MIN(D225,240)))-INDEX(Reference!$A$6:$A$11,MIN(5,MATCH(MAX(Reference!$A$6,MIN(Reference!$A$11,MIN(D225,240))),Reference!$A$6:$A$11,1))))*(INDEX(Reference!$B$6:$B$11,MIN(5,MATCH(MAX(Reference!$A$6,MIN(Reference!$A$11,MIN(D225,240))),Reference!$A$6:$A$11,1))+1)-INDEX(Reference!$B$6:$B$11,MIN(5,MATCH(MAX(Reference!$A$6,MIN(Reference!$A$11,MIN(D225,240))),Reference!$A$6:$A$11,1))))/(INDEX(Reference!$A$6:$A$11,MIN(5,MATCH(MAX(Reference!$A$6,MIN(Reference!$A$11,MIN(D225,240))),Reference!$A$6:$A$11,1))+1)-INDEX(Reference!$A$6:$A$11,MIN(5,MATCH(MAX(Reference!$A$6,MIN(Reference!$A$11,MIN(D225,240))),Reference!$A$6:$A$11,1))))),0)+IF(7&lt;=AE225,(AE225-7+3)*(INDEX(Reference!$B$6:$B$11,MIN(5,MATCH(MAX(Reference!$A$6,MIN(Reference!$A$11,MIN(D225,270))),Reference!$A$6:$A$11,1)))+(MAX(Reference!$A$6,MIN(Reference!$A$11,MIN(D225,270)))-INDEX(Reference!$A$6:$A$11,MIN(5,MATCH(MAX(Reference!$A$6,MIN(Reference!$A$11,MIN(D225,270))),Reference!$A$6:$A$11,1))))*(INDEX(Reference!$B$6:$B$11,MIN(5,MATCH(MAX(Reference!$A$6,MIN(Reference!$A$11,MIN(D225,270))),Reference!$A$6:$A$11,1))+1)-INDEX(Reference!$B$6:$B$11,MIN(5,MATCH(MAX(Reference!$A$6,MIN(Reference!$A$11,MIN(D225,270))),Reference!$A$6:$A$11,1))))/(INDEX(Reference!$A$6:$A$11,MIN(5,MATCH(MAX(Reference!$A$6,MIN(Reference!$A$11,MIN(D225,270))),Reference!$A$6:$A$11,1))+1)-INDEX(Reference!$A$6:$A$11,MIN(5,MATCH(MAX(Reference!$A$6,MIN(Reference!$A$11,MIN(D225,270))),Reference!$A$6:$A$11,1))))),0)+IF(8&lt;=AE225,(AE225-8+3)*(INDEX(Reference!$B$6:$B$11,MIN(5,MATCH(MAX(Reference!$A$6,MIN(Reference!$A$11,MIN(D225,300))),Reference!$A$6:$A$11,1)))+(MAX(Reference!$A$6,MIN(Reference!$A$11,MIN(D225,300)))-INDEX(Reference!$A$6:$A$11,MIN(5,MATCH(MAX(Reference!$A$6,MIN(Reference!$A$11,MIN(D225,300))),Reference!$A$6:$A$11,1))))*(INDEX(Reference!$B$6:$B$11,MIN(5,MATCH(MAX(Reference!$A$6,MIN(Reference!$A$11,MIN(D225,300))),Reference!$A$6:$A$11,1))+1)-INDEX(Reference!$B$6:$B$11,MIN(5,MATCH(MAX(Reference!$A$6,MIN(Reference!$A$11,MIN(D225,300))),Reference!$A$6:$A$11,1))))/(INDEX(Reference!$A$6:$A$11,MIN(5,MATCH(MAX(Reference!$A$6,MIN(Reference!$A$11,MIN(D225,300))),Reference!$A$6:$A$11,1))+1)-INDEX(Reference!$A$6:$A$11,MIN(5,MATCH(MAX(Reference!$A$6,MIN(Reference!$A$11,MIN(D225,300))),Reference!$A$6:$A$11,1))))),0))/(AE225*(AE225+5)/2)),(INDEX(Reference!$B$6:$B$11,MIN(5,MATCH(MAX(Reference!$A$6,MIN(Reference!$A$11,D225)),Reference!$A$6:$A$11,1)))+(MAX(Reference!$A$6,MIN(Reference!$A$11,D225))-INDEX(Reference!$A$6:$A$11,MIN(5,MATCH(MAX(Reference!$A$6,MIN(Reference!$A$11,D225)),Reference!$A$6:$A$11,1))))*(INDEX(Reference!$B$6:$B$11,MIN(5,MATCH(MAX(Reference!$A$6,MIN(Reference!$A$11,D225)),Reference!$A$6:$A$11,1))+1)-INDEX(Reference!$B$6:$B$11,MIN(5,MATCH(MAX(Reference!$A$6,MIN(Reference!$A$11,D225)),Reference!$A$6:$A$11,1))))/(INDEX(Reference!$A$6:$A$11,MIN(5,MATCH(MAX(Reference!$A$6,MIN(Reference!$A$11,D225)),Reference!$A$6:$A$11,1))+1)-INDEX(Reference!$A$6:$A$11,MIN(5,MATCH(MAX(Reference!$A$6,MIN(Reference!$A$11,D225)),Reference!$A$6:$A$11,1))))))))</f>
        <v/>
      </c>
      <c r="P225" s="32" t="str">
        <f>IF(N225="","",VLOOKUP(MAX(N225,0),Reference!$A$17:$B$20,2,TRUE()))</f>
        <v/>
      </c>
      <c r="Q225" s="32" t="str">
        <f t="shared" si="30"/>
        <v/>
      </c>
      <c r="R225" s="31"/>
      <c r="S225" s="31"/>
      <c r="T225" s="31"/>
      <c r="U225" s="32" t="str">
        <f t="shared" si="31"/>
        <v/>
      </c>
      <c r="V225" s="32" t="str">
        <f t="shared" si="32"/>
        <v/>
      </c>
      <c r="W225" s="32" t="str">
        <f>IF(V225="","",VLOOKUP(MAX(V225,0),Reference!$A$17:$B$20,2,TRUE()))</f>
        <v/>
      </c>
      <c r="X225" s="31"/>
      <c r="Y225" s="31"/>
      <c r="Z225" s="31"/>
      <c r="AA225" s="32" t="str">
        <f t="shared" si="33"/>
        <v/>
      </c>
      <c r="AB225" s="32" t="str">
        <f t="shared" si="34"/>
        <v/>
      </c>
      <c r="AC225" s="32" t="str">
        <f>IF(AB225="","",VLOOKUP(MAX(AB225,0),Reference!$A$17:$B$20,2,TRUE()))</f>
        <v/>
      </c>
      <c r="AD225" s="31"/>
      <c r="AE225">
        <f t="shared" si="35"/>
        <v>1</v>
      </c>
      <c r="AF225" s="33" t="str">
        <f>IF(OR(A225="",B225="",AND(C225&lt;&gt;"Bullpen",C225&lt;&gt;"Game")),"",IF((COUNTIFS($B$5:$B$300,B225,$A$5:$A$300,A225-1,$C$5:$C$300,"Bullpen",$AG$5:$AG$300,"&gt;0") + COUNTIFS($B$5:$B$300,B225,$A$5:$A$300,A225-1,$C$5:$C$300,"Game",$AG$5:$AG$300,"&gt;0"))&gt;0,Reference!$B$119,IF((COUNTIFS($B$5:$B$300,B225,$A$5:$A$300,A225-2,$C$5:$C$300,"Bullpen",$AG$5:$AG$300,"&gt;0") + COUNTIFS($B$5:$B$300,B225,$A$5:$A$300,A225-2,$C$5:$C$300,"Game",$AG$5:$AG$300,"&gt;0"))&gt;0,Reference!$B$120,1)))</f>
        <v/>
      </c>
      <c r="AG225" s="30" t="str">
        <f>IF(AND(OR(I225="",O225="",P225=""),OR(R225="",W225=""),OR(X225="",AC225="")),"",IF(OR(I225="",O225="",P225=""),0,I225*O225*P225)+IF(OR(R225="",W225=""),0,R225*IFERROR(INDEX(Reference!$B$61:$B$62,MATCH("Bullpen",Reference!$A$61:$A$62,0)),0)*W225)+IF(OR(X225="",AC225=""),0,X225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225))</f>
        <v/>
      </c>
    </row>
    <row r="226" spans="1:33" x14ac:dyDescent="0.3">
      <c r="A226" s="35"/>
      <c r="B226" s="31"/>
      <c r="C226" s="31"/>
      <c r="D226" s="31"/>
      <c r="E226" s="34"/>
      <c r="F226" s="34"/>
      <c r="G226" s="30" t="str">
        <f t="shared" si="27"/>
        <v/>
      </c>
      <c r="H226" s="31"/>
      <c r="I226" s="32" t="str">
        <f>IF(H226&lt;&gt;"",H226,IF(G226="","",ROUND(G226*IFERROR(INDEX(Reference!$B$44:$B$50,MATCH(C226,Reference!$A$44:$A$50,0)),0),0)))</f>
        <v/>
      </c>
      <c r="J226" s="31"/>
      <c r="K226" s="31"/>
      <c r="L226" s="32" t="str">
        <f t="shared" si="28"/>
        <v/>
      </c>
      <c r="M226" s="32" t="str">
        <f>IFERROR(INDEX(Roster!$D$5:$D$40,MATCH(B226,Roster!$A$5:$A$40,0)),"")</f>
        <v/>
      </c>
      <c r="N226" s="32" t="str">
        <f t="shared" si="29"/>
        <v/>
      </c>
      <c r="O226" s="32" t="str">
        <f>IF(OR(C226="Bullpen",C226="Game"),IFERROR(INDEX(Reference!$B$61:$B$62,MATCH(C226,Reference!$A$61:$A$62,0)),""),IF(D226="","",IF(AE226&gt;1,((IF(1&lt;=AE226,(AE226-1+3)*(INDEX(Reference!$B$6:$B$11,MIN(5,MATCH(MAX(Reference!$A$6,MIN(Reference!$A$11,MIN(D226,90))),Reference!$A$6:$A$11,1)))+(MAX(Reference!$A$6,MIN(Reference!$A$11,MIN(D226,90)))-INDEX(Reference!$A$6:$A$11,MIN(5,MATCH(MAX(Reference!$A$6,MIN(Reference!$A$11,MIN(D226,90))),Reference!$A$6:$A$11,1))))*(INDEX(Reference!$B$6:$B$11,MIN(5,MATCH(MAX(Reference!$A$6,MIN(Reference!$A$11,MIN(D226,90))),Reference!$A$6:$A$11,1))+1)-INDEX(Reference!$B$6:$B$11,MIN(5,MATCH(MAX(Reference!$A$6,MIN(Reference!$A$11,MIN(D226,90))),Reference!$A$6:$A$11,1))))/(INDEX(Reference!$A$6:$A$11,MIN(5,MATCH(MAX(Reference!$A$6,MIN(Reference!$A$11,MIN(D226,90))),Reference!$A$6:$A$11,1))+1)-INDEX(Reference!$A$6:$A$11,MIN(5,MATCH(MAX(Reference!$A$6,MIN(Reference!$A$11,MIN(D226,90))),Reference!$A$6:$A$11,1))))),0)+IF(2&lt;=AE226,(AE226-2+3)*(INDEX(Reference!$B$6:$B$11,MIN(5,MATCH(MAX(Reference!$A$6,MIN(Reference!$A$11,MIN(D226,120))),Reference!$A$6:$A$11,1)))+(MAX(Reference!$A$6,MIN(Reference!$A$11,MIN(D226,120)))-INDEX(Reference!$A$6:$A$11,MIN(5,MATCH(MAX(Reference!$A$6,MIN(Reference!$A$11,MIN(D226,120))),Reference!$A$6:$A$11,1))))*(INDEX(Reference!$B$6:$B$11,MIN(5,MATCH(MAX(Reference!$A$6,MIN(Reference!$A$11,MIN(D226,120))),Reference!$A$6:$A$11,1))+1)-INDEX(Reference!$B$6:$B$11,MIN(5,MATCH(MAX(Reference!$A$6,MIN(Reference!$A$11,MIN(D226,120))),Reference!$A$6:$A$11,1))))/(INDEX(Reference!$A$6:$A$11,MIN(5,MATCH(MAX(Reference!$A$6,MIN(Reference!$A$11,MIN(D226,120))),Reference!$A$6:$A$11,1))+1)-INDEX(Reference!$A$6:$A$11,MIN(5,MATCH(MAX(Reference!$A$6,MIN(Reference!$A$11,MIN(D226,120))),Reference!$A$6:$A$11,1))))),0)+IF(3&lt;=AE226,(AE226-3+3)*(INDEX(Reference!$B$6:$B$11,MIN(5,MATCH(MAX(Reference!$A$6,MIN(Reference!$A$11,MIN(D226,150))),Reference!$A$6:$A$11,1)))+(MAX(Reference!$A$6,MIN(Reference!$A$11,MIN(D226,150)))-INDEX(Reference!$A$6:$A$11,MIN(5,MATCH(MAX(Reference!$A$6,MIN(Reference!$A$11,MIN(D226,150))),Reference!$A$6:$A$11,1))))*(INDEX(Reference!$B$6:$B$11,MIN(5,MATCH(MAX(Reference!$A$6,MIN(Reference!$A$11,MIN(D226,150))),Reference!$A$6:$A$11,1))+1)-INDEX(Reference!$B$6:$B$11,MIN(5,MATCH(MAX(Reference!$A$6,MIN(Reference!$A$11,MIN(D226,150))),Reference!$A$6:$A$11,1))))/(INDEX(Reference!$A$6:$A$11,MIN(5,MATCH(MAX(Reference!$A$6,MIN(Reference!$A$11,MIN(D226,150))),Reference!$A$6:$A$11,1))+1)-INDEX(Reference!$A$6:$A$11,MIN(5,MATCH(MAX(Reference!$A$6,MIN(Reference!$A$11,MIN(D226,150))),Reference!$A$6:$A$11,1))))),0)+IF(4&lt;=AE226,(AE226-4+3)*(INDEX(Reference!$B$6:$B$11,MIN(5,MATCH(MAX(Reference!$A$6,MIN(Reference!$A$11,MIN(D226,180))),Reference!$A$6:$A$11,1)))+(MAX(Reference!$A$6,MIN(Reference!$A$11,MIN(D226,180)))-INDEX(Reference!$A$6:$A$11,MIN(5,MATCH(MAX(Reference!$A$6,MIN(Reference!$A$11,MIN(D226,180))),Reference!$A$6:$A$11,1))))*(INDEX(Reference!$B$6:$B$11,MIN(5,MATCH(MAX(Reference!$A$6,MIN(Reference!$A$11,MIN(D226,180))),Reference!$A$6:$A$11,1))+1)-INDEX(Reference!$B$6:$B$11,MIN(5,MATCH(MAX(Reference!$A$6,MIN(Reference!$A$11,MIN(D226,180))),Reference!$A$6:$A$11,1))))/(INDEX(Reference!$A$6:$A$11,MIN(5,MATCH(MAX(Reference!$A$6,MIN(Reference!$A$11,MIN(D226,180))),Reference!$A$6:$A$11,1))+1)-INDEX(Reference!$A$6:$A$11,MIN(5,MATCH(MAX(Reference!$A$6,MIN(Reference!$A$11,MIN(D226,180))),Reference!$A$6:$A$11,1))))),0)+IF(5&lt;=AE226,(AE226-5+3)*(INDEX(Reference!$B$6:$B$11,MIN(5,MATCH(MAX(Reference!$A$6,MIN(Reference!$A$11,MIN(D226,210))),Reference!$A$6:$A$11,1)))+(MAX(Reference!$A$6,MIN(Reference!$A$11,MIN(D226,210)))-INDEX(Reference!$A$6:$A$11,MIN(5,MATCH(MAX(Reference!$A$6,MIN(Reference!$A$11,MIN(D226,210))),Reference!$A$6:$A$11,1))))*(INDEX(Reference!$B$6:$B$11,MIN(5,MATCH(MAX(Reference!$A$6,MIN(Reference!$A$11,MIN(D226,210))),Reference!$A$6:$A$11,1))+1)-INDEX(Reference!$B$6:$B$11,MIN(5,MATCH(MAX(Reference!$A$6,MIN(Reference!$A$11,MIN(D226,210))),Reference!$A$6:$A$11,1))))/(INDEX(Reference!$A$6:$A$11,MIN(5,MATCH(MAX(Reference!$A$6,MIN(Reference!$A$11,MIN(D226,210))),Reference!$A$6:$A$11,1))+1)-INDEX(Reference!$A$6:$A$11,MIN(5,MATCH(MAX(Reference!$A$6,MIN(Reference!$A$11,MIN(D226,210))),Reference!$A$6:$A$11,1))))),0)+IF(6&lt;=AE226,(AE226-6+3)*(INDEX(Reference!$B$6:$B$11,MIN(5,MATCH(MAX(Reference!$A$6,MIN(Reference!$A$11,MIN(D226,240))),Reference!$A$6:$A$11,1)))+(MAX(Reference!$A$6,MIN(Reference!$A$11,MIN(D226,240)))-INDEX(Reference!$A$6:$A$11,MIN(5,MATCH(MAX(Reference!$A$6,MIN(Reference!$A$11,MIN(D226,240))),Reference!$A$6:$A$11,1))))*(INDEX(Reference!$B$6:$B$11,MIN(5,MATCH(MAX(Reference!$A$6,MIN(Reference!$A$11,MIN(D226,240))),Reference!$A$6:$A$11,1))+1)-INDEX(Reference!$B$6:$B$11,MIN(5,MATCH(MAX(Reference!$A$6,MIN(Reference!$A$11,MIN(D226,240))),Reference!$A$6:$A$11,1))))/(INDEX(Reference!$A$6:$A$11,MIN(5,MATCH(MAX(Reference!$A$6,MIN(Reference!$A$11,MIN(D226,240))),Reference!$A$6:$A$11,1))+1)-INDEX(Reference!$A$6:$A$11,MIN(5,MATCH(MAX(Reference!$A$6,MIN(Reference!$A$11,MIN(D226,240))),Reference!$A$6:$A$11,1))))),0)+IF(7&lt;=AE226,(AE226-7+3)*(INDEX(Reference!$B$6:$B$11,MIN(5,MATCH(MAX(Reference!$A$6,MIN(Reference!$A$11,MIN(D226,270))),Reference!$A$6:$A$11,1)))+(MAX(Reference!$A$6,MIN(Reference!$A$11,MIN(D226,270)))-INDEX(Reference!$A$6:$A$11,MIN(5,MATCH(MAX(Reference!$A$6,MIN(Reference!$A$11,MIN(D226,270))),Reference!$A$6:$A$11,1))))*(INDEX(Reference!$B$6:$B$11,MIN(5,MATCH(MAX(Reference!$A$6,MIN(Reference!$A$11,MIN(D226,270))),Reference!$A$6:$A$11,1))+1)-INDEX(Reference!$B$6:$B$11,MIN(5,MATCH(MAX(Reference!$A$6,MIN(Reference!$A$11,MIN(D226,270))),Reference!$A$6:$A$11,1))))/(INDEX(Reference!$A$6:$A$11,MIN(5,MATCH(MAX(Reference!$A$6,MIN(Reference!$A$11,MIN(D226,270))),Reference!$A$6:$A$11,1))+1)-INDEX(Reference!$A$6:$A$11,MIN(5,MATCH(MAX(Reference!$A$6,MIN(Reference!$A$11,MIN(D226,270))),Reference!$A$6:$A$11,1))))),0)+IF(8&lt;=AE226,(AE226-8+3)*(INDEX(Reference!$B$6:$B$11,MIN(5,MATCH(MAX(Reference!$A$6,MIN(Reference!$A$11,MIN(D226,300))),Reference!$A$6:$A$11,1)))+(MAX(Reference!$A$6,MIN(Reference!$A$11,MIN(D226,300)))-INDEX(Reference!$A$6:$A$11,MIN(5,MATCH(MAX(Reference!$A$6,MIN(Reference!$A$11,MIN(D226,300))),Reference!$A$6:$A$11,1))))*(INDEX(Reference!$B$6:$B$11,MIN(5,MATCH(MAX(Reference!$A$6,MIN(Reference!$A$11,MIN(D226,300))),Reference!$A$6:$A$11,1))+1)-INDEX(Reference!$B$6:$B$11,MIN(5,MATCH(MAX(Reference!$A$6,MIN(Reference!$A$11,MIN(D226,300))),Reference!$A$6:$A$11,1))))/(INDEX(Reference!$A$6:$A$11,MIN(5,MATCH(MAX(Reference!$A$6,MIN(Reference!$A$11,MIN(D226,300))),Reference!$A$6:$A$11,1))+1)-INDEX(Reference!$A$6:$A$11,MIN(5,MATCH(MAX(Reference!$A$6,MIN(Reference!$A$11,MIN(D226,300))),Reference!$A$6:$A$11,1))))),0))/(AE226*(AE226+5)/2)),(INDEX(Reference!$B$6:$B$11,MIN(5,MATCH(MAX(Reference!$A$6,MIN(Reference!$A$11,D226)),Reference!$A$6:$A$11,1)))+(MAX(Reference!$A$6,MIN(Reference!$A$11,D226))-INDEX(Reference!$A$6:$A$11,MIN(5,MATCH(MAX(Reference!$A$6,MIN(Reference!$A$11,D226)),Reference!$A$6:$A$11,1))))*(INDEX(Reference!$B$6:$B$11,MIN(5,MATCH(MAX(Reference!$A$6,MIN(Reference!$A$11,D226)),Reference!$A$6:$A$11,1))+1)-INDEX(Reference!$B$6:$B$11,MIN(5,MATCH(MAX(Reference!$A$6,MIN(Reference!$A$11,D226)),Reference!$A$6:$A$11,1))))/(INDEX(Reference!$A$6:$A$11,MIN(5,MATCH(MAX(Reference!$A$6,MIN(Reference!$A$11,D226)),Reference!$A$6:$A$11,1))+1)-INDEX(Reference!$A$6:$A$11,MIN(5,MATCH(MAX(Reference!$A$6,MIN(Reference!$A$11,D226)),Reference!$A$6:$A$11,1))))))))</f>
        <v/>
      </c>
      <c r="P226" s="32" t="str">
        <f>IF(N226="","",VLOOKUP(MAX(N226,0),Reference!$A$17:$B$20,2,TRUE()))</f>
        <v/>
      </c>
      <c r="Q226" s="32" t="str">
        <f t="shared" si="30"/>
        <v/>
      </c>
      <c r="R226" s="31"/>
      <c r="S226" s="31"/>
      <c r="T226" s="31"/>
      <c r="U226" s="32" t="str">
        <f t="shared" si="31"/>
        <v/>
      </c>
      <c r="V226" s="32" t="str">
        <f t="shared" si="32"/>
        <v/>
      </c>
      <c r="W226" s="32" t="str">
        <f>IF(V226="","",VLOOKUP(MAX(V226,0),Reference!$A$17:$B$20,2,TRUE()))</f>
        <v/>
      </c>
      <c r="X226" s="31"/>
      <c r="Y226" s="31"/>
      <c r="Z226" s="31"/>
      <c r="AA226" s="32" t="str">
        <f t="shared" si="33"/>
        <v/>
      </c>
      <c r="AB226" s="32" t="str">
        <f t="shared" si="34"/>
        <v/>
      </c>
      <c r="AC226" s="32" t="str">
        <f>IF(AB226="","",VLOOKUP(MAX(AB226,0),Reference!$A$17:$B$20,2,TRUE()))</f>
        <v/>
      </c>
      <c r="AD226" s="31"/>
      <c r="AE226">
        <f t="shared" si="35"/>
        <v>1</v>
      </c>
      <c r="AF226" s="33" t="str">
        <f>IF(OR(A226="",B226="",AND(C226&lt;&gt;"Bullpen",C226&lt;&gt;"Game")),"",IF((COUNTIFS($B$5:$B$300,B226,$A$5:$A$300,A226-1,$C$5:$C$300,"Bullpen",$AG$5:$AG$300,"&gt;0") + COUNTIFS($B$5:$B$300,B226,$A$5:$A$300,A226-1,$C$5:$C$300,"Game",$AG$5:$AG$300,"&gt;0"))&gt;0,Reference!$B$119,IF((COUNTIFS($B$5:$B$300,B226,$A$5:$A$300,A226-2,$C$5:$C$300,"Bullpen",$AG$5:$AG$300,"&gt;0") + COUNTIFS($B$5:$B$300,B226,$A$5:$A$300,A226-2,$C$5:$C$300,"Game",$AG$5:$AG$300,"&gt;0"))&gt;0,Reference!$B$120,1)))</f>
        <v/>
      </c>
      <c r="AG226" s="30" t="str">
        <f>IF(AND(OR(I226="",O226="",P226=""),OR(R226="",W226=""),OR(X226="",AC226="")),"",IF(OR(I226="",O226="",P226=""),0,I226*O226*P226)+IF(OR(R226="",W226=""),0,R226*IFERROR(INDEX(Reference!$B$61:$B$62,MATCH("Bullpen",Reference!$A$61:$A$62,0)),0)*W226)+IF(OR(X226="",AC226=""),0,X226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226))</f>
        <v/>
      </c>
    </row>
    <row r="227" spans="1:33" x14ac:dyDescent="0.3">
      <c r="A227" s="35"/>
      <c r="B227" s="31"/>
      <c r="C227" s="31"/>
      <c r="D227" s="31"/>
      <c r="E227" s="34"/>
      <c r="F227" s="34"/>
      <c r="G227" s="30" t="str">
        <f t="shared" si="27"/>
        <v/>
      </c>
      <c r="H227" s="31"/>
      <c r="I227" s="32" t="str">
        <f>IF(H227&lt;&gt;"",H227,IF(G227="","",ROUND(G227*IFERROR(INDEX(Reference!$B$44:$B$50,MATCH(C227,Reference!$A$44:$A$50,0)),0),0)))</f>
        <v/>
      </c>
      <c r="J227" s="31"/>
      <c r="K227" s="31"/>
      <c r="L227" s="32" t="str">
        <f t="shared" si="28"/>
        <v/>
      </c>
      <c r="M227" s="32" t="str">
        <f>IFERROR(INDEX(Roster!$D$5:$D$40,MATCH(B227,Roster!$A$5:$A$40,0)),"")</f>
        <v/>
      </c>
      <c r="N227" s="32" t="str">
        <f t="shared" si="29"/>
        <v/>
      </c>
      <c r="O227" s="32" t="str">
        <f>IF(OR(C227="Bullpen",C227="Game"),IFERROR(INDEX(Reference!$B$61:$B$62,MATCH(C227,Reference!$A$61:$A$62,0)),""),IF(D227="","",IF(AE227&gt;1,((IF(1&lt;=AE227,(AE227-1+3)*(INDEX(Reference!$B$6:$B$11,MIN(5,MATCH(MAX(Reference!$A$6,MIN(Reference!$A$11,MIN(D227,90))),Reference!$A$6:$A$11,1)))+(MAX(Reference!$A$6,MIN(Reference!$A$11,MIN(D227,90)))-INDEX(Reference!$A$6:$A$11,MIN(5,MATCH(MAX(Reference!$A$6,MIN(Reference!$A$11,MIN(D227,90))),Reference!$A$6:$A$11,1))))*(INDEX(Reference!$B$6:$B$11,MIN(5,MATCH(MAX(Reference!$A$6,MIN(Reference!$A$11,MIN(D227,90))),Reference!$A$6:$A$11,1))+1)-INDEX(Reference!$B$6:$B$11,MIN(5,MATCH(MAX(Reference!$A$6,MIN(Reference!$A$11,MIN(D227,90))),Reference!$A$6:$A$11,1))))/(INDEX(Reference!$A$6:$A$11,MIN(5,MATCH(MAX(Reference!$A$6,MIN(Reference!$A$11,MIN(D227,90))),Reference!$A$6:$A$11,1))+1)-INDEX(Reference!$A$6:$A$11,MIN(5,MATCH(MAX(Reference!$A$6,MIN(Reference!$A$11,MIN(D227,90))),Reference!$A$6:$A$11,1))))),0)+IF(2&lt;=AE227,(AE227-2+3)*(INDEX(Reference!$B$6:$B$11,MIN(5,MATCH(MAX(Reference!$A$6,MIN(Reference!$A$11,MIN(D227,120))),Reference!$A$6:$A$11,1)))+(MAX(Reference!$A$6,MIN(Reference!$A$11,MIN(D227,120)))-INDEX(Reference!$A$6:$A$11,MIN(5,MATCH(MAX(Reference!$A$6,MIN(Reference!$A$11,MIN(D227,120))),Reference!$A$6:$A$11,1))))*(INDEX(Reference!$B$6:$B$11,MIN(5,MATCH(MAX(Reference!$A$6,MIN(Reference!$A$11,MIN(D227,120))),Reference!$A$6:$A$11,1))+1)-INDEX(Reference!$B$6:$B$11,MIN(5,MATCH(MAX(Reference!$A$6,MIN(Reference!$A$11,MIN(D227,120))),Reference!$A$6:$A$11,1))))/(INDEX(Reference!$A$6:$A$11,MIN(5,MATCH(MAX(Reference!$A$6,MIN(Reference!$A$11,MIN(D227,120))),Reference!$A$6:$A$11,1))+1)-INDEX(Reference!$A$6:$A$11,MIN(5,MATCH(MAX(Reference!$A$6,MIN(Reference!$A$11,MIN(D227,120))),Reference!$A$6:$A$11,1))))),0)+IF(3&lt;=AE227,(AE227-3+3)*(INDEX(Reference!$B$6:$B$11,MIN(5,MATCH(MAX(Reference!$A$6,MIN(Reference!$A$11,MIN(D227,150))),Reference!$A$6:$A$11,1)))+(MAX(Reference!$A$6,MIN(Reference!$A$11,MIN(D227,150)))-INDEX(Reference!$A$6:$A$11,MIN(5,MATCH(MAX(Reference!$A$6,MIN(Reference!$A$11,MIN(D227,150))),Reference!$A$6:$A$11,1))))*(INDEX(Reference!$B$6:$B$11,MIN(5,MATCH(MAX(Reference!$A$6,MIN(Reference!$A$11,MIN(D227,150))),Reference!$A$6:$A$11,1))+1)-INDEX(Reference!$B$6:$B$11,MIN(5,MATCH(MAX(Reference!$A$6,MIN(Reference!$A$11,MIN(D227,150))),Reference!$A$6:$A$11,1))))/(INDEX(Reference!$A$6:$A$11,MIN(5,MATCH(MAX(Reference!$A$6,MIN(Reference!$A$11,MIN(D227,150))),Reference!$A$6:$A$11,1))+1)-INDEX(Reference!$A$6:$A$11,MIN(5,MATCH(MAX(Reference!$A$6,MIN(Reference!$A$11,MIN(D227,150))),Reference!$A$6:$A$11,1))))),0)+IF(4&lt;=AE227,(AE227-4+3)*(INDEX(Reference!$B$6:$B$11,MIN(5,MATCH(MAX(Reference!$A$6,MIN(Reference!$A$11,MIN(D227,180))),Reference!$A$6:$A$11,1)))+(MAX(Reference!$A$6,MIN(Reference!$A$11,MIN(D227,180)))-INDEX(Reference!$A$6:$A$11,MIN(5,MATCH(MAX(Reference!$A$6,MIN(Reference!$A$11,MIN(D227,180))),Reference!$A$6:$A$11,1))))*(INDEX(Reference!$B$6:$B$11,MIN(5,MATCH(MAX(Reference!$A$6,MIN(Reference!$A$11,MIN(D227,180))),Reference!$A$6:$A$11,1))+1)-INDEX(Reference!$B$6:$B$11,MIN(5,MATCH(MAX(Reference!$A$6,MIN(Reference!$A$11,MIN(D227,180))),Reference!$A$6:$A$11,1))))/(INDEX(Reference!$A$6:$A$11,MIN(5,MATCH(MAX(Reference!$A$6,MIN(Reference!$A$11,MIN(D227,180))),Reference!$A$6:$A$11,1))+1)-INDEX(Reference!$A$6:$A$11,MIN(5,MATCH(MAX(Reference!$A$6,MIN(Reference!$A$11,MIN(D227,180))),Reference!$A$6:$A$11,1))))),0)+IF(5&lt;=AE227,(AE227-5+3)*(INDEX(Reference!$B$6:$B$11,MIN(5,MATCH(MAX(Reference!$A$6,MIN(Reference!$A$11,MIN(D227,210))),Reference!$A$6:$A$11,1)))+(MAX(Reference!$A$6,MIN(Reference!$A$11,MIN(D227,210)))-INDEX(Reference!$A$6:$A$11,MIN(5,MATCH(MAX(Reference!$A$6,MIN(Reference!$A$11,MIN(D227,210))),Reference!$A$6:$A$11,1))))*(INDEX(Reference!$B$6:$B$11,MIN(5,MATCH(MAX(Reference!$A$6,MIN(Reference!$A$11,MIN(D227,210))),Reference!$A$6:$A$11,1))+1)-INDEX(Reference!$B$6:$B$11,MIN(5,MATCH(MAX(Reference!$A$6,MIN(Reference!$A$11,MIN(D227,210))),Reference!$A$6:$A$11,1))))/(INDEX(Reference!$A$6:$A$11,MIN(5,MATCH(MAX(Reference!$A$6,MIN(Reference!$A$11,MIN(D227,210))),Reference!$A$6:$A$11,1))+1)-INDEX(Reference!$A$6:$A$11,MIN(5,MATCH(MAX(Reference!$A$6,MIN(Reference!$A$11,MIN(D227,210))),Reference!$A$6:$A$11,1))))),0)+IF(6&lt;=AE227,(AE227-6+3)*(INDEX(Reference!$B$6:$B$11,MIN(5,MATCH(MAX(Reference!$A$6,MIN(Reference!$A$11,MIN(D227,240))),Reference!$A$6:$A$11,1)))+(MAX(Reference!$A$6,MIN(Reference!$A$11,MIN(D227,240)))-INDEX(Reference!$A$6:$A$11,MIN(5,MATCH(MAX(Reference!$A$6,MIN(Reference!$A$11,MIN(D227,240))),Reference!$A$6:$A$11,1))))*(INDEX(Reference!$B$6:$B$11,MIN(5,MATCH(MAX(Reference!$A$6,MIN(Reference!$A$11,MIN(D227,240))),Reference!$A$6:$A$11,1))+1)-INDEX(Reference!$B$6:$B$11,MIN(5,MATCH(MAX(Reference!$A$6,MIN(Reference!$A$11,MIN(D227,240))),Reference!$A$6:$A$11,1))))/(INDEX(Reference!$A$6:$A$11,MIN(5,MATCH(MAX(Reference!$A$6,MIN(Reference!$A$11,MIN(D227,240))),Reference!$A$6:$A$11,1))+1)-INDEX(Reference!$A$6:$A$11,MIN(5,MATCH(MAX(Reference!$A$6,MIN(Reference!$A$11,MIN(D227,240))),Reference!$A$6:$A$11,1))))),0)+IF(7&lt;=AE227,(AE227-7+3)*(INDEX(Reference!$B$6:$B$11,MIN(5,MATCH(MAX(Reference!$A$6,MIN(Reference!$A$11,MIN(D227,270))),Reference!$A$6:$A$11,1)))+(MAX(Reference!$A$6,MIN(Reference!$A$11,MIN(D227,270)))-INDEX(Reference!$A$6:$A$11,MIN(5,MATCH(MAX(Reference!$A$6,MIN(Reference!$A$11,MIN(D227,270))),Reference!$A$6:$A$11,1))))*(INDEX(Reference!$B$6:$B$11,MIN(5,MATCH(MAX(Reference!$A$6,MIN(Reference!$A$11,MIN(D227,270))),Reference!$A$6:$A$11,1))+1)-INDEX(Reference!$B$6:$B$11,MIN(5,MATCH(MAX(Reference!$A$6,MIN(Reference!$A$11,MIN(D227,270))),Reference!$A$6:$A$11,1))))/(INDEX(Reference!$A$6:$A$11,MIN(5,MATCH(MAX(Reference!$A$6,MIN(Reference!$A$11,MIN(D227,270))),Reference!$A$6:$A$11,1))+1)-INDEX(Reference!$A$6:$A$11,MIN(5,MATCH(MAX(Reference!$A$6,MIN(Reference!$A$11,MIN(D227,270))),Reference!$A$6:$A$11,1))))),0)+IF(8&lt;=AE227,(AE227-8+3)*(INDEX(Reference!$B$6:$B$11,MIN(5,MATCH(MAX(Reference!$A$6,MIN(Reference!$A$11,MIN(D227,300))),Reference!$A$6:$A$11,1)))+(MAX(Reference!$A$6,MIN(Reference!$A$11,MIN(D227,300)))-INDEX(Reference!$A$6:$A$11,MIN(5,MATCH(MAX(Reference!$A$6,MIN(Reference!$A$11,MIN(D227,300))),Reference!$A$6:$A$11,1))))*(INDEX(Reference!$B$6:$B$11,MIN(5,MATCH(MAX(Reference!$A$6,MIN(Reference!$A$11,MIN(D227,300))),Reference!$A$6:$A$11,1))+1)-INDEX(Reference!$B$6:$B$11,MIN(5,MATCH(MAX(Reference!$A$6,MIN(Reference!$A$11,MIN(D227,300))),Reference!$A$6:$A$11,1))))/(INDEX(Reference!$A$6:$A$11,MIN(5,MATCH(MAX(Reference!$A$6,MIN(Reference!$A$11,MIN(D227,300))),Reference!$A$6:$A$11,1))+1)-INDEX(Reference!$A$6:$A$11,MIN(5,MATCH(MAX(Reference!$A$6,MIN(Reference!$A$11,MIN(D227,300))),Reference!$A$6:$A$11,1))))),0))/(AE227*(AE227+5)/2)),(INDEX(Reference!$B$6:$B$11,MIN(5,MATCH(MAX(Reference!$A$6,MIN(Reference!$A$11,D227)),Reference!$A$6:$A$11,1)))+(MAX(Reference!$A$6,MIN(Reference!$A$11,D227))-INDEX(Reference!$A$6:$A$11,MIN(5,MATCH(MAX(Reference!$A$6,MIN(Reference!$A$11,D227)),Reference!$A$6:$A$11,1))))*(INDEX(Reference!$B$6:$B$11,MIN(5,MATCH(MAX(Reference!$A$6,MIN(Reference!$A$11,D227)),Reference!$A$6:$A$11,1))+1)-INDEX(Reference!$B$6:$B$11,MIN(5,MATCH(MAX(Reference!$A$6,MIN(Reference!$A$11,D227)),Reference!$A$6:$A$11,1))))/(INDEX(Reference!$A$6:$A$11,MIN(5,MATCH(MAX(Reference!$A$6,MIN(Reference!$A$11,D227)),Reference!$A$6:$A$11,1))+1)-INDEX(Reference!$A$6:$A$11,MIN(5,MATCH(MAX(Reference!$A$6,MIN(Reference!$A$11,D227)),Reference!$A$6:$A$11,1))))))))</f>
        <v/>
      </c>
      <c r="P227" s="32" t="str">
        <f>IF(N227="","",VLOOKUP(MAX(N227,0),Reference!$A$17:$B$20,2,TRUE()))</f>
        <v/>
      </c>
      <c r="Q227" s="32" t="str">
        <f t="shared" si="30"/>
        <v/>
      </c>
      <c r="R227" s="31"/>
      <c r="S227" s="31"/>
      <c r="T227" s="31"/>
      <c r="U227" s="32" t="str">
        <f t="shared" si="31"/>
        <v/>
      </c>
      <c r="V227" s="32" t="str">
        <f t="shared" si="32"/>
        <v/>
      </c>
      <c r="W227" s="32" t="str">
        <f>IF(V227="","",VLOOKUP(MAX(V227,0),Reference!$A$17:$B$20,2,TRUE()))</f>
        <v/>
      </c>
      <c r="X227" s="31"/>
      <c r="Y227" s="31"/>
      <c r="Z227" s="31"/>
      <c r="AA227" s="32" t="str">
        <f t="shared" si="33"/>
        <v/>
      </c>
      <c r="AB227" s="32" t="str">
        <f t="shared" si="34"/>
        <v/>
      </c>
      <c r="AC227" s="32" t="str">
        <f>IF(AB227="","",VLOOKUP(MAX(AB227,0),Reference!$A$17:$B$20,2,TRUE()))</f>
        <v/>
      </c>
      <c r="AD227" s="31"/>
      <c r="AE227">
        <f t="shared" si="35"/>
        <v>1</v>
      </c>
      <c r="AF227" s="33" t="str">
        <f>IF(OR(A227="",B227="",AND(C227&lt;&gt;"Bullpen",C227&lt;&gt;"Game")),"",IF((COUNTIFS($B$5:$B$300,B227,$A$5:$A$300,A227-1,$C$5:$C$300,"Bullpen",$AG$5:$AG$300,"&gt;0") + COUNTIFS($B$5:$B$300,B227,$A$5:$A$300,A227-1,$C$5:$C$300,"Game",$AG$5:$AG$300,"&gt;0"))&gt;0,Reference!$B$119,IF((COUNTIFS($B$5:$B$300,B227,$A$5:$A$300,A227-2,$C$5:$C$300,"Bullpen",$AG$5:$AG$300,"&gt;0") + COUNTIFS($B$5:$B$300,B227,$A$5:$A$300,A227-2,$C$5:$C$300,"Game",$AG$5:$AG$300,"&gt;0"))&gt;0,Reference!$B$120,1)))</f>
        <v/>
      </c>
      <c r="AG227" s="30" t="str">
        <f>IF(AND(OR(I227="",O227="",P227=""),OR(R227="",W227=""),OR(X227="",AC227="")),"",IF(OR(I227="",O227="",P227=""),0,I227*O227*P227)+IF(OR(R227="",W227=""),0,R227*IFERROR(INDEX(Reference!$B$61:$B$62,MATCH("Bullpen",Reference!$A$61:$A$62,0)),0)*W227)+IF(OR(X227="",AC227=""),0,X227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227))</f>
        <v/>
      </c>
    </row>
    <row r="228" spans="1:33" x14ac:dyDescent="0.3">
      <c r="A228" s="35"/>
      <c r="B228" s="31"/>
      <c r="C228" s="31"/>
      <c r="D228" s="31"/>
      <c r="E228" s="34"/>
      <c r="F228" s="34"/>
      <c r="G228" s="30" t="str">
        <f t="shared" si="27"/>
        <v/>
      </c>
      <c r="H228" s="31"/>
      <c r="I228" s="32" t="str">
        <f>IF(H228&lt;&gt;"",H228,IF(G228="","",ROUND(G228*IFERROR(INDEX(Reference!$B$44:$B$50,MATCH(C228,Reference!$A$44:$A$50,0)),0),0)))</f>
        <v/>
      </c>
      <c r="J228" s="31"/>
      <c r="K228" s="31"/>
      <c r="L228" s="32" t="str">
        <f t="shared" si="28"/>
        <v/>
      </c>
      <c r="M228" s="32" t="str">
        <f>IFERROR(INDEX(Roster!$D$5:$D$40,MATCH(B228,Roster!$A$5:$A$40,0)),"")</f>
        <v/>
      </c>
      <c r="N228" s="32" t="str">
        <f t="shared" si="29"/>
        <v/>
      </c>
      <c r="O228" s="32" t="str">
        <f>IF(OR(C228="Bullpen",C228="Game"),IFERROR(INDEX(Reference!$B$61:$B$62,MATCH(C228,Reference!$A$61:$A$62,0)),""),IF(D228="","",IF(AE228&gt;1,((IF(1&lt;=AE228,(AE228-1+3)*(INDEX(Reference!$B$6:$B$11,MIN(5,MATCH(MAX(Reference!$A$6,MIN(Reference!$A$11,MIN(D228,90))),Reference!$A$6:$A$11,1)))+(MAX(Reference!$A$6,MIN(Reference!$A$11,MIN(D228,90)))-INDEX(Reference!$A$6:$A$11,MIN(5,MATCH(MAX(Reference!$A$6,MIN(Reference!$A$11,MIN(D228,90))),Reference!$A$6:$A$11,1))))*(INDEX(Reference!$B$6:$B$11,MIN(5,MATCH(MAX(Reference!$A$6,MIN(Reference!$A$11,MIN(D228,90))),Reference!$A$6:$A$11,1))+1)-INDEX(Reference!$B$6:$B$11,MIN(5,MATCH(MAX(Reference!$A$6,MIN(Reference!$A$11,MIN(D228,90))),Reference!$A$6:$A$11,1))))/(INDEX(Reference!$A$6:$A$11,MIN(5,MATCH(MAX(Reference!$A$6,MIN(Reference!$A$11,MIN(D228,90))),Reference!$A$6:$A$11,1))+1)-INDEX(Reference!$A$6:$A$11,MIN(5,MATCH(MAX(Reference!$A$6,MIN(Reference!$A$11,MIN(D228,90))),Reference!$A$6:$A$11,1))))),0)+IF(2&lt;=AE228,(AE228-2+3)*(INDEX(Reference!$B$6:$B$11,MIN(5,MATCH(MAX(Reference!$A$6,MIN(Reference!$A$11,MIN(D228,120))),Reference!$A$6:$A$11,1)))+(MAX(Reference!$A$6,MIN(Reference!$A$11,MIN(D228,120)))-INDEX(Reference!$A$6:$A$11,MIN(5,MATCH(MAX(Reference!$A$6,MIN(Reference!$A$11,MIN(D228,120))),Reference!$A$6:$A$11,1))))*(INDEX(Reference!$B$6:$B$11,MIN(5,MATCH(MAX(Reference!$A$6,MIN(Reference!$A$11,MIN(D228,120))),Reference!$A$6:$A$11,1))+1)-INDEX(Reference!$B$6:$B$11,MIN(5,MATCH(MAX(Reference!$A$6,MIN(Reference!$A$11,MIN(D228,120))),Reference!$A$6:$A$11,1))))/(INDEX(Reference!$A$6:$A$11,MIN(5,MATCH(MAX(Reference!$A$6,MIN(Reference!$A$11,MIN(D228,120))),Reference!$A$6:$A$11,1))+1)-INDEX(Reference!$A$6:$A$11,MIN(5,MATCH(MAX(Reference!$A$6,MIN(Reference!$A$11,MIN(D228,120))),Reference!$A$6:$A$11,1))))),0)+IF(3&lt;=AE228,(AE228-3+3)*(INDEX(Reference!$B$6:$B$11,MIN(5,MATCH(MAX(Reference!$A$6,MIN(Reference!$A$11,MIN(D228,150))),Reference!$A$6:$A$11,1)))+(MAX(Reference!$A$6,MIN(Reference!$A$11,MIN(D228,150)))-INDEX(Reference!$A$6:$A$11,MIN(5,MATCH(MAX(Reference!$A$6,MIN(Reference!$A$11,MIN(D228,150))),Reference!$A$6:$A$11,1))))*(INDEX(Reference!$B$6:$B$11,MIN(5,MATCH(MAX(Reference!$A$6,MIN(Reference!$A$11,MIN(D228,150))),Reference!$A$6:$A$11,1))+1)-INDEX(Reference!$B$6:$B$11,MIN(5,MATCH(MAX(Reference!$A$6,MIN(Reference!$A$11,MIN(D228,150))),Reference!$A$6:$A$11,1))))/(INDEX(Reference!$A$6:$A$11,MIN(5,MATCH(MAX(Reference!$A$6,MIN(Reference!$A$11,MIN(D228,150))),Reference!$A$6:$A$11,1))+1)-INDEX(Reference!$A$6:$A$11,MIN(5,MATCH(MAX(Reference!$A$6,MIN(Reference!$A$11,MIN(D228,150))),Reference!$A$6:$A$11,1))))),0)+IF(4&lt;=AE228,(AE228-4+3)*(INDEX(Reference!$B$6:$B$11,MIN(5,MATCH(MAX(Reference!$A$6,MIN(Reference!$A$11,MIN(D228,180))),Reference!$A$6:$A$11,1)))+(MAX(Reference!$A$6,MIN(Reference!$A$11,MIN(D228,180)))-INDEX(Reference!$A$6:$A$11,MIN(5,MATCH(MAX(Reference!$A$6,MIN(Reference!$A$11,MIN(D228,180))),Reference!$A$6:$A$11,1))))*(INDEX(Reference!$B$6:$B$11,MIN(5,MATCH(MAX(Reference!$A$6,MIN(Reference!$A$11,MIN(D228,180))),Reference!$A$6:$A$11,1))+1)-INDEX(Reference!$B$6:$B$11,MIN(5,MATCH(MAX(Reference!$A$6,MIN(Reference!$A$11,MIN(D228,180))),Reference!$A$6:$A$11,1))))/(INDEX(Reference!$A$6:$A$11,MIN(5,MATCH(MAX(Reference!$A$6,MIN(Reference!$A$11,MIN(D228,180))),Reference!$A$6:$A$11,1))+1)-INDEX(Reference!$A$6:$A$11,MIN(5,MATCH(MAX(Reference!$A$6,MIN(Reference!$A$11,MIN(D228,180))),Reference!$A$6:$A$11,1))))),0)+IF(5&lt;=AE228,(AE228-5+3)*(INDEX(Reference!$B$6:$B$11,MIN(5,MATCH(MAX(Reference!$A$6,MIN(Reference!$A$11,MIN(D228,210))),Reference!$A$6:$A$11,1)))+(MAX(Reference!$A$6,MIN(Reference!$A$11,MIN(D228,210)))-INDEX(Reference!$A$6:$A$11,MIN(5,MATCH(MAX(Reference!$A$6,MIN(Reference!$A$11,MIN(D228,210))),Reference!$A$6:$A$11,1))))*(INDEX(Reference!$B$6:$B$11,MIN(5,MATCH(MAX(Reference!$A$6,MIN(Reference!$A$11,MIN(D228,210))),Reference!$A$6:$A$11,1))+1)-INDEX(Reference!$B$6:$B$11,MIN(5,MATCH(MAX(Reference!$A$6,MIN(Reference!$A$11,MIN(D228,210))),Reference!$A$6:$A$11,1))))/(INDEX(Reference!$A$6:$A$11,MIN(5,MATCH(MAX(Reference!$A$6,MIN(Reference!$A$11,MIN(D228,210))),Reference!$A$6:$A$11,1))+1)-INDEX(Reference!$A$6:$A$11,MIN(5,MATCH(MAX(Reference!$A$6,MIN(Reference!$A$11,MIN(D228,210))),Reference!$A$6:$A$11,1))))),0)+IF(6&lt;=AE228,(AE228-6+3)*(INDEX(Reference!$B$6:$B$11,MIN(5,MATCH(MAX(Reference!$A$6,MIN(Reference!$A$11,MIN(D228,240))),Reference!$A$6:$A$11,1)))+(MAX(Reference!$A$6,MIN(Reference!$A$11,MIN(D228,240)))-INDEX(Reference!$A$6:$A$11,MIN(5,MATCH(MAX(Reference!$A$6,MIN(Reference!$A$11,MIN(D228,240))),Reference!$A$6:$A$11,1))))*(INDEX(Reference!$B$6:$B$11,MIN(5,MATCH(MAX(Reference!$A$6,MIN(Reference!$A$11,MIN(D228,240))),Reference!$A$6:$A$11,1))+1)-INDEX(Reference!$B$6:$B$11,MIN(5,MATCH(MAX(Reference!$A$6,MIN(Reference!$A$11,MIN(D228,240))),Reference!$A$6:$A$11,1))))/(INDEX(Reference!$A$6:$A$11,MIN(5,MATCH(MAX(Reference!$A$6,MIN(Reference!$A$11,MIN(D228,240))),Reference!$A$6:$A$11,1))+1)-INDEX(Reference!$A$6:$A$11,MIN(5,MATCH(MAX(Reference!$A$6,MIN(Reference!$A$11,MIN(D228,240))),Reference!$A$6:$A$11,1))))),0)+IF(7&lt;=AE228,(AE228-7+3)*(INDEX(Reference!$B$6:$B$11,MIN(5,MATCH(MAX(Reference!$A$6,MIN(Reference!$A$11,MIN(D228,270))),Reference!$A$6:$A$11,1)))+(MAX(Reference!$A$6,MIN(Reference!$A$11,MIN(D228,270)))-INDEX(Reference!$A$6:$A$11,MIN(5,MATCH(MAX(Reference!$A$6,MIN(Reference!$A$11,MIN(D228,270))),Reference!$A$6:$A$11,1))))*(INDEX(Reference!$B$6:$B$11,MIN(5,MATCH(MAX(Reference!$A$6,MIN(Reference!$A$11,MIN(D228,270))),Reference!$A$6:$A$11,1))+1)-INDEX(Reference!$B$6:$B$11,MIN(5,MATCH(MAX(Reference!$A$6,MIN(Reference!$A$11,MIN(D228,270))),Reference!$A$6:$A$11,1))))/(INDEX(Reference!$A$6:$A$11,MIN(5,MATCH(MAX(Reference!$A$6,MIN(Reference!$A$11,MIN(D228,270))),Reference!$A$6:$A$11,1))+1)-INDEX(Reference!$A$6:$A$11,MIN(5,MATCH(MAX(Reference!$A$6,MIN(Reference!$A$11,MIN(D228,270))),Reference!$A$6:$A$11,1))))),0)+IF(8&lt;=AE228,(AE228-8+3)*(INDEX(Reference!$B$6:$B$11,MIN(5,MATCH(MAX(Reference!$A$6,MIN(Reference!$A$11,MIN(D228,300))),Reference!$A$6:$A$11,1)))+(MAX(Reference!$A$6,MIN(Reference!$A$11,MIN(D228,300)))-INDEX(Reference!$A$6:$A$11,MIN(5,MATCH(MAX(Reference!$A$6,MIN(Reference!$A$11,MIN(D228,300))),Reference!$A$6:$A$11,1))))*(INDEX(Reference!$B$6:$B$11,MIN(5,MATCH(MAX(Reference!$A$6,MIN(Reference!$A$11,MIN(D228,300))),Reference!$A$6:$A$11,1))+1)-INDEX(Reference!$B$6:$B$11,MIN(5,MATCH(MAX(Reference!$A$6,MIN(Reference!$A$11,MIN(D228,300))),Reference!$A$6:$A$11,1))))/(INDEX(Reference!$A$6:$A$11,MIN(5,MATCH(MAX(Reference!$A$6,MIN(Reference!$A$11,MIN(D228,300))),Reference!$A$6:$A$11,1))+1)-INDEX(Reference!$A$6:$A$11,MIN(5,MATCH(MAX(Reference!$A$6,MIN(Reference!$A$11,MIN(D228,300))),Reference!$A$6:$A$11,1))))),0))/(AE228*(AE228+5)/2)),(INDEX(Reference!$B$6:$B$11,MIN(5,MATCH(MAX(Reference!$A$6,MIN(Reference!$A$11,D228)),Reference!$A$6:$A$11,1)))+(MAX(Reference!$A$6,MIN(Reference!$A$11,D228))-INDEX(Reference!$A$6:$A$11,MIN(5,MATCH(MAX(Reference!$A$6,MIN(Reference!$A$11,D228)),Reference!$A$6:$A$11,1))))*(INDEX(Reference!$B$6:$B$11,MIN(5,MATCH(MAX(Reference!$A$6,MIN(Reference!$A$11,D228)),Reference!$A$6:$A$11,1))+1)-INDEX(Reference!$B$6:$B$11,MIN(5,MATCH(MAX(Reference!$A$6,MIN(Reference!$A$11,D228)),Reference!$A$6:$A$11,1))))/(INDEX(Reference!$A$6:$A$11,MIN(5,MATCH(MAX(Reference!$A$6,MIN(Reference!$A$11,D228)),Reference!$A$6:$A$11,1))+1)-INDEX(Reference!$A$6:$A$11,MIN(5,MATCH(MAX(Reference!$A$6,MIN(Reference!$A$11,D228)),Reference!$A$6:$A$11,1))))))))</f>
        <v/>
      </c>
      <c r="P228" s="32" t="str">
        <f>IF(N228="","",VLOOKUP(MAX(N228,0),Reference!$A$17:$B$20,2,TRUE()))</f>
        <v/>
      </c>
      <c r="Q228" s="32" t="str">
        <f t="shared" si="30"/>
        <v/>
      </c>
      <c r="R228" s="31"/>
      <c r="S228" s="31"/>
      <c r="T228" s="31"/>
      <c r="U228" s="32" t="str">
        <f t="shared" si="31"/>
        <v/>
      </c>
      <c r="V228" s="32" t="str">
        <f t="shared" si="32"/>
        <v/>
      </c>
      <c r="W228" s="32" t="str">
        <f>IF(V228="","",VLOOKUP(MAX(V228,0),Reference!$A$17:$B$20,2,TRUE()))</f>
        <v/>
      </c>
      <c r="X228" s="31"/>
      <c r="Y228" s="31"/>
      <c r="Z228" s="31"/>
      <c r="AA228" s="32" t="str">
        <f t="shared" si="33"/>
        <v/>
      </c>
      <c r="AB228" s="32" t="str">
        <f t="shared" si="34"/>
        <v/>
      </c>
      <c r="AC228" s="32" t="str">
        <f>IF(AB228="","",VLOOKUP(MAX(AB228,0),Reference!$A$17:$B$20,2,TRUE()))</f>
        <v/>
      </c>
      <c r="AD228" s="31"/>
      <c r="AE228">
        <f t="shared" si="35"/>
        <v>1</v>
      </c>
      <c r="AF228" s="33" t="str">
        <f>IF(OR(A228="",B228="",AND(C228&lt;&gt;"Bullpen",C228&lt;&gt;"Game")),"",IF((COUNTIFS($B$5:$B$300,B228,$A$5:$A$300,A228-1,$C$5:$C$300,"Bullpen",$AG$5:$AG$300,"&gt;0") + COUNTIFS($B$5:$B$300,B228,$A$5:$A$300,A228-1,$C$5:$C$300,"Game",$AG$5:$AG$300,"&gt;0"))&gt;0,Reference!$B$119,IF((COUNTIFS($B$5:$B$300,B228,$A$5:$A$300,A228-2,$C$5:$C$300,"Bullpen",$AG$5:$AG$300,"&gt;0") + COUNTIFS($B$5:$B$300,B228,$A$5:$A$300,A228-2,$C$5:$C$300,"Game",$AG$5:$AG$300,"&gt;0"))&gt;0,Reference!$B$120,1)))</f>
        <v/>
      </c>
      <c r="AG228" s="30" t="str">
        <f>IF(AND(OR(I228="",O228="",P228=""),OR(R228="",W228=""),OR(X228="",AC228="")),"",IF(OR(I228="",O228="",P228=""),0,I228*O228*P228)+IF(OR(R228="",W228=""),0,R228*IFERROR(INDEX(Reference!$B$61:$B$62,MATCH("Bullpen",Reference!$A$61:$A$62,0)),0)*W228)+IF(OR(X228="",AC228=""),0,X228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228))</f>
        <v/>
      </c>
    </row>
    <row r="229" spans="1:33" x14ac:dyDescent="0.3">
      <c r="A229" s="35"/>
      <c r="B229" s="31"/>
      <c r="C229" s="31"/>
      <c r="D229" s="31"/>
      <c r="E229" s="34"/>
      <c r="F229" s="34"/>
      <c r="G229" s="30" t="str">
        <f t="shared" si="27"/>
        <v/>
      </c>
      <c r="H229" s="31"/>
      <c r="I229" s="32" t="str">
        <f>IF(H229&lt;&gt;"",H229,IF(G229="","",ROUND(G229*IFERROR(INDEX(Reference!$B$44:$B$50,MATCH(C229,Reference!$A$44:$A$50,0)),0),0)))</f>
        <v/>
      </c>
      <c r="J229" s="31"/>
      <c r="K229" s="31"/>
      <c r="L229" s="32" t="str">
        <f t="shared" si="28"/>
        <v/>
      </c>
      <c r="M229" s="32" t="str">
        <f>IFERROR(INDEX(Roster!$D$5:$D$40,MATCH(B229,Roster!$A$5:$A$40,0)),"")</f>
        <v/>
      </c>
      <c r="N229" s="32" t="str">
        <f t="shared" si="29"/>
        <v/>
      </c>
      <c r="O229" s="32" t="str">
        <f>IF(OR(C229="Bullpen",C229="Game"),IFERROR(INDEX(Reference!$B$61:$B$62,MATCH(C229,Reference!$A$61:$A$62,0)),""),IF(D229="","",IF(AE229&gt;1,((IF(1&lt;=AE229,(AE229-1+3)*(INDEX(Reference!$B$6:$B$11,MIN(5,MATCH(MAX(Reference!$A$6,MIN(Reference!$A$11,MIN(D229,90))),Reference!$A$6:$A$11,1)))+(MAX(Reference!$A$6,MIN(Reference!$A$11,MIN(D229,90)))-INDEX(Reference!$A$6:$A$11,MIN(5,MATCH(MAX(Reference!$A$6,MIN(Reference!$A$11,MIN(D229,90))),Reference!$A$6:$A$11,1))))*(INDEX(Reference!$B$6:$B$11,MIN(5,MATCH(MAX(Reference!$A$6,MIN(Reference!$A$11,MIN(D229,90))),Reference!$A$6:$A$11,1))+1)-INDEX(Reference!$B$6:$B$11,MIN(5,MATCH(MAX(Reference!$A$6,MIN(Reference!$A$11,MIN(D229,90))),Reference!$A$6:$A$11,1))))/(INDEX(Reference!$A$6:$A$11,MIN(5,MATCH(MAX(Reference!$A$6,MIN(Reference!$A$11,MIN(D229,90))),Reference!$A$6:$A$11,1))+1)-INDEX(Reference!$A$6:$A$11,MIN(5,MATCH(MAX(Reference!$A$6,MIN(Reference!$A$11,MIN(D229,90))),Reference!$A$6:$A$11,1))))),0)+IF(2&lt;=AE229,(AE229-2+3)*(INDEX(Reference!$B$6:$B$11,MIN(5,MATCH(MAX(Reference!$A$6,MIN(Reference!$A$11,MIN(D229,120))),Reference!$A$6:$A$11,1)))+(MAX(Reference!$A$6,MIN(Reference!$A$11,MIN(D229,120)))-INDEX(Reference!$A$6:$A$11,MIN(5,MATCH(MAX(Reference!$A$6,MIN(Reference!$A$11,MIN(D229,120))),Reference!$A$6:$A$11,1))))*(INDEX(Reference!$B$6:$B$11,MIN(5,MATCH(MAX(Reference!$A$6,MIN(Reference!$A$11,MIN(D229,120))),Reference!$A$6:$A$11,1))+1)-INDEX(Reference!$B$6:$B$11,MIN(5,MATCH(MAX(Reference!$A$6,MIN(Reference!$A$11,MIN(D229,120))),Reference!$A$6:$A$11,1))))/(INDEX(Reference!$A$6:$A$11,MIN(5,MATCH(MAX(Reference!$A$6,MIN(Reference!$A$11,MIN(D229,120))),Reference!$A$6:$A$11,1))+1)-INDEX(Reference!$A$6:$A$11,MIN(5,MATCH(MAX(Reference!$A$6,MIN(Reference!$A$11,MIN(D229,120))),Reference!$A$6:$A$11,1))))),0)+IF(3&lt;=AE229,(AE229-3+3)*(INDEX(Reference!$B$6:$B$11,MIN(5,MATCH(MAX(Reference!$A$6,MIN(Reference!$A$11,MIN(D229,150))),Reference!$A$6:$A$11,1)))+(MAX(Reference!$A$6,MIN(Reference!$A$11,MIN(D229,150)))-INDEX(Reference!$A$6:$A$11,MIN(5,MATCH(MAX(Reference!$A$6,MIN(Reference!$A$11,MIN(D229,150))),Reference!$A$6:$A$11,1))))*(INDEX(Reference!$B$6:$B$11,MIN(5,MATCH(MAX(Reference!$A$6,MIN(Reference!$A$11,MIN(D229,150))),Reference!$A$6:$A$11,1))+1)-INDEX(Reference!$B$6:$B$11,MIN(5,MATCH(MAX(Reference!$A$6,MIN(Reference!$A$11,MIN(D229,150))),Reference!$A$6:$A$11,1))))/(INDEX(Reference!$A$6:$A$11,MIN(5,MATCH(MAX(Reference!$A$6,MIN(Reference!$A$11,MIN(D229,150))),Reference!$A$6:$A$11,1))+1)-INDEX(Reference!$A$6:$A$11,MIN(5,MATCH(MAX(Reference!$A$6,MIN(Reference!$A$11,MIN(D229,150))),Reference!$A$6:$A$11,1))))),0)+IF(4&lt;=AE229,(AE229-4+3)*(INDEX(Reference!$B$6:$B$11,MIN(5,MATCH(MAX(Reference!$A$6,MIN(Reference!$A$11,MIN(D229,180))),Reference!$A$6:$A$11,1)))+(MAX(Reference!$A$6,MIN(Reference!$A$11,MIN(D229,180)))-INDEX(Reference!$A$6:$A$11,MIN(5,MATCH(MAX(Reference!$A$6,MIN(Reference!$A$11,MIN(D229,180))),Reference!$A$6:$A$11,1))))*(INDEX(Reference!$B$6:$B$11,MIN(5,MATCH(MAX(Reference!$A$6,MIN(Reference!$A$11,MIN(D229,180))),Reference!$A$6:$A$11,1))+1)-INDEX(Reference!$B$6:$B$11,MIN(5,MATCH(MAX(Reference!$A$6,MIN(Reference!$A$11,MIN(D229,180))),Reference!$A$6:$A$11,1))))/(INDEX(Reference!$A$6:$A$11,MIN(5,MATCH(MAX(Reference!$A$6,MIN(Reference!$A$11,MIN(D229,180))),Reference!$A$6:$A$11,1))+1)-INDEX(Reference!$A$6:$A$11,MIN(5,MATCH(MAX(Reference!$A$6,MIN(Reference!$A$11,MIN(D229,180))),Reference!$A$6:$A$11,1))))),0)+IF(5&lt;=AE229,(AE229-5+3)*(INDEX(Reference!$B$6:$B$11,MIN(5,MATCH(MAX(Reference!$A$6,MIN(Reference!$A$11,MIN(D229,210))),Reference!$A$6:$A$11,1)))+(MAX(Reference!$A$6,MIN(Reference!$A$11,MIN(D229,210)))-INDEX(Reference!$A$6:$A$11,MIN(5,MATCH(MAX(Reference!$A$6,MIN(Reference!$A$11,MIN(D229,210))),Reference!$A$6:$A$11,1))))*(INDEX(Reference!$B$6:$B$11,MIN(5,MATCH(MAX(Reference!$A$6,MIN(Reference!$A$11,MIN(D229,210))),Reference!$A$6:$A$11,1))+1)-INDEX(Reference!$B$6:$B$11,MIN(5,MATCH(MAX(Reference!$A$6,MIN(Reference!$A$11,MIN(D229,210))),Reference!$A$6:$A$11,1))))/(INDEX(Reference!$A$6:$A$11,MIN(5,MATCH(MAX(Reference!$A$6,MIN(Reference!$A$11,MIN(D229,210))),Reference!$A$6:$A$11,1))+1)-INDEX(Reference!$A$6:$A$11,MIN(5,MATCH(MAX(Reference!$A$6,MIN(Reference!$A$11,MIN(D229,210))),Reference!$A$6:$A$11,1))))),0)+IF(6&lt;=AE229,(AE229-6+3)*(INDEX(Reference!$B$6:$B$11,MIN(5,MATCH(MAX(Reference!$A$6,MIN(Reference!$A$11,MIN(D229,240))),Reference!$A$6:$A$11,1)))+(MAX(Reference!$A$6,MIN(Reference!$A$11,MIN(D229,240)))-INDEX(Reference!$A$6:$A$11,MIN(5,MATCH(MAX(Reference!$A$6,MIN(Reference!$A$11,MIN(D229,240))),Reference!$A$6:$A$11,1))))*(INDEX(Reference!$B$6:$B$11,MIN(5,MATCH(MAX(Reference!$A$6,MIN(Reference!$A$11,MIN(D229,240))),Reference!$A$6:$A$11,1))+1)-INDEX(Reference!$B$6:$B$11,MIN(5,MATCH(MAX(Reference!$A$6,MIN(Reference!$A$11,MIN(D229,240))),Reference!$A$6:$A$11,1))))/(INDEX(Reference!$A$6:$A$11,MIN(5,MATCH(MAX(Reference!$A$6,MIN(Reference!$A$11,MIN(D229,240))),Reference!$A$6:$A$11,1))+1)-INDEX(Reference!$A$6:$A$11,MIN(5,MATCH(MAX(Reference!$A$6,MIN(Reference!$A$11,MIN(D229,240))),Reference!$A$6:$A$11,1))))),0)+IF(7&lt;=AE229,(AE229-7+3)*(INDEX(Reference!$B$6:$B$11,MIN(5,MATCH(MAX(Reference!$A$6,MIN(Reference!$A$11,MIN(D229,270))),Reference!$A$6:$A$11,1)))+(MAX(Reference!$A$6,MIN(Reference!$A$11,MIN(D229,270)))-INDEX(Reference!$A$6:$A$11,MIN(5,MATCH(MAX(Reference!$A$6,MIN(Reference!$A$11,MIN(D229,270))),Reference!$A$6:$A$11,1))))*(INDEX(Reference!$B$6:$B$11,MIN(5,MATCH(MAX(Reference!$A$6,MIN(Reference!$A$11,MIN(D229,270))),Reference!$A$6:$A$11,1))+1)-INDEX(Reference!$B$6:$B$11,MIN(5,MATCH(MAX(Reference!$A$6,MIN(Reference!$A$11,MIN(D229,270))),Reference!$A$6:$A$11,1))))/(INDEX(Reference!$A$6:$A$11,MIN(5,MATCH(MAX(Reference!$A$6,MIN(Reference!$A$11,MIN(D229,270))),Reference!$A$6:$A$11,1))+1)-INDEX(Reference!$A$6:$A$11,MIN(5,MATCH(MAX(Reference!$A$6,MIN(Reference!$A$11,MIN(D229,270))),Reference!$A$6:$A$11,1))))),0)+IF(8&lt;=AE229,(AE229-8+3)*(INDEX(Reference!$B$6:$B$11,MIN(5,MATCH(MAX(Reference!$A$6,MIN(Reference!$A$11,MIN(D229,300))),Reference!$A$6:$A$11,1)))+(MAX(Reference!$A$6,MIN(Reference!$A$11,MIN(D229,300)))-INDEX(Reference!$A$6:$A$11,MIN(5,MATCH(MAX(Reference!$A$6,MIN(Reference!$A$11,MIN(D229,300))),Reference!$A$6:$A$11,1))))*(INDEX(Reference!$B$6:$B$11,MIN(5,MATCH(MAX(Reference!$A$6,MIN(Reference!$A$11,MIN(D229,300))),Reference!$A$6:$A$11,1))+1)-INDEX(Reference!$B$6:$B$11,MIN(5,MATCH(MAX(Reference!$A$6,MIN(Reference!$A$11,MIN(D229,300))),Reference!$A$6:$A$11,1))))/(INDEX(Reference!$A$6:$A$11,MIN(5,MATCH(MAX(Reference!$A$6,MIN(Reference!$A$11,MIN(D229,300))),Reference!$A$6:$A$11,1))+1)-INDEX(Reference!$A$6:$A$11,MIN(5,MATCH(MAX(Reference!$A$6,MIN(Reference!$A$11,MIN(D229,300))),Reference!$A$6:$A$11,1))))),0))/(AE229*(AE229+5)/2)),(INDEX(Reference!$B$6:$B$11,MIN(5,MATCH(MAX(Reference!$A$6,MIN(Reference!$A$11,D229)),Reference!$A$6:$A$11,1)))+(MAX(Reference!$A$6,MIN(Reference!$A$11,D229))-INDEX(Reference!$A$6:$A$11,MIN(5,MATCH(MAX(Reference!$A$6,MIN(Reference!$A$11,D229)),Reference!$A$6:$A$11,1))))*(INDEX(Reference!$B$6:$B$11,MIN(5,MATCH(MAX(Reference!$A$6,MIN(Reference!$A$11,D229)),Reference!$A$6:$A$11,1))+1)-INDEX(Reference!$B$6:$B$11,MIN(5,MATCH(MAX(Reference!$A$6,MIN(Reference!$A$11,D229)),Reference!$A$6:$A$11,1))))/(INDEX(Reference!$A$6:$A$11,MIN(5,MATCH(MAX(Reference!$A$6,MIN(Reference!$A$11,D229)),Reference!$A$6:$A$11,1))+1)-INDEX(Reference!$A$6:$A$11,MIN(5,MATCH(MAX(Reference!$A$6,MIN(Reference!$A$11,D229)),Reference!$A$6:$A$11,1))))))))</f>
        <v/>
      </c>
      <c r="P229" s="32" t="str">
        <f>IF(N229="","",VLOOKUP(MAX(N229,0),Reference!$A$17:$B$20,2,TRUE()))</f>
        <v/>
      </c>
      <c r="Q229" s="32" t="str">
        <f t="shared" si="30"/>
        <v/>
      </c>
      <c r="R229" s="31"/>
      <c r="S229" s="31"/>
      <c r="T229" s="31"/>
      <c r="U229" s="32" t="str">
        <f t="shared" si="31"/>
        <v/>
      </c>
      <c r="V229" s="32" t="str">
        <f t="shared" si="32"/>
        <v/>
      </c>
      <c r="W229" s="32" t="str">
        <f>IF(V229="","",VLOOKUP(MAX(V229,0),Reference!$A$17:$B$20,2,TRUE()))</f>
        <v/>
      </c>
      <c r="X229" s="31"/>
      <c r="Y229" s="31"/>
      <c r="Z229" s="31"/>
      <c r="AA229" s="32" t="str">
        <f t="shared" si="33"/>
        <v/>
      </c>
      <c r="AB229" s="32" t="str">
        <f t="shared" si="34"/>
        <v/>
      </c>
      <c r="AC229" s="32" t="str">
        <f>IF(AB229="","",VLOOKUP(MAX(AB229,0),Reference!$A$17:$B$20,2,TRUE()))</f>
        <v/>
      </c>
      <c r="AD229" s="31"/>
      <c r="AE229">
        <f t="shared" si="35"/>
        <v>1</v>
      </c>
      <c r="AF229" s="33" t="str">
        <f>IF(OR(A229="",B229="",AND(C229&lt;&gt;"Bullpen",C229&lt;&gt;"Game")),"",IF((COUNTIFS($B$5:$B$300,B229,$A$5:$A$300,A229-1,$C$5:$C$300,"Bullpen",$AG$5:$AG$300,"&gt;0") + COUNTIFS($B$5:$B$300,B229,$A$5:$A$300,A229-1,$C$5:$C$300,"Game",$AG$5:$AG$300,"&gt;0"))&gt;0,Reference!$B$119,IF((COUNTIFS($B$5:$B$300,B229,$A$5:$A$300,A229-2,$C$5:$C$300,"Bullpen",$AG$5:$AG$300,"&gt;0") + COUNTIFS($B$5:$B$300,B229,$A$5:$A$300,A229-2,$C$5:$C$300,"Game",$AG$5:$AG$300,"&gt;0"))&gt;0,Reference!$B$120,1)))</f>
        <v/>
      </c>
      <c r="AG229" s="30" t="str">
        <f>IF(AND(OR(I229="",O229="",P229=""),OR(R229="",W229=""),OR(X229="",AC229="")),"",IF(OR(I229="",O229="",P229=""),0,I229*O229*P229)+IF(OR(R229="",W229=""),0,R229*IFERROR(INDEX(Reference!$B$61:$B$62,MATCH("Bullpen",Reference!$A$61:$A$62,0)),0)*W229)+IF(OR(X229="",AC229=""),0,X229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229))</f>
        <v/>
      </c>
    </row>
    <row r="230" spans="1:33" x14ac:dyDescent="0.3">
      <c r="A230" s="35"/>
      <c r="B230" s="31"/>
      <c r="C230" s="31"/>
      <c r="D230" s="31"/>
      <c r="E230" s="34"/>
      <c r="F230" s="34"/>
      <c r="G230" s="30" t="str">
        <f t="shared" si="27"/>
        <v/>
      </c>
      <c r="H230" s="31"/>
      <c r="I230" s="32" t="str">
        <f>IF(H230&lt;&gt;"",H230,IF(G230="","",ROUND(G230*IFERROR(INDEX(Reference!$B$44:$B$50,MATCH(C230,Reference!$A$44:$A$50,0)),0),0)))</f>
        <v/>
      </c>
      <c r="J230" s="31"/>
      <c r="K230" s="31"/>
      <c r="L230" s="32" t="str">
        <f t="shared" si="28"/>
        <v/>
      </c>
      <c r="M230" s="32" t="str">
        <f>IFERROR(INDEX(Roster!$D$5:$D$40,MATCH(B230,Roster!$A$5:$A$40,0)),"")</f>
        <v/>
      </c>
      <c r="N230" s="32" t="str">
        <f t="shared" si="29"/>
        <v/>
      </c>
      <c r="O230" s="32" t="str">
        <f>IF(OR(C230="Bullpen",C230="Game"),IFERROR(INDEX(Reference!$B$61:$B$62,MATCH(C230,Reference!$A$61:$A$62,0)),""),IF(D230="","",IF(AE230&gt;1,((IF(1&lt;=AE230,(AE230-1+3)*(INDEX(Reference!$B$6:$B$11,MIN(5,MATCH(MAX(Reference!$A$6,MIN(Reference!$A$11,MIN(D230,90))),Reference!$A$6:$A$11,1)))+(MAX(Reference!$A$6,MIN(Reference!$A$11,MIN(D230,90)))-INDEX(Reference!$A$6:$A$11,MIN(5,MATCH(MAX(Reference!$A$6,MIN(Reference!$A$11,MIN(D230,90))),Reference!$A$6:$A$11,1))))*(INDEX(Reference!$B$6:$B$11,MIN(5,MATCH(MAX(Reference!$A$6,MIN(Reference!$A$11,MIN(D230,90))),Reference!$A$6:$A$11,1))+1)-INDEX(Reference!$B$6:$B$11,MIN(5,MATCH(MAX(Reference!$A$6,MIN(Reference!$A$11,MIN(D230,90))),Reference!$A$6:$A$11,1))))/(INDEX(Reference!$A$6:$A$11,MIN(5,MATCH(MAX(Reference!$A$6,MIN(Reference!$A$11,MIN(D230,90))),Reference!$A$6:$A$11,1))+1)-INDEX(Reference!$A$6:$A$11,MIN(5,MATCH(MAX(Reference!$A$6,MIN(Reference!$A$11,MIN(D230,90))),Reference!$A$6:$A$11,1))))),0)+IF(2&lt;=AE230,(AE230-2+3)*(INDEX(Reference!$B$6:$B$11,MIN(5,MATCH(MAX(Reference!$A$6,MIN(Reference!$A$11,MIN(D230,120))),Reference!$A$6:$A$11,1)))+(MAX(Reference!$A$6,MIN(Reference!$A$11,MIN(D230,120)))-INDEX(Reference!$A$6:$A$11,MIN(5,MATCH(MAX(Reference!$A$6,MIN(Reference!$A$11,MIN(D230,120))),Reference!$A$6:$A$11,1))))*(INDEX(Reference!$B$6:$B$11,MIN(5,MATCH(MAX(Reference!$A$6,MIN(Reference!$A$11,MIN(D230,120))),Reference!$A$6:$A$11,1))+1)-INDEX(Reference!$B$6:$B$11,MIN(5,MATCH(MAX(Reference!$A$6,MIN(Reference!$A$11,MIN(D230,120))),Reference!$A$6:$A$11,1))))/(INDEX(Reference!$A$6:$A$11,MIN(5,MATCH(MAX(Reference!$A$6,MIN(Reference!$A$11,MIN(D230,120))),Reference!$A$6:$A$11,1))+1)-INDEX(Reference!$A$6:$A$11,MIN(5,MATCH(MAX(Reference!$A$6,MIN(Reference!$A$11,MIN(D230,120))),Reference!$A$6:$A$11,1))))),0)+IF(3&lt;=AE230,(AE230-3+3)*(INDEX(Reference!$B$6:$B$11,MIN(5,MATCH(MAX(Reference!$A$6,MIN(Reference!$A$11,MIN(D230,150))),Reference!$A$6:$A$11,1)))+(MAX(Reference!$A$6,MIN(Reference!$A$11,MIN(D230,150)))-INDEX(Reference!$A$6:$A$11,MIN(5,MATCH(MAX(Reference!$A$6,MIN(Reference!$A$11,MIN(D230,150))),Reference!$A$6:$A$11,1))))*(INDEX(Reference!$B$6:$B$11,MIN(5,MATCH(MAX(Reference!$A$6,MIN(Reference!$A$11,MIN(D230,150))),Reference!$A$6:$A$11,1))+1)-INDEX(Reference!$B$6:$B$11,MIN(5,MATCH(MAX(Reference!$A$6,MIN(Reference!$A$11,MIN(D230,150))),Reference!$A$6:$A$11,1))))/(INDEX(Reference!$A$6:$A$11,MIN(5,MATCH(MAX(Reference!$A$6,MIN(Reference!$A$11,MIN(D230,150))),Reference!$A$6:$A$11,1))+1)-INDEX(Reference!$A$6:$A$11,MIN(5,MATCH(MAX(Reference!$A$6,MIN(Reference!$A$11,MIN(D230,150))),Reference!$A$6:$A$11,1))))),0)+IF(4&lt;=AE230,(AE230-4+3)*(INDEX(Reference!$B$6:$B$11,MIN(5,MATCH(MAX(Reference!$A$6,MIN(Reference!$A$11,MIN(D230,180))),Reference!$A$6:$A$11,1)))+(MAX(Reference!$A$6,MIN(Reference!$A$11,MIN(D230,180)))-INDEX(Reference!$A$6:$A$11,MIN(5,MATCH(MAX(Reference!$A$6,MIN(Reference!$A$11,MIN(D230,180))),Reference!$A$6:$A$11,1))))*(INDEX(Reference!$B$6:$B$11,MIN(5,MATCH(MAX(Reference!$A$6,MIN(Reference!$A$11,MIN(D230,180))),Reference!$A$6:$A$11,1))+1)-INDEX(Reference!$B$6:$B$11,MIN(5,MATCH(MAX(Reference!$A$6,MIN(Reference!$A$11,MIN(D230,180))),Reference!$A$6:$A$11,1))))/(INDEX(Reference!$A$6:$A$11,MIN(5,MATCH(MAX(Reference!$A$6,MIN(Reference!$A$11,MIN(D230,180))),Reference!$A$6:$A$11,1))+1)-INDEX(Reference!$A$6:$A$11,MIN(5,MATCH(MAX(Reference!$A$6,MIN(Reference!$A$11,MIN(D230,180))),Reference!$A$6:$A$11,1))))),0)+IF(5&lt;=AE230,(AE230-5+3)*(INDEX(Reference!$B$6:$B$11,MIN(5,MATCH(MAX(Reference!$A$6,MIN(Reference!$A$11,MIN(D230,210))),Reference!$A$6:$A$11,1)))+(MAX(Reference!$A$6,MIN(Reference!$A$11,MIN(D230,210)))-INDEX(Reference!$A$6:$A$11,MIN(5,MATCH(MAX(Reference!$A$6,MIN(Reference!$A$11,MIN(D230,210))),Reference!$A$6:$A$11,1))))*(INDEX(Reference!$B$6:$B$11,MIN(5,MATCH(MAX(Reference!$A$6,MIN(Reference!$A$11,MIN(D230,210))),Reference!$A$6:$A$11,1))+1)-INDEX(Reference!$B$6:$B$11,MIN(5,MATCH(MAX(Reference!$A$6,MIN(Reference!$A$11,MIN(D230,210))),Reference!$A$6:$A$11,1))))/(INDEX(Reference!$A$6:$A$11,MIN(5,MATCH(MAX(Reference!$A$6,MIN(Reference!$A$11,MIN(D230,210))),Reference!$A$6:$A$11,1))+1)-INDEX(Reference!$A$6:$A$11,MIN(5,MATCH(MAX(Reference!$A$6,MIN(Reference!$A$11,MIN(D230,210))),Reference!$A$6:$A$11,1))))),0)+IF(6&lt;=AE230,(AE230-6+3)*(INDEX(Reference!$B$6:$B$11,MIN(5,MATCH(MAX(Reference!$A$6,MIN(Reference!$A$11,MIN(D230,240))),Reference!$A$6:$A$11,1)))+(MAX(Reference!$A$6,MIN(Reference!$A$11,MIN(D230,240)))-INDEX(Reference!$A$6:$A$11,MIN(5,MATCH(MAX(Reference!$A$6,MIN(Reference!$A$11,MIN(D230,240))),Reference!$A$6:$A$11,1))))*(INDEX(Reference!$B$6:$B$11,MIN(5,MATCH(MAX(Reference!$A$6,MIN(Reference!$A$11,MIN(D230,240))),Reference!$A$6:$A$11,1))+1)-INDEX(Reference!$B$6:$B$11,MIN(5,MATCH(MAX(Reference!$A$6,MIN(Reference!$A$11,MIN(D230,240))),Reference!$A$6:$A$11,1))))/(INDEX(Reference!$A$6:$A$11,MIN(5,MATCH(MAX(Reference!$A$6,MIN(Reference!$A$11,MIN(D230,240))),Reference!$A$6:$A$11,1))+1)-INDEX(Reference!$A$6:$A$11,MIN(5,MATCH(MAX(Reference!$A$6,MIN(Reference!$A$11,MIN(D230,240))),Reference!$A$6:$A$11,1))))),0)+IF(7&lt;=AE230,(AE230-7+3)*(INDEX(Reference!$B$6:$B$11,MIN(5,MATCH(MAX(Reference!$A$6,MIN(Reference!$A$11,MIN(D230,270))),Reference!$A$6:$A$11,1)))+(MAX(Reference!$A$6,MIN(Reference!$A$11,MIN(D230,270)))-INDEX(Reference!$A$6:$A$11,MIN(5,MATCH(MAX(Reference!$A$6,MIN(Reference!$A$11,MIN(D230,270))),Reference!$A$6:$A$11,1))))*(INDEX(Reference!$B$6:$B$11,MIN(5,MATCH(MAX(Reference!$A$6,MIN(Reference!$A$11,MIN(D230,270))),Reference!$A$6:$A$11,1))+1)-INDEX(Reference!$B$6:$B$11,MIN(5,MATCH(MAX(Reference!$A$6,MIN(Reference!$A$11,MIN(D230,270))),Reference!$A$6:$A$11,1))))/(INDEX(Reference!$A$6:$A$11,MIN(5,MATCH(MAX(Reference!$A$6,MIN(Reference!$A$11,MIN(D230,270))),Reference!$A$6:$A$11,1))+1)-INDEX(Reference!$A$6:$A$11,MIN(5,MATCH(MAX(Reference!$A$6,MIN(Reference!$A$11,MIN(D230,270))),Reference!$A$6:$A$11,1))))),0)+IF(8&lt;=AE230,(AE230-8+3)*(INDEX(Reference!$B$6:$B$11,MIN(5,MATCH(MAX(Reference!$A$6,MIN(Reference!$A$11,MIN(D230,300))),Reference!$A$6:$A$11,1)))+(MAX(Reference!$A$6,MIN(Reference!$A$11,MIN(D230,300)))-INDEX(Reference!$A$6:$A$11,MIN(5,MATCH(MAX(Reference!$A$6,MIN(Reference!$A$11,MIN(D230,300))),Reference!$A$6:$A$11,1))))*(INDEX(Reference!$B$6:$B$11,MIN(5,MATCH(MAX(Reference!$A$6,MIN(Reference!$A$11,MIN(D230,300))),Reference!$A$6:$A$11,1))+1)-INDEX(Reference!$B$6:$B$11,MIN(5,MATCH(MAX(Reference!$A$6,MIN(Reference!$A$11,MIN(D230,300))),Reference!$A$6:$A$11,1))))/(INDEX(Reference!$A$6:$A$11,MIN(5,MATCH(MAX(Reference!$A$6,MIN(Reference!$A$11,MIN(D230,300))),Reference!$A$6:$A$11,1))+1)-INDEX(Reference!$A$6:$A$11,MIN(5,MATCH(MAX(Reference!$A$6,MIN(Reference!$A$11,MIN(D230,300))),Reference!$A$6:$A$11,1))))),0))/(AE230*(AE230+5)/2)),(INDEX(Reference!$B$6:$B$11,MIN(5,MATCH(MAX(Reference!$A$6,MIN(Reference!$A$11,D230)),Reference!$A$6:$A$11,1)))+(MAX(Reference!$A$6,MIN(Reference!$A$11,D230))-INDEX(Reference!$A$6:$A$11,MIN(5,MATCH(MAX(Reference!$A$6,MIN(Reference!$A$11,D230)),Reference!$A$6:$A$11,1))))*(INDEX(Reference!$B$6:$B$11,MIN(5,MATCH(MAX(Reference!$A$6,MIN(Reference!$A$11,D230)),Reference!$A$6:$A$11,1))+1)-INDEX(Reference!$B$6:$B$11,MIN(5,MATCH(MAX(Reference!$A$6,MIN(Reference!$A$11,D230)),Reference!$A$6:$A$11,1))))/(INDEX(Reference!$A$6:$A$11,MIN(5,MATCH(MAX(Reference!$A$6,MIN(Reference!$A$11,D230)),Reference!$A$6:$A$11,1))+1)-INDEX(Reference!$A$6:$A$11,MIN(5,MATCH(MAX(Reference!$A$6,MIN(Reference!$A$11,D230)),Reference!$A$6:$A$11,1))))))))</f>
        <v/>
      </c>
      <c r="P230" s="32" t="str">
        <f>IF(N230="","",VLOOKUP(MAX(N230,0),Reference!$A$17:$B$20,2,TRUE()))</f>
        <v/>
      </c>
      <c r="Q230" s="32" t="str">
        <f t="shared" si="30"/>
        <v/>
      </c>
      <c r="R230" s="31"/>
      <c r="S230" s="31"/>
      <c r="T230" s="31"/>
      <c r="U230" s="32" t="str">
        <f t="shared" si="31"/>
        <v/>
      </c>
      <c r="V230" s="32" t="str">
        <f t="shared" si="32"/>
        <v/>
      </c>
      <c r="W230" s="32" t="str">
        <f>IF(V230="","",VLOOKUP(MAX(V230,0),Reference!$A$17:$B$20,2,TRUE()))</f>
        <v/>
      </c>
      <c r="X230" s="31"/>
      <c r="Y230" s="31"/>
      <c r="Z230" s="31"/>
      <c r="AA230" s="32" t="str">
        <f t="shared" si="33"/>
        <v/>
      </c>
      <c r="AB230" s="32" t="str">
        <f t="shared" si="34"/>
        <v/>
      </c>
      <c r="AC230" s="32" t="str">
        <f>IF(AB230="","",VLOOKUP(MAX(AB230,0),Reference!$A$17:$B$20,2,TRUE()))</f>
        <v/>
      </c>
      <c r="AD230" s="31"/>
      <c r="AE230">
        <f t="shared" si="35"/>
        <v>1</v>
      </c>
      <c r="AF230" s="33" t="str">
        <f>IF(OR(A230="",B230="",AND(C230&lt;&gt;"Bullpen",C230&lt;&gt;"Game")),"",IF((COUNTIFS($B$5:$B$300,B230,$A$5:$A$300,A230-1,$C$5:$C$300,"Bullpen",$AG$5:$AG$300,"&gt;0") + COUNTIFS($B$5:$B$300,B230,$A$5:$A$300,A230-1,$C$5:$C$300,"Game",$AG$5:$AG$300,"&gt;0"))&gt;0,Reference!$B$119,IF((COUNTIFS($B$5:$B$300,B230,$A$5:$A$300,A230-2,$C$5:$C$300,"Bullpen",$AG$5:$AG$300,"&gt;0") + COUNTIFS($B$5:$B$300,B230,$A$5:$A$300,A230-2,$C$5:$C$300,"Game",$AG$5:$AG$300,"&gt;0"))&gt;0,Reference!$B$120,1)))</f>
        <v/>
      </c>
      <c r="AG230" s="30" t="str">
        <f>IF(AND(OR(I230="",O230="",P230=""),OR(R230="",W230=""),OR(X230="",AC230="")),"",IF(OR(I230="",O230="",P230=""),0,I230*O230*P230)+IF(OR(R230="",W230=""),0,R230*IFERROR(INDEX(Reference!$B$61:$B$62,MATCH("Bullpen",Reference!$A$61:$A$62,0)),0)*W230)+IF(OR(X230="",AC230=""),0,X230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230))</f>
        <v/>
      </c>
    </row>
    <row r="231" spans="1:33" x14ac:dyDescent="0.3">
      <c r="A231" s="35"/>
      <c r="B231" s="31"/>
      <c r="C231" s="31"/>
      <c r="D231" s="31"/>
      <c r="E231" s="34"/>
      <c r="F231" s="34"/>
      <c r="G231" s="30" t="str">
        <f t="shared" si="27"/>
        <v/>
      </c>
      <c r="H231" s="31"/>
      <c r="I231" s="32" t="str">
        <f>IF(H231&lt;&gt;"",H231,IF(G231="","",ROUND(G231*IFERROR(INDEX(Reference!$B$44:$B$50,MATCH(C231,Reference!$A$44:$A$50,0)),0),0)))</f>
        <v/>
      </c>
      <c r="J231" s="31"/>
      <c r="K231" s="31"/>
      <c r="L231" s="32" t="str">
        <f t="shared" si="28"/>
        <v/>
      </c>
      <c r="M231" s="32" t="str">
        <f>IFERROR(INDEX(Roster!$D$5:$D$40,MATCH(B231,Roster!$A$5:$A$40,0)),"")</f>
        <v/>
      </c>
      <c r="N231" s="32" t="str">
        <f t="shared" si="29"/>
        <v/>
      </c>
      <c r="O231" s="32" t="str">
        <f>IF(OR(C231="Bullpen",C231="Game"),IFERROR(INDEX(Reference!$B$61:$B$62,MATCH(C231,Reference!$A$61:$A$62,0)),""),IF(D231="","",IF(AE231&gt;1,((IF(1&lt;=AE231,(AE231-1+3)*(INDEX(Reference!$B$6:$B$11,MIN(5,MATCH(MAX(Reference!$A$6,MIN(Reference!$A$11,MIN(D231,90))),Reference!$A$6:$A$11,1)))+(MAX(Reference!$A$6,MIN(Reference!$A$11,MIN(D231,90)))-INDEX(Reference!$A$6:$A$11,MIN(5,MATCH(MAX(Reference!$A$6,MIN(Reference!$A$11,MIN(D231,90))),Reference!$A$6:$A$11,1))))*(INDEX(Reference!$B$6:$B$11,MIN(5,MATCH(MAX(Reference!$A$6,MIN(Reference!$A$11,MIN(D231,90))),Reference!$A$6:$A$11,1))+1)-INDEX(Reference!$B$6:$B$11,MIN(5,MATCH(MAX(Reference!$A$6,MIN(Reference!$A$11,MIN(D231,90))),Reference!$A$6:$A$11,1))))/(INDEX(Reference!$A$6:$A$11,MIN(5,MATCH(MAX(Reference!$A$6,MIN(Reference!$A$11,MIN(D231,90))),Reference!$A$6:$A$11,1))+1)-INDEX(Reference!$A$6:$A$11,MIN(5,MATCH(MAX(Reference!$A$6,MIN(Reference!$A$11,MIN(D231,90))),Reference!$A$6:$A$11,1))))),0)+IF(2&lt;=AE231,(AE231-2+3)*(INDEX(Reference!$B$6:$B$11,MIN(5,MATCH(MAX(Reference!$A$6,MIN(Reference!$A$11,MIN(D231,120))),Reference!$A$6:$A$11,1)))+(MAX(Reference!$A$6,MIN(Reference!$A$11,MIN(D231,120)))-INDEX(Reference!$A$6:$A$11,MIN(5,MATCH(MAX(Reference!$A$6,MIN(Reference!$A$11,MIN(D231,120))),Reference!$A$6:$A$11,1))))*(INDEX(Reference!$B$6:$B$11,MIN(5,MATCH(MAX(Reference!$A$6,MIN(Reference!$A$11,MIN(D231,120))),Reference!$A$6:$A$11,1))+1)-INDEX(Reference!$B$6:$B$11,MIN(5,MATCH(MAX(Reference!$A$6,MIN(Reference!$A$11,MIN(D231,120))),Reference!$A$6:$A$11,1))))/(INDEX(Reference!$A$6:$A$11,MIN(5,MATCH(MAX(Reference!$A$6,MIN(Reference!$A$11,MIN(D231,120))),Reference!$A$6:$A$11,1))+1)-INDEX(Reference!$A$6:$A$11,MIN(5,MATCH(MAX(Reference!$A$6,MIN(Reference!$A$11,MIN(D231,120))),Reference!$A$6:$A$11,1))))),0)+IF(3&lt;=AE231,(AE231-3+3)*(INDEX(Reference!$B$6:$B$11,MIN(5,MATCH(MAX(Reference!$A$6,MIN(Reference!$A$11,MIN(D231,150))),Reference!$A$6:$A$11,1)))+(MAX(Reference!$A$6,MIN(Reference!$A$11,MIN(D231,150)))-INDEX(Reference!$A$6:$A$11,MIN(5,MATCH(MAX(Reference!$A$6,MIN(Reference!$A$11,MIN(D231,150))),Reference!$A$6:$A$11,1))))*(INDEX(Reference!$B$6:$B$11,MIN(5,MATCH(MAX(Reference!$A$6,MIN(Reference!$A$11,MIN(D231,150))),Reference!$A$6:$A$11,1))+1)-INDEX(Reference!$B$6:$B$11,MIN(5,MATCH(MAX(Reference!$A$6,MIN(Reference!$A$11,MIN(D231,150))),Reference!$A$6:$A$11,1))))/(INDEX(Reference!$A$6:$A$11,MIN(5,MATCH(MAX(Reference!$A$6,MIN(Reference!$A$11,MIN(D231,150))),Reference!$A$6:$A$11,1))+1)-INDEX(Reference!$A$6:$A$11,MIN(5,MATCH(MAX(Reference!$A$6,MIN(Reference!$A$11,MIN(D231,150))),Reference!$A$6:$A$11,1))))),0)+IF(4&lt;=AE231,(AE231-4+3)*(INDEX(Reference!$B$6:$B$11,MIN(5,MATCH(MAX(Reference!$A$6,MIN(Reference!$A$11,MIN(D231,180))),Reference!$A$6:$A$11,1)))+(MAX(Reference!$A$6,MIN(Reference!$A$11,MIN(D231,180)))-INDEX(Reference!$A$6:$A$11,MIN(5,MATCH(MAX(Reference!$A$6,MIN(Reference!$A$11,MIN(D231,180))),Reference!$A$6:$A$11,1))))*(INDEX(Reference!$B$6:$B$11,MIN(5,MATCH(MAX(Reference!$A$6,MIN(Reference!$A$11,MIN(D231,180))),Reference!$A$6:$A$11,1))+1)-INDEX(Reference!$B$6:$B$11,MIN(5,MATCH(MAX(Reference!$A$6,MIN(Reference!$A$11,MIN(D231,180))),Reference!$A$6:$A$11,1))))/(INDEX(Reference!$A$6:$A$11,MIN(5,MATCH(MAX(Reference!$A$6,MIN(Reference!$A$11,MIN(D231,180))),Reference!$A$6:$A$11,1))+1)-INDEX(Reference!$A$6:$A$11,MIN(5,MATCH(MAX(Reference!$A$6,MIN(Reference!$A$11,MIN(D231,180))),Reference!$A$6:$A$11,1))))),0)+IF(5&lt;=AE231,(AE231-5+3)*(INDEX(Reference!$B$6:$B$11,MIN(5,MATCH(MAX(Reference!$A$6,MIN(Reference!$A$11,MIN(D231,210))),Reference!$A$6:$A$11,1)))+(MAX(Reference!$A$6,MIN(Reference!$A$11,MIN(D231,210)))-INDEX(Reference!$A$6:$A$11,MIN(5,MATCH(MAX(Reference!$A$6,MIN(Reference!$A$11,MIN(D231,210))),Reference!$A$6:$A$11,1))))*(INDEX(Reference!$B$6:$B$11,MIN(5,MATCH(MAX(Reference!$A$6,MIN(Reference!$A$11,MIN(D231,210))),Reference!$A$6:$A$11,1))+1)-INDEX(Reference!$B$6:$B$11,MIN(5,MATCH(MAX(Reference!$A$6,MIN(Reference!$A$11,MIN(D231,210))),Reference!$A$6:$A$11,1))))/(INDEX(Reference!$A$6:$A$11,MIN(5,MATCH(MAX(Reference!$A$6,MIN(Reference!$A$11,MIN(D231,210))),Reference!$A$6:$A$11,1))+1)-INDEX(Reference!$A$6:$A$11,MIN(5,MATCH(MAX(Reference!$A$6,MIN(Reference!$A$11,MIN(D231,210))),Reference!$A$6:$A$11,1))))),0)+IF(6&lt;=AE231,(AE231-6+3)*(INDEX(Reference!$B$6:$B$11,MIN(5,MATCH(MAX(Reference!$A$6,MIN(Reference!$A$11,MIN(D231,240))),Reference!$A$6:$A$11,1)))+(MAX(Reference!$A$6,MIN(Reference!$A$11,MIN(D231,240)))-INDEX(Reference!$A$6:$A$11,MIN(5,MATCH(MAX(Reference!$A$6,MIN(Reference!$A$11,MIN(D231,240))),Reference!$A$6:$A$11,1))))*(INDEX(Reference!$B$6:$B$11,MIN(5,MATCH(MAX(Reference!$A$6,MIN(Reference!$A$11,MIN(D231,240))),Reference!$A$6:$A$11,1))+1)-INDEX(Reference!$B$6:$B$11,MIN(5,MATCH(MAX(Reference!$A$6,MIN(Reference!$A$11,MIN(D231,240))),Reference!$A$6:$A$11,1))))/(INDEX(Reference!$A$6:$A$11,MIN(5,MATCH(MAX(Reference!$A$6,MIN(Reference!$A$11,MIN(D231,240))),Reference!$A$6:$A$11,1))+1)-INDEX(Reference!$A$6:$A$11,MIN(5,MATCH(MAX(Reference!$A$6,MIN(Reference!$A$11,MIN(D231,240))),Reference!$A$6:$A$11,1))))),0)+IF(7&lt;=AE231,(AE231-7+3)*(INDEX(Reference!$B$6:$B$11,MIN(5,MATCH(MAX(Reference!$A$6,MIN(Reference!$A$11,MIN(D231,270))),Reference!$A$6:$A$11,1)))+(MAX(Reference!$A$6,MIN(Reference!$A$11,MIN(D231,270)))-INDEX(Reference!$A$6:$A$11,MIN(5,MATCH(MAX(Reference!$A$6,MIN(Reference!$A$11,MIN(D231,270))),Reference!$A$6:$A$11,1))))*(INDEX(Reference!$B$6:$B$11,MIN(5,MATCH(MAX(Reference!$A$6,MIN(Reference!$A$11,MIN(D231,270))),Reference!$A$6:$A$11,1))+1)-INDEX(Reference!$B$6:$B$11,MIN(5,MATCH(MAX(Reference!$A$6,MIN(Reference!$A$11,MIN(D231,270))),Reference!$A$6:$A$11,1))))/(INDEX(Reference!$A$6:$A$11,MIN(5,MATCH(MAX(Reference!$A$6,MIN(Reference!$A$11,MIN(D231,270))),Reference!$A$6:$A$11,1))+1)-INDEX(Reference!$A$6:$A$11,MIN(5,MATCH(MAX(Reference!$A$6,MIN(Reference!$A$11,MIN(D231,270))),Reference!$A$6:$A$11,1))))),0)+IF(8&lt;=AE231,(AE231-8+3)*(INDEX(Reference!$B$6:$B$11,MIN(5,MATCH(MAX(Reference!$A$6,MIN(Reference!$A$11,MIN(D231,300))),Reference!$A$6:$A$11,1)))+(MAX(Reference!$A$6,MIN(Reference!$A$11,MIN(D231,300)))-INDEX(Reference!$A$6:$A$11,MIN(5,MATCH(MAX(Reference!$A$6,MIN(Reference!$A$11,MIN(D231,300))),Reference!$A$6:$A$11,1))))*(INDEX(Reference!$B$6:$B$11,MIN(5,MATCH(MAX(Reference!$A$6,MIN(Reference!$A$11,MIN(D231,300))),Reference!$A$6:$A$11,1))+1)-INDEX(Reference!$B$6:$B$11,MIN(5,MATCH(MAX(Reference!$A$6,MIN(Reference!$A$11,MIN(D231,300))),Reference!$A$6:$A$11,1))))/(INDEX(Reference!$A$6:$A$11,MIN(5,MATCH(MAX(Reference!$A$6,MIN(Reference!$A$11,MIN(D231,300))),Reference!$A$6:$A$11,1))+1)-INDEX(Reference!$A$6:$A$11,MIN(5,MATCH(MAX(Reference!$A$6,MIN(Reference!$A$11,MIN(D231,300))),Reference!$A$6:$A$11,1))))),0))/(AE231*(AE231+5)/2)),(INDEX(Reference!$B$6:$B$11,MIN(5,MATCH(MAX(Reference!$A$6,MIN(Reference!$A$11,D231)),Reference!$A$6:$A$11,1)))+(MAX(Reference!$A$6,MIN(Reference!$A$11,D231))-INDEX(Reference!$A$6:$A$11,MIN(5,MATCH(MAX(Reference!$A$6,MIN(Reference!$A$11,D231)),Reference!$A$6:$A$11,1))))*(INDEX(Reference!$B$6:$B$11,MIN(5,MATCH(MAX(Reference!$A$6,MIN(Reference!$A$11,D231)),Reference!$A$6:$A$11,1))+1)-INDEX(Reference!$B$6:$B$11,MIN(5,MATCH(MAX(Reference!$A$6,MIN(Reference!$A$11,D231)),Reference!$A$6:$A$11,1))))/(INDEX(Reference!$A$6:$A$11,MIN(5,MATCH(MAX(Reference!$A$6,MIN(Reference!$A$11,D231)),Reference!$A$6:$A$11,1))+1)-INDEX(Reference!$A$6:$A$11,MIN(5,MATCH(MAX(Reference!$A$6,MIN(Reference!$A$11,D231)),Reference!$A$6:$A$11,1))))))))</f>
        <v/>
      </c>
      <c r="P231" s="32" t="str">
        <f>IF(N231="","",VLOOKUP(MAX(N231,0),Reference!$A$17:$B$20,2,TRUE()))</f>
        <v/>
      </c>
      <c r="Q231" s="32" t="str">
        <f t="shared" si="30"/>
        <v/>
      </c>
      <c r="R231" s="31"/>
      <c r="S231" s="31"/>
      <c r="T231" s="31"/>
      <c r="U231" s="32" t="str">
        <f t="shared" si="31"/>
        <v/>
      </c>
      <c r="V231" s="32" t="str">
        <f t="shared" si="32"/>
        <v/>
      </c>
      <c r="W231" s="32" t="str">
        <f>IF(V231="","",VLOOKUP(MAX(V231,0),Reference!$A$17:$B$20,2,TRUE()))</f>
        <v/>
      </c>
      <c r="X231" s="31"/>
      <c r="Y231" s="31"/>
      <c r="Z231" s="31"/>
      <c r="AA231" s="32" t="str">
        <f t="shared" si="33"/>
        <v/>
      </c>
      <c r="AB231" s="32" t="str">
        <f t="shared" si="34"/>
        <v/>
      </c>
      <c r="AC231" s="32" t="str">
        <f>IF(AB231="","",VLOOKUP(MAX(AB231,0),Reference!$A$17:$B$20,2,TRUE()))</f>
        <v/>
      </c>
      <c r="AD231" s="31"/>
      <c r="AE231">
        <f t="shared" si="35"/>
        <v>1</v>
      </c>
      <c r="AF231" s="33" t="str">
        <f>IF(OR(A231="",B231="",AND(C231&lt;&gt;"Bullpen",C231&lt;&gt;"Game")),"",IF((COUNTIFS($B$5:$B$300,B231,$A$5:$A$300,A231-1,$C$5:$C$300,"Bullpen",$AG$5:$AG$300,"&gt;0") + COUNTIFS($B$5:$B$300,B231,$A$5:$A$300,A231-1,$C$5:$C$300,"Game",$AG$5:$AG$300,"&gt;0"))&gt;0,Reference!$B$119,IF((COUNTIFS($B$5:$B$300,B231,$A$5:$A$300,A231-2,$C$5:$C$300,"Bullpen",$AG$5:$AG$300,"&gt;0") + COUNTIFS($B$5:$B$300,B231,$A$5:$A$300,A231-2,$C$5:$C$300,"Game",$AG$5:$AG$300,"&gt;0"))&gt;0,Reference!$B$120,1)))</f>
        <v/>
      </c>
      <c r="AG231" s="30" t="str">
        <f>IF(AND(OR(I231="",O231="",P231=""),OR(R231="",W231=""),OR(X231="",AC231="")),"",IF(OR(I231="",O231="",P231=""),0,I231*O231*P231)+IF(OR(R231="",W231=""),0,R231*IFERROR(INDEX(Reference!$B$61:$B$62,MATCH("Bullpen",Reference!$A$61:$A$62,0)),0)*W231)+IF(OR(X231="",AC231=""),0,X231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231))</f>
        <v/>
      </c>
    </row>
    <row r="232" spans="1:33" x14ac:dyDescent="0.3">
      <c r="A232" s="35"/>
      <c r="B232" s="31"/>
      <c r="C232" s="31"/>
      <c r="D232" s="31"/>
      <c r="E232" s="34"/>
      <c r="F232" s="34"/>
      <c r="G232" s="30" t="str">
        <f t="shared" si="27"/>
        <v/>
      </c>
      <c r="H232" s="31"/>
      <c r="I232" s="32" t="str">
        <f>IF(H232&lt;&gt;"",H232,IF(G232="","",ROUND(G232*IFERROR(INDEX(Reference!$B$44:$B$50,MATCH(C232,Reference!$A$44:$A$50,0)),0),0)))</f>
        <v/>
      </c>
      <c r="J232" s="31"/>
      <c r="K232" s="31"/>
      <c r="L232" s="32" t="str">
        <f t="shared" si="28"/>
        <v/>
      </c>
      <c r="M232" s="32" t="str">
        <f>IFERROR(INDEX(Roster!$D$5:$D$40,MATCH(B232,Roster!$A$5:$A$40,0)),"")</f>
        <v/>
      </c>
      <c r="N232" s="32" t="str">
        <f t="shared" si="29"/>
        <v/>
      </c>
      <c r="O232" s="32" t="str">
        <f>IF(OR(C232="Bullpen",C232="Game"),IFERROR(INDEX(Reference!$B$61:$B$62,MATCH(C232,Reference!$A$61:$A$62,0)),""),IF(D232="","",IF(AE232&gt;1,((IF(1&lt;=AE232,(AE232-1+3)*(INDEX(Reference!$B$6:$B$11,MIN(5,MATCH(MAX(Reference!$A$6,MIN(Reference!$A$11,MIN(D232,90))),Reference!$A$6:$A$11,1)))+(MAX(Reference!$A$6,MIN(Reference!$A$11,MIN(D232,90)))-INDEX(Reference!$A$6:$A$11,MIN(5,MATCH(MAX(Reference!$A$6,MIN(Reference!$A$11,MIN(D232,90))),Reference!$A$6:$A$11,1))))*(INDEX(Reference!$B$6:$B$11,MIN(5,MATCH(MAX(Reference!$A$6,MIN(Reference!$A$11,MIN(D232,90))),Reference!$A$6:$A$11,1))+1)-INDEX(Reference!$B$6:$B$11,MIN(5,MATCH(MAX(Reference!$A$6,MIN(Reference!$A$11,MIN(D232,90))),Reference!$A$6:$A$11,1))))/(INDEX(Reference!$A$6:$A$11,MIN(5,MATCH(MAX(Reference!$A$6,MIN(Reference!$A$11,MIN(D232,90))),Reference!$A$6:$A$11,1))+1)-INDEX(Reference!$A$6:$A$11,MIN(5,MATCH(MAX(Reference!$A$6,MIN(Reference!$A$11,MIN(D232,90))),Reference!$A$6:$A$11,1))))),0)+IF(2&lt;=AE232,(AE232-2+3)*(INDEX(Reference!$B$6:$B$11,MIN(5,MATCH(MAX(Reference!$A$6,MIN(Reference!$A$11,MIN(D232,120))),Reference!$A$6:$A$11,1)))+(MAX(Reference!$A$6,MIN(Reference!$A$11,MIN(D232,120)))-INDEX(Reference!$A$6:$A$11,MIN(5,MATCH(MAX(Reference!$A$6,MIN(Reference!$A$11,MIN(D232,120))),Reference!$A$6:$A$11,1))))*(INDEX(Reference!$B$6:$B$11,MIN(5,MATCH(MAX(Reference!$A$6,MIN(Reference!$A$11,MIN(D232,120))),Reference!$A$6:$A$11,1))+1)-INDEX(Reference!$B$6:$B$11,MIN(5,MATCH(MAX(Reference!$A$6,MIN(Reference!$A$11,MIN(D232,120))),Reference!$A$6:$A$11,1))))/(INDEX(Reference!$A$6:$A$11,MIN(5,MATCH(MAX(Reference!$A$6,MIN(Reference!$A$11,MIN(D232,120))),Reference!$A$6:$A$11,1))+1)-INDEX(Reference!$A$6:$A$11,MIN(5,MATCH(MAX(Reference!$A$6,MIN(Reference!$A$11,MIN(D232,120))),Reference!$A$6:$A$11,1))))),0)+IF(3&lt;=AE232,(AE232-3+3)*(INDEX(Reference!$B$6:$B$11,MIN(5,MATCH(MAX(Reference!$A$6,MIN(Reference!$A$11,MIN(D232,150))),Reference!$A$6:$A$11,1)))+(MAX(Reference!$A$6,MIN(Reference!$A$11,MIN(D232,150)))-INDEX(Reference!$A$6:$A$11,MIN(5,MATCH(MAX(Reference!$A$6,MIN(Reference!$A$11,MIN(D232,150))),Reference!$A$6:$A$11,1))))*(INDEX(Reference!$B$6:$B$11,MIN(5,MATCH(MAX(Reference!$A$6,MIN(Reference!$A$11,MIN(D232,150))),Reference!$A$6:$A$11,1))+1)-INDEX(Reference!$B$6:$B$11,MIN(5,MATCH(MAX(Reference!$A$6,MIN(Reference!$A$11,MIN(D232,150))),Reference!$A$6:$A$11,1))))/(INDEX(Reference!$A$6:$A$11,MIN(5,MATCH(MAX(Reference!$A$6,MIN(Reference!$A$11,MIN(D232,150))),Reference!$A$6:$A$11,1))+1)-INDEX(Reference!$A$6:$A$11,MIN(5,MATCH(MAX(Reference!$A$6,MIN(Reference!$A$11,MIN(D232,150))),Reference!$A$6:$A$11,1))))),0)+IF(4&lt;=AE232,(AE232-4+3)*(INDEX(Reference!$B$6:$B$11,MIN(5,MATCH(MAX(Reference!$A$6,MIN(Reference!$A$11,MIN(D232,180))),Reference!$A$6:$A$11,1)))+(MAX(Reference!$A$6,MIN(Reference!$A$11,MIN(D232,180)))-INDEX(Reference!$A$6:$A$11,MIN(5,MATCH(MAX(Reference!$A$6,MIN(Reference!$A$11,MIN(D232,180))),Reference!$A$6:$A$11,1))))*(INDEX(Reference!$B$6:$B$11,MIN(5,MATCH(MAX(Reference!$A$6,MIN(Reference!$A$11,MIN(D232,180))),Reference!$A$6:$A$11,1))+1)-INDEX(Reference!$B$6:$B$11,MIN(5,MATCH(MAX(Reference!$A$6,MIN(Reference!$A$11,MIN(D232,180))),Reference!$A$6:$A$11,1))))/(INDEX(Reference!$A$6:$A$11,MIN(5,MATCH(MAX(Reference!$A$6,MIN(Reference!$A$11,MIN(D232,180))),Reference!$A$6:$A$11,1))+1)-INDEX(Reference!$A$6:$A$11,MIN(5,MATCH(MAX(Reference!$A$6,MIN(Reference!$A$11,MIN(D232,180))),Reference!$A$6:$A$11,1))))),0)+IF(5&lt;=AE232,(AE232-5+3)*(INDEX(Reference!$B$6:$B$11,MIN(5,MATCH(MAX(Reference!$A$6,MIN(Reference!$A$11,MIN(D232,210))),Reference!$A$6:$A$11,1)))+(MAX(Reference!$A$6,MIN(Reference!$A$11,MIN(D232,210)))-INDEX(Reference!$A$6:$A$11,MIN(5,MATCH(MAX(Reference!$A$6,MIN(Reference!$A$11,MIN(D232,210))),Reference!$A$6:$A$11,1))))*(INDEX(Reference!$B$6:$B$11,MIN(5,MATCH(MAX(Reference!$A$6,MIN(Reference!$A$11,MIN(D232,210))),Reference!$A$6:$A$11,1))+1)-INDEX(Reference!$B$6:$B$11,MIN(5,MATCH(MAX(Reference!$A$6,MIN(Reference!$A$11,MIN(D232,210))),Reference!$A$6:$A$11,1))))/(INDEX(Reference!$A$6:$A$11,MIN(5,MATCH(MAX(Reference!$A$6,MIN(Reference!$A$11,MIN(D232,210))),Reference!$A$6:$A$11,1))+1)-INDEX(Reference!$A$6:$A$11,MIN(5,MATCH(MAX(Reference!$A$6,MIN(Reference!$A$11,MIN(D232,210))),Reference!$A$6:$A$11,1))))),0)+IF(6&lt;=AE232,(AE232-6+3)*(INDEX(Reference!$B$6:$B$11,MIN(5,MATCH(MAX(Reference!$A$6,MIN(Reference!$A$11,MIN(D232,240))),Reference!$A$6:$A$11,1)))+(MAX(Reference!$A$6,MIN(Reference!$A$11,MIN(D232,240)))-INDEX(Reference!$A$6:$A$11,MIN(5,MATCH(MAX(Reference!$A$6,MIN(Reference!$A$11,MIN(D232,240))),Reference!$A$6:$A$11,1))))*(INDEX(Reference!$B$6:$B$11,MIN(5,MATCH(MAX(Reference!$A$6,MIN(Reference!$A$11,MIN(D232,240))),Reference!$A$6:$A$11,1))+1)-INDEX(Reference!$B$6:$B$11,MIN(5,MATCH(MAX(Reference!$A$6,MIN(Reference!$A$11,MIN(D232,240))),Reference!$A$6:$A$11,1))))/(INDEX(Reference!$A$6:$A$11,MIN(5,MATCH(MAX(Reference!$A$6,MIN(Reference!$A$11,MIN(D232,240))),Reference!$A$6:$A$11,1))+1)-INDEX(Reference!$A$6:$A$11,MIN(5,MATCH(MAX(Reference!$A$6,MIN(Reference!$A$11,MIN(D232,240))),Reference!$A$6:$A$11,1))))),0)+IF(7&lt;=AE232,(AE232-7+3)*(INDEX(Reference!$B$6:$B$11,MIN(5,MATCH(MAX(Reference!$A$6,MIN(Reference!$A$11,MIN(D232,270))),Reference!$A$6:$A$11,1)))+(MAX(Reference!$A$6,MIN(Reference!$A$11,MIN(D232,270)))-INDEX(Reference!$A$6:$A$11,MIN(5,MATCH(MAX(Reference!$A$6,MIN(Reference!$A$11,MIN(D232,270))),Reference!$A$6:$A$11,1))))*(INDEX(Reference!$B$6:$B$11,MIN(5,MATCH(MAX(Reference!$A$6,MIN(Reference!$A$11,MIN(D232,270))),Reference!$A$6:$A$11,1))+1)-INDEX(Reference!$B$6:$B$11,MIN(5,MATCH(MAX(Reference!$A$6,MIN(Reference!$A$11,MIN(D232,270))),Reference!$A$6:$A$11,1))))/(INDEX(Reference!$A$6:$A$11,MIN(5,MATCH(MAX(Reference!$A$6,MIN(Reference!$A$11,MIN(D232,270))),Reference!$A$6:$A$11,1))+1)-INDEX(Reference!$A$6:$A$11,MIN(5,MATCH(MAX(Reference!$A$6,MIN(Reference!$A$11,MIN(D232,270))),Reference!$A$6:$A$11,1))))),0)+IF(8&lt;=AE232,(AE232-8+3)*(INDEX(Reference!$B$6:$B$11,MIN(5,MATCH(MAX(Reference!$A$6,MIN(Reference!$A$11,MIN(D232,300))),Reference!$A$6:$A$11,1)))+(MAX(Reference!$A$6,MIN(Reference!$A$11,MIN(D232,300)))-INDEX(Reference!$A$6:$A$11,MIN(5,MATCH(MAX(Reference!$A$6,MIN(Reference!$A$11,MIN(D232,300))),Reference!$A$6:$A$11,1))))*(INDEX(Reference!$B$6:$B$11,MIN(5,MATCH(MAX(Reference!$A$6,MIN(Reference!$A$11,MIN(D232,300))),Reference!$A$6:$A$11,1))+1)-INDEX(Reference!$B$6:$B$11,MIN(5,MATCH(MAX(Reference!$A$6,MIN(Reference!$A$11,MIN(D232,300))),Reference!$A$6:$A$11,1))))/(INDEX(Reference!$A$6:$A$11,MIN(5,MATCH(MAX(Reference!$A$6,MIN(Reference!$A$11,MIN(D232,300))),Reference!$A$6:$A$11,1))+1)-INDEX(Reference!$A$6:$A$11,MIN(5,MATCH(MAX(Reference!$A$6,MIN(Reference!$A$11,MIN(D232,300))),Reference!$A$6:$A$11,1))))),0))/(AE232*(AE232+5)/2)),(INDEX(Reference!$B$6:$B$11,MIN(5,MATCH(MAX(Reference!$A$6,MIN(Reference!$A$11,D232)),Reference!$A$6:$A$11,1)))+(MAX(Reference!$A$6,MIN(Reference!$A$11,D232))-INDEX(Reference!$A$6:$A$11,MIN(5,MATCH(MAX(Reference!$A$6,MIN(Reference!$A$11,D232)),Reference!$A$6:$A$11,1))))*(INDEX(Reference!$B$6:$B$11,MIN(5,MATCH(MAX(Reference!$A$6,MIN(Reference!$A$11,D232)),Reference!$A$6:$A$11,1))+1)-INDEX(Reference!$B$6:$B$11,MIN(5,MATCH(MAX(Reference!$A$6,MIN(Reference!$A$11,D232)),Reference!$A$6:$A$11,1))))/(INDEX(Reference!$A$6:$A$11,MIN(5,MATCH(MAX(Reference!$A$6,MIN(Reference!$A$11,D232)),Reference!$A$6:$A$11,1))+1)-INDEX(Reference!$A$6:$A$11,MIN(5,MATCH(MAX(Reference!$A$6,MIN(Reference!$A$11,D232)),Reference!$A$6:$A$11,1))))))))</f>
        <v/>
      </c>
      <c r="P232" s="32" t="str">
        <f>IF(N232="","",VLOOKUP(MAX(N232,0),Reference!$A$17:$B$20,2,TRUE()))</f>
        <v/>
      </c>
      <c r="Q232" s="32" t="str">
        <f t="shared" si="30"/>
        <v/>
      </c>
      <c r="R232" s="31"/>
      <c r="S232" s="31"/>
      <c r="T232" s="31"/>
      <c r="U232" s="32" t="str">
        <f t="shared" si="31"/>
        <v/>
      </c>
      <c r="V232" s="32" t="str">
        <f t="shared" si="32"/>
        <v/>
      </c>
      <c r="W232" s="32" t="str">
        <f>IF(V232="","",VLOOKUP(MAX(V232,0),Reference!$A$17:$B$20,2,TRUE()))</f>
        <v/>
      </c>
      <c r="X232" s="31"/>
      <c r="Y232" s="31"/>
      <c r="Z232" s="31"/>
      <c r="AA232" s="32" t="str">
        <f t="shared" si="33"/>
        <v/>
      </c>
      <c r="AB232" s="32" t="str">
        <f t="shared" si="34"/>
        <v/>
      </c>
      <c r="AC232" s="32" t="str">
        <f>IF(AB232="","",VLOOKUP(MAX(AB232,0),Reference!$A$17:$B$20,2,TRUE()))</f>
        <v/>
      </c>
      <c r="AD232" s="31"/>
      <c r="AE232">
        <f t="shared" si="35"/>
        <v>1</v>
      </c>
      <c r="AF232" s="33" t="str">
        <f>IF(OR(A232="",B232="",AND(C232&lt;&gt;"Bullpen",C232&lt;&gt;"Game")),"",IF((COUNTIFS($B$5:$B$300,B232,$A$5:$A$300,A232-1,$C$5:$C$300,"Bullpen",$AG$5:$AG$300,"&gt;0") + COUNTIFS($B$5:$B$300,B232,$A$5:$A$300,A232-1,$C$5:$C$300,"Game",$AG$5:$AG$300,"&gt;0"))&gt;0,Reference!$B$119,IF((COUNTIFS($B$5:$B$300,B232,$A$5:$A$300,A232-2,$C$5:$C$300,"Bullpen",$AG$5:$AG$300,"&gt;0") + COUNTIFS($B$5:$B$300,B232,$A$5:$A$300,A232-2,$C$5:$C$300,"Game",$AG$5:$AG$300,"&gt;0"))&gt;0,Reference!$B$120,1)))</f>
        <v/>
      </c>
      <c r="AG232" s="30" t="str">
        <f>IF(AND(OR(I232="",O232="",P232=""),OR(R232="",W232=""),OR(X232="",AC232="")),"",IF(OR(I232="",O232="",P232=""),0,I232*O232*P232)+IF(OR(R232="",W232=""),0,R232*IFERROR(INDEX(Reference!$B$61:$B$62,MATCH("Bullpen",Reference!$A$61:$A$62,0)),0)*W232)+IF(OR(X232="",AC232=""),0,X232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232))</f>
        <v/>
      </c>
    </row>
    <row r="233" spans="1:33" x14ac:dyDescent="0.3">
      <c r="A233" s="35"/>
      <c r="B233" s="31"/>
      <c r="C233" s="31"/>
      <c r="D233" s="31"/>
      <c r="E233" s="34"/>
      <c r="F233" s="34"/>
      <c r="G233" s="30" t="str">
        <f t="shared" si="27"/>
        <v/>
      </c>
      <c r="H233" s="31"/>
      <c r="I233" s="32" t="str">
        <f>IF(H233&lt;&gt;"",H233,IF(G233="","",ROUND(G233*IFERROR(INDEX(Reference!$B$44:$B$50,MATCH(C233,Reference!$A$44:$A$50,0)),0),0)))</f>
        <v/>
      </c>
      <c r="J233" s="31"/>
      <c r="K233" s="31"/>
      <c r="L233" s="32" t="str">
        <f t="shared" si="28"/>
        <v/>
      </c>
      <c r="M233" s="32" t="str">
        <f>IFERROR(INDEX(Roster!$D$5:$D$40,MATCH(B233,Roster!$A$5:$A$40,0)),"")</f>
        <v/>
      </c>
      <c r="N233" s="32" t="str">
        <f t="shared" si="29"/>
        <v/>
      </c>
      <c r="O233" s="32" t="str">
        <f>IF(OR(C233="Bullpen",C233="Game"),IFERROR(INDEX(Reference!$B$61:$B$62,MATCH(C233,Reference!$A$61:$A$62,0)),""),IF(D233="","",IF(AE233&gt;1,((IF(1&lt;=AE233,(AE233-1+3)*(INDEX(Reference!$B$6:$B$11,MIN(5,MATCH(MAX(Reference!$A$6,MIN(Reference!$A$11,MIN(D233,90))),Reference!$A$6:$A$11,1)))+(MAX(Reference!$A$6,MIN(Reference!$A$11,MIN(D233,90)))-INDEX(Reference!$A$6:$A$11,MIN(5,MATCH(MAX(Reference!$A$6,MIN(Reference!$A$11,MIN(D233,90))),Reference!$A$6:$A$11,1))))*(INDEX(Reference!$B$6:$B$11,MIN(5,MATCH(MAX(Reference!$A$6,MIN(Reference!$A$11,MIN(D233,90))),Reference!$A$6:$A$11,1))+1)-INDEX(Reference!$B$6:$B$11,MIN(5,MATCH(MAX(Reference!$A$6,MIN(Reference!$A$11,MIN(D233,90))),Reference!$A$6:$A$11,1))))/(INDEX(Reference!$A$6:$A$11,MIN(5,MATCH(MAX(Reference!$A$6,MIN(Reference!$A$11,MIN(D233,90))),Reference!$A$6:$A$11,1))+1)-INDEX(Reference!$A$6:$A$11,MIN(5,MATCH(MAX(Reference!$A$6,MIN(Reference!$A$11,MIN(D233,90))),Reference!$A$6:$A$11,1))))),0)+IF(2&lt;=AE233,(AE233-2+3)*(INDEX(Reference!$B$6:$B$11,MIN(5,MATCH(MAX(Reference!$A$6,MIN(Reference!$A$11,MIN(D233,120))),Reference!$A$6:$A$11,1)))+(MAX(Reference!$A$6,MIN(Reference!$A$11,MIN(D233,120)))-INDEX(Reference!$A$6:$A$11,MIN(5,MATCH(MAX(Reference!$A$6,MIN(Reference!$A$11,MIN(D233,120))),Reference!$A$6:$A$11,1))))*(INDEX(Reference!$B$6:$B$11,MIN(5,MATCH(MAX(Reference!$A$6,MIN(Reference!$A$11,MIN(D233,120))),Reference!$A$6:$A$11,1))+1)-INDEX(Reference!$B$6:$B$11,MIN(5,MATCH(MAX(Reference!$A$6,MIN(Reference!$A$11,MIN(D233,120))),Reference!$A$6:$A$11,1))))/(INDEX(Reference!$A$6:$A$11,MIN(5,MATCH(MAX(Reference!$A$6,MIN(Reference!$A$11,MIN(D233,120))),Reference!$A$6:$A$11,1))+1)-INDEX(Reference!$A$6:$A$11,MIN(5,MATCH(MAX(Reference!$A$6,MIN(Reference!$A$11,MIN(D233,120))),Reference!$A$6:$A$11,1))))),0)+IF(3&lt;=AE233,(AE233-3+3)*(INDEX(Reference!$B$6:$B$11,MIN(5,MATCH(MAX(Reference!$A$6,MIN(Reference!$A$11,MIN(D233,150))),Reference!$A$6:$A$11,1)))+(MAX(Reference!$A$6,MIN(Reference!$A$11,MIN(D233,150)))-INDEX(Reference!$A$6:$A$11,MIN(5,MATCH(MAX(Reference!$A$6,MIN(Reference!$A$11,MIN(D233,150))),Reference!$A$6:$A$11,1))))*(INDEX(Reference!$B$6:$B$11,MIN(5,MATCH(MAX(Reference!$A$6,MIN(Reference!$A$11,MIN(D233,150))),Reference!$A$6:$A$11,1))+1)-INDEX(Reference!$B$6:$B$11,MIN(5,MATCH(MAX(Reference!$A$6,MIN(Reference!$A$11,MIN(D233,150))),Reference!$A$6:$A$11,1))))/(INDEX(Reference!$A$6:$A$11,MIN(5,MATCH(MAX(Reference!$A$6,MIN(Reference!$A$11,MIN(D233,150))),Reference!$A$6:$A$11,1))+1)-INDEX(Reference!$A$6:$A$11,MIN(5,MATCH(MAX(Reference!$A$6,MIN(Reference!$A$11,MIN(D233,150))),Reference!$A$6:$A$11,1))))),0)+IF(4&lt;=AE233,(AE233-4+3)*(INDEX(Reference!$B$6:$B$11,MIN(5,MATCH(MAX(Reference!$A$6,MIN(Reference!$A$11,MIN(D233,180))),Reference!$A$6:$A$11,1)))+(MAX(Reference!$A$6,MIN(Reference!$A$11,MIN(D233,180)))-INDEX(Reference!$A$6:$A$11,MIN(5,MATCH(MAX(Reference!$A$6,MIN(Reference!$A$11,MIN(D233,180))),Reference!$A$6:$A$11,1))))*(INDEX(Reference!$B$6:$B$11,MIN(5,MATCH(MAX(Reference!$A$6,MIN(Reference!$A$11,MIN(D233,180))),Reference!$A$6:$A$11,1))+1)-INDEX(Reference!$B$6:$B$11,MIN(5,MATCH(MAX(Reference!$A$6,MIN(Reference!$A$11,MIN(D233,180))),Reference!$A$6:$A$11,1))))/(INDEX(Reference!$A$6:$A$11,MIN(5,MATCH(MAX(Reference!$A$6,MIN(Reference!$A$11,MIN(D233,180))),Reference!$A$6:$A$11,1))+1)-INDEX(Reference!$A$6:$A$11,MIN(5,MATCH(MAX(Reference!$A$6,MIN(Reference!$A$11,MIN(D233,180))),Reference!$A$6:$A$11,1))))),0)+IF(5&lt;=AE233,(AE233-5+3)*(INDEX(Reference!$B$6:$B$11,MIN(5,MATCH(MAX(Reference!$A$6,MIN(Reference!$A$11,MIN(D233,210))),Reference!$A$6:$A$11,1)))+(MAX(Reference!$A$6,MIN(Reference!$A$11,MIN(D233,210)))-INDEX(Reference!$A$6:$A$11,MIN(5,MATCH(MAX(Reference!$A$6,MIN(Reference!$A$11,MIN(D233,210))),Reference!$A$6:$A$11,1))))*(INDEX(Reference!$B$6:$B$11,MIN(5,MATCH(MAX(Reference!$A$6,MIN(Reference!$A$11,MIN(D233,210))),Reference!$A$6:$A$11,1))+1)-INDEX(Reference!$B$6:$B$11,MIN(5,MATCH(MAX(Reference!$A$6,MIN(Reference!$A$11,MIN(D233,210))),Reference!$A$6:$A$11,1))))/(INDEX(Reference!$A$6:$A$11,MIN(5,MATCH(MAX(Reference!$A$6,MIN(Reference!$A$11,MIN(D233,210))),Reference!$A$6:$A$11,1))+1)-INDEX(Reference!$A$6:$A$11,MIN(5,MATCH(MAX(Reference!$A$6,MIN(Reference!$A$11,MIN(D233,210))),Reference!$A$6:$A$11,1))))),0)+IF(6&lt;=AE233,(AE233-6+3)*(INDEX(Reference!$B$6:$B$11,MIN(5,MATCH(MAX(Reference!$A$6,MIN(Reference!$A$11,MIN(D233,240))),Reference!$A$6:$A$11,1)))+(MAX(Reference!$A$6,MIN(Reference!$A$11,MIN(D233,240)))-INDEX(Reference!$A$6:$A$11,MIN(5,MATCH(MAX(Reference!$A$6,MIN(Reference!$A$11,MIN(D233,240))),Reference!$A$6:$A$11,1))))*(INDEX(Reference!$B$6:$B$11,MIN(5,MATCH(MAX(Reference!$A$6,MIN(Reference!$A$11,MIN(D233,240))),Reference!$A$6:$A$11,1))+1)-INDEX(Reference!$B$6:$B$11,MIN(5,MATCH(MAX(Reference!$A$6,MIN(Reference!$A$11,MIN(D233,240))),Reference!$A$6:$A$11,1))))/(INDEX(Reference!$A$6:$A$11,MIN(5,MATCH(MAX(Reference!$A$6,MIN(Reference!$A$11,MIN(D233,240))),Reference!$A$6:$A$11,1))+1)-INDEX(Reference!$A$6:$A$11,MIN(5,MATCH(MAX(Reference!$A$6,MIN(Reference!$A$11,MIN(D233,240))),Reference!$A$6:$A$11,1))))),0)+IF(7&lt;=AE233,(AE233-7+3)*(INDEX(Reference!$B$6:$B$11,MIN(5,MATCH(MAX(Reference!$A$6,MIN(Reference!$A$11,MIN(D233,270))),Reference!$A$6:$A$11,1)))+(MAX(Reference!$A$6,MIN(Reference!$A$11,MIN(D233,270)))-INDEX(Reference!$A$6:$A$11,MIN(5,MATCH(MAX(Reference!$A$6,MIN(Reference!$A$11,MIN(D233,270))),Reference!$A$6:$A$11,1))))*(INDEX(Reference!$B$6:$B$11,MIN(5,MATCH(MAX(Reference!$A$6,MIN(Reference!$A$11,MIN(D233,270))),Reference!$A$6:$A$11,1))+1)-INDEX(Reference!$B$6:$B$11,MIN(5,MATCH(MAX(Reference!$A$6,MIN(Reference!$A$11,MIN(D233,270))),Reference!$A$6:$A$11,1))))/(INDEX(Reference!$A$6:$A$11,MIN(5,MATCH(MAX(Reference!$A$6,MIN(Reference!$A$11,MIN(D233,270))),Reference!$A$6:$A$11,1))+1)-INDEX(Reference!$A$6:$A$11,MIN(5,MATCH(MAX(Reference!$A$6,MIN(Reference!$A$11,MIN(D233,270))),Reference!$A$6:$A$11,1))))),0)+IF(8&lt;=AE233,(AE233-8+3)*(INDEX(Reference!$B$6:$B$11,MIN(5,MATCH(MAX(Reference!$A$6,MIN(Reference!$A$11,MIN(D233,300))),Reference!$A$6:$A$11,1)))+(MAX(Reference!$A$6,MIN(Reference!$A$11,MIN(D233,300)))-INDEX(Reference!$A$6:$A$11,MIN(5,MATCH(MAX(Reference!$A$6,MIN(Reference!$A$11,MIN(D233,300))),Reference!$A$6:$A$11,1))))*(INDEX(Reference!$B$6:$B$11,MIN(5,MATCH(MAX(Reference!$A$6,MIN(Reference!$A$11,MIN(D233,300))),Reference!$A$6:$A$11,1))+1)-INDEX(Reference!$B$6:$B$11,MIN(5,MATCH(MAX(Reference!$A$6,MIN(Reference!$A$11,MIN(D233,300))),Reference!$A$6:$A$11,1))))/(INDEX(Reference!$A$6:$A$11,MIN(5,MATCH(MAX(Reference!$A$6,MIN(Reference!$A$11,MIN(D233,300))),Reference!$A$6:$A$11,1))+1)-INDEX(Reference!$A$6:$A$11,MIN(5,MATCH(MAX(Reference!$A$6,MIN(Reference!$A$11,MIN(D233,300))),Reference!$A$6:$A$11,1))))),0))/(AE233*(AE233+5)/2)),(INDEX(Reference!$B$6:$B$11,MIN(5,MATCH(MAX(Reference!$A$6,MIN(Reference!$A$11,D233)),Reference!$A$6:$A$11,1)))+(MAX(Reference!$A$6,MIN(Reference!$A$11,D233))-INDEX(Reference!$A$6:$A$11,MIN(5,MATCH(MAX(Reference!$A$6,MIN(Reference!$A$11,D233)),Reference!$A$6:$A$11,1))))*(INDEX(Reference!$B$6:$B$11,MIN(5,MATCH(MAX(Reference!$A$6,MIN(Reference!$A$11,D233)),Reference!$A$6:$A$11,1))+1)-INDEX(Reference!$B$6:$B$11,MIN(5,MATCH(MAX(Reference!$A$6,MIN(Reference!$A$11,D233)),Reference!$A$6:$A$11,1))))/(INDEX(Reference!$A$6:$A$11,MIN(5,MATCH(MAX(Reference!$A$6,MIN(Reference!$A$11,D233)),Reference!$A$6:$A$11,1))+1)-INDEX(Reference!$A$6:$A$11,MIN(5,MATCH(MAX(Reference!$A$6,MIN(Reference!$A$11,D233)),Reference!$A$6:$A$11,1))))))))</f>
        <v/>
      </c>
      <c r="P233" s="32" t="str">
        <f>IF(N233="","",VLOOKUP(MAX(N233,0),Reference!$A$17:$B$20,2,TRUE()))</f>
        <v/>
      </c>
      <c r="Q233" s="32" t="str">
        <f t="shared" si="30"/>
        <v/>
      </c>
      <c r="R233" s="31"/>
      <c r="S233" s="31"/>
      <c r="T233" s="31"/>
      <c r="U233" s="32" t="str">
        <f t="shared" si="31"/>
        <v/>
      </c>
      <c r="V233" s="32" t="str">
        <f t="shared" si="32"/>
        <v/>
      </c>
      <c r="W233" s="32" t="str">
        <f>IF(V233="","",VLOOKUP(MAX(V233,0),Reference!$A$17:$B$20,2,TRUE()))</f>
        <v/>
      </c>
      <c r="X233" s="31"/>
      <c r="Y233" s="31"/>
      <c r="Z233" s="31"/>
      <c r="AA233" s="32" t="str">
        <f t="shared" si="33"/>
        <v/>
      </c>
      <c r="AB233" s="32" t="str">
        <f t="shared" si="34"/>
        <v/>
      </c>
      <c r="AC233" s="32" t="str">
        <f>IF(AB233="","",VLOOKUP(MAX(AB233,0),Reference!$A$17:$B$20,2,TRUE()))</f>
        <v/>
      </c>
      <c r="AD233" s="31"/>
      <c r="AE233">
        <f t="shared" si="35"/>
        <v>1</v>
      </c>
      <c r="AF233" s="33" t="str">
        <f>IF(OR(A233="",B233="",AND(C233&lt;&gt;"Bullpen",C233&lt;&gt;"Game")),"",IF((COUNTIFS($B$5:$B$300,B233,$A$5:$A$300,A233-1,$C$5:$C$300,"Bullpen",$AG$5:$AG$300,"&gt;0") + COUNTIFS($B$5:$B$300,B233,$A$5:$A$300,A233-1,$C$5:$C$300,"Game",$AG$5:$AG$300,"&gt;0"))&gt;0,Reference!$B$119,IF((COUNTIFS($B$5:$B$300,B233,$A$5:$A$300,A233-2,$C$5:$C$300,"Bullpen",$AG$5:$AG$300,"&gt;0") + COUNTIFS($B$5:$B$300,B233,$A$5:$A$300,A233-2,$C$5:$C$300,"Game",$AG$5:$AG$300,"&gt;0"))&gt;0,Reference!$B$120,1)))</f>
        <v/>
      </c>
      <c r="AG233" s="30" t="str">
        <f>IF(AND(OR(I233="",O233="",P233=""),OR(R233="",W233=""),OR(X233="",AC233="")),"",IF(OR(I233="",O233="",P233=""),0,I233*O233*P233)+IF(OR(R233="",W233=""),0,R233*IFERROR(INDEX(Reference!$B$61:$B$62,MATCH("Bullpen",Reference!$A$61:$A$62,0)),0)*W233)+IF(OR(X233="",AC233=""),0,X233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233))</f>
        <v/>
      </c>
    </row>
    <row r="234" spans="1:33" x14ac:dyDescent="0.3">
      <c r="A234" s="35"/>
      <c r="B234" s="31"/>
      <c r="C234" s="31"/>
      <c r="D234" s="31"/>
      <c r="E234" s="34"/>
      <c r="F234" s="34"/>
      <c r="G234" s="30" t="str">
        <f t="shared" si="27"/>
        <v/>
      </c>
      <c r="H234" s="31"/>
      <c r="I234" s="32" t="str">
        <f>IF(H234&lt;&gt;"",H234,IF(G234="","",ROUND(G234*IFERROR(INDEX(Reference!$B$44:$B$50,MATCH(C234,Reference!$A$44:$A$50,0)),0),0)))</f>
        <v/>
      </c>
      <c r="J234" s="31"/>
      <c r="K234" s="31"/>
      <c r="L234" s="32" t="str">
        <f t="shared" si="28"/>
        <v/>
      </c>
      <c r="M234" s="32" t="str">
        <f>IFERROR(INDEX(Roster!$D$5:$D$40,MATCH(B234,Roster!$A$5:$A$40,0)),"")</f>
        <v/>
      </c>
      <c r="N234" s="32" t="str">
        <f t="shared" si="29"/>
        <v/>
      </c>
      <c r="O234" s="32" t="str">
        <f>IF(OR(C234="Bullpen",C234="Game"),IFERROR(INDEX(Reference!$B$61:$B$62,MATCH(C234,Reference!$A$61:$A$62,0)),""),IF(D234="","",IF(AE234&gt;1,((IF(1&lt;=AE234,(AE234-1+3)*(INDEX(Reference!$B$6:$B$11,MIN(5,MATCH(MAX(Reference!$A$6,MIN(Reference!$A$11,MIN(D234,90))),Reference!$A$6:$A$11,1)))+(MAX(Reference!$A$6,MIN(Reference!$A$11,MIN(D234,90)))-INDEX(Reference!$A$6:$A$11,MIN(5,MATCH(MAX(Reference!$A$6,MIN(Reference!$A$11,MIN(D234,90))),Reference!$A$6:$A$11,1))))*(INDEX(Reference!$B$6:$B$11,MIN(5,MATCH(MAX(Reference!$A$6,MIN(Reference!$A$11,MIN(D234,90))),Reference!$A$6:$A$11,1))+1)-INDEX(Reference!$B$6:$B$11,MIN(5,MATCH(MAX(Reference!$A$6,MIN(Reference!$A$11,MIN(D234,90))),Reference!$A$6:$A$11,1))))/(INDEX(Reference!$A$6:$A$11,MIN(5,MATCH(MAX(Reference!$A$6,MIN(Reference!$A$11,MIN(D234,90))),Reference!$A$6:$A$11,1))+1)-INDEX(Reference!$A$6:$A$11,MIN(5,MATCH(MAX(Reference!$A$6,MIN(Reference!$A$11,MIN(D234,90))),Reference!$A$6:$A$11,1))))),0)+IF(2&lt;=AE234,(AE234-2+3)*(INDEX(Reference!$B$6:$B$11,MIN(5,MATCH(MAX(Reference!$A$6,MIN(Reference!$A$11,MIN(D234,120))),Reference!$A$6:$A$11,1)))+(MAX(Reference!$A$6,MIN(Reference!$A$11,MIN(D234,120)))-INDEX(Reference!$A$6:$A$11,MIN(5,MATCH(MAX(Reference!$A$6,MIN(Reference!$A$11,MIN(D234,120))),Reference!$A$6:$A$11,1))))*(INDEX(Reference!$B$6:$B$11,MIN(5,MATCH(MAX(Reference!$A$6,MIN(Reference!$A$11,MIN(D234,120))),Reference!$A$6:$A$11,1))+1)-INDEX(Reference!$B$6:$B$11,MIN(5,MATCH(MAX(Reference!$A$6,MIN(Reference!$A$11,MIN(D234,120))),Reference!$A$6:$A$11,1))))/(INDEX(Reference!$A$6:$A$11,MIN(5,MATCH(MAX(Reference!$A$6,MIN(Reference!$A$11,MIN(D234,120))),Reference!$A$6:$A$11,1))+1)-INDEX(Reference!$A$6:$A$11,MIN(5,MATCH(MAX(Reference!$A$6,MIN(Reference!$A$11,MIN(D234,120))),Reference!$A$6:$A$11,1))))),0)+IF(3&lt;=AE234,(AE234-3+3)*(INDEX(Reference!$B$6:$B$11,MIN(5,MATCH(MAX(Reference!$A$6,MIN(Reference!$A$11,MIN(D234,150))),Reference!$A$6:$A$11,1)))+(MAX(Reference!$A$6,MIN(Reference!$A$11,MIN(D234,150)))-INDEX(Reference!$A$6:$A$11,MIN(5,MATCH(MAX(Reference!$A$6,MIN(Reference!$A$11,MIN(D234,150))),Reference!$A$6:$A$11,1))))*(INDEX(Reference!$B$6:$B$11,MIN(5,MATCH(MAX(Reference!$A$6,MIN(Reference!$A$11,MIN(D234,150))),Reference!$A$6:$A$11,1))+1)-INDEX(Reference!$B$6:$B$11,MIN(5,MATCH(MAX(Reference!$A$6,MIN(Reference!$A$11,MIN(D234,150))),Reference!$A$6:$A$11,1))))/(INDEX(Reference!$A$6:$A$11,MIN(5,MATCH(MAX(Reference!$A$6,MIN(Reference!$A$11,MIN(D234,150))),Reference!$A$6:$A$11,1))+1)-INDEX(Reference!$A$6:$A$11,MIN(5,MATCH(MAX(Reference!$A$6,MIN(Reference!$A$11,MIN(D234,150))),Reference!$A$6:$A$11,1))))),0)+IF(4&lt;=AE234,(AE234-4+3)*(INDEX(Reference!$B$6:$B$11,MIN(5,MATCH(MAX(Reference!$A$6,MIN(Reference!$A$11,MIN(D234,180))),Reference!$A$6:$A$11,1)))+(MAX(Reference!$A$6,MIN(Reference!$A$11,MIN(D234,180)))-INDEX(Reference!$A$6:$A$11,MIN(5,MATCH(MAX(Reference!$A$6,MIN(Reference!$A$11,MIN(D234,180))),Reference!$A$6:$A$11,1))))*(INDEX(Reference!$B$6:$B$11,MIN(5,MATCH(MAX(Reference!$A$6,MIN(Reference!$A$11,MIN(D234,180))),Reference!$A$6:$A$11,1))+1)-INDEX(Reference!$B$6:$B$11,MIN(5,MATCH(MAX(Reference!$A$6,MIN(Reference!$A$11,MIN(D234,180))),Reference!$A$6:$A$11,1))))/(INDEX(Reference!$A$6:$A$11,MIN(5,MATCH(MAX(Reference!$A$6,MIN(Reference!$A$11,MIN(D234,180))),Reference!$A$6:$A$11,1))+1)-INDEX(Reference!$A$6:$A$11,MIN(5,MATCH(MAX(Reference!$A$6,MIN(Reference!$A$11,MIN(D234,180))),Reference!$A$6:$A$11,1))))),0)+IF(5&lt;=AE234,(AE234-5+3)*(INDEX(Reference!$B$6:$B$11,MIN(5,MATCH(MAX(Reference!$A$6,MIN(Reference!$A$11,MIN(D234,210))),Reference!$A$6:$A$11,1)))+(MAX(Reference!$A$6,MIN(Reference!$A$11,MIN(D234,210)))-INDEX(Reference!$A$6:$A$11,MIN(5,MATCH(MAX(Reference!$A$6,MIN(Reference!$A$11,MIN(D234,210))),Reference!$A$6:$A$11,1))))*(INDEX(Reference!$B$6:$B$11,MIN(5,MATCH(MAX(Reference!$A$6,MIN(Reference!$A$11,MIN(D234,210))),Reference!$A$6:$A$11,1))+1)-INDEX(Reference!$B$6:$B$11,MIN(5,MATCH(MAX(Reference!$A$6,MIN(Reference!$A$11,MIN(D234,210))),Reference!$A$6:$A$11,1))))/(INDEX(Reference!$A$6:$A$11,MIN(5,MATCH(MAX(Reference!$A$6,MIN(Reference!$A$11,MIN(D234,210))),Reference!$A$6:$A$11,1))+1)-INDEX(Reference!$A$6:$A$11,MIN(5,MATCH(MAX(Reference!$A$6,MIN(Reference!$A$11,MIN(D234,210))),Reference!$A$6:$A$11,1))))),0)+IF(6&lt;=AE234,(AE234-6+3)*(INDEX(Reference!$B$6:$B$11,MIN(5,MATCH(MAX(Reference!$A$6,MIN(Reference!$A$11,MIN(D234,240))),Reference!$A$6:$A$11,1)))+(MAX(Reference!$A$6,MIN(Reference!$A$11,MIN(D234,240)))-INDEX(Reference!$A$6:$A$11,MIN(5,MATCH(MAX(Reference!$A$6,MIN(Reference!$A$11,MIN(D234,240))),Reference!$A$6:$A$11,1))))*(INDEX(Reference!$B$6:$B$11,MIN(5,MATCH(MAX(Reference!$A$6,MIN(Reference!$A$11,MIN(D234,240))),Reference!$A$6:$A$11,1))+1)-INDEX(Reference!$B$6:$B$11,MIN(5,MATCH(MAX(Reference!$A$6,MIN(Reference!$A$11,MIN(D234,240))),Reference!$A$6:$A$11,1))))/(INDEX(Reference!$A$6:$A$11,MIN(5,MATCH(MAX(Reference!$A$6,MIN(Reference!$A$11,MIN(D234,240))),Reference!$A$6:$A$11,1))+1)-INDEX(Reference!$A$6:$A$11,MIN(5,MATCH(MAX(Reference!$A$6,MIN(Reference!$A$11,MIN(D234,240))),Reference!$A$6:$A$11,1))))),0)+IF(7&lt;=AE234,(AE234-7+3)*(INDEX(Reference!$B$6:$B$11,MIN(5,MATCH(MAX(Reference!$A$6,MIN(Reference!$A$11,MIN(D234,270))),Reference!$A$6:$A$11,1)))+(MAX(Reference!$A$6,MIN(Reference!$A$11,MIN(D234,270)))-INDEX(Reference!$A$6:$A$11,MIN(5,MATCH(MAX(Reference!$A$6,MIN(Reference!$A$11,MIN(D234,270))),Reference!$A$6:$A$11,1))))*(INDEX(Reference!$B$6:$B$11,MIN(5,MATCH(MAX(Reference!$A$6,MIN(Reference!$A$11,MIN(D234,270))),Reference!$A$6:$A$11,1))+1)-INDEX(Reference!$B$6:$B$11,MIN(5,MATCH(MAX(Reference!$A$6,MIN(Reference!$A$11,MIN(D234,270))),Reference!$A$6:$A$11,1))))/(INDEX(Reference!$A$6:$A$11,MIN(5,MATCH(MAX(Reference!$A$6,MIN(Reference!$A$11,MIN(D234,270))),Reference!$A$6:$A$11,1))+1)-INDEX(Reference!$A$6:$A$11,MIN(5,MATCH(MAX(Reference!$A$6,MIN(Reference!$A$11,MIN(D234,270))),Reference!$A$6:$A$11,1))))),0)+IF(8&lt;=AE234,(AE234-8+3)*(INDEX(Reference!$B$6:$B$11,MIN(5,MATCH(MAX(Reference!$A$6,MIN(Reference!$A$11,MIN(D234,300))),Reference!$A$6:$A$11,1)))+(MAX(Reference!$A$6,MIN(Reference!$A$11,MIN(D234,300)))-INDEX(Reference!$A$6:$A$11,MIN(5,MATCH(MAX(Reference!$A$6,MIN(Reference!$A$11,MIN(D234,300))),Reference!$A$6:$A$11,1))))*(INDEX(Reference!$B$6:$B$11,MIN(5,MATCH(MAX(Reference!$A$6,MIN(Reference!$A$11,MIN(D234,300))),Reference!$A$6:$A$11,1))+1)-INDEX(Reference!$B$6:$B$11,MIN(5,MATCH(MAX(Reference!$A$6,MIN(Reference!$A$11,MIN(D234,300))),Reference!$A$6:$A$11,1))))/(INDEX(Reference!$A$6:$A$11,MIN(5,MATCH(MAX(Reference!$A$6,MIN(Reference!$A$11,MIN(D234,300))),Reference!$A$6:$A$11,1))+1)-INDEX(Reference!$A$6:$A$11,MIN(5,MATCH(MAX(Reference!$A$6,MIN(Reference!$A$11,MIN(D234,300))),Reference!$A$6:$A$11,1))))),0))/(AE234*(AE234+5)/2)),(INDEX(Reference!$B$6:$B$11,MIN(5,MATCH(MAX(Reference!$A$6,MIN(Reference!$A$11,D234)),Reference!$A$6:$A$11,1)))+(MAX(Reference!$A$6,MIN(Reference!$A$11,D234))-INDEX(Reference!$A$6:$A$11,MIN(5,MATCH(MAX(Reference!$A$6,MIN(Reference!$A$11,D234)),Reference!$A$6:$A$11,1))))*(INDEX(Reference!$B$6:$B$11,MIN(5,MATCH(MAX(Reference!$A$6,MIN(Reference!$A$11,D234)),Reference!$A$6:$A$11,1))+1)-INDEX(Reference!$B$6:$B$11,MIN(5,MATCH(MAX(Reference!$A$6,MIN(Reference!$A$11,D234)),Reference!$A$6:$A$11,1))))/(INDEX(Reference!$A$6:$A$11,MIN(5,MATCH(MAX(Reference!$A$6,MIN(Reference!$A$11,D234)),Reference!$A$6:$A$11,1))+1)-INDEX(Reference!$A$6:$A$11,MIN(5,MATCH(MAX(Reference!$A$6,MIN(Reference!$A$11,D234)),Reference!$A$6:$A$11,1))))))))</f>
        <v/>
      </c>
      <c r="P234" s="32" t="str">
        <f>IF(N234="","",VLOOKUP(MAX(N234,0),Reference!$A$17:$B$20,2,TRUE()))</f>
        <v/>
      </c>
      <c r="Q234" s="32" t="str">
        <f t="shared" si="30"/>
        <v/>
      </c>
      <c r="R234" s="31"/>
      <c r="S234" s="31"/>
      <c r="T234" s="31"/>
      <c r="U234" s="32" t="str">
        <f t="shared" si="31"/>
        <v/>
      </c>
      <c r="V234" s="32" t="str">
        <f t="shared" si="32"/>
        <v/>
      </c>
      <c r="W234" s="32" t="str">
        <f>IF(V234="","",VLOOKUP(MAX(V234,0),Reference!$A$17:$B$20,2,TRUE()))</f>
        <v/>
      </c>
      <c r="X234" s="31"/>
      <c r="Y234" s="31"/>
      <c r="Z234" s="31"/>
      <c r="AA234" s="32" t="str">
        <f t="shared" si="33"/>
        <v/>
      </c>
      <c r="AB234" s="32" t="str">
        <f t="shared" si="34"/>
        <v/>
      </c>
      <c r="AC234" s="32" t="str">
        <f>IF(AB234="","",VLOOKUP(MAX(AB234,0),Reference!$A$17:$B$20,2,TRUE()))</f>
        <v/>
      </c>
      <c r="AD234" s="31"/>
      <c r="AE234">
        <f t="shared" si="35"/>
        <v>1</v>
      </c>
      <c r="AF234" s="33" t="str">
        <f>IF(OR(A234="",B234="",AND(C234&lt;&gt;"Bullpen",C234&lt;&gt;"Game")),"",IF((COUNTIFS($B$5:$B$300,B234,$A$5:$A$300,A234-1,$C$5:$C$300,"Bullpen",$AG$5:$AG$300,"&gt;0") + COUNTIFS($B$5:$B$300,B234,$A$5:$A$300,A234-1,$C$5:$C$300,"Game",$AG$5:$AG$300,"&gt;0"))&gt;0,Reference!$B$119,IF((COUNTIFS($B$5:$B$300,B234,$A$5:$A$300,A234-2,$C$5:$C$300,"Bullpen",$AG$5:$AG$300,"&gt;0") + COUNTIFS($B$5:$B$300,B234,$A$5:$A$300,A234-2,$C$5:$C$300,"Game",$AG$5:$AG$300,"&gt;0"))&gt;0,Reference!$B$120,1)))</f>
        <v/>
      </c>
      <c r="AG234" s="30" t="str">
        <f>IF(AND(OR(I234="",O234="",P234=""),OR(R234="",W234=""),OR(X234="",AC234="")),"",IF(OR(I234="",O234="",P234=""),0,I234*O234*P234)+IF(OR(R234="",W234=""),0,R234*IFERROR(INDEX(Reference!$B$61:$B$62,MATCH("Bullpen",Reference!$A$61:$A$62,0)),0)*W234)+IF(OR(X234="",AC234=""),0,X234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234))</f>
        <v/>
      </c>
    </row>
    <row r="235" spans="1:33" x14ac:dyDescent="0.3">
      <c r="A235" s="35"/>
      <c r="B235" s="31"/>
      <c r="C235" s="31"/>
      <c r="D235" s="31"/>
      <c r="E235" s="34"/>
      <c r="F235" s="34"/>
      <c r="G235" s="30" t="str">
        <f t="shared" si="27"/>
        <v/>
      </c>
      <c r="H235" s="31"/>
      <c r="I235" s="32" t="str">
        <f>IF(H235&lt;&gt;"",H235,IF(G235="","",ROUND(G235*IFERROR(INDEX(Reference!$B$44:$B$50,MATCH(C235,Reference!$A$44:$A$50,0)),0),0)))</f>
        <v/>
      </c>
      <c r="J235" s="31"/>
      <c r="K235" s="31"/>
      <c r="L235" s="32" t="str">
        <f t="shared" si="28"/>
        <v/>
      </c>
      <c r="M235" s="32" t="str">
        <f>IFERROR(INDEX(Roster!$D$5:$D$40,MATCH(B235,Roster!$A$5:$A$40,0)),"")</f>
        <v/>
      </c>
      <c r="N235" s="32" t="str">
        <f t="shared" si="29"/>
        <v/>
      </c>
      <c r="O235" s="32" t="str">
        <f>IF(OR(C235="Bullpen",C235="Game"),IFERROR(INDEX(Reference!$B$61:$B$62,MATCH(C235,Reference!$A$61:$A$62,0)),""),IF(D235="","",IF(AE235&gt;1,((IF(1&lt;=AE235,(AE235-1+3)*(INDEX(Reference!$B$6:$B$11,MIN(5,MATCH(MAX(Reference!$A$6,MIN(Reference!$A$11,MIN(D235,90))),Reference!$A$6:$A$11,1)))+(MAX(Reference!$A$6,MIN(Reference!$A$11,MIN(D235,90)))-INDEX(Reference!$A$6:$A$11,MIN(5,MATCH(MAX(Reference!$A$6,MIN(Reference!$A$11,MIN(D235,90))),Reference!$A$6:$A$11,1))))*(INDEX(Reference!$B$6:$B$11,MIN(5,MATCH(MAX(Reference!$A$6,MIN(Reference!$A$11,MIN(D235,90))),Reference!$A$6:$A$11,1))+1)-INDEX(Reference!$B$6:$B$11,MIN(5,MATCH(MAX(Reference!$A$6,MIN(Reference!$A$11,MIN(D235,90))),Reference!$A$6:$A$11,1))))/(INDEX(Reference!$A$6:$A$11,MIN(5,MATCH(MAX(Reference!$A$6,MIN(Reference!$A$11,MIN(D235,90))),Reference!$A$6:$A$11,1))+1)-INDEX(Reference!$A$6:$A$11,MIN(5,MATCH(MAX(Reference!$A$6,MIN(Reference!$A$11,MIN(D235,90))),Reference!$A$6:$A$11,1))))),0)+IF(2&lt;=AE235,(AE235-2+3)*(INDEX(Reference!$B$6:$B$11,MIN(5,MATCH(MAX(Reference!$A$6,MIN(Reference!$A$11,MIN(D235,120))),Reference!$A$6:$A$11,1)))+(MAX(Reference!$A$6,MIN(Reference!$A$11,MIN(D235,120)))-INDEX(Reference!$A$6:$A$11,MIN(5,MATCH(MAX(Reference!$A$6,MIN(Reference!$A$11,MIN(D235,120))),Reference!$A$6:$A$11,1))))*(INDEX(Reference!$B$6:$B$11,MIN(5,MATCH(MAX(Reference!$A$6,MIN(Reference!$A$11,MIN(D235,120))),Reference!$A$6:$A$11,1))+1)-INDEX(Reference!$B$6:$B$11,MIN(5,MATCH(MAX(Reference!$A$6,MIN(Reference!$A$11,MIN(D235,120))),Reference!$A$6:$A$11,1))))/(INDEX(Reference!$A$6:$A$11,MIN(5,MATCH(MAX(Reference!$A$6,MIN(Reference!$A$11,MIN(D235,120))),Reference!$A$6:$A$11,1))+1)-INDEX(Reference!$A$6:$A$11,MIN(5,MATCH(MAX(Reference!$A$6,MIN(Reference!$A$11,MIN(D235,120))),Reference!$A$6:$A$11,1))))),0)+IF(3&lt;=AE235,(AE235-3+3)*(INDEX(Reference!$B$6:$B$11,MIN(5,MATCH(MAX(Reference!$A$6,MIN(Reference!$A$11,MIN(D235,150))),Reference!$A$6:$A$11,1)))+(MAX(Reference!$A$6,MIN(Reference!$A$11,MIN(D235,150)))-INDEX(Reference!$A$6:$A$11,MIN(5,MATCH(MAX(Reference!$A$6,MIN(Reference!$A$11,MIN(D235,150))),Reference!$A$6:$A$11,1))))*(INDEX(Reference!$B$6:$B$11,MIN(5,MATCH(MAX(Reference!$A$6,MIN(Reference!$A$11,MIN(D235,150))),Reference!$A$6:$A$11,1))+1)-INDEX(Reference!$B$6:$B$11,MIN(5,MATCH(MAX(Reference!$A$6,MIN(Reference!$A$11,MIN(D235,150))),Reference!$A$6:$A$11,1))))/(INDEX(Reference!$A$6:$A$11,MIN(5,MATCH(MAX(Reference!$A$6,MIN(Reference!$A$11,MIN(D235,150))),Reference!$A$6:$A$11,1))+1)-INDEX(Reference!$A$6:$A$11,MIN(5,MATCH(MAX(Reference!$A$6,MIN(Reference!$A$11,MIN(D235,150))),Reference!$A$6:$A$11,1))))),0)+IF(4&lt;=AE235,(AE235-4+3)*(INDEX(Reference!$B$6:$B$11,MIN(5,MATCH(MAX(Reference!$A$6,MIN(Reference!$A$11,MIN(D235,180))),Reference!$A$6:$A$11,1)))+(MAX(Reference!$A$6,MIN(Reference!$A$11,MIN(D235,180)))-INDEX(Reference!$A$6:$A$11,MIN(5,MATCH(MAX(Reference!$A$6,MIN(Reference!$A$11,MIN(D235,180))),Reference!$A$6:$A$11,1))))*(INDEX(Reference!$B$6:$B$11,MIN(5,MATCH(MAX(Reference!$A$6,MIN(Reference!$A$11,MIN(D235,180))),Reference!$A$6:$A$11,1))+1)-INDEX(Reference!$B$6:$B$11,MIN(5,MATCH(MAX(Reference!$A$6,MIN(Reference!$A$11,MIN(D235,180))),Reference!$A$6:$A$11,1))))/(INDEX(Reference!$A$6:$A$11,MIN(5,MATCH(MAX(Reference!$A$6,MIN(Reference!$A$11,MIN(D235,180))),Reference!$A$6:$A$11,1))+1)-INDEX(Reference!$A$6:$A$11,MIN(5,MATCH(MAX(Reference!$A$6,MIN(Reference!$A$11,MIN(D235,180))),Reference!$A$6:$A$11,1))))),0)+IF(5&lt;=AE235,(AE235-5+3)*(INDEX(Reference!$B$6:$B$11,MIN(5,MATCH(MAX(Reference!$A$6,MIN(Reference!$A$11,MIN(D235,210))),Reference!$A$6:$A$11,1)))+(MAX(Reference!$A$6,MIN(Reference!$A$11,MIN(D235,210)))-INDEX(Reference!$A$6:$A$11,MIN(5,MATCH(MAX(Reference!$A$6,MIN(Reference!$A$11,MIN(D235,210))),Reference!$A$6:$A$11,1))))*(INDEX(Reference!$B$6:$B$11,MIN(5,MATCH(MAX(Reference!$A$6,MIN(Reference!$A$11,MIN(D235,210))),Reference!$A$6:$A$11,1))+1)-INDEX(Reference!$B$6:$B$11,MIN(5,MATCH(MAX(Reference!$A$6,MIN(Reference!$A$11,MIN(D235,210))),Reference!$A$6:$A$11,1))))/(INDEX(Reference!$A$6:$A$11,MIN(5,MATCH(MAX(Reference!$A$6,MIN(Reference!$A$11,MIN(D235,210))),Reference!$A$6:$A$11,1))+1)-INDEX(Reference!$A$6:$A$11,MIN(5,MATCH(MAX(Reference!$A$6,MIN(Reference!$A$11,MIN(D235,210))),Reference!$A$6:$A$11,1))))),0)+IF(6&lt;=AE235,(AE235-6+3)*(INDEX(Reference!$B$6:$B$11,MIN(5,MATCH(MAX(Reference!$A$6,MIN(Reference!$A$11,MIN(D235,240))),Reference!$A$6:$A$11,1)))+(MAX(Reference!$A$6,MIN(Reference!$A$11,MIN(D235,240)))-INDEX(Reference!$A$6:$A$11,MIN(5,MATCH(MAX(Reference!$A$6,MIN(Reference!$A$11,MIN(D235,240))),Reference!$A$6:$A$11,1))))*(INDEX(Reference!$B$6:$B$11,MIN(5,MATCH(MAX(Reference!$A$6,MIN(Reference!$A$11,MIN(D235,240))),Reference!$A$6:$A$11,1))+1)-INDEX(Reference!$B$6:$B$11,MIN(5,MATCH(MAX(Reference!$A$6,MIN(Reference!$A$11,MIN(D235,240))),Reference!$A$6:$A$11,1))))/(INDEX(Reference!$A$6:$A$11,MIN(5,MATCH(MAX(Reference!$A$6,MIN(Reference!$A$11,MIN(D235,240))),Reference!$A$6:$A$11,1))+1)-INDEX(Reference!$A$6:$A$11,MIN(5,MATCH(MAX(Reference!$A$6,MIN(Reference!$A$11,MIN(D235,240))),Reference!$A$6:$A$11,1))))),0)+IF(7&lt;=AE235,(AE235-7+3)*(INDEX(Reference!$B$6:$B$11,MIN(5,MATCH(MAX(Reference!$A$6,MIN(Reference!$A$11,MIN(D235,270))),Reference!$A$6:$A$11,1)))+(MAX(Reference!$A$6,MIN(Reference!$A$11,MIN(D235,270)))-INDEX(Reference!$A$6:$A$11,MIN(5,MATCH(MAX(Reference!$A$6,MIN(Reference!$A$11,MIN(D235,270))),Reference!$A$6:$A$11,1))))*(INDEX(Reference!$B$6:$B$11,MIN(5,MATCH(MAX(Reference!$A$6,MIN(Reference!$A$11,MIN(D235,270))),Reference!$A$6:$A$11,1))+1)-INDEX(Reference!$B$6:$B$11,MIN(5,MATCH(MAX(Reference!$A$6,MIN(Reference!$A$11,MIN(D235,270))),Reference!$A$6:$A$11,1))))/(INDEX(Reference!$A$6:$A$11,MIN(5,MATCH(MAX(Reference!$A$6,MIN(Reference!$A$11,MIN(D235,270))),Reference!$A$6:$A$11,1))+1)-INDEX(Reference!$A$6:$A$11,MIN(5,MATCH(MAX(Reference!$A$6,MIN(Reference!$A$11,MIN(D235,270))),Reference!$A$6:$A$11,1))))),0)+IF(8&lt;=AE235,(AE235-8+3)*(INDEX(Reference!$B$6:$B$11,MIN(5,MATCH(MAX(Reference!$A$6,MIN(Reference!$A$11,MIN(D235,300))),Reference!$A$6:$A$11,1)))+(MAX(Reference!$A$6,MIN(Reference!$A$11,MIN(D235,300)))-INDEX(Reference!$A$6:$A$11,MIN(5,MATCH(MAX(Reference!$A$6,MIN(Reference!$A$11,MIN(D235,300))),Reference!$A$6:$A$11,1))))*(INDEX(Reference!$B$6:$B$11,MIN(5,MATCH(MAX(Reference!$A$6,MIN(Reference!$A$11,MIN(D235,300))),Reference!$A$6:$A$11,1))+1)-INDEX(Reference!$B$6:$B$11,MIN(5,MATCH(MAX(Reference!$A$6,MIN(Reference!$A$11,MIN(D235,300))),Reference!$A$6:$A$11,1))))/(INDEX(Reference!$A$6:$A$11,MIN(5,MATCH(MAX(Reference!$A$6,MIN(Reference!$A$11,MIN(D235,300))),Reference!$A$6:$A$11,1))+1)-INDEX(Reference!$A$6:$A$11,MIN(5,MATCH(MAX(Reference!$A$6,MIN(Reference!$A$11,MIN(D235,300))),Reference!$A$6:$A$11,1))))),0))/(AE235*(AE235+5)/2)),(INDEX(Reference!$B$6:$B$11,MIN(5,MATCH(MAX(Reference!$A$6,MIN(Reference!$A$11,D235)),Reference!$A$6:$A$11,1)))+(MAX(Reference!$A$6,MIN(Reference!$A$11,D235))-INDEX(Reference!$A$6:$A$11,MIN(5,MATCH(MAX(Reference!$A$6,MIN(Reference!$A$11,D235)),Reference!$A$6:$A$11,1))))*(INDEX(Reference!$B$6:$B$11,MIN(5,MATCH(MAX(Reference!$A$6,MIN(Reference!$A$11,D235)),Reference!$A$6:$A$11,1))+1)-INDEX(Reference!$B$6:$B$11,MIN(5,MATCH(MAX(Reference!$A$6,MIN(Reference!$A$11,D235)),Reference!$A$6:$A$11,1))))/(INDEX(Reference!$A$6:$A$11,MIN(5,MATCH(MAX(Reference!$A$6,MIN(Reference!$A$11,D235)),Reference!$A$6:$A$11,1))+1)-INDEX(Reference!$A$6:$A$11,MIN(5,MATCH(MAX(Reference!$A$6,MIN(Reference!$A$11,D235)),Reference!$A$6:$A$11,1))))))))</f>
        <v/>
      </c>
      <c r="P235" s="32" t="str">
        <f>IF(N235="","",VLOOKUP(MAX(N235,0),Reference!$A$17:$B$20,2,TRUE()))</f>
        <v/>
      </c>
      <c r="Q235" s="32" t="str">
        <f t="shared" si="30"/>
        <v/>
      </c>
      <c r="R235" s="31"/>
      <c r="S235" s="31"/>
      <c r="T235" s="31"/>
      <c r="U235" s="32" t="str">
        <f t="shared" si="31"/>
        <v/>
      </c>
      <c r="V235" s="32" t="str">
        <f t="shared" si="32"/>
        <v/>
      </c>
      <c r="W235" s="32" t="str">
        <f>IF(V235="","",VLOOKUP(MAX(V235,0),Reference!$A$17:$B$20,2,TRUE()))</f>
        <v/>
      </c>
      <c r="X235" s="31"/>
      <c r="Y235" s="31"/>
      <c r="Z235" s="31"/>
      <c r="AA235" s="32" t="str">
        <f t="shared" si="33"/>
        <v/>
      </c>
      <c r="AB235" s="32" t="str">
        <f t="shared" si="34"/>
        <v/>
      </c>
      <c r="AC235" s="32" t="str">
        <f>IF(AB235="","",VLOOKUP(MAX(AB235,0),Reference!$A$17:$B$20,2,TRUE()))</f>
        <v/>
      </c>
      <c r="AD235" s="31"/>
      <c r="AE235">
        <f t="shared" si="35"/>
        <v>1</v>
      </c>
      <c r="AF235" s="33" t="str">
        <f>IF(OR(A235="",B235="",AND(C235&lt;&gt;"Bullpen",C235&lt;&gt;"Game")),"",IF((COUNTIFS($B$5:$B$300,B235,$A$5:$A$300,A235-1,$C$5:$C$300,"Bullpen",$AG$5:$AG$300,"&gt;0") + COUNTIFS($B$5:$B$300,B235,$A$5:$A$300,A235-1,$C$5:$C$300,"Game",$AG$5:$AG$300,"&gt;0"))&gt;0,Reference!$B$119,IF((COUNTIFS($B$5:$B$300,B235,$A$5:$A$300,A235-2,$C$5:$C$300,"Bullpen",$AG$5:$AG$300,"&gt;0") + COUNTIFS($B$5:$B$300,B235,$A$5:$A$300,A235-2,$C$5:$C$300,"Game",$AG$5:$AG$300,"&gt;0"))&gt;0,Reference!$B$120,1)))</f>
        <v/>
      </c>
      <c r="AG235" s="30" t="str">
        <f>IF(AND(OR(I235="",O235="",P235=""),OR(R235="",W235=""),OR(X235="",AC235="")),"",IF(OR(I235="",O235="",P235=""),0,I235*O235*P235)+IF(OR(R235="",W235=""),0,R235*IFERROR(INDEX(Reference!$B$61:$B$62,MATCH("Bullpen",Reference!$A$61:$A$62,0)),0)*W235)+IF(OR(X235="",AC235=""),0,X235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235))</f>
        <v/>
      </c>
    </row>
    <row r="236" spans="1:33" x14ac:dyDescent="0.3">
      <c r="A236" s="35"/>
      <c r="B236" s="31"/>
      <c r="C236" s="31"/>
      <c r="D236" s="31"/>
      <c r="E236" s="34"/>
      <c r="F236" s="34"/>
      <c r="G236" s="30" t="str">
        <f t="shared" si="27"/>
        <v/>
      </c>
      <c r="H236" s="31"/>
      <c r="I236" s="32" t="str">
        <f>IF(H236&lt;&gt;"",H236,IF(G236="","",ROUND(G236*IFERROR(INDEX(Reference!$B$44:$B$50,MATCH(C236,Reference!$A$44:$A$50,0)),0),0)))</f>
        <v/>
      </c>
      <c r="J236" s="31"/>
      <c r="K236" s="31"/>
      <c r="L236" s="32" t="str">
        <f t="shared" si="28"/>
        <v/>
      </c>
      <c r="M236" s="32" t="str">
        <f>IFERROR(INDEX(Roster!$D$5:$D$40,MATCH(B236,Roster!$A$5:$A$40,0)),"")</f>
        <v/>
      </c>
      <c r="N236" s="32" t="str">
        <f t="shared" si="29"/>
        <v/>
      </c>
      <c r="O236" s="32" t="str">
        <f>IF(OR(C236="Bullpen",C236="Game"),IFERROR(INDEX(Reference!$B$61:$B$62,MATCH(C236,Reference!$A$61:$A$62,0)),""),IF(D236="","",IF(AE236&gt;1,((IF(1&lt;=AE236,(AE236-1+3)*(INDEX(Reference!$B$6:$B$11,MIN(5,MATCH(MAX(Reference!$A$6,MIN(Reference!$A$11,MIN(D236,90))),Reference!$A$6:$A$11,1)))+(MAX(Reference!$A$6,MIN(Reference!$A$11,MIN(D236,90)))-INDEX(Reference!$A$6:$A$11,MIN(5,MATCH(MAX(Reference!$A$6,MIN(Reference!$A$11,MIN(D236,90))),Reference!$A$6:$A$11,1))))*(INDEX(Reference!$B$6:$B$11,MIN(5,MATCH(MAX(Reference!$A$6,MIN(Reference!$A$11,MIN(D236,90))),Reference!$A$6:$A$11,1))+1)-INDEX(Reference!$B$6:$B$11,MIN(5,MATCH(MAX(Reference!$A$6,MIN(Reference!$A$11,MIN(D236,90))),Reference!$A$6:$A$11,1))))/(INDEX(Reference!$A$6:$A$11,MIN(5,MATCH(MAX(Reference!$A$6,MIN(Reference!$A$11,MIN(D236,90))),Reference!$A$6:$A$11,1))+1)-INDEX(Reference!$A$6:$A$11,MIN(5,MATCH(MAX(Reference!$A$6,MIN(Reference!$A$11,MIN(D236,90))),Reference!$A$6:$A$11,1))))),0)+IF(2&lt;=AE236,(AE236-2+3)*(INDEX(Reference!$B$6:$B$11,MIN(5,MATCH(MAX(Reference!$A$6,MIN(Reference!$A$11,MIN(D236,120))),Reference!$A$6:$A$11,1)))+(MAX(Reference!$A$6,MIN(Reference!$A$11,MIN(D236,120)))-INDEX(Reference!$A$6:$A$11,MIN(5,MATCH(MAX(Reference!$A$6,MIN(Reference!$A$11,MIN(D236,120))),Reference!$A$6:$A$11,1))))*(INDEX(Reference!$B$6:$B$11,MIN(5,MATCH(MAX(Reference!$A$6,MIN(Reference!$A$11,MIN(D236,120))),Reference!$A$6:$A$11,1))+1)-INDEX(Reference!$B$6:$B$11,MIN(5,MATCH(MAX(Reference!$A$6,MIN(Reference!$A$11,MIN(D236,120))),Reference!$A$6:$A$11,1))))/(INDEX(Reference!$A$6:$A$11,MIN(5,MATCH(MAX(Reference!$A$6,MIN(Reference!$A$11,MIN(D236,120))),Reference!$A$6:$A$11,1))+1)-INDEX(Reference!$A$6:$A$11,MIN(5,MATCH(MAX(Reference!$A$6,MIN(Reference!$A$11,MIN(D236,120))),Reference!$A$6:$A$11,1))))),0)+IF(3&lt;=AE236,(AE236-3+3)*(INDEX(Reference!$B$6:$B$11,MIN(5,MATCH(MAX(Reference!$A$6,MIN(Reference!$A$11,MIN(D236,150))),Reference!$A$6:$A$11,1)))+(MAX(Reference!$A$6,MIN(Reference!$A$11,MIN(D236,150)))-INDEX(Reference!$A$6:$A$11,MIN(5,MATCH(MAX(Reference!$A$6,MIN(Reference!$A$11,MIN(D236,150))),Reference!$A$6:$A$11,1))))*(INDEX(Reference!$B$6:$B$11,MIN(5,MATCH(MAX(Reference!$A$6,MIN(Reference!$A$11,MIN(D236,150))),Reference!$A$6:$A$11,1))+1)-INDEX(Reference!$B$6:$B$11,MIN(5,MATCH(MAX(Reference!$A$6,MIN(Reference!$A$11,MIN(D236,150))),Reference!$A$6:$A$11,1))))/(INDEX(Reference!$A$6:$A$11,MIN(5,MATCH(MAX(Reference!$A$6,MIN(Reference!$A$11,MIN(D236,150))),Reference!$A$6:$A$11,1))+1)-INDEX(Reference!$A$6:$A$11,MIN(5,MATCH(MAX(Reference!$A$6,MIN(Reference!$A$11,MIN(D236,150))),Reference!$A$6:$A$11,1))))),0)+IF(4&lt;=AE236,(AE236-4+3)*(INDEX(Reference!$B$6:$B$11,MIN(5,MATCH(MAX(Reference!$A$6,MIN(Reference!$A$11,MIN(D236,180))),Reference!$A$6:$A$11,1)))+(MAX(Reference!$A$6,MIN(Reference!$A$11,MIN(D236,180)))-INDEX(Reference!$A$6:$A$11,MIN(5,MATCH(MAX(Reference!$A$6,MIN(Reference!$A$11,MIN(D236,180))),Reference!$A$6:$A$11,1))))*(INDEX(Reference!$B$6:$B$11,MIN(5,MATCH(MAX(Reference!$A$6,MIN(Reference!$A$11,MIN(D236,180))),Reference!$A$6:$A$11,1))+1)-INDEX(Reference!$B$6:$B$11,MIN(5,MATCH(MAX(Reference!$A$6,MIN(Reference!$A$11,MIN(D236,180))),Reference!$A$6:$A$11,1))))/(INDEX(Reference!$A$6:$A$11,MIN(5,MATCH(MAX(Reference!$A$6,MIN(Reference!$A$11,MIN(D236,180))),Reference!$A$6:$A$11,1))+1)-INDEX(Reference!$A$6:$A$11,MIN(5,MATCH(MAX(Reference!$A$6,MIN(Reference!$A$11,MIN(D236,180))),Reference!$A$6:$A$11,1))))),0)+IF(5&lt;=AE236,(AE236-5+3)*(INDEX(Reference!$B$6:$B$11,MIN(5,MATCH(MAX(Reference!$A$6,MIN(Reference!$A$11,MIN(D236,210))),Reference!$A$6:$A$11,1)))+(MAX(Reference!$A$6,MIN(Reference!$A$11,MIN(D236,210)))-INDEX(Reference!$A$6:$A$11,MIN(5,MATCH(MAX(Reference!$A$6,MIN(Reference!$A$11,MIN(D236,210))),Reference!$A$6:$A$11,1))))*(INDEX(Reference!$B$6:$B$11,MIN(5,MATCH(MAX(Reference!$A$6,MIN(Reference!$A$11,MIN(D236,210))),Reference!$A$6:$A$11,1))+1)-INDEX(Reference!$B$6:$B$11,MIN(5,MATCH(MAX(Reference!$A$6,MIN(Reference!$A$11,MIN(D236,210))),Reference!$A$6:$A$11,1))))/(INDEX(Reference!$A$6:$A$11,MIN(5,MATCH(MAX(Reference!$A$6,MIN(Reference!$A$11,MIN(D236,210))),Reference!$A$6:$A$11,1))+1)-INDEX(Reference!$A$6:$A$11,MIN(5,MATCH(MAX(Reference!$A$6,MIN(Reference!$A$11,MIN(D236,210))),Reference!$A$6:$A$11,1))))),0)+IF(6&lt;=AE236,(AE236-6+3)*(INDEX(Reference!$B$6:$B$11,MIN(5,MATCH(MAX(Reference!$A$6,MIN(Reference!$A$11,MIN(D236,240))),Reference!$A$6:$A$11,1)))+(MAX(Reference!$A$6,MIN(Reference!$A$11,MIN(D236,240)))-INDEX(Reference!$A$6:$A$11,MIN(5,MATCH(MAX(Reference!$A$6,MIN(Reference!$A$11,MIN(D236,240))),Reference!$A$6:$A$11,1))))*(INDEX(Reference!$B$6:$B$11,MIN(5,MATCH(MAX(Reference!$A$6,MIN(Reference!$A$11,MIN(D236,240))),Reference!$A$6:$A$11,1))+1)-INDEX(Reference!$B$6:$B$11,MIN(5,MATCH(MAX(Reference!$A$6,MIN(Reference!$A$11,MIN(D236,240))),Reference!$A$6:$A$11,1))))/(INDEX(Reference!$A$6:$A$11,MIN(5,MATCH(MAX(Reference!$A$6,MIN(Reference!$A$11,MIN(D236,240))),Reference!$A$6:$A$11,1))+1)-INDEX(Reference!$A$6:$A$11,MIN(5,MATCH(MAX(Reference!$A$6,MIN(Reference!$A$11,MIN(D236,240))),Reference!$A$6:$A$11,1))))),0)+IF(7&lt;=AE236,(AE236-7+3)*(INDEX(Reference!$B$6:$B$11,MIN(5,MATCH(MAX(Reference!$A$6,MIN(Reference!$A$11,MIN(D236,270))),Reference!$A$6:$A$11,1)))+(MAX(Reference!$A$6,MIN(Reference!$A$11,MIN(D236,270)))-INDEX(Reference!$A$6:$A$11,MIN(5,MATCH(MAX(Reference!$A$6,MIN(Reference!$A$11,MIN(D236,270))),Reference!$A$6:$A$11,1))))*(INDEX(Reference!$B$6:$B$11,MIN(5,MATCH(MAX(Reference!$A$6,MIN(Reference!$A$11,MIN(D236,270))),Reference!$A$6:$A$11,1))+1)-INDEX(Reference!$B$6:$B$11,MIN(5,MATCH(MAX(Reference!$A$6,MIN(Reference!$A$11,MIN(D236,270))),Reference!$A$6:$A$11,1))))/(INDEX(Reference!$A$6:$A$11,MIN(5,MATCH(MAX(Reference!$A$6,MIN(Reference!$A$11,MIN(D236,270))),Reference!$A$6:$A$11,1))+1)-INDEX(Reference!$A$6:$A$11,MIN(5,MATCH(MAX(Reference!$A$6,MIN(Reference!$A$11,MIN(D236,270))),Reference!$A$6:$A$11,1))))),0)+IF(8&lt;=AE236,(AE236-8+3)*(INDEX(Reference!$B$6:$B$11,MIN(5,MATCH(MAX(Reference!$A$6,MIN(Reference!$A$11,MIN(D236,300))),Reference!$A$6:$A$11,1)))+(MAX(Reference!$A$6,MIN(Reference!$A$11,MIN(D236,300)))-INDEX(Reference!$A$6:$A$11,MIN(5,MATCH(MAX(Reference!$A$6,MIN(Reference!$A$11,MIN(D236,300))),Reference!$A$6:$A$11,1))))*(INDEX(Reference!$B$6:$B$11,MIN(5,MATCH(MAX(Reference!$A$6,MIN(Reference!$A$11,MIN(D236,300))),Reference!$A$6:$A$11,1))+1)-INDEX(Reference!$B$6:$B$11,MIN(5,MATCH(MAX(Reference!$A$6,MIN(Reference!$A$11,MIN(D236,300))),Reference!$A$6:$A$11,1))))/(INDEX(Reference!$A$6:$A$11,MIN(5,MATCH(MAX(Reference!$A$6,MIN(Reference!$A$11,MIN(D236,300))),Reference!$A$6:$A$11,1))+1)-INDEX(Reference!$A$6:$A$11,MIN(5,MATCH(MAX(Reference!$A$6,MIN(Reference!$A$11,MIN(D236,300))),Reference!$A$6:$A$11,1))))),0))/(AE236*(AE236+5)/2)),(INDEX(Reference!$B$6:$B$11,MIN(5,MATCH(MAX(Reference!$A$6,MIN(Reference!$A$11,D236)),Reference!$A$6:$A$11,1)))+(MAX(Reference!$A$6,MIN(Reference!$A$11,D236))-INDEX(Reference!$A$6:$A$11,MIN(5,MATCH(MAX(Reference!$A$6,MIN(Reference!$A$11,D236)),Reference!$A$6:$A$11,1))))*(INDEX(Reference!$B$6:$B$11,MIN(5,MATCH(MAX(Reference!$A$6,MIN(Reference!$A$11,D236)),Reference!$A$6:$A$11,1))+1)-INDEX(Reference!$B$6:$B$11,MIN(5,MATCH(MAX(Reference!$A$6,MIN(Reference!$A$11,D236)),Reference!$A$6:$A$11,1))))/(INDEX(Reference!$A$6:$A$11,MIN(5,MATCH(MAX(Reference!$A$6,MIN(Reference!$A$11,D236)),Reference!$A$6:$A$11,1))+1)-INDEX(Reference!$A$6:$A$11,MIN(5,MATCH(MAX(Reference!$A$6,MIN(Reference!$A$11,D236)),Reference!$A$6:$A$11,1))))))))</f>
        <v/>
      </c>
      <c r="P236" s="32" t="str">
        <f>IF(N236="","",VLOOKUP(MAX(N236,0),Reference!$A$17:$B$20,2,TRUE()))</f>
        <v/>
      </c>
      <c r="Q236" s="32" t="str">
        <f t="shared" si="30"/>
        <v/>
      </c>
      <c r="R236" s="31"/>
      <c r="S236" s="31"/>
      <c r="T236" s="31"/>
      <c r="U236" s="32" t="str">
        <f t="shared" si="31"/>
        <v/>
      </c>
      <c r="V236" s="32" t="str">
        <f t="shared" si="32"/>
        <v/>
      </c>
      <c r="W236" s="32" t="str">
        <f>IF(V236="","",VLOOKUP(MAX(V236,0),Reference!$A$17:$B$20,2,TRUE()))</f>
        <v/>
      </c>
      <c r="X236" s="31"/>
      <c r="Y236" s="31"/>
      <c r="Z236" s="31"/>
      <c r="AA236" s="32" t="str">
        <f t="shared" si="33"/>
        <v/>
      </c>
      <c r="AB236" s="32" t="str">
        <f t="shared" si="34"/>
        <v/>
      </c>
      <c r="AC236" s="32" t="str">
        <f>IF(AB236="","",VLOOKUP(MAX(AB236,0),Reference!$A$17:$B$20,2,TRUE()))</f>
        <v/>
      </c>
      <c r="AD236" s="31"/>
      <c r="AE236">
        <f t="shared" si="35"/>
        <v>1</v>
      </c>
      <c r="AF236" s="33" t="str">
        <f>IF(OR(A236="",B236="",AND(C236&lt;&gt;"Bullpen",C236&lt;&gt;"Game")),"",IF((COUNTIFS($B$5:$B$300,B236,$A$5:$A$300,A236-1,$C$5:$C$300,"Bullpen",$AG$5:$AG$300,"&gt;0") + COUNTIFS($B$5:$B$300,B236,$A$5:$A$300,A236-1,$C$5:$C$300,"Game",$AG$5:$AG$300,"&gt;0"))&gt;0,Reference!$B$119,IF((COUNTIFS($B$5:$B$300,B236,$A$5:$A$300,A236-2,$C$5:$C$300,"Bullpen",$AG$5:$AG$300,"&gt;0") + COUNTIFS($B$5:$B$300,B236,$A$5:$A$300,A236-2,$C$5:$C$300,"Game",$AG$5:$AG$300,"&gt;0"))&gt;0,Reference!$B$120,1)))</f>
        <v/>
      </c>
      <c r="AG236" s="30" t="str">
        <f>IF(AND(OR(I236="",O236="",P236=""),OR(R236="",W236=""),OR(X236="",AC236="")),"",IF(OR(I236="",O236="",P236=""),0,I236*O236*P236)+IF(OR(R236="",W236=""),0,R236*IFERROR(INDEX(Reference!$B$61:$B$62,MATCH("Bullpen",Reference!$A$61:$A$62,0)),0)*W236)+IF(OR(X236="",AC236=""),0,X236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236))</f>
        <v/>
      </c>
    </row>
    <row r="237" spans="1:33" x14ac:dyDescent="0.3">
      <c r="A237" s="35"/>
      <c r="B237" s="31"/>
      <c r="C237" s="31"/>
      <c r="D237" s="31"/>
      <c r="E237" s="34"/>
      <c r="F237" s="34"/>
      <c r="G237" s="30" t="str">
        <f t="shared" si="27"/>
        <v/>
      </c>
      <c r="H237" s="31"/>
      <c r="I237" s="32" t="str">
        <f>IF(H237&lt;&gt;"",H237,IF(G237="","",ROUND(G237*IFERROR(INDEX(Reference!$B$44:$B$50,MATCH(C237,Reference!$A$44:$A$50,0)),0),0)))</f>
        <v/>
      </c>
      <c r="J237" s="31"/>
      <c r="K237" s="31"/>
      <c r="L237" s="32" t="str">
        <f t="shared" si="28"/>
        <v/>
      </c>
      <c r="M237" s="32" t="str">
        <f>IFERROR(INDEX(Roster!$D$5:$D$40,MATCH(B237,Roster!$A$5:$A$40,0)),"")</f>
        <v/>
      </c>
      <c r="N237" s="32" t="str">
        <f t="shared" si="29"/>
        <v/>
      </c>
      <c r="O237" s="32" t="str">
        <f>IF(OR(C237="Bullpen",C237="Game"),IFERROR(INDEX(Reference!$B$61:$B$62,MATCH(C237,Reference!$A$61:$A$62,0)),""),IF(D237="","",IF(AE237&gt;1,((IF(1&lt;=AE237,(AE237-1+3)*(INDEX(Reference!$B$6:$B$11,MIN(5,MATCH(MAX(Reference!$A$6,MIN(Reference!$A$11,MIN(D237,90))),Reference!$A$6:$A$11,1)))+(MAX(Reference!$A$6,MIN(Reference!$A$11,MIN(D237,90)))-INDEX(Reference!$A$6:$A$11,MIN(5,MATCH(MAX(Reference!$A$6,MIN(Reference!$A$11,MIN(D237,90))),Reference!$A$6:$A$11,1))))*(INDEX(Reference!$B$6:$B$11,MIN(5,MATCH(MAX(Reference!$A$6,MIN(Reference!$A$11,MIN(D237,90))),Reference!$A$6:$A$11,1))+1)-INDEX(Reference!$B$6:$B$11,MIN(5,MATCH(MAX(Reference!$A$6,MIN(Reference!$A$11,MIN(D237,90))),Reference!$A$6:$A$11,1))))/(INDEX(Reference!$A$6:$A$11,MIN(5,MATCH(MAX(Reference!$A$6,MIN(Reference!$A$11,MIN(D237,90))),Reference!$A$6:$A$11,1))+1)-INDEX(Reference!$A$6:$A$11,MIN(5,MATCH(MAX(Reference!$A$6,MIN(Reference!$A$11,MIN(D237,90))),Reference!$A$6:$A$11,1))))),0)+IF(2&lt;=AE237,(AE237-2+3)*(INDEX(Reference!$B$6:$B$11,MIN(5,MATCH(MAX(Reference!$A$6,MIN(Reference!$A$11,MIN(D237,120))),Reference!$A$6:$A$11,1)))+(MAX(Reference!$A$6,MIN(Reference!$A$11,MIN(D237,120)))-INDEX(Reference!$A$6:$A$11,MIN(5,MATCH(MAX(Reference!$A$6,MIN(Reference!$A$11,MIN(D237,120))),Reference!$A$6:$A$11,1))))*(INDEX(Reference!$B$6:$B$11,MIN(5,MATCH(MAX(Reference!$A$6,MIN(Reference!$A$11,MIN(D237,120))),Reference!$A$6:$A$11,1))+1)-INDEX(Reference!$B$6:$B$11,MIN(5,MATCH(MAX(Reference!$A$6,MIN(Reference!$A$11,MIN(D237,120))),Reference!$A$6:$A$11,1))))/(INDEX(Reference!$A$6:$A$11,MIN(5,MATCH(MAX(Reference!$A$6,MIN(Reference!$A$11,MIN(D237,120))),Reference!$A$6:$A$11,1))+1)-INDEX(Reference!$A$6:$A$11,MIN(5,MATCH(MAX(Reference!$A$6,MIN(Reference!$A$11,MIN(D237,120))),Reference!$A$6:$A$11,1))))),0)+IF(3&lt;=AE237,(AE237-3+3)*(INDEX(Reference!$B$6:$B$11,MIN(5,MATCH(MAX(Reference!$A$6,MIN(Reference!$A$11,MIN(D237,150))),Reference!$A$6:$A$11,1)))+(MAX(Reference!$A$6,MIN(Reference!$A$11,MIN(D237,150)))-INDEX(Reference!$A$6:$A$11,MIN(5,MATCH(MAX(Reference!$A$6,MIN(Reference!$A$11,MIN(D237,150))),Reference!$A$6:$A$11,1))))*(INDEX(Reference!$B$6:$B$11,MIN(5,MATCH(MAX(Reference!$A$6,MIN(Reference!$A$11,MIN(D237,150))),Reference!$A$6:$A$11,1))+1)-INDEX(Reference!$B$6:$B$11,MIN(5,MATCH(MAX(Reference!$A$6,MIN(Reference!$A$11,MIN(D237,150))),Reference!$A$6:$A$11,1))))/(INDEX(Reference!$A$6:$A$11,MIN(5,MATCH(MAX(Reference!$A$6,MIN(Reference!$A$11,MIN(D237,150))),Reference!$A$6:$A$11,1))+1)-INDEX(Reference!$A$6:$A$11,MIN(5,MATCH(MAX(Reference!$A$6,MIN(Reference!$A$11,MIN(D237,150))),Reference!$A$6:$A$11,1))))),0)+IF(4&lt;=AE237,(AE237-4+3)*(INDEX(Reference!$B$6:$B$11,MIN(5,MATCH(MAX(Reference!$A$6,MIN(Reference!$A$11,MIN(D237,180))),Reference!$A$6:$A$11,1)))+(MAX(Reference!$A$6,MIN(Reference!$A$11,MIN(D237,180)))-INDEX(Reference!$A$6:$A$11,MIN(5,MATCH(MAX(Reference!$A$6,MIN(Reference!$A$11,MIN(D237,180))),Reference!$A$6:$A$11,1))))*(INDEX(Reference!$B$6:$B$11,MIN(5,MATCH(MAX(Reference!$A$6,MIN(Reference!$A$11,MIN(D237,180))),Reference!$A$6:$A$11,1))+1)-INDEX(Reference!$B$6:$B$11,MIN(5,MATCH(MAX(Reference!$A$6,MIN(Reference!$A$11,MIN(D237,180))),Reference!$A$6:$A$11,1))))/(INDEX(Reference!$A$6:$A$11,MIN(5,MATCH(MAX(Reference!$A$6,MIN(Reference!$A$11,MIN(D237,180))),Reference!$A$6:$A$11,1))+1)-INDEX(Reference!$A$6:$A$11,MIN(5,MATCH(MAX(Reference!$A$6,MIN(Reference!$A$11,MIN(D237,180))),Reference!$A$6:$A$11,1))))),0)+IF(5&lt;=AE237,(AE237-5+3)*(INDEX(Reference!$B$6:$B$11,MIN(5,MATCH(MAX(Reference!$A$6,MIN(Reference!$A$11,MIN(D237,210))),Reference!$A$6:$A$11,1)))+(MAX(Reference!$A$6,MIN(Reference!$A$11,MIN(D237,210)))-INDEX(Reference!$A$6:$A$11,MIN(5,MATCH(MAX(Reference!$A$6,MIN(Reference!$A$11,MIN(D237,210))),Reference!$A$6:$A$11,1))))*(INDEX(Reference!$B$6:$B$11,MIN(5,MATCH(MAX(Reference!$A$6,MIN(Reference!$A$11,MIN(D237,210))),Reference!$A$6:$A$11,1))+1)-INDEX(Reference!$B$6:$B$11,MIN(5,MATCH(MAX(Reference!$A$6,MIN(Reference!$A$11,MIN(D237,210))),Reference!$A$6:$A$11,1))))/(INDEX(Reference!$A$6:$A$11,MIN(5,MATCH(MAX(Reference!$A$6,MIN(Reference!$A$11,MIN(D237,210))),Reference!$A$6:$A$11,1))+1)-INDEX(Reference!$A$6:$A$11,MIN(5,MATCH(MAX(Reference!$A$6,MIN(Reference!$A$11,MIN(D237,210))),Reference!$A$6:$A$11,1))))),0)+IF(6&lt;=AE237,(AE237-6+3)*(INDEX(Reference!$B$6:$B$11,MIN(5,MATCH(MAX(Reference!$A$6,MIN(Reference!$A$11,MIN(D237,240))),Reference!$A$6:$A$11,1)))+(MAX(Reference!$A$6,MIN(Reference!$A$11,MIN(D237,240)))-INDEX(Reference!$A$6:$A$11,MIN(5,MATCH(MAX(Reference!$A$6,MIN(Reference!$A$11,MIN(D237,240))),Reference!$A$6:$A$11,1))))*(INDEX(Reference!$B$6:$B$11,MIN(5,MATCH(MAX(Reference!$A$6,MIN(Reference!$A$11,MIN(D237,240))),Reference!$A$6:$A$11,1))+1)-INDEX(Reference!$B$6:$B$11,MIN(5,MATCH(MAX(Reference!$A$6,MIN(Reference!$A$11,MIN(D237,240))),Reference!$A$6:$A$11,1))))/(INDEX(Reference!$A$6:$A$11,MIN(5,MATCH(MAX(Reference!$A$6,MIN(Reference!$A$11,MIN(D237,240))),Reference!$A$6:$A$11,1))+1)-INDEX(Reference!$A$6:$A$11,MIN(5,MATCH(MAX(Reference!$A$6,MIN(Reference!$A$11,MIN(D237,240))),Reference!$A$6:$A$11,1))))),0)+IF(7&lt;=AE237,(AE237-7+3)*(INDEX(Reference!$B$6:$B$11,MIN(5,MATCH(MAX(Reference!$A$6,MIN(Reference!$A$11,MIN(D237,270))),Reference!$A$6:$A$11,1)))+(MAX(Reference!$A$6,MIN(Reference!$A$11,MIN(D237,270)))-INDEX(Reference!$A$6:$A$11,MIN(5,MATCH(MAX(Reference!$A$6,MIN(Reference!$A$11,MIN(D237,270))),Reference!$A$6:$A$11,1))))*(INDEX(Reference!$B$6:$B$11,MIN(5,MATCH(MAX(Reference!$A$6,MIN(Reference!$A$11,MIN(D237,270))),Reference!$A$6:$A$11,1))+1)-INDEX(Reference!$B$6:$B$11,MIN(5,MATCH(MAX(Reference!$A$6,MIN(Reference!$A$11,MIN(D237,270))),Reference!$A$6:$A$11,1))))/(INDEX(Reference!$A$6:$A$11,MIN(5,MATCH(MAX(Reference!$A$6,MIN(Reference!$A$11,MIN(D237,270))),Reference!$A$6:$A$11,1))+1)-INDEX(Reference!$A$6:$A$11,MIN(5,MATCH(MAX(Reference!$A$6,MIN(Reference!$A$11,MIN(D237,270))),Reference!$A$6:$A$11,1))))),0)+IF(8&lt;=AE237,(AE237-8+3)*(INDEX(Reference!$B$6:$B$11,MIN(5,MATCH(MAX(Reference!$A$6,MIN(Reference!$A$11,MIN(D237,300))),Reference!$A$6:$A$11,1)))+(MAX(Reference!$A$6,MIN(Reference!$A$11,MIN(D237,300)))-INDEX(Reference!$A$6:$A$11,MIN(5,MATCH(MAX(Reference!$A$6,MIN(Reference!$A$11,MIN(D237,300))),Reference!$A$6:$A$11,1))))*(INDEX(Reference!$B$6:$B$11,MIN(5,MATCH(MAX(Reference!$A$6,MIN(Reference!$A$11,MIN(D237,300))),Reference!$A$6:$A$11,1))+1)-INDEX(Reference!$B$6:$B$11,MIN(5,MATCH(MAX(Reference!$A$6,MIN(Reference!$A$11,MIN(D237,300))),Reference!$A$6:$A$11,1))))/(INDEX(Reference!$A$6:$A$11,MIN(5,MATCH(MAX(Reference!$A$6,MIN(Reference!$A$11,MIN(D237,300))),Reference!$A$6:$A$11,1))+1)-INDEX(Reference!$A$6:$A$11,MIN(5,MATCH(MAX(Reference!$A$6,MIN(Reference!$A$11,MIN(D237,300))),Reference!$A$6:$A$11,1))))),0))/(AE237*(AE237+5)/2)),(INDEX(Reference!$B$6:$B$11,MIN(5,MATCH(MAX(Reference!$A$6,MIN(Reference!$A$11,D237)),Reference!$A$6:$A$11,1)))+(MAX(Reference!$A$6,MIN(Reference!$A$11,D237))-INDEX(Reference!$A$6:$A$11,MIN(5,MATCH(MAX(Reference!$A$6,MIN(Reference!$A$11,D237)),Reference!$A$6:$A$11,1))))*(INDEX(Reference!$B$6:$B$11,MIN(5,MATCH(MAX(Reference!$A$6,MIN(Reference!$A$11,D237)),Reference!$A$6:$A$11,1))+1)-INDEX(Reference!$B$6:$B$11,MIN(5,MATCH(MAX(Reference!$A$6,MIN(Reference!$A$11,D237)),Reference!$A$6:$A$11,1))))/(INDEX(Reference!$A$6:$A$11,MIN(5,MATCH(MAX(Reference!$A$6,MIN(Reference!$A$11,D237)),Reference!$A$6:$A$11,1))+1)-INDEX(Reference!$A$6:$A$11,MIN(5,MATCH(MAX(Reference!$A$6,MIN(Reference!$A$11,D237)),Reference!$A$6:$A$11,1))))))))</f>
        <v/>
      </c>
      <c r="P237" s="32" t="str">
        <f>IF(N237="","",VLOOKUP(MAX(N237,0),Reference!$A$17:$B$20,2,TRUE()))</f>
        <v/>
      </c>
      <c r="Q237" s="32" t="str">
        <f t="shared" si="30"/>
        <v/>
      </c>
      <c r="R237" s="31"/>
      <c r="S237" s="31"/>
      <c r="T237" s="31"/>
      <c r="U237" s="32" t="str">
        <f t="shared" si="31"/>
        <v/>
      </c>
      <c r="V237" s="32" t="str">
        <f t="shared" si="32"/>
        <v/>
      </c>
      <c r="W237" s="32" t="str">
        <f>IF(V237="","",VLOOKUP(MAX(V237,0),Reference!$A$17:$B$20,2,TRUE()))</f>
        <v/>
      </c>
      <c r="X237" s="31"/>
      <c r="Y237" s="31"/>
      <c r="Z237" s="31"/>
      <c r="AA237" s="32" t="str">
        <f t="shared" si="33"/>
        <v/>
      </c>
      <c r="AB237" s="32" t="str">
        <f t="shared" si="34"/>
        <v/>
      </c>
      <c r="AC237" s="32" t="str">
        <f>IF(AB237="","",VLOOKUP(MAX(AB237,0),Reference!$A$17:$B$20,2,TRUE()))</f>
        <v/>
      </c>
      <c r="AD237" s="31"/>
      <c r="AE237">
        <f t="shared" si="35"/>
        <v>1</v>
      </c>
      <c r="AF237" s="33" t="str">
        <f>IF(OR(A237="",B237="",AND(C237&lt;&gt;"Bullpen",C237&lt;&gt;"Game")),"",IF((COUNTIFS($B$5:$B$300,B237,$A$5:$A$300,A237-1,$C$5:$C$300,"Bullpen",$AG$5:$AG$300,"&gt;0") + COUNTIFS($B$5:$B$300,B237,$A$5:$A$300,A237-1,$C$5:$C$300,"Game",$AG$5:$AG$300,"&gt;0"))&gt;0,Reference!$B$119,IF((COUNTIFS($B$5:$B$300,B237,$A$5:$A$300,A237-2,$C$5:$C$300,"Bullpen",$AG$5:$AG$300,"&gt;0") + COUNTIFS($B$5:$B$300,B237,$A$5:$A$300,A237-2,$C$5:$C$300,"Game",$AG$5:$AG$300,"&gt;0"))&gt;0,Reference!$B$120,1)))</f>
        <v/>
      </c>
      <c r="AG237" s="30" t="str">
        <f>IF(AND(OR(I237="",O237="",P237=""),OR(R237="",W237=""),OR(X237="",AC237="")),"",IF(OR(I237="",O237="",P237=""),0,I237*O237*P237)+IF(OR(R237="",W237=""),0,R237*IFERROR(INDEX(Reference!$B$61:$B$62,MATCH("Bullpen",Reference!$A$61:$A$62,0)),0)*W237)+IF(OR(X237="",AC237=""),0,X237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237))</f>
        <v/>
      </c>
    </row>
    <row r="238" spans="1:33" x14ac:dyDescent="0.3">
      <c r="A238" s="35"/>
      <c r="B238" s="31"/>
      <c r="C238" s="31"/>
      <c r="D238" s="31"/>
      <c r="E238" s="34"/>
      <c r="F238" s="34"/>
      <c r="G238" s="30" t="str">
        <f t="shared" si="27"/>
        <v/>
      </c>
      <c r="H238" s="31"/>
      <c r="I238" s="32" t="str">
        <f>IF(H238&lt;&gt;"",H238,IF(G238="","",ROUND(G238*IFERROR(INDEX(Reference!$B$44:$B$50,MATCH(C238,Reference!$A$44:$A$50,0)),0),0)))</f>
        <v/>
      </c>
      <c r="J238" s="31"/>
      <c r="K238" s="31"/>
      <c r="L238" s="32" t="str">
        <f t="shared" si="28"/>
        <v/>
      </c>
      <c r="M238" s="32" t="str">
        <f>IFERROR(INDEX(Roster!$D$5:$D$40,MATCH(B238,Roster!$A$5:$A$40,0)),"")</f>
        <v/>
      </c>
      <c r="N238" s="32" t="str">
        <f t="shared" si="29"/>
        <v/>
      </c>
      <c r="O238" s="32" t="str">
        <f>IF(OR(C238="Bullpen",C238="Game"),IFERROR(INDEX(Reference!$B$61:$B$62,MATCH(C238,Reference!$A$61:$A$62,0)),""),IF(D238="","",IF(AE238&gt;1,((IF(1&lt;=AE238,(AE238-1+3)*(INDEX(Reference!$B$6:$B$11,MIN(5,MATCH(MAX(Reference!$A$6,MIN(Reference!$A$11,MIN(D238,90))),Reference!$A$6:$A$11,1)))+(MAX(Reference!$A$6,MIN(Reference!$A$11,MIN(D238,90)))-INDEX(Reference!$A$6:$A$11,MIN(5,MATCH(MAX(Reference!$A$6,MIN(Reference!$A$11,MIN(D238,90))),Reference!$A$6:$A$11,1))))*(INDEX(Reference!$B$6:$B$11,MIN(5,MATCH(MAX(Reference!$A$6,MIN(Reference!$A$11,MIN(D238,90))),Reference!$A$6:$A$11,1))+1)-INDEX(Reference!$B$6:$B$11,MIN(5,MATCH(MAX(Reference!$A$6,MIN(Reference!$A$11,MIN(D238,90))),Reference!$A$6:$A$11,1))))/(INDEX(Reference!$A$6:$A$11,MIN(5,MATCH(MAX(Reference!$A$6,MIN(Reference!$A$11,MIN(D238,90))),Reference!$A$6:$A$11,1))+1)-INDEX(Reference!$A$6:$A$11,MIN(5,MATCH(MAX(Reference!$A$6,MIN(Reference!$A$11,MIN(D238,90))),Reference!$A$6:$A$11,1))))),0)+IF(2&lt;=AE238,(AE238-2+3)*(INDEX(Reference!$B$6:$B$11,MIN(5,MATCH(MAX(Reference!$A$6,MIN(Reference!$A$11,MIN(D238,120))),Reference!$A$6:$A$11,1)))+(MAX(Reference!$A$6,MIN(Reference!$A$11,MIN(D238,120)))-INDEX(Reference!$A$6:$A$11,MIN(5,MATCH(MAX(Reference!$A$6,MIN(Reference!$A$11,MIN(D238,120))),Reference!$A$6:$A$11,1))))*(INDEX(Reference!$B$6:$B$11,MIN(5,MATCH(MAX(Reference!$A$6,MIN(Reference!$A$11,MIN(D238,120))),Reference!$A$6:$A$11,1))+1)-INDEX(Reference!$B$6:$B$11,MIN(5,MATCH(MAX(Reference!$A$6,MIN(Reference!$A$11,MIN(D238,120))),Reference!$A$6:$A$11,1))))/(INDEX(Reference!$A$6:$A$11,MIN(5,MATCH(MAX(Reference!$A$6,MIN(Reference!$A$11,MIN(D238,120))),Reference!$A$6:$A$11,1))+1)-INDEX(Reference!$A$6:$A$11,MIN(5,MATCH(MAX(Reference!$A$6,MIN(Reference!$A$11,MIN(D238,120))),Reference!$A$6:$A$11,1))))),0)+IF(3&lt;=AE238,(AE238-3+3)*(INDEX(Reference!$B$6:$B$11,MIN(5,MATCH(MAX(Reference!$A$6,MIN(Reference!$A$11,MIN(D238,150))),Reference!$A$6:$A$11,1)))+(MAX(Reference!$A$6,MIN(Reference!$A$11,MIN(D238,150)))-INDEX(Reference!$A$6:$A$11,MIN(5,MATCH(MAX(Reference!$A$6,MIN(Reference!$A$11,MIN(D238,150))),Reference!$A$6:$A$11,1))))*(INDEX(Reference!$B$6:$B$11,MIN(5,MATCH(MAX(Reference!$A$6,MIN(Reference!$A$11,MIN(D238,150))),Reference!$A$6:$A$11,1))+1)-INDEX(Reference!$B$6:$B$11,MIN(5,MATCH(MAX(Reference!$A$6,MIN(Reference!$A$11,MIN(D238,150))),Reference!$A$6:$A$11,1))))/(INDEX(Reference!$A$6:$A$11,MIN(5,MATCH(MAX(Reference!$A$6,MIN(Reference!$A$11,MIN(D238,150))),Reference!$A$6:$A$11,1))+1)-INDEX(Reference!$A$6:$A$11,MIN(5,MATCH(MAX(Reference!$A$6,MIN(Reference!$A$11,MIN(D238,150))),Reference!$A$6:$A$11,1))))),0)+IF(4&lt;=AE238,(AE238-4+3)*(INDEX(Reference!$B$6:$B$11,MIN(5,MATCH(MAX(Reference!$A$6,MIN(Reference!$A$11,MIN(D238,180))),Reference!$A$6:$A$11,1)))+(MAX(Reference!$A$6,MIN(Reference!$A$11,MIN(D238,180)))-INDEX(Reference!$A$6:$A$11,MIN(5,MATCH(MAX(Reference!$A$6,MIN(Reference!$A$11,MIN(D238,180))),Reference!$A$6:$A$11,1))))*(INDEX(Reference!$B$6:$B$11,MIN(5,MATCH(MAX(Reference!$A$6,MIN(Reference!$A$11,MIN(D238,180))),Reference!$A$6:$A$11,1))+1)-INDEX(Reference!$B$6:$B$11,MIN(5,MATCH(MAX(Reference!$A$6,MIN(Reference!$A$11,MIN(D238,180))),Reference!$A$6:$A$11,1))))/(INDEX(Reference!$A$6:$A$11,MIN(5,MATCH(MAX(Reference!$A$6,MIN(Reference!$A$11,MIN(D238,180))),Reference!$A$6:$A$11,1))+1)-INDEX(Reference!$A$6:$A$11,MIN(5,MATCH(MAX(Reference!$A$6,MIN(Reference!$A$11,MIN(D238,180))),Reference!$A$6:$A$11,1))))),0)+IF(5&lt;=AE238,(AE238-5+3)*(INDEX(Reference!$B$6:$B$11,MIN(5,MATCH(MAX(Reference!$A$6,MIN(Reference!$A$11,MIN(D238,210))),Reference!$A$6:$A$11,1)))+(MAX(Reference!$A$6,MIN(Reference!$A$11,MIN(D238,210)))-INDEX(Reference!$A$6:$A$11,MIN(5,MATCH(MAX(Reference!$A$6,MIN(Reference!$A$11,MIN(D238,210))),Reference!$A$6:$A$11,1))))*(INDEX(Reference!$B$6:$B$11,MIN(5,MATCH(MAX(Reference!$A$6,MIN(Reference!$A$11,MIN(D238,210))),Reference!$A$6:$A$11,1))+1)-INDEX(Reference!$B$6:$B$11,MIN(5,MATCH(MAX(Reference!$A$6,MIN(Reference!$A$11,MIN(D238,210))),Reference!$A$6:$A$11,1))))/(INDEX(Reference!$A$6:$A$11,MIN(5,MATCH(MAX(Reference!$A$6,MIN(Reference!$A$11,MIN(D238,210))),Reference!$A$6:$A$11,1))+1)-INDEX(Reference!$A$6:$A$11,MIN(5,MATCH(MAX(Reference!$A$6,MIN(Reference!$A$11,MIN(D238,210))),Reference!$A$6:$A$11,1))))),0)+IF(6&lt;=AE238,(AE238-6+3)*(INDEX(Reference!$B$6:$B$11,MIN(5,MATCH(MAX(Reference!$A$6,MIN(Reference!$A$11,MIN(D238,240))),Reference!$A$6:$A$11,1)))+(MAX(Reference!$A$6,MIN(Reference!$A$11,MIN(D238,240)))-INDEX(Reference!$A$6:$A$11,MIN(5,MATCH(MAX(Reference!$A$6,MIN(Reference!$A$11,MIN(D238,240))),Reference!$A$6:$A$11,1))))*(INDEX(Reference!$B$6:$B$11,MIN(5,MATCH(MAX(Reference!$A$6,MIN(Reference!$A$11,MIN(D238,240))),Reference!$A$6:$A$11,1))+1)-INDEX(Reference!$B$6:$B$11,MIN(5,MATCH(MAX(Reference!$A$6,MIN(Reference!$A$11,MIN(D238,240))),Reference!$A$6:$A$11,1))))/(INDEX(Reference!$A$6:$A$11,MIN(5,MATCH(MAX(Reference!$A$6,MIN(Reference!$A$11,MIN(D238,240))),Reference!$A$6:$A$11,1))+1)-INDEX(Reference!$A$6:$A$11,MIN(5,MATCH(MAX(Reference!$A$6,MIN(Reference!$A$11,MIN(D238,240))),Reference!$A$6:$A$11,1))))),0)+IF(7&lt;=AE238,(AE238-7+3)*(INDEX(Reference!$B$6:$B$11,MIN(5,MATCH(MAX(Reference!$A$6,MIN(Reference!$A$11,MIN(D238,270))),Reference!$A$6:$A$11,1)))+(MAX(Reference!$A$6,MIN(Reference!$A$11,MIN(D238,270)))-INDEX(Reference!$A$6:$A$11,MIN(5,MATCH(MAX(Reference!$A$6,MIN(Reference!$A$11,MIN(D238,270))),Reference!$A$6:$A$11,1))))*(INDEX(Reference!$B$6:$B$11,MIN(5,MATCH(MAX(Reference!$A$6,MIN(Reference!$A$11,MIN(D238,270))),Reference!$A$6:$A$11,1))+1)-INDEX(Reference!$B$6:$B$11,MIN(5,MATCH(MAX(Reference!$A$6,MIN(Reference!$A$11,MIN(D238,270))),Reference!$A$6:$A$11,1))))/(INDEX(Reference!$A$6:$A$11,MIN(5,MATCH(MAX(Reference!$A$6,MIN(Reference!$A$11,MIN(D238,270))),Reference!$A$6:$A$11,1))+1)-INDEX(Reference!$A$6:$A$11,MIN(5,MATCH(MAX(Reference!$A$6,MIN(Reference!$A$11,MIN(D238,270))),Reference!$A$6:$A$11,1))))),0)+IF(8&lt;=AE238,(AE238-8+3)*(INDEX(Reference!$B$6:$B$11,MIN(5,MATCH(MAX(Reference!$A$6,MIN(Reference!$A$11,MIN(D238,300))),Reference!$A$6:$A$11,1)))+(MAX(Reference!$A$6,MIN(Reference!$A$11,MIN(D238,300)))-INDEX(Reference!$A$6:$A$11,MIN(5,MATCH(MAX(Reference!$A$6,MIN(Reference!$A$11,MIN(D238,300))),Reference!$A$6:$A$11,1))))*(INDEX(Reference!$B$6:$B$11,MIN(5,MATCH(MAX(Reference!$A$6,MIN(Reference!$A$11,MIN(D238,300))),Reference!$A$6:$A$11,1))+1)-INDEX(Reference!$B$6:$B$11,MIN(5,MATCH(MAX(Reference!$A$6,MIN(Reference!$A$11,MIN(D238,300))),Reference!$A$6:$A$11,1))))/(INDEX(Reference!$A$6:$A$11,MIN(5,MATCH(MAX(Reference!$A$6,MIN(Reference!$A$11,MIN(D238,300))),Reference!$A$6:$A$11,1))+1)-INDEX(Reference!$A$6:$A$11,MIN(5,MATCH(MAX(Reference!$A$6,MIN(Reference!$A$11,MIN(D238,300))),Reference!$A$6:$A$11,1))))),0))/(AE238*(AE238+5)/2)),(INDEX(Reference!$B$6:$B$11,MIN(5,MATCH(MAX(Reference!$A$6,MIN(Reference!$A$11,D238)),Reference!$A$6:$A$11,1)))+(MAX(Reference!$A$6,MIN(Reference!$A$11,D238))-INDEX(Reference!$A$6:$A$11,MIN(5,MATCH(MAX(Reference!$A$6,MIN(Reference!$A$11,D238)),Reference!$A$6:$A$11,1))))*(INDEX(Reference!$B$6:$B$11,MIN(5,MATCH(MAX(Reference!$A$6,MIN(Reference!$A$11,D238)),Reference!$A$6:$A$11,1))+1)-INDEX(Reference!$B$6:$B$11,MIN(5,MATCH(MAX(Reference!$A$6,MIN(Reference!$A$11,D238)),Reference!$A$6:$A$11,1))))/(INDEX(Reference!$A$6:$A$11,MIN(5,MATCH(MAX(Reference!$A$6,MIN(Reference!$A$11,D238)),Reference!$A$6:$A$11,1))+1)-INDEX(Reference!$A$6:$A$11,MIN(5,MATCH(MAX(Reference!$A$6,MIN(Reference!$A$11,D238)),Reference!$A$6:$A$11,1))))))))</f>
        <v/>
      </c>
      <c r="P238" s="32" t="str">
        <f>IF(N238="","",VLOOKUP(MAX(N238,0),Reference!$A$17:$B$20,2,TRUE()))</f>
        <v/>
      </c>
      <c r="Q238" s="32" t="str">
        <f t="shared" si="30"/>
        <v/>
      </c>
      <c r="R238" s="31"/>
      <c r="S238" s="31"/>
      <c r="T238" s="31"/>
      <c r="U238" s="32" t="str">
        <f t="shared" si="31"/>
        <v/>
      </c>
      <c r="V238" s="32" t="str">
        <f t="shared" si="32"/>
        <v/>
      </c>
      <c r="W238" s="32" t="str">
        <f>IF(V238="","",VLOOKUP(MAX(V238,0),Reference!$A$17:$B$20,2,TRUE()))</f>
        <v/>
      </c>
      <c r="X238" s="31"/>
      <c r="Y238" s="31"/>
      <c r="Z238" s="31"/>
      <c r="AA238" s="32" t="str">
        <f t="shared" si="33"/>
        <v/>
      </c>
      <c r="AB238" s="32" t="str">
        <f t="shared" si="34"/>
        <v/>
      </c>
      <c r="AC238" s="32" t="str">
        <f>IF(AB238="","",VLOOKUP(MAX(AB238,0),Reference!$A$17:$B$20,2,TRUE()))</f>
        <v/>
      </c>
      <c r="AD238" s="31"/>
      <c r="AE238">
        <f t="shared" si="35"/>
        <v>1</v>
      </c>
      <c r="AF238" s="33" t="str">
        <f>IF(OR(A238="",B238="",AND(C238&lt;&gt;"Bullpen",C238&lt;&gt;"Game")),"",IF((COUNTIFS($B$5:$B$300,B238,$A$5:$A$300,A238-1,$C$5:$C$300,"Bullpen",$AG$5:$AG$300,"&gt;0") + COUNTIFS($B$5:$B$300,B238,$A$5:$A$300,A238-1,$C$5:$C$300,"Game",$AG$5:$AG$300,"&gt;0"))&gt;0,Reference!$B$119,IF((COUNTIFS($B$5:$B$300,B238,$A$5:$A$300,A238-2,$C$5:$C$300,"Bullpen",$AG$5:$AG$300,"&gt;0") + COUNTIFS($B$5:$B$300,B238,$A$5:$A$300,A238-2,$C$5:$C$300,"Game",$AG$5:$AG$300,"&gt;0"))&gt;0,Reference!$B$120,1)))</f>
        <v/>
      </c>
      <c r="AG238" s="30" t="str">
        <f>IF(AND(OR(I238="",O238="",P238=""),OR(R238="",W238=""),OR(X238="",AC238="")),"",IF(OR(I238="",O238="",P238=""),0,I238*O238*P238)+IF(OR(R238="",W238=""),0,R238*IFERROR(INDEX(Reference!$B$61:$B$62,MATCH("Bullpen",Reference!$A$61:$A$62,0)),0)*W238)+IF(OR(X238="",AC238=""),0,X238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238))</f>
        <v/>
      </c>
    </row>
    <row r="239" spans="1:33" x14ac:dyDescent="0.3">
      <c r="A239" s="35"/>
      <c r="B239" s="31"/>
      <c r="C239" s="31"/>
      <c r="D239" s="31"/>
      <c r="E239" s="34"/>
      <c r="F239" s="34"/>
      <c r="G239" s="30" t="str">
        <f t="shared" si="27"/>
        <v/>
      </c>
      <c r="H239" s="31"/>
      <c r="I239" s="32" t="str">
        <f>IF(H239&lt;&gt;"",H239,IF(G239="","",ROUND(G239*IFERROR(INDEX(Reference!$B$44:$B$50,MATCH(C239,Reference!$A$44:$A$50,0)),0),0)))</f>
        <v/>
      </c>
      <c r="J239" s="31"/>
      <c r="K239" s="31"/>
      <c r="L239" s="32" t="str">
        <f t="shared" si="28"/>
        <v/>
      </c>
      <c r="M239" s="32" t="str">
        <f>IFERROR(INDEX(Roster!$D$5:$D$40,MATCH(B239,Roster!$A$5:$A$40,0)),"")</f>
        <v/>
      </c>
      <c r="N239" s="32" t="str">
        <f t="shared" si="29"/>
        <v/>
      </c>
      <c r="O239" s="32" t="str">
        <f>IF(OR(C239="Bullpen",C239="Game"),IFERROR(INDEX(Reference!$B$61:$B$62,MATCH(C239,Reference!$A$61:$A$62,0)),""),IF(D239="","",IF(AE239&gt;1,((IF(1&lt;=AE239,(AE239-1+3)*(INDEX(Reference!$B$6:$B$11,MIN(5,MATCH(MAX(Reference!$A$6,MIN(Reference!$A$11,MIN(D239,90))),Reference!$A$6:$A$11,1)))+(MAX(Reference!$A$6,MIN(Reference!$A$11,MIN(D239,90)))-INDEX(Reference!$A$6:$A$11,MIN(5,MATCH(MAX(Reference!$A$6,MIN(Reference!$A$11,MIN(D239,90))),Reference!$A$6:$A$11,1))))*(INDEX(Reference!$B$6:$B$11,MIN(5,MATCH(MAX(Reference!$A$6,MIN(Reference!$A$11,MIN(D239,90))),Reference!$A$6:$A$11,1))+1)-INDEX(Reference!$B$6:$B$11,MIN(5,MATCH(MAX(Reference!$A$6,MIN(Reference!$A$11,MIN(D239,90))),Reference!$A$6:$A$11,1))))/(INDEX(Reference!$A$6:$A$11,MIN(5,MATCH(MAX(Reference!$A$6,MIN(Reference!$A$11,MIN(D239,90))),Reference!$A$6:$A$11,1))+1)-INDEX(Reference!$A$6:$A$11,MIN(5,MATCH(MAX(Reference!$A$6,MIN(Reference!$A$11,MIN(D239,90))),Reference!$A$6:$A$11,1))))),0)+IF(2&lt;=AE239,(AE239-2+3)*(INDEX(Reference!$B$6:$B$11,MIN(5,MATCH(MAX(Reference!$A$6,MIN(Reference!$A$11,MIN(D239,120))),Reference!$A$6:$A$11,1)))+(MAX(Reference!$A$6,MIN(Reference!$A$11,MIN(D239,120)))-INDEX(Reference!$A$6:$A$11,MIN(5,MATCH(MAX(Reference!$A$6,MIN(Reference!$A$11,MIN(D239,120))),Reference!$A$6:$A$11,1))))*(INDEX(Reference!$B$6:$B$11,MIN(5,MATCH(MAX(Reference!$A$6,MIN(Reference!$A$11,MIN(D239,120))),Reference!$A$6:$A$11,1))+1)-INDEX(Reference!$B$6:$B$11,MIN(5,MATCH(MAX(Reference!$A$6,MIN(Reference!$A$11,MIN(D239,120))),Reference!$A$6:$A$11,1))))/(INDEX(Reference!$A$6:$A$11,MIN(5,MATCH(MAX(Reference!$A$6,MIN(Reference!$A$11,MIN(D239,120))),Reference!$A$6:$A$11,1))+1)-INDEX(Reference!$A$6:$A$11,MIN(5,MATCH(MAX(Reference!$A$6,MIN(Reference!$A$11,MIN(D239,120))),Reference!$A$6:$A$11,1))))),0)+IF(3&lt;=AE239,(AE239-3+3)*(INDEX(Reference!$B$6:$B$11,MIN(5,MATCH(MAX(Reference!$A$6,MIN(Reference!$A$11,MIN(D239,150))),Reference!$A$6:$A$11,1)))+(MAX(Reference!$A$6,MIN(Reference!$A$11,MIN(D239,150)))-INDEX(Reference!$A$6:$A$11,MIN(5,MATCH(MAX(Reference!$A$6,MIN(Reference!$A$11,MIN(D239,150))),Reference!$A$6:$A$11,1))))*(INDEX(Reference!$B$6:$B$11,MIN(5,MATCH(MAX(Reference!$A$6,MIN(Reference!$A$11,MIN(D239,150))),Reference!$A$6:$A$11,1))+1)-INDEX(Reference!$B$6:$B$11,MIN(5,MATCH(MAX(Reference!$A$6,MIN(Reference!$A$11,MIN(D239,150))),Reference!$A$6:$A$11,1))))/(INDEX(Reference!$A$6:$A$11,MIN(5,MATCH(MAX(Reference!$A$6,MIN(Reference!$A$11,MIN(D239,150))),Reference!$A$6:$A$11,1))+1)-INDEX(Reference!$A$6:$A$11,MIN(5,MATCH(MAX(Reference!$A$6,MIN(Reference!$A$11,MIN(D239,150))),Reference!$A$6:$A$11,1))))),0)+IF(4&lt;=AE239,(AE239-4+3)*(INDEX(Reference!$B$6:$B$11,MIN(5,MATCH(MAX(Reference!$A$6,MIN(Reference!$A$11,MIN(D239,180))),Reference!$A$6:$A$11,1)))+(MAX(Reference!$A$6,MIN(Reference!$A$11,MIN(D239,180)))-INDEX(Reference!$A$6:$A$11,MIN(5,MATCH(MAX(Reference!$A$6,MIN(Reference!$A$11,MIN(D239,180))),Reference!$A$6:$A$11,1))))*(INDEX(Reference!$B$6:$B$11,MIN(5,MATCH(MAX(Reference!$A$6,MIN(Reference!$A$11,MIN(D239,180))),Reference!$A$6:$A$11,1))+1)-INDEX(Reference!$B$6:$B$11,MIN(5,MATCH(MAX(Reference!$A$6,MIN(Reference!$A$11,MIN(D239,180))),Reference!$A$6:$A$11,1))))/(INDEX(Reference!$A$6:$A$11,MIN(5,MATCH(MAX(Reference!$A$6,MIN(Reference!$A$11,MIN(D239,180))),Reference!$A$6:$A$11,1))+1)-INDEX(Reference!$A$6:$A$11,MIN(5,MATCH(MAX(Reference!$A$6,MIN(Reference!$A$11,MIN(D239,180))),Reference!$A$6:$A$11,1))))),0)+IF(5&lt;=AE239,(AE239-5+3)*(INDEX(Reference!$B$6:$B$11,MIN(5,MATCH(MAX(Reference!$A$6,MIN(Reference!$A$11,MIN(D239,210))),Reference!$A$6:$A$11,1)))+(MAX(Reference!$A$6,MIN(Reference!$A$11,MIN(D239,210)))-INDEX(Reference!$A$6:$A$11,MIN(5,MATCH(MAX(Reference!$A$6,MIN(Reference!$A$11,MIN(D239,210))),Reference!$A$6:$A$11,1))))*(INDEX(Reference!$B$6:$B$11,MIN(5,MATCH(MAX(Reference!$A$6,MIN(Reference!$A$11,MIN(D239,210))),Reference!$A$6:$A$11,1))+1)-INDEX(Reference!$B$6:$B$11,MIN(5,MATCH(MAX(Reference!$A$6,MIN(Reference!$A$11,MIN(D239,210))),Reference!$A$6:$A$11,1))))/(INDEX(Reference!$A$6:$A$11,MIN(5,MATCH(MAX(Reference!$A$6,MIN(Reference!$A$11,MIN(D239,210))),Reference!$A$6:$A$11,1))+1)-INDEX(Reference!$A$6:$A$11,MIN(5,MATCH(MAX(Reference!$A$6,MIN(Reference!$A$11,MIN(D239,210))),Reference!$A$6:$A$11,1))))),0)+IF(6&lt;=AE239,(AE239-6+3)*(INDEX(Reference!$B$6:$B$11,MIN(5,MATCH(MAX(Reference!$A$6,MIN(Reference!$A$11,MIN(D239,240))),Reference!$A$6:$A$11,1)))+(MAX(Reference!$A$6,MIN(Reference!$A$11,MIN(D239,240)))-INDEX(Reference!$A$6:$A$11,MIN(5,MATCH(MAX(Reference!$A$6,MIN(Reference!$A$11,MIN(D239,240))),Reference!$A$6:$A$11,1))))*(INDEX(Reference!$B$6:$B$11,MIN(5,MATCH(MAX(Reference!$A$6,MIN(Reference!$A$11,MIN(D239,240))),Reference!$A$6:$A$11,1))+1)-INDEX(Reference!$B$6:$B$11,MIN(5,MATCH(MAX(Reference!$A$6,MIN(Reference!$A$11,MIN(D239,240))),Reference!$A$6:$A$11,1))))/(INDEX(Reference!$A$6:$A$11,MIN(5,MATCH(MAX(Reference!$A$6,MIN(Reference!$A$11,MIN(D239,240))),Reference!$A$6:$A$11,1))+1)-INDEX(Reference!$A$6:$A$11,MIN(5,MATCH(MAX(Reference!$A$6,MIN(Reference!$A$11,MIN(D239,240))),Reference!$A$6:$A$11,1))))),0)+IF(7&lt;=AE239,(AE239-7+3)*(INDEX(Reference!$B$6:$B$11,MIN(5,MATCH(MAX(Reference!$A$6,MIN(Reference!$A$11,MIN(D239,270))),Reference!$A$6:$A$11,1)))+(MAX(Reference!$A$6,MIN(Reference!$A$11,MIN(D239,270)))-INDEX(Reference!$A$6:$A$11,MIN(5,MATCH(MAX(Reference!$A$6,MIN(Reference!$A$11,MIN(D239,270))),Reference!$A$6:$A$11,1))))*(INDEX(Reference!$B$6:$B$11,MIN(5,MATCH(MAX(Reference!$A$6,MIN(Reference!$A$11,MIN(D239,270))),Reference!$A$6:$A$11,1))+1)-INDEX(Reference!$B$6:$B$11,MIN(5,MATCH(MAX(Reference!$A$6,MIN(Reference!$A$11,MIN(D239,270))),Reference!$A$6:$A$11,1))))/(INDEX(Reference!$A$6:$A$11,MIN(5,MATCH(MAX(Reference!$A$6,MIN(Reference!$A$11,MIN(D239,270))),Reference!$A$6:$A$11,1))+1)-INDEX(Reference!$A$6:$A$11,MIN(5,MATCH(MAX(Reference!$A$6,MIN(Reference!$A$11,MIN(D239,270))),Reference!$A$6:$A$11,1))))),0)+IF(8&lt;=AE239,(AE239-8+3)*(INDEX(Reference!$B$6:$B$11,MIN(5,MATCH(MAX(Reference!$A$6,MIN(Reference!$A$11,MIN(D239,300))),Reference!$A$6:$A$11,1)))+(MAX(Reference!$A$6,MIN(Reference!$A$11,MIN(D239,300)))-INDEX(Reference!$A$6:$A$11,MIN(5,MATCH(MAX(Reference!$A$6,MIN(Reference!$A$11,MIN(D239,300))),Reference!$A$6:$A$11,1))))*(INDEX(Reference!$B$6:$B$11,MIN(5,MATCH(MAX(Reference!$A$6,MIN(Reference!$A$11,MIN(D239,300))),Reference!$A$6:$A$11,1))+1)-INDEX(Reference!$B$6:$B$11,MIN(5,MATCH(MAX(Reference!$A$6,MIN(Reference!$A$11,MIN(D239,300))),Reference!$A$6:$A$11,1))))/(INDEX(Reference!$A$6:$A$11,MIN(5,MATCH(MAX(Reference!$A$6,MIN(Reference!$A$11,MIN(D239,300))),Reference!$A$6:$A$11,1))+1)-INDEX(Reference!$A$6:$A$11,MIN(5,MATCH(MAX(Reference!$A$6,MIN(Reference!$A$11,MIN(D239,300))),Reference!$A$6:$A$11,1))))),0))/(AE239*(AE239+5)/2)),(INDEX(Reference!$B$6:$B$11,MIN(5,MATCH(MAX(Reference!$A$6,MIN(Reference!$A$11,D239)),Reference!$A$6:$A$11,1)))+(MAX(Reference!$A$6,MIN(Reference!$A$11,D239))-INDEX(Reference!$A$6:$A$11,MIN(5,MATCH(MAX(Reference!$A$6,MIN(Reference!$A$11,D239)),Reference!$A$6:$A$11,1))))*(INDEX(Reference!$B$6:$B$11,MIN(5,MATCH(MAX(Reference!$A$6,MIN(Reference!$A$11,D239)),Reference!$A$6:$A$11,1))+1)-INDEX(Reference!$B$6:$B$11,MIN(5,MATCH(MAX(Reference!$A$6,MIN(Reference!$A$11,D239)),Reference!$A$6:$A$11,1))))/(INDEX(Reference!$A$6:$A$11,MIN(5,MATCH(MAX(Reference!$A$6,MIN(Reference!$A$11,D239)),Reference!$A$6:$A$11,1))+1)-INDEX(Reference!$A$6:$A$11,MIN(5,MATCH(MAX(Reference!$A$6,MIN(Reference!$A$11,D239)),Reference!$A$6:$A$11,1))))))))</f>
        <v/>
      </c>
      <c r="P239" s="32" t="str">
        <f>IF(N239="","",VLOOKUP(MAX(N239,0),Reference!$A$17:$B$20,2,TRUE()))</f>
        <v/>
      </c>
      <c r="Q239" s="32" t="str">
        <f t="shared" si="30"/>
        <v/>
      </c>
      <c r="R239" s="31"/>
      <c r="S239" s="31"/>
      <c r="T239" s="31"/>
      <c r="U239" s="32" t="str">
        <f t="shared" si="31"/>
        <v/>
      </c>
      <c r="V239" s="32" t="str">
        <f t="shared" si="32"/>
        <v/>
      </c>
      <c r="W239" s="32" t="str">
        <f>IF(V239="","",VLOOKUP(MAX(V239,0),Reference!$A$17:$B$20,2,TRUE()))</f>
        <v/>
      </c>
      <c r="X239" s="31"/>
      <c r="Y239" s="31"/>
      <c r="Z239" s="31"/>
      <c r="AA239" s="32" t="str">
        <f t="shared" si="33"/>
        <v/>
      </c>
      <c r="AB239" s="32" t="str">
        <f t="shared" si="34"/>
        <v/>
      </c>
      <c r="AC239" s="32" t="str">
        <f>IF(AB239="","",VLOOKUP(MAX(AB239,0),Reference!$A$17:$B$20,2,TRUE()))</f>
        <v/>
      </c>
      <c r="AD239" s="31"/>
      <c r="AE239">
        <f t="shared" si="35"/>
        <v>1</v>
      </c>
      <c r="AF239" s="33" t="str">
        <f>IF(OR(A239="",B239="",AND(C239&lt;&gt;"Bullpen",C239&lt;&gt;"Game")),"",IF((COUNTIFS($B$5:$B$300,B239,$A$5:$A$300,A239-1,$C$5:$C$300,"Bullpen",$AG$5:$AG$300,"&gt;0") + COUNTIFS($B$5:$B$300,B239,$A$5:$A$300,A239-1,$C$5:$C$300,"Game",$AG$5:$AG$300,"&gt;0"))&gt;0,Reference!$B$119,IF((COUNTIFS($B$5:$B$300,B239,$A$5:$A$300,A239-2,$C$5:$C$300,"Bullpen",$AG$5:$AG$300,"&gt;0") + COUNTIFS($B$5:$B$300,B239,$A$5:$A$300,A239-2,$C$5:$C$300,"Game",$AG$5:$AG$300,"&gt;0"))&gt;0,Reference!$B$120,1)))</f>
        <v/>
      </c>
      <c r="AG239" s="30" t="str">
        <f>IF(AND(OR(I239="",O239="",P239=""),OR(R239="",W239=""),OR(X239="",AC239="")),"",IF(OR(I239="",O239="",P239=""),0,I239*O239*P239)+IF(OR(R239="",W239=""),0,R239*IFERROR(INDEX(Reference!$B$61:$B$62,MATCH("Bullpen",Reference!$A$61:$A$62,0)),0)*W239)+IF(OR(X239="",AC239=""),0,X239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239))</f>
        <v/>
      </c>
    </row>
    <row r="240" spans="1:33" x14ac:dyDescent="0.3">
      <c r="A240" s="35"/>
      <c r="B240" s="31"/>
      <c r="C240" s="31"/>
      <c r="D240" s="31"/>
      <c r="E240" s="34"/>
      <c r="F240" s="34"/>
      <c r="G240" s="30" t="str">
        <f t="shared" si="27"/>
        <v/>
      </c>
      <c r="H240" s="31"/>
      <c r="I240" s="32" t="str">
        <f>IF(H240&lt;&gt;"",H240,IF(G240="","",ROUND(G240*IFERROR(INDEX(Reference!$B$44:$B$50,MATCH(C240,Reference!$A$44:$A$50,0)),0),0)))</f>
        <v/>
      </c>
      <c r="J240" s="31"/>
      <c r="K240" s="31"/>
      <c r="L240" s="32" t="str">
        <f t="shared" si="28"/>
        <v/>
      </c>
      <c r="M240" s="32" t="str">
        <f>IFERROR(INDEX(Roster!$D$5:$D$40,MATCH(B240,Roster!$A$5:$A$40,0)),"")</f>
        <v/>
      </c>
      <c r="N240" s="32" t="str">
        <f t="shared" si="29"/>
        <v/>
      </c>
      <c r="O240" s="32" t="str">
        <f>IF(OR(C240="Bullpen",C240="Game"),IFERROR(INDEX(Reference!$B$61:$B$62,MATCH(C240,Reference!$A$61:$A$62,0)),""),IF(D240="","",IF(AE240&gt;1,((IF(1&lt;=AE240,(AE240-1+3)*(INDEX(Reference!$B$6:$B$11,MIN(5,MATCH(MAX(Reference!$A$6,MIN(Reference!$A$11,MIN(D240,90))),Reference!$A$6:$A$11,1)))+(MAX(Reference!$A$6,MIN(Reference!$A$11,MIN(D240,90)))-INDEX(Reference!$A$6:$A$11,MIN(5,MATCH(MAX(Reference!$A$6,MIN(Reference!$A$11,MIN(D240,90))),Reference!$A$6:$A$11,1))))*(INDEX(Reference!$B$6:$B$11,MIN(5,MATCH(MAX(Reference!$A$6,MIN(Reference!$A$11,MIN(D240,90))),Reference!$A$6:$A$11,1))+1)-INDEX(Reference!$B$6:$B$11,MIN(5,MATCH(MAX(Reference!$A$6,MIN(Reference!$A$11,MIN(D240,90))),Reference!$A$6:$A$11,1))))/(INDEX(Reference!$A$6:$A$11,MIN(5,MATCH(MAX(Reference!$A$6,MIN(Reference!$A$11,MIN(D240,90))),Reference!$A$6:$A$11,1))+1)-INDEX(Reference!$A$6:$A$11,MIN(5,MATCH(MAX(Reference!$A$6,MIN(Reference!$A$11,MIN(D240,90))),Reference!$A$6:$A$11,1))))),0)+IF(2&lt;=AE240,(AE240-2+3)*(INDEX(Reference!$B$6:$B$11,MIN(5,MATCH(MAX(Reference!$A$6,MIN(Reference!$A$11,MIN(D240,120))),Reference!$A$6:$A$11,1)))+(MAX(Reference!$A$6,MIN(Reference!$A$11,MIN(D240,120)))-INDEX(Reference!$A$6:$A$11,MIN(5,MATCH(MAX(Reference!$A$6,MIN(Reference!$A$11,MIN(D240,120))),Reference!$A$6:$A$11,1))))*(INDEX(Reference!$B$6:$B$11,MIN(5,MATCH(MAX(Reference!$A$6,MIN(Reference!$A$11,MIN(D240,120))),Reference!$A$6:$A$11,1))+1)-INDEX(Reference!$B$6:$B$11,MIN(5,MATCH(MAX(Reference!$A$6,MIN(Reference!$A$11,MIN(D240,120))),Reference!$A$6:$A$11,1))))/(INDEX(Reference!$A$6:$A$11,MIN(5,MATCH(MAX(Reference!$A$6,MIN(Reference!$A$11,MIN(D240,120))),Reference!$A$6:$A$11,1))+1)-INDEX(Reference!$A$6:$A$11,MIN(5,MATCH(MAX(Reference!$A$6,MIN(Reference!$A$11,MIN(D240,120))),Reference!$A$6:$A$11,1))))),0)+IF(3&lt;=AE240,(AE240-3+3)*(INDEX(Reference!$B$6:$B$11,MIN(5,MATCH(MAX(Reference!$A$6,MIN(Reference!$A$11,MIN(D240,150))),Reference!$A$6:$A$11,1)))+(MAX(Reference!$A$6,MIN(Reference!$A$11,MIN(D240,150)))-INDEX(Reference!$A$6:$A$11,MIN(5,MATCH(MAX(Reference!$A$6,MIN(Reference!$A$11,MIN(D240,150))),Reference!$A$6:$A$11,1))))*(INDEX(Reference!$B$6:$B$11,MIN(5,MATCH(MAX(Reference!$A$6,MIN(Reference!$A$11,MIN(D240,150))),Reference!$A$6:$A$11,1))+1)-INDEX(Reference!$B$6:$B$11,MIN(5,MATCH(MAX(Reference!$A$6,MIN(Reference!$A$11,MIN(D240,150))),Reference!$A$6:$A$11,1))))/(INDEX(Reference!$A$6:$A$11,MIN(5,MATCH(MAX(Reference!$A$6,MIN(Reference!$A$11,MIN(D240,150))),Reference!$A$6:$A$11,1))+1)-INDEX(Reference!$A$6:$A$11,MIN(5,MATCH(MAX(Reference!$A$6,MIN(Reference!$A$11,MIN(D240,150))),Reference!$A$6:$A$11,1))))),0)+IF(4&lt;=AE240,(AE240-4+3)*(INDEX(Reference!$B$6:$B$11,MIN(5,MATCH(MAX(Reference!$A$6,MIN(Reference!$A$11,MIN(D240,180))),Reference!$A$6:$A$11,1)))+(MAX(Reference!$A$6,MIN(Reference!$A$11,MIN(D240,180)))-INDEX(Reference!$A$6:$A$11,MIN(5,MATCH(MAX(Reference!$A$6,MIN(Reference!$A$11,MIN(D240,180))),Reference!$A$6:$A$11,1))))*(INDEX(Reference!$B$6:$B$11,MIN(5,MATCH(MAX(Reference!$A$6,MIN(Reference!$A$11,MIN(D240,180))),Reference!$A$6:$A$11,1))+1)-INDEX(Reference!$B$6:$B$11,MIN(5,MATCH(MAX(Reference!$A$6,MIN(Reference!$A$11,MIN(D240,180))),Reference!$A$6:$A$11,1))))/(INDEX(Reference!$A$6:$A$11,MIN(5,MATCH(MAX(Reference!$A$6,MIN(Reference!$A$11,MIN(D240,180))),Reference!$A$6:$A$11,1))+1)-INDEX(Reference!$A$6:$A$11,MIN(5,MATCH(MAX(Reference!$A$6,MIN(Reference!$A$11,MIN(D240,180))),Reference!$A$6:$A$11,1))))),0)+IF(5&lt;=AE240,(AE240-5+3)*(INDEX(Reference!$B$6:$B$11,MIN(5,MATCH(MAX(Reference!$A$6,MIN(Reference!$A$11,MIN(D240,210))),Reference!$A$6:$A$11,1)))+(MAX(Reference!$A$6,MIN(Reference!$A$11,MIN(D240,210)))-INDEX(Reference!$A$6:$A$11,MIN(5,MATCH(MAX(Reference!$A$6,MIN(Reference!$A$11,MIN(D240,210))),Reference!$A$6:$A$11,1))))*(INDEX(Reference!$B$6:$B$11,MIN(5,MATCH(MAX(Reference!$A$6,MIN(Reference!$A$11,MIN(D240,210))),Reference!$A$6:$A$11,1))+1)-INDEX(Reference!$B$6:$B$11,MIN(5,MATCH(MAX(Reference!$A$6,MIN(Reference!$A$11,MIN(D240,210))),Reference!$A$6:$A$11,1))))/(INDEX(Reference!$A$6:$A$11,MIN(5,MATCH(MAX(Reference!$A$6,MIN(Reference!$A$11,MIN(D240,210))),Reference!$A$6:$A$11,1))+1)-INDEX(Reference!$A$6:$A$11,MIN(5,MATCH(MAX(Reference!$A$6,MIN(Reference!$A$11,MIN(D240,210))),Reference!$A$6:$A$11,1))))),0)+IF(6&lt;=AE240,(AE240-6+3)*(INDEX(Reference!$B$6:$B$11,MIN(5,MATCH(MAX(Reference!$A$6,MIN(Reference!$A$11,MIN(D240,240))),Reference!$A$6:$A$11,1)))+(MAX(Reference!$A$6,MIN(Reference!$A$11,MIN(D240,240)))-INDEX(Reference!$A$6:$A$11,MIN(5,MATCH(MAX(Reference!$A$6,MIN(Reference!$A$11,MIN(D240,240))),Reference!$A$6:$A$11,1))))*(INDEX(Reference!$B$6:$B$11,MIN(5,MATCH(MAX(Reference!$A$6,MIN(Reference!$A$11,MIN(D240,240))),Reference!$A$6:$A$11,1))+1)-INDEX(Reference!$B$6:$B$11,MIN(5,MATCH(MAX(Reference!$A$6,MIN(Reference!$A$11,MIN(D240,240))),Reference!$A$6:$A$11,1))))/(INDEX(Reference!$A$6:$A$11,MIN(5,MATCH(MAX(Reference!$A$6,MIN(Reference!$A$11,MIN(D240,240))),Reference!$A$6:$A$11,1))+1)-INDEX(Reference!$A$6:$A$11,MIN(5,MATCH(MAX(Reference!$A$6,MIN(Reference!$A$11,MIN(D240,240))),Reference!$A$6:$A$11,1))))),0)+IF(7&lt;=AE240,(AE240-7+3)*(INDEX(Reference!$B$6:$B$11,MIN(5,MATCH(MAX(Reference!$A$6,MIN(Reference!$A$11,MIN(D240,270))),Reference!$A$6:$A$11,1)))+(MAX(Reference!$A$6,MIN(Reference!$A$11,MIN(D240,270)))-INDEX(Reference!$A$6:$A$11,MIN(5,MATCH(MAX(Reference!$A$6,MIN(Reference!$A$11,MIN(D240,270))),Reference!$A$6:$A$11,1))))*(INDEX(Reference!$B$6:$B$11,MIN(5,MATCH(MAX(Reference!$A$6,MIN(Reference!$A$11,MIN(D240,270))),Reference!$A$6:$A$11,1))+1)-INDEX(Reference!$B$6:$B$11,MIN(5,MATCH(MAX(Reference!$A$6,MIN(Reference!$A$11,MIN(D240,270))),Reference!$A$6:$A$11,1))))/(INDEX(Reference!$A$6:$A$11,MIN(5,MATCH(MAX(Reference!$A$6,MIN(Reference!$A$11,MIN(D240,270))),Reference!$A$6:$A$11,1))+1)-INDEX(Reference!$A$6:$A$11,MIN(5,MATCH(MAX(Reference!$A$6,MIN(Reference!$A$11,MIN(D240,270))),Reference!$A$6:$A$11,1))))),0)+IF(8&lt;=AE240,(AE240-8+3)*(INDEX(Reference!$B$6:$B$11,MIN(5,MATCH(MAX(Reference!$A$6,MIN(Reference!$A$11,MIN(D240,300))),Reference!$A$6:$A$11,1)))+(MAX(Reference!$A$6,MIN(Reference!$A$11,MIN(D240,300)))-INDEX(Reference!$A$6:$A$11,MIN(5,MATCH(MAX(Reference!$A$6,MIN(Reference!$A$11,MIN(D240,300))),Reference!$A$6:$A$11,1))))*(INDEX(Reference!$B$6:$B$11,MIN(5,MATCH(MAX(Reference!$A$6,MIN(Reference!$A$11,MIN(D240,300))),Reference!$A$6:$A$11,1))+1)-INDEX(Reference!$B$6:$B$11,MIN(5,MATCH(MAX(Reference!$A$6,MIN(Reference!$A$11,MIN(D240,300))),Reference!$A$6:$A$11,1))))/(INDEX(Reference!$A$6:$A$11,MIN(5,MATCH(MAX(Reference!$A$6,MIN(Reference!$A$11,MIN(D240,300))),Reference!$A$6:$A$11,1))+1)-INDEX(Reference!$A$6:$A$11,MIN(5,MATCH(MAX(Reference!$A$6,MIN(Reference!$A$11,MIN(D240,300))),Reference!$A$6:$A$11,1))))),0))/(AE240*(AE240+5)/2)),(INDEX(Reference!$B$6:$B$11,MIN(5,MATCH(MAX(Reference!$A$6,MIN(Reference!$A$11,D240)),Reference!$A$6:$A$11,1)))+(MAX(Reference!$A$6,MIN(Reference!$A$11,D240))-INDEX(Reference!$A$6:$A$11,MIN(5,MATCH(MAX(Reference!$A$6,MIN(Reference!$A$11,D240)),Reference!$A$6:$A$11,1))))*(INDEX(Reference!$B$6:$B$11,MIN(5,MATCH(MAX(Reference!$A$6,MIN(Reference!$A$11,D240)),Reference!$A$6:$A$11,1))+1)-INDEX(Reference!$B$6:$B$11,MIN(5,MATCH(MAX(Reference!$A$6,MIN(Reference!$A$11,D240)),Reference!$A$6:$A$11,1))))/(INDEX(Reference!$A$6:$A$11,MIN(5,MATCH(MAX(Reference!$A$6,MIN(Reference!$A$11,D240)),Reference!$A$6:$A$11,1))+1)-INDEX(Reference!$A$6:$A$11,MIN(5,MATCH(MAX(Reference!$A$6,MIN(Reference!$A$11,D240)),Reference!$A$6:$A$11,1))))))))</f>
        <v/>
      </c>
      <c r="P240" s="32" t="str">
        <f>IF(N240="","",VLOOKUP(MAX(N240,0),Reference!$A$17:$B$20,2,TRUE()))</f>
        <v/>
      </c>
      <c r="Q240" s="32" t="str">
        <f t="shared" si="30"/>
        <v/>
      </c>
      <c r="R240" s="31"/>
      <c r="S240" s="31"/>
      <c r="T240" s="31"/>
      <c r="U240" s="32" t="str">
        <f t="shared" si="31"/>
        <v/>
      </c>
      <c r="V240" s="32" t="str">
        <f t="shared" si="32"/>
        <v/>
      </c>
      <c r="W240" s="32" t="str">
        <f>IF(V240="","",VLOOKUP(MAX(V240,0),Reference!$A$17:$B$20,2,TRUE()))</f>
        <v/>
      </c>
      <c r="X240" s="31"/>
      <c r="Y240" s="31"/>
      <c r="Z240" s="31"/>
      <c r="AA240" s="32" t="str">
        <f t="shared" si="33"/>
        <v/>
      </c>
      <c r="AB240" s="32" t="str">
        <f t="shared" si="34"/>
        <v/>
      </c>
      <c r="AC240" s="32" t="str">
        <f>IF(AB240="","",VLOOKUP(MAX(AB240,0),Reference!$A$17:$B$20,2,TRUE()))</f>
        <v/>
      </c>
      <c r="AD240" s="31"/>
      <c r="AE240">
        <f t="shared" si="35"/>
        <v>1</v>
      </c>
      <c r="AF240" s="33" t="str">
        <f>IF(OR(A240="",B240="",AND(C240&lt;&gt;"Bullpen",C240&lt;&gt;"Game")),"",IF((COUNTIFS($B$5:$B$300,B240,$A$5:$A$300,A240-1,$C$5:$C$300,"Bullpen",$AG$5:$AG$300,"&gt;0") + COUNTIFS($B$5:$B$300,B240,$A$5:$A$300,A240-1,$C$5:$C$300,"Game",$AG$5:$AG$300,"&gt;0"))&gt;0,Reference!$B$119,IF((COUNTIFS($B$5:$B$300,B240,$A$5:$A$300,A240-2,$C$5:$C$300,"Bullpen",$AG$5:$AG$300,"&gt;0") + COUNTIFS($B$5:$B$300,B240,$A$5:$A$300,A240-2,$C$5:$C$300,"Game",$AG$5:$AG$300,"&gt;0"))&gt;0,Reference!$B$120,1)))</f>
        <v/>
      </c>
      <c r="AG240" s="30" t="str">
        <f>IF(AND(OR(I240="",O240="",P240=""),OR(R240="",W240=""),OR(X240="",AC240="")),"",IF(OR(I240="",O240="",P240=""),0,I240*O240*P240)+IF(OR(R240="",W240=""),0,R240*IFERROR(INDEX(Reference!$B$61:$B$62,MATCH("Bullpen",Reference!$A$61:$A$62,0)),0)*W240)+IF(OR(X240="",AC240=""),0,X240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240))</f>
        <v/>
      </c>
    </row>
    <row r="241" spans="1:33" x14ac:dyDescent="0.3">
      <c r="A241" s="35"/>
      <c r="B241" s="31"/>
      <c r="C241" s="31"/>
      <c r="D241" s="31"/>
      <c r="E241" s="34"/>
      <c r="F241" s="34"/>
      <c r="G241" s="30" t="str">
        <f t="shared" si="27"/>
        <v/>
      </c>
      <c r="H241" s="31"/>
      <c r="I241" s="32" t="str">
        <f>IF(H241&lt;&gt;"",H241,IF(G241="","",ROUND(G241*IFERROR(INDEX(Reference!$B$44:$B$50,MATCH(C241,Reference!$A$44:$A$50,0)),0),0)))</f>
        <v/>
      </c>
      <c r="J241" s="31"/>
      <c r="K241" s="31"/>
      <c r="L241" s="32" t="str">
        <f t="shared" si="28"/>
        <v/>
      </c>
      <c r="M241" s="32" t="str">
        <f>IFERROR(INDEX(Roster!$D$5:$D$40,MATCH(B241,Roster!$A$5:$A$40,0)),"")</f>
        <v/>
      </c>
      <c r="N241" s="32" t="str">
        <f t="shared" si="29"/>
        <v/>
      </c>
      <c r="O241" s="32" t="str">
        <f>IF(OR(C241="Bullpen",C241="Game"),IFERROR(INDEX(Reference!$B$61:$B$62,MATCH(C241,Reference!$A$61:$A$62,0)),""),IF(D241="","",IF(AE241&gt;1,((IF(1&lt;=AE241,(AE241-1+3)*(INDEX(Reference!$B$6:$B$11,MIN(5,MATCH(MAX(Reference!$A$6,MIN(Reference!$A$11,MIN(D241,90))),Reference!$A$6:$A$11,1)))+(MAX(Reference!$A$6,MIN(Reference!$A$11,MIN(D241,90)))-INDEX(Reference!$A$6:$A$11,MIN(5,MATCH(MAX(Reference!$A$6,MIN(Reference!$A$11,MIN(D241,90))),Reference!$A$6:$A$11,1))))*(INDEX(Reference!$B$6:$B$11,MIN(5,MATCH(MAX(Reference!$A$6,MIN(Reference!$A$11,MIN(D241,90))),Reference!$A$6:$A$11,1))+1)-INDEX(Reference!$B$6:$B$11,MIN(5,MATCH(MAX(Reference!$A$6,MIN(Reference!$A$11,MIN(D241,90))),Reference!$A$6:$A$11,1))))/(INDEX(Reference!$A$6:$A$11,MIN(5,MATCH(MAX(Reference!$A$6,MIN(Reference!$A$11,MIN(D241,90))),Reference!$A$6:$A$11,1))+1)-INDEX(Reference!$A$6:$A$11,MIN(5,MATCH(MAX(Reference!$A$6,MIN(Reference!$A$11,MIN(D241,90))),Reference!$A$6:$A$11,1))))),0)+IF(2&lt;=AE241,(AE241-2+3)*(INDEX(Reference!$B$6:$B$11,MIN(5,MATCH(MAX(Reference!$A$6,MIN(Reference!$A$11,MIN(D241,120))),Reference!$A$6:$A$11,1)))+(MAX(Reference!$A$6,MIN(Reference!$A$11,MIN(D241,120)))-INDEX(Reference!$A$6:$A$11,MIN(5,MATCH(MAX(Reference!$A$6,MIN(Reference!$A$11,MIN(D241,120))),Reference!$A$6:$A$11,1))))*(INDEX(Reference!$B$6:$B$11,MIN(5,MATCH(MAX(Reference!$A$6,MIN(Reference!$A$11,MIN(D241,120))),Reference!$A$6:$A$11,1))+1)-INDEX(Reference!$B$6:$B$11,MIN(5,MATCH(MAX(Reference!$A$6,MIN(Reference!$A$11,MIN(D241,120))),Reference!$A$6:$A$11,1))))/(INDEX(Reference!$A$6:$A$11,MIN(5,MATCH(MAX(Reference!$A$6,MIN(Reference!$A$11,MIN(D241,120))),Reference!$A$6:$A$11,1))+1)-INDEX(Reference!$A$6:$A$11,MIN(5,MATCH(MAX(Reference!$A$6,MIN(Reference!$A$11,MIN(D241,120))),Reference!$A$6:$A$11,1))))),0)+IF(3&lt;=AE241,(AE241-3+3)*(INDEX(Reference!$B$6:$B$11,MIN(5,MATCH(MAX(Reference!$A$6,MIN(Reference!$A$11,MIN(D241,150))),Reference!$A$6:$A$11,1)))+(MAX(Reference!$A$6,MIN(Reference!$A$11,MIN(D241,150)))-INDEX(Reference!$A$6:$A$11,MIN(5,MATCH(MAX(Reference!$A$6,MIN(Reference!$A$11,MIN(D241,150))),Reference!$A$6:$A$11,1))))*(INDEX(Reference!$B$6:$B$11,MIN(5,MATCH(MAX(Reference!$A$6,MIN(Reference!$A$11,MIN(D241,150))),Reference!$A$6:$A$11,1))+1)-INDEX(Reference!$B$6:$B$11,MIN(5,MATCH(MAX(Reference!$A$6,MIN(Reference!$A$11,MIN(D241,150))),Reference!$A$6:$A$11,1))))/(INDEX(Reference!$A$6:$A$11,MIN(5,MATCH(MAX(Reference!$A$6,MIN(Reference!$A$11,MIN(D241,150))),Reference!$A$6:$A$11,1))+1)-INDEX(Reference!$A$6:$A$11,MIN(5,MATCH(MAX(Reference!$A$6,MIN(Reference!$A$11,MIN(D241,150))),Reference!$A$6:$A$11,1))))),0)+IF(4&lt;=AE241,(AE241-4+3)*(INDEX(Reference!$B$6:$B$11,MIN(5,MATCH(MAX(Reference!$A$6,MIN(Reference!$A$11,MIN(D241,180))),Reference!$A$6:$A$11,1)))+(MAX(Reference!$A$6,MIN(Reference!$A$11,MIN(D241,180)))-INDEX(Reference!$A$6:$A$11,MIN(5,MATCH(MAX(Reference!$A$6,MIN(Reference!$A$11,MIN(D241,180))),Reference!$A$6:$A$11,1))))*(INDEX(Reference!$B$6:$B$11,MIN(5,MATCH(MAX(Reference!$A$6,MIN(Reference!$A$11,MIN(D241,180))),Reference!$A$6:$A$11,1))+1)-INDEX(Reference!$B$6:$B$11,MIN(5,MATCH(MAX(Reference!$A$6,MIN(Reference!$A$11,MIN(D241,180))),Reference!$A$6:$A$11,1))))/(INDEX(Reference!$A$6:$A$11,MIN(5,MATCH(MAX(Reference!$A$6,MIN(Reference!$A$11,MIN(D241,180))),Reference!$A$6:$A$11,1))+1)-INDEX(Reference!$A$6:$A$11,MIN(5,MATCH(MAX(Reference!$A$6,MIN(Reference!$A$11,MIN(D241,180))),Reference!$A$6:$A$11,1))))),0)+IF(5&lt;=AE241,(AE241-5+3)*(INDEX(Reference!$B$6:$B$11,MIN(5,MATCH(MAX(Reference!$A$6,MIN(Reference!$A$11,MIN(D241,210))),Reference!$A$6:$A$11,1)))+(MAX(Reference!$A$6,MIN(Reference!$A$11,MIN(D241,210)))-INDEX(Reference!$A$6:$A$11,MIN(5,MATCH(MAX(Reference!$A$6,MIN(Reference!$A$11,MIN(D241,210))),Reference!$A$6:$A$11,1))))*(INDEX(Reference!$B$6:$B$11,MIN(5,MATCH(MAX(Reference!$A$6,MIN(Reference!$A$11,MIN(D241,210))),Reference!$A$6:$A$11,1))+1)-INDEX(Reference!$B$6:$B$11,MIN(5,MATCH(MAX(Reference!$A$6,MIN(Reference!$A$11,MIN(D241,210))),Reference!$A$6:$A$11,1))))/(INDEX(Reference!$A$6:$A$11,MIN(5,MATCH(MAX(Reference!$A$6,MIN(Reference!$A$11,MIN(D241,210))),Reference!$A$6:$A$11,1))+1)-INDEX(Reference!$A$6:$A$11,MIN(5,MATCH(MAX(Reference!$A$6,MIN(Reference!$A$11,MIN(D241,210))),Reference!$A$6:$A$11,1))))),0)+IF(6&lt;=AE241,(AE241-6+3)*(INDEX(Reference!$B$6:$B$11,MIN(5,MATCH(MAX(Reference!$A$6,MIN(Reference!$A$11,MIN(D241,240))),Reference!$A$6:$A$11,1)))+(MAX(Reference!$A$6,MIN(Reference!$A$11,MIN(D241,240)))-INDEX(Reference!$A$6:$A$11,MIN(5,MATCH(MAX(Reference!$A$6,MIN(Reference!$A$11,MIN(D241,240))),Reference!$A$6:$A$11,1))))*(INDEX(Reference!$B$6:$B$11,MIN(5,MATCH(MAX(Reference!$A$6,MIN(Reference!$A$11,MIN(D241,240))),Reference!$A$6:$A$11,1))+1)-INDEX(Reference!$B$6:$B$11,MIN(5,MATCH(MAX(Reference!$A$6,MIN(Reference!$A$11,MIN(D241,240))),Reference!$A$6:$A$11,1))))/(INDEX(Reference!$A$6:$A$11,MIN(5,MATCH(MAX(Reference!$A$6,MIN(Reference!$A$11,MIN(D241,240))),Reference!$A$6:$A$11,1))+1)-INDEX(Reference!$A$6:$A$11,MIN(5,MATCH(MAX(Reference!$A$6,MIN(Reference!$A$11,MIN(D241,240))),Reference!$A$6:$A$11,1))))),0)+IF(7&lt;=AE241,(AE241-7+3)*(INDEX(Reference!$B$6:$B$11,MIN(5,MATCH(MAX(Reference!$A$6,MIN(Reference!$A$11,MIN(D241,270))),Reference!$A$6:$A$11,1)))+(MAX(Reference!$A$6,MIN(Reference!$A$11,MIN(D241,270)))-INDEX(Reference!$A$6:$A$11,MIN(5,MATCH(MAX(Reference!$A$6,MIN(Reference!$A$11,MIN(D241,270))),Reference!$A$6:$A$11,1))))*(INDEX(Reference!$B$6:$B$11,MIN(5,MATCH(MAX(Reference!$A$6,MIN(Reference!$A$11,MIN(D241,270))),Reference!$A$6:$A$11,1))+1)-INDEX(Reference!$B$6:$B$11,MIN(5,MATCH(MAX(Reference!$A$6,MIN(Reference!$A$11,MIN(D241,270))),Reference!$A$6:$A$11,1))))/(INDEX(Reference!$A$6:$A$11,MIN(5,MATCH(MAX(Reference!$A$6,MIN(Reference!$A$11,MIN(D241,270))),Reference!$A$6:$A$11,1))+1)-INDEX(Reference!$A$6:$A$11,MIN(5,MATCH(MAX(Reference!$A$6,MIN(Reference!$A$11,MIN(D241,270))),Reference!$A$6:$A$11,1))))),0)+IF(8&lt;=AE241,(AE241-8+3)*(INDEX(Reference!$B$6:$B$11,MIN(5,MATCH(MAX(Reference!$A$6,MIN(Reference!$A$11,MIN(D241,300))),Reference!$A$6:$A$11,1)))+(MAX(Reference!$A$6,MIN(Reference!$A$11,MIN(D241,300)))-INDEX(Reference!$A$6:$A$11,MIN(5,MATCH(MAX(Reference!$A$6,MIN(Reference!$A$11,MIN(D241,300))),Reference!$A$6:$A$11,1))))*(INDEX(Reference!$B$6:$B$11,MIN(5,MATCH(MAX(Reference!$A$6,MIN(Reference!$A$11,MIN(D241,300))),Reference!$A$6:$A$11,1))+1)-INDEX(Reference!$B$6:$B$11,MIN(5,MATCH(MAX(Reference!$A$6,MIN(Reference!$A$11,MIN(D241,300))),Reference!$A$6:$A$11,1))))/(INDEX(Reference!$A$6:$A$11,MIN(5,MATCH(MAX(Reference!$A$6,MIN(Reference!$A$11,MIN(D241,300))),Reference!$A$6:$A$11,1))+1)-INDEX(Reference!$A$6:$A$11,MIN(5,MATCH(MAX(Reference!$A$6,MIN(Reference!$A$11,MIN(D241,300))),Reference!$A$6:$A$11,1))))),0))/(AE241*(AE241+5)/2)),(INDEX(Reference!$B$6:$B$11,MIN(5,MATCH(MAX(Reference!$A$6,MIN(Reference!$A$11,D241)),Reference!$A$6:$A$11,1)))+(MAX(Reference!$A$6,MIN(Reference!$A$11,D241))-INDEX(Reference!$A$6:$A$11,MIN(5,MATCH(MAX(Reference!$A$6,MIN(Reference!$A$11,D241)),Reference!$A$6:$A$11,1))))*(INDEX(Reference!$B$6:$B$11,MIN(5,MATCH(MAX(Reference!$A$6,MIN(Reference!$A$11,D241)),Reference!$A$6:$A$11,1))+1)-INDEX(Reference!$B$6:$B$11,MIN(5,MATCH(MAX(Reference!$A$6,MIN(Reference!$A$11,D241)),Reference!$A$6:$A$11,1))))/(INDEX(Reference!$A$6:$A$11,MIN(5,MATCH(MAX(Reference!$A$6,MIN(Reference!$A$11,D241)),Reference!$A$6:$A$11,1))+1)-INDEX(Reference!$A$6:$A$11,MIN(5,MATCH(MAX(Reference!$A$6,MIN(Reference!$A$11,D241)),Reference!$A$6:$A$11,1))))))))</f>
        <v/>
      </c>
      <c r="P241" s="32" t="str">
        <f>IF(N241="","",VLOOKUP(MAX(N241,0),Reference!$A$17:$B$20,2,TRUE()))</f>
        <v/>
      </c>
      <c r="Q241" s="32" t="str">
        <f t="shared" si="30"/>
        <v/>
      </c>
      <c r="R241" s="31"/>
      <c r="S241" s="31"/>
      <c r="T241" s="31"/>
      <c r="U241" s="32" t="str">
        <f t="shared" si="31"/>
        <v/>
      </c>
      <c r="V241" s="32" t="str">
        <f t="shared" si="32"/>
        <v/>
      </c>
      <c r="W241" s="32" t="str">
        <f>IF(V241="","",VLOOKUP(MAX(V241,0),Reference!$A$17:$B$20,2,TRUE()))</f>
        <v/>
      </c>
      <c r="X241" s="31"/>
      <c r="Y241" s="31"/>
      <c r="Z241" s="31"/>
      <c r="AA241" s="32" t="str">
        <f t="shared" si="33"/>
        <v/>
      </c>
      <c r="AB241" s="32" t="str">
        <f t="shared" si="34"/>
        <v/>
      </c>
      <c r="AC241" s="32" t="str">
        <f>IF(AB241="","",VLOOKUP(MAX(AB241,0),Reference!$A$17:$B$20,2,TRUE()))</f>
        <v/>
      </c>
      <c r="AD241" s="31"/>
      <c r="AE241">
        <f t="shared" si="35"/>
        <v>1</v>
      </c>
      <c r="AF241" s="33" t="str">
        <f>IF(OR(A241="",B241="",AND(C241&lt;&gt;"Bullpen",C241&lt;&gt;"Game")),"",IF((COUNTIFS($B$5:$B$300,B241,$A$5:$A$300,A241-1,$C$5:$C$300,"Bullpen",$AG$5:$AG$300,"&gt;0") + COUNTIFS($B$5:$B$300,B241,$A$5:$A$300,A241-1,$C$5:$C$300,"Game",$AG$5:$AG$300,"&gt;0"))&gt;0,Reference!$B$119,IF((COUNTIFS($B$5:$B$300,B241,$A$5:$A$300,A241-2,$C$5:$C$300,"Bullpen",$AG$5:$AG$300,"&gt;0") + COUNTIFS($B$5:$B$300,B241,$A$5:$A$300,A241-2,$C$5:$C$300,"Game",$AG$5:$AG$300,"&gt;0"))&gt;0,Reference!$B$120,1)))</f>
        <v/>
      </c>
      <c r="AG241" s="30" t="str">
        <f>IF(AND(OR(I241="",O241="",P241=""),OR(R241="",W241=""),OR(X241="",AC241="")),"",IF(OR(I241="",O241="",P241=""),0,I241*O241*P241)+IF(OR(R241="",W241=""),0,R241*IFERROR(INDEX(Reference!$B$61:$B$62,MATCH("Bullpen",Reference!$A$61:$A$62,0)),0)*W241)+IF(OR(X241="",AC241=""),0,X241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241))</f>
        <v/>
      </c>
    </row>
    <row r="242" spans="1:33" x14ac:dyDescent="0.3">
      <c r="A242" s="35"/>
      <c r="B242" s="31"/>
      <c r="C242" s="31"/>
      <c r="D242" s="31"/>
      <c r="E242" s="34"/>
      <c r="F242" s="34"/>
      <c r="G242" s="30" t="str">
        <f t="shared" si="27"/>
        <v/>
      </c>
      <c r="H242" s="31"/>
      <c r="I242" s="32" t="str">
        <f>IF(H242&lt;&gt;"",H242,IF(G242="","",ROUND(G242*IFERROR(INDEX(Reference!$B$44:$B$50,MATCH(C242,Reference!$A$44:$A$50,0)),0),0)))</f>
        <v/>
      </c>
      <c r="J242" s="31"/>
      <c r="K242" s="31"/>
      <c r="L242" s="32" t="str">
        <f t="shared" si="28"/>
        <v/>
      </c>
      <c r="M242" s="32" t="str">
        <f>IFERROR(INDEX(Roster!$D$5:$D$40,MATCH(B242,Roster!$A$5:$A$40,0)),"")</f>
        <v/>
      </c>
      <c r="N242" s="32" t="str">
        <f t="shared" si="29"/>
        <v/>
      </c>
      <c r="O242" s="32" t="str">
        <f>IF(OR(C242="Bullpen",C242="Game"),IFERROR(INDEX(Reference!$B$61:$B$62,MATCH(C242,Reference!$A$61:$A$62,0)),""),IF(D242="","",IF(AE242&gt;1,((IF(1&lt;=AE242,(AE242-1+3)*(INDEX(Reference!$B$6:$B$11,MIN(5,MATCH(MAX(Reference!$A$6,MIN(Reference!$A$11,MIN(D242,90))),Reference!$A$6:$A$11,1)))+(MAX(Reference!$A$6,MIN(Reference!$A$11,MIN(D242,90)))-INDEX(Reference!$A$6:$A$11,MIN(5,MATCH(MAX(Reference!$A$6,MIN(Reference!$A$11,MIN(D242,90))),Reference!$A$6:$A$11,1))))*(INDEX(Reference!$B$6:$B$11,MIN(5,MATCH(MAX(Reference!$A$6,MIN(Reference!$A$11,MIN(D242,90))),Reference!$A$6:$A$11,1))+1)-INDEX(Reference!$B$6:$B$11,MIN(5,MATCH(MAX(Reference!$A$6,MIN(Reference!$A$11,MIN(D242,90))),Reference!$A$6:$A$11,1))))/(INDEX(Reference!$A$6:$A$11,MIN(5,MATCH(MAX(Reference!$A$6,MIN(Reference!$A$11,MIN(D242,90))),Reference!$A$6:$A$11,1))+1)-INDEX(Reference!$A$6:$A$11,MIN(5,MATCH(MAX(Reference!$A$6,MIN(Reference!$A$11,MIN(D242,90))),Reference!$A$6:$A$11,1))))),0)+IF(2&lt;=AE242,(AE242-2+3)*(INDEX(Reference!$B$6:$B$11,MIN(5,MATCH(MAX(Reference!$A$6,MIN(Reference!$A$11,MIN(D242,120))),Reference!$A$6:$A$11,1)))+(MAX(Reference!$A$6,MIN(Reference!$A$11,MIN(D242,120)))-INDEX(Reference!$A$6:$A$11,MIN(5,MATCH(MAX(Reference!$A$6,MIN(Reference!$A$11,MIN(D242,120))),Reference!$A$6:$A$11,1))))*(INDEX(Reference!$B$6:$B$11,MIN(5,MATCH(MAX(Reference!$A$6,MIN(Reference!$A$11,MIN(D242,120))),Reference!$A$6:$A$11,1))+1)-INDEX(Reference!$B$6:$B$11,MIN(5,MATCH(MAX(Reference!$A$6,MIN(Reference!$A$11,MIN(D242,120))),Reference!$A$6:$A$11,1))))/(INDEX(Reference!$A$6:$A$11,MIN(5,MATCH(MAX(Reference!$A$6,MIN(Reference!$A$11,MIN(D242,120))),Reference!$A$6:$A$11,1))+1)-INDEX(Reference!$A$6:$A$11,MIN(5,MATCH(MAX(Reference!$A$6,MIN(Reference!$A$11,MIN(D242,120))),Reference!$A$6:$A$11,1))))),0)+IF(3&lt;=AE242,(AE242-3+3)*(INDEX(Reference!$B$6:$B$11,MIN(5,MATCH(MAX(Reference!$A$6,MIN(Reference!$A$11,MIN(D242,150))),Reference!$A$6:$A$11,1)))+(MAX(Reference!$A$6,MIN(Reference!$A$11,MIN(D242,150)))-INDEX(Reference!$A$6:$A$11,MIN(5,MATCH(MAX(Reference!$A$6,MIN(Reference!$A$11,MIN(D242,150))),Reference!$A$6:$A$11,1))))*(INDEX(Reference!$B$6:$B$11,MIN(5,MATCH(MAX(Reference!$A$6,MIN(Reference!$A$11,MIN(D242,150))),Reference!$A$6:$A$11,1))+1)-INDEX(Reference!$B$6:$B$11,MIN(5,MATCH(MAX(Reference!$A$6,MIN(Reference!$A$11,MIN(D242,150))),Reference!$A$6:$A$11,1))))/(INDEX(Reference!$A$6:$A$11,MIN(5,MATCH(MAX(Reference!$A$6,MIN(Reference!$A$11,MIN(D242,150))),Reference!$A$6:$A$11,1))+1)-INDEX(Reference!$A$6:$A$11,MIN(5,MATCH(MAX(Reference!$A$6,MIN(Reference!$A$11,MIN(D242,150))),Reference!$A$6:$A$11,1))))),0)+IF(4&lt;=AE242,(AE242-4+3)*(INDEX(Reference!$B$6:$B$11,MIN(5,MATCH(MAX(Reference!$A$6,MIN(Reference!$A$11,MIN(D242,180))),Reference!$A$6:$A$11,1)))+(MAX(Reference!$A$6,MIN(Reference!$A$11,MIN(D242,180)))-INDEX(Reference!$A$6:$A$11,MIN(5,MATCH(MAX(Reference!$A$6,MIN(Reference!$A$11,MIN(D242,180))),Reference!$A$6:$A$11,1))))*(INDEX(Reference!$B$6:$B$11,MIN(5,MATCH(MAX(Reference!$A$6,MIN(Reference!$A$11,MIN(D242,180))),Reference!$A$6:$A$11,1))+1)-INDEX(Reference!$B$6:$B$11,MIN(5,MATCH(MAX(Reference!$A$6,MIN(Reference!$A$11,MIN(D242,180))),Reference!$A$6:$A$11,1))))/(INDEX(Reference!$A$6:$A$11,MIN(5,MATCH(MAX(Reference!$A$6,MIN(Reference!$A$11,MIN(D242,180))),Reference!$A$6:$A$11,1))+1)-INDEX(Reference!$A$6:$A$11,MIN(5,MATCH(MAX(Reference!$A$6,MIN(Reference!$A$11,MIN(D242,180))),Reference!$A$6:$A$11,1))))),0)+IF(5&lt;=AE242,(AE242-5+3)*(INDEX(Reference!$B$6:$B$11,MIN(5,MATCH(MAX(Reference!$A$6,MIN(Reference!$A$11,MIN(D242,210))),Reference!$A$6:$A$11,1)))+(MAX(Reference!$A$6,MIN(Reference!$A$11,MIN(D242,210)))-INDEX(Reference!$A$6:$A$11,MIN(5,MATCH(MAX(Reference!$A$6,MIN(Reference!$A$11,MIN(D242,210))),Reference!$A$6:$A$11,1))))*(INDEX(Reference!$B$6:$B$11,MIN(5,MATCH(MAX(Reference!$A$6,MIN(Reference!$A$11,MIN(D242,210))),Reference!$A$6:$A$11,1))+1)-INDEX(Reference!$B$6:$B$11,MIN(5,MATCH(MAX(Reference!$A$6,MIN(Reference!$A$11,MIN(D242,210))),Reference!$A$6:$A$11,1))))/(INDEX(Reference!$A$6:$A$11,MIN(5,MATCH(MAX(Reference!$A$6,MIN(Reference!$A$11,MIN(D242,210))),Reference!$A$6:$A$11,1))+1)-INDEX(Reference!$A$6:$A$11,MIN(5,MATCH(MAX(Reference!$A$6,MIN(Reference!$A$11,MIN(D242,210))),Reference!$A$6:$A$11,1))))),0)+IF(6&lt;=AE242,(AE242-6+3)*(INDEX(Reference!$B$6:$B$11,MIN(5,MATCH(MAX(Reference!$A$6,MIN(Reference!$A$11,MIN(D242,240))),Reference!$A$6:$A$11,1)))+(MAX(Reference!$A$6,MIN(Reference!$A$11,MIN(D242,240)))-INDEX(Reference!$A$6:$A$11,MIN(5,MATCH(MAX(Reference!$A$6,MIN(Reference!$A$11,MIN(D242,240))),Reference!$A$6:$A$11,1))))*(INDEX(Reference!$B$6:$B$11,MIN(5,MATCH(MAX(Reference!$A$6,MIN(Reference!$A$11,MIN(D242,240))),Reference!$A$6:$A$11,1))+1)-INDEX(Reference!$B$6:$B$11,MIN(5,MATCH(MAX(Reference!$A$6,MIN(Reference!$A$11,MIN(D242,240))),Reference!$A$6:$A$11,1))))/(INDEX(Reference!$A$6:$A$11,MIN(5,MATCH(MAX(Reference!$A$6,MIN(Reference!$A$11,MIN(D242,240))),Reference!$A$6:$A$11,1))+1)-INDEX(Reference!$A$6:$A$11,MIN(5,MATCH(MAX(Reference!$A$6,MIN(Reference!$A$11,MIN(D242,240))),Reference!$A$6:$A$11,1))))),0)+IF(7&lt;=AE242,(AE242-7+3)*(INDEX(Reference!$B$6:$B$11,MIN(5,MATCH(MAX(Reference!$A$6,MIN(Reference!$A$11,MIN(D242,270))),Reference!$A$6:$A$11,1)))+(MAX(Reference!$A$6,MIN(Reference!$A$11,MIN(D242,270)))-INDEX(Reference!$A$6:$A$11,MIN(5,MATCH(MAX(Reference!$A$6,MIN(Reference!$A$11,MIN(D242,270))),Reference!$A$6:$A$11,1))))*(INDEX(Reference!$B$6:$B$11,MIN(5,MATCH(MAX(Reference!$A$6,MIN(Reference!$A$11,MIN(D242,270))),Reference!$A$6:$A$11,1))+1)-INDEX(Reference!$B$6:$B$11,MIN(5,MATCH(MAX(Reference!$A$6,MIN(Reference!$A$11,MIN(D242,270))),Reference!$A$6:$A$11,1))))/(INDEX(Reference!$A$6:$A$11,MIN(5,MATCH(MAX(Reference!$A$6,MIN(Reference!$A$11,MIN(D242,270))),Reference!$A$6:$A$11,1))+1)-INDEX(Reference!$A$6:$A$11,MIN(5,MATCH(MAX(Reference!$A$6,MIN(Reference!$A$11,MIN(D242,270))),Reference!$A$6:$A$11,1))))),0)+IF(8&lt;=AE242,(AE242-8+3)*(INDEX(Reference!$B$6:$B$11,MIN(5,MATCH(MAX(Reference!$A$6,MIN(Reference!$A$11,MIN(D242,300))),Reference!$A$6:$A$11,1)))+(MAX(Reference!$A$6,MIN(Reference!$A$11,MIN(D242,300)))-INDEX(Reference!$A$6:$A$11,MIN(5,MATCH(MAX(Reference!$A$6,MIN(Reference!$A$11,MIN(D242,300))),Reference!$A$6:$A$11,1))))*(INDEX(Reference!$B$6:$B$11,MIN(5,MATCH(MAX(Reference!$A$6,MIN(Reference!$A$11,MIN(D242,300))),Reference!$A$6:$A$11,1))+1)-INDEX(Reference!$B$6:$B$11,MIN(5,MATCH(MAX(Reference!$A$6,MIN(Reference!$A$11,MIN(D242,300))),Reference!$A$6:$A$11,1))))/(INDEX(Reference!$A$6:$A$11,MIN(5,MATCH(MAX(Reference!$A$6,MIN(Reference!$A$11,MIN(D242,300))),Reference!$A$6:$A$11,1))+1)-INDEX(Reference!$A$6:$A$11,MIN(5,MATCH(MAX(Reference!$A$6,MIN(Reference!$A$11,MIN(D242,300))),Reference!$A$6:$A$11,1))))),0))/(AE242*(AE242+5)/2)),(INDEX(Reference!$B$6:$B$11,MIN(5,MATCH(MAX(Reference!$A$6,MIN(Reference!$A$11,D242)),Reference!$A$6:$A$11,1)))+(MAX(Reference!$A$6,MIN(Reference!$A$11,D242))-INDEX(Reference!$A$6:$A$11,MIN(5,MATCH(MAX(Reference!$A$6,MIN(Reference!$A$11,D242)),Reference!$A$6:$A$11,1))))*(INDEX(Reference!$B$6:$B$11,MIN(5,MATCH(MAX(Reference!$A$6,MIN(Reference!$A$11,D242)),Reference!$A$6:$A$11,1))+1)-INDEX(Reference!$B$6:$B$11,MIN(5,MATCH(MAX(Reference!$A$6,MIN(Reference!$A$11,D242)),Reference!$A$6:$A$11,1))))/(INDEX(Reference!$A$6:$A$11,MIN(5,MATCH(MAX(Reference!$A$6,MIN(Reference!$A$11,D242)),Reference!$A$6:$A$11,1))+1)-INDEX(Reference!$A$6:$A$11,MIN(5,MATCH(MAX(Reference!$A$6,MIN(Reference!$A$11,D242)),Reference!$A$6:$A$11,1))))))))</f>
        <v/>
      </c>
      <c r="P242" s="32" t="str">
        <f>IF(N242="","",VLOOKUP(MAX(N242,0),Reference!$A$17:$B$20,2,TRUE()))</f>
        <v/>
      </c>
      <c r="Q242" s="32" t="str">
        <f t="shared" si="30"/>
        <v/>
      </c>
      <c r="R242" s="31"/>
      <c r="S242" s="31"/>
      <c r="T242" s="31"/>
      <c r="U242" s="32" t="str">
        <f t="shared" si="31"/>
        <v/>
      </c>
      <c r="V242" s="32" t="str">
        <f t="shared" si="32"/>
        <v/>
      </c>
      <c r="W242" s="32" t="str">
        <f>IF(V242="","",VLOOKUP(MAX(V242,0),Reference!$A$17:$B$20,2,TRUE()))</f>
        <v/>
      </c>
      <c r="X242" s="31"/>
      <c r="Y242" s="31"/>
      <c r="Z242" s="31"/>
      <c r="AA242" s="32" t="str">
        <f t="shared" si="33"/>
        <v/>
      </c>
      <c r="AB242" s="32" t="str">
        <f t="shared" si="34"/>
        <v/>
      </c>
      <c r="AC242" s="32" t="str">
        <f>IF(AB242="","",VLOOKUP(MAX(AB242,0),Reference!$A$17:$B$20,2,TRUE()))</f>
        <v/>
      </c>
      <c r="AD242" s="31"/>
      <c r="AE242">
        <f t="shared" si="35"/>
        <v>1</v>
      </c>
      <c r="AF242" s="33" t="str">
        <f>IF(OR(A242="",B242="",AND(C242&lt;&gt;"Bullpen",C242&lt;&gt;"Game")),"",IF((COUNTIFS($B$5:$B$300,B242,$A$5:$A$300,A242-1,$C$5:$C$300,"Bullpen",$AG$5:$AG$300,"&gt;0") + COUNTIFS($B$5:$B$300,B242,$A$5:$A$300,A242-1,$C$5:$C$300,"Game",$AG$5:$AG$300,"&gt;0"))&gt;0,Reference!$B$119,IF((COUNTIFS($B$5:$B$300,B242,$A$5:$A$300,A242-2,$C$5:$C$300,"Bullpen",$AG$5:$AG$300,"&gt;0") + COUNTIFS($B$5:$B$300,B242,$A$5:$A$300,A242-2,$C$5:$C$300,"Game",$AG$5:$AG$300,"&gt;0"))&gt;0,Reference!$B$120,1)))</f>
        <v/>
      </c>
      <c r="AG242" s="30" t="str">
        <f>IF(AND(OR(I242="",O242="",P242=""),OR(R242="",W242=""),OR(X242="",AC242="")),"",IF(OR(I242="",O242="",P242=""),0,I242*O242*P242)+IF(OR(R242="",W242=""),0,R242*IFERROR(INDEX(Reference!$B$61:$B$62,MATCH("Bullpen",Reference!$A$61:$A$62,0)),0)*W242)+IF(OR(X242="",AC242=""),0,X242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242))</f>
        <v/>
      </c>
    </row>
    <row r="243" spans="1:33" x14ac:dyDescent="0.3">
      <c r="A243" s="35"/>
      <c r="B243" s="31"/>
      <c r="C243" s="31"/>
      <c r="D243" s="31"/>
      <c r="E243" s="34"/>
      <c r="F243" s="34"/>
      <c r="G243" s="30" t="str">
        <f t="shared" si="27"/>
        <v/>
      </c>
      <c r="H243" s="31"/>
      <c r="I243" s="32" t="str">
        <f>IF(H243&lt;&gt;"",H243,IF(G243="","",ROUND(G243*IFERROR(INDEX(Reference!$B$44:$B$50,MATCH(C243,Reference!$A$44:$A$50,0)),0),0)))</f>
        <v/>
      </c>
      <c r="J243" s="31"/>
      <c r="K243" s="31"/>
      <c r="L243" s="32" t="str">
        <f t="shared" si="28"/>
        <v/>
      </c>
      <c r="M243" s="32" t="str">
        <f>IFERROR(INDEX(Roster!$D$5:$D$40,MATCH(B243,Roster!$A$5:$A$40,0)),"")</f>
        <v/>
      </c>
      <c r="N243" s="32" t="str">
        <f t="shared" si="29"/>
        <v/>
      </c>
      <c r="O243" s="32" t="str">
        <f>IF(OR(C243="Bullpen",C243="Game"),IFERROR(INDEX(Reference!$B$61:$B$62,MATCH(C243,Reference!$A$61:$A$62,0)),""),IF(D243="","",IF(AE243&gt;1,((IF(1&lt;=AE243,(AE243-1+3)*(INDEX(Reference!$B$6:$B$11,MIN(5,MATCH(MAX(Reference!$A$6,MIN(Reference!$A$11,MIN(D243,90))),Reference!$A$6:$A$11,1)))+(MAX(Reference!$A$6,MIN(Reference!$A$11,MIN(D243,90)))-INDEX(Reference!$A$6:$A$11,MIN(5,MATCH(MAX(Reference!$A$6,MIN(Reference!$A$11,MIN(D243,90))),Reference!$A$6:$A$11,1))))*(INDEX(Reference!$B$6:$B$11,MIN(5,MATCH(MAX(Reference!$A$6,MIN(Reference!$A$11,MIN(D243,90))),Reference!$A$6:$A$11,1))+1)-INDEX(Reference!$B$6:$B$11,MIN(5,MATCH(MAX(Reference!$A$6,MIN(Reference!$A$11,MIN(D243,90))),Reference!$A$6:$A$11,1))))/(INDEX(Reference!$A$6:$A$11,MIN(5,MATCH(MAX(Reference!$A$6,MIN(Reference!$A$11,MIN(D243,90))),Reference!$A$6:$A$11,1))+1)-INDEX(Reference!$A$6:$A$11,MIN(5,MATCH(MAX(Reference!$A$6,MIN(Reference!$A$11,MIN(D243,90))),Reference!$A$6:$A$11,1))))),0)+IF(2&lt;=AE243,(AE243-2+3)*(INDEX(Reference!$B$6:$B$11,MIN(5,MATCH(MAX(Reference!$A$6,MIN(Reference!$A$11,MIN(D243,120))),Reference!$A$6:$A$11,1)))+(MAX(Reference!$A$6,MIN(Reference!$A$11,MIN(D243,120)))-INDEX(Reference!$A$6:$A$11,MIN(5,MATCH(MAX(Reference!$A$6,MIN(Reference!$A$11,MIN(D243,120))),Reference!$A$6:$A$11,1))))*(INDEX(Reference!$B$6:$B$11,MIN(5,MATCH(MAX(Reference!$A$6,MIN(Reference!$A$11,MIN(D243,120))),Reference!$A$6:$A$11,1))+1)-INDEX(Reference!$B$6:$B$11,MIN(5,MATCH(MAX(Reference!$A$6,MIN(Reference!$A$11,MIN(D243,120))),Reference!$A$6:$A$11,1))))/(INDEX(Reference!$A$6:$A$11,MIN(5,MATCH(MAX(Reference!$A$6,MIN(Reference!$A$11,MIN(D243,120))),Reference!$A$6:$A$11,1))+1)-INDEX(Reference!$A$6:$A$11,MIN(5,MATCH(MAX(Reference!$A$6,MIN(Reference!$A$11,MIN(D243,120))),Reference!$A$6:$A$11,1))))),0)+IF(3&lt;=AE243,(AE243-3+3)*(INDEX(Reference!$B$6:$B$11,MIN(5,MATCH(MAX(Reference!$A$6,MIN(Reference!$A$11,MIN(D243,150))),Reference!$A$6:$A$11,1)))+(MAX(Reference!$A$6,MIN(Reference!$A$11,MIN(D243,150)))-INDEX(Reference!$A$6:$A$11,MIN(5,MATCH(MAX(Reference!$A$6,MIN(Reference!$A$11,MIN(D243,150))),Reference!$A$6:$A$11,1))))*(INDEX(Reference!$B$6:$B$11,MIN(5,MATCH(MAX(Reference!$A$6,MIN(Reference!$A$11,MIN(D243,150))),Reference!$A$6:$A$11,1))+1)-INDEX(Reference!$B$6:$B$11,MIN(5,MATCH(MAX(Reference!$A$6,MIN(Reference!$A$11,MIN(D243,150))),Reference!$A$6:$A$11,1))))/(INDEX(Reference!$A$6:$A$11,MIN(5,MATCH(MAX(Reference!$A$6,MIN(Reference!$A$11,MIN(D243,150))),Reference!$A$6:$A$11,1))+1)-INDEX(Reference!$A$6:$A$11,MIN(5,MATCH(MAX(Reference!$A$6,MIN(Reference!$A$11,MIN(D243,150))),Reference!$A$6:$A$11,1))))),0)+IF(4&lt;=AE243,(AE243-4+3)*(INDEX(Reference!$B$6:$B$11,MIN(5,MATCH(MAX(Reference!$A$6,MIN(Reference!$A$11,MIN(D243,180))),Reference!$A$6:$A$11,1)))+(MAX(Reference!$A$6,MIN(Reference!$A$11,MIN(D243,180)))-INDEX(Reference!$A$6:$A$11,MIN(5,MATCH(MAX(Reference!$A$6,MIN(Reference!$A$11,MIN(D243,180))),Reference!$A$6:$A$11,1))))*(INDEX(Reference!$B$6:$B$11,MIN(5,MATCH(MAX(Reference!$A$6,MIN(Reference!$A$11,MIN(D243,180))),Reference!$A$6:$A$11,1))+1)-INDEX(Reference!$B$6:$B$11,MIN(5,MATCH(MAX(Reference!$A$6,MIN(Reference!$A$11,MIN(D243,180))),Reference!$A$6:$A$11,1))))/(INDEX(Reference!$A$6:$A$11,MIN(5,MATCH(MAX(Reference!$A$6,MIN(Reference!$A$11,MIN(D243,180))),Reference!$A$6:$A$11,1))+1)-INDEX(Reference!$A$6:$A$11,MIN(5,MATCH(MAX(Reference!$A$6,MIN(Reference!$A$11,MIN(D243,180))),Reference!$A$6:$A$11,1))))),0)+IF(5&lt;=AE243,(AE243-5+3)*(INDEX(Reference!$B$6:$B$11,MIN(5,MATCH(MAX(Reference!$A$6,MIN(Reference!$A$11,MIN(D243,210))),Reference!$A$6:$A$11,1)))+(MAX(Reference!$A$6,MIN(Reference!$A$11,MIN(D243,210)))-INDEX(Reference!$A$6:$A$11,MIN(5,MATCH(MAX(Reference!$A$6,MIN(Reference!$A$11,MIN(D243,210))),Reference!$A$6:$A$11,1))))*(INDEX(Reference!$B$6:$B$11,MIN(5,MATCH(MAX(Reference!$A$6,MIN(Reference!$A$11,MIN(D243,210))),Reference!$A$6:$A$11,1))+1)-INDEX(Reference!$B$6:$B$11,MIN(5,MATCH(MAX(Reference!$A$6,MIN(Reference!$A$11,MIN(D243,210))),Reference!$A$6:$A$11,1))))/(INDEX(Reference!$A$6:$A$11,MIN(5,MATCH(MAX(Reference!$A$6,MIN(Reference!$A$11,MIN(D243,210))),Reference!$A$6:$A$11,1))+1)-INDEX(Reference!$A$6:$A$11,MIN(5,MATCH(MAX(Reference!$A$6,MIN(Reference!$A$11,MIN(D243,210))),Reference!$A$6:$A$11,1))))),0)+IF(6&lt;=AE243,(AE243-6+3)*(INDEX(Reference!$B$6:$B$11,MIN(5,MATCH(MAX(Reference!$A$6,MIN(Reference!$A$11,MIN(D243,240))),Reference!$A$6:$A$11,1)))+(MAX(Reference!$A$6,MIN(Reference!$A$11,MIN(D243,240)))-INDEX(Reference!$A$6:$A$11,MIN(5,MATCH(MAX(Reference!$A$6,MIN(Reference!$A$11,MIN(D243,240))),Reference!$A$6:$A$11,1))))*(INDEX(Reference!$B$6:$B$11,MIN(5,MATCH(MAX(Reference!$A$6,MIN(Reference!$A$11,MIN(D243,240))),Reference!$A$6:$A$11,1))+1)-INDEX(Reference!$B$6:$B$11,MIN(5,MATCH(MAX(Reference!$A$6,MIN(Reference!$A$11,MIN(D243,240))),Reference!$A$6:$A$11,1))))/(INDEX(Reference!$A$6:$A$11,MIN(5,MATCH(MAX(Reference!$A$6,MIN(Reference!$A$11,MIN(D243,240))),Reference!$A$6:$A$11,1))+1)-INDEX(Reference!$A$6:$A$11,MIN(5,MATCH(MAX(Reference!$A$6,MIN(Reference!$A$11,MIN(D243,240))),Reference!$A$6:$A$11,1))))),0)+IF(7&lt;=AE243,(AE243-7+3)*(INDEX(Reference!$B$6:$B$11,MIN(5,MATCH(MAX(Reference!$A$6,MIN(Reference!$A$11,MIN(D243,270))),Reference!$A$6:$A$11,1)))+(MAX(Reference!$A$6,MIN(Reference!$A$11,MIN(D243,270)))-INDEX(Reference!$A$6:$A$11,MIN(5,MATCH(MAX(Reference!$A$6,MIN(Reference!$A$11,MIN(D243,270))),Reference!$A$6:$A$11,1))))*(INDEX(Reference!$B$6:$B$11,MIN(5,MATCH(MAX(Reference!$A$6,MIN(Reference!$A$11,MIN(D243,270))),Reference!$A$6:$A$11,1))+1)-INDEX(Reference!$B$6:$B$11,MIN(5,MATCH(MAX(Reference!$A$6,MIN(Reference!$A$11,MIN(D243,270))),Reference!$A$6:$A$11,1))))/(INDEX(Reference!$A$6:$A$11,MIN(5,MATCH(MAX(Reference!$A$6,MIN(Reference!$A$11,MIN(D243,270))),Reference!$A$6:$A$11,1))+1)-INDEX(Reference!$A$6:$A$11,MIN(5,MATCH(MAX(Reference!$A$6,MIN(Reference!$A$11,MIN(D243,270))),Reference!$A$6:$A$11,1))))),0)+IF(8&lt;=AE243,(AE243-8+3)*(INDEX(Reference!$B$6:$B$11,MIN(5,MATCH(MAX(Reference!$A$6,MIN(Reference!$A$11,MIN(D243,300))),Reference!$A$6:$A$11,1)))+(MAX(Reference!$A$6,MIN(Reference!$A$11,MIN(D243,300)))-INDEX(Reference!$A$6:$A$11,MIN(5,MATCH(MAX(Reference!$A$6,MIN(Reference!$A$11,MIN(D243,300))),Reference!$A$6:$A$11,1))))*(INDEX(Reference!$B$6:$B$11,MIN(5,MATCH(MAX(Reference!$A$6,MIN(Reference!$A$11,MIN(D243,300))),Reference!$A$6:$A$11,1))+1)-INDEX(Reference!$B$6:$B$11,MIN(5,MATCH(MAX(Reference!$A$6,MIN(Reference!$A$11,MIN(D243,300))),Reference!$A$6:$A$11,1))))/(INDEX(Reference!$A$6:$A$11,MIN(5,MATCH(MAX(Reference!$A$6,MIN(Reference!$A$11,MIN(D243,300))),Reference!$A$6:$A$11,1))+1)-INDEX(Reference!$A$6:$A$11,MIN(5,MATCH(MAX(Reference!$A$6,MIN(Reference!$A$11,MIN(D243,300))),Reference!$A$6:$A$11,1))))),0))/(AE243*(AE243+5)/2)),(INDEX(Reference!$B$6:$B$11,MIN(5,MATCH(MAX(Reference!$A$6,MIN(Reference!$A$11,D243)),Reference!$A$6:$A$11,1)))+(MAX(Reference!$A$6,MIN(Reference!$A$11,D243))-INDEX(Reference!$A$6:$A$11,MIN(5,MATCH(MAX(Reference!$A$6,MIN(Reference!$A$11,D243)),Reference!$A$6:$A$11,1))))*(INDEX(Reference!$B$6:$B$11,MIN(5,MATCH(MAX(Reference!$A$6,MIN(Reference!$A$11,D243)),Reference!$A$6:$A$11,1))+1)-INDEX(Reference!$B$6:$B$11,MIN(5,MATCH(MAX(Reference!$A$6,MIN(Reference!$A$11,D243)),Reference!$A$6:$A$11,1))))/(INDEX(Reference!$A$6:$A$11,MIN(5,MATCH(MAX(Reference!$A$6,MIN(Reference!$A$11,D243)),Reference!$A$6:$A$11,1))+1)-INDEX(Reference!$A$6:$A$11,MIN(5,MATCH(MAX(Reference!$A$6,MIN(Reference!$A$11,D243)),Reference!$A$6:$A$11,1))))))))</f>
        <v/>
      </c>
      <c r="P243" s="32" t="str">
        <f>IF(N243="","",VLOOKUP(MAX(N243,0),Reference!$A$17:$B$20,2,TRUE()))</f>
        <v/>
      </c>
      <c r="Q243" s="32" t="str">
        <f t="shared" si="30"/>
        <v/>
      </c>
      <c r="R243" s="31"/>
      <c r="S243" s="31"/>
      <c r="T243" s="31"/>
      <c r="U243" s="32" t="str">
        <f t="shared" si="31"/>
        <v/>
      </c>
      <c r="V243" s="32" t="str">
        <f t="shared" si="32"/>
        <v/>
      </c>
      <c r="W243" s="32" t="str">
        <f>IF(V243="","",VLOOKUP(MAX(V243,0),Reference!$A$17:$B$20,2,TRUE()))</f>
        <v/>
      </c>
      <c r="X243" s="31"/>
      <c r="Y243" s="31"/>
      <c r="Z243" s="31"/>
      <c r="AA243" s="32" t="str">
        <f t="shared" si="33"/>
        <v/>
      </c>
      <c r="AB243" s="32" t="str">
        <f t="shared" si="34"/>
        <v/>
      </c>
      <c r="AC243" s="32" t="str">
        <f>IF(AB243="","",VLOOKUP(MAX(AB243,0),Reference!$A$17:$B$20,2,TRUE()))</f>
        <v/>
      </c>
      <c r="AD243" s="31"/>
      <c r="AE243">
        <f t="shared" si="35"/>
        <v>1</v>
      </c>
      <c r="AF243" s="33" t="str">
        <f>IF(OR(A243="",B243="",AND(C243&lt;&gt;"Bullpen",C243&lt;&gt;"Game")),"",IF((COUNTIFS($B$5:$B$300,B243,$A$5:$A$300,A243-1,$C$5:$C$300,"Bullpen",$AG$5:$AG$300,"&gt;0") + COUNTIFS($B$5:$B$300,B243,$A$5:$A$300,A243-1,$C$5:$C$300,"Game",$AG$5:$AG$300,"&gt;0"))&gt;0,Reference!$B$119,IF((COUNTIFS($B$5:$B$300,B243,$A$5:$A$300,A243-2,$C$5:$C$300,"Bullpen",$AG$5:$AG$300,"&gt;0") + COUNTIFS($B$5:$B$300,B243,$A$5:$A$300,A243-2,$C$5:$C$300,"Game",$AG$5:$AG$300,"&gt;0"))&gt;0,Reference!$B$120,1)))</f>
        <v/>
      </c>
      <c r="AG243" s="30" t="str">
        <f>IF(AND(OR(I243="",O243="",P243=""),OR(R243="",W243=""),OR(X243="",AC243="")),"",IF(OR(I243="",O243="",P243=""),0,I243*O243*P243)+IF(OR(R243="",W243=""),0,R243*IFERROR(INDEX(Reference!$B$61:$B$62,MATCH("Bullpen",Reference!$A$61:$A$62,0)),0)*W243)+IF(OR(X243="",AC243=""),0,X243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243))</f>
        <v/>
      </c>
    </row>
    <row r="244" spans="1:33" x14ac:dyDescent="0.3">
      <c r="A244" s="35"/>
      <c r="B244" s="31"/>
      <c r="C244" s="31"/>
      <c r="D244" s="31"/>
      <c r="E244" s="34"/>
      <c r="F244" s="34"/>
      <c r="G244" s="30" t="str">
        <f t="shared" si="27"/>
        <v/>
      </c>
      <c r="H244" s="31"/>
      <c r="I244" s="32" t="str">
        <f>IF(H244&lt;&gt;"",H244,IF(G244="","",ROUND(G244*IFERROR(INDEX(Reference!$B$44:$B$50,MATCH(C244,Reference!$A$44:$A$50,0)),0),0)))</f>
        <v/>
      </c>
      <c r="J244" s="31"/>
      <c r="K244" s="31"/>
      <c r="L244" s="32" t="str">
        <f t="shared" si="28"/>
        <v/>
      </c>
      <c r="M244" s="32" t="str">
        <f>IFERROR(INDEX(Roster!$D$5:$D$40,MATCH(B244,Roster!$A$5:$A$40,0)),"")</f>
        <v/>
      </c>
      <c r="N244" s="32" t="str">
        <f t="shared" si="29"/>
        <v/>
      </c>
      <c r="O244" s="32" t="str">
        <f>IF(OR(C244="Bullpen",C244="Game"),IFERROR(INDEX(Reference!$B$61:$B$62,MATCH(C244,Reference!$A$61:$A$62,0)),""),IF(D244="","",IF(AE244&gt;1,((IF(1&lt;=AE244,(AE244-1+3)*(INDEX(Reference!$B$6:$B$11,MIN(5,MATCH(MAX(Reference!$A$6,MIN(Reference!$A$11,MIN(D244,90))),Reference!$A$6:$A$11,1)))+(MAX(Reference!$A$6,MIN(Reference!$A$11,MIN(D244,90)))-INDEX(Reference!$A$6:$A$11,MIN(5,MATCH(MAX(Reference!$A$6,MIN(Reference!$A$11,MIN(D244,90))),Reference!$A$6:$A$11,1))))*(INDEX(Reference!$B$6:$B$11,MIN(5,MATCH(MAX(Reference!$A$6,MIN(Reference!$A$11,MIN(D244,90))),Reference!$A$6:$A$11,1))+1)-INDEX(Reference!$B$6:$B$11,MIN(5,MATCH(MAX(Reference!$A$6,MIN(Reference!$A$11,MIN(D244,90))),Reference!$A$6:$A$11,1))))/(INDEX(Reference!$A$6:$A$11,MIN(5,MATCH(MAX(Reference!$A$6,MIN(Reference!$A$11,MIN(D244,90))),Reference!$A$6:$A$11,1))+1)-INDEX(Reference!$A$6:$A$11,MIN(5,MATCH(MAX(Reference!$A$6,MIN(Reference!$A$11,MIN(D244,90))),Reference!$A$6:$A$11,1))))),0)+IF(2&lt;=AE244,(AE244-2+3)*(INDEX(Reference!$B$6:$B$11,MIN(5,MATCH(MAX(Reference!$A$6,MIN(Reference!$A$11,MIN(D244,120))),Reference!$A$6:$A$11,1)))+(MAX(Reference!$A$6,MIN(Reference!$A$11,MIN(D244,120)))-INDEX(Reference!$A$6:$A$11,MIN(5,MATCH(MAX(Reference!$A$6,MIN(Reference!$A$11,MIN(D244,120))),Reference!$A$6:$A$11,1))))*(INDEX(Reference!$B$6:$B$11,MIN(5,MATCH(MAX(Reference!$A$6,MIN(Reference!$A$11,MIN(D244,120))),Reference!$A$6:$A$11,1))+1)-INDEX(Reference!$B$6:$B$11,MIN(5,MATCH(MAX(Reference!$A$6,MIN(Reference!$A$11,MIN(D244,120))),Reference!$A$6:$A$11,1))))/(INDEX(Reference!$A$6:$A$11,MIN(5,MATCH(MAX(Reference!$A$6,MIN(Reference!$A$11,MIN(D244,120))),Reference!$A$6:$A$11,1))+1)-INDEX(Reference!$A$6:$A$11,MIN(5,MATCH(MAX(Reference!$A$6,MIN(Reference!$A$11,MIN(D244,120))),Reference!$A$6:$A$11,1))))),0)+IF(3&lt;=AE244,(AE244-3+3)*(INDEX(Reference!$B$6:$B$11,MIN(5,MATCH(MAX(Reference!$A$6,MIN(Reference!$A$11,MIN(D244,150))),Reference!$A$6:$A$11,1)))+(MAX(Reference!$A$6,MIN(Reference!$A$11,MIN(D244,150)))-INDEX(Reference!$A$6:$A$11,MIN(5,MATCH(MAX(Reference!$A$6,MIN(Reference!$A$11,MIN(D244,150))),Reference!$A$6:$A$11,1))))*(INDEX(Reference!$B$6:$B$11,MIN(5,MATCH(MAX(Reference!$A$6,MIN(Reference!$A$11,MIN(D244,150))),Reference!$A$6:$A$11,1))+1)-INDEX(Reference!$B$6:$B$11,MIN(5,MATCH(MAX(Reference!$A$6,MIN(Reference!$A$11,MIN(D244,150))),Reference!$A$6:$A$11,1))))/(INDEX(Reference!$A$6:$A$11,MIN(5,MATCH(MAX(Reference!$A$6,MIN(Reference!$A$11,MIN(D244,150))),Reference!$A$6:$A$11,1))+1)-INDEX(Reference!$A$6:$A$11,MIN(5,MATCH(MAX(Reference!$A$6,MIN(Reference!$A$11,MIN(D244,150))),Reference!$A$6:$A$11,1))))),0)+IF(4&lt;=AE244,(AE244-4+3)*(INDEX(Reference!$B$6:$B$11,MIN(5,MATCH(MAX(Reference!$A$6,MIN(Reference!$A$11,MIN(D244,180))),Reference!$A$6:$A$11,1)))+(MAX(Reference!$A$6,MIN(Reference!$A$11,MIN(D244,180)))-INDEX(Reference!$A$6:$A$11,MIN(5,MATCH(MAX(Reference!$A$6,MIN(Reference!$A$11,MIN(D244,180))),Reference!$A$6:$A$11,1))))*(INDEX(Reference!$B$6:$B$11,MIN(5,MATCH(MAX(Reference!$A$6,MIN(Reference!$A$11,MIN(D244,180))),Reference!$A$6:$A$11,1))+1)-INDEX(Reference!$B$6:$B$11,MIN(5,MATCH(MAX(Reference!$A$6,MIN(Reference!$A$11,MIN(D244,180))),Reference!$A$6:$A$11,1))))/(INDEX(Reference!$A$6:$A$11,MIN(5,MATCH(MAX(Reference!$A$6,MIN(Reference!$A$11,MIN(D244,180))),Reference!$A$6:$A$11,1))+1)-INDEX(Reference!$A$6:$A$11,MIN(5,MATCH(MAX(Reference!$A$6,MIN(Reference!$A$11,MIN(D244,180))),Reference!$A$6:$A$11,1))))),0)+IF(5&lt;=AE244,(AE244-5+3)*(INDEX(Reference!$B$6:$B$11,MIN(5,MATCH(MAX(Reference!$A$6,MIN(Reference!$A$11,MIN(D244,210))),Reference!$A$6:$A$11,1)))+(MAX(Reference!$A$6,MIN(Reference!$A$11,MIN(D244,210)))-INDEX(Reference!$A$6:$A$11,MIN(5,MATCH(MAX(Reference!$A$6,MIN(Reference!$A$11,MIN(D244,210))),Reference!$A$6:$A$11,1))))*(INDEX(Reference!$B$6:$B$11,MIN(5,MATCH(MAX(Reference!$A$6,MIN(Reference!$A$11,MIN(D244,210))),Reference!$A$6:$A$11,1))+1)-INDEX(Reference!$B$6:$B$11,MIN(5,MATCH(MAX(Reference!$A$6,MIN(Reference!$A$11,MIN(D244,210))),Reference!$A$6:$A$11,1))))/(INDEX(Reference!$A$6:$A$11,MIN(5,MATCH(MAX(Reference!$A$6,MIN(Reference!$A$11,MIN(D244,210))),Reference!$A$6:$A$11,1))+1)-INDEX(Reference!$A$6:$A$11,MIN(5,MATCH(MAX(Reference!$A$6,MIN(Reference!$A$11,MIN(D244,210))),Reference!$A$6:$A$11,1))))),0)+IF(6&lt;=AE244,(AE244-6+3)*(INDEX(Reference!$B$6:$B$11,MIN(5,MATCH(MAX(Reference!$A$6,MIN(Reference!$A$11,MIN(D244,240))),Reference!$A$6:$A$11,1)))+(MAX(Reference!$A$6,MIN(Reference!$A$11,MIN(D244,240)))-INDEX(Reference!$A$6:$A$11,MIN(5,MATCH(MAX(Reference!$A$6,MIN(Reference!$A$11,MIN(D244,240))),Reference!$A$6:$A$11,1))))*(INDEX(Reference!$B$6:$B$11,MIN(5,MATCH(MAX(Reference!$A$6,MIN(Reference!$A$11,MIN(D244,240))),Reference!$A$6:$A$11,1))+1)-INDEX(Reference!$B$6:$B$11,MIN(5,MATCH(MAX(Reference!$A$6,MIN(Reference!$A$11,MIN(D244,240))),Reference!$A$6:$A$11,1))))/(INDEX(Reference!$A$6:$A$11,MIN(5,MATCH(MAX(Reference!$A$6,MIN(Reference!$A$11,MIN(D244,240))),Reference!$A$6:$A$11,1))+1)-INDEX(Reference!$A$6:$A$11,MIN(5,MATCH(MAX(Reference!$A$6,MIN(Reference!$A$11,MIN(D244,240))),Reference!$A$6:$A$11,1))))),0)+IF(7&lt;=AE244,(AE244-7+3)*(INDEX(Reference!$B$6:$B$11,MIN(5,MATCH(MAX(Reference!$A$6,MIN(Reference!$A$11,MIN(D244,270))),Reference!$A$6:$A$11,1)))+(MAX(Reference!$A$6,MIN(Reference!$A$11,MIN(D244,270)))-INDEX(Reference!$A$6:$A$11,MIN(5,MATCH(MAX(Reference!$A$6,MIN(Reference!$A$11,MIN(D244,270))),Reference!$A$6:$A$11,1))))*(INDEX(Reference!$B$6:$B$11,MIN(5,MATCH(MAX(Reference!$A$6,MIN(Reference!$A$11,MIN(D244,270))),Reference!$A$6:$A$11,1))+1)-INDEX(Reference!$B$6:$B$11,MIN(5,MATCH(MAX(Reference!$A$6,MIN(Reference!$A$11,MIN(D244,270))),Reference!$A$6:$A$11,1))))/(INDEX(Reference!$A$6:$A$11,MIN(5,MATCH(MAX(Reference!$A$6,MIN(Reference!$A$11,MIN(D244,270))),Reference!$A$6:$A$11,1))+1)-INDEX(Reference!$A$6:$A$11,MIN(5,MATCH(MAX(Reference!$A$6,MIN(Reference!$A$11,MIN(D244,270))),Reference!$A$6:$A$11,1))))),0)+IF(8&lt;=AE244,(AE244-8+3)*(INDEX(Reference!$B$6:$B$11,MIN(5,MATCH(MAX(Reference!$A$6,MIN(Reference!$A$11,MIN(D244,300))),Reference!$A$6:$A$11,1)))+(MAX(Reference!$A$6,MIN(Reference!$A$11,MIN(D244,300)))-INDEX(Reference!$A$6:$A$11,MIN(5,MATCH(MAX(Reference!$A$6,MIN(Reference!$A$11,MIN(D244,300))),Reference!$A$6:$A$11,1))))*(INDEX(Reference!$B$6:$B$11,MIN(5,MATCH(MAX(Reference!$A$6,MIN(Reference!$A$11,MIN(D244,300))),Reference!$A$6:$A$11,1))+1)-INDEX(Reference!$B$6:$B$11,MIN(5,MATCH(MAX(Reference!$A$6,MIN(Reference!$A$11,MIN(D244,300))),Reference!$A$6:$A$11,1))))/(INDEX(Reference!$A$6:$A$11,MIN(5,MATCH(MAX(Reference!$A$6,MIN(Reference!$A$11,MIN(D244,300))),Reference!$A$6:$A$11,1))+1)-INDEX(Reference!$A$6:$A$11,MIN(5,MATCH(MAX(Reference!$A$6,MIN(Reference!$A$11,MIN(D244,300))),Reference!$A$6:$A$11,1))))),0))/(AE244*(AE244+5)/2)),(INDEX(Reference!$B$6:$B$11,MIN(5,MATCH(MAX(Reference!$A$6,MIN(Reference!$A$11,D244)),Reference!$A$6:$A$11,1)))+(MAX(Reference!$A$6,MIN(Reference!$A$11,D244))-INDEX(Reference!$A$6:$A$11,MIN(5,MATCH(MAX(Reference!$A$6,MIN(Reference!$A$11,D244)),Reference!$A$6:$A$11,1))))*(INDEX(Reference!$B$6:$B$11,MIN(5,MATCH(MAX(Reference!$A$6,MIN(Reference!$A$11,D244)),Reference!$A$6:$A$11,1))+1)-INDEX(Reference!$B$6:$B$11,MIN(5,MATCH(MAX(Reference!$A$6,MIN(Reference!$A$11,D244)),Reference!$A$6:$A$11,1))))/(INDEX(Reference!$A$6:$A$11,MIN(5,MATCH(MAX(Reference!$A$6,MIN(Reference!$A$11,D244)),Reference!$A$6:$A$11,1))+1)-INDEX(Reference!$A$6:$A$11,MIN(5,MATCH(MAX(Reference!$A$6,MIN(Reference!$A$11,D244)),Reference!$A$6:$A$11,1))))))))</f>
        <v/>
      </c>
      <c r="P244" s="32" t="str">
        <f>IF(N244="","",VLOOKUP(MAX(N244,0),Reference!$A$17:$B$20,2,TRUE()))</f>
        <v/>
      </c>
      <c r="Q244" s="32" t="str">
        <f t="shared" si="30"/>
        <v/>
      </c>
      <c r="R244" s="31"/>
      <c r="S244" s="31"/>
      <c r="T244" s="31"/>
      <c r="U244" s="32" t="str">
        <f t="shared" si="31"/>
        <v/>
      </c>
      <c r="V244" s="32" t="str">
        <f t="shared" si="32"/>
        <v/>
      </c>
      <c r="W244" s="32" t="str">
        <f>IF(V244="","",VLOOKUP(MAX(V244,0),Reference!$A$17:$B$20,2,TRUE()))</f>
        <v/>
      </c>
      <c r="X244" s="31"/>
      <c r="Y244" s="31"/>
      <c r="Z244" s="31"/>
      <c r="AA244" s="32" t="str">
        <f t="shared" si="33"/>
        <v/>
      </c>
      <c r="AB244" s="32" t="str">
        <f t="shared" si="34"/>
        <v/>
      </c>
      <c r="AC244" s="32" t="str">
        <f>IF(AB244="","",VLOOKUP(MAX(AB244,0),Reference!$A$17:$B$20,2,TRUE()))</f>
        <v/>
      </c>
      <c r="AD244" s="31"/>
      <c r="AE244">
        <f t="shared" si="35"/>
        <v>1</v>
      </c>
      <c r="AF244" s="33" t="str">
        <f>IF(OR(A244="",B244="",AND(C244&lt;&gt;"Bullpen",C244&lt;&gt;"Game")),"",IF((COUNTIFS($B$5:$B$300,B244,$A$5:$A$300,A244-1,$C$5:$C$300,"Bullpen",$AG$5:$AG$300,"&gt;0") + COUNTIFS($B$5:$B$300,B244,$A$5:$A$300,A244-1,$C$5:$C$300,"Game",$AG$5:$AG$300,"&gt;0"))&gt;0,Reference!$B$119,IF((COUNTIFS($B$5:$B$300,B244,$A$5:$A$300,A244-2,$C$5:$C$300,"Bullpen",$AG$5:$AG$300,"&gt;0") + COUNTIFS($B$5:$B$300,B244,$A$5:$A$300,A244-2,$C$5:$C$300,"Game",$AG$5:$AG$300,"&gt;0"))&gt;0,Reference!$B$120,1)))</f>
        <v/>
      </c>
      <c r="AG244" s="30" t="str">
        <f>IF(AND(OR(I244="",O244="",P244=""),OR(R244="",W244=""),OR(X244="",AC244="")),"",IF(OR(I244="",O244="",P244=""),0,I244*O244*P244)+IF(OR(R244="",W244=""),0,R244*IFERROR(INDEX(Reference!$B$61:$B$62,MATCH("Bullpen",Reference!$A$61:$A$62,0)),0)*W244)+IF(OR(X244="",AC244=""),0,X244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244))</f>
        <v/>
      </c>
    </row>
    <row r="245" spans="1:33" x14ac:dyDescent="0.3">
      <c r="A245" s="35"/>
      <c r="B245" s="31"/>
      <c r="C245" s="31"/>
      <c r="D245" s="31"/>
      <c r="E245" s="34"/>
      <c r="F245" s="34"/>
      <c r="G245" s="30" t="str">
        <f t="shared" si="27"/>
        <v/>
      </c>
      <c r="H245" s="31"/>
      <c r="I245" s="32" t="str">
        <f>IF(H245&lt;&gt;"",H245,IF(G245="","",ROUND(G245*IFERROR(INDEX(Reference!$B$44:$B$50,MATCH(C245,Reference!$A$44:$A$50,0)),0),0)))</f>
        <v/>
      </c>
      <c r="J245" s="31"/>
      <c r="K245" s="31"/>
      <c r="L245" s="32" t="str">
        <f t="shared" si="28"/>
        <v/>
      </c>
      <c r="M245" s="32" t="str">
        <f>IFERROR(INDEX(Roster!$D$5:$D$40,MATCH(B245,Roster!$A$5:$A$40,0)),"")</f>
        <v/>
      </c>
      <c r="N245" s="32" t="str">
        <f t="shared" si="29"/>
        <v/>
      </c>
      <c r="O245" s="32" t="str">
        <f>IF(OR(C245="Bullpen",C245="Game"),IFERROR(INDEX(Reference!$B$61:$B$62,MATCH(C245,Reference!$A$61:$A$62,0)),""),IF(D245="","",IF(AE245&gt;1,((IF(1&lt;=AE245,(AE245-1+3)*(INDEX(Reference!$B$6:$B$11,MIN(5,MATCH(MAX(Reference!$A$6,MIN(Reference!$A$11,MIN(D245,90))),Reference!$A$6:$A$11,1)))+(MAX(Reference!$A$6,MIN(Reference!$A$11,MIN(D245,90)))-INDEX(Reference!$A$6:$A$11,MIN(5,MATCH(MAX(Reference!$A$6,MIN(Reference!$A$11,MIN(D245,90))),Reference!$A$6:$A$11,1))))*(INDEX(Reference!$B$6:$B$11,MIN(5,MATCH(MAX(Reference!$A$6,MIN(Reference!$A$11,MIN(D245,90))),Reference!$A$6:$A$11,1))+1)-INDEX(Reference!$B$6:$B$11,MIN(5,MATCH(MAX(Reference!$A$6,MIN(Reference!$A$11,MIN(D245,90))),Reference!$A$6:$A$11,1))))/(INDEX(Reference!$A$6:$A$11,MIN(5,MATCH(MAX(Reference!$A$6,MIN(Reference!$A$11,MIN(D245,90))),Reference!$A$6:$A$11,1))+1)-INDEX(Reference!$A$6:$A$11,MIN(5,MATCH(MAX(Reference!$A$6,MIN(Reference!$A$11,MIN(D245,90))),Reference!$A$6:$A$11,1))))),0)+IF(2&lt;=AE245,(AE245-2+3)*(INDEX(Reference!$B$6:$B$11,MIN(5,MATCH(MAX(Reference!$A$6,MIN(Reference!$A$11,MIN(D245,120))),Reference!$A$6:$A$11,1)))+(MAX(Reference!$A$6,MIN(Reference!$A$11,MIN(D245,120)))-INDEX(Reference!$A$6:$A$11,MIN(5,MATCH(MAX(Reference!$A$6,MIN(Reference!$A$11,MIN(D245,120))),Reference!$A$6:$A$11,1))))*(INDEX(Reference!$B$6:$B$11,MIN(5,MATCH(MAX(Reference!$A$6,MIN(Reference!$A$11,MIN(D245,120))),Reference!$A$6:$A$11,1))+1)-INDEX(Reference!$B$6:$B$11,MIN(5,MATCH(MAX(Reference!$A$6,MIN(Reference!$A$11,MIN(D245,120))),Reference!$A$6:$A$11,1))))/(INDEX(Reference!$A$6:$A$11,MIN(5,MATCH(MAX(Reference!$A$6,MIN(Reference!$A$11,MIN(D245,120))),Reference!$A$6:$A$11,1))+1)-INDEX(Reference!$A$6:$A$11,MIN(5,MATCH(MAX(Reference!$A$6,MIN(Reference!$A$11,MIN(D245,120))),Reference!$A$6:$A$11,1))))),0)+IF(3&lt;=AE245,(AE245-3+3)*(INDEX(Reference!$B$6:$B$11,MIN(5,MATCH(MAX(Reference!$A$6,MIN(Reference!$A$11,MIN(D245,150))),Reference!$A$6:$A$11,1)))+(MAX(Reference!$A$6,MIN(Reference!$A$11,MIN(D245,150)))-INDEX(Reference!$A$6:$A$11,MIN(5,MATCH(MAX(Reference!$A$6,MIN(Reference!$A$11,MIN(D245,150))),Reference!$A$6:$A$11,1))))*(INDEX(Reference!$B$6:$B$11,MIN(5,MATCH(MAX(Reference!$A$6,MIN(Reference!$A$11,MIN(D245,150))),Reference!$A$6:$A$11,1))+1)-INDEX(Reference!$B$6:$B$11,MIN(5,MATCH(MAX(Reference!$A$6,MIN(Reference!$A$11,MIN(D245,150))),Reference!$A$6:$A$11,1))))/(INDEX(Reference!$A$6:$A$11,MIN(5,MATCH(MAX(Reference!$A$6,MIN(Reference!$A$11,MIN(D245,150))),Reference!$A$6:$A$11,1))+1)-INDEX(Reference!$A$6:$A$11,MIN(5,MATCH(MAX(Reference!$A$6,MIN(Reference!$A$11,MIN(D245,150))),Reference!$A$6:$A$11,1))))),0)+IF(4&lt;=AE245,(AE245-4+3)*(INDEX(Reference!$B$6:$B$11,MIN(5,MATCH(MAX(Reference!$A$6,MIN(Reference!$A$11,MIN(D245,180))),Reference!$A$6:$A$11,1)))+(MAX(Reference!$A$6,MIN(Reference!$A$11,MIN(D245,180)))-INDEX(Reference!$A$6:$A$11,MIN(5,MATCH(MAX(Reference!$A$6,MIN(Reference!$A$11,MIN(D245,180))),Reference!$A$6:$A$11,1))))*(INDEX(Reference!$B$6:$B$11,MIN(5,MATCH(MAX(Reference!$A$6,MIN(Reference!$A$11,MIN(D245,180))),Reference!$A$6:$A$11,1))+1)-INDEX(Reference!$B$6:$B$11,MIN(5,MATCH(MAX(Reference!$A$6,MIN(Reference!$A$11,MIN(D245,180))),Reference!$A$6:$A$11,1))))/(INDEX(Reference!$A$6:$A$11,MIN(5,MATCH(MAX(Reference!$A$6,MIN(Reference!$A$11,MIN(D245,180))),Reference!$A$6:$A$11,1))+1)-INDEX(Reference!$A$6:$A$11,MIN(5,MATCH(MAX(Reference!$A$6,MIN(Reference!$A$11,MIN(D245,180))),Reference!$A$6:$A$11,1))))),0)+IF(5&lt;=AE245,(AE245-5+3)*(INDEX(Reference!$B$6:$B$11,MIN(5,MATCH(MAX(Reference!$A$6,MIN(Reference!$A$11,MIN(D245,210))),Reference!$A$6:$A$11,1)))+(MAX(Reference!$A$6,MIN(Reference!$A$11,MIN(D245,210)))-INDEX(Reference!$A$6:$A$11,MIN(5,MATCH(MAX(Reference!$A$6,MIN(Reference!$A$11,MIN(D245,210))),Reference!$A$6:$A$11,1))))*(INDEX(Reference!$B$6:$B$11,MIN(5,MATCH(MAX(Reference!$A$6,MIN(Reference!$A$11,MIN(D245,210))),Reference!$A$6:$A$11,1))+1)-INDEX(Reference!$B$6:$B$11,MIN(5,MATCH(MAX(Reference!$A$6,MIN(Reference!$A$11,MIN(D245,210))),Reference!$A$6:$A$11,1))))/(INDEX(Reference!$A$6:$A$11,MIN(5,MATCH(MAX(Reference!$A$6,MIN(Reference!$A$11,MIN(D245,210))),Reference!$A$6:$A$11,1))+1)-INDEX(Reference!$A$6:$A$11,MIN(5,MATCH(MAX(Reference!$A$6,MIN(Reference!$A$11,MIN(D245,210))),Reference!$A$6:$A$11,1))))),0)+IF(6&lt;=AE245,(AE245-6+3)*(INDEX(Reference!$B$6:$B$11,MIN(5,MATCH(MAX(Reference!$A$6,MIN(Reference!$A$11,MIN(D245,240))),Reference!$A$6:$A$11,1)))+(MAX(Reference!$A$6,MIN(Reference!$A$11,MIN(D245,240)))-INDEX(Reference!$A$6:$A$11,MIN(5,MATCH(MAX(Reference!$A$6,MIN(Reference!$A$11,MIN(D245,240))),Reference!$A$6:$A$11,1))))*(INDEX(Reference!$B$6:$B$11,MIN(5,MATCH(MAX(Reference!$A$6,MIN(Reference!$A$11,MIN(D245,240))),Reference!$A$6:$A$11,1))+1)-INDEX(Reference!$B$6:$B$11,MIN(5,MATCH(MAX(Reference!$A$6,MIN(Reference!$A$11,MIN(D245,240))),Reference!$A$6:$A$11,1))))/(INDEX(Reference!$A$6:$A$11,MIN(5,MATCH(MAX(Reference!$A$6,MIN(Reference!$A$11,MIN(D245,240))),Reference!$A$6:$A$11,1))+1)-INDEX(Reference!$A$6:$A$11,MIN(5,MATCH(MAX(Reference!$A$6,MIN(Reference!$A$11,MIN(D245,240))),Reference!$A$6:$A$11,1))))),0)+IF(7&lt;=AE245,(AE245-7+3)*(INDEX(Reference!$B$6:$B$11,MIN(5,MATCH(MAX(Reference!$A$6,MIN(Reference!$A$11,MIN(D245,270))),Reference!$A$6:$A$11,1)))+(MAX(Reference!$A$6,MIN(Reference!$A$11,MIN(D245,270)))-INDEX(Reference!$A$6:$A$11,MIN(5,MATCH(MAX(Reference!$A$6,MIN(Reference!$A$11,MIN(D245,270))),Reference!$A$6:$A$11,1))))*(INDEX(Reference!$B$6:$B$11,MIN(5,MATCH(MAX(Reference!$A$6,MIN(Reference!$A$11,MIN(D245,270))),Reference!$A$6:$A$11,1))+1)-INDEX(Reference!$B$6:$B$11,MIN(5,MATCH(MAX(Reference!$A$6,MIN(Reference!$A$11,MIN(D245,270))),Reference!$A$6:$A$11,1))))/(INDEX(Reference!$A$6:$A$11,MIN(5,MATCH(MAX(Reference!$A$6,MIN(Reference!$A$11,MIN(D245,270))),Reference!$A$6:$A$11,1))+1)-INDEX(Reference!$A$6:$A$11,MIN(5,MATCH(MAX(Reference!$A$6,MIN(Reference!$A$11,MIN(D245,270))),Reference!$A$6:$A$11,1))))),0)+IF(8&lt;=AE245,(AE245-8+3)*(INDEX(Reference!$B$6:$B$11,MIN(5,MATCH(MAX(Reference!$A$6,MIN(Reference!$A$11,MIN(D245,300))),Reference!$A$6:$A$11,1)))+(MAX(Reference!$A$6,MIN(Reference!$A$11,MIN(D245,300)))-INDEX(Reference!$A$6:$A$11,MIN(5,MATCH(MAX(Reference!$A$6,MIN(Reference!$A$11,MIN(D245,300))),Reference!$A$6:$A$11,1))))*(INDEX(Reference!$B$6:$B$11,MIN(5,MATCH(MAX(Reference!$A$6,MIN(Reference!$A$11,MIN(D245,300))),Reference!$A$6:$A$11,1))+1)-INDEX(Reference!$B$6:$B$11,MIN(5,MATCH(MAX(Reference!$A$6,MIN(Reference!$A$11,MIN(D245,300))),Reference!$A$6:$A$11,1))))/(INDEX(Reference!$A$6:$A$11,MIN(5,MATCH(MAX(Reference!$A$6,MIN(Reference!$A$11,MIN(D245,300))),Reference!$A$6:$A$11,1))+1)-INDEX(Reference!$A$6:$A$11,MIN(5,MATCH(MAX(Reference!$A$6,MIN(Reference!$A$11,MIN(D245,300))),Reference!$A$6:$A$11,1))))),0))/(AE245*(AE245+5)/2)),(INDEX(Reference!$B$6:$B$11,MIN(5,MATCH(MAX(Reference!$A$6,MIN(Reference!$A$11,D245)),Reference!$A$6:$A$11,1)))+(MAX(Reference!$A$6,MIN(Reference!$A$11,D245))-INDEX(Reference!$A$6:$A$11,MIN(5,MATCH(MAX(Reference!$A$6,MIN(Reference!$A$11,D245)),Reference!$A$6:$A$11,1))))*(INDEX(Reference!$B$6:$B$11,MIN(5,MATCH(MAX(Reference!$A$6,MIN(Reference!$A$11,D245)),Reference!$A$6:$A$11,1))+1)-INDEX(Reference!$B$6:$B$11,MIN(5,MATCH(MAX(Reference!$A$6,MIN(Reference!$A$11,D245)),Reference!$A$6:$A$11,1))))/(INDEX(Reference!$A$6:$A$11,MIN(5,MATCH(MAX(Reference!$A$6,MIN(Reference!$A$11,D245)),Reference!$A$6:$A$11,1))+1)-INDEX(Reference!$A$6:$A$11,MIN(5,MATCH(MAX(Reference!$A$6,MIN(Reference!$A$11,D245)),Reference!$A$6:$A$11,1))))))))</f>
        <v/>
      </c>
      <c r="P245" s="32" t="str">
        <f>IF(N245="","",VLOOKUP(MAX(N245,0),Reference!$A$17:$B$20,2,TRUE()))</f>
        <v/>
      </c>
      <c r="Q245" s="32" t="str">
        <f t="shared" si="30"/>
        <v/>
      </c>
      <c r="R245" s="31"/>
      <c r="S245" s="31"/>
      <c r="T245" s="31"/>
      <c r="U245" s="32" t="str">
        <f t="shared" si="31"/>
        <v/>
      </c>
      <c r="V245" s="32" t="str">
        <f t="shared" si="32"/>
        <v/>
      </c>
      <c r="W245" s="32" t="str">
        <f>IF(V245="","",VLOOKUP(MAX(V245,0),Reference!$A$17:$B$20,2,TRUE()))</f>
        <v/>
      </c>
      <c r="X245" s="31"/>
      <c r="Y245" s="31"/>
      <c r="Z245" s="31"/>
      <c r="AA245" s="32" t="str">
        <f t="shared" si="33"/>
        <v/>
      </c>
      <c r="AB245" s="32" t="str">
        <f t="shared" si="34"/>
        <v/>
      </c>
      <c r="AC245" s="32" t="str">
        <f>IF(AB245="","",VLOOKUP(MAX(AB245,0),Reference!$A$17:$B$20,2,TRUE()))</f>
        <v/>
      </c>
      <c r="AD245" s="31"/>
      <c r="AE245">
        <f t="shared" si="35"/>
        <v>1</v>
      </c>
      <c r="AF245" s="33" t="str">
        <f>IF(OR(A245="",B245="",AND(C245&lt;&gt;"Bullpen",C245&lt;&gt;"Game")),"",IF((COUNTIFS($B$5:$B$300,B245,$A$5:$A$300,A245-1,$C$5:$C$300,"Bullpen",$AG$5:$AG$300,"&gt;0") + COUNTIFS($B$5:$B$300,B245,$A$5:$A$300,A245-1,$C$5:$C$300,"Game",$AG$5:$AG$300,"&gt;0"))&gt;0,Reference!$B$119,IF((COUNTIFS($B$5:$B$300,B245,$A$5:$A$300,A245-2,$C$5:$C$300,"Bullpen",$AG$5:$AG$300,"&gt;0") + COUNTIFS($B$5:$B$300,B245,$A$5:$A$300,A245-2,$C$5:$C$300,"Game",$AG$5:$AG$300,"&gt;0"))&gt;0,Reference!$B$120,1)))</f>
        <v/>
      </c>
      <c r="AG245" s="30" t="str">
        <f>IF(AND(OR(I245="",O245="",P245=""),OR(R245="",W245=""),OR(X245="",AC245="")),"",IF(OR(I245="",O245="",P245=""),0,I245*O245*P245)+IF(OR(R245="",W245=""),0,R245*IFERROR(INDEX(Reference!$B$61:$B$62,MATCH("Bullpen",Reference!$A$61:$A$62,0)),0)*W245)+IF(OR(X245="",AC245=""),0,X245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245))</f>
        <v/>
      </c>
    </row>
    <row r="246" spans="1:33" x14ac:dyDescent="0.3">
      <c r="A246" s="35"/>
      <c r="B246" s="31"/>
      <c r="C246" s="31"/>
      <c r="D246" s="31"/>
      <c r="E246" s="34"/>
      <c r="F246" s="34"/>
      <c r="G246" s="30" t="str">
        <f t="shared" si="27"/>
        <v/>
      </c>
      <c r="H246" s="31"/>
      <c r="I246" s="32" t="str">
        <f>IF(H246&lt;&gt;"",H246,IF(G246="","",ROUND(G246*IFERROR(INDEX(Reference!$B$44:$B$50,MATCH(C246,Reference!$A$44:$A$50,0)),0),0)))</f>
        <v/>
      </c>
      <c r="J246" s="31"/>
      <c r="K246" s="31"/>
      <c r="L246" s="32" t="str">
        <f t="shared" si="28"/>
        <v/>
      </c>
      <c r="M246" s="32" t="str">
        <f>IFERROR(INDEX(Roster!$D$5:$D$40,MATCH(B246,Roster!$A$5:$A$40,0)),"")</f>
        <v/>
      </c>
      <c r="N246" s="32" t="str">
        <f t="shared" si="29"/>
        <v/>
      </c>
      <c r="O246" s="32" t="str">
        <f>IF(OR(C246="Bullpen",C246="Game"),IFERROR(INDEX(Reference!$B$61:$B$62,MATCH(C246,Reference!$A$61:$A$62,0)),""),IF(D246="","",IF(AE246&gt;1,((IF(1&lt;=AE246,(AE246-1+3)*(INDEX(Reference!$B$6:$B$11,MIN(5,MATCH(MAX(Reference!$A$6,MIN(Reference!$A$11,MIN(D246,90))),Reference!$A$6:$A$11,1)))+(MAX(Reference!$A$6,MIN(Reference!$A$11,MIN(D246,90)))-INDEX(Reference!$A$6:$A$11,MIN(5,MATCH(MAX(Reference!$A$6,MIN(Reference!$A$11,MIN(D246,90))),Reference!$A$6:$A$11,1))))*(INDEX(Reference!$B$6:$B$11,MIN(5,MATCH(MAX(Reference!$A$6,MIN(Reference!$A$11,MIN(D246,90))),Reference!$A$6:$A$11,1))+1)-INDEX(Reference!$B$6:$B$11,MIN(5,MATCH(MAX(Reference!$A$6,MIN(Reference!$A$11,MIN(D246,90))),Reference!$A$6:$A$11,1))))/(INDEX(Reference!$A$6:$A$11,MIN(5,MATCH(MAX(Reference!$A$6,MIN(Reference!$A$11,MIN(D246,90))),Reference!$A$6:$A$11,1))+1)-INDEX(Reference!$A$6:$A$11,MIN(5,MATCH(MAX(Reference!$A$6,MIN(Reference!$A$11,MIN(D246,90))),Reference!$A$6:$A$11,1))))),0)+IF(2&lt;=AE246,(AE246-2+3)*(INDEX(Reference!$B$6:$B$11,MIN(5,MATCH(MAX(Reference!$A$6,MIN(Reference!$A$11,MIN(D246,120))),Reference!$A$6:$A$11,1)))+(MAX(Reference!$A$6,MIN(Reference!$A$11,MIN(D246,120)))-INDEX(Reference!$A$6:$A$11,MIN(5,MATCH(MAX(Reference!$A$6,MIN(Reference!$A$11,MIN(D246,120))),Reference!$A$6:$A$11,1))))*(INDEX(Reference!$B$6:$B$11,MIN(5,MATCH(MAX(Reference!$A$6,MIN(Reference!$A$11,MIN(D246,120))),Reference!$A$6:$A$11,1))+1)-INDEX(Reference!$B$6:$B$11,MIN(5,MATCH(MAX(Reference!$A$6,MIN(Reference!$A$11,MIN(D246,120))),Reference!$A$6:$A$11,1))))/(INDEX(Reference!$A$6:$A$11,MIN(5,MATCH(MAX(Reference!$A$6,MIN(Reference!$A$11,MIN(D246,120))),Reference!$A$6:$A$11,1))+1)-INDEX(Reference!$A$6:$A$11,MIN(5,MATCH(MAX(Reference!$A$6,MIN(Reference!$A$11,MIN(D246,120))),Reference!$A$6:$A$11,1))))),0)+IF(3&lt;=AE246,(AE246-3+3)*(INDEX(Reference!$B$6:$B$11,MIN(5,MATCH(MAX(Reference!$A$6,MIN(Reference!$A$11,MIN(D246,150))),Reference!$A$6:$A$11,1)))+(MAX(Reference!$A$6,MIN(Reference!$A$11,MIN(D246,150)))-INDEX(Reference!$A$6:$A$11,MIN(5,MATCH(MAX(Reference!$A$6,MIN(Reference!$A$11,MIN(D246,150))),Reference!$A$6:$A$11,1))))*(INDEX(Reference!$B$6:$B$11,MIN(5,MATCH(MAX(Reference!$A$6,MIN(Reference!$A$11,MIN(D246,150))),Reference!$A$6:$A$11,1))+1)-INDEX(Reference!$B$6:$B$11,MIN(5,MATCH(MAX(Reference!$A$6,MIN(Reference!$A$11,MIN(D246,150))),Reference!$A$6:$A$11,1))))/(INDEX(Reference!$A$6:$A$11,MIN(5,MATCH(MAX(Reference!$A$6,MIN(Reference!$A$11,MIN(D246,150))),Reference!$A$6:$A$11,1))+1)-INDEX(Reference!$A$6:$A$11,MIN(5,MATCH(MAX(Reference!$A$6,MIN(Reference!$A$11,MIN(D246,150))),Reference!$A$6:$A$11,1))))),0)+IF(4&lt;=AE246,(AE246-4+3)*(INDEX(Reference!$B$6:$B$11,MIN(5,MATCH(MAX(Reference!$A$6,MIN(Reference!$A$11,MIN(D246,180))),Reference!$A$6:$A$11,1)))+(MAX(Reference!$A$6,MIN(Reference!$A$11,MIN(D246,180)))-INDEX(Reference!$A$6:$A$11,MIN(5,MATCH(MAX(Reference!$A$6,MIN(Reference!$A$11,MIN(D246,180))),Reference!$A$6:$A$11,1))))*(INDEX(Reference!$B$6:$B$11,MIN(5,MATCH(MAX(Reference!$A$6,MIN(Reference!$A$11,MIN(D246,180))),Reference!$A$6:$A$11,1))+1)-INDEX(Reference!$B$6:$B$11,MIN(5,MATCH(MAX(Reference!$A$6,MIN(Reference!$A$11,MIN(D246,180))),Reference!$A$6:$A$11,1))))/(INDEX(Reference!$A$6:$A$11,MIN(5,MATCH(MAX(Reference!$A$6,MIN(Reference!$A$11,MIN(D246,180))),Reference!$A$6:$A$11,1))+1)-INDEX(Reference!$A$6:$A$11,MIN(5,MATCH(MAX(Reference!$A$6,MIN(Reference!$A$11,MIN(D246,180))),Reference!$A$6:$A$11,1))))),0)+IF(5&lt;=AE246,(AE246-5+3)*(INDEX(Reference!$B$6:$B$11,MIN(5,MATCH(MAX(Reference!$A$6,MIN(Reference!$A$11,MIN(D246,210))),Reference!$A$6:$A$11,1)))+(MAX(Reference!$A$6,MIN(Reference!$A$11,MIN(D246,210)))-INDEX(Reference!$A$6:$A$11,MIN(5,MATCH(MAX(Reference!$A$6,MIN(Reference!$A$11,MIN(D246,210))),Reference!$A$6:$A$11,1))))*(INDEX(Reference!$B$6:$B$11,MIN(5,MATCH(MAX(Reference!$A$6,MIN(Reference!$A$11,MIN(D246,210))),Reference!$A$6:$A$11,1))+1)-INDEX(Reference!$B$6:$B$11,MIN(5,MATCH(MAX(Reference!$A$6,MIN(Reference!$A$11,MIN(D246,210))),Reference!$A$6:$A$11,1))))/(INDEX(Reference!$A$6:$A$11,MIN(5,MATCH(MAX(Reference!$A$6,MIN(Reference!$A$11,MIN(D246,210))),Reference!$A$6:$A$11,1))+1)-INDEX(Reference!$A$6:$A$11,MIN(5,MATCH(MAX(Reference!$A$6,MIN(Reference!$A$11,MIN(D246,210))),Reference!$A$6:$A$11,1))))),0)+IF(6&lt;=AE246,(AE246-6+3)*(INDEX(Reference!$B$6:$B$11,MIN(5,MATCH(MAX(Reference!$A$6,MIN(Reference!$A$11,MIN(D246,240))),Reference!$A$6:$A$11,1)))+(MAX(Reference!$A$6,MIN(Reference!$A$11,MIN(D246,240)))-INDEX(Reference!$A$6:$A$11,MIN(5,MATCH(MAX(Reference!$A$6,MIN(Reference!$A$11,MIN(D246,240))),Reference!$A$6:$A$11,1))))*(INDEX(Reference!$B$6:$B$11,MIN(5,MATCH(MAX(Reference!$A$6,MIN(Reference!$A$11,MIN(D246,240))),Reference!$A$6:$A$11,1))+1)-INDEX(Reference!$B$6:$B$11,MIN(5,MATCH(MAX(Reference!$A$6,MIN(Reference!$A$11,MIN(D246,240))),Reference!$A$6:$A$11,1))))/(INDEX(Reference!$A$6:$A$11,MIN(5,MATCH(MAX(Reference!$A$6,MIN(Reference!$A$11,MIN(D246,240))),Reference!$A$6:$A$11,1))+1)-INDEX(Reference!$A$6:$A$11,MIN(5,MATCH(MAX(Reference!$A$6,MIN(Reference!$A$11,MIN(D246,240))),Reference!$A$6:$A$11,1))))),0)+IF(7&lt;=AE246,(AE246-7+3)*(INDEX(Reference!$B$6:$B$11,MIN(5,MATCH(MAX(Reference!$A$6,MIN(Reference!$A$11,MIN(D246,270))),Reference!$A$6:$A$11,1)))+(MAX(Reference!$A$6,MIN(Reference!$A$11,MIN(D246,270)))-INDEX(Reference!$A$6:$A$11,MIN(5,MATCH(MAX(Reference!$A$6,MIN(Reference!$A$11,MIN(D246,270))),Reference!$A$6:$A$11,1))))*(INDEX(Reference!$B$6:$B$11,MIN(5,MATCH(MAX(Reference!$A$6,MIN(Reference!$A$11,MIN(D246,270))),Reference!$A$6:$A$11,1))+1)-INDEX(Reference!$B$6:$B$11,MIN(5,MATCH(MAX(Reference!$A$6,MIN(Reference!$A$11,MIN(D246,270))),Reference!$A$6:$A$11,1))))/(INDEX(Reference!$A$6:$A$11,MIN(5,MATCH(MAX(Reference!$A$6,MIN(Reference!$A$11,MIN(D246,270))),Reference!$A$6:$A$11,1))+1)-INDEX(Reference!$A$6:$A$11,MIN(5,MATCH(MAX(Reference!$A$6,MIN(Reference!$A$11,MIN(D246,270))),Reference!$A$6:$A$11,1))))),0)+IF(8&lt;=AE246,(AE246-8+3)*(INDEX(Reference!$B$6:$B$11,MIN(5,MATCH(MAX(Reference!$A$6,MIN(Reference!$A$11,MIN(D246,300))),Reference!$A$6:$A$11,1)))+(MAX(Reference!$A$6,MIN(Reference!$A$11,MIN(D246,300)))-INDEX(Reference!$A$6:$A$11,MIN(5,MATCH(MAX(Reference!$A$6,MIN(Reference!$A$11,MIN(D246,300))),Reference!$A$6:$A$11,1))))*(INDEX(Reference!$B$6:$B$11,MIN(5,MATCH(MAX(Reference!$A$6,MIN(Reference!$A$11,MIN(D246,300))),Reference!$A$6:$A$11,1))+1)-INDEX(Reference!$B$6:$B$11,MIN(5,MATCH(MAX(Reference!$A$6,MIN(Reference!$A$11,MIN(D246,300))),Reference!$A$6:$A$11,1))))/(INDEX(Reference!$A$6:$A$11,MIN(5,MATCH(MAX(Reference!$A$6,MIN(Reference!$A$11,MIN(D246,300))),Reference!$A$6:$A$11,1))+1)-INDEX(Reference!$A$6:$A$11,MIN(5,MATCH(MAX(Reference!$A$6,MIN(Reference!$A$11,MIN(D246,300))),Reference!$A$6:$A$11,1))))),0))/(AE246*(AE246+5)/2)),(INDEX(Reference!$B$6:$B$11,MIN(5,MATCH(MAX(Reference!$A$6,MIN(Reference!$A$11,D246)),Reference!$A$6:$A$11,1)))+(MAX(Reference!$A$6,MIN(Reference!$A$11,D246))-INDEX(Reference!$A$6:$A$11,MIN(5,MATCH(MAX(Reference!$A$6,MIN(Reference!$A$11,D246)),Reference!$A$6:$A$11,1))))*(INDEX(Reference!$B$6:$B$11,MIN(5,MATCH(MAX(Reference!$A$6,MIN(Reference!$A$11,D246)),Reference!$A$6:$A$11,1))+1)-INDEX(Reference!$B$6:$B$11,MIN(5,MATCH(MAX(Reference!$A$6,MIN(Reference!$A$11,D246)),Reference!$A$6:$A$11,1))))/(INDEX(Reference!$A$6:$A$11,MIN(5,MATCH(MAX(Reference!$A$6,MIN(Reference!$A$11,D246)),Reference!$A$6:$A$11,1))+1)-INDEX(Reference!$A$6:$A$11,MIN(5,MATCH(MAX(Reference!$A$6,MIN(Reference!$A$11,D246)),Reference!$A$6:$A$11,1))))))))</f>
        <v/>
      </c>
      <c r="P246" s="32" t="str">
        <f>IF(N246="","",VLOOKUP(MAX(N246,0),Reference!$A$17:$B$20,2,TRUE()))</f>
        <v/>
      </c>
      <c r="Q246" s="32" t="str">
        <f t="shared" si="30"/>
        <v/>
      </c>
      <c r="R246" s="31"/>
      <c r="S246" s="31"/>
      <c r="T246" s="31"/>
      <c r="U246" s="32" t="str">
        <f t="shared" si="31"/>
        <v/>
      </c>
      <c r="V246" s="32" t="str">
        <f t="shared" si="32"/>
        <v/>
      </c>
      <c r="W246" s="32" t="str">
        <f>IF(V246="","",VLOOKUP(MAX(V246,0),Reference!$A$17:$B$20,2,TRUE()))</f>
        <v/>
      </c>
      <c r="X246" s="31"/>
      <c r="Y246" s="31"/>
      <c r="Z246" s="31"/>
      <c r="AA246" s="32" t="str">
        <f t="shared" si="33"/>
        <v/>
      </c>
      <c r="AB246" s="32" t="str">
        <f t="shared" si="34"/>
        <v/>
      </c>
      <c r="AC246" s="32" t="str">
        <f>IF(AB246="","",VLOOKUP(MAX(AB246,0),Reference!$A$17:$B$20,2,TRUE()))</f>
        <v/>
      </c>
      <c r="AD246" s="31"/>
      <c r="AE246">
        <f t="shared" si="35"/>
        <v>1</v>
      </c>
      <c r="AF246" s="33" t="str">
        <f>IF(OR(A246="",B246="",AND(C246&lt;&gt;"Bullpen",C246&lt;&gt;"Game")),"",IF((COUNTIFS($B$5:$B$300,B246,$A$5:$A$300,A246-1,$C$5:$C$300,"Bullpen",$AG$5:$AG$300,"&gt;0") + COUNTIFS($B$5:$B$300,B246,$A$5:$A$300,A246-1,$C$5:$C$300,"Game",$AG$5:$AG$300,"&gt;0"))&gt;0,Reference!$B$119,IF((COUNTIFS($B$5:$B$300,B246,$A$5:$A$300,A246-2,$C$5:$C$300,"Bullpen",$AG$5:$AG$300,"&gt;0") + COUNTIFS($B$5:$B$300,B246,$A$5:$A$300,A246-2,$C$5:$C$300,"Game",$AG$5:$AG$300,"&gt;0"))&gt;0,Reference!$B$120,1)))</f>
        <v/>
      </c>
      <c r="AG246" s="30" t="str">
        <f>IF(AND(OR(I246="",O246="",P246=""),OR(R246="",W246=""),OR(X246="",AC246="")),"",IF(OR(I246="",O246="",P246=""),0,I246*O246*P246)+IF(OR(R246="",W246=""),0,R246*IFERROR(INDEX(Reference!$B$61:$B$62,MATCH("Bullpen",Reference!$A$61:$A$62,0)),0)*W246)+IF(OR(X246="",AC246=""),0,X246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246))</f>
        <v/>
      </c>
    </row>
    <row r="247" spans="1:33" x14ac:dyDescent="0.3">
      <c r="A247" s="35"/>
      <c r="B247" s="31"/>
      <c r="C247" s="31"/>
      <c r="D247" s="31"/>
      <c r="E247" s="34"/>
      <c r="F247" s="34"/>
      <c r="G247" s="30" t="str">
        <f t="shared" si="27"/>
        <v/>
      </c>
      <c r="H247" s="31"/>
      <c r="I247" s="32" t="str">
        <f>IF(H247&lt;&gt;"",H247,IF(G247="","",ROUND(G247*IFERROR(INDEX(Reference!$B$44:$B$50,MATCH(C247,Reference!$A$44:$A$50,0)),0),0)))</f>
        <v/>
      </c>
      <c r="J247" s="31"/>
      <c r="K247" s="31"/>
      <c r="L247" s="32" t="str">
        <f t="shared" si="28"/>
        <v/>
      </c>
      <c r="M247" s="32" t="str">
        <f>IFERROR(INDEX(Roster!$D$5:$D$40,MATCH(B247,Roster!$A$5:$A$40,0)),"")</f>
        <v/>
      </c>
      <c r="N247" s="32" t="str">
        <f t="shared" si="29"/>
        <v/>
      </c>
      <c r="O247" s="32" t="str">
        <f>IF(OR(C247="Bullpen",C247="Game"),IFERROR(INDEX(Reference!$B$61:$B$62,MATCH(C247,Reference!$A$61:$A$62,0)),""),IF(D247="","",IF(AE247&gt;1,((IF(1&lt;=AE247,(AE247-1+3)*(INDEX(Reference!$B$6:$B$11,MIN(5,MATCH(MAX(Reference!$A$6,MIN(Reference!$A$11,MIN(D247,90))),Reference!$A$6:$A$11,1)))+(MAX(Reference!$A$6,MIN(Reference!$A$11,MIN(D247,90)))-INDEX(Reference!$A$6:$A$11,MIN(5,MATCH(MAX(Reference!$A$6,MIN(Reference!$A$11,MIN(D247,90))),Reference!$A$6:$A$11,1))))*(INDEX(Reference!$B$6:$B$11,MIN(5,MATCH(MAX(Reference!$A$6,MIN(Reference!$A$11,MIN(D247,90))),Reference!$A$6:$A$11,1))+1)-INDEX(Reference!$B$6:$B$11,MIN(5,MATCH(MAX(Reference!$A$6,MIN(Reference!$A$11,MIN(D247,90))),Reference!$A$6:$A$11,1))))/(INDEX(Reference!$A$6:$A$11,MIN(5,MATCH(MAX(Reference!$A$6,MIN(Reference!$A$11,MIN(D247,90))),Reference!$A$6:$A$11,1))+1)-INDEX(Reference!$A$6:$A$11,MIN(5,MATCH(MAX(Reference!$A$6,MIN(Reference!$A$11,MIN(D247,90))),Reference!$A$6:$A$11,1))))),0)+IF(2&lt;=AE247,(AE247-2+3)*(INDEX(Reference!$B$6:$B$11,MIN(5,MATCH(MAX(Reference!$A$6,MIN(Reference!$A$11,MIN(D247,120))),Reference!$A$6:$A$11,1)))+(MAX(Reference!$A$6,MIN(Reference!$A$11,MIN(D247,120)))-INDEX(Reference!$A$6:$A$11,MIN(5,MATCH(MAX(Reference!$A$6,MIN(Reference!$A$11,MIN(D247,120))),Reference!$A$6:$A$11,1))))*(INDEX(Reference!$B$6:$B$11,MIN(5,MATCH(MAX(Reference!$A$6,MIN(Reference!$A$11,MIN(D247,120))),Reference!$A$6:$A$11,1))+1)-INDEX(Reference!$B$6:$B$11,MIN(5,MATCH(MAX(Reference!$A$6,MIN(Reference!$A$11,MIN(D247,120))),Reference!$A$6:$A$11,1))))/(INDEX(Reference!$A$6:$A$11,MIN(5,MATCH(MAX(Reference!$A$6,MIN(Reference!$A$11,MIN(D247,120))),Reference!$A$6:$A$11,1))+1)-INDEX(Reference!$A$6:$A$11,MIN(5,MATCH(MAX(Reference!$A$6,MIN(Reference!$A$11,MIN(D247,120))),Reference!$A$6:$A$11,1))))),0)+IF(3&lt;=AE247,(AE247-3+3)*(INDEX(Reference!$B$6:$B$11,MIN(5,MATCH(MAX(Reference!$A$6,MIN(Reference!$A$11,MIN(D247,150))),Reference!$A$6:$A$11,1)))+(MAX(Reference!$A$6,MIN(Reference!$A$11,MIN(D247,150)))-INDEX(Reference!$A$6:$A$11,MIN(5,MATCH(MAX(Reference!$A$6,MIN(Reference!$A$11,MIN(D247,150))),Reference!$A$6:$A$11,1))))*(INDEX(Reference!$B$6:$B$11,MIN(5,MATCH(MAX(Reference!$A$6,MIN(Reference!$A$11,MIN(D247,150))),Reference!$A$6:$A$11,1))+1)-INDEX(Reference!$B$6:$B$11,MIN(5,MATCH(MAX(Reference!$A$6,MIN(Reference!$A$11,MIN(D247,150))),Reference!$A$6:$A$11,1))))/(INDEX(Reference!$A$6:$A$11,MIN(5,MATCH(MAX(Reference!$A$6,MIN(Reference!$A$11,MIN(D247,150))),Reference!$A$6:$A$11,1))+1)-INDEX(Reference!$A$6:$A$11,MIN(5,MATCH(MAX(Reference!$A$6,MIN(Reference!$A$11,MIN(D247,150))),Reference!$A$6:$A$11,1))))),0)+IF(4&lt;=AE247,(AE247-4+3)*(INDEX(Reference!$B$6:$B$11,MIN(5,MATCH(MAX(Reference!$A$6,MIN(Reference!$A$11,MIN(D247,180))),Reference!$A$6:$A$11,1)))+(MAX(Reference!$A$6,MIN(Reference!$A$11,MIN(D247,180)))-INDEX(Reference!$A$6:$A$11,MIN(5,MATCH(MAX(Reference!$A$6,MIN(Reference!$A$11,MIN(D247,180))),Reference!$A$6:$A$11,1))))*(INDEX(Reference!$B$6:$B$11,MIN(5,MATCH(MAX(Reference!$A$6,MIN(Reference!$A$11,MIN(D247,180))),Reference!$A$6:$A$11,1))+1)-INDEX(Reference!$B$6:$B$11,MIN(5,MATCH(MAX(Reference!$A$6,MIN(Reference!$A$11,MIN(D247,180))),Reference!$A$6:$A$11,1))))/(INDEX(Reference!$A$6:$A$11,MIN(5,MATCH(MAX(Reference!$A$6,MIN(Reference!$A$11,MIN(D247,180))),Reference!$A$6:$A$11,1))+1)-INDEX(Reference!$A$6:$A$11,MIN(5,MATCH(MAX(Reference!$A$6,MIN(Reference!$A$11,MIN(D247,180))),Reference!$A$6:$A$11,1))))),0)+IF(5&lt;=AE247,(AE247-5+3)*(INDEX(Reference!$B$6:$B$11,MIN(5,MATCH(MAX(Reference!$A$6,MIN(Reference!$A$11,MIN(D247,210))),Reference!$A$6:$A$11,1)))+(MAX(Reference!$A$6,MIN(Reference!$A$11,MIN(D247,210)))-INDEX(Reference!$A$6:$A$11,MIN(5,MATCH(MAX(Reference!$A$6,MIN(Reference!$A$11,MIN(D247,210))),Reference!$A$6:$A$11,1))))*(INDEX(Reference!$B$6:$B$11,MIN(5,MATCH(MAX(Reference!$A$6,MIN(Reference!$A$11,MIN(D247,210))),Reference!$A$6:$A$11,1))+1)-INDEX(Reference!$B$6:$B$11,MIN(5,MATCH(MAX(Reference!$A$6,MIN(Reference!$A$11,MIN(D247,210))),Reference!$A$6:$A$11,1))))/(INDEX(Reference!$A$6:$A$11,MIN(5,MATCH(MAX(Reference!$A$6,MIN(Reference!$A$11,MIN(D247,210))),Reference!$A$6:$A$11,1))+1)-INDEX(Reference!$A$6:$A$11,MIN(5,MATCH(MAX(Reference!$A$6,MIN(Reference!$A$11,MIN(D247,210))),Reference!$A$6:$A$11,1))))),0)+IF(6&lt;=AE247,(AE247-6+3)*(INDEX(Reference!$B$6:$B$11,MIN(5,MATCH(MAX(Reference!$A$6,MIN(Reference!$A$11,MIN(D247,240))),Reference!$A$6:$A$11,1)))+(MAX(Reference!$A$6,MIN(Reference!$A$11,MIN(D247,240)))-INDEX(Reference!$A$6:$A$11,MIN(5,MATCH(MAX(Reference!$A$6,MIN(Reference!$A$11,MIN(D247,240))),Reference!$A$6:$A$11,1))))*(INDEX(Reference!$B$6:$B$11,MIN(5,MATCH(MAX(Reference!$A$6,MIN(Reference!$A$11,MIN(D247,240))),Reference!$A$6:$A$11,1))+1)-INDEX(Reference!$B$6:$B$11,MIN(5,MATCH(MAX(Reference!$A$6,MIN(Reference!$A$11,MIN(D247,240))),Reference!$A$6:$A$11,1))))/(INDEX(Reference!$A$6:$A$11,MIN(5,MATCH(MAX(Reference!$A$6,MIN(Reference!$A$11,MIN(D247,240))),Reference!$A$6:$A$11,1))+1)-INDEX(Reference!$A$6:$A$11,MIN(5,MATCH(MAX(Reference!$A$6,MIN(Reference!$A$11,MIN(D247,240))),Reference!$A$6:$A$11,1))))),0)+IF(7&lt;=AE247,(AE247-7+3)*(INDEX(Reference!$B$6:$B$11,MIN(5,MATCH(MAX(Reference!$A$6,MIN(Reference!$A$11,MIN(D247,270))),Reference!$A$6:$A$11,1)))+(MAX(Reference!$A$6,MIN(Reference!$A$11,MIN(D247,270)))-INDEX(Reference!$A$6:$A$11,MIN(5,MATCH(MAX(Reference!$A$6,MIN(Reference!$A$11,MIN(D247,270))),Reference!$A$6:$A$11,1))))*(INDEX(Reference!$B$6:$B$11,MIN(5,MATCH(MAX(Reference!$A$6,MIN(Reference!$A$11,MIN(D247,270))),Reference!$A$6:$A$11,1))+1)-INDEX(Reference!$B$6:$B$11,MIN(5,MATCH(MAX(Reference!$A$6,MIN(Reference!$A$11,MIN(D247,270))),Reference!$A$6:$A$11,1))))/(INDEX(Reference!$A$6:$A$11,MIN(5,MATCH(MAX(Reference!$A$6,MIN(Reference!$A$11,MIN(D247,270))),Reference!$A$6:$A$11,1))+1)-INDEX(Reference!$A$6:$A$11,MIN(5,MATCH(MAX(Reference!$A$6,MIN(Reference!$A$11,MIN(D247,270))),Reference!$A$6:$A$11,1))))),0)+IF(8&lt;=AE247,(AE247-8+3)*(INDEX(Reference!$B$6:$B$11,MIN(5,MATCH(MAX(Reference!$A$6,MIN(Reference!$A$11,MIN(D247,300))),Reference!$A$6:$A$11,1)))+(MAX(Reference!$A$6,MIN(Reference!$A$11,MIN(D247,300)))-INDEX(Reference!$A$6:$A$11,MIN(5,MATCH(MAX(Reference!$A$6,MIN(Reference!$A$11,MIN(D247,300))),Reference!$A$6:$A$11,1))))*(INDEX(Reference!$B$6:$B$11,MIN(5,MATCH(MAX(Reference!$A$6,MIN(Reference!$A$11,MIN(D247,300))),Reference!$A$6:$A$11,1))+1)-INDEX(Reference!$B$6:$B$11,MIN(5,MATCH(MAX(Reference!$A$6,MIN(Reference!$A$11,MIN(D247,300))),Reference!$A$6:$A$11,1))))/(INDEX(Reference!$A$6:$A$11,MIN(5,MATCH(MAX(Reference!$A$6,MIN(Reference!$A$11,MIN(D247,300))),Reference!$A$6:$A$11,1))+1)-INDEX(Reference!$A$6:$A$11,MIN(5,MATCH(MAX(Reference!$A$6,MIN(Reference!$A$11,MIN(D247,300))),Reference!$A$6:$A$11,1))))),0))/(AE247*(AE247+5)/2)),(INDEX(Reference!$B$6:$B$11,MIN(5,MATCH(MAX(Reference!$A$6,MIN(Reference!$A$11,D247)),Reference!$A$6:$A$11,1)))+(MAX(Reference!$A$6,MIN(Reference!$A$11,D247))-INDEX(Reference!$A$6:$A$11,MIN(5,MATCH(MAX(Reference!$A$6,MIN(Reference!$A$11,D247)),Reference!$A$6:$A$11,1))))*(INDEX(Reference!$B$6:$B$11,MIN(5,MATCH(MAX(Reference!$A$6,MIN(Reference!$A$11,D247)),Reference!$A$6:$A$11,1))+1)-INDEX(Reference!$B$6:$B$11,MIN(5,MATCH(MAX(Reference!$A$6,MIN(Reference!$A$11,D247)),Reference!$A$6:$A$11,1))))/(INDEX(Reference!$A$6:$A$11,MIN(5,MATCH(MAX(Reference!$A$6,MIN(Reference!$A$11,D247)),Reference!$A$6:$A$11,1))+1)-INDEX(Reference!$A$6:$A$11,MIN(5,MATCH(MAX(Reference!$A$6,MIN(Reference!$A$11,D247)),Reference!$A$6:$A$11,1))))))))</f>
        <v/>
      </c>
      <c r="P247" s="32" t="str">
        <f>IF(N247="","",VLOOKUP(MAX(N247,0),Reference!$A$17:$B$20,2,TRUE()))</f>
        <v/>
      </c>
      <c r="Q247" s="32" t="str">
        <f t="shared" si="30"/>
        <v/>
      </c>
      <c r="R247" s="31"/>
      <c r="S247" s="31"/>
      <c r="T247" s="31"/>
      <c r="U247" s="32" t="str">
        <f t="shared" si="31"/>
        <v/>
      </c>
      <c r="V247" s="32" t="str">
        <f t="shared" si="32"/>
        <v/>
      </c>
      <c r="W247" s="32" t="str">
        <f>IF(V247="","",VLOOKUP(MAX(V247,0),Reference!$A$17:$B$20,2,TRUE()))</f>
        <v/>
      </c>
      <c r="X247" s="31"/>
      <c r="Y247" s="31"/>
      <c r="Z247" s="31"/>
      <c r="AA247" s="32" t="str">
        <f t="shared" si="33"/>
        <v/>
      </c>
      <c r="AB247" s="32" t="str">
        <f t="shared" si="34"/>
        <v/>
      </c>
      <c r="AC247" s="32" t="str">
        <f>IF(AB247="","",VLOOKUP(MAX(AB247,0),Reference!$A$17:$B$20,2,TRUE()))</f>
        <v/>
      </c>
      <c r="AD247" s="31"/>
      <c r="AE247">
        <f t="shared" si="35"/>
        <v>1</v>
      </c>
      <c r="AF247" s="33" t="str">
        <f>IF(OR(A247="",B247="",AND(C247&lt;&gt;"Bullpen",C247&lt;&gt;"Game")),"",IF((COUNTIFS($B$5:$B$300,B247,$A$5:$A$300,A247-1,$C$5:$C$300,"Bullpen",$AG$5:$AG$300,"&gt;0") + COUNTIFS($B$5:$B$300,B247,$A$5:$A$300,A247-1,$C$5:$C$300,"Game",$AG$5:$AG$300,"&gt;0"))&gt;0,Reference!$B$119,IF((COUNTIFS($B$5:$B$300,B247,$A$5:$A$300,A247-2,$C$5:$C$300,"Bullpen",$AG$5:$AG$300,"&gt;0") + COUNTIFS($B$5:$B$300,B247,$A$5:$A$300,A247-2,$C$5:$C$300,"Game",$AG$5:$AG$300,"&gt;0"))&gt;0,Reference!$B$120,1)))</f>
        <v/>
      </c>
      <c r="AG247" s="30" t="str">
        <f>IF(AND(OR(I247="",O247="",P247=""),OR(R247="",W247=""),OR(X247="",AC247="")),"",IF(OR(I247="",O247="",P247=""),0,I247*O247*P247)+IF(OR(R247="",W247=""),0,R247*IFERROR(INDEX(Reference!$B$61:$B$62,MATCH("Bullpen",Reference!$A$61:$A$62,0)),0)*W247)+IF(OR(X247="",AC247=""),0,X247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247))</f>
        <v/>
      </c>
    </row>
    <row r="248" spans="1:33" x14ac:dyDescent="0.3">
      <c r="A248" s="35"/>
      <c r="B248" s="31"/>
      <c r="C248" s="31"/>
      <c r="D248" s="31"/>
      <c r="E248" s="34"/>
      <c r="F248" s="34"/>
      <c r="G248" s="30" t="str">
        <f t="shared" si="27"/>
        <v/>
      </c>
      <c r="H248" s="31"/>
      <c r="I248" s="32" t="str">
        <f>IF(H248&lt;&gt;"",H248,IF(G248="","",ROUND(G248*IFERROR(INDEX(Reference!$B$44:$B$50,MATCH(C248,Reference!$A$44:$A$50,0)),0),0)))</f>
        <v/>
      </c>
      <c r="J248" s="31"/>
      <c r="K248" s="31"/>
      <c r="L248" s="32" t="str">
        <f t="shared" si="28"/>
        <v/>
      </c>
      <c r="M248" s="32" t="str">
        <f>IFERROR(INDEX(Roster!$D$5:$D$40,MATCH(B248,Roster!$A$5:$A$40,0)),"")</f>
        <v/>
      </c>
      <c r="N248" s="32" t="str">
        <f t="shared" si="29"/>
        <v/>
      </c>
      <c r="O248" s="32" t="str">
        <f>IF(OR(C248="Bullpen",C248="Game"),IFERROR(INDEX(Reference!$B$61:$B$62,MATCH(C248,Reference!$A$61:$A$62,0)),""),IF(D248="","",IF(AE248&gt;1,((IF(1&lt;=AE248,(AE248-1+3)*(INDEX(Reference!$B$6:$B$11,MIN(5,MATCH(MAX(Reference!$A$6,MIN(Reference!$A$11,MIN(D248,90))),Reference!$A$6:$A$11,1)))+(MAX(Reference!$A$6,MIN(Reference!$A$11,MIN(D248,90)))-INDEX(Reference!$A$6:$A$11,MIN(5,MATCH(MAX(Reference!$A$6,MIN(Reference!$A$11,MIN(D248,90))),Reference!$A$6:$A$11,1))))*(INDEX(Reference!$B$6:$B$11,MIN(5,MATCH(MAX(Reference!$A$6,MIN(Reference!$A$11,MIN(D248,90))),Reference!$A$6:$A$11,1))+1)-INDEX(Reference!$B$6:$B$11,MIN(5,MATCH(MAX(Reference!$A$6,MIN(Reference!$A$11,MIN(D248,90))),Reference!$A$6:$A$11,1))))/(INDEX(Reference!$A$6:$A$11,MIN(5,MATCH(MAX(Reference!$A$6,MIN(Reference!$A$11,MIN(D248,90))),Reference!$A$6:$A$11,1))+1)-INDEX(Reference!$A$6:$A$11,MIN(5,MATCH(MAX(Reference!$A$6,MIN(Reference!$A$11,MIN(D248,90))),Reference!$A$6:$A$11,1))))),0)+IF(2&lt;=AE248,(AE248-2+3)*(INDEX(Reference!$B$6:$B$11,MIN(5,MATCH(MAX(Reference!$A$6,MIN(Reference!$A$11,MIN(D248,120))),Reference!$A$6:$A$11,1)))+(MAX(Reference!$A$6,MIN(Reference!$A$11,MIN(D248,120)))-INDEX(Reference!$A$6:$A$11,MIN(5,MATCH(MAX(Reference!$A$6,MIN(Reference!$A$11,MIN(D248,120))),Reference!$A$6:$A$11,1))))*(INDEX(Reference!$B$6:$B$11,MIN(5,MATCH(MAX(Reference!$A$6,MIN(Reference!$A$11,MIN(D248,120))),Reference!$A$6:$A$11,1))+1)-INDEX(Reference!$B$6:$B$11,MIN(5,MATCH(MAX(Reference!$A$6,MIN(Reference!$A$11,MIN(D248,120))),Reference!$A$6:$A$11,1))))/(INDEX(Reference!$A$6:$A$11,MIN(5,MATCH(MAX(Reference!$A$6,MIN(Reference!$A$11,MIN(D248,120))),Reference!$A$6:$A$11,1))+1)-INDEX(Reference!$A$6:$A$11,MIN(5,MATCH(MAX(Reference!$A$6,MIN(Reference!$A$11,MIN(D248,120))),Reference!$A$6:$A$11,1))))),0)+IF(3&lt;=AE248,(AE248-3+3)*(INDEX(Reference!$B$6:$B$11,MIN(5,MATCH(MAX(Reference!$A$6,MIN(Reference!$A$11,MIN(D248,150))),Reference!$A$6:$A$11,1)))+(MAX(Reference!$A$6,MIN(Reference!$A$11,MIN(D248,150)))-INDEX(Reference!$A$6:$A$11,MIN(5,MATCH(MAX(Reference!$A$6,MIN(Reference!$A$11,MIN(D248,150))),Reference!$A$6:$A$11,1))))*(INDEX(Reference!$B$6:$B$11,MIN(5,MATCH(MAX(Reference!$A$6,MIN(Reference!$A$11,MIN(D248,150))),Reference!$A$6:$A$11,1))+1)-INDEX(Reference!$B$6:$B$11,MIN(5,MATCH(MAX(Reference!$A$6,MIN(Reference!$A$11,MIN(D248,150))),Reference!$A$6:$A$11,1))))/(INDEX(Reference!$A$6:$A$11,MIN(5,MATCH(MAX(Reference!$A$6,MIN(Reference!$A$11,MIN(D248,150))),Reference!$A$6:$A$11,1))+1)-INDEX(Reference!$A$6:$A$11,MIN(5,MATCH(MAX(Reference!$A$6,MIN(Reference!$A$11,MIN(D248,150))),Reference!$A$6:$A$11,1))))),0)+IF(4&lt;=AE248,(AE248-4+3)*(INDEX(Reference!$B$6:$B$11,MIN(5,MATCH(MAX(Reference!$A$6,MIN(Reference!$A$11,MIN(D248,180))),Reference!$A$6:$A$11,1)))+(MAX(Reference!$A$6,MIN(Reference!$A$11,MIN(D248,180)))-INDEX(Reference!$A$6:$A$11,MIN(5,MATCH(MAX(Reference!$A$6,MIN(Reference!$A$11,MIN(D248,180))),Reference!$A$6:$A$11,1))))*(INDEX(Reference!$B$6:$B$11,MIN(5,MATCH(MAX(Reference!$A$6,MIN(Reference!$A$11,MIN(D248,180))),Reference!$A$6:$A$11,1))+1)-INDEX(Reference!$B$6:$B$11,MIN(5,MATCH(MAX(Reference!$A$6,MIN(Reference!$A$11,MIN(D248,180))),Reference!$A$6:$A$11,1))))/(INDEX(Reference!$A$6:$A$11,MIN(5,MATCH(MAX(Reference!$A$6,MIN(Reference!$A$11,MIN(D248,180))),Reference!$A$6:$A$11,1))+1)-INDEX(Reference!$A$6:$A$11,MIN(5,MATCH(MAX(Reference!$A$6,MIN(Reference!$A$11,MIN(D248,180))),Reference!$A$6:$A$11,1))))),0)+IF(5&lt;=AE248,(AE248-5+3)*(INDEX(Reference!$B$6:$B$11,MIN(5,MATCH(MAX(Reference!$A$6,MIN(Reference!$A$11,MIN(D248,210))),Reference!$A$6:$A$11,1)))+(MAX(Reference!$A$6,MIN(Reference!$A$11,MIN(D248,210)))-INDEX(Reference!$A$6:$A$11,MIN(5,MATCH(MAX(Reference!$A$6,MIN(Reference!$A$11,MIN(D248,210))),Reference!$A$6:$A$11,1))))*(INDEX(Reference!$B$6:$B$11,MIN(5,MATCH(MAX(Reference!$A$6,MIN(Reference!$A$11,MIN(D248,210))),Reference!$A$6:$A$11,1))+1)-INDEX(Reference!$B$6:$B$11,MIN(5,MATCH(MAX(Reference!$A$6,MIN(Reference!$A$11,MIN(D248,210))),Reference!$A$6:$A$11,1))))/(INDEX(Reference!$A$6:$A$11,MIN(5,MATCH(MAX(Reference!$A$6,MIN(Reference!$A$11,MIN(D248,210))),Reference!$A$6:$A$11,1))+1)-INDEX(Reference!$A$6:$A$11,MIN(5,MATCH(MAX(Reference!$A$6,MIN(Reference!$A$11,MIN(D248,210))),Reference!$A$6:$A$11,1))))),0)+IF(6&lt;=AE248,(AE248-6+3)*(INDEX(Reference!$B$6:$B$11,MIN(5,MATCH(MAX(Reference!$A$6,MIN(Reference!$A$11,MIN(D248,240))),Reference!$A$6:$A$11,1)))+(MAX(Reference!$A$6,MIN(Reference!$A$11,MIN(D248,240)))-INDEX(Reference!$A$6:$A$11,MIN(5,MATCH(MAX(Reference!$A$6,MIN(Reference!$A$11,MIN(D248,240))),Reference!$A$6:$A$11,1))))*(INDEX(Reference!$B$6:$B$11,MIN(5,MATCH(MAX(Reference!$A$6,MIN(Reference!$A$11,MIN(D248,240))),Reference!$A$6:$A$11,1))+1)-INDEX(Reference!$B$6:$B$11,MIN(5,MATCH(MAX(Reference!$A$6,MIN(Reference!$A$11,MIN(D248,240))),Reference!$A$6:$A$11,1))))/(INDEX(Reference!$A$6:$A$11,MIN(5,MATCH(MAX(Reference!$A$6,MIN(Reference!$A$11,MIN(D248,240))),Reference!$A$6:$A$11,1))+1)-INDEX(Reference!$A$6:$A$11,MIN(5,MATCH(MAX(Reference!$A$6,MIN(Reference!$A$11,MIN(D248,240))),Reference!$A$6:$A$11,1))))),0)+IF(7&lt;=AE248,(AE248-7+3)*(INDEX(Reference!$B$6:$B$11,MIN(5,MATCH(MAX(Reference!$A$6,MIN(Reference!$A$11,MIN(D248,270))),Reference!$A$6:$A$11,1)))+(MAX(Reference!$A$6,MIN(Reference!$A$11,MIN(D248,270)))-INDEX(Reference!$A$6:$A$11,MIN(5,MATCH(MAX(Reference!$A$6,MIN(Reference!$A$11,MIN(D248,270))),Reference!$A$6:$A$11,1))))*(INDEX(Reference!$B$6:$B$11,MIN(5,MATCH(MAX(Reference!$A$6,MIN(Reference!$A$11,MIN(D248,270))),Reference!$A$6:$A$11,1))+1)-INDEX(Reference!$B$6:$B$11,MIN(5,MATCH(MAX(Reference!$A$6,MIN(Reference!$A$11,MIN(D248,270))),Reference!$A$6:$A$11,1))))/(INDEX(Reference!$A$6:$A$11,MIN(5,MATCH(MAX(Reference!$A$6,MIN(Reference!$A$11,MIN(D248,270))),Reference!$A$6:$A$11,1))+1)-INDEX(Reference!$A$6:$A$11,MIN(5,MATCH(MAX(Reference!$A$6,MIN(Reference!$A$11,MIN(D248,270))),Reference!$A$6:$A$11,1))))),0)+IF(8&lt;=AE248,(AE248-8+3)*(INDEX(Reference!$B$6:$B$11,MIN(5,MATCH(MAX(Reference!$A$6,MIN(Reference!$A$11,MIN(D248,300))),Reference!$A$6:$A$11,1)))+(MAX(Reference!$A$6,MIN(Reference!$A$11,MIN(D248,300)))-INDEX(Reference!$A$6:$A$11,MIN(5,MATCH(MAX(Reference!$A$6,MIN(Reference!$A$11,MIN(D248,300))),Reference!$A$6:$A$11,1))))*(INDEX(Reference!$B$6:$B$11,MIN(5,MATCH(MAX(Reference!$A$6,MIN(Reference!$A$11,MIN(D248,300))),Reference!$A$6:$A$11,1))+1)-INDEX(Reference!$B$6:$B$11,MIN(5,MATCH(MAX(Reference!$A$6,MIN(Reference!$A$11,MIN(D248,300))),Reference!$A$6:$A$11,1))))/(INDEX(Reference!$A$6:$A$11,MIN(5,MATCH(MAX(Reference!$A$6,MIN(Reference!$A$11,MIN(D248,300))),Reference!$A$6:$A$11,1))+1)-INDEX(Reference!$A$6:$A$11,MIN(5,MATCH(MAX(Reference!$A$6,MIN(Reference!$A$11,MIN(D248,300))),Reference!$A$6:$A$11,1))))),0))/(AE248*(AE248+5)/2)),(INDEX(Reference!$B$6:$B$11,MIN(5,MATCH(MAX(Reference!$A$6,MIN(Reference!$A$11,D248)),Reference!$A$6:$A$11,1)))+(MAX(Reference!$A$6,MIN(Reference!$A$11,D248))-INDEX(Reference!$A$6:$A$11,MIN(5,MATCH(MAX(Reference!$A$6,MIN(Reference!$A$11,D248)),Reference!$A$6:$A$11,1))))*(INDEX(Reference!$B$6:$B$11,MIN(5,MATCH(MAX(Reference!$A$6,MIN(Reference!$A$11,D248)),Reference!$A$6:$A$11,1))+1)-INDEX(Reference!$B$6:$B$11,MIN(5,MATCH(MAX(Reference!$A$6,MIN(Reference!$A$11,D248)),Reference!$A$6:$A$11,1))))/(INDEX(Reference!$A$6:$A$11,MIN(5,MATCH(MAX(Reference!$A$6,MIN(Reference!$A$11,D248)),Reference!$A$6:$A$11,1))+1)-INDEX(Reference!$A$6:$A$11,MIN(5,MATCH(MAX(Reference!$A$6,MIN(Reference!$A$11,D248)),Reference!$A$6:$A$11,1))))))))</f>
        <v/>
      </c>
      <c r="P248" s="32" t="str">
        <f>IF(N248="","",VLOOKUP(MAX(N248,0),Reference!$A$17:$B$20,2,TRUE()))</f>
        <v/>
      </c>
      <c r="Q248" s="32" t="str">
        <f t="shared" si="30"/>
        <v/>
      </c>
      <c r="R248" s="31"/>
      <c r="S248" s="31"/>
      <c r="T248" s="31"/>
      <c r="U248" s="32" t="str">
        <f t="shared" si="31"/>
        <v/>
      </c>
      <c r="V248" s="32" t="str">
        <f t="shared" si="32"/>
        <v/>
      </c>
      <c r="W248" s="32" t="str">
        <f>IF(V248="","",VLOOKUP(MAX(V248,0),Reference!$A$17:$B$20,2,TRUE()))</f>
        <v/>
      </c>
      <c r="X248" s="31"/>
      <c r="Y248" s="31"/>
      <c r="Z248" s="31"/>
      <c r="AA248" s="32" t="str">
        <f t="shared" si="33"/>
        <v/>
      </c>
      <c r="AB248" s="32" t="str">
        <f t="shared" si="34"/>
        <v/>
      </c>
      <c r="AC248" s="32" t="str">
        <f>IF(AB248="","",VLOOKUP(MAX(AB248,0),Reference!$A$17:$B$20,2,TRUE()))</f>
        <v/>
      </c>
      <c r="AD248" s="31"/>
      <c r="AE248">
        <f t="shared" si="35"/>
        <v>1</v>
      </c>
      <c r="AF248" s="33" t="str">
        <f>IF(OR(A248="",B248="",AND(C248&lt;&gt;"Bullpen",C248&lt;&gt;"Game")),"",IF((COUNTIFS($B$5:$B$300,B248,$A$5:$A$300,A248-1,$C$5:$C$300,"Bullpen",$AG$5:$AG$300,"&gt;0") + COUNTIFS($B$5:$B$300,B248,$A$5:$A$300,A248-1,$C$5:$C$300,"Game",$AG$5:$AG$300,"&gt;0"))&gt;0,Reference!$B$119,IF((COUNTIFS($B$5:$B$300,B248,$A$5:$A$300,A248-2,$C$5:$C$300,"Bullpen",$AG$5:$AG$300,"&gt;0") + COUNTIFS($B$5:$B$300,B248,$A$5:$A$300,A248-2,$C$5:$C$300,"Game",$AG$5:$AG$300,"&gt;0"))&gt;0,Reference!$B$120,1)))</f>
        <v/>
      </c>
      <c r="AG248" s="30" t="str">
        <f>IF(AND(OR(I248="",O248="",P248=""),OR(R248="",W248=""),OR(X248="",AC248="")),"",IF(OR(I248="",O248="",P248=""),0,I248*O248*P248)+IF(OR(R248="",W248=""),0,R248*IFERROR(INDEX(Reference!$B$61:$B$62,MATCH("Bullpen",Reference!$A$61:$A$62,0)),0)*W248)+IF(OR(X248="",AC248=""),0,X248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248))</f>
        <v/>
      </c>
    </row>
    <row r="249" spans="1:33" x14ac:dyDescent="0.3">
      <c r="A249" s="35"/>
      <c r="B249" s="31"/>
      <c r="C249" s="31"/>
      <c r="D249" s="31"/>
      <c r="E249" s="34"/>
      <c r="F249" s="34"/>
      <c r="G249" s="30" t="str">
        <f t="shared" si="27"/>
        <v/>
      </c>
      <c r="H249" s="31"/>
      <c r="I249" s="32" t="str">
        <f>IF(H249&lt;&gt;"",H249,IF(G249="","",ROUND(G249*IFERROR(INDEX(Reference!$B$44:$B$50,MATCH(C249,Reference!$A$44:$A$50,0)),0),0)))</f>
        <v/>
      </c>
      <c r="J249" s="31"/>
      <c r="K249" s="31"/>
      <c r="L249" s="32" t="str">
        <f t="shared" si="28"/>
        <v/>
      </c>
      <c r="M249" s="32" t="str">
        <f>IFERROR(INDEX(Roster!$D$5:$D$40,MATCH(B249,Roster!$A$5:$A$40,0)),"")</f>
        <v/>
      </c>
      <c r="N249" s="32" t="str">
        <f t="shared" si="29"/>
        <v/>
      </c>
      <c r="O249" s="32" t="str">
        <f>IF(OR(C249="Bullpen",C249="Game"),IFERROR(INDEX(Reference!$B$61:$B$62,MATCH(C249,Reference!$A$61:$A$62,0)),""),IF(D249="","",IF(AE249&gt;1,((IF(1&lt;=AE249,(AE249-1+3)*(INDEX(Reference!$B$6:$B$11,MIN(5,MATCH(MAX(Reference!$A$6,MIN(Reference!$A$11,MIN(D249,90))),Reference!$A$6:$A$11,1)))+(MAX(Reference!$A$6,MIN(Reference!$A$11,MIN(D249,90)))-INDEX(Reference!$A$6:$A$11,MIN(5,MATCH(MAX(Reference!$A$6,MIN(Reference!$A$11,MIN(D249,90))),Reference!$A$6:$A$11,1))))*(INDEX(Reference!$B$6:$B$11,MIN(5,MATCH(MAX(Reference!$A$6,MIN(Reference!$A$11,MIN(D249,90))),Reference!$A$6:$A$11,1))+1)-INDEX(Reference!$B$6:$B$11,MIN(5,MATCH(MAX(Reference!$A$6,MIN(Reference!$A$11,MIN(D249,90))),Reference!$A$6:$A$11,1))))/(INDEX(Reference!$A$6:$A$11,MIN(5,MATCH(MAX(Reference!$A$6,MIN(Reference!$A$11,MIN(D249,90))),Reference!$A$6:$A$11,1))+1)-INDEX(Reference!$A$6:$A$11,MIN(5,MATCH(MAX(Reference!$A$6,MIN(Reference!$A$11,MIN(D249,90))),Reference!$A$6:$A$11,1))))),0)+IF(2&lt;=AE249,(AE249-2+3)*(INDEX(Reference!$B$6:$B$11,MIN(5,MATCH(MAX(Reference!$A$6,MIN(Reference!$A$11,MIN(D249,120))),Reference!$A$6:$A$11,1)))+(MAX(Reference!$A$6,MIN(Reference!$A$11,MIN(D249,120)))-INDEX(Reference!$A$6:$A$11,MIN(5,MATCH(MAX(Reference!$A$6,MIN(Reference!$A$11,MIN(D249,120))),Reference!$A$6:$A$11,1))))*(INDEX(Reference!$B$6:$B$11,MIN(5,MATCH(MAX(Reference!$A$6,MIN(Reference!$A$11,MIN(D249,120))),Reference!$A$6:$A$11,1))+1)-INDEX(Reference!$B$6:$B$11,MIN(5,MATCH(MAX(Reference!$A$6,MIN(Reference!$A$11,MIN(D249,120))),Reference!$A$6:$A$11,1))))/(INDEX(Reference!$A$6:$A$11,MIN(5,MATCH(MAX(Reference!$A$6,MIN(Reference!$A$11,MIN(D249,120))),Reference!$A$6:$A$11,1))+1)-INDEX(Reference!$A$6:$A$11,MIN(5,MATCH(MAX(Reference!$A$6,MIN(Reference!$A$11,MIN(D249,120))),Reference!$A$6:$A$11,1))))),0)+IF(3&lt;=AE249,(AE249-3+3)*(INDEX(Reference!$B$6:$B$11,MIN(5,MATCH(MAX(Reference!$A$6,MIN(Reference!$A$11,MIN(D249,150))),Reference!$A$6:$A$11,1)))+(MAX(Reference!$A$6,MIN(Reference!$A$11,MIN(D249,150)))-INDEX(Reference!$A$6:$A$11,MIN(5,MATCH(MAX(Reference!$A$6,MIN(Reference!$A$11,MIN(D249,150))),Reference!$A$6:$A$11,1))))*(INDEX(Reference!$B$6:$B$11,MIN(5,MATCH(MAX(Reference!$A$6,MIN(Reference!$A$11,MIN(D249,150))),Reference!$A$6:$A$11,1))+1)-INDEX(Reference!$B$6:$B$11,MIN(5,MATCH(MAX(Reference!$A$6,MIN(Reference!$A$11,MIN(D249,150))),Reference!$A$6:$A$11,1))))/(INDEX(Reference!$A$6:$A$11,MIN(5,MATCH(MAX(Reference!$A$6,MIN(Reference!$A$11,MIN(D249,150))),Reference!$A$6:$A$11,1))+1)-INDEX(Reference!$A$6:$A$11,MIN(5,MATCH(MAX(Reference!$A$6,MIN(Reference!$A$11,MIN(D249,150))),Reference!$A$6:$A$11,1))))),0)+IF(4&lt;=AE249,(AE249-4+3)*(INDEX(Reference!$B$6:$B$11,MIN(5,MATCH(MAX(Reference!$A$6,MIN(Reference!$A$11,MIN(D249,180))),Reference!$A$6:$A$11,1)))+(MAX(Reference!$A$6,MIN(Reference!$A$11,MIN(D249,180)))-INDEX(Reference!$A$6:$A$11,MIN(5,MATCH(MAX(Reference!$A$6,MIN(Reference!$A$11,MIN(D249,180))),Reference!$A$6:$A$11,1))))*(INDEX(Reference!$B$6:$B$11,MIN(5,MATCH(MAX(Reference!$A$6,MIN(Reference!$A$11,MIN(D249,180))),Reference!$A$6:$A$11,1))+1)-INDEX(Reference!$B$6:$B$11,MIN(5,MATCH(MAX(Reference!$A$6,MIN(Reference!$A$11,MIN(D249,180))),Reference!$A$6:$A$11,1))))/(INDEX(Reference!$A$6:$A$11,MIN(5,MATCH(MAX(Reference!$A$6,MIN(Reference!$A$11,MIN(D249,180))),Reference!$A$6:$A$11,1))+1)-INDEX(Reference!$A$6:$A$11,MIN(5,MATCH(MAX(Reference!$A$6,MIN(Reference!$A$11,MIN(D249,180))),Reference!$A$6:$A$11,1))))),0)+IF(5&lt;=AE249,(AE249-5+3)*(INDEX(Reference!$B$6:$B$11,MIN(5,MATCH(MAX(Reference!$A$6,MIN(Reference!$A$11,MIN(D249,210))),Reference!$A$6:$A$11,1)))+(MAX(Reference!$A$6,MIN(Reference!$A$11,MIN(D249,210)))-INDEX(Reference!$A$6:$A$11,MIN(5,MATCH(MAX(Reference!$A$6,MIN(Reference!$A$11,MIN(D249,210))),Reference!$A$6:$A$11,1))))*(INDEX(Reference!$B$6:$B$11,MIN(5,MATCH(MAX(Reference!$A$6,MIN(Reference!$A$11,MIN(D249,210))),Reference!$A$6:$A$11,1))+1)-INDEX(Reference!$B$6:$B$11,MIN(5,MATCH(MAX(Reference!$A$6,MIN(Reference!$A$11,MIN(D249,210))),Reference!$A$6:$A$11,1))))/(INDEX(Reference!$A$6:$A$11,MIN(5,MATCH(MAX(Reference!$A$6,MIN(Reference!$A$11,MIN(D249,210))),Reference!$A$6:$A$11,1))+1)-INDEX(Reference!$A$6:$A$11,MIN(5,MATCH(MAX(Reference!$A$6,MIN(Reference!$A$11,MIN(D249,210))),Reference!$A$6:$A$11,1))))),0)+IF(6&lt;=AE249,(AE249-6+3)*(INDEX(Reference!$B$6:$B$11,MIN(5,MATCH(MAX(Reference!$A$6,MIN(Reference!$A$11,MIN(D249,240))),Reference!$A$6:$A$11,1)))+(MAX(Reference!$A$6,MIN(Reference!$A$11,MIN(D249,240)))-INDEX(Reference!$A$6:$A$11,MIN(5,MATCH(MAX(Reference!$A$6,MIN(Reference!$A$11,MIN(D249,240))),Reference!$A$6:$A$11,1))))*(INDEX(Reference!$B$6:$B$11,MIN(5,MATCH(MAX(Reference!$A$6,MIN(Reference!$A$11,MIN(D249,240))),Reference!$A$6:$A$11,1))+1)-INDEX(Reference!$B$6:$B$11,MIN(5,MATCH(MAX(Reference!$A$6,MIN(Reference!$A$11,MIN(D249,240))),Reference!$A$6:$A$11,1))))/(INDEX(Reference!$A$6:$A$11,MIN(5,MATCH(MAX(Reference!$A$6,MIN(Reference!$A$11,MIN(D249,240))),Reference!$A$6:$A$11,1))+1)-INDEX(Reference!$A$6:$A$11,MIN(5,MATCH(MAX(Reference!$A$6,MIN(Reference!$A$11,MIN(D249,240))),Reference!$A$6:$A$11,1))))),0)+IF(7&lt;=AE249,(AE249-7+3)*(INDEX(Reference!$B$6:$B$11,MIN(5,MATCH(MAX(Reference!$A$6,MIN(Reference!$A$11,MIN(D249,270))),Reference!$A$6:$A$11,1)))+(MAX(Reference!$A$6,MIN(Reference!$A$11,MIN(D249,270)))-INDEX(Reference!$A$6:$A$11,MIN(5,MATCH(MAX(Reference!$A$6,MIN(Reference!$A$11,MIN(D249,270))),Reference!$A$6:$A$11,1))))*(INDEX(Reference!$B$6:$B$11,MIN(5,MATCH(MAX(Reference!$A$6,MIN(Reference!$A$11,MIN(D249,270))),Reference!$A$6:$A$11,1))+1)-INDEX(Reference!$B$6:$B$11,MIN(5,MATCH(MAX(Reference!$A$6,MIN(Reference!$A$11,MIN(D249,270))),Reference!$A$6:$A$11,1))))/(INDEX(Reference!$A$6:$A$11,MIN(5,MATCH(MAX(Reference!$A$6,MIN(Reference!$A$11,MIN(D249,270))),Reference!$A$6:$A$11,1))+1)-INDEX(Reference!$A$6:$A$11,MIN(5,MATCH(MAX(Reference!$A$6,MIN(Reference!$A$11,MIN(D249,270))),Reference!$A$6:$A$11,1))))),0)+IF(8&lt;=AE249,(AE249-8+3)*(INDEX(Reference!$B$6:$B$11,MIN(5,MATCH(MAX(Reference!$A$6,MIN(Reference!$A$11,MIN(D249,300))),Reference!$A$6:$A$11,1)))+(MAX(Reference!$A$6,MIN(Reference!$A$11,MIN(D249,300)))-INDEX(Reference!$A$6:$A$11,MIN(5,MATCH(MAX(Reference!$A$6,MIN(Reference!$A$11,MIN(D249,300))),Reference!$A$6:$A$11,1))))*(INDEX(Reference!$B$6:$B$11,MIN(5,MATCH(MAX(Reference!$A$6,MIN(Reference!$A$11,MIN(D249,300))),Reference!$A$6:$A$11,1))+1)-INDEX(Reference!$B$6:$B$11,MIN(5,MATCH(MAX(Reference!$A$6,MIN(Reference!$A$11,MIN(D249,300))),Reference!$A$6:$A$11,1))))/(INDEX(Reference!$A$6:$A$11,MIN(5,MATCH(MAX(Reference!$A$6,MIN(Reference!$A$11,MIN(D249,300))),Reference!$A$6:$A$11,1))+1)-INDEX(Reference!$A$6:$A$11,MIN(5,MATCH(MAX(Reference!$A$6,MIN(Reference!$A$11,MIN(D249,300))),Reference!$A$6:$A$11,1))))),0))/(AE249*(AE249+5)/2)),(INDEX(Reference!$B$6:$B$11,MIN(5,MATCH(MAX(Reference!$A$6,MIN(Reference!$A$11,D249)),Reference!$A$6:$A$11,1)))+(MAX(Reference!$A$6,MIN(Reference!$A$11,D249))-INDEX(Reference!$A$6:$A$11,MIN(5,MATCH(MAX(Reference!$A$6,MIN(Reference!$A$11,D249)),Reference!$A$6:$A$11,1))))*(INDEX(Reference!$B$6:$B$11,MIN(5,MATCH(MAX(Reference!$A$6,MIN(Reference!$A$11,D249)),Reference!$A$6:$A$11,1))+1)-INDEX(Reference!$B$6:$B$11,MIN(5,MATCH(MAX(Reference!$A$6,MIN(Reference!$A$11,D249)),Reference!$A$6:$A$11,1))))/(INDEX(Reference!$A$6:$A$11,MIN(5,MATCH(MAX(Reference!$A$6,MIN(Reference!$A$11,D249)),Reference!$A$6:$A$11,1))+1)-INDEX(Reference!$A$6:$A$11,MIN(5,MATCH(MAX(Reference!$A$6,MIN(Reference!$A$11,D249)),Reference!$A$6:$A$11,1))))))))</f>
        <v/>
      </c>
      <c r="P249" s="32" t="str">
        <f>IF(N249="","",VLOOKUP(MAX(N249,0),Reference!$A$17:$B$20,2,TRUE()))</f>
        <v/>
      </c>
      <c r="Q249" s="32" t="str">
        <f t="shared" si="30"/>
        <v/>
      </c>
      <c r="R249" s="31"/>
      <c r="S249" s="31"/>
      <c r="T249" s="31"/>
      <c r="U249" s="32" t="str">
        <f t="shared" si="31"/>
        <v/>
      </c>
      <c r="V249" s="32" t="str">
        <f t="shared" si="32"/>
        <v/>
      </c>
      <c r="W249" s="32" t="str">
        <f>IF(V249="","",VLOOKUP(MAX(V249,0),Reference!$A$17:$B$20,2,TRUE()))</f>
        <v/>
      </c>
      <c r="X249" s="31"/>
      <c r="Y249" s="31"/>
      <c r="Z249" s="31"/>
      <c r="AA249" s="32" t="str">
        <f t="shared" si="33"/>
        <v/>
      </c>
      <c r="AB249" s="32" t="str">
        <f t="shared" si="34"/>
        <v/>
      </c>
      <c r="AC249" s="32" t="str">
        <f>IF(AB249="","",VLOOKUP(MAX(AB249,0),Reference!$A$17:$B$20,2,TRUE()))</f>
        <v/>
      </c>
      <c r="AD249" s="31"/>
      <c r="AE249">
        <f t="shared" si="35"/>
        <v>1</v>
      </c>
      <c r="AF249" s="33" t="str">
        <f>IF(OR(A249="",B249="",AND(C249&lt;&gt;"Bullpen",C249&lt;&gt;"Game")),"",IF((COUNTIFS($B$5:$B$300,B249,$A$5:$A$300,A249-1,$C$5:$C$300,"Bullpen",$AG$5:$AG$300,"&gt;0") + COUNTIFS($B$5:$B$300,B249,$A$5:$A$300,A249-1,$C$5:$C$300,"Game",$AG$5:$AG$300,"&gt;0"))&gt;0,Reference!$B$119,IF((COUNTIFS($B$5:$B$300,B249,$A$5:$A$300,A249-2,$C$5:$C$300,"Bullpen",$AG$5:$AG$300,"&gt;0") + COUNTIFS($B$5:$B$300,B249,$A$5:$A$300,A249-2,$C$5:$C$300,"Game",$AG$5:$AG$300,"&gt;0"))&gt;0,Reference!$B$120,1)))</f>
        <v/>
      </c>
      <c r="AG249" s="30" t="str">
        <f>IF(AND(OR(I249="",O249="",P249=""),OR(R249="",W249=""),OR(X249="",AC249="")),"",IF(OR(I249="",O249="",P249=""),0,I249*O249*P249)+IF(OR(R249="",W249=""),0,R249*IFERROR(INDEX(Reference!$B$61:$B$62,MATCH("Bullpen",Reference!$A$61:$A$62,0)),0)*W249)+IF(OR(X249="",AC249=""),0,X249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249))</f>
        <v/>
      </c>
    </row>
    <row r="250" spans="1:33" x14ac:dyDescent="0.3">
      <c r="A250" s="35"/>
      <c r="B250" s="31"/>
      <c r="C250" s="31"/>
      <c r="D250" s="31"/>
      <c r="E250" s="34"/>
      <c r="F250" s="34"/>
      <c r="G250" s="30" t="str">
        <f t="shared" si="27"/>
        <v/>
      </c>
      <c r="H250" s="31"/>
      <c r="I250" s="32" t="str">
        <f>IF(H250&lt;&gt;"",H250,IF(G250="","",ROUND(G250*IFERROR(INDEX(Reference!$B$44:$B$50,MATCH(C250,Reference!$A$44:$A$50,0)),0),0)))</f>
        <v/>
      </c>
      <c r="J250" s="31"/>
      <c r="K250" s="31"/>
      <c r="L250" s="32" t="str">
        <f t="shared" si="28"/>
        <v/>
      </c>
      <c r="M250" s="32" t="str">
        <f>IFERROR(INDEX(Roster!$D$5:$D$40,MATCH(B250,Roster!$A$5:$A$40,0)),"")</f>
        <v/>
      </c>
      <c r="N250" s="32" t="str">
        <f t="shared" si="29"/>
        <v/>
      </c>
      <c r="O250" s="32" t="str">
        <f>IF(OR(C250="Bullpen",C250="Game"),IFERROR(INDEX(Reference!$B$61:$B$62,MATCH(C250,Reference!$A$61:$A$62,0)),""),IF(D250="","",IF(AE250&gt;1,((IF(1&lt;=AE250,(AE250-1+3)*(INDEX(Reference!$B$6:$B$11,MIN(5,MATCH(MAX(Reference!$A$6,MIN(Reference!$A$11,MIN(D250,90))),Reference!$A$6:$A$11,1)))+(MAX(Reference!$A$6,MIN(Reference!$A$11,MIN(D250,90)))-INDEX(Reference!$A$6:$A$11,MIN(5,MATCH(MAX(Reference!$A$6,MIN(Reference!$A$11,MIN(D250,90))),Reference!$A$6:$A$11,1))))*(INDEX(Reference!$B$6:$B$11,MIN(5,MATCH(MAX(Reference!$A$6,MIN(Reference!$A$11,MIN(D250,90))),Reference!$A$6:$A$11,1))+1)-INDEX(Reference!$B$6:$B$11,MIN(5,MATCH(MAX(Reference!$A$6,MIN(Reference!$A$11,MIN(D250,90))),Reference!$A$6:$A$11,1))))/(INDEX(Reference!$A$6:$A$11,MIN(5,MATCH(MAX(Reference!$A$6,MIN(Reference!$A$11,MIN(D250,90))),Reference!$A$6:$A$11,1))+1)-INDEX(Reference!$A$6:$A$11,MIN(5,MATCH(MAX(Reference!$A$6,MIN(Reference!$A$11,MIN(D250,90))),Reference!$A$6:$A$11,1))))),0)+IF(2&lt;=AE250,(AE250-2+3)*(INDEX(Reference!$B$6:$B$11,MIN(5,MATCH(MAX(Reference!$A$6,MIN(Reference!$A$11,MIN(D250,120))),Reference!$A$6:$A$11,1)))+(MAX(Reference!$A$6,MIN(Reference!$A$11,MIN(D250,120)))-INDEX(Reference!$A$6:$A$11,MIN(5,MATCH(MAX(Reference!$A$6,MIN(Reference!$A$11,MIN(D250,120))),Reference!$A$6:$A$11,1))))*(INDEX(Reference!$B$6:$B$11,MIN(5,MATCH(MAX(Reference!$A$6,MIN(Reference!$A$11,MIN(D250,120))),Reference!$A$6:$A$11,1))+1)-INDEX(Reference!$B$6:$B$11,MIN(5,MATCH(MAX(Reference!$A$6,MIN(Reference!$A$11,MIN(D250,120))),Reference!$A$6:$A$11,1))))/(INDEX(Reference!$A$6:$A$11,MIN(5,MATCH(MAX(Reference!$A$6,MIN(Reference!$A$11,MIN(D250,120))),Reference!$A$6:$A$11,1))+1)-INDEX(Reference!$A$6:$A$11,MIN(5,MATCH(MAX(Reference!$A$6,MIN(Reference!$A$11,MIN(D250,120))),Reference!$A$6:$A$11,1))))),0)+IF(3&lt;=AE250,(AE250-3+3)*(INDEX(Reference!$B$6:$B$11,MIN(5,MATCH(MAX(Reference!$A$6,MIN(Reference!$A$11,MIN(D250,150))),Reference!$A$6:$A$11,1)))+(MAX(Reference!$A$6,MIN(Reference!$A$11,MIN(D250,150)))-INDEX(Reference!$A$6:$A$11,MIN(5,MATCH(MAX(Reference!$A$6,MIN(Reference!$A$11,MIN(D250,150))),Reference!$A$6:$A$11,1))))*(INDEX(Reference!$B$6:$B$11,MIN(5,MATCH(MAX(Reference!$A$6,MIN(Reference!$A$11,MIN(D250,150))),Reference!$A$6:$A$11,1))+1)-INDEX(Reference!$B$6:$B$11,MIN(5,MATCH(MAX(Reference!$A$6,MIN(Reference!$A$11,MIN(D250,150))),Reference!$A$6:$A$11,1))))/(INDEX(Reference!$A$6:$A$11,MIN(5,MATCH(MAX(Reference!$A$6,MIN(Reference!$A$11,MIN(D250,150))),Reference!$A$6:$A$11,1))+1)-INDEX(Reference!$A$6:$A$11,MIN(5,MATCH(MAX(Reference!$A$6,MIN(Reference!$A$11,MIN(D250,150))),Reference!$A$6:$A$11,1))))),0)+IF(4&lt;=AE250,(AE250-4+3)*(INDEX(Reference!$B$6:$B$11,MIN(5,MATCH(MAX(Reference!$A$6,MIN(Reference!$A$11,MIN(D250,180))),Reference!$A$6:$A$11,1)))+(MAX(Reference!$A$6,MIN(Reference!$A$11,MIN(D250,180)))-INDEX(Reference!$A$6:$A$11,MIN(5,MATCH(MAX(Reference!$A$6,MIN(Reference!$A$11,MIN(D250,180))),Reference!$A$6:$A$11,1))))*(INDEX(Reference!$B$6:$B$11,MIN(5,MATCH(MAX(Reference!$A$6,MIN(Reference!$A$11,MIN(D250,180))),Reference!$A$6:$A$11,1))+1)-INDEX(Reference!$B$6:$B$11,MIN(5,MATCH(MAX(Reference!$A$6,MIN(Reference!$A$11,MIN(D250,180))),Reference!$A$6:$A$11,1))))/(INDEX(Reference!$A$6:$A$11,MIN(5,MATCH(MAX(Reference!$A$6,MIN(Reference!$A$11,MIN(D250,180))),Reference!$A$6:$A$11,1))+1)-INDEX(Reference!$A$6:$A$11,MIN(5,MATCH(MAX(Reference!$A$6,MIN(Reference!$A$11,MIN(D250,180))),Reference!$A$6:$A$11,1))))),0)+IF(5&lt;=AE250,(AE250-5+3)*(INDEX(Reference!$B$6:$B$11,MIN(5,MATCH(MAX(Reference!$A$6,MIN(Reference!$A$11,MIN(D250,210))),Reference!$A$6:$A$11,1)))+(MAX(Reference!$A$6,MIN(Reference!$A$11,MIN(D250,210)))-INDEX(Reference!$A$6:$A$11,MIN(5,MATCH(MAX(Reference!$A$6,MIN(Reference!$A$11,MIN(D250,210))),Reference!$A$6:$A$11,1))))*(INDEX(Reference!$B$6:$B$11,MIN(5,MATCH(MAX(Reference!$A$6,MIN(Reference!$A$11,MIN(D250,210))),Reference!$A$6:$A$11,1))+1)-INDEX(Reference!$B$6:$B$11,MIN(5,MATCH(MAX(Reference!$A$6,MIN(Reference!$A$11,MIN(D250,210))),Reference!$A$6:$A$11,1))))/(INDEX(Reference!$A$6:$A$11,MIN(5,MATCH(MAX(Reference!$A$6,MIN(Reference!$A$11,MIN(D250,210))),Reference!$A$6:$A$11,1))+1)-INDEX(Reference!$A$6:$A$11,MIN(5,MATCH(MAX(Reference!$A$6,MIN(Reference!$A$11,MIN(D250,210))),Reference!$A$6:$A$11,1))))),0)+IF(6&lt;=AE250,(AE250-6+3)*(INDEX(Reference!$B$6:$B$11,MIN(5,MATCH(MAX(Reference!$A$6,MIN(Reference!$A$11,MIN(D250,240))),Reference!$A$6:$A$11,1)))+(MAX(Reference!$A$6,MIN(Reference!$A$11,MIN(D250,240)))-INDEX(Reference!$A$6:$A$11,MIN(5,MATCH(MAX(Reference!$A$6,MIN(Reference!$A$11,MIN(D250,240))),Reference!$A$6:$A$11,1))))*(INDEX(Reference!$B$6:$B$11,MIN(5,MATCH(MAX(Reference!$A$6,MIN(Reference!$A$11,MIN(D250,240))),Reference!$A$6:$A$11,1))+1)-INDEX(Reference!$B$6:$B$11,MIN(5,MATCH(MAX(Reference!$A$6,MIN(Reference!$A$11,MIN(D250,240))),Reference!$A$6:$A$11,1))))/(INDEX(Reference!$A$6:$A$11,MIN(5,MATCH(MAX(Reference!$A$6,MIN(Reference!$A$11,MIN(D250,240))),Reference!$A$6:$A$11,1))+1)-INDEX(Reference!$A$6:$A$11,MIN(5,MATCH(MAX(Reference!$A$6,MIN(Reference!$A$11,MIN(D250,240))),Reference!$A$6:$A$11,1))))),0)+IF(7&lt;=AE250,(AE250-7+3)*(INDEX(Reference!$B$6:$B$11,MIN(5,MATCH(MAX(Reference!$A$6,MIN(Reference!$A$11,MIN(D250,270))),Reference!$A$6:$A$11,1)))+(MAX(Reference!$A$6,MIN(Reference!$A$11,MIN(D250,270)))-INDEX(Reference!$A$6:$A$11,MIN(5,MATCH(MAX(Reference!$A$6,MIN(Reference!$A$11,MIN(D250,270))),Reference!$A$6:$A$11,1))))*(INDEX(Reference!$B$6:$B$11,MIN(5,MATCH(MAX(Reference!$A$6,MIN(Reference!$A$11,MIN(D250,270))),Reference!$A$6:$A$11,1))+1)-INDEX(Reference!$B$6:$B$11,MIN(5,MATCH(MAX(Reference!$A$6,MIN(Reference!$A$11,MIN(D250,270))),Reference!$A$6:$A$11,1))))/(INDEX(Reference!$A$6:$A$11,MIN(5,MATCH(MAX(Reference!$A$6,MIN(Reference!$A$11,MIN(D250,270))),Reference!$A$6:$A$11,1))+1)-INDEX(Reference!$A$6:$A$11,MIN(5,MATCH(MAX(Reference!$A$6,MIN(Reference!$A$11,MIN(D250,270))),Reference!$A$6:$A$11,1))))),0)+IF(8&lt;=AE250,(AE250-8+3)*(INDEX(Reference!$B$6:$B$11,MIN(5,MATCH(MAX(Reference!$A$6,MIN(Reference!$A$11,MIN(D250,300))),Reference!$A$6:$A$11,1)))+(MAX(Reference!$A$6,MIN(Reference!$A$11,MIN(D250,300)))-INDEX(Reference!$A$6:$A$11,MIN(5,MATCH(MAX(Reference!$A$6,MIN(Reference!$A$11,MIN(D250,300))),Reference!$A$6:$A$11,1))))*(INDEX(Reference!$B$6:$B$11,MIN(5,MATCH(MAX(Reference!$A$6,MIN(Reference!$A$11,MIN(D250,300))),Reference!$A$6:$A$11,1))+1)-INDEX(Reference!$B$6:$B$11,MIN(5,MATCH(MAX(Reference!$A$6,MIN(Reference!$A$11,MIN(D250,300))),Reference!$A$6:$A$11,1))))/(INDEX(Reference!$A$6:$A$11,MIN(5,MATCH(MAX(Reference!$A$6,MIN(Reference!$A$11,MIN(D250,300))),Reference!$A$6:$A$11,1))+1)-INDEX(Reference!$A$6:$A$11,MIN(5,MATCH(MAX(Reference!$A$6,MIN(Reference!$A$11,MIN(D250,300))),Reference!$A$6:$A$11,1))))),0))/(AE250*(AE250+5)/2)),(INDEX(Reference!$B$6:$B$11,MIN(5,MATCH(MAX(Reference!$A$6,MIN(Reference!$A$11,D250)),Reference!$A$6:$A$11,1)))+(MAX(Reference!$A$6,MIN(Reference!$A$11,D250))-INDEX(Reference!$A$6:$A$11,MIN(5,MATCH(MAX(Reference!$A$6,MIN(Reference!$A$11,D250)),Reference!$A$6:$A$11,1))))*(INDEX(Reference!$B$6:$B$11,MIN(5,MATCH(MAX(Reference!$A$6,MIN(Reference!$A$11,D250)),Reference!$A$6:$A$11,1))+1)-INDEX(Reference!$B$6:$B$11,MIN(5,MATCH(MAX(Reference!$A$6,MIN(Reference!$A$11,D250)),Reference!$A$6:$A$11,1))))/(INDEX(Reference!$A$6:$A$11,MIN(5,MATCH(MAX(Reference!$A$6,MIN(Reference!$A$11,D250)),Reference!$A$6:$A$11,1))+1)-INDEX(Reference!$A$6:$A$11,MIN(5,MATCH(MAX(Reference!$A$6,MIN(Reference!$A$11,D250)),Reference!$A$6:$A$11,1))))))))</f>
        <v/>
      </c>
      <c r="P250" s="32" t="str">
        <f>IF(N250="","",VLOOKUP(MAX(N250,0),Reference!$A$17:$B$20,2,TRUE()))</f>
        <v/>
      </c>
      <c r="Q250" s="32" t="str">
        <f t="shared" si="30"/>
        <v/>
      </c>
      <c r="R250" s="31"/>
      <c r="S250" s="31"/>
      <c r="T250" s="31"/>
      <c r="U250" s="32" t="str">
        <f t="shared" si="31"/>
        <v/>
      </c>
      <c r="V250" s="32" t="str">
        <f t="shared" si="32"/>
        <v/>
      </c>
      <c r="W250" s="32" t="str">
        <f>IF(V250="","",VLOOKUP(MAX(V250,0),Reference!$A$17:$B$20,2,TRUE()))</f>
        <v/>
      </c>
      <c r="X250" s="31"/>
      <c r="Y250" s="31"/>
      <c r="Z250" s="31"/>
      <c r="AA250" s="32" t="str">
        <f t="shared" si="33"/>
        <v/>
      </c>
      <c r="AB250" s="32" t="str">
        <f t="shared" si="34"/>
        <v/>
      </c>
      <c r="AC250" s="32" t="str">
        <f>IF(AB250="","",VLOOKUP(MAX(AB250,0),Reference!$A$17:$B$20,2,TRUE()))</f>
        <v/>
      </c>
      <c r="AD250" s="31"/>
      <c r="AE250">
        <f t="shared" si="35"/>
        <v>1</v>
      </c>
      <c r="AF250" s="33" t="str">
        <f>IF(OR(A250="",B250="",AND(C250&lt;&gt;"Bullpen",C250&lt;&gt;"Game")),"",IF((COUNTIFS($B$5:$B$300,B250,$A$5:$A$300,A250-1,$C$5:$C$300,"Bullpen",$AG$5:$AG$300,"&gt;0") + COUNTIFS($B$5:$B$300,B250,$A$5:$A$300,A250-1,$C$5:$C$300,"Game",$AG$5:$AG$300,"&gt;0"))&gt;0,Reference!$B$119,IF((COUNTIFS($B$5:$B$300,B250,$A$5:$A$300,A250-2,$C$5:$C$300,"Bullpen",$AG$5:$AG$300,"&gt;0") + COUNTIFS($B$5:$B$300,B250,$A$5:$A$300,A250-2,$C$5:$C$300,"Game",$AG$5:$AG$300,"&gt;0"))&gt;0,Reference!$B$120,1)))</f>
        <v/>
      </c>
      <c r="AG250" s="30" t="str">
        <f>IF(AND(OR(I250="",O250="",P250=""),OR(R250="",W250=""),OR(X250="",AC250="")),"",IF(OR(I250="",O250="",P250=""),0,I250*O250*P250)+IF(OR(R250="",W250=""),0,R250*IFERROR(INDEX(Reference!$B$61:$B$62,MATCH("Bullpen",Reference!$A$61:$A$62,0)),0)*W250)+IF(OR(X250="",AC250=""),0,X250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250))</f>
        <v/>
      </c>
    </row>
    <row r="251" spans="1:33" x14ac:dyDescent="0.3">
      <c r="A251" s="35"/>
      <c r="B251" s="31"/>
      <c r="C251" s="31"/>
      <c r="D251" s="31"/>
      <c r="E251" s="34"/>
      <c r="F251" s="34"/>
      <c r="G251" s="30" t="str">
        <f t="shared" si="27"/>
        <v/>
      </c>
      <c r="H251" s="31"/>
      <c r="I251" s="32" t="str">
        <f>IF(H251&lt;&gt;"",H251,IF(G251="","",ROUND(G251*IFERROR(INDEX(Reference!$B$44:$B$50,MATCH(C251,Reference!$A$44:$A$50,0)),0),0)))</f>
        <v/>
      </c>
      <c r="J251" s="31"/>
      <c r="K251" s="31"/>
      <c r="L251" s="32" t="str">
        <f t="shared" si="28"/>
        <v/>
      </c>
      <c r="M251" s="32" t="str">
        <f>IFERROR(INDEX(Roster!$D$5:$D$40,MATCH(B251,Roster!$A$5:$A$40,0)),"")</f>
        <v/>
      </c>
      <c r="N251" s="32" t="str">
        <f t="shared" si="29"/>
        <v/>
      </c>
      <c r="O251" s="32" t="str">
        <f>IF(OR(C251="Bullpen",C251="Game"),IFERROR(INDEX(Reference!$B$61:$B$62,MATCH(C251,Reference!$A$61:$A$62,0)),""),IF(D251="","",IF(AE251&gt;1,((IF(1&lt;=AE251,(AE251-1+3)*(INDEX(Reference!$B$6:$B$11,MIN(5,MATCH(MAX(Reference!$A$6,MIN(Reference!$A$11,MIN(D251,90))),Reference!$A$6:$A$11,1)))+(MAX(Reference!$A$6,MIN(Reference!$A$11,MIN(D251,90)))-INDEX(Reference!$A$6:$A$11,MIN(5,MATCH(MAX(Reference!$A$6,MIN(Reference!$A$11,MIN(D251,90))),Reference!$A$6:$A$11,1))))*(INDEX(Reference!$B$6:$B$11,MIN(5,MATCH(MAX(Reference!$A$6,MIN(Reference!$A$11,MIN(D251,90))),Reference!$A$6:$A$11,1))+1)-INDEX(Reference!$B$6:$B$11,MIN(5,MATCH(MAX(Reference!$A$6,MIN(Reference!$A$11,MIN(D251,90))),Reference!$A$6:$A$11,1))))/(INDEX(Reference!$A$6:$A$11,MIN(5,MATCH(MAX(Reference!$A$6,MIN(Reference!$A$11,MIN(D251,90))),Reference!$A$6:$A$11,1))+1)-INDEX(Reference!$A$6:$A$11,MIN(5,MATCH(MAX(Reference!$A$6,MIN(Reference!$A$11,MIN(D251,90))),Reference!$A$6:$A$11,1))))),0)+IF(2&lt;=AE251,(AE251-2+3)*(INDEX(Reference!$B$6:$B$11,MIN(5,MATCH(MAX(Reference!$A$6,MIN(Reference!$A$11,MIN(D251,120))),Reference!$A$6:$A$11,1)))+(MAX(Reference!$A$6,MIN(Reference!$A$11,MIN(D251,120)))-INDEX(Reference!$A$6:$A$11,MIN(5,MATCH(MAX(Reference!$A$6,MIN(Reference!$A$11,MIN(D251,120))),Reference!$A$6:$A$11,1))))*(INDEX(Reference!$B$6:$B$11,MIN(5,MATCH(MAX(Reference!$A$6,MIN(Reference!$A$11,MIN(D251,120))),Reference!$A$6:$A$11,1))+1)-INDEX(Reference!$B$6:$B$11,MIN(5,MATCH(MAX(Reference!$A$6,MIN(Reference!$A$11,MIN(D251,120))),Reference!$A$6:$A$11,1))))/(INDEX(Reference!$A$6:$A$11,MIN(5,MATCH(MAX(Reference!$A$6,MIN(Reference!$A$11,MIN(D251,120))),Reference!$A$6:$A$11,1))+1)-INDEX(Reference!$A$6:$A$11,MIN(5,MATCH(MAX(Reference!$A$6,MIN(Reference!$A$11,MIN(D251,120))),Reference!$A$6:$A$11,1))))),0)+IF(3&lt;=AE251,(AE251-3+3)*(INDEX(Reference!$B$6:$B$11,MIN(5,MATCH(MAX(Reference!$A$6,MIN(Reference!$A$11,MIN(D251,150))),Reference!$A$6:$A$11,1)))+(MAX(Reference!$A$6,MIN(Reference!$A$11,MIN(D251,150)))-INDEX(Reference!$A$6:$A$11,MIN(5,MATCH(MAX(Reference!$A$6,MIN(Reference!$A$11,MIN(D251,150))),Reference!$A$6:$A$11,1))))*(INDEX(Reference!$B$6:$B$11,MIN(5,MATCH(MAX(Reference!$A$6,MIN(Reference!$A$11,MIN(D251,150))),Reference!$A$6:$A$11,1))+1)-INDEX(Reference!$B$6:$B$11,MIN(5,MATCH(MAX(Reference!$A$6,MIN(Reference!$A$11,MIN(D251,150))),Reference!$A$6:$A$11,1))))/(INDEX(Reference!$A$6:$A$11,MIN(5,MATCH(MAX(Reference!$A$6,MIN(Reference!$A$11,MIN(D251,150))),Reference!$A$6:$A$11,1))+1)-INDEX(Reference!$A$6:$A$11,MIN(5,MATCH(MAX(Reference!$A$6,MIN(Reference!$A$11,MIN(D251,150))),Reference!$A$6:$A$11,1))))),0)+IF(4&lt;=AE251,(AE251-4+3)*(INDEX(Reference!$B$6:$B$11,MIN(5,MATCH(MAX(Reference!$A$6,MIN(Reference!$A$11,MIN(D251,180))),Reference!$A$6:$A$11,1)))+(MAX(Reference!$A$6,MIN(Reference!$A$11,MIN(D251,180)))-INDEX(Reference!$A$6:$A$11,MIN(5,MATCH(MAX(Reference!$A$6,MIN(Reference!$A$11,MIN(D251,180))),Reference!$A$6:$A$11,1))))*(INDEX(Reference!$B$6:$B$11,MIN(5,MATCH(MAX(Reference!$A$6,MIN(Reference!$A$11,MIN(D251,180))),Reference!$A$6:$A$11,1))+1)-INDEX(Reference!$B$6:$B$11,MIN(5,MATCH(MAX(Reference!$A$6,MIN(Reference!$A$11,MIN(D251,180))),Reference!$A$6:$A$11,1))))/(INDEX(Reference!$A$6:$A$11,MIN(5,MATCH(MAX(Reference!$A$6,MIN(Reference!$A$11,MIN(D251,180))),Reference!$A$6:$A$11,1))+1)-INDEX(Reference!$A$6:$A$11,MIN(5,MATCH(MAX(Reference!$A$6,MIN(Reference!$A$11,MIN(D251,180))),Reference!$A$6:$A$11,1))))),0)+IF(5&lt;=AE251,(AE251-5+3)*(INDEX(Reference!$B$6:$B$11,MIN(5,MATCH(MAX(Reference!$A$6,MIN(Reference!$A$11,MIN(D251,210))),Reference!$A$6:$A$11,1)))+(MAX(Reference!$A$6,MIN(Reference!$A$11,MIN(D251,210)))-INDEX(Reference!$A$6:$A$11,MIN(5,MATCH(MAX(Reference!$A$6,MIN(Reference!$A$11,MIN(D251,210))),Reference!$A$6:$A$11,1))))*(INDEX(Reference!$B$6:$B$11,MIN(5,MATCH(MAX(Reference!$A$6,MIN(Reference!$A$11,MIN(D251,210))),Reference!$A$6:$A$11,1))+1)-INDEX(Reference!$B$6:$B$11,MIN(5,MATCH(MAX(Reference!$A$6,MIN(Reference!$A$11,MIN(D251,210))),Reference!$A$6:$A$11,1))))/(INDEX(Reference!$A$6:$A$11,MIN(5,MATCH(MAX(Reference!$A$6,MIN(Reference!$A$11,MIN(D251,210))),Reference!$A$6:$A$11,1))+1)-INDEX(Reference!$A$6:$A$11,MIN(5,MATCH(MAX(Reference!$A$6,MIN(Reference!$A$11,MIN(D251,210))),Reference!$A$6:$A$11,1))))),0)+IF(6&lt;=AE251,(AE251-6+3)*(INDEX(Reference!$B$6:$B$11,MIN(5,MATCH(MAX(Reference!$A$6,MIN(Reference!$A$11,MIN(D251,240))),Reference!$A$6:$A$11,1)))+(MAX(Reference!$A$6,MIN(Reference!$A$11,MIN(D251,240)))-INDEX(Reference!$A$6:$A$11,MIN(5,MATCH(MAX(Reference!$A$6,MIN(Reference!$A$11,MIN(D251,240))),Reference!$A$6:$A$11,1))))*(INDEX(Reference!$B$6:$B$11,MIN(5,MATCH(MAX(Reference!$A$6,MIN(Reference!$A$11,MIN(D251,240))),Reference!$A$6:$A$11,1))+1)-INDEX(Reference!$B$6:$B$11,MIN(5,MATCH(MAX(Reference!$A$6,MIN(Reference!$A$11,MIN(D251,240))),Reference!$A$6:$A$11,1))))/(INDEX(Reference!$A$6:$A$11,MIN(5,MATCH(MAX(Reference!$A$6,MIN(Reference!$A$11,MIN(D251,240))),Reference!$A$6:$A$11,1))+1)-INDEX(Reference!$A$6:$A$11,MIN(5,MATCH(MAX(Reference!$A$6,MIN(Reference!$A$11,MIN(D251,240))),Reference!$A$6:$A$11,1))))),0)+IF(7&lt;=AE251,(AE251-7+3)*(INDEX(Reference!$B$6:$B$11,MIN(5,MATCH(MAX(Reference!$A$6,MIN(Reference!$A$11,MIN(D251,270))),Reference!$A$6:$A$11,1)))+(MAX(Reference!$A$6,MIN(Reference!$A$11,MIN(D251,270)))-INDEX(Reference!$A$6:$A$11,MIN(5,MATCH(MAX(Reference!$A$6,MIN(Reference!$A$11,MIN(D251,270))),Reference!$A$6:$A$11,1))))*(INDEX(Reference!$B$6:$B$11,MIN(5,MATCH(MAX(Reference!$A$6,MIN(Reference!$A$11,MIN(D251,270))),Reference!$A$6:$A$11,1))+1)-INDEX(Reference!$B$6:$B$11,MIN(5,MATCH(MAX(Reference!$A$6,MIN(Reference!$A$11,MIN(D251,270))),Reference!$A$6:$A$11,1))))/(INDEX(Reference!$A$6:$A$11,MIN(5,MATCH(MAX(Reference!$A$6,MIN(Reference!$A$11,MIN(D251,270))),Reference!$A$6:$A$11,1))+1)-INDEX(Reference!$A$6:$A$11,MIN(5,MATCH(MAX(Reference!$A$6,MIN(Reference!$A$11,MIN(D251,270))),Reference!$A$6:$A$11,1))))),0)+IF(8&lt;=AE251,(AE251-8+3)*(INDEX(Reference!$B$6:$B$11,MIN(5,MATCH(MAX(Reference!$A$6,MIN(Reference!$A$11,MIN(D251,300))),Reference!$A$6:$A$11,1)))+(MAX(Reference!$A$6,MIN(Reference!$A$11,MIN(D251,300)))-INDEX(Reference!$A$6:$A$11,MIN(5,MATCH(MAX(Reference!$A$6,MIN(Reference!$A$11,MIN(D251,300))),Reference!$A$6:$A$11,1))))*(INDEX(Reference!$B$6:$B$11,MIN(5,MATCH(MAX(Reference!$A$6,MIN(Reference!$A$11,MIN(D251,300))),Reference!$A$6:$A$11,1))+1)-INDEX(Reference!$B$6:$B$11,MIN(5,MATCH(MAX(Reference!$A$6,MIN(Reference!$A$11,MIN(D251,300))),Reference!$A$6:$A$11,1))))/(INDEX(Reference!$A$6:$A$11,MIN(5,MATCH(MAX(Reference!$A$6,MIN(Reference!$A$11,MIN(D251,300))),Reference!$A$6:$A$11,1))+1)-INDEX(Reference!$A$6:$A$11,MIN(5,MATCH(MAX(Reference!$A$6,MIN(Reference!$A$11,MIN(D251,300))),Reference!$A$6:$A$11,1))))),0))/(AE251*(AE251+5)/2)),(INDEX(Reference!$B$6:$B$11,MIN(5,MATCH(MAX(Reference!$A$6,MIN(Reference!$A$11,D251)),Reference!$A$6:$A$11,1)))+(MAX(Reference!$A$6,MIN(Reference!$A$11,D251))-INDEX(Reference!$A$6:$A$11,MIN(5,MATCH(MAX(Reference!$A$6,MIN(Reference!$A$11,D251)),Reference!$A$6:$A$11,1))))*(INDEX(Reference!$B$6:$B$11,MIN(5,MATCH(MAX(Reference!$A$6,MIN(Reference!$A$11,D251)),Reference!$A$6:$A$11,1))+1)-INDEX(Reference!$B$6:$B$11,MIN(5,MATCH(MAX(Reference!$A$6,MIN(Reference!$A$11,D251)),Reference!$A$6:$A$11,1))))/(INDEX(Reference!$A$6:$A$11,MIN(5,MATCH(MAX(Reference!$A$6,MIN(Reference!$A$11,D251)),Reference!$A$6:$A$11,1))+1)-INDEX(Reference!$A$6:$A$11,MIN(5,MATCH(MAX(Reference!$A$6,MIN(Reference!$A$11,D251)),Reference!$A$6:$A$11,1))))))))</f>
        <v/>
      </c>
      <c r="P251" s="32" t="str">
        <f>IF(N251="","",VLOOKUP(MAX(N251,0),Reference!$A$17:$B$20,2,TRUE()))</f>
        <v/>
      </c>
      <c r="Q251" s="32" t="str">
        <f t="shared" si="30"/>
        <v/>
      </c>
      <c r="R251" s="31"/>
      <c r="S251" s="31"/>
      <c r="T251" s="31"/>
      <c r="U251" s="32" t="str">
        <f t="shared" si="31"/>
        <v/>
      </c>
      <c r="V251" s="32" t="str">
        <f t="shared" si="32"/>
        <v/>
      </c>
      <c r="W251" s="32" t="str">
        <f>IF(V251="","",VLOOKUP(MAX(V251,0),Reference!$A$17:$B$20,2,TRUE()))</f>
        <v/>
      </c>
      <c r="X251" s="31"/>
      <c r="Y251" s="31"/>
      <c r="Z251" s="31"/>
      <c r="AA251" s="32" t="str">
        <f t="shared" si="33"/>
        <v/>
      </c>
      <c r="AB251" s="32" t="str">
        <f t="shared" si="34"/>
        <v/>
      </c>
      <c r="AC251" s="32" t="str">
        <f>IF(AB251="","",VLOOKUP(MAX(AB251,0),Reference!$A$17:$B$20,2,TRUE()))</f>
        <v/>
      </c>
      <c r="AD251" s="31"/>
      <c r="AE251">
        <f t="shared" si="35"/>
        <v>1</v>
      </c>
      <c r="AF251" s="33" t="str">
        <f>IF(OR(A251="",B251="",AND(C251&lt;&gt;"Bullpen",C251&lt;&gt;"Game")),"",IF((COUNTIFS($B$5:$B$300,B251,$A$5:$A$300,A251-1,$C$5:$C$300,"Bullpen",$AG$5:$AG$300,"&gt;0") + COUNTIFS($B$5:$B$300,B251,$A$5:$A$300,A251-1,$C$5:$C$300,"Game",$AG$5:$AG$300,"&gt;0"))&gt;0,Reference!$B$119,IF((COUNTIFS($B$5:$B$300,B251,$A$5:$A$300,A251-2,$C$5:$C$300,"Bullpen",$AG$5:$AG$300,"&gt;0") + COUNTIFS($B$5:$B$300,B251,$A$5:$A$300,A251-2,$C$5:$C$300,"Game",$AG$5:$AG$300,"&gt;0"))&gt;0,Reference!$B$120,1)))</f>
        <v/>
      </c>
      <c r="AG251" s="30" t="str">
        <f>IF(AND(OR(I251="",O251="",P251=""),OR(R251="",W251=""),OR(X251="",AC251="")),"",IF(OR(I251="",O251="",P251=""),0,I251*O251*P251)+IF(OR(R251="",W251=""),0,R251*IFERROR(INDEX(Reference!$B$61:$B$62,MATCH("Bullpen",Reference!$A$61:$A$62,0)),0)*W251)+IF(OR(X251="",AC251=""),0,X251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251))</f>
        <v/>
      </c>
    </row>
    <row r="252" spans="1:33" x14ac:dyDescent="0.3">
      <c r="A252" s="35"/>
      <c r="B252" s="31"/>
      <c r="C252" s="31"/>
      <c r="D252" s="31"/>
      <c r="E252" s="34"/>
      <c r="F252" s="34"/>
      <c r="G252" s="30" t="str">
        <f t="shared" si="27"/>
        <v/>
      </c>
      <c r="H252" s="31"/>
      <c r="I252" s="32" t="str">
        <f>IF(H252&lt;&gt;"",H252,IF(G252="","",ROUND(G252*IFERROR(INDEX(Reference!$B$44:$B$50,MATCH(C252,Reference!$A$44:$A$50,0)),0),0)))</f>
        <v/>
      </c>
      <c r="J252" s="31"/>
      <c r="K252" s="31"/>
      <c r="L252" s="32" t="str">
        <f t="shared" si="28"/>
        <v/>
      </c>
      <c r="M252" s="32" t="str">
        <f>IFERROR(INDEX(Roster!$D$5:$D$40,MATCH(B252,Roster!$A$5:$A$40,0)),"")</f>
        <v/>
      </c>
      <c r="N252" s="32" t="str">
        <f t="shared" si="29"/>
        <v/>
      </c>
      <c r="O252" s="32" t="str">
        <f>IF(OR(C252="Bullpen",C252="Game"),IFERROR(INDEX(Reference!$B$61:$B$62,MATCH(C252,Reference!$A$61:$A$62,0)),""),IF(D252="","",IF(AE252&gt;1,((IF(1&lt;=AE252,(AE252-1+3)*(INDEX(Reference!$B$6:$B$11,MIN(5,MATCH(MAX(Reference!$A$6,MIN(Reference!$A$11,MIN(D252,90))),Reference!$A$6:$A$11,1)))+(MAX(Reference!$A$6,MIN(Reference!$A$11,MIN(D252,90)))-INDEX(Reference!$A$6:$A$11,MIN(5,MATCH(MAX(Reference!$A$6,MIN(Reference!$A$11,MIN(D252,90))),Reference!$A$6:$A$11,1))))*(INDEX(Reference!$B$6:$B$11,MIN(5,MATCH(MAX(Reference!$A$6,MIN(Reference!$A$11,MIN(D252,90))),Reference!$A$6:$A$11,1))+1)-INDEX(Reference!$B$6:$B$11,MIN(5,MATCH(MAX(Reference!$A$6,MIN(Reference!$A$11,MIN(D252,90))),Reference!$A$6:$A$11,1))))/(INDEX(Reference!$A$6:$A$11,MIN(5,MATCH(MAX(Reference!$A$6,MIN(Reference!$A$11,MIN(D252,90))),Reference!$A$6:$A$11,1))+1)-INDEX(Reference!$A$6:$A$11,MIN(5,MATCH(MAX(Reference!$A$6,MIN(Reference!$A$11,MIN(D252,90))),Reference!$A$6:$A$11,1))))),0)+IF(2&lt;=AE252,(AE252-2+3)*(INDEX(Reference!$B$6:$B$11,MIN(5,MATCH(MAX(Reference!$A$6,MIN(Reference!$A$11,MIN(D252,120))),Reference!$A$6:$A$11,1)))+(MAX(Reference!$A$6,MIN(Reference!$A$11,MIN(D252,120)))-INDEX(Reference!$A$6:$A$11,MIN(5,MATCH(MAX(Reference!$A$6,MIN(Reference!$A$11,MIN(D252,120))),Reference!$A$6:$A$11,1))))*(INDEX(Reference!$B$6:$B$11,MIN(5,MATCH(MAX(Reference!$A$6,MIN(Reference!$A$11,MIN(D252,120))),Reference!$A$6:$A$11,1))+1)-INDEX(Reference!$B$6:$B$11,MIN(5,MATCH(MAX(Reference!$A$6,MIN(Reference!$A$11,MIN(D252,120))),Reference!$A$6:$A$11,1))))/(INDEX(Reference!$A$6:$A$11,MIN(5,MATCH(MAX(Reference!$A$6,MIN(Reference!$A$11,MIN(D252,120))),Reference!$A$6:$A$11,1))+1)-INDEX(Reference!$A$6:$A$11,MIN(5,MATCH(MAX(Reference!$A$6,MIN(Reference!$A$11,MIN(D252,120))),Reference!$A$6:$A$11,1))))),0)+IF(3&lt;=AE252,(AE252-3+3)*(INDEX(Reference!$B$6:$B$11,MIN(5,MATCH(MAX(Reference!$A$6,MIN(Reference!$A$11,MIN(D252,150))),Reference!$A$6:$A$11,1)))+(MAX(Reference!$A$6,MIN(Reference!$A$11,MIN(D252,150)))-INDEX(Reference!$A$6:$A$11,MIN(5,MATCH(MAX(Reference!$A$6,MIN(Reference!$A$11,MIN(D252,150))),Reference!$A$6:$A$11,1))))*(INDEX(Reference!$B$6:$B$11,MIN(5,MATCH(MAX(Reference!$A$6,MIN(Reference!$A$11,MIN(D252,150))),Reference!$A$6:$A$11,1))+1)-INDEX(Reference!$B$6:$B$11,MIN(5,MATCH(MAX(Reference!$A$6,MIN(Reference!$A$11,MIN(D252,150))),Reference!$A$6:$A$11,1))))/(INDEX(Reference!$A$6:$A$11,MIN(5,MATCH(MAX(Reference!$A$6,MIN(Reference!$A$11,MIN(D252,150))),Reference!$A$6:$A$11,1))+1)-INDEX(Reference!$A$6:$A$11,MIN(5,MATCH(MAX(Reference!$A$6,MIN(Reference!$A$11,MIN(D252,150))),Reference!$A$6:$A$11,1))))),0)+IF(4&lt;=AE252,(AE252-4+3)*(INDEX(Reference!$B$6:$B$11,MIN(5,MATCH(MAX(Reference!$A$6,MIN(Reference!$A$11,MIN(D252,180))),Reference!$A$6:$A$11,1)))+(MAX(Reference!$A$6,MIN(Reference!$A$11,MIN(D252,180)))-INDEX(Reference!$A$6:$A$11,MIN(5,MATCH(MAX(Reference!$A$6,MIN(Reference!$A$11,MIN(D252,180))),Reference!$A$6:$A$11,1))))*(INDEX(Reference!$B$6:$B$11,MIN(5,MATCH(MAX(Reference!$A$6,MIN(Reference!$A$11,MIN(D252,180))),Reference!$A$6:$A$11,1))+1)-INDEX(Reference!$B$6:$B$11,MIN(5,MATCH(MAX(Reference!$A$6,MIN(Reference!$A$11,MIN(D252,180))),Reference!$A$6:$A$11,1))))/(INDEX(Reference!$A$6:$A$11,MIN(5,MATCH(MAX(Reference!$A$6,MIN(Reference!$A$11,MIN(D252,180))),Reference!$A$6:$A$11,1))+1)-INDEX(Reference!$A$6:$A$11,MIN(5,MATCH(MAX(Reference!$A$6,MIN(Reference!$A$11,MIN(D252,180))),Reference!$A$6:$A$11,1))))),0)+IF(5&lt;=AE252,(AE252-5+3)*(INDEX(Reference!$B$6:$B$11,MIN(5,MATCH(MAX(Reference!$A$6,MIN(Reference!$A$11,MIN(D252,210))),Reference!$A$6:$A$11,1)))+(MAX(Reference!$A$6,MIN(Reference!$A$11,MIN(D252,210)))-INDEX(Reference!$A$6:$A$11,MIN(5,MATCH(MAX(Reference!$A$6,MIN(Reference!$A$11,MIN(D252,210))),Reference!$A$6:$A$11,1))))*(INDEX(Reference!$B$6:$B$11,MIN(5,MATCH(MAX(Reference!$A$6,MIN(Reference!$A$11,MIN(D252,210))),Reference!$A$6:$A$11,1))+1)-INDEX(Reference!$B$6:$B$11,MIN(5,MATCH(MAX(Reference!$A$6,MIN(Reference!$A$11,MIN(D252,210))),Reference!$A$6:$A$11,1))))/(INDEX(Reference!$A$6:$A$11,MIN(5,MATCH(MAX(Reference!$A$6,MIN(Reference!$A$11,MIN(D252,210))),Reference!$A$6:$A$11,1))+1)-INDEX(Reference!$A$6:$A$11,MIN(5,MATCH(MAX(Reference!$A$6,MIN(Reference!$A$11,MIN(D252,210))),Reference!$A$6:$A$11,1))))),0)+IF(6&lt;=AE252,(AE252-6+3)*(INDEX(Reference!$B$6:$B$11,MIN(5,MATCH(MAX(Reference!$A$6,MIN(Reference!$A$11,MIN(D252,240))),Reference!$A$6:$A$11,1)))+(MAX(Reference!$A$6,MIN(Reference!$A$11,MIN(D252,240)))-INDEX(Reference!$A$6:$A$11,MIN(5,MATCH(MAX(Reference!$A$6,MIN(Reference!$A$11,MIN(D252,240))),Reference!$A$6:$A$11,1))))*(INDEX(Reference!$B$6:$B$11,MIN(5,MATCH(MAX(Reference!$A$6,MIN(Reference!$A$11,MIN(D252,240))),Reference!$A$6:$A$11,1))+1)-INDEX(Reference!$B$6:$B$11,MIN(5,MATCH(MAX(Reference!$A$6,MIN(Reference!$A$11,MIN(D252,240))),Reference!$A$6:$A$11,1))))/(INDEX(Reference!$A$6:$A$11,MIN(5,MATCH(MAX(Reference!$A$6,MIN(Reference!$A$11,MIN(D252,240))),Reference!$A$6:$A$11,1))+1)-INDEX(Reference!$A$6:$A$11,MIN(5,MATCH(MAX(Reference!$A$6,MIN(Reference!$A$11,MIN(D252,240))),Reference!$A$6:$A$11,1))))),0)+IF(7&lt;=AE252,(AE252-7+3)*(INDEX(Reference!$B$6:$B$11,MIN(5,MATCH(MAX(Reference!$A$6,MIN(Reference!$A$11,MIN(D252,270))),Reference!$A$6:$A$11,1)))+(MAX(Reference!$A$6,MIN(Reference!$A$11,MIN(D252,270)))-INDEX(Reference!$A$6:$A$11,MIN(5,MATCH(MAX(Reference!$A$6,MIN(Reference!$A$11,MIN(D252,270))),Reference!$A$6:$A$11,1))))*(INDEX(Reference!$B$6:$B$11,MIN(5,MATCH(MAX(Reference!$A$6,MIN(Reference!$A$11,MIN(D252,270))),Reference!$A$6:$A$11,1))+1)-INDEX(Reference!$B$6:$B$11,MIN(5,MATCH(MAX(Reference!$A$6,MIN(Reference!$A$11,MIN(D252,270))),Reference!$A$6:$A$11,1))))/(INDEX(Reference!$A$6:$A$11,MIN(5,MATCH(MAX(Reference!$A$6,MIN(Reference!$A$11,MIN(D252,270))),Reference!$A$6:$A$11,1))+1)-INDEX(Reference!$A$6:$A$11,MIN(5,MATCH(MAX(Reference!$A$6,MIN(Reference!$A$11,MIN(D252,270))),Reference!$A$6:$A$11,1))))),0)+IF(8&lt;=AE252,(AE252-8+3)*(INDEX(Reference!$B$6:$B$11,MIN(5,MATCH(MAX(Reference!$A$6,MIN(Reference!$A$11,MIN(D252,300))),Reference!$A$6:$A$11,1)))+(MAX(Reference!$A$6,MIN(Reference!$A$11,MIN(D252,300)))-INDEX(Reference!$A$6:$A$11,MIN(5,MATCH(MAX(Reference!$A$6,MIN(Reference!$A$11,MIN(D252,300))),Reference!$A$6:$A$11,1))))*(INDEX(Reference!$B$6:$B$11,MIN(5,MATCH(MAX(Reference!$A$6,MIN(Reference!$A$11,MIN(D252,300))),Reference!$A$6:$A$11,1))+1)-INDEX(Reference!$B$6:$B$11,MIN(5,MATCH(MAX(Reference!$A$6,MIN(Reference!$A$11,MIN(D252,300))),Reference!$A$6:$A$11,1))))/(INDEX(Reference!$A$6:$A$11,MIN(5,MATCH(MAX(Reference!$A$6,MIN(Reference!$A$11,MIN(D252,300))),Reference!$A$6:$A$11,1))+1)-INDEX(Reference!$A$6:$A$11,MIN(5,MATCH(MAX(Reference!$A$6,MIN(Reference!$A$11,MIN(D252,300))),Reference!$A$6:$A$11,1))))),0))/(AE252*(AE252+5)/2)),(INDEX(Reference!$B$6:$B$11,MIN(5,MATCH(MAX(Reference!$A$6,MIN(Reference!$A$11,D252)),Reference!$A$6:$A$11,1)))+(MAX(Reference!$A$6,MIN(Reference!$A$11,D252))-INDEX(Reference!$A$6:$A$11,MIN(5,MATCH(MAX(Reference!$A$6,MIN(Reference!$A$11,D252)),Reference!$A$6:$A$11,1))))*(INDEX(Reference!$B$6:$B$11,MIN(5,MATCH(MAX(Reference!$A$6,MIN(Reference!$A$11,D252)),Reference!$A$6:$A$11,1))+1)-INDEX(Reference!$B$6:$B$11,MIN(5,MATCH(MAX(Reference!$A$6,MIN(Reference!$A$11,D252)),Reference!$A$6:$A$11,1))))/(INDEX(Reference!$A$6:$A$11,MIN(5,MATCH(MAX(Reference!$A$6,MIN(Reference!$A$11,D252)),Reference!$A$6:$A$11,1))+1)-INDEX(Reference!$A$6:$A$11,MIN(5,MATCH(MAX(Reference!$A$6,MIN(Reference!$A$11,D252)),Reference!$A$6:$A$11,1))))))))</f>
        <v/>
      </c>
      <c r="P252" s="32" t="str">
        <f>IF(N252="","",VLOOKUP(MAX(N252,0),Reference!$A$17:$B$20,2,TRUE()))</f>
        <v/>
      </c>
      <c r="Q252" s="32" t="str">
        <f t="shared" si="30"/>
        <v/>
      </c>
      <c r="R252" s="31"/>
      <c r="S252" s="31"/>
      <c r="T252" s="31"/>
      <c r="U252" s="32" t="str">
        <f t="shared" si="31"/>
        <v/>
      </c>
      <c r="V252" s="32" t="str">
        <f t="shared" si="32"/>
        <v/>
      </c>
      <c r="W252" s="32" t="str">
        <f>IF(V252="","",VLOOKUP(MAX(V252,0),Reference!$A$17:$B$20,2,TRUE()))</f>
        <v/>
      </c>
      <c r="X252" s="31"/>
      <c r="Y252" s="31"/>
      <c r="Z252" s="31"/>
      <c r="AA252" s="32" t="str">
        <f t="shared" si="33"/>
        <v/>
      </c>
      <c r="AB252" s="32" t="str">
        <f t="shared" si="34"/>
        <v/>
      </c>
      <c r="AC252" s="32" t="str">
        <f>IF(AB252="","",VLOOKUP(MAX(AB252,0),Reference!$A$17:$B$20,2,TRUE()))</f>
        <v/>
      </c>
      <c r="AD252" s="31"/>
      <c r="AE252">
        <f t="shared" si="35"/>
        <v>1</v>
      </c>
      <c r="AF252" s="33" t="str">
        <f>IF(OR(A252="",B252="",AND(C252&lt;&gt;"Bullpen",C252&lt;&gt;"Game")),"",IF((COUNTIFS($B$5:$B$300,B252,$A$5:$A$300,A252-1,$C$5:$C$300,"Bullpen",$AG$5:$AG$300,"&gt;0") + COUNTIFS($B$5:$B$300,B252,$A$5:$A$300,A252-1,$C$5:$C$300,"Game",$AG$5:$AG$300,"&gt;0"))&gt;0,Reference!$B$119,IF((COUNTIFS($B$5:$B$300,B252,$A$5:$A$300,A252-2,$C$5:$C$300,"Bullpen",$AG$5:$AG$300,"&gt;0") + COUNTIFS($B$5:$B$300,B252,$A$5:$A$300,A252-2,$C$5:$C$300,"Game",$AG$5:$AG$300,"&gt;0"))&gt;0,Reference!$B$120,1)))</f>
        <v/>
      </c>
      <c r="AG252" s="30" t="str">
        <f>IF(AND(OR(I252="",O252="",P252=""),OR(R252="",W252=""),OR(X252="",AC252="")),"",IF(OR(I252="",O252="",P252=""),0,I252*O252*P252)+IF(OR(R252="",W252=""),0,R252*IFERROR(INDEX(Reference!$B$61:$B$62,MATCH("Bullpen",Reference!$A$61:$A$62,0)),0)*W252)+IF(OR(X252="",AC252=""),0,X252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252))</f>
        <v/>
      </c>
    </row>
    <row r="253" spans="1:33" x14ac:dyDescent="0.3">
      <c r="A253" s="35"/>
      <c r="B253" s="31"/>
      <c r="C253" s="31"/>
      <c r="D253" s="31"/>
      <c r="E253" s="34"/>
      <c r="F253" s="34"/>
      <c r="G253" s="30" t="str">
        <f t="shared" si="27"/>
        <v/>
      </c>
      <c r="H253" s="31"/>
      <c r="I253" s="32" t="str">
        <f>IF(H253&lt;&gt;"",H253,IF(G253="","",ROUND(G253*IFERROR(INDEX(Reference!$B$44:$B$50,MATCH(C253,Reference!$A$44:$A$50,0)),0),0)))</f>
        <v/>
      </c>
      <c r="J253" s="31"/>
      <c r="K253" s="31"/>
      <c r="L253" s="32" t="str">
        <f t="shared" si="28"/>
        <v/>
      </c>
      <c r="M253" s="32" t="str">
        <f>IFERROR(INDEX(Roster!$D$5:$D$40,MATCH(B253,Roster!$A$5:$A$40,0)),"")</f>
        <v/>
      </c>
      <c r="N253" s="32" t="str">
        <f t="shared" si="29"/>
        <v/>
      </c>
      <c r="O253" s="32" t="str">
        <f>IF(OR(C253="Bullpen",C253="Game"),IFERROR(INDEX(Reference!$B$61:$B$62,MATCH(C253,Reference!$A$61:$A$62,0)),""),IF(D253="","",IF(AE253&gt;1,((IF(1&lt;=AE253,(AE253-1+3)*(INDEX(Reference!$B$6:$B$11,MIN(5,MATCH(MAX(Reference!$A$6,MIN(Reference!$A$11,MIN(D253,90))),Reference!$A$6:$A$11,1)))+(MAX(Reference!$A$6,MIN(Reference!$A$11,MIN(D253,90)))-INDEX(Reference!$A$6:$A$11,MIN(5,MATCH(MAX(Reference!$A$6,MIN(Reference!$A$11,MIN(D253,90))),Reference!$A$6:$A$11,1))))*(INDEX(Reference!$B$6:$B$11,MIN(5,MATCH(MAX(Reference!$A$6,MIN(Reference!$A$11,MIN(D253,90))),Reference!$A$6:$A$11,1))+1)-INDEX(Reference!$B$6:$B$11,MIN(5,MATCH(MAX(Reference!$A$6,MIN(Reference!$A$11,MIN(D253,90))),Reference!$A$6:$A$11,1))))/(INDEX(Reference!$A$6:$A$11,MIN(5,MATCH(MAX(Reference!$A$6,MIN(Reference!$A$11,MIN(D253,90))),Reference!$A$6:$A$11,1))+1)-INDEX(Reference!$A$6:$A$11,MIN(5,MATCH(MAX(Reference!$A$6,MIN(Reference!$A$11,MIN(D253,90))),Reference!$A$6:$A$11,1))))),0)+IF(2&lt;=AE253,(AE253-2+3)*(INDEX(Reference!$B$6:$B$11,MIN(5,MATCH(MAX(Reference!$A$6,MIN(Reference!$A$11,MIN(D253,120))),Reference!$A$6:$A$11,1)))+(MAX(Reference!$A$6,MIN(Reference!$A$11,MIN(D253,120)))-INDEX(Reference!$A$6:$A$11,MIN(5,MATCH(MAX(Reference!$A$6,MIN(Reference!$A$11,MIN(D253,120))),Reference!$A$6:$A$11,1))))*(INDEX(Reference!$B$6:$B$11,MIN(5,MATCH(MAX(Reference!$A$6,MIN(Reference!$A$11,MIN(D253,120))),Reference!$A$6:$A$11,1))+1)-INDEX(Reference!$B$6:$B$11,MIN(5,MATCH(MAX(Reference!$A$6,MIN(Reference!$A$11,MIN(D253,120))),Reference!$A$6:$A$11,1))))/(INDEX(Reference!$A$6:$A$11,MIN(5,MATCH(MAX(Reference!$A$6,MIN(Reference!$A$11,MIN(D253,120))),Reference!$A$6:$A$11,1))+1)-INDEX(Reference!$A$6:$A$11,MIN(5,MATCH(MAX(Reference!$A$6,MIN(Reference!$A$11,MIN(D253,120))),Reference!$A$6:$A$11,1))))),0)+IF(3&lt;=AE253,(AE253-3+3)*(INDEX(Reference!$B$6:$B$11,MIN(5,MATCH(MAX(Reference!$A$6,MIN(Reference!$A$11,MIN(D253,150))),Reference!$A$6:$A$11,1)))+(MAX(Reference!$A$6,MIN(Reference!$A$11,MIN(D253,150)))-INDEX(Reference!$A$6:$A$11,MIN(5,MATCH(MAX(Reference!$A$6,MIN(Reference!$A$11,MIN(D253,150))),Reference!$A$6:$A$11,1))))*(INDEX(Reference!$B$6:$B$11,MIN(5,MATCH(MAX(Reference!$A$6,MIN(Reference!$A$11,MIN(D253,150))),Reference!$A$6:$A$11,1))+1)-INDEX(Reference!$B$6:$B$11,MIN(5,MATCH(MAX(Reference!$A$6,MIN(Reference!$A$11,MIN(D253,150))),Reference!$A$6:$A$11,1))))/(INDEX(Reference!$A$6:$A$11,MIN(5,MATCH(MAX(Reference!$A$6,MIN(Reference!$A$11,MIN(D253,150))),Reference!$A$6:$A$11,1))+1)-INDEX(Reference!$A$6:$A$11,MIN(5,MATCH(MAX(Reference!$A$6,MIN(Reference!$A$11,MIN(D253,150))),Reference!$A$6:$A$11,1))))),0)+IF(4&lt;=AE253,(AE253-4+3)*(INDEX(Reference!$B$6:$B$11,MIN(5,MATCH(MAX(Reference!$A$6,MIN(Reference!$A$11,MIN(D253,180))),Reference!$A$6:$A$11,1)))+(MAX(Reference!$A$6,MIN(Reference!$A$11,MIN(D253,180)))-INDEX(Reference!$A$6:$A$11,MIN(5,MATCH(MAX(Reference!$A$6,MIN(Reference!$A$11,MIN(D253,180))),Reference!$A$6:$A$11,1))))*(INDEX(Reference!$B$6:$B$11,MIN(5,MATCH(MAX(Reference!$A$6,MIN(Reference!$A$11,MIN(D253,180))),Reference!$A$6:$A$11,1))+1)-INDEX(Reference!$B$6:$B$11,MIN(5,MATCH(MAX(Reference!$A$6,MIN(Reference!$A$11,MIN(D253,180))),Reference!$A$6:$A$11,1))))/(INDEX(Reference!$A$6:$A$11,MIN(5,MATCH(MAX(Reference!$A$6,MIN(Reference!$A$11,MIN(D253,180))),Reference!$A$6:$A$11,1))+1)-INDEX(Reference!$A$6:$A$11,MIN(5,MATCH(MAX(Reference!$A$6,MIN(Reference!$A$11,MIN(D253,180))),Reference!$A$6:$A$11,1))))),0)+IF(5&lt;=AE253,(AE253-5+3)*(INDEX(Reference!$B$6:$B$11,MIN(5,MATCH(MAX(Reference!$A$6,MIN(Reference!$A$11,MIN(D253,210))),Reference!$A$6:$A$11,1)))+(MAX(Reference!$A$6,MIN(Reference!$A$11,MIN(D253,210)))-INDEX(Reference!$A$6:$A$11,MIN(5,MATCH(MAX(Reference!$A$6,MIN(Reference!$A$11,MIN(D253,210))),Reference!$A$6:$A$11,1))))*(INDEX(Reference!$B$6:$B$11,MIN(5,MATCH(MAX(Reference!$A$6,MIN(Reference!$A$11,MIN(D253,210))),Reference!$A$6:$A$11,1))+1)-INDEX(Reference!$B$6:$B$11,MIN(5,MATCH(MAX(Reference!$A$6,MIN(Reference!$A$11,MIN(D253,210))),Reference!$A$6:$A$11,1))))/(INDEX(Reference!$A$6:$A$11,MIN(5,MATCH(MAX(Reference!$A$6,MIN(Reference!$A$11,MIN(D253,210))),Reference!$A$6:$A$11,1))+1)-INDEX(Reference!$A$6:$A$11,MIN(5,MATCH(MAX(Reference!$A$6,MIN(Reference!$A$11,MIN(D253,210))),Reference!$A$6:$A$11,1))))),0)+IF(6&lt;=AE253,(AE253-6+3)*(INDEX(Reference!$B$6:$B$11,MIN(5,MATCH(MAX(Reference!$A$6,MIN(Reference!$A$11,MIN(D253,240))),Reference!$A$6:$A$11,1)))+(MAX(Reference!$A$6,MIN(Reference!$A$11,MIN(D253,240)))-INDEX(Reference!$A$6:$A$11,MIN(5,MATCH(MAX(Reference!$A$6,MIN(Reference!$A$11,MIN(D253,240))),Reference!$A$6:$A$11,1))))*(INDEX(Reference!$B$6:$B$11,MIN(5,MATCH(MAX(Reference!$A$6,MIN(Reference!$A$11,MIN(D253,240))),Reference!$A$6:$A$11,1))+1)-INDEX(Reference!$B$6:$B$11,MIN(5,MATCH(MAX(Reference!$A$6,MIN(Reference!$A$11,MIN(D253,240))),Reference!$A$6:$A$11,1))))/(INDEX(Reference!$A$6:$A$11,MIN(5,MATCH(MAX(Reference!$A$6,MIN(Reference!$A$11,MIN(D253,240))),Reference!$A$6:$A$11,1))+1)-INDEX(Reference!$A$6:$A$11,MIN(5,MATCH(MAX(Reference!$A$6,MIN(Reference!$A$11,MIN(D253,240))),Reference!$A$6:$A$11,1))))),0)+IF(7&lt;=AE253,(AE253-7+3)*(INDEX(Reference!$B$6:$B$11,MIN(5,MATCH(MAX(Reference!$A$6,MIN(Reference!$A$11,MIN(D253,270))),Reference!$A$6:$A$11,1)))+(MAX(Reference!$A$6,MIN(Reference!$A$11,MIN(D253,270)))-INDEX(Reference!$A$6:$A$11,MIN(5,MATCH(MAX(Reference!$A$6,MIN(Reference!$A$11,MIN(D253,270))),Reference!$A$6:$A$11,1))))*(INDEX(Reference!$B$6:$B$11,MIN(5,MATCH(MAX(Reference!$A$6,MIN(Reference!$A$11,MIN(D253,270))),Reference!$A$6:$A$11,1))+1)-INDEX(Reference!$B$6:$B$11,MIN(5,MATCH(MAX(Reference!$A$6,MIN(Reference!$A$11,MIN(D253,270))),Reference!$A$6:$A$11,1))))/(INDEX(Reference!$A$6:$A$11,MIN(5,MATCH(MAX(Reference!$A$6,MIN(Reference!$A$11,MIN(D253,270))),Reference!$A$6:$A$11,1))+1)-INDEX(Reference!$A$6:$A$11,MIN(5,MATCH(MAX(Reference!$A$6,MIN(Reference!$A$11,MIN(D253,270))),Reference!$A$6:$A$11,1))))),0)+IF(8&lt;=AE253,(AE253-8+3)*(INDEX(Reference!$B$6:$B$11,MIN(5,MATCH(MAX(Reference!$A$6,MIN(Reference!$A$11,MIN(D253,300))),Reference!$A$6:$A$11,1)))+(MAX(Reference!$A$6,MIN(Reference!$A$11,MIN(D253,300)))-INDEX(Reference!$A$6:$A$11,MIN(5,MATCH(MAX(Reference!$A$6,MIN(Reference!$A$11,MIN(D253,300))),Reference!$A$6:$A$11,1))))*(INDEX(Reference!$B$6:$B$11,MIN(5,MATCH(MAX(Reference!$A$6,MIN(Reference!$A$11,MIN(D253,300))),Reference!$A$6:$A$11,1))+1)-INDEX(Reference!$B$6:$B$11,MIN(5,MATCH(MAX(Reference!$A$6,MIN(Reference!$A$11,MIN(D253,300))),Reference!$A$6:$A$11,1))))/(INDEX(Reference!$A$6:$A$11,MIN(5,MATCH(MAX(Reference!$A$6,MIN(Reference!$A$11,MIN(D253,300))),Reference!$A$6:$A$11,1))+1)-INDEX(Reference!$A$6:$A$11,MIN(5,MATCH(MAX(Reference!$A$6,MIN(Reference!$A$11,MIN(D253,300))),Reference!$A$6:$A$11,1))))),0))/(AE253*(AE253+5)/2)),(INDEX(Reference!$B$6:$B$11,MIN(5,MATCH(MAX(Reference!$A$6,MIN(Reference!$A$11,D253)),Reference!$A$6:$A$11,1)))+(MAX(Reference!$A$6,MIN(Reference!$A$11,D253))-INDEX(Reference!$A$6:$A$11,MIN(5,MATCH(MAX(Reference!$A$6,MIN(Reference!$A$11,D253)),Reference!$A$6:$A$11,1))))*(INDEX(Reference!$B$6:$B$11,MIN(5,MATCH(MAX(Reference!$A$6,MIN(Reference!$A$11,D253)),Reference!$A$6:$A$11,1))+1)-INDEX(Reference!$B$6:$B$11,MIN(5,MATCH(MAX(Reference!$A$6,MIN(Reference!$A$11,D253)),Reference!$A$6:$A$11,1))))/(INDEX(Reference!$A$6:$A$11,MIN(5,MATCH(MAX(Reference!$A$6,MIN(Reference!$A$11,D253)),Reference!$A$6:$A$11,1))+1)-INDEX(Reference!$A$6:$A$11,MIN(5,MATCH(MAX(Reference!$A$6,MIN(Reference!$A$11,D253)),Reference!$A$6:$A$11,1))))))))</f>
        <v/>
      </c>
      <c r="P253" s="32" t="str">
        <f>IF(N253="","",VLOOKUP(MAX(N253,0),Reference!$A$17:$B$20,2,TRUE()))</f>
        <v/>
      </c>
      <c r="Q253" s="32" t="str">
        <f t="shared" si="30"/>
        <v/>
      </c>
      <c r="R253" s="31"/>
      <c r="S253" s="31"/>
      <c r="T253" s="31"/>
      <c r="U253" s="32" t="str">
        <f t="shared" si="31"/>
        <v/>
      </c>
      <c r="V253" s="32" t="str">
        <f t="shared" si="32"/>
        <v/>
      </c>
      <c r="W253" s="32" t="str">
        <f>IF(V253="","",VLOOKUP(MAX(V253,0),Reference!$A$17:$B$20,2,TRUE()))</f>
        <v/>
      </c>
      <c r="X253" s="31"/>
      <c r="Y253" s="31"/>
      <c r="Z253" s="31"/>
      <c r="AA253" s="32" t="str">
        <f t="shared" si="33"/>
        <v/>
      </c>
      <c r="AB253" s="32" t="str">
        <f t="shared" si="34"/>
        <v/>
      </c>
      <c r="AC253" s="32" t="str">
        <f>IF(AB253="","",VLOOKUP(MAX(AB253,0),Reference!$A$17:$B$20,2,TRUE()))</f>
        <v/>
      </c>
      <c r="AD253" s="31"/>
      <c r="AE253">
        <f t="shared" si="35"/>
        <v>1</v>
      </c>
      <c r="AF253" s="33" t="str">
        <f>IF(OR(A253="",B253="",AND(C253&lt;&gt;"Bullpen",C253&lt;&gt;"Game")),"",IF((COUNTIFS($B$5:$B$300,B253,$A$5:$A$300,A253-1,$C$5:$C$300,"Bullpen",$AG$5:$AG$300,"&gt;0") + COUNTIFS($B$5:$B$300,B253,$A$5:$A$300,A253-1,$C$5:$C$300,"Game",$AG$5:$AG$300,"&gt;0"))&gt;0,Reference!$B$119,IF((COUNTIFS($B$5:$B$300,B253,$A$5:$A$300,A253-2,$C$5:$C$300,"Bullpen",$AG$5:$AG$300,"&gt;0") + COUNTIFS($B$5:$B$300,B253,$A$5:$A$300,A253-2,$C$5:$C$300,"Game",$AG$5:$AG$300,"&gt;0"))&gt;0,Reference!$B$120,1)))</f>
        <v/>
      </c>
      <c r="AG253" s="30" t="str">
        <f>IF(AND(OR(I253="",O253="",P253=""),OR(R253="",W253=""),OR(X253="",AC253="")),"",IF(OR(I253="",O253="",P253=""),0,I253*O253*P253)+IF(OR(R253="",W253=""),0,R253*IFERROR(INDEX(Reference!$B$61:$B$62,MATCH("Bullpen",Reference!$A$61:$A$62,0)),0)*W253)+IF(OR(X253="",AC253=""),0,X253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253))</f>
        <v/>
      </c>
    </row>
    <row r="254" spans="1:33" x14ac:dyDescent="0.3">
      <c r="A254" s="35"/>
      <c r="B254" s="31"/>
      <c r="C254" s="31"/>
      <c r="D254" s="31"/>
      <c r="E254" s="34"/>
      <c r="F254" s="34"/>
      <c r="G254" s="30" t="str">
        <f t="shared" si="27"/>
        <v/>
      </c>
      <c r="H254" s="31"/>
      <c r="I254" s="32" t="str">
        <f>IF(H254&lt;&gt;"",H254,IF(G254="","",ROUND(G254*IFERROR(INDEX(Reference!$B$44:$B$50,MATCH(C254,Reference!$A$44:$A$50,0)),0),0)))</f>
        <v/>
      </c>
      <c r="J254" s="31"/>
      <c r="K254" s="31"/>
      <c r="L254" s="32" t="str">
        <f t="shared" si="28"/>
        <v/>
      </c>
      <c r="M254" s="32" t="str">
        <f>IFERROR(INDEX(Roster!$D$5:$D$40,MATCH(B254,Roster!$A$5:$A$40,0)),"")</f>
        <v/>
      </c>
      <c r="N254" s="32" t="str">
        <f t="shared" si="29"/>
        <v/>
      </c>
      <c r="O254" s="32" t="str">
        <f>IF(OR(C254="Bullpen",C254="Game"),IFERROR(INDEX(Reference!$B$61:$B$62,MATCH(C254,Reference!$A$61:$A$62,0)),""),IF(D254="","",IF(AE254&gt;1,((IF(1&lt;=AE254,(AE254-1+3)*(INDEX(Reference!$B$6:$B$11,MIN(5,MATCH(MAX(Reference!$A$6,MIN(Reference!$A$11,MIN(D254,90))),Reference!$A$6:$A$11,1)))+(MAX(Reference!$A$6,MIN(Reference!$A$11,MIN(D254,90)))-INDEX(Reference!$A$6:$A$11,MIN(5,MATCH(MAX(Reference!$A$6,MIN(Reference!$A$11,MIN(D254,90))),Reference!$A$6:$A$11,1))))*(INDEX(Reference!$B$6:$B$11,MIN(5,MATCH(MAX(Reference!$A$6,MIN(Reference!$A$11,MIN(D254,90))),Reference!$A$6:$A$11,1))+1)-INDEX(Reference!$B$6:$B$11,MIN(5,MATCH(MAX(Reference!$A$6,MIN(Reference!$A$11,MIN(D254,90))),Reference!$A$6:$A$11,1))))/(INDEX(Reference!$A$6:$A$11,MIN(5,MATCH(MAX(Reference!$A$6,MIN(Reference!$A$11,MIN(D254,90))),Reference!$A$6:$A$11,1))+1)-INDEX(Reference!$A$6:$A$11,MIN(5,MATCH(MAX(Reference!$A$6,MIN(Reference!$A$11,MIN(D254,90))),Reference!$A$6:$A$11,1))))),0)+IF(2&lt;=AE254,(AE254-2+3)*(INDEX(Reference!$B$6:$B$11,MIN(5,MATCH(MAX(Reference!$A$6,MIN(Reference!$A$11,MIN(D254,120))),Reference!$A$6:$A$11,1)))+(MAX(Reference!$A$6,MIN(Reference!$A$11,MIN(D254,120)))-INDEX(Reference!$A$6:$A$11,MIN(5,MATCH(MAX(Reference!$A$6,MIN(Reference!$A$11,MIN(D254,120))),Reference!$A$6:$A$11,1))))*(INDEX(Reference!$B$6:$B$11,MIN(5,MATCH(MAX(Reference!$A$6,MIN(Reference!$A$11,MIN(D254,120))),Reference!$A$6:$A$11,1))+1)-INDEX(Reference!$B$6:$B$11,MIN(5,MATCH(MAX(Reference!$A$6,MIN(Reference!$A$11,MIN(D254,120))),Reference!$A$6:$A$11,1))))/(INDEX(Reference!$A$6:$A$11,MIN(5,MATCH(MAX(Reference!$A$6,MIN(Reference!$A$11,MIN(D254,120))),Reference!$A$6:$A$11,1))+1)-INDEX(Reference!$A$6:$A$11,MIN(5,MATCH(MAX(Reference!$A$6,MIN(Reference!$A$11,MIN(D254,120))),Reference!$A$6:$A$11,1))))),0)+IF(3&lt;=AE254,(AE254-3+3)*(INDEX(Reference!$B$6:$B$11,MIN(5,MATCH(MAX(Reference!$A$6,MIN(Reference!$A$11,MIN(D254,150))),Reference!$A$6:$A$11,1)))+(MAX(Reference!$A$6,MIN(Reference!$A$11,MIN(D254,150)))-INDEX(Reference!$A$6:$A$11,MIN(5,MATCH(MAX(Reference!$A$6,MIN(Reference!$A$11,MIN(D254,150))),Reference!$A$6:$A$11,1))))*(INDEX(Reference!$B$6:$B$11,MIN(5,MATCH(MAX(Reference!$A$6,MIN(Reference!$A$11,MIN(D254,150))),Reference!$A$6:$A$11,1))+1)-INDEX(Reference!$B$6:$B$11,MIN(5,MATCH(MAX(Reference!$A$6,MIN(Reference!$A$11,MIN(D254,150))),Reference!$A$6:$A$11,1))))/(INDEX(Reference!$A$6:$A$11,MIN(5,MATCH(MAX(Reference!$A$6,MIN(Reference!$A$11,MIN(D254,150))),Reference!$A$6:$A$11,1))+1)-INDEX(Reference!$A$6:$A$11,MIN(5,MATCH(MAX(Reference!$A$6,MIN(Reference!$A$11,MIN(D254,150))),Reference!$A$6:$A$11,1))))),0)+IF(4&lt;=AE254,(AE254-4+3)*(INDEX(Reference!$B$6:$B$11,MIN(5,MATCH(MAX(Reference!$A$6,MIN(Reference!$A$11,MIN(D254,180))),Reference!$A$6:$A$11,1)))+(MAX(Reference!$A$6,MIN(Reference!$A$11,MIN(D254,180)))-INDEX(Reference!$A$6:$A$11,MIN(5,MATCH(MAX(Reference!$A$6,MIN(Reference!$A$11,MIN(D254,180))),Reference!$A$6:$A$11,1))))*(INDEX(Reference!$B$6:$B$11,MIN(5,MATCH(MAX(Reference!$A$6,MIN(Reference!$A$11,MIN(D254,180))),Reference!$A$6:$A$11,1))+1)-INDEX(Reference!$B$6:$B$11,MIN(5,MATCH(MAX(Reference!$A$6,MIN(Reference!$A$11,MIN(D254,180))),Reference!$A$6:$A$11,1))))/(INDEX(Reference!$A$6:$A$11,MIN(5,MATCH(MAX(Reference!$A$6,MIN(Reference!$A$11,MIN(D254,180))),Reference!$A$6:$A$11,1))+1)-INDEX(Reference!$A$6:$A$11,MIN(5,MATCH(MAX(Reference!$A$6,MIN(Reference!$A$11,MIN(D254,180))),Reference!$A$6:$A$11,1))))),0)+IF(5&lt;=AE254,(AE254-5+3)*(INDEX(Reference!$B$6:$B$11,MIN(5,MATCH(MAX(Reference!$A$6,MIN(Reference!$A$11,MIN(D254,210))),Reference!$A$6:$A$11,1)))+(MAX(Reference!$A$6,MIN(Reference!$A$11,MIN(D254,210)))-INDEX(Reference!$A$6:$A$11,MIN(5,MATCH(MAX(Reference!$A$6,MIN(Reference!$A$11,MIN(D254,210))),Reference!$A$6:$A$11,1))))*(INDEX(Reference!$B$6:$B$11,MIN(5,MATCH(MAX(Reference!$A$6,MIN(Reference!$A$11,MIN(D254,210))),Reference!$A$6:$A$11,1))+1)-INDEX(Reference!$B$6:$B$11,MIN(5,MATCH(MAX(Reference!$A$6,MIN(Reference!$A$11,MIN(D254,210))),Reference!$A$6:$A$11,1))))/(INDEX(Reference!$A$6:$A$11,MIN(5,MATCH(MAX(Reference!$A$6,MIN(Reference!$A$11,MIN(D254,210))),Reference!$A$6:$A$11,1))+1)-INDEX(Reference!$A$6:$A$11,MIN(5,MATCH(MAX(Reference!$A$6,MIN(Reference!$A$11,MIN(D254,210))),Reference!$A$6:$A$11,1))))),0)+IF(6&lt;=AE254,(AE254-6+3)*(INDEX(Reference!$B$6:$B$11,MIN(5,MATCH(MAX(Reference!$A$6,MIN(Reference!$A$11,MIN(D254,240))),Reference!$A$6:$A$11,1)))+(MAX(Reference!$A$6,MIN(Reference!$A$11,MIN(D254,240)))-INDEX(Reference!$A$6:$A$11,MIN(5,MATCH(MAX(Reference!$A$6,MIN(Reference!$A$11,MIN(D254,240))),Reference!$A$6:$A$11,1))))*(INDEX(Reference!$B$6:$B$11,MIN(5,MATCH(MAX(Reference!$A$6,MIN(Reference!$A$11,MIN(D254,240))),Reference!$A$6:$A$11,1))+1)-INDEX(Reference!$B$6:$B$11,MIN(5,MATCH(MAX(Reference!$A$6,MIN(Reference!$A$11,MIN(D254,240))),Reference!$A$6:$A$11,1))))/(INDEX(Reference!$A$6:$A$11,MIN(5,MATCH(MAX(Reference!$A$6,MIN(Reference!$A$11,MIN(D254,240))),Reference!$A$6:$A$11,1))+1)-INDEX(Reference!$A$6:$A$11,MIN(5,MATCH(MAX(Reference!$A$6,MIN(Reference!$A$11,MIN(D254,240))),Reference!$A$6:$A$11,1))))),0)+IF(7&lt;=AE254,(AE254-7+3)*(INDEX(Reference!$B$6:$B$11,MIN(5,MATCH(MAX(Reference!$A$6,MIN(Reference!$A$11,MIN(D254,270))),Reference!$A$6:$A$11,1)))+(MAX(Reference!$A$6,MIN(Reference!$A$11,MIN(D254,270)))-INDEX(Reference!$A$6:$A$11,MIN(5,MATCH(MAX(Reference!$A$6,MIN(Reference!$A$11,MIN(D254,270))),Reference!$A$6:$A$11,1))))*(INDEX(Reference!$B$6:$B$11,MIN(5,MATCH(MAX(Reference!$A$6,MIN(Reference!$A$11,MIN(D254,270))),Reference!$A$6:$A$11,1))+1)-INDEX(Reference!$B$6:$B$11,MIN(5,MATCH(MAX(Reference!$A$6,MIN(Reference!$A$11,MIN(D254,270))),Reference!$A$6:$A$11,1))))/(INDEX(Reference!$A$6:$A$11,MIN(5,MATCH(MAX(Reference!$A$6,MIN(Reference!$A$11,MIN(D254,270))),Reference!$A$6:$A$11,1))+1)-INDEX(Reference!$A$6:$A$11,MIN(5,MATCH(MAX(Reference!$A$6,MIN(Reference!$A$11,MIN(D254,270))),Reference!$A$6:$A$11,1))))),0)+IF(8&lt;=AE254,(AE254-8+3)*(INDEX(Reference!$B$6:$B$11,MIN(5,MATCH(MAX(Reference!$A$6,MIN(Reference!$A$11,MIN(D254,300))),Reference!$A$6:$A$11,1)))+(MAX(Reference!$A$6,MIN(Reference!$A$11,MIN(D254,300)))-INDEX(Reference!$A$6:$A$11,MIN(5,MATCH(MAX(Reference!$A$6,MIN(Reference!$A$11,MIN(D254,300))),Reference!$A$6:$A$11,1))))*(INDEX(Reference!$B$6:$B$11,MIN(5,MATCH(MAX(Reference!$A$6,MIN(Reference!$A$11,MIN(D254,300))),Reference!$A$6:$A$11,1))+1)-INDEX(Reference!$B$6:$B$11,MIN(5,MATCH(MAX(Reference!$A$6,MIN(Reference!$A$11,MIN(D254,300))),Reference!$A$6:$A$11,1))))/(INDEX(Reference!$A$6:$A$11,MIN(5,MATCH(MAX(Reference!$A$6,MIN(Reference!$A$11,MIN(D254,300))),Reference!$A$6:$A$11,1))+1)-INDEX(Reference!$A$6:$A$11,MIN(5,MATCH(MAX(Reference!$A$6,MIN(Reference!$A$11,MIN(D254,300))),Reference!$A$6:$A$11,1))))),0))/(AE254*(AE254+5)/2)),(INDEX(Reference!$B$6:$B$11,MIN(5,MATCH(MAX(Reference!$A$6,MIN(Reference!$A$11,D254)),Reference!$A$6:$A$11,1)))+(MAX(Reference!$A$6,MIN(Reference!$A$11,D254))-INDEX(Reference!$A$6:$A$11,MIN(5,MATCH(MAX(Reference!$A$6,MIN(Reference!$A$11,D254)),Reference!$A$6:$A$11,1))))*(INDEX(Reference!$B$6:$B$11,MIN(5,MATCH(MAX(Reference!$A$6,MIN(Reference!$A$11,D254)),Reference!$A$6:$A$11,1))+1)-INDEX(Reference!$B$6:$B$11,MIN(5,MATCH(MAX(Reference!$A$6,MIN(Reference!$A$11,D254)),Reference!$A$6:$A$11,1))))/(INDEX(Reference!$A$6:$A$11,MIN(5,MATCH(MAX(Reference!$A$6,MIN(Reference!$A$11,D254)),Reference!$A$6:$A$11,1))+1)-INDEX(Reference!$A$6:$A$11,MIN(5,MATCH(MAX(Reference!$A$6,MIN(Reference!$A$11,D254)),Reference!$A$6:$A$11,1))))))))</f>
        <v/>
      </c>
      <c r="P254" s="32" t="str">
        <f>IF(N254="","",VLOOKUP(MAX(N254,0),Reference!$A$17:$B$20,2,TRUE()))</f>
        <v/>
      </c>
      <c r="Q254" s="32" t="str">
        <f t="shared" si="30"/>
        <v/>
      </c>
      <c r="R254" s="31"/>
      <c r="S254" s="31"/>
      <c r="T254" s="31"/>
      <c r="U254" s="32" t="str">
        <f t="shared" si="31"/>
        <v/>
      </c>
      <c r="V254" s="32" t="str">
        <f t="shared" si="32"/>
        <v/>
      </c>
      <c r="W254" s="32" t="str">
        <f>IF(V254="","",VLOOKUP(MAX(V254,0),Reference!$A$17:$B$20,2,TRUE()))</f>
        <v/>
      </c>
      <c r="X254" s="31"/>
      <c r="Y254" s="31"/>
      <c r="Z254" s="31"/>
      <c r="AA254" s="32" t="str">
        <f t="shared" si="33"/>
        <v/>
      </c>
      <c r="AB254" s="32" t="str">
        <f t="shared" si="34"/>
        <v/>
      </c>
      <c r="AC254" s="32" t="str">
        <f>IF(AB254="","",VLOOKUP(MAX(AB254,0),Reference!$A$17:$B$20,2,TRUE()))</f>
        <v/>
      </c>
      <c r="AD254" s="31"/>
      <c r="AE254">
        <f t="shared" si="35"/>
        <v>1</v>
      </c>
      <c r="AF254" s="33" t="str">
        <f>IF(OR(A254="",B254="",AND(C254&lt;&gt;"Bullpen",C254&lt;&gt;"Game")),"",IF((COUNTIFS($B$5:$B$300,B254,$A$5:$A$300,A254-1,$C$5:$C$300,"Bullpen",$AG$5:$AG$300,"&gt;0") + COUNTIFS($B$5:$B$300,B254,$A$5:$A$300,A254-1,$C$5:$C$300,"Game",$AG$5:$AG$300,"&gt;0"))&gt;0,Reference!$B$119,IF((COUNTIFS($B$5:$B$300,B254,$A$5:$A$300,A254-2,$C$5:$C$300,"Bullpen",$AG$5:$AG$300,"&gt;0") + COUNTIFS($B$5:$B$300,B254,$A$5:$A$300,A254-2,$C$5:$C$300,"Game",$AG$5:$AG$300,"&gt;0"))&gt;0,Reference!$B$120,1)))</f>
        <v/>
      </c>
      <c r="AG254" s="30" t="str">
        <f>IF(AND(OR(I254="",O254="",P254=""),OR(R254="",W254=""),OR(X254="",AC254="")),"",IF(OR(I254="",O254="",P254=""),0,I254*O254*P254)+IF(OR(R254="",W254=""),0,R254*IFERROR(INDEX(Reference!$B$61:$B$62,MATCH("Bullpen",Reference!$A$61:$A$62,0)),0)*W254)+IF(OR(X254="",AC254=""),0,X254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254))</f>
        <v/>
      </c>
    </row>
    <row r="255" spans="1:33" x14ac:dyDescent="0.3">
      <c r="A255" s="35"/>
      <c r="B255" s="31"/>
      <c r="C255" s="31"/>
      <c r="D255" s="31"/>
      <c r="E255" s="34"/>
      <c r="F255" s="34"/>
      <c r="G255" s="30" t="str">
        <f t="shared" si="27"/>
        <v/>
      </c>
      <c r="H255" s="31"/>
      <c r="I255" s="32" t="str">
        <f>IF(H255&lt;&gt;"",H255,IF(G255="","",ROUND(G255*IFERROR(INDEX(Reference!$B$44:$B$50,MATCH(C255,Reference!$A$44:$A$50,0)),0),0)))</f>
        <v/>
      </c>
      <c r="J255" s="31"/>
      <c r="K255" s="31"/>
      <c r="L255" s="32" t="str">
        <f t="shared" si="28"/>
        <v/>
      </c>
      <c r="M255" s="32" t="str">
        <f>IFERROR(INDEX(Roster!$D$5:$D$40,MATCH(B255,Roster!$A$5:$A$40,0)),"")</f>
        <v/>
      </c>
      <c r="N255" s="32" t="str">
        <f t="shared" si="29"/>
        <v/>
      </c>
      <c r="O255" s="32" t="str">
        <f>IF(OR(C255="Bullpen",C255="Game"),IFERROR(INDEX(Reference!$B$61:$B$62,MATCH(C255,Reference!$A$61:$A$62,0)),""),IF(D255="","",IF(AE255&gt;1,((IF(1&lt;=AE255,(AE255-1+3)*(INDEX(Reference!$B$6:$B$11,MIN(5,MATCH(MAX(Reference!$A$6,MIN(Reference!$A$11,MIN(D255,90))),Reference!$A$6:$A$11,1)))+(MAX(Reference!$A$6,MIN(Reference!$A$11,MIN(D255,90)))-INDEX(Reference!$A$6:$A$11,MIN(5,MATCH(MAX(Reference!$A$6,MIN(Reference!$A$11,MIN(D255,90))),Reference!$A$6:$A$11,1))))*(INDEX(Reference!$B$6:$B$11,MIN(5,MATCH(MAX(Reference!$A$6,MIN(Reference!$A$11,MIN(D255,90))),Reference!$A$6:$A$11,1))+1)-INDEX(Reference!$B$6:$B$11,MIN(5,MATCH(MAX(Reference!$A$6,MIN(Reference!$A$11,MIN(D255,90))),Reference!$A$6:$A$11,1))))/(INDEX(Reference!$A$6:$A$11,MIN(5,MATCH(MAX(Reference!$A$6,MIN(Reference!$A$11,MIN(D255,90))),Reference!$A$6:$A$11,1))+1)-INDEX(Reference!$A$6:$A$11,MIN(5,MATCH(MAX(Reference!$A$6,MIN(Reference!$A$11,MIN(D255,90))),Reference!$A$6:$A$11,1))))),0)+IF(2&lt;=AE255,(AE255-2+3)*(INDEX(Reference!$B$6:$B$11,MIN(5,MATCH(MAX(Reference!$A$6,MIN(Reference!$A$11,MIN(D255,120))),Reference!$A$6:$A$11,1)))+(MAX(Reference!$A$6,MIN(Reference!$A$11,MIN(D255,120)))-INDEX(Reference!$A$6:$A$11,MIN(5,MATCH(MAX(Reference!$A$6,MIN(Reference!$A$11,MIN(D255,120))),Reference!$A$6:$A$11,1))))*(INDEX(Reference!$B$6:$B$11,MIN(5,MATCH(MAX(Reference!$A$6,MIN(Reference!$A$11,MIN(D255,120))),Reference!$A$6:$A$11,1))+1)-INDEX(Reference!$B$6:$B$11,MIN(5,MATCH(MAX(Reference!$A$6,MIN(Reference!$A$11,MIN(D255,120))),Reference!$A$6:$A$11,1))))/(INDEX(Reference!$A$6:$A$11,MIN(5,MATCH(MAX(Reference!$A$6,MIN(Reference!$A$11,MIN(D255,120))),Reference!$A$6:$A$11,1))+1)-INDEX(Reference!$A$6:$A$11,MIN(5,MATCH(MAX(Reference!$A$6,MIN(Reference!$A$11,MIN(D255,120))),Reference!$A$6:$A$11,1))))),0)+IF(3&lt;=AE255,(AE255-3+3)*(INDEX(Reference!$B$6:$B$11,MIN(5,MATCH(MAX(Reference!$A$6,MIN(Reference!$A$11,MIN(D255,150))),Reference!$A$6:$A$11,1)))+(MAX(Reference!$A$6,MIN(Reference!$A$11,MIN(D255,150)))-INDEX(Reference!$A$6:$A$11,MIN(5,MATCH(MAX(Reference!$A$6,MIN(Reference!$A$11,MIN(D255,150))),Reference!$A$6:$A$11,1))))*(INDEX(Reference!$B$6:$B$11,MIN(5,MATCH(MAX(Reference!$A$6,MIN(Reference!$A$11,MIN(D255,150))),Reference!$A$6:$A$11,1))+1)-INDEX(Reference!$B$6:$B$11,MIN(5,MATCH(MAX(Reference!$A$6,MIN(Reference!$A$11,MIN(D255,150))),Reference!$A$6:$A$11,1))))/(INDEX(Reference!$A$6:$A$11,MIN(5,MATCH(MAX(Reference!$A$6,MIN(Reference!$A$11,MIN(D255,150))),Reference!$A$6:$A$11,1))+1)-INDEX(Reference!$A$6:$A$11,MIN(5,MATCH(MAX(Reference!$A$6,MIN(Reference!$A$11,MIN(D255,150))),Reference!$A$6:$A$11,1))))),0)+IF(4&lt;=AE255,(AE255-4+3)*(INDEX(Reference!$B$6:$B$11,MIN(5,MATCH(MAX(Reference!$A$6,MIN(Reference!$A$11,MIN(D255,180))),Reference!$A$6:$A$11,1)))+(MAX(Reference!$A$6,MIN(Reference!$A$11,MIN(D255,180)))-INDEX(Reference!$A$6:$A$11,MIN(5,MATCH(MAX(Reference!$A$6,MIN(Reference!$A$11,MIN(D255,180))),Reference!$A$6:$A$11,1))))*(INDEX(Reference!$B$6:$B$11,MIN(5,MATCH(MAX(Reference!$A$6,MIN(Reference!$A$11,MIN(D255,180))),Reference!$A$6:$A$11,1))+1)-INDEX(Reference!$B$6:$B$11,MIN(5,MATCH(MAX(Reference!$A$6,MIN(Reference!$A$11,MIN(D255,180))),Reference!$A$6:$A$11,1))))/(INDEX(Reference!$A$6:$A$11,MIN(5,MATCH(MAX(Reference!$A$6,MIN(Reference!$A$11,MIN(D255,180))),Reference!$A$6:$A$11,1))+1)-INDEX(Reference!$A$6:$A$11,MIN(5,MATCH(MAX(Reference!$A$6,MIN(Reference!$A$11,MIN(D255,180))),Reference!$A$6:$A$11,1))))),0)+IF(5&lt;=AE255,(AE255-5+3)*(INDEX(Reference!$B$6:$B$11,MIN(5,MATCH(MAX(Reference!$A$6,MIN(Reference!$A$11,MIN(D255,210))),Reference!$A$6:$A$11,1)))+(MAX(Reference!$A$6,MIN(Reference!$A$11,MIN(D255,210)))-INDEX(Reference!$A$6:$A$11,MIN(5,MATCH(MAX(Reference!$A$6,MIN(Reference!$A$11,MIN(D255,210))),Reference!$A$6:$A$11,1))))*(INDEX(Reference!$B$6:$B$11,MIN(5,MATCH(MAX(Reference!$A$6,MIN(Reference!$A$11,MIN(D255,210))),Reference!$A$6:$A$11,1))+1)-INDEX(Reference!$B$6:$B$11,MIN(5,MATCH(MAX(Reference!$A$6,MIN(Reference!$A$11,MIN(D255,210))),Reference!$A$6:$A$11,1))))/(INDEX(Reference!$A$6:$A$11,MIN(5,MATCH(MAX(Reference!$A$6,MIN(Reference!$A$11,MIN(D255,210))),Reference!$A$6:$A$11,1))+1)-INDEX(Reference!$A$6:$A$11,MIN(5,MATCH(MAX(Reference!$A$6,MIN(Reference!$A$11,MIN(D255,210))),Reference!$A$6:$A$11,1))))),0)+IF(6&lt;=AE255,(AE255-6+3)*(INDEX(Reference!$B$6:$B$11,MIN(5,MATCH(MAX(Reference!$A$6,MIN(Reference!$A$11,MIN(D255,240))),Reference!$A$6:$A$11,1)))+(MAX(Reference!$A$6,MIN(Reference!$A$11,MIN(D255,240)))-INDEX(Reference!$A$6:$A$11,MIN(5,MATCH(MAX(Reference!$A$6,MIN(Reference!$A$11,MIN(D255,240))),Reference!$A$6:$A$11,1))))*(INDEX(Reference!$B$6:$B$11,MIN(5,MATCH(MAX(Reference!$A$6,MIN(Reference!$A$11,MIN(D255,240))),Reference!$A$6:$A$11,1))+1)-INDEX(Reference!$B$6:$B$11,MIN(5,MATCH(MAX(Reference!$A$6,MIN(Reference!$A$11,MIN(D255,240))),Reference!$A$6:$A$11,1))))/(INDEX(Reference!$A$6:$A$11,MIN(5,MATCH(MAX(Reference!$A$6,MIN(Reference!$A$11,MIN(D255,240))),Reference!$A$6:$A$11,1))+1)-INDEX(Reference!$A$6:$A$11,MIN(5,MATCH(MAX(Reference!$A$6,MIN(Reference!$A$11,MIN(D255,240))),Reference!$A$6:$A$11,1))))),0)+IF(7&lt;=AE255,(AE255-7+3)*(INDEX(Reference!$B$6:$B$11,MIN(5,MATCH(MAX(Reference!$A$6,MIN(Reference!$A$11,MIN(D255,270))),Reference!$A$6:$A$11,1)))+(MAX(Reference!$A$6,MIN(Reference!$A$11,MIN(D255,270)))-INDEX(Reference!$A$6:$A$11,MIN(5,MATCH(MAX(Reference!$A$6,MIN(Reference!$A$11,MIN(D255,270))),Reference!$A$6:$A$11,1))))*(INDEX(Reference!$B$6:$B$11,MIN(5,MATCH(MAX(Reference!$A$6,MIN(Reference!$A$11,MIN(D255,270))),Reference!$A$6:$A$11,1))+1)-INDEX(Reference!$B$6:$B$11,MIN(5,MATCH(MAX(Reference!$A$6,MIN(Reference!$A$11,MIN(D255,270))),Reference!$A$6:$A$11,1))))/(INDEX(Reference!$A$6:$A$11,MIN(5,MATCH(MAX(Reference!$A$6,MIN(Reference!$A$11,MIN(D255,270))),Reference!$A$6:$A$11,1))+1)-INDEX(Reference!$A$6:$A$11,MIN(5,MATCH(MAX(Reference!$A$6,MIN(Reference!$A$11,MIN(D255,270))),Reference!$A$6:$A$11,1))))),0)+IF(8&lt;=AE255,(AE255-8+3)*(INDEX(Reference!$B$6:$B$11,MIN(5,MATCH(MAX(Reference!$A$6,MIN(Reference!$A$11,MIN(D255,300))),Reference!$A$6:$A$11,1)))+(MAX(Reference!$A$6,MIN(Reference!$A$11,MIN(D255,300)))-INDEX(Reference!$A$6:$A$11,MIN(5,MATCH(MAX(Reference!$A$6,MIN(Reference!$A$11,MIN(D255,300))),Reference!$A$6:$A$11,1))))*(INDEX(Reference!$B$6:$B$11,MIN(5,MATCH(MAX(Reference!$A$6,MIN(Reference!$A$11,MIN(D255,300))),Reference!$A$6:$A$11,1))+1)-INDEX(Reference!$B$6:$B$11,MIN(5,MATCH(MAX(Reference!$A$6,MIN(Reference!$A$11,MIN(D255,300))),Reference!$A$6:$A$11,1))))/(INDEX(Reference!$A$6:$A$11,MIN(5,MATCH(MAX(Reference!$A$6,MIN(Reference!$A$11,MIN(D255,300))),Reference!$A$6:$A$11,1))+1)-INDEX(Reference!$A$6:$A$11,MIN(5,MATCH(MAX(Reference!$A$6,MIN(Reference!$A$11,MIN(D255,300))),Reference!$A$6:$A$11,1))))),0))/(AE255*(AE255+5)/2)),(INDEX(Reference!$B$6:$B$11,MIN(5,MATCH(MAX(Reference!$A$6,MIN(Reference!$A$11,D255)),Reference!$A$6:$A$11,1)))+(MAX(Reference!$A$6,MIN(Reference!$A$11,D255))-INDEX(Reference!$A$6:$A$11,MIN(5,MATCH(MAX(Reference!$A$6,MIN(Reference!$A$11,D255)),Reference!$A$6:$A$11,1))))*(INDEX(Reference!$B$6:$B$11,MIN(5,MATCH(MAX(Reference!$A$6,MIN(Reference!$A$11,D255)),Reference!$A$6:$A$11,1))+1)-INDEX(Reference!$B$6:$B$11,MIN(5,MATCH(MAX(Reference!$A$6,MIN(Reference!$A$11,D255)),Reference!$A$6:$A$11,1))))/(INDEX(Reference!$A$6:$A$11,MIN(5,MATCH(MAX(Reference!$A$6,MIN(Reference!$A$11,D255)),Reference!$A$6:$A$11,1))+1)-INDEX(Reference!$A$6:$A$11,MIN(5,MATCH(MAX(Reference!$A$6,MIN(Reference!$A$11,D255)),Reference!$A$6:$A$11,1))))))))</f>
        <v/>
      </c>
      <c r="P255" s="32" t="str">
        <f>IF(N255="","",VLOOKUP(MAX(N255,0),Reference!$A$17:$B$20,2,TRUE()))</f>
        <v/>
      </c>
      <c r="Q255" s="32" t="str">
        <f t="shared" si="30"/>
        <v/>
      </c>
      <c r="R255" s="31"/>
      <c r="S255" s="31"/>
      <c r="T255" s="31"/>
      <c r="U255" s="32" t="str">
        <f t="shared" si="31"/>
        <v/>
      </c>
      <c r="V255" s="32" t="str">
        <f t="shared" si="32"/>
        <v/>
      </c>
      <c r="W255" s="32" t="str">
        <f>IF(V255="","",VLOOKUP(MAX(V255,0),Reference!$A$17:$B$20,2,TRUE()))</f>
        <v/>
      </c>
      <c r="X255" s="31"/>
      <c r="Y255" s="31"/>
      <c r="Z255" s="31"/>
      <c r="AA255" s="32" t="str">
        <f t="shared" si="33"/>
        <v/>
      </c>
      <c r="AB255" s="32" t="str">
        <f t="shared" si="34"/>
        <v/>
      </c>
      <c r="AC255" s="32" t="str">
        <f>IF(AB255="","",VLOOKUP(MAX(AB255,0),Reference!$A$17:$B$20,2,TRUE()))</f>
        <v/>
      </c>
      <c r="AD255" s="31"/>
      <c r="AE255">
        <f t="shared" si="35"/>
        <v>1</v>
      </c>
      <c r="AF255" s="33" t="str">
        <f>IF(OR(A255="",B255="",AND(C255&lt;&gt;"Bullpen",C255&lt;&gt;"Game")),"",IF((COUNTIFS($B$5:$B$300,B255,$A$5:$A$300,A255-1,$C$5:$C$300,"Bullpen",$AG$5:$AG$300,"&gt;0") + COUNTIFS($B$5:$B$300,B255,$A$5:$A$300,A255-1,$C$5:$C$300,"Game",$AG$5:$AG$300,"&gt;0"))&gt;0,Reference!$B$119,IF((COUNTIFS($B$5:$B$300,B255,$A$5:$A$300,A255-2,$C$5:$C$300,"Bullpen",$AG$5:$AG$300,"&gt;0") + COUNTIFS($B$5:$B$300,B255,$A$5:$A$300,A255-2,$C$5:$C$300,"Game",$AG$5:$AG$300,"&gt;0"))&gt;0,Reference!$B$120,1)))</f>
        <v/>
      </c>
      <c r="AG255" s="30" t="str">
        <f>IF(AND(OR(I255="",O255="",P255=""),OR(R255="",W255=""),OR(X255="",AC255="")),"",IF(OR(I255="",O255="",P255=""),0,I255*O255*P255)+IF(OR(R255="",W255=""),0,R255*IFERROR(INDEX(Reference!$B$61:$B$62,MATCH("Bullpen",Reference!$A$61:$A$62,0)),0)*W255)+IF(OR(X255="",AC255=""),0,X255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255))</f>
        <v/>
      </c>
    </row>
    <row r="256" spans="1:33" x14ac:dyDescent="0.3">
      <c r="A256" s="35"/>
      <c r="B256" s="31"/>
      <c r="C256" s="31"/>
      <c r="D256" s="31"/>
      <c r="E256" s="34"/>
      <c r="F256" s="34"/>
      <c r="G256" s="30" t="str">
        <f t="shared" si="27"/>
        <v/>
      </c>
      <c r="H256" s="31"/>
      <c r="I256" s="32" t="str">
        <f>IF(H256&lt;&gt;"",H256,IF(G256="","",ROUND(G256*IFERROR(INDEX(Reference!$B$44:$B$50,MATCH(C256,Reference!$A$44:$A$50,0)),0),0)))</f>
        <v/>
      </c>
      <c r="J256" s="31"/>
      <c r="K256" s="31"/>
      <c r="L256" s="32" t="str">
        <f t="shared" si="28"/>
        <v/>
      </c>
      <c r="M256" s="32" t="str">
        <f>IFERROR(INDEX(Roster!$D$5:$D$40,MATCH(B256,Roster!$A$5:$A$40,0)),"")</f>
        <v/>
      </c>
      <c r="N256" s="32" t="str">
        <f t="shared" si="29"/>
        <v/>
      </c>
      <c r="O256" s="32" t="str">
        <f>IF(OR(C256="Bullpen",C256="Game"),IFERROR(INDEX(Reference!$B$61:$B$62,MATCH(C256,Reference!$A$61:$A$62,0)),""),IF(D256="","",IF(AE256&gt;1,((IF(1&lt;=AE256,(AE256-1+3)*(INDEX(Reference!$B$6:$B$11,MIN(5,MATCH(MAX(Reference!$A$6,MIN(Reference!$A$11,MIN(D256,90))),Reference!$A$6:$A$11,1)))+(MAX(Reference!$A$6,MIN(Reference!$A$11,MIN(D256,90)))-INDEX(Reference!$A$6:$A$11,MIN(5,MATCH(MAX(Reference!$A$6,MIN(Reference!$A$11,MIN(D256,90))),Reference!$A$6:$A$11,1))))*(INDEX(Reference!$B$6:$B$11,MIN(5,MATCH(MAX(Reference!$A$6,MIN(Reference!$A$11,MIN(D256,90))),Reference!$A$6:$A$11,1))+1)-INDEX(Reference!$B$6:$B$11,MIN(5,MATCH(MAX(Reference!$A$6,MIN(Reference!$A$11,MIN(D256,90))),Reference!$A$6:$A$11,1))))/(INDEX(Reference!$A$6:$A$11,MIN(5,MATCH(MAX(Reference!$A$6,MIN(Reference!$A$11,MIN(D256,90))),Reference!$A$6:$A$11,1))+1)-INDEX(Reference!$A$6:$A$11,MIN(5,MATCH(MAX(Reference!$A$6,MIN(Reference!$A$11,MIN(D256,90))),Reference!$A$6:$A$11,1))))),0)+IF(2&lt;=AE256,(AE256-2+3)*(INDEX(Reference!$B$6:$B$11,MIN(5,MATCH(MAX(Reference!$A$6,MIN(Reference!$A$11,MIN(D256,120))),Reference!$A$6:$A$11,1)))+(MAX(Reference!$A$6,MIN(Reference!$A$11,MIN(D256,120)))-INDEX(Reference!$A$6:$A$11,MIN(5,MATCH(MAX(Reference!$A$6,MIN(Reference!$A$11,MIN(D256,120))),Reference!$A$6:$A$11,1))))*(INDEX(Reference!$B$6:$B$11,MIN(5,MATCH(MAX(Reference!$A$6,MIN(Reference!$A$11,MIN(D256,120))),Reference!$A$6:$A$11,1))+1)-INDEX(Reference!$B$6:$B$11,MIN(5,MATCH(MAX(Reference!$A$6,MIN(Reference!$A$11,MIN(D256,120))),Reference!$A$6:$A$11,1))))/(INDEX(Reference!$A$6:$A$11,MIN(5,MATCH(MAX(Reference!$A$6,MIN(Reference!$A$11,MIN(D256,120))),Reference!$A$6:$A$11,1))+1)-INDEX(Reference!$A$6:$A$11,MIN(5,MATCH(MAX(Reference!$A$6,MIN(Reference!$A$11,MIN(D256,120))),Reference!$A$6:$A$11,1))))),0)+IF(3&lt;=AE256,(AE256-3+3)*(INDEX(Reference!$B$6:$B$11,MIN(5,MATCH(MAX(Reference!$A$6,MIN(Reference!$A$11,MIN(D256,150))),Reference!$A$6:$A$11,1)))+(MAX(Reference!$A$6,MIN(Reference!$A$11,MIN(D256,150)))-INDEX(Reference!$A$6:$A$11,MIN(5,MATCH(MAX(Reference!$A$6,MIN(Reference!$A$11,MIN(D256,150))),Reference!$A$6:$A$11,1))))*(INDEX(Reference!$B$6:$B$11,MIN(5,MATCH(MAX(Reference!$A$6,MIN(Reference!$A$11,MIN(D256,150))),Reference!$A$6:$A$11,1))+1)-INDEX(Reference!$B$6:$B$11,MIN(5,MATCH(MAX(Reference!$A$6,MIN(Reference!$A$11,MIN(D256,150))),Reference!$A$6:$A$11,1))))/(INDEX(Reference!$A$6:$A$11,MIN(5,MATCH(MAX(Reference!$A$6,MIN(Reference!$A$11,MIN(D256,150))),Reference!$A$6:$A$11,1))+1)-INDEX(Reference!$A$6:$A$11,MIN(5,MATCH(MAX(Reference!$A$6,MIN(Reference!$A$11,MIN(D256,150))),Reference!$A$6:$A$11,1))))),0)+IF(4&lt;=AE256,(AE256-4+3)*(INDEX(Reference!$B$6:$B$11,MIN(5,MATCH(MAX(Reference!$A$6,MIN(Reference!$A$11,MIN(D256,180))),Reference!$A$6:$A$11,1)))+(MAX(Reference!$A$6,MIN(Reference!$A$11,MIN(D256,180)))-INDEX(Reference!$A$6:$A$11,MIN(5,MATCH(MAX(Reference!$A$6,MIN(Reference!$A$11,MIN(D256,180))),Reference!$A$6:$A$11,1))))*(INDEX(Reference!$B$6:$B$11,MIN(5,MATCH(MAX(Reference!$A$6,MIN(Reference!$A$11,MIN(D256,180))),Reference!$A$6:$A$11,1))+1)-INDEX(Reference!$B$6:$B$11,MIN(5,MATCH(MAX(Reference!$A$6,MIN(Reference!$A$11,MIN(D256,180))),Reference!$A$6:$A$11,1))))/(INDEX(Reference!$A$6:$A$11,MIN(5,MATCH(MAX(Reference!$A$6,MIN(Reference!$A$11,MIN(D256,180))),Reference!$A$6:$A$11,1))+1)-INDEX(Reference!$A$6:$A$11,MIN(5,MATCH(MAX(Reference!$A$6,MIN(Reference!$A$11,MIN(D256,180))),Reference!$A$6:$A$11,1))))),0)+IF(5&lt;=AE256,(AE256-5+3)*(INDEX(Reference!$B$6:$B$11,MIN(5,MATCH(MAX(Reference!$A$6,MIN(Reference!$A$11,MIN(D256,210))),Reference!$A$6:$A$11,1)))+(MAX(Reference!$A$6,MIN(Reference!$A$11,MIN(D256,210)))-INDEX(Reference!$A$6:$A$11,MIN(5,MATCH(MAX(Reference!$A$6,MIN(Reference!$A$11,MIN(D256,210))),Reference!$A$6:$A$11,1))))*(INDEX(Reference!$B$6:$B$11,MIN(5,MATCH(MAX(Reference!$A$6,MIN(Reference!$A$11,MIN(D256,210))),Reference!$A$6:$A$11,1))+1)-INDEX(Reference!$B$6:$B$11,MIN(5,MATCH(MAX(Reference!$A$6,MIN(Reference!$A$11,MIN(D256,210))),Reference!$A$6:$A$11,1))))/(INDEX(Reference!$A$6:$A$11,MIN(5,MATCH(MAX(Reference!$A$6,MIN(Reference!$A$11,MIN(D256,210))),Reference!$A$6:$A$11,1))+1)-INDEX(Reference!$A$6:$A$11,MIN(5,MATCH(MAX(Reference!$A$6,MIN(Reference!$A$11,MIN(D256,210))),Reference!$A$6:$A$11,1))))),0)+IF(6&lt;=AE256,(AE256-6+3)*(INDEX(Reference!$B$6:$B$11,MIN(5,MATCH(MAX(Reference!$A$6,MIN(Reference!$A$11,MIN(D256,240))),Reference!$A$6:$A$11,1)))+(MAX(Reference!$A$6,MIN(Reference!$A$11,MIN(D256,240)))-INDEX(Reference!$A$6:$A$11,MIN(5,MATCH(MAX(Reference!$A$6,MIN(Reference!$A$11,MIN(D256,240))),Reference!$A$6:$A$11,1))))*(INDEX(Reference!$B$6:$B$11,MIN(5,MATCH(MAX(Reference!$A$6,MIN(Reference!$A$11,MIN(D256,240))),Reference!$A$6:$A$11,1))+1)-INDEX(Reference!$B$6:$B$11,MIN(5,MATCH(MAX(Reference!$A$6,MIN(Reference!$A$11,MIN(D256,240))),Reference!$A$6:$A$11,1))))/(INDEX(Reference!$A$6:$A$11,MIN(5,MATCH(MAX(Reference!$A$6,MIN(Reference!$A$11,MIN(D256,240))),Reference!$A$6:$A$11,1))+1)-INDEX(Reference!$A$6:$A$11,MIN(5,MATCH(MAX(Reference!$A$6,MIN(Reference!$A$11,MIN(D256,240))),Reference!$A$6:$A$11,1))))),0)+IF(7&lt;=AE256,(AE256-7+3)*(INDEX(Reference!$B$6:$B$11,MIN(5,MATCH(MAX(Reference!$A$6,MIN(Reference!$A$11,MIN(D256,270))),Reference!$A$6:$A$11,1)))+(MAX(Reference!$A$6,MIN(Reference!$A$11,MIN(D256,270)))-INDEX(Reference!$A$6:$A$11,MIN(5,MATCH(MAX(Reference!$A$6,MIN(Reference!$A$11,MIN(D256,270))),Reference!$A$6:$A$11,1))))*(INDEX(Reference!$B$6:$B$11,MIN(5,MATCH(MAX(Reference!$A$6,MIN(Reference!$A$11,MIN(D256,270))),Reference!$A$6:$A$11,1))+1)-INDEX(Reference!$B$6:$B$11,MIN(5,MATCH(MAX(Reference!$A$6,MIN(Reference!$A$11,MIN(D256,270))),Reference!$A$6:$A$11,1))))/(INDEX(Reference!$A$6:$A$11,MIN(5,MATCH(MAX(Reference!$A$6,MIN(Reference!$A$11,MIN(D256,270))),Reference!$A$6:$A$11,1))+1)-INDEX(Reference!$A$6:$A$11,MIN(5,MATCH(MAX(Reference!$A$6,MIN(Reference!$A$11,MIN(D256,270))),Reference!$A$6:$A$11,1))))),0)+IF(8&lt;=AE256,(AE256-8+3)*(INDEX(Reference!$B$6:$B$11,MIN(5,MATCH(MAX(Reference!$A$6,MIN(Reference!$A$11,MIN(D256,300))),Reference!$A$6:$A$11,1)))+(MAX(Reference!$A$6,MIN(Reference!$A$11,MIN(D256,300)))-INDEX(Reference!$A$6:$A$11,MIN(5,MATCH(MAX(Reference!$A$6,MIN(Reference!$A$11,MIN(D256,300))),Reference!$A$6:$A$11,1))))*(INDEX(Reference!$B$6:$B$11,MIN(5,MATCH(MAX(Reference!$A$6,MIN(Reference!$A$11,MIN(D256,300))),Reference!$A$6:$A$11,1))+1)-INDEX(Reference!$B$6:$B$11,MIN(5,MATCH(MAX(Reference!$A$6,MIN(Reference!$A$11,MIN(D256,300))),Reference!$A$6:$A$11,1))))/(INDEX(Reference!$A$6:$A$11,MIN(5,MATCH(MAX(Reference!$A$6,MIN(Reference!$A$11,MIN(D256,300))),Reference!$A$6:$A$11,1))+1)-INDEX(Reference!$A$6:$A$11,MIN(5,MATCH(MAX(Reference!$A$6,MIN(Reference!$A$11,MIN(D256,300))),Reference!$A$6:$A$11,1))))),0))/(AE256*(AE256+5)/2)),(INDEX(Reference!$B$6:$B$11,MIN(5,MATCH(MAX(Reference!$A$6,MIN(Reference!$A$11,D256)),Reference!$A$6:$A$11,1)))+(MAX(Reference!$A$6,MIN(Reference!$A$11,D256))-INDEX(Reference!$A$6:$A$11,MIN(5,MATCH(MAX(Reference!$A$6,MIN(Reference!$A$11,D256)),Reference!$A$6:$A$11,1))))*(INDEX(Reference!$B$6:$B$11,MIN(5,MATCH(MAX(Reference!$A$6,MIN(Reference!$A$11,D256)),Reference!$A$6:$A$11,1))+1)-INDEX(Reference!$B$6:$B$11,MIN(5,MATCH(MAX(Reference!$A$6,MIN(Reference!$A$11,D256)),Reference!$A$6:$A$11,1))))/(INDEX(Reference!$A$6:$A$11,MIN(5,MATCH(MAX(Reference!$A$6,MIN(Reference!$A$11,D256)),Reference!$A$6:$A$11,1))+1)-INDEX(Reference!$A$6:$A$11,MIN(5,MATCH(MAX(Reference!$A$6,MIN(Reference!$A$11,D256)),Reference!$A$6:$A$11,1))))))))</f>
        <v/>
      </c>
      <c r="P256" s="32" t="str">
        <f>IF(N256="","",VLOOKUP(MAX(N256,0),Reference!$A$17:$B$20,2,TRUE()))</f>
        <v/>
      </c>
      <c r="Q256" s="32" t="str">
        <f t="shared" si="30"/>
        <v/>
      </c>
      <c r="R256" s="31"/>
      <c r="S256" s="31"/>
      <c r="T256" s="31"/>
      <c r="U256" s="32" t="str">
        <f t="shared" si="31"/>
        <v/>
      </c>
      <c r="V256" s="32" t="str">
        <f t="shared" si="32"/>
        <v/>
      </c>
      <c r="W256" s="32" t="str">
        <f>IF(V256="","",VLOOKUP(MAX(V256,0),Reference!$A$17:$B$20,2,TRUE()))</f>
        <v/>
      </c>
      <c r="X256" s="31"/>
      <c r="Y256" s="31"/>
      <c r="Z256" s="31"/>
      <c r="AA256" s="32" t="str">
        <f t="shared" si="33"/>
        <v/>
      </c>
      <c r="AB256" s="32" t="str">
        <f t="shared" si="34"/>
        <v/>
      </c>
      <c r="AC256" s="32" t="str">
        <f>IF(AB256="","",VLOOKUP(MAX(AB256,0),Reference!$A$17:$B$20,2,TRUE()))</f>
        <v/>
      </c>
      <c r="AD256" s="31"/>
      <c r="AE256">
        <f t="shared" si="35"/>
        <v>1</v>
      </c>
      <c r="AF256" s="33" t="str">
        <f>IF(OR(A256="",B256="",AND(C256&lt;&gt;"Bullpen",C256&lt;&gt;"Game")),"",IF((COUNTIFS($B$5:$B$300,B256,$A$5:$A$300,A256-1,$C$5:$C$300,"Bullpen",$AG$5:$AG$300,"&gt;0") + COUNTIFS($B$5:$B$300,B256,$A$5:$A$300,A256-1,$C$5:$C$300,"Game",$AG$5:$AG$300,"&gt;0"))&gt;0,Reference!$B$119,IF((COUNTIFS($B$5:$B$300,B256,$A$5:$A$300,A256-2,$C$5:$C$300,"Bullpen",$AG$5:$AG$300,"&gt;0") + COUNTIFS($B$5:$B$300,B256,$A$5:$A$300,A256-2,$C$5:$C$300,"Game",$AG$5:$AG$300,"&gt;0"))&gt;0,Reference!$B$120,1)))</f>
        <v/>
      </c>
      <c r="AG256" s="30" t="str">
        <f>IF(AND(OR(I256="",O256="",P256=""),OR(R256="",W256=""),OR(X256="",AC256="")),"",IF(OR(I256="",O256="",P256=""),0,I256*O256*P256)+IF(OR(R256="",W256=""),0,R256*IFERROR(INDEX(Reference!$B$61:$B$62,MATCH("Bullpen",Reference!$A$61:$A$62,0)),0)*W256)+IF(OR(X256="",AC256=""),0,X256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256))</f>
        <v/>
      </c>
    </row>
    <row r="257" spans="1:33" x14ac:dyDescent="0.3">
      <c r="A257" s="35"/>
      <c r="B257" s="31"/>
      <c r="C257" s="31"/>
      <c r="D257" s="31"/>
      <c r="E257" s="34"/>
      <c r="F257" s="34"/>
      <c r="G257" s="30" t="str">
        <f t="shared" si="27"/>
        <v/>
      </c>
      <c r="H257" s="31"/>
      <c r="I257" s="32" t="str">
        <f>IF(H257&lt;&gt;"",H257,IF(G257="","",ROUND(G257*IFERROR(INDEX(Reference!$B$44:$B$50,MATCH(C257,Reference!$A$44:$A$50,0)),0),0)))</f>
        <v/>
      </c>
      <c r="J257" s="31"/>
      <c r="K257" s="31"/>
      <c r="L257" s="32" t="str">
        <f t="shared" si="28"/>
        <v/>
      </c>
      <c r="M257" s="32" t="str">
        <f>IFERROR(INDEX(Roster!$D$5:$D$40,MATCH(B257,Roster!$A$5:$A$40,0)),"")</f>
        <v/>
      </c>
      <c r="N257" s="32" t="str">
        <f t="shared" si="29"/>
        <v/>
      </c>
      <c r="O257" s="32" t="str">
        <f>IF(OR(C257="Bullpen",C257="Game"),IFERROR(INDEX(Reference!$B$61:$B$62,MATCH(C257,Reference!$A$61:$A$62,0)),""),IF(D257="","",IF(AE257&gt;1,((IF(1&lt;=AE257,(AE257-1+3)*(INDEX(Reference!$B$6:$B$11,MIN(5,MATCH(MAX(Reference!$A$6,MIN(Reference!$A$11,MIN(D257,90))),Reference!$A$6:$A$11,1)))+(MAX(Reference!$A$6,MIN(Reference!$A$11,MIN(D257,90)))-INDEX(Reference!$A$6:$A$11,MIN(5,MATCH(MAX(Reference!$A$6,MIN(Reference!$A$11,MIN(D257,90))),Reference!$A$6:$A$11,1))))*(INDEX(Reference!$B$6:$B$11,MIN(5,MATCH(MAX(Reference!$A$6,MIN(Reference!$A$11,MIN(D257,90))),Reference!$A$6:$A$11,1))+1)-INDEX(Reference!$B$6:$B$11,MIN(5,MATCH(MAX(Reference!$A$6,MIN(Reference!$A$11,MIN(D257,90))),Reference!$A$6:$A$11,1))))/(INDEX(Reference!$A$6:$A$11,MIN(5,MATCH(MAX(Reference!$A$6,MIN(Reference!$A$11,MIN(D257,90))),Reference!$A$6:$A$11,1))+1)-INDEX(Reference!$A$6:$A$11,MIN(5,MATCH(MAX(Reference!$A$6,MIN(Reference!$A$11,MIN(D257,90))),Reference!$A$6:$A$11,1))))),0)+IF(2&lt;=AE257,(AE257-2+3)*(INDEX(Reference!$B$6:$B$11,MIN(5,MATCH(MAX(Reference!$A$6,MIN(Reference!$A$11,MIN(D257,120))),Reference!$A$6:$A$11,1)))+(MAX(Reference!$A$6,MIN(Reference!$A$11,MIN(D257,120)))-INDEX(Reference!$A$6:$A$11,MIN(5,MATCH(MAX(Reference!$A$6,MIN(Reference!$A$11,MIN(D257,120))),Reference!$A$6:$A$11,1))))*(INDEX(Reference!$B$6:$B$11,MIN(5,MATCH(MAX(Reference!$A$6,MIN(Reference!$A$11,MIN(D257,120))),Reference!$A$6:$A$11,1))+1)-INDEX(Reference!$B$6:$B$11,MIN(5,MATCH(MAX(Reference!$A$6,MIN(Reference!$A$11,MIN(D257,120))),Reference!$A$6:$A$11,1))))/(INDEX(Reference!$A$6:$A$11,MIN(5,MATCH(MAX(Reference!$A$6,MIN(Reference!$A$11,MIN(D257,120))),Reference!$A$6:$A$11,1))+1)-INDEX(Reference!$A$6:$A$11,MIN(5,MATCH(MAX(Reference!$A$6,MIN(Reference!$A$11,MIN(D257,120))),Reference!$A$6:$A$11,1))))),0)+IF(3&lt;=AE257,(AE257-3+3)*(INDEX(Reference!$B$6:$B$11,MIN(5,MATCH(MAX(Reference!$A$6,MIN(Reference!$A$11,MIN(D257,150))),Reference!$A$6:$A$11,1)))+(MAX(Reference!$A$6,MIN(Reference!$A$11,MIN(D257,150)))-INDEX(Reference!$A$6:$A$11,MIN(5,MATCH(MAX(Reference!$A$6,MIN(Reference!$A$11,MIN(D257,150))),Reference!$A$6:$A$11,1))))*(INDEX(Reference!$B$6:$B$11,MIN(5,MATCH(MAX(Reference!$A$6,MIN(Reference!$A$11,MIN(D257,150))),Reference!$A$6:$A$11,1))+1)-INDEX(Reference!$B$6:$B$11,MIN(5,MATCH(MAX(Reference!$A$6,MIN(Reference!$A$11,MIN(D257,150))),Reference!$A$6:$A$11,1))))/(INDEX(Reference!$A$6:$A$11,MIN(5,MATCH(MAX(Reference!$A$6,MIN(Reference!$A$11,MIN(D257,150))),Reference!$A$6:$A$11,1))+1)-INDEX(Reference!$A$6:$A$11,MIN(5,MATCH(MAX(Reference!$A$6,MIN(Reference!$A$11,MIN(D257,150))),Reference!$A$6:$A$11,1))))),0)+IF(4&lt;=AE257,(AE257-4+3)*(INDEX(Reference!$B$6:$B$11,MIN(5,MATCH(MAX(Reference!$A$6,MIN(Reference!$A$11,MIN(D257,180))),Reference!$A$6:$A$11,1)))+(MAX(Reference!$A$6,MIN(Reference!$A$11,MIN(D257,180)))-INDEX(Reference!$A$6:$A$11,MIN(5,MATCH(MAX(Reference!$A$6,MIN(Reference!$A$11,MIN(D257,180))),Reference!$A$6:$A$11,1))))*(INDEX(Reference!$B$6:$B$11,MIN(5,MATCH(MAX(Reference!$A$6,MIN(Reference!$A$11,MIN(D257,180))),Reference!$A$6:$A$11,1))+1)-INDEX(Reference!$B$6:$B$11,MIN(5,MATCH(MAX(Reference!$A$6,MIN(Reference!$A$11,MIN(D257,180))),Reference!$A$6:$A$11,1))))/(INDEX(Reference!$A$6:$A$11,MIN(5,MATCH(MAX(Reference!$A$6,MIN(Reference!$A$11,MIN(D257,180))),Reference!$A$6:$A$11,1))+1)-INDEX(Reference!$A$6:$A$11,MIN(5,MATCH(MAX(Reference!$A$6,MIN(Reference!$A$11,MIN(D257,180))),Reference!$A$6:$A$11,1))))),0)+IF(5&lt;=AE257,(AE257-5+3)*(INDEX(Reference!$B$6:$B$11,MIN(5,MATCH(MAX(Reference!$A$6,MIN(Reference!$A$11,MIN(D257,210))),Reference!$A$6:$A$11,1)))+(MAX(Reference!$A$6,MIN(Reference!$A$11,MIN(D257,210)))-INDEX(Reference!$A$6:$A$11,MIN(5,MATCH(MAX(Reference!$A$6,MIN(Reference!$A$11,MIN(D257,210))),Reference!$A$6:$A$11,1))))*(INDEX(Reference!$B$6:$B$11,MIN(5,MATCH(MAX(Reference!$A$6,MIN(Reference!$A$11,MIN(D257,210))),Reference!$A$6:$A$11,1))+1)-INDEX(Reference!$B$6:$B$11,MIN(5,MATCH(MAX(Reference!$A$6,MIN(Reference!$A$11,MIN(D257,210))),Reference!$A$6:$A$11,1))))/(INDEX(Reference!$A$6:$A$11,MIN(5,MATCH(MAX(Reference!$A$6,MIN(Reference!$A$11,MIN(D257,210))),Reference!$A$6:$A$11,1))+1)-INDEX(Reference!$A$6:$A$11,MIN(5,MATCH(MAX(Reference!$A$6,MIN(Reference!$A$11,MIN(D257,210))),Reference!$A$6:$A$11,1))))),0)+IF(6&lt;=AE257,(AE257-6+3)*(INDEX(Reference!$B$6:$B$11,MIN(5,MATCH(MAX(Reference!$A$6,MIN(Reference!$A$11,MIN(D257,240))),Reference!$A$6:$A$11,1)))+(MAX(Reference!$A$6,MIN(Reference!$A$11,MIN(D257,240)))-INDEX(Reference!$A$6:$A$11,MIN(5,MATCH(MAX(Reference!$A$6,MIN(Reference!$A$11,MIN(D257,240))),Reference!$A$6:$A$11,1))))*(INDEX(Reference!$B$6:$B$11,MIN(5,MATCH(MAX(Reference!$A$6,MIN(Reference!$A$11,MIN(D257,240))),Reference!$A$6:$A$11,1))+1)-INDEX(Reference!$B$6:$B$11,MIN(5,MATCH(MAX(Reference!$A$6,MIN(Reference!$A$11,MIN(D257,240))),Reference!$A$6:$A$11,1))))/(INDEX(Reference!$A$6:$A$11,MIN(5,MATCH(MAX(Reference!$A$6,MIN(Reference!$A$11,MIN(D257,240))),Reference!$A$6:$A$11,1))+1)-INDEX(Reference!$A$6:$A$11,MIN(5,MATCH(MAX(Reference!$A$6,MIN(Reference!$A$11,MIN(D257,240))),Reference!$A$6:$A$11,1))))),0)+IF(7&lt;=AE257,(AE257-7+3)*(INDEX(Reference!$B$6:$B$11,MIN(5,MATCH(MAX(Reference!$A$6,MIN(Reference!$A$11,MIN(D257,270))),Reference!$A$6:$A$11,1)))+(MAX(Reference!$A$6,MIN(Reference!$A$11,MIN(D257,270)))-INDEX(Reference!$A$6:$A$11,MIN(5,MATCH(MAX(Reference!$A$6,MIN(Reference!$A$11,MIN(D257,270))),Reference!$A$6:$A$11,1))))*(INDEX(Reference!$B$6:$B$11,MIN(5,MATCH(MAX(Reference!$A$6,MIN(Reference!$A$11,MIN(D257,270))),Reference!$A$6:$A$11,1))+1)-INDEX(Reference!$B$6:$B$11,MIN(5,MATCH(MAX(Reference!$A$6,MIN(Reference!$A$11,MIN(D257,270))),Reference!$A$6:$A$11,1))))/(INDEX(Reference!$A$6:$A$11,MIN(5,MATCH(MAX(Reference!$A$6,MIN(Reference!$A$11,MIN(D257,270))),Reference!$A$6:$A$11,1))+1)-INDEX(Reference!$A$6:$A$11,MIN(5,MATCH(MAX(Reference!$A$6,MIN(Reference!$A$11,MIN(D257,270))),Reference!$A$6:$A$11,1))))),0)+IF(8&lt;=AE257,(AE257-8+3)*(INDEX(Reference!$B$6:$B$11,MIN(5,MATCH(MAX(Reference!$A$6,MIN(Reference!$A$11,MIN(D257,300))),Reference!$A$6:$A$11,1)))+(MAX(Reference!$A$6,MIN(Reference!$A$11,MIN(D257,300)))-INDEX(Reference!$A$6:$A$11,MIN(5,MATCH(MAX(Reference!$A$6,MIN(Reference!$A$11,MIN(D257,300))),Reference!$A$6:$A$11,1))))*(INDEX(Reference!$B$6:$B$11,MIN(5,MATCH(MAX(Reference!$A$6,MIN(Reference!$A$11,MIN(D257,300))),Reference!$A$6:$A$11,1))+1)-INDEX(Reference!$B$6:$B$11,MIN(5,MATCH(MAX(Reference!$A$6,MIN(Reference!$A$11,MIN(D257,300))),Reference!$A$6:$A$11,1))))/(INDEX(Reference!$A$6:$A$11,MIN(5,MATCH(MAX(Reference!$A$6,MIN(Reference!$A$11,MIN(D257,300))),Reference!$A$6:$A$11,1))+1)-INDEX(Reference!$A$6:$A$11,MIN(5,MATCH(MAX(Reference!$A$6,MIN(Reference!$A$11,MIN(D257,300))),Reference!$A$6:$A$11,1))))),0))/(AE257*(AE257+5)/2)),(INDEX(Reference!$B$6:$B$11,MIN(5,MATCH(MAX(Reference!$A$6,MIN(Reference!$A$11,D257)),Reference!$A$6:$A$11,1)))+(MAX(Reference!$A$6,MIN(Reference!$A$11,D257))-INDEX(Reference!$A$6:$A$11,MIN(5,MATCH(MAX(Reference!$A$6,MIN(Reference!$A$11,D257)),Reference!$A$6:$A$11,1))))*(INDEX(Reference!$B$6:$B$11,MIN(5,MATCH(MAX(Reference!$A$6,MIN(Reference!$A$11,D257)),Reference!$A$6:$A$11,1))+1)-INDEX(Reference!$B$6:$B$11,MIN(5,MATCH(MAX(Reference!$A$6,MIN(Reference!$A$11,D257)),Reference!$A$6:$A$11,1))))/(INDEX(Reference!$A$6:$A$11,MIN(5,MATCH(MAX(Reference!$A$6,MIN(Reference!$A$11,D257)),Reference!$A$6:$A$11,1))+1)-INDEX(Reference!$A$6:$A$11,MIN(5,MATCH(MAX(Reference!$A$6,MIN(Reference!$A$11,D257)),Reference!$A$6:$A$11,1))))))))</f>
        <v/>
      </c>
      <c r="P257" s="32" t="str">
        <f>IF(N257="","",VLOOKUP(MAX(N257,0),Reference!$A$17:$B$20,2,TRUE()))</f>
        <v/>
      </c>
      <c r="Q257" s="32" t="str">
        <f t="shared" si="30"/>
        <v/>
      </c>
      <c r="R257" s="31"/>
      <c r="S257" s="31"/>
      <c r="T257" s="31"/>
      <c r="U257" s="32" t="str">
        <f t="shared" si="31"/>
        <v/>
      </c>
      <c r="V257" s="32" t="str">
        <f t="shared" si="32"/>
        <v/>
      </c>
      <c r="W257" s="32" t="str">
        <f>IF(V257="","",VLOOKUP(MAX(V257,0),Reference!$A$17:$B$20,2,TRUE()))</f>
        <v/>
      </c>
      <c r="X257" s="31"/>
      <c r="Y257" s="31"/>
      <c r="Z257" s="31"/>
      <c r="AA257" s="32" t="str">
        <f t="shared" si="33"/>
        <v/>
      </c>
      <c r="AB257" s="32" t="str">
        <f t="shared" si="34"/>
        <v/>
      </c>
      <c r="AC257" s="32" t="str">
        <f>IF(AB257="","",VLOOKUP(MAX(AB257,0),Reference!$A$17:$B$20,2,TRUE()))</f>
        <v/>
      </c>
      <c r="AD257" s="31"/>
      <c r="AE257">
        <f t="shared" si="35"/>
        <v>1</v>
      </c>
      <c r="AF257" s="33" t="str">
        <f>IF(OR(A257="",B257="",AND(C257&lt;&gt;"Bullpen",C257&lt;&gt;"Game")),"",IF((COUNTIFS($B$5:$B$300,B257,$A$5:$A$300,A257-1,$C$5:$C$300,"Bullpen",$AG$5:$AG$300,"&gt;0") + COUNTIFS($B$5:$B$300,B257,$A$5:$A$300,A257-1,$C$5:$C$300,"Game",$AG$5:$AG$300,"&gt;0"))&gt;0,Reference!$B$119,IF((COUNTIFS($B$5:$B$300,B257,$A$5:$A$300,A257-2,$C$5:$C$300,"Bullpen",$AG$5:$AG$300,"&gt;0") + COUNTIFS($B$5:$B$300,B257,$A$5:$A$300,A257-2,$C$5:$C$300,"Game",$AG$5:$AG$300,"&gt;0"))&gt;0,Reference!$B$120,1)))</f>
        <v/>
      </c>
      <c r="AG257" s="30" t="str">
        <f>IF(AND(OR(I257="",O257="",P257=""),OR(R257="",W257=""),OR(X257="",AC257="")),"",IF(OR(I257="",O257="",P257=""),0,I257*O257*P257)+IF(OR(R257="",W257=""),0,R257*IFERROR(INDEX(Reference!$B$61:$B$62,MATCH("Bullpen",Reference!$A$61:$A$62,0)),0)*W257)+IF(OR(X257="",AC257=""),0,X257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257))</f>
        <v/>
      </c>
    </row>
    <row r="258" spans="1:33" x14ac:dyDescent="0.3">
      <c r="A258" s="35"/>
      <c r="B258" s="31"/>
      <c r="C258" s="31"/>
      <c r="D258" s="31"/>
      <c r="E258" s="34"/>
      <c r="F258" s="34"/>
      <c r="G258" s="30" t="str">
        <f t="shared" si="27"/>
        <v/>
      </c>
      <c r="H258" s="31"/>
      <c r="I258" s="32" t="str">
        <f>IF(H258&lt;&gt;"",H258,IF(G258="","",ROUND(G258*IFERROR(INDEX(Reference!$B$44:$B$50,MATCH(C258,Reference!$A$44:$A$50,0)),0),0)))</f>
        <v/>
      </c>
      <c r="J258" s="31"/>
      <c r="K258" s="31"/>
      <c r="L258" s="32" t="str">
        <f t="shared" si="28"/>
        <v/>
      </c>
      <c r="M258" s="32" t="str">
        <f>IFERROR(INDEX(Roster!$D$5:$D$40,MATCH(B258,Roster!$A$5:$A$40,0)),"")</f>
        <v/>
      </c>
      <c r="N258" s="32" t="str">
        <f t="shared" si="29"/>
        <v/>
      </c>
      <c r="O258" s="32" t="str">
        <f>IF(OR(C258="Bullpen",C258="Game"),IFERROR(INDEX(Reference!$B$61:$B$62,MATCH(C258,Reference!$A$61:$A$62,0)),""),IF(D258="","",IF(AE258&gt;1,((IF(1&lt;=AE258,(AE258-1+3)*(INDEX(Reference!$B$6:$B$11,MIN(5,MATCH(MAX(Reference!$A$6,MIN(Reference!$A$11,MIN(D258,90))),Reference!$A$6:$A$11,1)))+(MAX(Reference!$A$6,MIN(Reference!$A$11,MIN(D258,90)))-INDEX(Reference!$A$6:$A$11,MIN(5,MATCH(MAX(Reference!$A$6,MIN(Reference!$A$11,MIN(D258,90))),Reference!$A$6:$A$11,1))))*(INDEX(Reference!$B$6:$B$11,MIN(5,MATCH(MAX(Reference!$A$6,MIN(Reference!$A$11,MIN(D258,90))),Reference!$A$6:$A$11,1))+1)-INDEX(Reference!$B$6:$B$11,MIN(5,MATCH(MAX(Reference!$A$6,MIN(Reference!$A$11,MIN(D258,90))),Reference!$A$6:$A$11,1))))/(INDEX(Reference!$A$6:$A$11,MIN(5,MATCH(MAX(Reference!$A$6,MIN(Reference!$A$11,MIN(D258,90))),Reference!$A$6:$A$11,1))+1)-INDEX(Reference!$A$6:$A$11,MIN(5,MATCH(MAX(Reference!$A$6,MIN(Reference!$A$11,MIN(D258,90))),Reference!$A$6:$A$11,1))))),0)+IF(2&lt;=AE258,(AE258-2+3)*(INDEX(Reference!$B$6:$B$11,MIN(5,MATCH(MAX(Reference!$A$6,MIN(Reference!$A$11,MIN(D258,120))),Reference!$A$6:$A$11,1)))+(MAX(Reference!$A$6,MIN(Reference!$A$11,MIN(D258,120)))-INDEX(Reference!$A$6:$A$11,MIN(5,MATCH(MAX(Reference!$A$6,MIN(Reference!$A$11,MIN(D258,120))),Reference!$A$6:$A$11,1))))*(INDEX(Reference!$B$6:$B$11,MIN(5,MATCH(MAX(Reference!$A$6,MIN(Reference!$A$11,MIN(D258,120))),Reference!$A$6:$A$11,1))+1)-INDEX(Reference!$B$6:$B$11,MIN(5,MATCH(MAX(Reference!$A$6,MIN(Reference!$A$11,MIN(D258,120))),Reference!$A$6:$A$11,1))))/(INDEX(Reference!$A$6:$A$11,MIN(5,MATCH(MAX(Reference!$A$6,MIN(Reference!$A$11,MIN(D258,120))),Reference!$A$6:$A$11,1))+1)-INDEX(Reference!$A$6:$A$11,MIN(5,MATCH(MAX(Reference!$A$6,MIN(Reference!$A$11,MIN(D258,120))),Reference!$A$6:$A$11,1))))),0)+IF(3&lt;=AE258,(AE258-3+3)*(INDEX(Reference!$B$6:$B$11,MIN(5,MATCH(MAX(Reference!$A$6,MIN(Reference!$A$11,MIN(D258,150))),Reference!$A$6:$A$11,1)))+(MAX(Reference!$A$6,MIN(Reference!$A$11,MIN(D258,150)))-INDEX(Reference!$A$6:$A$11,MIN(5,MATCH(MAX(Reference!$A$6,MIN(Reference!$A$11,MIN(D258,150))),Reference!$A$6:$A$11,1))))*(INDEX(Reference!$B$6:$B$11,MIN(5,MATCH(MAX(Reference!$A$6,MIN(Reference!$A$11,MIN(D258,150))),Reference!$A$6:$A$11,1))+1)-INDEX(Reference!$B$6:$B$11,MIN(5,MATCH(MAX(Reference!$A$6,MIN(Reference!$A$11,MIN(D258,150))),Reference!$A$6:$A$11,1))))/(INDEX(Reference!$A$6:$A$11,MIN(5,MATCH(MAX(Reference!$A$6,MIN(Reference!$A$11,MIN(D258,150))),Reference!$A$6:$A$11,1))+1)-INDEX(Reference!$A$6:$A$11,MIN(5,MATCH(MAX(Reference!$A$6,MIN(Reference!$A$11,MIN(D258,150))),Reference!$A$6:$A$11,1))))),0)+IF(4&lt;=AE258,(AE258-4+3)*(INDEX(Reference!$B$6:$B$11,MIN(5,MATCH(MAX(Reference!$A$6,MIN(Reference!$A$11,MIN(D258,180))),Reference!$A$6:$A$11,1)))+(MAX(Reference!$A$6,MIN(Reference!$A$11,MIN(D258,180)))-INDEX(Reference!$A$6:$A$11,MIN(5,MATCH(MAX(Reference!$A$6,MIN(Reference!$A$11,MIN(D258,180))),Reference!$A$6:$A$11,1))))*(INDEX(Reference!$B$6:$B$11,MIN(5,MATCH(MAX(Reference!$A$6,MIN(Reference!$A$11,MIN(D258,180))),Reference!$A$6:$A$11,1))+1)-INDEX(Reference!$B$6:$B$11,MIN(5,MATCH(MAX(Reference!$A$6,MIN(Reference!$A$11,MIN(D258,180))),Reference!$A$6:$A$11,1))))/(INDEX(Reference!$A$6:$A$11,MIN(5,MATCH(MAX(Reference!$A$6,MIN(Reference!$A$11,MIN(D258,180))),Reference!$A$6:$A$11,1))+1)-INDEX(Reference!$A$6:$A$11,MIN(5,MATCH(MAX(Reference!$A$6,MIN(Reference!$A$11,MIN(D258,180))),Reference!$A$6:$A$11,1))))),0)+IF(5&lt;=AE258,(AE258-5+3)*(INDEX(Reference!$B$6:$B$11,MIN(5,MATCH(MAX(Reference!$A$6,MIN(Reference!$A$11,MIN(D258,210))),Reference!$A$6:$A$11,1)))+(MAX(Reference!$A$6,MIN(Reference!$A$11,MIN(D258,210)))-INDEX(Reference!$A$6:$A$11,MIN(5,MATCH(MAX(Reference!$A$6,MIN(Reference!$A$11,MIN(D258,210))),Reference!$A$6:$A$11,1))))*(INDEX(Reference!$B$6:$B$11,MIN(5,MATCH(MAX(Reference!$A$6,MIN(Reference!$A$11,MIN(D258,210))),Reference!$A$6:$A$11,1))+1)-INDEX(Reference!$B$6:$B$11,MIN(5,MATCH(MAX(Reference!$A$6,MIN(Reference!$A$11,MIN(D258,210))),Reference!$A$6:$A$11,1))))/(INDEX(Reference!$A$6:$A$11,MIN(5,MATCH(MAX(Reference!$A$6,MIN(Reference!$A$11,MIN(D258,210))),Reference!$A$6:$A$11,1))+1)-INDEX(Reference!$A$6:$A$11,MIN(5,MATCH(MAX(Reference!$A$6,MIN(Reference!$A$11,MIN(D258,210))),Reference!$A$6:$A$11,1))))),0)+IF(6&lt;=AE258,(AE258-6+3)*(INDEX(Reference!$B$6:$B$11,MIN(5,MATCH(MAX(Reference!$A$6,MIN(Reference!$A$11,MIN(D258,240))),Reference!$A$6:$A$11,1)))+(MAX(Reference!$A$6,MIN(Reference!$A$11,MIN(D258,240)))-INDEX(Reference!$A$6:$A$11,MIN(5,MATCH(MAX(Reference!$A$6,MIN(Reference!$A$11,MIN(D258,240))),Reference!$A$6:$A$11,1))))*(INDEX(Reference!$B$6:$B$11,MIN(5,MATCH(MAX(Reference!$A$6,MIN(Reference!$A$11,MIN(D258,240))),Reference!$A$6:$A$11,1))+1)-INDEX(Reference!$B$6:$B$11,MIN(5,MATCH(MAX(Reference!$A$6,MIN(Reference!$A$11,MIN(D258,240))),Reference!$A$6:$A$11,1))))/(INDEX(Reference!$A$6:$A$11,MIN(5,MATCH(MAX(Reference!$A$6,MIN(Reference!$A$11,MIN(D258,240))),Reference!$A$6:$A$11,1))+1)-INDEX(Reference!$A$6:$A$11,MIN(5,MATCH(MAX(Reference!$A$6,MIN(Reference!$A$11,MIN(D258,240))),Reference!$A$6:$A$11,1))))),0)+IF(7&lt;=AE258,(AE258-7+3)*(INDEX(Reference!$B$6:$B$11,MIN(5,MATCH(MAX(Reference!$A$6,MIN(Reference!$A$11,MIN(D258,270))),Reference!$A$6:$A$11,1)))+(MAX(Reference!$A$6,MIN(Reference!$A$11,MIN(D258,270)))-INDEX(Reference!$A$6:$A$11,MIN(5,MATCH(MAX(Reference!$A$6,MIN(Reference!$A$11,MIN(D258,270))),Reference!$A$6:$A$11,1))))*(INDEX(Reference!$B$6:$B$11,MIN(5,MATCH(MAX(Reference!$A$6,MIN(Reference!$A$11,MIN(D258,270))),Reference!$A$6:$A$11,1))+1)-INDEX(Reference!$B$6:$B$11,MIN(5,MATCH(MAX(Reference!$A$6,MIN(Reference!$A$11,MIN(D258,270))),Reference!$A$6:$A$11,1))))/(INDEX(Reference!$A$6:$A$11,MIN(5,MATCH(MAX(Reference!$A$6,MIN(Reference!$A$11,MIN(D258,270))),Reference!$A$6:$A$11,1))+1)-INDEX(Reference!$A$6:$A$11,MIN(5,MATCH(MAX(Reference!$A$6,MIN(Reference!$A$11,MIN(D258,270))),Reference!$A$6:$A$11,1))))),0)+IF(8&lt;=AE258,(AE258-8+3)*(INDEX(Reference!$B$6:$B$11,MIN(5,MATCH(MAX(Reference!$A$6,MIN(Reference!$A$11,MIN(D258,300))),Reference!$A$6:$A$11,1)))+(MAX(Reference!$A$6,MIN(Reference!$A$11,MIN(D258,300)))-INDEX(Reference!$A$6:$A$11,MIN(5,MATCH(MAX(Reference!$A$6,MIN(Reference!$A$11,MIN(D258,300))),Reference!$A$6:$A$11,1))))*(INDEX(Reference!$B$6:$B$11,MIN(5,MATCH(MAX(Reference!$A$6,MIN(Reference!$A$11,MIN(D258,300))),Reference!$A$6:$A$11,1))+1)-INDEX(Reference!$B$6:$B$11,MIN(5,MATCH(MAX(Reference!$A$6,MIN(Reference!$A$11,MIN(D258,300))),Reference!$A$6:$A$11,1))))/(INDEX(Reference!$A$6:$A$11,MIN(5,MATCH(MAX(Reference!$A$6,MIN(Reference!$A$11,MIN(D258,300))),Reference!$A$6:$A$11,1))+1)-INDEX(Reference!$A$6:$A$11,MIN(5,MATCH(MAX(Reference!$A$6,MIN(Reference!$A$11,MIN(D258,300))),Reference!$A$6:$A$11,1))))),0))/(AE258*(AE258+5)/2)),(INDEX(Reference!$B$6:$B$11,MIN(5,MATCH(MAX(Reference!$A$6,MIN(Reference!$A$11,D258)),Reference!$A$6:$A$11,1)))+(MAX(Reference!$A$6,MIN(Reference!$A$11,D258))-INDEX(Reference!$A$6:$A$11,MIN(5,MATCH(MAX(Reference!$A$6,MIN(Reference!$A$11,D258)),Reference!$A$6:$A$11,1))))*(INDEX(Reference!$B$6:$B$11,MIN(5,MATCH(MAX(Reference!$A$6,MIN(Reference!$A$11,D258)),Reference!$A$6:$A$11,1))+1)-INDEX(Reference!$B$6:$B$11,MIN(5,MATCH(MAX(Reference!$A$6,MIN(Reference!$A$11,D258)),Reference!$A$6:$A$11,1))))/(INDEX(Reference!$A$6:$A$11,MIN(5,MATCH(MAX(Reference!$A$6,MIN(Reference!$A$11,D258)),Reference!$A$6:$A$11,1))+1)-INDEX(Reference!$A$6:$A$11,MIN(5,MATCH(MAX(Reference!$A$6,MIN(Reference!$A$11,D258)),Reference!$A$6:$A$11,1))))))))</f>
        <v/>
      </c>
      <c r="P258" s="32" t="str">
        <f>IF(N258="","",VLOOKUP(MAX(N258,0),Reference!$A$17:$B$20,2,TRUE()))</f>
        <v/>
      </c>
      <c r="Q258" s="32" t="str">
        <f t="shared" si="30"/>
        <v/>
      </c>
      <c r="R258" s="31"/>
      <c r="S258" s="31"/>
      <c r="T258" s="31"/>
      <c r="U258" s="32" t="str">
        <f t="shared" si="31"/>
        <v/>
      </c>
      <c r="V258" s="32" t="str">
        <f t="shared" si="32"/>
        <v/>
      </c>
      <c r="W258" s="32" t="str">
        <f>IF(V258="","",VLOOKUP(MAX(V258,0),Reference!$A$17:$B$20,2,TRUE()))</f>
        <v/>
      </c>
      <c r="X258" s="31"/>
      <c r="Y258" s="31"/>
      <c r="Z258" s="31"/>
      <c r="AA258" s="32" t="str">
        <f t="shared" si="33"/>
        <v/>
      </c>
      <c r="AB258" s="32" t="str">
        <f t="shared" si="34"/>
        <v/>
      </c>
      <c r="AC258" s="32" t="str">
        <f>IF(AB258="","",VLOOKUP(MAX(AB258,0),Reference!$A$17:$B$20,2,TRUE()))</f>
        <v/>
      </c>
      <c r="AD258" s="31"/>
      <c r="AE258">
        <f t="shared" si="35"/>
        <v>1</v>
      </c>
      <c r="AF258" s="33" t="str">
        <f>IF(OR(A258="",B258="",AND(C258&lt;&gt;"Bullpen",C258&lt;&gt;"Game")),"",IF((COUNTIFS($B$5:$B$300,B258,$A$5:$A$300,A258-1,$C$5:$C$300,"Bullpen",$AG$5:$AG$300,"&gt;0") + COUNTIFS($B$5:$B$300,B258,$A$5:$A$300,A258-1,$C$5:$C$300,"Game",$AG$5:$AG$300,"&gt;0"))&gt;0,Reference!$B$119,IF((COUNTIFS($B$5:$B$300,B258,$A$5:$A$300,A258-2,$C$5:$C$300,"Bullpen",$AG$5:$AG$300,"&gt;0") + COUNTIFS($B$5:$B$300,B258,$A$5:$A$300,A258-2,$C$5:$C$300,"Game",$AG$5:$AG$300,"&gt;0"))&gt;0,Reference!$B$120,1)))</f>
        <v/>
      </c>
      <c r="AG258" s="30" t="str">
        <f>IF(AND(OR(I258="",O258="",P258=""),OR(R258="",W258=""),OR(X258="",AC258="")),"",IF(OR(I258="",O258="",P258=""),0,I258*O258*P258)+IF(OR(R258="",W258=""),0,R258*IFERROR(INDEX(Reference!$B$61:$B$62,MATCH("Bullpen",Reference!$A$61:$A$62,0)),0)*W258)+IF(OR(X258="",AC258=""),0,X258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258))</f>
        <v/>
      </c>
    </row>
    <row r="259" spans="1:33" x14ac:dyDescent="0.3">
      <c r="A259" s="35"/>
      <c r="B259" s="31"/>
      <c r="C259" s="31"/>
      <c r="D259" s="31"/>
      <c r="E259" s="34"/>
      <c r="F259" s="34"/>
      <c r="G259" s="30" t="str">
        <f t="shared" si="27"/>
        <v/>
      </c>
      <c r="H259" s="31"/>
      <c r="I259" s="32" t="str">
        <f>IF(H259&lt;&gt;"",H259,IF(G259="","",ROUND(G259*IFERROR(INDEX(Reference!$B$44:$B$50,MATCH(C259,Reference!$A$44:$A$50,0)),0),0)))</f>
        <v/>
      </c>
      <c r="J259" s="31"/>
      <c r="K259" s="31"/>
      <c r="L259" s="32" t="str">
        <f t="shared" si="28"/>
        <v/>
      </c>
      <c r="M259" s="32" t="str">
        <f>IFERROR(INDEX(Roster!$D$5:$D$40,MATCH(B259,Roster!$A$5:$A$40,0)),"")</f>
        <v/>
      </c>
      <c r="N259" s="32" t="str">
        <f t="shared" si="29"/>
        <v/>
      </c>
      <c r="O259" s="32" t="str">
        <f>IF(OR(C259="Bullpen",C259="Game"),IFERROR(INDEX(Reference!$B$61:$B$62,MATCH(C259,Reference!$A$61:$A$62,0)),""),IF(D259="","",IF(AE259&gt;1,((IF(1&lt;=AE259,(AE259-1+3)*(INDEX(Reference!$B$6:$B$11,MIN(5,MATCH(MAX(Reference!$A$6,MIN(Reference!$A$11,MIN(D259,90))),Reference!$A$6:$A$11,1)))+(MAX(Reference!$A$6,MIN(Reference!$A$11,MIN(D259,90)))-INDEX(Reference!$A$6:$A$11,MIN(5,MATCH(MAX(Reference!$A$6,MIN(Reference!$A$11,MIN(D259,90))),Reference!$A$6:$A$11,1))))*(INDEX(Reference!$B$6:$B$11,MIN(5,MATCH(MAX(Reference!$A$6,MIN(Reference!$A$11,MIN(D259,90))),Reference!$A$6:$A$11,1))+1)-INDEX(Reference!$B$6:$B$11,MIN(5,MATCH(MAX(Reference!$A$6,MIN(Reference!$A$11,MIN(D259,90))),Reference!$A$6:$A$11,1))))/(INDEX(Reference!$A$6:$A$11,MIN(5,MATCH(MAX(Reference!$A$6,MIN(Reference!$A$11,MIN(D259,90))),Reference!$A$6:$A$11,1))+1)-INDEX(Reference!$A$6:$A$11,MIN(5,MATCH(MAX(Reference!$A$6,MIN(Reference!$A$11,MIN(D259,90))),Reference!$A$6:$A$11,1))))),0)+IF(2&lt;=AE259,(AE259-2+3)*(INDEX(Reference!$B$6:$B$11,MIN(5,MATCH(MAX(Reference!$A$6,MIN(Reference!$A$11,MIN(D259,120))),Reference!$A$6:$A$11,1)))+(MAX(Reference!$A$6,MIN(Reference!$A$11,MIN(D259,120)))-INDEX(Reference!$A$6:$A$11,MIN(5,MATCH(MAX(Reference!$A$6,MIN(Reference!$A$11,MIN(D259,120))),Reference!$A$6:$A$11,1))))*(INDEX(Reference!$B$6:$B$11,MIN(5,MATCH(MAX(Reference!$A$6,MIN(Reference!$A$11,MIN(D259,120))),Reference!$A$6:$A$11,1))+1)-INDEX(Reference!$B$6:$B$11,MIN(5,MATCH(MAX(Reference!$A$6,MIN(Reference!$A$11,MIN(D259,120))),Reference!$A$6:$A$11,1))))/(INDEX(Reference!$A$6:$A$11,MIN(5,MATCH(MAX(Reference!$A$6,MIN(Reference!$A$11,MIN(D259,120))),Reference!$A$6:$A$11,1))+1)-INDEX(Reference!$A$6:$A$11,MIN(5,MATCH(MAX(Reference!$A$6,MIN(Reference!$A$11,MIN(D259,120))),Reference!$A$6:$A$11,1))))),0)+IF(3&lt;=AE259,(AE259-3+3)*(INDEX(Reference!$B$6:$B$11,MIN(5,MATCH(MAX(Reference!$A$6,MIN(Reference!$A$11,MIN(D259,150))),Reference!$A$6:$A$11,1)))+(MAX(Reference!$A$6,MIN(Reference!$A$11,MIN(D259,150)))-INDEX(Reference!$A$6:$A$11,MIN(5,MATCH(MAX(Reference!$A$6,MIN(Reference!$A$11,MIN(D259,150))),Reference!$A$6:$A$11,1))))*(INDEX(Reference!$B$6:$B$11,MIN(5,MATCH(MAX(Reference!$A$6,MIN(Reference!$A$11,MIN(D259,150))),Reference!$A$6:$A$11,1))+1)-INDEX(Reference!$B$6:$B$11,MIN(5,MATCH(MAX(Reference!$A$6,MIN(Reference!$A$11,MIN(D259,150))),Reference!$A$6:$A$11,1))))/(INDEX(Reference!$A$6:$A$11,MIN(5,MATCH(MAX(Reference!$A$6,MIN(Reference!$A$11,MIN(D259,150))),Reference!$A$6:$A$11,1))+1)-INDEX(Reference!$A$6:$A$11,MIN(5,MATCH(MAX(Reference!$A$6,MIN(Reference!$A$11,MIN(D259,150))),Reference!$A$6:$A$11,1))))),0)+IF(4&lt;=AE259,(AE259-4+3)*(INDEX(Reference!$B$6:$B$11,MIN(5,MATCH(MAX(Reference!$A$6,MIN(Reference!$A$11,MIN(D259,180))),Reference!$A$6:$A$11,1)))+(MAX(Reference!$A$6,MIN(Reference!$A$11,MIN(D259,180)))-INDEX(Reference!$A$6:$A$11,MIN(5,MATCH(MAX(Reference!$A$6,MIN(Reference!$A$11,MIN(D259,180))),Reference!$A$6:$A$11,1))))*(INDEX(Reference!$B$6:$B$11,MIN(5,MATCH(MAX(Reference!$A$6,MIN(Reference!$A$11,MIN(D259,180))),Reference!$A$6:$A$11,1))+1)-INDEX(Reference!$B$6:$B$11,MIN(5,MATCH(MAX(Reference!$A$6,MIN(Reference!$A$11,MIN(D259,180))),Reference!$A$6:$A$11,1))))/(INDEX(Reference!$A$6:$A$11,MIN(5,MATCH(MAX(Reference!$A$6,MIN(Reference!$A$11,MIN(D259,180))),Reference!$A$6:$A$11,1))+1)-INDEX(Reference!$A$6:$A$11,MIN(5,MATCH(MAX(Reference!$A$6,MIN(Reference!$A$11,MIN(D259,180))),Reference!$A$6:$A$11,1))))),0)+IF(5&lt;=AE259,(AE259-5+3)*(INDEX(Reference!$B$6:$B$11,MIN(5,MATCH(MAX(Reference!$A$6,MIN(Reference!$A$11,MIN(D259,210))),Reference!$A$6:$A$11,1)))+(MAX(Reference!$A$6,MIN(Reference!$A$11,MIN(D259,210)))-INDEX(Reference!$A$6:$A$11,MIN(5,MATCH(MAX(Reference!$A$6,MIN(Reference!$A$11,MIN(D259,210))),Reference!$A$6:$A$11,1))))*(INDEX(Reference!$B$6:$B$11,MIN(5,MATCH(MAX(Reference!$A$6,MIN(Reference!$A$11,MIN(D259,210))),Reference!$A$6:$A$11,1))+1)-INDEX(Reference!$B$6:$B$11,MIN(5,MATCH(MAX(Reference!$A$6,MIN(Reference!$A$11,MIN(D259,210))),Reference!$A$6:$A$11,1))))/(INDEX(Reference!$A$6:$A$11,MIN(5,MATCH(MAX(Reference!$A$6,MIN(Reference!$A$11,MIN(D259,210))),Reference!$A$6:$A$11,1))+1)-INDEX(Reference!$A$6:$A$11,MIN(5,MATCH(MAX(Reference!$A$6,MIN(Reference!$A$11,MIN(D259,210))),Reference!$A$6:$A$11,1))))),0)+IF(6&lt;=AE259,(AE259-6+3)*(INDEX(Reference!$B$6:$B$11,MIN(5,MATCH(MAX(Reference!$A$6,MIN(Reference!$A$11,MIN(D259,240))),Reference!$A$6:$A$11,1)))+(MAX(Reference!$A$6,MIN(Reference!$A$11,MIN(D259,240)))-INDEX(Reference!$A$6:$A$11,MIN(5,MATCH(MAX(Reference!$A$6,MIN(Reference!$A$11,MIN(D259,240))),Reference!$A$6:$A$11,1))))*(INDEX(Reference!$B$6:$B$11,MIN(5,MATCH(MAX(Reference!$A$6,MIN(Reference!$A$11,MIN(D259,240))),Reference!$A$6:$A$11,1))+1)-INDEX(Reference!$B$6:$B$11,MIN(5,MATCH(MAX(Reference!$A$6,MIN(Reference!$A$11,MIN(D259,240))),Reference!$A$6:$A$11,1))))/(INDEX(Reference!$A$6:$A$11,MIN(5,MATCH(MAX(Reference!$A$6,MIN(Reference!$A$11,MIN(D259,240))),Reference!$A$6:$A$11,1))+1)-INDEX(Reference!$A$6:$A$11,MIN(5,MATCH(MAX(Reference!$A$6,MIN(Reference!$A$11,MIN(D259,240))),Reference!$A$6:$A$11,1))))),0)+IF(7&lt;=AE259,(AE259-7+3)*(INDEX(Reference!$B$6:$B$11,MIN(5,MATCH(MAX(Reference!$A$6,MIN(Reference!$A$11,MIN(D259,270))),Reference!$A$6:$A$11,1)))+(MAX(Reference!$A$6,MIN(Reference!$A$11,MIN(D259,270)))-INDEX(Reference!$A$6:$A$11,MIN(5,MATCH(MAX(Reference!$A$6,MIN(Reference!$A$11,MIN(D259,270))),Reference!$A$6:$A$11,1))))*(INDEX(Reference!$B$6:$B$11,MIN(5,MATCH(MAX(Reference!$A$6,MIN(Reference!$A$11,MIN(D259,270))),Reference!$A$6:$A$11,1))+1)-INDEX(Reference!$B$6:$B$11,MIN(5,MATCH(MAX(Reference!$A$6,MIN(Reference!$A$11,MIN(D259,270))),Reference!$A$6:$A$11,1))))/(INDEX(Reference!$A$6:$A$11,MIN(5,MATCH(MAX(Reference!$A$6,MIN(Reference!$A$11,MIN(D259,270))),Reference!$A$6:$A$11,1))+1)-INDEX(Reference!$A$6:$A$11,MIN(5,MATCH(MAX(Reference!$A$6,MIN(Reference!$A$11,MIN(D259,270))),Reference!$A$6:$A$11,1))))),0)+IF(8&lt;=AE259,(AE259-8+3)*(INDEX(Reference!$B$6:$B$11,MIN(5,MATCH(MAX(Reference!$A$6,MIN(Reference!$A$11,MIN(D259,300))),Reference!$A$6:$A$11,1)))+(MAX(Reference!$A$6,MIN(Reference!$A$11,MIN(D259,300)))-INDEX(Reference!$A$6:$A$11,MIN(5,MATCH(MAX(Reference!$A$6,MIN(Reference!$A$11,MIN(D259,300))),Reference!$A$6:$A$11,1))))*(INDEX(Reference!$B$6:$B$11,MIN(5,MATCH(MAX(Reference!$A$6,MIN(Reference!$A$11,MIN(D259,300))),Reference!$A$6:$A$11,1))+1)-INDEX(Reference!$B$6:$B$11,MIN(5,MATCH(MAX(Reference!$A$6,MIN(Reference!$A$11,MIN(D259,300))),Reference!$A$6:$A$11,1))))/(INDEX(Reference!$A$6:$A$11,MIN(5,MATCH(MAX(Reference!$A$6,MIN(Reference!$A$11,MIN(D259,300))),Reference!$A$6:$A$11,1))+1)-INDEX(Reference!$A$6:$A$11,MIN(5,MATCH(MAX(Reference!$A$6,MIN(Reference!$A$11,MIN(D259,300))),Reference!$A$6:$A$11,1))))),0))/(AE259*(AE259+5)/2)),(INDEX(Reference!$B$6:$B$11,MIN(5,MATCH(MAX(Reference!$A$6,MIN(Reference!$A$11,D259)),Reference!$A$6:$A$11,1)))+(MAX(Reference!$A$6,MIN(Reference!$A$11,D259))-INDEX(Reference!$A$6:$A$11,MIN(5,MATCH(MAX(Reference!$A$6,MIN(Reference!$A$11,D259)),Reference!$A$6:$A$11,1))))*(INDEX(Reference!$B$6:$B$11,MIN(5,MATCH(MAX(Reference!$A$6,MIN(Reference!$A$11,D259)),Reference!$A$6:$A$11,1))+1)-INDEX(Reference!$B$6:$B$11,MIN(5,MATCH(MAX(Reference!$A$6,MIN(Reference!$A$11,D259)),Reference!$A$6:$A$11,1))))/(INDEX(Reference!$A$6:$A$11,MIN(5,MATCH(MAX(Reference!$A$6,MIN(Reference!$A$11,D259)),Reference!$A$6:$A$11,1))+1)-INDEX(Reference!$A$6:$A$11,MIN(5,MATCH(MAX(Reference!$A$6,MIN(Reference!$A$11,D259)),Reference!$A$6:$A$11,1))))))))</f>
        <v/>
      </c>
      <c r="P259" s="32" t="str">
        <f>IF(N259="","",VLOOKUP(MAX(N259,0),Reference!$A$17:$B$20,2,TRUE()))</f>
        <v/>
      </c>
      <c r="Q259" s="32" t="str">
        <f t="shared" si="30"/>
        <v/>
      </c>
      <c r="R259" s="31"/>
      <c r="S259" s="31"/>
      <c r="T259" s="31"/>
      <c r="U259" s="32" t="str">
        <f t="shared" si="31"/>
        <v/>
      </c>
      <c r="V259" s="32" t="str">
        <f t="shared" si="32"/>
        <v/>
      </c>
      <c r="W259" s="32" t="str">
        <f>IF(V259="","",VLOOKUP(MAX(V259,0),Reference!$A$17:$B$20,2,TRUE()))</f>
        <v/>
      </c>
      <c r="X259" s="31"/>
      <c r="Y259" s="31"/>
      <c r="Z259" s="31"/>
      <c r="AA259" s="32" t="str">
        <f t="shared" si="33"/>
        <v/>
      </c>
      <c r="AB259" s="32" t="str">
        <f t="shared" si="34"/>
        <v/>
      </c>
      <c r="AC259" s="32" t="str">
        <f>IF(AB259="","",VLOOKUP(MAX(AB259,0),Reference!$A$17:$B$20,2,TRUE()))</f>
        <v/>
      </c>
      <c r="AD259" s="31"/>
      <c r="AE259">
        <f t="shared" si="35"/>
        <v>1</v>
      </c>
      <c r="AF259" s="33" t="str">
        <f>IF(OR(A259="",B259="",AND(C259&lt;&gt;"Bullpen",C259&lt;&gt;"Game")),"",IF((COUNTIFS($B$5:$B$300,B259,$A$5:$A$300,A259-1,$C$5:$C$300,"Bullpen",$AG$5:$AG$300,"&gt;0") + COUNTIFS($B$5:$B$300,B259,$A$5:$A$300,A259-1,$C$5:$C$300,"Game",$AG$5:$AG$300,"&gt;0"))&gt;0,Reference!$B$119,IF((COUNTIFS($B$5:$B$300,B259,$A$5:$A$300,A259-2,$C$5:$C$300,"Bullpen",$AG$5:$AG$300,"&gt;0") + COUNTIFS($B$5:$B$300,B259,$A$5:$A$300,A259-2,$C$5:$C$300,"Game",$AG$5:$AG$300,"&gt;0"))&gt;0,Reference!$B$120,1)))</f>
        <v/>
      </c>
      <c r="AG259" s="30" t="str">
        <f>IF(AND(OR(I259="",O259="",P259=""),OR(R259="",W259=""),OR(X259="",AC259="")),"",IF(OR(I259="",O259="",P259=""),0,I259*O259*P259)+IF(OR(R259="",W259=""),0,R259*IFERROR(INDEX(Reference!$B$61:$B$62,MATCH("Bullpen",Reference!$A$61:$A$62,0)),0)*W259)+IF(OR(X259="",AC259=""),0,X259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259))</f>
        <v/>
      </c>
    </row>
    <row r="260" spans="1:33" x14ac:dyDescent="0.3">
      <c r="A260" s="35"/>
      <c r="B260" s="31"/>
      <c r="C260" s="31"/>
      <c r="D260" s="31"/>
      <c r="E260" s="34"/>
      <c r="F260" s="34"/>
      <c r="G260" s="30" t="str">
        <f t="shared" si="27"/>
        <v/>
      </c>
      <c r="H260" s="31"/>
      <c r="I260" s="32" t="str">
        <f>IF(H260&lt;&gt;"",H260,IF(G260="","",ROUND(G260*IFERROR(INDEX(Reference!$B$44:$B$50,MATCH(C260,Reference!$A$44:$A$50,0)),0),0)))</f>
        <v/>
      </c>
      <c r="J260" s="31"/>
      <c r="K260" s="31"/>
      <c r="L260" s="32" t="str">
        <f t="shared" si="28"/>
        <v/>
      </c>
      <c r="M260" s="32" t="str">
        <f>IFERROR(INDEX(Roster!$D$5:$D$40,MATCH(B260,Roster!$A$5:$A$40,0)),"")</f>
        <v/>
      </c>
      <c r="N260" s="32" t="str">
        <f t="shared" si="29"/>
        <v/>
      </c>
      <c r="O260" s="32" t="str">
        <f>IF(OR(C260="Bullpen",C260="Game"),IFERROR(INDEX(Reference!$B$61:$B$62,MATCH(C260,Reference!$A$61:$A$62,0)),""),IF(D260="","",IF(AE260&gt;1,((IF(1&lt;=AE260,(AE260-1+3)*(INDEX(Reference!$B$6:$B$11,MIN(5,MATCH(MAX(Reference!$A$6,MIN(Reference!$A$11,MIN(D260,90))),Reference!$A$6:$A$11,1)))+(MAX(Reference!$A$6,MIN(Reference!$A$11,MIN(D260,90)))-INDEX(Reference!$A$6:$A$11,MIN(5,MATCH(MAX(Reference!$A$6,MIN(Reference!$A$11,MIN(D260,90))),Reference!$A$6:$A$11,1))))*(INDEX(Reference!$B$6:$B$11,MIN(5,MATCH(MAX(Reference!$A$6,MIN(Reference!$A$11,MIN(D260,90))),Reference!$A$6:$A$11,1))+1)-INDEX(Reference!$B$6:$B$11,MIN(5,MATCH(MAX(Reference!$A$6,MIN(Reference!$A$11,MIN(D260,90))),Reference!$A$6:$A$11,1))))/(INDEX(Reference!$A$6:$A$11,MIN(5,MATCH(MAX(Reference!$A$6,MIN(Reference!$A$11,MIN(D260,90))),Reference!$A$6:$A$11,1))+1)-INDEX(Reference!$A$6:$A$11,MIN(5,MATCH(MAX(Reference!$A$6,MIN(Reference!$A$11,MIN(D260,90))),Reference!$A$6:$A$11,1))))),0)+IF(2&lt;=AE260,(AE260-2+3)*(INDEX(Reference!$B$6:$B$11,MIN(5,MATCH(MAX(Reference!$A$6,MIN(Reference!$A$11,MIN(D260,120))),Reference!$A$6:$A$11,1)))+(MAX(Reference!$A$6,MIN(Reference!$A$11,MIN(D260,120)))-INDEX(Reference!$A$6:$A$11,MIN(5,MATCH(MAX(Reference!$A$6,MIN(Reference!$A$11,MIN(D260,120))),Reference!$A$6:$A$11,1))))*(INDEX(Reference!$B$6:$B$11,MIN(5,MATCH(MAX(Reference!$A$6,MIN(Reference!$A$11,MIN(D260,120))),Reference!$A$6:$A$11,1))+1)-INDEX(Reference!$B$6:$B$11,MIN(5,MATCH(MAX(Reference!$A$6,MIN(Reference!$A$11,MIN(D260,120))),Reference!$A$6:$A$11,1))))/(INDEX(Reference!$A$6:$A$11,MIN(5,MATCH(MAX(Reference!$A$6,MIN(Reference!$A$11,MIN(D260,120))),Reference!$A$6:$A$11,1))+1)-INDEX(Reference!$A$6:$A$11,MIN(5,MATCH(MAX(Reference!$A$6,MIN(Reference!$A$11,MIN(D260,120))),Reference!$A$6:$A$11,1))))),0)+IF(3&lt;=AE260,(AE260-3+3)*(INDEX(Reference!$B$6:$B$11,MIN(5,MATCH(MAX(Reference!$A$6,MIN(Reference!$A$11,MIN(D260,150))),Reference!$A$6:$A$11,1)))+(MAX(Reference!$A$6,MIN(Reference!$A$11,MIN(D260,150)))-INDEX(Reference!$A$6:$A$11,MIN(5,MATCH(MAX(Reference!$A$6,MIN(Reference!$A$11,MIN(D260,150))),Reference!$A$6:$A$11,1))))*(INDEX(Reference!$B$6:$B$11,MIN(5,MATCH(MAX(Reference!$A$6,MIN(Reference!$A$11,MIN(D260,150))),Reference!$A$6:$A$11,1))+1)-INDEX(Reference!$B$6:$B$11,MIN(5,MATCH(MAX(Reference!$A$6,MIN(Reference!$A$11,MIN(D260,150))),Reference!$A$6:$A$11,1))))/(INDEX(Reference!$A$6:$A$11,MIN(5,MATCH(MAX(Reference!$A$6,MIN(Reference!$A$11,MIN(D260,150))),Reference!$A$6:$A$11,1))+1)-INDEX(Reference!$A$6:$A$11,MIN(5,MATCH(MAX(Reference!$A$6,MIN(Reference!$A$11,MIN(D260,150))),Reference!$A$6:$A$11,1))))),0)+IF(4&lt;=AE260,(AE260-4+3)*(INDEX(Reference!$B$6:$B$11,MIN(5,MATCH(MAX(Reference!$A$6,MIN(Reference!$A$11,MIN(D260,180))),Reference!$A$6:$A$11,1)))+(MAX(Reference!$A$6,MIN(Reference!$A$11,MIN(D260,180)))-INDEX(Reference!$A$6:$A$11,MIN(5,MATCH(MAX(Reference!$A$6,MIN(Reference!$A$11,MIN(D260,180))),Reference!$A$6:$A$11,1))))*(INDEX(Reference!$B$6:$B$11,MIN(5,MATCH(MAX(Reference!$A$6,MIN(Reference!$A$11,MIN(D260,180))),Reference!$A$6:$A$11,1))+1)-INDEX(Reference!$B$6:$B$11,MIN(5,MATCH(MAX(Reference!$A$6,MIN(Reference!$A$11,MIN(D260,180))),Reference!$A$6:$A$11,1))))/(INDEX(Reference!$A$6:$A$11,MIN(5,MATCH(MAX(Reference!$A$6,MIN(Reference!$A$11,MIN(D260,180))),Reference!$A$6:$A$11,1))+1)-INDEX(Reference!$A$6:$A$11,MIN(5,MATCH(MAX(Reference!$A$6,MIN(Reference!$A$11,MIN(D260,180))),Reference!$A$6:$A$11,1))))),0)+IF(5&lt;=AE260,(AE260-5+3)*(INDEX(Reference!$B$6:$B$11,MIN(5,MATCH(MAX(Reference!$A$6,MIN(Reference!$A$11,MIN(D260,210))),Reference!$A$6:$A$11,1)))+(MAX(Reference!$A$6,MIN(Reference!$A$11,MIN(D260,210)))-INDEX(Reference!$A$6:$A$11,MIN(5,MATCH(MAX(Reference!$A$6,MIN(Reference!$A$11,MIN(D260,210))),Reference!$A$6:$A$11,1))))*(INDEX(Reference!$B$6:$B$11,MIN(5,MATCH(MAX(Reference!$A$6,MIN(Reference!$A$11,MIN(D260,210))),Reference!$A$6:$A$11,1))+1)-INDEX(Reference!$B$6:$B$11,MIN(5,MATCH(MAX(Reference!$A$6,MIN(Reference!$A$11,MIN(D260,210))),Reference!$A$6:$A$11,1))))/(INDEX(Reference!$A$6:$A$11,MIN(5,MATCH(MAX(Reference!$A$6,MIN(Reference!$A$11,MIN(D260,210))),Reference!$A$6:$A$11,1))+1)-INDEX(Reference!$A$6:$A$11,MIN(5,MATCH(MAX(Reference!$A$6,MIN(Reference!$A$11,MIN(D260,210))),Reference!$A$6:$A$11,1))))),0)+IF(6&lt;=AE260,(AE260-6+3)*(INDEX(Reference!$B$6:$B$11,MIN(5,MATCH(MAX(Reference!$A$6,MIN(Reference!$A$11,MIN(D260,240))),Reference!$A$6:$A$11,1)))+(MAX(Reference!$A$6,MIN(Reference!$A$11,MIN(D260,240)))-INDEX(Reference!$A$6:$A$11,MIN(5,MATCH(MAX(Reference!$A$6,MIN(Reference!$A$11,MIN(D260,240))),Reference!$A$6:$A$11,1))))*(INDEX(Reference!$B$6:$B$11,MIN(5,MATCH(MAX(Reference!$A$6,MIN(Reference!$A$11,MIN(D260,240))),Reference!$A$6:$A$11,1))+1)-INDEX(Reference!$B$6:$B$11,MIN(5,MATCH(MAX(Reference!$A$6,MIN(Reference!$A$11,MIN(D260,240))),Reference!$A$6:$A$11,1))))/(INDEX(Reference!$A$6:$A$11,MIN(5,MATCH(MAX(Reference!$A$6,MIN(Reference!$A$11,MIN(D260,240))),Reference!$A$6:$A$11,1))+1)-INDEX(Reference!$A$6:$A$11,MIN(5,MATCH(MAX(Reference!$A$6,MIN(Reference!$A$11,MIN(D260,240))),Reference!$A$6:$A$11,1))))),0)+IF(7&lt;=AE260,(AE260-7+3)*(INDEX(Reference!$B$6:$B$11,MIN(5,MATCH(MAX(Reference!$A$6,MIN(Reference!$A$11,MIN(D260,270))),Reference!$A$6:$A$11,1)))+(MAX(Reference!$A$6,MIN(Reference!$A$11,MIN(D260,270)))-INDEX(Reference!$A$6:$A$11,MIN(5,MATCH(MAX(Reference!$A$6,MIN(Reference!$A$11,MIN(D260,270))),Reference!$A$6:$A$11,1))))*(INDEX(Reference!$B$6:$B$11,MIN(5,MATCH(MAX(Reference!$A$6,MIN(Reference!$A$11,MIN(D260,270))),Reference!$A$6:$A$11,1))+1)-INDEX(Reference!$B$6:$B$11,MIN(5,MATCH(MAX(Reference!$A$6,MIN(Reference!$A$11,MIN(D260,270))),Reference!$A$6:$A$11,1))))/(INDEX(Reference!$A$6:$A$11,MIN(5,MATCH(MAX(Reference!$A$6,MIN(Reference!$A$11,MIN(D260,270))),Reference!$A$6:$A$11,1))+1)-INDEX(Reference!$A$6:$A$11,MIN(5,MATCH(MAX(Reference!$A$6,MIN(Reference!$A$11,MIN(D260,270))),Reference!$A$6:$A$11,1))))),0)+IF(8&lt;=AE260,(AE260-8+3)*(INDEX(Reference!$B$6:$B$11,MIN(5,MATCH(MAX(Reference!$A$6,MIN(Reference!$A$11,MIN(D260,300))),Reference!$A$6:$A$11,1)))+(MAX(Reference!$A$6,MIN(Reference!$A$11,MIN(D260,300)))-INDEX(Reference!$A$6:$A$11,MIN(5,MATCH(MAX(Reference!$A$6,MIN(Reference!$A$11,MIN(D260,300))),Reference!$A$6:$A$11,1))))*(INDEX(Reference!$B$6:$B$11,MIN(5,MATCH(MAX(Reference!$A$6,MIN(Reference!$A$11,MIN(D260,300))),Reference!$A$6:$A$11,1))+1)-INDEX(Reference!$B$6:$B$11,MIN(5,MATCH(MAX(Reference!$A$6,MIN(Reference!$A$11,MIN(D260,300))),Reference!$A$6:$A$11,1))))/(INDEX(Reference!$A$6:$A$11,MIN(5,MATCH(MAX(Reference!$A$6,MIN(Reference!$A$11,MIN(D260,300))),Reference!$A$6:$A$11,1))+1)-INDEX(Reference!$A$6:$A$11,MIN(5,MATCH(MAX(Reference!$A$6,MIN(Reference!$A$11,MIN(D260,300))),Reference!$A$6:$A$11,1))))),0))/(AE260*(AE260+5)/2)),(INDEX(Reference!$B$6:$B$11,MIN(5,MATCH(MAX(Reference!$A$6,MIN(Reference!$A$11,D260)),Reference!$A$6:$A$11,1)))+(MAX(Reference!$A$6,MIN(Reference!$A$11,D260))-INDEX(Reference!$A$6:$A$11,MIN(5,MATCH(MAX(Reference!$A$6,MIN(Reference!$A$11,D260)),Reference!$A$6:$A$11,1))))*(INDEX(Reference!$B$6:$B$11,MIN(5,MATCH(MAX(Reference!$A$6,MIN(Reference!$A$11,D260)),Reference!$A$6:$A$11,1))+1)-INDEX(Reference!$B$6:$B$11,MIN(5,MATCH(MAX(Reference!$A$6,MIN(Reference!$A$11,D260)),Reference!$A$6:$A$11,1))))/(INDEX(Reference!$A$6:$A$11,MIN(5,MATCH(MAX(Reference!$A$6,MIN(Reference!$A$11,D260)),Reference!$A$6:$A$11,1))+1)-INDEX(Reference!$A$6:$A$11,MIN(5,MATCH(MAX(Reference!$A$6,MIN(Reference!$A$11,D260)),Reference!$A$6:$A$11,1))))))))</f>
        <v/>
      </c>
      <c r="P260" s="32" t="str">
        <f>IF(N260="","",VLOOKUP(MAX(N260,0),Reference!$A$17:$B$20,2,TRUE()))</f>
        <v/>
      </c>
      <c r="Q260" s="32" t="str">
        <f t="shared" si="30"/>
        <v/>
      </c>
      <c r="R260" s="31"/>
      <c r="S260" s="31"/>
      <c r="T260" s="31"/>
      <c r="U260" s="32" t="str">
        <f t="shared" si="31"/>
        <v/>
      </c>
      <c r="V260" s="32" t="str">
        <f t="shared" si="32"/>
        <v/>
      </c>
      <c r="W260" s="32" t="str">
        <f>IF(V260="","",VLOOKUP(MAX(V260,0),Reference!$A$17:$B$20,2,TRUE()))</f>
        <v/>
      </c>
      <c r="X260" s="31"/>
      <c r="Y260" s="31"/>
      <c r="Z260" s="31"/>
      <c r="AA260" s="32" t="str">
        <f t="shared" si="33"/>
        <v/>
      </c>
      <c r="AB260" s="32" t="str">
        <f t="shared" si="34"/>
        <v/>
      </c>
      <c r="AC260" s="32" t="str">
        <f>IF(AB260="","",VLOOKUP(MAX(AB260,0),Reference!$A$17:$B$20,2,TRUE()))</f>
        <v/>
      </c>
      <c r="AD260" s="31"/>
      <c r="AE260">
        <f t="shared" si="35"/>
        <v>1</v>
      </c>
      <c r="AF260" s="33" t="str">
        <f>IF(OR(A260="",B260="",AND(C260&lt;&gt;"Bullpen",C260&lt;&gt;"Game")),"",IF((COUNTIFS($B$5:$B$300,B260,$A$5:$A$300,A260-1,$C$5:$C$300,"Bullpen",$AG$5:$AG$300,"&gt;0") + COUNTIFS($B$5:$B$300,B260,$A$5:$A$300,A260-1,$C$5:$C$300,"Game",$AG$5:$AG$300,"&gt;0"))&gt;0,Reference!$B$119,IF((COUNTIFS($B$5:$B$300,B260,$A$5:$A$300,A260-2,$C$5:$C$300,"Bullpen",$AG$5:$AG$300,"&gt;0") + COUNTIFS($B$5:$B$300,B260,$A$5:$A$300,A260-2,$C$5:$C$300,"Game",$AG$5:$AG$300,"&gt;0"))&gt;0,Reference!$B$120,1)))</f>
        <v/>
      </c>
      <c r="AG260" s="30" t="str">
        <f>IF(AND(OR(I260="",O260="",P260=""),OR(R260="",W260=""),OR(X260="",AC260="")),"",IF(OR(I260="",O260="",P260=""),0,I260*O260*P260)+IF(OR(R260="",W260=""),0,R260*IFERROR(INDEX(Reference!$B$61:$B$62,MATCH("Bullpen",Reference!$A$61:$A$62,0)),0)*W260)+IF(OR(X260="",AC260=""),0,X260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260))</f>
        <v/>
      </c>
    </row>
    <row r="261" spans="1:33" x14ac:dyDescent="0.3">
      <c r="A261" s="35"/>
      <c r="B261" s="31"/>
      <c r="C261" s="31"/>
      <c r="D261" s="31"/>
      <c r="E261" s="34"/>
      <c r="F261" s="34"/>
      <c r="G261" s="30" t="str">
        <f t="shared" ref="G261:G324" si="36">IF(OR(E261="",F261=""),"",(F261-E261)*1440)</f>
        <v/>
      </c>
      <c r="H261" s="31"/>
      <c r="I261" s="32" t="str">
        <f>IF(H261&lt;&gt;"",H261,IF(G261="","",ROUND(G261*IFERROR(INDEX(Reference!$B$44:$B$50,MATCH(C261,Reference!$A$44:$A$50,0)),0),0)))</f>
        <v/>
      </c>
      <c r="J261" s="31"/>
      <c r="K261" s="31"/>
      <c r="L261" s="32" t="str">
        <f t="shared" ref="L261:L324" si="37">IF(J261="","",IF(K261="",J261,AVERAGE(J261,K261)))</f>
        <v/>
      </c>
      <c r="M261" s="32" t="str">
        <f>IFERROR(INDEX(Roster!$D$5:$D$40,MATCH(B261,Roster!$A$5:$A$40,0)),"")</f>
        <v/>
      </c>
      <c r="N261" s="32" t="str">
        <f t="shared" ref="N261:N324" si="38">IF(OR(L261="",M261="",M261=0),"",M261-L261)</f>
        <v/>
      </c>
      <c r="O261" s="32" t="str">
        <f>IF(OR(C261="Bullpen",C261="Game"),IFERROR(INDEX(Reference!$B$61:$B$62,MATCH(C261,Reference!$A$61:$A$62,0)),""),IF(D261="","",IF(AE261&gt;1,((IF(1&lt;=AE261,(AE261-1+3)*(INDEX(Reference!$B$6:$B$11,MIN(5,MATCH(MAX(Reference!$A$6,MIN(Reference!$A$11,MIN(D261,90))),Reference!$A$6:$A$11,1)))+(MAX(Reference!$A$6,MIN(Reference!$A$11,MIN(D261,90)))-INDEX(Reference!$A$6:$A$11,MIN(5,MATCH(MAX(Reference!$A$6,MIN(Reference!$A$11,MIN(D261,90))),Reference!$A$6:$A$11,1))))*(INDEX(Reference!$B$6:$B$11,MIN(5,MATCH(MAX(Reference!$A$6,MIN(Reference!$A$11,MIN(D261,90))),Reference!$A$6:$A$11,1))+1)-INDEX(Reference!$B$6:$B$11,MIN(5,MATCH(MAX(Reference!$A$6,MIN(Reference!$A$11,MIN(D261,90))),Reference!$A$6:$A$11,1))))/(INDEX(Reference!$A$6:$A$11,MIN(5,MATCH(MAX(Reference!$A$6,MIN(Reference!$A$11,MIN(D261,90))),Reference!$A$6:$A$11,1))+1)-INDEX(Reference!$A$6:$A$11,MIN(5,MATCH(MAX(Reference!$A$6,MIN(Reference!$A$11,MIN(D261,90))),Reference!$A$6:$A$11,1))))),0)+IF(2&lt;=AE261,(AE261-2+3)*(INDEX(Reference!$B$6:$B$11,MIN(5,MATCH(MAX(Reference!$A$6,MIN(Reference!$A$11,MIN(D261,120))),Reference!$A$6:$A$11,1)))+(MAX(Reference!$A$6,MIN(Reference!$A$11,MIN(D261,120)))-INDEX(Reference!$A$6:$A$11,MIN(5,MATCH(MAX(Reference!$A$6,MIN(Reference!$A$11,MIN(D261,120))),Reference!$A$6:$A$11,1))))*(INDEX(Reference!$B$6:$B$11,MIN(5,MATCH(MAX(Reference!$A$6,MIN(Reference!$A$11,MIN(D261,120))),Reference!$A$6:$A$11,1))+1)-INDEX(Reference!$B$6:$B$11,MIN(5,MATCH(MAX(Reference!$A$6,MIN(Reference!$A$11,MIN(D261,120))),Reference!$A$6:$A$11,1))))/(INDEX(Reference!$A$6:$A$11,MIN(5,MATCH(MAX(Reference!$A$6,MIN(Reference!$A$11,MIN(D261,120))),Reference!$A$6:$A$11,1))+1)-INDEX(Reference!$A$6:$A$11,MIN(5,MATCH(MAX(Reference!$A$6,MIN(Reference!$A$11,MIN(D261,120))),Reference!$A$6:$A$11,1))))),0)+IF(3&lt;=AE261,(AE261-3+3)*(INDEX(Reference!$B$6:$B$11,MIN(5,MATCH(MAX(Reference!$A$6,MIN(Reference!$A$11,MIN(D261,150))),Reference!$A$6:$A$11,1)))+(MAX(Reference!$A$6,MIN(Reference!$A$11,MIN(D261,150)))-INDEX(Reference!$A$6:$A$11,MIN(5,MATCH(MAX(Reference!$A$6,MIN(Reference!$A$11,MIN(D261,150))),Reference!$A$6:$A$11,1))))*(INDEX(Reference!$B$6:$B$11,MIN(5,MATCH(MAX(Reference!$A$6,MIN(Reference!$A$11,MIN(D261,150))),Reference!$A$6:$A$11,1))+1)-INDEX(Reference!$B$6:$B$11,MIN(5,MATCH(MAX(Reference!$A$6,MIN(Reference!$A$11,MIN(D261,150))),Reference!$A$6:$A$11,1))))/(INDEX(Reference!$A$6:$A$11,MIN(5,MATCH(MAX(Reference!$A$6,MIN(Reference!$A$11,MIN(D261,150))),Reference!$A$6:$A$11,1))+1)-INDEX(Reference!$A$6:$A$11,MIN(5,MATCH(MAX(Reference!$A$6,MIN(Reference!$A$11,MIN(D261,150))),Reference!$A$6:$A$11,1))))),0)+IF(4&lt;=AE261,(AE261-4+3)*(INDEX(Reference!$B$6:$B$11,MIN(5,MATCH(MAX(Reference!$A$6,MIN(Reference!$A$11,MIN(D261,180))),Reference!$A$6:$A$11,1)))+(MAX(Reference!$A$6,MIN(Reference!$A$11,MIN(D261,180)))-INDEX(Reference!$A$6:$A$11,MIN(5,MATCH(MAX(Reference!$A$6,MIN(Reference!$A$11,MIN(D261,180))),Reference!$A$6:$A$11,1))))*(INDEX(Reference!$B$6:$B$11,MIN(5,MATCH(MAX(Reference!$A$6,MIN(Reference!$A$11,MIN(D261,180))),Reference!$A$6:$A$11,1))+1)-INDEX(Reference!$B$6:$B$11,MIN(5,MATCH(MAX(Reference!$A$6,MIN(Reference!$A$11,MIN(D261,180))),Reference!$A$6:$A$11,1))))/(INDEX(Reference!$A$6:$A$11,MIN(5,MATCH(MAX(Reference!$A$6,MIN(Reference!$A$11,MIN(D261,180))),Reference!$A$6:$A$11,1))+1)-INDEX(Reference!$A$6:$A$11,MIN(5,MATCH(MAX(Reference!$A$6,MIN(Reference!$A$11,MIN(D261,180))),Reference!$A$6:$A$11,1))))),0)+IF(5&lt;=AE261,(AE261-5+3)*(INDEX(Reference!$B$6:$B$11,MIN(5,MATCH(MAX(Reference!$A$6,MIN(Reference!$A$11,MIN(D261,210))),Reference!$A$6:$A$11,1)))+(MAX(Reference!$A$6,MIN(Reference!$A$11,MIN(D261,210)))-INDEX(Reference!$A$6:$A$11,MIN(5,MATCH(MAX(Reference!$A$6,MIN(Reference!$A$11,MIN(D261,210))),Reference!$A$6:$A$11,1))))*(INDEX(Reference!$B$6:$B$11,MIN(5,MATCH(MAX(Reference!$A$6,MIN(Reference!$A$11,MIN(D261,210))),Reference!$A$6:$A$11,1))+1)-INDEX(Reference!$B$6:$B$11,MIN(5,MATCH(MAX(Reference!$A$6,MIN(Reference!$A$11,MIN(D261,210))),Reference!$A$6:$A$11,1))))/(INDEX(Reference!$A$6:$A$11,MIN(5,MATCH(MAX(Reference!$A$6,MIN(Reference!$A$11,MIN(D261,210))),Reference!$A$6:$A$11,1))+1)-INDEX(Reference!$A$6:$A$11,MIN(5,MATCH(MAX(Reference!$A$6,MIN(Reference!$A$11,MIN(D261,210))),Reference!$A$6:$A$11,1))))),0)+IF(6&lt;=AE261,(AE261-6+3)*(INDEX(Reference!$B$6:$B$11,MIN(5,MATCH(MAX(Reference!$A$6,MIN(Reference!$A$11,MIN(D261,240))),Reference!$A$6:$A$11,1)))+(MAX(Reference!$A$6,MIN(Reference!$A$11,MIN(D261,240)))-INDEX(Reference!$A$6:$A$11,MIN(5,MATCH(MAX(Reference!$A$6,MIN(Reference!$A$11,MIN(D261,240))),Reference!$A$6:$A$11,1))))*(INDEX(Reference!$B$6:$B$11,MIN(5,MATCH(MAX(Reference!$A$6,MIN(Reference!$A$11,MIN(D261,240))),Reference!$A$6:$A$11,1))+1)-INDEX(Reference!$B$6:$B$11,MIN(5,MATCH(MAX(Reference!$A$6,MIN(Reference!$A$11,MIN(D261,240))),Reference!$A$6:$A$11,1))))/(INDEX(Reference!$A$6:$A$11,MIN(5,MATCH(MAX(Reference!$A$6,MIN(Reference!$A$11,MIN(D261,240))),Reference!$A$6:$A$11,1))+1)-INDEX(Reference!$A$6:$A$11,MIN(5,MATCH(MAX(Reference!$A$6,MIN(Reference!$A$11,MIN(D261,240))),Reference!$A$6:$A$11,1))))),0)+IF(7&lt;=AE261,(AE261-7+3)*(INDEX(Reference!$B$6:$B$11,MIN(5,MATCH(MAX(Reference!$A$6,MIN(Reference!$A$11,MIN(D261,270))),Reference!$A$6:$A$11,1)))+(MAX(Reference!$A$6,MIN(Reference!$A$11,MIN(D261,270)))-INDEX(Reference!$A$6:$A$11,MIN(5,MATCH(MAX(Reference!$A$6,MIN(Reference!$A$11,MIN(D261,270))),Reference!$A$6:$A$11,1))))*(INDEX(Reference!$B$6:$B$11,MIN(5,MATCH(MAX(Reference!$A$6,MIN(Reference!$A$11,MIN(D261,270))),Reference!$A$6:$A$11,1))+1)-INDEX(Reference!$B$6:$B$11,MIN(5,MATCH(MAX(Reference!$A$6,MIN(Reference!$A$11,MIN(D261,270))),Reference!$A$6:$A$11,1))))/(INDEX(Reference!$A$6:$A$11,MIN(5,MATCH(MAX(Reference!$A$6,MIN(Reference!$A$11,MIN(D261,270))),Reference!$A$6:$A$11,1))+1)-INDEX(Reference!$A$6:$A$11,MIN(5,MATCH(MAX(Reference!$A$6,MIN(Reference!$A$11,MIN(D261,270))),Reference!$A$6:$A$11,1))))),0)+IF(8&lt;=AE261,(AE261-8+3)*(INDEX(Reference!$B$6:$B$11,MIN(5,MATCH(MAX(Reference!$A$6,MIN(Reference!$A$11,MIN(D261,300))),Reference!$A$6:$A$11,1)))+(MAX(Reference!$A$6,MIN(Reference!$A$11,MIN(D261,300)))-INDEX(Reference!$A$6:$A$11,MIN(5,MATCH(MAX(Reference!$A$6,MIN(Reference!$A$11,MIN(D261,300))),Reference!$A$6:$A$11,1))))*(INDEX(Reference!$B$6:$B$11,MIN(5,MATCH(MAX(Reference!$A$6,MIN(Reference!$A$11,MIN(D261,300))),Reference!$A$6:$A$11,1))+1)-INDEX(Reference!$B$6:$B$11,MIN(5,MATCH(MAX(Reference!$A$6,MIN(Reference!$A$11,MIN(D261,300))),Reference!$A$6:$A$11,1))))/(INDEX(Reference!$A$6:$A$11,MIN(5,MATCH(MAX(Reference!$A$6,MIN(Reference!$A$11,MIN(D261,300))),Reference!$A$6:$A$11,1))+1)-INDEX(Reference!$A$6:$A$11,MIN(5,MATCH(MAX(Reference!$A$6,MIN(Reference!$A$11,MIN(D261,300))),Reference!$A$6:$A$11,1))))),0))/(AE261*(AE261+5)/2)),(INDEX(Reference!$B$6:$B$11,MIN(5,MATCH(MAX(Reference!$A$6,MIN(Reference!$A$11,D261)),Reference!$A$6:$A$11,1)))+(MAX(Reference!$A$6,MIN(Reference!$A$11,D261))-INDEX(Reference!$A$6:$A$11,MIN(5,MATCH(MAX(Reference!$A$6,MIN(Reference!$A$11,D261)),Reference!$A$6:$A$11,1))))*(INDEX(Reference!$B$6:$B$11,MIN(5,MATCH(MAX(Reference!$A$6,MIN(Reference!$A$11,D261)),Reference!$A$6:$A$11,1))+1)-INDEX(Reference!$B$6:$B$11,MIN(5,MATCH(MAX(Reference!$A$6,MIN(Reference!$A$11,D261)),Reference!$A$6:$A$11,1))))/(INDEX(Reference!$A$6:$A$11,MIN(5,MATCH(MAX(Reference!$A$6,MIN(Reference!$A$11,D261)),Reference!$A$6:$A$11,1))+1)-INDEX(Reference!$A$6:$A$11,MIN(5,MATCH(MAX(Reference!$A$6,MIN(Reference!$A$11,D261)),Reference!$A$6:$A$11,1))))))))</f>
        <v/>
      </c>
      <c r="P261" s="32" t="str">
        <f>IF(N261="","",VLOOKUP(MAX(N261,0),Reference!$A$17:$B$20,2,TRUE()))</f>
        <v/>
      </c>
      <c r="Q261" s="32" t="str">
        <f t="shared" ref="Q261:Q300" si="39">IF(AG261="","",AG261*IF(AF261="",1,AF261))</f>
        <v/>
      </c>
      <c r="R261" s="31"/>
      <c r="S261" s="31"/>
      <c r="T261" s="31"/>
      <c r="U261" s="32" t="str">
        <f t="shared" ref="U261:U324" si="40">IF(S261="","",IF(T261="",S261,AVERAGE(S261,T261)))</f>
        <v/>
      </c>
      <c r="V261" s="32" t="str">
        <f t="shared" ref="V261:V324" si="41">IF(OR(U261="",M261="",M261=0),"",M261-U261)</f>
        <v/>
      </c>
      <c r="W261" s="32" t="str">
        <f>IF(V261="","",VLOOKUP(MAX(V261,0),Reference!$A$17:$B$20,2,TRUE()))</f>
        <v/>
      </c>
      <c r="X261" s="31"/>
      <c r="Y261" s="31"/>
      <c r="Z261" s="31"/>
      <c r="AA261" s="32" t="str">
        <f t="shared" ref="AA261:AA324" si="42">IF(Y261="","",IF(Z261="",Y261,AVERAGE(Y261,Z261)))</f>
        <v/>
      </c>
      <c r="AB261" s="32" t="str">
        <f t="shared" ref="AB261:AB324" si="43">IF(OR(AA261="",M261="",M261=0),"",M261-AA261)</f>
        <v/>
      </c>
      <c r="AC261" s="32" t="str">
        <f>IF(AB261="","",VLOOKUP(MAX(AB261,0),Reference!$A$17:$B$20,2,TRUE()))</f>
        <v/>
      </c>
      <c r="AD261" s="31"/>
      <c r="AE261">
        <f t="shared" ref="AE261:AE300" si="44">IF(AND(C261="Long Toss",N(D261)&gt;90),1+ROUNDUP((D261-90)/30,0),1)</f>
        <v>1</v>
      </c>
      <c r="AF261" s="33" t="str">
        <f>IF(OR(A261="",B261="",AND(C261&lt;&gt;"Bullpen",C261&lt;&gt;"Game")),"",IF((COUNTIFS($B$5:$B$300,B261,$A$5:$A$300,A261-1,$C$5:$C$300,"Bullpen",$AG$5:$AG$300,"&gt;0") + COUNTIFS($B$5:$B$300,B261,$A$5:$A$300,A261-1,$C$5:$C$300,"Game",$AG$5:$AG$300,"&gt;0"))&gt;0,Reference!$B$119,IF((COUNTIFS($B$5:$B$300,B261,$A$5:$A$300,A261-2,$C$5:$C$300,"Bullpen",$AG$5:$AG$300,"&gt;0") + COUNTIFS($B$5:$B$300,B261,$A$5:$A$300,A261-2,$C$5:$C$300,"Game",$AG$5:$AG$300,"&gt;0"))&gt;0,Reference!$B$120,1)))</f>
        <v/>
      </c>
      <c r="AG261" s="30" t="str">
        <f>IF(AND(OR(I261="",O261="",P261=""),OR(R261="",W261=""),OR(X261="",AC261="")),"",IF(OR(I261="",O261="",P261=""),0,I261*O261*P261)+IF(OR(R261="",W261=""),0,R261*IFERROR(INDEX(Reference!$B$61:$B$62,MATCH("Bullpen",Reference!$A$61:$A$62,0)),0)*W261)+IF(OR(X261="",AC261=""),0,X261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261))</f>
        <v/>
      </c>
    </row>
    <row r="262" spans="1:33" x14ac:dyDescent="0.3">
      <c r="A262" s="35"/>
      <c r="B262" s="31"/>
      <c r="C262" s="31"/>
      <c r="D262" s="31"/>
      <c r="E262" s="34"/>
      <c r="F262" s="34"/>
      <c r="G262" s="30" t="str">
        <f t="shared" si="36"/>
        <v/>
      </c>
      <c r="H262" s="31"/>
      <c r="I262" s="32" t="str">
        <f>IF(H262&lt;&gt;"",H262,IF(G262="","",ROUND(G262*IFERROR(INDEX(Reference!$B$44:$B$50,MATCH(C262,Reference!$A$44:$A$50,0)),0),0)))</f>
        <v/>
      </c>
      <c r="J262" s="31"/>
      <c r="K262" s="31"/>
      <c r="L262" s="32" t="str">
        <f t="shared" si="37"/>
        <v/>
      </c>
      <c r="M262" s="32" t="str">
        <f>IFERROR(INDEX(Roster!$D$5:$D$40,MATCH(B262,Roster!$A$5:$A$40,0)),"")</f>
        <v/>
      </c>
      <c r="N262" s="32" t="str">
        <f t="shared" si="38"/>
        <v/>
      </c>
      <c r="O262" s="32" t="str">
        <f>IF(OR(C262="Bullpen",C262="Game"),IFERROR(INDEX(Reference!$B$61:$B$62,MATCH(C262,Reference!$A$61:$A$62,0)),""),IF(D262="","",IF(AE262&gt;1,((IF(1&lt;=AE262,(AE262-1+3)*(INDEX(Reference!$B$6:$B$11,MIN(5,MATCH(MAX(Reference!$A$6,MIN(Reference!$A$11,MIN(D262,90))),Reference!$A$6:$A$11,1)))+(MAX(Reference!$A$6,MIN(Reference!$A$11,MIN(D262,90)))-INDEX(Reference!$A$6:$A$11,MIN(5,MATCH(MAX(Reference!$A$6,MIN(Reference!$A$11,MIN(D262,90))),Reference!$A$6:$A$11,1))))*(INDEX(Reference!$B$6:$B$11,MIN(5,MATCH(MAX(Reference!$A$6,MIN(Reference!$A$11,MIN(D262,90))),Reference!$A$6:$A$11,1))+1)-INDEX(Reference!$B$6:$B$11,MIN(5,MATCH(MAX(Reference!$A$6,MIN(Reference!$A$11,MIN(D262,90))),Reference!$A$6:$A$11,1))))/(INDEX(Reference!$A$6:$A$11,MIN(5,MATCH(MAX(Reference!$A$6,MIN(Reference!$A$11,MIN(D262,90))),Reference!$A$6:$A$11,1))+1)-INDEX(Reference!$A$6:$A$11,MIN(5,MATCH(MAX(Reference!$A$6,MIN(Reference!$A$11,MIN(D262,90))),Reference!$A$6:$A$11,1))))),0)+IF(2&lt;=AE262,(AE262-2+3)*(INDEX(Reference!$B$6:$B$11,MIN(5,MATCH(MAX(Reference!$A$6,MIN(Reference!$A$11,MIN(D262,120))),Reference!$A$6:$A$11,1)))+(MAX(Reference!$A$6,MIN(Reference!$A$11,MIN(D262,120)))-INDEX(Reference!$A$6:$A$11,MIN(5,MATCH(MAX(Reference!$A$6,MIN(Reference!$A$11,MIN(D262,120))),Reference!$A$6:$A$11,1))))*(INDEX(Reference!$B$6:$B$11,MIN(5,MATCH(MAX(Reference!$A$6,MIN(Reference!$A$11,MIN(D262,120))),Reference!$A$6:$A$11,1))+1)-INDEX(Reference!$B$6:$B$11,MIN(5,MATCH(MAX(Reference!$A$6,MIN(Reference!$A$11,MIN(D262,120))),Reference!$A$6:$A$11,1))))/(INDEX(Reference!$A$6:$A$11,MIN(5,MATCH(MAX(Reference!$A$6,MIN(Reference!$A$11,MIN(D262,120))),Reference!$A$6:$A$11,1))+1)-INDEX(Reference!$A$6:$A$11,MIN(5,MATCH(MAX(Reference!$A$6,MIN(Reference!$A$11,MIN(D262,120))),Reference!$A$6:$A$11,1))))),0)+IF(3&lt;=AE262,(AE262-3+3)*(INDEX(Reference!$B$6:$B$11,MIN(5,MATCH(MAX(Reference!$A$6,MIN(Reference!$A$11,MIN(D262,150))),Reference!$A$6:$A$11,1)))+(MAX(Reference!$A$6,MIN(Reference!$A$11,MIN(D262,150)))-INDEX(Reference!$A$6:$A$11,MIN(5,MATCH(MAX(Reference!$A$6,MIN(Reference!$A$11,MIN(D262,150))),Reference!$A$6:$A$11,1))))*(INDEX(Reference!$B$6:$B$11,MIN(5,MATCH(MAX(Reference!$A$6,MIN(Reference!$A$11,MIN(D262,150))),Reference!$A$6:$A$11,1))+1)-INDEX(Reference!$B$6:$B$11,MIN(5,MATCH(MAX(Reference!$A$6,MIN(Reference!$A$11,MIN(D262,150))),Reference!$A$6:$A$11,1))))/(INDEX(Reference!$A$6:$A$11,MIN(5,MATCH(MAX(Reference!$A$6,MIN(Reference!$A$11,MIN(D262,150))),Reference!$A$6:$A$11,1))+1)-INDEX(Reference!$A$6:$A$11,MIN(5,MATCH(MAX(Reference!$A$6,MIN(Reference!$A$11,MIN(D262,150))),Reference!$A$6:$A$11,1))))),0)+IF(4&lt;=AE262,(AE262-4+3)*(INDEX(Reference!$B$6:$B$11,MIN(5,MATCH(MAX(Reference!$A$6,MIN(Reference!$A$11,MIN(D262,180))),Reference!$A$6:$A$11,1)))+(MAX(Reference!$A$6,MIN(Reference!$A$11,MIN(D262,180)))-INDEX(Reference!$A$6:$A$11,MIN(5,MATCH(MAX(Reference!$A$6,MIN(Reference!$A$11,MIN(D262,180))),Reference!$A$6:$A$11,1))))*(INDEX(Reference!$B$6:$B$11,MIN(5,MATCH(MAX(Reference!$A$6,MIN(Reference!$A$11,MIN(D262,180))),Reference!$A$6:$A$11,1))+1)-INDEX(Reference!$B$6:$B$11,MIN(5,MATCH(MAX(Reference!$A$6,MIN(Reference!$A$11,MIN(D262,180))),Reference!$A$6:$A$11,1))))/(INDEX(Reference!$A$6:$A$11,MIN(5,MATCH(MAX(Reference!$A$6,MIN(Reference!$A$11,MIN(D262,180))),Reference!$A$6:$A$11,1))+1)-INDEX(Reference!$A$6:$A$11,MIN(5,MATCH(MAX(Reference!$A$6,MIN(Reference!$A$11,MIN(D262,180))),Reference!$A$6:$A$11,1))))),0)+IF(5&lt;=AE262,(AE262-5+3)*(INDEX(Reference!$B$6:$B$11,MIN(5,MATCH(MAX(Reference!$A$6,MIN(Reference!$A$11,MIN(D262,210))),Reference!$A$6:$A$11,1)))+(MAX(Reference!$A$6,MIN(Reference!$A$11,MIN(D262,210)))-INDEX(Reference!$A$6:$A$11,MIN(5,MATCH(MAX(Reference!$A$6,MIN(Reference!$A$11,MIN(D262,210))),Reference!$A$6:$A$11,1))))*(INDEX(Reference!$B$6:$B$11,MIN(5,MATCH(MAX(Reference!$A$6,MIN(Reference!$A$11,MIN(D262,210))),Reference!$A$6:$A$11,1))+1)-INDEX(Reference!$B$6:$B$11,MIN(5,MATCH(MAX(Reference!$A$6,MIN(Reference!$A$11,MIN(D262,210))),Reference!$A$6:$A$11,1))))/(INDEX(Reference!$A$6:$A$11,MIN(5,MATCH(MAX(Reference!$A$6,MIN(Reference!$A$11,MIN(D262,210))),Reference!$A$6:$A$11,1))+1)-INDEX(Reference!$A$6:$A$11,MIN(5,MATCH(MAX(Reference!$A$6,MIN(Reference!$A$11,MIN(D262,210))),Reference!$A$6:$A$11,1))))),0)+IF(6&lt;=AE262,(AE262-6+3)*(INDEX(Reference!$B$6:$B$11,MIN(5,MATCH(MAX(Reference!$A$6,MIN(Reference!$A$11,MIN(D262,240))),Reference!$A$6:$A$11,1)))+(MAX(Reference!$A$6,MIN(Reference!$A$11,MIN(D262,240)))-INDEX(Reference!$A$6:$A$11,MIN(5,MATCH(MAX(Reference!$A$6,MIN(Reference!$A$11,MIN(D262,240))),Reference!$A$6:$A$11,1))))*(INDEX(Reference!$B$6:$B$11,MIN(5,MATCH(MAX(Reference!$A$6,MIN(Reference!$A$11,MIN(D262,240))),Reference!$A$6:$A$11,1))+1)-INDEX(Reference!$B$6:$B$11,MIN(5,MATCH(MAX(Reference!$A$6,MIN(Reference!$A$11,MIN(D262,240))),Reference!$A$6:$A$11,1))))/(INDEX(Reference!$A$6:$A$11,MIN(5,MATCH(MAX(Reference!$A$6,MIN(Reference!$A$11,MIN(D262,240))),Reference!$A$6:$A$11,1))+1)-INDEX(Reference!$A$6:$A$11,MIN(5,MATCH(MAX(Reference!$A$6,MIN(Reference!$A$11,MIN(D262,240))),Reference!$A$6:$A$11,1))))),0)+IF(7&lt;=AE262,(AE262-7+3)*(INDEX(Reference!$B$6:$B$11,MIN(5,MATCH(MAX(Reference!$A$6,MIN(Reference!$A$11,MIN(D262,270))),Reference!$A$6:$A$11,1)))+(MAX(Reference!$A$6,MIN(Reference!$A$11,MIN(D262,270)))-INDEX(Reference!$A$6:$A$11,MIN(5,MATCH(MAX(Reference!$A$6,MIN(Reference!$A$11,MIN(D262,270))),Reference!$A$6:$A$11,1))))*(INDEX(Reference!$B$6:$B$11,MIN(5,MATCH(MAX(Reference!$A$6,MIN(Reference!$A$11,MIN(D262,270))),Reference!$A$6:$A$11,1))+1)-INDEX(Reference!$B$6:$B$11,MIN(5,MATCH(MAX(Reference!$A$6,MIN(Reference!$A$11,MIN(D262,270))),Reference!$A$6:$A$11,1))))/(INDEX(Reference!$A$6:$A$11,MIN(5,MATCH(MAX(Reference!$A$6,MIN(Reference!$A$11,MIN(D262,270))),Reference!$A$6:$A$11,1))+1)-INDEX(Reference!$A$6:$A$11,MIN(5,MATCH(MAX(Reference!$A$6,MIN(Reference!$A$11,MIN(D262,270))),Reference!$A$6:$A$11,1))))),0)+IF(8&lt;=AE262,(AE262-8+3)*(INDEX(Reference!$B$6:$B$11,MIN(5,MATCH(MAX(Reference!$A$6,MIN(Reference!$A$11,MIN(D262,300))),Reference!$A$6:$A$11,1)))+(MAX(Reference!$A$6,MIN(Reference!$A$11,MIN(D262,300)))-INDEX(Reference!$A$6:$A$11,MIN(5,MATCH(MAX(Reference!$A$6,MIN(Reference!$A$11,MIN(D262,300))),Reference!$A$6:$A$11,1))))*(INDEX(Reference!$B$6:$B$11,MIN(5,MATCH(MAX(Reference!$A$6,MIN(Reference!$A$11,MIN(D262,300))),Reference!$A$6:$A$11,1))+1)-INDEX(Reference!$B$6:$B$11,MIN(5,MATCH(MAX(Reference!$A$6,MIN(Reference!$A$11,MIN(D262,300))),Reference!$A$6:$A$11,1))))/(INDEX(Reference!$A$6:$A$11,MIN(5,MATCH(MAX(Reference!$A$6,MIN(Reference!$A$11,MIN(D262,300))),Reference!$A$6:$A$11,1))+1)-INDEX(Reference!$A$6:$A$11,MIN(5,MATCH(MAX(Reference!$A$6,MIN(Reference!$A$11,MIN(D262,300))),Reference!$A$6:$A$11,1))))),0))/(AE262*(AE262+5)/2)),(INDEX(Reference!$B$6:$B$11,MIN(5,MATCH(MAX(Reference!$A$6,MIN(Reference!$A$11,D262)),Reference!$A$6:$A$11,1)))+(MAX(Reference!$A$6,MIN(Reference!$A$11,D262))-INDEX(Reference!$A$6:$A$11,MIN(5,MATCH(MAX(Reference!$A$6,MIN(Reference!$A$11,D262)),Reference!$A$6:$A$11,1))))*(INDEX(Reference!$B$6:$B$11,MIN(5,MATCH(MAX(Reference!$A$6,MIN(Reference!$A$11,D262)),Reference!$A$6:$A$11,1))+1)-INDEX(Reference!$B$6:$B$11,MIN(5,MATCH(MAX(Reference!$A$6,MIN(Reference!$A$11,D262)),Reference!$A$6:$A$11,1))))/(INDEX(Reference!$A$6:$A$11,MIN(5,MATCH(MAX(Reference!$A$6,MIN(Reference!$A$11,D262)),Reference!$A$6:$A$11,1))+1)-INDEX(Reference!$A$6:$A$11,MIN(5,MATCH(MAX(Reference!$A$6,MIN(Reference!$A$11,D262)),Reference!$A$6:$A$11,1))))))))</f>
        <v/>
      </c>
      <c r="P262" s="32" t="str">
        <f>IF(N262="","",VLOOKUP(MAX(N262,0),Reference!$A$17:$B$20,2,TRUE()))</f>
        <v/>
      </c>
      <c r="Q262" s="32" t="str">
        <f t="shared" si="39"/>
        <v/>
      </c>
      <c r="R262" s="31"/>
      <c r="S262" s="31"/>
      <c r="T262" s="31"/>
      <c r="U262" s="32" t="str">
        <f t="shared" si="40"/>
        <v/>
      </c>
      <c r="V262" s="32" t="str">
        <f t="shared" si="41"/>
        <v/>
      </c>
      <c r="W262" s="32" t="str">
        <f>IF(V262="","",VLOOKUP(MAX(V262,0),Reference!$A$17:$B$20,2,TRUE()))</f>
        <v/>
      </c>
      <c r="X262" s="31"/>
      <c r="Y262" s="31"/>
      <c r="Z262" s="31"/>
      <c r="AA262" s="32" t="str">
        <f t="shared" si="42"/>
        <v/>
      </c>
      <c r="AB262" s="32" t="str">
        <f t="shared" si="43"/>
        <v/>
      </c>
      <c r="AC262" s="32" t="str">
        <f>IF(AB262="","",VLOOKUP(MAX(AB262,0),Reference!$A$17:$B$20,2,TRUE()))</f>
        <v/>
      </c>
      <c r="AD262" s="31"/>
      <c r="AE262">
        <f t="shared" si="44"/>
        <v>1</v>
      </c>
      <c r="AF262" s="33" t="str">
        <f>IF(OR(A262="",B262="",AND(C262&lt;&gt;"Bullpen",C262&lt;&gt;"Game")),"",IF((COUNTIFS($B$5:$B$300,B262,$A$5:$A$300,A262-1,$C$5:$C$300,"Bullpen",$AG$5:$AG$300,"&gt;0") + COUNTIFS($B$5:$B$300,B262,$A$5:$A$300,A262-1,$C$5:$C$300,"Game",$AG$5:$AG$300,"&gt;0"))&gt;0,Reference!$B$119,IF((COUNTIFS($B$5:$B$300,B262,$A$5:$A$300,A262-2,$C$5:$C$300,"Bullpen",$AG$5:$AG$300,"&gt;0") + COUNTIFS($B$5:$B$300,B262,$A$5:$A$300,A262-2,$C$5:$C$300,"Game",$AG$5:$AG$300,"&gt;0"))&gt;0,Reference!$B$120,1)))</f>
        <v/>
      </c>
      <c r="AG262" s="30" t="str">
        <f>IF(AND(OR(I262="",O262="",P262=""),OR(R262="",W262=""),OR(X262="",AC262="")),"",IF(OR(I262="",O262="",P262=""),0,I262*O262*P262)+IF(OR(R262="",W262=""),0,R262*IFERROR(INDEX(Reference!$B$61:$B$62,MATCH("Bullpen",Reference!$A$61:$A$62,0)),0)*W262)+IF(OR(X262="",AC262=""),0,X262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262))</f>
        <v/>
      </c>
    </row>
    <row r="263" spans="1:33" x14ac:dyDescent="0.3">
      <c r="A263" s="35"/>
      <c r="B263" s="31"/>
      <c r="C263" s="31"/>
      <c r="D263" s="31"/>
      <c r="E263" s="34"/>
      <c r="F263" s="34"/>
      <c r="G263" s="30" t="str">
        <f t="shared" si="36"/>
        <v/>
      </c>
      <c r="H263" s="31"/>
      <c r="I263" s="32" t="str">
        <f>IF(H263&lt;&gt;"",H263,IF(G263="","",ROUND(G263*IFERROR(INDEX(Reference!$B$44:$B$50,MATCH(C263,Reference!$A$44:$A$50,0)),0),0)))</f>
        <v/>
      </c>
      <c r="J263" s="31"/>
      <c r="K263" s="31"/>
      <c r="L263" s="32" t="str">
        <f t="shared" si="37"/>
        <v/>
      </c>
      <c r="M263" s="32" t="str">
        <f>IFERROR(INDEX(Roster!$D$5:$D$40,MATCH(B263,Roster!$A$5:$A$40,0)),"")</f>
        <v/>
      </c>
      <c r="N263" s="32" t="str">
        <f t="shared" si="38"/>
        <v/>
      </c>
      <c r="O263" s="32" t="str">
        <f>IF(OR(C263="Bullpen",C263="Game"),IFERROR(INDEX(Reference!$B$61:$B$62,MATCH(C263,Reference!$A$61:$A$62,0)),""),IF(D263="","",IF(AE263&gt;1,((IF(1&lt;=AE263,(AE263-1+3)*(INDEX(Reference!$B$6:$B$11,MIN(5,MATCH(MAX(Reference!$A$6,MIN(Reference!$A$11,MIN(D263,90))),Reference!$A$6:$A$11,1)))+(MAX(Reference!$A$6,MIN(Reference!$A$11,MIN(D263,90)))-INDEX(Reference!$A$6:$A$11,MIN(5,MATCH(MAX(Reference!$A$6,MIN(Reference!$A$11,MIN(D263,90))),Reference!$A$6:$A$11,1))))*(INDEX(Reference!$B$6:$B$11,MIN(5,MATCH(MAX(Reference!$A$6,MIN(Reference!$A$11,MIN(D263,90))),Reference!$A$6:$A$11,1))+1)-INDEX(Reference!$B$6:$B$11,MIN(5,MATCH(MAX(Reference!$A$6,MIN(Reference!$A$11,MIN(D263,90))),Reference!$A$6:$A$11,1))))/(INDEX(Reference!$A$6:$A$11,MIN(5,MATCH(MAX(Reference!$A$6,MIN(Reference!$A$11,MIN(D263,90))),Reference!$A$6:$A$11,1))+1)-INDEX(Reference!$A$6:$A$11,MIN(5,MATCH(MAX(Reference!$A$6,MIN(Reference!$A$11,MIN(D263,90))),Reference!$A$6:$A$11,1))))),0)+IF(2&lt;=AE263,(AE263-2+3)*(INDEX(Reference!$B$6:$B$11,MIN(5,MATCH(MAX(Reference!$A$6,MIN(Reference!$A$11,MIN(D263,120))),Reference!$A$6:$A$11,1)))+(MAX(Reference!$A$6,MIN(Reference!$A$11,MIN(D263,120)))-INDEX(Reference!$A$6:$A$11,MIN(5,MATCH(MAX(Reference!$A$6,MIN(Reference!$A$11,MIN(D263,120))),Reference!$A$6:$A$11,1))))*(INDEX(Reference!$B$6:$B$11,MIN(5,MATCH(MAX(Reference!$A$6,MIN(Reference!$A$11,MIN(D263,120))),Reference!$A$6:$A$11,1))+1)-INDEX(Reference!$B$6:$B$11,MIN(5,MATCH(MAX(Reference!$A$6,MIN(Reference!$A$11,MIN(D263,120))),Reference!$A$6:$A$11,1))))/(INDEX(Reference!$A$6:$A$11,MIN(5,MATCH(MAX(Reference!$A$6,MIN(Reference!$A$11,MIN(D263,120))),Reference!$A$6:$A$11,1))+1)-INDEX(Reference!$A$6:$A$11,MIN(5,MATCH(MAX(Reference!$A$6,MIN(Reference!$A$11,MIN(D263,120))),Reference!$A$6:$A$11,1))))),0)+IF(3&lt;=AE263,(AE263-3+3)*(INDEX(Reference!$B$6:$B$11,MIN(5,MATCH(MAX(Reference!$A$6,MIN(Reference!$A$11,MIN(D263,150))),Reference!$A$6:$A$11,1)))+(MAX(Reference!$A$6,MIN(Reference!$A$11,MIN(D263,150)))-INDEX(Reference!$A$6:$A$11,MIN(5,MATCH(MAX(Reference!$A$6,MIN(Reference!$A$11,MIN(D263,150))),Reference!$A$6:$A$11,1))))*(INDEX(Reference!$B$6:$B$11,MIN(5,MATCH(MAX(Reference!$A$6,MIN(Reference!$A$11,MIN(D263,150))),Reference!$A$6:$A$11,1))+1)-INDEX(Reference!$B$6:$B$11,MIN(5,MATCH(MAX(Reference!$A$6,MIN(Reference!$A$11,MIN(D263,150))),Reference!$A$6:$A$11,1))))/(INDEX(Reference!$A$6:$A$11,MIN(5,MATCH(MAX(Reference!$A$6,MIN(Reference!$A$11,MIN(D263,150))),Reference!$A$6:$A$11,1))+1)-INDEX(Reference!$A$6:$A$11,MIN(5,MATCH(MAX(Reference!$A$6,MIN(Reference!$A$11,MIN(D263,150))),Reference!$A$6:$A$11,1))))),0)+IF(4&lt;=AE263,(AE263-4+3)*(INDEX(Reference!$B$6:$B$11,MIN(5,MATCH(MAX(Reference!$A$6,MIN(Reference!$A$11,MIN(D263,180))),Reference!$A$6:$A$11,1)))+(MAX(Reference!$A$6,MIN(Reference!$A$11,MIN(D263,180)))-INDEX(Reference!$A$6:$A$11,MIN(5,MATCH(MAX(Reference!$A$6,MIN(Reference!$A$11,MIN(D263,180))),Reference!$A$6:$A$11,1))))*(INDEX(Reference!$B$6:$B$11,MIN(5,MATCH(MAX(Reference!$A$6,MIN(Reference!$A$11,MIN(D263,180))),Reference!$A$6:$A$11,1))+1)-INDEX(Reference!$B$6:$B$11,MIN(5,MATCH(MAX(Reference!$A$6,MIN(Reference!$A$11,MIN(D263,180))),Reference!$A$6:$A$11,1))))/(INDEX(Reference!$A$6:$A$11,MIN(5,MATCH(MAX(Reference!$A$6,MIN(Reference!$A$11,MIN(D263,180))),Reference!$A$6:$A$11,1))+1)-INDEX(Reference!$A$6:$A$11,MIN(5,MATCH(MAX(Reference!$A$6,MIN(Reference!$A$11,MIN(D263,180))),Reference!$A$6:$A$11,1))))),0)+IF(5&lt;=AE263,(AE263-5+3)*(INDEX(Reference!$B$6:$B$11,MIN(5,MATCH(MAX(Reference!$A$6,MIN(Reference!$A$11,MIN(D263,210))),Reference!$A$6:$A$11,1)))+(MAX(Reference!$A$6,MIN(Reference!$A$11,MIN(D263,210)))-INDEX(Reference!$A$6:$A$11,MIN(5,MATCH(MAX(Reference!$A$6,MIN(Reference!$A$11,MIN(D263,210))),Reference!$A$6:$A$11,1))))*(INDEX(Reference!$B$6:$B$11,MIN(5,MATCH(MAX(Reference!$A$6,MIN(Reference!$A$11,MIN(D263,210))),Reference!$A$6:$A$11,1))+1)-INDEX(Reference!$B$6:$B$11,MIN(5,MATCH(MAX(Reference!$A$6,MIN(Reference!$A$11,MIN(D263,210))),Reference!$A$6:$A$11,1))))/(INDEX(Reference!$A$6:$A$11,MIN(5,MATCH(MAX(Reference!$A$6,MIN(Reference!$A$11,MIN(D263,210))),Reference!$A$6:$A$11,1))+1)-INDEX(Reference!$A$6:$A$11,MIN(5,MATCH(MAX(Reference!$A$6,MIN(Reference!$A$11,MIN(D263,210))),Reference!$A$6:$A$11,1))))),0)+IF(6&lt;=AE263,(AE263-6+3)*(INDEX(Reference!$B$6:$B$11,MIN(5,MATCH(MAX(Reference!$A$6,MIN(Reference!$A$11,MIN(D263,240))),Reference!$A$6:$A$11,1)))+(MAX(Reference!$A$6,MIN(Reference!$A$11,MIN(D263,240)))-INDEX(Reference!$A$6:$A$11,MIN(5,MATCH(MAX(Reference!$A$6,MIN(Reference!$A$11,MIN(D263,240))),Reference!$A$6:$A$11,1))))*(INDEX(Reference!$B$6:$B$11,MIN(5,MATCH(MAX(Reference!$A$6,MIN(Reference!$A$11,MIN(D263,240))),Reference!$A$6:$A$11,1))+1)-INDEX(Reference!$B$6:$B$11,MIN(5,MATCH(MAX(Reference!$A$6,MIN(Reference!$A$11,MIN(D263,240))),Reference!$A$6:$A$11,1))))/(INDEX(Reference!$A$6:$A$11,MIN(5,MATCH(MAX(Reference!$A$6,MIN(Reference!$A$11,MIN(D263,240))),Reference!$A$6:$A$11,1))+1)-INDEX(Reference!$A$6:$A$11,MIN(5,MATCH(MAX(Reference!$A$6,MIN(Reference!$A$11,MIN(D263,240))),Reference!$A$6:$A$11,1))))),0)+IF(7&lt;=AE263,(AE263-7+3)*(INDEX(Reference!$B$6:$B$11,MIN(5,MATCH(MAX(Reference!$A$6,MIN(Reference!$A$11,MIN(D263,270))),Reference!$A$6:$A$11,1)))+(MAX(Reference!$A$6,MIN(Reference!$A$11,MIN(D263,270)))-INDEX(Reference!$A$6:$A$11,MIN(5,MATCH(MAX(Reference!$A$6,MIN(Reference!$A$11,MIN(D263,270))),Reference!$A$6:$A$11,1))))*(INDEX(Reference!$B$6:$B$11,MIN(5,MATCH(MAX(Reference!$A$6,MIN(Reference!$A$11,MIN(D263,270))),Reference!$A$6:$A$11,1))+1)-INDEX(Reference!$B$6:$B$11,MIN(5,MATCH(MAX(Reference!$A$6,MIN(Reference!$A$11,MIN(D263,270))),Reference!$A$6:$A$11,1))))/(INDEX(Reference!$A$6:$A$11,MIN(5,MATCH(MAX(Reference!$A$6,MIN(Reference!$A$11,MIN(D263,270))),Reference!$A$6:$A$11,1))+1)-INDEX(Reference!$A$6:$A$11,MIN(5,MATCH(MAX(Reference!$A$6,MIN(Reference!$A$11,MIN(D263,270))),Reference!$A$6:$A$11,1))))),0)+IF(8&lt;=AE263,(AE263-8+3)*(INDEX(Reference!$B$6:$B$11,MIN(5,MATCH(MAX(Reference!$A$6,MIN(Reference!$A$11,MIN(D263,300))),Reference!$A$6:$A$11,1)))+(MAX(Reference!$A$6,MIN(Reference!$A$11,MIN(D263,300)))-INDEX(Reference!$A$6:$A$11,MIN(5,MATCH(MAX(Reference!$A$6,MIN(Reference!$A$11,MIN(D263,300))),Reference!$A$6:$A$11,1))))*(INDEX(Reference!$B$6:$B$11,MIN(5,MATCH(MAX(Reference!$A$6,MIN(Reference!$A$11,MIN(D263,300))),Reference!$A$6:$A$11,1))+1)-INDEX(Reference!$B$6:$B$11,MIN(5,MATCH(MAX(Reference!$A$6,MIN(Reference!$A$11,MIN(D263,300))),Reference!$A$6:$A$11,1))))/(INDEX(Reference!$A$6:$A$11,MIN(5,MATCH(MAX(Reference!$A$6,MIN(Reference!$A$11,MIN(D263,300))),Reference!$A$6:$A$11,1))+1)-INDEX(Reference!$A$6:$A$11,MIN(5,MATCH(MAX(Reference!$A$6,MIN(Reference!$A$11,MIN(D263,300))),Reference!$A$6:$A$11,1))))),0))/(AE263*(AE263+5)/2)),(INDEX(Reference!$B$6:$B$11,MIN(5,MATCH(MAX(Reference!$A$6,MIN(Reference!$A$11,D263)),Reference!$A$6:$A$11,1)))+(MAX(Reference!$A$6,MIN(Reference!$A$11,D263))-INDEX(Reference!$A$6:$A$11,MIN(5,MATCH(MAX(Reference!$A$6,MIN(Reference!$A$11,D263)),Reference!$A$6:$A$11,1))))*(INDEX(Reference!$B$6:$B$11,MIN(5,MATCH(MAX(Reference!$A$6,MIN(Reference!$A$11,D263)),Reference!$A$6:$A$11,1))+1)-INDEX(Reference!$B$6:$B$11,MIN(5,MATCH(MAX(Reference!$A$6,MIN(Reference!$A$11,D263)),Reference!$A$6:$A$11,1))))/(INDEX(Reference!$A$6:$A$11,MIN(5,MATCH(MAX(Reference!$A$6,MIN(Reference!$A$11,D263)),Reference!$A$6:$A$11,1))+1)-INDEX(Reference!$A$6:$A$11,MIN(5,MATCH(MAX(Reference!$A$6,MIN(Reference!$A$11,D263)),Reference!$A$6:$A$11,1))))))))</f>
        <v/>
      </c>
      <c r="P263" s="32" t="str">
        <f>IF(N263="","",VLOOKUP(MAX(N263,0),Reference!$A$17:$B$20,2,TRUE()))</f>
        <v/>
      </c>
      <c r="Q263" s="32" t="str">
        <f t="shared" si="39"/>
        <v/>
      </c>
      <c r="R263" s="31"/>
      <c r="S263" s="31"/>
      <c r="T263" s="31"/>
      <c r="U263" s="32" t="str">
        <f t="shared" si="40"/>
        <v/>
      </c>
      <c r="V263" s="32" t="str">
        <f t="shared" si="41"/>
        <v/>
      </c>
      <c r="W263" s="32" t="str">
        <f>IF(V263="","",VLOOKUP(MAX(V263,0),Reference!$A$17:$B$20,2,TRUE()))</f>
        <v/>
      </c>
      <c r="X263" s="31"/>
      <c r="Y263" s="31"/>
      <c r="Z263" s="31"/>
      <c r="AA263" s="32" t="str">
        <f t="shared" si="42"/>
        <v/>
      </c>
      <c r="AB263" s="32" t="str">
        <f t="shared" si="43"/>
        <v/>
      </c>
      <c r="AC263" s="32" t="str">
        <f>IF(AB263="","",VLOOKUP(MAX(AB263,0),Reference!$A$17:$B$20,2,TRUE()))</f>
        <v/>
      </c>
      <c r="AD263" s="31"/>
      <c r="AE263">
        <f t="shared" si="44"/>
        <v>1</v>
      </c>
      <c r="AF263" s="33" t="str">
        <f>IF(OR(A263="",B263="",AND(C263&lt;&gt;"Bullpen",C263&lt;&gt;"Game")),"",IF((COUNTIFS($B$5:$B$300,B263,$A$5:$A$300,A263-1,$C$5:$C$300,"Bullpen",$AG$5:$AG$300,"&gt;0") + COUNTIFS($B$5:$B$300,B263,$A$5:$A$300,A263-1,$C$5:$C$300,"Game",$AG$5:$AG$300,"&gt;0"))&gt;0,Reference!$B$119,IF((COUNTIFS($B$5:$B$300,B263,$A$5:$A$300,A263-2,$C$5:$C$300,"Bullpen",$AG$5:$AG$300,"&gt;0") + COUNTIFS($B$5:$B$300,B263,$A$5:$A$300,A263-2,$C$5:$C$300,"Game",$AG$5:$AG$300,"&gt;0"))&gt;0,Reference!$B$120,1)))</f>
        <v/>
      </c>
      <c r="AG263" s="30" t="str">
        <f>IF(AND(OR(I263="",O263="",P263=""),OR(R263="",W263=""),OR(X263="",AC263="")),"",IF(OR(I263="",O263="",P263=""),0,I263*O263*P263)+IF(OR(R263="",W263=""),0,R263*IFERROR(INDEX(Reference!$B$61:$B$62,MATCH("Bullpen",Reference!$A$61:$A$62,0)),0)*W263)+IF(OR(X263="",AC263=""),0,X263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263))</f>
        <v/>
      </c>
    </row>
    <row r="264" spans="1:33" x14ac:dyDescent="0.3">
      <c r="A264" s="35"/>
      <c r="B264" s="31"/>
      <c r="C264" s="31"/>
      <c r="D264" s="31"/>
      <c r="E264" s="34"/>
      <c r="F264" s="34"/>
      <c r="G264" s="30" t="str">
        <f t="shared" si="36"/>
        <v/>
      </c>
      <c r="H264" s="31"/>
      <c r="I264" s="32" t="str">
        <f>IF(H264&lt;&gt;"",H264,IF(G264="","",ROUND(G264*IFERROR(INDEX(Reference!$B$44:$B$50,MATCH(C264,Reference!$A$44:$A$50,0)),0),0)))</f>
        <v/>
      </c>
      <c r="J264" s="31"/>
      <c r="K264" s="31"/>
      <c r="L264" s="32" t="str">
        <f t="shared" si="37"/>
        <v/>
      </c>
      <c r="M264" s="32" t="str">
        <f>IFERROR(INDEX(Roster!$D$5:$D$40,MATCH(B264,Roster!$A$5:$A$40,0)),"")</f>
        <v/>
      </c>
      <c r="N264" s="32" t="str">
        <f t="shared" si="38"/>
        <v/>
      </c>
      <c r="O264" s="32" t="str">
        <f>IF(OR(C264="Bullpen",C264="Game"),IFERROR(INDEX(Reference!$B$61:$B$62,MATCH(C264,Reference!$A$61:$A$62,0)),""),IF(D264="","",IF(AE264&gt;1,((IF(1&lt;=AE264,(AE264-1+3)*(INDEX(Reference!$B$6:$B$11,MIN(5,MATCH(MAX(Reference!$A$6,MIN(Reference!$A$11,MIN(D264,90))),Reference!$A$6:$A$11,1)))+(MAX(Reference!$A$6,MIN(Reference!$A$11,MIN(D264,90)))-INDEX(Reference!$A$6:$A$11,MIN(5,MATCH(MAX(Reference!$A$6,MIN(Reference!$A$11,MIN(D264,90))),Reference!$A$6:$A$11,1))))*(INDEX(Reference!$B$6:$B$11,MIN(5,MATCH(MAX(Reference!$A$6,MIN(Reference!$A$11,MIN(D264,90))),Reference!$A$6:$A$11,1))+1)-INDEX(Reference!$B$6:$B$11,MIN(5,MATCH(MAX(Reference!$A$6,MIN(Reference!$A$11,MIN(D264,90))),Reference!$A$6:$A$11,1))))/(INDEX(Reference!$A$6:$A$11,MIN(5,MATCH(MAX(Reference!$A$6,MIN(Reference!$A$11,MIN(D264,90))),Reference!$A$6:$A$11,1))+1)-INDEX(Reference!$A$6:$A$11,MIN(5,MATCH(MAX(Reference!$A$6,MIN(Reference!$A$11,MIN(D264,90))),Reference!$A$6:$A$11,1))))),0)+IF(2&lt;=AE264,(AE264-2+3)*(INDEX(Reference!$B$6:$B$11,MIN(5,MATCH(MAX(Reference!$A$6,MIN(Reference!$A$11,MIN(D264,120))),Reference!$A$6:$A$11,1)))+(MAX(Reference!$A$6,MIN(Reference!$A$11,MIN(D264,120)))-INDEX(Reference!$A$6:$A$11,MIN(5,MATCH(MAX(Reference!$A$6,MIN(Reference!$A$11,MIN(D264,120))),Reference!$A$6:$A$11,1))))*(INDEX(Reference!$B$6:$B$11,MIN(5,MATCH(MAX(Reference!$A$6,MIN(Reference!$A$11,MIN(D264,120))),Reference!$A$6:$A$11,1))+1)-INDEX(Reference!$B$6:$B$11,MIN(5,MATCH(MAX(Reference!$A$6,MIN(Reference!$A$11,MIN(D264,120))),Reference!$A$6:$A$11,1))))/(INDEX(Reference!$A$6:$A$11,MIN(5,MATCH(MAX(Reference!$A$6,MIN(Reference!$A$11,MIN(D264,120))),Reference!$A$6:$A$11,1))+1)-INDEX(Reference!$A$6:$A$11,MIN(5,MATCH(MAX(Reference!$A$6,MIN(Reference!$A$11,MIN(D264,120))),Reference!$A$6:$A$11,1))))),0)+IF(3&lt;=AE264,(AE264-3+3)*(INDEX(Reference!$B$6:$B$11,MIN(5,MATCH(MAX(Reference!$A$6,MIN(Reference!$A$11,MIN(D264,150))),Reference!$A$6:$A$11,1)))+(MAX(Reference!$A$6,MIN(Reference!$A$11,MIN(D264,150)))-INDEX(Reference!$A$6:$A$11,MIN(5,MATCH(MAX(Reference!$A$6,MIN(Reference!$A$11,MIN(D264,150))),Reference!$A$6:$A$11,1))))*(INDEX(Reference!$B$6:$B$11,MIN(5,MATCH(MAX(Reference!$A$6,MIN(Reference!$A$11,MIN(D264,150))),Reference!$A$6:$A$11,1))+1)-INDEX(Reference!$B$6:$B$11,MIN(5,MATCH(MAX(Reference!$A$6,MIN(Reference!$A$11,MIN(D264,150))),Reference!$A$6:$A$11,1))))/(INDEX(Reference!$A$6:$A$11,MIN(5,MATCH(MAX(Reference!$A$6,MIN(Reference!$A$11,MIN(D264,150))),Reference!$A$6:$A$11,1))+1)-INDEX(Reference!$A$6:$A$11,MIN(5,MATCH(MAX(Reference!$A$6,MIN(Reference!$A$11,MIN(D264,150))),Reference!$A$6:$A$11,1))))),0)+IF(4&lt;=AE264,(AE264-4+3)*(INDEX(Reference!$B$6:$B$11,MIN(5,MATCH(MAX(Reference!$A$6,MIN(Reference!$A$11,MIN(D264,180))),Reference!$A$6:$A$11,1)))+(MAX(Reference!$A$6,MIN(Reference!$A$11,MIN(D264,180)))-INDEX(Reference!$A$6:$A$11,MIN(5,MATCH(MAX(Reference!$A$6,MIN(Reference!$A$11,MIN(D264,180))),Reference!$A$6:$A$11,1))))*(INDEX(Reference!$B$6:$B$11,MIN(5,MATCH(MAX(Reference!$A$6,MIN(Reference!$A$11,MIN(D264,180))),Reference!$A$6:$A$11,1))+1)-INDEX(Reference!$B$6:$B$11,MIN(5,MATCH(MAX(Reference!$A$6,MIN(Reference!$A$11,MIN(D264,180))),Reference!$A$6:$A$11,1))))/(INDEX(Reference!$A$6:$A$11,MIN(5,MATCH(MAX(Reference!$A$6,MIN(Reference!$A$11,MIN(D264,180))),Reference!$A$6:$A$11,1))+1)-INDEX(Reference!$A$6:$A$11,MIN(5,MATCH(MAX(Reference!$A$6,MIN(Reference!$A$11,MIN(D264,180))),Reference!$A$6:$A$11,1))))),0)+IF(5&lt;=AE264,(AE264-5+3)*(INDEX(Reference!$B$6:$B$11,MIN(5,MATCH(MAX(Reference!$A$6,MIN(Reference!$A$11,MIN(D264,210))),Reference!$A$6:$A$11,1)))+(MAX(Reference!$A$6,MIN(Reference!$A$11,MIN(D264,210)))-INDEX(Reference!$A$6:$A$11,MIN(5,MATCH(MAX(Reference!$A$6,MIN(Reference!$A$11,MIN(D264,210))),Reference!$A$6:$A$11,1))))*(INDEX(Reference!$B$6:$B$11,MIN(5,MATCH(MAX(Reference!$A$6,MIN(Reference!$A$11,MIN(D264,210))),Reference!$A$6:$A$11,1))+1)-INDEX(Reference!$B$6:$B$11,MIN(5,MATCH(MAX(Reference!$A$6,MIN(Reference!$A$11,MIN(D264,210))),Reference!$A$6:$A$11,1))))/(INDEX(Reference!$A$6:$A$11,MIN(5,MATCH(MAX(Reference!$A$6,MIN(Reference!$A$11,MIN(D264,210))),Reference!$A$6:$A$11,1))+1)-INDEX(Reference!$A$6:$A$11,MIN(5,MATCH(MAX(Reference!$A$6,MIN(Reference!$A$11,MIN(D264,210))),Reference!$A$6:$A$11,1))))),0)+IF(6&lt;=AE264,(AE264-6+3)*(INDEX(Reference!$B$6:$B$11,MIN(5,MATCH(MAX(Reference!$A$6,MIN(Reference!$A$11,MIN(D264,240))),Reference!$A$6:$A$11,1)))+(MAX(Reference!$A$6,MIN(Reference!$A$11,MIN(D264,240)))-INDEX(Reference!$A$6:$A$11,MIN(5,MATCH(MAX(Reference!$A$6,MIN(Reference!$A$11,MIN(D264,240))),Reference!$A$6:$A$11,1))))*(INDEX(Reference!$B$6:$B$11,MIN(5,MATCH(MAX(Reference!$A$6,MIN(Reference!$A$11,MIN(D264,240))),Reference!$A$6:$A$11,1))+1)-INDEX(Reference!$B$6:$B$11,MIN(5,MATCH(MAX(Reference!$A$6,MIN(Reference!$A$11,MIN(D264,240))),Reference!$A$6:$A$11,1))))/(INDEX(Reference!$A$6:$A$11,MIN(5,MATCH(MAX(Reference!$A$6,MIN(Reference!$A$11,MIN(D264,240))),Reference!$A$6:$A$11,1))+1)-INDEX(Reference!$A$6:$A$11,MIN(5,MATCH(MAX(Reference!$A$6,MIN(Reference!$A$11,MIN(D264,240))),Reference!$A$6:$A$11,1))))),0)+IF(7&lt;=AE264,(AE264-7+3)*(INDEX(Reference!$B$6:$B$11,MIN(5,MATCH(MAX(Reference!$A$6,MIN(Reference!$A$11,MIN(D264,270))),Reference!$A$6:$A$11,1)))+(MAX(Reference!$A$6,MIN(Reference!$A$11,MIN(D264,270)))-INDEX(Reference!$A$6:$A$11,MIN(5,MATCH(MAX(Reference!$A$6,MIN(Reference!$A$11,MIN(D264,270))),Reference!$A$6:$A$11,1))))*(INDEX(Reference!$B$6:$B$11,MIN(5,MATCH(MAX(Reference!$A$6,MIN(Reference!$A$11,MIN(D264,270))),Reference!$A$6:$A$11,1))+1)-INDEX(Reference!$B$6:$B$11,MIN(5,MATCH(MAX(Reference!$A$6,MIN(Reference!$A$11,MIN(D264,270))),Reference!$A$6:$A$11,1))))/(INDEX(Reference!$A$6:$A$11,MIN(5,MATCH(MAX(Reference!$A$6,MIN(Reference!$A$11,MIN(D264,270))),Reference!$A$6:$A$11,1))+1)-INDEX(Reference!$A$6:$A$11,MIN(5,MATCH(MAX(Reference!$A$6,MIN(Reference!$A$11,MIN(D264,270))),Reference!$A$6:$A$11,1))))),0)+IF(8&lt;=AE264,(AE264-8+3)*(INDEX(Reference!$B$6:$B$11,MIN(5,MATCH(MAX(Reference!$A$6,MIN(Reference!$A$11,MIN(D264,300))),Reference!$A$6:$A$11,1)))+(MAX(Reference!$A$6,MIN(Reference!$A$11,MIN(D264,300)))-INDEX(Reference!$A$6:$A$11,MIN(5,MATCH(MAX(Reference!$A$6,MIN(Reference!$A$11,MIN(D264,300))),Reference!$A$6:$A$11,1))))*(INDEX(Reference!$B$6:$B$11,MIN(5,MATCH(MAX(Reference!$A$6,MIN(Reference!$A$11,MIN(D264,300))),Reference!$A$6:$A$11,1))+1)-INDEX(Reference!$B$6:$B$11,MIN(5,MATCH(MAX(Reference!$A$6,MIN(Reference!$A$11,MIN(D264,300))),Reference!$A$6:$A$11,1))))/(INDEX(Reference!$A$6:$A$11,MIN(5,MATCH(MAX(Reference!$A$6,MIN(Reference!$A$11,MIN(D264,300))),Reference!$A$6:$A$11,1))+1)-INDEX(Reference!$A$6:$A$11,MIN(5,MATCH(MAX(Reference!$A$6,MIN(Reference!$A$11,MIN(D264,300))),Reference!$A$6:$A$11,1))))),0))/(AE264*(AE264+5)/2)),(INDEX(Reference!$B$6:$B$11,MIN(5,MATCH(MAX(Reference!$A$6,MIN(Reference!$A$11,D264)),Reference!$A$6:$A$11,1)))+(MAX(Reference!$A$6,MIN(Reference!$A$11,D264))-INDEX(Reference!$A$6:$A$11,MIN(5,MATCH(MAX(Reference!$A$6,MIN(Reference!$A$11,D264)),Reference!$A$6:$A$11,1))))*(INDEX(Reference!$B$6:$B$11,MIN(5,MATCH(MAX(Reference!$A$6,MIN(Reference!$A$11,D264)),Reference!$A$6:$A$11,1))+1)-INDEX(Reference!$B$6:$B$11,MIN(5,MATCH(MAX(Reference!$A$6,MIN(Reference!$A$11,D264)),Reference!$A$6:$A$11,1))))/(INDEX(Reference!$A$6:$A$11,MIN(5,MATCH(MAX(Reference!$A$6,MIN(Reference!$A$11,D264)),Reference!$A$6:$A$11,1))+1)-INDEX(Reference!$A$6:$A$11,MIN(5,MATCH(MAX(Reference!$A$6,MIN(Reference!$A$11,D264)),Reference!$A$6:$A$11,1))))))))</f>
        <v/>
      </c>
      <c r="P264" s="32" t="str">
        <f>IF(N264="","",VLOOKUP(MAX(N264,0),Reference!$A$17:$B$20,2,TRUE()))</f>
        <v/>
      </c>
      <c r="Q264" s="32" t="str">
        <f t="shared" si="39"/>
        <v/>
      </c>
      <c r="R264" s="31"/>
      <c r="S264" s="31"/>
      <c r="T264" s="31"/>
      <c r="U264" s="32" t="str">
        <f t="shared" si="40"/>
        <v/>
      </c>
      <c r="V264" s="32" t="str">
        <f t="shared" si="41"/>
        <v/>
      </c>
      <c r="W264" s="32" t="str">
        <f>IF(V264="","",VLOOKUP(MAX(V264,0),Reference!$A$17:$B$20,2,TRUE()))</f>
        <v/>
      </c>
      <c r="X264" s="31"/>
      <c r="Y264" s="31"/>
      <c r="Z264" s="31"/>
      <c r="AA264" s="32" t="str">
        <f t="shared" si="42"/>
        <v/>
      </c>
      <c r="AB264" s="32" t="str">
        <f t="shared" si="43"/>
        <v/>
      </c>
      <c r="AC264" s="32" t="str">
        <f>IF(AB264="","",VLOOKUP(MAX(AB264,0),Reference!$A$17:$B$20,2,TRUE()))</f>
        <v/>
      </c>
      <c r="AD264" s="31"/>
      <c r="AE264">
        <f t="shared" si="44"/>
        <v>1</v>
      </c>
      <c r="AF264" s="33" t="str">
        <f>IF(OR(A264="",B264="",AND(C264&lt;&gt;"Bullpen",C264&lt;&gt;"Game")),"",IF((COUNTIFS($B$5:$B$300,B264,$A$5:$A$300,A264-1,$C$5:$C$300,"Bullpen",$AG$5:$AG$300,"&gt;0") + COUNTIFS($B$5:$B$300,B264,$A$5:$A$300,A264-1,$C$5:$C$300,"Game",$AG$5:$AG$300,"&gt;0"))&gt;0,Reference!$B$119,IF((COUNTIFS($B$5:$B$300,B264,$A$5:$A$300,A264-2,$C$5:$C$300,"Bullpen",$AG$5:$AG$300,"&gt;0") + COUNTIFS($B$5:$B$300,B264,$A$5:$A$300,A264-2,$C$5:$C$300,"Game",$AG$5:$AG$300,"&gt;0"))&gt;0,Reference!$B$120,1)))</f>
        <v/>
      </c>
      <c r="AG264" s="30" t="str">
        <f>IF(AND(OR(I264="",O264="",P264=""),OR(R264="",W264=""),OR(X264="",AC264="")),"",IF(OR(I264="",O264="",P264=""),0,I264*O264*P264)+IF(OR(R264="",W264=""),0,R264*IFERROR(INDEX(Reference!$B$61:$B$62,MATCH("Bullpen",Reference!$A$61:$A$62,0)),0)*W264)+IF(OR(X264="",AC264=""),0,X264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264))</f>
        <v/>
      </c>
    </row>
    <row r="265" spans="1:33" x14ac:dyDescent="0.3">
      <c r="A265" s="35"/>
      <c r="B265" s="31"/>
      <c r="C265" s="31"/>
      <c r="D265" s="31"/>
      <c r="E265" s="34"/>
      <c r="F265" s="34"/>
      <c r="G265" s="30" t="str">
        <f t="shared" si="36"/>
        <v/>
      </c>
      <c r="H265" s="31"/>
      <c r="I265" s="32" t="str">
        <f>IF(H265&lt;&gt;"",H265,IF(G265="","",ROUND(G265*IFERROR(INDEX(Reference!$B$44:$B$50,MATCH(C265,Reference!$A$44:$A$50,0)),0),0)))</f>
        <v/>
      </c>
      <c r="J265" s="31"/>
      <c r="K265" s="31"/>
      <c r="L265" s="32" t="str">
        <f t="shared" si="37"/>
        <v/>
      </c>
      <c r="M265" s="32" t="str">
        <f>IFERROR(INDEX(Roster!$D$5:$D$40,MATCH(B265,Roster!$A$5:$A$40,0)),"")</f>
        <v/>
      </c>
      <c r="N265" s="32" t="str">
        <f t="shared" si="38"/>
        <v/>
      </c>
      <c r="O265" s="32" t="str">
        <f>IF(OR(C265="Bullpen",C265="Game"),IFERROR(INDEX(Reference!$B$61:$B$62,MATCH(C265,Reference!$A$61:$A$62,0)),""),IF(D265="","",IF(AE265&gt;1,((IF(1&lt;=AE265,(AE265-1+3)*(INDEX(Reference!$B$6:$B$11,MIN(5,MATCH(MAX(Reference!$A$6,MIN(Reference!$A$11,MIN(D265,90))),Reference!$A$6:$A$11,1)))+(MAX(Reference!$A$6,MIN(Reference!$A$11,MIN(D265,90)))-INDEX(Reference!$A$6:$A$11,MIN(5,MATCH(MAX(Reference!$A$6,MIN(Reference!$A$11,MIN(D265,90))),Reference!$A$6:$A$11,1))))*(INDEX(Reference!$B$6:$B$11,MIN(5,MATCH(MAX(Reference!$A$6,MIN(Reference!$A$11,MIN(D265,90))),Reference!$A$6:$A$11,1))+1)-INDEX(Reference!$B$6:$B$11,MIN(5,MATCH(MAX(Reference!$A$6,MIN(Reference!$A$11,MIN(D265,90))),Reference!$A$6:$A$11,1))))/(INDEX(Reference!$A$6:$A$11,MIN(5,MATCH(MAX(Reference!$A$6,MIN(Reference!$A$11,MIN(D265,90))),Reference!$A$6:$A$11,1))+1)-INDEX(Reference!$A$6:$A$11,MIN(5,MATCH(MAX(Reference!$A$6,MIN(Reference!$A$11,MIN(D265,90))),Reference!$A$6:$A$11,1))))),0)+IF(2&lt;=AE265,(AE265-2+3)*(INDEX(Reference!$B$6:$B$11,MIN(5,MATCH(MAX(Reference!$A$6,MIN(Reference!$A$11,MIN(D265,120))),Reference!$A$6:$A$11,1)))+(MAX(Reference!$A$6,MIN(Reference!$A$11,MIN(D265,120)))-INDEX(Reference!$A$6:$A$11,MIN(5,MATCH(MAX(Reference!$A$6,MIN(Reference!$A$11,MIN(D265,120))),Reference!$A$6:$A$11,1))))*(INDEX(Reference!$B$6:$B$11,MIN(5,MATCH(MAX(Reference!$A$6,MIN(Reference!$A$11,MIN(D265,120))),Reference!$A$6:$A$11,1))+1)-INDEX(Reference!$B$6:$B$11,MIN(5,MATCH(MAX(Reference!$A$6,MIN(Reference!$A$11,MIN(D265,120))),Reference!$A$6:$A$11,1))))/(INDEX(Reference!$A$6:$A$11,MIN(5,MATCH(MAX(Reference!$A$6,MIN(Reference!$A$11,MIN(D265,120))),Reference!$A$6:$A$11,1))+1)-INDEX(Reference!$A$6:$A$11,MIN(5,MATCH(MAX(Reference!$A$6,MIN(Reference!$A$11,MIN(D265,120))),Reference!$A$6:$A$11,1))))),0)+IF(3&lt;=AE265,(AE265-3+3)*(INDEX(Reference!$B$6:$B$11,MIN(5,MATCH(MAX(Reference!$A$6,MIN(Reference!$A$11,MIN(D265,150))),Reference!$A$6:$A$11,1)))+(MAX(Reference!$A$6,MIN(Reference!$A$11,MIN(D265,150)))-INDEX(Reference!$A$6:$A$11,MIN(5,MATCH(MAX(Reference!$A$6,MIN(Reference!$A$11,MIN(D265,150))),Reference!$A$6:$A$11,1))))*(INDEX(Reference!$B$6:$B$11,MIN(5,MATCH(MAX(Reference!$A$6,MIN(Reference!$A$11,MIN(D265,150))),Reference!$A$6:$A$11,1))+1)-INDEX(Reference!$B$6:$B$11,MIN(5,MATCH(MAX(Reference!$A$6,MIN(Reference!$A$11,MIN(D265,150))),Reference!$A$6:$A$11,1))))/(INDEX(Reference!$A$6:$A$11,MIN(5,MATCH(MAX(Reference!$A$6,MIN(Reference!$A$11,MIN(D265,150))),Reference!$A$6:$A$11,1))+1)-INDEX(Reference!$A$6:$A$11,MIN(5,MATCH(MAX(Reference!$A$6,MIN(Reference!$A$11,MIN(D265,150))),Reference!$A$6:$A$11,1))))),0)+IF(4&lt;=AE265,(AE265-4+3)*(INDEX(Reference!$B$6:$B$11,MIN(5,MATCH(MAX(Reference!$A$6,MIN(Reference!$A$11,MIN(D265,180))),Reference!$A$6:$A$11,1)))+(MAX(Reference!$A$6,MIN(Reference!$A$11,MIN(D265,180)))-INDEX(Reference!$A$6:$A$11,MIN(5,MATCH(MAX(Reference!$A$6,MIN(Reference!$A$11,MIN(D265,180))),Reference!$A$6:$A$11,1))))*(INDEX(Reference!$B$6:$B$11,MIN(5,MATCH(MAX(Reference!$A$6,MIN(Reference!$A$11,MIN(D265,180))),Reference!$A$6:$A$11,1))+1)-INDEX(Reference!$B$6:$B$11,MIN(5,MATCH(MAX(Reference!$A$6,MIN(Reference!$A$11,MIN(D265,180))),Reference!$A$6:$A$11,1))))/(INDEX(Reference!$A$6:$A$11,MIN(5,MATCH(MAX(Reference!$A$6,MIN(Reference!$A$11,MIN(D265,180))),Reference!$A$6:$A$11,1))+1)-INDEX(Reference!$A$6:$A$11,MIN(5,MATCH(MAX(Reference!$A$6,MIN(Reference!$A$11,MIN(D265,180))),Reference!$A$6:$A$11,1))))),0)+IF(5&lt;=AE265,(AE265-5+3)*(INDEX(Reference!$B$6:$B$11,MIN(5,MATCH(MAX(Reference!$A$6,MIN(Reference!$A$11,MIN(D265,210))),Reference!$A$6:$A$11,1)))+(MAX(Reference!$A$6,MIN(Reference!$A$11,MIN(D265,210)))-INDEX(Reference!$A$6:$A$11,MIN(5,MATCH(MAX(Reference!$A$6,MIN(Reference!$A$11,MIN(D265,210))),Reference!$A$6:$A$11,1))))*(INDEX(Reference!$B$6:$B$11,MIN(5,MATCH(MAX(Reference!$A$6,MIN(Reference!$A$11,MIN(D265,210))),Reference!$A$6:$A$11,1))+1)-INDEX(Reference!$B$6:$B$11,MIN(5,MATCH(MAX(Reference!$A$6,MIN(Reference!$A$11,MIN(D265,210))),Reference!$A$6:$A$11,1))))/(INDEX(Reference!$A$6:$A$11,MIN(5,MATCH(MAX(Reference!$A$6,MIN(Reference!$A$11,MIN(D265,210))),Reference!$A$6:$A$11,1))+1)-INDEX(Reference!$A$6:$A$11,MIN(5,MATCH(MAX(Reference!$A$6,MIN(Reference!$A$11,MIN(D265,210))),Reference!$A$6:$A$11,1))))),0)+IF(6&lt;=AE265,(AE265-6+3)*(INDEX(Reference!$B$6:$B$11,MIN(5,MATCH(MAX(Reference!$A$6,MIN(Reference!$A$11,MIN(D265,240))),Reference!$A$6:$A$11,1)))+(MAX(Reference!$A$6,MIN(Reference!$A$11,MIN(D265,240)))-INDEX(Reference!$A$6:$A$11,MIN(5,MATCH(MAX(Reference!$A$6,MIN(Reference!$A$11,MIN(D265,240))),Reference!$A$6:$A$11,1))))*(INDEX(Reference!$B$6:$B$11,MIN(5,MATCH(MAX(Reference!$A$6,MIN(Reference!$A$11,MIN(D265,240))),Reference!$A$6:$A$11,1))+1)-INDEX(Reference!$B$6:$B$11,MIN(5,MATCH(MAX(Reference!$A$6,MIN(Reference!$A$11,MIN(D265,240))),Reference!$A$6:$A$11,1))))/(INDEX(Reference!$A$6:$A$11,MIN(5,MATCH(MAX(Reference!$A$6,MIN(Reference!$A$11,MIN(D265,240))),Reference!$A$6:$A$11,1))+1)-INDEX(Reference!$A$6:$A$11,MIN(5,MATCH(MAX(Reference!$A$6,MIN(Reference!$A$11,MIN(D265,240))),Reference!$A$6:$A$11,1))))),0)+IF(7&lt;=AE265,(AE265-7+3)*(INDEX(Reference!$B$6:$B$11,MIN(5,MATCH(MAX(Reference!$A$6,MIN(Reference!$A$11,MIN(D265,270))),Reference!$A$6:$A$11,1)))+(MAX(Reference!$A$6,MIN(Reference!$A$11,MIN(D265,270)))-INDEX(Reference!$A$6:$A$11,MIN(5,MATCH(MAX(Reference!$A$6,MIN(Reference!$A$11,MIN(D265,270))),Reference!$A$6:$A$11,1))))*(INDEX(Reference!$B$6:$B$11,MIN(5,MATCH(MAX(Reference!$A$6,MIN(Reference!$A$11,MIN(D265,270))),Reference!$A$6:$A$11,1))+1)-INDEX(Reference!$B$6:$B$11,MIN(5,MATCH(MAX(Reference!$A$6,MIN(Reference!$A$11,MIN(D265,270))),Reference!$A$6:$A$11,1))))/(INDEX(Reference!$A$6:$A$11,MIN(5,MATCH(MAX(Reference!$A$6,MIN(Reference!$A$11,MIN(D265,270))),Reference!$A$6:$A$11,1))+1)-INDEX(Reference!$A$6:$A$11,MIN(5,MATCH(MAX(Reference!$A$6,MIN(Reference!$A$11,MIN(D265,270))),Reference!$A$6:$A$11,1))))),0)+IF(8&lt;=AE265,(AE265-8+3)*(INDEX(Reference!$B$6:$B$11,MIN(5,MATCH(MAX(Reference!$A$6,MIN(Reference!$A$11,MIN(D265,300))),Reference!$A$6:$A$11,1)))+(MAX(Reference!$A$6,MIN(Reference!$A$11,MIN(D265,300)))-INDEX(Reference!$A$6:$A$11,MIN(5,MATCH(MAX(Reference!$A$6,MIN(Reference!$A$11,MIN(D265,300))),Reference!$A$6:$A$11,1))))*(INDEX(Reference!$B$6:$B$11,MIN(5,MATCH(MAX(Reference!$A$6,MIN(Reference!$A$11,MIN(D265,300))),Reference!$A$6:$A$11,1))+1)-INDEX(Reference!$B$6:$B$11,MIN(5,MATCH(MAX(Reference!$A$6,MIN(Reference!$A$11,MIN(D265,300))),Reference!$A$6:$A$11,1))))/(INDEX(Reference!$A$6:$A$11,MIN(5,MATCH(MAX(Reference!$A$6,MIN(Reference!$A$11,MIN(D265,300))),Reference!$A$6:$A$11,1))+1)-INDEX(Reference!$A$6:$A$11,MIN(5,MATCH(MAX(Reference!$A$6,MIN(Reference!$A$11,MIN(D265,300))),Reference!$A$6:$A$11,1))))),0))/(AE265*(AE265+5)/2)),(INDEX(Reference!$B$6:$B$11,MIN(5,MATCH(MAX(Reference!$A$6,MIN(Reference!$A$11,D265)),Reference!$A$6:$A$11,1)))+(MAX(Reference!$A$6,MIN(Reference!$A$11,D265))-INDEX(Reference!$A$6:$A$11,MIN(5,MATCH(MAX(Reference!$A$6,MIN(Reference!$A$11,D265)),Reference!$A$6:$A$11,1))))*(INDEX(Reference!$B$6:$B$11,MIN(5,MATCH(MAX(Reference!$A$6,MIN(Reference!$A$11,D265)),Reference!$A$6:$A$11,1))+1)-INDEX(Reference!$B$6:$B$11,MIN(5,MATCH(MAX(Reference!$A$6,MIN(Reference!$A$11,D265)),Reference!$A$6:$A$11,1))))/(INDEX(Reference!$A$6:$A$11,MIN(5,MATCH(MAX(Reference!$A$6,MIN(Reference!$A$11,D265)),Reference!$A$6:$A$11,1))+1)-INDEX(Reference!$A$6:$A$11,MIN(5,MATCH(MAX(Reference!$A$6,MIN(Reference!$A$11,D265)),Reference!$A$6:$A$11,1))))))))</f>
        <v/>
      </c>
      <c r="P265" s="32" t="str">
        <f>IF(N265="","",VLOOKUP(MAX(N265,0),Reference!$A$17:$B$20,2,TRUE()))</f>
        <v/>
      </c>
      <c r="Q265" s="32" t="str">
        <f t="shared" si="39"/>
        <v/>
      </c>
      <c r="R265" s="31"/>
      <c r="S265" s="31"/>
      <c r="T265" s="31"/>
      <c r="U265" s="32" t="str">
        <f t="shared" si="40"/>
        <v/>
      </c>
      <c r="V265" s="32" t="str">
        <f t="shared" si="41"/>
        <v/>
      </c>
      <c r="W265" s="32" t="str">
        <f>IF(V265="","",VLOOKUP(MAX(V265,0),Reference!$A$17:$B$20,2,TRUE()))</f>
        <v/>
      </c>
      <c r="X265" s="31"/>
      <c r="Y265" s="31"/>
      <c r="Z265" s="31"/>
      <c r="AA265" s="32" t="str">
        <f t="shared" si="42"/>
        <v/>
      </c>
      <c r="AB265" s="32" t="str">
        <f t="shared" si="43"/>
        <v/>
      </c>
      <c r="AC265" s="32" t="str">
        <f>IF(AB265="","",VLOOKUP(MAX(AB265,0),Reference!$A$17:$B$20,2,TRUE()))</f>
        <v/>
      </c>
      <c r="AD265" s="31"/>
      <c r="AE265">
        <f t="shared" si="44"/>
        <v>1</v>
      </c>
      <c r="AF265" s="33" t="str">
        <f>IF(OR(A265="",B265="",AND(C265&lt;&gt;"Bullpen",C265&lt;&gt;"Game")),"",IF((COUNTIFS($B$5:$B$300,B265,$A$5:$A$300,A265-1,$C$5:$C$300,"Bullpen",$AG$5:$AG$300,"&gt;0") + COUNTIFS($B$5:$B$300,B265,$A$5:$A$300,A265-1,$C$5:$C$300,"Game",$AG$5:$AG$300,"&gt;0"))&gt;0,Reference!$B$119,IF((COUNTIFS($B$5:$B$300,B265,$A$5:$A$300,A265-2,$C$5:$C$300,"Bullpen",$AG$5:$AG$300,"&gt;0") + COUNTIFS($B$5:$B$300,B265,$A$5:$A$300,A265-2,$C$5:$C$300,"Game",$AG$5:$AG$300,"&gt;0"))&gt;0,Reference!$B$120,1)))</f>
        <v/>
      </c>
      <c r="AG265" s="30" t="str">
        <f>IF(AND(OR(I265="",O265="",P265=""),OR(R265="",W265=""),OR(X265="",AC265="")),"",IF(OR(I265="",O265="",P265=""),0,I265*O265*P265)+IF(OR(R265="",W265=""),0,R265*IFERROR(INDEX(Reference!$B$61:$B$62,MATCH("Bullpen",Reference!$A$61:$A$62,0)),0)*W265)+IF(OR(X265="",AC265=""),0,X265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265))</f>
        <v/>
      </c>
    </row>
    <row r="266" spans="1:33" x14ac:dyDescent="0.3">
      <c r="A266" s="35"/>
      <c r="B266" s="31"/>
      <c r="C266" s="31"/>
      <c r="D266" s="31"/>
      <c r="E266" s="34"/>
      <c r="F266" s="34"/>
      <c r="G266" s="30" t="str">
        <f t="shared" si="36"/>
        <v/>
      </c>
      <c r="H266" s="31"/>
      <c r="I266" s="32" t="str">
        <f>IF(H266&lt;&gt;"",H266,IF(G266="","",ROUND(G266*IFERROR(INDEX(Reference!$B$44:$B$50,MATCH(C266,Reference!$A$44:$A$50,0)),0),0)))</f>
        <v/>
      </c>
      <c r="J266" s="31"/>
      <c r="K266" s="31"/>
      <c r="L266" s="32" t="str">
        <f t="shared" si="37"/>
        <v/>
      </c>
      <c r="M266" s="32" t="str">
        <f>IFERROR(INDEX(Roster!$D$5:$D$40,MATCH(B266,Roster!$A$5:$A$40,0)),"")</f>
        <v/>
      </c>
      <c r="N266" s="32" t="str">
        <f t="shared" si="38"/>
        <v/>
      </c>
      <c r="O266" s="32" t="str">
        <f>IF(OR(C266="Bullpen",C266="Game"),IFERROR(INDEX(Reference!$B$61:$B$62,MATCH(C266,Reference!$A$61:$A$62,0)),""),IF(D266="","",IF(AE266&gt;1,((IF(1&lt;=AE266,(AE266-1+3)*(INDEX(Reference!$B$6:$B$11,MIN(5,MATCH(MAX(Reference!$A$6,MIN(Reference!$A$11,MIN(D266,90))),Reference!$A$6:$A$11,1)))+(MAX(Reference!$A$6,MIN(Reference!$A$11,MIN(D266,90)))-INDEX(Reference!$A$6:$A$11,MIN(5,MATCH(MAX(Reference!$A$6,MIN(Reference!$A$11,MIN(D266,90))),Reference!$A$6:$A$11,1))))*(INDEX(Reference!$B$6:$B$11,MIN(5,MATCH(MAX(Reference!$A$6,MIN(Reference!$A$11,MIN(D266,90))),Reference!$A$6:$A$11,1))+1)-INDEX(Reference!$B$6:$B$11,MIN(5,MATCH(MAX(Reference!$A$6,MIN(Reference!$A$11,MIN(D266,90))),Reference!$A$6:$A$11,1))))/(INDEX(Reference!$A$6:$A$11,MIN(5,MATCH(MAX(Reference!$A$6,MIN(Reference!$A$11,MIN(D266,90))),Reference!$A$6:$A$11,1))+1)-INDEX(Reference!$A$6:$A$11,MIN(5,MATCH(MAX(Reference!$A$6,MIN(Reference!$A$11,MIN(D266,90))),Reference!$A$6:$A$11,1))))),0)+IF(2&lt;=AE266,(AE266-2+3)*(INDEX(Reference!$B$6:$B$11,MIN(5,MATCH(MAX(Reference!$A$6,MIN(Reference!$A$11,MIN(D266,120))),Reference!$A$6:$A$11,1)))+(MAX(Reference!$A$6,MIN(Reference!$A$11,MIN(D266,120)))-INDEX(Reference!$A$6:$A$11,MIN(5,MATCH(MAX(Reference!$A$6,MIN(Reference!$A$11,MIN(D266,120))),Reference!$A$6:$A$11,1))))*(INDEX(Reference!$B$6:$B$11,MIN(5,MATCH(MAX(Reference!$A$6,MIN(Reference!$A$11,MIN(D266,120))),Reference!$A$6:$A$11,1))+1)-INDEX(Reference!$B$6:$B$11,MIN(5,MATCH(MAX(Reference!$A$6,MIN(Reference!$A$11,MIN(D266,120))),Reference!$A$6:$A$11,1))))/(INDEX(Reference!$A$6:$A$11,MIN(5,MATCH(MAX(Reference!$A$6,MIN(Reference!$A$11,MIN(D266,120))),Reference!$A$6:$A$11,1))+1)-INDEX(Reference!$A$6:$A$11,MIN(5,MATCH(MAX(Reference!$A$6,MIN(Reference!$A$11,MIN(D266,120))),Reference!$A$6:$A$11,1))))),0)+IF(3&lt;=AE266,(AE266-3+3)*(INDEX(Reference!$B$6:$B$11,MIN(5,MATCH(MAX(Reference!$A$6,MIN(Reference!$A$11,MIN(D266,150))),Reference!$A$6:$A$11,1)))+(MAX(Reference!$A$6,MIN(Reference!$A$11,MIN(D266,150)))-INDEX(Reference!$A$6:$A$11,MIN(5,MATCH(MAX(Reference!$A$6,MIN(Reference!$A$11,MIN(D266,150))),Reference!$A$6:$A$11,1))))*(INDEX(Reference!$B$6:$B$11,MIN(5,MATCH(MAX(Reference!$A$6,MIN(Reference!$A$11,MIN(D266,150))),Reference!$A$6:$A$11,1))+1)-INDEX(Reference!$B$6:$B$11,MIN(5,MATCH(MAX(Reference!$A$6,MIN(Reference!$A$11,MIN(D266,150))),Reference!$A$6:$A$11,1))))/(INDEX(Reference!$A$6:$A$11,MIN(5,MATCH(MAX(Reference!$A$6,MIN(Reference!$A$11,MIN(D266,150))),Reference!$A$6:$A$11,1))+1)-INDEX(Reference!$A$6:$A$11,MIN(5,MATCH(MAX(Reference!$A$6,MIN(Reference!$A$11,MIN(D266,150))),Reference!$A$6:$A$11,1))))),0)+IF(4&lt;=AE266,(AE266-4+3)*(INDEX(Reference!$B$6:$B$11,MIN(5,MATCH(MAX(Reference!$A$6,MIN(Reference!$A$11,MIN(D266,180))),Reference!$A$6:$A$11,1)))+(MAX(Reference!$A$6,MIN(Reference!$A$11,MIN(D266,180)))-INDEX(Reference!$A$6:$A$11,MIN(5,MATCH(MAX(Reference!$A$6,MIN(Reference!$A$11,MIN(D266,180))),Reference!$A$6:$A$11,1))))*(INDEX(Reference!$B$6:$B$11,MIN(5,MATCH(MAX(Reference!$A$6,MIN(Reference!$A$11,MIN(D266,180))),Reference!$A$6:$A$11,1))+1)-INDEX(Reference!$B$6:$B$11,MIN(5,MATCH(MAX(Reference!$A$6,MIN(Reference!$A$11,MIN(D266,180))),Reference!$A$6:$A$11,1))))/(INDEX(Reference!$A$6:$A$11,MIN(5,MATCH(MAX(Reference!$A$6,MIN(Reference!$A$11,MIN(D266,180))),Reference!$A$6:$A$11,1))+1)-INDEX(Reference!$A$6:$A$11,MIN(5,MATCH(MAX(Reference!$A$6,MIN(Reference!$A$11,MIN(D266,180))),Reference!$A$6:$A$11,1))))),0)+IF(5&lt;=AE266,(AE266-5+3)*(INDEX(Reference!$B$6:$B$11,MIN(5,MATCH(MAX(Reference!$A$6,MIN(Reference!$A$11,MIN(D266,210))),Reference!$A$6:$A$11,1)))+(MAX(Reference!$A$6,MIN(Reference!$A$11,MIN(D266,210)))-INDEX(Reference!$A$6:$A$11,MIN(5,MATCH(MAX(Reference!$A$6,MIN(Reference!$A$11,MIN(D266,210))),Reference!$A$6:$A$11,1))))*(INDEX(Reference!$B$6:$B$11,MIN(5,MATCH(MAX(Reference!$A$6,MIN(Reference!$A$11,MIN(D266,210))),Reference!$A$6:$A$11,1))+1)-INDEX(Reference!$B$6:$B$11,MIN(5,MATCH(MAX(Reference!$A$6,MIN(Reference!$A$11,MIN(D266,210))),Reference!$A$6:$A$11,1))))/(INDEX(Reference!$A$6:$A$11,MIN(5,MATCH(MAX(Reference!$A$6,MIN(Reference!$A$11,MIN(D266,210))),Reference!$A$6:$A$11,1))+1)-INDEX(Reference!$A$6:$A$11,MIN(5,MATCH(MAX(Reference!$A$6,MIN(Reference!$A$11,MIN(D266,210))),Reference!$A$6:$A$11,1))))),0)+IF(6&lt;=AE266,(AE266-6+3)*(INDEX(Reference!$B$6:$B$11,MIN(5,MATCH(MAX(Reference!$A$6,MIN(Reference!$A$11,MIN(D266,240))),Reference!$A$6:$A$11,1)))+(MAX(Reference!$A$6,MIN(Reference!$A$11,MIN(D266,240)))-INDEX(Reference!$A$6:$A$11,MIN(5,MATCH(MAX(Reference!$A$6,MIN(Reference!$A$11,MIN(D266,240))),Reference!$A$6:$A$11,1))))*(INDEX(Reference!$B$6:$B$11,MIN(5,MATCH(MAX(Reference!$A$6,MIN(Reference!$A$11,MIN(D266,240))),Reference!$A$6:$A$11,1))+1)-INDEX(Reference!$B$6:$B$11,MIN(5,MATCH(MAX(Reference!$A$6,MIN(Reference!$A$11,MIN(D266,240))),Reference!$A$6:$A$11,1))))/(INDEX(Reference!$A$6:$A$11,MIN(5,MATCH(MAX(Reference!$A$6,MIN(Reference!$A$11,MIN(D266,240))),Reference!$A$6:$A$11,1))+1)-INDEX(Reference!$A$6:$A$11,MIN(5,MATCH(MAX(Reference!$A$6,MIN(Reference!$A$11,MIN(D266,240))),Reference!$A$6:$A$11,1))))),0)+IF(7&lt;=AE266,(AE266-7+3)*(INDEX(Reference!$B$6:$B$11,MIN(5,MATCH(MAX(Reference!$A$6,MIN(Reference!$A$11,MIN(D266,270))),Reference!$A$6:$A$11,1)))+(MAX(Reference!$A$6,MIN(Reference!$A$11,MIN(D266,270)))-INDEX(Reference!$A$6:$A$11,MIN(5,MATCH(MAX(Reference!$A$6,MIN(Reference!$A$11,MIN(D266,270))),Reference!$A$6:$A$11,1))))*(INDEX(Reference!$B$6:$B$11,MIN(5,MATCH(MAX(Reference!$A$6,MIN(Reference!$A$11,MIN(D266,270))),Reference!$A$6:$A$11,1))+1)-INDEX(Reference!$B$6:$B$11,MIN(5,MATCH(MAX(Reference!$A$6,MIN(Reference!$A$11,MIN(D266,270))),Reference!$A$6:$A$11,1))))/(INDEX(Reference!$A$6:$A$11,MIN(5,MATCH(MAX(Reference!$A$6,MIN(Reference!$A$11,MIN(D266,270))),Reference!$A$6:$A$11,1))+1)-INDEX(Reference!$A$6:$A$11,MIN(5,MATCH(MAX(Reference!$A$6,MIN(Reference!$A$11,MIN(D266,270))),Reference!$A$6:$A$11,1))))),0)+IF(8&lt;=AE266,(AE266-8+3)*(INDEX(Reference!$B$6:$B$11,MIN(5,MATCH(MAX(Reference!$A$6,MIN(Reference!$A$11,MIN(D266,300))),Reference!$A$6:$A$11,1)))+(MAX(Reference!$A$6,MIN(Reference!$A$11,MIN(D266,300)))-INDEX(Reference!$A$6:$A$11,MIN(5,MATCH(MAX(Reference!$A$6,MIN(Reference!$A$11,MIN(D266,300))),Reference!$A$6:$A$11,1))))*(INDEX(Reference!$B$6:$B$11,MIN(5,MATCH(MAX(Reference!$A$6,MIN(Reference!$A$11,MIN(D266,300))),Reference!$A$6:$A$11,1))+1)-INDEX(Reference!$B$6:$B$11,MIN(5,MATCH(MAX(Reference!$A$6,MIN(Reference!$A$11,MIN(D266,300))),Reference!$A$6:$A$11,1))))/(INDEX(Reference!$A$6:$A$11,MIN(5,MATCH(MAX(Reference!$A$6,MIN(Reference!$A$11,MIN(D266,300))),Reference!$A$6:$A$11,1))+1)-INDEX(Reference!$A$6:$A$11,MIN(5,MATCH(MAX(Reference!$A$6,MIN(Reference!$A$11,MIN(D266,300))),Reference!$A$6:$A$11,1))))),0))/(AE266*(AE266+5)/2)),(INDEX(Reference!$B$6:$B$11,MIN(5,MATCH(MAX(Reference!$A$6,MIN(Reference!$A$11,D266)),Reference!$A$6:$A$11,1)))+(MAX(Reference!$A$6,MIN(Reference!$A$11,D266))-INDEX(Reference!$A$6:$A$11,MIN(5,MATCH(MAX(Reference!$A$6,MIN(Reference!$A$11,D266)),Reference!$A$6:$A$11,1))))*(INDEX(Reference!$B$6:$B$11,MIN(5,MATCH(MAX(Reference!$A$6,MIN(Reference!$A$11,D266)),Reference!$A$6:$A$11,1))+1)-INDEX(Reference!$B$6:$B$11,MIN(5,MATCH(MAX(Reference!$A$6,MIN(Reference!$A$11,D266)),Reference!$A$6:$A$11,1))))/(INDEX(Reference!$A$6:$A$11,MIN(5,MATCH(MAX(Reference!$A$6,MIN(Reference!$A$11,D266)),Reference!$A$6:$A$11,1))+1)-INDEX(Reference!$A$6:$A$11,MIN(5,MATCH(MAX(Reference!$A$6,MIN(Reference!$A$11,D266)),Reference!$A$6:$A$11,1))))))))</f>
        <v/>
      </c>
      <c r="P266" s="32" t="str">
        <f>IF(N266="","",VLOOKUP(MAX(N266,0),Reference!$A$17:$B$20,2,TRUE()))</f>
        <v/>
      </c>
      <c r="Q266" s="32" t="str">
        <f t="shared" si="39"/>
        <v/>
      </c>
      <c r="R266" s="31"/>
      <c r="S266" s="31"/>
      <c r="T266" s="31"/>
      <c r="U266" s="32" t="str">
        <f t="shared" si="40"/>
        <v/>
      </c>
      <c r="V266" s="32" t="str">
        <f t="shared" si="41"/>
        <v/>
      </c>
      <c r="W266" s="32" t="str">
        <f>IF(V266="","",VLOOKUP(MAX(V266,0),Reference!$A$17:$B$20,2,TRUE()))</f>
        <v/>
      </c>
      <c r="X266" s="31"/>
      <c r="Y266" s="31"/>
      <c r="Z266" s="31"/>
      <c r="AA266" s="32" t="str">
        <f t="shared" si="42"/>
        <v/>
      </c>
      <c r="AB266" s="32" t="str">
        <f t="shared" si="43"/>
        <v/>
      </c>
      <c r="AC266" s="32" t="str">
        <f>IF(AB266="","",VLOOKUP(MAX(AB266,0),Reference!$A$17:$B$20,2,TRUE()))</f>
        <v/>
      </c>
      <c r="AD266" s="31"/>
      <c r="AE266">
        <f t="shared" si="44"/>
        <v>1</v>
      </c>
      <c r="AF266" s="33" t="str">
        <f>IF(OR(A266="",B266="",AND(C266&lt;&gt;"Bullpen",C266&lt;&gt;"Game")),"",IF((COUNTIFS($B$5:$B$300,B266,$A$5:$A$300,A266-1,$C$5:$C$300,"Bullpen",$AG$5:$AG$300,"&gt;0") + COUNTIFS($B$5:$B$300,B266,$A$5:$A$300,A266-1,$C$5:$C$300,"Game",$AG$5:$AG$300,"&gt;0"))&gt;0,Reference!$B$119,IF((COUNTIFS($B$5:$B$300,B266,$A$5:$A$300,A266-2,$C$5:$C$300,"Bullpen",$AG$5:$AG$300,"&gt;0") + COUNTIFS($B$5:$B$300,B266,$A$5:$A$300,A266-2,$C$5:$C$300,"Game",$AG$5:$AG$300,"&gt;0"))&gt;0,Reference!$B$120,1)))</f>
        <v/>
      </c>
      <c r="AG266" s="30" t="str">
        <f>IF(AND(OR(I266="",O266="",P266=""),OR(R266="",W266=""),OR(X266="",AC266="")),"",IF(OR(I266="",O266="",P266=""),0,I266*O266*P266)+IF(OR(R266="",W266=""),0,R266*IFERROR(INDEX(Reference!$B$61:$B$62,MATCH("Bullpen",Reference!$A$61:$A$62,0)),0)*W266)+IF(OR(X266="",AC266=""),0,X266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266))</f>
        <v/>
      </c>
    </row>
    <row r="267" spans="1:33" x14ac:dyDescent="0.3">
      <c r="A267" s="35"/>
      <c r="B267" s="31"/>
      <c r="C267" s="31"/>
      <c r="D267" s="31"/>
      <c r="E267" s="34"/>
      <c r="F267" s="34"/>
      <c r="G267" s="30" t="str">
        <f t="shared" si="36"/>
        <v/>
      </c>
      <c r="H267" s="31"/>
      <c r="I267" s="32" t="str">
        <f>IF(H267&lt;&gt;"",H267,IF(G267="","",ROUND(G267*IFERROR(INDEX(Reference!$B$44:$B$50,MATCH(C267,Reference!$A$44:$A$50,0)),0),0)))</f>
        <v/>
      </c>
      <c r="J267" s="31"/>
      <c r="K267" s="31"/>
      <c r="L267" s="32" t="str">
        <f t="shared" si="37"/>
        <v/>
      </c>
      <c r="M267" s="32" t="str">
        <f>IFERROR(INDEX(Roster!$D$5:$D$40,MATCH(B267,Roster!$A$5:$A$40,0)),"")</f>
        <v/>
      </c>
      <c r="N267" s="32" t="str">
        <f t="shared" si="38"/>
        <v/>
      </c>
      <c r="O267" s="32" t="str">
        <f>IF(OR(C267="Bullpen",C267="Game"),IFERROR(INDEX(Reference!$B$61:$B$62,MATCH(C267,Reference!$A$61:$A$62,0)),""),IF(D267="","",IF(AE267&gt;1,((IF(1&lt;=AE267,(AE267-1+3)*(INDEX(Reference!$B$6:$B$11,MIN(5,MATCH(MAX(Reference!$A$6,MIN(Reference!$A$11,MIN(D267,90))),Reference!$A$6:$A$11,1)))+(MAX(Reference!$A$6,MIN(Reference!$A$11,MIN(D267,90)))-INDEX(Reference!$A$6:$A$11,MIN(5,MATCH(MAX(Reference!$A$6,MIN(Reference!$A$11,MIN(D267,90))),Reference!$A$6:$A$11,1))))*(INDEX(Reference!$B$6:$B$11,MIN(5,MATCH(MAX(Reference!$A$6,MIN(Reference!$A$11,MIN(D267,90))),Reference!$A$6:$A$11,1))+1)-INDEX(Reference!$B$6:$B$11,MIN(5,MATCH(MAX(Reference!$A$6,MIN(Reference!$A$11,MIN(D267,90))),Reference!$A$6:$A$11,1))))/(INDEX(Reference!$A$6:$A$11,MIN(5,MATCH(MAX(Reference!$A$6,MIN(Reference!$A$11,MIN(D267,90))),Reference!$A$6:$A$11,1))+1)-INDEX(Reference!$A$6:$A$11,MIN(5,MATCH(MAX(Reference!$A$6,MIN(Reference!$A$11,MIN(D267,90))),Reference!$A$6:$A$11,1))))),0)+IF(2&lt;=AE267,(AE267-2+3)*(INDEX(Reference!$B$6:$B$11,MIN(5,MATCH(MAX(Reference!$A$6,MIN(Reference!$A$11,MIN(D267,120))),Reference!$A$6:$A$11,1)))+(MAX(Reference!$A$6,MIN(Reference!$A$11,MIN(D267,120)))-INDEX(Reference!$A$6:$A$11,MIN(5,MATCH(MAX(Reference!$A$6,MIN(Reference!$A$11,MIN(D267,120))),Reference!$A$6:$A$11,1))))*(INDEX(Reference!$B$6:$B$11,MIN(5,MATCH(MAX(Reference!$A$6,MIN(Reference!$A$11,MIN(D267,120))),Reference!$A$6:$A$11,1))+1)-INDEX(Reference!$B$6:$B$11,MIN(5,MATCH(MAX(Reference!$A$6,MIN(Reference!$A$11,MIN(D267,120))),Reference!$A$6:$A$11,1))))/(INDEX(Reference!$A$6:$A$11,MIN(5,MATCH(MAX(Reference!$A$6,MIN(Reference!$A$11,MIN(D267,120))),Reference!$A$6:$A$11,1))+1)-INDEX(Reference!$A$6:$A$11,MIN(5,MATCH(MAX(Reference!$A$6,MIN(Reference!$A$11,MIN(D267,120))),Reference!$A$6:$A$11,1))))),0)+IF(3&lt;=AE267,(AE267-3+3)*(INDEX(Reference!$B$6:$B$11,MIN(5,MATCH(MAX(Reference!$A$6,MIN(Reference!$A$11,MIN(D267,150))),Reference!$A$6:$A$11,1)))+(MAX(Reference!$A$6,MIN(Reference!$A$11,MIN(D267,150)))-INDEX(Reference!$A$6:$A$11,MIN(5,MATCH(MAX(Reference!$A$6,MIN(Reference!$A$11,MIN(D267,150))),Reference!$A$6:$A$11,1))))*(INDEX(Reference!$B$6:$B$11,MIN(5,MATCH(MAX(Reference!$A$6,MIN(Reference!$A$11,MIN(D267,150))),Reference!$A$6:$A$11,1))+1)-INDEX(Reference!$B$6:$B$11,MIN(5,MATCH(MAX(Reference!$A$6,MIN(Reference!$A$11,MIN(D267,150))),Reference!$A$6:$A$11,1))))/(INDEX(Reference!$A$6:$A$11,MIN(5,MATCH(MAX(Reference!$A$6,MIN(Reference!$A$11,MIN(D267,150))),Reference!$A$6:$A$11,1))+1)-INDEX(Reference!$A$6:$A$11,MIN(5,MATCH(MAX(Reference!$A$6,MIN(Reference!$A$11,MIN(D267,150))),Reference!$A$6:$A$11,1))))),0)+IF(4&lt;=AE267,(AE267-4+3)*(INDEX(Reference!$B$6:$B$11,MIN(5,MATCH(MAX(Reference!$A$6,MIN(Reference!$A$11,MIN(D267,180))),Reference!$A$6:$A$11,1)))+(MAX(Reference!$A$6,MIN(Reference!$A$11,MIN(D267,180)))-INDEX(Reference!$A$6:$A$11,MIN(5,MATCH(MAX(Reference!$A$6,MIN(Reference!$A$11,MIN(D267,180))),Reference!$A$6:$A$11,1))))*(INDEX(Reference!$B$6:$B$11,MIN(5,MATCH(MAX(Reference!$A$6,MIN(Reference!$A$11,MIN(D267,180))),Reference!$A$6:$A$11,1))+1)-INDEX(Reference!$B$6:$B$11,MIN(5,MATCH(MAX(Reference!$A$6,MIN(Reference!$A$11,MIN(D267,180))),Reference!$A$6:$A$11,1))))/(INDEX(Reference!$A$6:$A$11,MIN(5,MATCH(MAX(Reference!$A$6,MIN(Reference!$A$11,MIN(D267,180))),Reference!$A$6:$A$11,1))+1)-INDEX(Reference!$A$6:$A$11,MIN(5,MATCH(MAX(Reference!$A$6,MIN(Reference!$A$11,MIN(D267,180))),Reference!$A$6:$A$11,1))))),0)+IF(5&lt;=AE267,(AE267-5+3)*(INDEX(Reference!$B$6:$B$11,MIN(5,MATCH(MAX(Reference!$A$6,MIN(Reference!$A$11,MIN(D267,210))),Reference!$A$6:$A$11,1)))+(MAX(Reference!$A$6,MIN(Reference!$A$11,MIN(D267,210)))-INDEX(Reference!$A$6:$A$11,MIN(5,MATCH(MAX(Reference!$A$6,MIN(Reference!$A$11,MIN(D267,210))),Reference!$A$6:$A$11,1))))*(INDEX(Reference!$B$6:$B$11,MIN(5,MATCH(MAX(Reference!$A$6,MIN(Reference!$A$11,MIN(D267,210))),Reference!$A$6:$A$11,1))+1)-INDEX(Reference!$B$6:$B$11,MIN(5,MATCH(MAX(Reference!$A$6,MIN(Reference!$A$11,MIN(D267,210))),Reference!$A$6:$A$11,1))))/(INDEX(Reference!$A$6:$A$11,MIN(5,MATCH(MAX(Reference!$A$6,MIN(Reference!$A$11,MIN(D267,210))),Reference!$A$6:$A$11,1))+1)-INDEX(Reference!$A$6:$A$11,MIN(5,MATCH(MAX(Reference!$A$6,MIN(Reference!$A$11,MIN(D267,210))),Reference!$A$6:$A$11,1))))),0)+IF(6&lt;=AE267,(AE267-6+3)*(INDEX(Reference!$B$6:$B$11,MIN(5,MATCH(MAX(Reference!$A$6,MIN(Reference!$A$11,MIN(D267,240))),Reference!$A$6:$A$11,1)))+(MAX(Reference!$A$6,MIN(Reference!$A$11,MIN(D267,240)))-INDEX(Reference!$A$6:$A$11,MIN(5,MATCH(MAX(Reference!$A$6,MIN(Reference!$A$11,MIN(D267,240))),Reference!$A$6:$A$11,1))))*(INDEX(Reference!$B$6:$B$11,MIN(5,MATCH(MAX(Reference!$A$6,MIN(Reference!$A$11,MIN(D267,240))),Reference!$A$6:$A$11,1))+1)-INDEX(Reference!$B$6:$B$11,MIN(5,MATCH(MAX(Reference!$A$6,MIN(Reference!$A$11,MIN(D267,240))),Reference!$A$6:$A$11,1))))/(INDEX(Reference!$A$6:$A$11,MIN(5,MATCH(MAX(Reference!$A$6,MIN(Reference!$A$11,MIN(D267,240))),Reference!$A$6:$A$11,1))+1)-INDEX(Reference!$A$6:$A$11,MIN(5,MATCH(MAX(Reference!$A$6,MIN(Reference!$A$11,MIN(D267,240))),Reference!$A$6:$A$11,1))))),0)+IF(7&lt;=AE267,(AE267-7+3)*(INDEX(Reference!$B$6:$B$11,MIN(5,MATCH(MAX(Reference!$A$6,MIN(Reference!$A$11,MIN(D267,270))),Reference!$A$6:$A$11,1)))+(MAX(Reference!$A$6,MIN(Reference!$A$11,MIN(D267,270)))-INDEX(Reference!$A$6:$A$11,MIN(5,MATCH(MAX(Reference!$A$6,MIN(Reference!$A$11,MIN(D267,270))),Reference!$A$6:$A$11,1))))*(INDEX(Reference!$B$6:$B$11,MIN(5,MATCH(MAX(Reference!$A$6,MIN(Reference!$A$11,MIN(D267,270))),Reference!$A$6:$A$11,1))+1)-INDEX(Reference!$B$6:$B$11,MIN(5,MATCH(MAX(Reference!$A$6,MIN(Reference!$A$11,MIN(D267,270))),Reference!$A$6:$A$11,1))))/(INDEX(Reference!$A$6:$A$11,MIN(5,MATCH(MAX(Reference!$A$6,MIN(Reference!$A$11,MIN(D267,270))),Reference!$A$6:$A$11,1))+1)-INDEX(Reference!$A$6:$A$11,MIN(5,MATCH(MAX(Reference!$A$6,MIN(Reference!$A$11,MIN(D267,270))),Reference!$A$6:$A$11,1))))),0)+IF(8&lt;=AE267,(AE267-8+3)*(INDEX(Reference!$B$6:$B$11,MIN(5,MATCH(MAX(Reference!$A$6,MIN(Reference!$A$11,MIN(D267,300))),Reference!$A$6:$A$11,1)))+(MAX(Reference!$A$6,MIN(Reference!$A$11,MIN(D267,300)))-INDEX(Reference!$A$6:$A$11,MIN(5,MATCH(MAX(Reference!$A$6,MIN(Reference!$A$11,MIN(D267,300))),Reference!$A$6:$A$11,1))))*(INDEX(Reference!$B$6:$B$11,MIN(5,MATCH(MAX(Reference!$A$6,MIN(Reference!$A$11,MIN(D267,300))),Reference!$A$6:$A$11,1))+1)-INDEX(Reference!$B$6:$B$11,MIN(5,MATCH(MAX(Reference!$A$6,MIN(Reference!$A$11,MIN(D267,300))),Reference!$A$6:$A$11,1))))/(INDEX(Reference!$A$6:$A$11,MIN(5,MATCH(MAX(Reference!$A$6,MIN(Reference!$A$11,MIN(D267,300))),Reference!$A$6:$A$11,1))+1)-INDEX(Reference!$A$6:$A$11,MIN(5,MATCH(MAX(Reference!$A$6,MIN(Reference!$A$11,MIN(D267,300))),Reference!$A$6:$A$11,1))))),0))/(AE267*(AE267+5)/2)),(INDEX(Reference!$B$6:$B$11,MIN(5,MATCH(MAX(Reference!$A$6,MIN(Reference!$A$11,D267)),Reference!$A$6:$A$11,1)))+(MAX(Reference!$A$6,MIN(Reference!$A$11,D267))-INDEX(Reference!$A$6:$A$11,MIN(5,MATCH(MAX(Reference!$A$6,MIN(Reference!$A$11,D267)),Reference!$A$6:$A$11,1))))*(INDEX(Reference!$B$6:$B$11,MIN(5,MATCH(MAX(Reference!$A$6,MIN(Reference!$A$11,D267)),Reference!$A$6:$A$11,1))+1)-INDEX(Reference!$B$6:$B$11,MIN(5,MATCH(MAX(Reference!$A$6,MIN(Reference!$A$11,D267)),Reference!$A$6:$A$11,1))))/(INDEX(Reference!$A$6:$A$11,MIN(5,MATCH(MAX(Reference!$A$6,MIN(Reference!$A$11,D267)),Reference!$A$6:$A$11,1))+1)-INDEX(Reference!$A$6:$A$11,MIN(5,MATCH(MAX(Reference!$A$6,MIN(Reference!$A$11,D267)),Reference!$A$6:$A$11,1))))))))</f>
        <v/>
      </c>
      <c r="P267" s="32" t="str">
        <f>IF(N267="","",VLOOKUP(MAX(N267,0),Reference!$A$17:$B$20,2,TRUE()))</f>
        <v/>
      </c>
      <c r="Q267" s="32" t="str">
        <f t="shared" si="39"/>
        <v/>
      </c>
      <c r="R267" s="31"/>
      <c r="S267" s="31"/>
      <c r="T267" s="31"/>
      <c r="U267" s="32" t="str">
        <f t="shared" si="40"/>
        <v/>
      </c>
      <c r="V267" s="32" t="str">
        <f t="shared" si="41"/>
        <v/>
      </c>
      <c r="W267" s="32" t="str">
        <f>IF(V267="","",VLOOKUP(MAX(V267,0),Reference!$A$17:$B$20,2,TRUE()))</f>
        <v/>
      </c>
      <c r="X267" s="31"/>
      <c r="Y267" s="31"/>
      <c r="Z267" s="31"/>
      <c r="AA267" s="32" t="str">
        <f t="shared" si="42"/>
        <v/>
      </c>
      <c r="AB267" s="32" t="str">
        <f t="shared" si="43"/>
        <v/>
      </c>
      <c r="AC267" s="32" t="str">
        <f>IF(AB267="","",VLOOKUP(MAX(AB267,0),Reference!$A$17:$B$20,2,TRUE()))</f>
        <v/>
      </c>
      <c r="AD267" s="31"/>
      <c r="AE267">
        <f t="shared" si="44"/>
        <v>1</v>
      </c>
      <c r="AF267" s="33" t="str">
        <f>IF(OR(A267="",B267="",AND(C267&lt;&gt;"Bullpen",C267&lt;&gt;"Game")),"",IF((COUNTIFS($B$5:$B$300,B267,$A$5:$A$300,A267-1,$C$5:$C$300,"Bullpen",$AG$5:$AG$300,"&gt;0") + COUNTIFS($B$5:$B$300,B267,$A$5:$A$300,A267-1,$C$5:$C$300,"Game",$AG$5:$AG$300,"&gt;0"))&gt;0,Reference!$B$119,IF((COUNTIFS($B$5:$B$300,B267,$A$5:$A$300,A267-2,$C$5:$C$300,"Bullpen",$AG$5:$AG$300,"&gt;0") + COUNTIFS($B$5:$B$300,B267,$A$5:$A$300,A267-2,$C$5:$C$300,"Game",$AG$5:$AG$300,"&gt;0"))&gt;0,Reference!$B$120,1)))</f>
        <v/>
      </c>
      <c r="AG267" s="30" t="str">
        <f>IF(AND(OR(I267="",O267="",P267=""),OR(R267="",W267=""),OR(X267="",AC267="")),"",IF(OR(I267="",O267="",P267=""),0,I267*O267*P267)+IF(OR(R267="",W267=""),0,R267*IFERROR(INDEX(Reference!$B$61:$B$62,MATCH("Bullpen",Reference!$A$61:$A$62,0)),0)*W267)+IF(OR(X267="",AC267=""),0,X267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267))</f>
        <v/>
      </c>
    </row>
    <row r="268" spans="1:33" x14ac:dyDescent="0.3">
      <c r="A268" s="35"/>
      <c r="B268" s="31"/>
      <c r="C268" s="31"/>
      <c r="D268" s="31"/>
      <c r="E268" s="34"/>
      <c r="F268" s="34"/>
      <c r="G268" s="30" t="str">
        <f t="shared" si="36"/>
        <v/>
      </c>
      <c r="H268" s="31"/>
      <c r="I268" s="32" t="str">
        <f>IF(H268&lt;&gt;"",H268,IF(G268="","",ROUND(G268*IFERROR(INDEX(Reference!$B$44:$B$50,MATCH(C268,Reference!$A$44:$A$50,0)),0),0)))</f>
        <v/>
      </c>
      <c r="J268" s="31"/>
      <c r="K268" s="31"/>
      <c r="L268" s="32" t="str">
        <f t="shared" si="37"/>
        <v/>
      </c>
      <c r="M268" s="32" t="str">
        <f>IFERROR(INDEX(Roster!$D$5:$D$40,MATCH(B268,Roster!$A$5:$A$40,0)),"")</f>
        <v/>
      </c>
      <c r="N268" s="32" t="str">
        <f t="shared" si="38"/>
        <v/>
      </c>
      <c r="O268" s="32" t="str">
        <f>IF(OR(C268="Bullpen",C268="Game"),IFERROR(INDEX(Reference!$B$61:$B$62,MATCH(C268,Reference!$A$61:$A$62,0)),""),IF(D268="","",IF(AE268&gt;1,((IF(1&lt;=AE268,(AE268-1+3)*(INDEX(Reference!$B$6:$B$11,MIN(5,MATCH(MAX(Reference!$A$6,MIN(Reference!$A$11,MIN(D268,90))),Reference!$A$6:$A$11,1)))+(MAX(Reference!$A$6,MIN(Reference!$A$11,MIN(D268,90)))-INDEX(Reference!$A$6:$A$11,MIN(5,MATCH(MAX(Reference!$A$6,MIN(Reference!$A$11,MIN(D268,90))),Reference!$A$6:$A$11,1))))*(INDEX(Reference!$B$6:$B$11,MIN(5,MATCH(MAX(Reference!$A$6,MIN(Reference!$A$11,MIN(D268,90))),Reference!$A$6:$A$11,1))+1)-INDEX(Reference!$B$6:$B$11,MIN(5,MATCH(MAX(Reference!$A$6,MIN(Reference!$A$11,MIN(D268,90))),Reference!$A$6:$A$11,1))))/(INDEX(Reference!$A$6:$A$11,MIN(5,MATCH(MAX(Reference!$A$6,MIN(Reference!$A$11,MIN(D268,90))),Reference!$A$6:$A$11,1))+1)-INDEX(Reference!$A$6:$A$11,MIN(5,MATCH(MAX(Reference!$A$6,MIN(Reference!$A$11,MIN(D268,90))),Reference!$A$6:$A$11,1))))),0)+IF(2&lt;=AE268,(AE268-2+3)*(INDEX(Reference!$B$6:$B$11,MIN(5,MATCH(MAX(Reference!$A$6,MIN(Reference!$A$11,MIN(D268,120))),Reference!$A$6:$A$11,1)))+(MAX(Reference!$A$6,MIN(Reference!$A$11,MIN(D268,120)))-INDEX(Reference!$A$6:$A$11,MIN(5,MATCH(MAX(Reference!$A$6,MIN(Reference!$A$11,MIN(D268,120))),Reference!$A$6:$A$11,1))))*(INDEX(Reference!$B$6:$B$11,MIN(5,MATCH(MAX(Reference!$A$6,MIN(Reference!$A$11,MIN(D268,120))),Reference!$A$6:$A$11,1))+1)-INDEX(Reference!$B$6:$B$11,MIN(5,MATCH(MAX(Reference!$A$6,MIN(Reference!$A$11,MIN(D268,120))),Reference!$A$6:$A$11,1))))/(INDEX(Reference!$A$6:$A$11,MIN(5,MATCH(MAX(Reference!$A$6,MIN(Reference!$A$11,MIN(D268,120))),Reference!$A$6:$A$11,1))+1)-INDEX(Reference!$A$6:$A$11,MIN(5,MATCH(MAX(Reference!$A$6,MIN(Reference!$A$11,MIN(D268,120))),Reference!$A$6:$A$11,1))))),0)+IF(3&lt;=AE268,(AE268-3+3)*(INDEX(Reference!$B$6:$B$11,MIN(5,MATCH(MAX(Reference!$A$6,MIN(Reference!$A$11,MIN(D268,150))),Reference!$A$6:$A$11,1)))+(MAX(Reference!$A$6,MIN(Reference!$A$11,MIN(D268,150)))-INDEX(Reference!$A$6:$A$11,MIN(5,MATCH(MAX(Reference!$A$6,MIN(Reference!$A$11,MIN(D268,150))),Reference!$A$6:$A$11,1))))*(INDEX(Reference!$B$6:$B$11,MIN(5,MATCH(MAX(Reference!$A$6,MIN(Reference!$A$11,MIN(D268,150))),Reference!$A$6:$A$11,1))+1)-INDEX(Reference!$B$6:$B$11,MIN(5,MATCH(MAX(Reference!$A$6,MIN(Reference!$A$11,MIN(D268,150))),Reference!$A$6:$A$11,1))))/(INDEX(Reference!$A$6:$A$11,MIN(5,MATCH(MAX(Reference!$A$6,MIN(Reference!$A$11,MIN(D268,150))),Reference!$A$6:$A$11,1))+1)-INDEX(Reference!$A$6:$A$11,MIN(5,MATCH(MAX(Reference!$A$6,MIN(Reference!$A$11,MIN(D268,150))),Reference!$A$6:$A$11,1))))),0)+IF(4&lt;=AE268,(AE268-4+3)*(INDEX(Reference!$B$6:$B$11,MIN(5,MATCH(MAX(Reference!$A$6,MIN(Reference!$A$11,MIN(D268,180))),Reference!$A$6:$A$11,1)))+(MAX(Reference!$A$6,MIN(Reference!$A$11,MIN(D268,180)))-INDEX(Reference!$A$6:$A$11,MIN(5,MATCH(MAX(Reference!$A$6,MIN(Reference!$A$11,MIN(D268,180))),Reference!$A$6:$A$11,1))))*(INDEX(Reference!$B$6:$B$11,MIN(5,MATCH(MAX(Reference!$A$6,MIN(Reference!$A$11,MIN(D268,180))),Reference!$A$6:$A$11,1))+1)-INDEX(Reference!$B$6:$B$11,MIN(5,MATCH(MAX(Reference!$A$6,MIN(Reference!$A$11,MIN(D268,180))),Reference!$A$6:$A$11,1))))/(INDEX(Reference!$A$6:$A$11,MIN(5,MATCH(MAX(Reference!$A$6,MIN(Reference!$A$11,MIN(D268,180))),Reference!$A$6:$A$11,1))+1)-INDEX(Reference!$A$6:$A$11,MIN(5,MATCH(MAX(Reference!$A$6,MIN(Reference!$A$11,MIN(D268,180))),Reference!$A$6:$A$11,1))))),0)+IF(5&lt;=AE268,(AE268-5+3)*(INDEX(Reference!$B$6:$B$11,MIN(5,MATCH(MAX(Reference!$A$6,MIN(Reference!$A$11,MIN(D268,210))),Reference!$A$6:$A$11,1)))+(MAX(Reference!$A$6,MIN(Reference!$A$11,MIN(D268,210)))-INDEX(Reference!$A$6:$A$11,MIN(5,MATCH(MAX(Reference!$A$6,MIN(Reference!$A$11,MIN(D268,210))),Reference!$A$6:$A$11,1))))*(INDEX(Reference!$B$6:$B$11,MIN(5,MATCH(MAX(Reference!$A$6,MIN(Reference!$A$11,MIN(D268,210))),Reference!$A$6:$A$11,1))+1)-INDEX(Reference!$B$6:$B$11,MIN(5,MATCH(MAX(Reference!$A$6,MIN(Reference!$A$11,MIN(D268,210))),Reference!$A$6:$A$11,1))))/(INDEX(Reference!$A$6:$A$11,MIN(5,MATCH(MAX(Reference!$A$6,MIN(Reference!$A$11,MIN(D268,210))),Reference!$A$6:$A$11,1))+1)-INDEX(Reference!$A$6:$A$11,MIN(5,MATCH(MAX(Reference!$A$6,MIN(Reference!$A$11,MIN(D268,210))),Reference!$A$6:$A$11,1))))),0)+IF(6&lt;=AE268,(AE268-6+3)*(INDEX(Reference!$B$6:$B$11,MIN(5,MATCH(MAX(Reference!$A$6,MIN(Reference!$A$11,MIN(D268,240))),Reference!$A$6:$A$11,1)))+(MAX(Reference!$A$6,MIN(Reference!$A$11,MIN(D268,240)))-INDEX(Reference!$A$6:$A$11,MIN(5,MATCH(MAX(Reference!$A$6,MIN(Reference!$A$11,MIN(D268,240))),Reference!$A$6:$A$11,1))))*(INDEX(Reference!$B$6:$B$11,MIN(5,MATCH(MAX(Reference!$A$6,MIN(Reference!$A$11,MIN(D268,240))),Reference!$A$6:$A$11,1))+1)-INDEX(Reference!$B$6:$B$11,MIN(5,MATCH(MAX(Reference!$A$6,MIN(Reference!$A$11,MIN(D268,240))),Reference!$A$6:$A$11,1))))/(INDEX(Reference!$A$6:$A$11,MIN(5,MATCH(MAX(Reference!$A$6,MIN(Reference!$A$11,MIN(D268,240))),Reference!$A$6:$A$11,1))+1)-INDEX(Reference!$A$6:$A$11,MIN(5,MATCH(MAX(Reference!$A$6,MIN(Reference!$A$11,MIN(D268,240))),Reference!$A$6:$A$11,1))))),0)+IF(7&lt;=AE268,(AE268-7+3)*(INDEX(Reference!$B$6:$B$11,MIN(5,MATCH(MAX(Reference!$A$6,MIN(Reference!$A$11,MIN(D268,270))),Reference!$A$6:$A$11,1)))+(MAX(Reference!$A$6,MIN(Reference!$A$11,MIN(D268,270)))-INDEX(Reference!$A$6:$A$11,MIN(5,MATCH(MAX(Reference!$A$6,MIN(Reference!$A$11,MIN(D268,270))),Reference!$A$6:$A$11,1))))*(INDEX(Reference!$B$6:$B$11,MIN(5,MATCH(MAX(Reference!$A$6,MIN(Reference!$A$11,MIN(D268,270))),Reference!$A$6:$A$11,1))+1)-INDEX(Reference!$B$6:$B$11,MIN(5,MATCH(MAX(Reference!$A$6,MIN(Reference!$A$11,MIN(D268,270))),Reference!$A$6:$A$11,1))))/(INDEX(Reference!$A$6:$A$11,MIN(5,MATCH(MAX(Reference!$A$6,MIN(Reference!$A$11,MIN(D268,270))),Reference!$A$6:$A$11,1))+1)-INDEX(Reference!$A$6:$A$11,MIN(5,MATCH(MAX(Reference!$A$6,MIN(Reference!$A$11,MIN(D268,270))),Reference!$A$6:$A$11,1))))),0)+IF(8&lt;=AE268,(AE268-8+3)*(INDEX(Reference!$B$6:$B$11,MIN(5,MATCH(MAX(Reference!$A$6,MIN(Reference!$A$11,MIN(D268,300))),Reference!$A$6:$A$11,1)))+(MAX(Reference!$A$6,MIN(Reference!$A$11,MIN(D268,300)))-INDEX(Reference!$A$6:$A$11,MIN(5,MATCH(MAX(Reference!$A$6,MIN(Reference!$A$11,MIN(D268,300))),Reference!$A$6:$A$11,1))))*(INDEX(Reference!$B$6:$B$11,MIN(5,MATCH(MAX(Reference!$A$6,MIN(Reference!$A$11,MIN(D268,300))),Reference!$A$6:$A$11,1))+1)-INDEX(Reference!$B$6:$B$11,MIN(5,MATCH(MAX(Reference!$A$6,MIN(Reference!$A$11,MIN(D268,300))),Reference!$A$6:$A$11,1))))/(INDEX(Reference!$A$6:$A$11,MIN(5,MATCH(MAX(Reference!$A$6,MIN(Reference!$A$11,MIN(D268,300))),Reference!$A$6:$A$11,1))+1)-INDEX(Reference!$A$6:$A$11,MIN(5,MATCH(MAX(Reference!$A$6,MIN(Reference!$A$11,MIN(D268,300))),Reference!$A$6:$A$11,1))))),0))/(AE268*(AE268+5)/2)),(INDEX(Reference!$B$6:$B$11,MIN(5,MATCH(MAX(Reference!$A$6,MIN(Reference!$A$11,D268)),Reference!$A$6:$A$11,1)))+(MAX(Reference!$A$6,MIN(Reference!$A$11,D268))-INDEX(Reference!$A$6:$A$11,MIN(5,MATCH(MAX(Reference!$A$6,MIN(Reference!$A$11,D268)),Reference!$A$6:$A$11,1))))*(INDEX(Reference!$B$6:$B$11,MIN(5,MATCH(MAX(Reference!$A$6,MIN(Reference!$A$11,D268)),Reference!$A$6:$A$11,1))+1)-INDEX(Reference!$B$6:$B$11,MIN(5,MATCH(MAX(Reference!$A$6,MIN(Reference!$A$11,D268)),Reference!$A$6:$A$11,1))))/(INDEX(Reference!$A$6:$A$11,MIN(5,MATCH(MAX(Reference!$A$6,MIN(Reference!$A$11,D268)),Reference!$A$6:$A$11,1))+1)-INDEX(Reference!$A$6:$A$11,MIN(5,MATCH(MAX(Reference!$A$6,MIN(Reference!$A$11,D268)),Reference!$A$6:$A$11,1))))))))</f>
        <v/>
      </c>
      <c r="P268" s="32" t="str">
        <f>IF(N268="","",VLOOKUP(MAX(N268,0),Reference!$A$17:$B$20,2,TRUE()))</f>
        <v/>
      </c>
      <c r="Q268" s="32" t="str">
        <f t="shared" si="39"/>
        <v/>
      </c>
      <c r="R268" s="31"/>
      <c r="S268" s="31"/>
      <c r="T268" s="31"/>
      <c r="U268" s="32" t="str">
        <f t="shared" si="40"/>
        <v/>
      </c>
      <c r="V268" s="32" t="str">
        <f t="shared" si="41"/>
        <v/>
      </c>
      <c r="W268" s="32" t="str">
        <f>IF(V268="","",VLOOKUP(MAX(V268,0),Reference!$A$17:$B$20,2,TRUE()))</f>
        <v/>
      </c>
      <c r="X268" s="31"/>
      <c r="Y268" s="31"/>
      <c r="Z268" s="31"/>
      <c r="AA268" s="32" t="str">
        <f t="shared" si="42"/>
        <v/>
      </c>
      <c r="AB268" s="32" t="str">
        <f t="shared" si="43"/>
        <v/>
      </c>
      <c r="AC268" s="32" t="str">
        <f>IF(AB268="","",VLOOKUP(MAX(AB268,0),Reference!$A$17:$B$20,2,TRUE()))</f>
        <v/>
      </c>
      <c r="AD268" s="31"/>
      <c r="AE268">
        <f t="shared" si="44"/>
        <v>1</v>
      </c>
      <c r="AF268" s="33" t="str">
        <f>IF(OR(A268="",B268="",AND(C268&lt;&gt;"Bullpen",C268&lt;&gt;"Game")),"",IF((COUNTIFS($B$5:$B$300,B268,$A$5:$A$300,A268-1,$C$5:$C$300,"Bullpen",$AG$5:$AG$300,"&gt;0") + COUNTIFS($B$5:$B$300,B268,$A$5:$A$300,A268-1,$C$5:$C$300,"Game",$AG$5:$AG$300,"&gt;0"))&gt;0,Reference!$B$119,IF((COUNTIFS($B$5:$B$300,B268,$A$5:$A$300,A268-2,$C$5:$C$300,"Bullpen",$AG$5:$AG$300,"&gt;0") + COUNTIFS($B$5:$B$300,B268,$A$5:$A$300,A268-2,$C$5:$C$300,"Game",$AG$5:$AG$300,"&gt;0"))&gt;0,Reference!$B$120,1)))</f>
        <v/>
      </c>
      <c r="AG268" s="30" t="str">
        <f>IF(AND(OR(I268="",O268="",P268=""),OR(R268="",W268=""),OR(X268="",AC268="")),"",IF(OR(I268="",O268="",P268=""),0,I268*O268*P268)+IF(OR(R268="",W268=""),0,R268*IFERROR(INDEX(Reference!$B$61:$B$62,MATCH("Bullpen",Reference!$A$61:$A$62,0)),0)*W268)+IF(OR(X268="",AC268=""),0,X268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268))</f>
        <v/>
      </c>
    </row>
    <row r="269" spans="1:33" x14ac:dyDescent="0.3">
      <c r="A269" s="35"/>
      <c r="B269" s="31"/>
      <c r="C269" s="31"/>
      <c r="D269" s="31"/>
      <c r="E269" s="34"/>
      <c r="F269" s="34"/>
      <c r="G269" s="30" t="str">
        <f t="shared" si="36"/>
        <v/>
      </c>
      <c r="H269" s="31"/>
      <c r="I269" s="32" t="str">
        <f>IF(H269&lt;&gt;"",H269,IF(G269="","",ROUND(G269*IFERROR(INDEX(Reference!$B$44:$B$50,MATCH(C269,Reference!$A$44:$A$50,0)),0),0)))</f>
        <v/>
      </c>
      <c r="J269" s="31"/>
      <c r="K269" s="31"/>
      <c r="L269" s="32" t="str">
        <f t="shared" si="37"/>
        <v/>
      </c>
      <c r="M269" s="32" t="str">
        <f>IFERROR(INDEX(Roster!$D$5:$D$40,MATCH(B269,Roster!$A$5:$A$40,0)),"")</f>
        <v/>
      </c>
      <c r="N269" s="32" t="str">
        <f t="shared" si="38"/>
        <v/>
      </c>
      <c r="O269" s="32" t="str">
        <f>IF(OR(C269="Bullpen",C269="Game"),IFERROR(INDEX(Reference!$B$61:$B$62,MATCH(C269,Reference!$A$61:$A$62,0)),""),IF(D269="","",IF(AE269&gt;1,((IF(1&lt;=AE269,(AE269-1+3)*(INDEX(Reference!$B$6:$B$11,MIN(5,MATCH(MAX(Reference!$A$6,MIN(Reference!$A$11,MIN(D269,90))),Reference!$A$6:$A$11,1)))+(MAX(Reference!$A$6,MIN(Reference!$A$11,MIN(D269,90)))-INDEX(Reference!$A$6:$A$11,MIN(5,MATCH(MAX(Reference!$A$6,MIN(Reference!$A$11,MIN(D269,90))),Reference!$A$6:$A$11,1))))*(INDEX(Reference!$B$6:$B$11,MIN(5,MATCH(MAX(Reference!$A$6,MIN(Reference!$A$11,MIN(D269,90))),Reference!$A$6:$A$11,1))+1)-INDEX(Reference!$B$6:$B$11,MIN(5,MATCH(MAX(Reference!$A$6,MIN(Reference!$A$11,MIN(D269,90))),Reference!$A$6:$A$11,1))))/(INDEX(Reference!$A$6:$A$11,MIN(5,MATCH(MAX(Reference!$A$6,MIN(Reference!$A$11,MIN(D269,90))),Reference!$A$6:$A$11,1))+1)-INDEX(Reference!$A$6:$A$11,MIN(5,MATCH(MAX(Reference!$A$6,MIN(Reference!$A$11,MIN(D269,90))),Reference!$A$6:$A$11,1))))),0)+IF(2&lt;=AE269,(AE269-2+3)*(INDEX(Reference!$B$6:$B$11,MIN(5,MATCH(MAX(Reference!$A$6,MIN(Reference!$A$11,MIN(D269,120))),Reference!$A$6:$A$11,1)))+(MAX(Reference!$A$6,MIN(Reference!$A$11,MIN(D269,120)))-INDEX(Reference!$A$6:$A$11,MIN(5,MATCH(MAX(Reference!$A$6,MIN(Reference!$A$11,MIN(D269,120))),Reference!$A$6:$A$11,1))))*(INDEX(Reference!$B$6:$B$11,MIN(5,MATCH(MAX(Reference!$A$6,MIN(Reference!$A$11,MIN(D269,120))),Reference!$A$6:$A$11,1))+1)-INDEX(Reference!$B$6:$B$11,MIN(5,MATCH(MAX(Reference!$A$6,MIN(Reference!$A$11,MIN(D269,120))),Reference!$A$6:$A$11,1))))/(INDEX(Reference!$A$6:$A$11,MIN(5,MATCH(MAX(Reference!$A$6,MIN(Reference!$A$11,MIN(D269,120))),Reference!$A$6:$A$11,1))+1)-INDEX(Reference!$A$6:$A$11,MIN(5,MATCH(MAX(Reference!$A$6,MIN(Reference!$A$11,MIN(D269,120))),Reference!$A$6:$A$11,1))))),0)+IF(3&lt;=AE269,(AE269-3+3)*(INDEX(Reference!$B$6:$B$11,MIN(5,MATCH(MAX(Reference!$A$6,MIN(Reference!$A$11,MIN(D269,150))),Reference!$A$6:$A$11,1)))+(MAX(Reference!$A$6,MIN(Reference!$A$11,MIN(D269,150)))-INDEX(Reference!$A$6:$A$11,MIN(5,MATCH(MAX(Reference!$A$6,MIN(Reference!$A$11,MIN(D269,150))),Reference!$A$6:$A$11,1))))*(INDEX(Reference!$B$6:$B$11,MIN(5,MATCH(MAX(Reference!$A$6,MIN(Reference!$A$11,MIN(D269,150))),Reference!$A$6:$A$11,1))+1)-INDEX(Reference!$B$6:$B$11,MIN(5,MATCH(MAX(Reference!$A$6,MIN(Reference!$A$11,MIN(D269,150))),Reference!$A$6:$A$11,1))))/(INDEX(Reference!$A$6:$A$11,MIN(5,MATCH(MAX(Reference!$A$6,MIN(Reference!$A$11,MIN(D269,150))),Reference!$A$6:$A$11,1))+1)-INDEX(Reference!$A$6:$A$11,MIN(5,MATCH(MAX(Reference!$A$6,MIN(Reference!$A$11,MIN(D269,150))),Reference!$A$6:$A$11,1))))),0)+IF(4&lt;=AE269,(AE269-4+3)*(INDEX(Reference!$B$6:$B$11,MIN(5,MATCH(MAX(Reference!$A$6,MIN(Reference!$A$11,MIN(D269,180))),Reference!$A$6:$A$11,1)))+(MAX(Reference!$A$6,MIN(Reference!$A$11,MIN(D269,180)))-INDEX(Reference!$A$6:$A$11,MIN(5,MATCH(MAX(Reference!$A$6,MIN(Reference!$A$11,MIN(D269,180))),Reference!$A$6:$A$11,1))))*(INDEX(Reference!$B$6:$B$11,MIN(5,MATCH(MAX(Reference!$A$6,MIN(Reference!$A$11,MIN(D269,180))),Reference!$A$6:$A$11,1))+1)-INDEX(Reference!$B$6:$B$11,MIN(5,MATCH(MAX(Reference!$A$6,MIN(Reference!$A$11,MIN(D269,180))),Reference!$A$6:$A$11,1))))/(INDEX(Reference!$A$6:$A$11,MIN(5,MATCH(MAX(Reference!$A$6,MIN(Reference!$A$11,MIN(D269,180))),Reference!$A$6:$A$11,1))+1)-INDEX(Reference!$A$6:$A$11,MIN(5,MATCH(MAX(Reference!$A$6,MIN(Reference!$A$11,MIN(D269,180))),Reference!$A$6:$A$11,1))))),0)+IF(5&lt;=AE269,(AE269-5+3)*(INDEX(Reference!$B$6:$B$11,MIN(5,MATCH(MAX(Reference!$A$6,MIN(Reference!$A$11,MIN(D269,210))),Reference!$A$6:$A$11,1)))+(MAX(Reference!$A$6,MIN(Reference!$A$11,MIN(D269,210)))-INDEX(Reference!$A$6:$A$11,MIN(5,MATCH(MAX(Reference!$A$6,MIN(Reference!$A$11,MIN(D269,210))),Reference!$A$6:$A$11,1))))*(INDEX(Reference!$B$6:$B$11,MIN(5,MATCH(MAX(Reference!$A$6,MIN(Reference!$A$11,MIN(D269,210))),Reference!$A$6:$A$11,1))+1)-INDEX(Reference!$B$6:$B$11,MIN(5,MATCH(MAX(Reference!$A$6,MIN(Reference!$A$11,MIN(D269,210))),Reference!$A$6:$A$11,1))))/(INDEX(Reference!$A$6:$A$11,MIN(5,MATCH(MAX(Reference!$A$6,MIN(Reference!$A$11,MIN(D269,210))),Reference!$A$6:$A$11,1))+1)-INDEX(Reference!$A$6:$A$11,MIN(5,MATCH(MAX(Reference!$A$6,MIN(Reference!$A$11,MIN(D269,210))),Reference!$A$6:$A$11,1))))),0)+IF(6&lt;=AE269,(AE269-6+3)*(INDEX(Reference!$B$6:$B$11,MIN(5,MATCH(MAX(Reference!$A$6,MIN(Reference!$A$11,MIN(D269,240))),Reference!$A$6:$A$11,1)))+(MAX(Reference!$A$6,MIN(Reference!$A$11,MIN(D269,240)))-INDEX(Reference!$A$6:$A$11,MIN(5,MATCH(MAX(Reference!$A$6,MIN(Reference!$A$11,MIN(D269,240))),Reference!$A$6:$A$11,1))))*(INDEX(Reference!$B$6:$B$11,MIN(5,MATCH(MAX(Reference!$A$6,MIN(Reference!$A$11,MIN(D269,240))),Reference!$A$6:$A$11,1))+1)-INDEX(Reference!$B$6:$B$11,MIN(5,MATCH(MAX(Reference!$A$6,MIN(Reference!$A$11,MIN(D269,240))),Reference!$A$6:$A$11,1))))/(INDEX(Reference!$A$6:$A$11,MIN(5,MATCH(MAX(Reference!$A$6,MIN(Reference!$A$11,MIN(D269,240))),Reference!$A$6:$A$11,1))+1)-INDEX(Reference!$A$6:$A$11,MIN(5,MATCH(MAX(Reference!$A$6,MIN(Reference!$A$11,MIN(D269,240))),Reference!$A$6:$A$11,1))))),0)+IF(7&lt;=AE269,(AE269-7+3)*(INDEX(Reference!$B$6:$B$11,MIN(5,MATCH(MAX(Reference!$A$6,MIN(Reference!$A$11,MIN(D269,270))),Reference!$A$6:$A$11,1)))+(MAX(Reference!$A$6,MIN(Reference!$A$11,MIN(D269,270)))-INDEX(Reference!$A$6:$A$11,MIN(5,MATCH(MAX(Reference!$A$6,MIN(Reference!$A$11,MIN(D269,270))),Reference!$A$6:$A$11,1))))*(INDEX(Reference!$B$6:$B$11,MIN(5,MATCH(MAX(Reference!$A$6,MIN(Reference!$A$11,MIN(D269,270))),Reference!$A$6:$A$11,1))+1)-INDEX(Reference!$B$6:$B$11,MIN(5,MATCH(MAX(Reference!$A$6,MIN(Reference!$A$11,MIN(D269,270))),Reference!$A$6:$A$11,1))))/(INDEX(Reference!$A$6:$A$11,MIN(5,MATCH(MAX(Reference!$A$6,MIN(Reference!$A$11,MIN(D269,270))),Reference!$A$6:$A$11,1))+1)-INDEX(Reference!$A$6:$A$11,MIN(5,MATCH(MAX(Reference!$A$6,MIN(Reference!$A$11,MIN(D269,270))),Reference!$A$6:$A$11,1))))),0)+IF(8&lt;=AE269,(AE269-8+3)*(INDEX(Reference!$B$6:$B$11,MIN(5,MATCH(MAX(Reference!$A$6,MIN(Reference!$A$11,MIN(D269,300))),Reference!$A$6:$A$11,1)))+(MAX(Reference!$A$6,MIN(Reference!$A$11,MIN(D269,300)))-INDEX(Reference!$A$6:$A$11,MIN(5,MATCH(MAX(Reference!$A$6,MIN(Reference!$A$11,MIN(D269,300))),Reference!$A$6:$A$11,1))))*(INDEX(Reference!$B$6:$B$11,MIN(5,MATCH(MAX(Reference!$A$6,MIN(Reference!$A$11,MIN(D269,300))),Reference!$A$6:$A$11,1))+1)-INDEX(Reference!$B$6:$B$11,MIN(5,MATCH(MAX(Reference!$A$6,MIN(Reference!$A$11,MIN(D269,300))),Reference!$A$6:$A$11,1))))/(INDEX(Reference!$A$6:$A$11,MIN(5,MATCH(MAX(Reference!$A$6,MIN(Reference!$A$11,MIN(D269,300))),Reference!$A$6:$A$11,1))+1)-INDEX(Reference!$A$6:$A$11,MIN(5,MATCH(MAX(Reference!$A$6,MIN(Reference!$A$11,MIN(D269,300))),Reference!$A$6:$A$11,1))))),0))/(AE269*(AE269+5)/2)),(INDEX(Reference!$B$6:$B$11,MIN(5,MATCH(MAX(Reference!$A$6,MIN(Reference!$A$11,D269)),Reference!$A$6:$A$11,1)))+(MAX(Reference!$A$6,MIN(Reference!$A$11,D269))-INDEX(Reference!$A$6:$A$11,MIN(5,MATCH(MAX(Reference!$A$6,MIN(Reference!$A$11,D269)),Reference!$A$6:$A$11,1))))*(INDEX(Reference!$B$6:$B$11,MIN(5,MATCH(MAX(Reference!$A$6,MIN(Reference!$A$11,D269)),Reference!$A$6:$A$11,1))+1)-INDEX(Reference!$B$6:$B$11,MIN(5,MATCH(MAX(Reference!$A$6,MIN(Reference!$A$11,D269)),Reference!$A$6:$A$11,1))))/(INDEX(Reference!$A$6:$A$11,MIN(5,MATCH(MAX(Reference!$A$6,MIN(Reference!$A$11,D269)),Reference!$A$6:$A$11,1))+1)-INDEX(Reference!$A$6:$A$11,MIN(5,MATCH(MAX(Reference!$A$6,MIN(Reference!$A$11,D269)),Reference!$A$6:$A$11,1))))))))</f>
        <v/>
      </c>
      <c r="P269" s="32" t="str">
        <f>IF(N269="","",VLOOKUP(MAX(N269,0),Reference!$A$17:$B$20,2,TRUE()))</f>
        <v/>
      </c>
      <c r="Q269" s="32" t="str">
        <f t="shared" si="39"/>
        <v/>
      </c>
      <c r="R269" s="31"/>
      <c r="S269" s="31"/>
      <c r="T269" s="31"/>
      <c r="U269" s="32" t="str">
        <f t="shared" si="40"/>
        <v/>
      </c>
      <c r="V269" s="32" t="str">
        <f t="shared" si="41"/>
        <v/>
      </c>
      <c r="W269" s="32" t="str">
        <f>IF(V269="","",VLOOKUP(MAX(V269,0),Reference!$A$17:$B$20,2,TRUE()))</f>
        <v/>
      </c>
      <c r="X269" s="31"/>
      <c r="Y269" s="31"/>
      <c r="Z269" s="31"/>
      <c r="AA269" s="32" t="str">
        <f t="shared" si="42"/>
        <v/>
      </c>
      <c r="AB269" s="32" t="str">
        <f t="shared" si="43"/>
        <v/>
      </c>
      <c r="AC269" s="32" t="str">
        <f>IF(AB269="","",VLOOKUP(MAX(AB269,0),Reference!$A$17:$B$20,2,TRUE()))</f>
        <v/>
      </c>
      <c r="AD269" s="31"/>
      <c r="AE269">
        <f t="shared" si="44"/>
        <v>1</v>
      </c>
      <c r="AF269" s="33" t="str">
        <f>IF(OR(A269="",B269="",AND(C269&lt;&gt;"Bullpen",C269&lt;&gt;"Game")),"",IF((COUNTIFS($B$5:$B$300,B269,$A$5:$A$300,A269-1,$C$5:$C$300,"Bullpen",$AG$5:$AG$300,"&gt;0") + COUNTIFS($B$5:$B$300,B269,$A$5:$A$300,A269-1,$C$5:$C$300,"Game",$AG$5:$AG$300,"&gt;0"))&gt;0,Reference!$B$119,IF((COUNTIFS($B$5:$B$300,B269,$A$5:$A$300,A269-2,$C$5:$C$300,"Bullpen",$AG$5:$AG$300,"&gt;0") + COUNTIFS($B$5:$B$300,B269,$A$5:$A$300,A269-2,$C$5:$C$300,"Game",$AG$5:$AG$300,"&gt;0"))&gt;0,Reference!$B$120,1)))</f>
        <v/>
      </c>
      <c r="AG269" s="30" t="str">
        <f>IF(AND(OR(I269="",O269="",P269=""),OR(R269="",W269=""),OR(X269="",AC269="")),"",IF(OR(I269="",O269="",P269=""),0,I269*O269*P269)+IF(OR(R269="",W269=""),0,R269*IFERROR(INDEX(Reference!$B$61:$B$62,MATCH("Bullpen",Reference!$A$61:$A$62,0)),0)*W269)+IF(OR(X269="",AC269=""),0,X269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269))</f>
        <v/>
      </c>
    </row>
    <row r="270" spans="1:33" x14ac:dyDescent="0.3">
      <c r="A270" s="35"/>
      <c r="B270" s="31"/>
      <c r="C270" s="31"/>
      <c r="D270" s="31"/>
      <c r="E270" s="34"/>
      <c r="F270" s="34"/>
      <c r="G270" s="30" t="str">
        <f t="shared" si="36"/>
        <v/>
      </c>
      <c r="H270" s="31"/>
      <c r="I270" s="32" t="str">
        <f>IF(H270&lt;&gt;"",H270,IF(G270="","",ROUND(G270*IFERROR(INDEX(Reference!$B$44:$B$50,MATCH(C270,Reference!$A$44:$A$50,0)),0),0)))</f>
        <v/>
      </c>
      <c r="J270" s="31"/>
      <c r="K270" s="31"/>
      <c r="L270" s="32" t="str">
        <f t="shared" si="37"/>
        <v/>
      </c>
      <c r="M270" s="32" t="str">
        <f>IFERROR(INDEX(Roster!$D$5:$D$40,MATCH(B270,Roster!$A$5:$A$40,0)),"")</f>
        <v/>
      </c>
      <c r="N270" s="32" t="str">
        <f t="shared" si="38"/>
        <v/>
      </c>
      <c r="O270" s="32" t="str">
        <f>IF(OR(C270="Bullpen",C270="Game"),IFERROR(INDEX(Reference!$B$61:$B$62,MATCH(C270,Reference!$A$61:$A$62,0)),""),IF(D270="","",IF(AE270&gt;1,((IF(1&lt;=AE270,(AE270-1+3)*(INDEX(Reference!$B$6:$B$11,MIN(5,MATCH(MAX(Reference!$A$6,MIN(Reference!$A$11,MIN(D270,90))),Reference!$A$6:$A$11,1)))+(MAX(Reference!$A$6,MIN(Reference!$A$11,MIN(D270,90)))-INDEX(Reference!$A$6:$A$11,MIN(5,MATCH(MAX(Reference!$A$6,MIN(Reference!$A$11,MIN(D270,90))),Reference!$A$6:$A$11,1))))*(INDEX(Reference!$B$6:$B$11,MIN(5,MATCH(MAX(Reference!$A$6,MIN(Reference!$A$11,MIN(D270,90))),Reference!$A$6:$A$11,1))+1)-INDEX(Reference!$B$6:$B$11,MIN(5,MATCH(MAX(Reference!$A$6,MIN(Reference!$A$11,MIN(D270,90))),Reference!$A$6:$A$11,1))))/(INDEX(Reference!$A$6:$A$11,MIN(5,MATCH(MAX(Reference!$A$6,MIN(Reference!$A$11,MIN(D270,90))),Reference!$A$6:$A$11,1))+1)-INDEX(Reference!$A$6:$A$11,MIN(5,MATCH(MAX(Reference!$A$6,MIN(Reference!$A$11,MIN(D270,90))),Reference!$A$6:$A$11,1))))),0)+IF(2&lt;=AE270,(AE270-2+3)*(INDEX(Reference!$B$6:$B$11,MIN(5,MATCH(MAX(Reference!$A$6,MIN(Reference!$A$11,MIN(D270,120))),Reference!$A$6:$A$11,1)))+(MAX(Reference!$A$6,MIN(Reference!$A$11,MIN(D270,120)))-INDEX(Reference!$A$6:$A$11,MIN(5,MATCH(MAX(Reference!$A$6,MIN(Reference!$A$11,MIN(D270,120))),Reference!$A$6:$A$11,1))))*(INDEX(Reference!$B$6:$B$11,MIN(5,MATCH(MAX(Reference!$A$6,MIN(Reference!$A$11,MIN(D270,120))),Reference!$A$6:$A$11,1))+1)-INDEX(Reference!$B$6:$B$11,MIN(5,MATCH(MAX(Reference!$A$6,MIN(Reference!$A$11,MIN(D270,120))),Reference!$A$6:$A$11,1))))/(INDEX(Reference!$A$6:$A$11,MIN(5,MATCH(MAX(Reference!$A$6,MIN(Reference!$A$11,MIN(D270,120))),Reference!$A$6:$A$11,1))+1)-INDEX(Reference!$A$6:$A$11,MIN(5,MATCH(MAX(Reference!$A$6,MIN(Reference!$A$11,MIN(D270,120))),Reference!$A$6:$A$11,1))))),0)+IF(3&lt;=AE270,(AE270-3+3)*(INDEX(Reference!$B$6:$B$11,MIN(5,MATCH(MAX(Reference!$A$6,MIN(Reference!$A$11,MIN(D270,150))),Reference!$A$6:$A$11,1)))+(MAX(Reference!$A$6,MIN(Reference!$A$11,MIN(D270,150)))-INDEX(Reference!$A$6:$A$11,MIN(5,MATCH(MAX(Reference!$A$6,MIN(Reference!$A$11,MIN(D270,150))),Reference!$A$6:$A$11,1))))*(INDEX(Reference!$B$6:$B$11,MIN(5,MATCH(MAX(Reference!$A$6,MIN(Reference!$A$11,MIN(D270,150))),Reference!$A$6:$A$11,1))+1)-INDEX(Reference!$B$6:$B$11,MIN(5,MATCH(MAX(Reference!$A$6,MIN(Reference!$A$11,MIN(D270,150))),Reference!$A$6:$A$11,1))))/(INDEX(Reference!$A$6:$A$11,MIN(5,MATCH(MAX(Reference!$A$6,MIN(Reference!$A$11,MIN(D270,150))),Reference!$A$6:$A$11,1))+1)-INDEX(Reference!$A$6:$A$11,MIN(5,MATCH(MAX(Reference!$A$6,MIN(Reference!$A$11,MIN(D270,150))),Reference!$A$6:$A$11,1))))),0)+IF(4&lt;=AE270,(AE270-4+3)*(INDEX(Reference!$B$6:$B$11,MIN(5,MATCH(MAX(Reference!$A$6,MIN(Reference!$A$11,MIN(D270,180))),Reference!$A$6:$A$11,1)))+(MAX(Reference!$A$6,MIN(Reference!$A$11,MIN(D270,180)))-INDEX(Reference!$A$6:$A$11,MIN(5,MATCH(MAX(Reference!$A$6,MIN(Reference!$A$11,MIN(D270,180))),Reference!$A$6:$A$11,1))))*(INDEX(Reference!$B$6:$B$11,MIN(5,MATCH(MAX(Reference!$A$6,MIN(Reference!$A$11,MIN(D270,180))),Reference!$A$6:$A$11,1))+1)-INDEX(Reference!$B$6:$B$11,MIN(5,MATCH(MAX(Reference!$A$6,MIN(Reference!$A$11,MIN(D270,180))),Reference!$A$6:$A$11,1))))/(INDEX(Reference!$A$6:$A$11,MIN(5,MATCH(MAX(Reference!$A$6,MIN(Reference!$A$11,MIN(D270,180))),Reference!$A$6:$A$11,1))+1)-INDEX(Reference!$A$6:$A$11,MIN(5,MATCH(MAX(Reference!$A$6,MIN(Reference!$A$11,MIN(D270,180))),Reference!$A$6:$A$11,1))))),0)+IF(5&lt;=AE270,(AE270-5+3)*(INDEX(Reference!$B$6:$B$11,MIN(5,MATCH(MAX(Reference!$A$6,MIN(Reference!$A$11,MIN(D270,210))),Reference!$A$6:$A$11,1)))+(MAX(Reference!$A$6,MIN(Reference!$A$11,MIN(D270,210)))-INDEX(Reference!$A$6:$A$11,MIN(5,MATCH(MAX(Reference!$A$6,MIN(Reference!$A$11,MIN(D270,210))),Reference!$A$6:$A$11,1))))*(INDEX(Reference!$B$6:$B$11,MIN(5,MATCH(MAX(Reference!$A$6,MIN(Reference!$A$11,MIN(D270,210))),Reference!$A$6:$A$11,1))+1)-INDEX(Reference!$B$6:$B$11,MIN(5,MATCH(MAX(Reference!$A$6,MIN(Reference!$A$11,MIN(D270,210))),Reference!$A$6:$A$11,1))))/(INDEX(Reference!$A$6:$A$11,MIN(5,MATCH(MAX(Reference!$A$6,MIN(Reference!$A$11,MIN(D270,210))),Reference!$A$6:$A$11,1))+1)-INDEX(Reference!$A$6:$A$11,MIN(5,MATCH(MAX(Reference!$A$6,MIN(Reference!$A$11,MIN(D270,210))),Reference!$A$6:$A$11,1))))),0)+IF(6&lt;=AE270,(AE270-6+3)*(INDEX(Reference!$B$6:$B$11,MIN(5,MATCH(MAX(Reference!$A$6,MIN(Reference!$A$11,MIN(D270,240))),Reference!$A$6:$A$11,1)))+(MAX(Reference!$A$6,MIN(Reference!$A$11,MIN(D270,240)))-INDEX(Reference!$A$6:$A$11,MIN(5,MATCH(MAX(Reference!$A$6,MIN(Reference!$A$11,MIN(D270,240))),Reference!$A$6:$A$11,1))))*(INDEX(Reference!$B$6:$B$11,MIN(5,MATCH(MAX(Reference!$A$6,MIN(Reference!$A$11,MIN(D270,240))),Reference!$A$6:$A$11,1))+1)-INDEX(Reference!$B$6:$B$11,MIN(5,MATCH(MAX(Reference!$A$6,MIN(Reference!$A$11,MIN(D270,240))),Reference!$A$6:$A$11,1))))/(INDEX(Reference!$A$6:$A$11,MIN(5,MATCH(MAX(Reference!$A$6,MIN(Reference!$A$11,MIN(D270,240))),Reference!$A$6:$A$11,1))+1)-INDEX(Reference!$A$6:$A$11,MIN(5,MATCH(MAX(Reference!$A$6,MIN(Reference!$A$11,MIN(D270,240))),Reference!$A$6:$A$11,1))))),0)+IF(7&lt;=AE270,(AE270-7+3)*(INDEX(Reference!$B$6:$B$11,MIN(5,MATCH(MAX(Reference!$A$6,MIN(Reference!$A$11,MIN(D270,270))),Reference!$A$6:$A$11,1)))+(MAX(Reference!$A$6,MIN(Reference!$A$11,MIN(D270,270)))-INDEX(Reference!$A$6:$A$11,MIN(5,MATCH(MAX(Reference!$A$6,MIN(Reference!$A$11,MIN(D270,270))),Reference!$A$6:$A$11,1))))*(INDEX(Reference!$B$6:$B$11,MIN(5,MATCH(MAX(Reference!$A$6,MIN(Reference!$A$11,MIN(D270,270))),Reference!$A$6:$A$11,1))+1)-INDEX(Reference!$B$6:$B$11,MIN(5,MATCH(MAX(Reference!$A$6,MIN(Reference!$A$11,MIN(D270,270))),Reference!$A$6:$A$11,1))))/(INDEX(Reference!$A$6:$A$11,MIN(5,MATCH(MAX(Reference!$A$6,MIN(Reference!$A$11,MIN(D270,270))),Reference!$A$6:$A$11,1))+1)-INDEX(Reference!$A$6:$A$11,MIN(5,MATCH(MAX(Reference!$A$6,MIN(Reference!$A$11,MIN(D270,270))),Reference!$A$6:$A$11,1))))),0)+IF(8&lt;=AE270,(AE270-8+3)*(INDEX(Reference!$B$6:$B$11,MIN(5,MATCH(MAX(Reference!$A$6,MIN(Reference!$A$11,MIN(D270,300))),Reference!$A$6:$A$11,1)))+(MAX(Reference!$A$6,MIN(Reference!$A$11,MIN(D270,300)))-INDEX(Reference!$A$6:$A$11,MIN(5,MATCH(MAX(Reference!$A$6,MIN(Reference!$A$11,MIN(D270,300))),Reference!$A$6:$A$11,1))))*(INDEX(Reference!$B$6:$B$11,MIN(5,MATCH(MAX(Reference!$A$6,MIN(Reference!$A$11,MIN(D270,300))),Reference!$A$6:$A$11,1))+1)-INDEX(Reference!$B$6:$B$11,MIN(5,MATCH(MAX(Reference!$A$6,MIN(Reference!$A$11,MIN(D270,300))),Reference!$A$6:$A$11,1))))/(INDEX(Reference!$A$6:$A$11,MIN(5,MATCH(MAX(Reference!$A$6,MIN(Reference!$A$11,MIN(D270,300))),Reference!$A$6:$A$11,1))+1)-INDEX(Reference!$A$6:$A$11,MIN(5,MATCH(MAX(Reference!$A$6,MIN(Reference!$A$11,MIN(D270,300))),Reference!$A$6:$A$11,1))))),0))/(AE270*(AE270+5)/2)),(INDEX(Reference!$B$6:$B$11,MIN(5,MATCH(MAX(Reference!$A$6,MIN(Reference!$A$11,D270)),Reference!$A$6:$A$11,1)))+(MAX(Reference!$A$6,MIN(Reference!$A$11,D270))-INDEX(Reference!$A$6:$A$11,MIN(5,MATCH(MAX(Reference!$A$6,MIN(Reference!$A$11,D270)),Reference!$A$6:$A$11,1))))*(INDEX(Reference!$B$6:$B$11,MIN(5,MATCH(MAX(Reference!$A$6,MIN(Reference!$A$11,D270)),Reference!$A$6:$A$11,1))+1)-INDEX(Reference!$B$6:$B$11,MIN(5,MATCH(MAX(Reference!$A$6,MIN(Reference!$A$11,D270)),Reference!$A$6:$A$11,1))))/(INDEX(Reference!$A$6:$A$11,MIN(5,MATCH(MAX(Reference!$A$6,MIN(Reference!$A$11,D270)),Reference!$A$6:$A$11,1))+1)-INDEX(Reference!$A$6:$A$11,MIN(5,MATCH(MAX(Reference!$A$6,MIN(Reference!$A$11,D270)),Reference!$A$6:$A$11,1))))))))</f>
        <v/>
      </c>
      <c r="P270" s="32" t="str">
        <f>IF(N270="","",VLOOKUP(MAX(N270,0),Reference!$A$17:$B$20,2,TRUE()))</f>
        <v/>
      </c>
      <c r="Q270" s="32" t="str">
        <f t="shared" si="39"/>
        <v/>
      </c>
      <c r="R270" s="31"/>
      <c r="S270" s="31"/>
      <c r="T270" s="31"/>
      <c r="U270" s="32" t="str">
        <f t="shared" si="40"/>
        <v/>
      </c>
      <c r="V270" s="32" t="str">
        <f t="shared" si="41"/>
        <v/>
      </c>
      <c r="W270" s="32" t="str">
        <f>IF(V270="","",VLOOKUP(MAX(V270,0),Reference!$A$17:$B$20,2,TRUE()))</f>
        <v/>
      </c>
      <c r="X270" s="31"/>
      <c r="Y270" s="31"/>
      <c r="Z270" s="31"/>
      <c r="AA270" s="32" t="str">
        <f t="shared" si="42"/>
        <v/>
      </c>
      <c r="AB270" s="32" t="str">
        <f t="shared" si="43"/>
        <v/>
      </c>
      <c r="AC270" s="32" t="str">
        <f>IF(AB270="","",VLOOKUP(MAX(AB270,0),Reference!$A$17:$B$20,2,TRUE()))</f>
        <v/>
      </c>
      <c r="AD270" s="31"/>
      <c r="AE270">
        <f t="shared" si="44"/>
        <v>1</v>
      </c>
      <c r="AF270" s="33" t="str">
        <f>IF(OR(A270="",B270="",AND(C270&lt;&gt;"Bullpen",C270&lt;&gt;"Game")),"",IF((COUNTIFS($B$5:$B$300,B270,$A$5:$A$300,A270-1,$C$5:$C$300,"Bullpen",$AG$5:$AG$300,"&gt;0") + COUNTIFS($B$5:$B$300,B270,$A$5:$A$300,A270-1,$C$5:$C$300,"Game",$AG$5:$AG$300,"&gt;0"))&gt;0,Reference!$B$119,IF((COUNTIFS($B$5:$B$300,B270,$A$5:$A$300,A270-2,$C$5:$C$300,"Bullpen",$AG$5:$AG$300,"&gt;0") + COUNTIFS($B$5:$B$300,B270,$A$5:$A$300,A270-2,$C$5:$C$300,"Game",$AG$5:$AG$300,"&gt;0"))&gt;0,Reference!$B$120,1)))</f>
        <v/>
      </c>
      <c r="AG270" s="30" t="str">
        <f>IF(AND(OR(I270="",O270="",P270=""),OR(R270="",W270=""),OR(X270="",AC270="")),"",IF(OR(I270="",O270="",P270=""),0,I270*O270*P270)+IF(OR(R270="",W270=""),0,R270*IFERROR(INDEX(Reference!$B$61:$B$62,MATCH("Bullpen",Reference!$A$61:$A$62,0)),0)*W270)+IF(OR(X270="",AC270=""),0,X270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270))</f>
        <v/>
      </c>
    </row>
    <row r="271" spans="1:33" x14ac:dyDescent="0.3">
      <c r="A271" s="35"/>
      <c r="B271" s="31"/>
      <c r="C271" s="31"/>
      <c r="D271" s="31"/>
      <c r="E271" s="34"/>
      <c r="F271" s="34"/>
      <c r="G271" s="30" t="str">
        <f t="shared" si="36"/>
        <v/>
      </c>
      <c r="H271" s="31"/>
      <c r="I271" s="32" t="str">
        <f>IF(H271&lt;&gt;"",H271,IF(G271="","",ROUND(G271*IFERROR(INDEX(Reference!$B$44:$B$50,MATCH(C271,Reference!$A$44:$A$50,0)),0),0)))</f>
        <v/>
      </c>
      <c r="J271" s="31"/>
      <c r="K271" s="31"/>
      <c r="L271" s="32" t="str">
        <f t="shared" si="37"/>
        <v/>
      </c>
      <c r="M271" s="32" t="str">
        <f>IFERROR(INDEX(Roster!$D$5:$D$40,MATCH(B271,Roster!$A$5:$A$40,0)),"")</f>
        <v/>
      </c>
      <c r="N271" s="32" t="str">
        <f t="shared" si="38"/>
        <v/>
      </c>
      <c r="O271" s="32" t="str">
        <f>IF(OR(C271="Bullpen",C271="Game"),IFERROR(INDEX(Reference!$B$61:$B$62,MATCH(C271,Reference!$A$61:$A$62,0)),""),IF(D271="","",IF(AE271&gt;1,((IF(1&lt;=AE271,(AE271-1+3)*(INDEX(Reference!$B$6:$B$11,MIN(5,MATCH(MAX(Reference!$A$6,MIN(Reference!$A$11,MIN(D271,90))),Reference!$A$6:$A$11,1)))+(MAX(Reference!$A$6,MIN(Reference!$A$11,MIN(D271,90)))-INDEX(Reference!$A$6:$A$11,MIN(5,MATCH(MAX(Reference!$A$6,MIN(Reference!$A$11,MIN(D271,90))),Reference!$A$6:$A$11,1))))*(INDEX(Reference!$B$6:$B$11,MIN(5,MATCH(MAX(Reference!$A$6,MIN(Reference!$A$11,MIN(D271,90))),Reference!$A$6:$A$11,1))+1)-INDEX(Reference!$B$6:$B$11,MIN(5,MATCH(MAX(Reference!$A$6,MIN(Reference!$A$11,MIN(D271,90))),Reference!$A$6:$A$11,1))))/(INDEX(Reference!$A$6:$A$11,MIN(5,MATCH(MAX(Reference!$A$6,MIN(Reference!$A$11,MIN(D271,90))),Reference!$A$6:$A$11,1))+1)-INDEX(Reference!$A$6:$A$11,MIN(5,MATCH(MAX(Reference!$A$6,MIN(Reference!$A$11,MIN(D271,90))),Reference!$A$6:$A$11,1))))),0)+IF(2&lt;=AE271,(AE271-2+3)*(INDEX(Reference!$B$6:$B$11,MIN(5,MATCH(MAX(Reference!$A$6,MIN(Reference!$A$11,MIN(D271,120))),Reference!$A$6:$A$11,1)))+(MAX(Reference!$A$6,MIN(Reference!$A$11,MIN(D271,120)))-INDEX(Reference!$A$6:$A$11,MIN(5,MATCH(MAX(Reference!$A$6,MIN(Reference!$A$11,MIN(D271,120))),Reference!$A$6:$A$11,1))))*(INDEX(Reference!$B$6:$B$11,MIN(5,MATCH(MAX(Reference!$A$6,MIN(Reference!$A$11,MIN(D271,120))),Reference!$A$6:$A$11,1))+1)-INDEX(Reference!$B$6:$B$11,MIN(5,MATCH(MAX(Reference!$A$6,MIN(Reference!$A$11,MIN(D271,120))),Reference!$A$6:$A$11,1))))/(INDEX(Reference!$A$6:$A$11,MIN(5,MATCH(MAX(Reference!$A$6,MIN(Reference!$A$11,MIN(D271,120))),Reference!$A$6:$A$11,1))+1)-INDEX(Reference!$A$6:$A$11,MIN(5,MATCH(MAX(Reference!$A$6,MIN(Reference!$A$11,MIN(D271,120))),Reference!$A$6:$A$11,1))))),0)+IF(3&lt;=AE271,(AE271-3+3)*(INDEX(Reference!$B$6:$B$11,MIN(5,MATCH(MAX(Reference!$A$6,MIN(Reference!$A$11,MIN(D271,150))),Reference!$A$6:$A$11,1)))+(MAX(Reference!$A$6,MIN(Reference!$A$11,MIN(D271,150)))-INDEX(Reference!$A$6:$A$11,MIN(5,MATCH(MAX(Reference!$A$6,MIN(Reference!$A$11,MIN(D271,150))),Reference!$A$6:$A$11,1))))*(INDEX(Reference!$B$6:$B$11,MIN(5,MATCH(MAX(Reference!$A$6,MIN(Reference!$A$11,MIN(D271,150))),Reference!$A$6:$A$11,1))+1)-INDEX(Reference!$B$6:$B$11,MIN(5,MATCH(MAX(Reference!$A$6,MIN(Reference!$A$11,MIN(D271,150))),Reference!$A$6:$A$11,1))))/(INDEX(Reference!$A$6:$A$11,MIN(5,MATCH(MAX(Reference!$A$6,MIN(Reference!$A$11,MIN(D271,150))),Reference!$A$6:$A$11,1))+1)-INDEX(Reference!$A$6:$A$11,MIN(5,MATCH(MAX(Reference!$A$6,MIN(Reference!$A$11,MIN(D271,150))),Reference!$A$6:$A$11,1))))),0)+IF(4&lt;=AE271,(AE271-4+3)*(INDEX(Reference!$B$6:$B$11,MIN(5,MATCH(MAX(Reference!$A$6,MIN(Reference!$A$11,MIN(D271,180))),Reference!$A$6:$A$11,1)))+(MAX(Reference!$A$6,MIN(Reference!$A$11,MIN(D271,180)))-INDEX(Reference!$A$6:$A$11,MIN(5,MATCH(MAX(Reference!$A$6,MIN(Reference!$A$11,MIN(D271,180))),Reference!$A$6:$A$11,1))))*(INDEX(Reference!$B$6:$B$11,MIN(5,MATCH(MAX(Reference!$A$6,MIN(Reference!$A$11,MIN(D271,180))),Reference!$A$6:$A$11,1))+1)-INDEX(Reference!$B$6:$B$11,MIN(5,MATCH(MAX(Reference!$A$6,MIN(Reference!$A$11,MIN(D271,180))),Reference!$A$6:$A$11,1))))/(INDEX(Reference!$A$6:$A$11,MIN(5,MATCH(MAX(Reference!$A$6,MIN(Reference!$A$11,MIN(D271,180))),Reference!$A$6:$A$11,1))+1)-INDEX(Reference!$A$6:$A$11,MIN(5,MATCH(MAX(Reference!$A$6,MIN(Reference!$A$11,MIN(D271,180))),Reference!$A$6:$A$11,1))))),0)+IF(5&lt;=AE271,(AE271-5+3)*(INDEX(Reference!$B$6:$B$11,MIN(5,MATCH(MAX(Reference!$A$6,MIN(Reference!$A$11,MIN(D271,210))),Reference!$A$6:$A$11,1)))+(MAX(Reference!$A$6,MIN(Reference!$A$11,MIN(D271,210)))-INDEX(Reference!$A$6:$A$11,MIN(5,MATCH(MAX(Reference!$A$6,MIN(Reference!$A$11,MIN(D271,210))),Reference!$A$6:$A$11,1))))*(INDEX(Reference!$B$6:$B$11,MIN(5,MATCH(MAX(Reference!$A$6,MIN(Reference!$A$11,MIN(D271,210))),Reference!$A$6:$A$11,1))+1)-INDEX(Reference!$B$6:$B$11,MIN(5,MATCH(MAX(Reference!$A$6,MIN(Reference!$A$11,MIN(D271,210))),Reference!$A$6:$A$11,1))))/(INDEX(Reference!$A$6:$A$11,MIN(5,MATCH(MAX(Reference!$A$6,MIN(Reference!$A$11,MIN(D271,210))),Reference!$A$6:$A$11,1))+1)-INDEX(Reference!$A$6:$A$11,MIN(5,MATCH(MAX(Reference!$A$6,MIN(Reference!$A$11,MIN(D271,210))),Reference!$A$6:$A$11,1))))),0)+IF(6&lt;=AE271,(AE271-6+3)*(INDEX(Reference!$B$6:$B$11,MIN(5,MATCH(MAX(Reference!$A$6,MIN(Reference!$A$11,MIN(D271,240))),Reference!$A$6:$A$11,1)))+(MAX(Reference!$A$6,MIN(Reference!$A$11,MIN(D271,240)))-INDEX(Reference!$A$6:$A$11,MIN(5,MATCH(MAX(Reference!$A$6,MIN(Reference!$A$11,MIN(D271,240))),Reference!$A$6:$A$11,1))))*(INDEX(Reference!$B$6:$B$11,MIN(5,MATCH(MAX(Reference!$A$6,MIN(Reference!$A$11,MIN(D271,240))),Reference!$A$6:$A$11,1))+1)-INDEX(Reference!$B$6:$B$11,MIN(5,MATCH(MAX(Reference!$A$6,MIN(Reference!$A$11,MIN(D271,240))),Reference!$A$6:$A$11,1))))/(INDEX(Reference!$A$6:$A$11,MIN(5,MATCH(MAX(Reference!$A$6,MIN(Reference!$A$11,MIN(D271,240))),Reference!$A$6:$A$11,1))+1)-INDEX(Reference!$A$6:$A$11,MIN(5,MATCH(MAX(Reference!$A$6,MIN(Reference!$A$11,MIN(D271,240))),Reference!$A$6:$A$11,1))))),0)+IF(7&lt;=AE271,(AE271-7+3)*(INDEX(Reference!$B$6:$B$11,MIN(5,MATCH(MAX(Reference!$A$6,MIN(Reference!$A$11,MIN(D271,270))),Reference!$A$6:$A$11,1)))+(MAX(Reference!$A$6,MIN(Reference!$A$11,MIN(D271,270)))-INDEX(Reference!$A$6:$A$11,MIN(5,MATCH(MAX(Reference!$A$6,MIN(Reference!$A$11,MIN(D271,270))),Reference!$A$6:$A$11,1))))*(INDEX(Reference!$B$6:$B$11,MIN(5,MATCH(MAX(Reference!$A$6,MIN(Reference!$A$11,MIN(D271,270))),Reference!$A$6:$A$11,1))+1)-INDEX(Reference!$B$6:$B$11,MIN(5,MATCH(MAX(Reference!$A$6,MIN(Reference!$A$11,MIN(D271,270))),Reference!$A$6:$A$11,1))))/(INDEX(Reference!$A$6:$A$11,MIN(5,MATCH(MAX(Reference!$A$6,MIN(Reference!$A$11,MIN(D271,270))),Reference!$A$6:$A$11,1))+1)-INDEX(Reference!$A$6:$A$11,MIN(5,MATCH(MAX(Reference!$A$6,MIN(Reference!$A$11,MIN(D271,270))),Reference!$A$6:$A$11,1))))),0)+IF(8&lt;=AE271,(AE271-8+3)*(INDEX(Reference!$B$6:$B$11,MIN(5,MATCH(MAX(Reference!$A$6,MIN(Reference!$A$11,MIN(D271,300))),Reference!$A$6:$A$11,1)))+(MAX(Reference!$A$6,MIN(Reference!$A$11,MIN(D271,300)))-INDEX(Reference!$A$6:$A$11,MIN(5,MATCH(MAX(Reference!$A$6,MIN(Reference!$A$11,MIN(D271,300))),Reference!$A$6:$A$11,1))))*(INDEX(Reference!$B$6:$B$11,MIN(5,MATCH(MAX(Reference!$A$6,MIN(Reference!$A$11,MIN(D271,300))),Reference!$A$6:$A$11,1))+1)-INDEX(Reference!$B$6:$B$11,MIN(5,MATCH(MAX(Reference!$A$6,MIN(Reference!$A$11,MIN(D271,300))),Reference!$A$6:$A$11,1))))/(INDEX(Reference!$A$6:$A$11,MIN(5,MATCH(MAX(Reference!$A$6,MIN(Reference!$A$11,MIN(D271,300))),Reference!$A$6:$A$11,1))+1)-INDEX(Reference!$A$6:$A$11,MIN(5,MATCH(MAX(Reference!$A$6,MIN(Reference!$A$11,MIN(D271,300))),Reference!$A$6:$A$11,1))))),0))/(AE271*(AE271+5)/2)),(INDEX(Reference!$B$6:$B$11,MIN(5,MATCH(MAX(Reference!$A$6,MIN(Reference!$A$11,D271)),Reference!$A$6:$A$11,1)))+(MAX(Reference!$A$6,MIN(Reference!$A$11,D271))-INDEX(Reference!$A$6:$A$11,MIN(5,MATCH(MAX(Reference!$A$6,MIN(Reference!$A$11,D271)),Reference!$A$6:$A$11,1))))*(INDEX(Reference!$B$6:$B$11,MIN(5,MATCH(MAX(Reference!$A$6,MIN(Reference!$A$11,D271)),Reference!$A$6:$A$11,1))+1)-INDEX(Reference!$B$6:$B$11,MIN(5,MATCH(MAX(Reference!$A$6,MIN(Reference!$A$11,D271)),Reference!$A$6:$A$11,1))))/(INDEX(Reference!$A$6:$A$11,MIN(5,MATCH(MAX(Reference!$A$6,MIN(Reference!$A$11,D271)),Reference!$A$6:$A$11,1))+1)-INDEX(Reference!$A$6:$A$11,MIN(5,MATCH(MAX(Reference!$A$6,MIN(Reference!$A$11,D271)),Reference!$A$6:$A$11,1))))))))</f>
        <v/>
      </c>
      <c r="P271" s="32" t="str">
        <f>IF(N271="","",VLOOKUP(MAX(N271,0),Reference!$A$17:$B$20,2,TRUE()))</f>
        <v/>
      </c>
      <c r="Q271" s="32" t="str">
        <f t="shared" si="39"/>
        <v/>
      </c>
      <c r="R271" s="31"/>
      <c r="S271" s="31"/>
      <c r="T271" s="31"/>
      <c r="U271" s="32" t="str">
        <f t="shared" si="40"/>
        <v/>
      </c>
      <c r="V271" s="32" t="str">
        <f t="shared" si="41"/>
        <v/>
      </c>
      <c r="W271" s="32" t="str">
        <f>IF(V271="","",VLOOKUP(MAX(V271,0),Reference!$A$17:$B$20,2,TRUE()))</f>
        <v/>
      </c>
      <c r="X271" s="31"/>
      <c r="Y271" s="31"/>
      <c r="Z271" s="31"/>
      <c r="AA271" s="32" t="str">
        <f t="shared" si="42"/>
        <v/>
      </c>
      <c r="AB271" s="32" t="str">
        <f t="shared" si="43"/>
        <v/>
      </c>
      <c r="AC271" s="32" t="str">
        <f>IF(AB271="","",VLOOKUP(MAX(AB271,0),Reference!$A$17:$B$20,2,TRUE()))</f>
        <v/>
      </c>
      <c r="AD271" s="31"/>
      <c r="AE271">
        <f t="shared" si="44"/>
        <v>1</v>
      </c>
      <c r="AF271" s="33" t="str">
        <f>IF(OR(A271="",B271="",AND(C271&lt;&gt;"Bullpen",C271&lt;&gt;"Game")),"",IF((COUNTIFS($B$5:$B$300,B271,$A$5:$A$300,A271-1,$C$5:$C$300,"Bullpen",$AG$5:$AG$300,"&gt;0") + COUNTIFS($B$5:$B$300,B271,$A$5:$A$300,A271-1,$C$5:$C$300,"Game",$AG$5:$AG$300,"&gt;0"))&gt;0,Reference!$B$119,IF((COUNTIFS($B$5:$B$300,B271,$A$5:$A$300,A271-2,$C$5:$C$300,"Bullpen",$AG$5:$AG$300,"&gt;0") + COUNTIFS($B$5:$B$300,B271,$A$5:$A$300,A271-2,$C$5:$C$300,"Game",$AG$5:$AG$300,"&gt;0"))&gt;0,Reference!$B$120,1)))</f>
        <v/>
      </c>
      <c r="AG271" s="30" t="str">
        <f>IF(AND(OR(I271="",O271="",P271=""),OR(R271="",W271=""),OR(X271="",AC271="")),"",IF(OR(I271="",O271="",P271=""),0,I271*O271*P271)+IF(OR(R271="",W271=""),0,R271*IFERROR(INDEX(Reference!$B$61:$B$62,MATCH("Bullpen",Reference!$A$61:$A$62,0)),0)*W271)+IF(OR(X271="",AC271=""),0,X271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271))</f>
        <v/>
      </c>
    </row>
    <row r="272" spans="1:33" x14ac:dyDescent="0.3">
      <c r="A272" s="35"/>
      <c r="B272" s="31"/>
      <c r="C272" s="31"/>
      <c r="D272" s="31"/>
      <c r="E272" s="34"/>
      <c r="F272" s="34"/>
      <c r="G272" s="30" t="str">
        <f t="shared" si="36"/>
        <v/>
      </c>
      <c r="H272" s="31"/>
      <c r="I272" s="32" t="str">
        <f>IF(H272&lt;&gt;"",H272,IF(G272="","",ROUND(G272*IFERROR(INDEX(Reference!$B$44:$B$50,MATCH(C272,Reference!$A$44:$A$50,0)),0),0)))</f>
        <v/>
      </c>
      <c r="J272" s="31"/>
      <c r="K272" s="31"/>
      <c r="L272" s="32" t="str">
        <f t="shared" si="37"/>
        <v/>
      </c>
      <c r="M272" s="32" t="str">
        <f>IFERROR(INDEX(Roster!$D$5:$D$40,MATCH(B272,Roster!$A$5:$A$40,0)),"")</f>
        <v/>
      </c>
      <c r="N272" s="32" t="str">
        <f t="shared" si="38"/>
        <v/>
      </c>
      <c r="O272" s="32" t="str">
        <f>IF(OR(C272="Bullpen",C272="Game"),IFERROR(INDEX(Reference!$B$61:$B$62,MATCH(C272,Reference!$A$61:$A$62,0)),""),IF(D272="","",IF(AE272&gt;1,((IF(1&lt;=AE272,(AE272-1+3)*(INDEX(Reference!$B$6:$B$11,MIN(5,MATCH(MAX(Reference!$A$6,MIN(Reference!$A$11,MIN(D272,90))),Reference!$A$6:$A$11,1)))+(MAX(Reference!$A$6,MIN(Reference!$A$11,MIN(D272,90)))-INDEX(Reference!$A$6:$A$11,MIN(5,MATCH(MAX(Reference!$A$6,MIN(Reference!$A$11,MIN(D272,90))),Reference!$A$6:$A$11,1))))*(INDEX(Reference!$B$6:$B$11,MIN(5,MATCH(MAX(Reference!$A$6,MIN(Reference!$A$11,MIN(D272,90))),Reference!$A$6:$A$11,1))+1)-INDEX(Reference!$B$6:$B$11,MIN(5,MATCH(MAX(Reference!$A$6,MIN(Reference!$A$11,MIN(D272,90))),Reference!$A$6:$A$11,1))))/(INDEX(Reference!$A$6:$A$11,MIN(5,MATCH(MAX(Reference!$A$6,MIN(Reference!$A$11,MIN(D272,90))),Reference!$A$6:$A$11,1))+1)-INDEX(Reference!$A$6:$A$11,MIN(5,MATCH(MAX(Reference!$A$6,MIN(Reference!$A$11,MIN(D272,90))),Reference!$A$6:$A$11,1))))),0)+IF(2&lt;=AE272,(AE272-2+3)*(INDEX(Reference!$B$6:$B$11,MIN(5,MATCH(MAX(Reference!$A$6,MIN(Reference!$A$11,MIN(D272,120))),Reference!$A$6:$A$11,1)))+(MAX(Reference!$A$6,MIN(Reference!$A$11,MIN(D272,120)))-INDEX(Reference!$A$6:$A$11,MIN(5,MATCH(MAX(Reference!$A$6,MIN(Reference!$A$11,MIN(D272,120))),Reference!$A$6:$A$11,1))))*(INDEX(Reference!$B$6:$B$11,MIN(5,MATCH(MAX(Reference!$A$6,MIN(Reference!$A$11,MIN(D272,120))),Reference!$A$6:$A$11,1))+1)-INDEX(Reference!$B$6:$B$11,MIN(5,MATCH(MAX(Reference!$A$6,MIN(Reference!$A$11,MIN(D272,120))),Reference!$A$6:$A$11,1))))/(INDEX(Reference!$A$6:$A$11,MIN(5,MATCH(MAX(Reference!$A$6,MIN(Reference!$A$11,MIN(D272,120))),Reference!$A$6:$A$11,1))+1)-INDEX(Reference!$A$6:$A$11,MIN(5,MATCH(MAX(Reference!$A$6,MIN(Reference!$A$11,MIN(D272,120))),Reference!$A$6:$A$11,1))))),0)+IF(3&lt;=AE272,(AE272-3+3)*(INDEX(Reference!$B$6:$B$11,MIN(5,MATCH(MAX(Reference!$A$6,MIN(Reference!$A$11,MIN(D272,150))),Reference!$A$6:$A$11,1)))+(MAX(Reference!$A$6,MIN(Reference!$A$11,MIN(D272,150)))-INDEX(Reference!$A$6:$A$11,MIN(5,MATCH(MAX(Reference!$A$6,MIN(Reference!$A$11,MIN(D272,150))),Reference!$A$6:$A$11,1))))*(INDEX(Reference!$B$6:$B$11,MIN(5,MATCH(MAX(Reference!$A$6,MIN(Reference!$A$11,MIN(D272,150))),Reference!$A$6:$A$11,1))+1)-INDEX(Reference!$B$6:$B$11,MIN(5,MATCH(MAX(Reference!$A$6,MIN(Reference!$A$11,MIN(D272,150))),Reference!$A$6:$A$11,1))))/(INDEX(Reference!$A$6:$A$11,MIN(5,MATCH(MAX(Reference!$A$6,MIN(Reference!$A$11,MIN(D272,150))),Reference!$A$6:$A$11,1))+1)-INDEX(Reference!$A$6:$A$11,MIN(5,MATCH(MAX(Reference!$A$6,MIN(Reference!$A$11,MIN(D272,150))),Reference!$A$6:$A$11,1))))),0)+IF(4&lt;=AE272,(AE272-4+3)*(INDEX(Reference!$B$6:$B$11,MIN(5,MATCH(MAX(Reference!$A$6,MIN(Reference!$A$11,MIN(D272,180))),Reference!$A$6:$A$11,1)))+(MAX(Reference!$A$6,MIN(Reference!$A$11,MIN(D272,180)))-INDEX(Reference!$A$6:$A$11,MIN(5,MATCH(MAX(Reference!$A$6,MIN(Reference!$A$11,MIN(D272,180))),Reference!$A$6:$A$11,1))))*(INDEX(Reference!$B$6:$B$11,MIN(5,MATCH(MAX(Reference!$A$6,MIN(Reference!$A$11,MIN(D272,180))),Reference!$A$6:$A$11,1))+1)-INDEX(Reference!$B$6:$B$11,MIN(5,MATCH(MAX(Reference!$A$6,MIN(Reference!$A$11,MIN(D272,180))),Reference!$A$6:$A$11,1))))/(INDEX(Reference!$A$6:$A$11,MIN(5,MATCH(MAX(Reference!$A$6,MIN(Reference!$A$11,MIN(D272,180))),Reference!$A$6:$A$11,1))+1)-INDEX(Reference!$A$6:$A$11,MIN(5,MATCH(MAX(Reference!$A$6,MIN(Reference!$A$11,MIN(D272,180))),Reference!$A$6:$A$11,1))))),0)+IF(5&lt;=AE272,(AE272-5+3)*(INDEX(Reference!$B$6:$B$11,MIN(5,MATCH(MAX(Reference!$A$6,MIN(Reference!$A$11,MIN(D272,210))),Reference!$A$6:$A$11,1)))+(MAX(Reference!$A$6,MIN(Reference!$A$11,MIN(D272,210)))-INDEX(Reference!$A$6:$A$11,MIN(5,MATCH(MAX(Reference!$A$6,MIN(Reference!$A$11,MIN(D272,210))),Reference!$A$6:$A$11,1))))*(INDEX(Reference!$B$6:$B$11,MIN(5,MATCH(MAX(Reference!$A$6,MIN(Reference!$A$11,MIN(D272,210))),Reference!$A$6:$A$11,1))+1)-INDEX(Reference!$B$6:$B$11,MIN(5,MATCH(MAX(Reference!$A$6,MIN(Reference!$A$11,MIN(D272,210))),Reference!$A$6:$A$11,1))))/(INDEX(Reference!$A$6:$A$11,MIN(5,MATCH(MAX(Reference!$A$6,MIN(Reference!$A$11,MIN(D272,210))),Reference!$A$6:$A$11,1))+1)-INDEX(Reference!$A$6:$A$11,MIN(5,MATCH(MAX(Reference!$A$6,MIN(Reference!$A$11,MIN(D272,210))),Reference!$A$6:$A$11,1))))),0)+IF(6&lt;=AE272,(AE272-6+3)*(INDEX(Reference!$B$6:$B$11,MIN(5,MATCH(MAX(Reference!$A$6,MIN(Reference!$A$11,MIN(D272,240))),Reference!$A$6:$A$11,1)))+(MAX(Reference!$A$6,MIN(Reference!$A$11,MIN(D272,240)))-INDEX(Reference!$A$6:$A$11,MIN(5,MATCH(MAX(Reference!$A$6,MIN(Reference!$A$11,MIN(D272,240))),Reference!$A$6:$A$11,1))))*(INDEX(Reference!$B$6:$B$11,MIN(5,MATCH(MAX(Reference!$A$6,MIN(Reference!$A$11,MIN(D272,240))),Reference!$A$6:$A$11,1))+1)-INDEX(Reference!$B$6:$B$11,MIN(5,MATCH(MAX(Reference!$A$6,MIN(Reference!$A$11,MIN(D272,240))),Reference!$A$6:$A$11,1))))/(INDEX(Reference!$A$6:$A$11,MIN(5,MATCH(MAX(Reference!$A$6,MIN(Reference!$A$11,MIN(D272,240))),Reference!$A$6:$A$11,1))+1)-INDEX(Reference!$A$6:$A$11,MIN(5,MATCH(MAX(Reference!$A$6,MIN(Reference!$A$11,MIN(D272,240))),Reference!$A$6:$A$11,1))))),0)+IF(7&lt;=AE272,(AE272-7+3)*(INDEX(Reference!$B$6:$B$11,MIN(5,MATCH(MAX(Reference!$A$6,MIN(Reference!$A$11,MIN(D272,270))),Reference!$A$6:$A$11,1)))+(MAX(Reference!$A$6,MIN(Reference!$A$11,MIN(D272,270)))-INDEX(Reference!$A$6:$A$11,MIN(5,MATCH(MAX(Reference!$A$6,MIN(Reference!$A$11,MIN(D272,270))),Reference!$A$6:$A$11,1))))*(INDEX(Reference!$B$6:$B$11,MIN(5,MATCH(MAX(Reference!$A$6,MIN(Reference!$A$11,MIN(D272,270))),Reference!$A$6:$A$11,1))+1)-INDEX(Reference!$B$6:$B$11,MIN(5,MATCH(MAX(Reference!$A$6,MIN(Reference!$A$11,MIN(D272,270))),Reference!$A$6:$A$11,1))))/(INDEX(Reference!$A$6:$A$11,MIN(5,MATCH(MAX(Reference!$A$6,MIN(Reference!$A$11,MIN(D272,270))),Reference!$A$6:$A$11,1))+1)-INDEX(Reference!$A$6:$A$11,MIN(5,MATCH(MAX(Reference!$A$6,MIN(Reference!$A$11,MIN(D272,270))),Reference!$A$6:$A$11,1))))),0)+IF(8&lt;=AE272,(AE272-8+3)*(INDEX(Reference!$B$6:$B$11,MIN(5,MATCH(MAX(Reference!$A$6,MIN(Reference!$A$11,MIN(D272,300))),Reference!$A$6:$A$11,1)))+(MAX(Reference!$A$6,MIN(Reference!$A$11,MIN(D272,300)))-INDEX(Reference!$A$6:$A$11,MIN(5,MATCH(MAX(Reference!$A$6,MIN(Reference!$A$11,MIN(D272,300))),Reference!$A$6:$A$11,1))))*(INDEX(Reference!$B$6:$B$11,MIN(5,MATCH(MAX(Reference!$A$6,MIN(Reference!$A$11,MIN(D272,300))),Reference!$A$6:$A$11,1))+1)-INDEX(Reference!$B$6:$B$11,MIN(5,MATCH(MAX(Reference!$A$6,MIN(Reference!$A$11,MIN(D272,300))),Reference!$A$6:$A$11,1))))/(INDEX(Reference!$A$6:$A$11,MIN(5,MATCH(MAX(Reference!$A$6,MIN(Reference!$A$11,MIN(D272,300))),Reference!$A$6:$A$11,1))+1)-INDEX(Reference!$A$6:$A$11,MIN(5,MATCH(MAX(Reference!$A$6,MIN(Reference!$A$11,MIN(D272,300))),Reference!$A$6:$A$11,1))))),0))/(AE272*(AE272+5)/2)),(INDEX(Reference!$B$6:$B$11,MIN(5,MATCH(MAX(Reference!$A$6,MIN(Reference!$A$11,D272)),Reference!$A$6:$A$11,1)))+(MAX(Reference!$A$6,MIN(Reference!$A$11,D272))-INDEX(Reference!$A$6:$A$11,MIN(5,MATCH(MAX(Reference!$A$6,MIN(Reference!$A$11,D272)),Reference!$A$6:$A$11,1))))*(INDEX(Reference!$B$6:$B$11,MIN(5,MATCH(MAX(Reference!$A$6,MIN(Reference!$A$11,D272)),Reference!$A$6:$A$11,1))+1)-INDEX(Reference!$B$6:$B$11,MIN(5,MATCH(MAX(Reference!$A$6,MIN(Reference!$A$11,D272)),Reference!$A$6:$A$11,1))))/(INDEX(Reference!$A$6:$A$11,MIN(5,MATCH(MAX(Reference!$A$6,MIN(Reference!$A$11,D272)),Reference!$A$6:$A$11,1))+1)-INDEX(Reference!$A$6:$A$11,MIN(5,MATCH(MAX(Reference!$A$6,MIN(Reference!$A$11,D272)),Reference!$A$6:$A$11,1))))))))</f>
        <v/>
      </c>
      <c r="P272" s="32" t="str">
        <f>IF(N272="","",VLOOKUP(MAX(N272,0),Reference!$A$17:$B$20,2,TRUE()))</f>
        <v/>
      </c>
      <c r="Q272" s="32" t="str">
        <f t="shared" si="39"/>
        <v/>
      </c>
      <c r="R272" s="31"/>
      <c r="S272" s="31"/>
      <c r="T272" s="31"/>
      <c r="U272" s="32" t="str">
        <f t="shared" si="40"/>
        <v/>
      </c>
      <c r="V272" s="32" t="str">
        <f t="shared" si="41"/>
        <v/>
      </c>
      <c r="W272" s="32" t="str">
        <f>IF(V272="","",VLOOKUP(MAX(V272,0),Reference!$A$17:$B$20,2,TRUE()))</f>
        <v/>
      </c>
      <c r="X272" s="31"/>
      <c r="Y272" s="31"/>
      <c r="Z272" s="31"/>
      <c r="AA272" s="32" t="str">
        <f t="shared" si="42"/>
        <v/>
      </c>
      <c r="AB272" s="32" t="str">
        <f t="shared" si="43"/>
        <v/>
      </c>
      <c r="AC272" s="32" t="str">
        <f>IF(AB272="","",VLOOKUP(MAX(AB272,0),Reference!$A$17:$B$20,2,TRUE()))</f>
        <v/>
      </c>
      <c r="AD272" s="31"/>
      <c r="AE272">
        <f t="shared" si="44"/>
        <v>1</v>
      </c>
      <c r="AF272" s="33" t="str">
        <f>IF(OR(A272="",B272="",AND(C272&lt;&gt;"Bullpen",C272&lt;&gt;"Game")),"",IF((COUNTIFS($B$5:$B$300,B272,$A$5:$A$300,A272-1,$C$5:$C$300,"Bullpen",$AG$5:$AG$300,"&gt;0") + COUNTIFS($B$5:$B$300,B272,$A$5:$A$300,A272-1,$C$5:$C$300,"Game",$AG$5:$AG$300,"&gt;0"))&gt;0,Reference!$B$119,IF((COUNTIFS($B$5:$B$300,B272,$A$5:$A$300,A272-2,$C$5:$C$300,"Bullpen",$AG$5:$AG$300,"&gt;0") + COUNTIFS($B$5:$B$300,B272,$A$5:$A$300,A272-2,$C$5:$C$300,"Game",$AG$5:$AG$300,"&gt;0"))&gt;0,Reference!$B$120,1)))</f>
        <v/>
      </c>
      <c r="AG272" s="30" t="str">
        <f>IF(AND(OR(I272="",O272="",P272=""),OR(R272="",W272=""),OR(X272="",AC272="")),"",IF(OR(I272="",O272="",P272=""),0,I272*O272*P272)+IF(OR(R272="",W272=""),0,R272*IFERROR(INDEX(Reference!$B$61:$B$62,MATCH("Bullpen",Reference!$A$61:$A$62,0)),0)*W272)+IF(OR(X272="",AC272=""),0,X272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272))</f>
        <v/>
      </c>
    </row>
    <row r="273" spans="1:33" x14ac:dyDescent="0.3">
      <c r="A273" s="35"/>
      <c r="B273" s="31"/>
      <c r="C273" s="31"/>
      <c r="D273" s="31"/>
      <c r="E273" s="34"/>
      <c r="F273" s="34"/>
      <c r="G273" s="30" t="str">
        <f t="shared" si="36"/>
        <v/>
      </c>
      <c r="H273" s="31"/>
      <c r="I273" s="32" t="str">
        <f>IF(H273&lt;&gt;"",H273,IF(G273="","",ROUND(G273*IFERROR(INDEX(Reference!$B$44:$B$50,MATCH(C273,Reference!$A$44:$A$50,0)),0),0)))</f>
        <v/>
      </c>
      <c r="J273" s="31"/>
      <c r="K273" s="31"/>
      <c r="L273" s="32" t="str">
        <f t="shared" si="37"/>
        <v/>
      </c>
      <c r="M273" s="32" t="str">
        <f>IFERROR(INDEX(Roster!$D$5:$D$40,MATCH(B273,Roster!$A$5:$A$40,0)),"")</f>
        <v/>
      </c>
      <c r="N273" s="32" t="str">
        <f t="shared" si="38"/>
        <v/>
      </c>
      <c r="O273" s="32" t="str">
        <f>IF(OR(C273="Bullpen",C273="Game"),IFERROR(INDEX(Reference!$B$61:$B$62,MATCH(C273,Reference!$A$61:$A$62,0)),""),IF(D273="","",IF(AE273&gt;1,((IF(1&lt;=AE273,(AE273-1+3)*(INDEX(Reference!$B$6:$B$11,MIN(5,MATCH(MAX(Reference!$A$6,MIN(Reference!$A$11,MIN(D273,90))),Reference!$A$6:$A$11,1)))+(MAX(Reference!$A$6,MIN(Reference!$A$11,MIN(D273,90)))-INDEX(Reference!$A$6:$A$11,MIN(5,MATCH(MAX(Reference!$A$6,MIN(Reference!$A$11,MIN(D273,90))),Reference!$A$6:$A$11,1))))*(INDEX(Reference!$B$6:$B$11,MIN(5,MATCH(MAX(Reference!$A$6,MIN(Reference!$A$11,MIN(D273,90))),Reference!$A$6:$A$11,1))+1)-INDEX(Reference!$B$6:$B$11,MIN(5,MATCH(MAX(Reference!$A$6,MIN(Reference!$A$11,MIN(D273,90))),Reference!$A$6:$A$11,1))))/(INDEX(Reference!$A$6:$A$11,MIN(5,MATCH(MAX(Reference!$A$6,MIN(Reference!$A$11,MIN(D273,90))),Reference!$A$6:$A$11,1))+1)-INDEX(Reference!$A$6:$A$11,MIN(5,MATCH(MAX(Reference!$A$6,MIN(Reference!$A$11,MIN(D273,90))),Reference!$A$6:$A$11,1))))),0)+IF(2&lt;=AE273,(AE273-2+3)*(INDEX(Reference!$B$6:$B$11,MIN(5,MATCH(MAX(Reference!$A$6,MIN(Reference!$A$11,MIN(D273,120))),Reference!$A$6:$A$11,1)))+(MAX(Reference!$A$6,MIN(Reference!$A$11,MIN(D273,120)))-INDEX(Reference!$A$6:$A$11,MIN(5,MATCH(MAX(Reference!$A$6,MIN(Reference!$A$11,MIN(D273,120))),Reference!$A$6:$A$11,1))))*(INDEX(Reference!$B$6:$B$11,MIN(5,MATCH(MAX(Reference!$A$6,MIN(Reference!$A$11,MIN(D273,120))),Reference!$A$6:$A$11,1))+1)-INDEX(Reference!$B$6:$B$11,MIN(5,MATCH(MAX(Reference!$A$6,MIN(Reference!$A$11,MIN(D273,120))),Reference!$A$6:$A$11,1))))/(INDEX(Reference!$A$6:$A$11,MIN(5,MATCH(MAX(Reference!$A$6,MIN(Reference!$A$11,MIN(D273,120))),Reference!$A$6:$A$11,1))+1)-INDEX(Reference!$A$6:$A$11,MIN(5,MATCH(MAX(Reference!$A$6,MIN(Reference!$A$11,MIN(D273,120))),Reference!$A$6:$A$11,1))))),0)+IF(3&lt;=AE273,(AE273-3+3)*(INDEX(Reference!$B$6:$B$11,MIN(5,MATCH(MAX(Reference!$A$6,MIN(Reference!$A$11,MIN(D273,150))),Reference!$A$6:$A$11,1)))+(MAX(Reference!$A$6,MIN(Reference!$A$11,MIN(D273,150)))-INDEX(Reference!$A$6:$A$11,MIN(5,MATCH(MAX(Reference!$A$6,MIN(Reference!$A$11,MIN(D273,150))),Reference!$A$6:$A$11,1))))*(INDEX(Reference!$B$6:$B$11,MIN(5,MATCH(MAX(Reference!$A$6,MIN(Reference!$A$11,MIN(D273,150))),Reference!$A$6:$A$11,1))+1)-INDEX(Reference!$B$6:$B$11,MIN(5,MATCH(MAX(Reference!$A$6,MIN(Reference!$A$11,MIN(D273,150))),Reference!$A$6:$A$11,1))))/(INDEX(Reference!$A$6:$A$11,MIN(5,MATCH(MAX(Reference!$A$6,MIN(Reference!$A$11,MIN(D273,150))),Reference!$A$6:$A$11,1))+1)-INDEX(Reference!$A$6:$A$11,MIN(5,MATCH(MAX(Reference!$A$6,MIN(Reference!$A$11,MIN(D273,150))),Reference!$A$6:$A$11,1))))),0)+IF(4&lt;=AE273,(AE273-4+3)*(INDEX(Reference!$B$6:$B$11,MIN(5,MATCH(MAX(Reference!$A$6,MIN(Reference!$A$11,MIN(D273,180))),Reference!$A$6:$A$11,1)))+(MAX(Reference!$A$6,MIN(Reference!$A$11,MIN(D273,180)))-INDEX(Reference!$A$6:$A$11,MIN(5,MATCH(MAX(Reference!$A$6,MIN(Reference!$A$11,MIN(D273,180))),Reference!$A$6:$A$11,1))))*(INDEX(Reference!$B$6:$B$11,MIN(5,MATCH(MAX(Reference!$A$6,MIN(Reference!$A$11,MIN(D273,180))),Reference!$A$6:$A$11,1))+1)-INDEX(Reference!$B$6:$B$11,MIN(5,MATCH(MAX(Reference!$A$6,MIN(Reference!$A$11,MIN(D273,180))),Reference!$A$6:$A$11,1))))/(INDEX(Reference!$A$6:$A$11,MIN(5,MATCH(MAX(Reference!$A$6,MIN(Reference!$A$11,MIN(D273,180))),Reference!$A$6:$A$11,1))+1)-INDEX(Reference!$A$6:$A$11,MIN(5,MATCH(MAX(Reference!$A$6,MIN(Reference!$A$11,MIN(D273,180))),Reference!$A$6:$A$11,1))))),0)+IF(5&lt;=AE273,(AE273-5+3)*(INDEX(Reference!$B$6:$B$11,MIN(5,MATCH(MAX(Reference!$A$6,MIN(Reference!$A$11,MIN(D273,210))),Reference!$A$6:$A$11,1)))+(MAX(Reference!$A$6,MIN(Reference!$A$11,MIN(D273,210)))-INDEX(Reference!$A$6:$A$11,MIN(5,MATCH(MAX(Reference!$A$6,MIN(Reference!$A$11,MIN(D273,210))),Reference!$A$6:$A$11,1))))*(INDEX(Reference!$B$6:$B$11,MIN(5,MATCH(MAX(Reference!$A$6,MIN(Reference!$A$11,MIN(D273,210))),Reference!$A$6:$A$11,1))+1)-INDEX(Reference!$B$6:$B$11,MIN(5,MATCH(MAX(Reference!$A$6,MIN(Reference!$A$11,MIN(D273,210))),Reference!$A$6:$A$11,1))))/(INDEX(Reference!$A$6:$A$11,MIN(5,MATCH(MAX(Reference!$A$6,MIN(Reference!$A$11,MIN(D273,210))),Reference!$A$6:$A$11,1))+1)-INDEX(Reference!$A$6:$A$11,MIN(5,MATCH(MAX(Reference!$A$6,MIN(Reference!$A$11,MIN(D273,210))),Reference!$A$6:$A$11,1))))),0)+IF(6&lt;=AE273,(AE273-6+3)*(INDEX(Reference!$B$6:$B$11,MIN(5,MATCH(MAX(Reference!$A$6,MIN(Reference!$A$11,MIN(D273,240))),Reference!$A$6:$A$11,1)))+(MAX(Reference!$A$6,MIN(Reference!$A$11,MIN(D273,240)))-INDEX(Reference!$A$6:$A$11,MIN(5,MATCH(MAX(Reference!$A$6,MIN(Reference!$A$11,MIN(D273,240))),Reference!$A$6:$A$11,1))))*(INDEX(Reference!$B$6:$B$11,MIN(5,MATCH(MAX(Reference!$A$6,MIN(Reference!$A$11,MIN(D273,240))),Reference!$A$6:$A$11,1))+1)-INDEX(Reference!$B$6:$B$11,MIN(5,MATCH(MAX(Reference!$A$6,MIN(Reference!$A$11,MIN(D273,240))),Reference!$A$6:$A$11,1))))/(INDEX(Reference!$A$6:$A$11,MIN(5,MATCH(MAX(Reference!$A$6,MIN(Reference!$A$11,MIN(D273,240))),Reference!$A$6:$A$11,1))+1)-INDEX(Reference!$A$6:$A$11,MIN(5,MATCH(MAX(Reference!$A$6,MIN(Reference!$A$11,MIN(D273,240))),Reference!$A$6:$A$11,1))))),0)+IF(7&lt;=AE273,(AE273-7+3)*(INDEX(Reference!$B$6:$B$11,MIN(5,MATCH(MAX(Reference!$A$6,MIN(Reference!$A$11,MIN(D273,270))),Reference!$A$6:$A$11,1)))+(MAX(Reference!$A$6,MIN(Reference!$A$11,MIN(D273,270)))-INDEX(Reference!$A$6:$A$11,MIN(5,MATCH(MAX(Reference!$A$6,MIN(Reference!$A$11,MIN(D273,270))),Reference!$A$6:$A$11,1))))*(INDEX(Reference!$B$6:$B$11,MIN(5,MATCH(MAX(Reference!$A$6,MIN(Reference!$A$11,MIN(D273,270))),Reference!$A$6:$A$11,1))+1)-INDEX(Reference!$B$6:$B$11,MIN(5,MATCH(MAX(Reference!$A$6,MIN(Reference!$A$11,MIN(D273,270))),Reference!$A$6:$A$11,1))))/(INDEX(Reference!$A$6:$A$11,MIN(5,MATCH(MAX(Reference!$A$6,MIN(Reference!$A$11,MIN(D273,270))),Reference!$A$6:$A$11,1))+1)-INDEX(Reference!$A$6:$A$11,MIN(5,MATCH(MAX(Reference!$A$6,MIN(Reference!$A$11,MIN(D273,270))),Reference!$A$6:$A$11,1))))),0)+IF(8&lt;=AE273,(AE273-8+3)*(INDEX(Reference!$B$6:$B$11,MIN(5,MATCH(MAX(Reference!$A$6,MIN(Reference!$A$11,MIN(D273,300))),Reference!$A$6:$A$11,1)))+(MAX(Reference!$A$6,MIN(Reference!$A$11,MIN(D273,300)))-INDEX(Reference!$A$6:$A$11,MIN(5,MATCH(MAX(Reference!$A$6,MIN(Reference!$A$11,MIN(D273,300))),Reference!$A$6:$A$11,1))))*(INDEX(Reference!$B$6:$B$11,MIN(5,MATCH(MAX(Reference!$A$6,MIN(Reference!$A$11,MIN(D273,300))),Reference!$A$6:$A$11,1))+1)-INDEX(Reference!$B$6:$B$11,MIN(5,MATCH(MAX(Reference!$A$6,MIN(Reference!$A$11,MIN(D273,300))),Reference!$A$6:$A$11,1))))/(INDEX(Reference!$A$6:$A$11,MIN(5,MATCH(MAX(Reference!$A$6,MIN(Reference!$A$11,MIN(D273,300))),Reference!$A$6:$A$11,1))+1)-INDEX(Reference!$A$6:$A$11,MIN(5,MATCH(MAX(Reference!$A$6,MIN(Reference!$A$11,MIN(D273,300))),Reference!$A$6:$A$11,1))))),0))/(AE273*(AE273+5)/2)),(INDEX(Reference!$B$6:$B$11,MIN(5,MATCH(MAX(Reference!$A$6,MIN(Reference!$A$11,D273)),Reference!$A$6:$A$11,1)))+(MAX(Reference!$A$6,MIN(Reference!$A$11,D273))-INDEX(Reference!$A$6:$A$11,MIN(5,MATCH(MAX(Reference!$A$6,MIN(Reference!$A$11,D273)),Reference!$A$6:$A$11,1))))*(INDEX(Reference!$B$6:$B$11,MIN(5,MATCH(MAX(Reference!$A$6,MIN(Reference!$A$11,D273)),Reference!$A$6:$A$11,1))+1)-INDEX(Reference!$B$6:$B$11,MIN(5,MATCH(MAX(Reference!$A$6,MIN(Reference!$A$11,D273)),Reference!$A$6:$A$11,1))))/(INDEX(Reference!$A$6:$A$11,MIN(5,MATCH(MAX(Reference!$A$6,MIN(Reference!$A$11,D273)),Reference!$A$6:$A$11,1))+1)-INDEX(Reference!$A$6:$A$11,MIN(5,MATCH(MAX(Reference!$A$6,MIN(Reference!$A$11,D273)),Reference!$A$6:$A$11,1))))))))</f>
        <v/>
      </c>
      <c r="P273" s="32" t="str">
        <f>IF(N273="","",VLOOKUP(MAX(N273,0),Reference!$A$17:$B$20,2,TRUE()))</f>
        <v/>
      </c>
      <c r="Q273" s="32" t="str">
        <f t="shared" si="39"/>
        <v/>
      </c>
      <c r="R273" s="31"/>
      <c r="S273" s="31"/>
      <c r="T273" s="31"/>
      <c r="U273" s="32" t="str">
        <f t="shared" si="40"/>
        <v/>
      </c>
      <c r="V273" s="32" t="str">
        <f t="shared" si="41"/>
        <v/>
      </c>
      <c r="W273" s="32" t="str">
        <f>IF(V273="","",VLOOKUP(MAX(V273,0),Reference!$A$17:$B$20,2,TRUE()))</f>
        <v/>
      </c>
      <c r="X273" s="31"/>
      <c r="Y273" s="31"/>
      <c r="Z273" s="31"/>
      <c r="AA273" s="32" t="str">
        <f t="shared" si="42"/>
        <v/>
      </c>
      <c r="AB273" s="32" t="str">
        <f t="shared" si="43"/>
        <v/>
      </c>
      <c r="AC273" s="32" t="str">
        <f>IF(AB273="","",VLOOKUP(MAX(AB273,0),Reference!$A$17:$B$20,2,TRUE()))</f>
        <v/>
      </c>
      <c r="AD273" s="31"/>
      <c r="AE273">
        <f t="shared" si="44"/>
        <v>1</v>
      </c>
      <c r="AF273" s="33" t="str">
        <f>IF(OR(A273="",B273="",AND(C273&lt;&gt;"Bullpen",C273&lt;&gt;"Game")),"",IF((COUNTIFS($B$5:$B$300,B273,$A$5:$A$300,A273-1,$C$5:$C$300,"Bullpen",$AG$5:$AG$300,"&gt;0") + COUNTIFS($B$5:$B$300,B273,$A$5:$A$300,A273-1,$C$5:$C$300,"Game",$AG$5:$AG$300,"&gt;0"))&gt;0,Reference!$B$119,IF((COUNTIFS($B$5:$B$300,B273,$A$5:$A$300,A273-2,$C$5:$C$300,"Bullpen",$AG$5:$AG$300,"&gt;0") + COUNTIFS($B$5:$B$300,B273,$A$5:$A$300,A273-2,$C$5:$C$300,"Game",$AG$5:$AG$300,"&gt;0"))&gt;0,Reference!$B$120,1)))</f>
        <v/>
      </c>
      <c r="AG273" s="30" t="str">
        <f>IF(AND(OR(I273="",O273="",P273=""),OR(R273="",W273=""),OR(X273="",AC273="")),"",IF(OR(I273="",O273="",P273=""),0,I273*O273*P273)+IF(OR(R273="",W273=""),0,R273*IFERROR(INDEX(Reference!$B$61:$B$62,MATCH("Bullpen",Reference!$A$61:$A$62,0)),0)*W273)+IF(OR(X273="",AC273=""),0,X273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273))</f>
        <v/>
      </c>
    </row>
    <row r="274" spans="1:33" x14ac:dyDescent="0.3">
      <c r="A274" s="35"/>
      <c r="B274" s="31"/>
      <c r="C274" s="31"/>
      <c r="D274" s="31"/>
      <c r="E274" s="34"/>
      <c r="F274" s="34"/>
      <c r="G274" s="30" t="str">
        <f t="shared" si="36"/>
        <v/>
      </c>
      <c r="H274" s="31"/>
      <c r="I274" s="32" t="str">
        <f>IF(H274&lt;&gt;"",H274,IF(G274="","",ROUND(G274*IFERROR(INDEX(Reference!$B$44:$B$50,MATCH(C274,Reference!$A$44:$A$50,0)),0),0)))</f>
        <v/>
      </c>
      <c r="J274" s="31"/>
      <c r="K274" s="31"/>
      <c r="L274" s="32" t="str">
        <f t="shared" si="37"/>
        <v/>
      </c>
      <c r="M274" s="32" t="str">
        <f>IFERROR(INDEX(Roster!$D$5:$D$40,MATCH(B274,Roster!$A$5:$A$40,0)),"")</f>
        <v/>
      </c>
      <c r="N274" s="32" t="str">
        <f t="shared" si="38"/>
        <v/>
      </c>
      <c r="O274" s="32" t="str">
        <f>IF(OR(C274="Bullpen",C274="Game"),IFERROR(INDEX(Reference!$B$61:$B$62,MATCH(C274,Reference!$A$61:$A$62,0)),""),IF(D274="","",IF(AE274&gt;1,((IF(1&lt;=AE274,(AE274-1+3)*(INDEX(Reference!$B$6:$B$11,MIN(5,MATCH(MAX(Reference!$A$6,MIN(Reference!$A$11,MIN(D274,90))),Reference!$A$6:$A$11,1)))+(MAX(Reference!$A$6,MIN(Reference!$A$11,MIN(D274,90)))-INDEX(Reference!$A$6:$A$11,MIN(5,MATCH(MAX(Reference!$A$6,MIN(Reference!$A$11,MIN(D274,90))),Reference!$A$6:$A$11,1))))*(INDEX(Reference!$B$6:$B$11,MIN(5,MATCH(MAX(Reference!$A$6,MIN(Reference!$A$11,MIN(D274,90))),Reference!$A$6:$A$11,1))+1)-INDEX(Reference!$B$6:$B$11,MIN(5,MATCH(MAX(Reference!$A$6,MIN(Reference!$A$11,MIN(D274,90))),Reference!$A$6:$A$11,1))))/(INDEX(Reference!$A$6:$A$11,MIN(5,MATCH(MAX(Reference!$A$6,MIN(Reference!$A$11,MIN(D274,90))),Reference!$A$6:$A$11,1))+1)-INDEX(Reference!$A$6:$A$11,MIN(5,MATCH(MAX(Reference!$A$6,MIN(Reference!$A$11,MIN(D274,90))),Reference!$A$6:$A$11,1))))),0)+IF(2&lt;=AE274,(AE274-2+3)*(INDEX(Reference!$B$6:$B$11,MIN(5,MATCH(MAX(Reference!$A$6,MIN(Reference!$A$11,MIN(D274,120))),Reference!$A$6:$A$11,1)))+(MAX(Reference!$A$6,MIN(Reference!$A$11,MIN(D274,120)))-INDEX(Reference!$A$6:$A$11,MIN(5,MATCH(MAX(Reference!$A$6,MIN(Reference!$A$11,MIN(D274,120))),Reference!$A$6:$A$11,1))))*(INDEX(Reference!$B$6:$B$11,MIN(5,MATCH(MAX(Reference!$A$6,MIN(Reference!$A$11,MIN(D274,120))),Reference!$A$6:$A$11,1))+1)-INDEX(Reference!$B$6:$B$11,MIN(5,MATCH(MAX(Reference!$A$6,MIN(Reference!$A$11,MIN(D274,120))),Reference!$A$6:$A$11,1))))/(INDEX(Reference!$A$6:$A$11,MIN(5,MATCH(MAX(Reference!$A$6,MIN(Reference!$A$11,MIN(D274,120))),Reference!$A$6:$A$11,1))+1)-INDEX(Reference!$A$6:$A$11,MIN(5,MATCH(MAX(Reference!$A$6,MIN(Reference!$A$11,MIN(D274,120))),Reference!$A$6:$A$11,1))))),0)+IF(3&lt;=AE274,(AE274-3+3)*(INDEX(Reference!$B$6:$B$11,MIN(5,MATCH(MAX(Reference!$A$6,MIN(Reference!$A$11,MIN(D274,150))),Reference!$A$6:$A$11,1)))+(MAX(Reference!$A$6,MIN(Reference!$A$11,MIN(D274,150)))-INDEX(Reference!$A$6:$A$11,MIN(5,MATCH(MAX(Reference!$A$6,MIN(Reference!$A$11,MIN(D274,150))),Reference!$A$6:$A$11,1))))*(INDEX(Reference!$B$6:$B$11,MIN(5,MATCH(MAX(Reference!$A$6,MIN(Reference!$A$11,MIN(D274,150))),Reference!$A$6:$A$11,1))+1)-INDEX(Reference!$B$6:$B$11,MIN(5,MATCH(MAX(Reference!$A$6,MIN(Reference!$A$11,MIN(D274,150))),Reference!$A$6:$A$11,1))))/(INDEX(Reference!$A$6:$A$11,MIN(5,MATCH(MAX(Reference!$A$6,MIN(Reference!$A$11,MIN(D274,150))),Reference!$A$6:$A$11,1))+1)-INDEX(Reference!$A$6:$A$11,MIN(5,MATCH(MAX(Reference!$A$6,MIN(Reference!$A$11,MIN(D274,150))),Reference!$A$6:$A$11,1))))),0)+IF(4&lt;=AE274,(AE274-4+3)*(INDEX(Reference!$B$6:$B$11,MIN(5,MATCH(MAX(Reference!$A$6,MIN(Reference!$A$11,MIN(D274,180))),Reference!$A$6:$A$11,1)))+(MAX(Reference!$A$6,MIN(Reference!$A$11,MIN(D274,180)))-INDEX(Reference!$A$6:$A$11,MIN(5,MATCH(MAX(Reference!$A$6,MIN(Reference!$A$11,MIN(D274,180))),Reference!$A$6:$A$11,1))))*(INDEX(Reference!$B$6:$B$11,MIN(5,MATCH(MAX(Reference!$A$6,MIN(Reference!$A$11,MIN(D274,180))),Reference!$A$6:$A$11,1))+1)-INDEX(Reference!$B$6:$B$11,MIN(5,MATCH(MAX(Reference!$A$6,MIN(Reference!$A$11,MIN(D274,180))),Reference!$A$6:$A$11,1))))/(INDEX(Reference!$A$6:$A$11,MIN(5,MATCH(MAX(Reference!$A$6,MIN(Reference!$A$11,MIN(D274,180))),Reference!$A$6:$A$11,1))+1)-INDEX(Reference!$A$6:$A$11,MIN(5,MATCH(MAX(Reference!$A$6,MIN(Reference!$A$11,MIN(D274,180))),Reference!$A$6:$A$11,1))))),0)+IF(5&lt;=AE274,(AE274-5+3)*(INDEX(Reference!$B$6:$B$11,MIN(5,MATCH(MAX(Reference!$A$6,MIN(Reference!$A$11,MIN(D274,210))),Reference!$A$6:$A$11,1)))+(MAX(Reference!$A$6,MIN(Reference!$A$11,MIN(D274,210)))-INDEX(Reference!$A$6:$A$11,MIN(5,MATCH(MAX(Reference!$A$6,MIN(Reference!$A$11,MIN(D274,210))),Reference!$A$6:$A$11,1))))*(INDEX(Reference!$B$6:$B$11,MIN(5,MATCH(MAX(Reference!$A$6,MIN(Reference!$A$11,MIN(D274,210))),Reference!$A$6:$A$11,1))+1)-INDEX(Reference!$B$6:$B$11,MIN(5,MATCH(MAX(Reference!$A$6,MIN(Reference!$A$11,MIN(D274,210))),Reference!$A$6:$A$11,1))))/(INDEX(Reference!$A$6:$A$11,MIN(5,MATCH(MAX(Reference!$A$6,MIN(Reference!$A$11,MIN(D274,210))),Reference!$A$6:$A$11,1))+1)-INDEX(Reference!$A$6:$A$11,MIN(5,MATCH(MAX(Reference!$A$6,MIN(Reference!$A$11,MIN(D274,210))),Reference!$A$6:$A$11,1))))),0)+IF(6&lt;=AE274,(AE274-6+3)*(INDEX(Reference!$B$6:$B$11,MIN(5,MATCH(MAX(Reference!$A$6,MIN(Reference!$A$11,MIN(D274,240))),Reference!$A$6:$A$11,1)))+(MAX(Reference!$A$6,MIN(Reference!$A$11,MIN(D274,240)))-INDEX(Reference!$A$6:$A$11,MIN(5,MATCH(MAX(Reference!$A$6,MIN(Reference!$A$11,MIN(D274,240))),Reference!$A$6:$A$11,1))))*(INDEX(Reference!$B$6:$B$11,MIN(5,MATCH(MAX(Reference!$A$6,MIN(Reference!$A$11,MIN(D274,240))),Reference!$A$6:$A$11,1))+1)-INDEX(Reference!$B$6:$B$11,MIN(5,MATCH(MAX(Reference!$A$6,MIN(Reference!$A$11,MIN(D274,240))),Reference!$A$6:$A$11,1))))/(INDEX(Reference!$A$6:$A$11,MIN(5,MATCH(MAX(Reference!$A$6,MIN(Reference!$A$11,MIN(D274,240))),Reference!$A$6:$A$11,1))+1)-INDEX(Reference!$A$6:$A$11,MIN(5,MATCH(MAX(Reference!$A$6,MIN(Reference!$A$11,MIN(D274,240))),Reference!$A$6:$A$11,1))))),0)+IF(7&lt;=AE274,(AE274-7+3)*(INDEX(Reference!$B$6:$B$11,MIN(5,MATCH(MAX(Reference!$A$6,MIN(Reference!$A$11,MIN(D274,270))),Reference!$A$6:$A$11,1)))+(MAX(Reference!$A$6,MIN(Reference!$A$11,MIN(D274,270)))-INDEX(Reference!$A$6:$A$11,MIN(5,MATCH(MAX(Reference!$A$6,MIN(Reference!$A$11,MIN(D274,270))),Reference!$A$6:$A$11,1))))*(INDEX(Reference!$B$6:$B$11,MIN(5,MATCH(MAX(Reference!$A$6,MIN(Reference!$A$11,MIN(D274,270))),Reference!$A$6:$A$11,1))+1)-INDEX(Reference!$B$6:$B$11,MIN(5,MATCH(MAX(Reference!$A$6,MIN(Reference!$A$11,MIN(D274,270))),Reference!$A$6:$A$11,1))))/(INDEX(Reference!$A$6:$A$11,MIN(5,MATCH(MAX(Reference!$A$6,MIN(Reference!$A$11,MIN(D274,270))),Reference!$A$6:$A$11,1))+1)-INDEX(Reference!$A$6:$A$11,MIN(5,MATCH(MAX(Reference!$A$6,MIN(Reference!$A$11,MIN(D274,270))),Reference!$A$6:$A$11,1))))),0)+IF(8&lt;=AE274,(AE274-8+3)*(INDEX(Reference!$B$6:$B$11,MIN(5,MATCH(MAX(Reference!$A$6,MIN(Reference!$A$11,MIN(D274,300))),Reference!$A$6:$A$11,1)))+(MAX(Reference!$A$6,MIN(Reference!$A$11,MIN(D274,300)))-INDEX(Reference!$A$6:$A$11,MIN(5,MATCH(MAX(Reference!$A$6,MIN(Reference!$A$11,MIN(D274,300))),Reference!$A$6:$A$11,1))))*(INDEX(Reference!$B$6:$B$11,MIN(5,MATCH(MAX(Reference!$A$6,MIN(Reference!$A$11,MIN(D274,300))),Reference!$A$6:$A$11,1))+1)-INDEX(Reference!$B$6:$B$11,MIN(5,MATCH(MAX(Reference!$A$6,MIN(Reference!$A$11,MIN(D274,300))),Reference!$A$6:$A$11,1))))/(INDEX(Reference!$A$6:$A$11,MIN(5,MATCH(MAX(Reference!$A$6,MIN(Reference!$A$11,MIN(D274,300))),Reference!$A$6:$A$11,1))+1)-INDEX(Reference!$A$6:$A$11,MIN(5,MATCH(MAX(Reference!$A$6,MIN(Reference!$A$11,MIN(D274,300))),Reference!$A$6:$A$11,1))))),0))/(AE274*(AE274+5)/2)),(INDEX(Reference!$B$6:$B$11,MIN(5,MATCH(MAX(Reference!$A$6,MIN(Reference!$A$11,D274)),Reference!$A$6:$A$11,1)))+(MAX(Reference!$A$6,MIN(Reference!$A$11,D274))-INDEX(Reference!$A$6:$A$11,MIN(5,MATCH(MAX(Reference!$A$6,MIN(Reference!$A$11,D274)),Reference!$A$6:$A$11,1))))*(INDEX(Reference!$B$6:$B$11,MIN(5,MATCH(MAX(Reference!$A$6,MIN(Reference!$A$11,D274)),Reference!$A$6:$A$11,1))+1)-INDEX(Reference!$B$6:$B$11,MIN(5,MATCH(MAX(Reference!$A$6,MIN(Reference!$A$11,D274)),Reference!$A$6:$A$11,1))))/(INDEX(Reference!$A$6:$A$11,MIN(5,MATCH(MAX(Reference!$A$6,MIN(Reference!$A$11,D274)),Reference!$A$6:$A$11,1))+1)-INDEX(Reference!$A$6:$A$11,MIN(5,MATCH(MAX(Reference!$A$6,MIN(Reference!$A$11,D274)),Reference!$A$6:$A$11,1))))))))</f>
        <v/>
      </c>
      <c r="P274" s="32" t="str">
        <f>IF(N274="","",VLOOKUP(MAX(N274,0),Reference!$A$17:$B$20,2,TRUE()))</f>
        <v/>
      </c>
      <c r="Q274" s="32" t="str">
        <f t="shared" si="39"/>
        <v/>
      </c>
      <c r="R274" s="31"/>
      <c r="S274" s="31"/>
      <c r="T274" s="31"/>
      <c r="U274" s="32" t="str">
        <f t="shared" si="40"/>
        <v/>
      </c>
      <c r="V274" s="32" t="str">
        <f t="shared" si="41"/>
        <v/>
      </c>
      <c r="W274" s="32" t="str">
        <f>IF(V274="","",VLOOKUP(MAX(V274,0),Reference!$A$17:$B$20,2,TRUE()))</f>
        <v/>
      </c>
      <c r="X274" s="31"/>
      <c r="Y274" s="31"/>
      <c r="Z274" s="31"/>
      <c r="AA274" s="32" t="str">
        <f t="shared" si="42"/>
        <v/>
      </c>
      <c r="AB274" s="32" t="str">
        <f t="shared" si="43"/>
        <v/>
      </c>
      <c r="AC274" s="32" t="str">
        <f>IF(AB274="","",VLOOKUP(MAX(AB274,0),Reference!$A$17:$B$20,2,TRUE()))</f>
        <v/>
      </c>
      <c r="AD274" s="31"/>
      <c r="AE274">
        <f t="shared" si="44"/>
        <v>1</v>
      </c>
      <c r="AF274" s="33" t="str">
        <f>IF(OR(A274="",B274="",AND(C274&lt;&gt;"Bullpen",C274&lt;&gt;"Game")),"",IF((COUNTIFS($B$5:$B$300,B274,$A$5:$A$300,A274-1,$C$5:$C$300,"Bullpen",$AG$5:$AG$300,"&gt;0") + COUNTIFS($B$5:$B$300,B274,$A$5:$A$300,A274-1,$C$5:$C$300,"Game",$AG$5:$AG$300,"&gt;0"))&gt;0,Reference!$B$119,IF((COUNTIFS($B$5:$B$300,B274,$A$5:$A$300,A274-2,$C$5:$C$300,"Bullpen",$AG$5:$AG$300,"&gt;0") + COUNTIFS($B$5:$B$300,B274,$A$5:$A$300,A274-2,$C$5:$C$300,"Game",$AG$5:$AG$300,"&gt;0"))&gt;0,Reference!$B$120,1)))</f>
        <v/>
      </c>
      <c r="AG274" s="30" t="str">
        <f>IF(AND(OR(I274="",O274="",P274=""),OR(R274="",W274=""),OR(X274="",AC274="")),"",IF(OR(I274="",O274="",P274=""),0,I274*O274*P274)+IF(OR(R274="",W274=""),0,R274*IFERROR(INDEX(Reference!$B$61:$B$62,MATCH("Bullpen",Reference!$A$61:$A$62,0)),0)*W274)+IF(OR(X274="",AC274=""),0,X274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274))</f>
        <v/>
      </c>
    </row>
    <row r="275" spans="1:33" x14ac:dyDescent="0.3">
      <c r="A275" s="35"/>
      <c r="B275" s="31"/>
      <c r="C275" s="31"/>
      <c r="D275" s="31"/>
      <c r="E275" s="34"/>
      <c r="F275" s="34"/>
      <c r="G275" s="30" t="str">
        <f t="shared" si="36"/>
        <v/>
      </c>
      <c r="H275" s="31"/>
      <c r="I275" s="32" t="str">
        <f>IF(H275&lt;&gt;"",H275,IF(G275="","",ROUND(G275*IFERROR(INDEX(Reference!$B$44:$B$50,MATCH(C275,Reference!$A$44:$A$50,0)),0),0)))</f>
        <v/>
      </c>
      <c r="J275" s="31"/>
      <c r="K275" s="31"/>
      <c r="L275" s="32" t="str">
        <f t="shared" si="37"/>
        <v/>
      </c>
      <c r="M275" s="32" t="str">
        <f>IFERROR(INDEX(Roster!$D$5:$D$40,MATCH(B275,Roster!$A$5:$A$40,0)),"")</f>
        <v/>
      </c>
      <c r="N275" s="32" t="str">
        <f t="shared" si="38"/>
        <v/>
      </c>
      <c r="O275" s="32" t="str">
        <f>IF(OR(C275="Bullpen",C275="Game"),IFERROR(INDEX(Reference!$B$61:$B$62,MATCH(C275,Reference!$A$61:$A$62,0)),""),IF(D275="","",IF(AE275&gt;1,((IF(1&lt;=AE275,(AE275-1+3)*(INDEX(Reference!$B$6:$B$11,MIN(5,MATCH(MAX(Reference!$A$6,MIN(Reference!$A$11,MIN(D275,90))),Reference!$A$6:$A$11,1)))+(MAX(Reference!$A$6,MIN(Reference!$A$11,MIN(D275,90)))-INDEX(Reference!$A$6:$A$11,MIN(5,MATCH(MAX(Reference!$A$6,MIN(Reference!$A$11,MIN(D275,90))),Reference!$A$6:$A$11,1))))*(INDEX(Reference!$B$6:$B$11,MIN(5,MATCH(MAX(Reference!$A$6,MIN(Reference!$A$11,MIN(D275,90))),Reference!$A$6:$A$11,1))+1)-INDEX(Reference!$B$6:$B$11,MIN(5,MATCH(MAX(Reference!$A$6,MIN(Reference!$A$11,MIN(D275,90))),Reference!$A$6:$A$11,1))))/(INDEX(Reference!$A$6:$A$11,MIN(5,MATCH(MAX(Reference!$A$6,MIN(Reference!$A$11,MIN(D275,90))),Reference!$A$6:$A$11,1))+1)-INDEX(Reference!$A$6:$A$11,MIN(5,MATCH(MAX(Reference!$A$6,MIN(Reference!$A$11,MIN(D275,90))),Reference!$A$6:$A$11,1))))),0)+IF(2&lt;=AE275,(AE275-2+3)*(INDEX(Reference!$B$6:$B$11,MIN(5,MATCH(MAX(Reference!$A$6,MIN(Reference!$A$11,MIN(D275,120))),Reference!$A$6:$A$11,1)))+(MAX(Reference!$A$6,MIN(Reference!$A$11,MIN(D275,120)))-INDEX(Reference!$A$6:$A$11,MIN(5,MATCH(MAX(Reference!$A$6,MIN(Reference!$A$11,MIN(D275,120))),Reference!$A$6:$A$11,1))))*(INDEX(Reference!$B$6:$B$11,MIN(5,MATCH(MAX(Reference!$A$6,MIN(Reference!$A$11,MIN(D275,120))),Reference!$A$6:$A$11,1))+1)-INDEX(Reference!$B$6:$B$11,MIN(5,MATCH(MAX(Reference!$A$6,MIN(Reference!$A$11,MIN(D275,120))),Reference!$A$6:$A$11,1))))/(INDEX(Reference!$A$6:$A$11,MIN(5,MATCH(MAX(Reference!$A$6,MIN(Reference!$A$11,MIN(D275,120))),Reference!$A$6:$A$11,1))+1)-INDEX(Reference!$A$6:$A$11,MIN(5,MATCH(MAX(Reference!$A$6,MIN(Reference!$A$11,MIN(D275,120))),Reference!$A$6:$A$11,1))))),0)+IF(3&lt;=AE275,(AE275-3+3)*(INDEX(Reference!$B$6:$B$11,MIN(5,MATCH(MAX(Reference!$A$6,MIN(Reference!$A$11,MIN(D275,150))),Reference!$A$6:$A$11,1)))+(MAX(Reference!$A$6,MIN(Reference!$A$11,MIN(D275,150)))-INDEX(Reference!$A$6:$A$11,MIN(5,MATCH(MAX(Reference!$A$6,MIN(Reference!$A$11,MIN(D275,150))),Reference!$A$6:$A$11,1))))*(INDEX(Reference!$B$6:$B$11,MIN(5,MATCH(MAX(Reference!$A$6,MIN(Reference!$A$11,MIN(D275,150))),Reference!$A$6:$A$11,1))+1)-INDEX(Reference!$B$6:$B$11,MIN(5,MATCH(MAX(Reference!$A$6,MIN(Reference!$A$11,MIN(D275,150))),Reference!$A$6:$A$11,1))))/(INDEX(Reference!$A$6:$A$11,MIN(5,MATCH(MAX(Reference!$A$6,MIN(Reference!$A$11,MIN(D275,150))),Reference!$A$6:$A$11,1))+1)-INDEX(Reference!$A$6:$A$11,MIN(5,MATCH(MAX(Reference!$A$6,MIN(Reference!$A$11,MIN(D275,150))),Reference!$A$6:$A$11,1))))),0)+IF(4&lt;=AE275,(AE275-4+3)*(INDEX(Reference!$B$6:$B$11,MIN(5,MATCH(MAX(Reference!$A$6,MIN(Reference!$A$11,MIN(D275,180))),Reference!$A$6:$A$11,1)))+(MAX(Reference!$A$6,MIN(Reference!$A$11,MIN(D275,180)))-INDEX(Reference!$A$6:$A$11,MIN(5,MATCH(MAX(Reference!$A$6,MIN(Reference!$A$11,MIN(D275,180))),Reference!$A$6:$A$11,1))))*(INDEX(Reference!$B$6:$B$11,MIN(5,MATCH(MAX(Reference!$A$6,MIN(Reference!$A$11,MIN(D275,180))),Reference!$A$6:$A$11,1))+1)-INDEX(Reference!$B$6:$B$11,MIN(5,MATCH(MAX(Reference!$A$6,MIN(Reference!$A$11,MIN(D275,180))),Reference!$A$6:$A$11,1))))/(INDEX(Reference!$A$6:$A$11,MIN(5,MATCH(MAX(Reference!$A$6,MIN(Reference!$A$11,MIN(D275,180))),Reference!$A$6:$A$11,1))+1)-INDEX(Reference!$A$6:$A$11,MIN(5,MATCH(MAX(Reference!$A$6,MIN(Reference!$A$11,MIN(D275,180))),Reference!$A$6:$A$11,1))))),0)+IF(5&lt;=AE275,(AE275-5+3)*(INDEX(Reference!$B$6:$B$11,MIN(5,MATCH(MAX(Reference!$A$6,MIN(Reference!$A$11,MIN(D275,210))),Reference!$A$6:$A$11,1)))+(MAX(Reference!$A$6,MIN(Reference!$A$11,MIN(D275,210)))-INDEX(Reference!$A$6:$A$11,MIN(5,MATCH(MAX(Reference!$A$6,MIN(Reference!$A$11,MIN(D275,210))),Reference!$A$6:$A$11,1))))*(INDEX(Reference!$B$6:$B$11,MIN(5,MATCH(MAX(Reference!$A$6,MIN(Reference!$A$11,MIN(D275,210))),Reference!$A$6:$A$11,1))+1)-INDEX(Reference!$B$6:$B$11,MIN(5,MATCH(MAX(Reference!$A$6,MIN(Reference!$A$11,MIN(D275,210))),Reference!$A$6:$A$11,1))))/(INDEX(Reference!$A$6:$A$11,MIN(5,MATCH(MAX(Reference!$A$6,MIN(Reference!$A$11,MIN(D275,210))),Reference!$A$6:$A$11,1))+1)-INDEX(Reference!$A$6:$A$11,MIN(5,MATCH(MAX(Reference!$A$6,MIN(Reference!$A$11,MIN(D275,210))),Reference!$A$6:$A$11,1))))),0)+IF(6&lt;=AE275,(AE275-6+3)*(INDEX(Reference!$B$6:$B$11,MIN(5,MATCH(MAX(Reference!$A$6,MIN(Reference!$A$11,MIN(D275,240))),Reference!$A$6:$A$11,1)))+(MAX(Reference!$A$6,MIN(Reference!$A$11,MIN(D275,240)))-INDEX(Reference!$A$6:$A$11,MIN(5,MATCH(MAX(Reference!$A$6,MIN(Reference!$A$11,MIN(D275,240))),Reference!$A$6:$A$11,1))))*(INDEX(Reference!$B$6:$B$11,MIN(5,MATCH(MAX(Reference!$A$6,MIN(Reference!$A$11,MIN(D275,240))),Reference!$A$6:$A$11,1))+1)-INDEX(Reference!$B$6:$B$11,MIN(5,MATCH(MAX(Reference!$A$6,MIN(Reference!$A$11,MIN(D275,240))),Reference!$A$6:$A$11,1))))/(INDEX(Reference!$A$6:$A$11,MIN(5,MATCH(MAX(Reference!$A$6,MIN(Reference!$A$11,MIN(D275,240))),Reference!$A$6:$A$11,1))+1)-INDEX(Reference!$A$6:$A$11,MIN(5,MATCH(MAX(Reference!$A$6,MIN(Reference!$A$11,MIN(D275,240))),Reference!$A$6:$A$11,1))))),0)+IF(7&lt;=AE275,(AE275-7+3)*(INDEX(Reference!$B$6:$B$11,MIN(5,MATCH(MAX(Reference!$A$6,MIN(Reference!$A$11,MIN(D275,270))),Reference!$A$6:$A$11,1)))+(MAX(Reference!$A$6,MIN(Reference!$A$11,MIN(D275,270)))-INDEX(Reference!$A$6:$A$11,MIN(5,MATCH(MAX(Reference!$A$6,MIN(Reference!$A$11,MIN(D275,270))),Reference!$A$6:$A$11,1))))*(INDEX(Reference!$B$6:$B$11,MIN(5,MATCH(MAX(Reference!$A$6,MIN(Reference!$A$11,MIN(D275,270))),Reference!$A$6:$A$11,1))+1)-INDEX(Reference!$B$6:$B$11,MIN(5,MATCH(MAX(Reference!$A$6,MIN(Reference!$A$11,MIN(D275,270))),Reference!$A$6:$A$11,1))))/(INDEX(Reference!$A$6:$A$11,MIN(5,MATCH(MAX(Reference!$A$6,MIN(Reference!$A$11,MIN(D275,270))),Reference!$A$6:$A$11,1))+1)-INDEX(Reference!$A$6:$A$11,MIN(5,MATCH(MAX(Reference!$A$6,MIN(Reference!$A$11,MIN(D275,270))),Reference!$A$6:$A$11,1))))),0)+IF(8&lt;=AE275,(AE275-8+3)*(INDEX(Reference!$B$6:$B$11,MIN(5,MATCH(MAX(Reference!$A$6,MIN(Reference!$A$11,MIN(D275,300))),Reference!$A$6:$A$11,1)))+(MAX(Reference!$A$6,MIN(Reference!$A$11,MIN(D275,300)))-INDEX(Reference!$A$6:$A$11,MIN(5,MATCH(MAX(Reference!$A$6,MIN(Reference!$A$11,MIN(D275,300))),Reference!$A$6:$A$11,1))))*(INDEX(Reference!$B$6:$B$11,MIN(5,MATCH(MAX(Reference!$A$6,MIN(Reference!$A$11,MIN(D275,300))),Reference!$A$6:$A$11,1))+1)-INDEX(Reference!$B$6:$B$11,MIN(5,MATCH(MAX(Reference!$A$6,MIN(Reference!$A$11,MIN(D275,300))),Reference!$A$6:$A$11,1))))/(INDEX(Reference!$A$6:$A$11,MIN(5,MATCH(MAX(Reference!$A$6,MIN(Reference!$A$11,MIN(D275,300))),Reference!$A$6:$A$11,1))+1)-INDEX(Reference!$A$6:$A$11,MIN(5,MATCH(MAX(Reference!$A$6,MIN(Reference!$A$11,MIN(D275,300))),Reference!$A$6:$A$11,1))))),0))/(AE275*(AE275+5)/2)),(INDEX(Reference!$B$6:$B$11,MIN(5,MATCH(MAX(Reference!$A$6,MIN(Reference!$A$11,D275)),Reference!$A$6:$A$11,1)))+(MAX(Reference!$A$6,MIN(Reference!$A$11,D275))-INDEX(Reference!$A$6:$A$11,MIN(5,MATCH(MAX(Reference!$A$6,MIN(Reference!$A$11,D275)),Reference!$A$6:$A$11,1))))*(INDEX(Reference!$B$6:$B$11,MIN(5,MATCH(MAX(Reference!$A$6,MIN(Reference!$A$11,D275)),Reference!$A$6:$A$11,1))+1)-INDEX(Reference!$B$6:$B$11,MIN(5,MATCH(MAX(Reference!$A$6,MIN(Reference!$A$11,D275)),Reference!$A$6:$A$11,1))))/(INDEX(Reference!$A$6:$A$11,MIN(5,MATCH(MAX(Reference!$A$6,MIN(Reference!$A$11,D275)),Reference!$A$6:$A$11,1))+1)-INDEX(Reference!$A$6:$A$11,MIN(5,MATCH(MAX(Reference!$A$6,MIN(Reference!$A$11,D275)),Reference!$A$6:$A$11,1))))))))</f>
        <v/>
      </c>
      <c r="P275" s="32" t="str">
        <f>IF(N275="","",VLOOKUP(MAX(N275,0),Reference!$A$17:$B$20,2,TRUE()))</f>
        <v/>
      </c>
      <c r="Q275" s="32" t="str">
        <f t="shared" si="39"/>
        <v/>
      </c>
      <c r="R275" s="31"/>
      <c r="S275" s="31"/>
      <c r="T275" s="31"/>
      <c r="U275" s="32" t="str">
        <f t="shared" si="40"/>
        <v/>
      </c>
      <c r="V275" s="32" t="str">
        <f t="shared" si="41"/>
        <v/>
      </c>
      <c r="W275" s="32" t="str">
        <f>IF(V275="","",VLOOKUP(MAX(V275,0),Reference!$A$17:$B$20,2,TRUE()))</f>
        <v/>
      </c>
      <c r="X275" s="31"/>
      <c r="Y275" s="31"/>
      <c r="Z275" s="31"/>
      <c r="AA275" s="32" t="str">
        <f t="shared" si="42"/>
        <v/>
      </c>
      <c r="AB275" s="32" t="str">
        <f t="shared" si="43"/>
        <v/>
      </c>
      <c r="AC275" s="32" t="str">
        <f>IF(AB275="","",VLOOKUP(MAX(AB275,0),Reference!$A$17:$B$20,2,TRUE()))</f>
        <v/>
      </c>
      <c r="AD275" s="31"/>
      <c r="AE275">
        <f t="shared" si="44"/>
        <v>1</v>
      </c>
      <c r="AF275" s="33" t="str">
        <f>IF(OR(A275="",B275="",AND(C275&lt;&gt;"Bullpen",C275&lt;&gt;"Game")),"",IF((COUNTIFS($B$5:$B$300,B275,$A$5:$A$300,A275-1,$C$5:$C$300,"Bullpen",$AG$5:$AG$300,"&gt;0") + COUNTIFS($B$5:$B$300,B275,$A$5:$A$300,A275-1,$C$5:$C$300,"Game",$AG$5:$AG$300,"&gt;0"))&gt;0,Reference!$B$119,IF((COUNTIFS($B$5:$B$300,B275,$A$5:$A$300,A275-2,$C$5:$C$300,"Bullpen",$AG$5:$AG$300,"&gt;0") + COUNTIFS($B$5:$B$300,B275,$A$5:$A$300,A275-2,$C$5:$C$300,"Game",$AG$5:$AG$300,"&gt;0"))&gt;0,Reference!$B$120,1)))</f>
        <v/>
      </c>
      <c r="AG275" s="30" t="str">
        <f>IF(AND(OR(I275="",O275="",P275=""),OR(R275="",W275=""),OR(X275="",AC275="")),"",IF(OR(I275="",O275="",P275=""),0,I275*O275*P275)+IF(OR(R275="",W275=""),0,R275*IFERROR(INDEX(Reference!$B$61:$B$62,MATCH("Bullpen",Reference!$A$61:$A$62,0)),0)*W275)+IF(OR(X275="",AC275=""),0,X275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275))</f>
        <v/>
      </c>
    </row>
    <row r="276" spans="1:33" x14ac:dyDescent="0.3">
      <c r="A276" s="35"/>
      <c r="B276" s="31"/>
      <c r="C276" s="31"/>
      <c r="D276" s="31"/>
      <c r="E276" s="34"/>
      <c r="F276" s="34"/>
      <c r="G276" s="30" t="str">
        <f t="shared" si="36"/>
        <v/>
      </c>
      <c r="H276" s="31"/>
      <c r="I276" s="32" t="str">
        <f>IF(H276&lt;&gt;"",H276,IF(G276="","",ROUND(G276*IFERROR(INDEX(Reference!$B$44:$B$50,MATCH(C276,Reference!$A$44:$A$50,0)),0),0)))</f>
        <v/>
      </c>
      <c r="J276" s="31"/>
      <c r="K276" s="31"/>
      <c r="L276" s="32" t="str">
        <f t="shared" si="37"/>
        <v/>
      </c>
      <c r="M276" s="32" t="str">
        <f>IFERROR(INDEX(Roster!$D$5:$D$40,MATCH(B276,Roster!$A$5:$A$40,0)),"")</f>
        <v/>
      </c>
      <c r="N276" s="32" t="str">
        <f t="shared" si="38"/>
        <v/>
      </c>
      <c r="O276" s="32" t="str">
        <f>IF(OR(C276="Bullpen",C276="Game"),IFERROR(INDEX(Reference!$B$61:$B$62,MATCH(C276,Reference!$A$61:$A$62,0)),""),IF(D276="","",IF(AE276&gt;1,((IF(1&lt;=AE276,(AE276-1+3)*(INDEX(Reference!$B$6:$B$11,MIN(5,MATCH(MAX(Reference!$A$6,MIN(Reference!$A$11,MIN(D276,90))),Reference!$A$6:$A$11,1)))+(MAX(Reference!$A$6,MIN(Reference!$A$11,MIN(D276,90)))-INDEX(Reference!$A$6:$A$11,MIN(5,MATCH(MAX(Reference!$A$6,MIN(Reference!$A$11,MIN(D276,90))),Reference!$A$6:$A$11,1))))*(INDEX(Reference!$B$6:$B$11,MIN(5,MATCH(MAX(Reference!$A$6,MIN(Reference!$A$11,MIN(D276,90))),Reference!$A$6:$A$11,1))+1)-INDEX(Reference!$B$6:$B$11,MIN(5,MATCH(MAX(Reference!$A$6,MIN(Reference!$A$11,MIN(D276,90))),Reference!$A$6:$A$11,1))))/(INDEX(Reference!$A$6:$A$11,MIN(5,MATCH(MAX(Reference!$A$6,MIN(Reference!$A$11,MIN(D276,90))),Reference!$A$6:$A$11,1))+1)-INDEX(Reference!$A$6:$A$11,MIN(5,MATCH(MAX(Reference!$A$6,MIN(Reference!$A$11,MIN(D276,90))),Reference!$A$6:$A$11,1))))),0)+IF(2&lt;=AE276,(AE276-2+3)*(INDEX(Reference!$B$6:$B$11,MIN(5,MATCH(MAX(Reference!$A$6,MIN(Reference!$A$11,MIN(D276,120))),Reference!$A$6:$A$11,1)))+(MAX(Reference!$A$6,MIN(Reference!$A$11,MIN(D276,120)))-INDEX(Reference!$A$6:$A$11,MIN(5,MATCH(MAX(Reference!$A$6,MIN(Reference!$A$11,MIN(D276,120))),Reference!$A$6:$A$11,1))))*(INDEX(Reference!$B$6:$B$11,MIN(5,MATCH(MAX(Reference!$A$6,MIN(Reference!$A$11,MIN(D276,120))),Reference!$A$6:$A$11,1))+1)-INDEX(Reference!$B$6:$B$11,MIN(5,MATCH(MAX(Reference!$A$6,MIN(Reference!$A$11,MIN(D276,120))),Reference!$A$6:$A$11,1))))/(INDEX(Reference!$A$6:$A$11,MIN(5,MATCH(MAX(Reference!$A$6,MIN(Reference!$A$11,MIN(D276,120))),Reference!$A$6:$A$11,1))+1)-INDEX(Reference!$A$6:$A$11,MIN(5,MATCH(MAX(Reference!$A$6,MIN(Reference!$A$11,MIN(D276,120))),Reference!$A$6:$A$11,1))))),0)+IF(3&lt;=AE276,(AE276-3+3)*(INDEX(Reference!$B$6:$B$11,MIN(5,MATCH(MAX(Reference!$A$6,MIN(Reference!$A$11,MIN(D276,150))),Reference!$A$6:$A$11,1)))+(MAX(Reference!$A$6,MIN(Reference!$A$11,MIN(D276,150)))-INDEX(Reference!$A$6:$A$11,MIN(5,MATCH(MAX(Reference!$A$6,MIN(Reference!$A$11,MIN(D276,150))),Reference!$A$6:$A$11,1))))*(INDEX(Reference!$B$6:$B$11,MIN(5,MATCH(MAX(Reference!$A$6,MIN(Reference!$A$11,MIN(D276,150))),Reference!$A$6:$A$11,1))+1)-INDEX(Reference!$B$6:$B$11,MIN(5,MATCH(MAX(Reference!$A$6,MIN(Reference!$A$11,MIN(D276,150))),Reference!$A$6:$A$11,1))))/(INDEX(Reference!$A$6:$A$11,MIN(5,MATCH(MAX(Reference!$A$6,MIN(Reference!$A$11,MIN(D276,150))),Reference!$A$6:$A$11,1))+1)-INDEX(Reference!$A$6:$A$11,MIN(5,MATCH(MAX(Reference!$A$6,MIN(Reference!$A$11,MIN(D276,150))),Reference!$A$6:$A$11,1))))),0)+IF(4&lt;=AE276,(AE276-4+3)*(INDEX(Reference!$B$6:$B$11,MIN(5,MATCH(MAX(Reference!$A$6,MIN(Reference!$A$11,MIN(D276,180))),Reference!$A$6:$A$11,1)))+(MAX(Reference!$A$6,MIN(Reference!$A$11,MIN(D276,180)))-INDEX(Reference!$A$6:$A$11,MIN(5,MATCH(MAX(Reference!$A$6,MIN(Reference!$A$11,MIN(D276,180))),Reference!$A$6:$A$11,1))))*(INDEX(Reference!$B$6:$B$11,MIN(5,MATCH(MAX(Reference!$A$6,MIN(Reference!$A$11,MIN(D276,180))),Reference!$A$6:$A$11,1))+1)-INDEX(Reference!$B$6:$B$11,MIN(5,MATCH(MAX(Reference!$A$6,MIN(Reference!$A$11,MIN(D276,180))),Reference!$A$6:$A$11,1))))/(INDEX(Reference!$A$6:$A$11,MIN(5,MATCH(MAX(Reference!$A$6,MIN(Reference!$A$11,MIN(D276,180))),Reference!$A$6:$A$11,1))+1)-INDEX(Reference!$A$6:$A$11,MIN(5,MATCH(MAX(Reference!$A$6,MIN(Reference!$A$11,MIN(D276,180))),Reference!$A$6:$A$11,1))))),0)+IF(5&lt;=AE276,(AE276-5+3)*(INDEX(Reference!$B$6:$B$11,MIN(5,MATCH(MAX(Reference!$A$6,MIN(Reference!$A$11,MIN(D276,210))),Reference!$A$6:$A$11,1)))+(MAX(Reference!$A$6,MIN(Reference!$A$11,MIN(D276,210)))-INDEX(Reference!$A$6:$A$11,MIN(5,MATCH(MAX(Reference!$A$6,MIN(Reference!$A$11,MIN(D276,210))),Reference!$A$6:$A$11,1))))*(INDEX(Reference!$B$6:$B$11,MIN(5,MATCH(MAX(Reference!$A$6,MIN(Reference!$A$11,MIN(D276,210))),Reference!$A$6:$A$11,1))+1)-INDEX(Reference!$B$6:$B$11,MIN(5,MATCH(MAX(Reference!$A$6,MIN(Reference!$A$11,MIN(D276,210))),Reference!$A$6:$A$11,1))))/(INDEX(Reference!$A$6:$A$11,MIN(5,MATCH(MAX(Reference!$A$6,MIN(Reference!$A$11,MIN(D276,210))),Reference!$A$6:$A$11,1))+1)-INDEX(Reference!$A$6:$A$11,MIN(5,MATCH(MAX(Reference!$A$6,MIN(Reference!$A$11,MIN(D276,210))),Reference!$A$6:$A$11,1))))),0)+IF(6&lt;=AE276,(AE276-6+3)*(INDEX(Reference!$B$6:$B$11,MIN(5,MATCH(MAX(Reference!$A$6,MIN(Reference!$A$11,MIN(D276,240))),Reference!$A$6:$A$11,1)))+(MAX(Reference!$A$6,MIN(Reference!$A$11,MIN(D276,240)))-INDEX(Reference!$A$6:$A$11,MIN(5,MATCH(MAX(Reference!$A$6,MIN(Reference!$A$11,MIN(D276,240))),Reference!$A$6:$A$11,1))))*(INDEX(Reference!$B$6:$B$11,MIN(5,MATCH(MAX(Reference!$A$6,MIN(Reference!$A$11,MIN(D276,240))),Reference!$A$6:$A$11,1))+1)-INDEX(Reference!$B$6:$B$11,MIN(5,MATCH(MAX(Reference!$A$6,MIN(Reference!$A$11,MIN(D276,240))),Reference!$A$6:$A$11,1))))/(INDEX(Reference!$A$6:$A$11,MIN(5,MATCH(MAX(Reference!$A$6,MIN(Reference!$A$11,MIN(D276,240))),Reference!$A$6:$A$11,1))+1)-INDEX(Reference!$A$6:$A$11,MIN(5,MATCH(MAX(Reference!$A$6,MIN(Reference!$A$11,MIN(D276,240))),Reference!$A$6:$A$11,1))))),0)+IF(7&lt;=AE276,(AE276-7+3)*(INDEX(Reference!$B$6:$B$11,MIN(5,MATCH(MAX(Reference!$A$6,MIN(Reference!$A$11,MIN(D276,270))),Reference!$A$6:$A$11,1)))+(MAX(Reference!$A$6,MIN(Reference!$A$11,MIN(D276,270)))-INDEX(Reference!$A$6:$A$11,MIN(5,MATCH(MAX(Reference!$A$6,MIN(Reference!$A$11,MIN(D276,270))),Reference!$A$6:$A$11,1))))*(INDEX(Reference!$B$6:$B$11,MIN(5,MATCH(MAX(Reference!$A$6,MIN(Reference!$A$11,MIN(D276,270))),Reference!$A$6:$A$11,1))+1)-INDEX(Reference!$B$6:$B$11,MIN(5,MATCH(MAX(Reference!$A$6,MIN(Reference!$A$11,MIN(D276,270))),Reference!$A$6:$A$11,1))))/(INDEX(Reference!$A$6:$A$11,MIN(5,MATCH(MAX(Reference!$A$6,MIN(Reference!$A$11,MIN(D276,270))),Reference!$A$6:$A$11,1))+1)-INDEX(Reference!$A$6:$A$11,MIN(5,MATCH(MAX(Reference!$A$6,MIN(Reference!$A$11,MIN(D276,270))),Reference!$A$6:$A$11,1))))),0)+IF(8&lt;=AE276,(AE276-8+3)*(INDEX(Reference!$B$6:$B$11,MIN(5,MATCH(MAX(Reference!$A$6,MIN(Reference!$A$11,MIN(D276,300))),Reference!$A$6:$A$11,1)))+(MAX(Reference!$A$6,MIN(Reference!$A$11,MIN(D276,300)))-INDEX(Reference!$A$6:$A$11,MIN(5,MATCH(MAX(Reference!$A$6,MIN(Reference!$A$11,MIN(D276,300))),Reference!$A$6:$A$11,1))))*(INDEX(Reference!$B$6:$B$11,MIN(5,MATCH(MAX(Reference!$A$6,MIN(Reference!$A$11,MIN(D276,300))),Reference!$A$6:$A$11,1))+1)-INDEX(Reference!$B$6:$B$11,MIN(5,MATCH(MAX(Reference!$A$6,MIN(Reference!$A$11,MIN(D276,300))),Reference!$A$6:$A$11,1))))/(INDEX(Reference!$A$6:$A$11,MIN(5,MATCH(MAX(Reference!$A$6,MIN(Reference!$A$11,MIN(D276,300))),Reference!$A$6:$A$11,1))+1)-INDEX(Reference!$A$6:$A$11,MIN(5,MATCH(MAX(Reference!$A$6,MIN(Reference!$A$11,MIN(D276,300))),Reference!$A$6:$A$11,1))))),0))/(AE276*(AE276+5)/2)),(INDEX(Reference!$B$6:$B$11,MIN(5,MATCH(MAX(Reference!$A$6,MIN(Reference!$A$11,D276)),Reference!$A$6:$A$11,1)))+(MAX(Reference!$A$6,MIN(Reference!$A$11,D276))-INDEX(Reference!$A$6:$A$11,MIN(5,MATCH(MAX(Reference!$A$6,MIN(Reference!$A$11,D276)),Reference!$A$6:$A$11,1))))*(INDEX(Reference!$B$6:$B$11,MIN(5,MATCH(MAX(Reference!$A$6,MIN(Reference!$A$11,D276)),Reference!$A$6:$A$11,1))+1)-INDEX(Reference!$B$6:$B$11,MIN(5,MATCH(MAX(Reference!$A$6,MIN(Reference!$A$11,D276)),Reference!$A$6:$A$11,1))))/(INDEX(Reference!$A$6:$A$11,MIN(5,MATCH(MAX(Reference!$A$6,MIN(Reference!$A$11,D276)),Reference!$A$6:$A$11,1))+1)-INDEX(Reference!$A$6:$A$11,MIN(5,MATCH(MAX(Reference!$A$6,MIN(Reference!$A$11,D276)),Reference!$A$6:$A$11,1))))))))</f>
        <v/>
      </c>
      <c r="P276" s="32" t="str">
        <f>IF(N276="","",VLOOKUP(MAX(N276,0),Reference!$A$17:$B$20,2,TRUE()))</f>
        <v/>
      </c>
      <c r="Q276" s="32" t="str">
        <f t="shared" si="39"/>
        <v/>
      </c>
      <c r="R276" s="31"/>
      <c r="S276" s="31"/>
      <c r="T276" s="31"/>
      <c r="U276" s="32" t="str">
        <f t="shared" si="40"/>
        <v/>
      </c>
      <c r="V276" s="32" t="str">
        <f t="shared" si="41"/>
        <v/>
      </c>
      <c r="W276" s="32" t="str">
        <f>IF(V276="","",VLOOKUP(MAX(V276,0),Reference!$A$17:$B$20,2,TRUE()))</f>
        <v/>
      </c>
      <c r="X276" s="31"/>
      <c r="Y276" s="31"/>
      <c r="Z276" s="31"/>
      <c r="AA276" s="32" t="str">
        <f t="shared" si="42"/>
        <v/>
      </c>
      <c r="AB276" s="32" t="str">
        <f t="shared" si="43"/>
        <v/>
      </c>
      <c r="AC276" s="32" t="str">
        <f>IF(AB276="","",VLOOKUP(MAX(AB276,0),Reference!$A$17:$B$20,2,TRUE()))</f>
        <v/>
      </c>
      <c r="AD276" s="31"/>
      <c r="AE276">
        <f t="shared" si="44"/>
        <v>1</v>
      </c>
      <c r="AF276" s="33" t="str">
        <f>IF(OR(A276="",B276="",AND(C276&lt;&gt;"Bullpen",C276&lt;&gt;"Game")),"",IF((COUNTIFS($B$5:$B$300,B276,$A$5:$A$300,A276-1,$C$5:$C$300,"Bullpen",$AG$5:$AG$300,"&gt;0") + COUNTIFS($B$5:$B$300,B276,$A$5:$A$300,A276-1,$C$5:$C$300,"Game",$AG$5:$AG$300,"&gt;0"))&gt;0,Reference!$B$119,IF((COUNTIFS($B$5:$B$300,B276,$A$5:$A$300,A276-2,$C$5:$C$300,"Bullpen",$AG$5:$AG$300,"&gt;0") + COUNTIFS($B$5:$B$300,B276,$A$5:$A$300,A276-2,$C$5:$C$300,"Game",$AG$5:$AG$300,"&gt;0"))&gt;0,Reference!$B$120,1)))</f>
        <v/>
      </c>
      <c r="AG276" s="30" t="str">
        <f>IF(AND(OR(I276="",O276="",P276=""),OR(R276="",W276=""),OR(X276="",AC276="")),"",IF(OR(I276="",O276="",P276=""),0,I276*O276*P276)+IF(OR(R276="",W276=""),0,R276*IFERROR(INDEX(Reference!$B$61:$B$62,MATCH("Bullpen",Reference!$A$61:$A$62,0)),0)*W276)+IF(OR(X276="",AC276=""),0,X276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276))</f>
        <v/>
      </c>
    </row>
    <row r="277" spans="1:33" x14ac:dyDescent="0.3">
      <c r="A277" s="35"/>
      <c r="B277" s="31"/>
      <c r="C277" s="31"/>
      <c r="D277" s="31"/>
      <c r="E277" s="34"/>
      <c r="F277" s="34"/>
      <c r="G277" s="30" t="str">
        <f t="shared" si="36"/>
        <v/>
      </c>
      <c r="H277" s="31"/>
      <c r="I277" s="32" t="str">
        <f>IF(H277&lt;&gt;"",H277,IF(G277="","",ROUND(G277*IFERROR(INDEX(Reference!$B$44:$B$50,MATCH(C277,Reference!$A$44:$A$50,0)),0),0)))</f>
        <v/>
      </c>
      <c r="J277" s="31"/>
      <c r="K277" s="31"/>
      <c r="L277" s="32" t="str">
        <f t="shared" si="37"/>
        <v/>
      </c>
      <c r="M277" s="32" t="str">
        <f>IFERROR(INDEX(Roster!$D$5:$D$40,MATCH(B277,Roster!$A$5:$A$40,0)),"")</f>
        <v/>
      </c>
      <c r="N277" s="32" t="str">
        <f t="shared" si="38"/>
        <v/>
      </c>
      <c r="O277" s="32" t="str">
        <f>IF(OR(C277="Bullpen",C277="Game"),IFERROR(INDEX(Reference!$B$61:$B$62,MATCH(C277,Reference!$A$61:$A$62,0)),""),IF(D277="","",IF(AE277&gt;1,((IF(1&lt;=AE277,(AE277-1+3)*(INDEX(Reference!$B$6:$B$11,MIN(5,MATCH(MAX(Reference!$A$6,MIN(Reference!$A$11,MIN(D277,90))),Reference!$A$6:$A$11,1)))+(MAX(Reference!$A$6,MIN(Reference!$A$11,MIN(D277,90)))-INDEX(Reference!$A$6:$A$11,MIN(5,MATCH(MAX(Reference!$A$6,MIN(Reference!$A$11,MIN(D277,90))),Reference!$A$6:$A$11,1))))*(INDEX(Reference!$B$6:$B$11,MIN(5,MATCH(MAX(Reference!$A$6,MIN(Reference!$A$11,MIN(D277,90))),Reference!$A$6:$A$11,1))+1)-INDEX(Reference!$B$6:$B$11,MIN(5,MATCH(MAX(Reference!$A$6,MIN(Reference!$A$11,MIN(D277,90))),Reference!$A$6:$A$11,1))))/(INDEX(Reference!$A$6:$A$11,MIN(5,MATCH(MAX(Reference!$A$6,MIN(Reference!$A$11,MIN(D277,90))),Reference!$A$6:$A$11,1))+1)-INDEX(Reference!$A$6:$A$11,MIN(5,MATCH(MAX(Reference!$A$6,MIN(Reference!$A$11,MIN(D277,90))),Reference!$A$6:$A$11,1))))),0)+IF(2&lt;=AE277,(AE277-2+3)*(INDEX(Reference!$B$6:$B$11,MIN(5,MATCH(MAX(Reference!$A$6,MIN(Reference!$A$11,MIN(D277,120))),Reference!$A$6:$A$11,1)))+(MAX(Reference!$A$6,MIN(Reference!$A$11,MIN(D277,120)))-INDEX(Reference!$A$6:$A$11,MIN(5,MATCH(MAX(Reference!$A$6,MIN(Reference!$A$11,MIN(D277,120))),Reference!$A$6:$A$11,1))))*(INDEX(Reference!$B$6:$B$11,MIN(5,MATCH(MAX(Reference!$A$6,MIN(Reference!$A$11,MIN(D277,120))),Reference!$A$6:$A$11,1))+1)-INDEX(Reference!$B$6:$B$11,MIN(5,MATCH(MAX(Reference!$A$6,MIN(Reference!$A$11,MIN(D277,120))),Reference!$A$6:$A$11,1))))/(INDEX(Reference!$A$6:$A$11,MIN(5,MATCH(MAX(Reference!$A$6,MIN(Reference!$A$11,MIN(D277,120))),Reference!$A$6:$A$11,1))+1)-INDEX(Reference!$A$6:$A$11,MIN(5,MATCH(MAX(Reference!$A$6,MIN(Reference!$A$11,MIN(D277,120))),Reference!$A$6:$A$11,1))))),0)+IF(3&lt;=AE277,(AE277-3+3)*(INDEX(Reference!$B$6:$B$11,MIN(5,MATCH(MAX(Reference!$A$6,MIN(Reference!$A$11,MIN(D277,150))),Reference!$A$6:$A$11,1)))+(MAX(Reference!$A$6,MIN(Reference!$A$11,MIN(D277,150)))-INDEX(Reference!$A$6:$A$11,MIN(5,MATCH(MAX(Reference!$A$6,MIN(Reference!$A$11,MIN(D277,150))),Reference!$A$6:$A$11,1))))*(INDEX(Reference!$B$6:$B$11,MIN(5,MATCH(MAX(Reference!$A$6,MIN(Reference!$A$11,MIN(D277,150))),Reference!$A$6:$A$11,1))+1)-INDEX(Reference!$B$6:$B$11,MIN(5,MATCH(MAX(Reference!$A$6,MIN(Reference!$A$11,MIN(D277,150))),Reference!$A$6:$A$11,1))))/(INDEX(Reference!$A$6:$A$11,MIN(5,MATCH(MAX(Reference!$A$6,MIN(Reference!$A$11,MIN(D277,150))),Reference!$A$6:$A$11,1))+1)-INDEX(Reference!$A$6:$A$11,MIN(5,MATCH(MAX(Reference!$A$6,MIN(Reference!$A$11,MIN(D277,150))),Reference!$A$6:$A$11,1))))),0)+IF(4&lt;=AE277,(AE277-4+3)*(INDEX(Reference!$B$6:$B$11,MIN(5,MATCH(MAX(Reference!$A$6,MIN(Reference!$A$11,MIN(D277,180))),Reference!$A$6:$A$11,1)))+(MAX(Reference!$A$6,MIN(Reference!$A$11,MIN(D277,180)))-INDEX(Reference!$A$6:$A$11,MIN(5,MATCH(MAX(Reference!$A$6,MIN(Reference!$A$11,MIN(D277,180))),Reference!$A$6:$A$11,1))))*(INDEX(Reference!$B$6:$B$11,MIN(5,MATCH(MAX(Reference!$A$6,MIN(Reference!$A$11,MIN(D277,180))),Reference!$A$6:$A$11,1))+1)-INDEX(Reference!$B$6:$B$11,MIN(5,MATCH(MAX(Reference!$A$6,MIN(Reference!$A$11,MIN(D277,180))),Reference!$A$6:$A$11,1))))/(INDEX(Reference!$A$6:$A$11,MIN(5,MATCH(MAX(Reference!$A$6,MIN(Reference!$A$11,MIN(D277,180))),Reference!$A$6:$A$11,1))+1)-INDEX(Reference!$A$6:$A$11,MIN(5,MATCH(MAX(Reference!$A$6,MIN(Reference!$A$11,MIN(D277,180))),Reference!$A$6:$A$11,1))))),0)+IF(5&lt;=AE277,(AE277-5+3)*(INDEX(Reference!$B$6:$B$11,MIN(5,MATCH(MAX(Reference!$A$6,MIN(Reference!$A$11,MIN(D277,210))),Reference!$A$6:$A$11,1)))+(MAX(Reference!$A$6,MIN(Reference!$A$11,MIN(D277,210)))-INDEX(Reference!$A$6:$A$11,MIN(5,MATCH(MAX(Reference!$A$6,MIN(Reference!$A$11,MIN(D277,210))),Reference!$A$6:$A$11,1))))*(INDEX(Reference!$B$6:$B$11,MIN(5,MATCH(MAX(Reference!$A$6,MIN(Reference!$A$11,MIN(D277,210))),Reference!$A$6:$A$11,1))+1)-INDEX(Reference!$B$6:$B$11,MIN(5,MATCH(MAX(Reference!$A$6,MIN(Reference!$A$11,MIN(D277,210))),Reference!$A$6:$A$11,1))))/(INDEX(Reference!$A$6:$A$11,MIN(5,MATCH(MAX(Reference!$A$6,MIN(Reference!$A$11,MIN(D277,210))),Reference!$A$6:$A$11,1))+1)-INDEX(Reference!$A$6:$A$11,MIN(5,MATCH(MAX(Reference!$A$6,MIN(Reference!$A$11,MIN(D277,210))),Reference!$A$6:$A$11,1))))),0)+IF(6&lt;=AE277,(AE277-6+3)*(INDEX(Reference!$B$6:$B$11,MIN(5,MATCH(MAX(Reference!$A$6,MIN(Reference!$A$11,MIN(D277,240))),Reference!$A$6:$A$11,1)))+(MAX(Reference!$A$6,MIN(Reference!$A$11,MIN(D277,240)))-INDEX(Reference!$A$6:$A$11,MIN(5,MATCH(MAX(Reference!$A$6,MIN(Reference!$A$11,MIN(D277,240))),Reference!$A$6:$A$11,1))))*(INDEX(Reference!$B$6:$B$11,MIN(5,MATCH(MAX(Reference!$A$6,MIN(Reference!$A$11,MIN(D277,240))),Reference!$A$6:$A$11,1))+1)-INDEX(Reference!$B$6:$B$11,MIN(5,MATCH(MAX(Reference!$A$6,MIN(Reference!$A$11,MIN(D277,240))),Reference!$A$6:$A$11,1))))/(INDEX(Reference!$A$6:$A$11,MIN(5,MATCH(MAX(Reference!$A$6,MIN(Reference!$A$11,MIN(D277,240))),Reference!$A$6:$A$11,1))+1)-INDEX(Reference!$A$6:$A$11,MIN(5,MATCH(MAX(Reference!$A$6,MIN(Reference!$A$11,MIN(D277,240))),Reference!$A$6:$A$11,1))))),0)+IF(7&lt;=AE277,(AE277-7+3)*(INDEX(Reference!$B$6:$B$11,MIN(5,MATCH(MAX(Reference!$A$6,MIN(Reference!$A$11,MIN(D277,270))),Reference!$A$6:$A$11,1)))+(MAX(Reference!$A$6,MIN(Reference!$A$11,MIN(D277,270)))-INDEX(Reference!$A$6:$A$11,MIN(5,MATCH(MAX(Reference!$A$6,MIN(Reference!$A$11,MIN(D277,270))),Reference!$A$6:$A$11,1))))*(INDEX(Reference!$B$6:$B$11,MIN(5,MATCH(MAX(Reference!$A$6,MIN(Reference!$A$11,MIN(D277,270))),Reference!$A$6:$A$11,1))+1)-INDEX(Reference!$B$6:$B$11,MIN(5,MATCH(MAX(Reference!$A$6,MIN(Reference!$A$11,MIN(D277,270))),Reference!$A$6:$A$11,1))))/(INDEX(Reference!$A$6:$A$11,MIN(5,MATCH(MAX(Reference!$A$6,MIN(Reference!$A$11,MIN(D277,270))),Reference!$A$6:$A$11,1))+1)-INDEX(Reference!$A$6:$A$11,MIN(5,MATCH(MAX(Reference!$A$6,MIN(Reference!$A$11,MIN(D277,270))),Reference!$A$6:$A$11,1))))),0)+IF(8&lt;=AE277,(AE277-8+3)*(INDEX(Reference!$B$6:$B$11,MIN(5,MATCH(MAX(Reference!$A$6,MIN(Reference!$A$11,MIN(D277,300))),Reference!$A$6:$A$11,1)))+(MAX(Reference!$A$6,MIN(Reference!$A$11,MIN(D277,300)))-INDEX(Reference!$A$6:$A$11,MIN(5,MATCH(MAX(Reference!$A$6,MIN(Reference!$A$11,MIN(D277,300))),Reference!$A$6:$A$11,1))))*(INDEX(Reference!$B$6:$B$11,MIN(5,MATCH(MAX(Reference!$A$6,MIN(Reference!$A$11,MIN(D277,300))),Reference!$A$6:$A$11,1))+1)-INDEX(Reference!$B$6:$B$11,MIN(5,MATCH(MAX(Reference!$A$6,MIN(Reference!$A$11,MIN(D277,300))),Reference!$A$6:$A$11,1))))/(INDEX(Reference!$A$6:$A$11,MIN(5,MATCH(MAX(Reference!$A$6,MIN(Reference!$A$11,MIN(D277,300))),Reference!$A$6:$A$11,1))+1)-INDEX(Reference!$A$6:$A$11,MIN(5,MATCH(MAX(Reference!$A$6,MIN(Reference!$A$11,MIN(D277,300))),Reference!$A$6:$A$11,1))))),0))/(AE277*(AE277+5)/2)),(INDEX(Reference!$B$6:$B$11,MIN(5,MATCH(MAX(Reference!$A$6,MIN(Reference!$A$11,D277)),Reference!$A$6:$A$11,1)))+(MAX(Reference!$A$6,MIN(Reference!$A$11,D277))-INDEX(Reference!$A$6:$A$11,MIN(5,MATCH(MAX(Reference!$A$6,MIN(Reference!$A$11,D277)),Reference!$A$6:$A$11,1))))*(INDEX(Reference!$B$6:$B$11,MIN(5,MATCH(MAX(Reference!$A$6,MIN(Reference!$A$11,D277)),Reference!$A$6:$A$11,1))+1)-INDEX(Reference!$B$6:$B$11,MIN(5,MATCH(MAX(Reference!$A$6,MIN(Reference!$A$11,D277)),Reference!$A$6:$A$11,1))))/(INDEX(Reference!$A$6:$A$11,MIN(5,MATCH(MAX(Reference!$A$6,MIN(Reference!$A$11,D277)),Reference!$A$6:$A$11,1))+1)-INDEX(Reference!$A$6:$A$11,MIN(5,MATCH(MAX(Reference!$A$6,MIN(Reference!$A$11,D277)),Reference!$A$6:$A$11,1))))))))</f>
        <v/>
      </c>
      <c r="P277" s="32" t="str">
        <f>IF(N277="","",VLOOKUP(MAX(N277,0),Reference!$A$17:$B$20,2,TRUE()))</f>
        <v/>
      </c>
      <c r="Q277" s="32" t="str">
        <f t="shared" si="39"/>
        <v/>
      </c>
      <c r="R277" s="31"/>
      <c r="S277" s="31"/>
      <c r="T277" s="31"/>
      <c r="U277" s="32" t="str">
        <f t="shared" si="40"/>
        <v/>
      </c>
      <c r="V277" s="32" t="str">
        <f t="shared" si="41"/>
        <v/>
      </c>
      <c r="W277" s="32" t="str">
        <f>IF(V277="","",VLOOKUP(MAX(V277,0),Reference!$A$17:$B$20,2,TRUE()))</f>
        <v/>
      </c>
      <c r="X277" s="31"/>
      <c r="Y277" s="31"/>
      <c r="Z277" s="31"/>
      <c r="AA277" s="32" t="str">
        <f t="shared" si="42"/>
        <v/>
      </c>
      <c r="AB277" s="32" t="str">
        <f t="shared" si="43"/>
        <v/>
      </c>
      <c r="AC277" s="32" t="str">
        <f>IF(AB277="","",VLOOKUP(MAX(AB277,0),Reference!$A$17:$B$20,2,TRUE()))</f>
        <v/>
      </c>
      <c r="AD277" s="31"/>
      <c r="AE277">
        <f t="shared" si="44"/>
        <v>1</v>
      </c>
      <c r="AF277" s="33" t="str">
        <f>IF(OR(A277="",B277="",AND(C277&lt;&gt;"Bullpen",C277&lt;&gt;"Game")),"",IF((COUNTIFS($B$5:$B$300,B277,$A$5:$A$300,A277-1,$C$5:$C$300,"Bullpen",$AG$5:$AG$300,"&gt;0") + COUNTIFS($B$5:$B$300,B277,$A$5:$A$300,A277-1,$C$5:$C$300,"Game",$AG$5:$AG$300,"&gt;0"))&gt;0,Reference!$B$119,IF((COUNTIFS($B$5:$B$300,B277,$A$5:$A$300,A277-2,$C$5:$C$300,"Bullpen",$AG$5:$AG$300,"&gt;0") + COUNTIFS($B$5:$B$300,B277,$A$5:$A$300,A277-2,$C$5:$C$300,"Game",$AG$5:$AG$300,"&gt;0"))&gt;0,Reference!$B$120,1)))</f>
        <v/>
      </c>
      <c r="AG277" s="30" t="str">
        <f>IF(AND(OR(I277="",O277="",P277=""),OR(R277="",W277=""),OR(X277="",AC277="")),"",IF(OR(I277="",O277="",P277=""),0,I277*O277*P277)+IF(OR(R277="",W277=""),0,R277*IFERROR(INDEX(Reference!$B$61:$B$62,MATCH("Bullpen",Reference!$A$61:$A$62,0)),0)*W277)+IF(OR(X277="",AC277=""),0,X277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277))</f>
        <v/>
      </c>
    </row>
    <row r="278" spans="1:33" x14ac:dyDescent="0.3">
      <c r="A278" s="35"/>
      <c r="B278" s="31"/>
      <c r="C278" s="31"/>
      <c r="D278" s="31"/>
      <c r="E278" s="34"/>
      <c r="F278" s="34"/>
      <c r="G278" s="30" t="str">
        <f t="shared" si="36"/>
        <v/>
      </c>
      <c r="H278" s="31"/>
      <c r="I278" s="32" t="str">
        <f>IF(H278&lt;&gt;"",H278,IF(G278="","",ROUND(G278*IFERROR(INDEX(Reference!$B$44:$B$50,MATCH(C278,Reference!$A$44:$A$50,0)),0),0)))</f>
        <v/>
      </c>
      <c r="J278" s="31"/>
      <c r="K278" s="31"/>
      <c r="L278" s="32" t="str">
        <f t="shared" si="37"/>
        <v/>
      </c>
      <c r="M278" s="32" t="str">
        <f>IFERROR(INDEX(Roster!$D$5:$D$40,MATCH(B278,Roster!$A$5:$A$40,0)),"")</f>
        <v/>
      </c>
      <c r="N278" s="32" t="str">
        <f t="shared" si="38"/>
        <v/>
      </c>
      <c r="O278" s="32" t="str">
        <f>IF(OR(C278="Bullpen",C278="Game"),IFERROR(INDEX(Reference!$B$61:$B$62,MATCH(C278,Reference!$A$61:$A$62,0)),""),IF(D278="","",IF(AE278&gt;1,((IF(1&lt;=AE278,(AE278-1+3)*(INDEX(Reference!$B$6:$B$11,MIN(5,MATCH(MAX(Reference!$A$6,MIN(Reference!$A$11,MIN(D278,90))),Reference!$A$6:$A$11,1)))+(MAX(Reference!$A$6,MIN(Reference!$A$11,MIN(D278,90)))-INDEX(Reference!$A$6:$A$11,MIN(5,MATCH(MAX(Reference!$A$6,MIN(Reference!$A$11,MIN(D278,90))),Reference!$A$6:$A$11,1))))*(INDEX(Reference!$B$6:$B$11,MIN(5,MATCH(MAX(Reference!$A$6,MIN(Reference!$A$11,MIN(D278,90))),Reference!$A$6:$A$11,1))+1)-INDEX(Reference!$B$6:$B$11,MIN(5,MATCH(MAX(Reference!$A$6,MIN(Reference!$A$11,MIN(D278,90))),Reference!$A$6:$A$11,1))))/(INDEX(Reference!$A$6:$A$11,MIN(5,MATCH(MAX(Reference!$A$6,MIN(Reference!$A$11,MIN(D278,90))),Reference!$A$6:$A$11,1))+1)-INDEX(Reference!$A$6:$A$11,MIN(5,MATCH(MAX(Reference!$A$6,MIN(Reference!$A$11,MIN(D278,90))),Reference!$A$6:$A$11,1))))),0)+IF(2&lt;=AE278,(AE278-2+3)*(INDEX(Reference!$B$6:$B$11,MIN(5,MATCH(MAX(Reference!$A$6,MIN(Reference!$A$11,MIN(D278,120))),Reference!$A$6:$A$11,1)))+(MAX(Reference!$A$6,MIN(Reference!$A$11,MIN(D278,120)))-INDEX(Reference!$A$6:$A$11,MIN(5,MATCH(MAX(Reference!$A$6,MIN(Reference!$A$11,MIN(D278,120))),Reference!$A$6:$A$11,1))))*(INDEX(Reference!$B$6:$B$11,MIN(5,MATCH(MAX(Reference!$A$6,MIN(Reference!$A$11,MIN(D278,120))),Reference!$A$6:$A$11,1))+1)-INDEX(Reference!$B$6:$B$11,MIN(5,MATCH(MAX(Reference!$A$6,MIN(Reference!$A$11,MIN(D278,120))),Reference!$A$6:$A$11,1))))/(INDEX(Reference!$A$6:$A$11,MIN(5,MATCH(MAX(Reference!$A$6,MIN(Reference!$A$11,MIN(D278,120))),Reference!$A$6:$A$11,1))+1)-INDEX(Reference!$A$6:$A$11,MIN(5,MATCH(MAX(Reference!$A$6,MIN(Reference!$A$11,MIN(D278,120))),Reference!$A$6:$A$11,1))))),0)+IF(3&lt;=AE278,(AE278-3+3)*(INDEX(Reference!$B$6:$B$11,MIN(5,MATCH(MAX(Reference!$A$6,MIN(Reference!$A$11,MIN(D278,150))),Reference!$A$6:$A$11,1)))+(MAX(Reference!$A$6,MIN(Reference!$A$11,MIN(D278,150)))-INDEX(Reference!$A$6:$A$11,MIN(5,MATCH(MAX(Reference!$A$6,MIN(Reference!$A$11,MIN(D278,150))),Reference!$A$6:$A$11,1))))*(INDEX(Reference!$B$6:$B$11,MIN(5,MATCH(MAX(Reference!$A$6,MIN(Reference!$A$11,MIN(D278,150))),Reference!$A$6:$A$11,1))+1)-INDEX(Reference!$B$6:$B$11,MIN(5,MATCH(MAX(Reference!$A$6,MIN(Reference!$A$11,MIN(D278,150))),Reference!$A$6:$A$11,1))))/(INDEX(Reference!$A$6:$A$11,MIN(5,MATCH(MAX(Reference!$A$6,MIN(Reference!$A$11,MIN(D278,150))),Reference!$A$6:$A$11,1))+1)-INDEX(Reference!$A$6:$A$11,MIN(5,MATCH(MAX(Reference!$A$6,MIN(Reference!$A$11,MIN(D278,150))),Reference!$A$6:$A$11,1))))),0)+IF(4&lt;=AE278,(AE278-4+3)*(INDEX(Reference!$B$6:$B$11,MIN(5,MATCH(MAX(Reference!$A$6,MIN(Reference!$A$11,MIN(D278,180))),Reference!$A$6:$A$11,1)))+(MAX(Reference!$A$6,MIN(Reference!$A$11,MIN(D278,180)))-INDEX(Reference!$A$6:$A$11,MIN(5,MATCH(MAX(Reference!$A$6,MIN(Reference!$A$11,MIN(D278,180))),Reference!$A$6:$A$11,1))))*(INDEX(Reference!$B$6:$B$11,MIN(5,MATCH(MAX(Reference!$A$6,MIN(Reference!$A$11,MIN(D278,180))),Reference!$A$6:$A$11,1))+1)-INDEX(Reference!$B$6:$B$11,MIN(5,MATCH(MAX(Reference!$A$6,MIN(Reference!$A$11,MIN(D278,180))),Reference!$A$6:$A$11,1))))/(INDEX(Reference!$A$6:$A$11,MIN(5,MATCH(MAX(Reference!$A$6,MIN(Reference!$A$11,MIN(D278,180))),Reference!$A$6:$A$11,1))+1)-INDEX(Reference!$A$6:$A$11,MIN(5,MATCH(MAX(Reference!$A$6,MIN(Reference!$A$11,MIN(D278,180))),Reference!$A$6:$A$11,1))))),0)+IF(5&lt;=AE278,(AE278-5+3)*(INDEX(Reference!$B$6:$B$11,MIN(5,MATCH(MAX(Reference!$A$6,MIN(Reference!$A$11,MIN(D278,210))),Reference!$A$6:$A$11,1)))+(MAX(Reference!$A$6,MIN(Reference!$A$11,MIN(D278,210)))-INDEX(Reference!$A$6:$A$11,MIN(5,MATCH(MAX(Reference!$A$6,MIN(Reference!$A$11,MIN(D278,210))),Reference!$A$6:$A$11,1))))*(INDEX(Reference!$B$6:$B$11,MIN(5,MATCH(MAX(Reference!$A$6,MIN(Reference!$A$11,MIN(D278,210))),Reference!$A$6:$A$11,1))+1)-INDEX(Reference!$B$6:$B$11,MIN(5,MATCH(MAX(Reference!$A$6,MIN(Reference!$A$11,MIN(D278,210))),Reference!$A$6:$A$11,1))))/(INDEX(Reference!$A$6:$A$11,MIN(5,MATCH(MAX(Reference!$A$6,MIN(Reference!$A$11,MIN(D278,210))),Reference!$A$6:$A$11,1))+1)-INDEX(Reference!$A$6:$A$11,MIN(5,MATCH(MAX(Reference!$A$6,MIN(Reference!$A$11,MIN(D278,210))),Reference!$A$6:$A$11,1))))),0)+IF(6&lt;=AE278,(AE278-6+3)*(INDEX(Reference!$B$6:$B$11,MIN(5,MATCH(MAX(Reference!$A$6,MIN(Reference!$A$11,MIN(D278,240))),Reference!$A$6:$A$11,1)))+(MAX(Reference!$A$6,MIN(Reference!$A$11,MIN(D278,240)))-INDEX(Reference!$A$6:$A$11,MIN(5,MATCH(MAX(Reference!$A$6,MIN(Reference!$A$11,MIN(D278,240))),Reference!$A$6:$A$11,1))))*(INDEX(Reference!$B$6:$B$11,MIN(5,MATCH(MAX(Reference!$A$6,MIN(Reference!$A$11,MIN(D278,240))),Reference!$A$6:$A$11,1))+1)-INDEX(Reference!$B$6:$B$11,MIN(5,MATCH(MAX(Reference!$A$6,MIN(Reference!$A$11,MIN(D278,240))),Reference!$A$6:$A$11,1))))/(INDEX(Reference!$A$6:$A$11,MIN(5,MATCH(MAX(Reference!$A$6,MIN(Reference!$A$11,MIN(D278,240))),Reference!$A$6:$A$11,1))+1)-INDEX(Reference!$A$6:$A$11,MIN(5,MATCH(MAX(Reference!$A$6,MIN(Reference!$A$11,MIN(D278,240))),Reference!$A$6:$A$11,1))))),0)+IF(7&lt;=AE278,(AE278-7+3)*(INDEX(Reference!$B$6:$B$11,MIN(5,MATCH(MAX(Reference!$A$6,MIN(Reference!$A$11,MIN(D278,270))),Reference!$A$6:$A$11,1)))+(MAX(Reference!$A$6,MIN(Reference!$A$11,MIN(D278,270)))-INDEX(Reference!$A$6:$A$11,MIN(5,MATCH(MAX(Reference!$A$6,MIN(Reference!$A$11,MIN(D278,270))),Reference!$A$6:$A$11,1))))*(INDEX(Reference!$B$6:$B$11,MIN(5,MATCH(MAX(Reference!$A$6,MIN(Reference!$A$11,MIN(D278,270))),Reference!$A$6:$A$11,1))+1)-INDEX(Reference!$B$6:$B$11,MIN(5,MATCH(MAX(Reference!$A$6,MIN(Reference!$A$11,MIN(D278,270))),Reference!$A$6:$A$11,1))))/(INDEX(Reference!$A$6:$A$11,MIN(5,MATCH(MAX(Reference!$A$6,MIN(Reference!$A$11,MIN(D278,270))),Reference!$A$6:$A$11,1))+1)-INDEX(Reference!$A$6:$A$11,MIN(5,MATCH(MAX(Reference!$A$6,MIN(Reference!$A$11,MIN(D278,270))),Reference!$A$6:$A$11,1))))),0)+IF(8&lt;=AE278,(AE278-8+3)*(INDEX(Reference!$B$6:$B$11,MIN(5,MATCH(MAX(Reference!$A$6,MIN(Reference!$A$11,MIN(D278,300))),Reference!$A$6:$A$11,1)))+(MAX(Reference!$A$6,MIN(Reference!$A$11,MIN(D278,300)))-INDEX(Reference!$A$6:$A$11,MIN(5,MATCH(MAX(Reference!$A$6,MIN(Reference!$A$11,MIN(D278,300))),Reference!$A$6:$A$11,1))))*(INDEX(Reference!$B$6:$B$11,MIN(5,MATCH(MAX(Reference!$A$6,MIN(Reference!$A$11,MIN(D278,300))),Reference!$A$6:$A$11,1))+1)-INDEX(Reference!$B$6:$B$11,MIN(5,MATCH(MAX(Reference!$A$6,MIN(Reference!$A$11,MIN(D278,300))),Reference!$A$6:$A$11,1))))/(INDEX(Reference!$A$6:$A$11,MIN(5,MATCH(MAX(Reference!$A$6,MIN(Reference!$A$11,MIN(D278,300))),Reference!$A$6:$A$11,1))+1)-INDEX(Reference!$A$6:$A$11,MIN(5,MATCH(MAX(Reference!$A$6,MIN(Reference!$A$11,MIN(D278,300))),Reference!$A$6:$A$11,1))))),0))/(AE278*(AE278+5)/2)),(INDEX(Reference!$B$6:$B$11,MIN(5,MATCH(MAX(Reference!$A$6,MIN(Reference!$A$11,D278)),Reference!$A$6:$A$11,1)))+(MAX(Reference!$A$6,MIN(Reference!$A$11,D278))-INDEX(Reference!$A$6:$A$11,MIN(5,MATCH(MAX(Reference!$A$6,MIN(Reference!$A$11,D278)),Reference!$A$6:$A$11,1))))*(INDEX(Reference!$B$6:$B$11,MIN(5,MATCH(MAX(Reference!$A$6,MIN(Reference!$A$11,D278)),Reference!$A$6:$A$11,1))+1)-INDEX(Reference!$B$6:$B$11,MIN(5,MATCH(MAX(Reference!$A$6,MIN(Reference!$A$11,D278)),Reference!$A$6:$A$11,1))))/(INDEX(Reference!$A$6:$A$11,MIN(5,MATCH(MAX(Reference!$A$6,MIN(Reference!$A$11,D278)),Reference!$A$6:$A$11,1))+1)-INDEX(Reference!$A$6:$A$11,MIN(5,MATCH(MAX(Reference!$A$6,MIN(Reference!$A$11,D278)),Reference!$A$6:$A$11,1))))))))</f>
        <v/>
      </c>
      <c r="P278" s="32" t="str">
        <f>IF(N278="","",VLOOKUP(MAX(N278,0),Reference!$A$17:$B$20,2,TRUE()))</f>
        <v/>
      </c>
      <c r="Q278" s="32" t="str">
        <f t="shared" si="39"/>
        <v/>
      </c>
      <c r="R278" s="31"/>
      <c r="S278" s="31"/>
      <c r="T278" s="31"/>
      <c r="U278" s="32" t="str">
        <f t="shared" si="40"/>
        <v/>
      </c>
      <c r="V278" s="32" t="str">
        <f t="shared" si="41"/>
        <v/>
      </c>
      <c r="W278" s="32" t="str">
        <f>IF(V278="","",VLOOKUP(MAX(V278,0),Reference!$A$17:$B$20,2,TRUE()))</f>
        <v/>
      </c>
      <c r="X278" s="31"/>
      <c r="Y278" s="31"/>
      <c r="Z278" s="31"/>
      <c r="AA278" s="32" t="str">
        <f t="shared" si="42"/>
        <v/>
      </c>
      <c r="AB278" s="32" t="str">
        <f t="shared" si="43"/>
        <v/>
      </c>
      <c r="AC278" s="32" t="str">
        <f>IF(AB278="","",VLOOKUP(MAX(AB278,0),Reference!$A$17:$B$20,2,TRUE()))</f>
        <v/>
      </c>
      <c r="AD278" s="31"/>
      <c r="AE278">
        <f t="shared" si="44"/>
        <v>1</v>
      </c>
      <c r="AF278" s="33" t="str">
        <f>IF(OR(A278="",B278="",AND(C278&lt;&gt;"Bullpen",C278&lt;&gt;"Game")),"",IF((COUNTIFS($B$5:$B$300,B278,$A$5:$A$300,A278-1,$C$5:$C$300,"Bullpen",$AG$5:$AG$300,"&gt;0") + COUNTIFS($B$5:$B$300,B278,$A$5:$A$300,A278-1,$C$5:$C$300,"Game",$AG$5:$AG$300,"&gt;0"))&gt;0,Reference!$B$119,IF((COUNTIFS($B$5:$B$300,B278,$A$5:$A$300,A278-2,$C$5:$C$300,"Bullpen",$AG$5:$AG$300,"&gt;0") + COUNTIFS($B$5:$B$300,B278,$A$5:$A$300,A278-2,$C$5:$C$300,"Game",$AG$5:$AG$300,"&gt;0"))&gt;0,Reference!$B$120,1)))</f>
        <v/>
      </c>
      <c r="AG278" s="30" t="str">
        <f>IF(AND(OR(I278="",O278="",P278=""),OR(R278="",W278=""),OR(X278="",AC278="")),"",IF(OR(I278="",O278="",P278=""),0,I278*O278*P278)+IF(OR(R278="",W278=""),0,R278*IFERROR(INDEX(Reference!$B$61:$B$62,MATCH("Bullpen",Reference!$A$61:$A$62,0)),0)*W278)+IF(OR(X278="",AC278=""),0,X278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278))</f>
        <v/>
      </c>
    </row>
    <row r="279" spans="1:33" x14ac:dyDescent="0.3">
      <c r="A279" s="35"/>
      <c r="B279" s="31"/>
      <c r="C279" s="31"/>
      <c r="D279" s="31"/>
      <c r="E279" s="34"/>
      <c r="F279" s="34"/>
      <c r="G279" s="30" t="str">
        <f t="shared" si="36"/>
        <v/>
      </c>
      <c r="H279" s="31"/>
      <c r="I279" s="32" t="str">
        <f>IF(H279&lt;&gt;"",H279,IF(G279="","",ROUND(G279*IFERROR(INDEX(Reference!$B$44:$B$50,MATCH(C279,Reference!$A$44:$A$50,0)),0),0)))</f>
        <v/>
      </c>
      <c r="J279" s="31"/>
      <c r="K279" s="31"/>
      <c r="L279" s="32" t="str">
        <f t="shared" si="37"/>
        <v/>
      </c>
      <c r="M279" s="32" t="str">
        <f>IFERROR(INDEX(Roster!$D$5:$D$40,MATCH(B279,Roster!$A$5:$A$40,0)),"")</f>
        <v/>
      </c>
      <c r="N279" s="32" t="str">
        <f t="shared" si="38"/>
        <v/>
      </c>
      <c r="O279" s="32" t="str">
        <f>IF(OR(C279="Bullpen",C279="Game"),IFERROR(INDEX(Reference!$B$61:$B$62,MATCH(C279,Reference!$A$61:$A$62,0)),""),IF(D279="","",IF(AE279&gt;1,((IF(1&lt;=AE279,(AE279-1+3)*(INDEX(Reference!$B$6:$B$11,MIN(5,MATCH(MAX(Reference!$A$6,MIN(Reference!$A$11,MIN(D279,90))),Reference!$A$6:$A$11,1)))+(MAX(Reference!$A$6,MIN(Reference!$A$11,MIN(D279,90)))-INDEX(Reference!$A$6:$A$11,MIN(5,MATCH(MAX(Reference!$A$6,MIN(Reference!$A$11,MIN(D279,90))),Reference!$A$6:$A$11,1))))*(INDEX(Reference!$B$6:$B$11,MIN(5,MATCH(MAX(Reference!$A$6,MIN(Reference!$A$11,MIN(D279,90))),Reference!$A$6:$A$11,1))+1)-INDEX(Reference!$B$6:$B$11,MIN(5,MATCH(MAX(Reference!$A$6,MIN(Reference!$A$11,MIN(D279,90))),Reference!$A$6:$A$11,1))))/(INDEX(Reference!$A$6:$A$11,MIN(5,MATCH(MAX(Reference!$A$6,MIN(Reference!$A$11,MIN(D279,90))),Reference!$A$6:$A$11,1))+1)-INDEX(Reference!$A$6:$A$11,MIN(5,MATCH(MAX(Reference!$A$6,MIN(Reference!$A$11,MIN(D279,90))),Reference!$A$6:$A$11,1))))),0)+IF(2&lt;=AE279,(AE279-2+3)*(INDEX(Reference!$B$6:$B$11,MIN(5,MATCH(MAX(Reference!$A$6,MIN(Reference!$A$11,MIN(D279,120))),Reference!$A$6:$A$11,1)))+(MAX(Reference!$A$6,MIN(Reference!$A$11,MIN(D279,120)))-INDEX(Reference!$A$6:$A$11,MIN(5,MATCH(MAX(Reference!$A$6,MIN(Reference!$A$11,MIN(D279,120))),Reference!$A$6:$A$11,1))))*(INDEX(Reference!$B$6:$B$11,MIN(5,MATCH(MAX(Reference!$A$6,MIN(Reference!$A$11,MIN(D279,120))),Reference!$A$6:$A$11,1))+1)-INDEX(Reference!$B$6:$B$11,MIN(5,MATCH(MAX(Reference!$A$6,MIN(Reference!$A$11,MIN(D279,120))),Reference!$A$6:$A$11,1))))/(INDEX(Reference!$A$6:$A$11,MIN(5,MATCH(MAX(Reference!$A$6,MIN(Reference!$A$11,MIN(D279,120))),Reference!$A$6:$A$11,1))+1)-INDEX(Reference!$A$6:$A$11,MIN(5,MATCH(MAX(Reference!$A$6,MIN(Reference!$A$11,MIN(D279,120))),Reference!$A$6:$A$11,1))))),0)+IF(3&lt;=AE279,(AE279-3+3)*(INDEX(Reference!$B$6:$B$11,MIN(5,MATCH(MAX(Reference!$A$6,MIN(Reference!$A$11,MIN(D279,150))),Reference!$A$6:$A$11,1)))+(MAX(Reference!$A$6,MIN(Reference!$A$11,MIN(D279,150)))-INDEX(Reference!$A$6:$A$11,MIN(5,MATCH(MAX(Reference!$A$6,MIN(Reference!$A$11,MIN(D279,150))),Reference!$A$6:$A$11,1))))*(INDEX(Reference!$B$6:$B$11,MIN(5,MATCH(MAX(Reference!$A$6,MIN(Reference!$A$11,MIN(D279,150))),Reference!$A$6:$A$11,1))+1)-INDEX(Reference!$B$6:$B$11,MIN(5,MATCH(MAX(Reference!$A$6,MIN(Reference!$A$11,MIN(D279,150))),Reference!$A$6:$A$11,1))))/(INDEX(Reference!$A$6:$A$11,MIN(5,MATCH(MAX(Reference!$A$6,MIN(Reference!$A$11,MIN(D279,150))),Reference!$A$6:$A$11,1))+1)-INDEX(Reference!$A$6:$A$11,MIN(5,MATCH(MAX(Reference!$A$6,MIN(Reference!$A$11,MIN(D279,150))),Reference!$A$6:$A$11,1))))),0)+IF(4&lt;=AE279,(AE279-4+3)*(INDEX(Reference!$B$6:$B$11,MIN(5,MATCH(MAX(Reference!$A$6,MIN(Reference!$A$11,MIN(D279,180))),Reference!$A$6:$A$11,1)))+(MAX(Reference!$A$6,MIN(Reference!$A$11,MIN(D279,180)))-INDEX(Reference!$A$6:$A$11,MIN(5,MATCH(MAX(Reference!$A$6,MIN(Reference!$A$11,MIN(D279,180))),Reference!$A$6:$A$11,1))))*(INDEX(Reference!$B$6:$B$11,MIN(5,MATCH(MAX(Reference!$A$6,MIN(Reference!$A$11,MIN(D279,180))),Reference!$A$6:$A$11,1))+1)-INDEX(Reference!$B$6:$B$11,MIN(5,MATCH(MAX(Reference!$A$6,MIN(Reference!$A$11,MIN(D279,180))),Reference!$A$6:$A$11,1))))/(INDEX(Reference!$A$6:$A$11,MIN(5,MATCH(MAX(Reference!$A$6,MIN(Reference!$A$11,MIN(D279,180))),Reference!$A$6:$A$11,1))+1)-INDEX(Reference!$A$6:$A$11,MIN(5,MATCH(MAX(Reference!$A$6,MIN(Reference!$A$11,MIN(D279,180))),Reference!$A$6:$A$11,1))))),0)+IF(5&lt;=AE279,(AE279-5+3)*(INDEX(Reference!$B$6:$B$11,MIN(5,MATCH(MAX(Reference!$A$6,MIN(Reference!$A$11,MIN(D279,210))),Reference!$A$6:$A$11,1)))+(MAX(Reference!$A$6,MIN(Reference!$A$11,MIN(D279,210)))-INDEX(Reference!$A$6:$A$11,MIN(5,MATCH(MAX(Reference!$A$6,MIN(Reference!$A$11,MIN(D279,210))),Reference!$A$6:$A$11,1))))*(INDEX(Reference!$B$6:$B$11,MIN(5,MATCH(MAX(Reference!$A$6,MIN(Reference!$A$11,MIN(D279,210))),Reference!$A$6:$A$11,1))+1)-INDEX(Reference!$B$6:$B$11,MIN(5,MATCH(MAX(Reference!$A$6,MIN(Reference!$A$11,MIN(D279,210))),Reference!$A$6:$A$11,1))))/(INDEX(Reference!$A$6:$A$11,MIN(5,MATCH(MAX(Reference!$A$6,MIN(Reference!$A$11,MIN(D279,210))),Reference!$A$6:$A$11,1))+1)-INDEX(Reference!$A$6:$A$11,MIN(5,MATCH(MAX(Reference!$A$6,MIN(Reference!$A$11,MIN(D279,210))),Reference!$A$6:$A$11,1))))),0)+IF(6&lt;=AE279,(AE279-6+3)*(INDEX(Reference!$B$6:$B$11,MIN(5,MATCH(MAX(Reference!$A$6,MIN(Reference!$A$11,MIN(D279,240))),Reference!$A$6:$A$11,1)))+(MAX(Reference!$A$6,MIN(Reference!$A$11,MIN(D279,240)))-INDEX(Reference!$A$6:$A$11,MIN(5,MATCH(MAX(Reference!$A$6,MIN(Reference!$A$11,MIN(D279,240))),Reference!$A$6:$A$11,1))))*(INDEX(Reference!$B$6:$B$11,MIN(5,MATCH(MAX(Reference!$A$6,MIN(Reference!$A$11,MIN(D279,240))),Reference!$A$6:$A$11,1))+1)-INDEX(Reference!$B$6:$B$11,MIN(5,MATCH(MAX(Reference!$A$6,MIN(Reference!$A$11,MIN(D279,240))),Reference!$A$6:$A$11,1))))/(INDEX(Reference!$A$6:$A$11,MIN(5,MATCH(MAX(Reference!$A$6,MIN(Reference!$A$11,MIN(D279,240))),Reference!$A$6:$A$11,1))+1)-INDEX(Reference!$A$6:$A$11,MIN(5,MATCH(MAX(Reference!$A$6,MIN(Reference!$A$11,MIN(D279,240))),Reference!$A$6:$A$11,1))))),0)+IF(7&lt;=AE279,(AE279-7+3)*(INDEX(Reference!$B$6:$B$11,MIN(5,MATCH(MAX(Reference!$A$6,MIN(Reference!$A$11,MIN(D279,270))),Reference!$A$6:$A$11,1)))+(MAX(Reference!$A$6,MIN(Reference!$A$11,MIN(D279,270)))-INDEX(Reference!$A$6:$A$11,MIN(5,MATCH(MAX(Reference!$A$6,MIN(Reference!$A$11,MIN(D279,270))),Reference!$A$6:$A$11,1))))*(INDEX(Reference!$B$6:$B$11,MIN(5,MATCH(MAX(Reference!$A$6,MIN(Reference!$A$11,MIN(D279,270))),Reference!$A$6:$A$11,1))+1)-INDEX(Reference!$B$6:$B$11,MIN(5,MATCH(MAX(Reference!$A$6,MIN(Reference!$A$11,MIN(D279,270))),Reference!$A$6:$A$11,1))))/(INDEX(Reference!$A$6:$A$11,MIN(5,MATCH(MAX(Reference!$A$6,MIN(Reference!$A$11,MIN(D279,270))),Reference!$A$6:$A$11,1))+1)-INDEX(Reference!$A$6:$A$11,MIN(5,MATCH(MAX(Reference!$A$6,MIN(Reference!$A$11,MIN(D279,270))),Reference!$A$6:$A$11,1))))),0)+IF(8&lt;=AE279,(AE279-8+3)*(INDEX(Reference!$B$6:$B$11,MIN(5,MATCH(MAX(Reference!$A$6,MIN(Reference!$A$11,MIN(D279,300))),Reference!$A$6:$A$11,1)))+(MAX(Reference!$A$6,MIN(Reference!$A$11,MIN(D279,300)))-INDEX(Reference!$A$6:$A$11,MIN(5,MATCH(MAX(Reference!$A$6,MIN(Reference!$A$11,MIN(D279,300))),Reference!$A$6:$A$11,1))))*(INDEX(Reference!$B$6:$B$11,MIN(5,MATCH(MAX(Reference!$A$6,MIN(Reference!$A$11,MIN(D279,300))),Reference!$A$6:$A$11,1))+1)-INDEX(Reference!$B$6:$B$11,MIN(5,MATCH(MAX(Reference!$A$6,MIN(Reference!$A$11,MIN(D279,300))),Reference!$A$6:$A$11,1))))/(INDEX(Reference!$A$6:$A$11,MIN(5,MATCH(MAX(Reference!$A$6,MIN(Reference!$A$11,MIN(D279,300))),Reference!$A$6:$A$11,1))+1)-INDEX(Reference!$A$6:$A$11,MIN(5,MATCH(MAX(Reference!$A$6,MIN(Reference!$A$11,MIN(D279,300))),Reference!$A$6:$A$11,1))))),0))/(AE279*(AE279+5)/2)),(INDEX(Reference!$B$6:$B$11,MIN(5,MATCH(MAX(Reference!$A$6,MIN(Reference!$A$11,D279)),Reference!$A$6:$A$11,1)))+(MAX(Reference!$A$6,MIN(Reference!$A$11,D279))-INDEX(Reference!$A$6:$A$11,MIN(5,MATCH(MAX(Reference!$A$6,MIN(Reference!$A$11,D279)),Reference!$A$6:$A$11,1))))*(INDEX(Reference!$B$6:$B$11,MIN(5,MATCH(MAX(Reference!$A$6,MIN(Reference!$A$11,D279)),Reference!$A$6:$A$11,1))+1)-INDEX(Reference!$B$6:$B$11,MIN(5,MATCH(MAX(Reference!$A$6,MIN(Reference!$A$11,D279)),Reference!$A$6:$A$11,1))))/(INDEX(Reference!$A$6:$A$11,MIN(5,MATCH(MAX(Reference!$A$6,MIN(Reference!$A$11,D279)),Reference!$A$6:$A$11,1))+1)-INDEX(Reference!$A$6:$A$11,MIN(5,MATCH(MAX(Reference!$A$6,MIN(Reference!$A$11,D279)),Reference!$A$6:$A$11,1))))))))</f>
        <v/>
      </c>
      <c r="P279" s="32" t="str">
        <f>IF(N279="","",VLOOKUP(MAX(N279,0),Reference!$A$17:$B$20,2,TRUE()))</f>
        <v/>
      </c>
      <c r="Q279" s="32" t="str">
        <f t="shared" si="39"/>
        <v/>
      </c>
      <c r="R279" s="31"/>
      <c r="S279" s="31"/>
      <c r="T279" s="31"/>
      <c r="U279" s="32" t="str">
        <f t="shared" si="40"/>
        <v/>
      </c>
      <c r="V279" s="32" t="str">
        <f t="shared" si="41"/>
        <v/>
      </c>
      <c r="W279" s="32" t="str">
        <f>IF(V279="","",VLOOKUP(MAX(V279,0),Reference!$A$17:$B$20,2,TRUE()))</f>
        <v/>
      </c>
      <c r="X279" s="31"/>
      <c r="Y279" s="31"/>
      <c r="Z279" s="31"/>
      <c r="AA279" s="32" t="str">
        <f t="shared" si="42"/>
        <v/>
      </c>
      <c r="AB279" s="32" t="str">
        <f t="shared" si="43"/>
        <v/>
      </c>
      <c r="AC279" s="32" t="str">
        <f>IF(AB279="","",VLOOKUP(MAX(AB279,0),Reference!$A$17:$B$20,2,TRUE()))</f>
        <v/>
      </c>
      <c r="AD279" s="31"/>
      <c r="AE279">
        <f t="shared" si="44"/>
        <v>1</v>
      </c>
      <c r="AF279" s="33" t="str">
        <f>IF(OR(A279="",B279="",AND(C279&lt;&gt;"Bullpen",C279&lt;&gt;"Game")),"",IF((COUNTIFS($B$5:$B$300,B279,$A$5:$A$300,A279-1,$C$5:$C$300,"Bullpen",$AG$5:$AG$300,"&gt;0") + COUNTIFS($B$5:$B$300,B279,$A$5:$A$300,A279-1,$C$5:$C$300,"Game",$AG$5:$AG$300,"&gt;0"))&gt;0,Reference!$B$119,IF((COUNTIFS($B$5:$B$300,B279,$A$5:$A$300,A279-2,$C$5:$C$300,"Bullpen",$AG$5:$AG$300,"&gt;0") + COUNTIFS($B$5:$B$300,B279,$A$5:$A$300,A279-2,$C$5:$C$300,"Game",$AG$5:$AG$300,"&gt;0"))&gt;0,Reference!$B$120,1)))</f>
        <v/>
      </c>
      <c r="AG279" s="30" t="str">
        <f>IF(AND(OR(I279="",O279="",P279=""),OR(R279="",W279=""),OR(X279="",AC279="")),"",IF(OR(I279="",O279="",P279=""),0,I279*O279*P279)+IF(OR(R279="",W279=""),0,R279*IFERROR(INDEX(Reference!$B$61:$B$62,MATCH("Bullpen",Reference!$A$61:$A$62,0)),0)*W279)+IF(OR(X279="",AC279=""),0,X279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279))</f>
        <v/>
      </c>
    </row>
    <row r="280" spans="1:33" x14ac:dyDescent="0.3">
      <c r="A280" s="35"/>
      <c r="B280" s="31"/>
      <c r="C280" s="31"/>
      <c r="D280" s="31"/>
      <c r="E280" s="34"/>
      <c r="F280" s="34"/>
      <c r="G280" s="30" t="str">
        <f t="shared" si="36"/>
        <v/>
      </c>
      <c r="H280" s="31"/>
      <c r="I280" s="32" t="str">
        <f>IF(H280&lt;&gt;"",H280,IF(G280="","",ROUND(G280*IFERROR(INDEX(Reference!$B$44:$B$50,MATCH(C280,Reference!$A$44:$A$50,0)),0),0)))</f>
        <v/>
      </c>
      <c r="J280" s="31"/>
      <c r="K280" s="31"/>
      <c r="L280" s="32" t="str">
        <f t="shared" si="37"/>
        <v/>
      </c>
      <c r="M280" s="32" t="str">
        <f>IFERROR(INDEX(Roster!$D$5:$D$40,MATCH(B280,Roster!$A$5:$A$40,0)),"")</f>
        <v/>
      </c>
      <c r="N280" s="32" t="str">
        <f t="shared" si="38"/>
        <v/>
      </c>
      <c r="O280" s="32" t="str">
        <f>IF(OR(C280="Bullpen",C280="Game"),IFERROR(INDEX(Reference!$B$61:$B$62,MATCH(C280,Reference!$A$61:$A$62,0)),""),IF(D280="","",IF(AE280&gt;1,((IF(1&lt;=AE280,(AE280-1+3)*(INDEX(Reference!$B$6:$B$11,MIN(5,MATCH(MAX(Reference!$A$6,MIN(Reference!$A$11,MIN(D280,90))),Reference!$A$6:$A$11,1)))+(MAX(Reference!$A$6,MIN(Reference!$A$11,MIN(D280,90)))-INDEX(Reference!$A$6:$A$11,MIN(5,MATCH(MAX(Reference!$A$6,MIN(Reference!$A$11,MIN(D280,90))),Reference!$A$6:$A$11,1))))*(INDEX(Reference!$B$6:$B$11,MIN(5,MATCH(MAX(Reference!$A$6,MIN(Reference!$A$11,MIN(D280,90))),Reference!$A$6:$A$11,1))+1)-INDEX(Reference!$B$6:$B$11,MIN(5,MATCH(MAX(Reference!$A$6,MIN(Reference!$A$11,MIN(D280,90))),Reference!$A$6:$A$11,1))))/(INDEX(Reference!$A$6:$A$11,MIN(5,MATCH(MAX(Reference!$A$6,MIN(Reference!$A$11,MIN(D280,90))),Reference!$A$6:$A$11,1))+1)-INDEX(Reference!$A$6:$A$11,MIN(5,MATCH(MAX(Reference!$A$6,MIN(Reference!$A$11,MIN(D280,90))),Reference!$A$6:$A$11,1))))),0)+IF(2&lt;=AE280,(AE280-2+3)*(INDEX(Reference!$B$6:$B$11,MIN(5,MATCH(MAX(Reference!$A$6,MIN(Reference!$A$11,MIN(D280,120))),Reference!$A$6:$A$11,1)))+(MAX(Reference!$A$6,MIN(Reference!$A$11,MIN(D280,120)))-INDEX(Reference!$A$6:$A$11,MIN(5,MATCH(MAX(Reference!$A$6,MIN(Reference!$A$11,MIN(D280,120))),Reference!$A$6:$A$11,1))))*(INDEX(Reference!$B$6:$B$11,MIN(5,MATCH(MAX(Reference!$A$6,MIN(Reference!$A$11,MIN(D280,120))),Reference!$A$6:$A$11,1))+1)-INDEX(Reference!$B$6:$B$11,MIN(5,MATCH(MAX(Reference!$A$6,MIN(Reference!$A$11,MIN(D280,120))),Reference!$A$6:$A$11,1))))/(INDEX(Reference!$A$6:$A$11,MIN(5,MATCH(MAX(Reference!$A$6,MIN(Reference!$A$11,MIN(D280,120))),Reference!$A$6:$A$11,1))+1)-INDEX(Reference!$A$6:$A$11,MIN(5,MATCH(MAX(Reference!$A$6,MIN(Reference!$A$11,MIN(D280,120))),Reference!$A$6:$A$11,1))))),0)+IF(3&lt;=AE280,(AE280-3+3)*(INDEX(Reference!$B$6:$B$11,MIN(5,MATCH(MAX(Reference!$A$6,MIN(Reference!$A$11,MIN(D280,150))),Reference!$A$6:$A$11,1)))+(MAX(Reference!$A$6,MIN(Reference!$A$11,MIN(D280,150)))-INDEX(Reference!$A$6:$A$11,MIN(5,MATCH(MAX(Reference!$A$6,MIN(Reference!$A$11,MIN(D280,150))),Reference!$A$6:$A$11,1))))*(INDEX(Reference!$B$6:$B$11,MIN(5,MATCH(MAX(Reference!$A$6,MIN(Reference!$A$11,MIN(D280,150))),Reference!$A$6:$A$11,1))+1)-INDEX(Reference!$B$6:$B$11,MIN(5,MATCH(MAX(Reference!$A$6,MIN(Reference!$A$11,MIN(D280,150))),Reference!$A$6:$A$11,1))))/(INDEX(Reference!$A$6:$A$11,MIN(5,MATCH(MAX(Reference!$A$6,MIN(Reference!$A$11,MIN(D280,150))),Reference!$A$6:$A$11,1))+1)-INDEX(Reference!$A$6:$A$11,MIN(5,MATCH(MAX(Reference!$A$6,MIN(Reference!$A$11,MIN(D280,150))),Reference!$A$6:$A$11,1))))),0)+IF(4&lt;=AE280,(AE280-4+3)*(INDEX(Reference!$B$6:$B$11,MIN(5,MATCH(MAX(Reference!$A$6,MIN(Reference!$A$11,MIN(D280,180))),Reference!$A$6:$A$11,1)))+(MAX(Reference!$A$6,MIN(Reference!$A$11,MIN(D280,180)))-INDEX(Reference!$A$6:$A$11,MIN(5,MATCH(MAX(Reference!$A$6,MIN(Reference!$A$11,MIN(D280,180))),Reference!$A$6:$A$11,1))))*(INDEX(Reference!$B$6:$B$11,MIN(5,MATCH(MAX(Reference!$A$6,MIN(Reference!$A$11,MIN(D280,180))),Reference!$A$6:$A$11,1))+1)-INDEX(Reference!$B$6:$B$11,MIN(5,MATCH(MAX(Reference!$A$6,MIN(Reference!$A$11,MIN(D280,180))),Reference!$A$6:$A$11,1))))/(INDEX(Reference!$A$6:$A$11,MIN(5,MATCH(MAX(Reference!$A$6,MIN(Reference!$A$11,MIN(D280,180))),Reference!$A$6:$A$11,1))+1)-INDEX(Reference!$A$6:$A$11,MIN(5,MATCH(MAX(Reference!$A$6,MIN(Reference!$A$11,MIN(D280,180))),Reference!$A$6:$A$11,1))))),0)+IF(5&lt;=AE280,(AE280-5+3)*(INDEX(Reference!$B$6:$B$11,MIN(5,MATCH(MAX(Reference!$A$6,MIN(Reference!$A$11,MIN(D280,210))),Reference!$A$6:$A$11,1)))+(MAX(Reference!$A$6,MIN(Reference!$A$11,MIN(D280,210)))-INDEX(Reference!$A$6:$A$11,MIN(5,MATCH(MAX(Reference!$A$6,MIN(Reference!$A$11,MIN(D280,210))),Reference!$A$6:$A$11,1))))*(INDEX(Reference!$B$6:$B$11,MIN(5,MATCH(MAX(Reference!$A$6,MIN(Reference!$A$11,MIN(D280,210))),Reference!$A$6:$A$11,1))+1)-INDEX(Reference!$B$6:$B$11,MIN(5,MATCH(MAX(Reference!$A$6,MIN(Reference!$A$11,MIN(D280,210))),Reference!$A$6:$A$11,1))))/(INDEX(Reference!$A$6:$A$11,MIN(5,MATCH(MAX(Reference!$A$6,MIN(Reference!$A$11,MIN(D280,210))),Reference!$A$6:$A$11,1))+1)-INDEX(Reference!$A$6:$A$11,MIN(5,MATCH(MAX(Reference!$A$6,MIN(Reference!$A$11,MIN(D280,210))),Reference!$A$6:$A$11,1))))),0)+IF(6&lt;=AE280,(AE280-6+3)*(INDEX(Reference!$B$6:$B$11,MIN(5,MATCH(MAX(Reference!$A$6,MIN(Reference!$A$11,MIN(D280,240))),Reference!$A$6:$A$11,1)))+(MAX(Reference!$A$6,MIN(Reference!$A$11,MIN(D280,240)))-INDEX(Reference!$A$6:$A$11,MIN(5,MATCH(MAX(Reference!$A$6,MIN(Reference!$A$11,MIN(D280,240))),Reference!$A$6:$A$11,1))))*(INDEX(Reference!$B$6:$B$11,MIN(5,MATCH(MAX(Reference!$A$6,MIN(Reference!$A$11,MIN(D280,240))),Reference!$A$6:$A$11,1))+1)-INDEX(Reference!$B$6:$B$11,MIN(5,MATCH(MAX(Reference!$A$6,MIN(Reference!$A$11,MIN(D280,240))),Reference!$A$6:$A$11,1))))/(INDEX(Reference!$A$6:$A$11,MIN(5,MATCH(MAX(Reference!$A$6,MIN(Reference!$A$11,MIN(D280,240))),Reference!$A$6:$A$11,1))+1)-INDEX(Reference!$A$6:$A$11,MIN(5,MATCH(MAX(Reference!$A$6,MIN(Reference!$A$11,MIN(D280,240))),Reference!$A$6:$A$11,1))))),0)+IF(7&lt;=AE280,(AE280-7+3)*(INDEX(Reference!$B$6:$B$11,MIN(5,MATCH(MAX(Reference!$A$6,MIN(Reference!$A$11,MIN(D280,270))),Reference!$A$6:$A$11,1)))+(MAX(Reference!$A$6,MIN(Reference!$A$11,MIN(D280,270)))-INDEX(Reference!$A$6:$A$11,MIN(5,MATCH(MAX(Reference!$A$6,MIN(Reference!$A$11,MIN(D280,270))),Reference!$A$6:$A$11,1))))*(INDEX(Reference!$B$6:$B$11,MIN(5,MATCH(MAX(Reference!$A$6,MIN(Reference!$A$11,MIN(D280,270))),Reference!$A$6:$A$11,1))+1)-INDEX(Reference!$B$6:$B$11,MIN(5,MATCH(MAX(Reference!$A$6,MIN(Reference!$A$11,MIN(D280,270))),Reference!$A$6:$A$11,1))))/(INDEX(Reference!$A$6:$A$11,MIN(5,MATCH(MAX(Reference!$A$6,MIN(Reference!$A$11,MIN(D280,270))),Reference!$A$6:$A$11,1))+1)-INDEX(Reference!$A$6:$A$11,MIN(5,MATCH(MAX(Reference!$A$6,MIN(Reference!$A$11,MIN(D280,270))),Reference!$A$6:$A$11,1))))),0)+IF(8&lt;=AE280,(AE280-8+3)*(INDEX(Reference!$B$6:$B$11,MIN(5,MATCH(MAX(Reference!$A$6,MIN(Reference!$A$11,MIN(D280,300))),Reference!$A$6:$A$11,1)))+(MAX(Reference!$A$6,MIN(Reference!$A$11,MIN(D280,300)))-INDEX(Reference!$A$6:$A$11,MIN(5,MATCH(MAX(Reference!$A$6,MIN(Reference!$A$11,MIN(D280,300))),Reference!$A$6:$A$11,1))))*(INDEX(Reference!$B$6:$B$11,MIN(5,MATCH(MAX(Reference!$A$6,MIN(Reference!$A$11,MIN(D280,300))),Reference!$A$6:$A$11,1))+1)-INDEX(Reference!$B$6:$B$11,MIN(5,MATCH(MAX(Reference!$A$6,MIN(Reference!$A$11,MIN(D280,300))),Reference!$A$6:$A$11,1))))/(INDEX(Reference!$A$6:$A$11,MIN(5,MATCH(MAX(Reference!$A$6,MIN(Reference!$A$11,MIN(D280,300))),Reference!$A$6:$A$11,1))+1)-INDEX(Reference!$A$6:$A$11,MIN(5,MATCH(MAX(Reference!$A$6,MIN(Reference!$A$11,MIN(D280,300))),Reference!$A$6:$A$11,1))))),0))/(AE280*(AE280+5)/2)),(INDEX(Reference!$B$6:$B$11,MIN(5,MATCH(MAX(Reference!$A$6,MIN(Reference!$A$11,D280)),Reference!$A$6:$A$11,1)))+(MAX(Reference!$A$6,MIN(Reference!$A$11,D280))-INDEX(Reference!$A$6:$A$11,MIN(5,MATCH(MAX(Reference!$A$6,MIN(Reference!$A$11,D280)),Reference!$A$6:$A$11,1))))*(INDEX(Reference!$B$6:$B$11,MIN(5,MATCH(MAX(Reference!$A$6,MIN(Reference!$A$11,D280)),Reference!$A$6:$A$11,1))+1)-INDEX(Reference!$B$6:$B$11,MIN(5,MATCH(MAX(Reference!$A$6,MIN(Reference!$A$11,D280)),Reference!$A$6:$A$11,1))))/(INDEX(Reference!$A$6:$A$11,MIN(5,MATCH(MAX(Reference!$A$6,MIN(Reference!$A$11,D280)),Reference!$A$6:$A$11,1))+1)-INDEX(Reference!$A$6:$A$11,MIN(5,MATCH(MAX(Reference!$A$6,MIN(Reference!$A$11,D280)),Reference!$A$6:$A$11,1))))))))</f>
        <v/>
      </c>
      <c r="P280" s="32" t="str">
        <f>IF(N280="","",VLOOKUP(MAX(N280,0),Reference!$A$17:$B$20,2,TRUE()))</f>
        <v/>
      </c>
      <c r="Q280" s="32" t="str">
        <f t="shared" si="39"/>
        <v/>
      </c>
      <c r="R280" s="31"/>
      <c r="S280" s="31"/>
      <c r="T280" s="31"/>
      <c r="U280" s="32" t="str">
        <f t="shared" si="40"/>
        <v/>
      </c>
      <c r="V280" s="32" t="str">
        <f t="shared" si="41"/>
        <v/>
      </c>
      <c r="W280" s="32" t="str">
        <f>IF(V280="","",VLOOKUP(MAX(V280,0),Reference!$A$17:$B$20,2,TRUE()))</f>
        <v/>
      </c>
      <c r="X280" s="31"/>
      <c r="Y280" s="31"/>
      <c r="Z280" s="31"/>
      <c r="AA280" s="32" t="str">
        <f t="shared" si="42"/>
        <v/>
      </c>
      <c r="AB280" s="32" t="str">
        <f t="shared" si="43"/>
        <v/>
      </c>
      <c r="AC280" s="32" t="str">
        <f>IF(AB280="","",VLOOKUP(MAX(AB280,0),Reference!$A$17:$B$20,2,TRUE()))</f>
        <v/>
      </c>
      <c r="AD280" s="31"/>
      <c r="AE280">
        <f t="shared" si="44"/>
        <v>1</v>
      </c>
      <c r="AF280" s="33" t="str">
        <f>IF(OR(A280="",B280="",AND(C280&lt;&gt;"Bullpen",C280&lt;&gt;"Game")),"",IF((COUNTIFS($B$5:$B$300,B280,$A$5:$A$300,A280-1,$C$5:$C$300,"Bullpen",$AG$5:$AG$300,"&gt;0") + COUNTIFS($B$5:$B$300,B280,$A$5:$A$300,A280-1,$C$5:$C$300,"Game",$AG$5:$AG$300,"&gt;0"))&gt;0,Reference!$B$119,IF((COUNTIFS($B$5:$B$300,B280,$A$5:$A$300,A280-2,$C$5:$C$300,"Bullpen",$AG$5:$AG$300,"&gt;0") + COUNTIFS($B$5:$B$300,B280,$A$5:$A$300,A280-2,$C$5:$C$300,"Game",$AG$5:$AG$300,"&gt;0"))&gt;0,Reference!$B$120,1)))</f>
        <v/>
      </c>
      <c r="AG280" s="30" t="str">
        <f>IF(AND(OR(I280="",O280="",P280=""),OR(R280="",W280=""),OR(X280="",AC280="")),"",IF(OR(I280="",O280="",P280=""),0,I280*O280*P280)+IF(OR(R280="",W280=""),0,R280*IFERROR(INDEX(Reference!$B$61:$B$62,MATCH("Bullpen",Reference!$A$61:$A$62,0)),0)*W280)+IF(OR(X280="",AC280=""),0,X280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280))</f>
        <v/>
      </c>
    </row>
    <row r="281" spans="1:33" x14ac:dyDescent="0.3">
      <c r="A281" s="35"/>
      <c r="B281" s="31"/>
      <c r="C281" s="31"/>
      <c r="D281" s="31"/>
      <c r="E281" s="34"/>
      <c r="F281" s="34"/>
      <c r="G281" s="30" t="str">
        <f t="shared" si="36"/>
        <v/>
      </c>
      <c r="H281" s="31"/>
      <c r="I281" s="32" t="str">
        <f>IF(H281&lt;&gt;"",H281,IF(G281="","",ROUND(G281*IFERROR(INDEX(Reference!$B$44:$B$50,MATCH(C281,Reference!$A$44:$A$50,0)),0),0)))</f>
        <v/>
      </c>
      <c r="J281" s="31"/>
      <c r="K281" s="31"/>
      <c r="L281" s="32" t="str">
        <f t="shared" si="37"/>
        <v/>
      </c>
      <c r="M281" s="32" t="str">
        <f>IFERROR(INDEX(Roster!$D$5:$D$40,MATCH(B281,Roster!$A$5:$A$40,0)),"")</f>
        <v/>
      </c>
      <c r="N281" s="32" t="str">
        <f t="shared" si="38"/>
        <v/>
      </c>
      <c r="O281" s="32" t="str">
        <f>IF(OR(C281="Bullpen",C281="Game"),IFERROR(INDEX(Reference!$B$61:$B$62,MATCH(C281,Reference!$A$61:$A$62,0)),""),IF(D281="","",IF(AE281&gt;1,((IF(1&lt;=AE281,(AE281-1+3)*(INDEX(Reference!$B$6:$B$11,MIN(5,MATCH(MAX(Reference!$A$6,MIN(Reference!$A$11,MIN(D281,90))),Reference!$A$6:$A$11,1)))+(MAX(Reference!$A$6,MIN(Reference!$A$11,MIN(D281,90)))-INDEX(Reference!$A$6:$A$11,MIN(5,MATCH(MAX(Reference!$A$6,MIN(Reference!$A$11,MIN(D281,90))),Reference!$A$6:$A$11,1))))*(INDEX(Reference!$B$6:$B$11,MIN(5,MATCH(MAX(Reference!$A$6,MIN(Reference!$A$11,MIN(D281,90))),Reference!$A$6:$A$11,1))+1)-INDEX(Reference!$B$6:$B$11,MIN(5,MATCH(MAX(Reference!$A$6,MIN(Reference!$A$11,MIN(D281,90))),Reference!$A$6:$A$11,1))))/(INDEX(Reference!$A$6:$A$11,MIN(5,MATCH(MAX(Reference!$A$6,MIN(Reference!$A$11,MIN(D281,90))),Reference!$A$6:$A$11,1))+1)-INDEX(Reference!$A$6:$A$11,MIN(5,MATCH(MAX(Reference!$A$6,MIN(Reference!$A$11,MIN(D281,90))),Reference!$A$6:$A$11,1))))),0)+IF(2&lt;=AE281,(AE281-2+3)*(INDEX(Reference!$B$6:$B$11,MIN(5,MATCH(MAX(Reference!$A$6,MIN(Reference!$A$11,MIN(D281,120))),Reference!$A$6:$A$11,1)))+(MAX(Reference!$A$6,MIN(Reference!$A$11,MIN(D281,120)))-INDEX(Reference!$A$6:$A$11,MIN(5,MATCH(MAX(Reference!$A$6,MIN(Reference!$A$11,MIN(D281,120))),Reference!$A$6:$A$11,1))))*(INDEX(Reference!$B$6:$B$11,MIN(5,MATCH(MAX(Reference!$A$6,MIN(Reference!$A$11,MIN(D281,120))),Reference!$A$6:$A$11,1))+1)-INDEX(Reference!$B$6:$B$11,MIN(5,MATCH(MAX(Reference!$A$6,MIN(Reference!$A$11,MIN(D281,120))),Reference!$A$6:$A$11,1))))/(INDEX(Reference!$A$6:$A$11,MIN(5,MATCH(MAX(Reference!$A$6,MIN(Reference!$A$11,MIN(D281,120))),Reference!$A$6:$A$11,1))+1)-INDEX(Reference!$A$6:$A$11,MIN(5,MATCH(MAX(Reference!$A$6,MIN(Reference!$A$11,MIN(D281,120))),Reference!$A$6:$A$11,1))))),0)+IF(3&lt;=AE281,(AE281-3+3)*(INDEX(Reference!$B$6:$B$11,MIN(5,MATCH(MAX(Reference!$A$6,MIN(Reference!$A$11,MIN(D281,150))),Reference!$A$6:$A$11,1)))+(MAX(Reference!$A$6,MIN(Reference!$A$11,MIN(D281,150)))-INDEX(Reference!$A$6:$A$11,MIN(5,MATCH(MAX(Reference!$A$6,MIN(Reference!$A$11,MIN(D281,150))),Reference!$A$6:$A$11,1))))*(INDEX(Reference!$B$6:$B$11,MIN(5,MATCH(MAX(Reference!$A$6,MIN(Reference!$A$11,MIN(D281,150))),Reference!$A$6:$A$11,1))+1)-INDEX(Reference!$B$6:$B$11,MIN(5,MATCH(MAX(Reference!$A$6,MIN(Reference!$A$11,MIN(D281,150))),Reference!$A$6:$A$11,1))))/(INDEX(Reference!$A$6:$A$11,MIN(5,MATCH(MAX(Reference!$A$6,MIN(Reference!$A$11,MIN(D281,150))),Reference!$A$6:$A$11,1))+1)-INDEX(Reference!$A$6:$A$11,MIN(5,MATCH(MAX(Reference!$A$6,MIN(Reference!$A$11,MIN(D281,150))),Reference!$A$6:$A$11,1))))),0)+IF(4&lt;=AE281,(AE281-4+3)*(INDEX(Reference!$B$6:$B$11,MIN(5,MATCH(MAX(Reference!$A$6,MIN(Reference!$A$11,MIN(D281,180))),Reference!$A$6:$A$11,1)))+(MAX(Reference!$A$6,MIN(Reference!$A$11,MIN(D281,180)))-INDEX(Reference!$A$6:$A$11,MIN(5,MATCH(MAX(Reference!$A$6,MIN(Reference!$A$11,MIN(D281,180))),Reference!$A$6:$A$11,1))))*(INDEX(Reference!$B$6:$B$11,MIN(5,MATCH(MAX(Reference!$A$6,MIN(Reference!$A$11,MIN(D281,180))),Reference!$A$6:$A$11,1))+1)-INDEX(Reference!$B$6:$B$11,MIN(5,MATCH(MAX(Reference!$A$6,MIN(Reference!$A$11,MIN(D281,180))),Reference!$A$6:$A$11,1))))/(INDEX(Reference!$A$6:$A$11,MIN(5,MATCH(MAX(Reference!$A$6,MIN(Reference!$A$11,MIN(D281,180))),Reference!$A$6:$A$11,1))+1)-INDEX(Reference!$A$6:$A$11,MIN(5,MATCH(MAX(Reference!$A$6,MIN(Reference!$A$11,MIN(D281,180))),Reference!$A$6:$A$11,1))))),0)+IF(5&lt;=AE281,(AE281-5+3)*(INDEX(Reference!$B$6:$B$11,MIN(5,MATCH(MAX(Reference!$A$6,MIN(Reference!$A$11,MIN(D281,210))),Reference!$A$6:$A$11,1)))+(MAX(Reference!$A$6,MIN(Reference!$A$11,MIN(D281,210)))-INDEX(Reference!$A$6:$A$11,MIN(5,MATCH(MAX(Reference!$A$6,MIN(Reference!$A$11,MIN(D281,210))),Reference!$A$6:$A$11,1))))*(INDEX(Reference!$B$6:$B$11,MIN(5,MATCH(MAX(Reference!$A$6,MIN(Reference!$A$11,MIN(D281,210))),Reference!$A$6:$A$11,1))+1)-INDEX(Reference!$B$6:$B$11,MIN(5,MATCH(MAX(Reference!$A$6,MIN(Reference!$A$11,MIN(D281,210))),Reference!$A$6:$A$11,1))))/(INDEX(Reference!$A$6:$A$11,MIN(5,MATCH(MAX(Reference!$A$6,MIN(Reference!$A$11,MIN(D281,210))),Reference!$A$6:$A$11,1))+1)-INDEX(Reference!$A$6:$A$11,MIN(5,MATCH(MAX(Reference!$A$6,MIN(Reference!$A$11,MIN(D281,210))),Reference!$A$6:$A$11,1))))),0)+IF(6&lt;=AE281,(AE281-6+3)*(INDEX(Reference!$B$6:$B$11,MIN(5,MATCH(MAX(Reference!$A$6,MIN(Reference!$A$11,MIN(D281,240))),Reference!$A$6:$A$11,1)))+(MAX(Reference!$A$6,MIN(Reference!$A$11,MIN(D281,240)))-INDEX(Reference!$A$6:$A$11,MIN(5,MATCH(MAX(Reference!$A$6,MIN(Reference!$A$11,MIN(D281,240))),Reference!$A$6:$A$11,1))))*(INDEX(Reference!$B$6:$B$11,MIN(5,MATCH(MAX(Reference!$A$6,MIN(Reference!$A$11,MIN(D281,240))),Reference!$A$6:$A$11,1))+1)-INDEX(Reference!$B$6:$B$11,MIN(5,MATCH(MAX(Reference!$A$6,MIN(Reference!$A$11,MIN(D281,240))),Reference!$A$6:$A$11,1))))/(INDEX(Reference!$A$6:$A$11,MIN(5,MATCH(MAX(Reference!$A$6,MIN(Reference!$A$11,MIN(D281,240))),Reference!$A$6:$A$11,1))+1)-INDEX(Reference!$A$6:$A$11,MIN(5,MATCH(MAX(Reference!$A$6,MIN(Reference!$A$11,MIN(D281,240))),Reference!$A$6:$A$11,1))))),0)+IF(7&lt;=AE281,(AE281-7+3)*(INDEX(Reference!$B$6:$B$11,MIN(5,MATCH(MAX(Reference!$A$6,MIN(Reference!$A$11,MIN(D281,270))),Reference!$A$6:$A$11,1)))+(MAX(Reference!$A$6,MIN(Reference!$A$11,MIN(D281,270)))-INDEX(Reference!$A$6:$A$11,MIN(5,MATCH(MAX(Reference!$A$6,MIN(Reference!$A$11,MIN(D281,270))),Reference!$A$6:$A$11,1))))*(INDEX(Reference!$B$6:$B$11,MIN(5,MATCH(MAX(Reference!$A$6,MIN(Reference!$A$11,MIN(D281,270))),Reference!$A$6:$A$11,1))+1)-INDEX(Reference!$B$6:$B$11,MIN(5,MATCH(MAX(Reference!$A$6,MIN(Reference!$A$11,MIN(D281,270))),Reference!$A$6:$A$11,1))))/(INDEX(Reference!$A$6:$A$11,MIN(5,MATCH(MAX(Reference!$A$6,MIN(Reference!$A$11,MIN(D281,270))),Reference!$A$6:$A$11,1))+1)-INDEX(Reference!$A$6:$A$11,MIN(5,MATCH(MAX(Reference!$A$6,MIN(Reference!$A$11,MIN(D281,270))),Reference!$A$6:$A$11,1))))),0)+IF(8&lt;=AE281,(AE281-8+3)*(INDEX(Reference!$B$6:$B$11,MIN(5,MATCH(MAX(Reference!$A$6,MIN(Reference!$A$11,MIN(D281,300))),Reference!$A$6:$A$11,1)))+(MAX(Reference!$A$6,MIN(Reference!$A$11,MIN(D281,300)))-INDEX(Reference!$A$6:$A$11,MIN(5,MATCH(MAX(Reference!$A$6,MIN(Reference!$A$11,MIN(D281,300))),Reference!$A$6:$A$11,1))))*(INDEX(Reference!$B$6:$B$11,MIN(5,MATCH(MAX(Reference!$A$6,MIN(Reference!$A$11,MIN(D281,300))),Reference!$A$6:$A$11,1))+1)-INDEX(Reference!$B$6:$B$11,MIN(5,MATCH(MAX(Reference!$A$6,MIN(Reference!$A$11,MIN(D281,300))),Reference!$A$6:$A$11,1))))/(INDEX(Reference!$A$6:$A$11,MIN(5,MATCH(MAX(Reference!$A$6,MIN(Reference!$A$11,MIN(D281,300))),Reference!$A$6:$A$11,1))+1)-INDEX(Reference!$A$6:$A$11,MIN(5,MATCH(MAX(Reference!$A$6,MIN(Reference!$A$11,MIN(D281,300))),Reference!$A$6:$A$11,1))))),0))/(AE281*(AE281+5)/2)),(INDEX(Reference!$B$6:$B$11,MIN(5,MATCH(MAX(Reference!$A$6,MIN(Reference!$A$11,D281)),Reference!$A$6:$A$11,1)))+(MAX(Reference!$A$6,MIN(Reference!$A$11,D281))-INDEX(Reference!$A$6:$A$11,MIN(5,MATCH(MAX(Reference!$A$6,MIN(Reference!$A$11,D281)),Reference!$A$6:$A$11,1))))*(INDEX(Reference!$B$6:$B$11,MIN(5,MATCH(MAX(Reference!$A$6,MIN(Reference!$A$11,D281)),Reference!$A$6:$A$11,1))+1)-INDEX(Reference!$B$6:$B$11,MIN(5,MATCH(MAX(Reference!$A$6,MIN(Reference!$A$11,D281)),Reference!$A$6:$A$11,1))))/(INDEX(Reference!$A$6:$A$11,MIN(5,MATCH(MAX(Reference!$A$6,MIN(Reference!$A$11,D281)),Reference!$A$6:$A$11,1))+1)-INDEX(Reference!$A$6:$A$11,MIN(5,MATCH(MAX(Reference!$A$6,MIN(Reference!$A$11,D281)),Reference!$A$6:$A$11,1))))))))</f>
        <v/>
      </c>
      <c r="P281" s="32" t="str">
        <f>IF(N281="","",VLOOKUP(MAX(N281,0),Reference!$A$17:$B$20,2,TRUE()))</f>
        <v/>
      </c>
      <c r="Q281" s="32" t="str">
        <f t="shared" si="39"/>
        <v/>
      </c>
      <c r="R281" s="31"/>
      <c r="S281" s="31"/>
      <c r="T281" s="31"/>
      <c r="U281" s="32" t="str">
        <f t="shared" si="40"/>
        <v/>
      </c>
      <c r="V281" s="32" t="str">
        <f t="shared" si="41"/>
        <v/>
      </c>
      <c r="W281" s="32" t="str">
        <f>IF(V281="","",VLOOKUP(MAX(V281,0),Reference!$A$17:$B$20,2,TRUE()))</f>
        <v/>
      </c>
      <c r="X281" s="31"/>
      <c r="Y281" s="31"/>
      <c r="Z281" s="31"/>
      <c r="AA281" s="32" t="str">
        <f t="shared" si="42"/>
        <v/>
      </c>
      <c r="AB281" s="32" t="str">
        <f t="shared" si="43"/>
        <v/>
      </c>
      <c r="AC281" s="32" t="str">
        <f>IF(AB281="","",VLOOKUP(MAX(AB281,0),Reference!$A$17:$B$20,2,TRUE()))</f>
        <v/>
      </c>
      <c r="AD281" s="31"/>
      <c r="AE281">
        <f t="shared" si="44"/>
        <v>1</v>
      </c>
      <c r="AF281" s="33" t="str">
        <f>IF(OR(A281="",B281="",AND(C281&lt;&gt;"Bullpen",C281&lt;&gt;"Game")),"",IF((COUNTIFS($B$5:$B$300,B281,$A$5:$A$300,A281-1,$C$5:$C$300,"Bullpen",$AG$5:$AG$300,"&gt;0") + COUNTIFS($B$5:$B$300,B281,$A$5:$A$300,A281-1,$C$5:$C$300,"Game",$AG$5:$AG$300,"&gt;0"))&gt;0,Reference!$B$119,IF((COUNTIFS($B$5:$B$300,B281,$A$5:$A$300,A281-2,$C$5:$C$300,"Bullpen",$AG$5:$AG$300,"&gt;0") + COUNTIFS($B$5:$B$300,B281,$A$5:$A$300,A281-2,$C$5:$C$300,"Game",$AG$5:$AG$300,"&gt;0"))&gt;0,Reference!$B$120,1)))</f>
        <v/>
      </c>
      <c r="AG281" s="30" t="str">
        <f>IF(AND(OR(I281="",O281="",P281=""),OR(R281="",W281=""),OR(X281="",AC281="")),"",IF(OR(I281="",O281="",P281=""),0,I281*O281*P281)+IF(OR(R281="",W281=""),0,R281*IFERROR(INDEX(Reference!$B$61:$B$62,MATCH("Bullpen",Reference!$A$61:$A$62,0)),0)*W281)+IF(OR(X281="",AC281=""),0,X281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281))</f>
        <v/>
      </c>
    </row>
    <row r="282" spans="1:33" x14ac:dyDescent="0.3">
      <c r="A282" s="35"/>
      <c r="B282" s="31"/>
      <c r="C282" s="31"/>
      <c r="D282" s="31"/>
      <c r="E282" s="34"/>
      <c r="F282" s="34"/>
      <c r="G282" s="30" t="str">
        <f t="shared" si="36"/>
        <v/>
      </c>
      <c r="H282" s="31"/>
      <c r="I282" s="32" t="str">
        <f>IF(H282&lt;&gt;"",H282,IF(G282="","",ROUND(G282*IFERROR(INDEX(Reference!$B$44:$B$50,MATCH(C282,Reference!$A$44:$A$50,0)),0),0)))</f>
        <v/>
      </c>
      <c r="J282" s="31"/>
      <c r="K282" s="31"/>
      <c r="L282" s="32" t="str">
        <f t="shared" si="37"/>
        <v/>
      </c>
      <c r="M282" s="32" t="str">
        <f>IFERROR(INDEX(Roster!$D$5:$D$40,MATCH(B282,Roster!$A$5:$A$40,0)),"")</f>
        <v/>
      </c>
      <c r="N282" s="32" t="str">
        <f t="shared" si="38"/>
        <v/>
      </c>
      <c r="O282" s="32" t="str">
        <f>IF(OR(C282="Bullpen",C282="Game"),IFERROR(INDEX(Reference!$B$61:$B$62,MATCH(C282,Reference!$A$61:$A$62,0)),""),IF(D282="","",IF(AE282&gt;1,((IF(1&lt;=AE282,(AE282-1+3)*(INDEX(Reference!$B$6:$B$11,MIN(5,MATCH(MAX(Reference!$A$6,MIN(Reference!$A$11,MIN(D282,90))),Reference!$A$6:$A$11,1)))+(MAX(Reference!$A$6,MIN(Reference!$A$11,MIN(D282,90)))-INDEX(Reference!$A$6:$A$11,MIN(5,MATCH(MAX(Reference!$A$6,MIN(Reference!$A$11,MIN(D282,90))),Reference!$A$6:$A$11,1))))*(INDEX(Reference!$B$6:$B$11,MIN(5,MATCH(MAX(Reference!$A$6,MIN(Reference!$A$11,MIN(D282,90))),Reference!$A$6:$A$11,1))+1)-INDEX(Reference!$B$6:$B$11,MIN(5,MATCH(MAX(Reference!$A$6,MIN(Reference!$A$11,MIN(D282,90))),Reference!$A$6:$A$11,1))))/(INDEX(Reference!$A$6:$A$11,MIN(5,MATCH(MAX(Reference!$A$6,MIN(Reference!$A$11,MIN(D282,90))),Reference!$A$6:$A$11,1))+1)-INDEX(Reference!$A$6:$A$11,MIN(5,MATCH(MAX(Reference!$A$6,MIN(Reference!$A$11,MIN(D282,90))),Reference!$A$6:$A$11,1))))),0)+IF(2&lt;=AE282,(AE282-2+3)*(INDEX(Reference!$B$6:$B$11,MIN(5,MATCH(MAX(Reference!$A$6,MIN(Reference!$A$11,MIN(D282,120))),Reference!$A$6:$A$11,1)))+(MAX(Reference!$A$6,MIN(Reference!$A$11,MIN(D282,120)))-INDEX(Reference!$A$6:$A$11,MIN(5,MATCH(MAX(Reference!$A$6,MIN(Reference!$A$11,MIN(D282,120))),Reference!$A$6:$A$11,1))))*(INDEX(Reference!$B$6:$B$11,MIN(5,MATCH(MAX(Reference!$A$6,MIN(Reference!$A$11,MIN(D282,120))),Reference!$A$6:$A$11,1))+1)-INDEX(Reference!$B$6:$B$11,MIN(5,MATCH(MAX(Reference!$A$6,MIN(Reference!$A$11,MIN(D282,120))),Reference!$A$6:$A$11,1))))/(INDEX(Reference!$A$6:$A$11,MIN(5,MATCH(MAX(Reference!$A$6,MIN(Reference!$A$11,MIN(D282,120))),Reference!$A$6:$A$11,1))+1)-INDEX(Reference!$A$6:$A$11,MIN(5,MATCH(MAX(Reference!$A$6,MIN(Reference!$A$11,MIN(D282,120))),Reference!$A$6:$A$11,1))))),0)+IF(3&lt;=AE282,(AE282-3+3)*(INDEX(Reference!$B$6:$B$11,MIN(5,MATCH(MAX(Reference!$A$6,MIN(Reference!$A$11,MIN(D282,150))),Reference!$A$6:$A$11,1)))+(MAX(Reference!$A$6,MIN(Reference!$A$11,MIN(D282,150)))-INDEX(Reference!$A$6:$A$11,MIN(5,MATCH(MAX(Reference!$A$6,MIN(Reference!$A$11,MIN(D282,150))),Reference!$A$6:$A$11,1))))*(INDEX(Reference!$B$6:$B$11,MIN(5,MATCH(MAX(Reference!$A$6,MIN(Reference!$A$11,MIN(D282,150))),Reference!$A$6:$A$11,1))+1)-INDEX(Reference!$B$6:$B$11,MIN(5,MATCH(MAX(Reference!$A$6,MIN(Reference!$A$11,MIN(D282,150))),Reference!$A$6:$A$11,1))))/(INDEX(Reference!$A$6:$A$11,MIN(5,MATCH(MAX(Reference!$A$6,MIN(Reference!$A$11,MIN(D282,150))),Reference!$A$6:$A$11,1))+1)-INDEX(Reference!$A$6:$A$11,MIN(5,MATCH(MAX(Reference!$A$6,MIN(Reference!$A$11,MIN(D282,150))),Reference!$A$6:$A$11,1))))),0)+IF(4&lt;=AE282,(AE282-4+3)*(INDEX(Reference!$B$6:$B$11,MIN(5,MATCH(MAX(Reference!$A$6,MIN(Reference!$A$11,MIN(D282,180))),Reference!$A$6:$A$11,1)))+(MAX(Reference!$A$6,MIN(Reference!$A$11,MIN(D282,180)))-INDEX(Reference!$A$6:$A$11,MIN(5,MATCH(MAX(Reference!$A$6,MIN(Reference!$A$11,MIN(D282,180))),Reference!$A$6:$A$11,1))))*(INDEX(Reference!$B$6:$B$11,MIN(5,MATCH(MAX(Reference!$A$6,MIN(Reference!$A$11,MIN(D282,180))),Reference!$A$6:$A$11,1))+1)-INDEX(Reference!$B$6:$B$11,MIN(5,MATCH(MAX(Reference!$A$6,MIN(Reference!$A$11,MIN(D282,180))),Reference!$A$6:$A$11,1))))/(INDEX(Reference!$A$6:$A$11,MIN(5,MATCH(MAX(Reference!$A$6,MIN(Reference!$A$11,MIN(D282,180))),Reference!$A$6:$A$11,1))+1)-INDEX(Reference!$A$6:$A$11,MIN(5,MATCH(MAX(Reference!$A$6,MIN(Reference!$A$11,MIN(D282,180))),Reference!$A$6:$A$11,1))))),0)+IF(5&lt;=AE282,(AE282-5+3)*(INDEX(Reference!$B$6:$B$11,MIN(5,MATCH(MAX(Reference!$A$6,MIN(Reference!$A$11,MIN(D282,210))),Reference!$A$6:$A$11,1)))+(MAX(Reference!$A$6,MIN(Reference!$A$11,MIN(D282,210)))-INDEX(Reference!$A$6:$A$11,MIN(5,MATCH(MAX(Reference!$A$6,MIN(Reference!$A$11,MIN(D282,210))),Reference!$A$6:$A$11,1))))*(INDEX(Reference!$B$6:$B$11,MIN(5,MATCH(MAX(Reference!$A$6,MIN(Reference!$A$11,MIN(D282,210))),Reference!$A$6:$A$11,1))+1)-INDEX(Reference!$B$6:$B$11,MIN(5,MATCH(MAX(Reference!$A$6,MIN(Reference!$A$11,MIN(D282,210))),Reference!$A$6:$A$11,1))))/(INDEX(Reference!$A$6:$A$11,MIN(5,MATCH(MAX(Reference!$A$6,MIN(Reference!$A$11,MIN(D282,210))),Reference!$A$6:$A$11,1))+1)-INDEX(Reference!$A$6:$A$11,MIN(5,MATCH(MAX(Reference!$A$6,MIN(Reference!$A$11,MIN(D282,210))),Reference!$A$6:$A$11,1))))),0)+IF(6&lt;=AE282,(AE282-6+3)*(INDEX(Reference!$B$6:$B$11,MIN(5,MATCH(MAX(Reference!$A$6,MIN(Reference!$A$11,MIN(D282,240))),Reference!$A$6:$A$11,1)))+(MAX(Reference!$A$6,MIN(Reference!$A$11,MIN(D282,240)))-INDEX(Reference!$A$6:$A$11,MIN(5,MATCH(MAX(Reference!$A$6,MIN(Reference!$A$11,MIN(D282,240))),Reference!$A$6:$A$11,1))))*(INDEX(Reference!$B$6:$B$11,MIN(5,MATCH(MAX(Reference!$A$6,MIN(Reference!$A$11,MIN(D282,240))),Reference!$A$6:$A$11,1))+1)-INDEX(Reference!$B$6:$B$11,MIN(5,MATCH(MAX(Reference!$A$6,MIN(Reference!$A$11,MIN(D282,240))),Reference!$A$6:$A$11,1))))/(INDEX(Reference!$A$6:$A$11,MIN(5,MATCH(MAX(Reference!$A$6,MIN(Reference!$A$11,MIN(D282,240))),Reference!$A$6:$A$11,1))+1)-INDEX(Reference!$A$6:$A$11,MIN(5,MATCH(MAX(Reference!$A$6,MIN(Reference!$A$11,MIN(D282,240))),Reference!$A$6:$A$11,1))))),0)+IF(7&lt;=AE282,(AE282-7+3)*(INDEX(Reference!$B$6:$B$11,MIN(5,MATCH(MAX(Reference!$A$6,MIN(Reference!$A$11,MIN(D282,270))),Reference!$A$6:$A$11,1)))+(MAX(Reference!$A$6,MIN(Reference!$A$11,MIN(D282,270)))-INDEX(Reference!$A$6:$A$11,MIN(5,MATCH(MAX(Reference!$A$6,MIN(Reference!$A$11,MIN(D282,270))),Reference!$A$6:$A$11,1))))*(INDEX(Reference!$B$6:$B$11,MIN(5,MATCH(MAX(Reference!$A$6,MIN(Reference!$A$11,MIN(D282,270))),Reference!$A$6:$A$11,1))+1)-INDEX(Reference!$B$6:$B$11,MIN(5,MATCH(MAX(Reference!$A$6,MIN(Reference!$A$11,MIN(D282,270))),Reference!$A$6:$A$11,1))))/(INDEX(Reference!$A$6:$A$11,MIN(5,MATCH(MAX(Reference!$A$6,MIN(Reference!$A$11,MIN(D282,270))),Reference!$A$6:$A$11,1))+1)-INDEX(Reference!$A$6:$A$11,MIN(5,MATCH(MAX(Reference!$A$6,MIN(Reference!$A$11,MIN(D282,270))),Reference!$A$6:$A$11,1))))),0)+IF(8&lt;=AE282,(AE282-8+3)*(INDEX(Reference!$B$6:$B$11,MIN(5,MATCH(MAX(Reference!$A$6,MIN(Reference!$A$11,MIN(D282,300))),Reference!$A$6:$A$11,1)))+(MAX(Reference!$A$6,MIN(Reference!$A$11,MIN(D282,300)))-INDEX(Reference!$A$6:$A$11,MIN(5,MATCH(MAX(Reference!$A$6,MIN(Reference!$A$11,MIN(D282,300))),Reference!$A$6:$A$11,1))))*(INDEX(Reference!$B$6:$B$11,MIN(5,MATCH(MAX(Reference!$A$6,MIN(Reference!$A$11,MIN(D282,300))),Reference!$A$6:$A$11,1))+1)-INDEX(Reference!$B$6:$B$11,MIN(5,MATCH(MAX(Reference!$A$6,MIN(Reference!$A$11,MIN(D282,300))),Reference!$A$6:$A$11,1))))/(INDEX(Reference!$A$6:$A$11,MIN(5,MATCH(MAX(Reference!$A$6,MIN(Reference!$A$11,MIN(D282,300))),Reference!$A$6:$A$11,1))+1)-INDEX(Reference!$A$6:$A$11,MIN(5,MATCH(MAX(Reference!$A$6,MIN(Reference!$A$11,MIN(D282,300))),Reference!$A$6:$A$11,1))))),0))/(AE282*(AE282+5)/2)),(INDEX(Reference!$B$6:$B$11,MIN(5,MATCH(MAX(Reference!$A$6,MIN(Reference!$A$11,D282)),Reference!$A$6:$A$11,1)))+(MAX(Reference!$A$6,MIN(Reference!$A$11,D282))-INDEX(Reference!$A$6:$A$11,MIN(5,MATCH(MAX(Reference!$A$6,MIN(Reference!$A$11,D282)),Reference!$A$6:$A$11,1))))*(INDEX(Reference!$B$6:$B$11,MIN(5,MATCH(MAX(Reference!$A$6,MIN(Reference!$A$11,D282)),Reference!$A$6:$A$11,1))+1)-INDEX(Reference!$B$6:$B$11,MIN(5,MATCH(MAX(Reference!$A$6,MIN(Reference!$A$11,D282)),Reference!$A$6:$A$11,1))))/(INDEX(Reference!$A$6:$A$11,MIN(5,MATCH(MAX(Reference!$A$6,MIN(Reference!$A$11,D282)),Reference!$A$6:$A$11,1))+1)-INDEX(Reference!$A$6:$A$11,MIN(5,MATCH(MAX(Reference!$A$6,MIN(Reference!$A$11,D282)),Reference!$A$6:$A$11,1))))))))</f>
        <v/>
      </c>
      <c r="P282" s="32" t="str">
        <f>IF(N282="","",VLOOKUP(MAX(N282,0),Reference!$A$17:$B$20,2,TRUE()))</f>
        <v/>
      </c>
      <c r="Q282" s="32" t="str">
        <f t="shared" si="39"/>
        <v/>
      </c>
      <c r="R282" s="31"/>
      <c r="S282" s="31"/>
      <c r="T282" s="31"/>
      <c r="U282" s="32" t="str">
        <f t="shared" si="40"/>
        <v/>
      </c>
      <c r="V282" s="32" t="str">
        <f t="shared" si="41"/>
        <v/>
      </c>
      <c r="W282" s="32" t="str">
        <f>IF(V282="","",VLOOKUP(MAX(V282,0),Reference!$A$17:$B$20,2,TRUE()))</f>
        <v/>
      </c>
      <c r="X282" s="31"/>
      <c r="Y282" s="31"/>
      <c r="Z282" s="31"/>
      <c r="AA282" s="32" t="str">
        <f t="shared" si="42"/>
        <v/>
      </c>
      <c r="AB282" s="32" t="str">
        <f t="shared" si="43"/>
        <v/>
      </c>
      <c r="AC282" s="32" t="str">
        <f>IF(AB282="","",VLOOKUP(MAX(AB282,0),Reference!$A$17:$B$20,2,TRUE()))</f>
        <v/>
      </c>
      <c r="AD282" s="31"/>
      <c r="AE282">
        <f t="shared" si="44"/>
        <v>1</v>
      </c>
      <c r="AF282" s="33" t="str">
        <f>IF(OR(A282="",B282="",AND(C282&lt;&gt;"Bullpen",C282&lt;&gt;"Game")),"",IF((COUNTIFS($B$5:$B$300,B282,$A$5:$A$300,A282-1,$C$5:$C$300,"Bullpen",$AG$5:$AG$300,"&gt;0") + COUNTIFS($B$5:$B$300,B282,$A$5:$A$300,A282-1,$C$5:$C$300,"Game",$AG$5:$AG$300,"&gt;0"))&gt;0,Reference!$B$119,IF((COUNTIFS($B$5:$B$300,B282,$A$5:$A$300,A282-2,$C$5:$C$300,"Bullpen",$AG$5:$AG$300,"&gt;0") + COUNTIFS($B$5:$B$300,B282,$A$5:$A$300,A282-2,$C$5:$C$300,"Game",$AG$5:$AG$300,"&gt;0"))&gt;0,Reference!$B$120,1)))</f>
        <v/>
      </c>
      <c r="AG282" s="30" t="str">
        <f>IF(AND(OR(I282="",O282="",P282=""),OR(R282="",W282=""),OR(X282="",AC282="")),"",IF(OR(I282="",O282="",P282=""),0,I282*O282*P282)+IF(OR(R282="",W282=""),0,R282*IFERROR(INDEX(Reference!$B$61:$B$62,MATCH("Bullpen",Reference!$A$61:$A$62,0)),0)*W282)+IF(OR(X282="",AC282=""),0,X282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282))</f>
        <v/>
      </c>
    </row>
    <row r="283" spans="1:33" x14ac:dyDescent="0.3">
      <c r="A283" s="35"/>
      <c r="B283" s="31"/>
      <c r="C283" s="31"/>
      <c r="D283" s="31"/>
      <c r="E283" s="34"/>
      <c r="F283" s="34"/>
      <c r="G283" s="30" t="str">
        <f t="shared" si="36"/>
        <v/>
      </c>
      <c r="H283" s="31"/>
      <c r="I283" s="32" t="str">
        <f>IF(H283&lt;&gt;"",H283,IF(G283="","",ROUND(G283*IFERROR(INDEX(Reference!$B$44:$B$50,MATCH(C283,Reference!$A$44:$A$50,0)),0),0)))</f>
        <v/>
      </c>
      <c r="J283" s="31"/>
      <c r="K283" s="31"/>
      <c r="L283" s="32" t="str">
        <f t="shared" si="37"/>
        <v/>
      </c>
      <c r="M283" s="32" t="str">
        <f>IFERROR(INDEX(Roster!$D$5:$D$40,MATCH(B283,Roster!$A$5:$A$40,0)),"")</f>
        <v/>
      </c>
      <c r="N283" s="32" t="str">
        <f t="shared" si="38"/>
        <v/>
      </c>
      <c r="O283" s="32" t="str">
        <f>IF(OR(C283="Bullpen",C283="Game"),IFERROR(INDEX(Reference!$B$61:$B$62,MATCH(C283,Reference!$A$61:$A$62,0)),""),IF(D283="","",IF(AE283&gt;1,((IF(1&lt;=AE283,(AE283-1+3)*(INDEX(Reference!$B$6:$B$11,MIN(5,MATCH(MAX(Reference!$A$6,MIN(Reference!$A$11,MIN(D283,90))),Reference!$A$6:$A$11,1)))+(MAX(Reference!$A$6,MIN(Reference!$A$11,MIN(D283,90)))-INDEX(Reference!$A$6:$A$11,MIN(5,MATCH(MAX(Reference!$A$6,MIN(Reference!$A$11,MIN(D283,90))),Reference!$A$6:$A$11,1))))*(INDEX(Reference!$B$6:$B$11,MIN(5,MATCH(MAX(Reference!$A$6,MIN(Reference!$A$11,MIN(D283,90))),Reference!$A$6:$A$11,1))+1)-INDEX(Reference!$B$6:$B$11,MIN(5,MATCH(MAX(Reference!$A$6,MIN(Reference!$A$11,MIN(D283,90))),Reference!$A$6:$A$11,1))))/(INDEX(Reference!$A$6:$A$11,MIN(5,MATCH(MAX(Reference!$A$6,MIN(Reference!$A$11,MIN(D283,90))),Reference!$A$6:$A$11,1))+1)-INDEX(Reference!$A$6:$A$11,MIN(5,MATCH(MAX(Reference!$A$6,MIN(Reference!$A$11,MIN(D283,90))),Reference!$A$6:$A$11,1))))),0)+IF(2&lt;=AE283,(AE283-2+3)*(INDEX(Reference!$B$6:$B$11,MIN(5,MATCH(MAX(Reference!$A$6,MIN(Reference!$A$11,MIN(D283,120))),Reference!$A$6:$A$11,1)))+(MAX(Reference!$A$6,MIN(Reference!$A$11,MIN(D283,120)))-INDEX(Reference!$A$6:$A$11,MIN(5,MATCH(MAX(Reference!$A$6,MIN(Reference!$A$11,MIN(D283,120))),Reference!$A$6:$A$11,1))))*(INDEX(Reference!$B$6:$B$11,MIN(5,MATCH(MAX(Reference!$A$6,MIN(Reference!$A$11,MIN(D283,120))),Reference!$A$6:$A$11,1))+1)-INDEX(Reference!$B$6:$B$11,MIN(5,MATCH(MAX(Reference!$A$6,MIN(Reference!$A$11,MIN(D283,120))),Reference!$A$6:$A$11,1))))/(INDEX(Reference!$A$6:$A$11,MIN(5,MATCH(MAX(Reference!$A$6,MIN(Reference!$A$11,MIN(D283,120))),Reference!$A$6:$A$11,1))+1)-INDEX(Reference!$A$6:$A$11,MIN(5,MATCH(MAX(Reference!$A$6,MIN(Reference!$A$11,MIN(D283,120))),Reference!$A$6:$A$11,1))))),0)+IF(3&lt;=AE283,(AE283-3+3)*(INDEX(Reference!$B$6:$B$11,MIN(5,MATCH(MAX(Reference!$A$6,MIN(Reference!$A$11,MIN(D283,150))),Reference!$A$6:$A$11,1)))+(MAX(Reference!$A$6,MIN(Reference!$A$11,MIN(D283,150)))-INDEX(Reference!$A$6:$A$11,MIN(5,MATCH(MAX(Reference!$A$6,MIN(Reference!$A$11,MIN(D283,150))),Reference!$A$6:$A$11,1))))*(INDEX(Reference!$B$6:$B$11,MIN(5,MATCH(MAX(Reference!$A$6,MIN(Reference!$A$11,MIN(D283,150))),Reference!$A$6:$A$11,1))+1)-INDEX(Reference!$B$6:$B$11,MIN(5,MATCH(MAX(Reference!$A$6,MIN(Reference!$A$11,MIN(D283,150))),Reference!$A$6:$A$11,1))))/(INDEX(Reference!$A$6:$A$11,MIN(5,MATCH(MAX(Reference!$A$6,MIN(Reference!$A$11,MIN(D283,150))),Reference!$A$6:$A$11,1))+1)-INDEX(Reference!$A$6:$A$11,MIN(5,MATCH(MAX(Reference!$A$6,MIN(Reference!$A$11,MIN(D283,150))),Reference!$A$6:$A$11,1))))),0)+IF(4&lt;=AE283,(AE283-4+3)*(INDEX(Reference!$B$6:$B$11,MIN(5,MATCH(MAX(Reference!$A$6,MIN(Reference!$A$11,MIN(D283,180))),Reference!$A$6:$A$11,1)))+(MAX(Reference!$A$6,MIN(Reference!$A$11,MIN(D283,180)))-INDEX(Reference!$A$6:$A$11,MIN(5,MATCH(MAX(Reference!$A$6,MIN(Reference!$A$11,MIN(D283,180))),Reference!$A$6:$A$11,1))))*(INDEX(Reference!$B$6:$B$11,MIN(5,MATCH(MAX(Reference!$A$6,MIN(Reference!$A$11,MIN(D283,180))),Reference!$A$6:$A$11,1))+1)-INDEX(Reference!$B$6:$B$11,MIN(5,MATCH(MAX(Reference!$A$6,MIN(Reference!$A$11,MIN(D283,180))),Reference!$A$6:$A$11,1))))/(INDEX(Reference!$A$6:$A$11,MIN(5,MATCH(MAX(Reference!$A$6,MIN(Reference!$A$11,MIN(D283,180))),Reference!$A$6:$A$11,1))+1)-INDEX(Reference!$A$6:$A$11,MIN(5,MATCH(MAX(Reference!$A$6,MIN(Reference!$A$11,MIN(D283,180))),Reference!$A$6:$A$11,1))))),0)+IF(5&lt;=AE283,(AE283-5+3)*(INDEX(Reference!$B$6:$B$11,MIN(5,MATCH(MAX(Reference!$A$6,MIN(Reference!$A$11,MIN(D283,210))),Reference!$A$6:$A$11,1)))+(MAX(Reference!$A$6,MIN(Reference!$A$11,MIN(D283,210)))-INDEX(Reference!$A$6:$A$11,MIN(5,MATCH(MAX(Reference!$A$6,MIN(Reference!$A$11,MIN(D283,210))),Reference!$A$6:$A$11,1))))*(INDEX(Reference!$B$6:$B$11,MIN(5,MATCH(MAX(Reference!$A$6,MIN(Reference!$A$11,MIN(D283,210))),Reference!$A$6:$A$11,1))+1)-INDEX(Reference!$B$6:$B$11,MIN(5,MATCH(MAX(Reference!$A$6,MIN(Reference!$A$11,MIN(D283,210))),Reference!$A$6:$A$11,1))))/(INDEX(Reference!$A$6:$A$11,MIN(5,MATCH(MAX(Reference!$A$6,MIN(Reference!$A$11,MIN(D283,210))),Reference!$A$6:$A$11,1))+1)-INDEX(Reference!$A$6:$A$11,MIN(5,MATCH(MAX(Reference!$A$6,MIN(Reference!$A$11,MIN(D283,210))),Reference!$A$6:$A$11,1))))),0)+IF(6&lt;=AE283,(AE283-6+3)*(INDEX(Reference!$B$6:$B$11,MIN(5,MATCH(MAX(Reference!$A$6,MIN(Reference!$A$11,MIN(D283,240))),Reference!$A$6:$A$11,1)))+(MAX(Reference!$A$6,MIN(Reference!$A$11,MIN(D283,240)))-INDEX(Reference!$A$6:$A$11,MIN(5,MATCH(MAX(Reference!$A$6,MIN(Reference!$A$11,MIN(D283,240))),Reference!$A$6:$A$11,1))))*(INDEX(Reference!$B$6:$B$11,MIN(5,MATCH(MAX(Reference!$A$6,MIN(Reference!$A$11,MIN(D283,240))),Reference!$A$6:$A$11,1))+1)-INDEX(Reference!$B$6:$B$11,MIN(5,MATCH(MAX(Reference!$A$6,MIN(Reference!$A$11,MIN(D283,240))),Reference!$A$6:$A$11,1))))/(INDEX(Reference!$A$6:$A$11,MIN(5,MATCH(MAX(Reference!$A$6,MIN(Reference!$A$11,MIN(D283,240))),Reference!$A$6:$A$11,1))+1)-INDEX(Reference!$A$6:$A$11,MIN(5,MATCH(MAX(Reference!$A$6,MIN(Reference!$A$11,MIN(D283,240))),Reference!$A$6:$A$11,1))))),0)+IF(7&lt;=AE283,(AE283-7+3)*(INDEX(Reference!$B$6:$B$11,MIN(5,MATCH(MAX(Reference!$A$6,MIN(Reference!$A$11,MIN(D283,270))),Reference!$A$6:$A$11,1)))+(MAX(Reference!$A$6,MIN(Reference!$A$11,MIN(D283,270)))-INDEX(Reference!$A$6:$A$11,MIN(5,MATCH(MAX(Reference!$A$6,MIN(Reference!$A$11,MIN(D283,270))),Reference!$A$6:$A$11,1))))*(INDEX(Reference!$B$6:$B$11,MIN(5,MATCH(MAX(Reference!$A$6,MIN(Reference!$A$11,MIN(D283,270))),Reference!$A$6:$A$11,1))+1)-INDEX(Reference!$B$6:$B$11,MIN(5,MATCH(MAX(Reference!$A$6,MIN(Reference!$A$11,MIN(D283,270))),Reference!$A$6:$A$11,1))))/(INDEX(Reference!$A$6:$A$11,MIN(5,MATCH(MAX(Reference!$A$6,MIN(Reference!$A$11,MIN(D283,270))),Reference!$A$6:$A$11,1))+1)-INDEX(Reference!$A$6:$A$11,MIN(5,MATCH(MAX(Reference!$A$6,MIN(Reference!$A$11,MIN(D283,270))),Reference!$A$6:$A$11,1))))),0)+IF(8&lt;=AE283,(AE283-8+3)*(INDEX(Reference!$B$6:$B$11,MIN(5,MATCH(MAX(Reference!$A$6,MIN(Reference!$A$11,MIN(D283,300))),Reference!$A$6:$A$11,1)))+(MAX(Reference!$A$6,MIN(Reference!$A$11,MIN(D283,300)))-INDEX(Reference!$A$6:$A$11,MIN(5,MATCH(MAX(Reference!$A$6,MIN(Reference!$A$11,MIN(D283,300))),Reference!$A$6:$A$11,1))))*(INDEX(Reference!$B$6:$B$11,MIN(5,MATCH(MAX(Reference!$A$6,MIN(Reference!$A$11,MIN(D283,300))),Reference!$A$6:$A$11,1))+1)-INDEX(Reference!$B$6:$B$11,MIN(5,MATCH(MAX(Reference!$A$6,MIN(Reference!$A$11,MIN(D283,300))),Reference!$A$6:$A$11,1))))/(INDEX(Reference!$A$6:$A$11,MIN(5,MATCH(MAX(Reference!$A$6,MIN(Reference!$A$11,MIN(D283,300))),Reference!$A$6:$A$11,1))+1)-INDEX(Reference!$A$6:$A$11,MIN(5,MATCH(MAX(Reference!$A$6,MIN(Reference!$A$11,MIN(D283,300))),Reference!$A$6:$A$11,1))))),0))/(AE283*(AE283+5)/2)),(INDEX(Reference!$B$6:$B$11,MIN(5,MATCH(MAX(Reference!$A$6,MIN(Reference!$A$11,D283)),Reference!$A$6:$A$11,1)))+(MAX(Reference!$A$6,MIN(Reference!$A$11,D283))-INDEX(Reference!$A$6:$A$11,MIN(5,MATCH(MAX(Reference!$A$6,MIN(Reference!$A$11,D283)),Reference!$A$6:$A$11,1))))*(INDEX(Reference!$B$6:$B$11,MIN(5,MATCH(MAX(Reference!$A$6,MIN(Reference!$A$11,D283)),Reference!$A$6:$A$11,1))+1)-INDEX(Reference!$B$6:$B$11,MIN(5,MATCH(MAX(Reference!$A$6,MIN(Reference!$A$11,D283)),Reference!$A$6:$A$11,1))))/(INDEX(Reference!$A$6:$A$11,MIN(5,MATCH(MAX(Reference!$A$6,MIN(Reference!$A$11,D283)),Reference!$A$6:$A$11,1))+1)-INDEX(Reference!$A$6:$A$11,MIN(5,MATCH(MAX(Reference!$A$6,MIN(Reference!$A$11,D283)),Reference!$A$6:$A$11,1))))))))</f>
        <v/>
      </c>
      <c r="P283" s="32" t="str">
        <f>IF(N283="","",VLOOKUP(MAX(N283,0),Reference!$A$17:$B$20,2,TRUE()))</f>
        <v/>
      </c>
      <c r="Q283" s="32" t="str">
        <f t="shared" si="39"/>
        <v/>
      </c>
      <c r="R283" s="31"/>
      <c r="S283" s="31"/>
      <c r="T283" s="31"/>
      <c r="U283" s="32" t="str">
        <f t="shared" si="40"/>
        <v/>
      </c>
      <c r="V283" s="32" t="str">
        <f t="shared" si="41"/>
        <v/>
      </c>
      <c r="W283" s="32" t="str">
        <f>IF(V283="","",VLOOKUP(MAX(V283,0),Reference!$A$17:$B$20,2,TRUE()))</f>
        <v/>
      </c>
      <c r="X283" s="31"/>
      <c r="Y283" s="31"/>
      <c r="Z283" s="31"/>
      <c r="AA283" s="32" t="str">
        <f t="shared" si="42"/>
        <v/>
      </c>
      <c r="AB283" s="32" t="str">
        <f t="shared" si="43"/>
        <v/>
      </c>
      <c r="AC283" s="32" t="str">
        <f>IF(AB283="","",VLOOKUP(MAX(AB283,0),Reference!$A$17:$B$20,2,TRUE()))</f>
        <v/>
      </c>
      <c r="AD283" s="31"/>
      <c r="AE283">
        <f t="shared" si="44"/>
        <v>1</v>
      </c>
      <c r="AF283" s="33" t="str">
        <f>IF(OR(A283="",B283="",AND(C283&lt;&gt;"Bullpen",C283&lt;&gt;"Game")),"",IF((COUNTIFS($B$5:$B$300,B283,$A$5:$A$300,A283-1,$C$5:$C$300,"Bullpen",$AG$5:$AG$300,"&gt;0") + COUNTIFS($B$5:$B$300,B283,$A$5:$A$300,A283-1,$C$5:$C$300,"Game",$AG$5:$AG$300,"&gt;0"))&gt;0,Reference!$B$119,IF((COUNTIFS($B$5:$B$300,B283,$A$5:$A$300,A283-2,$C$5:$C$300,"Bullpen",$AG$5:$AG$300,"&gt;0") + COUNTIFS($B$5:$B$300,B283,$A$5:$A$300,A283-2,$C$5:$C$300,"Game",$AG$5:$AG$300,"&gt;0"))&gt;0,Reference!$B$120,1)))</f>
        <v/>
      </c>
      <c r="AG283" s="30" t="str">
        <f>IF(AND(OR(I283="",O283="",P283=""),OR(R283="",W283=""),OR(X283="",AC283="")),"",IF(OR(I283="",O283="",P283=""),0,I283*O283*P283)+IF(OR(R283="",W283=""),0,R283*IFERROR(INDEX(Reference!$B$61:$B$62,MATCH("Bullpen",Reference!$A$61:$A$62,0)),0)*W283)+IF(OR(X283="",AC283=""),0,X283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283))</f>
        <v/>
      </c>
    </row>
    <row r="284" spans="1:33" x14ac:dyDescent="0.3">
      <c r="A284" s="35"/>
      <c r="B284" s="31"/>
      <c r="C284" s="31"/>
      <c r="D284" s="31"/>
      <c r="E284" s="34"/>
      <c r="F284" s="34"/>
      <c r="G284" s="30" t="str">
        <f t="shared" si="36"/>
        <v/>
      </c>
      <c r="H284" s="31"/>
      <c r="I284" s="32" t="str">
        <f>IF(H284&lt;&gt;"",H284,IF(G284="","",ROUND(G284*IFERROR(INDEX(Reference!$B$44:$B$50,MATCH(C284,Reference!$A$44:$A$50,0)),0),0)))</f>
        <v/>
      </c>
      <c r="J284" s="31"/>
      <c r="K284" s="31"/>
      <c r="L284" s="32" t="str">
        <f t="shared" si="37"/>
        <v/>
      </c>
      <c r="M284" s="32" t="str">
        <f>IFERROR(INDEX(Roster!$D$5:$D$40,MATCH(B284,Roster!$A$5:$A$40,0)),"")</f>
        <v/>
      </c>
      <c r="N284" s="32" t="str">
        <f t="shared" si="38"/>
        <v/>
      </c>
      <c r="O284" s="32" t="str">
        <f>IF(OR(C284="Bullpen",C284="Game"),IFERROR(INDEX(Reference!$B$61:$B$62,MATCH(C284,Reference!$A$61:$A$62,0)),""),IF(D284="","",IF(AE284&gt;1,((IF(1&lt;=AE284,(AE284-1+3)*(INDEX(Reference!$B$6:$B$11,MIN(5,MATCH(MAX(Reference!$A$6,MIN(Reference!$A$11,MIN(D284,90))),Reference!$A$6:$A$11,1)))+(MAX(Reference!$A$6,MIN(Reference!$A$11,MIN(D284,90)))-INDEX(Reference!$A$6:$A$11,MIN(5,MATCH(MAX(Reference!$A$6,MIN(Reference!$A$11,MIN(D284,90))),Reference!$A$6:$A$11,1))))*(INDEX(Reference!$B$6:$B$11,MIN(5,MATCH(MAX(Reference!$A$6,MIN(Reference!$A$11,MIN(D284,90))),Reference!$A$6:$A$11,1))+1)-INDEX(Reference!$B$6:$B$11,MIN(5,MATCH(MAX(Reference!$A$6,MIN(Reference!$A$11,MIN(D284,90))),Reference!$A$6:$A$11,1))))/(INDEX(Reference!$A$6:$A$11,MIN(5,MATCH(MAX(Reference!$A$6,MIN(Reference!$A$11,MIN(D284,90))),Reference!$A$6:$A$11,1))+1)-INDEX(Reference!$A$6:$A$11,MIN(5,MATCH(MAX(Reference!$A$6,MIN(Reference!$A$11,MIN(D284,90))),Reference!$A$6:$A$11,1))))),0)+IF(2&lt;=AE284,(AE284-2+3)*(INDEX(Reference!$B$6:$B$11,MIN(5,MATCH(MAX(Reference!$A$6,MIN(Reference!$A$11,MIN(D284,120))),Reference!$A$6:$A$11,1)))+(MAX(Reference!$A$6,MIN(Reference!$A$11,MIN(D284,120)))-INDEX(Reference!$A$6:$A$11,MIN(5,MATCH(MAX(Reference!$A$6,MIN(Reference!$A$11,MIN(D284,120))),Reference!$A$6:$A$11,1))))*(INDEX(Reference!$B$6:$B$11,MIN(5,MATCH(MAX(Reference!$A$6,MIN(Reference!$A$11,MIN(D284,120))),Reference!$A$6:$A$11,1))+1)-INDEX(Reference!$B$6:$B$11,MIN(5,MATCH(MAX(Reference!$A$6,MIN(Reference!$A$11,MIN(D284,120))),Reference!$A$6:$A$11,1))))/(INDEX(Reference!$A$6:$A$11,MIN(5,MATCH(MAX(Reference!$A$6,MIN(Reference!$A$11,MIN(D284,120))),Reference!$A$6:$A$11,1))+1)-INDEX(Reference!$A$6:$A$11,MIN(5,MATCH(MAX(Reference!$A$6,MIN(Reference!$A$11,MIN(D284,120))),Reference!$A$6:$A$11,1))))),0)+IF(3&lt;=AE284,(AE284-3+3)*(INDEX(Reference!$B$6:$B$11,MIN(5,MATCH(MAX(Reference!$A$6,MIN(Reference!$A$11,MIN(D284,150))),Reference!$A$6:$A$11,1)))+(MAX(Reference!$A$6,MIN(Reference!$A$11,MIN(D284,150)))-INDEX(Reference!$A$6:$A$11,MIN(5,MATCH(MAX(Reference!$A$6,MIN(Reference!$A$11,MIN(D284,150))),Reference!$A$6:$A$11,1))))*(INDEX(Reference!$B$6:$B$11,MIN(5,MATCH(MAX(Reference!$A$6,MIN(Reference!$A$11,MIN(D284,150))),Reference!$A$6:$A$11,1))+1)-INDEX(Reference!$B$6:$B$11,MIN(5,MATCH(MAX(Reference!$A$6,MIN(Reference!$A$11,MIN(D284,150))),Reference!$A$6:$A$11,1))))/(INDEX(Reference!$A$6:$A$11,MIN(5,MATCH(MAX(Reference!$A$6,MIN(Reference!$A$11,MIN(D284,150))),Reference!$A$6:$A$11,1))+1)-INDEX(Reference!$A$6:$A$11,MIN(5,MATCH(MAX(Reference!$A$6,MIN(Reference!$A$11,MIN(D284,150))),Reference!$A$6:$A$11,1))))),0)+IF(4&lt;=AE284,(AE284-4+3)*(INDEX(Reference!$B$6:$B$11,MIN(5,MATCH(MAX(Reference!$A$6,MIN(Reference!$A$11,MIN(D284,180))),Reference!$A$6:$A$11,1)))+(MAX(Reference!$A$6,MIN(Reference!$A$11,MIN(D284,180)))-INDEX(Reference!$A$6:$A$11,MIN(5,MATCH(MAX(Reference!$A$6,MIN(Reference!$A$11,MIN(D284,180))),Reference!$A$6:$A$11,1))))*(INDEX(Reference!$B$6:$B$11,MIN(5,MATCH(MAX(Reference!$A$6,MIN(Reference!$A$11,MIN(D284,180))),Reference!$A$6:$A$11,1))+1)-INDEX(Reference!$B$6:$B$11,MIN(5,MATCH(MAX(Reference!$A$6,MIN(Reference!$A$11,MIN(D284,180))),Reference!$A$6:$A$11,1))))/(INDEX(Reference!$A$6:$A$11,MIN(5,MATCH(MAX(Reference!$A$6,MIN(Reference!$A$11,MIN(D284,180))),Reference!$A$6:$A$11,1))+1)-INDEX(Reference!$A$6:$A$11,MIN(5,MATCH(MAX(Reference!$A$6,MIN(Reference!$A$11,MIN(D284,180))),Reference!$A$6:$A$11,1))))),0)+IF(5&lt;=AE284,(AE284-5+3)*(INDEX(Reference!$B$6:$B$11,MIN(5,MATCH(MAX(Reference!$A$6,MIN(Reference!$A$11,MIN(D284,210))),Reference!$A$6:$A$11,1)))+(MAX(Reference!$A$6,MIN(Reference!$A$11,MIN(D284,210)))-INDEX(Reference!$A$6:$A$11,MIN(5,MATCH(MAX(Reference!$A$6,MIN(Reference!$A$11,MIN(D284,210))),Reference!$A$6:$A$11,1))))*(INDEX(Reference!$B$6:$B$11,MIN(5,MATCH(MAX(Reference!$A$6,MIN(Reference!$A$11,MIN(D284,210))),Reference!$A$6:$A$11,1))+1)-INDEX(Reference!$B$6:$B$11,MIN(5,MATCH(MAX(Reference!$A$6,MIN(Reference!$A$11,MIN(D284,210))),Reference!$A$6:$A$11,1))))/(INDEX(Reference!$A$6:$A$11,MIN(5,MATCH(MAX(Reference!$A$6,MIN(Reference!$A$11,MIN(D284,210))),Reference!$A$6:$A$11,1))+1)-INDEX(Reference!$A$6:$A$11,MIN(5,MATCH(MAX(Reference!$A$6,MIN(Reference!$A$11,MIN(D284,210))),Reference!$A$6:$A$11,1))))),0)+IF(6&lt;=AE284,(AE284-6+3)*(INDEX(Reference!$B$6:$B$11,MIN(5,MATCH(MAX(Reference!$A$6,MIN(Reference!$A$11,MIN(D284,240))),Reference!$A$6:$A$11,1)))+(MAX(Reference!$A$6,MIN(Reference!$A$11,MIN(D284,240)))-INDEX(Reference!$A$6:$A$11,MIN(5,MATCH(MAX(Reference!$A$6,MIN(Reference!$A$11,MIN(D284,240))),Reference!$A$6:$A$11,1))))*(INDEX(Reference!$B$6:$B$11,MIN(5,MATCH(MAX(Reference!$A$6,MIN(Reference!$A$11,MIN(D284,240))),Reference!$A$6:$A$11,1))+1)-INDEX(Reference!$B$6:$B$11,MIN(5,MATCH(MAX(Reference!$A$6,MIN(Reference!$A$11,MIN(D284,240))),Reference!$A$6:$A$11,1))))/(INDEX(Reference!$A$6:$A$11,MIN(5,MATCH(MAX(Reference!$A$6,MIN(Reference!$A$11,MIN(D284,240))),Reference!$A$6:$A$11,1))+1)-INDEX(Reference!$A$6:$A$11,MIN(5,MATCH(MAX(Reference!$A$6,MIN(Reference!$A$11,MIN(D284,240))),Reference!$A$6:$A$11,1))))),0)+IF(7&lt;=AE284,(AE284-7+3)*(INDEX(Reference!$B$6:$B$11,MIN(5,MATCH(MAX(Reference!$A$6,MIN(Reference!$A$11,MIN(D284,270))),Reference!$A$6:$A$11,1)))+(MAX(Reference!$A$6,MIN(Reference!$A$11,MIN(D284,270)))-INDEX(Reference!$A$6:$A$11,MIN(5,MATCH(MAX(Reference!$A$6,MIN(Reference!$A$11,MIN(D284,270))),Reference!$A$6:$A$11,1))))*(INDEX(Reference!$B$6:$B$11,MIN(5,MATCH(MAX(Reference!$A$6,MIN(Reference!$A$11,MIN(D284,270))),Reference!$A$6:$A$11,1))+1)-INDEX(Reference!$B$6:$B$11,MIN(5,MATCH(MAX(Reference!$A$6,MIN(Reference!$A$11,MIN(D284,270))),Reference!$A$6:$A$11,1))))/(INDEX(Reference!$A$6:$A$11,MIN(5,MATCH(MAX(Reference!$A$6,MIN(Reference!$A$11,MIN(D284,270))),Reference!$A$6:$A$11,1))+1)-INDEX(Reference!$A$6:$A$11,MIN(5,MATCH(MAX(Reference!$A$6,MIN(Reference!$A$11,MIN(D284,270))),Reference!$A$6:$A$11,1))))),0)+IF(8&lt;=AE284,(AE284-8+3)*(INDEX(Reference!$B$6:$B$11,MIN(5,MATCH(MAX(Reference!$A$6,MIN(Reference!$A$11,MIN(D284,300))),Reference!$A$6:$A$11,1)))+(MAX(Reference!$A$6,MIN(Reference!$A$11,MIN(D284,300)))-INDEX(Reference!$A$6:$A$11,MIN(5,MATCH(MAX(Reference!$A$6,MIN(Reference!$A$11,MIN(D284,300))),Reference!$A$6:$A$11,1))))*(INDEX(Reference!$B$6:$B$11,MIN(5,MATCH(MAX(Reference!$A$6,MIN(Reference!$A$11,MIN(D284,300))),Reference!$A$6:$A$11,1))+1)-INDEX(Reference!$B$6:$B$11,MIN(5,MATCH(MAX(Reference!$A$6,MIN(Reference!$A$11,MIN(D284,300))),Reference!$A$6:$A$11,1))))/(INDEX(Reference!$A$6:$A$11,MIN(5,MATCH(MAX(Reference!$A$6,MIN(Reference!$A$11,MIN(D284,300))),Reference!$A$6:$A$11,1))+1)-INDEX(Reference!$A$6:$A$11,MIN(5,MATCH(MAX(Reference!$A$6,MIN(Reference!$A$11,MIN(D284,300))),Reference!$A$6:$A$11,1))))),0))/(AE284*(AE284+5)/2)),(INDEX(Reference!$B$6:$B$11,MIN(5,MATCH(MAX(Reference!$A$6,MIN(Reference!$A$11,D284)),Reference!$A$6:$A$11,1)))+(MAX(Reference!$A$6,MIN(Reference!$A$11,D284))-INDEX(Reference!$A$6:$A$11,MIN(5,MATCH(MAX(Reference!$A$6,MIN(Reference!$A$11,D284)),Reference!$A$6:$A$11,1))))*(INDEX(Reference!$B$6:$B$11,MIN(5,MATCH(MAX(Reference!$A$6,MIN(Reference!$A$11,D284)),Reference!$A$6:$A$11,1))+1)-INDEX(Reference!$B$6:$B$11,MIN(5,MATCH(MAX(Reference!$A$6,MIN(Reference!$A$11,D284)),Reference!$A$6:$A$11,1))))/(INDEX(Reference!$A$6:$A$11,MIN(5,MATCH(MAX(Reference!$A$6,MIN(Reference!$A$11,D284)),Reference!$A$6:$A$11,1))+1)-INDEX(Reference!$A$6:$A$11,MIN(5,MATCH(MAX(Reference!$A$6,MIN(Reference!$A$11,D284)),Reference!$A$6:$A$11,1))))))))</f>
        <v/>
      </c>
      <c r="P284" s="32" t="str">
        <f>IF(N284="","",VLOOKUP(MAX(N284,0),Reference!$A$17:$B$20,2,TRUE()))</f>
        <v/>
      </c>
      <c r="Q284" s="32" t="str">
        <f t="shared" si="39"/>
        <v/>
      </c>
      <c r="R284" s="31"/>
      <c r="S284" s="31"/>
      <c r="T284" s="31"/>
      <c r="U284" s="32" t="str">
        <f t="shared" si="40"/>
        <v/>
      </c>
      <c r="V284" s="32" t="str">
        <f t="shared" si="41"/>
        <v/>
      </c>
      <c r="W284" s="32" t="str">
        <f>IF(V284="","",VLOOKUP(MAX(V284,0),Reference!$A$17:$B$20,2,TRUE()))</f>
        <v/>
      </c>
      <c r="X284" s="31"/>
      <c r="Y284" s="31"/>
      <c r="Z284" s="31"/>
      <c r="AA284" s="32" t="str">
        <f t="shared" si="42"/>
        <v/>
      </c>
      <c r="AB284" s="32" t="str">
        <f t="shared" si="43"/>
        <v/>
      </c>
      <c r="AC284" s="32" t="str">
        <f>IF(AB284="","",VLOOKUP(MAX(AB284,0),Reference!$A$17:$B$20,2,TRUE()))</f>
        <v/>
      </c>
      <c r="AD284" s="31"/>
      <c r="AE284">
        <f t="shared" si="44"/>
        <v>1</v>
      </c>
      <c r="AF284" s="33" t="str">
        <f>IF(OR(A284="",B284="",AND(C284&lt;&gt;"Bullpen",C284&lt;&gt;"Game")),"",IF((COUNTIFS($B$5:$B$300,B284,$A$5:$A$300,A284-1,$C$5:$C$300,"Bullpen",$AG$5:$AG$300,"&gt;0") + COUNTIFS($B$5:$B$300,B284,$A$5:$A$300,A284-1,$C$5:$C$300,"Game",$AG$5:$AG$300,"&gt;0"))&gt;0,Reference!$B$119,IF((COUNTIFS($B$5:$B$300,B284,$A$5:$A$300,A284-2,$C$5:$C$300,"Bullpen",$AG$5:$AG$300,"&gt;0") + COUNTIFS($B$5:$B$300,B284,$A$5:$A$300,A284-2,$C$5:$C$300,"Game",$AG$5:$AG$300,"&gt;0"))&gt;0,Reference!$B$120,1)))</f>
        <v/>
      </c>
      <c r="AG284" s="30" t="str">
        <f>IF(AND(OR(I284="",O284="",P284=""),OR(R284="",W284=""),OR(X284="",AC284="")),"",IF(OR(I284="",O284="",P284=""),0,I284*O284*P284)+IF(OR(R284="",W284=""),0,R284*IFERROR(INDEX(Reference!$B$61:$B$62,MATCH("Bullpen",Reference!$A$61:$A$62,0)),0)*W284)+IF(OR(X284="",AC284=""),0,X284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284))</f>
        <v/>
      </c>
    </row>
    <row r="285" spans="1:33" x14ac:dyDescent="0.3">
      <c r="A285" s="35"/>
      <c r="B285" s="31"/>
      <c r="C285" s="31"/>
      <c r="D285" s="31"/>
      <c r="E285" s="34"/>
      <c r="F285" s="34"/>
      <c r="G285" s="30" t="str">
        <f t="shared" si="36"/>
        <v/>
      </c>
      <c r="H285" s="31"/>
      <c r="I285" s="32" t="str">
        <f>IF(H285&lt;&gt;"",H285,IF(G285="","",ROUND(G285*IFERROR(INDEX(Reference!$B$44:$B$50,MATCH(C285,Reference!$A$44:$A$50,0)),0),0)))</f>
        <v/>
      </c>
      <c r="J285" s="31"/>
      <c r="K285" s="31"/>
      <c r="L285" s="32" t="str">
        <f t="shared" si="37"/>
        <v/>
      </c>
      <c r="M285" s="32" t="str">
        <f>IFERROR(INDEX(Roster!$D$5:$D$40,MATCH(B285,Roster!$A$5:$A$40,0)),"")</f>
        <v/>
      </c>
      <c r="N285" s="32" t="str">
        <f t="shared" si="38"/>
        <v/>
      </c>
      <c r="O285" s="32" t="str">
        <f>IF(OR(C285="Bullpen",C285="Game"),IFERROR(INDEX(Reference!$B$61:$B$62,MATCH(C285,Reference!$A$61:$A$62,0)),""),IF(D285="","",IF(AE285&gt;1,((IF(1&lt;=AE285,(AE285-1+3)*(INDEX(Reference!$B$6:$B$11,MIN(5,MATCH(MAX(Reference!$A$6,MIN(Reference!$A$11,MIN(D285,90))),Reference!$A$6:$A$11,1)))+(MAX(Reference!$A$6,MIN(Reference!$A$11,MIN(D285,90)))-INDEX(Reference!$A$6:$A$11,MIN(5,MATCH(MAX(Reference!$A$6,MIN(Reference!$A$11,MIN(D285,90))),Reference!$A$6:$A$11,1))))*(INDEX(Reference!$B$6:$B$11,MIN(5,MATCH(MAX(Reference!$A$6,MIN(Reference!$A$11,MIN(D285,90))),Reference!$A$6:$A$11,1))+1)-INDEX(Reference!$B$6:$B$11,MIN(5,MATCH(MAX(Reference!$A$6,MIN(Reference!$A$11,MIN(D285,90))),Reference!$A$6:$A$11,1))))/(INDEX(Reference!$A$6:$A$11,MIN(5,MATCH(MAX(Reference!$A$6,MIN(Reference!$A$11,MIN(D285,90))),Reference!$A$6:$A$11,1))+1)-INDEX(Reference!$A$6:$A$11,MIN(5,MATCH(MAX(Reference!$A$6,MIN(Reference!$A$11,MIN(D285,90))),Reference!$A$6:$A$11,1))))),0)+IF(2&lt;=AE285,(AE285-2+3)*(INDEX(Reference!$B$6:$B$11,MIN(5,MATCH(MAX(Reference!$A$6,MIN(Reference!$A$11,MIN(D285,120))),Reference!$A$6:$A$11,1)))+(MAX(Reference!$A$6,MIN(Reference!$A$11,MIN(D285,120)))-INDEX(Reference!$A$6:$A$11,MIN(5,MATCH(MAX(Reference!$A$6,MIN(Reference!$A$11,MIN(D285,120))),Reference!$A$6:$A$11,1))))*(INDEX(Reference!$B$6:$B$11,MIN(5,MATCH(MAX(Reference!$A$6,MIN(Reference!$A$11,MIN(D285,120))),Reference!$A$6:$A$11,1))+1)-INDEX(Reference!$B$6:$B$11,MIN(5,MATCH(MAX(Reference!$A$6,MIN(Reference!$A$11,MIN(D285,120))),Reference!$A$6:$A$11,1))))/(INDEX(Reference!$A$6:$A$11,MIN(5,MATCH(MAX(Reference!$A$6,MIN(Reference!$A$11,MIN(D285,120))),Reference!$A$6:$A$11,1))+1)-INDEX(Reference!$A$6:$A$11,MIN(5,MATCH(MAX(Reference!$A$6,MIN(Reference!$A$11,MIN(D285,120))),Reference!$A$6:$A$11,1))))),0)+IF(3&lt;=AE285,(AE285-3+3)*(INDEX(Reference!$B$6:$B$11,MIN(5,MATCH(MAX(Reference!$A$6,MIN(Reference!$A$11,MIN(D285,150))),Reference!$A$6:$A$11,1)))+(MAX(Reference!$A$6,MIN(Reference!$A$11,MIN(D285,150)))-INDEX(Reference!$A$6:$A$11,MIN(5,MATCH(MAX(Reference!$A$6,MIN(Reference!$A$11,MIN(D285,150))),Reference!$A$6:$A$11,1))))*(INDEX(Reference!$B$6:$B$11,MIN(5,MATCH(MAX(Reference!$A$6,MIN(Reference!$A$11,MIN(D285,150))),Reference!$A$6:$A$11,1))+1)-INDEX(Reference!$B$6:$B$11,MIN(5,MATCH(MAX(Reference!$A$6,MIN(Reference!$A$11,MIN(D285,150))),Reference!$A$6:$A$11,1))))/(INDEX(Reference!$A$6:$A$11,MIN(5,MATCH(MAX(Reference!$A$6,MIN(Reference!$A$11,MIN(D285,150))),Reference!$A$6:$A$11,1))+1)-INDEX(Reference!$A$6:$A$11,MIN(5,MATCH(MAX(Reference!$A$6,MIN(Reference!$A$11,MIN(D285,150))),Reference!$A$6:$A$11,1))))),0)+IF(4&lt;=AE285,(AE285-4+3)*(INDEX(Reference!$B$6:$B$11,MIN(5,MATCH(MAX(Reference!$A$6,MIN(Reference!$A$11,MIN(D285,180))),Reference!$A$6:$A$11,1)))+(MAX(Reference!$A$6,MIN(Reference!$A$11,MIN(D285,180)))-INDEX(Reference!$A$6:$A$11,MIN(5,MATCH(MAX(Reference!$A$6,MIN(Reference!$A$11,MIN(D285,180))),Reference!$A$6:$A$11,1))))*(INDEX(Reference!$B$6:$B$11,MIN(5,MATCH(MAX(Reference!$A$6,MIN(Reference!$A$11,MIN(D285,180))),Reference!$A$6:$A$11,1))+1)-INDEX(Reference!$B$6:$B$11,MIN(5,MATCH(MAX(Reference!$A$6,MIN(Reference!$A$11,MIN(D285,180))),Reference!$A$6:$A$11,1))))/(INDEX(Reference!$A$6:$A$11,MIN(5,MATCH(MAX(Reference!$A$6,MIN(Reference!$A$11,MIN(D285,180))),Reference!$A$6:$A$11,1))+1)-INDEX(Reference!$A$6:$A$11,MIN(5,MATCH(MAX(Reference!$A$6,MIN(Reference!$A$11,MIN(D285,180))),Reference!$A$6:$A$11,1))))),0)+IF(5&lt;=AE285,(AE285-5+3)*(INDEX(Reference!$B$6:$B$11,MIN(5,MATCH(MAX(Reference!$A$6,MIN(Reference!$A$11,MIN(D285,210))),Reference!$A$6:$A$11,1)))+(MAX(Reference!$A$6,MIN(Reference!$A$11,MIN(D285,210)))-INDEX(Reference!$A$6:$A$11,MIN(5,MATCH(MAX(Reference!$A$6,MIN(Reference!$A$11,MIN(D285,210))),Reference!$A$6:$A$11,1))))*(INDEX(Reference!$B$6:$B$11,MIN(5,MATCH(MAX(Reference!$A$6,MIN(Reference!$A$11,MIN(D285,210))),Reference!$A$6:$A$11,1))+1)-INDEX(Reference!$B$6:$B$11,MIN(5,MATCH(MAX(Reference!$A$6,MIN(Reference!$A$11,MIN(D285,210))),Reference!$A$6:$A$11,1))))/(INDEX(Reference!$A$6:$A$11,MIN(5,MATCH(MAX(Reference!$A$6,MIN(Reference!$A$11,MIN(D285,210))),Reference!$A$6:$A$11,1))+1)-INDEX(Reference!$A$6:$A$11,MIN(5,MATCH(MAX(Reference!$A$6,MIN(Reference!$A$11,MIN(D285,210))),Reference!$A$6:$A$11,1))))),0)+IF(6&lt;=AE285,(AE285-6+3)*(INDEX(Reference!$B$6:$B$11,MIN(5,MATCH(MAX(Reference!$A$6,MIN(Reference!$A$11,MIN(D285,240))),Reference!$A$6:$A$11,1)))+(MAX(Reference!$A$6,MIN(Reference!$A$11,MIN(D285,240)))-INDEX(Reference!$A$6:$A$11,MIN(5,MATCH(MAX(Reference!$A$6,MIN(Reference!$A$11,MIN(D285,240))),Reference!$A$6:$A$11,1))))*(INDEX(Reference!$B$6:$B$11,MIN(5,MATCH(MAX(Reference!$A$6,MIN(Reference!$A$11,MIN(D285,240))),Reference!$A$6:$A$11,1))+1)-INDEX(Reference!$B$6:$B$11,MIN(5,MATCH(MAX(Reference!$A$6,MIN(Reference!$A$11,MIN(D285,240))),Reference!$A$6:$A$11,1))))/(INDEX(Reference!$A$6:$A$11,MIN(5,MATCH(MAX(Reference!$A$6,MIN(Reference!$A$11,MIN(D285,240))),Reference!$A$6:$A$11,1))+1)-INDEX(Reference!$A$6:$A$11,MIN(5,MATCH(MAX(Reference!$A$6,MIN(Reference!$A$11,MIN(D285,240))),Reference!$A$6:$A$11,1))))),0)+IF(7&lt;=AE285,(AE285-7+3)*(INDEX(Reference!$B$6:$B$11,MIN(5,MATCH(MAX(Reference!$A$6,MIN(Reference!$A$11,MIN(D285,270))),Reference!$A$6:$A$11,1)))+(MAX(Reference!$A$6,MIN(Reference!$A$11,MIN(D285,270)))-INDEX(Reference!$A$6:$A$11,MIN(5,MATCH(MAX(Reference!$A$6,MIN(Reference!$A$11,MIN(D285,270))),Reference!$A$6:$A$11,1))))*(INDEX(Reference!$B$6:$B$11,MIN(5,MATCH(MAX(Reference!$A$6,MIN(Reference!$A$11,MIN(D285,270))),Reference!$A$6:$A$11,1))+1)-INDEX(Reference!$B$6:$B$11,MIN(5,MATCH(MAX(Reference!$A$6,MIN(Reference!$A$11,MIN(D285,270))),Reference!$A$6:$A$11,1))))/(INDEX(Reference!$A$6:$A$11,MIN(5,MATCH(MAX(Reference!$A$6,MIN(Reference!$A$11,MIN(D285,270))),Reference!$A$6:$A$11,1))+1)-INDEX(Reference!$A$6:$A$11,MIN(5,MATCH(MAX(Reference!$A$6,MIN(Reference!$A$11,MIN(D285,270))),Reference!$A$6:$A$11,1))))),0)+IF(8&lt;=AE285,(AE285-8+3)*(INDEX(Reference!$B$6:$B$11,MIN(5,MATCH(MAX(Reference!$A$6,MIN(Reference!$A$11,MIN(D285,300))),Reference!$A$6:$A$11,1)))+(MAX(Reference!$A$6,MIN(Reference!$A$11,MIN(D285,300)))-INDEX(Reference!$A$6:$A$11,MIN(5,MATCH(MAX(Reference!$A$6,MIN(Reference!$A$11,MIN(D285,300))),Reference!$A$6:$A$11,1))))*(INDEX(Reference!$B$6:$B$11,MIN(5,MATCH(MAX(Reference!$A$6,MIN(Reference!$A$11,MIN(D285,300))),Reference!$A$6:$A$11,1))+1)-INDEX(Reference!$B$6:$B$11,MIN(5,MATCH(MAX(Reference!$A$6,MIN(Reference!$A$11,MIN(D285,300))),Reference!$A$6:$A$11,1))))/(INDEX(Reference!$A$6:$A$11,MIN(5,MATCH(MAX(Reference!$A$6,MIN(Reference!$A$11,MIN(D285,300))),Reference!$A$6:$A$11,1))+1)-INDEX(Reference!$A$6:$A$11,MIN(5,MATCH(MAX(Reference!$A$6,MIN(Reference!$A$11,MIN(D285,300))),Reference!$A$6:$A$11,1))))),0))/(AE285*(AE285+5)/2)),(INDEX(Reference!$B$6:$B$11,MIN(5,MATCH(MAX(Reference!$A$6,MIN(Reference!$A$11,D285)),Reference!$A$6:$A$11,1)))+(MAX(Reference!$A$6,MIN(Reference!$A$11,D285))-INDEX(Reference!$A$6:$A$11,MIN(5,MATCH(MAX(Reference!$A$6,MIN(Reference!$A$11,D285)),Reference!$A$6:$A$11,1))))*(INDEX(Reference!$B$6:$B$11,MIN(5,MATCH(MAX(Reference!$A$6,MIN(Reference!$A$11,D285)),Reference!$A$6:$A$11,1))+1)-INDEX(Reference!$B$6:$B$11,MIN(5,MATCH(MAX(Reference!$A$6,MIN(Reference!$A$11,D285)),Reference!$A$6:$A$11,1))))/(INDEX(Reference!$A$6:$A$11,MIN(5,MATCH(MAX(Reference!$A$6,MIN(Reference!$A$11,D285)),Reference!$A$6:$A$11,1))+1)-INDEX(Reference!$A$6:$A$11,MIN(5,MATCH(MAX(Reference!$A$6,MIN(Reference!$A$11,D285)),Reference!$A$6:$A$11,1))))))))</f>
        <v/>
      </c>
      <c r="P285" s="32" t="str">
        <f>IF(N285="","",VLOOKUP(MAX(N285,0),Reference!$A$17:$B$20,2,TRUE()))</f>
        <v/>
      </c>
      <c r="Q285" s="32" t="str">
        <f t="shared" si="39"/>
        <v/>
      </c>
      <c r="R285" s="31"/>
      <c r="S285" s="31"/>
      <c r="T285" s="31"/>
      <c r="U285" s="32" t="str">
        <f t="shared" si="40"/>
        <v/>
      </c>
      <c r="V285" s="32" t="str">
        <f t="shared" si="41"/>
        <v/>
      </c>
      <c r="W285" s="32" t="str">
        <f>IF(V285="","",VLOOKUP(MAX(V285,0),Reference!$A$17:$B$20,2,TRUE()))</f>
        <v/>
      </c>
      <c r="X285" s="31"/>
      <c r="Y285" s="31"/>
      <c r="Z285" s="31"/>
      <c r="AA285" s="32" t="str">
        <f t="shared" si="42"/>
        <v/>
      </c>
      <c r="AB285" s="32" t="str">
        <f t="shared" si="43"/>
        <v/>
      </c>
      <c r="AC285" s="32" t="str">
        <f>IF(AB285="","",VLOOKUP(MAX(AB285,0),Reference!$A$17:$B$20,2,TRUE()))</f>
        <v/>
      </c>
      <c r="AD285" s="31"/>
      <c r="AE285">
        <f t="shared" si="44"/>
        <v>1</v>
      </c>
      <c r="AF285" s="33" t="str">
        <f>IF(OR(A285="",B285="",AND(C285&lt;&gt;"Bullpen",C285&lt;&gt;"Game")),"",IF((COUNTIFS($B$5:$B$300,B285,$A$5:$A$300,A285-1,$C$5:$C$300,"Bullpen",$AG$5:$AG$300,"&gt;0") + COUNTIFS($B$5:$B$300,B285,$A$5:$A$300,A285-1,$C$5:$C$300,"Game",$AG$5:$AG$300,"&gt;0"))&gt;0,Reference!$B$119,IF((COUNTIFS($B$5:$B$300,B285,$A$5:$A$300,A285-2,$C$5:$C$300,"Bullpen",$AG$5:$AG$300,"&gt;0") + COUNTIFS($B$5:$B$300,B285,$A$5:$A$300,A285-2,$C$5:$C$300,"Game",$AG$5:$AG$300,"&gt;0"))&gt;0,Reference!$B$120,1)))</f>
        <v/>
      </c>
      <c r="AG285" s="30" t="str">
        <f>IF(AND(OR(I285="",O285="",P285=""),OR(R285="",W285=""),OR(X285="",AC285="")),"",IF(OR(I285="",O285="",P285=""),0,I285*O285*P285)+IF(OR(R285="",W285=""),0,R285*IFERROR(INDEX(Reference!$B$61:$B$62,MATCH("Bullpen",Reference!$A$61:$A$62,0)),0)*W285)+IF(OR(X285="",AC285=""),0,X285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285))</f>
        <v/>
      </c>
    </row>
    <row r="286" spans="1:33" x14ac:dyDescent="0.3">
      <c r="A286" s="35"/>
      <c r="B286" s="31"/>
      <c r="C286" s="31"/>
      <c r="D286" s="31"/>
      <c r="E286" s="34"/>
      <c r="F286" s="34"/>
      <c r="G286" s="30" t="str">
        <f t="shared" si="36"/>
        <v/>
      </c>
      <c r="H286" s="31"/>
      <c r="I286" s="32" t="str">
        <f>IF(H286&lt;&gt;"",H286,IF(G286="","",ROUND(G286*IFERROR(INDEX(Reference!$B$44:$B$50,MATCH(C286,Reference!$A$44:$A$50,0)),0),0)))</f>
        <v/>
      </c>
      <c r="J286" s="31"/>
      <c r="K286" s="31"/>
      <c r="L286" s="32" t="str">
        <f t="shared" si="37"/>
        <v/>
      </c>
      <c r="M286" s="32" t="str">
        <f>IFERROR(INDEX(Roster!$D$5:$D$40,MATCH(B286,Roster!$A$5:$A$40,0)),"")</f>
        <v/>
      </c>
      <c r="N286" s="32" t="str">
        <f t="shared" si="38"/>
        <v/>
      </c>
      <c r="O286" s="32" t="str">
        <f>IF(OR(C286="Bullpen",C286="Game"),IFERROR(INDEX(Reference!$B$61:$B$62,MATCH(C286,Reference!$A$61:$A$62,0)),""),IF(D286="","",IF(AE286&gt;1,((IF(1&lt;=AE286,(AE286-1+3)*(INDEX(Reference!$B$6:$B$11,MIN(5,MATCH(MAX(Reference!$A$6,MIN(Reference!$A$11,MIN(D286,90))),Reference!$A$6:$A$11,1)))+(MAX(Reference!$A$6,MIN(Reference!$A$11,MIN(D286,90)))-INDEX(Reference!$A$6:$A$11,MIN(5,MATCH(MAX(Reference!$A$6,MIN(Reference!$A$11,MIN(D286,90))),Reference!$A$6:$A$11,1))))*(INDEX(Reference!$B$6:$B$11,MIN(5,MATCH(MAX(Reference!$A$6,MIN(Reference!$A$11,MIN(D286,90))),Reference!$A$6:$A$11,1))+1)-INDEX(Reference!$B$6:$B$11,MIN(5,MATCH(MAX(Reference!$A$6,MIN(Reference!$A$11,MIN(D286,90))),Reference!$A$6:$A$11,1))))/(INDEX(Reference!$A$6:$A$11,MIN(5,MATCH(MAX(Reference!$A$6,MIN(Reference!$A$11,MIN(D286,90))),Reference!$A$6:$A$11,1))+1)-INDEX(Reference!$A$6:$A$11,MIN(5,MATCH(MAX(Reference!$A$6,MIN(Reference!$A$11,MIN(D286,90))),Reference!$A$6:$A$11,1))))),0)+IF(2&lt;=AE286,(AE286-2+3)*(INDEX(Reference!$B$6:$B$11,MIN(5,MATCH(MAX(Reference!$A$6,MIN(Reference!$A$11,MIN(D286,120))),Reference!$A$6:$A$11,1)))+(MAX(Reference!$A$6,MIN(Reference!$A$11,MIN(D286,120)))-INDEX(Reference!$A$6:$A$11,MIN(5,MATCH(MAX(Reference!$A$6,MIN(Reference!$A$11,MIN(D286,120))),Reference!$A$6:$A$11,1))))*(INDEX(Reference!$B$6:$B$11,MIN(5,MATCH(MAX(Reference!$A$6,MIN(Reference!$A$11,MIN(D286,120))),Reference!$A$6:$A$11,1))+1)-INDEX(Reference!$B$6:$B$11,MIN(5,MATCH(MAX(Reference!$A$6,MIN(Reference!$A$11,MIN(D286,120))),Reference!$A$6:$A$11,1))))/(INDEX(Reference!$A$6:$A$11,MIN(5,MATCH(MAX(Reference!$A$6,MIN(Reference!$A$11,MIN(D286,120))),Reference!$A$6:$A$11,1))+1)-INDEX(Reference!$A$6:$A$11,MIN(5,MATCH(MAX(Reference!$A$6,MIN(Reference!$A$11,MIN(D286,120))),Reference!$A$6:$A$11,1))))),0)+IF(3&lt;=AE286,(AE286-3+3)*(INDEX(Reference!$B$6:$B$11,MIN(5,MATCH(MAX(Reference!$A$6,MIN(Reference!$A$11,MIN(D286,150))),Reference!$A$6:$A$11,1)))+(MAX(Reference!$A$6,MIN(Reference!$A$11,MIN(D286,150)))-INDEX(Reference!$A$6:$A$11,MIN(5,MATCH(MAX(Reference!$A$6,MIN(Reference!$A$11,MIN(D286,150))),Reference!$A$6:$A$11,1))))*(INDEX(Reference!$B$6:$B$11,MIN(5,MATCH(MAX(Reference!$A$6,MIN(Reference!$A$11,MIN(D286,150))),Reference!$A$6:$A$11,1))+1)-INDEX(Reference!$B$6:$B$11,MIN(5,MATCH(MAX(Reference!$A$6,MIN(Reference!$A$11,MIN(D286,150))),Reference!$A$6:$A$11,1))))/(INDEX(Reference!$A$6:$A$11,MIN(5,MATCH(MAX(Reference!$A$6,MIN(Reference!$A$11,MIN(D286,150))),Reference!$A$6:$A$11,1))+1)-INDEX(Reference!$A$6:$A$11,MIN(5,MATCH(MAX(Reference!$A$6,MIN(Reference!$A$11,MIN(D286,150))),Reference!$A$6:$A$11,1))))),0)+IF(4&lt;=AE286,(AE286-4+3)*(INDEX(Reference!$B$6:$B$11,MIN(5,MATCH(MAX(Reference!$A$6,MIN(Reference!$A$11,MIN(D286,180))),Reference!$A$6:$A$11,1)))+(MAX(Reference!$A$6,MIN(Reference!$A$11,MIN(D286,180)))-INDEX(Reference!$A$6:$A$11,MIN(5,MATCH(MAX(Reference!$A$6,MIN(Reference!$A$11,MIN(D286,180))),Reference!$A$6:$A$11,1))))*(INDEX(Reference!$B$6:$B$11,MIN(5,MATCH(MAX(Reference!$A$6,MIN(Reference!$A$11,MIN(D286,180))),Reference!$A$6:$A$11,1))+1)-INDEX(Reference!$B$6:$B$11,MIN(5,MATCH(MAX(Reference!$A$6,MIN(Reference!$A$11,MIN(D286,180))),Reference!$A$6:$A$11,1))))/(INDEX(Reference!$A$6:$A$11,MIN(5,MATCH(MAX(Reference!$A$6,MIN(Reference!$A$11,MIN(D286,180))),Reference!$A$6:$A$11,1))+1)-INDEX(Reference!$A$6:$A$11,MIN(5,MATCH(MAX(Reference!$A$6,MIN(Reference!$A$11,MIN(D286,180))),Reference!$A$6:$A$11,1))))),0)+IF(5&lt;=AE286,(AE286-5+3)*(INDEX(Reference!$B$6:$B$11,MIN(5,MATCH(MAX(Reference!$A$6,MIN(Reference!$A$11,MIN(D286,210))),Reference!$A$6:$A$11,1)))+(MAX(Reference!$A$6,MIN(Reference!$A$11,MIN(D286,210)))-INDEX(Reference!$A$6:$A$11,MIN(5,MATCH(MAX(Reference!$A$6,MIN(Reference!$A$11,MIN(D286,210))),Reference!$A$6:$A$11,1))))*(INDEX(Reference!$B$6:$B$11,MIN(5,MATCH(MAX(Reference!$A$6,MIN(Reference!$A$11,MIN(D286,210))),Reference!$A$6:$A$11,1))+1)-INDEX(Reference!$B$6:$B$11,MIN(5,MATCH(MAX(Reference!$A$6,MIN(Reference!$A$11,MIN(D286,210))),Reference!$A$6:$A$11,1))))/(INDEX(Reference!$A$6:$A$11,MIN(5,MATCH(MAX(Reference!$A$6,MIN(Reference!$A$11,MIN(D286,210))),Reference!$A$6:$A$11,1))+1)-INDEX(Reference!$A$6:$A$11,MIN(5,MATCH(MAX(Reference!$A$6,MIN(Reference!$A$11,MIN(D286,210))),Reference!$A$6:$A$11,1))))),0)+IF(6&lt;=AE286,(AE286-6+3)*(INDEX(Reference!$B$6:$B$11,MIN(5,MATCH(MAX(Reference!$A$6,MIN(Reference!$A$11,MIN(D286,240))),Reference!$A$6:$A$11,1)))+(MAX(Reference!$A$6,MIN(Reference!$A$11,MIN(D286,240)))-INDEX(Reference!$A$6:$A$11,MIN(5,MATCH(MAX(Reference!$A$6,MIN(Reference!$A$11,MIN(D286,240))),Reference!$A$6:$A$11,1))))*(INDEX(Reference!$B$6:$B$11,MIN(5,MATCH(MAX(Reference!$A$6,MIN(Reference!$A$11,MIN(D286,240))),Reference!$A$6:$A$11,1))+1)-INDEX(Reference!$B$6:$B$11,MIN(5,MATCH(MAX(Reference!$A$6,MIN(Reference!$A$11,MIN(D286,240))),Reference!$A$6:$A$11,1))))/(INDEX(Reference!$A$6:$A$11,MIN(5,MATCH(MAX(Reference!$A$6,MIN(Reference!$A$11,MIN(D286,240))),Reference!$A$6:$A$11,1))+1)-INDEX(Reference!$A$6:$A$11,MIN(5,MATCH(MAX(Reference!$A$6,MIN(Reference!$A$11,MIN(D286,240))),Reference!$A$6:$A$11,1))))),0)+IF(7&lt;=AE286,(AE286-7+3)*(INDEX(Reference!$B$6:$B$11,MIN(5,MATCH(MAX(Reference!$A$6,MIN(Reference!$A$11,MIN(D286,270))),Reference!$A$6:$A$11,1)))+(MAX(Reference!$A$6,MIN(Reference!$A$11,MIN(D286,270)))-INDEX(Reference!$A$6:$A$11,MIN(5,MATCH(MAX(Reference!$A$6,MIN(Reference!$A$11,MIN(D286,270))),Reference!$A$6:$A$11,1))))*(INDEX(Reference!$B$6:$B$11,MIN(5,MATCH(MAX(Reference!$A$6,MIN(Reference!$A$11,MIN(D286,270))),Reference!$A$6:$A$11,1))+1)-INDEX(Reference!$B$6:$B$11,MIN(5,MATCH(MAX(Reference!$A$6,MIN(Reference!$A$11,MIN(D286,270))),Reference!$A$6:$A$11,1))))/(INDEX(Reference!$A$6:$A$11,MIN(5,MATCH(MAX(Reference!$A$6,MIN(Reference!$A$11,MIN(D286,270))),Reference!$A$6:$A$11,1))+1)-INDEX(Reference!$A$6:$A$11,MIN(5,MATCH(MAX(Reference!$A$6,MIN(Reference!$A$11,MIN(D286,270))),Reference!$A$6:$A$11,1))))),0)+IF(8&lt;=AE286,(AE286-8+3)*(INDEX(Reference!$B$6:$B$11,MIN(5,MATCH(MAX(Reference!$A$6,MIN(Reference!$A$11,MIN(D286,300))),Reference!$A$6:$A$11,1)))+(MAX(Reference!$A$6,MIN(Reference!$A$11,MIN(D286,300)))-INDEX(Reference!$A$6:$A$11,MIN(5,MATCH(MAX(Reference!$A$6,MIN(Reference!$A$11,MIN(D286,300))),Reference!$A$6:$A$11,1))))*(INDEX(Reference!$B$6:$B$11,MIN(5,MATCH(MAX(Reference!$A$6,MIN(Reference!$A$11,MIN(D286,300))),Reference!$A$6:$A$11,1))+1)-INDEX(Reference!$B$6:$B$11,MIN(5,MATCH(MAX(Reference!$A$6,MIN(Reference!$A$11,MIN(D286,300))),Reference!$A$6:$A$11,1))))/(INDEX(Reference!$A$6:$A$11,MIN(5,MATCH(MAX(Reference!$A$6,MIN(Reference!$A$11,MIN(D286,300))),Reference!$A$6:$A$11,1))+1)-INDEX(Reference!$A$6:$A$11,MIN(5,MATCH(MAX(Reference!$A$6,MIN(Reference!$A$11,MIN(D286,300))),Reference!$A$6:$A$11,1))))),0))/(AE286*(AE286+5)/2)),(INDEX(Reference!$B$6:$B$11,MIN(5,MATCH(MAX(Reference!$A$6,MIN(Reference!$A$11,D286)),Reference!$A$6:$A$11,1)))+(MAX(Reference!$A$6,MIN(Reference!$A$11,D286))-INDEX(Reference!$A$6:$A$11,MIN(5,MATCH(MAX(Reference!$A$6,MIN(Reference!$A$11,D286)),Reference!$A$6:$A$11,1))))*(INDEX(Reference!$B$6:$B$11,MIN(5,MATCH(MAX(Reference!$A$6,MIN(Reference!$A$11,D286)),Reference!$A$6:$A$11,1))+1)-INDEX(Reference!$B$6:$B$11,MIN(5,MATCH(MAX(Reference!$A$6,MIN(Reference!$A$11,D286)),Reference!$A$6:$A$11,1))))/(INDEX(Reference!$A$6:$A$11,MIN(5,MATCH(MAX(Reference!$A$6,MIN(Reference!$A$11,D286)),Reference!$A$6:$A$11,1))+1)-INDEX(Reference!$A$6:$A$11,MIN(5,MATCH(MAX(Reference!$A$6,MIN(Reference!$A$11,D286)),Reference!$A$6:$A$11,1))))))))</f>
        <v/>
      </c>
      <c r="P286" s="32" t="str">
        <f>IF(N286="","",VLOOKUP(MAX(N286,0),Reference!$A$17:$B$20,2,TRUE()))</f>
        <v/>
      </c>
      <c r="Q286" s="32" t="str">
        <f t="shared" si="39"/>
        <v/>
      </c>
      <c r="R286" s="31"/>
      <c r="S286" s="31"/>
      <c r="T286" s="31"/>
      <c r="U286" s="32" t="str">
        <f t="shared" si="40"/>
        <v/>
      </c>
      <c r="V286" s="32" t="str">
        <f t="shared" si="41"/>
        <v/>
      </c>
      <c r="W286" s="32" t="str">
        <f>IF(V286="","",VLOOKUP(MAX(V286,0),Reference!$A$17:$B$20,2,TRUE()))</f>
        <v/>
      </c>
      <c r="X286" s="31"/>
      <c r="Y286" s="31"/>
      <c r="Z286" s="31"/>
      <c r="AA286" s="32" t="str">
        <f t="shared" si="42"/>
        <v/>
      </c>
      <c r="AB286" s="32" t="str">
        <f t="shared" si="43"/>
        <v/>
      </c>
      <c r="AC286" s="32" t="str">
        <f>IF(AB286="","",VLOOKUP(MAX(AB286,0),Reference!$A$17:$B$20,2,TRUE()))</f>
        <v/>
      </c>
      <c r="AD286" s="31"/>
      <c r="AE286">
        <f t="shared" si="44"/>
        <v>1</v>
      </c>
      <c r="AF286" s="33" t="str">
        <f>IF(OR(A286="",B286="",AND(C286&lt;&gt;"Bullpen",C286&lt;&gt;"Game")),"",IF((COUNTIFS($B$5:$B$300,B286,$A$5:$A$300,A286-1,$C$5:$C$300,"Bullpen",$AG$5:$AG$300,"&gt;0") + COUNTIFS($B$5:$B$300,B286,$A$5:$A$300,A286-1,$C$5:$C$300,"Game",$AG$5:$AG$300,"&gt;0"))&gt;0,Reference!$B$119,IF((COUNTIFS($B$5:$B$300,B286,$A$5:$A$300,A286-2,$C$5:$C$300,"Bullpen",$AG$5:$AG$300,"&gt;0") + COUNTIFS($B$5:$B$300,B286,$A$5:$A$300,A286-2,$C$5:$C$300,"Game",$AG$5:$AG$300,"&gt;0"))&gt;0,Reference!$B$120,1)))</f>
        <v/>
      </c>
      <c r="AG286" s="30" t="str">
        <f>IF(AND(OR(I286="",O286="",P286=""),OR(R286="",W286=""),OR(X286="",AC286="")),"",IF(OR(I286="",O286="",P286=""),0,I286*O286*P286)+IF(OR(R286="",W286=""),0,R286*IFERROR(INDEX(Reference!$B$61:$B$62,MATCH("Bullpen",Reference!$A$61:$A$62,0)),0)*W286)+IF(OR(X286="",AC286=""),0,X286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286))</f>
        <v/>
      </c>
    </row>
    <row r="287" spans="1:33" x14ac:dyDescent="0.3">
      <c r="A287" s="35"/>
      <c r="B287" s="31"/>
      <c r="C287" s="31"/>
      <c r="D287" s="31"/>
      <c r="E287" s="34"/>
      <c r="F287" s="34"/>
      <c r="G287" s="30" t="str">
        <f t="shared" si="36"/>
        <v/>
      </c>
      <c r="H287" s="31"/>
      <c r="I287" s="32" t="str">
        <f>IF(H287&lt;&gt;"",H287,IF(G287="","",ROUND(G287*IFERROR(INDEX(Reference!$B$44:$B$50,MATCH(C287,Reference!$A$44:$A$50,0)),0),0)))</f>
        <v/>
      </c>
      <c r="J287" s="31"/>
      <c r="K287" s="31"/>
      <c r="L287" s="32" t="str">
        <f t="shared" si="37"/>
        <v/>
      </c>
      <c r="M287" s="32" t="str">
        <f>IFERROR(INDEX(Roster!$D$5:$D$40,MATCH(B287,Roster!$A$5:$A$40,0)),"")</f>
        <v/>
      </c>
      <c r="N287" s="32" t="str">
        <f t="shared" si="38"/>
        <v/>
      </c>
      <c r="O287" s="32" t="str">
        <f>IF(OR(C287="Bullpen",C287="Game"),IFERROR(INDEX(Reference!$B$61:$B$62,MATCH(C287,Reference!$A$61:$A$62,0)),""),IF(D287="","",IF(AE287&gt;1,((IF(1&lt;=AE287,(AE287-1+3)*(INDEX(Reference!$B$6:$B$11,MIN(5,MATCH(MAX(Reference!$A$6,MIN(Reference!$A$11,MIN(D287,90))),Reference!$A$6:$A$11,1)))+(MAX(Reference!$A$6,MIN(Reference!$A$11,MIN(D287,90)))-INDEX(Reference!$A$6:$A$11,MIN(5,MATCH(MAX(Reference!$A$6,MIN(Reference!$A$11,MIN(D287,90))),Reference!$A$6:$A$11,1))))*(INDEX(Reference!$B$6:$B$11,MIN(5,MATCH(MAX(Reference!$A$6,MIN(Reference!$A$11,MIN(D287,90))),Reference!$A$6:$A$11,1))+1)-INDEX(Reference!$B$6:$B$11,MIN(5,MATCH(MAX(Reference!$A$6,MIN(Reference!$A$11,MIN(D287,90))),Reference!$A$6:$A$11,1))))/(INDEX(Reference!$A$6:$A$11,MIN(5,MATCH(MAX(Reference!$A$6,MIN(Reference!$A$11,MIN(D287,90))),Reference!$A$6:$A$11,1))+1)-INDEX(Reference!$A$6:$A$11,MIN(5,MATCH(MAX(Reference!$A$6,MIN(Reference!$A$11,MIN(D287,90))),Reference!$A$6:$A$11,1))))),0)+IF(2&lt;=AE287,(AE287-2+3)*(INDEX(Reference!$B$6:$B$11,MIN(5,MATCH(MAX(Reference!$A$6,MIN(Reference!$A$11,MIN(D287,120))),Reference!$A$6:$A$11,1)))+(MAX(Reference!$A$6,MIN(Reference!$A$11,MIN(D287,120)))-INDEX(Reference!$A$6:$A$11,MIN(5,MATCH(MAX(Reference!$A$6,MIN(Reference!$A$11,MIN(D287,120))),Reference!$A$6:$A$11,1))))*(INDEX(Reference!$B$6:$B$11,MIN(5,MATCH(MAX(Reference!$A$6,MIN(Reference!$A$11,MIN(D287,120))),Reference!$A$6:$A$11,1))+1)-INDEX(Reference!$B$6:$B$11,MIN(5,MATCH(MAX(Reference!$A$6,MIN(Reference!$A$11,MIN(D287,120))),Reference!$A$6:$A$11,1))))/(INDEX(Reference!$A$6:$A$11,MIN(5,MATCH(MAX(Reference!$A$6,MIN(Reference!$A$11,MIN(D287,120))),Reference!$A$6:$A$11,1))+1)-INDEX(Reference!$A$6:$A$11,MIN(5,MATCH(MAX(Reference!$A$6,MIN(Reference!$A$11,MIN(D287,120))),Reference!$A$6:$A$11,1))))),0)+IF(3&lt;=AE287,(AE287-3+3)*(INDEX(Reference!$B$6:$B$11,MIN(5,MATCH(MAX(Reference!$A$6,MIN(Reference!$A$11,MIN(D287,150))),Reference!$A$6:$A$11,1)))+(MAX(Reference!$A$6,MIN(Reference!$A$11,MIN(D287,150)))-INDEX(Reference!$A$6:$A$11,MIN(5,MATCH(MAX(Reference!$A$6,MIN(Reference!$A$11,MIN(D287,150))),Reference!$A$6:$A$11,1))))*(INDEX(Reference!$B$6:$B$11,MIN(5,MATCH(MAX(Reference!$A$6,MIN(Reference!$A$11,MIN(D287,150))),Reference!$A$6:$A$11,1))+1)-INDEX(Reference!$B$6:$B$11,MIN(5,MATCH(MAX(Reference!$A$6,MIN(Reference!$A$11,MIN(D287,150))),Reference!$A$6:$A$11,1))))/(INDEX(Reference!$A$6:$A$11,MIN(5,MATCH(MAX(Reference!$A$6,MIN(Reference!$A$11,MIN(D287,150))),Reference!$A$6:$A$11,1))+1)-INDEX(Reference!$A$6:$A$11,MIN(5,MATCH(MAX(Reference!$A$6,MIN(Reference!$A$11,MIN(D287,150))),Reference!$A$6:$A$11,1))))),0)+IF(4&lt;=AE287,(AE287-4+3)*(INDEX(Reference!$B$6:$B$11,MIN(5,MATCH(MAX(Reference!$A$6,MIN(Reference!$A$11,MIN(D287,180))),Reference!$A$6:$A$11,1)))+(MAX(Reference!$A$6,MIN(Reference!$A$11,MIN(D287,180)))-INDEX(Reference!$A$6:$A$11,MIN(5,MATCH(MAX(Reference!$A$6,MIN(Reference!$A$11,MIN(D287,180))),Reference!$A$6:$A$11,1))))*(INDEX(Reference!$B$6:$B$11,MIN(5,MATCH(MAX(Reference!$A$6,MIN(Reference!$A$11,MIN(D287,180))),Reference!$A$6:$A$11,1))+1)-INDEX(Reference!$B$6:$B$11,MIN(5,MATCH(MAX(Reference!$A$6,MIN(Reference!$A$11,MIN(D287,180))),Reference!$A$6:$A$11,1))))/(INDEX(Reference!$A$6:$A$11,MIN(5,MATCH(MAX(Reference!$A$6,MIN(Reference!$A$11,MIN(D287,180))),Reference!$A$6:$A$11,1))+1)-INDEX(Reference!$A$6:$A$11,MIN(5,MATCH(MAX(Reference!$A$6,MIN(Reference!$A$11,MIN(D287,180))),Reference!$A$6:$A$11,1))))),0)+IF(5&lt;=AE287,(AE287-5+3)*(INDEX(Reference!$B$6:$B$11,MIN(5,MATCH(MAX(Reference!$A$6,MIN(Reference!$A$11,MIN(D287,210))),Reference!$A$6:$A$11,1)))+(MAX(Reference!$A$6,MIN(Reference!$A$11,MIN(D287,210)))-INDEX(Reference!$A$6:$A$11,MIN(5,MATCH(MAX(Reference!$A$6,MIN(Reference!$A$11,MIN(D287,210))),Reference!$A$6:$A$11,1))))*(INDEX(Reference!$B$6:$B$11,MIN(5,MATCH(MAX(Reference!$A$6,MIN(Reference!$A$11,MIN(D287,210))),Reference!$A$6:$A$11,1))+1)-INDEX(Reference!$B$6:$B$11,MIN(5,MATCH(MAX(Reference!$A$6,MIN(Reference!$A$11,MIN(D287,210))),Reference!$A$6:$A$11,1))))/(INDEX(Reference!$A$6:$A$11,MIN(5,MATCH(MAX(Reference!$A$6,MIN(Reference!$A$11,MIN(D287,210))),Reference!$A$6:$A$11,1))+1)-INDEX(Reference!$A$6:$A$11,MIN(5,MATCH(MAX(Reference!$A$6,MIN(Reference!$A$11,MIN(D287,210))),Reference!$A$6:$A$11,1))))),0)+IF(6&lt;=AE287,(AE287-6+3)*(INDEX(Reference!$B$6:$B$11,MIN(5,MATCH(MAX(Reference!$A$6,MIN(Reference!$A$11,MIN(D287,240))),Reference!$A$6:$A$11,1)))+(MAX(Reference!$A$6,MIN(Reference!$A$11,MIN(D287,240)))-INDEX(Reference!$A$6:$A$11,MIN(5,MATCH(MAX(Reference!$A$6,MIN(Reference!$A$11,MIN(D287,240))),Reference!$A$6:$A$11,1))))*(INDEX(Reference!$B$6:$B$11,MIN(5,MATCH(MAX(Reference!$A$6,MIN(Reference!$A$11,MIN(D287,240))),Reference!$A$6:$A$11,1))+1)-INDEX(Reference!$B$6:$B$11,MIN(5,MATCH(MAX(Reference!$A$6,MIN(Reference!$A$11,MIN(D287,240))),Reference!$A$6:$A$11,1))))/(INDEX(Reference!$A$6:$A$11,MIN(5,MATCH(MAX(Reference!$A$6,MIN(Reference!$A$11,MIN(D287,240))),Reference!$A$6:$A$11,1))+1)-INDEX(Reference!$A$6:$A$11,MIN(5,MATCH(MAX(Reference!$A$6,MIN(Reference!$A$11,MIN(D287,240))),Reference!$A$6:$A$11,1))))),0)+IF(7&lt;=AE287,(AE287-7+3)*(INDEX(Reference!$B$6:$B$11,MIN(5,MATCH(MAX(Reference!$A$6,MIN(Reference!$A$11,MIN(D287,270))),Reference!$A$6:$A$11,1)))+(MAX(Reference!$A$6,MIN(Reference!$A$11,MIN(D287,270)))-INDEX(Reference!$A$6:$A$11,MIN(5,MATCH(MAX(Reference!$A$6,MIN(Reference!$A$11,MIN(D287,270))),Reference!$A$6:$A$11,1))))*(INDEX(Reference!$B$6:$B$11,MIN(5,MATCH(MAX(Reference!$A$6,MIN(Reference!$A$11,MIN(D287,270))),Reference!$A$6:$A$11,1))+1)-INDEX(Reference!$B$6:$B$11,MIN(5,MATCH(MAX(Reference!$A$6,MIN(Reference!$A$11,MIN(D287,270))),Reference!$A$6:$A$11,1))))/(INDEX(Reference!$A$6:$A$11,MIN(5,MATCH(MAX(Reference!$A$6,MIN(Reference!$A$11,MIN(D287,270))),Reference!$A$6:$A$11,1))+1)-INDEX(Reference!$A$6:$A$11,MIN(5,MATCH(MAX(Reference!$A$6,MIN(Reference!$A$11,MIN(D287,270))),Reference!$A$6:$A$11,1))))),0)+IF(8&lt;=AE287,(AE287-8+3)*(INDEX(Reference!$B$6:$B$11,MIN(5,MATCH(MAX(Reference!$A$6,MIN(Reference!$A$11,MIN(D287,300))),Reference!$A$6:$A$11,1)))+(MAX(Reference!$A$6,MIN(Reference!$A$11,MIN(D287,300)))-INDEX(Reference!$A$6:$A$11,MIN(5,MATCH(MAX(Reference!$A$6,MIN(Reference!$A$11,MIN(D287,300))),Reference!$A$6:$A$11,1))))*(INDEX(Reference!$B$6:$B$11,MIN(5,MATCH(MAX(Reference!$A$6,MIN(Reference!$A$11,MIN(D287,300))),Reference!$A$6:$A$11,1))+1)-INDEX(Reference!$B$6:$B$11,MIN(5,MATCH(MAX(Reference!$A$6,MIN(Reference!$A$11,MIN(D287,300))),Reference!$A$6:$A$11,1))))/(INDEX(Reference!$A$6:$A$11,MIN(5,MATCH(MAX(Reference!$A$6,MIN(Reference!$A$11,MIN(D287,300))),Reference!$A$6:$A$11,1))+1)-INDEX(Reference!$A$6:$A$11,MIN(5,MATCH(MAX(Reference!$A$6,MIN(Reference!$A$11,MIN(D287,300))),Reference!$A$6:$A$11,1))))),0))/(AE287*(AE287+5)/2)),(INDEX(Reference!$B$6:$B$11,MIN(5,MATCH(MAX(Reference!$A$6,MIN(Reference!$A$11,D287)),Reference!$A$6:$A$11,1)))+(MAX(Reference!$A$6,MIN(Reference!$A$11,D287))-INDEX(Reference!$A$6:$A$11,MIN(5,MATCH(MAX(Reference!$A$6,MIN(Reference!$A$11,D287)),Reference!$A$6:$A$11,1))))*(INDEX(Reference!$B$6:$B$11,MIN(5,MATCH(MAX(Reference!$A$6,MIN(Reference!$A$11,D287)),Reference!$A$6:$A$11,1))+1)-INDEX(Reference!$B$6:$B$11,MIN(5,MATCH(MAX(Reference!$A$6,MIN(Reference!$A$11,D287)),Reference!$A$6:$A$11,1))))/(INDEX(Reference!$A$6:$A$11,MIN(5,MATCH(MAX(Reference!$A$6,MIN(Reference!$A$11,D287)),Reference!$A$6:$A$11,1))+1)-INDEX(Reference!$A$6:$A$11,MIN(5,MATCH(MAX(Reference!$A$6,MIN(Reference!$A$11,D287)),Reference!$A$6:$A$11,1))))))))</f>
        <v/>
      </c>
      <c r="P287" s="32" t="str">
        <f>IF(N287="","",VLOOKUP(MAX(N287,0),Reference!$A$17:$B$20,2,TRUE()))</f>
        <v/>
      </c>
      <c r="Q287" s="32" t="str">
        <f t="shared" si="39"/>
        <v/>
      </c>
      <c r="R287" s="31"/>
      <c r="S287" s="31"/>
      <c r="T287" s="31"/>
      <c r="U287" s="32" t="str">
        <f t="shared" si="40"/>
        <v/>
      </c>
      <c r="V287" s="32" t="str">
        <f t="shared" si="41"/>
        <v/>
      </c>
      <c r="W287" s="32" t="str">
        <f>IF(V287="","",VLOOKUP(MAX(V287,0),Reference!$A$17:$B$20,2,TRUE()))</f>
        <v/>
      </c>
      <c r="X287" s="31"/>
      <c r="Y287" s="31"/>
      <c r="Z287" s="31"/>
      <c r="AA287" s="32" t="str">
        <f t="shared" si="42"/>
        <v/>
      </c>
      <c r="AB287" s="32" t="str">
        <f t="shared" si="43"/>
        <v/>
      </c>
      <c r="AC287" s="32" t="str">
        <f>IF(AB287="","",VLOOKUP(MAX(AB287,0),Reference!$A$17:$B$20,2,TRUE()))</f>
        <v/>
      </c>
      <c r="AD287" s="31"/>
      <c r="AE287">
        <f t="shared" si="44"/>
        <v>1</v>
      </c>
      <c r="AF287" s="33" t="str">
        <f>IF(OR(A287="",B287="",AND(C287&lt;&gt;"Bullpen",C287&lt;&gt;"Game")),"",IF((COUNTIFS($B$5:$B$300,B287,$A$5:$A$300,A287-1,$C$5:$C$300,"Bullpen",$AG$5:$AG$300,"&gt;0") + COUNTIFS($B$5:$B$300,B287,$A$5:$A$300,A287-1,$C$5:$C$300,"Game",$AG$5:$AG$300,"&gt;0"))&gt;0,Reference!$B$119,IF((COUNTIFS($B$5:$B$300,B287,$A$5:$A$300,A287-2,$C$5:$C$300,"Bullpen",$AG$5:$AG$300,"&gt;0") + COUNTIFS($B$5:$B$300,B287,$A$5:$A$300,A287-2,$C$5:$C$300,"Game",$AG$5:$AG$300,"&gt;0"))&gt;0,Reference!$B$120,1)))</f>
        <v/>
      </c>
      <c r="AG287" s="30" t="str">
        <f>IF(AND(OR(I287="",O287="",P287=""),OR(R287="",W287=""),OR(X287="",AC287="")),"",IF(OR(I287="",O287="",P287=""),0,I287*O287*P287)+IF(OR(R287="",W287=""),0,R287*IFERROR(INDEX(Reference!$B$61:$B$62,MATCH("Bullpen",Reference!$A$61:$A$62,0)),0)*W287)+IF(OR(X287="",AC287=""),0,X287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287))</f>
        <v/>
      </c>
    </row>
    <row r="288" spans="1:33" x14ac:dyDescent="0.3">
      <c r="A288" s="35"/>
      <c r="B288" s="31"/>
      <c r="C288" s="31"/>
      <c r="D288" s="31"/>
      <c r="E288" s="34"/>
      <c r="F288" s="34"/>
      <c r="G288" s="30" t="str">
        <f t="shared" si="36"/>
        <v/>
      </c>
      <c r="H288" s="31"/>
      <c r="I288" s="32" t="str">
        <f>IF(H288&lt;&gt;"",H288,IF(G288="","",ROUND(G288*IFERROR(INDEX(Reference!$B$44:$B$50,MATCH(C288,Reference!$A$44:$A$50,0)),0),0)))</f>
        <v/>
      </c>
      <c r="J288" s="31"/>
      <c r="K288" s="31"/>
      <c r="L288" s="32" t="str">
        <f t="shared" si="37"/>
        <v/>
      </c>
      <c r="M288" s="32" t="str">
        <f>IFERROR(INDEX(Roster!$D$5:$D$40,MATCH(B288,Roster!$A$5:$A$40,0)),"")</f>
        <v/>
      </c>
      <c r="N288" s="32" t="str">
        <f t="shared" si="38"/>
        <v/>
      </c>
      <c r="O288" s="32" t="str">
        <f>IF(OR(C288="Bullpen",C288="Game"),IFERROR(INDEX(Reference!$B$61:$B$62,MATCH(C288,Reference!$A$61:$A$62,0)),""),IF(D288="","",IF(AE288&gt;1,((IF(1&lt;=AE288,(AE288-1+3)*(INDEX(Reference!$B$6:$B$11,MIN(5,MATCH(MAX(Reference!$A$6,MIN(Reference!$A$11,MIN(D288,90))),Reference!$A$6:$A$11,1)))+(MAX(Reference!$A$6,MIN(Reference!$A$11,MIN(D288,90)))-INDEX(Reference!$A$6:$A$11,MIN(5,MATCH(MAX(Reference!$A$6,MIN(Reference!$A$11,MIN(D288,90))),Reference!$A$6:$A$11,1))))*(INDEX(Reference!$B$6:$B$11,MIN(5,MATCH(MAX(Reference!$A$6,MIN(Reference!$A$11,MIN(D288,90))),Reference!$A$6:$A$11,1))+1)-INDEX(Reference!$B$6:$B$11,MIN(5,MATCH(MAX(Reference!$A$6,MIN(Reference!$A$11,MIN(D288,90))),Reference!$A$6:$A$11,1))))/(INDEX(Reference!$A$6:$A$11,MIN(5,MATCH(MAX(Reference!$A$6,MIN(Reference!$A$11,MIN(D288,90))),Reference!$A$6:$A$11,1))+1)-INDEX(Reference!$A$6:$A$11,MIN(5,MATCH(MAX(Reference!$A$6,MIN(Reference!$A$11,MIN(D288,90))),Reference!$A$6:$A$11,1))))),0)+IF(2&lt;=AE288,(AE288-2+3)*(INDEX(Reference!$B$6:$B$11,MIN(5,MATCH(MAX(Reference!$A$6,MIN(Reference!$A$11,MIN(D288,120))),Reference!$A$6:$A$11,1)))+(MAX(Reference!$A$6,MIN(Reference!$A$11,MIN(D288,120)))-INDEX(Reference!$A$6:$A$11,MIN(5,MATCH(MAX(Reference!$A$6,MIN(Reference!$A$11,MIN(D288,120))),Reference!$A$6:$A$11,1))))*(INDEX(Reference!$B$6:$B$11,MIN(5,MATCH(MAX(Reference!$A$6,MIN(Reference!$A$11,MIN(D288,120))),Reference!$A$6:$A$11,1))+1)-INDEX(Reference!$B$6:$B$11,MIN(5,MATCH(MAX(Reference!$A$6,MIN(Reference!$A$11,MIN(D288,120))),Reference!$A$6:$A$11,1))))/(INDEX(Reference!$A$6:$A$11,MIN(5,MATCH(MAX(Reference!$A$6,MIN(Reference!$A$11,MIN(D288,120))),Reference!$A$6:$A$11,1))+1)-INDEX(Reference!$A$6:$A$11,MIN(5,MATCH(MAX(Reference!$A$6,MIN(Reference!$A$11,MIN(D288,120))),Reference!$A$6:$A$11,1))))),0)+IF(3&lt;=AE288,(AE288-3+3)*(INDEX(Reference!$B$6:$B$11,MIN(5,MATCH(MAX(Reference!$A$6,MIN(Reference!$A$11,MIN(D288,150))),Reference!$A$6:$A$11,1)))+(MAX(Reference!$A$6,MIN(Reference!$A$11,MIN(D288,150)))-INDEX(Reference!$A$6:$A$11,MIN(5,MATCH(MAX(Reference!$A$6,MIN(Reference!$A$11,MIN(D288,150))),Reference!$A$6:$A$11,1))))*(INDEX(Reference!$B$6:$B$11,MIN(5,MATCH(MAX(Reference!$A$6,MIN(Reference!$A$11,MIN(D288,150))),Reference!$A$6:$A$11,1))+1)-INDEX(Reference!$B$6:$B$11,MIN(5,MATCH(MAX(Reference!$A$6,MIN(Reference!$A$11,MIN(D288,150))),Reference!$A$6:$A$11,1))))/(INDEX(Reference!$A$6:$A$11,MIN(5,MATCH(MAX(Reference!$A$6,MIN(Reference!$A$11,MIN(D288,150))),Reference!$A$6:$A$11,1))+1)-INDEX(Reference!$A$6:$A$11,MIN(5,MATCH(MAX(Reference!$A$6,MIN(Reference!$A$11,MIN(D288,150))),Reference!$A$6:$A$11,1))))),0)+IF(4&lt;=AE288,(AE288-4+3)*(INDEX(Reference!$B$6:$B$11,MIN(5,MATCH(MAX(Reference!$A$6,MIN(Reference!$A$11,MIN(D288,180))),Reference!$A$6:$A$11,1)))+(MAX(Reference!$A$6,MIN(Reference!$A$11,MIN(D288,180)))-INDEX(Reference!$A$6:$A$11,MIN(5,MATCH(MAX(Reference!$A$6,MIN(Reference!$A$11,MIN(D288,180))),Reference!$A$6:$A$11,1))))*(INDEX(Reference!$B$6:$B$11,MIN(5,MATCH(MAX(Reference!$A$6,MIN(Reference!$A$11,MIN(D288,180))),Reference!$A$6:$A$11,1))+1)-INDEX(Reference!$B$6:$B$11,MIN(5,MATCH(MAX(Reference!$A$6,MIN(Reference!$A$11,MIN(D288,180))),Reference!$A$6:$A$11,1))))/(INDEX(Reference!$A$6:$A$11,MIN(5,MATCH(MAX(Reference!$A$6,MIN(Reference!$A$11,MIN(D288,180))),Reference!$A$6:$A$11,1))+1)-INDEX(Reference!$A$6:$A$11,MIN(5,MATCH(MAX(Reference!$A$6,MIN(Reference!$A$11,MIN(D288,180))),Reference!$A$6:$A$11,1))))),0)+IF(5&lt;=AE288,(AE288-5+3)*(INDEX(Reference!$B$6:$B$11,MIN(5,MATCH(MAX(Reference!$A$6,MIN(Reference!$A$11,MIN(D288,210))),Reference!$A$6:$A$11,1)))+(MAX(Reference!$A$6,MIN(Reference!$A$11,MIN(D288,210)))-INDEX(Reference!$A$6:$A$11,MIN(5,MATCH(MAX(Reference!$A$6,MIN(Reference!$A$11,MIN(D288,210))),Reference!$A$6:$A$11,1))))*(INDEX(Reference!$B$6:$B$11,MIN(5,MATCH(MAX(Reference!$A$6,MIN(Reference!$A$11,MIN(D288,210))),Reference!$A$6:$A$11,1))+1)-INDEX(Reference!$B$6:$B$11,MIN(5,MATCH(MAX(Reference!$A$6,MIN(Reference!$A$11,MIN(D288,210))),Reference!$A$6:$A$11,1))))/(INDEX(Reference!$A$6:$A$11,MIN(5,MATCH(MAX(Reference!$A$6,MIN(Reference!$A$11,MIN(D288,210))),Reference!$A$6:$A$11,1))+1)-INDEX(Reference!$A$6:$A$11,MIN(5,MATCH(MAX(Reference!$A$6,MIN(Reference!$A$11,MIN(D288,210))),Reference!$A$6:$A$11,1))))),0)+IF(6&lt;=AE288,(AE288-6+3)*(INDEX(Reference!$B$6:$B$11,MIN(5,MATCH(MAX(Reference!$A$6,MIN(Reference!$A$11,MIN(D288,240))),Reference!$A$6:$A$11,1)))+(MAX(Reference!$A$6,MIN(Reference!$A$11,MIN(D288,240)))-INDEX(Reference!$A$6:$A$11,MIN(5,MATCH(MAX(Reference!$A$6,MIN(Reference!$A$11,MIN(D288,240))),Reference!$A$6:$A$11,1))))*(INDEX(Reference!$B$6:$B$11,MIN(5,MATCH(MAX(Reference!$A$6,MIN(Reference!$A$11,MIN(D288,240))),Reference!$A$6:$A$11,1))+1)-INDEX(Reference!$B$6:$B$11,MIN(5,MATCH(MAX(Reference!$A$6,MIN(Reference!$A$11,MIN(D288,240))),Reference!$A$6:$A$11,1))))/(INDEX(Reference!$A$6:$A$11,MIN(5,MATCH(MAX(Reference!$A$6,MIN(Reference!$A$11,MIN(D288,240))),Reference!$A$6:$A$11,1))+1)-INDEX(Reference!$A$6:$A$11,MIN(5,MATCH(MAX(Reference!$A$6,MIN(Reference!$A$11,MIN(D288,240))),Reference!$A$6:$A$11,1))))),0)+IF(7&lt;=AE288,(AE288-7+3)*(INDEX(Reference!$B$6:$B$11,MIN(5,MATCH(MAX(Reference!$A$6,MIN(Reference!$A$11,MIN(D288,270))),Reference!$A$6:$A$11,1)))+(MAX(Reference!$A$6,MIN(Reference!$A$11,MIN(D288,270)))-INDEX(Reference!$A$6:$A$11,MIN(5,MATCH(MAX(Reference!$A$6,MIN(Reference!$A$11,MIN(D288,270))),Reference!$A$6:$A$11,1))))*(INDEX(Reference!$B$6:$B$11,MIN(5,MATCH(MAX(Reference!$A$6,MIN(Reference!$A$11,MIN(D288,270))),Reference!$A$6:$A$11,1))+1)-INDEX(Reference!$B$6:$B$11,MIN(5,MATCH(MAX(Reference!$A$6,MIN(Reference!$A$11,MIN(D288,270))),Reference!$A$6:$A$11,1))))/(INDEX(Reference!$A$6:$A$11,MIN(5,MATCH(MAX(Reference!$A$6,MIN(Reference!$A$11,MIN(D288,270))),Reference!$A$6:$A$11,1))+1)-INDEX(Reference!$A$6:$A$11,MIN(5,MATCH(MAX(Reference!$A$6,MIN(Reference!$A$11,MIN(D288,270))),Reference!$A$6:$A$11,1))))),0)+IF(8&lt;=AE288,(AE288-8+3)*(INDEX(Reference!$B$6:$B$11,MIN(5,MATCH(MAX(Reference!$A$6,MIN(Reference!$A$11,MIN(D288,300))),Reference!$A$6:$A$11,1)))+(MAX(Reference!$A$6,MIN(Reference!$A$11,MIN(D288,300)))-INDEX(Reference!$A$6:$A$11,MIN(5,MATCH(MAX(Reference!$A$6,MIN(Reference!$A$11,MIN(D288,300))),Reference!$A$6:$A$11,1))))*(INDEX(Reference!$B$6:$B$11,MIN(5,MATCH(MAX(Reference!$A$6,MIN(Reference!$A$11,MIN(D288,300))),Reference!$A$6:$A$11,1))+1)-INDEX(Reference!$B$6:$B$11,MIN(5,MATCH(MAX(Reference!$A$6,MIN(Reference!$A$11,MIN(D288,300))),Reference!$A$6:$A$11,1))))/(INDEX(Reference!$A$6:$A$11,MIN(5,MATCH(MAX(Reference!$A$6,MIN(Reference!$A$11,MIN(D288,300))),Reference!$A$6:$A$11,1))+1)-INDEX(Reference!$A$6:$A$11,MIN(5,MATCH(MAX(Reference!$A$6,MIN(Reference!$A$11,MIN(D288,300))),Reference!$A$6:$A$11,1))))),0))/(AE288*(AE288+5)/2)),(INDEX(Reference!$B$6:$B$11,MIN(5,MATCH(MAX(Reference!$A$6,MIN(Reference!$A$11,D288)),Reference!$A$6:$A$11,1)))+(MAX(Reference!$A$6,MIN(Reference!$A$11,D288))-INDEX(Reference!$A$6:$A$11,MIN(5,MATCH(MAX(Reference!$A$6,MIN(Reference!$A$11,D288)),Reference!$A$6:$A$11,1))))*(INDEX(Reference!$B$6:$B$11,MIN(5,MATCH(MAX(Reference!$A$6,MIN(Reference!$A$11,D288)),Reference!$A$6:$A$11,1))+1)-INDEX(Reference!$B$6:$B$11,MIN(5,MATCH(MAX(Reference!$A$6,MIN(Reference!$A$11,D288)),Reference!$A$6:$A$11,1))))/(INDEX(Reference!$A$6:$A$11,MIN(5,MATCH(MAX(Reference!$A$6,MIN(Reference!$A$11,D288)),Reference!$A$6:$A$11,1))+1)-INDEX(Reference!$A$6:$A$11,MIN(5,MATCH(MAX(Reference!$A$6,MIN(Reference!$A$11,D288)),Reference!$A$6:$A$11,1))))))))</f>
        <v/>
      </c>
      <c r="P288" s="32" t="str">
        <f>IF(N288="","",VLOOKUP(MAX(N288,0),Reference!$A$17:$B$20,2,TRUE()))</f>
        <v/>
      </c>
      <c r="Q288" s="32" t="str">
        <f t="shared" si="39"/>
        <v/>
      </c>
      <c r="R288" s="31"/>
      <c r="S288" s="31"/>
      <c r="T288" s="31"/>
      <c r="U288" s="32" t="str">
        <f t="shared" si="40"/>
        <v/>
      </c>
      <c r="V288" s="32" t="str">
        <f t="shared" si="41"/>
        <v/>
      </c>
      <c r="W288" s="32" t="str">
        <f>IF(V288="","",VLOOKUP(MAX(V288,0),Reference!$A$17:$B$20,2,TRUE()))</f>
        <v/>
      </c>
      <c r="X288" s="31"/>
      <c r="Y288" s="31"/>
      <c r="Z288" s="31"/>
      <c r="AA288" s="32" t="str">
        <f t="shared" si="42"/>
        <v/>
      </c>
      <c r="AB288" s="32" t="str">
        <f t="shared" si="43"/>
        <v/>
      </c>
      <c r="AC288" s="32" t="str">
        <f>IF(AB288="","",VLOOKUP(MAX(AB288,0),Reference!$A$17:$B$20,2,TRUE()))</f>
        <v/>
      </c>
      <c r="AD288" s="31"/>
      <c r="AE288">
        <f t="shared" si="44"/>
        <v>1</v>
      </c>
      <c r="AF288" s="33" t="str">
        <f>IF(OR(A288="",B288="",AND(C288&lt;&gt;"Bullpen",C288&lt;&gt;"Game")),"",IF((COUNTIFS($B$5:$B$300,B288,$A$5:$A$300,A288-1,$C$5:$C$300,"Bullpen",$AG$5:$AG$300,"&gt;0") + COUNTIFS($B$5:$B$300,B288,$A$5:$A$300,A288-1,$C$5:$C$300,"Game",$AG$5:$AG$300,"&gt;0"))&gt;0,Reference!$B$119,IF((COUNTIFS($B$5:$B$300,B288,$A$5:$A$300,A288-2,$C$5:$C$300,"Bullpen",$AG$5:$AG$300,"&gt;0") + COUNTIFS($B$5:$B$300,B288,$A$5:$A$300,A288-2,$C$5:$C$300,"Game",$AG$5:$AG$300,"&gt;0"))&gt;0,Reference!$B$120,1)))</f>
        <v/>
      </c>
      <c r="AG288" s="30" t="str">
        <f>IF(AND(OR(I288="",O288="",P288=""),OR(R288="",W288=""),OR(X288="",AC288="")),"",IF(OR(I288="",O288="",P288=""),0,I288*O288*P288)+IF(OR(R288="",W288=""),0,R288*IFERROR(INDEX(Reference!$B$61:$B$62,MATCH("Bullpen",Reference!$A$61:$A$62,0)),0)*W288)+IF(OR(X288="",AC288=""),0,X288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288))</f>
        <v/>
      </c>
    </row>
    <row r="289" spans="1:33" x14ac:dyDescent="0.3">
      <c r="A289" s="35"/>
      <c r="B289" s="31"/>
      <c r="C289" s="31"/>
      <c r="D289" s="31"/>
      <c r="E289" s="34"/>
      <c r="F289" s="34"/>
      <c r="G289" s="30" t="str">
        <f t="shared" si="36"/>
        <v/>
      </c>
      <c r="H289" s="31"/>
      <c r="I289" s="32" t="str">
        <f>IF(H289&lt;&gt;"",H289,IF(G289="","",ROUND(G289*IFERROR(INDEX(Reference!$B$44:$B$50,MATCH(C289,Reference!$A$44:$A$50,0)),0),0)))</f>
        <v/>
      </c>
      <c r="J289" s="31"/>
      <c r="K289" s="31"/>
      <c r="L289" s="32" t="str">
        <f t="shared" si="37"/>
        <v/>
      </c>
      <c r="M289" s="32" t="str">
        <f>IFERROR(INDEX(Roster!$D$5:$D$40,MATCH(B289,Roster!$A$5:$A$40,0)),"")</f>
        <v/>
      </c>
      <c r="N289" s="32" t="str">
        <f t="shared" si="38"/>
        <v/>
      </c>
      <c r="O289" s="32" t="str">
        <f>IF(OR(C289="Bullpen",C289="Game"),IFERROR(INDEX(Reference!$B$61:$B$62,MATCH(C289,Reference!$A$61:$A$62,0)),""),IF(D289="","",IF(AE289&gt;1,((IF(1&lt;=AE289,(AE289-1+3)*(INDEX(Reference!$B$6:$B$11,MIN(5,MATCH(MAX(Reference!$A$6,MIN(Reference!$A$11,MIN(D289,90))),Reference!$A$6:$A$11,1)))+(MAX(Reference!$A$6,MIN(Reference!$A$11,MIN(D289,90)))-INDEX(Reference!$A$6:$A$11,MIN(5,MATCH(MAX(Reference!$A$6,MIN(Reference!$A$11,MIN(D289,90))),Reference!$A$6:$A$11,1))))*(INDEX(Reference!$B$6:$B$11,MIN(5,MATCH(MAX(Reference!$A$6,MIN(Reference!$A$11,MIN(D289,90))),Reference!$A$6:$A$11,1))+1)-INDEX(Reference!$B$6:$B$11,MIN(5,MATCH(MAX(Reference!$A$6,MIN(Reference!$A$11,MIN(D289,90))),Reference!$A$6:$A$11,1))))/(INDEX(Reference!$A$6:$A$11,MIN(5,MATCH(MAX(Reference!$A$6,MIN(Reference!$A$11,MIN(D289,90))),Reference!$A$6:$A$11,1))+1)-INDEX(Reference!$A$6:$A$11,MIN(5,MATCH(MAX(Reference!$A$6,MIN(Reference!$A$11,MIN(D289,90))),Reference!$A$6:$A$11,1))))),0)+IF(2&lt;=AE289,(AE289-2+3)*(INDEX(Reference!$B$6:$B$11,MIN(5,MATCH(MAX(Reference!$A$6,MIN(Reference!$A$11,MIN(D289,120))),Reference!$A$6:$A$11,1)))+(MAX(Reference!$A$6,MIN(Reference!$A$11,MIN(D289,120)))-INDEX(Reference!$A$6:$A$11,MIN(5,MATCH(MAX(Reference!$A$6,MIN(Reference!$A$11,MIN(D289,120))),Reference!$A$6:$A$11,1))))*(INDEX(Reference!$B$6:$B$11,MIN(5,MATCH(MAX(Reference!$A$6,MIN(Reference!$A$11,MIN(D289,120))),Reference!$A$6:$A$11,1))+1)-INDEX(Reference!$B$6:$B$11,MIN(5,MATCH(MAX(Reference!$A$6,MIN(Reference!$A$11,MIN(D289,120))),Reference!$A$6:$A$11,1))))/(INDEX(Reference!$A$6:$A$11,MIN(5,MATCH(MAX(Reference!$A$6,MIN(Reference!$A$11,MIN(D289,120))),Reference!$A$6:$A$11,1))+1)-INDEX(Reference!$A$6:$A$11,MIN(5,MATCH(MAX(Reference!$A$6,MIN(Reference!$A$11,MIN(D289,120))),Reference!$A$6:$A$11,1))))),0)+IF(3&lt;=AE289,(AE289-3+3)*(INDEX(Reference!$B$6:$B$11,MIN(5,MATCH(MAX(Reference!$A$6,MIN(Reference!$A$11,MIN(D289,150))),Reference!$A$6:$A$11,1)))+(MAX(Reference!$A$6,MIN(Reference!$A$11,MIN(D289,150)))-INDEX(Reference!$A$6:$A$11,MIN(5,MATCH(MAX(Reference!$A$6,MIN(Reference!$A$11,MIN(D289,150))),Reference!$A$6:$A$11,1))))*(INDEX(Reference!$B$6:$B$11,MIN(5,MATCH(MAX(Reference!$A$6,MIN(Reference!$A$11,MIN(D289,150))),Reference!$A$6:$A$11,1))+1)-INDEX(Reference!$B$6:$B$11,MIN(5,MATCH(MAX(Reference!$A$6,MIN(Reference!$A$11,MIN(D289,150))),Reference!$A$6:$A$11,1))))/(INDEX(Reference!$A$6:$A$11,MIN(5,MATCH(MAX(Reference!$A$6,MIN(Reference!$A$11,MIN(D289,150))),Reference!$A$6:$A$11,1))+1)-INDEX(Reference!$A$6:$A$11,MIN(5,MATCH(MAX(Reference!$A$6,MIN(Reference!$A$11,MIN(D289,150))),Reference!$A$6:$A$11,1))))),0)+IF(4&lt;=AE289,(AE289-4+3)*(INDEX(Reference!$B$6:$B$11,MIN(5,MATCH(MAX(Reference!$A$6,MIN(Reference!$A$11,MIN(D289,180))),Reference!$A$6:$A$11,1)))+(MAX(Reference!$A$6,MIN(Reference!$A$11,MIN(D289,180)))-INDEX(Reference!$A$6:$A$11,MIN(5,MATCH(MAX(Reference!$A$6,MIN(Reference!$A$11,MIN(D289,180))),Reference!$A$6:$A$11,1))))*(INDEX(Reference!$B$6:$B$11,MIN(5,MATCH(MAX(Reference!$A$6,MIN(Reference!$A$11,MIN(D289,180))),Reference!$A$6:$A$11,1))+1)-INDEX(Reference!$B$6:$B$11,MIN(5,MATCH(MAX(Reference!$A$6,MIN(Reference!$A$11,MIN(D289,180))),Reference!$A$6:$A$11,1))))/(INDEX(Reference!$A$6:$A$11,MIN(5,MATCH(MAX(Reference!$A$6,MIN(Reference!$A$11,MIN(D289,180))),Reference!$A$6:$A$11,1))+1)-INDEX(Reference!$A$6:$A$11,MIN(5,MATCH(MAX(Reference!$A$6,MIN(Reference!$A$11,MIN(D289,180))),Reference!$A$6:$A$11,1))))),0)+IF(5&lt;=AE289,(AE289-5+3)*(INDEX(Reference!$B$6:$B$11,MIN(5,MATCH(MAX(Reference!$A$6,MIN(Reference!$A$11,MIN(D289,210))),Reference!$A$6:$A$11,1)))+(MAX(Reference!$A$6,MIN(Reference!$A$11,MIN(D289,210)))-INDEX(Reference!$A$6:$A$11,MIN(5,MATCH(MAX(Reference!$A$6,MIN(Reference!$A$11,MIN(D289,210))),Reference!$A$6:$A$11,1))))*(INDEX(Reference!$B$6:$B$11,MIN(5,MATCH(MAX(Reference!$A$6,MIN(Reference!$A$11,MIN(D289,210))),Reference!$A$6:$A$11,1))+1)-INDEX(Reference!$B$6:$B$11,MIN(5,MATCH(MAX(Reference!$A$6,MIN(Reference!$A$11,MIN(D289,210))),Reference!$A$6:$A$11,1))))/(INDEX(Reference!$A$6:$A$11,MIN(5,MATCH(MAX(Reference!$A$6,MIN(Reference!$A$11,MIN(D289,210))),Reference!$A$6:$A$11,1))+1)-INDEX(Reference!$A$6:$A$11,MIN(5,MATCH(MAX(Reference!$A$6,MIN(Reference!$A$11,MIN(D289,210))),Reference!$A$6:$A$11,1))))),0)+IF(6&lt;=AE289,(AE289-6+3)*(INDEX(Reference!$B$6:$B$11,MIN(5,MATCH(MAX(Reference!$A$6,MIN(Reference!$A$11,MIN(D289,240))),Reference!$A$6:$A$11,1)))+(MAX(Reference!$A$6,MIN(Reference!$A$11,MIN(D289,240)))-INDEX(Reference!$A$6:$A$11,MIN(5,MATCH(MAX(Reference!$A$6,MIN(Reference!$A$11,MIN(D289,240))),Reference!$A$6:$A$11,1))))*(INDEX(Reference!$B$6:$B$11,MIN(5,MATCH(MAX(Reference!$A$6,MIN(Reference!$A$11,MIN(D289,240))),Reference!$A$6:$A$11,1))+1)-INDEX(Reference!$B$6:$B$11,MIN(5,MATCH(MAX(Reference!$A$6,MIN(Reference!$A$11,MIN(D289,240))),Reference!$A$6:$A$11,1))))/(INDEX(Reference!$A$6:$A$11,MIN(5,MATCH(MAX(Reference!$A$6,MIN(Reference!$A$11,MIN(D289,240))),Reference!$A$6:$A$11,1))+1)-INDEX(Reference!$A$6:$A$11,MIN(5,MATCH(MAX(Reference!$A$6,MIN(Reference!$A$11,MIN(D289,240))),Reference!$A$6:$A$11,1))))),0)+IF(7&lt;=AE289,(AE289-7+3)*(INDEX(Reference!$B$6:$B$11,MIN(5,MATCH(MAX(Reference!$A$6,MIN(Reference!$A$11,MIN(D289,270))),Reference!$A$6:$A$11,1)))+(MAX(Reference!$A$6,MIN(Reference!$A$11,MIN(D289,270)))-INDEX(Reference!$A$6:$A$11,MIN(5,MATCH(MAX(Reference!$A$6,MIN(Reference!$A$11,MIN(D289,270))),Reference!$A$6:$A$11,1))))*(INDEX(Reference!$B$6:$B$11,MIN(5,MATCH(MAX(Reference!$A$6,MIN(Reference!$A$11,MIN(D289,270))),Reference!$A$6:$A$11,1))+1)-INDEX(Reference!$B$6:$B$11,MIN(5,MATCH(MAX(Reference!$A$6,MIN(Reference!$A$11,MIN(D289,270))),Reference!$A$6:$A$11,1))))/(INDEX(Reference!$A$6:$A$11,MIN(5,MATCH(MAX(Reference!$A$6,MIN(Reference!$A$11,MIN(D289,270))),Reference!$A$6:$A$11,1))+1)-INDEX(Reference!$A$6:$A$11,MIN(5,MATCH(MAX(Reference!$A$6,MIN(Reference!$A$11,MIN(D289,270))),Reference!$A$6:$A$11,1))))),0)+IF(8&lt;=AE289,(AE289-8+3)*(INDEX(Reference!$B$6:$B$11,MIN(5,MATCH(MAX(Reference!$A$6,MIN(Reference!$A$11,MIN(D289,300))),Reference!$A$6:$A$11,1)))+(MAX(Reference!$A$6,MIN(Reference!$A$11,MIN(D289,300)))-INDEX(Reference!$A$6:$A$11,MIN(5,MATCH(MAX(Reference!$A$6,MIN(Reference!$A$11,MIN(D289,300))),Reference!$A$6:$A$11,1))))*(INDEX(Reference!$B$6:$B$11,MIN(5,MATCH(MAX(Reference!$A$6,MIN(Reference!$A$11,MIN(D289,300))),Reference!$A$6:$A$11,1))+1)-INDEX(Reference!$B$6:$B$11,MIN(5,MATCH(MAX(Reference!$A$6,MIN(Reference!$A$11,MIN(D289,300))),Reference!$A$6:$A$11,1))))/(INDEX(Reference!$A$6:$A$11,MIN(5,MATCH(MAX(Reference!$A$6,MIN(Reference!$A$11,MIN(D289,300))),Reference!$A$6:$A$11,1))+1)-INDEX(Reference!$A$6:$A$11,MIN(5,MATCH(MAX(Reference!$A$6,MIN(Reference!$A$11,MIN(D289,300))),Reference!$A$6:$A$11,1))))),0))/(AE289*(AE289+5)/2)),(INDEX(Reference!$B$6:$B$11,MIN(5,MATCH(MAX(Reference!$A$6,MIN(Reference!$A$11,D289)),Reference!$A$6:$A$11,1)))+(MAX(Reference!$A$6,MIN(Reference!$A$11,D289))-INDEX(Reference!$A$6:$A$11,MIN(5,MATCH(MAX(Reference!$A$6,MIN(Reference!$A$11,D289)),Reference!$A$6:$A$11,1))))*(INDEX(Reference!$B$6:$B$11,MIN(5,MATCH(MAX(Reference!$A$6,MIN(Reference!$A$11,D289)),Reference!$A$6:$A$11,1))+1)-INDEX(Reference!$B$6:$B$11,MIN(5,MATCH(MAX(Reference!$A$6,MIN(Reference!$A$11,D289)),Reference!$A$6:$A$11,1))))/(INDEX(Reference!$A$6:$A$11,MIN(5,MATCH(MAX(Reference!$A$6,MIN(Reference!$A$11,D289)),Reference!$A$6:$A$11,1))+1)-INDEX(Reference!$A$6:$A$11,MIN(5,MATCH(MAX(Reference!$A$6,MIN(Reference!$A$11,D289)),Reference!$A$6:$A$11,1))))))))</f>
        <v/>
      </c>
      <c r="P289" s="32" t="str">
        <f>IF(N289="","",VLOOKUP(MAX(N289,0),Reference!$A$17:$B$20,2,TRUE()))</f>
        <v/>
      </c>
      <c r="Q289" s="32" t="str">
        <f t="shared" si="39"/>
        <v/>
      </c>
      <c r="R289" s="31"/>
      <c r="S289" s="31"/>
      <c r="T289" s="31"/>
      <c r="U289" s="32" t="str">
        <f t="shared" si="40"/>
        <v/>
      </c>
      <c r="V289" s="32" t="str">
        <f t="shared" si="41"/>
        <v/>
      </c>
      <c r="W289" s="32" t="str">
        <f>IF(V289="","",VLOOKUP(MAX(V289,0),Reference!$A$17:$B$20,2,TRUE()))</f>
        <v/>
      </c>
      <c r="X289" s="31"/>
      <c r="Y289" s="31"/>
      <c r="Z289" s="31"/>
      <c r="AA289" s="32" t="str">
        <f t="shared" si="42"/>
        <v/>
      </c>
      <c r="AB289" s="32" t="str">
        <f t="shared" si="43"/>
        <v/>
      </c>
      <c r="AC289" s="32" t="str">
        <f>IF(AB289="","",VLOOKUP(MAX(AB289,0),Reference!$A$17:$B$20,2,TRUE()))</f>
        <v/>
      </c>
      <c r="AD289" s="31"/>
      <c r="AE289">
        <f t="shared" si="44"/>
        <v>1</v>
      </c>
      <c r="AF289" s="33" t="str">
        <f>IF(OR(A289="",B289="",AND(C289&lt;&gt;"Bullpen",C289&lt;&gt;"Game")),"",IF((COUNTIFS($B$5:$B$300,B289,$A$5:$A$300,A289-1,$C$5:$C$300,"Bullpen",$AG$5:$AG$300,"&gt;0") + COUNTIFS($B$5:$B$300,B289,$A$5:$A$300,A289-1,$C$5:$C$300,"Game",$AG$5:$AG$300,"&gt;0"))&gt;0,Reference!$B$119,IF((COUNTIFS($B$5:$B$300,B289,$A$5:$A$300,A289-2,$C$5:$C$300,"Bullpen",$AG$5:$AG$300,"&gt;0") + COUNTIFS($B$5:$B$300,B289,$A$5:$A$300,A289-2,$C$5:$C$300,"Game",$AG$5:$AG$300,"&gt;0"))&gt;0,Reference!$B$120,1)))</f>
        <v/>
      </c>
      <c r="AG289" s="30" t="str">
        <f>IF(AND(OR(I289="",O289="",P289=""),OR(R289="",W289=""),OR(X289="",AC289="")),"",IF(OR(I289="",O289="",P289=""),0,I289*O289*P289)+IF(OR(R289="",W289=""),0,R289*IFERROR(INDEX(Reference!$B$61:$B$62,MATCH("Bullpen",Reference!$A$61:$A$62,0)),0)*W289)+IF(OR(X289="",AC289=""),0,X289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289))</f>
        <v/>
      </c>
    </row>
    <row r="290" spans="1:33" x14ac:dyDescent="0.3">
      <c r="A290" s="35"/>
      <c r="B290" s="31"/>
      <c r="C290" s="31"/>
      <c r="D290" s="31"/>
      <c r="E290" s="34"/>
      <c r="F290" s="34"/>
      <c r="G290" s="30" t="str">
        <f t="shared" si="36"/>
        <v/>
      </c>
      <c r="H290" s="31"/>
      <c r="I290" s="32" t="str">
        <f>IF(H290&lt;&gt;"",H290,IF(G290="","",ROUND(G290*IFERROR(INDEX(Reference!$B$44:$B$50,MATCH(C290,Reference!$A$44:$A$50,0)),0),0)))</f>
        <v/>
      </c>
      <c r="J290" s="31"/>
      <c r="K290" s="31"/>
      <c r="L290" s="32" t="str">
        <f t="shared" si="37"/>
        <v/>
      </c>
      <c r="M290" s="32" t="str">
        <f>IFERROR(INDEX(Roster!$D$5:$D$40,MATCH(B290,Roster!$A$5:$A$40,0)),"")</f>
        <v/>
      </c>
      <c r="N290" s="32" t="str">
        <f t="shared" si="38"/>
        <v/>
      </c>
      <c r="O290" s="32" t="str">
        <f>IF(OR(C290="Bullpen",C290="Game"),IFERROR(INDEX(Reference!$B$61:$B$62,MATCH(C290,Reference!$A$61:$A$62,0)),""),IF(D290="","",IF(AE290&gt;1,((IF(1&lt;=AE290,(AE290-1+3)*(INDEX(Reference!$B$6:$B$11,MIN(5,MATCH(MAX(Reference!$A$6,MIN(Reference!$A$11,MIN(D290,90))),Reference!$A$6:$A$11,1)))+(MAX(Reference!$A$6,MIN(Reference!$A$11,MIN(D290,90)))-INDEX(Reference!$A$6:$A$11,MIN(5,MATCH(MAX(Reference!$A$6,MIN(Reference!$A$11,MIN(D290,90))),Reference!$A$6:$A$11,1))))*(INDEX(Reference!$B$6:$B$11,MIN(5,MATCH(MAX(Reference!$A$6,MIN(Reference!$A$11,MIN(D290,90))),Reference!$A$6:$A$11,1))+1)-INDEX(Reference!$B$6:$B$11,MIN(5,MATCH(MAX(Reference!$A$6,MIN(Reference!$A$11,MIN(D290,90))),Reference!$A$6:$A$11,1))))/(INDEX(Reference!$A$6:$A$11,MIN(5,MATCH(MAX(Reference!$A$6,MIN(Reference!$A$11,MIN(D290,90))),Reference!$A$6:$A$11,1))+1)-INDEX(Reference!$A$6:$A$11,MIN(5,MATCH(MAX(Reference!$A$6,MIN(Reference!$A$11,MIN(D290,90))),Reference!$A$6:$A$11,1))))),0)+IF(2&lt;=AE290,(AE290-2+3)*(INDEX(Reference!$B$6:$B$11,MIN(5,MATCH(MAX(Reference!$A$6,MIN(Reference!$A$11,MIN(D290,120))),Reference!$A$6:$A$11,1)))+(MAX(Reference!$A$6,MIN(Reference!$A$11,MIN(D290,120)))-INDEX(Reference!$A$6:$A$11,MIN(5,MATCH(MAX(Reference!$A$6,MIN(Reference!$A$11,MIN(D290,120))),Reference!$A$6:$A$11,1))))*(INDEX(Reference!$B$6:$B$11,MIN(5,MATCH(MAX(Reference!$A$6,MIN(Reference!$A$11,MIN(D290,120))),Reference!$A$6:$A$11,1))+1)-INDEX(Reference!$B$6:$B$11,MIN(5,MATCH(MAX(Reference!$A$6,MIN(Reference!$A$11,MIN(D290,120))),Reference!$A$6:$A$11,1))))/(INDEX(Reference!$A$6:$A$11,MIN(5,MATCH(MAX(Reference!$A$6,MIN(Reference!$A$11,MIN(D290,120))),Reference!$A$6:$A$11,1))+1)-INDEX(Reference!$A$6:$A$11,MIN(5,MATCH(MAX(Reference!$A$6,MIN(Reference!$A$11,MIN(D290,120))),Reference!$A$6:$A$11,1))))),0)+IF(3&lt;=AE290,(AE290-3+3)*(INDEX(Reference!$B$6:$B$11,MIN(5,MATCH(MAX(Reference!$A$6,MIN(Reference!$A$11,MIN(D290,150))),Reference!$A$6:$A$11,1)))+(MAX(Reference!$A$6,MIN(Reference!$A$11,MIN(D290,150)))-INDEX(Reference!$A$6:$A$11,MIN(5,MATCH(MAX(Reference!$A$6,MIN(Reference!$A$11,MIN(D290,150))),Reference!$A$6:$A$11,1))))*(INDEX(Reference!$B$6:$B$11,MIN(5,MATCH(MAX(Reference!$A$6,MIN(Reference!$A$11,MIN(D290,150))),Reference!$A$6:$A$11,1))+1)-INDEX(Reference!$B$6:$B$11,MIN(5,MATCH(MAX(Reference!$A$6,MIN(Reference!$A$11,MIN(D290,150))),Reference!$A$6:$A$11,1))))/(INDEX(Reference!$A$6:$A$11,MIN(5,MATCH(MAX(Reference!$A$6,MIN(Reference!$A$11,MIN(D290,150))),Reference!$A$6:$A$11,1))+1)-INDEX(Reference!$A$6:$A$11,MIN(5,MATCH(MAX(Reference!$A$6,MIN(Reference!$A$11,MIN(D290,150))),Reference!$A$6:$A$11,1))))),0)+IF(4&lt;=AE290,(AE290-4+3)*(INDEX(Reference!$B$6:$B$11,MIN(5,MATCH(MAX(Reference!$A$6,MIN(Reference!$A$11,MIN(D290,180))),Reference!$A$6:$A$11,1)))+(MAX(Reference!$A$6,MIN(Reference!$A$11,MIN(D290,180)))-INDEX(Reference!$A$6:$A$11,MIN(5,MATCH(MAX(Reference!$A$6,MIN(Reference!$A$11,MIN(D290,180))),Reference!$A$6:$A$11,1))))*(INDEX(Reference!$B$6:$B$11,MIN(5,MATCH(MAX(Reference!$A$6,MIN(Reference!$A$11,MIN(D290,180))),Reference!$A$6:$A$11,1))+1)-INDEX(Reference!$B$6:$B$11,MIN(5,MATCH(MAX(Reference!$A$6,MIN(Reference!$A$11,MIN(D290,180))),Reference!$A$6:$A$11,1))))/(INDEX(Reference!$A$6:$A$11,MIN(5,MATCH(MAX(Reference!$A$6,MIN(Reference!$A$11,MIN(D290,180))),Reference!$A$6:$A$11,1))+1)-INDEX(Reference!$A$6:$A$11,MIN(5,MATCH(MAX(Reference!$A$6,MIN(Reference!$A$11,MIN(D290,180))),Reference!$A$6:$A$11,1))))),0)+IF(5&lt;=AE290,(AE290-5+3)*(INDEX(Reference!$B$6:$B$11,MIN(5,MATCH(MAX(Reference!$A$6,MIN(Reference!$A$11,MIN(D290,210))),Reference!$A$6:$A$11,1)))+(MAX(Reference!$A$6,MIN(Reference!$A$11,MIN(D290,210)))-INDEX(Reference!$A$6:$A$11,MIN(5,MATCH(MAX(Reference!$A$6,MIN(Reference!$A$11,MIN(D290,210))),Reference!$A$6:$A$11,1))))*(INDEX(Reference!$B$6:$B$11,MIN(5,MATCH(MAX(Reference!$A$6,MIN(Reference!$A$11,MIN(D290,210))),Reference!$A$6:$A$11,1))+1)-INDEX(Reference!$B$6:$B$11,MIN(5,MATCH(MAX(Reference!$A$6,MIN(Reference!$A$11,MIN(D290,210))),Reference!$A$6:$A$11,1))))/(INDEX(Reference!$A$6:$A$11,MIN(5,MATCH(MAX(Reference!$A$6,MIN(Reference!$A$11,MIN(D290,210))),Reference!$A$6:$A$11,1))+1)-INDEX(Reference!$A$6:$A$11,MIN(5,MATCH(MAX(Reference!$A$6,MIN(Reference!$A$11,MIN(D290,210))),Reference!$A$6:$A$11,1))))),0)+IF(6&lt;=AE290,(AE290-6+3)*(INDEX(Reference!$B$6:$B$11,MIN(5,MATCH(MAX(Reference!$A$6,MIN(Reference!$A$11,MIN(D290,240))),Reference!$A$6:$A$11,1)))+(MAX(Reference!$A$6,MIN(Reference!$A$11,MIN(D290,240)))-INDEX(Reference!$A$6:$A$11,MIN(5,MATCH(MAX(Reference!$A$6,MIN(Reference!$A$11,MIN(D290,240))),Reference!$A$6:$A$11,1))))*(INDEX(Reference!$B$6:$B$11,MIN(5,MATCH(MAX(Reference!$A$6,MIN(Reference!$A$11,MIN(D290,240))),Reference!$A$6:$A$11,1))+1)-INDEX(Reference!$B$6:$B$11,MIN(5,MATCH(MAX(Reference!$A$6,MIN(Reference!$A$11,MIN(D290,240))),Reference!$A$6:$A$11,1))))/(INDEX(Reference!$A$6:$A$11,MIN(5,MATCH(MAX(Reference!$A$6,MIN(Reference!$A$11,MIN(D290,240))),Reference!$A$6:$A$11,1))+1)-INDEX(Reference!$A$6:$A$11,MIN(5,MATCH(MAX(Reference!$A$6,MIN(Reference!$A$11,MIN(D290,240))),Reference!$A$6:$A$11,1))))),0)+IF(7&lt;=AE290,(AE290-7+3)*(INDEX(Reference!$B$6:$B$11,MIN(5,MATCH(MAX(Reference!$A$6,MIN(Reference!$A$11,MIN(D290,270))),Reference!$A$6:$A$11,1)))+(MAX(Reference!$A$6,MIN(Reference!$A$11,MIN(D290,270)))-INDEX(Reference!$A$6:$A$11,MIN(5,MATCH(MAX(Reference!$A$6,MIN(Reference!$A$11,MIN(D290,270))),Reference!$A$6:$A$11,1))))*(INDEX(Reference!$B$6:$B$11,MIN(5,MATCH(MAX(Reference!$A$6,MIN(Reference!$A$11,MIN(D290,270))),Reference!$A$6:$A$11,1))+1)-INDEX(Reference!$B$6:$B$11,MIN(5,MATCH(MAX(Reference!$A$6,MIN(Reference!$A$11,MIN(D290,270))),Reference!$A$6:$A$11,1))))/(INDEX(Reference!$A$6:$A$11,MIN(5,MATCH(MAX(Reference!$A$6,MIN(Reference!$A$11,MIN(D290,270))),Reference!$A$6:$A$11,1))+1)-INDEX(Reference!$A$6:$A$11,MIN(5,MATCH(MAX(Reference!$A$6,MIN(Reference!$A$11,MIN(D290,270))),Reference!$A$6:$A$11,1))))),0)+IF(8&lt;=AE290,(AE290-8+3)*(INDEX(Reference!$B$6:$B$11,MIN(5,MATCH(MAX(Reference!$A$6,MIN(Reference!$A$11,MIN(D290,300))),Reference!$A$6:$A$11,1)))+(MAX(Reference!$A$6,MIN(Reference!$A$11,MIN(D290,300)))-INDEX(Reference!$A$6:$A$11,MIN(5,MATCH(MAX(Reference!$A$6,MIN(Reference!$A$11,MIN(D290,300))),Reference!$A$6:$A$11,1))))*(INDEX(Reference!$B$6:$B$11,MIN(5,MATCH(MAX(Reference!$A$6,MIN(Reference!$A$11,MIN(D290,300))),Reference!$A$6:$A$11,1))+1)-INDEX(Reference!$B$6:$B$11,MIN(5,MATCH(MAX(Reference!$A$6,MIN(Reference!$A$11,MIN(D290,300))),Reference!$A$6:$A$11,1))))/(INDEX(Reference!$A$6:$A$11,MIN(5,MATCH(MAX(Reference!$A$6,MIN(Reference!$A$11,MIN(D290,300))),Reference!$A$6:$A$11,1))+1)-INDEX(Reference!$A$6:$A$11,MIN(5,MATCH(MAX(Reference!$A$6,MIN(Reference!$A$11,MIN(D290,300))),Reference!$A$6:$A$11,1))))),0))/(AE290*(AE290+5)/2)),(INDEX(Reference!$B$6:$B$11,MIN(5,MATCH(MAX(Reference!$A$6,MIN(Reference!$A$11,D290)),Reference!$A$6:$A$11,1)))+(MAX(Reference!$A$6,MIN(Reference!$A$11,D290))-INDEX(Reference!$A$6:$A$11,MIN(5,MATCH(MAX(Reference!$A$6,MIN(Reference!$A$11,D290)),Reference!$A$6:$A$11,1))))*(INDEX(Reference!$B$6:$B$11,MIN(5,MATCH(MAX(Reference!$A$6,MIN(Reference!$A$11,D290)),Reference!$A$6:$A$11,1))+1)-INDEX(Reference!$B$6:$B$11,MIN(5,MATCH(MAX(Reference!$A$6,MIN(Reference!$A$11,D290)),Reference!$A$6:$A$11,1))))/(INDEX(Reference!$A$6:$A$11,MIN(5,MATCH(MAX(Reference!$A$6,MIN(Reference!$A$11,D290)),Reference!$A$6:$A$11,1))+1)-INDEX(Reference!$A$6:$A$11,MIN(5,MATCH(MAX(Reference!$A$6,MIN(Reference!$A$11,D290)),Reference!$A$6:$A$11,1))))))))</f>
        <v/>
      </c>
      <c r="P290" s="32" t="str">
        <f>IF(N290="","",VLOOKUP(MAX(N290,0),Reference!$A$17:$B$20,2,TRUE()))</f>
        <v/>
      </c>
      <c r="Q290" s="32" t="str">
        <f t="shared" si="39"/>
        <v/>
      </c>
      <c r="R290" s="31"/>
      <c r="S290" s="31"/>
      <c r="T290" s="31"/>
      <c r="U290" s="32" t="str">
        <f t="shared" si="40"/>
        <v/>
      </c>
      <c r="V290" s="32" t="str">
        <f t="shared" si="41"/>
        <v/>
      </c>
      <c r="W290" s="32" t="str">
        <f>IF(V290="","",VLOOKUP(MAX(V290,0),Reference!$A$17:$B$20,2,TRUE()))</f>
        <v/>
      </c>
      <c r="X290" s="31"/>
      <c r="Y290" s="31"/>
      <c r="Z290" s="31"/>
      <c r="AA290" s="32" t="str">
        <f t="shared" si="42"/>
        <v/>
      </c>
      <c r="AB290" s="32" t="str">
        <f t="shared" si="43"/>
        <v/>
      </c>
      <c r="AC290" s="32" t="str">
        <f>IF(AB290="","",VLOOKUP(MAX(AB290,0),Reference!$A$17:$B$20,2,TRUE()))</f>
        <v/>
      </c>
      <c r="AD290" s="31"/>
      <c r="AE290">
        <f t="shared" si="44"/>
        <v>1</v>
      </c>
      <c r="AF290" s="33" t="str">
        <f>IF(OR(A290="",B290="",AND(C290&lt;&gt;"Bullpen",C290&lt;&gt;"Game")),"",IF((COUNTIFS($B$5:$B$300,B290,$A$5:$A$300,A290-1,$C$5:$C$300,"Bullpen",$AG$5:$AG$300,"&gt;0") + COUNTIFS($B$5:$B$300,B290,$A$5:$A$300,A290-1,$C$5:$C$300,"Game",$AG$5:$AG$300,"&gt;0"))&gt;0,Reference!$B$119,IF((COUNTIFS($B$5:$B$300,B290,$A$5:$A$300,A290-2,$C$5:$C$300,"Bullpen",$AG$5:$AG$300,"&gt;0") + COUNTIFS($B$5:$B$300,B290,$A$5:$A$300,A290-2,$C$5:$C$300,"Game",$AG$5:$AG$300,"&gt;0"))&gt;0,Reference!$B$120,1)))</f>
        <v/>
      </c>
      <c r="AG290" s="30" t="str">
        <f>IF(AND(OR(I290="",O290="",P290=""),OR(R290="",W290=""),OR(X290="",AC290="")),"",IF(OR(I290="",O290="",P290=""),0,I290*O290*P290)+IF(OR(R290="",W290=""),0,R290*IFERROR(INDEX(Reference!$B$61:$B$62,MATCH("Bullpen",Reference!$A$61:$A$62,0)),0)*W290)+IF(OR(X290="",AC290=""),0,X290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290))</f>
        <v/>
      </c>
    </row>
    <row r="291" spans="1:33" x14ac:dyDescent="0.3">
      <c r="A291" s="35"/>
      <c r="B291" s="31"/>
      <c r="C291" s="31"/>
      <c r="D291" s="31"/>
      <c r="E291" s="34"/>
      <c r="F291" s="34"/>
      <c r="G291" s="30" t="str">
        <f t="shared" si="36"/>
        <v/>
      </c>
      <c r="H291" s="31"/>
      <c r="I291" s="32" t="str">
        <f>IF(H291&lt;&gt;"",H291,IF(G291="","",ROUND(G291*IFERROR(INDEX(Reference!$B$44:$B$50,MATCH(C291,Reference!$A$44:$A$50,0)),0),0)))</f>
        <v/>
      </c>
      <c r="J291" s="31"/>
      <c r="K291" s="31"/>
      <c r="L291" s="32" t="str">
        <f t="shared" si="37"/>
        <v/>
      </c>
      <c r="M291" s="32" t="str">
        <f>IFERROR(INDEX(Roster!$D$5:$D$40,MATCH(B291,Roster!$A$5:$A$40,0)),"")</f>
        <v/>
      </c>
      <c r="N291" s="32" t="str">
        <f t="shared" si="38"/>
        <v/>
      </c>
      <c r="O291" s="32" t="str">
        <f>IF(OR(C291="Bullpen",C291="Game"),IFERROR(INDEX(Reference!$B$61:$B$62,MATCH(C291,Reference!$A$61:$A$62,0)),""),IF(D291="","",IF(AE291&gt;1,((IF(1&lt;=AE291,(AE291-1+3)*(INDEX(Reference!$B$6:$B$11,MIN(5,MATCH(MAX(Reference!$A$6,MIN(Reference!$A$11,MIN(D291,90))),Reference!$A$6:$A$11,1)))+(MAX(Reference!$A$6,MIN(Reference!$A$11,MIN(D291,90)))-INDEX(Reference!$A$6:$A$11,MIN(5,MATCH(MAX(Reference!$A$6,MIN(Reference!$A$11,MIN(D291,90))),Reference!$A$6:$A$11,1))))*(INDEX(Reference!$B$6:$B$11,MIN(5,MATCH(MAX(Reference!$A$6,MIN(Reference!$A$11,MIN(D291,90))),Reference!$A$6:$A$11,1))+1)-INDEX(Reference!$B$6:$B$11,MIN(5,MATCH(MAX(Reference!$A$6,MIN(Reference!$A$11,MIN(D291,90))),Reference!$A$6:$A$11,1))))/(INDEX(Reference!$A$6:$A$11,MIN(5,MATCH(MAX(Reference!$A$6,MIN(Reference!$A$11,MIN(D291,90))),Reference!$A$6:$A$11,1))+1)-INDEX(Reference!$A$6:$A$11,MIN(5,MATCH(MAX(Reference!$A$6,MIN(Reference!$A$11,MIN(D291,90))),Reference!$A$6:$A$11,1))))),0)+IF(2&lt;=AE291,(AE291-2+3)*(INDEX(Reference!$B$6:$B$11,MIN(5,MATCH(MAX(Reference!$A$6,MIN(Reference!$A$11,MIN(D291,120))),Reference!$A$6:$A$11,1)))+(MAX(Reference!$A$6,MIN(Reference!$A$11,MIN(D291,120)))-INDEX(Reference!$A$6:$A$11,MIN(5,MATCH(MAX(Reference!$A$6,MIN(Reference!$A$11,MIN(D291,120))),Reference!$A$6:$A$11,1))))*(INDEX(Reference!$B$6:$B$11,MIN(5,MATCH(MAX(Reference!$A$6,MIN(Reference!$A$11,MIN(D291,120))),Reference!$A$6:$A$11,1))+1)-INDEX(Reference!$B$6:$B$11,MIN(5,MATCH(MAX(Reference!$A$6,MIN(Reference!$A$11,MIN(D291,120))),Reference!$A$6:$A$11,1))))/(INDEX(Reference!$A$6:$A$11,MIN(5,MATCH(MAX(Reference!$A$6,MIN(Reference!$A$11,MIN(D291,120))),Reference!$A$6:$A$11,1))+1)-INDEX(Reference!$A$6:$A$11,MIN(5,MATCH(MAX(Reference!$A$6,MIN(Reference!$A$11,MIN(D291,120))),Reference!$A$6:$A$11,1))))),0)+IF(3&lt;=AE291,(AE291-3+3)*(INDEX(Reference!$B$6:$B$11,MIN(5,MATCH(MAX(Reference!$A$6,MIN(Reference!$A$11,MIN(D291,150))),Reference!$A$6:$A$11,1)))+(MAX(Reference!$A$6,MIN(Reference!$A$11,MIN(D291,150)))-INDEX(Reference!$A$6:$A$11,MIN(5,MATCH(MAX(Reference!$A$6,MIN(Reference!$A$11,MIN(D291,150))),Reference!$A$6:$A$11,1))))*(INDEX(Reference!$B$6:$B$11,MIN(5,MATCH(MAX(Reference!$A$6,MIN(Reference!$A$11,MIN(D291,150))),Reference!$A$6:$A$11,1))+1)-INDEX(Reference!$B$6:$B$11,MIN(5,MATCH(MAX(Reference!$A$6,MIN(Reference!$A$11,MIN(D291,150))),Reference!$A$6:$A$11,1))))/(INDEX(Reference!$A$6:$A$11,MIN(5,MATCH(MAX(Reference!$A$6,MIN(Reference!$A$11,MIN(D291,150))),Reference!$A$6:$A$11,1))+1)-INDEX(Reference!$A$6:$A$11,MIN(5,MATCH(MAX(Reference!$A$6,MIN(Reference!$A$11,MIN(D291,150))),Reference!$A$6:$A$11,1))))),0)+IF(4&lt;=AE291,(AE291-4+3)*(INDEX(Reference!$B$6:$B$11,MIN(5,MATCH(MAX(Reference!$A$6,MIN(Reference!$A$11,MIN(D291,180))),Reference!$A$6:$A$11,1)))+(MAX(Reference!$A$6,MIN(Reference!$A$11,MIN(D291,180)))-INDEX(Reference!$A$6:$A$11,MIN(5,MATCH(MAX(Reference!$A$6,MIN(Reference!$A$11,MIN(D291,180))),Reference!$A$6:$A$11,1))))*(INDEX(Reference!$B$6:$B$11,MIN(5,MATCH(MAX(Reference!$A$6,MIN(Reference!$A$11,MIN(D291,180))),Reference!$A$6:$A$11,1))+1)-INDEX(Reference!$B$6:$B$11,MIN(5,MATCH(MAX(Reference!$A$6,MIN(Reference!$A$11,MIN(D291,180))),Reference!$A$6:$A$11,1))))/(INDEX(Reference!$A$6:$A$11,MIN(5,MATCH(MAX(Reference!$A$6,MIN(Reference!$A$11,MIN(D291,180))),Reference!$A$6:$A$11,1))+1)-INDEX(Reference!$A$6:$A$11,MIN(5,MATCH(MAX(Reference!$A$6,MIN(Reference!$A$11,MIN(D291,180))),Reference!$A$6:$A$11,1))))),0)+IF(5&lt;=AE291,(AE291-5+3)*(INDEX(Reference!$B$6:$B$11,MIN(5,MATCH(MAX(Reference!$A$6,MIN(Reference!$A$11,MIN(D291,210))),Reference!$A$6:$A$11,1)))+(MAX(Reference!$A$6,MIN(Reference!$A$11,MIN(D291,210)))-INDEX(Reference!$A$6:$A$11,MIN(5,MATCH(MAX(Reference!$A$6,MIN(Reference!$A$11,MIN(D291,210))),Reference!$A$6:$A$11,1))))*(INDEX(Reference!$B$6:$B$11,MIN(5,MATCH(MAX(Reference!$A$6,MIN(Reference!$A$11,MIN(D291,210))),Reference!$A$6:$A$11,1))+1)-INDEX(Reference!$B$6:$B$11,MIN(5,MATCH(MAX(Reference!$A$6,MIN(Reference!$A$11,MIN(D291,210))),Reference!$A$6:$A$11,1))))/(INDEX(Reference!$A$6:$A$11,MIN(5,MATCH(MAX(Reference!$A$6,MIN(Reference!$A$11,MIN(D291,210))),Reference!$A$6:$A$11,1))+1)-INDEX(Reference!$A$6:$A$11,MIN(5,MATCH(MAX(Reference!$A$6,MIN(Reference!$A$11,MIN(D291,210))),Reference!$A$6:$A$11,1))))),0)+IF(6&lt;=AE291,(AE291-6+3)*(INDEX(Reference!$B$6:$B$11,MIN(5,MATCH(MAX(Reference!$A$6,MIN(Reference!$A$11,MIN(D291,240))),Reference!$A$6:$A$11,1)))+(MAX(Reference!$A$6,MIN(Reference!$A$11,MIN(D291,240)))-INDEX(Reference!$A$6:$A$11,MIN(5,MATCH(MAX(Reference!$A$6,MIN(Reference!$A$11,MIN(D291,240))),Reference!$A$6:$A$11,1))))*(INDEX(Reference!$B$6:$B$11,MIN(5,MATCH(MAX(Reference!$A$6,MIN(Reference!$A$11,MIN(D291,240))),Reference!$A$6:$A$11,1))+1)-INDEX(Reference!$B$6:$B$11,MIN(5,MATCH(MAX(Reference!$A$6,MIN(Reference!$A$11,MIN(D291,240))),Reference!$A$6:$A$11,1))))/(INDEX(Reference!$A$6:$A$11,MIN(5,MATCH(MAX(Reference!$A$6,MIN(Reference!$A$11,MIN(D291,240))),Reference!$A$6:$A$11,1))+1)-INDEX(Reference!$A$6:$A$11,MIN(5,MATCH(MAX(Reference!$A$6,MIN(Reference!$A$11,MIN(D291,240))),Reference!$A$6:$A$11,1))))),0)+IF(7&lt;=AE291,(AE291-7+3)*(INDEX(Reference!$B$6:$B$11,MIN(5,MATCH(MAX(Reference!$A$6,MIN(Reference!$A$11,MIN(D291,270))),Reference!$A$6:$A$11,1)))+(MAX(Reference!$A$6,MIN(Reference!$A$11,MIN(D291,270)))-INDEX(Reference!$A$6:$A$11,MIN(5,MATCH(MAX(Reference!$A$6,MIN(Reference!$A$11,MIN(D291,270))),Reference!$A$6:$A$11,1))))*(INDEX(Reference!$B$6:$B$11,MIN(5,MATCH(MAX(Reference!$A$6,MIN(Reference!$A$11,MIN(D291,270))),Reference!$A$6:$A$11,1))+1)-INDEX(Reference!$B$6:$B$11,MIN(5,MATCH(MAX(Reference!$A$6,MIN(Reference!$A$11,MIN(D291,270))),Reference!$A$6:$A$11,1))))/(INDEX(Reference!$A$6:$A$11,MIN(5,MATCH(MAX(Reference!$A$6,MIN(Reference!$A$11,MIN(D291,270))),Reference!$A$6:$A$11,1))+1)-INDEX(Reference!$A$6:$A$11,MIN(5,MATCH(MAX(Reference!$A$6,MIN(Reference!$A$11,MIN(D291,270))),Reference!$A$6:$A$11,1))))),0)+IF(8&lt;=AE291,(AE291-8+3)*(INDEX(Reference!$B$6:$B$11,MIN(5,MATCH(MAX(Reference!$A$6,MIN(Reference!$A$11,MIN(D291,300))),Reference!$A$6:$A$11,1)))+(MAX(Reference!$A$6,MIN(Reference!$A$11,MIN(D291,300)))-INDEX(Reference!$A$6:$A$11,MIN(5,MATCH(MAX(Reference!$A$6,MIN(Reference!$A$11,MIN(D291,300))),Reference!$A$6:$A$11,1))))*(INDEX(Reference!$B$6:$B$11,MIN(5,MATCH(MAX(Reference!$A$6,MIN(Reference!$A$11,MIN(D291,300))),Reference!$A$6:$A$11,1))+1)-INDEX(Reference!$B$6:$B$11,MIN(5,MATCH(MAX(Reference!$A$6,MIN(Reference!$A$11,MIN(D291,300))),Reference!$A$6:$A$11,1))))/(INDEX(Reference!$A$6:$A$11,MIN(5,MATCH(MAX(Reference!$A$6,MIN(Reference!$A$11,MIN(D291,300))),Reference!$A$6:$A$11,1))+1)-INDEX(Reference!$A$6:$A$11,MIN(5,MATCH(MAX(Reference!$A$6,MIN(Reference!$A$11,MIN(D291,300))),Reference!$A$6:$A$11,1))))),0))/(AE291*(AE291+5)/2)),(INDEX(Reference!$B$6:$B$11,MIN(5,MATCH(MAX(Reference!$A$6,MIN(Reference!$A$11,D291)),Reference!$A$6:$A$11,1)))+(MAX(Reference!$A$6,MIN(Reference!$A$11,D291))-INDEX(Reference!$A$6:$A$11,MIN(5,MATCH(MAX(Reference!$A$6,MIN(Reference!$A$11,D291)),Reference!$A$6:$A$11,1))))*(INDEX(Reference!$B$6:$B$11,MIN(5,MATCH(MAX(Reference!$A$6,MIN(Reference!$A$11,D291)),Reference!$A$6:$A$11,1))+1)-INDEX(Reference!$B$6:$B$11,MIN(5,MATCH(MAX(Reference!$A$6,MIN(Reference!$A$11,D291)),Reference!$A$6:$A$11,1))))/(INDEX(Reference!$A$6:$A$11,MIN(5,MATCH(MAX(Reference!$A$6,MIN(Reference!$A$11,D291)),Reference!$A$6:$A$11,1))+1)-INDEX(Reference!$A$6:$A$11,MIN(5,MATCH(MAX(Reference!$A$6,MIN(Reference!$A$11,D291)),Reference!$A$6:$A$11,1))))))))</f>
        <v/>
      </c>
      <c r="P291" s="32" t="str">
        <f>IF(N291="","",VLOOKUP(MAX(N291,0),Reference!$A$17:$B$20,2,TRUE()))</f>
        <v/>
      </c>
      <c r="Q291" s="32" t="str">
        <f t="shared" si="39"/>
        <v/>
      </c>
      <c r="R291" s="31"/>
      <c r="S291" s="31"/>
      <c r="T291" s="31"/>
      <c r="U291" s="32" t="str">
        <f t="shared" si="40"/>
        <v/>
      </c>
      <c r="V291" s="32" t="str">
        <f t="shared" si="41"/>
        <v/>
      </c>
      <c r="W291" s="32" t="str">
        <f>IF(V291="","",VLOOKUP(MAX(V291,0),Reference!$A$17:$B$20,2,TRUE()))</f>
        <v/>
      </c>
      <c r="X291" s="31"/>
      <c r="Y291" s="31"/>
      <c r="Z291" s="31"/>
      <c r="AA291" s="32" t="str">
        <f t="shared" si="42"/>
        <v/>
      </c>
      <c r="AB291" s="32" t="str">
        <f t="shared" si="43"/>
        <v/>
      </c>
      <c r="AC291" s="32" t="str">
        <f>IF(AB291="","",VLOOKUP(MAX(AB291,0),Reference!$A$17:$B$20,2,TRUE()))</f>
        <v/>
      </c>
      <c r="AD291" s="31"/>
      <c r="AE291">
        <f t="shared" si="44"/>
        <v>1</v>
      </c>
      <c r="AF291" s="33" t="str">
        <f>IF(OR(A291="",B291="",AND(C291&lt;&gt;"Bullpen",C291&lt;&gt;"Game")),"",IF((COUNTIFS($B$5:$B$300,B291,$A$5:$A$300,A291-1,$C$5:$C$300,"Bullpen",$AG$5:$AG$300,"&gt;0") + COUNTIFS($B$5:$B$300,B291,$A$5:$A$300,A291-1,$C$5:$C$300,"Game",$AG$5:$AG$300,"&gt;0"))&gt;0,Reference!$B$119,IF((COUNTIFS($B$5:$B$300,B291,$A$5:$A$300,A291-2,$C$5:$C$300,"Bullpen",$AG$5:$AG$300,"&gt;0") + COUNTIFS($B$5:$B$300,B291,$A$5:$A$300,A291-2,$C$5:$C$300,"Game",$AG$5:$AG$300,"&gt;0"))&gt;0,Reference!$B$120,1)))</f>
        <v/>
      </c>
      <c r="AG291" s="30" t="str">
        <f>IF(AND(OR(I291="",O291="",P291=""),OR(R291="",W291=""),OR(X291="",AC291="")),"",IF(OR(I291="",O291="",P291=""),0,I291*O291*P291)+IF(OR(R291="",W291=""),0,R291*IFERROR(INDEX(Reference!$B$61:$B$62,MATCH("Bullpen",Reference!$A$61:$A$62,0)),0)*W291)+IF(OR(X291="",AC291=""),0,X291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291))</f>
        <v/>
      </c>
    </row>
    <row r="292" spans="1:33" x14ac:dyDescent="0.3">
      <c r="A292" s="35"/>
      <c r="B292" s="31"/>
      <c r="C292" s="31"/>
      <c r="D292" s="31"/>
      <c r="E292" s="34"/>
      <c r="F292" s="34"/>
      <c r="G292" s="30" t="str">
        <f t="shared" si="36"/>
        <v/>
      </c>
      <c r="H292" s="31"/>
      <c r="I292" s="32" t="str">
        <f>IF(H292&lt;&gt;"",H292,IF(G292="","",ROUND(G292*IFERROR(INDEX(Reference!$B$44:$B$50,MATCH(C292,Reference!$A$44:$A$50,0)),0),0)))</f>
        <v/>
      </c>
      <c r="J292" s="31"/>
      <c r="K292" s="31"/>
      <c r="L292" s="32" t="str">
        <f t="shared" si="37"/>
        <v/>
      </c>
      <c r="M292" s="32" t="str">
        <f>IFERROR(INDEX(Roster!$D$5:$D$40,MATCH(B292,Roster!$A$5:$A$40,0)),"")</f>
        <v/>
      </c>
      <c r="N292" s="32" t="str">
        <f t="shared" si="38"/>
        <v/>
      </c>
      <c r="O292" s="32" t="str">
        <f>IF(OR(C292="Bullpen",C292="Game"),IFERROR(INDEX(Reference!$B$61:$B$62,MATCH(C292,Reference!$A$61:$A$62,0)),""),IF(D292="","",IF(AE292&gt;1,((IF(1&lt;=AE292,(AE292-1+3)*(INDEX(Reference!$B$6:$B$11,MIN(5,MATCH(MAX(Reference!$A$6,MIN(Reference!$A$11,MIN(D292,90))),Reference!$A$6:$A$11,1)))+(MAX(Reference!$A$6,MIN(Reference!$A$11,MIN(D292,90)))-INDEX(Reference!$A$6:$A$11,MIN(5,MATCH(MAX(Reference!$A$6,MIN(Reference!$A$11,MIN(D292,90))),Reference!$A$6:$A$11,1))))*(INDEX(Reference!$B$6:$B$11,MIN(5,MATCH(MAX(Reference!$A$6,MIN(Reference!$A$11,MIN(D292,90))),Reference!$A$6:$A$11,1))+1)-INDEX(Reference!$B$6:$B$11,MIN(5,MATCH(MAX(Reference!$A$6,MIN(Reference!$A$11,MIN(D292,90))),Reference!$A$6:$A$11,1))))/(INDEX(Reference!$A$6:$A$11,MIN(5,MATCH(MAX(Reference!$A$6,MIN(Reference!$A$11,MIN(D292,90))),Reference!$A$6:$A$11,1))+1)-INDEX(Reference!$A$6:$A$11,MIN(5,MATCH(MAX(Reference!$A$6,MIN(Reference!$A$11,MIN(D292,90))),Reference!$A$6:$A$11,1))))),0)+IF(2&lt;=AE292,(AE292-2+3)*(INDEX(Reference!$B$6:$B$11,MIN(5,MATCH(MAX(Reference!$A$6,MIN(Reference!$A$11,MIN(D292,120))),Reference!$A$6:$A$11,1)))+(MAX(Reference!$A$6,MIN(Reference!$A$11,MIN(D292,120)))-INDEX(Reference!$A$6:$A$11,MIN(5,MATCH(MAX(Reference!$A$6,MIN(Reference!$A$11,MIN(D292,120))),Reference!$A$6:$A$11,1))))*(INDEX(Reference!$B$6:$B$11,MIN(5,MATCH(MAX(Reference!$A$6,MIN(Reference!$A$11,MIN(D292,120))),Reference!$A$6:$A$11,1))+1)-INDEX(Reference!$B$6:$B$11,MIN(5,MATCH(MAX(Reference!$A$6,MIN(Reference!$A$11,MIN(D292,120))),Reference!$A$6:$A$11,1))))/(INDEX(Reference!$A$6:$A$11,MIN(5,MATCH(MAX(Reference!$A$6,MIN(Reference!$A$11,MIN(D292,120))),Reference!$A$6:$A$11,1))+1)-INDEX(Reference!$A$6:$A$11,MIN(5,MATCH(MAX(Reference!$A$6,MIN(Reference!$A$11,MIN(D292,120))),Reference!$A$6:$A$11,1))))),0)+IF(3&lt;=AE292,(AE292-3+3)*(INDEX(Reference!$B$6:$B$11,MIN(5,MATCH(MAX(Reference!$A$6,MIN(Reference!$A$11,MIN(D292,150))),Reference!$A$6:$A$11,1)))+(MAX(Reference!$A$6,MIN(Reference!$A$11,MIN(D292,150)))-INDEX(Reference!$A$6:$A$11,MIN(5,MATCH(MAX(Reference!$A$6,MIN(Reference!$A$11,MIN(D292,150))),Reference!$A$6:$A$11,1))))*(INDEX(Reference!$B$6:$B$11,MIN(5,MATCH(MAX(Reference!$A$6,MIN(Reference!$A$11,MIN(D292,150))),Reference!$A$6:$A$11,1))+1)-INDEX(Reference!$B$6:$B$11,MIN(5,MATCH(MAX(Reference!$A$6,MIN(Reference!$A$11,MIN(D292,150))),Reference!$A$6:$A$11,1))))/(INDEX(Reference!$A$6:$A$11,MIN(5,MATCH(MAX(Reference!$A$6,MIN(Reference!$A$11,MIN(D292,150))),Reference!$A$6:$A$11,1))+1)-INDEX(Reference!$A$6:$A$11,MIN(5,MATCH(MAX(Reference!$A$6,MIN(Reference!$A$11,MIN(D292,150))),Reference!$A$6:$A$11,1))))),0)+IF(4&lt;=AE292,(AE292-4+3)*(INDEX(Reference!$B$6:$B$11,MIN(5,MATCH(MAX(Reference!$A$6,MIN(Reference!$A$11,MIN(D292,180))),Reference!$A$6:$A$11,1)))+(MAX(Reference!$A$6,MIN(Reference!$A$11,MIN(D292,180)))-INDEX(Reference!$A$6:$A$11,MIN(5,MATCH(MAX(Reference!$A$6,MIN(Reference!$A$11,MIN(D292,180))),Reference!$A$6:$A$11,1))))*(INDEX(Reference!$B$6:$B$11,MIN(5,MATCH(MAX(Reference!$A$6,MIN(Reference!$A$11,MIN(D292,180))),Reference!$A$6:$A$11,1))+1)-INDEX(Reference!$B$6:$B$11,MIN(5,MATCH(MAX(Reference!$A$6,MIN(Reference!$A$11,MIN(D292,180))),Reference!$A$6:$A$11,1))))/(INDEX(Reference!$A$6:$A$11,MIN(5,MATCH(MAX(Reference!$A$6,MIN(Reference!$A$11,MIN(D292,180))),Reference!$A$6:$A$11,1))+1)-INDEX(Reference!$A$6:$A$11,MIN(5,MATCH(MAX(Reference!$A$6,MIN(Reference!$A$11,MIN(D292,180))),Reference!$A$6:$A$11,1))))),0)+IF(5&lt;=AE292,(AE292-5+3)*(INDEX(Reference!$B$6:$B$11,MIN(5,MATCH(MAX(Reference!$A$6,MIN(Reference!$A$11,MIN(D292,210))),Reference!$A$6:$A$11,1)))+(MAX(Reference!$A$6,MIN(Reference!$A$11,MIN(D292,210)))-INDEX(Reference!$A$6:$A$11,MIN(5,MATCH(MAX(Reference!$A$6,MIN(Reference!$A$11,MIN(D292,210))),Reference!$A$6:$A$11,1))))*(INDEX(Reference!$B$6:$B$11,MIN(5,MATCH(MAX(Reference!$A$6,MIN(Reference!$A$11,MIN(D292,210))),Reference!$A$6:$A$11,1))+1)-INDEX(Reference!$B$6:$B$11,MIN(5,MATCH(MAX(Reference!$A$6,MIN(Reference!$A$11,MIN(D292,210))),Reference!$A$6:$A$11,1))))/(INDEX(Reference!$A$6:$A$11,MIN(5,MATCH(MAX(Reference!$A$6,MIN(Reference!$A$11,MIN(D292,210))),Reference!$A$6:$A$11,1))+1)-INDEX(Reference!$A$6:$A$11,MIN(5,MATCH(MAX(Reference!$A$6,MIN(Reference!$A$11,MIN(D292,210))),Reference!$A$6:$A$11,1))))),0)+IF(6&lt;=AE292,(AE292-6+3)*(INDEX(Reference!$B$6:$B$11,MIN(5,MATCH(MAX(Reference!$A$6,MIN(Reference!$A$11,MIN(D292,240))),Reference!$A$6:$A$11,1)))+(MAX(Reference!$A$6,MIN(Reference!$A$11,MIN(D292,240)))-INDEX(Reference!$A$6:$A$11,MIN(5,MATCH(MAX(Reference!$A$6,MIN(Reference!$A$11,MIN(D292,240))),Reference!$A$6:$A$11,1))))*(INDEX(Reference!$B$6:$B$11,MIN(5,MATCH(MAX(Reference!$A$6,MIN(Reference!$A$11,MIN(D292,240))),Reference!$A$6:$A$11,1))+1)-INDEX(Reference!$B$6:$B$11,MIN(5,MATCH(MAX(Reference!$A$6,MIN(Reference!$A$11,MIN(D292,240))),Reference!$A$6:$A$11,1))))/(INDEX(Reference!$A$6:$A$11,MIN(5,MATCH(MAX(Reference!$A$6,MIN(Reference!$A$11,MIN(D292,240))),Reference!$A$6:$A$11,1))+1)-INDEX(Reference!$A$6:$A$11,MIN(5,MATCH(MAX(Reference!$A$6,MIN(Reference!$A$11,MIN(D292,240))),Reference!$A$6:$A$11,1))))),0)+IF(7&lt;=AE292,(AE292-7+3)*(INDEX(Reference!$B$6:$B$11,MIN(5,MATCH(MAX(Reference!$A$6,MIN(Reference!$A$11,MIN(D292,270))),Reference!$A$6:$A$11,1)))+(MAX(Reference!$A$6,MIN(Reference!$A$11,MIN(D292,270)))-INDEX(Reference!$A$6:$A$11,MIN(5,MATCH(MAX(Reference!$A$6,MIN(Reference!$A$11,MIN(D292,270))),Reference!$A$6:$A$11,1))))*(INDEX(Reference!$B$6:$B$11,MIN(5,MATCH(MAX(Reference!$A$6,MIN(Reference!$A$11,MIN(D292,270))),Reference!$A$6:$A$11,1))+1)-INDEX(Reference!$B$6:$B$11,MIN(5,MATCH(MAX(Reference!$A$6,MIN(Reference!$A$11,MIN(D292,270))),Reference!$A$6:$A$11,1))))/(INDEX(Reference!$A$6:$A$11,MIN(5,MATCH(MAX(Reference!$A$6,MIN(Reference!$A$11,MIN(D292,270))),Reference!$A$6:$A$11,1))+1)-INDEX(Reference!$A$6:$A$11,MIN(5,MATCH(MAX(Reference!$A$6,MIN(Reference!$A$11,MIN(D292,270))),Reference!$A$6:$A$11,1))))),0)+IF(8&lt;=AE292,(AE292-8+3)*(INDEX(Reference!$B$6:$B$11,MIN(5,MATCH(MAX(Reference!$A$6,MIN(Reference!$A$11,MIN(D292,300))),Reference!$A$6:$A$11,1)))+(MAX(Reference!$A$6,MIN(Reference!$A$11,MIN(D292,300)))-INDEX(Reference!$A$6:$A$11,MIN(5,MATCH(MAX(Reference!$A$6,MIN(Reference!$A$11,MIN(D292,300))),Reference!$A$6:$A$11,1))))*(INDEX(Reference!$B$6:$B$11,MIN(5,MATCH(MAX(Reference!$A$6,MIN(Reference!$A$11,MIN(D292,300))),Reference!$A$6:$A$11,1))+1)-INDEX(Reference!$B$6:$B$11,MIN(5,MATCH(MAX(Reference!$A$6,MIN(Reference!$A$11,MIN(D292,300))),Reference!$A$6:$A$11,1))))/(INDEX(Reference!$A$6:$A$11,MIN(5,MATCH(MAX(Reference!$A$6,MIN(Reference!$A$11,MIN(D292,300))),Reference!$A$6:$A$11,1))+1)-INDEX(Reference!$A$6:$A$11,MIN(5,MATCH(MAX(Reference!$A$6,MIN(Reference!$A$11,MIN(D292,300))),Reference!$A$6:$A$11,1))))),0))/(AE292*(AE292+5)/2)),(INDEX(Reference!$B$6:$B$11,MIN(5,MATCH(MAX(Reference!$A$6,MIN(Reference!$A$11,D292)),Reference!$A$6:$A$11,1)))+(MAX(Reference!$A$6,MIN(Reference!$A$11,D292))-INDEX(Reference!$A$6:$A$11,MIN(5,MATCH(MAX(Reference!$A$6,MIN(Reference!$A$11,D292)),Reference!$A$6:$A$11,1))))*(INDEX(Reference!$B$6:$B$11,MIN(5,MATCH(MAX(Reference!$A$6,MIN(Reference!$A$11,D292)),Reference!$A$6:$A$11,1))+1)-INDEX(Reference!$B$6:$B$11,MIN(5,MATCH(MAX(Reference!$A$6,MIN(Reference!$A$11,D292)),Reference!$A$6:$A$11,1))))/(INDEX(Reference!$A$6:$A$11,MIN(5,MATCH(MAX(Reference!$A$6,MIN(Reference!$A$11,D292)),Reference!$A$6:$A$11,1))+1)-INDEX(Reference!$A$6:$A$11,MIN(5,MATCH(MAX(Reference!$A$6,MIN(Reference!$A$11,D292)),Reference!$A$6:$A$11,1))))))))</f>
        <v/>
      </c>
      <c r="P292" s="32" t="str">
        <f>IF(N292="","",VLOOKUP(MAX(N292,0),Reference!$A$17:$B$20,2,TRUE()))</f>
        <v/>
      </c>
      <c r="Q292" s="32" t="str">
        <f t="shared" si="39"/>
        <v/>
      </c>
      <c r="R292" s="31"/>
      <c r="S292" s="31"/>
      <c r="T292" s="31"/>
      <c r="U292" s="32" t="str">
        <f t="shared" si="40"/>
        <v/>
      </c>
      <c r="V292" s="32" t="str">
        <f t="shared" si="41"/>
        <v/>
      </c>
      <c r="W292" s="32" t="str">
        <f>IF(V292="","",VLOOKUP(MAX(V292,0),Reference!$A$17:$B$20,2,TRUE()))</f>
        <v/>
      </c>
      <c r="X292" s="31"/>
      <c r="Y292" s="31"/>
      <c r="Z292" s="31"/>
      <c r="AA292" s="32" t="str">
        <f t="shared" si="42"/>
        <v/>
      </c>
      <c r="AB292" s="32" t="str">
        <f t="shared" si="43"/>
        <v/>
      </c>
      <c r="AC292" s="32" t="str">
        <f>IF(AB292="","",VLOOKUP(MAX(AB292,0),Reference!$A$17:$B$20,2,TRUE()))</f>
        <v/>
      </c>
      <c r="AD292" s="31"/>
      <c r="AE292">
        <f t="shared" si="44"/>
        <v>1</v>
      </c>
      <c r="AF292" s="33" t="str">
        <f>IF(OR(A292="",B292="",AND(C292&lt;&gt;"Bullpen",C292&lt;&gt;"Game")),"",IF((COUNTIFS($B$5:$B$300,B292,$A$5:$A$300,A292-1,$C$5:$C$300,"Bullpen",$AG$5:$AG$300,"&gt;0") + COUNTIFS($B$5:$B$300,B292,$A$5:$A$300,A292-1,$C$5:$C$300,"Game",$AG$5:$AG$300,"&gt;0"))&gt;0,Reference!$B$119,IF((COUNTIFS($B$5:$B$300,B292,$A$5:$A$300,A292-2,$C$5:$C$300,"Bullpen",$AG$5:$AG$300,"&gt;0") + COUNTIFS($B$5:$B$300,B292,$A$5:$A$300,A292-2,$C$5:$C$300,"Game",$AG$5:$AG$300,"&gt;0"))&gt;0,Reference!$B$120,1)))</f>
        <v/>
      </c>
      <c r="AG292" s="30" t="str">
        <f>IF(AND(OR(I292="",O292="",P292=""),OR(R292="",W292=""),OR(X292="",AC292="")),"",IF(OR(I292="",O292="",P292=""),0,I292*O292*P292)+IF(OR(R292="",W292=""),0,R292*IFERROR(INDEX(Reference!$B$61:$B$62,MATCH("Bullpen",Reference!$A$61:$A$62,0)),0)*W292)+IF(OR(X292="",AC292=""),0,X292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292))</f>
        <v/>
      </c>
    </row>
    <row r="293" spans="1:33" x14ac:dyDescent="0.3">
      <c r="A293" s="35"/>
      <c r="B293" s="31"/>
      <c r="C293" s="31"/>
      <c r="D293" s="31"/>
      <c r="E293" s="34"/>
      <c r="F293" s="34"/>
      <c r="G293" s="30" t="str">
        <f t="shared" si="36"/>
        <v/>
      </c>
      <c r="H293" s="31"/>
      <c r="I293" s="32" t="str">
        <f>IF(H293&lt;&gt;"",H293,IF(G293="","",ROUND(G293*IFERROR(INDEX(Reference!$B$44:$B$50,MATCH(C293,Reference!$A$44:$A$50,0)),0),0)))</f>
        <v/>
      </c>
      <c r="J293" s="31"/>
      <c r="K293" s="31"/>
      <c r="L293" s="32" t="str">
        <f t="shared" si="37"/>
        <v/>
      </c>
      <c r="M293" s="32" t="str">
        <f>IFERROR(INDEX(Roster!$D$5:$D$40,MATCH(B293,Roster!$A$5:$A$40,0)),"")</f>
        <v/>
      </c>
      <c r="N293" s="32" t="str">
        <f t="shared" si="38"/>
        <v/>
      </c>
      <c r="O293" s="32" t="str">
        <f>IF(OR(C293="Bullpen",C293="Game"),IFERROR(INDEX(Reference!$B$61:$B$62,MATCH(C293,Reference!$A$61:$A$62,0)),""),IF(D293="","",IF(AE293&gt;1,((IF(1&lt;=AE293,(AE293-1+3)*(INDEX(Reference!$B$6:$B$11,MIN(5,MATCH(MAX(Reference!$A$6,MIN(Reference!$A$11,MIN(D293,90))),Reference!$A$6:$A$11,1)))+(MAX(Reference!$A$6,MIN(Reference!$A$11,MIN(D293,90)))-INDEX(Reference!$A$6:$A$11,MIN(5,MATCH(MAX(Reference!$A$6,MIN(Reference!$A$11,MIN(D293,90))),Reference!$A$6:$A$11,1))))*(INDEX(Reference!$B$6:$B$11,MIN(5,MATCH(MAX(Reference!$A$6,MIN(Reference!$A$11,MIN(D293,90))),Reference!$A$6:$A$11,1))+1)-INDEX(Reference!$B$6:$B$11,MIN(5,MATCH(MAX(Reference!$A$6,MIN(Reference!$A$11,MIN(D293,90))),Reference!$A$6:$A$11,1))))/(INDEX(Reference!$A$6:$A$11,MIN(5,MATCH(MAX(Reference!$A$6,MIN(Reference!$A$11,MIN(D293,90))),Reference!$A$6:$A$11,1))+1)-INDEX(Reference!$A$6:$A$11,MIN(5,MATCH(MAX(Reference!$A$6,MIN(Reference!$A$11,MIN(D293,90))),Reference!$A$6:$A$11,1))))),0)+IF(2&lt;=AE293,(AE293-2+3)*(INDEX(Reference!$B$6:$B$11,MIN(5,MATCH(MAX(Reference!$A$6,MIN(Reference!$A$11,MIN(D293,120))),Reference!$A$6:$A$11,1)))+(MAX(Reference!$A$6,MIN(Reference!$A$11,MIN(D293,120)))-INDEX(Reference!$A$6:$A$11,MIN(5,MATCH(MAX(Reference!$A$6,MIN(Reference!$A$11,MIN(D293,120))),Reference!$A$6:$A$11,1))))*(INDEX(Reference!$B$6:$B$11,MIN(5,MATCH(MAX(Reference!$A$6,MIN(Reference!$A$11,MIN(D293,120))),Reference!$A$6:$A$11,1))+1)-INDEX(Reference!$B$6:$B$11,MIN(5,MATCH(MAX(Reference!$A$6,MIN(Reference!$A$11,MIN(D293,120))),Reference!$A$6:$A$11,1))))/(INDEX(Reference!$A$6:$A$11,MIN(5,MATCH(MAX(Reference!$A$6,MIN(Reference!$A$11,MIN(D293,120))),Reference!$A$6:$A$11,1))+1)-INDEX(Reference!$A$6:$A$11,MIN(5,MATCH(MAX(Reference!$A$6,MIN(Reference!$A$11,MIN(D293,120))),Reference!$A$6:$A$11,1))))),0)+IF(3&lt;=AE293,(AE293-3+3)*(INDEX(Reference!$B$6:$B$11,MIN(5,MATCH(MAX(Reference!$A$6,MIN(Reference!$A$11,MIN(D293,150))),Reference!$A$6:$A$11,1)))+(MAX(Reference!$A$6,MIN(Reference!$A$11,MIN(D293,150)))-INDEX(Reference!$A$6:$A$11,MIN(5,MATCH(MAX(Reference!$A$6,MIN(Reference!$A$11,MIN(D293,150))),Reference!$A$6:$A$11,1))))*(INDEX(Reference!$B$6:$B$11,MIN(5,MATCH(MAX(Reference!$A$6,MIN(Reference!$A$11,MIN(D293,150))),Reference!$A$6:$A$11,1))+1)-INDEX(Reference!$B$6:$B$11,MIN(5,MATCH(MAX(Reference!$A$6,MIN(Reference!$A$11,MIN(D293,150))),Reference!$A$6:$A$11,1))))/(INDEX(Reference!$A$6:$A$11,MIN(5,MATCH(MAX(Reference!$A$6,MIN(Reference!$A$11,MIN(D293,150))),Reference!$A$6:$A$11,1))+1)-INDEX(Reference!$A$6:$A$11,MIN(5,MATCH(MAX(Reference!$A$6,MIN(Reference!$A$11,MIN(D293,150))),Reference!$A$6:$A$11,1))))),0)+IF(4&lt;=AE293,(AE293-4+3)*(INDEX(Reference!$B$6:$B$11,MIN(5,MATCH(MAX(Reference!$A$6,MIN(Reference!$A$11,MIN(D293,180))),Reference!$A$6:$A$11,1)))+(MAX(Reference!$A$6,MIN(Reference!$A$11,MIN(D293,180)))-INDEX(Reference!$A$6:$A$11,MIN(5,MATCH(MAX(Reference!$A$6,MIN(Reference!$A$11,MIN(D293,180))),Reference!$A$6:$A$11,1))))*(INDEX(Reference!$B$6:$B$11,MIN(5,MATCH(MAX(Reference!$A$6,MIN(Reference!$A$11,MIN(D293,180))),Reference!$A$6:$A$11,1))+1)-INDEX(Reference!$B$6:$B$11,MIN(5,MATCH(MAX(Reference!$A$6,MIN(Reference!$A$11,MIN(D293,180))),Reference!$A$6:$A$11,1))))/(INDEX(Reference!$A$6:$A$11,MIN(5,MATCH(MAX(Reference!$A$6,MIN(Reference!$A$11,MIN(D293,180))),Reference!$A$6:$A$11,1))+1)-INDEX(Reference!$A$6:$A$11,MIN(5,MATCH(MAX(Reference!$A$6,MIN(Reference!$A$11,MIN(D293,180))),Reference!$A$6:$A$11,1))))),0)+IF(5&lt;=AE293,(AE293-5+3)*(INDEX(Reference!$B$6:$B$11,MIN(5,MATCH(MAX(Reference!$A$6,MIN(Reference!$A$11,MIN(D293,210))),Reference!$A$6:$A$11,1)))+(MAX(Reference!$A$6,MIN(Reference!$A$11,MIN(D293,210)))-INDEX(Reference!$A$6:$A$11,MIN(5,MATCH(MAX(Reference!$A$6,MIN(Reference!$A$11,MIN(D293,210))),Reference!$A$6:$A$11,1))))*(INDEX(Reference!$B$6:$B$11,MIN(5,MATCH(MAX(Reference!$A$6,MIN(Reference!$A$11,MIN(D293,210))),Reference!$A$6:$A$11,1))+1)-INDEX(Reference!$B$6:$B$11,MIN(5,MATCH(MAX(Reference!$A$6,MIN(Reference!$A$11,MIN(D293,210))),Reference!$A$6:$A$11,1))))/(INDEX(Reference!$A$6:$A$11,MIN(5,MATCH(MAX(Reference!$A$6,MIN(Reference!$A$11,MIN(D293,210))),Reference!$A$6:$A$11,1))+1)-INDEX(Reference!$A$6:$A$11,MIN(5,MATCH(MAX(Reference!$A$6,MIN(Reference!$A$11,MIN(D293,210))),Reference!$A$6:$A$11,1))))),0)+IF(6&lt;=AE293,(AE293-6+3)*(INDEX(Reference!$B$6:$B$11,MIN(5,MATCH(MAX(Reference!$A$6,MIN(Reference!$A$11,MIN(D293,240))),Reference!$A$6:$A$11,1)))+(MAX(Reference!$A$6,MIN(Reference!$A$11,MIN(D293,240)))-INDEX(Reference!$A$6:$A$11,MIN(5,MATCH(MAX(Reference!$A$6,MIN(Reference!$A$11,MIN(D293,240))),Reference!$A$6:$A$11,1))))*(INDEX(Reference!$B$6:$B$11,MIN(5,MATCH(MAX(Reference!$A$6,MIN(Reference!$A$11,MIN(D293,240))),Reference!$A$6:$A$11,1))+1)-INDEX(Reference!$B$6:$B$11,MIN(5,MATCH(MAX(Reference!$A$6,MIN(Reference!$A$11,MIN(D293,240))),Reference!$A$6:$A$11,1))))/(INDEX(Reference!$A$6:$A$11,MIN(5,MATCH(MAX(Reference!$A$6,MIN(Reference!$A$11,MIN(D293,240))),Reference!$A$6:$A$11,1))+1)-INDEX(Reference!$A$6:$A$11,MIN(5,MATCH(MAX(Reference!$A$6,MIN(Reference!$A$11,MIN(D293,240))),Reference!$A$6:$A$11,1))))),0)+IF(7&lt;=AE293,(AE293-7+3)*(INDEX(Reference!$B$6:$B$11,MIN(5,MATCH(MAX(Reference!$A$6,MIN(Reference!$A$11,MIN(D293,270))),Reference!$A$6:$A$11,1)))+(MAX(Reference!$A$6,MIN(Reference!$A$11,MIN(D293,270)))-INDEX(Reference!$A$6:$A$11,MIN(5,MATCH(MAX(Reference!$A$6,MIN(Reference!$A$11,MIN(D293,270))),Reference!$A$6:$A$11,1))))*(INDEX(Reference!$B$6:$B$11,MIN(5,MATCH(MAX(Reference!$A$6,MIN(Reference!$A$11,MIN(D293,270))),Reference!$A$6:$A$11,1))+1)-INDEX(Reference!$B$6:$B$11,MIN(5,MATCH(MAX(Reference!$A$6,MIN(Reference!$A$11,MIN(D293,270))),Reference!$A$6:$A$11,1))))/(INDEX(Reference!$A$6:$A$11,MIN(5,MATCH(MAX(Reference!$A$6,MIN(Reference!$A$11,MIN(D293,270))),Reference!$A$6:$A$11,1))+1)-INDEX(Reference!$A$6:$A$11,MIN(5,MATCH(MAX(Reference!$A$6,MIN(Reference!$A$11,MIN(D293,270))),Reference!$A$6:$A$11,1))))),0)+IF(8&lt;=AE293,(AE293-8+3)*(INDEX(Reference!$B$6:$B$11,MIN(5,MATCH(MAX(Reference!$A$6,MIN(Reference!$A$11,MIN(D293,300))),Reference!$A$6:$A$11,1)))+(MAX(Reference!$A$6,MIN(Reference!$A$11,MIN(D293,300)))-INDEX(Reference!$A$6:$A$11,MIN(5,MATCH(MAX(Reference!$A$6,MIN(Reference!$A$11,MIN(D293,300))),Reference!$A$6:$A$11,1))))*(INDEX(Reference!$B$6:$B$11,MIN(5,MATCH(MAX(Reference!$A$6,MIN(Reference!$A$11,MIN(D293,300))),Reference!$A$6:$A$11,1))+1)-INDEX(Reference!$B$6:$B$11,MIN(5,MATCH(MAX(Reference!$A$6,MIN(Reference!$A$11,MIN(D293,300))),Reference!$A$6:$A$11,1))))/(INDEX(Reference!$A$6:$A$11,MIN(5,MATCH(MAX(Reference!$A$6,MIN(Reference!$A$11,MIN(D293,300))),Reference!$A$6:$A$11,1))+1)-INDEX(Reference!$A$6:$A$11,MIN(5,MATCH(MAX(Reference!$A$6,MIN(Reference!$A$11,MIN(D293,300))),Reference!$A$6:$A$11,1))))),0))/(AE293*(AE293+5)/2)),(INDEX(Reference!$B$6:$B$11,MIN(5,MATCH(MAX(Reference!$A$6,MIN(Reference!$A$11,D293)),Reference!$A$6:$A$11,1)))+(MAX(Reference!$A$6,MIN(Reference!$A$11,D293))-INDEX(Reference!$A$6:$A$11,MIN(5,MATCH(MAX(Reference!$A$6,MIN(Reference!$A$11,D293)),Reference!$A$6:$A$11,1))))*(INDEX(Reference!$B$6:$B$11,MIN(5,MATCH(MAX(Reference!$A$6,MIN(Reference!$A$11,D293)),Reference!$A$6:$A$11,1))+1)-INDEX(Reference!$B$6:$B$11,MIN(5,MATCH(MAX(Reference!$A$6,MIN(Reference!$A$11,D293)),Reference!$A$6:$A$11,1))))/(INDEX(Reference!$A$6:$A$11,MIN(5,MATCH(MAX(Reference!$A$6,MIN(Reference!$A$11,D293)),Reference!$A$6:$A$11,1))+1)-INDEX(Reference!$A$6:$A$11,MIN(5,MATCH(MAX(Reference!$A$6,MIN(Reference!$A$11,D293)),Reference!$A$6:$A$11,1))))))))</f>
        <v/>
      </c>
      <c r="P293" s="32" t="str">
        <f>IF(N293="","",VLOOKUP(MAX(N293,0),Reference!$A$17:$B$20,2,TRUE()))</f>
        <v/>
      </c>
      <c r="Q293" s="32" t="str">
        <f t="shared" si="39"/>
        <v/>
      </c>
      <c r="R293" s="31"/>
      <c r="S293" s="31"/>
      <c r="T293" s="31"/>
      <c r="U293" s="32" t="str">
        <f t="shared" si="40"/>
        <v/>
      </c>
      <c r="V293" s="32" t="str">
        <f t="shared" si="41"/>
        <v/>
      </c>
      <c r="W293" s="32" t="str">
        <f>IF(V293="","",VLOOKUP(MAX(V293,0),Reference!$A$17:$B$20,2,TRUE()))</f>
        <v/>
      </c>
      <c r="X293" s="31"/>
      <c r="Y293" s="31"/>
      <c r="Z293" s="31"/>
      <c r="AA293" s="32" t="str">
        <f t="shared" si="42"/>
        <v/>
      </c>
      <c r="AB293" s="32" t="str">
        <f t="shared" si="43"/>
        <v/>
      </c>
      <c r="AC293" s="32" t="str">
        <f>IF(AB293="","",VLOOKUP(MAX(AB293,0),Reference!$A$17:$B$20,2,TRUE()))</f>
        <v/>
      </c>
      <c r="AD293" s="31"/>
      <c r="AE293">
        <f t="shared" si="44"/>
        <v>1</v>
      </c>
      <c r="AF293" s="33" t="str">
        <f>IF(OR(A293="",B293="",AND(C293&lt;&gt;"Bullpen",C293&lt;&gt;"Game")),"",IF((COUNTIFS($B$5:$B$300,B293,$A$5:$A$300,A293-1,$C$5:$C$300,"Bullpen",$AG$5:$AG$300,"&gt;0") + COUNTIFS($B$5:$B$300,B293,$A$5:$A$300,A293-1,$C$5:$C$300,"Game",$AG$5:$AG$300,"&gt;0"))&gt;0,Reference!$B$119,IF((COUNTIFS($B$5:$B$300,B293,$A$5:$A$300,A293-2,$C$5:$C$300,"Bullpen",$AG$5:$AG$300,"&gt;0") + COUNTIFS($B$5:$B$300,B293,$A$5:$A$300,A293-2,$C$5:$C$300,"Game",$AG$5:$AG$300,"&gt;0"))&gt;0,Reference!$B$120,1)))</f>
        <v/>
      </c>
      <c r="AG293" s="30" t="str">
        <f>IF(AND(OR(I293="",O293="",P293=""),OR(R293="",W293=""),OR(X293="",AC293="")),"",IF(OR(I293="",O293="",P293=""),0,I293*O293*P293)+IF(OR(R293="",W293=""),0,R293*IFERROR(INDEX(Reference!$B$61:$B$62,MATCH("Bullpen",Reference!$A$61:$A$62,0)),0)*W293)+IF(OR(X293="",AC293=""),0,X293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293))</f>
        <v/>
      </c>
    </row>
    <row r="294" spans="1:33" x14ac:dyDescent="0.3">
      <c r="A294" s="35"/>
      <c r="B294" s="31"/>
      <c r="C294" s="31"/>
      <c r="D294" s="31"/>
      <c r="E294" s="34"/>
      <c r="F294" s="34"/>
      <c r="G294" s="30" t="str">
        <f t="shared" si="36"/>
        <v/>
      </c>
      <c r="H294" s="31"/>
      <c r="I294" s="32" t="str">
        <f>IF(H294&lt;&gt;"",H294,IF(G294="","",ROUND(G294*IFERROR(INDEX(Reference!$B$44:$B$50,MATCH(C294,Reference!$A$44:$A$50,0)),0),0)))</f>
        <v/>
      </c>
      <c r="J294" s="31"/>
      <c r="K294" s="31"/>
      <c r="L294" s="32" t="str">
        <f t="shared" si="37"/>
        <v/>
      </c>
      <c r="M294" s="32" t="str">
        <f>IFERROR(INDEX(Roster!$D$5:$D$40,MATCH(B294,Roster!$A$5:$A$40,0)),"")</f>
        <v/>
      </c>
      <c r="N294" s="32" t="str">
        <f t="shared" si="38"/>
        <v/>
      </c>
      <c r="O294" s="32" t="str">
        <f>IF(OR(C294="Bullpen",C294="Game"),IFERROR(INDEX(Reference!$B$61:$B$62,MATCH(C294,Reference!$A$61:$A$62,0)),""),IF(D294="","",IF(AE294&gt;1,((IF(1&lt;=AE294,(AE294-1+3)*(INDEX(Reference!$B$6:$B$11,MIN(5,MATCH(MAX(Reference!$A$6,MIN(Reference!$A$11,MIN(D294,90))),Reference!$A$6:$A$11,1)))+(MAX(Reference!$A$6,MIN(Reference!$A$11,MIN(D294,90)))-INDEX(Reference!$A$6:$A$11,MIN(5,MATCH(MAX(Reference!$A$6,MIN(Reference!$A$11,MIN(D294,90))),Reference!$A$6:$A$11,1))))*(INDEX(Reference!$B$6:$B$11,MIN(5,MATCH(MAX(Reference!$A$6,MIN(Reference!$A$11,MIN(D294,90))),Reference!$A$6:$A$11,1))+1)-INDEX(Reference!$B$6:$B$11,MIN(5,MATCH(MAX(Reference!$A$6,MIN(Reference!$A$11,MIN(D294,90))),Reference!$A$6:$A$11,1))))/(INDEX(Reference!$A$6:$A$11,MIN(5,MATCH(MAX(Reference!$A$6,MIN(Reference!$A$11,MIN(D294,90))),Reference!$A$6:$A$11,1))+1)-INDEX(Reference!$A$6:$A$11,MIN(5,MATCH(MAX(Reference!$A$6,MIN(Reference!$A$11,MIN(D294,90))),Reference!$A$6:$A$11,1))))),0)+IF(2&lt;=AE294,(AE294-2+3)*(INDEX(Reference!$B$6:$B$11,MIN(5,MATCH(MAX(Reference!$A$6,MIN(Reference!$A$11,MIN(D294,120))),Reference!$A$6:$A$11,1)))+(MAX(Reference!$A$6,MIN(Reference!$A$11,MIN(D294,120)))-INDEX(Reference!$A$6:$A$11,MIN(5,MATCH(MAX(Reference!$A$6,MIN(Reference!$A$11,MIN(D294,120))),Reference!$A$6:$A$11,1))))*(INDEX(Reference!$B$6:$B$11,MIN(5,MATCH(MAX(Reference!$A$6,MIN(Reference!$A$11,MIN(D294,120))),Reference!$A$6:$A$11,1))+1)-INDEX(Reference!$B$6:$B$11,MIN(5,MATCH(MAX(Reference!$A$6,MIN(Reference!$A$11,MIN(D294,120))),Reference!$A$6:$A$11,1))))/(INDEX(Reference!$A$6:$A$11,MIN(5,MATCH(MAX(Reference!$A$6,MIN(Reference!$A$11,MIN(D294,120))),Reference!$A$6:$A$11,1))+1)-INDEX(Reference!$A$6:$A$11,MIN(5,MATCH(MAX(Reference!$A$6,MIN(Reference!$A$11,MIN(D294,120))),Reference!$A$6:$A$11,1))))),0)+IF(3&lt;=AE294,(AE294-3+3)*(INDEX(Reference!$B$6:$B$11,MIN(5,MATCH(MAX(Reference!$A$6,MIN(Reference!$A$11,MIN(D294,150))),Reference!$A$6:$A$11,1)))+(MAX(Reference!$A$6,MIN(Reference!$A$11,MIN(D294,150)))-INDEX(Reference!$A$6:$A$11,MIN(5,MATCH(MAX(Reference!$A$6,MIN(Reference!$A$11,MIN(D294,150))),Reference!$A$6:$A$11,1))))*(INDEX(Reference!$B$6:$B$11,MIN(5,MATCH(MAX(Reference!$A$6,MIN(Reference!$A$11,MIN(D294,150))),Reference!$A$6:$A$11,1))+1)-INDEX(Reference!$B$6:$B$11,MIN(5,MATCH(MAX(Reference!$A$6,MIN(Reference!$A$11,MIN(D294,150))),Reference!$A$6:$A$11,1))))/(INDEX(Reference!$A$6:$A$11,MIN(5,MATCH(MAX(Reference!$A$6,MIN(Reference!$A$11,MIN(D294,150))),Reference!$A$6:$A$11,1))+1)-INDEX(Reference!$A$6:$A$11,MIN(5,MATCH(MAX(Reference!$A$6,MIN(Reference!$A$11,MIN(D294,150))),Reference!$A$6:$A$11,1))))),0)+IF(4&lt;=AE294,(AE294-4+3)*(INDEX(Reference!$B$6:$B$11,MIN(5,MATCH(MAX(Reference!$A$6,MIN(Reference!$A$11,MIN(D294,180))),Reference!$A$6:$A$11,1)))+(MAX(Reference!$A$6,MIN(Reference!$A$11,MIN(D294,180)))-INDEX(Reference!$A$6:$A$11,MIN(5,MATCH(MAX(Reference!$A$6,MIN(Reference!$A$11,MIN(D294,180))),Reference!$A$6:$A$11,1))))*(INDEX(Reference!$B$6:$B$11,MIN(5,MATCH(MAX(Reference!$A$6,MIN(Reference!$A$11,MIN(D294,180))),Reference!$A$6:$A$11,1))+1)-INDEX(Reference!$B$6:$B$11,MIN(5,MATCH(MAX(Reference!$A$6,MIN(Reference!$A$11,MIN(D294,180))),Reference!$A$6:$A$11,1))))/(INDEX(Reference!$A$6:$A$11,MIN(5,MATCH(MAX(Reference!$A$6,MIN(Reference!$A$11,MIN(D294,180))),Reference!$A$6:$A$11,1))+1)-INDEX(Reference!$A$6:$A$11,MIN(5,MATCH(MAX(Reference!$A$6,MIN(Reference!$A$11,MIN(D294,180))),Reference!$A$6:$A$11,1))))),0)+IF(5&lt;=AE294,(AE294-5+3)*(INDEX(Reference!$B$6:$B$11,MIN(5,MATCH(MAX(Reference!$A$6,MIN(Reference!$A$11,MIN(D294,210))),Reference!$A$6:$A$11,1)))+(MAX(Reference!$A$6,MIN(Reference!$A$11,MIN(D294,210)))-INDEX(Reference!$A$6:$A$11,MIN(5,MATCH(MAX(Reference!$A$6,MIN(Reference!$A$11,MIN(D294,210))),Reference!$A$6:$A$11,1))))*(INDEX(Reference!$B$6:$B$11,MIN(5,MATCH(MAX(Reference!$A$6,MIN(Reference!$A$11,MIN(D294,210))),Reference!$A$6:$A$11,1))+1)-INDEX(Reference!$B$6:$B$11,MIN(5,MATCH(MAX(Reference!$A$6,MIN(Reference!$A$11,MIN(D294,210))),Reference!$A$6:$A$11,1))))/(INDEX(Reference!$A$6:$A$11,MIN(5,MATCH(MAX(Reference!$A$6,MIN(Reference!$A$11,MIN(D294,210))),Reference!$A$6:$A$11,1))+1)-INDEX(Reference!$A$6:$A$11,MIN(5,MATCH(MAX(Reference!$A$6,MIN(Reference!$A$11,MIN(D294,210))),Reference!$A$6:$A$11,1))))),0)+IF(6&lt;=AE294,(AE294-6+3)*(INDEX(Reference!$B$6:$B$11,MIN(5,MATCH(MAX(Reference!$A$6,MIN(Reference!$A$11,MIN(D294,240))),Reference!$A$6:$A$11,1)))+(MAX(Reference!$A$6,MIN(Reference!$A$11,MIN(D294,240)))-INDEX(Reference!$A$6:$A$11,MIN(5,MATCH(MAX(Reference!$A$6,MIN(Reference!$A$11,MIN(D294,240))),Reference!$A$6:$A$11,1))))*(INDEX(Reference!$B$6:$B$11,MIN(5,MATCH(MAX(Reference!$A$6,MIN(Reference!$A$11,MIN(D294,240))),Reference!$A$6:$A$11,1))+1)-INDEX(Reference!$B$6:$B$11,MIN(5,MATCH(MAX(Reference!$A$6,MIN(Reference!$A$11,MIN(D294,240))),Reference!$A$6:$A$11,1))))/(INDEX(Reference!$A$6:$A$11,MIN(5,MATCH(MAX(Reference!$A$6,MIN(Reference!$A$11,MIN(D294,240))),Reference!$A$6:$A$11,1))+1)-INDEX(Reference!$A$6:$A$11,MIN(5,MATCH(MAX(Reference!$A$6,MIN(Reference!$A$11,MIN(D294,240))),Reference!$A$6:$A$11,1))))),0)+IF(7&lt;=AE294,(AE294-7+3)*(INDEX(Reference!$B$6:$B$11,MIN(5,MATCH(MAX(Reference!$A$6,MIN(Reference!$A$11,MIN(D294,270))),Reference!$A$6:$A$11,1)))+(MAX(Reference!$A$6,MIN(Reference!$A$11,MIN(D294,270)))-INDEX(Reference!$A$6:$A$11,MIN(5,MATCH(MAX(Reference!$A$6,MIN(Reference!$A$11,MIN(D294,270))),Reference!$A$6:$A$11,1))))*(INDEX(Reference!$B$6:$B$11,MIN(5,MATCH(MAX(Reference!$A$6,MIN(Reference!$A$11,MIN(D294,270))),Reference!$A$6:$A$11,1))+1)-INDEX(Reference!$B$6:$B$11,MIN(5,MATCH(MAX(Reference!$A$6,MIN(Reference!$A$11,MIN(D294,270))),Reference!$A$6:$A$11,1))))/(INDEX(Reference!$A$6:$A$11,MIN(5,MATCH(MAX(Reference!$A$6,MIN(Reference!$A$11,MIN(D294,270))),Reference!$A$6:$A$11,1))+1)-INDEX(Reference!$A$6:$A$11,MIN(5,MATCH(MAX(Reference!$A$6,MIN(Reference!$A$11,MIN(D294,270))),Reference!$A$6:$A$11,1))))),0)+IF(8&lt;=AE294,(AE294-8+3)*(INDEX(Reference!$B$6:$B$11,MIN(5,MATCH(MAX(Reference!$A$6,MIN(Reference!$A$11,MIN(D294,300))),Reference!$A$6:$A$11,1)))+(MAX(Reference!$A$6,MIN(Reference!$A$11,MIN(D294,300)))-INDEX(Reference!$A$6:$A$11,MIN(5,MATCH(MAX(Reference!$A$6,MIN(Reference!$A$11,MIN(D294,300))),Reference!$A$6:$A$11,1))))*(INDEX(Reference!$B$6:$B$11,MIN(5,MATCH(MAX(Reference!$A$6,MIN(Reference!$A$11,MIN(D294,300))),Reference!$A$6:$A$11,1))+1)-INDEX(Reference!$B$6:$B$11,MIN(5,MATCH(MAX(Reference!$A$6,MIN(Reference!$A$11,MIN(D294,300))),Reference!$A$6:$A$11,1))))/(INDEX(Reference!$A$6:$A$11,MIN(5,MATCH(MAX(Reference!$A$6,MIN(Reference!$A$11,MIN(D294,300))),Reference!$A$6:$A$11,1))+1)-INDEX(Reference!$A$6:$A$11,MIN(5,MATCH(MAX(Reference!$A$6,MIN(Reference!$A$11,MIN(D294,300))),Reference!$A$6:$A$11,1))))),0))/(AE294*(AE294+5)/2)),(INDEX(Reference!$B$6:$B$11,MIN(5,MATCH(MAX(Reference!$A$6,MIN(Reference!$A$11,D294)),Reference!$A$6:$A$11,1)))+(MAX(Reference!$A$6,MIN(Reference!$A$11,D294))-INDEX(Reference!$A$6:$A$11,MIN(5,MATCH(MAX(Reference!$A$6,MIN(Reference!$A$11,D294)),Reference!$A$6:$A$11,1))))*(INDEX(Reference!$B$6:$B$11,MIN(5,MATCH(MAX(Reference!$A$6,MIN(Reference!$A$11,D294)),Reference!$A$6:$A$11,1))+1)-INDEX(Reference!$B$6:$B$11,MIN(5,MATCH(MAX(Reference!$A$6,MIN(Reference!$A$11,D294)),Reference!$A$6:$A$11,1))))/(INDEX(Reference!$A$6:$A$11,MIN(5,MATCH(MAX(Reference!$A$6,MIN(Reference!$A$11,D294)),Reference!$A$6:$A$11,1))+1)-INDEX(Reference!$A$6:$A$11,MIN(5,MATCH(MAX(Reference!$A$6,MIN(Reference!$A$11,D294)),Reference!$A$6:$A$11,1))))))))</f>
        <v/>
      </c>
      <c r="P294" s="32" t="str">
        <f>IF(N294="","",VLOOKUP(MAX(N294,0),Reference!$A$17:$B$20,2,TRUE()))</f>
        <v/>
      </c>
      <c r="Q294" s="32" t="str">
        <f t="shared" si="39"/>
        <v/>
      </c>
      <c r="R294" s="31"/>
      <c r="S294" s="31"/>
      <c r="T294" s="31"/>
      <c r="U294" s="32" t="str">
        <f t="shared" si="40"/>
        <v/>
      </c>
      <c r="V294" s="32" t="str">
        <f t="shared" si="41"/>
        <v/>
      </c>
      <c r="W294" s="32" t="str">
        <f>IF(V294="","",VLOOKUP(MAX(V294,0),Reference!$A$17:$B$20,2,TRUE()))</f>
        <v/>
      </c>
      <c r="X294" s="31"/>
      <c r="Y294" s="31"/>
      <c r="Z294" s="31"/>
      <c r="AA294" s="32" t="str">
        <f t="shared" si="42"/>
        <v/>
      </c>
      <c r="AB294" s="32" t="str">
        <f t="shared" si="43"/>
        <v/>
      </c>
      <c r="AC294" s="32" t="str">
        <f>IF(AB294="","",VLOOKUP(MAX(AB294,0),Reference!$A$17:$B$20,2,TRUE()))</f>
        <v/>
      </c>
      <c r="AD294" s="31"/>
      <c r="AE294">
        <f t="shared" si="44"/>
        <v>1</v>
      </c>
      <c r="AF294" s="33" t="str">
        <f>IF(OR(A294="",B294="",AND(C294&lt;&gt;"Bullpen",C294&lt;&gt;"Game")),"",IF((COUNTIFS($B$5:$B$300,B294,$A$5:$A$300,A294-1,$C$5:$C$300,"Bullpen",$AG$5:$AG$300,"&gt;0") + COUNTIFS($B$5:$B$300,B294,$A$5:$A$300,A294-1,$C$5:$C$300,"Game",$AG$5:$AG$300,"&gt;0"))&gt;0,Reference!$B$119,IF((COUNTIFS($B$5:$B$300,B294,$A$5:$A$300,A294-2,$C$5:$C$300,"Bullpen",$AG$5:$AG$300,"&gt;0") + COUNTIFS($B$5:$B$300,B294,$A$5:$A$300,A294-2,$C$5:$C$300,"Game",$AG$5:$AG$300,"&gt;0"))&gt;0,Reference!$B$120,1)))</f>
        <v/>
      </c>
      <c r="AG294" s="30" t="str">
        <f>IF(AND(OR(I294="",O294="",P294=""),OR(R294="",W294=""),OR(X294="",AC294="")),"",IF(OR(I294="",O294="",P294=""),0,I294*O294*P294)+IF(OR(R294="",W294=""),0,R294*IFERROR(INDEX(Reference!$B$61:$B$62,MATCH("Bullpen",Reference!$A$61:$A$62,0)),0)*W294)+IF(OR(X294="",AC294=""),0,X294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294))</f>
        <v/>
      </c>
    </row>
    <row r="295" spans="1:33" x14ac:dyDescent="0.3">
      <c r="A295" s="35"/>
      <c r="B295" s="31"/>
      <c r="C295" s="31"/>
      <c r="D295" s="31"/>
      <c r="E295" s="34"/>
      <c r="F295" s="34"/>
      <c r="G295" s="30" t="str">
        <f t="shared" si="36"/>
        <v/>
      </c>
      <c r="H295" s="31"/>
      <c r="I295" s="32" t="str">
        <f>IF(H295&lt;&gt;"",H295,IF(G295="","",ROUND(G295*IFERROR(INDEX(Reference!$B$44:$B$50,MATCH(C295,Reference!$A$44:$A$50,0)),0),0)))</f>
        <v/>
      </c>
      <c r="J295" s="31"/>
      <c r="K295" s="31"/>
      <c r="L295" s="32" t="str">
        <f t="shared" si="37"/>
        <v/>
      </c>
      <c r="M295" s="32" t="str">
        <f>IFERROR(INDEX(Roster!$D$5:$D$40,MATCH(B295,Roster!$A$5:$A$40,0)),"")</f>
        <v/>
      </c>
      <c r="N295" s="32" t="str">
        <f t="shared" si="38"/>
        <v/>
      </c>
      <c r="O295" s="32" t="str">
        <f>IF(OR(C295="Bullpen",C295="Game"),IFERROR(INDEX(Reference!$B$61:$B$62,MATCH(C295,Reference!$A$61:$A$62,0)),""),IF(D295="","",IF(AE295&gt;1,((IF(1&lt;=AE295,(AE295-1+3)*(INDEX(Reference!$B$6:$B$11,MIN(5,MATCH(MAX(Reference!$A$6,MIN(Reference!$A$11,MIN(D295,90))),Reference!$A$6:$A$11,1)))+(MAX(Reference!$A$6,MIN(Reference!$A$11,MIN(D295,90)))-INDEX(Reference!$A$6:$A$11,MIN(5,MATCH(MAX(Reference!$A$6,MIN(Reference!$A$11,MIN(D295,90))),Reference!$A$6:$A$11,1))))*(INDEX(Reference!$B$6:$B$11,MIN(5,MATCH(MAX(Reference!$A$6,MIN(Reference!$A$11,MIN(D295,90))),Reference!$A$6:$A$11,1))+1)-INDEX(Reference!$B$6:$B$11,MIN(5,MATCH(MAX(Reference!$A$6,MIN(Reference!$A$11,MIN(D295,90))),Reference!$A$6:$A$11,1))))/(INDEX(Reference!$A$6:$A$11,MIN(5,MATCH(MAX(Reference!$A$6,MIN(Reference!$A$11,MIN(D295,90))),Reference!$A$6:$A$11,1))+1)-INDEX(Reference!$A$6:$A$11,MIN(5,MATCH(MAX(Reference!$A$6,MIN(Reference!$A$11,MIN(D295,90))),Reference!$A$6:$A$11,1))))),0)+IF(2&lt;=AE295,(AE295-2+3)*(INDEX(Reference!$B$6:$B$11,MIN(5,MATCH(MAX(Reference!$A$6,MIN(Reference!$A$11,MIN(D295,120))),Reference!$A$6:$A$11,1)))+(MAX(Reference!$A$6,MIN(Reference!$A$11,MIN(D295,120)))-INDEX(Reference!$A$6:$A$11,MIN(5,MATCH(MAX(Reference!$A$6,MIN(Reference!$A$11,MIN(D295,120))),Reference!$A$6:$A$11,1))))*(INDEX(Reference!$B$6:$B$11,MIN(5,MATCH(MAX(Reference!$A$6,MIN(Reference!$A$11,MIN(D295,120))),Reference!$A$6:$A$11,1))+1)-INDEX(Reference!$B$6:$B$11,MIN(5,MATCH(MAX(Reference!$A$6,MIN(Reference!$A$11,MIN(D295,120))),Reference!$A$6:$A$11,1))))/(INDEX(Reference!$A$6:$A$11,MIN(5,MATCH(MAX(Reference!$A$6,MIN(Reference!$A$11,MIN(D295,120))),Reference!$A$6:$A$11,1))+1)-INDEX(Reference!$A$6:$A$11,MIN(5,MATCH(MAX(Reference!$A$6,MIN(Reference!$A$11,MIN(D295,120))),Reference!$A$6:$A$11,1))))),0)+IF(3&lt;=AE295,(AE295-3+3)*(INDEX(Reference!$B$6:$B$11,MIN(5,MATCH(MAX(Reference!$A$6,MIN(Reference!$A$11,MIN(D295,150))),Reference!$A$6:$A$11,1)))+(MAX(Reference!$A$6,MIN(Reference!$A$11,MIN(D295,150)))-INDEX(Reference!$A$6:$A$11,MIN(5,MATCH(MAX(Reference!$A$6,MIN(Reference!$A$11,MIN(D295,150))),Reference!$A$6:$A$11,1))))*(INDEX(Reference!$B$6:$B$11,MIN(5,MATCH(MAX(Reference!$A$6,MIN(Reference!$A$11,MIN(D295,150))),Reference!$A$6:$A$11,1))+1)-INDEX(Reference!$B$6:$B$11,MIN(5,MATCH(MAX(Reference!$A$6,MIN(Reference!$A$11,MIN(D295,150))),Reference!$A$6:$A$11,1))))/(INDEX(Reference!$A$6:$A$11,MIN(5,MATCH(MAX(Reference!$A$6,MIN(Reference!$A$11,MIN(D295,150))),Reference!$A$6:$A$11,1))+1)-INDEX(Reference!$A$6:$A$11,MIN(5,MATCH(MAX(Reference!$A$6,MIN(Reference!$A$11,MIN(D295,150))),Reference!$A$6:$A$11,1))))),0)+IF(4&lt;=AE295,(AE295-4+3)*(INDEX(Reference!$B$6:$B$11,MIN(5,MATCH(MAX(Reference!$A$6,MIN(Reference!$A$11,MIN(D295,180))),Reference!$A$6:$A$11,1)))+(MAX(Reference!$A$6,MIN(Reference!$A$11,MIN(D295,180)))-INDEX(Reference!$A$6:$A$11,MIN(5,MATCH(MAX(Reference!$A$6,MIN(Reference!$A$11,MIN(D295,180))),Reference!$A$6:$A$11,1))))*(INDEX(Reference!$B$6:$B$11,MIN(5,MATCH(MAX(Reference!$A$6,MIN(Reference!$A$11,MIN(D295,180))),Reference!$A$6:$A$11,1))+1)-INDEX(Reference!$B$6:$B$11,MIN(5,MATCH(MAX(Reference!$A$6,MIN(Reference!$A$11,MIN(D295,180))),Reference!$A$6:$A$11,1))))/(INDEX(Reference!$A$6:$A$11,MIN(5,MATCH(MAX(Reference!$A$6,MIN(Reference!$A$11,MIN(D295,180))),Reference!$A$6:$A$11,1))+1)-INDEX(Reference!$A$6:$A$11,MIN(5,MATCH(MAX(Reference!$A$6,MIN(Reference!$A$11,MIN(D295,180))),Reference!$A$6:$A$11,1))))),0)+IF(5&lt;=AE295,(AE295-5+3)*(INDEX(Reference!$B$6:$B$11,MIN(5,MATCH(MAX(Reference!$A$6,MIN(Reference!$A$11,MIN(D295,210))),Reference!$A$6:$A$11,1)))+(MAX(Reference!$A$6,MIN(Reference!$A$11,MIN(D295,210)))-INDEX(Reference!$A$6:$A$11,MIN(5,MATCH(MAX(Reference!$A$6,MIN(Reference!$A$11,MIN(D295,210))),Reference!$A$6:$A$11,1))))*(INDEX(Reference!$B$6:$B$11,MIN(5,MATCH(MAX(Reference!$A$6,MIN(Reference!$A$11,MIN(D295,210))),Reference!$A$6:$A$11,1))+1)-INDEX(Reference!$B$6:$B$11,MIN(5,MATCH(MAX(Reference!$A$6,MIN(Reference!$A$11,MIN(D295,210))),Reference!$A$6:$A$11,1))))/(INDEX(Reference!$A$6:$A$11,MIN(5,MATCH(MAX(Reference!$A$6,MIN(Reference!$A$11,MIN(D295,210))),Reference!$A$6:$A$11,1))+1)-INDEX(Reference!$A$6:$A$11,MIN(5,MATCH(MAX(Reference!$A$6,MIN(Reference!$A$11,MIN(D295,210))),Reference!$A$6:$A$11,1))))),0)+IF(6&lt;=AE295,(AE295-6+3)*(INDEX(Reference!$B$6:$B$11,MIN(5,MATCH(MAX(Reference!$A$6,MIN(Reference!$A$11,MIN(D295,240))),Reference!$A$6:$A$11,1)))+(MAX(Reference!$A$6,MIN(Reference!$A$11,MIN(D295,240)))-INDEX(Reference!$A$6:$A$11,MIN(5,MATCH(MAX(Reference!$A$6,MIN(Reference!$A$11,MIN(D295,240))),Reference!$A$6:$A$11,1))))*(INDEX(Reference!$B$6:$B$11,MIN(5,MATCH(MAX(Reference!$A$6,MIN(Reference!$A$11,MIN(D295,240))),Reference!$A$6:$A$11,1))+1)-INDEX(Reference!$B$6:$B$11,MIN(5,MATCH(MAX(Reference!$A$6,MIN(Reference!$A$11,MIN(D295,240))),Reference!$A$6:$A$11,1))))/(INDEX(Reference!$A$6:$A$11,MIN(5,MATCH(MAX(Reference!$A$6,MIN(Reference!$A$11,MIN(D295,240))),Reference!$A$6:$A$11,1))+1)-INDEX(Reference!$A$6:$A$11,MIN(5,MATCH(MAX(Reference!$A$6,MIN(Reference!$A$11,MIN(D295,240))),Reference!$A$6:$A$11,1))))),0)+IF(7&lt;=AE295,(AE295-7+3)*(INDEX(Reference!$B$6:$B$11,MIN(5,MATCH(MAX(Reference!$A$6,MIN(Reference!$A$11,MIN(D295,270))),Reference!$A$6:$A$11,1)))+(MAX(Reference!$A$6,MIN(Reference!$A$11,MIN(D295,270)))-INDEX(Reference!$A$6:$A$11,MIN(5,MATCH(MAX(Reference!$A$6,MIN(Reference!$A$11,MIN(D295,270))),Reference!$A$6:$A$11,1))))*(INDEX(Reference!$B$6:$B$11,MIN(5,MATCH(MAX(Reference!$A$6,MIN(Reference!$A$11,MIN(D295,270))),Reference!$A$6:$A$11,1))+1)-INDEX(Reference!$B$6:$B$11,MIN(5,MATCH(MAX(Reference!$A$6,MIN(Reference!$A$11,MIN(D295,270))),Reference!$A$6:$A$11,1))))/(INDEX(Reference!$A$6:$A$11,MIN(5,MATCH(MAX(Reference!$A$6,MIN(Reference!$A$11,MIN(D295,270))),Reference!$A$6:$A$11,1))+1)-INDEX(Reference!$A$6:$A$11,MIN(5,MATCH(MAX(Reference!$A$6,MIN(Reference!$A$11,MIN(D295,270))),Reference!$A$6:$A$11,1))))),0)+IF(8&lt;=AE295,(AE295-8+3)*(INDEX(Reference!$B$6:$B$11,MIN(5,MATCH(MAX(Reference!$A$6,MIN(Reference!$A$11,MIN(D295,300))),Reference!$A$6:$A$11,1)))+(MAX(Reference!$A$6,MIN(Reference!$A$11,MIN(D295,300)))-INDEX(Reference!$A$6:$A$11,MIN(5,MATCH(MAX(Reference!$A$6,MIN(Reference!$A$11,MIN(D295,300))),Reference!$A$6:$A$11,1))))*(INDEX(Reference!$B$6:$B$11,MIN(5,MATCH(MAX(Reference!$A$6,MIN(Reference!$A$11,MIN(D295,300))),Reference!$A$6:$A$11,1))+1)-INDEX(Reference!$B$6:$B$11,MIN(5,MATCH(MAX(Reference!$A$6,MIN(Reference!$A$11,MIN(D295,300))),Reference!$A$6:$A$11,1))))/(INDEX(Reference!$A$6:$A$11,MIN(5,MATCH(MAX(Reference!$A$6,MIN(Reference!$A$11,MIN(D295,300))),Reference!$A$6:$A$11,1))+1)-INDEX(Reference!$A$6:$A$11,MIN(5,MATCH(MAX(Reference!$A$6,MIN(Reference!$A$11,MIN(D295,300))),Reference!$A$6:$A$11,1))))),0))/(AE295*(AE295+5)/2)),(INDEX(Reference!$B$6:$B$11,MIN(5,MATCH(MAX(Reference!$A$6,MIN(Reference!$A$11,D295)),Reference!$A$6:$A$11,1)))+(MAX(Reference!$A$6,MIN(Reference!$A$11,D295))-INDEX(Reference!$A$6:$A$11,MIN(5,MATCH(MAX(Reference!$A$6,MIN(Reference!$A$11,D295)),Reference!$A$6:$A$11,1))))*(INDEX(Reference!$B$6:$B$11,MIN(5,MATCH(MAX(Reference!$A$6,MIN(Reference!$A$11,D295)),Reference!$A$6:$A$11,1))+1)-INDEX(Reference!$B$6:$B$11,MIN(5,MATCH(MAX(Reference!$A$6,MIN(Reference!$A$11,D295)),Reference!$A$6:$A$11,1))))/(INDEX(Reference!$A$6:$A$11,MIN(5,MATCH(MAX(Reference!$A$6,MIN(Reference!$A$11,D295)),Reference!$A$6:$A$11,1))+1)-INDEX(Reference!$A$6:$A$11,MIN(5,MATCH(MAX(Reference!$A$6,MIN(Reference!$A$11,D295)),Reference!$A$6:$A$11,1))))))))</f>
        <v/>
      </c>
      <c r="P295" s="32" t="str">
        <f>IF(N295="","",VLOOKUP(MAX(N295,0),Reference!$A$17:$B$20,2,TRUE()))</f>
        <v/>
      </c>
      <c r="Q295" s="32" t="str">
        <f t="shared" si="39"/>
        <v/>
      </c>
      <c r="R295" s="31"/>
      <c r="S295" s="31"/>
      <c r="T295" s="31"/>
      <c r="U295" s="32" t="str">
        <f t="shared" si="40"/>
        <v/>
      </c>
      <c r="V295" s="32" t="str">
        <f t="shared" si="41"/>
        <v/>
      </c>
      <c r="W295" s="32" t="str">
        <f>IF(V295="","",VLOOKUP(MAX(V295,0),Reference!$A$17:$B$20,2,TRUE()))</f>
        <v/>
      </c>
      <c r="X295" s="31"/>
      <c r="Y295" s="31"/>
      <c r="Z295" s="31"/>
      <c r="AA295" s="32" t="str">
        <f t="shared" si="42"/>
        <v/>
      </c>
      <c r="AB295" s="32" t="str">
        <f t="shared" si="43"/>
        <v/>
      </c>
      <c r="AC295" s="32" t="str">
        <f>IF(AB295="","",VLOOKUP(MAX(AB295,0),Reference!$A$17:$B$20,2,TRUE()))</f>
        <v/>
      </c>
      <c r="AD295" s="31"/>
      <c r="AE295">
        <f t="shared" si="44"/>
        <v>1</v>
      </c>
      <c r="AF295" s="33" t="str">
        <f>IF(OR(A295="",B295="",AND(C295&lt;&gt;"Bullpen",C295&lt;&gt;"Game")),"",IF((COUNTIFS($B$5:$B$300,B295,$A$5:$A$300,A295-1,$C$5:$C$300,"Bullpen",$AG$5:$AG$300,"&gt;0") + COUNTIFS($B$5:$B$300,B295,$A$5:$A$300,A295-1,$C$5:$C$300,"Game",$AG$5:$AG$300,"&gt;0"))&gt;0,Reference!$B$119,IF((COUNTIFS($B$5:$B$300,B295,$A$5:$A$300,A295-2,$C$5:$C$300,"Bullpen",$AG$5:$AG$300,"&gt;0") + COUNTIFS($B$5:$B$300,B295,$A$5:$A$300,A295-2,$C$5:$C$300,"Game",$AG$5:$AG$300,"&gt;0"))&gt;0,Reference!$B$120,1)))</f>
        <v/>
      </c>
      <c r="AG295" s="30" t="str">
        <f>IF(AND(OR(I295="",O295="",P295=""),OR(R295="",W295=""),OR(X295="",AC295="")),"",IF(OR(I295="",O295="",P295=""),0,I295*O295*P295)+IF(OR(R295="",W295=""),0,R295*IFERROR(INDEX(Reference!$B$61:$B$62,MATCH("Bullpen",Reference!$A$61:$A$62,0)),0)*W295)+IF(OR(X295="",AC295=""),0,X295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295))</f>
        <v/>
      </c>
    </row>
    <row r="296" spans="1:33" x14ac:dyDescent="0.3">
      <c r="A296" s="35"/>
      <c r="B296" s="31"/>
      <c r="C296" s="31"/>
      <c r="D296" s="31"/>
      <c r="E296" s="34"/>
      <c r="F296" s="34"/>
      <c r="G296" s="30" t="str">
        <f t="shared" si="36"/>
        <v/>
      </c>
      <c r="H296" s="31"/>
      <c r="I296" s="32" t="str">
        <f>IF(H296&lt;&gt;"",H296,IF(G296="","",ROUND(G296*IFERROR(INDEX(Reference!$B$44:$B$50,MATCH(C296,Reference!$A$44:$A$50,0)),0),0)))</f>
        <v/>
      </c>
      <c r="J296" s="31"/>
      <c r="K296" s="31"/>
      <c r="L296" s="32" t="str">
        <f t="shared" si="37"/>
        <v/>
      </c>
      <c r="M296" s="32" t="str">
        <f>IFERROR(INDEX(Roster!$D$5:$D$40,MATCH(B296,Roster!$A$5:$A$40,0)),"")</f>
        <v/>
      </c>
      <c r="N296" s="32" t="str">
        <f t="shared" si="38"/>
        <v/>
      </c>
      <c r="O296" s="32" t="str">
        <f>IF(OR(C296="Bullpen",C296="Game"),IFERROR(INDEX(Reference!$B$61:$B$62,MATCH(C296,Reference!$A$61:$A$62,0)),""),IF(D296="","",IF(AE296&gt;1,((IF(1&lt;=AE296,(AE296-1+3)*(INDEX(Reference!$B$6:$B$11,MIN(5,MATCH(MAX(Reference!$A$6,MIN(Reference!$A$11,MIN(D296,90))),Reference!$A$6:$A$11,1)))+(MAX(Reference!$A$6,MIN(Reference!$A$11,MIN(D296,90)))-INDEX(Reference!$A$6:$A$11,MIN(5,MATCH(MAX(Reference!$A$6,MIN(Reference!$A$11,MIN(D296,90))),Reference!$A$6:$A$11,1))))*(INDEX(Reference!$B$6:$B$11,MIN(5,MATCH(MAX(Reference!$A$6,MIN(Reference!$A$11,MIN(D296,90))),Reference!$A$6:$A$11,1))+1)-INDEX(Reference!$B$6:$B$11,MIN(5,MATCH(MAX(Reference!$A$6,MIN(Reference!$A$11,MIN(D296,90))),Reference!$A$6:$A$11,1))))/(INDEX(Reference!$A$6:$A$11,MIN(5,MATCH(MAX(Reference!$A$6,MIN(Reference!$A$11,MIN(D296,90))),Reference!$A$6:$A$11,1))+1)-INDEX(Reference!$A$6:$A$11,MIN(5,MATCH(MAX(Reference!$A$6,MIN(Reference!$A$11,MIN(D296,90))),Reference!$A$6:$A$11,1))))),0)+IF(2&lt;=AE296,(AE296-2+3)*(INDEX(Reference!$B$6:$B$11,MIN(5,MATCH(MAX(Reference!$A$6,MIN(Reference!$A$11,MIN(D296,120))),Reference!$A$6:$A$11,1)))+(MAX(Reference!$A$6,MIN(Reference!$A$11,MIN(D296,120)))-INDEX(Reference!$A$6:$A$11,MIN(5,MATCH(MAX(Reference!$A$6,MIN(Reference!$A$11,MIN(D296,120))),Reference!$A$6:$A$11,1))))*(INDEX(Reference!$B$6:$B$11,MIN(5,MATCH(MAX(Reference!$A$6,MIN(Reference!$A$11,MIN(D296,120))),Reference!$A$6:$A$11,1))+1)-INDEX(Reference!$B$6:$B$11,MIN(5,MATCH(MAX(Reference!$A$6,MIN(Reference!$A$11,MIN(D296,120))),Reference!$A$6:$A$11,1))))/(INDEX(Reference!$A$6:$A$11,MIN(5,MATCH(MAX(Reference!$A$6,MIN(Reference!$A$11,MIN(D296,120))),Reference!$A$6:$A$11,1))+1)-INDEX(Reference!$A$6:$A$11,MIN(5,MATCH(MAX(Reference!$A$6,MIN(Reference!$A$11,MIN(D296,120))),Reference!$A$6:$A$11,1))))),0)+IF(3&lt;=AE296,(AE296-3+3)*(INDEX(Reference!$B$6:$B$11,MIN(5,MATCH(MAX(Reference!$A$6,MIN(Reference!$A$11,MIN(D296,150))),Reference!$A$6:$A$11,1)))+(MAX(Reference!$A$6,MIN(Reference!$A$11,MIN(D296,150)))-INDEX(Reference!$A$6:$A$11,MIN(5,MATCH(MAX(Reference!$A$6,MIN(Reference!$A$11,MIN(D296,150))),Reference!$A$6:$A$11,1))))*(INDEX(Reference!$B$6:$B$11,MIN(5,MATCH(MAX(Reference!$A$6,MIN(Reference!$A$11,MIN(D296,150))),Reference!$A$6:$A$11,1))+1)-INDEX(Reference!$B$6:$B$11,MIN(5,MATCH(MAX(Reference!$A$6,MIN(Reference!$A$11,MIN(D296,150))),Reference!$A$6:$A$11,1))))/(INDEX(Reference!$A$6:$A$11,MIN(5,MATCH(MAX(Reference!$A$6,MIN(Reference!$A$11,MIN(D296,150))),Reference!$A$6:$A$11,1))+1)-INDEX(Reference!$A$6:$A$11,MIN(5,MATCH(MAX(Reference!$A$6,MIN(Reference!$A$11,MIN(D296,150))),Reference!$A$6:$A$11,1))))),0)+IF(4&lt;=AE296,(AE296-4+3)*(INDEX(Reference!$B$6:$B$11,MIN(5,MATCH(MAX(Reference!$A$6,MIN(Reference!$A$11,MIN(D296,180))),Reference!$A$6:$A$11,1)))+(MAX(Reference!$A$6,MIN(Reference!$A$11,MIN(D296,180)))-INDEX(Reference!$A$6:$A$11,MIN(5,MATCH(MAX(Reference!$A$6,MIN(Reference!$A$11,MIN(D296,180))),Reference!$A$6:$A$11,1))))*(INDEX(Reference!$B$6:$B$11,MIN(5,MATCH(MAX(Reference!$A$6,MIN(Reference!$A$11,MIN(D296,180))),Reference!$A$6:$A$11,1))+1)-INDEX(Reference!$B$6:$B$11,MIN(5,MATCH(MAX(Reference!$A$6,MIN(Reference!$A$11,MIN(D296,180))),Reference!$A$6:$A$11,1))))/(INDEX(Reference!$A$6:$A$11,MIN(5,MATCH(MAX(Reference!$A$6,MIN(Reference!$A$11,MIN(D296,180))),Reference!$A$6:$A$11,1))+1)-INDEX(Reference!$A$6:$A$11,MIN(5,MATCH(MAX(Reference!$A$6,MIN(Reference!$A$11,MIN(D296,180))),Reference!$A$6:$A$11,1))))),0)+IF(5&lt;=AE296,(AE296-5+3)*(INDEX(Reference!$B$6:$B$11,MIN(5,MATCH(MAX(Reference!$A$6,MIN(Reference!$A$11,MIN(D296,210))),Reference!$A$6:$A$11,1)))+(MAX(Reference!$A$6,MIN(Reference!$A$11,MIN(D296,210)))-INDEX(Reference!$A$6:$A$11,MIN(5,MATCH(MAX(Reference!$A$6,MIN(Reference!$A$11,MIN(D296,210))),Reference!$A$6:$A$11,1))))*(INDEX(Reference!$B$6:$B$11,MIN(5,MATCH(MAX(Reference!$A$6,MIN(Reference!$A$11,MIN(D296,210))),Reference!$A$6:$A$11,1))+1)-INDEX(Reference!$B$6:$B$11,MIN(5,MATCH(MAX(Reference!$A$6,MIN(Reference!$A$11,MIN(D296,210))),Reference!$A$6:$A$11,1))))/(INDEX(Reference!$A$6:$A$11,MIN(5,MATCH(MAX(Reference!$A$6,MIN(Reference!$A$11,MIN(D296,210))),Reference!$A$6:$A$11,1))+1)-INDEX(Reference!$A$6:$A$11,MIN(5,MATCH(MAX(Reference!$A$6,MIN(Reference!$A$11,MIN(D296,210))),Reference!$A$6:$A$11,1))))),0)+IF(6&lt;=AE296,(AE296-6+3)*(INDEX(Reference!$B$6:$B$11,MIN(5,MATCH(MAX(Reference!$A$6,MIN(Reference!$A$11,MIN(D296,240))),Reference!$A$6:$A$11,1)))+(MAX(Reference!$A$6,MIN(Reference!$A$11,MIN(D296,240)))-INDEX(Reference!$A$6:$A$11,MIN(5,MATCH(MAX(Reference!$A$6,MIN(Reference!$A$11,MIN(D296,240))),Reference!$A$6:$A$11,1))))*(INDEX(Reference!$B$6:$B$11,MIN(5,MATCH(MAX(Reference!$A$6,MIN(Reference!$A$11,MIN(D296,240))),Reference!$A$6:$A$11,1))+1)-INDEX(Reference!$B$6:$B$11,MIN(5,MATCH(MAX(Reference!$A$6,MIN(Reference!$A$11,MIN(D296,240))),Reference!$A$6:$A$11,1))))/(INDEX(Reference!$A$6:$A$11,MIN(5,MATCH(MAX(Reference!$A$6,MIN(Reference!$A$11,MIN(D296,240))),Reference!$A$6:$A$11,1))+1)-INDEX(Reference!$A$6:$A$11,MIN(5,MATCH(MAX(Reference!$A$6,MIN(Reference!$A$11,MIN(D296,240))),Reference!$A$6:$A$11,1))))),0)+IF(7&lt;=AE296,(AE296-7+3)*(INDEX(Reference!$B$6:$B$11,MIN(5,MATCH(MAX(Reference!$A$6,MIN(Reference!$A$11,MIN(D296,270))),Reference!$A$6:$A$11,1)))+(MAX(Reference!$A$6,MIN(Reference!$A$11,MIN(D296,270)))-INDEX(Reference!$A$6:$A$11,MIN(5,MATCH(MAX(Reference!$A$6,MIN(Reference!$A$11,MIN(D296,270))),Reference!$A$6:$A$11,1))))*(INDEX(Reference!$B$6:$B$11,MIN(5,MATCH(MAX(Reference!$A$6,MIN(Reference!$A$11,MIN(D296,270))),Reference!$A$6:$A$11,1))+1)-INDEX(Reference!$B$6:$B$11,MIN(5,MATCH(MAX(Reference!$A$6,MIN(Reference!$A$11,MIN(D296,270))),Reference!$A$6:$A$11,1))))/(INDEX(Reference!$A$6:$A$11,MIN(5,MATCH(MAX(Reference!$A$6,MIN(Reference!$A$11,MIN(D296,270))),Reference!$A$6:$A$11,1))+1)-INDEX(Reference!$A$6:$A$11,MIN(5,MATCH(MAX(Reference!$A$6,MIN(Reference!$A$11,MIN(D296,270))),Reference!$A$6:$A$11,1))))),0)+IF(8&lt;=AE296,(AE296-8+3)*(INDEX(Reference!$B$6:$B$11,MIN(5,MATCH(MAX(Reference!$A$6,MIN(Reference!$A$11,MIN(D296,300))),Reference!$A$6:$A$11,1)))+(MAX(Reference!$A$6,MIN(Reference!$A$11,MIN(D296,300)))-INDEX(Reference!$A$6:$A$11,MIN(5,MATCH(MAX(Reference!$A$6,MIN(Reference!$A$11,MIN(D296,300))),Reference!$A$6:$A$11,1))))*(INDEX(Reference!$B$6:$B$11,MIN(5,MATCH(MAX(Reference!$A$6,MIN(Reference!$A$11,MIN(D296,300))),Reference!$A$6:$A$11,1))+1)-INDEX(Reference!$B$6:$B$11,MIN(5,MATCH(MAX(Reference!$A$6,MIN(Reference!$A$11,MIN(D296,300))),Reference!$A$6:$A$11,1))))/(INDEX(Reference!$A$6:$A$11,MIN(5,MATCH(MAX(Reference!$A$6,MIN(Reference!$A$11,MIN(D296,300))),Reference!$A$6:$A$11,1))+1)-INDEX(Reference!$A$6:$A$11,MIN(5,MATCH(MAX(Reference!$A$6,MIN(Reference!$A$11,MIN(D296,300))),Reference!$A$6:$A$11,1))))),0))/(AE296*(AE296+5)/2)),(INDEX(Reference!$B$6:$B$11,MIN(5,MATCH(MAX(Reference!$A$6,MIN(Reference!$A$11,D296)),Reference!$A$6:$A$11,1)))+(MAX(Reference!$A$6,MIN(Reference!$A$11,D296))-INDEX(Reference!$A$6:$A$11,MIN(5,MATCH(MAX(Reference!$A$6,MIN(Reference!$A$11,D296)),Reference!$A$6:$A$11,1))))*(INDEX(Reference!$B$6:$B$11,MIN(5,MATCH(MAX(Reference!$A$6,MIN(Reference!$A$11,D296)),Reference!$A$6:$A$11,1))+1)-INDEX(Reference!$B$6:$B$11,MIN(5,MATCH(MAX(Reference!$A$6,MIN(Reference!$A$11,D296)),Reference!$A$6:$A$11,1))))/(INDEX(Reference!$A$6:$A$11,MIN(5,MATCH(MAX(Reference!$A$6,MIN(Reference!$A$11,D296)),Reference!$A$6:$A$11,1))+1)-INDEX(Reference!$A$6:$A$11,MIN(5,MATCH(MAX(Reference!$A$6,MIN(Reference!$A$11,D296)),Reference!$A$6:$A$11,1))))))))</f>
        <v/>
      </c>
      <c r="P296" s="32" t="str">
        <f>IF(N296="","",VLOOKUP(MAX(N296,0),Reference!$A$17:$B$20,2,TRUE()))</f>
        <v/>
      </c>
      <c r="Q296" s="32" t="str">
        <f t="shared" si="39"/>
        <v/>
      </c>
      <c r="R296" s="31"/>
      <c r="S296" s="31"/>
      <c r="T296" s="31"/>
      <c r="U296" s="32" t="str">
        <f t="shared" si="40"/>
        <v/>
      </c>
      <c r="V296" s="32" t="str">
        <f t="shared" si="41"/>
        <v/>
      </c>
      <c r="W296" s="32" t="str">
        <f>IF(V296="","",VLOOKUP(MAX(V296,0),Reference!$A$17:$B$20,2,TRUE()))</f>
        <v/>
      </c>
      <c r="X296" s="31"/>
      <c r="Y296" s="31"/>
      <c r="Z296" s="31"/>
      <c r="AA296" s="32" t="str">
        <f t="shared" si="42"/>
        <v/>
      </c>
      <c r="AB296" s="32" t="str">
        <f t="shared" si="43"/>
        <v/>
      </c>
      <c r="AC296" s="32" t="str">
        <f>IF(AB296="","",VLOOKUP(MAX(AB296,0),Reference!$A$17:$B$20,2,TRUE()))</f>
        <v/>
      </c>
      <c r="AD296" s="31"/>
      <c r="AE296">
        <f t="shared" si="44"/>
        <v>1</v>
      </c>
      <c r="AF296" s="33" t="str">
        <f>IF(OR(A296="",B296="",AND(C296&lt;&gt;"Bullpen",C296&lt;&gt;"Game")),"",IF((COUNTIFS($B$5:$B$300,B296,$A$5:$A$300,A296-1,$C$5:$C$300,"Bullpen",$AG$5:$AG$300,"&gt;0") + COUNTIFS($B$5:$B$300,B296,$A$5:$A$300,A296-1,$C$5:$C$300,"Game",$AG$5:$AG$300,"&gt;0"))&gt;0,Reference!$B$119,IF((COUNTIFS($B$5:$B$300,B296,$A$5:$A$300,A296-2,$C$5:$C$300,"Bullpen",$AG$5:$AG$300,"&gt;0") + COUNTIFS($B$5:$B$300,B296,$A$5:$A$300,A296-2,$C$5:$C$300,"Game",$AG$5:$AG$300,"&gt;0"))&gt;0,Reference!$B$120,1)))</f>
        <v/>
      </c>
      <c r="AG296" s="30" t="str">
        <f>IF(AND(OR(I296="",O296="",P296=""),OR(R296="",W296=""),OR(X296="",AC296="")),"",IF(OR(I296="",O296="",P296=""),0,I296*O296*P296)+IF(OR(R296="",W296=""),0,R296*IFERROR(INDEX(Reference!$B$61:$B$62,MATCH("Bullpen",Reference!$A$61:$A$62,0)),0)*W296)+IF(OR(X296="",AC296=""),0,X296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296))</f>
        <v/>
      </c>
    </row>
    <row r="297" spans="1:33" x14ac:dyDescent="0.3">
      <c r="A297" s="35"/>
      <c r="B297" s="31"/>
      <c r="C297" s="31"/>
      <c r="D297" s="31"/>
      <c r="E297" s="34"/>
      <c r="F297" s="34"/>
      <c r="G297" s="30" t="str">
        <f t="shared" si="36"/>
        <v/>
      </c>
      <c r="H297" s="31"/>
      <c r="I297" s="32" t="str">
        <f>IF(H297&lt;&gt;"",H297,IF(G297="","",ROUND(G297*IFERROR(INDEX(Reference!$B$44:$B$50,MATCH(C297,Reference!$A$44:$A$50,0)),0),0)))</f>
        <v/>
      </c>
      <c r="J297" s="31"/>
      <c r="K297" s="31"/>
      <c r="L297" s="32" t="str">
        <f t="shared" si="37"/>
        <v/>
      </c>
      <c r="M297" s="32" t="str">
        <f>IFERROR(INDEX(Roster!$D$5:$D$40,MATCH(B297,Roster!$A$5:$A$40,0)),"")</f>
        <v/>
      </c>
      <c r="N297" s="32" t="str">
        <f t="shared" si="38"/>
        <v/>
      </c>
      <c r="O297" s="32" t="str">
        <f>IF(OR(C297="Bullpen",C297="Game"),IFERROR(INDEX(Reference!$B$61:$B$62,MATCH(C297,Reference!$A$61:$A$62,0)),""),IF(D297="","",IF(AE297&gt;1,((IF(1&lt;=AE297,(AE297-1+3)*(INDEX(Reference!$B$6:$B$11,MIN(5,MATCH(MAX(Reference!$A$6,MIN(Reference!$A$11,MIN(D297,90))),Reference!$A$6:$A$11,1)))+(MAX(Reference!$A$6,MIN(Reference!$A$11,MIN(D297,90)))-INDEX(Reference!$A$6:$A$11,MIN(5,MATCH(MAX(Reference!$A$6,MIN(Reference!$A$11,MIN(D297,90))),Reference!$A$6:$A$11,1))))*(INDEX(Reference!$B$6:$B$11,MIN(5,MATCH(MAX(Reference!$A$6,MIN(Reference!$A$11,MIN(D297,90))),Reference!$A$6:$A$11,1))+1)-INDEX(Reference!$B$6:$B$11,MIN(5,MATCH(MAX(Reference!$A$6,MIN(Reference!$A$11,MIN(D297,90))),Reference!$A$6:$A$11,1))))/(INDEX(Reference!$A$6:$A$11,MIN(5,MATCH(MAX(Reference!$A$6,MIN(Reference!$A$11,MIN(D297,90))),Reference!$A$6:$A$11,1))+1)-INDEX(Reference!$A$6:$A$11,MIN(5,MATCH(MAX(Reference!$A$6,MIN(Reference!$A$11,MIN(D297,90))),Reference!$A$6:$A$11,1))))),0)+IF(2&lt;=AE297,(AE297-2+3)*(INDEX(Reference!$B$6:$B$11,MIN(5,MATCH(MAX(Reference!$A$6,MIN(Reference!$A$11,MIN(D297,120))),Reference!$A$6:$A$11,1)))+(MAX(Reference!$A$6,MIN(Reference!$A$11,MIN(D297,120)))-INDEX(Reference!$A$6:$A$11,MIN(5,MATCH(MAX(Reference!$A$6,MIN(Reference!$A$11,MIN(D297,120))),Reference!$A$6:$A$11,1))))*(INDEX(Reference!$B$6:$B$11,MIN(5,MATCH(MAX(Reference!$A$6,MIN(Reference!$A$11,MIN(D297,120))),Reference!$A$6:$A$11,1))+1)-INDEX(Reference!$B$6:$B$11,MIN(5,MATCH(MAX(Reference!$A$6,MIN(Reference!$A$11,MIN(D297,120))),Reference!$A$6:$A$11,1))))/(INDEX(Reference!$A$6:$A$11,MIN(5,MATCH(MAX(Reference!$A$6,MIN(Reference!$A$11,MIN(D297,120))),Reference!$A$6:$A$11,1))+1)-INDEX(Reference!$A$6:$A$11,MIN(5,MATCH(MAX(Reference!$A$6,MIN(Reference!$A$11,MIN(D297,120))),Reference!$A$6:$A$11,1))))),0)+IF(3&lt;=AE297,(AE297-3+3)*(INDEX(Reference!$B$6:$B$11,MIN(5,MATCH(MAX(Reference!$A$6,MIN(Reference!$A$11,MIN(D297,150))),Reference!$A$6:$A$11,1)))+(MAX(Reference!$A$6,MIN(Reference!$A$11,MIN(D297,150)))-INDEX(Reference!$A$6:$A$11,MIN(5,MATCH(MAX(Reference!$A$6,MIN(Reference!$A$11,MIN(D297,150))),Reference!$A$6:$A$11,1))))*(INDEX(Reference!$B$6:$B$11,MIN(5,MATCH(MAX(Reference!$A$6,MIN(Reference!$A$11,MIN(D297,150))),Reference!$A$6:$A$11,1))+1)-INDEX(Reference!$B$6:$B$11,MIN(5,MATCH(MAX(Reference!$A$6,MIN(Reference!$A$11,MIN(D297,150))),Reference!$A$6:$A$11,1))))/(INDEX(Reference!$A$6:$A$11,MIN(5,MATCH(MAX(Reference!$A$6,MIN(Reference!$A$11,MIN(D297,150))),Reference!$A$6:$A$11,1))+1)-INDEX(Reference!$A$6:$A$11,MIN(5,MATCH(MAX(Reference!$A$6,MIN(Reference!$A$11,MIN(D297,150))),Reference!$A$6:$A$11,1))))),0)+IF(4&lt;=AE297,(AE297-4+3)*(INDEX(Reference!$B$6:$B$11,MIN(5,MATCH(MAX(Reference!$A$6,MIN(Reference!$A$11,MIN(D297,180))),Reference!$A$6:$A$11,1)))+(MAX(Reference!$A$6,MIN(Reference!$A$11,MIN(D297,180)))-INDEX(Reference!$A$6:$A$11,MIN(5,MATCH(MAX(Reference!$A$6,MIN(Reference!$A$11,MIN(D297,180))),Reference!$A$6:$A$11,1))))*(INDEX(Reference!$B$6:$B$11,MIN(5,MATCH(MAX(Reference!$A$6,MIN(Reference!$A$11,MIN(D297,180))),Reference!$A$6:$A$11,1))+1)-INDEX(Reference!$B$6:$B$11,MIN(5,MATCH(MAX(Reference!$A$6,MIN(Reference!$A$11,MIN(D297,180))),Reference!$A$6:$A$11,1))))/(INDEX(Reference!$A$6:$A$11,MIN(5,MATCH(MAX(Reference!$A$6,MIN(Reference!$A$11,MIN(D297,180))),Reference!$A$6:$A$11,1))+1)-INDEX(Reference!$A$6:$A$11,MIN(5,MATCH(MAX(Reference!$A$6,MIN(Reference!$A$11,MIN(D297,180))),Reference!$A$6:$A$11,1))))),0)+IF(5&lt;=AE297,(AE297-5+3)*(INDEX(Reference!$B$6:$B$11,MIN(5,MATCH(MAX(Reference!$A$6,MIN(Reference!$A$11,MIN(D297,210))),Reference!$A$6:$A$11,1)))+(MAX(Reference!$A$6,MIN(Reference!$A$11,MIN(D297,210)))-INDEX(Reference!$A$6:$A$11,MIN(5,MATCH(MAX(Reference!$A$6,MIN(Reference!$A$11,MIN(D297,210))),Reference!$A$6:$A$11,1))))*(INDEX(Reference!$B$6:$B$11,MIN(5,MATCH(MAX(Reference!$A$6,MIN(Reference!$A$11,MIN(D297,210))),Reference!$A$6:$A$11,1))+1)-INDEX(Reference!$B$6:$B$11,MIN(5,MATCH(MAX(Reference!$A$6,MIN(Reference!$A$11,MIN(D297,210))),Reference!$A$6:$A$11,1))))/(INDEX(Reference!$A$6:$A$11,MIN(5,MATCH(MAX(Reference!$A$6,MIN(Reference!$A$11,MIN(D297,210))),Reference!$A$6:$A$11,1))+1)-INDEX(Reference!$A$6:$A$11,MIN(5,MATCH(MAX(Reference!$A$6,MIN(Reference!$A$11,MIN(D297,210))),Reference!$A$6:$A$11,1))))),0)+IF(6&lt;=AE297,(AE297-6+3)*(INDEX(Reference!$B$6:$B$11,MIN(5,MATCH(MAX(Reference!$A$6,MIN(Reference!$A$11,MIN(D297,240))),Reference!$A$6:$A$11,1)))+(MAX(Reference!$A$6,MIN(Reference!$A$11,MIN(D297,240)))-INDEX(Reference!$A$6:$A$11,MIN(5,MATCH(MAX(Reference!$A$6,MIN(Reference!$A$11,MIN(D297,240))),Reference!$A$6:$A$11,1))))*(INDEX(Reference!$B$6:$B$11,MIN(5,MATCH(MAX(Reference!$A$6,MIN(Reference!$A$11,MIN(D297,240))),Reference!$A$6:$A$11,1))+1)-INDEX(Reference!$B$6:$B$11,MIN(5,MATCH(MAX(Reference!$A$6,MIN(Reference!$A$11,MIN(D297,240))),Reference!$A$6:$A$11,1))))/(INDEX(Reference!$A$6:$A$11,MIN(5,MATCH(MAX(Reference!$A$6,MIN(Reference!$A$11,MIN(D297,240))),Reference!$A$6:$A$11,1))+1)-INDEX(Reference!$A$6:$A$11,MIN(5,MATCH(MAX(Reference!$A$6,MIN(Reference!$A$11,MIN(D297,240))),Reference!$A$6:$A$11,1))))),0)+IF(7&lt;=AE297,(AE297-7+3)*(INDEX(Reference!$B$6:$B$11,MIN(5,MATCH(MAX(Reference!$A$6,MIN(Reference!$A$11,MIN(D297,270))),Reference!$A$6:$A$11,1)))+(MAX(Reference!$A$6,MIN(Reference!$A$11,MIN(D297,270)))-INDEX(Reference!$A$6:$A$11,MIN(5,MATCH(MAX(Reference!$A$6,MIN(Reference!$A$11,MIN(D297,270))),Reference!$A$6:$A$11,1))))*(INDEX(Reference!$B$6:$B$11,MIN(5,MATCH(MAX(Reference!$A$6,MIN(Reference!$A$11,MIN(D297,270))),Reference!$A$6:$A$11,1))+1)-INDEX(Reference!$B$6:$B$11,MIN(5,MATCH(MAX(Reference!$A$6,MIN(Reference!$A$11,MIN(D297,270))),Reference!$A$6:$A$11,1))))/(INDEX(Reference!$A$6:$A$11,MIN(5,MATCH(MAX(Reference!$A$6,MIN(Reference!$A$11,MIN(D297,270))),Reference!$A$6:$A$11,1))+1)-INDEX(Reference!$A$6:$A$11,MIN(5,MATCH(MAX(Reference!$A$6,MIN(Reference!$A$11,MIN(D297,270))),Reference!$A$6:$A$11,1))))),0)+IF(8&lt;=AE297,(AE297-8+3)*(INDEX(Reference!$B$6:$B$11,MIN(5,MATCH(MAX(Reference!$A$6,MIN(Reference!$A$11,MIN(D297,300))),Reference!$A$6:$A$11,1)))+(MAX(Reference!$A$6,MIN(Reference!$A$11,MIN(D297,300)))-INDEX(Reference!$A$6:$A$11,MIN(5,MATCH(MAX(Reference!$A$6,MIN(Reference!$A$11,MIN(D297,300))),Reference!$A$6:$A$11,1))))*(INDEX(Reference!$B$6:$B$11,MIN(5,MATCH(MAX(Reference!$A$6,MIN(Reference!$A$11,MIN(D297,300))),Reference!$A$6:$A$11,1))+1)-INDEX(Reference!$B$6:$B$11,MIN(5,MATCH(MAX(Reference!$A$6,MIN(Reference!$A$11,MIN(D297,300))),Reference!$A$6:$A$11,1))))/(INDEX(Reference!$A$6:$A$11,MIN(5,MATCH(MAX(Reference!$A$6,MIN(Reference!$A$11,MIN(D297,300))),Reference!$A$6:$A$11,1))+1)-INDEX(Reference!$A$6:$A$11,MIN(5,MATCH(MAX(Reference!$A$6,MIN(Reference!$A$11,MIN(D297,300))),Reference!$A$6:$A$11,1))))),0))/(AE297*(AE297+5)/2)),(INDEX(Reference!$B$6:$B$11,MIN(5,MATCH(MAX(Reference!$A$6,MIN(Reference!$A$11,D297)),Reference!$A$6:$A$11,1)))+(MAX(Reference!$A$6,MIN(Reference!$A$11,D297))-INDEX(Reference!$A$6:$A$11,MIN(5,MATCH(MAX(Reference!$A$6,MIN(Reference!$A$11,D297)),Reference!$A$6:$A$11,1))))*(INDEX(Reference!$B$6:$B$11,MIN(5,MATCH(MAX(Reference!$A$6,MIN(Reference!$A$11,D297)),Reference!$A$6:$A$11,1))+1)-INDEX(Reference!$B$6:$B$11,MIN(5,MATCH(MAX(Reference!$A$6,MIN(Reference!$A$11,D297)),Reference!$A$6:$A$11,1))))/(INDEX(Reference!$A$6:$A$11,MIN(5,MATCH(MAX(Reference!$A$6,MIN(Reference!$A$11,D297)),Reference!$A$6:$A$11,1))+1)-INDEX(Reference!$A$6:$A$11,MIN(5,MATCH(MAX(Reference!$A$6,MIN(Reference!$A$11,D297)),Reference!$A$6:$A$11,1))))))))</f>
        <v/>
      </c>
      <c r="P297" s="32" t="str">
        <f>IF(N297="","",VLOOKUP(MAX(N297,0),Reference!$A$17:$B$20,2,TRUE()))</f>
        <v/>
      </c>
      <c r="Q297" s="32" t="str">
        <f t="shared" si="39"/>
        <v/>
      </c>
      <c r="R297" s="31"/>
      <c r="S297" s="31"/>
      <c r="T297" s="31"/>
      <c r="U297" s="32" t="str">
        <f t="shared" si="40"/>
        <v/>
      </c>
      <c r="V297" s="32" t="str">
        <f t="shared" si="41"/>
        <v/>
      </c>
      <c r="W297" s="32" t="str">
        <f>IF(V297="","",VLOOKUP(MAX(V297,0),Reference!$A$17:$B$20,2,TRUE()))</f>
        <v/>
      </c>
      <c r="X297" s="31"/>
      <c r="Y297" s="31"/>
      <c r="Z297" s="31"/>
      <c r="AA297" s="32" t="str">
        <f t="shared" si="42"/>
        <v/>
      </c>
      <c r="AB297" s="32" t="str">
        <f t="shared" si="43"/>
        <v/>
      </c>
      <c r="AC297" s="32" t="str">
        <f>IF(AB297="","",VLOOKUP(MAX(AB297,0),Reference!$A$17:$B$20,2,TRUE()))</f>
        <v/>
      </c>
      <c r="AD297" s="31"/>
      <c r="AE297">
        <f t="shared" si="44"/>
        <v>1</v>
      </c>
      <c r="AF297" s="33" t="str">
        <f>IF(OR(A297="",B297="",AND(C297&lt;&gt;"Bullpen",C297&lt;&gt;"Game")),"",IF((COUNTIFS($B$5:$B$300,B297,$A$5:$A$300,A297-1,$C$5:$C$300,"Bullpen",$AG$5:$AG$300,"&gt;0") + COUNTIFS($B$5:$B$300,B297,$A$5:$A$300,A297-1,$C$5:$C$300,"Game",$AG$5:$AG$300,"&gt;0"))&gt;0,Reference!$B$119,IF((COUNTIFS($B$5:$B$300,B297,$A$5:$A$300,A297-2,$C$5:$C$300,"Bullpen",$AG$5:$AG$300,"&gt;0") + COUNTIFS($B$5:$B$300,B297,$A$5:$A$300,A297-2,$C$5:$C$300,"Game",$AG$5:$AG$300,"&gt;0"))&gt;0,Reference!$B$120,1)))</f>
        <v/>
      </c>
      <c r="AG297" s="30" t="str">
        <f>IF(AND(OR(I297="",O297="",P297=""),OR(R297="",W297=""),OR(X297="",AC297="")),"",IF(OR(I297="",O297="",P297=""),0,I297*O297*P297)+IF(OR(R297="",W297=""),0,R297*IFERROR(INDEX(Reference!$B$61:$B$62,MATCH("Bullpen",Reference!$A$61:$A$62,0)),0)*W297)+IF(OR(X297="",AC297=""),0,X297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297))</f>
        <v/>
      </c>
    </row>
    <row r="298" spans="1:33" x14ac:dyDescent="0.3">
      <c r="A298" s="35"/>
      <c r="B298" s="31"/>
      <c r="C298" s="31"/>
      <c r="D298" s="31"/>
      <c r="E298" s="34"/>
      <c r="F298" s="34"/>
      <c r="G298" s="30" t="str">
        <f t="shared" si="36"/>
        <v/>
      </c>
      <c r="H298" s="31"/>
      <c r="I298" s="32" t="str">
        <f>IF(H298&lt;&gt;"",H298,IF(G298="","",ROUND(G298*IFERROR(INDEX(Reference!$B$44:$B$50,MATCH(C298,Reference!$A$44:$A$50,0)),0),0)))</f>
        <v/>
      </c>
      <c r="J298" s="31"/>
      <c r="K298" s="31"/>
      <c r="L298" s="32" t="str">
        <f t="shared" si="37"/>
        <v/>
      </c>
      <c r="M298" s="32" t="str">
        <f>IFERROR(INDEX(Roster!$D$5:$D$40,MATCH(B298,Roster!$A$5:$A$40,0)),"")</f>
        <v/>
      </c>
      <c r="N298" s="32" t="str">
        <f t="shared" si="38"/>
        <v/>
      </c>
      <c r="O298" s="32" t="str">
        <f>IF(OR(C298="Bullpen",C298="Game"),IFERROR(INDEX(Reference!$B$61:$B$62,MATCH(C298,Reference!$A$61:$A$62,0)),""),IF(D298="","",IF(AE298&gt;1,((IF(1&lt;=AE298,(AE298-1+3)*(INDEX(Reference!$B$6:$B$11,MIN(5,MATCH(MAX(Reference!$A$6,MIN(Reference!$A$11,MIN(D298,90))),Reference!$A$6:$A$11,1)))+(MAX(Reference!$A$6,MIN(Reference!$A$11,MIN(D298,90)))-INDEX(Reference!$A$6:$A$11,MIN(5,MATCH(MAX(Reference!$A$6,MIN(Reference!$A$11,MIN(D298,90))),Reference!$A$6:$A$11,1))))*(INDEX(Reference!$B$6:$B$11,MIN(5,MATCH(MAX(Reference!$A$6,MIN(Reference!$A$11,MIN(D298,90))),Reference!$A$6:$A$11,1))+1)-INDEX(Reference!$B$6:$B$11,MIN(5,MATCH(MAX(Reference!$A$6,MIN(Reference!$A$11,MIN(D298,90))),Reference!$A$6:$A$11,1))))/(INDEX(Reference!$A$6:$A$11,MIN(5,MATCH(MAX(Reference!$A$6,MIN(Reference!$A$11,MIN(D298,90))),Reference!$A$6:$A$11,1))+1)-INDEX(Reference!$A$6:$A$11,MIN(5,MATCH(MAX(Reference!$A$6,MIN(Reference!$A$11,MIN(D298,90))),Reference!$A$6:$A$11,1))))),0)+IF(2&lt;=AE298,(AE298-2+3)*(INDEX(Reference!$B$6:$B$11,MIN(5,MATCH(MAX(Reference!$A$6,MIN(Reference!$A$11,MIN(D298,120))),Reference!$A$6:$A$11,1)))+(MAX(Reference!$A$6,MIN(Reference!$A$11,MIN(D298,120)))-INDEX(Reference!$A$6:$A$11,MIN(5,MATCH(MAX(Reference!$A$6,MIN(Reference!$A$11,MIN(D298,120))),Reference!$A$6:$A$11,1))))*(INDEX(Reference!$B$6:$B$11,MIN(5,MATCH(MAX(Reference!$A$6,MIN(Reference!$A$11,MIN(D298,120))),Reference!$A$6:$A$11,1))+1)-INDEX(Reference!$B$6:$B$11,MIN(5,MATCH(MAX(Reference!$A$6,MIN(Reference!$A$11,MIN(D298,120))),Reference!$A$6:$A$11,1))))/(INDEX(Reference!$A$6:$A$11,MIN(5,MATCH(MAX(Reference!$A$6,MIN(Reference!$A$11,MIN(D298,120))),Reference!$A$6:$A$11,1))+1)-INDEX(Reference!$A$6:$A$11,MIN(5,MATCH(MAX(Reference!$A$6,MIN(Reference!$A$11,MIN(D298,120))),Reference!$A$6:$A$11,1))))),0)+IF(3&lt;=AE298,(AE298-3+3)*(INDEX(Reference!$B$6:$B$11,MIN(5,MATCH(MAX(Reference!$A$6,MIN(Reference!$A$11,MIN(D298,150))),Reference!$A$6:$A$11,1)))+(MAX(Reference!$A$6,MIN(Reference!$A$11,MIN(D298,150)))-INDEX(Reference!$A$6:$A$11,MIN(5,MATCH(MAX(Reference!$A$6,MIN(Reference!$A$11,MIN(D298,150))),Reference!$A$6:$A$11,1))))*(INDEX(Reference!$B$6:$B$11,MIN(5,MATCH(MAX(Reference!$A$6,MIN(Reference!$A$11,MIN(D298,150))),Reference!$A$6:$A$11,1))+1)-INDEX(Reference!$B$6:$B$11,MIN(5,MATCH(MAX(Reference!$A$6,MIN(Reference!$A$11,MIN(D298,150))),Reference!$A$6:$A$11,1))))/(INDEX(Reference!$A$6:$A$11,MIN(5,MATCH(MAX(Reference!$A$6,MIN(Reference!$A$11,MIN(D298,150))),Reference!$A$6:$A$11,1))+1)-INDEX(Reference!$A$6:$A$11,MIN(5,MATCH(MAX(Reference!$A$6,MIN(Reference!$A$11,MIN(D298,150))),Reference!$A$6:$A$11,1))))),0)+IF(4&lt;=AE298,(AE298-4+3)*(INDEX(Reference!$B$6:$B$11,MIN(5,MATCH(MAX(Reference!$A$6,MIN(Reference!$A$11,MIN(D298,180))),Reference!$A$6:$A$11,1)))+(MAX(Reference!$A$6,MIN(Reference!$A$11,MIN(D298,180)))-INDEX(Reference!$A$6:$A$11,MIN(5,MATCH(MAX(Reference!$A$6,MIN(Reference!$A$11,MIN(D298,180))),Reference!$A$6:$A$11,1))))*(INDEX(Reference!$B$6:$B$11,MIN(5,MATCH(MAX(Reference!$A$6,MIN(Reference!$A$11,MIN(D298,180))),Reference!$A$6:$A$11,1))+1)-INDEX(Reference!$B$6:$B$11,MIN(5,MATCH(MAX(Reference!$A$6,MIN(Reference!$A$11,MIN(D298,180))),Reference!$A$6:$A$11,1))))/(INDEX(Reference!$A$6:$A$11,MIN(5,MATCH(MAX(Reference!$A$6,MIN(Reference!$A$11,MIN(D298,180))),Reference!$A$6:$A$11,1))+1)-INDEX(Reference!$A$6:$A$11,MIN(5,MATCH(MAX(Reference!$A$6,MIN(Reference!$A$11,MIN(D298,180))),Reference!$A$6:$A$11,1))))),0)+IF(5&lt;=AE298,(AE298-5+3)*(INDEX(Reference!$B$6:$B$11,MIN(5,MATCH(MAX(Reference!$A$6,MIN(Reference!$A$11,MIN(D298,210))),Reference!$A$6:$A$11,1)))+(MAX(Reference!$A$6,MIN(Reference!$A$11,MIN(D298,210)))-INDEX(Reference!$A$6:$A$11,MIN(5,MATCH(MAX(Reference!$A$6,MIN(Reference!$A$11,MIN(D298,210))),Reference!$A$6:$A$11,1))))*(INDEX(Reference!$B$6:$B$11,MIN(5,MATCH(MAX(Reference!$A$6,MIN(Reference!$A$11,MIN(D298,210))),Reference!$A$6:$A$11,1))+1)-INDEX(Reference!$B$6:$B$11,MIN(5,MATCH(MAX(Reference!$A$6,MIN(Reference!$A$11,MIN(D298,210))),Reference!$A$6:$A$11,1))))/(INDEX(Reference!$A$6:$A$11,MIN(5,MATCH(MAX(Reference!$A$6,MIN(Reference!$A$11,MIN(D298,210))),Reference!$A$6:$A$11,1))+1)-INDEX(Reference!$A$6:$A$11,MIN(5,MATCH(MAX(Reference!$A$6,MIN(Reference!$A$11,MIN(D298,210))),Reference!$A$6:$A$11,1))))),0)+IF(6&lt;=AE298,(AE298-6+3)*(INDEX(Reference!$B$6:$B$11,MIN(5,MATCH(MAX(Reference!$A$6,MIN(Reference!$A$11,MIN(D298,240))),Reference!$A$6:$A$11,1)))+(MAX(Reference!$A$6,MIN(Reference!$A$11,MIN(D298,240)))-INDEX(Reference!$A$6:$A$11,MIN(5,MATCH(MAX(Reference!$A$6,MIN(Reference!$A$11,MIN(D298,240))),Reference!$A$6:$A$11,1))))*(INDEX(Reference!$B$6:$B$11,MIN(5,MATCH(MAX(Reference!$A$6,MIN(Reference!$A$11,MIN(D298,240))),Reference!$A$6:$A$11,1))+1)-INDEX(Reference!$B$6:$B$11,MIN(5,MATCH(MAX(Reference!$A$6,MIN(Reference!$A$11,MIN(D298,240))),Reference!$A$6:$A$11,1))))/(INDEX(Reference!$A$6:$A$11,MIN(5,MATCH(MAX(Reference!$A$6,MIN(Reference!$A$11,MIN(D298,240))),Reference!$A$6:$A$11,1))+1)-INDEX(Reference!$A$6:$A$11,MIN(5,MATCH(MAX(Reference!$A$6,MIN(Reference!$A$11,MIN(D298,240))),Reference!$A$6:$A$11,1))))),0)+IF(7&lt;=AE298,(AE298-7+3)*(INDEX(Reference!$B$6:$B$11,MIN(5,MATCH(MAX(Reference!$A$6,MIN(Reference!$A$11,MIN(D298,270))),Reference!$A$6:$A$11,1)))+(MAX(Reference!$A$6,MIN(Reference!$A$11,MIN(D298,270)))-INDEX(Reference!$A$6:$A$11,MIN(5,MATCH(MAX(Reference!$A$6,MIN(Reference!$A$11,MIN(D298,270))),Reference!$A$6:$A$11,1))))*(INDEX(Reference!$B$6:$B$11,MIN(5,MATCH(MAX(Reference!$A$6,MIN(Reference!$A$11,MIN(D298,270))),Reference!$A$6:$A$11,1))+1)-INDEX(Reference!$B$6:$B$11,MIN(5,MATCH(MAX(Reference!$A$6,MIN(Reference!$A$11,MIN(D298,270))),Reference!$A$6:$A$11,1))))/(INDEX(Reference!$A$6:$A$11,MIN(5,MATCH(MAX(Reference!$A$6,MIN(Reference!$A$11,MIN(D298,270))),Reference!$A$6:$A$11,1))+1)-INDEX(Reference!$A$6:$A$11,MIN(5,MATCH(MAX(Reference!$A$6,MIN(Reference!$A$11,MIN(D298,270))),Reference!$A$6:$A$11,1))))),0)+IF(8&lt;=AE298,(AE298-8+3)*(INDEX(Reference!$B$6:$B$11,MIN(5,MATCH(MAX(Reference!$A$6,MIN(Reference!$A$11,MIN(D298,300))),Reference!$A$6:$A$11,1)))+(MAX(Reference!$A$6,MIN(Reference!$A$11,MIN(D298,300)))-INDEX(Reference!$A$6:$A$11,MIN(5,MATCH(MAX(Reference!$A$6,MIN(Reference!$A$11,MIN(D298,300))),Reference!$A$6:$A$11,1))))*(INDEX(Reference!$B$6:$B$11,MIN(5,MATCH(MAX(Reference!$A$6,MIN(Reference!$A$11,MIN(D298,300))),Reference!$A$6:$A$11,1))+1)-INDEX(Reference!$B$6:$B$11,MIN(5,MATCH(MAX(Reference!$A$6,MIN(Reference!$A$11,MIN(D298,300))),Reference!$A$6:$A$11,1))))/(INDEX(Reference!$A$6:$A$11,MIN(5,MATCH(MAX(Reference!$A$6,MIN(Reference!$A$11,MIN(D298,300))),Reference!$A$6:$A$11,1))+1)-INDEX(Reference!$A$6:$A$11,MIN(5,MATCH(MAX(Reference!$A$6,MIN(Reference!$A$11,MIN(D298,300))),Reference!$A$6:$A$11,1))))),0))/(AE298*(AE298+5)/2)),(INDEX(Reference!$B$6:$B$11,MIN(5,MATCH(MAX(Reference!$A$6,MIN(Reference!$A$11,D298)),Reference!$A$6:$A$11,1)))+(MAX(Reference!$A$6,MIN(Reference!$A$11,D298))-INDEX(Reference!$A$6:$A$11,MIN(5,MATCH(MAX(Reference!$A$6,MIN(Reference!$A$11,D298)),Reference!$A$6:$A$11,1))))*(INDEX(Reference!$B$6:$B$11,MIN(5,MATCH(MAX(Reference!$A$6,MIN(Reference!$A$11,D298)),Reference!$A$6:$A$11,1))+1)-INDEX(Reference!$B$6:$B$11,MIN(5,MATCH(MAX(Reference!$A$6,MIN(Reference!$A$11,D298)),Reference!$A$6:$A$11,1))))/(INDEX(Reference!$A$6:$A$11,MIN(5,MATCH(MAX(Reference!$A$6,MIN(Reference!$A$11,D298)),Reference!$A$6:$A$11,1))+1)-INDEX(Reference!$A$6:$A$11,MIN(5,MATCH(MAX(Reference!$A$6,MIN(Reference!$A$11,D298)),Reference!$A$6:$A$11,1))))))))</f>
        <v/>
      </c>
      <c r="P298" s="32" t="str">
        <f>IF(N298="","",VLOOKUP(MAX(N298,0),Reference!$A$17:$B$20,2,TRUE()))</f>
        <v/>
      </c>
      <c r="Q298" s="32" t="str">
        <f t="shared" si="39"/>
        <v/>
      </c>
      <c r="R298" s="31"/>
      <c r="S298" s="31"/>
      <c r="T298" s="31"/>
      <c r="U298" s="32" t="str">
        <f t="shared" si="40"/>
        <v/>
      </c>
      <c r="V298" s="32" t="str">
        <f t="shared" si="41"/>
        <v/>
      </c>
      <c r="W298" s="32" t="str">
        <f>IF(V298="","",VLOOKUP(MAX(V298,0),Reference!$A$17:$B$20,2,TRUE()))</f>
        <v/>
      </c>
      <c r="X298" s="31"/>
      <c r="Y298" s="31"/>
      <c r="Z298" s="31"/>
      <c r="AA298" s="32" t="str">
        <f t="shared" si="42"/>
        <v/>
      </c>
      <c r="AB298" s="32" t="str">
        <f t="shared" si="43"/>
        <v/>
      </c>
      <c r="AC298" s="32" t="str">
        <f>IF(AB298="","",VLOOKUP(MAX(AB298,0),Reference!$A$17:$B$20,2,TRUE()))</f>
        <v/>
      </c>
      <c r="AD298" s="31"/>
      <c r="AE298">
        <f t="shared" si="44"/>
        <v>1</v>
      </c>
      <c r="AF298" s="33" t="str">
        <f>IF(OR(A298="",B298="",AND(C298&lt;&gt;"Bullpen",C298&lt;&gt;"Game")),"",IF((COUNTIFS($B$5:$B$300,B298,$A$5:$A$300,A298-1,$C$5:$C$300,"Bullpen",$AG$5:$AG$300,"&gt;0") + COUNTIFS($B$5:$B$300,B298,$A$5:$A$300,A298-1,$C$5:$C$300,"Game",$AG$5:$AG$300,"&gt;0"))&gt;0,Reference!$B$119,IF((COUNTIFS($B$5:$B$300,B298,$A$5:$A$300,A298-2,$C$5:$C$300,"Bullpen",$AG$5:$AG$300,"&gt;0") + COUNTIFS($B$5:$B$300,B298,$A$5:$A$300,A298-2,$C$5:$C$300,"Game",$AG$5:$AG$300,"&gt;0"))&gt;0,Reference!$B$120,1)))</f>
        <v/>
      </c>
      <c r="AG298" s="30" t="str">
        <f>IF(AND(OR(I298="",O298="",P298=""),OR(R298="",W298=""),OR(X298="",AC298="")),"",IF(OR(I298="",O298="",P298=""),0,I298*O298*P298)+IF(OR(R298="",W298=""),0,R298*IFERROR(INDEX(Reference!$B$61:$B$62,MATCH("Bullpen",Reference!$A$61:$A$62,0)),0)*W298)+IF(OR(X298="",AC298=""),0,X298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298))</f>
        <v/>
      </c>
    </row>
    <row r="299" spans="1:33" x14ac:dyDescent="0.3">
      <c r="A299" s="35"/>
      <c r="B299" s="31"/>
      <c r="C299" s="31"/>
      <c r="D299" s="31"/>
      <c r="E299" s="34"/>
      <c r="F299" s="34"/>
      <c r="G299" s="30" t="str">
        <f t="shared" si="36"/>
        <v/>
      </c>
      <c r="H299" s="31"/>
      <c r="I299" s="32" t="str">
        <f>IF(H299&lt;&gt;"",H299,IF(G299="","",ROUND(G299*IFERROR(INDEX(Reference!$B$44:$B$50,MATCH(C299,Reference!$A$44:$A$50,0)),0),0)))</f>
        <v/>
      </c>
      <c r="J299" s="31"/>
      <c r="K299" s="31"/>
      <c r="L299" s="32" t="str">
        <f t="shared" si="37"/>
        <v/>
      </c>
      <c r="M299" s="32" t="str">
        <f>IFERROR(INDEX(Roster!$D$5:$D$40,MATCH(B299,Roster!$A$5:$A$40,0)),"")</f>
        <v/>
      </c>
      <c r="N299" s="32" t="str">
        <f t="shared" si="38"/>
        <v/>
      </c>
      <c r="O299" s="32" t="str">
        <f>IF(OR(C299="Bullpen",C299="Game"),IFERROR(INDEX(Reference!$B$61:$B$62,MATCH(C299,Reference!$A$61:$A$62,0)),""),IF(D299="","",IF(AE299&gt;1,((IF(1&lt;=AE299,(AE299-1+3)*(INDEX(Reference!$B$6:$B$11,MIN(5,MATCH(MAX(Reference!$A$6,MIN(Reference!$A$11,MIN(D299,90))),Reference!$A$6:$A$11,1)))+(MAX(Reference!$A$6,MIN(Reference!$A$11,MIN(D299,90)))-INDEX(Reference!$A$6:$A$11,MIN(5,MATCH(MAX(Reference!$A$6,MIN(Reference!$A$11,MIN(D299,90))),Reference!$A$6:$A$11,1))))*(INDEX(Reference!$B$6:$B$11,MIN(5,MATCH(MAX(Reference!$A$6,MIN(Reference!$A$11,MIN(D299,90))),Reference!$A$6:$A$11,1))+1)-INDEX(Reference!$B$6:$B$11,MIN(5,MATCH(MAX(Reference!$A$6,MIN(Reference!$A$11,MIN(D299,90))),Reference!$A$6:$A$11,1))))/(INDEX(Reference!$A$6:$A$11,MIN(5,MATCH(MAX(Reference!$A$6,MIN(Reference!$A$11,MIN(D299,90))),Reference!$A$6:$A$11,1))+1)-INDEX(Reference!$A$6:$A$11,MIN(5,MATCH(MAX(Reference!$A$6,MIN(Reference!$A$11,MIN(D299,90))),Reference!$A$6:$A$11,1))))),0)+IF(2&lt;=AE299,(AE299-2+3)*(INDEX(Reference!$B$6:$B$11,MIN(5,MATCH(MAX(Reference!$A$6,MIN(Reference!$A$11,MIN(D299,120))),Reference!$A$6:$A$11,1)))+(MAX(Reference!$A$6,MIN(Reference!$A$11,MIN(D299,120)))-INDEX(Reference!$A$6:$A$11,MIN(5,MATCH(MAX(Reference!$A$6,MIN(Reference!$A$11,MIN(D299,120))),Reference!$A$6:$A$11,1))))*(INDEX(Reference!$B$6:$B$11,MIN(5,MATCH(MAX(Reference!$A$6,MIN(Reference!$A$11,MIN(D299,120))),Reference!$A$6:$A$11,1))+1)-INDEX(Reference!$B$6:$B$11,MIN(5,MATCH(MAX(Reference!$A$6,MIN(Reference!$A$11,MIN(D299,120))),Reference!$A$6:$A$11,1))))/(INDEX(Reference!$A$6:$A$11,MIN(5,MATCH(MAX(Reference!$A$6,MIN(Reference!$A$11,MIN(D299,120))),Reference!$A$6:$A$11,1))+1)-INDEX(Reference!$A$6:$A$11,MIN(5,MATCH(MAX(Reference!$A$6,MIN(Reference!$A$11,MIN(D299,120))),Reference!$A$6:$A$11,1))))),0)+IF(3&lt;=AE299,(AE299-3+3)*(INDEX(Reference!$B$6:$B$11,MIN(5,MATCH(MAX(Reference!$A$6,MIN(Reference!$A$11,MIN(D299,150))),Reference!$A$6:$A$11,1)))+(MAX(Reference!$A$6,MIN(Reference!$A$11,MIN(D299,150)))-INDEX(Reference!$A$6:$A$11,MIN(5,MATCH(MAX(Reference!$A$6,MIN(Reference!$A$11,MIN(D299,150))),Reference!$A$6:$A$11,1))))*(INDEX(Reference!$B$6:$B$11,MIN(5,MATCH(MAX(Reference!$A$6,MIN(Reference!$A$11,MIN(D299,150))),Reference!$A$6:$A$11,1))+1)-INDEX(Reference!$B$6:$B$11,MIN(5,MATCH(MAX(Reference!$A$6,MIN(Reference!$A$11,MIN(D299,150))),Reference!$A$6:$A$11,1))))/(INDEX(Reference!$A$6:$A$11,MIN(5,MATCH(MAX(Reference!$A$6,MIN(Reference!$A$11,MIN(D299,150))),Reference!$A$6:$A$11,1))+1)-INDEX(Reference!$A$6:$A$11,MIN(5,MATCH(MAX(Reference!$A$6,MIN(Reference!$A$11,MIN(D299,150))),Reference!$A$6:$A$11,1))))),0)+IF(4&lt;=AE299,(AE299-4+3)*(INDEX(Reference!$B$6:$B$11,MIN(5,MATCH(MAX(Reference!$A$6,MIN(Reference!$A$11,MIN(D299,180))),Reference!$A$6:$A$11,1)))+(MAX(Reference!$A$6,MIN(Reference!$A$11,MIN(D299,180)))-INDEX(Reference!$A$6:$A$11,MIN(5,MATCH(MAX(Reference!$A$6,MIN(Reference!$A$11,MIN(D299,180))),Reference!$A$6:$A$11,1))))*(INDEX(Reference!$B$6:$B$11,MIN(5,MATCH(MAX(Reference!$A$6,MIN(Reference!$A$11,MIN(D299,180))),Reference!$A$6:$A$11,1))+1)-INDEX(Reference!$B$6:$B$11,MIN(5,MATCH(MAX(Reference!$A$6,MIN(Reference!$A$11,MIN(D299,180))),Reference!$A$6:$A$11,1))))/(INDEX(Reference!$A$6:$A$11,MIN(5,MATCH(MAX(Reference!$A$6,MIN(Reference!$A$11,MIN(D299,180))),Reference!$A$6:$A$11,1))+1)-INDEX(Reference!$A$6:$A$11,MIN(5,MATCH(MAX(Reference!$A$6,MIN(Reference!$A$11,MIN(D299,180))),Reference!$A$6:$A$11,1))))),0)+IF(5&lt;=AE299,(AE299-5+3)*(INDEX(Reference!$B$6:$B$11,MIN(5,MATCH(MAX(Reference!$A$6,MIN(Reference!$A$11,MIN(D299,210))),Reference!$A$6:$A$11,1)))+(MAX(Reference!$A$6,MIN(Reference!$A$11,MIN(D299,210)))-INDEX(Reference!$A$6:$A$11,MIN(5,MATCH(MAX(Reference!$A$6,MIN(Reference!$A$11,MIN(D299,210))),Reference!$A$6:$A$11,1))))*(INDEX(Reference!$B$6:$B$11,MIN(5,MATCH(MAX(Reference!$A$6,MIN(Reference!$A$11,MIN(D299,210))),Reference!$A$6:$A$11,1))+1)-INDEX(Reference!$B$6:$B$11,MIN(5,MATCH(MAX(Reference!$A$6,MIN(Reference!$A$11,MIN(D299,210))),Reference!$A$6:$A$11,1))))/(INDEX(Reference!$A$6:$A$11,MIN(5,MATCH(MAX(Reference!$A$6,MIN(Reference!$A$11,MIN(D299,210))),Reference!$A$6:$A$11,1))+1)-INDEX(Reference!$A$6:$A$11,MIN(5,MATCH(MAX(Reference!$A$6,MIN(Reference!$A$11,MIN(D299,210))),Reference!$A$6:$A$11,1))))),0)+IF(6&lt;=AE299,(AE299-6+3)*(INDEX(Reference!$B$6:$B$11,MIN(5,MATCH(MAX(Reference!$A$6,MIN(Reference!$A$11,MIN(D299,240))),Reference!$A$6:$A$11,1)))+(MAX(Reference!$A$6,MIN(Reference!$A$11,MIN(D299,240)))-INDEX(Reference!$A$6:$A$11,MIN(5,MATCH(MAX(Reference!$A$6,MIN(Reference!$A$11,MIN(D299,240))),Reference!$A$6:$A$11,1))))*(INDEX(Reference!$B$6:$B$11,MIN(5,MATCH(MAX(Reference!$A$6,MIN(Reference!$A$11,MIN(D299,240))),Reference!$A$6:$A$11,1))+1)-INDEX(Reference!$B$6:$B$11,MIN(5,MATCH(MAX(Reference!$A$6,MIN(Reference!$A$11,MIN(D299,240))),Reference!$A$6:$A$11,1))))/(INDEX(Reference!$A$6:$A$11,MIN(5,MATCH(MAX(Reference!$A$6,MIN(Reference!$A$11,MIN(D299,240))),Reference!$A$6:$A$11,1))+1)-INDEX(Reference!$A$6:$A$11,MIN(5,MATCH(MAX(Reference!$A$6,MIN(Reference!$A$11,MIN(D299,240))),Reference!$A$6:$A$11,1))))),0)+IF(7&lt;=AE299,(AE299-7+3)*(INDEX(Reference!$B$6:$B$11,MIN(5,MATCH(MAX(Reference!$A$6,MIN(Reference!$A$11,MIN(D299,270))),Reference!$A$6:$A$11,1)))+(MAX(Reference!$A$6,MIN(Reference!$A$11,MIN(D299,270)))-INDEX(Reference!$A$6:$A$11,MIN(5,MATCH(MAX(Reference!$A$6,MIN(Reference!$A$11,MIN(D299,270))),Reference!$A$6:$A$11,1))))*(INDEX(Reference!$B$6:$B$11,MIN(5,MATCH(MAX(Reference!$A$6,MIN(Reference!$A$11,MIN(D299,270))),Reference!$A$6:$A$11,1))+1)-INDEX(Reference!$B$6:$B$11,MIN(5,MATCH(MAX(Reference!$A$6,MIN(Reference!$A$11,MIN(D299,270))),Reference!$A$6:$A$11,1))))/(INDEX(Reference!$A$6:$A$11,MIN(5,MATCH(MAX(Reference!$A$6,MIN(Reference!$A$11,MIN(D299,270))),Reference!$A$6:$A$11,1))+1)-INDEX(Reference!$A$6:$A$11,MIN(5,MATCH(MAX(Reference!$A$6,MIN(Reference!$A$11,MIN(D299,270))),Reference!$A$6:$A$11,1))))),0)+IF(8&lt;=AE299,(AE299-8+3)*(INDEX(Reference!$B$6:$B$11,MIN(5,MATCH(MAX(Reference!$A$6,MIN(Reference!$A$11,MIN(D299,300))),Reference!$A$6:$A$11,1)))+(MAX(Reference!$A$6,MIN(Reference!$A$11,MIN(D299,300)))-INDEX(Reference!$A$6:$A$11,MIN(5,MATCH(MAX(Reference!$A$6,MIN(Reference!$A$11,MIN(D299,300))),Reference!$A$6:$A$11,1))))*(INDEX(Reference!$B$6:$B$11,MIN(5,MATCH(MAX(Reference!$A$6,MIN(Reference!$A$11,MIN(D299,300))),Reference!$A$6:$A$11,1))+1)-INDEX(Reference!$B$6:$B$11,MIN(5,MATCH(MAX(Reference!$A$6,MIN(Reference!$A$11,MIN(D299,300))),Reference!$A$6:$A$11,1))))/(INDEX(Reference!$A$6:$A$11,MIN(5,MATCH(MAX(Reference!$A$6,MIN(Reference!$A$11,MIN(D299,300))),Reference!$A$6:$A$11,1))+1)-INDEX(Reference!$A$6:$A$11,MIN(5,MATCH(MAX(Reference!$A$6,MIN(Reference!$A$11,MIN(D299,300))),Reference!$A$6:$A$11,1))))),0))/(AE299*(AE299+5)/2)),(INDEX(Reference!$B$6:$B$11,MIN(5,MATCH(MAX(Reference!$A$6,MIN(Reference!$A$11,D299)),Reference!$A$6:$A$11,1)))+(MAX(Reference!$A$6,MIN(Reference!$A$11,D299))-INDEX(Reference!$A$6:$A$11,MIN(5,MATCH(MAX(Reference!$A$6,MIN(Reference!$A$11,D299)),Reference!$A$6:$A$11,1))))*(INDEX(Reference!$B$6:$B$11,MIN(5,MATCH(MAX(Reference!$A$6,MIN(Reference!$A$11,D299)),Reference!$A$6:$A$11,1))+1)-INDEX(Reference!$B$6:$B$11,MIN(5,MATCH(MAX(Reference!$A$6,MIN(Reference!$A$11,D299)),Reference!$A$6:$A$11,1))))/(INDEX(Reference!$A$6:$A$11,MIN(5,MATCH(MAX(Reference!$A$6,MIN(Reference!$A$11,D299)),Reference!$A$6:$A$11,1))+1)-INDEX(Reference!$A$6:$A$11,MIN(5,MATCH(MAX(Reference!$A$6,MIN(Reference!$A$11,D299)),Reference!$A$6:$A$11,1))))))))</f>
        <v/>
      </c>
      <c r="P299" s="32" t="str">
        <f>IF(N299="","",VLOOKUP(MAX(N299,0),Reference!$A$17:$B$20,2,TRUE()))</f>
        <v/>
      </c>
      <c r="Q299" s="32" t="str">
        <f t="shared" si="39"/>
        <v/>
      </c>
      <c r="R299" s="31"/>
      <c r="S299" s="31"/>
      <c r="T299" s="31"/>
      <c r="U299" s="32" t="str">
        <f t="shared" si="40"/>
        <v/>
      </c>
      <c r="V299" s="32" t="str">
        <f t="shared" si="41"/>
        <v/>
      </c>
      <c r="W299" s="32" t="str">
        <f>IF(V299="","",VLOOKUP(MAX(V299,0),Reference!$A$17:$B$20,2,TRUE()))</f>
        <v/>
      </c>
      <c r="X299" s="31"/>
      <c r="Y299" s="31"/>
      <c r="Z299" s="31"/>
      <c r="AA299" s="32" t="str">
        <f t="shared" si="42"/>
        <v/>
      </c>
      <c r="AB299" s="32" t="str">
        <f t="shared" si="43"/>
        <v/>
      </c>
      <c r="AC299" s="32" t="str">
        <f>IF(AB299="","",VLOOKUP(MAX(AB299,0),Reference!$A$17:$B$20,2,TRUE()))</f>
        <v/>
      </c>
      <c r="AD299" s="31"/>
      <c r="AE299">
        <f t="shared" si="44"/>
        <v>1</v>
      </c>
      <c r="AF299" s="33" t="str">
        <f>IF(OR(A299="",B299="",AND(C299&lt;&gt;"Bullpen",C299&lt;&gt;"Game")),"",IF((COUNTIFS($B$5:$B$300,B299,$A$5:$A$300,A299-1,$C$5:$C$300,"Bullpen",$AG$5:$AG$300,"&gt;0") + COUNTIFS($B$5:$B$300,B299,$A$5:$A$300,A299-1,$C$5:$C$300,"Game",$AG$5:$AG$300,"&gt;0"))&gt;0,Reference!$B$119,IF((COUNTIFS($B$5:$B$300,B299,$A$5:$A$300,A299-2,$C$5:$C$300,"Bullpen",$AG$5:$AG$300,"&gt;0") + COUNTIFS($B$5:$B$300,B299,$A$5:$A$300,A299-2,$C$5:$C$300,"Game",$AG$5:$AG$300,"&gt;0"))&gt;0,Reference!$B$120,1)))</f>
        <v/>
      </c>
      <c r="AG299" s="30" t="str">
        <f>IF(AND(OR(I299="",O299="",P299=""),OR(R299="",W299=""),OR(X299="",AC299="")),"",IF(OR(I299="",O299="",P299=""),0,I299*O299*P299)+IF(OR(R299="",W299=""),0,R299*IFERROR(INDEX(Reference!$B$61:$B$62,MATCH("Bullpen",Reference!$A$61:$A$62,0)),0)*W299)+IF(OR(X299="",AC299=""),0,X299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299))</f>
        <v/>
      </c>
    </row>
    <row r="300" spans="1:33" x14ac:dyDescent="0.3">
      <c r="A300" s="35"/>
      <c r="B300" s="31"/>
      <c r="C300" s="31"/>
      <c r="D300" s="31"/>
      <c r="E300" s="34"/>
      <c r="F300" s="34"/>
      <c r="G300" s="30" t="str">
        <f t="shared" si="36"/>
        <v/>
      </c>
      <c r="H300" s="31"/>
      <c r="I300" s="32" t="str">
        <f>IF(H300&lt;&gt;"",H300,IF(G300="","",ROUND(G300*IFERROR(INDEX(Reference!$B$44:$B$50,MATCH(C300,Reference!$A$44:$A$50,0)),0),0)))</f>
        <v/>
      </c>
      <c r="J300" s="31"/>
      <c r="K300" s="31"/>
      <c r="L300" s="32" t="str">
        <f t="shared" si="37"/>
        <v/>
      </c>
      <c r="M300" s="32" t="str">
        <f>IFERROR(INDEX(Roster!$D$5:$D$40,MATCH(B300,Roster!$A$5:$A$40,0)),"")</f>
        <v/>
      </c>
      <c r="N300" s="32" t="str">
        <f t="shared" si="38"/>
        <v/>
      </c>
      <c r="O300" s="32" t="str">
        <f>IF(OR(C300="Bullpen",C300="Game"),IFERROR(INDEX(Reference!$B$61:$B$62,MATCH(C300,Reference!$A$61:$A$62,0)),""),IF(D300="","",IF(AE300&gt;1,((IF(1&lt;=AE300,(AE300-1+3)*(INDEX(Reference!$B$6:$B$11,MIN(5,MATCH(MAX(Reference!$A$6,MIN(Reference!$A$11,MIN(D300,90))),Reference!$A$6:$A$11,1)))+(MAX(Reference!$A$6,MIN(Reference!$A$11,MIN(D300,90)))-INDEX(Reference!$A$6:$A$11,MIN(5,MATCH(MAX(Reference!$A$6,MIN(Reference!$A$11,MIN(D300,90))),Reference!$A$6:$A$11,1))))*(INDEX(Reference!$B$6:$B$11,MIN(5,MATCH(MAX(Reference!$A$6,MIN(Reference!$A$11,MIN(D300,90))),Reference!$A$6:$A$11,1))+1)-INDEX(Reference!$B$6:$B$11,MIN(5,MATCH(MAX(Reference!$A$6,MIN(Reference!$A$11,MIN(D300,90))),Reference!$A$6:$A$11,1))))/(INDEX(Reference!$A$6:$A$11,MIN(5,MATCH(MAX(Reference!$A$6,MIN(Reference!$A$11,MIN(D300,90))),Reference!$A$6:$A$11,1))+1)-INDEX(Reference!$A$6:$A$11,MIN(5,MATCH(MAX(Reference!$A$6,MIN(Reference!$A$11,MIN(D300,90))),Reference!$A$6:$A$11,1))))),0)+IF(2&lt;=AE300,(AE300-2+3)*(INDEX(Reference!$B$6:$B$11,MIN(5,MATCH(MAX(Reference!$A$6,MIN(Reference!$A$11,MIN(D300,120))),Reference!$A$6:$A$11,1)))+(MAX(Reference!$A$6,MIN(Reference!$A$11,MIN(D300,120)))-INDEX(Reference!$A$6:$A$11,MIN(5,MATCH(MAX(Reference!$A$6,MIN(Reference!$A$11,MIN(D300,120))),Reference!$A$6:$A$11,1))))*(INDEX(Reference!$B$6:$B$11,MIN(5,MATCH(MAX(Reference!$A$6,MIN(Reference!$A$11,MIN(D300,120))),Reference!$A$6:$A$11,1))+1)-INDEX(Reference!$B$6:$B$11,MIN(5,MATCH(MAX(Reference!$A$6,MIN(Reference!$A$11,MIN(D300,120))),Reference!$A$6:$A$11,1))))/(INDEX(Reference!$A$6:$A$11,MIN(5,MATCH(MAX(Reference!$A$6,MIN(Reference!$A$11,MIN(D300,120))),Reference!$A$6:$A$11,1))+1)-INDEX(Reference!$A$6:$A$11,MIN(5,MATCH(MAX(Reference!$A$6,MIN(Reference!$A$11,MIN(D300,120))),Reference!$A$6:$A$11,1))))),0)+IF(3&lt;=AE300,(AE300-3+3)*(INDEX(Reference!$B$6:$B$11,MIN(5,MATCH(MAX(Reference!$A$6,MIN(Reference!$A$11,MIN(D300,150))),Reference!$A$6:$A$11,1)))+(MAX(Reference!$A$6,MIN(Reference!$A$11,MIN(D300,150)))-INDEX(Reference!$A$6:$A$11,MIN(5,MATCH(MAX(Reference!$A$6,MIN(Reference!$A$11,MIN(D300,150))),Reference!$A$6:$A$11,1))))*(INDEX(Reference!$B$6:$B$11,MIN(5,MATCH(MAX(Reference!$A$6,MIN(Reference!$A$11,MIN(D300,150))),Reference!$A$6:$A$11,1))+1)-INDEX(Reference!$B$6:$B$11,MIN(5,MATCH(MAX(Reference!$A$6,MIN(Reference!$A$11,MIN(D300,150))),Reference!$A$6:$A$11,1))))/(INDEX(Reference!$A$6:$A$11,MIN(5,MATCH(MAX(Reference!$A$6,MIN(Reference!$A$11,MIN(D300,150))),Reference!$A$6:$A$11,1))+1)-INDEX(Reference!$A$6:$A$11,MIN(5,MATCH(MAX(Reference!$A$6,MIN(Reference!$A$11,MIN(D300,150))),Reference!$A$6:$A$11,1))))),0)+IF(4&lt;=AE300,(AE300-4+3)*(INDEX(Reference!$B$6:$B$11,MIN(5,MATCH(MAX(Reference!$A$6,MIN(Reference!$A$11,MIN(D300,180))),Reference!$A$6:$A$11,1)))+(MAX(Reference!$A$6,MIN(Reference!$A$11,MIN(D300,180)))-INDEX(Reference!$A$6:$A$11,MIN(5,MATCH(MAX(Reference!$A$6,MIN(Reference!$A$11,MIN(D300,180))),Reference!$A$6:$A$11,1))))*(INDEX(Reference!$B$6:$B$11,MIN(5,MATCH(MAX(Reference!$A$6,MIN(Reference!$A$11,MIN(D300,180))),Reference!$A$6:$A$11,1))+1)-INDEX(Reference!$B$6:$B$11,MIN(5,MATCH(MAX(Reference!$A$6,MIN(Reference!$A$11,MIN(D300,180))),Reference!$A$6:$A$11,1))))/(INDEX(Reference!$A$6:$A$11,MIN(5,MATCH(MAX(Reference!$A$6,MIN(Reference!$A$11,MIN(D300,180))),Reference!$A$6:$A$11,1))+1)-INDEX(Reference!$A$6:$A$11,MIN(5,MATCH(MAX(Reference!$A$6,MIN(Reference!$A$11,MIN(D300,180))),Reference!$A$6:$A$11,1))))),0)+IF(5&lt;=AE300,(AE300-5+3)*(INDEX(Reference!$B$6:$B$11,MIN(5,MATCH(MAX(Reference!$A$6,MIN(Reference!$A$11,MIN(D300,210))),Reference!$A$6:$A$11,1)))+(MAX(Reference!$A$6,MIN(Reference!$A$11,MIN(D300,210)))-INDEX(Reference!$A$6:$A$11,MIN(5,MATCH(MAX(Reference!$A$6,MIN(Reference!$A$11,MIN(D300,210))),Reference!$A$6:$A$11,1))))*(INDEX(Reference!$B$6:$B$11,MIN(5,MATCH(MAX(Reference!$A$6,MIN(Reference!$A$11,MIN(D300,210))),Reference!$A$6:$A$11,1))+1)-INDEX(Reference!$B$6:$B$11,MIN(5,MATCH(MAX(Reference!$A$6,MIN(Reference!$A$11,MIN(D300,210))),Reference!$A$6:$A$11,1))))/(INDEX(Reference!$A$6:$A$11,MIN(5,MATCH(MAX(Reference!$A$6,MIN(Reference!$A$11,MIN(D300,210))),Reference!$A$6:$A$11,1))+1)-INDEX(Reference!$A$6:$A$11,MIN(5,MATCH(MAX(Reference!$A$6,MIN(Reference!$A$11,MIN(D300,210))),Reference!$A$6:$A$11,1))))),0)+IF(6&lt;=AE300,(AE300-6+3)*(INDEX(Reference!$B$6:$B$11,MIN(5,MATCH(MAX(Reference!$A$6,MIN(Reference!$A$11,MIN(D300,240))),Reference!$A$6:$A$11,1)))+(MAX(Reference!$A$6,MIN(Reference!$A$11,MIN(D300,240)))-INDEX(Reference!$A$6:$A$11,MIN(5,MATCH(MAX(Reference!$A$6,MIN(Reference!$A$11,MIN(D300,240))),Reference!$A$6:$A$11,1))))*(INDEX(Reference!$B$6:$B$11,MIN(5,MATCH(MAX(Reference!$A$6,MIN(Reference!$A$11,MIN(D300,240))),Reference!$A$6:$A$11,1))+1)-INDEX(Reference!$B$6:$B$11,MIN(5,MATCH(MAX(Reference!$A$6,MIN(Reference!$A$11,MIN(D300,240))),Reference!$A$6:$A$11,1))))/(INDEX(Reference!$A$6:$A$11,MIN(5,MATCH(MAX(Reference!$A$6,MIN(Reference!$A$11,MIN(D300,240))),Reference!$A$6:$A$11,1))+1)-INDEX(Reference!$A$6:$A$11,MIN(5,MATCH(MAX(Reference!$A$6,MIN(Reference!$A$11,MIN(D300,240))),Reference!$A$6:$A$11,1))))),0)+IF(7&lt;=AE300,(AE300-7+3)*(INDEX(Reference!$B$6:$B$11,MIN(5,MATCH(MAX(Reference!$A$6,MIN(Reference!$A$11,MIN(D300,270))),Reference!$A$6:$A$11,1)))+(MAX(Reference!$A$6,MIN(Reference!$A$11,MIN(D300,270)))-INDEX(Reference!$A$6:$A$11,MIN(5,MATCH(MAX(Reference!$A$6,MIN(Reference!$A$11,MIN(D300,270))),Reference!$A$6:$A$11,1))))*(INDEX(Reference!$B$6:$B$11,MIN(5,MATCH(MAX(Reference!$A$6,MIN(Reference!$A$11,MIN(D300,270))),Reference!$A$6:$A$11,1))+1)-INDEX(Reference!$B$6:$B$11,MIN(5,MATCH(MAX(Reference!$A$6,MIN(Reference!$A$11,MIN(D300,270))),Reference!$A$6:$A$11,1))))/(INDEX(Reference!$A$6:$A$11,MIN(5,MATCH(MAX(Reference!$A$6,MIN(Reference!$A$11,MIN(D300,270))),Reference!$A$6:$A$11,1))+1)-INDEX(Reference!$A$6:$A$11,MIN(5,MATCH(MAX(Reference!$A$6,MIN(Reference!$A$11,MIN(D300,270))),Reference!$A$6:$A$11,1))))),0)+IF(8&lt;=AE300,(AE300-8+3)*(INDEX(Reference!$B$6:$B$11,MIN(5,MATCH(MAX(Reference!$A$6,MIN(Reference!$A$11,MIN(D300,300))),Reference!$A$6:$A$11,1)))+(MAX(Reference!$A$6,MIN(Reference!$A$11,MIN(D300,300)))-INDEX(Reference!$A$6:$A$11,MIN(5,MATCH(MAX(Reference!$A$6,MIN(Reference!$A$11,MIN(D300,300))),Reference!$A$6:$A$11,1))))*(INDEX(Reference!$B$6:$B$11,MIN(5,MATCH(MAX(Reference!$A$6,MIN(Reference!$A$11,MIN(D300,300))),Reference!$A$6:$A$11,1))+1)-INDEX(Reference!$B$6:$B$11,MIN(5,MATCH(MAX(Reference!$A$6,MIN(Reference!$A$11,MIN(D300,300))),Reference!$A$6:$A$11,1))))/(INDEX(Reference!$A$6:$A$11,MIN(5,MATCH(MAX(Reference!$A$6,MIN(Reference!$A$11,MIN(D300,300))),Reference!$A$6:$A$11,1))+1)-INDEX(Reference!$A$6:$A$11,MIN(5,MATCH(MAX(Reference!$A$6,MIN(Reference!$A$11,MIN(D300,300))),Reference!$A$6:$A$11,1))))),0))/(AE300*(AE300+5)/2)),(INDEX(Reference!$B$6:$B$11,MIN(5,MATCH(MAX(Reference!$A$6,MIN(Reference!$A$11,D300)),Reference!$A$6:$A$11,1)))+(MAX(Reference!$A$6,MIN(Reference!$A$11,D300))-INDEX(Reference!$A$6:$A$11,MIN(5,MATCH(MAX(Reference!$A$6,MIN(Reference!$A$11,D300)),Reference!$A$6:$A$11,1))))*(INDEX(Reference!$B$6:$B$11,MIN(5,MATCH(MAX(Reference!$A$6,MIN(Reference!$A$11,D300)),Reference!$A$6:$A$11,1))+1)-INDEX(Reference!$B$6:$B$11,MIN(5,MATCH(MAX(Reference!$A$6,MIN(Reference!$A$11,D300)),Reference!$A$6:$A$11,1))))/(INDEX(Reference!$A$6:$A$11,MIN(5,MATCH(MAX(Reference!$A$6,MIN(Reference!$A$11,D300)),Reference!$A$6:$A$11,1))+1)-INDEX(Reference!$A$6:$A$11,MIN(5,MATCH(MAX(Reference!$A$6,MIN(Reference!$A$11,D300)),Reference!$A$6:$A$11,1))))))))</f>
        <v/>
      </c>
      <c r="P300" s="32" t="str">
        <f>IF(N300="","",VLOOKUP(MAX(N300,0),Reference!$A$17:$B$20,2,TRUE()))</f>
        <v/>
      </c>
      <c r="Q300" s="32" t="str">
        <f t="shared" si="39"/>
        <v/>
      </c>
      <c r="R300" s="31"/>
      <c r="S300" s="31"/>
      <c r="T300" s="31"/>
      <c r="U300" s="32" t="str">
        <f t="shared" si="40"/>
        <v/>
      </c>
      <c r="V300" s="32" t="str">
        <f t="shared" si="41"/>
        <v/>
      </c>
      <c r="W300" s="32" t="str">
        <f>IF(V300="","",VLOOKUP(MAX(V300,0),Reference!$A$17:$B$20,2,TRUE()))</f>
        <v/>
      </c>
      <c r="X300" s="31"/>
      <c r="Y300" s="31"/>
      <c r="Z300" s="31"/>
      <c r="AA300" s="32" t="str">
        <f t="shared" si="42"/>
        <v/>
      </c>
      <c r="AB300" s="32" t="str">
        <f t="shared" si="43"/>
        <v/>
      </c>
      <c r="AC300" s="32" t="str">
        <f>IF(AB300="","",VLOOKUP(MAX(AB300,0),Reference!$A$17:$B$20,2,TRUE()))</f>
        <v/>
      </c>
      <c r="AD300" s="31"/>
      <c r="AE300">
        <f t="shared" si="44"/>
        <v>1</v>
      </c>
      <c r="AF300" s="33" t="str">
        <f>IF(OR(A300="",B300="",AND(C300&lt;&gt;"Bullpen",C300&lt;&gt;"Game")),"",IF((COUNTIFS($B$5:$B$300,B300,$A$5:$A$300,A300-1,$C$5:$C$300,"Bullpen",$AG$5:$AG$300,"&gt;0") + COUNTIFS($B$5:$B$300,B300,$A$5:$A$300,A300-1,$C$5:$C$300,"Game",$AG$5:$AG$300,"&gt;0"))&gt;0,Reference!$B$119,IF((COUNTIFS($B$5:$B$300,B300,$A$5:$A$300,A300-2,$C$5:$C$300,"Bullpen",$AG$5:$AG$300,"&gt;0") + COUNTIFS($B$5:$B$300,B300,$A$5:$A$300,A300-2,$C$5:$C$300,"Game",$AG$5:$AG$300,"&gt;0"))&gt;0,Reference!$B$120,1)))</f>
        <v/>
      </c>
      <c r="AG300" s="30" t="str">
        <f>IF(AND(OR(I300="",O300="",P300=""),OR(R300="",W300=""),OR(X300="",AC300="")),"",IF(OR(I300="",O300="",P300=""),0,I300*O300*P300)+IF(OR(R300="",W300=""),0,R300*IFERROR(INDEX(Reference!$B$61:$B$62,MATCH("Bullpen",Reference!$A$61:$A$62,0)),0)*W300)+IF(OR(X300="",AC300=""),0,X300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AC300))</f>
        <v/>
      </c>
    </row>
  </sheetData>
  <mergeCells count="2">
    <mergeCell ref="A1:AD1"/>
    <mergeCell ref="A2:AD2"/>
  </mergeCells>
  <conditionalFormatting sqref="Q5:Q300">
    <cfRule type="expression" dxfId="68" priority="2">
      <formula>N($AF5)&gt;1.3</formula>
    </cfRule>
    <cfRule type="expression" dxfId="67" priority="3">
      <formula>N($AF5)&gt;1</formula>
    </cfRule>
  </conditionalFormatting>
  <conditionalFormatting sqref="AF5:AF300">
    <cfRule type="expression" dxfId="66" priority="4">
      <formula>N($AF5)&gt;1.3</formula>
    </cfRule>
    <cfRule type="expression" dxfId="65" priority="5">
      <formula>N($AF5)&gt;1</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300-000000000000}">
          <x14:formula1>
            <xm:f>Roster!$A$5:$A$40</xm:f>
          </x14:formula1>
          <x14:formula2>
            <xm:f>0</xm:f>
          </x14:formula2>
          <xm:sqref>B5:B300</xm:sqref>
        </x14:dataValidation>
        <x14:dataValidation type="list" allowBlank="1" xr:uid="{00000000-0002-0000-0300-000001000000}">
          <x14:formula1>
            <xm:f>Reference!$A$31:$A$37</xm:f>
          </x14:formula1>
          <x14:formula2>
            <xm:f>0</xm:f>
          </x14:formula2>
          <xm:sqref>C5:C300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3"/>
  <sheetViews>
    <sheetView showGridLines="0" zoomScaleNormal="100" workbookViewId="0"/>
  </sheetViews>
  <sheetFormatPr defaultColWidth="8.6640625" defaultRowHeight="14.4" x14ac:dyDescent="0.3"/>
  <cols>
    <col min="1" max="1" width="30" customWidth="1"/>
    <col min="2" max="2" width="20" customWidth="1"/>
    <col min="3" max="5" width="14" customWidth="1"/>
  </cols>
  <sheetData>
    <row r="1" spans="1:5" ht="21" x14ac:dyDescent="0.4">
      <c r="A1" s="14" t="s">
        <v>187</v>
      </c>
      <c r="B1" s="14"/>
      <c r="C1" s="14"/>
      <c r="D1" s="14"/>
      <c r="E1" s="14"/>
    </row>
    <row r="2" spans="1:5" x14ac:dyDescent="0.3">
      <c r="A2" s="13" t="s">
        <v>188</v>
      </c>
      <c r="B2" s="13"/>
      <c r="C2" s="13"/>
      <c r="D2" s="13"/>
      <c r="E2" s="13"/>
    </row>
    <row r="4" spans="1:5" x14ac:dyDescent="0.3">
      <c r="A4" s="36" t="s">
        <v>189</v>
      </c>
      <c r="B4" s="37" t="s">
        <v>142</v>
      </c>
    </row>
    <row r="5" spans="1:5" x14ac:dyDescent="0.3">
      <c r="A5" s="36" t="s">
        <v>190</v>
      </c>
      <c r="B5" s="38">
        <f ca="1">TODAY()</f>
        <v>46316</v>
      </c>
    </row>
    <row r="7" spans="1:5" ht="15.6" x14ac:dyDescent="0.3">
      <c r="A7" s="12" t="s">
        <v>191</v>
      </c>
      <c r="B7" s="12"/>
      <c r="C7" s="12"/>
      <c r="D7" s="12"/>
      <c r="E7" s="12"/>
    </row>
    <row r="8" spans="1:5" x14ac:dyDescent="0.3">
      <c r="A8" s="21" t="s">
        <v>192</v>
      </c>
      <c r="B8" s="30">
        <f ca="1">SUMIFS('Throw Log'!$Q$5:$Q$300,'Throw Log'!$B$5:$B$300,$B$4,'Throw Log'!$A$5:$A$300,$B$5)</f>
        <v>0</v>
      </c>
    </row>
    <row r="9" spans="1:5" x14ac:dyDescent="0.3">
      <c r="A9" s="21" t="s">
        <v>193</v>
      </c>
      <c r="B9" s="30">
        <f ca="1">SUMIFS('Throw Log'!$Q$5:$Q$300,'Throw Log'!$B$5:$B$300,$B$4,'Throw Log'!$A$5:$A$300,"&gt;="&amp;($B$5-6),'Throw Log'!$A$5:$A$300,"&lt;="&amp;$B$5)/7</f>
        <v>0</v>
      </c>
    </row>
    <row r="10" spans="1:5" x14ac:dyDescent="0.3">
      <c r="A10" s="21" t="s">
        <v>194</v>
      </c>
      <c r="B10" s="30">
        <f ca="1">SUMIFS('Throw Log'!$Q$5:$Q$300,'Throw Log'!$B$5:$B$300,$B$4,'Throw Log'!$A$5:$A$300,"&gt;="&amp;($B$5-27),'Throw Log'!$A$5:$A$300,"&lt;="&amp;$B$5)/28</f>
        <v>11.614571428571427</v>
      </c>
    </row>
    <row r="11" spans="1:5" x14ac:dyDescent="0.3">
      <c r="A11" s="39" t="s">
        <v>195</v>
      </c>
      <c r="B11" s="40">
        <f ca="1">IFERROR(B9/B10,"N/A")</f>
        <v>0</v>
      </c>
    </row>
    <row r="12" spans="1:5" x14ac:dyDescent="0.3">
      <c r="A12" s="39" t="s">
        <v>38</v>
      </c>
      <c r="B12" s="41" t="str">
        <f ca="1">IF(OR(B10=0,B11="N/A"),"Insufficient history (need ~28 days logged)",IFERROR(VLOOKUP(B11,Reference!$A$24:$C$27,2,TRUE()),"Insufficient history"))</f>
        <v>Undertrained</v>
      </c>
    </row>
    <row r="13" spans="1:5" ht="45" customHeight="1" x14ac:dyDescent="0.3">
      <c r="A13" s="21" t="s">
        <v>39</v>
      </c>
      <c r="B13" s="9" t="str">
        <f ca="1">IF(OR(B10=0,B11="N/A"),"Log at least 28 days of throws for a reliable trend. Meanwhile, rely on RPE and arm feedback before adding volume.",IFERROR(VLOOKUP(B11,Reference!$A$24:$C$27,3,TRUE()),""))</f>
        <v>Below 0.8 — there is room to progress distance/intensity next session.</v>
      </c>
      <c r="C13" s="9"/>
      <c r="D13" s="9"/>
      <c r="E13" s="9"/>
    </row>
    <row r="15" spans="1:5" x14ac:dyDescent="0.3">
      <c r="A15" s="23" t="s">
        <v>196</v>
      </c>
      <c r="B15" s="42">
        <f ca="1">IFERROR(B8/B10,"N/A")</f>
        <v>0</v>
      </c>
    </row>
    <row r="16" spans="1:5" x14ac:dyDescent="0.3">
      <c r="A16" s="23" t="s">
        <v>197</v>
      </c>
      <c r="B16" s="8" t="str">
        <f ca="1">IF(B15="N/A","",IF(B15&gt;1.5,"High single-day spike — mandatory easy/rest day next session","OK"))</f>
        <v>OK</v>
      </c>
      <c r="C16" s="8"/>
      <c r="D16" s="8"/>
      <c r="E16" s="8"/>
    </row>
    <row r="18" spans="1:5" ht="15.6" x14ac:dyDescent="0.3">
      <c r="A18" s="12" t="s">
        <v>198</v>
      </c>
      <c r="B18" s="12"/>
      <c r="C18" s="12"/>
      <c r="D18" s="12"/>
      <c r="E18" s="12"/>
    </row>
    <row r="19" spans="1:5" ht="26.4" x14ac:dyDescent="0.3">
      <c r="A19" s="19" t="s">
        <v>150</v>
      </c>
      <c r="B19" s="19" t="s">
        <v>199</v>
      </c>
      <c r="C19" s="19" t="s">
        <v>200</v>
      </c>
      <c r="D19" s="19" t="s">
        <v>201</v>
      </c>
    </row>
    <row r="20" spans="1:5" x14ac:dyDescent="0.3">
      <c r="A20" s="43">
        <f ca="1">$B$5-27</f>
        <v>46289</v>
      </c>
      <c r="B20" s="30">
        <f ca="1">SUMIFS('Throw Log'!$Q$5:$Q$300,'Throw Log'!$B$5:$B$300,$B$4,'Throw Log'!$A$5:$A$300,A20)</f>
        <v>37.949999999999996</v>
      </c>
      <c r="C20" s="30">
        <f t="shared" ref="C20:C47" ca="1" si="0">$B$9</f>
        <v>0</v>
      </c>
      <c r="D20" s="30">
        <f t="shared" ref="D20:D47" ca="1" si="1">$B$10</f>
        <v>11.614571428571427</v>
      </c>
    </row>
    <row r="21" spans="1:5" x14ac:dyDescent="0.3">
      <c r="A21" s="43">
        <f ca="1">$B$5-26</f>
        <v>46290</v>
      </c>
      <c r="B21" s="30">
        <f ca="1">SUMIFS('Throw Log'!$Q$5:$Q$300,'Throw Log'!$B$5:$B$300,$B$4,'Throw Log'!$A$5:$A$300,A21)</f>
        <v>150</v>
      </c>
      <c r="C21" s="30">
        <f t="shared" ca="1" si="0"/>
        <v>0</v>
      </c>
      <c r="D21" s="30">
        <f t="shared" ca="1" si="1"/>
        <v>11.614571428571427</v>
      </c>
    </row>
    <row r="22" spans="1:5" x14ac:dyDescent="0.3">
      <c r="A22" s="43">
        <f ca="1">$B$5-25</f>
        <v>46291</v>
      </c>
      <c r="B22" s="30">
        <f ca="1">SUMIFS('Throw Log'!$Q$5:$Q$300,'Throw Log'!$B$5:$B$300,$B$4,'Throw Log'!$A$5:$A$300,A22)</f>
        <v>37.949999999999996</v>
      </c>
      <c r="C22" s="30">
        <f t="shared" ca="1" si="0"/>
        <v>0</v>
      </c>
      <c r="D22" s="30">
        <f t="shared" ca="1" si="1"/>
        <v>11.614571428571427</v>
      </c>
    </row>
    <row r="23" spans="1:5" x14ac:dyDescent="0.3">
      <c r="A23" s="43">
        <f ca="1">$B$5-24</f>
        <v>46292</v>
      </c>
      <c r="B23" s="30">
        <f ca="1">SUMIFS('Throw Log'!$Q$5:$Q$300,'Throw Log'!$B$5:$B$300,$B$4,'Throw Log'!$A$5:$A$300,A23)</f>
        <v>57.2</v>
      </c>
      <c r="C23" s="30">
        <f t="shared" ca="1" si="0"/>
        <v>0</v>
      </c>
      <c r="D23" s="30">
        <f t="shared" ca="1" si="1"/>
        <v>11.614571428571427</v>
      </c>
    </row>
    <row r="24" spans="1:5" x14ac:dyDescent="0.3">
      <c r="A24" s="43">
        <f ca="1">$B$5-23</f>
        <v>46293</v>
      </c>
      <c r="B24" s="30">
        <f ca="1">SUMIFS('Throw Log'!$Q$5:$Q$300,'Throw Log'!$B$5:$B$300,$B$4,'Throw Log'!$A$5:$A$300,A24)</f>
        <v>0</v>
      </c>
      <c r="C24" s="30">
        <f t="shared" ca="1" si="0"/>
        <v>0</v>
      </c>
      <c r="D24" s="30">
        <f t="shared" ca="1" si="1"/>
        <v>11.614571428571427</v>
      </c>
    </row>
    <row r="25" spans="1:5" x14ac:dyDescent="0.3">
      <c r="A25" s="43">
        <f ca="1">$B$5-22</f>
        <v>46294</v>
      </c>
      <c r="B25" s="30">
        <f ca="1">SUMIFS('Throw Log'!$Q$5:$Q$300,'Throw Log'!$B$5:$B$300,$B$4,'Throw Log'!$A$5:$A$300,A25)</f>
        <v>42.108000000000004</v>
      </c>
      <c r="C25" s="30">
        <f t="shared" ca="1" si="0"/>
        <v>0</v>
      </c>
      <c r="D25" s="30">
        <f t="shared" ca="1" si="1"/>
        <v>11.614571428571427</v>
      </c>
    </row>
    <row r="26" spans="1:5" x14ac:dyDescent="0.3">
      <c r="A26" s="43">
        <f ca="1">$B$5-21</f>
        <v>46295</v>
      </c>
      <c r="B26" s="30">
        <f ca="1">SUMIFS('Throw Log'!$Q$5:$Q$300,'Throw Log'!$B$5:$B$300,$B$4,'Throw Log'!$A$5:$A$300,A26)</f>
        <v>0</v>
      </c>
      <c r="C26" s="30">
        <f t="shared" ca="1" si="0"/>
        <v>0</v>
      </c>
      <c r="D26" s="30">
        <f t="shared" ca="1" si="1"/>
        <v>11.614571428571427</v>
      </c>
    </row>
    <row r="27" spans="1:5" x14ac:dyDescent="0.3">
      <c r="A27" s="43">
        <f ca="1">$B$5-20</f>
        <v>46296</v>
      </c>
      <c r="B27" s="30">
        <f ca="1">SUMIFS('Throw Log'!$Q$5:$Q$300,'Throw Log'!$B$5:$B$300,$B$4,'Throw Log'!$A$5:$A$300,A27)</f>
        <v>0</v>
      </c>
      <c r="C27" s="30">
        <f t="shared" ca="1" si="0"/>
        <v>0</v>
      </c>
      <c r="D27" s="30">
        <f t="shared" ca="1" si="1"/>
        <v>11.614571428571427</v>
      </c>
    </row>
    <row r="28" spans="1:5" x14ac:dyDescent="0.3">
      <c r="A28" s="43">
        <f ca="1">$B$5-19</f>
        <v>46297</v>
      </c>
      <c r="B28" s="30">
        <f ca="1">SUMIFS('Throw Log'!$Q$5:$Q$300,'Throw Log'!$B$5:$B$300,$B$4,'Throw Log'!$A$5:$A$300,A28)</f>
        <v>0</v>
      </c>
      <c r="C28" s="30">
        <f t="shared" ca="1" si="0"/>
        <v>0</v>
      </c>
      <c r="D28" s="30">
        <f t="shared" ca="1" si="1"/>
        <v>11.614571428571427</v>
      </c>
    </row>
    <row r="29" spans="1:5" x14ac:dyDescent="0.3">
      <c r="A29" s="43">
        <f ca="1">$B$5-18</f>
        <v>46298</v>
      </c>
      <c r="B29" s="30">
        <f ca="1">SUMIFS('Throw Log'!$Q$5:$Q$300,'Throw Log'!$B$5:$B$300,$B$4,'Throw Log'!$A$5:$A$300,A29)</f>
        <v>0</v>
      </c>
      <c r="C29" s="30">
        <f t="shared" ca="1" si="0"/>
        <v>0</v>
      </c>
      <c r="D29" s="30">
        <f t="shared" ca="1" si="1"/>
        <v>11.614571428571427</v>
      </c>
    </row>
    <row r="30" spans="1:5" x14ac:dyDescent="0.3">
      <c r="A30" s="43">
        <f ca="1">$B$5-17</f>
        <v>46299</v>
      </c>
      <c r="B30" s="30">
        <f ca="1">SUMIFS('Throw Log'!$Q$5:$Q$300,'Throw Log'!$B$5:$B$300,$B$4,'Throw Log'!$A$5:$A$300,A30)</f>
        <v>0</v>
      </c>
      <c r="C30" s="30">
        <f t="shared" ca="1" si="0"/>
        <v>0</v>
      </c>
      <c r="D30" s="30">
        <f t="shared" ca="1" si="1"/>
        <v>11.614571428571427</v>
      </c>
    </row>
    <row r="31" spans="1:5" x14ac:dyDescent="0.3">
      <c r="A31" s="43">
        <f ca="1">$B$5-16</f>
        <v>46300</v>
      </c>
      <c r="B31" s="30">
        <f ca="1">SUMIFS('Throw Log'!$Q$5:$Q$300,'Throw Log'!$B$5:$B$300,$B$4,'Throw Log'!$A$5:$A$300,A31)</f>
        <v>0</v>
      </c>
      <c r="C31" s="30">
        <f t="shared" ca="1" si="0"/>
        <v>0</v>
      </c>
      <c r="D31" s="30">
        <f t="shared" ca="1" si="1"/>
        <v>11.614571428571427</v>
      </c>
    </row>
    <row r="32" spans="1:5" x14ac:dyDescent="0.3">
      <c r="A32" s="43">
        <f ca="1">$B$5-15</f>
        <v>46301</v>
      </c>
      <c r="B32" s="30">
        <f ca="1">SUMIFS('Throw Log'!$Q$5:$Q$300,'Throw Log'!$B$5:$B$300,$B$4,'Throw Log'!$A$5:$A$300,A32)</f>
        <v>0</v>
      </c>
      <c r="C32" s="30">
        <f t="shared" ca="1" si="0"/>
        <v>0</v>
      </c>
      <c r="D32" s="30">
        <f t="shared" ca="1" si="1"/>
        <v>11.614571428571427</v>
      </c>
    </row>
    <row r="33" spans="1:4" x14ac:dyDescent="0.3">
      <c r="A33" s="43">
        <f ca="1">$B$5-14</f>
        <v>46302</v>
      </c>
      <c r="B33" s="30">
        <f ca="1">SUMIFS('Throw Log'!$Q$5:$Q$300,'Throw Log'!$B$5:$B$300,$B$4,'Throw Log'!$A$5:$A$300,A33)</f>
        <v>0</v>
      </c>
      <c r="C33" s="30">
        <f t="shared" ca="1" si="0"/>
        <v>0</v>
      </c>
      <c r="D33" s="30">
        <f t="shared" ca="1" si="1"/>
        <v>11.614571428571427</v>
      </c>
    </row>
    <row r="34" spans="1:4" x14ac:dyDescent="0.3">
      <c r="A34" s="43">
        <f ca="1">$B$5-13</f>
        <v>46303</v>
      </c>
      <c r="B34" s="30">
        <f ca="1">SUMIFS('Throw Log'!$Q$5:$Q$300,'Throw Log'!$B$5:$B$300,$B$4,'Throw Log'!$A$5:$A$300,A34)</f>
        <v>0</v>
      </c>
      <c r="C34" s="30">
        <f t="shared" ca="1" si="0"/>
        <v>0</v>
      </c>
      <c r="D34" s="30">
        <f t="shared" ca="1" si="1"/>
        <v>11.614571428571427</v>
      </c>
    </row>
    <row r="35" spans="1:4" x14ac:dyDescent="0.3">
      <c r="A35" s="43">
        <f ca="1">$B$5-12</f>
        <v>46304</v>
      </c>
      <c r="B35" s="30">
        <f ca="1">SUMIFS('Throw Log'!$Q$5:$Q$300,'Throw Log'!$B$5:$B$300,$B$4,'Throw Log'!$A$5:$A$300,A35)</f>
        <v>0</v>
      </c>
      <c r="C35" s="30">
        <f t="shared" ca="1" si="0"/>
        <v>0</v>
      </c>
      <c r="D35" s="30">
        <f t="shared" ca="1" si="1"/>
        <v>11.614571428571427</v>
      </c>
    </row>
    <row r="36" spans="1:4" x14ac:dyDescent="0.3">
      <c r="A36" s="43">
        <f ca="1">$B$5-11</f>
        <v>46305</v>
      </c>
      <c r="B36" s="30">
        <f ca="1">SUMIFS('Throw Log'!$Q$5:$Q$300,'Throw Log'!$B$5:$B$300,$B$4,'Throw Log'!$A$5:$A$300,A36)</f>
        <v>0</v>
      </c>
      <c r="C36" s="30">
        <f t="shared" ca="1" si="0"/>
        <v>0</v>
      </c>
      <c r="D36" s="30">
        <f t="shared" ca="1" si="1"/>
        <v>11.614571428571427</v>
      </c>
    </row>
    <row r="37" spans="1:4" x14ac:dyDescent="0.3">
      <c r="A37" s="43">
        <f ca="1">$B$5-10</f>
        <v>46306</v>
      </c>
      <c r="B37" s="30">
        <f ca="1">SUMIFS('Throw Log'!$Q$5:$Q$300,'Throw Log'!$B$5:$B$300,$B$4,'Throw Log'!$A$5:$A$300,A37)</f>
        <v>0</v>
      </c>
      <c r="C37" s="30">
        <f t="shared" ca="1" si="0"/>
        <v>0</v>
      </c>
      <c r="D37" s="30">
        <f t="shared" ca="1" si="1"/>
        <v>11.614571428571427</v>
      </c>
    </row>
    <row r="38" spans="1:4" x14ac:dyDescent="0.3">
      <c r="A38" s="43">
        <f ca="1">$B$5-9</f>
        <v>46307</v>
      </c>
      <c r="B38" s="30">
        <f ca="1">SUMIFS('Throw Log'!$Q$5:$Q$300,'Throw Log'!$B$5:$B$300,$B$4,'Throw Log'!$A$5:$A$300,A38)</f>
        <v>0</v>
      </c>
      <c r="C38" s="30">
        <f t="shared" ca="1" si="0"/>
        <v>0</v>
      </c>
      <c r="D38" s="30">
        <f t="shared" ca="1" si="1"/>
        <v>11.614571428571427</v>
      </c>
    </row>
    <row r="39" spans="1:4" x14ac:dyDescent="0.3">
      <c r="A39" s="43">
        <f ca="1">$B$5-8</f>
        <v>46308</v>
      </c>
      <c r="B39" s="30">
        <f ca="1">SUMIFS('Throw Log'!$Q$5:$Q$300,'Throw Log'!$B$5:$B$300,$B$4,'Throw Log'!$A$5:$A$300,A39)</f>
        <v>0</v>
      </c>
      <c r="C39" s="30">
        <f t="shared" ca="1" si="0"/>
        <v>0</v>
      </c>
      <c r="D39" s="30">
        <f t="shared" ca="1" si="1"/>
        <v>11.614571428571427</v>
      </c>
    </row>
    <row r="40" spans="1:4" x14ac:dyDescent="0.3">
      <c r="A40" s="43">
        <f ca="1">$B$5-7</f>
        <v>46309</v>
      </c>
      <c r="B40" s="30">
        <f ca="1">SUMIFS('Throw Log'!$Q$5:$Q$300,'Throw Log'!$B$5:$B$300,$B$4,'Throw Log'!$A$5:$A$300,A40)</f>
        <v>0</v>
      </c>
      <c r="C40" s="30">
        <f t="shared" ca="1" si="0"/>
        <v>0</v>
      </c>
      <c r="D40" s="30">
        <f t="shared" ca="1" si="1"/>
        <v>11.614571428571427</v>
      </c>
    </row>
    <row r="41" spans="1:4" x14ac:dyDescent="0.3">
      <c r="A41" s="43">
        <f ca="1">$B$5-6</f>
        <v>46310</v>
      </c>
      <c r="B41" s="30">
        <f ca="1">SUMIFS('Throw Log'!$Q$5:$Q$300,'Throw Log'!$B$5:$B$300,$B$4,'Throw Log'!$A$5:$A$300,A41)</f>
        <v>0</v>
      </c>
      <c r="C41" s="30">
        <f t="shared" ca="1" si="0"/>
        <v>0</v>
      </c>
      <c r="D41" s="30">
        <f t="shared" ca="1" si="1"/>
        <v>11.614571428571427</v>
      </c>
    </row>
    <row r="42" spans="1:4" x14ac:dyDescent="0.3">
      <c r="A42" s="43">
        <f ca="1">$B$5-5</f>
        <v>46311</v>
      </c>
      <c r="B42" s="30">
        <f ca="1">SUMIFS('Throw Log'!$Q$5:$Q$300,'Throw Log'!$B$5:$B$300,$B$4,'Throw Log'!$A$5:$A$300,A42)</f>
        <v>0</v>
      </c>
      <c r="C42" s="30">
        <f t="shared" ca="1" si="0"/>
        <v>0</v>
      </c>
      <c r="D42" s="30">
        <f t="shared" ca="1" si="1"/>
        <v>11.614571428571427</v>
      </c>
    </row>
    <row r="43" spans="1:4" x14ac:dyDescent="0.3">
      <c r="A43" s="43">
        <f ca="1">$B$5-4</f>
        <v>46312</v>
      </c>
      <c r="B43" s="30">
        <f ca="1">SUMIFS('Throw Log'!$Q$5:$Q$300,'Throw Log'!$B$5:$B$300,$B$4,'Throw Log'!$A$5:$A$300,A43)</f>
        <v>0</v>
      </c>
      <c r="C43" s="30">
        <f t="shared" ca="1" si="0"/>
        <v>0</v>
      </c>
      <c r="D43" s="30">
        <f t="shared" ca="1" si="1"/>
        <v>11.614571428571427</v>
      </c>
    </row>
    <row r="44" spans="1:4" x14ac:dyDescent="0.3">
      <c r="A44" s="43">
        <f ca="1">$B$5-3</f>
        <v>46313</v>
      </c>
      <c r="B44" s="30">
        <f ca="1">SUMIFS('Throw Log'!$Q$5:$Q$300,'Throw Log'!$B$5:$B$300,$B$4,'Throw Log'!$A$5:$A$300,A44)</f>
        <v>0</v>
      </c>
      <c r="C44" s="30">
        <f t="shared" ca="1" si="0"/>
        <v>0</v>
      </c>
      <c r="D44" s="30">
        <f t="shared" ca="1" si="1"/>
        <v>11.614571428571427</v>
      </c>
    </row>
    <row r="45" spans="1:4" x14ac:dyDescent="0.3">
      <c r="A45" s="43">
        <f ca="1">$B$5-2</f>
        <v>46314</v>
      </c>
      <c r="B45" s="30">
        <f ca="1">SUMIFS('Throw Log'!$Q$5:$Q$300,'Throw Log'!$B$5:$B$300,$B$4,'Throw Log'!$A$5:$A$300,A45)</f>
        <v>0</v>
      </c>
      <c r="C45" s="30">
        <f t="shared" ca="1" si="0"/>
        <v>0</v>
      </c>
      <c r="D45" s="30">
        <f t="shared" ca="1" si="1"/>
        <v>11.614571428571427</v>
      </c>
    </row>
    <row r="46" spans="1:4" x14ac:dyDescent="0.3">
      <c r="A46" s="43">
        <f ca="1">$B$5-1</f>
        <v>46315</v>
      </c>
      <c r="B46" s="30">
        <f ca="1">SUMIFS('Throw Log'!$Q$5:$Q$300,'Throw Log'!$B$5:$B$300,$B$4,'Throw Log'!$A$5:$A$300,A46)</f>
        <v>0</v>
      </c>
      <c r="C46" s="30">
        <f t="shared" ca="1" si="0"/>
        <v>0</v>
      </c>
      <c r="D46" s="30">
        <f t="shared" ca="1" si="1"/>
        <v>11.614571428571427</v>
      </c>
    </row>
    <row r="47" spans="1:4" x14ac:dyDescent="0.3">
      <c r="A47" s="43">
        <f ca="1">$B$5-0</f>
        <v>46316</v>
      </c>
      <c r="B47" s="30">
        <f ca="1">SUMIFS('Throw Log'!$Q$5:$Q$300,'Throw Log'!$B$5:$B$300,$B$4,'Throw Log'!$A$5:$A$300,A47)</f>
        <v>0</v>
      </c>
      <c r="C47" s="30">
        <f t="shared" ca="1" si="0"/>
        <v>0</v>
      </c>
      <c r="D47" s="30">
        <f t="shared" ca="1" si="1"/>
        <v>11.614571428571427</v>
      </c>
    </row>
    <row r="50" spans="1:5" ht="15.6" x14ac:dyDescent="0.3">
      <c r="A50" s="12" t="s">
        <v>202</v>
      </c>
      <c r="B50" s="12"/>
      <c r="C50" s="12"/>
      <c r="D50" s="12"/>
      <c r="E50" s="12"/>
    </row>
    <row r="51" spans="1:5" ht="30" customHeight="1" x14ac:dyDescent="0.3">
      <c r="A51" s="19" t="s">
        <v>203</v>
      </c>
      <c r="B51" s="19" t="s">
        <v>204</v>
      </c>
      <c r="C51" s="19" t="s">
        <v>205</v>
      </c>
      <c r="D51" s="19" t="s">
        <v>206</v>
      </c>
      <c r="E51" s="19" t="s">
        <v>207</v>
      </c>
    </row>
    <row r="52" spans="1:5" x14ac:dyDescent="0.3">
      <c r="A52" s="43">
        <f t="shared" ref="A52:A63" ca="1" si="2">B52-6</f>
        <v>46233</v>
      </c>
      <c r="B52" s="43">
        <f ca="1">$B$5-77</f>
        <v>46239</v>
      </c>
      <c r="C52" s="44">
        <f ca="1">SUMIFS('Throw Log'!$Q$5:$Q$300,'Throw Log'!$B$5:$B$300,$B$4,'Throw Log'!$A$5:$A$300,"&gt;="&amp;A52,'Throw Log'!$A$5:$A$300,"&lt;="&amp;B52)</f>
        <v>0</v>
      </c>
      <c r="D52" s="32">
        <f ca="1">SUMPRODUCT(--(SUMIFS('Throw Log'!$Q$5:$Q$300,'Throw Log'!$B$5:$B$300,$B$4,'Throw Log'!$A$5:$A$300,B52-{0,1,2,3,4,5,6})&gt;0))</f>
        <v>0</v>
      </c>
      <c r="E52" s="45"/>
    </row>
    <row r="53" spans="1:5" x14ac:dyDescent="0.3">
      <c r="A53" s="43">
        <f t="shared" ca="1" si="2"/>
        <v>46240</v>
      </c>
      <c r="B53" s="43">
        <f ca="1">$B$5-70</f>
        <v>46246</v>
      </c>
      <c r="C53" s="44">
        <f ca="1">SUMIFS('Throw Log'!$Q$5:$Q$300,'Throw Log'!$B$5:$B$300,$B$4,'Throw Log'!$A$5:$A$300,"&gt;="&amp;A53,'Throw Log'!$A$5:$A$300,"&lt;="&amp;B53)</f>
        <v>0</v>
      </c>
      <c r="D53" s="32">
        <f ca="1">SUMPRODUCT(--(SUMIFS('Throw Log'!$Q$5:$Q$300,'Throw Log'!$B$5:$B$300,$B$4,'Throw Log'!$A$5:$A$300,B53-{0,1,2,3,4,5,6})&gt;0))</f>
        <v>0</v>
      </c>
      <c r="E53" s="45" t="str">
        <f t="shared" ref="E53:E63" ca="1" si="3">IF(C52=0,"",C53/C52-1)</f>
        <v/>
      </c>
    </row>
    <row r="54" spans="1:5" x14ac:dyDescent="0.3">
      <c r="A54" s="43">
        <f t="shared" ca="1" si="2"/>
        <v>46247</v>
      </c>
      <c r="B54" s="43">
        <f ca="1">$B$5-63</f>
        <v>46253</v>
      </c>
      <c r="C54" s="44">
        <f ca="1">SUMIFS('Throw Log'!$Q$5:$Q$300,'Throw Log'!$B$5:$B$300,$B$4,'Throw Log'!$A$5:$A$300,"&gt;="&amp;A54,'Throw Log'!$A$5:$A$300,"&lt;="&amp;B54)</f>
        <v>0</v>
      </c>
      <c r="D54" s="32">
        <f ca="1">SUMPRODUCT(--(SUMIFS('Throw Log'!$Q$5:$Q$300,'Throw Log'!$B$5:$B$300,$B$4,'Throw Log'!$A$5:$A$300,B54-{0,1,2,3,4,5,6})&gt;0))</f>
        <v>0</v>
      </c>
      <c r="E54" s="45" t="str">
        <f t="shared" ca="1" si="3"/>
        <v/>
      </c>
    </row>
    <row r="55" spans="1:5" x14ac:dyDescent="0.3">
      <c r="A55" s="43">
        <f t="shared" ca="1" si="2"/>
        <v>46254</v>
      </c>
      <c r="B55" s="43">
        <f ca="1">$B$5-56</f>
        <v>46260</v>
      </c>
      <c r="C55" s="44">
        <f ca="1">SUMIFS('Throw Log'!$Q$5:$Q$300,'Throw Log'!$B$5:$B$300,$B$4,'Throw Log'!$A$5:$A$300,"&gt;="&amp;A55,'Throw Log'!$A$5:$A$300,"&lt;="&amp;B55)</f>
        <v>0</v>
      </c>
      <c r="D55" s="32">
        <f ca="1">SUMPRODUCT(--(SUMIFS('Throw Log'!$Q$5:$Q$300,'Throw Log'!$B$5:$B$300,$B$4,'Throw Log'!$A$5:$A$300,B55-{0,1,2,3,4,5,6})&gt;0))</f>
        <v>0</v>
      </c>
      <c r="E55" s="45" t="str">
        <f t="shared" ca="1" si="3"/>
        <v/>
      </c>
    </row>
    <row r="56" spans="1:5" x14ac:dyDescent="0.3">
      <c r="A56" s="43">
        <f t="shared" ca="1" si="2"/>
        <v>46261</v>
      </c>
      <c r="B56" s="43">
        <f ca="1">$B$5-49</f>
        <v>46267</v>
      </c>
      <c r="C56" s="44">
        <f ca="1">SUMIFS('Throw Log'!$Q$5:$Q$300,'Throw Log'!$B$5:$B$300,$B$4,'Throw Log'!$A$5:$A$300,"&gt;="&amp;A56,'Throw Log'!$A$5:$A$300,"&lt;="&amp;B56)</f>
        <v>235.94</v>
      </c>
      <c r="D56" s="32">
        <f ca="1">SUMPRODUCT(--(SUMIFS('Throw Log'!$Q$5:$Q$300,'Throw Log'!$B$5:$B$300,$B$4,'Throw Log'!$A$5:$A$300,B56-{0,1,2,3,4,5,6})&gt;0))</f>
        <v>3</v>
      </c>
      <c r="E56" s="45" t="str">
        <f t="shared" ca="1" si="3"/>
        <v/>
      </c>
    </row>
    <row r="57" spans="1:5" x14ac:dyDescent="0.3">
      <c r="A57" s="43">
        <f t="shared" ca="1" si="2"/>
        <v>46268</v>
      </c>
      <c r="B57" s="43">
        <f ca="1">$B$5-42</f>
        <v>46274</v>
      </c>
      <c r="C57" s="44">
        <f ca="1">SUMIFS('Throw Log'!$Q$5:$Q$300,'Throw Log'!$B$5:$B$300,$B$4,'Throw Log'!$A$5:$A$300,"&gt;="&amp;A57,'Throw Log'!$A$5:$A$300,"&lt;="&amp;B57)</f>
        <v>347.9</v>
      </c>
      <c r="D57" s="32">
        <f ca="1">SUMPRODUCT(--(SUMIFS('Throw Log'!$Q$5:$Q$300,'Throw Log'!$B$5:$B$300,$B$4,'Throw Log'!$A$5:$A$300,B57-{0,1,2,3,4,5,6})&gt;0))</f>
        <v>4</v>
      </c>
      <c r="E57" s="45">
        <f t="shared" ca="1" si="3"/>
        <v>0.47452742222598965</v>
      </c>
    </row>
    <row r="58" spans="1:5" x14ac:dyDescent="0.3">
      <c r="A58" s="43">
        <f t="shared" ca="1" si="2"/>
        <v>46275</v>
      </c>
      <c r="B58" s="43">
        <f ca="1">$B$5-35</f>
        <v>46281</v>
      </c>
      <c r="C58" s="44">
        <f ca="1">SUMIFS('Throw Log'!$Q$5:$Q$300,'Throw Log'!$B$5:$B$300,$B$4,'Throw Log'!$A$5:$A$300,"&gt;="&amp;A58,'Throw Log'!$A$5:$A$300,"&lt;="&amp;B58)</f>
        <v>511.15</v>
      </c>
      <c r="D58" s="32">
        <f ca="1">SUMPRODUCT(--(SUMIFS('Throw Log'!$Q$5:$Q$300,'Throw Log'!$B$5:$B$300,$B$4,'Throw Log'!$A$5:$A$300,B58-{0,1,2,3,4,5,6})&gt;0))</f>
        <v>5</v>
      </c>
      <c r="E58" s="45">
        <f t="shared" ca="1" si="3"/>
        <v>0.46924403564242612</v>
      </c>
    </row>
    <row r="59" spans="1:5" x14ac:dyDescent="0.3">
      <c r="A59" s="43">
        <f t="shared" ca="1" si="2"/>
        <v>46282</v>
      </c>
      <c r="B59" s="43">
        <f ca="1">$B$5-28</f>
        <v>46288</v>
      </c>
      <c r="C59" s="44">
        <f ca="1">SUMIFS('Throw Log'!$Q$5:$Q$300,'Throw Log'!$B$5:$B$300,$B$4,'Throw Log'!$A$5:$A$300,"&gt;="&amp;A59,'Throw Log'!$A$5:$A$300,"&lt;="&amp;B59)</f>
        <v>521.04999999999995</v>
      </c>
      <c r="D59" s="32">
        <f ca="1">SUMPRODUCT(--(SUMIFS('Throw Log'!$Q$5:$Q$300,'Throw Log'!$B$5:$B$300,$B$4,'Throw Log'!$A$5:$A$300,B59-{0,1,2,3,4,5,6})&gt;0))</f>
        <v>6</v>
      </c>
      <c r="E59" s="45">
        <f t="shared" ca="1" si="3"/>
        <v>1.9368091558251033E-2</v>
      </c>
    </row>
    <row r="60" spans="1:5" x14ac:dyDescent="0.3">
      <c r="A60" s="43">
        <f t="shared" ca="1" si="2"/>
        <v>46289</v>
      </c>
      <c r="B60" s="43">
        <f ca="1">$B$5-21</f>
        <v>46295</v>
      </c>
      <c r="C60" s="44">
        <f ca="1">SUMIFS('Throw Log'!$Q$5:$Q$300,'Throw Log'!$B$5:$B$300,$B$4,'Throw Log'!$A$5:$A$300,"&gt;="&amp;A60,'Throw Log'!$A$5:$A$300,"&lt;="&amp;B60)</f>
        <v>325.20799999999997</v>
      </c>
      <c r="D60" s="32">
        <f ca="1">SUMPRODUCT(--(SUMIFS('Throw Log'!$Q$5:$Q$300,'Throw Log'!$B$5:$B$300,$B$4,'Throw Log'!$A$5:$A$300,B60-{0,1,2,3,4,5,6})&gt;0))</f>
        <v>5</v>
      </c>
      <c r="E60" s="45">
        <f t="shared" ca="1" si="3"/>
        <v>-0.375860282122637</v>
      </c>
    </row>
    <row r="61" spans="1:5" x14ac:dyDescent="0.3">
      <c r="A61" s="43">
        <f t="shared" ca="1" si="2"/>
        <v>46296</v>
      </c>
      <c r="B61" s="43">
        <f ca="1">$B$5-14</f>
        <v>46302</v>
      </c>
      <c r="C61" s="44">
        <f ca="1">SUMIFS('Throw Log'!$Q$5:$Q$300,'Throw Log'!$B$5:$B$300,$B$4,'Throw Log'!$A$5:$A$300,"&gt;="&amp;A61,'Throw Log'!$A$5:$A$300,"&lt;="&amp;B61)</f>
        <v>0</v>
      </c>
      <c r="D61" s="32">
        <f ca="1">SUMPRODUCT(--(SUMIFS('Throw Log'!$Q$5:$Q$300,'Throw Log'!$B$5:$B$300,$B$4,'Throw Log'!$A$5:$A$300,B61-{0,1,2,3,4,5,6})&gt;0))</f>
        <v>0</v>
      </c>
      <c r="E61" s="45">
        <f t="shared" ca="1" si="3"/>
        <v>-1</v>
      </c>
    </row>
    <row r="62" spans="1:5" x14ac:dyDescent="0.3">
      <c r="A62" s="43">
        <f t="shared" ca="1" si="2"/>
        <v>46303</v>
      </c>
      <c r="B62" s="43">
        <f ca="1">$B$5-7</f>
        <v>46309</v>
      </c>
      <c r="C62" s="44">
        <f ca="1">SUMIFS('Throw Log'!$Q$5:$Q$300,'Throw Log'!$B$5:$B$300,$B$4,'Throw Log'!$A$5:$A$300,"&gt;="&amp;A62,'Throw Log'!$A$5:$A$300,"&lt;="&amp;B62)</f>
        <v>0</v>
      </c>
      <c r="D62" s="32">
        <f ca="1">SUMPRODUCT(--(SUMIFS('Throw Log'!$Q$5:$Q$300,'Throw Log'!$B$5:$B$300,$B$4,'Throw Log'!$A$5:$A$300,B62-{0,1,2,3,4,5,6})&gt;0))</f>
        <v>0</v>
      </c>
      <c r="E62" s="45" t="str">
        <f t="shared" ca="1" si="3"/>
        <v/>
      </c>
    </row>
    <row r="63" spans="1:5" x14ac:dyDescent="0.3">
      <c r="A63" s="43">
        <f t="shared" ca="1" si="2"/>
        <v>46310</v>
      </c>
      <c r="B63" s="43">
        <f ca="1">$B$5-0</f>
        <v>46316</v>
      </c>
      <c r="C63" s="44">
        <f ca="1">SUMIFS('Throw Log'!$Q$5:$Q$300,'Throw Log'!$B$5:$B$300,$B$4,'Throw Log'!$A$5:$A$300,"&gt;="&amp;A63,'Throw Log'!$A$5:$A$300,"&lt;="&amp;B63)</f>
        <v>0</v>
      </c>
      <c r="D63" s="32">
        <f ca="1">SUMPRODUCT(--(SUMIFS('Throw Log'!$Q$5:$Q$300,'Throw Log'!$B$5:$B$300,$B$4,'Throw Log'!$A$5:$A$300,B63-{0,1,2,3,4,5,6})&gt;0))</f>
        <v>0</v>
      </c>
      <c r="E63" s="45" t="str">
        <f t="shared" ca="1" si="3"/>
        <v/>
      </c>
    </row>
  </sheetData>
  <mergeCells count="7">
    <mergeCell ref="A18:E18"/>
    <mergeCell ref="A50:E50"/>
    <mergeCell ref="A1:E1"/>
    <mergeCell ref="A2:E2"/>
    <mergeCell ref="A7:E7"/>
    <mergeCell ref="B13:E13"/>
    <mergeCell ref="B16:E16"/>
  </mergeCells>
  <conditionalFormatting sqref="B12">
    <cfRule type="expression" dxfId="64" priority="2">
      <formula>B12="Sweet Spot"</formula>
    </cfRule>
    <cfRule type="expression" dxfId="63" priority="3">
      <formula>B12="Undertrained"</formula>
    </cfRule>
    <cfRule type="expression" dxfId="62" priority="4">
      <formula>B12="Caution"</formula>
    </cfRule>
    <cfRule type="expression" dxfId="61" priority="5">
      <formula>B12="High Risk"</formula>
    </cfRule>
  </conditionalFormatting>
  <conditionalFormatting sqref="B16">
    <cfRule type="expression" dxfId="60" priority="6">
      <formula>B16&lt;&gt;"OK"</formula>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1">
        <x14:dataValidation type="list" allowBlank="1" xr:uid="{00000000-0002-0000-0400-000000000000}">
          <x14:formula1>
            <xm:f>Roster!$A$5:$A$40</xm:f>
          </x14:formula1>
          <x14:formula2>
            <xm:f>0</xm:f>
          </x14:formula2>
          <xm:sqref>B4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53"/>
  <sheetViews>
    <sheetView showGridLines="0" zoomScaleNormal="100" workbookViewId="0">
      <pane ySplit="9" topLeftCell="A10" activePane="bottomLeft" state="frozen"/>
      <selection pane="bottomLeft"/>
    </sheetView>
  </sheetViews>
  <sheetFormatPr defaultColWidth="8.6640625" defaultRowHeight="14.4" x14ac:dyDescent="0.3"/>
  <cols>
    <col min="1" max="1" width="20" customWidth="1"/>
    <col min="2" max="3" width="11" customWidth="1"/>
    <col min="4" max="4" width="20" customWidth="1"/>
    <col min="5" max="5" width="12" customWidth="1"/>
    <col min="6" max="11" width="11" customWidth="1"/>
    <col min="12" max="13" width="10" customWidth="1"/>
    <col min="14" max="14" width="15" customWidth="1"/>
    <col min="15" max="15" width="13" customWidth="1"/>
    <col min="16" max="16" width="18" customWidth="1"/>
    <col min="17" max="17" width="34" customWidth="1"/>
    <col min="18" max="18" width="13" hidden="1" customWidth="1"/>
  </cols>
  <sheetData>
    <row r="1" spans="1:18" ht="21" x14ac:dyDescent="0.4">
      <c r="A1" s="14" t="s">
        <v>208</v>
      </c>
      <c r="B1" s="14"/>
      <c r="C1" s="14"/>
      <c r="D1" s="14"/>
      <c r="E1" s="14"/>
      <c r="F1" s="14"/>
      <c r="G1" s="14"/>
      <c r="H1" s="14"/>
      <c r="I1" s="14"/>
      <c r="J1" s="14"/>
      <c r="K1" s="14"/>
      <c r="L1" s="14"/>
      <c r="M1" s="14"/>
      <c r="N1" s="14"/>
      <c r="O1" s="14"/>
      <c r="P1" s="14"/>
    </row>
    <row r="2" spans="1:18" ht="43.5" customHeight="1" x14ac:dyDescent="0.3">
      <c r="A2" s="11" t="s">
        <v>209</v>
      </c>
      <c r="B2" s="11"/>
      <c r="C2" s="11"/>
      <c r="D2" s="11"/>
      <c r="E2" s="11"/>
      <c r="F2" s="11"/>
      <c r="G2" s="11"/>
      <c r="H2" s="11"/>
      <c r="I2" s="11"/>
      <c r="J2" s="11"/>
      <c r="K2" s="11"/>
      <c r="L2" s="11"/>
      <c r="M2" s="11"/>
      <c r="N2" s="11"/>
      <c r="O2" s="11"/>
      <c r="P2" s="11"/>
    </row>
    <row r="4" spans="1:18" ht="30" customHeight="1" x14ac:dyDescent="0.3">
      <c r="A4" s="36" t="s">
        <v>210</v>
      </c>
      <c r="B4" s="7" t="s">
        <v>142</v>
      </c>
      <c r="C4" s="7"/>
      <c r="D4" s="36" t="s">
        <v>211</v>
      </c>
      <c r="E4" s="32">
        <f>IFERROR(INDEX(Roster!$D$5:$D$40,MATCH($B$4,Roster!$A$5:$A$40,0)),"")</f>
        <v>87.9</v>
      </c>
      <c r="F4" s="11" t="s">
        <v>212</v>
      </c>
      <c r="G4" s="11"/>
      <c r="H4" s="11"/>
      <c r="I4" s="11"/>
      <c r="J4" s="11"/>
      <c r="K4" s="11"/>
      <c r="L4" s="11"/>
      <c r="M4" s="11"/>
      <c r="N4" s="11"/>
      <c r="O4" s="11"/>
      <c r="P4" s="11"/>
    </row>
    <row r="6" spans="1:18" ht="15.6" x14ac:dyDescent="0.3">
      <c r="A6" s="12" t="s">
        <v>213</v>
      </c>
      <c r="B6" s="12"/>
      <c r="C6" s="12"/>
      <c r="D6" s="12"/>
      <c r="E6" s="12"/>
      <c r="F6" s="12"/>
      <c r="G6" s="12"/>
      <c r="H6" s="12"/>
      <c r="I6" s="12"/>
      <c r="J6" s="12"/>
      <c r="K6" s="12"/>
      <c r="L6" s="12"/>
      <c r="M6" s="12"/>
      <c r="N6" s="12"/>
      <c r="O6" s="12"/>
      <c r="P6" s="12"/>
      <c r="Q6" s="12"/>
    </row>
    <row r="7" spans="1:18" ht="43.5" customHeight="1" x14ac:dyDescent="0.3">
      <c r="A7" s="11" t="s">
        <v>214</v>
      </c>
      <c r="B7" s="11"/>
      <c r="C7" s="11"/>
      <c r="D7" s="11"/>
      <c r="E7" s="11"/>
      <c r="F7" s="11"/>
      <c r="G7" s="11"/>
      <c r="H7" s="11"/>
      <c r="I7" s="11"/>
      <c r="J7" s="11"/>
      <c r="K7" s="11"/>
      <c r="L7" s="11"/>
      <c r="M7" s="11"/>
      <c r="N7" s="11"/>
      <c r="O7" s="11"/>
      <c r="P7" s="11"/>
      <c r="Q7" s="11"/>
    </row>
    <row r="9" spans="1:18" ht="39.75" customHeight="1" x14ac:dyDescent="0.3">
      <c r="A9" s="19" t="s">
        <v>215</v>
      </c>
      <c r="B9" s="19" t="s">
        <v>216</v>
      </c>
      <c r="C9" s="19" t="s">
        <v>217</v>
      </c>
      <c r="D9" s="19" t="s">
        <v>218</v>
      </c>
      <c r="E9" s="19" t="s">
        <v>219</v>
      </c>
      <c r="F9" s="19" t="s">
        <v>220</v>
      </c>
      <c r="G9" s="19" t="s">
        <v>221</v>
      </c>
      <c r="H9" s="19" t="s">
        <v>222</v>
      </c>
      <c r="I9" s="19" t="s">
        <v>223</v>
      </c>
      <c r="J9" s="19" t="s">
        <v>224</v>
      </c>
      <c r="K9" s="19" t="s">
        <v>225</v>
      </c>
      <c r="L9" s="19" t="s">
        <v>158</v>
      </c>
      <c r="M9" s="19" t="s">
        <v>159</v>
      </c>
      <c r="N9" s="19" t="s">
        <v>226</v>
      </c>
      <c r="O9" s="19" t="s">
        <v>31</v>
      </c>
      <c r="P9" s="19" t="s">
        <v>227</v>
      </c>
      <c r="Q9" s="19" t="s">
        <v>228</v>
      </c>
    </row>
    <row r="10" spans="1:18" x14ac:dyDescent="0.3">
      <c r="A10" s="20" t="s">
        <v>81</v>
      </c>
      <c r="B10" s="20">
        <v>1</v>
      </c>
      <c r="C10" s="20">
        <v>1</v>
      </c>
      <c r="D10" s="20" t="s">
        <v>50</v>
      </c>
      <c r="E10" s="20">
        <v>90</v>
      </c>
      <c r="F10" s="20">
        <v>45</v>
      </c>
      <c r="G10" s="20">
        <v>55</v>
      </c>
      <c r="H10" s="30">
        <f t="shared" ref="H10:H31" si="0">AVERAGE(F10,G10)</f>
        <v>50</v>
      </c>
      <c r="I10" s="20">
        <v>14</v>
      </c>
      <c r="J10" s="20">
        <v>18</v>
      </c>
      <c r="K10" s="30">
        <f t="shared" ref="K10:K31" si="1">AVERAGE(I10,J10)</f>
        <v>16</v>
      </c>
      <c r="L10" s="32">
        <f t="shared" ref="L10:L31" si="2">ROUND($E$4-J10,0)</f>
        <v>70</v>
      </c>
      <c r="M10" s="32">
        <f t="shared" ref="M10:M31" si="3">ROUND($E$4-I10,0)</f>
        <v>74</v>
      </c>
      <c r="N10" s="46">
        <f>IF(OR(D10="Bullpen",D10="Game"),IFERROR(INDEX(Reference!$B$61:$B$62,MATCH(D10,Reference!$A$61:$A$62,0)),""),IF(E10="","",IF(R10&gt;1,((IF(1&lt;=R10,(R10-1+3)*(INDEX(Reference!$B$6:$B$11,MIN(5,MATCH(MAX(Reference!$A$6,MIN(Reference!$A$11,MIN(E10,90))),Reference!$A$6:$A$11,1)))+(MAX(Reference!$A$6,MIN(Reference!$A$11,MIN(E10,90)))-INDEX(Reference!$A$6:$A$11,MIN(5,MATCH(MAX(Reference!$A$6,MIN(Reference!$A$11,MIN(E10,90))),Reference!$A$6:$A$11,1))))*(INDEX(Reference!$B$6:$B$11,MIN(5,MATCH(MAX(Reference!$A$6,MIN(Reference!$A$11,MIN(E10,90))),Reference!$A$6:$A$11,1))+1)-INDEX(Reference!$B$6:$B$11,MIN(5,MATCH(MAX(Reference!$A$6,MIN(Reference!$A$11,MIN(E10,90))),Reference!$A$6:$A$11,1))))/(INDEX(Reference!$A$6:$A$11,MIN(5,MATCH(MAX(Reference!$A$6,MIN(Reference!$A$11,MIN(E10,90))),Reference!$A$6:$A$11,1))+1)-INDEX(Reference!$A$6:$A$11,MIN(5,MATCH(MAX(Reference!$A$6,MIN(Reference!$A$11,MIN(E10,90))),Reference!$A$6:$A$11,1))))),0)+IF(2&lt;=R10,(R10-2+3)*(INDEX(Reference!$B$6:$B$11,MIN(5,MATCH(MAX(Reference!$A$6,MIN(Reference!$A$11,MIN(E10,120))),Reference!$A$6:$A$11,1)))+(MAX(Reference!$A$6,MIN(Reference!$A$11,MIN(E10,120)))-INDEX(Reference!$A$6:$A$11,MIN(5,MATCH(MAX(Reference!$A$6,MIN(Reference!$A$11,MIN(E10,120))),Reference!$A$6:$A$11,1))))*(INDEX(Reference!$B$6:$B$11,MIN(5,MATCH(MAX(Reference!$A$6,MIN(Reference!$A$11,MIN(E10,120))),Reference!$A$6:$A$11,1))+1)-INDEX(Reference!$B$6:$B$11,MIN(5,MATCH(MAX(Reference!$A$6,MIN(Reference!$A$11,MIN(E10,120))),Reference!$A$6:$A$11,1))))/(INDEX(Reference!$A$6:$A$11,MIN(5,MATCH(MAX(Reference!$A$6,MIN(Reference!$A$11,MIN(E10,120))),Reference!$A$6:$A$11,1))+1)-INDEX(Reference!$A$6:$A$11,MIN(5,MATCH(MAX(Reference!$A$6,MIN(Reference!$A$11,MIN(E10,120))),Reference!$A$6:$A$11,1))))),0)+IF(3&lt;=R10,(R10-3+3)*(INDEX(Reference!$B$6:$B$11,MIN(5,MATCH(MAX(Reference!$A$6,MIN(Reference!$A$11,MIN(E10,150))),Reference!$A$6:$A$11,1)))+(MAX(Reference!$A$6,MIN(Reference!$A$11,MIN(E10,150)))-INDEX(Reference!$A$6:$A$11,MIN(5,MATCH(MAX(Reference!$A$6,MIN(Reference!$A$11,MIN(E10,150))),Reference!$A$6:$A$11,1))))*(INDEX(Reference!$B$6:$B$11,MIN(5,MATCH(MAX(Reference!$A$6,MIN(Reference!$A$11,MIN(E10,150))),Reference!$A$6:$A$11,1))+1)-INDEX(Reference!$B$6:$B$11,MIN(5,MATCH(MAX(Reference!$A$6,MIN(Reference!$A$11,MIN(E10,150))),Reference!$A$6:$A$11,1))))/(INDEX(Reference!$A$6:$A$11,MIN(5,MATCH(MAX(Reference!$A$6,MIN(Reference!$A$11,MIN(E10,150))),Reference!$A$6:$A$11,1))+1)-INDEX(Reference!$A$6:$A$11,MIN(5,MATCH(MAX(Reference!$A$6,MIN(Reference!$A$11,MIN(E10,150))),Reference!$A$6:$A$11,1))))),0)+IF(4&lt;=R10,(R10-4+3)*(INDEX(Reference!$B$6:$B$11,MIN(5,MATCH(MAX(Reference!$A$6,MIN(Reference!$A$11,MIN(E10,180))),Reference!$A$6:$A$11,1)))+(MAX(Reference!$A$6,MIN(Reference!$A$11,MIN(E10,180)))-INDEX(Reference!$A$6:$A$11,MIN(5,MATCH(MAX(Reference!$A$6,MIN(Reference!$A$11,MIN(E10,180))),Reference!$A$6:$A$11,1))))*(INDEX(Reference!$B$6:$B$11,MIN(5,MATCH(MAX(Reference!$A$6,MIN(Reference!$A$11,MIN(E10,180))),Reference!$A$6:$A$11,1))+1)-INDEX(Reference!$B$6:$B$11,MIN(5,MATCH(MAX(Reference!$A$6,MIN(Reference!$A$11,MIN(E10,180))),Reference!$A$6:$A$11,1))))/(INDEX(Reference!$A$6:$A$11,MIN(5,MATCH(MAX(Reference!$A$6,MIN(Reference!$A$11,MIN(E10,180))),Reference!$A$6:$A$11,1))+1)-INDEX(Reference!$A$6:$A$11,MIN(5,MATCH(MAX(Reference!$A$6,MIN(Reference!$A$11,MIN(E10,180))),Reference!$A$6:$A$11,1))))),0)+IF(5&lt;=R10,(R10-5+3)*(INDEX(Reference!$B$6:$B$11,MIN(5,MATCH(MAX(Reference!$A$6,MIN(Reference!$A$11,MIN(E10,210))),Reference!$A$6:$A$11,1)))+(MAX(Reference!$A$6,MIN(Reference!$A$11,MIN(E10,210)))-INDEX(Reference!$A$6:$A$11,MIN(5,MATCH(MAX(Reference!$A$6,MIN(Reference!$A$11,MIN(E10,210))),Reference!$A$6:$A$11,1))))*(INDEX(Reference!$B$6:$B$11,MIN(5,MATCH(MAX(Reference!$A$6,MIN(Reference!$A$11,MIN(E10,210))),Reference!$A$6:$A$11,1))+1)-INDEX(Reference!$B$6:$B$11,MIN(5,MATCH(MAX(Reference!$A$6,MIN(Reference!$A$11,MIN(E10,210))),Reference!$A$6:$A$11,1))))/(INDEX(Reference!$A$6:$A$11,MIN(5,MATCH(MAX(Reference!$A$6,MIN(Reference!$A$11,MIN(E10,210))),Reference!$A$6:$A$11,1))+1)-INDEX(Reference!$A$6:$A$11,MIN(5,MATCH(MAX(Reference!$A$6,MIN(Reference!$A$11,MIN(E10,210))),Reference!$A$6:$A$11,1))))),0)+IF(6&lt;=R10,(R10-6+3)*(INDEX(Reference!$B$6:$B$11,MIN(5,MATCH(MAX(Reference!$A$6,MIN(Reference!$A$11,MIN(E10,240))),Reference!$A$6:$A$11,1)))+(MAX(Reference!$A$6,MIN(Reference!$A$11,MIN(E10,240)))-INDEX(Reference!$A$6:$A$11,MIN(5,MATCH(MAX(Reference!$A$6,MIN(Reference!$A$11,MIN(E10,240))),Reference!$A$6:$A$11,1))))*(INDEX(Reference!$B$6:$B$11,MIN(5,MATCH(MAX(Reference!$A$6,MIN(Reference!$A$11,MIN(E10,240))),Reference!$A$6:$A$11,1))+1)-INDEX(Reference!$B$6:$B$11,MIN(5,MATCH(MAX(Reference!$A$6,MIN(Reference!$A$11,MIN(E10,240))),Reference!$A$6:$A$11,1))))/(INDEX(Reference!$A$6:$A$11,MIN(5,MATCH(MAX(Reference!$A$6,MIN(Reference!$A$11,MIN(E10,240))),Reference!$A$6:$A$11,1))+1)-INDEX(Reference!$A$6:$A$11,MIN(5,MATCH(MAX(Reference!$A$6,MIN(Reference!$A$11,MIN(E10,240))),Reference!$A$6:$A$11,1))))),0)+IF(7&lt;=R10,(R10-7+3)*(INDEX(Reference!$B$6:$B$11,MIN(5,MATCH(MAX(Reference!$A$6,MIN(Reference!$A$11,MIN(E10,270))),Reference!$A$6:$A$11,1)))+(MAX(Reference!$A$6,MIN(Reference!$A$11,MIN(E10,270)))-INDEX(Reference!$A$6:$A$11,MIN(5,MATCH(MAX(Reference!$A$6,MIN(Reference!$A$11,MIN(E10,270))),Reference!$A$6:$A$11,1))))*(INDEX(Reference!$B$6:$B$11,MIN(5,MATCH(MAX(Reference!$A$6,MIN(Reference!$A$11,MIN(E10,270))),Reference!$A$6:$A$11,1))+1)-INDEX(Reference!$B$6:$B$11,MIN(5,MATCH(MAX(Reference!$A$6,MIN(Reference!$A$11,MIN(E10,270))),Reference!$A$6:$A$11,1))))/(INDEX(Reference!$A$6:$A$11,MIN(5,MATCH(MAX(Reference!$A$6,MIN(Reference!$A$11,MIN(E10,270))),Reference!$A$6:$A$11,1))+1)-INDEX(Reference!$A$6:$A$11,MIN(5,MATCH(MAX(Reference!$A$6,MIN(Reference!$A$11,MIN(E10,270))),Reference!$A$6:$A$11,1))))),0)+IF(8&lt;=R10,(R10-8+3)*(INDEX(Reference!$B$6:$B$11,MIN(5,MATCH(MAX(Reference!$A$6,MIN(Reference!$A$11,MIN(E10,300))),Reference!$A$6:$A$11,1)))+(MAX(Reference!$A$6,MIN(Reference!$A$11,MIN(E10,300)))-INDEX(Reference!$A$6:$A$11,MIN(5,MATCH(MAX(Reference!$A$6,MIN(Reference!$A$11,MIN(E10,300))),Reference!$A$6:$A$11,1))))*(INDEX(Reference!$B$6:$B$11,MIN(5,MATCH(MAX(Reference!$A$6,MIN(Reference!$A$11,MIN(E10,300))),Reference!$A$6:$A$11,1))+1)-INDEX(Reference!$B$6:$B$11,MIN(5,MATCH(MAX(Reference!$A$6,MIN(Reference!$A$11,MIN(E10,300))),Reference!$A$6:$A$11,1))))/(INDEX(Reference!$A$6:$A$11,MIN(5,MATCH(MAX(Reference!$A$6,MIN(Reference!$A$11,MIN(E10,300))),Reference!$A$6:$A$11,1))+1)-INDEX(Reference!$A$6:$A$11,MIN(5,MATCH(MAX(Reference!$A$6,MIN(Reference!$A$11,MIN(E10,300))),Reference!$A$6:$A$11,1))))),0))/(R10*(R10+5)/2)),(INDEX(Reference!$B$6:$B$11,MIN(5,MATCH(MAX(Reference!$A$6,MIN(Reference!$A$11,E10)),Reference!$A$6:$A$11,1)))+(MAX(Reference!$A$6,MIN(Reference!$A$11,E10))-INDEX(Reference!$A$6:$A$11,MIN(5,MATCH(MAX(Reference!$A$6,MIN(Reference!$A$11,E10)),Reference!$A$6:$A$11,1))))*(INDEX(Reference!$B$6:$B$11,MIN(5,MATCH(MAX(Reference!$A$6,MIN(Reference!$A$11,E10)),Reference!$A$6:$A$11,1))+1)-INDEX(Reference!$B$6:$B$11,MIN(5,MATCH(MAX(Reference!$A$6,MIN(Reference!$A$11,E10)),Reference!$A$6:$A$11,1))))/(INDEX(Reference!$A$6:$A$11,MIN(5,MATCH(MAX(Reference!$A$6,MIN(Reference!$A$11,E10)),Reference!$A$6:$A$11,1))+1)-INDEX(Reference!$A$6:$A$11,MIN(5,MATCH(MAX(Reference!$A$6,MIN(Reference!$A$11,E10)),Reference!$A$6:$A$11,1))))))))</f>
        <v>1.3</v>
      </c>
      <c r="O10" s="32">
        <f>VLOOKUP(MAX(K10,0),Reference!$A$17:$B$20,2,TRUE())</f>
        <v>0.6</v>
      </c>
      <c r="P10" s="30">
        <f t="shared" ref="P10:P31" si="4">H10*N10*O10</f>
        <v>39</v>
      </c>
      <c r="Q10" s="47" t="str">
        <f t="shared" ref="Q10:Q31" si="5">IF(R10&gt;1,IF(1&lt;=R10,MIN(E10,90)&amp;"×"&amp;(ROUND(H10*(1*(R10+3)-1)/(R10*(R10+5)/2),0)-0),"")&amp;IF(2&lt;=R10," · "&amp;MIN(E10,120)&amp;"×"&amp;(ROUND(H10*(2*(R10+3)-3)/(R10*(R10+5)/2),0)-ROUND(H10*(1*(R10+3)-1)/(R10*(R10+5)/2),0)),"")&amp;IF(3&lt;=R10," · "&amp;MIN(E10,150)&amp;"×"&amp;(ROUND(H10*(3*(R10+3)-6)/(R10*(R10+5)/2),0)-ROUND(H10*(2*(R10+3)-3)/(R10*(R10+5)/2),0)),"")&amp;IF(4&lt;=R10," · "&amp;MIN(E10,180)&amp;"×"&amp;(ROUND(H10*(4*(R10+3)-10)/(R10*(R10+5)/2),0)-ROUND(H10*(3*(R10+3)-6)/(R10*(R10+5)/2),0)),"")&amp;IF(5&lt;=R10," · "&amp;MIN(E10,210)&amp;"×"&amp;(ROUND(H10*(5*(R10+3)-15)/(R10*(R10+5)/2),0)-ROUND(H10*(4*(R10+3)-10)/(R10*(R10+5)/2),0)),"")&amp;IF(6&lt;=R10," · "&amp;MIN(E10,240)&amp;"×"&amp;(ROUND(H10*(6*(R10+3)-21)/(R10*(R10+5)/2),0)-ROUND(H10*(5*(R10+3)-15)/(R10*(R10+5)/2),0)),"")&amp;IF(7&lt;=R10," · "&amp;MIN(E10,270)&amp;"×"&amp;(ROUND(H10*(7*(R10+3)-28)/(R10*(R10+5)/2),0)-ROUND(H10*(6*(R10+3)-21)/(R10*(R10+5)/2),0)),"")&amp;IF(8&lt;=R10," · "&amp;MIN(E10,300)&amp;"×"&amp;(ROUND(H10*(8*(R10+3)-36)/(R10*(R10+5)/2),0)-ROUND(H10*(7*(R10+3)-28)/(R10*(R10+5)/2),0)),""),"")</f>
        <v/>
      </c>
      <c r="R10">
        <f t="shared" ref="R10:R31" si="6">IF(AND(D10="Long Toss",N(E10)&gt;90),1+ROUNDUP((E10-90)/30,0),1)</f>
        <v>1</v>
      </c>
    </row>
    <row r="11" spans="1:18" x14ac:dyDescent="0.3">
      <c r="A11" s="20" t="s">
        <v>81</v>
      </c>
      <c r="B11" s="20">
        <v>1</v>
      </c>
      <c r="C11" s="20">
        <v>2</v>
      </c>
      <c r="D11" s="20" t="s">
        <v>229</v>
      </c>
      <c r="E11" s="20">
        <v>60</v>
      </c>
      <c r="F11" s="20">
        <v>15</v>
      </c>
      <c r="G11" s="20">
        <v>25</v>
      </c>
      <c r="H11" s="30">
        <f t="shared" si="0"/>
        <v>20</v>
      </c>
      <c r="I11" s="20">
        <v>12</v>
      </c>
      <c r="J11" s="20">
        <v>14</v>
      </c>
      <c r="K11" s="30">
        <f t="shared" si="1"/>
        <v>13</v>
      </c>
      <c r="L11" s="32">
        <f t="shared" si="2"/>
        <v>74</v>
      </c>
      <c r="M11" s="32">
        <f t="shared" si="3"/>
        <v>76</v>
      </c>
      <c r="N11" s="46">
        <f>IF(OR(D11="Bullpen",D11="Game"),IFERROR(INDEX(Reference!$B$61:$B$62,MATCH(D11,Reference!$A$61:$A$62,0)),""),IF(E11="","",IF(R11&gt;1,((IF(1&lt;=R11,(R11-1+3)*(INDEX(Reference!$B$6:$B$11,MIN(5,MATCH(MAX(Reference!$A$6,MIN(Reference!$A$11,MIN(E11,90))),Reference!$A$6:$A$11,1)))+(MAX(Reference!$A$6,MIN(Reference!$A$11,MIN(E11,90)))-INDEX(Reference!$A$6:$A$11,MIN(5,MATCH(MAX(Reference!$A$6,MIN(Reference!$A$11,MIN(E11,90))),Reference!$A$6:$A$11,1))))*(INDEX(Reference!$B$6:$B$11,MIN(5,MATCH(MAX(Reference!$A$6,MIN(Reference!$A$11,MIN(E11,90))),Reference!$A$6:$A$11,1))+1)-INDEX(Reference!$B$6:$B$11,MIN(5,MATCH(MAX(Reference!$A$6,MIN(Reference!$A$11,MIN(E11,90))),Reference!$A$6:$A$11,1))))/(INDEX(Reference!$A$6:$A$11,MIN(5,MATCH(MAX(Reference!$A$6,MIN(Reference!$A$11,MIN(E11,90))),Reference!$A$6:$A$11,1))+1)-INDEX(Reference!$A$6:$A$11,MIN(5,MATCH(MAX(Reference!$A$6,MIN(Reference!$A$11,MIN(E11,90))),Reference!$A$6:$A$11,1))))),0)+IF(2&lt;=R11,(R11-2+3)*(INDEX(Reference!$B$6:$B$11,MIN(5,MATCH(MAX(Reference!$A$6,MIN(Reference!$A$11,MIN(E11,120))),Reference!$A$6:$A$11,1)))+(MAX(Reference!$A$6,MIN(Reference!$A$11,MIN(E11,120)))-INDEX(Reference!$A$6:$A$11,MIN(5,MATCH(MAX(Reference!$A$6,MIN(Reference!$A$11,MIN(E11,120))),Reference!$A$6:$A$11,1))))*(INDEX(Reference!$B$6:$B$11,MIN(5,MATCH(MAX(Reference!$A$6,MIN(Reference!$A$11,MIN(E11,120))),Reference!$A$6:$A$11,1))+1)-INDEX(Reference!$B$6:$B$11,MIN(5,MATCH(MAX(Reference!$A$6,MIN(Reference!$A$11,MIN(E11,120))),Reference!$A$6:$A$11,1))))/(INDEX(Reference!$A$6:$A$11,MIN(5,MATCH(MAX(Reference!$A$6,MIN(Reference!$A$11,MIN(E11,120))),Reference!$A$6:$A$11,1))+1)-INDEX(Reference!$A$6:$A$11,MIN(5,MATCH(MAX(Reference!$A$6,MIN(Reference!$A$11,MIN(E11,120))),Reference!$A$6:$A$11,1))))),0)+IF(3&lt;=R11,(R11-3+3)*(INDEX(Reference!$B$6:$B$11,MIN(5,MATCH(MAX(Reference!$A$6,MIN(Reference!$A$11,MIN(E11,150))),Reference!$A$6:$A$11,1)))+(MAX(Reference!$A$6,MIN(Reference!$A$11,MIN(E11,150)))-INDEX(Reference!$A$6:$A$11,MIN(5,MATCH(MAX(Reference!$A$6,MIN(Reference!$A$11,MIN(E11,150))),Reference!$A$6:$A$11,1))))*(INDEX(Reference!$B$6:$B$11,MIN(5,MATCH(MAX(Reference!$A$6,MIN(Reference!$A$11,MIN(E11,150))),Reference!$A$6:$A$11,1))+1)-INDEX(Reference!$B$6:$B$11,MIN(5,MATCH(MAX(Reference!$A$6,MIN(Reference!$A$11,MIN(E11,150))),Reference!$A$6:$A$11,1))))/(INDEX(Reference!$A$6:$A$11,MIN(5,MATCH(MAX(Reference!$A$6,MIN(Reference!$A$11,MIN(E11,150))),Reference!$A$6:$A$11,1))+1)-INDEX(Reference!$A$6:$A$11,MIN(5,MATCH(MAX(Reference!$A$6,MIN(Reference!$A$11,MIN(E11,150))),Reference!$A$6:$A$11,1))))),0)+IF(4&lt;=R11,(R11-4+3)*(INDEX(Reference!$B$6:$B$11,MIN(5,MATCH(MAX(Reference!$A$6,MIN(Reference!$A$11,MIN(E11,180))),Reference!$A$6:$A$11,1)))+(MAX(Reference!$A$6,MIN(Reference!$A$11,MIN(E11,180)))-INDEX(Reference!$A$6:$A$11,MIN(5,MATCH(MAX(Reference!$A$6,MIN(Reference!$A$11,MIN(E11,180))),Reference!$A$6:$A$11,1))))*(INDEX(Reference!$B$6:$B$11,MIN(5,MATCH(MAX(Reference!$A$6,MIN(Reference!$A$11,MIN(E11,180))),Reference!$A$6:$A$11,1))+1)-INDEX(Reference!$B$6:$B$11,MIN(5,MATCH(MAX(Reference!$A$6,MIN(Reference!$A$11,MIN(E11,180))),Reference!$A$6:$A$11,1))))/(INDEX(Reference!$A$6:$A$11,MIN(5,MATCH(MAX(Reference!$A$6,MIN(Reference!$A$11,MIN(E11,180))),Reference!$A$6:$A$11,1))+1)-INDEX(Reference!$A$6:$A$11,MIN(5,MATCH(MAX(Reference!$A$6,MIN(Reference!$A$11,MIN(E11,180))),Reference!$A$6:$A$11,1))))),0)+IF(5&lt;=R11,(R11-5+3)*(INDEX(Reference!$B$6:$B$11,MIN(5,MATCH(MAX(Reference!$A$6,MIN(Reference!$A$11,MIN(E11,210))),Reference!$A$6:$A$11,1)))+(MAX(Reference!$A$6,MIN(Reference!$A$11,MIN(E11,210)))-INDEX(Reference!$A$6:$A$11,MIN(5,MATCH(MAX(Reference!$A$6,MIN(Reference!$A$11,MIN(E11,210))),Reference!$A$6:$A$11,1))))*(INDEX(Reference!$B$6:$B$11,MIN(5,MATCH(MAX(Reference!$A$6,MIN(Reference!$A$11,MIN(E11,210))),Reference!$A$6:$A$11,1))+1)-INDEX(Reference!$B$6:$B$11,MIN(5,MATCH(MAX(Reference!$A$6,MIN(Reference!$A$11,MIN(E11,210))),Reference!$A$6:$A$11,1))))/(INDEX(Reference!$A$6:$A$11,MIN(5,MATCH(MAX(Reference!$A$6,MIN(Reference!$A$11,MIN(E11,210))),Reference!$A$6:$A$11,1))+1)-INDEX(Reference!$A$6:$A$11,MIN(5,MATCH(MAX(Reference!$A$6,MIN(Reference!$A$11,MIN(E11,210))),Reference!$A$6:$A$11,1))))),0)+IF(6&lt;=R11,(R11-6+3)*(INDEX(Reference!$B$6:$B$11,MIN(5,MATCH(MAX(Reference!$A$6,MIN(Reference!$A$11,MIN(E11,240))),Reference!$A$6:$A$11,1)))+(MAX(Reference!$A$6,MIN(Reference!$A$11,MIN(E11,240)))-INDEX(Reference!$A$6:$A$11,MIN(5,MATCH(MAX(Reference!$A$6,MIN(Reference!$A$11,MIN(E11,240))),Reference!$A$6:$A$11,1))))*(INDEX(Reference!$B$6:$B$11,MIN(5,MATCH(MAX(Reference!$A$6,MIN(Reference!$A$11,MIN(E11,240))),Reference!$A$6:$A$11,1))+1)-INDEX(Reference!$B$6:$B$11,MIN(5,MATCH(MAX(Reference!$A$6,MIN(Reference!$A$11,MIN(E11,240))),Reference!$A$6:$A$11,1))))/(INDEX(Reference!$A$6:$A$11,MIN(5,MATCH(MAX(Reference!$A$6,MIN(Reference!$A$11,MIN(E11,240))),Reference!$A$6:$A$11,1))+1)-INDEX(Reference!$A$6:$A$11,MIN(5,MATCH(MAX(Reference!$A$6,MIN(Reference!$A$11,MIN(E11,240))),Reference!$A$6:$A$11,1))))),0)+IF(7&lt;=R11,(R11-7+3)*(INDEX(Reference!$B$6:$B$11,MIN(5,MATCH(MAX(Reference!$A$6,MIN(Reference!$A$11,MIN(E11,270))),Reference!$A$6:$A$11,1)))+(MAX(Reference!$A$6,MIN(Reference!$A$11,MIN(E11,270)))-INDEX(Reference!$A$6:$A$11,MIN(5,MATCH(MAX(Reference!$A$6,MIN(Reference!$A$11,MIN(E11,270))),Reference!$A$6:$A$11,1))))*(INDEX(Reference!$B$6:$B$11,MIN(5,MATCH(MAX(Reference!$A$6,MIN(Reference!$A$11,MIN(E11,270))),Reference!$A$6:$A$11,1))+1)-INDEX(Reference!$B$6:$B$11,MIN(5,MATCH(MAX(Reference!$A$6,MIN(Reference!$A$11,MIN(E11,270))),Reference!$A$6:$A$11,1))))/(INDEX(Reference!$A$6:$A$11,MIN(5,MATCH(MAX(Reference!$A$6,MIN(Reference!$A$11,MIN(E11,270))),Reference!$A$6:$A$11,1))+1)-INDEX(Reference!$A$6:$A$11,MIN(5,MATCH(MAX(Reference!$A$6,MIN(Reference!$A$11,MIN(E11,270))),Reference!$A$6:$A$11,1))))),0)+IF(8&lt;=R11,(R11-8+3)*(INDEX(Reference!$B$6:$B$11,MIN(5,MATCH(MAX(Reference!$A$6,MIN(Reference!$A$11,MIN(E11,300))),Reference!$A$6:$A$11,1)))+(MAX(Reference!$A$6,MIN(Reference!$A$11,MIN(E11,300)))-INDEX(Reference!$A$6:$A$11,MIN(5,MATCH(MAX(Reference!$A$6,MIN(Reference!$A$11,MIN(E11,300))),Reference!$A$6:$A$11,1))))*(INDEX(Reference!$B$6:$B$11,MIN(5,MATCH(MAX(Reference!$A$6,MIN(Reference!$A$11,MIN(E11,300))),Reference!$A$6:$A$11,1))+1)-INDEX(Reference!$B$6:$B$11,MIN(5,MATCH(MAX(Reference!$A$6,MIN(Reference!$A$11,MIN(E11,300))),Reference!$A$6:$A$11,1))))/(INDEX(Reference!$A$6:$A$11,MIN(5,MATCH(MAX(Reference!$A$6,MIN(Reference!$A$11,MIN(E11,300))),Reference!$A$6:$A$11,1))+1)-INDEX(Reference!$A$6:$A$11,MIN(5,MATCH(MAX(Reference!$A$6,MIN(Reference!$A$11,MIN(E11,300))),Reference!$A$6:$A$11,1))))),0))/(R11*(R11+5)/2)),(INDEX(Reference!$B$6:$B$11,MIN(5,MATCH(MAX(Reference!$A$6,MIN(Reference!$A$11,E11)),Reference!$A$6:$A$11,1)))+(MAX(Reference!$A$6,MIN(Reference!$A$11,E11))-INDEX(Reference!$A$6:$A$11,MIN(5,MATCH(MAX(Reference!$A$6,MIN(Reference!$A$11,E11)),Reference!$A$6:$A$11,1))))*(INDEX(Reference!$B$6:$B$11,MIN(5,MATCH(MAX(Reference!$A$6,MIN(Reference!$A$11,E11)),Reference!$A$6:$A$11,1))+1)-INDEX(Reference!$B$6:$B$11,MIN(5,MATCH(MAX(Reference!$A$6,MIN(Reference!$A$11,E11)),Reference!$A$6:$A$11,1))))/(INDEX(Reference!$A$6:$A$11,MIN(5,MATCH(MAX(Reference!$A$6,MIN(Reference!$A$11,E11)),Reference!$A$6:$A$11,1))+1)-INDEX(Reference!$A$6:$A$11,MIN(5,MATCH(MAX(Reference!$A$6,MIN(Reference!$A$11,E11)),Reference!$A$6:$A$11,1))))))))</f>
        <v>1</v>
      </c>
      <c r="O11" s="32">
        <f>VLOOKUP(MAX(K11,0),Reference!$A$17:$B$20,2,TRUE())</f>
        <v>0.6</v>
      </c>
      <c r="P11" s="30">
        <f t="shared" si="4"/>
        <v>12</v>
      </c>
      <c r="Q11" s="47" t="str">
        <f t="shared" si="5"/>
        <v/>
      </c>
      <c r="R11">
        <f t="shared" si="6"/>
        <v>1</v>
      </c>
    </row>
    <row r="12" spans="1:18" x14ac:dyDescent="0.3">
      <c r="A12" s="20" t="s">
        <v>81</v>
      </c>
      <c r="B12" s="20">
        <v>2</v>
      </c>
      <c r="C12" s="20">
        <v>1</v>
      </c>
      <c r="D12" s="20" t="s">
        <v>50</v>
      </c>
      <c r="E12" s="20">
        <v>75</v>
      </c>
      <c r="F12" s="20">
        <v>35</v>
      </c>
      <c r="G12" s="20">
        <v>45</v>
      </c>
      <c r="H12" s="30">
        <f t="shared" si="0"/>
        <v>40</v>
      </c>
      <c r="I12" s="20">
        <v>15</v>
      </c>
      <c r="J12" s="20">
        <v>19</v>
      </c>
      <c r="K12" s="30">
        <f t="shared" si="1"/>
        <v>17</v>
      </c>
      <c r="L12" s="32">
        <f t="shared" si="2"/>
        <v>69</v>
      </c>
      <c r="M12" s="32">
        <f t="shared" si="3"/>
        <v>73</v>
      </c>
      <c r="N12" s="46">
        <f>IF(OR(D12="Bullpen",D12="Game"),IFERROR(INDEX(Reference!$B$61:$B$62,MATCH(D12,Reference!$A$61:$A$62,0)),""),IF(E12="","",IF(R12&gt;1,((IF(1&lt;=R12,(R12-1+3)*(INDEX(Reference!$B$6:$B$11,MIN(5,MATCH(MAX(Reference!$A$6,MIN(Reference!$A$11,MIN(E12,90))),Reference!$A$6:$A$11,1)))+(MAX(Reference!$A$6,MIN(Reference!$A$11,MIN(E12,90)))-INDEX(Reference!$A$6:$A$11,MIN(5,MATCH(MAX(Reference!$A$6,MIN(Reference!$A$11,MIN(E12,90))),Reference!$A$6:$A$11,1))))*(INDEX(Reference!$B$6:$B$11,MIN(5,MATCH(MAX(Reference!$A$6,MIN(Reference!$A$11,MIN(E12,90))),Reference!$A$6:$A$11,1))+1)-INDEX(Reference!$B$6:$B$11,MIN(5,MATCH(MAX(Reference!$A$6,MIN(Reference!$A$11,MIN(E12,90))),Reference!$A$6:$A$11,1))))/(INDEX(Reference!$A$6:$A$11,MIN(5,MATCH(MAX(Reference!$A$6,MIN(Reference!$A$11,MIN(E12,90))),Reference!$A$6:$A$11,1))+1)-INDEX(Reference!$A$6:$A$11,MIN(5,MATCH(MAX(Reference!$A$6,MIN(Reference!$A$11,MIN(E12,90))),Reference!$A$6:$A$11,1))))),0)+IF(2&lt;=R12,(R12-2+3)*(INDEX(Reference!$B$6:$B$11,MIN(5,MATCH(MAX(Reference!$A$6,MIN(Reference!$A$11,MIN(E12,120))),Reference!$A$6:$A$11,1)))+(MAX(Reference!$A$6,MIN(Reference!$A$11,MIN(E12,120)))-INDEX(Reference!$A$6:$A$11,MIN(5,MATCH(MAX(Reference!$A$6,MIN(Reference!$A$11,MIN(E12,120))),Reference!$A$6:$A$11,1))))*(INDEX(Reference!$B$6:$B$11,MIN(5,MATCH(MAX(Reference!$A$6,MIN(Reference!$A$11,MIN(E12,120))),Reference!$A$6:$A$11,1))+1)-INDEX(Reference!$B$6:$B$11,MIN(5,MATCH(MAX(Reference!$A$6,MIN(Reference!$A$11,MIN(E12,120))),Reference!$A$6:$A$11,1))))/(INDEX(Reference!$A$6:$A$11,MIN(5,MATCH(MAX(Reference!$A$6,MIN(Reference!$A$11,MIN(E12,120))),Reference!$A$6:$A$11,1))+1)-INDEX(Reference!$A$6:$A$11,MIN(5,MATCH(MAX(Reference!$A$6,MIN(Reference!$A$11,MIN(E12,120))),Reference!$A$6:$A$11,1))))),0)+IF(3&lt;=R12,(R12-3+3)*(INDEX(Reference!$B$6:$B$11,MIN(5,MATCH(MAX(Reference!$A$6,MIN(Reference!$A$11,MIN(E12,150))),Reference!$A$6:$A$11,1)))+(MAX(Reference!$A$6,MIN(Reference!$A$11,MIN(E12,150)))-INDEX(Reference!$A$6:$A$11,MIN(5,MATCH(MAX(Reference!$A$6,MIN(Reference!$A$11,MIN(E12,150))),Reference!$A$6:$A$11,1))))*(INDEX(Reference!$B$6:$B$11,MIN(5,MATCH(MAX(Reference!$A$6,MIN(Reference!$A$11,MIN(E12,150))),Reference!$A$6:$A$11,1))+1)-INDEX(Reference!$B$6:$B$11,MIN(5,MATCH(MAX(Reference!$A$6,MIN(Reference!$A$11,MIN(E12,150))),Reference!$A$6:$A$11,1))))/(INDEX(Reference!$A$6:$A$11,MIN(5,MATCH(MAX(Reference!$A$6,MIN(Reference!$A$11,MIN(E12,150))),Reference!$A$6:$A$11,1))+1)-INDEX(Reference!$A$6:$A$11,MIN(5,MATCH(MAX(Reference!$A$6,MIN(Reference!$A$11,MIN(E12,150))),Reference!$A$6:$A$11,1))))),0)+IF(4&lt;=R12,(R12-4+3)*(INDEX(Reference!$B$6:$B$11,MIN(5,MATCH(MAX(Reference!$A$6,MIN(Reference!$A$11,MIN(E12,180))),Reference!$A$6:$A$11,1)))+(MAX(Reference!$A$6,MIN(Reference!$A$11,MIN(E12,180)))-INDEX(Reference!$A$6:$A$11,MIN(5,MATCH(MAX(Reference!$A$6,MIN(Reference!$A$11,MIN(E12,180))),Reference!$A$6:$A$11,1))))*(INDEX(Reference!$B$6:$B$11,MIN(5,MATCH(MAX(Reference!$A$6,MIN(Reference!$A$11,MIN(E12,180))),Reference!$A$6:$A$11,1))+1)-INDEX(Reference!$B$6:$B$11,MIN(5,MATCH(MAX(Reference!$A$6,MIN(Reference!$A$11,MIN(E12,180))),Reference!$A$6:$A$11,1))))/(INDEX(Reference!$A$6:$A$11,MIN(5,MATCH(MAX(Reference!$A$6,MIN(Reference!$A$11,MIN(E12,180))),Reference!$A$6:$A$11,1))+1)-INDEX(Reference!$A$6:$A$11,MIN(5,MATCH(MAX(Reference!$A$6,MIN(Reference!$A$11,MIN(E12,180))),Reference!$A$6:$A$11,1))))),0)+IF(5&lt;=R12,(R12-5+3)*(INDEX(Reference!$B$6:$B$11,MIN(5,MATCH(MAX(Reference!$A$6,MIN(Reference!$A$11,MIN(E12,210))),Reference!$A$6:$A$11,1)))+(MAX(Reference!$A$6,MIN(Reference!$A$11,MIN(E12,210)))-INDEX(Reference!$A$6:$A$11,MIN(5,MATCH(MAX(Reference!$A$6,MIN(Reference!$A$11,MIN(E12,210))),Reference!$A$6:$A$11,1))))*(INDEX(Reference!$B$6:$B$11,MIN(5,MATCH(MAX(Reference!$A$6,MIN(Reference!$A$11,MIN(E12,210))),Reference!$A$6:$A$11,1))+1)-INDEX(Reference!$B$6:$B$11,MIN(5,MATCH(MAX(Reference!$A$6,MIN(Reference!$A$11,MIN(E12,210))),Reference!$A$6:$A$11,1))))/(INDEX(Reference!$A$6:$A$11,MIN(5,MATCH(MAX(Reference!$A$6,MIN(Reference!$A$11,MIN(E12,210))),Reference!$A$6:$A$11,1))+1)-INDEX(Reference!$A$6:$A$11,MIN(5,MATCH(MAX(Reference!$A$6,MIN(Reference!$A$11,MIN(E12,210))),Reference!$A$6:$A$11,1))))),0)+IF(6&lt;=R12,(R12-6+3)*(INDEX(Reference!$B$6:$B$11,MIN(5,MATCH(MAX(Reference!$A$6,MIN(Reference!$A$11,MIN(E12,240))),Reference!$A$6:$A$11,1)))+(MAX(Reference!$A$6,MIN(Reference!$A$11,MIN(E12,240)))-INDEX(Reference!$A$6:$A$11,MIN(5,MATCH(MAX(Reference!$A$6,MIN(Reference!$A$11,MIN(E12,240))),Reference!$A$6:$A$11,1))))*(INDEX(Reference!$B$6:$B$11,MIN(5,MATCH(MAX(Reference!$A$6,MIN(Reference!$A$11,MIN(E12,240))),Reference!$A$6:$A$11,1))+1)-INDEX(Reference!$B$6:$B$11,MIN(5,MATCH(MAX(Reference!$A$6,MIN(Reference!$A$11,MIN(E12,240))),Reference!$A$6:$A$11,1))))/(INDEX(Reference!$A$6:$A$11,MIN(5,MATCH(MAX(Reference!$A$6,MIN(Reference!$A$11,MIN(E12,240))),Reference!$A$6:$A$11,1))+1)-INDEX(Reference!$A$6:$A$11,MIN(5,MATCH(MAX(Reference!$A$6,MIN(Reference!$A$11,MIN(E12,240))),Reference!$A$6:$A$11,1))))),0)+IF(7&lt;=R12,(R12-7+3)*(INDEX(Reference!$B$6:$B$11,MIN(5,MATCH(MAX(Reference!$A$6,MIN(Reference!$A$11,MIN(E12,270))),Reference!$A$6:$A$11,1)))+(MAX(Reference!$A$6,MIN(Reference!$A$11,MIN(E12,270)))-INDEX(Reference!$A$6:$A$11,MIN(5,MATCH(MAX(Reference!$A$6,MIN(Reference!$A$11,MIN(E12,270))),Reference!$A$6:$A$11,1))))*(INDEX(Reference!$B$6:$B$11,MIN(5,MATCH(MAX(Reference!$A$6,MIN(Reference!$A$11,MIN(E12,270))),Reference!$A$6:$A$11,1))+1)-INDEX(Reference!$B$6:$B$11,MIN(5,MATCH(MAX(Reference!$A$6,MIN(Reference!$A$11,MIN(E12,270))),Reference!$A$6:$A$11,1))))/(INDEX(Reference!$A$6:$A$11,MIN(5,MATCH(MAX(Reference!$A$6,MIN(Reference!$A$11,MIN(E12,270))),Reference!$A$6:$A$11,1))+1)-INDEX(Reference!$A$6:$A$11,MIN(5,MATCH(MAX(Reference!$A$6,MIN(Reference!$A$11,MIN(E12,270))),Reference!$A$6:$A$11,1))))),0)+IF(8&lt;=R12,(R12-8+3)*(INDEX(Reference!$B$6:$B$11,MIN(5,MATCH(MAX(Reference!$A$6,MIN(Reference!$A$11,MIN(E12,300))),Reference!$A$6:$A$11,1)))+(MAX(Reference!$A$6,MIN(Reference!$A$11,MIN(E12,300)))-INDEX(Reference!$A$6:$A$11,MIN(5,MATCH(MAX(Reference!$A$6,MIN(Reference!$A$11,MIN(E12,300))),Reference!$A$6:$A$11,1))))*(INDEX(Reference!$B$6:$B$11,MIN(5,MATCH(MAX(Reference!$A$6,MIN(Reference!$A$11,MIN(E12,300))),Reference!$A$6:$A$11,1))+1)-INDEX(Reference!$B$6:$B$11,MIN(5,MATCH(MAX(Reference!$A$6,MIN(Reference!$A$11,MIN(E12,300))),Reference!$A$6:$A$11,1))))/(INDEX(Reference!$A$6:$A$11,MIN(5,MATCH(MAX(Reference!$A$6,MIN(Reference!$A$11,MIN(E12,300))),Reference!$A$6:$A$11,1))+1)-INDEX(Reference!$A$6:$A$11,MIN(5,MATCH(MAX(Reference!$A$6,MIN(Reference!$A$11,MIN(E12,300))),Reference!$A$6:$A$11,1))))),0))/(R12*(R12+5)/2)),(INDEX(Reference!$B$6:$B$11,MIN(5,MATCH(MAX(Reference!$A$6,MIN(Reference!$A$11,E12)),Reference!$A$6:$A$11,1)))+(MAX(Reference!$A$6,MIN(Reference!$A$11,E12))-INDEX(Reference!$A$6:$A$11,MIN(5,MATCH(MAX(Reference!$A$6,MIN(Reference!$A$11,E12)),Reference!$A$6:$A$11,1))))*(INDEX(Reference!$B$6:$B$11,MIN(5,MATCH(MAX(Reference!$A$6,MIN(Reference!$A$11,E12)),Reference!$A$6:$A$11,1))+1)-INDEX(Reference!$B$6:$B$11,MIN(5,MATCH(MAX(Reference!$A$6,MIN(Reference!$A$11,E12)),Reference!$A$6:$A$11,1))))/(INDEX(Reference!$A$6:$A$11,MIN(5,MATCH(MAX(Reference!$A$6,MIN(Reference!$A$11,E12)),Reference!$A$6:$A$11,1))+1)-INDEX(Reference!$A$6:$A$11,MIN(5,MATCH(MAX(Reference!$A$6,MIN(Reference!$A$11,E12)),Reference!$A$6:$A$11,1))))))))</f>
        <v>1.1499999999999999</v>
      </c>
      <c r="O12" s="32">
        <f>VLOOKUP(MAX(K12,0),Reference!$A$17:$B$20,2,TRUE())</f>
        <v>0.6</v>
      </c>
      <c r="P12" s="30">
        <f t="shared" si="4"/>
        <v>27.599999999999998</v>
      </c>
      <c r="Q12" s="47" t="str">
        <f t="shared" si="5"/>
        <v/>
      </c>
      <c r="R12">
        <f t="shared" si="6"/>
        <v>1</v>
      </c>
    </row>
    <row r="13" spans="1:18" x14ac:dyDescent="0.3">
      <c r="A13" s="20" t="s">
        <v>81</v>
      </c>
      <c r="B13" s="20">
        <v>2</v>
      </c>
      <c r="C13" s="20">
        <v>2</v>
      </c>
      <c r="D13" s="20" t="s">
        <v>229</v>
      </c>
      <c r="E13" s="20">
        <v>60</v>
      </c>
      <c r="F13" s="20">
        <v>15</v>
      </c>
      <c r="G13" s="20">
        <v>20</v>
      </c>
      <c r="H13" s="30">
        <f t="shared" si="0"/>
        <v>17.5</v>
      </c>
      <c r="I13" s="20">
        <v>13</v>
      </c>
      <c r="J13" s="20">
        <v>15</v>
      </c>
      <c r="K13" s="30">
        <f t="shared" si="1"/>
        <v>14</v>
      </c>
      <c r="L13" s="32">
        <f t="shared" si="2"/>
        <v>73</v>
      </c>
      <c r="M13" s="32">
        <f t="shared" si="3"/>
        <v>75</v>
      </c>
      <c r="N13" s="46">
        <f>IF(OR(D13="Bullpen",D13="Game"),IFERROR(INDEX(Reference!$B$61:$B$62,MATCH(D13,Reference!$A$61:$A$62,0)),""),IF(E13="","",IF(R13&gt;1,((IF(1&lt;=R13,(R13-1+3)*(INDEX(Reference!$B$6:$B$11,MIN(5,MATCH(MAX(Reference!$A$6,MIN(Reference!$A$11,MIN(E13,90))),Reference!$A$6:$A$11,1)))+(MAX(Reference!$A$6,MIN(Reference!$A$11,MIN(E13,90)))-INDEX(Reference!$A$6:$A$11,MIN(5,MATCH(MAX(Reference!$A$6,MIN(Reference!$A$11,MIN(E13,90))),Reference!$A$6:$A$11,1))))*(INDEX(Reference!$B$6:$B$11,MIN(5,MATCH(MAX(Reference!$A$6,MIN(Reference!$A$11,MIN(E13,90))),Reference!$A$6:$A$11,1))+1)-INDEX(Reference!$B$6:$B$11,MIN(5,MATCH(MAX(Reference!$A$6,MIN(Reference!$A$11,MIN(E13,90))),Reference!$A$6:$A$11,1))))/(INDEX(Reference!$A$6:$A$11,MIN(5,MATCH(MAX(Reference!$A$6,MIN(Reference!$A$11,MIN(E13,90))),Reference!$A$6:$A$11,1))+1)-INDEX(Reference!$A$6:$A$11,MIN(5,MATCH(MAX(Reference!$A$6,MIN(Reference!$A$11,MIN(E13,90))),Reference!$A$6:$A$11,1))))),0)+IF(2&lt;=R13,(R13-2+3)*(INDEX(Reference!$B$6:$B$11,MIN(5,MATCH(MAX(Reference!$A$6,MIN(Reference!$A$11,MIN(E13,120))),Reference!$A$6:$A$11,1)))+(MAX(Reference!$A$6,MIN(Reference!$A$11,MIN(E13,120)))-INDEX(Reference!$A$6:$A$11,MIN(5,MATCH(MAX(Reference!$A$6,MIN(Reference!$A$11,MIN(E13,120))),Reference!$A$6:$A$11,1))))*(INDEX(Reference!$B$6:$B$11,MIN(5,MATCH(MAX(Reference!$A$6,MIN(Reference!$A$11,MIN(E13,120))),Reference!$A$6:$A$11,1))+1)-INDEX(Reference!$B$6:$B$11,MIN(5,MATCH(MAX(Reference!$A$6,MIN(Reference!$A$11,MIN(E13,120))),Reference!$A$6:$A$11,1))))/(INDEX(Reference!$A$6:$A$11,MIN(5,MATCH(MAX(Reference!$A$6,MIN(Reference!$A$11,MIN(E13,120))),Reference!$A$6:$A$11,1))+1)-INDEX(Reference!$A$6:$A$11,MIN(5,MATCH(MAX(Reference!$A$6,MIN(Reference!$A$11,MIN(E13,120))),Reference!$A$6:$A$11,1))))),0)+IF(3&lt;=R13,(R13-3+3)*(INDEX(Reference!$B$6:$B$11,MIN(5,MATCH(MAX(Reference!$A$6,MIN(Reference!$A$11,MIN(E13,150))),Reference!$A$6:$A$11,1)))+(MAX(Reference!$A$6,MIN(Reference!$A$11,MIN(E13,150)))-INDEX(Reference!$A$6:$A$11,MIN(5,MATCH(MAX(Reference!$A$6,MIN(Reference!$A$11,MIN(E13,150))),Reference!$A$6:$A$11,1))))*(INDEX(Reference!$B$6:$B$11,MIN(5,MATCH(MAX(Reference!$A$6,MIN(Reference!$A$11,MIN(E13,150))),Reference!$A$6:$A$11,1))+1)-INDEX(Reference!$B$6:$B$11,MIN(5,MATCH(MAX(Reference!$A$6,MIN(Reference!$A$11,MIN(E13,150))),Reference!$A$6:$A$11,1))))/(INDEX(Reference!$A$6:$A$11,MIN(5,MATCH(MAX(Reference!$A$6,MIN(Reference!$A$11,MIN(E13,150))),Reference!$A$6:$A$11,1))+1)-INDEX(Reference!$A$6:$A$11,MIN(5,MATCH(MAX(Reference!$A$6,MIN(Reference!$A$11,MIN(E13,150))),Reference!$A$6:$A$11,1))))),0)+IF(4&lt;=R13,(R13-4+3)*(INDEX(Reference!$B$6:$B$11,MIN(5,MATCH(MAX(Reference!$A$6,MIN(Reference!$A$11,MIN(E13,180))),Reference!$A$6:$A$11,1)))+(MAX(Reference!$A$6,MIN(Reference!$A$11,MIN(E13,180)))-INDEX(Reference!$A$6:$A$11,MIN(5,MATCH(MAX(Reference!$A$6,MIN(Reference!$A$11,MIN(E13,180))),Reference!$A$6:$A$11,1))))*(INDEX(Reference!$B$6:$B$11,MIN(5,MATCH(MAX(Reference!$A$6,MIN(Reference!$A$11,MIN(E13,180))),Reference!$A$6:$A$11,1))+1)-INDEX(Reference!$B$6:$B$11,MIN(5,MATCH(MAX(Reference!$A$6,MIN(Reference!$A$11,MIN(E13,180))),Reference!$A$6:$A$11,1))))/(INDEX(Reference!$A$6:$A$11,MIN(5,MATCH(MAX(Reference!$A$6,MIN(Reference!$A$11,MIN(E13,180))),Reference!$A$6:$A$11,1))+1)-INDEX(Reference!$A$6:$A$11,MIN(5,MATCH(MAX(Reference!$A$6,MIN(Reference!$A$11,MIN(E13,180))),Reference!$A$6:$A$11,1))))),0)+IF(5&lt;=R13,(R13-5+3)*(INDEX(Reference!$B$6:$B$11,MIN(5,MATCH(MAX(Reference!$A$6,MIN(Reference!$A$11,MIN(E13,210))),Reference!$A$6:$A$11,1)))+(MAX(Reference!$A$6,MIN(Reference!$A$11,MIN(E13,210)))-INDEX(Reference!$A$6:$A$11,MIN(5,MATCH(MAX(Reference!$A$6,MIN(Reference!$A$11,MIN(E13,210))),Reference!$A$6:$A$11,1))))*(INDEX(Reference!$B$6:$B$11,MIN(5,MATCH(MAX(Reference!$A$6,MIN(Reference!$A$11,MIN(E13,210))),Reference!$A$6:$A$11,1))+1)-INDEX(Reference!$B$6:$B$11,MIN(5,MATCH(MAX(Reference!$A$6,MIN(Reference!$A$11,MIN(E13,210))),Reference!$A$6:$A$11,1))))/(INDEX(Reference!$A$6:$A$11,MIN(5,MATCH(MAX(Reference!$A$6,MIN(Reference!$A$11,MIN(E13,210))),Reference!$A$6:$A$11,1))+1)-INDEX(Reference!$A$6:$A$11,MIN(5,MATCH(MAX(Reference!$A$6,MIN(Reference!$A$11,MIN(E13,210))),Reference!$A$6:$A$11,1))))),0)+IF(6&lt;=R13,(R13-6+3)*(INDEX(Reference!$B$6:$B$11,MIN(5,MATCH(MAX(Reference!$A$6,MIN(Reference!$A$11,MIN(E13,240))),Reference!$A$6:$A$11,1)))+(MAX(Reference!$A$6,MIN(Reference!$A$11,MIN(E13,240)))-INDEX(Reference!$A$6:$A$11,MIN(5,MATCH(MAX(Reference!$A$6,MIN(Reference!$A$11,MIN(E13,240))),Reference!$A$6:$A$11,1))))*(INDEX(Reference!$B$6:$B$11,MIN(5,MATCH(MAX(Reference!$A$6,MIN(Reference!$A$11,MIN(E13,240))),Reference!$A$6:$A$11,1))+1)-INDEX(Reference!$B$6:$B$11,MIN(5,MATCH(MAX(Reference!$A$6,MIN(Reference!$A$11,MIN(E13,240))),Reference!$A$6:$A$11,1))))/(INDEX(Reference!$A$6:$A$11,MIN(5,MATCH(MAX(Reference!$A$6,MIN(Reference!$A$11,MIN(E13,240))),Reference!$A$6:$A$11,1))+1)-INDEX(Reference!$A$6:$A$11,MIN(5,MATCH(MAX(Reference!$A$6,MIN(Reference!$A$11,MIN(E13,240))),Reference!$A$6:$A$11,1))))),0)+IF(7&lt;=R13,(R13-7+3)*(INDEX(Reference!$B$6:$B$11,MIN(5,MATCH(MAX(Reference!$A$6,MIN(Reference!$A$11,MIN(E13,270))),Reference!$A$6:$A$11,1)))+(MAX(Reference!$A$6,MIN(Reference!$A$11,MIN(E13,270)))-INDEX(Reference!$A$6:$A$11,MIN(5,MATCH(MAX(Reference!$A$6,MIN(Reference!$A$11,MIN(E13,270))),Reference!$A$6:$A$11,1))))*(INDEX(Reference!$B$6:$B$11,MIN(5,MATCH(MAX(Reference!$A$6,MIN(Reference!$A$11,MIN(E13,270))),Reference!$A$6:$A$11,1))+1)-INDEX(Reference!$B$6:$B$11,MIN(5,MATCH(MAX(Reference!$A$6,MIN(Reference!$A$11,MIN(E13,270))),Reference!$A$6:$A$11,1))))/(INDEX(Reference!$A$6:$A$11,MIN(5,MATCH(MAX(Reference!$A$6,MIN(Reference!$A$11,MIN(E13,270))),Reference!$A$6:$A$11,1))+1)-INDEX(Reference!$A$6:$A$11,MIN(5,MATCH(MAX(Reference!$A$6,MIN(Reference!$A$11,MIN(E13,270))),Reference!$A$6:$A$11,1))))),0)+IF(8&lt;=R13,(R13-8+3)*(INDEX(Reference!$B$6:$B$11,MIN(5,MATCH(MAX(Reference!$A$6,MIN(Reference!$A$11,MIN(E13,300))),Reference!$A$6:$A$11,1)))+(MAX(Reference!$A$6,MIN(Reference!$A$11,MIN(E13,300)))-INDEX(Reference!$A$6:$A$11,MIN(5,MATCH(MAX(Reference!$A$6,MIN(Reference!$A$11,MIN(E13,300))),Reference!$A$6:$A$11,1))))*(INDEX(Reference!$B$6:$B$11,MIN(5,MATCH(MAX(Reference!$A$6,MIN(Reference!$A$11,MIN(E13,300))),Reference!$A$6:$A$11,1))+1)-INDEX(Reference!$B$6:$B$11,MIN(5,MATCH(MAX(Reference!$A$6,MIN(Reference!$A$11,MIN(E13,300))),Reference!$A$6:$A$11,1))))/(INDEX(Reference!$A$6:$A$11,MIN(5,MATCH(MAX(Reference!$A$6,MIN(Reference!$A$11,MIN(E13,300))),Reference!$A$6:$A$11,1))+1)-INDEX(Reference!$A$6:$A$11,MIN(5,MATCH(MAX(Reference!$A$6,MIN(Reference!$A$11,MIN(E13,300))),Reference!$A$6:$A$11,1))))),0))/(R13*(R13+5)/2)),(INDEX(Reference!$B$6:$B$11,MIN(5,MATCH(MAX(Reference!$A$6,MIN(Reference!$A$11,E13)),Reference!$A$6:$A$11,1)))+(MAX(Reference!$A$6,MIN(Reference!$A$11,E13))-INDEX(Reference!$A$6:$A$11,MIN(5,MATCH(MAX(Reference!$A$6,MIN(Reference!$A$11,E13)),Reference!$A$6:$A$11,1))))*(INDEX(Reference!$B$6:$B$11,MIN(5,MATCH(MAX(Reference!$A$6,MIN(Reference!$A$11,E13)),Reference!$A$6:$A$11,1))+1)-INDEX(Reference!$B$6:$B$11,MIN(5,MATCH(MAX(Reference!$A$6,MIN(Reference!$A$11,E13)),Reference!$A$6:$A$11,1))))/(INDEX(Reference!$A$6:$A$11,MIN(5,MATCH(MAX(Reference!$A$6,MIN(Reference!$A$11,E13)),Reference!$A$6:$A$11,1))+1)-INDEX(Reference!$A$6:$A$11,MIN(5,MATCH(MAX(Reference!$A$6,MIN(Reference!$A$11,E13)),Reference!$A$6:$A$11,1))))))))</f>
        <v>1</v>
      </c>
      <c r="O13" s="32">
        <f>VLOOKUP(MAX(K13,0),Reference!$A$17:$B$20,2,TRUE())</f>
        <v>0.6</v>
      </c>
      <c r="P13" s="30">
        <f t="shared" si="4"/>
        <v>10.5</v>
      </c>
      <c r="Q13" s="47" t="str">
        <f t="shared" si="5"/>
        <v/>
      </c>
      <c r="R13">
        <f t="shared" si="6"/>
        <v>1</v>
      </c>
    </row>
    <row r="14" spans="1:18" x14ac:dyDescent="0.3">
      <c r="A14" s="20" t="s">
        <v>83</v>
      </c>
      <c r="B14" s="20">
        <v>1</v>
      </c>
      <c r="C14" s="20">
        <v>1</v>
      </c>
      <c r="D14" s="20" t="s">
        <v>50</v>
      </c>
      <c r="E14" s="20">
        <v>120</v>
      </c>
      <c r="F14" s="20">
        <v>45</v>
      </c>
      <c r="G14" s="20">
        <v>60</v>
      </c>
      <c r="H14" s="30">
        <f t="shared" si="0"/>
        <v>52.5</v>
      </c>
      <c r="I14" s="20">
        <v>7</v>
      </c>
      <c r="J14" s="20">
        <v>9</v>
      </c>
      <c r="K14" s="30">
        <f t="shared" si="1"/>
        <v>8</v>
      </c>
      <c r="L14" s="32">
        <f t="shared" si="2"/>
        <v>79</v>
      </c>
      <c r="M14" s="32">
        <f t="shared" si="3"/>
        <v>81</v>
      </c>
      <c r="N14" s="46">
        <f>IF(OR(D14="Bullpen",D14="Game"),IFERROR(INDEX(Reference!$B$61:$B$62,MATCH(D14,Reference!$A$61:$A$62,0)),""),IF(E14="","",IF(R14&gt;1,((IF(1&lt;=R14,(R14-1+3)*(INDEX(Reference!$B$6:$B$11,MIN(5,MATCH(MAX(Reference!$A$6,MIN(Reference!$A$11,MIN(E14,90))),Reference!$A$6:$A$11,1)))+(MAX(Reference!$A$6,MIN(Reference!$A$11,MIN(E14,90)))-INDEX(Reference!$A$6:$A$11,MIN(5,MATCH(MAX(Reference!$A$6,MIN(Reference!$A$11,MIN(E14,90))),Reference!$A$6:$A$11,1))))*(INDEX(Reference!$B$6:$B$11,MIN(5,MATCH(MAX(Reference!$A$6,MIN(Reference!$A$11,MIN(E14,90))),Reference!$A$6:$A$11,1))+1)-INDEX(Reference!$B$6:$B$11,MIN(5,MATCH(MAX(Reference!$A$6,MIN(Reference!$A$11,MIN(E14,90))),Reference!$A$6:$A$11,1))))/(INDEX(Reference!$A$6:$A$11,MIN(5,MATCH(MAX(Reference!$A$6,MIN(Reference!$A$11,MIN(E14,90))),Reference!$A$6:$A$11,1))+1)-INDEX(Reference!$A$6:$A$11,MIN(5,MATCH(MAX(Reference!$A$6,MIN(Reference!$A$11,MIN(E14,90))),Reference!$A$6:$A$11,1))))),0)+IF(2&lt;=R14,(R14-2+3)*(INDEX(Reference!$B$6:$B$11,MIN(5,MATCH(MAX(Reference!$A$6,MIN(Reference!$A$11,MIN(E14,120))),Reference!$A$6:$A$11,1)))+(MAX(Reference!$A$6,MIN(Reference!$A$11,MIN(E14,120)))-INDEX(Reference!$A$6:$A$11,MIN(5,MATCH(MAX(Reference!$A$6,MIN(Reference!$A$11,MIN(E14,120))),Reference!$A$6:$A$11,1))))*(INDEX(Reference!$B$6:$B$11,MIN(5,MATCH(MAX(Reference!$A$6,MIN(Reference!$A$11,MIN(E14,120))),Reference!$A$6:$A$11,1))+1)-INDEX(Reference!$B$6:$B$11,MIN(5,MATCH(MAX(Reference!$A$6,MIN(Reference!$A$11,MIN(E14,120))),Reference!$A$6:$A$11,1))))/(INDEX(Reference!$A$6:$A$11,MIN(5,MATCH(MAX(Reference!$A$6,MIN(Reference!$A$11,MIN(E14,120))),Reference!$A$6:$A$11,1))+1)-INDEX(Reference!$A$6:$A$11,MIN(5,MATCH(MAX(Reference!$A$6,MIN(Reference!$A$11,MIN(E14,120))),Reference!$A$6:$A$11,1))))),0)+IF(3&lt;=R14,(R14-3+3)*(INDEX(Reference!$B$6:$B$11,MIN(5,MATCH(MAX(Reference!$A$6,MIN(Reference!$A$11,MIN(E14,150))),Reference!$A$6:$A$11,1)))+(MAX(Reference!$A$6,MIN(Reference!$A$11,MIN(E14,150)))-INDEX(Reference!$A$6:$A$11,MIN(5,MATCH(MAX(Reference!$A$6,MIN(Reference!$A$11,MIN(E14,150))),Reference!$A$6:$A$11,1))))*(INDEX(Reference!$B$6:$B$11,MIN(5,MATCH(MAX(Reference!$A$6,MIN(Reference!$A$11,MIN(E14,150))),Reference!$A$6:$A$11,1))+1)-INDEX(Reference!$B$6:$B$11,MIN(5,MATCH(MAX(Reference!$A$6,MIN(Reference!$A$11,MIN(E14,150))),Reference!$A$6:$A$11,1))))/(INDEX(Reference!$A$6:$A$11,MIN(5,MATCH(MAX(Reference!$A$6,MIN(Reference!$A$11,MIN(E14,150))),Reference!$A$6:$A$11,1))+1)-INDEX(Reference!$A$6:$A$11,MIN(5,MATCH(MAX(Reference!$A$6,MIN(Reference!$A$11,MIN(E14,150))),Reference!$A$6:$A$11,1))))),0)+IF(4&lt;=R14,(R14-4+3)*(INDEX(Reference!$B$6:$B$11,MIN(5,MATCH(MAX(Reference!$A$6,MIN(Reference!$A$11,MIN(E14,180))),Reference!$A$6:$A$11,1)))+(MAX(Reference!$A$6,MIN(Reference!$A$11,MIN(E14,180)))-INDEX(Reference!$A$6:$A$11,MIN(5,MATCH(MAX(Reference!$A$6,MIN(Reference!$A$11,MIN(E14,180))),Reference!$A$6:$A$11,1))))*(INDEX(Reference!$B$6:$B$11,MIN(5,MATCH(MAX(Reference!$A$6,MIN(Reference!$A$11,MIN(E14,180))),Reference!$A$6:$A$11,1))+1)-INDEX(Reference!$B$6:$B$11,MIN(5,MATCH(MAX(Reference!$A$6,MIN(Reference!$A$11,MIN(E14,180))),Reference!$A$6:$A$11,1))))/(INDEX(Reference!$A$6:$A$11,MIN(5,MATCH(MAX(Reference!$A$6,MIN(Reference!$A$11,MIN(E14,180))),Reference!$A$6:$A$11,1))+1)-INDEX(Reference!$A$6:$A$11,MIN(5,MATCH(MAX(Reference!$A$6,MIN(Reference!$A$11,MIN(E14,180))),Reference!$A$6:$A$11,1))))),0)+IF(5&lt;=R14,(R14-5+3)*(INDEX(Reference!$B$6:$B$11,MIN(5,MATCH(MAX(Reference!$A$6,MIN(Reference!$A$11,MIN(E14,210))),Reference!$A$6:$A$11,1)))+(MAX(Reference!$A$6,MIN(Reference!$A$11,MIN(E14,210)))-INDEX(Reference!$A$6:$A$11,MIN(5,MATCH(MAX(Reference!$A$6,MIN(Reference!$A$11,MIN(E14,210))),Reference!$A$6:$A$11,1))))*(INDEX(Reference!$B$6:$B$11,MIN(5,MATCH(MAX(Reference!$A$6,MIN(Reference!$A$11,MIN(E14,210))),Reference!$A$6:$A$11,1))+1)-INDEX(Reference!$B$6:$B$11,MIN(5,MATCH(MAX(Reference!$A$6,MIN(Reference!$A$11,MIN(E14,210))),Reference!$A$6:$A$11,1))))/(INDEX(Reference!$A$6:$A$11,MIN(5,MATCH(MAX(Reference!$A$6,MIN(Reference!$A$11,MIN(E14,210))),Reference!$A$6:$A$11,1))+1)-INDEX(Reference!$A$6:$A$11,MIN(5,MATCH(MAX(Reference!$A$6,MIN(Reference!$A$11,MIN(E14,210))),Reference!$A$6:$A$11,1))))),0)+IF(6&lt;=R14,(R14-6+3)*(INDEX(Reference!$B$6:$B$11,MIN(5,MATCH(MAX(Reference!$A$6,MIN(Reference!$A$11,MIN(E14,240))),Reference!$A$6:$A$11,1)))+(MAX(Reference!$A$6,MIN(Reference!$A$11,MIN(E14,240)))-INDEX(Reference!$A$6:$A$11,MIN(5,MATCH(MAX(Reference!$A$6,MIN(Reference!$A$11,MIN(E14,240))),Reference!$A$6:$A$11,1))))*(INDEX(Reference!$B$6:$B$11,MIN(5,MATCH(MAX(Reference!$A$6,MIN(Reference!$A$11,MIN(E14,240))),Reference!$A$6:$A$11,1))+1)-INDEX(Reference!$B$6:$B$11,MIN(5,MATCH(MAX(Reference!$A$6,MIN(Reference!$A$11,MIN(E14,240))),Reference!$A$6:$A$11,1))))/(INDEX(Reference!$A$6:$A$11,MIN(5,MATCH(MAX(Reference!$A$6,MIN(Reference!$A$11,MIN(E14,240))),Reference!$A$6:$A$11,1))+1)-INDEX(Reference!$A$6:$A$11,MIN(5,MATCH(MAX(Reference!$A$6,MIN(Reference!$A$11,MIN(E14,240))),Reference!$A$6:$A$11,1))))),0)+IF(7&lt;=R14,(R14-7+3)*(INDEX(Reference!$B$6:$B$11,MIN(5,MATCH(MAX(Reference!$A$6,MIN(Reference!$A$11,MIN(E14,270))),Reference!$A$6:$A$11,1)))+(MAX(Reference!$A$6,MIN(Reference!$A$11,MIN(E14,270)))-INDEX(Reference!$A$6:$A$11,MIN(5,MATCH(MAX(Reference!$A$6,MIN(Reference!$A$11,MIN(E14,270))),Reference!$A$6:$A$11,1))))*(INDEX(Reference!$B$6:$B$11,MIN(5,MATCH(MAX(Reference!$A$6,MIN(Reference!$A$11,MIN(E14,270))),Reference!$A$6:$A$11,1))+1)-INDEX(Reference!$B$6:$B$11,MIN(5,MATCH(MAX(Reference!$A$6,MIN(Reference!$A$11,MIN(E14,270))),Reference!$A$6:$A$11,1))))/(INDEX(Reference!$A$6:$A$11,MIN(5,MATCH(MAX(Reference!$A$6,MIN(Reference!$A$11,MIN(E14,270))),Reference!$A$6:$A$11,1))+1)-INDEX(Reference!$A$6:$A$11,MIN(5,MATCH(MAX(Reference!$A$6,MIN(Reference!$A$11,MIN(E14,270))),Reference!$A$6:$A$11,1))))),0)+IF(8&lt;=R14,(R14-8+3)*(INDEX(Reference!$B$6:$B$11,MIN(5,MATCH(MAX(Reference!$A$6,MIN(Reference!$A$11,MIN(E14,300))),Reference!$A$6:$A$11,1)))+(MAX(Reference!$A$6,MIN(Reference!$A$11,MIN(E14,300)))-INDEX(Reference!$A$6:$A$11,MIN(5,MATCH(MAX(Reference!$A$6,MIN(Reference!$A$11,MIN(E14,300))),Reference!$A$6:$A$11,1))))*(INDEX(Reference!$B$6:$B$11,MIN(5,MATCH(MAX(Reference!$A$6,MIN(Reference!$A$11,MIN(E14,300))),Reference!$A$6:$A$11,1))+1)-INDEX(Reference!$B$6:$B$11,MIN(5,MATCH(MAX(Reference!$A$6,MIN(Reference!$A$11,MIN(E14,300))),Reference!$A$6:$A$11,1))))/(INDEX(Reference!$A$6:$A$11,MIN(5,MATCH(MAX(Reference!$A$6,MIN(Reference!$A$11,MIN(E14,300))),Reference!$A$6:$A$11,1))+1)-INDEX(Reference!$A$6:$A$11,MIN(5,MATCH(MAX(Reference!$A$6,MIN(Reference!$A$11,MIN(E14,300))),Reference!$A$6:$A$11,1))))),0))/(R14*(R14+5)/2)),(INDEX(Reference!$B$6:$B$11,MIN(5,MATCH(MAX(Reference!$A$6,MIN(Reference!$A$11,E14)),Reference!$A$6:$A$11,1)))+(MAX(Reference!$A$6,MIN(Reference!$A$11,E14))-INDEX(Reference!$A$6:$A$11,MIN(5,MATCH(MAX(Reference!$A$6,MIN(Reference!$A$11,E14)),Reference!$A$6:$A$11,1))))*(INDEX(Reference!$B$6:$B$11,MIN(5,MATCH(MAX(Reference!$A$6,MIN(Reference!$A$11,E14)),Reference!$A$6:$A$11,1))+1)-INDEX(Reference!$B$6:$B$11,MIN(5,MATCH(MAX(Reference!$A$6,MIN(Reference!$A$11,E14)),Reference!$A$6:$A$11,1))))/(INDEX(Reference!$A$6:$A$11,MIN(5,MATCH(MAX(Reference!$A$6,MIN(Reference!$A$11,E14)),Reference!$A$6:$A$11,1))+1)-INDEX(Reference!$A$6:$A$11,MIN(5,MATCH(MAX(Reference!$A$6,MIN(Reference!$A$11,E14)),Reference!$A$6:$A$11,1))))))))</f>
        <v>1.4714285714285715</v>
      </c>
      <c r="O14" s="32">
        <f>VLOOKUP(MAX(K14,0),Reference!$A$17:$B$20,2,TRUE())</f>
        <v>1</v>
      </c>
      <c r="P14" s="30">
        <f t="shared" si="4"/>
        <v>77.25</v>
      </c>
      <c r="Q14" s="47" t="str">
        <f t="shared" si="5"/>
        <v>90×30 · 120×23</v>
      </c>
      <c r="R14">
        <f t="shared" si="6"/>
        <v>2</v>
      </c>
    </row>
    <row r="15" spans="1:18" x14ac:dyDescent="0.3">
      <c r="A15" s="20" t="s">
        <v>83</v>
      </c>
      <c r="B15" s="20">
        <v>1</v>
      </c>
      <c r="C15" s="20">
        <v>2</v>
      </c>
      <c r="D15" s="20" t="s">
        <v>229</v>
      </c>
      <c r="E15" s="20">
        <v>60</v>
      </c>
      <c r="F15" s="20">
        <v>15</v>
      </c>
      <c r="G15" s="20">
        <v>20</v>
      </c>
      <c r="H15" s="30">
        <f t="shared" si="0"/>
        <v>17.5</v>
      </c>
      <c r="I15" s="20">
        <v>5</v>
      </c>
      <c r="J15" s="20">
        <v>7</v>
      </c>
      <c r="K15" s="30">
        <f t="shared" si="1"/>
        <v>6</v>
      </c>
      <c r="L15" s="32">
        <f t="shared" si="2"/>
        <v>81</v>
      </c>
      <c r="M15" s="32">
        <f t="shared" si="3"/>
        <v>83</v>
      </c>
      <c r="N15" s="46">
        <f>IF(OR(D15="Bullpen",D15="Game"),IFERROR(INDEX(Reference!$B$61:$B$62,MATCH(D15,Reference!$A$61:$A$62,0)),""),IF(E15="","",IF(R15&gt;1,((IF(1&lt;=R15,(R15-1+3)*(INDEX(Reference!$B$6:$B$11,MIN(5,MATCH(MAX(Reference!$A$6,MIN(Reference!$A$11,MIN(E15,90))),Reference!$A$6:$A$11,1)))+(MAX(Reference!$A$6,MIN(Reference!$A$11,MIN(E15,90)))-INDEX(Reference!$A$6:$A$11,MIN(5,MATCH(MAX(Reference!$A$6,MIN(Reference!$A$11,MIN(E15,90))),Reference!$A$6:$A$11,1))))*(INDEX(Reference!$B$6:$B$11,MIN(5,MATCH(MAX(Reference!$A$6,MIN(Reference!$A$11,MIN(E15,90))),Reference!$A$6:$A$11,1))+1)-INDEX(Reference!$B$6:$B$11,MIN(5,MATCH(MAX(Reference!$A$6,MIN(Reference!$A$11,MIN(E15,90))),Reference!$A$6:$A$11,1))))/(INDEX(Reference!$A$6:$A$11,MIN(5,MATCH(MAX(Reference!$A$6,MIN(Reference!$A$11,MIN(E15,90))),Reference!$A$6:$A$11,1))+1)-INDEX(Reference!$A$6:$A$11,MIN(5,MATCH(MAX(Reference!$A$6,MIN(Reference!$A$11,MIN(E15,90))),Reference!$A$6:$A$11,1))))),0)+IF(2&lt;=R15,(R15-2+3)*(INDEX(Reference!$B$6:$B$11,MIN(5,MATCH(MAX(Reference!$A$6,MIN(Reference!$A$11,MIN(E15,120))),Reference!$A$6:$A$11,1)))+(MAX(Reference!$A$6,MIN(Reference!$A$11,MIN(E15,120)))-INDEX(Reference!$A$6:$A$11,MIN(5,MATCH(MAX(Reference!$A$6,MIN(Reference!$A$11,MIN(E15,120))),Reference!$A$6:$A$11,1))))*(INDEX(Reference!$B$6:$B$11,MIN(5,MATCH(MAX(Reference!$A$6,MIN(Reference!$A$11,MIN(E15,120))),Reference!$A$6:$A$11,1))+1)-INDEX(Reference!$B$6:$B$11,MIN(5,MATCH(MAX(Reference!$A$6,MIN(Reference!$A$11,MIN(E15,120))),Reference!$A$6:$A$11,1))))/(INDEX(Reference!$A$6:$A$11,MIN(5,MATCH(MAX(Reference!$A$6,MIN(Reference!$A$11,MIN(E15,120))),Reference!$A$6:$A$11,1))+1)-INDEX(Reference!$A$6:$A$11,MIN(5,MATCH(MAX(Reference!$A$6,MIN(Reference!$A$11,MIN(E15,120))),Reference!$A$6:$A$11,1))))),0)+IF(3&lt;=R15,(R15-3+3)*(INDEX(Reference!$B$6:$B$11,MIN(5,MATCH(MAX(Reference!$A$6,MIN(Reference!$A$11,MIN(E15,150))),Reference!$A$6:$A$11,1)))+(MAX(Reference!$A$6,MIN(Reference!$A$11,MIN(E15,150)))-INDEX(Reference!$A$6:$A$11,MIN(5,MATCH(MAX(Reference!$A$6,MIN(Reference!$A$11,MIN(E15,150))),Reference!$A$6:$A$11,1))))*(INDEX(Reference!$B$6:$B$11,MIN(5,MATCH(MAX(Reference!$A$6,MIN(Reference!$A$11,MIN(E15,150))),Reference!$A$6:$A$11,1))+1)-INDEX(Reference!$B$6:$B$11,MIN(5,MATCH(MAX(Reference!$A$6,MIN(Reference!$A$11,MIN(E15,150))),Reference!$A$6:$A$11,1))))/(INDEX(Reference!$A$6:$A$11,MIN(5,MATCH(MAX(Reference!$A$6,MIN(Reference!$A$11,MIN(E15,150))),Reference!$A$6:$A$11,1))+1)-INDEX(Reference!$A$6:$A$11,MIN(5,MATCH(MAX(Reference!$A$6,MIN(Reference!$A$11,MIN(E15,150))),Reference!$A$6:$A$11,1))))),0)+IF(4&lt;=R15,(R15-4+3)*(INDEX(Reference!$B$6:$B$11,MIN(5,MATCH(MAX(Reference!$A$6,MIN(Reference!$A$11,MIN(E15,180))),Reference!$A$6:$A$11,1)))+(MAX(Reference!$A$6,MIN(Reference!$A$11,MIN(E15,180)))-INDEX(Reference!$A$6:$A$11,MIN(5,MATCH(MAX(Reference!$A$6,MIN(Reference!$A$11,MIN(E15,180))),Reference!$A$6:$A$11,1))))*(INDEX(Reference!$B$6:$B$11,MIN(5,MATCH(MAX(Reference!$A$6,MIN(Reference!$A$11,MIN(E15,180))),Reference!$A$6:$A$11,1))+1)-INDEX(Reference!$B$6:$B$11,MIN(5,MATCH(MAX(Reference!$A$6,MIN(Reference!$A$11,MIN(E15,180))),Reference!$A$6:$A$11,1))))/(INDEX(Reference!$A$6:$A$11,MIN(5,MATCH(MAX(Reference!$A$6,MIN(Reference!$A$11,MIN(E15,180))),Reference!$A$6:$A$11,1))+1)-INDEX(Reference!$A$6:$A$11,MIN(5,MATCH(MAX(Reference!$A$6,MIN(Reference!$A$11,MIN(E15,180))),Reference!$A$6:$A$11,1))))),0)+IF(5&lt;=R15,(R15-5+3)*(INDEX(Reference!$B$6:$B$11,MIN(5,MATCH(MAX(Reference!$A$6,MIN(Reference!$A$11,MIN(E15,210))),Reference!$A$6:$A$11,1)))+(MAX(Reference!$A$6,MIN(Reference!$A$11,MIN(E15,210)))-INDEX(Reference!$A$6:$A$11,MIN(5,MATCH(MAX(Reference!$A$6,MIN(Reference!$A$11,MIN(E15,210))),Reference!$A$6:$A$11,1))))*(INDEX(Reference!$B$6:$B$11,MIN(5,MATCH(MAX(Reference!$A$6,MIN(Reference!$A$11,MIN(E15,210))),Reference!$A$6:$A$11,1))+1)-INDEX(Reference!$B$6:$B$11,MIN(5,MATCH(MAX(Reference!$A$6,MIN(Reference!$A$11,MIN(E15,210))),Reference!$A$6:$A$11,1))))/(INDEX(Reference!$A$6:$A$11,MIN(5,MATCH(MAX(Reference!$A$6,MIN(Reference!$A$11,MIN(E15,210))),Reference!$A$6:$A$11,1))+1)-INDEX(Reference!$A$6:$A$11,MIN(5,MATCH(MAX(Reference!$A$6,MIN(Reference!$A$11,MIN(E15,210))),Reference!$A$6:$A$11,1))))),0)+IF(6&lt;=R15,(R15-6+3)*(INDEX(Reference!$B$6:$B$11,MIN(5,MATCH(MAX(Reference!$A$6,MIN(Reference!$A$11,MIN(E15,240))),Reference!$A$6:$A$11,1)))+(MAX(Reference!$A$6,MIN(Reference!$A$11,MIN(E15,240)))-INDEX(Reference!$A$6:$A$11,MIN(5,MATCH(MAX(Reference!$A$6,MIN(Reference!$A$11,MIN(E15,240))),Reference!$A$6:$A$11,1))))*(INDEX(Reference!$B$6:$B$11,MIN(5,MATCH(MAX(Reference!$A$6,MIN(Reference!$A$11,MIN(E15,240))),Reference!$A$6:$A$11,1))+1)-INDEX(Reference!$B$6:$B$11,MIN(5,MATCH(MAX(Reference!$A$6,MIN(Reference!$A$11,MIN(E15,240))),Reference!$A$6:$A$11,1))))/(INDEX(Reference!$A$6:$A$11,MIN(5,MATCH(MAX(Reference!$A$6,MIN(Reference!$A$11,MIN(E15,240))),Reference!$A$6:$A$11,1))+1)-INDEX(Reference!$A$6:$A$11,MIN(5,MATCH(MAX(Reference!$A$6,MIN(Reference!$A$11,MIN(E15,240))),Reference!$A$6:$A$11,1))))),0)+IF(7&lt;=R15,(R15-7+3)*(INDEX(Reference!$B$6:$B$11,MIN(5,MATCH(MAX(Reference!$A$6,MIN(Reference!$A$11,MIN(E15,270))),Reference!$A$6:$A$11,1)))+(MAX(Reference!$A$6,MIN(Reference!$A$11,MIN(E15,270)))-INDEX(Reference!$A$6:$A$11,MIN(5,MATCH(MAX(Reference!$A$6,MIN(Reference!$A$11,MIN(E15,270))),Reference!$A$6:$A$11,1))))*(INDEX(Reference!$B$6:$B$11,MIN(5,MATCH(MAX(Reference!$A$6,MIN(Reference!$A$11,MIN(E15,270))),Reference!$A$6:$A$11,1))+1)-INDEX(Reference!$B$6:$B$11,MIN(5,MATCH(MAX(Reference!$A$6,MIN(Reference!$A$11,MIN(E15,270))),Reference!$A$6:$A$11,1))))/(INDEX(Reference!$A$6:$A$11,MIN(5,MATCH(MAX(Reference!$A$6,MIN(Reference!$A$11,MIN(E15,270))),Reference!$A$6:$A$11,1))+1)-INDEX(Reference!$A$6:$A$11,MIN(5,MATCH(MAX(Reference!$A$6,MIN(Reference!$A$11,MIN(E15,270))),Reference!$A$6:$A$11,1))))),0)+IF(8&lt;=R15,(R15-8+3)*(INDEX(Reference!$B$6:$B$11,MIN(5,MATCH(MAX(Reference!$A$6,MIN(Reference!$A$11,MIN(E15,300))),Reference!$A$6:$A$11,1)))+(MAX(Reference!$A$6,MIN(Reference!$A$11,MIN(E15,300)))-INDEX(Reference!$A$6:$A$11,MIN(5,MATCH(MAX(Reference!$A$6,MIN(Reference!$A$11,MIN(E15,300))),Reference!$A$6:$A$11,1))))*(INDEX(Reference!$B$6:$B$11,MIN(5,MATCH(MAX(Reference!$A$6,MIN(Reference!$A$11,MIN(E15,300))),Reference!$A$6:$A$11,1))+1)-INDEX(Reference!$B$6:$B$11,MIN(5,MATCH(MAX(Reference!$A$6,MIN(Reference!$A$11,MIN(E15,300))),Reference!$A$6:$A$11,1))))/(INDEX(Reference!$A$6:$A$11,MIN(5,MATCH(MAX(Reference!$A$6,MIN(Reference!$A$11,MIN(E15,300))),Reference!$A$6:$A$11,1))+1)-INDEX(Reference!$A$6:$A$11,MIN(5,MATCH(MAX(Reference!$A$6,MIN(Reference!$A$11,MIN(E15,300))),Reference!$A$6:$A$11,1))))),0))/(R15*(R15+5)/2)),(INDEX(Reference!$B$6:$B$11,MIN(5,MATCH(MAX(Reference!$A$6,MIN(Reference!$A$11,E15)),Reference!$A$6:$A$11,1)))+(MAX(Reference!$A$6,MIN(Reference!$A$11,E15))-INDEX(Reference!$A$6:$A$11,MIN(5,MATCH(MAX(Reference!$A$6,MIN(Reference!$A$11,E15)),Reference!$A$6:$A$11,1))))*(INDEX(Reference!$B$6:$B$11,MIN(5,MATCH(MAX(Reference!$A$6,MIN(Reference!$A$11,E15)),Reference!$A$6:$A$11,1))+1)-INDEX(Reference!$B$6:$B$11,MIN(5,MATCH(MAX(Reference!$A$6,MIN(Reference!$A$11,E15)),Reference!$A$6:$A$11,1))))/(INDEX(Reference!$A$6:$A$11,MIN(5,MATCH(MAX(Reference!$A$6,MIN(Reference!$A$11,E15)),Reference!$A$6:$A$11,1))+1)-INDEX(Reference!$A$6:$A$11,MIN(5,MATCH(MAX(Reference!$A$6,MIN(Reference!$A$11,E15)),Reference!$A$6:$A$11,1))))))))</f>
        <v>1</v>
      </c>
      <c r="O15" s="32">
        <f>VLOOKUP(MAX(K15,0),Reference!$A$17:$B$20,2,TRUE())</f>
        <v>1.5</v>
      </c>
      <c r="P15" s="30">
        <f t="shared" si="4"/>
        <v>26.25</v>
      </c>
      <c r="Q15" s="47" t="str">
        <f t="shared" si="5"/>
        <v/>
      </c>
      <c r="R15">
        <f t="shared" si="6"/>
        <v>1</v>
      </c>
    </row>
    <row r="16" spans="1:18" x14ac:dyDescent="0.3">
      <c r="A16" s="20" t="s">
        <v>83</v>
      </c>
      <c r="B16" s="20">
        <v>2</v>
      </c>
      <c r="C16" s="20">
        <v>1</v>
      </c>
      <c r="D16" s="20" t="s">
        <v>51</v>
      </c>
      <c r="E16" s="20">
        <v>90</v>
      </c>
      <c r="F16" s="20">
        <v>30</v>
      </c>
      <c r="G16" s="20">
        <v>40</v>
      </c>
      <c r="H16" s="30">
        <f t="shared" si="0"/>
        <v>35</v>
      </c>
      <c r="I16" s="20">
        <v>7</v>
      </c>
      <c r="J16" s="20">
        <v>9</v>
      </c>
      <c r="K16" s="30">
        <f t="shared" si="1"/>
        <v>8</v>
      </c>
      <c r="L16" s="32">
        <f t="shared" si="2"/>
        <v>79</v>
      </c>
      <c r="M16" s="32">
        <f t="shared" si="3"/>
        <v>81</v>
      </c>
      <c r="N16" s="46">
        <f>IF(OR(D16="Bullpen",D16="Game"),IFERROR(INDEX(Reference!$B$61:$B$62,MATCH(D16,Reference!$A$61:$A$62,0)),""),IF(E16="","",IF(R16&gt;1,((IF(1&lt;=R16,(R16-1+3)*(INDEX(Reference!$B$6:$B$11,MIN(5,MATCH(MAX(Reference!$A$6,MIN(Reference!$A$11,MIN(E16,90))),Reference!$A$6:$A$11,1)))+(MAX(Reference!$A$6,MIN(Reference!$A$11,MIN(E16,90)))-INDEX(Reference!$A$6:$A$11,MIN(5,MATCH(MAX(Reference!$A$6,MIN(Reference!$A$11,MIN(E16,90))),Reference!$A$6:$A$11,1))))*(INDEX(Reference!$B$6:$B$11,MIN(5,MATCH(MAX(Reference!$A$6,MIN(Reference!$A$11,MIN(E16,90))),Reference!$A$6:$A$11,1))+1)-INDEX(Reference!$B$6:$B$11,MIN(5,MATCH(MAX(Reference!$A$6,MIN(Reference!$A$11,MIN(E16,90))),Reference!$A$6:$A$11,1))))/(INDEX(Reference!$A$6:$A$11,MIN(5,MATCH(MAX(Reference!$A$6,MIN(Reference!$A$11,MIN(E16,90))),Reference!$A$6:$A$11,1))+1)-INDEX(Reference!$A$6:$A$11,MIN(5,MATCH(MAX(Reference!$A$6,MIN(Reference!$A$11,MIN(E16,90))),Reference!$A$6:$A$11,1))))),0)+IF(2&lt;=R16,(R16-2+3)*(INDEX(Reference!$B$6:$B$11,MIN(5,MATCH(MAX(Reference!$A$6,MIN(Reference!$A$11,MIN(E16,120))),Reference!$A$6:$A$11,1)))+(MAX(Reference!$A$6,MIN(Reference!$A$11,MIN(E16,120)))-INDEX(Reference!$A$6:$A$11,MIN(5,MATCH(MAX(Reference!$A$6,MIN(Reference!$A$11,MIN(E16,120))),Reference!$A$6:$A$11,1))))*(INDEX(Reference!$B$6:$B$11,MIN(5,MATCH(MAX(Reference!$A$6,MIN(Reference!$A$11,MIN(E16,120))),Reference!$A$6:$A$11,1))+1)-INDEX(Reference!$B$6:$B$11,MIN(5,MATCH(MAX(Reference!$A$6,MIN(Reference!$A$11,MIN(E16,120))),Reference!$A$6:$A$11,1))))/(INDEX(Reference!$A$6:$A$11,MIN(5,MATCH(MAX(Reference!$A$6,MIN(Reference!$A$11,MIN(E16,120))),Reference!$A$6:$A$11,1))+1)-INDEX(Reference!$A$6:$A$11,MIN(5,MATCH(MAX(Reference!$A$6,MIN(Reference!$A$11,MIN(E16,120))),Reference!$A$6:$A$11,1))))),0)+IF(3&lt;=R16,(R16-3+3)*(INDEX(Reference!$B$6:$B$11,MIN(5,MATCH(MAX(Reference!$A$6,MIN(Reference!$A$11,MIN(E16,150))),Reference!$A$6:$A$11,1)))+(MAX(Reference!$A$6,MIN(Reference!$A$11,MIN(E16,150)))-INDEX(Reference!$A$6:$A$11,MIN(5,MATCH(MAX(Reference!$A$6,MIN(Reference!$A$11,MIN(E16,150))),Reference!$A$6:$A$11,1))))*(INDEX(Reference!$B$6:$B$11,MIN(5,MATCH(MAX(Reference!$A$6,MIN(Reference!$A$11,MIN(E16,150))),Reference!$A$6:$A$11,1))+1)-INDEX(Reference!$B$6:$B$11,MIN(5,MATCH(MAX(Reference!$A$6,MIN(Reference!$A$11,MIN(E16,150))),Reference!$A$6:$A$11,1))))/(INDEX(Reference!$A$6:$A$11,MIN(5,MATCH(MAX(Reference!$A$6,MIN(Reference!$A$11,MIN(E16,150))),Reference!$A$6:$A$11,1))+1)-INDEX(Reference!$A$6:$A$11,MIN(5,MATCH(MAX(Reference!$A$6,MIN(Reference!$A$11,MIN(E16,150))),Reference!$A$6:$A$11,1))))),0)+IF(4&lt;=R16,(R16-4+3)*(INDEX(Reference!$B$6:$B$11,MIN(5,MATCH(MAX(Reference!$A$6,MIN(Reference!$A$11,MIN(E16,180))),Reference!$A$6:$A$11,1)))+(MAX(Reference!$A$6,MIN(Reference!$A$11,MIN(E16,180)))-INDEX(Reference!$A$6:$A$11,MIN(5,MATCH(MAX(Reference!$A$6,MIN(Reference!$A$11,MIN(E16,180))),Reference!$A$6:$A$11,1))))*(INDEX(Reference!$B$6:$B$11,MIN(5,MATCH(MAX(Reference!$A$6,MIN(Reference!$A$11,MIN(E16,180))),Reference!$A$6:$A$11,1))+1)-INDEX(Reference!$B$6:$B$11,MIN(5,MATCH(MAX(Reference!$A$6,MIN(Reference!$A$11,MIN(E16,180))),Reference!$A$6:$A$11,1))))/(INDEX(Reference!$A$6:$A$11,MIN(5,MATCH(MAX(Reference!$A$6,MIN(Reference!$A$11,MIN(E16,180))),Reference!$A$6:$A$11,1))+1)-INDEX(Reference!$A$6:$A$11,MIN(5,MATCH(MAX(Reference!$A$6,MIN(Reference!$A$11,MIN(E16,180))),Reference!$A$6:$A$11,1))))),0)+IF(5&lt;=R16,(R16-5+3)*(INDEX(Reference!$B$6:$B$11,MIN(5,MATCH(MAX(Reference!$A$6,MIN(Reference!$A$11,MIN(E16,210))),Reference!$A$6:$A$11,1)))+(MAX(Reference!$A$6,MIN(Reference!$A$11,MIN(E16,210)))-INDEX(Reference!$A$6:$A$11,MIN(5,MATCH(MAX(Reference!$A$6,MIN(Reference!$A$11,MIN(E16,210))),Reference!$A$6:$A$11,1))))*(INDEX(Reference!$B$6:$B$11,MIN(5,MATCH(MAX(Reference!$A$6,MIN(Reference!$A$11,MIN(E16,210))),Reference!$A$6:$A$11,1))+1)-INDEX(Reference!$B$6:$B$11,MIN(5,MATCH(MAX(Reference!$A$6,MIN(Reference!$A$11,MIN(E16,210))),Reference!$A$6:$A$11,1))))/(INDEX(Reference!$A$6:$A$11,MIN(5,MATCH(MAX(Reference!$A$6,MIN(Reference!$A$11,MIN(E16,210))),Reference!$A$6:$A$11,1))+1)-INDEX(Reference!$A$6:$A$11,MIN(5,MATCH(MAX(Reference!$A$6,MIN(Reference!$A$11,MIN(E16,210))),Reference!$A$6:$A$11,1))))),0)+IF(6&lt;=R16,(R16-6+3)*(INDEX(Reference!$B$6:$B$11,MIN(5,MATCH(MAX(Reference!$A$6,MIN(Reference!$A$11,MIN(E16,240))),Reference!$A$6:$A$11,1)))+(MAX(Reference!$A$6,MIN(Reference!$A$11,MIN(E16,240)))-INDEX(Reference!$A$6:$A$11,MIN(5,MATCH(MAX(Reference!$A$6,MIN(Reference!$A$11,MIN(E16,240))),Reference!$A$6:$A$11,1))))*(INDEX(Reference!$B$6:$B$11,MIN(5,MATCH(MAX(Reference!$A$6,MIN(Reference!$A$11,MIN(E16,240))),Reference!$A$6:$A$11,1))+1)-INDEX(Reference!$B$6:$B$11,MIN(5,MATCH(MAX(Reference!$A$6,MIN(Reference!$A$11,MIN(E16,240))),Reference!$A$6:$A$11,1))))/(INDEX(Reference!$A$6:$A$11,MIN(5,MATCH(MAX(Reference!$A$6,MIN(Reference!$A$11,MIN(E16,240))),Reference!$A$6:$A$11,1))+1)-INDEX(Reference!$A$6:$A$11,MIN(5,MATCH(MAX(Reference!$A$6,MIN(Reference!$A$11,MIN(E16,240))),Reference!$A$6:$A$11,1))))),0)+IF(7&lt;=R16,(R16-7+3)*(INDEX(Reference!$B$6:$B$11,MIN(5,MATCH(MAX(Reference!$A$6,MIN(Reference!$A$11,MIN(E16,270))),Reference!$A$6:$A$11,1)))+(MAX(Reference!$A$6,MIN(Reference!$A$11,MIN(E16,270)))-INDEX(Reference!$A$6:$A$11,MIN(5,MATCH(MAX(Reference!$A$6,MIN(Reference!$A$11,MIN(E16,270))),Reference!$A$6:$A$11,1))))*(INDEX(Reference!$B$6:$B$11,MIN(5,MATCH(MAX(Reference!$A$6,MIN(Reference!$A$11,MIN(E16,270))),Reference!$A$6:$A$11,1))+1)-INDEX(Reference!$B$6:$B$11,MIN(5,MATCH(MAX(Reference!$A$6,MIN(Reference!$A$11,MIN(E16,270))),Reference!$A$6:$A$11,1))))/(INDEX(Reference!$A$6:$A$11,MIN(5,MATCH(MAX(Reference!$A$6,MIN(Reference!$A$11,MIN(E16,270))),Reference!$A$6:$A$11,1))+1)-INDEX(Reference!$A$6:$A$11,MIN(5,MATCH(MAX(Reference!$A$6,MIN(Reference!$A$11,MIN(E16,270))),Reference!$A$6:$A$11,1))))),0)+IF(8&lt;=R16,(R16-8+3)*(INDEX(Reference!$B$6:$B$11,MIN(5,MATCH(MAX(Reference!$A$6,MIN(Reference!$A$11,MIN(E16,300))),Reference!$A$6:$A$11,1)))+(MAX(Reference!$A$6,MIN(Reference!$A$11,MIN(E16,300)))-INDEX(Reference!$A$6:$A$11,MIN(5,MATCH(MAX(Reference!$A$6,MIN(Reference!$A$11,MIN(E16,300))),Reference!$A$6:$A$11,1))))*(INDEX(Reference!$B$6:$B$11,MIN(5,MATCH(MAX(Reference!$A$6,MIN(Reference!$A$11,MIN(E16,300))),Reference!$A$6:$A$11,1))+1)-INDEX(Reference!$B$6:$B$11,MIN(5,MATCH(MAX(Reference!$A$6,MIN(Reference!$A$11,MIN(E16,300))),Reference!$A$6:$A$11,1))))/(INDEX(Reference!$A$6:$A$11,MIN(5,MATCH(MAX(Reference!$A$6,MIN(Reference!$A$11,MIN(E16,300))),Reference!$A$6:$A$11,1))+1)-INDEX(Reference!$A$6:$A$11,MIN(5,MATCH(MAX(Reference!$A$6,MIN(Reference!$A$11,MIN(E16,300))),Reference!$A$6:$A$11,1))))),0))/(R16*(R16+5)/2)),(INDEX(Reference!$B$6:$B$11,MIN(5,MATCH(MAX(Reference!$A$6,MIN(Reference!$A$11,E16)),Reference!$A$6:$A$11,1)))+(MAX(Reference!$A$6,MIN(Reference!$A$11,E16))-INDEX(Reference!$A$6:$A$11,MIN(5,MATCH(MAX(Reference!$A$6,MIN(Reference!$A$11,E16)),Reference!$A$6:$A$11,1))))*(INDEX(Reference!$B$6:$B$11,MIN(5,MATCH(MAX(Reference!$A$6,MIN(Reference!$A$11,E16)),Reference!$A$6:$A$11,1))+1)-INDEX(Reference!$B$6:$B$11,MIN(5,MATCH(MAX(Reference!$A$6,MIN(Reference!$A$11,E16)),Reference!$A$6:$A$11,1))))/(INDEX(Reference!$A$6:$A$11,MIN(5,MATCH(MAX(Reference!$A$6,MIN(Reference!$A$11,E16)),Reference!$A$6:$A$11,1))+1)-INDEX(Reference!$A$6:$A$11,MIN(5,MATCH(MAX(Reference!$A$6,MIN(Reference!$A$11,E16)),Reference!$A$6:$A$11,1))))))))</f>
        <v>1.3</v>
      </c>
      <c r="O16" s="32">
        <f>VLOOKUP(MAX(K16,0),Reference!$A$17:$B$20,2,TRUE())</f>
        <v>1</v>
      </c>
      <c r="P16" s="30">
        <f t="shared" si="4"/>
        <v>45.5</v>
      </c>
      <c r="Q16" s="47" t="str">
        <f t="shared" si="5"/>
        <v/>
      </c>
      <c r="R16">
        <f t="shared" si="6"/>
        <v>1</v>
      </c>
    </row>
    <row r="17" spans="1:18" x14ac:dyDescent="0.3">
      <c r="A17" s="20" t="s">
        <v>83</v>
      </c>
      <c r="B17" s="20">
        <v>2</v>
      </c>
      <c r="C17" s="20">
        <v>2</v>
      </c>
      <c r="D17" s="20" t="s">
        <v>229</v>
      </c>
      <c r="E17" s="20">
        <v>60</v>
      </c>
      <c r="F17" s="20">
        <v>15</v>
      </c>
      <c r="G17" s="20">
        <v>20</v>
      </c>
      <c r="H17" s="30">
        <f t="shared" si="0"/>
        <v>17.5</v>
      </c>
      <c r="I17" s="20">
        <v>5</v>
      </c>
      <c r="J17" s="20">
        <v>7</v>
      </c>
      <c r="K17" s="30">
        <f t="shared" si="1"/>
        <v>6</v>
      </c>
      <c r="L17" s="32">
        <f t="shared" si="2"/>
        <v>81</v>
      </c>
      <c r="M17" s="32">
        <f t="shared" si="3"/>
        <v>83</v>
      </c>
      <c r="N17" s="46">
        <f>IF(OR(D17="Bullpen",D17="Game"),IFERROR(INDEX(Reference!$B$61:$B$62,MATCH(D17,Reference!$A$61:$A$62,0)),""),IF(E17="","",IF(R17&gt;1,((IF(1&lt;=R17,(R17-1+3)*(INDEX(Reference!$B$6:$B$11,MIN(5,MATCH(MAX(Reference!$A$6,MIN(Reference!$A$11,MIN(E17,90))),Reference!$A$6:$A$11,1)))+(MAX(Reference!$A$6,MIN(Reference!$A$11,MIN(E17,90)))-INDEX(Reference!$A$6:$A$11,MIN(5,MATCH(MAX(Reference!$A$6,MIN(Reference!$A$11,MIN(E17,90))),Reference!$A$6:$A$11,1))))*(INDEX(Reference!$B$6:$B$11,MIN(5,MATCH(MAX(Reference!$A$6,MIN(Reference!$A$11,MIN(E17,90))),Reference!$A$6:$A$11,1))+1)-INDEX(Reference!$B$6:$B$11,MIN(5,MATCH(MAX(Reference!$A$6,MIN(Reference!$A$11,MIN(E17,90))),Reference!$A$6:$A$11,1))))/(INDEX(Reference!$A$6:$A$11,MIN(5,MATCH(MAX(Reference!$A$6,MIN(Reference!$A$11,MIN(E17,90))),Reference!$A$6:$A$11,1))+1)-INDEX(Reference!$A$6:$A$11,MIN(5,MATCH(MAX(Reference!$A$6,MIN(Reference!$A$11,MIN(E17,90))),Reference!$A$6:$A$11,1))))),0)+IF(2&lt;=R17,(R17-2+3)*(INDEX(Reference!$B$6:$B$11,MIN(5,MATCH(MAX(Reference!$A$6,MIN(Reference!$A$11,MIN(E17,120))),Reference!$A$6:$A$11,1)))+(MAX(Reference!$A$6,MIN(Reference!$A$11,MIN(E17,120)))-INDEX(Reference!$A$6:$A$11,MIN(5,MATCH(MAX(Reference!$A$6,MIN(Reference!$A$11,MIN(E17,120))),Reference!$A$6:$A$11,1))))*(INDEX(Reference!$B$6:$B$11,MIN(5,MATCH(MAX(Reference!$A$6,MIN(Reference!$A$11,MIN(E17,120))),Reference!$A$6:$A$11,1))+1)-INDEX(Reference!$B$6:$B$11,MIN(5,MATCH(MAX(Reference!$A$6,MIN(Reference!$A$11,MIN(E17,120))),Reference!$A$6:$A$11,1))))/(INDEX(Reference!$A$6:$A$11,MIN(5,MATCH(MAX(Reference!$A$6,MIN(Reference!$A$11,MIN(E17,120))),Reference!$A$6:$A$11,1))+1)-INDEX(Reference!$A$6:$A$11,MIN(5,MATCH(MAX(Reference!$A$6,MIN(Reference!$A$11,MIN(E17,120))),Reference!$A$6:$A$11,1))))),0)+IF(3&lt;=R17,(R17-3+3)*(INDEX(Reference!$B$6:$B$11,MIN(5,MATCH(MAX(Reference!$A$6,MIN(Reference!$A$11,MIN(E17,150))),Reference!$A$6:$A$11,1)))+(MAX(Reference!$A$6,MIN(Reference!$A$11,MIN(E17,150)))-INDEX(Reference!$A$6:$A$11,MIN(5,MATCH(MAX(Reference!$A$6,MIN(Reference!$A$11,MIN(E17,150))),Reference!$A$6:$A$11,1))))*(INDEX(Reference!$B$6:$B$11,MIN(5,MATCH(MAX(Reference!$A$6,MIN(Reference!$A$11,MIN(E17,150))),Reference!$A$6:$A$11,1))+1)-INDEX(Reference!$B$6:$B$11,MIN(5,MATCH(MAX(Reference!$A$6,MIN(Reference!$A$11,MIN(E17,150))),Reference!$A$6:$A$11,1))))/(INDEX(Reference!$A$6:$A$11,MIN(5,MATCH(MAX(Reference!$A$6,MIN(Reference!$A$11,MIN(E17,150))),Reference!$A$6:$A$11,1))+1)-INDEX(Reference!$A$6:$A$11,MIN(5,MATCH(MAX(Reference!$A$6,MIN(Reference!$A$11,MIN(E17,150))),Reference!$A$6:$A$11,1))))),0)+IF(4&lt;=R17,(R17-4+3)*(INDEX(Reference!$B$6:$B$11,MIN(5,MATCH(MAX(Reference!$A$6,MIN(Reference!$A$11,MIN(E17,180))),Reference!$A$6:$A$11,1)))+(MAX(Reference!$A$6,MIN(Reference!$A$11,MIN(E17,180)))-INDEX(Reference!$A$6:$A$11,MIN(5,MATCH(MAX(Reference!$A$6,MIN(Reference!$A$11,MIN(E17,180))),Reference!$A$6:$A$11,1))))*(INDEX(Reference!$B$6:$B$11,MIN(5,MATCH(MAX(Reference!$A$6,MIN(Reference!$A$11,MIN(E17,180))),Reference!$A$6:$A$11,1))+1)-INDEX(Reference!$B$6:$B$11,MIN(5,MATCH(MAX(Reference!$A$6,MIN(Reference!$A$11,MIN(E17,180))),Reference!$A$6:$A$11,1))))/(INDEX(Reference!$A$6:$A$11,MIN(5,MATCH(MAX(Reference!$A$6,MIN(Reference!$A$11,MIN(E17,180))),Reference!$A$6:$A$11,1))+1)-INDEX(Reference!$A$6:$A$11,MIN(5,MATCH(MAX(Reference!$A$6,MIN(Reference!$A$11,MIN(E17,180))),Reference!$A$6:$A$11,1))))),0)+IF(5&lt;=R17,(R17-5+3)*(INDEX(Reference!$B$6:$B$11,MIN(5,MATCH(MAX(Reference!$A$6,MIN(Reference!$A$11,MIN(E17,210))),Reference!$A$6:$A$11,1)))+(MAX(Reference!$A$6,MIN(Reference!$A$11,MIN(E17,210)))-INDEX(Reference!$A$6:$A$11,MIN(5,MATCH(MAX(Reference!$A$6,MIN(Reference!$A$11,MIN(E17,210))),Reference!$A$6:$A$11,1))))*(INDEX(Reference!$B$6:$B$11,MIN(5,MATCH(MAX(Reference!$A$6,MIN(Reference!$A$11,MIN(E17,210))),Reference!$A$6:$A$11,1))+1)-INDEX(Reference!$B$6:$B$11,MIN(5,MATCH(MAX(Reference!$A$6,MIN(Reference!$A$11,MIN(E17,210))),Reference!$A$6:$A$11,1))))/(INDEX(Reference!$A$6:$A$11,MIN(5,MATCH(MAX(Reference!$A$6,MIN(Reference!$A$11,MIN(E17,210))),Reference!$A$6:$A$11,1))+1)-INDEX(Reference!$A$6:$A$11,MIN(5,MATCH(MAX(Reference!$A$6,MIN(Reference!$A$11,MIN(E17,210))),Reference!$A$6:$A$11,1))))),0)+IF(6&lt;=R17,(R17-6+3)*(INDEX(Reference!$B$6:$B$11,MIN(5,MATCH(MAX(Reference!$A$6,MIN(Reference!$A$11,MIN(E17,240))),Reference!$A$6:$A$11,1)))+(MAX(Reference!$A$6,MIN(Reference!$A$11,MIN(E17,240)))-INDEX(Reference!$A$6:$A$11,MIN(5,MATCH(MAX(Reference!$A$6,MIN(Reference!$A$11,MIN(E17,240))),Reference!$A$6:$A$11,1))))*(INDEX(Reference!$B$6:$B$11,MIN(5,MATCH(MAX(Reference!$A$6,MIN(Reference!$A$11,MIN(E17,240))),Reference!$A$6:$A$11,1))+1)-INDEX(Reference!$B$6:$B$11,MIN(5,MATCH(MAX(Reference!$A$6,MIN(Reference!$A$11,MIN(E17,240))),Reference!$A$6:$A$11,1))))/(INDEX(Reference!$A$6:$A$11,MIN(5,MATCH(MAX(Reference!$A$6,MIN(Reference!$A$11,MIN(E17,240))),Reference!$A$6:$A$11,1))+1)-INDEX(Reference!$A$6:$A$11,MIN(5,MATCH(MAX(Reference!$A$6,MIN(Reference!$A$11,MIN(E17,240))),Reference!$A$6:$A$11,1))))),0)+IF(7&lt;=R17,(R17-7+3)*(INDEX(Reference!$B$6:$B$11,MIN(5,MATCH(MAX(Reference!$A$6,MIN(Reference!$A$11,MIN(E17,270))),Reference!$A$6:$A$11,1)))+(MAX(Reference!$A$6,MIN(Reference!$A$11,MIN(E17,270)))-INDEX(Reference!$A$6:$A$11,MIN(5,MATCH(MAX(Reference!$A$6,MIN(Reference!$A$11,MIN(E17,270))),Reference!$A$6:$A$11,1))))*(INDEX(Reference!$B$6:$B$11,MIN(5,MATCH(MAX(Reference!$A$6,MIN(Reference!$A$11,MIN(E17,270))),Reference!$A$6:$A$11,1))+1)-INDEX(Reference!$B$6:$B$11,MIN(5,MATCH(MAX(Reference!$A$6,MIN(Reference!$A$11,MIN(E17,270))),Reference!$A$6:$A$11,1))))/(INDEX(Reference!$A$6:$A$11,MIN(5,MATCH(MAX(Reference!$A$6,MIN(Reference!$A$11,MIN(E17,270))),Reference!$A$6:$A$11,1))+1)-INDEX(Reference!$A$6:$A$11,MIN(5,MATCH(MAX(Reference!$A$6,MIN(Reference!$A$11,MIN(E17,270))),Reference!$A$6:$A$11,1))))),0)+IF(8&lt;=R17,(R17-8+3)*(INDEX(Reference!$B$6:$B$11,MIN(5,MATCH(MAX(Reference!$A$6,MIN(Reference!$A$11,MIN(E17,300))),Reference!$A$6:$A$11,1)))+(MAX(Reference!$A$6,MIN(Reference!$A$11,MIN(E17,300)))-INDEX(Reference!$A$6:$A$11,MIN(5,MATCH(MAX(Reference!$A$6,MIN(Reference!$A$11,MIN(E17,300))),Reference!$A$6:$A$11,1))))*(INDEX(Reference!$B$6:$B$11,MIN(5,MATCH(MAX(Reference!$A$6,MIN(Reference!$A$11,MIN(E17,300))),Reference!$A$6:$A$11,1))+1)-INDEX(Reference!$B$6:$B$11,MIN(5,MATCH(MAX(Reference!$A$6,MIN(Reference!$A$11,MIN(E17,300))),Reference!$A$6:$A$11,1))))/(INDEX(Reference!$A$6:$A$11,MIN(5,MATCH(MAX(Reference!$A$6,MIN(Reference!$A$11,MIN(E17,300))),Reference!$A$6:$A$11,1))+1)-INDEX(Reference!$A$6:$A$11,MIN(5,MATCH(MAX(Reference!$A$6,MIN(Reference!$A$11,MIN(E17,300))),Reference!$A$6:$A$11,1))))),0))/(R17*(R17+5)/2)),(INDEX(Reference!$B$6:$B$11,MIN(5,MATCH(MAX(Reference!$A$6,MIN(Reference!$A$11,E17)),Reference!$A$6:$A$11,1)))+(MAX(Reference!$A$6,MIN(Reference!$A$11,E17))-INDEX(Reference!$A$6:$A$11,MIN(5,MATCH(MAX(Reference!$A$6,MIN(Reference!$A$11,E17)),Reference!$A$6:$A$11,1))))*(INDEX(Reference!$B$6:$B$11,MIN(5,MATCH(MAX(Reference!$A$6,MIN(Reference!$A$11,E17)),Reference!$A$6:$A$11,1))+1)-INDEX(Reference!$B$6:$B$11,MIN(5,MATCH(MAX(Reference!$A$6,MIN(Reference!$A$11,E17)),Reference!$A$6:$A$11,1))))/(INDEX(Reference!$A$6:$A$11,MIN(5,MATCH(MAX(Reference!$A$6,MIN(Reference!$A$11,E17)),Reference!$A$6:$A$11,1))+1)-INDEX(Reference!$A$6:$A$11,MIN(5,MATCH(MAX(Reference!$A$6,MIN(Reference!$A$11,E17)),Reference!$A$6:$A$11,1))))))))</f>
        <v>1</v>
      </c>
      <c r="O17" s="32">
        <f>VLOOKUP(MAX(K17,0),Reference!$A$17:$B$20,2,TRUE())</f>
        <v>1.5</v>
      </c>
      <c r="P17" s="30">
        <f t="shared" si="4"/>
        <v>26.25</v>
      </c>
      <c r="Q17" s="47" t="str">
        <f t="shared" si="5"/>
        <v/>
      </c>
      <c r="R17">
        <f t="shared" si="6"/>
        <v>1</v>
      </c>
    </row>
    <row r="18" spans="1:18" x14ac:dyDescent="0.3">
      <c r="A18" s="20" t="s">
        <v>94</v>
      </c>
      <c r="B18" s="20">
        <v>1</v>
      </c>
      <c r="C18" s="20">
        <v>1</v>
      </c>
      <c r="D18" s="20" t="s">
        <v>50</v>
      </c>
      <c r="E18" s="20">
        <v>150</v>
      </c>
      <c r="F18" s="20">
        <v>40</v>
      </c>
      <c r="G18" s="20">
        <v>55</v>
      </c>
      <c r="H18" s="30">
        <f t="shared" si="0"/>
        <v>47.5</v>
      </c>
      <c r="I18" s="20">
        <v>7</v>
      </c>
      <c r="J18" s="20">
        <v>9</v>
      </c>
      <c r="K18" s="30">
        <f t="shared" si="1"/>
        <v>8</v>
      </c>
      <c r="L18" s="32">
        <f t="shared" si="2"/>
        <v>79</v>
      </c>
      <c r="M18" s="32">
        <f t="shared" si="3"/>
        <v>81</v>
      </c>
      <c r="N18" s="46">
        <f>IF(OR(D18="Bullpen",D18="Game"),IFERROR(INDEX(Reference!$B$61:$B$62,MATCH(D18,Reference!$A$61:$A$62,0)),""),IF(E18="","",IF(R18&gt;1,((IF(1&lt;=R18,(R18-1+3)*(INDEX(Reference!$B$6:$B$11,MIN(5,MATCH(MAX(Reference!$A$6,MIN(Reference!$A$11,MIN(E18,90))),Reference!$A$6:$A$11,1)))+(MAX(Reference!$A$6,MIN(Reference!$A$11,MIN(E18,90)))-INDEX(Reference!$A$6:$A$11,MIN(5,MATCH(MAX(Reference!$A$6,MIN(Reference!$A$11,MIN(E18,90))),Reference!$A$6:$A$11,1))))*(INDEX(Reference!$B$6:$B$11,MIN(5,MATCH(MAX(Reference!$A$6,MIN(Reference!$A$11,MIN(E18,90))),Reference!$A$6:$A$11,1))+1)-INDEX(Reference!$B$6:$B$11,MIN(5,MATCH(MAX(Reference!$A$6,MIN(Reference!$A$11,MIN(E18,90))),Reference!$A$6:$A$11,1))))/(INDEX(Reference!$A$6:$A$11,MIN(5,MATCH(MAX(Reference!$A$6,MIN(Reference!$A$11,MIN(E18,90))),Reference!$A$6:$A$11,1))+1)-INDEX(Reference!$A$6:$A$11,MIN(5,MATCH(MAX(Reference!$A$6,MIN(Reference!$A$11,MIN(E18,90))),Reference!$A$6:$A$11,1))))),0)+IF(2&lt;=R18,(R18-2+3)*(INDEX(Reference!$B$6:$B$11,MIN(5,MATCH(MAX(Reference!$A$6,MIN(Reference!$A$11,MIN(E18,120))),Reference!$A$6:$A$11,1)))+(MAX(Reference!$A$6,MIN(Reference!$A$11,MIN(E18,120)))-INDEX(Reference!$A$6:$A$11,MIN(5,MATCH(MAX(Reference!$A$6,MIN(Reference!$A$11,MIN(E18,120))),Reference!$A$6:$A$11,1))))*(INDEX(Reference!$B$6:$B$11,MIN(5,MATCH(MAX(Reference!$A$6,MIN(Reference!$A$11,MIN(E18,120))),Reference!$A$6:$A$11,1))+1)-INDEX(Reference!$B$6:$B$11,MIN(5,MATCH(MAX(Reference!$A$6,MIN(Reference!$A$11,MIN(E18,120))),Reference!$A$6:$A$11,1))))/(INDEX(Reference!$A$6:$A$11,MIN(5,MATCH(MAX(Reference!$A$6,MIN(Reference!$A$11,MIN(E18,120))),Reference!$A$6:$A$11,1))+1)-INDEX(Reference!$A$6:$A$11,MIN(5,MATCH(MAX(Reference!$A$6,MIN(Reference!$A$11,MIN(E18,120))),Reference!$A$6:$A$11,1))))),0)+IF(3&lt;=R18,(R18-3+3)*(INDEX(Reference!$B$6:$B$11,MIN(5,MATCH(MAX(Reference!$A$6,MIN(Reference!$A$11,MIN(E18,150))),Reference!$A$6:$A$11,1)))+(MAX(Reference!$A$6,MIN(Reference!$A$11,MIN(E18,150)))-INDEX(Reference!$A$6:$A$11,MIN(5,MATCH(MAX(Reference!$A$6,MIN(Reference!$A$11,MIN(E18,150))),Reference!$A$6:$A$11,1))))*(INDEX(Reference!$B$6:$B$11,MIN(5,MATCH(MAX(Reference!$A$6,MIN(Reference!$A$11,MIN(E18,150))),Reference!$A$6:$A$11,1))+1)-INDEX(Reference!$B$6:$B$11,MIN(5,MATCH(MAX(Reference!$A$6,MIN(Reference!$A$11,MIN(E18,150))),Reference!$A$6:$A$11,1))))/(INDEX(Reference!$A$6:$A$11,MIN(5,MATCH(MAX(Reference!$A$6,MIN(Reference!$A$11,MIN(E18,150))),Reference!$A$6:$A$11,1))+1)-INDEX(Reference!$A$6:$A$11,MIN(5,MATCH(MAX(Reference!$A$6,MIN(Reference!$A$11,MIN(E18,150))),Reference!$A$6:$A$11,1))))),0)+IF(4&lt;=R18,(R18-4+3)*(INDEX(Reference!$B$6:$B$11,MIN(5,MATCH(MAX(Reference!$A$6,MIN(Reference!$A$11,MIN(E18,180))),Reference!$A$6:$A$11,1)))+(MAX(Reference!$A$6,MIN(Reference!$A$11,MIN(E18,180)))-INDEX(Reference!$A$6:$A$11,MIN(5,MATCH(MAX(Reference!$A$6,MIN(Reference!$A$11,MIN(E18,180))),Reference!$A$6:$A$11,1))))*(INDEX(Reference!$B$6:$B$11,MIN(5,MATCH(MAX(Reference!$A$6,MIN(Reference!$A$11,MIN(E18,180))),Reference!$A$6:$A$11,1))+1)-INDEX(Reference!$B$6:$B$11,MIN(5,MATCH(MAX(Reference!$A$6,MIN(Reference!$A$11,MIN(E18,180))),Reference!$A$6:$A$11,1))))/(INDEX(Reference!$A$6:$A$11,MIN(5,MATCH(MAX(Reference!$A$6,MIN(Reference!$A$11,MIN(E18,180))),Reference!$A$6:$A$11,1))+1)-INDEX(Reference!$A$6:$A$11,MIN(5,MATCH(MAX(Reference!$A$6,MIN(Reference!$A$11,MIN(E18,180))),Reference!$A$6:$A$11,1))))),0)+IF(5&lt;=R18,(R18-5+3)*(INDEX(Reference!$B$6:$B$11,MIN(5,MATCH(MAX(Reference!$A$6,MIN(Reference!$A$11,MIN(E18,210))),Reference!$A$6:$A$11,1)))+(MAX(Reference!$A$6,MIN(Reference!$A$11,MIN(E18,210)))-INDEX(Reference!$A$6:$A$11,MIN(5,MATCH(MAX(Reference!$A$6,MIN(Reference!$A$11,MIN(E18,210))),Reference!$A$6:$A$11,1))))*(INDEX(Reference!$B$6:$B$11,MIN(5,MATCH(MAX(Reference!$A$6,MIN(Reference!$A$11,MIN(E18,210))),Reference!$A$6:$A$11,1))+1)-INDEX(Reference!$B$6:$B$11,MIN(5,MATCH(MAX(Reference!$A$6,MIN(Reference!$A$11,MIN(E18,210))),Reference!$A$6:$A$11,1))))/(INDEX(Reference!$A$6:$A$11,MIN(5,MATCH(MAX(Reference!$A$6,MIN(Reference!$A$11,MIN(E18,210))),Reference!$A$6:$A$11,1))+1)-INDEX(Reference!$A$6:$A$11,MIN(5,MATCH(MAX(Reference!$A$6,MIN(Reference!$A$11,MIN(E18,210))),Reference!$A$6:$A$11,1))))),0)+IF(6&lt;=R18,(R18-6+3)*(INDEX(Reference!$B$6:$B$11,MIN(5,MATCH(MAX(Reference!$A$6,MIN(Reference!$A$11,MIN(E18,240))),Reference!$A$6:$A$11,1)))+(MAX(Reference!$A$6,MIN(Reference!$A$11,MIN(E18,240)))-INDEX(Reference!$A$6:$A$11,MIN(5,MATCH(MAX(Reference!$A$6,MIN(Reference!$A$11,MIN(E18,240))),Reference!$A$6:$A$11,1))))*(INDEX(Reference!$B$6:$B$11,MIN(5,MATCH(MAX(Reference!$A$6,MIN(Reference!$A$11,MIN(E18,240))),Reference!$A$6:$A$11,1))+1)-INDEX(Reference!$B$6:$B$11,MIN(5,MATCH(MAX(Reference!$A$6,MIN(Reference!$A$11,MIN(E18,240))),Reference!$A$6:$A$11,1))))/(INDEX(Reference!$A$6:$A$11,MIN(5,MATCH(MAX(Reference!$A$6,MIN(Reference!$A$11,MIN(E18,240))),Reference!$A$6:$A$11,1))+1)-INDEX(Reference!$A$6:$A$11,MIN(5,MATCH(MAX(Reference!$A$6,MIN(Reference!$A$11,MIN(E18,240))),Reference!$A$6:$A$11,1))))),0)+IF(7&lt;=R18,(R18-7+3)*(INDEX(Reference!$B$6:$B$11,MIN(5,MATCH(MAX(Reference!$A$6,MIN(Reference!$A$11,MIN(E18,270))),Reference!$A$6:$A$11,1)))+(MAX(Reference!$A$6,MIN(Reference!$A$11,MIN(E18,270)))-INDEX(Reference!$A$6:$A$11,MIN(5,MATCH(MAX(Reference!$A$6,MIN(Reference!$A$11,MIN(E18,270))),Reference!$A$6:$A$11,1))))*(INDEX(Reference!$B$6:$B$11,MIN(5,MATCH(MAX(Reference!$A$6,MIN(Reference!$A$11,MIN(E18,270))),Reference!$A$6:$A$11,1))+1)-INDEX(Reference!$B$6:$B$11,MIN(5,MATCH(MAX(Reference!$A$6,MIN(Reference!$A$11,MIN(E18,270))),Reference!$A$6:$A$11,1))))/(INDEX(Reference!$A$6:$A$11,MIN(5,MATCH(MAX(Reference!$A$6,MIN(Reference!$A$11,MIN(E18,270))),Reference!$A$6:$A$11,1))+1)-INDEX(Reference!$A$6:$A$11,MIN(5,MATCH(MAX(Reference!$A$6,MIN(Reference!$A$11,MIN(E18,270))),Reference!$A$6:$A$11,1))))),0)+IF(8&lt;=R18,(R18-8+3)*(INDEX(Reference!$B$6:$B$11,MIN(5,MATCH(MAX(Reference!$A$6,MIN(Reference!$A$11,MIN(E18,300))),Reference!$A$6:$A$11,1)))+(MAX(Reference!$A$6,MIN(Reference!$A$11,MIN(E18,300)))-INDEX(Reference!$A$6:$A$11,MIN(5,MATCH(MAX(Reference!$A$6,MIN(Reference!$A$11,MIN(E18,300))),Reference!$A$6:$A$11,1))))*(INDEX(Reference!$B$6:$B$11,MIN(5,MATCH(MAX(Reference!$A$6,MIN(Reference!$A$11,MIN(E18,300))),Reference!$A$6:$A$11,1))+1)-INDEX(Reference!$B$6:$B$11,MIN(5,MATCH(MAX(Reference!$A$6,MIN(Reference!$A$11,MIN(E18,300))),Reference!$A$6:$A$11,1))))/(INDEX(Reference!$A$6:$A$11,MIN(5,MATCH(MAX(Reference!$A$6,MIN(Reference!$A$11,MIN(E18,300))),Reference!$A$6:$A$11,1))+1)-INDEX(Reference!$A$6:$A$11,MIN(5,MATCH(MAX(Reference!$A$6,MIN(Reference!$A$11,MIN(E18,300))),Reference!$A$6:$A$11,1))))),0))/(R18*(R18+5)/2)),(INDEX(Reference!$B$6:$B$11,MIN(5,MATCH(MAX(Reference!$A$6,MIN(Reference!$A$11,E18)),Reference!$A$6:$A$11,1)))+(MAX(Reference!$A$6,MIN(Reference!$A$11,E18))-INDEX(Reference!$A$6:$A$11,MIN(5,MATCH(MAX(Reference!$A$6,MIN(Reference!$A$11,E18)),Reference!$A$6:$A$11,1))))*(INDEX(Reference!$B$6:$B$11,MIN(5,MATCH(MAX(Reference!$A$6,MIN(Reference!$A$11,E18)),Reference!$A$6:$A$11,1))+1)-INDEX(Reference!$B$6:$B$11,MIN(5,MATCH(MAX(Reference!$A$6,MIN(Reference!$A$11,E18)),Reference!$A$6:$A$11,1))))/(INDEX(Reference!$A$6:$A$11,MIN(5,MATCH(MAX(Reference!$A$6,MIN(Reference!$A$11,E18)),Reference!$A$6:$A$11,1))+1)-INDEX(Reference!$A$6:$A$11,MIN(5,MATCH(MAX(Reference!$A$6,MIN(Reference!$A$11,E18)),Reference!$A$6:$A$11,1))))))))</f>
        <v>1.6583333333333334</v>
      </c>
      <c r="O18" s="32">
        <f>VLOOKUP(MAX(K18,0),Reference!$A$17:$B$20,2,TRUE())</f>
        <v>1</v>
      </c>
      <c r="P18" s="30">
        <f t="shared" si="4"/>
        <v>78.770833333333343</v>
      </c>
      <c r="Q18" s="47" t="str">
        <f t="shared" si="5"/>
        <v>90×20 · 120×16 · 150×12</v>
      </c>
      <c r="R18">
        <f t="shared" si="6"/>
        <v>3</v>
      </c>
    </row>
    <row r="19" spans="1:18" x14ac:dyDescent="0.3">
      <c r="A19" s="20" t="s">
        <v>94</v>
      </c>
      <c r="B19" s="20">
        <v>1</v>
      </c>
      <c r="C19" s="20">
        <v>2</v>
      </c>
      <c r="D19" s="20" t="s">
        <v>51</v>
      </c>
      <c r="E19" s="20">
        <v>120</v>
      </c>
      <c r="F19" s="20">
        <v>20</v>
      </c>
      <c r="G19" s="20">
        <v>30</v>
      </c>
      <c r="H19" s="30">
        <f t="shared" si="0"/>
        <v>25</v>
      </c>
      <c r="I19" s="20">
        <v>0</v>
      </c>
      <c r="J19" s="20">
        <v>3</v>
      </c>
      <c r="K19" s="30">
        <f t="shared" si="1"/>
        <v>1.5</v>
      </c>
      <c r="L19" s="32">
        <f t="shared" si="2"/>
        <v>85</v>
      </c>
      <c r="M19" s="32">
        <f t="shared" si="3"/>
        <v>88</v>
      </c>
      <c r="N19" s="46">
        <f>IF(OR(D19="Bullpen",D19="Game"),IFERROR(INDEX(Reference!$B$61:$B$62,MATCH(D19,Reference!$A$61:$A$62,0)),""),IF(E19="","",IF(R19&gt;1,((IF(1&lt;=R19,(R19-1+3)*(INDEX(Reference!$B$6:$B$11,MIN(5,MATCH(MAX(Reference!$A$6,MIN(Reference!$A$11,MIN(E19,90))),Reference!$A$6:$A$11,1)))+(MAX(Reference!$A$6,MIN(Reference!$A$11,MIN(E19,90)))-INDEX(Reference!$A$6:$A$11,MIN(5,MATCH(MAX(Reference!$A$6,MIN(Reference!$A$11,MIN(E19,90))),Reference!$A$6:$A$11,1))))*(INDEX(Reference!$B$6:$B$11,MIN(5,MATCH(MAX(Reference!$A$6,MIN(Reference!$A$11,MIN(E19,90))),Reference!$A$6:$A$11,1))+1)-INDEX(Reference!$B$6:$B$11,MIN(5,MATCH(MAX(Reference!$A$6,MIN(Reference!$A$11,MIN(E19,90))),Reference!$A$6:$A$11,1))))/(INDEX(Reference!$A$6:$A$11,MIN(5,MATCH(MAX(Reference!$A$6,MIN(Reference!$A$11,MIN(E19,90))),Reference!$A$6:$A$11,1))+1)-INDEX(Reference!$A$6:$A$11,MIN(5,MATCH(MAX(Reference!$A$6,MIN(Reference!$A$11,MIN(E19,90))),Reference!$A$6:$A$11,1))))),0)+IF(2&lt;=R19,(R19-2+3)*(INDEX(Reference!$B$6:$B$11,MIN(5,MATCH(MAX(Reference!$A$6,MIN(Reference!$A$11,MIN(E19,120))),Reference!$A$6:$A$11,1)))+(MAX(Reference!$A$6,MIN(Reference!$A$11,MIN(E19,120)))-INDEX(Reference!$A$6:$A$11,MIN(5,MATCH(MAX(Reference!$A$6,MIN(Reference!$A$11,MIN(E19,120))),Reference!$A$6:$A$11,1))))*(INDEX(Reference!$B$6:$B$11,MIN(5,MATCH(MAX(Reference!$A$6,MIN(Reference!$A$11,MIN(E19,120))),Reference!$A$6:$A$11,1))+1)-INDEX(Reference!$B$6:$B$11,MIN(5,MATCH(MAX(Reference!$A$6,MIN(Reference!$A$11,MIN(E19,120))),Reference!$A$6:$A$11,1))))/(INDEX(Reference!$A$6:$A$11,MIN(5,MATCH(MAX(Reference!$A$6,MIN(Reference!$A$11,MIN(E19,120))),Reference!$A$6:$A$11,1))+1)-INDEX(Reference!$A$6:$A$11,MIN(5,MATCH(MAX(Reference!$A$6,MIN(Reference!$A$11,MIN(E19,120))),Reference!$A$6:$A$11,1))))),0)+IF(3&lt;=R19,(R19-3+3)*(INDEX(Reference!$B$6:$B$11,MIN(5,MATCH(MAX(Reference!$A$6,MIN(Reference!$A$11,MIN(E19,150))),Reference!$A$6:$A$11,1)))+(MAX(Reference!$A$6,MIN(Reference!$A$11,MIN(E19,150)))-INDEX(Reference!$A$6:$A$11,MIN(5,MATCH(MAX(Reference!$A$6,MIN(Reference!$A$11,MIN(E19,150))),Reference!$A$6:$A$11,1))))*(INDEX(Reference!$B$6:$B$11,MIN(5,MATCH(MAX(Reference!$A$6,MIN(Reference!$A$11,MIN(E19,150))),Reference!$A$6:$A$11,1))+1)-INDEX(Reference!$B$6:$B$11,MIN(5,MATCH(MAX(Reference!$A$6,MIN(Reference!$A$11,MIN(E19,150))),Reference!$A$6:$A$11,1))))/(INDEX(Reference!$A$6:$A$11,MIN(5,MATCH(MAX(Reference!$A$6,MIN(Reference!$A$11,MIN(E19,150))),Reference!$A$6:$A$11,1))+1)-INDEX(Reference!$A$6:$A$11,MIN(5,MATCH(MAX(Reference!$A$6,MIN(Reference!$A$11,MIN(E19,150))),Reference!$A$6:$A$11,1))))),0)+IF(4&lt;=R19,(R19-4+3)*(INDEX(Reference!$B$6:$B$11,MIN(5,MATCH(MAX(Reference!$A$6,MIN(Reference!$A$11,MIN(E19,180))),Reference!$A$6:$A$11,1)))+(MAX(Reference!$A$6,MIN(Reference!$A$11,MIN(E19,180)))-INDEX(Reference!$A$6:$A$11,MIN(5,MATCH(MAX(Reference!$A$6,MIN(Reference!$A$11,MIN(E19,180))),Reference!$A$6:$A$11,1))))*(INDEX(Reference!$B$6:$B$11,MIN(5,MATCH(MAX(Reference!$A$6,MIN(Reference!$A$11,MIN(E19,180))),Reference!$A$6:$A$11,1))+1)-INDEX(Reference!$B$6:$B$11,MIN(5,MATCH(MAX(Reference!$A$6,MIN(Reference!$A$11,MIN(E19,180))),Reference!$A$6:$A$11,1))))/(INDEX(Reference!$A$6:$A$11,MIN(5,MATCH(MAX(Reference!$A$6,MIN(Reference!$A$11,MIN(E19,180))),Reference!$A$6:$A$11,1))+1)-INDEX(Reference!$A$6:$A$11,MIN(5,MATCH(MAX(Reference!$A$6,MIN(Reference!$A$11,MIN(E19,180))),Reference!$A$6:$A$11,1))))),0)+IF(5&lt;=R19,(R19-5+3)*(INDEX(Reference!$B$6:$B$11,MIN(5,MATCH(MAX(Reference!$A$6,MIN(Reference!$A$11,MIN(E19,210))),Reference!$A$6:$A$11,1)))+(MAX(Reference!$A$6,MIN(Reference!$A$11,MIN(E19,210)))-INDEX(Reference!$A$6:$A$11,MIN(5,MATCH(MAX(Reference!$A$6,MIN(Reference!$A$11,MIN(E19,210))),Reference!$A$6:$A$11,1))))*(INDEX(Reference!$B$6:$B$11,MIN(5,MATCH(MAX(Reference!$A$6,MIN(Reference!$A$11,MIN(E19,210))),Reference!$A$6:$A$11,1))+1)-INDEX(Reference!$B$6:$B$11,MIN(5,MATCH(MAX(Reference!$A$6,MIN(Reference!$A$11,MIN(E19,210))),Reference!$A$6:$A$11,1))))/(INDEX(Reference!$A$6:$A$11,MIN(5,MATCH(MAX(Reference!$A$6,MIN(Reference!$A$11,MIN(E19,210))),Reference!$A$6:$A$11,1))+1)-INDEX(Reference!$A$6:$A$11,MIN(5,MATCH(MAX(Reference!$A$6,MIN(Reference!$A$11,MIN(E19,210))),Reference!$A$6:$A$11,1))))),0)+IF(6&lt;=R19,(R19-6+3)*(INDEX(Reference!$B$6:$B$11,MIN(5,MATCH(MAX(Reference!$A$6,MIN(Reference!$A$11,MIN(E19,240))),Reference!$A$6:$A$11,1)))+(MAX(Reference!$A$6,MIN(Reference!$A$11,MIN(E19,240)))-INDEX(Reference!$A$6:$A$11,MIN(5,MATCH(MAX(Reference!$A$6,MIN(Reference!$A$11,MIN(E19,240))),Reference!$A$6:$A$11,1))))*(INDEX(Reference!$B$6:$B$11,MIN(5,MATCH(MAX(Reference!$A$6,MIN(Reference!$A$11,MIN(E19,240))),Reference!$A$6:$A$11,1))+1)-INDEX(Reference!$B$6:$B$11,MIN(5,MATCH(MAX(Reference!$A$6,MIN(Reference!$A$11,MIN(E19,240))),Reference!$A$6:$A$11,1))))/(INDEX(Reference!$A$6:$A$11,MIN(5,MATCH(MAX(Reference!$A$6,MIN(Reference!$A$11,MIN(E19,240))),Reference!$A$6:$A$11,1))+1)-INDEX(Reference!$A$6:$A$11,MIN(5,MATCH(MAX(Reference!$A$6,MIN(Reference!$A$11,MIN(E19,240))),Reference!$A$6:$A$11,1))))),0)+IF(7&lt;=R19,(R19-7+3)*(INDEX(Reference!$B$6:$B$11,MIN(5,MATCH(MAX(Reference!$A$6,MIN(Reference!$A$11,MIN(E19,270))),Reference!$A$6:$A$11,1)))+(MAX(Reference!$A$6,MIN(Reference!$A$11,MIN(E19,270)))-INDEX(Reference!$A$6:$A$11,MIN(5,MATCH(MAX(Reference!$A$6,MIN(Reference!$A$11,MIN(E19,270))),Reference!$A$6:$A$11,1))))*(INDEX(Reference!$B$6:$B$11,MIN(5,MATCH(MAX(Reference!$A$6,MIN(Reference!$A$11,MIN(E19,270))),Reference!$A$6:$A$11,1))+1)-INDEX(Reference!$B$6:$B$11,MIN(5,MATCH(MAX(Reference!$A$6,MIN(Reference!$A$11,MIN(E19,270))),Reference!$A$6:$A$11,1))))/(INDEX(Reference!$A$6:$A$11,MIN(5,MATCH(MAX(Reference!$A$6,MIN(Reference!$A$11,MIN(E19,270))),Reference!$A$6:$A$11,1))+1)-INDEX(Reference!$A$6:$A$11,MIN(5,MATCH(MAX(Reference!$A$6,MIN(Reference!$A$11,MIN(E19,270))),Reference!$A$6:$A$11,1))))),0)+IF(8&lt;=R19,(R19-8+3)*(INDEX(Reference!$B$6:$B$11,MIN(5,MATCH(MAX(Reference!$A$6,MIN(Reference!$A$11,MIN(E19,300))),Reference!$A$6:$A$11,1)))+(MAX(Reference!$A$6,MIN(Reference!$A$11,MIN(E19,300)))-INDEX(Reference!$A$6:$A$11,MIN(5,MATCH(MAX(Reference!$A$6,MIN(Reference!$A$11,MIN(E19,300))),Reference!$A$6:$A$11,1))))*(INDEX(Reference!$B$6:$B$11,MIN(5,MATCH(MAX(Reference!$A$6,MIN(Reference!$A$11,MIN(E19,300))),Reference!$A$6:$A$11,1))+1)-INDEX(Reference!$B$6:$B$11,MIN(5,MATCH(MAX(Reference!$A$6,MIN(Reference!$A$11,MIN(E19,300))),Reference!$A$6:$A$11,1))))/(INDEX(Reference!$A$6:$A$11,MIN(5,MATCH(MAX(Reference!$A$6,MIN(Reference!$A$11,MIN(E19,300))),Reference!$A$6:$A$11,1))+1)-INDEX(Reference!$A$6:$A$11,MIN(5,MATCH(MAX(Reference!$A$6,MIN(Reference!$A$11,MIN(E19,300))),Reference!$A$6:$A$11,1))))),0))/(R19*(R19+5)/2)),(INDEX(Reference!$B$6:$B$11,MIN(5,MATCH(MAX(Reference!$A$6,MIN(Reference!$A$11,E19)),Reference!$A$6:$A$11,1)))+(MAX(Reference!$A$6,MIN(Reference!$A$11,E19))-INDEX(Reference!$A$6:$A$11,MIN(5,MATCH(MAX(Reference!$A$6,MIN(Reference!$A$11,E19)),Reference!$A$6:$A$11,1))))*(INDEX(Reference!$B$6:$B$11,MIN(5,MATCH(MAX(Reference!$A$6,MIN(Reference!$A$11,E19)),Reference!$A$6:$A$11,1))+1)-INDEX(Reference!$B$6:$B$11,MIN(5,MATCH(MAX(Reference!$A$6,MIN(Reference!$A$11,E19)),Reference!$A$6:$A$11,1))))/(INDEX(Reference!$A$6:$A$11,MIN(5,MATCH(MAX(Reference!$A$6,MIN(Reference!$A$11,E19)),Reference!$A$6:$A$11,1))+1)-INDEX(Reference!$A$6:$A$11,MIN(5,MATCH(MAX(Reference!$A$6,MIN(Reference!$A$11,E19)),Reference!$A$6:$A$11,1))))))))</f>
        <v>1.7</v>
      </c>
      <c r="O19" s="32">
        <f>VLOOKUP(MAX(K19,0),Reference!$A$17:$B$20,2,TRUE())</f>
        <v>2</v>
      </c>
      <c r="P19" s="30">
        <f t="shared" si="4"/>
        <v>85</v>
      </c>
      <c r="Q19" s="47" t="str">
        <f t="shared" si="5"/>
        <v/>
      </c>
      <c r="R19">
        <f t="shared" si="6"/>
        <v>1</v>
      </c>
    </row>
    <row r="20" spans="1:18" x14ac:dyDescent="0.3">
      <c r="A20" s="20" t="s">
        <v>94</v>
      </c>
      <c r="B20" s="20">
        <v>1</v>
      </c>
      <c r="C20" s="20">
        <v>3</v>
      </c>
      <c r="D20" s="20" t="s">
        <v>229</v>
      </c>
      <c r="E20" s="20">
        <v>60</v>
      </c>
      <c r="F20" s="20">
        <v>15</v>
      </c>
      <c r="G20" s="20">
        <v>20</v>
      </c>
      <c r="H20" s="30">
        <f t="shared" si="0"/>
        <v>17.5</v>
      </c>
      <c r="I20" s="20">
        <v>4</v>
      </c>
      <c r="J20" s="20">
        <v>6</v>
      </c>
      <c r="K20" s="30">
        <f t="shared" si="1"/>
        <v>5</v>
      </c>
      <c r="L20" s="32">
        <f t="shared" si="2"/>
        <v>82</v>
      </c>
      <c r="M20" s="32">
        <f t="shared" si="3"/>
        <v>84</v>
      </c>
      <c r="N20" s="46">
        <f>IF(OR(D20="Bullpen",D20="Game"),IFERROR(INDEX(Reference!$B$61:$B$62,MATCH(D20,Reference!$A$61:$A$62,0)),""),IF(E20="","",IF(R20&gt;1,((IF(1&lt;=R20,(R20-1+3)*(INDEX(Reference!$B$6:$B$11,MIN(5,MATCH(MAX(Reference!$A$6,MIN(Reference!$A$11,MIN(E20,90))),Reference!$A$6:$A$11,1)))+(MAX(Reference!$A$6,MIN(Reference!$A$11,MIN(E20,90)))-INDEX(Reference!$A$6:$A$11,MIN(5,MATCH(MAX(Reference!$A$6,MIN(Reference!$A$11,MIN(E20,90))),Reference!$A$6:$A$11,1))))*(INDEX(Reference!$B$6:$B$11,MIN(5,MATCH(MAX(Reference!$A$6,MIN(Reference!$A$11,MIN(E20,90))),Reference!$A$6:$A$11,1))+1)-INDEX(Reference!$B$6:$B$11,MIN(5,MATCH(MAX(Reference!$A$6,MIN(Reference!$A$11,MIN(E20,90))),Reference!$A$6:$A$11,1))))/(INDEX(Reference!$A$6:$A$11,MIN(5,MATCH(MAX(Reference!$A$6,MIN(Reference!$A$11,MIN(E20,90))),Reference!$A$6:$A$11,1))+1)-INDEX(Reference!$A$6:$A$11,MIN(5,MATCH(MAX(Reference!$A$6,MIN(Reference!$A$11,MIN(E20,90))),Reference!$A$6:$A$11,1))))),0)+IF(2&lt;=R20,(R20-2+3)*(INDEX(Reference!$B$6:$B$11,MIN(5,MATCH(MAX(Reference!$A$6,MIN(Reference!$A$11,MIN(E20,120))),Reference!$A$6:$A$11,1)))+(MAX(Reference!$A$6,MIN(Reference!$A$11,MIN(E20,120)))-INDEX(Reference!$A$6:$A$11,MIN(5,MATCH(MAX(Reference!$A$6,MIN(Reference!$A$11,MIN(E20,120))),Reference!$A$6:$A$11,1))))*(INDEX(Reference!$B$6:$B$11,MIN(5,MATCH(MAX(Reference!$A$6,MIN(Reference!$A$11,MIN(E20,120))),Reference!$A$6:$A$11,1))+1)-INDEX(Reference!$B$6:$B$11,MIN(5,MATCH(MAX(Reference!$A$6,MIN(Reference!$A$11,MIN(E20,120))),Reference!$A$6:$A$11,1))))/(INDEX(Reference!$A$6:$A$11,MIN(5,MATCH(MAX(Reference!$A$6,MIN(Reference!$A$11,MIN(E20,120))),Reference!$A$6:$A$11,1))+1)-INDEX(Reference!$A$6:$A$11,MIN(5,MATCH(MAX(Reference!$A$6,MIN(Reference!$A$11,MIN(E20,120))),Reference!$A$6:$A$11,1))))),0)+IF(3&lt;=R20,(R20-3+3)*(INDEX(Reference!$B$6:$B$11,MIN(5,MATCH(MAX(Reference!$A$6,MIN(Reference!$A$11,MIN(E20,150))),Reference!$A$6:$A$11,1)))+(MAX(Reference!$A$6,MIN(Reference!$A$11,MIN(E20,150)))-INDEX(Reference!$A$6:$A$11,MIN(5,MATCH(MAX(Reference!$A$6,MIN(Reference!$A$11,MIN(E20,150))),Reference!$A$6:$A$11,1))))*(INDEX(Reference!$B$6:$B$11,MIN(5,MATCH(MAX(Reference!$A$6,MIN(Reference!$A$11,MIN(E20,150))),Reference!$A$6:$A$11,1))+1)-INDEX(Reference!$B$6:$B$11,MIN(5,MATCH(MAX(Reference!$A$6,MIN(Reference!$A$11,MIN(E20,150))),Reference!$A$6:$A$11,1))))/(INDEX(Reference!$A$6:$A$11,MIN(5,MATCH(MAX(Reference!$A$6,MIN(Reference!$A$11,MIN(E20,150))),Reference!$A$6:$A$11,1))+1)-INDEX(Reference!$A$6:$A$11,MIN(5,MATCH(MAX(Reference!$A$6,MIN(Reference!$A$11,MIN(E20,150))),Reference!$A$6:$A$11,1))))),0)+IF(4&lt;=R20,(R20-4+3)*(INDEX(Reference!$B$6:$B$11,MIN(5,MATCH(MAX(Reference!$A$6,MIN(Reference!$A$11,MIN(E20,180))),Reference!$A$6:$A$11,1)))+(MAX(Reference!$A$6,MIN(Reference!$A$11,MIN(E20,180)))-INDEX(Reference!$A$6:$A$11,MIN(5,MATCH(MAX(Reference!$A$6,MIN(Reference!$A$11,MIN(E20,180))),Reference!$A$6:$A$11,1))))*(INDEX(Reference!$B$6:$B$11,MIN(5,MATCH(MAX(Reference!$A$6,MIN(Reference!$A$11,MIN(E20,180))),Reference!$A$6:$A$11,1))+1)-INDEX(Reference!$B$6:$B$11,MIN(5,MATCH(MAX(Reference!$A$6,MIN(Reference!$A$11,MIN(E20,180))),Reference!$A$6:$A$11,1))))/(INDEX(Reference!$A$6:$A$11,MIN(5,MATCH(MAX(Reference!$A$6,MIN(Reference!$A$11,MIN(E20,180))),Reference!$A$6:$A$11,1))+1)-INDEX(Reference!$A$6:$A$11,MIN(5,MATCH(MAX(Reference!$A$6,MIN(Reference!$A$11,MIN(E20,180))),Reference!$A$6:$A$11,1))))),0)+IF(5&lt;=R20,(R20-5+3)*(INDEX(Reference!$B$6:$B$11,MIN(5,MATCH(MAX(Reference!$A$6,MIN(Reference!$A$11,MIN(E20,210))),Reference!$A$6:$A$11,1)))+(MAX(Reference!$A$6,MIN(Reference!$A$11,MIN(E20,210)))-INDEX(Reference!$A$6:$A$11,MIN(5,MATCH(MAX(Reference!$A$6,MIN(Reference!$A$11,MIN(E20,210))),Reference!$A$6:$A$11,1))))*(INDEX(Reference!$B$6:$B$11,MIN(5,MATCH(MAX(Reference!$A$6,MIN(Reference!$A$11,MIN(E20,210))),Reference!$A$6:$A$11,1))+1)-INDEX(Reference!$B$6:$B$11,MIN(5,MATCH(MAX(Reference!$A$6,MIN(Reference!$A$11,MIN(E20,210))),Reference!$A$6:$A$11,1))))/(INDEX(Reference!$A$6:$A$11,MIN(5,MATCH(MAX(Reference!$A$6,MIN(Reference!$A$11,MIN(E20,210))),Reference!$A$6:$A$11,1))+1)-INDEX(Reference!$A$6:$A$11,MIN(5,MATCH(MAX(Reference!$A$6,MIN(Reference!$A$11,MIN(E20,210))),Reference!$A$6:$A$11,1))))),0)+IF(6&lt;=R20,(R20-6+3)*(INDEX(Reference!$B$6:$B$11,MIN(5,MATCH(MAX(Reference!$A$6,MIN(Reference!$A$11,MIN(E20,240))),Reference!$A$6:$A$11,1)))+(MAX(Reference!$A$6,MIN(Reference!$A$11,MIN(E20,240)))-INDEX(Reference!$A$6:$A$11,MIN(5,MATCH(MAX(Reference!$A$6,MIN(Reference!$A$11,MIN(E20,240))),Reference!$A$6:$A$11,1))))*(INDEX(Reference!$B$6:$B$11,MIN(5,MATCH(MAX(Reference!$A$6,MIN(Reference!$A$11,MIN(E20,240))),Reference!$A$6:$A$11,1))+1)-INDEX(Reference!$B$6:$B$11,MIN(5,MATCH(MAX(Reference!$A$6,MIN(Reference!$A$11,MIN(E20,240))),Reference!$A$6:$A$11,1))))/(INDEX(Reference!$A$6:$A$11,MIN(5,MATCH(MAX(Reference!$A$6,MIN(Reference!$A$11,MIN(E20,240))),Reference!$A$6:$A$11,1))+1)-INDEX(Reference!$A$6:$A$11,MIN(5,MATCH(MAX(Reference!$A$6,MIN(Reference!$A$11,MIN(E20,240))),Reference!$A$6:$A$11,1))))),0)+IF(7&lt;=R20,(R20-7+3)*(INDEX(Reference!$B$6:$B$11,MIN(5,MATCH(MAX(Reference!$A$6,MIN(Reference!$A$11,MIN(E20,270))),Reference!$A$6:$A$11,1)))+(MAX(Reference!$A$6,MIN(Reference!$A$11,MIN(E20,270)))-INDEX(Reference!$A$6:$A$11,MIN(5,MATCH(MAX(Reference!$A$6,MIN(Reference!$A$11,MIN(E20,270))),Reference!$A$6:$A$11,1))))*(INDEX(Reference!$B$6:$B$11,MIN(5,MATCH(MAX(Reference!$A$6,MIN(Reference!$A$11,MIN(E20,270))),Reference!$A$6:$A$11,1))+1)-INDEX(Reference!$B$6:$B$11,MIN(5,MATCH(MAX(Reference!$A$6,MIN(Reference!$A$11,MIN(E20,270))),Reference!$A$6:$A$11,1))))/(INDEX(Reference!$A$6:$A$11,MIN(5,MATCH(MAX(Reference!$A$6,MIN(Reference!$A$11,MIN(E20,270))),Reference!$A$6:$A$11,1))+1)-INDEX(Reference!$A$6:$A$11,MIN(5,MATCH(MAX(Reference!$A$6,MIN(Reference!$A$11,MIN(E20,270))),Reference!$A$6:$A$11,1))))),0)+IF(8&lt;=R20,(R20-8+3)*(INDEX(Reference!$B$6:$B$11,MIN(5,MATCH(MAX(Reference!$A$6,MIN(Reference!$A$11,MIN(E20,300))),Reference!$A$6:$A$11,1)))+(MAX(Reference!$A$6,MIN(Reference!$A$11,MIN(E20,300)))-INDEX(Reference!$A$6:$A$11,MIN(5,MATCH(MAX(Reference!$A$6,MIN(Reference!$A$11,MIN(E20,300))),Reference!$A$6:$A$11,1))))*(INDEX(Reference!$B$6:$B$11,MIN(5,MATCH(MAX(Reference!$A$6,MIN(Reference!$A$11,MIN(E20,300))),Reference!$A$6:$A$11,1))+1)-INDEX(Reference!$B$6:$B$11,MIN(5,MATCH(MAX(Reference!$A$6,MIN(Reference!$A$11,MIN(E20,300))),Reference!$A$6:$A$11,1))))/(INDEX(Reference!$A$6:$A$11,MIN(5,MATCH(MAX(Reference!$A$6,MIN(Reference!$A$11,MIN(E20,300))),Reference!$A$6:$A$11,1))+1)-INDEX(Reference!$A$6:$A$11,MIN(5,MATCH(MAX(Reference!$A$6,MIN(Reference!$A$11,MIN(E20,300))),Reference!$A$6:$A$11,1))))),0))/(R20*(R20+5)/2)),(INDEX(Reference!$B$6:$B$11,MIN(5,MATCH(MAX(Reference!$A$6,MIN(Reference!$A$11,E20)),Reference!$A$6:$A$11,1)))+(MAX(Reference!$A$6,MIN(Reference!$A$11,E20))-INDEX(Reference!$A$6:$A$11,MIN(5,MATCH(MAX(Reference!$A$6,MIN(Reference!$A$11,E20)),Reference!$A$6:$A$11,1))))*(INDEX(Reference!$B$6:$B$11,MIN(5,MATCH(MAX(Reference!$A$6,MIN(Reference!$A$11,E20)),Reference!$A$6:$A$11,1))+1)-INDEX(Reference!$B$6:$B$11,MIN(5,MATCH(MAX(Reference!$A$6,MIN(Reference!$A$11,E20)),Reference!$A$6:$A$11,1))))/(INDEX(Reference!$A$6:$A$11,MIN(5,MATCH(MAX(Reference!$A$6,MIN(Reference!$A$11,E20)),Reference!$A$6:$A$11,1))+1)-INDEX(Reference!$A$6:$A$11,MIN(5,MATCH(MAX(Reference!$A$6,MIN(Reference!$A$11,E20)),Reference!$A$6:$A$11,1))))))))</f>
        <v>1</v>
      </c>
      <c r="O20" s="32">
        <f>VLOOKUP(MAX(K20,0),Reference!$A$17:$B$20,2,TRUE())</f>
        <v>1.5</v>
      </c>
      <c r="P20" s="30">
        <f t="shared" si="4"/>
        <v>26.25</v>
      </c>
      <c r="Q20" s="47" t="str">
        <f t="shared" si="5"/>
        <v/>
      </c>
      <c r="R20">
        <f t="shared" si="6"/>
        <v>1</v>
      </c>
    </row>
    <row r="21" spans="1:18" x14ac:dyDescent="0.3">
      <c r="A21" s="20" t="s">
        <v>94</v>
      </c>
      <c r="B21" s="20">
        <v>2</v>
      </c>
      <c r="C21" s="20">
        <v>1</v>
      </c>
      <c r="D21" s="20" t="s">
        <v>50</v>
      </c>
      <c r="E21" s="20">
        <v>180</v>
      </c>
      <c r="F21" s="20">
        <v>40</v>
      </c>
      <c r="G21" s="20">
        <v>55</v>
      </c>
      <c r="H21" s="30">
        <f t="shared" si="0"/>
        <v>47.5</v>
      </c>
      <c r="I21" s="20">
        <v>4</v>
      </c>
      <c r="J21" s="20">
        <v>6</v>
      </c>
      <c r="K21" s="30">
        <f t="shared" si="1"/>
        <v>5</v>
      </c>
      <c r="L21" s="32">
        <f t="shared" si="2"/>
        <v>82</v>
      </c>
      <c r="M21" s="32">
        <f t="shared" si="3"/>
        <v>84</v>
      </c>
      <c r="N21" s="46">
        <f>IF(OR(D21="Bullpen",D21="Game"),IFERROR(INDEX(Reference!$B$61:$B$62,MATCH(D21,Reference!$A$61:$A$62,0)),""),IF(E21="","",IF(R21&gt;1,((IF(1&lt;=R21,(R21-1+3)*(INDEX(Reference!$B$6:$B$11,MIN(5,MATCH(MAX(Reference!$A$6,MIN(Reference!$A$11,MIN(E21,90))),Reference!$A$6:$A$11,1)))+(MAX(Reference!$A$6,MIN(Reference!$A$11,MIN(E21,90)))-INDEX(Reference!$A$6:$A$11,MIN(5,MATCH(MAX(Reference!$A$6,MIN(Reference!$A$11,MIN(E21,90))),Reference!$A$6:$A$11,1))))*(INDEX(Reference!$B$6:$B$11,MIN(5,MATCH(MAX(Reference!$A$6,MIN(Reference!$A$11,MIN(E21,90))),Reference!$A$6:$A$11,1))+1)-INDEX(Reference!$B$6:$B$11,MIN(5,MATCH(MAX(Reference!$A$6,MIN(Reference!$A$11,MIN(E21,90))),Reference!$A$6:$A$11,1))))/(INDEX(Reference!$A$6:$A$11,MIN(5,MATCH(MAX(Reference!$A$6,MIN(Reference!$A$11,MIN(E21,90))),Reference!$A$6:$A$11,1))+1)-INDEX(Reference!$A$6:$A$11,MIN(5,MATCH(MAX(Reference!$A$6,MIN(Reference!$A$11,MIN(E21,90))),Reference!$A$6:$A$11,1))))),0)+IF(2&lt;=R21,(R21-2+3)*(INDEX(Reference!$B$6:$B$11,MIN(5,MATCH(MAX(Reference!$A$6,MIN(Reference!$A$11,MIN(E21,120))),Reference!$A$6:$A$11,1)))+(MAX(Reference!$A$6,MIN(Reference!$A$11,MIN(E21,120)))-INDEX(Reference!$A$6:$A$11,MIN(5,MATCH(MAX(Reference!$A$6,MIN(Reference!$A$11,MIN(E21,120))),Reference!$A$6:$A$11,1))))*(INDEX(Reference!$B$6:$B$11,MIN(5,MATCH(MAX(Reference!$A$6,MIN(Reference!$A$11,MIN(E21,120))),Reference!$A$6:$A$11,1))+1)-INDEX(Reference!$B$6:$B$11,MIN(5,MATCH(MAX(Reference!$A$6,MIN(Reference!$A$11,MIN(E21,120))),Reference!$A$6:$A$11,1))))/(INDEX(Reference!$A$6:$A$11,MIN(5,MATCH(MAX(Reference!$A$6,MIN(Reference!$A$11,MIN(E21,120))),Reference!$A$6:$A$11,1))+1)-INDEX(Reference!$A$6:$A$11,MIN(5,MATCH(MAX(Reference!$A$6,MIN(Reference!$A$11,MIN(E21,120))),Reference!$A$6:$A$11,1))))),0)+IF(3&lt;=R21,(R21-3+3)*(INDEX(Reference!$B$6:$B$11,MIN(5,MATCH(MAX(Reference!$A$6,MIN(Reference!$A$11,MIN(E21,150))),Reference!$A$6:$A$11,1)))+(MAX(Reference!$A$6,MIN(Reference!$A$11,MIN(E21,150)))-INDEX(Reference!$A$6:$A$11,MIN(5,MATCH(MAX(Reference!$A$6,MIN(Reference!$A$11,MIN(E21,150))),Reference!$A$6:$A$11,1))))*(INDEX(Reference!$B$6:$B$11,MIN(5,MATCH(MAX(Reference!$A$6,MIN(Reference!$A$11,MIN(E21,150))),Reference!$A$6:$A$11,1))+1)-INDEX(Reference!$B$6:$B$11,MIN(5,MATCH(MAX(Reference!$A$6,MIN(Reference!$A$11,MIN(E21,150))),Reference!$A$6:$A$11,1))))/(INDEX(Reference!$A$6:$A$11,MIN(5,MATCH(MAX(Reference!$A$6,MIN(Reference!$A$11,MIN(E21,150))),Reference!$A$6:$A$11,1))+1)-INDEX(Reference!$A$6:$A$11,MIN(5,MATCH(MAX(Reference!$A$6,MIN(Reference!$A$11,MIN(E21,150))),Reference!$A$6:$A$11,1))))),0)+IF(4&lt;=R21,(R21-4+3)*(INDEX(Reference!$B$6:$B$11,MIN(5,MATCH(MAX(Reference!$A$6,MIN(Reference!$A$11,MIN(E21,180))),Reference!$A$6:$A$11,1)))+(MAX(Reference!$A$6,MIN(Reference!$A$11,MIN(E21,180)))-INDEX(Reference!$A$6:$A$11,MIN(5,MATCH(MAX(Reference!$A$6,MIN(Reference!$A$11,MIN(E21,180))),Reference!$A$6:$A$11,1))))*(INDEX(Reference!$B$6:$B$11,MIN(5,MATCH(MAX(Reference!$A$6,MIN(Reference!$A$11,MIN(E21,180))),Reference!$A$6:$A$11,1))+1)-INDEX(Reference!$B$6:$B$11,MIN(5,MATCH(MAX(Reference!$A$6,MIN(Reference!$A$11,MIN(E21,180))),Reference!$A$6:$A$11,1))))/(INDEX(Reference!$A$6:$A$11,MIN(5,MATCH(MAX(Reference!$A$6,MIN(Reference!$A$11,MIN(E21,180))),Reference!$A$6:$A$11,1))+1)-INDEX(Reference!$A$6:$A$11,MIN(5,MATCH(MAX(Reference!$A$6,MIN(Reference!$A$11,MIN(E21,180))),Reference!$A$6:$A$11,1))))),0)+IF(5&lt;=R21,(R21-5+3)*(INDEX(Reference!$B$6:$B$11,MIN(5,MATCH(MAX(Reference!$A$6,MIN(Reference!$A$11,MIN(E21,210))),Reference!$A$6:$A$11,1)))+(MAX(Reference!$A$6,MIN(Reference!$A$11,MIN(E21,210)))-INDEX(Reference!$A$6:$A$11,MIN(5,MATCH(MAX(Reference!$A$6,MIN(Reference!$A$11,MIN(E21,210))),Reference!$A$6:$A$11,1))))*(INDEX(Reference!$B$6:$B$11,MIN(5,MATCH(MAX(Reference!$A$6,MIN(Reference!$A$11,MIN(E21,210))),Reference!$A$6:$A$11,1))+1)-INDEX(Reference!$B$6:$B$11,MIN(5,MATCH(MAX(Reference!$A$6,MIN(Reference!$A$11,MIN(E21,210))),Reference!$A$6:$A$11,1))))/(INDEX(Reference!$A$6:$A$11,MIN(5,MATCH(MAX(Reference!$A$6,MIN(Reference!$A$11,MIN(E21,210))),Reference!$A$6:$A$11,1))+1)-INDEX(Reference!$A$6:$A$11,MIN(5,MATCH(MAX(Reference!$A$6,MIN(Reference!$A$11,MIN(E21,210))),Reference!$A$6:$A$11,1))))),0)+IF(6&lt;=R21,(R21-6+3)*(INDEX(Reference!$B$6:$B$11,MIN(5,MATCH(MAX(Reference!$A$6,MIN(Reference!$A$11,MIN(E21,240))),Reference!$A$6:$A$11,1)))+(MAX(Reference!$A$6,MIN(Reference!$A$11,MIN(E21,240)))-INDEX(Reference!$A$6:$A$11,MIN(5,MATCH(MAX(Reference!$A$6,MIN(Reference!$A$11,MIN(E21,240))),Reference!$A$6:$A$11,1))))*(INDEX(Reference!$B$6:$B$11,MIN(5,MATCH(MAX(Reference!$A$6,MIN(Reference!$A$11,MIN(E21,240))),Reference!$A$6:$A$11,1))+1)-INDEX(Reference!$B$6:$B$11,MIN(5,MATCH(MAX(Reference!$A$6,MIN(Reference!$A$11,MIN(E21,240))),Reference!$A$6:$A$11,1))))/(INDEX(Reference!$A$6:$A$11,MIN(5,MATCH(MAX(Reference!$A$6,MIN(Reference!$A$11,MIN(E21,240))),Reference!$A$6:$A$11,1))+1)-INDEX(Reference!$A$6:$A$11,MIN(5,MATCH(MAX(Reference!$A$6,MIN(Reference!$A$11,MIN(E21,240))),Reference!$A$6:$A$11,1))))),0)+IF(7&lt;=R21,(R21-7+3)*(INDEX(Reference!$B$6:$B$11,MIN(5,MATCH(MAX(Reference!$A$6,MIN(Reference!$A$11,MIN(E21,270))),Reference!$A$6:$A$11,1)))+(MAX(Reference!$A$6,MIN(Reference!$A$11,MIN(E21,270)))-INDEX(Reference!$A$6:$A$11,MIN(5,MATCH(MAX(Reference!$A$6,MIN(Reference!$A$11,MIN(E21,270))),Reference!$A$6:$A$11,1))))*(INDEX(Reference!$B$6:$B$11,MIN(5,MATCH(MAX(Reference!$A$6,MIN(Reference!$A$11,MIN(E21,270))),Reference!$A$6:$A$11,1))+1)-INDEX(Reference!$B$6:$B$11,MIN(5,MATCH(MAX(Reference!$A$6,MIN(Reference!$A$11,MIN(E21,270))),Reference!$A$6:$A$11,1))))/(INDEX(Reference!$A$6:$A$11,MIN(5,MATCH(MAX(Reference!$A$6,MIN(Reference!$A$11,MIN(E21,270))),Reference!$A$6:$A$11,1))+1)-INDEX(Reference!$A$6:$A$11,MIN(5,MATCH(MAX(Reference!$A$6,MIN(Reference!$A$11,MIN(E21,270))),Reference!$A$6:$A$11,1))))),0)+IF(8&lt;=R21,(R21-8+3)*(INDEX(Reference!$B$6:$B$11,MIN(5,MATCH(MAX(Reference!$A$6,MIN(Reference!$A$11,MIN(E21,300))),Reference!$A$6:$A$11,1)))+(MAX(Reference!$A$6,MIN(Reference!$A$11,MIN(E21,300)))-INDEX(Reference!$A$6:$A$11,MIN(5,MATCH(MAX(Reference!$A$6,MIN(Reference!$A$11,MIN(E21,300))),Reference!$A$6:$A$11,1))))*(INDEX(Reference!$B$6:$B$11,MIN(5,MATCH(MAX(Reference!$A$6,MIN(Reference!$A$11,MIN(E21,300))),Reference!$A$6:$A$11,1))+1)-INDEX(Reference!$B$6:$B$11,MIN(5,MATCH(MAX(Reference!$A$6,MIN(Reference!$A$11,MIN(E21,300))),Reference!$A$6:$A$11,1))))/(INDEX(Reference!$A$6:$A$11,MIN(5,MATCH(MAX(Reference!$A$6,MIN(Reference!$A$11,MIN(E21,300))),Reference!$A$6:$A$11,1))+1)-INDEX(Reference!$A$6:$A$11,MIN(5,MATCH(MAX(Reference!$A$6,MIN(Reference!$A$11,MIN(E21,300))),Reference!$A$6:$A$11,1))))),0))/(R21*(R21+5)/2)),(INDEX(Reference!$B$6:$B$11,MIN(5,MATCH(MAX(Reference!$A$6,MIN(Reference!$A$11,E21)),Reference!$A$6:$A$11,1)))+(MAX(Reference!$A$6,MIN(Reference!$A$11,E21))-INDEX(Reference!$A$6:$A$11,MIN(5,MATCH(MAX(Reference!$A$6,MIN(Reference!$A$11,E21)),Reference!$A$6:$A$11,1))))*(INDEX(Reference!$B$6:$B$11,MIN(5,MATCH(MAX(Reference!$A$6,MIN(Reference!$A$11,E21)),Reference!$A$6:$A$11,1))+1)-INDEX(Reference!$B$6:$B$11,MIN(5,MATCH(MAX(Reference!$A$6,MIN(Reference!$A$11,E21)),Reference!$A$6:$A$11,1))))/(INDEX(Reference!$A$6:$A$11,MIN(5,MATCH(MAX(Reference!$A$6,MIN(Reference!$A$11,E21)),Reference!$A$6:$A$11,1))+1)-INDEX(Reference!$A$6:$A$11,MIN(5,MATCH(MAX(Reference!$A$6,MIN(Reference!$A$11,E21)),Reference!$A$6:$A$11,1))))))))</f>
        <v>1.8611111111111112</v>
      </c>
      <c r="O21" s="32">
        <f>VLOOKUP(MAX(K21,0),Reference!$A$17:$B$20,2,TRUE())</f>
        <v>1.5</v>
      </c>
      <c r="P21" s="30">
        <f t="shared" si="4"/>
        <v>132.60416666666669</v>
      </c>
      <c r="Q21" s="47" t="str">
        <f t="shared" si="5"/>
        <v>90×16 · 120×13 · 150×11 · 180×8</v>
      </c>
      <c r="R21">
        <f t="shared" si="6"/>
        <v>4</v>
      </c>
    </row>
    <row r="22" spans="1:18" x14ac:dyDescent="0.3">
      <c r="A22" s="20" t="s">
        <v>94</v>
      </c>
      <c r="B22" s="20">
        <v>2</v>
      </c>
      <c r="C22" s="20">
        <v>2</v>
      </c>
      <c r="D22" s="20" t="s">
        <v>51</v>
      </c>
      <c r="E22" s="20">
        <v>90</v>
      </c>
      <c r="F22" s="20">
        <v>15</v>
      </c>
      <c r="G22" s="20">
        <v>20</v>
      </c>
      <c r="H22" s="30">
        <f t="shared" si="0"/>
        <v>17.5</v>
      </c>
      <c r="I22" s="20">
        <v>0</v>
      </c>
      <c r="J22" s="20">
        <v>3</v>
      </c>
      <c r="K22" s="30">
        <f t="shared" si="1"/>
        <v>1.5</v>
      </c>
      <c r="L22" s="32">
        <f t="shared" si="2"/>
        <v>85</v>
      </c>
      <c r="M22" s="32">
        <f t="shared" si="3"/>
        <v>88</v>
      </c>
      <c r="N22" s="46">
        <f>IF(OR(D22="Bullpen",D22="Game"),IFERROR(INDEX(Reference!$B$61:$B$62,MATCH(D22,Reference!$A$61:$A$62,0)),""),IF(E22="","",IF(R22&gt;1,((IF(1&lt;=R22,(R22-1+3)*(INDEX(Reference!$B$6:$B$11,MIN(5,MATCH(MAX(Reference!$A$6,MIN(Reference!$A$11,MIN(E22,90))),Reference!$A$6:$A$11,1)))+(MAX(Reference!$A$6,MIN(Reference!$A$11,MIN(E22,90)))-INDEX(Reference!$A$6:$A$11,MIN(5,MATCH(MAX(Reference!$A$6,MIN(Reference!$A$11,MIN(E22,90))),Reference!$A$6:$A$11,1))))*(INDEX(Reference!$B$6:$B$11,MIN(5,MATCH(MAX(Reference!$A$6,MIN(Reference!$A$11,MIN(E22,90))),Reference!$A$6:$A$11,1))+1)-INDEX(Reference!$B$6:$B$11,MIN(5,MATCH(MAX(Reference!$A$6,MIN(Reference!$A$11,MIN(E22,90))),Reference!$A$6:$A$11,1))))/(INDEX(Reference!$A$6:$A$11,MIN(5,MATCH(MAX(Reference!$A$6,MIN(Reference!$A$11,MIN(E22,90))),Reference!$A$6:$A$11,1))+1)-INDEX(Reference!$A$6:$A$11,MIN(5,MATCH(MAX(Reference!$A$6,MIN(Reference!$A$11,MIN(E22,90))),Reference!$A$6:$A$11,1))))),0)+IF(2&lt;=R22,(R22-2+3)*(INDEX(Reference!$B$6:$B$11,MIN(5,MATCH(MAX(Reference!$A$6,MIN(Reference!$A$11,MIN(E22,120))),Reference!$A$6:$A$11,1)))+(MAX(Reference!$A$6,MIN(Reference!$A$11,MIN(E22,120)))-INDEX(Reference!$A$6:$A$11,MIN(5,MATCH(MAX(Reference!$A$6,MIN(Reference!$A$11,MIN(E22,120))),Reference!$A$6:$A$11,1))))*(INDEX(Reference!$B$6:$B$11,MIN(5,MATCH(MAX(Reference!$A$6,MIN(Reference!$A$11,MIN(E22,120))),Reference!$A$6:$A$11,1))+1)-INDEX(Reference!$B$6:$B$11,MIN(5,MATCH(MAX(Reference!$A$6,MIN(Reference!$A$11,MIN(E22,120))),Reference!$A$6:$A$11,1))))/(INDEX(Reference!$A$6:$A$11,MIN(5,MATCH(MAX(Reference!$A$6,MIN(Reference!$A$11,MIN(E22,120))),Reference!$A$6:$A$11,1))+1)-INDEX(Reference!$A$6:$A$11,MIN(5,MATCH(MAX(Reference!$A$6,MIN(Reference!$A$11,MIN(E22,120))),Reference!$A$6:$A$11,1))))),0)+IF(3&lt;=R22,(R22-3+3)*(INDEX(Reference!$B$6:$B$11,MIN(5,MATCH(MAX(Reference!$A$6,MIN(Reference!$A$11,MIN(E22,150))),Reference!$A$6:$A$11,1)))+(MAX(Reference!$A$6,MIN(Reference!$A$11,MIN(E22,150)))-INDEX(Reference!$A$6:$A$11,MIN(5,MATCH(MAX(Reference!$A$6,MIN(Reference!$A$11,MIN(E22,150))),Reference!$A$6:$A$11,1))))*(INDEX(Reference!$B$6:$B$11,MIN(5,MATCH(MAX(Reference!$A$6,MIN(Reference!$A$11,MIN(E22,150))),Reference!$A$6:$A$11,1))+1)-INDEX(Reference!$B$6:$B$11,MIN(5,MATCH(MAX(Reference!$A$6,MIN(Reference!$A$11,MIN(E22,150))),Reference!$A$6:$A$11,1))))/(INDEX(Reference!$A$6:$A$11,MIN(5,MATCH(MAX(Reference!$A$6,MIN(Reference!$A$11,MIN(E22,150))),Reference!$A$6:$A$11,1))+1)-INDEX(Reference!$A$6:$A$11,MIN(5,MATCH(MAX(Reference!$A$6,MIN(Reference!$A$11,MIN(E22,150))),Reference!$A$6:$A$11,1))))),0)+IF(4&lt;=R22,(R22-4+3)*(INDEX(Reference!$B$6:$B$11,MIN(5,MATCH(MAX(Reference!$A$6,MIN(Reference!$A$11,MIN(E22,180))),Reference!$A$6:$A$11,1)))+(MAX(Reference!$A$6,MIN(Reference!$A$11,MIN(E22,180)))-INDEX(Reference!$A$6:$A$11,MIN(5,MATCH(MAX(Reference!$A$6,MIN(Reference!$A$11,MIN(E22,180))),Reference!$A$6:$A$11,1))))*(INDEX(Reference!$B$6:$B$11,MIN(5,MATCH(MAX(Reference!$A$6,MIN(Reference!$A$11,MIN(E22,180))),Reference!$A$6:$A$11,1))+1)-INDEX(Reference!$B$6:$B$11,MIN(5,MATCH(MAX(Reference!$A$6,MIN(Reference!$A$11,MIN(E22,180))),Reference!$A$6:$A$11,1))))/(INDEX(Reference!$A$6:$A$11,MIN(5,MATCH(MAX(Reference!$A$6,MIN(Reference!$A$11,MIN(E22,180))),Reference!$A$6:$A$11,1))+1)-INDEX(Reference!$A$6:$A$11,MIN(5,MATCH(MAX(Reference!$A$6,MIN(Reference!$A$11,MIN(E22,180))),Reference!$A$6:$A$11,1))))),0)+IF(5&lt;=R22,(R22-5+3)*(INDEX(Reference!$B$6:$B$11,MIN(5,MATCH(MAX(Reference!$A$6,MIN(Reference!$A$11,MIN(E22,210))),Reference!$A$6:$A$11,1)))+(MAX(Reference!$A$6,MIN(Reference!$A$11,MIN(E22,210)))-INDEX(Reference!$A$6:$A$11,MIN(5,MATCH(MAX(Reference!$A$6,MIN(Reference!$A$11,MIN(E22,210))),Reference!$A$6:$A$11,1))))*(INDEX(Reference!$B$6:$B$11,MIN(5,MATCH(MAX(Reference!$A$6,MIN(Reference!$A$11,MIN(E22,210))),Reference!$A$6:$A$11,1))+1)-INDEX(Reference!$B$6:$B$11,MIN(5,MATCH(MAX(Reference!$A$6,MIN(Reference!$A$11,MIN(E22,210))),Reference!$A$6:$A$11,1))))/(INDEX(Reference!$A$6:$A$11,MIN(5,MATCH(MAX(Reference!$A$6,MIN(Reference!$A$11,MIN(E22,210))),Reference!$A$6:$A$11,1))+1)-INDEX(Reference!$A$6:$A$11,MIN(5,MATCH(MAX(Reference!$A$6,MIN(Reference!$A$11,MIN(E22,210))),Reference!$A$6:$A$11,1))))),0)+IF(6&lt;=R22,(R22-6+3)*(INDEX(Reference!$B$6:$B$11,MIN(5,MATCH(MAX(Reference!$A$6,MIN(Reference!$A$11,MIN(E22,240))),Reference!$A$6:$A$11,1)))+(MAX(Reference!$A$6,MIN(Reference!$A$11,MIN(E22,240)))-INDEX(Reference!$A$6:$A$11,MIN(5,MATCH(MAX(Reference!$A$6,MIN(Reference!$A$11,MIN(E22,240))),Reference!$A$6:$A$11,1))))*(INDEX(Reference!$B$6:$B$11,MIN(5,MATCH(MAX(Reference!$A$6,MIN(Reference!$A$11,MIN(E22,240))),Reference!$A$6:$A$11,1))+1)-INDEX(Reference!$B$6:$B$11,MIN(5,MATCH(MAX(Reference!$A$6,MIN(Reference!$A$11,MIN(E22,240))),Reference!$A$6:$A$11,1))))/(INDEX(Reference!$A$6:$A$11,MIN(5,MATCH(MAX(Reference!$A$6,MIN(Reference!$A$11,MIN(E22,240))),Reference!$A$6:$A$11,1))+1)-INDEX(Reference!$A$6:$A$11,MIN(5,MATCH(MAX(Reference!$A$6,MIN(Reference!$A$11,MIN(E22,240))),Reference!$A$6:$A$11,1))))),0)+IF(7&lt;=R22,(R22-7+3)*(INDEX(Reference!$B$6:$B$11,MIN(5,MATCH(MAX(Reference!$A$6,MIN(Reference!$A$11,MIN(E22,270))),Reference!$A$6:$A$11,1)))+(MAX(Reference!$A$6,MIN(Reference!$A$11,MIN(E22,270)))-INDEX(Reference!$A$6:$A$11,MIN(5,MATCH(MAX(Reference!$A$6,MIN(Reference!$A$11,MIN(E22,270))),Reference!$A$6:$A$11,1))))*(INDEX(Reference!$B$6:$B$11,MIN(5,MATCH(MAX(Reference!$A$6,MIN(Reference!$A$11,MIN(E22,270))),Reference!$A$6:$A$11,1))+1)-INDEX(Reference!$B$6:$B$11,MIN(5,MATCH(MAX(Reference!$A$6,MIN(Reference!$A$11,MIN(E22,270))),Reference!$A$6:$A$11,1))))/(INDEX(Reference!$A$6:$A$11,MIN(5,MATCH(MAX(Reference!$A$6,MIN(Reference!$A$11,MIN(E22,270))),Reference!$A$6:$A$11,1))+1)-INDEX(Reference!$A$6:$A$11,MIN(5,MATCH(MAX(Reference!$A$6,MIN(Reference!$A$11,MIN(E22,270))),Reference!$A$6:$A$11,1))))),0)+IF(8&lt;=R22,(R22-8+3)*(INDEX(Reference!$B$6:$B$11,MIN(5,MATCH(MAX(Reference!$A$6,MIN(Reference!$A$11,MIN(E22,300))),Reference!$A$6:$A$11,1)))+(MAX(Reference!$A$6,MIN(Reference!$A$11,MIN(E22,300)))-INDEX(Reference!$A$6:$A$11,MIN(5,MATCH(MAX(Reference!$A$6,MIN(Reference!$A$11,MIN(E22,300))),Reference!$A$6:$A$11,1))))*(INDEX(Reference!$B$6:$B$11,MIN(5,MATCH(MAX(Reference!$A$6,MIN(Reference!$A$11,MIN(E22,300))),Reference!$A$6:$A$11,1))+1)-INDEX(Reference!$B$6:$B$11,MIN(5,MATCH(MAX(Reference!$A$6,MIN(Reference!$A$11,MIN(E22,300))),Reference!$A$6:$A$11,1))))/(INDEX(Reference!$A$6:$A$11,MIN(5,MATCH(MAX(Reference!$A$6,MIN(Reference!$A$11,MIN(E22,300))),Reference!$A$6:$A$11,1))+1)-INDEX(Reference!$A$6:$A$11,MIN(5,MATCH(MAX(Reference!$A$6,MIN(Reference!$A$11,MIN(E22,300))),Reference!$A$6:$A$11,1))))),0))/(R22*(R22+5)/2)),(INDEX(Reference!$B$6:$B$11,MIN(5,MATCH(MAX(Reference!$A$6,MIN(Reference!$A$11,E22)),Reference!$A$6:$A$11,1)))+(MAX(Reference!$A$6,MIN(Reference!$A$11,E22))-INDEX(Reference!$A$6:$A$11,MIN(5,MATCH(MAX(Reference!$A$6,MIN(Reference!$A$11,E22)),Reference!$A$6:$A$11,1))))*(INDEX(Reference!$B$6:$B$11,MIN(5,MATCH(MAX(Reference!$A$6,MIN(Reference!$A$11,E22)),Reference!$A$6:$A$11,1))+1)-INDEX(Reference!$B$6:$B$11,MIN(5,MATCH(MAX(Reference!$A$6,MIN(Reference!$A$11,E22)),Reference!$A$6:$A$11,1))))/(INDEX(Reference!$A$6:$A$11,MIN(5,MATCH(MAX(Reference!$A$6,MIN(Reference!$A$11,E22)),Reference!$A$6:$A$11,1))+1)-INDEX(Reference!$A$6:$A$11,MIN(5,MATCH(MAX(Reference!$A$6,MIN(Reference!$A$11,E22)),Reference!$A$6:$A$11,1))))))))</f>
        <v>1.3</v>
      </c>
      <c r="O22" s="32">
        <f>VLOOKUP(MAX(K22,0),Reference!$A$17:$B$20,2,TRUE())</f>
        <v>2</v>
      </c>
      <c r="P22" s="30">
        <f t="shared" si="4"/>
        <v>45.5</v>
      </c>
      <c r="Q22" s="47" t="str">
        <f t="shared" si="5"/>
        <v/>
      </c>
      <c r="R22">
        <f t="shared" si="6"/>
        <v>1</v>
      </c>
    </row>
    <row r="23" spans="1:18" x14ac:dyDescent="0.3">
      <c r="A23" s="20" t="s">
        <v>94</v>
      </c>
      <c r="B23" s="20">
        <v>2</v>
      </c>
      <c r="C23" s="20">
        <v>3</v>
      </c>
      <c r="D23" s="20" t="s">
        <v>229</v>
      </c>
      <c r="E23" s="20">
        <v>60</v>
      </c>
      <c r="F23" s="20">
        <v>15</v>
      </c>
      <c r="G23" s="20">
        <v>20</v>
      </c>
      <c r="H23" s="30">
        <f t="shared" si="0"/>
        <v>17.5</v>
      </c>
      <c r="I23" s="20">
        <v>4</v>
      </c>
      <c r="J23" s="20">
        <v>6</v>
      </c>
      <c r="K23" s="30">
        <f t="shared" si="1"/>
        <v>5</v>
      </c>
      <c r="L23" s="32">
        <f t="shared" si="2"/>
        <v>82</v>
      </c>
      <c r="M23" s="32">
        <f t="shared" si="3"/>
        <v>84</v>
      </c>
      <c r="N23" s="46">
        <f>IF(OR(D23="Bullpen",D23="Game"),IFERROR(INDEX(Reference!$B$61:$B$62,MATCH(D23,Reference!$A$61:$A$62,0)),""),IF(E23="","",IF(R23&gt;1,((IF(1&lt;=R23,(R23-1+3)*(INDEX(Reference!$B$6:$B$11,MIN(5,MATCH(MAX(Reference!$A$6,MIN(Reference!$A$11,MIN(E23,90))),Reference!$A$6:$A$11,1)))+(MAX(Reference!$A$6,MIN(Reference!$A$11,MIN(E23,90)))-INDEX(Reference!$A$6:$A$11,MIN(5,MATCH(MAX(Reference!$A$6,MIN(Reference!$A$11,MIN(E23,90))),Reference!$A$6:$A$11,1))))*(INDEX(Reference!$B$6:$B$11,MIN(5,MATCH(MAX(Reference!$A$6,MIN(Reference!$A$11,MIN(E23,90))),Reference!$A$6:$A$11,1))+1)-INDEX(Reference!$B$6:$B$11,MIN(5,MATCH(MAX(Reference!$A$6,MIN(Reference!$A$11,MIN(E23,90))),Reference!$A$6:$A$11,1))))/(INDEX(Reference!$A$6:$A$11,MIN(5,MATCH(MAX(Reference!$A$6,MIN(Reference!$A$11,MIN(E23,90))),Reference!$A$6:$A$11,1))+1)-INDEX(Reference!$A$6:$A$11,MIN(5,MATCH(MAX(Reference!$A$6,MIN(Reference!$A$11,MIN(E23,90))),Reference!$A$6:$A$11,1))))),0)+IF(2&lt;=R23,(R23-2+3)*(INDEX(Reference!$B$6:$B$11,MIN(5,MATCH(MAX(Reference!$A$6,MIN(Reference!$A$11,MIN(E23,120))),Reference!$A$6:$A$11,1)))+(MAX(Reference!$A$6,MIN(Reference!$A$11,MIN(E23,120)))-INDEX(Reference!$A$6:$A$11,MIN(5,MATCH(MAX(Reference!$A$6,MIN(Reference!$A$11,MIN(E23,120))),Reference!$A$6:$A$11,1))))*(INDEX(Reference!$B$6:$B$11,MIN(5,MATCH(MAX(Reference!$A$6,MIN(Reference!$A$11,MIN(E23,120))),Reference!$A$6:$A$11,1))+1)-INDEX(Reference!$B$6:$B$11,MIN(5,MATCH(MAX(Reference!$A$6,MIN(Reference!$A$11,MIN(E23,120))),Reference!$A$6:$A$11,1))))/(INDEX(Reference!$A$6:$A$11,MIN(5,MATCH(MAX(Reference!$A$6,MIN(Reference!$A$11,MIN(E23,120))),Reference!$A$6:$A$11,1))+1)-INDEX(Reference!$A$6:$A$11,MIN(5,MATCH(MAX(Reference!$A$6,MIN(Reference!$A$11,MIN(E23,120))),Reference!$A$6:$A$11,1))))),0)+IF(3&lt;=R23,(R23-3+3)*(INDEX(Reference!$B$6:$B$11,MIN(5,MATCH(MAX(Reference!$A$6,MIN(Reference!$A$11,MIN(E23,150))),Reference!$A$6:$A$11,1)))+(MAX(Reference!$A$6,MIN(Reference!$A$11,MIN(E23,150)))-INDEX(Reference!$A$6:$A$11,MIN(5,MATCH(MAX(Reference!$A$6,MIN(Reference!$A$11,MIN(E23,150))),Reference!$A$6:$A$11,1))))*(INDEX(Reference!$B$6:$B$11,MIN(5,MATCH(MAX(Reference!$A$6,MIN(Reference!$A$11,MIN(E23,150))),Reference!$A$6:$A$11,1))+1)-INDEX(Reference!$B$6:$B$11,MIN(5,MATCH(MAX(Reference!$A$6,MIN(Reference!$A$11,MIN(E23,150))),Reference!$A$6:$A$11,1))))/(INDEX(Reference!$A$6:$A$11,MIN(5,MATCH(MAX(Reference!$A$6,MIN(Reference!$A$11,MIN(E23,150))),Reference!$A$6:$A$11,1))+1)-INDEX(Reference!$A$6:$A$11,MIN(5,MATCH(MAX(Reference!$A$6,MIN(Reference!$A$11,MIN(E23,150))),Reference!$A$6:$A$11,1))))),0)+IF(4&lt;=R23,(R23-4+3)*(INDEX(Reference!$B$6:$B$11,MIN(5,MATCH(MAX(Reference!$A$6,MIN(Reference!$A$11,MIN(E23,180))),Reference!$A$6:$A$11,1)))+(MAX(Reference!$A$6,MIN(Reference!$A$11,MIN(E23,180)))-INDEX(Reference!$A$6:$A$11,MIN(5,MATCH(MAX(Reference!$A$6,MIN(Reference!$A$11,MIN(E23,180))),Reference!$A$6:$A$11,1))))*(INDEX(Reference!$B$6:$B$11,MIN(5,MATCH(MAX(Reference!$A$6,MIN(Reference!$A$11,MIN(E23,180))),Reference!$A$6:$A$11,1))+1)-INDEX(Reference!$B$6:$B$11,MIN(5,MATCH(MAX(Reference!$A$6,MIN(Reference!$A$11,MIN(E23,180))),Reference!$A$6:$A$11,1))))/(INDEX(Reference!$A$6:$A$11,MIN(5,MATCH(MAX(Reference!$A$6,MIN(Reference!$A$11,MIN(E23,180))),Reference!$A$6:$A$11,1))+1)-INDEX(Reference!$A$6:$A$11,MIN(5,MATCH(MAX(Reference!$A$6,MIN(Reference!$A$11,MIN(E23,180))),Reference!$A$6:$A$11,1))))),0)+IF(5&lt;=R23,(R23-5+3)*(INDEX(Reference!$B$6:$B$11,MIN(5,MATCH(MAX(Reference!$A$6,MIN(Reference!$A$11,MIN(E23,210))),Reference!$A$6:$A$11,1)))+(MAX(Reference!$A$6,MIN(Reference!$A$11,MIN(E23,210)))-INDEX(Reference!$A$6:$A$11,MIN(5,MATCH(MAX(Reference!$A$6,MIN(Reference!$A$11,MIN(E23,210))),Reference!$A$6:$A$11,1))))*(INDEX(Reference!$B$6:$B$11,MIN(5,MATCH(MAX(Reference!$A$6,MIN(Reference!$A$11,MIN(E23,210))),Reference!$A$6:$A$11,1))+1)-INDEX(Reference!$B$6:$B$11,MIN(5,MATCH(MAX(Reference!$A$6,MIN(Reference!$A$11,MIN(E23,210))),Reference!$A$6:$A$11,1))))/(INDEX(Reference!$A$6:$A$11,MIN(5,MATCH(MAX(Reference!$A$6,MIN(Reference!$A$11,MIN(E23,210))),Reference!$A$6:$A$11,1))+1)-INDEX(Reference!$A$6:$A$11,MIN(5,MATCH(MAX(Reference!$A$6,MIN(Reference!$A$11,MIN(E23,210))),Reference!$A$6:$A$11,1))))),0)+IF(6&lt;=R23,(R23-6+3)*(INDEX(Reference!$B$6:$B$11,MIN(5,MATCH(MAX(Reference!$A$6,MIN(Reference!$A$11,MIN(E23,240))),Reference!$A$6:$A$11,1)))+(MAX(Reference!$A$6,MIN(Reference!$A$11,MIN(E23,240)))-INDEX(Reference!$A$6:$A$11,MIN(5,MATCH(MAX(Reference!$A$6,MIN(Reference!$A$11,MIN(E23,240))),Reference!$A$6:$A$11,1))))*(INDEX(Reference!$B$6:$B$11,MIN(5,MATCH(MAX(Reference!$A$6,MIN(Reference!$A$11,MIN(E23,240))),Reference!$A$6:$A$11,1))+1)-INDEX(Reference!$B$6:$B$11,MIN(5,MATCH(MAX(Reference!$A$6,MIN(Reference!$A$11,MIN(E23,240))),Reference!$A$6:$A$11,1))))/(INDEX(Reference!$A$6:$A$11,MIN(5,MATCH(MAX(Reference!$A$6,MIN(Reference!$A$11,MIN(E23,240))),Reference!$A$6:$A$11,1))+1)-INDEX(Reference!$A$6:$A$11,MIN(5,MATCH(MAX(Reference!$A$6,MIN(Reference!$A$11,MIN(E23,240))),Reference!$A$6:$A$11,1))))),0)+IF(7&lt;=R23,(R23-7+3)*(INDEX(Reference!$B$6:$B$11,MIN(5,MATCH(MAX(Reference!$A$6,MIN(Reference!$A$11,MIN(E23,270))),Reference!$A$6:$A$11,1)))+(MAX(Reference!$A$6,MIN(Reference!$A$11,MIN(E23,270)))-INDEX(Reference!$A$6:$A$11,MIN(5,MATCH(MAX(Reference!$A$6,MIN(Reference!$A$11,MIN(E23,270))),Reference!$A$6:$A$11,1))))*(INDEX(Reference!$B$6:$B$11,MIN(5,MATCH(MAX(Reference!$A$6,MIN(Reference!$A$11,MIN(E23,270))),Reference!$A$6:$A$11,1))+1)-INDEX(Reference!$B$6:$B$11,MIN(5,MATCH(MAX(Reference!$A$6,MIN(Reference!$A$11,MIN(E23,270))),Reference!$A$6:$A$11,1))))/(INDEX(Reference!$A$6:$A$11,MIN(5,MATCH(MAX(Reference!$A$6,MIN(Reference!$A$11,MIN(E23,270))),Reference!$A$6:$A$11,1))+1)-INDEX(Reference!$A$6:$A$11,MIN(5,MATCH(MAX(Reference!$A$6,MIN(Reference!$A$11,MIN(E23,270))),Reference!$A$6:$A$11,1))))),0)+IF(8&lt;=R23,(R23-8+3)*(INDEX(Reference!$B$6:$B$11,MIN(5,MATCH(MAX(Reference!$A$6,MIN(Reference!$A$11,MIN(E23,300))),Reference!$A$6:$A$11,1)))+(MAX(Reference!$A$6,MIN(Reference!$A$11,MIN(E23,300)))-INDEX(Reference!$A$6:$A$11,MIN(5,MATCH(MAX(Reference!$A$6,MIN(Reference!$A$11,MIN(E23,300))),Reference!$A$6:$A$11,1))))*(INDEX(Reference!$B$6:$B$11,MIN(5,MATCH(MAX(Reference!$A$6,MIN(Reference!$A$11,MIN(E23,300))),Reference!$A$6:$A$11,1))+1)-INDEX(Reference!$B$6:$B$11,MIN(5,MATCH(MAX(Reference!$A$6,MIN(Reference!$A$11,MIN(E23,300))),Reference!$A$6:$A$11,1))))/(INDEX(Reference!$A$6:$A$11,MIN(5,MATCH(MAX(Reference!$A$6,MIN(Reference!$A$11,MIN(E23,300))),Reference!$A$6:$A$11,1))+1)-INDEX(Reference!$A$6:$A$11,MIN(5,MATCH(MAX(Reference!$A$6,MIN(Reference!$A$11,MIN(E23,300))),Reference!$A$6:$A$11,1))))),0))/(R23*(R23+5)/2)),(INDEX(Reference!$B$6:$B$11,MIN(5,MATCH(MAX(Reference!$A$6,MIN(Reference!$A$11,E23)),Reference!$A$6:$A$11,1)))+(MAX(Reference!$A$6,MIN(Reference!$A$11,E23))-INDEX(Reference!$A$6:$A$11,MIN(5,MATCH(MAX(Reference!$A$6,MIN(Reference!$A$11,E23)),Reference!$A$6:$A$11,1))))*(INDEX(Reference!$B$6:$B$11,MIN(5,MATCH(MAX(Reference!$A$6,MIN(Reference!$A$11,E23)),Reference!$A$6:$A$11,1))+1)-INDEX(Reference!$B$6:$B$11,MIN(5,MATCH(MAX(Reference!$A$6,MIN(Reference!$A$11,E23)),Reference!$A$6:$A$11,1))))/(INDEX(Reference!$A$6:$A$11,MIN(5,MATCH(MAX(Reference!$A$6,MIN(Reference!$A$11,E23)),Reference!$A$6:$A$11,1))+1)-INDEX(Reference!$A$6:$A$11,MIN(5,MATCH(MAX(Reference!$A$6,MIN(Reference!$A$11,E23)),Reference!$A$6:$A$11,1))))))))</f>
        <v>1</v>
      </c>
      <c r="O23" s="32">
        <f>VLOOKUP(MAX(K23,0),Reference!$A$17:$B$20,2,TRUE())</f>
        <v>1.5</v>
      </c>
      <c r="P23" s="30">
        <f t="shared" si="4"/>
        <v>26.25</v>
      </c>
      <c r="Q23" s="47" t="str">
        <f t="shared" si="5"/>
        <v/>
      </c>
      <c r="R23">
        <f t="shared" si="6"/>
        <v>1</v>
      </c>
    </row>
    <row r="24" spans="1:18" x14ac:dyDescent="0.3">
      <c r="A24" s="20" t="s">
        <v>85</v>
      </c>
      <c r="B24" s="20">
        <v>1</v>
      </c>
      <c r="C24" s="20">
        <v>1</v>
      </c>
      <c r="D24" s="20" t="s">
        <v>50</v>
      </c>
      <c r="E24" s="20">
        <v>90</v>
      </c>
      <c r="F24" s="20">
        <v>20</v>
      </c>
      <c r="G24" s="20">
        <v>30</v>
      </c>
      <c r="H24" s="30">
        <f t="shared" si="0"/>
        <v>25</v>
      </c>
      <c r="I24" s="20">
        <v>7</v>
      </c>
      <c r="J24" s="20">
        <v>9</v>
      </c>
      <c r="K24" s="30">
        <f t="shared" si="1"/>
        <v>8</v>
      </c>
      <c r="L24" s="32">
        <f t="shared" si="2"/>
        <v>79</v>
      </c>
      <c r="M24" s="32">
        <f t="shared" si="3"/>
        <v>81</v>
      </c>
      <c r="N24" s="46">
        <f>IF(OR(D24="Bullpen",D24="Game"),IFERROR(INDEX(Reference!$B$61:$B$62,MATCH(D24,Reference!$A$61:$A$62,0)),""),IF(E24="","",IF(R24&gt;1,((IF(1&lt;=R24,(R24-1+3)*(INDEX(Reference!$B$6:$B$11,MIN(5,MATCH(MAX(Reference!$A$6,MIN(Reference!$A$11,MIN(E24,90))),Reference!$A$6:$A$11,1)))+(MAX(Reference!$A$6,MIN(Reference!$A$11,MIN(E24,90)))-INDEX(Reference!$A$6:$A$11,MIN(5,MATCH(MAX(Reference!$A$6,MIN(Reference!$A$11,MIN(E24,90))),Reference!$A$6:$A$11,1))))*(INDEX(Reference!$B$6:$B$11,MIN(5,MATCH(MAX(Reference!$A$6,MIN(Reference!$A$11,MIN(E24,90))),Reference!$A$6:$A$11,1))+1)-INDEX(Reference!$B$6:$B$11,MIN(5,MATCH(MAX(Reference!$A$6,MIN(Reference!$A$11,MIN(E24,90))),Reference!$A$6:$A$11,1))))/(INDEX(Reference!$A$6:$A$11,MIN(5,MATCH(MAX(Reference!$A$6,MIN(Reference!$A$11,MIN(E24,90))),Reference!$A$6:$A$11,1))+1)-INDEX(Reference!$A$6:$A$11,MIN(5,MATCH(MAX(Reference!$A$6,MIN(Reference!$A$11,MIN(E24,90))),Reference!$A$6:$A$11,1))))),0)+IF(2&lt;=R24,(R24-2+3)*(INDEX(Reference!$B$6:$B$11,MIN(5,MATCH(MAX(Reference!$A$6,MIN(Reference!$A$11,MIN(E24,120))),Reference!$A$6:$A$11,1)))+(MAX(Reference!$A$6,MIN(Reference!$A$11,MIN(E24,120)))-INDEX(Reference!$A$6:$A$11,MIN(5,MATCH(MAX(Reference!$A$6,MIN(Reference!$A$11,MIN(E24,120))),Reference!$A$6:$A$11,1))))*(INDEX(Reference!$B$6:$B$11,MIN(5,MATCH(MAX(Reference!$A$6,MIN(Reference!$A$11,MIN(E24,120))),Reference!$A$6:$A$11,1))+1)-INDEX(Reference!$B$6:$B$11,MIN(5,MATCH(MAX(Reference!$A$6,MIN(Reference!$A$11,MIN(E24,120))),Reference!$A$6:$A$11,1))))/(INDEX(Reference!$A$6:$A$11,MIN(5,MATCH(MAX(Reference!$A$6,MIN(Reference!$A$11,MIN(E24,120))),Reference!$A$6:$A$11,1))+1)-INDEX(Reference!$A$6:$A$11,MIN(5,MATCH(MAX(Reference!$A$6,MIN(Reference!$A$11,MIN(E24,120))),Reference!$A$6:$A$11,1))))),0)+IF(3&lt;=R24,(R24-3+3)*(INDEX(Reference!$B$6:$B$11,MIN(5,MATCH(MAX(Reference!$A$6,MIN(Reference!$A$11,MIN(E24,150))),Reference!$A$6:$A$11,1)))+(MAX(Reference!$A$6,MIN(Reference!$A$11,MIN(E24,150)))-INDEX(Reference!$A$6:$A$11,MIN(5,MATCH(MAX(Reference!$A$6,MIN(Reference!$A$11,MIN(E24,150))),Reference!$A$6:$A$11,1))))*(INDEX(Reference!$B$6:$B$11,MIN(5,MATCH(MAX(Reference!$A$6,MIN(Reference!$A$11,MIN(E24,150))),Reference!$A$6:$A$11,1))+1)-INDEX(Reference!$B$6:$B$11,MIN(5,MATCH(MAX(Reference!$A$6,MIN(Reference!$A$11,MIN(E24,150))),Reference!$A$6:$A$11,1))))/(INDEX(Reference!$A$6:$A$11,MIN(5,MATCH(MAX(Reference!$A$6,MIN(Reference!$A$11,MIN(E24,150))),Reference!$A$6:$A$11,1))+1)-INDEX(Reference!$A$6:$A$11,MIN(5,MATCH(MAX(Reference!$A$6,MIN(Reference!$A$11,MIN(E24,150))),Reference!$A$6:$A$11,1))))),0)+IF(4&lt;=R24,(R24-4+3)*(INDEX(Reference!$B$6:$B$11,MIN(5,MATCH(MAX(Reference!$A$6,MIN(Reference!$A$11,MIN(E24,180))),Reference!$A$6:$A$11,1)))+(MAX(Reference!$A$6,MIN(Reference!$A$11,MIN(E24,180)))-INDEX(Reference!$A$6:$A$11,MIN(5,MATCH(MAX(Reference!$A$6,MIN(Reference!$A$11,MIN(E24,180))),Reference!$A$6:$A$11,1))))*(INDEX(Reference!$B$6:$B$11,MIN(5,MATCH(MAX(Reference!$A$6,MIN(Reference!$A$11,MIN(E24,180))),Reference!$A$6:$A$11,1))+1)-INDEX(Reference!$B$6:$B$11,MIN(5,MATCH(MAX(Reference!$A$6,MIN(Reference!$A$11,MIN(E24,180))),Reference!$A$6:$A$11,1))))/(INDEX(Reference!$A$6:$A$11,MIN(5,MATCH(MAX(Reference!$A$6,MIN(Reference!$A$11,MIN(E24,180))),Reference!$A$6:$A$11,1))+1)-INDEX(Reference!$A$6:$A$11,MIN(5,MATCH(MAX(Reference!$A$6,MIN(Reference!$A$11,MIN(E24,180))),Reference!$A$6:$A$11,1))))),0)+IF(5&lt;=R24,(R24-5+3)*(INDEX(Reference!$B$6:$B$11,MIN(5,MATCH(MAX(Reference!$A$6,MIN(Reference!$A$11,MIN(E24,210))),Reference!$A$6:$A$11,1)))+(MAX(Reference!$A$6,MIN(Reference!$A$11,MIN(E24,210)))-INDEX(Reference!$A$6:$A$11,MIN(5,MATCH(MAX(Reference!$A$6,MIN(Reference!$A$11,MIN(E24,210))),Reference!$A$6:$A$11,1))))*(INDEX(Reference!$B$6:$B$11,MIN(5,MATCH(MAX(Reference!$A$6,MIN(Reference!$A$11,MIN(E24,210))),Reference!$A$6:$A$11,1))+1)-INDEX(Reference!$B$6:$B$11,MIN(5,MATCH(MAX(Reference!$A$6,MIN(Reference!$A$11,MIN(E24,210))),Reference!$A$6:$A$11,1))))/(INDEX(Reference!$A$6:$A$11,MIN(5,MATCH(MAX(Reference!$A$6,MIN(Reference!$A$11,MIN(E24,210))),Reference!$A$6:$A$11,1))+1)-INDEX(Reference!$A$6:$A$11,MIN(5,MATCH(MAX(Reference!$A$6,MIN(Reference!$A$11,MIN(E24,210))),Reference!$A$6:$A$11,1))))),0)+IF(6&lt;=R24,(R24-6+3)*(INDEX(Reference!$B$6:$B$11,MIN(5,MATCH(MAX(Reference!$A$6,MIN(Reference!$A$11,MIN(E24,240))),Reference!$A$6:$A$11,1)))+(MAX(Reference!$A$6,MIN(Reference!$A$11,MIN(E24,240)))-INDEX(Reference!$A$6:$A$11,MIN(5,MATCH(MAX(Reference!$A$6,MIN(Reference!$A$11,MIN(E24,240))),Reference!$A$6:$A$11,1))))*(INDEX(Reference!$B$6:$B$11,MIN(5,MATCH(MAX(Reference!$A$6,MIN(Reference!$A$11,MIN(E24,240))),Reference!$A$6:$A$11,1))+1)-INDEX(Reference!$B$6:$B$11,MIN(5,MATCH(MAX(Reference!$A$6,MIN(Reference!$A$11,MIN(E24,240))),Reference!$A$6:$A$11,1))))/(INDEX(Reference!$A$6:$A$11,MIN(5,MATCH(MAX(Reference!$A$6,MIN(Reference!$A$11,MIN(E24,240))),Reference!$A$6:$A$11,1))+1)-INDEX(Reference!$A$6:$A$11,MIN(5,MATCH(MAX(Reference!$A$6,MIN(Reference!$A$11,MIN(E24,240))),Reference!$A$6:$A$11,1))))),0)+IF(7&lt;=R24,(R24-7+3)*(INDEX(Reference!$B$6:$B$11,MIN(5,MATCH(MAX(Reference!$A$6,MIN(Reference!$A$11,MIN(E24,270))),Reference!$A$6:$A$11,1)))+(MAX(Reference!$A$6,MIN(Reference!$A$11,MIN(E24,270)))-INDEX(Reference!$A$6:$A$11,MIN(5,MATCH(MAX(Reference!$A$6,MIN(Reference!$A$11,MIN(E24,270))),Reference!$A$6:$A$11,1))))*(INDEX(Reference!$B$6:$B$11,MIN(5,MATCH(MAX(Reference!$A$6,MIN(Reference!$A$11,MIN(E24,270))),Reference!$A$6:$A$11,1))+1)-INDEX(Reference!$B$6:$B$11,MIN(5,MATCH(MAX(Reference!$A$6,MIN(Reference!$A$11,MIN(E24,270))),Reference!$A$6:$A$11,1))))/(INDEX(Reference!$A$6:$A$11,MIN(5,MATCH(MAX(Reference!$A$6,MIN(Reference!$A$11,MIN(E24,270))),Reference!$A$6:$A$11,1))+1)-INDEX(Reference!$A$6:$A$11,MIN(5,MATCH(MAX(Reference!$A$6,MIN(Reference!$A$11,MIN(E24,270))),Reference!$A$6:$A$11,1))))),0)+IF(8&lt;=R24,(R24-8+3)*(INDEX(Reference!$B$6:$B$11,MIN(5,MATCH(MAX(Reference!$A$6,MIN(Reference!$A$11,MIN(E24,300))),Reference!$A$6:$A$11,1)))+(MAX(Reference!$A$6,MIN(Reference!$A$11,MIN(E24,300)))-INDEX(Reference!$A$6:$A$11,MIN(5,MATCH(MAX(Reference!$A$6,MIN(Reference!$A$11,MIN(E24,300))),Reference!$A$6:$A$11,1))))*(INDEX(Reference!$B$6:$B$11,MIN(5,MATCH(MAX(Reference!$A$6,MIN(Reference!$A$11,MIN(E24,300))),Reference!$A$6:$A$11,1))+1)-INDEX(Reference!$B$6:$B$11,MIN(5,MATCH(MAX(Reference!$A$6,MIN(Reference!$A$11,MIN(E24,300))),Reference!$A$6:$A$11,1))))/(INDEX(Reference!$A$6:$A$11,MIN(5,MATCH(MAX(Reference!$A$6,MIN(Reference!$A$11,MIN(E24,300))),Reference!$A$6:$A$11,1))+1)-INDEX(Reference!$A$6:$A$11,MIN(5,MATCH(MAX(Reference!$A$6,MIN(Reference!$A$11,MIN(E24,300))),Reference!$A$6:$A$11,1))))),0))/(R24*(R24+5)/2)),(INDEX(Reference!$B$6:$B$11,MIN(5,MATCH(MAX(Reference!$A$6,MIN(Reference!$A$11,E24)),Reference!$A$6:$A$11,1)))+(MAX(Reference!$A$6,MIN(Reference!$A$11,E24))-INDEX(Reference!$A$6:$A$11,MIN(5,MATCH(MAX(Reference!$A$6,MIN(Reference!$A$11,E24)),Reference!$A$6:$A$11,1))))*(INDEX(Reference!$B$6:$B$11,MIN(5,MATCH(MAX(Reference!$A$6,MIN(Reference!$A$11,E24)),Reference!$A$6:$A$11,1))+1)-INDEX(Reference!$B$6:$B$11,MIN(5,MATCH(MAX(Reference!$A$6,MIN(Reference!$A$11,E24)),Reference!$A$6:$A$11,1))))/(INDEX(Reference!$A$6:$A$11,MIN(5,MATCH(MAX(Reference!$A$6,MIN(Reference!$A$11,E24)),Reference!$A$6:$A$11,1))+1)-INDEX(Reference!$A$6:$A$11,MIN(5,MATCH(MAX(Reference!$A$6,MIN(Reference!$A$11,E24)),Reference!$A$6:$A$11,1))))))))</f>
        <v>1.3</v>
      </c>
      <c r="O24" s="32">
        <f>VLOOKUP(MAX(K24,0),Reference!$A$17:$B$20,2,TRUE())</f>
        <v>1</v>
      </c>
      <c r="P24" s="30">
        <f t="shared" si="4"/>
        <v>32.5</v>
      </c>
      <c r="Q24" s="47" t="str">
        <f t="shared" si="5"/>
        <v/>
      </c>
      <c r="R24">
        <f t="shared" si="6"/>
        <v>1</v>
      </c>
    </row>
    <row r="25" spans="1:18" x14ac:dyDescent="0.3">
      <c r="A25" s="20" t="s">
        <v>85</v>
      </c>
      <c r="B25" s="20">
        <v>1</v>
      </c>
      <c r="C25" s="20">
        <v>2</v>
      </c>
      <c r="D25" s="20" t="s">
        <v>52</v>
      </c>
      <c r="E25" s="31"/>
      <c r="F25" s="20">
        <v>25</v>
      </c>
      <c r="G25" s="20">
        <v>35</v>
      </c>
      <c r="H25" s="30">
        <f t="shared" si="0"/>
        <v>30</v>
      </c>
      <c r="I25" s="20">
        <v>0</v>
      </c>
      <c r="J25" s="20">
        <v>3</v>
      </c>
      <c r="K25" s="30">
        <f t="shared" si="1"/>
        <v>1.5</v>
      </c>
      <c r="L25" s="32">
        <f t="shared" si="2"/>
        <v>85</v>
      </c>
      <c r="M25" s="32">
        <f t="shared" si="3"/>
        <v>88</v>
      </c>
      <c r="N25" s="46">
        <f>IF(OR(D25="Bullpen",D25="Game"),IFERROR(INDEX(Reference!$B$61:$B$62,MATCH(D25,Reference!$A$61:$A$62,0)),""),IF(E25="","",IF(R25&gt;1,((IF(1&lt;=R25,(R25-1+3)*(INDEX(Reference!$B$6:$B$11,MIN(5,MATCH(MAX(Reference!$A$6,MIN(Reference!$A$11,MIN(E25,90))),Reference!$A$6:$A$11,1)))+(MAX(Reference!$A$6,MIN(Reference!$A$11,MIN(E25,90)))-INDEX(Reference!$A$6:$A$11,MIN(5,MATCH(MAX(Reference!$A$6,MIN(Reference!$A$11,MIN(E25,90))),Reference!$A$6:$A$11,1))))*(INDEX(Reference!$B$6:$B$11,MIN(5,MATCH(MAX(Reference!$A$6,MIN(Reference!$A$11,MIN(E25,90))),Reference!$A$6:$A$11,1))+1)-INDEX(Reference!$B$6:$B$11,MIN(5,MATCH(MAX(Reference!$A$6,MIN(Reference!$A$11,MIN(E25,90))),Reference!$A$6:$A$11,1))))/(INDEX(Reference!$A$6:$A$11,MIN(5,MATCH(MAX(Reference!$A$6,MIN(Reference!$A$11,MIN(E25,90))),Reference!$A$6:$A$11,1))+1)-INDEX(Reference!$A$6:$A$11,MIN(5,MATCH(MAX(Reference!$A$6,MIN(Reference!$A$11,MIN(E25,90))),Reference!$A$6:$A$11,1))))),0)+IF(2&lt;=R25,(R25-2+3)*(INDEX(Reference!$B$6:$B$11,MIN(5,MATCH(MAX(Reference!$A$6,MIN(Reference!$A$11,MIN(E25,120))),Reference!$A$6:$A$11,1)))+(MAX(Reference!$A$6,MIN(Reference!$A$11,MIN(E25,120)))-INDEX(Reference!$A$6:$A$11,MIN(5,MATCH(MAX(Reference!$A$6,MIN(Reference!$A$11,MIN(E25,120))),Reference!$A$6:$A$11,1))))*(INDEX(Reference!$B$6:$B$11,MIN(5,MATCH(MAX(Reference!$A$6,MIN(Reference!$A$11,MIN(E25,120))),Reference!$A$6:$A$11,1))+1)-INDEX(Reference!$B$6:$B$11,MIN(5,MATCH(MAX(Reference!$A$6,MIN(Reference!$A$11,MIN(E25,120))),Reference!$A$6:$A$11,1))))/(INDEX(Reference!$A$6:$A$11,MIN(5,MATCH(MAX(Reference!$A$6,MIN(Reference!$A$11,MIN(E25,120))),Reference!$A$6:$A$11,1))+1)-INDEX(Reference!$A$6:$A$11,MIN(5,MATCH(MAX(Reference!$A$6,MIN(Reference!$A$11,MIN(E25,120))),Reference!$A$6:$A$11,1))))),0)+IF(3&lt;=R25,(R25-3+3)*(INDEX(Reference!$B$6:$B$11,MIN(5,MATCH(MAX(Reference!$A$6,MIN(Reference!$A$11,MIN(E25,150))),Reference!$A$6:$A$11,1)))+(MAX(Reference!$A$6,MIN(Reference!$A$11,MIN(E25,150)))-INDEX(Reference!$A$6:$A$11,MIN(5,MATCH(MAX(Reference!$A$6,MIN(Reference!$A$11,MIN(E25,150))),Reference!$A$6:$A$11,1))))*(INDEX(Reference!$B$6:$B$11,MIN(5,MATCH(MAX(Reference!$A$6,MIN(Reference!$A$11,MIN(E25,150))),Reference!$A$6:$A$11,1))+1)-INDEX(Reference!$B$6:$B$11,MIN(5,MATCH(MAX(Reference!$A$6,MIN(Reference!$A$11,MIN(E25,150))),Reference!$A$6:$A$11,1))))/(INDEX(Reference!$A$6:$A$11,MIN(5,MATCH(MAX(Reference!$A$6,MIN(Reference!$A$11,MIN(E25,150))),Reference!$A$6:$A$11,1))+1)-INDEX(Reference!$A$6:$A$11,MIN(5,MATCH(MAX(Reference!$A$6,MIN(Reference!$A$11,MIN(E25,150))),Reference!$A$6:$A$11,1))))),0)+IF(4&lt;=R25,(R25-4+3)*(INDEX(Reference!$B$6:$B$11,MIN(5,MATCH(MAX(Reference!$A$6,MIN(Reference!$A$11,MIN(E25,180))),Reference!$A$6:$A$11,1)))+(MAX(Reference!$A$6,MIN(Reference!$A$11,MIN(E25,180)))-INDEX(Reference!$A$6:$A$11,MIN(5,MATCH(MAX(Reference!$A$6,MIN(Reference!$A$11,MIN(E25,180))),Reference!$A$6:$A$11,1))))*(INDEX(Reference!$B$6:$B$11,MIN(5,MATCH(MAX(Reference!$A$6,MIN(Reference!$A$11,MIN(E25,180))),Reference!$A$6:$A$11,1))+1)-INDEX(Reference!$B$6:$B$11,MIN(5,MATCH(MAX(Reference!$A$6,MIN(Reference!$A$11,MIN(E25,180))),Reference!$A$6:$A$11,1))))/(INDEX(Reference!$A$6:$A$11,MIN(5,MATCH(MAX(Reference!$A$6,MIN(Reference!$A$11,MIN(E25,180))),Reference!$A$6:$A$11,1))+1)-INDEX(Reference!$A$6:$A$11,MIN(5,MATCH(MAX(Reference!$A$6,MIN(Reference!$A$11,MIN(E25,180))),Reference!$A$6:$A$11,1))))),0)+IF(5&lt;=R25,(R25-5+3)*(INDEX(Reference!$B$6:$B$11,MIN(5,MATCH(MAX(Reference!$A$6,MIN(Reference!$A$11,MIN(E25,210))),Reference!$A$6:$A$11,1)))+(MAX(Reference!$A$6,MIN(Reference!$A$11,MIN(E25,210)))-INDEX(Reference!$A$6:$A$11,MIN(5,MATCH(MAX(Reference!$A$6,MIN(Reference!$A$11,MIN(E25,210))),Reference!$A$6:$A$11,1))))*(INDEX(Reference!$B$6:$B$11,MIN(5,MATCH(MAX(Reference!$A$6,MIN(Reference!$A$11,MIN(E25,210))),Reference!$A$6:$A$11,1))+1)-INDEX(Reference!$B$6:$B$11,MIN(5,MATCH(MAX(Reference!$A$6,MIN(Reference!$A$11,MIN(E25,210))),Reference!$A$6:$A$11,1))))/(INDEX(Reference!$A$6:$A$11,MIN(5,MATCH(MAX(Reference!$A$6,MIN(Reference!$A$11,MIN(E25,210))),Reference!$A$6:$A$11,1))+1)-INDEX(Reference!$A$6:$A$11,MIN(5,MATCH(MAX(Reference!$A$6,MIN(Reference!$A$11,MIN(E25,210))),Reference!$A$6:$A$11,1))))),0)+IF(6&lt;=R25,(R25-6+3)*(INDEX(Reference!$B$6:$B$11,MIN(5,MATCH(MAX(Reference!$A$6,MIN(Reference!$A$11,MIN(E25,240))),Reference!$A$6:$A$11,1)))+(MAX(Reference!$A$6,MIN(Reference!$A$11,MIN(E25,240)))-INDEX(Reference!$A$6:$A$11,MIN(5,MATCH(MAX(Reference!$A$6,MIN(Reference!$A$11,MIN(E25,240))),Reference!$A$6:$A$11,1))))*(INDEX(Reference!$B$6:$B$11,MIN(5,MATCH(MAX(Reference!$A$6,MIN(Reference!$A$11,MIN(E25,240))),Reference!$A$6:$A$11,1))+1)-INDEX(Reference!$B$6:$B$11,MIN(5,MATCH(MAX(Reference!$A$6,MIN(Reference!$A$11,MIN(E25,240))),Reference!$A$6:$A$11,1))))/(INDEX(Reference!$A$6:$A$11,MIN(5,MATCH(MAX(Reference!$A$6,MIN(Reference!$A$11,MIN(E25,240))),Reference!$A$6:$A$11,1))+1)-INDEX(Reference!$A$6:$A$11,MIN(5,MATCH(MAX(Reference!$A$6,MIN(Reference!$A$11,MIN(E25,240))),Reference!$A$6:$A$11,1))))),0)+IF(7&lt;=R25,(R25-7+3)*(INDEX(Reference!$B$6:$B$11,MIN(5,MATCH(MAX(Reference!$A$6,MIN(Reference!$A$11,MIN(E25,270))),Reference!$A$6:$A$11,1)))+(MAX(Reference!$A$6,MIN(Reference!$A$11,MIN(E25,270)))-INDEX(Reference!$A$6:$A$11,MIN(5,MATCH(MAX(Reference!$A$6,MIN(Reference!$A$11,MIN(E25,270))),Reference!$A$6:$A$11,1))))*(INDEX(Reference!$B$6:$B$11,MIN(5,MATCH(MAX(Reference!$A$6,MIN(Reference!$A$11,MIN(E25,270))),Reference!$A$6:$A$11,1))+1)-INDEX(Reference!$B$6:$B$11,MIN(5,MATCH(MAX(Reference!$A$6,MIN(Reference!$A$11,MIN(E25,270))),Reference!$A$6:$A$11,1))))/(INDEX(Reference!$A$6:$A$11,MIN(5,MATCH(MAX(Reference!$A$6,MIN(Reference!$A$11,MIN(E25,270))),Reference!$A$6:$A$11,1))+1)-INDEX(Reference!$A$6:$A$11,MIN(5,MATCH(MAX(Reference!$A$6,MIN(Reference!$A$11,MIN(E25,270))),Reference!$A$6:$A$11,1))))),0)+IF(8&lt;=R25,(R25-8+3)*(INDEX(Reference!$B$6:$B$11,MIN(5,MATCH(MAX(Reference!$A$6,MIN(Reference!$A$11,MIN(E25,300))),Reference!$A$6:$A$11,1)))+(MAX(Reference!$A$6,MIN(Reference!$A$11,MIN(E25,300)))-INDEX(Reference!$A$6:$A$11,MIN(5,MATCH(MAX(Reference!$A$6,MIN(Reference!$A$11,MIN(E25,300))),Reference!$A$6:$A$11,1))))*(INDEX(Reference!$B$6:$B$11,MIN(5,MATCH(MAX(Reference!$A$6,MIN(Reference!$A$11,MIN(E25,300))),Reference!$A$6:$A$11,1))+1)-INDEX(Reference!$B$6:$B$11,MIN(5,MATCH(MAX(Reference!$A$6,MIN(Reference!$A$11,MIN(E25,300))),Reference!$A$6:$A$11,1))))/(INDEX(Reference!$A$6:$A$11,MIN(5,MATCH(MAX(Reference!$A$6,MIN(Reference!$A$11,MIN(E25,300))),Reference!$A$6:$A$11,1))+1)-INDEX(Reference!$A$6:$A$11,MIN(5,MATCH(MAX(Reference!$A$6,MIN(Reference!$A$11,MIN(E25,300))),Reference!$A$6:$A$11,1))))),0))/(R25*(R25+5)/2)),(INDEX(Reference!$B$6:$B$11,MIN(5,MATCH(MAX(Reference!$A$6,MIN(Reference!$A$11,E25)),Reference!$A$6:$A$11,1)))+(MAX(Reference!$A$6,MIN(Reference!$A$11,E25))-INDEX(Reference!$A$6:$A$11,MIN(5,MATCH(MAX(Reference!$A$6,MIN(Reference!$A$11,E25)),Reference!$A$6:$A$11,1))))*(INDEX(Reference!$B$6:$B$11,MIN(5,MATCH(MAX(Reference!$A$6,MIN(Reference!$A$11,E25)),Reference!$A$6:$A$11,1))+1)-INDEX(Reference!$B$6:$B$11,MIN(5,MATCH(MAX(Reference!$A$6,MIN(Reference!$A$11,E25)),Reference!$A$6:$A$11,1))))/(INDEX(Reference!$A$6:$A$11,MIN(5,MATCH(MAX(Reference!$A$6,MIN(Reference!$A$11,E25)),Reference!$A$6:$A$11,1))+1)-INDEX(Reference!$A$6:$A$11,MIN(5,MATCH(MAX(Reference!$A$6,MIN(Reference!$A$11,E25)),Reference!$A$6:$A$11,1))))))))</f>
        <v>3</v>
      </c>
      <c r="O25" s="32">
        <f>VLOOKUP(MAX(K25,0),Reference!$A$17:$B$20,2,TRUE())</f>
        <v>2</v>
      </c>
      <c r="P25" s="30">
        <f t="shared" si="4"/>
        <v>180</v>
      </c>
      <c r="Q25" s="47" t="str">
        <f t="shared" si="5"/>
        <v/>
      </c>
      <c r="R25">
        <f t="shared" si="6"/>
        <v>1</v>
      </c>
    </row>
    <row r="26" spans="1:18" x14ac:dyDescent="0.3">
      <c r="A26" s="20" t="s">
        <v>85</v>
      </c>
      <c r="B26" s="20">
        <v>2</v>
      </c>
      <c r="C26" s="20">
        <v>1</v>
      </c>
      <c r="D26" s="20" t="s">
        <v>50</v>
      </c>
      <c r="E26" s="20">
        <v>120</v>
      </c>
      <c r="F26" s="20">
        <v>15</v>
      </c>
      <c r="G26" s="20">
        <v>25</v>
      </c>
      <c r="H26" s="30">
        <f t="shared" si="0"/>
        <v>20</v>
      </c>
      <c r="I26" s="20">
        <v>7</v>
      </c>
      <c r="J26" s="20">
        <v>9</v>
      </c>
      <c r="K26" s="30">
        <f t="shared" si="1"/>
        <v>8</v>
      </c>
      <c r="L26" s="32">
        <f t="shared" si="2"/>
        <v>79</v>
      </c>
      <c r="M26" s="32">
        <f t="shared" si="3"/>
        <v>81</v>
      </c>
      <c r="N26" s="46">
        <f>IF(OR(D26="Bullpen",D26="Game"),IFERROR(INDEX(Reference!$B$61:$B$62,MATCH(D26,Reference!$A$61:$A$62,0)),""),IF(E26="","",IF(R26&gt;1,((IF(1&lt;=R26,(R26-1+3)*(INDEX(Reference!$B$6:$B$11,MIN(5,MATCH(MAX(Reference!$A$6,MIN(Reference!$A$11,MIN(E26,90))),Reference!$A$6:$A$11,1)))+(MAX(Reference!$A$6,MIN(Reference!$A$11,MIN(E26,90)))-INDEX(Reference!$A$6:$A$11,MIN(5,MATCH(MAX(Reference!$A$6,MIN(Reference!$A$11,MIN(E26,90))),Reference!$A$6:$A$11,1))))*(INDEX(Reference!$B$6:$B$11,MIN(5,MATCH(MAX(Reference!$A$6,MIN(Reference!$A$11,MIN(E26,90))),Reference!$A$6:$A$11,1))+1)-INDEX(Reference!$B$6:$B$11,MIN(5,MATCH(MAX(Reference!$A$6,MIN(Reference!$A$11,MIN(E26,90))),Reference!$A$6:$A$11,1))))/(INDEX(Reference!$A$6:$A$11,MIN(5,MATCH(MAX(Reference!$A$6,MIN(Reference!$A$11,MIN(E26,90))),Reference!$A$6:$A$11,1))+1)-INDEX(Reference!$A$6:$A$11,MIN(5,MATCH(MAX(Reference!$A$6,MIN(Reference!$A$11,MIN(E26,90))),Reference!$A$6:$A$11,1))))),0)+IF(2&lt;=R26,(R26-2+3)*(INDEX(Reference!$B$6:$B$11,MIN(5,MATCH(MAX(Reference!$A$6,MIN(Reference!$A$11,MIN(E26,120))),Reference!$A$6:$A$11,1)))+(MAX(Reference!$A$6,MIN(Reference!$A$11,MIN(E26,120)))-INDEX(Reference!$A$6:$A$11,MIN(5,MATCH(MAX(Reference!$A$6,MIN(Reference!$A$11,MIN(E26,120))),Reference!$A$6:$A$11,1))))*(INDEX(Reference!$B$6:$B$11,MIN(5,MATCH(MAX(Reference!$A$6,MIN(Reference!$A$11,MIN(E26,120))),Reference!$A$6:$A$11,1))+1)-INDEX(Reference!$B$6:$B$11,MIN(5,MATCH(MAX(Reference!$A$6,MIN(Reference!$A$11,MIN(E26,120))),Reference!$A$6:$A$11,1))))/(INDEX(Reference!$A$6:$A$11,MIN(5,MATCH(MAX(Reference!$A$6,MIN(Reference!$A$11,MIN(E26,120))),Reference!$A$6:$A$11,1))+1)-INDEX(Reference!$A$6:$A$11,MIN(5,MATCH(MAX(Reference!$A$6,MIN(Reference!$A$11,MIN(E26,120))),Reference!$A$6:$A$11,1))))),0)+IF(3&lt;=R26,(R26-3+3)*(INDEX(Reference!$B$6:$B$11,MIN(5,MATCH(MAX(Reference!$A$6,MIN(Reference!$A$11,MIN(E26,150))),Reference!$A$6:$A$11,1)))+(MAX(Reference!$A$6,MIN(Reference!$A$11,MIN(E26,150)))-INDEX(Reference!$A$6:$A$11,MIN(5,MATCH(MAX(Reference!$A$6,MIN(Reference!$A$11,MIN(E26,150))),Reference!$A$6:$A$11,1))))*(INDEX(Reference!$B$6:$B$11,MIN(5,MATCH(MAX(Reference!$A$6,MIN(Reference!$A$11,MIN(E26,150))),Reference!$A$6:$A$11,1))+1)-INDEX(Reference!$B$6:$B$11,MIN(5,MATCH(MAX(Reference!$A$6,MIN(Reference!$A$11,MIN(E26,150))),Reference!$A$6:$A$11,1))))/(INDEX(Reference!$A$6:$A$11,MIN(5,MATCH(MAX(Reference!$A$6,MIN(Reference!$A$11,MIN(E26,150))),Reference!$A$6:$A$11,1))+1)-INDEX(Reference!$A$6:$A$11,MIN(5,MATCH(MAX(Reference!$A$6,MIN(Reference!$A$11,MIN(E26,150))),Reference!$A$6:$A$11,1))))),0)+IF(4&lt;=R26,(R26-4+3)*(INDEX(Reference!$B$6:$B$11,MIN(5,MATCH(MAX(Reference!$A$6,MIN(Reference!$A$11,MIN(E26,180))),Reference!$A$6:$A$11,1)))+(MAX(Reference!$A$6,MIN(Reference!$A$11,MIN(E26,180)))-INDEX(Reference!$A$6:$A$11,MIN(5,MATCH(MAX(Reference!$A$6,MIN(Reference!$A$11,MIN(E26,180))),Reference!$A$6:$A$11,1))))*(INDEX(Reference!$B$6:$B$11,MIN(5,MATCH(MAX(Reference!$A$6,MIN(Reference!$A$11,MIN(E26,180))),Reference!$A$6:$A$11,1))+1)-INDEX(Reference!$B$6:$B$11,MIN(5,MATCH(MAX(Reference!$A$6,MIN(Reference!$A$11,MIN(E26,180))),Reference!$A$6:$A$11,1))))/(INDEX(Reference!$A$6:$A$11,MIN(5,MATCH(MAX(Reference!$A$6,MIN(Reference!$A$11,MIN(E26,180))),Reference!$A$6:$A$11,1))+1)-INDEX(Reference!$A$6:$A$11,MIN(5,MATCH(MAX(Reference!$A$6,MIN(Reference!$A$11,MIN(E26,180))),Reference!$A$6:$A$11,1))))),0)+IF(5&lt;=R26,(R26-5+3)*(INDEX(Reference!$B$6:$B$11,MIN(5,MATCH(MAX(Reference!$A$6,MIN(Reference!$A$11,MIN(E26,210))),Reference!$A$6:$A$11,1)))+(MAX(Reference!$A$6,MIN(Reference!$A$11,MIN(E26,210)))-INDEX(Reference!$A$6:$A$11,MIN(5,MATCH(MAX(Reference!$A$6,MIN(Reference!$A$11,MIN(E26,210))),Reference!$A$6:$A$11,1))))*(INDEX(Reference!$B$6:$B$11,MIN(5,MATCH(MAX(Reference!$A$6,MIN(Reference!$A$11,MIN(E26,210))),Reference!$A$6:$A$11,1))+1)-INDEX(Reference!$B$6:$B$11,MIN(5,MATCH(MAX(Reference!$A$6,MIN(Reference!$A$11,MIN(E26,210))),Reference!$A$6:$A$11,1))))/(INDEX(Reference!$A$6:$A$11,MIN(5,MATCH(MAX(Reference!$A$6,MIN(Reference!$A$11,MIN(E26,210))),Reference!$A$6:$A$11,1))+1)-INDEX(Reference!$A$6:$A$11,MIN(5,MATCH(MAX(Reference!$A$6,MIN(Reference!$A$11,MIN(E26,210))),Reference!$A$6:$A$11,1))))),0)+IF(6&lt;=R26,(R26-6+3)*(INDEX(Reference!$B$6:$B$11,MIN(5,MATCH(MAX(Reference!$A$6,MIN(Reference!$A$11,MIN(E26,240))),Reference!$A$6:$A$11,1)))+(MAX(Reference!$A$6,MIN(Reference!$A$11,MIN(E26,240)))-INDEX(Reference!$A$6:$A$11,MIN(5,MATCH(MAX(Reference!$A$6,MIN(Reference!$A$11,MIN(E26,240))),Reference!$A$6:$A$11,1))))*(INDEX(Reference!$B$6:$B$11,MIN(5,MATCH(MAX(Reference!$A$6,MIN(Reference!$A$11,MIN(E26,240))),Reference!$A$6:$A$11,1))+1)-INDEX(Reference!$B$6:$B$11,MIN(5,MATCH(MAX(Reference!$A$6,MIN(Reference!$A$11,MIN(E26,240))),Reference!$A$6:$A$11,1))))/(INDEX(Reference!$A$6:$A$11,MIN(5,MATCH(MAX(Reference!$A$6,MIN(Reference!$A$11,MIN(E26,240))),Reference!$A$6:$A$11,1))+1)-INDEX(Reference!$A$6:$A$11,MIN(5,MATCH(MAX(Reference!$A$6,MIN(Reference!$A$11,MIN(E26,240))),Reference!$A$6:$A$11,1))))),0)+IF(7&lt;=R26,(R26-7+3)*(INDEX(Reference!$B$6:$B$11,MIN(5,MATCH(MAX(Reference!$A$6,MIN(Reference!$A$11,MIN(E26,270))),Reference!$A$6:$A$11,1)))+(MAX(Reference!$A$6,MIN(Reference!$A$11,MIN(E26,270)))-INDEX(Reference!$A$6:$A$11,MIN(5,MATCH(MAX(Reference!$A$6,MIN(Reference!$A$11,MIN(E26,270))),Reference!$A$6:$A$11,1))))*(INDEX(Reference!$B$6:$B$11,MIN(5,MATCH(MAX(Reference!$A$6,MIN(Reference!$A$11,MIN(E26,270))),Reference!$A$6:$A$11,1))+1)-INDEX(Reference!$B$6:$B$11,MIN(5,MATCH(MAX(Reference!$A$6,MIN(Reference!$A$11,MIN(E26,270))),Reference!$A$6:$A$11,1))))/(INDEX(Reference!$A$6:$A$11,MIN(5,MATCH(MAX(Reference!$A$6,MIN(Reference!$A$11,MIN(E26,270))),Reference!$A$6:$A$11,1))+1)-INDEX(Reference!$A$6:$A$11,MIN(5,MATCH(MAX(Reference!$A$6,MIN(Reference!$A$11,MIN(E26,270))),Reference!$A$6:$A$11,1))))),0)+IF(8&lt;=R26,(R26-8+3)*(INDEX(Reference!$B$6:$B$11,MIN(5,MATCH(MAX(Reference!$A$6,MIN(Reference!$A$11,MIN(E26,300))),Reference!$A$6:$A$11,1)))+(MAX(Reference!$A$6,MIN(Reference!$A$11,MIN(E26,300)))-INDEX(Reference!$A$6:$A$11,MIN(5,MATCH(MAX(Reference!$A$6,MIN(Reference!$A$11,MIN(E26,300))),Reference!$A$6:$A$11,1))))*(INDEX(Reference!$B$6:$B$11,MIN(5,MATCH(MAX(Reference!$A$6,MIN(Reference!$A$11,MIN(E26,300))),Reference!$A$6:$A$11,1))+1)-INDEX(Reference!$B$6:$B$11,MIN(5,MATCH(MAX(Reference!$A$6,MIN(Reference!$A$11,MIN(E26,300))),Reference!$A$6:$A$11,1))))/(INDEX(Reference!$A$6:$A$11,MIN(5,MATCH(MAX(Reference!$A$6,MIN(Reference!$A$11,MIN(E26,300))),Reference!$A$6:$A$11,1))+1)-INDEX(Reference!$A$6:$A$11,MIN(5,MATCH(MAX(Reference!$A$6,MIN(Reference!$A$11,MIN(E26,300))),Reference!$A$6:$A$11,1))))),0))/(R26*(R26+5)/2)),(INDEX(Reference!$B$6:$B$11,MIN(5,MATCH(MAX(Reference!$A$6,MIN(Reference!$A$11,E26)),Reference!$A$6:$A$11,1)))+(MAX(Reference!$A$6,MIN(Reference!$A$11,E26))-INDEX(Reference!$A$6:$A$11,MIN(5,MATCH(MAX(Reference!$A$6,MIN(Reference!$A$11,E26)),Reference!$A$6:$A$11,1))))*(INDEX(Reference!$B$6:$B$11,MIN(5,MATCH(MAX(Reference!$A$6,MIN(Reference!$A$11,E26)),Reference!$A$6:$A$11,1))+1)-INDEX(Reference!$B$6:$B$11,MIN(5,MATCH(MAX(Reference!$A$6,MIN(Reference!$A$11,E26)),Reference!$A$6:$A$11,1))))/(INDEX(Reference!$A$6:$A$11,MIN(5,MATCH(MAX(Reference!$A$6,MIN(Reference!$A$11,E26)),Reference!$A$6:$A$11,1))+1)-INDEX(Reference!$A$6:$A$11,MIN(5,MATCH(MAX(Reference!$A$6,MIN(Reference!$A$11,E26)),Reference!$A$6:$A$11,1))))))))</f>
        <v>1.4714285714285715</v>
      </c>
      <c r="O26" s="32">
        <f>VLOOKUP(MAX(K26,0),Reference!$A$17:$B$20,2,TRUE())</f>
        <v>1</v>
      </c>
      <c r="P26" s="30">
        <f t="shared" si="4"/>
        <v>29.428571428571431</v>
      </c>
      <c r="Q26" s="47" t="str">
        <f t="shared" si="5"/>
        <v>90×11 · 120×9</v>
      </c>
      <c r="R26">
        <f t="shared" si="6"/>
        <v>2</v>
      </c>
    </row>
    <row r="27" spans="1:18" x14ac:dyDescent="0.3">
      <c r="A27" s="20" t="s">
        <v>85</v>
      </c>
      <c r="B27" s="20">
        <v>2</v>
      </c>
      <c r="C27" s="20">
        <v>2</v>
      </c>
      <c r="D27" s="20" t="s">
        <v>52</v>
      </c>
      <c r="E27" s="31"/>
      <c r="F27" s="20">
        <v>20</v>
      </c>
      <c r="G27" s="20">
        <v>25</v>
      </c>
      <c r="H27" s="30">
        <f t="shared" si="0"/>
        <v>22.5</v>
      </c>
      <c r="I27" s="20">
        <v>0</v>
      </c>
      <c r="J27" s="20">
        <v>3</v>
      </c>
      <c r="K27" s="30">
        <f t="shared" si="1"/>
        <v>1.5</v>
      </c>
      <c r="L27" s="32">
        <f t="shared" si="2"/>
        <v>85</v>
      </c>
      <c r="M27" s="32">
        <f t="shared" si="3"/>
        <v>88</v>
      </c>
      <c r="N27" s="46">
        <f>IF(OR(D27="Bullpen",D27="Game"),IFERROR(INDEX(Reference!$B$61:$B$62,MATCH(D27,Reference!$A$61:$A$62,0)),""),IF(E27="","",IF(R27&gt;1,((IF(1&lt;=R27,(R27-1+3)*(INDEX(Reference!$B$6:$B$11,MIN(5,MATCH(MAX(Reference!$A$6,MIN(Reference!$A$11,MIN(E27,90))),Reference!$A$6:$A$11,1)))+(MAX(Reference!$A$6,MIN(Reference!$A$11,MIN(E27,90)))-INDEX(Reference!$A$6:$A$11,MIN(5,MATCH(MAX(Reference!$A$6,MIN(Reference!$A$11,MIN(E27,90))),Reference!$A$6:$A$11,1))))*(INDEX(Reference!$B$6:$B$11,MIN(5,MATCH(MAX(Reference!$A$6,MIN(Reference!$A$11,MIN(E27,90))),Reference!$A$6:$A$11,1))+1)-INDEX(Reference!$B$6:$B$11,MIN(5,MATCH(MAX(Reference!$A$6,MIN(Reference!$A$11,MIN(E27,90))),Reference!$A$6:$A$11,1))))/(INDEX(Reference!$A$6:$A$11,MIN(5,MATCH(MAX(Reference!$A$6,MIN(Reference!$A$11,MIN(E27,90))),Reference!$A$6:$A$11,1))+1)-INDEX(Reference!$A$6:$A$11,MIN(5,MATCH(MAX(Reference!$A$6,MIN(Reference!$A$11,MIN(E27,90))),Reference!$A$6:$A$11,1))))),0)+IF(2&lt;=R27,(R27-2+3)*(INDEX(Reference!$B$6:$B$11,MIN(5,MATCH(MAX(Reference!$A$6,MIN(Reference!$A$11,MIN(E27,120))),Reference!$A$6:$A$11,1)))+(MAX(Reference!$A$6,MIN(Reference!$A$11,MIN(E27,120)))-INDEX(Reference!$A$6:$A$11,MIN(5,MATCH(MAX(Reference!$A$6,MIN(Reference!$A$11,MIN(E27,120))),Reference!$A$6:$A$11,1))))*(INDEX(Reference!$B$6:$B$11,MIN(5,MATCH(MAX(Reference!$A$6,MIN(Reference!$A$11,MIN(E27,120))),Reference!$A$6:$A$11,1))+1)-INDEX(Reference!$B$6:$B$11,MIN(5,MATCH(MAX(Reference!$A$6,MIN(Reference!$A$11,MIN(E27,120))),Reference!$A$6:$A$11,1))))/(INDEX(Reference!$A$6:$A$11,MIN(5,MATCH(MAX(Reference!$A$6,MIN(Reference!$A$11,MIN(E27,120))),Reference!$A$6:$A$11,1))+1)-INDEX(Reference!$A$6:$A$11,MIN(5,MATCH(MAX(Reference!$A$6,MIN(Reference!$A$11,MIN(E27,120))),Reference!$A$6:$A$11,1))))),0)+IF(3&lt;=R27,(R27-3+3)*(INDEX(Reference!$B$6:$B$11,MIN(5,MATCH(MAX(Reference!$A$6,MIN(Reference!$A$11,MIN(E27,150))),Reference!$A$6:$A$11,1)))+(MAX(Reference!$A$6,MIN(Reference!$A$11,MIN(E27,150)))-INDEX(Reference!$A$6:$A$11,MIN(5,MATCH(MAX(Reference!$A$6,MIN(Reference!$A$11,MIN(E27,150))),Reference!$A$6:$A$11,1))))*(INDEX(Reference!$B$6:$B$11,MIN(5,MATCH(MAX(Reference!$A$6,MIN(Reference!$A$11,MIN(E27,150))),Reference!$A$6:$A$11,1))+1)-INDEX(Reference!$B$6:$B$11,MIN(5,MATCH(MAX(Reference!$A$6,MIN(Reference!$A$11,MIN(E27,150))),Reference!$A$6:$A$11,1))))/(INDEX(Reference!$A$6:$A$11,MIN(5,MATCH(MAX(Reference!$A$6,MIN(Reference!$A$11,MIN(E27,150))),Reference!$A$6:$A$11,1))+1)-INDEX(Reference!$A$6:$A$11,MIN(5,MATCH(MAX(Reference!$A$6,MIN(Reference!$A$11,MIN(E27,150))),Reference!$A$6:$A$11,1))))),0)+IF(4&lt;=R27,(R27-4+3)*(INDEX(Reference!$B$6:$B$11,MIN(5,MATCH(MAX(Reference!$A$6,MIN(Reference!$A$11,MIN(E27,180))),Reference!$A$6:$A$11,1)))+(MAX(Reference!$A$6,MIN(Reference!$A$11,MIN(E27,180)))-INDEX(Reference!$A$6:$A$11,MIN(5,MATCH(MAX(Reference!$A$6,MIN(Reference!$A$11,MIN(E27,180))),Reference!$A$6:$A$11,1))))*(INDEX(Reference!$B$6:$B$11,MIN(5,MATCH(MAX(Reference!$A$6,MIN(Reference!$A$11,MIN(E27,180))),Reference!$A$6:$A$11,1))+1)-INDEX(Reference!$B$6:$B$11,MIN(5,MATCH(MAX(Reference!$A$6,MIN(Reference!$A$11,MIN(E27,180))),Reference!$A$6:$A$11,1))))/(INDEX(Reference!$A$6:$A$11,MIN(5,MATCH(MAX(Reference!$A$6,MIN(Reference!$A$11,MIN(E27,180))),Reference!$A$6:$A$11,1))+1)-INDEX(Reference!$A$6:$A$11,MIN(5,MATCH(MAX(Reference!$A$6,MIN(Reference!$A$11,MIN(E27,180))),Reference!$A$6:$A$11,1))))),0)+IF(5&lt;=R27,(R27-5+3)*(INDEX(Reference!$B$6:$B$11,MIN(5,MATCH(MAX(Reference!$A$6,MIN(Reference!$A$11,MIN(E27,210))),Reference!$A$6:$A$11,1)))+(MAX(Reference!$A$6,MIN(Reference!$A$11,MIN(E27,210)))-INDEX(Reference!$A$6:$A$11,MIN(5,MATCH(MAX(Reference!$A$6,MIN(Reference!$A$11,MIN(E27,210))),Reference!$A$6:$A$11,1))))*(INDEX(Reference!$B$6:$B$11,MIN(5,MATCH(MAX(Reference!$A$6,MIN(Reference!$A$11,MIN(E27,210))),Reference!$A$6:$A$11,1))+1)-INDEX(Reference!$B$6:$B$11,MIN(5,MATCH(MAX(Reference!$A$6,MIN(Reference!$A$11,MIN(E27,210))),Reference!$A$6:$A$11,1))))/(INDEX(Reference!$A$6:$A$11,MIN(5,MATCH(MAX(Reference!$A$6,MIN(Reference!$A$11,MIN(E27,210))),Reference!$A$6:$A$11,1))+1)-INDEX(Reference!$A$6:$A$11,MIN(5,MATCH(MAX(Reference!$A$6,MIN(Reference!$A$11,MIN(E27,210))),Reference!$A$6:$A$11,1))))),0)+IF(6&lt;=R27,(R27-6+3)*(INDEX(Reference!$B$6:$B$11,MIN(5,MATCH(MAX(Reference!$A$6,MIN(Reference!$A$11,MIN(E27,240))),Reference!$A$6:$A$11,1)))+(MAX(Reference!$A$6,MIN(Reference!$A$11,MIN(E27,240)))-INDEX(Reference!$A$6:$A$11,MIN(5,MATCH(MAX(Reference!$A$6,MIN(Reference!$A$11,MIN(E27,240))),Reference!$A$6:$A$11,1))))*(INDEX(Reference!$B$6:$B$11,MIN(5,MATCH(MAX(Reference!$A$6,MIN(Reference!$A$11,MIN(E27,240))),Reference!$A$6:$A$11,1))+1)-INDEX(Reference!$B$6:$B$11,MIN(5,MATCH(MAX(Reference!$A$6,MIN(Reference!$A$11,MIN(E27,240))),Reference!$A$6:$A$11,1))))/(INDEX(Reference!$A$6:$A$11,MIN(5,MATCH(MAX(Reference!$A$6,MIN(Reference!$A$11,MIN(E27,240))),Reference!$A$6:$A$11,1))+1)-INDEX(Reference!$A$6:$A$11,MIN(5,MATCH(MAX(Reference!$A$6,MIN(Reference!$A$11,MIN(E27,240))),Reference!$A$6:$A$11,1))))),0)+IF(7&lt;=R27,(R27-7+3)*(INDEX(Reference!$B$6:$B$11,MIN(5,MATCH(MAX(Reference!$A$6,MIN(Reference!$A$11,MIN(E27,270))),Reference!$A$6:$A$11,1)))+(MAX(Reference!$A$6,MIN(Reference!$A$11,MIN(E27,270)))-INDEX(Reference!$A$6:$A$11,MIN(5,MATCH(MAX(Reference!$A$6,MIN(Reference!$A$11,MIN(E27,270))),Reference!$A$6:$A$11,1))))*(INDEX(Reference!$B$6:$B$11,MIN(5,MATCH(MAX(Reference!$A$6,MIN(Reference!$A$11,MIN(E27,270))),Reference!$A$6:$A$11,1))+1)-INDEX(Reference!$B$6:$B$11,MIN(5,MATCH(MAX(Reference!$A$6,MIN(Reference!$A$11,MIN(E27,270))),Reference!$A$6:$A$11,1))))/(INDEX(Reference!$A$6:$A$11,MIN(5,MATCH(MAX(Reference!$A$6,MIN(Reference!$A$11,MIN(E27,270))),Reference!$A$6:$A$11,1))+1)-INDEX(Reference!$A$6:$A$11,MIN(5,MATCH(MAX(Reference!$A$6,MIN(Reference!$A$11,MIN(E27,270))),Reference!$A$6:$A$11,1))))),0)+IF(8&lt;=R27,(R27-8+3)*(INDEX(Reference!$B$6:$B$11,MIN(5,MATCH(MAX(Reference!$A$6,MIN(Reference!$A$11,MIN(E27,300))),Reference!$A$6:$A$11,1)))+(MAX(Reference!$A$6,MIN(Reference!$A$11,MIN(E27,300)))-INDEX(Reference!$A$6:$A$11,MIN(5,MATCH(MAX(Reference!$A$6,MIN(Reference!$A$11,MIN(E27,300))),Reference!$A$6:$A$11,1))))*(INDEX(Reference!$B$6:$B$11,MIN(5,MATCH(MAX(Reference!$A$6,MIN(Reference!$A$11,MIN(E27,300))),Reference!$A$6:$A$11,1))+1)-INDEX(Reference!$B$6:$B$11,MIN(5,MATCH(MAX(Reference!$A$6,MIN(Reference!$A$11,MIN(E27,300))),Reference!$A$6:$A$11,1))))/(INDEX(Reference!$A$6:$A$11,MIN(5,MATCH(MAX(Reference!$A$6,MIN(Reference!$A$11,MIN(E27,300))),Reference!$A$6:$A$11,1))+1)-INDEX(Reference!$A$6:$A$11,MIN(5,MATCH(MAX(Reference!$A$6,MIN(Reference!$A$11,MIN(E27,300))),Reference!$A$6:$A$11,1))))),0))/(R27*(R27+5)/2)),(INDEX(Reference!$B$6:$B$11,MIN(5,MATCH(MAX(Reference!$A$6,MIN(Reference!$A$11,E27)),Reference!$A$6:$A$11,1)))+(MAX(Reference!$A$6,MIN(Reference!$A$11,E27))-INDEX(Reference!$A$6:$A$11,MIN(5,MATCH(MAX(Reference!$A$6,MIN(Reference!$A$11,E27)),Reference!$A$6:$A$11,1))))*(INDEX(Reference!$B$6:$B$11,MIN(5,MATCH(MAX(Reference!$A$6,MIN(Reference!$A$11,E27)),Reference!$A$6:$A$11,1))+1)-INDEX(Reference!$B$6:$B$11,MIN(5,MATCH(MAX(Reference!$A$6,MIN(Reference!$A$11,E27)),Reference!$A$6:$A$11,1))))/(INDEX(Reference!$A$6:$A$11,MIN(5,MATCH(MAX(Reference!$A$6,MIN(Reference!$A$11,E27)),Reference!$A$6:$A$11,1))+1)-INDEX(Reference!$A$6:$A$11,MIN(5,MATCH(MAX(Reference!$A$6,MIN(Reference!$A$11,E27)),Reference!$A$6:$A$11,1))))))))</f>
        <v>3</v>
      </c>
      <c r="O27" s="32">
        <f>VLOOKUP(MAX(K27,0),Reference!$A$17:$B$20,2,TRUE())</f>
        <v>2</v>
      </c>
      <c r="P27" s="30">
        <f t="shared" si="4"/>
        <v>135</v>
      </c>
      <c r="Q27" s="47" t="str">
        <f t="shared" si="5"/>
        <v/>
      </c>
      <c r="R27">
        <f t="shared" si="6"/>
        <v>1</v>
      </c>
    </row>
    <row r="28" spans="1:18" x14ac:dyDescent="0.3">
      <c r="A28" s="20" t="s">
        <v>54</v>
      </c>
      <c r="B28" s="20">
        <v>1</v>
      </c>
      <c r="C28" s="20">
        <v>1</v>
      </c>
      <c r="D28" s="20" t="s">
        <v>52</v>
      </c>
      <c r="E28" s="31"/>
      <c r="F28" s="20">
        <v>15</v>
      </c>
      <c r="G28" s="20">
        <v>20</v>
      </c>
      <c r="H28" s="30">
        <f t="shared" si="0"/>
        <v>17.5</v>
      </c>
      <c r="I28" s="20">
        <v>3</v>
      </c>
      <c r="J28" s="20">
        <v>6</v>
      </c>
      <c r="K28" s="30">
        <f t="shared" si="1"/>
        <v>4.5</v>
      </c>
      <c r="L28" s="32">
        <f t="shared" si="2"/>
        <v>82</v>
      </c>
      <c r="M28" s="32">
        <f t="shared" si="3"/>
        <v>85</v>
      </c>
      <c r="N28" s="46">
        <f>IF(OR(D28="Bullpen",D28="Game"),IFERROR(INDEX(Reference!$B$61:$B$62,MATCH(D28,Reference!$A$61:$A$62,0)),""),IF(E28="","",IF(R28&gt;1,((IF(1&lt;=R28,(R28-1+3)*(INDEX(Reference!$B$6:$B$11,MIN(5,MATCH(MAX(Reference!$A$6,MIN(Reference!$A$11,MIN(E28,90))),Reference!$A$6:$A$11,1)))+(MAX(Reference!$A$6,MIN(Reference!$A$11,MIN(E28,90)))-INDEX(Reference!$A$6:$A$11,MIN(5,MATCH(MAX(Reference!$A$6,MIN(Reference!$A$11,MIN(E28,90))),Reference!$A$6:$A$11,1))))*(INDEX(Reference!$B$6:$B$11,MIN(5,MATCH(MAX(Reference!$A$6,MIN(Reference!$A$11,MIN(E28,90))),Reference!$A$6:$A$11,1))+1)-INDEX(Reference!$B$6:$B$11,MIN(5,MATCH(MAX(Reference!$A$6,MIN(Reference!$A$11,MIN(E28,90))),Reference!$A$6:$A$11,1))))/(INDEX(Reference!$A$6:$A$11,MIN(5,MATCH(MAX(Reference!$A$6,MIN(Reference!$A$11,MIN(E28,90))),Reference!$A$6:$A$11,1))+1)-INDEX(Reference!$A$6:$A$11,MIN(5,MATCH(MAX(Reference!$A$6,MIN(Reference!$A$11,MIN(E28,90))),Reference!$A$6:$A$11,1))))),0)+IF(2&lt;=R28,(R28-2+3)*(INDEX(Reference!$B$6:$B$11,MIN(5,MATCH(MAX(Reference!$A$6,MIN(Reference!$A$11,MIN(E28,120))),Reference!$A$6:$A$11,1)))+(MAX(Reference!$A$6,MIN(Reference!$A$11,MIN(E28,120)))-INDEX(Reference!$A$6:$A$11,MIN(5,MATCH(MAX(Reference!$A$6,MIN(Reference!$A$11,MIN(E28,120))),Reference!$A$6:$A$11,1))))*(INDEX(Reference!$B$6:$B$11,MIN(5,MATCH(MAX(Reference!$A$6,MIN(Reference!$A$11,MIN(E28,120))),Reference!$A$6:$A$11,1))+1)-INDEX(Reference!$B$6:$B$11,MIN(5,MATCH(MAX(Reference!$A$6,MIN(Reference!$A$11,MIN(E28,120))),Reference!$A$6:$A$11,1))))/(INDEX(Reference!$A$6:$A$11,MIN(5,MATCH(MAX(Reference!$A$6,MIN(Reference!$A$11,MIN(E28,120))),Reference!$A$6:$A$11,1))+1)-INDEX(Reference!$A$6:$A$11,MIN(5,MATCH(MAX(Reference!$A$6,MIN(Reference!$A$11,MIN(E28,120))),Reference!$A$6:$A$11,1))))),0)+IF(3&lt;=R28,(R28-3+3)*(INDEX(Reference!$B$6:$B$11,MIN(5,MATCH(MAX(Reference!$A$6,MIN(Reference!$A$11,MIN(E28,150))),Reference!$A$6:$A$11,1)))+(MAX(Reference!$A$6,MIN(Reference!$A$11,MIN(E28,150)))-INDEX(Reference!$A$6:$A$11,MIN(5,MATCH(MAX(Reference!$A$6,MIN(Reference!$A$11,MIN(E28,150))),Reference!$A$6:$A$11,1))))*(INDEX(Reference!$B$6:$B$11,MIN(5,MATCH(MAX(Reference!$A$6,MIN(Reference!$A$11,MIN(E28,150))),Reference!$A$6:$A$11,1))+1)-INDEX(Reference!$B$6:$B$11,MIN(5,MATCH(MAX(Reference!$A$6,MIN(Reference!$A$11,MIN(E28,150))),Reference!$A$6:$A$11,1))))/(INDEX(Reference!$A$6:$A$11,MIN(5,MATCH(MAX(Reference!$A$6,MIN(Reference!$A$11,MIN(E28,150))),Reference!$A$6:$A$11,1))+1)-INDEX(Reference!$A$6:$A$11,MIN(5,MATCH(MAX(Reference!$A$6,MIN(Reference!$A$11,MIN(E28,150))),Reference!$A$6:$A$11,1))))),0)+IF(4&lt;=R28,(R28-4+3)*(INDEX(Reference!$B$6:$B$11,MIN(5,MATCH(MAX(Reference!$A$6,MIN(Reference!$A$11,MIN(E28,180))),Reference!$A$6:$A$11,1)))+(MAX(Reference!$A$6,MIN(Reference!$A$11,MIN(E28,180)))-INDEX(Reference!$A$6:$A$11,MIN(5,MATCH(MAX(Reference!$A$6,MIN(Reference!$A$11,MIN(E28,180))),Reference!$A$6:$A$11,1))))*(INDEX(Reference!$B$6:$B$11,MIN(5,MATCH(MAX(Reference!$A$6,MIN(Reference!$A$11,MIN(E28,180))),Reference!$A$6:$A$11,1))+1)-INDEX(Reference!$B$6:$B$11,MIN(5,MATCH(MAX(Reference!$A$6,MIN(Reference!$A$11,MIN(E28,180))),Reference!$A$6:$A$11,1))))/(INDEX(Reference!$A$6:$A$11,MIN(5,MATCH(MAX(Reference!$A$6,MIN(Reference!$A$11,MIN(E28,180))),Reference!$A$6:$A$11,1))+1)-INDEX(Reference!$A$6:$A$11,MIN(5,MATCH(MAX(Reference!$A$6,MIN(Reference!$A$11,MIN(E28,180))),Reference!$A$6:$A$11,1))))),0)+IF(5&lt;=R28,(R28-5+3)*(INDEX(Reference!$B$6:$B$11,MIN(5,MATCH(MAX(Reference!$A$6,MIN(Reference!$A$11,MIN(E28,210))),Reference!$A$6:$A$11,1)))+(MAX(Reference!$A$6,MIN(Reference!$A$11,MIN(E28,210)))-INDEX(Reference!$A$6:$A$11,MIN(5,MATCH(MAX(Reference!$A$6,MIN(Reference!$A$11,MIN(E28,210))),Reference!$A$6:$A$11,1))))*(INDEX(Reference!$B$6:$B$11,MIN(5,MATCH(MAX(Reference!$A$6,MIN(Reference!$A$11,MIN(E28,210))),Reference!$A$6:$A$11,1))+1)-INDEX(Reference!$B$6:$B$11,MIN(5,MATCH(MAX(Reference!$A$6,MIN(Reference!$A$11,MIN(E28,210))),Reference!$A$6:$A$11,1))))/(INDEX(Reference!$A$6:$A$11,MIN(5,MATCH(MAX(Reference!$A$6,MIN(Reference!$A$11,MIN(E28,210))),Reference!$A$6:$A$11,1))+1)-INDEX(Reference!$A$6:$A$11,MIN(5,MATCH(MAX(Reference!$A$6,MIN(Reference!$A$11,MIN(E28,210))),Reference!$A$6:$A$11,1))))),0)+IF(6&lt;=R28,(R28-6+3)*(INDEX(Reference!$B$6:$B$11,MIN(5,MATCH(MAX(Reference!$A$6,MIN(Reference!$A$11,MIN(E28,240))),Reference!$A$6:$A$11,1)))+(MAX(Reference!$A$6,MIN(Reference!$A$11,MIN(E28,240)))-INDEX(Reference!$A$6:$A$11,MIN(5,MATCH(MAX(Reference!$A$6,MIN(Reference!$A$11,MIN(E28,240))),Reference!$A$6:$A$11,1))))*(INDEX(Reference!$B$6:$B$11,MIN(5,MATCH(MAX(Reference!$A$6,MIN(Reference!$A$11,MIN(E28,240))),Reference!$A$6:$A$11,1))+1)-INDEX(Reference!$B$6:$B$11,MIN(5,MATCH(MAX(Reference!$A$6,MIN(Reference!$A$11,MIN(E28,240))),Reference!$A$6:$A$11,1))))/(INDEX(Reference!$A$6:$A$11,MIN(5,MATCH(MAX(Reference!$A$6,MIN(Reference!$A$11,MIN(E28,240))),Reference!$A$6:$A$11,1))+1)-INDEX(Reference!$A$6:$A$11,MIN(5,MATCH(MAX(Reference!$A$6,MIN(Reference!$A$11,MIN(E28,240))),Reference!$A$6:$A$11,1))))),0)+IF(7&lt;=R28,(R28-7+3)*(INDEX(Reference!$B$6:$B$11,MIN(5,MATCH(MAX(Reference!$A$6,MIN(Reference!$A$11,MIN(E28,270))),Reference!$A$6:$A$11,1)))+(MAX(Reference!$A$6,MIN(Reference!$A$11,MIN(E28,270)))-INDEX(Reference!$A$6:$A$11,MIN(5,MATCH(MAX(Reference!$A$6,MIN(Reference!$A$11,MIN(E28,270))),Reference!$A$6:$A$11,1))))*(INDEX(Reference!$B$6:$B$11,MIN(5,MATCH(MAX(Reference!$A$6,MIN(Reference!$A$11,MIN(E28,270))),Reference!$A$6:$A$11,1))+1)-INDEX(Reference!$B$6:$B$11,MIN(5,MATCH(MAX(Reference!$A$6,MIN(Reference!$A$11,MIN(E28,270))),Reference!$A$6:$A$11,1))))/(INDEX(Reference!$A$6:$A$11,MIN(5,MATCH(MAX(Reference!$A$6,MIN(Reference!$A$11,MIN(E28,270))),Reference!$A$6:$A$11,1))+1)-INDEX(Reference!$A$6:$A$11,MIN(5,MATCH(MAX(Reference!$A$6,MIN(Reference!$A$11,MIN(E28,270))),Reference!$A$6:$A$11,1))))),0)+IF(8&lt;=R28,(R28-8+3)*(INDEX(Reference!$B$6:$B$11,MIN(5,MATCH(MAX(Reference!$A$6,MIN(Reference!$A$11,MIN(E28,300))),Reference!$A$6:$A$11,1)))+(MAX(Reference!$A$6,MIN(Reference!$A$11,MIN(E28,300)))-INDEX(Reference!$A$6:$A$11,MIN(5,MATCH(MAX(Reference!$A$6,MIN(Reference!$A$11,MIN(E28,300))),Reference!$A$6:$A$11,1))))*(INDEX(Reference!$B$6:$B$11,MIN(5,MATCH(MAX(Reference!$A$6,MIN(Reference!$A$11,MIN(E28,300))),Reference!$A$6:$A$11,1))+1)-INDEX(Reference!$B$6:$B$11,MIN(5,MATCH(MAX(Reference!$A$6,MIN(Reference!$A$11,MIN(E28,300))),Reference!$A$6:$A$11,1))))/(INDEX(Reference!$A$6:$A$11,MIN(5,MATCH(MAX(Reference!$A$6,MIN(Reference!$A$11,MIN(E28,300))),Reference!$A$6:$A$11,1))+1)-INDEX(Reference!$A$6:$A$11,MIN(5,MATCH(MAX(Reference!$A$6,MIN(Reference!$A$11,MIN(E28,300))),Reference!$A$6:$A$11,1))))),0))/(R28*(R28+5)/2)),(INDEX(Reference!$B$6:$B$11,MIN(5,MATCH(MAX(Reference!$A$6,MIN(Reference!$A$11,E28)),Reference!$A$6:$A$11,1)))+(MAX(Reference!$A$6,MIN(Reference!$A$11,E28))-INDEX(Reference!$A$6:$A$11,MIN(5,MATCH(MAX(Reference!$A$6,MIN(Reference!$A$11,E28)),Reference!$A$6:$A$11,1))))*(INDEX(Reference!$B$6:$B$11,MIN(5,MATCH(MAX(Reference!$A$6,MIN(Reference!$A$11,E28)),Reference!$A$6:$A$11,1))+1)-INDEX(Reference!$B$6:$B$11,MIN(5,MATCH(MAX(Reference!$A$6,MIN(Reference!$A$11,E28)),Reference!$A$6:$A$11,1))))/(INDEX(Reference!$A$6:$A$11,MIN(5,MATCH(MAX(Reference!$A$6,MIN(Reference!$A$11,E28)),Reference!$A$6:$A$11,1))+1)-INDEX(Reference!$A$6:$A$11,MIN(5,MATCH(MAX(Reference!$A$6,MIN(Reference!$A$11,E28)),Reference!$A$6:$A$11,1))))))))</f>
        <v>3</v>
      </c>
      <c r="O28" s="32">
        <f>VLOOKUP(MAX(K28,0),Reference!$A$17:$B$20,2,TRUE())</f>
        <v>1.5</v>
      </c>
      <c r="P28" s="30">
        <f t="shared" si="4"/>
        <v>78.75</v>
      </c>
      <c r="Q28" s="47" t="str">
        <f t="shared" si="5"/>
        <v/>
      </c>
      <c r="R28">
        <f t="shared" si="6"/>
        <v>1</v>
      </c>
    </row>
    <row r="29" spans="1:18" x14ac:dyDescent="0.3">
      <c r="A29" s="20" t="s">
        <v>54</v>
      </c>
      <c r="B29" s="20">
        <v>1</v>
      </c>
      <c r="C29" s="20">
        <v>2</v>
      </c>
      <c r="D29" s="20" t="s">
        <v>54</v>
      </c>
      <c r="E29" s="31"/>
      <c r="F29" s="20">
        <v>20</v>
      </c>
      <c r="G29" s="20">
        <v>30</v>
      </c>
      <c r="H29" s="30">
        <f t="shared" si="0"/>
        <v>25</v>
      </c>
      <c r="I29" s="20">
        <v>0</v>
      </c>
      <c r="J29" s="20">
        <v>3</v>
      </c>
      <c r="K29" s="30">
        <f t="shared" si="1"/>
        <v>1.5</v>
      </c>
      <c r="L29" s="32">
        <f t="shared" si="2"/>
        <v>85</v>
      </c>
      <c r="M29" s="32">
        <f t="shared" si="3"/>
        <v>88</v>
      </c>
      <c r="N29" s="46">
        <f>IF(OR(D29="Bullpen",D29="Game"),IFERROR(INDEX(Reference!$B$61:$B$62,MATCH(D29,Reference!$A$61:$A$62,0)),""),IF(E29="","",IF(R29&gt;1,((IF(1&lt;=R29,(R29-1+3)*(INDEX(Reference!$B$6:$B$11,MIN(5,MATCH(MAX(Reference!$A$6,MIN(Reference!$A$11,MIN(E29,90))),Reference!$A$6:$A$11,1)))+(MAX(Reference!$A$6,MIN(Reference!$A$11,MIN(E29,90)))-INDEX(Reference!$A$6:$A$11,MIN(5,MATCH(MAX(Reference!$A$6,MIN(Reference!$A$11,MIN(E29,90))),Reference!$A$6:$A$11,1))))*(INDEX(Reference!$B$6:$B$11,MIN(5,MATCH(MAX(Reference!$A$6,MIN(Reference!$A$11,MIN(E29,90))),Reference!$A$6:$A$11,1))+1)-INDEX(Reference!$B$6:$B$11,MIN(5,MATCH(MAX(Reference!$A$6,MIN(Reference!$A$11,MIN(E29,90))),Reference!$A$6:$A$11,1))))/(INDEX(Reference!$A$6:$A$11,MIN(5,MATCH(MAX(Reference!$A$6,MIN(Reference!$A$11,MIN(E29,90))),Reference!$A$6:$A$11,1))+1)-INDEX(Reference!$A$6:$A$11,MIN(5,MATCH(MAX(Reference!$A$6,MIN(Reference!$A$11,MIN(E29,90))),Reference!$A$6:$A$11,1))))),0)+IF(2&lt;=R29,(R29-2+3)*(INDEX(Reference!$B$6:$B$11,MIN(5,MATCH(MAX(Reference!$A$6,MIN(Reference!$A$11,MIN(E29,120))),Reference!$A$6:$A$11,1)))+(MAX(Reference!$A$6,MIN(Reference!$A$11,MIN(E29,120)))-INDEX(Reference!$A$6:$A$11,MIN(5,MATCH(MAX(Reference!$A$6,MIN(Reference!$A$11,MIN(E29,120))),Reference!$A$6:$A$11,1))))*(INDEX(Reference!$B$6:$B$11,MIN(5,MATCH(MAX(Reference!$A$6,MIN(Reference!$A$11,MIN(E29,120))),Reference!$A$6:$A$11,1))+1)-INDEX(Reference!$B$6:$B$11,MIN(5,MATCH(MAX(Reference!$A$6,MIN(Reference!$A$11,MIN(E29,120))),Reference!$A$6:$A$11,1))))/(INDEX(Reference!$A$6:$A$11,MIN(5,MATCH(MAX(Reference!$A$6,MIN(Reference!$A$11,MIN(E29,120))),Reference!$A$6:$A$11,1))+1)-INDEX(Reference!$A$6:$A$11,MIN(5,MATCH(MAX(Reference!$A$6,MIN(Reference!$A$11,MIN(E29,120))),Reference!$A$6:$A$11,1))))),0)+IF(3&lt;=R29,(R29-3+3)*(INDEX(Reference!$B$6:$B$11,MIN(5,MATCH(MAX(Reference!$A$6,MIN(Reference!$A$11,MIN(E29,150))),Reference!$A$6:$A$11,1)))+(MAX(Reference!$A$6,MIN(Reference!$A$11,MIN(E29,150)))-INDEX(Reference!$A$6:$A$11,MIN(5,MATCH(MAX(Reference!$A$6,MIN(Reference!$A$11,MIN(E29,150))),Reference!$A$6:$A$11,1))))*(INDEX(Reference!$B$6:$B$11,MIN(5,MATCH(MAX(Reference!$A$6,MIN(Reference!$A$11,MIN(E29,150))),Reference!$A$6:$A$11,1))+1)-INDEX(Reference!$B$6:$B$11,MIN(5,MATCH(MAX(Reference!$A$6,MIN(Reference!$A$11,MIN(E29,150))),Reference!$A$6:$A$11,1))))/(INDEX(Reference!$A$6:$A$11,MIN(5,MATCH(MAX(Reference!$A$6,MIN(Reference!$A$11,MIN(E29,150))),Reference!$A$6:$A$11,1))+1)-INDEX(Reference!$A$6:$A$11,MIN(5,MATCH(MAX(Reference!$A$6,MIN(Reference!$A$11,MIN(E29,150))),Reference!$A$6:$A$11,1))))),0)+IF(4&lt;=R29,(R29-4+3)*(INDEX(Reference!$B$6:$B$11,MIN(5,MATCH(MAX(Reference!$A$6,MIN(Reference!$A$11,MIN(E29,180))),Reference!$A$6:$A$11,1)))+(MAX(Reference!$A$6,MIN(Reference!$A$11,MIN(E29,180)))-INDEX(Reference!$A$6:$A$11,MIN(5,MATCH(MAX(Reference!$A$6,MIN(Reference!$A$11,MIN(E29,180))),Reference!$A$6:$A$11,1))))*(INDEX(Reference!$B$6:$B$11,MIN(5,MATCH(MAX(Reference!$A$6,MIN(Reference!$A$11,MIN(E29,180))),Reference!$A$6:$A$11,1))+1)-INDEX(Reference!$B$6:$B$11,MIN(5,MATCH(MAX(Reference!$A$6,MIN(Reference!$A$11,MIN(E29,180))),Reference!$A$6:$A$11,1))))/(INDEX(Reference!$A$6:$A$11,MIN(5,MATCH(MAX(Reference!$A$6,MIN(Reference!$A$11,MIN(E29,180))),Reference!$A$6:$A$11,1))+1)-INDEX(Reference!$A$6:$A$11,MIN(5,MATCH(MAX(Reference!$A$6,MIN(Reference!$A$11,MIN(E29,180))),Reference!$A$6:$A$11,1))))),0)+IF(5&lt;=R29,(R29-5+3)*(INDEX(Reference!$B$6:$B$11,MIN(5,MATCH(MAX(Reference!$A$6,MIN(Reference!$A$11,MIN(E29,210))),Reference!$A$6:$A$11,1)))+(MAX(Reference!$A$6,MIN(Reference!$A$11,MIN(E29,210)))-INDEX(Reference!$A$6:$A$11,MIN(5,MATCH(MAX(Reference!$A$6,MIN(Reference!$A$11,MIN(E29,210))),Reference!$A$6:$A$11,1))))*(INDEX(Reference!$B$6:$B$11,MIN(5,MATCH(MAX(Reference!$A$6,MIN(Reference!$A$11,MIN(E29,210))),Reference!$A$6:$A$11,1))+1)-INDEX(Reference!$B$6:$B$11,MIN(5,MATCH(MAX(Reference!$A$6,MIN(Reference!$A$11,MIN(E29,210))),Reference!$A$6:$A$11,1))))/(INDEX(Reference!$A$6:$A$11,MIN(5,MATCH(MAX(Reference!$A$6,MIN(Reference!$A$11,MIN(E29,210))),Reference!$A$6:$A$11,1))+1)-INDEX(Reference!$A$6:$A$11,MIN(5,MATCH(MAX(Reference!$A$6,MIN(Reference!$A$11,MIN(E29,210))),Reference!$A$6:$A$11,1))))),0)+IF(6&lt;=R29,(R29-6+3)*(INDEX(Reference!$B$6:$B$11,MIN(5,MATCH(MAX(Reference!$A$6,MIN(Reference!$A$11,MIN(E29,240))),Reference!$A$6:$A$11,1)))+(MAX(Reference!$A$6,MIN(Reference!$A$11,MIN(E29,240)))-INDEX(Reference!$A$6:$A$11,MIN(5,MATCH(MAX(Reference!$A$6,MIN(Reference!$A$11,MIN(E29,240))),Reference!$A$6:$A$11,1))))*(INDEX(Reference!$B$6:$B$11,MIN(5,MATCH(MAX(Reference!$A$6,MIN(Reference!$A$11,MIN(E29,240))),Reference!$A$6:$A$11,1))+1)-INDEX(Reference!$B$6:$B$11,MIN(5,MATCH(MAX(Reference!$A$6,MIN(Reference!$A$11,MIN(E29,240))),Reference!$A$6:$A$11,1))))/(INDEX(Reference!$A$6:$A$11,MIN(5,MATCH(MAX(Reference!$A$6,MIN(Reference!$A$11,MIN(E29,240))),Reference!$A$6:$A$11,1))+1)-INDEX(Reference!$A$6:$A$11,MIN(5,MATCH(MAX(Reference!$A$6,MIN(Reference!$A$11,MIN(E29,240))),Reference!$A$6:$A$11,1))))),0)+IF(7&lt;=R29,(R29-7+3)*(INDEX(Reference!$B$6:$B$11,MIN(5,MATCH(MAX(Reference!$A$6,MIN(Reference!$A$11,MIN(E29,270))),Reference!$A$6:$A$11,1)))+(MAX(Reference!$A$6,MIN(Reference!$A$11,MIN(E29,270)))-INDEX(Reference!$A$6:$A$11,MIN(5,MATCH(MAX(Reference!$A$6,MIN(Reference!$A$11,MIN(E29,270))),Reference!$A$6:$A$11,1))))*(INDEX(Reference!$B$6:$B$11,MIN(5,MATCH(MAX(Reference!$A$6,MIN(Reference!$A$11,MIN(E29,270))),Reference!$A$6:$A$11,1))+1)-INDEX(Reference!$B$6:$B$11,MIN(5,MATCH(MAX(Reference!$A$6,MIN(Reference!$A$11,MIN(E29,270))),Reference!$A$6:$A$11,1))))/(INDEX(Reference!$A$6:$A$11,MIN(5,MATCH(MAX(Reference!$A$6,MIN(Reference!$A$11,MIN(E29,270))),Reference!$A$6:$A$11,1))+1)-INDEX(Reference!$A$6:$A$11,MIN(5,MATCH(MAX(Reference!$A$6,MIN(Reference!$A$11,MIN(E29,270))),Reference!$A$6:$A$11,1))))),0)+IF(8&lt;=R29,(R29-8+3)*(INDEX(Reference!$B$6:$B$11,MIN(5,MATCH(MAX(Reference!$A$6,MIN(Reference!$A$11,MIN(E29,300))),Reference!$A$6:$A$11,1)))+(MAX(Reference!$A$6,MIN(Reference!$A$11,MIN(E29,300)))-INDEX(Reference!$A$6:$A$11,MIN(5,MATCH(MAX(Reference!$A$6,MIN(Reference!$A$11,MIN(E29,300))),Reference!$A$6:$A$11,1))))*(INDEX(Reference!$B$6:$B$11,MIN(5,MATCH(MAX(Reference!$A$6,MIN(Reference!$A$11,MIN(E29,300))),Reference!$A$6:$A$11,1))+1)-INDEX(Reference!$B$6:$B$11,MIN(5,MATCH(MAX(Reference!$A$6,MIN(Reference!$A$11,MIN(E29,300))),Reference!$A$6:$A$11,1))))/(INDEX(Reference!$A$6:$A$11,MIN(5,MATCH(MAX(Reference!$A$6,MIN(Reference!$A$11,MIN(E29,300))),Reference!$A$6:$A$11,1))+1)-INDEX(Reference!$A$6:$A$11,MIN(5,MATCH(MAX(Reference!$A$6,MIN(Reference!$A$11,MIN(E29,300))),Reference!$A$6:$A$11,1))))),0))/(R29*(R29+5)/2)),(INDEX(Reference!$B$6:$B$11,MIN(5,MATCH(MAX(Reference!$A$6,MIN(Reference!$A$11,E29)),Reference!$A$6:$A$11,1)))+(MAX(Reference!$A$6,MIN(Reference!$A$11,E29))-INDEX(Reference!$A$6:$A$11,MIN(5,MATCH(MAX(Reference!$A$6,MIN(Reference!$A$11,E29)),Reference!$A$6:$A$11,1))))*(INDEX(Reference!$B$6:$B$11,MIN(5,MATCH(MAX(Reference!$A$6,MIN(Reference!$A$11,E29)),Reference!$A$6:$A$11,1))+1)-INDEX(Reference!$B$6:$B$11,MIN(5,MATCH(MAX(Reference!$A$6,MIN(Reference!$A$11,E29)),Reference!$A$6:$A$11,1))))/(INDEX(Reference!$A$6:$A$11,MIN(5,MATCH(MAX(Reference!$A$6,MIN(Reference!$A$11,E29)),Reference!$A$6:$A$11,1))+1)-INDEX(Reference!$A$6:$A$11,MIN(5,MATCH(MAX(Reference!$A$6,MIN(Reference!$A$11,E29)),Reference!$A$6:$A$11,1))))))))</f>
        <v>3.2</v>
      </c>
      <c r="O29" s="32">
        <f>VLOOKUP(MAX(K29,0),Reference!$A$17:$B$20,2,TRUE())</f>
        <v>2</v>
      </c>
      <c r="P29" s="30">
        <f t="shared" si="4"/>
        <v>160</v>
      </c>
      <c r="Q29" s="47" t="str">
        <f t="shared" si="5"/>
        <v/>
      </c>
      <c r="R29">
        <f t="shared" si="6"/>
        <v>1</v>
      </c>
    </row>
    <row r="30" spans="1:18" x14ac:dyDescent="0.3">
      <c r="A30" s="20" t="s">
        <v>54</v>
      </c>
      <c r="B30" s="20">
        <v>2</v>
      </c>
      <c r="C30" s="20">
        <v>1</v>
      </c>
      <c r="D30" s="20" t="s">
        <v>52</v>
      </c>
      <c r="E30" s="31"/>
      <c r="F30" s="20">
        <v>20</v>
      </c>
      <c r="G30" s="20">
        <v>25</v>
      </c>
      <c r="H30" s="30">
        <f t="shared" si="0"/>
        <v>22.5</v>
      </c>
      <c r="I30" s="20">
        <v>3</v>
      </c>
      <c r="J30" s="20">
        <v>6</v>
      </c>
      <c r="K30" s="30">
        <f t="shared" si="1"/>
        <v>4.5</v>
      </c>
      <c r="L30" s="32">
        <f t="shared" si="2"/>
        <v>82</v>
      </c>
      <c r="M30" s="32">
        <f t="shared" si="3"/>
        <v>85</v>
      </c>
      <c r="N30" s="46">
        <f>IF(OR(D30="Bullpen",D30="Game"),IFERROR(INDEX(Reference!$B$61:$B$62,MATCH(D30,Reference!$A$61:$A$62,0)),""),IF(E30="","",IF(R30&gt;1,((IF(1&lt;=R30,(R30-1+3)*(INDEX(Reference!$B$6:$B$11,MIN(5,MATCH(MAX(Reference!$A$6,MIN(Reference!$A$11,MIN(E30,90))),Reference!$A$6:$A$11,1)))+(MAX(Reference!$A$6,MIN(Reference!$A$11,MIN(E30,90)))-INDEX(Reference!$A$6:$A$11,MIN(5,MATCH(MAX(Reference!$A$6,MIN(Reference!$A$11,MIN(E30,90))),Reference!$A$6:$A$11,1))))*(INDEX(Reference!$B$6:$B$11,MIN(5,MATCH(MAX(Reference!$A$6,MIN(Reference!$A$11,MIN(E30,90))),Reference!$A$6:$A$11,1))+1)-INDEX(Reference!$B$6:$B$11,MIN(5,MATCH(MAX(Reference!$A$6,MIN(Reference!$A$11,MIN(E30,90))),Reference!$A$6:$A$11,1))))/(INDEX(Reference!$A$6:$A$11,MIN(5,MATCH(MAX(Reference!$A$6,MIN(Reference!$A$11,MIN(E30,90))),Reference!$A$6:$A$11,1))+1)-INDEX(Reference!$A$6:$A$11,MIN(5,MATCH(MAX(Reference!$A$6,MIN(Reference!$A$11,MIN(E30,90))),Reference!$A$6:$A$11,1))))),0)+IF(2&lt;=R30,(R30-2+3)*(INDEX(Reference!$B$6:$B$11,MIN(5,MATCH(MAX(Reference!$A$6,MIN(Reference!$A$11,MIN(E30,120))),Reference!$A$6:$A$11,1)))+(MAX(Reference!$A$6,MIN(Reference!$A$11,MIN(E30,120)))-INDEX(Reference!$A$6:$A$11,MIN(5,MATCH(MAX(Reference!$A$6,MIN(Reference!$A$11,MIN(E30,120))),Reference!$A$6:$A$11,1))))*(INDEX(Reference!$B$6:$B$11,MIN(5,MATCH(MAX(Reference!$A$6,MIN(Reference!$A$11,MIN(E30,120))),Reference!$A$6:$A$11,1))+1)-INDEX(Reference!$B$6:$B$11,MIN(5,MATCH(MAX(Reference!$A$6,MIN(Reference!$A$11,MIN(E30,120))),Reference!$A$6:$A$11,1))))/(INDEX(Reference!$A$6:$A$11,MIN(5,MATCH(MAX(Reference!$A$6,MIN(Reference!$A$11,MIN(E30,120))),Reference!$A$6:$A$11,1))+1)-INDEX(Reference!$A$6:$A$11,MIN(5,MATCH(MAX(Reference!$A$6,MIN(Reference!$A$11,MIN(E30,120))),Reference!$A$6:$A$11,1))))),0)+IF(3&lt;=R30,(R30-3+3)*(INDEX(Reference!$B$6:$B$11,MIN(5,MATCH(MAX(Reference!$A$6,MIN(Reference!$A$11,MIN(E30,150))),Reference!$A$6:$A$11,1)))+(MAX(Reference!$A$6,MIN(Reference!$A$11,MIN(E30,150)))-INDEX(Reference!$A$6:$A$11,MIN(5,MATCH(MAX(Reference!$A$6,MIN(Reference!$A$11,MIN(E30,150))),Reference!$A$6:$A$11,1))))*(INDEX(Reference!$B$6:$B$11,MIN(5,MATCH(MAX(Reference!$A$6,MIN(Reference!$A$11,MIN(E30,150))),Reference!$A$6:$A$11,1))+1)-INDEX(Reference!$B$6:$B$11,MIN(5,MATCH(MAX(Reference!$A$6,MIN(Reference!$A$11,MIN(E30,150))),Reference!$A$6:$A$11,1))))/(INDEX(Reference!$A$6:$A$11,MIN(5,MATCH(MAX(Reference!$A$6,MIN(Reference!$A$11,MIN(E30,150))),Reference!$A$6:$A$11,1))+1)-INDEX(Reference!$A$6:$A$11,MIN(5,MATCH(MAX(Reference!$A$6,MIN(Reference!$A$11,MIN(E30,150))),Reference!$A$6:$A$11,1))))),0)+IF(4&lt;=R30,(R30-4+3)*(INDEX(Reference!$B$6:$B$11,MIN(5,MATCH(MAX(Reference!$A$6,MIN(Reference!$A$11,MIN(E30,180))),Reference!$A$6:$A$11,1)))+(MAX(Reference!$A$6,MIN(Reference!$A$11,MIN(E30,180)))-INDEX(Reference!$A$6:$A$11,MIN(5,MATCH(MAX(Reference!$A$6,MIN(Reference!$A$11,MIN(E30,180))),Reference!$A$6:$A$11,1))))*(INDEX(Reference!$B$6:$B$11,MIN(5,MATCH(MAX(Reference!$A$6,MIN(Reference!$A$11,MIN(E30,180))),Reference!$A$6:$A$11,1))+1)-INDEX(Reference!$B$6:$B$11,MIN(5,MATCH(MAX(Reference!$A$6,MIN(Reference!$A$11,MIN(E30,180))),Reference!$A$6:$A$11,1))))/(INDEX(Reference!$A$6:$A$11,MIN(5,MATCH(MAX(Reference!$A$6,MIN(Reference!$A$11,MIN(E30,180))),Reference!$A$6:$A$11,1))+1)-INDEX(Reference!$A$6:$A$11,MIN(5,MATCH(MAX(Reference!$A$6,MIN(Reference!$A$11,MIN(E30,180))),Reference!$A$6:$A$11,1))))),0)+IF(5&lt;=R30,(R30-5+3)*(INDEX(Reference!$B$6:$B$11,MIN(5,MATCH(MAX(Reference!$A$6,MIN(Reference!$A$11,MIN(E30,210))),Reference!$A$6:$A$11,1)))+(MAX(Reference!$A$6,MIN(Reference!$A$11,MIN(E30,210)))-INDEX(Reference!$A$6:$A$11,MIN(5,MATCH(MAX(Reference!$A$6,MIN(Reference!$A$11,MIN(E30,210))),Reference!$A$6:$A$11,1))))*(INDEX(Reference!$B$6:$B$11,MIN(5,MATCH(MAX(Reference!$A$6,MIN(Reference!$A$11,MIN(E30,210))),Reference!$A$6:$A$11,1))+1)-INDEX(Reference!$B$6:$B$11,MIN(5,MATCH(MAX(Reference!$A$6,MIN(Reference!$A$11,MIN(E30,210))),Reference!$A$6:$A$11,1))))/(INDEX(Reference!$A$6:$A$11,MIN(5,MATCH(MAX(Reference!$A$6,MIN(Reference!$A$11,MIN(E30,210))),Reference!$A$6:$A$11,1))+1)-INDEX(Reference!$A$6:$A$11,MIN(5,MATCH(MAX(Reference!$A$6,MIN(Reference!$A$11,MIN(E30,210))),Reference!$A$6:$A$11,1))))),0)+IF(6&lt;=R30,(R30-6+3)*(INDEX(Reference!$B$6:$B$11,MIN(5,MATCH(MAX(Reference!$A$6,MIN(Reference!$A$11,MIN(E30,240))),Reference!$A$6:$A$11,1)))+(MAX(Reference!$A$6,MIN(Reference!$A$11,MIN(E30,240)))-INDEX(Reference!$A$6:$A$11,MIN(5,MATCH(MAX(Reference!$A$6,MIN(Reference!$A$11,MIN(E30,240))),Reference!$A$6:$A$11,1))))*(INDEX(Reference!$B$6:$B$11,MIN(5,MATCH(MAX(Reference!$A$6,MIN(Reference!$A$11,MIN(E30,240))),Reference!$A$6:$A$11,1))+1)-INDEX(Reference!$B$6:$B$11,MIN(5,MATCH(MAX(Reference!$A$6,MIN(Reference!$A$11,MIN(E30,240))),Reference!$A$6:$A$11,1))))/(INDEX(Reference!$A$6:$A$11,MIN(5,MATCH(MAX(Reference!$A$6,MIN(Reference!$A$11,MIN(E30,240))),Reference!$A$6:$A$11,1))+1)-INDEX(Reference!$A$6:$A$11,MIN(5,MATCH(MAX(Reference!$A$6,MIN(Reference!$A$11,MIN(E30,240))),Reference!$A$6:$A$11,1))))),0)+IF(7&lt;=R30,(R30-7+3)*(INDEX(Reference!$B$6:$B$11,MIN(5,MATCH(MAX(Reference!$A$6,MIN(Reference!$A$11,MIN(E30,270))),Reference!$A$6:$A$11,1)))+(MAX(Reference!$A$6,MIN(Reference!$A$11,MIN(E30,270)))-INDEX(Reference!$A$6:$A$11,MIN(5,MATCH(MAX(Reference!$A$6,MIN(Reference!$A$11,MIN(E30,270))),Reference!$A$6:$A$11,1))))*(INDEX(Reference!$B$6:$B$11,MIN(5,MATCH(MAX(Reference!$A$6,MIN(Reference!$A$11,MIN(E30,270))),Reference!$A$6:$A$11,1))+1)-INDEX(Reference!$B$6:$B$11,MIN(5,MATCH(MAX(Reference!$A$6,MIN(Reference!$A$11,MIN(E30,270))),Reference!$A$6:$A$11,1))))/(INDEX(Reference!$A$6:$A$11,MIN(5,MATCH(MAX(Reference!$A$6,MIN(Reference!$A$11,MIN(E30,270))),Reference!$A$6:$A$11,1))+1)-INDEX(Reference!$A$6:$A$11,MIN(5,MATCH(MAX(Reference!$A$6,MIN(Reference!$A$11,MIN(E30,270))),Reference!$A$6:$A$11,1))))),0)+IF(8&lt;=R30,(R30-8+3)*(INDEX(Reference!$B$6:$B$11,MIN(5,MATCH(MAX(Reference!$A$6,MIN(Reference!$A$11,MIN(E30,300))),Reference!$A$6:$A$11,1)))+(MAX(Reference!$A$6,MIN(Reference!$A$11,MIN(E30,300)))-INDEX(Reference!$A$6:$A$11,MIN(5,MATCH(MAX(Reference!$A$6,MIN(Reference!$A$11,MIN(E30,300))),Reference!$A$6:$A$11,1))))*(INDEX(Reference!$B$6:$B$11,MIN(5,MATCH(MAX(Reference!$A$6,MIN(Reference!$A$11,MIN(E30,300))),Reference!$A$6:$A$11,1))+1)-INDEX(Reference!$B$6:$B$11,MIN(5,MATCH(MAX(Reference!$A$6,MIN(Reference!$A$11,MIN(E30,300))),Reference!$A$6:$A$11,1))))/(INDEX(Reference!$A$6:$A$11,MIN(5,MATCH(MAX(Reference!$A$6,MIN(Reference!$A$11,MIN(E30,300))),Reference!$A$6:$A$11,1))+1)-INDEX(Reference!$A$6:$A$11,MIN(5,MATCH(MAX(Reference!$A$6,MIN(Reference!$A$11,MIN(E30,300))),Reference!$A$6:$A$11,1))))),0))/(R30*(R30+5)/2)),(INDEX(Reference!$B$6:$B$11,MIN(5,MATCH(MAX(Reference!$A$6,MIN(Reference!$A$11,E30)),Reference!$A$6:$A$11,1)))+(MAX(Reference!$A$6,MIN(Reference!$A$11,E30))-INDEX(Reference!$A$6:$A$11,MIN(5,MATCH(MAX(Reference!$A$6,MIN(Reference!$A$11,E30)),Reference!$A$6:$A$11,1))))*(INDEX(Reference!$B$6:$B$11,MIN(5,MATCH(MAX(Reference!$A$6,MIN(Reference!$A$11,E30)),Reference!$A$6:$A$11,1))+1)-INDEX(Reference!$B$6:$B$11,MIN(5,MATCH(MAX(Reference!$A$6,MIN(Reference!$A$11,E30)),Reference!$A$6:$A$11,1))))/(INDEX(Reference!$A$6:$A$11,MIN(5,MATCH(MAX(Reference!$A$6,MIN(Reference!$A$11,E30)),Reference!$A$6:$A$11,1))+1)-INDEX(Reference!$A$6:$A$11,MIN(5,MATCH(MAX(Reference!$A$6,MIN(Reference!$A$11,E30)),Reference!$A$6:$A$11,1))))))))</f>
        <v>3</v>
      </c>
      <c r="O30" s="32">
        <f>VLOOKUP(MAX(K30,0),Reference!$A$17:$B$20,2,TRUE())</f>
        <v>1.5</v>
      </c>
      <c r="P30" s="30">
        <f t="shared" si="4"/>
        <v>101.25</v>
      </c>
      <c r="Q30" s="47" t="str">
        <f t="shared" si="5"/>
        <v/>
      </c>
      <c r="R30">
        <f t="shared" si="6"/>
        <v>1</v>
      </c>
    </row>
    <row r="31" spans="1:18" x14ac:dyDescent="0.3">
      <c r="A31" s="20" t="s">
        <v>54</v>
      </c>
      <c r="B31" s="20">
        <v>2</v>
      </c>
      <c r="C31" s="20">
        <v>2</v>
      </c>
      <c r="D31" s="20" t="s">
        <v>54</v>
      </c>
      <c r="E31" s="31"/>
      <c r="F31" s="20">
        <v>60</v>
      </c>
      <c r="G31" s="20">
        <v>80</v>
      </c>
      <c r="H31" s="30">
        <f t="shared" si="0"/>
        <v>70</v>
      </c>
      <c r="I31" s="20">
        <v>0</v>
      </c>
      <c r="J31" s="20">
        <v>3</v>
      </c>
      <c r="K31" s="30">
        <f t="shared" si="1"/>
        <v>1.5</v>
      </c>
      <c r="L31" s="32">
        <f t="shared" si="2"/>
        <v>85</v>
      </c>
      <c r="M31" s="32">
        <f t="shared" si="3"/>
        <v>88</v>
      </c>
      <c r="N31" s="46">
        <f>IF(OR(D31="Bullpen",D31="Game"),IFERROR(INDEX(Reference!$B$61:$B$62,MATCH(D31,Reference!$A$61:$A$62,0)),""),IF(E31="","",IF(R31&gt;1,((IF(1&lt;=R31,(R31-1+3)*(INDEX(Reference!$B$6:$B$11,MIN(5,MATCH(MAX(Reference!$A$6,MIN(Reference!$A$11,MIN(E31,90))),Reference!$A$6:$A$11,1)))+(MAX(Reference!$A$6,MIN(Reference!$A$11,MIN(E31,90)))-INDEX(Reference!$A$6:$A$11,MIN(5,MATCH(MAX(Reference!$A$6,MIN(Reference!$A$11,MIN(E31,90))),Reference!$A$6:$A$11,1))))*(INDEX(Reference!$B$6:$B$11,MIN(5,MATCH(MAX(Reference!$A$6,MIN(Reference!$A$11,MIN(E31,90))),Reference!$A$6:$A$11,1))+1)-INDEX(Reference!$B$6:$B$11,MIN(5,MATCH(MAX(Reference!$A$6,MIN(Reference!$A$11,MIN(E31,90))),Reference!$A$6:$A$11,1))))/(INDEX(Reference!$A$6:$A$11,MIN(5,MATCH(MAX(Reference!$A$6,MIN(Reference!$A$11,MIN(E31,90))),Reference!$A$6:$A$11,1))+1)-INDEX(Reference!$A$6:$A$11,MIN(5,MATCH(MAX(Reference!$A$6,MIN(Reference!$A$11,MIN(E31,90))),Reference!$A$6:$A$11,1))))),0)+IF(2&lt;=R31,(R31-2+3)*(INDEX(Reference!$B$6:$B$11,MIN(5,MATCH(MAX(Reference!$A$6,MIN(Reference!$A$11,MIN(E31,120))),Reference!$A$6:$A$11,1)))+(MAX(Reference!$A$6,MIN(Reference!$A$11,MIN(E31,120)))-INDEX(Reference!$A$6:$A$11,MIN(5,MATCH(MAX(Reference!$A$6,MIN(Reference!$A$11,MIN(E31,120))),Reference!$A$6:$A$11,1))))*(INDEX(Reference!$B$6:$B$11,MIN(5,MATCH(MAX(Reference!$A$6,MIN(Reference!$A$11,MIN(E31,120))),Reference!$A$6:$A$11,1))+1)-INDEX(Reference!$B$6:$B$11,MIN(5,MATCH(MAX(Reference!$A$6,MIN(Reference!$A$11,MIN(E31,120))),Reference!$A$6:$A$11,1))))/(INDEX(Reference!$A$6:$A$11,MIN(5,MATCH(MAX(Reference!$A$6,MIN(Reference!$A$11,MIN(E31,120))),Reference!$A$6:$A$11,1))+1)-INDEX(Reference!$A$6:$A$11,MIN(5,MATCH(MAX(Reference!$A$6,MIN(Reference!$A$11,MIN(E31,120))),Reference!$A$6:$A$11,1))))),0)+IF(3&lt;=R31,(R31-3+3)*(INDEX(Reference!$B$6:$B$11,MIN(5,MATCH(MAX(Reference!$A$6,MIN(Reference!$A$11,MIN(E31,150))),Reference!$A$6:$A$11,1)))+(MAX(Reference!$A$6,MIN(Reference!$A$11,MIN(E31,150)))-INDEX(Reference!$A$6:$A$11,MIN(5,MATCH(MAX(Reference!$A$6,MIN(Reference!$A$11,MIN(E31,150))),Reference!$A$6:$A$11,1))))*(INDEX(Reference!$B$6:$B$11,MIN(5,MATCH(MAX(Reference!$A$6,MIN(Reference!$A$11,MIN(E31,150))),Reference!$A$6:$A$11,1))+1)-INDEX(Reference!$B$6:$B$11,MIN(5,MATCH(MAX(Reference!$A$6,MIN(Reference!$A$11,MIN(E31,150))),Reference!$A$6:$A$11,1))))/(INDEX(Reference!$A$6:$A$11,MIN(5,MATCH(MAX(Reference!$A$6,MIN(Reference!$A$11,MIN(E31,150))),Reference!$A$6:$A$11,1))+1)-INDEX(Reference!$A$6:$A$11,MIN(5,MATCH(MAX(Reference!$A$6,MIN(Reference!$A$11,MIN(E31,150))),Reference!$A$6:$A$11,1))))),0)+IF(4&lt;=R31,(R31-4+3)*(INDEX(Reference!$B$6:$B$11,MIN(5,MATCH(MAX(Reference!$A$6,MIN(Reference!$A$11,MIN(E31,180))),Reference!$A$6:$A$11,1)))+(MAX(Reference!$A$6,MIN(Reference!$A$11,MIN(E31,180)))-INDEX(Reference!$A$6:$A$11,MIN(5,MATCH(MAX(Reference!$A$6,MIN(Reference!$A$11,MIN(E31,180))),Reference!$A$6:$A$11,1))))*(INDEX(Reference!$B$6:$B$11,MIN(5,MATCH(MAX(Reference!$A$6,MIN(Reference!$A$11,MIN(E31,180))),Reference!$A$6:$A$11,1))+1)-INDEX(Reference!$B$6:$B$11,MIN(5,MATCH(MAX(Reference!$A$6,MIN(Reference!$A$11,MIN(E31,180))),Reference!$A$6:$A$11,1))))/(INDEX(Reference!$A$6:$A$11,MIN(5,MATCH(MAX(Reference!$A$6,MIN(Reference!$A$11,MIN(E31,180))),Reference!$A$6:$A$11,1))+1)-INDEX(Reference!$A$6:$A$11,MIN(5,MATCH(MAX(Reference!$A$6,MIN(Reference!$A$11,MIN(E31,180))),Reference!$A$6:$A$11,1))))),0)+IF(5&lt;=R31,(R31-5+3)*(INDEX(Reference!$B$6:$B$11,MIN(5,MATCH(MAX(Reference!$A$6,MIN(Reference!$A$11,MIN(E31,210))),Reference!$A$6:$A$11,1)))+(MAX(Reference!$A$6,MIN(Reference!$A$11,MIN(E31,210)))-INDEX(Reference!$A$6:$A$11,MIN(5,MATCH(MAX(Reference!$A$6,MIN(Reference!$A$11,MIN(E31,210))),Reference!$A$6:$A$11,1))))*(INDEX(Reference!$B$6:$B$11,MIN(5,MATCH(MAX(Reference!$A$6,MIN(Reference!$A$11,MIN(E31,210))),Reference!$A$6:$A$11,1))+1)-INDEX(Reference!$B$6:$B$11,MIN(5,MATCH(MAX(Reference!$A$6,MIN(Reference!$A$11,MIN(E31,210))),Reference!$A$6:$A$11,1))))/(INDEX(Reference!$A$6:$A$11,MIN(5,MATCH(MAX(Reference!$A$6,MIN(Reference!$A$11,MIN(E31,210))),Reference!$A$6:$A$11,1))+1)-INDEX(Reference!$A$6:$A$11,MIN(5,MATCH(MAX(Reference!$A$6,MIN(Reference!$A$11,MIN(E31,210))),Reference!$A$6:$A$11,1))))),0)+IF(6&lt;=R31,(R31-6+3)*(INDEX(Reference!$B$6:$B$11,MIN(5,MATCH(MAX(Reference!$A$6,MIN(Reference!$A$11,MIN(E31,240))),Reference!$A$6:$A$11,1)))+(MAX(Reference!$A$6,MIN(Reference!$A$11,MIN(E31,240)))-INDEX(Reference!$A$6:$A$11,MIN(5,MATCH(MAX(Reference!$A$6,MIN(Reference!$A$11,MIN(E31,240))),Reference!$A$6:$A$11,1))))*(INDEX(Reference!$B$6:$B$11,MIN(5,MATCH(MAX(Reference!$A$6,MIN(Reference!$A$11,MIN(E31,240))),Reference!$A$6:$A$11,1))+1)-INDEX(Reference!$B$6:$B$11,MIN(5,MATCH(MAX(Reference!$A$6,MIN(Reference!$A$11,MIN(E31,240))),Reference!$A$6:$A$11,1))))/(INDEX(Reference!$A$6:$A$11,MIN(5,MATCH(MAX(Reference!$A$6,MIN(Reference!$A$11,MIN(E31,240))),Reference!$A$6:$A$11,1))+1)-INDEX(Reference!$A$6:$A$11,MIN(5,MATCH(MAX(Reference!$A$6,MIN(Reference!$A$11,MIN(E31,240))),Reference!$A$6:$A$11,1))))),0)+IF(7&lt;=R31,(R31-7+3)*(INDEX(Reference!$B$6:$B$11,MIN(5,MATCH(MAX(Reference!$A$6,MIN(Reference!$A$11,MIN(E31,270))),Reference!$A$6:$A$11,1)))+(MAX(Reference!$A$6,MIN(Reference!$A$11,MIN(E31,270)))-INDEX(Reference!$A$6:$A$11,MIN(5,MATCH(MAX(Reference!$A$6,MIN(Reference!$A$11,MIN(E31,270))),Reference!$A$6:$A$11,1))))*(INDEX(Reference!$B$6:$B$11,MIN(5,MATCH(MAX(Reference!$A$6,MIN(Reference!$A$11,MIN(E31,270))),Reference!$A$6:$A$11,1))+1)-INDEX(Reference!$B$6:$B$11,MIN(5,MATCH(MAX(Reference!$A$6,MIN(Reference!$A$11,MIN(E31,270))),Reference!$A$6:$A$11,1))))/(INDEX(Reference!$A$6:$A$11,MIN(5,MATCH(MAX(Reference!$A$6,MIN(Reference!$A$11,MIN(E31,270))),Reference!$A$6:$A$11,1))+1)-INDEX(Reference!$A$6:$A$11,MIN(5,MATCH(MAX(Reference!$A$6,MIN(Reference!$A$11,MIN(E31,270))),Reference!$A$6:$A$11,1))))),0)+IF(8&lt;=R31,(R31-8+3)*(INDEX(Reference!$B$6:$B$11,MIN(5,MATCH(MAX(Reference!$A$6,MIN(Reference!$A$11,MIN(E31,300))),Reference!$A$6:$A$11,1)))+(MAX(Reference!$A$6,MIN(Reference!$A$11,MIN(E31,300)))-INDEX(Reference!$A$6:$A$11,MIN(5,MATCH(MAX(Reference!$A$6,MIN(Reference!$A$11,MIN(E31,300))),Reference!$A$6:$A$11,1))))*(INDEX(Reference!$B$6:$B$11,MIN(5,MATCH(MAX(Reference!$A$6,MIN(Reference!$A$11,MIN(E31,300))),Reference!$A$6:$A$11,1))+1)-INDEX(Reference!$B$6:$B$11,MIN(5,MATCH(MAX(Reference!$A$6,MIN(Reference!$A$11,MIN(E31,300))),Reference!$A$6:$A$11,1))))/(INDEX(Reference!$A$6:$A$11,MIN(5,MATCH(MAX(Reference!$A$6,MIN(Reference!$A$11,MIN(E31,300))),Reference!$A$6:$A$11,1))+1)-INDEX(Reference!$A$6:$A$11,MIN(5,MATCH(MAX(Reference!$A$6,MIN(Reference!$A$11,MIN(E31,300))),Reference!$A$6:$A$11,1))))),0))/(R31*(R31+5)/2)),(INDEX(Reference!$B$6:$B$11,MIN(5,MATCH(MAX(Reference!$A$6,MIN(Reference!$A$11,E31)),Reference!$A$6:$A$11,1)))+(MAX(Reference!$A$6,MIN(Reference!$A$11,E31))-INDEX(Reference!$A$6:$A$11,MIN(5,MATCH(MAX(Reference!$A$6,MIN(Reference!$A$11,E31)),Reference!$A$6:$A$11,1))))*(INDEX(Reference!$B$6:$B$11,MIN(5,MATCH(MAX(Reference!$A$6,MIN(Reference!$A$11,E31)),Reference!$A$6:$A$11,1))+1)-INDEX(Reference!$B$6:$B$11,MIN(5,MATCH(MAX(Reference!$A$6,MIN(Reference!$A$11,E31)),Reference!$A$6:$A$11,1))))/(INDEX(Reference!$A$6:$A$11,MIN(5,MATCH(MAX(Reference!$A$6,MIN(Reference!$A$11,E31)),Reference!$A$6:$A$11,1))+1)-INDEX(Reference!$A$6:$A$11,MIN(5,MATCH(MAX(Reference!$A$6,MIN(Reference!$A$11,E31)),Reference!$A$6:$A$11,1))))))))</f>
        <v>3.2</v>
      </c>
      <c r="O31" s="32">
        <f>VLOOKUP(MAX(K31,0),Reference!$A$17:$B$20,2,TRUE())</f>
        <v>2</v>
      </c>
      <c r="P31" s="30">
        <f t="shared" si="4"/>
        <v>448</v>
      </c>
      <c r="Q31" s="47" t="str">
        <f t="shared" si="5"/>
        <v/>
      </c>
      <c r="R31">
        <f t="shared" si="6"/>
        <v>1</v>
      </c>
    </row>
    <row r="33" spans="1:16" ht="15.6" x14ac:dyDescent="0.3">
      <c r="A33" s="12" t="s">
        <v>230</v>
      </c>
      <c r="B33" s="12"/>
      <c r="C33" s="12"/>
      <c r="D33" s="12"/>
      <c r="E33" s="12"/>
      <c r="F33" s="12"/>
      <c r="G33" s="12"/>
      <c r="H33" s="12"/>
      <c r="I33" s="12"/>
      <c r="J33" s="12"/>
      <c r="K33" s="12"/>
      <c r="L33" s="12"/>
      <c r="M33" s="12"/>
      <c r="N33" s="12"/>
      <c r="O33" s="12"/>
      <c r="P33" s="12"/>
    </row>
    <row r="34" spans="1:16" ht="39.6" x14ac:dyDescent="0.3">
      <c r="A34" s="19" t="s">
        <v>215</v>
      </c>
      <c r="B34" s="19" t="s">
        <v>216</v>
      </c>
      <c r="C34" s="19" t="s">
        <v>231</v>
      </c>
      <c r="D34" s="19" t="s">
        <v>232</v>
      </c>
    </row>
    <row r="35" spans="1:16" ht="27.75" customHeight="1" x14ac:dyDescent="0.3">
      <c r="A35" s="21" t="s">
        <v>81</v>
      </c>
      <c r="B35" s="21">
        <v>1</v>
      </c>
      <c r="C35" s="30">
        <f>P10+P11</f>
        <v>51</v>
      </c>
      <c r="D35" s="6" t="str">
        <f>CONCATENATE(IF(R10&gt;1,"Long toss out to "&amp;E10&amp;" ft — "&amp;F10&amp;"-"&amp;G10&amp;" throws ("&amp;Q10&amp;")",IF(E10="","Mound",E10&amp;" ft")&amp;" — "&amp;F10&amp;"-"&amp;G10&amp;" throws")&amp;" @ "&amp;L10&amp;"-"&amp;M10&amp;" mph","  +  ",IF(R11&gt;1,"Long toss out to "&amp;E11&amp;" ft — "&amp;F11&amp;"-"&amp;G11&amp;" throws ("&amp;Q11&amp;")",IF(E11="","Mound",E11&amp;" ft")&amp;" — "&amp;F11&amp;"-"&amp;G11&amp;" throws")&amp;" @ "&amp;L11&amp;"-"&amp;M11&amp;" mph")</f>
        <v>90 ft — 45-55 throws @ 70-74 mph  +  60 ft — 15-25 throws @ 74-76 mph</v>
      </c>
      <c r="E35" s="6"/>
      <c r="F35" s="6"/>
      <c r="G35" s="6"/>
      <c r="H35" s="6"/>
      <c r="I35" s="6"/>
      <c r="J35" s="6"/>
      <c r="K35" s="6"/>
      <c r="L35" s="6"/>
      <c r="M35" s="6"/>
      <c r="N35" s="6"/>
      <c r="O35" s="6"/>
      <c r="P35" s="6"/>
    </row>
    <row r="36" spans="1:16" ht="27.75" customHeight="1" x14ac:dyDescent="0.3">
      <c r="A36" s="21" t="s">
        <v>81</v>
      </c>
      <c r="B36" s="21">
        <v>2</v>
      </c>
      <c r="C36" s="30">
        <f>P12+P13</f>
        <v>38.099999999999994</v>
      </c>
      <c r="D36" s="6" t="str">
        <f>CONCATENATE(IF(R12&gt;1,"Long toss out to "&amp;E12&amp;" ft — "&amp;F12&amp;"-"&amp;G12&amp;" throws ("&amp;Q12&amp;")",IF(E12="","Mound",E12&amp;" ft")&amp;" — "&amp;F12&amp;"-"&amp;G12&amp;" throws")&amp;" @ "&amp;L12&amp;"-"&amp;M12&amp;" mph","  +  ",IF(R13&gt;1,"Long toss out to "&amp;E13&amp;" ft — "&amp;F13&amp;"-"&amp;G13&amp;" throws ("&amp;Q13&amp;")",IF(E13="","Mound",E13&amp;" ft")&amp;" — "&amp;F13&amp;"-"&amp;G13&amp;" throws")&amp;" @ "&amp;L13&amp;"-"&amp;M13&amp;" mph")</f>
        <v>75 ft — 35-45 throws @ 69-73 mph  +  60 ft — 15-20 throws @ 73-75 mph</v>
      </c>
      <c r="E36" s="6"/>
      <c r="F36" s="6"/>
      <c r="G36" s="6"/>
      <c r="H36" s="6"/>
      <c r="I36" s="6"/>
      <c r="J36" s="6"/>
      <c r="K36" s="6"/>
      <c r="L36" s="6"/>
      <c r="M36" s="6"/>
      <c r="N36" s="6"/>
      <c r="O36" s="6"/>
      <c r="P36" s="6"/>
    </row>
    <row r="37" spans="1:16" ht="27.75" customHeight="1" x14ac:dyDescent="0.3">
      <c r="A37" s="21" t="s">
        <v>83</v>
      </c>
      <c r="B37" s="21">
        <v>1</v>
      </c>
      <c r="C37" s="30">
        <f>P14+P15</f>
        <v>103.5</v>
      </c>
      <c r="D37" s="6" t="str">
        <f>CONCATENATE(IF(R14&gt;1,"Long toss out to "&amp;E14&amp;" ft — "&amp;F14&amp;"-"&amp;G14&amp;" throws ("&amp;Q14&amp;")",IF(E14="","Mound",E14&amp;" ft")&amp;" — "&amp;F14&amp;"-"&amp;G14&amp;" throws")&amp;" @ "&amp;L14&amp;"-"&amp;M14&amp;" mph","  +  ",IF(R15&gt;1,"Long toss out to "&amp;E15&amp;" ft — "&amp;F15&amp;"-"&amp;G15&amp;" throws ("&amp;Q15&amp;")",IF(E15="","Mound",E15&amp;" ft")&amp;" — "&amp;F15&amp;"-"&amp;G15&amp;" throws")&amp;" @ "&amp;L15&amp;"-"&amp;M15&amp;" mph")</f>
        <v>Long toss out to 120 ft — 45-60 throws (90×30 · 120×23) @ 79-81 mph  +  60 ft — 15-20 throws @ 81-83 mph</v>
      </c>
      <c r="E37" s="6"/>
      <c r="F37" s="6"/>
      <c r="G37" s="6"/>
      <c r="H37" s="6"/>
      <c r="I37" s="6"/>
      <c r="J37" s="6"/>
      <c r="K37" s="6"/>
      <c r="L37" s="6"/>
      <c r="M37" s="6"/>
      <c r="N37" s="6"/>
      <c r="O37" s="6"/>
      <c r="P37" s="6"/>
    </row>
    <row r="38" spans="1:16" ht="27.75" customHeight="1" x14ac:dyDescent="0.3">
      <c r="A38" s="21" t="s">
        <v>83</v>
      </c>
      <c r="B38" s="21">
        <v>2</v>
      </c>
      <c r="C38" s="30">
        <f>P16+P17</f>
        <v>71.75</v>
      </c>
      <c r="D38" s="6" t="str">
        <f>CONCATENATE(IF(R16&gt;1,"Long toss out to "&amp;E16&amp;" ft — "&amp;F16&amp;"-"&amp;G16&amp;" throws ("&amp;Q16&amp;")",IF(E16="","Mound",E16&amp;" ft")&amp;" — "&amp;F16&amp;"-"&amp;G16&amp;" throws")&amp;" @ "&amp;L16&amp;"-"&amp;M16&amp;" mph","  +  ",IF(R17&gt;1,"Long toss out to "&amp;E17&amp;" ft — "&amp;F17&amp;"-"&amp;G17&amp;" throws ("&amp;Q17&amp;")",IF(E17="","Mound",E17&amp;" ft")&amp;" — "&amp;F17&amp;"-"&amp;G17&amp;" throws")&amp;" @ "&amp;L17&amp;"-"&amp;M17&amp;" mph")</f>
        <v>90 ft — 30-40 throws @ 79-81 mph  +  60 ft — 15-20 throws @ 81-83 mph</v>
      </c>
      <c r="E38" s="6"/>
      <c r="F38" s="6"/>
      <c r="G38" s="6"/>
      <c r="H38" s="6"/>
      <c r="I38" s="6"/>
      <c r="J38" s="6"/>
      <c r="K38" s="6"/>
      <c r="L38" s="6"/>
      <c r="M38" s="6"/>
      <c r="N38" s="6"/>
      <c r="O38" s="6"/>
      <c r="P38" s="6"/>
    </row>
    <row r="39" spans="1:16" ht="27.75" customHeight="1" x14ac:dyDescent="0.3">
      <c r="A39" s="21" t="s">
        <v>94</v>
      </c>
      <c r="B39" s="21">
        <v>1</v>
      </c>
      <c r="C39" s="30">
        <f>P18+P19+P20</f>
        <v>190.02083333333334</v>
      </c>
      <c r="D39" s="6" t="str">
        <f>CONCATENATE(IF(R18&gt;1,"Long toss out to "&amp;E18&amp;" ft — "&amp;F18&amp;"-"&amp;G18&amp;" throws ("&amp;Q18&amp;")",IF(E18="","Mound",E18&amp;" ft")&amp;" — "&amp;F18&amp;"-"&amp;G18&amp;" throws")&amp;" @ "&amp;L18&amp;"-"&amp;M18&amp;" mph","  +  ",IF(R19&gt;1,"Long toss out to "&amp;E19&amp;" ft — "&amp;F19&amp;"-"&amp;G19&amp;" throws ("&amp;Q19&amp;")",IF(E19="","Mound",E19&amp;" ft")&amp;" — "&amp;F19&amp;"-"&amp;G19&amp;" throws")&amp;" @ "&amp;L19&amp;"-"&amp;M19&amp;" mph","  +  ",IF(R20&gt;1,"Long toss out to "&amp;E20&amp;" ft — "&amp;F20&amp;"-"&amp;G20&amp;" throws ("&amp;Q20&amp;")",IF(E20="","Mound",E20&amp;" ft")&amp;" — "&amp;F20&amp;"-"&amp;G20&amp;" throws")&amp;" @ "&amp;L20&amp;"-"&amp;M20&amp;" mph")</f>
        <v>Long toss out to 150 ft — 40-55 throws (90×20 · 120×16 · 150×12) @ 79-81 mph  +  120 ft — 20-30 throws @ 85-88 mph  +  60 ft — 15-20 throws @ 82-84 mph</v>
      </c>
      <c r="E39" s="6"/>
      <c r="F39" s="6"/>
      <c r="G39" s="6"/>
      <c r="H39" s="6"/>
      <c r="I39" s="6"/>
      <c r="J39" s="6"/>
      <c r="K39" s="6"/>
      <c r="L39" s="6"/>
      <c r="M39" s="6"/>
      <c r="N39" s="6"/>
      <c r="O39" s="6"/>
      <c r="P39" s="6"/>
    </row>
    <row r="40" spans="1:16" ht="27.75" customHeight="1" x14ac:dyDescent="0.3">
      <c r="A40" s="21" t="s">
        <v>94</v>
      </c>
      <c r="B40" s="21">
        <v>2</v>
      </c>
      <c r="C40" s="30">
        <f>P21+P22+P23</f>
        <v>204.35416666666669</v>
      </c>
      <c r="D40" s="6" t="str">
        <f>CONCATENATE(IF(R21&gt;1,"Long toss out to "&amp;E21&amp;" ft — "&amp;F21&amp;"-"&amp;G21&amp;" throws ("&amp;Q21&amp;")",IF(E21="","Mound",E21&amp;" ft")&amp;" — "&amp;F21&amp;"-"&amp;G21&amp;" throws")&amp;" @ "&amp;L21&amp;"-"&amp;M21&amp;" mph","  +  ",IF(R22&gt;1,"Long toss out to "&amp;E22&amp;" ft — "&amp;F22&amp;"-"&amp;G22&amp;" throws ("&amp;Q22&amp;")",IF(E22="","Mound",E22&amp;" ft")&amp;" — "&amp;F22&amp;"-"&amp;G22&amp;" throws")&amp;" @ "&amp;L22&amp;"-"&amp;M22&amp;" mph","  +  ",IF(R23&gt;1,"Long toss out to "&amp;E23&amp;" ft — "&amp;F23&amp;"-"&amp;G23&amp;" throws ("&amp;Q23&amp;")",IF(E23="","Mound",E23&amp;" ft")&amp;" — "&amp;F23&amp;"-"&amp;G23&amp;" throws")&amp;" @ "&amp;L23&amp;"-"&amp;M23&amp;" mph")</f>
        <v>Long toss out to 180 ft — 40-55 throws (90×16 · 120×13 · 150×11 · 180×8) @ 82-84 mph  +  90 ft — 15-20 throws @ 85-88 mph  +  60 ft — 15-20 throws @ 82-84 mph</v>
      </c>
      <c r="E40" s="6"/>
      <c r="F40" s="6"/>
      <c r="G40" s="6"/>
      <c r="H40" s="6"/>
      <c r="I40" s="6"/>
      <c r="J40" s="6"/>
      <c r="K40" s="6"/>
      <c r="L40" s="6"/>
      <c r="M40" s="6"/>
      <c r="N40" s="6"/>
      <c r="O40" s="6"/>
      <c r="P40" s="6"/>
    </row>
    <row r="41" spans="1:16" ht="27.75" customHeight="1" x14ac:dyDescent="0.3">
      <c r="A41" s="21" t="s">
        <v>85</v>
      </c>
      <c r="B41" s="21">
        <v>1</v>
      </c>
      <c r="C41" s="30">
        <f>P24+P25</f>
        <v>212.5</v>
      </c>
      <c r="D41" s="6" t="str">
        <f>CONCATENATE(IF(R24&gt;1,"Long toss out to "&amp;E24&amp;" ft — "&amp;F24&amp;"-"&amp;G24&amp;" throws ("&amp;Q24&amp;")",IF(E24="","Mound",E24&amp;" ft")&amp;" — "&amp;F24&amp;"-"&amp;G24&amp;" throws")&amp;" @ "&amp;L24&amp;"-"&amp;M24&amp;" mph","  +  ",IF(R25&gt;1,"Long toss out to "&amp;E25&amp;" ft — "&amp;F25&amp;"-"&amp;G25&amp;" throws ("&amp;Q25&amp;")",IF(E25="","Mound",E25&amp;" ft")&amp;" — "&amp;F25&amp;"-"&amp;G25&amp;" throws")&amp;" @ "&amp;L25&amp;"-"&amp;M25&amp;" mph")</f>
        <v>90 ft — 20-30 throws @ 79-81 mph  +  Mound — 25-35 throws @ 85-88 mph</v>
      </c>
      <c r="E41" s="6"/>
      <c r="F41" s="6"/>
      <c r="G41" s="6"/>
      <c r="H41" s="6"/>
      <c r="I41" s="6"/>
      <c r="J41" s="6"/>
      <c r="K41" s="6"/>
      <c r="L41" s="6"/>
      <c r="M41" s="6"/>
      <c r="N41" s="6"/>
      <c r="O41" s="6"/>
      <c r="P41" s="6"/>
    </row>
    <row r="42" spans="1:16" ht="27.75" customHeight="1" x14ac:dyDescent="0.3">
      <c r="A42" s="21" t="s">
        <v>85</v>
      </c>
      <c r="B42" s="21">
        <v>2</v>
      </c>
      <c r="C42" s="30">
        <f>P26+P27</f>
        <v>164.42857142857144</v>
      </c>
      <c r="D42" s="6" t="str">
        <f>CONCATENATE(IF(R26&gt;1,"Long toss out to "&amp;E26&amp;" ft — "&amp;F26&amp;"-"&amp;G26&amp;" throws ("&amp;Q26&amp;")",IF(E26="","Mound",E26&amp;" ft")&amp;" — "&amp;F26&amp;"-"&amp;G26&amp;" throws")&amp;" @ "&amp;L26&amp;"-"&amp;M26&amp;" mph","  +  ",IF(R27&gt;1,"Long toss out to "&amp;E27&amp;" ft — "&amp;F27&amp;"-"&amp;G27&amp;" throws ("&amp;Q27&amp;")",IF(E27="","Mound",E27&amp;" ft")&amp;" — "&amp;F27&amp;"-"&amp;G27&amp;" throws")&amp;" @ "&amp;L27&amp;"-"&amp;M27&amp;" mph")</f>
        <v>Long toss out to 120 ft — 15-25 throws (90×11 · 120×9) @ 79-81 mph  +  Mound — 20-25 throws @ 85-88 mph</v>
      </c>
      <c r="E42" s="6"/>
      <c r="F42" s="6"/>
      <c r="G42" s="6"/>
      <c r="H42" s="6"/>
      <c r="I42" s="6"/>
      <c r="J42" s="6"/>
      <c r="K42" s="6"/>
      <c r="L42" s="6"/>
      <c r="M42" s="6"/>
      <c r="N42" s="6"/>
      <c r="O42" s="6"/>
      <c r="P42" s="6"/>
    </row>
    <row r="43" spans="1:16" ht="27.75" customHeight="1" x14ac:dyDescent="0.3">
      <c r="A43" s="21" t="s">
        <v>54</v>
      </c>
      <c r="B43" s="21">
        <v>1</v>
      </c>
      <c r="C43" s="30">
        <f>P28+P29</f>
        <v>238.75</v>
      </c>
      <c r="D43" s="6" t="str">
        <f>CONCATENATE(IF(R28&gt;1,"Long toss out to "&amp;E28&amp;" ft — "&amp;F28&amp;"-"&amp;G28&amp;" throws ("&amp;Q28&amp;")",IF(E28="","Mound",E28&amp;" ft")&amp;" — "&amp;F28&amp;"-"&amp;G28&amp;" throws")&amp;" @ "&amp;L28&amp;"-"&amp;M28&amp;" mph","  +  ",IF(R29&gt;1,"Long toss out to "&amp;E29&amp;" ft — "&amp;F29&amp;"-"&amp;G29&amp;" throws ("&amp;Q29&amp;")",IF(E29="","Mound",E29&amp;" ft")&amp;" — "&amp;F29&amp;"-"&amp;G29&amp;" throws")&amp;" @ "&amp;L29&amp;"-"&amp;M29&amp;" mph")</f>
        <v>Mound — 15-20 throws @ 82-85 mph  +  Mound — 20-30 throws @ 85-88 mph</v>
      </c>
      <c r="E43" s="6"/>
      <c r="F43" s="6"/>
      <c r="G43" s="6"/>
      <c r="H43" s="6"/>
      <c r="I43" s="6"/>
      <c r="J43" s="6"/>
      <c r="K43" s="6"/>
      <c r="L43" s="6"/>
      <c r="M43" s="6"/>
      <c r="N43" s="6"/>
      <c r="O43" s="6"/>
      <c r="P43" s="6"/>
    </row>
    <row r="44" spans="1:16" ht="27.75" customHeight="1" x14ac:dyDescent="0.3">
      <c r="A44" s="21" t="s">
        <v>54</v>
      </c>
      <c r="B44" s="21">
        <v>2</v>
      </c>
      <c r="C44" s="30">
        <f>P30+P31</f>
        <v>549.25</v>
      </c>
      <c r="D44" s="6" t="str">
        <f>CONCATENATE(IF(R30&gt;1,"Long toss out to "&amp;E30&amp;" ft — "&amp;F30&amp;"-"&amp;G30&amp;" throws ("&amp;Q30&amp;")",IF(E30="","Mound",E30&amp;" ft")&amp;" — "&amp;F30&amp;"-"&amp;G30&amp;" throws")&amp;" @ "&amp;L30&amp;"-"&amp;M30&amp;" mph","  +  ",IF(R31&gt;1,"Long toss out to "&amp;E31&amp;" ft — "&amp;F31&amp;"-"&amp;G31&amp;" throws ("&amp;Q31&amp;")",IF(E31="","Mound",E31&amp;" ft")&amp;" — "&amp;F31&amp;"-"&amp;G31&amp;" throws")&amp;" @ "&amp;L31&amp;"-"&amp;M31&amp;" mph")</f>
        <v>Mound — 20-25 throws @ 82-85 mph  +  Mound — 60-80 throws @ 85-88 mph</v>
      </c>
      <c r="E44" s="6"/>
      <c r="F44" s="6"/>
      <c r="G44" s="6"/>
      <c r="H44" s="6"/>
      <c r="I44" s="6"/>
      <c r="J44" s="6"/>
      <c r="K44" s="6"/>
      <c r="L44" s="6"/>
      <c r="M44" s="6"/>
      <c r="N44" s="6"/>
      <c r="O44" s="6"/>
      <c r="P44" s="6"/>
    </row>
    <row r="46" spans="1:16" ht="15.6" x14ac:dyDescent="0.3">
      <c r="A46" s="12" t="s">
        <v>233</v>
      </c>
      <c r="B46" s="12"/>
      <c r="C46" s="12"/>
      <c r="D46" s="12"/>
      <c r="E46" s="12"/>
      <c r="F46" s="12"/>
      <c r="G46" s="12"/>
      <c r="H46" s="12"/>
      <c r="I46" s="12"/>
      <c r="J46" s="12"/>
      <c r="K46" s="12"/>
      <c r="L46" s="12"/>
      <c r="M46" s="12"/>
      <c r="N46" s="12"/>
      <c r="O46" s="12"/>
      <c r="P46" s="12"/>
    </row>
    <row r="47" spans="1:16" ht="30" customHeight="1" x14ac:dyDescent="0.3">
      <c r="A47" s="11" t="s">
        <v>234</v>
      </c>
      <c r="B47" s="11"/>
      <c r="C47" s="11"/>
      <c r="D47" s="11"/>
      <c r="E47" s="11"/>
      <c r="F47" s="11"/>
      <c r="G47" s="11"/>
      <c r="H47" s="11"/>
      <c r="I47" s="11"/>
      <c r="J47" s="11"/>
      <c r="K47" s="11"/>
      <c r="L47" s="11"/>
      <c r="M47" s="11"/>
      <c r="N47" s="11"/>
      <c r="O47" s="11"/>
      <c r="P47" s="11"/>
    </row>
    <row r="48" spans="1:16" ht="52.8" x14ac:dyDescent="0.3">
      <c r="A48" s="19" t="s">
        <v>92</v>
      </c>
      <c r="B48" s="19" t="s">
        <v>235</v>
      </c>
      <c r="C48" s="19" t="s">
        <v>236</v>
      </c>
    </row>
    <row r="49" spans="1:16" ht="25.5" customHeight="1" x14ac:dyDescent="0.3">
      <c r="A49" s="21" t="s">
        <v>81</v>
      </c>
      <c r="B49" s="30">
        <f>AVERAGE(C35,C36)</f>
        <v>44.55</v>
      </c>
      <c r="C49" s="6" t="str">
        <f>D35</f>
        <v>90 ft — 45-55 throws @ 70-74 mph  +  60 ft — 15-25 throws @ 74-76 mph</v>
      </c>
      <c r="D49" s="6"/>
      <c r="E49" s="6"/>
      <c r="F49" s="6"/>
      <c r="G49" s="6"/>
      <c r="H49" s="6"/>
      <c r="I49" s="6"/>
      <c r="J49" s="6"/>
      <c r="K49" s="6"/>
      <c r="L49" s="6"/>
      <c r="M49" s="6"/>
      <c r="N49" s="6"/>
      <c r="O49" s="6"/>
      <c r="P49" s="6"/>
    </row>
    <row r="50" spans="1:16" ht="25.5" customHeight="1" x14ac:dyDescent="0.3">
      <c r="A50" s="21" t="s">
        <v>83</v>
      </c>
      <c r="B50" s="30">
        <f>AVERAGE(C37,C38)</f>
        <v>87.625</v>
      </c>
      <c r="C50" s="6" t="str">
        <f>D37</f>
        <v>Long toss out to 120 ft — 45-60 throws (90×30 · 120×23) @ 79-81 mph  +  60 ft — 15-20 throws @ 81-83 mph</v>
      </c>
      <c r="D50" s="6"/>
      <c r="E50" s="6"/>
      <c r="F50" s="6"/>
      <c r="G50" s="6"/>
      <c r="H50" s="6"/>
      <c r="I50" s="6"/>
      <c r="J50" s="6"/>
      <c r="K50" s="6"/>
      <c r="L50" s="6"/>
      <c r="M50" s="6"/>
      <c r="N50" s="6"/>
      <c r="O50" s="6"/>
      <c r="P50" s="6"/>
    </row>
    <row r="51" spans="1:16" ht="25.5" customHeight="1" x14ac:dyDescent="0.3">
      <c r="A51" s="21" t="s">
        <v>94</v>
      </c>
      <c r="B51" s="30">
        <f>AVERAGE(C39,C40)</f>
        <v>197.1875</v>
      </c>
      <c r="C51" s="6" t="str">
        <f>D39</f>
        <v>Long toss out to 150 ft — 40-55 throws (90×20 · 120×16 · 150×12) @ 79-81 mph  +  120 ft — 20-30 throws @ 85-88 mph  +  60 ft — 15-20 throws @ 82-84 mph</v>
      </c>
      <c r="D51" s="6"/>
      <c r="E51" s="6"/>
      <c r="F51" s="6"/>
      <c r="G51" s="6"/>
      <c r="H51" s="6"/>
      <c r="I51" s="6"/>
      <c r="J51" s="6"/>
      <c r="K51" s="6"/>
      <c r="L51" s="6"/>
      <c r="M51" s="6"/>
      <c r="N51" s="6"/>
      <c r="O51" s="6"/>
      <c r="P51" s="6"/>
    </row>
    <row r="52" spans="1:16" ht="25.5" customHeight="1" x14ac:dyDescent="0.3">
      <c r="A52" s="21" t="s">
        <v>85</v>
      </c>
      <c r="B52" s="30">
        <f>AVERAGE(C41,C42)</f>
        <v>188.46428571428572</v>
      </c>
      <c r="C52" s="6" t="str">
        <f>D41</f>
        <v>90 ft — 20-30 throws @ 79-81 mph  +  Mound — 25-35 throws @ 85-88 mph</v>
      </c>
      <c r="D52" s="6"/>
      <c r="E52" s="6"/>
      <c r="F52" s="6"/>
      <c r="G52" s="6"/>
      <c r="H52" s="6"/>
      <c r="I52" s="6"/>
      <c r="J52" s="6"/>
      <c r="K52" s="6"/>
      <c r="L52" s="6"/>
      <c r="M52" s="6"/>
      <c r="N52" s="6"/>
      <c r="O52" s="6"/>
      <c r="P52" s="6"/>
    </row>
    <row r="53" spans="1:16" ht="25.5" customHeight="1" x14ac:dyDescent="0.3">
      <c r="A53" s="21" t="s">
        <v>54</v>
      </c>
      <c r="B53" s="30">
        <f>AVERAGE(C43,C44)</f>
        <v>394</v>
      </c>
      <c r="C53" s="6" t="str">
        <f>D43</f>
        <v>Mound — 15-20 throws @ 82-85 mph  +  Mound — 20-30 throws @ 85-88 mph</v>
      </c>
      <c r="D53" s="6"/>
      <c r="E53" s="6"/>
      <c r="F53" s="6"/>
      <c r="G53" s="6"/>
      <c r="H53" s="6"/>
      <c r="I53" s="6"/>
      <c r="J53" s="6"/>
      <c r="K53" s="6"/>
      <c r="L53" s="6"/>
      <c r="M53" s="6"/>
      <c r="N53" s="6"/>
      <c r="O53" s="6"/>
      <c r="P53" s="6"/>
    </row>
  </sheetData>
  <mergeCells count="24">
    <mergeCell ref="C50:P50"/>
    <mergeCell ref="C51:P51"/>
    <mergeCell ref="C52:P52"/>
    <mergeCell ref="C53:P53"/>
    <mergeCell ref="D43:P43"/>
    <mergeCell ref="D44:P44"/>
    <mergeCell ref="A46:P46"/>
    <mergeCell ref="A47:P47"/>
    <mergeCell ref="C49:P49"/>
    <mergeCell ref="D38:P38"/>
    <mergeCell ref="D39:P39"/>
    <mergeCell ref="D40:P40"/>
    <mergeCell ref="D41:P41"/>
    <mergeCell ref="D42:P42"/>
    <mergeCell ref="A7:Q7"/>
    <mergeCell ref="A33:P33"/>
    <mergeCell ref="D35:P35"/>
    <mergeCell ref="D36:P36"/>
    <mergeCell ref="D37:P37"/>
    <mergeCell ref="A1:P1"/>
    <mergeCell ref="A2:P2"/>
    <mergeCell ref="B4:C4"/>
    <mergeCell ref="F4:P4"/>
    <mergeCell ref="A6:Q6"/>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500-000000000000}">
          <x14:formula1>
            <xm:f>Roster!$A$5:$A$40</xm:f>
          </x14:formula1>
          <x14:formula2>
            <xm:f>0</xm:f>
          </x14:formula2>
          <xm:sqref>B4</xm:sqref>
        </x14:dataValidation>
        <x14:dataValidation type="list" allowBlank="1" xr:uid="{00000000-0002-0000-0500-000001000000}">
          <x14:formula1>
            <xm:f>Reference!$A$31:$A$37</xm:f>
          </x14:formula1>
          <x14:formula2>
            <xm:f>0</xm:f>
          </x14:formula2>
          <xm:sqref>D10:D31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69"/>
  <sheetViews>
    <sheetView showGridLines="0" zoomScaleNormal="100" workbookViewId="0"/>
  </sheetViews>
  <sheetFormatPr defaultColWidth="8.6640625" defaultRowHeight="14.4" x14ac:dyDescent="0.3"/>
  <cols>
    <col min="1" max="1" width="13" customWidth="1"/>
    <col min="2" max="2" width="10" customWidth="1"/>
    <col min="3" max="3" width="12" customWidth="1"/>
    <col min="4" max="4" width="16" customWidth="1"/>
    <col min="5" max="5" width="10" customWidth="1"/>
    <col min="6" max="6" width="12" customWidth="1"/>
    <col min="7" max="7" width="10" customWidth="1"/>
    <col min="8" max="8" width="16" customWidth="1"/>
    <col min="9" max="10" width="14" customWidth="1"/>
    <col min="11" max="14" width="11" hidden="1" customWidth="1"/>
    <col min="15" max="15" width="13" customWidth="1"/>
    <col min="16" max="16" width="11" customWidth="1"/>
    <col min="17" max="17" width="10" customWidth="1"/>
    <col min="18" max="18" width="16" customWidth="1"/>
    <col min="19" max="19" width="30" customWidth="1"/>
    <col min="20" max="20" width="16" customWidth="1"/>
  </cols>
  <sheetData>
    <row r="1" spans="1:20" ht="21" x14ac:dyDescent="0.4">
      <c r="A1" s="14" t="s">
        <v>237</v>
      </c>
      <c r="B1" s="14"/>
      <c r="C1" s="14"/>
      <c r="D1" s="14"/>
      <c r="E1" s="14"/>
      <c r="F1" s="14"/>
      <c r="G1" s="14"/>
      <c r="H1" s="14"/>
      <c r="I1" s="14"/>
      <c r="J1" s="14"/>
      <c r="K1" s="14"/>
      <c r="L1" s="14"/>
      <c r="M1" s="14"/>
      <c r="N1" s="14"/>
      <c r="O1" s="14"/>
      <c r="P1" s="14"/>
      <c r="Q1" s="14"/>
      <c r="R1" s="14"/>
      <c r="S1" s="14"/>
      <c r="T1" s="14"/>
    </row>
    <row r="2" spans="1:20" ht="96" customHeight="1" x14ac:dyDescent="0.3">
      <c r="A2" s="11" t="s">
        <v>238</v>
      </c>
      <c r="B2" s="11"/>
      <c r="C2" s="11"/>
      <c r="D2" s="11"/>
      <c r="E2" s="11"/>
      <c r="F2" s="11"/>
      <c r="G2" s="11"/>
      <c r="H2" s="11"/>
      <c r="I2" s="11"/>
      <c r="J2" s="11"/>
      <c r="K2" s="11"/>
      <c r="L2" s="11"/>
      <c r="M2" s="11"/>
      <c r="N2" s="11"/>
      <c r="O2" s="11"/>
      <c r="P2" s="11"/>
      <c r="Q2" s="11"/>
      <c r="R2" s="11"/>
      <c r="S2" s="11"/>
      <c r="T2" s="11"/>
    </row>
    <row r="4" spans="1:20" x14ac:dyDescent="0.3">
      <c r="A4" s="36" t="s">
        <v>239</v>
      </c>
      <c r="B4" s="37" t="s">
        <v>142</v>
      </c>
    </row>
    <row r="5" spans="1:20" x14ac:dyDescent="0.3">
      <c r="A5" s="36" t="s">
        <v>240</v>
      </c>
      <c r="B5" s="37" t="s">
        <v>241</v>
      </c>
    </row>
    <row r="6" spans="1:20" x14ac:dyDescent="0.3">
      <c r="A6" s="36" t="s">
        <v>242</v>
      </c>
      <c r="B6" s="38">
        <v>46304</v>
      </c>
    </row>
    <row r="7" spans="1:20" x14ac:dyDescent="0.3">
      <c r="A7" s="36" t="s">
        <v>243</v>
      </c>
      <c r="B7" s="38">
        <f ca="1">TODAY()</f>
        <v>46316</v>
      </c>
    </row>
    <row r="8" spans="1:20" x14ac:dyDescent="0.3">
      <c r="A8" s="36" t="s">
        <v>244</v>
      </c>
      <c r="B8" s="32">
        <f>IFERROR(INDEX(Roster!$D$5:$D$40,MATCH($B$4,Roster!$A$5:$A$40,0)),"")</f>
        <v>87.9</v>
      </c>
    </row>
    <row r="9" spans="1:20" ht="19.5" customHeight="1" x14ac:dyDescent="0.3">
      <c r="A9" s="5" t="str">
        <f ca="1">IF($B$4="","Pick a player above.",IF($B$8="","⚠ "&amp;$B$4&amp;" isn't on the Roster tab (or has no Avg Top Velo there) — add him and the plan fills in.",IF(NOT(ISNUMBER($B$6)),"⚠ Enter the Next High-Intent Day Date as a date (e.g. 10/20/2026).",IF(NOT(ISNUMBER($B$7)),"⚠ Today's Date needs a date (or =TODAY()).",IF($B$6&lt;=$B$7+1,"⚠ The next outing must be at least 2 days after Today's Date — the plan covers the days in between.",IF($B$6-$B$7-1&gt;42,"ℹ His outing is "&amp;($B$6-$B$7)&amp;" days out — showing the next 42 days; the rest fills in as the date gets closer. For a full long-range ramp (first catch to first pen), use a Build-Up tab.","✓ Plan covers all "&amp;($B$6-$B$7-1)&amp;" days through "&amp;TEXT($B$6-1,"ddd m/d")&amp;"."))))))</f>
        <v>⚠ The next outing must be at least 2 days after Today's Date — the plan covers the days in between.</v>
      </c>
      <c r="B9" s="5"/>
      <c r="C9" s="5"/>
      <c r="D9" s="5"/>
      <c r="E9" s="5"/>
      <c r="F9" s="5"/>
      <c r="G9" s="5"/>
      <c r="H9" s="5"/>
      <c r="I9" s="5"/>
      <c r="J9" s="5"/>
      <c r="K9" s="5"/>
      <c r="L9" s="5"/>
      <c r="M9" s="5"/>
      <c r="N9" s="5"/>
      <c r="O9" s="5"/>
      <c r="P9" s="5"/>
      <c r="Q9" s="5"/>
      <c r="R9" s="5"/>
      <c r="S9" s="5"/>
      <c r="T9" s="5"/>
    </row>
    <row r="10" spans="1:20" ht="15.6" x14ac:dyDescent="0.3">
      <c r="A10" s="12" t="s">
        <v>245</v>
      </c>
      <c r="B10" s="12"/>
      <c r="C10" s="12"/>
      <c r="D10" s="12"/>
      <c r="E10" s="12"/>
      <c r="F10" s="12"/>
      <c r="G10" s="12"/>
      <c r="H10" s="12"/>
      <c r="I10" s="12"/>
      <c r="J10" s="12"/>
      <c r="K10" s="12"/>
      <c r="L10" s="12"/>
      <c r="M10" s="12"/>
      <c r="N10" s="12"/>
      <c r="O10" s="12"/>
      <c r="P10" s="12"/>
      <c r="Q10" s="12"/>
      <c r="R10" s="12"/>
      <c r="S10" s="12"/>
      <c r="T10" s="12"/>
    </row>
    <row r="11" spans="1:20" x14ac:dyDescent="0.3">
      <c r="A11" s="21" t="s">
        <v>193</v>
      </c>
      <c r="B11" s="30">
        <f ca="1">SUMIFS('Throw Log'!$Q$5:$Q$300,'Throw Log'!$B$5:$B$300,$B$4,'Throw Log'!$A$5:$A$300,"&gt;="&amp;($B$7-6),'Throw Log'!$A$5:$A$300,"&lt;="&amp;$B$7)/7</f>
        <v>0</v>
      </c>
    </row>
    <row r="12" spans="1:20" x14ac:dyDescent="0.3">
      <c r="A12" s="21" t="s">
        <v>194</v>
      </c>
      <c r="B12" s="30">
        <f ca="1">SUMIFS('Throw Log'!$Q$5:$Q$300,'Throw Log'!$B$5:$B$300,$B$4,'Throw Log'!$A$5:$A$300,"&gt;="&amp;($B$7-27),'Throw Log'!$A$5:$A$300,"&lt;="&amp;$B$7)/28</f>
        <v>11.614571428571427</v>
      </c>
    </row>
    <row r="13" spans="1:20" x14ac:dyDescent="0.3">
      <c r="A13" s="39" t="s">
        <v>195</v>
      </c>
      <c r="B13" s="40">
        <f ca="1">IFERROR(B11/B12,"N/A")</f>
        <v>0</v>
      </c>
    </row>
    <row r="14" spans="1:20" x14ac:dyDescent="0.3">
      <c r="A14" s="39" t="s">
        <v>38</v>
      </c>
      <c r="B14" s="41" t="str">
        <f ca="1">IF(OR(B12=0,B13="N/A"),"Insufficient history (need ~28 days logged)",IFERROR(VLOOKUP(B13,Reference!$A$24:$C$27,2,TRUE()),"Insufficient history"))</f>
        <v>Undertrained</v>
      </c>
    </row>
    <row r="15" spans="1:20" ht="39.75" customHeight="1" x14ac:dyDescent="0.3">
      <c r="A15" s="21" t="s">
        <v>39</v>
      </c>
      <c r="B15" s="9" t="str">
        <f ca="1">IF(OR(B12=0,B13="N/A"),"Log at least 28 days of throws for a reliable trend. Meanwhile, rely on RPE and arm feedback before adding volume.",IFERROR(VLOOKUP(B13,Reference!$A$24:$C$27,3,TRUE()),""))</f>
        <v>Below 0.8 — there is room to progress distance/intensity next session.</v>
      </c>
      <c r="C15" s="9"/>
      <c r="D15" s="9"/>
      <c r="E15" s="9"/>
      <c r="F15" s="9"/>
    </row>
    <row r="16" spans="1:20" ht="30" customHeight="1" x14ac:dyDescent="0.3">
      <c r="A16" s="21" t="s">
        <v>246</v>
      </c>
      <c r="B16" s="32">
        <f ca="1">IF(OR(B14="Caution",B14="High Risk"),-1,IF(B14="Undertrained",1,0))</f>
        <v>1</v>
      </c>
      <c r="C16" s="11" t="s">
        <v>247</v>
      </c>
      <c r="D16" s="11"/>
      <c r="E16" s="11"/>
      <c r="F16" s="11"/>
      <c r="G16" s="11"/>
      <c r="H16" s="11"/>
      <c r="I16" s="11"/>
      <c r="J16" s="11"/>
      <c r="K16" s="11"/>
      <c r="L16" s="11"/>
      <c r="M16" s="11"/>
      <c r="N16" s="11"/>
      <c r="O16" s="11"/>
      <c r="P16" s="11"/>
      <c r="Q16" s="11"/>
      <c r="R16" s="11"/>
      <c r="S16" s="11"/>
      <c r="T16" s="11"/>
    </row>
    <row r="18" spans="1:20" ht="15.6" x14ac:dyDescent="0.3">
      <c r="A18" s="12" t="s">
        <v>248</v>
      </c>
      <c r="B18" s="12"/>
      <c r="C18" s="12"/>
      <c r="D18" s="12"/>
      <c r="E18" s="12"/>
      <c r="F18" s="12"/>
      <c r="G18" s="12"/>
      <c r="H18" s="12"/>
      <c r="I18" s="12"/>
      <c r="J18" s="12"/>
      <c r="K18" s="12"/>
      <c r="L18" s="12"/>
      <c r="M18" s="12"/>
      <c r="N18" s="12"/>
      <c r="O18" s="12"/>
      <c r="P18" s="12"/>
      <c r="Q18" s="12"/>
      <c r="R18" s="12"/>
      <c r="S18" s="12"/>
      <c r="T18" s="12"/>
    </row>
    <row r="19" spans="1:20" x14ac:dyDescent="0.3">
      <c r="A19" s="21" t="s">
        <v>249</v>
      </c>
      <c r="B19" s="48">
        <f ca="1">$B$7+1</f>
        <v>46317</v>
      </c>
    </row>
    <row r="20" spans="1:20" ht="15.6" x14ac:dyDescent="0.3">
      <c r="A20" s="21" t="s">
        <v>250</v>
      </c>
      <c r="B20" s="4" t="str">
        <f ca="1">IF(R28="","(check inputs above)",R28)</f>
        <v>(check inputs above)</v>
      </c>
      <c r="C20" s="4"/>
      <c r="D20" s="4"/>
    </row>
    <row r="21" spans="1:20" ht="30" customHeight="1" x14ac:dyDescent="0.3">
      <c r="A21" s="21" t="s">
        <v>251</v>
      </c>
      <c r="B21" s="9" t="str">
        <f ca="1">IF(S28="","",S28)</f>
        <v/>
      </c>
      <c r="C21" s="9"/>
      <c r="D21" s="9"/>
      <c r="E21" s="9"/>
      <c r="F21" s="9"/>
      <c r="G21" s="9"/>
      <c r="H21" s="9"/>
      <c r="I21" s="9"/>
      <c r="J21" s="9"/>
      <c r="K21" s="9"/>
      <c r="L21" s="9"/>
      <c r="M21" s="9"/>
      <c r="N21" s="9"/>
      <c r="O21" s="9"/>
      <c r="P21" s="9"/>
      <c r="Q21" s="9"/>
      <c r="R21" s="9"/>
      <c r="S21" s="9"/>
      <c r="T21" s="9"/>
    </row>
    <row r="22" spans="1:20" ht="30" customHeight="1" x14ac:dyDescent="0.3">
      <c r="A22" s="21" t="s">
        <v>252</v>
      </c>
      <c r="B22" s="9" t="str">
        <f>"("&amp;TEXT($B$6,"ddd m/d")&amp;" — "&amp;$B$5&amp;") "&amp;IF($B$5="Game",IF(AND($B$23="",$D$23=""),"Enter planned pitches/innings below — velo cannot be predicted for a live game.",IF(AND($B$23&lt;&gt;"",$D$23&lt;&gt;""),"Planned: "&amp;$B$23&amp;" pitches over "&amp;$D$23&amp;" innings",IF($B$23&lt;&gt;"","Planned: "&amp;$B$23&amp;" pitches","Planned: "&amp;$D$23&amp;" innings"))),IF($B$5="High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mph"),IF($B$5="Low Bullpen",CONCATENATE(IF('Day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f>
        <v>(Fri 10/9 — Low Bullpen) 90 ft — 45-55 throws @ 70-74 mph  +  60 ft — 15-25 throws @ 74-76 mph</v>
      </c>
      <c r="C22" s="9"/>
      <c r="D22" s="9"/>
      <c r="E22" s="9"/>
      <c r="F22" s="9"/>
      <c r="G22" s="9"/>
      <c r="H22" s="9"/>
      <c r="I22" s="9"/>
      <c r="J22" s="9"/>
      <c r="K22" s="9"/>
      <c r="L22" s="9"/>
      <c r="M22" s="9"/>
      <c r="N22" s="9"/>
      <c r="O22" s="9"/>
      <c r="P22" s="9"/>
      <c r="Q22" s="9"/>
      <c r="R22" s="9"/>
      <c r="S22" s="9"/>
      <c r="T22" s="9"/>
    </row>
    <row r="23" spans="1:20" ht="30" customHeight="1" x14ac:dyDescent="0.3">
      <c r="A23" s="21" t="s">
        <v>253</v>
      </c>
      <c r="B23" s="37"/>
      <c r="C23" s="21" t="s">
        <v>254</v>
      </c>
      <c r="D23" s="37"/>
      <c r="E23" s="11" t="s">
        <v>255</v>
      </c>
      <c r="F23" s="11"/>
      <c r="G23" s="11"/>
      <c r="H23" s="11"/>
      <c r="I23" s="11"/>
      <c r="J23" s="11"/>
      <c r="K23" s="11"/>
      <c r="L23" s="11"/>
      <c r="M23" s="11"/>
      <c r="N23" s="11"/>
      <c r="O23" s="11"/>
      <c r="P23" s="11"/>
      <c r="Q23" s="11"/>
      <c r="R23" s="11"/>
      <c r="S23" s="11"/>
      <c r="T23" s="11"/>
    </row>
    <row r="24" spans="1:20" ht="15.6" x14ac:dyDescent="0.3">
      <c r="A24" s="12" t="s">
        <v>256</v>
      </c>
      <c r="B24" s="12"/>
      <c r="C24" s="12"/>
      <c r="D24" s="12"/>
      <c r="E24" s="12"/>
      <c r="F24" s="12"/>
      <c r="G24" s="12"/>
      <c r="H24" s="12"/>
      <c r="I24" s="12"/>
      <c r="J24" s="12"/>
      <c r="K24" s="12"/>
      <c r="L24" s="12"/>
      <c r="M24" s="12"/>
      <c r="N24" s="12"/>
      <c r="O24" s="12"/>
      <c r="P24" s="12"/>
      <c r="Q24" s="12"/>
      <c r="R24" s="12"/>
      <c r="S24" s="12"/>
      <c r="T24" s="12"/>
    </row>
    <row r="25" spans="1:20" ht="96" customHeight="1" x14ac:dyDescent="0.3">
      <c r="A25" s="11" t="s">
        <v>257</v>
      </c>
      <c r="B25" s="11"/>
      <c r="C25" s="11"/>
      <c r="D25" s="11"/>
      <c r="E25" s="11"/>
      <c r="F25" s="11"/>
      <c r="G25" s="11"/>
      <c r="H25" s="11"/>
      <c r="I25" s="11"/>
      <c r="J25" s="11"/>
      <c r="K25" s="11"/>
      <c r="L25" s="11"/>
      <c r="M25" s="11"/>
      <c r="N25" s="11"/>
      <c r="O25" s="11"/>
      <c r="P25" s="11"/>
      <c r="Q25" s="11"/>
      <c r="R25" s="11"/>
      <c r="S25" s="11"/>
      <c r="T25" s="11"/>
    </row>
    <row r="27" spans="1:20" ht="42" customHeight="1" x14ac:dyDescent="0.3">
      <c r="A27" s="19" t="s">
        <v>150</v>
      </c>
      <c r="B27" s="19" t="s">
        <v>258</v>
      </c>
      <c r="C27" s="19" t="s">
        <v>259</v>
      </c>
      <c r="D27" s="19" t="s">
        <v>260</v>
      </c>
      <c r="E27" s="19" t="s">
        <v>261</v>
      </c>
      <c r="F27" s="19" t="s">
        <v>262</v>
      </c>
      <c r="G27" s="19" t="s">
        <v>263</v>
      </c>
      <c r="H27" s="19" t="s">
        <v>264</v>
      </c>
      <c r="I27" s="19" t="s">
        <v>265</v>
      </c>
      <c r="J27" s="19" t="s">
        <v>266</v>
      </c>
      <c r="K27" s="19" t="s">
        <v>267</v>
      </c>
      <c r="L27" s="19" t="s">
        <v>268</v>
      </c>
      <c r="M27" s="19" t="s">
        <v>269</v>
      </c>
      <c r="N27" s="19" t="s">
        <v>270</v>
      </c>
      <c r="O27" s="19" t="s">
        <v>271</v>
      </c>
      <c r="P27" s="19" t="s">
        <v>272</v>
      </c>
      <c r="Q27" s="19" t="s">
        <v>273</v>
      </c>
      <c r="R27" s="19" t="s">
        <v>274</v>
      </c>
      <c r="S27" s="19" t="s">
        <v>275</v>
      </c>
      <c r="T27" s="19" t="s">
        <v>276</v>
      </c>
    </row>
    <row r="28" spans="1:20" x14ac:dyDescent="0.3">
      <c r="A28" s="35" t="str">
        <f ca="1">IF($B$7+1&lt;$B$6,$B$7+1,"")</f>
        <v/>
      </c>
      <c r="B28" s="32" t="str">
        <f t="shared" ref="B28:B69" ca="1" si="0">IF(A28="","",TEXT(A28,"ddd"))</f>
        <v/>
      </c>
      <c r="C28" s="32" t="str">
        <f t="shared" ref="C28:C69" ca="1" si="1">IF(A28="","",$B$6-A28)</f>
        <v/>
      </c>
      <c r="D28" s="32" t="str">
        <f ca="1">IF(A28="","",IF(AND(T28&lt;&gt;"",T28&lt;&gt;"(none)"),T28,IF(C28&lt;=5,IFERROR(INDEX(Reference!$B$73:$B$78,MATCH(C28,Reference!$A$73:$A$78,0)),"Low"),IFERROR(INDEX(Reference!$B$84:$B$86,MATCH(MOD(C28-6,3),Reference!$A$84:$A$86,0)),"Low"))))</f>
        <v/>
      </c>
      <c r="E28" s="32" t="str">
        <f t="shared" ref="E28:E69" ca="1" si="2">IF(D28="","",IF(D28="No Throw",0,IF(D28="Low",1,IF(D28="Medium",2,IF(OR(D28="High Non-Bullpen",D28="High Bullpen"),3,4)))))</f>
        <v/>
      </c>
      <c r="F28" s="48" t="str">
        <f t="shared" ref="F28:F69" ca="1" si="3">IF(A28="","",A28-1)</f>
        <v/>
      </c>
      <c r="G28" s="32" t="str">
        <f t="shared" ref="G28:G69" ca="1" si="4">IF(F28="","",$B$6-F28)</f>
        <v/>
      </c>
      <c r="H28" s="32" t="str">
        <f ca="1">IF(F28="","",IF(G28&lt;=5,IFERROR(INDEX(Reference!$B$73:$B$78,MATCH(G28,Reference!$A$73:$A$78,0)),"Low"),IFERROR(INDEX(Reference!$B$84:$B$86,MATCH(MOD(G28-6,3),Reference!$A$84:$A$86,0)),"Low")))</f>
        <v/>
      </c>
      <c r="I28" s="30" t="str">
        <f ca="1">IF(H28="","",IFERROR(INDEX('Day Type Templates'!$B$49:$B$53,MATCH(H28,'Day Type Templates'!$A$49:$A$53,0)),""))</f>
        <v/>
      </c>
      <c r="J28" s="30" t="str">
        <f ca="1">IF(F28="","",SUMIFS('Throw Log'!$Q$5:$Q$300,'Throw Log'!$B$5:$B$300,$B$4,'Throw Log'!$A$5:$A$300,F28))</f>
        <v/>
      </c>
      <c r="K28" s="46">
        <f t="shared" ref="K28:K69" ca="1" si="5">IF(OR(I28="",I28=0,J28="",J28=0),1,J28/I28)</f>
        <v>1</v>
      </c>
      <c r="L28" s="32">
        <f t="shared" ref="L28:L69" ca="1" si="6">IF(K28&gt;1.2,-1,IF(K28&lt;0.8,1,0))</f>
        <v>0</v>
      </c>
      <c r="M28" s="32" t="str">
        <f ca="1">IF(A28="","",0)</f>
        <v/>
      </c>
      <c r="N28" s="32">
        <f t="shared" ref="N28:N69" ca="1" si="7">$B$16</f>
        <v>1</v>
      </c>
      <c r="O28" s="32" t="str">
        <f t="shared" ref="O28:O69" ca="1" si="8">IF(A28="","",IF(M28&lt;&gt;0,M28,MIN(L28,N28)))</f>
        <v/>
      </c>
      <c r="P28" s="32" t="str">
        <f t="shared" ref="P28:P69" ca="1" si="9">IF(C28=1,MIN(O28,0),O28)</f>
        <v/>
      </c>
      <c r="Q28" s="32" t="str">
        <f t="shared" ref="Q28:Q69" ca="1" si="10">IF(A28="","",MIN(3,MAX(1,E28+P28)))</f>
        <v/>
      </c>
      <c r="R28" s="32" t="str">
        <f t="shared" ref="R28:R69" ca="1" si="11">IF(A28="","",IF(AND(T28&lt;&gt;"",T28&lt;&gt;"(none)"),T28,IF(Q28="","",IF(Q28=E28,D28,IF(Q28=1,"Low",IF(Q28=2,"Medium","High Non-Bullpen"))))))</f>
        <v/>
      </c>
      <c r="S28" s="47" t="str">
        <f ca="1">IFERROR(IF(R28="","",IF(R28="No Throw","Full rest — no throwing today.",IF(R28="Low",CONCATENATE(IF('Day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mph"),IF(R28="Medium",CONCATENATE(IF('Day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mph"),IF(R28="High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mph"),IF(R28="High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28" s="37" t="s">
        <v>81</v>
      </c>
    </row>
    <row r="29" spans="1:20" x14ac:dyDescent="0.3">
      <c r="A29" s="35" t="str">
        <f ca="1">IF($B$7+2&lt;$B$6,$B$7+2,"")</f>
        <v/>
      </c>
      <c r="B29" s="32" t="str">
        <f t="shared" ca="1" si="0"/>
        <v/>
      </c>
      <c r="C29" s="32" t="str">
        <f t="shared" ca="1" si="1"/>
        <v/>
      </c>
      <c r="D29" s="32" t="str">
        <f ca="1">IF(A29="","",IF(AND(T29&lt;&gt;"",T29&lt;&gt;"(none)"),T29,IF(C29&lt;=5,IFERROR(INDEX(Reference!$B$73:$B$78,MATCH(C29,Reference!$A$73:$A$78,0)),"Low"),IFERROR(INDEX(Reference!$B$84:$B$86,MATCH(MOD(C29-6,3),Reference!$A$84:$A$86,0)),"Low"))))</f>
        <v/>
      </c>
      <c r="E29" s="32" t="str">
        <f t="shared" ca="1" si="2"/>
        <v/>
      </c>
      <c r="F29" s="48" t="str">
        <f t="shared" ca="1" si="3"/>
        <v/>
      </c>
      <c r="G29" s="32" t="str">
        <f t="shared" ca="1" si="4"/>
        <v/>
      </c>
      <c r="H29" s="32" t="str">
        <f t="shared" ref="H29:H69" ca="1" si="12">IF(F29="","",R28)</f>
        <v/>
      </c>
      <c r="I29" s="30" t="str">
        <f ca="1">IF(H29="","",IFERROR(INDEX('Day Type Templates'!$B$49:$B$53,MATCH(H29,'Day Type Templates'!$A$49:$A$53,0)),""))</f>
        <v/>
      </c>
      <c r="J29" s="30" t="str">
        <f ca="1">IF(F29="","",SUMIFS('Throw Log'!$Q$5:$Q$300,'Throw Log'!$B$5:$B$300,$B$4,'Throw Log'!$A$5:$A$300,F29))</f>
        <v/>
      </c>
      <c r="K29" s="46">
        <f t="shared" ca="1" si="5"/>
        <v>1</v>
      </c>
      <c r="L29" s="32">
        <f t="shared" ca="1" si="6"/>
        <v>0</v>
      </c>
      <c r="M29" s="32" t="str">
        <f ca="1">IF(A29="","",IF(R28="","",IF(IF(R28="No Throw",0,IF(R28="Low",1,IF(R28="Medium",2,IF(OR(R28="High Non-Bullpen",R28="High Bullpen"),3,4))))=IF(IF(C28&lt;=5,IFERROR(INDEX(Reference!$B$73:$B$78,MATCH(C28,Reference!$A$73:$A$78,0)),"Low"),IFERROR(INDEX(Reference!$B$84:$B$86,MATCH(MOD(C28-6,3),Reference!$A$84:$A$86,0)),"Low"))="No Throw",0,IF(IF(C28&lt;=5,IFERROR(INDEX(Reference!$B$73:$B$78,MATCH(C28,Reference!$A$73:$A$78,0)),"Low"),IFERROR(INDEX(Reference!$B$84:$B$86,MATCH(MOD(C28-6,3),Reference!$A$84:$A$86,0)),"Low"))="Low",1,IF(IF(C28&lt;=5,IFERROR(INDEX(Reference!$B$73:$B$78,MATCH(C28,Reference!$A$73:$A$78,0)),"Low"),IFERROR(INDEX(Reference!$B$84:$B$86,MATCH(MOD(C28-6,3),Reference!$A$84:$A$86,0)),"Low"))="Medium",2,IF(OR(IF(C28&lt;=5,IFERROR(INDEX(Reference!$B$73:$B$78,MATCH(C28,Reference!$A$73:$A$78,0)),"Low"),IFERROR(INDEX(Reference!$B$84:$B$86,MATCH(MOD(C28-6,3),Reference!$A$84:$A$86,0)),"Low"))="High Non-Bullpen",IF(C28&lt;=5,IFERROR(INDEX(Reference!$B$73:$B$78,MATCH(C28,Reference!$A$73:$A$78,0)),"Low"),IFERROR(INDEX(Reference!$B$84:$B$86,MATCH(MOD(C28-6,3),Reference!$A$84:$A$86,0)),"Low"))="High Bullpen"),3,4)))),0,IF(IF(R28="No Throw",0,IF(R28="Low",1,IF(R28="Medium",2,IF(OR(R28="High Non-Bullpen",R28="High Bullpen"),3,4))))&gt;IF(IF(C28&lt;=5,IFERROR(INDEX(Reference!$B$73:$B$78,MATCH(C28,Reference!$A$73:$A$78,0)),"Low"),IFERROR(INDEX(Reference!$B$84:$B$86,MATCH(MOD(C28-6,3),Reference!$A$84:$A$86,0)),"Low"))="No Throw",0,IF(IF(C28&lt;=5,IFERROR(INDEX(Reference!$B$73:$B$78,MATCH(C28,Reference!$A$73:$A$78,0)),"Low"),IFERROR(INDEX(Reference!$B$84:$B$86,MATCH(MOD(C28-6,3),Reference!$A$84:$A$86,0)),"Low"))="Low",1,IF(IF(C28&lt;=5,IFERROR(INDEX(Reference!$B$73:$B$78,MATCH(C28,Reference!$A$73:$A$78,0)),"Low"),IFERROR(INDEX(Reference!$B$84:$B$86,MATCH(MOD(C28-6,3),Reference!$A$84:$A$86,0)),"Low"))="Medium",2,IF(OR(IF(C28&lt;=5,IFERROR(INDEX(Reference!$B$73:$B$78,MATCH(C28,Reference!$A$73:$A$78,0)),"Low"),IFERROR(INDEX(Reference!$B$84:$B$86,MATCH(MOD(C28-6,3),Reference!$A$84:$A$86,0)),"Low"))="High Non-Bullpen",IF(C28&lt;=5,IFERROR(INDEX(Reference!$B$73:$B$78,MATCH(C28,Reference!$A$73:$A$78,0)),"Low"),IFERROR(INDEX(Reference!$B$84:$B$86,MATCH(MOD(C28-6,3),Reference!$A$84:$A$86,0)),"Low"))="High Bullpen"),3,4)))),-1,1))))</f>
        <v/>
      </c>
      <c r="N29" s="32">
        <f t="shared" ca="1" si="7"/>
        <v>1</v>
      </c>
      <c r="O29" s="32" t="str">
        <f t="shared" ca="1" si="8"/>
        <v/>
      </c>
      <c r="P29" s="32" t="str">
        <f t="shared" ca="1" si="9"/>
        <v/>
      </c>
      <c r="Q29" s="32" t="str">
        <f t="shared" ca="1" si="10"/>
        <v/>
      </c>
      <c r="R29" s="32" t="str">
        <f t="shared" ca="1" si="11"/>
        <v/>
      </c>
      <c r="S29" s="47" t="str">
        <f ca="1">IFERROR(IF(R29="","",IF(R29="No Throw","Full rest — no throwing today.",IF(R29="Low",CONCATENATE(IF('Day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mph"),IF(R29="Medium",CONCATENATE(IF('Day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mph"),IF(R29="High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mph"),IF(R29="High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29" s="37" t="s">
        <v>49</v>
      </c>
    </row>
    <row r="30" spans="1:20" x14ac:dyDescent="0.3">
      <c r="A30" s="35" t="str">
        <f ca="1">IF($B$7+3&lt;$B$6,$B$7+3,"")</f>
        <v/>
      </c>
      <c r="B30" s="32" t="str">
        <f t="shared" ca="1" si="0"/>
        <v/>
      </c>
      <c r="C30" s="32" t="str">
        <f t="shared" ca="1" si="1"/>
        <v/>
      </c>
      <c r="D30" s="32" t="str">
        <f ca="1">IF(A30="","",IF(AND(T30&lt;&gt;"",T30&lt;&gt;"(none)"),T30,IF(C30&lt;=5,IFERROR(INDEX(Reference!$B$73:$B$78,MATCH(C30,Reference!$A$73:$A$78,0)),"Low"),IFERROR(INDEX(Reference!$B$84:$B$86,MATCH(MOD(C30-6,3),Reference!$A$84:$A$86,0)),"Low"))))</f>
        <v/>
      </c>
      <c r="E30" s="32" t="str">
        <f t="shared" ca="1" si="2"/>
        <v/>
      </c>
      <c r="F30" s="48" t="str">
        <f t="shared" ca="1" si="3"/>
        <v/>
      </c>
      <c r="G30" s="32" t="str">
        <f t="shared" ca="1" si="4"/>
        <v/>
      </c>
      <c r="H30" s="32" t="str">
        <f t="shared" ca="1" si="12"/>
        <v/>
      </c>
      <c r="I30" s="30" t="str">
        <f ca="1">IF(H30="","",IFERROR(INDEX('Day Type Templates'!$B$49:$B$53,MATCH(H30,'Day Type Templates'!$A$49:$A$53,0)),""))</f>
        <v/>
      </c>
      <c r="J30" s="30" t="str">
        <f ca="1">IF(F30="","",SUMIFS('Throw Log'!$Q$5:$Q$300,'Throw Log'!$B$5:$B$300,$B$4,'Throw Log'!$A$5:$A$300,F30))</f>
        <v/>
      </c>
      <c r="K30" s="46">
        <f t="shared" ca="1" si="5"/>
        <v>1</v>
      </c>
      <c r="L30" s="32">
        <f t="shared" ca="1" si="6"/>
        <v>0</v>
      </c>
      <c r="M30" s="32" t="str">
        <f ca="1">IF(A30="","",IF(R29="","",IF(IF(R29="No Throw",0,IF(R29="Low",1,IF(R29="Medium",2,IF(OR(R29="High Non-Bullpen",R29="High Bullpen"),3,4))))=IF(IF(C29&lt;=5,IFERROR(INDEX(Reference!$B$73:$B$78,MATCH(C29,Reference!$A$73:$A$78,0)),"Low"),IFERROR(INDEX(Reference!$B$84:$B$86,MATCH(MOD(C29-6,3),Reference!$A$84:$A$86,0)),"Low"))="No Throw",0,IF(IF(C29&lt;=5,IFERROR(INDEX(Reference!$B$73:$B$78,MATCH(C29,Reference!$A$73:$A$78,0)),"Low"),IFERROR(INDEX(Reference!$B$84:$B$86,MATCH(MOD(C29-6,3),Reference!$A$84:$A$86,0)),"Low"))="Low",1,IF(IF(C29&lt;=5,IFERROR(INDEX(Reference!$B$73:$B$78,MATCH(C29,Reference!$A$73:$A$78,0)),"Low"),IFERROR(INDEX(Reference!$B$84:$B$86,MATCH(MOD(C29-6,3),Reference!$A$84:$A$86,0)),"Low"))="Medium",2,IF(OR(IF(C29&lt;=5,IFERROR(INDEX(Reference!$B$73:$B$78,MATCH(C29,Reference!$A$73:$A$78,0)),"Low"),IFERROR(INDEX(Reference!$B$84:$B$86,MATCH(MOD(C29-6,3),Reference!$A$84:$A$86,0)),"Low"))="High Non-Bullpen",IF(C29&lt;=5,IFERROR(INDEX(Reference!$B$73:$B$78,MATCH(C29,Reference!$A$73:$A$78,0)),"Low"),IFERROR(INDEX(Reference!$B$84:$B$86,MATCH(MOD(C29-6,3),Reference!$A$84:$A$86,0)),"Low"))="High Bullpen"),3,4)))),0,IF(IF(R29="No Throw",0,IF(R29="Low",1,IF(R29="Medium",2,IF(OR(R29="High Non-Bullpen",R29="High Bullpen"),3,4))))&gt;IF(IF(C29&lt;=5,IFERROR(INDEX(Reference!$B$73:$B$78,MATCH(C29,Reference!$A$73:$A$78,0)),"Low"),IFERROR(INDEX(Reference!$B$84:$B$86,MATCH(MOD(C29-6,3),Reference!$A$84:$A$86,0)),"Low"))="No Throw",0,IF(IF(C29&lt;=5,IFERROR(INDEX(Reference!$B$73:$B$78,MATCH(C29,Reference!$A$73:$A$78,0)),"Low"),IFERROR(INDEX(Reference!$B$84:$B$86,MATCH(MOD(C29-6,3),Reference!$A$84:$A$86,0)),"Low"))="Low",1,IF(IF(C29&lt;=5,IFERROR(INDEX(Reference!$B$73:$B$78,MATCH(C29,Reference!$A$73:$A$78,0)),"Low"),IFERROR(INDEX(Reference!$B$84:$B$86,MATCH(MOD(C29-6,3),Reference!$A$84:$A$86,0)),"Low"))="Medium",2,IF(OR(IF(C29&lt;=5,IFERROR(INDEX(Reference!$B$73:$B$78,MATCH(C29,Reference!$A$73:$A$78,0)),"Low"),IFERROR(INDEX(Reference!$B$84:$B$86,MATCH(MOD(C29-6,3),Reference!$A$84:$A$86,0)),"Low"))="High Non-Bullpen",IF(C29&lt;=5,IFERROR(INDEX(Reference!$B$73:$B$78,MATCH(C29,Reference!$A$73:$A$78,0)),"Low"),IFERROR(INDEX(Reference!$B$84:$B$86,MATCH(MOD(C29-6,3),Reference!$A$84:$A$86,0)),"Low"))="High Bullpen"),3,4)))),-1,1))))</f>
        <v/>
      </c>
      <c r="N30" s="32">
        <f t="shared" ca="1" si="7"/>
        <v>1</v>
      </c>
      <c r="O30" s="32" t="str">
        <f t="shared" ca="1" si="8"/>
        <v/>
      </c>
      <c r="P30" s="32" t="str">
        <f t="shared" ca="1" si="9"/>
        <v/>
      </c>
      <c r="Q30" s="32" t="str">
        <f t="shared" ca="1" si="10"/>
        <v/>
      </c>
      <c r="R30" s="32" t="str">
        <f t="shared" ca="1" si="11"/>
        <v/>
      </c>
      <c r="S30" s="47" t="str">
        <f ca="1">IFERROR(IF(R30="","",IF(R30="No Throw","Full rest — no throwing today.",IF(R30="Low",CONCATENATE(IF('Day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mph"),IF(R30="Medium",CONCATENATE(IF('Day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mph"),IF(R30="High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mph"),IF(R30="High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30" s="37"/>
    </row>
    <row r="31" spans="1:20" x14ac:dyDescent="0.3">
      <c r="A31" s="35" t="str">
        <f ca="1">IF($B$7+4&lt;$B$6,$B$7+4,"")</f>
        <v/>
      </c>
      <c r="B31" s="32" t="str">
        <f t="shared" ca="1" si="0"/>
        <v/>
      </c>
      <c r="C31" s="32" t="str">
        <f t="shared" ca="1" si="1"/>
        <v/>
      </c>
      <c r="D31" s="32" t="str">
        <f ca="1">IF(A31="","",IF(AND(T31&lt;&gt;"",T31&lt;&gt;"(none)"),T31,IF(C31&lt;=5,IFERROR(INDEX(Reference!$B$73:$B$78,MATCH(C31,Reference!$A$73:$A$78,0)),"Low"),IFERROR(INDEX(Reference!$B$84:$B$86,MATCH(MOD(C31-6,3),Reference!$A$84:$A$86,0)),"Low"))))</f>
        <v/>
      </c>
      <c r="E31" s="32" t="str">
        <f t="shared" ca="1" si="2"/>
        <v/>
      </c>
      <c r="F31" s="48" t="str">
        <f t="shared" ca="1" si="3"/>
        <v/>
      </c>
      <c r="G31" s="32" t="str">
        <f t="shared" ca="1" si="4"/>
        <v/>
      </c>
      <c r="H31" s="32" t="str">
        <f t="shared" ca="1" si="12"/>
        <v/>
      </c>
      <c r="I31" s="30" t="str">
        <f ca="1">IF(H31="","",IFERROR(INDEX('Day Type Templates'!$B$49:$B$53,MATCH(H31,'Day Type Templates'!$A$49:$A$53,0)),""))</f>
        <v/>
      </c>
      <c r="J31" s="30" t="str">
        <f ca="1">IF(F31="","",SUMIFS('Throw Log'!$Q$5:$Q$300,'Throw Log'!$B$5:$B$300,$B$4,'Throw Log'!$A$5:$A$300,F31))</f>
        <v/>
      </c>
      <c r="K31" s="46">
        <f t="shared" ca="1" si="5"/>
        <v>1</v>
      </c>
      <c r="L31" s="32">
        <f t="shared" ca="1" si="6"/>
        <v>0</v>
      </c>
      <c r="M31" s="32" t="str">
        <f ca="1">IF(A31="","",IF(R30="","",IF(IF(R30="No Throw",0,IF(R30="Low",1,IF(R30="Medium",2,IF(OR(R30="High Non-Bullpen",R30="High Bullpen"),3,4))))=IF(IF(C30&lt;=5,IFERROR(INDEX(Reference!$B$73:$B$78,MATCH(C30,Reference!$A$73:$A$78,0)),"Low"),IFERROR(INDEX(Reference!$B$84:$B$86,MATCH(MOD(C30-6,3),Reference!$A$84:$A$86,0)),"Low"))="No Throw",0,IF(IF(C30&lt;=5,IFERROR(INDEX(Reference!$B$73:$B$78,MATCH(C30,Reference!$A$73:$A$78,0)),"Low"),IFERROR(INDEX(Reference!$B$84:$B$86,MATCH(MOD(C30-6,3),Reference!$A$84:$A$86,0)),"Low"))="Low",1,IF(IF(C30&lt;=5,IFERROR(INDEX(Reference!$B$73:$B$78,MATCH(C30,Reference!$A$73:$A$78,0)),"Low"),IFERROR(INDEX(Reference!$B$84:$B$86,MATCH(MOD(C30-6,3),Reference!$A$84:$A$86,0)),"Low"))="Medium",2,IF(OR(IF(C30&lt;=5,IFERROR(INDEX(Reference!$B$73:$B$78,MATCH(C30,Reference!$A$73:$A$78,0)),"Low"),IFERROR(INDEX(Reference!$B$84:$B$86,MATCH(MOD(C30-6,3),Reference!$A$84:$A$86,0)),"Low"))="High Non-Bullpen",IF(C30&lt;=5,IFERROR(INDEX(Reference!$B$73:$B$78,MATCH(C30,Reference!$A$73:$A$78,0)),"Low"),IFERROR(INDEX(Reference!$B$84:$B$86,MATCH(MOD(C30-6,3),Reference!$A$84:$A$86,0)),"Low"))="High Bullpen"),3,4)))),0,IF(IF(R30="No Throw",0,IF(R30="Low",1,IF(R30="Medium",2,IF(OR(R30="High Non-Bullpen",R30="High Bullpen"),3,4))))&gt;IF(IF(C30&lt;=5,IFERROR(INDEX(Reference!$B$73:$B$78,MATCH(C30,Reference!$A$73:$A$78,0)),"Low"),IFERROR(INDEX(Reference!$B$84:$B$86,MATCH(MOD(C30-6,3),Reference!$A$84:$A$86,0)),"Low"))="No Throw",0,IF(IF(C30&lt;=5,IFERROR(INDEX(Reference!$B$73:$B$78,MATCH(C30,Reference!$A$73:$A$78,0)),"Low"),IFERROR(INDEX(Reference!$B$84:$B$86,MATCH(MOD(C30-6,3),Reference!$A$84:$A$86,0)),"Low"))="Low",1,IF(IF(C30&lt;=5,IFERROR(INDEX(Reference!$B$73:$B$78,MATCH(C30,Reference!$A$73:$A$78,0)),"Low"),IFERROR(INDEX(Reference!$B$84:$B$86,MATCH(MOD(C30-6,3),Reference!$A$84:$A$86,0)),"Low"))="Medium",2,IF(OR(IF(C30&lt;=5,IFERROR(INDEX(Reference!$B$73:$B$78,MATCH(C30,Reference!$A$73:$A$78,0)),"Low"),IFERROR(INDEX(Reference!$B$84:$B$86,MATCH(MOD(C30-6,3),Reference!$A$84:$A$86,0)),"Low"))="High Non-Bullpen",IF(C30&lt;=5,IFERROR(INDEX(Reference!$B$73:$B$78,MATCH(C30,Reference!$A$73:$A$78,0)),"Low"),IFERROR(INDEX(Reference!$B$84:$B$86,MATCH(MOD(C30-6,3),Reference!$A$84:$A$86,0)),"Low"))="High Bullpen"),3,4)))),-1,1))))</f>
        <v/>
      </c>
      <c r="N31" s="32">
        <f t="shared" ca="1" si="7"/>
        <v>1</v>
      </c>
      <c r="O31" s="32" t="str">
        <f t="shared" ca="1" si="8"/>
        <v/>
      </c>
      <c r="P31" s="32" t="str">
        <f t="shared" ca="1" si="9"/>
        <v/>
      </c>
      <c r="Q31" s="32" t="str">
        <f t="shared" ca="1" si="10"/>
        <v/>
      </c>
      <c r="R31" s="32" t="str">
        <f t="shared" ca="1" si="11"/>
        <v/>
      </c>
      <c r="S31" s="47" t="str">
        <f ca="1">IFERROR(IF(R31="","",IF(R31="No Throw","Full rest — no throwing today.",IF(R31="Low",CONCATENATE(IF('Day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mph"),IF(R31="Medium",CONCATENATE(IF('Day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mph"),IF(R31="High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mph"),IF(R31="High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31" s="37" t="s">
        <v>85</v>
      </c>
    </row>
    <row r="32" spans="1:20" x14ac:dyDescent="0.3">
      <c r="A32" s="35" t="str">
        <f ca="1">IF($B$7+5&lt;$B$6,$B$7+5,"")</f>
        <v/>
      </c>
      <c r="B32" s="32" t="str">
        <f t="shared" ca="1" si="0"/>
        <v/>
      </c>
      <c r="C32" s="32" t="str">
        <f t="shared" ca="1" si="1"/>
        <v/>
      </c>
      <c r="D32" s="32" t="str">
        <f ca="1">IF(A32="","",IF(AND(T32&lt;&gt;"",T32&lt;&gt;"(none)"),T32,IF(C32&lt;=5,IFERROR(INDEX(Reference!$B$73:$B$78,MATCH(C32,Reference!$A$73:$A$78,0)),"Low"),IFERROR(INDEX(Reference!$B$84:$B$86,MATCH(MOD(C32-6,3),Reference!$A$84:$A$86,0)),"Low"))))</f>
        <v/>
      </c>
      <c r="E32" s="32" t="str">
        <f t="shared" ca="1" si="2"/>
        <v/>
      </c>
      <c r="F32" s="48" t="str">
        <f t="shared" ca="1" si="3"/>
        <v/>
      </c>
      <c r="G32" s="32" t="str">
        <f t="shared" ca="1" si="4"/>
        <v/>
      </c>
      <c r="H32" s="32" t="str">
        <f t="shared" ca="1" si="12"/>
        <v/>
      </c>
      <c r="I32" s="30" t="str">
        <f ca="1">IF(H32="","",IFERROR(INDEX('Day Type Templates'!$B$49:$B$53,MATCH(H32,'Day Type Templates'!$A$49:$A$53,0)),""))</f>
        <v/>
      </c>
      <c r="J32" s="30" t="str">
        <f ca="1">IF(F32="","",SUMIFS('Throw Log'!$Q$5:$Q$300,'Throw Log'!$B$5:$B$300,$B$4,'Throw Log'!$A$5:$A$300,F32))</f>
        <v/>
      </c>
      <c r="K32" s="46">
        <f t="shared" ca="1" si="5"/>
        <v>1</v>
      </c>
      <c r="L32" s="32">
        <f t="shared" ca="1" si="6"/>
        <v>0</v>
      </c>
      <c r="M32" s="32" t="str">
        <f ca="1">IF(A32="","",IF(R31="","",IF(IF(R31="No Throw",0,IF(R31="Low",1,IF(R31="Medium",2,IF(OR(R31="High Non-Bullpen",R31="High Bullpen"),3,4))))=IF(IF(C31&lt;=5,IFERROR(INDEX(Reference!$B$73:$B$78,MATCH(C31,Reference!$A$73:$A$78,0)),"Low"),IFERROR(INDEX(Reference!$B$84:$B$86,MATCH(MOD(C31-6,3),Reference!$A$84:$A$86,0)),"Low"))="No Throw",0,IF(IF(C31&lt;=5,IFERROR(INDEX(Reference!$B$73:$B$78,MATCH(C31,Reference!$A$73:$A$78,0)),"Low"),IFERROR(INDEX(Reference!$B$84:$B$86,MATCH(MOD(C31-6,3),Reference!$A$84:$A$86,0)),"Low"))="Low",1,IF(IF(C31&lt;=5,IFERROR(INDEX(Reference!$B$73:$B$78,MATCH(C31,Reference!$A$73:$A$78,0)),"Low"),IFERROR(INDEX(Reference!$B$84:$B$86,MATCH(MOD(C31-6,3),Reference!$A$84:$A$86,0)),"Low"))="Medium",2,IF(OR(IF(C31&lt;=5,IFERROR(INDEX(Reference!$B$73:$B$78,MATCH(C31,Reference!$A$73:$A$78,0)),"Low"),IFERROR(INDEX(Reference!$B$84:$B$86,MATCH(MOD(C31-6,3),Reference!$A$84:$A$86,0)),"Low"))="High Non-Bullpen",IF(C31&lt;=5,IFERROR(INDEX(Reference!$B$73:$B$78,MATCH(C31,Reference!$A$73:$A$78,0)),"Low"),IFERROR(INDEX(Reference!$B$84:$B$86,MATCH(MOD(C31-6,3),Reference!$A$84:$A$86,0)),"Low"))="High Bullpen"),3,4)))),0,IF(IF(R31="No Throw",0,IF(R31="Low",1,IF(R31="Medium",2,IF(OR(R31="High Non-Bullpen",R31="High Bullpen"),3,4))))&gt;IF(IF(C31&lt;=5,IFERROR(INDEX(Reference!$B$73:$B$78,MATCH(C31,Reference!$A$73:$A$78,0)),"Low"),IFERROR(INDEX(Reference!$B$84:$B$86,MATCH(MOD(C31-6,3),Reference!$A$84:$A$86,0)),"Low"))="No Throw",0,IF(IF(C31&lt;=5,IFERROR(INDEX(Reference!$B$73:$B$78,MATCH(C31,Reference!$A$73:$A$78,0)),"Low"),IFERROR(INDEX(Reference!$B$84:$B$86,MATCH(MOD(C31-6,3),Reference!$A$84:$A$86,0)),"Low"))="Low",1,IF(IF(C31&lt;=5,IFERROR(INDEX(Reference!$B$73:$B$78,MATCH(C31,Reference!$A$73:$A$78,0)),"Low"),IFERROR(INDEX(Reference!$B$84:$B$86,MATCH(MOD(C31-6,3),Reference!$A$84:$A$86,0)),"Low"))="Medium",2,IF(OR(IF(C31&lt;=5,IFERROR(INDEX(Reference!$B$73:$B$78,MATCH(C31,Reference!$A$73:$A$78,0)),"Low"),IFERROR(INDEX(Reference!$B$84:$B$86,MATCH(MOD(C31-6,3),Reference!$A$84:$A$86,0)),"Low"))="High Non-Bullpen",IF(C31&lt;=5,IFERROR(INDEX(Reference!$B$73:$B$78,MATCH(C31,Reference!$A$73:$A$78,0)),"Low"),IFERROR(INDEX(Reference!$B$84:$B$86,MATCH(MOD(C31-6,3),Reference!$A$84:$A$86,0)),"Low"))="High Bullpen"),3,4)))),-1,1))))</f>
        <v/>
      </c>
      <c r="N32" s="32">
        <f t="shared" ca="1" si="7"/>
        <v>1</v>
      </c>
      <c r="O32" s="32" t="str">
        <f t="shared" ca="1" si="8"/>
        <v/>
      </c>
      <c r="P32" s="32" t="str">
        <f t="shared" ca="1" si="9"/>
        <v/>
      </c>
      <c r="Q32" s="32" t="str">
        <f t="shared" ca="1" si="10"/>
        <v/>
      </c>
      <c r="R32" s="32" t="str">
        <f t="shared" ca="1" si="11"/>
        <v/>
      </c>
      <c r="S32" s="47" t="str">
        <f ca="1">IFERROR(IF(R32="","",IF(R32="No Throw","Full rest — no throwing today.",IF(R32="Low",CONCATENATE(IF('Day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mph"),IF(R32="Medium",CONCATENATE(IF('Day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mph"),IF(R32="High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mph"),IF(R32="High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32" s="37"/>
    </row>
    <row r="33" spans="1:20" x14ac:dyDescent="0.3">
      <c r="A33" s="35" t="str">
        <f ca="1">IF($B$7+6&lt;$B$6,$B$7+6,"")</f>
        <v/>
      </c>
      <c r="B33" s="32" t="str">
        <f t="shared" ca="1" si="0"/>
        <v/>
      </c>
      <c r="C33" s="32" t="str">
        <f t="shared" ca="1" si="1"/>
        <v/>
      </c>
      <c r="D33" s="32" t="str">
        <f ca="1">IF(A33="","",IF(AND(T33&lt;&gt;"",T33&lt;&gt;"(none)"),T33,IF(C33&lt;=5,IFERROR(INDEX(Reference!$B$73:$B$78,MATCH(C33,Reference!$A$73:$A$78,0)),"Low"),IFERROR(INDEX(Reference!$B$84:$B$86,MATCH(MOD(C33-6,3),Reference!$A$84:$A$86,0)),"Low"))))</f>
        <v/>
      </c>
      <c r="E33" s="32" t="str">
        <f t="shared" ca="1" si="2"/>
        <v/>
      </c>
      <c r="F33" s="48" t="str">
        <f t="shared" ca="1" si="3"/>
        <v/>
      </c>
      <c r="G33" s="32" t="str">
        <f t="shared" ca="1" si="4"/>
        <v/>
      </c>
      <c r="H33" s="32" t="str">
        <f t="shared" ca="1" si="12"/>
        <v/>
      </c>
      <c r="I33" s="30" t="str">
        <f ca="1">IF(H33="","",IFERROR(INDEX('Day Type Templates'!$B$49:$B$53,MATCH(H33,'Day Type Templates'!$A$49:$A$53,0)),""))</f>
        <v/>
      </c>
      <c r="J33" s="30" t="str">
        <f ca="1">IF(F33="","",SUMIFS('Throw Log'!$Q$5:$Q$300,'Throw Log'!$B$5:$B$300,$B$4,'Throw Log'!$A$5:$A$300,F33))</f>
        <v/>
      </c>
      <c r="K33" s="46">
        <f t="shared" ca="1" si="5"/>
        <v>1</v>
      </c>
      <c r="L33" s="32">
        <f t="shared" ca="1" si="6"/>
        <v>0</v>
      </c>
      <c r="M33" s="32" t="str">
        <f ca="1">IF(A33="","",IF(R32="","",IF(IF(R32="No Throw",0,IF(R32="Low",1,IF(R32="Medium",2,IF(OR(R32="High Non-Bullpen",R32="High Bullpen"),3,4))))=IF(IF(C32&lt;=5,IFERROR(INDEX(Reference!$B$73:$B$78,MATCH(C32,Reference!$A$73:$A$78,0)),"Low"),IFERROR(INDEX(Reference!$B$84:$B$86,MATCH(MOD(C32-6,3),Reference!$A$84:$A$86,0)),"Low"))="No Throw",0,IF(IF(C32&lt;=5,IFERROR(INDEX(Reference!$B$73:$B$78,MATCH(C32,Reference!$A$73:$A$78,0)),"Low"),IFERROR(INDEX(Reference!$B$84:$B$86,MATCH(MOD(C32-6,3),Reference!$A$84:$A$86,0)),"Low"))="Low",1,IF(IF(C32&lt;=5,IFERROR(INDEX(Reference!$B$73:$B$78,MATCH(C32,Reference!$A$73:$A$78,0)),"Low"),IFERROR(INDEX(Reference!$B$84:$B$86,MATCH(MOD(C32-6,3),Reference!$A$84:$A$86,0)),"Low"))="Medium",2,IF(OR(IF(C32&lt;=5,IFERROR(INDEX(Reference!$B$73:$B$78,MATCH(C32,Reference!$A$73:$A$78,0)),"Low"),IFERROR(INDEX(Reference!$B$84:$B$86,MATCH(MOD(C32-6,3),Reference!$A$84:$A$86,0)),"Low"))="High Non-Bullpen",IF(C32&lt;=5,IFERROR(INDEX(Reference!$B$73:$B$78,MATCH(C32,Reference!$A$73:$A$78,0)),"Low"),IFERROR(INDEX(Reference!$B$84:$B$86,MATCH(MOD(C32-6,3),Reference!$A$84:$A$86,0)),"Low"))="High Bullpen"),3,4)))),0,IF(IF(R32="No Throw",0,IF(R32="Low",1,IF(R32="Medium",2,IF(OR(R32="High Non-Bullpen",R32="High Bullpen"),3,4))))&gt;IF(IF(C32&lt;=5,IFERROR(INDEX(Reference!$B$73:$B$78,MATCH(C32,Reference!$A$73:$A$78,0)),"Low"),IFERROR(INDEX(Reference!$B$84:$B$86,MATCH(MOD(C32-6,3),Reference!$A$84:$A$86,0)),"Low"))="No Throw",0,IF(IF(C32&lt;=5,IFERROR(INDEX(Reference!$B$73:$B$78,MATCH(C32,Reference!$A$73:$A$78,0)),"Low"),IFERROR(INDEX(Reference!$B$84:$B$86,MATCH(MOD(C32-6,3),Reference!$A$84:$A$86,0)),"Low"))="Low",1,IF(IF(C32&lt;=5,IFERROR(INDEX(Reference!$B$73:$B$78,MATCH(C32,Reference!$A$73:$A$78,0)),"Low"),IFERROR(INDEX(Reference!$B$84:$B$86,MATCH(MOD(C32-6,3),Reference!$A$84:$A$86,0)),"Low"))="Medium",2,IF(OR(IF(C32&lt;=5,IFERROR(INDEX(Reference!$B$73:$B$78,MATCH(C32,Reference!$A$73:$A$78,0)),"Low"),IFERROR(INDEX(Reference!$B$84:$B$86,MATCH(MOD(C32-6,3),Reference!$A$84:$A$86,0)),"Low"))="High Non-Bullpen",IF(C32&lt;=5,IFERROR(INDEX(Reference!$B$73:$B$78,MATCH(C32,Reference!$A$73:$A$78,0)),"Low"),IFERROR(INDEX(Reference!$B$84:$B$86,MATCH(MOD(C32-6,3),Reference!$A$84:$A$86,0)),"Low"))="High Bullpen"),3,4)))),-1,1))))</f>
        <v/>
      </c>
      <c r="N33" s="32">
        <f t="shared" ca="1" si="7"/>
        <v>1</v>
      </c>
      <c r="O33" s="32" t="str">
        <f t="shared" ca="1" si="8"/>
        <v/>
      </c>
      <c r="P33" s="32" t="str">
        <f t="shared" ca="1" si="9"/>
        <v/>
      </c>
      <c r="Q33" s="32" t="str">
        <f t="shared" ca="1" si="10"/>
        <v/>
      </c>
      <c r="R33" s="32" t="str">
        <f t="shared" ca="1" si="11"/>
        <v/>
      </c>
      <c r="S33" s="47" t="str">
        <f ca="1">IFERROR(IF(R33="","",IF(R33="No Throw","Full rest — no throwing today.",IF(R33="Low",CONCATENATE(IF('Day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mph"),IF(R33="Medium",CONCATENATE(IF('Day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mph"),IF(R33="High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mph"),IF(R33="High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33" s="37"/>
    </row>
    <row r="34" spans="1:20" x14ac:dyDescent="0.3">
      <c r="A34" s="35" t="str">
        <f ca="1">IF($B$7+7&lt;$B$6,$B$7+7,"")</f>
        <v/>
      </c>
      <c r="B34" s="32" t="str">
        <f t="shared" ca="1" si="0"/>
        <v/>
      </c>
      <c r="C34" s="32" t="str">
        <f t="shared" ca="1" si="1"/>
        <v/>
      </c>
      <c r="D34" s="32" t="str">
        <f ca="1">IF(A34="","",IF(AND(T34&lt;&gt;"",T34&lt;&gt;"(none)"),T34,IF(C34&lt;=5,IFERROR(INDEX(Reference!$B$73:$B$78,MATCH(C34,Reference!$A$73:$A$78,0)),"Low"),IFERROR(INDEX(Reference!$B$84:$B$86,MATCH(MOD(C34-6,3),Reference!$A$84:$A$86,0)),"Low"))))</f>
        <v/>
      </c>
      <c r="E34" s="32" t="str">
        <f t="shared" ca="1" si="2"/>
        <v/>
      </c>
      <c r="F34" s="48" t="str">
        <f t="shared" ca="1" si="3"/>
        <v/>
      </c>
      <c r="G34" s="32" t="str">
        <f t="shared" ca="1" si="4"/>
        <v/>
      </c>
      <c r="H34" s="32" t="str">
        <f t="shared" ca="1" si="12"/>
        <v/>
      </c>
      <c r="I34" s="30" t="str">
        <f ca="1">IF(H34="","",IFERROR(INDEX('Day Type Templates'!$B$49:$B$53,MATCH(H34,'Day Type Templates'!$A$49:$A$53,0)),""))</f>
        <v/>
      </c>
      <c r="J34" s="30" t="str">
        <f ca="1">IF(F34="","",SUMIFS('Throw Log'!$Q$5:$Q$300,'Throw Log'!$B$5:$B$300,$B$4,'Throw Log'!$A$5:$A$300,F34))</f>
        <v/>
      </c>
      <c r="K34" s="46">
        <f t="shared" ca="1" si="5"/>
        <v>1</v>
      </c>
      <c r="L34" s="32">
        <f t="shared" ca="1" si="6"/>
        <v>0</v>
      </c>
      <c r="M34" s="32" t="str">
        <f ca="1">IF(A34="","",IF(R33="","",IF(IF(R33="No Throw",0,IF(R33="Low",1,IF(R33="Medium",2,IF(OR(R33="High Non-Bullpen",R33="High Bullpen"),3,4))))=IF(IF(C33&lt;=5,IFERROR(INDEX(Reference!$B$73:$B$78,MATCH(C33,Reference!$A$73:$A$78,0)),"Low"),IFERROR(INDEX(Reference!$B$84:$B$86,MATCH(MOD(C33-6,3),Reference!$A$84:$A$86,0)),"Low"))="No Throw",0,IF(IF(C33&lt;=5,IFERROR(INDEX(Reference!$B$73:$B$78,MATCH(C33,Reference!$A$73:$A$78,0)),"Low"),IFERROR(INDEX(Reference!$B$84:$B$86,MATCH(MOD(C33-6,3),Reference!$A$84:$A$86,0)),"Low"))="Low",1,IF(IF(C33&lt;=5,IFERROR(INDEX(Reference!$B$73:$B$78,MATCH(C33,Reference!$A$73:$A$78,0)),"Low"),IFERROR(INDEX(Reference!$B$84:$B$86,MATCH(MOD(C33-6,3),Reference!$A$84:$A$86,0)),"Low"))="Medium",2,IF(OR(IF(C33&lt;=5,IFERROR(INDEX(Reference!$B$73:$B$78,MATCH(C33,Reference!$A$73:$A$78,0)),"Low"),IFERROR(INDEX(Reference!$B$84:$B$86,MATCH(MOD(C33-6,3),Reference!$A$84:$A$86,0)),"Low"))="High Non-Bullpen",IF(C33&lt;=5,IFERROR(INDEX(Reference!$B$73:$B$78,MATCH(C33,Reference!$A$73:$A$78,0)),"Low"),IFERROR(INDEX(Reference!$B$84:$B$86,MATCH(MOD(C33-6,3),Reference!$A$84:$A$86,0)),"Low"))="High Bullpen"),3,4)))),0,IF(IF(R33="No Throw",0,IF(R33="Low",1,IF(R33="Medium",2,IF(OR(R33="High Non-Bullpen",R33="High Bullpen"),3,4))))&gt;IF(IF(C33&lt;=5,IFERROR(INDEX(Reference!$B$73:$B$78,MATCH(C33,Reference!$A$73:$A$78,0)),"Low"),IFERROR(INDEX(Reference!$B$84:$B$86,MATCH(MOD(C33-6,3),Reference!$A$84:$A$86,0)),"Low"))="No Throw",0,IF(IF(C33&lt;=5,IFERROR(INDEX(Reference!$B$73:$B$78,MATCH(C33,Reference!$A$73:$A$78,0)),"Low"),IFERROR(INDEX(Reference!$B$84:$B$86,MATCH(MOD(C33-6,3),Reference!$A$84:$A$86,0)),"Low"))="Low",1,IF(IF(C33&lt;=5,IFERROR(INDEX(Reference!$B$73:$B$78,MATCH(C33,Reference!$A$73:$A$78,0)),"Low"),IFERROR(INDEX(Reference!$B$84:$B$86,MATCH(MOD(C33-6,3),Reference!$A$84:$A$86,0)),"Low"))="Medium",2,IF(OR(IF(C33&lt;=5,IFERROR(INDEX(Reference!$B$73:$B$78,MATCH(C33,Reference!$A$73:$A$78,0)),"Low"),IFERROR(INDEX(Reference!$B$84:$B$86,MATCH(MOD(C33-6,3),Reference!$A$84:$A$86,0)),"Low"))="High Non-Bullpen",IF(C33&lt;=5,IFERROR(INDEX(Reference!$B$73:$B$78,MATCH(C33,Reference!$A$73:$A$78,0)),"Low"),IFERROR(INDEX(Reference!$B$84:$B$86,MATCH(MOD(C33-6,3),Reference!$A$84:$A$86,0)),"Low"))="High Bullpen"),3,4)))),-1,1))))</f>
        <v/>
      </c>
      <c r="N34" s="32">
        <f t="shared" ca="1" si="7"/>
        <v>1</v>
      </c>
      <c r="O34" s="32" t="str">
        <f t="shared" ca="1" si="8"/>
        <v/>
      </c>
      <c r="P34" s="32" t="str">
        <f t="shared" ca="1" si="9"/>
        <v/>
      </c>
      <c r="Q34" s="32" t="str">
        <f t="shared" ca="1" si="10"/>
        <v/>
      </c>
      <c r="R34" s="32" t="str">
        <f t="shared" ca="1" si="11"/>
        <v/>
      </c>
      <c r="S34" s="47" t="str">
        <f ca="1">IFERROR(IF(R34="","",IF(R34="No Throw","Full rest — no throwing today.",IF(R34="Low",CONCATENATE(IF('Day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mph"),IF(R34="Medium",CONCATENATE(IF('Day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mph"),IF(R34="High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mph"),IF(R34="High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34" s="37"/>
    </row>
    <row r="35" spans="1:20" x14ac:dyDescent="0.3">
      <c r="A35" s="35" t="str">
        <f ca="1">IF($B$7+8&lt;$B$6,$B$7+8,"")</f>
        <v/>
      </c>
      <c r="B35" s="32" t="str">
        <f t="shared" ca="1" si="0"/>
        <v/>
      </c>
      <c r="C35" s="32" t="str">
        <f t="shared" ca="1" si="1"/>
        <v/>
      </c>
      <c r="D35" s="32" t="str">
        <f ca="1">IF(A35="","",IF(AND(T35&lt;&gt;"",T35&lt;&gt;"(none)"),T35,IF(C35&lt;=5,IFERROR(INDEX(Reference!$B$73:$B$78,MATCH(C35,Reference!$A$73:$A$78,0)),"Low"),IFERROR(INDEX(Reference!$B$84:$B$86,MATCH(MOD(C35-6,3),Reference!$A$84:$A$86,0)),"Low"))))</f>
        <v/>
      </c>
      <c r="E35" s="32" t="str">
        <f t="shared" ca="1" si="2"/>
        <v/>
      </c>
      <c r="F35" s="48" t="str">
        <f t="shared" ca="1" si="3"/>
        <v/>
      </c>
      <c r="G35" s="32" t="str">
        <f t="shared" ca="1" si="4"/>
        <v/>
      </c>
      <c r="H35" s="32" t="str">
        <f t="shared" ca="1" si="12"/>
        <v/>
      </c>
      <c r="I35" s="30" t="str">
        <f ca="1">IF(H35="","",IFERROR(INDEX('Day Type Templates'!$B$49:$B$53,MATCH(H35,'Day Type Templates'!$A$49:$A$53,0)),""))</f>
        <v/>
      </c>
      <c r="J35" s="30" t="str">
        <f ca="1">IF(F35="","",SUMIFS('Throw Log'!$Q$5:$Q$300,'Throw Log'!$B$5:$B$300,$B$4,'Throw Log'!$A$5:$A$300,F35))</f>
        <v/>
      </c>
      <c r="K35" s="46">
        <f t="shared" ca="1" si="5"/>
        <v>1</v>
      </c>
      <c r="L35" s="32">
        <f t="shared" ca="1" si="6"/>
        <v>0</v>
      </c>
      <c r="M35" s="32" t="str">
        <f ca="1">IF(A35="","",IF(R34="","",IF(IF(R34="No Throw",0,IF(R34="Low",1,IF(R34="Medium",2,IF(OR(R34="High Non-Bullpen",R34="High Bullpen"),3,4))))=IF(IF(C34&lt;=5,IFERROR(INDEX(Reference!$B$73:$B$78,MATCH(C34,Reference!$A$73:$A$78,0)),"Low"),IFERROR(INDEX(Reference!$B$84:$B$86,MATCH(MOD(C34-6,3),Reference!$A$84:$A$86,0)),"Low"))="No Throw",0,IF(IF(C34&lt;=5,IFERROR(INDEX(Reference!$B$73:$B$78,MATCH(C34,Reference!$A$73:$A$78,0)),"Low"),IFERROR(INDEX(Reference!$B$84:$B$86,MATCH(MOD(C34-6,3),Reference!$A$84:$A$86,0)),"Low"))="Low",1,IF(IF(C34&lt;=5,IFERROR(INDEX(Reference!$B$73:$B$78,MATCH(C34,Reference!$A$73:$A$78,0)),"Low"),IFERROR(INDEX(Reference!$B$84:$B$86,MATCH(MOD(C34-6,3),Reference!$A$84:$A$86,0)),"Low"))="Medium",2,IF(OR(IF(C34&lt;=5,IFERROR(INDEX(Reference!$B$73:$B$78,MATCH(C34,Reference!$A$73:$A$78,0)),"Low"),IFERROR(INDEX(Reference!$B$84:$B$86,MATCH(MOD(C34-6,3),Reference!$A$84:$A$86,0)),"Low"))="High Non-Bullpen",IF(C34&lt;=5,IFERROR(INDEX(Reference!$B$73:$B$78,MATCH(C34,Reference!$A$73:$A$78,0)),"Low"),IFERROR(INDEX(Reference!$B$84:$B$86,MATCH(MOD(C34-6,3),Reference!$A$84:$A$86,0)),"Low"))="High Bullpen"),3,4)))),0,IF(IF(R34="No Throw",0,IF(R34="Low",1,IF(R34="Medium",2,IF(OR(R34="High Non-Bullpen",R34="High Bullpen"),3,4))))&gt;IF(IF(C34&lt;=5,IFERROR(INDEX(Reference!$B$73:$B$78,MATCH(C34,Reference!$A$73:$A$78,0)),"Low"),IFERROR(INDEX(Reference!$B$84:$B$86,MATCH(MOD(C34-6,3),Reference!$A$84:$A$86,0)),"Low"))="No Throw",0,IF(IF(C34&lt;=5,IFERROR(INDEX(Reference!$B$73:$B$78,MATCH(C34,Reference!$A$73:$A$78,0)),"Low"),IFERROR(INDEX(Reference!$B$84:$B$86,MATCH(MOD(C34-6,3),Reference!$A$84:$A$86,0)),"Low"))="Low",1,IF(IF(C34&lt;=5,IFERROR(INDEX(Reference!$B$73:$B$78,MATCH(C34,Reference!$A$73:$A$78,0)),"Low"),IFERROR(INDEX(Reference!$B$84:$B$86,MATCH(MOD(C34-6,3),Reference!$A$84:$A$86,0)),"Low"))="Medium",2,IF(OR(IF(C34&lt;=5,IFERROR(INDEX(Reference!$B$73:$B$78,MATCH(C34,Reference!$A$73:$A$78,0)),"Low"),IFERROR(INDEX(Reference!$B$84:$B$86,MATCH(MOD(C34-6,3),Reference!$A$84:$A$86,0)),"Low"))="High Non-Bullpen",IF(C34&lt;=5,IFERROR(INDEX(Reference!$B$73:$B$78,MATCH(C34,Reference!$A$73:$A$78,0)),"Low"),IFERROR(INDEX(Reference!$B$84:$B$86,MATCH(MOD(C34-6,3),Reference!$A$84:$A$86,0)),"Low"))="High Bullpen"),3,4)))),-1,1))))</f>
        <v/>
      </c>
      <c r="N35" s="32">
        <f t="shared" ca="1" si="7"/>
        <v>1</v>
      </c>
      <c r="O35" s="32" t="str">
        <f t="shared" ca="1" si="8"/>
        <v/>
      </c>
      <c r="P35" s="32" t="str">
        <f t="shared" ca="1" si="9"/>
        <v/>
      </c>
      <c r="Q35" s="32" t="str">
        <f t="shared" ca="1" si="10"/>
        <v/>
      </c>
      <c r="R35" s="32" t="str">
        <f t="shared" ca="1" si="11"/>
        <v/>
      </c>
      <c r="S35" s="47" t="str">
        <f ca="1">IFERROR(IF(R35="","",IF(R35="No Throw","Full rest — no throwing today.",IF(R35="Low",CONCATENATE(IF('Day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mph"),IF(R35="Medium",CONCATENATE(IF('Day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mph"),IF(R35="High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mph"),IF(R35="High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35" s="37"/>
    </row>
    <row r="36" spans="1:20" x14ac:dyDescent="0.3">
      <c r="A36" s="35" t="str">
        <f ca="1">IF($B$7+9&lt;$B$6,$B$7+9,"")</f>
        <v/>
      </c>
      <c r="B36" s="32" t="str">
        <f t="shared" ca="1" si="0"/>
        <v/>
      </c>
      <c r="C36" s="32" t="str">
        <f t="shared" ca="1" si="1"/>
        <v/>
      </c>
      <c r="D36" s="32" t="str">
        <f ca="1">IF(A36="","",IF(AND(T36&lt;&gt;"",T36&lt;&gt;"(none)"),T36,IF(C36&lt;=5,IFERROR(INDEX(Reference!$B$73:$B$78,MATCH(C36,Reference!$A$73:$A$78,0)),"Low"),IFERROR(INDEX(Reference!$B$84:$B$86,MATCH(MOD(C36-6,3),Reference!$A$84:$A$86,0)),"Low"))))</f>
        <v/>
      </c>
      <c r="E36" s="32" t="str">
        <f t="shared" ca="1" si="2"/>
        <v/>
      </c>
      <c r="F36" s="48" t="str">
        <f t="shared" ca="1" si="3"/>
        <v/>
      </c>
      <c r="G36" s="32" t="str">
        <f t="shared" ca="1" si="4"/>
        <v/>
      </c>
      <c r="H36" s="32" t="str">
        <f t="shared" ca="1" si="12"/>
        <v/>
      </c>
      <c r="I36" s="30" t="str">
        <f ca="1">IF(H36="","",IFERROR(INDEX('Day Type Templates'!$B$49:$B$53,MATCH(H36,'Day Type Templates'!$A$49:$A$53,0)),""))</f>
        <v/>
      </c>
      <c r="J36" s="30" t="str">
        <f ca="1">IF(F36="","",SUMIFS('Throw Log'!$Q$5:$Q$300,'Throw Log'!$B$5:$B$300,$B$4,'Throw Log'!$A$5:$A$300,F36))</f>
        <v/>
      </c>
      <c r="K36" s="46">
        <f t="shared" ca="1" si="5"/>
        <v>1</v>
      </c>
      <c r="L36" s="32">
        <f t="shared" ca="1" si="6"/>
        <v>0</v>
      </c>
      <c r="M36" s="32" t="str">
        <f ca="1">IF(A36="","",IF(R35="","",IF(IF(R35="No Throw",0,IF(R35="Low",1,IF(R35="Medium",2,IF(OR(R35="High Non-Bullpen",R35="High Bullpen"),3,4))))=IF(IF(C35&lt;=5,IFERROR(INDEX(Reference!$B$73:$B$78,MATCH(C35,Reference!$A$73:$A$78,0)),"Low"),IFERROR(INDEX(Reference!$B$84:$B$86,MATCH(MOD(C35-6,3),Reference!$A$84:$A$86,0)),"Low"))="No Throw",0,IF(IF(C35&lt;=5,IFERROR(INDEX(Reference!$B$73:$B$78,MATCH(C35,Reference!$A$73:$A$78,0)),"Low"),IFERROR(INDEX(Reference!$B$84:$B$86,MATCH(MOD(C35-6,3),Reference!$A$84:$A$86,0)),"Low"))="Low",1,IF(IF(C35&lt;=5,IFERROR(INDEX(Reference!$B$73:$B$78,MATCH(C35,Reference!$A$73:$A$78,0)),"Low"),IFERROR(INDEX(Reference!$B$84:$B$86,MATCH(MOD(C35-6,3),Reference!$A$84:$A$86,0)),"Low"))="Medium",2,IF(OR(IF(C35&lt;=5,IFERROR(INDEX(Reference!$B$73:$B$78,MATCH(C35,Reference!$A$73:$A$78,0)),"Low"),IFERROR(INDEX(Reference!$B$84:$B$86,MATCH(MOD(C35-6,3),Reference!$A$84:$A$86,0)),"Low"))="High Non-Bullpen",IF(C35&lt;=5,IFERROR(INDEX(Reference!$B$73:$B$78,MATCH(C35,Reference!$A$73:$A$78,0)),"Low"),IFERROR(INDEX(Reference!$B$84:$B$86,MATCH(MOD(C35-6,3),Reference!$A$84:$A$86,0)),"Low"))="High Bullpen"),3,4)))),0,IF(IF(R35="No Throw",0,IF(R35="Low",1,IF(R35="Medium",2,IF(OR(R35="High Non-Bullpen",R35="High Bullpen"),3,4))))&gt;IF(IF(C35&lt;=5,IFERROR(INDEX(Reference!$B$73:$B$78,MATCH(C35,Reference!$A$73:$A$78,0)),"Low"),IFERROR(INDEX(Reference!$B$84:$B$86,MATCH(MOD(C35-6,3),Reference!$A$84:$A$86,0)),"Low"))="No Throw",0,IF(IF(C35&lt;=5,IFERROR(INDEX(Reference!$B$73:$B$78,MATCH(C35,Reference!$A$73:$A$78,0)),"Low"),IFERROR(INDEX(Reference!$B$84:$B$86,MATCH(MOD(C35-6,3),Reference!$A$84:$A$86,0)),"Low"))="Low",1,IF(IF(C35&lt;=5,IFERROR(INDEX(Reference!$B$73:$B$78,MATCH(C35,Reference!$A$73:$A$78,0)),"Low"),IFERROR(INDEX(Reference!$B$84:$B$86,MATCH(MOD(C35-6,3),Reference!$A$84:$A$86,0)),"Low"))="Medium",2,IF(OR(IF(C35&lt;=5,IFERROR(INDEX(Reference!$B$73:$B$78,MATCH(C35,Reference!$A$73:$A$78,0)),"Low"),IFERROR(INDEX(Reference!$B$84:$B$86,MATCH(MOD(C35-6,3),Reference!$A$84:$A$86,0)),"Low"))="High Non-Bullpen",IF(C35&lt;=5,IFERROR(INDEX(Reference!$B$73:$B$78,MATCH(C35,Reference!$A$73:$A$78,0)),"Low"),IFERROR(INDEX(Reference!$B$84:$B$86,MATCH(MOD(C35-6,3),Reference!$A$84:$A$86,0)),"Low"))="High Bullpen"),3,4)))),-1,1))))</f>
        <v/>
      </c>
      <c r="N36" s="32">
        <f t="shared" ca="1" si="7"/>
        <v>1</v>
      </c>
      <c r="O36" s="32" t="str">
        <f t="shared" ca="1" si="8"/>
        <v/>
      </c>
      <c r="P36" s="32" t="str">
        <f t="shared" ca="1" si="9"/>
        <v/>
      </c>
      <c r="Q36" s="32" t="str">
        <f t="shared" ca="1" si="10"/>
        <v/>
      </c>
      <c r="R36" s="32" t="str">
        <f t="shared" ca="1" si="11"/>
        <v/>
      </c>
      <c r="S36" s="47" t="str">
        <f ca="1">IFERROR(IF(R36="","",IF(R36="No Throw","Full rest — no throwing today.",IF(R36="Low",CONCATENATE(IF('Day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mph"),IF(R36="Medium",CONCATENATE(IF('Day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mph"),IF(R36="High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mph"),IF(R36="High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36" s="37"/>
    </row>
    <row r="37" spans="1:20" x14ac:dyDescent="0.3">
      <c r="A37" s="35" t="str">
        <f ca="1">IF($B$7+10&lt;$B$6,$B$7+10,"")</f>
        <v/>
      </c>
      <c r="B37" s="32" t="str">
        <f t="shared" ca="1" si="0"/>
        <v/>
      </c>
      <c r="C37" s="32" t="str">
        <f t="shared" ca="1" si="1"/>
        <v/>
      </c>
      <c r="D37" s="32" t="str">
        <f ca="1">IF(A37="","",IF(AND(T37&lt;&gt;"",T37&lt;&gt;"(none)"),T37,IF(C37&lt;=5,IFERROR(INDEX(Reference!$B$73:$B$78,MATCH(C37,Reference!$A$73:$A$78,0)),"Low"),IFERROR(INDEX(Reference!$B$84:$B$86,MATCH(MOD(C37-6,3),Reference!$A$84:$A$86,0)),"Low"))))</f>
        <v/>
      </c>
      <c r="E37" s="32" t="str">
        <f t="shared" ca="1" si="2"/>
        <v/>
      </c>
      <c r="F37" s="48" t="str">
        <f t="shared" ca="1" si="3"/>
        <v/>
      </c>
      <c r="G37" s="32" t="str">
        <f t="shared" ca="1" si="4"/>
        <v/>
      </c>
      <c r="H37" s="32" t="str">
        <f t="shared" ca="1" si="12"/>
        <v/>
      </c>
      <c r="I37" s="30" t="str">
        <f ca="1">IF(H37="","",IFERROR(INDEX('Day Type Templates'!$B$49:$B$53,MATCH(H37,'Day Type Templates'!$A$49:$A$53,0)),""))</f>
        <v/>
      </c>
      <c r="J37" s="30" t="str">
        <f ca="1">IF(F37="","",SUMIFS('Throw Log'!$Q$5:$Q$300,'Throw Log'!$B$5:$B$300,$B$4,'Throw Log'!$A$5:$A$300,F37))</f>
        <v/>
      </c>
      <c r="K37" s="46">
        <f t="shared" ca="1" si="5"/>
        <v>1</v>
      </c>
      <c r="L37" s="32">
        <f t="shared" ca="1" si="6"/>
        <v>0</v>
      </c>
      <c r="M37" s="32" t="str">
        <f ca="1">IF(A37="","",IF(R36="","",IF(IF(R36="No Throw",0,IF(R36="Low",1,IF(R36="Medium",2,IF(OR(R36="High Non-Bullpen",R36="High Bullpen"),3,4))))=IF(IF(C36&lt;=5,IFERROR(INDEX(Reference!$B$73:$B$78,MATCH(C36,Reference!$A$73:$A$78,0)),"Low"),IFERROR(INDEX(Reference!$B$84:$B$86,MATCH(MOD(C36-6,3),Reference!$A$84:$A$86,0)),"Low"))="No Throw",0,IF(IF(C36&lt;=5,IFERROR(INDEX(Reference!$B$73:$B$78,MATCH(C36,Reference!$A$73:$A$78,0)),"Low"),IFERROR(INDEX(Reference!$B$84:$B$86,MATCH(MOD(C36-6,3),Reference!$A$84:$A$86,0)),"Low"))="Low",1,IF(IF(C36&lt;=5,IFERROR(INDEX(Reference!$B$73:$B$78,MATCH(C36,Reference!$A$73:$A$78,0)),"Low"),IFERROR(INDEX(Reference!$B$84:$B$86,MATCH(MOD(C36-6,3),Reference!$A$84:$A$86,0)),"Low"))="Medium",2,IF(OR(IF(C36&lt;=5,IFERROR(INDEX(Reference!$B$73:$B$78,MATCH(C36,Reference!$A$73:$A$78,0)),"Low"),IFERROR(INDEX(Reference!$B$84:$B$86,MATCH(MOD(C36-6,3),Reference!$A$84:$A$86,0)),"Low"))="High Non-Bullpen",IF(C36&lt;=5,IFERROR(INDEX(Reference!$B$73:$B$78,MATCH(C36,Reference!$A$73:$A$78,0)),"Low"),IFERROR(INDEX(Reference!$B$84:$B$86,MATCH(MOD(C36-6,3),Reference!$A$84:$A$86,0)),"Low"))="High Bullpen"),3,4)))),0,IF(IF(R36="No Throw",0,IF(R36="Low",1,IF(R36="Medium",2,IF(OR(R36="High Non-Bullpen",R36="High Bullpen"),3,4))))&gt;IF(IF(C36&lt;=5,IFERROR(INDEX(Reference!$B$73:$B$78,MATCH(C36,Reference!$A$73:$A$78,0)),"Low"),IFERROR(INDEX(Reference!$B$84:$B$86,MATCH(MOD(C36-6,3),Reference!$A$84:$A$86,0)),"Low"))="No Throw",0,IF(IF(C36&lt;=5,IFERROR(INDEX(Reference!$B$73:$B$78,MATCH(C36,Reference!$A$73:$A$78,0)),"Low"),IFERROR(INDEX(Reference!$B$84:$B$86,MATCH(MOD(C36-6,3),Reference!$A$84:$A$86,0)),"Low"))="Low",1,IF(IF(C36&lt;=5,IFERROR(INDEX(Reference!$B$73:$B$78,MATCH(C36,Reference!$A$73:$A$78,0)),"Low"),IFERROR(INDEX(Reference!$B$84:$B$86,MATCH(MOD(C36-6,3),Reference!$A$84:$A$86,0)),"Low"))="Medium",2,IF(OR(IF(C36&lt;=5,IFERROR(INDEX(Reference!$B$73:$B$78,MATCH(C36,Reference!$A$73:$A$78,0)),"Low"),IFERROR(INDEX(Reference!$B$84:$B$86,MATCH(MOD(C36-6,3),Reference!$A$84:$A$86,0)),"Low"))="High Non-Bullpen",IF(C36&lt;=5,IFERROR(INDEX(Reference!$B$73:$B$78,MATCH(C36,Reference!$A$73:$A$78,0)),"Low"),IFERROR(INDEX(Reference!$B$84:$B$86,MATCH(MOD(C36-6,3),Reference!$A$84:$A$86,0)),"Low"))="High Bullpen"),3,4)))),-1,1))))</f>
        <v/>
      </c>
      <c r="N37" s="32">
        <f t="shared" ca="1" si="7"/>
        <v>1</v>
      </c>
      <c r="O37" s="32" t="str">
        <f t="shared" ca="1" si="8"/>
        <v/>
      </c>
      <c r="P37" s="32" t="str">
        <f t="shared" ca="1" si="9"/>
        <v/>
      </c>
      <c r="Q37" s="32" t="str">
        <f t="shared" ca="1" si="10"/>
        <v/>
      </c>
      <c r="R37" s="32" t="str">
        <f t="shared" ca="1" si="11"/>
        <v/>
      </c>
      <c r="S37" s="47" t="str">
        <f ca="1">IFERROR(IF(R37="","",IF(R37="No Throw","Full rest — no throwing today.",IF(R37="Low",CONCATENATE(IF('Day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mph"),IF(R37="Medium",CONCATENATE(IF('Day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mph"),IF(R37="High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mph"),IF(R37="High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37" s="37"/>
    </row>
    <row r="38" spans="1:20" x14ac:dyDescent="0.3">
      <c r="A38" s="35" t="str">
        <f ca="1">IF($B$7+11&lt;$B$6,$B$7+11,"")</f>
        <v/>
      </c>
      <c r="B38" s="32" t="str">
        <f t="shared" ca="1" si="0"/>
        <v/>
      </c>
      <c r="C38" s="32" t="str">
        <f t="shared" ca="1" si="1"/>
        <v/>
      </c>
      <c r="D38" s="32" t="str">
        <f ca="1">IF(A38="","",IF(AND(T38&lt;&gt;"",T38&lt;&gt;"(none)"),T38,IF(C38&lt;=5,IFERROR(INDEX(Reference!$B$73:$B$78,MATCH(C38,Reference!$A$73:$A$78,0)),"Low"),IFERROR(INDEX(Reference!$B$84:$B$86,MATCH(MOD(C38-6,3),Reference!$A$84:$A$86,0)),"Low"))))</f>
        <v/>
      </c>
      <c r="E38" s="32" t="str">
        <f t="shared" ca="1" si="2"/>
        <v/>
      </c>
      <c r="F38" s="48" t="str">
        <f t="shared" ca="1" si="3"/>
        <v/>
      </c>
      <c r="G38" s="32" t="str">
        <f t="shared" ca="1" si="4"/>
        <v/>
      </c>
      <c r="H38" s="32" t="str">
        <f t="shared" ca="1" si="12"/>
        <v/>
      </c>
      <c r="I38" s="30" t="str">
        <f ca="1">IF(H38="","",IFERROR(INDEX('Day Type Templates'!$B$49:$B$53,MATCH(H38,'Day Type Templates'!$A$49:$A$53,0)),""))</f>
        <v/>
      </c>
      <c r="J38" s="30" t="str">
        <f ca="1">IF(F38="","",SUMIFS('Throw Log'!$Q$5:$Q$300,'Throw Log'!$B$5:$B$300,$B$4,'Throw Log'!$A$5:$A$300,F38))</f>
        <v/>
      </c>
      <c r="K38" s="46">
        <f t="shared" ca="1" si="5"/>
        <v>1</v>
      </c>
      <c r="L38" s="32">
        <f t="shared" ca="1" si="6"/>
        <v>0</v>
      </c>
      <c r="M38" s="32" t="str">
        <f ca="1">IF(A38="","",IF(R37="","",IF(IF(R37="No Throw",0,IF(R37="Low",1,IF(R37="Medium",2,IF(OR(R37="High Non-Bullpen",R37="High Bullpen"),3,4))))=IF(IF(C37&lt;=5,IFERROR(INDEX(Reference!$B$73:$B$78,MATCH(C37,Reference!$A$73:$A$78,0)),"Low"),IFERROR(INDEX(Reference!$B$84:$B$86,MATCH(MOD(C37-6,3),Reference!$A$84:$A$86,0)),"Low"))="No Throw",0,IF(IF(C37&lt;=5,IFERROR(INDEX(Reference!$B$73:$B$78,MATCH(C37,Reference!$A$73:$A$78,0)),"Low"),IFERROR(INDEX(Reference!$B$84:$B$86,MATCH(MOD(C37-6,3),Reference!$A$84:$A$86,0)),"Low"))="Low",1,IF(IF(C37&lt;=5,IFERROR(INDEX(Reference!$B$73:$B$78,MATCH(C37,Reference!$A$73:$A$78,0)),"Low"),IFERROR(INDEX(Reference!$B$84:$B$86,MATCH(MOD(C37-6,3),Reference!$A$84:$A$86,0)),"Low"))="Medium",2,IF(OR(IF(C37&lt;=5,IFERROR(INDEX(Reference!$B$73:$B$78,MATCH(C37,Reference!$A$73:$A$78,0)),"Low"),IFERROR(INDEX(Reference!$B$84:$B$86,MATCH(MOD(C37-6,3),Reference!$A$84:$A$86,0)),"Low"))="High Non-Bullpen",IF(C37&lt;=5,IFERROR(INDEX(Reference!$B$73:$B$78,MATCH(C37,Reference!$A$73:$A$78,0)),"Low"),IFERROR(INDEX(Reference!$B$84:$B$86,MATCH(MOD(C37-6,3),Reference!$A$84:$A$86,0)),"Low"))="High Bullpen"),3,4)))),0,IF(IF(R37="No Throw",0,IF(R37="Low",1,IF(R37="Medium",2,IF(OR(R37="High Non-Bullpen",R37="High Bullpen"),3,4))))&gt;IF(IF(C37&lt;=5,IFERROR(INDEX(Reference!$B$73:$B$78,MATCH(C37,Reference!$A$73:$A$78,0)),"Low"),IFERROR(INDEX(Reference!$B$84:$B$86,MATCH(MOD(C37-6,3),Reference!$A$84:$A$86,0)),"Low"))="No Throw",0,IF(IF(C37&lt;=5,IFERROR(INDEX(Reference!$B$73:$B$78,MATCH(C37,Reference!$A$73:$A$78,0)),"Low"),IFERROR(INDEX(Reference!$B$84:$B$86,MATCH(MOD(C37-6,3),Reference!$A$84:$A$86,0)),"Low"))="Low",1,IF(IF(C37&lt;=5,IFERROR(INDEX(Reference!$B$73:$B$78,MATCH(C37,Reference!$A$73:$A$78,0)),"Low"),IFERROR(INDEX(Reference!$B$84:$B$86,MATCH(MOD(C37-6,3),Reference!$A$84:$A$86,0)),"Low"))="Medium",2,IF(OR(IF(C37&lt;=5,IFERROR(INDEX(Reference!$B$73:$B$78,MATCH(C37,Reference!$A$73:$A$78,0)),"Low"),IFERROR(INDEX(Reference!$B$84:$B$86,MATCH(MOD(C37-6,3),Reference!$A$84:$A$86,0)),"Low"))="High Non-Bullpen",IF(C37&lt;=5,IFERROR(INDEX(Reference!$B$73:$B$78,MATCH(C37,Reference!$A$73:$A$78,0)),"Low"),IFERROR(INDEX(Reference!$B$84:$B$86,MATCH(MOD(C37-6,3),Reference!$A$84:$A$86,0)),"Low"))="High Bullpen"),3,4)))),-1,1))))</f>
        <v/>
      </c>
      <c r="N38" s="32">
        <f t="shared" ca="1" si="7"/>
        <v>1</v>
      </c>
      <c r="O38" s="32" t="str">
        <f t="shared" ca="1" si="8"/>
        <v/>
      </c>
      <c r="P38" s="32" t="str">
        <f t="shared" ca="1" si="9"/>
        <v/>
      </c>
      <c r="Q38" s="32" t="str">
        <f t="shared" ca="1" si="10"/>
        <v/>
      </c>
      <c r="R38" s="32" t="str">
        <f t="shared" ca="1" si="11"/>
        <v/>
      </c>
      <c r="S38" s="47" t="str">
        <f ca="1">IFERROR(IF(R38="","",IF(R38="No Throw","Full rest — no throwing today.",IF(R38="Low",CONCATENATE(IF('Day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mph"),IF(R38="Medium",CONCATENATE(IF('Day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mph"),IF(R38="High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mph"),IF(R38="High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38" s="37"/>
    </row>
    <row r="39" spans="1:20" x14ac:dyDescent="0.3">
      <c r="A39" s="35" t="str">
        <f ca="1">IF($B$7+12&lt;$B$6,$B$7+12,"")</f>
        <v/>
      </c>
      <c r="B39" s="32" t="str">
        <f t="shared" ca="1" si="0"/>
        <v/>
      </c>
      <c r="C39" s="32" t="str">
        <f t="shared" ca="1" si="1"/>
        <v/>
      </c>
      <c r="D39" s="32" t="str">
        <f ca="1">IF(A39="","",IF(AND(T39&lt;&gt;"",T39&lt;&gt;"(none)"),T39,IF(C39&lt;=5,IFERROR(INDEX(Reference!$B$73:$B$78,MATCH(C39,Reference!$A$73:$A$78,0)),"Low"),IFERROR(INDEX(Reference!$B$84:$B$86,MATCH(MOD(C39-6,3),Reference!$A$84:$A$86,0)),"Low"))))</f>
        <v/>
      </c>
      <c r="E39" s="32" t="str">
        <f t="shared" ca="1" si="2"/>
        <v/>
      </c>
      <c r="F39" s="48" t="str">
        <f t="shared" ca="1" si="3"/>
        <v/>
      </c>
      <c r="G39" s="32" t="str">
        <f t="shared" ca="1" si="4"/>
        <v/>
      </c>
      <c r="H39" s="32" t="str">
        <f t="shared" ca="1" si="12"/>
        <v/>
      </c>
      <c r="I39" s="30" t="str">
        <f ca="1">IF(H39="","",IFERROR(INDEX('Day Type Templates'!$B$49:$B$53,MATCH(H39,'Day Type Templates'!$A$49:$A$53,0)),""))</f>
        <v/>
      </c>
      <c r="J39" s="30" t="str">
        <f ca="1">IF(F39="","",SUMIFS('Throw Log'!$Q$5:$Q$300,'Throw Log'!$B$5:$B$300,$B$4,'Throw Log'!$A$5:$A$300,F39))</f>
        <v/>
      </c>
      <c r="K39" s="46">
        <f t="shared" ca="1" si="5"/>
        <v>1</v>
      </c>
      <c r="L39" s="32">
        <f t="shared" ca="1" si="6"/>
        <v>0</v>
      </c>
      <c r="M39" s="32" t="str">
        <f ca="1">IF(A39="","",IF(R38="","",IF(IF(R38="No Throw",0,IF(R38="Low",1,IF(R38="Medium",2,IF(OR(R38="High Non-Bullpen",R38="High Bullpen"),3,4))))=IF(IF(C38&lt;=5,IFERROR(INDEX(Reference!$B$73:$B$78,MATCH(C38,Reference!$A$73:$A$78,0)),"Low"),IFERROR(INDEX(Reference!$B$84:$B$86,MATCH(MOD(C38-6,3),Reference!$A$84:$A$86,0)),"Low"))="No Throw",0,IF(IF(C38&lt;=5,IFERROR(INDEX(Reference!$B$73:$B$78,MATCH(C38,Reference!$A$73:$A$78,0)),"Low"),IFERROR(INDEX(Reference!$B$84:$B$86,MATCH(MOD(C38-6,3),Reference!$A$84:$A$86,0)),"Low"))="Low",1,IF(IF(C38&lt;=5,IFERROR(INDEX(Reference!$B$73:$B$78,MATCH(C38,Reference!$A$73:$A$78,0)),"Low"),IFERROR(INDEX(Reference!$B$84:$B$86,MATCH(MOD(C38-6,3),Reference!$A$84:$A$86,0)),"Low"))="Medium",2,IF(OR(IF(C38&lt;=5,IFERROR(INDEX(Reference!$B$73:$B$78,MATCH(C38,Reference!$A$73:$A$78,0)),"Low"),IFERROR(INDEX(Reference!$B$84:$B$86,MATCH(MOD(C38-6,3),Reference!$A$84:$A$86,0)),"Low"))="High Non-Bullpen",IF(C38&lt;=5,IFERROR(INDEX(Reference!$B$73:$B$78,MATCH(C38,Reference!$A$73:$A$78,0)),"Low"),IFERROR(INDEX(Reference!$B$84:$B$86,MATCH(MOD(C38-6,3),Reference!$A$84:$A$86,0)),"Low"))="High Bullpen"),3,4)))),0,IF(IF(R38="No Throw",0,IF(R38="Low",1,IF(R38="Medium",2,IF(OR(R38="High Non-Bullpen",R38="High Bullpen"),3,4))))&gt;IF(IF(C38&lt;=5,IFERROR(INDEX(Reference!$B$73:$B$78,MATCH(C38,Reference!$A$73:$A$78,0)),"Low"),IFERROR(INDEX(Reference!$B$84:$B$86,MATCH(MOD(C38-6,3),Reference!$A$84:$A$86,0)),"Low"))="No Throw",0,IF(IF(C38&lt;=5,IFERROR(INDEX(Reference!$B$73:$B$78,MATCH(C38,Reference!$A$73:$A$78,0)),"Low"),IFERROR(INDEX(Reference!$B$84:$B$86,MATCH(MOD(C38-6,3),Reference!$A$84:$A$86,0)),"Low"))="Low",1,IF(IF(C38&lt;=5,IFERROR(INDEX(Reference!$B$73:$B$78,MATCH(C38,Reference!$A$73:$A$78,0)),"Low"),IFERROR(INDEX(Reference!$B$84:$B$86,MATCH(MOD(C38-6,3),Reference!$A$84:$A$86,0)),"Low"))="Medium",2,IF(OR(IF(C38&lt;=5,IFERROR(INDEX(Reference!$B$73:$B$78,MATCH(C38,Reference!$A$73:$A$78,0)),"Low"),IFERROR(INDEX(Reference!$B$84:$B$86,MATCH(MOD(C38-6,3),Reference!$A$84:$A$86,0)),"Low"))="High Non-Bullpen",IF(C38&lt;=5,IFERROR(INDEX(Reference!$B$73:$B$78,MATCH(C38,Reference!$A$73:$A$78,0)),"Low"),IFERROR(INDEX(Reference!$B$84:$B$86,MATCH(MOD(C38-6,3),Reference!$A$84:$A$86,0)),"Low"))="High Bullpen"),3,4)))),-1,1))))</f>
        <v/>
      </c>
      <c r="N39" s="32">
        <f t="shared" ca="1" si="7"/>
        <v>1</v>
      </c>
      <c r="O39" s="32" t="str">
        <f t="shared" ca="1" si="8"/>
        <v/>
      </c>
      <c r="P39" s="32" t="str">
        <f t="shared" ca="1" si="9"/>
        <v/>
      </c>
      <c r="Q39" s="32" t="str">
        <f t="shared" ca="1" si="10"/>
        <v/>
      </c>
      <c r="R39" s="32" t="str">
        <f t="shared" ca="1" si="11"/>
        <v/>
      </c>
      <c r="S39" s="47" t="str">
        <f ca="1">IFERROR(IF(R39="","",IF(R39="No Throw","Full rest — no throwing today.",IF(R39="Low",CONCATENATE(IF('Day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mph"),IF(R39="Medium",CONCATENATE(IF('Day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mph"),IF(R39="High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mph"),IF(R39="High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39" s="37"/>
    </row>
    <row r="40" spans="1:20" x14ac:dyDescent="0.3">
      <c r="A40" s="35" t="str">
        <f ca="1">IF($B$7+13&lt;$B$6,$B$7+13,"")</f>
        <v/>
      </c>
      <c r="B40" s="32" t="str">
        <f t="shared" ca="1" si="0"/>
        <v/>
      </c>
      <c r="C40" s="32" t="str">
        <f t="shared" ca="1" si="1"/>
        <v/>
      </c>
      <c r="D40" s="32" t="str">
        <f ca="1">IF(A40="","",IF(AND(T40&lt;&gt;"",T40&lt;&gt;"(none)"),T40,IF(C40&lt;=5,IFERROR(INDEX(Reference!$B$73:$B$78,MATCH(C40,Reference!$A$73:$A$78,0)),"Low"),IFERROR(INDEX(Reference!$B$84:$B$86,MATCH(MOD(C40-6,3),Reference!$A$84:$A$86,0)),"Low"))))</f>
        <v/>
      </c>
      <c r="E40" s="32" t="str">
        <f t="shared" ca="1" si="2"/>
        <v/>
      </c>
      <c r="F40" s="48" t="str">
        <f t="shared" ca="1" si="3"/>
        <v/>
      </c>
      <c r="G40" s="32" t="str">
        <f t="shared" ca="1" si="4"/>
        <v/>
      </c>
      <c r="H40" s="32" t="str">
        <f t="shared" ca="1" si="12"/>
        <v/>
      </c>
      <c r="I40" s="30" t="str">
        <f ca="1">IF(H40="","",IFERROR(INDEX('Day Type Templates'!$B$49:$B$53,MATCH(H40,'Day Type Templates'!$A$49:$A$53,0)),""))</f>
        <v/>
      </c>
      <c r="J40" s="30" t="str">
        <f ca="1">IF(F40="","",SUMIFS('Throw Log'!$Q$5:$Q$300,'Throw Log'!$B$5:$B$300,$B$4,'Throw Log'!$A$5:$A$300,F40))</f>
        <v/>
      </c>
      <c r="K40" s="46">
        <f t="shared" ca="1" si="5"/>
        <v>1</v>
      </c>
      <c r="L40" s="32">
        <f t="shared" ca="1" si="6"/>
        <v>0</v>
      </c>
      <c r="M40" s="32" t="str">
        <f ca="1">IF(A40="","",IF(R39="","",IF(IF(R39="No Throw",0,IF(R39="Low",1,IF(R39="Medium",2,IF(OR(R39="High Non-Bullpen",R39="High Bullpen"),3,4))))=IF(IF(C39&lt;=5,IFERROR(INDEX(Reference!$B$73:$B$78,MATCH(C39,Reference!$A$73:$A$78,0)),"Low"),IFERROR(INDEX(Reference!$B$84:$B$86,MATCH(MOD(C39-6,3),Reference!$A$84:$A$86,0)),"Low"))="No Throw",0,IF(IF(C39&lt;=5,IFERROR(INDEX(Reference!$B$73:$B$78,MATCH(C39,Reference!$A$73:$A$78,0)),"Low"),IFERROR(INDEX(Reference!$B$84:$B$86,MATCH(MOD(C39-6,3),Reference!$A$84:$A$86,0)),"Low"))="Low",1,IF(IF(C39&lt;=5,IFERROR(INDEX(Reference!$B$73:$B$78,MATCH(C39,Reference!$A$73:$A$78,0)),"Low"),IFERROR(INDEX(Reference!$B$84:$B$86,MATCH(MOD(C39-6,3),Reference!$A$84:$A$86,0)),"Low"))="Medium",2,IF(OR(IF(C39&lt;=5,IFERROR(INDEX(Reference!$B$73:$B$78,MATCH(C39,Reference!$A$73:$A$78,0)),"Low"),IFERROR(INDEX(Reference!$B$84:$B$86,MATCH(MOD(C39-6,3),Reference!$A$84:$A$86,0)),"Low"))="High Non-Bullpen",IF(C39&lt;=5,IFERROR(INDEX(Reference!$B$73:$B$78,MATCH(C39,Reference!$A$73:$A$78,0)),"Low"),IFERROR(INDEX(Reference!$B$84:$B$86,MATCH(MOD(C39-6,3),Reference!$A$84:$A$86,0)),"Low"))="High Bullpen"),3,4)))),0,IF(IF(R39="No Throw",0,IF(R39="Low",1,IF(R39="Medium",2,IF(OR(R39="High Non-Bullpen",R39="High Bullpen"),3,4))))&gt;IF(IF(C39&lt;=5,IFERROR(INDEX(Reference!$B$73:$B$78,MATCH(C39,Reference!$A$73:$A$78,0)),"Low"),IFERROR(INDEX(Reference!$B$84:$B$86,MATCH(MOD(C39-6,3),Reference!$A$84:$A$86,0)),"Low"))="No Throw",0,IF(IF(C39&lt;=5,IFERROR(INDEX(Reference!$B$73:$B$78,MATCH(C39,Reference!$A$73:$A$78,0)),"Low"),IFERROR(INDEX(Reference!$B$84:$B$86,MATCH(MOD(C39-6,3),Reference!$A$84:$A$86,0)),"Low"))="Low",1,IF(IF(C39&lt;=5,IFERROR(INDEX(Reference!$B$73:$B$78,MATCH(C39,Reference!$A$73:$A$78,0)),"Low"),IFERROR(INDEX(Reference!$B$84:$B$86,MATCH(MOD(C39-6,3),Reference!$A$84:$A$86,0)),"Low"))="Medium",2,IF(OR(IF(C39&lt;=5,IFERROR(INDEX(Reference!$B$73:$B$78,MATCH(C39,Reference!$A$73:$A$78,0)),"Low"),IFERROR(INDEX(Reference!$B$84:$B$86,MATCH(MOD(C39-6,3),Reference!$A$84:$A$86,0)),"Low"))="High Non-Bullpen",IF(C39&lt;=5,IFERROR(INDEX(Reference!$B$73:$B$78,MATCH(C39,Reference!$A$73:$A$78,0)),"Low"),IFERROR(INDEX(Reference!$B$84:$B$86,MATCH(MOD(C39-6,3),Reference!$A$84:$A$86,0)),"Low"))="High Bullpen"),3,4)))),-1,1))))</f>
        <v/>
      </c>
      <c r="N40" s="32">
        <f t="shared" ca="1" si="7"/>
        <v>1</v>
      </c>
      <c r="O40" s="32" t="str">
        <f t="shared" ca="1" si="8"/>
        <v/>
      </c>
      <c r="P40" s="32" t="str">
        <f t="shared" ca="1" si="9"/>
        <v/>
      </c>
      <c r="Q40" s="32" t="str">
        <f t="shared" ca="1" si="10"/>
        <v/>
      </c>
      <c r="R40" s="32" t="str">
        <f t="shared" ca="1" si="11"/>
        <v/>
      </c>
      <c r="S40" s="47" t="str">
        <f ca="1">IFERROR(IF(R40="","",IF(R40="No Throw","Full rest — no throwing today.",IF(R40="Low",CONCATENATE(IF('Day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mph"),IF(R40="Medium",CONCATENATE(IF('Day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mph"),IF(R40="High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mph"),IF(R40="High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40" s="37"/>
    </row>
    <row r="41" spans="1:20" x14ac:dyDescent="0.3">
      <c r="A41" s="35" t="str">
        <f ca="1">IF($B$7+14&lt;$B$6,$B$7+14,"")</f>
        <v/>
      </c>
      <c r="B41" s="32" t="str">
        <f t="shared" ca="1" si="0"/>
        <v/>
      </c>
      <c r="C41" s="32" t="str">
        <f t="shared" ca="1" si="1"/>
        <v/>
      </c>
      <c r="D41" s="32" t="str">
        <f ca="1">IF(A41="","",IF(AND(T41&lt;&gt;"",T41&lt;&gt;"(none)"),T41,IF(C41&lt;=5,IFERROR(INDEX(Reference!$B$73:$B$78,MATCH(C41,Reference!$A$73:$A$78,0)),"Low"),IFERROR(INDEX(Reference!$B$84:$B$86,MATCH(MOD(C41-6,3),Reference!$A$84:$A$86,0)),"Low"))))</f>
        <v/>
      </c>
      <c r="E41" s="32" t="str">
        <f t="shared" ca="1" si="2"/>
        <v/>
      </c>
      <c r="F41" s="48" t="str">
        <f t="shared" ca="1" si="3"/>
        <v/>
      </c>
      <c r="G41" s="32" t="str">
        <f t="shared" ca="1" si="4"/>
        <v/>
      </c>
      <c r="H41" s="32" t="str">
        <f t="shared" ca="1" si="12"/>
        <v/>
      </c>
      <c r="I41" s="30" t="str">
        <f ca="1">IF(H41="","",IFERROR(INDEX('Day Type Templates'!$B$49:$B$53,MATCH(H41,'Day Type Templates'!$A$49:$A$53,0)),""))</f>
        <v/>
      </c>
      <c r="J41" s="30" t="str">
        <f ca="1">IF(F41="","",SUMIFS('Throw Log'!$Q$5:$Q$300,'Throw Log'!$B$5:$B$300,$B$4,'Throw Log'!$A$5:$A$300,F41))</f>
        <v/>
      </c>
      <c r="K41" s="46">
        <f t="shared" ca="1" si="5"/>
        <v>1</v>
      </c>
      <c r="L41" s="32">
        <f t="shared" ca="1" si="6"/>
        <v>0</v>
      </c>
      <c r="M41" s="32" t="str">
        <f ca="1">IF(A41="","",IF(R40="","",IF(IF(R40="No Throw",0,IF(R40="Low",1,IF(R40="Medium",2,IF(OR(R40="High Non-Bullpen",R40="High Bullpen"),3,4))))=IF(IF(C40&lt;=5,IFERROR(INDEX(Reference!$B$73:$B$78,MATCH(C40,Reference!$A$73:$A$78,0)),"Low"),IFERROR(INDEX(Reference!$B$84:$B$86,MATCH(MOD(C40-6,3),Reference!$A$84:$A$86,0)),"Low"))="No Throw",0,IF(IF(C40&lt;=5,IFERROR(INDEX(Reference!$B$73:$B$78,MATCH(C40,Reference!$A$73:$A$78,0)),"Low"),IFERROR(INDEX(Reference!$B$84:$B$86,MATCH(MOD(C40-6,3),Reference!$A$84:$A$86,0)),"Low"))="Low",1,IF(IF(C40&lt;=5,IFERROR(INDEX(Reference!$B$73:$B$78,MATCH(C40,Reference!$A$73:$A$78,0)),"Low"),IFERROR(INDEX(Reference!$B$84:$B$86,MATCH(MOD(C40-6,3),Reference!$A$84:$A$86,0)),"Low"))="Medium",2,IF(OR(IF(C40&lt;=5,IFERROR(INDEX(Reference!$B$73:$B$78,MATCH(C40,Reference!$A$73:$A$78,0)),"Low"),IFERROR(INDEX(Reference!$B$84:$B$86,MATCH(MOD(C40-6,3),Reference!$A$84:$A$86,0)),"Low"))="High Non-Bullpen",IF(C40&lt;=5,IFERROR(INDEX(Reference!$B$73:$B$78,MATCH(C40,Reference!$A$73:$A$78,0)),"Low"),IFERROR(INDEX(Reference!$B$84:$B$86,MATCH(MOD(C40-6,3),Reference!$A$84:$A$86,0)),"Low"))="High Bullpen"),3,4)))),0,IF(IF(R40="No Throw",0,IF(R40="Low",1,IF(R40="Medium",2,IF(OR(R40="High Non-Bullpen",R40="High Bullpen"),3,4))))&gt;IF(IF(C40&lt;=5,IFERROR(INDEX(Reference!$B$73:$B$78,MATCH(C40,Reference!$A$73:$A$78,0)),"Low"),IFERROR(INDEX(Reference!$B$84:$B$86,MATCH(MOD(C40-6,3),Reference!$A$84:$A$86,0)),"Low"))="No Throw",0,IF(IF(C40&lt;=5,IFERROR(INDEX(Reference!$B$73:$B$78,MATCH(C40,Reference!$A$73:$A$78,0)),"Low"),IFERROR(INDEX(Reference!$B$84:$B$86,MATCH(MOD(C40-6,3),Reference!$A$84:$A$86,0)),"Low"))="Low",1,IF(IF(C40&lt;=5,IFERROR(INDEX(Reference!$B$73:$B$78,MATCH(C40,Reference!$A$73:$A$78,0)),"Low"),IFERROR(INDEX(Reference!$B$84:$B$86,MATCH(MOD(C40-6,3),Reference!$A$84:$A$86,0)),"Low"))="Medium",2,IF(OR(IF(C40&lt;=5,IFERROR(INDEX(Reference!$B$73:$B$78,MATCH(C40,Reference!$A$73:$A$78,0)),"Low"),IFERROR(INDEX(Reference!$B$84:$B$86,MATCH(MOD(C40-6,3),Reference!$A$84:$A$86,0)),"Low"))="High Non-Bullpen",IF(C40&lt;=5,IFERROR(INDEX(Reference!$B$73:$B$78,MATCH(C40,Reference!$A$73:$A$78,0)),"Low"),IFERROR(INDEX(Reference!$B$84:$B$86,MATCH(MOD(C40-6,3),Reference!$A$84:$A$86,0)),"Low"))="High Bullpen"),3,4)))),-1,1))))</f>
        <v/>
      </c>
      <c r="N41" s="32">
        <f t="shared" ca="1" si="7"/>
        <v>1</v>
      </c>
      <c r="O41" s="32" t="str">
        <f t="shared" ca="1" si="8"/>
        <v/>
      </c>
      <c r="P41" s="32" t="str">
        <f t="shared" ca="1" si="9"/>
        <v/>
      </c>
      <c r="Q41" s="32" t="str">
        <f t="shared" ca="1" si="10"/>
        <v/>
      </c>
      <c r="R41" s="32" t="str">
        <f t="shared" ca="1" si="11"/>
        <v/>
      </c>
      <c r="S41" s="47" t="str">
        <f ca="1">IFERROR(IF(R41="","",IF(R41="No Throw","Full rest — no throwing today.",IF(R41="Low",CONCATENATE(IF('Day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mph"),IF(R41="Medium",CONCATENATE(IF('Day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mph"),IF(R41="High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mph"),IF(R41="High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41" s="37"/>
    </row>
    <row r="42" spans="1:20" x14ac:dyDescent="0.3">
      <c r="A42" s="35" t="str">
        <f ca="1">IF($B$7+15&lt;$B$6,$B$7+15,"")</f>
        <v/>
      </c>
      <c r="B42" s="32" t="str">
        <f t="shared" ca="1" si="0"/>
        <v/>
      </c>
      <c r="C42" s="32" t="str">
        <f t="shared" ca="1" si="1"/>
        <v/>
      </c>
      <c r="D42" s="32" t="str">
        <f ca="1">IF(A42="","",IF(AND(T42&lt;&gt;"",T42&lt;&gt;"(none)"),T42,IF(C42&lt;=5,IFERROR(INDEX(Reference!$B$73:$B$78,MATCH(C42,Reference!$A$73:$A$78,0)),"Low"),IFERROR(INDEX(Reference!$B$84:$B$86,MATCH(MOD(C42-6,3),Reference!$A$84:$A$86,0)),"Low"))))</f>
        <v/>
      </c>
      <c r="E42" s="32" t="str">
        <f t="shared" ca="1" si="2"/>
        <v/>
      </c>
      <c r="F42" s="48" t="str">
        <f t="shared" ca="1" si="3"/>
        <v/>
      </c>
      <c r="G42" s="32" t="str">
        <f t="shared" ca="1" si="4"/>
        <v/>
      </c>
      <c r="H42" s="32" t="str">
        <f t="shared" ca="1" si="12"/>
        <v/>
      </c>
      <c r="I42" s="30" t="str">
        <f ca="1">IF(H42="","",IFERROR(INDEX('Day Type Templates'!$B$49:$B$53,MATCH(H42,'Day Type Templates'!$A$49:$A$53,0)),""))</f>
        <v/>
      </c>
      <c r="J42" s="30" t="str">
        <f ca="1">IF(F42="","",SUMIFS('Throw Log'!$Q$5:$Q$300,'Throw Log'!$B$5:$B$300,$B$4,'Throw Log'!$A$5:$A$300,F42))</f>
        <v/>
      </c>
      <c r="K42" s="46">
        <f t="shared" ca="1" si="5"/>
        <v>1</v>
      </c>
      <c r="L42" s="32">
        <f t="shared" ca="1" si="6"/>
        <v>0</v>
      </c>
      <c r="M42" s="32" t="str">
        <f ca="1">IF(A42="","",IF(R41="","",IF(IF(R41="No Throw",0,IF(R41="Low",1,IF(R41="Medium",2,IF(OR(R41="High Non-Bullpen",R41="High Bullpen"),3,4))))=IF(IF(C41&lt;=5,IFERROR(INDEX(Reference!$B$73:$B$78,MATCH(C41,Reference!$A$73:$A$78,0)),"Low"),IFERROR(INDEX(Reference!$B$84:$B$86,MATCH(MOD(C41-6,3),Reference!$A$84:$A$86,0)),"Low"))="No Throw",0,IF(IF(C41&lt;=5,IFERROR(INDEX(Reference!$B$73:$B$78,MATCH(C41,Reference!$A$73:$A$78,0)),"Low"),IFERROR(INDEX(Reference!$B$84:$B$86,MATCH(MOD(C41-6,3),Reference!$A$84:$A$86,0)),"Low"))="Low",1,IF(IF(C41&lt;=5,IFERROR(INDEX(Reference!$B$73:$B$78,MATCH(C41,Reference!$A$73:$A$78,0)),"Low"),IFERROR(INDEX(Reference!$B$84:$B$86,MATCH(MOD(C41-6,3),Reference!$A$84:$A$86,0)),"Low"))="Medium",2,IF(OR(IF(C41&lt;=5,IFERROR(INDEX(Reference!$B$73:$B$78,MATCH(C41,Reference!$A$73:$A$78,0)),"Low"),IFERROR(INDEX(Reference!$B$84:$B$86,MATCH(MOD(C41-6,3),Reference!$A$84:$A$86,0)),"Low"))="High Non-Bullpen",IF(C41&lt;=5,IFERROR(INDEX(Reference!$B$73:$B$78,MATCH(C41,Reference!$A$73:$A$78,0)),"Low"),IFERROR(INDEX(Reference!$B$84:$B$86,MATCH(MOD(C41-6,3),Reference!$A$84:$A$86,0)),"Low"))="High Bullpen"),3,4)))),0,IF(IF(R41="No Throw",0,IF(R41="Low",1,IF(R41="Medium",2,IF(OR(R41="High Non-Bullpen",R41="High Bullpen"),3,4))))&gt;IF(IF(C41&lt;=5,IFERROR(INDEX(Reference!$B$73:$B$78,MATCH(C41,Reference!$A$73:$A$78,0)),"Low"),IFERROR(INDEX(Reference!$B$84:$B$86,MATCH(MOD(C41-6,3),Reference!$A$84:$A$86,0)),"Low"))="No Throw",0,IF(IF(C41&lt;=5,IFERROR(INDEX(Reference!$B$73:$B$78,MATCH(C41,Reference!$A$73:$A$78,0)),"Low"),IFERROR(INDEX(Reference!$B$84:$B$86,MATCH(MOD(C41-6,3),Reference!$A$84:$A$86,0)),"Low"))="Low",1,IF(IF(C41&lt;=5,IFERROR(INDEX(Reference!$B$73:$B$78,MATCH(C41,Reference!$A$73:$A$78,0)),"Low"),IFERROR(INDEX(Reference!$B$84:$B$86,MATCH(MOD(C41-6,3),Reference!$A$84:$A$86,0)),"Low"))="Medium",2,IF(OR(IF(C41&lt;=5,IFERROR(INDEX(Reference!$B$73:$B$78,MATCH(C41,Reference!$A$73:$A$78,0)),"Low"),IFERROR(INDEX(Reference!$B$84:$B$86,MATCH(MOD(C41-6,3),Reference!$A$84:$A$86,0)),"Low"))="High Non-Bullpen",IF(C41&lt;=5,IFERROR(INDEX(Reference!$B$73:$B$78,MATCH(C41,Reference!$A$73:$A$78,0)),"Low"),IFERROR(INDEX(Reference!$B$84:$B$86,MATCH(MOD(C41-6,3),Reference!$A$84:$A$86,0)),"Low"))="High Bullpen"),3,4)))),-1,1))))</f>
        <v/>
      </c>
      <c r="N42" s="32">
        <f t="shared" ca="1" si="7"/>
        <v>1</v>
      </c>
      <c r="O42" s="32" t="str">
        <f t="shared" ca="1" si="8"/>
        <v/>
      </c>
      <c r="P42" s="32" t="str">
        <f t="shared" ca="1" si="9"/>
        <v/>
      </c>
      <c r="Q42" s="32" t="str">
        <f t="shared" ca="1" si="10"/>
        <v/>
      </c>
      <c r="R42" s="32" t="str">
        <f t="shared" ca="1" si="11"/>
        <v/>
      </c>
      <c r="S42" s="47" t="str">
        <f ca="1">IFERROR(IF(R42="","",IF(R42="No Throw","Full rest — no throwing today.",IF(R42="Low",CONCATENATE(IF('Day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mph"),IF(R42="Medium",CONCATENATE(IF('Day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mph"),IF(R42="High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mph"),IF(R42="High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42" s="37"/>
    </row>
    <row r="43" spans="1:20" x14ac:dyDescent="0.3">
      <c r="A43" s="35" t="str">
        <f ca="1">IF($B$7+16&lt;$B$6,$B$7+16,"")</f>
        <v/>
      </c>
      <c r="B43" s="32" t="str">
        <f t="shared" ca="1" si="0"/>
        <v/>
      </c>
      <c r="C43" s="32" t="str">
        <f t="shared" ca="1" si="1"/>
        <v/>
      </c>
      <c r="D43" s="32" t="str">
        <f ca="1">IF(A43="","",IF(AND(T43&lt;&gt;"",T43&lt;&gt;"(none)"),T43,IF(C43&lt;=5,IFERROR(INDEX(Reference!$B$73:$B$78,MATCH(C43,Reference!$A$73:$A$78,0)),"Low"),IFERROR(INDEX(Reference!$B$84:$B$86,MATCH(MOD(C43-6,3),Reference!$A$84:$A$86,0)),"Low"))))</f>
        <v/>
      </c>
      <c r="E43" s="32" t="str">
        <f t="shared" ca="1" si="2"/>
        <v/>
      </c>
      <c r="F43" s="48" t="str">
        <f t="shared" ca="1" si="3"/>
        <v/>
      </c>
      <c r="G43" s="32" t="str">
        <f t="shared" ca="1" si="4"/>
        <v/>
      </c>
      <c r="H43" s="32" t="str">
        <f t="shared" ca="1" si="12"/>
        <v/>
      </c>
      <c r="I43" s="30" t="str">
        <f ca="1">IF(H43="","",IFERROR(INDEX('Day Type Templates'!$B$49:$B$53,MATCH(H43,'Day Type Templates'!$A$49:$A$53,0)),""))</f>
        <v/>
      </c>
      <c r="J43" s="30" t="str">
        <f ca="1">IF(F43="","",SUMIFS('Throw Log'!$Q$5:$Q$300,'Throw Log'!$B$5:$B$300,$B$4,'Throw Log'!$A$5:$A$300,F43))</f>
        <v/>
      </c>
      <c r="K43" s="46">
        <f t="shared" ca="1" si="5"/>
        <v>1</v>
      </c>
      <c r="L43" s="32">
        <f t="shared" ca="1" si="6"/>
        <v>0</v>
      </c>
      <c r="M43" s="32" t="str">
        <f ca="1">IF(A43="","",IF(R42="","",IF(IF(R42="No Throw",0,IF(R42="Low",1,IF(R42="Medium",2,IF(OR(R42="High Non-Bullpen",R42="High Bullpen"),3,4))))=IF(IF(C42&lt;=5,IFERROR(INDEX(Reference!$B$73:$B$78,MATCH(C42,Reference!$A$73:$A$78,0)),"Low"),IFERROR(INDEX(Reference!$B$84:$B$86,MATCH(MOD(C42-6,3),Reference!$A$84:$A$86,0)),"Low"))="No Throw",0,IF(IF(C42&lt;=5,IFERROR(INDEX(Reference!$B$73:$B$78,MATCH(C42,Reference!$A$73:$A$78,0)),"Low"),IFERROR(INDEX(Reference!$B$84:$B$86,MATCH(MOD(C42-6,3),Reference!$A$84:$A$86,0)),"Low"))="Low",1,IF(IF(C42&lt;=5,IFERROR(INDEX(Reference!$B$73:$B$78,MATCH(C42,Reference!$A$73:$A$78,0)),"Low"),IFERROR(INDEX(Reference!$B$84:$B$86,MATCH(MOD(C42-6,3),Reference!$A$84:$A$86,0)),"Low"))="Medium",2,IF(OR(IF(C42&lt;=5,IFERROR(INDEX(Reference!$B$73:$B$78,MATCH(C42,Reference!$A$73:$A$78,0)),"Low"),IFERROR(INDEX(Reference!$B$84:$B$86,MATCH(MOD(C42-6,3),Reference!$A$84:$A$86,0)),"Low"))="High Non-Bullpen",IF(C42&lt;=5,IFERROR(INDEX(Reference!$B$73:$B$78,MATCH(C42,Reference!$A$73:$A$78,0)),"Low"),IFERROR(INDEX(Reference!$B$84:$B$86,MATCH(MOD(C42-6,3),Reference!$A$84:$A$86,0)),"Low"))="High Bullpen"),3,4)))),0,IF(IF(R42="No Throw",0,IF(R42="Low",1,IF(R42="Medium",2,IF(OR(R42="High Non-Bullpen",R42="High Bullpen"),3,4))))&gt;IF(IF(C42&lt;=5,IFERROR(INDEX(Reference!$B$73:$B$78,MATCH(C42,Reference!$A$73:$A$78,0)),"Low"),IFERROR(INDEX(Reference!$B$84:$B$86,MATCH(MOD(C42-6,3),Reference!$A$84:$A$86,0)),"Low"))="No Throw",0,IF(IF(C42&lt;=5,IFERROR(INDEX(Reference!$B$73:$B$78,MATCH(C42,Reference!$A$73:$A$78,0)),"Low"),IFERROR(INDEX(Reference!$B$84:$B$86,MATCH(MOD(C42-6,3),Reference!$A$84:$A$86,0)),"Low"))="Low",1,IF(IF(C42&lt;=5,IFERROR(INDEX(Reference!$B$73:$B$78,MATCH(C42,Reference!$A$73:$A$78,0)),"Low"),IFERROR(INDEX(Reference!$B$84:$B$86,MATCH(MOD(C42-6,3),Reference!$A$84:$A$86,0)),"Low"))="Medium",2,IF(OR(IF(C42&lt;=5,IFERROR(INDEX(Reference!$B$73:$B$78,MATCH(C42,Reference!$A$73:$A$78,0)),"Low"),IFERROR(INDEX(Reference!$B$84:$B$86,MATCH(MOD(C42-6,3),Reference!$A$84:$A$86,0)),"Low"))="High Non-Bullpen",IF(C42&lt;=5,IFERROR(INDEX(Reference!$B$73:$B$78,MATCH(C42,Reference!$A$73:$A$78,0)),"Low"),IFERROR(INDEX(Reference!$B$84:$B$86,MATCH(MOD(C42-6,3),Reference!$A$84:$A$86,0)),"Low"))="High Bullpen"),3,4)))),-1,1))))</f>
        <v/>
      </c>
      <c r="N43" s="32">
        <f t="shared" ca="1" si="7"/>
        <v>1</v>
      </c>
      <c r="O43" s="32" t="str">
        <f t="shared" ca="1" si="8"/>
        <v/>
      </c>
      <c r="P43" s="32" t="str">
        <f t="shared" ca="1" si="9"/>
        <v/>
      </c>
      <c r="Q43" s="32" t="str">
        <f t="shared" ca="1" si="10"/>
        <v/>
      </c>
      <c r="R43" s="32" t="str">
        <f t="shared" ca="1" si="11"/>
        <v/>
      </c>
      <c r="S43" s="47" t="str">
        <f ca="1">IFERROR(IF(R43="","",IF(R43="No Throw","Full rest — no throwing today.",IF(R43="Low",CONCATENATE(IF('Day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mph"),IF(R43="Medium",CONCATENATE(IF('Day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mph"),IF(R43="High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mph"),IF(R43="High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43" s="37"/>
    </row>
    <row r="44" spans="1:20" x14ac:dyDescent="0.3">
      <c r="A44" s="35" t="str">
        <f ca="1">IF($B$7+17&lt;$B$6,$B$7+17,"")</f>
        <v/>
      </c>
      <c r="B44" s="32" t="str">
        <f t="shared" ca="1" si="0"/>
        <v/>
      </c>
      <c r="C44" s="32" t="str">
        <f t="shared" ca="1" si="1"/>
        <v/>
      </c>
      <c r="D44" s="32" t="str">
        <f ca="1">IF(A44="","",IF(AND(T44&lt;&gt;"",T44&lt;&gt;"(none)"),T44,IF(C44&lt;=5,IFERROR(INDEX(Reference!$B$73:$B$78,MATCH(C44,Reference!$A$73:$A$78,0)),"Low"),IFERROR(INDEX(Reference!$B$84:$B$86,MATCH(MOD(C44-6,3),Reference!$A$84:$A$86,0)),"Low"))))</f>
        <v/>
      </c>
      <c r="E44" s="32" t="str">
        <f t="shared" ca="1" si="2"/>
        <v/>
      </c>
      <c r="F44" s="48" t="str">
        <f t="shared" ca="1" si="3"/>
        <v/>
      </c>
      <c r="G44" s="32" t="str">
        <f t="shared" ca="1" si="4"/>
        <v/>
      </c>
      <c r="H44" s="32" t="str">
        <f t="shared" ca="1" si="12"/>
        <v/>
      </c>
      <c r="I44" s="30" t="str">
        <f ca="1">IF(H44="","",IFERROR(INDEX('Day Type Templates'!$B$49:$B$53,MATCH(H44,'Day Type Templates'!$A$49:$A$53,0)),""))</f>
        <v/>
      </c>
      <c r="J44" s="30" t="str">
        <f ca="1">IF(F44="","",SUMIFS('Throw Log'!$Q$5:$Q$300,'Throw Log'!$B$5:$B$300,$B$4,'Throw Log'!$A$5:$A$300,F44))</f>
        <v/>
      </c>
      <c r="K44" s="46">
        <f t="shared" ca="1" si="5"/>
        <v>1</v>
      </c>
      <c r="L44" s="32">
        <f t="shared" ca="1" si="6"/>
        <v>0</v>
      </c>
      <c r="M44" s="32" t="str">
        <f ca="1">IF(A44="","",IF(R43="","",IF(IF(R43="No Throw",0,IF(R43="Low",1,IF(R43="Medium",2,IF(OR(R43="High Non-Bullpen",R43="High Bullpen"),3,4))))=IF(IF(C43&lt;=5,IFERROR(INDEX(Reference!$B$73:$B$78,MATCH(C43,Reference!$A$73:$A$78,0)),"Low"),IFERROR(INDEX(Reference!$B$84:$B$86,MATCH(MOD(C43-6,3),Reference!$A$84:$A$86,0)),"Low"))="No Throw",0,IF(IF(C43&lt;=5,IFERROR(INDEX(Reference!$B$73:$B$78,MATCH(C43,Reference!$A$73:$A$78,0)),"Low"),IFERROR(INDEX(Reference!$B$84:$B$86,MATCH(MOD(C43-6,3),Reference!$A$84:$A$86,0)),"Low"))="Low",1,IF(IF(C43&lt;=5,IFERROR(INDEX(Reference!$B$73:$B$78,MATCH(C43,Reference!$A$73:$A$78,0)),"Low"),IFERROR(INDEX(Reference!$B$84:$B$86,MATCH(MOD(C43-6,3),Reference!$A$84:$A$86,0)),"Low"))="Medium",2,IF(OR(IF(C43&lt;=5,IFERROR(INDEX(Reference!$B$73:$B$78,MATCH(C43,Reference!$A$73:$A$78,0)),"Low"),IFERROR(INDEX(Reference!$B$84:$B$86,MATCH(MOD(C43-6,3),Reference!$A$84:$A$86,0)),"Low"))="High Non-Bullpen",IF(C43&lt;=5,IFERROR(INDEX(Reference!$B$73:$B$78,MATCH(C43,Reference!$A$73:$A$78,0)),"Low"),IFERROR(INDEX(Reference!$B$84:$B$86,MATCH(MOD(C43-6,3),Reference!$A$84:$A$86,0)),"Low"))="High Bullpen"),3,4)))),0,IF(IF(R43="No Throw",0,IF(R43="Low",1,IF(R43="Medium",2,IF(OR(R43="High Non-Bullpen",R43="High Bullpen"),3,4))))&gt;IF(IF(C43&lt;=5,IFERROR(INDEX(Reference!$B$73:$B$78,MATCH(C43,Reference!$A$73:$A$78,0)),"Low"),IFERROR(INDEX(Reference!$B$84:$B$86,MATCH(MOD(C43-6,3),Reference!$A$84:$A$86,0)),"Low"))="No Throw",0,IF(IF(C43&lt;=5,IFERROR(INDEX(Reference!$B$73:$B$78,MATCH(C43,Reference!$A$73:$A$78,0)),"Low"),IFERROR(INDEX(Reference!$B$84:$B$86,MATCH(MOD(C43-6,3),Reference!$A$84:$A$86,0)),"Low"))="Low",1,IF(IF(C43&lt;=5,IFERROR(INDEX(Reference!$B$73:$B$78,MATCH(C43,Reference!$A$73:$A$78,0)),"Low"),IFERROR(INDEX(Reference!$B$84:$B$86,MATCH(MOD(C43-6,3),Reference!$A$84:$A$86,0)),"Low"))="Medium",2,IF(OR(IF(C43&lt;=5,IFERROR(INDEX(Reference!$B$73:$B$78,MATCH(C43,Reference!$A$73:$A$78,0)),"Low"),IFERROR(INDEX(Reference!$B$84:$B$86,MATCH(MOD(C43-6,3),Reference!$A$84:$A$86,0)),"Low"))="High Non-Bullpen",IF(C43&lt;=5,IFERROR(INDEX(Reference!$B$73:$B$78,MATCH(C43,Reference!$A$73:$A$78,0)),"Low"),IFERROR(INDEX(Reference!$B$84:$B$86,MATCH(MOD(C43-6,3),Reference!$A$84:$A$86,0)),"Low"))="High Bullpen"),3,4)))),-1,1))))</f>
        <v/>
      </c>
      <c r="N44" s="32">
        <f t="shared" ca="1" si="7"/>
        <v>1</v>
      </c>
      <c r="O44" s="32" t="str">
        <f t="shared" ca="1" si="8"/>
        <v/>
      </c>
      <c r="P44" s="32" t="str">
        <f t="shared" ca="1" si="9"/>
        <v/>
      </c>
      <c r="Q44" s="32" t="str">
        <f t="shared" ca="1" si="10"/>
        <v/>
      </c>
      <c r="R44" s="32" t="str">
        <f t="shared" ca="1" si="11"/>
        <v/>
      </c>
      <c r="S44" s="47" t="str">
        <f ca="1">IFERROR(IF(R44="","",IF(R44="No Throw","Full rest — no throwing today.",IF(R44="Low",CONCATENATE(IF('Day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mph"),IF(R44="Medium",CONCATENATE(IF('Day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mph"),IF(R44="High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mph"),IF(R44="High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44" s="37"/>
    </row>
    <row r="45" spans="1:20" x14ac:dyDescent="0.3">
      <c r="A45" s="35" t="str">
        <f ca="1">IF($B$7+18&lt;$B$6,$B$7+18,"")</f>
        <v/>
      </c>
      <c r="B45" s="32" t="str">
        <f t="shared" ca="1" si="0"/>
        <v/>
      </c>
      <c r="C45" s="32" t="str">
        <f t="shared" ca="1" si="1"/>
        <v/>
      </c>
      <c r="D45" s="32" t="str">
        <f ca="1">IF(A45="","",IF(AND(T45&lt;&gt;"",T45&lt;&gt;"(none)"),T45,IF(C45&lt;=5,IFERROR(INDEX(Reference!$B$73:$B$78,MATCH(C45,Reference!$A$73:$A$78,0)),"Low"),IFERROR(INDEX(Reference!$B$84:$B$86,MATCH(MOD(C45-6,3),Reference!$A$84:$A$86,0)),"Low"))))</f>
        <v/>
      </c>
      <c r="E45" s="32" t="str">
        <f t="shared" ca="1" si="2"/>
        <v/>
      </c>
      <c r="F45" s="48" t="str">
        <f t="shared" ca="1" si="3"/>
        <v/>
      </c>
      <c r="G45" s="32" t="str">
        <f t="shared" ca="1" si="4"/>
        <v/>
      </c>
      <c r="H45" s="32" t="str">
        <f t="shared" ca="1" si="12"/>
        <v/>
      </c>
      <c r="I45" s="30" t="str">
        <f ca="1">IF(H45="","",IFERROR(INDEX('Day Type Templates'!$B$49:$B$53,MATCH(H45,'Day Type Templates'!$A$49:$A$53,0)),""))</f>
        <v/>
      </c>
      <c r="J45" s="30" t="str">
        <f ca="1">IF(F45="","",SUMIFS('Throw Log'!$Q$5:$Q$300,'Throw Log'!$B$5:$B$300,$B$4,'Throw Log'!$A$5:$A$300,F45))</f>
        <v/>
      </c>
      <c r="K45" s="46">
        <f t="shared" ca="1" si="5"/>
        <v>1</v>
      </c>
      <c r="L45" s="32">
        <f t="shared" ca="1" si="6"/>
        <v>0</v>
      </c>
      <c r="M45" s="32" t="str">
        <f ca="1">IF(A45="","",IF(R44="","",IF(IF(R44="No Throw",0,IF(R44="Low",1,IF(R44="Medium",2,IF(OR(R44="High Non-Bullpen",R44="High Bullpen"),3,4))))=IF(IF(C44&lt;=5,IFERROR(INDEX(Reference!$B$73:$B$78,MATCH(C44,Reference!$A$73:$A$78,0)),"Low"),IFERROR(INDEX(Reference!$B$84:$B$86,MATCH(MOD(C44-6,3),Reference!$A$84:$A$86,0)),"Low"))="No Throw",0,IF(IF(C44&lt;=5,IFERROR(INDEX(Reference!$B$73:$B$78,MATCH(C44,Reference!$A$73:$A$78,0)),"Low"),IFERROR(INDEX(Reference!$B$84:$B$86,MATCH(MOD(C44-6,3),Reference!$A$84:$A$86,0)),"Low"))="Low",1,IF(IF(C44&lt;=5,IFERROR(INDEX(Reference!$B$73:$B$78,MATCH(C44,Reference!$A$73:$A$78,0)),"Low"),IFERROR(INDEX(Reference!$B$84:$B$86,MATCH(MOD(C44-6,3),Reference!$A$84:$A$86,0)),"Low"))="Medium",2,IF(OR(IF(C44&lt;=5,IFERROR(INDEX(Reference!$B$73:$B$78,MATCH(C44,Reference!$A$73:$A$78,0)),"Low"),IFERROR(INDEX(Reference!$B$84:$B$86,MATCH(MOD(C44-6,3),Reference!$A$84:$A$86,0)),"Low"))="High Non-Bullpen",IF(C44&lt;=5,IFERROR(INDEX(Reference!$B$73:$B$78,MATCH(C44,Reference!$A$73:$A$78,0)),"Low"),IFERROR(INDEX(Reference!$B$84:$B$86,MATCH(MOD(C44-6,3),Reference!$A$84:$A$86,0)),"Low"))="High Bullpen"),3,4)))),0,IF(IF(R44="No Throw",0,IF(R44="Low",1,IF(R44="Medium",2,IF(OR(R44="High Non-Bullpen",R44="High Bullpen"),3,4))))&gt;IF(IF(C44&lt;=5,IFERROR(INDEX(Reference!$B$73:$B$78,MATCH(C44,Reference!$A$73:$A$78,0)),"Low"),IFERROR(INDEX(Reference!$B$84:$B$86,MATCH(MOD(C44-6,3),Reference!$A$84:$A$86,0)),"Low"))="No Throw",0,IF(IF(C44&lt;=5,IFERROR(INDEX(Reference!$B$73:$B$78,MATCH(C44,Reference!$A$73:$A$78,0)),"Low"),IFERROR(INDEX(Reference!$B$84:$B$86,MATCH(MOD(C44-6,3),Reference!$A$84:$A$86,0)),"Low"))="Low",1,IF(IF(C44&lt;=5,IFERROR(INDEX(Reference!$B$73:$B$78,MATCH(C44,Reference!$A$73:$A$78,0)),"Low"),IFERROR(INDEX(Reference!$B$84:$B$86,MATCH(MOD(C44-6,3),Reference!$A$84:$A$86,0)),"Low"))="Medium",2,IF(OR(IF(C44&lt;=5,IFERROR(INDEX(Reference!$B$73:$B$78,MATCH(C44,Reference!$A$73:$A$78,0)),"Low"),IFERROR(INDEX(Reference!$B$84:$B$86,MATCH(MOD(C44-6,3),Reference!$A$84:$A$86,0)),"Low"))="High Non-Bullpen",IF(C44&lt;=5,IFERROR(INDEX(Reference!$B$73:$B$78,MATCH(C44,Reference!$A$73:$A$78,0)),"Low"),IFERROR(INDEX(Reference!$B$84:$B$86,MATCH(MOD(C44-6,3),Reference!$A$84:$A$86,0)),"Low"))="High Bullpen"),3,4)))),-1,1))))</f>
        <v/>
      </c>
      <c r="N45" s="32">
        <f t="shared" ca="1" si="7"/>
        <v>1</v>
      </c>
      <c r="O45" s="32" t="str">
        <f t="shared" ca="1" si="8"/>
        <v/>
      </c>
      <c r="P45" s="32" t="str">
        <f t="shared" ca="1" si="9"/>
        <v/>
      </c>
      <c r="Q45" s="32" t="str">
        <f t="shared" ca="1" si="10"/>
        <v/>
      </c>
      <c r="R45" s="32" t="str">
        <f t="shared" ca="1" si="11"/>
        <v/>
      </c>
      <c r="S45" s="47" t="str">
        <f ca="1">IFERROR(IF(R45="","",IF(R45="No Throw","Full rest — no throwing today.",IF(R45="Low",CONCATENATE(IF('Day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mph"),IF(R45="Medium",CONCATENATE(IF('Day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mph"),IF(R45="High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mph"),IF(R45="High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45" s="37"/>
    </row>
    <row r="46" spans="1:20" x14ac:dyDescent="0.3">
      <c r="A46" s="35" t="str">
        <f ca="1">IF($B$7+19&lt;$B$6,$B$7+19,"")</f>
        <v/>
      </c>
      <c r="B46" s="32" t="str">
        <f t="shared" ca="1" si="0"/>
        <v/>
      </c>
      <c r="C46" s="32" t="str">
        <f t="shared" ca="1" si="1"/>
        <v/>
      </c>
      <c r="D46" s="32" t="str">
        <f ca="1">IF(A46="","",IF(AND(T46&lt;&gt;"",T46&lt;&gt;"(none)"),T46,IF(C46&lt;=5,IFERROR(INDEX(Reference!$B$73:$B$78,MATCH(C46,Reference!$A$73:$A$78,0)),"Low"),IFERROR(INDEX(Reference!$B$84:$B$86,MATCH(MOD(C46-6,3),Reference!$A$84:$A$86,0)),"Low"))))</f>
        <v/>
      </c>
      <c r="E46" s="32" t="str">
        <f t="shared" ca="1" si="2"/>
        <v/>
      </c>
      <c r="F46" s="48" t="str">
        <f t="shared" ca="1" si="3"/>
        <v/>
      </c>
      <c r="G46" s="32" t="str">
        <f t="shared" ca="1" si="4"/>
        <v/>
      </c>
      <c r="H46" s="32" t="str">
        <f t="shared" ca="1" si="12"/>
        <v/>
      </c>
      <c r="I46" s="30" t="str">
        <f ca="1">IF(H46="","",IFERROR(INDEX('Day Type Templates'!$B$49:$B$53,MATCH(H46,'Day Type Templates'!$A$49:$A$53,0)),""))</f>
        <v/>
      </c>
      <c r="J46" s="30" t="str">
        <f ca="1">IF(F46="","",SUMIFS('Throw Log'!$Q$5:$Q$300,'Throw Log'!$B$5:$B$300,$B$4,'Throw Log'!$A$5:$A$300,F46))</f>
        <v/>
      </c>
      <c r="K46" s="46">
        <f t="shared" ca="1" si="5"/>
        <v>1</v>
      </c>
      <c r="L46" s="32">
        <f t="shared" ca="1" si="6"/>
        <v>0</v>
      </c>
      <c r="M46" s="32" t="str">
        <f ca="1">IF(A46="","",IF(R45="","",IF(IF(R45="No Throw",0,IF(R45="Low",1,IF(R45="Medium",2,IF(OR(R45="High Non-Bullpen",R45="High Bullpen"),3,4))))=IF(IF(C45&lt;=5,IFERROR(INDEX(Reference!$B$73:$B$78,MATCH(C45,Reference!$A$73:$A$78,0)),"Low"),IFERROR(INDEX(Reference!$B$84:$B$86,MATCH(MOD(C45-6,3),Reference!$A$84:$A$86,0)),"Low"))="No Throw",0,IF(IF(C45&lt;=5,IFERROR(INDEX(Reference!$B$73:$B$78,MATCH(C45,Reference!$A$73:$A$78,0)),"Low"),IFERROR(INDEX(Reference!$B$84:$B$86,MATCH(MOD(C45-6,3),Reference!$A$84:$A$86,0)),"Low"))="Low",1,IF(IF(C45&lt;=5,IFERROR(INDEX(Reference!$B$73:$B$78,MATCH(C45,Reference!$A$73:$A$78,0)),"Low"),IFERROR(INDEX(Reference!$B$84:$B$86,MATCH(MOD(C45-6,3),Reference!$A$84:$A$86,0)),"Low"))="Medium",2,IF(OR(IF(C45&lt;=5,IFERROR(INDEX(Reference!$B$73:$B$78,MATCH(C45,Reference!$A$73:$A$78,0)),"Low"),IFERROR(INDEX(Reference!$B$84:$B$86,MATCH(MOD(C45-6,3),Reference!$A$84:$A$86,0)),"Low"))="High Non-Bullpen",IF(C45&lt;=5,IFERROR(INDEX(Reference!$B$73:$B$78,MATCH(C45,Reference!$A$73:$A$78,0)),"Low"),IFERROR(INDEX(Reference!$B$84:$B$86,MATCH(MOD(C45-6,3),Reference!$A$84:$A$86,0)),"Low"))="High Bullpen"),3,4)))),0,IF(IF(R45="No Throw",0,IF(R45="Low",1,IF(R45="Medium",2,IF(OR(R45="High Non-Bullpen",R45="High Bullpen"),3,4))))&gt;IF(IF(C45&lt;=5,IFERROR(INDEX(Reference!$B$73:$B$78,MATCH(C45,Reference!$A$73:$A$78,0)),"Low"),IFERROR(INDEX(Reference!$B$84:$B$86,MATCH(MOD(C45-6,3),Reference!$A$84:$A$86,0)),"Low"))="No Throw",0,IF(IF(C45&lt;=5,IFERROR(INDEX(Reference!$B$73:$B$78,MATCH(C45,Reference!$A$73:$A$78,0)),"Low"),IFERROR(INDEX(Reference!$B$84:$B$86,MATCH(MOD(C45-6,3),Reference!$A$84:$A$86,0)),"Low"))="Low",1,IF(IF(C45&lt;=5,IFERROR(INDEX(Reference!$B$73:$B$78,MATCH(C45,Reference!$A$73:$A$78,0)),"Low"),IFERROR(INDEX(Reference!$B$84:$B$86,MATCH(MOD(C45-6,3),Reference!$A$84:$A$86,0)),"Low"))="Medium",2,IF(OR(IF(C45&lt;=5,IFERROR(INDEX(Reference!$B$73:$B$78,MATCH(C45,Reference!$A$73:$A$78,0)),"Low"),IFERROR(INDEX(Reference!$B$84:$B$86,MATCH(MOD(C45-6,3),Reference!$A$84:$A$86,0)),"Low"))="High Non-Bullpen",IF(C45&lt;=5,IFERROR(INDEX(Reference!$B$73:$B$78,MATCH(C45,Reference!$A$73:$A$78,0)),"Low"),IFERROR(INDEX(Reference!$B$84:$B$86,MATCH(MOD(C45-6,3),Reference!$A$84:$A$86,0)),"Low"))="High Bullpen"),3,4)))),-1,1))))</f>
        <v/>
      </c>
      <c r="N46" s="32">
        <f t="shared" ca="1" si="7"/>
        <v>1</v>
      </c>
      <c r="O46" s="32" t="str">
        <f t="shared" ca="1" si="8"/>
        <v/>
      </c>
      <c r="P46" s="32" t="str">
        <f t="shared" ca="1" si="9"/>
        <v/>
      </c>
      <c r="Q46" s="32" t="str">
        <f t="shared" ca="1" si="10"/>
        <v/>
      </c>
      <c r="R46" s="32" t="str">
        <f t="shared" ca="1" si="11"/>
        <v/>
      </c>
      <c r="S46" s="47" t="str">
        <f ca="1">IFERROR(IF(R46="","",IF(R46="No Throw","Full rest — no throwing today.",IF(R46="Low",CONCATENATE(IF('Day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mph"),IF(R46="Medium",CONCATENATE(IF('Day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mph"),IF(R46="High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mph"),IF(R46="High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46" s="37"/>
    </row>
    <row r="47" spans="1:20" x14ac:dyDescent="0.3">
      <c r="A47" s="35" t="str">
        <f ca="1">IF($B$7+20&lt;$B$6,$B$7+20,"")</f>
        <v/>
      </c>
      <c r="B47" s="32" t="str">
        <f t="shared" ca="1" si="0"/>
        <v/>
      </c>
      <c r="C47" s="32" t="str">
        <f t="shared" ca="1" si="1"/>
        <v/>
      </c>
      <c r="D47" s="32" t="str">
        <f ca="1">IF(A47="","",IF(AND(T47&lt;&gt;"",T47&lt;&gt;"(none)"),T47,IF(C47&lt;=5,IFERROR(INDEX(Reference!$B$73:$B$78,MATCH(C47,Reference!$A$73:$A$78,0)),"Low"),IFERROR(INDEX(Reference!$B$84:$B$86,MATCH(MOD(C47-6,3),Reference!$A$84:$A$86,0)),"Low"))))</f>
        <v/>
      </c>
      <c r="E47" s="32" t="str">
        <f t="shared" ca="1" si="2"/>
        <v/>
      </c>
      <c r="F47" s="48" t="str">
        <f t="shared" ca="1" si="3"/>
        <v/>
      </c>
      <c r="G47" s="32" t="str">
        <f t="shared" ca="1" si="4"/>
        <v/>
      </c>
      <c r="H47" s="32" t="str">
        <f t="shared" ca="1" si="12"/>
        <v/>
      </c>
      <c r="I47" s="30" t="str">
        <f ca="1">IF(H47="","",IFERROR(INDEX('Day Type Templates'!$B$49:$B$53,MATCH(H47,'Day Type Templates'!$A$49:$A$53,0)),""))</f>
        <v/>
      </c>
      <c r="J47" s="30" t="str">
        <f ca="1">IF(F47="","",SUMIFS('Throw Log'!$Q$5:$Q$300,'Throw Log'!$B$5:$B$300,$B$4,'Throw Log'!$A$5:$A$300,F47))</f>
        <v/>
      </c>
      <c r="K47" s="46">
        <f t="shared" ca="1" si="5"/>
        <v>1</v>
      </c>
      <c r="L47" s="32">
        <f t="shared" ca="1" si="6"/>
        <v>0</v>
      </c>
      <c r="M47" s="32" t="str">
        <f ca="1">IF(A47="","",IF(R46="","",IF(IF(R46="No Throw",0,IF(R46="Low",1,IF(R46="Medium",2,IF(OR(R46="High Non-Bullpen",R46="High Bullpen"),3,4))))=IF(IF(C46&lt;=5,IFERROR(INDEX(Reference!$B$73:$B$78,MATCH(C46,Reference!$A$73:$A$78,0)),"Low"),IFERROR(INDEX(Reference!$B$84:$B$86,MATCH(MOD(C46-6,3),Reference!$A$84:$A$86,0)),"Low"))="No Throw",0,IF(IF(C46&lt;=5,IFERROR(INDEX(Reference!$B$73:$B$78,MATCH(C46,Reference!$A$73:$A$78,0)),"Low"),IFERROR(INDEX(Reference!$B$84:$B$86,MATCH(MOD(C46-6,3),Reference!$A$84:$A$86,0)),"Low"))="Low",1,IF(IF(C46&lt;=5,IFERROR(INDEX(Reference!$B$73:$B$78,MATCH(C46,Reference!$A$73:$A$78,0)),"Low"),IFERROR(INDEX(Reference!$B$84:$B$86,MATCH(MOD(C46-6,3),Reference!$A$84:$A$86,0)),"Low"))="Medium",2,IF(OR(IF(C46&lt;=5,IFERROR(INDEX(Reference!$B$73:$B$78,MATCH(C46,Reference!$A$73:$A$78,0)),"Low"),IFERROR(INDEX(Reference!$B$84:$B$86,MATCH(MOD(C46-6,3),Reference!$A$84:$A$86,0)),"Low"))="High Non-Bullpen",IF(C46&lt;=5,IFERROR(INDEX(Reference!$B$73:$B$78,MATCH(C46,Reference!$A$73:$A$78,0)),"Low"),IFERROR(INDEX(Reference!$B$84:$B$86,MATCH(MOD(C46-6,3),Reference!$A$84:$A$86,0)),"Low"))="High Bullpen"),3,4)))),0,IF(IF(R46="No Throw",0,IF(R46="Low",1,IF(R46="Medium",2,IF(OR(R46="High Non-Bullpen",R46="High Bullpen"),3,4))))&gt;IF(IF(C46&lt;=5,IFERROR(INDEX(Reference!$B$73:$B$78,MATCH(C46,Reference!$A$73:$A$78,0)),"Low"),IFERROR(INDEX(Reference!$B$84:$B$86,MATCH(MOD(C46-6,3),Reference!$A$84:$A$86,0)),"Low"))="No Throw",0,IF(IF(C46&lt;=5,IFERROR(INDEX(Reference!$B$73:$B$78,MATCH(C46,Reference!$A$73:$A$78,0)),"Low"),IFERROR(INDEX(Reference!$B$84:$B$86,MATCH(MOD(C46-6,3),Reference!$A$84:$A$86,0)),"Low"))="Low",1,IF(IF(C46&lt;=5,IFERROR(INDEX(Reference!$B$73:$B$78,MATCH(C46,Reference!$A$73:$A$78,0)),"Low"),IFERROR(INDEX(Reference!$B$84:$B$86,MATCH(MOD(C46-6,3),Reference!$A$84:$A$86,0)),"Low"))="Medium",2,IF(OR(IF(C46&lt;=5,IFERROR(INDEX(Reference!$B$73:$B$78,MATCH(C46,Reference!$A$73:$A$78,0)),"Low"),IFERROR(INDEX(Reference!$B$84:$B$86,MATCH(MOD(C46-6,3),Reference!$A$84:$A$86,0)),"Low"))="High Non-Bullpen",IF(C46&lt;=5,IFERROR(INDEX(Reference!$B$73:$B$78,MATCH(C46,Reference!$A$73:$A$78,0)),"Low"),IFERROR(INDEX(Reference!$B$84:$B$86,MATCH(MOD(C46-6,3),Reference!$A$84:$A$86,0)),"Low"))="High Bullpen"),3,4)))),-1,1))))</f>
        <v/>
      </c>
      <c r="N47" s="32">
        <f t="shared" ca="1" si="7"/>
        <v>1</v>
      </c>
      <c r="O47" s="32" t="str">
        <f t="shared" ca="1" si="8"/>
        <v/>
      </c>
      <c r="P47" s="32" t="str">
        <f t="shared" ca="1" si="9"/>
        <v/>
      </c>
      <c r="Q47" s="32" t="str">
        <f t="shared" ca="1" si="10"/>
        <v/>
      </c>
      <c r="R47" s="32" t="str">
        <f t="shared" ca="1" si="11"/>
        <v/>
      </c>
      <c r="S47" s="47" t="str">
        <f ca="1">IFERROR(IF(R47="","",IF(R47="No Throw","Full rest — no throwing today.",IF(R47="Low",CONCATENATE(IF('Day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mph"),IF(R47="Medium",CONCATENATE(IF('Day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mph"),IF(R47="High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mph"),IF(R47="High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47" s="37"/>
    </row>
    <row r="48" spans="1:20" x14ac:dyDescent="0.3">
      <c r="A48" s="35" t="str">
        <f ca="1">IF($B$7+21&lt;$B$6,$B$7+21,"")</f>
        <v/>
      </c>
      <c r="B48" s="32" t="str">
        <f t="shared" ca="1" si="0"/>
        <v/>
      </c>
      <c r="C48" s="32" t="str">
        <f t="shared" ca="1" si="1"/>
        <v/>
      </c>
      <c r="D48" s="32" t="str">
        <f ca="1">IF(A48="","",IF(AND(T48&lt;&gt;"",T48&lt;&gt;"(none)"),T48,IF(C48&lt;=5,IFERROR(INDEX(Reference!$B$73:$B$78,MATCH(C48,Reference!$A$73:$A$78,0)),"Low"),IFERROR(INDEX(Reference!$B$84:$B$86,MATCH(MOD(C48-6,3),Reference!$A$84:$A$86,0)),"Low"))))</f>
        <v/>
      </c>
      <c r="E48" s="32" t="str">
        <f t="shared" ca="1" si="2"/>
        <v/>
      </c>
      <c r="F48" s="48" t="str">
        <f t="shared" ca="1" si="3"/>
        <v/>
      </c>
      <c r="G48" s="32" t="str">
        <f t="shared" ca="1" si="4"/>
        <v/>
      </c>
      <c r="H48" s="32" t="str">
        <f t="shared" ca="1" si="12"/>
        <v/>
      </c>
      <c r="I48" s="30" t="str">
        <f ca="1">IF(H48="","",IFERROR(INDEX('Day Type Templates'!$B$49:$B$53,MATCH(H48,'Day Type Templates'!$A$49:$A$53,0)),""))</f>
        <v/>
      </c>
      <c r="J48" s="30" t="str">
        <f ca="1">IF(F48="","",SUMIFS('Throw Log'!$Q$5:$Q$300,'Throw Log'!$B$5:$B$300,$B$4,'Throw Log'!$A$5:$A$300,F48))</f>
        <v/>
      </c>
      <c r="K48" s="46">
        <f t="shared" ca="1" si="5"/>
        <v>1</v>
      </c>
      <c r="L48" s="32">
        <f t="shared" ca="1" si="6"/>
        <v>0</v>
      </c>
      <c r="M48" s="32" t="str">
        <f ca="1">IF(A48="","",IF(R47="","",IF(IF(R47="No Throw",0,IF(R47="Low",1,IF(R47="Medium",2,IF(OR(R47="High Non-Bullpen",R47="High Bullpen"),3,4))))=IF(IF(C47&lt;=5,IFERROR(INDEX(Reference!$B$73:$B$78,MATCH(C47,Reference!$A$73:$A$78,0)),"Low"),IFERROR(INDEX(Reference!$B$84:$B$86,MATCH(MOD(C47-6,3),Reference!$A$84:$A$86,0)),"Low"))="No Throw",0,IF(IF(C47&lt;=5,IFERROR(INDEX(Reference!$B$73:$B$78,MATCH(C47,Reference!$A$73:$A$78,0)),"Low"),IFERROR(INDEX(Reference!$B$84:$B$86,MATCH(MOD(C47-6,3),Reference!$A$84:$A$86,0)),"Low"))="Low",1,IF(IF(C47&lt;=5,IFERROR(INDEX(Reference!$B$73:$B$78,MATCH(C47,Reference!$A$73:$A$78,0)),"Low"),IFERROR(INDEX(Reference!$B$84:$B$86,MATCH(MOD(C47-6,3),Reference!$A$84:$A$86,0)),"Low"))="Medium",2,IF(OR(IF(C47&lt;=5,IFERROR(INDEX(Reference!$B$73:$B$78,MATCH(C47,Reference!$A$73:$A$78,0)),"Low"),IFERROR(INDEX(Reference!$B$84:$B$86,MATCH(MOD(C47-6,3),Reference!$A$84:$A$86,0)),"Low"))="High Non-Bullpen",IF(C47&lt;=5,IFERROR(INDEX(Reference!$B$73:$B$78,MATCH(C47,Reference!$A$73:$A$78,0)),"Low"),IFERROR(INDEX(Reference!$B$84:$B$86,MATCH(MOD(C47-6,3),Reference!$A$84:$A$86,0)),"Low"))="High Bullpen"),3,4)))),0,IF(IF(R47="No Throw",0,IF(R47="Low",1,IF(R47="Medium",2,IF(OR(R47="High Non-Bullpen",R47="High Bullpen"),3,4))))&gt;IF(IF(C47&lt;=5,IFERROR(INDEX(Reference!$B$73:$B$78,MATCH(C47,Reference!$A$73:$A$78,0)),"Low"),IFERROR(INDEX(Reference!$B$84:$B$86,MATCH(MOD(C47-6,3),Reference!$A$84:$A$86,0)),"Low"))="No Throw",0,IF(IF(C47&lt;=5,IFERROR(INDEX(Reference!$B$73:$B$78,MATCH(C47,Reference!$A$73:$A$78,0)),"Low"),IFERROR(INDEX(Reference!$B$84:$B$86,MATCH(MOD(C47-6,3),Reference!$A$84:$A$86,0)),"Low"))="Low",1,IF(IF(C47&lt;=5,IFERROR(INDEX(Reference!$B$73:$B$78,MATCH(C47,Reference!$A$73:$A$78,0)),"Low"),IFERROR(INDEX(Reference!$B$84:$B$86,MATCH(MOD(C47-6,3),Reference!$A$84:$A$86,0)),"Low"))="Medium",2,IF(OR(IF(C47&lt;=5,IFERROR(INDEX(Reference!$B$73:$B$78,MATCH(C47,Reference!$A$73:$A$78,0)),"Low"),IFERROR(INDEX(Reference!$B$84:$B$86,MATCH(MOD(C47-6,3),Reference!$A$84:$A$86,0)),"Low"))="High Non-Bullpen",IF(C47&lt;=5,IFERROR(INDEX(Reference!$B$73:$B$78,MATCH(C47,Reference!$A$73:$A$78,0)),"Low"),IFERROR(INDEX(Reference!$B$84:$B$86,MATCH(MOD(C47-6,3),Reference!$A$84:$A$86,0)),"Low"))="High Bullpen"),3,4)))),-1,1))))</f>
        <v/>
      </c>
      <c r="N48" s="32">
        <f t="shared" ca="1" si="7"/>
        <v>1</v>
      </c>
      <c r="O48" s="32" t="str">
        <f t="shared" ca="1" si="8"/>
        <v/>
      </c>
      <c r="P48" s="32" t="str">
        <f t="shared" ca="1" si="9"/>
        <v/>
      </c>
      <c r="Q48" s="32" t="str">
        <f t="shared" ca="1" si="10"/>
        <v/>
      </c>
      <c r="R48" s="32" t="str">
        <f t="shared" ca="1" si="11"/>
        <v/>
      </c>
      <c r="S48" s="47" t="str">
        <f ca="1">IFERROR(IF(R48="","",IF(R48="No Throw","Full rest — no throwing today.",IF(R48="Low",CONCATENATE(IF('Day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mph"),IF(R48="Medium",CONCATENATE(IF('Day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mph"),IF(R48="High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mph"),IF(R48="High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48" s="37"/>
    </row>
    <row r="49" spans="1:20" x14ac:dyDescent="0.3">
      <c r="A49" s="35" t="str">
        <f ca="1">IF($B$7+22&lt;$B$6,$B$7+22,"")</f>
        <v/>
      </c>
      <c r="B49" s="32" t="str">
        <f t="shared" ca="1" si="0"/>
        <v/>
      </c>
      <c r="C49" s="32" t="str">
        <f t="shared" ca="1" si="1"/>
        <v/>
      </c>
      <c r="D49" s="32" t="str">
        <f ca="1">IF(A49="","",IF(AND(T49&lt;&gt;"",T49&lt;&gt;"(none)"),T49,IF(C49&lt;=5,IFERROR(INDEX(Reference!$B$73:$B$78,MATCH(C49,Reference!$A$73:$A$78,0)),"Low"),IFERROR(INDEX(Reference!$B$84:$B$86,MATCH(MOD(C49-6,3),Reference!$A$84:$A$86,0)),"Low"))))</f>
        <v/>
      </c>
      <c r="E49" s="32" t="str">
        <f t="shared" ca="1" si="2"/>
        <v/>
      </c>
      <c r="F49" s="48" t="str">
        <f t="shared" ca="1" si="3"/>
        <v/>
      </c>
      <c r="G49" s="32" t="str">
        <f t="shared" ca="1" si="4"/>
        <v/>
      </c>
      <c r="H49" s="32" t="str">
        <f t="shared" ca="1" si="12"/>
        <v/>
      </c>
      <c r="I49" s="30" t="str">
        <f ca="1">IF(H49="","",IFERROR(INDEX('Day Type Templates'!$B$49:$B$53,MATCH(H49,'Day Type Templates'!$A$49:$A$53,0)),""))</f>
        <v/>
      </c>
      <c r="J49" s="30" t="str">
        <f ca="1">IF(F49="","",SUMIFS('Throw Log'!$Q$5:$Q$300,'Throw Log'!$B$5:$B$300,$B$4,'Throw Log'!$A$5:$A$300,F49))</f>
        <v/>
      </c>
      <c r="K49" s="46">
        <f t="shared" ca="1" si="5"/>
        <v>1</v>
      </c>
      <c r="L49" s="32">
        <f t="shared" ca="1" si="6"/>
        <v>0</v>
      </c>
      <c r="M49" s="32" t="str">
        <f ca="1">IF(A49="","",IF(R48="","",IF(IF(R48="No Throw",0,IF(R48="Low",1,IF(R48="Medium",2,IF(OR(R48="High Non-Bullpen",R48="High Bullpen"),3,4))))=IF(IF(C48&lt;=5,IFERROR(INDEX(Reference!$B$73:$B$78,MATCH(C48,Reference!$A$73:$A$78,0)),"Low"),IFERROR(INDEX(Reference!$B$84:$B$86,MATCH(MOD(C48-6,3),Reference!$A$84:$A$86,0)),"Low"))="No Throw",0,IF(IF(C48&lt;=5,IFERROR(INDEX(Reference!$B$73:$B$78,MATCH(C48,Reference!$A$73:$A$78,0)),"Low"),IFERROR(INDEX(Reference!$B$84:$B$86,MATCH(MOD(C48-6,3),Reference!$A$84:$A$86,0)),"Low"))="Low",1,IF(IF(C48&lt;=5,IFERROR(INDEX(Reference!$B$73:$B$78,MATCH(C48,Reference!$A$73:$A$78,0)),"Low"),IFERROR(INDEX(Reference!$B$84:$B$86,MATCH(MOD(C48-6,3),Reference!$A$84:$A$86,0)),"Low"))="Medium",2,IF(OR(IF(C48&lt;=5,IFERROR(INDEX(Reference!$B$73:$B$78,MATCH(C48,Reference!$A$73:$A$78,0)),"Low"),IFERROR(INDEX(Reference!$B$84:$B$86,MATCH(MOD(C48-6,3),Reference!$A$84:$A$86,0)),"Low"))="High Non-Bullpen",IF(C48&lt;=5,IFERROR(INDEX(Reference!$B$73:$B$78,MATCH(C48,Reference!$A$73:$A$78,0)),"Low"),IFERROR(INDEX(Reference!$B$84:$B$86,MATCH(MOD(C48-6,3),Reference!$A$84:$A$86,0)),"Low"))="High Bullpen"),3,4)))),0,IF(IF(R48="No Throw",0,IF(R48="Low",1,IF(R48="Medium",2,IF(OR(R48="High Non-Bullpen",R48="High Bullpen"),3,4))))&gt;IF(IF(C48&lt;=5,IFERROR(INDEX(Reference!$B$73:$B$78,MATCH(C48,Reference!$A$73:$A$78,0)),"Low"),IFERROR(INDEX(Reference!$B$84:$B$86,MATCH(MOD(C48-6,3),Reference!$A$84:$A$86,0)),"Low"))="No Throw",0,IF(IF(C48&lt;=5,IFERROR(INDEX(Reference!$B$73:$B$78,MATCH(C48,Reference!$A$73:$A$78,0)),"Low"),IFERROR(INDEX(Reference!$B$84:$B$86,MATCH(MOD(C48-6,3),Reference!$A$84:$A$86,0)),"Low"))="Low",1,IF(IF(C48&lt;=5,IFERROR(INDEX(Reference!$B$73:$B$78,MATCH(C48,Reference!$A$73:$A$78,0)),"Low"),IFERROR(INDEX(Reference!$B$84:$B$86,MATCH(MOD(C48-6,3),Reference!$A$84:$A$86,0)),"Low"))="Medium",2,IF(OR(IF(C48&lt;=5,IFERROR(INDEX(Reference!$B$73:$B$78,MATCH(C48,Reference!$A$73:$A$78,0)),"Low"),IFERROR(INDEX(Reference!$B$84:$B$86,MATCH(MOD(C48-6,3),Reference!$A$84:$A$86,0)),"Low"))="High Non-Bullpen",IF(C48&lt;=5,IFERROR(INDEX(Reference!$B$73:$B$78,MATCH(C48,Reference!$A$73:$A$78,0)),"Low"),IFERROR(INDEX(Reference!$B$84:$B$86,MATCH(MOD(C48-6,3),Reference!$A$84:$A$86,0)),"Low"))="High Bullpen"),3,4)))),-1,1))))</f>
        <v/>
      </c>
      <c r="N49" s="32">
        <f t="shared" ca="1" si="7"/>
        <v>1</v>
      </c>
      <c r="O49" s="32" t="str">
        <f t="shared" ca="1" si="8"/>
        <v/>
      </c>
      <c r="P49" s="32" t="str">
        <f t="shared" ca="1" si="9"/>
        <v/>
      </c>
      <c r="Q49" s="32" t="str">
        <f t="shared" ca="1" si="10"/>
        <v/>
      </c>
      <c r="R49" s="32" t="str">
        <f t="shared" ca="1" si="11"/>
        <v/>
      </c>
      <c r="S49" s="47" t="str">
        <f ca="1">IFERROR(IF(R49="","",IF(R49="No Throw","Full rest — no throwing today.",IF(R49="Low",CONCATENATE(IF('Day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mph"),IF(R49="Medium",CONCATENATE(IF('Day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mph"),IF(R49="High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mph"),IF(R49="High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49" s="37"/>
    </row>
    <row r="50" spans="1:20" x14ac:dyDescent="0.3">
      <c r="A50" s="35" t="str">
        <f ca="1">IF($B$7+23&lt;$B$6,$B$7+23,"")</f>
        <v/>
      </c>
      <c r="B50" s="32" t="str">
        <f t="shared" ca="1" si="0"/>
        <v/>
      </c>
      <c r="C50" s="32" t="str">
        <f t="shared" ca="1" si="1"/>
        <v/>
      </c>
      <c r="D50" s="32" t="str">
        <f ca="1">IF(A50="","",IF(AND(T50&lt;&gt;"",T50&lt;&gt;"(none)"),T50,IF(C50&lt;=5,IFERROR(INDEX(Reference!$B$73:$B$78,MATCH(C50,Reference!$A$73:$A$78,0)),"Low"),IFERROR(INDEX(Reference!$B$84:$B$86,MATCH(MOD(C50-6,3),Reference!$A$84:$A$86,0)),"Low"))))</f>
        <v/>
      </c>
      <c r="E50" s="32" t="str">
        <f t="shared" ca="1" si="2"/>
        <v/>
      </c>
      <c r="F50" s="48" t="str">
        <f t="shared" ca="1" si="3"/>
        <v/>
      </c>
      <c r="G50" s="32" t="str">
        <f t="shared" ca="1" si="4"/>
        <v/>
      </c>
      <c r="H50" s="32" t="str">
        <f t="shared" ca="1" si="12"/>
        <v/>
      </c>
      <c r="I50" s="30" t="str">
        <f ca="1">IF(H50="","",IFERROR(INDEX('Day Type Templates'!$B$49:$B$53,MATCH(H50,'Day Type Templates'!$A$49:$A$53,0)),""))</f>
        <v/>
      </c>
      <c r="J50" s="30" t="str">
        <f ca="1">IF(F50="","",SUMIFS('Throw Log'!$Q$5:$Q$300,'Throw Log'!$B$5:$B$300,$B$4,'Throw Log'!$A$5:$A$300,F50))</f>
        <v/>
      </c>
      <c r="K50" s="46">
        <f t="shared" ca="1" si="5"/>
        <v>1</v>
      </c>
      <c r="L50" s="32">
        <f t="shared" ca="1" si="6"/>
        <v>0</v>
      </c>
      <c r="M50" s="32" t="str">
        <f ca="1">IF(A50="","",IF(R49="","",IF(IF(R49="No Throw",0,IF(R49="Low",1,IF(R49="Medium",2,IF(OR(R49="High Non-Bullpen",R49="High Bullpen"),3,4))))=IF(IF(C49&lt;=5,IFERROR(INDEX(Reference!$B$73:$B$78,MATCH(C49,Reference!$A$73:$A$78,0)),"Low"),IFERROR(INDEX(Reference!$B$84:$B$86,MATCH(MOD(C49-6,3),Reference!$A$84:$A$86,0)),"Low"))="No Throw",0,IF(IF(C49&lt;=5,IFERROR(INDEX(Reference!$B$73:$B$78,MATCH(C49,Reference!$A$73:$A$78,0)),"Low"),IFERROR(INDEX(Reference!$B$84:$B$86,MATCH(MOD(C49-6,3),Reference!$A$84:$A$86,0)),"Low"))="Low",1,IF(IF(C49&lt;=5,IFERROR(INDEX(Reference!$B$73:$B$78,MATCH(C49,Reference!$A$73:$A$78,0)),"Low"),IFERROR(INDEX(Reference!$B$84:$B$86,MATCH(MOD(C49-6,3),Reference!$A$84:$A$86,0)),"Low"))="Medium",2,IF(OR(IF(C49&lt;=5,IFERROR(INDEX(Reference!$B$73:$B$78,MATCH(C49,Reference!$A$73:$A$78,0)),"Low"),IFERROR(INDEX(Reference!$B$84:$B$86,MATCH(MOD(C49-6,3),Reference!$A$84:$A$86,0)),"Low"))="High Non-Bullpen",IF(C49&lt;=5,IFERROR(INDEX(Reference!$B$73:$B$78,MATCH(C49,Reference!$A$73:$A$78,0)),"Low"),IFERROR(INDEX(Reference!$B$84:$B$86,MATCH(MOD(C49-6,3),Reference!$A$84:$A$86,0)),"Low"))="High Bullpen"),3,4)))),0,IF(IF(R49="No Throw",0,IF(R49="Low",1,IF(R49="Medium",2,IF(OR(R49="High Non-Bullpen",R49="High Bullpen"),3,4))))&gt;IF(IF(C49&lt;=5,IFERROR(INDEX(Reference!$B$73:$B$78,MATCH(C49,Reference!$A$73:$A$78,0)),"Low"),IFERROR(INDEX(Reference!$B$84:$B$86,MATCH(MOD(C49-6,3),Reference!$A$84:$A$86,0)),"Low"))="No Throw",0,IF(IF(C49&lt;=5,IFERROR(INDEX(Reference!$B$73:$B$78,MATCH(C49,Reference!$A$73:$A$78,0)),"Low"),IFERROR(INDEX(Reference!$B$84:$B$86,MATCH(MOD(C49-6,3),Reference!$A$84:$A$86,0)),"Low"))="Low",1,IF(IF(C49&lt;=5,IFERROR(INDEX(Reference!$B$73:$B$78,MATCH(C49,Reference!$A$73:$A$78,0)),"Low"),IFERROR(INDEX(Reference!$B$84:$B$86,MATCH(MOD(C49-6,3),Reference!$A$84:$A$86,0)),"Low"))="Medium",2,IF(OR(IF(C49&lt;=5,IFERROR(INDEX(Reference!$B$73:$B$78,MATCH(C49,Reference!$A$73:$A$78,0)),"Low"),IFERROR(INDEX(Reference!$B$84:$B$86,MATCH(MOD(C49-6,3),Reference!$A$84:$A$86,0)),"Low"))="High Non-Bullpen",IF(C49&lt;=5,IFERROR(INDEX(Reference!$B$73:$B$78,MATCH(C49,Reference!$A$73:$A$78,0)),"Low"),IFERROR(INDEX(Reference!$B$84:$B$86,MATCH(MOD(C49-6,3),Reference!$A$84:$A$86,0)),"Low"))="High Bullpen"),3,4)))),-1,1))))</f>
        <v/>
      </c>
      <c r="N50" s="32">
        <f t="shared" ca="1" si="7"/>
        <v>1</v>
      </c>
      <c r="O50" s="32" t="str">
        <f t="shared" ca="1" si="8"/>
        <v/>
      </c>
      <c r="P50" s="32" t="str">
        <f t="shared" ca="1" si="9"/>
        <v/>
      </c>
      <c r="Q50" s="32" t="str">
        <f t="shared" ca="1" si="10"/>
        <v/>
      </c>
      <c r="R50" s="32" t="str">
        <f t="shared" ca="1" si="11"/>
        <v/>
      </c>
      <c r="S50" s="47" t="str">
        <f ca="1">IFERROR(IF(R50="","",IF(R50="No Throw","Full rest — no throwing today.",IF(R50="Low",CONCATENATE(IF('Day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mph"),IF(R50="Medium",CONCATENATE(IF('Day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mph"),IF(R50="High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mph"),IF(R50="High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50" s="37"/>
    </row>
    <row r="51" spans="1:20" x14ac:dyDescent="0.3">
      <c r="A51" s="35" t="str">
        <f ca="1">IF($B$7+24&lt;$B$6,$B$7+24,"")</f>
        <v/>
      </c>
      <c r="B51" s="32" t="str">
        <f t="shared" ca="1" si="0"/>
        <v/>
      </c>
      <c r="C51" s="32" t="str">
        <f t="shared" ca="1" si="1"/>
        <v/>
      </c>
      <c r="D51" s="32" t="str">
        <f ca="1">IF(A51="","",IF(AND(T51&lt;&gt;"",T51&lt;&gt;"(none)"),T51,IF(C51&lt;=5,IFERROR(INDEX(Reference!$B$73:$B$78,MATCH(C51,Reference!$A$73:$A$78,0)),"Low"),IFERROR(INDEX(Reference!$B$84:$B$86,MATCH(MOD(C51-6,3),Reference!$A$84:$A$86,0)),"Low"))))</f>
        <v/>
      </c>
      <c r="E51" s="32" t="str">
        <f t="shared" ca="1" si="2"/>
        <v/>
      </c>
      <c r="F51" s="48" t="str">
        <f t="shared" ca="1" si="3"/>
        <v/>
      </c>
      <c r="G51" s="32" t="str">
        <f t="shared" ca="1" si="4"/>
        <v/>
      </c>
      <c r="H51" s="32" t="str">
        <f t="shared" ca="1" si="12"/>
        <v/>
      </c>
      <c r="I51" s="30" t="str">
        <f ca="1">IF(H51="","",IFERROR(INDEX('Day Type Templates'!$B$49:$B$53,MATCH(H51,'Day Type Templates'!$A$49:$A$53,0)),""))</f>
        <v/>
      </c>
      <c r="J51" s="30" t="str">
        <f ca="1">IF(F51="","",SUMIFS('Throw Log'!$Q$5:$Q$300,'Throw Log'!$B$5:$B$300,$B$4,'Throw Log'!$A$5:$A$300,F51))</f>
        <v/>
      </c>
      <c r="K51" s="46">
        <f t="shared" ca="1" si="5"/>
        <v>1</v>
      </c>
      <c r="L51" s="32">
        <f t="shared" ca="1" si="6"/>
        <v>0</v>
      </c>
      <c r="M51" s="32" t="str">
        <f ca="1">IF(A51="","",IF(R50="","",IF(IF(R50="No Throw",0,IF(R50="Low",1,IF(R50="Medium",2,IF(OR(R50="High Non-Bullpen",R50="High Bullpen"),3,4))))=IF(IF(C50&lt;=5,IFERROR(INDEX(Reference!$B$73:$B$78,MATCH(C50,Reference!$A$73:$A$78,0)),"Low"),IFERROR(INDEX(Reference!$B$84:$B$86,MATCH(MOD(C50-6,3),Reference!$A$84:$A$86,0)),"Low"))="No Throw",0,IF(IF(C50&lt;=5,IFERROR(INDEX(Reference!$B$73:$B$78,MATCH(C50,Reference!$A$73:$A$78,0)),"Low"),IFERROR(INDEX(Reference!$B$84:$B$86,MATCH(MOD(C50-6,3),Reference!$A$84:$A$86,0)),"Low"))="Low",1,IF(IF(C50&lt;=5,IFERROR(INDEX(Reference!$B$73:$B$78,MATCH(C50,Reference!$A$73:$A$78,0)),"Low"),IFERROR(INDEX(Reference!$B$84:$B$86,MATCH(MOD(C50-6,3),Reference!$A$84:$A$86,0)),"Low"))="Medium",2,IF(OR(IF(C50&lt;=5,IFERROR(INDEX(Reference!$B$73:$B$78,MATCH(C50,Reference!$A$73:$A$78,0)),"Low"),IFERROR(INDEX(Reference!$B$84:$B$86,MATCH(MOD(C50-6,3),Reference!$A$84:$A$86,0)),"Low"))="High Non-Bullpen",IF(C50&lt;=5,IFERROR(INDEX(Reference!$B$73:$B$78,MATCH(C50,Reference!$A$73:$A$78,0)),"Low"),IFERROR(INDEX(Reference!$B$84:$B$86,MATCH(MOD(C50-6,3),Reference!$A$84:$A$86,0)),"Low"))="High Bullpen"),3,4)))),0,IF(IF(R50="No Throw",0,IF(R50="Low",1,IF(R50="Medium",2,IF(OR(R50="High Non-Bullpen",R50="High Bullpen"),3,4))))&gt;IF(IF(C50&lt;=5,IFERROR(INDEX(Reference!$B$73:$B$78,MATCH(C50,Reference!$A$73:$A$78,0)),"Low"),IFERROR(INDEX(Reference!$B$84:$B$86,MATCH(MOD(C50-6,3),Reference!$A$84:$A$86,0)),"Low"))="No Throw",0,IF(IF(C50&lt;=5,IFERROR(INDEX(Reference!$B$73:$B$78,MATCH(C50,Reference!$A$73:$A$78,0)),"Low"),IFERROR(INDEX(Reference!$B$84:$B$86,MATCH(MOD(C50-6,3),Reference!$A$84:$A$86,0)),"Low"))="Low",1,IF(IF(C50&lt;=5,IFERROR(INDEX(Reference!$B$73:$B$78,MATCH(C50,Reference!$A$73:$A$78,0)),"Low"),IFERROR(INDEX(Reference!$B$84:$B$86,MATCH(MOD(C50-6,3),Reference!$A$84:$A$86,0)),"Low"))="Medium",2,IF(OR(IF(C50&lt;=5,IFERROR(INDEX(Reference!$B$73:$B$78,MATCH(C50,Reference!$A$73:$A$78,0)),"Low"),IFERROR(INDEX(Reference!$B$84:$B$86,MATCH(MOD(C50-6,3),Reference!$A$84:$A$86,0)),"Low"))="High Non-Bullpen",IF(C50&lt;=5,IFERROR(INDEX(Reference!$B$73:$B$78,MATCH(C50,Reference!$A$73:$A$78,0)),"Low"),IFERROR(INDEX(Reference!$B$84:$B$86,MATCH(MOD(C50-6,3),Reference!$A$84:$A$86,0)),"Low"))="High Bullpen"),3,4)))),-1,1))))</f>
        <v/>
      </c>
      <c r="N51" s="32">
        <f t="shared" ca="1" si="7"/>
        <v>1</v>
      </c>
      <c r="O51" s="32" t="str">
        <f t="shared" ca="1" si="8"/>
        <v/>
      </c>
      <c r="P51" s="32" t="str">
        <f t="shared" ca="1" si="9"/>
        <v/>
      </c>
      <c r="Q51" s="32" t="str">
        <f t="shared" ca="1" si="10"/>
        <v/>
      </c>
      <c r="R51" s="32" t="str">
        <f t="shared" ca="1" si="11"/>
        <v/>
      </c>
      <c r="S51" s="47" t="str">
        <f ca="1">IFERROR(IF(R51="","",IF(R51="No Throw","Full rest — no throwing today.",IF(R51="Low",CONCATENATE(IF('Day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mph"),IF(R51="Medium",CONCATENATE(IF('Day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mph"),IF(R51="High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mph"),IF(R51="High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51" s="37"/>
    </row>
    <row r="52" spans="1:20" x14ac:dyDescent="0.3">
      <c r="A52" s="35" t="str">
        <f ca="1">IF($B$7+25&lt;$B$6,$B$7+25,"")</f>
        <v/>
      </c>
      <c r="B52" s="32" t="str">
        <f t="shared" ca="1" si="0"/>
        <v/>
      </c>
      <c r="C52" s="32" t="str">
        <f t="shared" ca="1" si="1"/>
        <v/>
      </c>
      <c r="D52" s="32" t="str">
        <f ca="1">IF(A52="","",IF(AND(T52&lt;&gt;"",T52&lt;&gt;"(none)"),T52,IF(C52&lt;=5,IFERROR(INDEX(Reference!$B$73:$B$78,MATCH(C52,Reference!$A$73:$A$78,0)),"Low"),IFERROR(INDEX(Reference!$B$84:$B$86,MATCH(MOD(C52-6,3),Reference!$A$84:$A$86,0)),"Low"))))</f>
        <v/>
      </c>
      <c r="E52" s="32" t="str">
        <f t="shared" ca="1" si="2"/>
        <v/>
      </c>
      <c r="F52" s="48" t="str">
        <f t="shared" ca="1" si="3"/>
        <v/>
      </c>
      <c r="G52" s="32" t="str">
        <f t="shared" ca="1" si="4"/>
        <v/>
      </c>
      <c r="H52" s="32" t="str">
        <f t="shared" ca="1" si="12"/>
        <v/>
      </c>
      <c r="I52" s="30" t="str">
        <f ca="1">IF(H52="","",IFERROR(INDEX('Day Type Templates'!$B$49:$B$53,MATCH(H52,'Day Type Templates'!$A$49:$A$53,0)),""))</f>
        <v/>
      </c>
      <c r="J52" s="30" t="str">
        <f ca="1">IF(F52="","",SUMIFS('Throw Log'!$Q$5:$Q$300,'Throw Log'!$B$5:$B$300,$B$4,'Throw Log'!$A$5:$A$300,F52))</f>
        <v/>
      </c>
      <c r="K52" s="46">
        <f t="shared" ca="1" si="5"/>
        <v>1</v>
      </c>
      <c r="L52" s="32">
        <f t="shared" ca="1" si="6"/>
        <v>0</v>
      </c>
      <c r="M52" s="32" t="str">
        <f ca="1">IF(A52="","",IF(R51="","",IF(IF(R51="No Throw",0,IF(R51="Low",1,IF(R51="Medium",2,IF(OR(R51="High Non-Bullpen",R51="High Bullpen"),3,4))))=IF(IF(C51&lt;=5,IFERROR(INDEX(Reference!$B$73:$B$78,MATCH(C51,Reference!$A$73:$A$78,0)),"Low"),IFERROR(INDEX(Reference!$B$84:$B$86,MATCH(MOD(C51-6,3),Reference!$A$84:$A$86,0)),"Low"))="No Throw",0,IF(IF(C51&lt;=5,IFERROR(INDEX(Reference!$B$73:$B$78,MATCH(C51,Reference!$A$73:$A$78,0)),"Low"),IFERROR(INDEX(Reference!$B$84:$B$86,MATCH(MOD(C51-6,3),Reference!$A$84:$A$86,0)),"Low"))="Low",1,IF(IF(C51&lt;=5,IFERROR(INDEX(Reference!$B$73:$B$78,MATCH(C51,Reference!$A$73:$A$78,0)),"Low"),IFERROR(INDEX(Reference!$B$84:$B$86,MATCH(MOD(C51-6,3),Reference!$A$84:$A$86,0)),"Low"))="Medium",2,IF(OR(IF(C51&lt;=5,IFERROR(INDEX(Reference!$B$73:$B$78,MATCH(C51,Reference!$A$73:$A$78,0)),"Low"),IFERROR(INDEX(Reference!$B$84:$B$86,MATCH(MOD(C51-6,3),Reference!$A$84:$A$86,0)),"Low"))="High Non-Bullpen",IF(C51&lt;=5,IFERROR(INDEX(Reference!$B$73:$B$78,MATCH(C51,Reference!$A$73:$A$78,0)),"Low"),IFERROR(INDEX(Reference!$B$84:$B$86,MATCH(MOD(C51-6,3),Reference!$A$84:$A$86,0)),"Low"))="High Bullpen"),3,4)))),0,IF(IF(R51="No Throw",0,IF(R51="Low",1,IF(R51="Medium",2,IF(OR(R51="High Non-Bullpen",R51="High Bullpen"),3,4))))&gt;IF(IF(C51&lt;=5,IFERROR(INDEX(Reference!$B$73:$B$78,MATCH(C51,Reference!$A$73:$A$78,0)),"Low"),IFERROR(INDEX(Reference!$B$84:$B$86,MATCH(MOD(C51-6,3),Reference!$A$84:$A$86,0)),"Low"))="No Throw",0,IF(IF(C51&lt;=5,IFERROR(INDEX(Reference!$B$73:$B$78,MATCH(C51,Reference!$A$73:$A$78,0)),"Low"),IFERROR(INDEX(Reference!$B$84:$B$86,MATCH(MOD(C51-6,3),Reference!$A$84:$A$86,0)),"Low"))="Low",1,IF(IF(C51&lt;=5,IFERROR(INDEX(Reference!$B$73:$B$78,MATCH(C51,Reference!$A$73:$A$78,0)),"Low"),IFERROR(INDEX(Reference!$B$84:$B$86,MATCH(MOD(C51-6,3),Reference!$A$84:$A$86,0)),"Low"))="Medium",2,IF(OR(IF(C51&lt;=5,IFERROR(INDEX(Reference!$B$73:$B$78,MATCH(C51,Reference!$A$73:$A$78,0)),"Low"),IFERROR(INDEX(Reference!$B$84:$B$86,MATCH(MOD(C51-6,3),Reference!$A$84:$A$86,0)),"Low"))="High Non-Bullpen",IF(C51&lt;=5,IFERROR(INDEX(Reference!$B$73:$B$78,MATCH(C51,Reference!$A$73:$A$78,0)),"Low"),IFERROR(INDEX(Reference!$B$84:$B$86,MATCH(MOD(C51-6,3),Reference!$A$84:$A$86,0)),"Low"))="High Bullpen"),3,4)))),-1,1))))</f>
        <v/>
      </c>
      <c r="N52" s="32">
        <f t="shared" ca="1" si="7"/>
        <v>1</v>
      </c>
      <c r="O52" s="32" t="str">
        <f t="shared" ca="1" si="8"/>
        <v/>
      </c>
      <c r="P52" s="32" t="str">
        <f t="shared" ca="1" si="9"/>
        <v/>
      </c>
      <c r="Q52" s="32" t="str">
        <f t="shared" ca="1" si="10"/>
        <v/>
      </c>
      <c r="R52" s="32" t="str">
        <f t="shared" ca="1" si="11"/>
        <v/>
      </c>
      <c r="S52" s="47" t="str">
        <f ca="1">IFERROR(IF(R52="","",IF(R52="No Throw","Full rest — no throwing today.",IF(R52="Low",CONCATENATE(IF('Day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mph"),IF(R52="Medium",CONCATENATE(IF('Day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mph"),IF(R52="High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mph"),IF(R52="High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52" s="37"/>
    </row>
    <row r="53" spans="1:20" x14ac:dyDescent="0.3">
      <c r="A53" s="35" t="str">
        <f ca="1">IF($B$7+26&lt;$B$6,$B$7+26,"")</f>
        <v/>
      </c>
      <c r="B53" s="32" t="str">
        <f t="shared" ca="1" si="0"/>
        <v/>
      </c>
      <c r="C53" s="32" t="str">
        <f t="shared" ca="1" si="1"/>
        <v/>
      </c>
      <c r="D53" s="32" t="str">
        <f ca="1">IF(A53="","",IF(AND(T53&lt;&gt;"",T53&lt;&gt;"(none)"),T53,IF(C53&lt;=5,IFERROR(INDEX(Reference!$B$73:$B$78,MATCH(C53,Reference!$A$73:$A$78,0)),"Low"),IFERROR(INDEX(Reference!$B$84:$B$86,MATCH(MOD(C53-6,3),Reference!$A$84:$A$86,0)),"Low"))))</f>
        <v/>
      </c>
      <c r="E53" s="32" t="str">
        <f t="shared" ca="1" si="2"/>
        <v/>
      </c>
      <c r="F53" s="48" t="str">
        <f t="shared" ca="1" si="3"/>
        <v/>
      </c>
      <c r="G53" s="32" t="str">
        <f t="shared" ca="1" si="4"/>
        <v/>
      </c>
      <c r="H53" s="32" t="str">
        <f t="shared" ca="1" si="12"/>
        <v/>
      </c>
      <c r="I53" s="30" t="str">
        <f ca="1">IF(H53="","",IFERROR(INDEX('Day Type Templates'!$B$49:$B$53,MATCH(H53,'Day Type Templates'!$A$49:$A$53,0)),""))</f>
        <v/>
      </c>
      <c r="J53" s="30" t="str">
        <f ca="1">IF(F53="","",SUMIFS('Throw Log'!$Q$5:$Q$300,'Throw Log'!$B$5:$B$300,$B$4,'Throw Log'!$A$5:$A$300,F53))</f>
        <v/>
      </c>
      <c r="K53" s="46">
        <f t="shared" ca="1" si="5"/>
        <v>1</v>
      </c>
      <c r="L53" s="32">
        <f t="shared" ca="1" si="6"/>
        <v>0</v>
      </c>
      <c r="M53" s="32" t="str">
        <f ca="1">IF(A53="","",IF(R52="","",IF(IF(R52="No Throw",0,IF(R52="Low",1,IF(R52="Medium",2,IF(OR(R52="High Non-Bullpen",R52="High Bullpen"),3,4))))=IF(IF(C52&lt;=5,IFERROR(INDEX(Reference!$B$73:$B$78,MATCH(C52,Reference!$A$73:$A$78,0)),"Low"),IFERROR(INDEX(Reference!$B$84:$B$86,MATCH(MOD(C52-6,3),Reference!$A$84:$A$86,0)),"Low"))="No Throw",0,IF(IF(C52&lt;=5,IFERROR(INDEX(Reference!$B$73:$B$78,MATCH(C52,Reference!$A$73:$A$78,0)),"Low"),IFERROR(INDEX(Reference!$B$84:$B$86,MATCH(MOD(C52-6,3),Reference!$A$84:$A$86,0)),"Low"))="Low",1,IF(IF(C52&lt;=5,IFERROR(INDEX(Reference!$B$73:$B$78,MATCH(C52,Reference!$A$73:$A$78,0)),"Low"),IFERROR(INDEX(Reference!$B$84:$B$86,MATCH(MOD(C52-6,3),Reference!$A$84:$A$86,0)),"Low"))="Medium",2,IF(OR(IF(C52&lt;=5,IFERROR(INDEX(Reference!$B$73:$B$78,MATCH(C52,Reference!$A$73:$A$78,0)),"Low"),IFERROR(INDEX(Reference!$B$84:$B$86,MATCH(MOD(C52-6,3),Reference!$A$84:$A$86,0)),"Low"))="High Non-Bullpen",IF(C52&lt;=5,IFERROR(INDEX(Reference!$B$73:$B$78,MATCH(C52,Reference!$A$73:$A$78,0)),"Low"),IFERROR(INDEX(Reference!$B$84:$B$86,MATCH(MOD(C52-6,3),Reference!$A$84:$A$86,0)),"Low"))="High Bullpen"),3,4)))),0,IF(IF(R52="No Throw",0,IF(R52="Low",1,IF(R52="Medium",2,IF(OR(R52="High Non-Bullpen",R52="High Bullpen"),3,4))))&gt;IF(IF(C52&lt;=5,IFERROR(INDEX(Reference!$B$73:$B$78,MATCH(C52,Reference!$A$73:$A$78,0)),"Low"),IFERROR(INDEX(Reference!$B$84:$B$86,MATCH(MOD(C52-6,3),Reference!$A$84:$A$86,0)),"Low"))="No Throw",0,IF(IF(C52&lt;=5,IFERROR(INDEX(Reference!$B$73:$B$78,MATCH(C52,Reference!$A$73:$A$78,0)),"Low"),IFERROR(INDEX(Reference!$B$84:$B$86,MATCH(MOD(C52-6,3),Reference!$A$84:$A$86,0)),"Low"))="Low",1,IF(IF(C52&lt;=5,IFERROR(INDEX(Reference!$B$73:$B$78,MATCH(C52,Reference!$A$73:$A$78,0)),"Low"),IFERROR(INDEX(Reference!$B$84:$B$86,MATCH(MOD(C52-6,3),Reference!$A$84:$A$86,0)),"Low"))="Medium",2,IF(OR(IF(C52&lt;=5,IFERROR(INDEX(Reference!$B$73:$B$78,MATCH(C52,Reference!$A$73:$A$78,0)),"Low"),IFERROR(INDEX(Reference!$B$84:$B$86,MATCH(MOD(C52-6,3),Reference!$A$84:$A$86,0)),"Low"))="High Non-Bullpen",IF(C52&lt;=5,IFERROR(INDEX(Reference!$B$73:$B$78,MATCH(C52,Reference!$A$73:$A$78,0)),"Low"),IFERROR(INDEX(Reference!$B$84:$B$86,MATCH(MOD(C52-6,3),Reference!$A$84:$A$86,0)),"Low"))="High Bullpen"),3,4)))),-1,1))))</f>
        <v/>
      </c>
      <c r="N53" s="32">
        <f t="shared" ca="1" si="7"/>
        <v>1</v>
      </c>
      <c r="O53" s="32" t="str">
        <f t="shared" ca="1" si="8"/>
        <v/>
      </c>
      <c r="P53" s="32" t="str">
        <f t="shared" ca="1" si="9"/>
        <v/>
      </c>
      <c r="Q53" s="32" t="str">
        <f t="shared" ca="1" si="10"/>
        <v/>
      </c>
      <c r="R53" s="32" t="str">
        <f t="shared" ca="1" si="11"/>
        <v/>
      </c>
      <c r="S53" s="47" t="str">
        <f ca="1">IFERROR(IF(R53="","",IF(R53="No Throw","Full rest — no throwing today.",IF(R53="Low",CONCATENATE(IF('Day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mph"),IF(R53="Medium",CONCATENATE(IF('Day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mph"),IF(R53="High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mph"),IF(R53="High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53" s="37"/>
    </row>
    <row r="54" spans="1:20" x14ac:dyDescent="0.3">
      <c r="A54" s="35" t="str">
        <f ca="1">IF($B$7+27&lt;$B$6,$B$7+27,"")</f>
        <v/>
      </c>
      <c r="B54" s="32" t="str">
        <f t="shared" ca="1" si="0"/>
        <v/>
      </c>
      <c r="C54" s="32" t="str">
        <f t="shared" ca="1" si="1"/>
        <v/>
      </c>
      <c r="D54" s="32" t="str">
        <f ca="1">IF(A54="","",IF(AND(T54&lt;&gt;"",T54&lt;&gt;"(none)"),T54,IF(C54&lt;=5,IFERROR(INDEX(Reference!$B$73:$B$78,MATCH(C54,Reference!$A$73:$A$78,0)),"Low"),IFERROR(INDEX(Reference!$B$84:$B$86,MATCH(MOD(C54-6,3),Reference!$A$84:$A$86,0)),"Low"))))</f>
        <v/>
      </c>
      <c r="E54" s="32" t="str">
        <f t="shared" ca="1" si="2"/>
        <v/>
      </c>
      <c r="F54" s="48" t="str">
        <f t="shared" ca="1" si="3"/>
        <v/>
      </c>
      <c r="G54" s="32" t="str">
        <f t="shared" ca="1" si="4"/>
        <v/>
      </c>
      <c r="H54" s="32" t="str">
        <f t="shared" ca="1" si="12"/>
        <v/>
      </c>
      <c r="I54" s="30" t="str">
        <f ca="1">IF(H54="","",IFERROR(INDEX('Day Type Templates'!$B$49:$B$53,MATCH(H54,'Day Type Templates'!$A$49:$A$53,0)),""))</f>
        <v/>
      </c>
      <c r="J54" s="30" t="str">
        <f ca="1">IF(F54="","",SUMIFS('Throw Log'!$Q$5:$Q$300,'Throw Log'!$B$5:$B$300,$B$4,'Throw Log'!$A$5:$A$300,F54))</f>
        <v/>
      </c>
      <c r="K54" s="46">
        <f t="shared" ca="1" si="5"/>
        <v>1</v>
      </c>
      <c r="L54" s="32">
        <f t="shared" ca="1" si="6"/>
        <v>0</v>
      </c>
      <c r="M54" s="32" t="str">
        <f ca="1">IF(A54="","",IF(R53="","",IF(IF(R53="No Throw",0,IF(R53="Low",1,IF(R53="Medium",2,IF(OR(R53="High Non-Bullpen",R53="High Bullpen"),3,4))))=IF(IF(C53&lt;=5,IFERROR(INDEX(Reference!$B$73:$B$78,MATCH(C53,Reference!$A$73:$A$78,0)),"Low"),IFERROR(INDEX(Reference!$B$84:$B$86,MATCH(MOD(C53-6,3),Reference!$A$84:$A$86,0)),"Low"))="No Throw",0,IF(IF(C53&lt;=5,IFERROR(INDEX(Reference!$B$73:$B$78,MATCH(C53,Reference!$A$73:$A$78,0)),"Low"),IFERROR(INDEX(Reference!$B$84:$B$86,MATCH(MOD(C53-6,3),Reference!$A$84:$A$86,0)),"Low"))="Low",1,IF(IF(C53&lt;=5,IFERROR(INDEX(Reference!$B$73:$B$78,MATCH(C53,Reference!$A$73:$A$78,0)),"Low"),IFERROR(INDEX(Reference!$B$84:$B$86,MATCH(MOD(C53-6,3),Reference!$A$84:$A$86,0)),"Low"))="Medium",2,IF(OR(IF(C53&lt;=5,IFERROR(INDEX(Reference!$B$73:$B$78,MATCH(C53,Reference!$A$73:$A$78,0)),"Low"),IFERROR(INDEX(Reference!$B$84:$B$86,MATCH(MOD(C53-6,3),Reference!$A$84:$A$86,0)),"Low"))="High Non-Bullpen",IF(C53&lt;=5,IFERROR(INDEX(Reference!$B$73:$B$78,MATCH(C53,Reference!$A$73:$A$78,0)),"Low"),IFERROR(INDEX(Reference!$B$84:$B$86,MATCH(MOD(C53-6,3),Reference!$A$84:$A$86,0)),"Low"))="High Bullpen"),3,4)))),0,IF(IF(R53="No Throw",0,IF(R53="Low",1,IF(R53="Medium",2,IF(OR(R53="High Non-Bullpen",R53="High Bullpen"),3,4))))&gt;IF(IF(C53&lt;=5,IFERROR(INDEX(Reference!$B$73:$B$78,MATCH(C53,Reference!$A$73:$A$78,0)),"Low"),IFERROR(INDEX(Reference!$B$84:$B$86,MATCH(MOD(C53-6,3),Reference!$A$84:$A$86,0)),"Low"))="No Throw",0,IF(IF(C53&lt;=5,IFERROR(INDEX(Reference!$B$73:$B$78,MATCH(C53,Reference!$A$73:$A$78,0)),"Low"),IFERROR(INDEX(Reference!$B$84:$B$86,MATCH(MOD(C53-6,3),Reference!$A$84:$A$86,0)),"Low"))="Low",1,IF(IF(C53&lt;=5,IFERROR(INDEX(Reference!$B$73:$B$78,MATCH(C53,Reference!$A$73:$A$78,0)),"Low"),IFERROR(INDEX(Reference!$B$84:$B$86,MATCH(MOD(C53-6,3),Reference!$A$84:$A$86,0)),"Low"))="Medium",2,IF(OR(IF(C53&lt;=5,IFERROR(INDEX(Reference!$B$73:$B$78,MATCH(C53,Reference!$A$73:$A$78,0)),"Low"),IFERROR(INDEX(Reference!$B$84:$B$86,MATCH(MOD(C53-6,3),Reference!$A$84:$A$86,0)),"Low"))="High Non-Bullpen",IF(C53&lt;=5,IFERROR(INDEX(Reference!$B$73:$B$78,MATCH(C53,Reference!$A$73:$A$78,0)),"Low"),IFERROR(INDEX(Reference!$B$84:$B$86,MATCH(MOD(C53-6,3),Reference!$A$84:$A$86,0)),"Low"))="High Bullpen"),3,4)))),-1,1))))</f>
        <v/>
      </c>
      <c r="N54" s="32">
        <f t="shared" ca="1" si="7"/>
        <v>1</v>
      </c>
      <c r="O54" s="32" t="str">
        <f t="shared" ca="1" si="8"/>
        <v/>
      </c>
      <c r="P54" s="32" t="str">
        <f t="shared" ca="1" si="9"/>
        <v/>
      </c>
      <c r="Q54" s="32" t="str">
        <f t="shared" ca="1" si="10"/>
        <v/>
      </c>
      <c r="R54" s="32" t="str">
        <f t="shared" ca="1" si="11"/>
        <v/>
      </c>
      <c r="S54" s="47" t="str">
        <f ca="1">IFERROR(IF(R54="","",IF(R54="No Throw","Full rest — no throwing today.",IF(R54="Low",CONCATENATE(IF('Day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mph"),IF(R54="Medium",CONCATENATE(IF('Day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mph"),IF(R54="High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mph"),IF(R54="High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54" s="37"/>
    </row>
    <row r="55" spans="1:20" x14ac:dyDescent="0.3">
      <c r="A55" s="35" t="str">
        <f ca="1">IF($B$7+28&lt;$B$6,$B$7+28,"")</f>
        <v/>
      </c>
      <c r="B55" s="32" t="str">
        <f t="shared" ca="1" si="0"/>
        <v/>
      </c>
      <c r="C55" s="32" t="str">
        <f t="shared" ca="1" si="1"/>
        <v/>
      </c>
      <c r="D55" s="32" t="str">
        <f ca="1">IF(A55="","",IF(AND(T55&lt;&gt;"",T55&lt;&gt;"(none)"),T55,IF(C55&lt;=5,IFERROR(INDEX(Reference!$B$73:$B$78,MATCH(C55,Reference!$A$73:$A$78,0)),"Low"),IFERROR(INDEX(Reference!$B$84:$B$86,MATCH(MOD(C55-6,3),Reference!$A$84:$A$86,0)),"Low"))))</f>
        <v/>
      </c>
      <c r="E55" s="32" t="str">
        <f t="shared" ca="1" si="2"/>
        <v/>
      </c>
      <c r="F55" s="48" t="str">
        <f t="shared" ca="1" si="3"/>
        <v/>
      </c>
      <c r="G55" s="32" t="str">
        <f t="shared" ca="1" si="4"/>
        <v/>
      </c>
      <c r="H55" s="32" t="str">
        <f t="shared" ca="1" si="12"/>
        <v/>
      </c>
      <c r="I55" s="30" t="str">
        <f ca="1">IF(H55="","",IFERROR(INDEX('Day Type Templates'!$B$49:$B$53,MATCH(H55,'Day Type Templates'!$A$49:$A$53,0)),""))</f>
        <v/>
      </c>
      <c r="J55" s="30" t="str">
        <f ca="1">IF(F55="","",SUMIFS('Throw Log'!$Q$5:$Q$300,'Throw Log'!$B$5:$B$300,$B$4,'Throw Log'!$A$5:$A$300,F55))</f>
        <v/>
      </c>
      <c r="K55" s="46">
        <f t="shared" ca="1" si="5"/>
        <v>1</v>
      </c>
      <c r="L55" s="32">
        <f t="shared" ca="1" si="6"/>
        <v>0</v>
      </c>
      <c r="M55" s="32" t="str">
        <f ca="1">IF(A55="","",IF(R54="","",IF(IF(R54="No Throw",0,IF(R54="Low",1,IF(R54="Medium",2,IF(OR(R54="High Non-Bullpen",R54="High Bullpen"),3,4))))=IF(IF(C54&lt;=5,IFERROR(INDEX(Reference!$B$73:$B$78,MATCH(C54,Reference!$A$73:$A$78,0)),"Low"),IFERROR(INDEX(Reference!$B$84:$B$86,MATCH(MOD(C54-6,3),Reference!$A$84:$A$86,0)),"Low"))="No Throw",0,IF(IF(C54&lt;=5,IFERROR(INDEX(Reference!$B$73:$B$78,MATCH(C54,Reference!$A$73:$A$78,0)),"Low"),IFERROR(INDEX(Reference!$B$84:$B$86,MATCH(MOD(C54-6,3),Reference!$A$84:$A$86,0)),"Low"))="Low",1,IF(IF(C54&lt;=5,IFERROR(INDEX(Reference!$B$73:$B$78,MATCH(C54,Reference!$A$73:$A$78,0)),"Low"),IFERROR(INDEX(Reference!$B$84:$B$86,MATCH(MOD(C54-6,3),Reference!$A$84:$A$86,0)),"Low"))="Medium",2,IF(OR(IF(C54&lt;=5,IFERROR(INDEX(Reference!$B$73:$B$78,MATCH(C54,Reference!$A$73:$A$78,0)),"Low"),IFERROR(INDEX(Reference!$B$84:$B$86,MATCH(MOD(C54-6,3),Reference!$A$84:$A$86,0)),"Low"))="High Non-Bullpen",IF(C54&lt;=5,IFERROR(INDEX(Reference!$B$73:$B$78,MATCH(C54,Reference!$A$73:$A$78,0)),"Low"),IFERROR(INDEX(Reference!$B$84:$B$86,MATCH(MOD(C54-6,3),Reference!$A$84:$A$86,0)),"Low"))="High Bullpen"),3,4)))),0,IF(IF(R54="No Throw",0,IF(R54="Low",1,IF(R54="Medium",2,IF(OR(R54="High Non-Bullpen",R54="High Bullpen"),3,4))))&gt;IF(IF(C54&lt;=5,IFERROR(INDEX(Reference!$B$73:$B$78,MATCH(C54,Reference!$A$73:$A$78,0)),"Low"),IFERROR(INDEX(Reference!$B$84:$B$86,MATCH(MOD(C54-6,3),Reference!$A$84:$A$86,0)),"Low"))="No Throw",0,IF(IF(C54&lt;=5,IFERROR(INDEX(Reference!$B$73:$B$78,MATCH(C54,Reference!$A$73:$A$78,0)),"Low"),IFERROR(INDEX(Reference!$B$84:$B$86,MATCH(MOD(C54-6,3),Reference!$A$84:$A$86,0)),"Low"))="Low",1,IF(IF(C54&lt;=5,IFERROR(INDEX(Reference!$B$73:$B$78,MATCH(C54,Reference!$A$73:$A$78,0)),"Low"),IFERROR(INDEX(Reference!$B$84:$B$86,MATCH(MOD(C54-6,3),Reference!$A$84:$A$86,0)),"Low"))="Medium",2,IF(OR(IF(C54&lt;=5,IFERROR(INDEX(Reference!$B$73:$B$78,MATCH(C54,Reference!$A$73:$A$78,0)),"Low"),IFERROR(INDEX(Reference!$B$84:$B$86,MATCH(MOD(C54-6,3),Reference!$A$84:$A$86,0)),"Low"))="High Non-Bullpen",IF(C54&lt;=5,IFERROR(INDEX(Reference!$B$73:$B$78,MATCH(C54,Reference!$A$73:$A$78,0)),"Low"),IFERROR(INDEX(Reference!$B$84:$B$86,MATCH(MOD(C54-6,3),Reference!$A$84:$A$86,0)),"Low"))="High Bullpen"),3,4)))),-1,1))))</f>
        <v/>
      </c>
      <c r="N55" s="32">
        <f t="shared" ca="1" si="7"/>
        <v>1</v>
      </c>
      <c r="O55" s="32" t="str">
        <f t="shared" ca="1" si="8"/>
        <v/>
      </c>
      <c r="P55" s="32" t="str">
        <f t="shared" ca="1" si="9"/>
        <v/>
      </c>
      <c r="Q55" s="32" t="str">
        <f t="shared" ca="1" si="10"/>
        <v/>
      </c>
      <c r="R55" s="32" t="str">
        <f t="shared" ca="1" si="11"/>
        <v/>
      </c>
      <c r="S55" s="47" t="str">
        <f ca="1">IFERROR(IF(R55="","",IF(R55="No Throw","Full rest — no throwing today.",IF(R55="Low",CONCATENATE(IF('Day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mph"),IF(R55="Medium",CONCATENATE(IF('Day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mph"),IF(R55="High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mph"),IF(R55="High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55" s="37"/>
    </row>
    <row r="56" spans="1:20" x14ac:dyDescent="0.3">
      <c r="A56" s="35" t="str">
        <f ca="1">IF($B$7+29&lt;$B$6,$B$7+29,"")</f>
        <v/>
      </c>
      <c r="B56" s="32" t="str">
        <f t="shared" ca="1" si="0"/>
        <v/>
      </c>
      <c r="C56" s="32" t="str">
        <f t="shared" ca="1" si="1"/>
        <v/>
      </c>
      <c r="D56" s="32" t="str">
        <f ca="1">IF(A56="","",IF(AND(T56&lt;&gt;"",T56&lt;&gt;"(none)"),T56,IF(C56&lt;=5,IFERROR(INDEX(Reference!$B$73:$B$78,MATCH(C56,Reference!$A$73:$A$78,0)),"Low"),IFERROR(INDEX(Reference!$B$84:$B$86,MATCH(MOD(C56-6,3),Reference!$A$84:$A$86,0)),"Low"))))</f>
        <v/>
      </c>
      <c r="E56" s="32" t="str">
        <f t="shared" ca="1" si="2"/>
        <v/>
      </c>
      <c r="F56" s="48" t="str">
        <f t="shared" ca="1" si="3"/>
        <v/>
      </c>
      <c r="G56" s="32" t="str">
        <f t="shared" ca="1" si="4"/>
        <v/>
      </c>
      <c r="H56" s="32" t="str">
        <f t="shared" ca="1" si="12"/>
        <v/>
      </c>
      <c r="I56" s="30" t="str">
        <f ca="1">IF(H56="","",IFERROR(INDEX('Day Type Templates'!$B$49:$B$53,MATCH(H56,'Day Type Templates'!$A$49:$A$53,0)),""))</f>
        <v/>
      </c>
      <c r="J56" s="30" t="str">
        <f ca="1">IF(F56="","",SUMIFS('Throw Log'!$Q$5:$Q$300,'Throw Log'!$B$5:$B$300,$B$4,'Throw Log'!$A$5:$A$300,F56))</f>
        <v/>
      </c>
      <c r="K56" s="46">
        <f t="shared" ca="1" si="5"/>
        <v>1</v>
      </c>
      <c r="L56" s="32">
        <f t="shared" ca="1" si="6"/>
        <v>0</v>
      </c>
      <c r="M56" s="32" t="str">
        <f ca="1">IF(A56="","",IF(R55="","",IF(IF(R55="No Throw",0,IF(R55="Low",1,IF(R55="Medium",2,IF(OR(R55="High Non-Bullpen",R55="High Bullpen"),3,4))))=IF(IF(C55&lt;=5,IFERROR(INDEX(Reference!$B$73:$B$78,MATCH(C55,Reference!$A$73:$A$78,0)),"Low"),IFERROR(INDEX(Reference!$B$84:$B$86,MATCH(MOD(C55-6,3),Reference!$A$84:$A$86,0)),"Low"))="No Throw",0,IF(IF(C55&lt;=5,IFERROR(INDEX(Reference!$B$73:$B$78,MATCH(C55,Reference!$A$73:$A$78,0)),"Low"),IFERROR(INDEX(Reference!$B$84:$B$86,MATCH(MOD(C55-6,3),Reference!$A$84:$A$86,0)),"Low"))="Low",1,IF(IF(C55&lt;=5,IFERROR(INDEX(Reference!$B$73:$B$78,MATCH(C55,Reference!$A$73:$A$78,0)),"Low"),IFERROR(INDEX(Reference!$B$84:$B$86,MATCH(MOD(C55-6,3),Reference!$A$84:$A$86,0)),"Low"))="Medium",2,IF(OR(IF(C55&lt;=5,IFERROR(INDEX(Reference!$B$73:$B$78,MATCH(C55,Reference!$A$73:$A$78,0)),"Low"),IFERROR(INDEX(Reference!$B$84:$B$86,MATCH(MOD(C55-6,3),Reference!$A$84:$A$86,0)),"Low"))="High Non-Bullpen",IF(C55&lt;=5,IFERROR(INDEX(Reference!$B$73:$B$78,MATCH(C55,Reference!$A$73:$A$78,0)),"Low"),IFERROR(INDEX(Reference!$B$84:$B$86,MATCH(MOD(C55-6,3),Reference!$A$84:$A$86,0)),"Low"))="High Bullpen"),3,4)))),0,IF(IF(R55="No Throw",0,IF(R55="Low",1,IF(R55="Medium",2,IF(OR(R55="High Non-Bullpen",R55="High Bullpen"),3,4))))&gt;IF(IF(C55&lt;=5,IFERROR(INDEX(Reference!$B$73:$B$78,MATCH(C55,Reference!$A$73:$A$78,0)),"Low"),IFERROR(INDEX(Reference!$B$84:$B$86,MATCH(MOD(C55-6,3),Reference!$A$84:$A$86,0)),"Low"))="No Throw",0,IF(IF(C55&lt;=5,IFERROR(INDEX(Reference!$B$73:$B$78,MATCH(C55,Reference!$A$73:$A$78,0)),"Low"),IFERROR(INDEX(Reference!$B$84:$B$86,MATCH(MOD(C55-6,3),Reference!$A$84:$A$86,0)),"Low"))="Low",1,IF(IF(C55&lt;=5,IFERROR(INDEX(Reference!$B$73:$B$78,MATCH(C55,Reference!$A$73:$A$78,0)),"Low"),IFERROR(INDEX(Reference!$B$84:$B$86,MATCH(MOD(C55-6,3),Reference!$A$84:$A$86,0)),"Low"))="Medium",2,IF(OR(IF(C55&lt;=5,IFERROR(INDEX(Reference!$B$73:$B$78,MATCH(C55,Reference!$A$73:$A$78,0)),"Low"),IFERROR(INDEX(Reference!$B$84:$B$86,MATCH(MOD(C55-6,3),Reference!$A$84:$A$86,0)),"Low"))="High Non-Bullpen",IF(C55&lt;=5,IFERROR(INDEX(Reference!$B$73:$B$78,MATCH(C55,Reference!$A$73:$A$78,0)),"Low"),IFERROR(INDEX(Reference!$B$84:$B$86,MATCH(MOD(C55-6,3),Reference!$A$84:$A$86,0)),"Low"))="High Bullpen"),3,4)))),-1,1))))</f>
        <v/>
      </c>
      <c r="N56" s="32">
        <f t="shared" ca="1" si="7"/>
        <v>1</v>
      </c>
      <c r="O56" s="32" t="str">
        <f t="shared" ca="1" si="8"/>
        <v/>
      </c>
      <c r="P56" s="32" t="str">
        <f t="shared" ca="1" si="9"/>
        <v/>
      </c>
      <c r="Q56" s="32" t="str">
        <f t="shared" ca="1" si="10"/>
        <v/>
      </c>
      <c r="R56" s="32" t="str">
        <f t="shared" ca="1" si="11"/>
        <v/>
      </c>
      <c r="S56" s="47" t="str">
        <f ca="1">IFERROR(IF(R56="","",IF(R56="No Throw","Full rest — no throwing today.",IF(R56="Low",CONCATENATE(IF('Day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mph"),IF(R56="Medium",CONCATENATE(IF('Day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mph"),IF(R56="High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mph"),IF(R56="High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56" s="37"/>
    </row>
    <row r="57" spans="1:20" x14ac:dyDescent="0.3">
      <c r="A57" s="35" t="str">
        <f ca="1">IF($B$7+30&lt;$B$6,$B$7+30,"")</f>
        <v/>
      </c>
      <c r="B57" s="32" t="str">
        <f t="shared" ca="1" si="0"/>
        <v/>
      </c>
      <c r="C57" s="32" t="str">
        <f t="shared" ca="1" si="1"/>
        <v/>
      </c>
      <c r="D57" s="32" t="str">
        <f ca="1">IF(A57="","",IF(AND(T57&lt;&gt;"",T57&lt;&gt;"(none)"),T57,IF(C57&lt;=5,IFERROR(INDEX(Reference!$B$73:$B$78,MATCH(C57,Reference!$A$73:$A$78,0)),"Low"),IFERROR(INDEX(Reference!$B$84:$B$86,MATCH(MOD(C57-6,3),Reference!$A$84:$A$86,0)),"Low"))))</f>
        <v/>
      </c>
      <c r="E57" s="32" t="str">
        <f t="shared" ca="1" si="2"/>
        <v/>
      </c>
      <c r="F57" s="48" t="str">
        <f t="shared" ca="1" si="3"/>
        <v/>
      </c>
      <c r="G57" s="32" t="str">
        <f t="shared" ca="1" si="4"/>
        <v/>
      </c>
      <c r="H57" s="32" t="str">
        <f t="shared" ca="1" si="12"/>
        <v/>
      </c>
      <c r="I57" s="30" t="str">
        <f ca="1">IF(H57="","",IFERROR(INDEX('Day Type Templates'!$B$49:$B$53,MATCH(H57,'Day Type Templates'!$A$49:$A$53,0)),""))</f>
        <v/>
      </c>
      <c r="J57" s="30" t="str">
        <f ca="1">IF(F57="","",SUMIFS('Throw Log'!$Q$5:$Q$300,'Throw Log'!$B$5:$B$300,$B$4,'Throw Log'!$A$5:$A$300,F57))</f>
        <v/>
      </c>
      <c r="K57" s="46">
        <f t="shared" ca="1" si="5"/>
        <v>1</v>
      </c>
      <c r="L57" s="32">
        <f t="shared" ca="1" si="6"/>
        <v>0</v>
      </c>
      <c r="M57" s="32" t="str">
        <f ca="1">IF(A57="","",IF(R56="","",IF(IF(R56="No Throw",0,IF(R56="Low",1,IF(R56="Medium",2,IF(OR(R56="High Non-Bullpen",R56="High Bullpen"),3,4))))=IF(IF(C56&lt;=5,IFERROR(INDEX(Reference!$B$73:$B$78,MATCH(C56,Reference!$A$73:$A$78,0)),"Low"),IFERROR(INDEX(Reference!$B$84:$B$86,MATCH(MOD(C56-6,3),Reference!$A$84:$A$86,0)),"Low"))="No Throw",0,IF(IF(C56&lt;=5,IFERROR(INDEX(Reference!$B$73:$B$78,MATCH(C56,Reference!$A$73:$A$78,0)),"Low"),IFERROR(INDEX(Reference!$B$84:$B$86,MATCH(MOD(C56-6,3),Reference!$A$84:$A$86,0)),"Low"))="Low",1,IF(IF(C56&lt;=5,IFERROR(INDEX(Reference!$B$73:$B$78,MATCH(C56,Reference!$A$73:$A$78,0)),"Low"),IFERROR(INDEX(Reference!$B$84:$B$86,MATCH(MOD(C56-6,3),Reference!$A$84:$A$86,0)),"Low"))="Medium",2,IF(OR(IF(C56&lt;=5,IFERROR(INDEX(Reference!$B$73:$B$78,MATCH(C56,Reference!$A$73:$A$78,0)),"Low"),IFERROR(INDEX(Reference!$B$84:$B$86,MATCH(MOD(C56-6,3),Reference!$A$84:$A$86,0)),"Low"))="High Non-Bullpen",IF(C56&lt;=5,IFERROR(INDEX(Reference!$B$73:$B$78,MATCH(C56,Reference!$A$73:$A$78,0)),"Low"),IFERROR(INDEX(Reference!$B$84:$B$86,MATCH(MOD(C56-6,3),Reference!$A$84:$A$86,0)),"Low"))="High Bullpen"),3,4)))),0,IF(IF(R56="No Throw",0,IF(R56="Low",1,IF(R56="Medium",2,IF(OR(R56="High Non-Bullpen",R56="High Bullpen"),3,4))))&gt;IF(IF(C56&lt;=5,IFERROR(INDEX(Reference!$B$73:$B$78,MATCH(C56,Reference!$A$73:$A$78,0)),"Low"),IFERROR(INDEX(Reference!$B$84:$B$86,MATCH(MOD(C56-6,3),Reference!$A$84:$A$86,0)),"Low"))="No Throw",0,IF(IF(C56&lt;=5,IFERROR(INDEX(Reference!$B$73:$B$78,MATCH(C56,Reference!$A$73:$A$78,0)),"Low"),IFERROR(INDEX(Reference!$B$84:$B$86,MATCH(MOD(C56-6,3),Reference!$A$84:$A$86,0)),"Low"))="Low",1,IF(IF(C56&lt;=5,IFERROR(INDEX(Reference!$B$73:$B$78,MATCH(C56,Reference!$A$73:$A$78,0)),"Low"),IFERROR(INDEX(Reference!$B$84:$B$86,MATCH(MOD(C56-6,3),Reference!$A$84:$A$86,0)),"Low"))="Medium",2,IF(OR(IF(C56&lt;=5,IFERROR(INDEX(Reference!$B$73:$B$78,MATCH(C56,Reference!$A$73:$A$78,0)),"Low"),IFERROR(INDEX(Reference!$B$84:$B$86,MATCH(MOD(C56-6,3),Reference!$A$84:$A$86,0)),"Low"))="High Non-Bullpen",IF(C56&lt;=5,IFERROR(INDEX(Reference!$B$73:$B$78,MATCH(C56,Reference!$A$73:$A$78,0)),"Low"),IFERROR(INDEX(Reference!$B$84:$B$86,MATCH(MOD(C56-6,3),Reference!$A$84:$A$86,0)),"Low"))="High Bullpen"),3,4)))),-1,1))))</f>
        <v/>
      </c>
      <c r="N57" s="32">
        <f t="shared" ca="1" si="7"/>
        <v>1</v>
      </c>
      <c r="O57" s="32" t="str">
        <f t="shared" ca="1" si="8"/>
        <v/>
      </c>
      <c r="P57" s="32" t="str">
        <f t="shared" ca="1" si="9"/>
        <v/>
      </c>
      <c r="Q57" s="32" t="str">
        <f t="shared" ca="1" si="10"/>
        <v/>
      </c>
      <c r="R57" s="32" t="str">
        <f t="shared" ca="1" si="11"/>
        <v/>
      </c>
      <c r="S57" s="47" t="str">
        <f ca="1">IFERROR(IF(R57="","",IF(R57="No Throw","Full rest — no throwing today.",IF(R57="Low",CONCATENATE(IF('Day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mph"),IF(R57="Medium",CONCATENATE(IF('Day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mph"),IF(R57="High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mph"),IF(R57="High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57" s="37"/>
    </row>
    <row r="58" spans="1:20" x14ac:dyDescent="0.3">
      <c r="A58" s="35" t="str">
        <f ca="1">IF($B$7+31&lt;$B$6,$B$7+31,"")</f>
        <v/>
      </c>
      <c r="B58" s="32" t="str">
        <f t="shared" ca="1" si="0"/>
        <v/>
      </c>
      <c r="C58" s="32" t="str">
        <f t="shared" ca="1" si="1"/>
        <v/>
      </c>
      <c r="D58" s="32" t="str">
        <f ca="1">IF(A58="","",IF(AND(T58&lt;&gt;"",T58&lt;&gt;"(none)"),T58,IF(C58&lt;=5,IFERROR(INDEX(Reference!$B$73:$B$78,MATCH(C58,Reference!$A$73:$A$78,0)),"Low"),IFERROR(INDEX(Reference!$B$84:$B$86,MATCH(MOD(C58-6,3),Reference!$A$84:$A$86,0)),"Low"))))</f>
        <v/>
      </c>
      <c r="E58" s="32" t="str">
        <f t="shared" ca="1" si="2"/>
        <v/>
      </c>
      <c r="F58" s="48" t="str">
        <f t="shared" ca="1" si="3"/>
        <v/>
      </c>
      <c r="G58" s="32" t="str">
        <f t="shared" ca="1" si="4"/>
        <v/>
      </c>
      <c r="H58" s="32" t="str">
        <f t="shared" ca="1" si="12"/>
        <v/>
      </c>
      <c r="I58" s="30" t="str">
        <f ca="1">IF(H58="","",IFERROR(INDEX('Day Type Templates'!$B$49:$B$53,MATCH(H58,'Day Type Templates'!$A$49:$A$53,0)),""))</f>
        <v/>
      </c>
      <c r="J58" s="30" t="str">
        <f ca="1">IF(F58="","",SUMIFS('Throw Log'!$Q$5:$Q$300,'Throw Log'!$B$5:$B$300,$B$4,'Throw Log'!$A$5:$A$300,F58))</f>
        <v/>
      </c>
      <c r="K58" s="46">
        <f t="shared" ca="1" si="5"/>
        <v>1</v>
      </c>
      <c r="L58" s="32">
        <f t="shared" ca="1" si="6"/>
        <v>0</v>
      </c>
      <c r="M58" s="32" t="str">
        <f ca="1">IF(A58="","",IF(R57="","",IF(IF(R57="No Throw",0,IF(R57="Low",1,IF(R57="Medium",2,IF(OR(R57="High Non-Bullpen",R57="High Bullpen"),3,4))))=IF(IF(C57&lt;=5,IFERROR(INDEX(Reference!$B$73:$B$78,MATCH(C57,Reference!$A$73:$A$78,0)),"Low"),IFERROR(INDEX(Reference!$B$84:$B$86,MATCH(MOD(C57-6,3),Reference!$A$84:$A$86,0)),"Low"))="No Throw",0,IF(IF(C57&lt;=5,IFERROR(INDEX(Reference!$B$73:$B$78,MATCH(C57,Reference!$A$73:$A$78,0)),"Low"),IFERROR(INDEX(Reference!$B$84:$B$86,MATCH(MOD(C57-6,3),Reference!$A$84:$A$86,0)),"Low"))="Low",1,IF(IF(C57&lt;=5,IFERROR(INDEX(Reference!$B$73:$B$78,MATCH(C57,Reference!$A$73:$A$78,0)),"Low"),IFERROR(INDEX(Reference!$B$84:$B$86,MATCH(MOD(C57-6,3),Reference!$A$84:$A$86,0)),"Low"))="Medium",2,IF(OR(IF(C57&lt;=5,IFERROR(INDEX(Reference!$B$73:$B$78,MATCH(C57,Reference!$A$73:$A$78,0)),"Low"),IFERROR(INDEX(Reference!$B$84:$B$86,MATCH(MOD(C57-6,3),Reference!$A$84:$A$86,0)),"Low"))="High Non-Bullpen",IF(C57&lt;=5,IFERROR(INDEX(Reference!$B$73:$B$78,MATCH(C57,Reference!$A$73:$A$78,0)),"Low"),IFERROR(INDEX(Reference!$B$84:$B$86,MATCH(MOD(C57-6,3),Reference!$A$84:$A$86,0)),"Low"))="High Bullpen"),3,4)))),0,IF(IF(R57="No Throw",0,IF(R57="Low",1,IF(R57="Medium",2,IF(OR(R57="High Non-Bullpen",R57="High Bullpen"),3,4))))&gt;IF(IF(C57&lt;=5,IFERROR(INDEX(Reference!$B$73:$B$78,MATCH(C57,Reference!$A$73:$A$78,0)),"Low"),IFERROR(INDEX(Reference!$B$84:$B$86,MATCH(MOD(C57-6,3),Reference!$A$84:$A$86,0)),"Low"))="No Throw",0,IF(IF(C57&lt;=5,IFERROR(INDEX(Reference!$B$73:$B$78,MATCH(C57,Reference!$A$73:$A$78,0)),"Low"),IFERROR(INDEX(Reference!$B$84:$B$86,MATCH(MOD(C57-6,3),Reference!$A$84:$A$86,0)),"Low"))="Low",1,IF(IF(C57&lt;=5,IFERROR(INDEX(Reference!$B$73:$B$78,MATCH(C57,Reference!$A$73:$A$78,0)),"Low"),IFERROR(INDEX(Reference!$B$84:$B$86,MATCH(MOD(C57-6,3),Reference!$A$84:$A$86,0)),"Low"))="Medium",2,IF(OR(IF(C57&lt;=5,IFERROR(INDEX(Reference!$B$73:$B$78,MATCH(C57,Reference!$A$73:$A$78,0)),"Low"),IFERROR(INDEX(Reference!$B$84:$B$86,MATCH(MOD(C57-6,3),Reference!$A$84:$A$86,0)),"Low"))="High Non-Bullpen",IF(C57&lt;=5,IFERROR(INDEX(Reference!$B$73:$B$78,MATCH(C57,Reference!$A$73:$A$78,0)),"Low"),IFERROR(INDEX(Reference!$B$84:$B$86,MATCH(MOD(C57-6,3),Reference!$A$84:$A$86,0)),"Low"))="High Bullpen"),3,4)))),-1,1))))</f>
        <v/>
      </c>
      <c r="N58" s="32">
        <f t="shared" ca="1" si="7"/>
        <v>1</v>
      </c>
      <c r="O58" s="32" t="str">
        <f t="shared" ca="1" si="8"/>
        <v/>
      </c>
      <c r="P58" s="32" t="str">
        <f t="shared" ca="1" si="9"/>
        <v/>
      </c>
      <c r="Q58" s="32" t="str">
        <f t="shared" ca="1" si="10"/>
        <v/>
      </c>
      <c r="R58" s="32" t="str">
        <f t="shared" ca="1" si="11"/>
        <v/>
      </c>
      <c r="S58" s="47" t="str">
        <f ca="1">IFERROR(IF(R58="","",IF(R58="No Throw","Full rest — no throwing today.",IF(R58="Low",CONCATENATE(IF('Day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mph"),IF(R58="Medium",CONCATENATE(IF('Day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mph"),IF(R58="High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mph"),IF(R58="High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58" s="37"/>
    </row>
    <row r="59" spans="1:20" x14ac:dyDescent="0.3">
      <c r="A59" s="35" t="str">
        <f ca="1">IF($B$7+32&lt;$B$6,$B$7+32,"")</f>
        <v/>
      </c>
      <c r="B59" s="32" t="str">
        <f t="shared" ca="1" si="0"/>
        <v/>
      </c>
      <c r="C59" s="32" t="str">
        <f t="shared" ca="1" si="1"/>
        <v/>
      </c>
      <c r="D59" s="32" t="str">
        <f ca="1">IF(A59="","",IF(AND(T59&lt;&gt;"",T59&lt;&gt;"(none)"),T59,IF(C59&lt;=5,IFERROR(INDEX(Reference!$B$73:$B$78,MATCH(C59,Reference!$A$73:$A$78,0)),"Low"),IFERROR(INDEX(Reference!$B$84:$B$86,MATCH(MOD(C59-6,3),Reference!$A$84:$A$86,0)),"Low"))))</f>
        <v/>
      </c>
      <c r="E59" s="32" t="str">
        <f t="shared" ca="1" si="2"/>
        <v/>
      </c>
      <c r="F59" s="48" t="str">
        <f t="shared" ca="1" si="3"/>
        <v/>
      </c>
      <c r="G59" s="32" t="str">
        <f t="shared" ca="1" si="4"/>
        <v/>
      </c>
      <c r="H59" s="32" t="str">
        <f t="shared" ca="1" si="12"/>
        <v/>
      </c>
      <c r="I59" s="30" t="str">
        <f ca="1">IF(H59="","",IFERROR(INDEX('Day Type Templates'!$B$49:$B$53,MATCH(H59,'Day Type Templates'!$A$49:$A$53,0)),""))</f>
        <v/>
      </c>
      <c r="J59" s="30" t="str">
        <f ca="1">IF(F59="","",SUMIFS('Throw Log'!$Q$5:$Q$300,'Throw Log'!$B$5:$B$300,$B$4,'Throw Log'!$A$5:$A$300,F59))</f>
        <v/>
      </c>
      <c r="K59" s="46">
        <f t="shared" ca="1" si="5"/>
        <v>1</v>
      </c>
      <c r="L59" s="32">
        <f t="shared" ca="1" si="6"/>
        <v>0</v>
      </c>
      <c r="M59" s="32" t="str">
        <f ca="1">IF(A59="","",IF(R58="","",IF(IF(R58="No Throw",0,IF(R58="Low",1,IF(R58="Medium",2,IF(OR(R58="High Non-Bullpen",R58="High Bullpen"),3,4))))=IF(IF(C58&lt;=5,IFERROR(INDEX(Reference!$B$73:$B$78,MATCH(C58,Reference!$A$73:$A$78,0)),"Low"),IFERROR(INDEX(Reference!$B$84:$B$86,MATCH(MOD(C58-6,3),Reference!$A$84:$A$86,0)),"Low"))="No Throw",0,IF(IF(C58&lt;=5,IFERROR(INDEX(Reference!$B$73:$B$78,MATCH(C58,Reference!$A$73:$A$78,0)),"Low"),IFERROR(INDEX(Reference!$B$84:$B$86,MATCH(MOD(C58-6,3),Reference!$A$84:$A$86,0)),"Low"))="Low",1,IF(IF(C58&lt;=5,IFERROR(INDEX(Reference!$B$73:$B$78,MATCH(C58,Reference!$A$73:$A$78,0)),"Low"),IFERROR(INDEX(Reference!$B$84:$B$86,MATCH(MOD(C58-6,3),Reference!$A$84:$A$86,0)),"Low"))="Medium",2,IF(OR(IF(C58&lt;=5,IFERROR(INDEX(Reference!$B$73:$B$78,MATCH(C58,Reference!$A$73:$A$78,0)),"Low"),IFERROR(INDEX(Reference!$B$84:$B$86,MATCH(MOD(C58-6,3),Reference!$A$84:$A$86,0)),"Low"))="High Non-Bullpen",IF(C58&lt;=5,IFERROR(INDEX(Reference!$B$73:$B$78,MATCH(C58,Reference!$A$73:$A$78,0)),"Low"),IFERROR(INDEX(Reference!$B$84:$B$86,MATCH(MOD(C58-6,3),Reference!$A$84:$A$86,0)),"Low"))="High Bullpen"),3,4)))),0,IF(IF(R58="No Throw",0,IF(R58="Low",1,IF(R58="Medium",2,IF(OR(R58="High Non-Bullpen",R58="High Bullpen"),3,4))))&gt;IF(IF(C58&lt;=5,IFERROR(INDEX(Reference!$B$73:$B$78,MATCH(C58,Reference!$A$73:$A$78,0)),"Low"),IFERROR(INDEX(Reference!$B$84:$B$86,MATCH(MOD(C58-6,3),Reference!$A$84:$A$86,0)),"Low"))="No Throw",0,IF(IF(C58&lt;=5,IFERROR(INDEX(Reference!$B$73:$B$78,MATCH(C58,Reference!$A$73:$A$78,0)),"Low"),IFERROR(INDEX(Reference!$B$84:$B$86,MATCH(MOD(C58-6,3),Reference!$A$84:$A$86,0)),"Low"))="Low",1,IF(IF(C58&lt;=5,IFERROR(INDEX(Reference!$B$73:$B$78,MATCH(C58,Reference!$A$73:$A$78,0)),"Low"),IFERROR(INDEX(Reference!$B$84:$B$86,MATCH(MOD(C58-6,3),Reference!$A$84:$A$86,0)),"Low"))="Medium",2,IF(OR(IF(C58&lt;=5,IFERROR(INDEX(Reference!$B$73:$B$78,MATCH(C58,Reference!$A$73:$A$78,0)),"Low"),IFERROR(INDEX(Reference!$B$84:$B$86,MATCH(MOD(C58-6,3),Reference!$A$84:$A$86,0)),"Low"))="High Non-Bullpen",IF(C58&lt;=5,IFERROR(INDEX(Reference!$B$73:$B$78,MATCH(C58,Reference!$A$73:$A$78,0)),"Low"),IFERROR(INDEX(Reference!$B$84:$B$86,MATCH(MOD(C58-6,3),Reference!$A$84:$A$86,0)),"Low"))="High Bullpen"),3,4)))),-1,1))))</f>
        <v/>
      </c>
      <c r="N59" s="32">
        <f t="shared" ca="1" si="7"/>
        <v>1</v>
      </c>
      <c r="O59" s="32" t="str">
        <f t="shared" ca="1" si="8"/>
        <v/>
      </c>
      <c r="P59" s="32" t="str">
        <f t="shared" ca="1" si="9"/>
        <v/>
      </c>
      <c r="Q59" s="32" t="str">
        <f t="shared" ca="1" si="10"/>
        <v/>
      </c>
      <c r="R59" s="32" t="str">
        <f t="shared" ca="1" si="11"/>
        <v/>
      </c>
      <c r="S59" s="47" t="str">
        <f ca="1">IFERROR(IF(R59="","",IF(R59="No Throw","Full rest — no throwing today.",IF(R59="Low",CONCATENATE(IF('Day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mph"),IF(R59="Medium",CONCATENATE(IF('Day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mph"),IF(R59="High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mph"),IF(R59="High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59" s="37"/>
    </row>
    <row r="60" spans="1:20" x14ac:dyDescent="0.3">
      <c r="A60" s="35" t="str">
        <f ca="1">IF($B$7+33&lt;$B$6,$B$7+33,"")</f>
        <v/>
      </c>
      <c r="B60" s="32" t="str">
        <f t="shared" ca="1" si="0"/>
        <v/>
      </c>
      <c r="C60" s="32" t="str">
        <f t="shared" ca="1" si="1"/>
        <v/>
      </c>
      <c r="D60" s="32" t="str">
        <f ca="1">IF(A60="","",IF(AND(T60&lt;&gt;"",T60&lt;&gt;"(none)"),T60,IF(C60&lt;=5,IFERROR(INDEX(Reference!$B$73:$B$78,MATCH(C60,Reference!$A$73:$A$78,0)),"Low"),IFERROR(INDEX(Reference!$B$84:$B$86,MATCH(MOD(C60-6,3),Reference!$A$84:$A$86,0)),"Low"))))</f>
        <v/>
      </c>
      <c r="E60" s="32" t="str">
        <f t="shared" ca="1" si="2"/>
        <v/>
      </c>
      <c r="F60" s="48" t="str">
        <f t="shared" ca="1" si="3"/>
        <v/>
      </c>
      <c r="G60" s="32" t="str">
        <f t="shared" ca="1" si="4"/>
        <v/>
      </c>
      <c r="H60" s="32" t="str">
        <f t="shared" ca="1" si="12"/>
        <v/>
      </c>
      <c r="I60" s="30" t="str">
        <f ca="1">IF(H60="","",IFERROR(INDEX('Day Type Templates'!$B$49:$B$53,MATCH(H60,'Day Type Templates'!$A$49:$A$53,0)),""))</f>
        <v/>
      </c>
      <c r="J60" s="30" t="str">
        <f ca="1">IF(F60="","",SUMIFS('Throw Log'!$Q$5:$Q$300,'Throw Log'!$B$5:$B$300,$B$4,'Throw Log'!$A$5:$A$300,F60))</f>
        <v/>
      </c>
      <c r="K60" s="46">
        <f t="shared" ca="1" si="5"/>
        <v>1</v>
      </c>
      <c r="L60" s="32">
        <f t="shared" ca="1" si="6"/>
        <v>0</v>
      </c>
      <c r="M60" s="32" t="str">
        <f ca="1">IF(A60="","",IF(R59="","",IF(IF(R59="No Throw",0,IF(R59="Low",1,IF(R59="Medium",2,IF(OR(R59="High Non-Bullpen",R59="High Bullpen"),3,4))))=IF(IF(C59&lt;=5,IFERROR(INDEX(Reference!$B$73:$B$78,MATCH(C59,Reference!$A$73:$A$78,0)),"Low"),IFERROR(INDEX(Reference!$B$84:$B$86,MATCH(MOD(C59-6,3),Reference!$A$84:$A$86,0)),"Low"))="No Throw",0,IF(IF(C59&lt;=5,IFERROR(INDEX(Reference!$B$73:$B$78,MATCH(C59,Reference!$A$73:$A$78,0)),"Low"),IFERROR(INDEX(Reference!$B$84:$B$86,MATCH(MOD(C59-6,3),Reference!$A$84:$A$86,0)),"Low"))="Low",1,IF(IF(C59&lt;=5,IFERROR(INDEX(Reference!$B$73:$B$78,MATCH(C59,Reference!$A$73:$A$78,0)),"Low"),IFERROR(INDEX(Reference!$B$84:$B$86,MATCH(MOD(C59-6,3),Reference!$A$84:$A$86,0)),"Low"))="Medium",2,IF(OR(IF(C59&lt;=5,IFERROR(INDEX(Reference!$B$73:$B$78,MATCH(C59,Reference!$A$73:$A$78,0)),"Low"),IFERROR(INDEX(Reference!$B$84:$B$86,MATCH(MOD(C59-6,3),Reference!$A$84:$A$86,0)),"Low"))="High Non-Bullpen",IF(C59&lt;=5,IFERROR(INDEX(Reference!$B$73:$B$78,MATCH(C59,Reference!$A$73:$A$78,0)),"Low"),IFERROR(INDEX(Reference!$B$84:$B$86,MATCH(MOD(C59-6,3),Reference!$A$84:$A$86,0)),"Low"))="High Bullpen"),3,4)))),0,IF(IF(R59="No Throw",0,IF(R59="Low",1,IF(R59="Medium",2,IF(OR(R59="High Non-Bullpen",R59="High Bullpen"),3,4))))&gt;IF(IF(C59&lt;=5,IFERROR(INDEX(Reference!$B$73:$B$78,MATCH(C59,Reference!$A$73:$A$78,0)),"Low"),IFERROR(INDEX(Reference!$B$84:$B$86,MATCH(MOD(C59-6,3),Reference!$A$84:$A$86,0)),"Low"))="No Throw",0,IF(IF(C59&lt;=5,IFERROR(INDEX(Reference!$B$73:$B$78,MATCH(C59,Reference!$A$73:$A$78,0)),"Low"),IFERROR(INDEX(Reference!$B$84:$B$86,MATCH(MOD(C59-6,3),Reference!$A$84:$A$86,0)),"Low"))="Low",1,IF(IF(C59&lt;=5,IFERROR(INDEX(Reference!$B$73:$B$78,MATCH(C59,Reference!$A$73:$A$78,0)),"Low"),IFERROR(INDEX(Reference!$B$84:$B$86,MATCH(MOD(C59-6,3),Reference!$A$84:$A$86,0)),"Low"))="Medium",2,IF(OR(IF(C59&lt;=5,IFERROR(INDEX(Reference!$B$73:$B$78,MATCH(C59,Reference!$A$73:$A$78,0)),"Low"),IFERROR(INDEX(Reference!$B$84:$B$86,MATCH(MOD(C59-6,3),Reference!$A$84:$A$86,0)),"Low"))="High Non-Bullpen",IF(C59&lt;=5,IFERROR(INDEX(Reference!$B$73:$B$78,MATCH(C59,Reference!$A$73:$A$78,0)),"Low"),IFERROR(INDEX(Reference!$B$84:$B$86,MATCH(MOD(C59-6,3),Reference!$A$84:$A$86,0)),"Low"))="High Bullpen"),3,4)))),-1,1))))</f>
        <v/>
      </c>
      <c r="N60" s="32">
        <f t="shared" ca="1" si="7"/>
        <v>1</v>
      </c>
      <c r="O60" s="32" t="str">
        <f t="shared" ca="1" si="8"/>
        <v/>
      </c>
      <c r="P60" s="32" t="str">
        <f t="shared" ca="1" si="9"/>
        <v/>
      </c>
      <c r="Q60" s="32" t="str">
        <f t="shared" ca="1" si="10"/>
        <v/>
      </c>
      <c r="R60" s="32" t="str">
        <f t="shared" ca="1" si="11"/>
        <v/>
      </c>
      <c r="S60" s="47" t="str">
        <f ca="1">IFERROR(IF(R60="","",IF(R60="No Throw","Full rest — no throwing today.",IF(R60="Low",CONCATENATE(IF('Day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mph"),IF(R60="Medium",CONCATENATE(IF('Day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mph"),IF(R60="High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mph"),IF(R60="High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60" s="37"/>
    </row>
    <row r="61" spans="1:20" x14ac:dyDescent="0.3">
      <c r="A61" s="35" t="str">
        <f ca="1">IF($B$7+34&lt;$B$6,$B$7+34,"")</f>
        <v/>
      </c>
      <c r="B61" s="32" t="str">
        <f t="shared" ca="1" si="0"/>
        <v/>
      </c>
      <c r="C61" s="32" t="str">
        <f t="shared" ca="1" si="1"/>
        <v/>
      </c>
      <c r="D61" s="32" t="str">
        <f ca="1">IF(A61="","",IF(AND(T61&lt;&gt;"",T61&lt;&gt;"(none)"),T61,IF(C61&lt;=5,IFERROR(INDEX(Reference!$B$73:$B$78,MATCH(C61,Reference!$A$73:$A$78,0)),"Low"),IFERROR(INDEX(Reference!$B$84:$B$86,MATCH(MOD(C61-6,3),Reference!$A$84:$A$86,0)),"Low"))))</f>
        <v/>
      </c>
      <c r="E61" s="32" t="str">
        <f t="shared" ca="1" si="2"/>
        <v/>
      </c>
      <c r="F61" s="48" t="str">
        <f t="shared" ca="1" si="3"/>
        <v/>
      </c>
      <c r="G61" s="32" t="str">
        <f t="shared" ca="1" si="4"/>
        <v/>
      </c>
      <c r="H61" s="32" t="str">
        <f t="shared" ca="1" si="12"/>
        <v/>
      </c>
      <c r="I61" s="30" t="str">
        <f ca="1">IF(H61="","",IFERROR(INDEX('Day Type Templates'!$B$49:$B$53,MATCH(H61,'Day Type Templates'!$A$49:$A$53,0)),""))</f>
        <v/>
      </c>
      <c r="J61" s="30" t="str">
        <f ca="1">IF(F61="","",SUMIFS('Throw Log'!$Q$5:$Q$300,'Throw Log'!$B$5:$B$300,$B$4,'Throw Log'!$A$5:$A$300,F61))</f>
        <v/>
      </c>
      <c r="K61" s="46">
        <f t="shared" ca="1" si="5"/>
        <v>1</v>
      </c>
      <c r="L61" s="32">
        <f t="shared" ca="1" si="6"/>
        <v>0</v>
      </c>
      <c r="M61" s="32" t="str">
        <f ca="1">IF(A61="","",IF(R60="","",IF(IF(R60="No Throw",0,IF(R60="Low",1,IF(R60="Medium",2,IF(OR(R60="High Non-Bullpen",R60="High Bullpen"),3,4))))=IF(IF(C60&lt;=5,IFERROR(INDEX(Reference!$B$73:$B$78,MATCH(C60,Reference!$A$73:$A$78,0)),"Low"),IFERROR(INDEX(Reference!$B$84:$B$86,MATCH(MOD(C60-6,3),Reference!$A$84:$A$86,0)),"Low"))="No Throw",0,IF(IF(C60&lt;=5,IFERROR(INDEX(Reference!$B$73:$B$78,MATCH(C60,Reference!$A$73:$A$78,0)),"Low"),IFERROR(INDEX(Reference!$B$84:$B$86,MATCH(MOD(C60-6,3),Reference!$A$84:$A$86,0)),"Low"))="Low",1,IF(IF(C60&lt;=5,IFERROR(INDEX(Reference!$B$73:$B$78,MATCH(C60,Reference!$A$73:$A$78,0)),"Low"),IFERROR(INDEX(Reference!$B$84:$B$86,MATCH(MOD(C60-6,3),Reference!$A$84:$A$86,0)),"Low"))="Medium",2,IF(OR(IF(C60&lt;=5,IFERROR(INDEX(Reference!$B$73:$B$78,MATCH(C60,Reference!$A$73:$A$78,0)),"Low"),IFERROR(INDEX(Reference!$B$84:$B$86,MATCH(MOD(C60-6,3),Reference!$A$84:$A$86,0)),"Low"))="High Non-Bullpen",IF(C60&lt;=5,IFERROR(INDEX(Reference!$B$73:$B$78,MATCH(C60,Reference!$A$73:$A$78,0)),"Low"),IFERROR(INDEX(Reference!$B$84:$B$86,MATCH(MOD(C60-6,3),Reference!$A$84:$A$86,0)),"Low"))="High Bullpen"),3,4)))),0,IF(IF(R60="No Throw",0,IF(R60="Low",1,IF(R60="Medium",2,IF(OR(R60="High Non-Bullpen",R60="High Bullpen"),3,4))))&gt;IF(IF(C60&lt;=5,IFERROR(INDEX(Reference!$B$73:$B$78,MATCH(C60,Reference!$A$73:$A$78,0)),"Low"),IFERROR(INDEX(Reference!$B$84:$B$86,MATCH(MOD(C60-6,3),Reference!$A$84:$A$86,0)),"Low"))="No Throw",0,IF(IF(C60&lt;=5,IFERROR(INDEX(Reference!$B$73:$B$78,MATCH(C60,Reference!$A$73:$A$78,0)),"Low"),IFERROR(INDEX(Reference!$B$84:$B$86,MATCH(MOD(C60-6,3),Reference!$A$84:$A$86,0)),"Low"))="Low",1,IF(IF(C60&lt;=5,IFERROR(INDEX(Reference!$B$73:$B$78,MATCH(C60,Reference!$A$73:$A$78,0)),"Low"),IFERROR(INDEX(Reference!$B$84:$B$86,MATCH(MOD(C60-6,3),Reference!$A$84:$A$86,0)),"Low"))="Medium",2,IF(OR(IF(C60&lt;=5,IFERROR(INDEX(Reference!$B$73:$B$78,MATCH(C60,Reference!$A$73:$A$78,0)),"Low"),IFERROR(INDEX(Reference!$B$84:$B$86,MATCH(MOD(C60-6,3),Reference!$A$84:$A$86,0)),"Low"))="High Non-Bullpen",IF(C60&lt;=5,IFERROR(INDEX(Reference!$B$73:$B$78,MATCH(C60,Reference!$A$73:$A$78,0)),"Low"),IFERROR(INDEX(Reference!$B$84:$B$86,MATCH(MOD(C60-6,3),Reference!$A$84:$A$86,0)),"Low"))="High Bullpen"),3,4)))),-1,1))))</f>
        <v/>
      </c>
      <c r="N61" s="32">
        <f t="shared" ca="1" si="7"/>
        <v>1</v>
      </c>
      <c r="O61" s="32" t="str">
        <f t="shared" ca="1" si="8"/>
        <v/>
      </c>
      <c r="P61" s="32" t="str">
        <f t="shared" ca="1" si="9"/>
        <v/>
      </c>
      <c r="Q61" s="32" t="str">
        <f t="shared" ca="1" si="10"/>
        <v/>
      </c>
      <c r="R61" s="32" t="str">
        <f t="shared" ca="1" si="11"/>
        <v/>
      </c>
      <c r="S61" s="47" t="str">
        <f ca="1">IFERROR(IF(R61="","",IF(R61="No Throw","Full rest — no throwing today.",IF(R61="Low",CONCATENATE(IF('Day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mph"),IF(R61="Medium",CONCATENATE(IF('Day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mph"),IF(R61="High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mph"),IF(R61="High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61" s="37"/>
    </row>
    <row r="62" spans="1:20" x14ac:dyDescent="0.3">
      <c r="A62" s="35" t="str">
        <f ca="1">IF($B$7+35&lt;$B$6,$B$7+35,"")</f>
        <v/>
      </c>
      <c r="B62" s="32" t="str">
        <f t="shared" ca="1" si="0"/>
        <v/>
      </c>
      <c r="C62" s="32" t="str">
        <f t="shared" ca="1" si="1"/>
        <v/>
      </c>
      <c r="D62" s="32" t="str">
        <f ca="1">IF(A62="","",IF(AND(T62&lt;&gt;"",T62&lt;&gt;"(none)"),T62,IF(C62&lt;=5,IFERROR(INDEX(Reference!$B$73:$B$78,MATCH(C62,Reference!$A$73:$A$78,0)),"Low"),IFERROR(INDEX(Reference!$B$84:$B$86,MATCH(MOD(C62-6,3),Reference!$A$84:$A$86,0)),"Low"))))</f>
        <v/>
      </c>
      <c r="E62" s="32" t="str">
        <f t="shared" ca="1" si="2"/>
        <v/>
      </c>
      <c r="F62" s="48" t="str">
        <f t="shared" ca="1" si="3"/>
        <v/>
      </c>
      <c r="G62" s="32" t="str">
        <f t="shared" ca="1" si="4"/>
        <v/>
      </c>
      <c r="H62" s="32" t="str">
        <f t="shared" ca="1" si="12"/>
        <v/>
      </c>
      <c r="I62" s="30" t="str">
        <f ca="1">IF(H62="","",IFERROR(INDEX('Day Type Templates'!$B$49:$B$53,MATCH(H62,'Day Type Templates'!$A$49:$A$53,0)),""))</f>
        <v/>
      </c>
      <c r="J62" s="30" t="str">
        <f ca="1">IF(F62="","",SUMIFS('Throw Log'!$Q$5:$Q$300,'Throw Log'!$B$5:$B$300,$B$4,'Throw Log'!$A$5:$A$300,F62))</f>
        <v/>
      </c>
      <c r="K62" s="46">
        <f t="shared" ca="1" si="5"/>
        <v>1</v>
      </c>
      <c r="L62" s="32">
        <f t="shared" ca="1" si="6"/>
        <v>0</v>
      </c>
      <c r="M62" s="32" t="str">
        <f ca="1">IF(A62="","",IF(R61="","",IF(IF(R61="No Throw",0,IF(R61="Low",1,IF(R61="Medium",2,IF(OR(R61="High Non-Bullpen",R61="High Bullpen"),3,4))))=IF(IF(C61&lt;=5,IFERROR(INDEX(Reference!$B$73:$B$78,MATCH(C61,Reference!$A$73:$A$78,0)),"Low"),IFERROR(INDEX(Reference!$B$84:$B$86,MATCH(MOD(C61-6,3),Reference!$A$84:$A$86,0)),"Low"))="No Throw",0,IF(IF(C61&lt;=5,IFERROR(INDEX(Reference!$B$73:$B$78,MATCH(C61,Reference!$A$73:$A$78,0)),"Low"),IFERROR(INDEX(Reference!$B$84:$B$86,MATCH(MOD(C61-6,3),Reference!$A$84:$A$86,0)),"Low"))="Low",1,IF(IF(C61&lt;=5,IFERROR(INDEX(Reference!$B$73:$B$78,MATCH(C61,Reference!$A$73:$A$78,0)),"Low"),IFERROR(INDEX(Reference!$B$84:$B$86,MATCH(MOD(C61-6,3),Reference!$A$84:$A$86,0)),"Low"))="Medium",2,IF(OR(IF(C61&lt;=5,IFERROR(INDEX(Reference!$B$73:$B$78,MATCH(C61,Reference!$A$73:$A$78,0)),"Low"),IFERROR(INDEX(Reference!$B$84:$B$86,MATCH(MOD(C61-6,3),Reference!$A$84:$A$86,0)),"Low"))="High Non-Bullpen",IF(C61&lt;=5,IFERROR(INDEX(Reference!$B$73:$B$78,MATCH(C61,Reference!$A$73:$A$78,0)),"Low"),IFERROR(INDEX(Reference!$B$84:$B$86,MATCH(MOD(C61-6,3),Reference!$A$84:$A$86,0)),"Low"))="High Bullpen"),3,4)))),0,IF(IF(R61="No Throw",0,IF(R61="Low",1,IF(R61="Medium",2,IF(OR(R61="High Non-Bullpen",R61="High Bullpen"),3,4))))&gt;IF(IF(C61&lt;=5,IFERROR(INDEX(Reference!$B$73:$B$78,MATCH(C61,Reference!$A$73:$A$78,0)),"Low"),IFERROR(INDEX(Reference!$B$84:$B$86,MATCH(MOD(C61-6,3),Reference!$A$84:$A$86,0)),"Low"))="No Throw",0,IF(IF(C61&lt;=5,IFERROR(INDEX(Reference!$B$73:$B$78,MATCH(C61,Reference!$A$73:$A$78,0)),"Low"),IFERROR(INDEX(Reference!$B$84:$B$86,MATCH(MOD(C61-6,3),Reference!$A$84:$A$86,0)),"Low"))="Low",1,IF(IF(C61&lt;=5,IFERROR(INDEX(Reference!$B$73:$B$78,MATCH(C61,Reference!$A$73:$A$78,0)),"Low"),IFERROR(INDEX(Reference!$B$84:$B$86,MATCH(MOD(C61-6,3),Reference!$A$84:$A$86,0)),"Low"))="Medium",2,IF(OR(IF(C61&lt;=5,IFERROR(INDEX(Reference!$B$73:$B$78,MATCH(C61,Reference!$A$73:$A$78,0)),"Low"),IFERROR(INDEX(Reference!$B$84:$B$86,MATCH(MOD(C61-6,3),Reference!$A$84:$A$86,0)),"Low"))="High Non-Bullpen",IF(C61&lt;=5,IFERROR(INDEX(Reference!$B$73:$B$78,MATCH(C61,Reference!$A$73:$A$78,0)),"Low"),IFERROR(INDEX(Reference!$B$84:$B$86,MATCH(MOD(C61-6,3),Reference!$A$84:$A$86,0)),"Low"))="High Bullpen"),3,4)))),-1,1))))</f>
        <v/>
      </c>
      <c r="N62" s="32">
        <f t="shared" ca="1" si="7"/>
        <v>1</v>
      </c>
      <c r="O62" s="32" t="str">
        <f t="shared" ca="1" si="8"/>
        <v/>
      </c>
      <c r="P62" s="32" t="str">
        <f t="shared" ca="1" si="9"/>
        <v/>
      </c>
      <c r="Q62" s="32" t="str">
        <f t="shared" ca="1" si="10"/>
        <v/>
      </c>
      <c r="R62" s="32" t="str">
        <f t="shared" ca="1" si="11"/>
        <v/>
      </c>
      <c r="S62" s="47" t="str">
        <f ca="1">IFERROR(IF(R62="","",IF(R62="No Throw","Full rest — no throwing today.",IF(R62="Low",CONCATENATE(IF('Day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mph"),IF(R62="Medium",CONCATENATE(IF('Day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mph"),IF(R62="High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mph"),IF(R62="High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62" s="37"/>
    </row>
    <row r="63" spans="1:20" x14ac:dyDescent="0.3">
      <c r="A63" s="35" t="str">
        <f ca="1">IF($B$7+36&lt;$B$6,$B$7+36,"")</f>
        <v/>
      </c>
      <c r="B63" s="32" t="str">
        <f t="shared" ca="1" si="0"/>
        <v/>
      </c>
      <c r="C63" s="32" t="str">
        <f t="shared" ca="1" si="1"/>
        <v/>
      </c>
      <c r="D63" s="32" t="str">
        <f ca="1">IF(A63="","",IF(AND(T63&lt;&gt;"",T63&lt;&gt;"(none)"),T63,IF(C63&lt;=5,IFERROR(INDEX(Reference!$B$73:$B$78,MATCH(C63,Reference!$A$73:$A$78,0)),"Low"),IFERROR(INDEX(Reference!$B$84:$B$86,MATCH(MOD(C63-6,3),Reference!$A$84:$A$86,0)),"Low"))))</f>
        <v/>
      </c>
      <c r="E63" s="32" t="str">
        <f t="shared" ca="1" si="2"/>
        <v/>
      </c>
      <c r="F63" s="48" t="str">
        <f t="shared" ca="1" si="3"/>
        <v/>
      </c>
      <c r="G63" s="32" t="str">
        <f t="shared" ca="1" si="4"/>
        <v/>
      </c>
      <c r="H63" s="32" t="str">
        <f t="shared" ca="1" si="12"/>
        <v/>
      </c>
      <c r="I63" s="30" t="str">
        <f ca="1">IF(H63="","",IFERROR(INDEX('Day Type Templates'!$B$49:$B$53,MATCH(H63,'Day Type Templates'!$A$49:$A$53,0)),""))</f>
        <v/>
      </c>
      <c r="J63" s="30" t="str">
        <f ca="1">IF(F63="","",SUMIFS('Throw Log'!$Q$5:$Q$300,'Throw Log'!$B$5:$B$300,$B$4,'Throw Log'!$A$5:$A$300,F63))</f>
        <v/>
      </c>
      <c r="K63" s="46">
        <f t="shared" ca="1" si="5"/>
        <v>1</v>
      </c>
      <c r="L63" s="32">
        <f t="shared" ca="1" si="6"/>
        <v>0</v>
      </c>
      <c r="M63" s="32" t="str">
        <f ca="1">IF(A63="","",IF(R62="","",IF(IF(R62="No Throw",0,IF(R62="Low",1,IF(R62="Medium",2,IF(OR(R62="High Non-Bullpen",R62="High Bullpen"),3,4))))=IF(IF(C62&lt;=5,IFERROR(INDEX(Reference!$B$73:$B$78,MATCH(C62,Reference!$A$73:$A$78,0)),"Low"),IFERROR(INDEX(Reference!$B$84:$B$86,MATCH(MOD(C62-6,3),Reference!$A$84:$A$86,0)),"Low"))="No Throw",0,IF(IF(C62&lt;=5,IFERROR(INDEX(Reference!$B$73:$B$78,MATCH(C62,Reference!$A$73:$A$78,0)),"Low"),IFERROR(INDEX(Reference!$B$84:$B$86,MATCH(MOD(C62-6,3),Reference!$A$84:$A$86,0)),"Low"))="Low",1,IF(IF(C62&lt;=5,IFERROR(INDEX(Reference!$B$73:$B$78,MATCH(C62,Reference!$A$73:$A$78,0)),"Low"),IFERROR(INDEX(Reference!$B$84:$B$86,MATCH(MOD(C62-6,3),Reference!$A$84:$A$86,0)),"Low"))="Medium",2,IF(OR(IF(C62&lt;=5,IFERROR(INDEX(Reference!$B$73:$B$78,MATCH(C62,Reference!$A$73:$A$78,0)),"Low"),IFERROR(INDEX(Reference!$B$84:$B$86,MATCH(MOD(C62-6,3),Reference!$A$84:$A$86,0)),"Low"))="High Non-Bullpen",IF(C62&lt;=5,IFERROR(INDEX(Reference!$B$73:$B$78,MATCH(C62,Reference!$A$73:$A$78,0)),"Low"),IFERROR(INDEX(Reference!$B$84:$B$86,MATCH(MOD(C62-6,3),Reference!$A$84:$A$86,0)),"Low"))="High Bullpen"),3,4)))),0,IF(IF(R62="No Throw",0,IF(R62="Low",1,IF(R62="Medium",2,IF(OR(R62="High Non-Bullpen",R62="High Bullpen"),3,4))))&gt;IF(IF(C62&lt;=5,IFERROR(INDEX(Reference!$B$73:$B$78,MATCH(C62,Reference!$A$73:$A$78,0)),"Low"),IFERROR(INDEX(Reference!$B$84:$B$86,MATCH(MOD(C62-6,3),Reference!$A$84:$A$86,0)),"Low"))="No Throw",0,IF(IF(C62&lt;=5,IFERROR(INDEX(Reference!$B$73:$B$78,MATCH(C62,Reference!$A$73:$A$78,0)),"Low"),IFERROR(INDEX(Reference!$B$84:$B$86,MATCH(MOD(C62-6,3),Reference!$A$84:$A$86,0)),"Low"))="Low",1,IF(IF(C62&lt;=5,IFERROR(INDEX(Reference!$B$73:$B$78,MATCH(C62,Reference!$A$73:$A$78,0)),"Low"),IFERROR(INDEX(Reference!$B$84:$B$86,MATCH(MOD(C62-6,3),Reference!$A$84:$A$86,0)),"Low"))="Medium",2,IF(OR(IF(C62&lt;=5,IFERROR(INDEX(Reference!$B$73:$B$78,MATCH(C62,Reference!$A$73:$A$78,0)),"Low"),IFERROR(INDEX(Reference!$B$84:$B$86,MATCH(MOD(C62-6,3),Reference!$A$84:$A$86,0)),"Low"))="High Non-Bullpen",IF(C62&lt;=5,IFERROR(INDEX(Reference!$B$73:$B$78,MATCH(C62,Reference!$A$73:$A$78,0)),"Low"),IFERROR(INDEX(Reference!$B$84:$B$86,MATCH(MOD(C62-6,3),Reference!$A$84:$A$86,0)),"Low"))="High Bullpen"),3,4)))),-1,1))))</f>
        <v/>
      </c>
      <c r="N63" s="32">
        <f t="shared" ca="1" si="7"/>
        <v>1</v>
      </c>
      <c r="O63" s="32" t="str">
        <f t="shared" ca="1" si="8"/>
        <v/>
      </c>
      <c r="P63" s="32" t="str">
        <f t="shared" ca="1" si="9"/>
        <v/>
      </c>
      <c r="Q63" s="32" t="str">
        <f t="shared" ca="1" si="10"/>
        <v/>
      </c>
      <c r="R63" s="32" t="str">
        <f t="shared" ca="1" si="11"/>
        <v/>
      </c>
      <c r="S63" s="47" t="str">
        <f ca="1">IFERROR(IF(R63="","",IF(R63="No Throw","Full rest — no throwing today.",IF(R63="Low",CONCATENATE(IF('Day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mph"),IF(R63="Medium",CONCATENATE(IF('Day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mph"),IF(R63="High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mph"),IF(R63="High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63" s="37"/>
    </row>
    <row r="64" spans="1:20" x14ac:dyDescent="0.3">
      <c r="A64" s="35" t="str">
        <f ca="1">IF($B$7+37&lt;$B$6,$B$7+37,"")</f>
        <v/>
      </c>
      <c r="B64" s="32" t="str">
        <f t="shared" ca="1" si="0"/>
        <v/>
      </c>
      <c r="C64" s="32" t="str">
        <f t="shared" ca="1" si="1"/>
        <v/>
      </c>
      <c r="D64" s="32" t="str">
        <f ca="1">IF(A64="","",IF(AND(T64&lt;&gt;"",T64&lt;&gt;"(none)"),T64,IF(C64&lt;=5,IFERROR(INDEX(Reference!$B$73:$B$78,MATCH(C64,Reference!$A$73:$A$78,0)),"Low"),IFERROR(INDEX(Reference!$B$84:$B$86,MATCH(MOD(C64-6,3),Reference!$A$84:$A$86,0)),"Low"))))</f>
        <v/>
      </c>
      <c r="E64" s="32" t="str">
        <f t="shared" ca="1" si="2"/>
        <v/>
      </c>
      <c r="F64" s="48" t="str">
        <f t="shared" ca="1" si="3"/>
        <v/>
      </c>
      <c r="G64" s="32" t="str">
        <f t="shared" ca="1" si="4"/>
        <v/>
      </c>
      <c r="H64" s="32" t="str">
        <f t="shared" ca="1" si="12"/>
        <v/>
      </c>
      <c r="I64" s="30" t="str">
        <f ca="1">IF(H64="","",IFERROR(INDEX('Day Type Templates'!$B$49:$B$53,MATCH(H64,'Day Type Templates'!$A$49:$A$53,0)),""))</f>
        <v/>
      </c>
      <c r="J64" s="30" t="str">
        <f ca="1">IF(F64="","",SUMIFS('Throw Log'!$Q$5:$Q$300,'Throw Log'!$B$5:$B$300,$B$4,'Throw Log'!$A$5:$A$300,F64))</f>
        <v/>
      </c>
      <c r="K64" s="46">
        <f t="shared" ca="1" si="5"/>
        <v>1</v>
      </c>
      <c r="L64" s="32">
        <f t="shared" ca="1" si="6"/>
        <v>0</v>
      </c>
      <c r="M64" s="32" t="str">
        <f ca="1">IF(A64="","",IF(R63="","",IF(IF(R63="No Throw",0,IF(R63="Low",1,IF(R63="Medium",2,IF(OR(R63="High Non-Bullpen",R63="High Bullpen"),3,4))))=IF(IF(C63&lt;=5,IFERROR(INDEX(Reference!$B$73:$B$78,MATCH(C63,Reference!$A$73:$A$78,0)),"Low"),IFERROR(INDEX(Reference!$B$84:$B$86,MATCH(MOD(C63-6,3),Reference!$A$84:$A$86,0)),"Low"))="No Throw",0,IF(IF(C63&lt;=5,IFERROR(INDEX(Reference!$B$73:$B$78,MATCH(C63,Reference!$A$73:$A$78,0)),"Low"),IFERROR(INDEX(Reference!$B$84:$B$86,MATCH(MOD(C63-6,3),Reference!$A$84:$A$86,0)),"Low"))="Low",1,IF(IF(C63&lt;=5,IFERROR(INDEX(Reference!$B$73:$B$78,MATCH(C63,Reference!$A$73:$A$78,0)),"Low"),IFERROR(INDEX(Reference!$B$84:$B$86,MATCH(MOD(C63-6,3),Reference!$A$84:$A$86,0)),"Low"))="Medium",2,IF(OR(IF(C63&lt;=5,IFERROR(INDEX(Reference!$B$73:$B$78,MATCH(C63,Reference!$A$73:$A$78,0)),"Low"),IFERROR(INDEX(Reference!$B$84:$B$86,MATCH(MOD(C63-6,3),Reference!$A$84:$A$86,0)),"Low"))="High Non-Bullpen",IF(C63&lt;=5,IFERROR(INDEX(Reference!$B$73:$B$78,MATCH(C63,Reference!$A$73:$A$78,0)),"Low"),IFERROR(INDEX(Reference!$B$84:$B$86,MATCH(MOD(C63-6,3),Reference!$A$84:$A$86,0)),"Low"))="High Bullpen"),3,4)))),0,IF(IF(R63="No Throw",0,IF(R63="Low",1,IF(R63="Medium",2,IF(OR(R63="High Non-Bullpen",R63="High Bullpen"),3,4))))&gt;IF(IF(C63&lt;=5,IFERROR(INDEX(Reference!$B$73:$B$78,MATCH(C63,Reference!$A$73:$A$78,0)),"Low"),IFERROR(INDEX(Reference!$B$84:$B$86,MATCH(MOD(C63-6,3),Reference!$A$84:$A$86,0)),"Low"))="No Throw",0,IF(IF(C63&lt;=5,IFERROR(INDEX(Reference!$B$73:$B$78,MATCH(C63,Reference!$A$73:$A$78,0)),"Low"),IFERROR(INDEX(Reference!$B$84:$B$86,MATCH(MOD(C63-6,3),Reference!$A$84:$A$86,0)),"Low"))="Low",1,IF(IF(C63&lt;=5,IFERROR(INDEX(Reference!$B$73:$B$78,MATCH(C63,Reference!$A$73:$A$78,0)),"Low"),IFERROR(INDEX(Reference!$B$84:$B$86,MATCH(MOD(C63-6,3),Reference!$A$84:$A$86,0)),"Low"))="Medium",2,IF(OR(IF(C63&lt;=5,IFERROR(INDEX(Reference!$B$73:$B$78,MATCH(C63,Reference!$A$73:$A$78,0)),"Low"),IFERROR(INDEX(Reference!$B$84:$B$86,MATCH(MOD(C63-6,3),Reference!$A$84:$A$86,0)),"Low"))="High Non-Bullpen",IF(C63&lt;=5,IFERROR(INDEX(Reference!$B$73:$B$78,MATCH(C63,Reference!$A$73:$A$78,0)),"Low"),IFERROR(INDEX(Reference!$B$84:$B$86,MATCH(MOD(C63-6,3),Reference!$A$84:$A$86,0)),"Low"))="High Bullpen"),3,4)))),-1,1))))</f>
        <v/>
      </c>
      <c r="N64" s="32">
        <f t="shared" ca="1" si="7"/>
        <v>1</v>
      </c>
      <c r="O64" s="32" t="str">
        <f t="shared" ca="1" si="8"/>
        <v/>
      </c>
      <c r="P64" s="32" t="str">
        <f t="shared" ca="1" si="9"/>
        <v/>
      </c>
      <c r="Q64" s="32" t="str">
        <f t="shared" ca="1" si="10"/>
        <v/>
      </c>
      <c r="R64" s="32" t="str">
        <f t="shared" ca="1" si="11"/>
        <v/>
      </c>
      <c r="S64" s="47" t="str">
        <f ca="1">IFERROR(IF(R64="","",IF(R64="No Throw","Full rest — no throwing today.",IF(R64="Low",CONCATENATE(IF('Day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mph"),IF(R64="Medium",CONCATENATE(IF('Day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mph"),IF(R64="High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mph"),IF(R64="High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64" s="37"/>
    </row>
    <row r="65" spans="1:20" x14ac:dyDescent="0.3">
      <c r="A65" s="35" t="str">
        <f ca="1">IF($B$7+38&lt;$B$6,$B$7+38,"")</f>
        <v/>
      </c>
      <c r="B65" s="32" t="str">
        <f t="shared" ca="1" si="0"/>
        <v/>
      </c>
      <c r="C65" s="32" t="str">
        <f t="shared" ca="1" si="1"/>
        <v/>
      </c>
      <c r="D65" s="32" t="str">
        <f ca="1">IF(A65="","",IF(AND(T65&lt;&gt;"",T65&lt;&gt;"(none)"),T65,IF(C65&lt;=5,IFERROR(INDEX(Reference!$B$73:$B$78,MATCH(C65,Reference!$A$73:$A$78,0)),"Low"),IFERROR(INDEX(Reference!$B$84:$B$86,MATCH(MOD(C65-6,3),Reference!$A$84:$A$86,0)),"Low"))))</f>
        <v/>
      </c>
      <c r="E65" s="32" t="str">
        <f t="shared" ca="1" si="2"/>
        <v/>
      </c>
      <c r="F65" s="48" t="str">
        <f t="shared" ca="1" si="3"/>
        <v/>
      </c>
      <c r="G65" s="32" t="str">
        <f t="shared" ca="1" si="4"/>
        <v/>
      </c>
      <c r="H65" s="32" t="str">
        <f t="shared" ca="1" si="12"/>
        <v/>
      </c>
      <c r="I65" s="30" t="str">
        <f ca="1">IF(H65="","",IFERROR(INDEX('Day Type Templates'!$B$49:$B$53,MATCH(H65,'Day Type Templates'!$A$49:$A$53,0)),""))</f>
        <v/>
      </c>
      <c r="J65" s="30" t="str">
        <f ca="1">IF(F65="","",SUMIFS('Throw Log'!$Q$5:$Q$300,'Throw Log'!$B$5:$B$300,$B$4,'Throw Log'!$A$5:$A$300,F65))</f>
        <v/>
      </c>
      <c r="K65" s="46">
        <f t="shared" ca="1" si="5"/>
        <v>1</v>
      </c>
      <c r="L65" s="32">
        <f t="shared" ca="1" si="6"/>
        <v>0</v>
      </c>
      <c r="M65" s="32" t="str">
        <f ca="1">IF(A65="","",IF(R64="","",IF(IF(R64="No Throw",0,IF(R64="Low",1,IF(R64="Medium",2,IF(OR(R64="High Non-Bullpen",R64="High Bullpen"),3,4))))=IF(IF(C64&lt;=5,IFERROR(INDEX(Reference!$B$73:$B$78,MATCH(C64,Reference!$A$73:$A$78,0)),"Low"),IFERROR(INDEX(Reference!$B$84:$B$86,MATCH(MOD(C64-6,3),Reference!$A$84:$A$86,0)),"Low"))="No Throw",0,IF(IF(C64&lt;=5,IFERROR(INDEX(Reference!$B$73:$B$78,MATCH(C64,Reference!$A$73:$A$78,0)),"Low"),IFERROR(INDEX(Reference!$B$84:$B$86,MATCH(MOD(C64-6,3),Reference!$A$84:$A$86,0)),"Low"))="Low",1,IF(IF(C64&lt;=5,IFERROR(INDEX(Reference!$B$73:$B$78,MATCH(C64,Reference!$A$73:$A$78,0)),"Low"),IFERROR(INDEX(Reference!$B$84:$B$86,MATCH(MOD(C64-6,3),Reference!$A$84:$A$86,0)),"Low"))="Medium",2,IF(OR(IF(C64&lt;=5,IFERROR(INDEX(Reference!$B$73:$B$78,MATCH(C64,Reference!$A$73:$A$78,0)),"Low"),IFERROR(INDEX(Reference!$B$84:$B$86,MATCH(MOD(C64-6,3),Reference!$A$84:$A$86,0)),"Low"))="High Non-Bullpen",IF(C64&lt;=5,IFERROR(INDEX(Reference!$B$73:$B$78,MATCH(C64,Reference!$A$73:$A$78,0)),"Low"),IFERROR(INDEX(Reference!$B$84:$B$86,MATCH(MOD(C64-6,3),Reference!$A$84:$A$86,0)),"Low"))="High Bullpen"),3,4)))),0,IF(IF(R64="No Throw",0,IF(R64="Low",1,IF(R64="Medium",2,IF(OR(R64="High Non-Bullpen",R64="High Bullpen"),3,4))))&gt;IF(IF(C64&lt;=5,IFERROR(INDEX(Reference!$B$73:$B$78,MATCH(C64,Reference!$A$73:$A$78,0)),"Low"),IFERROR(INDEX(Reference!$B$84:$B$86,MATCH(MOD(C64-6,3),Reference!$A$84:$A$86,0)),"Low"))="No Throw",0,IF(IF(C64&lt;=5,IFERROR(INDEX(Reference!$B$73:$B$78,MATCH(C64,Reference!$A$73:$A$78,0)),"Low"),IFERROR(INDEX(Reference!$B$84:$B$86,MATCH(MOD(C64-6,3),Reference!$A$84:$A$86,0)),"Low"))="Low",1,IF(IF(C64&lt;=5,IFERROR(INDEX(Reference!$B$73:$B$78,MATCH(C64,Reference!$A$73:$A$78,0)),"Low"),IFERROR(INDEX(Reference!$B$84:$B$86,MATCH(MOD(C64-6,3),Reference!$A$84:$A$86,0)),"Low"))="Medium",2,IF(OR(IF(C64&lt;=5,IFERROR(INDEX(Reference!$B$73:$B$78,MATCH(C64,Reference!$A$73:$A$78,0)),"Low"),IFERROR(INDEX(Reference!$B$84:$B$86,MATCH(MOD(C64-6,3),Reference!$A$84:$A$86,0)),"Low"))="High Non-Bullpen",IF(C64&lt;=5,IFERROR(INDEX(Reference!$B$73:$B$78,MATCH(C64,Reference!$A$73:$A$78,0)),"Low"),IFERROR(INDEX(Reference!$B$84:$B$86,MATCH(MOD(C64-6,3),Reference!$A$84:$A$86,0)),"Low"))="High Bullpen"),3,4)))),-1,1))))</f>
        <v/>
      </c>
      <c r="N65" s="32">
        <f t="shared" ca="1" si="7"/>
        <v>1</v>
      </c>
      <c r="O65" s="32" t="str">
        <f t="shared" ca="1" si="8"/>
        <v/>
      </c>
      <c r="P65" s="32" t="str">
        <f t="shared" ca="1" si="9"/>
        <v/>
      </c>
      <c r="Q65" s="32" t="str">
        <f t="shared" ca="1" si="10"/>
        <v/>
      </c>
      <c r="R65" s="32" t="str">
        <f t="shared" ca="1" si="11"/>
        <v/>
      </c>
      <c r="S65" s="47" t="str">
        <f ca="1">IFERROR(IF(R65="","",IF(R65="No Throw","Full rest — no throwing today.",IF(R65="Low",CONCATENATE(IF('Day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mph"),IF(R65="Medium",CONCATENATE(IF('Day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mph"),IF(R65="High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mph"),IF(R65="High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65" s="37"/>
    </row>
    <row r="66" spans="1:20" x14ac:dyDescent="0.3">
      <c r="A66" s="35" t="str">
        <f ca="1">IF($B$7+39&lt;$B$6,$B$7+39,"")</f>
        <v/>
      </c>
      <c r="B66" s="32" t="str">
        <f t="shared" ca="1" si="0"/>
        <v/>
      </c>
      <c r="C66" s="32" t="str">
        <f t="shared" ca="1" si="1"/>
        <v/>
      </c>
      <c r="D66" s="32" t="str">
        <f ca="1">IF(A66="","",IF(AND(T66&lt;&gt;"",T66&lt;&gt;"(none)"),T66,IF(C66&lt;=5,IFERROR(INDEX(Reference!$B$73:$B$78,MATCH(C66,Reference!$A$73:$A$78,0)),"Low"),IFERROR(INDEX(Reference!$B$84:$B$86,MATCH(MOD(C66-6,3),Reference!$A$84:$A$86,0)),"Low"))))</f>
        <v/>
      </c>
      <c r="E66" s="32" t="str">
        <f t="shared" ca="1" si="2"/>
        <v/>
      </c>
      <c r="F66" s="48" t="str">
        <f t="shared" ca="1" si="3"/>
        <v/>
      </c>
      <c r="G66" s="32" t="str">
        <f t="shared" ca="1" si="4"/>
        <v/>
      </c>
      <c r="H66" s="32" t="str">
        <f t="shared" ca="1" si="12"/>
        <v/>
      </c>
      <c r="I66" s="30" t="str">
        <f ca="1">IF(H66="","",IFERROR(INDEX('Day Type Templates'!$B$49:$B$53,MATCH(H66,'Day Type Templates'!$A$49:$A$53,0)),""))</f>
        <v/>
      </c>
      <c r="J66" s="30" t="str">
        <f ca="1">IF(F66="","",SUMIFS('Throw Log'!$Q$5:$Q$300,'Throw Log'!$B$5:$B$300,$B$4,'Throw Log'!$A$5:$A$300,F66))</f>
        <v/>
      </c>
      <c r="K66" s="46">
        <f t="shared" ca="1" si="5"/>
        <v>1</v>
      </c>
      <c r="L66" s="32">
        <f t="shared" ca="1" si="6"/>
        <v>0</v>
      </c>
      <c r="M66" s="32" t="str">
        <f ca="1">IF(A66="","",IF(R65="","",IF(IF(R65="No Throw",0,IF(R65="Low",1,IF(R65="Medium",2,IF(OR(R65="High Non-Bullpen",R65="High Bullpen"),3,4))))=IF(IF(C65&lt;=5,IFERROR(INDEX(Reference!$B$73:$B$78,MATCH(C65,Reference!$A$73:$A$78,0)),"Low"),IFERROR(INDEX(Reference!$B$84:$B$86,MATCH(MOD(C65-6,3),Reference!$A$84:$A$86,0)),"Low"))="No Throw",0,IF(IF(C65&lt;=5,IFERROR(INDEX(Reference!$B$73:$B$78,MATCH(C65,Reference!$A$73:$A$78,0)),"Low"),IFERROR(INDEX(Reference!$B$84:$B$86,MATCH(MOD(C65-6,3),Reference!$A$84:$A$86,0)),"Low"))="Low",1,IF(IF(C65&lt;=5,IFERROR(INDEX(Reference!$B$73:$B$78,MATCH(C65,Reference!$A$73:$A$78,0)),"Low"),IFERROR(INDEX(Reference!$B$84:$B$86,MATCH(MOD(C65-6,3),Reference!$A$84:$A$86,0)),"Low"))="Medium",2,IF(OR(IF(C65&lt;=5,IFERROR(INDEX(Reference!$B$73:$B$78,MATCH(C65,Reference!$A$73:$A$78,0)),"Low"),IFERROR(INDEX(Reference!$B$84:$B$86,MATCH(MOD(C65-6,3),Reference!$A$84:$A$86,0)),"Low"))="High Non-Bullpen",IF(C65&lt;=5,IFERROR(INDEX(Reference!$B$73:$B$78,MATCH(C65,Reference!$A$73:$A$78,0)),"Low"),IFERROR(INDEX(Reference!$B$84:$B$86,MATCH(MOD(C65-6,3),Reference!$A$84:$A$86,0)),"Low"))="High Bullpen"),3,4)))),0,IF(IF(R65="No Throw",0,IF(R65="Low",1,IF(R65="Medium",2,IF(OR(R65="High Non-Bullpen",R65="High Bullpen"),3,4))))&gt;IF(IF(C65&lt;=5,IFERROR(INDEX(Reference!$B$73:$B$78,MATCH(C65,Reference!$A$73:$A$78,0)),"Low"),IFERROR(INDEX(Reference!$B$84:$B$86,MATCH(MOD(C65-6,3),Reference!$A$84:$A$86,0)),"Low"))="No Throw",0,IF(IF(C65&lt;=5,IFERROR(INDEX(Reference!$B$73:$B$78,MATCH(C65,Reference!$A$73:$A$78,0)),"Low"),IFERROR(INDEX(Reference!$B$84:$B$86,MATCH(MOD(C65-6,3),Reference!$A$84:$A$86,0)),"Low"))="Low",1,IF(IF(C65&lt;=5,IFERROR(INDEX(Reference!$B$73:$B$78,MATCH(C65,Reference!$A$73:$A$78,0)),"Low"),IFERROR(INDEX(Reference!$B$84:$B$86,MATCH(MOD(C65-6,3),Reference!$A$84:$A$86,0)),"Low"))="Medium",2,IF(OR(IF(C65&lt;=5,IFERROR(INDEX(Reference!$B$73:$B$78,MATCH(C65,Reference!$A$73:$A$78,0)),"Low"),IFERROR(INDEX(Reference!$B$84:$B$86,MATCH(MOD(C65-6,3),Reference!$A$84:$A$86,0)),"Low"))="High Non-Bullpen",IF(C65&lt;=5,IFERROR(INDEX(Reference!$B$73:$B$78,MATCH(C65,Reference!$A$73:$A$78,0)),"Low"),IFERROR(INDEX(Reference!$B$84:$B$86,MATCH(MOD(C65-6,3),Reference!$A$84:$A$86,0)),"Low"))="High Bullpen"),3,4)))),-1,1))))</f>
        <v/>
      </c>
      <c r="N66" s="32">
        <f t="shared" ca="1" si="7"/>
        <v>1</v>
      </c>
      <c r="O66" s="32" t="str">
        <f t="shared" ca="1" si="8"/>
        <v/>
      </c>
      <c r="P66" s="32" t="str">
        <f t="shared" ca="1" si="9"/>
        <v/>
      </c>
      <c r="Q66" s="32" t="str">
        <f t="shared" ca="1" si="10"/>
        <v/>
      </c>
      <c r="R66" s="32" t="str">
        <f t="shared" ca="1" si="11"/>
        <v/>
      </c>
      <c r="S66" s="47" t="str">
        <f ca="1">IFERROR(IF(R66="","",IF(R66="No Throw","Full rest — no throwing today.",IF(R66="Low",CONCATENATE(IF('Day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mph"),IF(R66="Medium",CONCATENATE(IF('Day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mph"),IF(R66="High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mph"),IF(R66="High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66" s="37"/>
    </row>
    <row r="67" spans="1:20" x14ac:dyDescent="0.3">
      <c r="A67" s="35" t="str">
        <f ca="1">IF($B$7+40&lt;$B$6,$B$7+40,"")</f>
        <v/>
      </c>
      <c r="B67" s="32" t="str">
        <f t="shared" ca="1" si="0"/>
        <v/>
      </c>
      <c r="C67" s="32" t="str">
        <f t="shared" ca="1" si="1"/>
        <v/>
      </c>
      <c r="D67" s="32" t="str">
        <f ca="1">IF(A67="","",IF(AND(T67&lt;&gt;"",T67&lt;&gt;"(none)"),T67,IF(C67&lt;=5,IFERROR(INDEX(Reference!$B$73:$B$78,MATCH(C67,Reference!$A$73:$A$78,0)),"Low"),IFERROR(INDEX(Reference!$B$84:$B$86,MATCH(MOD(C67-6,3),Reference!$A$84:$A$86,0)),"Low"))))</f>
        <v/>
      </c>
      <c r="E67" s="32" t="str">
        <f t="shared" ca="1" si="2"/>
        <v/>
      </c>
      <c r="F67" s="48" t="str">
        <f t="shared" ca="1" si="3"/>
        <v/>
      </c>
      <c r="G67" s="32" t="str">
        <f t="shared" ca="1" si="4"/>
        <v/>
      </c>
      <c r="H67" s="32" t="str">
        <f t="shared" ca="1" si="12"/>
        <v/>
      </c>
      <c r="I67" s="30" t="str">
        <f ca="1">IF(H67="","",IFERROR(INDEX('Day Type Templates'!$B$49:$B$53,MATCH(H67,'Day Type Templates'!$A$49:$A$53,0)),""))</f>
        <v/>
      </c>
      <c r="J67" s="30" t="str">
        <f ca="1">IF(F67="","",SUMIFS('Throw Log'!$Q$5:$Q$300,'Throw Log'!$B$5:$B$300,$B$4,'Throw Log'!$A$5:$A$300,F67))</f>
        <v/>
      </c>
      <c r="K67" s="46">
        <f t="shared" ca="1" si="5"/>
        <v>1</v>
      </c>
      <c r="L67" s="32">
        <f t="shared" ca="1" si="6"/>
        <v>0</v>
      </c>
      <c r="M67" s="32" t="str">
        <f ca="1">IF(A67="","",IF(R66="","",IF(IF(R66="No Throw",0,IF(R66="Low",1,IF(R66="Medium",2,IF(OR(R66="High Non-Bullpen",R66="High Bullpen"),3,4))))=IF(IF(C66&lt;=5,IFERROR(INDEX(Reference!$B$73:$B$78,MATCH(C66,Reference!$A$73:$A$78,0)),"Low"),IFERROR(INDEX(Reference!$B$84:$B$86,MATCH(MOD(C66-6,3),Reference!$A$84:$A$86,0)),"Low"))="No Throw",0,IF(IF(C66&lt;=5,IFERROR(INDEX(Reference!$B$73:$B$78,MATCH(C66,Reference!$A$73:$A$78,0)),"Low"),IFERROR(INDEX(Reference!$B$84:$B$86,MATCH(MOD(C66-6,3),Reference!$A$84:$A$86,0)),"Low"))="Low",1,IF(IF(C66&lt;=5,IFERROR(INDEX(Reference!$B$73:$B$78,MATCH(C66,Reference!$A$73:$A$78,0)),"Low"),IFERROR(INDEX(Reference!$B$84:$B$86,MATCH(MOD(C66-6,3),Reference!$A$84:$A$86,0)),"Low"))="Medium",2,IF(OR(IF(C66&lt;=5,IFERROR(INDEX(Reference!$B$73:$B$78,MATCH(C66,Reference!$A$73:$A$78,0)),"Low"),IFERROR(INDEX(Reference!$B$84:$B$86,MATCH(MOD(C66-6,3),Reference!$A$84:$A$86,0)),"Low"))="High Non-Bullpen",IF(C66&lt;=5,IFERROR(INDEX(Reference!$B$73:$B$78,MATCH(C66,Reference!$A$73:$A$78,0)),"Low"),IFERROR(INDEX(Reference!$B$84:$B$86,MATCH(MOD(C66-6,3),Reference!$A$84:$A$86,0)),"Low"))="High Bullpen"),3,4)))),0,IF(IF(R66="No Throw",0,IF(R66="Low",1,IF(R66="Medium",2,IF(OR(R66="High Non-Bullpen",R66="High Bullpen"),3,4))))&gt;IF(IF(C66&lt;=5,IFERROR(INDEX(Reference!$B$73:$B$78,MATCH(C66,Reference!$A$73:$A$78,0)),"Low"),IFERROR(INDEX(Reference!$B$84:$B$86,MATCH(MOD(C66-6,3),Reference!$A$84:$A$86,0)),"Low"))="No Throw",0,IF(IF(C66&lt;=5,IFERROR(INDEX(Reference!$B$73:$B$78,MATCH(C66,Reference!$A$73:$A$78,0)),"Low"),IFERROR(INDEX(Reference!$B$84:$B$86,MATCH(MOD(C66-6,3),Reference!$A$84:$A$86,0)),"Low"))="Low",1,IF(IF(C66&lt;=5,IFERROR(INDEX(Reference!$B$73:$B$78,MATCH(C66,Reference!$A$73:$A$78,0)),"Low"),IFERROR(INDEX(Reference!$B$84:$B$86,MATCH(MOD(C66-6,3),Reference!$A$84:$A$86,0)),"Low"))="Medium",2,IF(OR(IF(C66&lt;=5,IFERROR(INDEX(Reference!$B$73:$B$78,MATCH(C66,Reference!$A$73:$A$78,0)),"Low"),IFERROR(INDEX(Reference!$B$84:$B$86,MATCH(MOD(C66-6,3),Reference!$A$84:$A$86,0)),"Low"))="High Non-Bullpen",IF(C66&lt;=5,IFERROR(INDEX(Reference!$B$73:$B$78,MATCH(C66,Reference!$A$73:$A$78,0)),"Low"),IFERROR(INDEX(Reference!$B$84:$B$86,MATCH(MOD(C66-6,3),Reference!$A$84:$A$86,0)),"Low"))="High Bullpen"),3,4)))),-1,1))))</f>
        <v/>
      </c>
      <c r="N67" s="32">
        <f t="shared" ca="1" si="7"/>
        <v>1</v>
      </c>
      <c r="O67" s="32" t="str">
        <f t="shared" ca="1" si="8"/>
        <v/>
      </c>
      <c r="P67" s="32" t="str">
        <f t="shared" ca="1" si="9"/>
        <v/>
      </c>
      <c r="Q67" s="32" t="str">
        <f t="shared" ca="1" si="10"/>
        <v/>
      </c>
      <c r="R67" s="32" t="str">
        <f t="shared" ca="1" si="11"/>
        <v/>
      </c>
      <c r="S67" s="47" t="str">
        <f ca="1">IFERROR(IF(R67="","",IF(R67="No Throw","Full rest — no throwing today.",IF(R67="Low",CONCATENATE(IF('Day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mph"),IF(R67="Medium",CONCATENATE(IF('Day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mph"),IF(R67="High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mph"),IF(R67="High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67" s="37"/>
    </row>
    <row r="68" spans="1:20" x14ac:dyDescent="0.3">
      <c r="A68" s="35" t="str">
        <f ca="1">IF($B$7+41&lt;$B$6,$B$7+41,"")</f>
        <v/>
      </c>
      <c r="B68" s="32" t="str">
        <f t="shared" ca="1" si="0"/>
        <v/>
      </c>
      <c r="C68" s="32" t="str">
        <f t="shared" ca="1" si="1"/>
        <v/>
      </c>
      <c r="D68" s="32" t="str">
        <f ca="1">IF(A68="","",IF(AND(T68&lt;&gt;"",T68&lt;&gt;"(none)"),T68,IF(C68&lt;=5,IFERROR(INDEX(Reference!$B$73:$B$78,MATCH(C68,Reference!$A$73:$A$78,0)),"Low"),IFERROR(INDEX(Reference!$B$84:$B$86,MATCH(MOD(C68-6,3),Reference!$A$84:$A$86,0)),"Low"))))</f>
        <v/>
      </c>
      <c r="E68" s="32" t="str">
        <f t="shared" ca="1" si="2"/>
        <v/>
      </c>
      <c r="F68" s="48" t="str">
        <f t="shared" ca="1" si="3"/>
        <v/>
      </c>
      <c r="G68" s="32" t="str">
        <f t="shared" ca="1" si="4"/>
        <v/>
      </c>
      <c r="H68" s="32" t="str">
        <f t="shared" ca="1" si="12"/>
        <v/>
      </c>
      <c r="I68" s="30" t="str">
        <f ca="1">IF(H68="","",IFERROR(INDEX('Day Type Templates'!$B$49:$B$53,MATCH(H68,'Day Type Templates'!$A$49:$A$53,0)),""))</f>
        <v/>
      </c>
      <c r="J68" s="30" t="str">
        <f ca="1">IF(F68="","",SUMIFS('Throw Log'!$Q$5:$Q$300,'Throw Log'!$B$5:$B$300,$B$4,'Throw Log'!$A$5:$A$300,F68))</f>
        <v/>
      </c>
      <c r="K68" s="46">
        <f t="shared" ca="1" si="5"/>
        <v>1</v>
      </c>
      <c r="L68" s="32">
        <f t="shared" ca="1" si="6"/>
        <v>0</v>
      </c>
      <c r="M68" s="32" t="str">
        <f ca="1">IF(A68="","",IF(R67="","",IF(IF(R67="No Throw",0,IF(R67="Low",1,IF(R67="Medium",2,IF(OR(R67="High Non-Bullpen",R67="High Bullpen"),3,4))))=IF(IF(C67&lt;=5,IFERROR(INDEX(Reference!$B$73:$B$78,MATCH(C67,Reference!$A$73:$A$78,0)),"Low"),IFERROR(INDEX(Reference!$B$84:$B$86,MATCH(MOD(C67-6,3),Reference!$A$84:$A$86,0)),"Low"))="No Throw",0,IF(IF(C67&lt;=5,IFERROR(INDEX(Reference!$B$73:$B$78,MATCH(C67,Reference!$A$73:$A$78,0)),"Low"),IFERROR(INDEX(Reference!$B$84:$B$86,MATCH(MOD(C67-6,3),Reference!$A$84:$A$86,0)),"Low"))="Low",1,IF(IF(C67&lt;=5,IFERROR(INDEX(Reference!$B$73:$B$78,MATCH(C67,Reference!$A$73:$A$78,0)),"Low"),IFERROR(INDEX(Reference!$B$84:$B$86,MATCH(MOD(C67-6,3),Reference!$A$84:$A$86,0)),"Low"))="Medium",2,IF(OR(IF(C67&lt;=5,IFERROR(INDEX(Reference!$B$73:$B$78,MATCH(C67,Reference!$A$73:$A$78,0)),"Low"),IFERROR(INDEX(Reference!$B$84:$B$86,MATCH(MOD(C67-6,3),Reference!$A$84:$A$86,0)),"Low"))="High Non-Bullpen",IF(C67&lt;=5,IFERROR(INDEX(Reference!$B$73:$B$78,MATCH(C67,Reference!$A$73:$A$78,0)),"Low"),IFERROR(INDEX(Reference!$B$84:$B$86,MATCH(MOD(C67-6,3),Reference!$A$84:$A$86,0)),"Low"))="High Bullpen"),3,4)))),0,IF(IF(R67="No Throw",0,IF(R67="Low",1,IF(R67="Medium",2,IF(OR(R67="High Non-Bullpen",R67="High Bullpen"),3,4))))&gt;IF(IF(C67&lt;=5,IFERROR(INDEX(Reference!$B$73:$B$78,MATCH(C67,Reference!$A$73:$A$78,0)),"Low"),IFERROR(INDEX(Reference!$B$84:$B$86,MATCH(MOD(C67-6,3),Reference!$A$84:$A$86,0)),"Low"))="No Throw",0,IF(IF(C67&lt;=5,IFERROR(INDEX(Reference!$B$73:$B$78,MATCH(C67,Reference!$A$73:$A$78,0)),"Low"),IFERROR(INDEX(Reference!$B$84:$B$86,MATCH(MOD(C67-6,3),Reference!$A$84:$A$86,0)),"Low"))="Low",1,IF(IF(C67&lt;=5,IFERROR(INDEX(Reference!$B$73:$B$78,MATCH(C67,Reference!$A$73:$A$78,0)),"Low"),IFERROR(INDEX(Reference!$B$84:$B$86,MATCH(MOD(C67-6,3),Reference!$A$84:$A$86,0)),"Low"))="Medium",2,IF(OR(IF(C67&lt;=5,IFERROR(INDEX(Reference!$B$73:$B$78,MATCH(C67,Reference!$A$73:$A$78,0)),"Low"),IFERROR(INDEX(Reference!$B$84:$B$86,MATCH(MOD(C67-6,3),Reference!$A$84:$A$86,0)),"Low"))="High Non-Bullpen",IF(C67&lt;=5,IFERROR(INDEX(Reference!$B$73:$B$78,MATCH(C67,Reference!$A$73:$A$78,0)),"Low"),IFERROR(INDEX(Reference!$B$84:$B$86,MATCH(MOD(C67-6,3),Reference!$A$84:$A$86,0)),"Low"))="High Bullpen"),3,4)))),-1,1))))</f>
        <v/>
      </c>
      <c r="N68" s="32">
        <f t="shared" ca="1" si="7"/>
        <v>1</v>
      </c>
      <c r="O68" s="32" t="str">
        <f t="shared" ca="1" si="8"/>
        <v/>
      </c>
      <c r="P68" s="32" t="str">
        <f t="shared" ca="1" si="9"/>
        <v/>
      </c>
      <c r="Q68" s="32" t="str">
        <f t="shared" ca="1" si="10"/>
        <v/>
      </c>
      <c r="R68" s="32" t="str">
        <f t="shared" ca="1" si="11"/>
        <v/>
      </c>
      <c r="S68" s="47" t="str">
        <f ca="1">IFERROR(IF(R68="","",IF(R68="No Throw","Full rest — no throwing today.",IF(R68="Low",CONCATENATE(IF('Day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mph"),IF(R68="Medium",CONCATENATE(IF('Day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mph"),IF(R68="High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mph"),IF(R68="High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68" s="37"/>
    </row>
    <row r="69" spans="1:20" x14ac:dyDescent="0.3">
      <c r="A69" s="35" t="str">
        <f ca="1">IF($B$7+42&lt;$B$6,$B$7+42,"")</f>
        <v/>
      </c>
      <c r="B69" s="32" t="str">
        <f t="shared" ca="1" si="0"/>
        <v/>
      </c>
      <c r="C69" s="32" t="str">
        <f t="shared" ca="1" si="1"/>
        <v/>
      </c>
      <c r="D69" s="32" t="str">
        <f ca="1">IF(A69="","",IF(AND(T69&lt;&gt;"",T69&lt;&gt;"(none)"),T69,IF(C69&lt;=5,IFERROR(INDEX(Reference!$B$73:$B$78,MATCH(C69,Reference!$A$73:$A$78,0)),"Low"),IFERROR(INDEX(Reference!$B$84:$B$86,MATCH(MOD(C69-6,3),Reference!$A$84:$A$86,0)),"Low"))))</f>
        <v/>
      </c>
      <c r="E69" s="32" t="str">
        <f t="shared" ca="1" si="2"/>
        <v/>
      </c>
      <c r="F69" s="48" t="str">
        <f t="shared" ca="1" si="3"/>
        <v/>
      </c>
      <c r="G69" s="32" t="str">
        <f t="shared" ca="1" si="4"/>
        <v/>
      </c>
      <c r="H69" s="32" t="str">
        <f t="shared" ca="1" si="12"/>
        <v/>
      </c>
      <c r="I69" s="30" t="str">
        <f ca="1">IF(H69="","",IFERROR(INDEX('Day Type Templates'!$B$49:$B$53,MATCH(H69,'Day Type Templates'!$A$49:$A$53,0)),""))</f>
        <v/>
      </c>
      <c r="J69" s="30" t="str">
        <f ca="1">IF(F69="","",SUMIFS('Throw Log'!$Q$5:$Q$300,'Throw Log'!$B$5:$B$300,$B$4,'Throw Log'!$A$5:$A$300,F69))</f>
        <v/>
      </c>
      <c r="K69" s="46">
        <f t="shared" ca="1" si="5"/>
        <v>1</v>
      </c>
      <c r="L69" s="32">
        <f t="shared" ca="1" si="6"/>
        <v>0</v>
      </c>
      <c r="M69" s="32" t="str">
        <f ca="1">IF(A69="","",IF(R68="","",IF(IF(R68="No Throw",0,IF(R68="Low",1,IF(R68="Medium",2,IF(OR(R68="High Non-Bullpen",R68="High Bullpen"),3,4))))=IF(IF(C68&lt;=5,IFERROR(INDEX(Reference!$B$73:$B$78,MATCH(C68,Reference!$A$73:$A$78,0)),"Low"),IFERROR(INDEX(Reference!$B$84:$B$86,MATCH(MOD(C68-6,3),Reference!$A$84:$A$86,0)),"Low"))="No Throw",0,IF(IF(C68&lt;=5,IFERROR(INDEX(Reference!$B$73:$B$78,MATCH(C68,Reference!$A$73:$A$78,0)),"Low"),IFERROR(INDEX(Reference!$B$84:$B$86,MATCH(MOD(C68-6,3),Reference!$A$84:$A$86,0)),"Low"))="Low",1,IF(IF(C68&lt;=5,IFERROR(INDEX(Reference!$B$73:$B$78,MATCH(C68,Reference!$A$73:$A$78,0)),"Low"),IFERROR(INDEX(Reference!$B$84:$B$86,MATCH(MOD(C68-6,3),Reference!$A$84:$A$86,0)),"Low"))="Medium",2,IF(OR(IF(C68&lt;=5,IFERROR(INDEX(Reference!$B$73:$B$78,MATCH(C68,Reference!$A$73:$A$78,0)),"Low"),IFERROR(INDEX(Reference!$B$84:$B$86,MATCH(MOD(C68-6,3),Reference!$A$84:$A$86,0)),"Low"))="High Non-Bullpen",IF(C68&lt;=5,IFERROR(INDEX(Reference!$B$73:$B$78,MATCH(C68,Reference!$A$73:$A$78,0)),"Low"),IFERROR(INDEX(Reference!$B$84:$B$86,MATCH(MOD(C68-6,3),Reference!$A$84:$A$86,0)),"Low"))="High Bullpen"),3,4)))),0,IF(IF(R68="No Throw",0,IF(R68="Low",1,IF(R68="Medium",2,IF(OR(R68="High Non-Bullpen",R68="High Bullpen"),3,4))))&gt;IF(IF(C68&lt;=5,IFERROR(INDEX(Reference!$B$73:$B$78,MATCH(C68,Reference!$A$73:$A$78,0)),"Low"),IFERROR(INDEX(Reference!$B$84:$B$86,MATCH(MOD(C68-6,3),Reference!$A$84:$A$86,0)),"Low"))="No Throw",0,IF(IF(C68&lt;=5,IFERROR(INDEX(Reference!$B$73:$B$78,MATCH(C68,Reference!$A$73:$A$78,0)),"Low"),IFERROR(INDEX(Reference!$B$84:$B$86,MATCH(MOD(C68-6,3),Reference!$A$84:$A$86,0)),"Low"))="Low",1,IF(IF(C68&lt;=5,IFERROR(INDEX(Reference!$B$73:$B$78,MATCH(C68,Reference!$A$73:$A$78,0)),"Low"),IFERROR(INDEX(Reference!$B$84:$B$86,MATCH(MOD(C68-6,3),Reference!$A$84:$A$86,0)),"Low"))="Medium",2,IF(OR(IF(C68&lt;=5,IFERROR(INDEX(Reference!$B$73:$B$78,MATCH(C68,Reference!$A$73:$A$78,0)),"Low"),IFERROR(INDEX(Reference!$B$84:$B$86,MATCH(MOD(C68-6,3),Reference!$A$84:$A$86,0)),"Low"))="High Non-Bullpen",IF(C68&lt;=5,IFERROR(INDEX(Reference!$B$73:$B$78,MATCH(C68,Reference!$A$73:$A$78,0)),"Low"),IFERROR(INDEX(Reference!$B$84:$B$86,MATCH(MOD(C68-6,3),Reference!$A$84:$A$86,0)),"Low"))="High Bullpen"),3,4)))),-1,1))))</f>
        <v/>
      </c>
      <c r="N69" s="32">
        <f t="shared" ca="1" si="7"/>
        <v>1</v>
      </c>
      <c r="O69" s="32" t="str">
        <f t="shared" ca="1" si="8"/>
        <v/>
      </c>
      <c r="P69" s="32" t="str">
        <f t="shared" ca="1" si="9"/>
        <v/>
      </c>
      <c r="Q69" s="32" t="str">
        <f t="shared" ca="1" si="10"/>
        <v/>
      </c>
      <c r="R69" s="32" t="str">
        <f t="shared" ca="1" si="11"/>
        <v/>
      </c>
      <c r="S69" s="47" t="str">
        <f ca="1">IFERROR(IF(R69="","",IF(R69="No Throw","Full rest — no throwing today.",IF(R69="Low",CONCATENATE(IF('Day Type Templates'!$R$10&gt;1,"Long toss out to "&amp;'Day Type Templates'!$E$10&amp;" ft — "&amp;'Day Type Templates'!$F$10&amp;"-"&amp;'Day Type Templates'!$G$10&amp;" throws"&amp;" ("&amp;'Day Type Templates'!$Q$10&amp;")",IF('Day Type Templates'!$E$10="","Mound",'Day Type Templates'!$E$10&amp;" ft")&amp;" — "&amp;'Day Type Templates'!$F$10&amp;"-"&amp;'Day Type Templates'!$G$10&amp;" throws")&amp;" @ "&amp;ROUND($B$8-'Day Type Templates'!$J$10,0)&amp;"-"&amp;ROUND($B$8-'Day Type Templates'!$I$10,0)&amp;" mph","  +  ",IF('Day Type Templates'!$R$11&gt;1,"Long toss out to "&amp;'Day Type Templates'!$E$11&amp;" ft — "&amp;'Day Type Templates'!$F$11&amp;"-"&amp;'Day Type Templates'!$G$11&amp;" throws"&amp;" ("&amp;'Day Type Templates'!$Q$11&amp;")",IF('Day Type Templates'!$E$11="","Mound",'Day Type Templates'!$E$11&amp;" ft")&amp;" — "&amp;'Day Type Templates'!$F$11&amp;"-"&amp;'Day Type Templates'!$G$11&amp;" throws")&amp;" @ "&amp;ROUND($B$8-'Day Type Templates'!$J$11,0)&amp;"-"&amp;ROUND($B$8-'Day Type Templates'!$I$11,0)&amp;" mph"),IF(R69="Medium",CONCATENATE(IF('Day Type Templates'!$R$14&gt;1,"Long toss out to "&amp;'Day Type Templates'!$E$14&amp;" ft — "&amp;'Day Type Templates'!$F$14&amp;"-"&amp;'Day Type Templates'!$G$14&amp;" throws"&amp;" ("&amp;'Day Type Templates'!$Q$14&amp;")",IF('Day Type Templates'!$E$14="","Mound",'Day Type Templates'!$E$14&amp;" ft")&amp;" — "&amp;'Day Type Templates'!$F$14&amp;"-"&amp;'Day Type Templates'!$G$14&amp;" throws")&amp;" @ "&amp;ROUND($B$8-'Day Type Templates'!$J$14,0)&amp;"-"&amp;ROUND($B$8-'Day Type Templates'!$I$14,0)&amp;" mph","  +  ",IF('Day Type Templates'!$R$15&gt;1,"Long toss out to "&amp;'Day Type Templates'!$E$15&amp;" ft — "&amp;'Day Type Templates'!$F$15&amp;"-"&amp;'Day Type Templates'!$G$15&amp;" throws"&amp;" ("&amp;'Day Type Templates'!$Q$15&amp;")",IF('Day Type Templates'!$E$15="","Mound",'Day Type Templates'!$E$15&amp;" ft")&amp;" — "&amp;'Day Type Templates'!$F$15&amp;"-"&amp;'Day Type Templates'!$G$15&amp;" throws")&amp;" @ "&amp;ROUND($B$8-'Day Type Templates'!$J$15,0)&amp;"-"&amp;ROUND($B$8-'Day Type Templates'!$I$15,0)&amp;" mph"),IF(R69="High Non-Bullpen",CONCATENATE(IF('Day Type Templates'!$R$18&gt;1,"Long toss out to "&amp;'Day Type Templates'!$E$18&amp;" ft — "&amp;'Day Type Templates'!$F$18&amp;"-"&amp;'Day Type Templates'!$G$18&amp;" throws"&amp;" ("&amp;'Day Type Templates'!$Q$18&amp;")",IF('Day Type Templates'!$E$18="","Mound",'Day Type Templates'!$E$18&amp;" ft")&amp;" — "&amp;'Day Type Templates'!$F$18&amp;"-"&amp;'Day Type Templates'!$G$18&amp;" throws")&amp;" @ "&amp;ROUND($B$8-'Day Type Templates'!$J$18,0)&amp;"-"&amp;ROUND($B$8-'Day Type Templates'!$I$18,0)&amp;" mph","  +  ",IF('Day Type Templates'!$R$19&gt;1,"Long toss out to "&amp;'Day Type Templates'!$E$19&amp;" ft — "&amp;'Day Type Templates'!$F$19&amp;"-"&amp;'Day Type Templates'!$G$19&amp;" throws"&amp;" ("&amp;'Day Type Templates'!$Q$19&amp;")",IF('Day Type Templates'!$E$19="","Mound",'Day Type Templates'!$E$19&amp;" ft")&amp;" — "&amp;'Day Type Templates'!$F$19&amp;"-"&amp;'Day Type Templates'!$G$19&amp;" throws")&amp;" @ "&amp;ROUND($B$8-'Day Type Templates'!$J$19,0)&amp;"-"&amp;ROUND($B$8-'Day Type Templates'!$I$19,0)&amp;" mph","  +  ",IF('Day Type Templates'!$R$20&gt;1,"Long toss out to "&amp;'Day Type Templates'!$E$20&amp;" ft — "&amp;'Day Type Templates'!$F$20&amp;"-"&amp;'Day Type Templates'!$G$20&amp;" throws"&amp;" ("&amp;'Day Type Templates'!$Q$20&amp;")",IF('Day Type Templates'!$E$20="","Mound",'Day Type Templates'!$E$20&amp;" ft")&amp;" — "&amp;'Day Type Templates'!$F$20&amp;"-"&amp;'Day Type Templates'!$G$20&amp;" throws")&amp;" @ "&amp;ROUND($B$8-'Day Type Templates'!$J$20,0)&amp;"-"&amp;ROUND($B$8-'Day Type Templates'!$I$20,0)&amp;" mph"),IF(R69="High Bullpen",CONCATENATE(IF('Day Type Templates'!$R$24&gt;1,"Long toss out to "&amp;'Day Type Templates'!$E$24&amp;" ft — "&amp;'Day Type Templates'!$F$24&amp;"-"&amp;'Day Type Templates'!$G$24&amp;" throws"&amp;" ("&amp;'Day Type Templates'!$Q$24&amp;")",IF('Day Type Templates'!$E$24="","Mound",'Day Type Templates'!$E$24&amp;" ft")&amp;" — "&amp;'Day Type Templates'!$F$24&amp;"-"&amp;'Day Type Templates'!$G$24&amp;" throws")&amp;" @ "&amp;ROUND($B$8-'Day Type Templates'!$J$24,0)&amp;"-"&amp;ROUND($B$8-'Day Type Templates'!$I$24,0)&amp;" mph","  +  ",IF('Day Type Templates'!$R$25&gt;1,"Long toss out to "&amp;'Day Type Templates'!$E$25&amp;" ft — "&amp;'Day Type Templates'!$F$25&amp;"-"&amp;'Day Type Templates'!$G$25&amp;" throws"&amp;" ("&amp;'Day Type Templates'!$Q$25&amp;")",IF('Day Type Templates'!$E$25="","Mound",'Day Type Templates'!$E$25&amp;" ft")&amp;" — "&amp;'Day Type Templates'!$F$25&amp;"-"&amp;'Day Type Templates'!$G$25&amp;" throws")&amp;" @ "&amp;ROUND($B$8-'Day Type Templates'!$J$25,0)&amp;"-"&amp;ROUND($B$8-'Day Type Templates'!$I$25,0)&amp;" mph"),"Game — see Reference tab for warm-up rules")))))),"Add this player and his Avg Top Velo on the Roster tab to see mph targets.")</f>
        <v/>
      </c>
      <c r="T69" s="37"/>
    </row>
  </sheetData>
  <mergeCells count="13">
    <mergeCell ref="E23:T23"/>
    <mergeCell ref="A24:T24"/>
    <mergeCell ref="A25:T25"/>
    <mergeCell ref="C16:T16"/>
    <mergeCell ref="A18:T18"/>
    <mergeCell ref="B20:D20"/>
    <mergeCell ref="B21:T21"/>
    <mergeCell ref="B22:T22"/>
    <mergeCell ref="A1:T1"/>
    <mergeCell ref="A2:T2"/>
    <mergeCell ref="A9:T9"/>
    <mergeCell ref="A10:T10"/>
    <mergeCell ref="B15:F15"/>
  </mergeCells>
  <conditionalFormatting sqref="B14">
    <cfRule type="expression" dxfId="59" priority="2">
      <formula>B14="Sweet Spot"</formula>
    </cfRule>
    <cfRule type="expression" dxfId="58" priority="3">
      <formula>B14="Undertrained"</formula>
    </cfRule>
    <cfRule type="expression" dxfId="57" priority="4">
      <formula>B14="Caution"</formula>
    </cfRule>
    <cfRule type="expression" dxfId="56" priority="5">
      <formula>B14="High Risk"</formula>
    </cfRule>
  </conditionalFormatting>
  <dataValidations count="2">
    <dataValidation type="list" allowBlank="1" sqref="B5" xr:uid="{00000000-0002-0000-0600-000001000000}">
      <formula1>"Game,High Bullpen,Low Bullpen"</formula1>
      <formula2>0</formula2>
    </dataValidation>
    <dataValidation type="list" allowBlank="1" sqref="T28:T69" xr:uid="{00000000-0002-0000-0600-000002000000}">
      <formula1>"(none),No Throw,Low,Medium,High Non-Bullpen,High Bullpen,Game"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600-000000000000}">
          <x14:formula1>
            <xm:f>Roster!$A$5:$A$40</xm:f>
          </x14:formula1>
          <x14:formula2>
            <xm:f>0</xm:f>
          </x14:formula2>
          <xm:sqref>B4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183"/>
  <sheetViews>
    <sheetView showGridLines="0" zoomScaleNormal="100" workbookViewId="0"/>
  </sheetViews>
  <sheetFormatPr defaultColWidth="8.6640625" defaultRowHeight="14.4" x14ac:dyDescent="0.3"/>
  <cols>
    <col min="1" max="1" width="11" customWidth="1"/>
    <col min="2" max="2" width="7" customWidth="1"/>
    <col min="3" max="3" width="9" customWidth="1"/>
    <col min="4" max="4" width="19" customWidth="1"/>
    <col min="5" max="5" width="17" customWidth="1"/>
    <col min="6" max="6" width="21" customWidth="1"/>
    <col min="7" max="7" width="64" customWidth="1"/>
    <col min="8" max="10" width="11" customWidth="1"/>
    <col min="11" max="11" width="22" customWidth="1"/>
    <col min="12" max="40" width="13" hidden="1" customWidth="1"/>
    <col min="41" max="43" width="11" customWidth="1"/>
  </cols>
  <sheetData>
    <row r="1" spans="1:11" ht="21" x14ac:dyDescent="0.4">
      <c r="A1" s="14" t="s">
        <v>277</v>
      </c>
      <c r="B1" s="14"/>
      <c r="C1" s="14"/>
      <c r="D1" s="14"/>
      <c r="E1" s="14"/>
      <c r="F1" s="14"/>
      <c r="G1" s="14"/>
    </row>
    <row r="2" spans="1:11" ht="103.5" customHeight="1" x14ac:dyDescent="0.3">
      <c r="A2" s="11" t="s">
        <v>278</v>
      </c>
      <c r="B2" s="11"/>
      <c r="C2" s="11"/>
      <c r="D2" s="11"/>
      <c r="E2" s="11"/>
      <c r="F2" s="11"/>
      <c r="G2" s="11"/>
    </row>
    <row r="4" spans="1:11" x14ac:dyDescent="0.3">
      <c r="A4" s="3" t="s">
        <v>151</v>
      </c>
      <c r="B4" s="3"/>
      <c r="C4" s="3"/>
      <c r="D4" s="37" t="s">
        <v>144</v>
      </c>
      <c r="F4" s="21" t="s">
        <v>279</v>
      </c>
      <c r="G4" s="49">
        <f>IFERROR($D$7-$D$6,"")</f>
        <v>84</v>
      </c>
      <c r="I4" s="2" t="s">
        <v>280</v>
      </c>
      <c r="J4" s="2"/>
      <c r="K4" s="2"/>
    </row>
    <row r="5" spans="1:11" x14ac:dyDescent="0.3">
      <c r="A5" s="3" t="s">
        <v>281</v>
      </c>
      <c r="B5" s="3"/>
      <c r="C5" s="3"/>
      <c r="D5" s="32">
        <f>IFERROR(INDEX(Roster!$D$5:$D$40,MATCH($D$4,Roster!$A$5:$A$40,0)),"")</f>
        <v>91</v>
      </c>
      <c r="F5" s="21" t="s">
        <v>282</v>
      </c>
      <c r="G5" s="49">
        <f>IFERROR(ROUNDUP(($G$4-7)/7,0),"")</f>
        <v>11</v>
      </c>
      <c r="I5" s="1" t="s">
        <v>283</v>
      </c>
      <c r="J5" s="1"/>
      <c r="K5" s="44" t="str">
        <f>IFERROR(IF(SUMPRODUCT(MAX(('Throw Log'!$B$5:$B$300=$D$4)*('Throw Log'!$A$5:$A$300&lt;$D$6)*ISNUMBER('Throw Log'!$Q$5:$Q$300)*('Throw Log'!$Q$5:$Q$300&gt;0)*'Throw Log'!$A$5:$A$300))=0,"none logged",$D$6-SUMPRODUCT(MAX(('Throw Log'!$B$5:$B$300=$D$4)*('Throw Log'!$A$5:$A$300&lt;$D$6)*ISNUMBER('Throw Log'!$Q$5:$Q$300)*('Throw Log'!$Q$5:$Q$300&gt;0)*'Throw Log'!$A$5:$A$300))),"")</f>
        <v>none logged</v>
      </c>
    </row>
    <row r="6" spans="1:11" x14ac:dyDescent="0.3">
      <c r="A6" s="3" t="s">
        <v>284</v>
      </c>
      <c r="B6" s="3"/>
      <c r="C6" s="3"/>
      <c r="D6" s="38">
        <v>46307</v>
      </c>
      <c r="F6" s="21" t="s">
        <v>285</v>
      </c>
      <c r="G6" s="49">
        <f>IFERROR(IF($K$12=1,MIN($G$8,$G$11/4),IF($D$10="Auto (from Throw Log)",Reference!$B$94,VLOOKUP($D$10,Reference!$A$93:$D$96,2,FALSE()))*$D$12),"")</f>
        <v>80</v>
      </c>
      <c r="I6" s="1" t="s">
        <v>286</v>
      </c>
      <c r="J6" s="1"/>
      <c r="K6" s="44">
        <f>IFERROR(SUMIFS('Throw Log'!$Q$5:$Q$300,'Throw Log'!$B$5:$B$300,$D$4,'Throw Log'!$A$5:$A$300,"&gt;="&amp;($D$6-7),'Throw Log'!$A$5:$A$300,"&lt;="&amp;($D$6-0-1)),0)</f>
        <v>0</v>
      </c>
    </row>
    <row r="7" spans="1:11" x14ac:dyDescent="0.3">
      <c r="A7" s="3" t="s">
        <v>287</v>
      </c>
      <c r="B7" s="3"/>
      <c r="C7" s="3"/>
      <c r="D7" s="38">
        <v>46391</v>
      </c>
      <c r="F7" s="21" t="s">
        <v>288</v>
      </c>
      <c r="G7" s="50">
        <f>IFERROR(IF($D$10="Auto (from Throw Log)",IF($K$12=1,MIN(0.55,MAX(0,($G$6-Reference!$B$94*$D$12)/MAX(1,$G$8-Reference!$B$94*$D$12)*0.55)),0),VLOOKUP($D$10,Reference!$A$93:$D$96,3,FALSE())),0)</f>
        <v>0</v>
      </c>
      <c r="I7" s="1" t="s">
        <v>289</v>
      </c>
      <c r="J7" s="1"/>
      <c r="K7" s="44">
        <f>IFERROR(SUMIFS('Throw Log'!$Q$5:$Q$300,'Throw Log'!$B$5:$B$300,$D$4,'Throw Log'!$A$5:$A$300,"&gt;="&amp;($D$6-14),'Throw Log'!$A$5:$A$300,"&lt;="&amp;($D$6-7-1)),0)</f>
        <v>0</v>
      </c>
    </row>
    <row r="8" spans="1:11" x14ac:dyDescent="0.3">
      <c r="A8" s="3" t="s">
        <v>290</v>
      </c>
      <c r="B8" s="3"/>
      <c r="C8" s="3"/>
      <c r="D8" s="51">
        <v>20</v>
      </c>
      <c r="F8" s="21" t="s">
        <v>291</v>
      </c>
      <c r="G8" s="49">
        <f>Reference!$B$97*$D$12</f>
        <v>260</v>
      </c>
      <c r="I8" s="1" t="s">
        <v>292</v>
      </c>
      <c r="J8" s="1"/>
      <c r="K8" s="44">
        <f>IFERROR(SUMIFS('Throw Log'!$Q$5:$Q$300,'Throw Log'!$B$5:$B$300,$D$4,'Throw Log'!$A$5:$A$300,"&gt;="&amp;($D$6-21),'Throw Log'!$A$5:$A$300,"&lt;="&amp;($D$6-14-1)),0)</f>
        <v>0</v>
      </c>
    </row>
    <row r="9" spans="1:11" x14ac:dyDescent="0.3">
      <c r="A9" s="3" t="s">
        <v>293</v>
      </c>
      <c r="B9" s="3"/>
      <c r="C9" s="3"/>
      <c r="D9" s="51">
        <v>84</v>
      </c>
      <c r="E9" s="37">
        <v>86</v>
      </c>
      <c r="F9" s="21" t="s">
        <v>294</v>
      </c>
      <c r="G9" s="52">
        <f>IFERROR(MIN(Reference!$B$98,MAX(1,($G$8/$G$6)^(1/MAX(1,$G$5-1)))),1)</f>
        <v>1.125092775800282</v>
      </c>
      <c r="I9" s="1" t="s">
        <v>295</v>
      </c>
      <c r="J9" s="1"/>
      <c r="K9" s="44">
        <f>IFERROR(SUMIFS('Throw Log'!$Q$5:$Q$300,'Throw Log'!$B$5:$B$300,$D$4,'Throw Log'!$A$5:$A$300,"&gt;="&amp;($D$6-28),'Throw Log'!$A$5:$A$300,"&lt;="&amp;($D$6-21-1)),0)</f>
        <v>0</v>
      </c>
    </row>
    <row r="10" spans="1:11" x14ac:dyDescent="0.3">
      <c r="A10" s="3" t="s">
        <v>99</v>
      </c>
      <c r="B10" s="3"/>
      <c r="C10" s="3"/>
      <c r="D10" s="7" t="s">
        <v>103</v>
      </c>
      <c r="E10" s="7"/>
      <c r="F10" s="21" t="s">
        <v>296</v>
      </c>
      <c r="G10" s="53">
        <f>IFERROR(MIN(1,$G$6*$G$9^($G$5-1)/$G$8),1)</f>
        <v>1</v>
      </c>
      <c r="I10" s="1" t="s">
        <v>297</v>
      </c>
      <c r="J10" s="1"/>
      <c r="K10" s="46" t="str">
        <f>IFERROR(IF(SUM($K$6:$K$9)=0,"—",($K$6/7)/(SUM($K$6:$K$9)/28)),"—")</f>
        <v>—</v>
      </c>
    </row>
    <row r="11" spans="1:11" x14ac:dyDescent="0.3">
      <c r="A11" s="3" t="s">
        <v>298</v>
      </c>
      <c r="B11" s="3"/>
      <c r="C11" s="3"/>
      <c r="D11" s="51">
        <v>180</v>
      </c>
      <c r="F11" s="21" t="s">
        <v>299</v>
      </c>
      <c r="G11" s="49">
        <f>IFERROR(SUMIFS('Throw Log'!$Q$5:$Q$300,'Throw Log'!$B$5:$B$300,$D$4,'Throw Log'!$A$5:$A$300,"&gt;="&amp;($D$6-28),'Throw Log'!$A$5:$A$300,"&lt;="&amp;($D$6-1)),0)</f>
        <v>0</v>
      </c>
      <c r="I11" s="1" t="s">
        <v>300</v>
      </c>
      <c r="J11" s="1"/>
      <c r="K11" s="32" t="str">
        <f>IF($K$12=1,"Continue from his load",IF($G$11&gt;0,"Restart (off too long)","Fresh start"))</f>
        <v>Fresh start</v>
      </c>
    </row>
    <row r="12" spans="1:11" x14ac:dyDescent="0.3">
      <c r="A12" s="3" t="s">
        <v>301</v>
      </c>
      <c r="B12" s="3"/>
      <c r="C12" s="3"/>
      <c r="D12" s="54">
        <v>1</v>
      </c>
      <c r="F12" s="21" t="s">
        <v>302</v>
      </c>
      <c r="G12" s="50">
        <f>IFERROR(INDEX($I$43:$I$183,$G$4+1),"")</f>
        <v>1.3197223370749587</v>
      </c>
      <c r="I12" s="1" t="s">
        <v>303</v>
      </c>
      <c r="J12" s="1"/>
      <c r="K12" s="55">
        <f>IF(AND(ISNUMBER($K$5),N($K$5)&lt;=Reference!$B$105,$G$11&gt;0),1,0)</f>
        <v>0</v>
      </c>
    </row>
    <row r="13" spans="1:11" x14ac:dyDescent="0.3">
      <c r="F13" s="21" t="s">
        <v>304</v>
      </c>
      <c r="G13" s="50">
        <f>IFERROR(MAX($I$43:$I$183),"")</f>
        <v>1.3197223370749587</v>
      </c>
    </row>
    <row r="14" spans="1:11" x14ac:dyDescent="0.3">
      <c r="A14" s="57" t="str">
        <f>IFERROR(IF($D$5="","Pick a player who is on the Roster (with his Avg Top Velo filled in).",IF($G$4&lt;IF($D$10="Auto (from Throw Log)",IF($K$12=1,Reference!$D$96,Reference!$D$94),VLOOKUP($D$10,Reference!$A$93:$D$96,4,FALSE())),"⚠ "&amp;$G$4&amp;" days is shorter than the recommended "&amp;IF($D$10="Auto (from Throw Log)",IF($K$12=1,Reference!$D$96,Reference!$D$94),VLOOKUP($D$10,Reference!$A$93:$D$96,4,FALSE()))&amp;" days for this starting point — expect ACWR spikes. Push the first pen back or change the Starting Point.",IF($G$4&gt;140,"⚠ The table covers 140 days max — move the start date later.",IF(COUNTIFS($I$43:$I$183,"&gt;1.3")&gt;0,"⚠ "&amp;COUNTIFS($I$43:$I$183,"&gt;1.3")&amp;" day(s) above 1.3 — see the ACWR column; use Make Off / Throws Override to smooth it out.",IF(COUNTIFS($I$43:$I$183,"&lt;0.8")&gt;0,"✓ No spikes above 1.3. "&amp;COUNTIFS($I$43:$I$183,"&lt;0.8")&amp;" day(s) read below 0.8 — that's him stepping down from a heavier recent load, not a risk.","✓ Every readable day sits in the 0.8–1.3 sweet spot, including the first pen."))))),"Fill in the start and first-bullpen dates.")</f>
        <v>⚠ 1 day(s) above 1.3 — see the ACWR column; use Make Off / Throws Override to smooth it out.</v>
      </c>
      <c r="B14" s="57"/>
      <c r="C14" s="57"/>
      <c r="D14" s="57"/>
      <c r="E14" s="57"/>
      <c r="F14" s="57"/>
      <c r="G14" s="57"/>
    </row>
    <row r="15" spans="1:11" x14ac:dyDescent="0.3">
      <c r="A15" s="57"/>
      <c r="B15" s="57"/>
      <c r="C15" s="57"/>
      <c r="D15" s="57"/>
      <c r="E15" s="57"/>
      <c r="F15" s="57"/>
      <c r="G15" s="57"/>
    </row>
    <row r="16" spans="1:11" x14ac:dyDescent="0.3">
      <c r="A16" s="13" t="str">
        <f>IFERROR("First pen at "&amp;$D$9&amp;"–"&amp;$E$9&amp;" mph = "&amp;ROUND($D$5-$E$9,0)&amp;"–"&amp;ROUND($D$5-$D$9,0)&amp;" mph below his avg"&amp;IF($D$5-$E$9&lt;4," — the top end is in his max-effort band; consider lowering the pen velo for him.","."),"")</f>
        <v>First pen at 84–86 mph = 5–7 mph below his avg.</v>
      </c>
      <c r="B16" s="13"/>
      <c r="C16" s="13"/>
      <c r="D16" s="13"/>
      <c r="E16" s="13"/>
      <c r="F16" s="13"/>
      <c r="G16" s="13"/>
    </row>
    <row r="17" spans="1:7" x14ac:dyDescent="0.3">
      <c r="A17" s="13" t="str">
        <f>IF($K$12=1,"ℹ Built off his Throw Log: starts at his average week over the last 28 days ("&amp;ROUND($G$11/4,0)&amp;"/week)"&amp;IF($G$11/4&gt;$G$8," — capped at this plan's peak, a planned cut-back","")&amp;", and that history counts toward his ACWR from day 1.",IF($G$11&gt;0,"ℹ He's been off "&amp;$K$5&amp;" days, more than the "&amp;Reference!$B$105&amp;" his history can cover — his old workload will expire out of the 28-day window, so the plan treats this as a restart and the ACWR reads from day 28.","ℹ No throwing logged for him in the 28 days before the start date — fresh start, ACWR reads from day 28."))</f>
        <v>ℹ No throwing logged for him in the 28 days before the start date — fresh start, ACWR reads from day 28.</v>
      </c>
      <c r="B17" s="13"/>
      <c r="C17" s="13"/>
      <c r="D17" s="13"/>
      <c r="E17" s="13"/>
      <c r="F17" s="13"/>
      <c r="G17" s="13"/>
    </row>
    <row r="18" spans="1:7" ht="30" customHeight="1" x14ac:dyDescent="0.3">
      <c r="A18" s="19" t="s">
        <v>203</v>
      </c>
      <c r="B18" s="19" t="s">
        <v>305</v>
      </c>
      <c r="C18" s="19" t="s">
        <v>306</v>
      </c>
      <c r="D18" s="19" t="s">
        <v>205</v>
      </c>
      <c r="E18" s="19" t="s">
        <v>207</v>
      </c>
      <c r="F18" s="19" t="s">
        <v>307</v>
      </c>
    </row>
    <row r="19" spans="1:7" x14ac:dyDescent="0.3">
      <c r="A19" s="48">
        <f t="shared" ref="A19:A39" si="0">IFERROR(IF($D$6+7*(B19-1)&gt;$D$7,"",$D$6+7*(B19-1)),"")</f>
        <v>46307</v>
      </c>
      <c r="B19" s="32">
        <v>1</v>
      </c>
      <c r="C19" s="32">
        <f t="shared" ref="C19:C39" si="1">IF(A19="","",COUNTIFS($M$43:$M$183,B19,$H$43:$H$183,"&gt;0"))</f>
        <v>4</v>
      </c>
      <c r="D19" s="44">
        <f t="shared" ref="D19:D39" si="2">IF(A19="","",SUMIFS($H$43:$H$183,$M$43:$M$183,B19))</f>
        <v>66</v>
      </c>
      <c r="E19" s="45"/>
      <c r="F19" s="46" t="str">
        <f t="shared" ref="F19:F39" si="3">IF(A19="","",INDEX($I$43:$I$183,MIN(7*B19,$G$4+1)))</f>
        <v>Building</v>
      </c>
    </row>
    <row r="20" spans="1:7" x14ac:dyDescent="0.3">
      <c r="A20" s="48">
        <f t="shared" si="0"/>
        <v>46314</v>
      </c>
      <c r="B20" s="32">
        <v>2</v>
      </c>
      <c r="C20" s="32">
        <f t="shared" si="1"/>
        <v>5</v>
      </c>
      <c r="D20" s="44">
        <f t="shared" si="2"/>
        <v>85.350000000000009</v>
      </c>
      <c r="E20" s="45">
        <f t="shared" ref="E20:E39" si="4">IF(OR(A20="",D19="",D19=0),"",D20/D19-1)</f>
        <v>0.29318181818181821</v>
      </c>
      <c r="F20" s="46" t="str">
        <f t="shared" si="3"/>
        <v>Building</v>
      </c>
    </row>
    <row r="21" spans="1:7" x14ac:dyDescent="0.3">
      <c r="A21" s="48">
        <f t="shared" si="0"/>
        <v>46321</v>
      </c>
      <c r="B21" s="32">
        <v>3</v>
      </c>
      <c r="C21" s="32">
        <f t="shared" si="1"/>
        <v>5</v>
      </c>
      <c r="D21" s="44">
        <f t="shared" si="2"/>
        <v>103.5</v>
      </c>
      <c r="E21" s="45">
        <f t="shared" si="4"/>
        <v>0.21265377855887513</v>
      </c>
      <c r="F21" s="46" t="str">
        <f t="shared" si="3"/>
        <v>Building</v>
      </c>
    </row>
    <row r="22" spans="1:7" x14ac:dyDescent="0.3">
      <c r="A22" s="48">
        <f t="shared" si="0"/>
        <v>46328</v>
      </c>
      <c r="B22" s="32">
        <v>4</v>
      </c>
      <c r="C22" s="32">
        <f t="shared" si="1"/>
        <v>5</v>
      </c>
      <c r="D22" s="44">
        <f t="shared" si="2"/>
        <v>103.57714285714286</v>
      </c>
      <c r="E22" s="45">
        <f t="shared" si="4"/>
        <v>7.4534161490680262E-4</v>
      </c>
      <c r="F22" s="46">
        <f t="shared" si="3"/>
        <v>1.1559073571437113</v>
      </c>
    </row>
    <row r="23" spans="1:7" x14ac:dyDescent="0.3">
      <c r="A23" s="48">
        <f t="shared" si="0"/>
        <v>46335</v>
      </c>
      <c r="B23" s="32">
        <v>5</v>
      </c>
      <c r="C23" s="32">
        <f t="shared" si="1"/>
        <v>5</v>
      </c>
      <c r="D23" s="44">
        <f t="shared" si="2"/>
        <v>115.72285714285715</v>
      </c>
      <c r="E23" s="45">
        <f t="shared" si="4"/>
        <v>0.1172624958622972</v>
      </c>
      <c r="F23" s="46">
        <f t="shared" si="3"/>
        <v>1.1341208589279153</v>
      </c>
    </row>
    <row r="24" spans="1:7" x14ac:dyDescent="0.3">
      <c r="A24" s="48">
        <f t="shared" si="0"/>
        <v>46342</v>
      </c>
      <c r="B24" s="32">
        <v>6</v>
      </c>
      <c r="C24" s="32">
        <f t="shared" si="1"/>
        <v>5</v>
      </c>
      <c r="D24" s="44">
        <f t="shared" si="2"/>
        <v>136.4325</v>
      </c>
      <c r="E24" s="45">
        <f t="shared" si="4"/>
        <v>0.17895896600251837</v>
      </c>
      <c r="F24" s="46">
        <f t="shared" si="3"/>
        <v>1.1883523052048797</v>
      </c>
    </row>
    <row r="25" spans="1:7" x14ac:dyDescent="0.3">
      <c r="A25" s="48">
        <f t="shared" si="0"/>
        <v>46349</v>
      </c>
      <c r="B25" s="32">
        <v>7</v>
      </c>
      <c r="C25" s="32">
        <f t="shared" si="1"/>
        <v>6</v>
      </c>
      <c r="D25" s="44">
        <f t="shared" si="2"/>
        <v>145.38</v>
      </c>
      <c r="E25" s="45">
        <f t="shared" si="4"/>
        <v>6.5581881150019061E-2</v>
      </c>
      <c r="F25" s="46">
        <f t="shared" si="3"/>
        <v>1.1604579809922919</v>
      </c>
    </row>
    <row r="26" spans="1:7" x14ac:dyDescent="0.3">
      <c r="A26" s="48">
        <f t="shared" si="0"/>
        <v>46356</v>
      </c>
      <c r="B26" s="32">
        <v>8</v>
      </c>
      <c r="C26" s="32">
        <f t="shared" si="1"/>
        <v>6</v>
      </c>
      <c r="D26" s="44">
        <f t="shared" si="2"/>
        <v>165.61666666666665</v>
      </c>
      <c r="E26" s="45">
        <f t="shared" si="4"/>
        <v>0.13919842252487724</v>
      </c>
      <c r="F26" s="46">
        <f t="shared" si="3"/>
        <v>1.1763549426410909</v>
      </c>
    </row>
    <row r="27" spans="1:7" x14ac:dyDescent="0.3">
      <c r="A27" s="48">
        <f t="shared" si="0"/>
        <v>46363</v>
      </c>
      <c r="B27" s="32">
        <v>9</v>
      </c>
      <c r="C27" s="32">
        <f t="shared" si="1"/>
        <v>6</v>
      </c>
      <c r="D27" s="44">
        <f t="shared" si="2"/>
        <v>206.38833333333332</v>
      </c>
      <c r="E27" s="45">
        <f t="shared" si="4"/>
        <v>0.24618093992150558</v>
      </c>
      <c r="F27" s="46">
        <f t="shared" si="3"/>
        <v>1.2626663148865445</v>
      </c>
    </row>
    <row r="28" spans="1:7" x14ac:dyDescent="0.3">
      <c r="A28" s="48">
        <f t="shared" si="0"/>
        <v>46370</v>
      </c>
      <c r="B28" s="32">
        <v>10</v>
      </c>
      <c r="C28" s="32">
        <f t="shared" si="1"/>
        <v>6</v>
      </c>
      <c r="D28" s="44">
        <f t="shared" si="2"/>
        <v>211.185</v>
      </c>
      <c r="E28" s="45">
        <f t="shared" si="4"/>
        <v>2.3240977768446358E-2</v>
      </c>
      <c r="F28" s="46">
        <f t="shared" si="3"/>
        <v>1.1594493322535926</v>
      </c>
    </row>
    <row r="29" spans="1:7" x14ac:dyDescent="0.3">
      <c r="A29" s="48">
        <f t="shared" si="0"/>
        <v>46377</v>
      </c>
      <c r="B29" s="32">
        <v>11</v>
      </c>
      <c r="C29" s="32">
        <f t="shared" si="1"/>
        <v>6</v>
      </c>
      <c r="D29" s="44">
        <f t="shared" si="2"/>
        <v>223.28333333333333</v>
      </c>
      <c r="E29" s="45">
        <f t="shared" si="4"/>
        <v>5.7287843991445042E-2</v>
      </c>
      <c r="F29" s="46">
        <f t="shared" si="3"/>
        <v>1.1074555058650419</v>
      </c>
    </row>
    <row r="30" spans="1:7" x14ac:dyDescent="0.3">
      <c r="A30" s="48">
        <f t="shared" si="0"/>
        <v>46384</v>
      </c>
      <c r="B30" s="32">
        <v>12</v>
      </c>
      <c r="C30" s="32">
        <f t="shared" si="1"/>
        <v>6</v>
      </c>
      <c r="D30" s="44">
        <f t="shared" si="2"/>
        <v>225.72749999999999</v>
      </c>
      <c r="E30" s="45">
        <f t="shared" si="4"/>
        <v>1.0946480555348082E-2</v>
      </c>
      <c r="F30" s="46">
        <f t="shared" si="3"/>
        <v>1.0419184133874282</v>
      </c>
    </row>
    <row r="31" spans="1:7" x14ac:dyDescent="0.3">
      <c r="A31" s="48">
        <f t="shared" si="0"/>
        <v>46391</v>
      </c>
      <c r="B31" s="32">
        <v>13</v>
      </c>
      <c r="C31" s="32">
        <f t="shared" si="1"/>
        <v>1</v>
      </c>
      <c r="D31" s="44">
        <f t="shared" si="2"/>
        <v>109.5</v>
      </c>
      <c r="E31" s="45">
        <f t="shared" si="4"/>
        <v>-0.51490181745688934</v>
      </c>
      <c r="F31" s="46">
        <f t="shared" si="3"/>
        <v>1.3197223370749587</v>
      </c>
    </row>
    <row r="32" spans="1:7" x14ac:dyDescent="0.3">
      <c r="A32" s="48" t="str">
        <f t="shared" si="0"/>
        <v/>
      </c>
      <c r="B32" s="32">
        <v>14</v>
      </c>
      <c r="C32" s="32" t="str">
        <f t="shared" si="1"/>
        <v/>
      </c>
      <c r="D32" s="44" t="str">
        <f t="shared" si="2"/>
        <v/>
      </c>
      <c r="E32" s="45" t="str">
        <f t="shared" si="4"/>
        <v/>
      </c>
      <c r="F32" s="46" t="str">
        <f t="shared" si="3"/>
        <v/>
      </c>
    </row>
    <row r="33" spans="1:43" x14ac:dyDescent="0.3">
      <c r="A33" s="48" t="str">
        <f t="shared" si="0"/>
        <v/>
      </c>
      <c r="B33" s="32">
        <v>15</v>
      </c>
      <c r="C33" s="32" t="str">
        <f t="shared" si="1"/>
        <v/>
      </c>
      <c r="D33" s="44" t="str">
        <f t="shared" si="2"/>
        <v/>
      </c>
      <c r="E33" s="45" t="str">
        <f t="shared" si="4"/>
        <v/>
      </c>
      <c r="F33" s="46" t="str">
        <f t="shared" si="3"/>
        <v/>
      </c>
    </row>
    <row r="34" spans="1:43" x14ac:dyDescent="0.3">
      <c r="A34" s="48" t="str">
        <f t="shared" si="0"/>
        <v/>
      </c>
      <c r="B34" s="32">
        <v>16</v>
      </c>
      <c r="C34" s="32" t="str">
        <f t="shared" si="1"/>
        <v/>
      </c>
      <c r="D34" s="44" t="str">
        <f t="shared" si="2"/>
        <v/>
      </c>
      <c r="E34" s="45" t="str">
        <f t="shared" si="4"/>
        <v/>
      </c>
      <c r="F34" s="46" t="str">
        <f t="shared" si="3"/>
        <v/>
      </c>
    </row>
    <row r="35" spans="1:43" x14ac:dyDescent="0.3">
      <c r="A35" s="48" t="str">
        <f t="shared" si="0"/>
        <v/>
      </c>
      <c r="B35" s="32">
        <v>17</v>
      </c>
      <c r="C35" s="32" t="str">
        <f t="shared" si="1"/>
        <v/>
      </c>
      <c r="D35" s="44" t="str">
        <f t="shared" si="2"/>
        <v/>
      </c>
      <c r="E35" s="45" t="str">
        <f t="shared" si="4"/>
        <v/>
      </c>
      <c r="F35" s="46" t="str">
        <f t="shared" si="3"/>
        <v/>
      </c>
    </row>
    <row r="36" spans="1:43" x14ac:dyDescent="0.3">
      <c r="A36" s="48" t="str">
        <f t="shared" si="0"/>
        <v/>
      </c>
      <c r="B36" s="32">
        <v>18</v>
      </c>
      <c r="C36" s="32" t="str">
        <f t="shared" si="1"/>
        <v/>
      </c>
      <c r="D36" s="44" t="str">
        <f t="shared" si="2"/>
        <v/>
      </c>
      <c r="E36" s="45" t="str">
        <f t="shared" si="4"/>
        <v/>
      </c>
      <c r="F36" s="46" t="str">
        <f t="shared" si="3"/>
        <v/>
      </c>
    </row>
    <row r="37" spans="1:43" x14ac:dyDescent="0.3">
      <c r="A37" s="48" t="str">
        <f t="shared" si="0"/>
        <v/>
      </c>
      <c r="B37" s="32">
        <v>19</v>
      </c>
      <c r="C37" s="32" t="str">
        <f t="shared" si="1"/>
        <v/>
      </c>
      <c r="D37" s="44" t="str">
        <f t="shared" si="2"/>
        <v/>
      </c>
      <c r="E37" s="45" t="str">
        <f t="shared" si="4"/>
        <v/>
      </c>
      <c r="F37" s="46" t="str">
        <f t="shared" si="3"/>
        <v/>
      </c>
    </row>
    <row r="38" spans="1:43" x14ac:dyDescent="0.3">
      <c r="A38" s="48" t="str">
        <f t="shared" si="0"/>
        <v/>
      </c>
      <c r="B38" s="32">
        <v>20</v>
      </c>
      <c r="C38" s="32" t="str">
        <f t="shared" si="1"/>
        <v/>
      </c>
      <c r="D38" s="44" t="str">
        <f t="shared" si="2"/>
        <v/>
      </c>
      <c r="E38" s="45" t="str">
        <f t="shared" si="4"/>
        <v/>
      </c>
      <c r="F38" s="46" t="str">
        <f t="shared" si="3"/>
        <v/>
      </c>
    </row>
    <row r="39" spans="1:43" x14ac:dyDescent="0.3">
      <c r="A39" s="48" t="str">
        <f t="shared" si="0"/>
        <v/>
      </c>
      <c r="B39" s="32">
        <v>21</v>
      </c>
      <c r="C39" s="32" t="str">
        <f t="shared" si="1"/>
        <v/>
      </c>
      <c r="D39" s="44" t="str">
        <f t="shared" si="2"/>
        <v/>
      </c>
      <c r="E39" s="45" t="str">
        <f t="shared" si="4"/>
        <v/>
      </c>
      <c r="F39" s="46" t="str">
        <f t="shared" si="3"/>
        <v/>
      </c>
    </row>
    <row r="42" spans="1:43" ht="31.5" customHeight="1" x14ac:dyDescent="0.3">
      <c r="A42" s="19" t="s">
        <v>150</v>
      </c>
      <c r="B42" s="19" t="s">
        <v>258</v>
      </c>
      <c r="C42" s="19" t="s">
        <v>308</v>
      </c>
      <c r="D42" s="19" t="s">
        <v>309</v>
      </c>
      <c r="E42" s="19" t="s">
        <v>92</v>
      </c>
      <c r="F42" s="19" t="s">
        <v>58</v>
      </c>
      <c r="G42" s="19" t="s">
        <v>310</v>
      </c>
      <c r="H42" s="19" t="s">
        <v>311</v>
      </c>
      <c r="I42" s="19" t="s">
        <v>312</v>
      </c>
      <c r="J42" s="19" t="s">
        <v>313</v>
      </c>
      <c r="K42" s="19" t="s">
        <v>314</v>
      </c>
      <c r="L42" s="19" t="s">
        <v>315</v>
      </c>
      <c r="M42" s="19" t="s">
        <v>305</v>
      </c>
      <c r="N42" s="19" t="s">
        <v>316</v>
      </c>
      <c r="O42" s="19" t="s">
        <v>317</v>
      </c>
      <c r="P42" s="19" t="s">
        <v>318</v>
      </c>
      <c r="Q42" s="19" t="s">
        <v>319</v>
      </c>
      <c r="R42" s="19" t="s">
        <v>320</v>
      </c>
      <c r="S42" s="19" t="s">
        <v>321</v>
      </c>
      <c r="T42" s="19" t="s">
        <v>322</v>
      </c>
      <c r="U42" s="19" t="s">
        <v>323</v>
      </c>
      <c r="V42" s="19" t="s">
        <v>324</v>
      </c>
      <c r="W42" s="19" t="s">
        <v>325</v>
      </c>
      <c r="X42" s="19" t="s">
        <v>326</v>
      </c>
      <c r="Y42" s="19" t="s">
        <v>327</v>
      </c>
      <c r="Z42" s="19" t="s">
        <v>328</v>
      </c>
      <c r="AA42" s="19" t="s">
        <v>329</v>
      </c>
      <c r="AB42" s="19" t="s">
        <v>330</v>
      </c>
      <c r="AC42" s="19" t="s">
        <v>331</v>
      </c>
      <c r="AD42" s="19" t="s">
        <v>332</v>
      </c>
      <c r="AE42" s="19" t="s">
        <v>333</v>
      </c>
      <c r="AF42" s="19" t="s">
        <v>334</v>
      </c>
      <c r="AG42" s="19" t="s">
        <v>335</v>
      </c>
      <c r="AH42" s="19" t="s">
        <v>336</v>
      </c>
      <c r="AI42" s="19" t="s">
        <v>337</v>
      </c>
      <c r="AJ42" s="19" t="s">
        <v>338</v>
      </c>
      <c r="AK42" s="19" t="s">
        <v>339</v>
      </c>
      <c r="AL42" s="19" t="s">
        <v>340</v>
      </c>
      <c r="AM42" s="19" t="s">
        <v>341</v>
      </c>
      <c r="AN42" s="19" t="s">
        <v>342</v>
      </c>
      <c r="AO42" s="19" t="s">
        <v>343</v>
      </c>
      <c r="AP42" s="19" t="s">
        <v>344</v>
      </c>
      <c r="AQ42" s="19" t="s">
        <v>345</v>
      </c>
    </row>
    <row r="43" spans="1:43" x14ac:dyDescent="0.3">
      <c r="A43" s="48">
        <f t="shared" ref="A43:A74" si="5">IFERROR(IF($L43&gt;$G$4,"",$D$6+$L43),"")</f>
        <v>46307</v>
      </c>
      <c r="B43" s="32" t="str">
        <f t="shared" ref="B43:B74" si="6">IF($A43="","",TEXT($A43,"ddd"))</f>
        <v>Mon</v>
      </c>
      <c r="C43" s="32">
        <f t="shared" ref="C43:C74" si="7">IF($A43="","",$G$4-$L43)</f>
        <v>84</v>
      </c>
      <c r="D43" s="32" t="str">
        <f t="shared" ref="D43:D74" si="8">IF($A43="","",IF($C43=0,"First Bullpen",IF($C43&lt;=7,"Taper",IF($O43&lt;0.2,"Re-entry",IF($O43&lt;0.45,"Base",IF($O43&lt;0.65,"Extension","Flat Ground / Intent"))))))</f>
        <v>Re-entry</v>
      </c>
      <c r="E43" s="32" t="str">
        <f t="shared" ref="E43:E74" si="9">IF($A43="","",IF($AD43,"No Throw",IF($C43=0,"High Bullpen",IF($C43=6,"High Non-Bullpen",IF(OR($C43=4,$C43=2),"Medium",IF($T43="Recovery/Easy Catch","Low",IF($N43=1,IF($O43&lt;0.4,"Low",IF($O43&lt;0.7,"Medium","High Non-Bullpen")),IF($N43=3,IF($O43&lt;0.5,"Medium","High Non-Bullpen"),IF($O43&lt;0.62,"Medium","High Non-Bullpen")))))))))</f>
        <v>Low</v>
      </c>
      <c r="F43" s="32" t="str">
        <f t="shared" ref="F43:F74" si="10">IF($A43="","",IF($AD43,"No Throw",$T43))</f>
        <v>Recovery/Easy Catch</v>
      </c>
      <c r="G43" s="47" t="str">
        <f t="shared" ref="G43:G74" si="11">IF($A43="","",IF($AD43,"Off",IF($AL43&gt;1,"Long toss out to "&amp;$U43&amp;" ft — "&amp;$AB43&amp;" throws ("&amp;IF(1&lt;=$AL43,MIN($U43,90)&amp;"×"&amp;(ROUND($AB43*(1*($AL43+3)-1)/($AL43*($AL43+5)/2),0)-0),"")&amp;IF(2&lt;=$AL43," · "&amp;MIN($U43,120)&amp;"×"&amp;(ROUND($AB43*(2*($AL43+3)-3)/($AL43*($AL43+5)/2),0)-ROUND($AB43*(1*($AL43+3)-1)/($AL43*($AL43+5)/2),0)),"")&amp;IF(3&lt;=$AL43," · "&amp;MIN($U43,150)&amp;"×"&amp;(ROUND($AB43*(3*($AL43+3)-6)/($AL43*($AL43+5)/2),0)-ROUND($AB43*(2*($AL43+3)-3)/($AL43*($AL43+5)/2),0)),"")&amp;IF(4&lt;=$AL43," · "&amp;MIN($U43,180)&amp;"×"&amp;(ROUND($AB43*(4*($AL43+3)-10)/($AL43*($AL43+5)/2),0)-ROUND($AB43*(3*($AL43+3)-6)/($AL43*($AL43+5)/2),0)),"")&amp;IF(5&lt;=$AL43," · "&amp;MIN($U43,210)&amp;"×"&amp;(ROUND($AB43*(5*($AL43+3)-15)/($AL43*($AL43+5)/2),0)-ROUND($AB43*(4*($AL43+3)-10)/($AL43*($AL43+5)/2),0)),"")&amp;IF(6&lt;=$AL43," · "&amp;MIN($U43,240)&amp;"×"&amp;(ROUND($AB43*(6*($AL43+3)-21)/($AL43*($AL43+5)/2),0)-ROUND($AB43*(5*($AL43+3)-15)/($AL43*($AL43+5)/2),0)),"")&amp;IF(7&lt;=$AL43," · "&amp;MIN($U43,270)&amp;"×"&amp;(ROUND($AB43*(7*($AL43+3)-28)/($AL43*($AL43+5)/2),0)-ROUND($AB43*(6*($AL43+3)-21)/($AL43*($AL43+5)/2),0)),"")&amp;IF(8&lt;=$AL43," · "&amp;MIN($U43,300)&amp;"×"&amp;(ROUND($AB43*(8*($AL43+3)-36)/($AL43*($AL43+5)/2),0)-ROUND($AB43*(7*($AL43+3)-28)/($AL43*($AL43+5)/2),0)),"")&amp;")",$U43&amp;" ft × "&amp;$AB43)&amp;" @ "&amp;ROUND($D$5-$W43,0)&amp;"–"&amp;ROUND($D$5-$V43,0)&amp;" mph"&amp;IF($X43&gt;0,IF($Y43&lt;10," + flat ground at 60 ft × "," + 60 ft × ")&amp;$X43&amp;" @ "&amp;ROUND($D$5-$Z43,0)&amp;"–"&amp;ROUND($D$5-$Y43,0)&amp;" mph","")&amp;IF($AC43&gt;0," + MOUND × "&amp;$AC43&amp;" pitches @ "&amp;$D$9&amp;"–"&amp;$E$9&amp;" mph","")))</f>
        <v>60 ft × 25 @ 67–71 mph</v>
      </c>
      <c r="H43" s="30">
        <f t="shared" ref="H43:H74" si="12">IF($A43="","",IF($AD43,0,$AB43*$AF43+$AE43+$AG43))</f>
        <v>15</v>
      </c>
      <c r="I43" s="46" t="str">
        <f>IF($A43="","",IF(AND($L43&lt;27,$K$12=0),"Building",IFERROR(((SUM($H$43:$H43)+$K$12*IF($L43&lt;6,SUMIFS('Throw Log'!$Q$5:$Q$300,'Throw Log'!$B$5:$B$300,$D$4,'Throw Log'!$A$5:$A$300,"&gt;="&amp;($D$6+$L43-6),'Throw Log'!$A$5:$A$300,"&lt;="&amp;($D$6-1)),0))/7)/((SUM($H$43:$H43)+$K$12*IF($L43&lt;27,SUMIFS('Throw Log'!$Q$5:$Q$300,'Throw Log'!$B$5:$B$300,$D$4,'Throw Log'!$A$5:$A$300,"&gt;="&amp;($D$6+$L43-27),'Throw Log'!$A$5:$A$300,"&lt;="&amp;($D$6-1)),0))/28),"")))</f>
        <v>Building</v>
      </c>
      <c r="J43" s="37"/>
      <c r="K43" s="37">
        <v>25</v>
      </c>
      <c r="L43" s="32">
        <v>0</v>
      </c>
      <c r="M43" s="32">
        <f t="shared" ref="M43:M74" si="13">INT($L43/7)+1</f>
        <v>1</v>
      </c>
      <c r="N43" s="32">
        <f t="shared" ref="N43:N74" si="14">MOD($L43,7)</f>
        <v>0</v>
      </c>
      <c r="O43" s="32">
        <f t="shared" ref="O43:O74" si="15">MIN(1,$G$7+(1-$G$7)*$L43/MAX(1,N($G$4)-8))</f>
        <v>0</v>
      </c>
      <c r="P43" s="32">
        <f>IF(OR($A43="",N($C43)&lt;=7),"",$G$6*$G$9^($M43-1)*IF(AND(MOD($M43,Reference!$B$99)=0,$M43&lt;=$G$5-2),Reference!$B$100,1))</f>
        <v>80</v>
      </c>
      <c r="Q43" s="32">
        <f>IF($P43="","",IF(SUM($AK$43:$AK$49)=0,0,$P43*INDEX(Reference!$B$108:$B$114,$N43+1)/SUM($AK$43:$AK$49)))</f>
        <v>13.150684931506849</v>
      </c>
      <c r="R43" s="32">
        <f t="shared" ref="R43:R74" si="16">ROUND((60+($D$11-60)*MIN(1,$O43/0.75))/15,0)*15</f>
        <v>60</v>
      </c>
      <c r="S43" s="32">
        <f t="shared" ref="S43:S74" si="17">ROUND((60+($R43-60)*0.8)/15,0)*15</f>
        <v>60</v>
      </c>
      <c r="T43" s="32" t="str">
        <f>IF($A43="","",IF($C43=0,"Bullpen",IF(OR($C43=7,$C43=1,$C43=5),"Recovery/Easy Catch",IF($C43=6,"Compression/Pulldowns",IF(OR($C43=4,$C43=2),"Long Toss",IF($C43=3,"No Throw",IF($N43=2,"No Throw",IF($N43=6,IF($O43&lt;Reference!$B$104,"No Throw","Recovery/Easy Catch"),IF(OR($N43=0,$N43=4),"Recovery/Easy Catch",IF($N43=1,IF($R43&gt;75,"Long Toss","Recovery/Easy Catch"),IF($N43=3,IF($O43&lt;0.5,IF($S43&gt;75,"Long Toss","Recovery/Easy Catch"),"Compression/Pulldowns"),IF($S43&gt;75,"Long Toss","Recovery/Easy Catch"))))))))))))</f>
        <v>Recovery/Easy Catch</v>
      </c>
      <c r="U43" s="32">
        <f t="shared" ref="U43:U74" si="18">IF($A43="","",IF(N($AO43)&gt;0,$AO43,IF($C43=0,90,IF(OR($C43=7,$C43=1),75,IF($C43=6,90,IF($C43=5,60,IF($C43=4,MIN(150,ROUND(0.75*$D$11/15,0)*15),IF($C43=2,MIN(120,ROUND(0.67*$D$11/15,0)*15),IF($C43=3,"",IF($N43=2,"",IF($N43=6,60,IF($N43=0,IF($O43&lt;0.25,60,75),IF($N43=4,IF($O43&lt;0.5,60,75),IF($N43=1,$R43,IF($N43=3,IF($O43&lt;0.5,$S43,90),$S43)))))))))))))))</f>
        <v>60</v>
      </c>
      <c r="V43" s="32">
        <f t="shared" ref="V43:V74" si="19">IF($A43="","",IF(N($AQ43)&gt;0,$D$5-$AQ43,IF(N($AP43)&gt;0,$D$5-$AP43,IF($C43=0,10,IF(OR($C43=7,$C43=1),18,IF($C43=6,7,IF($C43=5,20,IF(OR($C43=4,$C43=2),10,IF($C43=3,"",IF($N43=2,"",IF($N43=6,20,IF($N43=0,IF($O43&lt;0.25,20,18),IF($N43=4,IF($O43&lt;0.5,20,18),IF($N43=1,IF($O43&lt;0.25,18,IF($O43&lt;0.5,13,10)),IF($N43=3,IF($O43&lt;0.5,IF($O43&lt;0.25,18,13),7),IF($O43&lt;0.25,18,IF($O43&lt;0.5,12,10)))))))))))))))))</f>
        <v>20</v>
      </c>
      <c r="W43" s="32">
        <f t="shared" ref="W43:W74" si="20">IF($A43="","",IF(N($AP43)&gt;0,$D$5-$AP43,IF(N($AQ43)&gt;0,$D$5-$AQ43,IF($C43=0,12,IF(OR($C43=7,$C43=1),22,IF($C43=6,9,IF($C43=5,24,IF(OR($C43=4,$C43=2),13,IF($C43=3,"",IF($N43=2,"",IF($N43=6,24,IF($N43=0,IF($O43&lt;0.25,24,22),IF($N43=4,IF($O43&lt;0.5,24,22),IF($N43=1,IF($O43&lt;0.25,22,IF($O43&lt;0.5,16,12)),IF($N43=3,IF($O43&lt;0.5,IF($O43&lt;0.25,22,16),9),IF($O43&lt;0.25,22,IF($O43&lt;0.5,15,13)))))))))))))))))</f>
        <v>24</v>
      </c>
      <c r="X43" s="32">
        <f t="shared" ref="X43:X74" si="21">IF($A43="",0,IF($C43=6,ROUND(25*$G$10,0),IF(OR($C43=4,$C43=2),ROUND(15*$G$10,0),IF($C43&lt;=7,0,IF($N43=1,IF($O43&lt;0.2,0,IF($O43&lt;0.5,10,15)),IF($N43=3,IF($O43&lt;0.5,IF($O43&lt;0.2,0,10),IF($O43&lt;0.62,15,IF($O43&lt;0.8,20,25))),IF($N43=5,IF($O43&lt;0.2,0,IF($O43&lt;0.62,12,IF($O43&lt;0.8,20,25))),0)))))))</f>
        <v>0</v>
      </c>
      <c r="Y43" s="32" t="str">
        <f t="shared" ref="Y43:Y74" si="22">IF($X43=0,"",IF($C43=6,$D$5-$E$9,IF(OR($C43=4,$C43=2),8,IF($N43=1,IF($O43&lt;0.5,14,10),IF($N43=3,IF($O43&lt;0.5,14,IF($O43&lt;0.62,10,7)),IF($N43=5,IF($O43&lt;0.5,14,IF($O43&lt;0.62,12,7)),""))))))</f>
        <v/>
      </c>
      <c r="Z43" s="32" t="str">
        <f t="shared" ref="Z43:Z74" si="23">IF($X43=0,"",IF($C43=6,$D$5-$D$9,IF(OR($C43=4,$C43=2),10,IF($N43=1,IF($O43&lt;0.5,18,12),IF($N43=3,IF($O43&lt;0.5,18,IF($O43&lt;0.62,12,9)),IF($N43=5,IF($O43&lt;0.5,18,IF($O43&lt;0.62,15,9)),""))))))</f>
        <v/>
      </c>
      <c r="AA43" s="32" t="str">
        <f t="shared" ref="AA43:AA74" si="24">IF($A43="","",IF($C43=0,25,IF(OR($C43=7,$C43=1,$C43=5),30,IF($C43=6,25,IF(OR($C43=4,$C43=2),IF($AM43=0,30,30*$AN43/$AM43),"")))))</f>
        <v/>
      </c>
      <c r="AB43" s="32">
        <f>IF($A43="","",IF($T43="No Throw",0,IF($K43&lt;&gt;"",$K43,IF($AA43&lt;&gt;"",ROUND($AA43*$D$12*IF($C43=0,1,$G$10),0),MIN(IF($T43="Recovery/Easy Catch",Reference!$B$103,IF($T43="Long Toss",Reference!$B$106,Reference!$B$102)),MAX(Reference!$B$101,ROUND(MAX(0,$Q43-$AE43)/$AF43,0)))))))</f>
        <v>25</v>
      </c>
      <c r="AC43" s="32">
        <f t="shared" ref="AC43:AC74" si="25">IF($A43="",0,IF($C43=0,$D$8,0))</f>
        <v>0</v>
      </c>
      <c r="AD43" s="32" t="b">
        <f t="shared" ref="AD43:AD74" si="26">IF($A43="",TRUE(),OR($J43="x",$T43="No Throw"))</f>
        <v>0</v>
      </c>
      <c r="AE43" s="32">
        <f>IF($X43=0,0,$X43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43+$Z43)/2,0),Reference!$A$17:$B$20,2,TRUE()))</f>
        <v>0</v>
      </c>
      <c r="AF43" s="32">
        <f>IF(OR($A43="",$U43="",$T43="No Throw"),0,$AM43*VLOOKUP(MAX(($V43+$W43)/2,0),Reference!$A$17:$B$20,2,TRUE()))</f>
        <v>0.6</v>
      </c>
      <c r="AG43" s="32">
        <f>IF($AC43=0,0,$AC43*INDEX(Reference!$B$61:$B$62,MATCH("Bullpen",Reference!$A$61:$A$62,0))*VLOOKUP(MAX($D$5-($D$9+$E$9)/2,0),Reference!$A$17:$B$20,2,TRUE()))</f>
        <v>0</v>
      </c>
      <c r="AH43" s="32" t="e">
        <f t="shared" ref="AH43:AH74" si="27">IF(OR($A43="",$L43&lt;27),NA(),$I43)</f>
        <v>#N/A</v>
      </c>
      <c r="AI43" s="32">
        <f>IF($A43="",NA(),Reference!$A$25)</f>
        <v>0.8</v>
      </c>
      <c r="AJ43" s="32">
        <f t="shared" ref="AJ43:AJ74" si="28">IF($A43="",NA(),1.3)</f>
        <v>1.3</v>
      </c>
      <c r="AK43" s="56">
        <f>IF(OR($A43="",N($C43)&lt;=7,$T43="No Throw",$J43="x"),0,INDEX(Reference!$B$108:$B$114,$N43+1))</f>
        <v>0.12</v>
      </c>
      <c r="AL43" s="32">
        <f t="shared" ref="AL43:AL74" si="29">IF($U43="",1,IF(AND($T43="Long Toss",N($U43)&gt;90),1+ROUNDUP(($U43-90)/30,0),1))</f>
        <v>1</v>
      </c>
      <c r="AM43" s="32">
        <f>IF($U43="",0,IF($AL43&gt;1,((IF(1&lt;=$AL43,($AL43-1+3)*(INDEX(Reference!$B$6:$B$11,MIN(5,MATCH(MAX(Reference!$A$6,MIN(Reference!$A$11,MIN($U43,90))),Reference!$A$6:$A$11,1)))+(MAX(Reference!$A$6,MIN(Reference!$A$11,MIN($U43,90)))-INDEX(Reference!$A$6:$A$11,MIN(5,MATCH(MAX(Reference!$A$6,MIN(Reference!$A$11,MIN($U43,90))),Reference!$A$6:$A$11,1))))*(INDEX(Reference!$B$6:$B$11,MIN(5,MATCH(MAX(Reference!$A$6,MIN(Reference!$A$11,MIN($U43,90))),Reference!$A$6:$A$11,1))+1)-INDEX(Reference!$B$6:$B$11,MIN(5,MATCH(MAX(Reference!$A$6,MIN(Reference!$A$11,MIN($U43,90))),Reference!$A$6:$A$11,1))))/(INDEX(Reference!$A$6:$A$11,MIN(5,MATCH(MAX(Reference!$A$6,MIN(Reference!$A$11,MIN($U43,90))),Reference!$A$6:$A$11,1))+1)-INDEX(Reference!$A$6:$A$11,MIN(5,MATCH(MAX(Reference!$A$6,MIN(Reference!$A$11,MIN($U43,90))),Reference!$A$6:$A$11,1))))),0)+IF(2&lt;=$AL43,($AL43-2+3)*(INDEX(Reference!$B$6:$B$11,MIN(5,MATCH(MAX(Reference!$A$6,MIN(Reference!$A$11,MIN($U43,120))),Reference!$A$6:$A$11,1)))+(MAX(Reference!$A$6,MIN(Reference!$A$11,MIN($U43,120)))-INDEX(Reference!$A$6:$A$11,MIN(5,MATCH(MAX(Reference!$A$6,MIN(Reference!$A$11,MIN($U43,120))),Reference!$A$6:$A$11,1))))*(INDEX(Reference!$B$6:$B$11,MIN(5,MATCH(MAX(Reference!$A$6,MIN(Reference!$A$11,MIN($U43,120))),Reference!$A$6:$A$11,1))+1)-INDEX(Reference!$B$6:$B$11,MIN(5,MATCH(MAX(Reference!$A$6,MIN(Reference!$A$11,MIN($U43,120))),Reference!$A$6:$A$11,1))))/(INDEX(Reference!$A$6:$A$11,MIN(5,MATCH(MAX(Reference!$A$6,MIN(Reference!$A$11,MIN($U43,120))),Reference!$A$6:$A$11,1))+1)-INDEX(Reference!$A$6:$A$11,MIN(5,MATCH(MAX(Reference!$A$6,MIN(Reference!$A$11,MIN($U43,120))),Reference!$A$6:$A$11,1))))),0)+IF(3&lt;=$AL43,($AL43-3+3)*(INDEX(Reference!$B$6:$B$11,MIN(5,MATCH(MAX(Reference!$A$6,MIN(Reference!$A$11,MIN($U43,150))),Reference!$A$6:$A$11,1)))+(MAX(Reference!$A$6,MIN(Reference!$A$11,MIN($U43,150)))-INDEX(Reference!$A$6:$A$11,MIN(5,MATCH(MAX(Reference!$A$6,MIN(Reference!$A$11,MIN($U43,150))),Reference!$A$6:$A$11,1))))*(INDEX(Reference!$B$6:$B$11,MIN(5,MATCH(MAX(Reference!$A$6,MIN(Reference!$A$11,MIN($U43,150))),Reference!$A$6:$A$11,1))+1)-INDEX(Reference!$B$6:$B$11,MIN(5,MATCH(MAX(Reference!$A$6,MIN(Reference!$A$11,MIN($U43,150))),Reference!$A$6:$A$11,1))))/(INDEX(Reference!$A$6:$A$11,MIN(5,MATCH(MAX(Reference!$A$6,MIN(Reference!$A$11,MIN($U43,150))),Reference!$A$6:$A$11,1))+1)-INDEX(Reference!$A$6:$A$11,MIN(5,MATCH(MAX(Reference!$A$6,MIN(Reference!$A$11,MIN($U43,150))),Reference!$A$6:$A$11,1))))),0)+IF(4&lt;=$AL43,($AL43-4+3)*(INDEX(Reference!$B$6:$B$11,MIN(5,MATCH(MAX(Reference!$A$6,MIN(Reference!$A$11,MIN($U43,180))),Reference!$A$6:$A$11,1)))+(MAX(Reference!$A$6,MIN(Reference!$A$11,MIN($U43,180)))-INDEX(Reference!$A$6:$A$11,MIN(5,MATCH(MAX(Reference!$A$6,MIN(Reference!$A$11,MIN($U43,180))),Reference!$A$6:$A$11,1))))*(INDEX(Reference!$B$6:$B$11,MIN(5,MATCH(MAX(Reference!$A$6,MIN(Reference!$A$11,MIN($U43,180))),Reference!$A$6:$A$11,1))+1)-INDEX(Reference!$B$6:$B$11,MIN(5,MATCH(MAX(Reference!$A$6,MIN(Reference!$A$11,MIN($U43,180))),Reference!$A$6:$A$11,1))))/(INDEX(Reference!$A$6:$A$11,MIN(5,MATCH(MAX(Reference!$A$6,MIN(Reference!$A$11,MIN($U43,180))),Reference!$A$6:$A$11,1))+1)-INDEX(Reference!$A$6:$A$11,MIN(5,MATCH(MAX(Reference!$A$6,MIN(Reference!$A$11,MIN($U43,180))),Reference!$A$6:$A$11,1))))),0)+IF(5&lt;=$AL43,($AL43-5+3)*(INDEX(Reference!$B$6:$B$11,MIN(5,MATCH(MAX(Reference!$A$6,MIN(Reference!$A$11,MIN($U43,210))),Reference!$A$6:$A$11,1)))+(MAX(Reference!$A$6,MIN(Reference!$A$11,MIN($U43,210)))-INDEX(Reference!$A$6:$A$11,MIN(5,MATCH(MAX(Reference!$A$6,MIN(Reference!$A$11,MIN($U43,210))),Reference!$A$6:$A$11,1))))*(INDEX(Reference!$B$6:$B$11,MIN(5,MATCH(MAX(Reference!$A$6,MIN(Reference!$A$11,MIN($U43,210))),Reference!$A$6:$A$11,1))+1)-INDEX(Reference!$B$6:$B$11,MIN(5,MATCH(MAX(Reference!$A$6,MIN(Reference!$A$11,MIN($U43,210))),Reference!$A$6:$A$11,1))))/(INDEX(Reference!$A$6:$A$11,MIN(5,MATCH(MAX(Reference!$A$6,MIN(Reference!$A$11,MIN($U43,210))),Reference!$A$6:$A$11,1))+1)-INDEX(Reference!$A$6:$A$11,MIN(5,MATCH(MAX(Reference!$A$6,MIN(Reference!$A$11,MIN($U43,210))),Reference!$A$6:$A$11,1))))),0)+IF(6&lt;=$AL43,($AL43-6+3)*(INDEX(Reference!$B$6:$B$11,MIN(5,MATCH(MAX(Reference!$A$6,MIN(Reference!$A$11,MIN($U43,240))),Reference!$A$6:$A$11,1)))+(MAX(Reference!$A$6,MIN(Reference!$A$11,MIN($U43,240)))-INDEX(Reference!$A$6:$A$11,MIN(5,MATCH(MAX(Reference!$A$6,MIN(Reference!$A$11,MIN($U43,240))),Reference!$A$6:$A$11,1))))*(INDEX(Reference!$B$6:$B$11,MIN(5,MATCH(MAX(Reference!$A$6,MIN(Reference!$A$11,MIN($U43,240))),Reference!$A$6:$A$11,1))+1)-INDEX(Reference!$B$6:$B$11,MIN(5,MATCH(MAX(Reference!$A$6,MIN(Reference!$A$11,MIN($U43,240))),Reference!$A$6:$A$11,1))))/(INDEX(Reference!$A$6:$A$11,MIN(5,MATCH(MAX(Reference!$A$6,MIN(Reference!$A$11,MIN($U43,240))),Reference!$A$6:$A$11,1))+1)-INDEX(Reference!$A$6:$A$11,MIN(5,MATCH(MAX(Reference!$A$6,MIN(Reference!$A$11,MIN($U43,240))),Reference!$A$6:$A$11,1))))),0)+IF(7&lt;=$AL43,($AL43-7+3)*(INDEX(Reference!$B$6:$B$11,MIN(5,MATCH(MAX(Reference!$A$6,MIN(Reference!$A$11,MIN($U43,270))),Reference!$A$6:$A$11,1)))+(MAX(Reference!$A$6,MIN(Reference!$A$11,MIN($U43,270)))-INDEX(Reference!$A$6:$A$11,MIN(5,MATCH(MAX(Reference!$A$6,MIN(Reference!$A$11,MIN($U43,270))),Reference!$A$6:$A$11,1))))*(INDEX(Reference!$B$6:$B$11,MIN(5,MATCH(MAX(Reference!$A$6,MIN(Reference!$A$11,MIN($U43,270))),Reference!$A$6:$A$11,1))+1)-INDEX(Reference!$B$6:$B$11,MIN(5,MATCH(MAX(Reference!$A$6,MIN(Reference!$A$11,MIN($U43,270))),Reference!$A$6:$A$11,1))))/(INDEX(Reference!$A$6:$A$11,MIN(5,MATCH(MAX(Reference!$A$6,MIN(Reference!$A$11,MIN($U43,270))),Reference!$A$6:$A$11,1))+1)-INDEX(Reference!$A$6:$A$11,MIN(5,MATCH(MAX(Reference!$A$6,MIN(Reference!$A$11,MIN($U43,270))),Reference!$A$6:$A$11,1))))),0)+IF(8&lt;=$AL43,($AL43-8+3)*(INDEX(Reference!$B$6:$B$11,MIN(5,MATCH(MAX(Reference!$A$6,MIN(Reference!$A$11,MIN($U43,300))),Reference!$A$6:$A$11,1)))+(MAX(Reference!$A$6,MIN(Reference!$A$11,MIN($U43,300)))-INDEX(Reference!$A$6:$A$11,MIN(5,MATCH(MAX(Reference!$A$6,MIN(Reference!$A$11,MIN($U43,300))),Reference!$A$6:$A$11,1))))*(INDEX(Reference!$B$6:$B$11,MIN(5,MATCH(MAX(Reference!$A$6,MIN(Reference!$A$11,MIN($U43,300))),Reference!$A$6:$A$11,1))+1)-INDEX(Reference!$B$6:$B$11,MIN(5,MATCH(MAX(Reference!$A$6,MIN(Reference!$A$11,MIN($U43,300))),Reference!$A$6:$A$11,1))))/(INDEX(Reference!$A$6:$A$11,MIN(5,MATCH(MAX(Reference!$A$6,MIN(Reference!$A$11,MIN($U43,300))),Reference!$A$6:$A$11,1))+1)-INDEX(Reference!$A$6:$A$11,MIN(5,MATCH(MAX(Reference!$A$6,MIN(Reference!$A$11,MIN($U43,300))),Reference!$A$6:$A$11,1))))),0))/($AL43*($AL43+5)/2)),$AN43))</f>
        <v>1</v>
      </c>
      <c r="AN43" s="32">
        <f>IF($U43="",0,(INDEX(Reference!$B$6:$B$11,MIN(5,MATCH(MAX(Reference!$A$6,MIN(Reference!$A$11,$U43)),Reference!$A$6:$A$11,1)))+(MAX(Reference!$A$6,MIN(Reference!$A$11,$U43))-INDEX(Reference!$A$6:$A$11,MIN(5,MATCH(MAX(Reference!$A$6,MIN(Reference!$A$11,$U43)),Reference!$A$6:$A$11,1))))*(INDEX(Reference!$B$6:$B$11,MIN(5,MATCH(MAX(Reference!$A$6,MIN(Reference!$A$11,$U43)),Reference!$A$6:$A$11,1))+1)-INDEX(Reference!$B$6:$B$11,MIN(5,MATCH(MAX(Reference!$A$6,MIN(Reference!$A$11,$U43)),Reference!$A$6:$A$11,1))))/(INDEX(Reference!$A$6:$A$11,MIN(5,MATCH(MAX(Reference!$A$6,MIN(Reference!$A$11,$U43)),Reference!$A$6:$A$11,1))+1)-INDEX(Reference!$A$6:$A$11,MIN(5,MATCH(MAX(Reference!$A$6,MIN(Reference!$A$11,$U43)),Reference!$A$6:$A$11,1))))))</f>
        <v>1</v>
      </c>
      <c r="AO43" s="37"/>
      <c r="AP43" s="37"/>
      <c r="AQ43" s="37"/>
    </row>
    <row r="44" spans="1:43" x14ac:dyDescent="0.3">
      <c r="A44" s="48">
        <f t="shared" si="5"/>
        <v>46308</v>
      </c>
      <c r="B44" s="32" t="str">
        <f t="shared" si="6"/>
        <v>Tue</v>
      </c>
      <c r="C44" s="32">
        <f t="shared" si="7"/>
        <v>83</v>
      </c>
      <c r="D44" s="32" t="str">
        <f t="shared" si="8"/>
        <v>Re-entry</v>
      </c>
      <c r="E44" s="32" t="str">
        <f t="shared" si="9"/>
        <v>Low</v>
      </c>
      <c r="F44" s="32" t="str">
        <f t="shared" si="10"/>
        <v>Recovery/Easy Catch</v>
      </c>
      <c r="G44" s="47" t="str">
        <f t="shared" si="11"/>
        <v>60 ft × 30 @ 69–73 mph</v>
      </c>
      <c r="H44" s="30">
        <f t="shared" si="12"/>
        <v>18</v>
      </c>
      <c r="I44" s="46" t="str">
        <f>IF($A44="","",IF(AND($L44&lt;27,$K$12=0),"Building",IFERROR(((SUM($H$43:$H44)+$K$12*IF($L44&lt;6,SUMIFS('Throw Log'!$Q$5:$Q$300,'Throw Log'!$B$5:$B$300,$D$4,'Throw Log'!$A$5:$A$300,"&gt;="&amp;($D$6+$L44-6),'Throw Log'!$A$5:$A$300,"&lt;="&amp;($D$6-1)),0))/7)/((SUM($H$43:$H44)+$K$12*IF($L44&lt;27,SUMIFS('Throw Log'!$Q$5:$Q$300,'Throw Log'!$B$5:$B$300,$D$4,'Throw Log'!$A$5:$A$300,"&gt;="&amp;($D$6+$L44-27),'Throw Log'!$A$5:$A$300,"&lt;="&amp;($D$6-1)),0))/28),"")))</f>
        <v>Building</v>
      </c>
      <c r="J44" s="37"/>
      <c r="K44" s="37">
        <v>30</v>
      </c>
      <c r="L44" s="32">
        <v>1</v>
      </c>
      <c r="M44" s="32">
        <f t="shared" si="13"/>
        <v>1</v>
      </c>
      <c r="N44" s="32">
        <f t="shared" si="14"/>
        <v>1</v>
      </c>
      <c r="O44" s="32">
        <f t="shared" si="15"/>
        <v>1.3157894736842105E-2</v>
      </c>
      <c r="P44" s="32">
        <f>IF(OR($A44="",N($C44)&lt;=7),"",$G$6*$G$9^($M44-1)*IF(AND(MOD($M44,Reference!$B$99)=0,$M44&lt;=$G$5-2),Reference!$B$100,1))</f>
        <v>80</v>
      </c>
      <c r="Q44" s="32">
        <f>IF($P44="","",IF(SUM($AK$43:$AK$49)=0,0,$P44*INDEX(Reference!$B$108:$B$114,$N44+1)/SUM($AK$43:$AK$49)))</f>
        <v>29.589041095890412</v>
      </c>
      <c r="R44" s="32">
        <f t="shared" si="16"/>
        <v>60</v>
      </c>
      <c r="S44" s="32">
        <f t="shared" si="17"/>
        <v>60</v>
      </c>
      <c r="T44" s="32" t="str">
        <f>IF($A44="","",IF($C44=0,"Bullpen",IF(OR($C44=7,$C44=1,$C44=5),"Recovery/Easy Catch",IF($C44=6,"Compression/Pulldowns",IF(OR($C44=4,$C44=2),"Long Toss",IF($C44=3,"No Throw",IF($N44=2,"No Throw",IF($N44=6,IF($O44&lt;Reference!$B$104,"No Throw","Recovery/Easy Catch"),IF(OR($N44=0,$N44=4),"Recovery/Easy Catch",IF($N44=1,IF($R44&gt;75,"Long Toss","Recovery/Easy Catch"),IF($N44=3,IF($O44&lt;0.5,IF($S44&gt;75,"Long Toss","Recovery/Easy Catch"),"Compression/Pulldowns"),IF($S44&gt;75,"Long Toss","Recovery/Easy Catch"))))))))))))</f>
        <v>Recovery/Easy Catch</v>
      </c>
      <c r="U44" s="32">
        <f t="shared" si="18"/>
        <v>60</v>
      </c>
      <c r="V44" s="32">
        <f t="shared" si="19"/>
        <v>18</v>
      </c>
      <c r="W44" s="32">
        <f t="shared" si="20"/>
        <v>22</v>
      </c>
      <c r="X44" s="32">
        <f t="shared" si="21"/>
        <v>0</v>
      </c>
      <c r="Y44" s="32" t="str">
        <f t="shared" si="22"/>
        <v/>
      </c>
      <c r="Z44" s="32" t="str">
        <f t="shared" si="23"/>
        <v/>
      </c>
      <c r="AA44" s="32" t="str">
        <f t="shared" si="24"/>
        <v/>
      </c>
      <c r="AB44" s="32">
        <f>IF($A44="","",IF($T44="No Throw",0,IF($K44&lt;&gt;"",$K44,IF($AA44&lt;&gt;"",ROUND($AA44*$D$12*IF($C44=0,1,$G$10),0),MIN(IF($T44="Recovery/Easy Catch",Reference!$B$103,IF($T44="Long Toss",Reference!$B$106,Reference!$B$102)),MAX(Reference!$B$101,ROUND(MAX(0,$Q44-$AE44)/$AF44,0)))))))</f>
        <v>30</v>
      </c>
      <c r="AC44" s="32">
        <f t="shared" si="25"/>
        <v>0</v>
      </c>
      <c r="AD44" s="32" t="b">
        <f t="shared" si="26"/>
        <v>0</v>
      </c>
      <c r="AE44" s="32">
        <f>IF($X44=0,0,$X44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44+$Z44)/2,0),Reference!$A$17:$B$20,2,TRUE()))</f>
        <v>0</v>
      </c>
      <c r="AF44" s="32">
        <f>IF(OR($A44="",$U44="",$T44="No Throw"),0,$AM44*VLOOKUP(MAX(($V44+$W44)/2,0),Reference!$A$17:$B$20,2,TRUE()))</f>
        <v>0.6</v>
      </c>
      <c r="AG44" s="32">
        <f>IF($AC44=0,0,$AC44*INDEX(Reference!$B$61:$B$62,MATCH("Bullpen",Reference!$A$61:$A$62,0))*VLOOKUP(MAX($D$5-($D$9+$E$9)/2,0),Reference!$A$17:$B$20,2,TRUE()))</f>
        <v>0</v>
      </c>
      <c r="AH44" s="32" t="e">
        <f t="shared" si="27"/>
        <v>#N/A</v>
      </c>
      <c r="AI44" s="32">
        <f>IF($A44="",NA(),Reference!$A$25)</f>
        <v>0.8</v>
      </c>
      <c r="AJ44" s="32">
        <f t="shared" si="28"/>
        <v>1.3</v>
      </c>
      <c r="AK44" s="56">
        <f>IF(OR($A44="",N($C44)&lt;=7,$T44="No Throw",$J44="x"),0,INDEX(Reference!$B$108:$B$114,$N44+1))</f>
        <v>0.27</v>
      </c>
      <c r="AL44" s="32">
        <f t="shared" si="29"/>
        <v>1</v>
      </c>
      <c r="AM44" s="32">
        <f>IF($U44="",0,IF($AL44&gt;1,((IF(1&lt;=$AL44,($AL44-1+3)*(INDEX(Reference!$B$6:$B$11,MIN(5,MATCH(MAX(Reference!$A$6,MIN(Reference!$A$11,MIN($U44,90))),Reference!$A$6:$A$11,1)))+(MAX(Reference!$A$6,MIN(Reference!$A$11,MIN($U44,90)))-INDEX(Reference!$A$6:$A$11,MIN(5,MATCH(MAX(Reference!$A$6,MIN(Reference!$A$11,MIN($U44,90))),Reference!$A$6:$A$11,1))))*(INDEX(Reference!$B$6:$B$11,MIN(5,MATCH(MAX(Reference!$A$6,MIN(Reference!$A$11,MIN($U44,90))),Reference!$A$6:$A$11,1))+1)-INDEX(Reference!$B$6:$B$11,MIN(5,MATCH(MAX(Reference!$A$6,MIN(Reference!$A$11,MIN($U44,90))),Reference!$A$6:$A$11,1))))/(INDEX(Reference!$A$6:$A$11,MIN(5,MATCH(MAX(Reference!$A$6,MIN(Reference!$A$11,MIN($U44,90))),Reference!$A$6:$A$11,1))+1)-INDEX(Reference!$A$6:$A$11,MIN(5,MATCH(MAX(Reference!$A$6,MIN(Reference!$A$11,MIN($U44,90))),Reference!$A$6:$A$11,1))))),0)+IF(2&lt;=$AL44,($AL44-2+3)*(INDEX(Reference!$B$6:$B$11,MIN(5,MATCH(MAX(Reference!$A$6,MIN(Reference!$A$11,MIN($U44,120))),Reference!$A$6:$A$11,1)))+(MAX(Reference!$A$6,MIN(Reference!$A$11,MIN($U44,120)))-INDEX(Reference!$A$6:$A$11,MIN(5,MATCH(MAX(Reference!$A$6,MIN(Reference!$A$11,MIN($U44,120))),Reference!$A$6:$A$11,1))))*(INDEX(Reference!$B$6:$B$11,MIN(5,MATCH(MAX(Reference!$A$6,MIN(Reference!$A$11,MIN($U44,120))),Reference!$A$6:$A$11,1))+1)-INDEX(Reference!$B$6:$B$11,MIN(5,MATCH(MAX(Reference!$A$6,MIN(Reference!$A$11,MIN($U44,120))),Reference!$A$6:$A$11,1))))/(INDEX(Reference!$A$6:$A$11,MIN(5,MATCH(MAX(Reference!$A$6,MIN(Reference!$A$11,MIN($U44,120))),Reference!$A$6:$A$11,1))+1)-INDEX(Reference!$A$6:$A$11,MIN(5,MATCH(MAX(Reference!$A$6,MIN(Reference!$A$11,MIN($U44,120))),Reference!$A$6:$A$11,1))))),0)+IF(3&lt;=$AL44,($AL44-3+3)*(INDEX(Reference!$B$6:$B$11,MIN(5,MATCH(MAX(Reference!$A$6,MIN(Reference!$A$11,MIN($U44,150))),Reference!$A$6:$A$11,1)))+(MAX(Reference!$A$6,MIN(Reference!$A$11,MIN($U44,150)))-INDEX(Reference!$A$6:$A$11,MIN(5,MATCH(MAX(Reference!$A$6,MIN(Reference!$A$11,MIN($U44,150))),Reference!$A$6:$A$11,1))))*(INDEX(Reference!$B$6:$B$11,MIN(5,MATCH(MAX(Reference!$A$6,MIN(Reference!$A$11,MIN($U44,150))),Reference!$A$6:$A$11,1))+1)-INDEX(Reference!$B$6:$B$11,MIN(5,MATCH(MAX(Reference!$A$6,MIN(Reference!$A$11,MIN($U44,150))),Reference!$A$6:$A$11,1))))/(INDEX(Reference!$A$6:$A$11,MIN(5,MATCH(MAX(Reference!$A$6,MIN(Reference!$A$11,MIN($U44,150))),Reference!$A$6:$A$11,1))+1)-INDEX(Reference!$A$6:$A$11,MIN(5,MATCH(MAX(Reference!$A$6,MIN(Reference!$A$11,MIN($U44,150))),Reference!$A$6:$A$11,1))))),0)+IF(4&lt;=$AL44,($AL44-4+3)*(INDEX(Reference!$B$6:$B$11,MIN(5,MATCH(MAX(Reference!$A$6,MIN(Reference!$A$11,MIN($U44,180))),Reference!$A$6:$A$11,1)))+(MAX(Reference!$A$6,MIN(Reference!$A$11,MIN($U44,180)))-INDEX(Reference!$A$6:$A$11,MIN(5,MATCH(MAX(Reference!$A$6,MIN(Reference!$A$11,MIN($U44,180))),Reference!$A$6:$A$11,1))))*(INDEX(Reference!$B$6:$B$11,MIN(5,MATCH(MAX(Reference!$A$6,MIN(Reference!$A$11,MIN($U44,180))),Reference!$A$6:$A$11,1))+1)-INDEX(Reference!$B$6:$B$11,MIN(5,MATCH(MAX(Reference!$A$6,MIN(Reference!$A$11,MIN($U44,180))),Reference!$A$6:$A$11,1))))/(INDEX(Reference!$A$6:$A$11,MIN(5,MATCH(MAX(Reference!$A$6,MIN(Reference!$A$11,MIN($U44,180))),Reference!$A$6:$A$11,1))+1)-INDEX(Reference!$A$6:$A$11,MIN(5,MATCH(MAX(Reference!$A$6,MIN(Reference!$A$11,MIN($U44,180))),Reference!$A$6:$A$11,1))))),0)+IF(5&lt;=$AL44,($AL44-5+3)*(INDEX(Reference!$B$6:$B$11,MIN(5,MATCH(MAX(Reference!$A$6,MIN(Reference!$A$11,MIN($U44,210))),Reference!$A$6:$A$11,1)))+(MAX(Reference!$A$6,MIN(Reference!$A$11,MIN($U44,210)))-INDEX(Reference!$A$6:$A$11,MIN(5,MATCH(MAX(Reference!$A$6,MIN(Reference!$A$11,MIN($U44,210))),Reference!$A$6:$A$11,1))))*(INDEX(Reference!$B$6:$B$11,MIN(5,MATCH(MAX(Reference!$A$6,MIN(Reference!$A$11,MIN($U44,210))),Reference!$A$6:$A$11,1))+1)-INDEX(Reference!$B$6:$B$11,MIN(5,MATCH(MAX(Reference!$A$6,MIN(Reference!$A$11,MIN($U44,210))),Reference!$A$6:$A$11,1))))/(INDEX(Reference!$A$6:$A$11,MIN(5,MATCH(MAX(Reference!$A$6,MIN(Reference!$A$11,MIN($U44,210))),Reference!$A$6:$A$11,1))+1)-INDEX(Reference!$A$6:$A$11,MIN(5,MATCH(MAX(Reference!$A$6,MIN(Reference!$A$11,MIN($U44,210))),Reference!$A$6:$A$11,1))))),0)+IF(6&lt;=$AL44,($AL44-6+3)*(INDEX(Reference!$B$6:$B$11,MIN(5,MATCH(MAX(Reference!$A$6,MIN(Reference!$A$11,MIN($U44,240))),Reference!$A$6:$A$11,1)))+(MAX(Reference!$A$6,MIN(Reference!$A$11,MIN($U44,240)))-INDEX(Reference!$A$6:$A$11,MIN(5,MATCH(MAX(Reference!$A$6,MIN(Reference!$A$11,MIN($U44,240))),Reference!$A$6:$A$11,1))))*(INDEX(Reference!$B$6:$B$11,MIN(5,MATCH(MAX(Reference!$A$6,MIN(Reference!$A$11,MIN($U44,240))),Reference!$A$6:$A$11,1))+1)-INDEX(Reference!$B$6:$B$11,MIN(5,MATCH(MAX(Reference!$A$6,MIN(Reference!$A$11,MIN($U44,240))),Reference!$A$6:$A$11,1))))/(INDEX(Reference!$A$6:$A$11,MIN(5,MATCH(MAX(Reference!$A$6,MIN(Reference!$A$11,MIN($U44,240))),Reference!$A$6:$A$11,1))+1)-INDEX(Reference!$A$6:$A$11,MIN(5,MATCH(MAX(Reference!$A$6,MIN(Reference!$A$11,MIN($U44,240))),Reference!$A$6:$A$11,1))))),0)+IF(7&lt;=$AL44,($AL44-7+3)*(INDEX(Reference!$B$6:$B$11,MIN(5,MATCH(MAX(Reference!$A$6,MIN(Reference!$A$11,MIN($U44,270))),Reference!$A$6:$A$11,1)))+(MAX(Reference!$A$6,MIN(Reference!$A$11,MIN($U44,270)))-INDEX(Reference!$A$6:$A$11,MIN(5,MATCH(MAX(Reference!$A$6,MIN(Reference!$A$11,MIN($U44,270))),Reference!$A$6:$A$11,1))))*(INDEX(Reference!$B$6:$B$11,MIN(5,MATCH(MAX(Reference!$A$6,MIN(Reference!$A$11,MIN($U44,270))),Reference!$A$6:$A$11,1))+1)-INDEX(Reference!$B$6:$B$11,MIN(5,MATCH(MAX(Reference!$A$6,MIN(Reference!$A$11,MIN($U44,270))),Reference!$A$6:$A$11,1))))/(INDEX(Reference!$A$6:$A$11,MIN(5,MATCH(MAX(Reference!$A$6,MIN(Reference!$A$11,MIN($U44,270))),Reference!$A$6:$A$11,1))+1)-INDEX(Reference!$A$6:$A$11,MIN(5,MATCH(MAX(Reference!$A$6,MIN(Reference!$A$11,MIN($U44,270))),Reference!$A$6:$A$11,1))))),0)+IF(8&lt;=$AL44,($AL44-8+3)*(INDEX(Reference!$B$6:$B$11,MIN(5,MATCH(MAX(Reference!$A$6,MIN(Reference!$A$11,MIN($U44,300))),Reference!$A$6:$A$11,1)))+(MAX(Reference!$A$6,MIN(Reference!$A$11,MIN($U44,300)))-INDEX(Reference!$A$6:$A$11,MIN(5,MATCH(MAX(Reference!$A$6,MIN(Reference!$A$11,MIN($U44,300))),Reference!$A$6:$A$11,1))))*(INDEX(Reference!$B$6:$B$11,MIN(5,MATCH(MAX(Reference!$A$6,MIN(Reference!$A$11,MIN($U44,300))),Reference!$A$6:$A$11,1))+1)-INDEX(Reference!$B$6:$B$11,MIN(5,MATCH(MAX(Reference!$A$6,MIN(Reference!$A$11,MIN($U44,300))),Reference!$A$6:$A$11,1))))/(INDEX(Reference!$A$6:$A$11,MIN(5,MATCH(MAX(Reference!$A$6,MIN(Reference!$A$11,MIN($U44,300))),Reference!$A$6:$A$11,1))+1)-INDEX(Reference!$A$6:$A$11,MIN(5,MATCH(MAX(Reference!$A$6,MIN(Reference!$A$11,MIN($U44,300))),Reference!$A$6:$A$11,1))))),0))/($AL44*($AL44+5)/2)),$AN44))</f>
        <v>1</v>
      </c>
      <c r="AN44" s="32">
        <f>IF($U44="",0,(INDEX(Reference!$B$6:$B$11,MIN(5,MATCH(MAX(Reference!$A$6,MIN(Reference!$A$11,$U44)),Reference!$A$6:$A$11,1)))+(MAX(Reference!$A$6,MIN(Reference!$A$11,$U44))-INDEX(Reference!$A$6:$A$11,MIN(5,MATCH(MAX(Reference!$A$6,MIN(Reference!$A$11,$U44)),Reference!$A$6:$A$11,1))))*(INDEX(Reference!$B$6:$B$11,MIN(5,MATCH(MAX(Reference!$A$6,MIN(Reference!$A$11,$U44)),Reference!$A$6:$A$11,1))+1)-INDEX(Reference!$B$6:$B$11,MIN(5,MATCH(MAX(Reference!$A$6,MIN(Reference!$A$11,$U44)),Reference!$A$6:$A$11,1))))/(INDEX(Reference!$A$6:$A$11,MIN(5,MATCH(MAX(Reference!$A$6,MIN(Reference!$A$11,$U44)),Reference!$A$6:$A$11,1))+1)-INDEX(Reference!$A$6:$A$11,MIN(5,MATCH(MAX(Reference!$A$6,MIN(Reference!$A$11,$U44)),Reference!$A$6:$A$11,1))))))</f>
        <v>1</v>
      </c>
      <c r="AO44" s="37"/>
      <c r="AP44" s="37"/>
      <c r="AQ44" s="37"/>
    </row>
    <row r="45" spans="1:43" x14ac:dyDescent="0.3">
      <c r="A45" s="48">
        <f t="shared" si="5"/>
        <v>46309</v>
      </c>
      <c r="B45" s="32" t="str">
        <f t="shared" si="6"/>
        <v>Wed</v>
      </c>
      <c r="C45" s="32">
        <f t="shared" si="7"/>
        <v>82</v>
      </c>
      <c r="D45" s="32" t="str">
        <f t="shared" si="8"/>
        <v>Re-entry</v>
      </c>
      <c r="E45" s="32" t="str">
        <f t="shared" si="9"/>
        <v>No Throw</v>
      </c>
      <c r="F45" s="32" t="str">
        <f t="shared" si="10"/>
        <v>No Throw</v>
      </c>
      <c r="G45" s="47" t="str">
        <f t="shared" si="11"/>
        <v>Off</v>
      </c>
      <c r="H45" s="30">
        <f t="shared" si="12"/>
        <v>0</v>
      </c>
      <c r="I45" s="46" t="str">
        <f>IF($A45="","",IF(AND($L45&lt;27,$K$12=0),"Building",IFERROR(((SUM($H$43:$H45)+$K$12*IF($L45&lt;6,SUMIFS('Throw Log'!$Q$5:$Q$300,'Throw Log'!$B$5:$B$300,$D$4,'Throw Log'!$A$5:$A$300,"&gt;="&amp;($D$6+$L45-6),'Throw Log'!$A$5:$A$300,"&lt;="&amp;($D$6-1)),0))/7)/((SUM($H$43:$H45)+$K$12*IF($L45&lt;27,SUMIFS('Throw Log'!$Q$5:$Q$300,'Throw Log'!$B$5:$B$300,$D$4,'Throw Log'!$A$5:$A$300,"&gt;="&amp;($D$6+$L45-27),'Throw Log'!$A$5:$A$300,"&lt;="&amp;($D$6-1)),0))/28),"")))</f>
        <v>Building</v>
      </c>
      <c r="J45" s="37"/>
      <c r="K45" s="37"/>
      <c r="L45" s="32">
        <v>2</v>
      </c>
      <c r="M45" s="32">
        <f t="shared" si="13"/>
        <v>1</v>
      </c>
      <c r="N45" s="32">
        <f t="shared" si="14"/>
        <v>2</v>
      </c>
      <c r="O45" s="32">
        <f t="shared" si="15"/>
        <v>2.6315789473684209E-2</v>
      </c>
      <c r="P45" s="32">
        <f>IF(OR($A45="",N($C45)&lt;=7),"",$G$6*$G$9^($M45-1)*IF(AND(MOD($M45,Reference!$B$99)=0,$M45&lt;=$G$5-2),Reference!$B$100,1))</f>
        <v>80</v>
      </c>
      <c r="Q45" s="32">
        <f>IF($P45="","",IF(SUM($AK$43:$AK$49)=0,0,$P45*INDEX(Reference!$B$108:$B$114,$N45+1)/SUM($AK$43:$AK$49)))</f>
        <v>0</v>
      </c>
      <c r="R45" s="32">
        <f t="shared" si="16"/>
        <v>60</v>
      </c>
      <c r="S45" s="32">
        <f t="shared" si="17"/>
        <v>60</v>
      </c>
      <c r="T45" s="32" t="str">
        <f>IF($A45="","",IF($C45=0,"Bullpen",IF(OR($C45=7,$C45=1,$C45=5),"Recovery/Easy Catch",IF($C45=6,"Compression/Pulldowns",IF(OR($C45=4,$C45=2),"Long Toss",IF($C45=3,"No Throw",IF($N45=2,"No Throw",IF($N45=6,IF($O45&lt;Reference!$B$104,"No Throw","Recovery/Easy Catch"),IF(OR($N45=0,$N45=4),"Recovery/Easy Catch",IF($N45=1,IF($R45&gt;75,"Long Toss","Recovery/Easy Catch"),IF($N45=3,IF($O45&lt;0.5,IF($S45&gt;75,"Long Toss","Recovery/Easy Catch"),"Compression/Pulldowns"),IF($S45&gt;75,"Long Toss","Recovery/Easy Catch"))))))))))))</f>
        <v>No Throw</v>
      </c>
      <c r="U45" s="32" t="str">
        <f t="shared" si="18"/>
        <v/>
      </c>
      <c r="V45" s="32" t="str">
        <f t="shared" si="19"/>
        <v/>
      </c>
      <c r="W45" s="32" t="str">
        <f t="shared" si="20"/>
        <v/>
      </c>
      <c r="X45" s="32">
        <f t="shared" si="21"/>
        <v>0</v>
      </c>
      <c r="Y45" s="32" t="str">
        <f t="shared" si="22"/>
        <v/>
      </c>
      <c r="Z45" s="32" t="str">
        <f t="shared" si="23"/>
        <v/>
      </c>
      <c r="AA45" s="32" t="str">
        <f t="shared" si="24"/>
        <v/>
      </c>
      <c r="AB45" s="32">
        <f>IF($A45="","",IF($T45="No Throw",0,IF($K45&lt;&gt;"",$K45,IF($AA45&lt;&gt;"",ROUND($AA45*$D$12*IF($C45=0,1,$G$10),0),MIN(IF($T45="Recovery/Easy Catch",Reference!$B$103,IF($T45="Long Toss",Reference!$B$106,Reference!$B$102)),MAX(Reference!$B$101,ROUND(MAX(0,$Q45-$AE45)/$AF45,0)))))))</f>
        <v>0</v>
      </c>
      <c r="AC45" s="32">
        <f t="shared" si="25"/>
        <v>0</v>
      </c>
      <c r="AD45" s="32" t="b">
        <f t="shared" si="26"/>
        <v>1</v>
      </c>
      <c r="AE45" s="32">
        <f>IF($X45=0,0,$X45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45+$Z45)/2,0),Reference!$A$17:$B$20,2,TRUE()))</f>
        <v>0</v>
      </c>
      <c r="AF45" s="32">
        <f>IF(OR($A45="",$U45="",$T45="No Throw"),0,$AM45*VLOOKUP(MAX(($V45+$W45)/2,0),Reference!$A$17:$B$20,2,TRUE()))</f>
        <v>0</v>
      </c>
      <c r="AG45" s="32">
        <f>IF($AC45=0,0,$AC45*INDEX(Reference!$B$61:$B$62,MATCH("Bullpen",Reference!$A$61:$A$62,0))*VLOOKUP(MAX($D$5-($D$9+$E$9)/2,0),Reference!$A$17:$B$20,2,TRUE()))</f>
        <v>0</v>
      </c>
      <c r="AH45" s="32" t="e">
        <f t="shared" si="27"/>
        <v>#N/A</v>
      </c>
      <c r="AI45" s="32">
        <f>IF($A45="",NA(),Reference!$A$25)</f>
        <v>0.8</v>
      </c>
      <c r="AJ45" s="32">
        <f t="shared" si="28"/>
        <v>1.3</v>
      </c>
      <c r="AK45" s="32">
        <f>IF(OR($A45="",N($C45)&lt;=7,$T45="No Throw",$J45="x"),0,INDEX(Reference!$B$108:$B$114,$N45+1))</f>
        <v>0</v>
      </c>
      <c r="AL45" s="32">
        <f t="shared" si="29"/>
        <v>1</v>
      </c>
      <c r="AM45" s="32">
        <f>IF($U45="",0,IF($AL45&gt;1,((IF(1&lt;=$AL45,($AL45-1+3)*(INDEX(Reference!$B$6:$B$11,MIN(5,MATCH(MAX(Reference!$A$6,MIN(Reference!$A$11,MIN($U45,90))),Reference!$A$6:$A$11,1)))+(MAX(Reference!$A$6,MIN(Reference!$A$11,MIN($U45,90)))-INDEX(Reference!$A$6:$A$11,MIN(5,MATCH(MAX(Reference!$A$6,MIN(Reference!$A$11,MIN($U45,90))),Reference!$A$6:$A$11,1))))*(INDEX(Reference!$B$6:$B$11,MIN(5,MATCH(MAX(Reference!$A$6,MIN(Reference!$A$11,MIN($U45,90))),Reference!$A$6:$A$11,1))+1)-INDEX(Reference!$B$6:$B$11,MIN(5,MATCH(MAX(Reference!$A$6,MIN(Reference!$A$11,MIN($U45,90))),Reference!$A$6:$A$11,1))))/(INDEX(Reference!$A$6:$A$11,MIN(5,MATCH(MAX(Reference!$A$6,MIN(Reference!$A$11,MIN($U45,90))),Reference!$A$6:$A$11,1))+1)-INDEX(Reference!$A$6:$A$11,MIN(5,MATCH(MAX(Reference!$A$6,MIN(Reference!$A$11,MIN($U45,90))),Reference!$A$6:$A$11,1))))),0)+IF(2&lt;=$AL45,($AL45-2+3)*(INDEX(Reference!$B$6:$B$11,MIN(5,MATCH(MAX(Reference!$A$6,MIN(Reference!$A$11,MIN($U45,120))),Reference!$A$6:$A$11,1)))+(MAX(Reference!$A$6,MIN(Reference!$A$11,MIN($U45,120)))-INDEX(Reference!$A$6:$A$11,MIN(5,MATCH(MAX(Reference!$A$6,MIN(Reference!$A$11,MIN($U45,120))),Reference!$A$6:$A$11,1))))*(INDEX(Reference!$B$6:$B$11,MIN(5,MATCH(MAX(Reference!$A$6,MIN(Reference!$A$11,MIN($U45,120))),Reference!$A$6:$A$11,1))+1)-INDEX(Reference!$B$6:$B$11,MIN(5,MATCH(MAX(Reference!$A$6,MIN(Reference!$A$11,MIN($U45,120))),Reference!$A$6:$A$11,1))))/(INDEX(Reference!$A$6:$A$11,MIN(5,MATCH(MAX(Reference!$A$6,MIN(Reference!$A$11,MIN($U45,120))),Reference!$A$6:$A$11,1))+1)-INDEX(Reference!$A$6:$A$11,MIN(5,MATCH(MAX(Reference!$A$6,MIN(Reference!$A$11,MIN($U45,120))),Reference!$A$6:$A$11,1))))),0)+IF(3&lt;=$AL45,($AL45-3+3)*(INDEX(Reference!$B$6:$B$11,MIN(5,MATCH(MAX(Reference!$A$6,MIN(Reference!$A$11,MIN($U45,150))),Reference!$A$6:$A$11,1)))+(MAX(Reference!$A$6,MIN(Reference!$A$11,MIN($U45,150)))-INDEX(Reference!$A$6:$A$11,MIN(5,MATCH(MAX(Reference!$A$6,MIN(Reference!$A$11,MIN($U45,150))),Reference!$A$6:$A$11,1))))*(INDEX(Reference!$B$6:$B$11,MIN(5,MATCH(MAX(Reference!$A$6,MIN(Reference!$A$11,MIN($U45,150))),Reference!$A$6:$A$11,1))+1)-INDEX(Reference!$B$6:$B$11,MIN(5,MATCH(MAX(Reference!$A$6,MIN(Reference!$A$11,MIN($U45,150))),Reference!$A$6:$A$11,1))))/(INDEX(Reference!$A$6:$A$11,MIN(5,MATCH(MAX(Reference!$A$6,MIN(Reference!$A$11,MIN($U45,150))),Reference!$A$6:$A$11,1))+1)-INDEX(Reference!$A$6:$A$11,MIN(5,MATCH(MAX(Reference!$A$6,MIN(Reference!$A$11,MIN($U45,150))),Reference!$A$6:$A$11,1))))),0)+IF(4&lt;=$AL45,($AL45-4+3)*(INDEX(Reference!$B$6:$B$11,MIN(5,MATCH(MAX(Reference!$A$6,MIN(Reference!$A$11,MIN($U45,180))),Reference!$A$6:$A$11,1)))+(MAX(Reference!$A$6,MIN(Reference!$A$11,MIN($U45,180)))-INDEX(Reference!$A$6:$A$11,MIN(5,MATCH(MAX(Reference!$A$6,MIN(Reference!$A$11,MIN($U45,180))),Reference!$A$6:$A$11,1))))*(INDEX(Reference!$B$6:$B$11,MIN(5,MATCH(MAX(Reference!$A$6,MIN(Reference!$A$11,MIN($U45,180))),Reference!$A$6:$A$11,1))+1)-INDEX(Reference!$B$6:$B$11,MIN(5,MATCH(MAX(Reference!$A$6,MIN(Reference!$A$11,MIN($U45,180))),Reference!$A$6:$A$11,1))))/(INDEX(Reference!$A$6:$A$11,MIN(5,MATCH(MAX(Reference!$A$6,MIN(Reference!$A$11,MIN($U45,180))),Reference!$A$6:$A$11,1))+1)-INDEX(Reference!$A$6:$A$11,MIN(5,MATCH(MAX(Reference!$A$6,MIN(Reference!$A$11,MIN($U45,180))),Reference!$A$6:$A$11,1))))),0)+IF(5&lt;=$AL45,($AL45-5+3)*(INDEX(Reference!$B$6:$B$11,MIN(5,MATCH(MAX(Reference!$A$6,MIN(Reference!$A$11,MIN($U45,210))),Reference!$A$6:$A$11,1)))+(MAX(Reference!$A$6,MIN(Reference!$A$11,MIN($U45,210)))-INDEX(Reference!$A$6:$A$11,MIN(5,MATCH(MAX(Reference!$A$6,MIN(Reference!$A$11,MIN($U45,210))),Reference!$A$6:$A$11,1))))*(INDEX(Reference!$B$6:$B$11,MIN(5,MATCH(MAX(Reference!$A$6,MIN(Reference!$A$11,MIN($U45,210))),Reference!$A$6:$A$11,1))+1)-INDEX(Reference!$B$6:$B$11,MIN(5,MATCH(MAX(Reference!$A$6,MIN(Reference!$A$11,MIN($U45,210))),Reference!$A$6:$A$11,1))))/(INDEX(Reference!$A$6:$A$11,MIN(5,MATCH(MAX(Reference!$A$6,MIN(Reference!$A$11,MIN($U45,210))),Reference!$A$6:$A$11,1))+1)-INDEX(Reference!$A$6:$A$11,MIN(5,MATCH(MAX(Reference!$A$6,MIN(Reference!$A$11,MIN($U45,210))),Reference!$A$6:$A$11,1))))),0)+IF(6&lt;=$AL45,($AL45-6+3)*(INDEX(Reference!$B$6:$B$11,MIN(5,MATCH(MAX(Reference!$A$6,MIN(Reference!$A$11,MIN($U45,240))),Reference!$A$6:$A$11,1)))+(MAX(Reference!$A$6,MIN(Reference!$A$11,MIN($U45,240)))-INDEX(Reference!$A$6:$A$11,MIN(5,MATCH(MAX(Reference!$A$6,MIN(Reference!$A$11,MIN($U45,240))),Reference!$A$6:$A$11,1))))*(INDEX(Reference!$B$6:$B$11,MIN(5,MATCH(MAX(Reference!$A$6,MIN(Reference!$A$11,MIN($U45,240))),Reference!$A$6:$A$11,1))+1)-INDEX(Reference!$B$6:$B$11,MIN(5,MATCH(MAX(Reference!$A$6,MIN(Reference!$A$11,MIN($U45,240))),Reference!$A$6:$A$11,1))))/(INDEX(Reference!$A$6:$A$11,MIN(5,MATCH(MAX(Reference!$A$6,MIN(Reference!$A$11,MIN($U45,240))),Reference!$A$6:$A$11,1))+1)-INDEX(Reference!$A$6:$A$11,MIN(5,MATCH(MAX(Reference!$A$6,MIN(Reference!$A$11,MIN($U45,240))),Reference!$A$6:$A$11,1))))),0)+IF(7&lt;=$AL45,($AL45-7+3)*(INDEX(Reference!$B$6:$B$11,MIN(5,MATCH(MAX(Reference!$A$6,MIN(Reference!$A$11,MIN($U45,270))),Reference!$A$6:$A$11,1)))+(MAX(Reference!$A$6,MIN(Reference!$A$11,MIN($U45,270)))-INDEX(Reference!$A$6:$A$11,MIN(5,MATCH(MAX(Reference!$A$6,MIN(Reference!$A$11,MIN($U45,270))),Reference!$A$6:$A$11,1))))*(INDEX(Reference!$B$6:$B$11,MIN(5,MATCH(MAX(Reference!$A$6,MIN(Reference!$A$11,MIN($U45,270))),Reference!$A$6:$A$11,1))+1)-INDEX(Reference!$B$6:$B$11,MIN(5,MATCH(MAX(Reference!$A$6,MIN(Reference!$A$11,MIN($U45,270))),Reference!$A$6:$A$11,1))))/(INDEX(Reference!$A$6:$A$11,MIN(5,MATCH(MAX(Reference!$A$6,MIN(Reference!$A$11,MIN($U45,270))),Reference!$A$6:$A$11,1))+1)-INDEX(Reference!$A$6:$A$11,MIN(5,MATCH(MAX(Reference!$A$6,MIN(Reference!$A$11,MIN($U45,270))),Reference!$A$6:$A$11,1))))),0)+IF(8&lt;=$AL45,($AL45-8+3)*(INDEX(Reference!$B$6:$B$11,MIN(5,MATCH(MAX(Reference!$A$6,MIN(Reference!$A$11,MIN($U45,300))),Reference!$A$6:$A$11,1)))+(MAX(Reference!$A$6,MIN(Reference!$A$11,MIN($U45,300)))-INDEX(Reference!$A$6:$A$11,MIN(5,MATCH(MAX(Reference!$A$6,MIN(Reference!$A$11,MIN($U45,300))),Reference!$A$6:$A$11,1))))*(INDEX(Reference!$B$6:$B$11,MIN(5,MATCH(MAX(Reference!$A$6,MIN(Reference!$A$11,MIN($U45,300))),Reference!$A$6:$A$11,1))+1)-INDEX(Reference!$B$6:$B$11,MIN(5,MATCH(MAX(Reference!$A$6,MIN(Reference!$A$11,MIN($U45,300))),Reference!$A$6:$A$11,1))))/(INDEX(Reference!$A$6:$A$11,MIN(5,MATCH(MAX(Reference!$A$6,MIN(Reference!$A$11,MIN($U45,300))),Reference!$A$6:$A$11,1))+1)-INDEX(Reference!$A$6:$A$11,MIN(5,MATCH(MAX(Reference!$A$6,MIN(Reference!$A$11,MIN($U45,300))),Reference!$A$6:$A$11,1))))),0))/($AL45*($AL45+5)/2)),$AN45))</f>
        <v>0</v>
      </c>
      <c r="AN45" s="32">
        <f>IF($U45="",0,(INDEX(Reference!$B$6:$B$11,MIN(5,MATCH(MAX(Reference!$A$6,MIN(Reference!$A$11,$U45)),Reference!$A$6:$A$11,1)))+(MAX(Reference!$A$6,MIN(Reference!$A$11,$U45))-INDEX(Reference!$A$6:$A$11,MIN(5,MATCH(MAX(Reference!$A$6,MIN(Reference!$A$11,$U45)),Reference!$A$6:$A$11,1))))*(INDEX(Reference!$B$6:$B$11,MIN(5,MATCH(MAX(Reference!$A$6,MIN(Reference!$A$11,$U45)),Reference!$A$6:$A$11,1))+1)-INDEX(Reference!$B$6:$B$11,MIN(5,MATCH(MAX(Reference!$A$6,MIN(Reference!$A$11,$U45)),Reference!$A$6:$A$11,1))))/(INDEX(Reference!$A$6:$A$11,MIN(5,MATCH(MAX(Reference!$A$6,MIN(Reference!$A$11,$U45)),Reference!$A$6:$A$11,1))+1)-INDEX(Reference!$A$6:$A$11,MIN(5,MATCH(MAX(Reference!$A$6,MIN(Reference!$A$11,$U45)),Reference!$A$6:$A$11,1))))))</f>
        <v>0</v>
      </c>
      <c r="AO45" s="37"/>
      <c r="AP45" s="37"/>
      <c r="AQ45" s="37"/>
    </row>
    <row r="46" spans="1:43" x14ac:dyDescent="0.3">
      <c r="A46" s="48">
        <f t="shared" si="5"/>
        <v>46310</v>
      </c>
      <c r="B46" s="32" t="str">
        <f t="shared" si="6"/>
        <v>Thu</v>
      </c>
      <c r="C46" s="32">
        <f t="shared" si="7"/>
        <v>81</v>
      </c>
      <c r="D46" s="32" t="str">
        <f t="shared" si="8"/>
        <v>Re-entry</v>
      </c>
      <c r="E46" s="32" t="str">
        <f t="shared" si="9"/>
        <v>Low</v>
      </c>
      <c r="F46" s="32" t="str">
        <f t="shared" si="10"/>
        <v>Recovery/Easy Catch</v>
      </c>
      <c r="G46" s="47" t="str">
        <f t="shared" si="11"/>
        <v>60 ft × 35 @ 69–73 mph</v>
      </c>
      <c r="H46" s="30">
        <f t="shared" si="12"/>
        <v>21</v>
      </c>
      <c r="I46" s="46" t="str">
        <f>IF($A46="","",IF(AND($L46&lt;27,$K$12=0),"Building",IFERROR(((SUM($H$43:$H46)+$K$12*IF($L46&lt;6,SUMIFS('Throw Log'!$Q$5:$Q$300,'Throw Log'!$B$5:$B$300,$D$4,'Throw Log'!$A$5:$A$300,"&gt;="&amp;($D$6+$L46-6),'Throw Log'!$A$5:$A$300,"&lt;="&amp;($D$6-1)),0))/7)/((SUM($H$43:$H46)+$K$12*IF($L46&lt;27,SUMIFS('Throw Log'!$Q$5:$Q$300,'Throw Log'!$B$5:$B$300,$D$4,'Throw Log'!$A$5:$A$300,"&gt;="&amp;($D$6+$L46-27),'Throw Log'!$A$5:$A$300,"&lt;="&amp;($D$6-1)),0))/28),"")))</f>
        <v>Building</v>
      </c>
      <c r="J46" s="37"/>
      <c r="K46" s="37"/>
      <c r="L46" s="32">
        <v>3</v>
      </c>
      <c r="M46" s="32">
        <f t="shared" si="13"/>
        <v>1</v>
      </c>
      <c r="N46" s="32">
        <f t="shared" si="14"/>
        <v>3</v>
      </c>
      <c r="O46" s="32">
        <f t="shared" si="15"/>
        <v>3.9473684210526314E-2</v>
      </c>
      <c r="P46" s="32">
        <f>IF(OR($A46="",N($C46)&lt;=7),"",$G$6*$G$9^($M46-1)*IF(AND(MOD($M46,Reference!$B$99)=0,$M46&lt;=$G$5-2),Reference!$B$100,1))</f>
        <v>80</v>
      </c>
      <c r="Q46" s="32">
        <f>IF($P46="","",IF(SUM($AK$43:$AK$49)=0,0,$P46*INDEX(Reference!$B$108:$B$114,$N46+1)/SUM($AK$43:$AK$49)))</f>
        <v>26.301369863013697</v>
      </c>
      <c r="R46" s="32">
        <f t="shared" si="16"/>
        <v>60</v>
      </c>
      <c r="S46" s="32">
        <f t="shared" si="17"/>
        <v>60</v>
      </c>
      <c r="T46" s="32" t="str">
        <f>IF($A46="","",IF($C46=0,"Bullpen",IF(OR($C46=7,$C46=1,$C46=5),"Recovery/Easy Catch",IF($C46=6,"Compression/Pulldowns",IF(OR($C46=4,$C46=2),"Long Toss",IF($C46=3,"No Throw",IF($N46=2,"No Throw",IF($N46=6,IF($O46&lt;Reference!$B$104,"No Throw","Recovery/Easy Catch"),IF(OR($N46=0,$N46=4),"Recovery/Easy Catch",IF($N46=1,IF($R46&gt;75,"Long Toss","Recovery/Easy Catch"),IF($N46=3,IF($O46&lt;0.5,IF($S46&gt;75,"Long Toss","Recovery/Easy Catch"),"Compression/Pulldowns"),IF($S46&gt;75,"Long Toss","Recovery/Easy Catch"))))))))))))</f>
        <v>Recovery/Easy Catch</v>
      </c>
      <c r="U46" s="32">
        <f t="shared" si="18"/>
        <v>60</v>
      </c>
      <c r="V46" s="32">
        <f t="shared" si="19"/>
        <v>18</v>
      </c>
      <c r="W46" s="32">
        <f t="shared" si="20"/>
        <v>22</v>
      </c>
      <c r="X46" s="32">
        <f t="shared" si="21"/>
        <v>0</v>
      </c>
      <c r="Y46" s="32" t="str">
        <f t="shared" si="22"/>
        <v/>
      </c>
      <c r="Z46" s="32" t="str">
        <f t="shared" si="23"/>
        <v/>
      </c>
      <c r="AA46" s="32" t="str">
        <f t="shared" si="24"/>
        <v/>
      </c>
      <c r="AB46" s="32">
        <f>IF($A46="","",IF($T46="No Throw",0,IF($K46&lt;&gt;"",$K46,IF($AA46&lt;&gt;"",ROUND($AA46*$D$12*IF($C46=0,1,$G$10),0),MIN(IF($T46="Recovery/Easy Catch",Reference!$B$103,IF($T46="Long Toss",Reference!$B$106,Reference!$B$102)),MAX(Reference!$B$101,ROUND(MAX(0,$Q46-$AE46)/$AF46,0)))))))</f>
        <v>35</v>
      </c>
      <c r="AC46" s="32">
        <f t="shared" si="25"/>
        <v>0</v>
      </c>
      <c r="AD46" s="32" t="b">
        <f t="shared" si="26"/>
        <v>0</v>
      </c>
      <c r="AE46" s="32">
        <f>IF($X46=0,0,$X46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46+$Z46)/2,0),Reference!$A$17:$B$20,2,TRUE()))</f>
        <v>0</v>
      </c>
      <c r="AF46" s="32">
        <f>IF(OR($A46="",$U46="",$T46="No Throw"),0,$AM46*VLOOKUP(MAX(($V46+$W46)/2,0),Reference!$A$17:$B$20,2,TRUE()))</f>
        <v>0.6</v>
      </c>
      <c r="AG46" s="32">
        <f>IF($AC46=0,0,$AC46*INDEX(Reference!$B$61:$B$62,MATCH("Bullpen",Reference!$A$61:$A$62,0))*VLOOKUP(MAX($D$5-($D$9+$E$9)/2,0),Reference!$A$17:$B$20,2,TRUE()))</f>
        <v>0</v>
      </c>
      <c r="AH46" s="32" t="e">
        <f t="shared" si="27"/>
        <v>#N/A</v>
      </c>
      <c r="AI46" s="32">
        <f>IF($A46="",NA(),Reference!$A$25)</f>
        <v>0.8</v>
      </c>
      <c r="AJ46" s="32">
        <f t="shared" si="28"/>
        <v>1.3</v>
      </c>
      <c r="AK46" s="56">
        <f>IF(OR($A46="",N($C46)&lt;=7,$T46="No Throw",$J46="x"),0,INDEX(Reference!$B$108:$B$114,$N46+1))</f>
        <v>0.24</v>
      </c>
      <c r="AL46" s="32">
        <f t="shared" si="29"/>
        <v>1</v>
      </c>
      <c r="AM46" s="32">
        <f>IF($U46="",0,IF($AL46&gt;1,((IF(1&lt;=$AL46,($AL46-1+3)*(INDEX(Reference!$B$6:$B$11,MIN(5,MATCH(MAX(Reference!$A$6,MIN(Reference!$A$11,MIN($U46,90))),Reference!$A$6:$A$11,1)))+(MAX(Reference!$A$6,MIN(Reference!$A$11,MIN($U46,90)))-INDEX(Reference!$A$6:$A$11,MIN(5,MATCH(MAX(Reference!$A$6,MIN(Reference!$A$11,MIN($U46,90))),Reference!$A$6:$A$11,1))))*(INDEX(Reference!$B$6:$B$11,MIN(5,MATCH(MAX(Reference!$A$6,MIN(Reference!$A$11,MIN($U46,90))),Reference!$A$6:$A$11,1))+1)-INDEX(Reference!$B$6:$B$11,MIN(5,MATCH(MAX(Reference!$A$6,MIN(Reference!$A$11,MIN($U46,90))),Reference!$A$6:$A$11,1))))/(INDEX(Reference!$A$6:$A$11,MIN(5,MATCH(MAX(Reference!$A$6,MIN(Reference!$A$11,MIN($U46,90))),Reference!$A$6:$A$11,1))+1)-INDEX(Reference!$A$6:$A$11,MIN(5,MATCH(MAX(Reference!$A$6,MIN(Reference!$A$11,MIN($U46,90))),Reference!$A$6:$A$11,1))))),0)+IF(2&lt;=$AL46,($AL46-2+3)*(INDEX(Reference!$B$6:$B$11,MIN(5,MATCH(MAX(Reference!$A$6,MIN(Reference!$A$11,MIN($U46,120))),Reference!$A$6:$A$11,1)))+(MAX(Reference!$A$6,MIN(Reference!$A$11,MIN($U46,120)))-INDEX(Reference!$A$6:$A$11,MIN(5,MATCH(MAX(Reference!$A$6,MIN(Reference!$A$11,MIN($U46,120))),Reference!$A$6:$A$11,1))))*(INDEX(Reference!$B$6:$B$11,MIN(5,MATCH(MAX(Reference!$A$6,MIN(Reference!$A$11,MIN($U46,120))),Reference!$A$6:$A$11,1))+1)-INDEX(Reference!$B$6:$B$11,MIN(5,MATCH(MAX(Reference!$A$6,MIN(Reference!$A$11,MIN($U46,120))),Reference!$A$6:$A$11,1))))/(INDEX(Reference!$A$6:$A$11,MIN(5,MATCH(MAX(Reference!$A$6,MIN(Reference!$A$11,MIN($U46,120))),Reference!$A$6:$A$11,1))+1)-INDEX(Reference!$A$6:$A$11,MIN(5,MATCH(MAX(Reference!$A$6,MIN(Reference!$A$11,MIN($U46,120))),Reference!$A$6:$A$11,1))))),0)+IF(3&lt;=$AL46,($AL46-3+3)*(INDEX(Reference!$B$6:$B$11,MIN(5,MATCH(MAX(Reference!$A$6,MIN(Reference!$A$11,MIN($U46,150))),Reference!$A$6:$A$11,1)))+(MAX(Reference!$A$6,MIN(Reference!$A$11,MIN($U46,150)))-INDEX(Reference!$A$6:$A$11,MIN(5,MATCH(MAX(Reference!$A$6,MIN(Reference!$A$11,MIN($U46,150))),Reference!$A$6:$A$11,1))))*(INDEX(Reference!$B$6:$B$11,MIN(5,MATCH(MAX(Reference!$A$6,MIN(Reference!$A$11,MIN($U46,150))),Reference!$A$6:$A$11,1))+1)-INDEX(Reference!$B$6:$B$11,MIN(5,MATCH(MAX(Reference!$A$6,MIN(Reference!$A$11,MIN($U46,150))),Reference!$A$6:$A$11,1))))/(INDEX(Reference!$A$6:$A$11,MIN(5,MATCH(MAX(Reference!$A$6,MIN(Reference!$A$11,MIN($U46,150))),Reference!$A$6:$A$11,1))+1)-INDEX(Reference!$A$6:$A$11,MIN(5,MATCH(MAX(Reference!$A$6,MIN(Reference!$A$11,MIN($U46,150))),Reference!$A$6:$A$11,1))))),0)+IF(4&lt;=$AL46,($AL46-4+3)*(INDEX(Reference!$B$6:$B$11,MIN(5,MATCH(MAX(Reference!$A$6,MIN(Reference!$A$11,MIN($U46,180))),Reference!$A$6:$A$11,1)))+(MAX(Reference!$A$6,MIN(Reference!$A$11,MIN($U46,180)))-INDEX(Reference!$A$6:$A$11,MIN(5,MATCH(MAX(Reference!$A$6,MIN(Reference!$A$11,MIN($U46,180))),Reference!$A$6:$A$11,1))))*(INDEX(Reference!$B$6:$B$11,MIN(5,MATCH(MAX(Reference!$A$6,MIN(Reference!$A$11,MIN($U46,180))),Reference!$A$6:$A$11,1))+1)-INDEX(Reference!$B$6:$B$11,MIN(5,MATCH(MAX(Reference!$A$6,MIN(Reference!$A$11,MIN($U46,180))),Reference!$A$6:$A$11,1))))/(INDEX(Reference!$A$6:$A$11,MIN(5,MATCH(MAX(Reference!$A$6,MIN(Reference!$A$11,MIN($U46,180))),Reference!$A$6:$A$11,1))+1)-INDEX(Reference!$A$6:$A$11,MIN(5,MATCH(MAX(Reference!$A$6,MIN(Reference!$A$11,MIN($U46,180))),Reference!$A$6:$A$11,1))))),0)+IF(5&lt;=$AL46,($AL46-5+3)*(INDEX(Reference!$B$6:$B$11,MIN(5,MATCH(MAX(Reference!$A$6,MIN(Reference!$A$11,MIN($U46,210))),Reference!$A$6:$A$11,1)))+(MAX(Reference!$A$6,MIN(Reference!$A$11,MIN($U46,210)))-INDEX(Reference!$A$6:$A$11,MIN(5,MATCH(MAX(Reference!$A$6,MIN(Reference!$A$11,MIN($U46,210))),Reference!$A$6:$A$11,1))))*(INDEX(Reference!$B$6:$B$11,MIN(5,MATCH(MAX(Reference!$A$6,MIN(Reference!$A$11,MIN($U46,210))),Reference!$A$6:$A$11,1))+1)-INDEX(Reference!$B$6:$B$11,MIN(5,MATCH(MAX(Reference!$A$6,MIN(Reference!$A$11,MIN($U46,210))),Reference!$A$6:$A$11,1))))/(INDEX(Reference!$A$6:$A$11,MIN(5,MATCH(MAX(Reference!$A$6,MIN(Reference!$A$11,MIN($U46,210))),Reference!$A$6:$A$11,1))+1)-INDEX(Reference!$A$6:$A$11,MIN(5,MATCH(MAX(Reference!$A$6,MIN(Reference!$A$11,MIN($U46,210))),Reference!$A$6:$A$11,1))))),0)+IF(6&lt;=$AL46,($AL46-6+3)*(INDEX(Reference!$B$6:$B$11,MIN(5,MATCH(MAX(Reference!$A$6,MIN(Reference!$A$11,MIN($U46,240))),Reference!$A$6:$A$11,1)))+(MAX(Reference!$A$6,MIN(Reference!$A$11,MIN($U46,240)))-INDEX(Reference!$A$6:$A$11,MIN(5,MATCH(MAX(Reference!$A$6,MIN(Reference!$A$11,MIN($U46,240))),Reference!$A$6:$A$11,1))))*(INDEX(Reference!$B$6:$B$11,MIN(5,MATCH(MAX(Reference!$A$6,MIN(Reference!$A$11,MIN($U46,240))),Reference!$A$6:$A$11,1))+1)-INDEX(Reference!$B$6:$B$11,MIN(5,MATCH(MAX(Reference!$A$6,MIN(Reference!$A$11,MIN($U46,240))),Reference!$A$6:$A$11,1))))/(INDEX(Reference!$A$6:$A$11,MIN(5,MATCH(MAX(Reference!$A$6,MIN(Reference!$A$11,MIN($U46,240))),Reference!$A$6:$A$11,1))+1)-INDEX(Reference!$A$6:$A$11,MIN(5,MATCH(MAX(Reference!$A$6,MIN(Reference!$A$11,MIN($U46,240))),Reference!$A$6:$A$11,1))))),0)+IF(7&lt;=$AL46,($AL46-7+3)*(INDEX(Reference!$B$6:$B$11,MIN(5,MATCH(MAX(Reference!$A$6,MIN(Reference!$A$11,MIN($U46,270))),Reference!$A$6:$A$11,1)))+(MAX(Reference!$A$6,MIN(Reference!$A$11,MIN($U46,270)))-INDEX(Reference!$A$6:$A$11,MIN(5,MATCH(MAX(Reference!$A$6,MIN(Reference!$A$11,MIN($U46,270))),Reference!$A$6:$A$11,1))))*(INDEX(Reference!$B$6:$B$11,MIN(5,MATCH(MAX(Reference!$A$6,MIN(Reference!$A$11,MIN($U46,270))),Reference!$A$6:$A$11,1))+1)-INDEX(Reference!$B$6:$B$11,MIN(5,MATCH(MAX(Reference!$A$6,MIN(Reference!$A$11,MIN($U46,270))),Reference!$A$6:$A$11,1))))/(INDEX(Reference!$A$6:$A$11,MIN(5,MATCH(MAX(Reference!$A$6,MIN(Reference!$A$11,MIN($U46,270))),Reference!$A$6:$A$11,1))+1)-INDEX(Reference!$A$6:$A$11,MIN(5,MATCH(MAX(Reference!$A$6,MIN(Reference!$A$11,MIN($U46,270))),Reference!$A$6:$A$11,1))))),0)+IF(8&lt;=$AL46,($AL46-8+3)*(INDEX(Reference!$B$6:$B$11,MIN(5,MATCH(MAX(Reference!$A$6,MIN(Reference!$A$11,MIN($U46,300))),Reference!$A$6:$A$11,1)))+(MAX(Reference!$A$6,MIN(Reference!$A$11,MIN($U46,300)))-INDEX(Reference!$A$6:$A$11,MIN(5,MATCH(MAX(Reference!$A$6,MIN(Reference!$A$11,MIN($U46,300))),Reference!$A$6:$A$11,1))))*(INDEX(Reference!$B$6:$B$11,MIN(5,MATCH(MAX(Reference!$A$6,MIN(Reference!$A$11,MIN($U46,300))),Reference!$A$6:$A$11,1))+1)-INDEX(Reference!$B$6:$B$11,MIN(5,MATCH(MAX(Reference!$A$6,MIN(Reference!$A$11,MIN($U46,300))),Reference!$A$6:$A$11,1))))/(INDEX(Reference!$A$6:$A$11,MIN(5,MATCH(MAX(Reference!$A$6,MIN(Reference!$A$11,MIN($U46,300))),Reference!$A$6:$A$11,1))+1)-INDEX(Reference!$A$6:$A$11,MIN(5,MATCH(MAX(Reference!$A$6,MIN(Reference!$A$11,MIN($U46,300))),Reference!$A$6:$A$11,1))))),0))/($AL46*($AL46+5)/2)),$AN46))</f>
        <v>1</v>
      </c>
      <c r="AN46" s="32">
        <f>IF($U46="",0,(INDEX(Reference!$B$6:$B$11,MIN(5,MATCH(MAX(Reference!$A$6,MIN(Reference!$A$11,$U46)),Reference!$A$6:$A$11,1)))+(MAX(Reference!$A$6,MIN(Reference!$A$11,$U46))-INDEX(Reference!$A$6:$A$11,MIN(5,MATCH(MAX(Reference!$A$6,MIN(Reference!$A$11,$U46)),Reference!$A$6:$A$11,1))))*(INDEX(Reference!$B$6:$B$11,MIN(5,MATCH(MAX(Reference!$A$6,MIN(Reference!$A$11,$U46)),Reference!$A$6:$A$11,1))+1)-INDEX(Reference!$B$6:$B$11,MIN(5,MATCH(MAX(Reference!$A$6,MIN(Reference!$A$11,$U46)),Reference!$A$6:$A$11,1))))/(INDEX(Reference!$A$6:$A$11,MIN(5,MATCH(MAX(Reference!$A$6,MIN(Reference!$A$11,$U46)),Reference!$A$6:$A$11,1))+1)-INDEX(Reference!$A$6:$A$11,MIN(5,MATCH(MAX(Reference!$A$6,MIN(Reference!$A$11,$U46)),Reference!$A$6:$A$11,1))))))</f>
        <v>1</v>
      </c>
      <c r="AO46" s="37"/>
      <c r="AP46" s="37"/>
      <c r="AQ46" s="37"/>
    </row>
    <row r="47" spans="1:43" x14ac:dyDescent="0.3">
      <c r="A47" s="48">
        <f t="shared" si="5"/>
        <v>46311</v>
      </c>
      <c r="B47" s="32" t="str">
        <f t="shared" si="6"/>
        <v>Fri</v>
      </c>
      <c r="C47" s="32">
        <f t="shared" si="7"/>
        <v>80</v>
      </c>
      <c r="D47" s="32" t="str">
        <f t="shared" si="8"/>
        <v>Re-entry</v>
      </c>
      <c r="E47" s="32" t="str">
        <f t="shared" si="9"/>
        <v>Low</v>
      </c>
      <c r="F47" s="32" t="str">
        <f t="shared" si="10"/>
        <v>Recovery/Easy Catch</v>
      </c>
      <c r="G47" s="47" t="str">
        <f t="shared" si="11"/>
        <v>60 ft × 20 @ 67–71 mph</v>
      </c>
      <c r="H47" s="30">
        <f t="shared" si="12"/>
        <v>12</v>
      </c>
      <c r="I47" s="46" t="str">
        <f>IF($A47="","",IF(AND($L47&lt;27,$K$12=0),"Building",IFERROR(((SUM($H$43:$H47)+$K$12*IF($L47&lt;6,SUMIFS('Throw Log'!$Q$5:$Q$300,'Throw Log'!$B$5:$B$300,$D$4,'Throw Log'!$A$5:$A$300,"&gt;="&amp;($D$6+$L47-6),'Throw Log'!$A$5:$A$300,"&lt;="&amp;($D$6-1)),0))/7)/((SUM($H$43:$H47)+$K$12*IF($L47&lt;27,SUMIFS('Throw Log'!$Q$5:$Q$300,'Throw Log'!$B$5:$B$300,$D$4,'Throw Log'!$A$5:$A$300,"&gt;="&amp;($D$6+$L47-27),'Throw Log'!$A$5:$A$300,"&lt;="&amp;($D$6-1)),0))/28),"")))</f>
        <v>Building</v>
      </c>
      <c r="J47" s="37"/>
      <c r="K47" s="37"/>
      <c r="L47" s="32">
        <v>4</v>
      </c>
      <c r="M47" s="32">
        <f t="shared" si="13"/>
        <v>1</v>
      </c>
      <c r="N47" s="32">
        <f t="shared" si="14"/>
        <v>4</v>
      </c>
      <c r="O47" s="32">
        <f t="shared" si="15"/>
        <v>5.2631578947368418E-2</v>
      </c>
      <c r="P47" s="32">
        <f>IF(OR($A47="",N($C47)&lt;=7),"",$G$6*$G$9^($M47-1)*IF(AND(MOD($M47,Reference!$B$99)=0,$M47&lt;=$G$5-2),Reference!$B$100,1))</f>
        <v>80</v>
      </c>
      <c r="Q47" s="32">
        <f>IF($P47="","",IF(SUM($AK$43:$AK$49)=0,0,$P47*INDEX(Reference!$B$108:$B$114,$N47+1)/SUM($AK$43:$AK$49)))</f>
        <v>10.95890410958904</v>
      </c>
      <c r="R47" s="32">
        <f t="shared" si="16"/>
        <v>75</v>
      </c>
      <c r="S47" s="32">
        <f t="shared" si="17"/>
        <v>75</v>
      </c>
      <c r="T47" s="32" t="str">
        <f>IF($A47="","",IF($C47=0,"Bullpen",IF(OR($C47=7,$C47=1,$C47=5),"Recovery/Easy Catch",IF($C47=6,"Compression/Pulldowns",IF(OR($C47=4,$C47=2),"Long Toss",IF($C47=3,"No Throw",IF($N47=2,"No Throw",IF($N47=6,IF($O47&lt;Reference!$B$104,"No Throw","Recovery/Easy Catch"),IF(OR($N47=0,$N47=4),"Recovery/Easy Catch",IF($N47=1,IF($R47&gt;75,"Long Toss","Recovery/Easy Catch"),IF($N47=3,IF($O47&lt;0.5,IF($S47&gt;75,"Long Toss","Recovery/Easy Catch"),"Compression/Pulldowns"),IF($S47&gt;75,"Long Toss","Recovery/Easy Catch"))))))))))))</f>
        <v>Recovery/Easy Catch</v>
      </c>
      <c r="U47" s="32">
        <f t="shared" si="18"/>
        <v>60</v>
      </c>
      <c r="V47" s="32">
        <f t="shared" si="19"/>
        <v>20</v>
      </c>
      <c r="W47" s="32">
        <f t="shared" si="20"/>
        <v>24</v>
      </c>
      <c r="X47" s="32">
        <f t="shared" si="21"/>
        <v>0</v>
      </c>
      <c r="Y47" s="32" t="str">
        <f t="shared" si="22"/>
        <v/>
      </c>
      <c r="Z47" s="32" t="str">
        <f t="shared" si="23"/>
        <v/>
      </c>
      <c r="AA47" s="32" t="str">
        <f t="shared" si="24"/>
        <v/>
      </c>
      <c r="AB47" s="32">
        <f>IF($A47="","",IF($T47="No Throw",0,IF($K47&lt;&gt;"",$K47,IF($AA47&lt;&gt;"",ROUND($AA47*$D$12*IF($C47=0,1,$G$10),0),MIN(IF($T47="Recovery/Easy Catch",Reference!$B$103,IF($T47="Long Toss",Reference!$B$106,Reference!$B$102)),MAX(Reference!$B$101,ROUND(MAX(0,$Q47-$AE47)/$AF47,0)))))))</f>
        <v>20</v>
      </c>
      <c r="AC47" s="32">
        <f t="shared" si="25"/>
        <v>0</v>
      </c>
      <c r="AD47" s="32" t="b">
        <f t="shared" si="26"/>
        <v>0</v>
      </c>
      <c r="AE47" s="32">
        <f>IF($X47=0,0,$X47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47+$Z47)/2,0),Reference!$A$17:$B$20,2,TRUE()))</f>
        <v>0</v>
      </c>
      <c r="AF47" s="32">
        <f>IF(OR($A47="",$U47="",$T47="No Throw"),0,$AM47*VLOOKUP(MAX(($V47+$W47)/2,0),Reference!$A$17:$B$20,2,TRUE()))</f>
        <v>0.6</v>
      </c>
      <c r="AG47" s="32">
        <f>IF($AC47=0,0,$AC47*INDEX(Reference!$B$61:$B$62,MATCH("Bullpen",Reference!$A$61:$A$62,0))*VLOOKUP(MAX($D$5-($D$9+$E$9)/2,0),Reference!$A$17:$B$20,2,TRUE()))</f>
        <v>0</v>
      </c>
      <c r="AH47" s="32" t="e">
        <f t="shared" si="27"/>
        <v>#N/A</v>
      </c>
      <c r="AI47" s="32">
        <f>IF($A47="",NA(),Reference!$A$25)</f>
        <v>0.8</v>
      </c>
      <c r="AJ47" s="32">
        <f t="shared" si="28"/>
        <v>1.3</v>
      </c>
      <c r="AK47" s="56">
        <f>IF(OR($A47="",N($C47)&lt;=7,$T47="No Throw",$J47="x"),0,INDEX(Reference!$B$108:$B$114,$N47+1))</f>
        <v>0.1</v>
      </c>
      <c r="AL47" s="32">
        <f t="shared" si="29"/>
        <v>1</v>
      </c>
      <c r="AM47" s="32">
        <f>IF($U47="",0,IF($AL47&gt;1,((IF(1&lt;=$AL47,($AL47-1+3)*(INDEX(Reference!$B$6:$B$11,MIN(5,MATCH(MAX(Reference!$A$6,MIN(Reference!$A$11,MIN($U47,90))),Reference!$A$6:$A$11,1)))+(MAX(Reference!$A$6,MIN(Reference!$A$11,MIN($U47,90)))-INDEX(Reference!$A$6:$A$11,MIN(5,MATCH(MAX(Reference!$A$6,MIN(Reference!$A$11,MIN($U47,90))),Reference!$A$6:$A$11,1))))*(INDEX(Reference!$B$6:$B$11,MIN(5,MATCH(MAX(Reference!$A$6,MIN(Reference!$A$11,MIN($U47,90))),Reference!$A$6:$A$11,1))+1)-INDEX(Reference!$B$6:$B$11,MIN(5,MATCH(MAX(Reference!$A$6,MIN(Reference!$A$11,MIN($U47,90))),Reference!$A$6:$A$11,1))))/(INDEX(Reference!$A$6:$A$11,MIN(5,MATCH(MAX(Reference!$A$6,MIN(Reference!$A$11,MIN($U47,90))),Reference!$A$6:$A$11,1))+1)-INDEX(Reference!$A$6:$A$11,MIN(5,MATCH(MAX(Reference!$A$6,MIN(Reference!$A$11,MIN($U47,90))),Reference!$A$6:$A$11,1))))),0)+IF(2&lt;=$AL47,($AL47-2+3)*(INDEX(Reference!$B$6:$B$11,MIN(5,MATCH(MAX(Reference!$A$6,MIN(Reference!$A$11,MIN($U47,120))),Reference!$A$6:$A$11,1)))+(MAX(Reference!$A$6,MIN(Reference!$A$11,MIN($U47,120)))-INDEX(Reference!$A$6:$A$11,MIN(5,MATCH(MAX(Reference!$A$6,MIN(Reference!$A$11,MIN($U47,120))),Reference!$A$6:$A$11,1))))*(INDEX(Reference!$B$6:$B$11,MIN(5,MATCH(MAX(Reference!$A$6,MIN(Reference!$A$11,MIN($U47,120))),Reference!$A$6:$A$11,1))+1)-INDEX(Reference!$B$6:$B$11,MIN(5,MATCH(MAX(Reference!$A$6,MIN(Reference!$A$11,MIN($U47,120))),Reference!$A$6:$A$11,1))))/(INDEX(Reference!$A$6:$A$11,MIN(5,MATCH(MAX(Reference!$A$6,MIN(Reference!$A$11,MIN($U47,120))),Reference!$A$6:$A$11,1))+1)-INDEX(Reference!$A$6:$A$11,MIN(5,MATCH(MAX(Reference!$A$6,MIN(Reference!$A$11,MIN($U47,120))),Reference!$A$6:$A$11,1))))),0)+IF(3&lt;=$AL47,($AL47-3+3)*(INDEX(Reference!$B$6:$B$11,MIN(5,MATCH(MAX(Reference!$A$6,MIN(Reference!$A$11,MIN($U47,150))),Reference!$A$6:$A$11,1)))+(MAX(Reference!$A$6,MIN(Reference!$A$11,MIN($U47,150)))-INDEX(Reference!$A$6:$A$11,MIN(5,MATCH(MAX(Reference!$A$6,MIN(Reference!$A$11,MIN($U47,150))),Reference!$A$6:$A$11,1))))*(INDEX(Reference!$B$6:$B$11,MIN(5,MATCH(MAX(Reference!$A$6,MIN(Reference!$A$11,MIN($U47,150))),Reference!$A$6:$A$11,1))+1)-INDEX(Reference!$B$6:$B$11,MIN(5,MATCH(MAX(Reference!$A$6,MIN(Reference!$A$11,MIN($U47,150))),Reference!$A$6:$A$11,1))))/(INDEX(Reference!$A$6:$A$11,MIN(5,MATCH(MAX(Reference!$A$6,MIN(Reference!$A$11,MIN($U47,150))),Reference!$A$6:$A$11,1))+1)-INDEX(Reference!$A$6:$A$11,MIN(5,MATCH(MAX(Reference!$A$6,MIN(Reference!$A$11,MIN($U47,150))),Reference!$A$6:$A$11,1))))),0)+IF(4&lt;=$AL47,($AL47-4+3)*(INDEX(Reference!$B$6:$B$11,MIN(5,MATCH(MAX(Reference!$A$6,MIN(Reference!$A$11,MIN($U47,180))),Reference!$A$6:$A$11,1)))+(MAX(Reference!$A$6,MIN(Reference!$A$11,MIN($U47,180)))-INDEX(Reference!$A$6:$A$11,MIN(5,MATCH(MAX(Reference!$A$6,MIN(Reference!$A$11,MIN($U47,180))),Reference!$A$6:$A$11,1))))*(INDEX(Reference!$B$6:$B$11,MIN(5,MATCH(MAX(Reference!$A$6,MIN(Reference!$A$11,MIN($U47,180))),Reference!$A$6:$A$11,1))+1)-INDEX(Reference!$B$6:$B$11,MIN(5,MATCH(MAX(Reference!$A$6,MIN(Reference!$A$11,MIN($U47,180))),Reference!$A$6:$A$11,1))))/(INDEX(Reference!$A$6:$A$11,MIN(5,MATCH(MAX(Reference!$A$6,MIN(Reference!$A$11,MIN($U47,180))),Reference!$A$6:$A$11,1))+1)-INDEX(Reference!$A$6:$A$11,MIN(5,MATCH(MAX(Reference!$A$6,MIN(Reference!$A$11,MIN($U47,180))),Reference!$A$6:$A$11,1))))),0)+IF(5&lt;=$AL47,($AL47-5+3)*(INDEX(Reference!$B$6:$B$11,MIN(5,MATCH(MAX(Reference!$A$6,MIN(Reference!$A$11,MIN($U47,210))),Reference!$A$6:$A$11,1)))+(MAX(Reference!$A$6,MIN(Reference!$A$11,MIN($U47,210)))-INDEX(Reference!$A$6:$A$11,MIN(5,MATCH(MAX(Reference!$A$6,MIN(Reference!$A$11,MIN($U47,210))),Reference!$A$6:$A$11,1))))*(INDEX(Reference!$B$6:$B$11,MIN(5,MATCH(MAX(Reference!$A$6,MIN(Reference!$A$11,MIN($U47,210))),Reference!$A$6:$A$11,1))+1)-INDEX(Reference!$B$6:$B$11,MIN(5,MATCH(MAX(Reference!$A$6,MIN(Reference!$A$11,MIN($U47,210))),Reference!$A$6:$A$11,1))))/(INDEX(Reference!$A$6:$A$11,MIN(5,MATCH(MAX(Reference!$A$6,MIN(Reference!$A$11,MIN($U47,210))),Reference!$A$6:$A$11,1))+1)-INDEX(Reference!$A$6:$A$11,MIN(5,MATCH(MAX(Reference!$A$6,MIN(Reference!$A$11,MIN($U47,210))),Reference!$A$6:$A$11,1))))),0)+IF(6&lt;=$AL47,($AL47-6+3)*(INDEX(Reference!$B$6:$B$11,MIN(5,MATCH(MAX(Reference!$A$6,MIN(Reference!$A$11,MIN($U47,240))),Reference!$A$6:$A$11,1)))+(MAX(Reference!$A$6,MIN(Reference!$A$11,MIN($U47,240)))-INDEX(Reference!$A$6:$A$11,MIN(5,MATCH(MAX(Reference!$A$6,MIN(Reference!$A$11,MIN($U47,240))),Reference!$A$6:$A$11,1))))*(INDEX(Reference!$B$6:$B$11,MIN(5,MATCH(MAX(Reference!$A$6,MIN(Reference!$A$11,MIN($U47,240))),Reference!$A$6:$A$11,1))+1)-INDEX(Reference!$B$6:$B$11,MIN(5,MATCH(MAX(Reference!$A$6,MIN(Reference!$A$11,MIN($U47,240))),Reference!$A$6:$A$11,1))))/(INDEX(Reference!$A$6:$A$11,MIN(5,MATCH(MAX(Reference!$A$6,MIN(Reference!$A$11,MIN($U47,240))),Reference!$A$6:$A$11,1))+1)-INDEX(Reference!$A$6:$A$11,MIN(5,MATCH(MAX(Reference!$A$6,MIN(Reference!$A$11,MIN($U47,240))),Reference!$A$6:$A$11,1))))),0)+IF(7&lt;=$AL47,($AL47-7+3)*(INDEX(Reference!$B$6:$B$11,MIN(5,MATCH(MAX(Reference!$A$6,MIN(Reference!$A$11,MIN($U47,270))),Reference!$A$6:$A$11,1)))+(MAX(Reference!$A$6,MIN(Reference!$A$11,MIN($U47,270)))-INDEX(Reference!$A$6:$A$11,MIN(5,MATCH(MAX(Reference!$A$6,MIN(Reference!$A$11,MIN($U47,270))),Reference!$A$6:$A$11,1))))*(INDEX(Reference!$B$6:$B$11,MIN(5,MATCH(MAX(Reference!$A$6,MIN(Reference!$A$11,MIN($U47,270))),Reference!$A$6:$A$11,1))+1)-INDEX(Reference!$B$6:$B$11,MIN(5,MATCH(MAX(Reference!$A$6,MIN(Reference!$A$11,MIN($U47,270))),Reference!$A$6:$A$11,1))))/(INDEX(Reference!$A$6:$A$11,MIN(5,MATCH(MAX(Reference!$A$6,MIN(Reference!$A$11,MIN($U47,270))),Reference!$A$6:$A$11,1))+1)-INDEX(Reference!$A$6:$A$11,MIN(5,MATCH(MAX(Reference!$A$6,MIN(Reference!$A$11,MIN($U47,270))),Reference!$A$6:$A$11,1))))),0)+IF(8&lt;=$AL47,($AL47-8+3)*(INDEX(Reference!$B$6:$B$11,MIN(5,MATCH(MAX(Reference!$A$6,MIN(Reference!$A$11,MIN($U47,300))),Reference!$A$6:$A$11,1)))+(MAX(Reference!$A$6,MIN(Reference!$A$11,MIN($U47,300)))-INDEX(Reference!$A$6:$A$11,MIN(5,MATCH(MAX(Reference!$A$6,MIN(Reference!$A$11,MIN($U47,300))),Reference!$A$6:$A$11,1))))*(INDEX(Reference!$B$6:$B$11,MIN(5,MATCH(MAX(Reference!$A$6,MIN(Reference!$A$11,MIN($U47,300))),Reference!$A$6:$A$11,1))+1)-INDEX(Reference!$B$6:$B$11,MIN(5,MATCH(MAX(Reference!$A$6,MIN(Reference!$A$11,MIN($U47,300))),Reference!$A$6:$A$11,1))))/(INDEX(Reference!$A$6:$A$11,MIN(5,MATCH(MAX(Reference!$A$6,MIN(Reference!$A$11,MIN($U47,300))),Reference!$A$6:$A$11,1))+1)-INDEX(Reference!$A$6:$A$11,MIN(5,MATCH(MAX(Reference!$A$6,MIN(Reference!$A$11,MIN($U47,300))),Reference!$A$6:$A$11,1))))),0))/($AL47*($AL47+5)/2)),$AN47))</f>
        <v>1</v>
      </c>
      <c r="AN47" s="32">
        <f>IF($U47="",0,(INDEX(Reference!$B$6:$B$11,MIN(5,MATCH(MAX(Reference!$A$6,MIN(Reference!$A$11,$U47)),Reference!$A$6:$A$11,1)))+(MAX(Reference!$A$6,MIN(Reference!$A$11,$U47))-INDEX(Reference!$A$6:$A$11,MIN(5,MATCH(MAX(Reference!$A$6,MIN(Reference!$A$11,$U47)),Reference!$A$6:$A$11,1))))*(INDEX(Reference!$B$6:$B$11,MIN(5,MATCH(MAX(Reference!$A$6,MIN(Reference!$A$11,$U47)),Reference!$A$6:$A$11,1))+1)-INDEX(Reference!$B$6:$B$11,MIN(5,MATCH(MAX(Reference!$A$6,MIN(Reference!$A$11,$U47)),Reference!$A$6:$A$11,1))))/(INDEX(Reference!$A$6:$A$11,MIN(5,MATCH(MAX(Reference!$A$6,MIN(Reference!$A$11,$U47)),Reference!$A$6:$A$11,1))+1)-INDEX(Reference!$A$6:$A$11,MIN(5,MATCH(MAX(Reference!$A$6,MIN(Reference!$A$11,$U47)),Reference!$A$6:$A$11,1))))))</f>
        <v>1</v>
      </c>
      <c r="AO47" s="37"/>
      <c r="AP47" s="37"/>
      <c r="AQ47" s="37"/>
    </row>
    <row r="48" spans="1:43" x14ac:dyDescent="0.3">
      <c r="A48" s="48">
        <f t="shared" si="5"/>
        <v>46312</v>
      </c>
      <c r="B48" s="32" t="str">
        <f t="shared" si="6"/>
        <v>Sat</v>
      </c>
      <c r="C48" s="32">
        <f t="shared" si="7"/>
        <v>79</v>
      </c>
      <c r="D48" s="32" t="str">
        <f t="shared" si="8"/>
        <v>Re-entry</v>
      </c>
      <c r="E48" s="32" t="str">
        <f t="shared" si="9"/>
        <v>No Throw</v>
      </c>
      <c r="F48" s="32" t="str">
        <f t="shared" si="10"/>
        <v>No Throw</v>
      </c>
      <c r="G48" s="47" t="str">
        <f t="shared" si="11"/>
        <v>Off</v>
      </c>
      <c r="H48" s="30">
        <f t="shared" si="12"/>
        <v>0</v>
      </c>
      <c r="I48" s="46" t="str">
        <f>IF($A48="","",IF(AND($L48&lt;27,$K$12=0),"Building",IFERROR(((SUM($H$43:$H48)+$K$12*IF($L48&lt;6,SUMIFS('Throw Log'!$Q$5:$Q$300,'Throw Log'!$B$5:$B$300,$D$4,'Throw Log'!$A$5:$A$300,"&gt;="&amp;($D$6+$L48-6),'Throw Log'!$A$5:$A$300,"&lt;="&amp;($D$6-1)),0))/7)/((SUM($H$43:$H48)+$K$12*IF($L48&lt;27,SUMIFS('Throw Log'!$Q$5:$Q$300,'Throw Log'!$B$5:$B$300,$D$4,'Throw Log'!$A$5:$A$300,"&gt;="&amp;($D$6+$L48-27),'Throw Log'!$A$5:$A$300,"&lt;="&amp;($D$6-1)),0))/28),"")))</f>
        <v>Building</v>
      </c>
      <c r="J48" s="37" t="s">
        <v>346</v>
      </c>
      <c r="K48" s="37"/>
      <c r="L48" s="32">
        <v>5</v>
      </c>
      <c r="M48" s="32">
        <f t="shared" si="13"/>
        <v>1</v>
      </c>
      <c r="N48" s="32">
        <f t="shared" si="14"/>
        <v>5</v>
      </c>
      <c r="O48" s="32">
        <f t="shared" si="15"/>
        <v>6.5789473684210523E-2</v>
      </c>
      <c r="P48" s="32">
        <f>IF(OR($A48="",N($C48)&lt;=7),"",$G$6*$G$9^($M48-1)*IF(AND(MOD($M48,Reference!$B$99)=0,$M48&lt;=$G$5-2),Reference!$B$100,1))</f>
        <v>80</v>
      </c>
      <c r="Q48" s="32">
        <f>IF($P48="","",IF(SUM($AK$43:$AK$49)=0,0,$P48*INDEX(Reference!$B$108:$B$114,$N48+1)/SUM($AK$43:$AK$49)))</f>
        <v>29.589041095890412</v>
      </c>
      <c r="R48" s="32">
        <f t="shared" si="16"/>
        <v>75</v>
      </c>
      <c r="S48" s="32">
        <f t="shared" si="17"/>
        <v>75</v>
      </c>
      <c r="T48" s="32" t="str">
        <f>IF($A48="","",IF($C48=0,"Bullpen",IF(OR($C48=7,$C48=1,$C48=5),"Recovery/Easy Catch",IF($C48=6,"Compression/Pulldowns",IF(OR($C48=4,$C48=2),"Long Toss",IF($C48=3,"No Throw",IF($N48=2,"No Throw",IF($N48=6,IF($O48&lt;Reference!$B$104,"No Throw","Recovery/Easy Catch"),IF(OR($N48=0,$N48=4),"Recovery/Easy Catch",IF($N48=1,IF($R48&gt;75,"Long Toss","Recovery/Easy Catch"),IF($N48=3,IF($O48&lt;0.5,IF($S48&gt;75,"Long Toss","Recovery/Easy Catch"),"Compression/Pulldowns"),IF($S48&gt;75,"Long Toss","Recovery/Easy Catch"))))))))))))</f>
        <v>Recovery/Easy Catch</v>
      </c>
      <c r="U48" s="32">
        <f t="shared" si="18"/>
        <v>75</v>
      </c>
      <c r="V48" s="32">
        <f t="shared" si="19"/>
        <v>18</v>
      </c>
      <c r="W48" s="32">
        <f t="shared" si="20"/>
        <v>22</v>
      </c>
      <c r="X48" s="32">
        <f t="shared" si="21"/>
        <v>0</v>
      </c>
      <c r="Y48" s="32" t="str">
        <f t="shared" si="22"/>
        <v/>
      </c>
      <c r="Z48" s="32" t="str">
        <f t="shared" si="23"/>
        <v/>
      </c>
      <c r="AA48" s="32" t="str">
        <f t="shared" si="24"/>
        <v/>
      </c>
      <c r="AB48" s="32">
        <f>IF($A48="","",IF($T48="No Throw",0,IF($K48&lt;&gt;"",$K48,IF($AA48&lt;&gt;"",ROUND($AA48*$D$12*IF($C48=0,1,$G$10),0),MIN(IF($T48="Recovery/Easy Catch",Reference!$B$103,IF($T48="Long Toss",Reference!$B$106,Reference!$B$102)),MAX(Reference!$B$101,ROUND(MAX(0,$Q48-$AE48)/$AF48,0)))))))</f>
        <v>35</v>
      </c>
      <c r="AC48" s="32">
        <f t="shared" si="25"/>
        <v>0</v>
      </c>
      <c r="AD48" s="32" t="b">
        <f t="shared" si="26"/>
        <v>1</v>
      </c>
      <c r="AE48" s="32">
        <f>IF($X48=0,0,$X48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48+$Z48)/2,0),Reference!$A$17:$B$20,2,TRUE()))</f>
        <v>0</v>
      </c>
      <c r="AF48" s="32">
        <f>IF(OR($A48="",$U48="",$T48="No Throw"),0,$AM48*VLOOKUP(MAX(($V48+$W48)/2,0),Reference!$A$17:$B$20,2,TRUE()))</f>
        <v>0.69</v>
      </c>
      <c r="AG48" s="32">
        <f>IF($AC48=0,0,$AC48*INDEX(Reference!$B$61:$B$62,MATCH("Bullpen",Reference!$A$61:$A$62,0))*VLOOKUP(MAX($D$5-($D$9+$E$9)/2,0),Reference!$A$17:$B$20,2,TRUE()))</f>
        <v>0</v>
      </c>
      <c r="AH48" s="32" t="e">
        <f t="shared" si="27"/>
        <v>#N/A</v>
      </c>
      <c r="AI48" s="32">
        <f>IF($A48="",NA(),Reference!$A$25)</f>
        <v>0.8</v>
      </c>
      <c r="AJ48" s="32">
        <f t="shared" si="28"/>
        <v>1.3</v>
      </c>
      <c r="AK48" s="32">
        <f>IF(OR($A48="",N($C48)&lt;=7,$T48="No Throw",$J48="x"),0,INDEX(Reference!$B$108:$B$114,$N48+1))</f>
        <v>0</v>
      </c>
      <c r="AL48" s="32">
        <f t="shared" si="29"/>
        <v>1</v>
      </c>
      <c r="AM48" s="32">
        <f>IF($U48="",0,IF($AL48&gt;1,((IF(1&lt;=$AL48,($AL48-1+3)*(INDEX(Reference!$B$6:$B$11,MIN(5,MATCH(MAX(Reference!$A$6,MIN(Reference!$A$11,MIN($U48,90))),Reference!$A$6:$A$11,1)))+(MAX(Reference!$A$6,MIN(Reference!$A$11,MIN($U48,90)))-INDEX(Reference!$A$6:$A$11,MIN(5,MATCH(MAX(Reference!$A$6,MIN(Reference!$A$11,MIN($U48,90))),Reference!$A$6:$A$11,1))))*(INDEX(Reference!$B$6:$B$11,MIN(5,MATCH(MAX(Reference!$A$6,MIN(Reference!$A$11,MIN($U48,90))),Reference!$A$6:$A$11,1))+1)-INDEX(Reference!$B$6:$B$11,MIN(5,MATCH(MAX(Reference!$A$6,MIN(Reference!$A$11,MIN($U48,90))),Reference!$A$6:$A$11,1))))/(INDEX(Reference!$A$6:$A$11,MIN(5,MATCH(MAX(Reference!$A$6,MIN(Reference!$A$11,MIN($U48,90))),Reference!$A$6:$A$11,1))+1)-INDEX(Reference!$A$6:$A$11,MIN(5,MATCH(MAX(Reference!$A$6,MIN(Reference!$A$11,MIN($U48,90))),Reference!$A$6:$A$11,1))))),0)+IF(2&lt;=$AL48,($AL48-2+3)*(INDEX(Reference!$B$6:$B$11,MIN(5,MATCH(MAX(Reference!$A$6,MIN(Reference!$A$11,MIN($U48,120))),Reference!$A$6:$A$11,1)))+(MAX(Reference!$A$6,MIN(Reference!$A$11,MIN($U48,120)))-INDEX(Reference!$A$6:$A$11,MIN(5,MATCH(MAX(Reference!$A$6,MIN(Reference!$A$11,MIN($U48,120))),Reference!$A$6:$A$11,1))))*(INDEX(Reference!$B$6:$B$11,MIN(5,MATCH(MAX(Reference!$A$6,MIN(Reference!$A$11,MIN($U48,120))),Reference!$A$6:$A$11,1))+1)-INDEX(Reference!$B$6:$B$11,MIN(5,MATCH(MAX(Reference!$A$6,MIN(Reference!$A$11,MIN($U48,120))),Reference!$A$6:$A$11,1))))/(INDEX(Reference!$A$6:$A$11,MIN(5,MATCH(MAX(Reference!$A$6,MIN(Reference!$A$11,MIN($U48,120))),Reference!$A$6:$A$11,1))+1)-INDEX(Reference!$A$6:$A$11,MIN(5,MATCH(MAX(Reference!$A$6,MIN(Reference!$A$11,MIN($U48,120))),Reference!$A$6:$A$11,1))))),0)+IF(3&lt;=$AL48,($AL48-3+3)*(INDEX(Reference!$B$6:$B$11,MIN(5,MATCH(MAX(Reference!$A$6,MIN(Reference!$A$11,MIN($U48,150))),Reference!$A$6:$A$11,1)))+(MAX(Reference!$A$6,MIN(Reference!$A$11,MIN($U48,150)))-INDEX(Reference!$A$6:$A$11,MIN(5,MATCH(MAX(Reference!$A$6,MIN(Reference!$A$11,MIN($U48,150))),Reference!$A$6:$A$11,1))))*(INDEX(Reference!$B$6:$B$11,MIN(5,MATCH(MAX(Reference!$A$6,MIN(Reference!$A$11,MIN($U48,150))),Reference!$A$6:$A$11,1))+1)-INDEX(Reference!$B$6:$B$11,MIN(5,MATCH(MAX(Reference!$A$6,MIN(Reference!$A$11,MIN($U48,150))),Reference!$A$6:$A$11,1))))/(INDEX(Reference!$A$6:$A$11,MIN(5,MATCH(MAX(Reference!$A$6,MIN(Reference!$A$11,MIN($U48,150))),Reference!$A$6:$A$11,1))+1)-INDEX(Reference!$A$6:$A$11,MIN(5,MATCH(MAX(Reference!$A$6,MIN(Reference!$A$11,MIN($U48,150))),Reference!$A$6:$A$11,1))))),0)+IF(4&lt;=$AL48,($AL48-4+3)*(INDEX(Reference!$B$6:$B$11,MIN(5,MATCH(MAX(Reference!$A$6,MIN(Reference!$A$11,MIN($U48,180))),Reference!$A$6:$A$11,1)))+(MAX(Reference!$A$6,MIN(Reference!$A$11,MIN($U48,180)))-INDEX(Reference!$A$6:$A$11,MIN(5,MATCH(MAX(Reference!$A$6,MIN(Reference!$A$11,MIN($U48,180))),Reference!$A$6:$A$11,1))))*(INDEX(Reference!$B$6:$B$11,MIN(5,MATCH(MAX(Reference!$A$6,MIN(Reference!$A$11,MIN($U48,180))),Reference!$A$6:$A$11,1))+1)-INDEX(Reference!$B$6:$B$11,MIN(5,MATCH(MAX(Reference!$A$6,MIN(Reference!$A$11,MIN($U48,180))),Reference!$A$6:$A$11,1))))/(INDEX(Reference!$A$6:$A$11,MIN(5,MATCH(MAX(Reference!$A$6,MIN(Reference!$A$11,MIN($U48,180))),Reference!$A$6:$A$11,1))+1)-INDEX(Reference!$A$6:$A$11,MIN(5,MATCH(MAX(Reference!$A$6,MIN(Reference!$A$11,MIN($U48,180))),Reference!$A$6:$A$11,1))))),0)+IF(5&lt;=$AL48,($AL48-5+3)*(INDEX(Reference!$B$6:$B$11,MIN(5,MATCH(MAX(Reference!$A$6,MIN(Reference!$A$11,MIN($U48,210))),Reference!$A$6:$A$11,1)))+(MAX(Reference!$A$6,MIN(Reference!$A$11,MIN($U48,210)))-INDEX(Reference!$A$6:$A$11,MIN(5,MATCH(MAX(Reference!$A$6,MIN(Reference!$A$11,MIN($U48,210))),Reference!$A$6:$A$11,1))))*(INDEX(Reference!$B$6:$B$11,MIN(5,MATCH(MAX(Reference!$A$6,MIN(Reference!$A$11,MIN($U48,210))),Reference!$A$6:$A$11,1))+1)-INDEX(Reference!$B$6:$B$11,MIN(5,MATCH(MAX(Reference!$A$6,MIN(Reference!$A$11,MIN($U48,210))),Reference!$A$6:$A$11,1))))/(INDEX(Reference!$A$6:$A$11,MIN(5,MATCH(MAX(Reference!$A$6,MIN(Reference!$A$11,MIN($U48,210))),Reference!$A$6:$A$11,1))+1)-INDEX(Reference!$A$6:$A$11,MIN(5,MATCH(MAX(Reference!$A$6,MIN(Reference!$A$11,MIN($U48,210))),Reference!$A$6:$A$11,1))))),0)+IF(6&lt;=$AL48,($AL48-6+3)*(INDEX(Reference!$B$6:$B$11,MIN(5,MATCH(MAX(Reference!$A$6,MIN(Reference!$A$11,MIN($U48,240))),Reference!$A$6:$A$11,1)))+(MAX(Reference!$A$6,MIN(Reference!$A$11,MIN($U48,240)))-INDEX(Reference!$A$6:$A$11,MIN(5,MATCH(MAX(Reference!$A$6,MIN(Reference!$A$11,MIN($U48,240))),Reference!$A$6:$A$11,1))))*(INDEX(Reference!$B$6:$B$11,MIN(5,MATCH(MAX(Reference!$A$6,MIN(Reference!$A$11,MIN($U48,240))),Reference!$A$6:$A$11,1))+1)-INDEX(Reference!$B$6:$B$11,MIN(5,MATCH(MAX(Reference!$A$6,MIN(Reference!$A$11,MIN($U48,240))),Reference!$A$6:$A$11,1))))/(INDEX(Reference!$A$6:$A$11,MIN(5,MATCH(MAX(Reference!$A$6,MIN(Reference!$A$11,MIN($U48,240))),Reference!$A$6:$A$11,1))+1)-INDEX(Reference!$A$6:$A$11,MIN(5,MATCH(MAX(Reference!$A$6,MIN(Reference!$A$11,MIN($U48,240))),Reference!$A$6:$A$11,1))))),0)+IF(7&lt;=$AL48,($AL48-7+3)*(INDEX(Reference!$B$6:$B$11,MIN(5,MATCH(MAX(Reference!$A$6,MIN(Reference!$A$11,MIN($U48,270))),Reference!$A$6:$A$11,1)))+(MAX(Reference!$A$6,MIN(Reference!$A$11,MIN($U48,270)))-INDEX(Reference!$A$6:$A$11,MIN(5,MATCH(MAX(Reference!$A$6,MIN(Reference!$A$11,MIN($U48,270))),Reference!$A$6:$A$11,1))))*(INDEX(Reference!$B$6:$B$11,MIN(5,MATCH(MAX(Reference!$A$6,MIN(Reference!$A$11,MIN($U48,270))),Reference!$A$6:$A$11,1))+1)-INDEX(Reference!$B$6:$B$11,MIN(5,MATCH(MAX(Reference!$A$6,MIN(Reference!$A$11,MIN($U48,270))),Reference!$A$6:$A$11,1))))/(INDEX(Reference!$A$6:$A$11,MIN(5,MATCH(MAX(Reference!$A$6,MIN(Reference!$A$11,MIN($U48,270))),Reference!$A$6:$A$11,1))+1)-INDEX(Reference!$A$6:$A$11,MIN(5,MATCH(MAX(Reference!$A$6,MIN(Reference!$A$11,MIN($U48,270))),Reference!$A$6:$A$11,1))))),0)+IF(8&lt;=$AL48,($AL48-8+3)*(INDEX(Reference!$B$6:$B$11,MIN(5,MATCH(MAX(Reference!$A$6,MIN(Reference!$A$11,MIN($U48,300))),Reference!$A$6:$A$11,1)))+(MAX(Reference!$A$6,MIN(Reference!$A$11,MIN($U48,300)))-INDEX(Reference!$A$6:$A$11,MIN(5,MATCH(MAX(Reference!$A$6,MIN(Reference!$A$11,MIN($U48,300))),Reference!$A$6:$A$11,1))))*(INDEX(Reference!$B$6:$B$11,MIN(5,MATCH(MAX(Reference!$A$6,MIN(Reference!$A$11,MIN($U48,300))),Reference!$A$6:$A$11,1))+1)-INDEX(Reference!$B$6:$B$11,MIN(5,MATCH(MAX(Reference!$A$6,MIN(Reference!$A$11,MIN($U48,300))),Reference!$A$6:$A$11,1))))/(INDEX(Reference!$A$6:$A$11,MIN(5,MATCH(MAX(Reference!$A$6,MIN(Reference!$A$11,MIN($U48,300))),Reference!$A$6:$A$11,1))+1)-INDEX(Reference!$A$6:$A$11,MIN(5,MATCH(MAX(Reference!$A$6,MIN(Reference!$A$11,MIN($U48,300))),Reference!$A$6:$A$11,1))))),0))/($AL48*($AL48+5)/2)),$AN48))</f>
        <v>1.1499999999999999</v>
      </c>
      <c r="AN48" s="32">
        <f>IF($U48="",0,(INDEX(Reference!$B$6:$B$11,MIN(5,MATCH(MAX(Reference!$A$6,MIN(Reference!$A$11,$U48)),Reference!$A$6:$A$11,1)))+(MAX(Reference!$A$6,MIN(Reference!$A$11,$U48))-INDEX(Reference!$A$6:$A$11,MIN(5,MATCH(MAX(Reference!$A$6,MIN(Reference!$A$11,$U48)),Reference!$A$6:$A$11,1))))*(INDEX(Reference!$B$6:$B$11,MIN(5,MATCH(MAX(Reference!$A$6,MIN(Reference!$A$11,$U48)),Reference!$A$6:$A$11,1))+1)-INDEX(Reference!$B$6:$B$11,MIN(5,MATCH(MAX(Reference!$A$6,MIN(Reference!$A$11,$U48)),Reference!$A$6:$A$11,1))))/(INDEX(Reference!$A$6:$A$11,MIN(5,MATCH(MAX(Reference!$A$6,MIN(Reference!$A$11,$U48)),Reference!$A$6:$A$11,1))+1)-INDEX(Reference!$A$6:$A$11,MIN(5,MATCH(MAX(Reference!$A$6,MIN(Reference!$A$11,$U48)),Reference!$A$6:$A$11,1))))))</f>
        <v>1.1499999999999999</v>
      </c>
      <c r="AO48" s="37"/>
      <c r="AP48" s="37"/>
      <c r="AQ48" s="37"/>
    </row>
    <row r="49" spans="1:43" x14ac:dyDescent="0.3">
      <c r="A49" s="48">
        <f t="shared" si="5"/>
        <v>46313</v>
      </c>
      <c r="B49" s="32" t="str">
        <f t="shared" si="6"/>
        <v>Sun</v>
      </c>
      <c r="C49" s="32">
        <f t="shared" si="7"/>
        <v>78</v>
      </c>
      <c r="D49" s="32" t="str">
        <f t="shared" si="8"/>
        <v>Re-entry</v>
      </c>
      <c r="E49" s="32" t="str">
        <f t="shared" si="9"/>
        <v>No Throw</v>
      </c>
      <c r="F49" s="32" t="str">
        <f t="shared" si="10"/>
        <v>No Throw</v>
      </c>
      <c r="G49" s="47" t="str">
        <f t="shared" si="11"/>
        <v>Off</v>
      </c>
      <c r="H49" s="30">
        <f t="shared" si="12"/>
        <v>0</v>
      </c>
      <c r="I49" s="46" t="str">
        <f>IF($A49="","",IF(AND($L49&lt;27,$K$12=0),"Building",IFERROR(((SUM($H$43:$H49)+$K$12*IF($L49&lt;6,SUMIFS('Throw Log'!$Q$5:$Q$300,'Throw Log'!$B$5:$B$300,$D$4,'Throw Log'!$A$5:$A$300,"&gt;="&amp;($D$6+$L49-6),'Throw Log'!$A$5:$A$300,"&lt;="&amp;($D$6-1)),0))/7)/((SUM($H$43:$H49)+$K$12*IF($L49&lt;27,SUMIFS('Throw Log'!$Q$5:$Q$300,'Throw Log'!$B$5:$B$300,$D$4,'Throw Log'!$A$5:$A$300,"&gt;="&amp;($D$6+$L49-27),'Throw Log'!$A$5:$A$300,"&lt;="&amp;($D$6-1)),0))/28),"")))</f>
        <v>Building</v>
      </c>
      <c r="J49" s="37"/>
      <c r="K49" s="37"/>
      <c r="L49" s="32">
        <v>6</v>
      </c>
      <c r="M49" s="32">
        <f t="shared" si="13"/>
        <v>1</v>
      </c>
      <c r="N49" s="32">
        <f t="shared" si="14"/>
        <v>6</v>
      </c>
      <c r="O49" s="32">
        <f t="shared" si="15"/>
        <v>7.8947368421052627E-2</v>
      </c>
      <c r="P49" s="32">
        <f>IF(OR($A49="",N($C49)&lt;=7),"",$G$6*$G$9^($M49-1)*IF(AND(MOD($M49,Reference!$B$99)=0,$M49&lt;=$G$5-2),Reference!$B$100,1))</f>
        <v>80</v>
      </c>
      <c r="Q49" s="32">
        <f>IF($P49="","",IF(SUM($AK$43:$AK$49)=0,0,$P49*INDEX(Reference!$B$108:$B$114,$N49+1)/SUM($AK$43:$AK$49)))</f>
        <v>7.6712328767123301</v>
      </c>
      <c r="R49" s="32">
        <f t="shared" si="16"/>
        <v>75</v>
      </c>
      <c r="S49" s="32">
        <f t="shared" si="17"/>
        <v>75</v>
      </c>
      <c r="T49" s="32" t="str">
        <f>IF($A49="","",IF($C49=0,"Bullpen",IF(OR($C49=7,$C49=1,$C49=5),"Recovery/Easy Catch",IF($C49=6,"Compression/Pulldowns",IF(OR($C49=4,$C49=2),"Long Toss",IF($C49=3,"No Throw",IF($N49=2,"No Throw",IF($N49=6,IF($O49&lt;Reference!$B$104,"No Throw","Recovery/Easy Catch"),IF(OR($N49=0,$N49=4),"Recovery/Easy Catch",IF($N49=1,IF($R49&gt;75,"Long Toss","Recovery/Easy Catch"),IF($N49=3,IF($O49&lt;0.5,IF($S49&gt;75,"Long Toss","Recovery/Easy Catch"),"Compression/Pulldowns"),IF($S49&gt;75,"Long Toss","Recovery/Easy Catch"))))))))))))</f>
        <v>No Throw</v>
      </c>
      <c r="U49" s="32">
        <f t="shared" si="18"/>
        <v>60</v>
      </c>
      <c r="V49" s="32">
        <f t="shared" si="19"/>
        <v>20</v>
      </c>
      <c r="W49" s="32">
        <f t="shared" si="20"/>
        <v>24</v>
      </c>
      <c r="X49" s="32">
        <f t="shared" si="21"/>
        <v>0</v>
      </c>
      <c r="Y49" s="32" t="str">
        <f t="shared" si="22"/>
        <v/>
      </c>
      <c r="Z49" s="32" t="str">
        <f t="shared" si="23"/>
        <v/>
      </c>
      <c r="AA49" s="32" t="str">
        <f t="shared" si="24"/>
        <v/>
      </c>
      <c r="AB49" s="32">
        <f>IF($A49="","",IF($T49="No Throw",0,IF($K49&lt;&gt;"",$K49,IF($AA49&lt;&gt;"",ROUND($AA49*$D$12*IF($C49=0,1,$G$10),0),MIN(IF($T49="Recovery/Easy Catch",Reference!$B$103,IF($T49="Long Toss",Reference!$B$106,Reference!$B$102)),MAX(Reference!$B$101,ROUND(MAX(0,$Q49-$AE49)/$AF49,0)))))))</f>
        <v>0</v>
      </c>
      <c r="AC49" s="32">
        <f t="shared" si="25"/>
        <v>0</v>
      </c>
      <c r="AD49" s="32" t="b">
        <f t="shared" si="26"/>
        <v>1</v>
      </c>
      <c r="AE49" s="32">
        <f>IF($X49=0,0,$X49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49+$Z49)/2,0),Reference!$A$17:$B$20,2,TRUE()))</f>
        <v>0</v>
      </c>
      <c r="AF49" s="32">
        <f>IF(OR($A49="",$U49="",$T49="No Throw"),0,$AM49*VLOOKUP(MAX(($V49+$W49)/2,0),Reference!$A$17:$B$20,2,TRUE()))</f>
        <v>0</v>
      </c>
      <c r="AG49" s="32">
        <f>IF($AC49=0,0,$AC49*INDEX(Reference!$B$61:$B$62,MATCH("Bullpen",Reference!$A$61:$A$62,0))*VLOOKUP(MAX($D$5-($D$9+$E$9)/2,0),Reference!$A$17:$B$20,2,TRUE()))</f>
        <v>0</v>
      </c>
      <c r="AH49" s="32" t="e">
        <f t="shared" si="27"/>
        <v>#N/A</v>
      </c>
      <c r="AI49" s="32">
        <f>IF($A49="",NA(),Reference!$A$25)</f>
        <v>0.8</v>
      </c>
      <c r="AJ49" s="32">
        <f t="shared" si="28"/>
        <v>1.3</v>
      </c>
      <c r="AK49" s="32">
        <f>IF(OR($A49="",N($C49)&lt;=7,$T49="No Throw",$J49="x"),0,INDEX(Reference!$B$108:$B$114,$N49+1))</f>
        <v>0</v>
      </c>
      <c r="AL49" s="32">
        <f t="shared" si="29"/>
        <v>1</v>
      </c>
      <c r="AM49" s="32">
        <f>IF($U49="",0,IF($AL49&gt;1,((IF(1&lt;=$AL49,($AL49-1+3)*(INDEX(Reference!$B$6:$B$11,MIN(5,MATCH(MAX(Reference!$A$6,MIN(Reference!$A$11,MIN($U49,90))),Reference!$A$6:$A$11,1)))+(MAX(Reference!$A$6,MIN(Reference!$A$11,MIN($U49,90)))-INDEX(Reference!$A$6:$A$11,MIN(5,MATCH(MAX(Reference!$A$6,MIN(Reference!$A$11,MIN($U49,90))),Reference!$A$6:$A$11,1))))*(INDEX(Reference!$B$6:$B$11,MIN(5,MATCH(MAX(Reference!$A$6,MIN(Reference!$A$11,MIN($U49,90))),Reference!$A$6:$A$11,1))+1)-INDEX(Reference!$B$6:$B$11,MIN(5,MATCH(MAX(Reference!$A$6,MIN(Reference!$A$11,MIN($U49,90))),Reference!$A$6:$A$11,1))))/(INDEX(Reference!$A$6:$A$11,MIN(5,MATCH(MAX(Reference!$A$6,MIN(Reference!$A$11,MIN($U49,90))),Reference!$A$6:$A$11,1))+1)-INDEX(Reference!$A$6:$A$11,MIN(5,MATCH(MAX(Reference!$A$6,MIN(Reference!$A$11,MIN($U49,90))),Reference!$A$6:$A$11,1))))),0)+IF(2&lt;=$AL49,($AL49-2+3)*(INDEX(Reference!$B$6:$B$11,MIN(5,MATCH(MAX(Reference!$A$6,MIN(Reference!$A$11,MIN($U49,120))),Reference!$A$6:$A$11,1)))+(MAX(Reference!$A$6,MIN(Reference!$A$11,MIN($U49,120)))-INDEX(Reference!$A$6:$A$11,MIN(5,MATCH(MAX(Reference!$A$6,MIN(Reference!$A$11,MIN($U49,120))),Reference!$A$6:$A$11,1))))*(INDEX(Reference!$B$6:$B$11,MIN(5,MATCH(MAX(Reference!$A$6,MIN(Reference!$A$11,MIN($U49,120))),Reference!$A$6:$A$11,1))+1)-INDEX(Reference!$B$6:$B$11,MIN(5,MATCH(MAX(Reference!$A$6,MIN(Reference!$A$11,MIN($U49,120))),Reference!$A$6:$A$11,1))))/(INDEX(Reference!$A$6:$A$11,MIN(5,MATCH(MAX(Reference!$A$6,MIN(Reference!$A$11,MIN($U49,120))),Reference!$A$6:$A$11,1))+1)-INDEX(Reference!$A$6:$A$11,MIN(5,MATCH(MAX(Reference!$A$6,MIN(Reference!$A$11,MIN($U49,120))),Reference!$A$6:$A$11,1))))),0)+IF(3&lt;=$AL49,($AL49-3+3)*(INDEX(Reference!$B$6:$B$11,MIN(5,MATCH(MAX(Reference!$A$6,MIN(Reference!$A$11,MIN($U49,150))),Reference!$A$6:$A$11,1)))+(MAX(Reference!$A$6,MIN(Reference!$A$11,MIN($U49,150)))-INDEX(Reference!$A$6:$A$11,MIN(5,MATCH(MAX(Reference!$A$6,MIN(Reference!$A$11,MIN($U49,150))),Reference!$A$6:$A$11,1))))*(INDEX(Reference!$B$6:$B$11,MIN(5,MATCH(MAX(Reference!$A$6,MIN(Reference!$A$11,MIN($U49,150))),Reference!$A$6:$A$11,1))+1)-INDEX(Reference!$B$6:$B$11,MIN(5,MATCH(MAX(Reference!$A$6,MIN(Reference!$A$11,MIN($U49,150))),Reference!$A$6:$A$11,1))))/(INDEX(Reference!$A$6:$A$11,MIN(5,MATCH(MAX(Reference!$A$6,MIN(Reference!$A$11,MIN($U49,150))),Reference!$A$6:$A$11,1))+1)-INDEX(Reference!$A$6:$A$11,MIN(5,MATCH(MAX(Reference!$A$6,MIN(Reference!$A$11,MIN($U49,150))),Reference!$A$6:$A$11,1))))),0)+IF(4&lt;=$AL49,($AL49-4+3)*(INDEX(Reference!$B$6:$B$11,MIN(5,MATCH(MAX(Reference!$A$6,MIN(Reference!$A$11,MIN($U49,180))),Reference!$A$6:$A$11,1)))+(MAX(Reference!$A$6,MIN(Reference!$A$11,MIN($U49,180)))-INDEX(Reference!$A$6:$A$11,MIN(5,MATCH(MAX(Reference!$A$6,MIN(Reference!$A$11,MIN($U49,180))),Reference!$A$6:$A$11,1))))*(INDEX(Reference!$B$6:$B$11,MIN(5,MATCH(MAX(Reference!$A$6,MIN(Reference!$A$11,MIN($U49,180))),Reference!$A$6:$A$11,1))+1)-INDEX(Reference!$B$6:$B$11,MIN(5,MATCH(MAX(Reference!$A$6,MIN(Reference!$A$11,MIN($U49,180))),Reference!$A$6:$A$11,1))))/(INDEX(Reference!$A$6:$A$11,MIN(5,MATCH(MAX(Reference!$A$6,MIN(Reference!$A$11,MIN($U49,180))),Reference!$A$6:$A$11,1))+1)-INDEX(Reference!$A$6:$A$11,MIN(5,MATCH(MAX(Reference!$A$6,MIN(Reference!$A$11,MIN($U49,180))),Reference!$A$6:$A$11,1))))),0)+IF(5&lt;=$AL49,($AL49-5+3)*(INDEX(Reference!$B$6:$B$11,MIN(5,MATCH(MAX(Reference!$A$6,MIN(Reference!$A$11,MIN($U49,210))),Reference!$A$6:$A$11,1)))+(MAX(Reference!$A$6,MIN(Reference!$A$11,MIN($U49,210)))-INDEX(Reference!$A$6:$A$11,MIN(5,MATCH(MAX(Reference!$A$6,MIN(Reference!$A$11,MIN($U49,210))),Reference!$A$6:$A$11,1))))*(INDEX(Reference!$B$6:$B$11,MIN(5,MATCH(MAX(Reference!$A$6,MIN(Reference!$A$11,MIN($U49,210))),Reference!$A$6:$A$11,1))+1)-INDEX(Reference!$B$6:$B$11,MIN(5,MATCH(MAX(Reference!$A$6,MIN(Reference!$A$11,MIN($U49,210))),Reference!$A$6:$A$11,1))))/(INDEX(Reference!$A$6:$A$11,MIN(5,MATCH(MAX(Reference!$A$6,MIN(Reference!$A$11,MIN($U49,210))),Reference!$A$6:$A$11,1))+1)-INDEX(Reference!$A$6:$A$11,MIN(5,MATCH(MAX(Reference!$A$6,MIN(Reference!$A$11,MIN($U49,210))),Reference!$A$6:$A$11,1))))),0)+IF(6&lt;=$AL49,($AL49-6+3)*(INDEX(Reference!$B$6:$B$11,MIN(5,MATCH(MAX(Reference!$A$6,MIN(Reference!$A$11,MIN($U49,240))),Reference!$A$6:$A$11,1)))+(MAX(Reference!$A$6,MIN(Reference!$A$11,MIN($U49,240)))-INDEX(Reference!$A$6:$A$11,MIN(5,MATCH(MAX(Reference!$A$6,MIN(Reference!$A$11,MIN($U49,240))),Reference!$A$6:$A$11,1))))*(INDEX(Reference!$B$6:$B$11,MIN(5,MATCH(MAX(Reference!$A$6,MIN(Reference!$A$11,MIN($U49,240))),Reference!$A$6:$A$11,1))+1)-INDEX(Reference!$B$6:$B$11,MIN(5,MATCH(MAX(Reference!$A$6,MIN(Reference!$A$11,MIN($U49,240))),Reference!$A$6:$A$11,1))))/(INDEX(Reference!$A$6:$A$11,MIN(5,MATCH(MAX(Reference!$A$6,MIN(Reference!$A$11,MIN($U49,240))),Reference!$A$6:$A$11,1))+1)-INDEX(Reference!$A$6:$A$11,MIN(5,MATCH(MAX(Reference!$A$6,MIN(Reference!$A$11,MIN($U49,240))),Reference!$A$6:$A$11,1))))),0)+IF(7&lt;=$AL49,($AL49-7+3)*(INDEX(Reference!$B$6:$B$11,MIN(5,MATCH(MAX(Reference!$A$6,MIN(Reference!$A$11,MIN($U49,270))),Reference!$A$6:$A$11,1)))+(MAX(Reference!$A$6,MIN(Reference!$A$11,MIN($U49,270)))-INDEX(Reference!$A$6:$A$11,MIN(5,MATCH(MAX(Reference!$A$6,MIN(Reference!$A$11,MIN($U49,270))),Reference!$A$6:$A$11,1))))*(INDEX(Reference!$B$6:$B$11,MIN(5,MATCH(MAX(Reference!$A$6,MIN(Reference!$A$11,MIN($U49,270))),Reference!$A$6:$A$11,1))+1)-INDEX(Reference!$B$6:$B$11,MIN(5,MATCH(MAX(Reference!$A$6,MIN(Reference!$A$11,MIN($U49,270))),Reference!$A$6:$A$11,1))))/(INDEX(Reference!$A$6:$A$11,MIN(5,MATCH(MAX(Reference!$A$6,MIN(Reference!$A$11,MIN($U49,270))),Reference!$A$6:$A$11,1))+1)-INDEX(Reference!$A$6:$A$11,MIN(5,MATCH(MAX(Reference!$A$6,MIN(Reference!$A$11,MIN($U49,270))),Reference!$A$6:$A$11,1))))),0)+IF(8&lt;=$AL49,($AL49-8+3)*(INDEX(Reference!$B$6:$B$11,MIN(5,MATCH(MAX(Reference!$A$6,MIN(Reference!$A$11,MIN($U49,300))),Reference!$A$6:$A$11,1)))+(MAX(Reference!$A$6,MIN(Reference!$A$11,MIN($U49,300)))-INDEX(Reference!$A$6:$A$11,MIN(5,MATCH(MAX(Reference!$A$6,MIN(Reference!$A$11,MIN($U49,300))),Reference!$A$6:$A$11,1))))*(INDEX(Reference!$B$6:$B$11,MIN(5,MATCH(MAX(Reference!$A$6,MIN(Reference!$A$11,MIN($U49,300))),Reference!$A$6:$A$11,1))+1)-INDEX(Reference!$B$6:$B$11,MIN(5,MATCH(MAX(Reference!$A$6,MIN(Reference!$A$11,MIN($U49,300))),Reference!$A$6:$A$11,1))))/(INDEX(Reference!$A$6:$A$11,MIN(5,MATCH(MAX(Reference!$A$6,MIN(Reference!$A$11,MIN($U49,300))),Reference!$A$6:$A$11,1))+1)-INDEX(Reference!$A$6:$A$11,MIN(5,MATCH(MAX(Reference!$A$6,MIN(Reference!$A$11,MIN($U49,300))),Reference!$A$6:$A$11,1))))),0))/($AL49*($AL49+5)/2)),$AN49))</f>
        <v>1</v>
      </c>
      <c r="AN49" s="32">
        <f>IF($U49="",0,(INDEX(Reference!$B$6:$B$11,MIN(5,MATCH(MAX(Reference!$A$6,MIN(Reference!$A$11,$U49)),Reference!$A$6:$A$11,1)))+(MAX(Reference!$A$6,MIN(Reference!$A$11,$U49))-INDEX(Reference!$A$6:$A$11,MIN(5,MATCH(MAX(Reference!$A$6,MIN(Reference!$A$11,$U49)),Reference!$A$6:$A$11,1))))*(INDEX(Reference!$B$6:$B$11,MIN(5,MATCH(MAX(Reference!$A$6,MIN(Reference!$A$11,$U49)),Reference!$A$6:$A$11,1))+1)-INDEX(Reference!$B$6:$B$11,MIN(5,MATCH(MAX(Reference!$A$6,MIN(Reference!$A$11,$U49)),Reference!$A$6:$A$11,1))))/(INDEX(Reference!$A$6:$A$11,MIN(5,MATCH(MAX(Reference!$A$6,MIN(Reference!$A$11,$U49)),Reference!$A$6:$A$11,1))+1)-INDEX(Reference!$A$6:$A$11,MIN(5,MATCH(MAX(Reference!$A$6,MIN(Reference!$A$11,$U49)),Reference!$A$6:$A$11,1))))))</f>
        <v>1</v>
      </c>
      <c r="AO49" s="37"/>
      <c r="AP49" s="37"/>
      <c r="AQ49" s="37"/>
    </row>
    <row r="50" spans="1:43" x14ac:dyDescent="0.3">
      <c r="A50" s="48">
        <f t="shared" si="5"/>
        <v>46314</v>
      </c>
      <c r="B50" s="32" t="str">
        <f t="shared" si="6"/>
        <v>Mon</v>
      </c>
      <c r="C50" s="32">
        <f t="shared" si="7"/>
        <v>77</v>
      </c>
      <c r="D50" s="32" t="str">
        <f t="shared" si="8"/>
        <v>Re-entry</v>
      </c>
      <c r="E50" s="32" t="str">
        <f t="shared" si="9"/>
        <v>Low</v>
      </c>
      <c r="F50" s="32" t="str">
        <f t="shared" si="10"/>
        <v>Recovery/Easy Catch</v>
      </c>
      <c r="G50" s="47" t="str">
        <f t="shared" si="11"/>
        <v>60 ft × 20 @ 67–71 mph</v>
      </c>
      <c r="H50" s="30">
        <f t="shared" si="12"/>
        <v>12</v>
      </c>
      <c r="I50" s="46" t="str">
        <f>IF($A50="","",IF(AND($L50&lt;27,$K$12=0),"Building",IFERROR(((SUM($H$44:$H50)+$K$12*IF($L50&lt;6,SUMIFS('Throw Log'!$Q$5:$Q$300,'Throw Log'!$B$5:$B$300,$D$4,'Throw Log'!$A$5:$A$300,"&gt;="&amp;($D$6+$L50-6),'Throw Log'!$A$5:$A$300,"&lt;="&amp;($D$6-1)),0))/7)/((SUM($H$43:$H50)+$K$12*IF($L50&lt;27,SUMIFS('Throw Log'!$Q$5:$Q$300,'Throw Log'!$B$5:$B$300,$D$4,'Throw Log'!$A$5:$A$300,"&gt;="&amp;($D$6+$L50-27),'Throw Log'!$A$5:$A$300,"&lt;="&amp;($D$6-1)),0))/28),"")))</f>
        <v>Building</v>
      </c>
      <c r="J50" s="37"/>
      <c r="K50" s="37"/>
      <c r="L50" s="32">
        <v>7</v>
      </c>
      <c r="M50" s="32">
        <f t="shared" si="13"/>
        <v>2</v>
      </c>
      <c r="N50" s="32">
        <f t="shared" si="14"/>
        <v>0</v>
      </c>
      <c r="O50" s="32">
        <f t="shared" si="15"/>
        <v>9.2105263157894732E-2</v>
      </c>
      <c r="P50" s="32">
        <f>IF(OR($A50="",N($C50)&lt;=7),"",$G$6*$G$9^($M50-1)*IF(AND(MOD($M50,Reference!$B$99)=0,$M50&lt;=$G$5-2),Reference!$B$100,1))</f>
        <v>90.007422064022563</v>
      </c>
      <c r="Q50" s="32">
        <f>IF($P50="","",IF(SUM($AK$50:$AK$56)=0,0,$P50*INDEX(Reference!$B$108:$B$114,$N50+1)/SUM($AK$50:$AK$56)))</f>
        <v>10.800890647682706</v>
      </c>
      <c r="R50" s="32">
        <f t="shared" si="16"/>
        <v>75</v>
      </c>
      <c r="S50" s="32">
        <f t="shared" si="17"/>
        <v>75</v>
      </c>
      <c r="T50" s="32" t="str">
        <f>IF($A50="","",IF($C50=0,"Bullpen",IF(OR($C50=7,$C50=1,$C50=5),"Recovery/Easy Catch",IF($C50=6,"Compression/Pulldowns",IF(OR($C50=4,$C50=2),"Long Toss",IF($C50=3,"No Throw",IF($N50=2,"No Throw",IF($N50=6,IF($O50&lt;Reference!$B$104,"No Throw","Recovery/Easy Catch"),IF(OR($N50=0,$N50=4),"Recovery/Easy Catch",IF($N50=1,IF($R50&gt;75,"Long Toss","Recovery/Easy Catch"),IF($N50=3,IF($O50&lt;0.5,IF($S50&gt;75,"Long Toss","Recovery/Easy Catch"),"Compression/Pulldowns"),IF($S50&gt;75,"Long Toss","Recovery/Easy Catch"))))))))))))</f>
        <v>Recovery/Easy Catch</v>
      </c>
      <c r="U50" s="32">
        <f t="shared" si="18"/>
        <v>60</v>
      </c>
      <c r="V50" s="32">
        <f t="shared" si="19"/>
        <v>20</v>
      </c>
      <c r="W50" s="32">
        <f t="shared" si="20"/>
        <v>24</v>
      </c>
      <c r="X50" s="32">
        <f t="shared" si="21"/>
        <v>0</v>
      </c>
      <c r="Y50" s="32" t="str">
        <f t="shared" si="22"/>
        <v/>
      </c>
      <c r="Z50" s="32" t="str">
        <f t="shared" si="23"/>
        <v/>
      </c>
      <c r="AA50" s="32" t="str">
        <f t="shared" si="24"/>
        <v/>
      </c>
      <c r="AB50" s="32">
        <f>IF($A50="","",IF($T50="No Throw",0,IF($K50&lt;&gt;"",$K50,IF($AA50&lt;&gt;"",ROUND($AA50*$D$12*IF($C50=0,1,$G$10),0),MIN(IF($T50="Recovery/Easy Catch",Reference!$B$103,IF($T50="Long Toss",Reference!$B$106,Reference!$B$102)),MAX(Reference!$B$101,ROUND(MAX(0,$Q50-$AE50)/$AF50,0)))))))</f>
        <v>20</v>
      </c>
      <c r="AC50" s="32">
        <f t="shared" si="25"/>
        <v>0</v>
      </c>
      <c r="AD50" s="32" t="b">
        <f t="shared" si="26"/>
        <v>0</v>
      </c>
      <c r="AE50" s="32">
        <f>IF($X50=0,0,$X50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50+$Z50)/2,0),Reference!$A$17:$B$20,2,TRUE()))</f>
        <v>0</v>
      </c>
      <c r="AF50" s="32">
        <f>IF(OR($A50="",$U50="",$T50="No Throw"),0,$AM50*VLOOKUP(MAX(($V50+$W50)/2,0),Reference!$A$17:$B$20,2,TRUE()))</f>
        <v>0.6</v>
      </c>
      <c r="AG50" s="32">
        <f>IF($AC50=0,0,$AC50*INDEX(Reference!$B$61:$B$62,MATCH("Bullpen",Reference!$A$61:$A$62,0))*VLOOKUP(MAX($D$5-($D$9+$E$9)/2,0),Reference!$A$17:$B$20,2,TRUE()))</f>
        <v>0</v>
      </c>
      <c r="AH50" s="32" t="e">
        <f t="shared" si="27"/>
        <v>#N/A</v>
      </c>
      <c r="AI50" s="32">
        <f>IF($A50="",NA(),Reference!$A$25)</f>
        <v>0.8</v>
      </c>
      <c r="AJ50" s="32">
        <f t="shared" si="28"/>
        <v>1.3</v>
      </c>
      <c r="AK50" s="56">
        <f>IF(OR($A50="",N($C50)&lt;=7,$T50="No Throw",$J50="x"),0,INDEX(Reference!$B$108:$B$114,$N50+1))</f>
        <v>0.12</v>
      </c>
      <c r="AL50" s="32">
        <f t="shared" si="29"/>
        <v>1</v>
      </c>
      <c r="AM50" s="32">
        <f>IF($U50="",0,IF($AL50&gt;1,((IF(1&lt;=$AL50,($AL50-1+3)*(INDEX(Reference!$B$6:$B$11,MIN(5,MATCH(MAX(Reference!$A$6,MIN(Reference!$A$11,MIN($U50,90))),Reference!$A$6:$A$11,1)))+(MAX(Reference!$A$6,MIN(Reference!$A$11,MIN($U50,90)))-INDEX(Reference!$A$6:$A$11,MIN(5,MATCH(MAX(Reference!$A$6,MIN(Reference!$A$11,MIN($U50,90))),Reference!$A$6:$A$11,1))))*(INDEX(Reference!$B$6:$B$11,MIN(5,MATCH(MAX(Reference!$A$6,MIN(Reference!$A$11,MIN($U50,90))),Reference!$A$6:$A$11,1))+1)-INDEX(Reference!$B$6:$B$11,MIN(5,MATCH(MAX(Reference!$A$6,MIN(Reference!$A$11,MIN($U50,90))),Reference!$A$6:$A$11,1))))/(INDEX(Reference!$A$6:$A$11,MIN(5,MATCH(MAX(Reference!$A$6,MIN(Reference!$A$11,MIN($U50,90))),Reference!$A$6:$A$11,1))+1)-INDEX(Reference!$A$6:$A$11,MIN(5,MATCH(MAX(Reference!$A$6,MIN(Reference!$A$11,MIN($U50,90))),Reference!$A$6:$A$11,1))))),0)+IF(2&lt;=$AL50,($AL50-2+3)*(INDEX(Reference!$B$6:$B$11,MIN(5,MATCH(MAX(Reference!$A$6,MIN(Reference!$A$11,MIN($U50,120))),Reference!$A$6:$A$11,1)))+(MAX(Reference!$A$6,MIN(Reference!$A$11,MIN($U50,120)))-INDEX(Reference!$A$6:$A$11,MIN(5,MATCH(MAX(Reference!$A$6,MIN(Reference!$A$11,MIN($U50,120))),Reference!$A$6:$A$11,1))))*(INDEX(Reference!$B$6:$B$11,MIN(5,MATCH(MAX(Reference!$A$6,MIN(Reference!$A$11,MIN($U50,120))),Reference!$A$6:$A$11,1))+1)-INDEX(Reference!$B$6:$B$11,MIN(5,MATCH(MAX(Reference!$A$6,MIN(Reference!$A$11,MIN($U50,120))),Reference!$A$6:$A$11,1))))/(INDEX(Reference!$A$6:$A$11,MIN(5,MATCH(MAX(Reference!$A$6,MIN(Reference!$A$11,MIN($U50,120))),Reference!$A$6:$A$11,1))+1)-INDEX(Reference!$A$6:$A$11,MIN(5,MATCH(MAX(Reference!$A$6,MIN(Reference!$A$11,MIN($U50,120))),Reference!$A$6:$A$11,1))))),0)+IF(3&lt;=$AL50,($AL50-3+3)*(INDEX(Reference!$B$6:$B$11,MIN(5,MATCH(MAX(Reference!$A$6,MIN(Reference!$A$11,MIN($U50,150))),Reference!$A$6:$A$11,1)))+(MAX(Reference!$A$6,MIN(Reference!$A$11,MIN($U50,150)))-INDEX(Reference!$A$6:$A$11,MIN(5,MATCH(MAX(Reference!$A$6,MIN(Reference!$A$11,MIN($U50,150))),Reference!$A$6:$A$11,1))))*(INDEX(Reference!$B$6:$B$11,MIN(5,MATCH(MAX(Reference!$A$6,MIN(Reference!$A$11,MIN($U50,150))),Reference!$A$6:$A$11,1))+1)-INDEX(Reference!$B$6:$B$11,MIN(5,MATCH(MAX(Reference!$A$6,MIN(Reference!$A$11,MIN($U50,150))),Reference!$A$6:$A$11,1))))/(INDEX(Reference!$A$6:$A$11,MIN(5,MATCH(MAX(Reference!$A$6,MIN(Reference!$A$11,MIN($U50,150))),Reference!$A$6:$A$11,1))+1)-INDEX(Reference!$A$6:$A$11,MIN(5,MATCH(MAX(Reference!$A$6,MIN(Reference!$A$11,MIN($U50,150))),Reference!$A$6:$A$11,1))))),0)+IF(4&lt;=$AL50,($AL50-4+3)*(INDEX(Reference!$B$6:$B$11,MIN(5,MATCH(MAX(Reference!$A$6,MIN(Reference!$A$11,MIN($U50,180))),Reference!$A$6:$A$11,1)))+(MAX(Reference!$A$6,MIN(Reference!$A$11,MIN($U50,180)))-INDEX(Reference!$A$6:$A$11,MIN(5,MATCH(MAX(Reference!$A$6,MIN(Reference!$A$11,MIN($U50,180))),Reference!$A$6:$A$11,1))))*(INDEX(Reference!$B$6:$B$11,MIN(5,MATCH(MAX(Reference!$A$6,MIN(Reference!$A$11,MIN($U50,180))),Reference!$A$6:$A$11,1))+1)-INDEX(Reference!$B$6:$B$11,MIN(5,MATCH(MAX(Reference!$A$6,MIN(Reference!$A$11,MIN($U50,180))),Reference!$A$6:$A$11,1))))/(INDEX(Reference!$A$6:$A$11,MIN(5,MATCH(MAX(Reference!$A$6,MIN(Reference!$A$11,MIN($U50,180))),Reference!$A$6:$A$11,1))+1)-INDEX(Reference!$A$6:$A$11,MIN(5,MATCH(MAX(Reference!$A$6,MIN(Reference!$A$11,MIN($U50,180))),Reference!$A$6:$A$11,1))))),0)+IF(5&lt;=$AL50,($AL50-5+3)*(INDEX(Reference!$B$6:$B$11,MIN(5,MATCH(MAX(Reference!$A$6,MIN(Reference!$A$11,MIN($U50,210))),Reference!$A$6:$A$11,1)))+(MAX(Reference!$A$6,MIN(Reference!$A$11,MIN($U50,210)))-INDEX(Reference!$A$6:$A$11,MIN(5,MATCH(MAX(Reference!$A$6,MIN(Reference!$A$11,MIN($U50,210))),Reference!$A$6:$A$11,1))))*(INDEX(Reference!$B$6:$B$11,MIN(5,MATCH(MAX(Reference!$A$6,MIN(Reference!$A$11,MIN($U50,210))),Reference!$A$6:$A$11,1))+1)-INDEX(Reference!$B$6:$B$11,MIN(5,MATCH(MAX(Reference!$A$6,MIN(Reference!$A$11,MIN($U50,210))),Reference!$A$6:$A$11,1))))/(INDEX(Reference!$A$6:$A$11,MIN(5,MATCH(MAX(Reference!$A$6,MIN(Reference!$A$11,MIN($U50,210))),Reference!$A$6:$A$11,1))+1)-INDEX(Reference!$A$6:$A$11,MIN(5,MATCH(MAX(Reference!$A$6,MIN(Reference!$A$11,MIN($U50,210))),Reference!$A$6:$A$11,1))))),0)+IF(6&lt;=$AL50,($AL50-6+3)*(INDEX(Reference!$B$6:$B$11,MIN(5,MATCH(MAX(Reference!$A$6,MIN(Reference!$A$11,MIN($U50,240))),Reference!$A$6:$A$11,1)))+(MAX(Reference!$A$6,MIN(Reference!$A$11,MIN($U50,240)))-INDEX(Reference!$A$6:$A$11,MIN(5,MATCH(MAX(Reference!$A$6,MIN(Reference!$A$11,MIN($U50,240))),Reference!$A$6:$A$11,1))))*(INDEX(Reference!$B$6:$B$11,MIN(5,MATCH(MAX(Reference!$A$6,MIN(Reference!$A$11,MIN($U50,240))),Reference!$A$6:$A$11,1))+1)-INDEX(Reference!$B$6:$B$11,MIN(5,MATCH(MAX(Reference!$A$6,MIN(Reference!$A$11,MIN($U50,240))),Reference!$A$6:$A$11,1))))/(INDEX(Reference!$A$6:$A$11,MIN(5,MATCH(MAX(Reference!$A$6,MIN(Reference!$A$11,MIN($U50,240))),Reference!$A$6:$A$11,1))+1)-INDEX(Reference!$A$6:$A$11,MIN(5,MATCH(MAX(Reference!$A$6,MIN(Reference!$A$11,MIN($U50,240))),Reference!$A$6:$A$11,1))))),0)+IF(7&lt;=$AL50,($AL50-7+3)*(INDEX(Reference!$B$6:$B$11,MIN(5,MATCH(MAX(Reference!$A$6,MIN(Reference!$A$11,MIN($U50,270))),Reference!$A$6:$A$11,1)))+(MAX(Reference!$A$6,MIN(Reference!$A$11,MIN($U50,270)))-INDEX(Reference!$A$6:$A$11,MIN(5,MATCH(MAX(Reference!$A$6,MIN(Reference!$A$11,MIN($U50,270))),Reference!$A$6:$A$11,1))))*(INDEX(Reference!$B$6:$B$11,MIN(5,MATCH(MAX(Reference!$A$6,MIN(Reference!$A$11,MIN($U50,270))),Reference!$A$6:$A$11,1))+1)-INDEX(Reference!$B$6:$B$11,MIN(5,MATCH(MAX(Reference!$A$6,MIN(Reference!$A$11,MIN($U50,270))),Reference!$A$6:$A$11,1))))/(INDEX(Reference!$A$6:$A$11,MIN(5,MATCH(MAX(Reference!$A$6,MIN(Reference!$A$11,MIN($U50,270))),Reference!$A$6:$A$11,1))+1)-INDEX(Reference!$A$6:$A$11,MIN(5,MATCH(MAX(Reference!$A$6,MIN(Reference!$A$11,MIN($U50,270))),Reference!$A$6:$A$11,1))))),0)+IF(8&lt;=$AL50,($AL50-8+3)*(INDEX(Reference!$B$6:$B$11,MIN(5,MATCH(MAX(Reference!$A$6,MIN(Reference!$A$11,MIN($U50,300))),Reference!$A$6:$A$11,1)))+(MAX(Reference!$A$6,MIN(Reference!$A$11,MIN($U50,300)))-INDEX(Reference!$A$6:$A$11,MIN(5,MATCH(MAX(Reference!$A$6,MIN(Reference!$A$11,MIN($U50,300))),Reference!$A$6:$A$11,1))))*(INDEX(Reference!$B$6:$B$11,MIN(5,MATCH(MAX(Reference!$A$6,MIN(Reference!$A$11,MIN($U50,300))),Reference!$A$6:$A$11,1))+1)-INDEX(Reference!$B$6:$B$11,MIN(5,MATCH(MAX(Reference!$A$6,MIN(Reference!$A$11,MIN($U50,300))),Reference!$A$6:$A$11,1))))/(INDEX(Reference!$A$6:$A$11,MIN(5,MATCH(MAX(Reference!$A$6,MIN(Reference!$A$11,MIN($U50,300))),Reference!$A$6:$A$11,1))+1)-INDEX(Reference!$A$6:$A$11,MIN(5,MATCH(MAX(Reference!$A$6,MIN(Reference!$A$11,MIN($U50,300))),Reference!$A$6:$A$11,1))))),0))/($AL50*($AL50+5)/2)),$AN50))</f>
        <v>1</v>
      </c>
      <c r="AN50" s="32">
        <f>IF($U50="",0,(INDEX(Reference!$B$6:$B$11,MIN(5,MATCH(MAX(Reference!$A$6,MIN(Reference!$A$11,$U50)),Reference!$A$6:$A$11,1)))+(MAX(Reference!$A$6,MIN(Reference!$A$11,$U50))-INDEX(Reference!$A$6:$A$11,MIN(5,MATCH(MAX(Reference!$A$6,MIN(Reference!$A$11,$U50)),Reference!$A$6:$A$11,1))))*(INDEX(Reference!$B$6:$B$11,MIN(5,MATCH(MAX(Reference!$A$6,MIN(Reference!$A$11,$U50)),Reference!$A$6:$A$11,1))+1)-INDEX(Reference!$B$6:$B$11,MIN(5,MATCH(MAX(Reference!$A$6,MIN(Reference!$A$11,$U50)),Reference!$A$6:$A$11,1))))/(INDEX(Reference!$A$6:$A$11,MIN(5,MATCH(MAX(Reference!$A$6,MIN(Reference!$A$11,$U50)),Reference!$A$6:$A$11,1))+1)-INDEX(Reference!$A$6:$A$11,MIN(5,MATCH(MAX(Reference!$A$6,MIN(Reference!$A$11,$U50)),Reference!$A$6:$A$11,1))))))</f>
        <v>1</v>
      </c>
      <c r="AO50" s="37"/>
      <c r="AP50" s="37"/>
      <c r="AQ50" s="37"/>
    </row>
    <row r="51" spans="1:43" x14ac:dyDescent="0.3">
      <c r="A51" s="48">
        <f t="shared" si="5"/>
        <v>46315</v>
      </c>
      <c r="B51" s="32" t="str">
        <f t="shared" si="6"/>
        <v>Tue</v>
      </c>
      <c r="C51" s="32">
        <f t="shared" si="7"/>
        <v>76</v>
      </c>
      <c r="D51" s="32" t="str">
        <f t="shared" si="8"/>
        <v>Re-entry</v>
      </c>
      <c r="E51" s="32" t="str">
        <f t="shared" si="9"/>
        <v>Low</v>
      </c>
      <c r="F51" s="32" t="str">
        <f t="shared" si="10"/>
        <v>Recovery/Easy Catch</v>
      </c>
      <c r="G51" s="47" t="str">
        <f t="shared" si="11"/>
        <v>75 ft × 30 @ 69–73 mph</v>
      </c>
      <c r="H51" s="30">
        <f t="shared" si="12"/>
        <v>20.7</v>
      </c>
      <c r="I51" s="46" t="str">
        <f>IF($A51="","",IF(AND($L51&lt;27,$K$12=0),"Building",IFERROR(((SUM($H$45:$H51)+$K$12*IF($L51&lt;6,SUMIFS('Throw Log'!$Q$5:$Q$300,'Throw Log'!$B$5:$B$300,$D$4,'Throw Log'!$A$5:$A$300,"&gt;="&amp;($D$6+$L51-6),'Throw Log'!$A$5:$A$300,"&lt;="&amp;($D$6-1)),0))/7)/((SUM($H$43:$H51)+$K$12*IF($L51&lt;27,SUMIFS('Throw Log'!$Q$5:$Q$300,'Throw Log'!$B$5:$B$300,$D$4,'Throw Log'!$A$5:$A$300,"&gt;="&amp;($D$6+$L51-27),'Throw Log'!$A$5:$A$300,"&lt;="&amp;($D$6-1)),0))/28),"")))</f>
        <v>Building</v>
      </c>
      <c r="J51" s="37"/>
      <c r="K51" s="37">
        <v>30</v>
      </c>
      <c r="L51" s="32">
        <v>8</v>
      </c>
      <c r="M51" s="32">
        <f t="shared" si="13"/>
        <v>2</v>
      </c>
      <c r="N51" s="32">
        <f t="shared" si="14"/>
        <v>1</v>
      </c>
      <c r="O51" s="32">
        <f t="shared" si="15"/>
        <v>0.10526315789473684</v>
      </c>
      <c r="P51" s="32">
        <f>IF(OR($A51="",N($C51)&lt;=7),"",$G$6*$G$9^($M51-1)*IF(AND(MOD($M51,Reference!$B$99)=0,$M51&lt;=$G$5-2),Reference!$B$100,1))</f>
        <v>90.007422064022563</v>
      </c>
      <c r="Q51" s="32">
        <f>IF($P51="","",IF(SUM($AK$50:$AK$56)=0,0,$P51*INDEX(Reference!$B$108:$B$114,$N51+1)/SUM($AK$50:$AK$56)))</f>
        <v>24.302003957286093</v>
      </c>
      <c r="R51" s="32">
        <f t="shared" si="16"/>
        <v>75</v>
      </c>
      <c r="S51" s="32">
        <f t="shared" si="17"/>
        <v>75</v>
      </c>
      <c r="T51" s="32" t="str">
        <f>IF($A51="","",IF($C51=0,"Bullpen",IF(OR($C51=7,$C51=1,$C51=5),"Recovery/Easy Catch",IF($C51=6,"Compression/Pulldowns",IF(OR($C51=4,$C51=2),"Long Toss",IF($C51=3,"No Throw",IF($N51=2,"No Throw",IF($N51=6,IF($O51&lt;Reference!$B$104,"No Throw","Recovery/Easy Catch"),IF(OR($N51=0,$N51=4),"Recovery/Easy Catch",IF($N51=1,IF($R51&gt;75,"Long Toss","Recovery/Easy Catch"),IF($N51=3,IF($O51&lt;0.5,IF($S51&gt;75,"Long Toss","Recovery/Easy Catch"),"Compression/Pulldowns"),IF($S51&gt;75,"Long Toss","Recovery/Easy Catch"))))))))))))</f>
        <v>Recovery/Easy Catch</v>
      </c>
      <c r="U51" s="32">
        <f t="shared" si="18"/>
        <v>75</v>
      </c>
      <c r="V51" s="32">
        <f t="shared" si="19"/>
        <v>18</v>
      </c>
      <c r="W51" s="32">
        <f t="shared" si="20"/>
        <v>22</v>
      </c>
      <c r="X51" s="32">
        <f t="shared" si="21"/>
        <v>0</v>
      </c>
      <c r="Y51" s="32" t="str">
        <f t="shared" si="22"/>
        <v/>
      </c>
      <c r="Z51" s="32" t="str">
        <f t="shared" si="23"/>
        <v/>
      </c>
      <c r="AA51" s="32" t="str">
        <f t="shared" si="24"/>
        <v/>
      </c>
      <c r="AB51" s="32">
        <f>IF($A51="","",IF($T51="No Throw",0,IF($K51&lt;&gt;"",$K51,IF($AA51&lt;&gt;"",ROUND($AA51*$D$12*IF($C51=0,1,$G$10),0),MIN(IF($T51="Recovery/Easy Catch",Reference!$B$103,IF($T51="Long Toss",Reference!$B$106,Reference!$B$102)),MAX(Reference!$B$101,ROUND(MAX(0,$Q51-$AE51)/$AF51,0)))))))</f>
        <v>30</v>
      </c>
      <c r="AC51" s="32">
        <f t="shared" si="25"/>
        <v>0</v>
      </c>
      <c r="AD51" s="32" t="b">
        <f t="shared" si="26"/>
        <v>0</v>
      </c>
      <c r="AE51" s="32">
        <f>IF($X51=0,0,$X51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51+$Z51)/2,0),Reference!$A$17:$B$20,2,TRUE()))</f>
        <v>0</v>
      </c>
      <c r="AF51" s="32">
        <f>IF(OR($A51="",$U51="",$T51="No Throw"),0,$AM51*VLOOKUP(MAX(($V51+$W51)/2,0),Reference!$A$17:$B$20,2,TRUE()))</f>
        <v>0.69</v>
      </c>
      <c r="AG51" s="32">
        <f>IF($AC51=0,0,$AC51*INDEX(Reference!$B$61:$B$62,MATCH("Bullpen",Reference!$A$61:$A$62,0))*VLOOKUP(MAX($D$5-($D$9+$E$9)/2,0),Reference!$A$17:$B$20,2,TRUE()))</f>
        <v>0</v>
      </c>
      <c r="AH51" s="32" t="e">
        <f t="shared" si="27"/>
        <v>#N/A</v>
      </c>
      <c r="AI51" s="32">
        <f>IF($A51="",NA(),Reference!$A$25)</f>
        <v>0.8</v>
      </c>
      <c r="AJ51" s="32">
        <f t="shared" si="28"/>
        <v>1.3</v>
      </c>
      <c r="AK51" s="56">
        <f>IF(OR($A51="",N($C51)&lt;=7,$T51="No Throw",$J51="x"),0,INDEX(Reference!$B$108:$B$114,$N51+1))</f>
        <v>0.27</v>
      </c>
      <c r="AL51" s="32">
        <f t="shared" si="29"/>
        <v>1</v>
      </c>
      <c r="AM51" s="32">
        <f>IF($U51="",0,IF($AL51&gt;1,((IF(1&lt;=$AL51,($AL51-1+3)*(INDEX(Reference!$B$6:$B$11,MIN(5,MATCH(MAX(Reference!$A$6,MIN(Reference!$A$11,MIN($U51,90))),Reference!$A$6:$A$11,1)))+(MAX(Reference!$A$6,MIN(Reference!$A$11,MIN($U51,90)))-INDEX(Reference!$A$6:$A$11,MIN(5,MATCH(MAX(Reference!$A$6,MIN(Reference!$A$11,MIN($U51,90))),Reference!$A$6:$A$11,1))))*(INDEX(Reference!$B$6:$B$11,MIN(5,MATCH(MAX(Reference!$A$6,MIN(Reference!$A$11,MIN($U51,90))),Reference!$A$6:$A$11,1))+1)-INDEX(Reference!$B$6:$B$11,MIN(5,MATCH(MAX(Reference!$A$6,MIN(Reference!$A$11,MIN($U51,90))),Reference!$A$6:$A$11,1))))/(INDEX(Reference!$A$6:$A$11,MIN(5,MATCH(MAX(Reference!$A$6,MIN(Reference!$A$11,MIN($U51,90))),Reference!$A$6:$A$11,1))+1)-INDEX(Reference!$A$6:$A$11,MIN(5,MATCH(MAX(Reference!$A$6,MIN(Reference!$A$11,MIN($U51,90))),Reference!$A$6:$A$11,1))))),0)+IF(2&lt;=$AL51,($AL51-2+3)*(INDEX(Reference!$B$6:$B$11,MIN(5,MATCH(MAX(Reference!$A$6,MIN(Reference!$A$11,MIN($U51,120))),Reference!$A$6:$A$11,1)))+(MAX(Reference!$A$6,MIN(Reference!$A$11,MIN($U51,120)))-INDEX(Reference!$A$6:$A$11,MIN(5,MATCH(MAX(Reference!$A$6,MIN(Reference!$A$11,MIN($U51,120))),Reference!$A$6:$A$11,1))))*(INDEX(Reference!$B$6:$B$11,MIN(5,MATCH(MAX(Reference!$A$6,MIN(Reference!$A$11,MIN($U51,120))),Reference!$A$6:$A$11,1))+1)-INDEX(Reference!$B$6:$B$11,MIN(5,MATCH(MAX(Reference!$A$6,MIN(Reference!$A$11,MIN($U51,120))),Reference!$A$6:$A$11,1))))/(INDEX(Reference!$A$6:$A$11,MIN(5,MATCH(MAX(Reference!$A$6,MIN(Reference!$A$11,MIN($U51,120))),Reference!$A$6:$A$11,1))+1)-INDEX(Reference!$A$6:$A$11,MIN(5,MATCH(MAX(Reference!$A$6,MIN(Reference!$A$11,MIN($U51,120))),Reference!$A$6:$A$11,1))))),0)+IF(3&lt;=$AL51,($AL51-3+3)*(INDEX(Reference!$B$6:$B$11,MIN(5,MATCH(MAX(Reference!$A$6,MIN(Reference!$A$11,MIN($U51,150))),Reference!$A$6:$A$11,1)))+(MAX(Reference!$A$6,MIN(Reference!$A$11,MIN($U51,150)))-INDEX(Reference!$A$6:$A$11,MIN(5,MATCH(MAX(Reference!$A$6,MIN(Reference!$A$11,MIN($U51,150))),Reference!$A$6:$A$11,1))))*(INDEX(Reference!$B$6:$B$11,MIN(5,MATCH(MAX(Reference!$A$6,MIN(Reference!$A$11,MIN($U51,150))),Reference!$A$6:$A$11,1))+1)-INDEX(Reference!$B$6:$B$11,MIN(5,MATCH(MAX(Reference!$A$6,MIN(Reference!$A$11,MIN($U51,150))),Reference!$A$6:$A$11,1))))/(INDEX(Reference!$A$6:$A$11,MIN(5,MATCH(MAX(Reference!$A$6,MIN(Reference!$A$11,MIN($U51,150))),Reference!$A$6:$A$11,1))+1)-INDEX(Reference!$A$6:$A$11,MIN(5,MATCH(MAX(Reference!$A$6,MIN(Reference!$A$11,MIN($U51,150))),Reference!$A$6:$A$11,1))))),0)+IF(4&lt;=$AL51,($AL51-4+3)*(INDEX(Reference!$B$6:$B$11,MIN(5,MATCH(MAX(Reference!$A$6,MIN(Reference!$A$11,MIN($U51,180))),Reference!$A$6:$A$11,1)))+(MAX(Reference!$A$6,MIN(Reference!$A$11,MIN($U51,180)))-INDEX(Reference!$A$6:$A$11,MIN(5,MATCH(MAX(Reference!$A$6,MIN(Reference!$A$11,MIN($U51,180))),Reference!$A$6:$A$11,1))))*(INDEX(Reference!$B$6:$B$11,MIN(5,MATCH(MAX(Reference!$A$6,MIN(Reference!$A$11,MIN($U51,180))),Reference!$A$6:$A$11,1))+1)-INDEX(Reference!$B$6:$B$11,MIN(5,MATCH(MAX(Reference!$A$6,MIN(Reference!$A$11,MIN($U51,180))),Reference!$A$6:$A$11,1))))/(INDEX(Reference!$A$6:$A$11,MIN(5,MATCH(MAX(Reference!$A$6,MIN(Reference!$A$11,MIN($U51,180))),Reference!$A$6:$A$11,1))+1)-INDEX(Reference!$A$6:$A$11,MIN(5,MATCH(MAX(Reference!$A$6,MIN(Reference!$A$11,MIN($U51,180))),Reference!$A$6:$A$11,1))))),0)+IF(5&lt;=$AL51,($AL51-5+3)*(INDEX(Reference!$B$6:$B$11,MIN(5,MATCH(MAX(Reference!$A$6,MIN(Reference!$A$11,MIN($U51,210))),Reference!$A$6:$A$11,1)))+(MAX(Reference!$A$6,MIN(Reference!$A$11,MIN($U51,210)))-INDEX(Reference!$A$6:$A$11,MIN(5,MATCH(MAX(Reference!$A$6,MIN(Reference!$A$11,MIN($U51,210))),Reference!$A$6:$A$11,1))))*(INDEX(Reference!$B$6:$B$11,MIN(5,MATCH(MAX(Reference!$A$6,MIN(Reference!$A$11,MIN($U51,210))),Reference!$A$6:$A$11,1))+1)-INDEX(Reference!$B$6:$B$11,MIN(5,MATCH(MAX(Reference!$A$6,MIN(Reference!$A$11,MIN($U51,210))),Reference!$A$6:$A$11,1))))/(INDEX(Reference!$A$6:$A$11,MIN(5,MATCH(MAX(Reference!$A$6,MIN(Reference!$A$11,MIN($U51,210))),Reference!$A$6:$A$11,1))+1)-INDEX(Reference!$A$6:$A$11,MIN(5,MATCH(MAX(Reference!$A$6,MIN(Reference!$A$11,MIN($U51,210))),Reference!$A$6:$A$11,1))))),0)+IF(6&lt;=$AL51,($AL51-6+3)*(INDEX(Reference!$B$6:$B$11,MIN(5,MATCH(MAX(Reference!$A$6,MIN(Reference!$A$11,MIN($U51,240))),Reference!$A$6:$A$11,1)))+(MAX(Reference!$A$6,MIN(Reference!$A$11,MIN($U51,240)))-INDEX(Reference!$A$6:$A$11,MIN(5,MATCH(MAX(Reference!$A$6,MIN(Reference!$A$11,MIN($U51,240))),Reference!$A$6:$A$11,1))))*(INDEX(Reference!$B$6:$B$11,MIN(5,MATCH(MAX(Reference!$A$6,MIN(Reference!$A$11,MIN($U51,240))),Reference!$A$6:$A$11,1))+1)-INDEX(Reference!$B$6:$B$11,MIN(5,MATCH(MAX(Reference!$A$6,MIN(Reference!$A$11,MIN($U51,240))),Reference!$A$6:$A$11,1))))/(INDEX(Reference!$A$6:$A$11,MIN(5,MATCH(MAX(Reference!$A$6,MIN(Reference!$A$11,MIN($U51,240))),Reference!$A$6:$A$11,1))+1)-INDEX(Reference!$A$6:$A$11,MIN(5,MATCH(MAX(Reference!$A$6,MIN(Reference!$A$11,MIN($U51,240))),Reference!$A$6:$A$11,1))))),0)+IF(7&lt;=$AL51,($AL51-7+3)*(INDEX(Reference!$B$6:$B$11,MIN(5,MATCH(MAX(Reference!$A$6,MIN(Reference!$A$11,MIN($U51,270))),Reference!$A$6:$A$11,1)))+(MAX(Reference!$A$6,MIN(Reference!$A$11,MIN($U51,270)))-INDEX(Reference!$A$6:$A$11,MIN(5,MATCH(MAX(Reference!$A$6,MIN(Reference!$A$11,MIN($U51,270))),Reference!$A$6:$A$11,1))))*(INDEX(Reference!$B$6:$B$11,MIN(5,MATCH(MAX(Reference!$A$6,MIN(Reference!$A$11,MIN($U51,270))),Reference!$A$6:$A$11,1))+1)-INDEX(Reference!$B$6:$B$11,MIN(5,MATCH(MAX(Reference!$A$6,MIN(Reference!$A$11,MIN($U51,270))),Reference!$A$6:$A$11,1))))/(INDEX(Reference!$A$6:$A$11,MIN(5,MATCH(MAX(Reference!$A$6,MIN(Reference!$A$11,MIN($U51,270))),Reference!$A$6:$A$11,1))+1)-INDEX(Reference!$A$6:$A$11,MIN(5,MATCH(MAX(Reference!$A$6,MIN(Reference!$A$11,MIN($U51,270))),Reference!$A$6:$A$11,1))))),0)+IF(8&lt;=$AL51,($AL51-8+3)*(INDEX(Reference!$B$6:$B$11,MIN(5,MATCH(MAX(Reference!$A$6,MIN(Reference!$A$11,MIN($U51,300))),Reference!$A$6:$A$11,1)))+(MAX(Reference!$A$6,MIN(Reference!$A$11,MIN($U51,300)))-INDEX(Reference!$A$6:$A$11,MIN(5,MATCH(MAX(Reference!$A$6,MIN(Reference!$A$11,MIN($U51,300))),Reference!$A$6:$A$11,1))))*(INDEX(Reference!$B$6:$B$11,MIN(5,MATCH(MAX(Reference!$A$6,MIN(Reference!$A$11,MIN($U51,300))),Reference!$A$6:$A$11,1))+1)-INDEX(Reference!$B$6:$B$11,MIN(5,MATCH(MAX(Reference!$A$6,MIN(Reference!$A$11,MIN($U51,300))),Reference!$A$6:$A$11,1))))/(INDEX(Reference!$A$6:$A$11,MIN(5,MATCH(MAX(Reference!$A$6,MIN(Reference!$A$11,MIN($U51,300))),Reference!$A$6:$A$11,1))+1)-INDEX(Reference!$A$6:$A$11,MIN(5,MATCH(MAX(Reference!$A$6,MIN(Reference!$A$11,MIN($U51,300))),Reference!$A$6:$A$11,1))))),0))/($AL51*($AL51+5)/2)),$AN51))</f>
        <v>1.1499999999999999</v>
      </c>
      <c r="AN51" s="32">
        <f>IF($U51="",0,(INDEX(Reference!$B$6:$B$11,MIN(5,MATCH(MAX(Reference!$A$6,MIN(Reference!$A$11,$U51)),Reference!$A$6:$A$11,1)))+(MAX(Reference!$A$6,MIN(Reference!$A$11,$U51))-INDEX(Reference!$A$6:$A$11,MIN(5,MATCH(MAX(Reference!$A$6,MIN(Reference!$A$11,$U51)),Reference!$A$6:$A$11,1))))*(INDEX(Reference!$B$6:$B$11,MIN(5,MATCH(MAX(Reference!$A$6,MIN(Reference!$A$11,$U51)),Reference!$A$6:$A$11,1))+1)-INDEX(Reference!$B$6:$B$11,MIN(5,MATCH(MAX(Reference!$A$6,MIN(Reference!$A$11,$U51)),Reference!$A$6:$A$11,1))))/(INDEX(Reference!$A$6:$A$11,MIN(5,MATCH(MAX(Reference!$A$6,MIN(Reference!$A$11,$U51)),Reference!$A$6:$A$11,1))+1)-INDEX(Reference!$A$6:$A$11,MIN(5,MATCH(MAX(Reference!$A$6,MIN(Reference!$A$11,$U51)),Reference!$A$6:$A$11,1))))))</f>
        <v>1.1499999999999999</v>
      </c>
      <c r="AO51" s="37"/>
      <c r="AP51" s="37"/>
      <c r="AQ51" s="37"/>
    </row>
    <row r="52" spans="1:43" x14ac:dyDescent="0.3">
      <c r="A52" s="48">
        <f t="shared" si="5"/>
        <v>46316</v>
      </c>
      <c r="B52" s="32" t="str">
        <f t="shared" si="6"/>
        <v>Wed</v>
      </c>
      <c r="C52" s="32">
        <f t="shared" si="7"/>
        <v>75</v>
      </c>
      <c r="D52" s="32" t="str">
        <f t="shared" si="8"/>
        <v>Re-entry</v>
      </c>
      <c r="E52" s="32" t="str">
        <f t="shared" si="9"/>
        <v>No Throw</v>
      </c>
      <c r="F52" s="32" t="str">
        <f t="shared" si="10"/>
        <v>No Throw</v>
      </c>
      <c r="G52" s="47" t="str">
        <f t="shared" si="11"/>
        <v>Off</v>
      </c>
      <c r="H52" s="30">
        <f t="shared" si="12"/>
        <v>0</v>
      </c>
      <c r="I52" s="46" t="str">
        <f>IF($A52="","",IF(AND($L52&lt;27,$K$12=0),"Building",IFERROR(((SUM($H$46:$H52)+$K$12*IF($L52&lt;6,SUMIFS('Throw Log'!$Q$5:$Q$300,'Throw Log'!$B$5:$B$300,$D$4,'Throw Log'!$A$5:$A$300,"&gt;="&amp;($D$6+$L52-6),'Throw Log'!$A$5:$A$300,"&lt;="&amp;($D$6-1)),0))/7)/((SUM($H$43:$H52)+$K$12*IF($L52&lt;27,SUMIFS('Throw Log'!$Q$5:$Q$300,'Throw Log'!$B$5:$B$300,$D$4,'Throw Log'!$A$5:$A$300,"&gt;="&amp;($D$6+$L52-27),'Throw Log'!$A$5:$A$300,"&lt;="&amp;($D$6-1)),0))/28),"")))</f>
        <v>Building</v>
      </c>
      <c r="J52" s="37"/>
      <c r="K52" s="37"/>
      <c r="L52" s="32">
        <v>9</v>
      </c>
      <c r="M52" s="32">
        <f t="shared" si="13"/>
        <v>2</v>
      </c>
      <c r="N52" s="32">
        <f t="shared" si="14"/>
        <v>2</v>
      </c>
      <c r="O52" s="32">
        <f t="shared" si="15"/>
        <v>0.11842105263157894</v>
      </c>
      <c r="P52" s="32">
        <f>IF(OR($A52="",N($C52)&lt;=7),"",$G$6*$G$9^($M52-1)*IF(AND(MOD($M52,Reference!$B$99)=0,$M52&lt;=$G$5-2),Reference!$B$100,1))</f>
        <v>90.007422064022563</v>
      </c>
      <c r="Q52" s="32">
        <f>IF($P52="","",IF(SUM($AK$50:$AK$56)=0,0,$P52*INDEX(Reference!$B$108:$B$114,$N52+1)/SUM($AK$50:$AK$56)))</f>
        <v>0</v>
      </c>
      <c r="R52" s="32">
        <f t="shared" si="16"/>
        <v>75</v>
      </c>
      <c r="S52" s="32">
        <f t="shared" si="17"/>
        <v>75</v>
      </c>
      <c r="T52" s="32" t="str">
        <f>IF($A52="","",IF($C52=0,"Bullpen",IF(OR($C52=7,$C52=1,$C52=5),"Recovery/Easy Catch",IF($C52=6,"Compression/Pulldowns",IF(OR($C52=4,$C52=2),"Long Toss",IF($C52=3,"No Throw",IF($N52=2,"No Throw",IF($N52=6,IF($O52&lt;Reference!$B$104,"No Throw","Recovery/Easy Catch"),IF(OR($N52=0,$N52=4),"Recovery/Easy Catch",IF($N52=1,IF($R52&gt;75,"Long Toss","Recovery/Easy Catch"),IF($N52=3,IF($O52&lt;0.5,IF($S52&gt;75,"Long Toss","Recovery/Easy Catch"),"Compression/Pulldowns"),IF($S52&gt;75,"Long Toss","Recovery/Easy Catch"))))))))))))</f>
        <v>No Throw</v>
      </c>
      <c r="U52" s="32" t="str">
        <f t="shared" si="18"/>
        <v/>
      </c>
      <c r="V52" s="32" t="str">
        <f t="shared" si="19"/>
        <v/>
      </c>
      <c r="W52" s="32" t="str">
        <f t="shared" si="20"/>
        <v/>
      </c>
      <c r="X52" s="32">
        <f t="shared" si="21"/>
        <v>0</v>
      </c>
      <c r="Y52" s="32" t="str">
        <f t="shared" si="22"/>
        <v/>
      </c>
      <c r="Z52" s="32" t="str">
        <f t="shared" si="23"/>
        <v/>
      </c>
      <c r="AA52" s="32" t="str">
        <f t="shared" si="24"/>
        <v/>
      </c>
      <c r="AB52" s="32">
        <f>IF($A52="","",IF($T52="No Throw",0,IF($K52&lt;&gt;"",$K52,IF($AA52&lt;&gt;"",ROUND($AA52*$D$12*IF($C52=0,1,$G$10),0),MIN(IF($T52="Recovery/Easy Catch",Reference!$B$103,IF($T52="Long Toss",Reference!$B$106,Reference!$B$102)),MAX(Reference!$B$101,ROUND(MAX(0,$Q52-$AE52)/$AF52,0)))))))</f>
        <v>0</v>
      </c>
      <c r="AC52" s="32">
        <f t="shared" si="25"/>
        <v>0</v>
      </c>
      <c r="AD52" s="32" t="b">
        <f t="shared" si="26"/>
        <v>1</v>
      </c>
      <c r="AE52" s="32">
        <f>IF($X52=0,0,$X52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52+$Z52)/2,0),Reference!$A$17:$B$20,2,TRUE()))</f>
        <v>0</v>
      </c>
      <c r="AF52" s="32">
        <f>IF(OR($A52="",$U52="",$T52="No Throw"),0,$AM52*VLOOKUP(MAX(($V52+$W52)/2,0),Reference!$A$17:$B$20,2,TRUE()))</f>
        <v>0</v>
      </c>
      <c r="AG52" s="32">
        <f>IF($AC52=0,0,$AC52*INDEX(Reference!$B$61:$B$62,MATCH("Bullpen",Reference!$A$61:$A$62,0))*VLOOKUP(MAX($D$5-($D$9+$E$9)/2,0),Reference!$A$17:$B$20,2,TRUE()))</f>
        <v>0</v>
      </c>
      <c r="AH52" s="32" t="e">
        <f t="shared" si="27"/>
        <v>#N/A</v>
      </c>
      <c r="AI52" s="32">
        <f>IF($A52="",NA(),Reference!$A$25)</f>
        <v>0.8</v>
      </c>
      <c r="AJ52" s="32">
        <f t="shared" si="28"/>
        <v>1.3</v>
      </c>
      <c r="AK52" s="32">
        <f>IF(OR($A52="",N($C52)&lt;=7,$T52="No Throw",$J52="x"),0,INDEX(Reference!$B$108:$B$114,$N52+1))</f>
        <v>0</v>
      </c>
      <c r="AL52" s="32">
        <f t="shared" si="29"/>
        <v>1</v>
      </c>
      <c r="AM52" s="32">
        <f>IF($U52="",0,IF($AL52&gt;1,((IF(1&lt;=$AL52,($AL52-1+3)*(INDEX(Reference!$B$6:$B$11,MIN(5,MATCH(MAX(Reference!$A$6,MIN(Reference!$A$11,MIN($U52,90))),Reference!$A$6:$A$11,1)))+(MAX(Reference!$A$6,MIN(Reference!$A$11,MIN($U52,90)))-INDEX(Reference!$A$6:$A$11,MIN(5,MATCH(MAX(Reference!$A$6,MIN(Reference!$A$11,MIN($U52,90))),Reference!$A$6:$A$11,1))))*(INDEX(Reference!$B$6:$B$11,MIN(5,MATCH(MAX(Reference!$A$6,MIN(Reference!$A$11,MIN($U52,90))),Reference!$A$6:$A$11,1))+1)-INDEX(Reference!$B$6:$B$11,MIN(5,MATCH(MAX(Reference!$A$6,MIN(Reference!$A$11,MIN($U52,90))),Reference!$A$6:$A$11,1))))/(INDEX(Reference!$A$6:$A$11,MIN(5,MATCH(MAX(Reference!$A$6,MIN(Reference!$A$11,MIN($U52,90))),Reference!$A$6:$A$11,1))+1)-INDEX(Reference!$A$6:$A$11,MIN(5,MATCH(MAX(Reference!$A$6,MIN(Reference!$A$11,MIN($U52,90))),Reference!$A$6:$A$11,1))))),0)+IF(2&lt;=$AL52,($AL52-2+3)*(INDEX(Reference!$B$6:$B$11,MIN(5,MATCH(MAX(Reference!$A$6,MIN(Reference!$A$11,MIN($U52,120))),Reference!$A$6:$A$11,1)))+(MAX(Reference!$A$6,MIN(Reference!$A$11,MIN($U52,120)))-INDEX(Reference!$A$6:$A$11,MIN(5,MATCH(MAX(Reference!$A$6,MIN(Reference!$A$11,MIN($U52,120))),Reference!$A$6:$A$11,1))))*(INDEX(Reference!$B$6:$B$11,MIN(5,MATCH(MAX(Reference!$A$6,MIN(Reference!$A$11,MIN($U52,120))),Reference!$A$6:$A$11,1))+1)-INDEX(Reference!$B$6:$B$11,MIN(5,MATCH(MAX(Reference!$A$6,MIN(Reference!$A$11,MIN($U52,120))),Reference!$A$6:$A$11,1))))/(INDEX(Reference!$A$6:$A$11,MIN(5,MATCH(MAX(Reference!$A$6,MIN(Reference!$A$11,MIN($U52,120))),Reference!$A$6:$A$11,1))+1)-INDEX(Reference!$A$6:$A$11,MIN(5,MATCH(MAX(Reference!$A$6,MIN(Reference!$A$11,MIN($U52,120))),Reference!$A$6:$A$11,1))))),0)+IF(3&lt;=$AL52,($AL52-3+3)*(INDEX(Reference!$B$6:$B$11,MIN(5,MATCH(MAX(Reference!$A$6,MIN(Reference!$A$11,MIN($U52,150))),Reference!$A$6:$A$11,1)))+(MAX(Reference!$A$6,MIN(Reference!$A$11,MIN($U52,150)))-INDEX(Reference!$A$6:$A$11,MIN(5,MATCH(MAX(Reference!$A$6,MIN(Reference!$A$11,MIN($U52,150))),Reference!$A$6:$A$11,1))))*(INDEX(Reference!$B$6:$B$11,MIN(5,MATCH(MAX(Reference!$A$6,MIN(Reference!$A$11,MIN($U52,150))),Reference!$A$6:$A$11,1))+1)-INDEX(Reference!$B$6:$B$11,MIN(5,MATCH(MAX(Reference!$A$6,MIN(Reference!$A$11,MIN($U52,150))),Reference!$A$6:$A$11,1))))/(INDEX(Reference!$A$6:$A$11,MIN(5,MATCH(MAX(Reference!$A$6,MIN(Reference!$A$11,MIN($U52,150))),Reference!$A$6:$A$11,1))+1)-INDEX(Reference!$A$6:$A$11,MIN(5,MATCH(MAX(Reference!$A$6,MIN(Reference!$A$11,MIN($U52,150))),Reference!$A$6:$A$11,1))))),0)+IF(4&lt;=$AL52,($AL52-4+3)*(INDEX(Reference!$B$6:$B$11,MIN(5,MATCH(MAX(Reference!$A$6,MIN(Reference!$A$11,MIN($U52,180))),Reference!$A$6:$A$11,1)))+(MAX(Reference!$A$6,MIN(Reference!$A$11,MIN($U52,180)))-INDEX(Reference!$A$6:$A$11,MIN(5,MATCH(MAX(Reference!$A$6,MIN(Reference!$A$11,MIN($U52,180))),Reference!$A$6:$A$11,1))))*(INDEX(Reference!$B$6:$B$11,MIN(5,MATCH(MAX(Reference!$A$6,MIN(Reference!$A$11,MIN($U52,180))),Reference!$A$6:$A$11,1))+1)-INDEX(Reference!$B$6:$B$11,MIN(5,MATCH(MAX(Reference!$A$6,MIN(Reference!$A$11,MIN($U52,180))),Reference!$A$6:$A$11,1))))/(INDEX(Reference!$A$6:$A$11,MIN(5,MATCH(MAX(Reference!$A$6,MIN(Reference!$A$11,MIN($U52,180))),Reference!$A$6:$A$11,1))+1)-INDEX(Reference!$A$6:$A$11,MIN(5,MATCH(MAX(Reference!$A$6,MIN(Reference!$A$11,MIN($U52,180))),Reference!$A$6:$A$11,1))))),0)+IF(5&lt;=$AL52,($AL52-5+3)*(INDEX(Reference!$B$6:$B$11,MIN(5,MATCH(MAX(Reference!$A$6,MIN(Reference!$A$11,MIN($U52,210))),Reference!$A$6:$A$11,1)))+(MAX(Reference!$A$6,MIN(Reference!$A$11,MIN($U52,210)))-INDEX(Reference!$A$6:$A$11,MIN(5,MATCH(MAX(Reference!$A$6,MIN(Reference!$A$11,MIN($U52,210))),Reference!$A$6:$A$11,1))))*(INDEX(Reference!$B$6:$B$11,MIN(5,MATCH(MAX(Reference!$A$6,MIN(Reference!$A$11,MIN($U52,210))),Reference!$A$6:$A$11,1))+1)-INDEX(Reference!$B$6:$B$11,MIN(5,MATCH(MAX(Reference!$A$6,MIN(Reference!$A$11,MIN($U52,210))),Reference!$A$6:$A$11,1))))/(INDEX(Reference!$A$6:$A$11,MIN(5,MATCH(MAX(Reference!$A$6,MIN(Reference!$A$11,MIN($U52,210))),Reference!$A$6:$A$11,1))+1)-INDEX(Reference!$A$6:$A$11,MIN(5,MATCH(MAX(Reference!$A$6,MIN(Reference!$A$11,MIN($U52,210))),Reference!$A$6:$A$11,1))))),0)+IF(6&lt;=$AL52,($AL52-6+3)*(INDEX(Reference!$B$6:$B$11,MIN(5,MATCH(MAX(Reference!$A$6,MIN(Reference!$A$11,MIN($U52,240))),Reference!$A$6:$A$11,1)))+(MAX(Reference!$A$6,MIN(Reference!$A$11,MIN($U52,240)))-INDEX(Reference!$A$6:$A$11,MIN(5,MATCH(MAX(Reference!$A$6,MIN(Reference!$A$11,MIN($U52,240))),Reference!$A$6:$A$11,1))))*(INDEX(Reference!$B$6:$B$11,MIN(5,MATCH(MAX(Reference!$A$6,MIN(Reference!$A$11,MIN($U52,240))),Reference!$A$6:$A$11,1))+1)-INDEX(Reference!$B$6:$B$11,MIN(5,MATCH(MAX(Reference!$A$6,MIN(Reference!$A$11,MIN($U52,240))),Reference!$A$6:$A$11,1))))/(INDEX(Reference!$A$6:$A$11,MIN(5,MATCH(MAX(Reference!$A$6,MIN(Reference!$A$11,MIN($U52,240))),Reference!$A$6:$A$11,1))+1)-INDEX(Reference!$A$6:$A$11,MIN(5,MATCH(MAX(Reference!$A$6,MIN(Reference!$A$11,MIN($U52,240))),Reference!$A$6:$A$11,1))))),0)+IF(7&lt;=$AL52,($AL52-7+3)*(INDEX(Reference!$B$6:$B$11,MIN(5,MATCH(MAX(Reference!$A$6,MIN(Reference!$A$11,MIN($U52,270))),Reference!$A$6:$A$11,1)))+(MAX(Reference!$A$6,MIN(Reference!$A$11,MIN($U52,270)))-INDEX(Reference!$A$6:$A$11,MIN(5,MATCH(MAX(Reference!$A$6,MIN(Reference!$A$11,MIN($U52,270))),Reference!$A$6:$A$11,1))))*(INDEX(Reference!$B$6:$B$11,MIN(5,MATCH(MAX(Reference!$A$6,MIN(Reference!$A$11,MIN($U52,270))),Reference!$A$6:$A$11,1))+1)-INDEX(Reference!$B$6:$B$11,MIN(5,MATCH(MAX(Reference!$A$6,MIN(Reference!$A$11,MIN($U52,270))),Reference!$A$6:$A$11,1))))/(INDEX(Reference!$A$6:$A$11,MIN(5,MATCH(MAX(Reference!$A$6,MIN(Reference!$A$11,MIN($U52,270))),Reference!$A$6:$A$11,1))+1)-INDEX(Reference!$A$6:$A$11,MIN(5,MATCH(MAX(Reference!$A$6,MIN(Reference!$A$11,MIN($U52,270))),Reference!$A$6:$A$11,1))))),0)+IF(8&lt;=$AL52,($AL52-8+3)*(INDEX(Reference!$B$6:$B$11,MIN(5,MATCH(MAX(Reference!$A$6,MIN(Reference!$A$11,MIN($U52,300))),Reference!$A$6:$A$11,1)))+(MAX(Reference!$A$6,MIN(Reference!$A$11,MIN($U52,300)))-INDEX(Reference!$A$6:$A$11,MIN(5,MATCH(MAX(Reference!$A$6,MIN(Reference!$A$11,MIN($U52,300))),Reference!$A$6:$A$11,1))))*(INDEX(Reference!$B$6:$B$11,MIN(5,MATCH(MAX(Reference!$A$6,MIN(Reference!$A$11,MIN($U52,300))),Reference!$A$6:$A$11,1))+1)-INDEX(Reference!$B$6:$B$11,MIN(5,MATCH(MAX(Reference!$A$6,MIN(Reference!$A$11,MIN($U52,300))),Reference!$A$6:$A$11,1))))/(INDEX(Reference!$A$6:$A$11,MIN(5,MATCH(MAX(Reference!$A$6,MIN(Reference!$A$11,MIN($U52,300))),Reference!$A$6:$A$11,1))+1)-INDEX(Reference!$A$6:$A$11,MIN(5,MATCH(MAX(Reference!$A$6,MIN(Reference!$A$11,MIN($U52,300))),Reference!$A$6:$A$11,1))))),0))/($AL52*($AL52+5)/2)),$AN52))</f>
        <v>0</v>
      </c>
      <c r="AN52" s="32">
        <f>IF($U52="",0,(INDEX(Reference!$B$6:$B$11,MIN(5,MATCH(MAX(Reference!$A$6,MIN(Reference!$A$11,$U52)),Reference!$A$6:$A$11,1)))+(MAX(Reference!$A$6,MIN(Reference!$A$11,$U52))-INDEX(Reference!$A$6:$A$11,MIN(5,MATCH(MAX(Reference!$A$6,MIN(Reference!$A$11,$U52)),Reference!$A$6:$A$11,1))))*(INDEX(Reference!$B$6:$B$11,MIN(5,MATCH(MAX(Reference!$A$6,MIN(Reference!$A$11,$U52)),Reference!$A$6:$A$11,1))+1)-INDEX(Reference!$B$6:$B$11,MIN(5,MATCH(MAX(Reference!$A$6,MIN(Reference!$A$11,$U52)),Reference!$A$6:$A$11,1))))/(INDEX(Reference!$A$6:$A$11,MIN(5,MATCH(MAX(Reference!$A$6,MIN(Reference!$A$11,$U52)),Reference!$A$6:$A$11,1))+1)-INDEX(Reference!$A$6:$A$11,MIN(5,MATCH(MAX(Reference!$A$6,MIN(Reference!$A$11,$U52)),Reference!$A$6:$A$11,1))))))</f>
        <v>0</v>
      </c>
      <c r="AO52" s="37"/>
      <c r="AP52" s="37"/>
      <c r="AQ52" s="37"/>
    </row>
    <row r="53" spans="1:43" x14ac:dyDescent="0.3">
      <c r="A53" s="48">
        <f t="shared" si="5"/>
        <v>46317</v>
      </c>
      <c r="B53" s="32" t="str">
        <f t="shared" si="6"/>
        <v>Thu</v>
      </c>
      <c r="C53" s="32">
        <f t="shared" si="7"/>
        <v>74</v>
      </c>
      <c r="D53" s="32" t="str">
        <f t="shared" si="8"/>
        <v>Re-entry</v>
      </c>
      <c r="E53" s="32" t="str">
        <f t="shared" si="9"/>
        <v>Low</v>
      </c>
      <c r="F53" s="32" t="str">
        <f t="shared" si="10"/>
        <v>Recovery/Easy Catch</v>
      </c>
      <c r="G53" s="47" t="str">
        <f t="shared" si="11"/>
        <v>75 ft × 25 @ 69–73 mph</v>
      </c>
      <c r="H53" s="30">
        <f t="shared" si="12"/>
        <v>17.25</v>
      </c>
      <c r="I53" s="46" t="str">
        <f>IF($A53="","",IF(AND($L53&lt;27,$K$12=0),"Building",IFERROR(((SUM($H$47:$H53)+$K$12*IF($L53&lt;6,SUMIFS('Throw Log'!$Q$5:$Q$300,'Throw Log'!$B$5:$B$300,$D$4,'Throw Log'!$A$5:$A$300,"&gt;="&amp;($D$6+$L53-6),'Throw Log'!$A$5:$A$300,"&lt;="&amp;($D$6-1)),0))/7)/((SUM($H$43:$H53)+$K$12*IF($L53&lt;27,SUMIFS('Throw Log'!$Q$5:$Q$300,'Throw Log'!$B$5:$B$300,$D$4,'Throw Log'!$A$5:$A$300,"&gt;="&amp;($D$6+$L53-27),'Throw Log'!$A$5:$A$300,"&lt;="&amp;($D$6-1)),0))/28),"")))</f>
        <v>Building</v>
      </c>
      <c r="J53" s="37"/>
      <c r="K53" s="37">
        <v>25</v>
      </c>
      <c r="L53" s="32">
        <v>10</v>
      </c>
      <c r="M53" s="32">
        <f t="shared" si="13"/>
        <v>2</v>
      </c>
      <c r="N53" s="32">
        <f t="shared" si="14"/>
        <v>3</v>
      </c>
      <c r="O53" s="32">
        <f t="shared" si="15"/>
        <v>0.13157894736842105</v>
      </c>
      <c r="P53" s="32">
        <f>IF(OR($A53="",N($C53)&lt;=7),"",$G$6*$G$9^($M53-1)*IF(AND(MOD($M53,Reference!$B$99)=0,$M53&lt;=$G$5-2),Reference!$B$100,1))</f>
        <v>90.007422064022563</v>
      </c>
      <c r="Q53" s="32">
        <f>IF($P53="","",IF(SUM($AK$50:$AK$56)=0,0,$P53*INDEX(Reference!$B$108:$B$114,$N53+1)/SUM($AK$50:$AK$56)))</f>
        <v>21.601781295365413</v>
      </c>
      <c r="R53" s="32">
        <f t="shared" si="16"/>
        <v>75</v>
      </c>
      <c r="S53" s="32">
        <f t="shared" si="17"/>
        <v>75</v>
      </c>
      <c r="T53" s="32" t="str">
        <f>IF($A53="","",IF($C53=0,"Bullpen",IF(OR($C53=7,$C53=1,$C53=5),"Recovery/Easy Catch",IF($C53=6,"Compression/Pulldowns",IF(OR($C53=4,$C53=2),"Long Toss",IF($C53=3,"No Throw",IF($N53=2,"No Throw",IF($N53=6,IF($O53&lt;Reference!$B$104,"No Throw","Recovery/Easy Catch"),IF(OR($N53=0,$N53=4),"Recovery/Easy Catch",IF($N53=1,IF($R53&gt;75,"Long Toss","Recovery/Easy Catch"),IF($N53=3,IF($O53&lt;0.5,IF($S53&gt;75,"Long Toss","Recovery/Easy Catch"),"Compression/Pulldowns"),IF($S53&gt;75,"Long Toss","Recovery/Easy Catch"))))))))))))</f>
        <v>Recovery/Easy Catch</v>
      </c>
      <c r="U53" s="32">
        <f t="shared" si="18"/>
        <v>75</v>
      </c>
      <c r="V53" s="32">
        <f t="shared" si="19"/>
        <v>18</v>
      </c>
      <c r="W53" s="32">
        <f t="shared" si="20"/>
        <v>22</v>
      </c>
      <c r="X53" s="32">
        <f t="shared" si="21"/>
        <v>0</v>
      </c>
      <c r="Y53" s="32" t="str">
        <f t="shared" si="22"/>
        <v/>
      </c>
      <c r="Z53" s="32" t="str">
        <f t="shared" si="23"/>
        <v/>
      </c>
      <c r="AA53" s="32" t="str">
        <f t="shared" si="24"/>
        <v/>
      </c>
      <c r="AB53" s="32">
        <f>IF($A53="","",IF($T53="No Throw",0,IF($K53&lt;&gt;"",$K53,IF($AA53&lt;&gt;"",ROUND($AA53*$D$12*IF($C53=0,1,$G$10),0),MIN(IF($T53="Recovery/Easy Catch",Reference!$B$103,IF($T53="Long Toss",Reference!$B$106,Reference!$B$102)),MAX(Reference!$B$101,ROUND(MAX(0,$Q53-$AE53)/$AF53,0)))))))</f>
        <v>25</v>
      </c>
      <c r="AC53" s="32">
        <f t="shared" si="25"/>
        <v>0</v>
      </c>
      <c r="AD53" s="32" t="b">
        <f t="shared" si="26"/>
        <v>0</v>
      </c>
      <c r="AE53" s="32">
        <f>IF($X53=0,0,$X53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53+$Z53)/2,0),Reference!$A$17:$B$20,2,TRUE()))</f>
        <v>0</v>
      </c>
      <c r="AF53" s="32">
        <f>IF(OR($A53="",$U53="",$T53="No Throw"),0,$AM53*VLOOKUP(MAX(($V53+$W53)/2,0),Reference!$A$17:$B$20,2,TRUE()))</f>
        <v>0.69</v>
      </c>
      <c r="AG53" s="32">
        <f>IF($AC53=0,0,$AC53*INDEX(Reference!$B$61:$B$62,MATCH("Bullpen",Reference!$A$61:$A$62,0))*VLOOKUP(MAX($D$5-($D$9+$E$9)/2,0),Reference!$A$17:$B$20,2,TRUE()))</f>
        <v>0</v>
      </c>
      <c r="AH53" s="32" t="e">
        <f t="shared" si="27"/>
        <v>#N/A</v>
      </c>
      <c r="AI53" s="32">
        <f>IF($A53="",NA(),Reference!$A$25)</f>
        <v>0.8</v>
      </c>
      <c r="AJ53" s="32">
        <f t="shared" si="28"/>
        <v>1.3</v>
      </c>
      <c r="AK53" s="56">
        <f>IF(OR($A53="",N($C53)&lt;=7,$T53="No Throw",$J53="x"),0,INDEX(Reference!$B$108:$B$114,$N53+1))</f>
        <v>0.24</v>
      </c>
      <c r="AL53" s="32">
        <f t="shared" si="29"/>
        <v>1</v>
      </c>
      <c r="AM53" s="32">
        <f>IF($U53="",0,IF($AL53&gt;1,((IF(1&lt;=$AL53,($AL53-1+3)*(INDEX(Reference!$B$6:$B$11,MIN(5,MATCH(MAX(Reference!$A$6,MIN(Reference!$A$11,MIN($U53,90))),Reference!$A$6:$A$11,1)))+(MAX(Reference!$A$6,MIN(Reference!$A$11,MIN($U53,90)))-INDEX(Reference!$A$6:$A$11,MIN(5,MATCH(MAX(Reference!$A$6,MIN(Reference!$A$11,MIN($U53,90))),Reference!$A$6:$A$11,1))))*(INDEX(Reference!$B$6:$B$11,MIN(5,MATCH(MAX(Reference!$A$6,MIN(Reference!$A$11,MIN($U53,90))),Reference!$A$6:$A$11,1))+1)-INDEX(Reference!$B$6:$B$11,MIN(5,MATCH(MAX(Reference!$A$6,MIN(Reference!$A$11,MIN($U53,90))),Reference!$A$6:$A$11,1))))/(INDEX(Reference!$A$6:$A$11,MIN(5,MATCH(MAX(Reference!$A$6,MIN(Reference!$A$11,MIN($U53,90))),Reference!$A$6:$A$11,1))+1)-INDEX(Reference!$A$6:$A$11,MIN(5,MATCH(MAX(Reference!$A$6,MIN(Reference!$A$11,MIN($U53,90))),Reference!$A$6:$A$11,1))))),0)+IF(2&lt;=$AL53,($AL53-2+3)*(INDEX(Reference!$B$6:$B$11,MIN(5,MATCH(MAX(Reference!$A$6,MIN(Reference!$A$11,MIN($U53,120))),Reference!$A$6:$A$11,1)))+(MAX(Reference!$A$6,MIN(Reference!$A$11,MIN($U53,120)))-INDEX(Reference!$A$6:$A$11,MIN(5,MATCH(MAX(Reference!$A$6,MIN(Reference!$A$11,MIN($U53,120))),Reference!$A$6:$A$11,1))))*(INDEX(Reference!$B$6:$B$11,MIN(5,MATCH(MAX(Reference!$A$6,MIN(Reference!$A$11,MIN($U53,120))),Reference!$A$6:$A$11,1))+1)-INDEX(Reference!$B$6:$B$11,MIN(5,MATCH(MAX(Reference!$A$6,MIN(Reference!$A$11,MIN($U53,120))),Reference!$A$6:$A$11,1))))/(INDEX(Reference!$A$6:$A$11,MIN(5,MATCH(MAX(Reference!$A$6,MIN(Reference!$A$11,MIN($U53,120))),Reference!$A$6:$A$11,1))+1)-INDEX(Reference!$A$6:$A$11,MIN(5,MATCH(MAX(Reference!$A$6,MIN(Reference!$A$11,MIN($U53,120))),Reference!$A$6:$A$11,1))))),0)+IF(3&lt;=$AL53,($AL53-3+3)*(INDEX(Reference!$B$6:$B$11,MIN(5,MATCH(MAX(Reference!$A$6,MIN(Reference!$A$11,MIN($U53,150))),Reference!$A$6:$A$11,1)))+(MAX(Reference!$A$6,MIN(Reference!$A$11,MIN($U53,150)))-INDEX(Reference!$A$6:$A$11,MIN(5,MATCH(MAX(Reference!$A$6,MIN(Reference!$A$11,MIN($U53,150))),Reference!$A$6:$A$11,1))))*(INDEX(Reference!$B$6:$B$11,MIN(5,MATCH(MAX(Reference!$A$6,MIN(Reference!$A$11,MIN($U53,150))),Reference!$A$6:$A$11,1))+1)-INDEX(Reference!$B$6:$B$11,MIN(5,MATCH(MAX(Reference!$A$6,MIN(Reference!$A$11,MIN($U53,150))),Reference!$A$6:$A$11,1))))/(INDEX(Reference!$A$6:$A$11,MIN(5,MATCH(MAX(Reference!$A$6,MIN(Reference!$A$11,MIN($U53,150))),Reference!$A$6:$A$11,1))+1)-INDEX(Reference!$A$6:$A$11,MIN(5,MATCH(MAX(Reference!$A$6,MIN(Reference!$A$11,MIN($U53,150))),Reference!$A$6:$A$11,1))))),0)+IF(4&lt;=$AL53,($AL53-4+3)*(INDEX(Reference!$B$6:$B$11,MIN(5,MATCH(MAX(Reference!$A$6,MIN(Reference!$A$11,MIN($U53,180))),Reference!$A$6:$A$11,1)))+(MAX(Reference!$A$6,MIN(Reference!$A$11,MIN($U53,180)))-INDEX(Reference!$A$6:$A$11,MIN(5,MATCH(MAX(Reference!$A$6,MIN(Reference!$A$11,MIN($U53,180))),Reference!$A$6:$A$11,1))))*(INDEX(Reference!$B$6:$B$11,MIN(5,MATCH(MAX(Reference!$A$6,MIN(Reference!$A$11,MIN($U53,180))),Reference!$A$6:$A$11,1))+1)-INDEX(Reference!$B$6:$B$11,MIN(5,MATCH(MAX(Reference!$A$6,MIN(Reference!$A$11,MIN($U53,180))),Reference!$A$6:$A$11,1))))/(INDEX(Reference!$A$6:$A$11,MIN(5,MATCH(MAX(Reference!$A$6,MIN(Reference!$A$11,MIN($U53,180))),Reference!$A$6:$A$11,1))+1)-INDEX(Reference!$A$6:$A$11,MIN(5,MATCH(MAX(Reference!$A$6,MIN(Reference!$A$11,MIN($U53,180))),Reference!$A$6:$A$11,1))))),0)+IF(5&lt;=$AL53,($AL53-5+3)*(INDEX(Reference!$B$6:$B$11,MIN(5,MATCH(MAX(Reference!$A$6,MIN(Reference!$A$11,MIN($U53,210))),Reference!$A$6:$A$11,1)))+(MAX(Reference!$A$6,MIN(Reference!$A$11,MIN($U53,210)))-INDEX(Reference!$A$6:$A$11,MIN(5,MATCH(MAX(Reference!$A$6,MIN(Reference!$A$11,MIN($U53,210))),Reference!$A$6:$A$11,1))))*(INDEX(Reference!$B$6:$B$11,MIN(5,MATCH(MAX(Reference!$A$6,MIN(Reference!$A$11,MIN($U53,210))),Reference!$A$6:$A$11,1))+1)-INDEX(Reference!$B$6:$B$11,MIN(5,MATCH(MAX(Reference!$A$6,MIN(Reference!$A$11,MIN($U53,210))),Reference!$A$6:$A$11,1))))/(INDEX(Reference!$A$6:$A$11,MIN(5,MATCH(MAX(Reference!$A$6,MIN(Reference!$A$11,MIN($U53,210))),Reference!$A$6:$A$11,1))+1)-INDEX(Reference!$A$6:$A$11,MIN(5,MATCH(MAX(Reference!$A$6,MIN(Reference!$A$11,MIN($U53,210))),Reference!$A$6:$A$11,1))))),0)+IF(6&lt;=$AL53,($AL53-6+3)*(INDEX(Reference!$B$6:$B$11,MIN(5,MATCH(MAX(Reference!$A$6,MIN(Reference!$A$11,MIN($U53,240))),Reference!$A$6:$A$11,1)))+(MAX(Reference!$A$6,MIN(Reference!$A$11,MIN($U53,240)))-INDEX(Reference!$A$6:$A$11,MIN(5,MATCH(MAX(Reference!$A$6,MIN(Reference!$A$11,MIN($U53,240))),Reference!$A$6:$A$11,1))))*(INDEX(Reference!$B$6:$B$11,MIN(5,MATCH(MAX(Reference!$A$6,MIN(Reference!$A$11,MIN($U53,240))),Reference!$A$6:$A$11,1))+1)-INDEX(Reference!$B$6:$B$11,MIN(5,MATCH(MAX(Reference!$A$6,MIN(Reference!$A$11,MIN($U53,240))),Reference!$A$6:$A$11,1))))/(INDEX(Reference!$A$6:$A$11,MIN(5,MATCH(MAX(Reference!$A$6,MIN(Reference!$A$11,MIN($U53,240))),Reference!$A$6:$A$11,1))+1)-INDEX(Reference!$A$6:$A$11,MIN(5,MATCH(MAX(Reference!$A$6,MIN(Reference!$A$11,MIN($U53,240))),Reference!$A$6:$A$11,1))))),0)+IF(7&lt;=$AL53,($AL53-7+3)*(INDEX(Reference!$B$6:$B$11,MIN(5,MATCH(MAX(Reference!$A$6,MIN(Reference!$A$11,MIN($U53,270))),Reference!$A$6:$A$11,1)))+(MAX(Reference!$A$6,MIN(Reference!$A$11,MIN($U53,270)))-INDEX(Reference!$A$6:$A$11,MIN(5,MATCH(MAX(Reference!$A$6,MIN(Reference!$A$11,MIN($U53,270))),Reference!$A$6:$A$11,1))))*(INDEX(Reference!$B$6:$B$11,MIN(5,MATCH(MAX(Reference!$A$6,MIN(Reference!$A$11,MIN($U53,270))),Reference!$A$6:$A$11,1))+1)-INDEX(Reference!$B$6:$B$11,MIN(5,MATCH(MAX(Reference!$A$6,MIN(Reference!$A$11,MIN($U53,270))),Reference!$A$6:$A$11,1))))/(INDEX(Reference!$A$6:$A$11,MIN(5,MATCH(MAX(Reference!$A$6,MIN(Reference!$A$11,MIN($U53,270))),Reference!$A$6:$A$11,1))+1)-INDEX(Reference!$A$6:$A$11,MIN(5,MATCH(MAX(Reference!$A$6,MIN(Reference!$A$11,MIN($U53,270))),Reference!$A$6:$A$11,1))))),0)+IF(8&lt;=$AL53,($AL53-8+3)*(INDEX(Reference!$B$6:$B$11,MIN(5,MATCH(MAX(Reference!$A$6,MIN(Reference!$A$11,MIN($U53,300))),Reference!$A$6:$A$11,1)))+(MAX(Reference!$A$6,MIN(Reference!$A$11,MIN($U53,300)))-INDEX(Reference!$A$6:$A$11,MIN(5,MATCH(MAX(Reference!$A$6,MIN(Reference!$A$11,MIN($U53,300))),Reference!$A$6:$A$11,1))))*(INDEX(Reference!$B$6:$B$11,MIN(5,MATCH(MAX(Reference!$A$6,MIN(Reference!$A$11,MIN($U53,300))),Reference!$A$6:$A$11,1))+1)-INDEX(Reference!$B$6:$B$11,MIN(5,MATCH(MAX(Reference!$A$6,MIN(Reference!$A$11,MIN($U53,300))),Reference!$A$6:$A$11,1))))/(INDEX(Reference!$A$6:$A$11,MIN(5,MATCH(MAX(Reference!$A$6,MIN(Reference!$A$11,MIN($U53,300))),Reference!$A$6:$A$11,1))+1)-INDEX(Reference!$A$6:$A$11,MIN(5,MATCH(MAX(Reference!$A$6,MIN(Reference!$A$11,MIN($U53,300))),Reference!$A$6:$A$11,1))))),0))/($AL53*($AL53+5)/2)),$AN53))</f>
        <v>1.1499999999999999</v>
      </c>
      <c r="AN53" s="32">
        <f>IF($U53="",0,(INDEX(Reference!$B$6:$B$11,MIN(5,MATCH(MAX(Reference!$A$6,MIN(Reference!$A$11,$U53)),Reference!$A$6:$A$11,1)))+(MAX(Reference!$A$6,MIN(Reference!$A$11,$U53))-INDEX(Reference!$A$6:$A$11,MIN(5,MATCH(MAX(Reference!$A$6,MIN(Reference!$A$11,$U53)),Reference!$A$6:$A$11,1))))*(INDEX(Reference!$B$6:$B$11,MIN(5,MATCH(MAX(Reference!$A$6,MIN(Reference!$A$11,$U53)),Reference!$A$6:$A$11,1))+1)-INDEX(Reference!$B$6:$B$11,MIN(5,MATCH(MAX(Reference!$A$6,MIN(Reference!$A$11,$U53)),Reference!$A$6:$A$11,1))))/(INDEX(Reference!$A$6:$A$11,MIN(5,MATCH(MAX(Reference!$A$6,MIN(Reference!$A$11,$U53)),Reference!$A$6:$A$11,1))+1)-INDEX(Reference!$A$6:$A$11,MIN(5,MATCH(MAX(Reference!$A$6,MIN(Reference!$A$11,$U53)),Reference!$A$6:$A$11,1))))))</f>
        <v>1.1499999999999999</v>
      </c>
      <c r="AO53" s="37"/>
      <c r="AP53" s="37"/>
      <c r="AQ53" s="37"/>
    </row>
    <row r="54" spans="1:43" x14ac:dyDescent="0.3">
      <c r="A54" s="48">
        <f t="shared" si="5"/>
        <v>46318</v>
      </c>
      <c r="B54" s="32" t="str">
        <f t="shared" si="6"/>
        <v>Fri</v>
      </c>
      <c r="C54" s="32">
        <f t="shared" si="7"/>
        <v>73</v>
      </c>
      <c r="D54" s="32" t="str">
        <f t="shared" si="8"/>
        <v>Re-entry</v>
      </c>
      <c r="E54" s="32" t="str">
        <f t="shared" si="9"/>
        <v>Low</v>
      </c>
      <c r="F54" s="32" t="str">
        <f t="shared" si="10"/>
        <v>Recovery/Easy Catch</v>
      </c>
      <c r="G54" s="47" t="str">
        <f t="shared" si="11"/>
        <v>60 ft × 20 @ 67–71 mph</v>
      </c>
      <c r="H54" s="30">
        <f t="shared" si="12"/>
        <v>12</v>
      </c>
      <c r="I54" s="46" t="str">
        <f>IF($A54="","",IF(AND($L54&lt;27,$K$12=0),"Building",IFERROR(((SUM($H$48:$H54)+$K$12*IF($L54&lt;6,SUMIFS('Throw Log'!$Q$5:$Q$300,'Throw Log'!$B$5:$B$300,$D$4,'Throw Log'!$A$5:$A$300,"&gt;="&amp;($D$6+$L54-6),'Throw Log'!$A$5:$A$300,"&lt;="&amp;($D$6-1)),0))/7)/((SUM($H$43:$H54)+$K$12*IF($L54&lt;27,SUMIFS('Throw Log'!$Q$5:$Q$300,'Throw Log'!$B$5:$B$300,$D$4,'Throw Log'!$A$5:$A$300,"&gt;="&amp;($D$6+$L54-27),'Throw Log'!$A$5:$A$300,"&lt;="&amp;($D$6-1)),0))/28),"")))</f>
        <v>Building</v>
      </c>
      <c r="J54" s="37"/>
      <c r="K54" s="37"/>
      <c r="L54" s="32">
        <v>11</v>
      </c>
      <c r="M54" s="32">
        <f t="shared" si="13"/>
        <v>2</v>
      </c>
      <c r="N54" s="32">
        <f t="shared" si="14"/>
        <v>4</v>
      </c>
      <c r="O54" s="32">
        <f t="shared" si="15"/>
        <v>0.14473684210526316</v>
      </c>
      <c r="P54" s="32">
        <f>IF(OR($A54="",N($C54)&lt;=7),"",$G$6*$G$9^($M54-1)*IF(AND(MOD($M54,Reference!$B$99)=0,$M54&lt;=$G$5-2),Reference!$B$100,1))</f>
        <v>90.007422064022563</v>
      </c>
      <c r="Q54" s="32">
        <f>IF($P54="","",IF(SUM($AK$50:$AK$56)=0,0,$P54*INDEX(Reference!$B$108:$B$114,$N54+1)/SUM($AK$50:$AK$56)))</f>
        <v>9.000742206402256</v>
      </c>
      <c r="R54" s="32">
        <f t="shared" si="16"/>
        <v>90</v>
      </c>
      <c r="S54" s="32">
        <f t="shared" si="17"/>
        <v>90</v>
      </c>
      <c r="T54" s="32" t="str">
        <f>IF($A54="","",IF($C54=0,"Bullpen",IF(OR($C54=7,$C54=1,$C54=5),"Recovery/Easy Catch",IF($C54=6,"Compression/Pulldowns",IF(OR($C54=4,$C54=2),"Long Toss",IF($C54=3,"No Throw",IF($N54=2,"No Throw",IF($N54=6,IF($O54&lt;Reference!$B$104,"No Throw","Recovery/Easy Catch"),IF(OR($N54=0,$N54=4),"Recovery/Easy Catch",IF($N54=1,IF($R54&gt;75,"Long Toss","Recovery/Easy Catch"),IF($N54=3,IF($O54&lt;0.5,IF($S54&gt;75,"Long Toss","Recovery/Easy Catch"),"Compression/Pulldowns"),IF($S54&gt;75,"Long Toss","Recovery/Easy Catch"))))))))))))</f>
        <v>Recovery/Easy Catch</v>
      </c>
      <c r="U54" s="32">
        <f t="shared" si="18"/>
        <v>60</v>
      </c>
      <c r="V54" s="32">
        <f t="shared" si="19"/>
        <v>20</v>
      </c>
      <c r="W54" s="32">
        <f t="shared" si="20"/>
        <v>24</v>
      </c>
      <c r="X54" s="32">
        <f t="shared" si="21"/>
        <v>0</v>
      </c>
      <c r="Y54" s="32" t="str">
        <f t="shared" si="22"/>
        <v/>
      </c>
      <c r="Z54" s="32" t="str">
        <f t="shared" si="23"/>
        <v/>
      </c>
      <c r="AA54" s="32" t="str">
        <f t="shared" si="24"/>
        <v/>
      </c>
      <c r="AB54" s="32">
        <f>IF($A54="","",IF($T54="No Throw",0,IF($K54&lt;&gt;"",$K54,IF($AA54&lt;&gt;"",ROUND($AA54*$D$12*IF($C54=0,1,$G$10),0),MIN(IF($T54="Recovery/Easy Catch",Reference!$B$103,IF($T54="Long Toss",Reference!$B$106,Reference!$B$102)),MAX(Reference!$B$101,ROUND(MAX(0,$Q54-$AE54)/$AF54,0)))))))</f>
        <v>20</v>
      </c>
      <c r="AC54" s="32">
        <f t="shared" si="25"/>
        <v>0</v>
      </c>
      <c r="AD54" s="32" t="b">
        <f t="shared" si="26"/>
        <v>0</v>
      </c>
      <c r="AE54" s="32">
        <f>IF($X54=0,0,$X54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54+$Z54)/2,0),Reference!$A$17:$B$20,2,TRUE()))</f>
        <v>0</v>
      </c>
      <c r="AF54" s="32">
        <f>IF(OR($A54="",$U54="",$T54="No Throw"),0,$AM54*VLOOKUP(MAX(($V54+$W54)/2,0),Reference!$A$17:$B$20,2,TRUE()))</f>
        <v>0.6</v>
      </c>
      <c r="AG54" s="32">
        <f>IF($AC54=0,0,$AC54*INDEX(Reference!$B$61:$B$62,MATCH("Bullpen",Reference!$A$61:$A$62,0))*VLOOKUP(MAX($D$5-($D$9+$E$9)/2,0),Reference!$A$17:$B$20,2,TRUE()))</f>
        <v>0</v>
      </c>
      <c r="AH54" s="32" t="e">
        <f t="shared" si="27"/>
        <v>#N/A</v>
      </c>
      <c r="AI54" s="32">
        <f>IF($A54="",NA(),Reference!$A$25)</f>
        <v>0.8</v>
      </c>
      <c r="AJ54" s="32">
        <f t="shared" si="28"/>
        <v>1.3</v>
      </c>
      <c r="AK54" s="56">
        <f>IF(OR($A54="",N($C54)&lt;=7,$T54="No Throw",$J54="x"),0,INDEX(Reference!$B$108:$B$114,$N54+1))</f>
        <v>0.1</v>
      </c>
      <c r="AL54" s="32">
        <f t="shared" si="29"/>
        <v>1</v>
      </c>
      <c r="AM54" s="32">
        <f>IF($U54="",0,IF($AL54&gt;1,((IF(1&lt;=$AL54,($AL54-1+3)*(INDEX(Reference!$B$6:$B$11,MIN(5,MATCH(MAX(Reference!$A$6,MIN(Reference!$A$11,MIN($U54,90))),Reference!$A$6:$A$11,1)))+(MAX(Reference!$A$6,MIN(Reference!$A$11,MIN($U54,90)))-INDEX(Reference!$A$6:$A$11,MIN(5,MATCH(MAX(Reference!$A$6,MIN(Reference!$A$11,MIN($U54,90))),Reference!$A$6:$A$11,1))))*(INDEX(Reference!$B$6:$B$11,MIN(5,MATCH(MAX(Reference!$A$6,MIN(Reference!$A$11,MIN($U54,90))),Reference!$A$6:$A$11,1))+1)-INDEX(Reference!$B$6:$B$11,MIN(5,MATCH(MAX(Reference!$A$6,MIN(Reference!$A$11,MIN($U54,90))),Reference!$A$6:$A$11,1))))/(INDEX(Reference!$A$6:$A$11,MIN(5,MATCH(MAX(Reference!$A$6,MIN(Reference!$A$11,MIN($U54,90))),Reference!$A$6:$A$11,1))+1)-INDEX(Reference!$A$6:$A$11,MIN(5,MATCH(MAX(Reference!$A$6,MIN(Reference!$A$11,MIN($U54,90))),Reference!$A$6:$A$11,1))))),0)+IF(2&lt;=$AL54,($AL54-2+3)*(INDEX(Reference!$B$6:$B$11,MIN(5,MATCH(MAX(Reference!$A$6,MIN(Reference!$A$11,MIN($U54,120))),Reference!$A$6:$A$11,1)))+(MAX(Reference!$A$6,MIN(Reference!$A$11,MIN($U54,120)))-INDEX(Reference!$A$6:$A$11,MIN(5,MATCH(MAX(Reference!$A$6,MIN(Reference!$A$11,MIN($U54,120))),Reference!$A$6:$A$11,1))))*(INDEX(Reference!$B$6:$B$11,MIN(5,MATCH(MAX(Reference!$A$6,MIN(Reference!$A$11,MIN($U54,120))),Reference!$A$6:$A$11,1))+1)-INDEX(Reference!$B$6:$B$11,MIN(5,MATCH(MAX(Reference!$A$6,MIN(Reference!$A$11,MIN($U54,120))),Reference!$A$6:$A$11,1))))/(INDEX(Reference!$A$6:$A$11,MIN(5,MATCH(MAX(Reference!$A$6,MIN(Reference!$A$11,MIN($U54,120))),Reference!$A$6:$A$11,1))+1)-INDEX(Reference!$A$6:$A$11,MIN(5,MATCH(MAX(Reference!$A$6,MIN(Reference!$A$11,MIN($U54,120))),Reference!$A$6:$A$11,1))))),0)+IF(3&lt;=$AL54,($AL54-3+3)*(INDEX(Reference!$B$6:$B$11,MIN(5,MATCH(MAX(Reference!$A$6,MIN(Reference!$A$11,MIN($U54,150))),Reference!$A$6:$A$11,1)))+(MAX(Reference!$A$6,MIN(Reference!$A$11,MIN($U54,150)))-INDEX(Reference!$A$6:$A$11,MIN(5,MATCH(MAX(Reference!$A$6,MIN(Reference!$A$11,MIN($U54,150))),Reference!$A$6:$A$11,1))))*(INDEX(Reference!$B$6:$B$11,MIN(5,MATCH(MAX(Reference!$A$6,MIN(Reference!$A$11,MIN($U54,150))),Reference!$A$6:$A$11,1))+1)-INDEX(Reference!$B$6:$B$11,MIN(5,MATCH(MAX(Reference!$A$6,MIN(Reference!$A$11,MIN($U54,150))),Reference!$A$6:$A$11,1))))/(INDEX(Reference!$A$6:$A$11,MIN(5,MATCH(MAX(Reference!$A$6,MIN(Reference!$A$11,MIN($U54,150))),Reference!$A$6:$A$11,1))+1)-INDEX(Reference!$A$6:$A$11,MIN(5,MATCH(MAX(Reference!$A$6,MIN(Reference!$A$11,MIN($U54,150))),Reference!$A$6:$A$11,1))))),0)+IF(4&lt;=$AL54,($AL54-4+3)*(INDEX(Reference!$B$6:$B$11,MIN(5,MATCH(MAX(Reference!$A$6,MIN(Reference!$A$11,MIN($U54,180))),Reference!$A$6:$A$11,1)))+(MAX(Reference!$A$6,MIN(Reference!$A$11,MIN($U54,180)))-INDEX(Reference!$A$6:$A$11,MIN(5,MATCH(MAX(Reference!$A$6,MIN(Reference!$A$11,MIN($U54,180))),Reference!$A$6:$A$11,1))))*(INDEX(Reference!$B$6:$B$11,MIN(5,MATCH(MAX(Reference!$A$6,MIN(Reference!$A$11,MIN($U54,180))),Reference!$A$6:$A$11,1))+1)-INDEX(Reference!$B$6:$B$11,MIN(5,MATCH(MAX(Reference!$A$6,MIN(Reference!$A$11,MIN($U54,180))),Reference!$A$6:$A$11,1))))/(INDEX(Reference!$A$6:$A$11,MIN(5,MATCH(MAX(Reference!$A$6,MIN(Reference!$A$11,MIN($U54,180))),Reference!$A$6:$A$11,1))+1)-INDEX(Reference!$A$6:$A$11,MIN(5,MATCH(MAX(Reference!$A$6,MIN(Reference!$A$11,MIN($U54,180))),Reference!$A$6:$A$11,1))))),0)+IF(5&lt;=$AL54,($AL54-5+3)*(INDEX(Reference!$B$6:$B$11,MIN(5,MATCH(MAX(Reference!$A$6,MIN(Reference!$A$11,MIN($U54,210))),Reference!$A$6:$A$11,1)))+(MAX(Reference!$A$6,MIN(Reference!$A$11,MIN($U54,210)))-INDEX(Reference!$A$6:$A$11,MIN(5,MATCH(MAX(Reference!$A$6,MIN(Reference!$A$11,MIN($U54,210))),Reference!$A$6:$A$11,1))))*(INDEX(Reference!$B$6:$B$11,MIN(5,MATCH(MAX(Reference!$A$6,MIN(Reference!$A$11,MIN($U54,210))),Reference!$A$6:$A$11,1))+1)-INDEX(Reference!$B$6:$B$11,MIN(5,MATCH(MAX(Reference!$A$6,MIN(Reference!$A$11,MIN($U54,210))),Reference!$A$6:$A$11,1))))/(INDEX(Reference!$A$6:$A$11,MIN(5,MATCH(MAX(Reference!$A$6,MIN(Reference!$A$11,MIN($U54,210))),Reference!$A$6:$A$11,1))+1)-INDEX(Reference!$A$6:$A$11,MIN(5,MATCH(MAX(Reference!$A$6,MIN(Reference!$A$11,MIN($U54,210))),Reference!$A$6:$A$11,1))))),0)+IF(6&lt;=$AL54,($AL54-6+3)*(INDEX(Reference!$B$6:$B$11,MIN(5,MATCH(MAX(Reference!$A$6,MIN(Reference!$A$11,MIN($U54,240))),Reference!$A$6:$A$11,1)))+(MAX(Reference!$A$6,MIN(Reference!$A$11,MIN($U54,240)))-INDEX(Reference!$A$6:$A$11,MIN(5,MATCH(MAX(Reference!$A$6,MIN(Reference!$A$11,MIN($U54,240))),Reference!$A$6:$A$11,1))))*(INDEX(Reference!$B$6:$B$11,MIN(5,MATCH(MAX(Reference!$A$6,MIN(Reference!$A$11,MIN($U54,240))),Reference!$A$6:$A$11,1))+1)-INDEX(Reference!$B$6:$B$11,MIN(5,MATCH(MAX(Reference!$A$6,MIN(Reference!$A$11,MIN($U54,240))),Reference!$A$6:$A$11,1))))/(INDEX(Reference!$A$6:$A$11,MIN(5,MATCH(MAX(Reference!$A$6,MIN(Reference!$A$11,MIN($U54,240))),Reference!$A$6:$A$11,1))+1)-INDEX(Reference!$A$6:$A$11,MIN(5,MATCH(MAX(Reference!$A$6,MIN(Reference!$A$11,MIN($U54,240))),Reference!$A$6:$A$11,1))))),0)+IF(7&lt;=$AL54,($AL54-7+3)*(INDEX(Reference!$B$6:$B$11,MIN(5,MATCH(MAX(Reference!$A$6,MIN(Reference!$A$11,MIN($U54,270))),Reference!$A$6:$A$11,1)))+(MAX(Reference!$A$6,MIN(Reference!$A$11,MIN($U54,270)))-INDEX(Reference!$A$6:$A$11,MIN(5,MATCH(MAX(Reference!$A$6,MIN(Reference!$A$11,MIN($U54,270))),Reference!$A$6:$A$11,1))))*(INDEX(Reference!$B$6:$B$11,MIN(5,MATCH(MAX(Reference!$A$6,MIN(Reference!$A$11,MIN($U54,270))),Reference!$A$6:$A$11,1))+1)-INDEX(Reference!$B$6:$B$11,MIN(5,MATCH(MAX(Reference!$A$6,MIN(Reference!$A$11,MIN($U54,270))),Reference!$A$6:$A$11,1))))/(INDEX(Reference!$A$6:$A$11,MIN(5,MATCH(MAX(Reference!$A$6,MIN(Reference!$A$11,MIN($U54,270))),Reference!$A$6:$A$11,1))+1)-INDEX(Reference!$A$6:$A$11,MIN(5,MATCH(MAX(Reference!$A$6,MIN(Reference!$A$11,MIN($U54,270))),Reference!$A$6:$A$11,1))))),0)+IF(8&lt;=$AL54,($AL54-8+3)*(INDEX(Reference!$B$6:$B$11,MIN(5,MATCH(MAX(Reference!$A$6,MIN(Reference!$A$11,MIN($U54,300))),Reference!$A$6:$A$11,1)))+(MAX(Reference!$A$6,MIN(Reference!$A$11,MIN($U54,300)))-INDEX(Reference!$A$6:$A$11,MIN(5,MATCH(MAX(Reference!$A$6,MIN(Reference!$A$11,MIN($U54,300))),Reference!$A$6:$A$11,1))))*(INDEX(Reference!$B$6:$B$11,MIN(5,MATCH(MAX(Reference!$A$6,MIN(Reference!$A$11,MIN($U54,300))),Reference!$A$6:$A$11,1))+1)-INDEX(Reference!$B$6:$B$11,MIN(5,MATCH(MAX(Reference!$A$6,MIN(Reference!$A$11,MIN($U54,300))),Reference!$A$6:$A$11,1))))/(INDEX(Reference!$A$6:$A$11,MIN(5,MATCH(MAX(Reference!$A$6,MIN(Reference!$A$11,MIN($U54,300))),Reference!$A$6:$A$11,1))+1)-INDEX(Reference!$A$6:$A$11,MIN(5,MATCH(MAX(Reference!$A$6,MIN(Reference!$A$11,MIN($U54,300))),Reference!$A$6:$A$11,1))))),0))/($AL54*($AL54+5)/2)),$AN54))</f>
        <v>1</v>
      </c>
      <c r="AN54" s="32">
        <f>IF($U54="",0,(INDEX(Reference!$B$6:$B$11,MIN(5,MATCH(MAX(Reference!$A$6,MIN(Reference!$A$11,$U54)),Reference!$A$6:$A$11,1)))+(MAX(Reference!$A$6,MIN(Reference!$A$11,$U54))-INDEX(Reference!$A$6:$A$11,MIN(5,MATCH(MAX(Reference!$A$6,MIN(Reference!$A$11,$U54)),Reference!$A$6:$A$11,1))))*(INDEX(Reference!$B$6:$B$11,MIN(5,MATCH(MAX(Reference!$A$6,MIN(Reference!$A$11,$U54)),Reference!$A$6:$A$11,1))+1)-INDEX(Reference!$B$6:$B$11,MIN(5,MATCH(MAX(Reference!$A$6,MIN(Reference!$A$11,$U54)),Reference!$A$6:$A$11,1))))/(INDEX(Reference!$A$6:$A$11,MIN(5,MATCH(MAX(Reference!$A$6,MIN(Reference!$A$11,$U54)),Reference!$A$6:$A$11,1))+1)-INDEX(Reference!$A$6:$A$11,MIN(5,MATCH(MAX(Reference!$A$6,MIN(Reference!$A$11,$U54)),Reference!$A$6:$A$11,1))))))</f>
        <v>1</v>
      </c>
      <c r="AO54" s="37"/>
      <c r="AP54" s="37"/>
      <c r="AQ54" s="37"/>
    </row>
    <row r="55" spans="1:43" x14ac:dyDescent="0.3">
      <c r="A55" s="48">
        <f t="shared" si="5"/>
        <v>46319</v>
      </c>
      <c r="B55" s="32" t="str">
        <f t="shared" si="6"/>
        <v>Sat</v>
      </c>
      <c r="C55" s="32">
        <f t="shared" si="7"/>
        <v>72</v>
      </c>
      <c r="D55" s="32" t="str">
        <f t="shared" si="8"/>
        <v>Re-entry</v>
      </c>
      <c r="E55" s="32" t="str">
        <f t="shared" si="9"/>
        <v>Medium</v>
      </c>
      <c r="F55" s="32" t="str">
        <f t="shared" si="10"/>
        <v>Long Toss</v>
      </c>
      <c r="G55" s="47" t="str">
        <f t="shared" si="11"/>
        <v>90 ft × 30 @ 69–73 mph</v>
      </c>
      <c r="H55" s="30">
        <f t="shared" si="12"/>
        <v>23.400000000000002</v>
      </c>
      <c r="I55" s="46" t="str">
        <f>IF($A55="","",IF(AND($L55&lt;27,$K$12=0),"Building",IFERROR(((SUM($H$49:$H55)+$K$12*IF($L55&lt;6,SUMIFS('Throw Log'!$Q$5:$Q$300,'Throw Log'!$B$5:$B$300,$D$4,'Throw Log'!$A$5:$A$300,"&gt;="&amp;($D$6+$L55-6),'Throw Log'!$A$5:$A$300,"&lt;="&amp;($D$6-1)),0))/7)/((SUM($H$43:$H55)+$K$12*IF($L55&lt;27,SUMIFS('Throw Log'!$Q$5:$Q$300,'Throw Log'!$B$5:$B$300,$D$4,'Throw Log'!$A$5:$A$300,"&gt;="&amp;($D$6+$L55-27),'Throw Log'!$A$5:$A$300,"&lt;="&amp;($D$6-1)),0))/28),"")))</f>
        <v>Building</v>
      </c>
      <c r="J55" s="37"/>
      <c r="K55" s="37">
        <v>30</v>
      </c>
      <c r="L55" s="32">
        <v>12</v>
      </c>
      <c r="M55" s="32">
        <f t="shared" si="13"/>
        <v>2</v>
      </c>
      <c r="N55" s="32">
        <f t="shared" si="14"/>
        <v>5</v>
      </c>
      <c r="O55" s="32">
        <f t="shared" si="15"/>
        <v>0.15789473684210525</v>
      </c>
      <c r="P55" s="32">
        <f>IF(OR($A55="",N($C55)&lt;=7),"",$G$6*$G$9^($M55-1)*IF(AND(MOD($M55,Reference!$B$99)=0,$M55&lt;=$G$5-2),Reference!$B$100,1))</f>
        <v>90.007422064022563</v>
      </c>
      <c r="Q55" s="32">
        <f>IF($P55="","",IF(SUM($AK$50:$AK$56)=0,0,$P55*INDEX(Reference!$B$108:$B$114,$N55+1)/SUM($AK$50:$AK$56)))</f>
        <v>24.302003957286093</v>
      </c>
      <c r="R55" s="32">
        <f t="shared" si="16"/>
        <v>90</v>
      </c>
      <c r="S55" s="32">
        <f t="shared" si="17"/>
        <v>90</v>
      </c>
      <c r="T55" s="32" t="str">
        <f>IF($A55="","",IF($C55=0,"Bullpen",IF(OR($C55=7,$C55=1,$C55=5),"Recovery/Easy Catch",IF($C55=6,"Compression/Pulldowns",IF(OR($C55=4,$C55=2),"Long Toss",IF($C55=3,"No Throw",IF($N55=2,"No Throw",IF($N55=6,IF($O55&lt;Reference!$B$104,"No Throw","Recovery/Easy Catch"),IF(OR($N55=0,$N55=4),"Recovery/Easy Catch",IF($N55=1,IF($R55&gt;75,"Long Toss","Recovery/Easy Catch"),IF($N55=3,IF($O55&lt;0.5,IF($S55&gt;75,"Long Toss","Recovery/Easy Catch"),"Compression/Pulldowns"),IF($S55&gt;75,"Long Toss","Recovery/Easy Catch"))))))))))))</f>
        <v>Long Toss</v>
      </c>
      <c r="U55" s="32">
        <f t="shared" si="18"/>
        <v>90</v>
      </c>
      <c r="V55" s="32">
        <f t="shared" si="19"/>
        <v>18</v>
      </c>
      <c r="W55" s="32">
        <f t="shared" si="20"/>
        <v>22</v>
      </c>
      <c r="X55" s="32">
        <f t="shared" si="21"/>
        <v>0</v>
      </c>
      <c r="Y55" s="32" t="str">
        <f t="shared" si="22"/>
        <v/>
      </c>
      <c r="Z55" s="32" t="str">
        <f t="shared" si="23"/>
        <v/>
      </c>
      <c r="AA55" s="32" t="str">
        <f t="shared" si="24"/>
        <v/>
      </c>
      <c r="AB55" s="32">
        <f>IF($A55="","",IF($T55="No Throw",0,IF($K55&lt;&gt;"",$K55,IF($AA55&lt;&gt;"",ROUND($AA55*$D$12*IF($C55=0,1,$G$10),0),MIN(IF($T55="Recovery/Easy Catch",Reference!$B$103,IF($T55="Long Toss",Reference!$B$106,Reference!$B$102)),MAX(Reference!$B$101,ROUND(MAX(0,$Q55-$AE55)/$AF55,0)))))))</f>
        <v>30</v>
      </c>
      <c r="AC55" s="32">
        <f t="shared" si="25"/>
        <v>0</v>
      </c>
      <c r="AD55" s="32" t="b">
        <f t="shared" si="26"/>
        <v>0</v>
      </c>
      <c r="AE55" s="32">
        <f>IF($X55=0,0,$X55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55+$Z55)/2,0),Reference!$A$17:$B$20,2,TRUE()))</f>
        <v>0</v>
      </c>
      <c r="AF55" s="32">
        <f>IF(OR($A55="",$U55="",$T55="No Throw"),0,$AM55*VLOOKUP(MAX(($V55+$W55)/2,0),Reference!$A$17:$B$20,2,TRUE()))</f>
        <v>0.78</v>
      </c>
      <c r="AG55" s="32">
        <f>IF($AC55=0,0,$AC55*INDEX(Reference!$B$61:$B$62,MATCH("Bullpen",Reference!$A$61:$A$62,0))*VLOOKUP(MAX($D$5-($D$9+$E$9)/2,0),Reference!$A$17:$B$20,2,TRUE()))</f>
        <v>0</v>
      </c>
      <c r="AH55" s="32" t="e">
        <f t="shared" si="27"/>
        <v>#N/A</v>
      </c>
      <c r="AI55" s="32">
        <f>IF($A55="",NA(),Reference!$A$25)</f>
        <v>0.8</v>
      </c>
      <c r="AJ55" s="32">
        <f t="shared" si="28"/>
        <v>1.3</v>
      </c>
      <c r="AK55" s="56">
        <f>IF(OR($A55="",N($C55)&lt;=7,$T55="No Throw",$J55="x"),0,INDEX(Reference!$B$108:$B$114,$N55+1))</f>
        <v>0.27</v>
      </c>
      <c r="AL55" s="32">
        <f t="shared" si="29"/>
        <v>1</v>
      </c>
      <c r="AM55" s="32">
        <f>IF($U55="",0,IF($AL55&gt;1,((IF(1&lt;=$AL55,($AL55-1+3)*(INDEX(Reference!$B$6:$B$11,MIN(5,MATCH(MAX(Reference!$A$6,MIN(Reference!$A$11,MIN($U55,90))),Reference!$A$6:$A$11,1)))+(MAX(Reference!$A$6,MIN(Reference!$A$11,MIN($U55,90)))-INDEX(Reference!$A$6:$A$11,MIN(5,MATCH(MAX(Reference!$A$6,MIN(Reference!$A$11,MIN($U55,90))),Reference!$A$6:$A$11,1))))*(INDEX(Reference!$B$6:$B$11,MIN(5,MATCH(MAX(Reference!$A$6,MIN(Reference!$A$11,MIN($U55,90))),Reference!$A$6:$A$11,1))+1)-INDEX(Reference!$B$6:$B$11,MIN(5,MATCH(MAX(Reference!$A$6,MIN(Reference!$A$11,MIN($U55,90))),Reference!$A$6:$A$11,1))))/(INDEX(Reference!$A$6:$A$11,MIN(5,MATCH(MAX(Reference!$A$6,MIN(Reference!$A$11,MIN($U55,90))),Reference!$A$6:$A$11,1))+1)-INDEX(Reference!$A$6:$A$11,MIN(5,MATCH(MAX(Reference!$A$6,MIN(Reference!$A$11,MIN($U55,90))),Reference!$A$6:$A$11,1))))),0)+IF(2&lt;=$AL55,($AL55-2+3)*(INDEX(Reference!$B$6:$B$11,MIN(5,MATCH(MAX(Reference!$A$6,MIN(Reference!$A$11,MIN($U55,120))),Reference!$A$6:$A$11,1)))+(MAX(Reference!$A$6,MIN(Reference!$A$11,MIN($U55,120)))-INDEX(Reference!$A$6:$A$11,MIN(5,MATCH(MAX(Reference!$A$6,MIN(Reference!$A$11,MIN($U55,120))),Reference!$A$6:$A$11,1))))*(INDEX(Reference!$B$6:$B$11,MIN(5,MATCH(MAX(Reference!$A$6,MIN(Reference!$A$11,MIN($U55,120))),Reference!$A$6:$A$11,1))+1)-INDEX(Reference!$B$6:$B$11,MIN(5,MATCH(MAX(Reference!$A$6,MIN(Reference!$A$11,MIN($U55,120))),Reference!$A$6:$A$11,1))))/(INDEX(Reference!$A$6:$A$11,MIN(5,MATCH(MAX(Reference!$A$6,MIN(Reference!$A$11,MIN($U55,120))),Reference!$A$6:$A$11,1))+1)-INDEX(Reference!$A$6:$A$11,MIN(5,MATCH(MAX(Reference!$A$6,MIN(Reference!$A$11,MIN($U55,120))),Reference!$A$6:$A$11,1))))),0)+IF(3&lt;=$AL55,($AL55-3+3)*(INDEX(Reference!$B$6:$B$11,MIN(5,MATCH(MAX(Reference!$A$6,MIN(Reference!$A$11,MIN($U55,150))),Reference!$A$6:$A$11,1)))+(MAX(Reference!$A$6,MIN(Reference!$A$11,MIN($U55,150)))-INDEX(Reference!$A$6:$A$11,MIN(5,MATCH(MAX(Reference!$A$6,MIN(Reference!$A$11,MIN($U55,150))),Reference!$A$6:$A$11,1))))*(INDEX(Reference!$B$6:$B$11,MIN(5,MATCH(MAX(Reference!$A$6,MIN(Reference!$A$11,MIN($U55,150))),Reference!$A$6:$A$11,1))+1)-INDEX(Reference!$B$6:$B$11,MIN(5,MATCH(MAX(Reference!$A$6,MIN(Reference!$A$11,MIN($U55,150))),Reference!$A$6:$A$11,1))))/(INDEX(Reference!$A$6:$A$11,MIN(5,MATCH(MAX(Reference!$A$6,MIN(Reference!$A$11,MIN($U55,150))),Reference!$A$6:$A$11,1))+1)-INDEX(Reference!$A$6:$A$11,MIN(5,MATCH(MAX(Reference!$A$6,MIN(Reference!$A$11,MIN($U55,150))),Reference!$A$6:$A$11,1))))),0)+IF(4&lt;=$AL55,($AL55-4+3)*(INDEX(Reference!$B$6:$B$11,MIN(5,MATCH(MAX(Reference!$A$6,MIN(Reference!$A$11,MIN($U55,180))),Reference!$A$6:$A$11,1)))+(MAX(Reference!$A$6,MIN(Reference!$A$11,MIN($U55,180)))-INDEX(Reference!$A$6:$A$11,MIN(5,MATCH(MAX(Reference!$A$6,MIN(Reference!$A$11,MIN($U55,180))),Reference!$A$6:$A$11,1))))*(INDEX(Reference!$B$6:$B$11,MIN(5,MATCH(MAX(Reference!$A$6,MIN(Reference!$A$11,MIN($U55,180))),Reference!$A$6:$A$11,1))+1)-INDEX(Reference!$B$6:$B$11,MIN(5,MATCH(MAX(Reference!$A$6,MIN(Reference!$A$11,MIN($U55,180))),Reference!$A$6:$A$11,1))))/(INDEX(Reference!$A$6:$A$11,MIN(5,MATCH(MAX(Reference!$A$6,MIN(Reference!$A$11,MIN($U55,180))),Reference!$A$6:$A$11,1))+1)-INDEX(Reference!$A$6:$A$11,MIN(5,MATCH(MAX(Reference!$A$6,MIN(Reference!$A$11,MIN($U55,180))),Reference!$A$6:$A$11,1))))),0)+IF(5&lt;=$AL55,($AL55-5+3)*(INDEX(Reference!$B$6:$B$11,MIN(5,MATCH(MAX(Reference!$A$6,MIN(Reference!$A$11,MIN($U55,210))),Reference!$A$6:$A$11,1)))+(MAX(Reference!$A$6,MIN(Reference!$A$11,MIN($U55,210)))-INDEX(Reference!$A$6:$A$11,MIN(5,MATCH(MAX(Reference!$A$6,MIN(Reference!$A$11,MIN($U55,210))),Reference!$A$6:$A$11,1))))*(INDEX(Reference!$B$6:$B$11,MIN(5,MATCH(MAX(Reference!$A$6,MIN(Reference!$A$11,MIN($U55,210))),Reference!$A$6:$A$11,1))+1)-INDEX(Reference!$B$6:$B$11,MIN(5,MATCH(MAX(Reference!$A$6,MIN(Reference!$A$11,MIN($U55,210))),Reference!$A$6:$A$11,1))))/(INDEX(Reference!$A$6:$A$11,MIN(5,MATCH(MAX(Reference!$A$6,MIN(Reference!$A$11,MIN($U55,210))),Reference!$A$6:$A$11,1))+1)-INDEX(Reference!$A$6:$A$11,MIN(5,MATCH(MAX(Reference!$A$6,MIN(Reference!$A$11,MIN($U55,210))),Reference!$A$6:$A$11,1))))),0)+IF(6&lt;=$AL55,($AL55-6+3)*(INDEX(Reference!$B$6:$B$11,MIN(5,MATCH(MAX(Reference!$A$6,MIN(Reference!$A$11,MIN($U55,240))),Reference!$A$6:$A$11,1)))+(MAX(Reference!$A$6,MIN(Reference!$A$11,MIN($U55,240)))-INDEX(Reference!$A$6:$A$11,MIN(5,MATCH(MAX(Reference!$A$6,MIN(Reference!$A$11,MIN($U55,240))),Reference!$A$6:$A$11,1))))*(INDEX(Reference!$B$6:$B$11,MIN(5,MATCH(MAX(Reference!$A$6,MIN(Reference!$A$11,MIN($U55,240))),Reference!$A$6:$A$11,1))+1)-INDEX(Reference!$B$6:$B$11,MIN(5,MATCH(MAX(Reference!$A$6,MIN(Reference!$A$11,MIN($U55,240))),Reference!$A$6:$A$11,1))))/(INDEX(Reference!$A$6:$A$11,MIN(5,MATCH(MAX(Reference!$A$6,MIN(Reference!$A$11,MIN($U55,240))),Reference!$A$6:$A$11,1))+1)-INDEX(Reference!$A$6:$A$11,MIN(5,MATCH(MAX(Reference!$A$6,MIN(Reference!$A$11,MIN($U55,240))),Reference!$A$6:$A$11,1))))),0)+IF(7&lt;=$AL55,($AL55-7+3)*(INDEX(Reference!$B$6:$B$11,MIN(5,MATCH(MAX(Reference!$A$6,MIN(Reference!$A$11,MIN($U55,270))),Reference!$A$6:$A$11,1)))+(MAX(Reference!$A$6,MIN(Reference!$A$11,MIN($U55,270)))-INDEX(Reference!$A$6:$A$11,MIN(5,MATCH(MAX(Reference!$A$6,MIN(Reference!$A$11,MIN($U55,270))),Reference!$A$6:$A$11,1))))*(INDEX(Reference!$B$6:$B$11,MIN(5,MATCH(MAX(Reference!$A$6,MIN(Reference!$A$11,MIN($U55,270))),Reference!$A$6:$A$11,1))+1)-INDEX(Reference!$B$6:$B$11,MIN(5,MATCH(MAX(Reference!$A$6,MIN(Reference!$A$11,MIN($U55,270))),Reference!$A$6:$A$11,1))))/(INDEX(Reference!$A$6:$A$11,MIN(5,MATCH(MAX(Reference!$A$6,MIN(Reference!$A$11,MIN($U55,270))),Reference!$A$6:$A$11,1))+1)-INDEX(Reference!$A$6:$A$11,MIN(5,MATCH(MAX(Reference!$A$6,MIN(Reference!$A$11,MIN($U55,270))),Reference!$A$6:$A$11,1))))),0)+IF(8&lt;=$AL55,($AL55-8+3)*(INDEX(Reference!$B$6:$B$11,MIN(5,MATCH(MAX(Reference!$A$6,MIN(Reference!$A$11,MIN($U55,300))),Reference!$A$6:$A$11,1)))+(MAX(Reference!$A$6,MIN(Reference!$A$11,MIN($U55,300)))-INDEX(Reference!$A$6:$A$11,MIN(5,MATCH(MAX(Reference!$A$6,MIN(Reference!$A$11,MIN($U55,300))),Reference!$A$6:$A$11,1))))*(INDEX(Reference!$B$6:$B$11,MIN(5,MATCH(MAX(Reference!$A$6,MIN(Reference!$A$11,MIN($U55,300))),Reference!$A$6:$A$11,1))+1)-INDEX(Reference!$B$6:$B$11,MIN(5,MATCH(MAX(Reference!$A$6,MIN(Reference!$A$11,MIN($U55,300))),Reference!$A$6:$A$11,1))))/(INDEX(Reference!$A$6:$A$11,MIN(5,MATCH(MAX(Reference!$A$6,MIN(Reference!$A$11,MIN($U55,300))),Reference!$A$6:$A$11,1))+1)-INDEX(Reference!$A$6:$A$11,MIN(5,MATCH(MAX(Reference!$A$6,MIN(Reference!$A$11,MIN($U55,300))),Reference!$A$6:$A$11,1))))),0))/($AL55*($AL55+5)/2)),$AN55))</f>
        <v>1.3</v>
      </c>
      <c r="AN55" s="32">
        <f>IF($U55="",0,(INDEX(Reference!$B$6:$B$11,MIN(5,MATCH(MAX(Reference!$A$6,MIN(Reference!$A$11,$U55)),Reference!$A$6:$A$11,1)))+(MAX(Reference!$A$6,MIN(Reference!$A$11,$U55))-INDEX(Reference!$A$6:$A$11,MIN(5,MATCH(MAX(Reference!$A$6,MIN(Reference!$A$11,$U55)),Reference!$A$6:$A$11,1))))*(INDEX(Reference!$B$6:$B$11,MIN(5,MATCH(MAX(Reference!$A$6,MIN(Reference!$A$11,$U55)),Reference!$A$6:$A$11,1))+1)-INDEX(Reference!$B$6:$B$11,MIN(5,MATCH(MAX(Reference!$A$6,MIN(Reference!$A$11,$U55)),Reference!$A$6:$A$11,1))))/(INDEX(Reference!$A$6:$A$11,MIN(5,MATCH(MAX(Reference!$A$6,MIN(Reference!$A$11,$U55)),Reference!$A$6:$A$11,1))+1)-INDEX(Reference!$A$6:$A$11,MIN(5,MATCH(MAX(Reference!$A$6,MIN(Reference!$A$11,$U55)),Reference!$A$6:$A$11,1))))))</f>
        <v>1.3</v>
      </c>
      <c r="AO55" s="37"/>
      <c r="AP55" s="37"/>
      <c r="AQ55" s="37"/>
    </row>
    <row r="56" spans="1:43" x14ac:dyDescent="0.3">
      <c r="A56" s="48">
        <f t="shared" si="5"/>
        <v>46320</v>
      </c>
      <c r="B56" s="32" t="str">
        <f t="shared" si="6"/>
        <v>Sun</v>
      </c>
      <c r="C56" s="32">
        <f t="shared" si="7"/>
        <v>71</v>
      </c>
      <c r="D56" s="32" t="str">
        <f t="shared" si="8"/>
        <v>Re-entry</v>
      </c>
      <c r="E56" s="32" t="str">
        <f t="shared" si="9"/>
        <v>No Throw</v>
      </c>
      <c r="F56" s="32" t="str">
        <f t="shared" si="10"/>
        <v>No Throw</v>
      </c>
      <c r="G56" s="47" t="str">
        <f t="shared" si="11"/>
        <v>Off</v>
      </c>
      <c r="H56" s="30">
        <f t="shared" si="12"/>
        <v>0</v>
      </c>
      <c r="I56" s="46" t="str">
        <f>IF($A56="","",IF(AND($L56&lt;27,$K$12=0),"Building",IFERROR(((SUM($H$50:$H56)+$K$12*IF($L56&lt;6,SUMIFS('Throw Log'!$Q$5:$Q$300,'Throw Log'!$B$5:$B$300,$D$4,'Throw Log'!$A$5:$A$300,"&gt;="&amp;($D$6+$L56-6),'Throw Log'!$A$5:$A$300,"&lt;="&amp;($D$6-1)),0))/7)/((SUM($H$43:$H56)+$K$12*IF($L56&lt;27,SUMIFS('Throw Log'!$Q$5:$Q$300,'Throw Log'!$B$5:$B$300,$D$4,'Throw Log'!$A$5:$A$300,"&gt;="&amp;($D$6+$L56-27),'Throw Log'!$A$5:$A$300,"&lt;="&amp;($D$6-1)),0))/28),"")))</f>
        <v>Building</v>
      </c>
      <c r="J56" s="37"/>
      <c r="K56" s="37"/>
      <c r="L56" s="32">
        <v>13</v>
      </c>
      <c r="M56" s="32">
        <f t="shared" si="13"/>
        <v>2</v>
      </c>
      <c r="N56" s="32">
        <f t="shared" si="14"/>
        <v>6</v>
      </c>
      <c r="O56" s="32">
        <f t="shared" si="15"/>
        <v>0.17105263157894737</v>
      </c>
      <c r="P56" s="32">
        <f>IF(OR($A56="",N($C56)&lt;=7),"",$G$6*$G$9^($M56-1)*IF(AND(MOD($M56,Reference!$B$99)=0,$M56&lt;=$G$5-2),Reference!$B$100,1))</f>
        <v>90.007422064022563</v>
      </c>
      <c r="Q56" s="32">
        <f>IF($P56="","",IF(SUM($AK$50:$AK$56)=0,0,$P56*INDEX(Reference!$B$108:$B$114,$N56+1)/SUM($AK$50:$AK$56)))</f>
        <v>6.3005195444815802</v>
      </c>
      <c r="R56" s="32">
        <f t="shared" si="16"/>
        <v>90</v>
      </c>
      <c r="S56" s="32">
        <f t="shared" si="17"/>
        <v>90</v>
      </c>
      <c r="T56" s="32" t="str">
        <f>IF($A56="","",IF($C56=0,"Bullpen",IF(OR($C56=7,$C56=1,$C56=5),"Recovery/Easy Catch",IF($C56=6,"Compression/Pulldowns",IF(OR($C56=4,$C56=2),"Long Toss",IF($C56=3,"No Throw",IF($N56=2,"No Throw",IF($N56=6,IF($O56&lt;Reference!$B$104,"No Throw","Recovery/Easy Catch"),IF(OR($N56=0,$N56=4),"Recovery/Easy Catch",IF($N56=1,IF($R56&gt;75,"Long Toss","Recovery/Easy Catch"),IF($N56=3,IF($O56&lt;0.5,IF($S56&gt;75,"Long Toss","Recovery/Easy Catch"),"Compression/Pulldowns"),IF($S56&gt;75,"Long Toss","Recovery/Easy Catch"))))))))))))</f>
        <v>No Throw</v>
      </c>
      <c r="U56" s="32">
        <f t="shared" si="18"/>
        <v>60</v>
      </c>
      <c r="V56" s="32">
        <f t="shared" si="19"/>
        <v>20</v>
      </c>
      <c r="W56" s="32">
        <f t="shared" si="20"/>
        <v>24</v>
      </c>
      <c r="X56" s="32">
        <f t="shared" si="21"/>
        <v>0</v>
      </c>
      <c r="Y56" s="32" t="str">
        <f t="shared" si="22"/>
        <v/>
      </c>
      <c r="Z56" s="32" t="str">
        <f t="shared" si="23"/>
        <v/>
      </c>
      <c r="AA56" s="32" t="str">
        <f t="shared" si="24"/>
        <v/>
      </c>
      <c r="AB56" s="32">
        <f>IF($A56="","",IF($T56="No Throw",0,IF($K56&lt;&gt;"",$K56,IF($AA56&lt;&gt;"",ROUND($AA56*$D$12*IF($C56=0,1,$G$10),0),MIN(IF($T56="Recovery/Easy Catch",Reference!$B$103,IF($T56="Long Toss",Reference!$B$106,Reference!$B$102)),MAX(Reference!$B$101,ROUND(MAX(0,$Q56-$AE56)/$AF56,0)))))))</f>
        <v>0</v>
      </c>
      <c r="AC56" s="32">
        <f t="shared" si="25"/>
        <v>0</v>
      </c>
      <c r="AD56" s="32" t="b">
        <f t="shared" si="26"/>
        <v>1</v>
      </c>
      <c r="AE56" s="32">
        <f>IF($X56=0,0,$X56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56+$Z56)/2,0),Reference!$A$17:$B$20,2,TRUE()))</f>
        <v>0</v>
      </c>
      <c r="AF56" s="32">
        <f>IF(OR($A56="",$U56="",$T56="No Throw"),0,$AM56*VLOOKUP(MAX(($V56+$W56)/2,0),Reference!$A$17:$B$20,2,TRUE()))</f>
        <v>0</v>
      </c>
      <c r="AG56" s="32">
        <f>IF($AC56=0,0,$AC56*INDEX(Reference!$B$61:$B$62,MATCH("Bullpen",Reference!$A$61:$A$62,0))*VLOOKUP(MAX($D$5-($D$9+$E$9)/2,0),Reference!$A$17:$B$20,2,TRUE()))</f>
        <v>0</v>
      </c>
      <c r="AH56" s="32" t="e">
        <f t="shared" si="27"/>
        <v>#N/A</v>
      </c>
      <c r="AI56" s="32">
        <f>IF($A56="",NA(),Reference!$A$25)</f>
        <v>0.8</v>
      </c>
      <c r="AJ56" s="32">
        <f t="shared" si="28"/>
        <v>1.3</v>
      </c>
      <c r="AK56" s="32">
        <f>IF(OR($A56="",N($C56)&lt;=7,$T56="No Throw",$J56="x"),0,INDEX(Reference!$B$108:$B$114,$N56+1))</f>
        <v>0</v>
      </c>
      <c r="AL56" s="32">
        <f t="shared" si="29"/>
        <v>1</v>
      </c>
      <c r="AM56" s="32">
        <f>IF($U56="",0,IF($AL56&gt;1,((IF(1&lt;=$AL56,($AL56-1+3)*(INDEX(Reference!$B$6:$B$11,MIN(5,MATCH(MAX(Reference!$A$6,MIN(Reference!$A$11,MIN($U56,90))),Reference!$A$6:$A$11,1)))+(MAX(Reference!$A$6,MIN(Reference!$A$11,MIN($U56,90)))-INDEX(Reference!$A$6:$A$11,MIN(5,MATCH(MAX(Reference!$A$6,MIN(Reference!$A$11,MIN($U56,90))),Reference!$A$6:$A$11,1))))*(INDEX(Reference!$B$6:$B$11,MIN(5,MATCH(MAX(Reference!$A$6,MIN(Reference!$A$11,MIN($U56,90))),Reference!$A$6:$A$11,1))+1)-INDEX(Reference!$B$6:$B$11,MIN(5,MATCH(MAX(Reference!$A$6,MIN(Reference!$A$11,MIN($U56,90))),Reference!$A$6:$A$11,1))))/(INDEX(Reference!$A$6:$A$11,MIN(5,MATCH(MAX(Reference!$A$6,MIN(Reference!$A$11,MIN($U56,90))),Reference!$A$6:$A$11,1))+1)-INDEX(Reference!$A$6:$A$11,MIN(5,MATCH(MAX(Reference!$A$6,MIN(Reference!$A$11,MIN($U56,90))),Reference!$A$6:$A$11,1))))),0)+IF(2&lt;=$AL56,($AL56-2+3)*(INDEX(Reference!$B$6:$B$11,MIN(5,MATCH(MAX(Reference!$A$6,MIN(Reference!$A$11,MIN($U56,120))),Reference!$A$6:$A$11,1)))+(MAX(Reference!$A$6,MIN(Reference!$A$11,MIN($U56,120)))-INDEX(Reference!$A$6:$A$11,MIN(5,MATCH(MAX(Reference!$A$6,MIN(Reference!$A$11,MIN($U56,120))),Reference!$A$6:$A$11,1))))*(INDEX(Reference!$B$6:$B$11,MIN(5,MATCH(MAX(Reference!$A$6,MIN(Reference!$A$11,MIN($U56,120))),Reference!$A$6:$A$11,1))+1)-INDEX(Reference!$B$6:$B$11,MIN(5,MATCH(MAX(Reference!$A$6,MIN(Reference!$A$11,MIN($U56,120))),Reference!$A$6:$A$11,1))))/(INDEX(Reference!$A$6:$A$11,MIN(5,MATCH(MAX(Reference!$A$6,MIN(Reference!$A$11,MIN($U56,120))),Reference!$A$6:$A$11,1))+1)-INDEX(Reference!$A$6:$A$11,MIN(5,MATCH(MAX(Reference!$A$6,MIN(Reference!$A$11,MIN($U56,120))),Reference!$A$6:$A$11,1))))),0)+IF(3&lt;=$AL56,($AL56-3+3)*(INDEX(Reference!$B$6:$B$11,MIN(5,MATCH(MAX(Reference!$A$6,MIN(Reference!$A$11,MIN($U56,150))),Reference!$A$6:$A$11,1)))+(MAX(Reference!$A$6,MIN(Reference!$A$11,MIN($U56,150)))-INDEX(Reference!$A$6:$A$11,MIN(5,MATCH(MAX(Reference!$A$6,MIN(Reference!$A$11,MIN($U56,150))),Reference!$A$6:$A$11,1))))*(INDEX(Reference!$B$6:$B$11,MIN(5,MATCH(MAX(Reference!$A$6,MIN(Reference!$A$11,MIN($U56,150))),Reference!$A$6:$A$11,1))+1)-INDEX(Reference!$B$6:$B$11,MIN(5,MATCH(MAX(Reference!$A$6,MIN(Reference!$A$11,MIN($U56,150))),Reference!$A$6:$A$11,1))))/(INDEX(Reference!$A$6:$A$11,MIN(5,MATCH(MAX(Reference!$A$6,MIN(Reference!$A$11,MIN($U56,150))),Reference!$A$6:$A$11,1))+1)-INDEX(Reference!$A$6:$A$11,MIN(5,MATCH(MAX(Reference!$A$6,MIN(Reference!$A$11,MIN($U56,150))),Reference!$A$6:$A$11,1))))),0)+IF(4&lt;=$AL56,($AL56-4+3)*(INDEX(Reference!$B$6:$B$11,MIN(5,MATCH(MAX(Reference!$A$6,MIN(Reference!$A$11,MIN($U56,180))),Reference!$A$6:$A$11,1)))+(MAX(Reference!$A$6,MIN(Reference!$A$11,MIN($U56,180)))-INDEX(Reference!$A$6:$A$11,MIN(5,MATCH(MAX(Reference!$A$6,MIN(Reference!$A$11,MIN($U56,180))),Reference!$A$6:$A$11,1))))*(INDEX(Reference!$B$6:$B$11,MIN(5,MATCH(MAX(Reference!$A$6,MIN(Reference!$A$11,MIN($U56,180))),Reference!$A$6:$A$11,1))+1)-INDEX(Reference!$B$6:$B$11,MIN(5,MATCH(MAX(Reference!$A$6,MIN(Reference!$A$11,MIN($U56,180))),Reference!$A$6:$A$11,1))))/(INDEX(Reference!$A$6:$A$11,MIN(5,MATCH(MAX(Reference!$A$6,MIN(Reference!$A$11,MIN($U56,180))),Reference!$A$6:$A$11,1))+1)-INDEX(Reference!$A$6:$A$11,MIN(5,MATCH(MAX(Reference!$A$6,MIN(Reference!$A$11,MIN($U56,180))),Reference!$A$6:$A$11,1))))),0)+IF(5&lt;=$AL56,($AL56-5+3)*(INDEX(Reference!$B$6:$B$11,MIN(5,MATCH(MAX(Reference!$A$6,MIN(Reference!$A$11,MIN($U56,210))),Reference!$A$6:$A$11,1)))+(MAX(Reference!$A$6,MIN(Reference!$A$11,MIN($U56,210)))-INDEX(Reference!$A$6:$A$11,MIN(5,MATCH(MAX(Reference!$A$6,MIN(Reference!$A$11,MIN($U56,210))),Reference!$A$6:$A$11,1))))*(INDEX(Reference!$B$6:$B$11,MIN(5,MATCH(MAX(Reference!$A$6,MIN(Reference!$A$11,MIN($U56,210))),Reference!$A$6:$A$11,1))+1)-INDEX(Reference!$B$6:$B$11,MIN(5,MATCH(MAX(Reference!$A$6,MIN(Reference!$A$11,MIN($U56,210))),Reference!$A$6:$A$11,1))))/(INDEX(Reference!$A$6:$A$11,MIN(5,MATCH(MAX(Reference!$A$6,MIN(Reference!$A$11,MIN($U56,210))),Reference!$A$6:$A$11,1))+1)-INDEX(Reference!$A$6:$A$11,MIN(5,MATCH(MAX(Reference!$A$6,MIN(Reference!$A$11,MIN($U56,210))),Reference!$A$6:$A$11,1))))),0)+IF(6&lt;=$AL56,($AL56-6+3)*(INDEX(Reference!$B$6:$B$11,MIN(5,MATCH(MAX(Reference!$A$6,MIN(Reference!$A$11,MIN($U56,240))),Reference!$A$6:$A$11,1)))+(MAX(Reference!$A$6,MIN(Reference!$A$11,MIN($U56,240)))-INDEX(Reference!$A$6:$A$11,MIN(5,MATCH(MAX(Reference!$A$6,MIN(Reference!$A$11,MIN($U56,240))),Reference!$A$6:$A$11,1))))*(INDEX(Reference!$B$6:$B$11,MIN(5,MATCH(MAX(Reference!$A$6,MIN(Reference!$A$11,MIN($U56,240))),Reference!$A$6:$A$11,1))+1)-INDEX(Reference!$B$6:$B$11,MIN(5,MATCH(MAX(Reference!$A$6,MIN(Reference!$A$11,MIN($U56,240))),Reference!$A$6:$A$11,1))))/(INDEX(Reference!$A$6:$A$11,MIN(5,MATCH(MAX(Reference!$A$6,MIN(Reference!$A$11,MIN($U56,240))),Reference!$A$6:$A$11,1))+1)-INDEX(Reference!$A$6:$A$11,MIN(5,MATCH(MAX(Reference!$A$6,MIN(Reference!$A$11,MIN($U56,240))),Reference!$A$6:$A$11,1))))),0)+IF(7&lt;=$AL56,($AL56-7+3)*(INDEX(Reference!$B$6:$B$11,MIN(5,MATCH(MAX(Reference!$A$6,MIN(Reference!$A$11,MIN($U56,270))),Reference!$A$6:$A$11,1)))+(MAX(Reference!$A$6,MIN(Reference!$A$11,MIN($U56,270)))-INDEX(Reference!$A$6:$A$11,MIN(5,MATCH(MAX(Reference!$A$6,MIN(Reference!$A$11,MIN($U56,270))),Reference!$A$6:$A$11,1))))*(INDEX(Reference!$B$6:$B$11,MIN(5,MATCH(MAX(Reference!$A$6,MIN(Reference!$A$11,MIN($U56,270))),Reference!$A$6:$A$11,1))+1)-INDEX(Reference!$B$6:$B$11,MIN(5,MATCH(MAX(Reference!$A$6,MIN(Reference!$A$11,MIN($U56,270))),Reference!$A$6:$A$11,1))))/(INDEX(Reference!$A$6:$A$11,MIN(5,MATCH(MAX(Reference!$A$6,MIN(Reference!$A$11,MIN($U56,270))),Reference!$A$6:$A$11,1))+1)-INDEX(Reference!$A$6:$A$11,MIN(5,MATCH(MAX(Reference!$A$6,MIN(Reference!$A$11,MIN($U56,270))),Reference!$A$6:$A$11,1))))),0)+IF(8&lt;=$AL56,($AL56-8+3)*(INDEX(Reference!$B$6:$B$11,MIN(5,MATCH(MAX(Reference!$A$6,MIN(Reference!$A$11,MIN($U56,300))),Reference!$A$6:$A$11,1)))+(MAX(Reference!$A$6,MIN(Reference!$A$11,MIN($U56,300)))-INDEX(Reference!$A$6:$A$11,MIN(5,MATCH(MAX(Reference!$A$6,MIN(Reference!$A$11,MIN($U56,300))),Reference!$A$6:$A$11,1))))*(INDEX(Reference!$B$6:$B$11,MIN(5,MATCH(MAX(Reference!$A$6,MIN(Reference!$A$11,MIN($U56,300))),Reference!$A$6:$A$11,1))+1)-INDEX(Reference!$B$6:$B$11,MIN(5,MATCH(MAX(Reference!$A$6,MIN(Reference!$A$11,MIN($U56,300))),Reference!$A$6:$A$11,1))))/(INDEX(Reference!$A$6:$A$11,MIN(5,MATCH(MAX(Reference!$A$6,MIN(Reference!$A$11,MIN($U56,300))),Reference!$A$6:$A$11,1))+1)-INDEX(Reference!$A$6:$A$11,MIN(5,MATCH(MAX(Reference!$A$6,MIN(Reference!$A$11,MIN($U56,300))),Reference!$A$6:$A$11,1))))),0))/($AL56*($AL56+5)/2)),$AN56))</f>
        <v>1</v>
      </c>
      <c r="AN56" s="32">
        <f>IF($U56="",0,(INDEX(Reference!$B$6:$B$11,MIN(5,MATCH(MAX(Reference!$A$6,MIN(Reference!$A$11,$U56)),Reference!$A$6:$A$11,1)))+(MAX(Reference!$A$6,MIN(Reference!$A$11,$U56))-INDEX(Reference!$A$6:$A$11,MIN(5,MATCH(MAX(Reference!$A$6,MIN(Reference!$A$11,$U56)),Reference!$A$6:$A$11,1))))*(INDEX(Reference!$B$6:$B$11,MIN(5,MATCH(MAX(Reference!$A$6,MIN(Reference!$A$11,$U56)),Reference!$A$6:$A$11,1))+1)-INDEX(Reference!$B$6:$B$11,MIN(5,MATCH(MAX(Reference!$A$6,MIN(Reference!$A$11,$U56)),Reference!$A$6:$A$11,1))))/(INDEX(Reference!$A$6:$A$11,MIN(5,MATCH(MAX(Reference!$A$6,MIN(Reference!$A$11,$U56)),Reference!$A$6:$A$11,1))+1)-INDEX(Reference!$A$6:$A$11,MIN(5,MATCH(MAX(Reference!$A$6,MIN(Reference!$A$11,$U56)),Reference!$A$6:$A$11,1))))))</f>
        <v>1</v>
      </c>
      <c r="AO56" s="37"/>
      <c r="AP56" s="37"/>
      <c r="AQ56" s="37"/>
    </row>
    <row r="57" spans="1:43" x14ac:dyDescent="0.3">
      <c r="A57" s="48">
        <f t="shared" si="5"/>
        <v>46321</v>
      </c>
      <c r="B57" s="32" t="str">
        <f t="shared" si="6"/>
        <v>Mon</v>
      </c>
      <c r="C57" s="32">
        <f t="shared" si="7"/>
        <v>70</v>
      </c>
      <c r="D57" s="32" t="str">
        <f t="shared" si="8"/>
        <v>Re-entry</v>
      </c>
      <c r="E57" s="32" t="str">
        <f t="shared" si="9"/>
        <v>Low</v>
      </c>
      <c r="F57" s="32" t="str">
        <f t="shared" si="10"/>
        <v>Recovery/Easy Catch</v>
      </c>
      <c r="G57" s="47" t="str">
        <f t="shared" si="11"/>
        <v>60 ft × 20 @ 67–71 mph</v>
      </c>
      <c r="H57" s="30">
        <f t="shared" si="12"/>
        <v>12</v>
      </c>
      <c r="I57" s="46" t="str">
        <f>IF($A57="","",IF(AND($L57&lt;27,$K$12=0),"Building",IFERROR(((SUM($H$51:$H57)+$K$12*IF($L57&lt;6,SUMIFS('Throw Log'!$Q$5:$Q$300,'Throw Log'!$B$5:$B$300,$D$4,'Throw Log'!$A$5:$A$300,"&gt;="&amp;($D$6+$L57-6),'Throw Log'!$A$5:$A$300,"&lt;="&amp;($D$6-1)),0))/7)/((SUM($H$43:$H57)+$K$12*IF($L57&lt;27,SUMIFS('Throw Log'!$Q$5:$Q$300,'Throw Log'!$B$5:$B$300,$D$4,'Throw Log'!$A$5:$A$300,"&gt;="&amp;($D$6+$L57-27),'Throw Log'!$A$5:$A$300,"&lt;="&amp;($D$6-1)),0))/28),"")))</f>
        <v>Building</v>
      </c>
      <c r="J57" s="37"/>
      <c r="K57" s="37"/>
      <c r="L57" s="32">
        <v>14</v>
      </c>
      <c r="M57" s="32">
        <f t="shared" si="13"/>
        <v>3</v>
      </c>
      <c r="N57" s="32">
        <f t="shared" si="14"/>
        <v>0</v>
      </c>
      <c r="O57" s="32">
        <f t="shared" si="15"/>
        <v>0.18421052631578946</v>
      </c>
      <c r="P57" s="32">
        <f>IF(OR($A57="",N($C57)&lt;=7),"",$G$6*$G$9^($M57-1)*IF(AND(MOD($M57,Reference!$B$99)=0,$M57&lt;=$G$5-2),Reference!$B$100,1))</f>
        <v>101.26670033263869</v>
      </c>
      <c r="Q57" s="32">
        <f>IF($P57="","",IF(SUM($AK$57:$AK$63)=0,0,$P57*INDEX(Reference!$B$108:$B$114,$N57+1)/SUM($AK$57:$AK$63)))</f>
        <v>12.152004039916642</v>
      </c>
      <c r="R57" s="32">
        <f t="shared" si="16"/>
        <v>90</v>
      </c>
      <c r="S57" s="32">
        <f t="shared" si="17"/>
        <v>90</v>
      </c>
      <c r="T57" s="32" t="str">
        <f>IF($A57="","",IF($C57=0,"Bullpen",IF(OR($C57=7,$C57=1,$C57=5),"Recovery/Easy Catch",IF($C57=6,"Compression/Pulldowns",IF(OR($C57=4,$C57=2),"Long Toss",IF($C57=3,"No Throw",IF($N57=2,"No Throw",IF($N57=6,IF($O57&lt;Reference!$B$104,"No Throw","Recovery/Easy Catch"),IF(OR($N57=0,$N57=4),"Recovery/Easy Catch",IF($N57=1,IF($R57&gt;75,"Long Toss","Recovery/Easy Catch"),IF($N57=3,IF($O57&lt;0.5,IF($S57&gt;75,"Long Toss","Recovery/Easy Catch"),"Compression/Pulldowns"),IF($S57&gt;75,"Long Toss","Recovery/Easy Catch"))))))))))))</f>
        <v>Recovery/Easy Catch</v>
      </c>
      <c r="U57" s="32">
        <f t="shared" si="18"/>
        <v>60</v>
      </c>
      <c r="V57" s="32">
        <f t="shared" si="19"/>
        <v>20</v>
      </c>
      <c r="W57" s="32">
        <f t="shared" si="20"/>
        <v>24</v>
      </c>
      <c r="X57" s="32">
        <f t="shared" si="21"/>
        <v>0</v>
      </c>
      <c r="Y57" s="32" t="str">
        <f t="shared" si="22"/>
        <v/>
      </c>
      <c r="Z57" s="32" t="str">
        <f t="shared" si="23"/>
        <v/>
      </c>
      <c r="AA57" s="32" t="str">
        <f t="shared" si="24"/>
        <v/>
      </c>
      <c r="AB57" s="32">
        <f>IF($A57="","",IF($T57="No Throw",0,IF($K57&lt;&gt;"",$K57,IF($AA57&lt;&gt;"",ROUND($AA57*$D$12*IF($C57=0,1,$G$10),0),MIN(IF($T57="Recovery/Easy Catch",Reference!$B$103,IF($T57="Long Toss",Reference!$B$106,Reference!$B$102)),MAX(Reference!$B$101,ROUND(MAX(0,$Q57-$AE57)/$AF57,0)))))))</f>
        <v>20</v>
      </c>
      <c r="AC57" s="32">
        <f t="shared" si="25"/>
        <v>0</v>
      </c>
      <c r="AD57" s="32" t="b">
        <f t="shared" si="26"/>
        <v>0</v>
      </c>
      <c r="AE57" s="32">
        <f>IF($X57=0,0,$X57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57+$Z57)/2,0),Reference!$A$17:$B$20,2,TRUE()))</f>
        <v>0</v>
      </c>
      <c r="AF57" s="32">
        <f>IF(OR($A57="",$U57="",$T57="No Throw"),0,$AM57*VLOOKUP(MAX(($V57+$W57)/2,0),Reference!$A$17:$B$20,2,TRUE()))</f>
        <v>0.6</v>
      </c>
      <c r="AG57" s="32">
        <f>IF($AC57=0,0,$AC57*INDEX(Reference!$B$61:$B$62,MATCH("Bullpen",Reference!$A$61:$A$62,0))*VLOOKUP(MAX($D$5-($D$9+$E$9)/2,0),Reference!$A$17:$B$20,2,TRUE()))</f>
        <v>0</v>
      </c>
      <c r="AH57" s="32" t="e">
        <f t="shared" si="27"/>
        <v>#N/A</v>
      </c>
      <c r="AI57" s="32">
        <f>IF($A57="",NA(),Reference!$A$25)</f>
        <v>0.8</v>
      </c>
      <c r="AJ57" s="32">
        <f t="shared" si="28"/>
        <v>1.3</v>
      </c>
      <c r="AK57" s="56">
        <f>IF(OR($A57="",N($C57)&lt;=7,$T57="No Throw",$J57="x"),0,INDEX(Reference!$B$108:$B$114,$N57+1))</f>
        <v>0.12</v>
      </c>
      <c r="AL57" s="32">
        <f t="shared" si="29"/>
        <v>1</v>
      </c>
      <c r="AM57" s="32">
        <f>IF($U57="",0,IF($AL57&gt;1,((IF(1&lt;=$AL57,($AL57-1+3)*(INDEX(Reference!$B$6:$B$11,MIN(5,MATCH(MAX(Reference!$A$6,MIN(Reference!$A$11,MIN($U57,90))),Reference!$A$6:$A$11,1)))+(MAX(Reference!$A$6,MIN(Reference!$A$11,MIN($U57,90)))-INDEX(Reference!$A$6:$A$11,MIN(5,MATCH(MAX(Reference!$A$6,MIN(Reference!$A$11,MIN($U57,90))),Reference!$A$6:$A$11,1))))*(INDEX(Reference!$B$6:$B$11,MIN(5,MATCH(MAX(Reference!$A$6,MIN(Reference!$A$11,MIN($U57,90))),Reference!$A$6:$A$11,1))+1)-INDEX(Reference!$B$6:$B$11,MIN(5,MATCH(MAX(Reference!$A$6,MIN(Reference!$A$11,MIN($U57,90))),Reference!$A$6:$A$11,1))))/(INDEX(Reference!$A$6:$A$11,MIN(5,MATCH(MAX(Reference!$A$6,MIN(Reference!$A$11,MIN($U57,90))),Reference!$A$6:$A$11,1))+1)-INDEX(Reference!$A$6:$A$11,MIN(5,MATCH(MAX(Reference!$A$6,MIN(Reference!$A$11,MIN($U57,90))),Reference!$A$6:$A$11,1))))),0)+IF(2&lt;=$AL57,($AL57-2+3)*(INDEX(Reference!$B$6:$B$11,MIN(5,MATCH(MAX(Reference!$A$6,MIN(Reference!$A$11,MIN($U57,120))),Reference!$A$6:$A$11,1)))+(MAX(Reference!$A$6,MIN(Reference!$A$11,MIN($U57,120)))-INDEX(Reference!$A$6:$A$11,MIN(5,MATCH(MAX(Reference!$A$6,MIN(Reference!$A$11,MIN($U57,120))),Reference!$A$6:$A$11,1))))*(INDEX(Reference!$B$6:$B$11,MIN(5,MATCH(MAX(Reference!$A$6,MIN(Reference!$A$11,MIN($U57,120))),Reference!$A$6:$A$11,1))+1)-INDEX(Reference!$B$6:$B$11,MIN(5,MATCH(MAX(Reference!$A$6,MIN(Reference!$A$11,MIN($U57,120))),Reference!$A$6:$A$11,1))))/(INDEX(Reference!$A$6:$A$11,MIN(5,MATCH(MAX(Reference!$A$6,MIN(Reference!$A$11,MIN($U57,120))),Reference!$A$6:$A$11,1))+1)-INDEX(Reference!$A$6:$A$11,MIN(5,MATCH(MAX(Reference!$A$6,MIN(Reference!$A$11,MIN($U57,120))),Reference!$A$6:$A$11,1))))),0)+IF(3&lt;=$AL57,($AL57-3+3)*(INDEX(Reference!$B$6:$B$11,MIN(5,MATCH(MAX(Reference!$A$6,MIN(Reference!$A$11,MIN($U57,150))),Reference!$A$6:$A$11,1)))+(MAX(Reference!$A$6,MIN(Reference!$A$11,MIN($U57,150)))-INDEX(Reference!$A$6:$A$11,MIN(5,MATCH(MAX(Reference!$A$6,MIN(Reference!$A$11,MIN($U57,150))),Reference!$A$6:$A$11,1))))*(INDEX(Reference!$B$6:$B$11,MIN(5,MATCH(MAX(Reference!$A$6,MIN(Reference!$A$11,MIN($U57,150))),Reference!$A$6:$A$11,1))+1)-INDEX(Reference!$B$6:$B$11,MIN(5,MATCH(MAX(Reference!$A$6,MIN(Reference!$A$11,MIN($U57,150))),Reference!$A$6:$A$11,1))))/(INDEX(Reference!$A$6:$A$11,MIN(5,MATCH(MAX(Reference!$A$6,MIN(Reference!$A$11,MIN($U57,150))),Reference!$A$6:$A$11,1))+1)-INDEX(Reference!$A$6:$A$11,MIN(5,MATCH(MAX(Reference!$A$6,MIN(Reference!$A$11,MIN($U57,150))),Reference!$A$6:$A$11,1))))),0)+IF(4&lt;=$AL57,($AL57-4+3)*(INDEX(Reference!$B$6:$B$11,MIN(5,MATCH(MAX(Reference!$A$6,MIN(Reference!$A$11,MIN($U57,180))),Reference!$A$6:$A$11,1)))+(MAX(Reference!$A$6,MIN(Reference!$A$11,MIN($U57,180)))-INDEX(Reference!$A$6:$A$11,MIN(5,MATCH(MAX(Reference!$A$6,MIN(Reference!$A$11,MIN($U57,180))),Reference!$A$6:$A$11,1))))*(INDEX(Reference!$B$6:$B$11,MIN(5,MATCH(MAX(Reference!$A$6,MIN(Reference!$A$11,MIN($U57,180))),Reference!$A$6:$A$11,1))+1)-INDEX(Reference!$B$6:$B$11,MIN(5,MATCH(MAX(Reference!$A$6,MIN(Reference!$A$11,MIN($U57,180))),Reference!$A$6:$A$11,1))))/(INDEX(Reference!$A$6:$A$11,MIN(5,MATCH(MAX(Reference!$A$6,MIN(Reference!$A$11,MIN($U57,180))),Reference!$A$6:$A$11,1))+1)-INDEX(Reference!$A$6:$A$11,MIN(5,MATCH(MAX(Reference!$A$6,MIN(Reference!$A$11,MIN($U57,180))),Reference!$A$6:$A$11,1))))),0)+IF(5&lt;=$AL57,($AL57-5+3)*(INDEX(Reference!$B$6:$B$11,MIN(5,MATCH(MAX(Reference!$A$6,MIN(Reference!$A$11,MIN($U57,210))),Reference!$A$6:$A$11,1)))+(MAX(Reference!$A$6,MIN(Reference!$A$11,MIN($U57,210)))-INDEX(Reference!$A$6:$A$11,MIN(5,MATCH(MAX(Reference!$A$6,MIN(Reference!$A$11,MIN($U57,210))),Reference!$A$6:$A$11,1))))*(INDEX(Reference!$B$6:$B$11,MIN(5,MATCH(MAX(Reference!$A$6,MIN(Reference!$A$11,MIN($U57,210))),Reference!$A$6:$A$11,1))+1)-INDEX(Reference!$B$6:$B$11,MIN(5,MATCH(MAX(Reference!$A$6,MIN(Reference!$A$11,MIN($U57,210))),Reference!$A$6:$A$11,1))))/(INDEX(Reference!$A$6:$A$11,MIN(5,MATCH(MAX(Reference!$A$6,MIN(Reference!$A$11,MIN($U57,210))),Reference!$A$6:$A$11,1))+1)-INDEX(Reference!$A$6:$A$11,MIN(5,MATCH(MAX(Reference!$A$6,MIN(Reference!$A$11,MIN($U57,210))),Reference!$A$6:$A$11,1))))),0)+IF(6&lt;=$AL57,($AL57-6+3)*(INDEX(Reference!$B$6:$B$11,MIN(5,MATCH(MAX(Reference!$A$6,MIN(Reference!$A$11,MIN($U57,240))),Reference!$A$6:$A$11,1)))+(MAX(Reference!$A$6,MIN(Reference!$A$11,MIN($U57,240)))-INDEX(Reference!$A$6:$A$11,MIN(5,MATCH(MAX(Reference!$A$6,MIN(Reference!$A$11,MIN($U57,240))),Reference!$A$6:$A$11,1))))*(INDEX(Reference!$B$6:$B$11,MIN(5,MATCH(MAX(Reference!$A$6,MIN(Reference!$A$11,MIN($U57,240))),Reference!$A$6:$A$11,1))+1)-INDEX(Reference!$B$6:$B$11,MIN(5,MATCH(MAX(Reference!$A$6,MIN(Reference!$A$11,MIN($U57,240))),Reference!$A$6:$A$11,1))))/(INDEX(Reference!$A$6:$A$11,MIN(5,MATCH(MAX(Reference!$A$6,MIN(Reference!$A$11,MIN($U57,240))),Reference!$A$6:$A$11,1))+1)-INDEX(Reference!$A$6:$A$11,MIN(5,MATCH(MAX(Reference!$A$6,MIN(Reference!$A$11,MIN($U57,240))),Reference!$A$6:$A$11,1))))),0)+IF(7&lt;=$AL57,($AL57-7+3)*(INDEX(Reference!$B$6:$B$11,MIN(5,MATCH(MAX(Reference!$A$6,MIN(Reference!$A$11,MIN($U57,270))),Reference!$A$6:$A$11,1)))+(MAX(Reference!$A$6,MIN(Reference!$A$11,MIN($U57,270)))-INDEX(Reference!$A$6:$A$11,MIN(5,MATCH(MAX(Reference!$A$6,MIN(Reference!$A$11,MIN($U57,270))),Reference!$A$6:$A$11,1))))*(INDEX(Reference!$B$6:$B$11,MIN(5,MATCH(MAX(Reference!$A$6,MIN(Reference!$A$11,MIN($U57,270))),Reference!$A$6:$A$11,1))+1)-INDEX(Reference!$B$6:$B$11,MIN(5,MATCH(MAX(Reference!$A$6,MIN(Reference!$A$11,MIN($U57,270))),Reference!$A$6:$A$11,1))))/(INDEX(Reference!$A$6:$A$11,MIN(5,MATCH(MAX(Reference!$A$6,MIN(Reference!$A$11,MIN($U57,270))),Reference!$A$6:$A$11,1))+1)-INDEX(Reference!$A$6:$A$11,MIN(5,MATCH(MAX(Reference!$A$6,MIN(Reference!$A$11,MIN($U57,270))),Reference!$A$6:$A$11,1))))),0)+IF(8&lt;=$AL57,($AL57-8+3)*(INDEX(Reference!$B$6:$B$11,MIN(5,MATCH(MAX(Reference!$A$6,MIN(Reference!$A$11,MIN($U57,300))),Reference!$A$6:$A$11,1)))+(MAX(Reference!$A$6,MIN(Reference!$A$11,MIN($U57,300)))-INDEX(Reference!$A$6:$A$11,MIN(5,MATCH(MAX(Reference!$A$6,MIN(Reference!$A$11,MIN($U57,300))),Reference!$A$6:$A$11,1))))*(INDEX(Reference!$B$6:$B$11,MIN(5,MATCH(MAX(Reference!$A$6,MIN(Reference!$A$11,MIN($U57,300))),Reference!$A$6:$A$11,1))+1)-INDEX(Reference!$B$6:$B$11,MIN(5,MATCH(MAX(Reference!$A$6,MIN(Reference!$A$11,MIN($U57,300))),Reference!$A$6:$A$11,1))))/(INDEX(Reference!$A$6:$A$11,MIN(5,MATCH(MAX(Reference!$A$6,MIN(Reference!$A$11,MIN($U57,300))),Reference!$A$6:$A$11,1))+1)-INDEX(Reference!$A$6:$A$11,MIN(5,MATCH(MAX(Reference!$A$6,MIN(Reference!$A$11,MIN($U57,300))),Reference!$A$6:$A$11,1))))),0))/($AL57*($AL57+5)/2)),$AN57))</f>
        <v>1</v>
      </c>
      <c r="AN57" s="32">
        <f>IF($U57="",0,(INDEX(Reference!$B$6:$B$11,MIN(5,MATCH(MAX(Reference!$A$6,MIN(Reference!$A$11,$U57)),Reference!$A$6:$A$11,1)))+(MAX(Reference!$A$6,MIN(Reference!$A$11,$U57))-INDEX(Reference!$A$6:$A$11,MIN(5,MATCH(MAX(Reference!$A$6,MIN(Reference!$A$11,$U57)),Reference!$A$6:$A$11,1))))*(INDEX(Reference!$B$6:$B$11,MIN(5,MATCH(MAX(Reference!$A$6,MIN(Reference!$A$11,$U57)),Reference!$A$6:$A$11,1))+1)-INDEX(Reference!$B$6:$B$11,MIN(5,MATCH(MAX(Reference!$A$6,MIN(Reference!$A$11,$U57)),Reference!$A$6:$A$11,1))))/(INDEX(Reference!$A$6:$A$11,MIN(5,MATCH(MAX(Reference!$A$6,MIN(Reference!$A$11,$U57)),Reference!$A$6:$A$11,1))+1)-INDEX(Reference!$A$6:$A$11,MIN(5,MATCH(MAX(Reference!$A$6,MIN(Reference!$A$11,$U57)),Reference!$A$6:$A$11,1))))))</f>
        <v>1</v>
      </c>
      <c r="AO57" s="37"/>
      <c r="AP57" s="37"/>
      <c r="AQ57" s="37"/>
    </row>
    <row r="58" spans="1:43" x14ac:dyDescent="0.3">
      <c r="A58" s="48">
        <f t="shared" si="5"/>
        <v>46322</v>
      </c>
      <c r="B58" s="32" t="str">
        <f t="shared" si="6"/>
        <v>Tue</v>
      </c>
      <c r="C58" s="32">
        <f t="shared" si="7"/>
        <v>69</v>
      </c>
      <c r="D58" s="32" t="str">
        <f t="shared" si="8"/>
        <v>Re-entry</v>
      </c>
      <c r="E58" s="32" t="str">
        <f t="shared" si="9"/>
        <v>Low</v>
      </c>
      <c r="F58" s="32" t="str">
        <f t="shared" si="10"/>
        <v>Long Toss</v>
      </c>
      <c r="G58" s="47" t="str">
        <f t="shared" si="11"/>
        <v>90 ft × 35 @ 69–73 mph</v>
      </c>
      <c r="H58" s="30">
        <f t="shared" si="12"/>
        <v>27.3</v>
      </c>
      <c r="I58" s="46" t="str">
        <f>IF($A58="","",IF(AND($L58&lt;27,$K$12=0),"Building",IFERROR(((SUM($H$52:$H58)+$K$12*IF($L58&lt;6,SUMIFS('Throw Log'!$Q$5:$Q$300,'Throw Log'!$B$5:$B$300,$D$4,'Throw Log'!$A$5:$A$300,"&gt;="&amp;($D$6+$L58-6),'Throw Log'!$A$5:$A$300,"&lt;="&amp;($D$6-1)),0))/7)/((SUM($H$43:$H58)+$K$12*IF($L58&lt;27,SUMIFS('Throw Log'!$Q$5:$Q$300,'Throw Log'!$B$5:$B$300,$D$4,'Throw Log'!$A$5:$A$300,"&gt;="&amp;($D$6+$L58-27),'Throw Log'!$A$5:$A$300,"&lt;="&amp;($D$6-1)),0))/28),"")))</f>
        <v>Building</v>
      </c>
      <c r="J58" s="37"/>
      <c r="K58" s="37"/>
      <c r="L58" s="32">
        <v>15</v>
      </c>
      <c r="M58" s="32">
        <f t="shared" si="13"/>
        <v>3</v>
      </c>
      <c r="N58" s="32">
        <f t="shared" si="14"/>
        <v>1</v>
      </c>
      <c r="O58" s="32">
        <f t="shared" si="15"/>
        <v>0.19736842105263158</v>
      </c>
      <c r="P58" s="32">
        <f>IF(OR($A58="",N($C58)&lt;=7),"",$G$6*$G$9^($M58-1)*IF(AND(MOD($M58,Reference!$B$99)=0,$M58&lt;=$G$5-2),Reference!$B$100,1))</f>
        <v>101.26670033263869</v>
      </c>
      <c r="Q58" s="32">
        <f>IF($P58="","",IF(SUM($AK$57:$AK$63)=0,0,$P58*INDEX(Reference!$B$108:$B$114,$N58+1)/SUM($AK$57:$AK$63)))</f>
        <v>27.34200908981245</v>
      </c>
      <c r="R58" s="32">
        <f t="shared" si="16"/>
        <v>90</v>
      </c>
      <c r="S58" s="32">
        <f t="shared" si="17"/>
        <v>90</v>
      </c>
      <c r="T58" s="32" t="str">
        <f>IF($A58="","",IF($C58=0,"Bullpen",IF(OR($C58=7,$C58=1,$C58=5),"Recovery/Easy Catch",IF($C58=6,"Compression/Pulldowns",IF(OR($C58=4,$C58=2),"Long Toss",IF($C58=3,"No Throw",IF($N58=2,"No Throw",IF($N58=6,IF($O58&lt;Reference!$B$104,"No Throw","Recovery/Easy Catch"),IF(OR($N58=0,$N58=4),"Recovery/Easy Catch",IF($N58=1,IF($R58&gt;75,"Long Toss","Recovery/Easy Catch"),IF($N58=3,IF($O58&lt;0.5,IF($S58&gt;75,"Long Toss","Recovery/Easy Catch"),"Compression/Pulldowns"),IF($S58&gt;75,"Long Toss","Recovery/Easy Catch"))))))))))))</f>
        <v>Long Toss</v>
      </c>
      <c r="U58" s="32">
        <f t="shared" si="18"/>
        <v>90</v>
      </c>
      <c r="V58" s="32">
        <f t="shared" si="19"/>
        <v>18</v>
      </c>
      <c r="W58" s="32">
        <f t="shared" si="20"/>
        <v>22</v>
      </c>
      <c r="X58" s="32">
        <f t="shared" si="21"/>
        <v>0</v>
      </c>
      <c r="Y58" s="32" t="str">
        <f t="shared" si="22"/>
        <v/>
      </c>
      <c r="Z58" s="32" t="str">
        <f t="shared" si="23"/>
        <v/>
      </c>
      <c r="AA58" s="32" t="str">
        <f t="shared" si="24"/>
        <v/>
      </c>
      <c r="AB58" s="32">
        <f>IF($A58="","",IF($T58="No Throw",0,IF($K58&lt;&gt;"",$K58,IF($AA58&lt;&gt;"",ROUND($AA58*$D$12*IF($C58=0,1,$G$10),0),MIN(IF($T58="Recovery/Easy Catch",Reference!$B$103,IF($T58="Long Toss",Reference!$B$106,Reference!$B$102)),MAX(Reference!$B$101,ROUND(MAX(0,$Q58-$AE58)/$AF58,0)))))))</f>
        <v>35</v>
      </c>
      <c r="AC58" s="32">
        <f t="shared" si="25"/>
        <v>0</v>
      </c>
      <c r="AD58" s="32" t="b">
        <f t="shared" si="26"/>
        <v>0</v>
      </c>
      <c r="AE58" s="32">
        <f>IF($X58=0,0,$X58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58+$Z58)/2,0),Reference!$A$17:$B$20,2,TRUE()))</f>
        <v>0</v>
      </c>
      <c r="AF58" s="32">
        <f>IF(OR($A58="",$U58="",$T58="No Throw"),0,$AM58*VLOOKUP(MAX(($V58+$W58)/2,0),Reference!$A$17:$B$20,2,TRUE()))</f>
        <v>0.78</v>
      </c>
      <c r="AG58" s="32">
        <f>IF($AC58=0,0,$AC58*INDEX(Reference!$B$61:$B$62,MATCH("Bullpen",Reference!$A$61:$A$62,0))*VLOOKUP(MAX($D$5-($D$9+$E$9)/2,0),Reference!$A$17:$B$20,2,TRUE()))</f>
        <v>0</v>
      </c>
      <c r="AH58" s="32" t="e">
        <f t="shared" si="27"/>
        <v>#N/A</v>
      </c>
      <c r="AI58" s="32">
        <f>IF($A58="",NA(),Reference!$A$25)</f>
        <v>0.8</v>
      </c>
      <c r="AJ58" s="32">
        <f t="shared" si="28"/>
        <v>1.3</v>
      </c>
      <c r="AK58" s="56">
        <f>IF(OR($A58="",N($C58)&lt;=7,$T58="No Throw",$J58="x"),0,INDEX(Reference!$B$108:$B$114,$N58+1))</f>
        <v>0.27</v>
      </c>
      <c r="AL58" s="32">
        <f t="shared" si="29"/>
        <v>1</v>
      </c>
      <c r="AM58" s="32">
        <f>IF($U58="",0,IF($AL58&gt;1,((IF(1&lt;=$AL58,($AL58-1+3)*(INDEX(Reference!$B$6:$B$11,MIN(5,MATCH(MAX(Reference!$A$6,MIN(Reference!$A$11,MIN($U58,90))),Reference!$A$6:$A$11,1)))+(MAX(Reference!$A$6,MIN(Reference!$A$11,MIN($U58,90)))-INDEX(Reference!$A$6:$A$11,MIN(5,MATCH(MAX(Reference!$A$6,MIN(Reference!$A$11,MIN($U58,90))),Reference!$A$6:$A$11,1))))*(INDEX(Reference!$B$6:$B$11,MIN(5,MATCH(MAX(Reference!$A$6,MIN(Reference!$A$11,MIN($U58,90))),Reference!$A$6:$A$11,1))+1)-INDEX(Reference!$B$6:$B$11,MIN(5,MATCH(MAX(Reference!$A$6,MIN(Reference!$A$11,MIN($U58,90))),Reference!$A$6:$A$11,1))))/(INDEX(Reference!$A$6:$A$11,MIN(5,MATCH(MAX(Reference!$A$6,MIN(Reference!$A$11,MIN($U58,90))),Reference!$A$6:$A$11,1))+1)-INDEX(Reference!$A$6:$A$11,MIN(5,MATCH(MAX(Reference!$A$6,MIN(Reference!$A$11,MIN($U58,90))),Reference!$A$6:$A$11,1))))),0)+IF(2&lt;=$AL58,($AL58-2+3)*(INDEX(Reference!$B$6:$B$11,MIN(5,MATCH(MAX(Reference!$A$6,MIN(Reference!$A$11,MIN($U58,120))),Reference!$A$6:$A$11,1)))+(MAX(Reference!$A$6,MIN(Reference!$A$11,MIN($U58,120)))-INDEX(Reference!$A$6:$A$11,MIN(5,MATCH(MAX(Reference!$A$6,MIN(Reference!$A$11,MIN($U58,120))),Reference!$A$6:$A$11,1))))*(INDEX(Reference!$B$6:$B$11,MIN(5,MATCH(MAX(Reference!$A$6,MIN(Reference!$A$11,MIN($U58,120))),Reference!$A$6:$A$11,1))+1)-INDEX(Reference!$B$6:$B$11,MIN(5,MATCH(MAX(Reference!$A$6,MIN(Reference!$A$11,MIN($U58,120))),Reference!$A$6:$A$11,1))))/(INDEX(Reference!$A$6:$A$11,MIN(5,MATCH(MAX(Reference!$A$6,MIN(Reference!$A$11,MIN($U58,120))),Reference!$A$6:$A$11,1))+1)-INDEX(Reference!$A$6:$A$11,MIN(5,MATCH(MAX(Reference!$A$6,MIN(Reference!$A$11,MIN($U58,120))),Reference!$A$6:$A$11,1))))),0)+IF(3&lt;=$AL58,($AL58-3+3)*(INDEX(Reference!$B$6:$B$11,MIN(5,MATCH(MAX(Reference!$A$6,MIN(Reference!$A$11,MIN($U58,150))),Reference!$A$6:$A$11,1)))+(MAX(Reference!$A$6,MIN(Reference!$A$11,MIN($U58,150)))-INDEX(Reference!$A$6:$A$11,MIN(5,MATCH(MAX(Reference!$A$6,MIN(Reference!$A$11,MIN($U58,150))),Reference!$A$6:$A$11,1))))*(INDEX(Reference!$B$6:$B$11,MIN(5,MATCH(MAX(Reference!$A$6,MIN(Reference!$A$11,MIN($U58,150))),Reference!$A$6:$A$11,1))+1)-INDEX(Reference!$B$6:$B$11,MIN(5,MATCH(MAX(Reference!$A$6,MIN(Reference!$A$11,MIN($U58,150))),Reference!$A$6:$A$11,1))))/(INDEX(Reference!$A$6:$A$11,MIN(5,MATCH(MAX(Reference!$A$6,MIN(Reference!$A$11,MIN($U58,150))),Reference!$A$6:$A$11,1))+1)-INDEX(Reference!$A$6:$A$11,MIN(5,MATCH(MAX(Reference!$A$6,MIN(Reference!$A$11,MIN($U58,150))),Reference!$A$6:$A$11,1))))),0)+IF(4&lt;=$AL58,($AL58-4+3)*(INDEX(Reference!$B$6:$B$11,MIN(5,MATCH(MAX(Reference!$A$6,MIN(Reference!$A$11,MIN($U58,180))),Reference!$A$6:$A$11,1)))+(MAX(Reference!$A$6,MIN(Reference!$A$11,MIN($U58,180)))-INDEX(Reference!$A$6:$A$11,MIN(5,MATCH(MAX(Reference!$A$6,MIN(Reference!$A$11,MIN($U58,180))),Reference!$A$6:$A$11,1))))*(INDEX(Reference!$B$6:$B$11,MIN(5,MATCH(MAX(Reference!$A$6,MIN(Reference!$A$11,MIN($U58,180))),Reference!$A$6:$A$11,1))+1)-INDEX(Reference!$B$6:$B$11,MIN(5,MATCH(MAX(Reference!$A$6,MIN(Reference!$A$11,MIN($U58,180))),Reference!$A$6:$A$11,1))))/(INDEX(Reference!$A$6:$A$11,MIN(5,MATCH(MAX(Reference!$A$6,MIN(Reference!$A$11,MIN($U58,180))),Reference!$A$6:$A$11,1))+1)-INDEX(Reference!$A$6:$A$11,MIN(5,MATCH(MAX(Reference!$A$6,MIN(Reference!$A$11,MIN($U58,180))),Reference!$A$6:$A$11,1))))),0)+IF(5&lt;=$AL58,($AL58-5+3)*(INDEX(Reference!$B$6:$B$11,MIN(5,MATCH(MAX(Reference!$A$6,MIN(Reference!$A$11,MIN($U58,210))),Reference!$A$6:$A$11,1)))+(MAX(Reference!$A$6,MIN(Reference!$A$11,MIN($U58,210)))-INDEX(Reference!$A$6:$A$11,MIN(5,MATCH(MAX(Reference!$A$6,MIN(Reference!$A$11,MIN($U58,210))),Reference!$A$6:$A$11,1))))*(INDEX(Reference!$B$6:$B$11,MIN(5,MATCH(MAX(Reference!$A$6,MIN(Reference!$A$11,MIN($U58,210))),Reference!$A$6:$A$11,1))+1)-INDEX(Reference!$B$6:$B$11,MIN(5,MATCH(MAX(Reference!$A$6,MIN(Reference!$A$11,MIN($U58,210))),Reference!$A$6:$A$11,1))))/(INDEX(Reference!$A$6:$A$11,MIN(5,MATCH(MAX(Reference!$A$6,MIN(Reference!$A$11,MIN($U58,210))),Reference!$A$6:$A$11,1))+1)-INDEX(Reference!$A$6:$A$11,MIN(5,MATCH(MAX(Reference!$A$6,MIN(Reference!$A$11,MIN($U58,210))),Reference!$A$6:$A$11,1))))),0)+IF(6&lt;=$AL58,($AL58-6+3)*(INDEX(Reference!$B$6:$B$11,MIN(5,MATCH(MAX(Reference!$A$6,MIN(Reference!$A$11,MIN($U58,240))),Reference!$A$6:$A$11,1)))+(MAX(Reference!$A$6,MIN(Reference!$A$11,MIN($U58,240)))-INDEX(Reference!$A$6:$A$11,MIN(5,MATCH(MAX(Reference!$A$6,MIN(Reference!$A$11,MIN($U58,240))),Reference!$A$6:$A$11,1))))*(INDEX(Reference!$B$6:$B$11,MIN(5,MATCH(MAX(Reference!$A$6,MIN(Reference!$A$11,MIN($U58,240))),Reference!$A$6:$A$11,1))+1)-INDEX(Reference!$B$6:$B$11,MIN(5,MATCH(MAX(Reference!$A$6,MIN(Reference!$A$11,MIN($U58,240))),Reference!$A$6:$A$11,1))))/(INDEX(Reference!$A$6:$A$11,MIN(5,MATCH(MAX(Reference!$A$6,MIN(Reference!$A$11,MIN($U58,240))),Reference!$A$6:$A$11,1))+1)-INDEX(Reference!$A$6:$A$11,MIN(5,MATCH(MAX(Reference!$A$6,MIN(Reference!$A$11,MIN($U58,240))),Reference!$A$6:$A$11,1))))),0)+IF(7&lt;=$AL58,($AL58-7+3)*(INDEX(Reference!$B$6:$B$11,MIN(5,MATCH(MAX(Reference!$A$6,MIN(Reference!$A$11,MIN($U58,270))),Reference!$A$6:$A$11,1)))+(MAX(Reference!$A$6,MIN(Reference!$A$11,MIN($U58,270)))-INDEX(Reference!$A$6:$A$11,MIN(5,MATCH(MAX(Reference!$A$6,MIN(Reference!$A$11,MIN($U58,270))),Reference!$A$6:$A$11,1))))*(INDEX(Reference!$B$6:$B$11,MIN(5,MATCH(MAX(Reference!$A$6,MIN(Reference!$A$11,MIN($U58,270))),Reference!$A$6:$A$11,1))+1)-INDEX(Reference!$B$6:$B$11,MIN(5,MATCH(MAX(Reference!$A$6,MIN(Reference!$A$11,MIN($U58,270))),Reference!$A$6:$A$11,1))))/(INDEX(Reference!$A$6:$A$11,MIN(5,MATCH(MAX(Reference!$A$6,MIN(Reference!$A$11,MIN($U58,270))),Reference!$A$6:$A$11,1))+1)-INDEX(Reference!$A$6:$A$11,MIN(5,MATCH(MAX(Reference!$A$6,MIN(Reference!$A$11,MIN($U58,270))),Reference!$A$6:$A$11,1))))),0)+IF(8&lt;=$AL58,($AL58-8+3)*(INDEX(Reference!$B$6:$B$11,MIN(5,MATCH(MAX(Reference!$A$6,MIN(Reference!$A$11,MIN($U58,300))),Reference!$A$6:$A$11,1)))+(MAX(Reference!$A$6,MIN(Reference!$A$11,MIN($U58,300)))-INDEX(Reference!$A$6:$A$11,MIN(5,MATCH(MAX(Reference!$A$6,MIN(Reference!$A$11,MIN($U58,300))),Reference!$A$6:$A$11,1))))*(INDEX(Reference!$B$6:$B$11,MIN(5,MATCH(MAX(Reference!$A$6,MIN(Reference!$A$11,MIN($U58,300))),Reference!$A$6:$A$11,1))+1)-INDEX(Reference!$B$6:$B$11,MIN(5,MATCH(MAX(Reference!$A$6,MIN(Reference!$A$11,MIN($U58,300))),Reference!$A$6:$A$11,1))))/(INDEX(Reference!$A$6:$A$11,MIN(5,MATCH(MAX(Reference!$A$6,MIN(Reference!$A$11,MIN($U58,300))),Reference!$A$6:$A$11,1))+1)-INDEX(Reference!$A$6:$A$11,MIN(5,MATCH(MAX(Reference!$A$6,MIN(Reference!$A$11,MIN($U58,300))),Reference!$A$6:$A$11,1))))),0))/($AL58*($AL58+5)/2)),$AN58))</f>
        <v>1.3</v>
      </c>
      <c r="AN58" s="32">
        <f>IF($U58="",0,(INDEX(Reference!$B$6:$B$11,MIN(5,MATCH(MAX(Reference!$A$6,MIN(Reference!$A$11,$U58)),Reference!$A$6:$A$11,1)))+(MAX(Reference!$A$6,MIN(Reference!$A$11,$U58))-INDEX(Reference!$A$6:$A$11,MIN(5,MATCH(MAX(Reference!$A$6,MIN(Reference!$A$11,$U58)),Reference!$A$6:$A$11,1))))*(INDEX(Reference!$B$6:$B$11,MIN(5,MATCH(MAX(Reference!$A$6,MIN(Reference!$A$11,$U58)),Reference!$A$6:$A$11,1))+1)-INDEX(Reference!$B$6:$B$11,MIN(5,MATCH(MAX(Reference!$A$6,MIN(Reference!$A$11,$U58)),Reference!$A$6:$A$11,1))))/(INDEX(Reference!$A$6:$A$11,MIN(5,MATCH(MAX(Reference!$A$6,MIN(Reference!$A$11,$U58)),Reference!$A$6:$A$11,1))+1)-INDEX(Reference!$A$6:$A$11,MIN(5,MATCH(MAX(Reference!$A$6,MIN(Reference!$A$11,$U58)),Reference!$A$6:$A$11,1))))))</f>
        <v>1.3</v>
      </c>
      <c r="AO58" s="37"/>
      <c r="AP58" s="37"/>
      <c r="AQ58" s="37"/>
    </row>
    <row r="59" spans="1:43" x14ac:dyDescent="0.3">
      <c r="A59" s="48">
        <f t="shared" si="5"/>
        <v>46323</v>
      </c>
      <c r="B59" s="32" t="str">
        <f t="shared" si="6"/>
        <v>Wed</v>
      </c>
      <c r="C59" s="32">
        <f t="shared" si="7"/>
        <v>68</v>
      </c>
      <c r="D59" s="32" t="str">
        <f t="shared" si="8"/>
        <v>Base</v>
      </c>
      <c r="E59" s="32" t="str">
        <f t="shared" si="9"/>
        <v>No Throw</v>
      </c>
      <c r="F59" s="32" t="str">
        <f t="shared" si="10"/>
        <v>No Throw</v>
      </c>
      <c r="G59" s="47" t="str">
        <f t="shared" si="11"/>
        <v>Off</v>
      </c>
      <c r="H59" s="30">
        <f t="shared" si="12"/>
        <v>0</v>
      </c>
      <c r="I59" s="46" t="str">
        <f>IF($A59="","",IF(AND($L59&lt;27,$K$12=0),"Building",IFERROR(((SUM($H$53:$H59)+$K$12*IF($L59&lt;6,SUMIFS('Throw Log'!$Q$5:$Q$300,'Throw Log'!$B$5:$B$300,$D$4,'Throw Log'!$A$5:$A$300,"&gt;="&amp;($D$6+$L59-6),'Throw Log'!$A$5:$A$300,"&lt;="&amp;($D$6-1)),0))/7)/((SUM($H$43:$H59)+$K$12*IF($L59&lt;27,SUMIFS('Throw Log'!$Q$5:$Q$300,'Throw Log'!$B$5:$B$300,$D$4,'Throw Log'!$A$5:$A$300,"&gt;="&amp;($D$6+$L59-27),'Throw Log'!$A$5:$A$300,"&lt;="&amp;($D$6-1)),0))/28),"")))</f>
        <v>Building</v>
      </c>
      <c r="J59" s="37"/>
      <c r="K59" s="37"/>
      <c r="L59" s="32">
        <v>16</v>
      </c>
      <c r="M59" s="32">
        <f t="shared" si="13"/>
        <v>3</v>
      </c>
      <c r="N59" s="32">
        <f t="shared" si="14"/>
        <v>2</v>
      </c>
      <c r="O59" s="32">
        <f t="shared" si="15"/>
        <v>0.21052631578947367</v>
      </c>
      <c r="P59" s="32">
        <f>IF(OR($A59="",N($C59)&lt;=7),"",$G$6*$G$9^($M59-1)*IF(AND(MOD($M59,Reference!$B$99)=0,$M59&lt;=$G$5-2),Reference!$B$100,1))</f>
        <v>101.26670033263869</v>
      </c>
      <c r="Q59" s="32">
        <f>IF($P59="","",IF(SUM($AK$57:$AK$63)=0,0,$P59*INDEX(Reference!$B$108:$B$114,$N59+1)/SUM($AK$57:$AK$63)))</f>
        <v>0</v>
      </c>
      <c r="R59" s="32">
        <f t="shared" si="16"/>
        <v>90</v>
      </c>
      <c r="S59" s="32">
        <f t="shared" si="17"/>
        <v>90</v>
      </c>
      <c r="T59" s="32" t="str">
        <f>IF($A59="","",IF($C59=0,"Bullpen",IF(OR($C59=7,$C59=1,$C59=5),"Recovery/Easy Catch",IF($C59=6,"Compression/Pulldowns",IF(OR($C59=4,$C59=2),"Long Toss",IF($C59=3,"No Throw",IF($N59=2,"No Throw",IF($N59=6,IF($O59&lt;Reference!$B$104,"No Throw","Recovery/Easy Catch"),IF(OR($N59=0,$N59=4),"Recovery/Easy Catch",IF($N59=1,IF($R59&gt;75,"Long Toss","Recovery/Easy Catch"),IF($N59=3,IF($O59&lt;0.5,IF($S59&gt;75,"Long Toss","Recovery/Easy Catch"),"Compression/Pulldowns"),IF($S59&gt;75,"Long Toss","Recovery/Easy Catch"))))))))))))</f>
        <v>No Throw</v>
      </c>
      <c r="U59" s="32" t="str">
        <f t="shared" si="18"/>
        <v/>
      </c>
      <c r="V59" s="32" t="str">
        <f t="shared" si="19"/>
        <v/>
      </c>
      <c r="W59" s="32" t="str">
        <f t="shared" si="20"/>
        <v/>
      </c>
      <c r="X59" s="32">
        <f t="shared" si="21"/>
        <v>0</v>
      </c>
      <c r="Y59" s="32" t="str">
        <f t="shared" si="22"/>
        <v/>
      </c>
      <c r="Z59" s="32" t="str">
        <f t="shared" si="23"/>
        <v/>
      </c>
      <c r="AA59" s="32" t="str">
        <f t="shared" si="24"/>
        <v/>
      </c>
      <c r="AB59" s="32">
        <f>IF($A59="","",IF($T59="No Throw",0,IF($K59&lt;&gt;"",$K59,IF($AA59&lt;&gt;"",ROUND($AA59*$D$12*IF($C59=0,1,$G$10),0),MIN(IF($T59="Recovery/Easy Catch",Reference!$B$103,IF($T59="Long Toss",Reference!$B$106,Reference!$B$102)),MAX(Reference!$B$101,ROUND(MAX(0,$Q59-$AE59)/$AF59,0)))))))</f>
        <v>0</v>
      </c>
      <c r="AC59" s="32">
        <f t="shared" si="25"/>
        <v>0</v>
      </c>
      <c r="AD59" s="32" t="b">
        <f t="shared" si="26"/>
        <v>1</v>
      </c>
      <c r="AE59" s="32">
        <f>IF($X59=0,0,$X59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59+$Z59)/2,0),Reference!$A$17:$B$20,2,TRUE()))</f>
        <v>0</v>
      </c>
      <c r="AF59" s="32">
        <f>IF(OR($A59="",$U59="",$T59="No Throw"),0,$AM59*VLOOKUP(MAX(($V59+$W59)/2,0),Reference!$A$17:$B$20,2,TRUE()))</f>
        <v>0</v>
      </c>
      <c r="AG59" s="32">
        <f>IF($AC59=0,0,$AC59*INDEX(Reference!$B$61:$B$62,MATCH("Bullpen",Reference!$A$61:$A$62,0))*VLOOKUP(MAX($D$5-($D$9+$E$9)/2,0),Reference!$A$17:$B$20,2,TRUE()))</f>
        <v>0</v>
      </c>
      <c r="AH59" s="32" t="e">
        <f t="shared" si="27"/>
        <v>#N/A</v>
      </c>
      <c r="AI59" s="32">
        <f>IF($A59="",NA(),Reference!$A$25)</f>
        <v>0.8</v>
      </c>
      <c r="AJ59" s="32">
        <f t="shared" si="28"/>
        <v>1.3</v>
      </c>
      <c r="AK59" s="32">
        <f>IF(OR($A59="",N($C59)&lt;=7,$T59="No Throw",$J59="x"),0,INDEX(Reference!$B$108:$B$114,$N59+1))</f>
        <v>0</v>
      </c>
      <c r="AL59" s="32">
        <f t="shared" si="29"/>
        <v>1</v>
      </c>
      <c r="AM59" s="32">
        <f>IF($U59="",0,IF($AL59&gt;1,((IF(1&lt;=$AL59,($AL59-1+3)*(INDEX(Reference!$B$6:$B$11,MIN(5,MATCH(MAX(Reference!$A$6,MIN(Reference!$A$11,MIN($U59,90))),Reference!$A$6:$A$11,1)))+(MAX(Reference!$A$6,MIN(Reference!$A$11,MIN($U59,90)))-INDEX(Reference!$A$6:$A$11,MIN(5,MATCH(MAX(Reference!$A$6,MIN(Reference!$A$11,MIN($U59,90))),Reference!$A$6:$A$11,1))))*(INDEX(Reference!$B$6:$B$11,MIN(5,MATCH(MAX(Reference!$A$6,MIN(Reference!$A$11,MIN($U59,90))),Reference!$A$6:$A$11,1))+1)-INDEX(Reference!$B$6:$B$11,MIN(5,MATCH(MAX(Reference!$A$6,MIN(Reference!$A$11,MIN($U59,90))),Reference!$A$6:$A$11,1))))/(INDEX(Reference!$A$6:$A$11,MIN(5,MATCH(MAX(Reference!$A$6,MIN(Reference!$A$11,MIN($U59,90))),Reference!$A$6:$A$11,1))+1)-INDEX(Reference!$A$6:$A$11,MIN(5,MATCH(MAX(Reference!$A$6,MIN(Reference!$A$11,MIN($U59,90))),Reference!$A$6:$A$11,1))))),0)+IF(2&lt;=$AL59,($AL59-2+3)*(INDEX(Reference!$B$6:$B$11,MIN(5,MATCH(MAX(Reference!$A$6,MIN(Reference!$A$11,MIN($U59,120))),Reference!$A$6:$A$11,1)))+(MAX(Reference!$A$6,MIN(Reference!$A$11,MIN($U59,120)))-INDEX(Reference!$A$6:$A$11,MIN(5,MATCH(MAX(Reference!$A$6,MIN(Reference!$A$11,MIN($U59,120))),Reference!$A$6:$A$11,1))))*(INDEX(Reference!$B$6:$B$11,MIN(5,MATCH(MAX(Reference!$A$6,MIN(Reference!$A$11,MIN($U59,120))),Reference!$A$6:$A$11,1))+1)-INDEX(Reference!$B$6:$B$11,MIN(5,MATCH(MAX(Reference!$A$6,MIN(Reference!$A$11,MIN($U59,120))),Reference!$A$6:$A$11,1))))/(INDEX(Reference!$A$6:$A$11,MIN(5,MATCH(MAX(Reference!$A$6,MIN(Reference!$A$11,MIN($U59,120))),Reference!$A$6:$A$11,1))+1)-INDEX(Reference!$A$6:$A$11,MIN(5,MATCH(MAX(Reference!$A$6,MIN(Reference!$A$11,MIN($U59,120))),Reference!$A$6:$A$11,1))))),0)+IF(3&lt;=$AL59,($AL59-3+3)*(INDEX(Reference!$B$6:$B$11,MIN(5,MATCH(MAX(Reference!$A$6,MIN(Reference!$A$11,MIN($U59,150))),Reference!$A$6:$A$11,1)))+(MAX(Reference!$A$6,MIN(Reference!$A$11,MIN($U59,150)))-INDEX(Reference!$A$6:$A$11,MIN(5,MATCH(MAX(Reference!$A$6,MIN(Reference!$A$11,MIN($U59,150))),Reference!$A$6:$A$11,1))))*(INDEX(Reference!$B$6:$B$11,MIN(5,MATCH(MAX(Reference!$A$6,MIN(Reference!$A$11,MIN($U59,150))),Reference!$A$6:$A$11,1))+1)-INDEX(Reference!$B$6:$B$11,MIN(5,MATCH(MAX(Reference!$A$6,MIN(Reference!$A$11,MIN($U59,150))),Reference!$A$6:$A$11,1))))/(INDEX(Reference!$A$6:$A$11,MIN(5,MATCH(MAX(Reference!$A$6,MIN(Reference!$A$11,MIN($U59,150))),Reference!$A$6:$A$11,1))+1)-INDEX(Reference!$A$6:$A$11,MIN(5,MATCH(MAX(Reference!$A$6,MIN(Reference!$A$11,MIN($U59,150))),Reference!$A$6:$A$11,1))))),0)+IF(4&lt;=$AL59,($AL59-4+3)*(INDEX(Reference!$B$6:$B$11,MIN(5,MATCH(MAX(Reference!$A$6,MIN(Reference!$A$11,MIN($U59,180))),Reference!$A$6:$A$11,1)))+(MAX(Reference!$A$6,MIN(Reference!$A$11,MIN($U59,180)))-INDEX(Reference!$A$6:$A$11,MIN(5,MATCH(MAX(Reference!$A$6,MIN(Reference!$A$11,MIN($U59,180))),Reference!$A$6:$A$11,1))))*(INDEX(Reference!$B$6:$B$11,MIN(5,MATCH(MAX(Reference!$A$6,MIN(Reference!$A$11,MIN($U59,180))),Reference!$A$6:$A$11,1))+1)-INDEX(Reference!$B$6:$B$11,MIN(5,MATCH(MAX(Reference!$A$6,MIN(Reference!$A$11,MIN($U59,180))),Reference!$A$6:$A$11,1))))/(INDEX(Reference!$A$6:$A$11,MIN(5,MATCH(MAX(Reference!$A$6,MIN(Reference!$A$11,MIN($U59,180))),Reference!$A$6:$A$11,1))+1)-INDEX(Reference!$A$6:$A$11,MIN(5,MATCH(MAX(Reference!$A$6,MIN(Reference!$A$11,MIN($U59,180))),Reference!$A$6:$A$11,1))))),0)+IF(5&lt;=$AL59,($AL59-5+3)*(INDEX(Reference!$B$6:$B$11,MIN(5,MATCH(MAX(Reference!$A$6,MIN(Reference!$A$11,MIN($U59,210))),Reference!$A$6:$A$11,1)))+(MAX(Reference!$A$6,MIN(Reference!$A$11,MIN($U59,210)))-INDEX(Reference!$A$6:$A$11,MIN(5,MATCH(MAX(Reference!$A$6,MIN(Reference!$A$11,MIN($U59,210))),Reference!$A$6:$A$11,1))))*(INDEX(Reference!$B$6:$B$11,MIN(5,MATCH(MAX(Reference!$A$6,MIN(Reference!$A$11,MIN($U59,210))),Reference!$A$6:$A$11,1))+1)-INDEX(Reference!$B$6:$B$11,MIN(5,MATCH(MAX(Reference!$A$6,MIN(Reference!$A$11,MIN($U59,210))),Reference!$A$6:$A$11,1))))/(INDEX(Reference!$A$6:$A$11,MIN(5,MATCH(MAX(Reference!$A$6,MIN(Reference!$A$11,MIN($U59,210))),Reference!$A$6:$A$11,1))+1)-INDEX(Reference!$A$6:$A$11,MIN(5,MATCH(MAX(Reference!$A$6,MIN(Reference!$A$11,MIN($U59,210))),Reference!$A$6:$A$11,1))))),0)+IF(6&lt;=$AL59,($AL59-6+3)*(INDEX(Reference!$B$6:$B$11,MIN(5,MATCH(MAX(Reference!$A$6,MIN(Reference!$A$11,MIN($U59,240))),Reference!$A$6:$A$11,1)))+(MAX(Reference!$A$6,MIN(Reference!$A$11,MIN($U59,240)))-INDEX(Reference!$A$6:$A$11,MIN(5,MATCH(MAX(Reference!$A$6,MIN(Reference!$A$11,MIN($U59,240))),Reference!$A$6:$A$11,1))))*(INDEX(Reference!$B$6:$B$11,MIN(5,MATCH(MAX(Reference!$A$6,MIN(Reference!$A$11,MIN($U59,240))),Reference!$A$6:$A$11,1))+1)-INDEX(Reference!$B$6:$B$11,MIN(5,MATCH(MAX(Reference!$A$6,MIN(Reference!$A$11,MIN($U59,240))),Reference!$A$6:$A$11,1))))/(INDEX(Reference!$A$6:$A$11,MIN(5,MATCH(MAX(Reference!$A$6,MIN(Reference!$A$11,MIN($U59,240))),Reference!$A$6:$A$11,1))+1)-INDEX(Reference!$A$6:$A$11,MIN(5,MATCH(MAX(Reference!$A$6,MIN(Reference!$A$11,MIN($U59,240))),Reference!$A$6:$A$11,1))))),0)+IF(7&lt;=$AL59,($AL59-7+3)*(INDEX(Reference!$B$6:$B$11,MIN(5,MATCH(MAX(Reference!$A$6,MIN(Reference!$A$11,MIN($U59,270))),Reference!$A$6:$A$11,1)))+(MAX(Reference!$A$6,MIN(Reference!$A$11,MIN($U59,270)))-INDEX(Reference!$A$6:$A$11,MIN(5,MATCH(MAX(Reference!$A$6,MIN(Reference!$A$11,MIN($U59,270))),Reference!$A$6:$A$11,1))))*(INDEX(Reference!$B$6:$B$11,MIN(5,MATCH(MAX(Reference!$A$6,MIN(Reference!$A$11,MIN($U59,270))),Reference!$A$6:$A$11,1))+1)-INDEX(Reference!$B$6:$B$11,MIN(5,MATCH(MAX(Reference!$A$6,MIN(Reference!$A$11,MIN($U59,270))),Reference!$A$6:$A$11,1))))/(INDEX(Reference!$A$6:$A$11,MIN(5,MATCH(MAX(Reference!$A$6,MIN(Reference!$A$11,MIN($U59,270))),Reference!$A$6:$A$11,1))+1)-INDEX(Reference!$A$6:$A$11,MIN(5,MATCH(MAX(Reference!$A$6,MIN(Reference!$A$11,MIN($U59,270))),Reference!$A$6:$A$11,1))))),0)+IF(8&lt;=$AL59,($AL59-8+3)*(INDEX(Reference!$B$6:$B$11,MIN(5,MATCH(MAX(Reference!$A$6,MIN(Reference!$A$11,MIN($U59,300))),Reference!$A$6:$A$11,1)))+(MAX(Reference!$A$6,MIN(Reference!$A$11,MIN($U59,300)))-INDEX(Reference!$A$6:$A$11,MIN(5,MATCH(MAX(Reference!$A$6,MIN(Reference!$A$11,MIN($U59,300))),Reference!$A$6:$A$11,1))))*(INDEX(Reference!$B$6:$B$11,MIN(5,MATCH(MAX(Reference!$A$6,MIN(Reference!$A$11,MIN($U59,300))),Reference!$A$6:$A$11,1))+1)-INDEX(Reference!$B$6:$B$11,MIN(5,MATCH(MAX(Reference!$A$6,MIN(Reference!$A$11,MIN($U59,300))),Reference!$A$6:$A$11,1))))/(INDEX(Reference!$A$6:$A$11,MIN(5,MATCH(MAX(Reference!$A$6,MIN(Reference!$A$11,MIN($U59,300))),Reference!$A$6:$A$11,1))+1)-INDEX(Reference!$A$6:$A$11,MIN(5,MATCH(MAX(Reference!$A$6,MIN(Reference!$A$11,MIN($U59,300))),Reference!$A$6:$A$11,1))))),0))/($AL59*($AL59+5)/2)),$AN59))</f>
        <v>0</v>
      </c>
      <c r="AN59" s="32">
        <f>IF($U59="",0,(INDEX(Reference!$B$6:$B$11,MIN(5,MATCH(MAX(Reference!$A$6,MIN(Reference!$A$11,$U59)),Reference!$A$6:$A$11,1)))+(MAX(Reference!$A$6,MIN(Reference!$A$11,$U59))-INDEX(Reference!$A$6:$A$11,MIN(5,MATCH(MAX(Reference!$A$6,MIN(Reference!$A$11,$U59)),Reference!$A$6:$A$11,1))))*(INDEX(Reference!$B$6:$B$11,MIN(5,MATCH(MAX(Reference!$A$6,MIN(Reference!$A$11,$U59)),Reference!$A$6:$A$11,1))+1)-INDEX(Reference!$B$6:$B$11,MIN(5,MATCH(MAX(Reference!$A$6,MIN(Reference!$A$11,$U59)),Reference!$A$6:$A$11,1))))/(INDEX(Reference!$A$6:$A$11,MIN(5,MATCH(MAX(Reference!$A$6,MIN(Reference!$A$11,$U59)),Reference!$A$6:$A$11,1))+1)-INDEX(Reference!$A$6:$A$11,MIN(5,MATCH(MAX(Reference!$A$6,MIN(Reference!$A$11,$U59)),Reference!$A$6:$A$11,1))))))</f>
        <v>0</v>
      </c>
      <c r="AO59" s="37"/>
      <c r="AP59" s="37"/>
      <c r="AQ59" s="37"/>
    </row>
    <row r="60" spans="1:43" x14ac:dyDescent="0.3">
      <c r="A60" s="48">
        <f t="shared" si="5"/>
        <v>46324</v>
      </c>
      <c r="B60" s="32" t="str">
        <f t="shared" si="6"/>
        <v>Thu</v>
      </c>
      <c r="C60" s="32">
        <f t="shared" si="7"/>
        <v>67</v>
      </c>
      <c r="D60" s="32" t="str">
        <f t="shared" si="8"/>
        <v>Base</v>
      </c>
      <c r="E60" s="32" t="str">
        <f t="shared" si="9"/>
        <v>Medium</v>
      </c>
      <c r="F60" s="32" t="str">
        <f t="shared" si="10"/>
        <v>Long Toss</v>
      </c>
      <c r="G60" s="47" t="str">
        <f t="shared" si="11"/>
        <v>90 ft × 25 @ 69–73 mph + 60 ft × 10 @ 73–77 mph</v>
      </c>
      <c r="H60" s="30">
        <f t="shared" si="12"/>
        <v>25.5</v>
      </c>
      <c r="I60" s="46" t="str">
        <f>IF($A60="","",IF(AND($L60&lt;27,$K$12=0),"Building",IFERROR(((SUM($H$54:$H60)+$K$12*IF($L60&lt;6,SUMIFS('Throw Log'!$Q$5:$Q$300,'Throw Log'!$B$5:$B$300,$D$4,'Throw Log'!$A$5:$A$300,"&gt;="&amp;($D$6+$L60-6),'Throw Log'!$A$5:$A$300,"&lt;="&amp;($D$6-1)),0))/7)/((SUM($H$43:$H60)+$K$12*IF($L60&lt;27,SUMIFS('Throw Log'!$Q$5:$Q$300,'Throw Log'!$B$5:$B$300,$D$4,'Throw Log'!$A$5:$A$300,"&gt;="&amp;($D$6+$L60-27),'Throw Log'!$A$5:$A$300,"&lt;="&amp;($D$6-1)),0))/28),"")))</f>
        <v>Building</v>
      </c>
      <c r="J60" s="37"/>
      <c r="K60" s="37">
        <v>25</v>
      </c>
      <c r="L60" s="32">
        <v>17</v>
      </c>
      <c r="M60" s="32">
        <f t="shared" si="13"/>
        <v>3</v>
      </c>
      <c r="N60" s="32">
        <f t="shared" si="14"/>
        <v>3</v>
      </c>
      <c r="O60" s="32">
        <f t="shared" si="15"/>
        <v>0.22368421052631579</v>
      </c>
      <c r="P60" s="32">
        <f>IF(OR($A60="",N($C60)&lt;=7),"",$G$6*$G$9^($M60-1)*IF(AND(MOD($M60,Reference!$B$99)=0,$M60&lt;=$G$5-2),Reference!$B$100,1))</f>
        <v>101.26670033263869</v>
      </c>
      <c r="Q60" s="32">
        <f>IF($P60="","",IF(SUM($AK$57:$AK$63)=0,0,$P60*INDEX(Reference!$B$108:$B$114,$N60+1)/SUM($AK$57:$AK$63)))</f>
        <v>24.304008079833284</v>
      </c>
      <c r="R60" s="32">
        <f t="shared" si="16"/>
        <v>90</v>
      </c>
      <c r="S60" s="32">
        <f t="shared" si="17"/>
        <v>90</v>
      </c>
      <c r="T60" s="32" t="str">
        <f>IF($A60="","",IF($C60=0,"Bullpen",IF(OR($C60=7,$C60=1,$C60=5),"Recovery/Easy Catch",IF($C60=6,"Compression/Pulldowns",IF(OR($C60=4,$C60=2),"Long Toss",IF($C60=3,"No Throw",IF($N60=2,"No Throw",IF($N60=6,IF($O60&lt;Reference!$B$104,"No Throw","Recovery/Easy Catch"),IF(OR($N60=0,$N60=4),"Recovery/Easy Catch",IF($N60=1,IF($R60&gt;75,"Long Toss","Recovery/Easy Catch"),IF($N60=3,IF($O60&lt;0.5,IF($S60&gt;75,"Long Toss","Recovery/Easy Catch"),"Compression/Pulldowns"),IF($S60&gt;75,"Long Toss","Recovery/Easy Catch"))))))))))))</f>
        <v>Long Toss</v>
      </c>
      <c r="U60" s="32">
        <f t="shared" si="18"/>
        <v>90</v>
      </c>
      <c r="V60" s="32">
        <f t="shared" si="19"/>
        <v>18</v>
      </c>
      <c r="W60" s="32">
        <f t="shared" si="20"/>
        <v>22</v>
      </c>
      <c r="X60" s="32">
        <f t="shared" si="21"/>
        <v>10</v>
      </c>
      <c r="Y60" s="32">
        <f t="shared" si="22"/>
        <v>14</v>
      </c>
      <c r="Z60" s="32">
        <f t="shared" si="23"/>
        <v>18</v>
      </c>
      <c r="AA60" s="32" t="str">
        <f t="shared" si="24"/>
        <v/>
      </c>
      <c r="AB60" s="32">
        <f>IF($A60="","",IF($T60="No Throw",0,IF($K60&lt;&gt;"",$K60,IF($AA60&lt;&gt;"",ROUND($AA60*$D$12*IF($C60=0,1,$G$10),0),MIN(IF($T60="Recovery/Easy Catch",Reference!$B$103,IF($T60="Long Toss",Reference!$B$106,Reference!$B$102)),MAX(Reference!$B$101,ROUND(MAX(0,$Q60-$AE60)/$AF60,0)))))))</f>
        <v>25</v>
      </c>
      <c r="AC60" s="32">
        <f t="shared" si="25"/>
        <v>0</v>
      </c>
      <c r="AD60" s="32" t="b">
        <f t="shared" si="26"/>
        <v>0</v>
      </c>
      <c r="AE60" s="32">
        <f>IF($X60=0,0,$X60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60+$Z60)/2,0),Reference!$A$17:$B$20,2,TRUE()))</f>
        <v>6</v>
      </c>
      <c r="AF60" s="32">
        <f>IF(OR($A60="",$U60="",$T60="No Throw"),0,$AM60*VLOOKUP(MAX(($V60+$W60)/2,0),Reference!$A$17:$B$20,2,TRUE()))</f>
        <v>0.78</v>
      </c>
      <c r="AG60" s="32">
        <f>IF($AC60=0,0,$AC60*INDEX(Reference!$B$61:$B$62,MATCH("Bullpen",Reference!$A$61:$A$62,0))*VLOOKUP(MAX($D$5-($D$9+$E$9)/2,0),Reference!$A$17:$B$20,2,TRUE()))</f>
        <v>0</v>
      </c>
      <c r="AH60" s="32" t="e">
        <f t="shared" si="27"/>
        <v>#N/A</v>
      </c>
      <c r="AI60" s="32">
        <f>IF($A60="",NA(),Reference!$A$25)</f>
        <v>0.8</v>
      </c>
      <c r="AJ60" s="32">
        <f t="shared" si="28"/>
        <v>1.3</v>
      </c>
      <c r="AK60" s="56">
        <f>IF(OR($A60="",N($C60)&lt;=7,$T60="No Throw",$J60="x"),0,INDEX(Reference!$B$108:$B$114,$N60+1))</f>
        <v>0.24</v>
      </c>
      <c r="AL60" s="32">
        <f t="shared" si="29"/>
        <v>1</v>
      </c>
      <c r="AM60" s="32">
        <f>IF($U60="",0,IF($AL60&gt;1,((IF(1&lt;=$AL60,($AL60-1+3)*(INDEX(Reference!$B$6:$B$11,MIN(5,MATCH(MAX(Reference!$A$6,MIN(Reference!$A$11,MIN($U60,90))),Reference!$A$6:$A$11,1)))+(MAX(Reference!$A$6,MIN(Reference!$A$11,MIN($U60,90)))-INDEX(Reference!$A$6:$A$11,MIN(5,MATCH(MAX(Reference!$A$6,MIN(Reference!$A$11,MIN($U60,90))),Reference!$A$6:$A$11,1))))*(INDEX(Reference!$B$6:$B$11,MIN(5,MATCH(MAX(Reference!$A$6,MIN(Reference!$A$11,MIN($U60,90))),Reference!$A$6:$A$11,1))+1)-INDEX(Reference!$B$6:$B$11,MIN(5,MATCH(MAX(Reference!$A$6,MIN(Reference!$A$11,MIN($U60,90))),Reference!$A$6:$A$11,1))))/(INDEX(Reference!$A$6:$A$11,MIN(5,MATCH(MAX(Reference!$A$6,MIN(Reference!$A$11,MIN($U60,90))),Reference!$A$6:$A$11,1))+1)-INDEX(Reference!$A$6:$A$11,MIN(5,MATCH(MAX(Reference!$A$6,MIN(Reference!$A$11,MIN($U60,90))),Reference!$A$6:$A$11,1))))),0)+IF(2&lt;=$AL60,($AL60-2+3)*(INDEX(Reference!$B$6:$B$11,MIN(5,MATCH(MAX(Reference!$A$6,MIN(Reference!$A$11,MIN($U60,120))),Reference!$A$6:$A$11,1)))+(MAX(Reference!$A$6,MIN(Reference!$A$11,MIN($U60,120)))-INDEX(Reference!$A$6:$A$11,MIN(5,MATCH(MAX(Reference!$A$6,MIN(Reference!$A$11,MIN($U60,120))),Reference!$A$6:$A$11,1))))*(INDEX(Reference!$B$6:$B$11,MIN(5,MATCH(MAX(Reference!$A$6,MIN(Reference!$A$11,MIN($U60,120))),Reference!$A$6:$A$11,1))+1)-INDEX(Reference!$B$6:$B$11,MIN(5,MATCH(MAX(Reference!$A$6,MIN(Reference!$A$11,MIN($U60,120))),Reference!$A$6:$A$11,1))))/(INDEX(Reference!$A$6:$A$11,MIN(5,MATCH(MAX(Reference!$A$6,MIN(Reference!$A$11,MIN($U60,120))),Reference!$A$6:$A$11,1))+1)-INDEX(Reference!$A$6:$A$11,MIN(5,MATCH(MAX(Reference!$A$6,MIN(Reference!$A$11,MIN($U60,120))),Reference!$A$6:$A$11,1))))),0)+IF(3&lt;=$AL60,($AL60-3+3)*(INDEX(Reference!$B$6:$B$11,MIN(5,MATCH(MAX(Reference!$A$6,MIN(Reference!$A$11,MIN($U60,150))),Reference!$A$6:$A$11,1)))+(MAX(Reference!$A$6,MIN(Reference!$A$11,MIN($U60,150)))-INDEX(Reference!$A$6:$A$11,MIN(5,MATCH(MAX(Reference!$A$6,MIN(Reference!$A$11,MIN($U60,150))),Reference!$A$6:$A$11,1))))*(INDEX(Reference!$B$6:$B$11,MIN(5,MATCH(MAX(Reference!$A$6,MIN(Reference!$A$11,MIN($U60,150))),Reference!$A$6:$A$11,1))+1)-INDEX(Reference!$B$6:$B$11,MIN(5,MATCH(MAX(Reference!$A$6,MIN(Reference!$A$11,MIN($U60,150))),Reference!$A$6:$A$11,1))))/(INDEX(Reference!$A$6:$A$11,MIN(5,MATCH(MAX(Reference!$A$6,MIN(Reference!$A$11,MIN($U60,150))),Reference!$A$6:$A$11,1))+1)-INDEX(Reference!$A$6:$A$11,MIN(5,MATCH(MAX(Reference!$A$6,MIN(Reference!$A$11,MIN($U60,150))),Reference!$A$6:$A$11,1))))),0)+IF(4&lt;=$AL60,($AL60-4+3)*(INDEX(Reference!$B$6:$B$11,MIN(5,MATCH(MAX(Reference!$A$6,MIN(Reference!$A$11,MIN($U60,180))),Reference!$A$6:$A$11,1)))+(MAX(Reference!$A$6,MIN(Reference!$A$11,MIN($U60,180)))-INDEX(Reference!$A$6:$A$11,MIN(5,MATCH(MAX(Reference!$A$6,MIN(Reference!$A$11,MIN($U60,180))),Reference!$A$6:$A$11,1))))*(INDEX(Reference!$B$6:$B$11,MIN(5,MATCH(MAX(Reference!$A$6,MIN(Reference!$A$11,MIN($U60,180))),Reference!$A$6:$A$11,1))+1)-INDEX(Reference!$B$6:$B$11,MIN(5,MATCH(MAX(Reference!$A$6,MIN(Reference!$A$11,MIN($U60,180))),Reference!$A$6:$A$11,1))))/(INDEX(Reference!$A$6:$A$11,MIN(5,MATCH(MAX(Reference!$A$6,MIN(Reference!$A$11,MIN($U60,180))),Reference!$A$6:$A$11,1))+1)-INDEX(Reference!$A$6:$A$11,MIN(5,MATCH(MAX(Reference!$A$6,MIN(Reference!$A$11,MIN($U60,180))),Reference!$A$6:$A$11,1))))),0)+IF(5&lt;=$AL60,($AL60-5+3)*(INDEX(Reference!$B$6:$B$11,MIN(5,MATCH(MAX(Reference!$A$6,MIN(Reference!$A$11,MIN($U60,210))),Reference!$A$6:$A$11,1)))+(MAX(Reference!$A$6,MIN(Reference!$A$11,MIN($U60,210)))-INDEX(Reference!$A$6:$A$11,MIN(5,MATCH(MAX(Reference!$A$6,MIN(Reference!$A$11,MIN($U60,210))),Reference!$A$6:$A$11,1))))*(INDEX(Reference!$B$6:$B$11,MIN(5,MATCH(MAX(Reference!$A$6,MIN(Reference!$A$11,MIN($U60,210))),Reference!$A$6:$A$11,1))+1)-INDEX(Reference!$B$6:$B$11,MIN(5,MATCH(MAX(Reference!$A$6,MIN(Reference!$A$11,MIN($U60,210))),Reference!$A$6:$A$11,1))))/(INDEX(Reference!$A$6:$A$11,MIN(5,MATCH(MAX(Reference!$A$6,MIN(Reference!$A$11,MIN($U60,210))),Reference!$A$6:$A$11,1))+1)-INDEX(Reference!$A$6:$A$11,MIN(5,MATCH(MAX(Reference!$A$6,MIN(Reference!$A$11,MIN($U60,210))),Reference!$A$6:$A$11,1))))),0)+IF(6&lt;=$AL60,($AL60-6+3)*(INDEX(Reference!$B$6:$B$11,MIN(5,MATCH(MAX(Reference!$A$6,MIN(Reference!$A$11,MIN($U60,240))),Reference!$A$6:$A$11,1)))+(MAX(Reference!$A$6,MIN(Reference!$A$11,MIN($U60,240)))-INDEX(Reference!$A$6:$A$11,MIN(5,MATCH(MAX(Reference!$A$6,MIN(Reference!$A$11,MIN($U60,240))),Reference!$A$6:$A$11,1))))*(INDEX(Reference!$B$6:$B$11,MIN(5,MATCH(MAX(Reference!$A$6,MIN(Reference!$A$11,MIN($U60,240))),Reference!$A$6:$A$11,1))+1)-INDEX(Reference!$B$6:$B$11,MIN(5,MATCH(MAX(Reference!$A$6,MIN(Reference!$A$11,MIN($U60,240))),Reference!$A$6:$A$11,1))))/(INDEX(Reference!$A$6:$A$11,MIN(5,MATCH(MAX(Reference!$A$6,MIN(Reference!$A$11,MIN($U60,240))),Reference!$A$6:$A$11,1))+1)-INDEX(Reference!$A$6:$A$11,MIN(5,MATCH(MAX(Reference!$A$6,MIN(Reference!$A$11,MIN($U60,240))),Reference!$A$6:$A$11,1))))),0)+IF(7&lt;=$AL60,($AL60-7+3)*(INDEX(Reference!$B$6:$B$11,MIN(5,MATCH(MAX(Reference!$A$6,MIN(Reference!$A$11,MIN($U60,270))),Reference!$A$6:$A$11,1)))+(MAX(Reference!$A$6,MIN(Reference!$A$11,MIN($U60,270)))-INDEX(Reference!$A$6:$A$11,MIN(5,MATCH(MAX(Reference!$A$6,MIN(Reference!$A$11,MIN($U60,270))),Reference!$A$6:$A$11,1))))*(INDEX(Reference!$B$6:$B$11,MIN(5,MATCH(MAX(Reference!$A$6,MIN(Reference!$A$11,MIN($U60,270))),Reference!$A$6:$A$11,1))+1)-INDEX(Reference!$B$6:$B$11,MIN(5,MATCH(MAX(Reference!$A$6,MIN(Reference!$A$11,MIN($U60,270))),Reference!$A$6:$A$11,1))))/(INDEX(Reference!$A$6:$A$11,MIN(5,MATCH(MAX(Reference!$A$6,MIN(Reference!$A$11,MIN($U60,270))),Reference!$A$6:$A$11,1))+1)-INDEX(Reference!$A$6:$A$11,MIN(5,MATCH(MAX(Reference!$A$6,MIN(Reference!$A$11,MIN($U60,270))),Reference!$A$6:$A$11,1))))),0)+IF(8&lt;=$AL60,($AL60-8+3)*(INDEX(Reference!$B$6:$B$11,MIN(5,MATCH(MAX(Reference!$A$6,MIN(Reference!$A$11,MIN($U60,300))),Reference!$A$6:$A$11,1)))+(MAX(Reference!$A$6,MIN(Reference!$A$11,MIN($U60,300)))-INDEX(Reference!$A$6:$A$11,MIN(5,MATCH(MAX(Reference!$A$6,MIN(Reference!$A$11,MIN($U60,300))),Reference!$A$6:$A$11,1))))*(INDEX(Reference!$B$6:$B$11,MIN(5,MATCH(MAX(Reference!$A$6,MIN(Reference!$A$11,MIN($U60,300))),Reference!$A$6:$A$11,1))+1)-INDEX(Reference!$B$6:$B$11,MIN(5,MATCH(MAX(Reference!$A$6,MIN(Reference!$A$11,MIN($U60,300))),Reference!$A$6:$A$11,1))))/(INDEX(Reference!$A$6:$A$11,MIN(5,MATCH(MAX(Reference!$A$6,MIN(Reference!$A$11,MIN($U60,300))),Reference!$A$6:$A$11,1))+1)-INDEX(Reference!$A$6:$A$11,MIN(5,MATCH(MAX(Reference!$A$6,MIN(Reference!$A$11,MIN($U60,300))),Reference!$A$6:$A$11,1))))),0))/($AL60*($AL60+5)/2)),$AN60))</f>
        <v>1.3</v>
      </c>
      <c r="AN60" s="32">
        <f>IF($U60="",0,(INDEX(Reference!$B$6:$B$11,MIN(5,MATCH(MAX(Reference!$A$6,MIN(Reference!$A$11,$U60)),Reference!$A$6:$A$11,1)))+(MAX(Reference!$A$6,MIN(Reference!$A$11,$U60))-INDEX(Reference!$A$6:$A$11,MIN(5,MATCH(MAX(Reference!$A$6,MIN(Reference!$A$11,$U60)),Reference!$A$6:$A$11,1))))*(INDEX(Reference!$B$6:$B$11,MIN(5,MATCH(MAX(Reference!$A$6,MIN(Reference!$A$11,$U60)),Reference!$A$6:$A$11,1))+1)-INDEX(Reference!$B$6:$B$11,MIN(5,MATCH(MAX(Reference!$A$6,MIN(Reference!$A$11,$U60)),Reference!$A$6:$A$11,1))))/(INDEX(Reference!$A$6:$A$11,MIN(5,MATCH(MAX(Reference!$A$6,MIN(Reference!$A$11,$U60)),Reference!$A$6:$A$11,1))+1)-INDEX(Reference!$A$6:$A$11,MIN(5,MATCH(MAX(Reference!$A$6,MIN(Reference!$A$11,$U60)),Reference!$A$6:$A$11,1))))))</f>
        <v>1.3</v>
      </c>
      <c r="AO60" s="37"/>
      <c r="AP60" s="37"/>
      <c r="AQ60" s="37"/>
    </row>
    <row r="61" spans="1:43" x14ac:dyDescent="0.3">
      <c r="A61" s="48">
        <f t="shared" si="5"/>
        <v>46325</v>
      </c>
      <c r="B61" s="32" t="str">
        <f t="shared" si="6"/>
        <v>Fri</v>
      </c>
      <c r="C61" s="32">
        <f t="shared" si="7"/>
        <v>66</v>
      </c>
      <c r="D61" s="32" t="str">
        <f t="shared" si="8"/>
        <v>Base</v>
      </c>
      <c r="E61" s="32" t="str">
        <f t="shared" si="9"/>
        <v>Low</v>
      </c>
      <c r="F61" s="32" t="str">
        <f t="shared" si="10"/>
        <v>Recovery/Easy Catch</v>
      </c>
      <c r="G61" s="47" t="str">
        <f t="shared" si="11"/>
        <v>60 ft × 20 @ 67–71 mph</v>
      </c>
      <c r="H61" s="30">
        <f t="shared" si="12"/>
        <v>12</v>
      </c>
      <c r="I61" s="46" t="str">
        <f>IF($A61="","",IF(AND($L61&lt;27,$K$12=0),"Building",IFERROR(((SUM($H$55:$H61)+$K$12*IF($L61&lt;6,SUMIFS('Throw Log'!$Q$5:$Q$300,'Throw Log'!$B$5:$B$300,$D$4,'Throw Log'!$A$5:$A$300,"&gt;="&amp;($D$6+$L61-6),'Throw Log'!$A$5:$A$300,"&lt;="&amp;($D$6-1)),0))/7)/((SUM($H$43:$H61)+$K$12*IF($L61&lt;27,SUMIFS('Throw Log'!$Q$5:$Q$300,'Throw Log'!$B$5:$B$300,$D$4,'Throw Log'!$A$5:$A$300,"&gt;="&amp;($D$6+$L61-27),'Throw Log'!$A$5:$A$300,"&lt;="&amp;($D$6-1)),0))/28),"")))</f>
        <v>Building</v>
      </c>
      <c r="J61" s="37"/>
      <c r="K61" s="37"/>
      <c r="L61" s="32">
        <v>18</v>
      </c>
      <c r="M61" s="32">
        <f t="shared" si="13"/>
        <v>3</v>
      </c>
      <c r="N61" s="32">
        <f t="shared" si="14"/>
        <v>4</v>
      </c>
      <c r="O61" s="32">
        <f t="shared" si="15"/>
        <v>0.23684210526315788</v>
      </c>
      <c r="P61" s="32">
        <f>IF(OR($A61="",N($C61)&lt;=7),"",$G$6*$G$9^($M61-1)*IF(AND(MOD($M61,Reference!$B$99)=0,$M61&lt;=$G$5-2),Reference!$B$100,1))</f>
        <v>101.26670033263869</v>
      </c>
      <c r="Q61" s="32">
        <f>IF($P61="","",IF(SUM($AK$57:$AK$63)=0,0,$P61*INDEX(Reference!$B$108:$B$114,$N61+1)/SUM($AK$57:$AK$63)))</f>
        <v>10.126670033263871</v>
      </c>
      <c r="R61" s="32">
        <f t="shared" si="16"/>
        <v>105</v>
      </c>
      <c r="S61" s="32">
        <f t="shared" si="17"/>
        <v>90</v>
      </c>
      <c r="T61" s="32" t="str">
        <f>IF($A61="","",IF($C61=0,"Bullpen",IF(OR($C61=7,$C61=1,$C61=5),"Recovery/Easy Catch",IF($C61=6,"Compression/Pulldowns",IF(OR($C61=4,$C61=2),"Long Toss",IF($C61=3,"No Throw",IF($N61=2,"No Throw",IF($N61=6,IF($O61&lt;Reference!$B$104,"No Throw","Recovery/Easy Catch"),IF(OR($N61=0,$N61=4),"Recovery/Easy Catch",IF($N61=1,IF($R61&gt;75,"Long Toss","Recovery/Easy Catch"),IF($N61=3,IF($O61&lt;0.5,IF($S61&gt;75,"Long Toss","Recovery/Easy Catch"),"Compression/Pulldowns"),IF($S61&gt;75,"Long Toss","Recovery/Easy Catch"))))))))))))</f>
        <v>Recovery/Easy Catch</v>
      </c>
      <c r="U61" s="32">
        <f t="shared" si="18"/>
        <v>60</v>
      </c>
      <c r="V61" s="32">
        <f t="shared" si="19"/>
        <v>20</v>
      </c>
      <c r="W61" s="32">
        <f t="shared" si="20"/>
        <v>24</v>
      </c>
      <c r="X61" s="32">
        <f t="shared" si="21"/>
        <v>0</v>
      </c>
      <c r="Y61" s="32" t="str">
        <f t="shared" si="22"/>
        <v/>
      </c>
      <c r="Z61" s="32" t="str">
        <f t="shared" si="23"/>
        <v/>
      </c>
      <c r="AA61" s="32" t="str">
        <f t="shared" si="24"/>
        <v/>
      </c>
      <c r="AB61" s="32">
        <f>IF($A61="","",IF($T61="No Throw",0,IF($K61&lt;&gt;"",$K61,IF($AA61&lt;&gt;"",ROUND($AA61*$D$12*IF($C61=0,1,$G$10),0),MIN(IF($T61="Recovery/Easy Catch",Reference!$B$103,IF($T61="Long Toss",Reference!$B$106,Reference!$B$102)),MAX(Reference!$B$101,ROUND(MAX(0,$Q61-$AE61)/$AF61,0)))))))</f>
        <v>20</v>
      </c>
      <c r="AC61" s="32">
        <f t="shared" si="25"/>
        <v>0</v>
      </c>
      <c r="AD61" s="32" t="b">
        <f t="shared" si="26"/>
        <v>0</v>
      </c>
      <c r="AE61" s="32">
        <f>IF($X61=0,0,$X61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61+$Z61)/2,0),Reference!$A$17:$B$20,2,TRUE()))</f>
        <v>0</v>
      </c>
      <c r="AF61" s="32">
        <f>IF(OR($A61="",$U61="",$T61="No Throw"),0,$AM61*VLOOKUP(MAX(($V61+$W61)/2,0),Reference!$A$17:$B$20,2,TRUE()))</f>
        <v>0.6</v>
      </c>
      <c r="AG61" s="32">
        <f>IF($AC61=0,0,$AC61*INDEX(Reference!$B$61:$B$62,MATCH("Bullpen",Reference!$A$61:$A$62,0))*VLOOKUP(MAX($D$5-($D$9+$E$9)/2,0),Reference!$A$17:$B$20,2,TRUE()))</f>
        <v>0</v>
      </c>
      <c r="AH61" s="32" t="e">
        <f t="shared" si="27"/>
        <v>#N/A</v>
      </c>
      <c r="AI61" s="32">
        <f>IF($A61="",NA(),Reference!$A$25)</f>
        <v>0.8</v>
      </c>
      <c r="AJ61" s="32">
        <f t="shared" si="28"/>
        <v>1.3</v>
      </c>
      <c r="AK61" s="56">
        <f>IF(OR($A61="",N($C61)&lt;=7,$T61="No Throw",$J61="x"),0,INDEX(Reference!$B$108:$B$114,$N61+1))</f>
        <v>0.1</v>
      </c>
      <c r="AL61" s="32">
        <f t="shared" si="29"/>
        <v>1</v>
      </c>
      <c r="AM61" s="32">
        <f>IF($U61="",0,IF($AL61&gt;1,((IF(1&lt;=$AL61,($AL61-1+3)*(INDEX(Reference!$B$6:$B$11,MIN(5,MATCH(MAX(Reference!$A$6,MIN(Reference!$A$11,MIN($U61,90))),Reference!$A$6:$A$11,1)))+(MAX(Reference!$A$6,MIN(Reference!$A$11,MIN($U61,90)))-INDEX(Reference!$A$6:$A$11,MIN(5,MATCH(MAX(Reference!$A$6,MIN(Reference!$A$11,MIN($U61,90))),Reference!$A$6:$A$11,1))))*(INDEX(Reference!$B$6:$B$11,MIN(5,MATCH(MAX(Reference!$A$6,MIN(Reference!$A$11,MIN($U61,90))),Reference!$A$6:$A$11,1))+1)-INDEX(Reference!$B$6:$B$11,MIN(5,MATCH(MAX(Reference!$A$6,MIN(Reference!$A$11,MIN($U61,90))),Reference!$A$6:$A$11,1))))/(INDEX(Reference!$A$6:$A$11,MIN(5,MATCH(MAX(Reference!$A$6,MIN(Reference!$A$11,MIN($U61,90))),Reference!$A$6:$A$11,1))+1)-INDEX(Reference!$A$6:$A$11,MIN(5,MATCH(MAX(Reference!$A$6,MIN(Reference!$A$11,MIN($U61,90))),Reference!$A$6:$A$11,1))))),0)+IF(2&lt;=$AL61,($AL61-2+3)*(INDEX(Reference!$B$6:$B$11,MIN(5,MATCH(MAX(Reference!$A$6,MIN(Reference!$A$11,MIN($U61,120))),Reference!$A$6:$A$11,1)))+(MAX(Reference!$A$6,MIN(Reference!$A$11,MIN($U61,120)))-INDEX(Reference!$A$6:$A$11,MIN(5,MATCH(MAX(Reference!$A$6,MIN(Reference!$A$11,MIN($U61,120))),Reference!$A$6:$A$11,1))))*(INDEX(Reference!$B$6:$B$11,MIN(5,MATCH(MAX(Reference!$A$6,MIN(Reference!$A$11,MIN($U61,120))),Reference!$A$6:$A$11,1))+1)-INDEX(Reference!$B$6:$B$11,MIN(5,MATCH(MAX(Reference!$A$6,MIN(Reference!$A$11,MIN($U61,120))),Reference!$A$6:$A$11,1))))/(INDEX(Reference!$A$6:$A$11,MIN(5,MATCH(MAX(Reference!$A$6,MIN(Reference!$A$11,MIN($U61,120))),Reference!$A$6:$A$11,1))+1)-INDEX(Reference!$A$6:$A$11,MIN(5,MATCH(MAX(Reference!$A$6,MIN(Reference!$A$11,MIN($U61,120))),Reference!$A$6:$A$11,1))))),0)+IF(3&lt;=$AL61,($AL61-3+3)*(INDEX(Reference!$B$6:$B$11,MIN(5,MATCH(MAX(Reference!$A$6,MIN(Reference!$A$11,MIN($U61,150))),Reference!$A$6:$A$11,1)))+(MAX(Reference!$A$6,MIN(Reference!$A$11,MIN($U61,150)))-INDEX(Reference!$A$6:$A$11,MIN(5,MATCH(MAX(Reference!$A$6,MIN(Reference!$A$11,MIN($U61,150))),Reference!$A$6:$A$11,1))))*(INDEX(Reference!$B$6:$B$11,MIN(5,MATCH(MAX(Reference!$A$6,MIN(Reference!$A$11,MIN($U61,150))),Reference!$A$6:$A$11,1))+1)-INDEX(Reference!$B$6:$B$11,MIN(5,MATCH(MAX(Reference!$A$6,MIN(Reference!$A$11,MIN($U61,150))),Reference!$A$6:$A$11,1))))/(INDEX(Reference!$A$6:$A$11,MIN(5,MATCH(MAX(Reference!$A$6,MIN(Reference!$A$11,MIN($U61,150))),Reference!$A$6:$A$11,1))+1)-INDEX(Reference!$A$6:$A$11,MIN(5,MATCH(MAX(Reference!$A$6,MIN(Reference!$A$11,MIN($U61,150))),Reference!$A$6:$A$11,1))))),0)+IF(4&lt;=$AL61,($AL61-4+3)*(INDEX(Reference!$B$6:$B$11,MIN(5,MATCH(MAX(Reference!$A$6,MIN(Reference!$A$11,MIN($U61,180))),Reference!$A$6:$A$11,1)))+(MAX(Reference!$A$6,MIN(Reference!$A$11,MIN($U61,180)))-INDEX(Reference!$A$6:$A$11,MIN(5,MATCH(MAX(Reference!$A$6,MIN(Reference!$A$11,MIN($U61,180))),Reference!$A$6:$A$11,1))))*(INDEX(Reference!$B$6:$B$11,MIN(5,MATCH(MAX(Reference!$A$6,MIN(Reference!$A$11,MIN($U61,180))),Reference!$A$6:$A$11,1))+1)-INDEX(Reference!$B$6:$B$11,MIN(5,MATCH(MAX(Reference!$A$6,MIN(Reference!$A$11,MIN($U61,180))),Reference!$A$6:$A$11,1))))/(INDEX(Reference!$A$6:$A$11,MIN(5,MATCH(MAX(Reference!$A$6,MIN(Reference!$A$11,MIN($U61,180))),Reference!$A$6:$A$11,1))+1)-INDEX(Reference!$A$6:$A$11,MIN(5,MATCH(MAX(Reference!$A$6,MIN(Reference!$A$11,MIN($U61,180))),Reference!$A$6:$A$11,1))))),0)+IF(5&lt;=$AL61,($AL61-5+3)*(INDEX(Reference!$B$6:$B$11,MIN(5,MATCH(MAX(Reference!$A$6,MIN(Reference!$A$11,MIN($U61,210))),Reference!$A$6:$A$11,1)))+(MAX(Reference!$A$6,MIN(Reference!$A$11,MIN($U61,210)))-INDEX(Reference!$A$6:$A$11,MIN(5,MATCH(MAX(Reference!$A$6,MIN(Reference!$A$11,MIN($U61,210))),Reference!$A$6:$A$11,1))))*(INDEX(Reference!$B$6:$B$11,MIN(5,MATCH(MAX(Reference!$A$6,MIN(Reference!$A$11,MIN($U61,210))),Reference!$A$6:$A$11,1))+1)-INDEX(Reference!$B$6:$B$11,MIN(5,MATCH(MAX(Reference!$A$6,MIN(Reference!$A$11,MIN($U61,210))),Reference!$A$6:$A$11,1))))/(INDEX(Reference!$A$6:$A$11,MIN(5,MATCH(MAX(Reference!$A$6,MIN(Reference!$A$11,MIN($U61,210))),Reference!$A$6:$A$11,1))+1)-INDEX(Reference!$A$6:$A$11,MIN(5,MATCH(MAX(Reference!$A$6,MIN(Reference!$A$11,MIN($U61,210))),Reference!$A$6:$A$11,1))))),0)+IF(6&lt;=$AL61,($AL61-6+3)*(INDEX(Reference!$B$6:$B$11,MIN(5,MATCH(MAX(Reference!$A$6,MIN(Reference!$A$11,MIN($U61,240))),Reference!$A$6:$A$11,1)))+(MAX(Reference!$A$6,MIN(Reference!$A$11,MIN($U61,240)))-INDEX(Reference!$A$6:$A$11,MIN(5,MATCH(MAX(Reference!$A$6,MIN(Reference!$A$11,MIN($U61,240))),Reference!$A$6:$A$11,1))))*(INDEX(Reference!$B$6:$B$11,MIN(5,MATCH(MAX(Reference!$A$6,MIN(Reference!$A$11,MIN($U61,240))),Reference!$A$6:$A$11,1))+1)-INDEX(Reference!$B$6:$B$11,MIN(5,MATCH(MAX(Reference!$A$6,MIN(Reference!$A$11,MIN($U61,240))),Reference!$A$6:$A$11,1))))/(INDEX(Reference!$A$6:$A$11,MIN(5,MATCH(MAX(Reference!$A$6,MIN(Reference!$A$11,MIN($U61,240))),Reference!$A$6:$A$11,1))+1)-INDEX(Reference!$A$6:$A$11,MIN(5,MATCH(MAX(Reference!$A$6,MIN(Reference!$A$11,MIN($U61,240))),Reference!$A$6:$A$11,1))))),0)+IF(7&lt;=$AL61,($AL61-7+3)*(INDEX(Reference!$B$6:$B$11,MIN(5,MATCH(MAX(Reference!$A$6,MIN(Reference!$A$11,MIN($U61,270))),Reference!$A$6:$A$11,1)))+(MAX(Reference!$A$6,MIN(Reference!$A$11,MIN($U61,270)))-INDEX(Reference!$A$6:$A$11,MIN(5,MATCH(MAX(Reference!$A$6,MIN(Reference!$A$11,MIN($U61,270))),Reference!$A$6:$A$11,1))))*(INDEX(Reference!$B$6:$B$11,MIN(5,MATCH(MAX(Reference!$A$6,MIN(Reference!$A$11,MIN($U61,270))),Reference!$A$6:$A$11,1))+1)-INDEX(Reference!$B$6:$B$11,MIN(5,MATCH(MAX(Reference!$A$6,MIN(Reference!$A$11,MIN($U61,270))),Reference!$A$6:$A$11,1))))/(INDEX(Reference!$A$6:$A$11,MIN(5,MATCH(MAX(Reference!$A$6,MIN(Reference!$A$11,MIN($U61,270))),Reference!$A$6:$A$11,1))+1)-INDEX(Reference!$A$6:$A$11,MIN(5,MATCH(MAX(Reference!$A$6,MIN(Reference!$A$11,MIN($U61,270))),Reference!$A$6:$A$11,1))))),0)+IF(8&lt;=$AL61,($AL61-8+3)*(INDEX(Reference!$B$6:$B$11,MIN(5,MATCH(MAX(Reference!$A$6,MIN(Reference!$A$11,MIN($U61,300))),Reference!$A$6:$A$11,1)))+(MAX(Reference!$A$6,MIN(Reference!$A$11,MIN($U61,300)))-INDEX(Reference!$A$6:$A$11,MIN(5,MATCH(MAX(Reference!$A$6,MIN(Reference!$A$11,MIN($U61,300))),Reference!$A$6:$A$11,1))))*(INDEX(Reference!$B$6:$B$11,MIN(5,MATCH(MAX(Reference!$A$6,MIN(Reference!$A$11,MIN($U61,300))),Reference!$A$6:$A$11,1))+1)-INDEX(Reference!$B$6:$B$11,MIN(5,MATCH(MAX(Reference!$A$6,MIN(Reference!$A$11,MIN($U61,300))),Reference!$A$6:$A$11,1))))/(INDEX(Reference!$A$6:$A$11,MIN(5,MATCH(MAX(Reference!$A$6,MIN(Reference!$A$11,MIN($U61,300))),Reference!$A$6:$A$11,1))+1)-INDEX(Reference!$A$6:$A$11,MIN(5,MATCH(MAX(Reference!$A$6,MIN(Reference!$A$11,MIN($U61,300))),Reference!$A$6:$A$11,1))))),0))/($AL61*($AL61+5)/2)),$AN61))</f>
        <v>1</v>
      </c>
      <c r="AN61" s="32">
        <f>IF($U61="",0,(INDEX(Reference!$B$6:$B$11,MIN(5,MATCH(MAX(Reference!$A$6,MIN(Reference!$A$11,$U61)),Reference!$A$6:$A$11,1)))+(MAX(Reference!$A$6,MIN(Reference!$A$11,$U61))-INDEX(Reference!$A$6:$A$11,MIN(5,MATCH(MAX(Reference!$A$6,MIN(Reference!$A$11,$U61)),Reference!$A$6:$A$11,1))))*(INDEX(Reference!$B$6:$B$11,MIN(5,MATCH(MAX(Reference!$A$6,MIN(Reference!$A$11,$U61)),Reference!$A$6:$A$11,1))+1)-INDEX(Reference!$B$6:$B$11,MIN(5,MATCH(MAX(Reference!$A$6,MIN(Reference!$A$11,$U61)),Reference!$A$6:$A$11,1))))/(INDEX(Reference!$A$6:$A$11,MIN(5,MATCH(MAX(Reference!$A$6,MIN(Reference!$A$11,$U61)),Reference!$A$6:$A$11,1))+1)-INDEX(Reference!$A$6:$A$11,MIN(5,MATCH(MAX(Reference!$A$6,MIN(Reference!$A$11,$U61)),Reference!$A$6:$A$11,1))))))</f>
        <v>1</v>
      </c>
      <c r="AO61" s="37"/>
      <c r="AP61" s="37"/>
      <c r="AQ61" s="37"/>
    </row>
    <row r="62" spans="1:43" x14ac:dyDescent="0.3">
      <c r="A62" s="48">
        <f t="shared" si="5"/>
        <v>46326</v>
      </c>
      <c r="B62" s="32" t="str">
        <f t="shared" si="6"/>
        <v>Sat</v>
      </c>
      <c r="C62" s="32">
        <f t="shared" si="7"/>
        <v>65</v>
      </c>
      <c r="D62" s="32" t="str">
        <f t="shared" si="8"/>
        <v>Base</v>
      </c>
      <c r="E62" s="32" t="str">
        <f t="shared" si="9"/>
        <v>Medium</v>
      </c>
      <c r="F62" s="32" t="str">
        <f t="shared" si="10"/>
        <v>Long Toss</v>
      </c>
      <c r="G62" s="47" t="str">
        <f t="shared" si="11"/>
        <v>90 ft × 25 @ 76–79 mph + 60 ft × 12 @ 73–77 mph</v>
      </c>
      <c r="H62" s="30">
        <f t="shared" si="12"/>
        <v>26.7</v>
      </c>
      <c r="I62" s="46" t="str">
        <f>IF($A62="","",IF(AND($L62&lt;27,$K$12=0),"Building",IFERROR(((SUM($H$56:$H62)+$K$12*IF($L62&lt;6,SUMIFS('Throw Log'!$Q$5:$Q$300,'Throw Log'!$B$5:$B$300,$D$4,'Throw Log'!$A$5:$A$300,"&gt;="&amp;($D$6+$L62-6),'Throw Log'!$A$5:$A$300,"&lt;="&amp;($D$6-1)),0))/7)/((SUM($H$43:$H62)+$K$12*IF($L62&lt;27,SUMIFS('Throw Log'!$Q$5:$Q$300,'Throw Log'!$B$5:$B$300,$D$4,'Throw Log'!$A$5:$A$300,"&gt;="&amp;($D$6+$L62-27),'Throw Log'!$A$5:$A$300,"&lt;="&amp;($D$6-1)),0))/28),"")))</f>
        <v>Building</v>
      </c>
      <c r="J62" s="37"/>
      <c r="K62" s="37">
        <v>25</v>
      </c>
      <c r="L62" s="32">
        <v>19</v>
      </c>
      <c r="M62" s="32">
        <f t="shared" si="13"/>
        <v>3</v>
      </c>
      <c r="N62" s="32">
        <f t="shared" si="14"/>
        <v>5</v>
      </c>
      <c r="O62" s="32">
        <f t="shared" si="15"/>
        <v>0.25</v>
      </c>
      <c r="P62" s="32">
        <f>IF(OR($A62="",N($C62)&lt;=7),"",$G$6*$G$9^($M62-1)*IF(AND(MOD($M62,Reference!$B$99)=0,$M62&lt;=$G$5-2),Reference!$B$100,1))</f>
        <v>101.26670033263869</v>
      </c>
      <c r="Q62" s="32">
        <f>IF($P62="","",IF(SUM($AK$57:$AK$63)=0,0,$P62*INDEX(Reference!$B$108:$B$114,$N62+1)/SUM($AK$57:$AK$63)))</f>
        <v>27.34200908981245</v>
      </c>
      <c r="R62" s="32">
        <f t="shared" si="16"/>
        <v>105</v>
      </c>
      <c r="S62" s="32">
        <f t="shared" si="17"/>
        <v>90</v>
      </c>
      <c r="T62" s="32" t="str">
        <f>IF($A62="","",IF($C62=0,"Bullpen",IF(OR($C62=7,$C62=1,$C62=5),"Recovery/Easy Catch",IF($C62=6,"Compression/Pulldowns",IF(OR($C62=4,$C62=2),"Long Toss",IF($C62=3,"No Throw",IF($N62=2,"No Throw",IF($N62=6,IF($O62&lt;Reference!$B$104,"No Throw","Recovery/Easy Catch"),IF(OR($N62=0,$N62=4),"Recovery/Easy Catch",IF($N62=1,IF($R62&gt;75,"Long Toss","Recovery/Easy Catch"),IF($N62=3,IF($O62&lt;0.5,IF($S62&gt;75,"Long Toss","Recovery/Easy Catch"),"Compression/Pulldowns"),IF($S62&gt;75,"Long Toss","Recovery/Easy Catch"))))))))))))</f>
        <v>Long Toss</v>
      </c>
      <c r="U62" s="32">
        <f t="shared" si="18"/>
        <v>90</v>
      </c>
      <c r="V62" s="32">
        <f t="shared" si="19"/>
        <v>12</v>
      </c>
      <c r="W62" s="32">
        <f t="shared" si="20"/>
        <v>15</v>
      </c>
      <c r="X62" s="32">
        <f t="shared" si="21"/>
        <v>12</v>
      </c>
      <c r="Y62" s="32">
        <f t="shared" si="22"/>
        <v>14</v>
      </c>
      <c r="Z62" s="32">
        <f t="shared" si="23"/>
        <v>18</v>
      </c>
      <c r="AA62" s="32" t="str">
        <f t="shared" si="24"/>
        <v/>
      </c>
      <c r="AB62" s="32">
        <f>IF($A62="","",IF($T62="No Throw",0,IF($K62&lt;&gt;"",$K62,IF($AA62&lt;&gt;"",ROUND($AA62*$D$12*IF($C62=0,1,$G$10),0),MIN(IF($T62="Recovery/Easy Catch",Reference!$B$103,IF($T62="Long Toss",Reference!$B$106,Reference!$B$102)),MAX(Reference!$B$101,ROUND(MAX(0,$Q62-$AE62)/$AF62,0)))))))</f>
        <v>25</v>
      </c>
      <c r="AC62" s="32">
        <f t="shared" si="25"/>
        <v>0</v>
      </c>
      <c r="AD62" s="32" t="b">
        <f t="shared" si="26"/>
        <v>0</v>
      </c>
      <c r="AE62" s="32">
        <f>IF($X62=0,0,$X62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62+$Z62)/2,0),Reference!$A$17:$B$20,2,TRUE()))</f>
        <v>7.1999999999999993</v>
      </c>
      <c r="AF62" s="32">
        <f>IF(OR($A62="",$U62="",$T62="No Throw"),0,$AM62*VLOOKUP(MAX(($V62+$W62)/2,0),Reference!$A$17:$B$20,2,TRUE()))</f>
        <v>0.78</v>
      </c>
      <c r="AG62" s="32">
        <f>IF($AC62=0,0,$AC62*INDEX(Reference!$B$61:$B$62,MATCH("Bullpen",Reference!$A$61:$A$62,0))*VLOOKUP(MAX($D$5-($D$9+$E$9)/2,0),Reference!$A$17:$B$20,2,TRUE()))</f>
        <v>0</v>
      </c>
      <c r="AH62" s="32" t="e">
        <f t="shared" si="27"/>
        <v>#N/A</v>
      </c>
      <c r="AI62" s="32">
        <f>IF($A62="",NA(),Reference!$A$25)</f>
        <v>0.8</v>
      </c>
      <c r="AJ62" s="32">
        <f t="shared" si="28"/>
        <v>1.3</v>
      </c>
      <c r="AK62" s="56">
        <f>IF(OR($A62="",N($C62)&lt;=7,$T62="No Throw",$J62="x"),0,INDEX(Reference!$B$108:$B$114,$N62+1))</f>
        <v>0.27</v>
      </c>
      <c r="AL62" s="32">
        <f t="shared" si="29"/>
        <v>1</v>
      </c>
      <c r="AM62" s="32">
        <f>IF($U62="",0,IF($AL62&gt;1,((IF(1&lt;=$AL62,($AL62-1+3)*(INDEX(Reference!$B$6:$B$11,MIN(5,MATCH(MAX(Reference!$A$6,MIN(Reference!$A$11,MIN($U62,90))),Reference!$A$6:$A$11,1)))+(MAX(Reference!$A$6,MIN(Reference!$A$11,MIN($U62,90)))-INDEX(Reference!$A$6:$A$11,MIN(5,MATCH(MAX(Reference!$A$6,MIN(Reference!$A$11,MIN($U62,90))),Reference!$A$6:$A$11,1))))*(INDEX(Reference!$B$6:$B$11,MIN(5,MATCH(MAX(Reference!$A$6,MIN(Reference!$A$11,MIN($U62,90))),Reference!$A$6:$A$11,1))+1)-INDEX(Reference!$B$6:$B$11,MIN(5,MATCH(MAX(Reference!$A$6,MIN(Reference!$A$11,MIN($U62,90))),Reference!$A$6:$A$11,1))))/(INDEX(Reference!$A$6:$A$11,MIN(5,MATCH(MAX(Reference!$A$6,MIN(Reference!$A$11,MIN($U62,90))),Reference!$A$6:$A$11,1))+1)-INDEX(Reference!$A$6:$A$11,MIN(5,MATCH(MAX(Reference!$A$6,MIN(Reference!$A$11,MIN($U62,90))),Reference!$A$6:$A$11,1))))),0)+IF(2&lt;=$AL62,($AL62-2+3)*(INDEX(Reference!$B$6:$B$11,MIN(5,MATCH(MAX(Reference!$A$6,MIN(Reference!$A$11,MIN($U62,120))),Reference!$A$6:$A$11,1)))+(MAX(Reference!$A$6,MIN(Reference!$A$11,MIN($U62,120)))-INDEX(Reference!$A$6:$A$11,MIN(5,MATCH(MAX(Reference!$A$6,MIN(Reference!$A$11,MIN($U62,120))),Reference!$A$6:$A$11,1))))*(INDEX(Reference!$B$6:$B$11,MIN(5,MATCH(MAX(Reference!$A$6,MIN(Reference!$A$11,MIN($U62,120))),Reference!$A$6:$A$11,1))+1)-INDEX(Reference!$B$6:$B$11,MIN(5,MATCH(MAX(Reference!$A$6,MIN(Reference!$A$11,MIN($U62,120))),Reference!$A$6:$A$11,1))))/(INDEX(Reference!$A$6:$A$11,MIN(5,MATCH(MAX(Reference!$A$6,MIN(Reference!$A$11,MIN($U62,120))),Reference!$A$6:$A$11,1))+1)-INDEX(Reference!$A$6:$A$11,MIN(5,MATCH(MAX(Reference!$A$6,MIN(Reference!$A$11,MIN($U62,120))),Reference!$A$6:$A$11,1))))),0)+IF(3&lt;=$AL62,($AL62-3+3)*(INDEX(Reference!$B$6:$B$11,MIN(5,MATCH(MAX(Reference!$A$6,MIN(Reference!$A$11,MIN($U62,150))),Reference!$A$6:$A$11,1)))+(MAX(Reference!$A$6,MIN(Reference!$A$11,MIN($U62,150)))-INDEX(Reference!$A$6:$A$11,MIN(5,MATCH(MAX(Reference!$A$6,MIN(Reference!$A$11,MIN($U62,150))),Reference!$A$6:$A$11,1))))*(INDEX(Reference!$B$6:$B$11,MIN(5,MATCH(MAX(Reference!$A$6,MIN(Reference!$A$11,MIN($U62,150))),Reference!$A$6:$A$11,1))+1)-INDEX(Reference!$B$6:$B$11,MIN(5,MATCH(MAX(Reference!$A$6,MIN(Reference!$A$11,MIN($U62,150))),Reference!$A$6:$A$11,1))))/(INDEX(Reference!$A$6:$A$11,MIN(5,MATCH(MAX(Reference!$A$6,MIN(Reference!$A$11,MIN($U62,150))),Reference!$A$6:$A$11,1))+1)-INDEX(Reference!$A$6:$A$11,MIN(5,MATCH(MAX(Reference!$A$6,MIN(Reference!$A$11,MIN($U62,150))),Reference!$A$6:$A$11,1))))),0)+IF(4&lt;=$AL62,($AL62-4+3)*(INDEX(Reference!$B$6:$B$11,MIN(5,MATCH(MAX(Reference!$A$6,MIN(Reference!$A$11,MIN($U62,180))),Reference!$A$6:$A$11,1)))+(MAX(Reference!$A$6,MIN(Reference!$A$11,MIN($U62,180)))-INDEX(Reference!$A$6:$A$11,MIN(5,MATCH(MAX(Reference!$A$6,MIN(Reference!$A$11,MIN($U62,180))),Reference!$A$6:$A$11,1))))*(INDEX(Reference!$B$6:$B$11,MIN(5,MATCH(MAX(Reference!$A$6,MIN(Reference!$A$11,MIN($U62,180))),Reference!$A$6:$A$11,1))+1)-INDEX(Reference!$B$6:$B$11,MIN(5,MATCH(MAX(Reference!$A$6,MIN(Reference!$A$11,MIN($U62,180))),Reference!$A$6:$A$11,1))))/(INDEX(Reference!$A$6:$A$11,MIN(5,MATCH(MAX(Reference!$A$6,MIN(Reference!$A$11,MIN($U62,180))),Reference!$A$6:$A$11,1))+1)-INDEX(Reference!$A$6:$A$11,MIN(5,MATCH(MAX(Reference!$A$6,MIN(Reference!$A$11,MIN($U62,180))),Reference!$A$6:$A$11,1))))),0)+IF(5&lt;=$AL62,($AL62-5+3)*(INDEX(Reference!$B$6:$B$11,MIN(5,MATCH(MAX(Reference!$A$6,MIN(Reference!$A$11,MIN($U62,210))),Reference!$A$6:$A$11,1)))+(MAX(Reference!$A$6,MIN(Reference!$A$11,MIN($U62,210)))-INDEX(Reference!$A$6:$A$11,MIN(5,MATCH(MAX(Reference!$A$6,MIN(Reference!$A$11,MIN($U62,210))),Reference!$A$6:$A$11,1))))*(INDEX(Reference!$B$6:$B$11,MIN(5,MATCH(MAX(Reference!$A$6,MIN(Reference!$A$11,MIN($U62,210))),Reference!$A$6:$A$11,1))+1)-INDEX(Reference!$B$6:$B$11,MIN(5,MATCH(MAX(Reference!$A$6,MIN(Reference!$A$11,MIN($U62,210))),Reference!$A$6:$A$11,1))))/(INDEX(Reference!$A$6:$A$11,MIN(5,MATCH(MAX(Reference!$A$6,MIN(Reference!$A$11,MIN($U62,210))),Reference!$A$6:$A$11,1))+1)-INDEX(Reference!$A$6:$A$11,MIN(5,MATCH(MAX(Reference!$A$6,MIN(Reference!$A$11,MIN($U62,210))),Reference!$A$6:$A$11,1))))),0)+IF(6&lt;=$AL62,($AL62-6+3)*(INDEX(Reference!$B$6:$B$11,MIN(5,MATCH(MAX(Reference!$A$6,MIN(Reference!$A$11,MIN($U62,240))),Reference!$A$6:$A$11,1)))+(MAX(Reference!$A$6,MIN(Reference!$A$11,MIN($U62,240)))-INDEX(Reference!$A$6:$A$11,MIN(5,MATCH(MAX(Reference!$A$6,MIN(Reference!$A$11,MIN($U62,240))),Reference!$A$6:$A$11,1))))*(INDEX(Reference!$B$6:$B$11,MIN(5,MATCH(MAX(Reference!$A$6,MIN(Reference!$A$11,MIN($U62,240))),Reference!$A$6:$A$11,1))+1)-INDEX(Reference!$B$6:$B$11,MIN(5,MATCH(MAX(Reference!$A$6,MIN(Reference!$A$11,MIN($U62,240))),Reference!$A$6:$A$11,1))))/(INDEX(Reference!$A$6:$A$11,MIN(5,MATCH(MAX(Reference!$A$6,MIN(Reference!$A$11,MIN($U62,240))),Reference!$A$6:$A$11,1))+1)-INDEX(Reference!$A$6:$A$11,MIN(5,MATCH(MAX(Reference!$A$6,MIN(Reference!$A$11,MIN($U62,240))),Reference!$A$6:$A$11,1))))),0)+IF(7&lt;=$AL62,($AL62-7+3)*(INDEX(Reference!$B$6:$B$11,MIN(5,MATCH(MAX(Reference!$A$6,MIN(Reference!$A$11,MIN($U62,270))),Reference!$A$6:$A$11,1)))+(MAX(Reference!$A$6,MIN(Reference!$A$11,MIN($U62,270)))-INDEX(Reference!$A$6:$A$11,MIN(5,MATCH(MAX(Reference!$A$6,MIN(Reference!$A$11,MIN($U62,270))),Reference!$A$6:$A$11,1))))*(INDEX(Reference!$B$6:$B$11,MIN(5,MATCH(MAX(Reference!$A$6,MIN(Reference!$A$11,MIN($U62,270))),Reference!$A$6:$A$11,1))+1)-INDEX(Reference!$B$6:$B$11,MIN(5,MATCH(MAX(Reference!$A$6,MIN(Reference!$A$11,MIN($U62,270))),Reference!$A$6:$A$11,1))))/(INDEX(Reference!$A$6:$A$11,MIN(5,MATCH(MAX(Reference!$A$6,MIN(Reference!$A$11,MIN($U62,270))),Reference!$A$6:$A$11,1))+1)-INDEX(Reference!$A$6:$A$11,MIN(5,MATCH(MAX(Reference!$A$6,MIN(Reference!$A$11,MIN($U62,270))),Reference!$A$6:$A$11,1))))),0)+IF(8&lt;=$AL62,($AL62-8+3)*(INDEX(Reference!$B$6:$B$11,MIN(5,MATCH(MAX(Reference!$A$6,MIN(Reference!$A$11,MIN($U62,300))),Reference!$A$6:$A$11,1)))+(MAX(Reference!$A$6,MIN(Reference!$A$11,MIN($U62,300)))-INDEX(Reference!$A$6:$A$11,MIN(5,MATCH(MAX(Reference!$A$6,MIN(Reference!$A$11,MIN($U62,300))),Reference!$A$6:$A$11,1))))*(INDEX(Reference!$B$6:$B$11,MIN(5,MATCH(MAX(Reference!$A$6,MIN(Reference!$A$11,MIN($U62,300))),Reference!$A$6:$A$11,1))+1)-INDEX(Reference!$B$6:$B$11,MIN(5,MATCH(MAX(Reference!$A$6,MIN(Reference!$A$11,MIN($U62,300))),Reference!$A$6:$A$11,1))))/(INDEX(Reference!$A$6:$A$11,MIN(5,MATCH(MAX(Reference!$A$6,MIN(Reference!$A$11,MIN($U62,300))),Reference!$A$6:$A$11,1))+1)-INDEX(Reference!$A$6:$A$11,MIN(5,MATCH(MAX(Reference!$A$6,MIN(Reference!$A$11,MIN($U62,300))),Reference!$A$6:$A$11,1))))),0))/($AL62*($AL62+5)/2)),$AN62))</f>
        <v>1.3</v>
      </c>
      <c r="AN62" s="32">
        <f>IF($U62="",0,(INDEX(Reference!$B$6:$B$11,MIN(5,MATCH(MAX(Reference!$A$6,MIN(Reference!$A$11,$U62)),Reference!$A$6:$A$11,1)))+(MAX(Reference!$A$6,MIN(Reference!$A$11,$U62))-INDEX(Reference!$A$6:$A$11,MIN(5,MATCH(MAX(Reference!$A$6,MIN(Reference!$A$11,$U62)),Reference!$A$6:$A$11,1))))*(INDEX(Reference!$B$6:$B$11,MIN(5,MATCH(MAX(Reference!$A$6,MIN(Reference!$A$11,$U62)),Reference!$A$6:$A$11,1))+1)-INDEX(Reference!$B$6:$B$11,MIN(5,MATCH(MAX(Reference!$A$6,MIN(Reference!$A$11,$U62)),Reference!$A$6:$A$11,1))))/(INDEX(Reference!$A$6:$A$11,MIN(5,MATCH(MAX(Reference!$A$6,MIN(Reference!$A$11,$U62)),Reference!$A$6:$A$11,1))+1)-INDEX(Reference!$A$6:$A$11,MIN(5,MATCH(MAX(Reference!$A$6,MIN(Reference!$A$11,$U62)),Reference!$A$6:$A$11,1))))))</f>
        <v>1.3</v>
      </c>
      <c r="AO62" s="37"/>
      <c r="AP62" s="37"/>
      <c r="AQ62" s="37"/>
    </row>
    <row r="63" spans="1:43" x14ac:dyDescent="0.3">
      <c r="A63" s="48">
        <f t="shared" si="5"/>
        <v>46327</v>
      </c>
      <c r="B63" s="32" t="str">
        <f t="shared" si="6"/>
        <v>Sun</v>
      </c>
      <c r="C63" s="32">
        <f t="shared" si="7"/>
        <v>64</v>
      </c>
      <c r="D63" s="32" t="str">
        <f t="shared" si="8"/>
        <v>Base</v>
      </c>
      <c r="E63" s="32" t="str">
        <f t="shared" si="9"/>
        <v>No Throw</v>
      </c>
      <c r="F63" s="32" t="str">
        <f t="shared" si="10"/>
        <v>No Throw</v>
      </c>
      <c r="G63" s="47" t="str">
        <f t="shared" si="11"/>
        <v>Off</v>
      </c>
      <c r="H63" s="30">
        <f t="shared" si="12"/>
        <v>0</v>
      </c>
      <c r="I63" s="46" t="str">
        <f>IF($A63="","",IF(AND($L63&lt;27,$K$12=0),"Building",IFERROR(((SUM($H$57:$H63)+$K$12*IF($L63&lt;6,SUMIFS('Throw Log'!$Q$5:$Q$300,'Throw Log'!$B$5:$B$300,$D$4,'Throw Log'!$A$5:$A$300,"&gt;="&amp;($D$6+$L63-6),'Throw Log'!$A$5:$A$300,"&lt;="&amp;($D$6-1)),0))/7)/((SUM($H$43:$H63)+$K$12*IF($L63&lt;27,SUMIFS('Throw Log'!$Q$5:$Q$300,'Throw Log'!$B$5:$B$300,$D$4,'Throw Log'!$A$5:$A$300,"&gt;="&amp;($D$6+$L63-27),'Throw Log'!$A$5:$A$300,"&lt;="&amp;($D$6-1)),0))/28),"")))</f>
        <v>Building</v>
      </c>
      <c r="J63" s="37"/>
      <c r="K63" s="37"/>
      <c r="L63" s="32">
        <v>20</v>
      </c>
      <c r="M63" s="32">
        <f t="shared" si="13"/>
        <v>3</v>
      </c>
      <c r="N63" s="32">
        <f t="shared" si="14"/>
        <v>6</v>
      </c>
      <c r="O63" s="32">
        <f t="shared" si="15"/>
        <v>0.26315789473684209</v>
      </c>
      <c r="P63" s="32">
        <f>IF(OR($A63="",N($C63)&lt;=7),"",$G$6*$G$9^($M63-1)*IF(AND(MOD($M63,Reference!$B$99)=0,$M63&lt;=$G$5-2),Reference!$B$100,1))</f>
        <v>101.26670033263869</v>
      </c>
      <c r="Q63" s="32">
        <f>IF($P63="","",IF(SUM($AK$57:$AK$63)=0,0,$P63*INDEX(Reference!$B$108:$B$114,$N63+1)/SUM($AK$57:$AK$63)))</f>
        <v>7.0886690232847087</v>
      </c>
      <c r="R63" s="32">
        <f t="shared" si="16"/>
        <v>105</v>
      </c>
      <c r="S63" s="32">
        <f t="shared" si="17"/>
        <v>90</v>
      </c>
      <c r="T63" s="32" t="str">
        <f>IF($A63="","",IF($C63=0,"Bullpen",IF(OR($C63=7,$C63=1,$C63=5),"Recovery/Easy Catch",IF($C63=6,"Compression/Pulldowns",IF(OR($C63=4,$C63=2),"Long Toss",IF($C63=3,"No Throw",IF($N63=2,"No Throw",IF($N63=6,IF($O63&lt;Reference!$B$104,"No Throw","Recovery/Easy Catch"),IF(OR($N63=0,$N63=4),"Recovery/Easy Catch",IF($N63=1,IF($R63&gt;75,"Long Toss","Recovery/Easy Catch"),IF($N63=3,IF($O63&lt;0.5,IF($S63&gt;75,"Long Toss","Recovery/Easy Catch"),"Compression/Pulldowns"),IF($S63&gt;75,"Long Toss","Recovery/Easy Catch"))))))))))))</f>
        <v>No Throw</v>
      </c>
      <c r="U63" s="32">
        <f t="shared" si="18"/>
        <v>60</v>
      </c>
      <c r="V63" s="32">
        <f t="shared" si="19"/>
        <v>20</v>
      </c>
      <c r="W63" s="32">
        <f t="shared" si="20"/>
        <v>24</v>
      </c>
      <c r="X63" s="32">
        <f t="shared" si="21"/>
        <v>0</v>
      </c>
      <c r="Y63" s="32" t="str">
        <f t="shared" si="22"/>
        <v/>
      </c>
      <c r="Z63" s="32" t="str">
        <f t="shared" si="23"/>
        <v/>
      </c>
      <c r="AA63" s="32" t="str">
        <f t="shared" si="24"/>
        <v/>
      </c>
      <c r="AB63" s="32">
        <f>IF($A63="","",IF($T63="No Throw",0,IF($K63&lt;&gt;"",$K63,IF($AA63&lt;&gt;"",ROUND($AA63*$D$12*IF($C63=0,1,$G$10),0),MIN(IF($T63="Recovery/Easy Catch",Reference!$B$103,IF($T63="Long Toss",Reference!$B$106,Reference!$B$102)),MAX(Reference!$B$101,ROUND(MAX(0,$Q63-$AE63)/$AF63,0)))))))</f>
        <v>0</v>
      </c>
      <c r="AC63" s="32">
        <f t="shared" si="25"/>
        <v>0</v>
      </c>
      <c r="AD63" s="32" t="b">
        <f t="shared" si="26"/>
        <v>1</v>
      </c>
      <c r="AE63" s="32">
        <f>IF($X63=0,0,$X63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63+$Z63)/2,0),Reference!$A$17:$B$20,2,TRUE()))</f>
        <v>0</v>
      </c>
      <c r="AF63" s="32">
        <f>IF(OR($A63="",$U63="",$T63="No Throw"),0,$AM63*VLOOKUP(MAX(($V63+$W63)/2,0),Reference!$A$17:$B$20,2,TRUE()))</f>
        <v>0</v>
      </c>
      <c r="AG63" s="32">
        <f>IF($AC63=0,0,$AC63*INDEX(Reference!$B$61:$B$62,MATCH("Bullpen",Reference!$A$61:$A$62,0))*VLOOKUP(MAX($D$5-($D$9+$E$9)/2,0),Reference!$A$17:$B$20,2,TRUE()))</f>
        <v>0</v>
      </c>
      <c r="AH63" s="32" t="e">
        <f t="shared" si="27"/>
        <v>#N/A</v>
      </c>
      <c r="AI63" s="32">
        <f>IF($A63="",NA(),Reference!$A$25)</f>
        <v>0.8</v>
      </c>
      <c r="AJ63" s="32">
        <f t="shared" si="28"/>
        <v>1.3</v>
      </c>
      <c r="AK63" s="32">
        <f>IF(OR($A63="",N($C63)&lt;=7,$T63="No Throw",$J63="x"),0,INDEX(Reference!$B$108:$B$114,$N63+1))</f>
        <v>0</v>
      </c>
      <c r="AL63" s="32">
        <f t="shared" si="29"/>
        <v>1</v>
      </c>
      <c r="AM63" s="32">
        <f>IF($U63="",0,IF($AL63&gt;1,((IF(1&lt;=$AL63,($AL63-1+3)*(INDEX(Reference!$B$6:$B$11,MIN(5,MATCH(MAX(Reference!$A$6,MIN(Reference!$A$11,MIN($U63,90))),Reference!$A$6:$A$11,1)))+(MAX(Reference!$A$6,MIN(Reference!$A$11,MIN($U63,90)))-INDEX(Reference!$A$6:$A$11,MIN(5,MATCH(MAX(Reference!$A$6,MIN(Reference!$A$11,MIN($U63,90))),Reference!$A$6:$A$11,1))))*(INDEX(Reference!$B$6:$B$11,MIN(5,MATCH(MAX(Reference!$A$6,MIN(Reference!$A$11,MIN($U63,90))),Reference!$A$6:$A$11,1))+1)-INDEX(Reference!$B$6:$B$11,MIN(5,MATCH(MAX(Reference!$A$6,MIN(Reference!$A$11,MIN($U63,90))),Reference!$A$6:$A$11,1))))/(INDEX(Reference!$A$6:$A$11,MIN(5,MATCH(MAX(Reference!$A$6,MIN(Reference!$A$11,MIN($U63,90))),Reference!$A$6:$A$11,1))+1)-INDEX(Reference!$A$6:$A$11,MIN(5,MATCH(MAX(Reference!$A$6,MIN(Reference!$A$11,MIN($U63,90))),Reference!$A$6:$A$11,1))))),0)+IF(2&lt;=$AL63,($AL63-2+3)*(INDEX(Reference!$B$6:$B$11,MIN(5,MATCH(MAX(Reference!$A$6,MIN(Reference!$A$11,MIN($U63,120))),Reference!$A$6:$A$11,1)))+(MAX(Reference!$A$6,MIN(Reference!$A$11,MIN($U63,120)))-INDEX(Reference!$A$6:$A$11,MIN(5,MATCH(MAX(Reference!$A$6,MIN(Reference!$A$11,MIN($U63,120))),Reference!$A$6:$A$11,1))))*(INDEX(Reference!$B$6:$B$11,MIN(5,MATCH(MAX(Reference!$A$6,MIN(Reference!$A$11,MIN($U63,120))),Reference!$A$6:$A$11,1))+1)-INDEX(Reference!$B$6:$B$11,MIN(5,MATCH(MAX(Reference!$A$6,MIN(Reference!$A$11,MIN($U63,120))),Reference!$A$6:$A$11,1))))/(INDEX(Reference!$A$6:$A$11,MIN(5,MATCH(MAX(Reference!$A$6,MIN(Reference!$A$11,MIN($U63,120))),Reference!$A$6:$A$11,1))+1)-INDEX(Reference!$A$6:$A$11,MIN(5,MATCH(MAX(Reference!$A$6,MIN(Reference!$A$11,MIN($U63,120))),Reference!$A$6:$A$11,1))))),0)+IF(3&lt;=$AL63,($AL63-3+3)*(INDEX(Reference!$B$6:$B$11,MIN(5,MATCH(MAX(Reference!$A$6,MIN(Reference!$A$11,MIN($U63,150))),Reference!$A$6:$A$11,1)))+(MAX(Reference!$A$6,MIN(Reference!$A$11,MIN($U63,150)))-INDEX(Reference!$A$6:$A$11,MIN(5,MATCH(MAX(Reference!$A$6,MIN(Reference!$A$11,MIN($U63,150))),Reference!$A$6:$A$11,1))))*(INDEX(Reference!$B$6:$B$11,MIN(5,MATCH(MAX(Reference!$A$6,MIN(Reference!$A$11,MIN($U63,150))),Reference!$A$6:$A$11,1))+1)-INDEX(Reference!$B$6:$B$11,MIN(5,MATCH(MAX(Reference!$A$6,MIN(Reference!$A$11,MIN($U63,150))),Reference!$A$6:$A$11,1))))/(INDEX(Reference!$A$6:$A$11,MIN(5,MATCH(MAX(Reference!$A$6,MIN(Reference!$A$11,MIN($U63,150))),Reference!$A$6:$A$11,1))+1)-INDEX(Reference!$A$6:$A$11,MIN(5,MATCH(MAX(Reference!$A$6,MIN(Reference!$A$11,MIN($U63,150))),Reference!$A$6:$A$11,1))))),0)+IF(4&lt;=$AL63,($AL63-4+3)*(INDEX(Reference!$B$6:$B$11,MIN(5,MATCH(MAX(Reference!$A$6,MIN(Reference!$A$11,MIN($U63,180))),Reference!$A$6:$A$11,1)))+(MAX(Reference!$A$6,MIN(Reference!$A$11,MIN($U63,180)))-INDEX(Reference!$A$6:$A$11,MIN(5,MATCH(MAX(Reference!$A$6,MIN(Reference!$A$11,MIN($U63,180))),Reference!$A$6:$A$11,1))))*(INDEX(Reference!$B$6:$B$11,MIN(5,MATCH(MAX(Reference!$A$6,MIN(Reference!$A$11,MIN($U63,180))),Reference!$A$6:$A$11,1))+1)-INDEX(Reference!$B$6:$B$11,MIN(5,MATCH(MAX(Reference!$A$6,MIN(Reference!$A$11,MIN($U63,180))),Reference!$A$6:$A$11,1))))/(INDEX(Reference!$A$6:$A$11,MIN(5,MATCH(MAX(Reference!$A$6,MIN(Reference!$A$11,MIN($U63,180))),Reference!$A$6:$A$11,1))+1)-INDEX(Reference!$A$6:$A$11,MIN(5,MATCH(MAX(Reference!$A$6,MIN(Reference!$A$11,MIN($U63,180))),Reference!$A$6:$A$11,1))))),0)+IF(5&lt;=$AL63,($AL63-5+3)*(INDEX(Reference!$B$6:$B$11,MIN(5,MATCH(MAX(Reference!$A$6,MIN(Reference!$A$11,MIN($U63,210))),Reference!$A$6:$A$11,1)))+(MAX(Reference!$A$6,MIN(Reference!$A$11,MIN($U63,210)))-INDEX(Reference!$A$6:$A$11,MIN(5,MATCH(MAX(Reference!$A$6,MIN(Reference!$A$11,MIN($U63,210))),Reference!$A$6:$A$11,1))))*(INDEX(Reference!$B$6:$B$11,MIN(5,MATCH(MAX(Reference!$A$6,MIN(Reference!$A$11,MIN($U63,210))),Reference!$A$6:$A$11,1))+1)-INDEX(Reference!$B$6:$B$11,MIN(5,MATCH(MAX(Reference!$A$6,MIN(Reference!$A$11,MIN($U63,210))),Reference!$A$6:$A$11,1))))/(INDEX(Reference!$A$6:$A$11,MIN(5,MATCH(MAX(Reference!$A$6,MIN(Reference!$A$11,MIN($U63,210))),Reference!$A$6:$A$11,1))+1)-INDEX(Reference!$A$6:$A$11,MIN(5,MATCH(MAX(Reference!$A$6,MIN(Reference!$A$11,MIN($U63,210))),Reference!$A$6:$A$11,1))))),0)+IF(6&lt;=$AL63,($AL63-6+3)*(INDEX(Reference!$B$6:$B$11,MIN(5,MATCH(MAX(Reference!$A$6,MIN(Reference!$A$11,MIN($U63,240))),Reference!$A$6:$A$11,1)))+(MAX(Reference!$A$6,MIN(Reference!$A$11,MIN($U63,240)))-INDEX(Reference!$A$6:$A$11,MIN(5,MATCH(MAX(Reference!$A$6,MIN(Reference!$A$11,MIN($U63,240))),Reference!$A$6:$A$11,1))))*(INDEX(Reference!$B$6:$B$11,MIN(5,MATCH(MAX(Reference!$A$6,MIN(Reference!$A$11,MIN($U63,240))),Reference!$A$6:$A$11,1))+1)-INDEX(Reference!$B$6:$B$11,MIN(5,MATCH(MAX(Reference!$A$6,MIN(Reference!$A$11,MIN($U63,240))),Reference!$A$6:$A$11,1))))/(INDEX(Reference!$A$6:$A$11,MIN(5,MATCH(MAX(Reference!$A$6,MIN(Reference!$A$11,MIN($U63,240))),Reference!$A$6:$A$11,1))+1)-INDEX(Reference!$A$6:$A$11,MIN(5,MATCH(MAX(Reference!$A$6,MIN(Reference!$A$11,MIN($U63,240))),Reference!$A$6:$A$11,1))))),0)+IF(7&lt;=$AL63,($AL63-7+3)*(INDEX(Reference!$B$6:$B$11,MIN(5,MATCH(MAX(Reference!$A$6,MIN(Reference!$A$11,MIN($U63,270))),Reference!$A$6:$A$11,1)))+(MAX(Reference!$A$6,MIN(Reference!$A$11,MIN($U63,270)))-INDEX(Reference!$A$6:$A$11,MIN(5,MATCH(MAX(Reference!$A$6,MIN(Reference!$A$11,MIN($U63,270))),Reference!$A$6:$A$11,1))))*(INDEX(Reference!$B$6:$B$11,MIN(5,MATCH(MAX(Reference!$A$6,MIN(Reference!$A$11,MIN($U63,270))),Reference!$A$6:$A$11,1))+1)-INDEX(Reference!$B$6:$B$11,MIN(5,MATCH(MAX(Reference!$A$6,MIN(Reference!$A$11,MIN($U63,270))),Reference!$A$6:$A$11,1))))/(INDEX(Reference!$A$6:$A$11,MIN(5,MATCH(MAX(Reference!$A$6,MIN(Reference!$A$11,MIN($U63,270))),Reference!$A$6:$A$11,1))+1)-INDEX(Reference!$A$6:$A$11,MIN(5,MATCH(MAX(Reference!$A$6,MIN(Reference!$A$11,MIN($U63,270))),Reference!$A$6:$A$11,1))))),0)+IF(8&lt;=$AL63,($AL63-8+3)*(INDEX(Reference!$B$6:$B$11,MIN(5,MATCH(MAX(Reference!$A$6,MIN(Reference!$A$11,MIN($U63,300))),Reference!$A$6:$A$11,1)))+(MAX(Reference!$A$6,MIN(Reference!$A$11,MIN($U63,300)))-INDEX(Reference!$A$6:$A$11,MIN(5,MATCH(MAX(Reference!$A$6,MIN(Reference!$A$11,MIN($U63,300))),Reference!$A$6:$A$11,1))))*(INDEX(Reference!$B$6:$B$11,MIN(5,MATCH(MAX(Reference!$A$6,MIN(Reference!$A$11,MIN($U63,300))),Reference!$A$6:$A$11,1))+1)-INDEX(Reference!$B$6:$B$11,MIN(5,MATCH(MAX(Reference!$A$6,MIN(Reference!$A$11,MIN($U63,300))),Reference!$A$6:$A$11,1))))/(INDEX(Reference!$A$6:$A$11,MIN(5,MATCH(MAX(Reference!$A$6,MIN(Reference!$A$11,MIN($U63,300))),Reference!$A$6:$A$11,1))+1)-INDEX(Reference!$A$6:$A$11,MIN(5,MATCH(MAX(Reference!$A$6,MIN(Reference!$A$11,MIN($U63,300))),Reference!$A$6:$A$11,1))))),0))/($AL63*($AL63+5)/2)),$AN63))</f>
        <v>1</v>
      </c>
      <c r="AN63" s="32">
        <f>IF($U63="",0,(INDEX(Reference!$B$6:$B$11,MIN(5,MATCH(MAX(Reference!$A$6,MIN(Reference!$A$11,$U63)),Reference!$A$6:$A$11,1)))+(MAX(Reference!$A$6,MIN(Reference!$A$11,$U63))-INDEX(Reference!$A$6:$A$11,MIN(5,MATCH(MAX(Reference!$A$6,MIN(Reference!$A$11,$U63)),Reference!$A$6:$A$11,1))))*(INDEX(Reference!$B$6:$B$11,MIN(5,MATCH(MAX(Reference!$A$6,MIN(Reference!$A$11,$U63)),Reference!$A$6:$A$11,1))+1)-INDEX(Reference!$B$6:$B$11,MIN(5,MATCH(MAX(Reference!$A$6,MIN(Reference!$A$11,$U63)),Reference!$A$6:$A$11,1))))/(INDEX(Reference!$A$6:$A$11,MIN(5,MATCH(MAX(Reference!$A$6,MIN(Reference!$A$11,$U63)),Reference!$A$6:$A$11,1))+1)-INDEX(Reference!$A$6:$A$11,MIN(5,MATCH(MAX(Reference!$A$6,MIN(Reference!$A$11,$U63)),Reference!$A$6:$A$11,1))))))</f>
        <v>1</v>
      </c>
      <c r="AO63" s="37"/>
      <c r="AP63" s="37"/>
      <c r="AQ63" s="37"/>
    </row>
    <row r="64" spans="1:43" x14ac:dyDescent="0.3">
      <c r="A64" s="48">
        <f t="shared" si="5"/>
        <v>46328</v>
      </c>
      <c r="B64" s="32" t="str">
        <f t="shared" si="6"/>
        <v>Mon</v>
      </c>
      <c r="C64" s="32">
        <f t="shared" si="7"/>
        <v>63</v>
      </c>
      <c r="D64" s="32" t="str">
        <f t="shared" si="8"/>
        <v>Base</v>
      </c>
      <c r="E64" s="32" t="str">
        <f t="shared" si="9"/>
        <v>Low</v>
      </c>
      <c r="F64" s="32" t="str">
        <f t="shared" si="10"/>
        <v>Recovery/Easy Catch</v>
      </c>
      <c r="G64" s="47" t="str">
        <f t="shared" si="11"/>
        <v>75 ft × 20 @ 69–73 mph</v>
      </c>
      <c r="H64" s="30">
        <f t="shared" si="12"/>
        <v>13.799999999999999</v>
      </c>
      <c r="I64" s="46" t="str">
        <f>IF($A64="","",IF(AND($L64&lt;27,$K$12=0),"Building",IFERROR(((SUM($H$58:$H64)+$K$12*IF($L64&lt;6,SUMIFS('Throw Log'!$Q$5:$Q$300,'Throw Log'!$B$5:$B$300,$D$4,'Throw Log'!$A$5:$A$300,"&gt;="&amp;($D$6+$L64-6),'Throw Log'!$A$5:$A$300,"&lt;="&amp;($D$6-1)),0))/7)/((SUM($H$43:$H64)+$K$12*IF($L64&lt;27,SUMIFS('Throw Log'!$Q$5:$Q$300,'Throw Log'!$B$5:$B$300,$D$4,'Throw Log'!$A$5:$A$300,"&gt;="&amp;($D$6+$L64-27),'Throw Log'!$A$5:$A$300,"&lt;="&amp;($D$6-1)),0))/28),"")))</f>
        <v>Building</v>
      </c>
      <c r="J64" s="37"/>
      <c r="K64" s="37"/>
      <c r="L64" s="32">
        <v>21</v>
      </c>
      <c r="M64" s="32">
        <f t="shared" si="13"/>
        <v>4</v>
      </c>
      <c r="N64" s="32">
        <f t="shared" si="14"/>
        <v>0</v>
      </c>
      <c r="O64" s="32">
        <f t="shared" si="15"/>
        <v>0.27631578947368424</v>
      </c>
      <c r="P64" s="32">
        <f>IF(OR($A64="",N($C64)&lt;=7),"",$G$6*$G$9^($M64-1)*IF(AND(MOD($M64,Reference!$B$99)=0,$M64&lt;=$G$5-2),Reference!$B$100,1))</f>
        <v>96.844268027376231</v>
      </c>
      <c r="Q64" s="32">
        <f>IF($P64="","",IF(SUM($AK$64:$AK$70)=0,0,$P64*INDEX(Reference!$B$108:$B$114,$N64+1)/SUM($AK$64:$AK$70)))</f>
        <v>11.621312163285147</v>
      </c>
      <c r="R64" s="32">
        <f t="shared" si="16"/>
        <v>105</v>
      </c>
      <c r="S64" s="32">
        <f t="shared" si="17"/>
        <v>90</v>
      </c>
      <c r="T64" s="32" t="str">
        <f>IF($A64="","",IF($C64=0,"Bullpen",IF(OR($C64=7,$C64=1,$C64=5),"Recovery/Easy Catch",IF($C64=6,"Compression/Pulldowns",IF(OR($C64=4,$C64=2),"Long Toss",IF($C64=3,"No Throw",IF($N64=2,"No Throw",IF($N64=6,IF($O64&lt;Reference!$B$104,"No Throw","Recovery/Easy Catch"),IF(OR($N64=0,$N64=4),"Recovery/Easy Catch",IF($N64=1,IF($R64&gt;75,"Long Toss","Recovery/Easy Catch"),IF($N64=3,IF($O64&lt;0.5,IF($S64&gt;75,"Long Toss","Recovery/Easy Catch"),"Compression/Pulldowns"),IF($S64&gt;75,"Long Toss","Recovery/Easy Catch"))))))))))))</f>
        <v>Recovery/Easy Catch</v>
      </c>
      <c r="U64" s="32">
        <f t="shared" si="18"/>
        <v>75</v>
      </c>
      <c r="V64" s="32">
        <f t="shared" si="19"/>
        <v>18</v>
      </c>
      <c r="W64" s="32">
        <f t="shared" si="20"/>
        <v>22</v>
      </c>
      <c r="X64" s="32">
        <f t="shared" si="21"/>
        <v>0</v>
      </c>
      <c r="Y64" s="32" t="str">
        <f t="shared" si="22"/>
        <v/>
      </c>
      <c r="Z64" s="32" t="str">
        <f t="shared" si="23"/>
        <v/>
      </c>
      <c r="AA64" s="32" t="str">
        <f t="shared" si="24"/>
        <v/>
      </c>
      <c r="AB64" s="32">
        <f>IF($A64="","",IF($T64="No Throw",0,IF($K64&lt;&gt;"",$K64,IF($AA64&lt;&gt;"",ROUND($AA64*$D$12*IF($C64=0,1,$G$10),0),MIN(IF($T64="Recovery/Easy Catch",Reference!$B$103,IF($T64="Long Toss",Reference!$B$106,Reference!$B$102)),MAX(Reference!$B$101,ROUND(MAX(0,$Q64-$AE64)/$AF64,0)))))))</f>
        <v>20</v>
      </c>
      <c r="AC64" s="32">
        <f t="shared" si="25"/>
        <v>0</v>
      </c>
      <c r="AD64" s="32" t="b">
        <f t="shared" si="26"/>
        <v>0</v>
      </c>
      <c r="AE64" s="32">
        <f>IF($X64=0,0,$X64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64+$Z64)/2,0),Reference!$A$17:$B$20,2,TRUE()))</f>
        <v>0</v>
      </c>
      <c r="AF64" s="32">
        <f>IF(OR($A64="",$U64="",$T64="No Throw"),0,$AM64*VLOOKUP(MAX(($V64+$W64)/2,0),Reference!$A$17:$B$20,2,TRUE()))</f>
        <v>0.69</v>
      </c>
      <c r="AG64" s="32">
        <f>IF($AC64=0,0,$AC64*INDEX(Reference!$B$61:$B$62,MATCH("Bullpen",Reference!$A$61:$A$62,0))*VLOOKUP(MAX($D$5-($D$9+$E$9)/2,0),Reference!$A$17:$B$20,2,TRUE()))</f>
        <v>0</v>
      </c>
      <c r="AH64" s="32" t="e">
        <f t="shared" si="27"/>
        <v>#N/A</v>
      </c>
      <c r="AI64" s="32">
        <f>IF($A64="",NA(),Reference!$A$25)</f>
        <v>0.8</v>
      </c>
      <c r="AJ64" s="32">
        <f t="shared" si="28"/>
        <v>1.3</v>
      </c>
      <c r="AK64" s="56">
        <f>IF(OR($A64="",N($C64)&lt;=7,$T64="No Throw",$J64="x"),0,INDEX(Reference!$B$108:$B$114,$N64+1))</f>
        <v>0.12</v>
      </c>
      <c r="AL64" s="32">
        <f t="shared" si="29"/>
        <v>1</v>
      </c>
      <c r="AM64" s="32">
        <f>IF($U64="",0,IF($AL64&gt;1,((IF(1&lt;=$AL64,($AL64-1+3)*(INDEX(Reference!$B$6:$B$11,MIN(5,MATCH(MAX(Reference!$A$6,MIN(Reference!$A$11,MIN($U64,90))),Reference!$A$6:$A$11,1)))+(MAX(Reference!$A$6,MIN(Reference!$A$11,MIN($U64,90)))-INDEX(Reference!$A$6:$A$11,MIN(5,MATCH(MAX(Reference!$A$6,MIN(Reference!$A$11,MIN($U64,90))),Reference!$A$6:$A$11,1))))*(INDEX(Reference!$B$6:$B$11,MIN(5,MATCH(MAX(Reference!$A$6,MIN(Reference!$A$11,MIN($U64,90))),Reference!$A$6:$A$11,1))+1)-INDEX(Reference!$B$6:$B$11,MIN(5,MATCH(MAX(Reference!$A$6,MIN(Reference!$A$11,MIN($U64,90))),Reference!$A$6:$A$11,1))))/(INDEX(Reference!$A$6:$A$11,MIN(5,MATCH(MAX(Reference!$A$6,MIN(Reference!$A$11,MIN($U64,90))),Reference!$A$6:$A$11,1))+1)-INDEX(Reference!$A$6:$A$11,MIN(5,MATCH(MAX(Reference!$A$6,MIN(Reference!$A$11,MIN($U64,90))),Reference!$A$6:$A$11,1))))),0)+IF(2&lt;=$AL64,($AL64-2+3)*(INDEX(Reference!$B$6:$B$11,MIN(5,MATCH(MAX(Reference!$A$6,MIN(Reference!$A$11,MIN($U64,120))),Reference!$A$6:$A$11,1)))+(MAX(Reference!$A$6,MIN(Reference!$A$11,MIN($U64,120)))-INDEX(Reference!$A$6:$A$11,MIN(5,MATCH(MAX(Reference!$A$6,MIN(Reference!$A$11,MIN($U64,120))),Reference!$A$6:$A$11,1))))*(INDEX(Reference!$B$6:$B$11,MIN(5,MATCH(MAX(Reference!$A$6,MIN(Reference!$A$11,MIN($U64,120))),Reference!$A$6:$A$11,1))+1)-INDEX(Reference!$B$6:$B$11,MIN(5,MATCH(MAX(Reference!$A$6,MIN(Reference!$A$11,MIN($U64,120))),Reference!$A$6:$A$11,1))))/(INDEX(Reference!$A$6:$A$11,MIN(5,MATCH(MAX(Reference!$A$6,MIN(Reference!$A$11,MIN($U64,120))),Reference!$A$6:$A$11,1))+1)-INDEX(Reference!$A$6:$A$11,MIN(5,MATCH(MAX(Reference!$A$6,MIN(Reference!$A$11,MIN($U64,120))),Reference!$A$6:$A$11,1))))),0)+IF(3&lt;=$AL64,($AL64-3+3)*(INDEX(Reference!$B$6:$B$11,MIN(5,MATCH(MAX(Reference!$A$6,MIN(Reference!$A$11,MIN($U64,150))),Reference!$A$6:$A$11,1)))+(MAX(Reference!$A$6,MIN(Reference!$A$11,MIN($U64,150)))-INDEX(Reference!$A$6:$A$11,MIN(5,MATCH(MAX(Reference!$A$6,MIN(Reference!$A$11,MIN($U64,150))),Reference!$A$6:$A$11,1))))*(INDEX(Reference!$B$6:$B$11,MIN(5,MATCH(MAX(Reference!$A$6,MIN(Reference!$A$11,MIN($U64,150))),Reference!$A$6:$A$11,1))+1)-INDEX(Reference!$B$6:$B$11,MIN(5,MATCH(MAX(Reference!$A$6,MIN(Reference!$A$11,MIN($U64,150))),Reference!$A$6:$A$11,1))))/(INDEX(Reference!$A$6:$A$11,MIN(5,MATCH(MAX(Reference!$A$6,MIN(Reference!$A$11,MIN($U64,150))),Reference!$A$6:$A$11,1))+1)-INDEX(Reference!$A$6:$A$11,MIN(5,MATCH(MAX(Reference!$A$6,MIN(Reference!$A$11,MIN($U64,150))),Reference!$A$6:$A$11,1))))),0)+IF(4&lt;=$AL64,($AL64-4+3)*(INDEX(Reference!$B$6:$B$11,MIN(5,MATCH(MAX(Reference!$A$6,MIN(Reference!$A$11,MIN($U64,180))),Reference!$A$6:$A$11,1)))+(MAX(Reference!$A$6,MIN(Reference!$A$11,MIN($U64,180)))-INDEX(Reference!$A$6:$A$11,MIN(5,MATCH(MAX(Reference!$A$6,MIN(Reference!$A$11,MIN($U64,180))),Reference!$A$6:$A$11,1))))*(INDEX(Reference!$B$6:$B$11,MIN(5,MATCH(MAX(Reference!$A$6,MIN(Reference!$A$11,MIN($U64,180))),Reference!$A$6:$A$11,1))+1)-INDEX(Reference!$B$6:$B$11,MIN(5,MATCH(MAX(Reference!$A$6,MIN(Reference!$A$11,MIN($U64,180))),Reference!$A$6:$A$11,1))))/(INDEX(Reference!$A$6:$A$11,MIN(5,MATCH(MAX(Reference!$A$6,MIN(Reference!$A$11,MIN($U64,180))),Reference!$A$6:$A$11,1))+1)-INDEX(Reference!$A$6:$A$11,MIN(5,MATCH(MAX(Reference!$A$6,MIN(Reference!$A$11,MIN($U64,180))),Reference!$A$6:$A$11,1))))),0)+IF(5&lt;=$AL64,($AL64-5+3)*(INDEX(Reference!$B$6:$B$11,MIN(5,MATCH(MAX(Reference!$A$6,MIN(Reference!$A$11,MIN($U64,210))),Reference!$A$6:$A$11,1)))+(MAX(Reference!$A$6,MIN(Reference!$A$11,MIN($U64,210)))-INDEX(Reference!$A$6:$A$11,MIN(5,MATCH(MAX(Reference!$A$6,MIN(Reference!$A$11,MIN($U64,210))),Reference!$A$6:$A$11,1))))*(INDEX(Reference!$B$6:$B$11,MIN(5,MATCH(MAX(Reference!$A$6,MIN(Reference!$A$11,MIN($U64,210))),Reference!$A$6:$A$11,1))+1)-INDEX(Reference!$B$6:$B$11,MIN(5,MATCH(MAX(Reference!$A$6,MIN(Reference!$A$11,MIN($U64,210))),Reference!$A$6:$A$11,1))))/(INDEX(Reference!$A$6:$A$11,MIN(5,MATCH(MAX(Reference!$A$6,MIN(Reference!$A$11,MIN($U64,210))),Reference!$A$6:$A$11,1))+1)-INDEX(Reference!$A$6:$A$11,MIN(5,MATCH(MAX(Reference!$A$6,MIN(Reference!$A$11,MIN($U64,210))),Reference!$A$6:$A$11,1))))),0)+IF(6&lt;=$AL64,($AL64-6+3)*(INDEX(Reference!$B$6:$B$11,MIN(5,MATCH(MAX(Reference!$A$6,MIN(Reference!$A$11,MIN($U64,240))),Reference!$A$6:$A$11,1)))+(MAX(Reference!$A$6,MIN(Reference!$A$11,MIN($U64,240)))-INDEX(Reference!$A$6:$A$11,MIN(5,MATCH(MAX(Reference!$A$6,MIN(Reference!$A$11,MIN($U64,240))),Reference!$A$6:$A$11,1))))*(INDEX(Reference!$B$6:$B$11,MIN(5,MATCH(MAX(Reference!$A$6,MIN(Reference!$A$11,MIN($U64,240))),Reference!$A$6:$A$11,1))+1)-INDEX(Reference!$B$6:$B$11,MIN(5,MATCH(MAX(Reference!$A$6,MIN(Reference!$A$11,MIN($U64,240))),Reference!$A$6:$A$11,1))))/(INDEX(Reference!$A$6:$A$11,MIN(5,MATCH(MAX(Reference!$A$6,MIN(Reference!$A$11,MIN($U64,240))),Reference!$A$6:$A$11,1))+1)-INDEX(Reference!$A$6:$A$11,MIN(5,MATCH(MAX(Reference!$A$6,MIN(Reference!$A$11,MIN($U64,240))),Reference!$A$6:$A$11,1))))),0)+IF(7&lt;=$AL64,($AL64-7+3)*(INDEX(Reference!$B$6:$B$11,MIN(5,MATCH(MAX(Reference!$A$6,MIN(Reference!$A$11,MIN($U64,270))),Reference!$A$6:$A$11,1)))+(MAX(Reference!$A$6,MIN(Reference!$A$11,MIN($U64,270)))-INDEX(Reference!$A$6:$A$11,MIN(5,MATCH(MAX(Reference!$A$6,MIN(Reference!$A$11,MIN($U64,270))),Reference!$A$6:$A$11,1))))*(INDEX(Reference!$B$6:$B$11,MIN(5,MATCH(MAX(Reference!$A$6,MIN(Reference!$A$11,MIN($U64,270))),Reference!$A$6:$A$11,1))+1)-INDEX(Reference!$B$6:$B$11,MIN(5,MATCH(MAX(Reference!$A$6,MIN(Reference!$A$11,MIN($U64,270))),Reference!$A$6:$A$11,1))))/(INDEX(Reference!$A$6:$A$11,MIN(5,MATCH(MAX(Reference!$A$6,MIN(Reference!$A$11,MIN($U64,270))),Reference!$A$6:$A$11,1))+1)-INDEX(Reference!$A$6:$A$11,MIN(5,MATCH(MAX(Reference!$A$6,MIN(Reference!$A$11,MIN($U64,270))),Reference!$A$6:$A$11,1))))),0)+IF(8&lt;=$AL64,($AL64-8+3)*(INDEX(Reference!$B$6:$B$11,MIN(5,MATCH(MAX(Reference!$A$6,MIN(Reference!$A$11,MIN($U64,300))),Reference!$A$6:$A$11,1)))+(MAX(Reference!$A$6,MIN(Reference!$A$11,MIN($U64,300)))-INDEX(Reference!$A$6:$A$11,MIN(5,MATCH(MAX(Reference!$A$6,MIN(Reference!$A$11,MIN($U64,300))),Reference!$A$6:$A$11,1))))*(INDEX(Reference!$B$6:$B$11,MIN(5,MATCH(MAX(Reference!$A$6,MIN(Reference!$A$11,MIN($U64,300))),Reference!$A$6:$A$11,1))+1)-INDEX(Reference!$B$6:$B$11,MIN(5,MATCH(MAX(Reference!$A$6,MIN(Reference!$A$11,MIN($U64,300))),Reference!$A$6:$A$11,1))))/(INDEX(Reference!$A$6:$A$11,MIN(5,MATCH(MAX(Reference!$A$6,MIN(Reference!$A$11,MIN($U64,300))),Reference!$A$6:$A$11,1))+1)-INDEX(Reference!$A$6:$A$11,MIN(5,MATCH(MAX(Reference!$A$6,MIN(Reference!$A$11,MIN($U64,300))),Reference!$A$6:$A$11,1))))),0))/($AL64*($AL64+5)/2)),$AN64))</f>
        <v>1.1499999999999999</v>
      </c>
      <c r="AN64" s="32">
        <f>IF($U64="",0,(INDEX(Reference!$B$6:$B$11,MIN(5,MATCH(MAX(Reference!$A$6,MIN(Reference!$A$11,$U64)),Reference!$A$6:$A$11,1)))+(MAX(Reference!$A$6,MIN(Reference!$A$11,$U64))-INDEX(Reference!$A$6:$A$11,MIN(5,MATCH(MAX(Reference!$A$6,MIN(Reference!$A$11,$U64)),Reference!$A$6:$A$11,1))))*(INDEX(Reference!$B$6:$B$11,MIN(5,MATCH(MAX(Reference!$A$6,MIN(Reference!$A$11,$U64)),Reference!$A$6:$A$11,1))+1)-INDEX(Reference!$B$6:$B$11,MIN(5,MATCH(MAX(Reference!$A$6,MIN(Reference!$A$11,$U64)),Reference!$A$6:$A$11,1))))/(INDEX(Reference!$A$6:$A$11,MIN(5,MATCH(MAX(Reference!$A$6,MIN(Reference!$A$11,$U64)),Reference!$A$6:$A$11,1))+1)-INDEX(Reference!$A$6:$A$11,MIN(5,MATCH(MAX(Reference!$A$6,MIN(Reference!$A$11,$U64)),Reference!$A$6:$A$11,1))))))</f>
        <v>1.1499999999999999</v>
      </c>
      <c r="AO64" s="37"/>
      <c r="AP64" s="37"/>
      <c r="AQ64" s="37"/>
    </row>
    <row r="65" spans="1:43" ht="26.4" x14ac:dyDescent="0.3">
      <c r="A65" s="48">
        <f t="shared" si="5"/>
        <v>46329</v>
      </c>
      <c r="B65" s="32" t="str">
        <f t="shared" si="6"/>
        <v>Tue</v>
      </c>
      <c r="C65" s="32">
        <f t="shared" si="7"/>
        <v>62</v>
      </c>
      <c r="D65" s="32" t="str">
        <f t="shared" si="8"/>
        <v>Base</v>
      </c>
      <c r="E65" s="32" t="str">
        <f t="shared" si="9"/>
        <v>Low</v>
      </c>
      <c r="F65" s="32" t="str">
        <f t="shared" si="10"/>
        <v>Long Toss</v>
      </c>
      <c r="G65" s="47" t="str">
        <f t="shared" si="11"/>
        <v>Long toss out to 105 ft — 24 throws (90×14 · 105×10) @ 75–78 mph + 60 ft × 10 @ 73–77 mph</v>
      </c>
      <c r="H65" s="30">
        <f t="shared" si="12"/>
        <v>25.954285714285714</v>
      </c>
      <c r="I65" s="46" t="str">
        <f>IF($A65="","",IF(AND($L65&lt;27,$K$12=0),"Building",IFERROR(((SUM($H$59:$H65)+$K$12*IF($L65&lt;6,SUMIFS('Throw Log'!$Q$5:$Q$300,'Throw Log'!$B$5:$B$300,$D$4,'Throw Log'!$A$5:$A$300,"&gt;="&amp;($D$6+$L65-6),'Throw Log'!$A$5:$A$300,"&lt;="&amp;($D$6-1)),0))/7)/((SUM($H$43:$H65)+$K$12*IF($L65&lt;27,SUMIFS('Throw Log'!$Q$5:$Q$300,'Throw Log'!$B$5:$B$300,$D$4,'Throw Log'!$A$5:$A$300,"&gt;="&amp;($D$6+$L65-27),'Throw Log'!$A$5:$A$300,"&lt;="&amp;($D$6-1)),0))/28),"")))</f>
        <v>Building</v>
      </c>
      <c r="J65" s="37"/>
      <c r="K65" s="37"/>
      <c r="L65" s="32">
        <v>22</v>
      </c>
      <c r="M65" s="32">
        <f t="shared" si="13"/>
        <v>4</v>
      </c>
      <c r="N65" s="32">
        <f t="shared" si="14"/>
        <v>1</v>
      </c>
      <c r="O65" s="32">
        <f t="shared" si="15"/>
        <v>0.28947368421052633</v>
      </c>
      <c r="P65" s="32">
        <f>IF(OR($A65="",N($C65)&lt;=7),"",$G$6*$G$9^($M65-1)*IF(AND(MOD($M65,Reference!$B$99)=0,$M65&lt;=$G$5-2),Reference!$B$100,1))</f>
        <v>96.844268027376231</v>
      </c>
      <c r="Q65" s="32">
        <f>IF($P65="","",IF(SUM($AK$64:$AK$70)=0,0,$P65*INDEX(Reference!$B$108:$B$114,$N65+1)/SUM($AK$64:$AK$70)))</f>
        <v>26.147952367391586</v>
      </c>
      <c r="R65" s="32">
        <f t="shared" si="16"/>
        <v>105</v>
      </c>
      <c r="S65" s="32">
        <f t="shared" si="17"/>
        <v>90</v>
      </c>
      <c r="T65" s="32" t="str">
        <f>IF($A65="","",IF($C65=0,"Bullpen",IF(OR($C65=7,$C65=1,$C65=5),"Recovery/Easy Catch",IF($C65=6,"Compression/Pulldowns",IF(OR($C65=4,$C65=2),"Long Toss",IF($C65=3,"No Throw",IF($N65=2,"No Throw",IF($N65=6,IF($O65&lt;Reference!$B$104,"No Throw","Recovery/Easy Catch"),IF(OR($N65=0,$N65=4),"Recovery/Easy Catch",IF($N65=1,IF($R65&gt;75,"Long Toss","Recovery/Easy Catch"),IF($N65=3,IF($O65&lt;0.5,IF($S65&gt;75,"Long Toss","Recovery/Easy Catch"),"Compression/Pulldowns"),IF($S65&gt;75,"Long Toss","Recovery/Easy Catch"))))))))))))</f>
        <v>Long Toss</v>
      </c>
      <c r="U65" s="32">
        <f t="shared" si="18"/>
        <v>105</v>
      </c>
      <c r="V65" s="32">
        <f t="shared" si="19"/>
        <v>13</v>
      </c>
      <c r="W65" s="32">
        <f t="shared" si="20"/>
        <v>16</v>
      </c>
      <c r="X65" s="32">
        <f t="shared" si="21"/>
        <v>10</v>
      </c>
      <c r="Y65" s="32">
        <f t="shared" si="22"/>
        <v>14</v>
      </c>
      <c r="Z65" s="32">
        <f t="shared" si="23"/>
        <v>18</v>
      </c>
      <c r="AA65" s="32" t="str">
        <f t="shared" si="24"/>
        <v/>
      </c>
      <c r="AB65" s="32">
        <f>IF($A65="","",IF($T65="No Throw",0,IF($K65&lt;&gt;"",$K65,IF($AA65&lt;&gt;"",ROUND($AA65*$D$12*IF($C65=0,1,$G$10),0),MIN(IF($T65="Recovery/Easy Catch",Reference!$B$103,IF($T65="Long Toss",Reference!$B$106,Reference!$B$102)),MAX(Reference!$B$101,ROUND(MAX(0,$Q65-$AE65)/$AF65,0)))))))</f>
        <v>24</v>
      </c>
      <c r="AC65" s="32">
        <f t="shared" si="25"/>
        <v>0</v>
      </c>
      <c r="AD65" s="32" t="b">
        <f t="shared" si="26"/>
        <v>0</v>
      </c>
      <c r="AE65" s="32">
        <f>IF($X65=0,0,$X65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65+$Z65)/2,0),Reference!$A$17:$B$20,2,TRUE()))</f>
        <v>6</v>
      </c>
      <c r="AF65" s="32">
        <f>IF(OR($A65="",$U65="",$T65="No Throw"),0,$AM65*VLOOKUP(MAX(($V65+$W65)/2,0),Reference!$A$17:$B$20,2,TRUE()))</f>
        <v>0.83142857142857141</v>
      </c>
      <c r="AG65" s="32">
        <f>IF($AC65=0,0,$AC65*INDEX(Reference!$B$61:$B$62,MATCH("Bullpen",Reference!$A$61:$A$62,0))*VLOOKUP(MAX($D$5-($D$9+$E$9)/2,0),Reference!$A$17:$B$20,2,TRUE()))</f>
        <v>0</v>
      </c>
      <c r="AH65" s="32" t="e">
        <f t="shared" si="27"/>
        <v>#N/A</v>
      </c>
      <c r="AI65" s="32">
        <f>IF($A65="",NA(),Reference!$A$25)</f>
        <v>0.8</v>
      </c>
      <c r="AJ65" s="32">
        <f t="shared" si="28"/>
        <v>1.3</v>
      </c>
      <c r="AK65" s="56">
        <f>IF(OR($A65="",N($C65)&lt;=7,$T65="No Throw",$J65="x"),0,INDEX(Reference!$B$108:$B$114,$N65+1))</f>
        <v>0.27</v>
      </c>
      <c r="AL65" s="32">
        <f t="shared" si="29"/>
        <v>2</v>
      </c>
      <c r="AM65" s="32">
        <f>IF($U65="",0,IF($AL65&gt;1,((IF(1&lt;=$AL65,($AL65-1+3)*(INDEX(Reference!$B$6:$B$11,MIN(5,MATCH(MAX(Reference!$A$6,MIN(Reference!$A$11,MIN($U65,90))),Reference!$A$6:$A$11,1)))+(MAX(Reference!$A$6,MIN(Reference!$A$11,MIN($U65,90)))-INDEX(Reference!$A$6:$A$11,MIN(5,MATCH(MAX(Reference!$A$6,MIN(Reference!$A$11,MIN($U65,90))),Reference!$A$6:$A$11,1))))*(INDEX(Reference!$B$6:$B$11,MIN(5,MATCH(MAX(Reference!$A$6,MIN(Reference!$A$11,MIN($U65,90))),Reference!$A$6:$A$11,1))+1)-INDEX(Reference!$B$6:$B$11,MIN(5,MATCH(MAX(Reference!$A$6,MIN(Reference!$A$11,MIN($U65,90))),Reference!$A$6:$A$11,1))))/(INDEX(Reference!$A$6:$A$11,MIN(5,MATCH(MAX(Reference!$A$6,MIN(Reference!$A$11,MIN($U65,90))),Reference!$A$6:$A$11,1))+1)-INDEX(Reference!$A$6:$A$11,MIN(5,MATCH(MAX(Reference!$A$6,MIN(Reference!$A$11,MIN($U65,90))),Reference!$A$6:$A$11,1))))),0)+IF(2&lt;=$AL65,($AL65-2+3)*(INDEX(Reference!$B$6:$B$11,MIN(5,MATCH(MAX(Reference!$A$6,MIN(Reference!$A$11,MIN($U65,120))),Reference!$A$6:$A$11,1)))+(MAX(Reference!$A$6,MIN(Reference!$A$11,MIN($U65,120)))-INDEX(Reference!$A$6:$A$11,MIN(5,MATCH(MAX(Reference!$A$6,MIN(Reference!$A$11,MIN($U65,120))),Reference!$A$6:$A$11,1))))*(INDEX(Reference!$B$6:$B$11,MIN(5,MATCH(MAX(Reference!$A$6,MIN(Reference!$A$11,MIN($U65,120))),Reference!$A$6:$A$11,1))+1)-INDEX(Reference!$B$6:$B$11,MIN(5,MATCH(MAX(Reference!$A$6,MIN(Reference!$A$11,MIN($U65,120))),Reference!$A$6:$A$11,1))))/(INDEX(Reference!$A$6:$A$11,MIN(5,MATCH(MAX(Reference!$A$6,MIN(Reference!$A$11,MIN($U65,120))),Reference!$A$6:$A$11,1))+1)-INDEX(Reference!$A$6:$A$11,MIN(5,MATCH(MAX(Reference!$A$6,MIN(Reference!$A$11,MIN($U65,120))),Reference!$A$6:$A$11,1))))),0)+IF(3&lt;=$AL65,($AL65-3+3)*(INDEX(Reference!$B$6:$B$11,MIN(5,MATCH(MAX(Reference!$A$6,MIN(Reference!$A$11,MIN($U65,150))),Reference!$A$6:$A$11,1)))+(MAX(Reference!$A$6,MIN(Reference!$A$11,MIN($U65,150)))-INDEX(Reference!$A$6:$A$11,MIN(5,MATCH(MAX(Reference!$A$6,MIN(Reference!$A$11,MIN($U65,150))),Reference!$A$6:$A$11,1))))*(INDEX(Reference!$B$6:$B$11,MIN(5,MATCH(MAX(Reference!$A$6,MIN(Reference!$A$11,MIN($U65,150))),Reference!$A$6:$A$11,1))+1)-INDEX(Reference!$B$6:$B$11,MIN(5,MATCH(MAX(Reference!$A$6,MIN(Reference!$A$11,MIN($U65,150))),Reference!$A$6:$A$11,1))))/(INDEX(Reference!$A$6:$A$11,MIN(5,MATCH(MAX(Reference!$A$6,MIN(Reference!$A$11,MIN($U65,150))),Reference!$A$6:$A$11,1))+1)-INDEX(Reference!$A$6:$A$11,MIN(5,MATCH(MAX(Reference!$A$6,MIN(Reference!$A$11,MIN($U65,150))),Reference!$A$6:$A$11,1))))),0)+IF(4&lt;=$AL65,($AL65-4+3)*(INDEX(Reference!$B$6:$B$11,MIN(5,MATCH(MAX(Reference!$A$6,MIN(Reference!$A$11,MIN($U65,180))),Reference!$A$6:$A$11,1)))+(MAX(Reference!$A$6,MIN(Reference!$A$11,MIN($U65,180)))-INDEX(Reference!$A$6:$A$11,MIN(5,MATCH(MAX(Reference!$A$6,MIN(Reference!$A$11,MIN($U65,180))),Reference!$A$6:$A$11,1))))*(INDEX(Reference!$B$6:$B$11,MIN(5,MATCH(MAX(Reference!$A$6,MIN(Reference!$A$11,MIN($U65,180))),Reference!$A$6:$A$11,1))+1)-INDEX(Reference!$B$6:$B$11,MIN(5,MATCH(MAX(Reference!$A$6,MIN(Reference!$A$11,MIN($U65,180))),Reference!$A$6:$A$11,1))))/(INDEX(Reference!$A$6:$A$11,MIN(5,MATCH(MAX(Reference!$A$6,MIN(Reference!$A$11,MIN($U65,180))),Reference!$A$6:$A$11,1))+1)-INDEX(Reference!$A$6:$A$11,MIN(5,MATCH(MAX(Reference!$A$6,MIN(Reference!$A$11,MIN($U65,180))),Reference!$A$6:$A$11,1))))),0)+IF(5&lt;=$AL65,($AL65-5+3)*(INDEX(Reference!$B$6:$B$11,MIN(5,MATCH(MAX(Reference!$A$6,MIN(Reference!$A$11,MIN($U65,210))),Reference!$A$6:$A$11,1)))+(MAX(Reference!$A$6,MIN(Reference!$A$11,MIN($U65,210)))-INDEX(Reference!$A$6:$A$11,MIN(5,MATCH(MAX(Reference!$A$6,MIN(Reference!$A$11,MIN($U65,210))),Reference!$A$6:$A$11,1))))*(INDEX(Reference!$B$6:$B$11,MIN(5,MATCH(MAX(Reference!$A$6,MIN(Reference!$A$11,MIN($U65,210))),Reference!$A$6:$A$11,1))+1)-INDEX(Reference!$B$6:$B$11,MIN(5,MATCH(MAX(Reference!$A$6,MIN(Reference!$A$11,MIN($U65,210))),Reference!$A$6:$A$11,1))))/(INDEX(Reference!$A$6:$A$11,MIN(5,MATCH(MAX(Reference!$A$6,MIN(Reference!$A$11,MIN($U65,210))),Reference!$A$6:$A$11,1))+1)-INDEX(Reference!$A$6:$A$11,MIN(5,MATCH(MAX(Reference!$A$6,MIN(Reference!$A$11,MIN($U65,210))),Reference!$A$6:$A$11,1))))),0)+IF(6&lt;=$AL65,($AL65-6+3)*(INDEX(Reference!$B$6:$B$11,MIN(5,MATCH(MAX(Reference!$A$6,MIN(Reference!$A$11,MIN($U65,240))),Reference!$A$6:$A$11,1)))+(MAX(Reference!$A$6,MIN(Reference!$A$11,MIN($U65,240)))-INDEX(Reference!$A$6:$A$11,MIN(5,MATCH(MAX(Reference!$A$6,MIN(Reference!$A$11,MIN($U65,240))),Reference!$A$6:$A$11,1))))*(INDEX(Reference!$B$6:$B$11,MIN(5,MATCH(MAX(Reference!$A$6,MIN(Reference!$A$11,MIN($U65,240))),Reference!$A$6:$A$11,1))+1)-INDEX(Reference!$B$6:$B$11,MIN(5,MATCH(MAX(Reference!$A$6,MIN(Reference!$A$11,MIN($U65,240))),Reference!$A$6:$A$11,1))))/(INDEX(Reference!$A$6:$A$11,MIN(5,MATCH(MAX(Reference!$A$6,MIN(Reference!$A$11,MIN($U65,240))),Reference!$A$6:$A$11,1))+1)-INDEX(Reference!$A$6:$A$11,MIN(5,MATCH(MAX(Reference!$A$6,MIN(Reference!$A$11,MIN($U65,240))),Reference!$A$6:$A$11,1))))),0)+IF(7&lt;=$AL65,($AL65-7+3)*(INDEX(Reference!$B$6:$B$11,MIN(5,MATCH(MAX(Reference!$A$6,MIN(Reference!$A$11,MIN($U65,270))),Reference!$A$6:$A$11,1)))+(MAX(Reference!$A$6,MIN(Reference!$A$11,MIN($U65,270)))-INDEX(Reference!$A$6:$A$11,MIN(5,MATCH(MAX(Reference!$A$6,MIN(Reference!$A$11,MIN($U65,270))),Reference!$A$6:$A$11,1))))*(INDEX(Reference!$B$6:$B$11,MIN(5,MATCH(MAX(Reference!$A$6,MIN(Reference!$A$11,MIN($U65,270))),Reference!$A$6:$A$11,1))+1)-INDEX(Reference!$B$6:$B$11,MIN(5,MATCH(MAX(Reference!$A$6,MIN(Reference!$A$11,MIN($U65,270))),Reference!$A$6:$A$11,1))))/(INDEX(Reference!$A$6:$A$11,MIN(5,MATCH(MAX(Reference!$A$6,MIN(Reference!$A$11,MIN($U65,270))),Reference!$A$6:$A$11,1))+1)-INDEX(Reference!$A$6:$A$11,MIN(5,MATCH(MAX(Reference!$A$6,MIN(Reference!$A$11,MIN($U65,270))),Reference!$A$6:$A$11,1))))),0)+IF(8&lt;=$AL65,($AL65-8+3)*(INDEX(Reference!$B$6:$B$11,MIN(5,MATCH(MAX(Reference!$A$6,MIN(Reference!$A$11,MIN($U65,300))),Reference!$A$6:$A$11,1)))+(MAX(Reference!$A$6,MIN(Reference!$A$11,MIN($U65,300)))-INDEX(Reference!$A$6:$A$11,MIN(5,MATCH(MAX(Reference!$A$6,MIN(Reference!$A$11,MIN($U65,300))),Reference!$A$6:$A$11,1))))*(INDEX(Reference!$B$6:$B$11,MIN(5,MATCH(MAX(Reference!$A$6,MIN(Reference!$A$11,MIN($U65,300))),Reference!$A$6:$A$11,1))+1)-INDEX(Reference!$B$6:$B$11,MIN(5,MATCH(MAX(Reference!$A$6,MIN(Reference!$A$11,MIN($U65,300))),Reference!$A$6:$A$11,1))))/(INDEX(Reference!$A$6:$A$11,MIN(5,MATCH(MAX(Reference!$A$6,MIN(Reference!$A$11,MIN($U65,300))),Reference!$A$6:$A$11,1))+1)-INDEX(Reference!$A$6:$A$11,MIN(5,MATCH(MAX(Reference!$A$6,MIN(Reference!$A$11,MIN($U65,300))),Reference!$A$6:$A$11,1))))),0))/($AL65*($AL65+5)/2)),$AN65))</f>
        <v>1.3857142857142857</v>
      </c>
      <c r="AN65" s="32">
        <f>IF($U65="",0,(INDEX(Reference!$B$6:$B$11,MIN(5,MATCH(MAX(Reference!$A$6,MIN(Reference!$A$11,$U65)),Reference!$A$6:$A$11,1)))+(MAX(Reference!$A$6,MIN(Reference!$A$11,$U65))-INDEX(Reference!$A$6:$A$11,MIN(5,MATCH(MAX(Reference!$A$6,MIN(Reference!$A$11,$U65)),Reference!$A$6:$A$11,1))))*(INDEX(Reference!$B$6:$B$11,MIN(5,MATCH(MAX(Reference!$A$6,MIN(Reference!$A$11,$U65)),Reference!$A$6:$A$11,1))+1)-INDEX(Reference!$B$6:$B$11,MIN(5,MATCH(MAX(Reference!$A$6,MIN(Reference!$A$11,$U65)),Reference!$A$6:$A$11,1))))/(INDEX(Reference!$A$6:$A$11,MIN(5,MATCH(MAX(Reference!$A$6,MIN(Reference!$A$11,$U65)),Reference!$A$6:$A$11,1))+1)-INDEX(Reference!$A$6:$A$11,MIN(5,MATCH(MAX(Reference!$A$6,MIN(Reference!$A$11,$U65)),Reference!$A$6:$A$11,1))))))</f>
        <v>1.5</v>
      </c>
      <c r="AO65" s="37"/>
      <c r="AP65" s="37"/>
      <c r="AQ65" s="37"/>
    </row>
    <row r="66" spans="1:43" x14ac:dyDescent="0.3">
      <c r="A66" s="48">
        <f t="shared" si="5"/>
        <v>46330</v>
      </c>
      <c r="B66" s="32" t="str">
        <f t="shared" si="6"/>
        <v>Wed</v>
      </c>
      <c r="C66" s="32">
        <f t="shared" si="7"/>
        <v>61</v>
      </c>
      <c r="D66" s="32" t="str">
        <f t="shared" si="8"/>
        <v>Base</v>
      </c>
      <c r="E66" s="32" t="str">
        <f t="shared" si="9"/>
        <v>No Throw</v>
      </c>
      <c r="F66" s="32" t="str">
        <f t="shared" si="10"/>
        <v>No Throw</v>
      </c>
      <c r="G66" s="47" t="str">
        <f t="shared" si="11"/>
        <v>Off</v>
      </c>
      <c r="H66" s="30">
        <f t="shared" si="12"/>
        <v>0</v>
      </c>
      <c r="I66" s="46" t="str">
        <f>IF($A66="","",IF(AND($L66&lt;27,$K$12=0),"Building",IFERROR(((SUM($H$60:$H66)+$K$12*IF($L66&lt;6,SUMIFS('Throw Log'!$Q$5:$Q$300,'Throw Log'!$B$5:$B$300,$D$4,'Throw Log'!$A$5:$A$300,"&gt;="&amp;($D$6+$L66-6),'Throw Log'!$A$5:$A$300,"&lt;="&amp;($D$6-1)),0))/7)/((SUM($H$43:$H66)+$K$12*IF($L66&lt;27,SUMIFS('Throw Log'!$Q$5:$Q$300,'Throw Log'!$B$5:$B$300,$D$4,'Throw Log'!$A$5:$A$300,"&gt;="&amp;($D$6+$L66-27),'Throw Log'!$A$5:$A$300,"&lt;="&amp;($D$6-1)),0))/28),"")))</f>
        <v>Building</v>
      </c>
      <c r="J66" s="37"/>
      <c r="K66" s="37"/>
      <c r="L66" s="32">
        <v>23</v>
      </c>
      <c r="M66" s="32">
        <f t="shared" si="13"/>
        <v>4</v>
      </c>
      <c r="N66" s="32">
        <f t="shared" si="14"/>
        <v>2</v>
      </c>
      <c r="O66" s="32">
        <f t="shared" si="15"/>
        <v>0.30263157894736842</v>
      </c>
      <c r="P66" s="32">
        <f>IF(OR($A66="",N($C66)&lt;=7),"",$G$6*$G$9^($M66-1)*IF(AND(MOD($M66,Reference!$B$99)=0,$M66&lt;=$G$5-2),Reference!$B$100,1))</f>
        <v>96.844268027376231</v>
      </c>
      <c r="Q66" s="32">
        <f>IF($P66="","",IF(SUM($AK$64:$AK$70)=0,0,$P66*INDEX(Reference!$B$108:$B$114,$N66+1)/SUM($AK$64:$AK$70)))</f>
        <v>0</v>
      </c>
      <c r="R66" s="32">
        <f t="shared" si="16"/>
        <v>105</v>
      </c>
      <c r="S66" s="32">
        <f t="shared" si="17"/>
        <v>90</v>
      </c>
      <c r="T66" s="32" t="str">
        <f>IF($A66="","",IF($C66=0,"Bullpen",IF(OR($C66=7,$C66=1,$C66=5),"Recovery/Easy Catch",IF($C66=6,"Compression/Pulldowns",IF(OR($C66=4,$C66=2),"Long Toss",IF($C66=3,"No Throw",IF($N66=2,"No Throw",IF($N66=6,IF($O66&lt;Reference!$B$104,"No Throw","Recovery/Easy Catch"),IF(OR($N66=0,$N66=4),"Recovery/Easy Catch",IF($N66=1,IF($R66&gt;75,"Long Toss","Recovery/Easy Catch"),IF($N66=3,IF($O66&lt;0.5,IF($S66&gt;75,"Long Toss","Recovery/Easy Catch"),"Compression/Pulldowns"),IF($S66&gt;75,"Long Toss","Recovery/Easy Catch"))))))))))))</f>
        <v>No Throw</v>
      </c>
      <c r="U66" s="32" t="str">
        <f t="shared" si="18"/>
        <v/>
      </c>
      <c r="V66" s="32" t="str">
        <f t="shared" si="19"/>
        <v/>
      </c>
      <c r="W66" s="32" t="str">
        <f t="shared" si="20"/>
        <v/>
      </c>
      <c r="X66" s="32">
        <f t="shared" si="21"/>
        <v>0</v>
      </c>
      <c r="Y66" s="32" t="str">
        <f t="shared" si="22"/>
        <v/>
      </c>
      <c r="Z66" s="32" t="str">
        <f t="shared" si="23"/>
        <v/>
      </c>
      <c r="AA66" s="32" t="str">
        <f t="shared" si="24"/>
        <v/>
      </c>
      <c r="AB66" s="32">
        <f>IF($A66="","",IF($T66="No Throw",0,IF($K66&lt;&gt;"",$K66,IF($AA66&lt;&gt;"",ROUND($AA66*$D$12*IF($C66=0,1,$G$10),0),MIN(IF($T66="Recovery/Easy Catch",Reference!$B$103,IF($T66="Long Toss",Reference!$B$106,Reference!$B$102)),MAX(Reference!$B$101,ROUND(MAX(0,$Q66-$AE66)/$AF66,0)))))))</f>
        <v>0</v>
      </c>
      <c r="AC66" s="32">
        <f t="shared" si="25"/>
        <v>0</v>
      </c>
      <c r="AD66" s="32" t="b">
        <f t="shared" si="26"/>
        <v>1</v>
      </c>
      <c r="AE66" s="32">
        <f>IF($X66=0,0,$X66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66+$Z66)/2,0),Reference!$A$17:$B$20,2,TRUE()))</f>
        <v>0</v>
      </c>
      <c r="AF66" s="32">
        <f>IF(OR($A66="",$U66="",$T66="No Throw"),0,$AM66*VLOOKUP(MAX(($V66+$W66)/2,0),Reference!$A$17:$B$20,2,TRUE()))</f>
        <v>0</v>
      </c>
      <c r="AG66" s="32">
        <f>IF($AC66=0,0,$AC66*INDEX(Reference!$B$61:$B$62,MATCH("Bullpen",Reference!$A$61:$A$62,0))*VLOOKUP(MAX($D$5-($D$9+$E$9)/2,0),Reference!$A$17:$B$20,2,TRUE()))</f>
        <v>0</v>
      </c>
      <c r="AH66" s="32" t="e">
        <f t="shared" si="27"/>
        <v>#N/A</v>
      </c>
      <c r="AI66" s="32">
        <f>IF($A66="",NA(),Reference!$A$25)</f>
        <v>0.8</v>
      </c>
      <c r="AJ66" s="32">
        <f t="shared" si="28"/>
        <v>1.3</v>
      </c>
      <c r="AK66" s="32">
        <f>IF(OR($A66="",N($C66)&lt;=7,$T66="No Throw",$J66="x"),0,INDEX(Reference!$B$108:$B$114,$N66+1))</f>
        <v>0</v>
      </c>
      <c r="AL66" s="32">
        <f t="shared" si="29"/>
        <v>1</v>
      </c>
      <c r="AM66" s="32">
        <f>IF($U66="",0,IF($AL66&gt;1,((IF(1&lt;=$AL66,($AL66-1+3)*(INDEX(Reference!$B$6:$B$11,MIN(5,MATCH(MAX(Reference!$A$6,MIN(Reference!$A$11,MIN($U66,90))),Reference!$A$6:$A$11,1)))+(MAX(Reference!$A$6,MIN(Reference!$A$11,MIN($U66,90)))-INDEX(Reference!$A$6:$A$11,MIN(5,MATCH(MAX(Reference!$A$6,MIN(Reference!$A$11,MIN($U66,90))),Reference!$A$6:$A$11,1))))*(INDEX(Reference!$B$6:$B$11,MIN(5,MATCH(MAX(Reference!$A$6,MIN(Reference!$A$11,MIN($U66,90))),Reference!$A$6:$A$11,1))+1)-INDEX(Reference!$B$6:$B$11,MIN(5,MATCH(MAX(Reference!$A$6,MIN(Reference!$A$11,MIN($U66,90))),Reference!$A$6:$A$11,1))))/(INDEX(Reference!$A$6:$A$11,MIN(5,MATCH(MAX(Reference!$A$6,MIN(Reference!$A$11,MIN($U66,90))),Reference!$A$6:$A$11,1))+1)-INDEX(Reference!$A$6:$A$11,MIN(5,MATCH(MAX(Reference!$A$6,MIN(Reference!$A$11,MIN($U66,90))),Reference!$A$6:$A$11,1))))),0)+IF(2&lt;=$AL66,($AL66-2+3)*(INDEX(Reference!$B$6:$B$11,MIN(5,MATCH(MAX(Reference!$A$6,MIN(Reference!$A$11,MIN($U66,120))),Reference!$A$6:$A$11,1)))+(MAX(Reference!$A$6,MIN(Reference!$A$11,MIN($U66,120)))-INDEX(Reference!$A$6:$A$11,MIN(5,MATCH(MAX(Reference!$A$6,MIN(Reference!$A$11,MIN($U66,120))),Reference!$A$6:$A$11,1))))*(INDEX(Reference!$B$6:$B$11,MIN(5,MATCH(MAX(Reference!$A$6,MIN(Reference!$A$11,MIN($U66,120))),Reference!$A$6:$A$11,1))+1)-INDEX(Reference!$B$6:$B$11,MIN(5,MATCH(MAX(Reference!$A$6,MIN(Reference!$A$11,MIN($U66,120))),Reference!$A$6:$A$11,1))))/(INDEX(Reference!$A$6:$A$11,MIN(5,MATCH(MAX(Reference!$A$6,MIN(Reference!$A$11,MIN($U66,120))),Reference!$A$6:$A$11,1))+1)-INDEX(Reference!$A$6:$A$11,MIN(5,MATCH(MAX(Reference!$A$6,MIN(Reference!$A$11,MIN($U66,120))),Reference!$A$6:$A$11,1))))),0)+IF(3&lt;=$AL66,($AL66-3+3)*(INDEX(Reference!$B$6:$B$11,MIN(5,MATCH(MAX(Reference!$A$6,MIN(Reference!$A$11,MIN($U66,150))),Reference!$A$6:$A$11,1)))+(MAX(Reference!$A$6,MIN(Reference!$A$11,MIN($U66,150)))-INDEX(Reference!$A$6:$A$11,MIN(5,MATCH(MAX(Reference!$A$6,MIN(Reference!$A$11,MIN($U66,150))),Reference!$A$6:$A$11,1))))*(INDEX(Reference!$B$6:$B$11,MIN(5,MATCH(MAX(Reference!$A$6,MIN(Reference!$A$11,MIN($U66,150))),Reference!$A$6:$A$11,1))+1)-INDEX(Reference!$B$6:$B$11,MIN(5,MATCH(MAX(Reference!$A$6,MIN(Reference!$A$11,MIN($U66,150))),Reference!$A$6:$A$11,1))))/(INDEX(Reference!$A$6:$A$11,MIN(5,MATCH(MAX(Reference!$A$6,MIN(Reference!$A$11,MIN($U66,150))),Reference!$A$6:$A$11,1))+1)-INDEX(Reference!$A$6:$A$11,MIN(5,MATCH(MAX(Reference!$A$6,MIN(Reference!$A$11,MIN($U66,150))),Reference!$A$6:$A$11,1))))),0)+IF(4&lt;=$AL66,($AL66-4+3)*(INDEX(Reference!$B$6:$B$11,MIN(5,MATCH(MAX(Reference!$A$6,MIN(Reference!$A$11,MIN($U66,180))),Reference!$A$6:$A$11,1)))+(MAX(Reference!$A$6,MIN(Reference!$A$11,MIN($U66,180)))-INDEX(Reference!$A$6:$A$11,MIN(5,MATCH(MAX(Reference!$A$6,MIN(Reference!$A$11,MIN($U66,180))),Reference!$A$6:$A$11,1))))*(INDEX(Reference!$B$6:$B$11,MIN(5,MATCH(MAX(Reference!$A$6,MIN(Reference!$A$11,MIN($U66,180))),Reference!$A$6:$A$11,1))+1)-INDEX(Reference!$B$6:$B$11,MIN(5,MATCH(MAX(Reference!$A$6,MIN(Reference!$A$11,MIN($U66,180))),Reference!$A$6:$A$11,1))))/(INDEX(Reference!$A$6:$A$11,MIN(5,MATCH(MAX(Reference!$A$6,MIN(Reference!$A$11,MIN($U66,180))),Reference!$A$6:$A$11,1))+1)-INDEX(Reference!$A$6:$A$11,MIN(5,MATCH(MAX(Reference!$A$6,MIN(Reference!$A$11,MIN($U66,180))),Reference!$A$6:$A$11,1))))),0)+IF(5&lt;=$AL66,($AL66-5+3)*(INDEX(Reference!$B$6:$B$11,MIN(5,MATCH(MAX(Reference!$A$6,MIN(Reference!$A$11,MIN($U66,210))),Reference!$A$6:$A$11,1)))+(MAX(Reference!$A$6,MIN(Reference!$A$11,MIN($U66,210)))-INDEX(Reference!$A$6:$A$11,MIN(5,MATCH(MAX(Reference!$A$6,MIN(Reference!$A$11,MIN($U66,210))),Reference!$A$6:$A$11,1))))*(INDEX(Reference!$B$6:$B$11,MIN(5,MATCH(MAX(Reference!$A$6,MIN(Reference!$A$11,MIN($U66,210))),Reference!$A$6:$A$11,1))+1)-INDEX(Reference!$B$6:$B$11,MIN(5,MATCH(MAX(Reference!$A$6,MIN(Reference!$A$11,MIN($U66,210))),Reference!$A$6:$A$11,1))))/(INDEX(Reference!$A$6:$A$11,MIN(5,MATCH(MAX(Reference!$A$6,MIN(Reference!$A$11,MIN($U66,210))),Reference!$A$6:$A$11,1))+1)-INDEX(Reference!$A$6:$A$11,MIN(5,MATCH(MAX(Reference!$A$6,MIN(Reference!$A$11,MIN($U66,210))),Reference!$A$6:$A$11,1))))),0)+IF(6&lt;=$AL66,($AL66-6+3)*(INDEX(Reference!$B$6:$B$11,MIN(5,MATCH(MAX(Reference!$A$6,MIN(Reference!$A$11,MIN($U66,240))),Reference!$A$6:$A$11,1)))+(MAX(Reference!$A$6,MIN(Reference!$A$11,MIN($U66,240)))-INDEX(Reference!$A$6:$A$11,MIN(5,MATCH(MAX(Reference!$A$6,MIN(Reference!$A$11,MIN($U66,240))),Reference!$A$6:$A$11,1))))*(INDEX(Reference!$B$6:$B$11,MIN(5,MATCH(MAX(Reference!$A$6,MIN(Reference!$A$11,MIN($U66,240))),Reference!$A$6:$A$11,1))+1)-INDEX(Reference!$B$6:$B$11,MIN(5,MATCH(MAX(Reference!$A$6,MIN(Reference!$A$11,MIN($U66,240))),Reference!$A$6:$A$11,1))))/(INDEX(Reference!$A$6:$A$11,MIN(5,MATCH(MAX(Reference!$A$6,MIN(Reference!$A$11,MIN($U66,240))),Reference!$A$6:$A$11,1))+1)-INDEX(Reference!$A$6:$A$11,MIN(5,MATCH(MAX(Reference!$A$6,MIN(Reference!$A$11,MIN($U66,240))),Reference!$A$6:$A$11,1))))),0)+IF(7&lt;=$AL66,($AL66-7+3)*(INDEX(Reference!$B$6:$B$11,MIN(5,MATCH(MAX(Reference!$A$6,MIN(Reference!$A$11,MIN($U66,270))),Reference!$A$6:$A$11,1)))+(MAX(Reference!$A$6,MIN(Reference!$A$11,MIN($U66,270)))-INDEX(Reference!$A$6:$A$11,MIN(5,MATCH(MAX(Reference!$A$6,MIN(Reference!$A$11,MIN($U66,270))),Reference!$A$6:$A$11,1))))*(INDEX(Reference!$B$6:$B$11,MIN(5,MATCH(MAX(Reference!$A$6,MIN(Reference!$A$11,MIN($U66,270))),Reference!$A$6:$A$11,1))+1)-INDEX(Reference!$B$6:$B$11,MIN(5,MATCH(MAX(Reference!$A$6,MIN(Reference!$A$11,MIN($U66,270))),Reference!$A$6:$A$11,1))))/(INDEX(Reference!$A$6:$A$11,MIN(5,MATCH(MAX(Reference!$A$6,MIN(Reference!$A$11,MIN($U66,270))),Reference!$A$6:$A$11,1))+1)-INDEX(Reference!$A$6:$A$11,MIN(5,MATCH(MAX(Reference!$A$6,MIN(Reference!$A$11,MIN($U66,270))),Reference!$A$6:$A$11,1))))),0)+IF(8&lt;=$AL66,($AL66-8+3)*(INDEX(Reference!$B$6:$B$11,MIN(5,MATCH(MAX(Reference!$A$6,MIN(Reference!$A$11,MIN($U66,300))),Reference!$A$6:$A$11,1)))+(MAX(Reference!$A$6,MIN(Reference!$A$11,MIN($U66,300)))-INDEX(Reference!$A$6:$A$11,MIN(5,MATCH(MAX(Reference!$A$6,MIN(Reference!$A$11,MIN($U66,300))),Reference!$A$6:$A$11,1))))*(INDEX(Reference!$B$6:$B$11,MIN(5,MATCH(MAX(Reference!$A$6,MIN(Reference!$A$11,MIN($U66,300))),Reference!$A$6:$A$11,1))+1)-INDEX(Reference!$B$6:$B$11,MIN(5,MATCH(MAX(Reference!$A$6,MIN(Reference!$A$11,MIN($U66,300))),Reference!$A$6:$A$11,1))))/(INDEX(Reference!$A$6:$A$11,MIN(5,MATCH(MAX(Reference!$A$6,MIN(Reference!$A$11,MIN($U66,300))),Reference!$A$6:$A$11,1))+1)-INDEX(Reference!$A$6:$A$11,MIN(5,MATCH(MAX(Reference!$A$6,MIN(Reference!$A$11,MIN($U66,300))),Reference!$A$6:$A$11,1))))),0))/($AL66*($AL66+5)/2)),$AN66))</f>
        <v>0</v>
      </c>
      <c r="AN66" s="32">
        <f>IF($U66="",0,(INDEX(Reference!$B$6:$B$11,MIN(5,MATCH(MAX(Reference!$A$6,MIN(Reference!$A$11,$U66)),Reference!$A$6:$A$11,1)))+(MAX(Reference!$A$6,MIN(Reference!$A$11,$U66))-INDEX(Reference!$A$6:$A$11,MIN(5,MATCH(MAX(Reference!$A$6,MIN(Reference!$A$11,$U66)),Reference!$A$6:$A$11,1))))*(INDEX(Reference!$B$6:$B$11,MIN(5,MATCH(MAX(Reference!$A$6,MIN(Reference!$A$11,$U66)),Reference!$A$6:$A$11,1))+1)-INDEX(Reference!$B$6:$B$11,MIN(5,MATCH(MAX(Reference!$A$6,MIN(Reference!$A$11,$U66)),Reference!$A$6:$A$11,1))))/(INDEX(Reference!$A$6:$A$11,MIN(5,MATCH(MAX(Reference!$A$6,MIN(Reference!$A$11,$U66)),Reference!$A$6:$A$11,1))+1)-INDEX(Reference!$A$6:$A$11,MIN(5,MATCH(MAX(Reference!$A$6,MIN(Reference!$A$11,$U66)),Reference!$A$6:$A$11,1))))))</f>
        <v>0</v>
      </c>
      <c r="AO66" s="37"/>
      <c r="AP66" s="37"/>
      <c r="AQ66" s="37"/>
    </row>
    <row r="67" spans="1:43" x14ac:dyDescent="0.3">
      <c r="A67" s="48">
        <f t="shared" si="5"/>
        <v>46331</v>
      </c>
      <c r="B67" s="32" t="str">
        <f t="shared" si="6"/>
        <v>Thu</v>
      </c>
      <c r="C67" s="32">
        <f t="shared" si="7"/>
        <v>60</v>
      </c>
      <c r="D67" s="32" t="str">
        <f t="shared" si="8"/>
        <v>Base</v>
      </c>
      <c r="E67" s="32" t="str">
        <f t="shared" si="9"/>
        <v>Medium</v>
      </c>
      <c r="F67" s="32" t="str">
        <f t="shared" si="10"/>
        <v>Long Toss</v>
      </c>
      <c r="G67" s="47" t="str">
        <f t="shared" si="11"/>
        <v>90 ft × 25 @ 75–78 mph + 60 ft × 10 @ 73–77 mph</v>
      </c>
      <c r="H67" s="30">
        <f t="shared" si="12"/>
        <v>25.5</v>
      </c>
      <c r="I67" s="46" t="str">
        <f>IF($A67="","",IF(AND($L67&lt;27,$K$12=0),"Building",IFERROR(((SUM($H$61:$H67)+$K$12*IF($L67&lt;6,SUMIFS('Throw Log'!$Q$5:$Q$300,'Throw Log'!$B$5:$B$300,$D$4,'Throw Log'!$A$5:$A$300,"&gt;="&amp;($D$6+$L67-6),'Throw Log'!$A$5:$A$300,"&lt;="&amp;($D$6-1)),0))/7)/((SUM($H$43:$H67)+$K$12*IF($L67&lt;27,SUMIFS('Throw Log'!$Q$5:$Q$300,'Throw Log'!$B$5:$B$300,$D$4,'Throw Log'!$A$5:$A$300,"&gt;="&amp;($D$6+$L67-27),'Throw Log'!$A$5:$A$300,"&lt;="&amp;($D$6-1)),0))/28),"")))</f>
        <v>Building</v>
      </c>
      <c r="J67" s="37"/>
      <c r="K67" s="37">
        <v>25</v>
      </c>
      <c r="L67" s="32">
        <v>24</v>
      </c>
      <c r="M67" s="32">
        <f t="shared" si="13"/>
        <v>4</v>
      </c>
      <c r="N67" s="32">
        <f t="shared" si="14"/>
        <v>3</v>
      </c>
      <c r="O67" s="32">
        <f t="shared" si="15"/>
        <v>0.31578947368421051</v>
      </c>
      <c r="P67" s="32">
        <f>IF(OR($A67="",N($C67)&lt;=7),"",$G$6*$G$9^($M67-1)*IF(AND(MOD($M67,Reference!$B$99)=0,$M67&lt;=$G$5-2),Reference!$B$100,1))</f>
        <v>96.844268027376231</v>
      </c>
      <c r="Q67" s="32">
        <f>IF($P67="","",IF(SUM($AK$64:$AK$70)=0,0,$P67*INDEX(Reference!$B$108:$B$114,$N67+1)/SUM($AK$64:$AK$70)))</f>
        <v>23.242624326570294</v>
      </c>
      <c r="R67" s="32">
        <f t="shared" si="16"/>
        <v>105</v>
      </c>
      <c r="S67" s="32">
        <f t="shared" si="17"/>
        <v>90</v>
      </c>
      <c r="T67" s="32" t="str">
        <f>IF($A67="","",IF($C67=0,"Bullpen",IF(OR($C67=7,$C67=1,$C67=5),"Recovery/Easy Catch",IF($C67=6,"Compression/Pulldowns",IF(OR($C67=4,$C67=2),"Long Toss",IF($C67=3,"No Throw",IF($N67=2,"No Throw",IF($N67=6,IF($O67&lt;Reference!$B$104,"No Throw","Recovery/Easy Catch"),IF(OR($N67=0,$N67=4),"Recovery/Easy Catch",IF($N67=1,IF($R67&gt;75,"Long Toss","Recovery/Easy Catch"),IF($N67=3,IF($O67&lt;0.5,IF($S67&gt;75,"Long Toss","Recovery/Easy Catch"),"Compression/Pulldowns"),IF($S67&gt;75,"Long Toss","Recovery/Easy Catch"))))))))))))</f>
        <v>Long Toss</v>
      </c>
      <c r="U67" s="32">
        <f t="shared" si="18"/>
        <v>90</v>
      </c>
      <c r="V67" s="32">
        <f t="shared" si="19"/>
        <v>13</v>
      </c>
      <c r="W67" s="32">
        <f t="shared" si="20"/>
        <v>16</v>
      </c>
      <c r="X67" s="32">
        <f t="shared" si="21"/>
        <v>10</v>
      </c>
      <c r="Y67" s="32">
        <f t="shared" si="22"/>
        <v>14</v>
      </c>
      <c r="Z67" s="32">
        <f t="shared" si="23"/>
        <v>18</v>
      </c>
      <c r="AA67" s="32" t="str">
        <f t="shared" si="24"/>
        <v/>
      </c>
      <c r="AB67" s="32">
        <f>IF($A67="","",IF($T67="No Throw",0,IF($K67&lt;&gt;"",$K67,IF($AA67&lt;&gt;"",ROUND($AA67*$D$12*IF($C67=0,1,$G$10),0),MIN(IF($T67="Recovery/Easy Catch",Reference!$B$103,IF($T67="Long Toss",Reference!$B$106,Reference!$B$102)),MAX(Reference!$B$101,ROUND(MAX(0,$Q67-$AE67)/$AF67,0)))))))</f>
        <v>25</v>
      </c>
      <c r="AC67" s="32">
        <f t="shared" si="25"/>
        <v>0</v>
      </c>
      <c r="AD67" s="32" t="b">
        <f t="shared" si="26"/>
        <v>0</v>
      </c>
      <c r="AE67" s="32">
        <f>IF($X67=0,0,$X67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67+$Z67)/2,0),Reference!$A$17:$B$20,2,TRUE()))</f>
        <v>6</v>
      </c>
      <c r="AF67" s="32">
        <f>IF(OR($A67="",$U67="",$T67="No Throw"),0,$AM67*VLOOKUP(MAX(($V67+$W67)/2,0),Reference!$A$17:$B$20,2,TRUE()))</f>
        <v>0.78</v>
      </c>
      <c r="AG67" s="32">
        <f>IF($AC67=0,0,$AC67*INDEX(Reference!$B$61:$B$62,MATCH("Bullpen",Reference!$A$61:$A$62,0))*VLOOKUP(MAX($D$5-($D$9+$E$9)/2,0),Reference!$A$17:$B$20,2,TRUE()))</f>
        <v>0</v>
      </c>
      <c r="AH67" s="32" t="e">
        <f t="shared" si="27"/>
        <v>#N/A</v>
      </c>
      <c r="AI67" s="32">
        <f>IF($A67="",NA(),Reference!$A$25)</f>
        <v>0.8</v>
      </c>
      <c r="AJ67" s="32">
        <f t="shared" si="28"/>
        <v>1.3</v>
      </c>
      <c r="AK67" s="56">
        <f>IF(OR($A67="",N($C67)&lt;=7,$T67="No Throw",$J67="x"),0,INDEX(Reference!$B$108:$B$114,$N67+1))</f>
        <v>0.24</v>
      </c>
      <c r="AL67" s="32">
        <f t="shared" si="29"/>
        <v>1</v>
      </c>
      <c r="AM67" s="32">
        <f>IF($U67="",0,IF($AL67&gt;1,((IF(1&lt;=$AL67,($AL67-1+3)*(INDEX(Reference!$B$6:$B$11,MIN(5,MATCH(MAX(Reference!$A$6,MIN(Reference!$A$11,MIN($U67,90))),Reference!$A$6:$A$11,1)))+(MAX(Reference!$A$6,MIN(Reference!$A$11,MIN($U67,90)))-INDEX(Reference!$A$6:$A$11,MIN(5,MATCH(MAX(Reference!$A$6,MIN(Reference!$A$11,MIN($U67,90))),Reference!$A$6:$A$11,1))))*(INDEX(Reference!$B$6:$B$11,MIN(5,MATCH(MAX(Reference!$A$6,MIN(Reference!$A$11,MIN($U67,90))),Reference!$A$6:$A$11,1))+1)-INDEX(Reference!$B$6:$B$11,MIN(5,MATCH(MAX(Reference!$A$6,MIN(Reference!$A$11,MIN($U67,90))),Reference!$A$6:$A$11,1))))/(INDEX(Reference!$A$6:$A$11,MIN(5,MATCH(MAX(Reference!$A$6,MIN(Reference!$A$11,MIN($U67,90))),Reference!$A$6:$A$11,1))+1)-INDEX(Reference!$A$6:$A$11,MIN(5,MATCH(MAX(Reference!$A$6,MIN(Reference!$A$11,MIN($U67,90))),Reference!$A$6:$A$11,1))))),0)+IF(2&lt;=$AL67,($AL67-2+3)*(INDEX(Reference!$B$6:$B$11,MIN(5,MATCH(MAX(Reference!$A$6,MIN(Reference!$A$11,MIN($U67,120))),Reference!$A$6:$A$11,1)))+(MAX(Reference!$A$6,MIN(Reference!$A$11,MIN($U67,120)))-INDEX(Reference!$A$6:$A$11,MIN(5,MATCH(MAX(Reference!$A$6,MIN(Reference!$A$11,MIN($U67,120))),Reference!$A$6:$A$11,1))))*(INDEX(Reference!$B$6:$B$11,MIN(5,MATCH(MAX(Reference!$A$6,MIN(Reference!$A$11,MIN($U67,120))),Reference!$A$6:$A$11,1))+1)-INDEX(Reference!$B$6:$B$11,MIN(5,MATCH(MAX(Reference!$A$6,MIN(Reference!$A$11,MIN($U67,120))),Reference!$A$6:$A$11,1))))/(INDEX(Reference!$A$6:$A$11,MIN(5,MATCH(MAX(Reference!$A$6,MIN(Reference!$A$11,MIN($U67,120))),Reference!$A$6:$A$11,1))+1)-INDEX(Reference!$A$6:$A$11,MIN(5,MATCH(MAX(Reference!$A$6,MIN(Reference!$A$11,MIN($U67,120))),Reference!$A$6:$A$11,1))))),0)+IF(3&lt;=$AL67,($AL67-3+3)*(INDEX(Reference!$B$6:$B$11,MIN(5,MATCH(MAX(Reference!$A$6,MIN(Reference!$A$11,MIN($U67,150))),Reference!$A$6:$A$11,1)))+(MAX(Reference!$A$6,MIN(Reference!$A$11,MIN($U67,150)))-INDEX(Reference!$A$6:$A$11,MIN(5,MATCH(MAX(Reference!$A$6,MIN(Reference!$A$11,MIN($U67,150))),Reference!$A$6:$A$11,1))))*(INDEX(Reference!$B$6:$B$11,MIN(5,MATCH(MAX(Reference!$A$6,MIN(Reference!$A$11,MIN($U67,150))),Reference!$A$6:$A$11,1))+1)-INDEX(Reference!$B$6:$B$11,MIN(5,MATCH(MAX(Reference!$A$6,MIN(Reference!$A$11,MIN($U67,150))),Reference!$A$6:$A$11,1))))/(INDEX(Reference!$A$6:$A$11,MIN(5,MATCH(MAX(Reference!$A$6,MIN(Reference!$A$11,MIN($U67,150))),Reference!$A$6:$A$11,1))+1)-INDEX(Reference!$A$6:$A$11,MIN(5,MATCH(MAX(Reference!$A$6,MIN(Reference!$A$11,MIN($U67,150))),Reference!$A$6:$A$11,1))))),0)+IF(4&lt;=$AL67,($AL67-4+3)*(INDEX(Reference!$B$6:$B$11,MIN(5,MATCH(MAX(Reference!$A$6,MIN(Reference!$A$11,MIN($U67,180))),Reference!$A$6:$A$11,1)))+(MAX(Reference!$A$6,MIN(Reference!$A$11,MIN($U67,180)))-INDEX(Reference!$A$6:$A$11,MIN(5,MATCH(MAX(Reference!$A$6,MIN(Reference!$A$11,MIN($U67,180))),Reference!$A$6:$A$11,1))))*(INDEX(Reference!$B$6:$B$11,MIN(5,MATCH(MAX(Reference!$A$6,MIN(Reference!$A$11,MIN($U67,180))),Reference!$A$6:$A$11,1))+1)-INDEX(Reference!$B$6:$B$11,MIN(5,MATCH(MAX(Reference!$A$6,MIN(Reference!$A$11,MIN($U67,180))),Reference!$A$6:$A$11,1))))/(INDEX(Reference!$A$6:$A$11,MIN(5,MATCH(MAX(Reference!$A$6,MIN(Reference!$A$11,MIN($U67,180))),Reference!$A$6:$A$11,1))+1)-INDEX(Reference!$A$6:$A$11,MIN(5,MATCH(MAX(Reference!$A$6,MIN(Reference!$A$11,MIN($U67,180))),Reference!$A$6:$A$11,1))))),0)+IF(5&lt;=$AL67,($AL67-5+3)*(INDEX(Reference!$B$6:$B$11,MIN(5,MATCH(MAX(Reference!$A$6,MIN(Reference!$A$11,MIN($U67,210))),Reference!$A$6:$A$11,1)))+(MAX(Reference!$A$6,MIN(Reference!$A$11,MIN($U67,210)))-INDEX(Reference!$A$6:$A$11,MIN(5,MATCH(MAX(Reference!$A$6,MIN(Reference!$A$11,MIN($U67,210))),Reference!$A$6:$A$11,1))))*(INDEX(Reference!$B$6:$B$11,MIN(5,MATCH(MAX(Reference!$A$6,MIN(Reference!$A$11,MIN($U67,210))),Reference!$A$6:$A$11,1))+1)-INDEX(Reference!$B$6:$B$11,MIN(5,MATCH(MAX(Reference!$A$6,MIN(Reference!$A$11,MIN($U67,210))),Reference!$A$6:$A$11,1))))/(INDEX(Reference!$A$6:$A$11,MIN(5,MATCH(MAX(Reference!$A$6,MIN(Reference!$A$11,MIN($U67,210))),Reference!$A$6:$A$11,1))+1)-INDEX(Reference!$A$6:$A$11,MIN(5,MATCH(MAX(Reference!$A$6,MIN(Reference!$A$11,MIN($U67,210))),Reference!$A$6:$A$11,1))))),0)+IF(6&lt;=$AL67,($AL67-6+3)*(INDEX(Reference!$B$6:$B$11,MIN(5,MATCH(MAX(Reference!$A$6,MIN(Reference!$A$11,MIN($U67,240))),Reference!$A$6:$A$11,1)))+(MAX(Reference!$A$6,MIN(Reference!$A$11,MIN($U67,240)))-INDEX(Reference!$A$6:$A$11,MIN(5,MATCH(MAX(Reference!$A$6,MIN(Reference!$A$11,MIN($U67,240))),Reference!$A$6:$A$11,1))))*(INDEX(Reference!$B$6:$B$11,MIN(5,MATCH(MAX(Reference!$A$6,MIN(Reference!$A$11,MIN($U67,240))),Reference!$A$6:$A$11,1))+1)-INDEX(Reference!$B$6:$B$11,MIN(5,MATCH(MAX(Reference!$A$6,MIN(Reference!$A$11,MIN($U67,240))),Reference!$A$6:$A$11,1))))/(INDEX(Reference!$A$6:$A$11,MIN(5,MATCH(MAX(Reference!$A$6,MIN(Reference!$A$11,MIN($U67,240))),Reference!$A$6:$A$11,1))+1)-INDEX(Reference!$A$6:$A$11,MIN(5,MATCH(MAX(Reference!$A$6,MIN(Reference!$A$11,MIN($U67,240))),Reference!$A$6:$A$11,1))))),0)+IF(7&lt;=$AL67,($AL67-7+3)*(INDEX(Reference!$B$6:$B$11,MIN(5,MATCH(MAX(Reference!$A$6,MIN(Reference!$A$11,MIN($U67,270))),Reference!$A$6:$A$11,1)))+(MAX(Reference!$A$6,MIN(Reference!$A$11,MIN($U67,270)))-INDEX(Reference!$A$6:$A$11,MIN(5,MATCH(MAX(Reference!$A$6,MIN(Reference!$A$11,MIN($U67,270))),Reference!$A$6:$A$11,1))))*(INDEX(Reference!$B$6:$B$11,MIN(5,MATCH(MAX(Reference!$A$6,MIN(Reference!$A$11,MIN($U67,270))),Reference!$A$6:$A$11,1))+1)-INDEX(Reference!$B$6:$B$11,MIN(5,MATCH(MAX(Reference!$A$6,MIN(Reference!$A$11,MIN($U67,270))),Reference!$A$6:$A$11,1))))/(INDEX(Reference!$A$6:$A$11,MIN(5,MATCH(MAX(Reference!$A$6,MIN(Reference!$A$11,MIN($U67,270))),Reference!$A$6:$A$11,1))+1)-INDEX(Reference!$A$6:$A$11,MIN(5,MATCH(MAX(Reference!$A$6,MIN(Reference!$A$11,MIN($U67,270))),Reference!$A$6:$A$11,1))))),0)+IF(8&lt;=$AL67,($AL67-8+3)*(INDEX(Reference!$B$6:$B$11,MIN(5,MATCH(MAX(Reference!$A$6,MIN(Reference!$A$11,MIN($U67,300))),Reference!$A$6:$A$11,1)))+(MAX(Reference!$A$6,MIN(Reference!$A$11,MIN($U67,300)))-INDEX(Reference!$A$6:$A$11,MIN(5,MATCH(MAX(Reference!$A$6,MIN(Reference!$A$11,MIN($U67,300))),Reference!$A$6:$A$11,1))))*(INDEX(Reference!$B$6:$B$11,MIN(5,MATCH(MAX(Reference!$A$6,MIN(Reference!$A$11,MIN($U67,300))),Reference!$A$6:$A$11,1))+1)-INDEX(Reference!$B$6:$B$11,MIN(5,MATCH(MAX(Reference!$A$6,MIN(Reference!$A$11,MIN($U67,300))),Reference!$A$6:$A$11,1))))/(INDEX(Reference!$A$6:$A$11,MIN(5,MATCH(MAX(Reference!$A$6,MIN(Reference!$A$11,MIN($U67,300))),Reference!$A$6:$A$11,1))+1)-INDEX(Reference!$A$6:$A$11,MIN(5,MATCH(MAX(Reference!$A$6,MIN(Reference!$A$11,MIN($U67,300))),Reference!$A$6:$A$11,1))))),0))/($AL67*($AL67+5)/2)),$AN67))</f>
        <v>1.3</v>
      </c>
      <c r="AN67" s="32">
        <f>IF($U67="",0,(INDEX(Reference!$B$6:$B$11,MIN(5,MATCH(MAX(Reference!$A$6,MIN(Reference!$A$11,$U67)),Reference!$A$6:$A$11,1)))+(MAX(Reference!$A$6,MIN(Reference!$A$11,$U67))-INDEX(Reference!$A$6:$A$11,MIN(5,MATCH(MAX(Reference!$A$6,MIN(Reference!$A$11,$U67)),Reference!$A$6:$A$11,1))))*(INDEX(Reference!$B$6:$B$11,MIN(5,MATCH(MAX(Reference!$A$6,MIN(Reference!$A$11,$U67)),Reference!$A$6:$A$11,1))+1)-INDEX(Reference!$B$6:$B$11,MIN(5,MATCH(MAX(Reference!$A$6,MIN(Reference!$A$11,$U67)),Reference!$A$6:$A$11,1))))/(INDEX(Reference!$A$6:$A$11,MIN(5,MATCH(MAX(Reference!$A$6,MIN(Reference!$A$11,$U67)),Reference!$A$6:$A$11,1))+1)-INDEX(Reference!$A$6:$A$11,MIN(5,MATCH(MAX(Reference!$A$6,MIN(Reference!$A$11,$U67)),Reference!$A$6:$A$11,1))))))</f>
        <v>1.3</v>
      </c>
      <c r="AO67" s="37"/>
      <c r="AP67" s="37"/>
      <c r="AQ67" s="37"/>
    </row>
    <row r="68" spans="1:43" x14ac:dyDescent="0.3">
      <c r="A68" s="48">
        <f t="shared" si="5"/>
        <v>46332</v>
      </c>
      <c r="B68" s="32" t="str">
        <f t="shared" si="6"/>
        <v>Fri</v>
      </c>
      <c r="C68" s="32">
        <f t="shared" si="7"/>
        <v>59</v>
      </c>
      <c r="D68" s="32" t="str">
        <f t="shared" si="8"/>
        <v>Base</v>
      </c>
      <c r="E68" s="32" t="str">
        <f t="shared" si="9"/>
        <v>Low</v>
      </c>
      <c r="F68" s="32" t="str">
        <f t="shared" si="10"/>
        <v>Recovery/Easy Catch</v>
      </c>
      <c r="G68" s="47" t="str">
        <f t="shared" si="11"/>
        <v>60 ft × 20 @ 67–71 mph</v>
      </c>
      <c r="H68" s="30">
        <f t="shared" si="12"/>
        <v>12</v>
      </c>
      <c r="I68" s="46" t="str">
        <f>IF($A68="","",IF(AND($L68&lt;27,$K$12=0),"Building",IFERROR(((SUM($H$62:$H68)+$K$12*IF($L68&lt;6,SUMIFS('Throw Log'!$Q$5:$Q$300,'Throw Log'!$B$5:$B$300,$D$4,'Throw Log'!$A$5:$A$300,"&gt;="&amp;($D$6+$L68-6),'Throw Log'!$A$5:$A$300,"&lt;="&amp;($D$6-1)),0))/7)/((SUM($H$43:$H68)+$K$12*IF($L68&lt;27,SUMIFS('Throw Log'!$Q$5:$Q$300,'Throw Log'!$B$5:$B$300,$D$4,'Throw Log'!$A$5:$A$300,"&gt;="&amp;($D$6+$L68-27),'Throw Log'!$A$5:$A$300,"&lt;="&amp;($D$6-1)),0))/28),"")))</f>
        <v>Building</v>
      </c>
      <c r="J68" s="37"/>
      <c r="K68" s="37"/>
      <c r="L68" s="32">
        <v>25</v>
      </c>
      <c r="M68" s="32">
        <f t="shared" si="13"/>
        <v>4</v>
      </c>
      <c r="N68" s="32">
        <f t="shared" si="14"/>
        <v>4</v>
      </c>
      <c r="O68" s="32">
        <f t="shared" si="15"/>
        <v>0.32894736842105265</v>
      </c>
      <c r="P68" s="32">
        <f>IF(OR($A68="",N($C68)&lt;=7),"",$G$6*$G$9^($M68-1)*IF(AND(MOD($M68,Reference!$B$99)=0,$M68&lt;=$G$5-2),Reference!$B$100,1))</f>
        <v>96.844268027376231</v>
      </c>
      <c r="Q68" s="32">
        <f>IF($P68="","",IF(SUM($AK$64:$AK$70)=0,0,$P68*INDEX(Reference!$B$108:$B$114,$N68+1)/SUM($AK$64:$AK$70)))</f>
        <v>9.6844268027376241</v>
      </c>
      <c r="R68" s="32">
        <f t="shared" si="16"/>
        <v>120</v>
      </c>
      <c r="S68" s="32">
        <f t="shared" si="17"/>
        <v>105</v>
      </c>
      <c r="T68" s="32" t="str">
        <f>IF($A68="","",IF($C68=0,"Bullpen",IF(OR($C68=7,$C68=1,$C68=5),"Recovery/Easy Catch",IF($C68=6,"Compression/Pulldowns",IF(OR($C68=4,$C68=2),"Long Toss",IF($C68=3,"No Throw",IF($N68=2,"No Throw",IF($N68=6,IF($O68&lt;Reference!$B$104,"No Throw","Recovery/Easy Catch"),IF(OR($N68=0,$N68=4),"Recovery/Easy Catch",IF($N68=1,IF($R68&gt;75,"Long Toss","Recovery/Easy Catch"),IF($N68=3,IF($O68&lt;0.5,IF($S68&gt;75,"Long Toss","Recovery/Easy Catch"),"Compression/Pulldowns"),IF($S68&gt;75,"Long Toss","Recovery/Easy Catch"))))))))))))</f>
        <v>Recovery/Easy Catch</v>
      </c>
      <c r="U68" s="32">
        <f t="shared" si="18"/>
        <v>60</v>
      </c>
      <c r="V68" s="32">
        <f t="shared" si="19"/>
        <v>20</v>
      </c>
      <c r="W68" s="32">
        <f t="shared" si="20"/>
        <v>24</v>
      </c>
      <c r="X68" s="32">
        <f t="shared" si="21"/>
        <v>0</v>
      </c>
      <c r="Y68" s="32" t="str">
        <f t="shared" si="22"/>
        <v/>
      </c>
      <c r="Z68" s="32" t="str">
        <f t="shared" si="23"/>
        <v/>
      </c>
      <c r="AA68" s="32" t="str">
        <f t="shared" si="24"/>
        <v/>
      </c>
      <c r="AB68" s="32">
        <f>IF($A68="","",IF($T68="No Throw",0,IF($K68&lt;&gt;"",$K68,IF($AA68&lt;&gt;"",ROUND($AA68*$D$12*IF($C68=0,1,$G$10),0),MIN(IF($T68="Recovery/Easy Catch",Reference!$B$103,IF($T68="Long Toss",Reference!$B$106,Reference!$B$102)),MAX(Reference!$B$101,ROUND(MAX(0,$Q68-$AE68)/$AF68,0)))))))</f>
        <v>20</v>
      </c>
      <c r="AC68" s="32">
        <f t="shared" si="25"/>
        <v>0</v>
      </c>
      <c r="AD68" s="32" t="b">
        <f t="shared" si="26"/>
        <v>0</v>
      </c>
      <c r="AE68" s="32">
        <f>IF($X68=0,0,$X68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68+$Z68)/2,0),Reference!$A$17:$B$20,2,TRUE()))</f>
        <v>0</v>
      </c>
      <c r="AF68" s="32">
        <f>IF(OR($A68="",$U68="",$T68="No Throw"),0,$AM68*VLOOKUP(MAX(($V68+$W68)/2,0),Reference!$A$17:$B$20,2,TRUE()))</f>
        <v>0.6</v>
      </c>
      <c r="AG68" s="32">
        <f>IF($AC68=0,0,$AC68*INDEX(Reference!$B$61:$B$62,MATCH("Bullpen",Reference!$A$61:$A$62,0))*VLOOKUP(MAX($D$5-($D$9+$E$9)/2,0),Reference!$A$17:$B$20,2,TRUE()))</f>
        <v>0</v>
      </c>
      <c r="AH68" s="32" t="e">
        <f t="shared" si="27"/>
        <v>#N/A</v>
      </c>
      <c r="AI68" s="32">
        <f>IF($A68="",NA(),Reference!$A$25)</f>
        <v>0.8</v>
      </c>
      <c r="AJ68" s="32">
        <f t="shared" si="28"/>
        <v>1.3</v>
      </c>
      <c r="AK68" s="56">
        <f>IF(OR($A68="",N($C68)&lt;=7,$T68="No Throw",$J68="x"),0,INDEX(Reference!$B$108:$B$114,$N68+1))</f>
        <v>0.1</v>
      </c>
      <c r="AL68" s="32">
        <f t="shared" si="29"/>
        <v>1</v>
      </c>
      <c r="AM68" s="32">
        <f>IF($U68="",0,IF($AL68&gt;1,((IF(1&lt;=$AL68,($AL68-1+3)*(INDEX(Reference!$B$6:$B$11,MIN(5,MATCH(MAX(Reference!$A$6,MIN(Reference!$A$11,MIN($U68,90))),Reference!$A$6:$A$11,1)))+(MAX(Reference!$A$6,MIN(Reference!$A$11,MIN($U68,90)))-INDEX(Reference!$A$6:$A$11,MIN(5,MATCH(MAX(Reference!$A$6,MIN(Reference!$A$11,MIN($U68,90))),Reference!$A$6:$A$11,1))))*(INDEX(Reference!$B$6:$B$11,MIN(5,MATCH(MAX(Reference!$A$6,MIN(Reference!$A$11,MIN($U68,90))),Reference!$A$6:$A$11,1))+1)-INDEX(Reference!$B$6:$B$11,MIN(5,MATCH(MAX(Reference!$A$6,MIN(Reference!$A$11,MIN($U68,90))),Reference!$A$6:$A$11,1))))/(INDEX(Reference!$A$6:$A$11,MIN(5,MATCH(MAX(Reference!$A$6,MIN(Reference!$A$11,MIN($U68,90))),Reference!$A$6:$A$11,1))+1)-INDEX(Reference!$A$6:$A$11,MIN(5,MATCH(MAX(Reference!$A$6,MIN(Reference!$A$11,MIN($U68,90))),Reference!$A$6:$A$11,1))))),0)+IF(2&lt;=$AL68,($AL68-2+3)*(INDEX(Reference!$B$6:$B$11,MIN(5,MATCH(MAX(Reference!$A$6,MIN(Reference!$A$11,MIN($U68,120))),Reference!$A$6:$A$11,1)))+(MAX(Reference!$A$6,MIN(Reference!$A$11,MIN($U68,120)))-INDEX(Reference!$A$6:$A$11,MIN(5,MATCH(MAX(Reference!$A$6,MIN(Reference!$A$11,MIN($U68,120))),Reference!$A$6:$A$11,1))))*(INDEX(Reference!$B$6:$B$11,MIN(5,MATCH(MAX(Reference!$A$6,MIN(Reference!$A$11,MIN($U68,120))),Reference!$A$6:$A$11,1))+1)-INDEX(Reference!$B$6:$B$11,MIN(5,MATCH(MAX(Reference!$A$6,MIN(Reference!$A$11,MIN($U68,120))),Reference!$A$6:$A$11,1))))/(INDEX(Reference!$A$6:$A$11,MIN(5,MATCH(MAX(Reference!$A$6,MIN(Reference!$A$11,MIN($U68,120))),Reference!$A$6:$A$11,1))+1)-INDEX(Reference!$A$6:$A$11,MIN(5,MATCH(MAX(Reference!$A$6,MIN(Reference!$A$11,MIN($U68,120))),Reference!$A$6:$A$11,1))))),0)+IF(3&lt;=$AL68,($AL68-3+3)*(INDEX(Reference!$B$6:$B$11,MIN(5,MATCH(MAX(Reference!$A$6,MIN(Reference!$A$11,MIN($U68,150))),Reference!$A$6:$A$11,1)))+(MAX(Reference!$A$6,MIN(Reference!$A$11,MIN($U68,150)))-INDEX(Reference!$A$6:$A$11,MIN(5,MATCH(MAX(Reference!$A$6,MIN(Reference!$A$11,MIN($U68,150))),Reference!$A$6:$A$11,1))))*(INDEX(Reference!$B$6:$B$11,MIN(5,MATCH(MAX(Reference!$A$6,MIN(Reference!$A$11,MIN($U68,150))),Reference!$A$6:$A$11,1))+1)-INDEX(Reference!$B$6:$B$11,MIN(5,MATCH(MAX(Reference!$A$6,MIN(Reference!$A$11,MIN($U68,150))),Reference!$A$6:$A$11,1))))/(INDEX(Reference!$A$6:$A$11,MIN(5,MATCH(MAX(Reference!$A$6,MIN(Reference!$A$11,MIN($U68,150))),Reference!$A$6:$A$11,1))+1)-INDEX(Reference!$A$6:$A$11,MIN(5,MATCH(MAX(Reference!$A$6,MIN(Reference!$A$11,MIN($U68,150))),Reference!$A$6:$A$11,1))))),0)+IF(4&lt;=$AL68,($AL68-4+3)*(INDEX(Reference!$B$6:$B$11,MIN(5,MATCH(MAX(Reference!$A$6,MIN(Reference!$A$11,MIN($U68,180))),Reference!$A$6:$A$11,1)))+(MAX(Reference!$A$6,MIN(Reference!$A$11,MIN($U68,180)))-INDEX(Reference!$A$6:$A$11,MIN(5,MATCH(MAX(Reference!$A$6,MIN(Reference!$A$11,MIN($U68,180))),Reference!$A$6:$A$11,1))))*(INDEX(Reference!$B$6:$B$11,MIN(5,MATCH(MAX(Reference!$A$6,MIN(Reference!$A$11,MIN($U68,180))),Reference!$A$6:$A$11,1))+1)-INDEX(Reference!$B$6:$B$11,MIN(5,MATCH(MAX(Reference!$A$6,MIN(Reference!$A$11,MIN($U68,180))),Reference!$A$6:$A$11,1))))/(INDEX(Reference!$A$6:$A$11,MIN(5,MATCH(MAX(Reference!$A$6,MIN(Reference!$A$11,MIN($U68,180))),Reference!$A$6:$A$11,1))+1)-INDEX(Reference!$A$6:$A$11,MIN(5,MATCH(MAX(Reference!$A$6,MIN(Reference!$A$11,MIN($U68,180))),Reference!$A$6:$A$11,1))))),0)+IF(5&lt;=$AL68,($AL68-5+3)*(INDEX(Reference!$B$6:$B$11,MIN(5,MATCH(MAX(Reference!$A$6,MIN(Reference!$A$11,MIN($U68,210))),Reference!$A$6:$A$11,1)))+(MAX(Reference!$A$6,MIN(Reference!$A$11,MIN($U68,210)))-INDEX(Reference!$A$6:$A$11,MIN(5,MATCH(MAX(Reference!$A$6,MIN(Reference!$A$11,MIN($U68,210))),Reference!$A$6:$A$11,1))))*(INDEX(Reference!$B$6:$B$11,MIN(5,MATCH(MAX(Reference!$A$6,MIN(Reference!$A$11,MIN($U68,210))),Reference!$A$6:$A$11,1))+1)-INDEX(Reference!$B$6:$B$11,MIN(5,MATCH(MAX(Reference!$A$6,MIN(Reference!$A$11,MIN($U68,210))),Reference!$A$6:$A$11,1))))/(INDEX(Reference!$A$6:$A$11,MIN(5,MATCH(MAX(Reference!$A$6,MIN(Reference!$A$11,MIN($U68,210))),Reference!$A$6:$A$11,1))+1)-INDEX(Reference!$A$6:$A$11,MIN(5,MATCH(MAX(Reference!$A$6,MIN(Reference!$A$11,MIN($U68,210))),Reference!$A$6:$A$11,1))))),0)+IF(6&lt;=$AL68,($AL68-6+3)*(INDEX(Reference!$B$6:$B$11,MIN(5,MATCH(MAX(Reference!$A$6,MIN(Reference!$A$11,MIN($U68,240))),Reference!$A$6:$A$11,1)))+(MAX(Reference!$A$6,MIN(Reference!$A$11,MIN($U68,240)))-INDEX(Reference!$A$6:$A$11,MIN(5,MATCH(MAX(Reference!$A$6,MIN(Reference!$A$11,MIN($U68,240))),Reference!$A$6:$A$11,1))))*(INDEX(Reference!$B$6:$B$11,MIN(5,MATCH(MAX(Reference!$A$6,MIN(Reference!$A$11,MIN($U68,240))),Reference!$A$6:$A$11,1))+1)-INDEX(Reference!$B$6:$B$11,MIN(5,MATCH(MAX(Reference!$A$6,MIN(Reference!$A$11,MIN($U68,240))),Reference!$A$6:$A$11,1))))/(INDEX(Reference!$A$6:$A$11,MIN(5,MATCH(MAX(Reference!$A$6,MIN(Reference!$A$11,MIN($U68,240))),Reference!$A$6:$A$11,1))+1)-INDEX(Reference!$A$6:$A$11,MIN(5,MATCH(MAX(Reference!$A$6,MIN(Reference!$A$11,MIN($U68,240))),Reference!$A$6:$A$11,1))))),0)+IF(7&lt;=$AL68,($AL68-7+3)*(INDEX(Reference!$B$6:$B$11,MIN(5,MATCH(MAX(Reference!$A$6,MIN(Reference!$A$11,MIN($U68,270))),Reference!$A$6:$A$11,1)))+(MAX(Reference!$A$6,MIN(Reference!$A$11,MIN($U68,270)))-INDEX(Reference!$A$6:$A$11,MIN(5,MATCH(MAX(Reference!$A$6,MIN(Reference!$A$11,MIN($U68,270))),Reference!$A$6:$A$11,1))))*(INDEX(Reference!$B$6:$B$11,MIN(5,MATCH(MAX(Reference!$A$6,MIN(Reference!$A$11,MIN($U68,270))),Reference!$A$6:$A$11,1))+1)-INDEX(Reference!$B$6:$B$11,MIN(5,MATCH(MAX(Reference!$A$6,MIN(Reference!$A$11,MIN($U68,270))),Reference!$A$6:$A$11,1))))/(INDEX(Reference!$A$6:$A$11,MIN(5,MATCH(MAX(Reference!$A$6,MIN(Reference!$A$11,MIN($U68,270))),Reference!$A$6:$A$11,1))+1)-INDEX(Reference!$A$6:$A$11,MIN(5,MATCH(MAX(Reference!$A$6,MIN(Reference!$A$11,MIN($U68,270))),Reference!$A$6:$A$11,1))))),0)+IF(8&lt;=$AL68,($AL68-8+3)*(INDEX(Reference!$B$6:$B$11,MIN(5,MATCH(MAX(Reference!$A$6,MIN(Reference!$A$11,MIN($U68,300))),Reference!$A$6:$A$11,1)))+(MAX(Reference!$A$6,MIN(Reference!$A$11,MIN($U68,300)))-INDEX(Reference!$A$6:$A$11,MIN(5,MATCH(MAX(Reference!$A$6,MIN(Reference!$A$11,MIN($U68,300))),Reference!$A$6:$A$11,1))))*(INDEX(Reference!$B$6:$B$11,MIN(5,MATCH(MAX(Reference!$A$6,MIN(Reference!$A$11,MIN($U68,300))),Reference!$A$6:$A$11,1))+1)-INDEX(Reference!$B$6:$B$11,MIN(5,MATCH(MAX(Reference!$A$6,MIN(Reference!$A$11,MIN($U68,300))),Reference!$A$6:$A$11,1))))/(INDEX(Reference!$A$6:$A$11,MIN(5,MATCH(MAX(Reference!$A$6,MIN(Reference!$A$11,MIN($U68,300))),Reference!$A$6:$A$11,1))+1)-INDEX(Reference!$A$6:$A$11,MIN(5,MATCH(MAX(Reference!$A$6,MIN(Reference!$A$11,MIN($U68,300))),Reference!$A$6:$A$11,1))))),0))/($AL68*($AL68+5)/2)),$AN68))</f>
        <v>1</v>
      </c>
      <c r="AN68" s="32">
        <f>IF($U68="",0,(INDEX(Reference!$B$6:$B$11,MIN(5,MATCH(MAX(Reference!$A$6,MIN(Reference!$A$11,$U68)),Reference!$A$6:$A$11,1)))+(MAX(Reference!$A$6,MIN(Reference!$A$11,$U68))-INDEX(Reference!$A$6:$A$11,MIN(5,MATCH(MAX(Reference!$A$6,MIN(Reference!$A$11,$U68)),Reference!$A$6:$A$11,1))))*(INDEX(Reference!$B$6:$B$11,MIN(5,MATCH(MAX(Reference!$A$6,MIN(Reference!$A$11,$U68)),Reference!$A$6:$A$11,1))+1)-INDEX(Reference!$B$6:$B$11,MIN(5,MATCH(MAX(Reference!$A$6,MIN(Reference!$A$11,$U68)),Reference!$A$6:$A$11,1))))/(INDEX(Reference!$A$6:$A$11,MIN(5,MATCH(MAX(Reference!$A$6,MIN(Reference!$A$11,$U68)),Reference!$A$6:$A$11,1))+1)-INDEX(Reference!$A$6:$A$11,MIN(5,MATCH(MAX(Reference!$A$6,MIN(Reference!$A$11,$U68)),Reference!$A$6:$A$11,1))))))</f>
        <v>1</v>
      </c>
      <c r="AO68" s="37"/>
      <c r="AP68" s="37"/>
      <c r="AQ68" s="37"/>
    </row>
    <row r="69" spans="1:43" ht="26.4" x14ac:dyDescent="0.3">
      <c r="A69" s="48">
        <f t="shared" si="5"/>
        <v>46333</v>
      </c>
      <c r="B69" s="32" t="str">
        <f t="shared" si="6"/>
        <v>Sat</v>
      </c>
      <c r="C69" s="32">
        <f t="shared" si="7"/>
        <v>58</v>
      </c>
      <c r="D69" s="32" t="str">
        <f t="shared" si="8"/>
        <v>Base</v>
      </c>
      <c r="E69" s="32" t="str">
        <f t="shared" si="9"/>
        <v>Medium</v>
      </c>
      <c r="F69" s="32" t="str">
        <f t="shared" si="10"/>
        <v>Long Toss</v>
      </c>
      <c r="G69" s="47" t="str">
        <f t="shared" si="11"/>
        <v>Long toss out to 105 ft — 23 throws (90×13 · 105×10) @ 76–79 mph + 60 ft × 12 @ 73–77 mph</v>
      </c>
      <c r="H69" s="30">
        <f t="shared" si="12"/>
        <v>26.322857142857142</v>
      </c>
      <c r="I69" s="46" t="str">
        <f>IF($A69="","",IF(AND($L69&lt;27,$K$12=0),"Building",IFERROR(((SUM($H$63:$H69)+$K$12*IF($L69&lt;6,SUMIFS('Throw Log'!$Q$5:$Q$300,'Throw Log'!$B$5:$B$300,$D$4,'Throw Log'!$A$5:$A$300,"&gt;="&amp;($D$6+$L69-6),'Throw Log'!$A$5:$A$300,"&lt;="&amp;($D$6-1)),0))/7)/((SUM($H$43:$H69)+$K$12*IF($L69&lt;27,SUMIFS('Throw Log'!$Q$5:$Q$300,'Throw Log'!$B$5:$B$300,$D$4,'Throw Log'!$A$5:$A$300,"&gt;="&amp;($D$6+$L69-27),'Throw Log'!$A$5:$A$300,"&lt;="&amp;($D$6-1)),0))/28),"")))</f>
        <v>Building</v>
      </c>
      <c r="J69" s="37"/>
      <c r="K69" s="37"/>
      <c r="L69" s="32">
        <v>26</v>
      </c>
      <c r="M69" s="32">
        <f t="shared" si="13"/>
        <v>4</v>
      </c>
      <c r="N69" s="32">
        <f t="shared" si="14"/>
        <v>5</v>
      </c>
      <c r="O69" s="32">
        <f t="shared" si="15"/>
        <v>0.34210526315789475</v>
      </c>
      <c r="P69" s="32">
        <f>IF(OR($A69="",N($C69)&lt;=7),"",$G$6*$G$9^($M69-1)*IF(AND(MOD($M69,Reference!$B$99)=0,$M69&lt;=$G$5-2),Reference!$B$100,1))</f>
        <v>96.844268027376231</v>
      </c>
      <c r="Q69" s="32">
        <f>IF($P69="","",IF(SUM($AK$64:$AK$70)=0,0,$P69*INDEX(Reference!$B$108:$B$114,$N69+1)/SUM($AK$64:$AK$70)))</f>
        <v>26.147952367391586</v>
      </c>
      <c r="R69" s="32">
        <f t="shared" si="16"/>
        <v>120</v>
      </c>
      <c r="S69" s="32">
        <f t="shared" si="17"/>
        <v>105</v>
      </c>
      <c r="T69" s="32" t="str">
        <f>IF($A69="","",IF($C69=0,"Bullpen",IF(OR($C69=7,$C69=1,$C69=5),"Recovery/Easy Catch",IF($C69=6,"Compression/Pulldowns",IF(OR($C69=4,$C69=2),"Long Toss",IF($C69=3,"No Throw",IF($N69=2,"No Throw",IF($N69=6,IF($O69&lt;Reference!$B$104,"No Throw","Recovery/Easy Catch"),IF(OR($N69=0,$N69=4),"Recovery/Easy Catch",IF($N69=1,IF($R69&gt;75,"Long Toss","Recovery/Easy Catch"),IF($N69=3,IF($O69&lt;0.5,IF($S69&gt;75,"Long Toss","Recovery/Easy Catch"),"Compression/Pulldowns"),IF($S69&gt;75,"Long Toss","Recovery/Easy Catch"))))))))))))</f>
        <v>Long Toss</v>
      </c>
      <c r="U69" s="32">
        <f t="shared" si="18"/>
        <v>105</v>
      </c>
      <c r="V69" s="32">
        <f t="shared" si="19"/>
        <v>12</v>
      </c>
      <c r="W69" s="32">
        <f t="shared" si="20"/>
        <v>15</v>
      </c>
      <c r="X69" s="32">
        <f t="shared" si="21"/>
        <v>12</v>
      </c>
      <c r="Y69" s="32">
        <f t="shared" si="22"/>
        <v>14</v>
      </c>
      <c r="Z69" s="32">
        <f t="shared" si="23"/>
        <v>18</v>
      </c>
      <c r="AA69" s="32" t="str">
        <f t="shared" si="24"/>
        <v/>
      </c>
      <c r="AB69" s="32">
        <f>IF($A69="","",IF($T69="No Throw",0,IF($K69&lt;&gt;"",$K69,IF($AA69&lt;&gt;"",ROUND($AA69*$D$12*IF($C69=0,1,$G$10),0),MIN(IF($T69="Recovery/Easy Catch",Reference!$B$103,IF($T69="Long Toss",Reference!$B$106,Reference!$B$102)),MAX(Reference!$B$101,ROUND(MAX(0,$Q69-$AE69)/$AF69,0)))))))</f>
        <v>23</v>
      </c>
      <c r="AC69" s="32">
        <f t="shared" si="25"/>
        <v>0</v>
      </c>
      <c r="AD69" s="32" t="b">
        <f t="shared" si="26"/>
        <v>0</v>
      </c>
      <c r="AE69" s="32">
        <f>IF($X69=0,0,$X69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69+$Z69)/2,0),Reference!$A$17:$B$20,2,TRUE()))</f>
        <v>7.1999999999999993</v>
      </c>
      <c r="AF69" s="32">
        <f>IF(OR($A69="",$U69="",$T69="No Throw"),0,$AM69*VLOOKUP(MAX(($V69+$W69)/2,0),Reference!$A$17:$B$20,2,TRUE()))</f>
        <v>0.83142857142857141</v>
      </c>
      <c r="AG69" s="32">
        <f>IF($AC69=0,0,$AC69*INDEX(Reference!$B$61:$B$62,MATCH("Bullpen",Reference!$A$61:$A$62,0))*VLOOKUP(MAX($D$5-($D$9+$E$9)/2,0),Reference!$A$17:$B$20,2,TRUE()))</f>
        <v>0</v>
      </c>
      <c r="AH69" s="32" t="e">
        <f t="shared" si="27"/>
        <v>#N/A</v>
      </c>
      <c r="AI69" s="32">
        <f>IF($A69="",NA(),Reference!$A$25)</f>
        <v>0.8</v>
      </c>
      <c r="AJ69" s="32">
        <f t="shared" si="28"/>
        <v>1.3</v>
      </c>
      <c r="AK69" s="56">
        <f>IF(OR($A69="",N($C69)&lt;=7,$T69="No Throw",$J69="x"),0,INDEX(Reference!$B$108:$B$114,$N69+1))</f>
        <v>0.27</v>
      </c>
      <c r="AL69" s="32">
        <f t="shared" si="29"/>
        <v>2</v>
      </c>
      <c r="AM69" s="32">
        <f>IF($U69="",0,IF($AL69&gt;1,((IF(1&lt;=$AL69,($AL69-1+3)*(INDEX(Reference!$B$6:$B$11,MIN(5,MATCH(MAX(Reference!$A$6,MIN(Reference!$A$11,MIN($U69,90))),Reference!$A$6:$A$11,1)))+(MAX(Reference!$A$6,MIN(Reference!$A$11,MIN($U69,90)))-INDEX(Reference!$A$6:$A$11,MIN(5,MATCH(MAX(Reference!$A$6,MIN(Reference!$A$11,MIN($U69,90))),Reference!$A$6:$A$11,1))))*(INDEX(Reference!$B$6:$B$11,MIN(5,MATCH(MAX(Reference!$A$6,MIN(Reference!$A$11,MIN($U69,90))),Reference!$A$6:$A$11,1))+1)-INDEX(Reference!$B$6:$B$11,MIN(5,MATCH(MAX(Reference!$A$6,MIN(Reference!$A$11,MIN($U69,90))),Reference!$A$6:$A$11,1))))/(INDEX(Reference!$A$6:$A$11,MIN(5,MATCH(MAX(Reference!$A$6,MIN(Reference!$A$11,MIN($U69,90))),Reference!$A$6:$A$11,1))+1)-INDEX(Reference!$A$6:$A$11,MIN(5,MATCH(MAX(Reference!$A$6,MIN(Reference!$A$11,MIN($U69,90))),Reference!$A$6:$A$11,1))))),0)+IF(2&lt;=$AL69,($AL69-2+3)*(INDEX(Reference!$B$6:$B$11,MIN(5,MATCH(MAX(Reference!$A$6,MIN(Reference!$A$11,MIN($U69,120))),Reference!$A$6:$A$11,1)))+(MAX(Reference!$A$6,MIN(Reference!$A$11,MIN($U69,120)))-INDEX(Reference!$A$6:$A$11,MIN(5,MATCH(MAX(Reference!$A$6,MIN(Reference!$A$11,MIN($U69,120))),Reference!$A$6:$A$11,1))))*(INDEX(Reference!$B$6:$B$11,MIN(5,MATCH(MAX(Reference!$A$6,MIN(Reference!$A$11,MIN($U69,120))),Reference!$A$6:$A$11,1))+1)-INDEX(Reference!$B$6:$B$11,MIN(5,MATCH(MAX(Reference!$A$6,MIN(Reference!$A$11,MIN($U69,120))),Reference!$A$6:$A$11,1))))/(INDEX(Reference!$A$6:$A$11,MIN(5,MATCH(MAX(Reference!$A$6,MIN(Reference!$A$11,MIN($U69,120))),Reference!$A$6:$A$11,1))+1)-INDEX(Reference!$A$6:$A$11,MIN(5,MATCH(MAX(Reference!$A$6,MIN(Reference!$A$11,MIN($U69,120))),Reference!$A$6:$A$11,1))))),0)+IF(3&lt;=$AL69,($AL69-3+3)*(INDEX(Reference!$B$6:$B$11,MIN(5,MATCH(MAX(Reference!$A$6,MIN(Reference!$A$11,MIN($U69,150))),Reference!$A$6:$A$11,1)))+(MAX(Reference!$A$6,MIN(Reference!$A$11,MIN($U69,150)))-INDEX(Reference!$A$6:$A$11,MIN(5,MATCH(MAX(Reference!$A$6,MIN(Reference!$A$11,MIN($U69,150))),Reference!$A$6:$A$11,1))))*(INDEX(Reference!$B$6:$B$11,MIN(5,MATCH(MAX(Reference!$A$6,MIN(Reference!$A$11,MIN($U69,150))),Reference!$A$6:$A$11,1))+1)-INDEX(Reference!$B$6:$B$11,MIN(5,MATCH(MAX(Reference!$A$6,MIN(Reference!$A$11,MIN($U69,150))),Reference!$A$6:$A$11,1))))/(INDEX(Reference!$A$6:$A$11,MIN(5,MATCH(MAX(Reference!$A$6,MIN(Reference!$A$11,MIN($U69,150))),Reference!$A$6:$A$11,1))+1)-INDEX(Reference!$A$6:$A$11,MIN(5,MATCH(MAX(Reference!$A$6,MIN(Reference!$A$11,MIN($U69,150))),Reference!$A$6:$A$11,1))))),0)+IF(4&lt;=$AL69,($AL69-4+3)*(INDEX(Reference!$B$6:$B$11,MIN(5,MATCH(MAX(Reference!$A$6,MIN(Reference!$A$11,MIN($U69,180))),Reference!$A$6:$A$11,1)))+(MAX(Reference!$A$6,MIN(Reference!$A$11,MIN($U69,180)))-INDEX(Reference!$A$6:$A$11,MIN(5,MATCH(MAX(Reference!$A$6,MIN(Reference!$A$11,MIN($U69,180))),Reference!$A$6:$A$11,1))))*(INDEX(Reference!$B$6:$B$11,MIN(5,MATCH(MAX(Reference!$A$6,MIN(Reference!$A$11,MIN($U69,180))),Reference!$A$6:$A$11,1))+1)-INDEX(Reference!$B$6:$B$11,MIN(5,MATCH(MAX(Reference!$A$6,MIN(Reference!$A$11,MIN($U69,180))),Reference!$A$6:$A$11,1))))/(INDEX(Reference!$A$6:$A$11,MIN(5,MATCH(MAX(Reference!$A$6,MIN(Reference!$A$11,MIN($U69,180))),Reference!$A$6:$A$11,1))+1)-INDEX(Reference!$A$6:$A$11,MIN(5,MATCH(MAX(Reference!$A$6,MIN(Reference!$A$11,MIN($U69,180))),Reference!$A$6:$A$11,1))))),0)+IF(5&lt;=$AL69,($AL69-5+3)*(INDEX(Reference!$B$6:$B$11,MIN(5,MATCH(MAX(Reference!$A$6,MIN(Reference!$A$11,MIN($U69,210))),Reference!$A$6:$A$11,1)))+(MAX(Reference!$A$6,MIN(Reference!$A$11,MIN($U69,210)))-INDEX(Reference!$A$6:$A$11,MIN(5,MATCH(MAX(Reference!$A$6,MIN(Reference!$A$11,MIN($U69,210))),Reference!$A$6:$A$11,1))))*(INDEX(Reference!$B$6:$B$11,MIN(5,MATCH(MAX(Reference!$A$6,MIN(Reference!$A$11,MIN($U69,210))),Reference!$A$6:$A$11,1))+1)-INDEX(Reference!$B$6:$B$11,MIN(5,MATCH(MAX(Reference!$A$6,MIN(Reference!$A$11,MIN($U69,210))),Reference!$A$6:$A$11,1))))/(INDEX(Reference!$A$6:$A$11,MIN(5,MATCH(MAX(Reference!$A$6,MIN(Reference!$A$11,MIN($U69,210))),Reference!$A$6:$A$11,1))+1)-INDEX(Reference!$A$6:$A$11,MIN(5,MATCH(MAX(Reference!$A$6,MIN(Reference!$A$11,MIN($U69,210))),Reference!$A$6:$A$11,1))))),0)+IF(6&lt;=$AL69,($AL69-6+3)*(INDEX(Reference!$B$6:$B$11,MIN(5,MATCH(MAX(Reference!$A$6,MIN(Reference!$A$11,MIN($U69,240))),Reference!$A$6:$A$11,1)))+(MAX(Reference!$A$6,MIN(Reference!$A$11,MIN($U69,240)))-INDEX(Reference!$A$6:$A$11,MIN(5,MATCH(MAX(Reference!$A$6,MIN(Reference!$A$11,MIN($U69,240))),Reference!$A$6:$A$11,1))))*(INDEX(Reference!$B$6:$B$11,MIN(5,MATCH(MAX(Reference!$A$6,MIN(Reference!$A$11,MIN($U69,240))),Reference!$A$6:$A$11,1))+1)-INDEX(Reference!$B$6:$B$11,MIN(5,MATCH(MAX(Reference!$A$6,MIN(Reference!$A$11,MIN($U69,240))),Reference!$A$6:$A$11,1))))/(INDEX(Reference!$A$6:$A$11,MIN(5,MATCH(MAX(Reference!$A$6,MIN(Reference!$A$11,MIN($U69,240))),Reference!$A$6:$A$11,1))+1)-INDEX(Reference!$A$6:$A$11,MIN(5,MATCH(MAX(Reference!$A$6,MIN(Reference!$A$11,MIN($U69,240))),Reference!$A$6:$A$11,1))))),0)+IF(7&lt;=$AL69,($AL69-7+3)*(INDEX(Reference!$B$6:$B$11,MIN(5,MATCH(MAX(Reference!$A$6,MIN(Reference!$A$11,MIN($U69,270))),Reference!$A$6:$A$11,1)))+(MAX(Reference!$A$6,MIN(Reference!$A$11,MIN($U69,270)))-INDEX(Reference!$A$6:$A$11,MIN(5,MATCH(MAX(Reference!$A$6,MIN(Reference!$A$11,MIN($U69,270))),Reference!$A$6:$A$11,1))))*(INDEX(Reference!$B$6:$B$11,MIN(5,MATCH(MAX(Reference!$A$6,MIN(Reference!$A$11,MIN($U69,270))),Reference!$A$6:$A$11,1))+1)-INDEX(Reference!$B$6:$B$11,MIN(5,MATCH(MAX(Reference!$A$6,MIN(Reference!$A$11,MIN($U69,270))),Reference!$A$6:$A$11,1))))/(INDEX(Reference!$A$6:$A$11,MIN(5,MATCH(MAX(Reference!$A$6,MIN(Reference!$A$11,MIN($U69,270))),Reference!$A$6:$A$11,1))+1)-INDEX(Reference!$A$6:$A$11,MIN(5,MATCH(MAX(Reference!$A$6,MIN(Reference!$A$11,MIN($U69,270))),Reference!$A$6:$A$11,1))))),0)+IF(8&lt;=$AL69,($AL69-8+3)*(INDEX(Reference!$B$6:$B$11,MIN(5,MATCH(MAX(Reference!$A$6,MIN(Reference!$A$11,MIN($U69,300))),Reference!$A$6:$A$11,1)))+(MAX(Reference!$A$6,MIN(Reference!$A$11,MIN($U69,300)))-INDEX(Reference!$A$6:$A$11,MIN(5,MATCH(MAX(Reference!$A$6,MIN(Reference!$A$11,MIN($U69,300))),Reference!$A$6:$A$11,1))))*(INDEX(Reference!$B$6:$B$11,MIN(5,MATCH(MAX(Reference!$A$6,MIN(Reference!$A$11,MIN($U69,300))),Reference!$A$6:$A$11,1))+1)-INDEX(Reference!$B$6:$B$11,MIN(5,MATCH(MAX(Reference!$A$6,MIN(Reference!$A$11,MIN($U69,300))),Reference!$A$6:$A$11,1))))/(INDEX(Reference!$A$6:$A$11,MIN(5,MATCH(MAX(Reference!$A$6,MIN(Reference!$A$11,MIN($U69,300))),Reference!$A$6:$A$11,1))+1)-INDEX(Reference!$A$6:$A$11,MIN(5,MATCH(MAX(Reference!$A$6,MIN(Reference!$A$11,MIN($U69,300))),Reference!$A$6:$A$11,1))))),0))/($AL69*($AL69+5)/2)),$AN69))</f>
        <v>1.3857142857142857</v>
      </c>
      <c r="AN69" s="32">
        <f>IF($U69="",0,(INDEX(Reference!$B$6:$B$11,MIN(5,MATCH(MAX(Reference!$A$6,MIN(Reference!$A$11,$U69)),Reference!$A$6:$A$11,1)))+(MAX(Reference!$A$6,MIN(Reference!$A$11,$U69))-INDEX(Reference!$A$6:$A$11,MIN(5,MATCH(MAX(Reference!$A$6,MIN(Reference!$A$11,$U69)),Reference!$A$6:$A$11,1))))*(INDEX(Reference!$B$6:$B$11,MIN(5,MATCH(MAX(Reference!$A$6,MIN(Reference!$A$11,$U69)),Reference!$A$6:$A$11,1))+1)-INDEX(Reference!$B$6:$B$11,MIN(5,MATCH(MAX(Reference!$A$6,MIN(Reference!$A$11,$U69)),Reference!$A$6:$A$11,1))))/(INDEX(Reference!$A$6:$A$11,MIN(5,MATCH(MAX(Reference!$A$6,MIN(Reference!$A$11,$U69)),Reference!$A$6:$A$11,1))+1)-INDEX(Reference!$A$6:$A$11,MIN(5,MATCH(MAX(Reference!$A$6,MIN(Reference!$A$11,$U69)),Reference!$A$6:$A$11,1))))))</f>
        <v>1.5</v>
      </c>
      <c r="AO69" s="37"/>
      <c r="AP69" s="37"/>
      <c r="AQ69" s="37"/>
    </row>
    <row r="70" spans="1:43" x14ac:dyDescent="0.3">
      <c r="A70" s="48">
        <f t="shared" si="5"/>
        <v>46334</v>
      </c>
      <c r="B70" s="32" t="str">
        <f t="shared" si="6"/>
        <v>Sun</v>
      </c>
      <c r="C70" s="32">
        <f t="shared" si="7"/>
        <v>57</v>
      </c>
      <c r="D70" s="32" t="str">
        <f t="shared" si="8"/>
        <v>Base</v>
      </c>
      <c r="E70" s="32" t="str">
        <f t="shared" si="9"/>
        <v>No Throw</v>
      </c>
      <c r="F70" s="32" t="str">
        <f t="shared" si="10"/>
        <v>No Throw</v>
      </c>
      <c r="G70" s="47" t="str">
        <f t="shared" si="11"/>
        <v>Off</v>
      </c>
      <c r="H70" s="30">
        <f t="shared" si="12"/>
        <v>0</v>
      </c>
      <c r="I70" s="46">
        <f>IF($A70="","",IF(AND($L70&lt;27,$K$12=0),"Building",IFERROR(((SUM($H$64:$H70)+$K$12*IF($L70&lt;6,SUMIFS('Throw Log'!$Q$5:$Q$300,'Throw Log'!$B$5:$B$300,$D$4,'Throw Log'!$A$5:$A$300,"&gt;="&amp;($D$6+$L70-6),'Throw Log'!$A$5:$A$300,"&lt;="&amp;($D$6-1)),0))/7)/((SUM($H$43:$H70)+$K$12*IF($L70&lt;27,SUMIFS('Throw Log'!$Q$5:$Q$300,'Throw Log'!$B$5:$B$300,$D$4,'Throw Log'!$A$5:$A$300,"&gt;="&amp;($D$6+$L70-27),'Throw Log'!$A$5:$A$300,"&lt;="&amp;($D$6-1)),0))/28),"")))</f>
        <v>1.1559073571437113</v>
      </c>
      <c r="J70" s="37"/>
      <c r="K70" s="37"/>
      <c r="L70" s="32">
        <v>27</v>
      </c>
      <c r="M70" s="32">
        <f t="shared" si="13"/>
        <v>4</v>
      </c>
      <c r="N70" s="32">
        <f t="shared" si="14"/>
        <v>6</v>
      </c>
      <c r="O70" s="32">
        <f t="shared" si="15"/>
        <v>0.35526315789473684</v>
      </c>
      <c r="P70" s="32">
        <f>IF(OR($A70="",N($C70)&lt;=7),"",$G$6*$G$9^($M70-1)*IF(AND(MOD($M70,Reference!$B$99)=0,$M70&lt;=$G$5-2),Reference!$B$100,1))</f>
        <v>96.844268027376231</v>
      </c>
      <c r="Q70" s="32">
        <f>IF($P70="","",IF(SUM($AK$64:$AK$70)=0,0,$P70*INDEX(Reference!$B$108:$B$114,$N70+1)/SUM($AK$64:$AK$70)))</f>
        <v>6.7790987619163365</v>
      </c>
      <c r="R70" s="32">
        <f t="shared" si="16"/>
        <v>120</v>
      </c>
      <c r="S70" s="32">
        <f t="shared" si="17"/>
        <v>105</v>
      </c>
      <c r="T70" s="32" t="str">
        <f>IF($A70="","",IF($C70=0,"Bullpen",IF(OR($C70=7,$C70=1,$C70=5),"Recovery/Easy Catch",IF($C70=6,"Compression/Pulldowns",IF(OR($C70=4,$C70=2),"Long Toss",IF($C70=3,"No Throw",IF($N70=2,"No Throw",IF($N70=6,IF($O70&lt;Reference!$B$104,"No Throw","Recovery/Easy Catch"),IF(OR($N70=0,$N70=4),"Recovery/Easy Catch",IF($N70=1,IF($R70&gt;75,"Long Toss","Recovery/Easy Catch"),IF($N70=3,IF($O70&lt;0.5,IF($S70&gt;75,"Long Toss","Recovery/Easy Catch"),"Compression/Pulldowns"),IF($S70&gt;75,"Long Toss","Recovery/Easy Catch"))))))))))))</f>
        <v>No Throw</v>
      </c>
      <c r="U70" s="32">
        <f t="shared" si="18"/>
        <v>60</v>
      </c>
      <c r="V70" s="32">
        <f t="shared" si="19"/>
        <v>20</v>
      </c>
      <c r="W70" s="32">
        <f t="shared" si="20"/>
        <v>24</v>
      </c>
      <c r="X70" s="32">
        <f t="shared" si="21"/>
        <v>0</v>
      </c>
      <c r="Y70" s="32" t="str">
        <f t="shared" si="22"/>
        <v/>
      </c>
      <c r="Z70" s="32" t="str">
        <f t="shared" si="23"/>
        <v/>
      </c>
      <c r="AA70" s="32" t="str">
        <f t="shared" si="24"/>
        <v/>
      </c>
      <c r="AB70" s="32">
        <f>IF($A70="","",IF($T70="No Throw",0,IF($K70&lt;&gt;"",$K70,IF($AA70&lt;&gt;"",ROUND($AA70*$D$12*IF($C70=0,1,$G$10),0),MIN(IF($T70="Recovery/Easy Catch",Reference!$B$103,IF($T70="Long Toss",Reference!$B$106,Reference!$B$102)),MAX(Reference!$B$101,ROUND(MAX(0,$Q70-$AE70)/$AF70,0)))))))</f>
        <v>0</v>
      </c>
      <c r="AC70" s="32">
        <f t="shared" si="25"/>
        <v>0</v>
      </c>
      <c r="AD70" s="32" t="b">
        <f t="shared" si="26"/>
        <v>1</v>
      </c>
      <c r="AE70" s="32">
        <f>IF($X70=0,0,$X70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70+$Z70)/2,0),Reference!$A$17:$B$20,2,TRUE()))</f>
        <v>0</v>
      </c>
      <c r="AF70" s="32">
        <f>IF(OR($A70="",$U70="",$T70="No Throw"),0,$AM70*VLOOKUP(MAX(($V70+$W70)/2,0),Reference!$A$17:$B$20,2,TRUE()))</f>
        <v>0</v>
      </c>
      <c r="AG70" s="32">
        <f>IF($AC70=0,0,$AC70*INDEX(Reference!$B$61:$B$62,MATCH("Bullpen",Reference!$A$61:$A$62,0))*VLOOKUP(MAX($D$5-($D$9+$E$9)/2,0),Reference!$A$17:$B$20,2,TRUE()))</f>
        <v>0</v>
      </c>
      <c r="AH70" s="46">
        <f t="shared" si="27"/>
        <v>1.1559073571437113</v>
      </c>
      <c r="AI70" s="32">
        <f>IF($A70="",NA(),Reference!$A$25)</f>
        <v>0.8</v>
      </c>
      <c r="AJ70" s="32">
        <f t="shared" si="28"/>
        <v>1.3</v>
      </c>
      <c r="AK70" s="32">
        <f>IF(OR($A70="",N($C70)&lt;=7,$T70="No Throw",$J70="x"),0,INDEX(Reference!$B$108:$B$114,$N70+1))</f>
        <v>0</v>
      </c>
      <c r="AL70" s="32">
        <f t="shared" si="29"/>
        <v>1</v>
      </c>
      <c r="AM70" s="32">
        <f>IF($U70="",0,IF($AL70&gt;1,((IF(1&lt;=$AL70,($AL70-1+3)*(INDEX(Reference!$B$6:$B$11,MIN(5,MATCH(MAX(Reference!$A$6,MIN(Reference!$A$11,MIN($U70,90))),Reference!$A$6:$A$11,1)))+(MAX(Reference!$A$6,MIN(Reference!$A$11,MIN($U70,90)))-INDEX(Reference!$A$6:$A$11,MIN(5,MATCH(MAX(Reference!$A$6,MIN(Reference!$A$11,MIN($U70,90))),Reference!$A$6:$A$11,1))))*(INDEX(Reference!$B$6:$B$11,MIN(5,MATCH(MAX(Reference!$A$6,MIN(Reference!$A$11,MIN($U70,90))),Reference!$A$6:$A$11,1))+1)-INDEX(Reference!$B$6:$B$11,MIN(5,MATCH(MAX(Reference!$A$6,MIN(Reference!$A$11,MIN($U70,90))),Reference!$A$6:$A$11,1))))/(INDEX(Reference!$A$6:$A$11,MIN(5,MATCH(MAX(Reference!$A$6,MIN(Reference!$A$11,MIN($U70,90))),Reference!$A$6:$A$11,1))+1)-INDEX(Reference!$A$6:$A$11,MIN(5,MATCH(MAX(Reference!$A$6,MIN(Reference!$A$11,MIN($U70,90))),Reference!$A$6:$A$11,1))))),0)+IF(2&lt;=$AL70,($AL70-2+3)*(INDEX(Reference!$B$6:$B$11,MIN(5,MATCH(MAX(Reference!$A$6,MIN(Reference!$A$11,MIN($U70,120))),Reference!$A$6:$A$11,1)))+(MAX(Reference!$A$6,MIN(Reference!$A$11,MIN($U70,120)))-INDEX(Reference!$A$6:$A$11,MIN(5,MATCH(MAX(Reference!$A$6,MIN(Reference!$A$11,MIN($U70,120))),Reference!$A$6:$A$11,1))))*(INDEX(Reference!$B$6:$B$11,MIN(5,MATCH(MAX(Reference!$A$6,MIN(Reference!$A$11,MIN($U70,120))),Reference!$A$6:$A$11,1))+1)-INDEX(Reference!$B$6:$B$11,MIN(5,MATCH(MAX(Reference!$A$6,MIN(Reference!$A$11,MIN($U70,120))),Reference!$A$6:$A$11,1))))/(INDEX(Reference!$A$6:$A$11,MIN(5,MATCH(MAX(Reference!$A$6,MIN(Reference!$A$11,MIN($U70,120))),Reference!$A$6:$A$11,1))+1)-INDEX(Reference!$A$6:$A$11,MIN(5,MATCH(MAX(Reference!$A$6,MIN(Reference!$A$11,MIN($U70,120))),Reference!$A$6:$A$11,1))))),0)+IF(3&lt;=$AL70,($AL70-3+3)*(INDEX(Reference!$B$6:$B$11,MIN(5,MATCH(MAX(Reference!$A$6,MIN(Reference!$A$11,MIN($U70,150))),Reference!$A$6:$A$11,1)))+(MAX(Reference!$A$6,MIN(Reference!$A$11,MIN($U70,150)))-INDEX(Reference!$A$6:$A$11,MIN(5,MATCH(MAX(Reference!$A$6,MIN(Reference!$A$11,MIN($U70,150))),Reference!$A$6:$A$11,1))))*(INDEX(Reference!$B$6:$B$11,MIN(5,MATCH(MAX(Reference!$A$6,MIN(Reference!$A$11,MIN($U70,150))),Reference!$A$6:$A$11,1))+1)-INDEX(Reference!$B$6:$B$11,MIN(5,MATCH(MAX(Reference!$A$6,MIN(Reference!$A$11,MIN($U70,150))),Reference!$A$6:$A$11,1))))/(INDEX(Reference!$A$6:$A$11,MIN(5,MATCH(MAX(Reference!$A$6,MIN(Reference!$A$11,MIN($U70,150))),Reference!$A$6:$A$11,1))+1)-INDEX(Reference!$A$6:$A$11,MIN(5,MATCH(MAX(Reference!$A$6,MIN(Reference!$A$11,MIN($U70,150))),Reference!$A$6:$A$11,1))))),0)+IF(4&lt;=$AL70,($AL70-4+3)*(INDEX(Reference!$B$6:$B$11,MIN(5,MATCH(MAX(Reference!$A$6,MIN(Reference!$A$11,MIN($U70,180))),Reference!$A$6:$A$11,1)))+(MAX(Reference!$A$6,MIN(Reference!$A$11,MIN($U70,180)))-INDEX(Reference!$A$6:$A$11,MIN(5,MATCH(MAX(Reference!$A$6,MIN(Reference!$A$11,MIN($U70,180))),Reference!$A$6:$A$11,1))))*(INDEX(Reference!$B$6:$B$11,MIN(5,MATCH(MAX(Reference!$A$6,MIN(Reference!$A$11,MIN($U70,180))),Reference!$A$6:$A$11,1))+1)-INDEX(Reference!$B$6:$B$11,MIN(5,MATCH(MAX(Reference!$A$6,MIN(Reference!$A$11,MIN($U70,180))),Reference!$A$6:$A$11,1))))/(INDEX(Reference!$A$6:$A$11,MIN(5,MATCH(MAX(Reference!$A$6,MIN(Reference!$A$11,MIN($U70,180))),Reference!$A$6:$A$11,1))+1)-INDEX(Reference!$A$6:$A$11,MIN(5,MATCH(MAX(Reference!$A$6,MIN(Reference!$A$11,MIN($U70,180))),Reference!$A$6:$A$11,1))))),0)+IF(5&lt;=$AL70,($AL70-5+3)*(INDEX(Reference!$B$6:$B$11,MIN(5,MATCH(MAX(Reference!$A$6,MIN(Reference!$A$11,MIN($U70,210))),Reference!$A$6:$A$11,1)))+(MAX(Reference!$A$6,MIN(Reference!$A$11,MIN($U70,210)))-INDEX(Reference!$A$6:$A$11,MIN(5,MATCH(MAX(Reference!$A$6,MIN(Reference!$A$11,MIN($U70,210))),Reference!$A$6:$A$11,1))))*(INDEX(Reference!$B$6:$B$11,MIN(5,MATCH(MAX(Reference!$A$6,MIN(Reference!$A$11,MIN($U70,210))),Reference!$A$6:$A$11,1))+1)-INDEX(Reference!$B$6:$B$11,MIN(5,MATCH(MAX(Reference!$A$6,MIN(Reference!$A$11,MIN($U70,210))),Reference!$A$6:$A$11,1))))/(INDEX(Reference!$A$6:$A$11,MIN(5,MATCH(MAX(Reference!$A$6,MIN(Reference!$A$11,MIN($U70,210))),Reference!$A$6:$A$11,1))+1)-INDEX(Reference!$A$6:$A$11,MIN(5,MATCH(MAX(Reference!$A$6,MIN(Reference!$A$11,MIN($U70,210))),Reference!$A$6:$A$11,1))))),0)+IF(6&lt;=$AL70,($AL70-6+3)*(INDEX(Reference!$B$6:$B$11,MIN(5,MATCH(MAX(Reference!$A$6,MIN(Reference!$A$11,MIN($U70,240))),Reference!$A$6:$A$11,1)))+(MAX(Reference!$A$6,MIN(Reference!$A$11,MIN($U70,240)))-INDEX(Reference!$A$6:$A$11,MIN(5,MATCH(MAX(Reference!$A$6,MIN(Reference!$A$11,MIN($U70,240))),Reference!$A$6:$A$11,1))))*(INDEX(Reference!$B$6:$B$11,MIN(5,MATCH(MAX(Reference!$A$6,MIN(Reference!$A$11,MIN($U70,240))),Reference!$A$6:$A$11,1))+1)-INDEX(Reference!$B$6:$B$11,MIN(5,MATCH(MAX(Reference!$A$6,MIN(Reference!$A$11,MIN($U70,240))),Reference!$A$6:$A$11,1))))/(INDEX(Reference!$A$6:$A$11,MIN(5,MATCH(MAX(Reference!$A$6,MIN(Reference!$A$11,MIN($U70,240))),Reference!$A$6:$A$11,1))+1)-INDEX(Reference!$A$6:$A$11,MIN(5,MATCH(MAX(Reference!$A$6,MIN(Reference!$A$11,MIN($U70,240))),Reference!$A$6:$A$11,1))))),0)+IF(7&lt;=$AL70,($AL70-7+3)*(INDEX(Reference!$B$6:$B$11,MIN(5,MATCH(MAX(Reference!$A$6,MIN(Reference!$A$11,MIN($U70,270))),Reference!$A$6:$A$11,1)))+(MAX(Reference!$A$6,MIN(Reference!$A$11,MIN($U70,270)))-INDEX(Reference!$A$6:$A$11,MIN(5,MATCH(MAX(Reference!$A$6,MIN(Reference!$A$11,MIN($U70,270))),Reference!$A$6:$A$11,1))))*(INDEX(Reference!$B$6:$B$11,MIN(5,MATCH(MAX(Reference!$A$6,MIN(Reference!$A$11,MIN($U70,270))),Reference!$A$6:$A$11,1))+1)-INDEX(Reference!$B$6:$B$11,MIN(5,MATCH(MAX(Reference!$A$6,MIN(Reference!$A$11,MIN($U70,270))),Reference!$A$6:$A$11,1))))/(INDEX(Reference!$A$6:$A$11,MIN(5,MATCH(MAX(Reference!$A$6,MIN(Reference!$A$11,MIN($U70,270))),Reference!$A$6:$A$11,1))+1)-INDEX(Reference!$A$6:$A$11,MIN(5,MATCH(MAX(Reference!$A$6,MIN(Reference!$A$11,MIN($U70,270))),Reference!$A$6:$A$11,1))))),0)+IF(8&lt;=$AL70,($AL70-8+3)*(INDEX(Reference!$B$6:$B$11,MIN(5,MATCH(MAX(Reference!$A$6,MIN(Reference!$A$11,MIN($U70,300))),Reference!$A$6:$A$11,1)))+(MAX(Reference!$A$6,MIN(Reference!$A$11,MIN($U70,300)))-INDEX(Reference!$A$6:$A$11,MIN(5,MATCH(MAX(Reference!$A$6,MIN(Reference!$A$11,MIN($U70,300))),Reference!$A$6:$A$11,1))))*(INDEX(Reference!$B$6:$B$11,MIN(5,MATCH(MAX(Reference!$A$6,MIN(Reference!$A$11,MIN($U70,300))),Reference!$A$6:$A$11,1))+1)-INDEX(Reference!$B$6:$B$11,MIN(5,MATCH(MAX(Reference!$A$6,MIN(Reference!$A$11,MIN($U70,300))),Reference!$A$6:$A$11,1))))/(INDEX(Reference!$A$6:$A$11,MIN(5,MATCH(MAX(Reference!$A$6,MIN(Reference!$A$11,MIN($U70,300))),Reference!$A$6:$A$11,1))+1)-INDEX(Reference!$A$6:$A$11,MIN(5,MATCH(MAX(Reference!$A$6,MIN(Reference!$A$11,MIN($U70,300))),Reference!$A$6:$A$11,1))))),0))/($AL70*($AL70+5)/2)),$AN70))</f>
        <v>1</v>
      </c>
      <c r="AN70" s="32">
        <f>IF($U70="",0,(INDEX(Reference!$B$6:$B$11,MIN(5,MATCH(MAX(Reference!$A$6,MIN(Reference!$A$11,$U70)),Reference!$A$6:$A$11,1)))+(MAX(Reference!$A$6,MIN(Reference!$A$11,$U70))-INDEX(Reference!$A$6:$A$11,MIN(5,MATCH(MAX(Reference!$A$6,MIN(Reference!$A$11,$U70)),Reference!$A$6:$A$11,1))))*(INDEX(Reference!$B$6:$B$11,MIN(5,MATCH(MAX(Reference!$A$6,MIN(Reference!$A$11,$U70)),Reference!$A$6:$A$11,1))+1)-INDEX(Reference!$B$6:$B$11,MIN(5,MATCH(MAX(Reference!$A$6,MIN(Reference!$A$11,$U70)),Reference!$A$6:$A$11,1))))/(INDEX(Reference!$A$6:$A$11,MIN(5,MATCH(MAX(Reference!$A$6,MIN(Reference!$A$11,$U70)),Reference!$A$6:$A$11,1))+1)-INDEX(Reference!$A$6:$A$11,MIN(5,MATCH(MAX(Reference!$A$6,MIN(Reference!$A$11,$U70)),Reference!$A$6:$A$11,1))))))</f>
        <v>1</v>
      </c>
      <c r="AO70" s="37"/>
      <c r="AP70" s="37"/>
      <c r="AQ70" s="37"/>
    </row>
    <row r="71" spans="1:43" x14ac:dyDescent="0.3">
      <c r="A71" s="48">
        <f t="shared" si="5"/>
        <v>46335</v>
      </c>
      <c r="B71" s="32" t="str">
        <f t="shared" si="6"/>
        <v>Mon</v>
      </c>
      <c r="C71" s="32">
        <f t="shared" si="7"/>
        <v>56</v>
      </c>
      <c r="D71" s="32" t="str">
        <f t="shared" si="8"/>
        <v>Base</v>
      </c>
      <c r="E71" s="32" t="str">
        <f t="shared" si="9"/>
        <v>Low</v>
      </c>
      <c r="F71" s="32" t="str">
        <f t="shared" si="10"/>
        <v>Recovery/Easy Catch</v>
      </c>
      <c r="G71" s="47" t="str">
        <f t="shared" si="11"/>
        <v>75 ft × 22 @ 69–73 mph</v>
      </c>
      <c r="H71" s="30">
        <f t="shared" si="12"/>
        <v>15.18</v>
      </c>
      <c r="I71" s="46">
        <f>IF($A71="","",IF(AND($L71&lt;27,$K$12=0),"Building",IFERROR(((SUM($H$65:$H71)+$K$12*IF($L71&lt;6,SUMIFS('Throw Log'!$Q$5:$Q$300,'Throw Log'!$B$5:$B$300,$D$4,'Throw Log'!$A$5:$A$300,"&gt;="&amp;($D$6+$L71-6),'Throw Log'!$A$5:$A$300,"&lt;="&amp;($D$6-1)),0))/7)/((SUM($H$44:$H71)+$K$12*IF($L71&lt;27,SUMIFS('Throw Log'!$Q$5:$Q$300,'Throw Log'!$B$5:$B$300,$D$4,'Throw Log'!$A$5:$A$300,"&gt;="&amp;($D$6+$L71-27),'Throw Log'!$A$5:$A$300,"&lt;="&amp;($D$6-1)),0))/28),"")))</f>
        <v>1.1707200478040036</v>
      </c>
      <c r="J71" s="37"/>
      <c r="K71" s="37"/>
      <c r="L71" s="32">
        <v>28</v>
      </c>
      <c r="M71" s="32">
        <f t="shared" si="13"/>
        <v>5</v>
      </c>
      <c r="N71" s="32">
        <f t="shared" si="14"/>
        <v>0</v>
      </c>
      <c r="O71" s="32">
        <f t="shared" si="15"/>
        <v>0.36842105263157893</v>
      </c>
      <c r="P71" s="32">
        <f>IF(OR($A71="",N($C71)&lt;=7),"",$G$6*$G$9^($M71-1)*IF(AND(MOD($M71,Reference!$B$99)=0,$M71&lt;=$G$5-2),Reference!$B$100,1))</f>
        <v>128.18680745325557</v>
      </c>
      <c r="Q71" s="32">
        <f>IF($P71="","",IF(SUM($AK$71:$AK$77)=0,0,$P71*INDEX(Reference!$B$108:$B$114,$N71+1)/SUM($AK$71:$AK$77)))</f>
        <v>15.382416894390667</v>
      </c>
      <c r="R71" s="32">
        <f t="shared" si="16"/>
        <v>120</v>
      </c>
      <c r="S71" s="32">
        <f t="shared" si="17"/>
        <v>105</v>
      </c>
      <c r="T71" s="32" t="str">
        <f>IF($A71="","",IF($C71=0,"Bullpen",IF(OR($C71=7,$C71=1,$C71=5),"Recovery/Easy Catch",IF($C71=6,"Compression/Pulldowns",IF(OR($C71=4,$C71=2),"Long Toss",IF($C71=3,"No Throw",IF($N71=2,"No Throw",IF($N71=6,IF($O71&lt;Reference!$B$104,"No Throw","Recovery/Easy Catch"),IF(OR($N71=0,$N71=4),"Recovery/Easy Catch",IF($N71=1,IF($R71&gt;75,"Long Toss","Recovery/Easy Catch"),IF($N71=3,IF($O71&lt;0.5,IF($S71&gt;75,"Long Toss","Recovery/Easy Catch"),"Compression/Pulldowns"),IF($S71&gt;75,"Long Toss","Recovery/Easy Catch"))))))))))))</f>
        <v>Recovery/Easy Catch</v>
      </c>
      <c r="U71" s="32">
        <f t="shared" si="18"/>
        <v>75</v>
      </c>
      <c r="V71" s="32">
        <f t="shared" si="19"/>
        <v>18</v>
      </c>
      <c r="W71" s="32">
        <f t="shared" si="20"/>
        <v>22</v>
      </c>
      <c r="X71" s="32">
        <f t="shared" si="21"/>
        <v>0</v>
      </c>
      <c r="Y71" s="32" t="str">
        <f t="shared" si="22"/>
        <v/>
      </c>
      <c r="Z71" s="32" t="str">
        <f t="shared" si="23"/>
        <v/>
      </c>
      <c r="AA71" s="32" t="str">
        <f t="shared" si="24"/>
        <v/>
      </c>
      <c r="AB71" s="32">
        <f>IF($A71="","",IF($T71="No Throw",0,IF($K71&lt;&gt;"",$K71,IF($AA71&lt;&gt;"",ROUND($AA71*$D$12*IF($C71=0,1,$G$10),0),MIN(IF($T71="Recovery/Easy Catch",Reference!$B$103,IF($T71="Long Toss",Reference!$B$106,Reference!$B$102)),MAX(Reference!$B$101,ROUND(MAX(0,$Q71-$AE71)/$AF71,0)))))))</f>
        <v>22</v>
      </c>
      <c r="AC71" s="32">
        <f t="shared" si="25"/>
        <v>0</v>
      </c>
      <c r="AD71" s="32" t="b">
        <f t="shared" si="26"/>
        <v>0</v>
      </c>
      <c r="AE71" s="32">
        <f>IF($X71=0,0,$X71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71+$Z71)/2,0),Reference!$A$17:$B$20,2,TRUE()))</f>
        <v>0</v>
      </c>
      <c r="AF71" s="32">
        <f>IF(OR($A71="",$U71="",$T71="No Throw"),0,$AM71*VLOOKUP(MAX(($V71+$W71)/2,0),Reference!$A$17:$B$20,2,TRUE()))</f>
        <v>0.69</v>
      </c>
      <c r="AG71" s="32">
        <f>IF($AC71=0,0,$AC71*INDEX(Reference!$B$61:$B$62,MATCH("Bullpen",Reference!$A$61:$A$62,0))*VLOOKUP(MAX($D$5-($D$9+$E$9)/2,0),Reference!$A$17:$B$20,2,TRUE()))</f>
        <v>0</v>
      </c>
      <c r="AH71" s="46">
        <f t="shared" si="27"/>
        <v>1.1707200478040036</v>
      </c>
      <c r="AI71" s="32">
        <f>IF($A71="",NA(),Reference!$A$25)</f>
        <v>0.8</v>
      </c>
      <c r="AJ71" s="32">
        <f t="shared" si="28"/>
        <v>1.3</v>
      </c>
      <c r="AK71" s="56">
        <f>IF(OR($A71="",N($C71)&lt;=7,$T71="No Throw",$J71="x"),0,INDEX(Reference!$B$108:$B$114,$N71+1))</f>
        <v>0.12</v>
      </c>
      <c r="AL71" s="32">
        <f t="shared" si="29"/>
        <v>1</v>
      </c>
      <c r="AM71" s="32">
        <f>IF($U71="",0,IF($AL71&gt;1,((IF(1&lt;=$AL71,($AL71-1+3)*(INDEX(Reference!$B$6:$B$11,MIN(5,MATCH(MAX(Reference!$A$6,MIN(Reference!$A$11,MIN($U71,90))),Reference!$A$6:$A$11,1)))+(MAX(Reference!$A$6,MIN(Reference!$A$11,MIN($U71,90)))-INDEX(Reference!$A$6:$A$11,MIN(5,MATCH(MAX(Reference!$A$6,MIN(Reference!$A$11,MIN($U71,90))),Reference!$A$6:$A$11,1))))*(INDEX(Reference!$B$6:$B$11,MIN(5,MATCH(MAX(Reference!$A$6,MIN(Reference!$A$11,MIN($U71,90))),Reference!$A$6:$A$11,1))+1)-INDEX(Reference!$B$6:$B$11,MIN(5,MATCH(MAX(Reference!$A$6,MIN(Reference!$A$11,MIN($U71,90))),Reference!$A$6:$A$11,1))))/(INDEX(Reference!$A$6:$A$11,MIN(5,MATCH(MAX(Reference!$A$6,MIN(Reference!$A$11,MIN($U71,90))),Reference!$A$6:$A$11,1))+1)-INDEX(Reference!$A$6:$A$11,MIN(5,MATCH(MAX(Reference!$A$6,MIN(Reference!$A$11,MIN($U71,90))),Reference!$A$6:$A$11,1))))),0)+IF(2&lt;=$AL71,($AL71-2+3)*(INDEX(Reference!$B$6:$B$11,MIN(5,MATCH(MAX(Reference!$A$6,MIN(Reference!$A$11,MIN($U71,120))),Reference!$A$6:$A$11,1)))+(MAX(Reference!$A$6,MIN(Reference!$A$11,MIN($U71,120)))-INDEX(Reference!$A$6:$A$11,MIN(5,MATCH(MAX(Reference!$A$6,MIN(Reference!$A$11,MIN($U71,120))),Reference!$A$6:$A$11,1))))*(INDEX(Reference!$B$6:$B$11,MIN(5,MATCH(MAX(Reference!$A$6,MIN(Reference!$A$11,MIN($U71,120))),Reference!$A$6:$A$11,1))+1)-INDEX(Reference!$B$6:$B$11,MIN(5,MATCH(MAX(Reference!$A$6,MIN(Reference!$A$11,MIN($U71,120))),Reference!$A$6:$A$11,1))))/(INDEX(Reference!$A$6:$A$11,MIN(5,MATCH(MAX(Reference!$A$6,MIN(Reference!$A$11,MIN($U71,120))),Reference!$A$6:$A$11,1))+1)-INDEX(Reference!$A$6:$A$11,MIN(5,MATCH(MAX(Reference!$A$6,MIN(Reference!$A$11,MIN($U71,120))),Reference!$A$6:$A$11,1))))),0)+IF(3&lt;=$AL71,($AL71-3+3)*(INDEX(Reference!$B$6:$B$11,MIN(5,MATCH(MAX(Reference!$A$6,MIN(Reference!$A$11,MIN($U71,150))),Reference!$A$6:$A$11,1)))+(MAX(Reference!$A$6,MIN(Reference!$A$11,MIN($U71,150)))-INDEX(Reference!$A$6:$A$11,MIN(5,MATCH(MAX(Reference!$A$6,MIN(Reference!$A$11,MIN($U71,150))),Reference!$A$6:$A$11,1))))*(INDEX(Reference!$B$6:$B$11,MIN(5,MATCH(MAX(Reference!$A$6,MIN(Reference!$A$11,MIN($U71,150))),Reference!$A$6:$A$11,1))+1)-INDEX(Reference!$B$6:$B$11,MIN(5,MATCH(MAX(Reference!$A$6,MIN(Reference!$A$11,MIN($U71,150))),Reference!$A$6:$A$11,1))))/(INDEX(Reference!$A$6:$A$11,MIN(5,MATCH(MAX(Reference!$A$6,MIN(Reference!$A$11,MIN($U71,150))),Reference!$A$6:$A$11,1))+1)-INDEX(Reference!$A$6:$A$11,MIN(5,MATCH(MAX(Reference!$A$6,MIN(Reference!$A$11,MIN($U71,150))),Reference!$A$6:$A$11,1))))),0)+IF(4&lt;=$AL71,($AL71-4+3)*(INDEX(Reference!$B$6:$B$11,MIN(5,MATCH(MAX(Reference!$A$6,MIN(Reference!$A$11,MIN($U71,180))),Reference!$A$6:$A$11,1)))+(MAX(Reference!$A$6,MIN(Reference!$A$11,MIN($U71,180)))-INDEX(Reference!$A$6:$A$11,MIN(5,MATCH(MAX(Reference!$A$6,MIN(Reference!$A$11,MIN($U71,180))),Reference!$A$6:$A$11,1))))*(INDEX(Reference!$B$6:$B$11,MIN(5,MATCH(MAX(Reference!$A$6,MIN(Reference!$A$11,MIN($U71,180))),Reference!$A$6:$A$11,1))+1)-INDEX(Reference!$B$6:$B$11,MIN(5,MATCH(MAX(Reference!$A$6,MIN(Reference!$A$11,MIN($U71,180))),Reference!$A$6:$A$11,1))))/(INDEX(Reference!$A$6:$A$11,MIN(5,MATCH(MAX(Reference!$A$6,MIN(Reference!$A$11,MIN($U71,180))),Reference!$A$6:$A$11,1))+1)-INDEX(Reference!$A$6:$A$11,MIN(5,MATCH(MAX(Reference!$A$6,MIN(Reference!$A$11,MIN($U71,180))),Reference!$A$6:$A$11,1))))),0)+IF(5&lt;=$AL71,($AL71-5+3)*(INDEX(Reference!$B$6:$B$11,MIN(5,MATCH(MAX(Reference!$A$6,MIN(Reference!$A$11,MIN($U71,210))),Reference!$A$6:$A$11,1)))+(MAX(Reference!$A$6,MIN(Reference!$A$11,MIN($U71,210)))-INDEX(Reference!$A$6:$A$11,MIN(5,MATCH(MAX(Reference!$A$6,MIN(Reference!$A$11,MIN($U71,210))),Reference!$A$6:$A$11,1))))*(INDEX(Reference!$B$6:$B$11,MIN(5,MATCH(MAX(Reference!$A$6,MIN(Reference!$A$11,MIN($U71,210))),Reference!$A$6:$A$11,1))+1)-INDEX(Reference!$B$6:$B$11,MIN(5,MATCH(MAX(Reference!$A$6,MIN(Reference!$A$11,MIN($U71,210))),Reference!$A$6:$A$11,1))))/(INDEX(Reference!$A$6:$A$11,MIN(5,MATCH(MAX(Reference!$A$6,MIN(Reference!$A$11,MIN($U71,210))),Reference!$A$6:$A$11,1))+1)-INDEX(Reference!$A$6:$A$11,MIN(5,MATCH(MAX(Reference!$A$6,MIN(Reference!$A$11,MIN($U71,210))),Reference!$A$6:$A$11,1))))),0)+IF(6&lt;=$AL71,($AL71-6+3)*(INDEX(Reference!$B$6:$B$11,MIN(5,MATCH(MAX(Reference!$A$6,MIN(Reference!$A$11,MIN($U71,240))),Reference!$A$6:$A$11,1)))+(MAX(Reference!$A$6,MIN(Reference!$A$11,MIN($U71,240)))-INDEX(Reference!$A$6:$A$11,MIN(5,MATCH(MAX(Reference!$A$6,MIN(Reference!$A$11,MIN($U71,240))),Reference!$A$6:$A$11,1))))*(INDEX(Reference!$B$6:$B$11,MIN(5,MATCH(MAX(Reference!$A$6,MIN(Reference!$A$11,MIN($U71,240))),Reference!$A$6:$A$11,1))+1)-INDEX(Reference!$B$6:$B$11,MIN(5,MATCH(MAX(Reference!$A$6,MIN(Reference!$A$11,MIN($U71,240))),Reference!$A$6:$A$11,1))))/(INDEX(Reference!$A$6:$A$11,MIN(5,MATCH(MAX(Reference!$A$6,MIN(Reference!$A$11,MIN($U71,240))),Reference!$A$6:$A$11,1))+1)-INDEX(Reference!$A$6:$A$11,MIN(5,MATCH(MAX(Reference!$A$6,MIN(Reference!$A$11,MIN($U71,240))),Reference!$A$6:$A$11,1))))),0)+IF(7&lt;=$AL71,($AL71-7+3)*(INDEX(Reference!$B$6:$B$11,MIN(5,MATCH(MAX(Reference!$A$6,MIN(Reference!$A$11,MIN($U71,270))),Reference!$A$6:$A$11,1)))+(MAX(Reference!$A$6,MIN(Reference!$A$11,MIN($U71,270)))-INDEX(Reference!$A$6:$A$11,MIN(5,MATCH(MAX(Reference!$A$6,MIN(Reference!$A$11,MIN($U71,270))),Reference!$A$6:$A$11,1))))*(INDEX(Reference!$B$6:$B$11,MIN(5,MATCH(MAX(Reference!$A$6,MIN(Reference!$A$11,MIN($U71,270))),Reference!$A$6:$A$11,1))+1)-INDEX(Reference!$B$6:$B$11,MIN(5,MATCH(MAX(Reference!$A$6,MIN(Reference!$A$11,MIN($U71,270))),Reference!$A$6:$A$11,1))))/(INDEX(Reference!$A$6:$A$11,MIN(5,MATCH(MAX(Reference!$A$6,MIN(Reference!$A$11,MIN($U71,270))),Reference!$A$6:$A$11,1))+1)-INDEX(Reference!$A$6:$A$11,MIN(5,MATCH(MAX(Reference!$A$6,MIN(Reference!$A$11,MIN($U71,270))),Reference!$A$6:$A$11,1))))),0)+IF(8&lt;=$AL71,($AL71-8+3)*(INDEX(Reference!$B$6:$B$11,MIN(5,MATCH(MAX(Reference!$A$6,MIN(Reference!$A$11,MIN($U71,300))),Reference!$A$6:$A$11,1)))+(MAX(Reference!$A$6,MIN(Reference!$A$11,MIN($U71,300)))-INDEX(Reference!$A$6:$A$11,MIN(5,MATCH(MAX(Reference!$A$6,MIN(Reference!$A$11,MIN($U71,300))),Reference!$A$6:$A$11,1))))*(INDEX(Reference!$B$6:$B$11,MIN(5,MATCH(MAX(Reference!$A$6,MIN(Reference!$A$11,MIN($U71,300))),Reference!$A$6:$A$11,1))+1)-INDEX(Reference!$B$6:$B$11,MIN(5,MATCH(MAX(Reference!$A$6,MIN(Reference!$A$11,MIN($U71,300))),Reference!$A$6:$A$11,1))))/(INDEX(Reference!$A$6:$A$11,MIN(5,MATCH(MAX(Reference!$A$6,MIN(Reference!$A$11,MIN($U71,300))),Reference!$A$6:$A$11,1))+1)-INDEX(Reference!$A$6:$A$11,MIN(5,MATCH(MAX(Reference!$A$6,MIN(Reference!$A$11,MIN($U71,300))),Reference!$A$6:$A$11,1))))),0))/($AL71*($AL71+5)/2)),$AN71))</f>
        <v>1.1499999999999999</v>
      </c>
      <c r="AN71" s="32">
        <f>IF($U71="",0,(INDEX(Reference!$B$6:$B$11,MIN(5,MATCH(MAX(Reference!$A$6,MIN(Reference!$A$11,$U71)),Reference!$A$6:$A$11,1)))+(MAX(Reference!$A$6,MIN(Reference!$A$11,$U71))-INDEX(Reference!$A$6:$A$11,MIN(5,MATCH(MAX(Reference!$A$6,MIN(Reference!$A$11,$U71)),Reference!$A$6:$A$11,1))))*(INDEX(Reference!$B$6:$B$11,MIN(5,MATCH(MAX(Reference!$A$6,MIN(Reference!$A$11,$U71)),Reference!$A$6:$A$11,1))+1)-INDEX(Reference!$B$6:$B$11,MIN(5,MATCH(MAX(Reference!$A$6,MIN(Reference!$A$11,$U71)),Reference!$A$6:$A$11,1))))/(INDEX(Reference!$A$6:$A$11,MIN(5,MATCH(MAX(Reference!$A$6,MIN(Reference!$A$11,$U71)),Reference!$A$6:$A$11,1))+1)-INDEX(Reference!$A$6:$A$11,MIN(5,MATCH(MAX(Reference!$A$6,MIN(Reference!$A$11,$U71)),Reference!$A$6:$A$11,1))))))</f>
        <v>1.1499999999999999</v>
      </c>
      <c r="AO71" s="37"/>
      <c r="AP71" s="37"/>
      <c r="AQ71" s="37"/>
    </row>
    <row r="72" spans="1:43" ht="26.4" x14ac:dyDescent="0.3">
      <c r="A72" s="48">
        <f t="shared" si="5"/>
        <v>46336</v>
      </c>
      <c r="B72" s="32" t="str">
        <f t="shared" si="6"/>
        <v>Tue</v>
      </c>
      <c r="C72" s="32">
        <f t="shared" si="7"/>
        <v>55</v>
      </c>
      <c r="D72" s="32" t="str">
        <f t="shared" si="8"/>
        <v>Base</v>
      </c>
      <c r="E72" s="32" t="str">
        <f t="shared" si="9"/>
        <v>Low</v>
      </c>
      <c r="F72" s="32" t="str">
        <f t="shared" si="10"/>
        <v>Long Toss</v>
      </c>
      <c r="G72" s="47" t="str">
        <f t="shared" si="11"/>
        <v>Long toss out to 120 ft — 30 throws (90×17 · 120×13) @ 75–78 mph + 60 ft × 10 @ 73–77 mph</v>
      </c>
      <c r="H72" s="30">
        <f t="shared" si="12"/>
        <v>32.485714285714288</v>
      </c>
      <c r="I72" s="46">
        <f>IF($A72="","",IF(AND($L72&lt;27,$K$12=0),"Building",IFERROR(((SUM($H$66:$H72)+$K$12*IF($L72&lt;6,SUMIFS('Throw Log'!$Q$5:$Q$300,'Throw Log'!$B$5:$B$300,$D$4,'Throw Log'!$A$5:$A$300,"&gt;="&amp;($D$6+$L72-6),'Throw Log'!$A$5:$A$300,"&lt;="&amp;($D$6-1)),0))/7)/((SUM($H$45:$H72)+$K$12*IF($L72&lt;27,SUMIFS('Throw Log'!$Q$5:$Q$300,'Throw Log'!$B$5:$B$300,$D$4,'Throw Log'!$A$5:$A$300,"&gt;="&amp;($D$6+$L72-27),'Throw Log'!$A$5:$A$300,"&lt;="&amp;($D$6-1)),0))/28),"")))</f>
        <v>1.1952903336970884</v>
      </c>
      <c r="J72" s="37"/>
      <c r="K72" s="37">
        <v>30</v>
      </c>
      <c r="L72" s="32">
        <v>29</v>
      </c>
      <c r="M72" s="32">
        <f t="shared" si="13"/>
        <v>5</v>
      </c>
      <c r="N72" s="32">
        <f t="shared" si="14"/>
        <v>1</v>
      </c>
      <c r="O72" s="32">
        <f t="shared" si="15"/>
        <v>0.38157894736842107</v>
      </c>
      <c r="P72" s="32">
        <f>IF(OR($A72="",N($C72)&lt;=7),"",$G$6*$G$9^($M72-1)*IF(AND(MOD($M72,Reference!$B$99)=0,$M72&lt;=$G$5-2),Reference!$B$100,1))</f>
        <v>128.18680745325557</v>
      </c>
      <c r="Q72" s="32">
        <f>IF($P72="","",IF(SUM($AK$71:$AK$77)=0,0,$P72*INDEX(Reference!$B$108:$B$114,$N72+1)/SUM($AK$71:$AK$77)))</f>
        <v>34.610438012379007</v>
      </c>
      <c r="R72" s="32">
        <f t="shared" si="16"/>
        <v>120</v>
      </c>
      <c r="S72" s="32">
        <f t="shared" si="17"/>
        <v>105</v>
      </c>
      <c r="T72" s="32" t="str">
        <f>IF($A72="","",IF($C72=0,"Bullpen",IF(OR($C72=7,$C72=1,$C72=5),"Recovery/Easy Catch",IF($C72=6,"Compression/Pulldowns",IF(OR($C72=4,$C72=2),"Long Toss",IF($C72=3,"No Throw",IF($N72=2,"No Throw",IF($N72=6,IF($O72&lt;Reference!$B$104,"No Throw","Recovery/Easy Catch"),IF(OR($N72=0,$N72=4),"Recovery/Easy Catch",IF($N72=1,IF($R72&gt;75,"Long Toss","Recovery/Easy Catch"),IF($N72=3,IF($O72&lt;0.5,IF($S72&gt;75,"Long Toss","Recovery/Easy Catch"),"Compression/Pulldowns"),IF($S72&gt;75,"Long Toss","Recovery/Easy Catch"))))))))))))</f>
        <v>Long Toss</v>
      </c>
      <c r="U72" s="32">
        <f t="shared" si="18"/>
        <v>120</v>
      </c>
      <c r="V72" s="32">
        <f t="shared" si="19"/>
        <v>13</v>
      </c>
      <c r="W72" s="32">
        <f t="shared" si="20"/>
        <v>16</v>
      </c>
      <c r="X72" s="32">
        <f t="shared" si="21"/>
        <v>10</v>
      </c>
      <c r="Y72" s="32">
        <f t="shared" si="22"/>
        <v>14</v>
      </c>
      <c r="Z72" s="32">
        <f t="shared" si="23"/>
        <v>18</v>
      </c>
      <c r="AA72" s="32" t="str">
        <f t="shared" si="24"/>
        <v/>
      </c>
      <c r="AB72" s="32">
        <f>IF($A72="","",IF($T72="No Throw",0,IF($K72&lt;&gt;"",$K72,IF($AA72&lt;&gt;"",ROUND($AA72*$D$12*IF($C72=0,1,$G$10),0),MIN(IF($T72="Recovery/Easy Catch",Reference!$B$103,IF($T72="Long Toss",Reference!$B$106,Reference!$B$102)),MAX(Reference!$B$101,ROUND(MAX(0,$Q72-$AE72)/$AF72,0)))))))</f>
        <v>30</v>
      </c>
      <c r="AC72" s="32">
        <f t="shared" si="25"/>
        <v>0</v>
      </c>
      <c r="AD72" s="32" t="b">
        <f t="shared" si="26"/>
        <v>0</v>
      </c>
      <c r="AE72" s="32">
        <f>IF($X72=0,0,$X72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72+$Z72)/2,0),Reference!$A$17:$B$20,2,TRUE()))</f>
        <v>6</v>
      </c>
      <c r="AF72" s="32">
        <f>IF(OR($A72="",$U72="",$T72="No Throw"),0,$AM72*VLOOKUP(MAX(($V72+$W72)/2,0),Reference!$A$17:$B$20,2,TRUE()))</f>
        <v>0.8828571428571429</v>
      </c>
      <c r="AG72" s="32">
        <f>IF($AC72=0,0,$AC72*INDEX(Reference!$B$61:$B$62,MATCH("Bullpen",Reference!$A$61:$A$62,0))*VLOOKUP(MAX($D$5-($D$9+$E$9)/2,0),Reference!$A$17:$B$20,2,TRUE()))</f>
        <v>0</v>
      </c>
      <c r="AH72" s="46">
        <f t="shared" si="27"/>
        <v>1.1952903336970884</v>
      </c>
      <c r="AI72" s="32">
        <f>IF($A72="",NA(),Reference!$A$25)</f>
        <v>0.8</v>
      </c>
      <c r="AJ72" s="32">
        <f t="shared" si="28"/>
        <v>1.3</v>
      </c>
      <c r="AK72" s="56">
        <f>IF(OR($A72="",N($C72)&lt;=7,$T72="No Throw",$J72="x"),0,INDEX(Reference!$B$108:$B$114,$N72+1))</f>
        <v>0.27</v>
      </c>
      <c r="AL72" s="32">
        <f t="shared" si="29"/>
        <v>2</v>
      </c>
      <c r="AM72" s="32">
        <f>IF($U72="",0,IF($AL72&gt;1,((IF(1&lt;=$AL72,($AL72-1+3)*(INDEX(Reference!$B$6:$B$11,MIN(5,MATCH(MAX(Reference!$A$6,MIN(Reference!$A$11,MIN($U72,90))),Reference!$A$6:$A$11,1)))+(MAX(Reference!$A$6,MIN(Reference!$A$11,MIN($U72,90)))-INDEX(Reference!$A$6:$A$11,MIN(5,MATCH(MAX(Reference!$A$6,MIN(Reference!$A$11,MIN($U72,90))),Reference!$A$6:$A$11,1))))*(INDEX(Reference!$B$6:$B$11,MIN(5,MATCH(MAX(Reference!$A$6,MIN(Reference!$A$11,MIN($U72,90))),Reference!$A$6:$A$11,1))+1)-INDEX(Reference!$B$6:$B$11,MIN(5,MATCH(MAX(Reference!$A$6,MIN(Reference!$A$11,MIN($U72,90))),Reference!$A$6:$A$11,1))))/(INDEX(Reference!$A$6:$A$11,MIN(5,MATCH(MAX(Reference!$A$6,MIN(Reference!$A$11,MIN($U72,90))),Reference!$A$6:$A$11,1))+1)-INDEX(Reference!$A$6:$A$11,MIN(5,MATCH(MAX(Reference!$A$6,MIN(Reference!$A$11,MIN($U72,90))),Reference!$A$6:$A$11,1))))),0)+IF(2&lt;=$AL72,($AL72-2+3)*(INDEX(Reference!$B$6:$B$11,MIN(5,MATCH(MAX(Reference!$A$6,MIN(Reference!$A$11,MIN($U72,120))),Reference!$A$6:$A$11,1)))+(MAX(Reference!$A$6,MIN(Reference!$A$11,MIN($U72,120)))-INDEX(Reference!$A$6:$A$11,MIN(5,MATCH(MAX(Reference!$A$6,MIN(Reference!$A$11,MIN($U72,120))),Reference!$A$6:$A$11,1))))*(INDEX(Reference!$B$6:$B$11,MIN(5,MATCH(MAX(Reference!$A$6,MIN(Reference!$A$11,MIN($U72,120))),Reference!$A$6:$A$11,1))+1)-INDEX(Reference!$B$6:$B$11,MIN(5,MATCH(MAX(Reference!$A$6,MIN(Reference!$A$11,MIN($U72,120))),Reference!$A$6:$A$11,1))))/(INDEX(Reference!$A$6:$A$11,MIN(5,MATCH(MAX(Reference!$A$6,MIN(Reference!$A$11,MIN($U72,120))),Reference!$A$6:$A$11,1))+1)-INDEX(Reference!$A$6:$A$11,MIN(5,MATCH(MAX(Reference!$A$6,MIN(Reference!$A$11,MIN($U72,120))),Reference!$A$6:$A$11,1))))),0)+IF(3&lt;=$AL72,($AL72-3+3)*(INDEX(Reference!$B$6:$B$11,MIN(5,MATCH(MAX(Reference!$A$6,MIN(Reference!$A$11,MIN($U72,150))),Reference!$A$6:$A$11,1)))+(MAX(Reference!$A$6,MIN(Reference!$A$11,MIN($U72,150)))-INDEX(Reference!$A$6:$A$11,MIN(5,MATCH(MAX(Reference!$A$6,MIN(Reference!$A$11,MIN($U72,150))),Reference!$A$6:$A$11,1))))*(INDEX(Reference!$B$6:$B$11,MIN(5,MATCH(MAX(Reference!$A$6,MIN(Reference!$A$11,MIN($U72,150))),Reference!$A$6:$A$11,1))+1)-INDEX(Reference!$B$6:$B$11,MIN(5,MATCH(MAX(Reference!$A$6,MIN(Reference!$A$11,MIN($U72,150))),Reference!$A$6:$A$11,1))))/(INDEX(Reference!$A$6:$A$11,MIN(5,MATCH(MAX(Reference!$A$6,MIN(Reference!$A$11,MIN($U72,150))),Reference!$A$6:$A$11,1))+1)-INDEX(Reference!$A$6:$A$11,MIN(5,MATCH(MAX(Reference!$A$6,MIN(Reference!$A$11,MIN($U72,150))),Reference!$A$6:$A$11,1))))),0)+IF(4&lt;=$AL72,($AL72-4+3)*(INDEX(Reference!$B$6:$B$11,MIN(5,MATCH(MAX(Reference!$A$6,MIN(Reference!$A$11,MIN($U72,180))),Reference!$A$6:$A$11,1)))+(MAX(Reference!$A$6,MIN(Reference!$A$11,MIN($U72,180)))-INDEX(Reference!$A$6:$A$11,MIN(5,MATCH(MAX(Reference!$A$6,MIN(Reference!$A$11,MIN($U72,180))),Reference!$A$6:$A$11,1))))*(INDEX(Reference!$B$6:$B$11,MIN(5,MATCH(MAX(Reference!$A$6,MIN(Reference!$A$11,MIN($U72,180))),Reference!$A$6:$A$11,1))+1)-INDEX(Reference!$B$6:$B$11,MIN(5,MATCH(MAX(Reference!$A$6,MIN(Reference!$A$11,MIN($U72,180))),Reference!$A$6:$A$11,1))))/(INDEX(Reference!$A$6:$A$11,MIN(5,MATCH(MAX(Reference!$A$6,MIN(Reference!$A$11,MIN($U72,180))),Reference!$A$6:$A$11,1))+1)-INDEX(Reference!$A$6:$A$11,MIN(5,MATCH(MAX(Reference!$A$6,MIN(Reference!$A$11,MIN($U72,180))),Reference!$A$6:$A$11,1))))),0)+IF(5&lt;=$AL72,($AL72-5+3)*(INDEX(Reference!$B$6:$B$11,MIN(5,MATCH(MAX(Reference!$A$6,MIN(Reference!$A$11,MIN($U72,210))),Reference!$A$6:$A$11,1)))+(MAX(Reference!$A$6,MIN(Reference!$A$11,MIN($U72,210)))-INDEX(Reference!$A$6:$A$11,MIN(5,MATCH(MAX(Reference!$A$6,MIN(Reference!$A$11,MIN($U72,210))),Reference!$A$6:$A$11,1))))*(INDEX(Reference!$B$6:$B$11,MIN(5,MATCH(MAX(Reference!$A$6,MIN(Reference!$A$11,MIN($U72,210))),Reference!$A$6:$A$11,1))+1)-INDEX(Reference!$B$6:$B$11,MIN(5,MATCH(MAX(Reference!$A$6,MIN(Reference!$A$11,MIN($U72,210))),Reference!$A$6:$A$11,1))))/(INDEX(Reference!$A$6:$A$11,MIN(5,MATCH(MAX(Reference!$A$6,MIN(Reference!$A$11,MIN($U72,210))),Reference!$A$6:$A$11,1))+1)-INDEX(Reference!$A$6:$A$11,MIN(5,MATCH(MAX(Reference!$A$6,MIN(Reference!$A$11,MIN($U72,210))),Reference!$A$6:$A$11,1))))),0)+IF(6&lt;=$AL72,($AL72-6+3)*(INDEX(Reference!$B$6:$B$11,MIN(5,MATCH(MAX(Reference!$A$6,MIN(Reference!$A$11,MIN($U72,240))),Reference!$A$6:$A$11,1)))+(MAX(Reference!$A$6,MIN(Reference!$A$11,MIN($U72,240)))-INDEX(Reference!$A$6:$A$11,MIN(5,MATCH(MAX(Reference!$A$6,MIN(Reference!$A$11,MIN($U72,240))),Reference!$A$6:$A$11,1))))*(INDEX(Reference!$B$6:$B$11,MIN(5,MATCH(MAX(Reference!$A$6,MIN(Reference!$A$11,MIN($U72,240))),Reference!$A$6:$A$11,1))+1)-INDEX(Reference!$B$6:$B$11,MIN(5,MATCH(MAX(Reference!$A$6,MIN(Reference!$A$11,MIN($U72,240))),Reference!$A$6:$A$11,1))))/(INDEX(Reference!$A$6:$A$11,MIN(5,MATCH(MAX(Reference!$A$6,MIN(Reference!$A$11,MIN($U72,240))),Reference!$A$6:$A$11,1))+1)-INDEX(Reference!$A$6:$A$11,MIN(5,MATCH(MAX(Reference!$A$6,MIN(Reference!$A$11,MIN($U72,240))),Reference!$A$6:$A$11,1))))),0)+IF(7&lt;=$AL72,($AL72-7+3)*(INDEX(Reference!$B$6:$B$11,MIN(5,MATCH(MAX(Reference!$A$6,MIN(Reference!$A$11,MIN($U72,270))),Reference!$A$6:$A$11,1)))+(MAX(Reference!$A$6,MIN(Reference!$A$11,MIN($U72,270)))-INDEX(Reference!$A$6:$A$11,MIN(5,MATCH(MAX(Reference!$A$6,MIN(Reference!$A$11,MIN($U72,270))),Reference!$A$6:$A$11,1))))*(INDEX(Reference!$B$6:$B$11,MIN(5,MATCH(MAX(Reference!$A$6,MIN(Reference!$A$11,MIN($U72,270))),Reference!$A$6:$A$11,1))+1)-INDEX(Reference!$B$6:$B$11,MIN(5,MATCH(MAX(Reference!$A$6,MIN(Reference!$A$11,MIN($U72,270))),Reference!$A$6:$A$11,1))))/(INDEX(Reference!$A$6:$A$11,MIN(5,MATCH(MAX(Reference!$A$6,MIN(Reference!$A$11,MIN($U72,270))),Reference!$A$6:$A$11,1))+1)-INDEX(Reference!$A$6:$A$11,MIN(5,MATCH(MAX(Reference!$A$6,MIN(Reference!$A$11,MIN($U72,270))),Reference!$A$6:$A$11,1))))),0)+IF(8&lt;=$AL72,($AL72-8+3)*(INDEX(Reference!$B$6:$B$11,MIN(5,MATCH(MAX(Reference!$A$6,MIN(Reference!$A$11,MIN($U72,300))),Reference!$A$6:$A$11,1)))+(MAX(Reference!$A$6,MIN(Reference!$A$11,MIN($U72,300)))-INDEX(Reference!$A$6:$A$11,MIN(5,MATCH(MAX(Reference!$A$6,MIN(Reference!$A$11,MIN($U72,300))),Reference!$A$6:$A$11,1))))*(INDEX(Reference!$B$6:$B$11,MIN(5,MATCH(MAX(Reference!$A$6,MIN(Reference!$A$11,MIN($U72,300))),Reference!$A$6:$A$11,1))+1)-INDEX(Reference!$B$6:$B$11,MIN(5,MATCH(MAX(Reference!$A$6,MIN(Reference!$A$11,MIN($U72,300))),Reference!$A$6:$A$11,1))))/(INDEX(Reference!$A$6:$A$11,MIN(5,MATCH(MAX(Reference!$A$6,MIN(Reference!$A$11,MIN($U72,300))),Reference!$A$6:$A$11,1))+1)-INDEX(Reference!$A$6:$A$11,MIN(5,MATCH(MAX(Reference!$A$6,MIN(Reference!$A$11,MIN($U72,300))),Reference!$A$6:$A$11,1))))),0))/($AL72*($AL72+5)/2)),$AN72))</f>
        <v>1.4714285714285715</v>
      </c>
      <c r="AN72" s="32">
        <f>IF($U72="",0,(INDEX(Reference!$B$6:$B$11,MIN(5,MATCH(MAX(Reference!$A$6,MIN(Reference!$A$11,$U72)),Reference!$A$6:$A$11,1)))+(MAX(Reference!$A$6,MIN(Reference!$A$11,$U72))-INDEX(Reference!$A$6:$A$11,MIN(5,MATCH(MAX(Reference!$A$6,MIN(Reference!$A$11,$U72)),Reference!$A$6:$A$11,1))))*(INDEX(Reference!$B$6:$B$11,MIN(5,MATCH(MAX(Reference!$A$6,MIN(Reference!$A$11,$U72)),Reference!$A$6:$A$11,1))+1)-INDEX(Reference!$B$6:$B$11,MIN(5,MATCH(MAX(Reference!$A$6,MIN(Reference!$A$11,$U72)),Reference!$A$6:$A$11,1))))/(INDEX(Reference!$A$6:$A$11,MIN(5,MATCH(MAX(Reference!$A$6,MIN(Reference!$A$11,$U72)),Reference!$A$6:$A$11,1))+1)-INDEX(Reference!$A$6:$A$11,MIN(5,MATCH(MAX(Reference!$A$6,MIN(Reference!$A$11,$U72)),Reference!$A$6:$A$11,1))))))</f>
        <v>1.7</v>
      </c>
      <c r="AO72" s="37"/>
      <c r="AP72" s="37"/>
      <c r="AQ72" s="37"/>
    </row>
    <row r="73" spans="1:43" x14ac:dyDescent="0.3">
      <c r="A73" s="48">
        <f t="shared" si="5"/>
        <v>46337</v>
      </c>
      <c r="B73" s="32" t="str">
        <f t="shared" si="6"/>
        <v>Wed</v>
      </c>
      <c r="C73" s="32">
        <f t="shared" si="7"/>
        <v>54</v>
      </c>
      <c r="D73" s="32" t="str">
        <f t="shared" si="8"/>
        <v>Base</v>
      </c>
      <c r="E73" s="32" t="str">
        <f t="shared" si="9"/>
        <v>No Throw</v>
      </c>
      <c r="F73" s="32" t="str">
        <f t="shared" si="10"/>
        <v>No Throw</v>
      </c>
      <c r="G73" s="47" t="str">
        <f t="shared" si="11"/>
        <v>Off</v>
      </c>
      <c r="H73" s="30">
        <f t="shared" si="12"/>
        <v>0</v>
      </c>
      <c r="I73" s="46">
        <f>IF($A73="","",IF(AND($L73&lt;27,$K$12=0),"Building",IFERROR(((SUM($H$67:$H73)+$K$12*IF($L73&lt;6,SUMIFS('Throw Log'!$Q$5:$Q$300,'Throw Log'!$B$5:$B$300,$D$4,'Throw Log'!$A$5:$A$300,"&gt;="&amp;($D$6+$L73-6),'Throw Log'!$A$5:$A$300,"&lt;="&amp;($D$6-1)),0))/7)/((SUM($H$46:$H73)+$K$12*IF($L73&lt;27,SUMIFS('Throw Log'!$Q$5:$Q$300,'Throw Log'!$B$5:$B$300,$D$4,'Throw Log'!$A$5:$A$300,"&gt;="&amp;($D$6+$L73-27),'Throw Log'!$A$5:$A$300,"&lt;="&amp;($D$6-1)),0))/28),"")))</f>
        <v>1.1952903336970884</v>
      </c>
      <c r="J73" s="37"/>
      <c r="K73" s="37"/>
      <c r="L73" s="32">
        <v>30</v>
      </c>
      <c r="M73" s="32">
        <f t="shared" si="13"/>
        <v>5</v>
      </c>
      <c r="N73" s="32">
        <f t="shared" si="14"/>
        <v>2</v>
      </c>
      <c r="O73" s="32">
        <f t="shared" si="15"/>
        <v>0.39473684210526316</v>
      </c>
      <c r="P73" s="32">
        <f>IF(OR($A73="",N($C73)&lt;=7),"",$G$6*$G$9^($M73-1)*IF(AND(MOD($M73,Reference!$B$99)=0,$M73&lt;=$G$5-2),Reference!$B$100,1))</f>
        <v>128.18680745325557</v>
      </c>
      <c r="Q73" s="32">
        <f>IF($P73="","",IF(SUM($AK$71:$AK$77)=0,0,$P73*INDEX(Reference!$B$108:$B$114,$N73+1)/SUM($AK$71:$AK$77)))</f>
        <v>0</v>
      </c>
      <c r="R73" s="32">
        <f t="shared" si="16"/>
        <v>120</v>
      </c>
      <c r="S73" s="32">
        <f t="shared" si="17"/>
        <v>105</v>
      </c>
      <c r="T73" s="32" t="str">
        <f>IF($A73="","",IF($C73=0,"Bullpen",IF(OR($C73=7,$C73=1,$C73=5),"Recovery/Easy Catch",IF($C73=6,"Compression/Pulldowns",IF(OR($C73=4,$C73=2),"Long Toss",IF($C73=3,"No Throw",IF($N73=2,"No Throw",IF($N73=6,IF($O73&lt;Reference!$B$104,"No Throw","Recovery/Easy Catch"),IF(OR($N73=0,$N73=4),"Recovery/Easy Catch",IF($N73=1,IF($R73&gt;75,"Long Toss","Recovery/Easy Catch"),IF($N73=3,IF($O73&lt;0.5,IF($S73&gt;75,"Long Toss","Recovery/Easy Catch"),"Compression/Pulldowns"),IF($S73&gt;75,"Long Toss","Recovery/Easy Catch"))))))))))))</f>
        <v>No Throw</v>
      </c>
      <c r="U73" s="32" t="str">
        <f t="shared" si="18"/>
        <v/>
      </c>
      <c r="V73" s="32" t="str">
        <f t="shared" si="19"/>
        <v/>
      </c>
      <c r="W73" s="32" t="str">
        <f t="shared" si="20"/>
        <v/>
      </c>
      <c r="X73" s="32">
        <f t="shared" si="21"/>
        <v>0</v>
      </c>
      <c r="Y73" s="32" t="str">
        <f t="shared" si="22"/>
        <v/>
      </c>
      <c r="Z73" s="32" t="str">
        <f t="shared" si="23"/>
        <v/>
      </c>
      <c r="AA73" s="32" t="str">
        <f t="shared" si="24"/>
        <v/>
      </c>
      <c r="AB73" s="32">
        <f>IF($A73="","",IF($T73="No Throw",0,IF($K73&lt;&gt;"",$K73,IF($AA73&lt;&gt;"",ROUND($AA73*$D$12*IF($C73=0,1,$G$10),0),MIN(IF($T73="Recovery/Easy Catch",Reference!$B$103,IF($T73="Long Toss",Reference!$B$106,Reference!$B$102)),MAX(Reference!$B$101,ROUND(MAX(0,$Q73-$AE73)/$AF73,0)))))))</f>
        <v>0</v>
      </c>
      <c r="AC73" s="32">
        <f t="shared" si="25"/>
        <v>0</v>
      </c>
      <c r="AD73" s="32" t="b">
        <f t="shared" si="26"/>
        <v>1</v>
      </c>
      <c r="AE73" s="32">
        <f>IF($X73=0,0,$X73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73+$Z73)/2,0),Reference!$A$17:$B$20,2,TRUE()))</f>
        <v>0</v>
      </c>
      <c r="AF73" s="32">
        <f>IF(OR($A73="",$U73="",$T73="No Throw"),0,$AM73*VLOOKUP(MAX(($V73+$W73)/2,0),Reference!$A$17:$B$20,2,TRUE()))</f>
        <v>0</v>
      </c>
      <c r="AG73" s="32">
        <f>IF($AC73=0,0,$AC73*INDEX(Reference!$B$61:$B$62,MATCH("Bullpen",Reference!$A$61:$A$62,0))*VLOOKUP(MAX($D$5-($D$9+$E$9)/2,0),Reference!$A$17:$B$20,2,TRUE()))</f>
        <v>0</v>
      </c>
      <c r="AH73" s="46">
        <f t="shared" si="27"/>
        <v>1.1952903336970884</v>
      </c>
      <c r="AI73" s="32">
        <f>IF($A73="",NA(),Reference!$A$25)</f>
        <v>0.8</v>
      </c>
      <c r="AJ73" s="32">
        <f t="shared" si="28"/>
        <v>1.3</v>
      </c>
      <c r="AK73" s="32">
        <f>IF(OR($A73="",N($C73)&lt;=7,$T73="No Throw",$J73="x"),0,INDEX(Reference!$B$108:$B$114,$N73+1))</f>
        <v>0</v>
      </c>
      <c r="AL73" s="32">
        <f t="shared" si="29"/>
        <v>1</v>
      </c>
      <c r="AM73" s="32">
        <f>IF($U73="",0,IF($AL73&gt;1,((IF(1&lt;=$AL73,($AL73-1+3)*(INDEX(Reference!$B$6:$B$11,MIN(5,MATCH(MAX(Reference!$A$6,MIN(Reference!$A$11,MIN($U73,90))),Reference!$A$6:$A$11,1)))+(MAX(Reference!$A$6,MIN(Reference!$A$11,MIN($U73,90)))-INDEX(Reference!$A$6:$A$11,MIN(5,MATCH(MAX(Reference!$A$6,MIN(Reference!$A$11,MIN($U73,90))),Reference!$A$6:$A$11,1))))*(INDEX(Reference!$B$6:$B$11,MIN(5,MATCH(MAX(Reference!$A$6,MIN(Reference!$A$11,MIN($U73,90))),Reference!$A$6:$A$11,1))+1)-INDEX(Reference!$B$6:$B$11,MIN(5,MATCH(MAX(Reference!$A$6,MIN(Reference!$A$11,MIN($U73,90))),Reference!$A$6:$A$11,1))))/(INDEX(Reference!$A$6:$A$11,MIN(5,MATCH(MAX(Reference!$A$6,MIN(Reference!$A$11,MIN($U73,90))),Reference!$A$6:$A$11,1))+1)-INDEX(Reference!$A$6:$A$11,MIN(5,MATCH(MAX(Reference!$A$6,MIN(Reference!$A$11,MIN($U73,90))),Reference!$A$6:$A$11,1))))),0)+IF(2&lt;=$AL73,($AL73-2+3)*(INDEX(Reference!$B$6:$B$11,MIN(5,MATCH(MAX(Reference!$A$6,MIN(Reference!$A$11,MIN($U73,120))),Reference!$A$6:$A$11,1)))+(MAX(Reference!$A$6,MIN(Reference!$A$11,MIN($U73,120)))-INDEX(Reference!$A$6:$A$11,MIN(5,MATCH(MAX(Reference!$A$6,MIN(Reference!$A$11,MIN($U73,120))),Reference!$A$6:$A$11,1))))*(INDEX(Reference!$B$6:$B$11,MIN(5,MATCH(MAX(Reference!$A$6,MIN(Reference!$A$11,MIN($U73,120))),Reference!$A$6:$A$11,1))+1)-INDEX(Reference!$B$6:$B$11,MIN(5,MATCH(MAX(Reference!$A$6,MIN(Reference!$A$11,MIN($U73,120))),Reference!$A$6:$A$11,1))))/(INDEX(Reference!$A$6:$A$11,MIN(5,MATCH(MAX(Reference!$A$6,MIN(Reference!$A$11,MIN($U73,120))),Reference!$A$6:$A$11,1))+1)-INDEX(Reference!$A$6:$A$11,MIN(5,MATCH(MAX(Reference!$A$6,MIN(Reference!$A$11,MIN($U73,120))),Reference!$A$6:$A$11,1))))),0)+IF(3&lt;=$AL73,($AL73-3+3)*(INDEX(Reference!$B$6:$B$11,MIN(5,MATCH(MAX(Reference!$A$6,MIN(Reference!$A$11,MIN($U73,150))),Reference!$A$6:$A$11,1)))+(MAX(Reference!$A$6,MIN(Reference!$A$11,MIN($U73,150)))-INDEX(Reference!$A$6:$A$11,MIN(5,MATCH(MAX(Reference!$A$6,MIN(Reference!$A$11,MIN($U73,150))),Reference!$A$6:$A$11,1))))*(INDEX(Reference!$B$6:$B$11,MIN(5,MATCH(MAX(Reference!$A$6,MIN(Reference!$A$11,MIN($U73,150))),Reference!$A$6:$A$11,1))+1)-INDEX(Reference!$B$6:$B$11,MIN(5,MATCH(MAX(Reference!$A$6,MIN(Reference!$A$11,MIN($U73,150))),Reference!$A$6:$A$11,1))))/(INDEX(Reference!$A$6:$A$11,MIN(5,MATCH(MAX(Reference!$A$6,MIN(Reference!$A$11,MIN($U73,150))),Reference!$A$6:$A$11,1))+1)-INDEX(Reference!$A$6:$A$11,MIN(5,MATCH(MAX(Reference!$A$6,MIN(Reference!$A$11,MIN($U73,150))),Reference!$A$6:$A$11,1))))),0)+IF(4&lt;=$AL73,($AL73-4+3)*(INDEX(Reference!$B$6:$B$11,MIN(5,MATCH(MAX(Reference!$A$6,MIN(Reference!$A$11,MIN($U73,180))),Reference!$A$6:$A$11,1)))+(MAX(Reference!$A$6,MIN(Reference!$A$11,MIN($U73,180)))-INDEX(Reference!$A$6:$A$11,MIN(5,MATCH(MAX(Reference!$A$6,MIN(Reference!$A$11,MIN($U73,180))),Reference!$A$6:$A$11,1))))*(INDEX(Reference!$B$6:$B$11,MIN(5,MATCH(MAX(Reference!$A$6,MIN(Reference!$A$11,MIN($U73,180))),Reference!$A$6:$A$11,1))+1)-INDEX(Reference!$B$6:$B$11,MIN(5,MATCH(MAX(Reference!$A$6,MIN(Reference!$A$11,MIN($U73,180))),Reference!$A$6:$A$11,1))))/(INDEX(Reference!$A$6:$A$11,MIN(5,MATCH(MAX(Reference!$A$6,MIN(Reference!$A$11,MIN($U73,180))),Reference!$A$6:$A$11,1))+1)-INDEX(Reference!$A$6:$A$11,MIN(5,MATCH(MAX(Reference!$A$6,MIN(Reference!$A$11,MIN($U73,180))),Reference!$A$6:$A$11,1))))),0)+IF(5&lt;=$AL73,($AL73-5+3)*(INDEX(Reference!$B$6:$B$11,MIN(5,MATCH(MAX(Reference!$A$6,MIN(Reference!$A$11,MIN($U73,210))),Reference!$A$6:$A$11,1)))+(MAX(Reference!$A$6,MIN(Reference!$A$11,MIN($U73,210)))-INDEX(Reference!$A$6:$A$11,MIN(5,MATCH(MAX(Reference!$A$6,MIN(Reference!$A$11,MIN($U73,210))),Reference!$A$6:$A$11,1))))*(INDEX(Reference!$B$6:$B$11,MIN(5,MATCH(MAX(Reference!$A$6,MIN(Reference!$A$11,MIN($U73,210))),Reference!$A$6:$A$11,1))+1)-INDEX(Reference!$B$6:$B$11,MIN(5,MATCH(MAX(Reference!$A$6,MIN(Reference!$A$11,MIN($U73,210))),Reference!$A$6:$A$11,1))))/(INDEX(Reference!$A$6:$A$11,MIN(5,MATCH(MAX(Reference!$A$6,MIN(Reference!$A$11,MIN($U73,210))),Reference!$A$6:$A$11,1))+1)-INDEX(Reference!$A$6:$A$11,MIN(5,MATCH(MAX(Reference!$A$6,MIN(Reference!$A$11,MIN($U73,210))),Reference!$A$6:$A$11,1))))),0)+IF(6&lt;=$AL73,($AL73-6+3)*(INDEX(Reference!$B$6:$B$11,MIN(5,MATCH(MAX(Reference!$A$6,MIN(Reference!$A$11,MIN($U73,240))),Reference!$A$6:$A$11,1)))+(MAX(Reference!$A$6,MIN(Reference!$A$11,MIN($U73,240)))-INDEX(Reference!$A$6:$A$11,MIN(5,MATCH(MAX(Reference!$A$6,MIN(Reference!$A$11,MIN($U73,240))),Reference!$A$6:$A$11,1))))*(INDEX(Reference!$B$6:$B$11,MIN(5,MATCH(MAX(Reference!$A$6,MIN(Reference!$A$11,MIN($U73,240))),Reference!$A$6:$A$11,1))+1)-INDEX(Reference!$B$6:$B$11,MIN(5,MATCH(MAX(Reference!$A$6,MIN(Reference!$A$11,MIN($U73,240))),Reference!$A$6:$A$11,1))))/(INDEX(Reference!$A$6:$A$11,MIN(5,MATCH(MAX(Reference!$A$6,MIN(Reference!$A$11,MIN($U73,240))),Reference!$A$6:$A$11,1))+1)-INDEX(Reference!$A$6:$A$11,MIN(5,MATCH(MAX(Reference!$A$6,MIN(Reference!$A$11,MIN($U73,240))),Reference!$A$6:$A$11,1))))),0)+IF(7&lt;=$AL73,($AL73-7+3)*(INDEX(Reference!$B$6:$B$11,MIN(5,MATCH(MAX(Reference!$A$6,MIN(Reference!$A$11,MIN($U73,270))),Reference!$A$6:$A$11,1)))+(MAX(Reference!$A$6,MIN(Reference!$A$11,MIN($U73,270)))-INDEX(Reference!$A$6:$A$11,MIN(5,MATCH(MAX(Reference!$A$6,MIN(Reference!$A$11,MIN($U73,270))),Reference!$A$6:$A$11,1))))*(INDEX(Reference!$B$6:$B$11,MIN(5,MATCH(MAX(Reference!$A$6,MIN(Reference!$A$11,MIN($U73,270))),Reference!$A$6:$A$11,1))+1)-INDEX(Reference!$B$6:$B$11,MIN(5,MATCH(MAX(Reference!$A$6,MIN(Reference!$A$11,MIN($U73,270))),Reference!$A$6:$A$11,1))))/(INDEX(Reference!$A$6:$A$11,MIN(5,MATCH(MAX(Reference!$A$6,MIN(Reference!$A$11,MIN($U73,270))),Reference!$A$6:$A$11,1))+1)-INDEX(Reference!$A$6:$A$11,MIN(5,MATCH(MAX(Reference!$A$6,MIN(Reference!$A$11,MIN($U73,270))),Reference!$A$6:$A$11,1))))),0)+IF(8&lt;=$AL73,($AL73-8+3)*(INDEX(Reference!$B$6:$B$11,MIN(5,MATCH(MAX(Reference!$A$6,MIN(Reference!$A$11,MIN($U73,300))),Reference!$A$6:$A$11,1)))+(MAX(Reference!$A$6,MIN(Reference!$A$11,MIN($U73,300)))-INDEX(Reference!$A$6:$A$11,MIN(5,MATCH(MAX(Reference!$A$6,MIN(Reference!$A$11,MIN($U73,300))),Reference!$A$6:$A$11,1))))*(INDEX(Reference!$B$6:$B$11,MIN(5,MATCH(MAX(Reference!$A$6,MIN(Reference!$A$11,MIN($U73,300))),Reference!$A$6:$A$11,1))+1)-INDEX(Reference!$B$6:$B$11,MIN(5,MATCH(MAX(Reference!$A$6,MIN(Reference!$A$11,MIN($U73,300))),Reference!$A$6:$A$11,1))))/(INDEX(Reference!$A$6:$A$11,MIN(5,MATCH(MAX(Reference!$A$6,MIN(Reference!$A$11,MIN($U73,300))),Reference!$A$6:$A$11,1))+1)-INDEX(Reference!$A$6:$A$11,MIN(5,MATCH(MAX(Reference!$A$6,MIN(Reference!$A$11,MIN($U73,300))),Reference!$A$6:$A$11,1))))),0))/($AL73*($AL73+5)/2)),$AN73))</f>
        <v>0</v>
      </c>
      <c r="AN73" s="32">
        <f>IF($U73="",0,(INDEX(Reference!$B$6:$B$11,MIN(5,MATCH(MAX(Reference!$A$6,MIN(Reference!$A$11,$U73)),Reference!$A$6:$A$11,1)))+(MAX(Reference!$A$6,MIN(Reference!$A$11,$U73))-INDEX(Reference!$A$6:$A$11,MIN(5,MATCH(MAX(Reference!$A$6,MIN(Reference!$A$11,$U73)),Reference!$A$6:$A$11,1))))*(INDEX(Reference!$B$6:$B$11,MIN(5,MATCH(MAX(Reference!$A$6,MIN(Reference!$A$11,$U73)),Reference!$A$6:$A$11,1))+1)-INDEX(Reference!$B$6:$B$11,MIN(5,MATCH(MAX(Reference!$A$6,MIN(Reference!$A$11,$U73)),Reference!$A$6:$A$11,1))))/(INDEX(Reference!$A$6:$A$11,MIN(5,MATCH(MAX(Reference!$A$6,MIN(Reference!$A$11,$U73)),Reference!$A$6:$A$11,1))+1)-INDEX(Reference!$A$6:$A$11,MIN(5,MATCH(MAX(Reference!$A$6,MIN(Reference!$A$11,$U73)),Reference!$A$6:$A$11,1))))))</f>
        <v>0</v>
      </c>
      <c r="AO73" s="37"/>
      <c r="AP73" s="37"/>
      <c r="AQ73" s="37"/>
    </row>
    <row r="74" spans="1:43" ht="26.4" x14ac:dyDescent="0.3">
      <c r="A74" s="48">
        <f t="shared" si="5"/>
        <v>46338</v>
      </c>
      <c r="B74" s="32" t="str">
        <f t="shared" si="6"/>
        <v>Thu</v>
      </c>
      <c r="C74" s="32">
        <f t="shared" si="7"/>
        <v>53</v>
      </c>
      <c r="D74" s="32" t="str">
        <f t="shared" si="8"/>
        <v>Base</v>
      </c>
      <c r="E74" s="32" t="str">
        <f t="shared" si="9"/>
        <v>Medium</v>
      </c>
      <c r="F74" s="32" t="str">
        <f t="shared" si="10"/>
        <v>Long Toss</v>
      </c>
      <c r="G74" s="47" t="str">
        <f t="shared" si="11"/>
        <v>Long toss out to 105 ft — 25 throws (90×14 · 105×11) @ 75–78 mph + 60 ft × 10 @ 73–77 mph</v>
      </c>
      <c r="H74" s="30">
        <f t="shared" si="12"/>
        <v>26.785714285714285</v>
      </c>
      <c r="I74" s="46">
        <f>IF($A74="","",IF(AND($L74&lt;27,$K$12=0),"Building",IFERROR(((SUM($H$68:$H74)+$K$12*IF($L74&lt;6,SUMIFS('Throw Log'!$Q$5:$Q$300,'Throw Log'!$B$5:$B$300,$D$4,'Throw Log'!$A$5:$A$300,"&gt;="&amp;($D$6+$L74-6),'Throw Log'!$A$5:$A$300,"&lt;="&amp;($D$6-1)),0))/7)/((SUM($H$47:$H74)+$K$12*IF($L74&lt;27,SUMIFS('Throw Log'!$Q$5:$Q$300,'Throw Log'!$B$5:$B$300,$D$4,'Throw Log'!$A$5:$A$300,"&gt;="&amp;($D$6+$L74-27),'Throw Log'!$A$5:$A$300,"&lt;="&amp;($D$6-1)),0))/28),"")))</f>
        <v>1.1906113907584415</v>
      </c>
      <c r="J74" s="37"/>
      <c r="K74" s="37">
        <v>25</v>
      </c>
      <c r="L74" s="32">
        <v>31</v>
      </c>
      <c r="M74" s="32">
        <f t="shared" si="13"/>
        <v>5</v>
      </c>
      <c r="N74" s="32">
        <f t="shared" si="14"/>
        <v>3</v>
      </c>
      <c r="O74" s="32">
        <f t="shared" si="15"/>
        <v>0.40789473684210525</v>
      </c>
      <c r="P74" s="32">
        <f>IF(OR($A74="",N($C74)&lt;=7),"",$G$6*$G$9^($M74-1)*IF(AND(MOD($M74,Reference!$B$99)=0,$M74&lt;=$G$5-2),Reference!$B$100,1))</f>
        <v>128.18680745325557</v>
      </c>
      <c r="Q74" s="32">
        <f>IF($P74="","",IF(SUM($AK$71:$AK$77)=0,0,$P74*INDEX(Reference!$B$108:$B$114,$N74+1)/SUM($AK$71:$AK$77)))</f>
        <v>30.764833788781335</v>
      </c>
      <c r="R74" s="32">
        <f t="shared" si="16"/>
        <v>120</v>
      </c>
      <c r="S74" s="32">
        <f t="shared" si="17"/>
        <v>105</v>
      </c>
      <c r="T74" s="32" t="str">
        <f>IF($A74="","",IF($C74=0,"Bullpen",IF(OR($C74=7,$C74=1,$C74=5),"Recovery/Easy Catch",IF($C74=6,"Compression/Pulldowns",IF(OR($C74=4,$C74=2),"Long Toss",IF($C74=3,"No Throw",IF($N74=2,"No Throw",IF($N74=6,IF($O74&lt;Reference!$B$104,"No Throw","Recovery/Easy Catch"),IF(OR($N74=0,$N74=4),"Recovery/Easy Catch",IF($N74=1,IF($R74&gt;75,"Long Toss","Recovery/Easy Catch"),IF($N74=3,IF($O74&lt;0.5,IF($S74&gt;75,"Long Toss","Recovery/Easy Catch"),"Compression/Pulldowns"),IF($S74&gt;75,"Long Toss","Recovery/Easy Catch"))))))))))))</f>
        <v>Long Toss</v>
      </c>
      <c r="U74" s="32">
        <f t="shared" si="18"/>
        <v>105</v>
      </c>
      <c r="V74" s="32">
        <f t="shared" si="19"/>
        <v>13</v>
      </c>
      <c r="W74" s="32">
        <f t="shared" si="20"/>
        <v>16</v>
      </c>
      <c r="X74" s="32">
        <f t="shared" si="21"/>
        <v>10</v>
      </c>
      <c r="Y74" s="32">
        <f t="shared" si="22"/>
        <v>14</v>
      </c>
      <c r="Z74" s="32">
        <f t="shared" si="23"/>
        <v>18</v>
      </c>
      <c r="AA74" s="32" t="str">
        <f t="shared" si="24"/>
        <v/>
      </c>
      <c r="AB74" s="32">
        <f>IF($A74="","",IF($T74="No Throw",0,IF($K74&lt;&gt;"",$K74,IF($AA74&lt;&gt;"",ROUND($AA74*$D$12*IF($C74=0,1,$G$10),0),MIN(IF($T74="Recovery/Easy Catch",Reference!$B$103,IF($T74="Long Toss",Reference!$B$106,Reference!$B$102)),MAX(Reference!$B$101,ROUND(MAX(0,$Q74-$AE74)/$AF74,0)))))))</f>
        <v>25</v>
      </c>
      <c r="AC74" s="32">
        <f t="shared" si="25"/>
        <v>0</v>
      </c>
      <c r="AD74" s="32" t="b">
        <f t="shared" si="26"/>
        <v>0</v>
      </c>
      <c r="AE74" s="32">
        <f>IF($X74=0,0,$X74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74+$Z74)/2,0),Reference!$A$17:$B$20,2,TRUE()))</f>
        <v>6</v>
      </c>
      <c r="AF74" s="32">
        <f>IF(OR($A74="",$U74="",$T74="No Throw"),0,$AM74*VLOOKUP(MAX(($V74+$W74)/2,0),Reference!$A$17:$B$20,2,TRUE()))</f>
        <v>0.83142857142857141</v>
      </c>
      <c r="AG74" s="32">
        <f>IF($AC74=0,0,$AC74*INDEX(Reference!$B$61:$B$62,MATCH("Bullpen",Reference!$A$61:$A$62,0))*VLOOKUP(MAX($D$5-($D$9+$E$9)/2,0),Reference!$A$17:$B$20,2,TRUE()))</f>
        <v>0</v>
      </c>
      <c r="AH74" s="46">
        <f t="shared" si="27"/>
        <v>1.1906113907584415</v>
      </c>
      <c r="AI74" s="32">
        <f>IF($A74="",NA(),Reference!$A$25)</f>
        <v>0.8</v>
      </c>
      <c r="AJ74" s="32">
        <f t="shared" si="28"/>
        <v>1.3</v>
      </c>
      <c r="AK74" s="56">
        <f>IF(OR($A74="",N($C74)&lt;=7,$T74="No Throw",$J74="x"),0,INDEX(Reference!$B$108:$B$114,$N74+1))</f>
        <v>0.24</v>
      </c>
      <c r="AL74" s="32">
        <f t="shared" si="29"/>
        <v>2</v>
      </c>
      <c r="AM74" s="32">
        <f>IF($U74="",0,IF($AL74&gt;1,((IF(1&lt;=$AL74,($AL74-1+3)*(INDEX(Reference!$B$6:$B$11,MIN(5,MATCH(MAX(Reference!$A$6,MIN(Reference!$A$11,MIN($U74,90))),Reference!$A$6:$A$11,1)))+(MAX(Reference!$A$6,MIN(Reference!$A$11,MIN($U74,90)))-INDEX(Reference!$A$6:$A$11,MIN(5,MATCH(MAX(Reference!$A$6,MIN(Reference!$A$11,MIN($U74,90))),Reference!$A$6:$A$11,1))))*(INDEX(Reference!$B$6:$B$11,MIN(5,MATCH(MAX(Reference!$A$6,MIN(Reference!$A$11,MIN($U74,90))),Reference!$A$6:$A$11,1))+1)-INDEX(Reference!$B$6:$B$11,MIN(5,MATCH(MAX(Reference!$A$6,MIN(Reference!$A$11,MIN($U74,90))),Reference!$A$6:$A$11,1))))/(INDEX(Reference!$A$6:$A$11,MIN(5,MATCH(MAX(Reference!$A$6,MIN(Reference!$A$11,MIN($U74,90))),Reference!$A$6:$A$11,1))+1)-INDEX(Reference!$A$6:$A$11,MIN(5,MATCH(MAX(Reference!$A$6,MIN(Reference!$A$11,MIN($U74,90))),Reference!$A$6:$A$11,1))))),0)+IF(2&lt;=$AL74,($AL74-2+3)*(INDEX(Reference!$B$6:$B$11,MIN(5,MATCH(MAX(Reference!$A$6,MIN(Reference!$A$11,MIN($U74,120))),Reference!$A$6:$A$11,1)))+(MAX(Reference!$A$6,MIN(Reference!$A$11,MIN($U74,120)))-INDEX(Reference!$A$6:$A$11,MIN(5,MATCH(MAX(Reference!$A$6,MIN(Reference!$A$11,MIN($U74,120))),Reference!$A$6:$A$11,1))))*(INDEX(Reference!$B$6:$B$11,MIN(5,MATCH(MAX(Reference!$A$6,MIN(Reference!$A$11,MIN($U74,120))),Reference!$A$6:$A$11,1))+1)-INDEX(Reference!$B$6:$B$11,MIN(5,MATCH(MAX(Reference!$A$6,MIN(Reference!$A$11,MIN($U74,120))),Reference!$A$6:$A$11,1))))/(INDEX(Reference!$A$6:$A$11,MIN(5,MATCH(MAX(Reference!$A$6,MIN(Reference!$A$11,MIN($U74,120))),Reference!$A$6:$A$11,1))+1)-INDEX(Reference!$A$6:$A$11,MIN(5,MATCH(MAX(Reference!$A$6,MIN(Reference!$A$11,MIN($U74,120))),Reference!$A$6:$A$11,1))))),0)+IF(3&lt;=$AL74,($AL74-3+3)*(INDEX(Reference!$B$6:$B$11,MIN(5,MATCH(MAX(Reference!$A$6,MIN(Reference!$A$11,MIN($U74,150))),Reference!$A$6:$A$11,1)))+(MAX(Reference!$A$6,MIN(Reference!$A$11,MIN($U74,150)))-INDEX(Reference!$A$6:$A$11,MIN(5,MATCH(MAX(Reference!$A$6,MIN(Reference!$A$11,MIN($U74,150))),Reference!$A$6:$A$11,1))))*(INDEX(Reference!$B$6:$B$11,MIN(5,MATCH(MAX(Reference!$A$6,MIN(Reference!$A$11,MIN($U74,150))),Reference!$A$6:$A$11,1))+1)-INDEX(Reference!$B$6:$B$11,MIN(5,MATCH(MAX(Reference!$A$6,MIN(Reference!$A$11,MIN($U74,150))),Reference!$A$6:$A$11,1))))/(INDEX(Reference!$A$6:$A$11,MIN(5,MATCH(MAX(Reference!$A$6,MIN(Reference!$A$11,MIN($U74,150))),Reference!$A$6:$A$11,1))+1)-INDEX(Reference!$A$6:$A$11,MIN(5,MATCH(MAX(Reference!$A$6,MIN(Reference!$A$11,MIN($U74,150))),Reference!$A$6:$A$11,1))))),0)+IF(4&lt;=$AL74,($AL74-4+3)*(INDEX(Reference!$B$6:$B$11,MIN(5,MATCH(MAX(Reference!$A$6,MIN(Reference!$A$11,MIN($U74,180))),Reference!$A$6:$A$11,1)))+(MAX(Reference!$A$6,MIN(Reference!$A$11,MIN($U74,180)))-INDEX(Reference!$A$6:$A$11,MIN(5,MATCH(MAX(Reference!$A$6,MIN(Reference!$A$11,MIN($U74,180))),Reference!$A$6:$A$11,1))))*(INDEX(Reference!$B$6:$B$11,MIN(5,MATCH(MAX(Reference!$A$6,MIN(Reference!$A$11,MIN($U74,180))),Reference!$A$6:$A$11,1))+1)-INDEX(Reference!$B$6:$B$11,MIN(5,MATCH(MAX(Reference!$A$6,MIN(Reference!$A$11,MIN($U74,180))),Reference!$A$6:$A$11,1))))/(INDEX(Reference!$A$6:$A$11,MIN(5,MATCH(MAX(Reference!$A$6,MIN(Reference!$A$11,MIN($U74,180))),Reference!$A$6:$A$11,1))+1)-INDEX(Reference!$A$6:$A$11,MIN(5,MATCH(MAX(Reference!$A$6,MIN(Reference!$A$11,MIN($U74,180))),Reference!$A$6:$A$11,1))))),0)+IF(5&lt;=$AL74,($AL74-5+3)*(INDEX(Reference!$B$6:$B$11,MIN(5,MATCH(MAX(Reference!$A$6,MIN(Reference!$A$11,MIN($U74,210))),Reference!$A$6:$A$11,1)))+(MAX(Reference!$A$6,MIN(Reference!$A$11,MIN($U74,210)))-INDEX(Reference!$A$6:$A$11,MIN(5,MATCH(MAX(Reference!$A$6,MIN(Reference!$A$11,MIN($U74,210))),Reference!$A$6:$A$11,1))))*(INDEX(Reference!$B$6:$B$11,MIN(5,MATCH(MAX(Reference!$A$6,MIN(Reference!$A$11,MIN($U74,210))),Reference!$A$6:$A$11,1))+1)-INDEX(Reference!$B$6:$B$11,MIN(5,MATCH(MAX(Reference!$A$6,MIN(Reference!$A$11,MIN($U74,210))),Reference!$A$6:$A$11,1))))/(INDEX(Reference!$A$6:$A$11,MIN(5,MATCH(MAX(Reference!$A$6,MIN(Reference!$A$11,MIN($U74,210))),Reference!$A$6:$A$11,1))+1)-INDEX(Reference!$A$6:$A$11,MIN(5,MATCH(MAX(Reference!$A$6,MIN(Reference!$A$11,MIN($U74,210))),Reference!$A$6:$A$11,1))))),0)+IF(6&lt;=$AL74,($AL74-6+3)*(INDEX(Reference!$B$6:$B$11,MIN(5,MATCH(MAX(Reference!$A$6,MIN(Reference!$A$11,MIN($U74,240))),Reference!$A$6:$A$11,1)))+(MAX(Reference!$A$6,MIN(Reference!$A$11,MIN($U74,240)))-INDEX(Reference!$A$6:$A$11,MIN(5,MATCH(MAX(Reference!$A$6,MIN(Reference!$A$11,MIN($U74,240))),Reference!$A$6:$A$11,1))))*(INDEX(Reference!$B$6:$B$11,MIN(5,MATCH(MAX(Reference!$A$6,MIN(Reference!$A$11,MIN($U74,240))),Reference!$A$6:$A$11,1))+1)-INDEX(Reference!$B$6:$B$11,MIN(5,MATCH(MAX(Reference!$A$6,MIN(Reference!$A$11,MIN($U74,240))),Reference!$A$6:$A$11,1))))/(INDEX(Reference!$A$6:$A$11,MIN(5,MATCH(MAX(Reference!$A$6,MIN(Reference!$A$11,MIN($U74,240))),Reference!$A$6:$A$11,1))+1)-INDEX(Reference!$A$6:$A$11,MIN(5,MATCH(MAX(Reference!$A$6,MIN(Reference!$A$11,MIN($U74,240))),Reference!$A$6:$A$11,1))))),0)+IF(7&lt;=$AL74,($AL74-7+3)*(INDEX(Reference!$B$6:$B$11,MIN(5,MATCH(MAX(Reference!$A$6,MIN(Reference!$A$11,MIN($U74,270))),Reference!$A$6:$A$11,1)))+(MAX(Reference!$A$6,MIN(Reference!$A$11,MIN($U74,270)))-INDEX(Reference!$A$6:$A$11,MIN(5,MATCH(MAX(Reference!$A$6,MIN(Reference!$A$11,MIN($U74,270))),Reference!$A$6:$A$11,1))))*(INDEX(Reference!$B$6:$B$11,MIN(5,MATCH(MAX(Reference!$A$6,MIN(Reference!$A$11,MIN($U74,270))),Reference!$A$6:$A$11,1))+1)-INDEX(Reference!$B$6:$B$11,MIN(5,MATCH(MAX(Reference!$A$6,MIN(Reference!$A$11,MIN($U74,270))),Reference!$A$6:$A$11,1))))/(INDEX(Reference!$A$6:$A$11,MIN(5,MATCH(MAX(Reference!$A$6,MIN(Reference!$A$11,MIN($U74,270))),Reference!$A$6:$A$11,1))+1)-INDEX(Reference!$A$6:$A$11,MIN(5,MATCH(MAX(Reference!$A$6,MIN(Reference!$A$11,MIN($U74,270))),Reference!$A$6:$A$11,1))))),0)+IF(8&lt;=$AL74,($AL74-8+3)*(INDEX(Reference!$B$6:$B$11,MIN(5,MATCH(MAX(Reference!$A$6,MIN(Reference!$A$11,MIN($U74,300))),Reference!$A$6:$A$11,1)))+(MAX(Reference!$A$6,MIN(Reference!$A$11,MIN($U74,300)))-INDEX(Reference!$A$6:$A$11,MIN(5,MATCH(MAX(Reference!$A$6,MIN(Reference!$A$11,MIN($U74,300))),Reference!$A$6:$A$11,1))))*(INDEX(Reference!$B$6:$B$11,MIN(5,MATCH(MAX(Reference!$A$6,MIN(Reference!$A$11,MIN($U74,300))),Reference!$A$6:$A$11,1))+1)-INDEX(Reference!$B$6:$B$11,MIN(5,MATCH(MAX(Reference!$A$6,MIN(Reference!$A$11,MIN($U74,300))),Reference!$A$6:$A$11,1))))/(INDEX(Reference!$A$6:$A$11,MIN(5,MATCH(MAX(Reference!$A$6,MIN(Reference!$A$11,MIN($U74,300))),Reference!$A$6:$A$11,1))+1)-INDEX(Reference!$A$6:$A$11,MIN(5,MATCH(MAX(Reference!$A$6,MIN(Reference!$A$11,MIN($U74,300))),Reference!$A$6:$A$11,1))))),0))/($AL74*($AL74+5)/2)),$AN74))</f>
        <v>1.3857142857142857</v>
      </c>
      <c r="AN74" s="32">
        <f>IF($U74="",0,(INDEX(Reference!$B$6:$B$11,MIN(5,MATCH(MAX(Reference!$A$6,MIN(Reference!$A$11,$U74)),Reference!$A$6:$A$11,1)))+(MAX(Reference!$A$6,MIN(Reference!$A$11,$U74))-INDEX(Reference!$A$6:$A$11,MIN(5,MATCH(MAX(Reference!$A$6,MIN(Reference!$A$11,$U74)),Reference!$A$6:$A$11,1))))*(INDEX(Reference!$B$6:$B$11,MIN(5,MATCH(MAX(Reference!$A$6,MIN(Reference!$A$11,$U74)),Reference!$A$6:$A$11,1))+1)-INDEX(Reference!$B$6:$B$11,MIN(5,MATCH(MAX(Reference!$A$6,MIN(Reference!$A$11,$U74)),Reference!$A$6:$A$11,1))))/(INDEX(Reference!$A$6:$A$11,MIN(5,MATCH(MAX(Reference!$A$6,MIN(Reference!$A$11,$U74)),Reference!$A$6:$A$11,1))+1)-INDEX(Reference!$A$6:$A$11,MIN(5,MATCH(MAX(Reference!$A$6,MIN(Reference!$A$11,$U74)),Reference!$A$6:$A$11,1))))))</f>
        <v>1.5</v>
      </c>
      <c r="AO74" s="37"/>
      <c r="AP74" s="37"/>
      <c r="AQ74" s="37"/>
    </row>
    <row r="75" spans="1:43" x14ac:dyDescent="0.3">
      <c r="A75" s="48">
        <f t="shared" ref="A75:A106" si="30">IFERROR(IF($L75&gt;$G$4,"",$D$6+$L75),"")</f>
        <v>46339</v>
      </c>
      <c r="B75" s="32" t="str">
        <f t="shared" ref="B75:B106" si="31">IF($A75="","",TEXT($A75,"ddd"))</f>
        <v>Fri</v>
      </c>
      <c r="C75" s="32">
        <f t="shared" ref="C75:C106" si="32">IF($A75="","",$G$4-$L75)</f>
        <v>52</v>
      </c>
      <c r="D75" s="32" t="str">
        <f t="shared" ref="D75:D106" si="33">IF($A75="","",IF($C75=0,"First Bullpen",IF($C75&lt;=7,"Taper",IF($O75&lt;0.2,"Re-entry",IF($O75&lt;0.45,"Base",IF($O75&lt;0.65,"Extension","Flat Ground / Intent"))))))</f>
        <v>Base</v>
      </c>
      <c r="E75" s="32" t="str">
        <f t="shared" ref="E75:E106" si="34">IF($A75="","",IF($AD75,"No Throw",IF($C75=0,"High Bullpen",IF($C75=6,"High Non-Bullpen",IF(OR($C75=4,$C75=2),"Medium",IF($T75="Recovery/Easy Catch","Low",IF($N75=1,IF($O75&lt;0.4,"Low",IF($O75&lt;0.7,"Medium","High Non-Bullpen")),IF($N75=3,IF($O75&lt;0.5,"Medium","High Non-Bullpen"),IF($O75&lt;0.62,"Medium","High Non-Bullpen")))))))))</f>
        <v>Low</v>
      </c>
      <c r="F75" s="32" t="str">
        <f t="shared" ref="F75:F106" si="35">IF($A75="","",IF($AD75,"No Throw",$T75))</f>
        <v>Recovery/Easy Catch</v>
      </c>
      <c r="G75" s="47" t="str">
        <f t="shared" ref="G75:G106" si="36">IF($A75="","",IF($AD75,"Off",IF($AL75&gt;1,"Long toss out to "&amp;$U75&amp;" ft — "&amp;$AB75&amp;" throws ("&amp;IF(1&lt;=$AL75,MIN($U75,90)&amp;"×"&amp;(ROUND($AB75*(1*($AL75+3)-1)/($AL75*($AL75+5)/2),0)-0),"")&amp;IF(2&lt;=$AL75," · "&amp;MIN($U75,120)&amp;"×"&amp;(ROUND($AB75*(2*($AL75+3)-3)/($AL75*($AL75+5)/2),0)-ROUND($AB75*(1*($AL75+3)-1)/($AL75*($AL75+5)/2),0)),"")&amp;IF(3&lt;=$AL75," · "&amp;MIN($U75,150)&amp;"×"&amp;(ROUND($AB75*(3*($AL75+3)-6)/($AL75*($AL75+5)/2),0)-ROUND($AB75*(2*($AL75+3)-3)/($AL75*($AL75+5)/2),0)),"")&amp;IF(4&lt;=$AL75," · "&amp;MIN($U75,180)&amp;"×"&amp;(ROUND($AB75*(4*($AL75+3)-10)/($AL75*($AL75+5)/2),0)-ROUND($AB75*(3*($AL75+3)-6)/($AL75*($AL75+5)/2),0)),"")&amp;IF(5&lt;=$AL75," · "&amp;MIN($U75,210)&amp;"×"&amp;(ROUND($AB75*(5*($AL75+3)-15)/($AL75*($AL75+5)/2),0)-ROUND($AB75*(4*($AL75+3)-10)/($AL75*($AL75+5)/2),0)),"")&amp;IF(6&lt;=$AL75," · "&amp;MIN($U75,240)&amp;"×"&amp;(ROUND($AB75*(6*($AL75+3)-21)/($AL75*($AL75+5)/2),0)-ROUND($AB75*(5*($AL75+3)-15)/($AL75*($AL75+5)/2),0)),"")&amp;IF(7&lt;=$AL75," · "&amp;MIN($U75,270)&amp;"×"&amp;(ROUND($AB75*(7*($AL75+3)-28)/($AL75*($AL75+5)/2),0)-ROUND($AB75*(6*($AL75+3)-21)/($AL75*($AL75+5)/2),0)),"")&amp;IF(8&lt;=$AL75," · "&amp;MIN($U75,300)&amp;"×"&amp;(ROUND($AB75*(8*($AL75+3)-36)/($AL75*($AL75+5)/2),0)-ROUND($AB75*(7*($AL75+3)-28)/($AL75*($AL75+5)/2),0)),"")&amp;")",$U75&amp;" ft × "&amp;$AB75)&amp;" @ "&amp;ROUND($D$5-$W75,0)&amp;"–"&amp;ROUND($D$5-$V75,0)&amp;" mph"&amp;IF($X75&gt;0,IF($Y75&lt;10," + flat ground at 60 ft × "," + 60 ft × ")&amp;$X75&amp;" @ "&amp;ROUND($D$5-$Z75,0)&amp;"–"&amp;ROUND($D$5-$Y75,0)&amp;" mph","")&amp;IF($AC75&gt;0," + MOUND × "&amp;$AC75&amp;" pitches @ "&amp;$D$9&amp;"–"&amp;$E$9&amp;" mph","")))</f>
        <v>60 ft × 20 @ 67–71 mph</v>
      </c>
      <c r="H75" s="30">
        <f t="shared" ref="H75:H106" si="37">IF($A75="","",IF($AD75,0,$AB75*$AF75+$AE75+$AG75))</f>
        <v>12</v>
      </c>
      <c r="I75" s="46">
        <f>IF($A75="","",IF(AND($L75&lt;27,$K$12=0),"Building",IFERROR(((SUM($H$69:$H75)+$K$12*IF($L75&lt;6,SUMIFS('Throw Log'!$Q$5:$Q$300,'Throw Log'!$B$5:$B$300,$D$4,'Throw Log'!$A$5:$A$300,"&gt;="&amp;($D$6+$L75-6),'Throw Log'!$A$5:$A$300,"&lt;="&amp;($D$6-1)),0))/7)/((SUM($H$48:$H75)+$K$12*IF($L75&lt;27,SUMIFS('Throw Log'!$Q$5:$Q$300,'Throw Log'!$B$5:$B$300,$D$4,'Throw Log'!$A$5:$A$300,"&gt;="&amp;($D$6+$L75-27),'Throw Log'!$A$5:$A$300,"&lt;="&amp;($D$6-1)),0))/28),"")))</f>
        <v>1.1906113907584412</v>
      </c>
      <c r="J75" s="37"/>
      <c r="K75" s="37">
        <v>20</v>
      </c>
      <c r="L75" s="32">
        <v>32</v>
      </c>
      <c r="M75" s="32">
        <f t="shared" ref="M75:M106" si="38">INT($L75/7)+1</f>
        <v>5</v>
      </c>
      <c r="N75" s="32">
        <f t="shared" ref="N75:N106" si="39">MOD($L75,7)</f>
        <v>4</v>
      </c>
      <c r="O75" s="32">
        <f t="shared" ref="O75:O106" si="40">MIN(1,$G$7+(1-$G$7)*$L75/MAX(1,N($G$4)-8))</f>
        <v>0.42105263157894735</v>
      </c>
      <c r="P75" s="32">
        <f>IF(OR($A75="",N($C75)&lt;=7),"",$G$6*$G$9^($M75-1)*IF(AND(MOD($M75,Reference!$B$99)=0,$M75&lt;=$G$5-2),Reference!$B$100,1))</f>
        <v>128.18680745325557</v>
      </c>
      <c r="Q75" s="32">
        <f>IF($P75="","",IF(SUM($AK$71:$AK$77)=0,0,$P75*INDEX(Reference!$B$108:$B$114,$N75+1)/SUM($AK$71:$AK$77)))</f>
        <v>12.818680745325558</v>
      </c>
      <c r="R75" s="32">
        <f t="shared" ref="R75:R106" si="41">ROUND((60+($D$11-60)*MIN(1,$O75/0.75))/15,0)*15</f>
        <v>120</v>
      </c>
      <c r="S75" s="32">
        <f t="shared" ref="S75:S106" si="42">ROUND((60+($R75-60)*0.8)/15,0)*15</f>
        <v>105</v>
      </c>
      <c r="T75" s="32" t="str">
        <f>IF($A75="","",IF($C75=0,"Bullpen",IF(OR($C75=7,$C75=1,$C75=5),"Recovery/Easy Catch",IF($C75=6,"Compression/Pulldowns",IF(OR($C75=4,$C75=2),"Long Toss",IF($C75=3,"No Throw",IF($N75=2,"No Throw",IF($N75=6,IF($O75&lt;Reference!$B$104,"No Throw","Recovery/Easy Catch"),IF(OR($N75=0,$N75=4),"Recovery/Easy Catch",IF($N75=1,IF($R75&gt;75,"Long Toss","Recovery/Easy Catch"),IF($N75=3,IF($O75&lt;0.5,IF($S75&gt;75,"Long Toss","Recovery/Easy Catch"),"Compression/Pulldowns"),IF($S75&gt;75,"Long Toss","Recovery/Easy Catch"))))))))))))</f>
        <v>Recovery/Easy Catch</v>
      </c>
      <c r="U75" s="32">
        <f t="shared" ref="U75:U106" si="43">IF($A75="","",IF(N($AO75)&gt;0,$AO75,IF($C75=0,90,IF(OR($C75=7,$C75=1),75,IF($C75=6,90,IF($C75=5,60,IF($C75=4,MIN(150,ROUND(0.75*$D$11/15,0)*15),IF($C75=2,MIN(120,ROUND(0.67*$D$11/15,0)*15),IF($C75=3,"",IF($N75=2,"",IF($N75=6,60,IF($N75=0,IF($O75&lt;0.25,60,75),IF($N75=4,IF($O75&lt;0.5,60,75),IF($N75=1,$R75,IF($N75=3,IF($O75&lt;0.5,$S75,90),$S75)))))))))))))))</f>
        <v>60</v>
      </c>
      <c r="V75" s="32">
        <f t="shared" ref="V75:V106" si="44">IF($A75="","",IF(N($AQ75)&gt;0,$D$5-$AQ75,IF(N($AP75)&gt;0,$D$5-$AP75,IF($C75=0,10,IF(OR($C75=7,$C75=1),18,IF($C75=6,7,IF($C75=5,20,IF(OR($C75=4,$C75=2),10,IF($C75=3,"",IF($N75=2,"",IF($N75=6,20,IF($N75=0,IF($O75&lt;0.25,20,18),IF($N75=4,IF($O75&lt;0.5,20,18),IF($N75=1,IF($O75&lt;0.25,18,IF($O75&lt;0.5,13,10)),IF($N75=3,IF($O75&lt;0.5,IF($O75&lt;0.25,18,13),7),IF($O75&lt;0.25,18,IF($O75&lt;0.5,12,10)))))))))))))))))</f>
        <v>20</v>
      </c>
      <c r="W75" s="32">
        <f t="shared" ref="W75:W106" si="45">IF($A75="","",IF(N($AP75)&gt;0,$D$5-$AP75,IF(N($AQ75)&gt;0,$D$5-$AQ75,IF($C75=0,12,IF(OR($C75=7,$C75=1),22,IF($C75=6,9,IF($C75=5,24,IF(OR($C75=4,$C75=2),13,IF($C75=3,"",IF($N75=2,"",IF($N75=6,24,IF($N75=0,IF($O75&lt;0.25,24,22),IF($N75=4,IF($O75&lt;0.5,24,22),IF($N75=1,IF($O75&lt;0.25,22,IF($O75&lt;0.5,16,12)),IF($N75=3,IF($O75&lt;0.5,IF($O75&lt;0.25,22,16),9),IF($O75&lt;0.25,22,IF($O75&lt;0.5,15,13)))))))))))))))))</f>
        <v>24</v>
      </c>
      <c r="X75" s="32">
        <f t="shared" ref="X75:X106" si="46">IF($A75="",0,IF($C75=6,ROUND(25*$G$10,0),IF(OR($C75=4,$C75=2),ROUND(15*$G$10,0),IF($C75&lt;=7,0,IF($N75=1,IF($O75&lt;0.2,0,IF($O75&lt;0.5,10,15)),IF($N75=3,IF($O75&lt;0.5,IF($O75&lt;0.2,0,10),IF($O75&lt;0.62,15,IF($O75&lt;0.8,20,25))),IF($N75=5,IF($O75&lt;0.2,0,IF($O75&lt;0.62,12,IF($O75&lt;0.8,20,25))),0)))))))</f>
        <v>0</v>
      </c>
      <c r="Y75" s="32" t="str">
        <f t="shared" ref="Y75:Y106" si="47">IF($X75=0,"",IF($C75=6,$D$5-$E$9,IF(OR($C75=4,$C75=2),8,IF($N75=1,IF($O75&lt;0.5,14,10),IF($N75=3,IF($O75&lt;0.5,14,IF($O75&lt;0.62,10,7)),IF($N75=5,IF($O75&lt;0.5,14,IF($O75&lt;0.62,12,7)),""))))))</f>
        <v/>
      </c>
      <c r="Z75" s="32" t="str">
        <f t="shared" ref="Z75:Z106" si="48">IF($X75=0,"",IF($C75=6,$D$5-$D$9,IF(OR($C75=4,$C75=2),10,IF($N75=1,IF($O75&lt;0.5,18,12),IF($N75=3,IF($O75&lt;0.5,18,IF($O75&lt;0.62,12,9)),IF($N75=5,IF($O75&lt;0.5,18,IF($O75&lt;0.62,15,9)),""))))))</f>
        <v/>
      </c>
      <c r="AA75" s="32" t="str">
        <f t="shared" ref="AA75:AA106" si="49">IF($A75="","",IF($C75=0,25,IF(OR($C75=7,$C75=1,$C75=5),30,IF($C75=6,25,IF(OR($C75=4,$C75=2),IF($AM75=0,30,30*$AN75/$AM75),"")))))</f>
        <v/>
      </c>
      <c r="AB75" s="32">
        <f>IF($A75="","",IF($T75="No Throw",0,IF($K75&lt;&gt;"",$K75,IF($AA75&lt;&gt;"",ROUND($AA75*$D$12*IF($C75=0,1,$G$10),0),MIN(IF($T75="Recovery/Easy Catch",Reference!$B$103,IF($T75="Long Toss",Reference!$B$106,Reference!$B$102)),MAX(Reference!$B$101,ROUND(MAX(0,$Q75-$AE75)/$AF75,0)))))))</f>
        <v>20</v>
      </c>
      <c r="AC75" s="32">
        <f t="shared" ref="AC75:AC106" si="50">IF($A75="",0,IF($C75=0,$D$8,0))</f>
        <v>0</v>
      </c>
      <c r="AD75" s="32" t="b">
        <f t="shared" ref="AD75:AD106" si="51">IF($A75="",TRUE(),OR($J75="x",$T75="No Throw"))</f>
        <v>0</v>
      </c>
      <c r="AE75" s="32">
        <f>IF($X75=0,0,$X75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75+$Z75)/2,0),Reference!$A$17:$B$20,2,TRUE()))</f>
        <v>0</v>
      </c>
      <c r="AF75" s="32">
        <f>IF(OR($A75="",$U75="",$T75="No Throw"),0,$AM75*VLOOKUP(MAX(($V75+$W75)/2,0),Reference!$A$17:$B$20,2,TRUE()))</f>
        <v>0.6</v>
      </c>
      <c r="AG75" s="32">
        <f>IF($AC75=0,0,$AC75*INDEX(Reference!$B$61:$B$62,MATCH("Bullpen",Reference!$A$61:$A$62,0))*VLOOKUP(MAX($D$5-($D$9+$E$9)/2,0),Reference!$A$17:$B$20,2,TRUE()))</f>
        <v>0</v>
      </c>
      <c r="AH75" s="46">
        <f t="shared" ref="AH75:AH106" si="52">IF(OR($A75="",$L75&lt;27),NA(),$I75)</f>
        <v>1.1906113907584412</v>
      </c>
      <c r="AI75" s="32">
        <f>IF($A75="",NA(),Reference!$A$25)</f>
        <v>0.8</v>
      </c>
      <c r="AJ75" s="32">
        <f t="shared" ref="AJ75:AJ106" si="53">IF($A75="",NA(),1.3)</f>
        <v>1.3</v>
      </c>
      <c r="AK75" s="56">
        <f>IF(OR($A75="",N($C75)&lt;=7,$T75="No Throw",$J75="x"),0,INDEX(Reference!$B$108:$B$114,$N75+1))</f>
        <v>0.1</v>
      </c>
      <c r="AL75" s="32">
        <f t="shared" ref="AL75:AL106" si="54">IF($U75="",1,IF(AND($T75="Long Toss",N($U75)&gt;90),1+ROUNDUP(($U75-90)/30,0),1))</f>
        <v>1</v>
      </c>
      <c r="AM75" s="32">
        <f>IF($U75="",0,IF($AL75&gt;1,((IF(1&lt;=$AL75,($AL75-1+3)*(INDEX(Reference!$B$6:$B$11,MIN(5,MATCH(MAX(Reference!$A$6,MIN(Reference!$A$11,MIN($U75,90))),Reference!$A$6:$A$11,1)))+(MAX(Reference!$A$6,MIN(Reference!$A$11,MIN($U75,90)))-INDEX(Reference!$A$6:$A$11,MIN(5,MATCH(MAX(Reference!$A$6,MIN(Reference!$A$11,MIN($U75,90))),Reference!$A$6:$A$11,1))))*(INDEX(Reference!$B$6:$B$11,MIN(5,MATCH(MAX(Reference!$A$6,MIN(Reference!$A$11,MIN($U75,90))),Reference!$A$6:$A$11,1))+1)-INDEX(Reference!$B$6:$B$11,MIN(5,MATCH(MAX(Reference!$A$6,MIN(Reference!$A$11,MIN($U75,90))),Reference!$A$6:$A$11,1))))/(INDEX(Reference!$A$6:$A$11,MIN(5,MATCH(MAX(Reference!$A$6,MIN(Reference!$A$11,MIN($U75,90))),Reference!$A$6:$A$11,1))+1)-INDEX(Reference!$A$6:$A$11,MIN(5,MATCH(MAX(Reference!$A$6,MIN(Reference!$A$11,MIN($U75,90))),Reference!$A$6:$A$11,1))))),0)+IF(2&lt;=$AL75,($AL75-2+3)*(INDEX(Reference!$B$6:$B$11,MIN(5,MATCH(MAX(Reference!$A$6,MIN(Reference!$A$11,MIN($U75,120))),Reference!$A$6:$A$11,1)))+(MAX(Reference!$A$6,MIN(Reference!$A$11,MIN($U75,120)))-INDEX(Reference!$A$6:$A$11,MIN(5,MATCH(MAX(Reference!$A$6,MIN(Reference!$A$11,MIN($U75,120))),Reference!$A$6:$A$11,1))))*(INDEX(Reference!$B$6:$B$11,MIN(5,MATCH(MAX(Reference!$A$6,MIN(Reference!$A$11,MIN($U75,120))),Reference!$A$6:$A$11,1))+1)-INDEX(Reference!$B$6:$B$11,MIN(5,MATCH(MAX(Reference!$A$6,MIN(Reference!$A$11,MIN($U75,120))),Reference!$A$6:$A$11,1))))/(INDEX(Reference!$A$6:$A$11,MIN(5,MATCH(MAX(Reference!$A$6,MIN(Reference!$A$11,MIN($U75,120))),Reference!$A$6:$A$11,1))+1)-INDEX(Reference!$A$6:$A$11,MIN(5,MATCH(MAX(Reference!$A$6,MIN(Reference!$A$11,MIN($U75,120))),Reference!$A$6:$A$11,1))))),0)+IF(3&lt;=$AL75,($AL75-3+3)*(INDEX(Reference!$B$6:$B$11,MIN(5,MATCH(MAX(Reference!$A$6,MIN(Reference!$A$11,MIN($U75,150))),Reference!$A$6:$A$11,1)))+(MAX(Reference!$A$6,MIN(Reference!$A$11,MIN($U75,150)))-INDEX(Reference!$A$6:$A$11,MIN(5,MATCH(MAX(Reference!$A$6,MIN(Reference!$A$11,MIN($U75,150))),Reference!$A$6:$A$11,1))))*(INDEX(Reference!$B$6:$B$11,MIN(5,MATCH(MAX(Reference!$A$6,MIN(Reference!$A$11,MIN($U75,150))),Reference!$A$6:$A$11,1))+1)-INDEX(Reference!$B$6:$B$11,MIN(5,MATCH(MAX(Reference!$A$6,MIN(Reference!$A$11,MIN($U75,150))),Reference!$A$6:$A$11,1))))/(INDEX(Reference!$A$6:$A$11,MIN(5,MATCH(MAX(Reference!$A$6,MIN(Reference!$A$11,MIN($U75,150))),Reference!$A$6:$A$11,1))+1)-INDEX(Reference!$A$6:$A$11,MIN(5,MATCH(MAX(Reference!$A$6,MIN(Reference!$A$11,MIN($U75,150))),Reference!$A$6:$A$11,1))))),0)+IF(4&lt;=$AL75,($AL75-4+3)*(INDEX(Reference!$B$6:$B$11,MIN(5,MATCH(MAX(Reference!$A$6,MIN(Reference!$A$11,MIN($U75,180))),Reference!$A$6:$A$11,1)))+(MAX(Reference!$A$6,MIN(Reference!$A$11,MIN($U75,180)))-INDEX(Reference!$A$6:$A$11,MIN(5,MATCH(MAX(Reference!$A$6,MIN(Reference!$A$11,MIN($U75,180))),Reference!$A$6:$A$11,1))))*(INDEX(Reference!$B$6:$B$11,MIN(5,MATCH(MAX(Reference!$A$6,MIN(Reference!$A$11,MIN($U75,180))),Reference!$A$6:$A$11,1))+1)-INDEX(Reference!$B$6:$B$11,MIN(5,MATCH(MAX(Reference!$A$6,MIN(Reference!$A$11,MIN($U75,180))),Reference!$A$6:$A$11,1))))/(INDEX(Reference!$A$6:$A$11,MIN(5,MATCH(MAX(Reference!$A$6,MIN(Reference!$A$11,MIN($U75,180))),Reference!$A$6:$A$11,1))+1)-INDEX(Reference!$A$6:$A$11,MIN(5,MATCH(MAX(Reference!$A$6,MIN(Reference!$A$11,MIN($U75,180))),Reference!$A$6:$A$11,1))))),0)+IF(5&lt;=$AL75,($AL75-5+3)*(INDEX(Reference!$B$6:$B$11,MIN(5,MATCH(MAX(Reference!$A$6,MIN(Reference!$A$11,MIN($U75,210))),Reference!$A$6:$A$11,1)))+(MAX(Reference!$A$6,MIN(Reference!$A$11,MIN($U75,210)))-INDEX(Reference!$A$6:$A$11,MIN(5,MATCH(MAX(Reference!$A$6,MIN(Reference!$A$11,MIN($U75,210))),Reference!$A$6:$A$11,1))))*(INDEX(Reference!$B$6:$B$11,MIN(5,MATCH(MAX(Reference!$A$6,MIN(Reference!$A$11,MIN($U75,210))),Reference!$A$6:$A$11,1))+1)-INDEX(Reference!$B$6:$B$11,MIN(5,MATCH(MAX(Reference!$A$6,MIN(Reference!$A$11,MIN($U75,210))),Reference!$A$6:$A$11,1))))/(INDEX(Reference!$A$6:$A$11,MIN(5,MATCH(MAX(Reference!$A$6,MIN(Reference!$A$11,MIN($U75,210))),Reference!$A$6:$A$11,1))+1)-INDEX(Reference!$A$6:$A$11,MIN(5,MATCH(MAX(Reference!$A$6,MIN(Reference!$A$11,MIN($U75,210))),Reference!$A$6:$A$11,1))))),0)+IF(6&lt;=$AL75,($AL75-6+3)*(INDEX(Reference!$B$6:$B$11,MIN(5,MATCH(MAX(Reference!$A$6,MIN(Reference!$A$11,MIN($U75,240))),Reference!$A$6:$A$11,1)))+(MAX(Reference!$A$6,MIN(Reference!$A$11,MIN($U75,240)))-INDEX(Reference!$A$6:$A$11,MIN(5,MATCH(MAX(Reference!$A$6,MIN(Reference!$A$11,MIN($U75,240))),Reference!$A$6:$A$11,1))))*(INDEX(Reference!$B$6:$B$11,MIN(5,MATCH(MAX(Reference!$A$6,MIN(Reference!$A$11,MIN($U75,240))),Reference!$A$6:$A$11,1))+1)-INDEX(Reference!$B$6:$B$11,MIN(5,MATCH(MAX(Reference!$A$6,MIN(Reference!$A$11,MIN($U75,240))),Reference!$A$6:$A$11,1))))/(INDEX(Reference!$A$6:$A$11,MIN(5,MATCH(MAX(Reference!$A$6,MIN(Reference!$A$11,MIN($U75,240))),Reference!$A$6:$A$11,1))+1)-INDEX(Reference!$A$6:$A$11,MIN(5,MATCH(MAX(Reference!$A$6,MIN(Reference!$A$11,MIN($U75,240))),Reference!$A$6:$A$11,1))))),0)+IF(7&lt;=$AL75,($AL75-7+3)*(INDEX(Reference!$B$6:$B$11,MIN(5,MATCH(MAX(Reference!$A$6,MIN(Reference!$A$11,MIN($U75,270))),Reference!$A$6:$A$11,1)))+(MAX(Reference!$A$6,MIN(Reference!$A$11,MIN($U75,270)))-INDEX(Reference!$A$6:$A$11,MIN(5,MATCH(MAX(Reference!$A$6,MIN(Reference!$A$11,MIN($U75,270))),Reference!$A$6:$A$11,1))))*(INDEX(Reference!$B$6:$B$11,MIN(5,MATCH(MAX(Reference!$A$6,MIN(Reference!$A$11,MIN($U75,270))),Reference!$A$6:$A$11,1))+1)-INDEX(Reference!$B$6:$B$11,MIN(5,MATCH(MAX(Reference!$A$6,MIN(Reference!$A$11,MIN($U75,270))),Reference!$A$6:$A$11,1))))/(INDEX(Reference!$A$6:$A$11,MIN(5,MATCH(MAX(Reference!$A$6,MIN(Reference!$A$11,MIN($U75,270))),Reference!$A$6:$A$11,1))+1)-INDEX(Reference!$A$6:$A$11,MIN(5,MATCH(MAX(Reference!$A$6,MIN(Reference!$A$11,MIN($U75,270))),Reference!$A$6:$A$11,1))))),0)+IF(8&lt;=$AL75,($AL75-8+3)*(INDEX(Reference!$B$6:$B$11,MIN(5,MATCH(MAX(Reference!$A$6,MIN(Reference!$A$11,MIN($U75,300))),Reference!$A$6:$A$11,1)))+(MAX(Reference!$A$6,MIN(Reference!$A$11,MIN($U75,300)))-INDEX(Reference!$A$6:$A$11,MIN(5,MATCH(MAX(Reference!$A$6,MIN(Reference!$A$11,MIN($U75,300))),Reference!$A$6:$A$11,1))))*(INDEX(Reference!$B$6:$B$11,MIN(5,MATCH(MAX(Reference!$A$6,MIN(Reference!$A$11,MIN($U75,300))),Reference!$A$6:$A$11,1))+1)-INDEX(Reference!$B$6:$B$11,MIN(5,MATCH(MAX(Reference!$A$6,MIN(Reference!$A$11,MIN($U75,300))),Reference!$A$6:$A$11,1))))/(INDEX(Reference!$A$6:$A$11,MIN(5,MATCH(MAX(Reference!$A$6,MIN(Reference!$A$11,MIN($U75,300))),Reference!$A$6:$A$11,1))+1)-INDEX(Reference!$A$6:$A$11,MIN(5,MATCH(MAX(Reference!$A$6,MIN(Reference!$A$11,MIN($U75,300))),Reference!$A$6:$A$11,1))))),0))/($AL75*($AL75+5)/2)),$AN75))</f>
        <v>1</v>
      </c>
      <c r="AN75" s="32">
        <f>IF($U75="",0,(INDEX(Reference!$B$6:$B$11,MIN(5,MATCH(MAX(Reference!$A$6,MIN(Reference!$A$11,$U75)),Reference!$A$6:$A$11,1)))+(MAX(Reference!$A$6,MIN(Reference!$A$11,$U75))-INDEX(Reference!$A$6:$A$11,MIN(5,MATCH(MAX(Reference!$A$6,MIN(Reference!$A$11,$U75)),Reference!$A$6:$A$11,1))))*(INDEX(Reference!$B$6:$B$11,MIN(5,MATCH(MAX(Reference!$A$6,MIN(Reference!$A$11,$U75)),Reference!$A$6:$A$11,1))+1)-INDEX(Reference!$B$6:$B$11,MIN(5,MATCH(MAX(Reference!$A$6,MIN(Reference!$A$11,$U75)),Reference!$A$6:$A$11,1))))/(INDEX(Reference!$A$6:$A$11,MIN(5,MATCH(MAX(Reference!$A$6,MIN(Reference!$A$11,$U75)),Reference!$A$6:$A$11,1))+1)-INDEX(Reference!$A$6:$A$11,MIN(5,MATCH(MAX(Reference!$A$6,MIN(Reference!$A$11,$U75)),Reference!$A$6:$A$11,1))))))</f>
        <v>1</v>
      </c>
      <c r="AO75" s="37"/>
      <c r="AP75" s="37"/>
      <c r="AQ75" s="37"/>
    </row>
    <row r="76" spans="1:43" ht="26.4" x14ac:dyDescent="0.3">
      <c r="A76" s="48">
        <f t="shared" si="30"/>
        <v>46340</v>
      </c>
      <c r="B76" s="32" t="str">
        <f t="shared" si="31"/>
        <v>Sat</v>
      </c>
      <c r="C76" s="32">
        <f t="shared" si="32"/>
        <v>51</v>
      </c>
      <c r="D76" s="32" t="str">
        <f t="shared" si="33"/>
        <v>Base</v>
      </c>
      <c r="E76" s="32" t="str">
        <f t="shared" si="34"/>
        <v>Medium</v>
      </c>
      <c r="F76" s="32" t="str">
        <f t="shared" si="35"/>
        <v>Long Toss</v>
      </c>
      <c r="G76" s="47" t="str">
        <f t="shared" si="36"/>
        <v>Long toss out to 120 ft — 25 throws (90×14 · 120×11) @ 76–79 mph + 60 ft × 12 @ 73–77 mph</v>
      </c>
      <c r="H76" s="30">
        <f t="shared" si="37"/>
        <v>29.271428571428572</v>
      </c>
      <c r="I76" s="46">
        <f>IF($A76="","",IF(AND($L76&lt;27,$K$12=0),"Building",IFERROR(((SUM($H$70:$H76)+$K$12*IF($L76&lt;6,SUMIFS('Throw Log'!$Q$5:$Q$300,'Throw Log'!$B$5:$B$300,$D$4,'Throw Log'!$A$5:$A$300,"&gt;="&amp;($D$6+$L76-6),'Throw Log'!$A$5:$A$300,"&lt;="&amp;($D$6-1)),0))/7)/((SUM($H$49:$H76)+$K$12*IF($L76&lt;27,SUMIFS('Throw Log'!$Q$5:$Q$300,'Throw Log'!$B$5:$B$300,$D$4,'Throw Log'!$A$5:$A$300,"&gt;="&amp;($D$6+$L76-27),'Throw Log'!$A$5:$A$300,"&lt;="&amp;($D$6-1)),0))/28),"")))</f>
        <v>1.1341208589279153</v>
      </c>
      <c r="J76" s="37"/>
      <c r="K76" s="37">
        <v>25</v>
      </c>
      <c r="L76" s="32">
        <v>33</v>
      </c>
      <c r="M76" s="32">
        <f t="shared" si="38"/>
        <v>5</v>
      </c>
      <c r="N76" s="32">
        <f t="shared" si="39"/>
        <v>5</v>
      </c>
      <c r="O76" s="32">
        <f t="shared" si="40"/>
        <v>0.43421052631578949</v>
      </c>
      <c r="P76" s="32">
        <f>IF(OR($A76="",N($C76)&lt;=7),"",$G$6*$G$9^($M76-1)*IF(AND(MOD($M76,Reference!$B$99)=0,$M76&lt;=$G$5-2),Reference!$B$100,1))</f>
        <v>128.18680745325557</v>
      </c>
      <c r="Q76" s="32">
        <f>IF($P76="","",IF(SUM($AK$71:$AK$77)=0,0,$P76*INDEX(Reference!$B$108:$B$114,$N76+1)/SUM($AK$71:$AK$77)))</f>
        <v>34.610438012379007</v>
      </c>
      <c r="R76" s="32">
        <f t="shared" si="41"/>
        <v>135</v>
      </c>
      <c r="S76" s="32">
        <f t="shared" si="42"/>
        <v>120</v>
      </c>
      <c r="T76" s="32" t="str">
        <f>IF($A76="","",IF($C76=0,"Bullpen",IF(OR($C76=7,$C76=1,$C76=5),"Recovery/Easy Catch",IF($C76=6,"Compression/Pulldowns",IF(OR($C76=4,$C76=2),"Long Toss",IF($C76=3,"No Throw",IF($N76=2,"No Throw",IF($N76=6,IF($O76&lt;Reference!$B$104,"No Throw","Recovery/Easy Catch"),IF(OR($N76=0,$N76=4),"Recovery/Easy Catch",IF($N76=1,IF($R76&gt;75,"Long Toss","Recovery/Easy Catch"),IF($N76=3,IF($O76&lt;0.5,IF($S76&gt;75,"Long Toss","Recovery/Easy Catch"),"Compression/Pulldowns"),IF($S76&gt;75,"Long Toss","Recovery/Easy Catch"))))))))))))</f>
        <v>Long Toss</v>
      </c>
      <c r="U76" s="32">
        <f t="shared" si="43"/>
        <v>120</v>
      </c>
      <c r="V76" s="32">
        <f t="shared" si="44"/>
        <v>12</v>
      </c>
      <c r="W76" s="32">
        <f t="shared" si="45"/>
        <v>15</v>
      </c>
      <c r="X76" s="32">
        <f t="shared" si="46"/>
        <v>12</v>
      </c>
      <c r="Y76" s="32">
        <f t="shared" si="47"/>
        <v>14</v>
      </c>
      <c r="Z76" s="32">
        <f t="shared" si="48"/>
        <v>18</v>
      </c>
      <c r="AA76" s="32" t="str">
        <f t="shared" si="49"/>
        <v/>
      </c>
      <c r="AB76" s="32">
        <f>IF($A76="","",IF($T76="No Throw",0,IF($K76&lt;&gt;"",$K76,IF($AA76&lt;&gt;"",ROUND($AA76*$D$12*IF($C76=0,1,$G$10),0),MIN(IF($T76="Recovery/Easy Catch",Reference!$B$103,IF($T76="Long Toss",Reference!$B$106,Reference!$B$102)),MAX(Reference!$B$101,ROUND(MAX(0,$Q76-$AE76)/$AF76,0)))))))</f>
        <v>25</v>
      </c>
      <c r="AC76" s="32">
        <f t="shared" si="50"/>
        <v>0</v>
      </c>
      <c r="AD76" s="32" t="b">
        <f t="shared" si="51"/>
        <v>0</v>
      </c>
      <c r="AE76" s="32">
        <f>IF($X76=0,0,$X76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76+$Z76)/2,0),Reference!$A$17:$B$20,2,TRUE()))</f>
        <v>7.1999999999999993</v>
      </c>
      <c r="AF76" s="32">
        <f>IF(OR($A76="",$U76="",$T76="No Throw"),0,$AM76*VLOOKUP(MAX(($V76+$W76)/2,0),Reference!$A$17:$B$20,2,TRUE()))</f>
        <v>0.8828571428571429</v>
      </c>
      <c r="AG76" s="32">
        <f>IF($AC76=0,0,$AC76*INDEX(Reference!$B$61:$B$62,MATCH("Bullpen",Reference!$A$61:$A$62,0))*VLOOKUP(MAX($D$5-($D$9+$E$9)/2,0),Reference!$A$17:$B$20,2,TRUE()))</f>
        <v>0</v>
      </c>
      <c r="AH76" s="46">
        <f t="shared" si="52"/>
        <v>1.1341208589279153</v>
      </c>
      <c r="AI76" s="32">
        <f>IF($A76="",NA(),Reference!$A$25)</f>
        <v>0.8</v>
      </c>
      <c r="AJ76" s="32">
        <f t="shared" si="53"/>
        <v>1.3</v>
      </c>
      <c r="AK76" s="56">
        <f>IF(OR($A76="",N($C76)&lt;=7,$T76="No Throw",$J76="x"),0,INDEX(Reference!$B$108:$B$114,$N76+1))</f>
        <v>0.27</v>
      </c>
      <c r="AL76" s="32">
        <f t="shared" si="54"/>
        <v>2</v>
      </c>
      <c r="AM76" s="32">
        <f>IF($U76="",0,IF($AL76&gt;1,((IF(1&lt;=$AL76,($AL76-1+3)*(INDEX(Reference!$B$6:$B$11,MIN(5,MATCH(MAX(Reference!$A$6,MIN(Reference!$A$11,MIN($U76,90))),Reference!$A$6:$A$11,1)))+(MAX(Reference!$A$6,MIN(Reference!$A$11,MIN($U76,90)))-INDEX(Reference!$A$6:$A$11,MIN(5,MATCH(MAX(Reference!$A$6,MIN(Reference!$A$11,MIN($U76,90))),Reference!$A$6:$A$11,1))))*(INDEX(Reference!$B$6:$B$11,MIN(5,MATCH(MAX(Reference!$A$6,MIN(Reference!$A$11,MIN($U76,90))),Reference!$A$6:$A$11,1))+1)-INDEX(Reference!$B$6:$B$11,MIN(5,MATCH(MAX(Reference!$A$6,MIN(Reference!$A$11,MIN($U76,90))),Reference!$A$6:$A$11,1))))/(INDEX(Reference!$A$6:$A$11,MIN(5,MATCH(MAX(Reference!$A$6,MIN(Reference!$A$11,MIN($U76,90))),Reference!$A$6:$A$11,1))+1)-INDEX(Reference!$A$6:$A$11,MIN(5,MATCH(MAX(Reference!$A$6,MIN(Reference!$A$11,MIN($U76,90))),Reference!$A$6:$A$11,1))))),0)+IF(2&lt;=$AL76,($AL76-2+3)*(INDEX(Reference!$B$6:$B$11,MIN(5,MATCH(MAX(Reference!$A$6,MIN(Reference!$A$11,MIN($U76,120))),Reference!$A$6:$A$11,1)))+(MAX(Reference!$A$6,MIN(Reference!$A$11,MIN($U76,120)))-INDEX(Reference!$A$6:$A$11,MIN(5,MATCH(MAX(Reference!$A$6,MIN(Reference!$A$11,MIN($U76,120))),Reference!$A$6:$A$11,1))))*(INDEX(Reference!$B$6:$B$11,MIN(5,MATCH(MAX(Reference!$A$6,MIN(Reference!$A$11,MIN($U76,120))),Reference!$A$6:$A$11,1))+1)-INDEX(Reference!$B$6:$B$11,MIN(5,MATCH(MAX(Reference!$A$6,MIN(Reference!$A$11,MIN($U76,120))),Reference!$A$6:$A$11,1))))/(INDEX(Reference!$A$6:$A$11,MIN(5,MATCH(MAX(Reference!$A$6,MIN(Reference!$A$11,MIN($U76,120))),Reference!$A$6:$A$11,1))+1)-INDEX(Reference!$A$6:$A$11,MIN(5,MATCH(MAX(Reference!$A$6,MIN(Reference!$A$11,MIN($U76,120))),Reference!$A$6:$A$11,1))))),0)+IF(3&lt;=$AL76,($AL76-3+3)*(INDEX(Reference!$B$6:$B$11,MIN(5,MATCH(MAX(Reference!$A$6,MIN(Reference!$A$11,MIN($U76,150))),Reference!$A$6:$A$11,1)))+(MAX(Reference!$A$6,MIN(Reference!$A$11,MIN($U76,150)))-INDEX(Reference!$A$6:$A$11,MIN(5,MATCH(MAX(Reference!$A$6,MIN(Reference!$A$11,MIN($U76,150))),Reference!$A$6:$A$11,1))))*(INDEX(Reference!$B$6:$B$11,MIN(5,MATCH(MAX(Reference!$A$6,MIN(Reference!$A$11,MIN($U76,150))),Reference!$A$6:$A$11,1))+1)-INDEX(Reference!$B$6:$B$11,MIN(5,MATCH(MAX(Reference!$A$6,MIN(Reference!$A$11,MIN($U76,150))),Reference!$A$6:$A$11,1))))/(INDEX(Reference!$A$6:$A$11,MIN(5,MATCH(MAX(Reference!$A$6,MIN(Reference!$A$11,MIN($U76,150))),Reference!$A$6:$A$11,1))+1)-INDEX(Reference!$A$6:$A$11,MIN(5,MATCH(MAX(Reference!$A$6,MIN(Reference!$A$11,MIN($U76,150))),Reference!$A$6:$A$11,1))))),0)+IF(4&lt;=$AL76,($AL76-4+3)*(INDEX(Reference!$B$6:$B$11,MIN(5,MATCH(MAX(Reference!$A$6,MIN(Reference!$A$11,MIN($U76,180))),Reference!$A$6:$A$11,1)))+(MAX(Reference!$A$6,MIN(Reference!$A$11,MIN($U76,180)))-INDEX(Reference!$A$6:$A$11,MIN(5,MATCH(MAX(Reference!$A$6,MIN(Reference!$A$11,MIN($U76,180))),Reference!$A$6:$A$11,1))))*(INDEX(Reference!$B$6:$B$11,MIN(5,MATCH(MAX(Reference!$A$6,MIN(Reference!$A$11,MIN($U76,180))),Reference!$A$6:$A$11,1))+1)-INDEX(Reference!$B$6:$B$11,MIN(5,MATCH(MAX(Reference!$A$6,MIN(Reference!$A$11,MIN($U76,180))),Reference!$A$6:$A$11,1))))/(INDEX(Reference!$A$6:$A$11,MIN(5,MATCH(MAX(Reference!$A$6,MIN(Reference!$A$11,MIN($U76,180))),Reference!$A$6:$A$11,1))+1)-INDEX(Reference!$A$6:$A$11,MIN(5,MATCH(MAX(Reference!$A$6,MIN(Reference!$A$11,MIN($U76,180))),Reference!$A$6:$A$11,1))))),0)+IF(5&lt;=$AL76,($AL76-5+3)*(INDEX(Reference!$B$6:$B$11,MIN(5,MATCH(MAX(Reference!$A$6,MIN(Reference!$A$11,MIN($U76,210))),Reference!$A$6:$A$11,1)))+(MAX(Reference!$A$6,MIN(Reference!$A$11,MIN($U76,210)))-INDEX(Reference!$A$6:$A$11,MIN(5,MATCH(MAX(Reference!$A$6,MIN(Reference!$A$11,MIN($U76,210))),Reference!$A$6:$A$11,1))))*(INDEX(Reference!$B$6:$B$11,MIN(5,MATCH(MAX(Reference!$A$6,MIN(Reference!$A$11,MIN($U76,210))),Reference!$A$6:$A$11,1))+1)-INDEX(Reference!$B$6:$B$11,MIN(5,MATCH(MAX(Reference!$A$6,MIN(Reference!$A$11,MIN($U76,210))),Reference!$A$6:$A$11,1))))/(INDEX(Reference!$A$6:$A$11,MIN(5,MATCH(MAX(Reference!$A$6,MIN(Reference!$A$11,MIN($U76,210))),Reference!$A$6:$A$11,1))+1)-INDEX(Reference!$A$6:$A$11,MIN(5,MATCH(MAX(Reference!$A$6,MIN(Reference!$A$11,MIN($U76,210))),Reference!$A$6:$A$11,1))))),0)+IF(6&lt;=$AL76,($AL76-6+3)*(INDEX(Reference!$B$6:$B$11,MIN(5,MATCH(MAX(Reference!$A$6,MIN(Reference!$A$11,MIN($U76,240))),Reference!$A$6:$A$11,1)))+(MAX(Reference!$A$6,MIN(Reference!$A$11,MIN($U76,240)))-INDEX(Reference!$A$6:$A$11,MIN(5,MATCH(MAX(Reference!$A$6,MIN(Reference!$A$11,MIN($U76,240))),Reference!$A$6:$A$11,1))))*(INDEX(Reference!$B$6:$B$11,MIN(5,MATCH(MAX(Reference!$A$6,MIN(Reference!$A$11,MIN($U76,240))),Reference!$A$6:$A$11,1))+1)-INDEX(Reference!$B$6:$B$11,MIN(5,MATCH(MAX(Reference!$A$6,MIN(Reference!$A$11,MIN($U76,240))),Reference!$A$6:$A$11,1))))/(INDEX(Reference!$A$6:$A$11,MIN(5,MATCH(MAX(Reference!$A$6,MIN(Reference!$A$11,MIN($U76,240))),Reference!$A$6:$A$11,1))+1)-INDEX(Reference!$A$6:$A$11,MIN(5,MATCH(MAX(Reference!$A$6,MIN(Reference!$A$11,MIN($U76,240))),Reference!$A$6:$A$11,1))))),0)+IF(7&lt;=$AL76,($AL76-7+3)*(INDEX(Reference!$B$6:$B$11,MIN(5,MATCH(MAX(Reference!$A$6,MIN(Reference!$A$11,MIN($U76,270))),Reference!$A$6:$A$11,1)))+(MAX(Reference!$A$6,MIN(Reference!$A$11,MIN($U76,270)))-INDEX(Reference!$A$6:$A$11,MIN(5,MATCH(MAX(Reference!$A$6,MIN(Reference!$A$11,MIN($U76,270))),Reference!$A$6:$A$11,1))))*(INDEX(Reference!$B$6:$B$11,MIN(5,MATCH(MAX(Reference!$A$6,MIN(Reference!$A$11,MIN($U76,270))),Reference!$A$6:$A$11,1))+1)-INDEX(Reference!$B$6:$B$11,MIN(5,MATCH(MAX(Reference!$A$6,MIN(Reference!$A$11,MIN($U76,270))),Reference!$A$6:$A$11,1))))/(INDEX(Reference!$A$6:$A$11,MIN(5,MATCH(MAX(Reference!$A$6,MIN(Reference!$A$11,MIN($U76,270))),Reference!$A$6:$A$11,1))+1)-INDEX(Reference!$A$6:$A$11,MIN(5,MATCH(MAX(Reference!$A$6,MIN(Reference!$A$11,MIN($U76,270))),Reference!$A$6:$A$11,1))))),0)+IF(8&lt;=$AL76,($AL76-8+3)*(INDEX(Reference!$B$6:$B$11,MIN(5,MATCH(MAX(Reference!$A$6,MIN(Reference!$A$11,MIN($U76,300))),Reference!$A$6:$A$11,1)))+(MAX(Reference!$A$6,MIN(Reference!$A$11,MIN($U76,300)))-INDEX(Reference!$A$6:$A$11,MIN(5,MATCH(MAX(Reference!$A$6,MIN(Reference!$A$11,MIN($U76,300))),Reference!$A$6:$A$11,1))))*(INDEX(Reference!$B$6:$B$11,MIN(5,MATCH(MAX(Reference!$A$6,MIN(Reference!$A$11,MIN($U76,300))),Reference!$A$6:$A$11,1))+1)-INDEX(Reference!$B$6:$B$11,MIN(5,MATCH(MAX(Reference!$A$6,MIN(Reference!$A$11,MIN($U76,300))),Reference!$A$6:$A$11,1))))/(INDEX(Reference!$A$6:$A$11,MIN(5,MATCH(MAX(Reference!$A$6,MIN(Reference!$A$11,MIN($U76,300))),Reference!$A$6:$A$11,1))+1)-INDEX(Reference!$A$6:$A$11,MIN(5,MATCH(MAX(Reference!$A$6,MIN(Reference!$A$11,MIN($U76,300))),Reference!$A$6:$A$11,1))))),0))/($AL76*($AL76+5)/2)),$AN76))</f>
        <v>1.4714285714285715</v>
      </c>
      <c r="AN76" s="32">
        <f>IF($U76="",0,(INDEX(Reference!$B$6:$B$11,MIN(5,MATCH(MAX(Reference!$A$6,MIN(Reference!$A$11,$U76)),Reference!$A$6:$A$11,1)))+(MAX(Reference!$A$6,MIN(Reference!$A$11,$U76))-INDEX(Reference!$A$6:$A$11,MIN(5,MATCH(MAX(Reference!$A$6,MIN(Reference!$A$11,$U76)),Reference!$A$6:$A$11,1))))*(INDEX(Reference!$B$6:$B$11,MIN(5,MATCH(MAX(Reference!$A$6,MIN(Reference!$A$11,$U76)),Reference!$A$6:$A$11,1))+1)-INDEX(Reference!$B$6:$B$11,MIN(5,MATCH(MAX(Reference!$A$6,MIN(Reference!$A$11,$U76)),Reference!$A$6:$A$11,1))))/(INDEX(Reference!$A$6:$A$11,MIN(5,MATCH(MAX(Reference!$A$6,MIN(Reference!$A$11,$U76)),Reference!$A$6:$A$11,1))+1)-INDEX(Reference!$A$6:$A$11,MIN(5,MATCH(MAX(Reference!$A$6,MIN(Reference!$A$11,$U76)),Reference!$A$6:$A$11,1))))))</f>
        <v>1.7</v>
      </c>
      <c r="AO76" s="37"/>
      <c r="AP76" s="37"/>
      <c r="AQ76" s="37"/>
    </row>
    <row r="77" spans="1:43" x14ac:dyDescent="0.3">
      <c r="A77" s="48">
        <f t="shared" si="30"/>
        <v>46341</v>
      </c>
      <c r="B77" s="32" t="str">
        <f t="shared" si="31"/>
        <v>Sun</v>
      </c>
      <c r="C77" s="32">
        <f t="shared" si="32"/>
        <v>50</v>
      </c>
      <c r="D77" s="32" t="str">
        <f t="shared" si="33"/>
        <v>Base</v>
      </c>
      <c r="E77" s="32" t="str">
        <f t="shared" si="34"/>
        <v>No Throw</v>
      </c>
      <c r="F77" s="32" t="str">
        <f t="shared" si="35"/>
        <v>No Throw</v>
      </c>
      <c r="G77" s="47" t="str">
        <f t="shared" si="36"/>
        <v>Off</v>
      </c>
      <c r="H77" s="30">
        <f t="shared" si="37"/>
        <v>0</v>
      </c>
      <c r="I77" s="46">
        <f>IF($A77="","",IF(AND($L77&lt;27,$K$12=0),"Building",IFERROR(((SUM($H$71:$H77)+$K$12*IF($L77&lt;6,SUMIFS('Throw Log'!$Q$5:$Q$300,'Throw Log'!$B$5:$B$300,$D$4,'Throw Log'!$A$5:$A$300,"&gt;="&amp;($D$6+$L77-6),'Throw Log'!$A$5:$A$300,"&lt;="&amp;($D$6-1)),0))/7)/((SUM($H$50:$H77)+$K$12*IF($L77&lt;27,SUMIFS('Throw Log'!$Q$5:$Q$300,'Throw Log'!$B$5:$B$300,$D$4,'Throw Log'!$A$5:$A$300,"&gt;="&amp;($D$6+$L77-27),'Throw Log'!$A$5:$A$300,"&lt;="&amp;($D$6-1)),0))/28),"")))</f>
        <v>1.1341208589279153</v>
      </c>
      <c r="J77" s="37"/>
      <c r="K77" s="37"/>
      <c r="L77" s="32">
        <v>34</v>
      </c>
      <c r="M77" s="32">
        <f t="shared" si="38"/>
        <v>5</v>
      </c>
      <c r="N77" s="32">
        <f t="shared" si="39"/>
        <v>6</v>
      </c>
      <c r="O77" s="32">
        <f t="shared" si="40"/>
        <v>0.44736842105263158</v>
      </c>
      <c r="P77" s="32">
        <f>IF(OR($A77="",N($C77)&lt;=7),"",$G$6*$G$9^($M77-1)*IF(AND(MOD($M77,Reference!$B$99)=0,$M77&lt;=$G$5-2),Reference!$B$100,1))</f>
        <v>128.18680745325557</v>
      </c>
      <c r="Q77" s="32">
        <f>IF($P77="","",IF(SUM($AK$71:$AK$77)=0,0,$P77*INDEX(Reference!$B$108:$B$114,$N77+1)/SUM($AK$71:$AK$77)))</f>
        <v>8.9730765217278901</v>
      </c>
      <c r="R77" s="32">
        <f t="shared" si="41"/>
        <v>135</v>
      </c>
      <c r="S77" s="32">
        <f t="shared" si="42"/>
        <v>120</v>
      </c>
      <c r="T77" s="32" t="str">
        <f>IF($A77="","",IF($C77=0,"Bullpen",IF(OR($C77=7,$C77=1,$C77=5),"Recovery/Easy Catch",IF($C77=6,"Compression/Pulldowns",IF(OR($C77=4,$C77=2),"Long Toss",IF($C77=3,"No Throw",IF($N77=2,"No Throw",IF($N77=6,IF($O77&lt;Reference!$B$104,"No Throw","Recovery/Easy Catch"),IF(OR($N77=0,$N77=4),"Recovery/Easy Catch",IF($N77=1,IF($R77&gt;75,"Long Toss","Recovery/Easy Catch"),IF($N77=3,IF($O77&lt;0.5,IF($S77&gt;75,"Long Toss","Recovery/Easy Catch"),"Compression/Pulldowns"),IF($S77&gt;75,"Long Toss","Recovery/Easy Catch"))))))))))))</f>
        <v>No Throw</v>
      </c>
      <c r="U77" s="32">
        <f t="shared" si="43"/>
        <v>60</v>
      </c>
      <c r="V77" s="32">
        <f t="shared" si="44"/>
        <v>20</v>
      </c>
      <c r="W77" s="32">
        <f t="shared" si="45"/>
        <v>24</v>
      </c>
      <c r="X77" s="32">
        <f t="shared" si="46"/>
        <v>0</v>
      </c>
      <c r="Y77" s="32" t="str">
        <f t="shared" si="47"/>
        <v/>
      </c>
      <c r="Z77" s="32" t="str">
        <f t="shared" si="48"/>
        <v/>
      </c>
      <c r="AA77" s="32" t="str">
        <f t="shared" si="49"/>
        <v/>
      </c>
      <c r="AB77" s="32">
        <f>IF($A77="","",IF($T77="No Throw",0,IF($K77&lt;&gt;"",$K77,IF($AA77&lt;&gt;"",ROUND($AA77*$D$12*IF($C77=0,1,$G$10),0),MIN(IF($T77="Recovery/Easy Catch",Reference!$B$103,IF($T77="Long Toss",Reference!$B$106,Reference!$B$102)),MAX(Reference!$B$101,ROUND(MAX(0,$Q77-$AE77)/$AF77,0)))))))</f>
        <v>0</v>
      </c>
      <c r="AC77" s="32">
        <f t="shared" si="50"/>
        <v>0</v>
      </c>
      <c r="AD77" s="32" t="b">
        <f t="shared" si="51"/>
        <v>1</v>
      </c>
      <c r="AE77" s="32">
        <f>IF($X77=0,0,$X77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77+$Z77)/2,0),Reference!$A$17:$B$20,2,TRUE()))</f>
        <v>0</v>
      </c>
      <c r="AF77" s="32">
        <f>IF(OR($A77="",$U77="",$T77="No Throw"),0,$AM77*VLOOKUP(MAX(($V77+$W77)/2,0),Reference!$A$17:$B$20,2,TRUE()))</f>
        <v>0</v>
      </c>
      <c r="AG77" s="32">
        <f>IF($AC77=0,0,$AC77*INDEX(Reference!$B$61:$B$62,MATCH("Bullpen",Reference!$A$61:$A$62,0))*VLOOKUP(MAX($D$5-($D$9+$E$9)/2,0),Reference!$A$17:$B$20,2,TRUE()))</f>
        <v>0</v>
      </c>
      <c r="AH77" s="46">
        <f t="shared" si="52"/>
        <v>1.1341208589279153</v>
      </c>
      <c r="AI77" s="32">
        <f>IF($A77="",NA(),Reference!$A$25)</f>
        <v>0.8</v>
      </c>
      <c r="AJ77" s="32">
        <f t="shared" si="53"/>
        <v>1.3</v>
      </c>
      <c r="AK77" s="32">
        <f>IF(OR($A77="",N($C77)&lt;=7,$T77="No Throw",$J77="x"),0,INDEX(Reference!$B$108:$B$114,$N77+1))</f>
        <v>0</v>
      </c>
      <c r="AL77" s="32">
        <f t="shared" si="54"/>
        <v>1</v>
      </c>
      <c r="AM77" s="32">
        <f>IF($U77="",0,IF($AL77&gt;1,((IF(1&lt;=$AL77,($AL77-1+3)*(INDEX(Reference!$B$6:$B$11,MIN(5,MATCH(MAX(Reference!$A$6,MIN(Reference!$A$11,MIN($U77,90))),Reference!$A$6:$A$11,1)))+(MAX(Reference!$A$6,MIN(Reference!$A$11,MIN($U77,90)))-INDEX(Reference!$A$6:$A$11,MIN(5,MATCH(MAX(Reference!$A$6,MIN(Reference!$A$11,MIN($U77,90))),Reference!$A$6:$A$11,1))))*(INDEX(Reference!$B$6:$B$11,MIN(5,MATCH(MAX(Reference!$A$6,MIN(Reference!$A$11,MIN($U77,90))),Reference!$A$6:$A$11,1))+1)-INDEX(Reference!$B$6:$B$11,MIN(5,MATCH(MAX(Reference!$A$6,MIN(Reference!$A$11,MIN($U77,90))),Reference!$A$6:$A$11,1))))/(INDEX(Reference!$A$6:$A$11,MIN(5,MATCH(MAX(Reference!$A$6,MIN(Reference!$A$11,MIN($U77,90))),Reference!$A$6:$A$11,1))+1)-INDEX(Reference!$A$6:$A$11,MIN(5,MATCH(MAX(Reference!$A$6,MIN(Reference!$A$11,MIN($U77,90))),Reference!$A$6:$A$11,1))))),0)+IF(2&lt;=$AL77,($AL77-2+3)*(INDEX(Reference!$B$6:$B$11,MIN(5,MATCH(MAX(Reference!$A$6,MIN(Reference!$A$11,MIN($U77,120))),Reference!$A$6:$A$11,1)))+(MAX(Reference!$A$6,MIN(Reference!$A$11,MIN($U77,120)))-INDEX(Reference!$A$6:$A$11,MIN(5,MATCH(MAX(Reference!$A$6,MIN(Reference!$A$11,MIN($U77,120))),Reference!$A$6:$A$11,1))))*(INDEX(Reference!$B$6:$B$11,MIN(5,MATCH(MAX(Reference!$A$6,MIN(Reference!$A$11,MIN($U77,120))),Reference!$A$6:$A$11,1))+1)-INDEX(Reference!$B$6:$B$11,MIN(5,MATCH(MAX(Reference!$A$6,MIN(Reference!$A$11,MIN($U77,120))),Reference!$A$6:$A$11,1))))/(INDEX(Reference!$A$6:$A$11,MIN(5,MATCH(MAX(Reference!$A$6,MIN(Reference!$A$11,MIN($U77,120))),Reference!$A$6:$A$11,1))+1)-INDEX(Reference!$A$6:$A$11,MIN(5,MATCH(MAX(Reference!$A$6,MIN(Reference!$A$11,MIN($U77,120))),Reference!$A$6:$A$11,1))))),0)+IF(3&lt;=$AL77,($AL77-3+3)*(INDEX(Reference!$B$6:$B$11,MIN(5,MATCH(MAX(Reference!$A$6,MIN(Reference!$A$11,MIN($U77,150))),Reference!$A$6:$A$11,1)))+(MAX(Reference!$A$6,MIN(Reference!$A$11,MIN($U77,150)))-INDEX(Reference!$A$6:$A$11,MIN(5,MATCH(MAX(Reference!$A$6,MIN(Reference!$A$11,MIN($U77,150))),Reference!$A$6:$A$11,1))))*(INDEX(Reference!$B$6:$B$11,MIN(5,MATCH(MAX(Reference!$A$6,MIN(Reference!$A$11,MIN($U77,150))),Reference!$A$6:$A$11,1))+1)-INDEX(Reference!$B$6:$B$11,MIN(5,MATCH(MAX(Reference!$A$6,MIN(Reference!$A$11,MIN($U77,150))),Reference!$A$6:$A$11,1))))/(INDEX(Reference!$A$6:$A$11,MIN(5,MATCH(MAX(Reference!$A$6,MIN(Reference!$A$11,MIN($U77,150))),Reference!$A$6:$A$11,1))+1)-INDEX(Reference!$A$6:$A$11,MIN(5,MATCH(MAX(Reference!$A$6,MIN(Reference!$A$11,MIN($U77,150))),Reference!$A$6:$A$11,1))))),0)+IF(4&lt;=$AL77,($AL77-4+3)*(INDEX(Reference!$B$6:$B$11,MIN(5,MATCH(MAX(Reference!$A$6,MIN(Reference!$A$11,MIN($U77,180))),Reference!$A$6:$A$11,1)))+(MAX(Reference!$A$6,MIN(Reference!$A$11,MIN($U77,180)))-INDEX(Reference!$A$6:$A$11,MIN(5,MATCH(MAX(Reference!$A$6,MIN(Reference!$A$11,MIN($U77,180))),Reference!$A$6:$A$11,1))))*(INDEX(Reference!$B$6:$B$11,MIN(5,MATCH(MAX(Reference!$A$6,MIN(Reference!$A$11,MIN($U77,180))),Reference!$A$6:$A$11,1))+1)-INDEX(Reference!$B$6:$B$11,MIN(5,MATCH(MAX(Reference!$A$6,MIN(Reference!$A$11,MIN($U77,180))),Reference!$A$6:$A$11,1))))/(INDEX(Reference!$A$6:$A$11,MIN(5,MATCH(MAX(Reference!$A$6,MIN(Reference!$A$11,MIN($U77,180))),Reference!$A$6:$A$11,1))+1)-INDEX(Reference!$A$6:$A$11,MIN(5,MATCH(MAX(Reference!$A$6,MIN(Reference!$A$11,MIN($U77,180))),Reference!$A$6:$A$11,1))))),0)+IF(5&lt;=$AL77,($AL77-5+3)*(INDEX(Reference!$B$6:$B$11,MIN(5,MATCH(MAX(Reference!$A$6,MIN(Reference!$A$11,MIN($U77,210))),Reference!$A$6:$A$11,1)))+(MAX(Reference!$A$6,MIN(Reference!$A$11,MIN($U77,210)))-INDEX(Reference!$A$6:$A$11,MIN(5,MATCH(MAX(Reference!$A$6,MIN(Reference!$A$11,MIN($U77,210))),Reference!$A$6:$A$11,1))))*(INDEX(Reference!$B$6:$B$11,MIN(5,MATCH(MAX(Reference!$A$6,MIN(Reference!$A$11,MIN($U77,210))),Reference!$A$6:$A$11,1))+1)-INDEX(Reference!$B$6:$B$11,MIN(5,MATCH(MAX(Reference!$A$6,MIN(Reference!$A$11,MIN($U77,210))),Reference!$A$6:$A$11,1))))/(INDEX(Reference!$A$6:$A$11,MIN(5,MATCH(MAX(Reference!$A$6,MIN(Reference!$A$11,MIN($U77,210))),Reference!$A$6:$A$11,1))+1)-INDEX(Reference!$A$6:$A$11,MIN(5,MATCH(MAX(Reference!$A$6,MIN(Reference!$A$11,MIN($U77,210))),Reference!$A$6:$A$11,1))))),0)+IF(6&lt;=$AL77,($AL77-6+3)*(INDEX(Reference!$B$6:$B$11,MIN(5,MATCH(MAX(Reference!$A$6,MIN(Reference!$A$11,MIN($U77,240))),Reference!$A$6:$A$11,1)))+(MAX(Reference!$A$6,MIN(Reference!$A$11,MIN($U77,240)))-INDEX(Reference!$A$6:$A$11,MIN(5,MATCH(MAX(Reference!$A$6,MIN(Reference!$A$11,MIN($U77,240))),Reference!$A$6:$A$11,1))))*(INDEX(Reference!$B$6:$B$11,MIN(5,MATCH(MAX(Reference!$A$6,MIN(Reference!$A$11,MIN($U77,240))),Reference!$A$6:$A$11,1))+1)-INDEX(Reference!$B$6:$B$11,MIN(5,MATCH(MAX(Reference!$A$6,MIN(Reference!$A$11,MIN($U77,240))),Reference!$A$6:$A$11,1))))/(INDEX(Reference!$A$6:$A$11,MIN(5,MATCH(MAX(Reference!$A$6,MIN(Reference!$A$11,MIN($U77,240))),Reference!$A$6:$A$11,1))+1)-INDEX(Reference!$A$6:$A$11,MIN(5,MATCH(MAX(Reference!$A$6,MIN(Reference!$A$11,MIN($U77,240))),Reference!$A$6:$A$11,1))))),0)+IF(7&lt;=$AL77,($AL77-7+3)*(INDEX(Reference!$B$6:$B$11,MIN(5,MATCH(MAX(Reference!$A$6,MIN(Reference!$A$11,MIN($U77,270))),Reference!$A$6:$A$11,1)))+(MAX(Reference!$A$6,MIN(Reference!$A$11,MIN($U77,270)))-INDEX(Reference!$A$6:$A$11,MIN(5,MATCH(MAX(Reference!$A$6,MIN(Reference!$A$11,MIN($U77,270))),Reference!$A$6:$A$11,1))))*(INDEX(Reference!$B$6:$B$11,MIN(5,MATCH(MAX(Reference!$A$6,MIN(Reference!$A$11,MIN($U77,270))),Reference!$A$6:$A$11,1))+1)-INDEX(Reference!$B$6:$B$11,MIN(5,MATCH(MAX(Reference!$A$6,MIN(Reference!$A$11,MIN($U77,270))),Reference!$A$6:$A$11,1))))/(INDEX(Reference!$A$6:$A$11,MIN(5,MATCH(MAX(Reference!$A$6,MIN(Reference!$A$11,MIN($U77,270))),Reference!$A$6:$A$11,1))+1)-INDEX(Reference!$A$6:$A$11,MIN(5,MATCH(MAX(Reference!$A$6,MIN(Reference!$A$11,MIN($U77,270))),Reference!$A$6:$A$11,1))))),0)+IF(8&lt;=$AL77,($AL77-8+3)*(INDEX(Reference!$B$6:$B$11,MIN(5,MATCH(MAX(Reference!$A$6,MIN(Reference!$A$11,MIN($U77,300))),Reference!$A$6:$A$11,1)))+(MAX(Reference!$A$6,MIN(Reference!$A$11,MIN($U77,300)))-INDEX(Reference!$A$6:$A$11,MIN(5,MATCH(MAX(Reference!$A$6,MIN(Reference!$A$11,MIN($U77,300))),Reference!$A$6:$A$11,1))))*(INDEX(Reference!$B$6:$B$11,MIN(5,MATCH(MAX(Reference!$A$6,MIN(Reference!$A$11,MIN($U77,300))),Reference!$A$6:$A$11,1))+1)-INDEX(Reference!$B$6:$B$11,MIN(5,MATCH(MAX(Reference!$A$6,MIN(Reference!$A$11,MIN($U77,300))),Reference!$A$6:$A$11,1))))/(INDEX(Reference!$A$6:$A$11,MIN(5,MATCH(MAX(Reference!$A$6,MIN(Reference!$A$11,MIN($U77,300))),Reference!$A$6:$A$11,1))+1)-INDEX(Reference!$A$6:$A$11,MIN(5,MATCH(MAX(Reference!$A$6,MIN(Reference!$A$11,MIN($U77,300))),Reference!$A$6:$A$11,1))))),0))/($AL77*($AL77+5)/2)),$AN77))</f>
        <v>1</v>
      </c>
      <c r="AN77" s="32">
        <f>IF($U77="",0,(INDEX(Reference!$B$6:$B$11,MIN(5,MATCH(MAX(Reference!$A$6,MIN(Reference!$A$11,$U77)),Reference!$A$6:$A$11,1)))+(MAX(Reference!$A$6,MIN(Reference!$A$11,$U77))-INDEX(Reference!$A$6:$A$11,MIN(5,MATCH(MAX(Reference!$A$6,MIN(Reference!$A$11,$U77)),Reference!$A$6:$A$11,1))))*(INDEX(Reference!$B$6:$B$11,MIN(5,MATCH(MAX(Reference!$A$6,MIN(Reference!$A$11,$U77)),Reference!$A$6:$A$11,1))+1)-INDEX(Reference!$B$6:$B$11,MIN(5,MATCH(MAX(Reference!$A$6,MIN(Reference!$A$11,$U77)),Reference!$A$6:$A$11,1))))/(INDEX(Reference!$A$6:$A$11,MIN(5,MATCH(MAX(Reference!$A$6,MIN(Reference!$A$11,$U77)),Reference!$A$6:$A$11,1))+1)-INDEX(Reference!$A$6:$A$11,MIN(5,MATCH(MAX(Reference!$A$6,MIN(Reference!$A$11,$U77)),Reference!$A$6:$A$11,1))))))</f>
        <v>1</v>
      </c>
      <c r="AO77" s="37"/>
      <c r="AP77" s="37"/>
      <c r="AQ77" s="37"/>
    </row>
    <row r="78" spans="1:43" x14ac:dyDescent="0.3">
      <c r="A78" s="48">
        <f t="shared" si="30"/>
        <v>46342</v>
      </c>
      <c r="B78" s="32" t="str">
        <f t="shared" si="31"/>
        <v>Mon</v>
      </c>
      <c r="C78" s="32">
        <f t="shared" si="32"/>
        <v>49</v>
      </c>
      <c r="D78" s="32" t="str">
        <f t="shared" si="33"/>
        <v>Extension</v>
      </c>
      <c r="E78" s="32" t="str">
        <f t="shared" si="34"/>
        <v>Low</v>
      </c>
      <c r="F78" s="32" t="str">
        <f t="shared" si="35"/>
        <v>Recovery/Easy Catch</v>
      </c>
      <c r="G78" s="47" t="str">
        <f t="shared" si="36"/>
        <v>75 ft × 25 @ 69–73 mph</v>
      </c>
      <c r="H78" s="30">
        <f t="shared" si="37"/>
        <v>17.25</v>
      </c>
      <c r="I78" s="46">
        <f>IF($A78="","",IF(AND($L78&lt;27,$K$12=0),"Building",IFERROR(((SUM($H$72:$H78)+$K$12*IF($L78&lt;6,SUMIFS('Throw Log'!$Q$5:$Q$300,'Throw Log'!$B$5:$B$300,$D$4,'Throw Log'!$A$5:$A$300,"&gt;="&amp;($D$6+$L78-6),'Throw Log'!$A$5:$A$300,"&lt;="&amp;($D$6-1)),0))/7)/((SUM($H$51:$H78)+$K$12*IF($L78&lt;27,SUMIFS('Throw Log'!$Q$5:$Q$300,'Throw Log'!$B$5:$B$300,$D$4,'Throw Log'!$A$5:$A$300,"&gt;="&amp;($D$6+$L78-27),'Throw Log'!$A$5:$A$300,"&lt;="&amp;($D$6-1)),0))/28),"")))</f>
        <v>1.1397470454074228</v>
      </c>
      <c r="J78" s="37"/>
      <c r="K78" s="37">
        <v>25</v>
      </c>
      <c r="L78" s="32">
        <v>35</v>
      </c>
      <c r="M78" s="32">
        <f t="shared" si="38"/>
        <v>6</v>
      </c>
      <c r="N78" s="32">
        <f t="shared" si="39"/>
        <v>0</v>
      </c>
      <c r="O78" s="32">
        <f t="shared" si="40"/>
        <v>0.46052631578947367</v>
      </c>
      <c r="P78" s="32">
        <f>IF(OR($A78="",N($C78)&lt;=7),"",$G$6*$G$9^($M78-1)*IF(AND(MOD($M78,Reference!$B$99)=0,$M78&lt;=$G$5-2),Reference!$B$100,1))</f>
        <v>144.22205101855957</v>
      </c>
      <c r="Q78" s="32">
        <f>IF($P78="","",IF(SUM($AK$78:$AK$84)=0,0,$P78*INDEX(Reference!$B$108:$B$114,$N78+1)/SUM($AK$78:$AK$84)))</f>
        <v>17.306646122227146</v>
      </c>
      <c r="R78" s="32">
        <f t="shared" si="41"/>
        <v>135</v>
      </c>
      <c r="S78" s="32">
        <f t="shared" si="42"/>
        <v>120</v>
      </c>
      <c r="T78" s="32" t="str">
        <f>IF($A78="","",IF($C78=0,"Bullpen",IF(OR($C78=7,$C78=1,$C78=5),"Recovery/Easy Catch",IF($C78=6,"Compression/Pulldowns",IF(OR($C78=4,$C78=2),"Long Toss",IF($C78=3,"No Throw",IF($N78=2,"No Throw",IF($N78=6,IF($O78&lt;Reference!$B$104,"No Throw","Recovery/Easy Catch"),IF(OR($N78=0,$N78=4),"Recovery/Easy Catch",IF($N78=1,IF($R78&gt;75,"Long Toss","Recovery/Easy Catch"),IF($N78=3,IF($O78&lt;0.5,IF($S78&gt;75,"Long Toss","Recovery/Easy Catch"),"Compression/Pulldowns"),IF($S78&gt;75,"Long Toss","Recovery/Easy Catch"))))))))))))</f>
        <v>Recovery/Easy Catch</v>
      </c>
      <c r="U78" s="32">
        <f t="shared" si="43"/>
        <v>75</v>
      </c>
      <c r="V78" s="32">
        <f t="shared" si="44"/>
        <v>18</v>
      </c>
      <c r="W78" s="32">
        <f t="shared" si="45"/>
        <v>22</v>
      </c>
      <c r="X78" s="32">
        <f t="shared" si="46"/>
        <v>0</v>
      </c>
      <c r="Y78" s="32" t="str">
        <f t="shared" si="47"/>
        <v/>
      </c>
      <c r="Z78" s="32" t="str">
        <f t="shared" si="48"/>
        <v/>
      </c>
      <c r="AA78" s="32" t="str">
        <f t="shared" si="49"/>
        <v/>
      </c>
      <c r="AB78" s="32">
        <f>IF($A78="","",IF($T78="No Throw",0,IF($K78&lt;&gt;"",$K78,IF($AA78&lt;&gt;"",ROUND($AA78*$D$12*IF($C78=0,1,$G$10),0),MIN(IF($T78="Recovery/Easy Catch",Reference!$B$103,IF($T78="Long Toss",Reference!$B$106,Reference!$B$102)),MAX(Reference!$B$101,ROUND(MAX(0,$Q78-$AE78)/$AF78,0)))))))</f>
        <v>25</v>
      </c>
      <c r="AC78" s="32">
        <f t="shared" si="50"/>
        <v>0</v>
      </c>
      <c r="AD78" s="32" t="b">
        <f t="shared" si="51"/>
        <v>0</v>
      </c>
      <c r="AE78" s="32">
        <f>IF($X78=0,0,$X78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78+$Z78)/2,0),Reference!$A$17:$B$20,2,TRUE()))</f>
        <v>0</v>
      </c>
      <c r="AF78" s="32">
        <f>IF(OR($A78="",$U78="",$T78="No Throw"),0,$AM78*VLOOKUP(MAX(($V78+$W78)/2,0),Reference!$A$17:$B$20,2,TRUE()))</f>
        <v>0.69</v>
      </c>
      <c r="AG78" s="32">
        <f>IF($AC78=0,0,$AC78*INDEX(Reference!$B$61:$B$62,MATCH("Bullpen",Reference!$A$61:$A$62,0))*VLOOKUP(MAX($D$5-($D$9+$E$9)/2,0),Reference!$A$17:$B$20,2,TRUE()))</f>
        <v>0</v>
      </c>
      <c r="AH78" s="46">
        <f t="shared" si="52"/>
        <v>1.1397470454074228</v>
      </c>
      <c r="AI78" s="32">
        <f>IF($A78="",NA(),Reference!$A$25)</f>
        <v>0.8</v>
      </c>
      <c r="AJ78" s="32">
        <f t="shared" si="53"/>
        <v>1.3</v>
      </c>
      <c r="AK78" s="56">
        <f>IF(OR($A78="",N($C78)&lt;=7,$T78="No Throw",$J78="x"),0,INDEX(Reference!$B$108:$B$114,$N78+1))</f>
        <v>0.12</v>
      </c>
      <c r="AL78" s="32">
        <f t="shared" si="54"/>
        <v>1</v>
      </c>
      <c r="AM78" s="32">
        <f>IF($U78="",0,IF($AL78&gt;1,((IF(1&lt;=$AL78,($AL78-1+3)*(INDEX(Reference!$B$6:$B$11,MIN(5,MATCH(MAX(Reference!$A$6,MIN(Reference!$A$11,MIN($U78,90))),Reference!$A$6:$A$11,1)))+(MAX(Reference!$A$6,MIN(Reference!$A$11,MIN($U78,90)))-INDEX(Reference!$A$6:$A$11,MIN(5,MATCH(MAX(Reference!$A$6,MIN(Reference!$A$11,MIN($U78,90))),Reference!$A$6:$A$11,1))))*(INDEX(Reference!$B$6:$B$11,MIN(5,MATCH(MAX(Reference!$A$6,MIN(Reference!$A$11,MIN($U78,90))),Reference!$A$6:$A$11,1))+1)-INDEX(Reference!$B$6:$B$11,MIN(5,MATCH(MAX(Reference!$A$6,MIN(Reference!$A$11,MIN($U78,90))),Reference!$A$6:$A$11,1))))/(INDEX(Reference!$A$6:$A$11,MIN(5,MATCH(MAX(Reference!$A$6,MIN(Reference!$A$11,MIN($U78,90))),Reference!$A$6:$A$11,1))+1)-INDEX(Reference!$A$6:$A$11,MIN(5,MATCH(MAX(Reference!$A$6,MIN(Reference!$A$11,MIN($U78,90))),Reference!$A$6:$A$11,1))))),0)+IF(2&lt;=$AL78,($AL78-2+3)*(INDEX(Reference!$B$6:$B$11,MIN(5,MATCH(MAX(Reference!$A$6,MIN(Reference!$A$11,MIN($U78,120))),Reference!$A$6:$A$11,1)))+(MAX(Reference!$A$6,MIN(Reference!$A$11,MIN($U78,120)))-INDEX(Reference!$A$6:$A$11,MIN(5,MATCH(MAX(Reference!$A$6,MIN(Reference!$A$11,MIN($U78,120))),Reference!$A$6:$A$11,1))))*(INDEX(Reference!$B$6:$B$11,MIN(5,MATCH(MAX(Reference!$A$6,MIN(Reference!$A$11,MIN($U78,120))),Reference!$A$6:$A$11,1))+1)-INDEX(Reference!$B$6:$B$11,MIN(5,MATCH(MAX(Reference!$A$6,MIN(Reference!$A$11,MIN($U78,120))),Reference!$A$6:$A$11,1))))/(INDEX(Reference!$A$6:$A$11,MIN(5,MATCH(MAX(Reference!$A$6,MIN(Reference!$A$11,MIN($U78,120))),Reference!$A$6:$A$11,1))+1)-INDEX(Reference!$A$6:$A$11,MIN(5,MATCH(MAX(Reference!$A$6,MIN(Reference!$A$11,MIN($U78,120))),Reference!$A$6:$A$11,1))))),0)+IF(3&lt;=$AL78,($AL78-3+3)*(INDEX(Reference!$B$6:$B$11,MIN(5,MATCH(MAX(Reference!$A$6,MIN(Reference!$A$11,MIN($U78,150))),Reference!$A$6:$A$11,1)))+(MAX(Reference!$A$6,MIN(Reference!$A$11,MIN($U78,150)))-INDEX(Reference!$A$6:$A$11,MIN(5,MATCH(MAX(Reference!$A$6,MIN(Reference!$A$11,MIN($U78,150))),Reference!$A$6:$A$11,1))))*(INDEX(Reference!$B$6:$B$11,MIN(5,MATCH(MAX(Reference!$A$6,MIN(Reference!$A$11,MIN($U78,150))),Reference!$A$6:$A$11,1))+1)-INDEX(Reference!$B$6:$B$11,MIN(5,MATCH(MAX(Reference!$A$6,MIN(Reference!$A$11,MIN($U78,150))),Reference!$A$6:$A$11,1))))/(INDEX(Reference!$A$6:$A$11,MIN(5,MATCH(MAX(Reference!$A$6,MIN(Reference!$A$11,MIN($U78,150))),Reference!$A$6:$A$11,1))+1)-INDEX(Reference!$A$6:$A$11,MIN(5,MATCH(MAX(Reference!$A$6,MIN(Reference!$A$11,MIN($U78,150))),Reference!$A$6:$A$11,1))))),0)+IF(4&lt;=$AL78,($AL78-4+3)*(INDEX(Reference!$B$6:$B$11,MIN(5,MATCH(MAX(Reference!$A$6,MIN(Reference!$A$11,MIN($U78,180))),Reference!$A$6:$A$11,1)))+(MAX(Reference!$A$6,MIN(Reference!$A$11,MIN($U78,180)))-INDEX(Reference!$A$6:$A$11,MIN(5,MATCH(MAX(Reference!$A$6,MIN(Reference!$A$11,MIN($U78,180))),Reference!$A$6:$A$11,1))))*(INDEX(Reference!$B$6:$B$11,MIN(5,MATCH(MAX(Reference!$A$6,MIN(Reference!$A$11,MIN($U78,180))),Reference!$A$6:$A$11,1))+1)-INDEX(Reference!$B$6:$B$11,MIN(5,MATCH(MAX(Reference!$A$6,MIN(Reference!$A$11,MIN($U78,180))),Reference!$A$6:$A$11,1))))/(INDEX(Reference!$A$6:$A$11,MIN(5,MATCH(MAX(Reference!$A$6,MIN(Reference!$A$11,MIN($U78,180))),Reference!$A$6:$A$11,1))+1)-INDEX(Reference!$A$6:$A$11,MIN(5,MATCH(MAX(Reference!$A$6,MIN(Reference!$A$11,MIN($U78,180))),Reference!$A$6:$A$11,1))))),0)+IF(5&lt;=$AL78,($AL78-5+3)*(INDEX(Reference!$B$6:$B$11,MIN(5,MATCH(MAX(Reference!$A$6,MIN(Reference!$A$11,MIN($U78,210))),Reference!$A$6:$A$11,1)))+(MAX(Reference!$A$6,MIN(Reference!$A$11,MIN($U78,210)))-INDEX(Reference!$A$6:$A$11,MIN(5,MATCH(MAX(Reference!$A$6,MIN(Reference!$A$11,MIN($U78,210))),Reference!$A$6:$A$11,1))))*(INDEX(Reference!$B$6:$B$11,MIN(5,MATCH(MAX(Reference!$A$6,MIN(Reference!$A$11,MIN($U78,210))),Reference!$A$6:$A$11,1))+1)-INDEX(Reference!$B$6:$B$11,MIN(5,MATCH(MAX(Reference!$A$6,MIN(Reference!$A$11,MIN($U78,210))),Reference!$A$6:$A$11,1))))/(INDEX(Reference!$A$6:$A$11,MIN(5,MATCH(MAX(Reference!$A$6,MIN(Reference!$A$11,MIN($U78,210))),Reference!$A$6:$A$11,1))+1)-INDEX(Reference!$A$6:$A$11,MIN(5,MATCH(MAX(Reference!$A$6,MIN(Reference!$A$11,MIN($U78,210))),Reference!$A$6:$A$11,1))))),0)+IF(6&lt;=$AL78,($AL78-6+3)*(INDEX(Reference!$B$6:$B$11,MIN(5,MATCH(MAX(Reference!$A$6,MIN(Reference!$A$11,MIN($U78,240))),Reference!$A$6:$A$11,1)))+(MAX(Reference!$A$6,MIN(Reference!$A$11,MIN($U78,240)))-INDEX(Reference!$A$6:$A$11,MIN(5,MATCH(MAX(Reference!$A$6,MIN(Reference!$A$11,MIN($U78,240))),Reference!$A$6:$A$11,1))))*(INDEX(Reference!$B$6:$B$11,MIN(5,MATCH(MAX(Reference!$A$6,MIN(Reference!$A$11,MIN($U78,240))),Reference!$A$6:$A$11,1))+1)-INDEX(Reference!$B$6:$B$11,MIN(5,MATCH(MAX(Reference!$A$6,MIN(Reference!$A$11,MIN($U78,240))),Reference!$A$6:$A$11,1))))/(INDEX(Reference!$A$6:$A$11,MIN(5,MATCH(MAX(Reference!$A$6,MIN(Reference!$A$11,MIN($U78,240))),Reference!$A$6:$A$11,1))+1)-INDEX(Reference!$A$6:$A$11,MIN(5,MATCH(MAX(Reference!$A$6,MIN(Reference!$A$11,MIN($U78,240))),Reference!$A$6:$A$11,1))))),0)+IF(7&lt;=$AL78,($AL78-7+3)*(INDEX(Reference!$B$6:$B$11,MIN(5,MATCH(MAX(Reference!$A$6,MIN(Reference!$A$11,MIN($U78,270))),Reference!$A$6:$A$11,1)))+(MAX(Reference!$A$6,MIN(Reference!$A$11,MIN($U78,270)))-INDEX(Reference!$A$6:$A$11,MIN(5,MATCH(MAX(Reference!$A$6,MIN(Reference!$A$11,MIN($U78,270))),Reference!$A$6:$A$11,1))))*(INDEX(Reference!$B$6:$B$11,MIN(5,MATCH(MAX(Reference!$A$6,MIN(Reference!$A$11,MIN($U78,270))),Reference!$A$6:$A$11,1))+1)-INDEX(Reference!$B$6:$B$11,MIN(5,MATCH(MAX(Reference!$A$6,MIN(Reference!$A$11,MIN($U78,270))),Reference!$A$6:$A$11,1))))/(INDEX(Reference!$A$6:$A$11,MIN(5,MATCH(MAX(Reference!$A$6,MIN(Reference!$A$11,MIN($U78,270))),Reference!$A$6:$A$11,1))+1)-INDEX(Reference!$A$6:$A$11,MIN(5,MATCH(MAX(Reference!$A$6,MIN(Reference!$A$11,MIN($U78,270))),Reference!$A$6:$A$11,1))))),0)+IF(8&lt;=$AL78,($AL78-8+3)*(INDEX(Reference!$B$6:$B$11,MIN(5,MATCH(MAX(Reference!$A$6,MIN(Reference!$A$11,MIN($U78,300))),Reference!$A$6:$A$11,1)))+(MAX(Reference!$A$6,MIN(Reference!$A$11,MIN($U78,300)))-INDEX(Reference!$A$6:$A$11,MIN(5,MATCH(MAX(Reference!$A$6,MIN(Reference!$A$11,MIN($U78,300))),Reference!$A$6:$A$11,1))))*(INDEX(Reference!$B$6:$B$11,MIN(5,MATCH(MAX(Reference!$A$6,MIN(Reference!$A$11,MIN($U78,300))),Reference!$A$6:$A$11,1))+1)-INDEX(Reference!$B$6:$B$11,MIN(5,MATCH(MAX(Reference!$A$6,MIN(Reference!$A$11,MIN($U78,300))),Reference!$A$6:$A$11,1))))/(INDEX(Reference!$A$6:$A$11,MIN(5,MATCH(MAX(Reference!$A$6,MIN(Reference!$A$11,MIN($U78,300))),Reference!$A$6:$A$11,1))+1)-INDEX(Reference!$A$6:$A$11,MIN(5,MATCH(MAX(Reference!$A$6,MIN(Reference!$A$11,MIN($U78,300))),Reference!$A$6:$A$11,1))))),0))/($AL78*($AL78+5)/2)),$AN78))</f>
        <v>1.1499999999999999</v>
      </c>
      <c r="AN78" s="32">
        <f>IF($U78="",0,(INDEX(Reference!$B$6:$B$11,MIN(5,MATCH(MAX(Reference!$A$6,MIN(Reference!$A$11,$U78)),Reference!$A$6:$A$11,1)))+(MAX(Reference!$A$6,MIN(Reference!$A$11,$U78))-INDEX(Reference!$A$6:$A$11,MIN(5,MATCH(MAX(Reference!$A$6,MIN(Reference!$A$11,$U78)),Reference!$A$6:$A$11,1))))*(INDEX(Reference!$B$6:$B$11,MIN(5,MATCH(MAX(Reference!$A$6,MIN(Reference!$A$11,$U78)),Reference!$A$6:$A$11,1))+1)-INDEX(Reference!$B$6:$B$11,MIN(5,MATCH(MAX(Reference!$A$6,MIN(Reference!$A$11,$U78)),Reference!$A$6:$A$11,1))))/(INDEX(Reference!$A$6:$A$11,MIN(5,MATCH(MAX(Reference!$A$6,MIN(Reference!$A$11,$U78)),Reference!$A$6:$A$11,1))+1)-INDEX(Reference!$A$6:$A$11,MIN(5,MATCH(MAX(Reference!$A$6,MIN(Reference!$A$11,$U78)),Reference!$A$6:$A$11,1))))))</f>
        <v>1.1499999999999999</v>
      </c>
      <c r="AO78" s="37"/>
      <c r="AP78" s="37"/>
      <c r="AQ78" s="37"/>
    </row>
    <row r="79" spans="1:43" ht="26.4" x14ac:dyDescent="0.3">
      <c r="A79" s="48">
        <f t="shared" si="30"/>
        <v>46343</v>
      </c>
      <c r="B79" s="32" t="str">
        <f t="shared" si="31"/>
        <v>Tue</v>
      </c>
      <c r="C79" s="32">
        <f t="shared" si="32"/>
        <v>48</v>
      </c>
      <c r="D79" s="32" t="str">
        <f t="shared" si="33"/>
        <v>Extension</v>
      </c>
      <c r="E79" s="32" t="str">
        <f t="shared" si="34"/>
        <v>Medium</v>
      </c>
      <c r="F79" s="32" t="str">
        <f t="shared" si="35"/>
        <v>Long Toss</v>
      </c>
      <c r="G79" s="47" t="str">
        <f t="shared" si="36"/>
        <v>Long toss out to 135 ft — 34 throws (90×14 · 120×12 · 135×8) @ 75–78 mph + 60 ft × 10 @ 73–77 mph</v>
      </c>
      <c r="H79" s="30">
        <f t="shared" si="37"/>
        <v>38.555</v>
      </c>
      <c r="I79" s="46">
        <f>IF($A79="","",IF(AND($L79&lt;27,$K$12=0),"Building",IFERROR(((SUM($H$73:$H79)+$K$12*IF($L79&lt;6,SUMIFS('Throw Log'!$Q$5:$Q$300,'Throw Log'!$B$5:$B$300,$D$4,'Throw Log'!$A$5:$A$300,"&gt;="&amp;($D$6+$L79-6),'Throw Log'!$A$5:$A$300,"&lt;="&amp;($D$6-1)),0))/7)/((SUM($H$52:$H79)+$K$12*IF($L79&lt;27,SUMIFS('Throw Log'!$Q$5:$Q$300,'Throw Log'!$B$5:$B$300,$D$4,'Throw Log'!$A$5:$A$300,"&gt;="&amp;($D$6+$L79-27),'Throw Log'!$A$5:$A$300,"&lt;="&amp;($D$6-1)),0))/28),"")))</f>
        <v>1.1488529325539913</v>
      </c>
      <c r="J79" s="37"/>
      <c r="K79" s="37"/>
      <c r="L79" s="32">
        <v>36</v>
      </c>
      <c r="M79" s="32">
        <f t="shared" si="38"/>
        <v>6</v>
      </c>
      <c r="N79" s="32">
        <f t="shared" si="39"/>
        <v>1</v>
      </c>
      <c r="O79" s="32">
        <f t="shared" si="40"/>
        <v>0.47368421052631576</v>
      </c>
      <c r="P79" s="32">
        <f>IF(OR($A79="",N($C79)&lt;=7),"",$G$6*$G$9^($M79-1)*IF(AND(MOD($M79,Reference!$B$99)=0,$M79&lt;=$G$5-2),Reference!$B$100,1))</f>
        <v>144.22205101855957</v>
      </c>
      <c r="Q79" s="32">
        <f>IF($P79="","",IF(SUM($AK$78:$AK$84)=0,0,$P79*INDEX(Reference!$B$108:$B$114,$N79+1)/SUM($AK$78:$AK$84)))</f>
        <v>38.939953775011084</v>
      </c>
      <c r="R79" s="32">
        <f t="shared" si="41"/>
        <v>135</v>
      </c>
      <c r="S79" s="32">
        <f t="shared" si="42"/>
        <v>120</v>
      </c>
      <c r="T79" s="32" t="str">
        <f>IF($A79="","",IF($C79=0,"Bullpen",IF(OR($C79=7,$C79=1,$C79=5),"Recovery/Easy Catch",IF($C79=6,"Compression/Pulldowns",IF(OR($C79=4,$C79=2),"Long Toss",IF($C79=3,"No Throw",IF($N79=2,"No Throw",IF($N79=6,IF($O79&lt;Reference!$B$104,"No Throw","Recovery/Easy Catch"),IF(OR($N79=0,$N79=4),"Recovery/Easy Catch",IF($N79=1,IF($R79&gt;75,"Long Toss","Recovery/Easy Catch"),IF($N79=3,IF($O79&lt;0.5,IF($S79&gt;75,"Long Toss","Recovery/Easy Catch"),"Compression/Pulldowns"),IF($S79&gt;75,"Long Toss","Recovery/Easy Catch"))))))))))))</f>
        <v>Long Toss</v>
      </c>
      <c r="U79" s="32">
        <f t="shared" si="43"/>
        <v>135</v>
      </c>
      <c r="V79" s="32">
        <f t="shared" si="44"/>
        <v>13</v>
      </c>
      <c r="W79" s="32">
        <f t="shared" si="45"/>
        <v>16</v>
      </c>
      <c r="X79" s="32">
        <f t="shared" si="46"/>
        <v>10</v>
      </c>
      <c r="Y79" s="32">
        <f t="shared" si="47"/>
        <v>14</v>
      </c>
      <c r="Z79" s="32">
        <f t="shared" si="48"/>
        <v>18</v>
      </c>
      <c r="AA79" s="32" t="str">
        <f t="shared" si="49"/>
        <v/>
      </c>
      <c r="AB79" s="32">
        <f>IF($A79="","",IF($T79="No Throw",0,IF($K79&lt;&gt;"",$K79,IF($AA79&lt;&gt;"",ROUND($AA79*$D$12*IF($C79=0,1,$G$10),0),MIN(IF($T79="Recovery/Easy Catch",Reference!$B$103,IF($T79="Long Toss",Reference!$B$106,Reference!$B$102)),MAX(Reference!$B$101,ROUND(MAX(0,$Q79-$AE79)/$AF79,0)))))))</f>
        <v>34</v>
      </c>
      <c r="AC79" s="32">
        <f t="shared" si="50"/>
        <v>0</v>
      </c>
      <c r="AD79" s="32" t="b">
        <f t="shared" si="51"/>
        <v>0</v>
      </c>
      <c r="AE79" s="32">
        <f>IF($X79=0,0,$X79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79+$Z79)/2,0),Reference!$A$17:$B$20,2,TRUE()))</f>
        <v>6</v>
      </c>
      <c r="AF79" s="32">
        <f>IF(OR($A79="",$U79="",$T79="No Throw"),0,$AM79*VLOOKUP(MAX(($V79+$W79)/2,0),Reference!$A$17:$B$20,2,TRUE()))</f>
        <v>0.95750000000000002</v>
      </c>
      <c r="AG79" s="32">
        <f>IF($AC79=0,0,$AC79*INDEX(Reference!$B$61:$B$62,MATCH("Bullpen",Reference!$A$61:$A$62,0))*VLOOKUP(MAX($D$5-($D$9+$E$9)/2,0),Reference!$A$17:$B$20,2,TRUE()))</f>
        <v>0</v>
      </c>
      <c r="AH79" s="46">
        <f t="shared" si="52"/>
        <v>1.1488529325539913</v>
      </c>
      <c r="AI79" s="32">
        <f>IF($A79="",NA(),Reference!$A$25)</f>
        <v>0.8</v>
      </c>
      <c r="AJ79" s="32">
        <f t="shared" si="53"/>
        <v>1.3</v>
      </c>
      <c r="AK79" s="56">
        <f>IF(OR($A79="",N($C79)&lt;=7,$T79="No Throw",$J79="x"),0,INDEX(Reference!$B$108:$B$114,$N79+1))</f>
        <v>0.27</v>
      </c>
      <c r="AL79" s="32">
        <f t="shared" si="54"/>
        <v>3</v>
      </c>
      <c r="AM79" s="32">
        <f>IF($U79="",0,IF($AL79&gt;1,((IF(1&lt;=$AL79,($AL79-1+3)*(INDEX(Reference!$B$6:$B$11,MIN(5,MATCH(MAX(Reference!$A$6,MIN(Reference!$A$11,MIN($U79,90))),Reference!$A$6:$A$11,1)))+(MAX(Reference!$A$6,MIN(Reference!$A$11,MIN($U79,90)))-INDEX(Reference!$A$6:$A$11,MIN(5,MATCH(MAX(Reference!$A$6,MIN(Reference!$A$11,MIN($U79,90))),Reference!$A$6:$A$11,1))))*(INDEX(Reference!$B$6:$B$11,MIN(5,MATCH(MAX(Reference!$A$6,MIN(Reference!$A$11,MIN($U79,90))),Reference!$A$6:$A$11,1))+1)-INDEX(Reference!$B$6:$B$11,MIN(5,MATCH(MAX(Reference!$A$6,MIN(Reference!$A$11,MIN($U79,90))),Reference!$A$6:$A$11,1))))/(INDEX(Reference!$A$6:$A$11,MIN(5,MATCH(MAX(Reference!$A$6,MIN(Reference!$A$11,MIN($U79,90))),Reference!$A$6:$A$11,1))+1)-INDEX(Reference!$A$6:$A$11,MIN(5,MATCH(MAX(Reference!$A$6,MIN(Reference!$A$11,MIN($U79,90))),Reference!$A$6:$A$11,1))))),0)+IF(2&lt;=$AL79,($AL79-2+3)*(INDEX(Reference!$B$6:$B$11,MIN(5,MATCH(MAX(Reference!$A$6,MIN(Reference!$A$11,MIN($U79,120))),Reference!$A$6:$A$11,1)))+(MAX(Reference!$A$6,MIN(Reference!$A$11,MIN($U79,120)))-INDEX(Reference!$A$6:$A$11,MIN(5,MATCH(MAX(Reference!$A$6,MIN(Reference!$A$11,MIN($U79,120))),Reference!$A$6:$A$11,1))))*(INDEX(Reference!$B$6:$B$11,MIN(5,MATCH(MAX(Reference!$A$6,MIN(Reference!$A$11,MIN($U79,120))),Reference!$A$6:$A$11,1))+1)-INDEX(Reference!$B$6:$B$11,MIN(5,MATCH(MAX(Reference!$A$6,MIN(Reference!$A$11,MIN($U79,120))),Reference!$A$6:$A$11,1))))/(INDEX(Reference!$A$6:$A$11,MIN(5,MATCH(MAX(Reference!$A$6,MIN(Reference!$A$11,MIN($U79,120))),Reference!$A$6:$A$11,1))+1)-INDEX(Reference!$A$6:$A$11,MIN(5,MATCH(MAX(Reference!$A$6,MIN(Reference!$A$11,MIN($U79,120))),Reference!$A$6:$A$11,1))))),0)+IF(3&lt;=$AL79,($AL79-3+3)*(INDEX(Reference!$B$6:$B$11,MIN(5,MATCH(MAX(Reference!$A$6,MIN(Reference!$A$11,MIN($U79,150))),Reference!$A$6:$A$11,1)))+(MAX(Reference!$A$6,MIN(Reference!$A$11,MIN($U79,150)))-INDEX(Reference!$A$6:$A$11,MIN(5,MATCH(MAX(Reference!$A$6,MIN(Reference!$A$11,MIN($U79,150))),Reference!$A$6:$A$11,1))))*(INDEX(Reference!$B$6:$B$11,MIN(5,MATCH(MAX(Reference!$A$6,MIN(Reference!$A$11,MIN($U79,150))),Reference!$A$6:$A$11,1))+1)-INDEX(Reference!$B$6:$B$11,MIN(5,MATCH(MAX(Reference!$A$6,MIN(Reference!$A$11,MIN($U79,150))),Reference!$A$6:$A$11,1))))/(INDEX(Reference!$A$6:$A$11,MIN(5,MATCH(MAX(Reference!$A$6,MIN(Reference!$A$11,MIN($U79,150))),Reference!$A$6:$A$11,1))+1)-INDEX(Reference!$A$6:$A$11,MIN(5,MATCH(MAX(Reference!$A$6,MIN(Reference!$A$11,MIN($U79,150))),Reference!$A$6:$A$11,1))))),0)+IF(4&lt;=$AL79,($AL79-4+3)*(INDEX(Reference!$B$6:$B$11,MIN(5,MATCH(MAX(Reference!$A$6,MIN(Reference!$A$11,MIN($U79,180))),Reference!$A$6:$A$11,1)))+(MAX(Reference!$A$6,MIN(Reference!$A$11,MIN($U79,180)))-INDEX(Reference!$A$6:$A$11,MIN(5,MATCH(MAX(Reference!$A$6,MIN(Reference!$A$11,MIN($U79,180))),Reference!$A$6:$A$11,1))))*(INDEX(Reference!$B$6:$B$11,MIN(5,MATCH(MAX(Reference!$A$6,MIN(Reference!$A$11,MIN($U79,180))),Reference!$A$6:$A$11,1))+1)-INDEX(Reference!$B$6:$B$11,MIN(5,MATCH(MAX(Reference!$A$6,MIN(Reference!$A$11,MIN($U79,180))),Reference!$A$6:$A$11,1))))/(INDEX(Reference!$A$6:$A$11,MIN(5,MATCH(MAX(Reference!$A$6,MIN(Reference!$A$11,MIN($U79,180))),Reference!$A$6:$A$11,1))+1)-INDEX(Reference!$A$6:$A$11,MIN(5,MATCH(MAX(Reference!$A$6,MIN(Reference!$A$11,MIN($U79,180))),Reference!$A$6:$A$11,1))))),0)+IF(5&lt;=$AL79,($AL79-5+3)*(INDEX(Reference!$B$6:$B$11,MIN(5,MATCH(MAX(Reference!$A$6,MIN(Reference!$A$11,MIN($U79,210))),Reference!$A$6:$A$11,1)))+(MAX(Reference!$A$6,MIN(Reference!$A$11,MIN($U79,210)))-INDEX(Reference!$A$6:$A$11,MIN(5,MATCH(MAX(Reference!$A$6,MIN(Reference!$A$11,MIN($U79,210))),Reference!$A$6:$A$11,1))))*(INDEX(Reference!$B$6:$B$11,MIN(5,MATCH(MAX(Reference!$A$6,MIN(Reference!$A$11,MIN($U79,210))),Reference!$A$6:$A$11,1))+1)-INDEX(Reference!$B$6:$B$11,MIN(5,MATCH(MAX(Reference!$A$6,MIN(Reference!$A$11,MIN($U79,210))),Reference!$A$6:$A$11,1))))/(INDEX(Reference!$A$6:$A$11,MIN(5,MATCH(MAX(Reference!$A$6,MIN(Reference!$A$11,MIN($U79,210))),Reference!$A$6:$A$11,1))+1)-INDEX(Reference!$A$6:$A$11,MIN(5,MATCH(MAX(Reference!$A$6,MIN(Reference!$A$11,MIN($U79,210))),Reference!$A$6:$A$11,1))))),0)+IF(6&lt;=$AL79,($AL79-6+3)*(INDEX(Reference!$B$6:$B$11,MIN(5,MATCH(MAX(Reference!$A$6,MIN(Reference!$A$11,MIN($U79,240))),Reference!$A$6:$A$11,1)))+(MAX(Reference!$A$6,MIN(Reference!$A$11,MIN($U79,240)))-INDEX(Reference!$A$6:$A$11,MIN(5,MATCH(MAX(Reference!$A$6,MIN(Reference!$A$11,MIN($U79,240))),Reference!$A$6:$A$11,1))))*(INDEX(Reference!$B$6:$B$11,MIN(5,MATCH(MAX(Reference!$A$6,MIN(Reference!$A$11,MIN($U79,240))),Reference!$A$6:$A$11,1))+1)-INDEX(Reference!$B$6:$B$11,MIN(5,MATCH(MAX(Reference!$A$6,MIN(Reference!$A$11,MIN($U79,240))),Reference!$A$6:$A$11,1))))/(INDEX(Reference!$A$6:$A$11,MIN(5,MATCH(MAX(Reference!$A$6,MIN(Reference!$A$11,MIN($U79,240))),Reference!$A$6:$A$11,1))+1)-INDEX(Reference!$A$6:$A$11,MIN(5,MATCH(MAX(Reference!$A$6,MIN(Reference!$A$11,MIN($U79,240))),Reference!$A$6:$A$11,1))))),0)+IF(7&lt;=$AL79,($AL79-7+3)*(INDEX(Reference!$B$6:$B$11,MIN(5,MATCH(MAX(Reference!$A$6,MIN(Reference!$A$11,MIN($U79,270))),Reference!$A$6:$A$11,1)))+(MAX(Reference!$A$6,MIN(Reference!$A$11,MIN($U79,270)))-INDEX(Reference!$A$6:$A$11,MIN(5,MATCH(MAX(Reference!$A$6,MIN(Reference!$A$11,MIN($U79,270))),Reference!$A$6:$A$11,1))))*(INDEX(Reference!$B$6:$B$11,MIN(5,MATCH(MAX(Reference!$A$6,MIN(Reference!$A$11,MIN($U79,270))),Reference!$A$6:$A$11,1))+1)-INDEX(Reference!$B$6:$B$11,MIN(5,MATCH(MAX(Reference!$A$6,MIN(Reference!$A$11,MIN($U79,270))),Reference!$A$6:$A$11,1))))/(INDEX(Reference!$A$6:$A$11,MIN(5,MATCH(MAX(Reference!$A$6,MIN(Reference!$A$11,MIN($U79,270))),Reference!$A$6:$A$11,1))+1)-INDEX(Reference!$A$6:$A$11,MIN(5,MATCH(MAX(Reference!$A$6,MIN(Reference!$A$11,MIN($U79,270))),Reference!$A$6:$A$11,1))))),0)+IF(8&lt;=$AL79,($AL79-8+3)*(INDEX(Reference!$B$6:$B$11,MIN(5,MATCH(MAX(Reference!$A$6,MIN(Reference!$A$11,MIN($U79,300))),Reference!$A$6:$A$11,1)))+(MAX(Reference!$A$6,MIN(Reference!$A$11,MIN($U79,300)))-INDEX(Reference!$A$6:$A$11,MIN(5,MATCH(MAX(Reference!$A$6,MIN(Reference!$A$11,MIN($U79,300))),Reference!$A$6:$A$11,1))))*(INDEX(Reference!$B$6:$B$11,MIN(5,MATCH(MAX(Reference!$A$6,MIN(Reference!$A$11,MIN($U79,300))),Reference!$A$6:$A$11,1))+1)-INDEX(Reference!$B$6:$B$11,MIN(5,MATCH(MAX(Reference!$A$6,MIN(Reference!$A$11,MIN($U79,300))),Reference!$A$6:$A$11,1))))/(INDEX(Reference!$A$6:$A$11,MIN(5,MATCH(MAX(Reference!$A$6,MIN(Reference!$A$11,MIN($U79,300))),Reference!$A$6:$A$11,1))+1)-INDEX(Reference!$A$6:$A$11,MIN(5,MATCH(MAX(Reference!$A$6,MIN(Reference!$A$11,MIN($U79,300))),Reference!$A$6:$A$11,1))))),0))/($AL79*($AL79+5)/2)),$AN79))</f>
        <v>1.5958333333333334</v>
      </c>
      <c r="AN79" s="32">
        <f>IF($U79="",0,(INDEX(Reference!$B$6:$B$11,MIN(5,MATCH(MAX(Reference!$A$6,MIN(Reference!$A$11,$U79)),Reference!$A$6:$A$11,1)))+(MAX(Reference!$A$6,MIN(Reference!$A$11,$U79))-INDEX(Reference!$A$6:$A$11,MIN(5,MATCH(MAX(Reference!$A$6,MIN(Reference!$A$11,$U79)),Reference!$A$6:$A$11,1))))*(INDEX(Reference!$B$6:$B$11,MIN(5,MATCH(MAX(Reference!$A$6,MIN(Reference!$A$11,$U79)),Reference!$A$6:$A$11,1))+1)-INDEX(Reference!$B$6:$B$11,MIN(5,MATCH(MAX(Reference!$A$6,MIN(Reference!$A$11,$U79)),Reference!$A$6:$A$11,1))))/(INDEX(Reference!$A$6:$A$11,MIN(5,MATCH(MAX(Reference!$A$6,MIN(Reference!$A$11,$U79)),Reference!$A$6:$A$11,1))+1)-INDEX(Reference!$A$6:$A$11,MIN(5,MATCH(MAX(Reference!$A$6,MIN(Reference!$A$11,$U79)),Reference!$A$6:$A$11,1))))))</f>
        <v>1.9500000000000002</v>
      </c>
      <c r="AO79" s="37"/>
      <c r="AP79" s="37"/>
      <c r="AQ79" s="37"/>
    </row>
    <row r="80" spans="1:43" x14ac:dyDescent="0.3">
      <c r="A80" s="48">
        <f t="shared" si="30"/>
        <v>46344</v>
      </c>
      <c r="B80" s="32" t="str">
        <f t="shared" si="31"/>
        <v>Wed</v>
      </c>
      <c r="C80" s="32">
        <f t="shared" si="32"/>
        <v>47</v>
      </c>
      <c r="D80" s="32" t="str">
        <f t="shared" si="33"/>
        <v>Extension</v>
      </c>
      <c r="E80" s="32" t="str">
        <f t="shared" si="34"/>
        <v>No Throw</v>
      </c>
      <c r="F80" s="32" t="str">
        <f t="shared" si="35"/>
        <v>No Throw</v>
      </c>
      <c r="G80" s="47" t="str">
        <f t="shared" si="36"/>
        <v>Off</v>
      </c>
      <c r="H80" s="30">
        <f t="shared" si="37"/>
        <v>0</v>
      </c>
      <c r="I80" s="46">
        <f>IF($A80="","",IF(AND($L80&lt;27,$K$12=0),"Building",IFERROR(((SUM($H$74:$H80)+$K$12*IF($L80&lt;6,SUMIFS('Throw Log'!$Q$5:$Q$300,'Throw Log'!$B$5:$B$300,$D$4,'Throw Log'!$A$5:$A$300,"&gt;="&amp;($D$6+$L80-6),'Throw Log'!$A$5:$A$300,"&lt;="&amp;($D$6-1)),0))/7)/((SUM($H$53:$H80)+$K$12*IF($L80&lt;27,SUMIFS('Throw Log'!$Q$5:$Q$300,'Throw Log'!$B$5:$B$300,$D$4,'Throw Log'!$A$5:$A$300,"&gt;="&amp;($D$6+$L80-27),'Throw Log'!$A$5:$A$300,"&lt;="&amp;($D$6-1)),0))/28),"")))</f>
        <v>1.1488529325539913</v>
      </c>
      <c r="J80" s="37"/>
      <c r="K80" s="37"/>
      <c r="L80" s="32">
        <v>37</v>
      </c>
      <c r="M80" s="32">
        <f t="shared" si="38"/>
        <v>6</v>
      </c>
      <c r="N80" s="32">
        <f t="shared" si="39"/>
        <v>2</v>
      </c>
      <c r="O80" s="32">
        <f t="shared" si="40"/>
        <v>0.48684210526315791</v>
      </c>
      <c r="P80" s="32">
        <f>IF(OR($A80="",N($C80)&lt;=7),"",$G$6*$G$9^($M80-1)*IF(AND(MOD($M80,Reference!$B$99)=0,$M80&lt;=$G$5-2),Reference!$B$100,1))</f>
        <v>144.22205101855957</v>
      </c>
      <c r="Q80" s="32">
        <f>IF($P80="","",IF(SUM($AK$78:$AK$84)=0,0,$P80*INDEX(Reference!$B$108:$B$114,$N80+1)/SUM($AK$78:$AK$84)))</f>
        <v>0</v>
      </c>
      <c r="R80" s="32">
        <f t="shared" si="41"/>
        <v>135</v>
      </c>
      <c r="S80" s="32">
        <f t="shared" si="42"/>
        <v>120</v>
      </c>
      <c r="T80" s="32" t="str">
        <f>IF($A80="","",IF($C80=0,"Bullpen",IF(OR($C80=7,$C80=1,$C80=5),"Recovery/Easy Catch",IF($C80=6,"Compression/Pulldowns",IF(OR($C80=4,$C80=2),"Long Toss",IF($C80=3,"No Throw",IF($N80=2,"No Throw",IF($N80=6,IF($O80&lt;Reference!$B$104,"No Throw","Recovery/Easy Catch"),IF(OR($N80=0,$N80=4),"Recovery/Easy Catch",IF($N80=1,IF($R80&gt;75,"Long Toss","Recovery/Easy Catch"),IF($N80=3,IF($O80&lt;0.5,IF($S80&gt;75,"Long Toss","Recovery/Easy Catch"),"Compression/Pulldowns"),IF($S80&gt;75,"Long Toss","Recovery/Easy Catch"))))))))))))</f>
        <v>No Throw</v>
      </c>
      <c r="U80" s="32" t="str">
        <f t="shared" si="43"/>
        <v/>
      </c>
      <c r="V80" s="32" t="str">
        <f t="shared" si="44"/>
        <v/>
      </c>
      <c r="W80" s="32" t="str">
        <f t="shared" si="45"/>
        <v/>
      </c>
      <c r="X80" s="32">
        <f t="shared" si="46"/>
        <v>0</v>
      </c>
      <c r="Y80" s="32" t="str">
        <f t="shared" si="47"/>
        <v/>
      </c>
      <c r="Z80" s="32" t="str">
        <f t="shared" si="48"/>
        <v/>
      </c>
      <c r="AA80" s="32" t="str">
        <f t="shared" si="49"/>
        <v/>
      </c>
      <c r="AB80" s="32">
        <f>IF($A80="","",IF($T80="No Throw",0,IF($K80&lt;&gt;"",$K80,IF($AA80&lt;&gt;"",ROUND($AA80*$D$12*IF($C80=0,1,$G$10),0),MIN(IF($T80="Recovery/Easy Catch",Reference!$B$103,IF($T80="Long Toss",Reference!$B$106,Reference!$B$102)),MAX(Reference!$B$101,ROUND(MAX(0,$Q80-$AE80)/$AF80,0)))))))</f>
        <v>0</v>
      </c>
      <c r="AC80" s="32">
        <f t="shared" si="50"/>
        <v>0</v>
      </c>
      <c r="AD80" s="32" t="b">
        <f t="shared" si="51"/>
        <v>1</v>
      </c>
      <c r="AE80" s="32">
        <f>IF($X80=0,0,$X80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80+$Z80)/2,0),Reference!$A$17:$B$20,2,TRUE()))</f>
        <v>0</v>
      </c>
      <c r="AF80" s="32">
        <f>IF(OR($A80="",$U80="",$T80="No Throw"),0,$AM80*VLOOKUP(MAX(($V80+$W80)/2,0),Reference!$A$17:$B$20,2,TRUE()))</f>
        <v>0</v>
      </c>
      <c r="AG80" s="32">
        <f>IF($AC80=0,0,$AC80*INDEX(Reference!$B$61:$B$62,MATCH("Bullpen",Reference!$A$61:$A$62,0))*VLOOKUP(MAX($D$5-($D$9+$E$9)/2,0),Reference!$A$17:$B$20,2,TRUE()))</f>
        <v>0</v>
      </c>
      <c r="AH80" s="46">
        <f t="shared" si="52"/>
        <v>1.1488529325539913</v>
      </c>
      <c r="AI80" s="32">
        <f>IF($A80="",NA(),Reference!$A$25)</f>
        <v>0.8</v>
      </c>
      <c r="AJ80" s="32">
        <f t="shared" si="53"/>
        <v>1.3</v>
      </c>
      <c r="AK80" s="32">
        <f>IF(OR($A80="",N($C80)&lt;=7,$T80="No Throw",$J80="x"),0,INDEX(Reference!$B$108:$B$114,$N80+1))</f>
        <v>0</v>
      </c>
      <c r="AL80" s="32">
        <f t="shared" si="54"/>
        <v>1</v>
      </c>
      <c r="AM80" s="32">
        <f>IF($U80="",0,IF($AL80&gt;1,((IF(1&lt;=$AL80,($AL80-1+3)*(INDEX(Reference!$B$6:$B$11,MIN(5,MATCH(MAX(Reference!$A$6,MIN(Reference!$A$11,MIN($U80,90))),Reference!$A$6:$A$11,1)))+(MAX(Reference!$A$6,MIN(Reference!$A$11,MIN($U80,90)))-INDEX(Reference!$A$6:$A$11,MIN(5,MATCH(MAX(Reference!$A$6,MIN(Reference!$A$11,MIN($U80,90))),Reference!$A$6:$A$11,1))))*(INDEX(Reference!$B$6:$B$11,MIN(5,MATCH(MAX(Reference!$A$6,MIN(Reference!$A$11,MIN($U80,90))),Reference!$A$6:$A$11,1))+1)-INDEX(Reference!$B$6:$B$11,MIN(5,MATCH(MAX(Reference!$A$6,MIN(Reference!$A$11,MIN($U80,90))),Reference!$A$6:$A$11,1))))/(INDEX(Reference!$A$6:$A$11,MIN(5,MATCH(MAX(Reference!$A$6,MIN(Reference!$A$11,MIN($U80,90))),Reference!$A$6:$A$11,1))+1)-INDEX(Reference!$A$6:$A$11,MIN(5,MATCH(MAX(Reference!$A$6,MIN(Reference!$A$11,MIN($U80,90))),Reference!$A$6:$A$11,1))))),0)+IF(2&lt;=$AL80,($AL80-2+3)*(INDEX(Reference!$B$6:$B$11,MIN(5,MATCH(MAX(Reference!$A$6,MIN(Reference!$A$11,MIN($U80,120))),Reference!$A$6:$A$11,1)))+(MAX(Reference!$A$6,MIN(Reference!$A$11,MIN($U80,120)))-INDEX(Reference!$A$6:$A$11,MIN(5,MATCH(MAX(Reference!$A$6,MIN(Reference!$A$11,MIN($U80,120))),Reference!$A$6:$A$11,1))))*(INDEX(Reference!$B$6:$B$11,MIN(5,MATCH(MAX(Reference!$A$6,MIN(Reference!$A$11,MIN($U80,120))),Reference!$A$6:$A$11,1))+1)-INDEX(Reference!$B$6:$B$11,MIN(5,MATCH(MAX(Reference!$A$6,MIN(Reference!$A$11,MIN($U80,120))),Reference!$A$6:$A$11,1))))/(INDEX(Reference!$A$6:$A$11,MIN(5,MATCH(MAX(Reference!$A$6,MIN(Reference!$A$11,MIN($U80,120))),Reference!$A$6:$A$11,1))+1)-INDEX(Reference!$A$6:$A$11,MIN(5,MATCH(MAX(Reference!$A$6,MIN(Reference!$A$11,MIN($U80,120))),Reference!$A$6:$A$11,1))))),0)+IF(3&lt;=$AL80,($AL80-3+3)*(INDEX(Reference!$B$6:$B$11,MIN(5,MATCH(MAX(Reference!$A$6,MIN(Reference!$A$11,MIN($U80,150))),Reference!$A$6:$A$11,1)))+(MAX(Reference!$A$6,MIN(Reference!$A$11,MIN($U80,150)))-INDEX(Reference!$A$6:$A$11,MIN(5,MATCH(MAX(Reference!$A$6,MIN(Reference!$A$11,MIN($U80,150))),Reference!$A$6:$A$11,1))))*(INDEX(Reference!$B$6:$B$11,MIN(5,MATCH(MAX(Reference!$A$6,MIN(Reference!$A$11,MIN($U80,150))),Reference!$A$6:$A$11,1))+1)-INDEX(Reference!$B$6:$B$11,MIN(5,MATCH(MAX(Reference!$A$6,MIN(Reference!$A$11,MIN($U80,150))),Reference!$A$6:$A$11,1))))/(INDEX(Reference!$A$6:$A$11,MIN(5,MATCH(MAX(Reference!$A$6,MIN(Reference!$A$11,MIN($U80,150))),Reference!$A$6:$A$11,1))+1)-INDEX(Reference!$A$6:$A$11,MIN(5,MATCH(MAX(Reference!$A$6,MIN(Reference!$A$11,MIN($U80,150))),Reference!$A$6:$A$11,1))))),0)+IF(4&lt;=$AL80,($AL80-4+3)*(INDEX(Reference!$B$6:$B$11,MIN(5,MATCH(MAX(Reference!$A$6,MIN(Reference!$A$11,MIN($U80,180))),Reference!$A$6:$A$11,1)))+(MAX(Reference!$A$6,MIN(Reference!$A$11,MIN($U80,180)))-INDEX(Reference!$A$6:$A$11,MIN(5,MATCH(MAX(Reference!$A$6,MIN(Reference!$A$11,MIN($U80,180))),Reference!$A$6:$A$11,1))))*(INDEX(Reference!$B$6:$B$11,MIN(5,MATCH(MAX(Reference!$A$6,MIN(Reference!$A$11,MIN($U80,180))),Reference!$A$6:$A$11,1))+1)-INDEX(Reference!$B$6:$B$11,MIN(5,MATCH(MAX(Reference!$A$6,MIN(Reference!$A$11,MIN($U80,180))),Reference!$A$6:$A$11,1))))/(INDEX(Reference!$A$6:$A$11,MIN(5,MATCH(MAX(Reference!$A$6,MIN(Reference!$A$11,MIN($U80,180))),Reference!$A$6:$A$11,1))+1)-INDEX(Reference!$A$6:$A$11,MIN(5,MATCH(MAX(Reference!$A$6,MIN(Reference!$A$11,MIN($U80,180))),Reference!$A$6:$A$11,1))))),0)+IF(5&lt;=$AL80,($AL80-5+3)*(INDEX(Reference!$B$6:$B$11,MIN(5,MATCH(MAX(Reference!$A$6,MIN(Reference!$A$11,MIN($U80,210))),Reference!$A$6:$A$11,1)))+(MAX(Reference!$A$6,MIN(Reference!$A$11,MIN($U80,210)))-INDEX(Reference!$A$6:$A$11,MIN(5,MATCH(MAX(Reference!$A$6,MIN(Reference!$A$11,MIN($U80,210))),Reference!$A$6:$A$11,1))))*(INDEX(Reference!$B$6:$B$11,MIN(5,MATCH(MAX(Reference!$A$6,MIN(Reference!$A$11,MIN($U80,210))),Reference!$A$6:$A$11,1))+1)-INDEX(Reference!$B$6:$B$11,MIN(5,MATCH(MAX(Reference!$A$6,MIN(Reference!$A$11,MIN($U80,210))),Reference!$A$6:$A$11,1))))/(INDEX(Reference!$A$6:$A$11,MIN(5,MATCH(MAX(Reference!$A$6,MIN(Reference!$A$11,MIN($U80,210))),Reference!$A$6:$A$11,1))+1)-INDEX(Reference!$A$6:$A$11,MIN(5,MATCH(MAX(Reference!$A$6,MIN(Reference!$A$11,MIN($U80,210))),Reference!$A$6:$A$11,1))))),0)+IF(6&lt;=$AL80,($AL80-6+3)*(INDEX(Reference!$B$6:$B$11,MIN(5,MATCH(MAX(Reference!$A$6,MIN(Reference!$A$11,MIN($U80,240))),Reference!$A$6:$A$11,1)))+(MAX(Reference!$A$6,MIN(Reference!$A$11,MIN($U80,240)))-INDEX(Reference!$A$6:$A$11,MIN(5,MATCH(MAX(Reference!$A$6,MIN(Reference!$A$11,MIN($U80,240))),Reference!$A$6:$A$11,1))))*(INDEX(Reference!$B$6:$B$11,MIN(5,MATCH(MAX(Reference!$A$6,MIN(Reference!$A$11,MIN($U80,240))),Reference!$A$6:$A$11,1))+1)-INDEX(Reference!$B$6:$B$11,MIN(5,MATCH(MAX(Reference!$A$6,MIN(Reference!$A$11,MIN($U80,240))),Reference!$A$6:$A$11,1))))/(INDEX(Reference!$A$6:$A$11,MIN(5,MATCH(MAX(Reference!$A$6,MIN(Reference!$A$11,MIN($U80,240))),Reference!$A$6:$A$11,1))+1)-INDEX(Reference!$A$6:$A$11,MIN(5,MATCH(MAX(Reference!$A$6,MIN(Reference!$A$11,MIN($U80,240))),Reference!$A$6:$A$11,1))))),0)+IF(7&lt;=$AL80,($AL80-7+3)*(INDEX(Reference!$B$6:$B$11,MIN(5,MATCH(MAX(Reference!$A$6,MIN(Reference!$A$11,MIN($U80,270))),Reference!$A$6:$A$11,1)))+(MAX(Reference!$A$6,MIN(Reference!$A$11,MIN($U80,270)))-INDEX(Reference!$A$6:$A$11,MIN(5,MATCH(MAX(Reference!$A$6,MIN(Reference!$A$11,MIN($U80,270))),Reference!$A$6:$A$11,1))))*(INDEX(Reference!$B$6:$B$11,MIN(5,MATCH(MAX(Reference!$A$6,MIN(Reference!$A$11,MIN($U80,270))),Reference!$A$6:$A$11,1))+1)-INDEX(Reference!$B$6:$B$11,MIN(5,MATCH(MAX(Reference!$A$6,MIN(Reference!$A$11,MIN($U80,270))),Reference!$A$6:$A$11,1))))/(INDEX(Reference!$A$6:$A$11,MIN(5,MATCH(MAX(Reference!$A$6,MIN(Reference!$A$11,MIN($U80,270))),Reference!$A$6:$A$11,1))+1)-INDEX(Reference!$A$6:$A$11,MIN(5,MATCH(MAX(Reference!$A$6,MIN(Reference!$A$11,MIN($U80,270))),Reference!$A$6:$A$11,1))))),0)+IF(8&lt;=$AL80,($AL80-8+3)*(INDEX(Reference!$B$6:$B$11,MIN(5,MATCH(MAX(Reference!$A$6,MIN(Reference!$A$11,MIN($U80,300))),Reference!$A$6:$A$11,1)))+(MAX(Reference!$A$6,MIN(Reference!$A$11,MIN($U80,300)))-INDEX(Reference!$A$6:$A$11,MIN(5,MATCH(MAX(Reference!$A$6,MIN(Reference!$A$11,MIN($U80,300))),Reference!$A$6:$A$11,1))))*(INDEX(Reference!$B$6:$B$11,MIN(5,MATCH(MAX(Reference!$A$6,MIN(Reference!$A$11,MIN($U80,300))),Reference!$A$6:$A$11,1))+1)-INDEX(Reference!$B$6:$B$11,MIN(5,MATCH(MAX(Reference!$A$6,MIN(Reference!$A$11,MIN($U80,300))),Reference!$A$6:$A$11,1))))/(INDEX(Reference!$A$6:$A$11,MIN(5,MATCH(MAX(Reference!$A$6,MIN(Reference!$A$11,MIN($U80,300))),Reference!$A$6:$A$11,1))+1)-INDEX(Reference!$A$6:$A$11,MIN(5,MATCH(MAX(Reference!$A$6,MIN(Reference!$A$11,MIN($U80,300))),Reference!$A$6:$A$11,1))))),0))/($AL80*($AL80+5)/2)),$AN80))</f>
        <v>0</v>
      </c>
      <c r="AN80" s="32">
        <f>IF($U80="",0,(INDEX(Reference!$B$6:$B$11,MIN(5,MATCH(MAX(Reference!$A$6,MIN(Reference!$A$11,$U80)),Reference!$A$6:$A$11,1)))+(MAX(Reference!$A$6,MIN(Reference!$A$11,$U80))-INDEX(Reference!$A$6:$A$11,MIN(5,MATCH(MAX(Reference!$A$6,MIN(Reference!$A$11,$U80)),Reference!$A$6:$A$11,1))))*(INDEX(Reference!$B$6:$B$11,MIN(5,MATCH(MAX(Reference!$A$6,MIN(Reference!$A$11,$U80)),Reference!$A$6:$A$11,1))+1)-INDEX(Reference!$B$6:$B$11,MIN(5,MATCH(MAX(Reference!$A$6,MIN(Reference!$A$11,$U80)),Reference!$A$6:$A$11,1))))/(INDEX(Reference!$A$6:$A$11,MIN(5,MATCH(MAX(Reference!$A$6,MIN(Reference!$A$11,$U80)),Reference!$A$6:$A$11,1))+1)-INDEX(Reference!$A$6:$A$11,MIN(5,MATCH(MAX(Reference!$A$6,MIN(Reference!$A$11,$U80)),Reference!$A$6:$A$11,1))))))</f>
        <v>0</v>
      </c>
      <c r="AO80" s="37"/>
      <c r="AP80" s="37"/>
      <c r="AQ80" s="37"/>
    </row>
    <row r="81" spans="1:43" x14ac:dyDescent="0.3">
      <c r="A81" s="48">
        <f t="shared" si="30"/>
        <v>46345</v>
      </c>
      <c r="B81" s="32" t="str">
        <f t="shared" si="31"/>
        <v>Thu</v>
      </c>
      <c r="C81" s="32">
        <f t="shared" si="32"/>
        <v>46</v>
      </c>
      <c r="D81" s="32" t="str">
        <f t="shared" si="33"/>
        <v>Extension</v>
      </c>
      <c r="E81" s="32" t="str">
        <f t="shared" si="34"/>
        <v>High Non-Bullpen</v>
      </c>
      <c r="F81" s="32" t="str">
        <f t="shared" si="35"/>
        <v>Compression/Pulldowns</v>
      </c>
      <c r="G81" s="47" t="str">
        <f t="shared" si="36"/>
        <v>90 ft × 20 @ 82–84 mph + 60 ft × 15 @ 79–81 mph</v>
      </c>
      <c r="H81" s="30">
        <f t="shared" si="37"/>
        <v>35</v>
      </c>
      <c r="I81" s="46">
        <f>IF($A81="","",IF(AND($L81&lt;27,$K$12=0),"Building",IFERROR(((SUM($H$75:$H81)+$K$12*IF($L81&lt;6,SUMIFS('Throw Log'!$Q$5:$Q$300,'Throw Log'!$B$5:$B$300,$D$4,'Throw Log'!$A$5:$A$300,"&gt;="&amp;($D$6+$L81-6),'Throw Log'!$A$5:$A$300,"&lt;="&amp;($D$6-1)),0))/7)/((SUM($H$54:$H81)+$K$12*IF($L81&lt;27,SUMIFS('Throw Log'!$Q$5:$Q$300,'Throw Log'!$B$5:$B$300,$D$4,'Throw Log'!$A$5:$A$300,"&gt;="&amp;($D$6+$L81-27),'Throw Log'!$A$5:$A$300,"&lt;="&amp;($D$6-1)),0))/28),"")))</f>
        <v>1.1766143234166977</v>
      </c>
      <c r="J81" s="37"/>
      <c r="K81" s="37"/>
      <c r="L81" s="32">
        <v>38</v>
      </c>
      <c r="M81" s="32">
        <f t="shared" si="38"/>
        <v>6</v>
      </c>
      <c r="N81" s="32">
        <f t="shared" si="39"/>
        <v>3</v>
      </c>
      <c r="O81" s="32">
        <f t="shared" si="40"/>
        <v>0.5</v>
      </c>
      <c r="P81" s="32">
        <f>IF(OR($A81="",N($C81)&lt;=7),"",$G$6*$G$9^($M81-1)*IF(AND(MOD($M81,Reference!$B$99)=0,$M81&lt;=$G$5-2),Reference!$B$100,1))</f>
        <v>144.22205101855957</v>
      </c>
      <c r="Q81" s="32">
        <f>IF($P81="","",IF(SUM($AK$78:$AK$84)=0,0,$P81*INDEX(Reference!$B$108:$B$114,$N81+1)/SUM($AK$78:$AK$84)))</f>
        <v>34.613292244454293</v>
      </c>
      <c r="R81" s="32">
        <f t="shared" si="41"/>
        <v>135</v>
      </c>
      <c r="S81" s="32">
        <f t="shared" si="42"/>
        <v>120</v>
      </c>
      <c r="T81" s="32" t="str">
        <f>IF($A81="","",IF($C81=0,"Bullpen",IF(OR($C81=7,$C81=1,$C81=5),"Recovery/Easy Catch",IF($C81=6,"Compression/Pulldowns",IF(OR($C81=4,$C81=2),"Long Toss",IF($C81=3,"No Throw",IF($N81=2,"No Throw",IF($N81=6,IF($O81&lt;Reference!$B$104,"No Throw","Recovery/Easy Catch"),IF(OR($N81=0,$N81=4),"Recovery/Easy Catch",IF($N81=1,IF($R81&gt;75,"Long Toss","Recovery/Easy Catch"),IF($N81=3,IF($O81&lt;0.5,IF($S81&gt;75,"Long Toss","Recovery/Easy Catch"),"Compression/Pulldowns"),IF($S81&gt;75,"Long Toss","Recovery/Easy Catch"))))))))))))</f>
        <v>Compression/Pulldowns</v>
      </c>
      <c r="U81" s="32">
        <f t="shared" si="43"/>
        <v>90</v>
      </c>
      <c r="V81" s="32">
        <f t="shared" si="44"/>
        <v>7</v>
      </c>
      <c r="W81" s="32">
        <f t="shared" si="45"/>
        <v>9</v>
      </c>
      <c r="X81" s="32">
        <f t="shared" si="46"/>
        <v>15</v>
      </c>
      <c r="Y81" s="32">
        <f t="shared" si="47"/>
        <v>10</v>
      </c>
      <c r="Z81" s="32">
        <f t="shared" si="48"/>
        <v>12</v>
      </c>
      <c r="AA81" s="32" t="str">
        <f t="shared" si="49"/>
        <v/>
      </c>
      <c r="AB81" s="32">
        <f>IF($A81="","",IF($T81="No Throw",0,IF($K81&lt;&gt;"",$K81,IF($AA81&lt;&gt;"",ROUND($AA81*$D$12*IF($C81=0,1,$G$10),0),MIN(IF($T81="Recovery/Easy Catch",Reference!$B$103,IF($T81="Long Toss",Reference!$B$106,Reference!$B$102)),MAX(Reference!$B$101,ROUND(MAX(0,$Q81-$AE81)/$AF81,0)))))))</f>
        <v>20</v>
      </c>
      <c r="AC81" s="32">
        <f t="shared" si="50"/>
        <v>0</v>
      </c>
      <c r="AD81" s="32" t="b">
        <f t="shared" si="51"/>
        <v>0</v>
      </c>
      <c r="AE81" s="32">
        <f>IF($X81=0,0,$X81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81+$Z81)/2,0),Reference!$A$17:$B$20,2,TRUE()))</f>
        <v>9</v>
      </c>
      <c r="AF81" s="32">
        <f>IF(OR($A81="",$U81="",$T81="No Throw"),0,$AM81*VLOOKUP(MAX(($V81+$W81)/2,0),Reference!$A$17:$B$20,2,TRUE()))</f>
        <v>1.3</v>
      </c>
      <c r="AG81" s="32">
        <f>IF($AC81=0,0,$AC81*INDEX(Reference!$B$61:$B$62,MATCH("Bullpen",Reference!$A$61:$A$62,0))*VLOOKUP(MAX($D$5-($D$9+$E$9)/2,0),Reference!$A$17:$B$20,2,TRUE()))</f>
        <v>0</v>
      </c>
      <c r="AH81" s="46">
        <f t="shared" si="52"/>
        <v>1.1766143234166977</v>
      </c>
      <c r="AI81" s="32">
        <f>IF($A81="",NA(),Reference!$A$25)</f>
        <v>0.8</v>
      </c>
      <c r="AJ81" s="32">
        <f t="shared" si="53"/>
        <v>1.3</v>
      </c>
      <c r="AK81" s="56">
        <f>IF(OR($A81="",N($C81)&lt;=7,$T81="No Throw",$J81="x"),0,INDEX(Reference!$B$108:$B$114,$N81+1))</f>
        <v>0.24</v>
      </c>
      <c r="AL81" s="32">
        <f t="shared" si="54"/>
        <v>1</v>
      </c>
      <c r="AM81" s="32">
        <f>IF($U81="",0,IF($AL81&gt;1,((IF(1&lt;=$AL81,($AL81-1+3)*(INDEX(Reference!$B$6:$B$11,MIN(5,MATCH(MAX(Reference!$A$6,MIN(Reference!$A$11,MIN($U81,90))),Reference!$A$6:$A$11,1)))+(MAX(Reference!$A$6,MIN(Reference!$A$11,MIN($U81,90)))-INDEX(Reference!$A$6:$A$11,MIN(5,MATCH(MAX(Reference!$A$6,MIN(Reference!$A$11,MIN($U81,90))),Reference!$A$6:$A$11,1))))*(INDEX(Reference!$B$6:$B$11,MIN(5,MATCH(MAX(Reference!$A$6,MIN(Reference!$A$11,MIN($U81,90))),Reference!$A$6:$A$11,1))+1)-INDEX(Reference!$B$6:$B$11,MIN(5,MATCH(MAX(Reference!$A$6,MIN(Reference!$A$11,MIN($U81,90))),Reference!$A$6:$A$11,1))))/(INDEX(Reference!$A$6:$A$11,MIN(5,MATCH(MAX(Reference!$A$6,MIN(Reference!$A$11,MIN($U81,90))),Reference!$A$6:$A$11,1))+1)-INDEX(Reference!$A$6:$A$11,MIN(5,MATCH(MAX(Reference!$A$6,MIN(Reference!$A$11,MIN($U81,90))),Reference!$A$6:$A$11,1))))),0)+IF(2&lt;=$AL81,($AL81-2+3)*(INDEX(Reference!$B$6:$B$11,MIN(5,MATCH(MAX(Reference!$A$6,MIN(Reference!$A$11,MIN($U81,120))),Reference!$A$6:$A$11,1)))+(MAX(Reference!$A$6,MIN(Reference!$A$11,MIN($U81,120)))-INDEX(Reference!$A$6:$A$11,MIN(5,MATCH(MAX(Reference!$A$6,MIN(Reference!$A$11,MIN($U81,120))),Reference!$A$6:$A$11,1))))*(INDEX(Reference!$B$6:$B$11,MIN(5,MATCH(MAX(Reference!$A$6,MIN(Reference!$A$11,MIN($U81,120))),Reference!$A$6:$A$11,1))+1)-INDEX(Reference!$B$6:$B$11,MIN(5,MATCH(MAX(Reference!$A$6,MIN(Reference!$A$11,MIN($U81,120))),Reference!$A$6:$A$11,1))))/(INDEX(Reference!$A$6:$A$11,MIN(5,MATCH(MAX(Reference!$A$6,MIN(Reference!$A$11,MIN($U81,120))),Reference!$A$6:$A$11,1))+1)-INDEX(Reference!$A$6:$A$11,MIN(5,MATCH(MAX(Reference!$A$6,MIN(Reference!$A$11,MIN($U81,120))),Reference!$A$6:$A$11,1))))),0)+IF(3&lt;=$AL81,($AL81-3+3)*(INDEX(Reference!$B$6:$B$11,MIN(5,MATCH(MAX(Reference!$A$6,MIN(Reference!$A$11,MIN($U81,150))),Reference!$A$6:$A$11,1)))+(MAX(Reference!$A$6,MIN(Reference!$A$11,MIN($U81,150)))-INDEX(Reference!$A$6:$A$11,MIN(5,MATCH(MAX(Reference!$A$6,MIN(Reference!$A$11,MIN($U81,150))),Reference!$A$6:$A$11,1))))*(INDEX(Reference!$B$6:$B$11,MIN(5,MATCH(MAX(Reference!$A$6,MIN(Reference!$A$11,MIN($U81,150))),Reference!$A$6:$A$11,1))+1)-INDEX(Reference!$B$6:$B$11,MIN(5,MATCH(MAX(Reference!$A$6,MIN(Reference!$A$11,MIN($U81,150))),Reference!$A$6:$A$11,1))))/(INDEX(Reference!$A$6:$A$11,MIN(5,MATCH(MAX(Reference!$A$6,MIN(Reference!$A$11,MIN($U81,150))),Reference!$A$6:$A$11,1))+1)-INDEX(Reference!$A$6:$A$11,MIN(5,MATCH(MAX(Reference!$A$6,MIN(Reference!$A$11,MIN($U81,150))),Reference!$A$6:$A$11,1))))),0)+IF(4&lt;=$AL81,($AL81-4+3)*(INDEX(Reference!$B$6:$B$11,MIN(5,MATCH(MAX(Reference!$A$6,MIN(Reference!$A$11,MIN($U81,180))),Reference!$A$6:$A$11,1)))+(MAX(Reference!$A$6,MIN(Reference!$A$11,MIN($U81,180)))-INDEX(Reference!$A$6:$A$11,MIN(5,MATCH(MAX(Reference!$A$6,MIN(Reference!$A$11,MIN($U81,180))),Reference!$A$6:$A$11,1))))*(INDEX(Reference!$B$6:$B$11,MIN(5,MATCH(MAX(Reference!$A$6,MIN(Reference!$A$11,MIN($U81,180))),Reference!$A$6:$A$11,1))+1)-INDEX(Reference!$B$6:$B$11,MIN(5,MATCH(MAX(Reference!$A$6,MIN(Reference!$A$11,MIN($U81,180))),Reference!$A$6:$A$11,1))))/(INDEX(Reference!$A$6:$A$11,MIN(5,MATCH(MAX(Reference!$A$6,MIN(Reference!$A$11,MIN($U81,180))),Reference!$A$6:$A$11,1))+1)-INDEX(Reference!$A$6:$A$11,MIN(5,MATCH(MAX(Reference!$A$6,MIN(Reference!$A$11,MIN($U81,180))),Reference!$A$6:$A$11,1))))),0)+IF(5&lt;=$AL81,($AL81-5+3)*(INDEX(Reference!$B$6:$B$11,MIN(5,MATCH(MAX(Reference!$A$6,MIN(Reference!$A$11,MIN($U81,210))),Reference!$A$6:$A$11,1)))+(MAX(Reference!$A$6,MIN(Reference!$A$11,MIN($U81,210)))-INDEX(Reference!$A$6:$A$11,MIN(5,MATCH(MAX(Reference!$A$6,MIN(Reference!$A$11,MIN($U81,210))),Reference!$A$6:$A$11,1))))*(INDEX(Reference!$B$6:$B$11,MIN(5,MATCH(MAX(Reference!$A$6,MIN(Reference!$A$11,MIN($U81,210))),Reference!$A$6:$A$11,1))+1)-INDEX(Reference!$B$6:$B$11,MIN(5,MATCH(MAX(Reference!$A$6,MIN(Reference!$A$11,MIN($U81,210))),Reference!$A$6:$A$11,1))))/(INDEX(Reference!$A$6:$A$11,MIN(5,MATCH(MAX(Reference!$A$6,MIN(Reference!$A$11,MIN($U81,210))),Reference!$A$6:$A$11,1))+1)-INDEX(Reference!$A$6:$A$11,MIN(5,MATCH(MAX(Reference!$A$6,MIN(Reference!$A$11,MIN($U81,210))),Reference!$A$6:$A$11,1))))),0)+IF(6&lt;=$AL81,($AL81-6+3)*(INDEX(Reference!$B$6:$B$11,MIN(5,MATCH(MAX(Reference!$A$6,MIN(Reference!$A$11,MIN($U81,240))),Reference!$A$6:$A$11,1)))+(MAX(Reference!$A$6,MIN(Reference!$A$11,MIN($U81,240)))-INDEX(Reference!$A$6:$A$11,MIN(5,MATCH(MAX(Reference!$A$6,MIN(Reference!$A$11,MIN($U81,240))),Reference!$A$6:$A$11,1))))*(INDEX(Reference!$B$6:$B$11,MIN(5,MATCH(MAX(Reference!$A$6,MIN(Reference!$A$11,MIN($U81,240))),Reference!$A$6:$A$11,1))+1)-INDEX(Reference!$B$6:$B$11,MIN(5,MATCH(MAX(Reference!$A$6,MIN(Reference!$A$11,MIN($U81,240))),Reference!$A$6:$A$11,1))))/(INDEX(Reference!$A$6:$A$11,MIN(5,MATCH(MAX(Reference!$A$6,MIN(Reference!$A$11,MIN($U81,240))),Reference!$A$6:$A$11,1))+1)-INDEX(Reference!$A$6:$A$11,MIN(5,MATCH(MAX(Reference!$A$6,MIN(Reference!$A$11,MIN($U81,240))),Reference!$A$6:$A$11,1))))),0)+IF(7&lt;=$AL81,($AL81-7+3)*(INDEX(Reference!$B$6:$B$11,MIN(5,MATCH(MAX(Reference!$A$6,MIN(Reference!$A$11,MIN($U81,270))),Reference!$A$6:$A$11,1)))+(MAX(Reference!$A$6,MIN(Reference!$A$11,MIN($U81,270)))-INDEX(Reference!$A$6:$A$11,MIN(5,MATCH(MAX(Reference!$A$6,MIN(Reference!$A$11,MIN($U81,270))),Reference!$A$6:$A$11,1))))*(INDEX(Reference!$B$6:$B$11,MIN(5,MATCH(MAX(Reference!$A$6,MIN(Reference!$A$11,MIN($U81,270))),Reference!$A$6:$A$11,1))+1)-INDEX(Reference!$B$6:$B$11,MIN(5,MATCH(MAX(Reference!$A$6,MIN(Reference!$A$11,MIN($U81,270))),Reference!$A$6:$A$11,1))))/(INDEX(Reference!$A$6:$A$11,MIN(5,MATCH(MAX(Reference!$A$6,MIN(Reference!$A$11,MIN($U81,270))),Reference!$A$6:$A$11,1))+1)-INDEX(Reference!$A$6:$A$11,MIN(5,MATCH(MAX(Reference!$A$6,MIN(Reference!$A$11,MIN($U81,270))),Reference!$A$6:$A$11,1))))),0)+IF(8&lt;=$AL81,($AL81-8+3)*(INDEX(Reference!$B$6:$B$11,MIN(5,MATCH(MAX(Reference!$A$6,MIN(Reference!$A$11,MIN($U81,300))),Reference!$A$6:$A$11,1)))+(MAX(Reference!$A$6,MIN(Reference!$A$11,MIN($U81,300)))-INDEX(Reference!$A$6:$A$11,MIN(5,MATCH(MAX(Reference!$A$6,MIN(Reference!$A$11,MIN($U81,300))),Reference!$A$6:$A$11,1))))*(INDEX(Reference!$B$6:$B$11,MIN(5,MATCH(MAX(Reference!$A$6,MIN(Reference!$A$11,MIN($U81,300))),Reference!$A$6:$A$11,1))+1)-INDEX(Reference!$B$6:$B$11,MIN(5,MATCH(MAX(Reference!$A$6,MIN(Reference!$A$11,MIN($U81,300))),Reference!$A$6:$A$11,1))))/(INDEX(Reference!$A$6:$A$11,MIN(5,MATCH(MAX(Reference!$A$6,MIN(Reference!$A$11,MIN($U81,300))),Reference!$A$6:$A$11,1))+1)-INDEX(Reference!$A$6:$A$11,MIN(5,MATCH(MAX(Reference!$A$6,MIN(Reference!$A$11,MIN($U81,300))),Reference!$A$6:$A$11,1))))),0))/($AL81*($AL81+5)/2)),$AN81))</f>
        <v>1.3</v>
      </c>
      <c r="AN81" s="32">
        <f>IF($U81="",0,(INDEX(Reference!$B$6:$B$11,MIN(5,MATCH(MAX(Reference!$A$6,MIN(Reference!$A$11,$U81)),Reference!$A$6:$A$11,1)))+(MAX(Reference!$A$6,MIN(Reference!$A$11,$U81))-INDEX(Reference!$A$6:$A$11,MIN(5,MATCH(MAX(Reference!$A$6,MIN(Reference!$A$11,$U81)),Reference!$A$6:$A$11,1))))*(INDEX(Reference!$B$6:$B$11,MIN(5,MATCH(MAX(Reference!$A$6,MIN(Reference!$A$11,$U81)),Reference!$A$6:$A$11,1))+1)-INDEX(Reference!$B$6:$B$11,MIN(5,MATCH(MAX(Reference!$A$6,MIN(Reference!$A$11,$U81)),Reference!$A$6:$A$11,1))))/(INDEX(Reference!$A$6:$A$11,MIN(5,MATCH(MAX(Reference!$A$6,MIN(Reference!$A$11,$U81)),Reference!$A$6:$A$11,1))+1)-INDEX(Reference!$A$6:$A$11,MIN(5,MATCH(MAX(Reference!$A$6,MIN(Reference!$A$11,$U81)),Reference!$A$6:$A$11,1))))))</f>
        <v>1.3</v>
      </c>
      <c r="AO81" s="37"/>
      <c r="AP81" s="37"/>
      <c r="AQ81" s="37"/>
    </row>
    <row r="82" spans="1:43" x14ac:dyDescent="0.3">
      <c r="A82" s="48">
        <f t="shared" si="30"/>
        <v>46346</v>
      </c>
      <c r="B82" s="32" t="str">
        <f t="shared" si="31"/>
        <v>Fri</v>
      </c>
      <c r="C82" s="32">
        <f t="shared" si="32"/>
        <v>45</v>
      </c>
      <c r="D82" s="32" t="str">
        <f t="shared" si="33"/>
        <v>Extension</v>
      </c>
      <c r="E82" s="32" t="str">
        <f t="shared" si="34"/>
        <v>Low</v>
      </c>
      <c r="F82" s="32" t="str">
        <f t="shared" si="35"/>
        <v>Recovery/Easy Catch</v>
      </c>
      <c r="G82" s="47" t="str">
        <f t="shared" si="36"/>
        <v>75 ft × 21 @ 69–73 mph</v>
      </c>
      <c r="H82" s="30">
        <f t="shared" si="37"/>
        <v>14.489999999999998</v>
      </c>
      <c r="I82" s="46">
        <f>IF($A82="","",IF(AND($L82&lt;27,$K$12=0),"Building",IFERROR(((SUM($H$76:$H82)+$K$12*IF($L82&lt;6,SUMIFS('Throw Log'!$Q$5:$Q$300,'Throw Log'!$B$5:$B$300,$D$4,'Throw Log'!$A$5:$A$300,"&gt;="&amp;($D$6+$L82-6),'Throw Log'!$A$5:$A$300,"&lt;="&amp;($D$6-1)),0))/7)/((SUM($H$55:$H82)+$K$12*IF($L82&lt;27,SUMIFS('Throw Log'!$Q$5:$Q$300,'Throw Log'!$B$5:$B$300,$D$4,'Throw Log'!$A$5:$A$300,"&gt;="&amp;($D$6+$L82-27),'Throw Log'!$A$5:$A$300,"&lt;="&amp;($D$6-1)),0))/28),"")))</f>
        <v>1.1921853271591365</v>
      </c>
      <c r="J82" s="37"/>
      <c r="K82" s="37"/>
      <c r="L82" s="32">
        <v>39</v>
      </c>
      <c r="M82" s="32">
        <f t="shared" si="38"/>
        <v>6</v>
      </c>
      <c r="N82" s="32">
        <f t="shared" si="39"/>
        <v>4</v>
      </c>
      <c r="O82" s="32">
        <f t="shared" si="40"/>
        <v>0.51315789473684215</v>
      </c>
      <c r="P82" s="32">
        <f>IF(OR($A82="",N($C82)&lt;=7),"",$G$6*$G$9^($M82-1)*IF(AND(MOD($M82,Reference!$B$99)=0,$M82&lt;=$G$5-2),Reference!$B$100,1))</f>
        <v>144.22205101855957</v>
      </c>
      <c r="Q82" s="32">
        <f>IF($P82="","",IF(SUM($AK$78:$AK$84)=0,0,$P82*INDEX(Reference!$B$108:$B$114,$N82+1)/SUM($AK$78:$AK$84)))</f>
        <v>14.422205101855958</v>
      </c>
      <c r="R82" s="32">
        <f t="shared" si="41"/>
        <v>135</v>
      </c>
      <c r="S82" s="32">
        <f t="shared" si="42"/>
        <v>120</v>
      </c>
      <c r="T82" s="32" t="str">
        <f>IF($A82="","",IF($C82=0,"Bullpen",IF(OR($C82=7,$C82=1,$C82=5),"Recovery/Easy Catch",IF($C82=6,"Compression/Pulldowns",IF(OR($C82=4,$C82=2),"Long Toss",IF($C82=3,"No Throw",IF($N82=2,"No Throw",IF($N82=6,IF($O82&lt;Reference!$B$104,"No Throw","Recovery/Easy Catch"),IF(OR($N82=0,$N82=4),"Recovery/Easy Catch",IF($N82=1,IF($R82&gt;75,"Long Toss","Recovery/Easy Catch"),IF($N82=3,IF($O82&lt;0.5,IF($S82&gt;75,"Long Toss","Recovery/Easy Catch"),"Compression/Pulldowns"),IF($S82&gt;75,"Long Toss","Recovery/Easy Catch"))))))))))))</f>
        <v>Recovery/Easy Catch</v>
      </c>
      <c r="U82" s="32">
        <f t="shared" si="43"/>
        <v>75</v>
      </c>
      <c r="V82" s="32">
        <f t="shared" si="44"/>
        <v>18</v>
      </c>
      <c r="W82" s="32">
        <f t="shared" si="45"/>
        <v>22</v>
      </c>
      <c r="X82" s="32">
        <f t="shared" si="46"/>
        <v>0</v>
      </c>
      <c r="Y82" s="32" t="str">
        <f t="shared" si="47"/>
        <v/>
      </c>
      <c r="Z82" s="32" t="str">
        <f t="shared" si="48"/>
        <v/>
      </c>
      <c r="AA82" s="32" t="str">
        <f t="shared" si="49"/>
        <v/>
      </c>
      <c r="AB82" s="32">
        <f>IF($A82="","",IF($T82="No Throw",0,IF($K82&lt;&gt;"",$K82,IF($AA82&lt;&gt;"",ROUND($AA82*$D$12*IF($C82=0,1,$G$10),0),MIN(IF($T82="Recovery/Easy Catch",Reference!$B$103,IF($T82="Long Toss",Reference!$B$106,Reference!$B$102)),MAX(Reference!$B$101,ROUND(MAX(0,$Q82-$AE82)/$AF82,0)))))))</f>
        <v>21</v>
      </c>
      <c r="AC82" s="32">
        <f t="shared" si="50"/>
        <v>0</v>
      </c>
      <c r="AD82" s="32" t="b">
        <f t="shared" si="51"/>
        <v>0</v>
      </c>
      <c r="AE82" s="32">
        <f>IF($X82=0,0,$X82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82+$Z82)/2,0),Reference!$A$17:$B$20,2,TRUE()))</f>
        <v>0</v>
      </c>
      <c r="AF82" s="32">
        <f>IF(OR($A82="",$U82="",$T82="No Throw"),0,$AM82*VLOOKUP(MAX(($V82+$W82)/2,0),Reference!$A$17:$B$20,2,TRUE()))</f>
        <v>0.69</v>
      </c>
      <c r="AG82" s="32">
        <f>IF($AC82=0,0,$AC82*INDEX(Reference!$B$61:$B$62,MATCH("Bullpen",Reference!$A$61:$A$62,0))*VLOOKUP(MAX($D$5-($D$9+$E$9)/2,0),Reference!$A$17:$B$20,2,TRUE()))</f>
        <v>0</v>
      </c>
      <c r="AH82" s="46">
        <f t="shared" si="52"/>
        <v>1.1921853271591365</v>
      </c>
      <c r="AI82" s="32">
        <f>IF($A82="",NA(),Reference!$A$25)</f>
        <v>0.8</v>
      </c>
      <c r="AJ82" s="32">
        <f t="shared" si="53"/>
        <v>1.3</v>
      </c>
      <c r="AK82" s="56">
        <f>IF(OR($A82="",N($C82)&lt;=7,$T82="No Throw",$J82="x"),0,INDEX(Reference!$B$108:$B$114,$N82+1))</f>
        <v>0.1</v>
      </c>
      <c r="AL82" s="32">
        <f t="shared" si="54"/>
        <v>1</v>
      </c>
      <c r="AM82" s="32">
        <f>IF($U82="",0,IF($AL82&gt;1,((IF(1&lt;=$AL82,($AL82-1+3)*(INDEX(Reference!$B$6:$B$11,MIN(5,MATCH(MAX(Reference!$A$6,MIN(Reference!$A$11,MIN($U82,90))),Reference!$A$6:$A$11,1)))+(MAX(Reference!$A$6,MIN(Reference!$A$11,MIN($U82,90)))-INDEX(Reference!$A$6:$A$11,MIN(5,MATCH(MAX(Reference!$A$6,MIN(Reference!$A$11,MIN($U82,90))),Reference!$A$6:$A$11,1))))*(INDEX(Reference!$B$6:$B$11,MIN(5,MATCH(MAX(Reference!$A$6,MIN(Reference!$A$11,MIN($U82,90))),Reference!$A$6:$A$11,1))+1)-INDEX(Reference!$B$6:$B$11,MIN(5,MATCH(MAX(Reference!$A$6,MIN(Reference!$A$11,MIN($U82,90))),Reference!$A$6:$A$11,1))))/(INDEX(Reference!$A$6:$A$11,MIN(5,MATCH(MAX(Reference!$A$6,MIN(Reference!$A$11,MIN($U82,90))),Reference!$A$6:$A$11,1))+1)-INDEX(Reference!$A$6:$A$11,MIN(5,MATCH(MAX(Reference!$A$6,MIN(Reference!$A$11,MIN($U82,90))),Reference!$A$6:$A$11,1))))),0)+IF(2&lt;=$AL82,($AL82-2+3)*(INDEX(Reference!$B$6:$B$11,MIN(5,MATCH(MAX(Reference!$A$6,MIN(Reference!$A$11,MIN($U82,120))),Reference!$A$6:$A$11,1)))+(MAX(Reference!$A$6,MIN(Reference!$A$11,MIN($U82,120)))-INDEX(Reference!$A$6:$A$11,MIN(5,MATCH(MAX(Reference!$A$6,MIN(Reference!$A$11,MIN($U82,120))),Reference!$A$6:$A$11,1))))*(INDEX(Reference!$B$6:$B$11,MIN(5,MATCH(MAX(Reference!$A$6,MIN(Reference!$A$11,MIN($U82,120))),Reference!$A$6:$A$11,1))+1)-INDEX(Reference!$B$6:$B$11,MIN(5,MATCH(MAX(Reference!$A$6,MIN(Reference!$A$11,MIN($U82,120))),Reference!$A$6:$A$11,1))))/(INDEX(Reference!$A$6:$A$11,MIN(5,MATCH(MAX(Reference!$A$6,MIN(Reference!$A$11,MIN($U82,120))),Reference!$A$6:$A$11,1))+1)-INDEX(Reference!$A$6:$A$11,MIN(5,MATCH(MAX(Reference!$A$6,MIN(Reference!$A$11,MIN($U82,120))),Reference!$A$6:$A$11,1))))),0)+IF(3&lt;=$AL82,($AL82-3+3)*(INDEX(Reference!$B$6:$B$11,MIN(5,MATCH(MAX(Reference!$A$6,MIN(Reference!$A$11,MIN($U82,150))),Reference!$A$6:$A$11,1)))+(MAX(Reference!$A$6,MIN(Reference!$A$11,MIN($U82,150)))-INDEX(Reference!$A$6:$A$11,MIN(5,MATCH(MAX(Reference!$A$6,MIN(Reference!$A$11,MIN($U82,150))),Reference!$A$6:$A$11,1))))*(INDEX(Reference!$B$6:$B$11,MIN(5,MATCH(MAX(Reference!$A$6,MIN(Reference!$A$11,MIN($U82,150))),Reference!$A$6:$A$11,1))+1)-INDEX(Reference!$B$6:$B$11,MIN(5,MATCH(MAX(Reference!$A$6,MIN(Reference!$A$11,MIN($U82,150))),Reference!$A$6:$A$11,1))))/(INDEX(Reference!$A$6:$A$11,MIN(5,MATCH(MAX(Reference!$A$6,MIN(Reference!$A$11,MIN($U82,150))),Reference!$A$6:$A$11,1))+1)-INDEX(Reference!$A$6:$A$11,MIN(5,MATCH(MAX(Reference!$A$6,MIN(Reference!$A$11,MIN($U82,150))),Reference!$A$6:$A$11,1))))),0)+IF(4&lt;=$AL82,($AL82-4+3)*(INDEX(Reference!$B$6:$B$11,MIN(5,MATCH(MAX(Reference!$A$6,MIN(Reference!$A$11,MIN($U82,180))),Reference!$A$6:$A$11,1)))+(MAX(Reference!$A$6,MIN(Reference!$A$11,MIN($U82,180)))-INDEX(Reference!$A$6:$A$11,MIN(5,MATCH(MAX(Reference!$A$6,MIN(Reference!$A$11,MIN($U82,180))),Reference!$A$6:$A$11,1))))*(INDEX(Reference!$B$6:$B$11,MIN(5,MATCH(MAX(Reference!$A$6,MIN(Reference!$A$11,MIN($U82,180))),Reference!$A$6:$A$11,1))+1)-INDEX(Reference!$B$6:$B$11,MIN(5,MATCH(MAX(Reference!$A$6,MIN(Reference!$A$11,MIN($U82,180))),Reference!$A$6:$A$11,1))))/(INDEX(Reference!$A$6:$A$11,MIN(5,MATCH(MAX(Reference!$A$6,MIN(Reference!$A$11,MIN($U82,180))),Reference!$A$6:$A$11,1))+1)-INDEX(Reference!$A$6:$A$11,MIN(5,MATCH(MAX(Reference!$A$6,MIN(Reference!$A$11,MIN($U82,180))),Reference!$A$6:$A$11,1))))),0)+IF(5&lt;=$AL82,($AL82-5+3)*(INDEX(Reference!$B$6:$B$11,MIN(5,MATCH(MAX(Reference!$A$6,MIN(Reference!$A$11,MIN($U82,210))),Reference!$A$6:$A$11,1)))+(MAX(Reference!$A$6,MIN(Reference!$A$11,MIN($U82,210)))-INDEX(Reference!$A$6:$A$11,MIN(5,MATCH(MAX(Reference!$A$6,MIN(Reference!$A$11,MIN($U82,210))),Reference!$A$6:$A$11,1))))*(INDEX(Reference!$B$6:$B$11,MIN(5,MATCH(MAX(Reference!$A$6,MIN(Reference!$A$11,MIN($U82,210))),Reference!$A$6:$A$11,1))+1)-INDEX(Reference!$B$6:$B$11,MIN(5,MATCH(MAX(Reference!$A$6,MIN(Reference!$A$11,MIN($U82,210))),Reference!$A$6:$A$11,1))))/(INDEX(Reference!$A$6:$A$11,MIN(5,MATCH(MAX(Reference!$A$6,MIN(Reference!$A$11,MIN($U82,210))),Reference!$A$6:$A$11,1))+1)-INDEX(Reference!$A$6:$A$11,MIN(5,MATCH(MAX(Reference!$A$6,MIN(Reference!$A$11,MIN($U82,210))),Reference!$A$6:$A$11,1))))),0)+IF(6&lt;=$AL82,($AL82-6+3)*(INDEX(Reference!$B$6:$B$11,MIN(5,MATCH(MAX(Reference!$A$6,MIN(Reference!$A$11,MIN($U82,240))),Reference!$A$6:$A$11,1)))+(MAX(Reference!$A$6,MIN(Reference!$A$11,MIN($U82,240)))-INDEX(Reference!$A$6:$A$11,MIN(5,MATCH(MAX(Reference!$A$6,MIN(Reference!$A$11,MIN($U82,240))),Reference!$A$6:$A$11,1))))*(INDEX(Reference!$B$6:$B$11,MIN(5,MATCH(MAX(Reference!$A$6,MIN(Reference!$A$11,MIN($U82,240))),Reference!$A$6:$A$11,1))+1)-INDEX(Reference!$B$6:$B$11,MIN(5,MATCH(MAX(Reference!$A$6,MIN(Reference!$A$11,MIN($U82,240))),Reference!$A$6:$A$11,1))))/(INDEX(Reference!$A$6:$A$11,MIN(5,MATCH(MAX(Reference!$A$6,MIN(Reference!$A$11,MIN($U82,240))),Reference!$A$6:$A$11,1))+1)-INDEX(Reference!$A$6:$A$11,MIN(5,MATCH(MAX(Reference!$A$6,MIN(Reference!$A$11,MIN($U82,240))),Reference!$A$6:$A$11,1))))),0)+IF(7&lt;=$AL82,($AL82-7+3)*(INDEX(Reference!$B$6:$B$11,MIN(5,MATCH(MAX(Reference!$A$6,MIN(Reference!$A$11,MIN($U82,270))),Reference!$A$6:$A$11,1)))+(MAX(Reference!$A$6,MIN(Reference!$A$11,MIN($U82,270)))-INDEX(Reference!$A$6:$A$11,MIN(5,MATCH(MAX(Reference!$A$6,MIN(Reference!$A$11,MIN($U82,270))),Reference!$A$6:$A$11,1))))*(INDEX(Reference!$B$6:$B$11,MIN(5,MATCH(MAX(Reference!$A$6,MIN(Reference!$A$11,MIN($U82,270))),Reference!$A$6:$A$11,1))+1)-INDEX(Reference!$B$6:$B$11,MIN(5,MATCH(MAX(Reference!$A$6,MIN(Reference!$A$11,MIN($U82,270))),Reference!$A$6:$A$11,1))))/(INDEX(Reference!$A$6:$A$11,MIN(5,MATCH(MAX(Reference!$A$6,MIN(Reference!$A$11,MIN($U82,270))),Reference!$A$6:$A$11,1))+1)-INDEX(Reference!$A$6:$A$11,MIN(5,MATCH(MAX(Reference!$A$6,MIN(Reference!$A$11,MIN($U82,270))),Reference!$A$6:$A$11,1))))),0)+IF(8&lt;=$AL82,($AL82-8+3)*(INDEX(Reference!$B$6:$B$11,MIN(5,MATCH(MAX(Reference!$A$6,MIN(Reference!$A$11,MIN($U82,300))),Reference!$A$6:$A$11,1)))+(MAX(Reference!$A$6,MIN(Reference!$A$11,MIN($U82,300)))-INDEX(Reference!$A$6:$A$11,MIN(5,MATCH(MAX(Reference!$A$6,MIN(Reference!$A$11,MIN($U82,300))),Reference!$A$6:$A$11,1))))*(INDEX(Reference!$B$6:$B$11,MIN(5,MATCH(MAX(Reference!$A$6,MIN(Reference!$A$11,MIN($U82,300))),Reference!$A$6:$A$11,1))+1)-INDEX(Reference!$B$6:$B$11,MIN(5,MATCH(MAX(Reference!$A$6,MIN(Reference!$A$11,MIN($U82,300))),Reference!$A$6:$A$11,1))))/(INDEX(Reference!$A$6:$A$11,MIN(5,MATCH(MAX(Reference!$A$6,MIN(Reference!$A$11,MIN($U82,300))),Reference!$A$6:$A$11,1))+1)-INDEX(Reference!$A$6:$A$11,MIN(5,MATCH(MAX(Reference!$A$6,MIN(Reference!$A$11,MIN($U82,300))),Reference!$A$6:$A$11,1))))),0))/($AL82*($AL82+5)/2)),$AN82))</f>
        <v>1.1499999999999999</v>
      </c>
      <c r="AN82" s="32">
        <f>IF($U82="",0,(INDEX(Reference!$B$6:$B$11,MIN(5,MATCH(MAX(Reference!$A$6,MIN(Reference!$A$11,$U82)),Reference!$A$6:$A$11,1)))+(MAX(Reference!$A$6,MIN(Reference!$A$11,$U82))-INDEX(Reference!$A$6:$A$11,MIN(5,MATCH(MAX(Reference!$A$6,MIN(Reference!$A$11,$U82)),Reference!$A$6:$A$11,1))))*(INDEX(Reference!$B$6:$B$11,MIN(5,MATCH(MAX(Reference!$A$6,MIN(Reference!$A$11,$U82)),Reference!$A$6:$A$11,1))+1)-INDEX(Reference!$B$6:$B$11,MIN(5,MATCH(MAX(Reference!$A$6,MIN(Reference!$A$11,$U82)),Reference!$A$6:$A$11,1))))/(INDEX(Reference!$A$6:$A$11,MIN(5,MATCH(MAX(Reference!$A$6,MIN(Reference!$A$11,$U82)),Reference!$A$6:$A$11,1))+1)-INDEX(Reference!$A$6:$A$11,MIN(5,MATCH(MAX(Reference!$A$6,MIN(Reference!$A$11,$U82)),Reference!$A$6:$A$11,1))))))</f>
        <v>1.1499999999999999</v>
      </c>
      <c r="AO82" s="37"/>
      <c r="AP82" s="37"/>
      <c r="AQ82" s="37"/>
    </row>
    <row r="83" spans="1:43" ht="26.4" x14ac:dyDescent="0.3">
      <c r="A83" s="48">
        <f t="shared" si="30"/>
        <v>46347</v>
      </c>
      <c r="B83" s="32" t="str">
        <f t="shared" si="31"/>
        <v>Sat</v>
      </c>
      <c r="C83" s="32">
        <f t="shared" si="32"/>
        <v>44</v>
      </c>
      <c r="D83" s="32" t="str">
        <f t="shared" si="33"/>
        <v>Extension</v>
      </c>
      <c r="E83" s="32" t="str">
        <f t="shared" si="34"/>
        <v>Medium</v>
      </c>
      <c r="F83" s="32" t="str">
        <f t="shared" si="35"/>
        <v>Long Toss</v>
      </c>
      <c r="G83" s="47" t="str">
        <f t="shared" si="36"/>
        <v>Long toss out to 135 ft — 25 throws (90×10 · 120×9 · 135×6) @ 78–81 mph + 60 ft × 12 @ 76–79 mph</v>
      </c>
      <c r="H83" s="30">
        <f t="shared" si="37"/>
        <v>31.137499999999999</v>
      </c>
      <c r="I83" s="46">
        <f>IF($A83="","",IF(AND($L83&lt;27,$K$12=0),"Building",IFERROR(((SUM($H$77:$H83)+$K$12*IF($L83&lt;6,SUMIFS('Throw Log'!$Q$5:$Q$300,'Throw Log'!$B$5:$B$300,$D$4,'Throw Log'!$A$5:$A$300,"&gt;="&amp;($D$6+$L83-6),'Throw Log'!$A$5:$A$300,"&lt;="&amp;($D$6-1)),0))/7)/((SUM($H$56:$H83)+$K$12*IF($L83&lt;27,SUMIFS('Throw Log'!$Q$5:$Q$300,'Throw Log'!$B$5:$B$300,$D$4,'Throw Log'!$A$5:$A$300,"&gt;="&amp;($D$6+$L83-27),'Throw Log'!$A$5:$A$300,"&lt;="&amp;($D$6-1)),0))/28),"")))</f>
        <v>1.1883523052048797</v>
      </c>
      <c r="J83" s="37"/>
      <c r="K83" s="37">
        <v>25</v>
      </c>
      <c r="L83" s="32">
        <v>40</v>
      </c>
      <c r="M83" s="32">
        <f t="shared" si="38"/>
        <v>6</v>
      </c>
      <c r="N83" s="32">
        <f t="shared" si="39"/>
        <v>5</v>
      </c>
      <c r="O83" s="32">
        <f t="shared" si="40"/>
        <v>0.52631578947368418</v>
      </c>
      <c r="P83" s="32">
        <f>IF(OR($A83="",N($C83)&lt;=7),"",$G$6*$G$9^($M83-1)*IF(AND(MOD($M83,Reference!$B$99)=0,$M83&lt;=$G$5-2),Reference!$B$100,1))</f>
        <v>144.22205101855957</v>
      </c>
      <c r="Q83" s="32">
        <f>IF($P83="","",IF(SUM($AK$78:$AK$84)=0,0,$P83*INDEX(Reference!$B$108:$B$114,$N83+1)/SUM($AK$78:$AK$84)))</f>
        <v>38.939953775011084</v>
      </c>
      <c r="R83" s="32">
        <f t="shared" si="41"/>
        <v>150</v>
      </c>
      <c r="S83" s="32">
        <f t="shared" si="42"/>
        <v>135</v>
      </c>
      <c r="T83" s="32" t="str">
        <f>IF($A83="","",IF($C83=0,"Bullpen",IF(OR($C83=7,$C83=1,$C83=5),"Recovery/Easy Catch",IF($C83=6,"Compression/Pulldowns",IF(OR($C83=4,$C83=2),"Long Toss",IF($C83=3,"No Throw",IF($N83=2,"No Throw",IF($N83=6,IF($O83&lt;Reference!$B$104,"No Throw","Recovery/Easy Catch"),IF(OR($N83=0,$N83=4),"Recovery/Easy Catch",IF($N83=1,IF($R83&gt;75,"Long Toss","Recovery/Easy Catch"),IF($N83=3,IF($O83&lt;0.5,IF($S83&gt;75,"Long Toss","Recovery/Easy Catch"),"Compression/Pulldowns"),IF($S83&gt;75,"Long Toss","Recovery/Easy Catch"))))))))))))</f>
        <v>Long Toss</v>
      </c>
      <c r="U83" s="32">
        <f t="shared" si="43"/>
        <v>135</v>
      </c>
      <c r="V83" s="32">
        <f t="shared" si="44"/>
        <v>10</v>
      </c>
      <c r="W83" s="32">
        <f t="shared" si="45"/>
        <v>13</v>
      </c>
      <c r="X83" s="32">
        <f t="shared" si="46"/>
        <v>12</v>
      </c>
      <c r="Y83" s="32">
        <f t="shared" si="47"/>
        <v>12</v>
      </c>
      <c r="Z83" s="32">
        <f t="shared" si="48"/>
        <v>15</v>
      </c>
      <c r="AA83" s="32" t="str">
        <f t="shared" si="49"/>
        <v/>
      </c>
      <c r="AB83" s="32">
        <f>IF($A83="","",IF($T83="No Throw",0,IF($K83&lt;&gt;"",$K83,IF($AA83&lt;&gt;"",ROUND($AA83*$D$12*IF($C83=0,1,$G$10),0),MIN(IF($T83="Recovery/Easy Catch",Reference!$B$103,IF($T83="Long Toss",Reference!$B$106,Reference!$B$102)),MAX(Reference!$B$101,ROUND(MAX(0,$Q83-$AE83)/$AF83,0)))))))</f>
        <v>25</v>
      </c>
      <c r="AC83" s="32">
        <f t="shared" si="50"/>
        <v>0</v>
      </c>
      <c r="AD83" s="32" t="b">
        <f t="shared" si="51"/>
        <v>0</v>
      </c>
      <c r="AE83" s="32">
        <f>IF($X83=0,0,$X83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83+$Z83)/2,0),Reference!$A$17:$B$20,2,TRUE()))</f>
        <v>7.1999999999999993</v>
      </c>
      <c r="AF83" s="32">
        <f>IF(OR($A83="",$U83="",$T83="No Throw"),0,$AM83*VLOOKUP(MAX(($V83+$W83)/2,0),Reference!$A$17:$B$20,2,TRUE()))</f>
        <v>0.95750000000000002</v>
      </c>
      <c r="AG83" s="32">
        <f>IF($AC83=0,0,$AC83*INDEX(Reference!$B$61:$B$62,MATCH("Bullpen",Reference!$A$61:$A$62,0))*VLOOKUP(MAX($D$5-($D$9+$E$9)/2,0),Reference!$A$17:$B$20,2,TRUE()))</f>
        <v>0</v>
      </c>
      <c r="AH83" s="46">
        <f t="shared" si="52"/>
        <v>1.1883523052048797</v>
      </c>
      <c r="AI83" s="32">
        <f>IF($A83="",NA(),Reference!$A$25)</f>
        <v>0.8</v>
      </c>
      <c r="AJ83" s="32">
        <f t="shared" si="53"/>
        <v>1.3</v>
      </c>
      <c r="AK83" s="56">
        <f>IF(OR($A83="",N($C83)&lt;=7,$T83="No Throw",$J83="x"),0,INDEX(Reference!$B$108:$B$114,$N83+1))</f>
        <v>0.27</v>
      </c>
      <c r="AL83" s="32">
        <f t="shared" si="54"/>
        <v>3</v>
      </c>
      <c r="AM83" s="32">
        <f>IF($U83="",0,IF($AL83&gt;1,((IF(1&lt;=$AL83,($AL83-1+3)*(INDEX(Reference!$B$6:$B$11,MIN(5,MATCH(MAX(Reference!$A$6,MIN(Reference!$A$11,MIN($U83,90))),Reference!$A$6:$A$11,1)))+(MAX(Reference!$A$6,MIN(Reference!$A$11,MIN($U83,90)))-INDEX(Reference!$A$6:$A$11,MIN(5,MATCH(MAX(Reference!$A$6,MIN(Reference!$A$11,MIN($U83,90))),Reference!$A$6:$A$11,1))))*(INDEX(Reference!$B$6:$B$11,MIN(5,MATCH(MAX(Reference!$A$6,MIN(Reference!$A$11,MIN($U83,90))),Reference!$A$6:$A$11,1))+1)-INDEX(Reference!$B$6:$B$11,MIN(5,MATCH(MAX(Reference!$A$6,MIN(Reference!$A$11,MIN($U83,90))),Reference!$A$6:$A$11,1))))/(INDEX(Reference!$A$6:$A$11,MIN(5,MATCH(MAX(Reference!$A$6,MIN(Reference!$A$11,MIN($U83,90))),Reference!$A$6:$A$11,1))+1)-INDEX(Reference!$A$6:$A$11,MIN(5,MATCH(MAX(Reference!$A$6,MIN(Reference!$A$11,MIN($U83,90))),Reference!$A$6:$A$11,1))))),0)+IF(2&lt;=$AL83,($AL83-2+3)*(INDEX(Reference!$B$6:$B$11,MIN(5,MATCH(MAX(Reference!$A$6,MIN(Reference!$A$11,MIN($U83,120))),Reference!$A$6:$A$11,1)))+(MAX(Reference!$A$6,MIN(Reference!$A$11,MIN($U83,120)))-INDEX(Reference!$A$6:$A$11,MIN(5,MATCH(MAX(Reference!$A$6,MIN(Reference!$A$11,MIN($U83,120))),Reference!$A$6:$A$11,1))))*(INDEX(Reference!$B$6:$B$11,MIN(5,MATCH(MAX(Reference!$A$6,MIN(Reference!$A$11,MIN($U83,120))),Reference!$A$6:$A$11,1))+1)-INDEX(Reference!$B$6:$B$11,MIN(5,MATCH(MAX(Reference!$A$6,MIN(Reference!$A$11,MIN($U83,120))),Reference!$A$6:$A$11,1))))/(INDEX(Reference!$A$6:$A$11,MIN(5,MATCH(MAX(Reference!$A$6,MIN(Reference!$A$11,MIN($U83,120))),Reference!$A$6:$A$11,1))+1)-INDEX(Reference!$A$6:$A$11,MIN(5,MATCH(MAX(Reference!$A$6,MIN(Reference!$A$11,MIN($U83,120))),Reference!$A$6:$A$11,1))))),0)+IF(3&lt;=$AL83,($AL83-3+3)*(INDEX(Reference!$B$6:$B$11,MIN(5,MATCH(MAX(Reference!$A$6,MIN(Reference!$A$11,MIN($U83,150))),Reference!$A$6:$A$11,1)))+(MAX(Reference!$A$6,MIN(Reference!$A$11,MIN($U83,150)))-INDEX(Reference!$A$6:$A$11,MIN(5,MATCH(MAX(Reference!$A$6,MIN(Reference!$A$11,MIN($U83,150))),Reference!$A$6:$A$11,1))))*(INDEX(Reference!$B$6:$B$11,MIN(5,MATCH(MAX(Reference!$A$6,MIN(Reference!$A$11,MIN($U83,150))),Reference!$A$6:$A$11,1))+1)-INDEX(Reference!$B$6:$B$11,MIN(5,MATCH(MAX(Reference!$A$6,MIN(Reference!$A$11,MIN($U83,150))),Reference!$A$6:$A$11,1))))/(INDEX(Reference!$A$6:$A$11,MIN(5,MATCH(MAX(Reference!$A$6,MIN(Reference!$A$11,MIN($U83,150))),Reference!$A$6:$A$11,1))+1)-INDEX(Reference!$A$6:$A$11,MIN(5,MATCH(MAX(Reference!$A$6,MIN(Reference!$A$11,MIN($U83,150))),Reference!$A$6:$A$11,1))))),0)+IF(4&lt;=$AL83,($AL83-4+3)*(INDEX(Reference!$B$6:$B$11,MIN(5,MATCH(MAX(Reference!$A$6,MIN(Reference!$A$11,MIN($U83,180))),Reference!$A$6:$A$11,1)))+(MAX(Reference!$A$6,MIN(Reference!$A$11,MIN($U83,180)))-INDEX(Reference!$A$6:$A$11,MIN(5,MATCH(MAX(Reference!$A$6,MIN(Reference!$A$11,MIN($U83,180))),Reference!$A$6:$A$11,1))))*(INDEX(Reference!$B$6:$B$11,MIN(5,MATCH(MAX(Reference!$A$6,MIN(Reference!$A$11,MIN($U83,180))),Reference!$A$6:$A$11,1))+1)-INDEX(Reference!$B$6:$B$11,MIN(5,MATCH(MAX(Reference!$A$6,MIN(Reference!$A$11,MIN($U83,180))),Reference!$A$6:$A$11,1))))/(INDEX(Reference!$A$6:$A$11,MIN(5,MATCH(MAX(Reference!$A$6,MIN(Reference!$A$11,MIN($U83,180))),Reference!$A$6:$A$11,1))+1)-INDEX(Reference!$A$6:$A$11,MIN(5,MATCH(MAX(Reference!$A$6,MIN(Reference!$A$11,MIN($U83,180))),Reference!$A$6:$A$11,1))))),0)+IF(5&lt;=$AL83,($AL83-5+3)*(INDEX(Reference!$B$6:$B$11,MIN(5,MATCH(MAX(Reference!$A$6,MIN(Reference!$A$11,MIN($U83,210))),Reference!$A$6:$A$11,1)))+(MAX(Reference!$A$6,MIN(Reference!$A$11,MIN($U83,210)))-INDEX(Reference!$A$6:$A$11,MIN(5,MATCH(MAX(Reference!$A$6,MIN(Reference!$A$11,MIN($U83,210))),Reference!$A$6:$A$11,1))))*(INDEX(Reference!$B$6:$B$11,MIN(5,MATCH(MAX(Reference!$A$6,MIN(Reference!$A$11,MIN($U83,210))),Reference!$A$6:$A$11,1))+1)-INDEX(Reference!$B$6:$B$11,MIN(5,MATCH(MAX(Reference!$A$6,MIN(Reference!$A$11,MIN($U83,210))),Reference!$A$6:$A$11,1))))/(INDEX(Reference!$A$6:$A$11,MIN(5,MATCH(MAX(Reference!$A$6,MIN(Reference!$A$11,MIN($U83,210))),Reference!$A$6:$A$11,1))+1)-INDEX(Reference!$A$6:$A$11,MIN(5,MATCH(MAX(Reference!$A$6,MIN(Reference!$A$11,MIN($U83,210))),Reference!$A$6:$A$11,1))))),0)+IF(6&lt;=$AL83,($AL83-6+3)*(INDEX(Reference!$B$6:$B$11,MIN(5,MATCH(MAX(Reference!$A$6,MIN(Reference!$A$11,MIN($U83,240))),Reference!$A$6:$A$11,1)))+(MAX(Reference!$A$6,MIN(Reference!$A$11,MIN($U83,240)))-INDEX(Reference!$A$6:$A$11,MIN(5,MATCH(MAX(Reference!$A$6,MIN(Reference!$A$11,MIN($U83,240))),Reference!$A$6:$A$11,1))))*(INDEX(Reference!$B$6:$B$11,MIN(5,MATCH(MAX(Reference!$A$6,MIN(Reference!$A$11,MIN($U83,240))),Reference!$A$6:$A$11,1))+1)-INDEX(Reference!$B$6:$B$11,MIN(5,MATCH(MAX(Reference!$A$6,MIN(Reference!$A$11,MIN($U83,240))),Reference!$A$6:$A$11,1))))/(INDEX(Reference!$A$6:$A$11,MIN(5,MATCH(MAX(Reference!$A$6,MIN(Reference!$A$11,MIN($U83,240))),Reference!$A$6:$A$11,1))+1)-INDEX(Reference!$A$6:$A$11,MIN(5,MATCH(MAX(Reference!$A$6,MIN(Reference!$A$11,MIN($U83,240))),Reference!$A$6:$A$11,1))))),0)+IF(7&lt;=$AL83,($AL83-7+3)*(INDEX(Reference!$B$6:$B$11,MIN(5,MATCH(MAX(Reference!$A$6,MIN(Reference!$A$11,MIN($U83,270))),Reference!$A$6:$A$11,1)))+(MAX(Reference!$A$6,MIN(Reference!$A$11,MIN($U83,270)))-INDEX(Reference!$A$6:$A$11,MIN(5,MATCH(MAX(Reference!$A$6,MIN(Reference!$A$11,MIN($U83,270))),Reference!$A$6:$A$11,1))))*(INDEX(Reference!$B$6:$B$11,MIN(5,MATCH(MAX(Reference!$A$6,MIN(Reference!$A$11,MIN($U83,270))),Reference!$A$6:$A$11,1))+1)-INDEX(Reference!$B$6:$B$11,MIN(5,MATCH(MAX(Reference!$A$6,MIN(Reference!$A$11,MIN($U83,270))),Reference!$A$6:$A$11,1))))/(INDEX(Reference!$A$6:$A$11,MIN(5,MATCH(MAX(Reference!$A$6,MIN(Reference!$A$11,MIN($U83,270))),Reference!$A$6:$A$11,1))+1)-INDEX(Reference!$A$6:$A$11,MIN(5,MATCH(MAX(Reference!$A$6,MIN(Reference!$A$11,MIN($U83,270))),Reference!$A$6:$A$11,1))))),0)+IF(8&lt;=$AL83,($AL83-8+3)*(INDEX(Reference!$B$6:$B$11,MIN(5,MATCH(MAX(Reference!$A$6,MIN(Reference!$A$11,MIN($U83,300))),Reference!$A$6:$A$11,1)))+(MAX(Reference!$A$6,MIN(Reference!$A$11,MIN($U83,300)))-INDEX(Reference!$A$6:$A$11,MIN(5,MATCH(MAX(Reference!$A$6,MIN(Reference!$A$11,MIN($U83,300))),Reference!$A$6:$A$11,1))))*(INDEX(Reference!$B$6:$B$11,MIN(5,MATCH(MAX(Reference!$A$6,MIN(Reference!$A$11,MIN($U83,300))),Reference!$A$6:$A$11,1))+1)-INDEX(Reference!$B$6:$B$11,MIN(5,MATCH(MAX(Reference!$A$6,MIN(Reference!$A$11,MIN($U83,300))),Reference!$A$6:$A$11,1))))/(INDEX(Reference!$A$6:$A$11,MIN(5,MATCH(MAX(Reference!$A$6,MIN(Reference!$A$11,MIN($U83,300))),Reference!$A$6:$A$11,1))+1)-INDEX(Reference!$A$6:$A$11,MIN(5,MATCH(MAX(Reference!$A$6,MIN(Reference!$A$11,MIN($U83,300))),Reference!$A$6:$A$11,1))))),0))/($AL83*($AL83+5)/2)),$AN83))</f>
        <v>1.5958333333333334</v>
      </c>
      <c r="AN83" s="32">
        <f>IF($U83="",0,(INDEX(Reference!$B$6:$B$11,MIN(5,MATCH(MAX(Reference!$A$6,MIN(Reference!$A$11,$U83)),Reference!$A$6:$A$11,1)))+(MAX(Reference!$A$6,MIN(Reference!$A$11,$U83))-INDEX(Reference!$A$6:$A$11,MIN(5,MATCH(MAX(Reference!$A$6,MIN(Reference!$A$11,$U83)),Reference!$A$6:$A$11,1))))*(INDEX(Reference!$B$6:$B$11,MIN(5,MATCH(MAX(Reference!$A$6,MIN(Reference!$A$11,$U83)),Reference!$A$6:$A$11,1))+1)-INDEX(Reference!$B$6:$B$11,MIN(5,MATCH(MAX(Reference!$A$6,MIN(Reference!$A$11,$U83)),Reference!$A$6:$A$11,1))))/(INDEX(Reference!$A$6:$A$11,MIN(5,MATCH(MAX(Reference!$A$6,MIN(Reference!$A$11,$U83)),Reference!$A$6:$A$11,1))+1)-INDEX(Reference!$A$6:$A$11,MIN(5,MATCH(MAX(Reference!$A$6,MIN(Reference!$A$11,$U83)),Reference!$A$6:$A$11,1))))))</f>
        <v>1.9500000000000002</v>
      </c>
      <c r="AO83" s="37"/>
      <c r="AP83" s="37"/>
      <c r="AQ83" s="37"/>
    </row>
    <row r="84" spans="1:43" x14ac:dyDescent="0.3">
      <c r="A84" s="48">
        <f t="shared" si="30"/>
        <v>46348</v>
      </c>
      <c r="B84" s="32" t="str">
        <f t="shared" si="31"/>
        <v>Sun</v>
      </c>
      <c r="C84" s="32">
        <f t="shared" si="32"/>
        <v>43</v>
      </c>
      <c r="D84" s="32" t="str">
        <f t="shared" si="33"/>
        <v>Extension</v>
      </c>
      <c r="E84" s="32" t="str">
        <f t="shared" si="34"/>
        <v>No Throw</v>
      </c>
      <c r="F84" s="32" t="str">
        <f t="shared" si="35"/>
        <v>No Throw</v>
      </c>
      <c r="G84" s="47" t="str">
        <f t="shared" si="36"/>
        <v>Off</v>
      </c>
      <c r="H84" s="30">
        <f t="shared" si="37"/>
        <v>0</v>
      </c>
      <c r="I84" s="46">
        <f>IF($A84="","",IF(AND($L84&lt;27,$K$12=0),"Building",IFERROR(((SUM($H$78:$H84)+$K$12*IF($L84&lt;6,SUMIFS('Throw Log'!$Q$5:$Q$300,'Throw Log'!$B$5:$B$300,$D$4,'Throw Log'!$A$5:$A$300,"&gt;="&amp;($D$6+$L84-6),'Throw Log'!$A$5:$A$300,"&lt;="&amp;($D$6-1)),0))/7)/((SUM($H$57:$H84)+$K$12*IF($L84&lt;27,SUMIFS('Throw Log'!$Q$5:$Q$300,'Throw Log'!$B$5:$B$300,$D$4,'Throw Log'!$A$5:$A$300,"&gt;="&amp;($D$6+$L84-27),'Throw Log'!$A$5:$A$300,"&lt;="&amp;($D$6-1)),0))/28),"")))</f>
        <v>1.1883523052048797</v>
      </c>
      <c r="J84" s="37"/>
      <c r="K84" s="37"/>
      <c r="L84" s="32">
        <v>41</v>
      </c>
      <c r="M84" s="32">
        <f t="shared" si="38"/>
        <v>6</v>
      </c>
      <c r="N84" s="32">
        <f t="shared" si="39"/>
        <v>6</v>
      </c>
      <c r="O84" s="32">
        <f t="shared" si="40"/>
        <v>0.53947368421052633</v>
      </c>
      <c r="P84" s="32">
        <f>IF(OR($A84="",N($C84)&lt;=7),"",$G$6*$G$9^($M84-1)*IF(AND(MOD($M84,Reference!$B$99)=0,$M84&lt;=$G$5-2),Reference!$B$100,1))</f>
        <v>144.22205101855957</v>
      </c>
      <c r="Q84" s="32">
        <f>IF($P84="","",IF(SUM($AK$78:$AK$84)=0,0,$P84*INDEX(Reference!$B$108:$B$114,$N84+1)/SUM($AK$78:$AK$84)))</f>
        <v>10.095543571299171</v>
      </c>
      <c r="R84" s="32">
        <f t="shared" si="41"/>
        <v>150</v>
      </c>
      <c r="S84" s="32">
        <f t="shared" si="42"/>
        <v>135</v>
      </c>
      <c r="T84" s="32" t="str">
        <f>IF($A84="","",IF($C84=0,"Bullpen",IF(OR($C84=7,$C84=1,$C84=5),"Recovery/Easy Catch",IF($C84=6,"Compression/Pulldowns",IF(OR($C84=4,$C84=2),"Long Toss",IF($C84=3,"No Throw",IF($N84=2,"No Throw",IF($N84=6,IF($O84&lt;Reference!$B$104,"No Throw","Recovery/Easy Catch"),IF(OR($N84=0,$N84=4),"Recovery/Easy Catch",IF($N84=1,IF($R84&gt;75,"Long Toss","Recovery/Easy Catch"),IF($N84=3,IF($O84&lt;0.5,IF($S84&gt;75,"Long Toss","Recovery/Easy Catch"),"Compression/Pulldowns"),IF($S84&gt;75,"Long Toss","Recovery/Easy Catch"))))))))))))</f>
        <v>No Throw</v>
      </c>
      <c r="U84" s="32">
        <f t="shared" si="43"/>
        <v>60</v>
      </c>
      <c r="V84" s="32">
        <f t="shared" si="44"/>
        <v>20</v>
      </c>
      <c r="W84" s="32">
        <f t="shared" si="45"/>
        <v>24</v>
      </c>
      <c r="X84" s="32">
        <f t="shared" si="46"/>
        <v>0</v>
      </c>
      <c r="Y84" s="32" t="str">
        <f t="shared" si="47"/>
        <v/>
      </c>
      <c r="Z84" s="32" t="str">
        <f t="shared" si="48"/>
        <v/>
      </c>
      <c r="AA84" s="32" t="str">
        <f t="shared" si="49"/>
        <v/>
      </c>
      <c r="AB84" s="32">
        <f>IF($A84="","",IF($T84="No Throw",0,IF($K84&lt;&gt;"",$K84,IF($AA84&lt;&gt;"",ROUND($AA84*$D$12*IF($C84=0,1,$G$10),0),MIN(IF($T84="Recovery/Easy Catch",Reference!$B$103,IF($T84="Long Toss",Reference!$B$106,Reference!$B$102)),MAX(Reference!$B$101,ROUND(MAX(0,$Q84-$AE84)/$AF84,0)))))))</f>
        <v>0</v>
      </c>
      <c r="AC84" s="32">
        <f t="shared" si="50"/>
        <v>0</v>
      </c>
      <c r="AD84" s="32" t="b">
        <f t="shared" si="51"/>
        <v>1</v>
      </c>
      <c r="AE84" s="32">
        <f>IF($X84=0,0,$X84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84+$Z84)/2,0),Reference!$A$17:$B$20,2,TRUE()))</f>
        <v>0</v>
      </c>
      <c r="AF84" s="32">
        <f>IF(OR($A84="",$U84="",$T84="No Throw"),0,$AM84*VLOOKUP(MAX(($V84+$W84)/2,0),Reference!$A$17:$B$20,2,TRUE()))</f>
        <v>0</v>
      </c>
      <c r="AG84" s="32">
        <f>IF($AC84=0,0,$AC84*INDEX(Reference!$B$61:$B$62,MATCH("Bullpen",Reference!$A$61:$A$62,0))*VLOOKUP(MAX($D$5-($D$9+$E$9)/2,0),Reference!$A$17:$B$20,2,TRUE()))</f>
        <v>0</v>
      </c>
      <c r="AH84" s="46">
        <f t="shared" si="52"/>
        <v>1.1883523052048797</v>
      </c>
      <c r="AI84" s="32">
        <f>IF($A84="",NA(),Reference!$A$25)</f>
        <v>0.8</v>
      </c>
      <c r="AJ84" s="32">
        <f t="shared" si="53"/>
        <v>1.3</v>
      </c>
      <c r="AK84" s="32">
        <f>IF(OR($A84="",N($C84)&lt;=7,$T84="No Throw",$J84="x"),0,INDEX(Reference!$B$108:$B$114,$N84+1))</f>
        <v>0</v>
      </c>
      <c r="AL84" s="32">
        <f t="shared" si="54"/>
        <v>1</v>
      </c>
      <c r="AM84" s="32">
        <f>IF($U84="",0,IF($AL84&gt;1,((IF(1&lt;=$AL84,($AL84-1+3)*(INDEX(Reference!$B$6:$B$11,MIN(5,MATCH(MAX(Reference!$A$6,MIN(Reference!$A$11,MIN($U84,90))),Reference!$A$6:$A$11,1)))+(MAX(Reference!$A$6,MIN(Reference!$A$11,MIN($U84,90)))-INDEX(Reference!$A$6:$A$11,MIN(5,MATCH(MAX(Reference!$A$6,MIN(Reference!$A$11,MIN($U84,90))),Reference!$A$6:$A$11,1))))*(INDEX(Reference!$B$6:$B$11,MIN(5,MATCH(MAX(Reference!$A$6,MIN(Reference!$A$11,MIN($U84,90))),Reference!$A$6:$A$11,1))+1)-INDEX(Reference!$B$6:$B$11,MIN(5,MATCH(MAX(Reference!$A$6,MIN(Reference!$A$11,MIN($U84,90))),Reference!$A$6:$A$11,1))))/(INDEX(Reference!$A$6:$A$11,MIN(5,MATCH(MAX(Reference!$A$6,MIN(Reference!$A$11,MIN($U84,90))),Reference!$A$6:$A$11,1))+1)-INDEX(Reference!$A$6:$A$11,MIN(5,MATCH(MAX(Reference!$A$6,MIN(Reference!$A$11,MIN($U84,90))),Reference!$A$6:$A$11,1))))),0)+IF(2&lt;=$AL84,($AL84-2+3)*(INDEX(Reference!$B$6:$B$11,MIN(5,MATCH(MAX(Reference!$A$6,MIN(Reference!$A$11,MIN($U84,120))),Reference!$A$6:$A$11,1)))+(MAX(Reference!$A$6,MIN(Reference!$A$11,MIN($U84,120)))-INDEX(Reference!$A$6:$A$11,MIN(5,MATCH(MAX(Reference!$A$6,MIN(Reference!$A$11,MIN($U84,120))),Reference!$A$6:$A$11,1))))*(INDEX(Reference!$B$6:$B$11,MIN(5,MATCH(MAX(Reference!$A$6,MIN(Reference!$A$11,MIN($U84,120))),Reference!$A$6:$A$11,1))+1)-INDEX(Reference!$B$6:$B$11,MIN(5,MATCH(MAX(Reference!$A$6,MIN(Reference!$A$11,MIN($U84,120))),Reference!$A$6:$A$11,1))))/(INDEX(Reference!$A$6:$A$11,MIN(5,MATCH(MAX(Reference!$A$6,MIN(Reference!$A$11,MIN($U84,120))),Reference!$A$6:$A$11,1))+1)-INDEX(Reference!$A$6:$A$11,MIN(5,MATCH(MAX(Reference!$A$6,MIN(Reference!$A$11,MIN($U84,120))),Reference!$A$6:$A$11,1))))),0)+IF(3&lt;=$AL84,($AL84-3+3)*(INDEX(Reference!$B$6:$B$11,MIN(5,MATCH(MAX(Reference!$A$6,MIN(Reference!$A$11,MIN($U84,150))),Reference!$A$6:$A$11,1)))+(MAX(Reference!$A$6,MIN(Reference!$A$11,MIN($U84,150)))-INDEX(Reference!$A$6:$A$11,MIN(5,MATCH(MAX(Reference!$A$6,MIN(Reference!$A$11,MIN($U84,150))),Reference!$A$6:$A$11,1))))*(INDEX(Reference!$B$6:$B$11,MIN(5,MATCH(MAX(Reference!$A$6,MIN(Reference!$A$11,MIN($U84,150))),Reference!$A$6:$A$11,1))+1)-INDEX(Reference!$B$6:$B$11,MIN(5,MATCH(MAX(Reference!$A$6,MIN(Reference!$A$11,MIN($U84,150))),Reference!$A$6:$A$11,1))))/(INDEX(Reference!$A$6:$A$11,MIN(5,MATCH(MAX(Reference!$A$6,MIN(Reference!$A$11,MIN($U84,150))),Reference!$A$6:$A$11,1))+1)-INDEX(Reference!$A$6:$A$11,MIN(5,MATCH(MAX(Reference!$A$6,MIN(Reference!$A$11,MIN($U84,150))),Reference!$A$6:$A$11,1))))),0)+IF(4&lt;=$AL84,($AL84-4+3)*(INDEX(Reference!$B$6:$B$11,MIN(5,MATCH(MAX(Reference!$A$6,MIN(Reference!$A$11,MIN($U84,180))),Reference!$A$6:$A$11,1)))+(MAX(Reference!$A$6,MIN(Reference!$A$11,MIN($U84,180)))-INDEX(Reference!$A$6:$A$11,MIN(5,MATCH(MAX(Reference!$A$6,MIN(Reference!$A$11,MIN($U84,180))),Reference!$A$6:$A$11,1))))*(INDEX(Reference!$B$6:$B$11,MIN(5,MATCH(MAX(Reference!$A$6,MIN(Reference!$A$11,MIN($U84,180))),Reference!$A$6:$A$11,1))+1)-INDEX(Reference!$B$6:$B$11,MIN(5,MATCH(MAX(Reference!$A$6,MIN(Reference!$A$11,MIN($U84,180))),Reference!$A$6:$A$11,1))))/(INDEX(Reference!$A$6:$A$11,MIN(5,MATCH(MAX(Reference!$A$6,MIN(Reference!$A$11,MIN($U84,180))),Reference!$A$6:$A$11,1))+1)-INDEX(Reference!$A$6:$A$11,MIN(5,MATCH(MAX(Reference!$A$6,MIN(Reference!$A$11,MIN($U84,180))),Reference!$A$6:$A$11,1))))),0)+IF(5&lt;=$AL84,($AL84-5+3)*(INDEX(Reference!$B$6:$B$11,MIN(5,MATCH(MAX(Reference!$A$6,MIN(Reference!$A$11,MIN($U84,210))),Reference!$A$6:$A$11,1)))+(MAX(Reference!$A$6,MIN(Reference!$A$11,MIN($U84,210)))-INDEX(Reference!$A$6:$A$11,MIN(5,MATCH(MAX(Reference!$A$6,MIN(Reference!$A$11,MIN($U84,210))),Reference!$A$6:$A$11,1))))*(INDEX(Reference!$B$6:$B$11,MIN(5,MATCH(MAX(Reference!$A$6,MIN(Reference!$A$11,MIN($U84,210))),Reference!$A$6:$A$11,1))+1)-INDEX(Reference!$B$6:$B$11,MIN(5,MATCH(MAX(Reference!$A$6,MIN(Reference!$A$11,MIN($U84,210))),Reference!$A$6:$A$11,1))))/(INDEX(Reference!$A$6:$A$11,MIN(5,MATCH(MAX(Reference!$A$6,MIN(Reference!$A$11,MIN($U84,210))),Reference!$A$6:$A$11,1))+1)-INDEX(Reference!$A$6:$A$11,MIN(5,MATCH(MAX(Reference!$A$6,MIN(Reference!$A$11,MIN($U84,210))),Reference!$A$6:$A$11,1))))),0)+IF(6&lt;=$AL84,($AL84-6+3)*(INDEX(Reference!$B$6:$B$11,MIN(5,MATCH(MAX(Reference!$A$6,MIN(Reference!$A$11,MIN($U84,240))),Reference!$A$6:$A$11,1)))+(MAX(Reference!$A$6,MIN(Reference!$A$11,MIN($U84,240)))-INDEX(Reference!$A$6:$A$11,MIN(5,MATCH(MAX(Reference!$A$6,MIN(Reference!$A$11,MIN($U84,240))),Reference!$A$6:$A$11,1))))*(INDEX(Reference!$B$6:$B$11,MIN(5,MATCH(MAX(Reference!$A$6,MIN(Reference!$A$11,MIN($U84,240))),Reference!$A$6:$A$11,1))+1)-INDEX(Reference!$B$6:$B$11,MIN(5,MATCH(MAX(Reference!$A$6,MIN(Reference!$A$11,MIN($U84,240))),Reference!$A$6:$A$11,1))))/(INDEX(Reference!$A$6:$A$11,MIN(5,MATCH(MAX(Reference!$A$6,MIN(Reference!$A$11,MIN($U84,240))),Reference!$A$6:$A$11,1))+1)-INDEX(Reference!$A$6:$A$11,MIN(5,MATCH(MAX(Reference!$A$6,MIN(Reference!$A$11,MIN($U84,240))),Reference!$A$6:$A$11,1))))),0)+IF(7&lt;=$AL84,($AL84-7+3)*(INDEX(Reference!$B$6:$B$11,MIN(5,MATCH(MAX(Reference!$A$6,MIN(Reference!$A$11,MIN($U84,270))),Reference!$A$6:$A$11,1)))+(MAX(Reference!$A$6,MIN(Reference!$A$11,MIN($U84,270)))-INDEX(Reference!$A$6:$A$11,MIN(5,MATCH(MAX(Reference!$A$6,MIN(Reference!$A$11,MIN($U84,270))),Reference!$A$6:$A$11,1))))*(INDEX(Reference!$B$6:$B$11,MIN(5,MATCH(MAX(Reference!$A$6,MIN(Reference!$A$11,MIN($U84,270))),Reference!$A$6:$A$11,1))+1)-INDEX(Reference!$B$6:$B$11,MIN(5,MATCH(MAX(Reference!$A$6,MIN(Reference!$A$11,MIN($U84,270))),Reference!$A$6:$A$11,1))))/(INDEX(Reference!$A$6:$A$11,MIN(5,MATCH(MAX(Reference!$A$6,MIN(Reference!$A$11,MIN($U84,270))),Reference!$A$6:$A$11,1))+1)-INDEX(Reference!$A$6:$A$11,MIN(5,MATCH(MAX(Reference!$A$6,MIN(Reference!$A$11,MIN($U84,270))),Reference!$A$6:$A$11,1))))),0)+IF(8&lt;=$AL84,($AL84-8+3)*(INDEX(Reference!$B$6:$B$11,MIN(5,MATCH(MAX(Reference!$A$6,MIN(Reference!$A$11,MIN($U84,300))),Reference!$A$6:$A$11,1)))+(MAX(Reference!$A$6,MIN(Reference!$A$11,MIN($U84,300)))-INDEX(Reference!$A$6:$A$11,MIN(5,MATCH(MAX(Reference!$A$6,MIN(Reference!$A$11,MIN($U84,300))),Reference!$A$6:$A$11,1))))*(INDEX(Reference!$B$6:$B$11,MIN(5,MATCH(MAX(Reference!$A$6,MIN(Reference!$A$11,MIN($U84,300))),Reference!$A$6:$A$11,1))+1)-INDEX(Reference!$B$6:$B$11,MIN(5,MATCH(MAX(Reference!$A$6,MIN(Reference!$A$11,MIN($U84,300))),Reference!$A$6:$A$11,1))))/(INDEX(Reference!$A$6:$A$11,MIN(5,MATCH(MAX(Reference!$A$6,MIN(Reference!$A$11,MIN($U84,300))),Reference!$A$6:$A$11,1))+1)-INDEX(Reference!$A$6:$A$11,MIN(5,MATCH(MAX(Reference!$A$6,MIN(Reference!$A$11,MIN($U84,300))),Reference!$A$6:$A$11,1))))),0))/($AL84*($AL84+5)/2)),$AN84))</f>
        <v>1</v>
      </c>
      <c r="AN84" s="32">
        <f>IF($U84="",0,(INDEX(Reference!$B$6:$B$11,MIN(5,MATCH(MAX(Reference!$A$6,MIN(Reference!$A$11,$U84)),Reference!$A$6:$A$11,1)))+(MAX(Reference!$A$6,MIN(Reference!$A$11,$U84))-INDEX(Reference!$A$6:$A$11,MIN(5,MATCH(MAX(Reference!$A$6,MIN(Reference!$A$11,$U84)),Reference!$A$6:$A$11,1))))*(INDEX(Reference!$B$6:$B$11,MIN(5,MATCH(MAX(Reference!$A$6,MIN(Reference!$A$11,$U84)),Reference!$A$6:$A$11,1))+1)-INDEX(Reference!$B$6:$B$11,MIN(5,MATCH(MAX(Reference!$A$6,MIN(Reference!$A$11,$U84)),Reference!$A$6:$A$11,1))))/(INDEX(Reference!$A$6:$A$11,MIN(5,MATCH(MAX(Reference!$A$6,MIN(Reference!$A$11,$U84)),Reference!$A$6:$A$11,1))+1)-INDEX(Reference!$A$6:$A$11,MIN(5,MATCH(MAX(Reference!$A$6,MIN(Reference!$A$11,$U84)),Reference!$A$6:$A$11,1))))))</f>
        <v>1</v>
      </c>
      <c r="AO84" s="37"/>
      <c r="AP84" s="37"/>
      <c r="AQ84" s="37"/>
    </row>
    <row r="85" spans="1:43" x14ac:dyDescent="0.3">
      <c r="A85" s="48">
        <f t="shared" si="30"/>
        <v>46349</v>
      </c>
      <c r="B85" s="32" t="str">
        <f t="shared" si="31"/>
        <v>Mon</v>
      </c>
      <c r="C85" s="32">
        <f t="shared" si="32"/>
        <v>42</v>
      </c>
      <c r="D85" s="32" t="str">
        <f t="shared" si="33"/>
        <v>Extension</v>
      </c>
      <c r="E85" s="32" t="str">
        <f t="shared" si="34"/>
        <v>Low</v>
      </c>
      <c r="F85" s="32" t="str">
        <f t="shared" si="35"/>
        <v>Recovery/Easy Catch</v>
      </c>
      <c r="G85" s="47" t="str">
        <f t="shared" si="36"/>
        <v>75 ft × 25 @ 69–73 mph</v>
      </c>
      <c r="H85" s="30">
        <f t="shared" si="37"/>
        <v>17.25</v>
      </c>
      <c r="I85" s="46">
        <f>IF($A85="","",IF(AND($L85&lt;27,$K$12=0),"Building",IFERROR(((SUM($H$79:$H85)+$K$12*IF($L85&lt;6,SUMIFS('Throw Log'!$Q$5:$Q$300,'Throw Log'!$B$5:$B$300,$D$4,'Throw Log'!$A$5:$A$300,"&gt;="&amp;($D$6+$L85-6),'Throw Log'!$A$5:$A$300,"&lt;="&amp;($D$6-1)),0))/7)/((SUM($H$58:$H85)+$K$12*IF($L85&lt;27,SUMIFS('Throw Log'!$Q$5:$Q$300,'Throw Log'!$B$5:$B$300,$D$4,'Throw Log'!$A$5:$A$300,"&gt;="&amp;($D$6+$L85-27),'Throw Log'!$A$5:$A$300,"&lt;="&amp;($D$6-1)),0))/28),"")))</f>
        <v>1.174920476013628</v>
      </c>
      <c r="J85" s="37"/>
      <c r="K85" s="37">
        <v>25</v>
      </c>
      <c r="L85" s="32">
        <v>42</v>
      </c>
      <c r="M85" s="32">
        <f t="shared" si="38"/>
        <v>7</v>
      </c>
      <c r="N85" s="32">
        <f t="shared" si="39"/>
        <v>0</v>
      </c>
      <c r="O85" s="32">
        <f t="shared" si="40"/>
        <v>0.55263157894736847</v>
      </c>
      <c r="P85" s="32">
        <f>IF(OR($A85="",N($C85)&lt;=7),"",$G$6*$G$9^($M85-1)*IF(AND(MOD($M85,Reference!$B$99)=0,$M85&lt;=$G$5-2),Reference!$B$100,1))</f>
        <v>162.26318771208111</v>
      </c>
      <c r="Q85" s="32">
        <f>IF($P85="","",IF(SUM($AK$85:$AK$91)=0,0,$P85*INDEX(Reference!$B$108:$B$114,$N85+1)/SUM($AK$85:$AK$91)))</f>
        <v>18.197740677990403</v>
      </c>
      <c r="R85" s="32">
        <f t="shared" si="41"/>
        <v>150</v>
      </c>
      <c r="S85" s="32">
        <f t="shared" si="42"/>
        <v>135</v>
      </c>
      <c r="T85" s="32" t="str">
        <f>IF($A85="","",IF($C85=0,"Bullpen",IF(OR($C85=7,$C85=1,$C85=5),"Recovery/Easy Catch",IF($C85=6,"Compression/Pulldowns",IF(OR($C85=4,$C85=2),"Long Toss",IF($C85=3,"No Throw",IF($N85=2,"No Throw",IF($N85=6,IF($O85&lt;Reference!$B$104,"No Throw","Recovery/Easy Catch"),IF(OR($N85=0,$N85=4),"Recovery/Easy Catch",IF($N85=1,IF($R85&gt;75,"Long Toss","Recovery/Easy Catch"),IF($N85=3,IF($O85&lt;0.5,IF($S85&gt;75,"Long Toss","Recovery/Easy Catch"),"Compression/Pulldowns"),IF($S85&gt;75,"Long Toss","Recovery/Easy Catch"))))))))))))</f>
        <v>Recovery/Easy Catch</v>
      </c>
      <c r="U85" s="32">
        <f t="shared" si="43"/>
        <v>75</v>
      </c>
      <c r="V85" s="32">
        <f t="shared" si="44"/>
        <v>18</v>
      </c>
      <c r="W85" s="32">
        <f t="shared" si="45"/>
        <v>22</v>
      </c>
      <c r="X85" s="32">
        <f t="shared" si="46"/>
        <v>0</v>
      </c>
      <c r="Y85" s="32" t="str">
        <f t="shared" si="47"/>
        <v/>
      </c>
      <c r="Z85" s="32" t="str">
        <f t="shared" si="48"/>
        <v/>
      </c>
      <c r="AA85" s="32" t="str">
        <f t="shared" si="49"/>
        <v/>
      </c>
      <c r="AB85" s="32">
        <f>IF($A85="","",IF($T85="No Throw",0,IF($K85&lt;&gt;"",$K85,IF($AA85&lt;&gt;"",ROUND($AA85*$D$12*IF($C85=0,1,$G$10),0),MIN(IF($T85="Recovery/Easy Catch",Reference!$B$103,IF($T85="Long Toss",Reference!$B$106,Reference!$B$102)),MAX(Reference!$B$101,ROUND(MAX(0,$Q85-$AE85)/$AF85,0)))))))</f>
        <v>25</v>
      </c>
      <c r="AC85" s="32">
        <f t="shared" si="50"/>
        <v>0</v>
      </c>
      <c r="AD85" s="32" t="b">
        <f t="shared" si="51"/>
        <v>0</v>
      </c>
      <c r="AE85" s="32">
        <f>IF($X85=0,0,$X85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85+$Z85)/2,0),Reference!$A$17:$B$20,2,TRUE()))</f>
        <v>0</v>
      </c>
      <c r="AF85" s="32">
        <f>IF(OR($A85="",$U85="",$T85="No Throw"),0,$AM85*VLOOKUP(MAX(($V85+$W85)/2,0),Reference!$A$17:$B$20,2,TRUE()))</f>
        <v>0.69</v>
      </c>
      <c r="AG85" s="32">
        <f>IF($AC85=0,0,$AC85*INDEX(Reference!$B$61:$B$62,MATCH("Bullpen",Reference!$A$61:$A$62,0))*VLOOKUP(MAX($D$5-($D$9+$E$9)/2,0),Reference!$A$17:$B$20,2,TRUE()))</f>
        <v>0</v>
      </c>
      <c r="AH85" s="46">
        <f t="shared" si="52"/>
        <v>1.174920476013628</v>
      </c>
      <c r="AI85" s="32">
        <f>IF($A85="",NA(),Reference!$A$25)</f>
        <v>0.8</v>
      </c>
      <c r="AJ85" s="32">
        <f t="shared" si="53"/>
        <v>1.3</v>
      </c>
      <c r="AK85" s="56">
        <f>IF(OR($A85="",N($C85)&lt;=7,$T85="No Throw",$J85="x"),0,INDEX(Reference!$B$108:$B$114,$N85+1))</f>
        <v>0.12</v>
      </c>
      <c r="AL85" s="32">
        <f t="shared" si="54"/>
        <v>1</v>
      </c>
      <c r="AM85" s="32">
        <f>IF($U85="",0,IF($AL85&gt;1,((IF(1&lt;=$AL85,($AL85-1+3)*(INDEX(Reference!$B$6:$B$11,MIN(5,MATCH(MAX(Reference!$A$6,MIN(Reference!$A$11,MIN($U85,90))),Reference!$A$6:$A$11,1)))+(MAX(Reference!$A$6,MIN(Reference!$A$11,MIN($U85,90)))-INDEX(Reference!$A$6:$A$11,MIN(5,MATCH(MAX(Reference!$A$6,MIN(Reference!$A$11,MIN($U85,90))),Reference!$A$6:$A$11,1))))*(INDEX(Reference!$B$6:$B$11,MIN(5,MATCH(MAX(Reference!$A$6,MIN(Reference!$A$11,MIN($U85,90))),Reference!$A$6:$A$11,1))+1)-INDEX(Reference!$B$6:$B$11,MIN(5,MATCH(MAX(Reference!$A$6,MIN(Reference!$A$11,MIN($U85,90))),Reference!$A$6:$A$11,1))))/(INDEX(Reference!$A$6:$A$11,MIN(5,MATCH(MAX(Reference!$A$6,MIN(Reference!$A$11,MIN($U85,90))),Reference!$A$6:$A$11,1))+1)-INDEX(Reference!$A$6:$A$11,MIN(5,MATCH(MAX(Reference!$A$6,MIN(Reference!$A$11,MIN($U85,90))),Reference!$A$6:$A$11,1))))),0)+IF(2&lt;=$AL85,($AL85-2+3)*(INDEX(Reference!$B$6:$B$11,MIN(5,MATCH(MAX(Reference!$A$6,MIN(Reference!$A$11,MIN($U85,120))),Reference!$A$6:$A$11,1)))+(MAX(Reference!$A$6,MIN(Reference!$A$11,MIN($U85,120)))-INDEX(Reference!$A$6:$A$11,MIN(5,MATCH(MAX(Reference!$A$6,MIN(Reference!$A$11,MIN($U85,120))),Reference!$A$6:$A$11,1))))*(INDEX(Reference!$B$6:$B$11,MIN(5,MATCH(MAX(Reference!$A$6,MIN(Reference!$A$11,MIN($U85,120))),Reference!$A$6:$A$11,1))+1)-INDEX(Reference!$B$6:$B$11,MIN(5,MATCH(MAX(Reference!$A$6,MIN(Reference!$A$11,MIN($U85,120))),Reference!$A$6:$A$11,1))))/(INDEX(Reference!$A$6:$A$11,MIN(5,MATCH(MAX(Reference!$A$6,MIN(Reference!$A$11,MIN($U85,120))),Reference!$A$6:$A$11,1))+1)-INDEX(Reference!$A$6:$A$11,MIN(5,MATCH(MAX(Reference!$A$6,MIN(Reference!$A$11,MIN($U85,120))),Reference!$A$6:$A$11,1))))),0)+IF(3&lt;=$AL85,($AL85-3+3)*(INDEX(Reference!$B$6:$B$11,MIN(5,MATCH(MAX(Reference!$A$6,MIN(Reference!$A$11,MIN($U85,150))),Reference!$A$6:$A$11,1)))+(MAX(Reference!$A$6,MIN(Reference!$A$11,MIN($U85,150)))-INDEX(Reference!$A$6:$A$11,MIN(5,MATCH(MAX(Reference!$A$6,MIN(Reference!$A$11,MIN($U85,150))),Reference!$A$6:$A$11,1))))*(INDEX(Reference!$B$6:$B$11,MIN(5,MATCH(MAX(Reference!$A$6,MIN(Reference!$A$11,MIN($U85,150))),Reference!$A$6:$A$11,1))+1)-INDEX(Reference!$B$6:$B$11,MIN(5,MATCH(MAX(Reference!$A$6,MIN(Reference!$A$11,MIN($U85,150))),Reference!$A$6:$A$11,1))))/(INDEX(Reference!$A$6:$A$11,MIN(5,MATCH(MAX(Reference!$A$6,MIN(Reference!$A$11,MIN($U85,150))),Reference!$A$6:$A$11,1))+1)-INDEX(Reference!$A$6:$A$11,MIN(5,MATCH(MAX(Reference!$A$6,MIN(Reference!$A$11,MIN($U85,150))),Reference!$A$6:$A$11,1))))),0)+IF(4&lt;=$AL85,($AL85-4+3)*(INDEX(Reference!$B$6:$B$11,MIN(5,MATCH(MAX(Reference!$A$6,MIN(Reference!$A$11,MIN($U85,180))),Reference!$A$6:$A$11,1)))+(MAX(Reference!$A$6,MIN(Reference!$A$11,MIN($U85,180)))-INDEX(Reference!$A$6:$A$11,MIN(5,MATCH(MAX(Reference!$A$6,MIN(Reference!$A$11,MIN($U85,180))),Reference!$A$6:$A$11,1))))*(INDEX(Reference!$B$6:$B$11,MIN(5,MATCH(MAX(Reference!$A$6,MIN(Reference!$A$11,MIN($U85,180))),Reference!$A$6:$A$11,1))+1)-INDEX(Reference!$B$6:$B$11,MIN(5,MATCH(MAX(Reference!$A$6,MIN(Reference!$A$11,MIN($U85,180))),Reference!$A$6:$A$11,1))))/(INDEX(Reference!$A$6:$A$11,MIN(5,MATCH(MAX(Reference!$A$6,MIN(Reference!$A$11,MIN($U85,180))),Reference!$A$6:$A$11,1))+1)-INDEX(Reference!$A$6:$A$11,MIN(5,MATCH(MAX(Reference!$A$6,MIN(Reference!$A$11,MIN($U85,180))),Reference!$A$6:$A$11,1))))),0)+IF(5&lt;=$AL85,($AL85-5+3)*(INDEX(Reference!$B$6:$B$11,MIN(5,MATCH(MAX(Reference!$A$6,MIN(Reference!$A$11,MIN($U85,210))),Reference!$A$6:$A$11,1)))+(MAX(Reference!$A$6,MIN(Reference!$A$11,MIN($U85,210)))-INDEX(Reference!$A$6:$A$11,MIN(5,MATCH(MAX(Reference!$A$6,MIN(Reference!$A$11,MIN($U85,210))),Reference!$A$6:$A$11,1))))*(INDEX(Reference!$B$6:$B$11,MIN(5,MATCH(MAX(Reference!$A$6,MIN(Reference!$A$11,MIN($U85,210))),Reference!$A$6:$A$11,1))+1)-INDEX(Reference!$B$6:$B$11,MIN(5,MATCH(MAX(Reference!$A$6,MIN(Reference!$A$11,MIN($U85,210))),Reference!$A$6:$A$11,1))))/(INDEX(Reference!$A$6:$A$11,MIN(5,MATCH(MAX(Reference!$A$6,MIN(Reference!$A$11,MIN($U85,210))),Reference!$A$6:$A$11,1))+1)-INDEX(Reference!$A$6:$A$11,MIN(5,MATCH(MAX(Reference!$A$6,MIN(Reference!$A$11,MIN($U85,210))),Reference!$A$6:$A$11,1))))),0)+IF(6&lt;=$AL85,($AL85-6+3)*(INDEX(Reference!$B$6:$B$11,MIN(5,MATCH(MAX(Reference!$A$6,MIN(Reference!$A$11,MIN($U85,240))),Reference!$A$6:$A$11,1)))+(MAX(Reference!$A$6,MIN(Reference!$A$11,MIN($U85,240)))-INDEX(Reference!$A$6:$A$11,MIN(5,MATCH(MAX(Reference!$A$6,MIN(Reference!$A$11,MIN($U85,240))),Reference!$A$6:$A$11,1))))*(INDEX(Reference!$B$6:$B$11,MIN(5,MATCH(MAX(Reference!$A$6,MIN(Reference!$A$11,MIN($U85,240))),Reference!$A$6:$A$11,1))+1)-INDEX(Reference!$B$6:$B$11,MIN(5,MATCH(MAX(Reference!$A$6,MIN(Reference!$A$11,MIN($U85,240))),Reference!$A$6:$A$11,1))))/(INDEX(Reference!$A$6:$A$11,MIN(5,MATCH(MAX(Reference!$A$6,MIN(Reference!$A$11,MIN($U85,240))),Reference!$A$6:$A$11,1))+1)-INDEX(Reference!$A$6:$A$11,MIN(5,MATCH(MAX(Reference!$A$6,MIN(Reference!$A$11,MIN($U85,240))),Reference!$A$6:$A$11,1))))),0)+IF(7&lt;=$AL85,($AL85-7+3)*(INDEX(Reference!$B$6:$B$11,MIN(5,MATCH(MAX(Reference!$A$6,MIN(Reference!$A$11,MIN($U85,270))),Reference!$A$6:$A$11,1)))+(MAX(Reference!$A$6,MIN(Reference!$A$11,MIN($U85,270)))-INDEX(Reference!$A$6:$A$11,MIN(5,MATCH(MAX(Reference!$A$6,MIN(Reference!$A$11,MIN($U85,270))),Reference!$A$6:$A$11,1))))*(INDEX(Reference!$B$6:$B$11,MIN(5,MATCH(MAX(Reference!$A$6,MIN(Reference!$A$11,MIN($U85,270))),Reference!$A$6:$A$11,1))+1)-INDEX(Reference!$B$6:$B$11,MIN(5,MATCH(MAX(Reference!$A$6,MIN(Reference!$A$11,MIN($U85,270))),Reference!$A$6:$A$11,1))))/(INDEX(Reference!$A$6:$A$11,MIN(5,MATCH(MAX(Reference!$A$6,MIN(Reference!$A$11,MIN($U85,270))),Reference!$A$6:$A$11,1))+1)-INDEX(Reference!$A$6:$A$11,MIN(5,MATCH(MAX(Reference!$A$6,MIN(Reference!$A$11,MIN($U85,270))),Reference!$A$6:$A$11,1))))),0)+IF(8&lt;=$AL85,($AL85-8+3)*(INDEX(Reference!$B$6:$B$11,MIN(5,MATCH(MAX(Reference!$A$6,MIN(Reference!$A$11,MIN($U85,300))),Reference!$A$6:$A$11,1)))+(MAX(Reference!$A$6,MIN(Reference!$A$11,MIN($U85,300)))-INDEX(Reference!$A$6:$A$11,MIN(5,MATCH(MAX(Reference!$A$6,MIN(Reference!$A$11,MIN($U85,300))),Reference!$A$6:$A$11,1))))*(INDEX(Reference!$B$6:$B$11,MIN(5,MATCH(MAX(Reference!$A$6,MIN(Reference!$A$11,MIN($U85,300))),Reference!$A$6:$A$11,1))+1)-INDEX(Reference!$B$6:$B$11,MIN(5,MATCH(MAX(Reference!$A$6,MIN(Reference!$A$11,MIN($U85,300))),Reference!$A$6:$A$11,1))))/(INDEX(Reference!$A$6:$A$11,MIN(5,MATCH(MAX(Reference!$A$6,MIN(Reference!$A$11,MIN($U85,300))),Reference!$A$6:$A$11,1))+1)-INDEX(Reference!$A$6:$A$11,MIN(5,MATCH(MAX(Reference!$A$6,MIN(Reference!$A$11,MIN($U85,300))),Reference!$A$6:$A$11,1))))),0))/($AL85*($AL85+5)/2)),$AN85))</f>
        <v>1.1499999999999999</v>
      </c>
      <c r="AN85" s="32">
        <f>IF($U85="",0,(INDEX(Reference!$B$6:$B$11,MIN(5,MATCH(MAX(Reference!$A$6,MIN(Reference!$A$11,$U85)),Reference!$A$6:$A$11,1)))+(MAX(Reference!$A$6,MIN(Reference!$A$11,$U85))-INDEX(Reference!$A$6:$A$11,MIN(5,MATCH(MAX(Reference!$A$6,MIN(Reference!$A$11,$U85)),Reference!$A$6:$A$11,1))))*(INDEX(Reference!$B$6:$B$11,MIN(5,MATCH(MAX(Reference!$A$6,MIN(Reference!$A$11,$U85)),Reference!$A$6:$A$11,1))+1)-INDEX(Reference!$B$6:$B$11,MIN(5,MATCH(MAX(Reference!$A$6,MIN(Reference!$A$11,$U85)),Reference!$A$6:$A$11,1))))/(INDEX(Reference!$A$6:$A$11,MIN(5,MATCH(MAX(Reference!$A$6,MIN(Reference!$A$11,$U85)),Reference!$A$6:$A$11,1))+1)-INDEX(Reference!$A$6:$A$11,MIN(5,MATCH(MAX(Reference!$A$6,MIN(Reference!$A$11,$U85)),Reference!$A$6:$A$11,1))))))</f>
        <v>1.1499999999999999</v>
      </c>
      <c r="AO85" s="37"/>
      <c r="AP85" s="37"/>
      <c r="AQ85" s="37"/>
    </row>
    <row r="86" spans="1:43" ht="26.4" x14ac:dyDescent="0.3">
      <c r="A86" s="48">
        <f t="shared" si="30"/>
        <v>46350</v>
      </c>
      <c r="B86" s="32" t="str">
        <f t="shared" si="31"/>
        <v>Tue</v>
      </c>
      <c r="C86" s="32">
        <f t="shared" si="32"/>
        <v>41</v>
      </c>
      <c r="D86" s="32" t="str">
        <f t="shared" si="33"/>
        <v>Extension</v>
      </c>
      <c r="E86" s="32" t="str">
        <f t="shared" si="34"/>
        <v>Medium</v>
      </c>
      <c r="F86" s="32" t="str">
        <f t="shared" si="35"/>
        <v>Long Toss</v>
      </c>
      <c r="G86" s="47" t="str">
        <f t="shared" si="36"/>
        <v>Long toss out to 150 ft — 25 throws (90×10 · 120×9 · 150×6) @ 79–81 mph + 60 ft × 15 @ 79–81 mph</v>
      </c>
      <c r="H86" s="30">
        <f t="shared" si="37"/>
        <v>33.875</v>
      </c>
      <c r="I86" s="46">
        <f>IF($A86="","",IF(AND($L86&lt;27,$K$12=0),"Building",IFERROR(((SUM($H$80:$H86)+$K$12*IF($L86&lt;6,SUMIFS('Throw Log'!$Q$5:$Q$300,'Throw Log'!$B$5:$B$300,$D$4,'Throw Log'!$A$5:$A$300,"&gt;="&amp;($D$6+$L86-6),'Throw Log'!$A$5:$A$300,"&lt;="&amp;($D$6-1)),0))/7)/((SUM($H$59:$H86)+$K$12*IF($L86&lt;27,SUMIFS('Throw Log'!$Q$5:$Q$300,'Throw Log'!$B$5:$B$300,$D$4,'Throw Log'!$A$5:$A$300,"&gt;="&amp;($D$6+$L86-27),'Throw Log'!$A$5:$A$300,"&lt;="&amp;($D$6-1)),0))/28),"")))</f>
        <v>1.1187806159545279</v>
      </c>
      <c r="J86" s="37"/>
      <c r="K86" s="37">
        <v>25</v>
      </c>
      <c r="L86" s="32">
        <v>43</v>
      </c>
      <c r="M86" s="32">
        <f t="shared" si="38"/>
        <v>7</v>
      </c>
      <c r="N86" s="32">
        <f t="shared" si="39"/>
        <v>1</v>
      </c>
      <c r="O86" s="32">
        <f t="shared" si="40"/>
        <v>0.56578947368421051</v>
      </c>
      <c r="P86" s="32">
        <f>IF(OR($A86="",N($C86)&lt;=7),"",$G$6*$G$9^($M86-1)*IF(AND(MOD($M86,Reference!$B$99)=0,$M86&lt;=$G$5-2),Reference!$B$100,1))</f>
        <v>162.26318771208111</v>
      </c>
      <c r="Q86" s="32">
        <f>IF($P86="","",IF(SUM($AK$85:$AK$91)=0,0,$P86*INDEX(Reference!$B$108:$B$114,$N86+1)/SUM($AK$85:$AK$91)))</f>
        <v>40.944916525478412</v>
      </c>
      <c r="R86" s="32">
        <f t="shared" si="41"/>
        <v>150</v>
      </c>
      <c r="S86" s="32">
        <f t="shared" si="42"/>
        <v>135</v>
      </c>
      <c r="T86" s="32" t="str">
        <f>IF($A86="","",IF($C86=0,"Bullpen",IF(OR($C86=7,$C86=1,$C86=5),"Recovery/Easy Catch",IF($C86=6,"Compression/Pulldowns",IF(OR($C86=4,$C86=2),"Long Toss",IF($C86=3,"No Throw",IF($N86=2,"No Throw",IF($N86=6,IF($O86&lt;Reference!$B$104,"No Throw","Recovery/Easy Catch"),IF(OR($N86=0,$N86=4),"Recovery/Easy Catch",IF($N86=1,IF($R86&gt;75,"Long Toss","Recovery/Easy Catch"),IF($N86=3,IF($O86&lt;0.5,IF($S86&gt;75,"Long Toss","Recovery/Easy Catch"),"Compression/Pulldowns"),IF($S86&gt;75,"Long Toss","Recovery/Easy Catch"))))))))))))</f>
        <v>Long Toss</v>
      </c>
      <c r="U86" s="32">
        <f t="shared" si="43"/>
        <v>150</v>
      </c>
      <c r="V86" s="32">
        <f t="shared" si="44"/>
        <v>10</v>
      </c>
      <c r="W86" s="32">
        <f t="shared" si="45"/>
        <v>12</v>
      </c>
      <c r="X86" s="32">
        <f t="shared" si="46"/>
        <v>15</v>
      </c>
      <c r="Y86" s="32">
        <f t="shared" si="47"/>
        <v>10</v>
      </c>
      <c r="Z86" s="32">
        <f t="shared" si="48"/>
        <v>12</v>
      </c>
      <c r="AA86" s="32" t="str">
        <f t="shared" si="49"/>
        <v/>
      </c>
      <c r="AB86" s="32">
        <f>IF($A86="","",IF($T86="No Throw",0,IF($K86&lt;&gt;"",$K86,IF($AA86&lt;&gt;"",ROUND($AA86*$D$12*IF($C86=0,1,$G$10),0),MIN(IF($T86="Recovery/Easy Catch",Reference!$B$103,IF($T86="Long Toss",Reference!$B$106,Reference!$B$102)),MAX(Reference!$B$101,ROUND(MAX(0,$Q86-$AE86)/$AF86,0)))))))</f>
        <v>25</v>
      </c>
      <c r="AC86" s="32">
        <f t="shared" si="50"/>
        <v>0</v>
      </c>
      <c r="AD86" s="32" t="b">
        <f t="shared" si="51"/>
        <v>0</v>
      </c>
      <c r="AE86" s="32">
        <f>IF($X86=0,0,$X86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86+$Z86)/2,0),Reference!$A$17:$B$20,2,TRUE()))</f>
        <v>9</v>
      </c>
      <c r="AF86" s="32">
        <f>IF(OR($A86="",$U86="",$T86="No Throw"),0,$AM86*VLOOKUP(MAX(($V86+$W86)/2,0),Reference!$A$17:$B$20,2,TRUE()))</f>
        <v>0.995</v>
      </c>
      <c r="AG86" s="32">
        <f>IF($AC86=0,0,$AC86*INDEX(Reference!$B$61:$B$62,MATCH("Bullpen",Reference!$A$61:$A$62,0))*VLOOKUP(MAX($D$5-($D$9+$E$9)/2,0),Reference!$A$17:$B$20,2,TRUE()))</f>
        <v>0</v>
      </c>
      <c r="AH86" s="46">
        <f t="shared" si="52"/>
        <v>1.1187806159545279</v>
      </c>
      <c r="AI86" s="32">
        <f>IF($A86="",NA(),Reference!$A$25)</f>
        <v>0.8</v>
      </c>
      <c r="AJ86" s="32">
        <f t="shared" si="53"/>
        <v>1.3</v>
      </c>
      <c r="AK86" s="56">
        <f>IF(OR($A86="",N($C86)&lt;=7,$T86="No Throw",$J86="x"),0,INDEX(Reference!$B$108:$B$114,$N86+1))</f>
        <v>0.27</v>
      </c>
      <c r="AL86" s="32">
        <f t="shared" si="54"/>
        <v>3</v>
      </c>
      <c r="AM86" s="32">
        <f>IF($U86="",0,IF($AL86&gt;1,((IF(1&lt;=$AL86,($AL86-1+3)*(INDEX(Reference!$B$6:$B$11,MIN(5,MATCH(MAX(Reference!$A$6,MIN(Reference!$A$11,MIN($U86,90))),Reference!$A$6:$A$11,1)))+(MAX(Reference!$A$6,MIN(Reference!$A$11,MIN($U86,90)))-INDEX(Reference!$A$6:$A$11,MIN(5,MATCH(MAX(Reference!$A$6,MIN(Reference!$A$11,MIN($U86,90))),Reference!$A$6:$A$11,1))))*(INDEX(Reference!$B$6:$B$11,MIN(5,MATCH(MAX(Reference!$A$6,MIN(Reference!$A$11,MIN($U86,90))),Reference!$A$6:$A$11,1))+1)-INDEX(Reference!$B$6:$B$11,MIN(5,MATCH(MAX(Reference!$A$6,MIN(Reference!$A$11,MIN($U86,90))),Reference!$A$6:$A$11,1))))/(INDEX(Reference!$A$6:$A$11,MIN(5,MATCH(MAX(Reference!$A$6,MIN(Reference!$A$11,MIN($U86,90))),Reference!$A$6:$A$11,1))+1)-INDEX(Reference!$A$6:$A$11,MIN(5,MATCH(MAX(Reference!$A$6,MIN(Reference!$A$11,MIN($U86,90))),Reference!$A$6:$A$11,1))))),0)+IF(2&lt;=$AL86,($AL86-2+3)*(INDEX(Reference!$B$6:$B$11,MIN(5,MATCH(MAX(Reference!$A$6,MIN(Reference!$A$11,MIN($U86,120))),Reference!$A$6:$A$11,1)))+(MAX(Reference!$A$6,MIN(Reference!$A$11,MIN($U86,120)))-INDEX(Reference!$A$6:$A$11,MIN(5,MATCH(MAX(Reference!$A$6,MIN(Reference!$A$11,MIN($U86,120))),Reference!$A$6:$A$11,1))))*(INDEX(Reference!$B$6:$B$11,MIN(5,MATCH(MAX(Reference!$A$6,MIN(Reference!$A$11,MIN($U86,120))),Reference!$A$6:$A$11,1))+1)-INDEX(Reference!$B$6:$B$11,MIN(5,MATCH(MAX(Reference!$A$6,MIN(Reference!$A$11,MIN($U86,120))),Reference!$A$6:$A$11,1))))/(INDEX(Reference!$A$6:$A$11,MIN(5,MATCH(MAX(Reference!$A$6,MIN(Reference!$A$11,MIN($U86,120))),Reference!$A$6:$A$11,1))+1)-INDEX(Reference!$A$6:$A$11,MIN(5,MATCH(MAX(Reference!$A$6,MIN(Reference!$A$11,MIN($U86,120))),Reference!$A$6:$A$11,1))))),0)+IF(3&lt;=$AL86,($AL86-3+3)*(INDEX(Reference!$B$6:$B$11,MIN(5,MATCH(MAX(Reference!$A$6,MIN(Reference!$A$11,MIN($U86,150))),Reference!$A$6:$A$11,1)))+(MAX(Reference!$A$6,MIN(Reference!$A$11,MIN($U86,150)))-INDEX(Reference!$A$6:$A$11,MIN(5,MATCH(MAX(Reference!$A$6,MIN(Reference!$A$11,MIN($U86,150))),Reference!$A$6:$A$11,1))))*(INDEX(Reference!$B$6:$B$11,MIN(5,MATCH(MAX(Reference!$A$6,MIN(Reference!$A$11,MIN($U86,150))),Reference!$A$6:$A$11,1))+1)-INDEX(Reference!$B$6:$B$11,MIN(5,MATCH(MAX(Reference!$A$6,MIN(Reference!$A$11,MIN($U86,150))),Reference!$A$6:$A$11,1))))/(INDEX(Reference!$A$6:$A$11,MIN(5,MATCH(MAX(Reference!$A$6,MIN(Reference!$A$11,MIN($U86,150))),Reference!$A$6:$A$11,1))+1)-INDEX(Reference!$A$6:$A$11,MIN(5,MATCH(MAX(Reference!$A$6,MIN(Reference!$A$11,MIN($U86,150))),Reference!$A$6:$A$11,1))))),0)+IF(4&lt;=$AL86,($AL86-4+3)*(INDEX(Reference!$B$6:$B$11,MIN(5,MATCH(MAX(Reference!$A$6,MIN(Reference!$A$11,MIN($U86,180))),Reference!$A$6:$A$11,1)))+(MAX(Reference!$A$6,MIN(Reference!$A$11,MIN($U86,180)))-INDEX(Reference!$A$6:$A$11,MIN(5,MATCH(MAX(Reference!$A$6,MIN(Reference!$A$11,MIN($U86,180))),Reference!$A$6:$A$11,1))))*(INDEX(Reference!$B$6:$B$11,MIN(5,MATCH(MAX(Reference!$A$6,MIN(Reference!$A$11,MIN($U86,180))),Reference!$A$6:$A$11,1))+1)-INDEX(Reference!$B$6:$B$11,MIN(5,MATCH(MAX(Reference!$A$6,MIN(Reference!$A$11,MIN($U86,180))),Reference!$A$6:$A$11,1))))/(INDEX(Reference!$A$6:$A$11,MIN(5,MATCH(MAX(Reference!$A$6,MIN(Reference!$A$11,MIN($U86,180))),Reference!$A$6:$A$11,1))+1)-INDEX(Reference!$A$6:$A$11,MIN(5,MATCH(MAX(Reference!$A$6,MIN(Reference!$A$11,MIN($U86,180))),Reference!$A$6:$A$11,1))))),0)+IF(5&lt;=$AL86,($AL86-5+3)*(INDEX(Reference!$B$6:$B$11,MIN(5,MATCH(MAX(Reference!$A$6,MIN(Reference!$A$11,MIN($U86,210))),Reference!$A$6:$A$11,1)))+(MAX(Reference!$A$6,MIN(Reference!$A$11,MIN($U86,210)))-INDEX(Reference!$A$6:$A$11,MIN(5,MATCH(MAX(Reference!$A$6,MIN(Reference!$A$11,MIN($U86,210))),Reference!$A$6:$A$11,1))))*(INDEX(Reference!$B$6:$B$11,MIN(5,MATCH(MAX(Reference!$A$6,MIN(Reference!$A$11,MIN($U86,210))),Reference!$A$6:$A$11,1))+1)-INDEX(Reference!$B$6:$B$11,MIN(5,MATCH(MAX(Reference!$A$6,MIN(Reference!$A$11,MIN($U86,210))),Reference!$A$6:$A$11,1))))/(INDEX(Reference!$A$6:$A$11,MIN(5,MATCH(MAX(Reference!$A$6,MIN(Reference!$A$11,MIN($U86,210))),Reference!$A$6:$A$11,1))+1)-INDEX(Reference!$A$6:$A$11,MIN(5,MATCH(MAX(Reference!$A$6,MIN(Reference!$A$11,MIN($U86,210))),Reference!$A$6:$A$11,1))))),0)+IF(6&lt;=$AL86,($AL86-6+3)*(INDEX(Reference!$B$6:$B$11,MIN(5,MATCH(MAX(Reference!$A$6,MIN(Reference!$A$11,MIN($U86,240))),Reference!$A$6:$A$11,1)))+(MAX(Reference!$A$6,MIN(Reference!$A$11,MIN($U86,240)))-INDEX(Reference!$A$6:$A$11,MIN(5,MATCH(MAX(Reference!$A$6,MIN(Reference!$A$11,MIN($U86,240))),Reference!$A$6:$A$11,1))))*(INDEX(Reference!$B$6:$B$11,MIN(5,MATCH(MAX(Reference!$A$6,MIN(Reference!$A$11,MIN($U86,240))),Reference!$A$6:$A$11,1))+1)-INDEX(Reference!$B$6:$B$11,MIN(5,MATCH(MAX(Reference!$A$6,MIN(Reference!$A$11,MIN($U86,240))),Reference!$A$6:$A$11,1))))/(INDEX(Reference!$A$6:$A$11,MIN(5,MATCH(MAX(Reference!$A$6,MIN(Reference!$A$11,MIN($U86,240))),Reference!$A$6:$A$11,1))+1)-INDEX(Reference!$A$6:$A$11,MIN(5,MATCH(MAX(Reference!$A$6,MIN(Reference!$A$11,MIN($U86,240))),Reference!$A$6:$A$11,1))))),0)+IF(7&lt;=$AL86,($AL86-7+3)*(INDEX(Reference!$B$6:$B$11,MIN(5,MATCH(MAX(Reference!$A$6,MIN(Reference!$A$11,MIN($U86,270))),Reference!$A$6:$A$11,1)))+(MAX(Reference!$A$6,MIN(Reference!$A$11,MIN($U86,270)))-INDEX(Reference!$A$6:$A$11,MIN(5,MATCH(MAX(Reference!$A$6,MIN(Reference!$A$11,MIN($U86,270))),Reference!$A$6:$A$11,1))))*(INDEX(Reference!$B$6:$B$11,MIN(5,MATCH(MAX(Reference!$A$6,MIN(Reference!$A$11,MIN($U86,270))),Reference!$A$6:$A$11,1))+1)-INDEX(Reference!$B$6:$B$11,MIN(5,MATCH(MAX(Reference!$A$6,MIN(Reference!$A$11,MIN($U86,270))),Reference!$A$6:$A$11,1))))/(INDEX(Reference!$A$6:$A$11,MIN(5,MATCH(MAX(Reference!$A$6,MIN(Reference!$A$11,MIN($U86,270))),Reference!$A$6:$A$11,1))+1)-INDEX(Reference!$A$6:$A$11,MIN(5,MATCH(MAX(Reference!$A$6,MIN(Reference!$A$11,MIN($U86,270))),Reference!$A$6:$A$11,1))))),0)+IF(8&lt;=$AL86,($AL86-8+3)*(INDEX(Reference!$B$6:$B$11,MIN(5,MATCH(MAX(Reference!$A$6,MIN(Reference!$A$11,MIN($U86,300))),Reference!$A$6:$A$11,1)))+(MAX(Reference!$A$6,MIN(Reference!$A$11,MIN($U86,300)))-INDEX(Reference!$A$6:$A$11,MIN(5,MATCH(MAX(Reference!$A$6,MIN(Reference!$A$11,MIN($U86,300))),Reference!$A$6:$A$11,1))))*(INDEX(Reference!$B$6:$B$11,MIN(5,MATCH(MAX(Reference!$A$6,MIN(Reference!$A$11,MIN($U86,300))),Reference!$A$6:$A$11,1))+1)-INDEX(Reference!$B$6:$B$11,MIN(5,MATCH(MAX(Reference!$A$6,MIN(Reference!$A$11,MIN($U86,300))),Reference!$A$6:$A$11,1))))/(INDEX(Reference!$A$6:$A$11,MIN(5,MATCH(MAX(Reference!$A$6,MIN(Reference!$A$11,MIN($U86,300))),Reference!$A$6:$A$11,1))+1)-INDEX(Reference!$A$6:$A$11,MIN(5,MATCH(MAX(Reference!$A$6,MIN(Reference!$A$11,MIN($U86,300))),Reference!$A$6:$A$11,1))))),0))/($AL86*($AL86+5)/2)),$AN86))</f>
        <v>1.6583333333333334</v>
      </c>
      <c r="AN86" s="32">
        <f>IF($U86="",0,(INDEX(Reference!$B$6:$B$11,MIN(5,MATCH(MAX(Reference!$A$6,MIN(Reference!$A$11,$U86)),Reference!$A$6:$A$11,1)))+(MAX(Reference!$A$6,MIN(Reference!$A$11,$U86))-INDEX(Reference!$A$6:$A$11,MIN(5,MATCH(MAX(Reference!$A$6,MIN(Reference!$A$11,$U86)),Reference!$A$6:$A$11,1))))*(INDEX(Reference!$B$6:$B$11,MIN(5,MATCH(MAX(Reference!$A$6,MIN(Reference!$A$11,$U86)),Reference!$A$6:$A$11,1))+1)-INDEX(Reference!$B$6:$B$11,MIN(5,MATCH(MAX(Reference!$A$6,MIN(Reference!$A$11,$U86)),Reference!$A$6:$A$11,1))))/(INDEX(Reference!$A$6:$A$11,MIN(5,MATCH(MAX(Reference!$A$6,MIN(Reference!$A$11,$U86)),Reference!$A$6:$A$11,1))+1)-INDEX(Reference!$A$6:$A$11,MIN(5,MATCH(MAX(Reference!$A$6,MIN(Reference!$A$11,$U86)),Reference!$A$6:$A$11,1))))))</f>
        <v>2.2000000000000002</v>
      </c>
      <c r="AO86" s="37"/>
      <c r="AP86" s="37"/>
      <c r="AQ86" s="37"/>
    </row>
    <row r="87" spans="1:43" x14ac:dyDescent="0.3">
      <c r="A87" s="48">
        <f t="shared" si="30"/>
        <v>46351</v>
      </c>
      <c r="B87" s="32" t="str">
        <f t="shared" si="31"/>
        <v>Wed</v>
      </c>
      <c r="C87" s="32">
        <f t="shared" si="32"/>
        <v>40</v>
      </c>
      <c r="D87" s="32" t="str">
        <f t="shared" si="33"/>
        <v>Extension</v>
      </c>
      <c r="E87" s="32" t="str">
        <f t="shared" si="34"/>
        <v>No Throw</v>
      </c>
      <c r="F87" s="32" t="str">
        <f t="shared" si="35"/>
        <v>No Throw</v>
      </c>
      <c r="G87" s="47" t="str">
        <f t="shared" si="36"/>
        <v>Off</v>
      </c>
      <c r="H87" s="30">
        <f t="shared" si="37"/>
        <v>0</v>
      </c>
      <c r="I87" s="46">
        <f>IF($A87="","",IF(AND($L87&lt;27,$K$12=0),"Building",IFERROR(((SUM($H$81:$H87)+$K$12*IF($L87&lt;6,SUMIFS('Throw Log'!$Q$5:$Q$300,'Throw Log'!$B$5:$B$300,$D$4,'Throw Log'!$A$5:$A$300,"&gt;="&amp;($D$6+$L87-6),'Throw Log'!$A$5:$A$300,"&lt;="&amp;($D$6-1)),0))/7)/((SUM($H$60:$H87)+$K$12*IF($L87&lt;27,SUMIFS('Throw Log'!$Q$5:$Q$300,'Throw Log'!$B$5:$B$300,$D$4,'Throw Log'!$A$5:$A$300,"&gt;="&amp;($D$6+$L87-27),'Throw Log'!$A$5:$A$300,"&lt;="&amp;($D$6-1)),0))/28),"")))</f>
        <v>1.1187806159545279</v>
      </c>
      <c r="J87" s="37"/>
      <c r="K87" s="37"/>
      <c r="L87" s="32">
        <v>44</v>
      </c>
      <c r="M87" s="32">
        <f t="shared" si="38"/>
        <v>7</v>
      </c>
      <c r="N87" s="32">
        <f t="shared" si="39"/>
        <v>2</v>
      </c>
      <c r="O87" s="32">
        <f t="shared" si="40"/>
        <v>0.57894736842105265</v>
      </c>
      <c r="P87" s="32">
        <f>IF(OR($A87="",N($C87)&lt;=7),"",$G$6*$G$9^($M87-1)*IF(AND(MOD($M87,Reference!$B$99)=0,$M87&lt;=$G$5-2),Reference!$B$100,1))</f>
        <v>162.26318771208111</v>
      </c>
      <c r="Q87" s="32">
        <f>IF($P87="","",IF(SUM($AK$85:$AK$91)=0,0,$P87*INDEX(Reference!$B$108:$B$114,$N87+1)/SUM($AK$85:$AK$91)))</f>
        <v>0</v>
      </c>
      <c r="R87" s="32">
        <f t="shared" si="41"/>
        <v>150</v>
      </c>
      <c r="S87" s="32">
        <f t="shared" si="42"/>
        <v>135</v>
      </c>
      <c r="T87" s="32" t="str">
        <f>IF($A87="","",IF($C87=0,"Bullpen",IF(OR($C87=7,$C87=1,$C87=5),"Recovery/Easy Catch",IF($C87=6,"Compression/Pulldowns",IF(OR($C87=4,$C87=2),"Long Toss",IF($C87=3,"No Throw",IF($N87=2,"No Throw",IF($N87=6,IF($O87&lt;Reference!$B$104,"No Throw","Recovery/Easy Catch"),IF(OR($N87=0,$N87=4),"Recovery/Easy Catch",IF($N87=1,IF($R87&gt;75,"Long Toss","Recovery/Easy Catch"),IF($N87=3,IF($O87&lt;0.5,IF($S87&gt;75,"Long Toss","Recovery/Easy Catch"),"Compression/Pulldowns"),IF($S87&gt;75,"Long Toss","Recovery/Easy Catch"))))))))))))</f>
        <v>No Throw</v>
      </c>
      <c r="U87" s="32" t="str">
        <f t="shared" si="43"/>
        <v/>
      </c>
      <c r="V87" s="32" t="str">
        <f t="shared" si="44"/>
        <v/>
      </c>
      <c r="W87" s="32" t="str">
        <f t="shared" si="45"/>
        <v/>
      </c>
      <c r="X87" s="32">
        <f t="shared" si="46"/>
        <v>0</v>
      </c>
      <c r="Y87" s="32" t="str">
        <f t="shared" si="47"/>
        <v/>
      </c>
      <c r="Z87" s="32" t="str">
        <f t="shared" si="48"/>
        <v/>
      </c>
      <c r="AA87" s="32" t="str">
        <f t="shared" si="49"/>
        <v/>
      </c>
      <c r="AB87" s="32">
        <f>IF($A87="","",IF($T87="No Throw",0,IF($K87&lt;&gt;"",$K87,IF($AA87&lt;&gt;"",ROUND($AA87*$D$12*IF($C87=0,1,$G$10),0),MIN(IF($T87="Recovery/Easy Catch",Reference!$B$103,IF($T87="Long Toss",Reference!$B$106,Reference!$B$102)),MAX(Reference!$B$101,ROUND(MAX(0,$Q87-$AE87)/$AF87,0)))))))</f>
        <v>0</v>
      </c>
      <c r="AC87" s="32">
        <f t="shared" si="50"/>
        <v>0</v>
      </c>
      <c r="AD87" s="32" t="b">
        <f t="shared" si="51"/>
        <v>1</v>
      </c>
      <c r="AE87" s="32">
        <f>IF($X87=0,0,$X87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87+$Z87)/2,0),Reference!$A$17:$B$20,2,TRUE()))</f>
        <v>0</v>
      </c>
      <c r="AF87" s="32">
        <f>IF(OR($A87="",$U87="",$T87="No Throw"),0,$AM87*VLOOKUP(MAX(($V87+$W87)/2,0),Reference!$A$17:$B$20,2,TRUE()))</f>
        <v>0</v>
      </c>
      <c r="AG87" s="32">
        <f>IF($AC87=0,0,$AC87*INDEX(Reference!$B$61:$B$62,MATCH("Bullpen",Reference!$A$61:$A$62,0))*VLOOKUP(MAX($D$5-($D$9+$E$9)/2,0),Reference!$A$17:$B$20,2,TRUE()))</f>
        <v>0</v>
      </c>
      <c r="AH87" s="46">
        <f t="shared" si="52"/>
        <v>1.1187806159545279</v>
      </c>
      <c r="AI87" s="32">
        <f>IF($A87="",NA(),Reference!$A$25)</f>
        <v>0.8</v>
      </c>
      <c r="AJ87" s="32">
        <f t="shared" si="53"/>
        <v>1.3</v>
      </c>
      <c r="AK87" s="32">
        <f>IF(OR($A87="",N($C87)&lt;=7,$T87="No Throw",$J87="x"),0,INDEX(Reference!$B$108:$B$114,$N87+1))</f>
        <v>0</v>
      </c>
      <c r="AL87" s="32">
        <f t="shared" si="54"/>
        <v>1</v>
      </c>
      <c r="AM87" s="32">
        <f>IF($U87="",0,IF($AL87&gt;1,((IF(1&lt;=$AL87,($AL87-1+3)*(INDEX(Reference!$B$6:$B$11,MIN(5,MATCH(MAX(Reference!$A$6,MIN(Reference!$A$11,MIN($U87,90))),Reference!$A$6:$A$11,1)))+(MAX(Reference!$A$6,MIN(Reference!$A$11,MIN($U87,90)))-INDEX(Reference!$A$6:$A$11,MIN(5,MATCH(MAX(Reference!$A$6,MIN(Reference!$A$11,MIN($U87,90))),Reference!$A$6:$A$11,1))))*(INDEX(Reference!$B$6:$B$11,MIN(5,MATCH(MAX(Reference!$A$6,MIN(Reference!$A$11,MIN($U87,90))),Reference!$A$6:$A$11,1))+1)-INDEX(Reference!$B$6:$B$11,MIN(5,MATCH(MAX(Reference!$A$6,MIN(Reference!$A$11,MIN($U87,90))),Reference!$A$6:$A$11,1))))/(INDEX(Reference!$A$6:$A$11,MIN(5,MATCH(MAX(Reference!$A$6,MIN(Reference!$A$11,MIN($U87,90))),Reference!$A$6:$A$11,1))+1)-INDEX(Reference!$A$6:$A$11,MIN(5,MATCH(MAX(Reference!$A$6,MIN(Reference!$A$11,MIN($U87,90))),Reference!$A$6:$A$11,1))))),0)+IF(2&lt;=$AL87,($AL87-2+3)*(INDEX(Reference!$B$6:$B$11,MIN(5,MATCH(MAX(Reference!$A$6,MIN(Reference!$A$11,MIN($U87,120))),Reference!$A$6:$A$11,1)))+(MAX(Reference!$A$6,MIN(Reference!$A$11,MIN($U87,120)))-INDEX(Reference!$A$6:$A$11,MIN(5,MATCH(MAX(Reference!$A$6,MIN(Reference!$A$11,MIN($U87,120))),Reference!$A$6:$A$11,1))))*(INDEX(Reference!$B$6:$B$11,MIN(5,MATCH(MAX(Reference!$A$6,MIN(Reference!$A$11,MIN($U87,120))),Reference!$A$6:$A$11,1))+1)-INDEX(Reference!$B$6:$B$11,MIN(5,MATCH(MAX(Reference!$A$6,MIN(Reference!$A$11,MIN($U87,120))),Reference!$A$6:$A$11,1))))/(INDEX(Reference!$A$6:$A$11,MIN(5,MATCH(MAX(Reference!$A$6,MIN(Reference!$A$11,MIN($U87,120))),Reference!$A$6:$A$11,1))+1)-INDEX(Reference!$A$6:$A$11,MIN(5,MATCH(MAX(Reference!$A$6,MIN(Reference!$A$11,MIN($U87,120))),Reference!$A$6:$A$11,1))))),0)+IF(3&lt;=$AL87,($AL87-3+3)*(INDEX(Reference!$B$6:$B$11,MIN(5,MATCH(MAX(Reference!$A$6,MIN(Reference!$A$11,MIN($U87,150))),Reference!$A$6:$A$11,1)))+(MAX(Reference!$A$6,MIN(Reference!$A$11,MIN($U87,150)))-INDEX(Reference!$A$6:$A$11,MIN(5,MATCH(MAX(Reference!$A$6,MIN(Reference!$A$11,MIN($U87,150))),Reference!$A$6:$A$11,1))))*(INDEX(Reference!$B$6:$B$11,MIN(5,MATCH(MAX(Reference!$A$6,MIN(Reference!$A$11,MIN($U87,150))),Reference!$A$6:$A$11,1))+1)-INDEX(Reference!$B$6:$B$11,MIN(5,MATCH(MAX(Reference!$A$6,MIN(Reference!$A$11,MIN($U87,150))),Reference!$A$6:$A$11,1))))/(INDEX(Reference!$A$6:$A$11,MIN(5,MATCH(MAX(Reference!$A$6,MIN(Reference!$A$11,MIN($U87,150))),Reference!$A$6:$A$11,1))+1)-INDEX(Reference!$A$6:$A$11,MIN(5,MATCH(MAX(Reference!$A$6,MIN(Reference!$A$11,MIN($U87,150))),Reference!$A$6:$A$11,1))))),0)+IF(4&lt;=$AL87,($AL87-4+3)*(INDEX(Reference!$B$6:$B$11,MIN(5,MATCH(MAX(Reference!$A$6,MIN(Reference!$A$11,MIN($U87,180))),Reference!$A$6:$A$11,1)))+(MAX(Reference!$A$6,MIN(Reference!$A$11,MIN($U87,180)))-INDEX(Reference!$A$6:$A$11,MIN(5,MATCH(MAX(Reference!$A$6,MIN(Reference!$A$11,MIN($U87,180))),Reference!$A$6:$A$11,1))))*(INDEX(Reference!$B$6:$B$11,MIN(5,MATCH(MAX(Reference!$A$6,MIN(Reference!$A$11,MIN($U87,180))),Reference!$A$6:$A$11,1))+1)-INDEX(Reference!$B$6:$B$11,MIN(5,MATCH(MAX(Reference!$A$6,MIN(Reference!$A$11,MIN($U87,180))),Reference!$A$6:$A$11,1))))/(INDEX(Reference!$A$6:$A$11,MIN(5,MATCH(MAX(Reference!$A$6,MIN(Reference!$A$11,MIN($U87,180))),Reference!$A$6:$A$11,1))+1)-INDEX(Reference!$A$6:$A$11,MIN(5,MATCH(MAX(Reference!$A$6,MIN(Reference!$A$11,MIN($U87,180))),Reference!$A$6:$A$11,1))))),0)+IF(5&lt;=$AL87,($AL87-5+3)*(INDEX(Reference!$B$6:$B$11,MIN(5,MATCH(MAX(Reference!$A$6,MIN(Reference!$A$11,MIN($U87,210))),Reference!$A$6:$A$11,1)))+(MAX(Reference!$A$6,MIN(Reference!$A$11,MIN($U87,210)))-INDEX(Reference!$A$6:$A$11,MIN(5,MATCH(MAX(Reference!$A$6,MIN(Reference!$A$11,MIN($U87,210))),Reference!$A$6:$A$11,1))))*(INDEX(Reference!$B$6:$B$11,MIN(5,MATCH(MAX(Reference!$A$6,MIN(Reference!$A$11,MIN($U87,210))),Reference!$A$6:$A$11,1))+1)-INDEX(Reference!$B$6:$B$11,MIN(5,MATCH(MAX(Reference!$A$6,MIN(Reference!$A$11,MIN($U87,210))),Reference!$A$6:$A$11,1))))/(INDEX(Reference!$A$6:$A$11,MIN(5,MATCH(MAX(Reference!$A$6,MIN(Reference!$A$11,MIN($U87,210))),Reference!$A$6:$A$11,1))+1)-INDEX(Reference!$A$6:$A$11,MIN(5,MATCH(MAX(Reference!$A$6,MIN(Reference!$A$11,MIN($U87,210))),Reference!$A$6:$A$11,1))))),0)+IF(6&lt;=$AL87,($AL87-6+3)*(INDEX(Reference!$B$6:$B$11,MIN(5,MATCH(MAX(Reference!$A$6,MIN(Reference!$A$11,MIN($U87,240))),Reference!$A$6:$A$11,1)))+(MAX(Reference!$A$6,MIN(Reference!$A$11,MIN($U87,240)))-INDEX(Reference!$A$6:$A$11,MIN(5,MATCH(MAX(Reference!$A$6,MIN(Reference!$A$11,MIN($U87,240))),Reference!$A$6:$A$11,1))))*(INDEX(Reference!$B$6:$B$11,MIN(5,MATCH(MAX(Reference!$A$6,MIN(Reference!$A$11,MIN($U87,240))),Reference!$A$6:$A$11,1))+1)-INDEX(Reference!$B$6:$B$11,MIN(5,MATCH(MAX(Reference!$A$6,MIN(Reference!$A$11,MIN($U87,240))),Reference!$A$6:$A$11,1))))/(INDEX(Reference!$A$6:$A$11,MIN(5,MATCH(MAX(Reference!$A$6,MIN(Reference!$A$11,MIN($U87,240))),Reference!$A$6:$A$11,1))+1)-INDEX(Reference!$A$6:$A$11,MIN(5,MATCH(MAX(Reference!$A$6,MIN(Reference!$A$11,MIN($U87,240))),Reference!$A$6:$A$11,1))))),0)+IF(7&lt;=$AL87,($AL87-7+3)*(INDEX(Reference!$B$6:$B$11,MIN(5,MATCH(MAX(Reference!$A$6,MIN(Reference!$A$11,MIN($U87,270))),Reference!$A$6:$A$11,1)))+(MAX(Reference!$A$6,MIN(Reference!$A$11,MIN($U87,270)))-INDEX(Reference!$A$6:$A$11,MIN(5,MATCH(MAX(Reference!$A$6,MIN(Reference!$A$11,MIN($U87,270))),Reference!$A$6:$A$11,1))))*(INDEX(Reference!$B$6:$B$11,MIN(5,MATCH(MAX(Reference!$A$6,MIN(Reference!$A$11,MIN($U87,270))),Reference!$A$6:$A$11,1))+1)-INDEX(Reference!$B$6:$B$11,MIN(5,MATCH(MAX(Reference!$A$6,MIN(Reference!$A$11,MIN($U87,270))),Reference!$A$6:$A$11,1))))/(INDEX(Reference!$A$6:$A$11,MIN(5,MATCH(MAX(Reference!$A$6,MIN(Reference!$A$11,MIN($U87,270))),Reference!$A$6:$A$11,1))+1)-INDEX(Reference!$A$6:$A$11,MIN(5,MATCH(MAX(Reference!$A$6,MIN(Reference!$A$11,MIN($U87,270))),Reference!$A$6:$A$11,1))))),0)+IF(8&lt;=$AL87,($AL87-8+3)*(INDEX(Reference!$B$6:$B$11,MIN(5,MATCH(MAX(Reference!$A$6,MIN(Reference!$A$11,MIN($U87,300))),Reference!$A$6:$A$11,1)))+(MAX(Reference!$A$6,MIN(Reference!$A$11,MIN($U87,300)))-INDEX(Reference!$A$6:$A$11,MIN(5,MATCH(MAX(Reference!$A$6,MIN(Reference!$A$11,MIN($U87,300))),Reference!$A$6:$A$11,1))))*(INDEX(Reference!$B$6:$B$11,MIN(5,MATCH(MAX(Reference!$A$6,MIN(Reference!$A$11,MIN($U87,300))),Reference!$A$6:$A$11,1))+1)-INDEX(Reference!$B$6:$B$11,MIN(5,MATCH(MAX(Reference!$A$6,MIN(Reference!$A$11,MIN($U87,300))),Reference!$A$6:$A$11,1))))/(INDEX(Reference!$A$6:$A$11,MIN(5,MATCH(MAX(Reference!$A$6,MIN(Reference!$A$11,MIN($U87,300))),Reference!$A$6:$A$11,1))+1)-INDEX(Reference!$A$6:$A$11,MIN(5,MATCH(MAX(Reference!$A$6,MIN(Reference!$A$11,MIN($U87,300))),Reference!$A$6:$A$11,1))))),0))/($AL87*($AL87+5)/2)),$AN87))</f>
        <v>0</v>
      </c>
      <c r="AN87" s="32">
        <f>IF($U87="",0,(INDEX(Reference!$B$6:$B$11,MIN(5,MATCH(MAX(Reference!$A$6,MIN(Reference!$A$11,$U87)),Reference!$A$6:$A$11,1)))+(MAX(Reference!$A$6,MIN(Reference!$A$11,$U87))-INDEX(Reference!$A$6:$A$11,MIN(5,MATCH(MAX(Reference!$A$6,MIN(Reference!$A$11,$U87)),Reference!$A$6:$A$11,1))))*(INDEX(Reference!$B$6:$B$11,MIN(5,MATCH(MAX(Reference!$A$6,MIN(Reference!$A$11,$U87)),Reference!$A$6:$A$11,1))+1)-INDEX(Reference!$B$6:$B$11,MIN(5,MATCH(MAX(Reference!$A$6,MIN(Reference!$A$11,$U87)),Reference!$A$6:$A$11,1))))/(INDEX(Reference!$A$6:$A$11,MIN(5,MATCH(MAX(Reference!$A$6,MIN(Reference!$A$11,$U87)),Reference!$A$6:$A$11,1))+1)-INDEX(Reference!$A$6:$A$11,MIN(5,MATCH(MAX(Reference!$A$6,MIN(Reference!$A$11,$U87)),Reference!$A$6:$A$11,1))))))</f>
        <v>0</v>
      </c>
      <c r="AO87" s="37"/>
      <c r="AP87" s="37"/>
      <c r="AQ87" s="37"/>
    </row>
    <row r="88" spans="1:43" x14ac:dyDescent="0.3">
      <c r="A88" s="48">
        <f t="shared" si="30"/>
        <v>46352</v>
      </c>
      <c r="B88" s="32" t="str">
        <f t="shared" si="31"/>
        <v>Thu</v>
      </c>
      <c r="C88" s="32">
        <f t="shared" si="32"/>
        <v>39</v>
      </c>
      <c r="D88" s="32" t="str">
        <f t="shared" si="33"/>
        <v>Extension</v>
      </c>
      <c r="E88" s="32" t="str">
        <f t="shared" si="34"/>
        <v>High Non-Bullpen</v>
      </c>
      <c r="F88" s="32" t="str">
        <f t="shared" si="35"/>
        <v>Compression/Pulldowns</v>
      </c>
      <c r="G88" s="47" t="str">
        <f t="shared" si="36"/>
        <v>90 ft × 20 @ 82–84 mph + 60 ft × 15 @ 79–81 mph</v>
      </c>
      <c r="H88" s="30">
        <f t="shared" si="37"/>
        <v>35</v>
      </c>
      <c r="I88" s="46">
        <f>IF($A88="","",IF(AND($L88&lt;27,$K$12=0),"Building",IFERROR(((SUM($H$82:$H88)+$K$12*IF($L88&lt;6,SUMIFS('Throw Log'!$Q$5:$Q$300,'Throw Log'!$B$5:$B$300,$D$4,'Throw Log'!$A$5:$A$300,"&gt;="&amp;($D$6+$L88-6),'Throw Log'!$A$5:$A$300,"&lt;="&amp;($D$6-1)),0))/7)/((SUM($H$61:$H88)+$K$12*IF($L88&lt;27,SUMIFS('Throw Log'!$Q$5:$Q$300,'Throw Log'!$B$5:$B$300,$D$4,'Throw Log'!$A$5:$A$300,"&gt;="&amp;($D$6+$L88-27),'Throw Log'!$A$5:$A$300,"&lt;="&amp;($D$6-1)),0))/28),"")))</f>
        <v>1.0966637707246272</v>
      </c>
      <c r="J88" s="37"/>
      <c r="K88" s="37">
        <v>20</v>
      </c>
      <c r="L88" s="32">
        <v>45</v>
      </c>
      <c r="M88" s="32">
        <f t="shared" si="38"/>
        <v>7</v>
      </c>
      <c r="N88" s="32">
        <f t="shared" si="39"/>
        <v>3</v>
      </c>
      <c r="O88" s="32">
        <f t="shared" si="40"/>
        <v>0.59210526315789469</v>
      </c>
      <c r="P88" s="32">
        <f>IF(OR($A88="",N($C88)&lt;=7),"",$G$6*$G$9^($M88-1)*IF(AND(MOD($M88,Reference!$B$99)=0,$M88&lt;=$G$5-2),Reference!$B$100,1))</f>
        <v>162.26318771208111</v>
      </c>
      <c r="Q88" s="32">
        <f>IF($P88="","",IF(SUM($AK$85:$AK$91)=0,0,$P88*INDEX(Reference!$B$108:$B$114,$N88+1)/SUM($AK$85:$AK$91)))</f>
        <v>36.395481355980806</v>
      </c>
      <c r="R88" s="32">
        <f t="shared" si="41"/>
        <v>150</v>
      </c>
      <c r="S88" s="32">
        <f t="shared" si="42"/>
        <v>135</v>
      </c>
      <c r="T88" s="32" t="str">
        <f>IF($A88="","",IF($C88=0,"Bullpen",IF(OR($C88=7,$C88=1,$C88=5),"Recovery/Easy Catch",IF($C88=6,"Compression/Pulldowns",IF(OR($C88=4,$C88=2),"Long Toss",IF($C88=3,"No Throw",IF($N88=2,"No Throw",IF($N88=6,IF($O88&lt;Reference!$B$104,"No Throw","Recovery/Easy Catch"),IF(OR($N88=0,$N88=4),"Recovery/Easy Catch",IF($N88=1,IF($R88&gt;75,"Long Toss","Recovery/Easy Catch"),IF($N88=3,IF($O88&lt;0.5,IF($S88&gt;75,"Long Toss","Recovery/Easy Catch"),"Compression/Pulldowns"),IF($S88&gt;75,"Long Toss","Recovery/Easy Catch"))))))))))))</f>
        <v>Compression/Pulldowns</v>
      </c>
      <c r="U88" s="32">
        <f t="shared" si="43"/>
        <v>90</v>
      </c>
      <c r="V88" s="32">
        <f t="shared" si="44"/>
        <v>7</v>
      </c>
      <c r="W88" s="32">
        <f t="shared" si="45"/>
        <v>9</v>
      </c>
      <c r="X88" s="32">
        <f t="shared" si="46"/>
        <v>15</v>
      </c>
      <c r="Y88" s="32">
        <f t="shared" si="47"/>
        <v>10</v>
      </c>
      <c r="Z88" s="32">
        <f t="shared" si="48"/>
        <v>12</v>
      </c>
      <c r="AA88" s="32" t="str">
        <f t="shared" si="49"/>
        <v/>
      </c>
      <c r="AB88" s="32">
        <f>IF($A88="","",IF($T88="No Throw",0,IF($K88&lt;&gt;"",$K88,IF($AA88&lt;&gt;"",ROUND($AA88*$D$12*IF($C88=0,1,$G$10),0),MIN(IF($T88="Recovery/Easy Catch",Reference!$B$103,IF($T88="Long Toss",Reference!$B$106,Reference!$B$102)),MAX(Reference!$B$101,ROUND(MAX(0,$Q88-$AE88)/$AF88,0)))))))</f>
        <v>20</v>
      </c>
      <c r="AC88" s="32">
        <f t="shared" si="50"/>
        <v>0</v>
      </c>
      <c r="AD88" s="32" t="b">
        <f t="shared" si="51"/>
        <v>0</v>
      </c>
      <c r="AE88" s="32">
        <f>IF($X88=0,0,$X88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88+$Z88)/2,0),Reference!$A$17:$B$20,2,TRUE()))</f>
        <v>9</v>
      </c>
      <c r="AF88" s="32">
        <f>IF(OR($A88="",$U88="",$T88="No Throw"),0,$AM88*VLOOKUP(MAX(($V88+$W88)/2,0),Reference!$A$17:$B$20,2,TRUE()))</f>
        <v>1.3</v>
      </c>
      <c r="AG88" s="32">
        <f>IF($AC88=0,0,$AC88*INDEX(Reference!$B$61:$B$62,MATCH("Bullpen",Reference!$A$61:$A$62,0))*VLOOKUP(MAX($D$5-($D$9+$E$9)/2,0),Reference!$A$17:$B$20,2,TRUE()))</f>
        <v>0</v>
      </c>
      <c r="AH88" s="46">
        <f t="shared" si="52"/>
        <v>1.0966637707246272</v>
      </c>
      <c r="AI88" s="32">
        <f>IF($A88="",NA(),Reference!$A$25)</f>
        <v>0.8</v>
      </c>
      <c r="AJ88" s="32">
        <f t="shared" si="53"/>
        <v>1.3</v>
      </c>
      <c r="AK88" s="56">
        <f>IF(OR($A88="",N($C88)&lt;=7,$T88="No Throw",$J88="x"),0,INDEX(Reference!$B$108:$B$114,$N88+1))</f>
        <v>0.24</v>
      </c>
      <c r="AL88" s="32">
        <f t="shared" si="54"/>
        <v>1</v>
      </c>
      <c r="AM88" s="32">
        <f>IF($U88="",0,IF($AL88&gt;1,((IF(1&lt;=$AL88,($AL88-1+3)*(INDEX(Reference!$B$6:$B$11,MIN(5,MATCH(MAX(Reference!$A$6,MIN(Reference!$A$11,MIN($U88,90))),Reference!$A$6:$A$11,1)))+(MAX(Reference!$A$6,MIN(Reference!$A$11,MIN($U88,90)))-INDEX(Reference!$A$6:$A$11,MIN(5,MATCH(MAX(Reference!$A$6,MIN(Reference!$A$11,MIN($U88,90))),Reference!$A$6:$A$11,1))))*(INDEX(Reference!$B$6:$B$11,MIN(5,MATCH(MAX(Reference!$A$6,MIN(Reference!$A$11,MIN($U88,90))),Reference!$A$6:$A$11,1))+1)-INDEX(Reference!$B$6:$B$11,MIN(5,MATCH(MAX(Reference!$A$6,MIN(Reference!$A$11,MIN($U88,90))),Reference!$A$6:$A$11,1))))/(INDEX(Reference!$A$6:$A$11,MIN(5,MATCH(MAX(Reference!$A$6,MIN(Reference!$A$11,MIN($U88,90))),Reference!$A$6:$A$11,1))+1)-INDEX(Reference!$A$6:$A$11,MIN(5,MATCH(MAX(Reference!$A$6,MIN(Reference!$A$11,MIN($U88,90))),Reference!$A$6:$A$11,1))))),0)+IF(2&lt;=$AL88,($AL88-2+3)*(INDEX(Reference!$B$6:$B$11,MIN(5,MATCH(MAX(Reference!$A$6,MIN(Reference!$A$11,MIN($U88,120))),Reference!$A$6:$A$11,1)))+(MAX(Reference!$A$6,MIN(Reference!$A$11,MIN($U88,120)))-INDEX(Reference!$A$6:$A$11,MIN(5,MATCH(MAX(Reference!$A$6,MIN(Reference!$A$11,MIN($U88,120))),Reference!$A$6:$A$11,1))))*(INDEX(Reference!$B$6:$B$11,MIN(5,MATCH(MAX(Reference!$A$6,MIN(Reference!$A$11,MIN($U88,120))),Reference!$A$6:$A$11,1))+1)-INDEX(Reference!$B$6:$B$11,MIN(5,MATCH(MAX(Reference!$A$6,MIN(Reference!$A$11,MIN($U88,120))),Reference!$A$6:$A$11,1))))/(INDEX(Reference!$A$6:$A$11,MIN(5,MATCH(MAX(Reference!$A$6,MIN(Reference!$A$11,MIN($U88,120))),Reference!$A$6:$A$11,1))+1)-INDEX(Reference!$A$6:$A$11,MIN(5,MATCH(MAX(Reference!$A$6,MIN(Reference!$A$11,MIN($U88,120))),Reference!$A$6:$A$11,1))))),0)+IF(3&lt;=$AL88,($AL88-3+3)*(INDEX(Reference!$B$6:$B$11,MIN(5,MATCH(MAX(Reference!$A$6,MIN(Reference!$A$11,MIN($U88,150))),Reference!$A$6:$A$11,1)))+(MAX(Reference!$A$6,MIN(Reference!$A$11,MIN($U88,150)))-INDEX(Reference!$A$6:$A$11,MIN(5,MATCH(MAX(Reference!$A$6,MIN(Reference!$A$11,MIN($U88,150))),Reference!$A$6:$A$11,1))))*(INDEX(Reference!$B$6:$B$11,MIN(5,MATCH(MAX(Reference!$A$6,MIN(Reference!$A$11,MIN($U88,150))),Reference!$A$6:$A$11,1))+1)-INDEX(Reference!$B$6:$B$11,MIN(5,MATCH(MAX(Reference!$A$6,MIN(Reference!$A$11,MIN($U88,150))),Reference!$A$6:$A$11,1))))/(INDEX(Reference!$A$6:$A$11,MIN(5,MATCH(MAX(Reference!$A$6,MIN(Reference!$A$11,MIN($U88,150))),Reference!$A$6:$A$11,1))+1)-INDEX(Reference!$A$6:$A$11,MIN(5,MATCH(MAX(Reference!$A$6,MIN(Reference!$A$11,MIN($U88,150))),Reference!$A$6:$A$11,1))))),0)+IF(4&lt;=$AL88,($AL88-4+3)*(INDEX(Reference!$B$6:$B$11,MIN(5,MATCH(MAX(Reference!$A$6,MIN(Reference!$A$11,MIN($U88,180))),Reference!$A$6:$A$11,1)))+(MAX(Reference!$A$6,MIN(Reference!$A$11,MIN($U88,180)))-INDEX(Reference!$A$6:$A$11,MIN(5,MATCH(MAX(Reference!$A$6,MIN(Reference!$A$11,MIN($U88,180))),Reference!$A$6:$A$11,1))))*(INDEX(Reference!$B$6:$B$11,MIN(5,MATCH(MAX(Reference!$A$6,MIN(Reference!$A$11,MIN($U88,180))),Reference!$A$6:$A$11,1))+1)-INDEX(Reference!$B$6:$B$11,MIN(5,MATCH(MAX(Reference!$A$6,MIN(Reference!$A$11,MIN($U88,180))),Reference!$A$6:$A$11,1))))/(INDEX(Reference!$A$6:$A$11,MIN(5,MATCH(MAX(Reference!$A$6,MIN(Reference!$A$11,MIN($U88,180))),Reference!$A$6:$A$11,1))+1)-INDEX(Reference!$A$6:$A$11,MIN(5,MATCH(MAX(Reference!$A$6,MIN(Reference!$A$11,MIN($U88,180))),Reference!$A$6:$A$11,1))))),0)+IF(5&lt;=$AL88,($AL88-5+3)*(INDEX(Reference!$B$6:$B$11,MIN(5,MATCH(MAX(Reference!$A$6,MIN(Reference!$A$11,MIN($U88,210))),Reference!$A$6:$A$11,1)))+(MAX(Reference!$A$6,MIN(Reference!$A$11,MIN($U88,210)))-INDEX(Reference!$A$6:$A$11,MIN(5,MATCH(MAX(Reference!$A$6,MIN(Reference!$A$11,MIN($U88,210))),Reference!$A$6:$A$11,1))))*(INDEX(Reference!$B$6:$B$11,MIN(5,MATCH(MAX(Reference!$A$6,MIN(Reference!$A$11,MIN($U88,210))),Reference!$A$6:$A$11,1))+1)-INDEX(Reference!$B$6:$B$11,MIN(5,MATCH(MAX(Reference!$A$6,MIN(Reference!$A$11,MIN($U88,210))),Reference!$A$6:$A$11,1))))/(INDEX(Reference!$A$6:$A$11,MIN(5,MATCH(MAX(Reference!$A$6,MIN(Reference!$A$11,MIN($U88,210))),Reference!$A$6:$A$11,1))+1)-INDEX(Reference!$A$6:$A$11,MIN(5,MATCH(MAX(Reference!$A$6,MIN(Reference!$A$11,MIN($U88,210))),Reference!$A$6:$A$11,1))))),0)+IF(6&lt;=$AL88,($AL88-6+3)*(INDEX(Reference!$B$6:$B$11,MIN(5,MATCH(MAX(Reference!$A$6,MIN(Reference!$A$11,MIN($U88,240))),Reference!$A$6:$A$11,1)))+(MAX(Reference!$A$6,MIN(Reference!$A$11,MIN($U88,240)))-INDEX(Reference!$A$6:$A$11,MIN(5,MATCH(MAX(Reference!$A$6,MIN(Reference!$A$11,MIN($U88,240))),Reference!$A$6:$A$11,1))))*(INDEX(Reference!$B$6:$B$11,MIN(5,MATCH(MAX(Reference!$A$6,MIN(Reference!$A$11,MIN($U88,240))),Reference!$A$6:$A$11,1))+1)-INDEX(Reference!$B$6:$B$11,MIN(5,MATCH(MAX(Reference!$A$6,MIN(Reference!$A$11,MIN($U88,240))),Reference!$A$6:$A$11,1))))/(INDEX(Reference!$A$6:$A$11,MIN(5,MATCH(MAX(Reference!$A$6,MIN(Reference!$A$11,MIN($U88,240))),Reference!$A$6:$A$11,1))+1)-INDEX(Reference!$A$6:$A$11,MIN(5,MATCH(MAX(Reference!$A$6,MIN(Reference!$A$11,MIN($U88,240))),Reference!$A$6:$A$11,1))))),0)+IF(7&lt;=$AL88,($AL88-7+3)*(INDEX(Reference!$B$6:$B$11,MIN(5,MATCH(MAX(Reference!$A$6,MIN(Reference!$A$11,MIN($U88,270))),Reference!$A$6:$A$11,1)))+(MAX(Reference!$A$6,MIN(Reference!$A$11,MIN($U88,270)))-INDEX(Reference!$A$6:$A$11,MIN(5,MATCH(MAX(Reference!$A$6,MIN(Reference!$A$11,MIN($U88,270))),Reference!$A$6:$A$11,1))))*(INDEX(Reference!$B$6:$B$11,MIN(5,MATCH(MAX(Reference!$A$6,MIN(Reference!$A$11,MIN($U88,270))),Reference!$A$6:$A$11,1))+1)-INDEX(Reference!$B$6:$B$11,MIN(5,MATCH(MAX(Reference!$A$6,MIN(Reference!$A$11,MIN($U88,270))),Reference!$A$6:$A$11,1))))/(INDEX(Reference!$A$6:$A$11,MIN(5,MATCH(MAX(Reference!$A$6,MIN(Reference!$A$11,MIN($U88,270))),Reference!$A$6:$A$11,1))+1)-INDEX(Reference!$A$6:$A$11,MIN(5,MATCH(MAX(Reference!$A$6,MIN(Reference!$A$11,MIN($U88,270))),Reference!$A$6:$A$11,1))))),0)+IF(8&lt;=$AL88,($AL88-8+3)*(INDEX(Reference!$B$6:$B$11,MIN(5,MATCH(MAX(Reference!$A$6,MIN(Reference!$A$11,MIN($U88,300))),Reference!$A$6:$A$11,1)))+(MAX(Reference!$A$6,MIN(Reference!$A$11,MIN($U88,300)))-INDEX(Reference!$A$6:$A$11,MIN(5,MATCH(MAX(Reference!$A$6,MIN(Reference!$A$11,MIN($U88,300))),Reference!$A$6:$A$11,1))))*(INDEX(Reference!$B$6:$B$11,MIN(5,MATCH(MAX(Reference!$A$6,MIN(Reference!$A$11,MIN($U88,300))),Reference!$A$6:$A$11,1))+1)-INDEX(Reference!$B$6:$B$11,MIN(5,MATCH(MAX(Reference!$A$6,MIN(Reference!$A$11,MIN($U88,300))),Reference!$A$6:$A$11,1))))/(INDEX(Reference!$A$6:$A$11,MIN(5,MATCH(MAX(Reference!$A$6,MIN(Reference!$A$11,MIN($U88,300))),Reference!$A$6:$A$11,1))+1)-INDEX(Reference!$A$6:$A$11,MIN(5,MATCH(MAX(Reference!$A$6,MIN(Reference!$A$11,MIN($U88,300))),Reference!$A$6:$A$11,1))))),0))/($AL88*($AL88+5)/2)),$AN88))</f>
        <v>1.3</v>
      </c>
      <c r="AN88" s="32">
        <f>IF($U88="",0,(INDEX(Reference!$B$6:$B$11,MIN(5,MATCH(MAX(Reference!$A$6,MIN(Reference!$A$11,$U88)),Reference!$A$6:$A$11,1)))+(MAX(Reference!$A$6,MIN(Reference!$A$11,$U88))-INDEX(Reference!$A$6:$A$11,MIN(5,MATCH(MAX(Reference!$A$6,MIN(Reference!$A$11,$U88)),Reference!$A$6:$A$11,1))))*(INDEX(Reference!$B$6:$B$11,MIN(5,MATCH(MAX(Reference!$A$6,MIN(Reference!$A$11,$U88)),Reference!$A$6:$A$11,1))+1)-INDEX(Reference!$B$6:$B$11,MIN(5,MATCH(MAX(Reference!$A$6,MIN(Reference!$A$11,$U88)),Reference!$A$6:$A$11,1))))/(INDEX(Reference!$A$6:$A$11,MIN(5,MATCH(MAX(Reference!$A$6,MIN(Reference!$A$11,$U88)),Reference!$A$6:$A$11,1))+1)-INDEX(Reference!$A$6:$A$11,MIN(5,MATCH(MAX(Reference!$A$6,MIN(Reference!$A$11,$U88)),Reference!$A$6:$A$11,1))))))</f>
        <v>1.3</v>
      </c>
      <c r="AO88" s="37"/>
      <c r="AP88" s="37"/>
      <c r="AQ88" s="37"/>
    </row>
    <row r="89" spans="1:43" x14ac:dyDescent="0.3">
      <c r="A89" s="48">
        <f t="shared" si="30"/>
        <v>46353</v>
      </c>
      <c r="B89" s="32" t="str">
        <f t="shared" si="31"/>
        <v>Fri</v>
      </c>
      <c r="C89" s="32">
        <f t="shared" si="32"/>
        <v>38</v>
      </c>
      <c r="D89" s="32" t="str">
        <f t="shared" si="33"/>
        <v>Extension</v>
      </c>
      <c r="E89" s="32" t="str">
        <f t="shared" si="34"/>
        <v>Low</v>
      </c>
      <c r="F89" s="32" t="str">
        <f t="shared" si="35"/>
        <v>Recovery/Easy Catch</v>
      </c>
      <c r="G89" s="47" t="str">
        <f t="shared" si="36"/>
        <v>75 ft × 22 @ 69–73 mph</v>
      </c>
      <c r="H89" s="30">
        <f t="shared" si="37"/>
        <v>15.18</v>
      </c>
      <c r="I89" s="46">
        <f>IF($A89="","",IF(AND($L89&lt;27,$K$12=0),"Building",IFERROR(((SUM($H$83:$H89)+$K$12*IF($L89&lt;6,SUMIFS('Throw Log'!$Q$5:$Q$300,'Throw Log'!$B$5:$B$300,$D$4,'Throw Log'!$A$5:$A$300,"&gt;="&amp;($D$6+$L89-6),'Throw Log'!$A$5:$A$300,"&lt;="&amp;($D$6-1)),0))/7)/((SUM($H$62:$H89)+$K$12*IF($L89&lt;27,SUMIFS('Throw Log'!$Q$5:$Q$300,'Throw Log'!$B$5:$B$300,$D$4,'Throw Log'!$A$5:$A$300,"&gt;="&amp;($D$6+$L89-27),'Throw Log'!$A$5:$A$300,"&lt;="&amp;($D$6-1)),0))/28),"")))</f>
        <v>1.0951600816558567</v>
      </c>
      <c r="J89" s="37"/>
      <c r="K89" s="37"/>
      <c r="L89" s="32">
        <v>46</v>
      </c>
      <c r="M89" s="32">
        <f t="shared" si="38"/>
        <v>7</v>
      </c>
      <c r="N89" s="32">
        <f t="shared" si="39"/>
        <v>4</v>
      </c>
      <c r="O89" s="32">
        <f t="shared" si="40"/>
        <v>0.60526315789473684</v>
      </c>
      <c r="P89" s="32">
        <f>IF(OR($A89="",N($C89)&lt;=7),"",$G$6*$G$9^($M89-1)*IF(AND(MOD($M89,Reference!$B$99)=0,$M89&lt;=$G$5-2),Reference!$B$100,1))</f>
        <v>162.26318771208111</v>
      </c>
      <c r="Q89" s="32">
        <f>IF($P89="","",IF(SUM($AK$85:$AK$91)=0,0,$P89*INDEX(Reference!$B$108:$B$114,$N89+1)/SUM($AK$85:$AK$91)))</f>
        <v>15.164783898325336</v>
      </c>
      <c r="R89" s="32">
        <f t="shared" si="41"/>
        <v>150</v>
      </c>
      <c r="S89" s="32">
        <f t="shared" si="42"/>
        <v>135</v>
      </c>
      <c r="T89" s="32" t="str">
        <f>IF($A89="","",IF($C89=0,"Bullpen",IF(OR($C89=7,$C89=1,$C89=5),"Recovery/Easy Catch",IF($C89=6,"Compression/Pulldowns",IF(OR($C89=4,$C89=2),"Long Toss",IF($C89=3,"No Throw",IF($N89=2,"No Throw",IF($N89=6,IF($O89&lt;Reference!$B$104,"No Throw","Recovery/Easy Catch"),IF(OR($N89=0,$N89=4),"Recovery/Easy Catch",IF($N89=1,IF($R89&gt;75,"Long Toss","Recovery/Easy Catch"),IF($N89=3,IF($O89&lt;0.5,IF($S89&gt;75,"Long Toss","Recovery/Easy Catch"),"Compression/Pulldowns"),IF($S89&gt;75,"Long Toss","Recovery/Easy Catch"))))))))))))</f>
        <v>Recovery/Easy Catch</v>
      </c>
      <c r="U89" s="32">
        <f t="shared" si="43"/>
        <v>75</v>
      </c>
      <c r="V89" s="32">
        <f t="shared" si="44"/>
        <v>18</v>
      </c>
      <c r="W89" s="32">
        <f t="shared" si="45"/>
        <v>22</v>
      </c>
      <c r="X89" s="32">
        <f t="shared" si="46"/>
        <v>0</v>
      </c>
      <c r="Y89" s="32" t="str">
        <f t="shared" si="47"/>
        <v/>
      </c>
      <c r="Z89" s="32" t="str">
        <f t="shared" si="48"/>
        <v/>
      </c>
      <c r="AA89" s="32" t="str">
        <f t="shared" si="49"/>
        <v/>
      </c>
      <c r="AB89" s="32">
        <f>IF($A89="","",IF($T89="No Throw",0,IF($K89&lt;&gt;"",$K89,IF($AA89&lt;&gt;"",ROUND($AA89*$D$12*IF($C89=0,1,$G$10),0),MIN(IF($T89="Recovery/Easy Catch",Reference!$B$103,IF($T89="Long Toss",Reference!$B$106,Reference!$B$102)),MAX(Reference!$B$101,ROUND(MAX(0,$Q89-$AE89)/$AF89,0)))))))</f>
        <v>22</v>
      </c>
      <c r="AC89" s="32">
        <f t="shared" si="50"/>
        <v>0</v>
      </c>
      <c r="AD89" s="32" t="b">
        <f t="shared" si="51"/>
        <v>0</v>
      </c>
      <c r="AE89" s="32">
        <f>IF($X89=0,0,$X89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89+$Z89)/2,0),Reference!$A$17:$B$20,2,TRUE()))</f>
        <v>0</v>
      </c>
      <c r="AF89" s="32">
        <f>IF(OR($A89="",$U89="",$T89="No Throw"),0,$AM89*VLOOKUP(MAX(($V89+$W89)/2,0),Reference!$A$17:$B$20,2,TRUE()))</f>
        <v>0.69</v>
      </c>
      <c r="AG89" s="32">
        <f>IF($AC89=0,0,$AC89*INDEX(Reference!$B$61:$B$62,MATCH("Bullpen",Reference!$A$61:$A$62,0))*VLOOKUP(MAX($D$5-($D$9+$E$9)/2,0),Reference!$A$17:$B$20,2,TRUE()))</f>
        <v>0</v>
      </c>
      <c r="AH89" s="46">
        <f t="shared" si="52"/>
        <v>1.0951600816558567</v>
      </c>
      <c r="AI89" s="32">
        <f>IF($A89="",NA(),Reference!$A$25)</f>
        <v>0.8</v>
      </c>
      <c r="AJ89" s="32">
        <f t="shared" si="53"/>
        <v>1.3</v>
      </c>
      <c r="AK89" s="56">
        <f>IF(OR($A89="",N($C89)&lt;=7,$T89="No Throw",$J89="x"),0,INDEX(Reference!$B$108:$B$114,$N89+1))</f>
        <v>0.1</v>
      </c>
      <c r="AL89" s="32">
        <f t="shared" si="54"/>
        <v>1</v>
      </c>
      <c r="AM89" s="32">
        <f>IF($U89="",0,IF($AL89&gt;1,((IF(1&lt;=$AL89,($AL89-1+3)*(INDEX(Reference!$B$6:$B$11,MIN(5,MATCH(MAX(Reference!$A$6,MIN(Reference!$A$11,MIN($U89,90))),Reference!$A$6:$A$11,1)))+(MAX(Reference!$A$6,MIN(Reference!$A$11,MIN($U89,90)))-INDEX(Reference!$A$6:$A$11,MIN(5,MATCH(MAX(Reference!$A$6,MIN(Reference!$A$11,MIN($U89,90))),Reference!$A$6:$A$11,1))))*(INDEX(Reference!$B$6:$B$11,MIN(5,MATCH(MAX(Reference!$A$6,MIN(Reference!$A$11,MIN($U89,90))),Reference!$A$6:$A$11,1))+1)-INDEX(Reference!$B$6:$B$11,MIN(5,MATCH(MAX(Reference!$A$6,MIN(Reference!$A$11,MIN($U89,90))),Reference!$A$6:$A$11,1))))/(INDEX(Reference!$A$6:$A$11,MIN(5,MATCH(MAX(Reference!$A$6,MIN(Reference!$A$11,MIN($U89,90))),Reference!$A$6:$A$11,1))+1)-INDEX(Reference!$A$6:$A$11,MIN(5,MATCH(MAX(Reference!$A$6,MIN(Reference!$A$11,MIN($U89,90))),Reference!$A$6:$A$11,1))))),0)+IF(2&lt;=$AL89,($AL89-2+3)*(INDEX(Reference!$B$6:$B$11,MIN(5,MATCH(MAX(Reference!$A$6,MIN(Reference!$A$11,MIN($U89,120))),Reference!$A$6:$A$11,1)))+(MAX(Reference!$A$6,MIN(Reference!$A$11,MIN($U89,120)))-INDEX(Reference!$A$6:$A$11,MIN(5,MATCH(MAX(Reference!$A$6,MIN(Reference!$A$11,MIN($U89,120))),Reference!$A$6:$A$11,1))))*(INDEX(Reference!$B$6:$B$11,MIN(5,MATCH(MAX(Reference!$A$6,MIN(Reference!$A$11,MIN($U89,120))),Reference!$A$6:$A$11,1))+1)-INDEX(Reference!$B$6:$B$11,MIN(5,MATCH(MAX(Reference!$A$6,MIN(Reference!$A$11,MIN($U89,120))),Reference!$A$6:$A$11,1))))/(INDEX(Reference!$A$6:$A$11,MIN(5,MATCH(MAX(Reference!$A$6,MIN(Reference!$A$11,MIN($U89,120))),Reference!$A$6:$A$11,1))+1)-INDEX(Reference!$A$6:$A$11,MIN(5,MATCH(MAX(Reference!$A$6,MIN(Reference!$A$11,MIN($U89,120))),Reference!$A$6:$A$11,1))))),0)+IF(3&lt;=$AL89,($AL89-3+3)*(INDEX(Reference!$B$6:$B$11,MIN(5,MATCH(MAX(Reference!$A$6,MIN(Reference!$A$11,MIN($U89,150))),Reference!$A$6:$A$11,1)))+(MAX(Reference!$A$6,MIN(Reference!$A$11,MIN($U89,150)))-INDEX(Reference!$A$6:$A$11,MIN(5,MATCH(MAX(Reference!$A$6,MIN(Reference!$A$11,MIN($U89,150))),Reference!$A$6:$A$11,1))))*(INDEX(Reference!$B$6:$B$11,MIN(5,MATCH(MAX(Reference!$A$6,MIN(Reference!$A$11,MIN($U89,150))),Reference!$A$6:$A$11,1))+1)-INDEX(Reference!$B$6:$B$11,MIN(5,MATCH(MAX(Reference!$A$6,MIN(Reference!$A$11,MIN($U89,150))),Reference!$A$6:$A$11,1))))/(INDEX(Reference!$A$6:$A$11,MIN(5,MATCH(MAX(Reference!$A$6,MIN(Reference!$A$11,MIN($U89,150))),Reference!$A$6:$A$11,1))+1)-INDEX(Reference!$A$6:$A$11,MIN(5,MATCH(MAX(Reference!$A$6,MIN(Reference!$A$11,MIN($U89,150))),Reference!$A$6:$A$11,1))))),0)+IF(4&lt;=$AL89,($AL89-4+3)*(INDEX(Reference!$B$6:$B$11,MIN(5,MATCH(MAX(Reference!$A$6,MIN(Reference!$A$11,MIN($U89,180))),Reference!$A$6:$A$11,1)))+(MAX(Reference!$A$6,MIN(Reference!$A$11,MIN($U89,180)))-INDEX(Reference!$A$6:$A$11,MIN(5,MATCH(MAX(Reference!$A$6,MIN(Reference!$A$11,MIN($U89,180))),Reference!$A$6:$A$11,1))))*(INDEX(Reference!$B$6:$B$11,MIN(5,MATCH(MAX(Reference!$A$6,MIN(Reference!$A$11,MIN($U89,180))),Reference!$A$6:$A$11,1))+1)-INDEX(Reference!$B$6:$B$11,MIN(5,MATCH(MAX(Reference!$A$6,MIN(Reference!$A$11,MIN($U89,180))),Reference!$A$6:$A$11,1))))/(INDEX(Reference!$A$6:$A$11,MIN(5,MATCH(MAX(Reference!$A$6,MIN(Reference!$A$11,MIN($U89,180))),Reference!$A$6:$A$11,1))+1)-INDEX(Reference!$A$6:$A$11,MIN(5,MATCH(MAX(Reference!$A$6,MIN(Reference!$A$11,MIN($U89,180))),Reference!$A$6:$A$11,1))))),0)+IF(5&lt;=$AL89,($AL89-5+3)*(INDEX(Reference!$B$6:$B$11,MIN(5,MATCH(MAX(Reference!$A$6,MIN(Reference!$A$11,MIN($U89,210))),Reference!$A$6:$A$11,1)))+(MAX(Reference!$A$6,MIN(Reference!$A$11,MIN($U89,210)))-INDEX(Reference!$A$6:$A$11,MIN(5,MATCH(MAX(Reference!$A$6,MIN(Reference!$A$11,MIN($U89,210))),Reference!$A$6:$A$11,1))))*(INDEX(Reference!$B$6:$B$11,MIN(5,MATCH(MAX(Reference!$A$6,MIN(Reference!$A$11,MIN($U89,210))),Reference!$A$6:$A$11,1))+1)-INDEX(Reference!$B$6:$B$11,MIN(5,MATCH(MAX(Reference!$A$6,MIN(Reference!$A$11,MIN($U89,210))),Reference!$A$6:$A$11,1))))/(INDEX(Reference!$A$6:$A$11,MIN(5,MATCH(MAX(Reference!$A$6,MIN(Reference!$A$11,MIN($U89,210))),Reference!$A$6:$A$11,1))+1)-INDEX(Reference!$A$6:$A$11,MIN(5,MATCH(MAX(Reference!$A$6,MIN(Reference!$A$11,MIN($U89,210))),Reference!$A$6:$A$11,1))))),0)+IF(6&lt;=$AL89,($AL89-6+3)*(INDEX(Reference!$B$6:$B$11,MIN(5,MATCH(MAX(Reference!$A$6,MIN(Reference!$A$11,MIN($U89,240))),Reference!$A$6:$A$11,1)))+(MAX(Reference!$A$6,MIN(Reference!$A$11,MIN($U89,240)))-INDEX(Reference!$A$6:$A$11,MIN(5,MATCH(MAX(Reference!$A$6,MIN(Reference!$A$11,MIN($U89,240))),Reference!$A$6:$A$11,1))))*(INDEX(Reference!$B$6:$B$11,MIN(5,MATCH(MAX(Reference!$A$6,MIN(Reference!$A$11,MIN($U89,240))),Reference!$A$6:$A$11,1))+1)-INDEX(Reference!$B$6:$B$11,MIN(5,MATCH(MAX(Reference!$A$6,MIN(Reference!$A$11,MIN($U89,240))),Reference!$A$6:$A$11,1))))/(INDEX(Reference!$A$6:$A$11,MIN(5,MATCH(MAX(Reference!$A$6,MIN(Reference!$A$11,MIN($U89,240))),Reference!$A$6:$A$11,1))+1)-INDEX(Reference!$A$6:$A$11,MIN(5,MATCH(MAX(Reference!$A$6,MIN(Reference!$A$11,MIN($U89,240))),Reference!$A$6:$A$11,1))))),0)+IF(7&lt;=$AL89,($AL89-7+3)*(INDEX(Reference!$B$6:$B$11,MIN(5,MATCH(MAX(Reference!$A$6,MIN(Reference!$A$11,MIN($U89,270))),Reference!$A$6:$A$11,1)))+(MAX(Reference!$A$6,MIN(Reference!$A$11,MIN($U89,270)))-INDEX(Reference!$A$6:$A$11,MIN(5,MATCH(MAX(Reference!$A$6,MIN(Reference!$A$11,MIN($U89,270))),Reference!$A$6:$A$11,1))))*(INDEX(Reference!$B$6:$B$11,MIN(5,MATCH(MAX(Reference!$A$6,MIN(Reference!$A$11,MIN($U89,270))),Reference!$A$6:$A$11,1))+1)-INDEX(Reference!$B$6:$B$11,MIN(5,MATCH(MAX(Reference!$A$6,MIN(Reference!$A$11,MIN($U89,270))),Reference!$A$6:$A$11,1))))/(INDEX(Reference!$A$6:$A$11,MIN(5,MATCH(MAX(Reference!$A$6,MIN(Reference!$A$11,MIN($U89,270))),Reference!$A$6:$A$11,1))+1)-INDEX(Reference!$A$6:$A$11,MIN(5,MATCH(MAX(Reference!$A$6,MIN(Reference!$A$11,MIN($U89,270))),Reference!$A$6:$A$11,1))))),0)+IF(8&lt;=$AL89,($AL89-8+3)*(INDEX(Reference!$B$6:$B$11,MIN(5,MATCH(MAX(Reference!$A$6,MIN(Reference!$A$11,MIN($U89,300))),Reference!$A$6:$A$11,1)))+(MAX(Reference!$A$6,MIN(Reference!$A$11,MIN($U89,300)))-INDEX(Reference!$A$6:$A$11,MIN(5,MATCH(MAX(Reference!$A$6,MIN(Reference!$A$11,MIN($U89,300))),Reference!$A$6:$A$11,1))))*(INDEX(Reference!$B$6:$B$11,MIN(5,MATCH(MAX(Reference!$A$6,MIN(Reference!$A$11,MIN($U89,300))),Reference!$A$6:$A$11,1))+1)-INDEX(Reference!$B$6:$B$11,MIN(5,MATCH(MAX(Reference!$A$6,MIN(Reference!$A$11,MIN($U89,300))),Reference!$A$6:$A$11,1))))/(INDEX(Reference!$A$6:$A$11,MIN(5,MATCH(MAX(Reference!$A$6,MIN(Reference!$A$11,MIN($U89,300))),Reference!$A$6:$A$11,1))+1)-INDEX(Reference!$A$6:$A$11,MIN(5,MATCH(MAX(Reference!$A$6,MIN(Reference!$A$11,MIN($U89,300))),Reference!$A$6:$A$11,1))))),0))/($AL89*($AL89+5)/2)),$AN89))</f>
        <v>1.1499999999999999</v>
      </c>
      <c r="AN89" s="32">
        <f>IF($U89="",0,(INDEX(Reference!$B$6:$B$11,MIN(5,MATCH(MAX(Reference!$A$6,MIN(Reference!$A$11,$U89)),Reference!$A$6:$A$11,1)))+(MAX(Reference!$A$6,MIN(Reference!$A$11,$U89))-INDEX(Reference!$A$6:$A$11,MIN(5,MATCH(MAX(Reference!$A$6,MIN(Reference!$A$11,$U89)),Reference!$A$6:$A$11,1))))*(INDEX(Reference!$B$6:$B$11,MIN(5,MATCH(MAX(Reference!$A$6,MIN(Reference!$A$11,$U89)),Reference!$A$6:$A$11,1))+1)-INDEX(Reference!$B$6:$B$11,MIN(5,MATCH(MAX(Reference!$A$6,MIN(Reference!$A$11,$U89)),Reference!$A$6:$A$11,1))))/(INDEX(Reference!$A$6:$A$11,MIN(5,MATCH(MAX(Reference!$A$6,MIN(Reference!$A$11,$U89)),Reference!$A$6:$A$11,1))+1)-INDEX(Reference!$A$6:$A$11,MIN(5,MATCH(MAX(Reference!$A$6,MIN(Reference!$A$11,$U89)),Reference!$A$6:$A$11,1))))))</f>
        <v>1.1499999999999999</v>
      </c>
      <c r="AO89" s="37"/>
      <c r="AP89" s="37"/>
      <c r="AQ89" s="37"/>
    </row>
    <row r="90" spans="1:43" ht="26.4" x14ac:dyDescent="0.3">
      <c r="A90" s="48">
        <f t="shared" si="30"/>
        <v>46354</v>
      </c>
      <c r="B90" s="32" t="str">
        <f t="shared" si="31"/>
        <v>Sat</v>
      </c>
      <c r="C90" s="32">
        <f t="shared" si="32"/>
        <v>37</v>
      </c>
      <c r="D90" s="32" t="str">
        <f t="shared" si="33"/>
        <v>Extension</v>
      </c>
      <c r="E90" s="32" t="str">
        <f t="shared" si="34"/>
        <v>Medium</v>
      </c>
      <c r="F90" s="32" t="str">
        <f t="shared" si="35"/>
        <v>Long Toss</v>
      </c>
      <c r="G90" s="47" t="str">
        <f t="shared" si="36"/>
        <v>Long toss out to 150 ft — 25 throws (90×10 · 120×9 · 150×6) @ 78–81 mph + 60 ft × 12 @ 76–79 mph</v>
      </c>
      <c r="H90" s="30">
        <f t="shared" si="37"/>
        <v>32.075000000000003</v>
      </c>
      <c r="I90" s="46">
        <f>IF($A90="","",IF(AND($L90&lt;27,$K$12=0),"Building",IFERROR(((SUM($H$84:$H90)+$K$12*IF($L90&lt;6,SUMIFS('Throw Log'!$Q$5:$Q$300,'Throw Log'!$B$5:$B$300,$D$4,'Throw Log'!$A$5:$A$300,"&gt;="&amp;($D$6+$L90-6),'Throw Log'!$A$5:$A$300,"&lt;="&amp;($D$6-1)),0))/7)/((SUM($H$63:$H90)+$K$12*IF($L90&lt;27,SUMIFS('Throw Log'!$Q$5:$Q$300,'Throw Log'!$B$5:$B$300,$D$4,'Throw Log'!$A$5:$A$300,"&gt;="&amp;($D$6+$L90-27),'Throw Log'!$A$5:$A$300,"&lt;="&amp;($D$6-1)),0))/28),"")))</f>
        <v>1.0907919957065093</v>
      </c>
      <c r="J90" s="37"/>
      <c r="K90" s="37">
        <v>25</v>
      </c>
      <c r="L90" s="32">
        <v>47</v>
      </c>
      <c r="M90" s="32">
        <f t="shared" si="38"/>
        <v>7</v>
      </c>
      <c r="N90" s="32">
        <f t="shared" si="39"/>
        <v>5</v>
      </c>
      <c r="O90" s="32">
        <f t="shared" si="40"/>
        <v>0.61842105263157898</v>
      </c>
      <c r="P90" s="32">
        <f>IF(OR($A90="",N($C90)&lt;=7),"",$G$6*$G$9^($M90-1)*IF(AND(MOD($M90,Reference!$B$99)=0,$M90&lt;=$G$5-2),Reference!$B$100,1))</f>
        <v>162.26318771208111</v>
      </c>
      <c r="Q90" s="32">
        <f>IF($P90="","",IF(SUM($AK$85:$AK$91)=0,0,$P90*INDEX(Reference!$B$108:$B$114,$N90+1)/SUM($AK$85:$AK$91)))</f>
        <v>40.944916525478412</v>
      </c>
      <c r="R90" s="32">
        <f t="shared" si="41"/>
        <v>165</v>
      </c>
      <c r="S90" s="32">
        <f t="shared" si="42"/>
        <v>150</v>
      </c>
      <c r="T90" s="32" t="str">
        <f>IF($A90="","",IF($C90=0,"Bullpen",IF(OR($C90=7,$C90=1,$C90=5),"Recovery/Easy Catch",IF($C90=6,"Compression/Pulldowns",IF(OR($C90=4,$C90=2),"Long Toss",IF($C90=3,"No Throw",IF($N90=2,"No Throw",IF($N90=6,IF($O90&lt;Reference!$B$104,"No Throw","Recovery/Easy Catch"),IF(OR($N90=0,$N90=4),"Recovery/Easy Catch",IF($N90=1,IF($R90&gt;75,"Long Toss","Recovery/Easy Catch"),IF($N90=3,IF($O90&lt;0.5,IF($S90&gt;75,"Long Toss","Recovery/Easy Catch"),"Compression/Pulldowns"),IF($S90&gt;75,"Long Toss","Recovery/Easy Catch"))))))))))))</f>
        <v>Long Toss</v>
      </c>
      <c r="U90" s="32">
        <f t="shared" si="43"/>
        <v>150</v>
      </c>
      <c r="V90" s="32">
        <f t="shared" si="44"/>
        <v>10</v>
      </c>
      <c r="W90" s="32">
        <f t="shared" si="45"/>
        <v>13</v>
      </c>
      <c r="X90" s="32">
        <f t="shared" si="46"/>
        <v>12</v>
      </c>
      <c r="Y90" s="32">
        <f t="shared" si="47"/>
        <v>12</v>
      </c>
      <c r="Z90" s="32">
        <f t="shared" si="48"/>
        <v>15</v>
      </c>
      <c r="AA90" s="32" t="str">
        <f t="shared" si="49"/>
        <v/>
      </c>
      <c r="AB90" s="32">
        <f>IF($A90="","",IF($T90="No Throw",0,IF($K90&lt;&gt;"",$K90,IF($AA90&lt;&gt;"",ROUND($AA90*$D$12*IF($C90=0,1,$G$10),0),MIN(IF($T90="Recovery/Easy Catch",Reference!$B$103,IF($T90="Long Toss",Reference!$B$106,Reference!$B$102)),MAX(Reference!$B$101,ROUND(MAX(0,$Q90-$AE90)/$AF90,0)))))))</f>
        <v>25</v>
      </c>
      <c r="AC90" s="32">
        <f t="shared" si="50"/>
        <v>0</v>
      </c>
      <c r="AD90" s="32" t="b">
        <f t="shared" si="51"/>
        <v>0</v>
      </c>
      <c r="AE90" s="32">
        <f>IF($X90=0,0,$X90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90+$Z90)/2,0),Reference!$A$17:$B$20,2,TRUE()))</f>
        <v>7.1999999999999993</v>
      </c>
      <c r="AF90" s="32">
        <f>IF(OR($A90="",$U90="",$T90="No Throw"),0,$AM90*VLOOKUP(MAX(($V90+$W90)/2,0),Reference!$A$17:$B$20,2,TRUE()))</f>
        <v>0.995</v>
      </c>
      <c r="AG90" s="32">
        <f>IF($AC90=0,0,$AC90*INDEX(Reference!$B$61:$B$62,MATCH("Bullpen",Reference!$A$61:$A$62,0))*VLOOKUP(MAX($D$5-($D$9+$E$9)/2,0),Reference!$A$17:$B$20,2,TRUE()))</f>
        <v>0</v>
      </c>
      <c r="AH90" s="46">
        <f t="shared" si="52"/>
        <v>1.0907919957065093</v>
      </c>
      <c r="AI90" s="32">
        <f>IF($A90="",NA(),Reference!$A$25)</f>
        <v>0.8</v>
      </c>
      <c r="AJ90" s="32">
        <f t="shared" si="53"/>
        <v>1.3</v>
      </c>
      <c r="AK90" s="56">
        <f>IF(OR($A90="",N($C90)&lt;=7,$T90="No Throw",$J90="x"),0,INDEX(Reference!$B$108:$B$114,$N90+1))</f>
        <v>0.27</v>
      </c>
      <c r="AL90" s="32">
        <f t="shared" si="54"/>
        <v>3</v>
      </c>
      <c r="AM90" s="32">
        <f>IF($U90="",0,IF($AL90&gt;1,((IF(1&lt;=$AL90,($AL90-1+3)*(INDEX(Reference!$B$6:$B$11,MIN(5,MATCH(MAX(Reference!$A$6,MIN(Reference!$A$11,MIN($U90,90))),Reference!$A$6:$A$11,1)))+(MAX(Reference!$A$6,MIN(Reference!$A$11,MIN($U90,90)))-INDEX(Reference!$A$6:$A$11,MIN(5,MATCH(MAX(Reference!$A$6,MIN(Reference!$A$11,MIN($U90,90))),Reference!$A$6:$A$11,1))))*(INDEX(Reference!$B$6:$B$11,MIN(5,MATCH(MAX(Reference!$A$6,MIN(Reference!$A$11,MIN($U90,90))),Reference!$A$6:$A$11,1))+1)-INDEX(Reference!$B$6:$B$11,MIN(5,MATCH(MAX(Reference!$A$6,MIN(Reference!$A$11,MIN($U90,90))),Reference!$A$6:$A$11,1))))/(INDEX(Reference!$A$6:$A$11,MIN(5,MATCH(MAX(Reference!$A$6,MIN(Reference!$A$11,MIN($U90,90))),Reference!$A$6:$A$11,1))+1)-INDEX(Reference!$A$6:$A$11,MIN(5,MATCH(MAX(Reference!$A$6,MIN(Reference!$A$11,MIN($U90,90))),Reference!$A$6:$A$11,1))))),0)+IF(2&lt;=$AL90,($AL90-2+3)*(INDEX(Reference!$B$6:$B$11,MIN(5,MATCH(MAX(Reference!$A$6,MIN(Reference!$A$11,MIN($U90,120))),Reference!$A$6:$A$11,1)))+(MAX(Reference!$A$6,MIN(Reference!$A$11,MIN($U90,120)))-INDEX(Reference!$A$6:$A$11,MIN(5,MATCH(MAX(Reference!$A$6,MIN(Reference!$A$11,MIN($U90,120))),Reference!$A$6:$A$11,1))))*(INDEX(Reference!$B$6:$B$11,MIN(5,MATCH(MAX(Reference!$A$6,MIN(Reference!$A$11,MIN($U90,120))),Reference!$A$6:$A$11,1))+1)-INDEX(Reference!$B$6:$B$11,MIN(5,MATCH(MAX(Reference!$A$6,MIN(Reference!$A$11,MIN($U90,120))),Reference!$A$6:$A$11,1))))/(INDEX(Reference!$A$6:$A$11,MIN(5,MATCH(MAX(Reference!$A$6,MIN(Reference!$A$11,MIN($U90,120))),Reference!$A$6:$A$11,1))+1)-INDEX(Reference!$A$6:$A$11,MIN(5,MATCH(MAX(Reference!$A$6,MIN(Reference!$A$11,MIN($U90,120))),Reference!$A$6:$A$11,1))))),0)+IF(3&lt;=$AL90,($AL90-3+3)*(INDEX(Reference!$B$6:$B$11,MIN(5,MATCH(MAX(Reference!$A$6,MIN(Reference!$A$11,MIN($U90,150))),Reference!$A$6:$A$11,1)))+(MAX(Reference!$A$6,MIN(Reference!$A$11,MIN($U90,150)))-INDEX(Reference!$A$6:$A$11,MIN(5,MATCH(MAX(Reference!$A$6,MIN(Reference!$A$11,MIN($U90,150))),Reference!$A$6:$A$11,1))))*(INDEX(Reference!$B$6:$B$11,MIN(5,MATCH(MAX(Reference!$A$6,MIN(Reference!$A$11,MIN($U90,150))),Reference!$A$6:$A$11,1))+1)-INDEX(Reference!$B$6:$B$11,MIN(5,MATCH(MAX(Reference!$A$6,MIN(Reference!$A$11,MIN($U90,150))),Reference!$A$6:$A$11,1))))/(INDEX(Reference!$A$6:$A$11,MIN(5,MATCH(MAX(Reference!$A$6,MIN(Reference!$A$11,MIN($U90,150))),Reference!$A$6:$A$11,1))+1)-INDEX(Reference!$A$6:$A$11,MIN(5,MATCH(MAX(Reference!$A$6,MIN(Reference!$A$11,MIN($U90,150))),Reference!$A$6:$A$11,1))))),0)+IF(4&lt;=$AL90,($AL90-4+3)*(INDEX(Reference!$B$6:$B$11,MIN(5,MATCH(MAX(Reference!$A$6,MIN(Reference!$A$11,MIN($U90,180))),Reference!$A$6:$A$11,1)))+(MAX(Reference!$A$6,MIN(Reference!$A$11,MIN($U90,180)))-INDEX(Reference!$A$6:$A$11,MIN(5,MATCH(MAX(Reference!$A$6,MIN(Reference!$A$11,MIN($U90,180))),Reference!$A$6:$A$11,1))))*(INDEX(Reference!$B$6:$B$11,MIN(5,MATCH(MAX(Reference!$A$6,MIN(Reference!$A$11,MIN($U90,180))),Reference!$A$6:$A$11,1))+1)-INDEX(Reference!$B$6:$B$11,MIN(5,MATCH(MAX(Reference!$A$6,MIN(Reference!$A$11,MIN($U90,180))),Reference!$A$6:$A$11,1))))/(INDEX(Reference!$A$6:$A$11,MIN(5,MATCH(MAX(Reference!$A$6,MIN(Reference!$A$11,MIN($U90,180))),Reference!$A$6:$A$11,1))+1)-INDEX(Reference!$A$6:$A$11,MIN(5,MATCH(MAX(Reference!$A$6,MIN(Reference!$A$11,MIN($U90,180))),Reference!$A$6:$A$11,1))))),0)+IF(5&lt;=$AL90,($AL90-5+3)*(INDEX(Reference!$B$6:$B$11,MIN(5,MATCH(MAX(Reference!$A$6,MIN(Reference!$A$11,MIN($U90,210))),Reference!$A$6:$A$11,1)))+(MAX(Reference!$A$6,MIN(Reference!$A$11,MIN($U90,210)))-INDEX(Reference!$A$6:$A$11,MIN(5,MATCH(MAX(Reference!$A$6,MIN(Reference!$A$11,MIN($U90,210))),Reference!$A$6:$A$11,1))))*(INDEX(Reference!$B$6:$B$11,MIN(5,MATCH(MAX(Reference!$A$6,MIN(Reference!$A$11,MIN($U90,210))),Reference!$A$6:$A$11,1))+1)-INDEX(Reference!$B$6:$B$11,MIN(5,MATCH(MAX(Reference!$A$6,MIN(Reference!$A$11,MIN($U90,210))),Reference!$A$6:$A$11,1))))/(INDEX(Reference!$A$6:$A$11,MIN(5,MATCH(MAX(Reference!$A$6,MIN(Reference!$A$11,MIN($U90,210))),Reference!$A$6:$A$11,1))+1)-INDEX(Reference!$A$6:$A$11,MIN(5,MATCH(MAX(Reference!$A$6,MIN(Reference!$A$11,MIN($U90,210))),Reference!$A$6:$A$11,1))))),0)+IF(6&lt;=$AL90,($AL90-6+3)*(INDEX(Reference!$B$6:$B$11,MIN(5,MATCH(MAX(Reference!$A$6,MIN(Reference!$A$11,MIN($U90,240))),Reference!$A$6:$A$11,1)))+(MAX(Reference!$A$6,MIN(Reference!$A$11,MIN($U90,240)))-INDEX(Reference!$A$6:$A$11,MIN(5,MATCH(MAX(Reference!$A$6,MIN(Reference!$A$11,MIN($U90,240))),Reference!$A$6:$A$11,1))))*(INDEX(Reference!$B$6:$B$11,MIN(5,MATCH(MAX(Reference!$A$6,MIN(Reference!$A$11,MIN($U90,240))),Reference!$A$6:$A$11,1))+1)-INDEX(Reference!$B$6:$B$11,MIN(5,MATCH(MAX(Reference!$A$6,MIN(Reference!$A$11,MIN($U90,240))),Reference!$A$6:$A$11,1))))/(INDEX(Reference!$A$6:$A$11,MIN(5,MATCH(MAX(Reference!$A$6,MIN(Reference!$A$11,MIN($U90,240))),Reference!$A$6:$A$11,1))+1)-INDEX(Reference!$A$6:$A$11,MIN(5,MATCH(MAX(Reference!$A$6,MIN(Reference!$A$11,MIN($U90,240))),Reference!$A$6:$A$11,1))))),0)+IF(7&lt;=$AL90,($AL90-7+3)*(INDEX(Reference!$B$6:$B$11,MIN(5,MATCH(MAX(Reference!$A$6,MIN(Reference!$A$11,MIN($U90,270))),Reference!$A$6:$A$11,1)))+(MAX(Reference!$A$6,MIN(Reference!$A$11,MIN($U90,270)))-INDEX(Reference!$A$6:$A$11,MIN(5,MATCH(MAX(Reference!$A$6,MIN(Reference!$A$11,MIN($U90,270))),Reference!$A$6:$A$11,1))))*(INDEX(Reference!$B$6:$B$11,MIN(5,MATCH(MAX(Reference!$A$6,MIN(Reference!$A$11,MIN($U90,270))),Reference!$A$6:$A$11,1))+1)-INDEX(Reference!$B$6:$B$11,MIN(5,MATCH(MAX(Reference!$A$6,MIN(Reference!$A$11,MIN($U90,270))),Reference!$A$6:$A$11,1))))/(INDEX(Reference!$A$6:$A$11,MIN(5,MATCH(MAX(Reference!$A$6,MIN(Reference!$A$11,MIN($U90,270))),Reference!$A$6:$A$11,1))+1)-INDEX(Reference!$A$6:$A$11,MIN(5,MATCH(MAX(Reference!$A$6,MIN(Reference!$A$11,MIN($U90,270))),Reference!$A$6:$A$11,1))))),0)+IF(8&lt;=$AL90,($AL90-8+3)*(INDEX(Reference!$B$6:$B$11,MIN(5,MATCH(MAX(Reference!$A$6,MIN(Reference!$A$11,MIN($U90,300))),Reference!$A$6:$A$11,1)))+(MAX(Reference!$A$6,MIN(Reference!$A$11,MIN($U90,300)))-INDEX(Reference!$A$6:$A$11,MIN(5,MATCH(MAX(Reference!$A$6,MIN(Reference!$A$11,MIN($U90,300))),Reference!$A$6:$A$11,1))))*(INDEX(Reference!$B$6:$B$11,MIN(5,MATCH(MAX(Reference!$A$6,MIN(Reference!$A$11,MIN($U90,300))),Reference!$A$6:$A$11,1))+1)-INDEX(Reference!$B$6:$B$11,MIN(5,MATCH(MAX(Reference!$A$6,MIN(Reference!$A$11,MIN($U90,300))),Reference!$A$6:$A$11,1))))/(INDEX(Reference!$A$6:$A$11,MIN(5,MATCH(MAX(Reference!$A$6,MIN(Reference!$A$11,MIN($U90,300))),Reference!$A$6:$A$11,1))+1)-INDEX(Reference!$A$6:$A$11,MIN(5,MATCH(MAX(Reference!$A$6,MIN(Reference!$A$11,MIN($U90,300))),Reference!$A$6:$A$11,1))))),0))/($AL90*($AL90+5)/2)),$AN90))</f>
        <v>1.6583333333333334</v>
      </c>
      <c r="AN90" s="32">
        <f>IF($U90="",0,(INDEX(Reference!$B$6:$B$11,MIN(5,MATCH(MAX(Reference!$A$6,MIN(Reference!$A$11,$U90)),Reference!$A$6:$A$11,1)))+(MAX(Reference!$A$6,MIN(Reference!$A$11,$U90))-INDEX(Reference!$A$6:$A$11,MIN(5,MATCH(MAX(Reference!$A$6,MIN(Reference!$A$11,$U90)),Reference!$A$6:$A$11,1))))*(INDEX(Reference!$B$6:$B$11,MIN(5,MATCH(MAX(Reference!$A$6,MIN(Reference!$A$11,$U90)),Reference!$A$6:$A$11,1))+1)-INDEX(Reference!$B$6:$B$11,MIN(5,MATCH(MAX(Reference!$A$6,MIN(Reference!$A$11,$U90)),Reference!$A$6:$A$11,1))))/(INDEX(Reference!$A$6:$A$11,MIN(5,MATCH(MAX(Reference!$A$6,MIN(Reference!$A$11,$U90)),Reference!$A$6:$A$11,1))+1)-INDEX(Reference!$A$6:$A$11,MIN(5,MATCH(MAX(Reference!$A$6,MIN(Reference!$A$11,$U90)),Reference!$A$6:$A$11,1))))))</f>
        <v>2.2000000000000002</v>
      </c>
      <c r="AO90" s="37"/>
      <c r="AP90" s="37"/>
      <c r="AQ90" s="37"/>
    </row>
    <row r="91" spans="1:43" x14ac:dyDescent="0.3">
      <c r="A91" s="48">
        <f t="shared" si="30"/>
        <v>46355</v>
      </c>
      <c r="B91" s="32" t="str">
        <f t="shared" si="31"/>
        <v>Sun</v>
      </c>
      <c r="C91" s="32">
        <f t="shared" si="32"/>
        <v>36</v>
      </c>
      <c r="D91" s="32" t="str">
        <f t="shared" si="33"/>
        <v>Extension</v>
      </c>
      <c r="E91" s="32" t="str">
        <f t="shared" si="34"/>
        <v>Low</v>
      </c>
      <c r="F91" s="32" t="str">
        <f t="shared" si="35"/>
        <v>Recovery/Easy Catch</v>
      </c>
      <c r="G91" s="47" t="str">
        <f t="shared" si="36"/>
        <v>60 ft × 20 @ 67–71 mph</v>
      </c>
      <c r="H91" s="30">
        <f t="shared" si="37"/>
        <v>12</v>
      </c>
      <c r="I91" s="46">
        <f>IF($A91="","",IF(AND($L91&lt;27,$K$12=0),"Building",IFERROR(((SUM($H$85:$H91)+$K$12*IF($L91&lt;6,SUMIFS('Throw Log'!$Q$5:$Q$300,'Throw Log'!$B$5:$B$300,$D$4,'Throw Log'!$A$5:$A$300,"&gt;="&amp;($D$6+$L91-6),'Throw Log'!$A$5:$A$300,"&lt;="&amp;($D$6-1)),0))/7)/((SUM($H$64:$H91)+$K$12*IF($L91&lt;27,SUMIFS('Throw Log'!$Q$5:$Q$300,'Throw Log'!$B$5:$B$300,$D$4,'Throw Log'!$A$5:$A$300,"&gt;="&amp;($D$6+$L91-27),'Throw Log'!$A$5:$A$300,"&lt;="&amp;($D$6-1)),0))/28),"")))</f>
        <v>1.1604579809922919</v>
      </c>
      <c r="J91" s="37"/>
      <c r="K91" s="37"/>
      <c r="L91" s="32">
        <v>48</v>
      </c>
      <c r="M91" s="32">
        <f t="shared" si="38"/>
        <v>7</v>
      </c>
      <c r="N91" s="32">
        <f t="shared" si="39"/>
        <v>6</v>
      </c>
      <c r="O91" s="32">
        <f t="shared" si="40"/>
        <v>0.63157894736842102</v>
      </c>
      <c r="P91" s="32">
        <f>IF(OR($A91="",N($C91)&lt;=7),"",$G$6*$G$9^($M91-1)*IF(AND(MOD($M91,Reference!$B$99)=0,$M91&lt;=$G$5-2),Reference!$B$100,1))</f>
        <v>162.26318771208111</v>
      </c>
      <c r="Q91" s="32">
        <f>IF($P91="","",IF(SUM($AK$85:$AK$91)=0,0,$P91*INDEX(Reference!$B$108:$B$114,$N91+1)/SUM($AK$85:$AK$91)))</f>
        <v>10.615348728827737</v>
      </c>
      <c r="R91" s="32">
        <f t="shared" si="41"/>
        <v>165</v>
      </c>
      <c r="S91" s="32">
        <f t="shared" si="42"/>
        <v>150</v>
      </c>
      <c r="T91" s="32" t="str">
        <f>IF($A91="","",IF($C91=0,"Bullpen",IF(OR($C91=7,$C91=1,$C91=5),"Recovery/Easy Catch",IF($C91=6,"Compression/Pulldowns",IF(OR($C91=4,$C91=2),"Long Toss",IF($C91=3,"No Throw",IF($N91=2,"No Throw",IF($N91=6,IF($O91&lt;Reference!$B$104,"No Throw","Recovery/Easy Catch"),IF(OR($N91=0,$N91=4),"Recovery/Easy Catch",IF($N91=1,IF($R91&gt;75,"Long Toss","Recovery/Easy Catch"),IF($N91=3,IF($O91&lt;0.5,IF($S91&gt;75,"Long Toss","Recovery/Easy Catch"),"Compression/Pulldowns"),IF($S91&gt;75,"Long Toss","Recovery/Easy Catch"))))))))))))</f>
        <v>Recovery/Easy Catch</v>
      </c>
      <c r="U91" s="32">
        <f t="shared" si="43"/>
        <v>60</v>
      </c>
      <c r="V91" s="32">
        <f t="shared" si="44"/>
        <v>20</v>
      </c>
      <c r="W91" s="32">
        <f t="shared" si="45"/>
        <v>24</v>
      </c>
      <c r="X91" s="32">
        <f t="shared" si="46"/>
        <v>0</v>
      </c>
      <c r="Y91" s="32" t="str">
        <f t="shared" si="47"/>
        <v/>
      </c>
      <c r="Z91" s="32" t="str">
        <f t="shared" si="48"/>
        <v/>
      </c>
      <c r="AA91" s="32" t="str">
        <f t="shared" si="49"/>
        <v/>
      </c>
      <c r="AB91" s="32">
        <f>IF($A91="","",IF($T91="No Throw",0,IF($K91&lt;&gt;"",$K91,IF($AA91&lt;&gt;"",ROUND($AA91*$D$12*IF($C91=0,1,$G$10),0),MIN(IF($T91="Recovery/Easy Catch",Reference!$B$103,IF($T91="Long Toss",Reference!$B$106,Reference!$B$102)),MAX(Reference!$B$101,ROUND(MAX(0,$Q91-$AE91)/$AF91,0)))))))</f>
        <v>20</v>
      </c>
      <c r="AC91" s="32">
        <f t="shared" si="50"/>
        <v>0</v>
      </c>
      <c r="AD91" s="32" t="b">
        <f t="shared" si="51"/>
        <v>0</v>
      </c>
      <c r="AE91" s="32">
        <f>IF($X91=0,0,$X91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91+$Z91)/2,0),Reference!$A$17:$B$20,2,TRUE()))</f>
        <v>0</v>
      </c>
      <c r="AF91" s="32">
        <f>IF(OR($A91="",$U91="",$T91="No Throw"),0,$AM91*VLOOKUP(MAX(($V91+$W91)/2,0),Reference!$A$17:$B$20,2,TRUE()))</f>
        <v>0.6</v>
      </c>
      <c r="AG91" s="32">
        <f>IF($AC91=0,0,$AC91*INDEX(Reference!$B$61:$B$62,MATCH("Bullpen",Reference!$A$61:$A$62,0))*VLOOKUP(MAX($D$5-($D$9+$E$9)/2,0),Reference!$A$17:$B$20,2,TRUE()))</f>
        <v>0</v>
      </c>
      <c r="AH91" s="46">
        <f t="shared" si="52"/>
        <v>1.1604579809922919</v>
      </c>
      <c r="AI91" s="32">
        <f>IF($A91="",NA(),Reference!$A$25)</f>
        <v>0.8</v>
      </c>
      <c r="AJ91" s="32">
        <f t="shared" si="53"/>
        <v>1.3</v>
      </c>
      <c r="AK91" s="56">
        <f>IF(OR($A91="",N($C91)&lt;=7,$T91="No Throw",$J91="x"),0,INDEX(Reference!$B$108:$B$114,$N91+1))</f>
        <v>7.0000000000000007E-2</v>
      </c>
      <c r="AL91" s="32">
        <f t="shared" si="54"/>
        <v>1</v>
      </c>
      <c r="AM91" s="32">
        <f>IF($U91="",0,IF($AL91&gt;1,((IF(1&lt;=$AL91,($AL91-1+3)*(INDEX(Reference!$B$6:$B$11,MIN(5,MATCH(MAX(Reference!$A$6,MIN(Reference!$A$11,MIN($U91,90))),Reference!$A$6:$A$11,1)))+(MAX(Reference!$A$6,MIN(Reference!$A$11,MIN($U91,90)))-INDEX(Reference!$A$6:$A$11,MIN(5,MATCH(MAX(Reference!$A$6,MIN(Reference!$A$11,MIN($U91,90))),Reference!$A$6:$A$11,1))))*(INDEX(Reference!$B$6:$B$11,MIN(5,MATCH(MAX(Reference!$A$6,MIN(Reference!$A$11,MIN($U91,90))),Reference!$A$6:$A$11,1))+1)-INDEX(Reference!$B$6:$B$11,MIN(5,MATCH(MAX(Reference!$A$6,MIN(Reference!$A$11,MIN($U91,90))),Reference!$A$6:$A$11,1))))/(INDEX(Reference!$A$6:$A$11,MIN(5,MATCH(MAX(Reference!$A$6,MIN(Reference!$A$11,MIN($U91,90))),Reference!$A$6:$A$11,1))+1)-INDEX(Reference!$A$6:$A$11,MIN(5,MATCH(MAX(Reference!$A$6,MIN(Reference!$A$11,MIN($U91,90))),Reference!$A$6:$A$11,1))))),0)+IF(2&lt;=$AL91,($AL91-2+3)*(INDEX(Reference!$B$6:$B$11,MIN(5,MATCH(MAX(Reference!$A$6,MIN(Reference!$A$11,MIN($U91,120))),Reference!$A$6:$A$11,1)))+(MAX(Reference!$A$6,MIN(Reference!$A$11,MIN($U91,120)))-INDEX(Reference!$A$6:$A$11,MIN(5,MATCH(MAX(Reference!$A$6,MIN(Reference!$A$11,MIN($U91,120))),Reference!$A$6:$A$11,1))))*(INDEX(Reference!$B$6:$B$11,MIN(5,MATCH(MAX(Reference!$A$6,MIN(Reference!$A$11,MIN($U91,120))),Reference!$A$6:$A$11,1))+1)-INDEX(Reference!$B$6:$B$11,MIN(5,MATCH(MAX(Reference!$A$6,MIN(Reference!$A$11,MIN($U91,120))),Reference!$A$6:$A$11,1))))/(INDEX(Reference!$A$6:$A$11,MIN(5,MATCH(MAX(Reference!$A$6,MIN(Reference!$A$11,MIN($U91,120))),Reference!$A$6:$A$11,1))+1)-INDEX(Reference!$A$6:$A$11,MIN(5,MATCH(MAX(Reference!$A$6,MIN(Reference!$A$11,MIN($U91,120))),Reference!$A$6:$A$11,1))))),0)+IF(3&lt;=$AL91,($AL91-3+3)*(INDEX(Reference!$B$6:$B$11,MIN(5,MATCH(MAX(Reference!$A$6,MIN(Reference!$A$11,MIN($U91,150))),Reference!$A$6:$A$11,1)))+(MAX(Reference!$A$6,MIN(Reference!$A$11,MIN($U91,150)))-INDEX(Reference!$A$6:$A$11,MIN(5,MATCH(MAX(Reference!$A$6,MIN(Reference!$A$11,MIN($U91,150))),Reference!$A$6:$A$11,1))))*(INDEX(Reference!$B$6:$B$11,MIN(5,MATCH(MAX(Reference!$A$6,MIN(Reference!$A$11,MIN($U91,150))),Reference!$A$6:$A$11,1))+1)-INDEX(Reference!$B$6:$B$11,MIN(5,MATCH(MAX(Reference!$A$6,MIN(Reference!$A$11,MIN($U91,150))),Reference!$A$6:$A$11,1))))/(INDEX(Reference!$A$6:$A$11,MIN(5,MATCH(MAX(Reference!$A$6,MIN(Reference!$A$11,MIN($U91,150))),Reference!$A$6:$A$11,1))+1)-INDEX(Reference!$A$6:$A$11,MIN(5,MATCH(MAX(Reference!$A$6,MIN(Reference!$A$11,MIN($U91,150))),Reference!$A$6:$A$11,1))))),0)+IF(4&lt;=$AL91,($AL91-4+3)*(INDEX(Reference!$B$6:$B$11,MIN(5,MATCH(MAX(Reference!$A$6,MIN(Reference!$A$11,MIN($U91,180))),Reference!$A$6:$A$11,1)))+(MAX(Reference!$A$6,MIN(Reference!$A$11,MIN($U91,180)))-INDEX(Reference!$A$6:$A$11,MIN(5,MATCH(MAX(Reference!$A$6,MIN(Reference!$A$11,MIN($U91,180))),Reference!$A$6:$A$11,1))))*(INDEX(Reference!$B$6:$B$11,MIN(5,MATCH(MAX(Reference!$A$6,MIN(Reference!$A$11,MIN($U91,180))),Reference!$A$6:$A$11,1))+1)-INDEX(Reference!$B$6:$B$11,MIN(5,MATCH(MAX(Reference!$A$6,MIN(Reference!$A$11,MIN($U91,180))),Reference!$A$6:$A$11,1))))/(INDEX(Reference!$A$6:$A$11,MIN(5,MATCH(MAX(Reference!$A$6,MIN(Reference!$A$11,MIN($U91,180))),Reference!$A$6:$A$11,1))+1)-INDEX(Reference!$A$6:$A$11,MIN(5,MATCH(MAX(Reference!$A$6,MIN(Reference!$A$11,MIN($U91,180))),Reference!$A$6:$A$11,1))))),0)+IF(5&lt;=$AL91,($AL91-5+3)*(INDEX(Reference!$B$6:$B$11,MIN(5,MATCH(MAX(Reference!$A$6,MIN(Reference!$A$11,MIN($U91,210))),Reference!$A$6:$A$11,1)))+(MAX(Reference!$A$6,MIN(Reference!$A$11,MIN($U91,210)))-INDEX(Reference!$A$6:$A$11,MIN(5,MATCH(MAX(Reference!$A$6,MIN(Reference!$A$11,MIN($U91,210))),Reference!$A$6:$A$11,1))))*(INDEX(Reference!$B$6:$B$11,MIN(5,MATCH(MAX(Reference!$A$6,MIN(Reference!$A$11,MIN($U91,210))),Reference!$A$6:$A$11,1))+1)-INDEX(Reference!$B$6:$B$11,MIN(5,MATCH(MAX(Reference!$A$6,MIN(Reference!$A$11,MIN($U91,210))),Reference!$A$6:$A$11,1))))/(INDEX(Reference!$A$6:$A$11,MIN(5,MATCH(MAX(Reference!$A$6,MIN(Reference!$A$11,MIN($U91,210))),Reference!$A$6:$A$11,1))+1)-INDEX(Reference!$A$6:$A$11,MIN(5,MATCH(MAX(Reference!$A$6,MIN(Reference!$A$11,MIN($U91,210))),Reference!$A$6:$A$11,1))))),0)+IF(6&lt;=$AL91,($AL91-6+3)*(INDEX(Reference!$B$6:$B$11,MIN(5,MATCH(MAX(Reference!$A$6,MIN(Reference!$A$11,MIN($U91,240))),Reference!$A$6:$A$11,1)))+(MAX(Reference!$A$6,MIN(Reference!$A$11,MIN($U91,240)))-INDEX(Reference!$A$6:$A$11,MIN(5,MATCH(MAX(Reference!$A$6,MIN(Reference!$A$11,MIN($U91,240))),Reference!$A$6:$A$11,1))))*(INDEX(Reference!$B$6:$B$11,MIN(5,MATCH(MAX(Reference!$A$6,MIN(Reference!$A$11,MIN($U91,240))),Reference!$A$6:$A$11,1))+1)-INDEX(Reference!$B$6:$B$11,MIN(5,MATCH(MAX(Reference!$A$6,MIN(Reference!$A$11,MIN($U91,240))),Reference!$A$6:$A$11,1))))/(INDEX(Reference!$A$6:$A$11,MIN(5,MATCH(MAX(Reference!$A$6,MIN(Reference!$A$11,MIN($U91,240))),Reference!$A$6:$A$11,1))+1)-INDEX(Reference!$A$6:$A$11,MIN(5,MATCH(MAX(Reference!$A$6,MIN(Reference!$A$11,MIN($U91,240))),Reference!$A$6:$A$11,1))))),0)+IF(7&lt;=$AL91,($AL91-7+3)*(INDEX(Reference!$B$6:$B$11,MIN(5,MATCH(MAX(Reference!$A$6,MIN(Reference!$A$11,MIN($U91,270))),Reference!$A$6:$A$11,1)))+(MAX(Reference!$A$6,MIN(Reference!$A$11,MIN($U91,270)))-INDEX(Reference!$A$6:$A$11,MIN(5,MATCH(MAX(Reference!$A$6,MIN(Reference!$A$11,MIN($U91,270))),Reference!$A$6:$A$11,1))))*(INDEX(Reference!$B$6:$B$11,MIN(5,MATCH(MAX(Reference!$A$6,MIN(Reference!$A$11,MIN($U91,270))),Reference!$A$6:$A$11,1))+1)-INDEX(Reference!$B$6:$B$11,MIN(5,MATCH(MAX(Reference!$A$6,MIN(Reference!$A$11,MIN($U91,270))),Reference!$A$6:$A$11,1))))/(INDEX(Reference!$A$6:$A$11,MIN(5,MATCH(MAX(Reference!$A$6,MIN(Reference!$A$11,MIN($U91,270))),Reference!$A$6:$A$11,1))+1)-INDEX(Reference!$A$6:$A$11,MIN(5,MATCH(MAX(Reference!$A$6,MIN(Reference!$A$11,MIN($U91,270))),Reference!$A$6:$A$11,1))))),0)+IF(8&lt;=$AL91,($AL91-8+3)*(INDEX(Reference!$B$6:$B$11,MIN(5,MATCH(MAX(Reference!$A$6,MIN(Reference!$A$11,MIN($U91,300))),Reference!$A$6:$A$11,1)))+(MAX(Reference!$A$6,MIN(Reference!$A$11,MIN($U91,300)))-INDEX(Reference!$A$6:$A$11,MIN(5,MATCH(MAX(Reference!$A$6,MIN(Reference!$A$11,MIN($U91,300))),Reference!$A$6:$A$11,1))))*(INDEX(Reference!$B$6:$B$11,MIN(5,MATCH(MAX(Reference!$A$6,MIN(Reference!$A$11,MIN($U91,300))),Reference!$A$6:$A$11,1))+1)-INDEX(Reference!$B$6:$B$11,MIN(5,MATCH(MAX(Reference!$A$6,MIN(Reference!$A$11,MIN($U91,300))),Reference!$A$6:$A$11,1))))/(INDEX(Reference!$A$6:$A$11,MIN(5,MATCH(MAX(Reference!$A$6,MIN(Reference!$A$11,MIN($U91,300))),Reference!$A$6:$A$11,1))+1)-INDEX(Reference!$A$6:$A$11,MIN(5,MATCH(MAX(Reference!$A$6,MIN(Reference!$A$11,MIN($U91,300))),Reference!$A$6:$A$11,1))))),0))/($AL91*($AL91+5)/2)),$AN91))</f>
        <v>1</v>
      </c>
      <c r="AN91" s="32">
        <f>IF($U91="",0,(INDEX(Reference!$B$6:$B$11,MIN(5,MATCH(MAX(Reference!$A$6,MIN(Reference!$A$11,$U91)),Reference!$A$6:$A$11,1)))+(MAX(Reference!$A$6,MIN(Reference!$A$11,$U91))-INDEX(Reference!$A$6:$A$11,MIN(5,MATCH(MAX(Reference!$A$6,MIN(Reference!$A$11,$U91)),Reference!$A$6:$A$11,1))))*(INDEX(Reference!$B$6:$B$11,MIN(5,MATCH(MAX(Reference!$A$6,MIN(Reference!$A$11,$U91)),Reference!$A$6:$A$11,1))+1)-INDEX(Reference!$B$6:$B$11,MIN(5,MATCH(MAX(Reference!$A$6,MIN(Reference!$A$11,$U91)),Reference!$A$6:$A$11,1))))/(INDEX(Reference!$A$6:$A$11,MIN(5,MATCH(MAX(Reference!$A$6,MIN(Reference!$A$11,$U91)),Reference!$A$6:$A$11,1))+1)-INDEX(Reference!$A$6:$A$11,MIN(5,MATCH(MAX(Reference!$A$6,MIN(Reference!$A$11,$U91)),Reference!$A$6:$A$11,1))))))</f>
        <v>1</v>
      </c>
      <c r="AO91" s="37"/>
      <c r="AP91" s="37"/>
      <c r="AQ91" s="37"/>
    </row>
    <row r="92" spans="1:43" x14ac:dyDescent="0.3">
      <c r="A92" s="48">
        <f t="shared" si="30"/>
        <v>46356</v>
      </c>
      <c r="B92" s="32" t="str">
        <f t="shared" si="31"/>
        <v>Mon</v>
      </c>
      <c r="C92" s="32">
        <f t="shared" si="32"/>
        <v>35</v>
      </c>
      <c r="D92" s="32" t="str">
        <f t="shared" si="33"/>
        <v>Extension</v>
      </c>
      <c r="E92" s="32" t="str">
        <f t="shared" si="34"/>
        <v>Low</v>
      </c>
      <c r="F92" s="32" t="str">
        <f t="shared" si="35"/>
        <v>Recovery/Easy Catch</v>
      </c>
      <c r="G92" s="47" t="str">
        <f t="shared" si="36"/>
        <v>75 ft × 20 @ 69–73 mph</v>
      </c>
      <c r="H92" s="30">
        <f t="shared" si="37"/>
        <v>13.799999999999999</v>
      </c>
      <c r="I92" s="46">
        <f>IF($A92="","",IF(AND($L92&lt;27,$K$12=0),"Building",IFERROR(((SUM($H$86:$H92)+$K$12*IF($L92&lt;6,SUMIFS('Throw Log'!$Q$5:$Q$300,'Throw Log'!$B$5:$B$300,$D$4,'Throw Log'!$A$5:$A$300,"&gt;="&amp;($D$6+$L92-6),'Throw Log'!$A$5:$A$300,"&lt;="&amp;($D$6-1)),0))/7)/((SUM($H$65:$H92)+$K$12*IF($L92&lt;27,SUMIFS('Throw Log'!$Q$5:$Q$300,'Throw Log'!$B$5:$B$300,$D$4,'Throw Log'!$A$5:$A$300,"&gt;="&amp;($D$6+$L92-27),'Throw Log'!$A$5:$A$300,"&lt;="&amp;($D$6-1)),0))/28),"")))</f>
        <v>1.1329192546583851</v>
      </c>
      <c r="J92" s="37"/>
      <c r="K92" s="37">
        <v>20</v>
      </c>
      <c r="L92" s="32">
        <v>49</v>
      </c>
      <c r="M92" s="32">
        <f t="shared" si="38"/>
        <v>8</v>
      </c>
      <c r="N92" s="32">
        <f t="shared" si="39"/>
        <v>0</v>
      </c>
      <c r="O92" s="32">
        <f t="shared" si="40"/>
        <v>0.64473684210526316</v>
      </c>
      <c r="P92" s="32">
        <f>IF(OR($A92="",N($C92)&lt;=7),"",$G$6*$G$9^($M92-1)*IF(AND(MOD($M92,Reference!$B$99)=0,$M92&lt;=$G$5-2),Reference!$B$100,1))</f>
        <v>155.17696923220939</v>
      </c>
      <c r="Q92" s="32">
        <f>IF($P92="","",IF(SUM($AK$92:$AK$98)=0,0,$P92*INDEX(Reference!$B$108:$B$114,$N92+1)/SUM($AK$92:$AK$98)))</f>
        <v>17.403024586789837</v>
      </c>
      <c r="R92" s="32">
        <f t="shared" si="41"/>
        <v>165</v>
      </c>
      <c r="S92" s="32">
        <f t="shared" si="42"/>
        <v>150</v>
      </c>
      <c r="T92" s="32" t="str">
        <f>IF($A92="","",IF($C92=0,"Bullpen",IF(OR($C92=7,$C92=1,$C92=5),"Recovery/Easy Catch",IF($C92=6,"Compression/Pulldowns",IF(OR($C92=4,$C92=2),"Long Toss",IF($C92=3,"No Throw",IF($N92=2,"No Throw",IF($N92=6,IF($O92&lt;Reference!$B$104,"No Throw","Recovery/Easy Catch"),IF(OR($N92=0,$N92=4),"Recovery/Easy Catch",IF($N92=1,IF($R92&gt;75,"Long Toss","Recovery/Easy Catch"),IF($N92=3,IF($O92&lt;0.5,IF($S92&gt;75,"Long Toss","Recovery/Easy Catch"),"Compression/Pulldowns"),IF($S92&gt;75,"Long Toss","Recovery/Easy Catch"))))))))))))</f>
        <v>Recovery/Easy Catch</v>
      </c>
      <c r="U92" s="32">
        <f t="shared" si="43"/>
        <v>75</v>
      </c>
      <c r="V92" s="32">
        <f t="shared" si="44"/>
        <v>18</v>
      </c>
      <c r="W92" s="32">
        <f t="shared" si="45"/>
        <v>22</v>
      </c>
      <c r="X92" s="32">
        <f t="shared" si="46"/>
        <v>0</v>
      </c>
      <c r="Y92" s="32" t="str">
        <f t="shared" si="47"/>
        <v/>
      </c>
      <c r="Z92" s="32" t="str">
        <f t="shared" si="48"/>
        <v/>
      </c>
      <c r="AA92" s="32" t="str">
        <f t="shared" si="49"/>
        <v/>
      </c>
      <c r="AB92" s="32">
        <f>IF($A92="","",IF($T92="No Throw",0,IF($K92&lt;&gt;"",$K92,IF($AA92&lt;&gt;"",ROUND($AA92*$D$12*IF($C92=0,1,$G$10),0),MIN(IF($T92="Recovery/Easy Catch",Reference!$B$103,IF($T92="Long Toss",Reference!$B$106,Reference!$B$102)),MAX(Reference!$B$101,ROUND(MAX(0,$Q92-$AE92)/$AF92,0)))))))</f>
        <v>20</v>
      </c>
      <c r="AC92" s="32">
        <f t="shared" si="50"/>
        <v>0</v>
      </c>
      <c r="AD92" s="32" t="b">
        <f t="shared" si="51"/>
        <v>0</v>
      </c>
      <c r="AE92" s="32">
        <f>IF($X92=0,0,$X92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92+$Z92)/2,0),Reference!$A$17:$B$20,2,TRUE()))</f>
        <v>0</v>
      </c>
      <c r="AF92" s="32">
        <f>IF(OR($A92="",$U92="",$T92="No Throw"),0,$AM92*VLOOKUP(MAX(($V92+$W92)/2,0),Reference!$A$17:$B$20,2,TRUE()))</f>
        <v>0.69</v>
      </c>
      <c r="AG92" s="32">
        <f>IF($AC92=0,0,$AC92*INDEX(Reference!$B$61:$B$62,MATCH("Bullpen",Reference!$A$61:$A$62,0))*VLOOKUP(MAX($D$5-($D$9+$E$9)/2,0),Reference!$A$17:$B$20,2,TRUE()))</f>
        <v>0</v>
      </c>
      <c r="AH92" s="46">
        <f t="shared" si="52"/>
        <v>1.1329192546583851</v>
      </c>
      <c r="AI92" s="32">
        <f>IF($A92="",NA(),Reference!$A$25)</f>
        <v>0.8</v>
      </c>
      <c r="AJ92" s="32">
        <f t="shared" si="53"/>
        <v>1.3</v>
      </c>
      <c r="AK92" s="56">
        <f>IF(OR($A92="",N($C92)&lt;=7,$T92="No Throw",$J92="x"),0,INDEX(Reference!$B$108:$B$114,$N92+1))</f>
        <v>0.12</v>
      </c>
      <c r="AL92" s="32">
        <f t="shared" si="54"/>
        <v>1</v>
      </c>
      <c r="AM92" s="32">
        <f>IF($U92="",0,IF($AL92&gt;1,((IF(1&lt;=$AL92,($AL92-1+3)*(INDEX(Reference!$B$6:$B$11,MIN(5,MATCH(MAX(Reference!$A$6,MIN(Reference!$A$11,MIN($U92,90))),Reference!$A$6:$A$11,1)))+(MAX(Reference!$A$6,MIN(Reference!$A$11,MIN($U92,90)))-INDEX(Reference!$A$6:$A$11,MIN(5,MATCH(MAX(Reference!$A$6,MIN(Reference!$A$11,MIN($U92,90))),Reference!$A$6:$A$11,1))))*(INDEX(Reference!$B$6:$B$11,MIN(5,MATCH(MAX(Reference!$A$6,MIN(Reference!$A$11,MIN($U92,90))),Reference!$A$6:$A$11,1))+1)-INDEX(Reference!$B$6:$B$11,MIN(5,MATCH(MAX(Reference!$A$6,MIN(Reference!$A$11,MIN($U92,90))),Reference!$A$6:$A$11,1))))/(INDEX(Reference!$A$6:$A$11,MIN(5,MATCH(MAX(Reference!$A$6,MIN(Reference!$A$11,MIN($U92,90))),Reference!$A$6:$A$11,1))+1)-INDEX(Reference!$A$6:$A$11,MIN(5,MATCH(MAX(Reference!$A$6,MIN(Reference!$A$11,MIN($U92,90))),Reference!$A$6:$A$11,1))))),0)+IF(2&lt;=$AL92,($AL92-2+3)*(INDEX(Reference!$B$6:$B$11,MIN(5,MATCH(MAX(Reference!$A$6,MIN(Reference!$A$11,MIN($U92,120))),Reference!$A$6:$A$11,1)))+(MAX(Reference!$A$6,MIN(Reference!$A$11,MIN($U92,120)))-INDEX(Reference!$A$6:$A$11,MIN(5,MATCH(MAX(Reference!$A$6,MIN(Reference!$A$11,MIN($U92,120))),Reference!$A$6:$A$11,1))))*(INDEX(Reference!$B$6:$B$11,MIN(5,MATCH(MAX(Reference!$A$6,MIN(Reference!$A$11,MIN($U92,120))),Reference!$A$6:$A$11,1))+1)-INDEX(Reference!$B$6:$B$11,MIN(5,MATCH(MAX(Reference!$A$6,MIN(Reference!$A$11,MIN($U92,120))),Reference!$A$6:$A$11,1))))/(INDEX(Reference!$A$6:$A$11,MIN(5,MATCH(MAX(Reference!$A$6,MIN(Reference!$A$11,MIN($U92,120))),Reference!$A$6:$A$11,1))+1)-INDEX(Reference!$A$6:$A$11,MIN(5,MATCH(MAX(Reference!$A$6,MIN(Reference!$A$11,MIN($U92,120))),Reference!$A$6:$A$11,1))))),0)+IF(3&lt;=$AL92,($AL92-3+3)*(INDEX(Reference!$B$6:$B$11,MIN(5,MATCH(MAX(Reference!$A$6,MIN(Reference!$A$11,MIN($U92,150))),Reference!$A$6:$A$11,1)))+(MAX(Reference!$A$6,MIN(Reference!$A$11,MIN($U92,150)))-INDEX(Reference!$A$6:$A$11,MIN(5,MATCH(MAX(Reference!$A$6,MIN(Reference!$A$11,MIN($U92,150))),Reference!$A$6:$A$11,1))))*(INDEX(Reference!$B$6:$B$11,MIN(5,MATCH(MAX(Reference!$A$6,MIN(Reference!$A$11,MIN($U92,150))),Reference!$A$6:$A$11,1))+1)-INDEX(Reference!$B$6:$B$11,MIN(5,MATCH(MAX(Reference!$A$6,MIN(Reference!$A$11,MIN($U92,150))),Reference!$A$6:$A$11,1))))/(INDEX(Reference!$A$6:$A$11,MIN(5,MATCH(MAX(Reference!$A$6,MIN(Reference!$A$11,MIN($U92,150))),Reference!$A$6:$A$11,1))+1)-INDEX(Reference!$A$6:$A$11,MIN(5,MATCH(MAX(Reference!$A$6,MIN(Reference!$A$11,MIN($U92,150))),Reference!$A$6:$A$11,1))))),0)+IF(4&lt;=$AL92,($AL92-4+3)*(INDEX(Reference!$B$6:$B$11,MIN(5,MATCH(MAX(Reference!$A$6,MIN(Reference!$A$11,MIN($U92,180))),Reference!$A$6:$A$11,1)))+(MAX(Reference!$A$6,MIN(Reference!$A$11,MIN($U92,180)))-INDEX(Reference!$A$6:$A$11,MIN(5,MATCH(MAX(Reference!$A$6,MIN(Reference!$A$11,MIN($U92,180))),Reference!$A$6:$A$11,1))))*(INDEX(Reference!$B$6:$B$11,MIN(5,MATCH(MAX(Reference!$A$6,MIN(Reference!$A$11,MIN($U92,180))),Reference!$A$6:$A$11,1))+1)-INDEX(Reference!$B$6:$B$11,MIN(5,MATCH(MAX(Reference!$A$6,MIN(Reference!$A$11,MIN($U92,180))),Reference!$A$6:$A$11,1))))/(INDEX(Reference!$A$6:$A$11,MIN(5,MATCH(MAX(Reference!$A$6,MIN(Reference!$A$11,MIN($U92,180))),Reference!$A$6:$A$11,1))+1)-INDEX(Reference!$A$6:$A$11,MIN(5,MATCH(MAX(Reference!$A$6,MIN(Reference!$A$11,MIN($U92,180))),Reference!$A$6:$A$11,1))))),0)+IF(5&lt;=$AL92,($AL92-5+3)*(INDEX(Reference!$B$6:$B$11,MIN(5,MATCH(MAX(Reference!$A$6,MIN(Reference!$A$11,MIN($U92,210))),Reference!$A$6:$A$11,1)))+(MAX(Reference!$A$6,MIN(Reference!$A$11,MIN($U92,210)))-INDEX(Reference!$A$6:$A$11,MIN(5,MATCH(MAX(Reference!$A$6,MIN(Reference!$A$11,MIN($U92,210))),Reference!$A$6:$A$11,1))))*(INDEX(Reference!$B$6:$B$11,MIN(5,MATCH(MAX(Reference!$A$6,MIN(Reference!$A$11,MIN($U92,210))),Reference!$A$6:$A$11,1))+1)-INDEX(Reference!$B$6:$B$11,MIN(5,MATCH(MAX(Reference!$A$6,MIN(Reference!$A$11,MIN($U92,210))),Reference!$A$6:$A$11,1))))/(INDEX(Reference!$A$6:$A$11,MIN(5,MATCH(MAX(Reference!$A$6,MIN(Reference!$A$11,MIN($U92,210))),Reference!$A$6:$A$11,1))+1)-INDEX(Reference!$A$6:$A$11,MIN(5,MATCH(MAX(Reference!$A$6,MIN(Reference!$A$11,MIN($U92,210))),Reference!$A$6:$A$11,1))))),0)+IF(6&lt;=$AL92,($AL92-6+3)*(INDEX(Reference!$B$6:$B$11,MIN(5,MATCH(MAX(Reference!$A$6,MIN(Reference!$A$11,MIN($U92,240))),Reference!$A$6:$A$11,1)))+(MAX(Reference!$A$6,MIN(Reference!$A$11,MIN($U92,240)))-INDEX(Reference!$A$6:$A$11,MIN(5,MATCH(MAX(Reference!$A$6,MIN(Reference!$A$11,MIN($U92,240))),Reference!$A$6:$A$11,1))))*(INDEX(Reference!$B$6:$B$11,MIN(5,MATCH(MAX(Reference!$A$6,MIN(Reference!$A$11,MIN($U92,240))),Reference!$A$6:$A$11,1))+1)-INDEX(Reference!$B$6:$B$11,MIN(5,MATCH(MAX(Reference!$A$6,MIN(Reference!$A$11,MIN($U92,240))),Reference!$A$6:$A$11,1))))/(INDEX(Reference!$A$6:$A$11,MIN(5,MATCH(MAX(Reference!$A$6,MIN(Reference!$A$11,MIN($U92,240))),Reference!$A$6:$A$11,1))+1)-INDEX(Reference!$A$6:$A$11,MIN(5,MATCH(MAX(Reference!$A$6,MIN(Reference!$A$11,MIN($U92,240))),Reference!$A$6:$A$11,1))))),0)+IF(7&lt;=$AL92,($AL92-7+3)*(INDEX(Reference!$B$6:$B$11,MIN(5,MATCH(MAX(Reference!$A$6,MIN(Reference!$A$11,MIN($U92,270))),Reference!$A$6:$A$11,1)))+(MAX(Reference!$A$6,MIN(Reference!$A$11,MIN($U92,270)))-INDEX(Reference!$A$6:$A$11,MIN(5,MATCH(MAX(Reference!$A$6,MIN(Reference!$A$11,MIN($U92,270))),Reference!$A$6:$A$11,1))))*(INDEX(Reference!$B$6:$B$11,MIN(5,MATCH(MAX(Reference!$A$6,MIN(Reference!$A$11,MIN($U92,270))),Reference!$A$6:$A$11,1))+1)-INDEX(Reference!$B$6:$B$11,MIN(5,MATCH(MAX(Reference!$A$6,MIN(Reference!$A$11,MIN($U92,270))),Reference!$A$6:$A$11,1))))/(INDEX(Reference!$A$6:$A$11,MIN(5,MATCH(MAX(Reference!$A$6,MIN(Reference!$A$11,MIN($U92,270))),Reference!$A$6:$A$11,1))+1)-INDEX(Reference!$A$6:$A$11,MIN(5,MATCH(MAX(Reference!$A$6,MIN(Reference!$A$11,MIN($U92,270))),Reference!$A$6:$A$11,1))))),0)+IF(8&lt;=$AL92,($AL92-8+3)*(INDEX(Reference!$B$6:$B$11,MIN(5,MATCH(MAX(Reference!$A$6,MIN(Reference!$A$11,MIN($U92,300))),Reference!$A$6:$A$11,1)))+(MAX(Reference!$A$6,MIN(Reference!$A$11,MIN($U92,300)))-INDEX(Reference!$A$6:$A$11,MIN(5,MATCH(MAX(Reference!$A$6,MIN(Reference!$A$11,MIN($U92,300))),Reference!$A$6:$A$11,1))))*(INDEX(Reference!$B$6:$B$11,MIN(5,MATCH(MAX(Reference!$A$6,MIN(Reference!$A$11,MIN($U92,300))),Reference!$A$6:$A$11,1))+1)-INDEX(Reference!$B$6:$B$11,MIN(5,MATCH(MAX(Reference!$A$6,MIN(Reference!$A$11,MIN($U92,300))),Reference!$A$6:$A$11,1))))/(INDEX(Reference!$A$6:$A$11,MIN(5,MATCH(MAX(Reference!$A$6,MIN(Reference!$A$11,MIN($U92,300))),Reference!$A$6:$A$11,1))+1)-INDEX(Reference!$A$6:$A$11,MIN(5,MATCH(MAX(Reference!$A$6,MIN(Reference!$A$11,MIN($U92,300))),Reference!$A$6:$A$11,1))))),0))/($AL92*($AL92+5)/2)),$AN92))</f>
        <v>1.1499999999999999</v>
      </c>
      <c r="AN92" s="32">
        <f>IF($U92="",0,(INDEX(Reference!$B$6:$B$11,MIN(5,MATCH(MAX(Reference!$A$6,MIN(Reference!$A$11,$U92)),Reference!$A$6:$A$11,1)))+(MAX(Reference!$A$6,MIN(Reference!$A$11,$U92))-INDEX(Reference!$A$6:$A$11,MIN(5,MATCH(MAX(Reference!$A$6,MIN(Reference!$A$11,$U92)),Reference!$A$6:$A$11,1))))*(INDEX(Reference!$B$6:$B$11,MIN(5,MATCH(MAX(Reference!$A$6,MIN(Reference!$A$11,$U92)),Reference!$A$6:$A$11,1))+1)-INDEX(Reference!$B$6:$B$11,MIN(5,MATCH(MAX(Reference!$A$6,MIN(Reference!$A$11,$U92)),Reference!$A$6:$A$11,1))))/(INDEX(Reference!$A$6:$A$11,MIN(5,MATCH(MAX(Reference!$A$6,MIN(Reference!$A$11,$U92)),Reference!$A$6:$A$11,1))+1)-INDEX(Reference!$A$6:$A$11,MIN(5,MATCH(MAX(Reference!$A$6,MIN(Reference!$A$11,$U92)),Reference!$A$6:$A$11,1))))))</f>
        <v>1.1499999999999999</v>
      </c>
      <c r="AO92" s="37"/>
      <c r="AP92" s="37"/>
      <c r="AQ92" s="37"/>
    </row>
    <row r="93" spans="1:43" ht="26.4" x14ac:dyDescent="0.3">
      <c r="A93" s="48">
        <f t="shared" si="30"/>
        <v>46357</v>
      </c>
      <c r="B93" s="32" t="str">
        <f t="shared" si="31"/>
        <v>Tue</v>
      </c>
      <c r="C93" s="32">
        <f t="shared" si="32"/>
        <v>34</v>
      </c>
      <c r="D93" s="32" t="str">
        <f t="shared" si="33"/>
        <v>Flat Ground / Intent</v>
      </c>
      <c r="E93" s="32" t="str">
        <f t="shared" si="34"/>
        <v>Medium</v>
      </c>
      <c r="F93" s="32" t="str">
        <f t="shared" si="35"/>
        <v>Long Toss</v>
      </c>
      <c r="G93" s="47" t="str">
        <f t="shared" si="36"/>
        <v>Long toss out to 165 ft — 28 throws (90×9 · 120×8 · 150×6 · 165×5) @ 79–81 mph + 60 ft × 15 @ 79–81 mph</v>
      </c>
      <c r="H93" s="30">
        <f t="shared" si="37"/>
        <v>39.426666666666662</v>
      </c>
      <c r="I93" s="46">
        <f>IF($A93="","",IF(AND($L93&lt;27,$K$12=0),"Building",IFERROR(((SUM($H$87:$H93)+$K$12*IF($L93&lt;6,SUMIFS('Throw Log'!$Q$5:$Q$300,'Throw Log'!$B$5:$B$300,$D$4,'Throw Log'!$A$5:$A$300,"&gt;="&amp;($D$6+$L93-6),'Throw Log'!$A$5:$A$300,"&lt;="&amp;($D$6-1)),0))/7)/((SUM($H$66:$H93)+$K$12*IF($L93&lt;27,SUMIFS('Throw Log'!$Q$5:$Q$300,'Throw Log'!$B$5:$B$300,$D$4,'Throw Log'!$A$5:$A$300,"&gt;="&amp;($D$6+$L93-27),'Throw Log'!$A$5:$A$300,"&lt;="&amp;($D$6-1)),0))/28),"")))</f>
        <v>1.1464127464740999</v>
      </c>
      <c r="J93" s="37"/>
      <c r="K93" s="37"/>
      <c r="L93" s="32">
        <v>50</v>
      </c>
      <c r="M93" s="32">
        <f t="shared" si="38"/>
        <v>8</v>
      </c>
      <c r="N93" s="32">
        <f t="shared" si="39"/>
        <v>1</v>
      </c>
      <c r="O93" s="32">
        <f t="shared" si="40"/>
        <v>0.65789473684210531</v>
      </c>
      <c r="P93" s="32">
        <f>IF(OR($A93="",N($C93)&lt;=7),"",$G$6*$G$9^($M93-1)*IF(AND(MOD($M93,Reference!$B$99)=0,$M93&lt;=$G$5-2),Reference!$B$100,1))</f>
        <v>155.17696923220939</v>
      </c>
      <c r="Q93" s="32">
        <f>IF($P93="","",IF(SUM($AK$92:$AK$98)=0,0,$P93*INDEX(Reference!$B$108:$B$114,$N93+1)/SUM($AK$92:$AK$98)))</f>
        <v>39.156805320277137</v>
      </c>
      <c r="R93" s="32">
        <f t="shared" si="41"/>
        <v>165</v>
      </c>
      <c r="S93" s="32">
        <f t="shared" si="42"/>
        <v>150</v>
      </c>
      <c r="T93" s="32" t="str">
        <f>IF($A93="","",IF($C93=0,"Bullpen",IF(OR($C93=7,$C93=1,$C93=5),"Recovery/Easy Catch",IF($C93=6,"Compression/Pulldowns",IF(OR($C93=4,$C93=2),"Long Toss",IF($C93=3,"No Throw",IF($N93=2,"No Throw",IF($N93=6,IF($O93&lt;Reference!$B$104,"No Throw","Recovery/Easy Catch"),IF(OR($N93=0,$N93=4),"Recovery/Easy Catch",IF($N93=1,IF($R93&gt;75,"Long Toss","Recovery/Easy Catch"),IF($N93=3,IF($O93&lt;0.5,IF($S93&gt;75,"Long Toss","Recovery/Easy Catch"),"Compression/Pulldowns"),IF($S93&gt;75,"Long Toss","Recovery/Easy Catch"))))))))))))</f>
        <v>Long Toss</v>
      </c>
      <c r="U93" s="32">
        <f t="shared" si="43"/>
        <v>165</v>
      </c>
      <c r="V93" s="32">
        <f t="shared" si="44"/>
        <v>10</v>
      </c>
      <c r="W93" s="32">
        <f t="shared" si="45"/>
        <v>12</v>
      </c>
      <c r="X93" s="32">
        <f t="shared" si="46"/>
        <v>15</v>
      </c>
      <c r="Y93" s="32">
        <f t="shared" si="47"/>
        <v>10</v>
      </c>
      <c r="Z93" s="32">
        <f t="shared" si="48"/>
        <v>12</v>
      </c>
      <c r="AA93" s="32" t="str">
        <f t="shared" si="49"/>
        <v/>
      </c>
      <c r="AB93" s="32">
        <f>IF($A93="","",IF($T93="No Throw",0,IF($K93&lt;&gt;"",$K93,IF($AA93&lt;&gt;"",ROUND($AA93*$D$12*IF($C93=0,1,$G$10),0),MIN(IF($T93="Recovery/Easy Catch",Reference!$B$103,IF($T93="Long Toss",Reference!$B$106,Reference!$B$102)),MAX(Reference!$B$101,ROUND(MAX(0,$Q93-$AE93)/$AF93,0)))))))</f>
        <v>28</v>
      </c>
      <c r="AC93" s="32">
        <f t="shared" si="50"/>
        <v>0</v>
      </c>
      <c r="AD93" s="32" t="b">
        <f t="shared" si="51"/>
        <v>0</v>
      </c>
      <c r="AE93" s="32">
        <f>IF($X93=0,0,$X93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93+$Z93)/2,0),Reference!$A$17:$B$20,2,TRUE()))</f>
        <v>9</v>
      </c>
      <c r="AF93" s="32">
        <f>IF(OR($A93="",$U93="",$T93="No Throw"),0,$AM93*VLOOKUP(MAX(($V93+$W93)/2,0),Reference!$A$17:$B$20,2,TRUE()))</f>
        <v>1.0866666666666667</v>
      </c>
      <c r="AG93" s="32">
        <f>IF($AC93=0,0,$AC93*INDEX(Reference!$B$61:$B$62,MATCH("Bullpen",Reference!$A$61:$A$62,0))*VLOOKUP(MAX($D$5-($D$9+$E$9)/2,0),Reference!$A$17:$B$20,2,TRUE()))</f>
        <v>0</v>
      </c>
      <c r="AH93" s="46">
        <f t="shared" si="52"/>
        <v>1.1464127464740999</v>
      </c>
      <c r="AI93" s="32">
        <f>IF($A93="",NA(),Reference!$A$25)</f>
        <v>0.8</v>
      </c>
      <c r="AJ93" s="32">
        <f t="shared" si="53"/>
        <v>1.3</v>
      </c>
      <c r="AK93" s="56">
        <f>IF(OR($A93="",N($C93)&lt;=7,$T93="No Throw",$J93="x"),0,INDEX(Reference!$B$108:$B$114,$N93+1))</f>
        <v>0.27</v>
      </c>
      <c r="AL93" s="32">
        <f t="shared" si="54"/>
        <v>4</v>
      </c>
      <c r="AM93" s="32">
        <f>IF($U93="",0,IF($AL93&gt;1,((IF(1&lt;=$AL93,($AL93-1+3)*(INDEX(Reference!$B$6:$B$11,MIN(5,MATCH(MAX(Reference!$A$6,MIN(Reference!$A$11,MIN($U93,90))),Reference!$A$6:$A$11,1)))+(MAX(Reference!$A$6,MIN(Reference!$A$11,MIN($U93,90)))-INDEX(Reference!$A$6:$A$11,MIN(5,MATCH(MAX(Reference!$A$6,MIN(Reference!$A$11,MIN($U93,90))),Reference!$A$6:$A$11,1))))*(INDEX(Reference!$B$6:$B$11,MIN(5,MATCH(MAX(Reference!$A$6,MIN(Reference!$A$11,MIN($U93,90))),Reference!$A$6:$A$11,1))+1)-INDEX(Reference!$B$6:$B$11,MIN(5,MATCH(MAX(Reference!$A$6,MIN(Reference!$A$11,MIN($U93,90))),Reference!$A$6:$A$11,1))))/(INDEX(Reference!$A$6:$A$11,MIN(5,MATCH(MAX(Reference!$A$6,MIN(Reference!$A$11,MIN($U93,90))),Reference!$A$6:$A$11,1))+1)-INDEX(Reference!$A$6:$A$11,MIN(5,MATCH(MAX(Reference!$A$6,MIN(Reference!$A$11,MIN($U93,90))),Reference!$A$6:$A$11,1))))),0)+IF(2&lt;=$AL93,($AL93-2+3)*(INDEX(Reference!$B$6:$B$11,MIN(5,MATCH(MAX(Reference!$A$6,MIN(Reference!$A$11,MIN($U93,120))),Reference!$A$6:$A$11,1)))+(MAX(Reference!$A$6,MIN(Reference!$A$11,MIN($U93,120)))-INDEX(Reference!$A$6:$A$11,MIN(5,MATCH(MAX(Reference!$A$6,MIN(Reference!$A$11,MIN($U93,120))),Reference!$A$6:$A$11,1))))*(INDEX(Reference!$B$6:$B$11,MIN(5,MATCH(MAX(Reference!$A$6,MIN(Reference!$A$11,MIN($U93,120))),Reference!$A$6:$A$11,1))+1)-INDEX(Reference!$B$6:$B$11,MIN(5,MATCH(MAX(Reference!$A$6,MIN(Reference!$A$11,MIN($U93,120))),Reference!$A$6:$A$11,1))))/(INDEX(Reference!$A$6:$A$11,MIN(5,MATCH(MAX(Reference!$A$6,MIN(Reference!$A$11,MIN($U93,120))),Reference!$A$6:$A$11,1))+1)-INDEX(Reference!$A$6:$A$11,MIN(5,MATCH(MAX(Reference!$A$6,MIN(Reference!$A$11,MIN($U93,120))),Reference!$A$6:$A$11,1))))),0)+IF(3&lt;=$AL93,($AL93-3+3)*(INDEX(Reference!$B$6:$B$11,MIN(5,MATCH(MAX(Reference!$A$6,MIN(Reference!$A$11,MIN($U93,150))),Reference!$A$6:$A$11,1)))+(MAX(Reference!$A$6,MIN(Reference!$A$11,MIN($U93,150)))-INDEX(Reference!$A$6:$A$11,MIN(5,MATCH(MAX(Reference!$A$6,MIN(Reference!$A$11,MIN($U93,150))),Reference!$A$6:$A$11,1))))*(INDEX(Reference!$B$6:$B$11,MIN(5,MATCH(MAX(Reference!$A$6,MIN(Reference!$A$11,MIN($U93,150))),Reference!$A$6:$A$11,1))+1)-INDEX(Reference!$B$6:$B$11,MIN(5,MATCH(MAX(Reference!$A$6,MIN(Reference!$A$11,MIN($U93,150))),Reference!$A$6:$A$11,1))))/(INDEX(Reference!$A$6:$A$11,MIN(5,MATCH(MAX(Reference!$A$6,MIN(Reference!$A$11,MIN($U93,150))),Reference!$A$6:$A$11,1))+1)-INDEX(Reference!$A$6:$A$11,MIN(5,MATCH(MAX(Reference!$A$6,MIN(Reference!$A$11,MIN($U93,150))),Reference!$A$6:$A$11,1))))),0)+IF(4&lt;=$AL93,($AL93-4+3)*(INDEX(Reference!$B$6:$B$11,MIN(5,MATCH(MAX(Reference!$A$6,MIN(Reference!$A$11,MIN($U93,180))),Reference!$A$6:$A$11,1)))+(MAX(Reference!$A$6,MIN(Reference!$A$11,MIN($U93,180)))-INDEX(Reference!$A$6:$A$11,MIN(5,MATCH(MAX(Reference!$A$6,MIN(Reference!$A$11,MIN($U93,180))),Reference!$A$6:$A$11,1))))*(INDEX(Reference!$B$6:$B$11,MIN(5,MATCH(MAX(Reference!$A$6,MIN(Reference!$A$11,MIN($U93,180))),Reference!$A$6:$A$11,1))+1)-INDEX(Reference!$B$6:$B$11,MIN(5,MATCH(MAX(Reference!$A$6,MIN(Reference!$A$11,MIN($U93,180))),Reference!$A$6:$A$11,1))))/(INDEX(Reference!$A$6:$A$11,MIN(5,MATCH(MAX(Reference!$A$6,MIN(Reference!$A$11,MIN($U93,180))),Reference!$A$6:$A$11,1))+1)-INDEX(Reference!$A$6:$A$11,MIN(5,MATCH(MAX(Reference!$A$6,MIN(Reference!$A$11,MIN($U93,180))),Reference!$A$6:$A$11,1))))),0)+IF(5&lt;=$AL93,($AL93-5+3)*(INDEX(Reference!$B$6:$B$11,MIN(5,MATCH(MAX(Reference!$A$6,MIN(Reference!$A$11,MIN($U93,210))),Reference!$A$6:$A$11,1)))+(MAX(Reference!$A$6,MIN(Reference!$A$11,MIN($U93,210)))-INDEX(Reference!$A$6:$A$11,MIN(5,MATCH(MAX(Reference!$A$6,MIN(Reference!$A$11,MIN($U93,210))),Reference!$A$6:$A$11,1))))*(INDEX(Reference!$B$6:$B$11,MIN(5,MATCH(MAX(Reference!$A$6,MIN(Reference!$A$11,MIN($U93,210))),Reference!$A$6:$A$11,1))+1)-INDEX(Reference!$B$6:$B$11,MIN(5,MATCH(MAX(Reference!$A$6,MIN(Reference!$A$11,MIN($U93,210))),Reference!$A$6:$A$11,1))))/(INDEX(Reference!$A$6:$A$11,MIN(5,MATCH(MAX(Reference!$A$6,MIN(Reference!$A$11,MIN($U93,210))),Reference!$A$6:$A$11,1))+1)-INDEX(Reference!$A$6:$A$11,MIN(5,MATCH(MAX(Reference!$A$6,MIN(Reference!$A$11,MIN($U93,210))),Reference!$A$6:$A$11,1))))),0)+IF(6&lt;=$AL93,($AL93-6+3)*(INDEX(Reference!$B$6:$B$11,MIN(5,MATCH(MAX(Reference!$A$6,MIN(Reference!$A$11,MIN($U93,240))),Reference!$A$6:$A$11,1)))+(MAX(Reference!$A$6,MIN(Reference!$A$11,MIN($U93,240)))-INDEX(Reference!$A$6:$A$11,MIN(5,MATCH(MAX(Reference!$A$6,MIN(Reference!$A$11,MIN($U93,240))),Reference!$A$6:$A$11,1))))*(INDEX(Reference!$B$6:$B$11,MIN(5,MATCH(MAX(Reference!$A$6,MIN(Reference!$A$11,MIN($U93,240))),Reference!$A$6:$A$11,1))+1)-INDEX(Reference!$B$6:$B$11,MIN(5,MATCH(MAX(Reference!$A$6,MIN(Reference!$A$11,MIN($U93,240))),Reference!$A$6:$A$11,1))))/(INDEX(Reference!$A$6:$A$11,MIN(5,MATCH(MAX(Reference!$A$6,MIN(Reference!$A$11,MIN($U93,240))),Reference!$A$6:$A$11,1))+1)-INDEX(Reference!$A$6:$A$11,MIN(5,MATCH(MAX(Reference!$A$6,MIN(Reference!$A$11,MIN($U93,240))),Reference!$A$6:$A$11,1))))),0)+IF(7&lt;=$AL93,($AL93-7+3)*(INDEX(Reference!$B$6:$B$11,MIN(5,MATCH(MAX(Reference!$A$6,MIN(Reference!$A$11,MIN($U93,270))),Reference!$A$6:$A$11,1)))+(MAX(Reference!$A$6,MIN(Reference!$A$11,MIN($U93,270)))-INDEX(Reference!$A$6:$A$11,MIN(5,MATCH(MAX(Reference!$A$6,MIN(Reference!$A$11,MIN($U93,270))),Reference!$A$6:$A$11,1))))*(INDEX(Reference!$B$6:$B$11,MIN(5,MATCH(MAX(Reference!$A$6,MIN(Reference!$A$11,MIN($U93,270))),Reference!$A$6:$A$11,1))+1)-INDEX(Reference!$B$6:$B$11,MIN(5,MATCH(MAX(Reference!$A$6,MIN(Reference!$A$11,MIN($U93,270))),Reference!$A$6:$A$11,1))))/(INDEX(Reference!$A$6:$A$11,MIN(5,MATCH(MAX(Reference!$A$6,MIN(Reference!$A$11,MIN($U93,270))),Reference!$A$6:$A$11,1))+1)-INDEX(Reference!$A$6:$A$11,MIN(5,MATCH(MAX(Reference!$A$6,MIN(Reference!$A$11,MIN($U93,270))),Reference!$A$6:$A$11,1))))),0)+IF(8&lt;=$AL93,($AL93-8+3)*(INDEX(Reference!$B$6:$B$11,MIN(5,MATCH(MAX(Reference!$A$6,MIN(Reference!$A$11,MIN($U93,300))),Reference!$A$6:$A$11,1)))+(MAX(Reference!$A$6,MIN(Reference!$A$11,MIN($U93,300)))-INDEX(Reference!$A$6:$A$11,MIN(5,MATCH(MAX(Reference!$A$6,MIN(Reference!$A$11,MIN($U93,300))),Reference!$A$6:$A$11,1))))*(INDEX(Reference!$B$6:$B$11,MIN(5,MATCH(MAX(Reference!$A$6,MIN(Reference!$A$11,MIN($U93,300))),Reference!$A$6:$A$11,1))+1)-INDEX(Reference!$B$6:$B$11,MIN(5,MATCH(MAX(Reference!$A$6,MIN(Reference!$A$11,MIN($U93,300))),Reference!$A$6:$A$11,1))))/(INDEX(Reference!$A$6:$A$11,MIN(5,MATCH(MAX(Reference!$A$6,MIN(Reference!$A$11,MIN($U93,300))),Reference!$A$6:$A$11,1))+1)-INDEX(Reference!$A$6:$A$11,MIN(5,MATCH(MAX(Reference!$A$6,MIN(Reference!$A$11,MIN($U93,300))),Reference!$A$6:$A$11,1))))),0))/($AL93*($AL93+5)/2)),$AN93))</f>
        <v>1.8111111111111111</v>
      </c>
      <c r="AN93" s="32">
        <f>IF($U93="",0,(INDEX(Reference!$B$6:$B$11,MIN(5,MATCH(MAX(Reference!$A$6,MIN(Reference!$A$11,$U93)),Reference!$A$6:$A$11,1)))+(MAX(Reference!$A$6,MIN(Reference!$A$11,$U93))-INDEX(Reference!$A$6:$A$11,MIN(5,MATCH(MAX(Reference!$A$6,MIN(Reference!$A$11,$U93)),Reference!$A$6:$A$11,1))))*(INDEX(Reference!$B$6:$B$11,MIN(5,MATCH(MAX(Reference!$A$6,MIN(Reference!$A$11,$U93)),Reference!$A$6:$A$11,1))+1)-INDEX(Reference!$B$6:$B$11,MIN(5,MATCH(MAX(Reference!$A$6,MIN(Reference!$A$11,$U93)),Reference!$A$6:$A$11,1))))/(INDEX(Reference!$A$6:$A$11,MIN(5,MATCH(MAX(Reference!$A$6,MIN(Reference!$A$11,$U93)),Reference!$A$6:$A$11,1))+1)-INDEX(Reference!$A$6:$A$11,MIN(5,MATCH(MAX(Reference!$A$6,MIN(Reference!$A$11,$U93)),Reference!$A$6:$A$11,1))))))</f>
        <v>2.5</v>
      </c>
      <c r="AO93" s="37"/>
      <c r="AP93" s="37"/>
      <c r="AQ93" s="37"/>
    </row>
    <row r="94" spans="1:43" x14ac:dyDescent="0.3">
      <c r="A94" s="48">
        <f t="shared" si="30"/>
        <v>46358</v>
      </c>
      <c r="B94" s="32" t="str">
        <f t="shared" si="31"/>
        <v>Wed</v>
      </c>
      <c r="C94" s="32">
        <f t="shared" si="32"/>
        <v>33</v>
      </c>
      <c r="D94" s="32" t="str">
        <f t="shared" si="33"/>
        <v>Flat Ground / Intent</v>
      </c>
      <c r="E94" s="32" t="str">
        <f t="shared" si="34"/>
        <v>No Throw</v>
      </c>
      <c r="F94" s="32" t="str">
        <f t="shared" si="35"/>
        <v>No Throw</v>
      </c>
      <c r="G94" s="47" t="str">
        <f t="shared" si="36"/>
        <v>Off</v>
      </c>
      <c r="H94" s="30">
        <f t="shared" si="37"/>
        <v>0</v>
      </c>
      <c r="I94" s="46">
        <f>IF($A94="","",IF(AND($L94&lt;27,$K$12=0),"Building",IFERROR(((SUM($H$88:$H94)+$K$12*IF($L94&lt;6,SUMIFS('Throw Log'!$Q$5:$Q$300,'Throw Log'!$B$5:$B$300,$D$4,'Throw Log'!$A$5:$A$300,"&gt;="&amp;($D$6+$L94-6),'Throw Log'!$A$5:$A$300,"&lt;="&amp;($D$6-1)),0))/7)/((SUM($H$67:$H94)+$K$12*IF($L94&lt;27,SUMIFS('Throw Log'!$Q$5:$Q$300,'Throw Log'!$B$5:$B$300,$D$4,'Throw Log'!$A$5:$A$300,"&gt;="&amp;($D$6+$L94-27),'Throw Log'!$A$5:$A$300,"&lt;="&amp;($D$6-1)),0))/28),"")))</f>
        <v>1.1464127464740999</v>
      </c>
      <c r="J94" s="37"/>
      <c r="K94" s="37"/>
      <c r="L94" s="32">
        <v>51</v>
      </c>
      <c r="M94" s="32">
        <f t="shared" si="38"/>
        <v>8</v>
      </c>
      <c r="N94" s="32">
        <f t="shared" si="39"/>
        <v>2</v>
      </c>
      <c r="O94" s="32">
        <f t="shared" si="40"/>
        <v>0.67105263157894735</v>
      </c>
      <c r="P94" s="32">
        <f>IF(OR($A94="",N($C94)&lt;=7),"",$G$6*$G$9^($M94-1)*IF(AND(MOD($M94,Reference!$B$99)=0,$M94&lt;=$G$5-2),Reference!$B$100,1))</f>
        <v>155.17696923220939</v>
      </c>
      <c r="Q94" s="32">
        <f>IF($P94="","",IF(SUM($AK$92:$AK$98)=0,0,$P94*INDEX(Reference!$B$108:$B$114,$N94+1)/SUM($AK$92:$AK$98)))</f>
        <v>0</v>
      </c>
      <c r="R94" s="32">
        <f t="shared" si="41"/>
        <v>165</v>
      </c>
      <c r="S94" s="32">
        <f t="shared" si="42"/>
        <v>150</v>
      </c>
      <c r="T94" s="32" t="str">
        <f>IF($A94="","",IF($C94=0,"Bullpen",IF(OR($C94=7,$C94=1,$C94=5),"Recovery/Easy Catch",IF($C94=6,"Compression/Pulldowns",IF(OR($C94=4,$C94=2),"Long Toss",IF($C94=3,"No Throw",IF($N94=2,"No Throw",IF($N94=6,IF($O94&lt;Reference!$B$104,"No Throw","Recovery/Easy Catch"),IF(OR($N94=0,$N94=4),"Recovery/Easy Catch",IF($N94=1,IF($R94&gt;75,"Long Toss","Recovery/Easy Catch"),IF($N94=3,IF($O94&lt;0.5,IF($S94&gt;75,"Long Toss","Recovery/Easy Catch"),"Compression/Pulldowns"),IF($S94&gt;75,"Long Toss","Recovery/Easy Catch"))))))))))))</f>
        <v>No Throw</v>
      </c>
      <c r="U94" s="32" t="str">
        <f t="shared" si="43"/>
        <v/>
      </c>
      <c r="V94" s="32" t="str">
        <f t="shared" si="44"/>
        <v/>
      </c>
      <c r="W94" s="32" t="str">
        <f t="shared" si="45"/>
        <v/>
      </c>
      <c r="X94" s="32">
        <f t="shared" si="46"/>
        <v>0</v>
      </c>
      <c r="Y94" s="32" t="str">
        <f t="shared" si="47"/>
        <v/>
      </c>
      <c r="Z94" s="32" t="str">
        <f t="shared" si="48"/>
        <v/>
      </c>
      <c r="AA94" s="32" t="str">
        <f t="shared" si="49"/>
        <v/>
      </c>
      <c r="AB94" s="32">
        <f>IF($A94="","",IF($T94="No Throw",0,IF($K94&lt;&gt;"",$K94,IF($AA94&lt;&gt;"",ROUND($AA94*$D$12*IF($C94=0,1,$G$10),0),MIN(IF($T94="Recovery/Easy Catch",Reference!$B$103,IF($T94="Long Toss",Reference!$B$106,Reference!$B$102)),MAX(Reference!$B$101,ROUND(MAX(0,$Q94-$AE94)/$AF94,0)))))))</f>
        <v>0</v>
      </c>
      <c r="AC94" s="32">
        <f t="shared" si="50"/>
        <v>0</v>
      </c>
      <c r="AD94" s="32" t="b">
        <f t="shared" si="51"/>
        <v>1</v>
      </c>
      <c r="AE94" s="32">
        <f>IF($X94=0,0,$X94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94+$Z94)/2,0),Reference!$A$17:$B$20,2,TRUE()))</f>
        <v>0</v>
      </c>
      <c r="AF94" s="32">
        <f>IF(OR($A94="",$U94="",$T94="No Throw"),0,$AM94*VLOOKUP(MAX(($V94+$W94)/2,0),Reference!$A$17:$B$20,2,TRUE()))</f>
        <v>0</v>
      </c>
      <c r="AG94" s="32">
        <f>IF($AC94=0,0,$AC94*INDEX(Reference!$B$61:$B$62,MATCH("Bullpen",Reference!$A$61:$A$62,0))*VLOOKUP(MAX($D$5-($D$9+$E$9)/2,0),Reference!$A$17:$B$20,2,TRUE()))</f>
        <v>0</v>
      </c>
      <c r="AH94" s="46">
        <f t="shared" si="52"/>
        <v>1.1464127464740999</v>
      </c>
      <c r="AI94" s="32">
        <f>IF($A94="",NA(),Reference!$A$25)</f>
        <v>0.8</v>
      </c>
      <c r="AJ94" s="32">
        <f t="shared" si="53"/>
        <v>1.3</v>
      </c>
      <c r="AK94" s="32">
        <f>IF(OR($A94="",N($C94)&lt;=7,$T94="No Throw",$J94="x"),0,INDEX(Reference!$B$108:$B$114,$N94+1))</f>
        <v>0</v>
      </c>
      <c r="AL94" s="32">
        <f t="shared" si="54"/>
        <v>1</v>
      </c>
      <c r="AM94" s="32">
        <f>IF($U94="",0,IF($AL94&gt;1,((IF(1&lt;=$AL94,($AL94-1+3)*(INDEX(Reference!$B$6:$B$11,MIN(5,MATCH(MAX(Reference!$A$6,MIN(Reference!$A$11,MIN($U94,90))),Reference!$A$6:$A$11,1)))+(MAX(Reference!$A$6,MIN(Reference!$A$11,MIN($U94,90)))-INDEX(Reference!$A$6:$A$11,MIN(5,MATCH(MAX(Reference!$A$6,MIN(Reference!$A$11,MIN($U94,90))),Reference!$A$6:$A$11,1))))*(INDEX(Reference!$B$6:$B$11,MIN(5,MATCH(MAX(Reference!$A$6,MIN(Reference!$A$11,MIN($U94,90))),Reference!$A$6:$A$11,1))+1)-INDEX(Reference!$B$6:$B$11,MIN(5,MATCH(MAX(Reference!$A$6,MIN(Reference!$A$11,MIN($U94,90))),Reference!$A$6:$A$11,1))))/(INDEX(Reference!$A$6:$A$11,MIN(5,MATCH(MAX(Reference!$A$6,MIN(Reference!$A$11,MIN($U94,90))),Reference!$A$6:$A$11,1))+1)-INDEX(Reference!$A$6:$A$11,MIN(5,MATCH(MAX(Reference!$A$6,MIN(Reference!$A$11,MIN($U94,90))),Reference!$A$6:$A$11,1))))),0)+IF(2&lt;=$AL94,($AL94-2+3)*(INDEX(Reference!$B$6:$B$11,MIN(5,MATCH(MAX(Reference!$A$6,MIN(Reference!$A$11,MIN($U94,120))),Reference!$A$6:$A$11,1)))+(MAX(Reference!$A$6,MIN(Reference!$A$11,MIN($U94,120)))-INDEX(Reference!$A$6:$A$11,MIN(5,MATCH(MAX(Reference!$A$6,MIN(Reference!$A$11,MIN($U94,120))),Reference!$A$6:$A$11,1))))*(INDEX(Reference!$B$6:$B$11,MIN(5,MATCH(MAX(Reference!$A$6,MIN(Reference!$A$11,MIN($U94,120))),Reference!$A$6:$A$11,1))+1)-INDEX(Reference!$B$6:$B$11,MIN(5,MATCH(MAX(Reference!$A$6,MIN(Reference!$A$11,MIN($U94,120))),Reference!$A$6:$A$11,1))))/(INDEX(Reference!$A$6:$A$11,MIN(5,MATCH(MAX(Reference!$A$6,MIN(Reference!$A$11,MIN($U94,120))),Reference!$A$6:$A$11,1))+1)-INDEX(Reference!$A$6:$A$11,MIN(5,MATCH(MAX(Reference!$A$6,MIN(Reference!$A$11,MIN($U94,120))),Reference!$A$6:$A$11,1))))),0)+IF(3&lt;=$AL94,($AL94-3+3)*(INDEX(Reference!$B$6:$B$11,MIN(5,MATCH(MAX(Reference!$A$6,MIN(Reference!$A$11,MIN($U94,150))),Reference!$A$6:$A$11,1)))+(MAX(Reference!$A$6,MIN(Reference!$A$11,MIN($U94,150)))-INDEX(Reference!$A$6:$A$11,MIN(5,MATCH(MAX(Reference!$A$6,MIN(Reference!$A$11,MIN($U94,150))),Reference!$A$6:$A$11,1))))*(INDEX(Reference!$B$6:$B$11,MIN(5,MATCH(MAX(Reference!$A$6,MIN(Reference!$A$11,MIN($U94,150))),Reference!$A$6:$A$11,1))+1)-INDEX(Reference!$B$6:$B$11,MIN(5,MATCH(MAX(Reference!$A$6,MIN(Reference!$A$11,MIN($U94,150))),Reference!$A$6:$A$11,1))))/(INDEX(Reference!$A$6:$A$11,MIN(5,MATCH(MAX(Reference!$A$6,MIN(Reference!$A$11,MIN($U94,150))),Reference!$A$6:$A$11,1))+1)-INDEX(Reference!$A$6:$A$11,MIN(5,MATCH(MAX(Reference!$A$6,MIN(Reference!$A$11,MIN($U94,150))),Reference!$A$6:$A$11,1))))),0)+IF(4&lt;=$AL94,($AL94-4+3)*(INDEX(Reference!$B$6:$B$11,MIN(5,MATCH(MAX(Reference!$A$6,MIN(Reference!$A$11,MIN($U94,180))),Reference!$A$6:$A$11,1)))+(MAX(Reference!$A$6,MIN(Reference!$A$11,MIN($U94,180)))-INDEX(Reference!$A$6:$A$11,MIN(5,MATCH(MAX(Reference!$A$6,MIN(Reference!$A$11,MIN($U94,180))),Reference!$A$6:$A$11,1))))*(INDEX(Reference!$B$6:$B$11,MIN(5,MATCH(MAX(Reference!$A$6,MIN(Reference!$A$11,MIN($U94,180))),Reference!$A$6:$A$11,1))+1)-INDEX(Reference!$B$6:$B$11,MIN(5,MATCH(MAX(Reference!$A$6,MIN(Reference!$A$11,MIN($U94,180))),Reference!$A$6:$A$11,1))))/(INDEX(Reference!$A$6:$A$11,MIN(5,MATCH(MAX(Reference!$A$6,MIN(Reference!$A$11,MIN($U94,180))),Reference!$A$6:$A$11,1))+1)-INDEX(Reference!$A$6:$A$11,MIN(5,MATCH(MAX(Reference!$A$6,MIN(Reference!$A$11,MIN($U94,180))),Reference!$A$6:$A$11,1))))),0)+IF(5&lt;=$AL94,($AL94-5+3)*(INDEX(Reference!$B$6:$B$11,MIN(5,MATCH(MAX(Reference!$A$6,MIN(Reference!$A$11,MIN($U94,210))),Reference!$A$6:$A$11,1)))+(MAX(Reference!$A$6,MIN(Reference!$A$11,MIN($U94,210)))-INDEX(Reference!$A$6:$A$11,MIN(5,MATCH(MAX(Reference!$A$6,MIN(Reference!$A$11,MIN($U94,210))),Reference!$A$6:$A$11,1))))*(INDEX(Reference!$B$6:$B$11,MIN(5,MATCH(MAX(Reference!$A$6,MIN(Reference!$A$11,MIN($U94,210))),Reference!$A$6:$A$11,1))+1)-INDEX(Reference!$B$6:$B$11,MIN(5,MATCH(MAX(Reference!$A$6,MIN(Reference!$A$11,MIN($U94,210))),Reference!$A$6:$A$11,1))))/(INDEX(Reference!$A$6:$A$11,MIN(5,MATCH(MAX(Reference!$A$6,MIN(Reference!$A$11,MIN($U94,210))),Reference!$A$6:$A$11,1))+1)-INDEX(Reference!$A$6:$A$11,MIN(5,MATCH(MAX(Reference!$A$6,MIN(Reference!$A$11,MIN($U94,210))),Reference!$A$6:$A$11,1))))),0)+IF(6&lt;=$AL94,($AL94-6+3)*(INDEX(Reference!$B$6:$B$11,MIN(5,MATCH(MAX(Reference!$A$6,MIN(Reference!$A$11,MIN($U94,240))),Reference!$A$6:$A$11,1)))+(MAX(Reference!$A$6,MIN(Reference!$A$11,MIN($U94,240)))-INDEX(Reference!$A$6:$A$11,MIN(5,MATCH(MAX(Reference!$A$6,MIN(Reference!$A$11,MIN($U94,240))),Reference!$A$6:$A$11,1))))*(INDEX(Reference!$B$6:$B$11,MIN(5,MATCH(MAX(Reference!$A$6,MIN(Reference!$A$11,MIN($U94,240))),Reference!$A$6:$A$11,1))+1)-INDEX(Reference!$B$6:$B$11,MIN(5,MATCH(MAX(Reference!$A$6,MIN(Reference!$A$11,MIN($U94,240))),Reference!$A$6:$A$11,1))))/(INDEX(Reference!$A$6:$A$11,MIN(5,MATCH(MAX(Reference!$A$6,MIN(Reference!$A$11,MIN($U94,240))),Reference!$A$6:$A$11,1))+1)-INDEX(Reference!$A$6:$A$11,MIN(5,MATCH(MAX(Reference!$A$6,MIN(Reference!$A$11,MIN($U94,240))),Reference!$A$6:$A$11,1))))),0)+IF(7&lt;=$AL94,($AL94-7+3)*(INDEX(Reference!$B$6:$B$11,MIN(5,MATCH(MAX(Reference!$A$6,MIN(Reference!$A$11,MIN($U94,270))),Reference!$A$6:$A$11,1)))+(MAX(Reference!$A$6,MIN(Reference!$A$11,MIN($U94,270)))-INDEX(Reference!$A$6:$A$11,MIN(5,MATCH(MAX(Reference!$A$6,MIN(Reference!$A$11,MIN($U94,270))),Reference!$A$6:$A$11,1))))*(INDEX(Reference!$B$6:$B$11,MIN(5,MATCH(MAX(Reference!$A$6,MIN(Reference!$A$11,MIN($U94,270))),Reference!$A$6:$A$11,1))+1)-INDEX(Reference!$B$6:$B$11,MIN(5,MATCH(MAX(Reference!$A$6,MIN(Reference!$A$11,MIN($U94,270))),Reference!$A$6:$A$11,1))))/(INDEX(Reference!$A$6:$A$11,MIN(5,MATCH(MAX(Reference!$A$6,MIN(Reference!$A$11,MIN($U94,270))),Reference!$A$6:$A$11,1))+1)-INDEX(Reference!$A$6:$A$11,MIN(5,MATCH(MAX(Reference!$A$6,MIN(Reference!$A$11,MIN($U94,270))),Reference!$A$6:$A$11,1))))),0)+IF(8&lt;=$AL94,($AL94-8+3)*(INDEX(Reference!$B$6:$B$11,MIN(5,MATCH(MAX(Reference!$A$6,MIN(Reference!$A$11,MIN($U94,300))),Reference!$A$6:$A$11,1)))+(MAX(Reference!$A$6,MIN(Reference!$A$11,MIN($U94,300)))-INDEX(Reference!$A$6:$A$11,MIN(5,MATCH(MAX(Reference!$A$6,MIN(Reference!$A$11,MIN($U94,300))),Reference!$A$6:$A$11,1))))*(INDEX(Reference!$B$6:$B$11,MIN(5,MATCH(MAX(Reference!$A$6,MIN(Reference!$A$11,MIN($U94,300))),Reference!$A$6:$A$11,1))+1)-INDEX(Reference!$B$6:$B$11,MIN(5,MATCH(MAX(Reference!$A$6,MIN(Reference!$A$11,MIN($U94,300))),Reference!$A$6:$A$11,1))))/(INDEX(Reference!$A$6:$A$11,MIN(5,MATCH(MAX(Reference!$A$6,MIN(Reference!$A$11,MIN($U94,300))),Reference!$A$6:$A$11,1))+1)-INDEX(Reference!$A$6:$A$11,MIN(5,MATCH(MAX(Reference!$A$6,MIN(Reference!$A$11,MIN($U94,300))),Reference!$A$6:$A$11,1))))),0))/($AL94*($AL94+5)/2)),$AN94))</f>
        <v>0</v>
      </c>
      <c r="AN94" s="32">
        <f>IF($U94="",0,(INDEX(Reference!$B$6:$B$11,MIN(5,MATCH(MAX(Reference!$A$6,MIN(Reference!$A$11,$U94)),Reference!$A$6:$A$11,1)))+(MAX(Reference!$A$6,MIN(Reference!$A$11,$U94))-INDEX(Reference!$A$6:$A$11,MIN(5,MATCH(MAX(Reference!$A$6,MIN(Reference!$A$11,$U94)),Reference!$A$6:$A$11,1))))*(INDEX(Reference!$B$6:$B$11,MIN(5,MATCH(MAX(Reference!$A$6,MIN(Reference!$A$11,$U94)),Reference!$A$6:$A$11,1))+1)-INDEX(Reference!$B$6:$B$11,MIN(5,MATCH(MAX(Reference!$A$6,MIN(Reference!$A$11,$U94)),Reference!$A$6:$A$11,1))))/(INDEX(Reference!$A$6:$A$11,MIN(5,MATCH(MAX(Reference!$A$6,MIN(Reference!$A$11,$U94)),Reference!$A$6:$A$11,1))+1)-INDEX(Reference!$A$6:$A$11,MIN(5,MATCH(MAX(Reference!$A$6,MIN(Reference!$A$11,$U94)),Reference!$A$6:$A$11,1))))))</f>
        <v>0</v>
      </c>
      <c r="AO94" s="37"/>
      <c r="AP94" s="37"/>
      <c r="AQ94" s="37"/>
    </row>
    <row r="95" spans="1:43" x14ac:dyDescent="0.3">
      <c r="A95" s="48">
        <f t="shared" si="30"/>
        <v>46359</v>
      </c>
      <c r="B95" s="32" t="str">
        <f t="shared" si="31"/>
        <v>Thu</v>
      </c>
      <c r="C95" s="32">
        <f t="shared" si="32"/>
        <v>32</v>
      </c>
      <c r="D95" s="32" t="str">
        <f t="shared" si="33"/>
        <v>Flat Ground / Intent</v>
      </c>
      <c r="E95" s="32" t="str">
        <f t="shared" si="34"/>
        <v>High Non-Bullpen</v>
      </c>
      <c r="F95" s="32" t="str">
        <f t="shared" si="35"/>
        <v>Compression/Pulldowns</v>
      </c>
      <c r="G95" s="47" t="str">
        <f t="shared" si="36"/>
        <v>90 ft × 20 @ 82–84 mph + flat ground at 60 ft × 20 @ 82–84 mph</v>
      </c>
      <c r="H95" s="30">
        <f t="shared" si="37"/>
        <v>46</v>
      </c>
      <c r="I95" s="46">
        <f>IF($A95="","",IF(AND($L95&lt;27,$K$12=0),"Building",IFERROR(((SUM($H$89:$H95)+$K$12*IF($L95&lt;6,SUMIFS('Throw Log'!$Q$5:$Q$300,'Throw Log'!$B$5:$B$300,$D$4,'Throw Log'!$A$5:$A$300,"&gt;="&amp;($D$6+$L95-6),'Throw Log'!$A$5:$A$300,"&lt;="&amp;($D$6-1)),0))/7)/((SUM($H$68:$H95)+$K$12*IF($L95&lt;27,SUMIFS('Throw Log'!$Q$5:$Q$300,'Throw Log'!$B$5:$B$300,$D$4,'Throw Log'!$A$5:$A$300,"&gt;="&amp;($D$6+$L95-27),'Throw Log'!$A$5:$A$300,"&lt;="&amp;($D$6-1)),0))/28),"")))</f>
        <v>1.1847216941326399</v>
      </c>
      <c r="J95" s="37"/>
      <c r="K95" s="37"/>
      <c r="L95" s="32">
        <v>52</v>
      </c>
      <c r="M95" s="32">
        <f t="shared" si="38"/>
        <v>8</v>
      </c>
      <c r="N95" s="32">
        <f t="shared" si="39"/>
        <v>3</v>
      </c>
      <c r="O95" s="32">
        <f t="shared" si="40"/>
        <v>0.68421052631578949</v>
      </c>
      <c r="P95" s="32">
        <f>IF(OR($A95="",N($C95)&lt;=7),"",$G$6*$G$9^($M95-1)*IF(AND(MOD($M95,Reference!$B$99)=0,$M95&lt;=$G$5-2),Reference!$B$100,1))</f>
        <v>155.17696923220939</v>
      </c>
      <c r="Q95" s="32">
        <f>IF($P95="","",IF(SUM($AK$92:$AK$98)=0,0,$P95*INDEX(Reference!$B$108:$B$114,$N95+1)/SUM($AK$92:$AK$98)))</f>
        <v>34.806049173579673</v>
      </c>
      <c r="R95" s="32">
        <f t="shared" si="41"/>
        <v>165</v>
      </c>
      <c r="S95" s="32">
        <f t="shared" si="42"/>
        <v>150</v>
      </c>
      <c r="T95" s="32" t="str">
        <f>IF($A95="","",IF($C95=0,"Bullpen",IF(OR($C95=7,$C95=1,$C95=5),"Recovery/Easy Catch",IF($C95=6,"Compression/Pulldowns",IF(OR($C95=4,$C95=2),"Long Toss",IF($C95=3,"No Throw",IF($N95=2,"No Throw",IF($N95=6,IF($O95&lt;Reference!$B$104,"No Throw","Recovery/Easy Catch"),IF(OR($N95=0,$N95=4),"Recovery/Easy Catch",IF($N95=1,IF($R95&gt;75,"Long Toss","Recovery/Easy Catch"),IF($N95=3,IF($O95&lt;0.5,IF($S95&gt;75,"Long Toss","Recovery/Easy Catch"),"Compression/Pulldowns"),IF($S95&gt;75,"Long Toss","Recovery/Easy Catch"))))))))))))</f>
        <v>Compression/Pulldowns</v>
      </c>
      <c r="U95" s="32">
        <f t="shared" si="43"/>
        <v>90</v>
      </c>
      <c r="V95" s="32">
        <f t="shared" si="44"/>
        <v>7</v>
      </c>
      <c r="W95" s="32">
        <f t="shared" si="45"/>
        <v>9</v>
      </c>
      <c r="X95" s="32">
        <f t="shared" si="46"/>
        <v>20</v>
      </c>
      <c r="Y95" s="32">
        <f t="shared" si="47"/>
        <v>7</v>
      </c>
      <c r="Z95" s="32">
        <f t="shared" si="48"/>
        <v>9</v>
      </c>
      <c r="AA95" s="32" t="str">
        <f t="shared" si="49"/>
        <v/>
      </c>
      <c r="AB95" s="32">
        <f>IF($A95="","",IF($T95="No Throw",0,IF($K95&lt;&gt;"",$K95,IF($AA95&lt;&gt;"",ROUND($AA95*$D$12*IF($C95=0,1,$G$10),0),MIN(IF($T95="Recovery/Easy Catch",Reference!$B$103,IF($T95="Long Toss",Reference!$B$106,Reference!$B$102)),MAX(Reference!$B$101,ROUND(MAX(0,$Q95-$AE95)/$AF95,0)))))))</f>
        <v>20</v>
      </c>
      <c r="AC95" s="32">
        <f t="shared" si="50"/>
        <v>0</v>
      </c>
      <c r="AD95" s="32" t="b">
        <f t="shared" si="51"/>
        <v>0</v>
      </c>
      <c r="AE95" s="32">
        <f>IF($X95=0,0,$X95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95+$Z95)/2,0),Reference!$A$17:$B$20,2,TRUE()))</f>
        <v>20</v>
      </c>
      <c r="AF95" s="32">
        <f>IF(OR($A95="",$U95="",$T95="No Throw"),0,$AM95*VLOOKUP(MAX(($V95+$W95)/2,0),Reference!$A$17:$B$20,2,TRUE()))</f>
        <v>1.3</v>
      </c>
      <c r="AG95" s="32">
        <f>IF($AC95=0,0,$AC95*INDEX(Reference!$B$61:$B$62,MATCH("Bullpen",Reference!$A$61:$A$62,0))*VLOOKUP(MAX($D$5-($D$9+$E$9)/2,0),Reference!$A$17:$B$20,2,TRUE()))</f>
        <v>0</v>
      </c>
      <c r="AH95" s="46">
        <f t="shared" si="52"/>
        <v>1.1847216941326399</v>
      </c>
      <c r="AI95" s="32">
        <f>IF($A95="",NA(),Reference!$A$25)</f>
        <v>0.8</v>
      </c>
      <c r="AJ95" s="32">
        <f t="shared" si="53"/>
        <v>1.3</v>
      </c>
      <c r="AK95" s="56">
        <f>IF(OR($A95="",N($C95)&lt;=7,$T95="No Throw",$J95="x"),0,INDEX(Reference!$B$108:$B$114,$N95+1))</f>
        <v>0.24</v>
      </c>
      <c r="AL95" s="32">
        <f t="shared" si="54"/>
        <v>1</v>
      </c>
      <c r="AM95" s="32">
        <f>IF($U95="",0,IF($AL95&gt;1,((IF(1&lt;=$AL95,($AL95-1+3)*(INDEX(Reference!$B$6:$B$11,MIN(5,MATCH(MAX(Reference!$A$6,MIN(Reference!$A$11,MIN($U95,90))),Reference!$A$6:$A$11,1)))+(MAX(Reference!$A$6,MIN(Reference!$A$11,MIN($U95,90)))-INDEX(Reference!$A$6:$A$11,MIN(5,MATCH(MAX(Reference!$A$6,MIN(Reference!$A$11,MIN($U95,90))),Reference!$A$6:$A$11,1))))*(INDEX(Reference!$B$6:$B$11,MIN(5,MATCH(MAX(Reference!$A$6,MIN(Reference!$A$11,MIN($U95,90))),Reference!$A$6:$A$11,1))+1)-INDEX(Reference!$B$6:$B$11,MIN(5,MATCH(MAX(Reference!$A$6,MIN(Reference!$A$11,MIN($U95,90))),Reference!$A$6:$A$11,1))))/(INDEX(Reference!$A$6:$A$11,MIN(5,MATCH(MAX(Reference!$A$6,MIN(Reference!$A$11,MIN($U95,90))),Reference!$A$6:$A$11,1))+1)-INDEX(Reference!$A$6:$A$11,MIN(5,MATCH(MAX(Reference!$A$6,MIN(Reference!$A$11,MIN($U95,90))),Reference!$A$6:$A$11,1))))),0)+IF(2&lt;=$AL95,($AL95-2+3)*(INDEX(Reference!$B$6:$B$11,MIN(5,MATCH(MAX(Reference!$A$6,MIN(Reference!$A$11,MIN($U95,120))),Reference!$A$6:$A$11,1)))+(MAX(Reference!$A$6,MIN(Reference!$A$11,MIN($U95,120)))-INDEX(Reference!$A$6:$A$11,MIN(5,MATCH(MAX(Reference!$A$6,MIN(Reference!$A$11,MIN($U95,120))),Reference!$A$6:$A$11,1))))*(INDEX(Reference!$B$6:$B$11,MIN(5,MATCH(MAX(Reference!$A$6,MIN(Reference!$A$11,MIN($U95,120))),Reference!$A$6:$A$11,1))+1)-INDEX(Reference!$B$6:$B$11,MIN(5,MATCH(MAX(Reference!$A$6,MIN(Reference!$A$11,MIN($U95,120))),Reference!$A$6:$A$11,1))))/(INDEX(Reference!$A$6:$A$11,MIN(5,MATCH(MAX(Reference!$A$6,MIN(Reference!$A$11,MIN($U95,120))),Reference!$A$6:$A$11,1))+1)-INDEX(Reference!$A$6:$A$11,MIN(5,MATCH(MAX(Reference!$A$6,MIN(Reference!$A$11,MIN($U95,120))),Reference!$A$6:$A$11,1))))),0)+IF(3&lt;=$AL95,($AL95-3+3)*(INDEX(Reference!$B$6:$B$11,MIN(5,MATCH(MAX(Reference!$A$6,MIN(Reference!$A$11,MIN($U95,150))),Reference!$A$6:$A$11,1)))+(MAX(Reference!$A$6,MIN(Reference!$A$11,MIN($U95,150)))-INDEX(Reference!$A$6:$A$11,MIN(5,MATCH(MAX(Reference!$A$6,MIN(Reference!$A$11,MIN($U95,150))),Reference!$A$6:$A$11,1))))*(INDEX(Reference!$B$6:$B$11,MIN(5,MATCH(MAX(Reference!$A$6,MIN(Reference!$A$11,MIN($U95,150))),Reference!$A$6:$A$11,1))+1)-INDEX(Reference!$B$6:$B$11,MIN(5,MATCH(MAX(Reference!$A$6,MIN(Reference!$A$11,MIN($U95,150))),Reference!$A$6:$A$11,1))))/(INDEX(Reference!$A$6:$A$11,MIN(5,MATCH(MAX(Reference!$A$6,MIN(Reference!$A$11,MIN($U95,150))),Reference!$A$6:$A$11,1))+1)-INDEX(Reference!$A$6:$A$11,MIN(5,MATCH(MAX(Reference!$A$6,MIN(Reference!$A$11,MIN($U95,150))),Reference!$A$6:$A$11,1))))),0)+IF(4&lt;=$AL95,($AL95-4+3)*(INDEX(Reference!$B$6:$B$11,MIN(5,MATCH(MAX(Reference!$A$6,MIN(Reference!$A$11,MIN($U95,180))),Reference!$A$6:$A$11,1)))+(MAX(Reference!$A$6,MIN(Reference!$A$11,MIN($U95,180)))-INDEX(Reference!$A$6:$A$11,MIN(5,MATCH(MAX(Reference!$A$6,MIN(Reference!$A$11,MIN($U95,180))),Reference!$A$6:$A$11,1))))*(INDEX(Reference!$B$6:$B$11,MIN(5,MATCH(MAX(Reference!$A$6,MIN(Reference!$A$11,MIN($U95,180))),Reference!$A$6:$A$11,1))+1)-INDEX(Reference!$B$6:$B$11,MIN(5,MATCH(MAX(Reference!$A$6,MIN(Reference!$A$11,MIN($U95,180))),Reference!$A$6:$A$11,1))))/(INDEX(Reference!$A$6:$A$11,MIN(5,MATCH(MAX(Reference!$A$6,MIN(Reference!$A$11,MIN($U95,180))),Reference!$A$6:$A$11,1))+1)-INDEX(Reference!$A$6:$A$11,MIN(5,MATCH(MAX(Reference!$A$6,MIN(Reference!$A$11,MIN($U95,180))),Reference!$A$6:$A$11,1))))),0)+IF(5&lt;=$AL95,($AL95-5+3)*(INDEX(Reference!$B$6:$B$11,MIN(5,MATCH(MAX(Reference!$A$6,MIN(Reference!$A$11,MIN($U95,210))),Reference!$A$6:$A$11,1)))+(MAX(Reference!$A$6,MIN(Reference!$A$11,MIN($U95,210)))-INDEX(Reference!$A$6:$A$11,MIN(5,MATCH(MAX(Reference!$A$6,MIN(Reference!$A$11,MIN($U95,210))),Reference!$A$6:$A$11,1))))*(INDEX(Reference!$B$6:$B$11,MIN(5,MATCH(MAX(Reference!$A$6,MIN(Reference!$A$11,MIN($U95,210))),Reference!$A$6:$A$11,1))+1)-INDEX(Reference!$B$6:$B$11,MIN(5,MATCH(MAX(Reference!$A$6,MIN(Reference!$A$11,MIN($U95,210))),Reference!$A$6:$A$11,1))))/(INDEX(Reference!$A$6:$A$11,MIN(5,MATCH(MAX(Reference!$A$6,MIN(Reference!$A$11,MIN($U95,210))),Reference!$A$6:$A$11,1))+1)-INDEX(Reference!$A$6:$A$11,MIN(5,MATCH(MAX(Reference!$A$6,MIN(Reference!$A$11,MIN($U95,210))),Reference!$A$6:$A$11,1))))),0)+IF(6&lt;=$AL95,($AL95-6+3)*(INDEX(Reference!$B$6:$B$11,MIN(5,MATCH(MAX(Reference!$A$6,MIN(Reference!$A$11,MIN($U95,240))),Reference!$A$6:$A$11,1)))+(MAX(Reference!$A$6,MIN(Reference!$A$11,MIN($U95,240)))-INDEX(Reference!$A$6:$A$11,MIN(5,MATCH(MAX(Reference!$A$6,MIN(Reference!$A$11,MIN($U95,240))),Reference!$A$6:$A$11,1))))*(INDEX(Reference!$B$6:$B$11,MIN(5,MATCH(MAX(Reference!$A$6,MIN(Reference!$A$11,MIN($U95,240))),Reference!$A$6:$A$11,1))+1)-INDEX(Reference!$B$6:$B$11,MIN(5,MATCH(MAX(Reference!$A$6,MIN(Reference!$A$11,MIN($U95,240))),Reference!$A$6:$A$11,1))))/(INDEX(Reference!$A$6:$A$11,MIN(5,MATCH(MAX(Reference!$A$6,MIN(Reference!$A$11,MIN($U95,240))),Reference!$A$6:$A$11,1))+1)-INDEX(Reference!$A$6:$A$11,MIN(5,MATCH(MAX(Reference!$A$6,MIN(Reference!$A$11,MIN($U95,240))),Reference!$A$6:$A$11,1))))),0)+IF(7&lt;=$AL95,($AL95-7+3)*(INDEX(Reference!$B$6:$B$11,MIN(5,MATCH(MAX(Reference!$A$6,MIN(Reference!$A$11,MIN($U95,270))),Reference!$A$6:$A$11,1)))+(MAX(Reference!$A$6,MIN(Reference!$A$11,MIN($U95,270)))-INDEX(Reference!$A$6:$A$11,MIN(5,MATCH(MAX(Reference!$A$6,MIN(Reference!$A$11,MIN($U95,270))),Reference!$A$6:$A$11,1))))*(INDEX(Reference!$B$6:$B$11,MIN(5,MATCH(MAX(Reference!$A$6,MIN(Reference!$A$11,MIN($U95,270))),Reference!$A$6:$A$11,1))+1)-INDEX(Reference!$B$6:$B$11,MIN(5,MATCH(MAX(Reference!$A$6,MIN(Reference!$A$11,MIN($U95,270))),Reference!$A$6:$A$11,1))))/(INDEX(Reference!$A$6:$A$11,MIN(5,MATCH(MAX(Reference!$A$6,MIN(Reference!$A$11,MIN($U95,270))),Reference!$A$6:$A$11,1))+1)-INDEX(Reference!$A$6:$A$11,MIN(5,MATCH(MAX(Reference!$A$6,MIN(Reference!$A$11,MIN($U95,270))),Reference!$A$6:$A$11,1))))),0)+IF(8&lt;=$AL95,($AL95-8+3)*(INDEX(Reference!$B$6:$B$11,MIN(5,MATCH(MAX(Reference!$A$6,MIN(Reference!$A$11,MIN($U95,300))),Reference!$A$6:$A$11,1)))+(MAX(Reference!$A$6,MIN(Reference!$A$11,MIN($U95,300)))-INDEX(Reference!$A$6:$A$11,MIN(5,MATCH(MAX(Reference!$A$6,MIN(Reference!$A$11,MIN($U95,300))),Reference!$A$6:$A$11,1))))*(INDEX(Reference!$B$6:$B$11,MIN(5,MATCH(MAX(Reference!$A$6,MIN(Reference!$A$11,MIN($U95,300))),Reference!$A$6:$A$11,1))+1)-INDEX(Reference!$B$6:$B$11,MIN(5,MATCH(MAX(Reference!$A$6,MIN(Reference!$A$11,MIN($U95,300))),Reference!$A$6:$A$11,1))))/(INDEX(Reference!$A$6:$A$11,MIN(5,MATCH(MAX(Reference!$A$6,MIN(Reference!$A$11,MIN($U95,300))),Reference!$A$6:$A$11,1))+1)-INDEX(Reference!$A$6:$A$11,MIN(5,MATCH(MAX(Reference!$A$6,MIN(Reference!$A$11,MIN($U95,300))),Reference!$A$6:$A$11,1))))),0))/($AL95*($AL95+5)/2)),$AN95))</f>
        <v>1.3</v>
      </c>
      <c r="AN95" s="32">
        <f>IF($U95="",0,(INDEX(Reference!$B$6:$B$11,MIN(5,MATCH(MAX(Reference!$A$6,MIN(Reference!$A$11,$U95)),Reference!$A$6:$A$11,1)))+(MAX(Reference!$A$6,MIN(Reference!$A$11,$U95))-INDEX(Reference!$A$6:$A$11,MIN(5,MATCH(MAX(Reference!$A$6,MIN(Reference!$A$11,$U95)),Reference!$A$6:$A$11,1))))*(INDEX(Reference!$B$6:$B$11,MIN(5,MATCH(MAX(Reference!$A$6,MIN(Reference!$A$11,$U95)),Reference!$A$6:$A$11,1))+1)-INDEX(Reference!$B$6:$B$11,MIN(5,MATCH(MAX(Reference!$A$6,MIN(Reference!$A$11,$U95)),Reference!$A$6:$A$11,1))))/(INDEX(Reference!$A$6:$A$11,MIN(5,MATCH(MAX(Reference!$A$6,MIN(Reference!$A$11,$U95)),Reference!$A$6:$A$11,1))+1)-INDEX(Reference!$A$6:$A$11,MIN(5,MATCH(MAX(Reference!$A$6,MIN(Reference!$A$11,$U95)),Reference!$A$6:$A$11,1))))))</f>
        <v>1.3</v>
      </c>
      <c r="AO95" s="37"/>
      <c r="AP95" s="37"/>
      <c r="AQ95" s="37"/>
    </row>
    <row r="96" spans="1:43" x14ac:dyDescent="0.3">
      <c r="A96" s="48">
        <f t="shared" si="30"/>
        <v>46360</v>
      </c>
      <c r="B96" s="32" t="str">
        <f t="shared" si="31"/>
        <v>Fri</v>
      </c>
      <c r="C96" s="32">
        <f t="shared" si="32"/>
        <v>31</v>
      </c>
      <c r="D96" s="32" t="str">
        <f t="shared" si="33"/>
        <v>Flat Ground / Intent</v>
      </c>
      <c r="E96" s="32" t="str">
        <f t="shared" si="34"/>
        <v>Low</v>
      </c>
      <c r="F96" s="32" t="str">
        <f t="shared" si="35"/>
        <v>Recovery/Easy Catch</v>
      </c>
      <c r="G96" s="47" t="str">
        <f t="shared" si="36"/>
        <v>75 ft × 21 @ 69–73 mph</v>
      </c>
      <c r="H96" s="30">
        <f t="shared" si="37"/>
        <v>14.489999999999998</v>
      </c>
      <c r="I96" s="46">
        <f>IF($A96="","",IF(AND($L96&lt;27,$K$12=0),"Building",IFERROR(((SUM($H$90:$H96)+$K$12*IF($L96&lt;6,SUMIFS('Throw Log'!$Q$5:$Q$300,'Throw Log'!$B$5:$B$300,$D$4,'Throw Log'!$A$5:$A$300,"&gt;="&amp;($D$6+$L96-6),'Throw Log'!$A$5:$A$300,"&lt;="&amp;($D$6-1)),0))/7)/((SUM($H$69:$H96)+$K$12*IF($L96&lt;27,SUMIFS('Throw Log'!$Q$5:$Q$300,'Throw Log'!$B$5:$B$300,$D$4,'Throw Log'!$A$5:$A$300,"&gt;="&amp;($D$6+$L96-27),'Throw Log'!$A$5:$A$300,"&lt;="&amp;($D$6-1)),0))/28),"")))</f>
        <v>1.1740999980290676</v>
      </c>
      <c r="J96" s="37"/>
      <c r="K96" s="37"/>
      <c r="L96" s="32">
        <v>53</v>
      </c>
      <c r="M96" s="32">
        <f t="shared" si="38"/>
        <v>8</v>
      </c>
      <c r="N96" s="32">
        <f t="shared" si="39"/>
        <v>4</v>
      </c>
      <c r="O96" s="32">
        <f t="shared" si="40"/>
        <v>0.69736842105263153</v>
      </c>
      <c r="P96" s="32">
        <f>IF(OR($A96="",N($C96)&lt;=7),"",$G$6*$G$9^($M96-1)*IF(AND(MOD($M96,Reference!$B$99)=0,$M96&lt;=$G$5-2),Reference!$B$100,1))</f>
        <v>155.17696923220939</v>
      </c>
      <c r="Q96" s="32">
        <f>IF($P96="","",IF(SUM($AK$92:$AK$98)=0,0,$P96*INDEX(Reference!$B$108:$B$114,$N96+1)/SUM($AK$92:$AK$98)))</f>
        <v>14.50252048899153</v>
      </c>
      <c r="R96" s="32">
        <f t="shared" si="41"/>
        <v>165</v>
      </c>
      <c r="S96" s="32">
        <f t="shared" si="42"/>
        <v>150</v>
      </c>
      <c r="T96" s="32" t="str">
        <f>IF($A96="","",IF($C96=0,"Bullpen",IF(OR($C96=7,$C96=1,$C96=5),"Recovery/Easy Catch",IF($C96=6,"Compression/Pulldowns",IF(OR($C96=4,$C96=2),"Long Toss",IF($C96=3,"No Throw",IF($N96=2,"No Throw",IF($N96=6,IF($O96&lt;Reference!$B$104,"No Throw","Recovery/Easy Catch"),IF(OR($N96=0,$N96=4),"Recovery/Easy Catch",IF($N96=1,IF($R96&gt;75,"Long Toss","Recovery/Easy Catch"),IF($N96=3,IF($O96&lt;0.5,IF($S96&gt;75,"Long Toss","Recovery/Easy Catch"),"Compression/Pulldowns"),IF($S96&gt;75,"Long Toss","Recovery/Easy Catch"))))))))))))</f>
        <v>Recovery/Easy Catch</v>
      </c>
      <c r="U96" s="32">
        <f t="shared" si="43"/>
        <v>75</v>
      </c>
      <c r="V96" s="32">
        <f t="shared" si="44"/>
        <v>18</v>
      </c>
      <c r="W96" s="32">
        <f t="shared" si="45"/>
        <v>22</v>
      </c>
      <c r="X96" s="32">
        <f t="shared" si="46"/>
        <v>0</v>
      </c>
      <c r="Y96" s="32" t="str">
        <f t="shared" si="47"/>
        <v/>
      </c>
      <c r="Z96" s="32" t="str">
        <f t="shared" si="48"/>
        <v/>
      </c>
      <c r="AA96" s="32" t="str">
        <f t="shared" si="49"/>
        <v/>
      </c>
      <c r="AB96" s="32">
        <f>IF($A96="","",IF($T96="No Throw",0,IF($K96&lt;&gt;"",$K96,IF($AA96&lt;&gt;"",ROUND($AA96*$D$12*IF($C96=0,1,$G$10),0),MIN(IF($T96="Recovery/Easy Catch",Reference!$B$103,IF($T96="Long Toss",Reference!$B$106,Reference!$B$102)),MAX(Reference!$B$101,ROUND(MAX(0,$Q96-$AE96)/$AF96,0)))))))</f>
        <v>21</v>
      </c>
      <c r="AC96" s="32">
        <f t="shared" si="50"/>
        <v>0</v>
      </c>
      <c r="AD96" s="32" t="b">
        <f t="shared" si="51"/>
        <v>0</v>
      </c>
      <c r="AE96" s="32">
        <f>IF($X96=0,0,$X96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96+$Z96)/2,0),Reference!$A$17:$B$20,2,TRUE()))</f>
        <v>0</v>
      </c>
      <c r="AF96" s="32">
        <f>IF(OR($A96="",$U96="",$T96="No Throw"),0,$AM96*VLOOKUP(MAX(($V96+$W96)/2,0),Reference!$A$17:$B$20,2,TRUE()))</f>
        <v>0.69</v>
      </c>
      <c r="AG96" s="32">
        <f>IF($AC96=0,0,$AC96*INDEX(Reference!$B$61:$B$62,MATCH("Bullpen",Reference!$A$61:$A$62,0))*VLOOKUP(MAX($D$5-($D$9+$E$9)/2,0),Reference!$A$17:$B$20,2,TRUE()))</f>
        <v>0</v>
      </c>
      <c r="AH96" s="46">
        <f t="shared" si="52"/>
        <v>1.1740999980290676</v>
      </c>
      <c r="AI96" s="32">
        <f>IF($A96="",NA(),Reference!$A$25)</f>
        <v>0.8</v>
      </c>
      <c r="AJ96" s="32">
        <f t="shared" si="53"/>
        <v>1.3</v>
      </c>
      <c r="AK96" s="56">
        <f>IF(OR($A96="",N($C96)&lt;=7,$T96="No Throw",$J96="x"),0,INDEX(Reference!$B$108:$B$114,$N96+1))</f>
        <v>0.1</v>
      </c>
      <c r="AL96" s="32">
        <f t="shared" si="54"/>
        <v>1</v>
      </c>
      <c r="AM96" s="32">
        <f>IF($U96="",0,IF($AL96&gt;1,((IF(1&lt;=$AL96,($AL96-1+3)*(INDEX(Reference!$B$6:$B$11,MIN(5,MATCH(MAX(Reference!$A$6,MIN(Reference!$A$11,MIN($U96,90))),Reference!$A$6:$A$11,1)))+(MAX(Reference!$A$6,MIN(Reference!$A$11,MIN($U96,90)))-INDEX(Reference!$A$6:$A$11,MIN(5,MATCH(MAX(Reference!$A$6,MIN(Reference!$A$11,MIN($U96,90))),Reference!$A$6:$A$11,1))))*(INDEX(Reference!$B$6:$B$11,MIN(5,MATCH(MAX(Reference!$A$6,MIN(Reference!$A$11,MIN($U96,90))),Reference!$A$6:$A$11,1))+1)-INDEX(Reference!$B$6:$B$11,MIN(5,MATCH(MAX(Reference!$A$6,MIN(Reference!$A$11,MIN($U96,90))),Reference!$A$6:$A$11,1))))/(INDEX(Reference!$A$6:$A$11,MIN(5,MATCH(MAX(Reference!$A$6,MIN(Reference!$A$11,MIN($U96,90))),Reference!$A$6:$A$11,1))+1)-INDEX(Reference!$A$6:$A$11,MIN(5,MATCH(MAX(Reference!$A$6,MIN(Reference!$A$11,MIN($U96,90))),Reference!$A$6:$A$11,1))))),0)+IF(2&lt;=$AL96,($AL96-2+3)*(INDEX(Reference!$B$6:$B$11,MIN(5,MATCH(MAX(Reference!$A$6,MIN(Reference!$A$11,MIN($U96,120))),Reference!$A$6:$A$11,1)))+(MAX(Reference!$A$6,MIN(Reference!$A$11,MIN($U96,120)))-INDEX(Reference!$A$6:$A$11,MIN(5,MATCH(MAX(Reference!$A$6,MIN(Reference!$A$11,MIN($U96,120))),Reference!$A$6:$A$11,1))))*(INDEX(Reference!$B$6:$B$11,MIN(5,MATCH(MAX(Reference!$A$6,MIN(Reference!$A$11,MIN($U96,120))),Reference!$A$6:$A$11,1))+1)-INDEX(Reference!$B$6:$B$11,MIN(5,MATCH(MAX(Reference!$A$6,MIN(Reference!$A$11,MIN($U96,120))),Reference!$A$6:$A$11,1))))/(INDEX(Reference!$A$6:$A$11,MIN(5,MATCH(MAX(Reference!$A$6,MIN(Reference!$A$11,MIN($U96,120))),Reference!$A$6:$A$11,1))+1)-INDEX(Reference!$A$6:$A$11,MIN(5,MATCH(MAX(Reference!$A$6,MIN(Reference!$A$11,MIN($U96,120))),Reference!$A$6:$A$11,1))))),0)+IF(3&lt;=$AL96,($AL96-3+3)*(INDEX(Reference!$B$6:$B$11,MIN(5,MATCH(MAX(Reference!$A$6,MIN(Reference!$A$11,MIN($U96,150))),Reference!$A$6:$A$11,1)))+(MAX(Reference!$A$6,MIN(Reference!$A$11,MIN($U96,150)))-INDEX(Reference!$A$6:$A$11,MIN(5,MATCH(MAX(Reference!$A$6,MIN(Reference!$A$11,MIN($U96,150))),Reference!$A$6:$A$11,1))))*(INDEX(Reference!$B$6:$B$11,MIN(5,MATCH(MAX(Reference!$A$6,MIN(Reference!$A$11,MIN($U96,150))),Reference!$A$6:$A$11,1))+1)-INDEX(Reference!$B$6:$B$11,MIN(5,MATCH(MAX(Reference!$A$6,MIN(Reference!$A$11,MIN($U96,150))),Reference!$A$6:$A$11,1))))/(INDEX(Reference!$A$6:$A$11,MIN(5,MATCH(MAX(Reference!$A$6,MIN(Reference!$A$11,MIN($U96,150))),Reference!$A$6:$A$11,1))+1)-INDEX(Reference!$A$6:$A$11,MIN(5,MATCH(MAX(Reference!$A$6,MIN(Reference!$A$11,MIN($U96,150))),Reference!$A$6:$A$11,1))))),0)+IF(4&lt;=$AL96,($AL96-4+3)*(INDEX(Reference!$B$6:$B$11,MIN(5,MATCH(MAX(Reference!$A$6,MIN(Reference!$A$11,MIN($U96,180))),Reference!$A$6:$A$11,1)))+(MAX(Reference!$A$6,MIN(Reference!$A$11,MIN($U96,180)))-INDEX(Reference!$A$6:$A$11,MIN(5,MATCH(MAX(Reference!$A$6,MIN(Reference!$A$11,MIN($U96,180))),Reference!$A$6:$A$11,1))))*(INDEX(Reference!$B$6:$B$11,MIN(5,MATCH(MAX(Reference!$A$6,MIN(Reference!$A$11,MIN($U96,180))),Reference!$A$6:$A$11,1))+1)-INDEX(Reference!$B$6:$B$11,MIN(5,MATCH(MAX(Reference!$A$6,MIN(Reference!$A$11,MIN($U96,180))),Reference!$A$6:$A$11,1))))/(INDEX(Reference!$A$6:$A$11,MIN(5,MATCH(MAX(Reference!$A$6,MIN(Reference!$A$11,MIN($U96,180))),Reference!$A$6:$A$11,1))+1)-INDEX(Reference!$A$6:$A$11,MIN(5,MATCH(MAX(Reference!$A$6,MIN(Reference!$A$11,MIN($U96,180))),Reference!$A$6:$A$11,1))))),0)+IF(5&lt;=$AL96,($AL96-5+3)*(INDEX(Reference!$B$6:$B$11,MIN(5,MATCH(MAX(Reference!$A$6,MIN(Reference!$A$11,MIN($U96,210))),Reference!$A$6:$A$11,1)))+(MAX(Reference!$A$6,MIN(Reference!$A$11,MIN($U96,210)))-INDEX(Reference!$A$6:$A$11,MIN(5,MATCH(MAX(Reference!$A$6,MIN(Reference!$A$11,MIN($U96,210))),Reference!$A$6:$A$11,1))))*(INDEX(Reference!$B$6:$B$11,MIN(5,MATCH(MAX(Reference!$A$6,MIN(Reference!$A$11,MIN($U96,210))),Reference!$A$6:$A$11,1))+1)-INDEX(Reference!$B$6:$B$11,MIN(5,MATCH(MAX(Reference!$A$6,MIN(Reference!$A$11,MIN($U96,210))),Reference!$A$6:$A$11,1))))/(INDEX(Reference!$A$6:$A$11,MIN(5,MATCH(MAX(Reference!$A$6,MIN(Reference!$A$11,MIN($U96,210))),Reference!$A$6:$A$11,1))+1)-INDEX(Reference!$A$6:$A$11,MIN(5,MATCH(MAX(Reference!$A$6,MIN(Reference!$A$11,MIN($U96,210))),Reference!$A$6:$A$11,1))))),0)+IF(6&lt;=$AL96,($AL96-6+3)*(INDEX(Reference!$B$6:$B$11,MIN(5,MATCH(MAX(Reference!$A$6,MIN(Reference!$A$11,MIN($U96,240))),Reference!$A$6:$A$11,1)))+(MAX(Reference!$A$6,MIN(Reference!$A$11,MIN($U96,240)))-INDEX(Reference!$A$6:$A$11,MIN(5,MATCH(MAX(Reference!$A$6,MIN(Reference!$A$11,MIN($U96,240))),Reference!$A$6:$A$11,1))))*(INDEX(Reference!$B$6:$B$11,MIN(5,MATCH(MAX(Reference!$A$6,MIN(Reference!$A$11,MIN($U96,240))),Reference!$A$6:$A$11,1))+1)-INDEX(Reference!$B$6:$B$11,MIN(5,MATCH(MAX(Reference!$A$6,MIN(Reference!$A$11,MIN($U96,240))),Reference!$A$6:$A$11,1))))/(INDEX(Reference!$A$6:$A$11,MIN(5,MATCH(MAX(Reference!$A$6,MIN(Reference!$A$11,MIN($U96,240))),Reference!$A$6:$A$11,1))+1)-INDEX(Reference!$A$6:$A$11,MIN(5,MATCH(MAX(Reference!$A$6,MIN(Reference!$A$11,MIN($U96,240))),Reference!$A$6:$A$11,1))))),0)+IF(7&lt;=$AL96,($AL96-7+3)*(INDEX(Reference!$B$6:$B$11,MIN(5,MATCH(MAX(Reference!$A$6,MIN(Reference!$A$11,MIN($U96,270))),Reference!$A$6:$A$11,1)))+(MAX(Reference!$A$6,MIN(Reference!$A$11,MIN($U96,270)))-INDEX(Reference!$A$6:$A$11,MIN(5,MATCH(MAX(Reference!$A$6,MIN(Reference!$A$11,MIN($U96,270))),Reference!$A$6:$A$11,1))))*(INDEX(Reference!$B$6:$B$11,MIN(5,MATCH(MAX(Reference!$A$6,MIN(Reference!$A$11,MIN($U96,270))),Reference!$A$6:$A$11,1))+1)-INDEX(Reference!$B$6:$B$11,MIN(5,MATCH(MAX(Reference!$A$6,MIN(Reference!$A$11,MIN($U96,270))),Reference!$A$6:$A$11,1))))/(INDEX(Reference!$A$6:$A$11,MIN(5,MATCH(MAX(Reference!$A$6,MIN(Reference!$A$11,MIN($U96,270))),Reference!$A$6:$A$11,1))+1)-INDEX(Reference!$A$6:$A$11,MIN(5,MATCH(MAX(Reference!$A$6,MIN(Reference!$A$11,MIN($U96,270))),Reference!$A$6:$A$11,1))))),0)+IF(8&lt;=$AL96,($AL96-8+3)*(INDEX(Reference!$B$6:$B$11,MIN(5,MATCH(MAX(Reference!$A$6,MIN(Reference!$A$11,MIN($U96,300))),Reference!$A$6:$A$11,1)))+(MAX(Reference!$A$6,MIN(Reference!$A$11,MIN($U96,300)))-INDEX(Reference!$A$6:$A$11,MIN(5,MATCH(MAX(Reference!$A$6,MIN(Reference!$A$11,MIN($U96,300))),Reference!$A$6:$A$11,1))))*(INDEX(Reference!$B$6:$B$11,MIN(5,MATCH(MAX(Reference!$A$6,MIN(Reference!$A$11,MIN($U96,300))),Reference!$A$6:$A$11,1))+1)-INDEX(Reference!$B$6:$B$11,MIN(5,MATCH(MAX(Reference!$A$6,MIN(Reference!$A$11,MIN($U96,300))),Reference!$A$6:$A$11,1))))/(INDEX(Reference!$A$6:$A$11,MIN(5,MATCH(MAX(Reference!$A$6,MIN(Reference!$A$11,MIN($U96,300))),Reference!$A$6:$A$11,1))+1)-INDEX(Reference!$A$6:$A$11,MIN(5,MATCH(MAX(Reference!$A$6,MIN(Reference!$A$11,MIN($U96,300))),Reference!$A$6:$A$11,1))))),0))/($AL96*($AL96+5)/2)),$AN96))</f>
        <v>1.1499999999999999</v>
      </c>
      <c r="AN96" s="32">
        <f>IF($U96="",0,(INDEX(Reference!$B$6:$B$11,MIN(5,MATCH(MAX(Reference!$A$6,MIN(Reference!$A$11,$U96)),Reference!$A$6:$A$11,1)))+(MAX(Reference!$A$6,MIN(Reference!$A$11,$U96))-INDEX(Reference!$A$6:$A$11,MIN(5,MATCH(MAX(Reference!$A$6,MIN(Reference!$A$11,$U96)),Reference!$A$6:$A$11,1))))*(INDEX(Reference!$B$6:$B$11,MIN(5,MATCH(MAX(Reference!$A$6,MIN(Reference!$A$11,$U96)),Reference!$A$6:$A$11,1))+1)-INDEX(Reference!$B$6:$B$11,MIN(5,MATCH(MAX(Reference!$A$6,MIN(Reference!$A$11,$U96)),Reference!$A$6:$A$11,1))))/(INDEX(Reference!$A$6:$A$11,MIN(5,MATCH(MAX(Reference!$A$6,MIN(Reference!$A$11,$U96)),Reference!$A$6:$A$11,1))+1)-INDEX(Reference!$A$6:$A$11,MIN(5,MATCH(MAX(Reference!$A$6,MIN(Reference!$A$11,$U96)),Reference!$A$6:$A$11,1))))))</f>
        <v>1.1499999999999999</v>
      </c>
      <c r="AO96" s="37"/>
      <c r="AP96" s="37"/>
      <c r="AQ96" s="37"/>
    </row>
    <row r="97" spans="1:43" ht="26.4" x14ac:dyDescent="0.3">
      <c r="A97" s="48">
        <f t="shared" si="30"/>
        <v>46361</v>
      </c>
      <c r="B97" s="32" t="str">
        <f t="shared" si="31"/>
        <v>Sat</v>
      </c>
      <c r="C97" s="32">
        <f t="shared" si="32"/>
        <v>30</v>
      </c>
      <c r="D97" s="32" t="str">
        <f t="shared" si="33"/>
        <v>Flat Ground / Intent</v>
      </c>
      <c r="E97" s="32" t="str">
        <f t="shared" si="34"/>
        <v>High Non-Bullpen</v>
      </c>
      <c r="F97" s="32" t="str">
        <f t="shared" si="35"/>
        <v>Long Toss</v>
      </c>
      <c r="G97" s="47" t="str">
        <f t="shared" si="36"/>
        <v>Long toss out to 150 ft — 20 throws (90×8 · 120×7 · 150×5) @ 78–81 mph + flat ground at 60 ft × 20 @ 82–84 mph</v>
      </c>
      <c r="H97" s="30">
        <f t="shared" si="37"/>
        <v>39.9</v>
      </c>
      <c r="I97" s="46">
        <f>IF($A97="","",IF(AND($L97&lt;27,$K$12=0),"Building",IFERROR(((SUM($H$91:$H97)+$K$12*IF($L97&lt;6,SUMIFS('Throw Log'!$Q$5:$Q$300,'Throw Log'!$B$5:$B$300,$D$4,'Throw Log'!$A$5:$A$300,"&gt;="&amp;($D$6+$L97-6),'Throw Log'!$A$5:$A$300,"&lt;="&amp;($D$6-1)),0))/7)/((SUM($H$70:$H97)+$K$12*IF($L97&lt;27,SUMIFS('Throw Log'!$Q$5:$Q$300,'Throw Log'!$B$5:$B$300,$D$4,'Throw Log'!$A$5:$A$300,"&gt;="&amp;($D$6+$L97-27),'Throw Log'!$A$5:$A$300,"&lt;="&amp;($D$6-1)),0))/28),"")))</f>
        <v>1.2019672214713897</v>
      </c>
      <c r="J97" s="37"/>
      <c r="K97" s="37"/>
      <c r="L97" s="32">
        <v>54</v>
      </c>
      <c r="M97" s="32">
        <f t="shared" si="38"/>
        <v>8</v>
      </c>
      <c r="N97" s="32">
        <f t="shared" si="39"/>
        <v>5</v>
      </c>
      <c r="O97" s="32">
        <f t="shared" si="40"/>
        <v>0.71052631578947367</v>
      </c>
      <c r="P97" s="32">
        <f>IF(OR($A97="",N($C97)&lt;=7),"",$G$6*$G$9^($M97-1)*IF(AND(MOD($M97,Reference!$B$99)=0,$M97&lt;=$G$5-2),Reference!$B$100,1))</f>
        <v>155.17696923220939</v>
      </c>
      <c r="Q97" s="32">
        <f>IF($P97="","",IF(SUM($AK$92:$AK$98)=0,0,$P97*INDEX(Reference!$B$108:$B$114,$N97+1)/SUM($AK$92:$AK$98)))</f>
        <v>39.156805320277137</v>
      </c>
      <c r="R97" s="32">
        <f t="shared" si="41"/>
        <v>180</v>
      </c>
      <c r="S97" s="32">
        <f t="shared" si="42"/>
        <v>150</v>
      </c>
      <c r="T97" s="32" t="str">
        <f>IF($A97="","",IF($C97=0,"Bullpen",IF(OR($C97=7,$C97=1,$C97=5),"Recovery/Easy Catch",IF($C97=6,"Compression/Pulldowns",IF(OR($C97=4,$C97=2),"Long Toss",IF($C97=3,"No Throw",IF($N97=2,"No Throw",IF($N97=6,IF($O97&lt;Reference!$B$104,"No Throw","Recovery/Easy Catch"),IF(OR($N97=0,$N97=4),"Recovery/Easy Catch",IF($N97=1,IF($R97&gt;75,"Long Toss","Recovery/Easy Catch"),IF($N97=3,IF($O97&lt;0.5,IF($S97&gt;75,"Long Toss","Recovery/Easy Catch"),"Compression/Pulldowns"),IF($S97&gt;75,"Long Toss","Recovery/Easy Catch"))))))))))))</f>
        <v>Long Toss</v>
      </c>
      <c r="U97" s="32">
        <f t="shared" si="43"/>
        <v>150</v>
      </c>
      <c r="V97" s="32">
        <f t="shared" si="44"/>
        <v>10</v>
      </c>
      <c r="W97" s="32">
        <f t="shared" si="45"/>
        <v>13</v>
      </c>
      <c r="X97" s="32">
        <f t="shared" si="46"/>
        <v>20</v>
      </c>
      <c r="Y97" s="32">
        <f t="shared" si="47"/>
        <v>7</v>
      </c>
      <c r="Z97" s="32">
        <f t="shared" si="48"/>
        <v>9</v>
      </c>
      <c r="AA97" s="32" t="str">
        <f t="shared" si="49"/>
        <v/>
      </c>
      <c r="AB97" s="32">
        <f>IF($A97="","",IF($T97="No Throw",0,IF($K97&lt;&gt;"",$K97,IF($AA97&lt;&gt;"",ROUND($AA97*$D$12*IF($C97=0,1,$G$10),0),MIN(IF($T97="Recovery/Easy Catch",Reference!$B$103,IF($T97="Long Toss",Reference!$B$106,Reference!$B$102)),MAX(Reference!$B$101,ROUND(MAX(0,$Q97-$AE97)/$AF97,0)))))))</f>
        <v>20</v>
      </c>
      <c r="AC97" s="32">
        <f t="shared" si="50"/>
        <v>0</v>
      </c>
      <c r="AD97" s="32" t="b">
        <f t="shared" si="51"/>
        <v>0</v>
      </c>
      <c r="AE97" s="32">
        <f>IF($X97=0,0,$X97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97+$Z97)/2,0),Reference!$A$17:$B$20,2,TRUE()))</f>
        <v>20</v>
      </c>
      <c r="AF97" s="32">
        <f>IF(OR($A97="",$U97="",$T97="No Throw"),0,$AM97*VLOOKUP(MAX(($V97+$W97)/2,0),Reference!$A$17:$B$20,2,TRUE()))</f>
        <v>0.995</v>
      </c>
      <c r="AG97" s="32">
        <f>IF($AC97=0,0,$AC97*INDEX(Reference!$B$61:$B$62,MATCH("Bullpen",Reference!$A$61:$A$62,0))*VLOOKUP(MAX($D$5-($D$9+$E$9)/2,0),Reference!$A$17:$B$20,2,TRUE()))</f>
        <v>0</v>
      </c>
      <c r="AH97" s="46">
        <f t="shared" si="52"/>
        <v>1.2019672214713897</v>
      </c>
      <c r="AI97" s="32">
        <f>IF($A97="",NA(),Reference!$A$25)</f>
        <v>0.8</v>
      </c>
      <c r="AJ97" s="32">
        <f t="shared" si="53"/>
        <v>1.3</v>
      </c>
      <c r="AK97" s="56">
        <f>IF(OR($A97="",N($C97)&lt;=7,$T97="No Throw",$J97="x"),0,INDEX(Reference!$B$108:$B$114,$N97+1))</f>
        <v>0.27</v>
      </c>
      <c r="AL97" s="32">
        <f t="shared" si="54"/>
        <v>3</v>
      </c>
      <c r="AM97" s="32">
        <f>IF($U97="",0,IF($AL97&gt;1,((IF(1&lt;=$AL97,($AL97-1+3)*(INDEX(Reference!$B$6:$B$11,MIN(5,MATCH(MAX(Reference!$A$6,MIN(Reference!$A$11,MIN($U97,90))),Reference!$A$6:$A$11,1)))+(MAX(Reference!$A$6,MIN(Reference!$A$11,MIN($U97,90)))-INDEX(Reference!$A$6:$A$11,MIN(5,MATCH(MAX(Reference!$A$6,MIN(Reference!$A$11,MIN($U97,90))),Reference!$A$6:$A$11,1))))*(INDEX(Reference!$B$6:$B$11,MIN(5,MATCH(MAX(Reference!$A$6,MIN(Reference!$A$11,MIN($U97,90))),Reference!$A$6:$A$11,1))+1)-INDEX(Reference!$B$6:$B$11,MIN(5,MATCH(MAX(Reference!$A$6,MIN(Reference!$A$11,MIN($U97,90))),Reference!$A$6:$A$11,1))))/(INDEX(Reference!$A$6:$A$11,MIN(5,MATCH(MAX(Reference!$A$6,MIN(Reference!$A$11,MIN($U97,90))),Reference!$A$6:$A$11,1))+1)-INDEX(Reference!$A$6:$A$11,MIN(5,MATCH(MAX(Reference!$A$6,MIN(Reference!$A$11,MIN($U97,90))),Reference!$A$6:$A$11,1))))),0)+IF(2&lt;=$AL97,($AL97-2+3)*(INDEX(Reference!$B$6:$B$11,MIN(5,MATCH(MAX(Reference!$A$6,MIN(Reference!$A$11,MIN($U97,120))),Reference!$A$6:$A$11,1)))+(MAX(Reference!$A$6,MIN(Reference!$A$11,MIN($U97,120)))-INDEX(Reference!$A$6:$A$11,MIN(5,MATCH(MAX(Reference!$A$6,MIN(Reference!$A$11,MIN($U97,120))),Reference!$A$6:$A$11,1))))*(INDEX(Reference!$B$6:$B$11,MIN(5,MATCH(MAX(Reference!$A$6,MIN(Reference!$A$11,MIN($U97,120))),Reference!$A$6:$A$11,1))+1)-INDEX(Reference!$B$6:$B$11,MIN(5,MATCH(MAX(Reference!$A$6,MIN(Reference!$A$11,MIN($U97,120))),Reference!$A$6:$A$11,1))))/(INDEX(Reference!$A$6:$A$11,MIN(5,MATCH(MAX(Reference!$A$6,MIN(Reference!$A$11,MIN($U97,120))),Reference!$A$6:$A$11,1))+1)-INDEX(Reference!$A$6:$A$11,MIN(5,MATCH(MAX(Reference!$A$6,MIN(Reference!$A$11,MIN($U97,120))),Reference!$A$6:$A$11,1))))),0)+IF(3&lt;=$AL97,($AL97-3+3)*(INDEX(Reference!$B$6:$B$11,MIN(5,MATCH(MAX(Reference!$A$6,MIN(Reference!$A$11,MIN($U97,150))),Reference!$A$6:$A$11,1)))+(MAX(Reference!$A$6,MIN(Reference!$A$11,MIN($U97,150)))-INDEX(Reference!$A$6:$A$11,MIN(5,MATCH(MAX(Reference!$A$6,MIN(Reference!$A$11,MIN($U97,150))),Reference!$A$6:$A$11,1))))*(INDEX(Reference!$B$6:$B$11,MIN(5,MATCH(MAX(Reference!$A$6,MIN(Reference!$A$11,MIN($U97,150))),Reference!$A$6:$A$11,1))+1)-INDEX(Reference!$B$6:$B$11,MIN(5,MATCH(MAX(Reference!$A$6,MIN(Reference!$A$11,MIN($U97,150))),Reference!$A$6:$A$11,1))))/(INDEX(Reference!$A$6:$A$11,MIN(5,MATCH(MAX(Reference!$A$6,MIN(Reference!$A$11,MIN($U97,150))),Reference!$A$6:$A$11,1))+1)-INDEX(Reference!$A$6:$A$11,MIN(5,MATCH(MAX(Reference!$A$6,MIN(Reference!$A$11,MIN($U97,150))),Reference!$A$6:$A$11,1))))),0)+IF(4&lt;=$AL97,($AL97-4+3)*(INDEX(Reference!$B$6:$B$11,MIN(5,MATCH(MAX(Reference!$A$6,MIN(Reference!$A$11,MIN($U97,180))),Reference!$A$6:$A$11,1)))+(MAX(Reference!$A$6,MIN(Reference!$A$11,MIN($U97,180)))-INDEX(Reference!$A$6:$A$11,MIN(5,MATCH(MAX(Reference!$A$6,MIN(Reference!$A$11,MIN($U97,180))),Reference!$A$6:$A$11,1))))*(INDEX(Reference!$B$6:$B$11,MIN(5,MATCH(MAX(Reference!$A$6,MIN(Reference!$A$11,MIN($U97,180))),Reference!$A$6:$A$11,1))+1)-INDEX(Reference!$B$6:$B$11,MIN(5,MATCH(MAX(Reference!$A$6,MIN(Reference!$A$11,MIN($U97,180))),Reference!$A$6:$A$11,1))))/(INDEX(Reference!$A$6:$A$11,MIN(5,MATCH(MAX(Reference!$A$6,MIN(Reference!$A$11,MIN($U97,180))),Reference!$A$6:$A$11,1))+1)-INDEX(Reference!$A$6:$A$11,MIN(5,MATCH(MAX(Reference!$A$6,MIN(Reference!$A$11,MIN($U97,180))),Reference!$A$6:$A$11,1))))),0)+IF(5&lt;=$AL97,($AL97-5+3)*(INDEX(Reference!$B$6:$B$11,MIN(5,MATCH(MAX(Reference!$A$6,MIN(Reference!$A$11,MIN($U97,210))),Reference!$A$6:$A$11,1)))+(MAX(Reference!$A$6,MIN(Reference!$A$11,MIN($U97,210)))-INDEX(Reference!$A$6:$A$11,MIN(5,MATCH(MAX(Reference!$A$6,MIN(Reference!$A$11,MIN($U97,210))),Reference!$A$6:$A$11,1))))*(INDEX(Reference!$B$6:$B$11,MIN(5,MATCH(MAX(Reference!$A$6,MIN(Reference!$A$11,MIN($U97,210))),Reference!$A$6:$A$11,1))+1)-INDEX(Reference!$B$6:$B$11,MIN(5,MATCH(MAX(Reference!$A$6,MIN(Reference!$A$11,MIN($U97,210))),Reference!$A$6:$A$11,1))))/(INDEX(Reference!$A$6:$A$11,MIN(5,MATCH(MAX(Reference!$A$6,MIN(Reference!$A$11,MIN($U97,210))),Reference!$A$6:$A$11,1))+1)-INDEX(Reference!$A$6:$A$11,MIN(5,MATCH(MAX(Reference!$A$6,MIN(Reference!$A$11,MIN($U97,210))),Reference!$A$6:$A$11,1))))),0)+IF(6&lt;=$AL97,($AL97-6+3)*(INDEX(Reference!$B$6:$B$11,MIN(5,MATCH(MAX(Reference!$A$6,MIN(Reference!$A$11,MIN($U97,240))),Reference!$A$6:$A$11,1)))+(MAX(Reference!$A$6,MIN(Reference!$A$11,MIN($U97,240)))-INDEX(Reference!$A$6:$A$11,MIN(5,MATCH(MAX(Reference!$A$6,MIN(Reference!$A$11,MIN($U97,240))),Reference!$A$6:$A$11,1))))*(INDEX(Reference!$B$6:$B$11,MIN(5,MATCH(MAX(Reference!$A$6,MIN(Reference!$A$11,MIN($U97,240))),Reference!$A$6:$A$11,1))+1)-INDEX(Reference!$B$6:$B$11,MIN(5,MATCH(MAX(Reference!$A$6,MIN(Reference!$A$11,MIN($U97,240))),Reference!$A$6:$A$11,1))))/(INDEX(Reference!$A$6:$A$11,MIN(5,MATCH(MAX(Reference!$A$6,MIN(Reference!$A$11,MIN($U97,240))),Reference!$A$6:$A$11,1))+1)-INDEX(Reference!$A$6:$A$11,MIN(5,MATCH(MAX(Reference!$A$6,MIN(Reference!$A$11,MIN($U97,240))),Reference!$A$6:$A$11,1))))),0)+IF(7&lt;=$AL97,($AL97-7+3)*(INDEX(Reference!$B$6:$B$11,MIN(5,MATCH(MAX(Reference!$A$6,MIN(Reference!$A$11,MIN($U97,270))),Reference!$A$6:$A$11,1)))+(MAX(Reference!$A$6,MIN(Reference!$A$11,MIN($U97,270)))-INDEX(Reference!$A$6:$A$11,MIN(5,MATCH(MAX(Reference!$A$6,MIN(Reference!$A$11,MIN($U97,270))),Reference!$A$6:$A$11,1))))*(INDEX(Reference!$B$6:$B$11,MIN(5,MATCH(MAX(Reference!$A$6,MIN(Reference!$A$11,MIN($U97,270))),Reference!$A$6:$A$11,1))+1)-INDEX(Reference!$B$6:$B$11,MIN(5,MATCH(MAX(Reference!$A$6,MIN(Reference!$A$11,MIN($U97,270))),Reference!$A$6:$A$11,1))))/(INDEX(Reference!$A$6:$A$11,MIN(5,MATCH(MAX(Reference!$A$6,MIN(Reference!$A$11,MIN($U97,270))),Reference!$A$6:$A$11,1))+1)-INDEX(Reference!$A$6:$A$11,MIN(5,MATCH(MAX(Reference!$A$6,MIN(Reference!$A$11,MIN($U97,270))),Reference!$A$6:$A$11,1))))),0)+IF(8&lt;=$AL97,($AL97-8+3)*(INDEX(Reference!$B$6:$B$11,MIN(5,MATCH(MAX(Reference!$A$6,MIN(Reference!$A$11,MIN($U97,300))),Reference!$A$6:$A$11,1)))+(MAX(Reference!$A$6,MIN(Reference!$A$11,MIN($U97,300)))-INDEX(Reference!$A$6:$A$11,MIN(5,MATCH(MAX(Reference!$A$6,MIN(Reference!$A$11,MIN($U97,300))),Reference!$A$6:$A$11,1))))*(INDEX(Reference!$B$6:$B$11,MIN(5,MATCH(MAX(Reference!$A$6,MIN(Reference!$A$11,MIN($U97,300))),Reference!$A$6:$A$11,1))+1)-INDEX(Reference!$B$6:$B$11,MIN(5,MATCH(MAX(Reference!$A$6,MIN(Reference!$A$11,MIN($U97,300))),Reference!$A$6:$A$11,1))))/(INDEX(Reference!$A$6:$A$11,MIN(5,MATCH(MAX(Reference!$A$6,MIN(Reference!$A$11,MIN($U97,300))),Reference!$A$6:$A$11,1))+1)-INDEX(Reference!$A$6:$A$11,MIN(5,MATCH(MAX(Reference!$A$6,MIN(Reference!$A$11,MIN($U97,300))),Reference!$A$6:$A$11,1))))),0))/($AL97*($AL97+5)/2)),$AN97))</f>
        <v>1.6583333333333334</v>
      </c>
      <c r="AN97" s="32">
        <f>IF($U97="",0,(INDEX(Reference!$B$6:$B$11,MIN(5,MATCH(MAX(Reference!$A$6,MIN(Reference!$A$11,$U97)),Reference!$A$6:$A$11,1)))+(MAX(Reference!$A$6,MIN(Reference!$A$11,$U97))-INDEX(Reference!$A$6:$A$11,MIN(5,MATCH(MAX(Reference!$A$6,MIN(Reference!$A$11,$U97)),Reference!$A$6:$A$11,1))))*(INDEX(Reference!$B$6:$B$11,MIN(5,MATCH(MAX(Reference!$A$6,MIN(Reference!$A$11,$U97)),Reference!$A$6:$A$11,1))+1)-INDEX(Reference!$B$6:$B$11,MIN(5,MATCH(MAX(Reference!$A$6,MIN(Reference!$A$11,$U97)),Reference!$A$6:$A$11,1))))/(INDEX(Reference!$A$6:$A$11,MIN(5,MATCH(MAX(Reference!$A$6,MIN(Reference!$A$11,$U97)),Reference!$A$6:$A$11,1))+1)-INDEX(Reference!$A$6:$A$11,MIN(5,MATCH(MAX(Reference!$A$6,MIN(Reference!$A$11,$U97)),Reference!$A$6:$A$11,1))))))</f>
        <v>2.2000000000000002</v>
      </c>
      <c r="AO97" s="37"/>
      <c r="AP97" s="37"/>
      <c r="AQ97" s="37"/>
    </row>
    <row r="98" spans="1:43" x14ac:dyDescent="0.3">
      <c r="A98" s="48">
        <f t="shared" si="30"/>
        <v>46362</v>
      </c>
      <c r="B98" s="32" t="str">
        <f t="shared" si="31"/>
        <v>Sun</v>
      </c>
      <c r="C98" s="32">
        <f t="shared" si="32"/>
        <v>29</v>
      </c>
      <c r="D98" s="32" t="str">
        <f t="shared" si="33"/>
        <v>Flat Ground / Intent</v>
      </c>
      <c r="E98" s="32" t="str">
        <f t="shared" si="34"/>
        <v>Low</v>
      </c>
      <c r="F98" s="32" t="str">
        <f t="shared" si="35"/>
        <v>Recovery/Easy Catch</v>
      </c>
      <c r="G98" s="47" t="str">
        <f t="shared" si="36"/>
        <v>60 ft × 20 @ 67–71 mph</v>
      </c>
      <c r="H98" s="30">
        <f t="shared" si="37"/>
        <v>12</v>
      </c>
      <c r="I98" s="46">
        <f>IF($A98="","",IF(AND($L98&lt;27,$K$12=0),"Building",IFERROR(((SUM($H$92:$H98)+$K$12*IF($L98&lt;6,SUMIFS('Throw Log'!$Q$5:$Q$300,'Throw Log'!$B$5:$B$300,$D$4,'Throw Log'!$A$5:$A$300,"&gt;="&amp;($D$6+$L98-6),'Throw Log'!$A$5:$A$300,"&lt;="&amp;($D$6-1)),0))/7)/((SUM($H$71:$H98)+$K$12*IF($L98&lt;27,SUMIFS('Throw Log'!$Q$5:$Q$300,'Throw Log'!$B$5:$B$300,$D$4,'Throw Log'!$A$5:$A$300,"&gt;="&amp;($D$6+$L98-27),'Throw Log'!$A$5:$A$300,"&lt;="&amp;($D$6-1)),0))/28),"")))</f>
        <v>1.1763549426410909</v>
      </c>
      <c r="J98" s="37"/>
      <c r="K98" s="37"/>
      <c r="L98" s="32">
        <v>55</v>
      </c>
      <c r="M98" s="32">
        <f t="shared" si="38"/>
        <v>8</v>
      </c>
      <c r="N98" s="32">
        <f t="shared" si="39"/>
        <v>6</v>
      </c>
      <c r="O98" s="32">
        <f t="shared" si="40"/>
        <v>0.72368421052631582</v>
      </c>
      <c r="P98" s="32">
        <f>IF(OR($A98="",N($C98)&lt;=7),"",$G$6*$G$9^($M98-1)*IF(AND(MOD($M98,Reference!$B$99)=0,$M98&lt;=$G$5-2),Reference!$B$100,1))</f>
        <v>155.17696923220939</v>
      </c>
      <c r="Q98" s="32">
        <f>IF($P98="","",IF(SUM($AK$92:$AK$98)=0,0,$P98*INDEX(Reference!$B$108:$B$114,$N98+1)/SUM($AK$92:$AK$98)))</f>
        <v>10.151764342294072</v>
      </c>
      <c r="R98" s="32">
        <f t="shared" si="41"/>
        <v>180</v>
      </c>
      <c r="S98" s="32">
        <f t="shared" si="42"/>
        <v>150</v>
      </c>
      <c r="T98" s="32" t="str">
        <f>IF($A98="","",IF($C98=0,"Bullpen",IF(OR($C98=7,$C98=1,$C98=5),"Recovery/Easy Catch",IF($C98=6,"Compression/Pulldowns",IF(OR($C98=4,$C98=2),"Long Toss",IF($C98=3,"No Throw",IF($N98=2,"No Throw",IF($N98=6,IF($O98&lt;Reference!$B$104,"No Throw","Recovery/Easy Catch"),IF(OR($N98=0,$N98=4),"Recovery/Easy Catch",IF($N98=1,IF($R98&gt;75,"Long Toss","Recovery/Easy Catch"),IF($N98=3,IF($O98&lt;0.5,IF($S98&gt;75,"Long Toss","Recovery/Easy Catch"),"Compression/Pulldowns"),IF($S98&gt;75,"Long Toss","Recovery/Easy Catch"))))))))))))</f>
        <v>Recovery/Easy Catch</v>
      </c>
      <c r="U98" s="32">
        <f t="shared" si="43"/>
        <v>60</v>
      </c>
      <c r="V98" s="32">
        <f t="shared" si="44"/>
        <v>20</v>
      </c>
      <c r="W98" s="32">
        <f t="shared" si="45"/>
        <v>24</v>
      </c>
      <c r="X98" s="32">
        <f t="shared" si="46"/>
        <v>0</v>
      </c>
      <c r="Y98" s="32" t="str">
        <f t="shared" si="47"/>
        <v/>
      </c>
      <c r="Z98" s="32" t="str">
        <f t="shared" si="48"/>
        <v/>
      </c>
      <c r="AA98" s="32" t="str">
        <f t="shared" si="49"/>
        <v/>
      </c>
      <c r="AB98" s="32">
        <f>IF($A98="","",IF($T98="No Throw",0,IF($K98&lt;&gt;"",$K98,IF($AA98&lt;&gt;"",ROUND($AA98*$D$12*IF($C98=0,1,$G$10),0),MIN(IF($T98="Recovery/Easy Catch",Reference!$B$103,IF($T98="Long Toss",Reference!$B$106,Reference!$B$102)),MAX(Reference!$B$101,ROUND(MAX(0,$Q98-$AE98)/$AF98,0)))))))</f>
        <v>20</v>
      </c>
      <c r="AC98" s="32">
        <f t="shared" si="50"/>
        <v>0</v>
      </c>
      <c r="AD98" s="32" t="b">
        <f t="shared" si="51"/>
        <v>0</v>
      </c>
      <c r="AE98" s="32">
        <f>IF($X98=0,0,$X98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98+$Z98)/2,0),Reference!$A$17:$B$20,2,TRUE()))</f>
        <v>0</v>
      </c>
      <c r="AF98" s="32">
        <f>IF(OR($A98="",$U98="",$T98="No Throw"),0,$AM98*VLOOKUP(MAX(($V98+$W98)/2,0),Reference!$A$17:$B$20,2,TRUE()))</f>
        <v>0.6</v>
      </c>
      <c r="AG98" s="32">
        <f>IF($AC98=0,0,$AC98*INDEX(Reference!$B$61:$B$62,MATCH("Bullpen",Reference!$A$61:$A$62,0))*VLOOKUP(MAX($D$5-($D$9+$E$9)/2,0),Reference!$A$17:$B$20,2,TRUE()))</f>
        <v>0</v>
      </c>
      <c r="AH98" s="46">
        <f t="shared" si="52"/>
        <v>1.1763549426410909</v>
      </c>
      <c r="AI98" s="32">
        <f>IF($A98="",NA(),Reference!$A$25)</f>
        <v>0.8</v>
      </c>
      <c r="AJ98" s="32">
        <f t="shared" si="53"/>
        <v>1.3</v>
      </c>
      <c r="AK98" s="56">
        <f>IF(OR($A98="",N($C98)&lt;=7,$T98="No Throw",$J98="x"),0,INDEX(Reference!$B$108:$B$114,$N98+1))</f>
        <v>7.0000000000000007E-2</v>
      </c>
      <c r="AL98" s="32">
        <f t="shared" si="54"/>
        <v>1</v>
      </c>
      <c r="AM98" s="32">
        <f>IF($U98="",0,IF($AL98&gt;1,((IF(1&lt;=$AL98,($AL98-1+3)*(INDEX(Reference!$B$6:$B$11,MIN(5,MATCH(MAX(Reference!$A$6,MIN(Reference!$A$11,MIN($U98,90))),Reference!$A$6:$A$11,1)))+(MAX(Reference!$A$6,MIN(Reference!$A$11,MIN($U98,90)))-INDEX(Reference!$A$6:$A$11,MIN(5,MATCH(MAX(Reference!$A$6,MIN(Reference!$A$11,MIN($U98,90))),Reference!$A$6:$A$11,1))))*(INDEX(Reference!$B$6:$B$11,MIN(5,MATCH(MAX(Reference!$A$6,MIN(Reference!$A$11,MIN($U98,90))),Reference!$A$6:$A$11,1))+1)-INDEX(Reference!$B$6:$B$11,MIN(5,MATCH(MAX(Reference!$A$6,MIN(Reference!$A$11,MIN($U98,90))),Reference!$A$6:$A$11,1))))/(INDEX(Reference!$A$6:$A$11,MIN(5,MATCH(MAX(Reference!$A$6,MIN(Reference!$A$11,MIN($U98,90))),Reference!$A$6:$A$11,1))+1)-INDEX(Reference!$A$6:$A$11,MIN(5,MATCH(MAX(Reference!$A$6,MIN(Reference!$A$11,MIN($U98,90))),Reference!$A$6:$A$11,1))))),0)+IF(2&lt;=$AL98,($AL98-2+3)*(INDEX(Reference!$B$6:$B$11,MIN(5,MATCH(MAX(Reference!$A$6,MIN(Reference!$A$11,MIN($U98,120))),Reference!$A$6:$A$11,1)))+(MAX(Reference!$A$6,MIN(Reference!$A$11,MIN($U98,120)))-INDEX(Reference!$A$6:$A$11,MIN(5,MATCH(MAX(Reference!$A$6,MIN(Reference!$A$11,MIN($U98,120))),Reference!$A$6:$A$11,1))))*(INDEX(Reference!$B$6:$B$11,MIN(5,MATCH(MAX(Reference!$A$6,MIN(Reference!$A$11,MIN($U98,120))),Reference!$A$6:$A$11,1))+1)-INDEX(Reference!$B$6:$B$11,MIN(5,MATCH(MAX(Reference!$A$6,MIN(Reference!$A$11,MIN($U98,120))),Reference!$A$6:$A$11,1))))/(INDEX(Reference!$A$6:$A$11,MIN(5,MATCH(MAX(Reference!$A$6,MIN(Reference!$A$11,MIN($U98,120))),Reference!$A$6:$A$11,1))+1)-INDEX(Reference!$A$6:$A$11,MIN(5,MATCH(MAX(Reference!$A$6,MIN(Reference!$A$11,MIN($U98,120))),Reference!$A$6:$A$11,1))))),0)+IF(3&lt;=$AL98,($AL98-3+3)*(INDEX(Reference!$B$6:$B$11,MIN(5,MATCH(MAX(Reference!$A$6,MIN(Reference!$A$11,MIN($U98,150))),Reference!$A$6:$A$11,1)))+(MAX(Reference!$A$6,MIN(Reference!$A$11,MIN($U98,150)))-INDEX(Reference!$A$6:$A$11,MIN(5,MATCH(MAX(Reference!$A$6,MIN(Reference!$A$11,MIN($U98,150))),Reference!$A$6:$A$11,1))))*(INDEX(Reference!$B$6:$B$11,MIN(5,MATCH(MAX(Reference!$A$6,MIN(Reference!$A$11,MIN($U98,150))),Reference!$A$6:$A$11,1))+1)-INDEX(Reference!$B$6:$B$11,MIN(5,MATCH(MAX(Reference!$A$6,MIN(Reference!$A$11,MIN($U98,150))),Reference!$A$6:$A$11,1))))/(INDEX(Reference!$A$6:$A$11,MIN(5,MATCH(MAX(Reference!$A$6,MIN(Reference!$A$11,MIN($U98,150))),Reference!$A$6:$A$11,1))+1)-INDEX(Reference!$A$6:$A$11,MIN(5,MATCH(MAX(Reference!$A$6,MIN(Reference!$A$11,MIN($U98,150))),Reference!$A$6:$A$11,1))))),0)+IF(4&lt;=$AL98,($AL98-4+3)*(INDEX(Reference!$B$6:$B$11,MIN(5,MATCH(MAX(Reference!$A$6,MIN(Reference!$A$11,MIN($U98,180))),Reference!$A$6:$A$11,1)))+(MAX(Reference!$A$6,MIN(Reference!$A$11,MIN($U98,180)))-INDEX(Reference!$A$6:$A$11,MIN(5,MATCH(MAX(Reference!$A$6,MIN(Reference!$A$11,MIN($U98,180))),Reference!$A$6:$A$11,1))))*(INDEX(Reference!$B$6:$B$11,MIN(5,MATCH(MAX(Reference!$A$6,MIN(Reference!$A$11,MIN($U98,180))),Reference!$A$6:$A$11,1))+1)-INDEX(Reference!$B$6:$B$11,MIN(5,MATCH(MAX(Reference!$A$6,MIN(Reference!$A$11,MIN($U98,180))),Reference!$A$6:$A$11,1))))/(INDEX(Reference!$A$6:$A$11,MIN(5,MATCH(MAX(Reference!$A$6,MIN(Reference!$A$11,MIN($U98,180))),Reference!$A$6:$A$11,1))+1)-INDEX(Reference!$A$6:$A$11,MIN(5,MATCH(MAX(Reference!$A$6,MIN(Reference!$A$11,MIN($U98,180))),Reference!$A$6:$A$11,1))))),0)+IF(5&lt;=$AL98,($AL98-5+3)*(INDEX(Reference!$B$6:$B$11,MIN(5,MATCH(MAX(Reference!$A$6,MIN(Reference!$A$11,MIN($U98,210))),Reference!$A$6:$A$11,1)))+(MAX(Reference!$A$6,MIN(Reference!$A$11,MIN($U98,210)))-INDEX(Reference!$A$6:$A$11,MIN(5,MATCH(MAX(Reference!$A$6,MIN(Reference!$A$11,MIN($U98,210))),Reference!$A$6:$A$11,1))))*(INDEX(Reference!$B$6:$B$11,MIN(5,MATCH(MAX(Reference!$A$6,MIN(Reference!$A$11,MIN($U98,210))),Reference!$A$6:$A$11,1))+1)-INDEX(Reference!$B$6:$B$11,MIN(5,MATCH(MAX(Reference!$A$6,MIN(Reference!$A$11,MIN($U98,210))),Reference!$A$6:$A$11,1))))/(INDEX(Reference!$A$6:$A$11,MIN(5,MATCH(MAX(Reference!$A$6,MIN(Reference!$A$11,MIN($U98,210))),Reference!$A$6:$A$11,1))+1)-INDEX(Reference!$A$6:$A$11,MIN(5,MATCH(MAX(Reference!$A$6,MIN(Reference!$A$11,MIN($U98,210))),Reference!$A$6:$A$11,1))))),0)+IF(6&lt;=$AL98,($AL98-6+3)*(INDEX(Reference!$B$6:$B$11,MIN(5,MATCH(MAX(Reference!$A$6,MIN(Reference!$A$11,MIN($U98,240))),Reference!$A$6:$A$11,1)))+(MAX(Reference!$A$6,MIN(Reference!$A$11,MIN($U98,240)))-INDEX(Reference!$A$6:$A$11,MIN(5,MATCH(MAX(Reference!$A$6,MIN(Reference!$A$11,MIN($U98,240))),Reference!$A$6:$A$11,1))))*(INDEX(Reference!$B$6:$B$11,MIN(5,MATCH(MAX(Reference!$A$6,MIN(Reference!$A$11,MIN($U98,240))),Reference!$A$6:$A$11,1))+1)-INDEX(Reference!$B$6:$B$11,MIN(5,MATCH(MAX(Reference!$A$6,MIN(Reference!$A$11,MIN($U98,240))),Reference!$A$6:$A$11,1))))/(INDEX(Reference!$A$6:$A$11,MIN(5,MATCH(MAX(Reference!$A$6,MIN(Reference!$A$11,MIN($U98,240))),Reference!$A$6:$A$11,1))+1)-INDEX(Reference!$A$6:$A$11,MIN(5,MATCH(MAX(Reference!$A$6,MIN(Reference!$A$11,MIN($U98,240))),Reference!$A$6:$A$11,1))))),0)+IF(7&lt;=$AL98,($AL98-7+3)*(INDEX(Reference!$B$6:$B$11,MIN(5,MATCH(MAX(Reference!$A$6,MIN(Reference!$A$11,MIN($U98,270))),Reference!$A$6:$A$11,1)))+(MAX(Reference!$A$6,MIN(Reference!$A$11,MIN($U98,270)))-INDEX(Reference!$A$6:$A$11,MIN(5,MATCH(MAX(Reference!$A$6,MIN(Reference!$A$11,MIN($U98,270))),Reference!$A$6:$A$11,1))))*(INDEX(Reference!$B$6:$B$11,MIN(5,MATCH(MAX(Reference!$A$6,MIN(Reference!$A$11,MIN($U98,270))),Reference!$A$6:$A$11,1))+1)-INDEX(Reference!$B$6:$B$11,MIN(5,MATCH(MAX(Reference!$A$6,MIN(Reference!$A$11,MIN($U98,270))),Reference!$A$6:$A$11,1))))/(INDEX(Reference!$A$6:$A$11,MIN(5,MATCH(MAX(Reference!$A$6,MIN(Reference!$A$11,MIN($U98,270))),Reference!$A$6:$A$11,1))+1)-INDEX(Reference!$A$6:$A$11,MIN(5,MATCH(MAX(Reference!$A$6,MIN(Reference!$A$11,MIN($U98,270))),Reference!$A$6:$A$11,1))))),0)+IF(8&lt;=$AL98,($AL98-8+3)*(INDEX(Reference!$B$6:$B$11,MIN(5,MATCH(MAX(Reference!$A$6,MIN(Reference!$A$11,MIN($U98,300))),Reference!$A$6:$A$11,1)))+(MAX(Reference!$A$6,MIN(Reference!$A$11,MIN($U98,300)))-INDEX(Reference!$A$6:$A$11,MIN(5,MATCH(MAX(Reference!$A$6,MIN(Reference!$A$11,MIN($U98,300))),Reference!$A$6:$A$11,1))))*(INDEX(Reference!$B$6:$B$11,MIN(5,MATCH(MAX(Reference!$A$6,MIN(Reference!$A$11,MIN($U98,300))),Reference!$A$6:$A$11,1))+1)-INDEX(Reference!$B$6:$B$11,MIN(5,MATCH(MAX(Reference!$A$6,MIN(Reference!$A$11,MIN($U98,300))),Reference!$A$6:$A$11,1))))/(INDEX(Reference!$A$6:$A$11,MIN(5,MATCH(MAX(Reference!$A$6,MIN(Reference!$A$11,MIN($U98,300))),Reference!$A$6:$A$11,1))+1)-INDEX(Reference!$A$6:$A$11,MIN(5,MATCH(MAX(Reference!$A$6,MIN(Reference!$A$11,MIN($U98,300))),Reference!$A$6:$A$11,1))))),0))/($AL98*($AL98+5)/2)),$AN98))</f>
        <v>1</v>
      </c>
      <c r="AN98" s="32">
        <f>IF($U98="",0,(INDEX(Reference!$B$6:$B$11,MIN(5,MATCH(MAX(Reference!$A$6,MIN(Reference!$A$11,$U98)),Reference!$A$6:$A$11,1)))+(MAX(Reference!$A$6,MIN(Reference!$A$11,$U98))-INDEX(Reference!$A$6:$A$11,MIN(5,MATCH(MAX(Reference!$A$6,MIN(Reference!$A$11,$U98)),Reference!$A$6:$A$11,1))))*(INDEX(Reference!$B$6:$B$11,MIN(5,MATCH(MAX(Reference!$A$6,MIN(Reference!$A$11,$U98)),Reference!$A$6:$A$11,1))+1)-INDEX(Reference!$B$6:$B$11,MIN(5,MATCH(MAX(Reference!$A$6,MIN(Reference!$A$11,$U98)),Reference!$A$6:$A$11,1))))/(INDEX(Reference!$A$6:$A$11,MIN(5,MATCH(MAX(Reference!$A$6,MIN(Reference!$A$11,$U98)),Reference!$A$6:$A$11,1))+1)-INDEX(Reference!$A$6:$A$11,MIN(5,MATCH(MAX(Reference!$A$6,MIN(Reference!$A$11,$U98)),Reference!$A$6:$A$11,1))))))</f>
        <v>1</v>
      </c>
      <c r="AO98" s="37"/>
      <c r="AP98" s="37"/>
      <c r="AQ98" s="37"/>
    </row>
    <row r="99" spans="1:43" x14ac:dyDescent="0.3">
      <c r="A99" s="48">
        <f t="shared" si="30"/>
        <v>46363</v>
      </c>
      <c r="B99" s="32" t="str">
        <f t="shared" si="31"/>
        <v>Mon</v>
      </c>
      <c r="C99" s="32">
        <f t="shared" si="32"/>
        <v>28</v>
      </c>
      <c r="D99" s="32" t="str">
        <f t="shared" si="33"/>
        <v>Flat Ground / Intent</v>
      </c>
      <c r="E99" s="32" t="str">
        <f t="shared" si="34"/>
        <v>Low</v>
      </c>
      <c r="F99" s="32" t="str">
        <f t="shared" si="35"/>
        <v>Recovery/Easy Catch</v>
      </c>
      <c r="G99" s="47" t="str">
        <f t="shared" si="36"/>
        <v>75 ft × 33 @ 69–73 mph</v>
      </c>
      <c r="H99" s="30">
        <f t="shared" si="37"/>
        <v>22.77</v>
      </c>
      <c r="I99" s="46">
        <f>IF($A99="","",IF(AND($L99&lt;27,$K$12=0),"Building",IFERROR(((SUM($H$93:$H99)+$K$12*IF($L99&lt;6,SUMIFS('Throw Log'!$Q$5:$Q$300,'Throw Log'!$B$5:$B$300,$D$4,'Throw Log'!$A$5:$A$300,"&gt;="&amp;($D$6+$L99-6),'Throw Log'!$A$5:$A$300,"&lt;="&amp;($D$6-1)),0))/7)/((SUM($H$72:$H99)+$K$12*IF($L99&lt;27,SUMIFS('Throw Log'!$Q$5:$Q$300,'Throw Log'!$B$5:$B$300,$D$4,'Throw Log'!$A$5:$A$300,"&gt;="&amp;($D$6+$L99-27),'Throw Log'!$A$5:$A$300,"&lt;="&amp;($D$6-1)),0))/28),"")))</f>
        <v>1.2235767431411864</v>
      </c>
      <c r="J99" s="37"/>
      <c r="K99" s="37"/>
      <c r="L99" s="32">
        <v>56</v>
      </c>
      <c r="M99" s="32">
        <f t="shared" si="38"/>
        <v>9</v>
      </c>
      <c r="N99" s="32">
        <f t="shared" si="39"/>
        <v>0</v>
      </c>
      <c r="O99" s="32">
        <f t="shared" si="40"/>
        <v>0.73684210526315785</v>
      </c>
      <c r="P99" s="32">
        <f>IF(OR($A99="",N($C99)&lt;=7),"",$G$6*$G$9^($M99-1)*IF(AND(MOD($M99,Reference!$B$99)=0,$M99&lt;=$G$5-2),Reference!$B$100,1))</f>
        <v>205.39822006322521</v>
      </c>
      <c r="Q99" s="32">
        <f>IF($P99="","",IF(SUM($AK$99:$AK$105)=0,0,$P99*INDEX(Reference!$B$108:$B$114,$N99+1)/SUM($AK$99:$AK$105)))</f>
        <v>23.035314399614041</v>
      </c>
      <c r="R99" s="32">
        <f t="shared" si="41"/>
        <v>180</v>
      </c>
      <c r="S99" s="32">
        <f t="shared" si="42"/>
        <v>150</v>
      </c>
      <c r="T99" s="32" t="str">
        <f>IF($A99="","",IF($C99=0,"Bullpen",IF(OR($C99=7,$C99=1,$C99=5),"Recovery/Easy Catch",IF($C99=6,"Compression/Pulldowns",IF(OR($C99=4,$C99=2),"Long Toss",IF($C99=3,"No Throw",IF($N99=2,"No Throw",IF($N99=6,IF($O99&lt;Reference!$B$104,"No Throw","Recovery/Easy Catch"),IF(OR($N99=0,$N99=4),"Recovery/Easy Catch",IF($N99=1,IF($R99&gt;75,"Long Toss","Recovery/Easy Catch"),IF($N99=3,IF($O99&lt;0.5,IF($S99&gt;75,"Long Toss","Recovery/Easy Catch"),"Compression/Pulldowns"),IF($S99&gt;75,"Long Toss","Recovery/Easy Catch"))))))))))))</f>
        <v>Recovery/Easy Catch</v>
      </c>
      <c r="U99" s="32">
        <f t="shared" si="43"/>
        <v>75</v>
      </c>
      <c r="V99" s="32">
        <f t="shared" si="44"/>
        <v>18</v>
      </c>
      <c r="W99" s="32">
        <f t="shared" si="45"/>
        <v>22</v>
      </c>
      <c r="X99" s="32">
        <f t="shared" si="46"/>
        <v>0</v>
      </c>
      <c r="Y99" s="32" t="str">
        <f t="shared" si="47"/>
        <v/>
      </c>
      <c r="Z99" s="32" t="str">
        <f t="shared" si="48"/>
        <v/>
      </c>
      <c r="AA99" s="32" t="str">
        <f t="shared" si="49"/>
        <v/>
      </c>
      <c r="AB99" s="32">
        <f>IF($A99="","",IF($T99="No Throw",0,IF($K99&lt;&gt;"",$K99,IF($AA99&lt;&gt;"",ROUND($AA99*$D$12*IF($C99=0,1,$G$10),0),MIN(IF($T99="Recovery/Easy Catch",Reference!$B$103,IF($T99="Long Toss",Reference!$B$106,Reference!$B$102)),MAX(Reference!$B$101,ROUND(MAX(0,$Q99-$AE99)/$AF99,0)))))))</f>
        <v>33</v>
      </c>
      <c r="AC99" s="32">
        <f t="shared" si="50"/>
        <v>0</v>
      </c>
      <c r="AD99" s="32" t="b">
        <f t="shared" si="51"/>
        <v>0</v>
      </c>
      <c r="AE99" s="32">
        <f>IF($X99=0,0,$X99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99+$Z99)/2,0),Reference!$A$17:$B$20,2,TRUE()))</f>
        <v>0</v>
      </c>
      <c r="AF99" s="32">
        <f>IF(OR($A99="",$U99="",$T99="No Throw"),0,$AM99*VLOOKUP(MAX(($V99+$W99)/2,0),Reference!$A$17:$B$20,2,TRUE()))</f>
        <v>0.69</v>
      </c>
      <c r="AG99" s="32">
        <f>IF($AC99=0,0,$AC99*INDEX(Reference!$B$61:$B$62,MATCH("Bullpen",Reference!$A$61:$A$62,0))*VLOOKUP(MAX($D$5-($D$9+$E$9)/2,0),Reference!$A$17:$B$20,2,TRUE()))</f>
        <v>0</v>
      </c>
      <c r="AH99" s="46">
        <f t="shared" si="52"/>
        <v>1.2235767431411864</v>
      </c>
      <c r="AI99" s="32">
        <f>IF($A99="",NA(),Reference!$A$25)</f>
        <v>0.8</v>
      </c>
      <c r="AJ99" s="32">
        <f t="shared" si="53"/>
        <v>1.3</v>
      </c>
      <c r="AK99" s="56">
        <f>IF(OR($A99="",N($C99)&lt;=7,$T99="No Throw",$J99="x"),0,INDEX(Reference!$B$108:$B$114,$N99+1))</f>
        <v>0.12</v>
      </c>
      <c r="AL99" s="32">
        <f t="shared" si="54"/>
        <v>1</v>
      </c>
      <c r="AM99" s="32">
        <f>IF($U99="",0,IF($AL99&gt;1,((IF(1&lt;=$AL99,($AL99-1+3)*(INDEX(Reference!$B$6:$B$11,MIN(5,MATCH(MAX(Reference!$A$6,MIN(Reference!$A$11,MIN($U99,90))),Reference!$A$6:$A$11,1)))+(MAX(Reference!$A$6,MIN(Reference!$A$11,MIN($U99,90)))-INDEX(Reference!$A$6:$A$11,MIN(5,MATCH(MAX(Reference!$A$6,MIN(Reference!$A$11,MIN($U99,90))),Reference!$A$6:$A$11,1))))*(INDEX(Reference!$B$6:$B$11,MIN(5,MATCH(MAX(Reference!$A$6,MIN(Reference!$A$11,MIN($U99,90))),Reference!$A$6:$A$11,1))+1)-INDEX(Reference!$B$6:$B$11,MIN(5,MATCH(MAX(Reference!$A$6,MIN(Reference!$A$11,MIN($U99,90))),Reference!$A$6:$A$11,1))))/(INDEX(Reference!$A$6:$A$11,MIN(5,MATCH(MAX(Reference!$A$6,MIN(Reference!$A$11,MIN($U99,90))),Reference!$A$6:$A$11,1))+1)-INDEX(Reference!$A$6:$A$11,MIN(5,MATCH(MAX(Reference!$A$6,MIN(Reference!$A$11,MIN($U99,90))),Reference!$A$6:$A$11,1))))),0)+IF(2&lt;=$AL99,($AL99-2+3)*(INDEX(Reference!$B$6:$B$11,MIN(5,MATCH(MAX(Reference!$A$6,MIN(Reference!$A$11,MIN($U99,120))),Reference!$A$6:$A$11,1)))+(MAX(Reference!$A$6,MIN(Reference!$A$11,MIN($U99,120)))-INDEX(Reference!$A$6:$A$11,MIN(5,MATCH(MAX(Reference!$A$6,MIN(Reference!$A$11,MIN($U99,120))),Reference!$A$6:$A$11,1))))*(INDEX(Reference!$B$6:$B$11,MIN(5,MATCH(MAX(Reference!$A$6,MIN(Reference!$A$11,MIN($U99,120))),Reference!$A$6:$A$11,1))+1)-INDEX(Reference!$B$6:$B$11,MIN(5,MATCH(MAX(Reference!$A$6,MIN(Reference!$A$11,MIN($U99,120))),Reference!$A$6:$A$11,1))))/(INDEX(Reference!$A$6:$A$11,MIN(5,MATCH(MAX(Reference!$A$6,MIN(Reference!$A$11,MIN($U99,120))),Reference!$A$6:$A$11,1))+1)-INDEX(Reference!$A$6:$A$11,MIN(5,MATCH(MAX(Reference!$A$6,MIN(Reference!$A$11,MIN($U99,120))),Reference!$A$6:$A$11,1))))),0)+IF(3&lt;=$AL99,($AL99-3+3)*(INDEX(Reference!$B$6:$B$11,MIN(5,MATCH(MAX(Reference!$A$6,MIN(Reference!$A$11,MIN($U99,150))),Reference!$A$6:$A$11,1)))+(MAX(Reference!$A$6,MIN(Reference!$A$11,MIN($U99,150)))-INDEX(Reference!$A$6:$A$11,MIN(5,MATCH(MAX(Reference!$A$6,MIN(Reference!$A$11,MIN($U99,150))),Reference!$A$6:$A$11,1))))*(INDEX(Reference!$B$6:$B$11,MIN(5,MATCH(MAX(Reference!$A$6,MIN(Reference!$A$11,MIN($U99,150))),Reference!$A$6:$A$11,1))+1)-INDEX(Reference!$B$6:$B$11,MIN(5,MATCH(MAX(Reference!$A$6,MIN(Reference!$A$11,MIN($U99,150))),Reference!$A$6:$A$11,1))))/(INDEX(Reference!$A$6:$A$11,MIN(5,MATCH(MAX(Reference!$A$6,MIN(Reference!$A$11,MIN($U99,150))),Reference!$A$6:$A$11,1))+1)-INDEX(Reference!$A$6:$A$11,MIN(5,MATCH(MAX(Reference!$A$6,MIN(Reference!$A$11,MIN($U99,150))),Reference!$A$6:$A$11,1))))),0)+IF(4&lt;=$AL99,($AL99-4+3)*(INDEX(Reference!$B$6:$B$11,MIN(5,MATCH(MAX(Reference!$A$6,MIN(Reference!$A$11,MIN($U99,180))),Reference!$A$6:$A$11,1)))+(MAX(Reference!$A$6,MIN(Reference!$A$11,MIN($U99,180)))-INDEX(Reference!$A$6:$A$11,MIN(5,MATCH(MAX(Reference!$A$6,MIN(Reference!$A$11,MIN($U99,180))),Reference!$A$6:$A$11,1))))*(INDEX(Reference!$B$6:$B$11,MIN(5,MATCH(MAX(Reference!$A$6,MIN(Reference!$A$11,MIN($U99,180))),Reference!$A$6:$A$11,1))+1)-INDEX(Reference!$B$6:$B$11,MIN(5,MATCH(MAX(Reference!$A$6,MIN(Reference!$A$11,MIN($U99,180))),Reference!$A$6:$A$11,1))))/(INDEX(Reference!$A$6:$A$11,MIN(5,MATCH(MAX(Reference!$A$6,MIN(Reference!$A$11,MIN($U99,180))),Reference!$A$6:$A$11,1))+1)-INDEX(Reference!$A$6:$A$11,MIN(5,MATCH(MAX(Reference!$A$6,MIN(Reference!$A$11,MIN($U99,180))),Reference!$A$6:$A$11,1))))),0)+IF(5&lt;=$AL99,($AL99-5+3)*(INDEX(Reference!$B$6:$B$11,MIN(5,MATCH(MAX(Reference!$A$6,MIN(Reference!$A$11,MIN($U99,210))),Reference!$A$6:$A$11,1)))+(MAX(Reference!$A$6,MIN(Reference!$A$11,MIN($U99,210)))-INDEX(Reference!$A$6:$A$11,MIN(5,MATCH(MAX(Reference!$A$6,MIN(Reference!$A$11,MIN($U99,210))),Reference!$A$6:$A$11,1))))*(INDEX(Reference!$B$6:$B$11,MIN(5,MATCH(MAX(Reference!$A$6,MIN(Reference!$A$11,MIN($U99,210))),Reference!$A$6:$A$11,1))+1)-INDEX(Reference!$B$6:$B$11,MIN(5,MATCH(MAX(Reference!$A$6,MIN(Reference!$A$11,MIN($U99,210))),Reference!$A$6:$A$11,1))))/(INDEX(Reference!$A$6:$A$11,MIN(5,MATCH(MAX(Reference!$A$6,MIN(Reference!$A$11,MIN($U99,210))),Reference!$A$6:$A$11,1))+1)-INDEX(Reference!$A$6:$A$11,MIN(5,MATCH(MAX(Reference!$A$6,MIN(Reference!$A$11,MIN($U99,210))),Reference!$A$6:$A$11,1))))),0)+IF(6&lt;=$AL99,($AL99-6+3)*(INDEX(Reference!$B$6:$B$11,MIN(5,MATCH(MAX(Reference!$A$6,MIN(Reference!$A$11,MIN($U99,240))),Reference!$A$6:$A$11,1)))+(MAX(Reference!$A$6,MIN(Reference!$A$11,MIN($U99,240)))-INDEX(Reference!$A$6:$A$11,MIN(5,MATCH(MAX(Reference!$A$6,MIN(Reference!$A$11,MIN($U99,240))),Reference!$A$6:$A$11,1))))*(INDEX(Reference!$B$6:$B$11,MIN(5,MATCH(MAX(Reference!$A$6,MIN(Reference!$A$11,MIN($U99,240))),Reference!$A$6:$A$11,1))+1)-INDEX(Reference!$B$6:$B$11,MIN(5,MATCH(MAX(Reference!$A$6,MIN(Reference!$A$11,MIN($U99,240))),Reference!$A$6:$A$11,1))))/(INDEX(Reference!$A$6:$A$11,MIN(5,MATCH(MAX(Reference!$A$6,MIN(Reference!$A$11,MIN($U99,240))),Reference!$A$6:$A$11,1))+1)-INDEX(Reference!$A$6:$A$11,MIN(5,MATCH(MAX(Reference!$A$6,MIN(Reference!$A$11,MIN($U99,240))),Reference!$A$6:$A$11,1))))),0)+IF(7&lt;=$AL99,($AL99-7+3)*(INDEX(Reference!$B$6:$B$11,MIN(5,MATCH(MAX(Reference!$A$6,MIN(Reference!$A$11,MIN($U99,270))),Reference!$A$6:$A$11,1)))+(MAX(Reference!$A$6,MIN(Reference!$A$11,MIN($U99,270)))-INDEX(Reference!$A$6:$A$11,MIN(5,MATCH(MAX(Reference!$A$6,MIN(Reference!$A$11,MIN($U99,270))),Reference!$A$6:$A$11,1))))*(INDEX(Reference!$B$6:$B$11,MIN(5,MATCH(MAX(Reference!$A$6,MIN(Reference!$A$11,MIN($U99,270))),Reference!$A$6:$A$11,1))+1)-INDEX(Reference!$B$6:$B$11,MIN(5,MATCH(MAX(Reference!$A$6,MIN(Reference!$A$11,MIN($U99,270))),Reference!$A$6:$A$11,1))))/(INDEX(Reference!$A$6:$A$11,MIN(5,MATCH(MAX(Reference!$A$6,MIN(Reference!$A$11,MIN($U99,270))),Reference!$A$6:$A$11,1))+1)-INDEX(Reference!$A$6:$A$11,MIN(5,MATCH(MAX(Reference!$A$6,MIN(Reference!$A$11,MIN($U99,270))),Reference!$A$6:$A$11,1))))),0)+IF(8&lt;=$AL99,($AL99-8+3)*(INDEX(Reference!$B$6:$B$11,MIN(5,MATCH(MAX(Reference!$A$6,MIN(Reference!$A$11,MIN($U99,300))),Reference!$A$6:$A$11,1)))+(MAX(Reference!$A$6,MIN(Reference!$A$11,MIN($U99,300)))-INDEX(Reference!$A$6:$A$11,MIN(5,MATCH(MAX(Reference!$A$6,MIN(Reference!$A$11,MIN($U99,300))),Reference!$A$6:$A$11,1))))*(INDEX(Reference!$B$6:$B$11,MIN(5,MATCH(MAX(Reference!$A$6,MIN(Reference!$A$11,MIN($U99,300))),Reference!$A$6:$A$11,1))+1)-INDEX(Reference!$B$6:$B$11,MIN(5,MATCH(MAX(Reference!$A$6,MIN(Reference!$A$11,MIN($U99,300))),Reference!$A$6:$A$11,1))))/(INDEX(Reference!$A$6:$A$11,MIN(5,MATCH(MAX(Reference!$A$6,MIN(Reference!$A$11,MIN($U99,300))),Reference!$A$6:$A$11,1))+1)-INDEX(Reference!$A$6:$A$11,MIN(5,MATCH(MAX(Reference!$A$6,MIN(Reference!$A$11,MIN($U99,300))),Reference!$A$6:$A$11,1))))),0))/($AL99*($AL99+5)/2)),$AN99))</f>
        <v>1.1499999999999999</v>
      </c>
      <c r="AN99" s="32">
        <f>IF($U99="",0,(INDEX(Reference!$B$6:$B$11,MIN(5,MATCH(MAX(Reference!$A$6,MIN(Reference!$A$11,$U99)),Reference!$A$6:$A$11,1)))+(MAX(Reference!$A$6,MIN(Reference!$A$11,$U99))-INDEX(Reference!$A$6:$A$11,MIN(5,MATCH(MAX(Reference!$A$6,MIN(Reference!$A$11,$U99)),Reference!$A$6:$A$11,1))))*(INDEX(Reference!$B$6:$B$11,MIN(5,MATCH(MAX(Reference!$A$6,MIN(Reference!$A$11,$U99)),Reference!$A$6:$A$11,1))+1)-INDEX(Reference!$B$6:$B$11,MIN(5,MATCH(MAX(Reference!$A$6,MIN(Reference!$A$11,$U99)),Reference!$A$6:$A$11,1))))/(INDEX(Reference!$A$6:$A$11,MIN(5,MATCH(MAX(Reference!$A$6,MIN(Reference!$A$11,$U99)),Reference!$A$6:$A$11,1))+1)-INDEX(Reference!$A$6:$A$11,MIN(5,MATCH(MAX(Reference!$A$6,MIN(Reference!$A$11,$U99)),Reference!$A$6:$A$11,1))))))</f>
        <v>1.1499999999999999</v>
      </c>
      <c r="AO99" s="37"/>
      <c r="AP99" s="37"/>
      <c r="AQ99" s="37"/>
    </row>
    <row r="100" spans="1:43" ht="26.4" x14ac:dyDescent="0.3">
      <c r="A100" s="48">
        <f t="shared" si="30"/>
        <v>46364</v>
      </c>
      <c r="B100" s="32" t="str">
        <f t="shared" si="31"/>
        <v>Tue</v>
      </c>
      <c r="C100" s="32">
        <f t="shared" si="32"/>
        <v>27</v>
      </c>
      <c r="D100" s="32" t="str">
        <f t="shared" si="33"/>
        <v>Flat Ground / Intent</v>
      </c>
      <c r="E100" s="32" t="str">
        <f t="shared" si="34"/>
        <v>High Non-Bullpen</v>
      </c>
      <c r="F100" s="32" t="str">
        <f t="shared" si="35"/>
        <v>Long Toss</v>
      </c>
      <c r="G100" s="47" t="str">
        <f t="shared" si="36"/>
        <v>Long toss out to 180 ft — 38 throws (90×13 · 120×10 · 150×9 · 180×6) @ 79–81 mph + 60 ft × 15 @ 79–81 mph</v>
      </c>
      <c r="H100" s="30">
        <f t="shared" si="37"/>
        <v>51.433333333333337</v>
      </c>
      <c r="I100" s="46">
        <f>IF($A100="","",IF(AND($L100&lt;27,$K$12=0),"Building",IFERROR(((SUM($H$94:$H100)+$K$12*IF($L100&lt;6,SUMIFS('Throw Log'!$Q$5:$Q$300,'Throw Log'!$B$5:$B$300,$D$4,'Throw Log'!$A$5:$A$300,"&gt;="&amp;($D$6+$L100-6),'Throw Log'!$A$5:$A$300,"&lt;="&amp;($D$6-1)),0))/7)/((SUM($H$73:$H100)+$K$12*IF($L100&lt;27,SUMIFS('Throw Log'!$Q$5:$Q$300,'Throw Log'!$B$5:$B$300,$D$4,'Throw Log'!$A$5:$A$300,"&gt;="&amp;($D$6+$L100-27),'Throw Log'!$A$5:$A$300,"&lt;="&amp;($D$6-1)),0))/28),"")))</f>
        <v>1.2657053458104375</v>
      </c>
      <c r="J100" s="37"/>
      <c r="K100" s="37"/>
      <c r="L100" s="32">
        <v>57</v>
      </c>
      <c r="M100" s="32">
        <f t="shared" si="38"/>
        <v>9</v>
      </c>
      <c r="N100" s="32">
        <f t="shared" si="39"/>
        <v>1</v>
      </c>
      <c r="O100" s="32">
        <f t="shared" si="40"/>
        <v>0.75</v>
      </c>
      <c r="P100" s="32">
        <f>IF(OR($A100="",N($C100)&lt;=7),"",$G$6*$G$9^($M100-1)*IF(AND(MOD($M100,Reference!$B$99)=0,$M100&lt;=$G$5-2),Reference!$B$100,1))</f>
        <v>205.39822006322521</v>
      </c>
      <c r="Q100" s="32">
        <f>IF($P100="","",IF(SUM($AK$99:$AK$105)=0,0,$P100*INDEX(Reference!$B$108:$B$114,$N100+1)/SUM($AK$99:$AK$105)))</f>
        <v>51.829457399131599</v>
      </c>
      <c r="R100" s="32">
        <f t="shared" si="41"/>
        <v>180</v>
      </c>
      <c r="S100" s="32">
        <f t="shared" si="42"/>
        <v>150</v>
      </c>
      <c r="T100" s="32" t="str">
        <f>IF($A100="","",IF($C100=0,"Bullpen",IF(OR($C100=7,$C100=1,$C100=5),"Recovery/Easy Catch",IF($C100=6,"Compression/Pulldowns",IF(OR($C100=4,$C100=2),"Long Toss",IF($C100=3,"No Throw",IF($N100=2,"No Throw",IF($N100=6,IF($O100&lt;Reference!$B$104,"No Throw","Recovery/Easy Catch"),IF(OR($N100=0,$N100=4),"Recovery/Easy Catch",IF($N100=1,IF($R100&gt;75,"Long Toss","Recovery/Easy Catch"),IF($N100=3,IF($O100&lt;0.5,IF($S100&gt;75,"Long Toss","Recovery/Easy Catch"),"Compression/Pulldowns"),IF($S100&gt;75,"Long Toss","Recovery/Easy Catch"))))))))))))</f>
        <v>Long Toss</v>
      </c>
      <c r="U100" s="32">
        <f t="shared" si="43"/>
        <v>180</v>
      </c>
      <c r="V100" s="32">
        <f t="shared" si="44"/>
        <v>10</v>
      </c>
      <c r="W100" s="32">
        <f t="shared" si="45"/>
        <v>12</v>
      </c>
      <c r="X100" s="32">
        <f t="shared" si="46"/>
        <v>15</v>
      </c>
      <c r="Y100" s="32">
        <f t="shared" si="47"/>
        <v>10</v>
      </c>
      <c r="Z100" s="32">
        <f t="shared" si="48"/>
        <v>12</v>
      </c>
      <c r="AA100" s="32" t="str">
        <f t="shared" si="49"/>
        <v/>
      </c>
      <c r="AB100" s="32">
        <f>IF($A100="","",IF($T100="No Throw",0,IF($K100&lt;&gt;"",$K100,IF($AA100&lt;&gt;"",ROUND($AA100*$D$12*IF($C100=0,1,$G$10),0),MIN(IF($T100="Recovery/Easy Catch",Reference!$B$103,IF($T100="Long Toss",Reference!$B$106,Reference!$B$102)),MAX(Reference!$B$101,ROUND(MAX(0,$Q100-$AE100)/$AF100,0)))))))</f>
        <v>38</v>
      </c>
      <c r="AC100" s="32">
        <f t="shared" si="50"/>
        <v>0</v>
      </c>
      <c r="AD100" s="32" t="b">
        <f t="shared" si="51"/>
        <v>0</v>
      </c>
      <c r="AE100" s="32">
        <f>IF($X100=0,0,$X100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100+$Z100)/2,0),Reference!$A$17:$B$20,2,TRUE()))</f>
        <v>9</v>
      </c>
      <c r="AF100" s="32">
        <f>IF(OR($A100="",$U100="",$T100="No Throw"),0,$AM100*VLOOKUP(MAX(($V100+$W100)/2,0),Reference!$A$17:$B$20,2,TRUE()))</f>
        <v>1.1166666666666667</v>
      </c>
      <c r="AG100" s="32">
        <f>IF($AC100=0,0,$AC100*INDEX(Reference!$B$61:$B$62,MATCH("Bullpen",Reference!$A$61:$A$62,0))*VLOOKUP(MAX($D$5-($D$9+$E$9)/2,0),Reference!$A$17:$B$20,2,TRUE()))</f>
        <v>0</v>
      </c>
      <c r="AH100" s="46">
        <f t="shared" si="52"/>
        <v>1.2657053458104375</v>
      </c>
      <c r="AI100" s="32">
        <f>IF($A100="",NA(),Reference!$A$25)</f>
        <v>0.8</v>
      </c>
      <c r="AJ100" s="32">
        <f t="shared" si="53"/>
        <v>1.3</v>
      </c>
      <c r="AK100" s="56">
        <f>IF(OR($A100="",N($C100)&lt;=7,$T100="No Throw",$J100="x"),0,INDEX(Reference!$B$108:$B$114,$N100+1))</f>
        <v>0.27</v>
      </c>
      <c r="AL100" s="32">
        <f t="shared" si="54"/>
        <v>4</v>
      </c>
      <c r="AM100" s="32">
        <f>IF($U100="",0,IF($AL100&gt;1,((IF(1&lt;=$AL100,($AL100-1+3)*(INDEX(Reference!$B$6:$B$11,MIN(5,MATCH(MAX(Reference!$A$6,MIN(Reference!$A$11,MIN($U100,90))),Reference!$A$6:$A$11,1)))+(MAX(Reference!$A$6,MIN(Reference!$A$11,MIN($U100,90)))-INDEX(Reference!$A$6:$A$11,MIN(5,MATCH(MAX(Reference!$A$6,MIN(Reference!$A$11,MIN($U100,90))),Reference!$A$6:$A$11,1))))*(INDEX(Reference!$B$6:$B$11,MIN(5,MATCH(MAX(Reference!$A$6,MIN(Reference!$A$11,MIN($U100,90))),Reference!$A$6:$A$11,1))+1)-INDEX(Reference!$B$6:$B$11,MIN(5,MATCH(MAX(Reference!$A$6,MIN(Reference!$A$11,MIN($U100,90))),Reference!$A$6:$A$11,1))))/(INDEX(Reference!$A$6:$A$11,MIN(5,MATCH(MAX(Reference!$A$6,MIN(Reference!$A$11,MIN($U100,90))),Reference!$A$6:$A$11,1))+1)-INDEX(Reference!$A$6:$A$11,MIN(5,MATCH(MAX(Reference!$A$6,MIN(Reference!$A$11,MIN($U100,90))),Reference!$A$6:$A$11,1))))),0)+IF(2&lt;=$AL100,($AL100-2+3)*(INDEX(Reference!$B$6:$B$11,MIN(5,MATCH(MAX(Reference!$A$6,MIN(Reference!$A$11,MIN($U100,120))),Reference!$A$6:$A$11,1)))+(MAX(Reference!$A$6,MIN(Reference!$A$11,MIN($U100,120)))-INDEX(Reference!$A$6:$A$11,MIN(5,MATCH(MAX(Reference!$A$6,MIN(Reference!$A$11,MIN($U100,120))),Reference!$A$6:$A$11,1))))*(INDEX(Reference!$B$6:$B$11,MIN(5,MATCH(MAX(Reference!$A$6,MIN(Reference!$A$11,MIN($U100,120))),Reference!$A$6:$A$11,1))+1)-INDEX(Reference!$B$6:$B$11,MIN(5,MATCH(MAX(Reference!$A$6,MIN(Reference!$A$11,MIN($U100,120))),Reference!$A$6:$A$11,1))))/(INDEX(Reference!$A$6:$A$11,MIN(5,MATCH(MAX(Reference!$A$6,MIN(Reference!$A$11,MIN($U100,120))),Reference!$A$6:$A$11,1))+1)-INDEX(Reference!$A$6:$A$11,MIN(5,MATCH(MAX(Reference!$A$6,MIN(Reference!$A$11,MIN($U100,120))),Reference!$A$6:$A$11,1))))),0)+IF(3&lt;=$AL100,($AL100-3+3)*(INDEX(Reference!$B$6:$B$11,MIN(5,MATCH(MAX(Reference!$A$6,MIN(Reference!$A$11,MIN($U100,150))),Reference!$A$6:$A$11,1)))+(MAX(Reference!$A$6,MIN(Reference!$A$11,MIN($U100,150)))-INDEX(Reference!$A$6:$A$11,MIN(5,MATCH(MAX(Reference!$A$6,MIN(Reference!$A$11,MIN($U100,150))),Reference!$A$6:$A$11,1))))*(INDEX(Reference!$B$6:$B$11,MIN(5,MATCH(MAX(Reference!$A$6,MIN(Reference!$A$11,MIN($U100,150))),Reference!$A$6:$A$11,1))+1)-INDEX(Reference!$B$6:$B$11,MIN(5,MATCH(MAX(Reference!$A$6,MIN(Reference!$A$11,MIN($U100,150))),Reference!$A$6:$A$11,1))))/(INDEX(Reference!$A$6:$A$11,MIN(5,MATCH(MAX(Reference!$A$6,MIN(Reference!$A$11,MIN($U100,150))),Reference!$A$6:$A$11,1))+1)-INDEX(Reference!$A$6:$A$11,MIN(5,MATCH(MAX(Reference!$A$6,MIN(Reference!$A$11,MIN($U100,150))),Reference!$A$6:$A$11,1))))),0)+IF(4&lt;=$AL100,($AL100-4+3)*(INDEX(Reference!$B$6:$B$11,MIN(5,MATCH(MAX(Reference!$A$6,MIN(Reference!$A$11,MIN($U100,180))),Reference!$A$6:$A$11,1)))+(MAX(Reference!$A$6,MIN(Reference!$A$11,MIN($U100,180)))-INDEX(Reference!$A$6:$A$11,MIN(5,MATCH(MAX(Reference!$A$6,MIN(Reference!$A$11,MIN($U100,180))),Reference!$A$6:$A$11,1))))*(INDEX(Reference!$B$6:$B$11,MIN(5,MATCH(MAX(Reference!$A$6,MIN(Reference!$A$11,MIN($U100,180))),Reference!$A$6:$A$11,1))+1)-INDEX(Reference!$B$6:$B$11,MIN(5,MATCH(MAX(Reference!$A$6,MIN(Reference!$A$11,MIN($U100,180))),Reference!$A$6:$A$11,1))))/(INDEX(Reference!$A$6:$A$11,MIN(5,MATCH(MAX(Reference!$A$6,MIN(Reference!$A$11,MIN($U100,180))),Reference!$A$6:$A$11,1))+1)-INDEX(Reference!$A$6:$A$11,MIN(5,MATCH(MAX(Reference!$A$6,MIN(Reference!$A$11,MIN($U100,180))),Reference!$A$6:$A$11,1))))),0)+IF(5&lt;=$AL100,($AL100-5+3)*(INDEX(Reference!$B$6:$B$11,MIN(5,MATCH(MAX(Reference!$A$6,MIN(Reference!$A$11,MIN($U100,210))),Reference!$A$6:$A$11,1)))+(MAX(Reference!$A$6,MIN(Reference!$A$11,MIN($U100,210)))-INDEX(Reference!$A$6:$A$11,MIN(5,MATCH(MAX(Reference!$A$6,MIN(Reference!$A$11,MIN($U100,210))),Reference!$A$6:$A$11,1))))*(INDEX(Reference!$B$6:$B$11,MIN(5,MATCH(MAX(Reference!$A$6,MIN(Reference!$A$11,MIN($U100,210))),Reference!$A$6:$A$11,1))+1)-INDEX(Reference!$B$6:$B$11,MIN(5,MATCH(MAX(Reference!$A$6,MIN(Reference!$A$11,MIN($U100,210))),Reference!$A$6:$A$11,1))))/(INDEX(Reference!$A$6:$A$11,MIN(5,MATCH(MAX(Reference!$A$6,MIN(Reference!$A$11,MIN($U100,210))),Reference!$A$6:$A$11,1))+1)-INDEX(Reference!$A$6:$A$11,MIN(5,MATCH(MAX(Reference!$A$6,MIN(Reference!$A$11,MIN($U100,210))),Reference!$A$6:$A$11,1))))),0)+IF(6&lt;=$AL100,($AL100-6+3)*(INDEX(Reference!$B$6:$B$11,MIN(5,MATCH(MAX(Reference!$A$6,MIN(Reference!$A$11,MIN($U100,240))),Reference!$A$6:$A$11,1)))+(MAX(Reference!$A$6,MIN(Reference!$A$11,MIN($U100,240)))-INDEX(Reference!$A$6:$A$11,MIN(5,MATCH(MAX(Reference!$A$6,MIN(Reference!$A$11,MIN($U100,240))),Reference!$A$6:$A$11,1))))*(INDEX(Reference!$B$6:$B$11,MIN(5,MATCH(MAX(Reference!$A$6,MIN(Reference!$A$11,MIN($U100,240))),Reference!$A$6:$A$11,1))+1)-INDEX(Reference!$B$6:$B$11,MIN(5,MATCH(MAX(Reference!$A$6,MIN(Reference!$A$11,MIN($U100,240))),Reference!$A$6:$A$11,1))))/(INDEX(Reference!$A$6:$A$11,MIN(5,MATCH(MAX(Reference!$A$6,MIN(Reference!$A$11,MIN($U100,240))),Reference!$A$6:$A$11,1))+1)-INDEX(Reference!$A$6:$A$11,MIN(5,MATCH(MAX(Reference!$A$6,MIN(Reference!$A$11,MIN($U100,240))),Reference!$A$6:$A$11,1))))),0)+IF(7&lt;=$AL100,($AL100-7+3)*(INDEX(Reference!$B$6:$B$11,MIN(5,MATCH(MAX(Reference!$A$6,MIN(Reference!$A$11,MIN($U100,270))),Reference!$A$6:$A$11,1)))+(MAX(Reference!$A$6,MIN(Reference!$A$11,MIN($U100,270)))-INDEX(Reference!$A$6:$A$11,MIN(5,MATCH(MAX(Reference!$A$6,MIN(Reference!$A$11,MIN($U100,270))),Reference!$A$6:$A$11,1))))*(INDEX(Reference!$B$6:$B$11,MIN(5,MATCH(MAX(Reference!$A$6,MIN(Reference!$A$11,MIN($U100,270))),Reference!$A$6:$A$11,1))+1)-INDEX(Reference!$B$6:$B$11,MIN(5,MATCH(MAX(Reference!$A$6,MIN(Reference!$A$11,MIN($U100,270))),Reference!$A$6:$A$11,1))))/(INDEX(Reference!$A$6:$A$11,MIN(5,MATCH(MAX(Reference!$A$6,MIN(Reference!$A$11,MIN($U100,270))),Reference!$A$6:$A$11,1))+1)-INDEX(Reference!$A$6:$A$11,MIN(5,MATCH(MAX(Reference!$A$6,MIN(Reference!$A$11,MIN($U100,270))),Reference!$A$6:$A$11,1))))),0)+IF(8&lt;=$AL100,($AL100-8+3)*(INDEX(Reference!$B$6:$B$11,MIN(5,MATCH(MAX(Reference!$A$6,MIN(Reference!$A$11,MIN($U100,300))),Reference!$A$6:$A$11,1)))+(MAX(Reference!$A$6,MIN(Reference!$A$11,MIN($U100,300)))-INDEX(Reference!$A$6:$A$11,MIN(5,MATCH(MAX(Reference!$A$6,MIN(Reference!$A$11,MIN($U100,300))),Reference!$A$6:$A$11,1))))*(INDEX(Reference!$B$6:$B$11,MIN(5,MATCH(MAX(Reference!$A$6,MIN(Reference!$A$11,MIN($U100,300))),Reference!$A$6:$A$11,1))+1)-INDEX(Reference!$B$6:$B$11,MIN(5,MATCH(MAX(Reference!$A$6,MIN(Reference!$A$11,MIN($U100,300))),Reference!$A$6:$A$11,1))))/(INDEX(Reference!$A$6:$A$11,MIN(5,MATCH(MAX(Reference!$A$6,MIN(Reference!$A$11,MIN($U100,300))),Reference!$A$6:$A$11,1))+1)-INDEX(Reference!$A$6:$A$11,MIN(5,MATCH(MAX(Reference!$A$6,MIN(Reference!$A$11,MIN($U100,300))),Reference!$A$6:$A$11,1))))),0))/($AL100*($AL100+5)/2)),$AN100))</f>
        <v>1.8611111111111112</v>
      </c>
      <c r="AN100" s="32">
        <f>IF($U100="",0,(INDEX(Reference!$B$6:$B$11,MIN(5,MATCH(MAX(Reference!$A$6,MIN(Reference!$A$11,$U100)),Reference!$A$6:$A$11,1)))+(MAX(Reference!$A$6,MIN(Reference!$A$11,$U100))-INDEX(Reference!$A$6:$A$11,MIN(5,MATCH(MAX(Reference!$A$6,MIN(Reference!$A$11,$U100)),Reference!$A$6:$A$11,1))))*(INDEX(Reference!$B$6:$B$11,MIN(5,MATCH(MAX(Reference!$A$6,MIN(Reference!$A$11,$U100)),Reference!$A$6:$A$11,1))+1)-INDEX(Reference!$B$6:$B$11,MIN(5,MATCH(MAX(Reference!$A$6,MIN(Reference!$A$11,$U100)),Reference!$A$6:$A$11,1))))/(INDEX(Reference!$A$6:$A$11,MIN(5,MATCH(MAX(Reference!$A$6,MIN(Reference!$A$11,$U100)),Reference!$A$6:$A$11,1))+1)-INDEX(Reference!$A$6:$A$11,MIN(5,MATCH(MAX(Reference!$A$6,MIN(Reference!$A$11,$U100)),Reference!$A$6:$A$11,1))))))</f>
        <v>2.8</v>
      </c>
      <c r="AO100" s="37"/>
      <c r="AP100" s="37"/>
      <c r="AQ100" s="37"/>
    </row>
    <row r="101" spans="1:43" x14ac:dyDescent="0.3">
      <c r="A101" s="48">
        <f t="shared" si="30"/>
        <v>46365</v>
      </c>
      <c r="B101" s="32" t="str">
        <f t="shared" si="31"/>
        <v>Wed</v>
      </c>
      <c r="C101" s="32">
        <f t="shared" si="32"/>
        <v>26</v>
      </c>
      <c r="D101" s="32" t="str">
        <f t="shared" si="33"/>
        <v>Flat Ground / Intent</v>
      </c>
      <c r="E101" s="32" t="str">
        <f t="shared" si="34"/>
        <v>No Throw</v>
      </c>
      <c r="F101" s="32" t="str">
        <f t="shared" si="35"/>
        <v>No Throw</v>
      </c>
      <c r="G101" s="47" t="str">
        <f t="shared" si="36"/>
        <v>Off</v>
      </c>
      <c r="H101" s="30">
        <f t="shared" si="37"/>
        <v>0</v>
      </c>
      <c r="I101" s="46">
        <f>IF($A101="","",IF(AND($L101&lt;27,$K$12=0),"Building",IFERROR(((SUM($H$95:$H101)+$K$12*IF($L101&lt;6,SUMIFS('Throw Log'!$Q$5:$Q$300,'Throw Log'!$B$5:$B$300,$D$4,'Throw Log'!$A$5:$A$300,"&gt;="&amp;($D$6+$L101-6),'Throw Log'!$A$5:$A$300,"&lt;="&amp;($D$6-1)),0))/7)/((SUM($H$74:$H101)+$K$12*IF($L101&lt;27,SUMIFS('Throw Log'!$Q$5:$Q$300,'Throw Log'!$B$5:$B$300,$D$4,'Throw Log'!$A$5:$A$300,"&gt;="&amp;($D$6+$L101-27),'Throw Log'!$A$5:$A$300,"&lt;="&amp;($D$6-1)),0))/28),"")))</f>
        <v>1.2657053458104375</v>
      </c>
      <c r="J101" s="37"/>
      <c r="K101" s="37"/>
      <c r="L101" s="32">
        <v>58</v>
      </c>
      <c r="M101" s="32">
        <f t="shared" si="38"/>
        <v>9</v>
      </c>
      <c r="N101" s="32">
        <f t="shared" si="39"/>
        <v>2</v>
      </c>
      <c r="O101" s="32">
        <f t="shared" si="40"/>
        <v>0.76315789473684215</v>
      </c>
      <c r="P101" s="32">
        <f>IF(OR($A101="",N($C101)&lt;=7),"",$G$6*$G$9^($M101-1)*IF(AND(MOD($M101,Reference!$B$99)=0,$M101&lt;=$G$5-2),Reference!$B$100,1))</f>
        <v>205.39822006322521</v>
      </c>
      <c r="Q101" s="32">
        <f>IF($P101="","",IF(SUM($AK$99:$AK$105)=0,0,$P101*INDEX(Reference!$B$108:$B$114,$N101+1)/SUM($AK$99:$AK$105)))</f>
        <v>0</v>
      </c>
      <c r="R101" s="32">
        <f t="shared" si="41"/>
        <v>180</v>
      </c>
      <c r="S101" s="32">
        <f t="shared" si="42"/>
        <v>150</v>
      </c>
      <c r="T101" s="32" t="str">
        <f>IF($A101="","",IF($C101=0,"Bullpen",IF(OR($C101=7,$C101=1,$C101=5),"Recovery/Easy Catch",IF($C101=6,"Compression/Pulldowns",IF(OR($C101=4,$C101=2),"Long Toss",IF($C101=3,"No Throw",IF($N101=2,"No Throw",IF($N101=6,IF($O101&lt;Reference!$B$104,"No Throw","Recovery/Easy Catch"),IF(OR($N101=0,$N101=4),"Recovery/Easy Catch",IF($N101=1,IF($R101&gt;75,"Long Toss","Recovery/Easy Catch"),IF($N101=3,IF($O101&lt;0.5,IF($S101&gt;75,"Long Toss","Recovery/Easy Catch"),"Compression/Pulldowns"),IF($S101&gt;75,"Long Toss","Recovery/Easy Catch"))))))))))))</f>
        <v>No Throw</v>
      </c>
      <c r="U101" s="32" t="str">
        <f t="shared" si="43"/>
        <v/>
      </c>
      <c r="V101" s="32" t="str">
        <f t="shared" si="44"/>
        <v/>
      </c>
      <c r="W101" s="32" t="str">
        <f t="shared" si="45"/>
        <v/>
      </c>
      <c r="X101" s="32">
        <f t="shared" si="46"/>
        <v>0</v>
      </c>
      <c r="Y101" s="32" t="str">
        <f t="shared" si="47"/>
        <v/>
      </c>
      <c r="Z101" s="32" t="str">
        <f t="shared" si="48"/>
        <v/>
      </c>
      <c r="AA101" s="32" t="str">
        <f t="shared" si="49"/>
        <v/>
      </c>
      <c r="AB101" s="32">
        <f>IF($A101="","",IF($T101="No Throw",0,IF($K101&lt;&gt;"",$K101,IF($AA101&lt;&gt;"",ROUND($AA101*$D$12*IF($C101=0,1,$G$10),0),MIN(IF($T101="Recovery/Easy Catch",Reference!$B$103,IF($T101="Long Toss",Reference!$B$106,Reference!$B$102)),MAX(Reference!$B$101,ROUND(MAX(0,$Q101-$AE101)/$AF101,0)))))))</f>
        <v>0</v>
      </c>
      <c r="AC101" s="32">
        <f t="shared" si="50"/>
        <v>0</v>
      </c>
      <c r="AD101" s="32" t="b">
        <f t="shared" si="51"/>
        <v>1</v>
      </c>
      <c r="AE101" s="32">
        <f>IF($X101=0,0,$X101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101+$Z101)/2,0),Reference!$A$17:$B$20,2,TRUE()))</f>
        <v>0</v>
      </c>
      <c r="AF101" s="32">
        <f>IF(OR($A101="",$U101="",$T101="No Throw"),0,$AM101*VLOOKUP(MAX(($V101+$W101)/2,0),Reference!$A$17:$B$20,2,TRUE()))</f>
        <v>0</v>
      </c>
      <c r="AG101" s="32">
        <f>IF($AC101=0,0,$AC101*INDEX(Reference!$B$61:$B$62,MATCH("Bullpen",Reference!$A$61:$A$62,0))*VLOOKUP(MAX($D$5-($D$9+$E$9)/2,0),Reference!$A$17:$B$20,2,TRUE()))</f>
        <v>0</v>
      </c>
      <c r="AH101" s="46">
        <f t="shared" si="52"/>
        <v>1.2657053458104375</v>
      </c>
      <c r="AI101" s="32">
        <f>IF($A101="",NA(),Reference!$A$25)</f>
        <v>0.8</v>
      </c>
      <c r="AJ101" s="32">
        <f t="shared" si="53"/>
        <v>1.3</v>
      </c>
      <c r="AK101" s="32">
        <f>IF(OR($A101="",N($C101)&lt;=7,$T101="No Throw",$J101="x"),0,INDEX(Reference!$B$108:$B$114,$N101+1))</f>
        <v>0</v>
      </c>
      <c r="AL101" s="32">
        <f t="shared" si="54"/>
        <v>1</v>
      </c>
      <c r="AM101" s="32">
        <f>IF($U101="",0,IF($AL101&gt;1,((IF(1&lt;=$AL101,($AL101-1+3)*(INDEX(Reference!$B$6:$B$11,MIN(5,MATCH(MAX(Reference!$A$6,MIN(Reference!$A$11,MIN($U101,90))),Reference!$A$6:$A$11,1)))+(MAX(Reference!$A$6,MIN(Reference!$A$11,MIN($U101,90)))-INDEX(Reference!$A$6:$A$11,MIN(5,MATCH(MAX(Reference!$A$6,MIN(Reference!$A$11,MIN($U101,90))),Reference!$A$6:$A$11,1))))*(INDEX(Reference!$B$6:$B$11,MIN(5,MATCH(MAX(Reference!$A$6,MIN(Reference!$A$11,MIN($U101,90))),Reference!$A$6:$A$11,1))+1)-INDEX(Reference!$B$6:$B$11,MIN(5,MATCH(MAX(Reference!$A$6,MIN(Reference!$A$11,MIN($U101,90))),Reference!$A$6:$A$11,1))))/(INDEX(Reference!$A$6:$A$11,MIN(5,MATCH(MAX(Reference!$A$6,MIN(Reference!$A$11,MIN($U101,90))),Reference!$A$6:$A$11,1))+1)-INDEX(Reference!$A$6:$A$11,MIN(5,MATCH(MAX(Reference!$A$6,MIN(Reference!$A$11,MIN($U101,90))),Reference!$A$6:$A$11,1))))),0)+IF(2&lt;=$AL101,($AL101-2+3)*(INDEX(Reference!$B$6:$B$11,MIN(5,MATCH(MAX(Reference!$A$6,MIN(Reference!$A$11,MIN($U101,120))),Reference!$A$6:$A$11,1)))+(MAX(Reference!$A$6,MIN(Reference!$A$11,MIN($U101,120)))-INDEX(Reference!$A$6:$A$11,MIN(5,MATCH(MAX(Reference!$A$6,MIN(Reference!$A$11,MIN($U101,120))),Reference!$A$6:$A$11,1))))*(INDEX(Reference!$B$6:$B$11,MIN(5,MATCH(MAX(Reference!$A$6,MIN(Reference!$A$11,MIN($U101,120))),Reference!$A$6:$A$11,1))+1)-INDEX(Reference!$B$6:$B$11,MIN(5,MATCH(MAX(Reference!$A$6,MIN(Reference!$A$11,MIN($U101,120))),Reference!$A$6:$A$11,1))))/(INDEX(Reference!$A$6:$A$11,MIN(5,MATCH(MAX(Reference!$A$6,MIN(Reference!$A$11,MIN($U101,120))),Reference!$A$6:$A$11,1))+1)-INDEX(Reference!$A$6:$A$11,MIN(5,MATCH(MAX(Reference!$A$6,MIN(Reference!$A$11,MIN($U101,120))),Reference!$A$6:$A$11,1))))),0)+IF(3&lt;=$AL101,($AL101-3+3)*(INDEX(Reference!$B$6:$B$11,MIN(5,MATCH(MAX(Reference!$A$6,MIN(Reference!$A$11,MIN($U101,150))),Reference!$A$6:$A$11,1)))+(MAX(Reference!$A$6,MIN(Reference!$A$11,MIN($U101,150)))-INDEX(Reference!$A$6:$A$11,MIN(5,MATCH(MAX(Reference!$A$6,MIN(Reference!$A$11,MIN($U101,150))),Reference!$A$6:$A$11,1))))*(INDEX(Reference!$B$6:$B$11,MIN(5,MATCH(MAX(Reference!$A$6,MIN(Reference!$A$11,MIN($U101,150))),Reference!$A$6:$A$11,1))+1)-INDEX(Reference!$B$6:$B$11,MIN(5,MATCH(MAX(Reference!$A$6,MIN(Reference!$A$11,MIN($U101,150))),Reference!$A$6:$A$11,1))))/(INDEX(Reference!$A$6:$A$11,MIN(5,MATCH(MAX(Reference!$A$6,MIN(Reference!$A$11,MIN($U101,150))),Reference!$A$6:$A$11,1))+1)-INDEX(Reference!$A$6:$A$11,MIN(5,MATCH(MAX(Reference!$A$6,MIN(Reference!$A$11,MIN($U101,150))),Reference!$A$6:$A$11,1))))),0)+IF(4&lt;=$AL101,($AL101-4+3)*(INDEX(Reference!$B$6:$B$11,MIN(5,MATCH(MAX(Reference!$A$6,MIN(Reference!$A$11,MIN($U101,180))),Reference!$A$6:$A$11,1)))+(MAX(Reference!$A$6,MIN(Reference!$A$11,MIN($U101,180)))-INDEX(Reference!$A$6:$A$11,MIN(5,MATCH(MAX(Reference!$A$6,MIN(Reference!$A$11,MIN($U101,180))),Reference!$A$6:$A$11,1))))*(INDEX(Reference!$B$6:$B$11,MIN(5,MATCH(MAX(Reference!$A$6,MIN(Reference!$A$11,MIN($U101,180))),Reference!$A$6:$A$11,1))+1)-INDEX(Reference!$B$6:$B$11,MIN(5,MATCH(MAX(Reference!$A$6,MIN(Reference!$A$11,MIN($U101,180))),Reference!$A$6:$A$11,1))))/(INDEX(Reference!$A$6:$A$11,MIN(5,MATCH(MAX(Reference!$A$6,MIN(Reference!$A$11,MIN($U101,180))),Reference!$A$6:$A$11,1))+1)-INDEX(Reference!$A$6:$A$11,MIN(5,MATCH(MAX(Reference!$A$6,MIN(Reference!$A$11,MIN($U101,180))),Reference!$A$6:$A$11,1))))),0)+IF(5&lt;=$AL101,($AL101-5+3)*(INDEX(Reference!$B$6:$B$11,MIN(5,MATCH(MAX(Reference!$A$6,MIN(Reference!$A$11,MIN($U101,210))),Reference!$A$6:$A$11,1)))+(MAX(Reference!$A$6,MIN(Reference!$A$11,MIN($U101,210)))-INDEX(Reference!$A$6:$A$11,MIN(5,MATCH(MAX(Reference!$A$6,MIN(Reference!$A$11,MIN($U101,210))),Reference!$A$6:$A$11,1))))*(INDEX(Reference!$B$6:$B$11,MIN(5,MATCH(MAX(Reference!$A$6,MIN(Reference!$A$11,MIN($U101,210))),Reference!$A$6:$A$11,1))+1)-INDEX(Reference!$B$6:$B$11,MIN(5,MATCH(MAX(Reference!$A$6,MIN(Reference!$A$11,MIN($U101,210))),Reference!$A$6:$A$11,1))))/(INDEX(Reference!$A$6:$A$11,MIN(5,MATCH(MAX(Reference!$A$6,MIN(Reference!$A$11,MIN($U101,210))),Reference!$A$6:$A$11,1))+1)-INDEX(Reference!$A$6:$A$11,MIN(5,MATCH(MAX(Reference!$A$6,MIN(Reference!$A$11,MIN($U101,210))),Reference!$A$6:$A$11,1))))),0)+IF(6&lt;=$AL101,($AL101-6+3)*(INDEX(Reference!$B$6:$B$11,MIN(5,MATCH(MAX(Reference!$A$6,MIN(Reference!$A$11,MIN($U101,240))),Reference!$A$6:$A$11,1)))+(MAX(Reference!$A$6,MIN(Reference!$A$11,MIN($U101,240)))-INDEX(Reference!$A$6:$A$11,MIN(5,MATCH(MAX(Reference!$A$6,MIN(Reference!$A$11,MIN($U101,240))),Reference!$A$6:$A$11,1))))*(INDEX(Reference!$B$6:$B$11,MIN(5,MATCH(MAX(Reference!$A$6,MIN(Reference!$A$11,MIN($U101,240))),Reference!$A$6:$A$11,1))+1)-INDEX(Reference!$B$6:$B$11,MIN(5,MATCH(MAX(Reference!$A$6,MIN(Reference!$A$11,MIN($U101,240))),Reference!$A$6:$A$11,1))))/(INDEX(Reference!$A$6:$A$11,MIN(5,MATCH(MAX(Reference!$A$6,MIN(Reference!$A$11,MIN($U101,240))),Reference!$A$6:$A$11,1))+1)-INDEX(Reference!$A$6:$A$11,MIN(5,MATCH(MAX(Reference!$A$6,MIN(Reference!$A$11,MIN($U101,240))),Reference!$A$6:$A$11,1))))),0)+IF(7&lt;=$AL101,($AL101-7+3)*(INDEX(Reference!$B$6:$B$11,MIN(5,MATCH(MAX(Reference!$A$6,MIN(Reference!$A$11,MIN($U101,270))),Reference!$A$6:$A$11,1)))+(MAX(Reference!$A$6,MIN(Reference!$A$11,MIN($U101,270)))-INDEX(Reference!$A$6:$A$11,MIN(5,MATCH(MAX(Reference!$A$6,MIN(Reference!$A$11,MIN($U101,270))),Reference!$A$6:$A$11,1))))*(INDEX(Reference!$B$6:$B$11,MIN(5,MATCH(MAX(Reference!$A$6,MIN(Reference!$A$11,MIN($U101,270))),Reference!$A$6:$A$11,1))+1)-INDEX(Reference!$B$6:$B$11,MIN(5,MATCH(MAX(Reference!$A$6,MIN(Reference!$A$11,MIN($U101,270))),Reference!$A$6:$A$11,1))))/(INDEX(Reference!$A$6:$A$11,MIN(5,MATCH(MAX(Reference!$A$6,MIN(Reference!$A$11,MIN($U101,270))),Reference!$A$6:$A$11,1))+1)-INDEX(Reference!$A$6:$A$11,MIN(5,MATCH(MAX(Reference!$A$6,MIN(Reference!$A$11,MIN($U101,270))),Reference!$A$6:$A$11,1))))),0)+IF(8&lt;=$AL101,($AL101-8+3)*(INDEX(Reference!$B$6:$B$11,MIN(5,MATCH(MAX(Reference!$A$6,MIN(Reference!$A$11,MIN($U101,300))),Reference!$A$6:$A$11,1)))+(MAX(Reference!$A$6,MIN(Reference!$A$11,MIN($U101,300)))-INDEX(Reference!$A$6:$A$11,MIN(5,MATCH(MAX(Reference!$A$6,MIN(Reference!$A$11,MIN($U101,300))),Reference!$A$6:$A$11,1))))*(INDEX(Reference!$B$6:$B$11,MIN(5,MATCH(MAX(Reference!$A$6,MIN(Reference!$A$11,MIN($U101,300))),Reference!$A$6:$A$11,1))+1)-INDEX(Reference!$B$6:$B$11,MIN(5,MATCH(MAX(Reference!$A$6,MIN(Reference!$A$11,MIN($U101,300))),Reference!$A$6:$A$11,1))))/(INDEX(Reference!$A$6:$A$11,MIN(5,MATCH(MAX(Reference!$A$6,MIN(Reference!$A$11,MIN($U101,300))),Reference!$A$6:$A$11,1))+1)-INDEX(Reference!$A$6:$A$11,MIN(5,MATCH(MAX(Reference!$A$6,MIN(Reference!$A$11,MIN($U101,300))),Reference!$A$6:$A$11,1))))),0))/($AL101*($AL101+5)/2)),$AN101))</f>
        <v>0</v>
      </c>
      <c r="AN101" s="32">
        <f>IF($U101="",0,(INDEX(Reference!$B$6:$B$11,MIN(5,MATCH(MAX(Reference!$A$6,MIN(Reference!$A$11,$U101)),Reference!$A$6:$A$11,1)))+(MAX(Reference!$A$6,MIN(Reference!$A$11,$U101))-INDEX(Reference!$A$6:$A$11,MIN(5,MATCH(MAX(Reference!$A$6,MIN(Reference!$A$11,$U101)),Reference!$A$6:$A$11,1))))*(INDEX(Reference!$B$6:$B$11,MIN(5,MATCH(MAX(Reference!$A$6,MIN(Reference!$A$11,$U101)),Reference!$A$6:$A$11,1))+1)-INDEX(Reference!$B$6:$B$11,MIN(5,MATCH(MAX(Reference!$A$6,MIN(Reference!$A$11,$U101)),Reference!$A$6:$A$11,1))))/(INDEX(Reference!$A$6:$A$11,MIN(5,MATCH(MAX(Reference!$A$6,MIN(Reference!$A$11,$U101)),Reference!$A$6:$A$11,1))+1)-INDEX(Reference!$A$6:$A$11,MIN(5,MATCH(MAX(Reference!$A$6,MIN(Reference!$A$11,$U101)),Reference!$A$6:$A$11,1))))))</f>
        <v>0</v>
      </c>
      <c r="AO101" s="37"/>
      <c r="AP101" s="37"/>
      <c r="AQ101" s="37"/>
    </row>
    <row r="102" spans="1:43" x14ac:dyDescent="0.3">
      <c r="A102" s="48">
        <f t="shared" si="30"/>
        <v>46366</v>
      </c>
      <c r="B102" s="32" t="str">
        <f t="shared" si="31"/>
        <v>Thu</v>
      </c>
      <c r="C102" s="32">
        <f t="shared" si="32"/>
        <v>25</v>
      </c>
      <c r="D102" s="32" t="str">
        <f t="shared" si="33"/>
        <v>Flat Ground / Intent</v>
      </c>
      <c r="E102" s="32" t="str">
        <f t="shared" si="34"/>
        <v>High Non-Bullpen</v>
      </c>
      <c r="F102" s="32" t="str">
        <f t="shared" si="35"/>
        <v>Compression/Pulldowns</v>
      </c>
      <c r="G102" s="47" t="str">
        <f t="shared" si="36"/>
        <v>90 ft × 20 @ 82–84 mph + flat ground at 60 ft × 20 @ 82–84 mph</v>
      </c>
      <c r="H102" s="30">
        <f t="shared" si="37"/>
        <v>46</v>
      </c>
      <c r="I102" s="46">
        <f>IF($A102="","",IF(AND($L102&lt;27,$K$12=0),"Building",IFERROR(((SUM($H$96:$H102)+$K$12*IF($L102&lt;6,SUMIFS('Throw Log'!$Q$5:$Q$300,'Throw Log'!$B$5:$B$300,$D$4,'Throw Log'!$A$5:$A$300,"&gt;="&amp;($D$6+$L102-6),'Throw Log'!$A$5:$A$300,"&lt;="&amp;($D$6-1)),0))/7)/((SUM($H$75:$H102)+$K$12*IF($L102&lt;27,SUMIFS('Throw Log'!$Q$5:$Q$300,'Throw Log'!$B$5:$B$300,$D$4,'Throw Log'!$A$5:$A$300,"&gt;="&amp;($D$6+$L102-27),'Throw Log'!$A$5:$A$300,"&lt;="&amp;($D$6-1)),0))/28),"")))</f>
        <v>1.2257653437783307</v>
      </c>
      <c r="J102" s="37"/>
      <c r="K102" s="37"/>
      <c r="L102" s="32">
        <v>59</v>
      </c>
      <c r="M102" s="32">
        <f t="shared" si="38"/>
        <v>9</v>
      </c>
      <c r="N102" s="32">
        <f t="shared" si="39"/>
        <v>3</v>
      </c>
      <c r="O102" s="32">
        <f t="shared" si="40"/>
        <v>0.77631578947368418</v>
      </c>
      <c r="P102" s="32">
        <f>IF(OR($A102="",N($C102)&lt;=7),"",$G$6*$G$9^($M102-1)*IF(AND(MOD($M102,Reference!$B$99)=0,$M102&lt;=$G$5-2),Reference!$B$100,1))</f>
        <v>205.39822006322521</v>
      </c>
      <c r="Q102" s="32">
        <f>IF($P102="","",IF(SUM($AK$99:$AK$105)=0,0,$P102*INDEX(Reference!$B$108:$B$114,$N102+1)/SUM($AK$99:$AK$105)))</f>
        <v>46.070628799228082</v>
      </c>
      <c r="R102" s="32">
        <f t="shared" si="41"/>
        <v>180</v>
      </c>
      <c r="S102" s="32">
        <f t="shared" si="42"/>
        <v>150</v>
      </c>
      <c r="T102" s="32" t="str">
        <f>IF($A102="","",IF($C102=0,"Bullpen",IF(OR($C102=7,$C102=1,$C102=5),"Recovery/Easy Catch",IF($C102=6,"Compression/Pulldowns",IF(OR($C102=4,$C102=2),"Long Toss",IF($C102=3,"No Throw",IF($N102=2,"No Throw",IF($N102=6,IF($O102&lt;Reference!$B$104,"No Throw","Recovery/Easy Catch"),IF(OR($N102=0,$N102=4),"Recovery/Easy Catch",IF($N102=1,IF($R102&gt;75,"Long Toss","Recovery/Easy Catch"),IF($N102=3,IF($O102&lt;0.5,IF($S102&gt;75,"Long Toss","Recovery/Easy Catch"),"Compression/Pulldowns"),IF($S102&gt;75,"Long Toss","Recovery/Easy Catch"))))))))))))</f>
        <v>Compression/Pulldowns</v>
      </c>
      <c r="U102" s="32">
        <f t="shared" si="43"/>
        <v>90</v>
      </c>
      <c r="V102" s="32">
        <f t="shared" si="44"/>
        <v>7</v>
      </c>
      <c r="W102" s="32">
        <f t="shared" si="45"/>
        <v>9</v>
      </c>
      <c r="X102" s="32">
        <f t="shared" si="46"/>
        <v>20</v>
      </c>
      <c r="Y102" s="32">
        <f t="shared" si="47"/>
        <v>7</v>
      </c>
      <c r="Z102" s="32">
        <f t="shared" si="48"/>
        <v>9</v>
      </c>
      <c r="AA102" s="32" t="str">
        <f t="shared" si="49"/>
        <v/>
      </c>
      <c r="AB102" s="32">
        <f>IF($A102="","",IF($T102="No Throw",0,IF($K102&lt;&gt;"",$K102,IF($AA102&lt;&gt;"",ROUND($AA102*$D$12*IF($C102=0,1,$G$10),0),MIN(IF($T102="Recovery/Easy Catch",Reference!$B$103,IF($T102="Long Toss",Reference!$B$106,Reference!$B$102)),MAX(Reference!$B$101,ROUND(MAX(0,$Q102-$AE102)/$AF102,0)))))))</f>
        <v>20</v>
      </c>
      <c r="AC102" s="32">
        <f t="shared" si="50"/>
        <v>0</v>
      </c>
      <c r="AD102" s="32" t="b">
        <f t="shared" si="51"/>
        <v>0</v>
      </c>
      <c r="AE102" s="32">
        <f>IF($X102=0,0,$X102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102+$Z102)/2,0),Reference!$A$17:$B$20,2,TRUE()))</f>
        <v>20</v>
      </c>
      <c r="AF102" s="32">
        <f>IF(OR($A102="",$U102="",$T102="No Throw"),0,$AM102*VLOOKUP(MAX(($V102+$W102)/2,0),Reference!$A$17:$B$20,2,TRUE()))</f>
        <v>1.3</v>
      </c>
      <c r="AG102" s="32">
        <f>IF($AC102=0,0,$AC102*INDEX(Reference!$B$61:$B$62,MATCH("Bullpen",Reference!$A$61:$A$62,0))*VLOOKUP(MAX($D$5-($D$9+$E$9)/2,0),Reference!$A$17:$B$20,2,TRUE()))</f>
        <v>0</v>
      </c>
      <c r="AH102" s="46">
        <f t="shared" si="52"/>
        <v>1.2257653437783307</v>
      </c>
      <c r="AI102" s="32">
        <f>IF($A102="",NA(),Reference!$A$25)</f>
        <v>0.8</v>
      </c>
      <c r="AJ102" s="32">
        <f t="shared" si="53"/>
        <v>1.3</v>
      </c>
      <c r="AK102" s="56">
        <f>IF(OR($A102="",N($C102)&lt;=7,$T102="No Throw",$J102="x"),0,INDEX(Reference!$B$108:$B$114,$N102+1))</f>
        <v>0.24</v>
      </c>
      <c r="AL102" s="32">
        <f t="shared" si="54"/>
        <v>1</v>
      </c>
      <c r="AM102" s="32">
        <f>IF($U102="",0,IF($AL102&gt;1,((IF(1&lt;=$AL102,($AL102-1+3)*(INDEX(Reference!$B$6:$B$11,MIN(5,MATCH(MAX(Reference!$A$6,MIN(Reference!$A$11,MIN($U102,90))),Reference!$A$6:$A$11,1)))+(MAX(Reference!$A$6,MIN(Reference!$A$11,MIN($U102,90)))-INDEX(Reference!$A$6:$A$11,MIN(5,MATCH(MAX(Reference!$A$6,MIN(Reference!$A$11,MIN($U102,90))),Reference!$A$6:$A$11,1))))*(INDEX(Reference!$B$6:$B$11,MIN(5,MATCH(MAX(Reference!$A$6,MIN(Reference!$A$11,MIN($U102,90))),Reference!$A$6:$A$11,1))+1)-INDEX(Reference!$B$6:$B$11,MIN(5,MATCH(MAX(Reference!$A$6,MIN(Reference!$A$11,MIN($U102,90))),Reference!$A$6:$A$11,1))))/(INDEX(Reference!$A$6:$A$11,MIN(5,MATCH(MAX(Reference!$A$6,MIN(Reference!$A$11,MIN($U102,90))),Reference!$A$6:$A$11,1))+1)-INDEX(Reference!$A$6:$A$11,MIN(5,MATCH(MAX(Reference!$A$6,MIN(Reference!$A$11,MIN($U102,90))),Reference!$A$6:$A$11,1))))),0)+IF(2&lt;=$AL102,($AL102-2+3)*(INDEX(Reference!$B$6:$B$11,MIN(5,MATCH(MAX(Reference!$A$6,MIN(Reference!$A$11,MIN($U102,120))),Reference!$A$6:$A$11,1)))+(MAX(Reference!$A$6,MIN(Reference!$A$11,MIN($U102,120)))-INDEX(Reference!$A$6:$A$11,MIN(5,MATCH(MAX(Reference!$A$6,MIN(Reference!$A$11,MIN($U102,120))),Reference!$A$6:$A$11,1))))*(INDEX(Reference!$B$6:$B$11,MIN(5,MATCH(MAX(Reference!$A$6,MIN(Reference!$A$11,MIN($U102,120))),Reference!$A$6:$A$11,1))+1)-INDEX(Reference!$B$6:$B$11,MIN(5,MATCH(MAX(Reference!$A$6,MIN(Reference!$A$11,MIN($U102,120))),Reference!$A$6:$A$11,1))))/(INDEX(Reference!$A$6:$A$11,MIN(5,MATCH(MAX(Reference!$A$6,MIN(Reference!$A$11,MIN($U102,120))),Reference!$A$6:$A$11,1))+1)-INDEX(Reference!$A$6:$A$11,MIN(5,MATCH(MAX(Reference!$A$6,MIN(Reference!$A$11,MIN($U102,120))),Reference!$A$6:$A$11,1))))),0)+IF(3&lt;=$AL102,($AL102-3+3)*(INDEX(Reference!$B$6:$B$11,MIN(5,MATCH(MAX(Reference!$A$6,MIN(Reference!$A$11,MIN($U102,150))),Reference!$A$6:$A$11,1)))+(MAX(Reference!$A$6,MIN(Reference!$A$11,MIN($U102,150)))-INDEX(Reference!$A$6:$A$11,MIN(5,MATCH(MAX(Reference!$A$6,MIN(Reference!$A$11,MIN($U102,150))),Reference!$A$6:$A$11,1))))*(INDEX(Reference!$B$6:$B$11,MIN(5,MATCH(MAX(Reference!$A$6,MIN(Reference!$A$11,MIN($U102,150))),Reference!$A$6:$A$11,1))+1)-INDEX(Reference!$B$6:$B$11,MIN(5,MATCH(MAX(Reference!$A$6,MIN(Reference!$A$11,MIN($U102,150))),Reference!$A$6:$A$11,1))))/(INDEX(Reference!$A$6:$A$11,MIN(5,MATCH(MAX(Reference!$A$6,MIN(Reference!$A$11,MIN($U102,150))),Reference!$A$6:$A$11,1))+1)-INDEX(Reference!$A$6:$A$11,MIN(5,MATCH(MAX(Reference!$A$6,MIN(Reference!$A$11,MIN($U102,150))),Reference!$A$6:$A$11,1))))),0)+IF(4&lt;=$AL102,($AL102-4+3)*(INDEX(Reference!$B$6:$B$11,MIN(5,MATCH(MAX(Reference!$A$6,MIN(Reference!$A$11,MIN($U102,180))),Reference!$A$6:$A$11,1)))+(MAX(Reference!$A$6,MIN(Reference!$A$11,MIN($U102,180)))-INDEX(Reference!$A$6:$A$11,MIN(5,MATCH(MAX(Reference!$A$6,MIN(Reference!$A$11,MIN($U102,180))),Reference!$A$6:$A$11,1))))*(INDEX(Reference!$B$6:$B$11,MIN(5,MATCH(MAX(Reference!$A$6,MIN(Reference!$A$11,MIN($U102,180))),Reference!$A$6:$A$11,1))+1)-INDEX(Reference!$B$6:$B$11,MIN(5,MATCH(MAX(Reference!$A$6,MIN(Reference!$A$11,MIN($U102,180))),Reference!$A$6:$A$11,1))))/(INDEX(Reference!$A$6:$A$11,MIN(5,MATCH(MAX(Reference!$A$6,MIN(Reference!$A$11,MIN($U102,180))),Reference!$A$6:$A$11,1))+1)-INDEX(Reference!$A$6:$A$11,MIN(5,MATCH(MAX(Reference!$A$6,MIN(Reference!$A$11,MIN($U102,180))),Reference!$A$6:$A$11,1))))),0)+IF(5&lt;=$AL102,($AL102-5+3)*(INDEX(Reference!$B$6:$B$11,MIN(5,MATCH(MAX(Reference!$A$6,MIN(Reference!$A$11,MIN($U102,210))),Reference!$A$6:$A$11,1)))+(MAX(Reference!$A$6,MIN(Reference!$A$11,MIN($U102,210)))-INDEX(Reference!$A$6:$A$11,MIN(5,MATCH(MAX(Reference!$A$6,MIN(Reference!$A$11,MIN($U102,210))),Reference!$A$6:$A$11,1))))*(INDEX(Reference!$B$6:$B$11,MIN(5,MATCH(MAX(Reference!$A$6,MIN(Reference!$A$11,MIN($U102,210))),Reference!$A$6:$A$11,1))+1)-INDEX(Reference!$B$6:$B$11,MIN(5,MATCH(MAX(Reference!$A$6,MIN(Reference!$A$11,MIN($U102,210))),Reference!$A$6:$A$11,1))))/(INDEX(Reference!$A$6:$A$11,MIN(5,MATCH(MAX(Reference!$A$6,MIN(Reference!$A$11,MIN($U102,210))),Reference!$A$6:$A$11,1))+1)-INDEX(Reference!$A$6:$A$11,MIN(5,MATCH(MAX(Reference!$A$6,MIN(Reference!$A$11,MIN($U102,210))),Reference!$A$6:$A$11,1))))),0)+IF(6&lt;=$AL102,($AL102-6+3)*(INDEX(Reference!$B$6:$B$11,MIN(5,MATCH(MAX(Reference!$A$6,MIN(Reference!$A$11,MIN($U102,240))),Reference!$A$6:$A$11,1)))+(MAX(Reference!$A$6,MIN(Reference!$A$11,MIN($U102,240)))-INDEX(Reference!$A$6:$A$11,MIN(5,MATCH(MAX(Reference!$A$6,MIN(Reference!$A$11,MIN($U102,240))),Reference!$A$6:$A$11,1))))*(INDEX(Reference!$B$6:$B$11,MIN(5,MATCH(MAX(Reference!$A$6,MIN(Reference!$A$11,MIN($U102,240))),Reference!$A$6:$A$11,1))+1)-INDEX(Reference!$B$6:$B$11,MIN(5,MATCH(MAX(Reference!$A$6,MIN(Reference!$A$11,MIN($U102,240))),Reference!$A$6:$A$11,1))))/(INDEX(Reference!$A$6:$A$11,MIN(5,MATCH(MAX(Reference!$A$6,MIN(Reference!$A$11,MIN($U102,240))),Reference!$A$6:$A$11,1))+1)-INDEX(Reference!$A$6:$A$11,MIN(5,MATCH(MAX(Reference!$A$6,MIN(Reference!$A$11,MIN($U102,240))),Reference!$A$6:$A$11,1))))),0)+IF(7&lt;=$AL102,($AL102-7+3)*(INDEX(Reference!$B$6:$B$11,MIN(5,MATCH(MAX(Reference!$A$6,MIN(Reference!$A$11,MIN($U102,270))),Reference!$A$6:$A$11,1)))+(MAX(Reference!$A$6,MIN(Reference!$A$11,MIN($U102,270)))-INDEX(Reference!$A$6:$A$11,MIN(5,MATCH(MAX(Reference!$A$6,MIN(Reference!$A$11,MIN($U102,270))),Reference!$A$6:$A$11,1))))*(INDEX(Reference!$B$6:$B$11,MIN(5,MATCH(MAX(Reference!$A$6,MIN(Reference!$A$11,MIN($U102,270))),Reference!$A$6:$A$11,1))+1)-INDEX(Reference!$B$6:$B$11,MIN(5,MATCH(MAX(Reference!$A$6,MIN(Reference!$A$11,MIN($U102,270))),Reference!$A$6:$A$11,1))))/(INDEX(Reference!$A$6:$A$11,MIN(5,MATCH(MAX(Reference!$A$6,MIN(Reference!$A$11,MIN($U102,270))),Reference!$A$6:$A$11,1))+1)-INDEX(Reference!$A$6:$A$11,MIN(5,MATCH(MAX(Reference!$A$6,MIN(Reference!$A$11,MIN($U102,270))),Reference!$A$6:$A$11,1))))),0)+IF(8&lt;=$AL102,($AL102-8+3)*(INDEX(Reference!$B$6:$B$11,MIN(5,MATCH(MAX(Reference!$A$6,MIN(Reference!$A$11,MIN($U102,300))),Reference!$A$6:$A$11,1)))+(MAX(Reference!$A$6,MIN(Reference!$A$11,MIN($U102,300)))-INDEX(Reference!$A$6:$A$11,MIN(5,MATCH(MAX(Reference!$A$6,MIN(Reference!$A$11,MIN($U102,300))),Reference!$A$6:$A$11,1))))*(INDEX(Reference!$B$6:$B$11,MIN(5,MATCH(MAX(Reference!$A$6,MIN(Reference!$A$11,MIN($U102,300))),Reference!$A$6:$A$11,1))+1)-INDEX(Reference!$B$6:$B$11,MIN(5,MATCH(MAX(Reference!$A$6,MIN(Reference!$A$11,MIN($U102,300))),Reference!$A$6:$A$11,1))))/(INDEX(Reference!$A$6:$A$11,MIN(5,MATCH(MAX(Reference!$A$6,MIN(Reference!$A$11,MIN($U102,300))),Reference!$A$6:$A$11,1))+1)-INDEX(Reference!$A$6:$A$11,MIN(5,MATCH(MAX(Reference!$A$6,MIN(Reference!$A$11,MIN($U102,300))),Reference!$A$6:$A$11,1))))),0))/($AL102*($AL102+5)/2)),$AN102))</f>
        <v>1.3</v>
      </c>
      <c r="AN102" s="32">
        <f>IF($U102="",0,(INDEX(Reference!$B$6:$B$11,MIN(5,MATCH(MAX(Reference!$A$6,MIN(Reference!$A$11,$U102)),Reference!$A$6:$A$11,1)))+(MAX(Reference!$A$6,MIN(Reference!$A$11,$U102))-INDEX(Reference!$A$6:$A$11,MIN(5,MATCH(MAX(Reference!$A$6,MIN(Reference!$A$11,$U102)),Reference!$A$6:$A$11,1))))*(INDEX(Reference!$B$6:$B$11,MIN(5,MATCH(MAX(Reference!$A$6,MIN(Reference!$A$11,$U102)),Reference!$A$6:$A$11,1))+1)-INDEX(Reference!$B$6:$B$11,MIN(5,MATCH(MAX(Reference!$A$6,MIN(Reference!$A$11,$U102)),Reference!$A$6:$A$11,1))))/(INDEX(Reference!$A$6:$A$11,MIN(5,MATCH(MAX(Reference!$A$6,MIN(Reference!$A$11,$U102)),Reference!$A$6:$A$11,1))+1)-INDEX(Reference!$A$6:$A$11,MIN(5,MATCH(MAX(Reference!$A$6,MIN(Reference!$A$11,$U102)),Reference!$A$6:$A$11,1))))))</f>
        <v>1.3</v>
      </c>
      <c r="AO102" s="37"/>
      <c r="AP102" s="37"/>
      <c r="AQ102" s="37"/>
    </row>
    <row r="103" spans="1:43" x14ac:dyDescent="0.3">
      <c r="A103" s="48">
        <f t="shared" si="30"/>
        <v>46367</v>
      </c>
      <c r="B103" s="32" t="str">
        <f t="shared" si="31"/>
        <v>Fri</v>
      </c>
      <c r="C103" s="32">
        <f t="shared" si="32"/>
        <v>24</v>
      </c>
      <c r="D103" s="32" t="str">
        <f t="shared" si="33"/>
        <v>Flat Ground / Intent</v>
      </c>
      <c r="E103" s="32" t="str">
        <f t="shared" si="34"/>
        <v>Low</v>
      </c>
      <c r="F103" s="32" t="str">
        <f t="shared" si="35"/>
        <v>Recovery/Easy Catch</v>
      </c>
      <c r="G103" s="47" t="str">
        <f t="shared" si="36"/>
        <v>75 ft × 28 @ 69–73 mph</v>
      </c>
      <c r="H103" s="30">
        <f t="shared" si="37"/>
        <v>19.32</v>
      </c>
      <c r="I103" s="46">
        <f>IF($A103="","",IF(AND($L103&lt;27,$K$12=0),"Building",IFERROR(((SUM($H$97:$H103)+$K$12*IF($L103&lt;6,SUMIFS('Throw Log'!$Q$5:$Q$300,'Throw Log'!$B$5:$B$300,$D$4,'Throw Log'!$A$5:$A$300,"&gt;="&amp;($D$6+$L103-6),'Throw Log'!$A$5:$A$300,"&lt;="&amp;($D$6-1)),0))/7)/((SUM($H$76:$H103)+$K$12*IF($L103&lt;27,SUMIFS('Throw Log'!$Q$5:$Q$300,'Throw Log'!$B$5:$B$300,$D$4,'Throw Log'!$A$5:$A$300,"&gt;="&amp;($D$6+$L103-27),'Throw Log'!$A$5:$A$300,"&lt;="&amp;($D$6-1)),0))/28),"")))</f>
        <v>1.2425569631942317</v>
      </c>
      <c r="J103" s="37"/>
      <c r="K103" s="37"/>
      <c r="L103" s="32">
        <v>60</v>
      </c>
      <c r="M103" s="32">
        <f t="shared" si="38"/>
        <v>9</v>
      </c>
      <c r="N103" s="32">
        <f t="shared" si="39"/>
        <v>4</v>
      </c>
      <c r="O103" s="32">
        <f t="shared" si="40"/>
        <v>0.78947368421052633</v>
      </c>
      <c r="P103" s="32">
        <f>IF(OR($A103="",N($C103)&lt;=7),"",$G$6*$G$9^($M103-1)*IF(AND(MOD($M103,Reference!$B$99)=0,$M103&lt;=$G$5-2),Reference!$B$100,1))</f>
        <v>205.39822006322521</v>
      </c>
      <c r="Q103" s="32">
        <f>IF($P103="","",IF(SUM($AK$99:$AK$105)=0,0,$P103*INDEX(Reference!$B$108:$B$114,$N103+1)/SUM($AK$99:$AK$105)))</f>
        <v>19.196095333011705</v>
      </c>
      <c r="R103" s="32">
        <f t="shared" si="41"/>
        <v>180</v>
      </c>
      <c r="S103" s="32">
        <f t="shared" si="42"/>
        <v>150</v>
      </c>
      <c r="T103" s="32" t="str">
        <f>IF($A103="","",IF($C103=0,"Bullpen",IF(OR($C103=7,$C103=1,$C103=5),"Recovery/Easy Catch",IF($C103=6,"Compression/Pulldowns",IF(OR($C103=4,$C103=2),"Long Toss",IF($C103=3,"No Throw",IF($N103=2,"No Throw",IF($N103=6,IF($O103&lt;Reference!$B$104,"No Throw","Recovery/Easy Catch"),IF(OR($N103=0,$N103=4),"Recovery/Easy Catch",IF($N103=1,IF($R103&gt;75,"Long Toss","Recovery/Easy Catch"),IF($N103=3,IF($O103&lt;0.5,IF($S103&gt;75,"Long Toss","Recovery/Easy Catch"),"Compression/Pulldowns"),IF($S103&gt;75,"Long Toss","Recovery/Easy Catch"))))))))))))</f>
        <v>Recovery/Easy Catch</v>
      </c>
      <c r="U103" s="32">
        <f t="shared" si="43"/>
        <v>75</v>
      </c>
      <c r="V103" s="32">
        <f t="shared" si="44"/>
        <v>18</v>
      </c>
      <c r="W103" s="32">
        <f t="shared" si="45"/>
        <v>22</v>
      </c>
      <c r="X103" s="32">
        <f t="shared" si="46"/>
        <v>0</v>
      </c>
      <c r="Y103" s="32" t="str">
        <f t="shared" si="47"/>
        <v/>
      </c>
      <c r="Z103" s="32" t="str">
        <f t="shared" si="48"/>
        <v/>
      </c>
      <c r="AA103" s="32" t="str">
        <f t="shared" si="49"/>
        <v/>
      </c>
      <c r="AB103" s="32">
        <f>IF($A103="","",IF($T103="No Throw",0,IF($K103&lt;&gt;"",$K103,IF($AA103&lt;&gt;"",ROUND($AA103*$D$12*IF($C103=0,1,$G$10),0),MIN(IF($T103="Recovery/Easy Catch",Reference!$B$103,IF($T103="Long Toss",Reference!$B$106,Reference!$B$102)),MAX(Reference!$B$101,ROUND(MAX(0,$Q103-$AE103)/$AF103,0)))))))</f>
        <v>28</v>
      </c>
      <c r="AC103" s="32">
        <f t="shared" si="50"/>
        <v>0</v>
      </c>
      <c r="AD103" s="32" t="b">
        <f t="shared" si="51"/>
        <v>0</v>
      </c>
      <c r="AE103" s="32">
        <f>IF($X103=0,0,$X103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103+$Z103)/2,0),Reference!$A$17:$B$20,2,TRUE()))</f>
        <v>0</v>
      </c>
      <c r="AF103" s="32">
        <f>IF(OR($A103="",$U103="",$T103="No Throw"),0,$AM103*VLOOKUP(MAX(($V103+$W103)/2,0),Reference!$A$17:$B$20,2,TRUE()))</f>
        <v>0.69</v>
      </c>
      <c r="AG103" s="32">
        <f>IF($AC103=0,0,$AC103*INDEX(Reference!$B$61:$B$62,MATCH("Bullpen",Reference!$A$61:$A$62,0))*VLOOKUP(MAX($D$5-($D$9+$E$9)/2,0),Reference!$A$17:$B$20,2,TRUE()))</f>
        <v>0</v>
      </c>
      <c r="AH103" s="46">
        <f t="shared" si="52"/>
        <v>1.2425569631942317</v>
      </c>
      <c r="AI103" s="32">
        <f>IF($A103="",NA(),Reference!$A$25)</f>
        <v>0.8</v>
      </c>
      <c r="AJ103" s="32">
        <f t="shared" si="53"/>
        <v>1.3</v>
      </c>
      <c r="AK103" s="56">
        <f>IF(OR($A103="",N($C103)&lt;=7,$T103="No Throw",$J103="x"),0,INDEX(Reference!$B$108:$B$114,$N103+1))</f>
        <v>0.1</v>
      </c>
      <c r="AL103" s="32">
        <f t="shared" si="54"/>
        <v>1</v>
      </c>
      <c r="AM103" s="32">
        <f>IF($U103="",0,IF($AL103&gt;1,((IF(1&lt;=$AL103,($AL103-1+3)*(INDEX(Reference!$B$6:$B$11,MIN(5,MATCH(MAX(Reference!$A$6,MIN(Reference!$A$11,MIN($U103,90))),Reference!$A$6:$A$11,1)))+(MAX(Reference!$A$6,MIN(Reference!$A$11,MIN($U103,90)))-INDEX(Reference!$A$6:$A$11,MIN(5,MATCH(MAX(Reference!$A$6,MIN(Reference!$A$11,MIN($U103,90))),Reference!$A$6:$A$11,1))))*(INDEX(Reference!$B$6:$B$11,MIN(5,MATCH(MAX(Reference!$A$6,MIN(Reference!$A$11,MIN($U103,90))),Reference!$A$6:$A$11,1))+1)-INDEX(Reference!$B$6:$B$11,MIN(5,MATCH(MAX(Reference!$A$6,MIN(Reference!$A$11,MIN($U103,90))),Reference!$A$6:$A$11,1))))/(INDEX(Reference!$A$6:$A$11,MIN(5,MATCH(MAX(Reference!$A$6,MIN(Reference!$A$11,MIN($U103,90))),Reference!$A$6:$A$11,1))+1)-INDEX(Reference!$A$6:$A$11,MIN(5,MATCH(MAX(Reference!$A$6,MIN(Reference!$A$11,MIN($U103,90))),Reference!$A$6:$A$11,1))))),0)+IF(2&lt;=$AL103,($AL103-2+3)*(INDEX(Reference!$B$6:$B$11,MIN(5,MATCH(MAX(Reference!$A$6,MIN(Reference!$A$11,MIN($U103,120))),Reference!$A$6:$A$11,1)))+(MAX(Reference!$A$6,MIN(Reference!$A$11,MIN($U103,120)))-INDEX(Reference!$A$6:$A$11,MIN(5,MATCH(MAX(Reference!$A$6,MIN(Reference!$A$11,MIN($U103,120))),Reference!$A$6:$A$11,1))))*(INDEX(Reference!$B$6:$B$11,MIN(5,MATCH(MAX(Reference!$A$6,MIN(Reference!$A$11,MIN($U103,120))),Reference!$A$6:$A$11,1))+1)-INDEX(Reference!$B$6:$B$11,MIN(5,MATCH(MAX(Reference!$A$6,MIN(Reference!$A$11,MIN($U103,120))),Reference!$A$6:$A$11,1))))/(INDEX(Reference!$A$6:$A$11,MIN(5,MATCH(MAX(Reference!$A$6,MIN(Reference!$A$11,MIN($U103,120))),Reference!$A$6:$A$11,1))+1)-INDEX(Reference!$A$6:$A$11,MIN(5,MATCH(MAX(Reference!$A$6,MIN(Reference!$A$11,MIN($U103,120))),Reference!$A$6:$A$11,1))))),0)+IF(3&lt;=$AL103,($AL103-3+3)*(INDEX(Reference!$B$6:$B$11,MIN(5,MATCH(MAX(Reference!$A$6,MIN(Reference!$A$11,MIN($U103,150))),Reference!$A$6:$A$11,1)))+(MAX(Reference!$A$6,MIN(Reference!$A$11,MIN($U103,150)))-INDEX(Reference!$A$6:$A$11,MIN(5,MATCH(MAX(Reference!$A$6,MIN(Reference!$A$11,MIN($U103,150))),Reference!$A$6:$A$11,1))))*(INDEX(Reference!$B$6:$B$11,MIN(5,MATCH(MAX(Reference!$A$6,MIN(Reference!$A$11,MIN($U103,150))),Reference!$A$6:$A$11,1))+1)-INDEX(Reference!$B$6:$B$11,MIN(5,MATCH(MAX(Reference!$A$6,MIN(Reference!$A$11,MIN($U103,150))),Reference!$A$6:$A$11,1))))/(INDEX(Reference!$A$6:$A$11,MIN(5,MATCH(MAX(Reference!$A$6,MIN(Reference!$A$11,MIN($U103,150))),Reference!$A$6:$A$11,1))+1)-INDEX(Reference!$A$6:$A$11,MIN(5,MATCH(MAX(Reference!$A$6,MIN(Reference!$A$11,MIN($U103,150))),Reference!$A$6:$A$11,1))))),0)+IF(4&lt;=$AL103,($AL103-4+3)*(INDEX(Reference!$B$6:$B$11,MIN(5,MATCH(MAX(Reference!$A$6,MIN(Reference!$A$11,MIN($U103,180))),Reference!$A$6:$A$11,1)))+(MAX(Reference!$A$6,MIN(Reference!$A$11,MIN($U103,180)))-INDEX(Reference!$A$6:$A$11,MIN(5,MATCH(MAX(Reference!$A$6,MIN(Reference!$A$11,MIN($U103,180))),Reference!$A$6:$A$11,1))))*(INDEX(Reference!$B$6:$B$11,MIN(5,MATCH(MAX(Reference!$A$6,MIN(Reference!$A$11,MIN($U103,180))),Reference!$A$6:$A$11,1))+1)-INDEX(Reference!$B$6:$B$11,MIN(5,MATCH(MAX(Reference!$A$6,MIN(Reference!$A$11,MIN($U103,180))),Reference!$A$6:$A$11,1))))/(INDEX(Reference!$A$6:$A$11,MIN(5,MATCH(MAX(Reference!$A$6,MIN(Reference!$A$11,MIN($U103,180))),Reference!$A$6:$A$11,1))+1)-INDEX(Reference!$A$6:$A$11,MIN(5,MATCH(MAX(Reference!$A$6,MIN(Reference!$A$11,MIN($U103,180))),Reference!$A$6:$A$11,1))))),0)+IF(5&lt;=$AL103,($AL103-5+3)*(INDEX(Reference!$B$6:$B$11,MIN(5,MATCH(MAX(Reference!$A$6,MIN(Reference!$A$11,MIN($U103,210))),Reference!$A$6:$A$11,1)))+(MAX(Reference!$A$6,MIN(Reference!$A$11,MIN($U103,210)))-INDEX(Reference!$A$6:$A$11,MIN(5,MATCH(MAX(Reference!$A$6,MIN(Reference!$A$11,MIN($U103,210))),Reference!$A$6:$A$11,1))))*(INDEX(Reference!$B$6:$B$11,MIN(5,MATCH(MAX(Reference!$A$6,MIN(Reference!$A$11,MIN($U103,210))),Reference!$A$6:$A$11,1))+1)-INDEX(Reference!$B$6:$B$11,MIN(5,MATCH(MAX(Reference!$A$6,MIN(Reference!$A$11,MIN($U103,210))),Reference!$A$6:$A$11,1))))/(INDEX(Reference!$A$6:$A$11,MIN(5,MATCH(MAX(Reference!$A$6,MIN(Reference!$A$11,MIN($U103,210))),Reference!$A$6:$A$11,1))+1)-INDEX(Reference!$A$6:$A$11,MIN(5,MATCH(MAX(Reference!$A$6,MIN(Reference!$A$11,MIN($U103,210))),Reference!$A$6:$A$11,1))))),0)+IF(6&lt;=$AL103,($AL103-6+3)*(INDEX(Reference!$B$6:$B$11,MIN(5,MATCH(MAX(Reference!$A$6,MIN(Reference!$A$11,MIN($U103,240))),Reference!$A$6:$A$11,1)))+(MAX(Reference!$A$6,MIN(Reference!$A$11,MIN($U103,240)))-INDEX(Reference!$A$6:$A$11,MIN(5,MATCH(MAX(Reference!$A$6,MIN(Reference!$A$11,MIN($U103,240))),Reference!$A$6:$A$11,1))))*(INDEX(Reference!$B$6:$B$11,MIN(5,MATCH(MAX(Reference!$A$6,MIN(Reference!$A$11,MIN($U103,240))),Reference!$A$6:$A$11,1))+1)-INDEX(Reference!$B$6:$B$11,MIN(5,MATCH(MAX(Reference!$A$6,MIN(Reference!$A$11,MIN($U103,240))),Reference!$A$6:$A$11,1))))/(INDEX(Reference!$A$6:$A$11,MIN(5,MATCH(MAX(Reference!$A$6,MIN(Reference!$A$11,MIN($U103,240))),Reference!$A$6:$A$11,1))+1)-INDEX(Reference!$A$6:$A$11,MIN(5,MATCH(MAX(Reference!$A$6,MIN(Reference!$A$11,MIN($U103,240))),Reference!$A$6:$A$11,1))))),0)+IF(7&lt;=$AL103,($AL103-7+3)*(INDEX(Reference!$B$6:$B$11,MIN(5,MATCH(MAX(Reference!$A$6,MIN(Reference!$A$11,MIN($U103,270))),Reference!$A$6:$A$11,1)))+(MAX(Reference!$A$6,MIN(Reference!$A$11,MIN($U103,270)))-INDEX(Reference!$A$6:$A$11,MIN(5,MATCH(MAX(Reference!$A$6,MIN(Reference!$A$11,MIN($U103,270))),Reference!$A$6:$A$11,1))))*(INDEX(Reference!$B$6:$B$11,MIN(5,MATCH(MAX(Reference!$A$6,MIN(Reference!$A$11,MIN($U103,270))),Reference!$A$6:$A$11,1))+1)-INDEX(Reference!$B$6:$B$11,MIN(5,MATCH(MAX(Reference!$A$6,MIN(Reference!$A$11,MIN($U103,270))),Reference!$A$6:$A$11,1))))/(INDEX(Reference!$A$6:$A$11,MIN(5,MATCH(MAX(Reference!$A$6,MIN(Reference!$A$11,MIN($U103,270))),Reference!$A$6:$A$11,1))+1)-INDEX(Reference!$A$6:$A$11,MIN(5,MATCH(MAX(Reference!$A$6,MIN(Reference!$A$11,MIN($U103,270))),Reference!$A$6:$A$11,1))))),0)+IF(8&lt;=$AL103,($AL103-8+3)*(INDEX(Reference!$B$6:$B$11,MIN(5,MATCH(MAX(Reference!$A$6,MIN(Reference!$A$11,MIN($U103,300))),Reference!$A$6:$A$11,1)))+(MAX(Reference!$A$6,MIN(Reference!$A$11,MIN($U103,300)))-INDEX(Reference!$A$6:$A$11,MIN(5,MATCH(MAX(Reference!$A$6,MIN(Reference!$A$11,MIN($U103,300))),Reference!$A$6:$A$11,1))))*(INDEX(Reference!$B$6:$B$11,MIN(5,MATCH(MAX(Reference!$A$6,MIN(Reference!$A$11,MIN($U103,300))),Reference!$A$6:$A$11,1))+1)-INDEX(Reference!$B$6:$B$11,MIN(5,MATCH(MAX(Reference!$A$6,MIN(Reference!$A$11,MIN($U103,300))),Reference!$A$6:$A$11,1))))/(INDEX(Reference!$A$6:$A$11,MIN(5,MATCH(MAX(Reference!$A$6,MIN(Reference!$A$11,MIN($U103,300))),Reference!$A$6:$A$11,1))+1)-INDEX(Reference!$A$6:$A$11,MIN(5,MATCH(MAX(Reference!$A$6,MIN(Reference!$A$11,MIN($U103,300))),Reference!$A$6:$A$11,1))))),0))/($AL103*($AL103+5)/2)),$AN103))</f>
        <v>1.1499999999999999</v>
      </c>
      <c r="AN103" s="32">
        <f>IF($U103="",0,(INDEX(Reference!$B$6:$B$11,MIN(5,MATCH(MAX(Reference!$A$6,MIN(Reference!$A$11,$U103)),Reference!$A$6:$A$11,1)))+(MAX(Reference!$A$6,MIN(Reference!$A$11,$U103))-INDEX(Reference!$A$6:$A$11,MIN(5,MATCH(MAX(Reference!$A$6,MIN(Reference!$A$11,$U103)),Reference!$A$6:$A$11,1))))*(INDEX(Reference!$B$6:$B$11,MIN(5,MATCH(MAX(Reference!$A$6,MIN(Reference!$A$11,$U103)),Reference!$A$6:$A$11,1))+1)-INDEX(Reference!$B$6:$B$11,MIN(5,MATCH(MAX(Reference!$A$6,MIN(Reference!$A$11,$U103)),Reference!$A$6:$A$11,1))))/(INDEX(Reference!$A$6:$A$11,MIN(5,MATCH(MAX(Reference!$A$6,MIN(Reference!$A$11,$U103)),Reference!$A$6:$A$11,1))+1)-INDEX(Reference!$A$6:$A$11,MIN(5,MATCH(MAX(Reference!$A$6,MIN(Reference!$A$11,$U103)),Reference!$A$6:$A$11,1))))))</f>
        <v>1.1499999999999999</v>
      </c>
      <c r="AO103" s="37"/>
      <c r="AP103" s="37"/>
      <c r="AQ103" s="37"/>
    </row>
    <row r="104" spans="1:43" ht="26.4" x14ac:dyDescent="0.3">
      <c r="A104" s="48">
        <f t="shared" si="30"/>
        <v>46368</v>
      </c>
      <c r="B104" s="32" t="str">
        <f t="shared" si="31"/>
        <v>Sat</v>
      </c>
      <c r="C104" s="32">
        <f t="shared" si="32"/>
        <v>23</v>
      </c>
      <c r="D104" s="32" t="str">
        <f t="shared" si="33"/>
        <v>Flat Ground / Intent</v>
      </c>
      <c r="E104" s="32" t="str">
        <f t="shared" si="34"/>
        <v>High Non-Bullpen</v>
      </c>
      <c r="F104" s="32" t="str">
        <f t="shared" si="35"/>
        <v>Long Toss</v>
      </c>
      <c r="G104" s="47" t="str">
        <f t="shared" si="36"/>
        <v>Long toss out to 150 ft — 27 throws (90×11 · 120×9 · 150×7) @ 78–81 mph + flat ground at 60 ft × 25 @ 82–84 mph</v>
      </c>
      <c r="H104" s="30">
        <f t="shared" si="37"/>
        <v>51.864999999999995</v>
      </c>
      <c r="I104" s="46">
        <f>IF($A104="","",IF(AND($L104&lt;27,$K$12=0),"Building",IFERROR(((SUM($H$98:$H104)+$K$12*IF($L104&lt;6,SUMIFS('Throw Log'!$Q$5:$Q$300,'Throw Log'!$B$5:$B$300,$D$4,'Throw Log'!$A$5:$A$300,"&gt;="&amp;($D$6+$L104-6),'Throw Log'!$A$5:$A$300,"&lt;="&amp;($D$6-1)),0))/7)/((SUM($H$77:$H104)+$K$12*IF($L104&lt;27,SUMIFS('Throw Log'!$Q$5:$Q$300,'Throw Log'!$B$5:$B$300,$D$4,'Throw Log'!$A$5:$A$300,"&gt;="&amp;($D$6+$L104-27),'Throw Log'!$A$5:$A$300,"&lt;="&amp;($D$6-1)),0))/28),"")))</f>
        <v>1.2735301292361798</v>
      </c>
      <c r="J104" s="37"/>
      <c r="K104" s="37"/>
      <c r="L104" s="32">
        <v>61</v>
      </c>
      <c r="M104" s="32">
        <f t="shared" si="38"/>
        <v>9</v>
      </c>
      <c r="N104" s="32">
        <f t="shared" si="39"/>
        <v>5</v>
      </c>
      <c r="O104" s="32">
        <f t="shared" si="40"/>
        <v>0.80263157894736847</v>
      </c>
      <c r="P104" s="32">
        <f>IF(OR($A104="",N($C104)&lt;=7),"",$G$6*$G$9^($M104-1)*IF(AND(MOD($M104,Reference!$B$99)=0,$M104&lt;=$G$5-2),Reference!$B$100,1))</f>
        <v>205.39822006322521</v>
      </c>
      <c r="Q104" s="32">
        <f>IF($P104="","",IF(SUM($AK$99:$AK$105)=0,0,$P104*INDEX(Reference!$B$108:$B$114,$N104+1)/SUM($AK$99:$AK$105)))</f>
        <v>51.829457399131599</v>
      </c>
      <c r="R104" s="32">
        <f t="shared" si="41"/>
        <v>180</v>
      </c>
      <c r="S104" s="32">
        <f t="shared" si="42"/>
        <v>150</v>
      </c>
      <c r="T104" s="32" t="str">
        <f>IF($A104="","",IF($C104=0,"Bullpen",IF(OR($C104=7,$C104=1,$C104=5),"Recovery/Easy Catch",IF($C104=6,"Compression/Pulldowns",IF(OR($C104=4,$C104=2),"Long Toss",IF($C104=3,"No Throw",IF($N104=2,"No Throw",IF($N104=6,IF($O104&lt;Reference!$B$104,"No Throw","Recovery/Easy Catch"),IF(OR($N104=0,$N104=4),"Recovery/Easy Catch",IF($N104=1,IF($R104&gt;75,"Long Toss","Recovery/Easy Catch"),IF($N104=3,IF($O104&lt;0.5,IF($S104&gt;75,"Long Toss","Recovery/Easy Catch"),"Compression/Pulldowns"),IF($S104&gt;75,"Long Toss","Recovery/Easy Catch"))))))))))))</f>
        <v>Long Toss</v>
      </c>
      <c r="U104" s="32">
        <f t="shared" si="43"/>
        <v>150</v>
      </c>
      <c r="V104" s="32">
        <f t="shared" si="44"/>
        <v>10</v>
      </c>
      <c r="W104" s="32">
        <f t="shared" si="45"/>
        <v>13</v>
      </c>
      <c r="X104" s="32">
        <f t="shared" si="46"/>
        <v>25</v>
      </c>
      <c r="Y104" s="32">
        <f t="shared" si="47"/>
        <v>7</v>
      </c>
      <c r="Z104" s="32">
        <f t="shared" si="48"/>
        <v>9</v>
      </c>
      <c r="AA104" s="32" t="str">
        <f t="shared" si="49"/>
        <v/>
      </c>
      <c r="AB104" s="32">
        <f>IF($A104="","",IF($T104="No Throw",0,IF($K104&lt;&gt;"",$K104,IF($AA104&lt;&gt;"",ROUND($AA104*$D$12*IF($C104=0,1,$G$10),0),MIN(IF($T104="Recovery/Easy Catch",Reference!$B$103,IF($T104="Long Toss",Reference!$B$106,Reference!$B$102)),MAX(Reference!$B$101,ROUND(MAX(0,$Q104-$AE104)/$AF104,0)))))))</f>
        <v>27</v>
      </c>
      <c r="AC104" s="32">
        <f t="shared" si="50"/>
        <v>0</v>
      </c>
      <c r="AD104" s="32" t="b">
        <f t="shared" si="51"/>
        <v>0</v>
      </c>
      <c r="AE104" s="32">
        <f>IF($X104=0,0,$X104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104+$Z104)/2,0),Reference!$A$17:$B$20,2,TRUE()))</f>
        <v>25</v>
      </c>
      <c r="AF104" s="32">
        <f>IF(OR($A104="",$U104="",$T104="No Throw"),0,$AM104*VLOOKUP(MAX(($V104+$W104)/2,0),Reference!$A$17:$B$20,2,TRUE()))</f>
        <v>0.995</v>
      </c>
      <c r="AG104" s="32">
        <f>IF($AC104=0,0,$AC104*INDEX(Reference!$B$61:$B$62,MATCH("Bullpen",Reference!$A$61:$A$62,0))*VLOOKUP(MAX($D$5-($D$9+$E$9)/2,0),Reference!$A$17:$B$20,2,TRUE()))</f>
        <v>0</v>
      </c>
      <c r="AH104" s="46">
        <f t="shared" si="52"/>
        <v>1.2735301292361798</v>
      </c>
      <c r="AI104" s="32">
        <f>IF($A104="",NA(),Reference!$A$25)</f>
        <v>0.8</v>
      </c>
      <c r="AJ104" s="32">
        <f t="shared" si="53"/>
        <v>1.3</v>
      </c>
      <c r="AK104" s="56">
        <f>IF(OR($A104="",N($C104)&lt;=7,$T104="No Throw",$J104="x"),0,INDEX(Reference!$B$108:$B$114,$N104+1))</f>
        <v>0.27</v>
      </c>
      <c r="AL104" s="32">
        <f t="shared" si="54"/>
        <v>3</v>
      </c>
      <c r="AM104" s="32">
        <f>IF($U104="",0,IF($AL104&gt;1,((IF(1&lt;=$AL104,($AL104-1+3)*(INDEX(Reference!$B$6:$B$11,MIN(5,MATCH(MAX(Reference!$A$6,MIN(Reference!$A$11,MIN($U104,90))),Reference!$A$6:$A$11,1)))+(MAX(Reference!$A$6,MIN(Reference!$A$11,MIN($U104,90)))-INDEX(Reference!$A$6:$A$11,MIN(5,MATCH(MAX(Reference!$A$6,MIN(Reference!$A$11,MIN($U104,90))),Reference!$A$6:$A$11,1))))*(INDEX(Reference!$B$6:$B$11,MIN(5,MATCH(MAX(Reference!$A$6,MIN(Reference!$A$11,MIN($U104,90))),Reference!$A$6:$A$11,1))+1)-INDEX(Reference!$B$6:$B$11,MIN(5,MATCH(MAX(Reference!$A$6,MIN(Reference!$A$11,MIN($U104,90))),Reference!$A$6:$A$11,1))))/(INDEX(Reference!$A$6:$A$11,MIN(5,MATCH(MAX(Reference!$A$6,MIN(Reference!$A$11,MIN($U104,90))),Reference!$A$6:$A$11,1))+1)-INDEX(Reference!$A$6:$A$11,MIN(5,MATCH(MAX(Reference!$A$6,MIN(Reference!$A$11,MIN($U104,90))),Reference!$A$6:$A$11,1))))),0)+IF(2&lt;=$AL104,($AL104-2+3)*(INDEX(Reference!$B$6:$B$11,MIN(5,MATCH(MAX(Reference!$A$6,MIN(Reference!$A$11,MIN($U104,120))),Reference!$A$6:$A$11,1)))+(MAX(Reference!$A$6,MIN(Reference!$A$11,MIN($U104,120)))-INDEX(Reference!$A$6:$A$11,MIN(5,MATCH(MAX(Reference!$A$6,MIN(Reference!$A$11,MIN($U104,120))),Reference!$A$6:$A$11,1))))*(INDEX(Reference!$B$6:$B$11,MIN(5,MATCH(MAX(Reference!$A$6,MIN(Reference!$A$11,MIN($U104,120))),Reference!$A$6:$A$11,1))+1)-INDEX(Reference!$B$6:$B$11,MIN(5,MATCH(MAX(Reference!$A$6,MIN(Reference!$A$11,MIN($U104,120))),Reference!$A$6:$A$11,1))))/(INDEX(Reference!$A$6:$A$11,MIN(5,MATCH(MAX(Reference!$A$6,MIN(Reference!$A$11,MIN($U104,120))),Reference!$A$6:$A$11,1))+1)-INDEX(Reference!$A$6:$A$11,MIN(5,MATCH(MAX(Reference!$A$6,MIN(Reference!$A$11,MIN($U104,120))),Reference!$A$6:$A$11,1))))),0)+IF(3&lt;=$AL104,($AL104-3+3)*(INDEX(Reference!$B$6:$B$11,MIN(5,MATCH(MAX(Reference!$A$6,MIN(Reference!$A$11,MIN($U104,150))),Reference!$A$6:$A$11,1)))+(MAX(Reference!$A$6,MIN(Reference!$A$11,MIN($U104,150)))-INDEX(Reference!$A$6:$A$11,MIN(5,MATCH(MAX(Reference!$A$6,MIN(Reference!$A$11,MIN($U104,150))),Reference!$A$6:$A$11,1))))*(INDEX(Reference!$B$6:$B$11,MIN(5,MATCH(MAX(Reference!$A$6,MIN(Reference!$A$11,MIN($U104,150))),Reference!$A$6:$A$11,1))+1)-INDEX(Reference!$B$6:$B$11,MIN(5,MATCH(MAX(Reference!$A$6,MIN(Reference!$A$11,MIN($U104,150))),Reference!$A$6:$A$11,1))))/(INDEX(Reference!$A$6:$A$11,MIN(5,MATCH(MAX(Reference!$A$6,MIN(Reference!$A$11,MIN($U104,150))),Reference!$A$6:$A$11,1))+1)-INDEX(Reference!$A$6:$A$11,MIN(5,MATCH(MAX(Reference!$A$6,MIN(Reference!$A$11,MIN($U104,150))),Reference!$A$6:$A$11,1))))),0)+IF(4&lt;=$AL104,($AL104-4+3)*(INDEX(Reference!$B$6:$B$11,MIN(5,MATCH(MAX(Reference!$A$6,MIN(Reference!$A$11,MIN($U104,180))),Reference!$A$6:$A$11,1)))+(MAX(Reference!$A$6,MIN(Reference!$A$11,MIN($U104,180)))-INDEX(Reference!$A$6:$A$11,MIN(5,MATCH(MAX(Reference!$A$6,MIN(Reference!$A$11,MIN($U104,180))),Reference!$A$6:$A$11,1))))*(INDEX(Reference!$B$6:$B$11,MIN(5,MATCH(MAX(Reference!$A$6,MIN(Reference!$A$11,MIN($U104,180))),Reference!$A$6:$A$11,1))+1)-INDEX(Reference!$B$6:$B$11,MIN(5,MATCH(MAX(Reference!$A$6,MIN(Reference!$A$11,MIN($U104,180))),Reference!$A$6:$A$11,1))))/(INDEX(Reference!$A$6:$A$11,MIN(5,MATCH(MAX(Reference!$A$6,MIN(Reference!$A$11,MIN($U104,180))),Reference!$A$6:$A$11,1))+1)-INDEX(Reference!$A$6:$A$11,MIN(5,MATCH(MAX(Reference!$A$6,MIN(Reference!$A$11,MIN($U104,180))),Reference!$A$6:$A$11,1))))),0)+IF(5&lt;=$AL104,($AL104-5+3)*(INDEX(Reference!$B$6:$B$11,MIN(5,MATCH(MAX(Reference!$A$6,MIN(Reference!$A$11,MIN($U104,210))),Reference!$A$6:$A$11,1)))+(MAX(Reference!$A$6,MIN(Reference!$A$11,MIN($U104,210)))-INDEX(Reference!$A$6:$A$11,MIN(5,MATCH(MAX(Reference!$A$6,MIN(Reference!$A$11,MIN($U104,210))),Reference!$A$6:$A$11,1))))*(INDEX(Reference!$B$6:$B$11,MIN(5,MATCH(MAX(Reference!$A$6,MIN(Reference!$A$11,MIN($U104,210))),Reference!$A$6:$A$11,1))+1)-INDEX(Reference!$B$6:$B$11,MIN(5,MATCH(MAX(Reference!$A$6,MIN(Reference!$A$11,MIN($U104,210))),Reference!$A$6:$A$11,1))))/(INDEX(Reference!$A$6:$A$11,MIN(5,MATCH(MAX(Reference!$A$6,MIN(Reference!$A$11,MIN($U104,210))),Reference!$A$6:$A$11,1))+1)-INDEX(Reference!$A$6:$A$11,MIN(5,MATCH(MAX(Reference!$A$6,MIN(Reference!$A$11,MIN($U104,210))),Reference!$A$6:$A$11,1))))),0)+IF(6&lt;=$AL104,($AL104-6+3)*(INDEX(Reference!$B$6:$B$11,MIN(5,MATCH(MAX(Reference!$A$6,MIN(Reference!$A$11,MIN($U104,240))),Reference!$A$6:$A$11,1)))+(MAX(Reference!$A$6,MIN(Reference!$A$11,MIN($U104,240)))-INDEX(Reference!$A$6:$A$11,MIN(5,MATCH(MAX(Reference!$A$6,MIN(Reference!$A$11,MIN($U104,240))),Reference!$A$6:$A$11,1))))*(INDEX(Reference!$B$6:$B$11,MIN(5,MATCH(MAX(Reference!$A$6,MIN(Reference!$A$11,MIN($U104,240))),Reference!$A$6:$A$11,1))+1)-INDEX(Reference!$B$6:$B$11,MIN(5,MATCH(MAX(Reference!$A$6,MIN(Reference!$A$11,MIN($U104,240))),Reference!$A$6:$A$11,1))))/(INDEX(Reference!$A$6:$A$11,MIN(5,MATCH(MAX(Reference!$A$6,MIN(Reference!$A$11,MIN($U104,240))),Reference!$A$6:$A$11,1))+1)-INDEX(Reference!$A$6:$A$11,MIN(5,MATCH(MAX(Reference!$A$6,MIN(Reference!$A$11,MIN($U104,240))),Reference!$A$6:$A$11,1))))),0)+IF(7&lt;=$AL104,($AL104-7+3)*(INDEX(Reference!$B$6:$B$11,MIN(5,MATCH(MAX(Reference!$A$6,MIN(Reference!$A$11,MIN($U104,270))),Reference!$A$6:$A$11,1)))+(MAX(Reference!$A$6,MIN(Reference!$A$11,MIN($U104,270)))-INDEX(Reference!$A$6:$A$11,MIN(5,MATCH(MAX(Reference!$A$6,MIN(Reference!$A$11,MIN($U104,270))),Reference!$A$6:$A$11,1))))*(INDEX(Reference!$B$6:$B$11,MIN(5,MATCH(MAX(Reference!$A$6,MIN(Reference!$A$11,MIN($U104,270))),Reference!$A$6:$A$11,1))+1)-INDEX(Reference!$B$6:$B$11,MIN(5,MATCH(MAX(Reference!$A$6,MIN(Reference!$A$11,MIN($U104,270))),Reference!$A$6:$A$11,1))))/(INDEX(Reference!$A$6:$A$11,MIN(5,MATCH(MAX(Reference!$A$6,MIN(Reference!$A$11,MIN($U104,270))),Reference!$A$6:$A$11,1))+1)-INDEX(Reference!$A$6:$A$11,MIN(5,MATCH(MAX(Reference!$A$6,MIN(Reference!$A$11,MIN($U104,270))),Reference!$A$6:$A$11,1))))),0)+IF(8&lt;=$AL104,($AL104-8+3)*(INDEX(Reference!$B$6:$B$11,MIN(5,MATCH(MAX(Reference!$A$6,MIN(Reference!$A$11,MIN($U104,300))),Reference!$A$6:$A$11,1)))+(MAX(Reference!$A$6,MIN(Reference!$A$11,MIN($U104,300)))-INDEX(Reference!$A$6:$A$11,MIN(5,MATCH(MAX(Reference!$A$6,MIN(Reference!$A$11,MIN($U104,300))),Reference!$A$6:$A$11,1))))*(INDEX(Reference!$B$6:$B$11,MIN(5,MATCH(MAX(Reference!$A$6,MIN(Reference!$A$11,MIN($U104,300))),Reference!$A$6:$A$11,1))+1)-INDEX(Reference!$B$6:$B$11,MIN(5,MATCH(MAX(Reference!$A$6,MIN(Reference!$A$11,MIN($U104,300))),Reference!$A$6:$A$11,1))))/(INDEX(Reference!$A$6:$A$11,MIN(5,MATCH(MAX(Reference!$A$6,MIN(Reference!$A$11,MIN($U104,300))),Reference!$A$6:$A$11,1))+1)-INDEX(Reference!$A$6:$A$11,MIN(5,MATCH(MAX(Reference!$A$6,MIN(Reference!$A$11,MIN($U104,300))),Reference!$A$6:$A$11,1))))),0))/($AL104*($AL104+5)/2)),$AN104))</f>
        <v>1.6583333333333334</v>
      </c>
      <c r="AN104" s="32">
        <f>IF($U104="",0,(INDEX(Reference!$B$6:$B$11,MIN(5,MATCH(MAX(Reference!$A$6,MIN(Reference!$A$11,$U104)),Reference!$A$6:$A$11,1)))+(MAX(Reference!$A$6,MIN(Reference!$A$11,$U104))-INDEX(Reference!$A$6:$A$11,MIN(5,MATCH(MAX(Reference!$A$6,MIN(Reference!$A$11,$U104)),Reference!$A$6:$A$11,1))))*(INDEX(Reference!$B$6:$B$11,MIN(5,MATCH(MAX(Reference!$A$6,MIN(Reference!$A$11,$U104)),Reference!$A$6:$A$11,1))+1)-INDEX(Reference!$B$6:$B$11,MIN(5,MATCH(MAX(Reference!$A$6,MIN(Reference!$A$11,$U104)),Reference!$A$6:$A$11,1))))/(INDEX(Reference!$A$6:$A$11,MIN(5,MATCH(MAX(Reference!$A$6,MIN(Reference!$A$11,$U104)),Reference!$A$6:$A$11,1))+1)-INDEX(Reference!$A$6:$A$11,MIN(5,MATCH(MAX(Reference!$A$6,MIN(Reference!$A$11,$U104)),Reference!$A$6:$A$11,1))))))</f>
        <v>2.2000000000000002</v>
      </c>
      <c r="AO104" s="37"/>
      <c r="AP104" s="37"/>
      <c r="AQ104" s="37"/>
    </row>
    <row r="105" spans="1:43" x14ac:dyDescent="0.3">
      <c r="A105" s="48">
        <f t="shared" si="30"/>
        <v>46369</v>
      </c>
      <c r="B105" s="32" t="str">
        <f t="shared" si="31"/>
        <v>Sun</v>
      </c>
      <c r="C105" s="32">
        <f t="shared" si="32"/>
        <v>22</v>
      </c>
      <c r="D105" s="32" t="str">
        <f t="shared" si="33"/>
        <v>Flat Ground / Intent</v>
      </c>
      <c r="E105" s="32" t="str">
        <f t="shared" si="34"/>
        <v>Low</v>
      </c>
      <c r="F105" s="32" t="str">
        <f t="shared" si="35"/>
        <v>Recovery/Easy Catch</v>
      </c>
      <c r="G105" s="47" t="str">
        <f t="shared" si="36"/>
        <v>60 ft × 25 @ 67–71 mph</v>
      </c>
      <c r="H105" s="30">
        <f t="shared" si="37"/>
        <v>15</v>
      </c>
      <c r="I105" s="46">
        <f>IF($A105="","",IF(AND($L105&lt;27,$K$12=0),"Building",IFERROR(((SUM($H$99:$H105)+$K$12*IF($L105&lt;6,SUMIFS('Throw Log'!$Q$5:$Q$300,'Throw Log'!$B$5:$B$300,$D$4,'Throw Log'!$A$5:$A$300,"&gt;="&amp;($D$6+$L105-6),'Throw Log'!$A$5:$A$300,"&lt;="&amp;($D$6-1)),0))/7)/((SUM($H$78:$H105)+$K$12*IF($L105&lt;27,SUMIFS('Throw Log'!$Q$5:$Q$300,'Throw Log'!$B$5:$B$300,$D$4,'Throw Log'!$A$5:$A$300,"&gt;="&amp;($D$6+$L105-27),'Throw Log'!$A$5:$A$300,"&lt;="&amp;($D$6-1)),0))/28),"")))</f>
        <v>1.2626663148865445</v>
      </c>
      <c r="J105" s="37"/>
      <c r="K105" s="37">
        <v>25</v>
      </c>
      <c r="L105" s="32">
        <v>62</v>
      </c>
      <c r="M105" s="32">
        <f t="shared" si="38"/>
        <v>9</v>
      </c>
      <c r="N105" s="32">
        <f t="shared" si="39"/>
        <v>6</v>
      </c>
      <c r="O105" s="32">
        <f t="shared" si="40"/>
        <v>0.81578947368421051</v>
      </c>
      <c r="P105" s="32">
        <f>IF(OR($A105="",N($C105)&lt;=7),"",$G$6*$G$9^($M105-1)*IF(AND(MOD($M105,Reference!$B$99)=0,$M105&lt;=$G$5-2),Reference!$B$100,1))</f>
        <v>205.39822006322521</v>
      </c>
      <c r="Q105" s="32">
        <f>IF($P105="","",IF(SUM($AK$99:$AK$105)=0,0,$P105*INDEX(Reference!$B$108:$B$114,$N105+1)/SUM($AK$99:$AK$105)))</f>
        <v>13.43726673310819</v>
      </c>
      <c r="R105" s="32">
        <f t="shared" si="41"/>
        <v>180</v>
      </c>
      <c r="S105" s="32">
        <f t="shared" si="42"/>
        <v>150</v>
      </c>
      <c r="T105" s="32" t="str">
        <f>IF($A105="","",IF($C105=0,"Bullpen",IF(OR($C105=7,$C105=1,$C105=5),"Recovery/Easy Catch",IF($C105=6,"Compression/Pulldowns",IF(OR($C105=4,$C105=2),"Long Toss",IF($C105=3,"No Throw",IF($N105=2,"No Throw",IF($N105=6,IF($O105&lt;Reference!$B$104,"No Throw","Recovery/Easy Catch"),IF(OR($N105=0,$N105=4),"Recovery/Easy Catch",IF($N105=1,IF($R105&gt;75,"Long Toss","Recovery/Easy Catch"),IF($N105=3,IF($O105&lt;0.5,IF($S105&gt;75,"Long Toss","Recovery/Easy Catch"),"Compression/Pulldowns"),IF($S105&gt;75,"Long Toss","Recovery/Easy Catch"))))))))))))</f>
        <v>Recovery/Easy Catch</v>
      </c>
      <c r="U105" s="32">
        <f t="shared" si="43"/>
        <v>60</v>
      </c>
      <c r="V105" s="32">
        <f t="shared" si="44"/>
        <v>20</v>
      </c>
      <c r="W105" s="32">
        <f t="shared" si="45"/>
        <v>24</v>
      </c>
      <c r="X105" s="32">
        <f t="shared" si="46"/>
        <v>0</v>
      </c>
      <c r="Y105" s="32" t="str">
        <f t="shared" si="47"/>
        <v/>
      </c>
      <c r="Z105" s="32" t="str">
        <f t="shared" si="48"/>
        <v/>
      </c>
      <c r="AA105" s="32" t="str">
        <f t="shared" si="49"/>
        <v/>
      </c>
      <c r="AB105" s="32">
        <f>IF($A105="","",IF($T105="No Throw",0,IF($K105&lt;&gt;"",$K105,IF($AA105&lt;&gt;"",ROUND($AA105*$D$12*IF($C105=0,1,$G$10),0),MIN(IF($T105="Recovery/Easy Catch",Reference!$B$103,IF($T105="Long Toss",Reference!$B$106,Reference!$B$102)),MAX(Reference!$B$101,ROUND(MAX(0,$Q105-$AE105)/$AF105,0)))))))</f>
        <v>25</v>
      </c>
      <c r="AC105" s="32">
        <f t="shared" si="50"/>
        <v>0</v>
      </c>
      <c r="AD105" s="32" t="b">
        <f t="shared" si="51"/>
        <v>0</v>
      </c>
      <c r="AE105" s="32">
        <f>IF($X105=0,0,$X105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105+$Z105)/2,0),Reference!$A$17:$B$20,2,TRUE()))</f>
        <v>0</v>
      </c>
      <c r="AF105" s="32">
        <f>IF(OR($A105="",$U105="",$T105="No Throw"),0,$AM105*VLOOKUP(MAX(($V105+$W105)/2,0),Reference!$A$17:$B$20,2,TRUE()))</f>
        <v>0.6</v>
      </c>
      <c r="AG105" s="32">
        <f>IF($AC105=0,0,$AC105*INDEX(Reference!$B$61:$B$62,MATCH("Bullpen",Reference!$A$61:$A$62,0))*VLOOKUP(MAX($D$5-($D$9+$E$9)/2,0),Reference!$A$17:$B$20,2,TRUE()))</f>
        <v>0</v>
      </c>
      <c r="AH105" s="46">
        <f t="shared" si="52"/>
        <v>1.2626663148865445</v>
      </c>
      <c r="AI105" s="32">
        <f>IF($A105="",NA(),Reference!$A$25)</f>
        <v>0.8</v>
      </c>
      <c r="AJ105" s="32">
        <f t="shared" si="53"/>
        <v>1.3</v>
      </c>
      <c r="AK105" s="56">
        <f>IF(OR($A105="",N($C105)&lt;=7,$T105="No Throw",$J105="x"),0,INDEX(Reference!$B$108:$B$114,$N105+1))</f>
        <v>7.0000000000000007E-2</v>
      </c>
      <c r="AL105" s="32">
        <f t="shared" si="54"/>
        <v>1</v>
      </c>
      <c r="AM105" s="32">
        <f>IF($U105="",0,IF($AL105&gt;1,((IF(1&lt;=$AL105,($AL105-1+3)*(INDEX(Reference!$B$6:$B$11,MIN(5,MATCH(MAX(Reference!$A$6,MIN(Reference!$A$11,MIN($U105,90))),Reference!$A$6:$A$11,1)))+(MAX(Reference!$A$6,MIN(Reference!$A$11,MIN($U105,90)))-INDEX(Reference!$A$6:$A$11,MIN(5,MATCH(MAX(Reference!$A$6,MIN(Reference!$A$11,MIN($U105,90))),Reference!$A$6:$A$11,1))))*(INDEX(Reference!$B$6:$B$11,MIN(5,MATCH(MAX(Reference!$A$6,MIN(Reference!$A$11,MIN($U105,90))),Reference!$A$6:$A$11,1))+1)-INDEX(Reference!$B$6:$B$11,MIN(5,MATCH(MAX(Reference!$A$6,MIN(Reference!$A$11,MIN($U105,90))),Reference!$A$6:$A$11,1))))/(INDEX(Reference!$A$6:$A$11,MIN(5,MATCH(MAX(Reference!$A$6,MIN(Reference!$A$11,MIN($U105,90))),Reference!$A$6:$A$11,1))+1)-INDEX(Reference!$A$6:$A$11,MIN(5,MATCH(MAX(Reference!$A$6,MIN(Reference!$A$11,MIN($U105,90))),Reference!$A$6:$A$11,1))))),0)+IF(2&lt;=$AL105,($AL105-2+3)*(INDEX(Reference!$B$6:$B$11,MIN(5,MATCH(MAX(Reference!$A$6,MIN(Reference!$A$11,MIN($U105,120))),Reference!$A$6:$A$11,1)))+(MAX(Reference!$A$6,MIN(Reference!$A$11,MIN($U105,120)))-INDEX(Reference!$A$6:$A$11,MIN(5,MATCH(MAX(Reference!$A$6,MIN(Reference!$A$11,MIN($U105,120))),Reference!$A$6:$A$11,1))))*(INDEX(Reference!$B$6:$B$11,MIN(5,MATCH(MAX(Reference!$A$6,MIN(Reference!$A$11,MIN($U105,120))),Reference!$A$6:$A$11,1))+1)-INDEX(Reference!$B$6:$B$11,MIN(5,MATCH(MAX(Reference!$A$6,MIN(Reference!$A$11,MIN($U105,120))),Reference!$A$6:$A$11,1))))/(INDEX(Reference!$A$6:$A$11,MIN(5,MATCH(MAX(Reference!$A$6,MIN(Reference!$A$11,MIN($U105,120))),Reference!$A$6:$A$11,1))+1)-INDEX(Reference!$A$6:$A$11,MIN(5,MATCH(MAX(Reference!$A$6,MIN(Reference!$A$11,MIN($U105,120))),Reference!$A$6:$A$11,1))))),0)+IF(3&lt;=$AL105,($AL105-3+3)*(INDEX(Reference!$B$6:$B$11,MIN(5,MATCH(MAX(Reference!$A$6,MIN(Reference!$A$11,MIN($U105,150))),Reference!$A$6:$A$11,1)))+(MAX(Reference!$A$6,MIN(Reference!$A$11,MIN($U105,150)))-INDEX(Reference!$A$6:$A$11,MIN(5,MATCH(MAX(Reference!$A$6,MIN(Reference!$A$11,MIN($U105,150))),Reference!$A$6:$A$11,1))))*(INDEX(Reference!$B$6:$B$11,MIN(5,MATCH(MAX(Reference!$A$6,MIN(Reference!$A$11,MIN($U105,150))),Reference!$A$6:$A$11,1))+1)-INDEX(Reference!$B$6:$B$11,MIN(5,MATCH(MAX(Reference!$A$6,MIN(Reference!$A$11,MIN($U105,150))),Reference!$A$6:$A$11,1))))/(INDEX(Reference!$A$6:$A$11,MIN(5,MATCH(MAX(Reference!$A$6,MIN(Reference!$A$11,MIN($U105,150))),Reference!$A$6:$A$11,1))+1)-INDEX(Reference!$A$6:$A$11,MIN(5,MATCH(MAX(Reference!$A$6,MIN(Reference!$A$11,MIN($U105,150))),Reference!$A$6:$A$11,1))))),0)+IF(4&lt;=$AL105,($AL105-4+3)*(INDEX(Reference!$B$6:$B$11,MIN(5,MATCH(MAX(Reference!$A$6,MIN(Reference!$A$11,MIN($U105,180))),Reference!$A$6:$A$11,1)))+(MAX(Reference!$A$6,MIN(Reference!$A$11,MIN($U105,180)))-INDEX(Reference!$A$6:$A$11,MIN(5,MATCH(MAX(Reference!$A$6,MIN(Reference!$A$11,MIN($U105,180))),Reference!$A$6:$A$11,1))))*(INDEX(Reference!$B$6:$B$11,MIN(5,MATCH(MAX(Reference!$A$6,MIN(Reference!$A$11,MIN($U105,180))),Reference!$A$6:$A$11,1))+1)-INDEX(Reference!$B$6:$B$11,MIN(5,MATCH(MAX(Reference!$A$6,MIN(Reference!$A$11,MIN($U105,180))),Reference!$A$6:$A$11,1))))/(INDEX(Reference!$A$6:$A$11,MIN(5,MATCH(MAX(Reference!$A$6,MIN(Reference!$A$11,MIN($U105,180))),Reference!$A$6:$A$11,1))+1)-INDEX(Reference!$A$6:$A$11,MIN(5,MATCH(MAX(Reference!$A$6,MIN(Reference!$A$11,MIN($U105,180))),Reference!$A$6:$A$11,1))))),0)+IF(5&lt;=$AL105,($AL105-5+3)*(INDEX(Reference!$B$6:$B$11,MIN(5,MATCH(MAX(Reference!$A$6,MIN(Reference!$A$11,MIN($U105,210))),Reference!$A$6:$A$11,1)))+(MAX(Reference!$A$6,MIN(Reference!$A$11,MIN($U105,210)))-INDEX(Reference!$A$6:$A$11,MIN(5,MATCH(MAX(Reference!$A$6,MIN(Reference!$A$11,MIN($U105,210))),Reference!$A$6:$A$11,1))))*(INDEX(Reference!$B$6:$B$11,MIN(5,MATCH(MAX(Reference!$A$6,MIN(Reference!$A$11,MIN($U105,210))),Reference!$A$6:$A$11,1))+1)-INDEX(Reference!$B$6:$B$11,MIN(5,MATCH(MAX(Reference!$A$6,MIN(Reference!$A$11,MIN($U105,210))),Reference!$A$6:$A$11,1))))/(INDEX(Reference!$A$6:$A$11,MIN(5,MATCH(MAX(Reference!$A$6,MIN(Reference!$A$11,MIN($U105,210))),Reference!$A$6:$A$11,1))+1)-INDEX(Reference!$A$6:$A$11,MIN(5,MATCH(MAX(Reference!$A$6,MIN(Reference!$A$11,MIN($U105,210))),Reference!$A$6:$A$11,1))))),0)+IF(6&lt;=$AL105,($AL105-6+3)*(INDEX(Reference!$B$6:$B$11,MIN(5,MATCH(MAX(Reference!$A$6,MIN(Reference!$A$11,MIN($U105,240))),Reference!$A$6:$A$11,1)))+(MAX(Reference!$A$6,MIN(Reference!$A$11,MIN($U105,240)))-INDEX(Reference!$A$6:$A$11,MIN(5,MATCH(MAX(Reference!$A$6,MIN(Reference!$A$11,MIN($U105,240))),Reference!$A$6:$A$11,1))))*(INDEX(Reference!$B$6:$B$11,MIN(5,MATCH(MAX(Reference!$A$6,MIN(Reference!$A$11,MIN($U105,240))),Reference!$A$6:$A$11,1))+1)-INDEX(Reference!$B$6:$B$11,MIN(5,MATCH(MAX(Reference!$A$6,MIN(Reference!$A$11,MIN($U105,240))),Reference!$A$6:$A$11,1))))/(INDEX(Reference!$A$6:$A$11,MIN(5,MATCH(MAX(Reference!$A$6,MIN(Reference!$A$11,MIN($U105,240))),Reference!$A$6:$A$11,1))+1)-INDEX(Reference!$A$6:$A$11,MIN(5,MATCH(MAX(Reference!$A$6,MIN(Reference!$A$11,MIN($U105,240))),Reference!$A$6:$A$11,1))))),0)+IF(7&lt;=$AL105,($AL105-7+3)*(INDEX(Reference!$B$6:$B$11,MIN(5,MATCH(MAX(Reference!$A$6,MIN(Reference!$A$11,MIN($U105,270))),Reference!$A$6:$A$11,1)))+(MAX(Reference!$A$6,MIN(Reference!$A$11,MIN($U105,270)))-INDEX(Reference!$A$6:$A$11,MIN(5,MATCH(MAX(Reference!$A$6,MIN(Reference!$A$11,MIN($U105,270))),Reference!$A$6:$A$11,1))))*(INDEX(Reference!$B$6:$B$11,MIN(5,MATCH(MAX(Reference!$A$6,MIN(Reference!$A$11,MIN($U105,270))),Reference!$A$6:$A$11,1))+1)-INDEX(Reference!$B$6:$B$11,MIN(5,MATCH(MAX(Reference!$A$6,MIN(Reference!$A$11,MIN($U105,270))),Reference!$A$6:$A$11,1))))/(INDEX(Reference!$A$6:$A$11,MIN(5,MATCH(MAX(Reference!$A$6,MIN(Reference!$A$11,MIN($U105,270))),Reference!$A$6:$A$11,1))+1)-INDEX(Reference!$A$6:$A$11,MIN(5,MATCH(MAX(Reference!$A$6,MIN(Reference!$A$11,MIN($U105,270))),Reference!$A$6:$A$11,1))))),0)+IF(8&lt;=$AL105,($AL105-8+3)*(INDEX(Reference!$B$6:$B$11,MIN(5,MATCH(MAX(Reference!$A$6,MIN(Reference!$A$11,MIN($U105,300))),Reference!$A$6:$A$11,1)))+(MAX(Reference!$A$6,MIN(Reference!$A$11,MIN($U105,300)))-INDEX(Reference!$A$6:$A$11,MIN(5,MATCH(MAX(Reference!$A$6,MIN(Reference!$A$11,MIN($U105,300))),Reference!$A$6:$A$11,1))))*(INDEX(Reference!$B$6:$B$11,MIN(5,MATCH(MAX(Reference!$A$6,MIN(Reference!$A$11,MIN($U105,300))),Reference!$A$6:$A$11,1))+1)-INDEX(Reference!$B$6:$B$11,MIN(5,MATCH(MAX(Reference!$A$6,MIN(Reference!$A$11,MIN($U105,300))),Reference!$A$6:$A$11,1))))/(INDEX(Reference!$A$6:$A$11,MIN(5,MATCH(MAX(Reference!$A$6,MIN(Reference!$A$11,MIN($U105,300))),Reference!$A$6:$A$11,1))+1)-INDEX(Reference!$A$6:$A$11,MIN(5,MATCH(MAX(Reference!$A$6,MIN(Reference!$A$11,MIN($U105,300))),Reference!$A$6:$A$11,1))))),0))/($AL105*($AL105+5)/2)),$AN105))</f>
        <v>1</v>
      </c>
      <c r="AN105" s="32">
        <f>IF($U105="",0,(INDEX(Reference!$B$6:$B$11,MIN(5,MATCH(MAX(Reference!$A$6,MIN(Reference!$A$11,$U105)),Reference!$A$6:$A$11,1)))+(MAX(Reference!$A$6,MIN(Reference!$A$11,$U105))-INDEX(Reference!$A$6:$A$11,MIN(5,MATCH(MAX(Reference!$A$6,MIN(Reference!$A$11,$U105)),Reference!$A$6:$A$11,1))))*(INDEX(Reference!$B$6:$B$11,MIN(5,MATCH(MAX(Reference!$A$6,MIN(Reference!$A$11,$U105)),Reference!$A$6:$A$11,1))+1)-INDEX(Reference!$B$6:$B$11,MIN(5,MATCH(MAX(Reference!$A$6,MIN(Reference!$A$11,$U105)),Reference!$A$6:$A$11,1))))/(INDEX(Reference!$A$6:$A$11,MIN(5,MATCH(MAX(Reference!$A$6,MIN(Reference!$A$11,$U105)),Reference!$A$6:$A$11,1))+1)-INDEX(Reference!$A$6:$A$11,MIN(5,MATCH(MAX(Reference!$A$6,MIN(Reference!$A$11,$U105)),Reference!$A$6:$A$11,1))))))</f>
        <v>1</v>
      </c>
      <c r="AO105" s="37"/>
      <c r="AP105" s="37"/>
      <c r="AQ105" s="37"/>
    </row>
    <row r="106" spans="1:43" x14ac:dyDescent="0.3">
      <c r="A106" s="48">
        <f t="shared" si="30"/>
        <v>46370</v>
      </c>
      <c r="B106" s="32" t="str">
        <f t="shared" si="31"/>
        <v>Mon</v>
      </c>
      <c r="C106" s="32">
        <f t="shared" si="32"/>
        <v>21</v>
      </c>
      <c r="D106" s="32" t="str">
        <f t="shared" si="33"/>
        <v>Flat Ground / Intent</v>
      </c>
      <c r="E106" s="32" t="str">
        <f t="shared" si="34"/>
        <v>Low</v>
      </c>
      <c r="F106" s="32" t="str">
        <f t="shared" si="35"/>
        <v>Recovery/Easy Catch</v>
      </c>
      <c r="G106" s="47" t="str">
        <f t="shared" si="36"/>
        <v>75 ft × 35 @ 69–73 mph</v>
      </c>
      <c r="H106" s="30">
        <f t="shared" si="37"/>
        <v>24.15</v>
      </c>
      <c r="I106" s="46">
        <f>IF($A106="","",IF(AND($L106&lt;27,$K$12=0),"Building",IFERROR(((SUM($H$100:$H106)+$K$12*IF($L106&lt;6,SUMIFS('Throw Log'!$Q$5:$Q$300,'Throw Log'!$B$5:$B$300,$D$4,'Throw Log'!$A$5:$A$300,"&gt;="&amp;($D$6+$L106-6),'Throw Log'!$A$5:$A$300,"&lt;="&amp;($D$6-1)),0))/7)/((SUM($H$79:$H106)+$K$12*IF($L106&lt;27,SUMIFS('Throw Log'!$Q$5:$Q$300,'Throw Log'!$B$5:$B$300,$D$4,'Throw Log'!$A$5:$A$300,"&gt;="&amp;($D$6+$L106-27),'Throw Log'!$A$5:$A$300,"&lt;="&amp;($D$6-1)),0))/28),"")))</f>
        <v>1.2578346015253621</v>
      </c>
      <c r="J106" s="37"/>
      <c r="K106" s="37">
        <v>35</v>
      </c>
      <c r="L106" s="32">
        <v>63</v>
      </c>
      <c r="M106" s="32">
        <f t="shared" si="38"/>
        <v>10</v>
      </c>
      <c r="N106" s="32">
        <f t="shared" si="39"/>
        <v>0</v>
      </c>
      <c r="O106" s="32">
        <f t="shared" si="40"/>
        <v>0.82894736842105265</v>
      </c>
      <c r="P106" s="32">
        <f>IF(OR($A106="",N($C106)&lt;=7),"",$G$6*$G$9^($M106-1)*IF(AND(MOD($M106,Reference!$B$99)=0,$M106&lt;=$G$5-2),Reference!$B$100,1))</f>
        <v>231.09205355537119</v>
      </c>
      <c r="Q106" s="32">
        <f>IF($P106="","",IF(SUM($AK$106:$AK$112)=0,0,$P106*INDEX(Reference!$B$108:$B$114,$N106+1)/SUM($AK$106:$AK$112)))</f>
        <v>25.916865819293964</v>
      </c>
      <c r="R106" s="32">
        <f t="shared" si="41"/>
        <v>180</v>
      </c>
      <c r="S106" s="32">
        <f t="shared" si="42"/>
        <v>150</v>
      </c>
      <c r="T106" s="32" t="str">
        <f>IF($A106="","",IF($C106=0,"Bullpen",IF(OR($C106=7,$C106=1,$C106=5),"Recovery/Easy Catch",IF($C106=6,"Compression/Pulldowns",IF(OR($C106=4,$C106=2),"Long Toss",IF($C106=3,"No Throw",IF($N106=2,"No Throw",IF($N106=6,IF($O106&lt;Reference!$B$104,"No Throw","Recovery/Easy Catch"),IF(OR($N106=0,$N106=4),"Recovery/Easy Catch",IF($N106=1,IF($R106&gt;75,"Long Toss","Recovery/Easy Catch"),IF($N106=3,IF($O106&lt;0.5,IF($S106&gt;75,"Long Toss","Recovery/Easy Catch"),"Compression/Pulldowns"),IF($S106&gt;75,"Long Toss","Recovery/Easy Catch"))))))))))))</f>
        <v>Recovery/Easy Catch</v>
      </c>
      <c r="U106" s="32">
        <f t="shared" si="43"/>
        <v>75</v>
      </c>
      <c r="V106" s="32">
        <f t="shared" si="44"/>
        <v>18</v>
      </c>
      <c r="W106" s="32">
        <f t="shared" si="45"/>
        <v>22</v>
      </c>
      <c r="X106" s="32">
        <f t="shared" si="46"/>
        <v>0</v>
      </c>
      <c r="Y106" s="32" t="str">
        <f t="shared" si="47"/>
        <v/>
      </c>
      <c r="Z106" s="32" t="str">
        <f t="shared" si="48"/>
        <v/>
      </c>
      <c r="AA106" s="32" t="str">
        <f t="shared" si="49"/>
        <v/>
      </c>
      <c r="AB106" s="32">
        <f>IF($A106="","",IF($T106="No Throw",0,IF($K106&lt;&gt;"",$K106,IF($AA106&lt;&gt;"",ROUND($AA106*$D$12*IF($C106=0,1,$G$10),0),MIN(IF($T106="Recovery/Easy Catch",Reference!$B$103,IF($T106="Long Toss",Reference!$B$106,Reference!$B$102)),MAX(Reference!$B$101,ROUND(MAX(0,$Q106-$AE106)/$AF106,0)))))))</f>
        <v>35</v>
      </c>
      <c r="AC106" s="32">
        <f t="shared" si="50"/>
        <v>0</v>
      </c>
      <c r="AD106" s="32" t="b">
        <f t="shared" si="51"/>
        <v>0</v>
      </c>
      <c r="AE106" s="32">
        <f>IF($X106=0,0,$X106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106+$Z106)/2,0),Reference!$A$17:$B$20,2,TRUE()))</f>
        <v>0</v>
      </c>
      <c r="AF106" s="32">
        <f>IF(OR($A106="",$U106="",$T106="No Throw"),0,$AM106*VLOOKUP(MAX(($V106+$W106)/2,0),Reference!$A$17:$B$20,2,TRUE()))</f>
        <v>0.69</v>
      </c>
      <c r="AG106" s="32">
        <f>IF($AC106=0,0,$AC106*INDEX(Reference!$B$61:$B$62,MATCH("Bullpen",Reference!$A$61:$A$62,0))*VLOOKUP(MAX($D$5-($D$9+$E$9)/2,0),Reference!$A$17:$B$20,2,TRUE()))</f>
        <v>0</v>
      </c>
      <c r="AH106" s="46">
        <f t="shared" si="52"/>
        <v>1.2578346015253621</v>
      </c>
      <c r="AI106" s="32">
        <f>IF($A106="",NA(),Reference!$A$25)</f>
        <v>0.8</v>
      </c>
      <c r="AJ106" s="32">
        <f t="shared" si="53"/>
        <v>1.3</v>
      </c>
      <c r="AK106" s="56">
        <f>IF(OR($A106="",N($C106)&lt;=7,$T106="No Throw",$J106="x"),0,INDEX(Reference!$B$108:$B$114,$N106+1))</f>
        <v>0.12</v>
      </c>
      <c r="AL106" s="32">
        <f t="shared" si="54"/>
        <v>1</v>
      </c>
      <c r="AM106" s="32">
        <f>IF($U106="",0,IF($AL106&gt;1,((IF(1&lt;=$AL106,($AL106-1+3)*(INDEX(Reference!$B$6:$B$11,MIN(5,MATCH(MAX(Reference!$A$6,MIN(Reference!$A$11,MIN($U106,90))),Reference!$A$6:$A$11,1)))+(MAX(Reference!$A$6,MIN(Reference!$A$11,MIN($U106,90)))-INDEX(Reference!$A$6:$A$11,MIN(5,MATCH(MAX(Reference!$A$6,MIN(Reference!$A$11,MIN($U106,90))),Reference!$A$6:$A$11,1))))*(INDEX(Reference!$B$6:$B$11,MIN(5,MATCH(MAX(Reference!$A$6,MIN(Reference!$A$11,MIN($U106,90))),Reference!$A$6:$A$11,1))+1)-INDEX(Reference!$B$6:$B$11,MIN(5,MATCH(MAX(Reference!$A$6,MIN(Reference!$A$11,MIN($U106,90))),Reference!$A$6:$A$11,1))))/(INDEX(Reference!$A$6:$A$11,MIN(5,MATCH(MAX(Reference!$A$6,MIN(Reference!$A$11,MIN($U106,90))),Reference!$A$6:$A$11,1))+1)-INDEX(Reference!$A$6:$A$11,MIN(5,MATCH(MAX(Reference!$A$6,MIN(Reference!$A$11,MIN($U106,90))),Reference!$A$6:$A$11,1))))),0)+IF(2&lt;=$AL106,($AL106-2+3)*(INDEX(Reference!$B$6:$B$11,MIN(5,MATCH(MAX(Reference!$A$6,MIN(Reference!$A$11,MIN($U106,120))),Reference!$A$6:$A$11,1)))+(MAX(Reference!$A$6,MIN(Reference!$A$11,MIN($U106,120)))-INDEX(Reference!$A$6:$A$11,MIN(5,MATCH(MAX(Reference!$A$6,MIN(Reference!$A$11,MIN($U106,120))),Reference!$A$6:$A$11,1))))*(INDEX(Reference!$B$6:$B$11,MIN(5,MATCH(MAX(Reference!$A$6,MIN(Reference!$A$11,MIN($U106,120))),Reference!$A$6:$A$11,1))+1)-INDEX(Reference!$B$6:$B$11,MIN(5,MATCH(MAX(Reference!$A$6,MIN(Reference!$A$11,MIN($U106,120))),Reference!$A$6:$A$11,1))))/(INDEX(Reference!$A$6:$A$11,MIN(5,MATCH(MAX(Reference!$A$6,MIN(Reference!$A$11,MIN($U106,120))),Reference!$A$6:$A$11,1))+1)-INDEX(Reference!$A$6:$A$11,MIN(5,MATCH(MAX(Reference!$A$6,MIN(Reference!$A$11,MIN($U106,120))),Reference!$A$6:$A$11,1))))),0)+IF(3&lt;=$AL106,($AL106-3+3)*(INDEX(Reference!$B$6:$B$11,MIN(5,MATCH(MAX(Reference!$A$6,MIN(Reference!$A$11,MIN($U106,150))),Reference!$A$6:$A$11,1)))+(MAX(Reference!$A$6,MIN(Reference!$A$11,MIN($U106,150)))-INDEX(Reference!$A$6:$A$11,MIN(5,MATCH(MAX(Reference!$A$6,MIN(Reference!$A$11,MIN($U106,150))),Reference!$A$6:$A$11,1))))*(INDEX(Reference!$B$6:$B$11,MIN(5,MATCH(MAX(Reference!$A$6,MIN(Reference!$A$11,MIN($U106,150))),Reference!$A$6:$A$11,1))+1)-INDEX(Reference!$B$6:$B$11,MIN(5,MATCH(MAX(Reference!$A$6,MIN(Reference!$A$11,MIN($U106,150))),Reference!$A$6:$A$11,1))))/(INDEX(Reference!$A$6:$A$11,MIN(5,MATCH(MAX(Reference!$A$6,MIN(Reference!$A$11,MIN($U106,150))),Reference!$A$6:$A$11,1))+1)-INDEX(Reference!$A$6:$A$11,MIN(5,MATCH(MAX(Reference!$A$6,MIN(Reference!$A$11,MIN($U106,150))),Reference!$A$6:$A$11,1))))),0)+IF(4&lt;=$AL106,($AL106-4+3)*(INDEX(Reference!$B$6:$B$11,MIN(5,MATCH(MAX(Reference!$A$6,MIN(Reference!$A$11,MIN($U106,180))),Reference!$A$6:$A$11,1)))+(MAX(Reference!$A$6,MIN(Reference!$A$11,MIN($U106,180)))-INDEX(Reference!$A$6:$A$11,MIN(5,MATCH(MAX(Reference!$A$6,MIN(Reference!$A$11,MIN($U106,180))),Reference!$A$6:$A$11,1))))*(INDEX(Reference!$B$6:$B$11,MIN(5,MATCH(MAX(Reference!$A$6,MIN(Reference!$A$11,MIN($U106,180))),Reference!$A$6:$A$11,1))+1)-INDEX(Reference!$B$6:$B$11,MIN(5,MATCH(MAX(Reference!$A$6,MIN(Reference!$A$11,MIN($U106,180))),Reference!$A$6:$A$11,1))))/(INDEX(Reference!$A$6:$A$11,MIN(5,MATCH(MAX(Reference!$A$6,MIN(Reference!$A$11,MIN($U106,180))),Reference!$A$6:$A$11,1))+1)-INDEX(Reference!$A$6:$A$11,MIN(5,MATCH(MAX(Reference!$A$6,MIN(Reference!$A$11,MIN($U106,180))),Reference!$A$6:$A$11,1))))),0)+IF(5&lt;=$AL106,($AL106-5+3)*(INDEX(Reference!$B$6:$B$11,MIN(5,MATCH(MAX(Reference!$A$6,MIN(Reference!$A$11,MIN($U106,210))),Reference!$A$6:$A$11,1)))+(MAX(Reference!$A$6,MIN(Reference!$A$11,MIN($U106,210)))-INDEX(Reference!$A$6:$A$11,MIN(5,MATCH(MAX(Reference!$A$6,MIN(Reference!$A$11,MIN($U106,210))),Reference!$A$6:$A$11,1))))*(INDEX(Reference!$B$6:$B$11,MIN(5,MATCH(MAX(Reference!$A$6,MIN(Reference!$A$11,MIN($U106,210))),Reference!$A$6:$A$11,1))+1)-INDEX(Reference!$B$6:$B$11,MIN(5,MATCH(MAX(Reference!$A$6,MIN(Reference!$A$11,MIN($U106,210))),Reference!$A$6:$A$11,1))))/(INDEX(Reference!$A$6:$A$11,MIN(5,MATCH(MAX(Reference!$A$6,MIN(Reference!$A$11,MIN($U106,210))),Reference!$A$6:$A$11,1))+1)-INDEX(Reference!$A$6:$A$11,MIN(5,MATCH(MAX(Reference!$A$6,MIN(Reference!$A$11,MIN($U106,210))),Reference!$A$6:$A$11,1))))),0)+IF(6&lt;=$AL106,($AL106-6+3)*(INDEX(Reference!$B$6:$B$11,MIN(5,MATCH(MAX(Reference!$A$6,MIN(Reference!$A$11,MIN($U106,240))),Reference!$A$6:$A$11,1)))+(MAX(Reference!$A$6,MIN(Reference!$A$11,MIN($U106,240)))-INDEX(Reference!$A$6:$A$11,MIN(5,MATCH(MAX(Reference!$A$6,MIN(Reference!$A$11,MIN($U106,240))),Reference!$A$6:$A$11,1))))*(INDEX(Reference!$B$6:$B$11,MIN(5,MATCH(MAX(Reference!$A$6,MIN(Reference!$A$11,MIN($U106,240))),Reference!$A$6:$A$11,1))+1)-INDEX(Reference!$B$6:$B$11,MIN(5,MATCH(MAX(Reference!$A$6,MIN(Reference!$A$11,MIN($U106,240))),Reference!$A$6:$A$11,1))))/(INDEX(Reference!$A$6:$A$11,MIN(5,MATCH(MAX(Reference!$A$6,MIN(Reference!$A$11,MIN($U106,240))),Reference!$A$6:$A$11,1))+1)-INDEX(Reference!$A$6:$A$11,MIN(5,MATCH(MAX(Reference!$A$6,MIN(Reference!$A$11,MIN($U106,240))),Reference!$A$6:$A$11,1))))),0)+IF(7&lt;=$AL106,($AL106-7+3)*(INDEX(Reference!$B$6:$B$11,MIN(5,MATCH(MAX(Reference!$A$6,MIN(Reference!$A$11,MIN($U106,270))),Reference!$A$6:$A$11,1)))+(MAX(Reference!$A$6,MIN(Reference!$A$11,MIN($U106,270)))-INDEX(Reference!$A$6:$A$11,MIN(5,MATCH(MAX(Reference!$A$6,MIN(Reference!$A$11,MIN($U106,270))),Reference!$A$6:$A$11,1))))*(INDEX(Reference!$B$6:$B$11,MIN(5,MATCH(MAX(Reference!$A$6,MIN(Reference!$A$11,MIN($U106,270))),Reference!$A$6:$A$11,1))+1)-INDEX(Reference!$B$6:$B$11,MIN(5,MATCH(MAX(Reference!$A$6,MIN(Reference!$A$11,MIN($U106,270))),Reference!$A$6:$A$11,1))))/(INDEX(Reference!$A$6:$A$11,MIN(5,MATCH(MAX(Reference!$A$6,MIN(Reference!$A$11,MIN($U106,270))),Reference!$A$6:$A$11,1))+1)-INDEX(Reference!$A$6:$A$11,MIN(5,MATCH(MAX(Reference!$A$6,MIN(Reference!$A$11,MIN($U106,270))),Reference!$A$6:$A$11,1))))),0)+IF(8&lt;=$AL106,($AL106-8+3)*(INDEX(Reference!$B$6:$B$11,MIN(5,MATCH(MAX(Reference!$A$6,MIN(Reference!$A$11,MIN($U106,300))),Reference!$A$6:$A$11,1)))+(MAX(Reference!$A$6,MIN(Reference!$A$11,MIN($U106,300)))-INDEX(Reference!$A$6:$A$11,MIN(5,MATCH(MAX(Reference!$A$6,MIN(Reference!$A$11,MIN($U106,300))),Reference!$A$6:$A$11,1))))*(INDEX(Reference!$B$6:$B$11,MIN(5,MATCH(MAX(Reference!$A$6,MIN(Reference!$A$11,MIN($U106,300))),Reference!$A$6:$A$11,1))+1)-INDEX(Reference!$B$6:$B$11,MIN(5,MATCH(MAX(Reference!$A$6,MIN(Reference!$A$11,MIN($U106,300))),Reference!$A$6:$A$11,1))))/(INDEX(Reference!$A$6:$A$11,MIN(5,MATCH(MAX(Reference!$A$6,MIN(Reference!$A$11,MIN($U106,300))),Reference!$A$6:$A$11,1))+1)-INDEX(Reference!$A$6:$A$11,MIN(5,MATCH(MAX(Reference!$A$6,MIN(Reference!$A$11,MIN($U106,300))),Reference!$A$6:$A$11,1))))),0))/($AL106*($AL106+5)/2)),$AN106))</f>
        <v>1.1499999999999999</v>
      </c>
      <c r="AN106" s="32">
        <f>IF($U106="",0,(INDEX(Reference!$B$6:$B$11,MIN(5,MATCH(MAX(Reference!$A$6,MIN(Reference!$A$11,$U106)),Reference!$A$6:$A$11,1)))+(MAX(Reference!$A$6,MIN(Reference!$A$11,$U106))-INDEX(Reference!$A$6:$A$11,MIN(5,MATCH(MAX(Reference!$A$6,MIN(Reference!$A$11,$U106)),Reference!$A$6:$A$11,1))))*(INDEX(Reference!$B$6:$B$11,MIN(5,MATCH(MAX(Reference!$A$6,MIN(Reference!$A$11,$U106)),Reference!$A$6:$A$11,1))+1)-INDEX(Reference!$B$6:$B$11,MIN(5,MATCH(MAX(Reference!$A$6,MIN(Reference!$A$11,$U106)),Reference!$A$6:$A$11,1))))/(INDEX(Reference!$A$6:$A$11,MIN(5,MATCH(MAX(Reference!$A$6,MIN(Reference!$A$11,$U106)),Reference!$A$6:$A$11,1))+1)-INDEX(Reference!$A$6:$A$11,MIN(5,MATCH(MAX(Reference!$A$6,MIN(Reference!$A$11,$U106)),Reference!$A$6:$A$11,1))))))</f>
        <v>1.1499999999999999</v>
      </c>
      <c r="AO106" s="37"/>
      <c r="AP106" s="37"/>
      <c r="AQ106" s="37"/>
    </row>
    <row r="107" spans="1:43" ht="26.4" x14ac:dyDescent="0.3">
      <c r="A107" s="48">
        <f t="shared" ref="A107:A138" si="55">IFERROR(IF($L107&gt;$G$4,"",$D$6+$L107),"")</f>
        <v>46371</v>
      </c>
      <c r="B107" s="32" t="str">
        <f t="shared" ref="B107:B138" si="56">IF($A107="","",TEXT($A107,"ddd"))</f>
        <v>Tue</v>
      </c>
      <c r="C107" s="32">
        <f t="shared" ref="C107:C138" si="57">IF($A107="","",$G$4-$L107)</f>
        <v>20</v>
      </c>
      <c r="D107" s="32" t="str">
        <f t="shared" ref="D107:D138" si="58">IF($A107="","",IF($C107=0,"First Bullpen",IF($C107&lt;=7,"Taper",IF($O107&lt;0.2,"Re-entry",IF($O107&lt;0.45,"Base",IF($O107&lt;0.65,"Extension","Flat Ground / Intent"))))))</f>
        <v>Flat Ground / Intent</v>
      </c>
      <c r="E107" s="32" t="str">
        <f t="shared" ref="E107:E138" si="59">IF($A107="","",IF($AD107,"No Throw",IF($C107=0,"High Bullpen",IF($C107=6,"High Non-Bullpen",IF(OR($C107=4,$C107=2),"Medium",IF($T107="Recovery/Easy Catch","Low",IF($N107=1,IF($O107&lt;0.4,"Low",IF($O107&lt;0.7,"Medium","High Non-Bullpen")),IF($N107=3,IF($O107&lt;0.5,"Medium","High Non-Bullpen"),IF($O107&lt;0.62,"Medium","High Non-Bullpen")))))))))</f>
        <v>High Non-Bullpen</v>
      </c>
      <c r="F107" s="32" t="str">
        <f t="shared" ref="F107:F138" si="60">IF($A107="","",IF($AD107,"No Throw",$T107))</f>
        <v>Long Toss</v>
      </c>
      <c r="G107" s="47" t="str">
        <f t="shared" ref="G107:G138" si="61">IF($A107="","",IF($AD107,"Off",IF($AL107&gt;1,"Long toss out to "&amp;$U107&amp;" ft — "&amp;$AB107&amp;" throws ("&amp;IF(1&lt;=$AL107,MIN($U107,90)&amp;"×"&amp;(ROUND($AB107*(1*($AL107+3)-1)/($AL107*($AL107+5)/2),0)-0),"")&amp;IF(2&lt;=$AL107," · "&amp;MIN($U107,120)&amp;"×"&amp;(ROUND($AB107*(2*($AL107+3)-3)/($AL107*($AL107+5)/2),0)-ROUND($AB107*(1*($AL107+3)-1)/($AL107*($AL107+5)/2),0)),"")&amp;IF(3&lt;=$AL107," · "&amp;MIN($U107,150)&amp;"×"&amp;(ROUND($AB107*(3*($AL107+3)-6)/($AL107*($AL107+5)/2),0)-ROUND($AB107*(2*($AL107+3)-3)/($AL107*($AL107+5)/2),0)),"")&amp;IF(4&lt;=$AL107," · "&amp;MIN($U107,180)&amp;"×"&amp;(ROUND($AB107*(4*($AL107+3)-10)/($AL107*($AL107+5)/2),0)-ROUND($AB107*(3*($AL107+3)-6)/($AL107*($AL107+5)/2),0)),"")&amp;IF(5&lt;=$AL107," · "&amp;MIN($U107,210)&amp;"×"&amp;(ROUND($AB107*(5*($AL107+3)-15)/($AL107*($AL107+5)/2),0)-ROUND($AB107*(4*($AL107+3)-10)/($AL107*($AL107+5)/2),0)),"")&amp;IF(6&lt;=$AL107," · "&amp;MIN($U107,240)&amp;"×"&amp;(ROUND($AB107*(6*($AL107+3)-21)/($AL107*($AL107+5)/2),0)-ROUND($AB107*(5*($AL107+3)-15)/($AL107*($AL107+5)/2),0)),"")&amp;IF(7&lt;=$AL107," · "&amp;MIN($U107,270)&amp;"×"&amp;(ROUND($AB107*(7*($AL107+3)-28)/($AL107*($AL107+5)/2),0)-ROUND($AB107*(6*($AL107+3)-21)/($AL107*($AL107+5)/2),0)),"")&amp;IF(8&lt;=$AL107," · "&amp;MIN($U107,300)&amp;"×"&amp;(ROUND($AB107*(8*($AL107+3)-36)/($AL107*($AL107+5)/2),0)-ROUND($AB107*(7*($AL107+3)-28)/($AL107*($AL107+5)/2),0)),"")&amp;")",$U107&amp;" ft × "&amp;$AB107)&amp;" @ "&amp;ROUND($D$5-$W107,0)&amp;"–"&amp;ROUND($D$5-$V107,0)&amp;" mph"&amp;IF($X107&gt;0,IF($Y107&lt;10," + flat ground at 60 ft × "," + 60 ft × ")&amp;$X107&amp;" @ "&amp;ROUND($D$5-$Z107,0)&amp;"–"&amp;ROUND($D$5-$Y107,0)&amp;" mph","")&amp;IF($AC107&gt;0," + MOUND × "&amp;$AC107&amp;" pitches @ "&amp;$D$9&amp;"–"&amp;$E$9&amp;" mph","")))</f>
        <v>Long toss out to 180 ft — 30 throws (90×10 · 120×8 · 150×7 · 180×5) @ 79–81 mph + 60 ft × 15 @ 79–81 mph</v>
      </c>
      <c r="H107" s="30">
        <f t="shared" ref="H107:H138" si="62">IF($A107="","",IF($AD107,0,$AB107*$AF107+$AE107+$AG107))</f>
        <v>42.5</v>
      </c>
      <c r="I107" s="46">
        <f>IF($A107="","",IF(AND($L107&lt;27,$K$12=0),"Building",IFERROR(((SUM($H$101:$H107)+$K$12*IF($L107&lt;6,SUMIFS('Throw Log'!$Q$5:$Q$300,'Throw Log'!$B$5:$B$300,$D$4,'Throw Log'!$A$5:$A$300,"&gt;="&amp;($D$6+$L107-6),'Throw Log'!$A$5:$A$300,"&lt;="&amp;($D$6-1)),0))/7)/((SUM($H$80:$H107)+$K$12*IF($L107&lt;27,SUMIFS('Throw Log'!$Q$5:$Q$300,'Throw Log'!$B$5:$B$300,$D$4,'Throw Log'!$A$5:$A$300,"&gt;="&amp;($D$6+$L107-27),'Throw Log'!$A$5:$A$300,"&lt;="&amp;($D$6-1)),0))/28),"")))</f>
        <v>1.1966073006977225</v>
      </c>
      <c r="J107" s="37"/>
      <c r="K107" s="37">
        <v>30</v>
      </c>
      <c r="L107" s="32">
        <v>64</v>
      </c>
      <c r="M107" s="32">
        <f t="shared" ref="M107:M138" si="63">INT($L107/7)+1</f>
        <v>10</v>
      </c>
      <c r="N107" s="32">
        <f t="shared" ref="N107:N138" si="64">MOD($L107,7)</f>
        <v>1</v>
      </c>
      <c r="O107" s="32">
        <f t="shared" ref="O107:O138" si="65">MIN(1,$G$7+(1-$G$7)*$L107/MAX(1,N($G$4)-8))</f>
        <v>0.84210526315789469</v>
      </c>
      <c r="P107" s="32">
        <f>IF(OR($A107="",N($C107)&lt;=7),"",$G$6*$G$9^($M107-1)*IF(AND(MOD($M107,Reference!$B$99)=0,$M107&lt;=$G$5-2),Reference!$B$100,1))</f>
        <v>231.09205355537119</v>
      </c>
      <c r="Q107" s="32">
        <f>IF($P107="","",IF(SUM($AK$106:$AK$112)=0,0,$P107*INDEX(Reference!$B$108:$B$114,$N107+1)/SUM($AK$106:$AK$112)))</f>
        <v>58.312948093411421</v>
      </c>
      <c r="R107" s="32">
        <f t="shared" ref="R107:R138" si="66">ROUND((60+($D$11-60)*MIN(1,$O107/0.75))/15,0)*15</f>
        <v>180</v>
      </c>
      <c r="S107" s="32">
        <f t="shared" ref="S107:S138" si="67">ROUND((60+($R107-60)*0.8)/15,0)*15</f>
        <v>150</v>
      </c>
      <c r="T107" s="32" t="str">
        <f>IF($A107="","",IF($C107=0,"Bullpen",IF(OR($C107=7,$C107=1,$C107=5),"Recovery/Easy Catch",IF($C107=6,"Compression/Pulldowns",IF(OR($C107=4,$C107=2),"Long Toss",IF($C107=3,"No Throw",IF($N107=2,"No Throw",IF($N107=6,IF($O107&lt;Reference!$B$104,"No Throw","Recovery/Easy Catch"),IF(OR($N107=0,$N107=4),"Recovery/Easy Catch",IF($N107=1,IF($R107&gt;75,"Long Toss","Recovery/Easy Catch"),IF($N107=3,IF($O107&lt;0.5,IF($S107&gt;75,"Long Toss","Recovery/Easy Catch"),"Compression/Pulldowns"),IF($S107&gt;75,"Long Toss","Recovery/Easy Catch"))))))))))))</f>
        <v>Long Toss</v>
      </c>
      <c r="U107" s="32">
        <f t="shared" ref="U107:U138" si="68">IF($A107="","",IF(N($AO107)&gt;0,$AO107,IF($C107=0,90,IF(OR($C107=7,$C107=1),75,IF($C107=6,90,IF($C107=5,60,IF($C107=4,MIN(150,ROUND(0.75*$D$11/15,0)*15),IF($C107=2,MIN(120,ROUND(0.67*$D$11/15,0)*15),IF($C107=3,"",IF($N107=2,"",IF($N107=6,60,IF($N107=0,IF($O107&lt;0.25,60,75),IF($N107=4,IF($O107&lt;0.5,60,75),IF($N107=1,$R107,IF($N107=3,IF($O107&lt;0.5,$S107,90),$S107)))))))))))))))</f>
        <v>180</v>
      </c>
      <c r="V107" s="32">
        <f t="shared" ref="V107:V138" si="69">IF($A107="","",IF(N($AQ107)&gt;0,$D$5-$AQ107,IF(N($AP107)&gt;0,$D$5-$AP107,IF($C107=0,10,IF(OR($C107=7,$C107=1),18,IF($C107=6,7,IF($C107=5,20,IF(OR($C107=4,$C107=2),10,IF($C107=3,"",IF($N107=2,"",IF($N107=6,20,IF($N107=0,IF($O107&lt;0.25,20,18),IF($N107=4,IF($O107&lt;0.5,20,18),IF($N107=1,IF($O107&lt;0.25,18,IF($O107&lt;0.5,13,10)),IF($N107=3,IF($O107&lt;0.5,IF($O107&lt;0.25,18,13),7),IF($O107&lt;0.25,18,IF($O107&lt;0.5,12,10)))))))))))))))))</f>
        <v>10</v>
      </c>
      <c r="W107" s="32">
        <f t="shared" ref="W107:W138" si="70">IF($A107="","",IF(N($AP107)&gt;0,$D$5-$AP107,IF(N($AQ107)&gt;0,$D$5-$AQ107,IF($C107=0,12,IF(OR($C107=7,$C107=1),22,IF($C107=6,9,IF($C107=5,24,IF(OR($C107=4,$C107=2),13,IF($C107=3,"",IF($N107=2,"",IF($N107=6,24,IF($N107=0,IF($O107&lt;0.25,24,22),IF($N107=4,IF($O107&lt;0.5,24,22),IF($N107=1,IF($O107&lt;0.25,22,IF($O107&lt;0.5,16,12)),IF($N107=3,IF($O107&lt;0.5,IF($O107&lt;0.25,22,16),9),IF($O107&lt;0.25,22,IF($O107&lt;0.5,15,13)))))))))))))))))</f>
        <v>12</v>
      </c>
      <c r="X107" s="32">
        <f t="shared" ref="X107:X138" si="71">IF($A107="",0,IF($C107=6,ROUND(25*$G$10,0),IF(OR($C107=4,$C107=2),ROUND(15*$G$10,0),IF($C107&lt;=7,0,IF($N107=1,IF($O107&lt;0.2,0,IF($O107&lt;0.5,10,15)),IF($N107=3,IF($O107&lt;0.5,IF($O107&lt;0.2,0,10),IF($O107&lt;0.62,15,IF($O107&lt;0.8,20,25))),IF($N107=5,IF($O107&lt;0.2,0,IF($O107&lt;0.62,12,IF($O107&lt;0.8,20,25))),0)))))))</f>
        <v>15</v>
      </c>
      <c r="Y107" s="32">
        <f t="shared" ref="Y107:Y138" si="72">IF($X107=0,"",IF($C107=6,$D$5-$E$9,IF(OR($C107=4,$C107=2),8,IF($N107=1,IF($O107&lt;0.5,14,10),IF($N107=3,IF($O107&lt;0.5,14,IF($O107&lt;0.62,10,7)),IF($N107=5,IF($O107&lt;0.5,14,IF($O107&lt;0.62,12,7)),""))))))</f>
        <v>10</v>
      </c>
      <c r="Z107" s="32">
        <f t="shared" ref="Z107:Z138" si="73">IF($X107=0,"",IF($C107=6,$D$5-$D$9,IF(OR($C107=4,$C107=2),10,IF($N107=1,IF($O107&lt;0.5,18,12),IF($N107=3,IF($O107&lt;0.5,18,IF($O107&lt;0.62,12,9)),IF($N107=5,IF($O107&lt;0.5,18,IF($O107&lt;0.62,15,9)),""))))))</f>
        <v>12</v>
      </c>
      <c r="AA107" s="32" t="str">
        <f t="shared" ref="AA107:AA138" si="74">IF($A107="","",IF($C107=0,25,IF(OR($C107=7,$C107=1,$C107=5),30,IF($C107=6,25,IF(OR($C107=4,$C107=2),IF($AM107=0,30,30*$AN107/$AM107),"")))))</f>
        <v/>
      </c>
      <c r="AB107" s="32">
        <f>IF($A107="","",IF($T107="No Throw",0,IF($K107&lt;&gt;"",$K107,IF($AA107&lt;&gt;"",ROUND($AA107*$D$12*IF($C107=0,1,$G$10),0),MIN(IF($T107="Recovery/Easy Catch",Reference!$B$103,IF($T107="Long Toss",Reference!$B$106,Reference!$B$102)),MAX(Reference!$B$101,ROUND(MAX(0,$Q107-$AE107)/$AF107,0)))))))</f>
        <v>30</v>
      </c>
      <c r="AC107" s="32">
        <f t="shared" ref="AC107:AC138" si="75">IF($A107="",0,IF($C107=0,$D$8,0))</f>
        <v>0</v>
      </c>
      <c r="AD107" s="32" t="b">
        <f t="shared" ref="AD107:AD138" si="76">IF($A107="",TRUE(),OR($J107="x",$T107="No Throw"))</f>
        <v>0</v>
      </c>
      <c r="AE107" s="32">
        <f>IF($X107=0,0,$X107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107+$Z107)/2,0),Reference!$A$17:$B$20,2,TRUE()))</f>
        <v>9</v>
      </c>
      <c r="AF107" s="32">
        <f>IF(OR($A107="",$U107="",$T107="No Throw"),0,$AM107*VLOOKUP(MAX(($V107+$W107)/2,0),Reference!$A$17:$B$20,2,TRUE()))</f>
        <v>1.1166666666666667</v>
      </c>
      <c r="AG107" s="32">
        <f>IF($AC107=0,0,$AC107*INDEX(Reference!$B$61:$B$62,MATCH("Bullpen",Reference!$A$61:$A$62,0))*VLOOKUP(MAX($D$5-($D$9+$E$9)/2,0),Reference!$A$17:$B$20,2,TRUE()))</f>
        <v>0</v>
      </c>
      <c r="AH107" s="46">
        <f t="shared" ref="AH107:AH138" si="77">IF(OR($A107="",$L107&lt;27),NA(),$I107)</f>
        <v>1.1966073006977225</v>
      </c>
      <c r="AI107" s="32">
        <f>IF($A107="",NA(),Reference!$A$25)</f>
        <v>0.8</v>
      </c>
      <c r="AJ107" s="32">
        <f t="shared" ref="AJ107:AJ138" si="78">IF($A107="",NA(),1.3)</f>
        <v>1.3</v>
      </c>
      <c r="AK107" s="56">
        <f>IF(OR($A107="",N($C107)&lt;=7,$T107="No Throw",$J107="x"),0,INDEX(Reference!$B$108:$B$114,$N107+1))</f>
        <v>0.27</v>
      </c>
      <c r="AL107" s="32">
        <f t="shared" ref="AL107:AL138" si="79">IF($U107="",1,IF(AND($T107="Long Toss",N($U107)&gt;90),1+ROUNDUP(($U107-90)/30,0),1))</f>
        <v>4</v>
      </c>
      <c r="AM107" s="32">
        <f>IF($U107="",0,IF($AL107&gt;1,((IF(1&lt;=$AL107,($AL107-1+3)*(INDEX(Reference!$B$6:$B$11,MIN(5,MATCH(MAX(Reference!$A$6,MIN(Reference!$A$11,MIN($U107,90))),Reference!$A$6:$A$11,1)))+(MAX(Reference!$A$6,MIN(Reference!$A$11,MIN($U107,90)))-INDEX(Reference!$A$6:$A$11,MIN(5,MATCH(MAX(Reference!$A$6,MIN(Reference!$A$11,MIN($U107,90))),Reference!$A$6:$A$11,1))))*(INDEX(Reference!$B$6:$B$11,MIN(5,MATCH(MAX(Reference!$A$6,MIN(Reference!$A$11,MIN($U107,90))),Reference!$A$6:$A$11,1))+1)-INDEX(Reference!$B$6:$B$11,MIN(5,MATCH(MAX(Reference!$A$6,MIN(Reference!$A$11,MIN($U107,90))),Reference!$A$6:$A$11,1))))/(INDEX(Reference!$A$6:$A$11,MIN(5,MATCH(MAX(Reference!$A$6,MIN(Reference!$A$11,MIN($U107,90))),Reference!$A$6:$A$11,1))+1)-INDEX(Reference!$A$6:$A$11,MIN(5,MATCH(MAX(Reference!$A$6,MIN(Reference!$A$11,MIN($U107,90))),Reference!$A$6:$A$11,1))))),0)+IF(2&lt;=$AL107,($AL107-2+3)*(INDEX(Reference!$B$6:$B$11,MIN(5,MATCH(MAX(Reference!$A$6,MIN(Reference!$A$11,MIN($U107,120))),Reference!$A$6:$A$11,1)))+(MAX(Reference!$A$6,MIN(Reference!$A$11,MIN($U107,120)))-INDEX(Reference!$A$6:$A$11,MIN(5,MATCH(MAX(Reference!$A$6,MIN(Reference!$A$11,MIN($U107,120))),Reference!$A$6:$A$11,1))))*(INDEX(Reference!$B$6:$B$11,MIN(5,MATCH(MAX(Reference!$A$6,MIN(Reference!$A$11,MIN($U107,120))),Reference!$A$6:$A$11,1))+1)-INDEX(Reference!$B$6:$B$11,MIN(5,MATCH(MAX(Reference!$A$6,MIN(Reference!$A$11,MIN($U107,120))),Reference!$A$6:$A$11,1))))/(INDEX(Reference!$A$6:$A$11,MIN(5,MATCH(MAX(Reference!$A$6,MIN(Reference!$A$11,MIN($U107,120))),Reference!$A$6:$A$11,1))+1)-INDEX(Reference!$A$6:$A$11,MIN(5,MATCH(MAX(Reference!$A$6,MIN(Reference!$A$11,MIN($U107,120))),Reference!$A$6:$A$11,1))))),0)+IF(3&lt;=$AL107,($AL107-3+3)*(INDEX(Reference!$B$6:$B$11,MIN(5,MATCH(MAX(Reference!$A$6,MIN(Reference!$A$11,MIN($U107,150))),Reference!$A$6:$A$11,1)))+(MAX(Reference!$A$6,MIN(Reference!$A$11,MIN($U107,150)))-INDEX(Reference!$A$6:$A$11,MIN(5,MATCH(MAX(Reference!$A$6,MIN(Reference!$A$11,MIN($U107,150))),Reference!$A$6:$A$11,1))))*(INDEX(Reference!$B$6:$B$11,MIN(5,MATCH(MAX(Reference!$A$6,MIN(Reference!$A$11,MIN($U107,150))),Reference!$A$6:$A$11,1))+1)-INDEX(Reference!$B$6:$B$11,MIN(5,MATCH(MAX(Reference!$A$6,MIN(Reference!$A$11,MIN($U107,150))),Reference!$A$6:$A$11,1))))/(INDEX(Reference!$A$6:$A$11,MIN(5,MATCH(MAX(Reference!$A$6,MIN(Reference!$A$11,MIN($U107,150))),Reference!$A$6:$A$11,1))+1)-INDEX(Reference!$A$6:$A$11,MIN(5,MATCH(MAX(Reference!$A$6,MIN(Reference!$A$11,MIN($U107,150))),Reference!$A$6:$A$11,1))))),0)+IF(4&lt;=$AL107,($AL107-4+3)*(INDEX(Reference!$B$6:$B$11,MIN(5,MATCH(MAX(Reference!$A$6,MIN(Reference!$A$11,MIN($U107,180))),Reference!$A$6:$A$11,1)))+(MAX(Reference!$A$6,MIN(Reference!$A$11,MIN($U107,180)))-INDEX(Reference!$A$6:$A$11,MIN(5,MATCH(MAX(Reference!$A$6,MIN(Reference!$A$11,MIN($U107,180))),Reference!$A$6:$A$11,1))))*(INDEX(Reference!$B$6:$B$11,MIN(5,MATCH(MAX(Reference!$A$6,MIN(Reference!$A$11,MIN($U107,180))),Reference!$A$6:$A$11,1))+1)-INDEX(Reference!$B$6:$B$11,MIN(5,MATCH(MAX(Reference!$A$6,MIN(Reference!$A$11,MIN($U107,180))),Reference!$A$6:$A$11,1))))/(INDEX(Reference!$A$6:$A$11,MIN(5,MATCH(MAX(Reference!$A$6,MIN(Reference!$A$11,MIN($U107,180))),Reference!$A$6:$A$11,1))+1)-INDEX(Reference!$A$6:$A$11,MIN(5,MATCH(MAX(Reference!$A$6,MIN(Reference!$A$11,MIN($U107,180))),Reference!$A$6:$A$11,1))))),0)+IF(5&lt;=$AL107,($AL107-5+3)*(INDEX(Reference!$B$6:$B$11,MIN(5,MATCH(MAX(Reference!$A$6,MIN(Reference!$A$11,MIN($U107,210))),Reference!$A$6:$A$11,1)))+(MAX(Reference!$A$6,MIN(Reference!$A$11,MIN($U107,210)))-INDEX(Reference!$A$6:$A$11,MIN(5,MATCH(MAX(Reference!$A$6,MIN(Reference!$A$11,MIN($U107,210))),Reference!$A$6:$A$11,1))))*(INDEX(Reference!$B$6:$B$11,MIN(5,MATCH(MAX(Reference!$A$6,MIN(Reference!$A$11,MIN($U107,210))),Reference!$A$6:$A$11,1))+1)-INDEX(Reference!$B$6:$B$11,MIN(5,MATCH(MAX(Reference!$A$6,MIN(Reference!$A$11,MIN($U107,210))),Reference!$A$6:$A$11,1))))/(INDEX(Reference!$A$6:$A$11,MIN(5,MATCH(MAX(Reference!$A$6,MIN(Reference!$A$11,MIN($U107,210))),Reference!$A$6:$A$11,1))+1)-INDEX(Reference!$A$6:$A$11,MIN(5,MATCH(MAX(Reference!$A$6,MIN(Reference!$A$11,MIN($U107,210))),Reference!$A$6:$A$11,1))))),0)+IF(6&lt;=$AL107,($AL107-6+3)*(INDEX(Reference!$B$6:$B$11,MIN(5,MATCH(MAX(Reference!$A$6,MIN(Reference!$A$11,MIN($U107,240))),Reference!$A$6:$A$11,1)))+(MAX(Reference!$A$6,MIN(Reference!$A$11,MIN($U107,240)))-INDEX(Reference!$A$6:$A$11,MIN(5,MATCH(MAX(Reference!$A$6,MIN(Reference!$A$11,MIN($U107,240))),Reference!$A$6:$A$11,1))))*(INDEX(Reference!$B$6:$B$11,MIN(5,MATCH(MAX(Reference!$A$6,MIN(Reference!$A$11,MIN($U107,240))),Reference!$A$6:$A$11,1))+1)-INDEX(Reference!$B$6:$B$11,MIN(5,MATCH(MAX(Reference!$A$6,MIN(Reference!$A$11,MIN($U107,240))),Reference!$A$6:$A$11,1))))/(INDEX(Reference!$A$6:$A$11,MIN(5,MATCH(MAX(Reference!$A$6,MIN(Reference!$A$11,MIN($U107,240))),Reference!$A$6:$A$11,1))+1)-INDEX(Reference!$A$6:$A$11,MIN(5,MATCH(MAX(Reference!$A$6,MIN(Reference!$A$11,MIN($U107,240))),Reference!$A$6:$A$11,1))))),0)+IF(7&lt;=$AL107,($AL107-7+3)*(INDEX(Reference!$B$6:$B$11,MIN(5,MATCH(MAX(Reference!$A$6,MIN(Reference!$A$11,MIN($U107,270))),Reference!$A$6:$A$11,1)))+(MAX(Reference!$A$6,MIN(Reference!$A$11,MIN($U107,270)))-INDEX(Reference!$A$6:$A$11,MIN(5,MATCH(MAX(Reference!$A$6,MIN(Reference!$A$11,MIN($U107,270))),Reference!$A$6:$A$11,1))))*(INDEX(Reference!$B$6:$B$11,MIN(5,MATCH(MAX(Reference!$A$6,MIN(Reference!$A$11,MIN($U107,270))),Reference!$A$6:$A$11,1))+1)-INDEX(Reference!$B$6:$B$11,MIN(5,MATCH(MAX(Reference!$A$6,MIN(Reference!$A$11,MIN($U107,270))),Reference!$A$6:$A$11,1))))/(INDEX(Reference!$A$6:$A$11,MIN(5,MATCH(MAX(Reference!$A$6,MIN(Reference!$A$11,MIN($U107,270))),Reference!$A$6:$A$11,1))+1)-INDEX(Reference!$A$6:$A$11,MIN(5,MATCH(MAX(Reference!$A$6,MIN(Reference!$A$11,MIN($U107,270))),Reference!$A$6:$A$11,1))))),0)+IF(8&lt;=$AL107,($AL107-8+3)*(INDEX(Reference!$B$6:$B$11,MIN(5,MATCH(MAX(Reference!$A$6,MIN(Reference!$A$11,MIN($U107,300))),Reference!$A$6:$A$11,1)))+(MAX(Reference!$A$6,MIN(Reference!$A$11,MIN($U107,300)))-INDEX(Reference!$A$6:$A$11,MIN(5,MATCH(MAX(Reference!$A$6,MIN(Reference!$A$11,MIN($U107,300))),Reference!$A$6:$A$11,1))))*(INDEX(Reference!$B$6:$B$11,MIN(5,MATCH(MAX(Reference!$A$6,MIN(Reference!$A$11,MIN($U107,300))),Reference!$A$6:$A$11,1))+1)-INDEX(Reference!$B$6:$B$11,MIN(5,MATCH(MAX(Reference!$A$6,MIN(Reference!$A$11,MIN($U107,300))),Reference!$A$6:$A$11,1))))/(INDEX(Reference!$A$6:$A$11,MIN(5,MATCH(MAX(Reference!$A$6,MIN(Reference!$A$11,MIN($U107,300))),Reference!$A$6:$A$11,1))+1)-INDEX(Reference!$A$6:$A$11,MIN(5,MATCH(MAX(Reference!$A$6,MIN(Reference!$A$11,MIN($U107,300))),Reference!$A$6:$A$11,1))))),0))/($AL107*($AL107+5)/2)),$AN107))</f>
        <v>1.8611111111111112</v>
      </c>
      <c r="AN107" s="32">
        <f>IF($U107="",0,(INDEX(Reference!$B$6:$B$11,MIN(5,MATCH(MAX(Reference!$A$6,MIN(Reference!$A$11,$U107)),Reference!$A$6:$A$11,1)))+(MAX(Reference!$A$6,MIN(Reference!$A$11,$U107))-INDEX(Reference!$A$6:$A$11,MIN(5,MATCH(MAX(Reference!$A$6,MIN(Reference!$A$11,$U107)),Reference!$A$6:$A$11,1))))*(INDEX(Reference!$B$6:$B$11,MIN(5,MATCH(MAX(Reference!$A$6,MIN(Reference!$A$11,$U107)),Reference!$A$6:$A$11,1))+1)-INDEX(Reference!$B$6:$B$11,MIN(5,MATCH(MAX(Reference!$A$6,MIN(Reference!$A$11,$U107)),Reference!$A$6:$A$11,1))))/(INDEX(Reference!$A$6:$A$11,MIN(5,MATCH(MAX(Reference!$A$6,MIN(Reference!$A$11,$U107)),Reference!$A$6:$A$11,1))+1)-INDEX(Reference!$A$6:$A$11,MIN(5,MATCH(MAX(Reference!$A$6,MIN(Reference!$A$11,$U107)),Reference!$A$6:$A$11,1))))))</f>
        <v>2.8</v>
      </c>
      <c r="AO107" s="37"/>
      <c r="AP107" s="37"/>
      <c r="AQ107" s="37"/>
    </row>
    <row r="108" spans="1:43" x14ac:dyDescent="0.3">
      <c r="A108" s="48">
        <f t="shared" si="55"/>
        <v>46372</v>
      </c>
      <c r="B108" s="32" t="str">
        <f t="shared" si="56"/>
        <v>Wed</v>
      </c>
      <c r="C108" s="32">
        <f t="shared" si="57"/>
        <v>19</v>
      </c>
      <c r="D108" s="32" t="str">
        <f t="shared" si="58"/>
        <v>Flat Ground / Intent</v>
      </c>
      <c r="E108" s="32" t="str">
        <f t="shared" si="59"/>
        <v>No Throw</v>
      </c>
      <c r="F108" s="32" t="str">
        <f t="shared" si="60"/>
        <v>No Throw</v>
      </c>
      <c r="G108" s="47" t="str">
        <f t="shared" si="61"/>
        <v>Off</v>
      </c>
      <c r="H108" s="30">
        <f t="shared" si="62"/>
        <v>0</v>
      </c>
      <c r="I108" s="46">
        <f>IF($A108="","",IF(AND($L108&lt;27,$K$12=0),"Building",IFERROR(((SUM($H$102:$H108)+$K$12*IF($L108&lt;6,SUMIFS('Throw Log'!$Q$5:$Q$300,'Throw Log'!$B$5:$B$300,$D$4,'Throw Log'!$A$5:$A$300,"&gt;="&amp;($D$6+$L108-6),'Throw Log'!$A$5:$A$300,"&lt;="&amp;($D$6-1)),0))/7)/((SUM($H$81:$H108)+$K$12*IF($L108&lt;27,SUMIFS('Throw Log'!$Q$5:$Q$300,'Throw Log'!$B$5:$B$300,$D$4,'Throw Log'!$A$5:$A$300,"&gt;="&amp;($D$6+$L108-27),'Throw Log'!$A$5:$A$300,"&lt;="&amp;($D$6-1)),0))/28),"")))</f>
        <v>1.1966073006977225</v>
      </c>
      <c r="J108" s="37"/>
      <c r="K108" s="37"/>
      <c r="L108" s="32">
        <v>65</v>
      </c>
      <c r="M108" s="32">
        <f t="shared" si="63"/>
        <v>10</v>
      </c>
      <c r="N108" s="32">
        <f t="shared" si="64"/>
        <v>2</v>
      </c>
      <c r="O108" s="32">
        <f t="shared" si="65"/>
        <v>0.85526315789473684</v>
      </c>
      <c r="P108" s="32">
        <f>IF(OR($A108="",N($C108)&lt;=7),"",$G$6*$G$9^($M108-1)*IF(AND(MOD($M108,Reference!$B$99)=0,$M108&lt;=$G$5-2),Reference!$B$100,1))</f>
        <v>231.09205355537119</v>
      </c>
      <c r="Q108" s="32">
        <f>IF($P108="","",IF(SUM($AK$106:$AK$112)=0,0,$P108*INDEX(Reference!$B$108:$B$114,$N108+1)/SUM($AK$106:$AK$112)))</f>
        <v>0</v>
      </c>
      <c r="R108" s="32">
        <f t="shared" si="66"/>
        <v>180</v>
      </c>
      <c r="S108" s="32">
        <f t="shared" si="67"/>
        <v>150</v>
      </c>
      <c r="T108" s="32" t="str">
        <f>IF($A108="","",IF($C108=0,"Bullpen",IF(OR($C108=7,$C108=1,$C108=5),"Recovery/Easy Catch",IF($C108=6,"Compression/Pulldowns",IF(OR($C108=4,$C108=2),"Long Toss",IF($C108=3,"No Throw",IF($N108=2,"No Throw",IF($N108=6,IF($O108&lt;Reference!$B$104,"No Throw","Recovery/Easy Catch"),IF(OR($N108=0,$N108=4),"Recovery/Easy Catch",IF($N108=1,IF($R108&gt;75,"Long Toss","Recovery/Easy Catch"),IF($N108=3,IF($O108&lt;0.5,IF($S108&gt;75,"Long Toss","Recovery/Easy Catch"),"Compression/Pulldowns"),IF($S108&gt;75,"Long Toss","Recovery/Easy Catch"))))))))))))</f>
        <v>No Throw</v>
      </c>
      <c r="U108" s="32" t="str">
        <f t="shared" si="68"/>
        <v/>
      </c>
      <c r="V108" s="32" t="str">
        <f t="shared" si="69"/>
        <v/>
      </c>
      <c r="W108" s="32" t="str">
        <f t="shared" si="70"/>
        <v/>
      </c>
      <c r="X108" s="32">
        <f t="shared" si="71"/>
        <v>0</v>
      </c>
      <c r="Y108" s="32" t="str">
        <f t="shared" si="72"/>
        <v/>
      </c>
      <c r="Z108" s="32" t="str">
        <f t="shared" si="73"/>
        <v/>
      </c>
      <c r="AA108" s="32" t="str">
        <f t="shared" si="74"/>
        <v/>
      </c>
      <c r="AB108" s="32">
        <f>IF($A108="","",IF($T108="No Throw",0,IF($K108&lt;&gt;"",$K108,IF($AA108&lt;&gt;"",ROUND($AA108*$D$12*IF($C108=0,1,$G$10),0),MIN(IF($T108="Recovery/Easy Catch",Reference!$B$103,IF($T108="Long Toss",Reference!$B$106,Reference!$B$102)),MAX(Reference!$B$101,ROUND(MAX(0,$Q108-$AE108)/$AF108,0)))))))</f>
        <v>0</v>
      </c>
      <c r="AC108" s="32">
        <f t="shared" si="75"/>
        <v>0</v>
      </c>
      <c r="AD108" s="32" t="b">
        <f t="shared" si="76"/>
        <v>1</v>
      </c>
      <c r="AE108" s="32">
        <f>IF($X108=0,0,$X108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108+$Z108)/2,0),Reference!$A$17:$B$20,2,TRUE()))</f>
        <v>0</v>
      </c>
      <c r="AF108" s="32">
        <f>IF(OR($A108="",$U108="",$T108="No Throw"),0,$AM108*VLOOKUP(MAX(($V108+$W108)/2,0),Reference!$A$17:$B$20,2,TRUE()))</f>
        <v>0</v>
      </c>
      <c r="AG108" s="32">
        <f>IF($AC108=0,0,$AC108*INDEX(Reference!$B$61:$B$62,MATCH("Bullpen",Reference!$A$61:$A$62,0))*VLOOKUP(MAX($D$5-($D$9+$E$9)/2,0),Reference!$A$17:$B$20,2,TRUE()))</f>
        <v>0</v>
      </c>
      <c r="AH108" s="46">
        <f t="shared" si="77"/>
        <v>1.1966073006977225</v>
      </c>
      <c r="AI108" s="32">
        <f>IF($A108="",NA(),Reference!$A$25)</f>
        <v>0.8</v>
      </c>
      <c r="AJ108" s="32">
        <f t="shared" si="78"/>
        <v>1.3</v>
      </c>
      <c r="AK108" s="32">
        <f>IF(OR($A108="",N($C108)&lt;=7,$T108="No Throw",$J108="x"),0,INDEX(Reference!$B$108:$B$114,$N108+1))</f>
        <v>0</v>
      </c>
      <c r="AL108" s="32">
        <f t="shared" si="79"/>
        <v>1</v>
      </c>
      <c r="AM108" s="32">
        <f>IF($U108="",0,IF($AL108&gt;1,((IF(1&lt;=$AL108,($AL108-1+3)*(INDEX(Reference!$B$6:$B$11,MIN(5,MATCH(MAX(Reference!$A$6,MIN(Reference!$A$11,MIN($U108,90))),Reference!$A$6:$A$11,1)))+(MAX(Reference!$A$6,MIN(Reference!$A$11,MIN($U108,90)))-INDEX(Reference!$A$6:$A$11,MIN(5,MATCH(MAX(Reference!$A$6,MIN(Reference!$A$11,MIN($U108,90))),Reference!$A$6:$A$11,1))))*(INDEX(Reference!$B$6:$B$11,MIN(5,MATCH(MAX(Reference!$A$6,MIN(Reference!$A$11,MIN($U108,90))),Reference!$A$6:$A$11,1))+1)-INDEX(Reference!$B$6:$B$11,MIN(5,MATCH(MAX(Reference!$A$6,MIN(Reference!$A$11,MIN($U108,90))),Reference!$A$6:$A$11,1))))/(INDEX(Reference!$A$6:$A$11,MIN(5,MATCH(MAX(Reference!$A$6,MIN(Reference!$A$11,MIN($U108,90))),Reference!$A$6:$A$11,1))+1)-INDEX(Reference!$A$6:$A$11,MIN(5,MATCH(MAX(Reference!$A$6,MIN(Reference!$A$11,MIN($U108,90))),Reference!$A$6:$A$11,1))))),0)+IF(2&lt;=$AL108,($AL108-2+3)*(INDEX(Reference!$B$6:$B$11,MIN(5,MATCH(MAX(Reference!$A$6,MIN(Reference!$A$11,MIN($U108,120))),Reference!$A$6:$A$11,1)))+(MAX(Reference!$A$6,MIN(Reference!$A$11,MIN($U108,120)))-INDEX(Reference!$A$6:$A$11,MIN(5,MATCH(MAX(Reference!$A$6,MIN(Reference!$A$11,MIN($U108,120))),Reference!$A$6:$A$11,1))))*(INDEX(Reference!$B$6:$B$11,MIN(5,MATCH(MAX(Reference!$A$6,MIN(Reference!$A$11,MIN($U108,120))),Reference!$A$6:$A$11,1))+1)-INDEX(Reference!$B$6:$B$11,MIN(5,MATCH(MAX(Reference!$A$6,MIN(Reference!$A$11,MIN($U108,120))),Reference!$A$6:$A$11,1))))/(INDEX(Reference!$A$6:$A$11,MIN(5,MATCH(MAX(Reference!$A$6,MIN(Reference!$A$11,MIN($U108,120))),Reference!$A$6:$A$11,1))+1)-INDEX(Reference!$A$6:$A$11,MIN(5,MATCH(MAX(Reference!$A$6,MIN(Reference!$A$11,MIN($U108,120))),Reference!$A$6:$A$11,1))))),0)+IF(3&lt;=$AL108,($AL108-3+3)*(INDEX(Reference!$B$6:$B$11,MIN(5,MATCH(MAX(Reference!$A$6,MIN(Reference!$A$11,MIN($U108,150))),Reference!$A$6:$A$11,1)))+(MAX(Reference!$A$6,MIN(Reference!$A$11,MIN($U108,150)))-INDEX(Reference!$A$6:$A$11,MIN(5,MATCH(MAX(Reference!$A$6,MIN(Reference!$A$11,MIN($U108,150))),Reference!$A$6:$A$11,1))))*(INDEX(Reference!$B$6:$B$11,MIN(5,MATCH(MAX(Reference!$A$6,MIN(Reference!$A$11,MIN($U108,150))),Reference!$A$6:$A$11,1))+1)-INDEX(Reference!$B$6:$B$11,MIN(5,MATCH(MAX(Reference!$A$6,MIN(Reference!$A$11,MIN($U108,150))),Reference!$A$6:$A$11,1))))/(INDEX(Reference!$A$6:$A$11,MIN(5,MATCH(MAX(Reference!$A$6,MIN(Reference!$A$11,MIN($U108,150))),Reference!$A$6:$A$11,1))+1)-INDEX(Reference!$A$6:$A$11,MIN(5,MATCH(MAX(Reference!$A$6,MIN(Reference!$A$11,MIN($U108,150))),Reference!$A$6:$A$11,1))))),0)+IF(4&lt;=$AL108,($AL108-4+3)*(INDEX(Reference!$B$6:$B$11,MIN(5,MATCH(MAX(Reference!$A$6,MIN(Reference!$A$11,MIN($U108,180))),Reference!$A$6:$A$11,1)))+(MAX(Reference!$A$6,MIN(Reference!$A$11,MIN($U108,180)))-INDEX(Reference!$A$6:$A$11,MIN(5,MATCH(MAX(Reference!$A$6,MIN(Reference!$A$11,MIN($U108,180))),Reference!$A$6:$A$11,1))))*(INDEX(Reference!$B$6:$B$11,MIN(5,MATCH(MAX(Reference!$A$6,MIN(Reference!$A$11,MIN($U108,180))),Reference!$A$6:$A$11,1))+1)-INDEX(Reference!$B$6:$B$11,MIN(5,MATCH(MAX(Reference!$A$6,MIN(Reference!$A$11,MIN($U108,180))),Reference!$A$6:$A$11,1))))/(INDEX(Reference!$A$6:$A$11,MIN(5,MATCH(MAX(Reference!$A$6,MIN(Reference!$A$11,MIN($U108,180))),Reference!$A$6:$A$11,1))+1)-INDEX(Reference!$A$6:$A$11,MIN(5,MATCH(MAX(Reference!$A$6,MIN(Reference!$A$11,MIN($U108,180))),Reference!$A$6:$A$11,1))))),0)+IF(5&lt;=$AL108,($AL108-5+3)*(INDEX(Reference!$B$6:$B$11,MIN(5,MATCH(MAX(Reference!$A$6,MIN(Reference!$A$11,MIN($U108,210))),Reference!$A$6:$A$11,1)))+(MAX(Reference!$A$6,MIN(Reference!$A$11,MIN($U108,210)))-INDEX(Reference!$A$6:$A$11,MIN(5,MATCH(MAX(Reference!$A$6,MIN(Reference!$A$11,MIN($U108,210))),Reference!$A$6:$A$11,1))))*(INDEX(Reference!$B$6:$B$11,MIN(5,MATCH(MAX(Reference!$A$6,MIN(Reference!$A$11,MIN($U108,210))),Reference!$A$6:$A$11,1))+1)-INDEX(Reference!$B$6:$B$11,MIN(5,MATCH(MAX(Reference!$A$6,MIN(Reference!$A$11,MIN($U108,210))),Reference!$A$6:$A$11,1))))/(INDEX(Reference!$A$6:$A$11,MIN(5,MATCH(MAX(Reference!$A$6,MIN(Reference!$A$11,MIN($U108,210))),Reference!$A$6:$A$11,1))+1)-INDEX(Reference!$A$6:$A$11,MIN(5,MATCH(MAX(Reference!$A$6,MIN(Reference!$A$11,MIN($U108,210))),Reference!$A$6:$A$11,1))))),0)+IF(6&lt;=$AL108,($AL108-6+3)*(INDEX(Reference!$B$6:$B$11,MIN(5,MATCH(MAX(Reference!$A$6,MIN(Reference!$A$11,MIN($U108,240))),Reference!$A$6:$A$11,1)))+(MAX(Reference!$A$6,MIN(Reference!$A$11,MIN($U108,240)))-INDEX(Reference!$A$6:$A$11,MIN(5,MATCH(MAX(Reference!$A$6,MIN(Reference!$A$11,MIN($U108,240))),Reference!$A$6:$A$11,1))))*(INDEX(Reference!$B$6:$B$11,MIN(5,MATCH(MAX(Reference!$A$6,MIN(Reference!$A$11,MIN($U108,240))),Reference!$A$6:$A$11,1))+1)-INDEX(Reference!$B$6:$B$11,MIN(5,MATCH(MAX(Reference!$A$6,MIN(Reference!$A$11,MIN($U108,240))),Reference!$A$6:$A$11,1))))/(INDEX(Reference!$A$6:$A$11,MIN(5,MATCH(MAX(Reference!$A$6,MIN(Reference!$A$11,MIN($U108,240))),Reference!$A$6:$A$11,1))+1)-INDEX(Reference!$A$6:$A$11,MIN(5,MATCH(MAX(Reference!$A$6,MIN(Reference!$A$11,MIN($U108,240))),Reference!$A$6:$A$11,1))))),0)+IF(7&lt;=$AL108,($AL108-7+3)*(INDEX(Reference!$B$6:$B$11,MIN(5,MATCH(MAX(Reference!$A$6,MIN(Reference!$A$11,MIN($U108,270))),Reference!$A$6:$A$11,1)))+(MAX(Reference!$A$6,MIN(Reference!$A$11,MIN($U108,270)))-INDEX(Reference!$A$6:$A$11,MIN(5,MATCH(MAX(Reference!$A$6,MIN(Reference!$A$11,MIN($U108,270))),Reference!$A$6:$A$11,1))))*(INDEX(Reference!$B$6:$B$11,MIN(5,MATCH(MAX(Reference!$A$6,MIN(Reference!$A$11,MIN($U108,270))),Reference!$A$6:$A$11,1))+1)-INDEX(Reference!$B$6:$B$11,MIN(5,MATCH(MAX(Reference!$A$6,MIN(Reference!$A$11,MIN($U108,270))),Reference!$A$6:$A$11,1))))/(INDEX(Reference!$A$6:$A$11,MIN(5,MATCH(MAX(Reference!$A$6,MIN(Reference!$A$11,MIN($U108,270))),Reference!$A$6:$A$11,1))+1)-INDEX(Reference!$A$6:$A$11,MIN(5,MATCH(MAX(Reference!$A$6,MIN(Reference!$A$11,MIN($U108,270))),Reference!$A$6:$A$11,1))))),0)+IF(8&lt;=$AL108,($AL108-8+3)*(INDEX(Reference!$B$6:$B$11,MIN(5,MATCH(MAX(Reference!$A$6,MIN(Reference!$A$11,MIN($U108,300))),Reference!$A$6:$A$11,1)))+(MAX(Reference!$A$6,MIN(Reference!$A$11,MIN($U108,300)))-INDEX(Reference!$A$6:$A$11,MIN(5,MATCH(MAX(Reference!$A$6,MIN(Reference!$A$11,MIN($U108,300))),Reference!$A$6:$A$11,1))))*(INDEX(Reference!$B$6:$B$11,MIN(5,MATCH(MAX(Reference!$A$6,MIN(Reference!$A$11,MIN($U108,300))),Reference!$A$6:$A$11,1))+1)-INDEX(Reference!$B$6:$B$11,MIN(5,MATCH(MAX(Reference!$A$6,MIN(Reference!$A$11,MIN($U108,300))),Reference!$A$6:$A$11,1))))/(INDEX(Reference!$A$6:$A$11,MIN(5,MATCH(MAX(Reference!$A$6,MIN(Reference!$A$11,MIN($U108,300))),Reference!$A$6:$A$11,1))+1)-INDEX(Reference!$A$6:$A$11,MIN(5,MATCH(MAX(Reference!$A$6,MIN(Reference!$A$11,MIN($U108,300))),Reference!$A$6:$A$11,1))))),0))/($AL108*($AL108+5)/2)),$AN108))</f>
        <v>0</v>
      </c>
      <c r="AN108" s="32">
        <f>IF($U108="",0,(INDEX(Reference!$B$6:$B$11,MIN(5,MATCH(MAX(Reference!$A$6,MIN(Reference!$A$11,$U108)),Reference!$A$6:$A$11,1)))+(MAX(Reference!$A$6,MIN(Reference!$A$11,$U108))-INDEX(Reference!$A$6:$A$11,MIN(5,MATCH(MAX(Reference!$A$6,MIN(Reference!$A$11,$U108)),Reference!$A$6:$A$11,1))))*(INDEX(Reference!$B$6:$B$11,MIN(5,MATCH(MAX(Reference!$A$6,MIN(Reference!$A$11,$U108)),Reference!$A$6:$A$11,1))+1)-INDEX(Reference!$B$6:$B$11,MIN(5,MATCH(MAX(Reference!$A$6,MIN(Reference!$A$11,$U108)),Reference!$A$6:$A$11,1))))/(INDEX(Reference!$A$6:$A$11,MIN(5,MATCH(MAX(Reference!$A$6,MIN(Reference!$A$11,$U108)),Reference!$A$6:$A$11,1))+1)-INDEX(Reference!$A$6:$A$11,MIN(5,MATCH(MAX(Reference!$A$6,MIN(Reference!$A$11,$U108)),Reference!$A$6:$A$11,1))))))</f>
        <v>0</v>
      </c>
      <c r="AO108" s="37"/>
      <c r="AP108" s="37"/>
      <c r="AQ108" s="37"/>
    </row>
    <row r="109" spans="1:43" x14ac:dyDescent="0.3">
      <c r="A109" s="48">
        <f t="shared" si="55"/>
        <v>46373</v>
      </c>
      <c r="B109" s="32" t="str">
        <f t="shared" si="56"/>
        <v>Thu</v>
      </c>
      <c r="C109" s="32">
        <f t="shared" si="57"/>
        <v>18</v>
      </c>
      <c r="D109" s="32" t="str">
        <f t="shared" si="58"/>
        <v>Flat Ground / Intent</v>
      </c>
      <c r="E109" s="32" t="str">
        <f t="shared" si="59"/>
        <v>High Non-Bullpen</v>
      </c>
      <c r="F109" s="32" t="str">
        <f t="shared" si="60"/>
        <v>Compression/Pulldowns</v>
      </c>
      <c r="G109" s="47" t="str">
        <f t="shared" si="61"/>
        <v>90 ft × 20 @ 82–84 mph + flat ground at 60 ft × 25 @ 82–84 mph</v>
      </c>
      <c r="H109" s="30">
        <f t="shared" si="62"/>
        <v>51</v>
      </c>
      <c r="I109" s="46">
        <f>IF($A109="","",IF(AND($L109&lt;27,$K$12=0),"Building",IFERROR(((SUM($H$103:$H109)+$K$12*IF($L109&lt;6,SUMIFS('Throw Log'!$Q$5:$Q$300,'Throw Log'!$B$5:$B$300,$D$4,'Throw Log'!$A$5:$A$300,"&gt;="&amp;($D$6+$L109-6),'Throw Log'!$A$5:$A$300,"&lt;="&amp;($D$6-1)),0))/7)/((SUM($H$82:$H109)+$K$12*IF($L109&lt;27,SUMIFS('Throw Log'!$Q$5:$Q$300,'Throw Log'!$B$5:$B$300,$D$4,'Throw Log'!$A$5:$A$300,"&gt;="&amp;($D$6+$L109-27),'Throw Log'!$A$5:$A$300,"&lt;="&amp;($D$6-1)),0))/28),"")))</f>
        <v>1.1978623767285552</v>
      </c>
      <c r="J109" s="37"/>
      <c r="K109" s="37">
        <v>20</v>
      </c>
      <c r="L109" s="32">
        <v>66</v>
      </c>
      <c r="M109" s="32">
        <f t="shared" si="63"/>
        <v>10</v>
      </c>
      <c r="N109" s="32">
        <f t="shared" si="64"/>
        <v>3</v>
      </c>
      <c r="O109" s="32">
        <f t="shared" si="65"/>
        <v>0.86842105263157898</v>
      </c>
      <c r="P109" s="32">
        <f>IF(OR($A109="",N($C109)&lt;=7),"",$G$6*$G$9^($M109-1)*IF(AND(MOD($M109,Reference!$B$99)=0,$M109&lt;=$G$5-2),Reference!$B$100,1))</f>
        <v>231.09205355537119</v>
      </c>
      <c r="Q109" s="32">
        <f>IF($P109="","",IF(SUM($AK$106:$AK$112)=0,0,$P109*INDEX(Reference!$B$108:$B$114,$N109+1)/SUM($AK$106:$AK$112)))</f>
        <v>51.833731638587928</v>
      </c>
      <c r="R109" s="32">
        <f t="shared" si="66"/>
        <v>180</v>
      </c>
      <c r="S109" s="32">
        <f t="shared" si="67"/>
        <v>150</v>
      </c>
      <c r="T109" s="32" t="str">
        <f>IF($A109="","",IF($C109=0,"Bullpen",IF(OR($C109=7,$C109=1,$C109=5),"Recovery/Easy Catch",IF($C109=6,"Compression/Pulldowns",IF(OR($C109=4,$C109=2),"Long Toss",IF($C109=3,"No Throw",IF($N109=2,"No Throw",IF($N109=6,IF($O109&lt;Reference!$B$104,"No Throw","Recovery/Easy Catch"),IF(OR($N109=0,$N109=4),"Recovery/Easy Catch",IF($N109=1,IF($R109&gt;75,"Long Toss","Recovery/Easy Catch"),IF($N109=3,IF($O109&lt;0.5,IF($S109&gt;75,"Long Toss","Recovery/Easy Catch"),"Compression/Pulldowns"),IF($S109&gt;75,"Long Toss","Recovery/Easy Catch"))))))))))))</f>
        <v>Compression/Pulldowns</v>
      </c>
      <c r="U109" s="32">
        <f t="shared" si="68"/>
        <v>90</v>
      </c>
      <c r="V109" s="32">
        <f t="shared" si="69"/>
        <v>7</v>
      </c>
      <c r="W109" s="32">
        <f t="shared" si="70"/>
        <v>9</v>
      </c>
      <c r="X109" s="32">
        <f t="shared" si="71"/>
        <v>25</v>
      </c>
      <c r="Y109" s="32">
        <f t="shared" si="72"/>
        <v>7</v>
      </c>
      <c r="Z109" s="32">
        <f t="shared" si="73"/>
        <v>9</v>
      </c>
      <c r="AA109" s="32" t="str">
        <f t="shared" si="74"/>
        <v/>
      </c>
      <c r="AB109" s="32">
        <f>IF($A109="","",IF($T109="No Throw",0,IF($K109&lt;&gt;"",$K109,IF($AA109&lt;&gt;"",ROUND($AA109*$D$12*IF($C109=0,1,$G$10),0),MIN(IF($T109="Recovery/Easy Catch",Reference!$B$103,IF($T109="Long Toss",Reference!$B$106,Reference!$B$102)),MAX(Reference!$B$101,ROUND(MAX(0,$Q109-$AE109)/$AF109,0)))))))</f>
        <v>20</v>
      </c>
      <c r="AC109" s="32">
        <f t="shared" si="75"/>
        <v>0</v>
      </c>
      <c r="AD109" s="32" t="b">
        <f t="shared" si="76"/>
        <v>0</v>
      </c>
      <c r="AE109" s="32">
        <f>IF($X109=0,0,$X109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109+$Z109)/2,0),Reference!$A$17:$B$20,2,TRUE()))</f>
        <v>25</v>
      </c>
      <c r="AF109" s="32">
        <f>IF(OR($A109="",$U109="",$T109="No Throw"),0,$AM109*VLOOKUP(MAX(($V109+$W109)/2,0),Reference!$A$17:$B$20,2,TRUE()))</f>
        <v>1.3</v>
      </c>
      <c r="AG109" s="32">
        <f>IF($AC109=0,0,$AC109*INDEX(Reference!$B$61:$B$62,MATCH("Bullpen",Reference!$A$61:$A$62,0))*VLOOKUP(MAX($D$5-($D$9+$E$9)/2,0),Reference!$A$17:$B$20,2,TRUE()))</f>
        <v>0</v>
      </c>
      <c r="AH109" s="46">
        <f t="shared" si="77"/>
        <v>1.1978623767285552</v>
      </c>
      <c r="AI109" s="32">
        <f>IF($A109="",NA(),Reference!$A$25)</f>
        <v>0.8</v>
      </c>
      <c r="AJ109" s="32">
        <f t="shared" si="78"/>
        <v>1.3</v>
      </c>
      <c r="AK109" s="56">
        <f>IF(OR($A109="",N($C109)&lt;=7,$T109="No Throw",$J109="x"),0,INDEX(Reference!$B$108:$B$114,$N109+1))</f>
        <v>0.24</v>
      </c>
      <c r="AL109" s="32">
        <f t="shared" si="79"/>
        <v>1</v>
      </c>
      <c r="AM109" s="32">
        <f>IF($U109="",0,IF($AL109&gt;1,((IF(1&lt;=$AL109,($AL109-1+3)*(INDEX(Reference!$B$6:$B$11,MIN(5,MATCH(MAX(Reference!$A$6,MIN(Reference!$A$11,MIN($U109,90))),Reference!$A$6:$A$11,1)))+(MAX(Reference!$A$6,MIN(Reference!$A$11,MIN($U109,90)))-INDEX(Reference!$A$6:$A$11,MIN(5,MATCH(MAX(Reference!$A$6,MIN(Reference!$A$11,MIN($U109,90))),Reference!$A$6:$A$11,1))))*(INDEX(Reference!$B$6:$B$11,MIN(5,MATCH(MAX(Reference!$A$6,MIN(Reference!$A$11,MIN($U109,90))),Reference!$A$6:$A$11,1))+1)-INDEX(Reference!$B$6:$B$11,MIN(5,MATCH(MAX(Reference!$A$6,MIN(Reference!$A$11,MIN($U109,90))),Reference!$A$6:$A$11,1))))/(INDEX(Reference!$A$6:$A$11,MIN(5,MATCH(MAX(Reference!$A$6,MIN(Reference!$A$11,MIN($U109,90))),Reference!$A$6:$A$11,1))+1)-INDEX(Reference!$A$6:$A$11,MIN(5,MATCH(MAX(Reference!$A$6,MIN(Reference!$A$11,MIN($U109,90))),Reference!$A$6:$A$11,1))))),0)+IF(2&lt;=$AL109,($AL109-2+3)*(INDEX(Reference!$B$6:$B$11,MIN(5,MATCH(MAX(Reference!$A$6,MIN(Reference!$A$11,MIN($U109,120))),Reference!$A$6:$A$11,1)))+(MAX(Reference!$A$6,MIN(Reference!$A$11,MIN($U109,120)))-INDEX(Reference!$A$6:$A$11,MIN(5,MATCH(MAX(Reference!$A$6,MIN(Reference!$A$11,MIN($U109,120))),Reference!$A$6:$A$11,1))))*(INDEX(Reference!$B$6:$B$11,MIN(5,MATCH(MAX(Reference!$A$6,MIN(Reference!$A$11,MIN($U109,120))),Reference!$A$6:$A$11,1))+1)-INDEX(Reference!$B$6:$B$11,MIN(5,MATCH(MAX(Reference!$A$6,MIN(Reference!$A$11,MIN($U109,120))),Reference!$A$6:$A$11,1))))/(INDEX(Reference!$A$6:$A$11,MIN(5,MATCH(MAX(Reference!$A$6,MIN(Reference!$A$11,MIN($U109,120))),Reference!$A$6:$A$11,1))+1)-INDEX(Reference!$A$6:$A$11,MIN(5,MATCH(MAX(Reference!$A$6,MIN(Reference!$A$11,MIN($U109,120))),Reference!$A$6:$A$11,1))))),0)+IF(3&lt;=$AL109,($AL109-3+3)*(INDEX(Reference!$B$6:$B$11,MIN(5,MATCH(MAX(Reference!$A$6,MIN(Reference!$A$11,MIN($U109,150))),Reference!$A$6:$A$11,1)))+(MAX(Reference!$A$6,MIN(Reference!$A$11,MIN($U109,150)))-INDEX(Reference!$A$6:$A$11,MIN(5,MATCH(MAX(Reference!$A$6,MIN(Reference!$A$11,MIN($U109,150))),Reference!$A$6:$A$11,1))))*(INDEX(Reference!$B$6:$B$11,MIN(5,MATCH(MAX(Reference!$A$6,MIN(Reference!$A$11,MIN($U109,150))),Reference!$A$6:$A$11,1))+1)-INDEX(Reference!$B$6:$B$11,MIN(5,MATCH(MAX(Reference!$A$6,MIN(Reference!$A$11,MIN($U109,150))),Reference!$A$6:$A$11,1))))/(INDEX(Reference!$A$6:$A$11,MIN(5,MATCH(MAX(Reference!$A$6,MIN(Reference!$A$11,MIN($U109,150))),Reference!$A$6:$A$11,1))+1)-INDEX(Reference!$A$6:$A$11,MIN(5,MATCH(MAX(Reference!$A$6,MIN(Reference!$A$11,MIN($U109,150))),Reference!$A$6:$A$11,1))))),0)+IF(4&lt;=$AL109,($AL109-4+3)*(INDEX(Reference!$B$6:$B$11,MIN(5,MATCH(MAX(Reference!$A$6,MIN(Reference!$A$11,MIN($U109,180))),Reference!$A$6:$A$11,1)))+(MAX(Reference!$A$6,MIN(Reference!$A$11,MIN($U109,180)))-INDEX(Reference!$A$6:$A$11,MIN(5,MATCH(MAX(Reference!$A$6,MIN(Reference!$A$11,MIN($U109,180))),Reference!$A$6:$A$11,1))))*(INDEX(Reference!$B$6:$B$11,MIN(5,MATCH(MAX(Reference!$A$6,MIN(Reference!$A$11,MIN($U109,180))),Reference!$A$6:$A$11,1))+1)-INDEX(Reference!$B$6:$B$11,MIN(5,MATCH(MAX(Reference!$A$6,MIN(Reference!$A$11,MIN($U109,180))),Reference!$A$6:$A$11,1))))/(INDEX(Reference!$A$6:$A$11,MIN(5,MATCH(MAX(Reference!$A$6,MIN(Reference!$A$11,MIN($U109,180))),Reference!$A$6:$A$11,1))+1)-INDEX(Reference!$A$6:$A$11,MIN(5,MATCH(MAX(Reference!$A$6,MIN(Reference!$A$11,MIN($U109,180))),Reference!$A$6:$A$11,1))))),0)+IF(5&lt;=$AL109,($AL109-5+3)*(INDEX(Reference!$B$6:$B$11,MIN(5,MATCH(MAX(Reference!$A$6,MIN(Reference!$A$11,MIN($U109,210))),Reference!$A$6:$A$11,1)))+(MAX(Reference!$A$6,MIN(Reference!$A$11,MIN($U109,210)))-INDEX(Reference!$A$6:$A$11,MIN(5,MATCH(MAX(Reference!$A$6,MIN(Reference!$A$11,MIN($U109,210))),Reference!$A$6:$A$11,1))))*(INDEX(Reference!$B$6:$B$11,MIN(5,MATCH(MAX(Reference!$A$6,MIN(Reference!$A$11,MIN($U109,210))),Reference!$A$6:$A$11,1))+1)-INDEX(Reference!$B$6:$B$11,MIN(5,MATCH(MAX(Reference!$A$6,MIN(Reference!$A$11,MIN($U109,210))),Reference!$A$6:$A$11,1))))/(INDEX(Reference!$A$6:$A$11,MIN(5,MATCH(MAX(Reference!$A$6,MIN(Reference!$A$11,MIN($U109,210))),Reference!$A$6:$A$11,1))+1)-INDEX(Reference!$A$6:$A$11,MIN(5,MATCH(MAX(Reference!$A$6,MIN(Reference!$A$11,MIN($U109,210))),Reference!$A$6:$A$11,1))))),0)+IF(6&lt;=$AL109,($AL109-6+3)*(INDEX(Reference!$B$6:$B$11,MIN(5,MATCH(MAX(Reference!$A$6,MIN(Reference!$A$11,MIN($U109,240))),Reference!$A$6:$A$11,1)))+(MAX(Reference!$A$6,MIN(Reference!$A$11,MIN($U109,240)))-INDEX(Reference!$A$6:$A$11,MIN(5,MATCH(MAX(Reference!$A$6,MIN(Reference!$A$11,MIN($U109,240))),Reference!$A$6:$A$11,1))))*(INDEX(Reference!$B$6:$B$11,MIN(5,MATCH(MAX(Reference!$A$6,MIN(Reference!$A$11,MIN($U109,240))),Reference!$A$6:$A$11,1))+1)-INDEX(Reference!$B$6:$B$11,MIN(5,MATCH(MAX(Reference!$A$6,MIN(Reference!$A$11,MIN($U109,240))),Reference!$A$6:$A$11,1))))/(INDEX(Reference!$A$6:$A$11,MIN(5,MATCH(MAX(Reference!$A$6,MIN(Reference!$A$11,MIN($U109,240))),Reference!$A$6:$A$11,1))+1)-INDEX(Reference!$A$6:$A$11,MIN(5,MATCH(MAX(Reference!$A$6,MIN(Reference!$A$11,MIN($U109,240))),Reference!$A$6:$A$11,1))))),0)+IF(7&lt;=$AL109,($AL109-7+3)*(INDEX(Reference!$B$6:$B$11,MIN(5,MATCH(MAX(Reference!$A$6,MIN(Reference!$A$11,MIN($U109,270))),Reference!$A$6:$A$11,1)))+(MAX(Reference!$A$6,MIN(Reference!$A$11,MIN($U109,270)))-INDEX(Reference!$A$6:$A$11,MIN(5,MATCH(MAX(Reference!$A$6,MIN(Reference!$A$11,MIN($U109,270))),Reference!$A$6:$A$11,1))))*(INDEX(Reference!$B$6:$B$11,MIN(5,MATCH(MAX(Reference!$A$6,MIN(Reference!$A$11,MIN($U109,270))),Reference!$A$6:$A$11,1))+1)-INDEX(Reference!$B$6:$B$11,MIN(5,MATCH(MAX(Reference!$A$6,MIN(Reference!$A$11,MIN($U109,270))),Reference!$A$6:$A$11,1))))/(INDEX(Reference!$A$6:$A$11,MIN(5,MATCH(MAX(Reference!$A$6,MIN(Reference!$A$11,MIN($U109,270))),Reference!$A$6:$A$11,1))+1)-INDEX(Reference!$A$6:$A$11,MIN(5,MATCH(MAX(Reference!$A$6,MIN(Reference!$A$11,MIN($U109,270))),Reference!$A$6:$A$11,1))))),0)+IF(8&lt;=$AL109,($AL109-8+3)*(INDEX(Reference!$B$6:$B$11,MIN(5,MATCH(MAX(Reference!$A$6,MIN(Reference!$A$11,MIN($U109,300))),Reference!$A$6:$A$11,1)))+(MAX(Reference!$A$6,MIN(Reference!$A$11,MIN($U109,300)))-INDEX(Reference!$A$6:$A$11,MIN(5,MATCH(MAX(Reference!$A$6,MIN(Reference!$A$11,MIN($U109,300))),Reference!$A$6:$A$11,1))))*(INDEX(Reference!$B$6:$B$11,MIN(5,MATCH(MAX(Reference!$A$6,MIN(Reference!$A$11,MIN($U109,300))),Reference!$A$6:$A$11,1))+1)-INDEX(Reference!$B$6:$B$11,MIN(5,MATCH(MAX(Reference!$A$6,MIN(Reference!$A$11,MIN($U109,300))),Reference!$A$6:$A$11,1))))/(INDEX(Reference!$A$6:$A$11,MIN(5,MATCH(MAX(Reference!$A$6,MIN(Reference!$A$11,MIN($U109,300))),Reference!$A$6:$A$11,1))+1)-INDEX(Reference!$A$6:$A$11,MIN(5,MATCH(MAX(Reference!$A$6,MIN(Reference!$A$11,MIN($U109,300))),Reference!$A$6:$A$11,1))))),0))/($AL109*($AL109+5)/2)),$AN109))</f>
        <v>1.3</v>
      </c>
      <c r="AN109" s="32">
        <f>IF($U109="",0,(INDEX(Reference!$B$6:$B$11,MIN(5,MATCH(MAX(Reference!$A$6,MIN(Reference!$A$11,$U109)),Reference!$A$6:$A$11,1)))+(MAX(Reference!$A$6,MIN(Reference!$A$11,$U109))-INDEX(Reference!$A$6:$A$11,MIN(5,MATCH(MAX(Reference!$A$6,MIN(Reference!$A$11,$U109)),Reference!$A$6:$A$11,1))))*(INDEX(Reference!$B$6:$B$11,MIN(5,MATCH(MAX(Reference!$A$6,MIN(Reference!$A$11,$U109)),Reference!$A$6:$A$11,1))+1)-INDEX(Reference!$B$6:$B$11,MIN(5,MATCH(MAX(Reference!$A$6,MIN(Reference!$A$11,$U109)),Reference!$A$6:$A$11,1))))/(INDEX(Reference!$A$6:$A$11,MIN(5,MATCH(MAX(Reference!$A$6,MIN(Reference!$A$11,$U109)),Reference!$A$6:$A$11,1))+1)-INDEX(Reference!$A$6:$A$11,MIN(5,MATCH(MAX(Reference!$A$6,MIN(Reference!$A$11,$U109)),Reference!$A$6:$A$11,1))))))</f>
        <v>1.3</v>
      </c>
      <c r="AO109" s="37"/>
      <c r="AP109" s="37"/>
      <c r="AQ109" s="37"/>
    </row>
    <row r="110" spans="1:43" x14ac:dyDescent="0.3">
      <c r="A110" s="48">
        <f t="shared" si="55"/>
        <v>46374</v>
      </c>
      <c r="B110" s="32" t="str">
        <f t="shared" si="56"/>
        <v>Fri</v>
      </c>
      <c r="C110" s="32">
        <f t="shared" si="57"/>
        <v>17</v>
      </c>
      <c r="D110" s="32" t="str">
        <f t="shared" si="58"/>
        <v>Flat Ground / Intent</v>
      </c>
      <c r="E110" s="32" t="str">
        <f t="shared" si="59"/>
        <v>Low</v>
      </c>
      <c r="F110" s="32" t="str">
        <f t="shared" si="60"/>
        <v>Recovery/Easy Catch</v>
      </c>
      <c r="G110" s="47" t="str">
        <f t="shared" si="61"/>
        <v>75 ft × 30 @ 69–73 mph</v>
      </c>
      <c r="H110" s="30">
        <f t="shared" si="62"/>
        <v>20.7</v>
      </c>
      <c r="I110" s="46">
        <f>IF($A110="","",IF(AND($L110&lt;27,$K$12=0),"Building",IFERROR(((SUM($H$104:$H110)+$K$12*IF($L110&lt;6,SUMIFS('Throw Log'!$Q$5:$Q$300,'Throw Log'!$B$5:$B$300,$D$4,'Throw Log'!$A$5:$A$300,"&gt;="&amp;($D$6+$L110-6),'Throw Log'!$A$5:$A$300,"&lt;="&amp;($D$6-1)),0))/7)/((SUM($H$83:$H110)+$K$12*IF($L110&lt;27,SUMIFS('Throw Log'!$Q$5:$Q$300,'Throw Log'!$B$5:$B$300,$D$4,'Throw Log'!$A$5:$A$300,"&gt;="&amp;($D$6+$L110-27),'Throw Log'!$A$5:$A$300,"&lt;="&amp;($D$6-1)),0))/28),"")))</f>
        <v>1.195068953845146</v>
      </c>
      <c r="J110" s="37"/>
      <c r="K110" s="37">
        <v>30</v>
      </c>
      <c r="L110" s="32">
        <v>67</v>
      </c>
      <c r="M110" s="32">
        <f t="shared" si="63"/>
        <v>10</v>
      </c>
      <c r="N110" s="32">
        <f t="shared" si="64"/>
        <v>4</v>
      </c>
      <c r="O110" s="32">
        <f t="shared" si="65"/>
        <v>0.88157894736842102</v>
      </c>
      <c r="P110" s="32">
        <f>IF(OR($A110="",N($C110)&lt;=7),"",$G$6*$G$9^($M110-1)*IF(AND(MOD($M110,Reference!$B$99)=0,$M110&lt;=$G$5-2),Reference!$B$100,1))</f>
        <v>231.09205355537119</v>
      </c>
      <c r="Q110" s="32">
        <f>IF($P110="","",IF(SUM($AK$106:$AK$112)=0,0,$P110*INDEX(Reference!$B$108:$B$114,$N110+1)/SUM($AK$106:$AK$112)))</f>
        <v>21.597388182744972</v>
      </c>
      <c r="R110" s="32">
        <f t="shared" si="66"/>
        <v>180</v>
      </c>
      <c r="S110" s="32">
        <f t="shared" si="67"/>
        <v>150</v>
      </c>
      <c r="T110" s="32" t="str">
        <f>IF($A110="","",IF($C110=0,"Bullpen",IF(OR($C110=7,$C110=1,$C110=5),"Recovery/Easy Catch",IF($C110=6,"Compression/Pulldowns",IF(OR($C110=4,$C110=2),"Long Toss",IF($C110=3,"No Throw",IF($N110=2,"No Throw",IF($N110=6,IF($O110&lt;Reference!$B$104,"No Throw","Recovery/Easy Catch"),IF(OR($N110=0,$N110=4),"Recovery/Easy Catch",IF($N110=1,IF($R110&gt;75,"Long Toss","Recovery/Easy Catch"),IF($N110=3,IF($O110&lt;0.5,IF($S110&gt;75,"Long Toss","Recovery/Easy Catch"),"Compression/Pulldowns"),IF($S110&gt;75,"Long Toss","Recovery/Easy Catch"))))))))))))</f>
        <v>Recovery/Easy Catch</v>
      </c>
      <c r="U110" s="32">
        <f t="shared" si="68"/>
        <v>75</v>
      </c>
      <c r="V110" s="32">
        <f t="shared" si="69"/>
        <v>18</v>
      </c>
      <c r="W110" s="32">
        <f t="shared" si="70"/>
        <v>22</v>
      </c>
      <c r="X110" s="32">
        <f t="shared" si="71"/>
        <v>0</v>
      </c>
      <c r="Y110" s="32" t="str">
        <f t="shared" si="72"/>
        <v/>
      </c>
      <c r="Z110" s="32" t="str">
        <f t="shared" si="73"/>
        <v/>
      </c>
      <c r="AA110" s="32" t="str">
        <f t="shared" si="74"/>
        <v/>
      </c>
      <c r="AB110" s="32">
        <f>IF($A110="","",IF($T110="No Throw",0,IF($K110&lt;&gt;"",$K110,IF($AA110&lt;&gt;"",ROUND($AA110*$D$12*IF($C110=0,1,$G$10),0),MIN(IF($T110="Recovery/Easy Catch",Reference!$B$103,IF($T110="Long Toss",Reference!$B$106,Reference!$B$102)),MAX(Reference!$B$101,ROUND(MAX(0,$Q110-$AE110)/$AF110,0)))))))</f>
        <v>30</v>
      </c>
      <c r="AC110" s="32">
        <f t="shared" si="75"/>
        <v>0</v>
      </c>
      <c r="AD110" s="32" t="b">
        <f t="shared" si="76"/>
        <v>0</v>
      </c>
      <c r="AE110" s="32">
        <f>IF($X110=0,0,$X110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110+$Z110)/2,0),Reference!$A$17:$B$20,2,TRUE()))</f>
        <v>0</v>
      </c>
      <c r="AF110" s="32">
        <f>IF(OR($A110="",$U110="",$T110="No Throw"),0,$AM110*VLOOKUP(MAX(($V110+$W110)/2,0),Reference!$A$17:$B$20,2,TRUE()))</f>
        <v>0.69</v>
      </c>
      <c r="AG110" s="32">
        <f>IF($AC110=0,0,$AC110*INDEX(Reference!$B$61:$B$62,MATCH("Bullpen",Reference!$A$61:$A$62,0))*VLOOKUP(MAX($D$5-($D$9+$E$9)/2,0),Reference!$A$17:$B$20,2,TRUE()))</f>
        <v>0</v>
      </c>
      <c r="AH110" s="46">
        <f t="shared" si="77"/>
        <v>1.195068953845146</v>
      </c>
      <c r="AI110" s="32">
        <f>IF($A110="",NA(),Reference!$A$25)</f>
        <v>0.8</v>
      </c>
      <c r="AJ110" s="32">
        <f t="shared" si="78"/>
        <v>1.3</v>
      </c>
      <c r="AK110" s="56">
        <f>IF(OR($A110="",N($C110)&lt;=7,$T110="No Throw",$J110="x"),0,INDEX(Reference!$B$108:$B$114,$N110+1))</f>
        <v>0.1</v>
      </c>
      <c r="AL110" s="32">
        <f t="shared" si="79"/>
        <v>1</v>
      </c>
      <c r="AM110" s="32">
        <f>IF($U110="",0,IF($AL110&gt;1,((IF(1&lt;=$AL110,($AL110-1+3)*(INDEX(Reference!$B$6:$B$11,MIN(5,MATCH(MAX(Reference!$A$6,MIN(Reference!$A$11,MIN($U110,90))),Reference!$A$6:$A$11,1)))+(MAX(Reference!$A$6,MIN(Reference!$A$11,MIN($U110,90)))-INDEX(Reference!$A$6:$A$11,MIN(5,MATCH(MAX(Reference!$A$6,MIN(Reference!$A$11,MIN($U110,90))),Reference!$A$6:$A$11,1))))*(INDEX(Reference!$B$6:$B$11,MIN(5,MATCH(MAX(Reference!$A$6,MIN(Reference!$A$11,MIN($U110,90))),Reference!$A$6:$A$11,1))+1)-INDEX(Reference!$B$6:$B$11,MIN(5,MATCH(MAX(Reference!$A$6,MIN(Reference!$A$11,MIN($U110,90))),Reference!$A$6:$A$11,1))))/(INDEX(Reference!$A$6:$A$11,MIN(5,MATCH(MAX(Reference!$A$6,MIN(Reference!$A$11,MIN($U110,90))),Reference!$A$6:$A$11,1))+1)-INDEX(Reference!$A$6:$A$11,MIN(5,MATCH(MAX(Reference!$A$6,MIN(Reference!$A$11,MIN($U110,90))),Reference!$A$6:$A$11,1))))),0)+IF(2&lt;=$AL110,($AL110-2+3)*(INDEX(Reference!$B$6:$B$11,MIN(5,MATCH(MAX(Reference!$A$6,MIN(Reference!$A$11,MIN($U110,120))),Reference!$A$6:$A$11,1)))+(MAX(Reference!$A$6,MIN(Reference!$A$11,MIN($U110,120)))-INDEX(Reference!$A$6:$A$11,MIN(5,MATCH(MAX(Reference!$A$6,MIN(Reference!$A$11,MIN($U110,120))),Reference!$A$6:$A$11,1))))*(INDEX(Reference!$B$6:$B$11,MIN(5,MATCH(MAX(Reference!$A$6,MIN(Reference!$A$11,MIN($U110,120))),Reference!$A$6:$A$11,1))+1)-INDEX(Reference!$B$6:$B$11,MIN(5,MATCH(MAX(Reference!$A$6,MIN(Reference!$A$11,MIN($U110,120))),Reference!$A$6:$A$11,1))))/(INDEX(Reference!$A$6:$A$11,MIN(5,MATCH(MAX(Reference!$A$6,MIN(Reference!$A$11,MIN($U110,120))),Reference!$A$6:$A$11,1))+1)-INDEX(Reference!$A$6:$A$11,MIN(5,MATCH(MAX(Reference!$A$6,MIN(Reference!$A$11,MIN($U110,120))),Reference!$A$6:$A$11,1))))),0)+IF(3&lt;=$AL110,($AL110-3+3)*(INDEX(Reference!$B$6:$B$11,MIN(5,MATCH(MAX(Reference!$A$6,MIN(Reference!$A$11,MIN($U110,150))),Reference!$A$6:$A$11,1)))+(MAX(Reference!$A$6,MIN(Reference!$A$11,MIN($U110,150)))-INDEX(Reference!$A$6:$A$11,MIN(5,MATCH(MAX(Reference!$A$6,MIN(Reference!$A$11,MIN($U110,150))),Reference!$A$6:$A$11,1))))*(INDEX(Reference!$B$6:$B$11,MIN(5,MATCH(MAX(Reference!$A$6,MIN(Reference!$A$11,MIN($U110,150))),Reference!$A$6:$A$11,1))+1)-INDEX(Reference!$B$6:$B$11,MIN(5,MATCH(MAX(Reference!$A$6,MIN(Reference!$A$11,MIN($U110,150))),Reference!$A$6:$A$11,1))))/(INDEX(Reference!$A$6:$A$11,MIN(5,MATCH(MAX(Reference!$A$6,MIN(Reference!$A$11,MIN($U110,150))),Reference!$A$6:$A$11,1))+1)-INDEX(Reference!$A$6:$A$11,MIN(5,MATCH(MAX(Reference!$A$6,MIN(Reference!$A$11,MIN($U110,150))),Reference!$A$6:$A$11,1))))),0)+IF(4&lt;=$AL110,($AL110-4+3)*(INDEX(Reference!$B$6:$B$11,MIN(5,MATCH(MAX(Reference!$A$6,MIN(Reference!$A$11,MIN($U110,180))),Reference!$A$6:$A$11,1)))+(MAX(Reference!$A$6,MIN(Reference!$A$11,MIN($U110,180)))-INDEX(Reference!$A$6:$A$11,MIN(5,MATCH(MAX(Reference!$A$6,MIN(Reference!$A$11,MIN($U110,180))),Reference!$A$6:$A$11,1))))*(INDEX(Reference!$B$6:$B$11,MIN(5,MATCH(MAX(Reference!$A$6,MIN(Reference!$A$11,MIN($U110,180))),Reference!$A$6:$A$11,1))+1)-INDEX(Reference!$B$6:$B$11,MIN(5,MATCH(MAX(Reference!$A$6,MIN(Reference!$A$11,MIN($U110,180))),Reference!$A$6:$A$11,1))))/(INDEX(Reference!$A$6:$A$11,MIN(5,MATCH(MAX(Reference!$A$6,MIN(Reference!$A$11,MIN($U110,180))),Reference!$A$6:$A$11,1))+1)-INDEX(Reference!$A$6:$A$11,MIN(5,MATCH(MAX(Reference!$A$6,MIN(Reference!$A$11,MIN($U110,180))),Reference!$A$6:$A$11,1))))),0)+IF(5&lt;=$AL110,($AL110-5+3)*(INDEX(Reference!$B$6:$B$11,MIN(5,MATCH(MAX(Reference!$A$6,MIN(Reference!$A$11,MIN($U110,210))),Reference!$A$6:$A$11,1)))+(MAX(Reference!$A$6,MIN(Reference!$A$11,MIN($U110,210)))-INDEX(Reference!$A$6:$A$11,MIN(5,MATCH(MAX(Reference!$A$6,MIN(Reference!$A$11,MIN($U110,210))),Reference!$A$6:$A$11,1))))*(INDEX(Reference!$B$6:$B$11,MIN(5,MATCH(MAX(Reference!$A$6,MIN(Reference!$A$11,MIN($U110,210))),Reference!$A$6:$A$11,1))+1)-INDEX(Reference!$B$6:$B$11,MIN(5,MATCH(MAX(Reference!$A$6,MIN(Reference!$A$11,MIN($U110,210))),Reference!$A$6:$A$11,1))))/(INDEX(Reference!$A$6:$A$11,MIN(5,MATCH(MAX(Reference!$A$6,MIN(Reference!$A$11,MIN($U110,210))),Reference!$A$6:$A$11,1))+1)-INDEX(Reference!$A$6:$A$11,MIN(5,MATCH(MAX(Reference!$A$6,MIN(Reference!$A$11,MIN($U110,210))),Reference!$A$6:$A$11,1))))),0)+IF(6&lt;=$AL110,($AL110-6+3)*(INDEX(Reference!$B$6:$B$11,MIN(5,MATCH(MAX(Reference!$A$6,MIN(Reference!$A$11,MIN($U110,240))),Reference!$A$6:$A$11,1)))+(MAX(Reference!$A$6,MIN(Reference!$A$11,MIN($U110,240)))-INDEX(Reference!$A$6:$A$11,MIN(5,MATCH(MAX(Reference!$A$6,MIN(Reference!$A$11,MIN($U110,240))),Reference!$A$6:$A$11,1))))*(INDEX(Reference!$B$6:$B$11,MIN(5,MATCH(MAX(Reference!$A$6,MIN(Reference!$A$11,MIN($U110,240))),Reference!$A$6:$A$11,1))+1)-INDEX(Reference!$B$6:$B$11,MIN(5,MATCH(MAX(Reference!$A$6,MIN(Reference!$A$11,MIN($U110,240))),Reference!$A$6:$A$11,1))))/(INDEX(Reference!$A$6:$A$11,MIN(5,MATCH(MAX(Reference!$A$6,MIN(Reference!$A$11,MIN($U110,240))),Reference!$A$6:$A$11,1))+1)-INDEX(Reference!$A$6:$A$11,MIN(5,MATCH(MAX(Reference!$A$6,MIN(Reference!$A$11,MIN($U110,240))),Reference!$A$6:$A$11,1))))),0)+IF(7&lt;=$AL110,($AL110-7+3)*(INDEX(Reference!$B$6:$B$11,MIN(5,MATCH(MAX(Reference!$A$6,MIN(Reference!$A$11,MIN($U110,270))),Reference!$A$6:$A$11,1)))+(MAX(Reference!$A$6,MIN(Reference!$A$11,MIN($U110,270)))-INDEX(Reference!$A$6:$A$11,MIN(5,MATCH(MAX(Reference!$A$6,MIN(Reference!$A$11,MIN($U110,270))),Reference!$A$6:$A$11,1))))*(INDEX(Reference!$B$6:$B$11,MIN(5,MATCH(MAX(Reference!$A$6,MIN(Reference!$A$11,MIN($U110,270))),Reference!$A$6:$A$11,1))+1)-INDEX(Reference!$B$6:$B$11,MIN(5,MATCH(MAX(Reference!$A$6,MIN(Reference!$A$11,MIN($U110,270))),Reference!$A$6:$A$11,1))))/(INDEX(Reference!$A$6:$A$11,MIN(5,MATCH(MAX(Reference!$A$6,MIN(Reference!$A$11,MIN($U110,270))),Reference!$A$6:$A$11,1))+1)-INDEX(Reference!$A$6:$A$11,MIN(5,MATCH(MAX(Reference!$A$6,MIN(Reference!$A$11,MIN($U110,270))),Reference!$A$6:$A$11,1))))),0)+IF(8&lt;=$AL110,($AL110-8+3)*(INDEX(Reference!$B$6:$B$11,MIN(5,MATCH(MAX(Reference!$A$6,MIN(Reference!$A$11,MIN($U110,300))),Reference!$A$6:$A$11,1)))+(MAX(Reference!$A$6,MIN(Reference!$A$11,MIN($U110,300)))-INDEX(Reference!$A$6:$A$11,MIN(5,MATCH(MAX(Reference!$A$6,MIN(Reference!$A$11,MIN($U110,300))),Reference!$A$6:$A$11,1))))*(INDEX(Reference!$B$6:$B$11,MIN(5,MATCH(MAX(Reference!$A$6,MIN(Reference!$A$11,MIN($U110,300))),Reference!$A$6:$A$11,1))+1)-INDEX(Reference!$B$6:$B$11,MIN(5,MATCH(MAX(Reference!$A$6,MIN(Reference!$A$11,MIN($U110,300))),Reference!$A$6:$A$11,1))))/(INDEX(Reference!$A$6:$A$11,MIN(5,MATCH(MAX(Reference!$A$6,MIN(Reference!$A$11,MIN($U110,300))),Reference!$A$6:$A$11,1))+1)-INDEX(Reference!$A$6:$A$11,MIN(5,MATCH(MAX(Reference!$A$6,MIN(Reference!$A$11,MIN($U110,300))),Reference!$A$6:$A$11,1))))),0))/($AL110*($AL110+5)/2)),$AN110))</f>
        <v>1.1499999999999999</v>
      </c>
      <c r="AN110" s="32">
        <f>IF($U110="",0,(INDEX(Reference!$B$6:$B$11,MIN(5,MATCH(MAX(Reference!$A$6,MIN(Reference!$A$11,$U110)),Reference!$A$6:$A$11,1)))+(MAX(Reference!$A$6,MIN(Reference!$A$11,$U110))-INDEX(Reference!$A$6:$A$11,MIN(5,MATCH(MAX(Reference!$A$6,MIN(Reference!$A$11,$U110)),Reference!$A$6:$A$11,1))))*(INDEX(Reference!$B$6:$B$11,MIN(5,MATCH(MAX(Reference!$A$6,MIN(Reference!$A$11,$U110)),Reference!$A$6:$A$11,1))+1)-INDEX(Reference!$B$6:$B$11,MIN(5,MATCH(MAX(Reference!$A$6,MIN(Reference!$A$11,$U110)),Reference!$A$6:$A$11,1))))/(INDEX(Reference!$A$6:$A$11,MIN(5,MATCH(MAX(Reference!$A$6,MIN(Reference!$A$11,$U110)),Reference!$A$6:$A$11,1))+1)-INDEX(Reference!$A$6:$A$11,MIN(5,MATCH(MAX(Reference!$A$6,MIN(Reference!$A$11,$U110)),Reference!$A$6:$A$11,1))))))</f>
        <v>1.1499999999999999</v>
      </c>
      <c r="AO110" s="37"/>
      <c r="AP110" s="37"/>
      <c r="AQ110" s="37"/>
    </row>
    <row r="111" spans="1:43" ht="26.4" x14ac:dyDescent="0.3">
      <c r="A111" s="48">
        <f t="shared" si="55"/>
        <v>46375</v>
      </c>
      <c r="B111" s="32" t="str">
        <f t="shared" si="56"/>
        <v>Sat</v>
      </c>
      <c r="C111" s="32">
        <f t="shared" si="57"/>
        <v>16</v>
      </c>
      <c r="D111" s="32" t="str">
        <f t="shared" si="58"/>
        <v>Flat Ground / Intent</v>
      </c>
      <c r="E111" s="32" t="str">
        <f t="shared" si="59"/>
        <v>High Non-Bullpen</v>
      </c>
      <c r="F111" s="32" t="str">
        <f t="shared" si="60"/>
        <v>Long Toss</v>
      </c>
      <c r="G111" s="47" t="str">
        <f t="shared" si="61"/>
        <v>Long toss out to 150 ft — 33 throws (90×14 · 120×11 · 150×8) @ 78–81 mph + flat ground at 60 ft × 25 @ 82–84 mph</v>
      </c>
      <c r="H111" s="30">
        <f t="shared" si="62"/>
        <v>57.835000000000001</v>
      </c>
      <c r="I111" s="46">
        <f>IF($A111="","",IF(AND($L111&lt;27,$K$12=0),"Building",IFERROR(((SUM($H$105:$H111)+$K$12*IF($L111&lt;6,SUMIFS('Throw Log'!$Q$5:$Q$300,'Throw Log'!$B$5:$B$300,$D$4,'Throw Log'!$A$5:$A$300,"&gt;="&amp;($D$6+$L111-6),'Throw Log'!$A$5:$A$300,"&lt;="&amp;($D$6-1)),0))/7)/((SUM($H$84:$H111)+$K$12*IF($L111&lt;27,SUMIFS('Throw Log'!$Q$5:$Q$300,'Throw Log'!$B$5:$B$300,$D$4,'Throw Log'!$A$5:$A$300,"&gt;="&amp;($D$6+$L111-27),'Throw Log'!$A$5:$A$300,"&lt;="&amp;($D$6-1)),0))/28),"")))</f>
        <v>1.1838221898342138</v>
      </c>
      <c r="J111" s="37"/>
      <c r="K111" s="37"/>
      <c r="L111" s="32">
        <v>68</v>
      </c>
      <c r="M111" s="32">
        <f t="shared" si="63"/>
        <v>10</v>
      </c>
      <c r="N111" s="32">
        <f t="shared" si="64"/>
        <v>5</v>
      </c>
      <c r="O111" s="32">
        <f t="shared" si="65"/>
        <v>0.89473684210526316</v>
      </c>
      <c r="P111" s="32">
        <f>IF(OR($A111="",N($C111)&lt;=7),"",$G$6*$G$9^($M111-1)*IF(AND(MOD($M111,Reference!$B$99)=0,$M111&lt;=$G$5-2),Reference!$B$100,1))</f>
        <v>231.09205355537119</v>
      </c>
      <c r="Q111" s="32">
        <f>IF($P111="","",IF(SUM($AK$106:$AK$112)=0,0,$P111*INDEX(Reference!$B$108:$B$114,$N111+1)/SUM($AK$106:$AK$112)))</f>
        <v>58.312948093411421</v>
      </c>
      <c r="R111" s="32">
        <f t="shared" si="66"/>
        <v>180</v>
      </c>
      <c r="S111" s="32">
        <f t="shared" si="67"/>
        <v>150</v>
      </c>
      <c r="T111" s="32" t="str">
        <f>IF($A111="","",IF($C111=0,"Bullpen",IF(OR($C111=7,$C111=1,$C111=5),"Recovery/Easy Catch",IF($C111=6,"Compression/Pulldowns",IF(OR($C111=4,$C111=2),"Long Toss",IF($C111=3,"No Throw",IF($N111=2,"No Throw",IF($N111=6,IF($O111&lt;Reference!$B$104,"No Throw","Recovery/Easy Catch"),IF(OR($N111=0,$N111=4),"Recovery/Easy Catch",IF($N111=1,IF($R111&gt;75,"Long Toss","Recovery/Easy Catch"),IF($N111=3,IF($O111&lt;0.5,IF($S111&gt;75,"Long Toss","Recovery/Easy Catch"),"Compression/Pulldowns"),IF($S111&gt;75,"Long Toss","Recovery/Easy Catch"))))))))))))</f>
        <v>Long Toss</v>
      </c>
      <c r="U111" s="32">
        <f t="shared" si="68"/>
        <v>150</v>
      </c>
      <c r="V111" s="32">
        <f t="shared" si="69"/>
        <v>10</v>
      </c>
      <c r="W111" s="32">
        <f t="shared" si="70"/>
        <v>13</v>
      </c>
      <c r="X111" s="32">
        <f t="shared" si="71"/>
        <v>25</v>
      </c>
      <c r="Y111" s="32">
        <f t="shared" si="72"/>
        <v>7</v>
      </c>
      <c r="Z111" s="32">
        <f t="shared" si="73"/>
        <v>9</v>
      </c>
      <c r="AA111" s="32" t="str">
        <f t="shared" si="74"/>
        <v/>
      </c>
      <c r="AB111" s="32">
        <f>IF($A111="","",IF($T111="No Throw",0,IF($K111&lt;&gt;"",$K111,IF($AA111&lt;&gt;"",ROUND($AA111*$D$12*IF($C111=0,1,$G$10),0),MIN(IF($T111="Recovery/Easy Catch",Reference!$B$103,IF($T111="Long Toss",Reference!$B$106,Reference!$B$102)),MAX(Reference!$B$101,ROUND(MAX(0,$Q111-$AE111)/$AF111,0)))))))</f>
        <v>33</v>
      </c>
      <c r="AC111" s="32">
        <f t="shared" si="75"/>
        <v>0</v>
      </c>
      <c r="AD111" s="32" t="b">
        <f t="shared" si="76"/>
        <v>0</v>
      </c>
      <c r="AE111" s="32">
        <f>IF($X111=0,0,$X111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111+$Z111)/2,0),Reference!$A$17:$B$20,2,TRUE()))</f>
        <v>25</v>
      </c>
      <c r="AF111" s="32">
        <f>IF(OR($A111="",$U111="",$T111="No Throw"),0,$AM111*VLOOKUP(MAX(($V111+$W111)/2,0),Reference!$A$17:$B$20,2,TRUE()))</f>
        <v>0.995</v>
      </c>
      <c r="AG111" s="32">
        <f>IF($AC111=0,0,$AC111*INDEX(Reference!$B$61:$B$62,MATCH("Bullpen",Reference!$A$61:$A$62,0))*VLOOKUP(MAX($D$5-($D$9+$E$9)/2,0),Reference!$A$17:$B$20,2,TRUE()))</f>
        <v>0</v>
      </c>
      <c r="AH111" s="46">
        <f t="shared" si="77"/>
        <v>1.1838221898342138</v>
      </c>
      <c r="AI111" s="32">
        <f>IF($A111="",NA(),Reference!$A$25)</f>
        <v>0.8</v>
      </c>
      <c r="AJ111" s="32">
        <f t="shared" si="78"/>
        <v>1.3</v>
      </c>
      <c r="AK111" s="56">
        <f>IF(OR($A111="",N($C111)&lt;=7,$T111="No Throw",$J111="x"),0,INDEX(Reference!$B$108:$B$114,$N111+1))</f>
        <v>0.27</v>
      </c>
      <c r="AL111" s="32">
        <f t="shared" si="79"/>
        <v>3</v>
      </c>
      <c r="AM111" s="32">
        <f>IF($U111="",0,IF($AL111&gt;1,((IF(1&lt;=$AL111,($AL111-1+3)*(INDEX(Reference!$B$6:$B$11,MIN(5,MATCH(MAX(Reference!$A$6,MIN(Reference!$A$11,MIN($U111,90))),Reference!$A$6:$A$11,1)))+(MAX(Reference!$A$6,MIN(Reference!$A$11,MIN($U111,90)))-INDEX(Reference!$A$6:$A$11,MIN(5,MATCH(MAX(Reference!$A$6,MIN(Reference!$A$11,MIN($U111,90))),Reference!$A$6:$A$11,1))))*(INDEX(Reference!$B$6:$B$11,MIN(5,MATCH(MAX(Reference!$A$6,MIN(Reference!$A$11,MIN($U111,90))),Reference!$A$6:$A$11,1))+1)-INDEX(Reference!$B$6:$B$11,MIN(5,MATCH(MAX(Reference!$A$6,MIN(Reference!$A$11,MIN($U111,90))),Reference!$A$6:$A$11,1))))/(INDEX(Reference!$A$6:$A$11,MIN(5,MATCH(MAX(Reference!$A$6,MIN(Reference!$A$11,MIN($U111,90))),Reference!$A$6:$A$11,1))+1)-INDEX(Reference!$A$6:$A$11,MIN(5,MATCH(MAX(Reference!$A$6,MIN(Reference!$A$11,MIN($U111,90))),Reference!$A$6:$A$11,1))))),0)+IF(2&lt;=$AL111,($AL111-2+3)*(INDEX(Reference!$B$6:$B$11,MIN(5,MATCH(MAX(Reference!$A$6,MIN(Reference!$A$11,MIN($U111,120))),Reference!$A$6:$A$11,1)))+(MAX(Reference!$A$6,MIN(Reference!$A$11,MIN($U111,120)))-INDEX(Reference!$A$6:$A$11,MIN(5,MATCH(MAX(Reference!$A$6,MIN(Reference!$A$11,MIN($U111,120))),Reference!$A$6:$A$11,1))))*(INDEX(Reference!$B$6:$B$11,MIN(5,MATCH(MAX(Reference!$A$6,MIN(Reference!$A$11,MIN($U111,120))),Reference!$A$6:$A$11,1))+1)-INDEX(Reference!$B$6:$B$11,MIN(5,MATCH(MAX(Reference!$A$6,MIN(Reference!$A$11,MIN($U111,120))),Reference!$A$6:$A$11,1))))/(INDEX(Reference!$A$6:$A$11,MIN(5,MATCH(MAX(Reference!$A$6,MIN(Reference!$A$11,MIN($U111,120))),Reference!$A$6:$A$11,1))+1)-INDEX(Reference!$A$6:$A$11,MIN(5,MATCH(MAX(Reference!$A$6,MIN(Reference!$A$11,MIN($U111,120))),Reference!$A$6:$A$11,1))))),0)+IF(3&lt;=$AL111,($AL111-3+3)*(INDEX(Reference!$B$6:$B$11,MIN(5,MATCH(MAX(Reference!$A$6,MIN(Reference!$A$11,MIN($U111,150))),Reference!$A$6:$A$11,1)))+(MAX(Reference!$A$6,MIN(Reference!$A$11,MIN($U111,150)))-INDEX(Reference!$A$6:$A$11,MIN(5,MATCH(MAX(Reference!$A$6,MIN(Reference!$A$11,MIN($U111,150))),Reference!$A$6:$A$11,1))))*(INDEX(Reference!$B$6:$B$11,MIN(5,MATCH(MAX(Reference!$A$6,MIN(Reference!$A$11,MIN($U111,150))),Reference!$A$6:$A$11,1))+1)-INDEX(Reference!$B$6:$B$11,MIN(5,MATCH(MAX(Reference!$A$6,MIN(Reference!$A$11,MIN($U111,150))),Reference!$A$6:$A$11,1))))/(INDEX(Reference!$A$6:$A$11,MIN(5,MATCH(MAX(Reference!$A$6,MIN(Reference!$A$11,MIN($U111,150))),Reference!$A$6:$A$11,1))+1)-INDEX(Reference!$A$6:$A$11,MIN(5,MATCH(MAX(Reference!$A$6,MIN(Reference!$A$11,MIN($U111,150))),Reference!$A$6:$A$11,1))))),0)+IF(4&lt;=$AL111,($AL111-4+3)*(INDEX(Reference!$B$6:$B$11,MIN(5,MATCH(MAX(Reference!$A$6,MIN(Reference!$A$11,MIN($U111,180))),Reference!$A$6:$A$11,1)))+(MAX(Reference!$A$6,MIN(Reference!$A$11,MIN($U111,180)))-INDEX(Reference!$A$6:$A$11,MIN(5,MATCH(MAX(Reference!$A$6,MIN(Reference!$A$11,MIN($U111,180))),Reference!$A$6:$A$11,1))))*(INDEX(Reference!$B$6:$B$11,MIN(5,MATCH(MAX(Reference!$A$6,MIN(Reference!$A$11,MIN($U111,180))),Reference!$A$6:$A$11,1))+1)-INDEX(Reference!$B$6:$B$11,MIN(5,MATCH(MAX(Reference!$A$6,MIN(Reference!$A$11,MIN($U111,180))),Reference!$A$6:$A$11,1))))/(INDEX(Reference!$A$6:$A$11,MIN(5,MATCH(MAX(Reference!$A$6,MIN(Reference!$A$11,MIN($U111,180))),Reference!$A$6:$A$11,1))+1)-INDEX(Reference!$A$6:$A$11,MIN(5,MATCH(MAX(Reference!$A$6,MIN(Reference!$A$11,MIN($U111,180))),Reference!$A$6:$A$11,1))))),0)+IF(5&lt;=$AL111,($AL111-5+3)*(INDEX(Reference!$B$6:$B$11,MIN(5,MATCH(MAX(Reference!$A$6,MIN(Reference!$A$11,MIN($U111,210))),Reference!$A$6:$A$11,1)))+(MAX(Reference!$A$6,MIN(Reference!$A$11,MIN($U111,210)))-INDEX(Reference!$A$6:$A$11,MIN(5,MATCH(MAX(Reference!$A$6,MIN(Reference!$A$11,MIN($U111,210))),Reference!$A$6:$A$11,1))))*(INDEX(Reference!$B$6:$B$11,MIN(5,MATCH(MAX(Reference!$A$6,MIN(Reference!$A$11,MIN($U111,210))),Reference!$A$6:$A$11,1))+1)-INDEX(Reference!$B$6:$B$11,MIN(5,MATCH(MAX(Reference!$A$6,MIN(Reference!$A$11,MIN($U111,210))),Reference!$A$6:$A$11,1))))/(INDEX(Reference!$A$6:$A$11,MIN(5,MATCH(MAX(Reference!$A$6,MIN(Reference!$A$11,MIN($U111,210))),Reference!$A$6:$A$11,1))+1)-INDEX(Reference!$A$6:$A$11,MIN(5,MATCH(MAX(Reference!$A$6,MIN(Reference!$A$11,MIN($U111,210))),Reference!$A$6:$A$11,1))))),0)+IF(6&lt;=$AL111,($AL111-6+3)*(INDEX(Reference!$B$6:$B$11,MIN(5,MATCH(MAX(Reference!$A$6,MIN(Reference!$A$11,MIN($U111,240))),Reference!$A$6:$A$11,1)))+(MAX(Reference!$A$6,MIN(Reference!$A$11,MIN($U111,240)))-INDEX(Reference!$A$6:$A$11,MIN(5,MATCH(MAX(Reference!$A$6,MIN(Reference!$A$11,MIN($U111,240))),Reference!$A$6:$A$11,1))))*(INDEX(Reference!$B$6:$B$11,MIN(5,MATCH(MAX(Reference!$A$6,MIN(Reference!$A$11,MIN($U111,240))),Reference!$A$6:$A$11,1))+1)-INDEX(Reference!$B$6:$B$11,MIN(5,MATCH(MAX(Reference!$A$6,MIN(Reference!$A$11,MIN($U111,240))),Reference!$A$6:$A$11,1))))/(INDEX(Reference!$A$6:$A$11,MIN(5,MATCH(MAX(Reference!$A$6,MIN(Reference!$A$11,MIN($U111,240))),Reference!$A$6:$A$11,1))+1)-INDEX(Reference!$A$6:$A$11,MIN(5,MATCH(MAX(Reference!$A$6,MIN(Reference!$A$11,MIN($U111,240))),Reference!$A$6:$A$11,1))))),0)+IF(7&lt;=$AL111,($AL111-7+3)*(INDEX(Reference!$B$6:$B$11,MIN(5,MATCH(MAX(Reference!$A$6,MIN(Reference!$A$11,MIN($U111,270))),Reference!$A$6:$A$11,1)))+(MAX(Reference!$A$6,MIN(Reference!$A$11,MIN($U111,270)))-INDEX(Reference!$A$6:$A$11,MIN(5,MATCH(MAX(Reference!$A$6,MIN(Reference!$A$11,MIN($U111,270))),Reference!$A$6:$A$11,1))))*(INDEX(Reference!$B$6:$B$11,MIN(5,MATCH(MAX(Reference!$A$6,MIN(Reference!$A$11,MIN($U111,270))),Reference!$A$6:$A$11,1))+1)-INDEX(Reference!$B$6:$B$11,MIN(5,MATCH(MAX(Reference!$A$6,MIN(Reference!$A$11,MIN($U111,270))),Reference!$A$6:$A$11,1))))/(INDEX(Reference!$A$6:$A$11,MIN(5,MATCH(MAX(Reference!$A$6,MIN(Reference!$A$11,MIN($U111,270))),Reference!$A$6:$A$11,1))+1)-INDEX(Reference!$A$6:$A$11,MIN(5,MATCH(MAX(Reference!$A$6,MIN(Reference!$A$11,MIN($U111,270))),Reference!$A$6:$A$11,1))))),0)+IF(8&lt;=$AL111,($AL111-8+3)*(INDEX(Reference!$B$6:$B$11,MIN(5,MATCH(MAX(Reference!$A$6,MIN(Reference!$A$11,MIN($U111,300))),Reference!$A$6:$A$11,1)))+(MAX(Reference!$A$6,MIN(Reference!$A$11,MIN($U111,300)))-INDEX(Reference!$A$6:$A$11,MIN(5,MATCH(MAX(Reference!$A$6,MIN(Reference!$A$11,MIN($U111,300))),Reference!$A$6:$A$11,1))))*(INDEX(Reference!$B$6:$B$11,MIN(5,MATCH(MAX(Reference!$A$6,MIN(Reference!$A$11,MIN($U111,300))),Reference!$A$6:$A$11,1))+1)-INDEX(Reference!$B$6:$B$11,MIN(5,MATCH(MAX(Reference!$A$6,MIN(Reference!$A$11,MIN($U111,300))),Reference!$A$6:$A$11,1))))/(INDEX(Reference!$A$6:$A$11,MIN(5,MATCH(MAX(Reference!$A$6,MIN(Reference!$A$11,MIN($U111,300))),Reference!$A$6:$A$11,1))+1)-INDEX(Reference!$A$6:$A$11,MIN(5,MATCH(MAX(Reference!$A$6,MIN(Reference!$A$11,MIN($U111,300))),Reference!$A$6:$A$11,1))))),0))/($AL111*($AL111+5)/2)),$AN111))</f>
        <v>1.6583333333333334</v>
      </c>
      <c r="AN111" s="32">
        <f>IF($U111="",0,(INDEX(Reference!$B$6:$B$11,MIN(5,MATCH(MAX(Reference!$A$6,MIN(Reference!$A$11,$U111)),Reference!$A$6:$A$11,1)))+(MAX(Reference!$A$6,MIN(Reference!$A$11,$U111))-INDEX(Reference!$A$6:$A$11,MIN(5,MATCH(MAX(Reference!$A$6,MIN(Reference!$A$11,$U111)),Reference!$A$6:$A$11,1))))*(INDEX(Reference!$B$6:$B$11,MIN(5,MATCH(MAX(Reference!$A$6,MIN(Reference!$A$11,$U111)),Reference!$A$6:$A$11,1))+1)-INDEX(Reference!$B$6:$B$11,MIN(5,MATCH(MAX(Reference!$A$6,MIN(Reference!$A$11,$U111)),Reference!$A$6:$A$11,1))))/(INDEX(Reference!$A$6:$A$11,MIN(5,MATCH(MAX(Reference!$A$6,MIN(Reference!$A$11,$U111)),Reference!$A$6:$A$11,1))+1)-INDEX(Reference!$A$6:$A$11,MIN(5,MATCH(MAX(Reference!$A$6,MIN(Reference!$A$11,$U111)),Reference!$A$6:$A$11,1))))))</f>
        <v>2.2000000000000002</v>
      </c>
      <c r="AO111" s="37"/>
      <c r="AP111" s="37"/>
      <c r="AQ111" s="37"/>
    </row>
    <row r="112" spans="1:43" x14ac:dyDescent="0.3">
      <c r="A112" s="48">
        <f t="shared" si="55"/>
        <v>46376</v>
      </c>
      <c r="B112" s="32" t="str">
        <f t="shared" si="56"/>
        <v>Sun</v>
      </c>
      <c r="C112" s="32">
        <f t="shared" si="57"/>
        <v>15</v>
      </c>
      <c r="D112" s="32" t="str">
        <f t="shared" si="58"/>
        <v>Flat Ground / Intent</v>
      </c>
      <c r="E112" s="32" t="str">
        <f t="shared" si="59"/>
        <v>Low</v>
      </c>
      <c r="F112" s="32" t="str">
        <f t="shared" si="60"/>
        <v>Recovery/Easy Catch</v>
      </c>
      <c r="G112" s="47" t="str">
        <f t="shared" si="61"/>
        <v>60 ft × 25 @ 67–71 mph</v>
      </c>
      <c r="H112" s="30">
        <f t="shared" si="62"/>
        <v>15</v>
      </c>
      <c r="I112" s="46">
        <f>IF($A112="","",IF(AND($L112&lt;27,$K$12=0),"Building",IFERROR(((SUM($H$106:$H112)+$K$12*IF($L112&lt;6,SUMIFS('Throw Log'!$Q$5:$Q$300,'Throw Log'!$B$5:$B$300,$D$4,'Throw Log'!$A$5:$A$300,"&gt;="&amp;($D$6+$L112-6),'Throw Log'!$A$5:$A$300,"&lt;="&amp;($D$6-1)),0))/7)/((SUM($H$85:$H112)+$K$12*IF($L112&lt;27,SUMIFS('Throw Log'!$Q$5:$Q$300,'Throw Log'!$B$5:$B$300,$D$4,'Throw Log'!$A$5:$A$300,"&gt;="&amp;($D$6+$L112-27),'Throw Log'!$A$5:$A$300,"&lt;="&amp;($D$6-1)),0))/28),"")))</f>
        <v>1.1594493322535926</v>
      </c>
      <c r="J112" s="37"/>
      <c r="K112" s="37"/>
      <c r="L112" s="32">
        <v>69</v>
      </c>
      <c r="M112" s="32">
        <f t="shared" si="63"/>
        <v>10</v>
      </c>
      <c r="N112" s="32">
        <f t="shared" si="64"/>
        <v>6</v>
      </c>
      <c r="O112" s="32">
        <f t="shared" si="65"/>
        <v>0.90789473684210531</v>
      </c>
      <c r="P112" s="32">
        <f>IF(OR($A112="",N($C112)&lt;=7),"",$G$6*$G$9^($M112-1)*IF(AND(MOD($M112,Reference!$B$99)=0,$M112&lt;=$G$5-2),Reference!$B$100,1))</f>
        <v>231.09205355537119</v>
      </c>
      <c r="Q112" s="32">
        <f>IF($P112="","",IF(SUM($AK$106:$AK$112)=0,0,$P112*INDEX(Reference!$B$108:$B$114,$N112+1)/SUM($AK$106:$AK$112)))</f>
        <v>15.118171727921482</v>
      </c>
      <c r="R112" s="32">
        <f t="shared" si="66"/>
        <v>180</v>
      </c>
      <c r="S112" s="32">
        <f t="shared" si="67"/>
        <v>150</v>
      </c>
      <c r="T112" s="32" t="str">
        <f>IF($A112="","",IF($C112=0,"Bullpen",IF(OR($C112=7,$C112=1,$C112=5),"Recovery/Easy Catch",IF($C112=6,"Compression/Pulldowns",IF(OR($C112=4,$C112=2),"Long Toss",IF($C112=3,"No Throw",IF($N112=2,"No Throw",IF($N112=6,IF($O112&lt;Reference!$B$104,"No Throw","Recovery/Easy Catch"),IF(OR($N112=0,$N112=4),"Recovery/Easy Catch",IF($N112=1,IF($R112&gt;75,"Long Toss","Recovery/Easy Catch"),IF($N112=3,IF($O112&lt;0.5,IF($S112&gt;75,"Long Toss","Recovery/Easy Catch"),"Compression/Pulldowns"),IF($S112&gt;75,"Long Toss","Recovery/Easy Catch"))))))))))))</f>
        <v>Recovery/Easy Catch</v>
      </c>
      <c r="U112" s="32">
        <f t="shared" si="68"/>
        <v>60</v>
      </c>
      <c r="V112" s="32">
        <f t="shared" si="69"/>
        <v>20</v>
      </c>
      <c r="W112" s="32">
        <f t="shared" si="70"/>
        <v>24</v>
      </c>
      <c r="X112" s="32">
        <f t="shared" si="71"/>
        <v>0</v>
      </c>
      <c r="Y112" s="32" t="str">
        <f t="shared" si="72"/>
        <v/>
      </c>
      <c r="Z112" s="32" t="str">
        <f t="shared" si="73"/>
        <v/>
      </c>
      <c r="AA112" s="32" t="str">
        <f t="shared" si="74"/>
        <v/>
      </c>
      <c r="AB112" s="32">
        <f>IF($A112="","",IF($T112="No Throw",0,IF($K112&lt;&gt;"",$K112,IF($AA112&lt;&gt;"",ROUND($AA112*$D$12*IF($C112=0,1,$G$10),0),MIN(IF($T112="Recovery/Easy Catch",Reference!$B$103,IF($T112="Long Toss",Reference!$B$106,Reference!$B$102)),MAX(Reference!$B$101,ROUND(MAX(0,$Q112-$AE112)/$AF112,0)))))))</f>
        <v>25</v>
      </c>
      <c r="AC112" s="32">
        <f t="shared" si="75"/>
        <v>0</v>
      </c>
      <c r="AD112" s="32" t="b">
        <f t="shared" si="76"/>
        <v>0</v>
      </c>
      <c r="AE112" s="32">
        <f>IF($X112=0,0,$X112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112+$Z112)/2,0),Reference!$A$17:$B$20,2,TRUE()))</f>
        <v>0</v>
      </c>
      <c r="AF112" s="32">
        <f>IF(OR($A112="",$U112="",$T112="No Throw"),0,$AM112*VLOOKUP(MAX(($V112+$W112)/2,0),Reference!$A$17:$B$20,2,TRUE()))</f>
        <v>0.6</v>
      </c>
      <c r="AG112" s="32">
        <f>IF($AC112=0,0,$AC112*INDEX(Reference!$B$61:$B$62,MATCH("Bullpen",Reference!$A$61:$A$62,0))*VLOOKUP(MAX($D$5-($D$9+$E$9)/2,0),Reference!$A$17:$B$20,2,TRUE()))</f>
        <v>0</v>
      </c>
      <c r="AH112" s="46">
        <f t="shared" si="77"/>
        <v>1.1594493322535926</v>
      </c>
      <c r="AI112" s="32">
        <f>IF($A112="",NA(),Reference!$A$25)</f>
        <v>0.8</v>
      </c>
      <c r="AJ112" s="32">
        <f t="shared" si="78"/>
        <v>1.3</v>
      </c>
      <c r="AK112" s="56">
        <f>IF(OR($A112="",N($C112)&lt;=7,$T112="No Throw",$J112="x"),0,INDEX(Reference!$B$108:$B$114,$N112+1))</f>
        <v>7.0000000000000007E-2</v>
      </c>
      <c r="AL112" s="32">
        <f t="shared" si="79"/>
        <v>1</v>
      </c>
      <c r="AM112" s="32">
        <f>IF($U112="",0,IF($AL112&gt;1,((IF(1&lt;=$AL112,($AL112-1+3)*(INDEX(Reference!$B$6:$B$11,MIN(5,MATCH(MAX(Reference!$A$6,MIN(Reference!$A$11,MIN($U112,90))),Reference!$A$6:$A$11,1)))+(MAX(Reference!$A$6,MIN(Reference!$A$11,MIN($U112,90)))-INDEX(Reference!$A$6:$A$11,MIN(5,MATCH(MAX(Reference!$A$6,MIN(Reference!$A$11,MIN($U112,90))),Reference!$A$6:$A$11,1))))*(INDEX(Reference!$B$6:$B$11,MIN(5,MATCH(MAX(Reference!$A$6,MIN(Reference!$A$11,MIN($U112,90))),Reference!$A$6:$A$11,1))+1)-INDEX(Reference!$B$6:$B$11,MIN(5,MATCH(MAX(Reference!$A$6,MIN(Reference!$A$11,MIN($U112,90))),Reference!$A$6:$A$11,1))))/(INDEX(Reference!$A$6:$A$11,MIN(5,MATCH(MAX(Reference!$A$6,MIN(Reference!$A$11,MIN($U112,90))),Reference!$A$6:$A$11,1))+1)-INDEX(Reference!$A$6:$A$11,MIN(5,MATCH(MAX(Reference!$A$6,MIN(Reference!$A$11,MIN($U112,90))),Reference!$A$6:$A$11,1))))),0)+IF(2&lt;=$AL112,($AL112-2+3)*(INDEX(Reference!$B$6:$B$11,MIN(5,MATCH(MAX(Reference!$A$6,MIN(Reference!$A$11,MIN($U112,120))),Reference!$A$6:$A$11,1)))+(MAX(Reference!$A$6,MIN(Reference!$A$11,MIN($U112,120)))-INDEX(Reference!$A$6:$A$11,MIN(5,MATCH(MAX(Reference!$A$6,MIN(Reference!$A$11,MIN($U112,120))),Reference!$A$6:$A$11,1))))*(INDEX(Reference!$B$6:$B$11,MIN(5,MATCH(MAX(Reference!$A$6,MIN(Reference!$A$11,MIN($U112,120))),Reference!$A$6:$A$11,1))+1)-INDEX(Reference!$B$6:$B$11,MIN(5,MATCH(MAX(Reference!$A$6,MIN(Reference!$A$11,MIN($U112,120))),Reference!$A$6:$A$11,1))))/(INDEX(Reference!$A$6:$A$11,MIN(5,MATCH(MAX(Reference!$A$6,MIN(Reference!$A$11,MIN($U112,120))),Reference!$A$6:$A$11,1))+1)-INDEX(Reference!$A$6:$A$11,MIN(5,MATCH(MAX(Reference!$A$6,MIN(Reference!$A$11,MIN($U112,120))),Reference!$A$6:$A$11,1))))),0)+IF(3&lt;=$AL112,($AL112-3+3)*(INDEX(Reference!$B$6:$B$11,MIN(5,MATCH(MAX(Reference!$A$6,MIN(Reference!$A$11,MIN($U112,150))),Reference!$A$6:$A$11,1)))+(MAX(Reference!$A$6,MIN(Reference!$A$11,MIN($U112,150)))-INDEX(Reference!$A$6:$A$11,MIN(5,MATCH(MAX(Reference!$A$6,MIN(Reference!$A$11,MIN($U112,150))),Reference!$A$6:$A$11,1))))*(INDEX(Reference!$B$6:$B$11,MIN(5,MATCH(MAX(Reference!$A$6,MIN(Reference!$A$11,MIN($U112,150))),Reference!$A$6:$A$11,1))+1)-INDEX(Reference!$B$6:$B$11,MIN(5,MATCH(MAX(Reference!$A$6,MIN(Reference!$A$11,MIN($U112,150))),Reference!$A$6:$A$11,1))))/(INDEX(Reference!$A$6:$A$11,MIN(5,MATCH(MAX(Reference!$A$6,MIN(Reference!$A$11,MIN($U112,150))),Reference!$A$6:$A$11,1))+1)-INDEX(Reference!$A$6:$A$11,MIN(5,MATCH(MAX(Reference!$A$6,MIN(Reference!$A$11,MIN($U112,150))),Reference!$A$6:$A$11,1))))),0)+IF(4&lt;=$AL112,($AL112-4+3)*(INDEX(Reference!$B$6:$B$11,MIN(5,MATCH(MAX(Reference!$A$6,MIN(Reference!$A$11,MIN($U112,180))),Reference!$A$6:$A$11,1)))+(MAX(Reference!$A$6,MIN(Reference!$A$11,MIN($U112,180)))-INDEX(Reference!$A$6:$A$11,MIN(5,MATCH(MAX(Reference!$A$6,MIN(Reference!$A$11,MIN($U112,180))),Reference!$A$6:$A$11,1))))*(INDEX(Reference!$B$6:$B$11,MIN(5,MATCH(MAX(Reference!$A$6,MIN(Reference!$A$11,MIN($U112,180))),Reference!$A$6:$A$11,1))+1)-INDEX(Reference!$B$6:$B$11,MIN(5,MATCH(MAX(Reference!$A$6,MIN(Reference!$A$11,MIN($U112,180))),Reference!$A$6:$A$11,1))))/(INDEX(Reference!$A$6:$A$11,MIN(5,MATCH(MAX(Reference!$A$6,MIN(Reference!$A$11,MIN($U112,180))),Reference!$A$6:$A$11,1))+1)-INDEX(Reference!$A$6:$A$11,MIN(5,MATCH(MAX(Reference!$A$6,MIN(Reference!$A$11,MIN($U112,180))),Reference!$A$6:$A$11,1))))),0)+IF(5&lt;=$AL112,($AL112-5+3)*(INDEX(Reference!$B$6:$B$11,MIN(5,MATCH(MAX(Reference!$A$6,MIN(Reference!$A$11,MIN($U112,210))),Reference!$A$6:$A$11,1)))+(MAX(Reference!$A$6,MIN(Reference!$A$11,MIN($U112,210)))-INDEX(Reference!$A$6:$A$11,MIN(5,MATCH(MAX(Reference!$A$6,MIN(Reference!$A$11,MIN($U112,210))),Reference!$A$6:$A$11,1))))*(INDEX(Reference!$B$6:$B$11,MIN(5,MATCH(MAX(Reference!$A$6,MIN(Reference!$A$11,MIN($U112,210))),Reference!$A$6:$A$11,1))+1)-INDEX(Reference!$B$6:$B$11,MIN(5,MATCH(MAX(Reference!$A$6,MIN(Reference!$A$11,MIN($U112,210))),Reference!$A$6:$A$11,1))))/(INDEX(Reference!$A$6:$A$11,MIN(5,MATCH(MAX(Reference!$A$6,MIN(Reference!$A$11,MIN($U112,210))),Reference!$A$6:$A$11,1))+1)-INDEX(Reference!$A$6:$A$11,MIN(5,MATCH(MAX(Reference!$A$6,MIN(Reference!$A$11,MIN($U112,210))),Reference!$A$6:$A$11,1))))),0)+IF(6&lt;=$AL112,($AL112-6+3)*(INDEX(Reference!$B$6:$B$11,MIN(5,MATCH(MAX(Reference!$A$6,MIN(Reference!$A$11,MIN($U112,240))),Reference!$A$6:$A$11,1)))+(MAX(Reference!$A$6,MIN(Reference!$A$11,MIN($U112,240)))-INDEX(Reference!$A$6:$A$11,MIN(5,MATCH(MAX(Reference!$A$6,MIN(Reference!$A$11,MIN($U112,240))),Reference!$A$6:$A$11,1))))*(INDEX(Reference!$B$6:$B$11,MIN(5,MATCH(MAX(Reference!$A$6,MIN(Reference!$A$11,MIN($U112,240))),Reference!$A$6:$A$11,1))+1)-INDEX(Reference!$B$6:$B$11,MIN(5,MATCH(MAX(Reference!$A$6,MIN(Reference!$A$11,MIN($U112,240))),Reference!$A$6:$A$11,1))))/(INDEX(Reference!$A$6:$A$11,MIN(5,MATCH(MAX(Reference!$A$6,MIN(Reference!$A$11,MIN($U112,240))),Reference!$A$6:$A$11,1))+1)-INDEX(Reference!$A$6:$A$11,MIN(5,MATCH(MAX(Reference!$A$6,MIN(Reference!$A$11,MIN($U112,240))),Reference!$A$6:$A$11,1))))),0)+IF(7&lt;=$AL112,($AL112-7+3)*(INDEX(Reference!$B$6:$B$11,MIN(5,MATCH(MAX(Reference!$A$6,MIN(Reference!$A$11,MIN($U112,270))),Reference!$A$6:$A$11,1)))+(MAX(Reference!$A$6,MIN(Reference!$A$11,MIN($U112,270)))-INDEX(Reference!$A$6:$A$11,MIN(5,MATCH(MAX(Reference!$A$6,MIN(Reference!$A$11,MIN($U112,270))),Reference!$A$6:$A$11,1))))*(INDEX(Reference!$B$6:$B$11,MIN(5,MATCH(MAX(Reference!$A$6,MIN(Reference!$A$11,MIN($U112,270))),Reference!$A$6:$A$11,1))+1)-INDEX(Reference!$B$6:$B$11,MIN(5,MATCH(MAX(Reference!$A$6,MIN(Reference!$A$11,MIN($U112,270))),Reference!$A$6:$A$11,1))))/(INDEX(Reference!$A$6:$A$11,MIN(5,MATCH(MAX(Reference!$A$6,MIN(Reference!$A$11,MIN($U112,270))),Reference!$A$6:$A$11,1))+1)-INDEX(Reference!$A$6:$A$11,MIN(5,MATCH(MAX(Reference!$A$6,MIN(Reference!$A$11,MIN($U112,270))),Reference!$A$6:$A$11,1))))),0)+IF(8&lt;=$AL112,($AL112-8+3)*(INDEX(Reference!$B$6:$B$11,MIN(5,MATCH(MAX(Reference!$A$6,MIN(Reference!$A$11,MIN($U112,300))),Reference!$A$6:$A$11,1)))+(MAX(Reference!$A$6,MIN(Reference!$A$11,MIN($U112,300)))-INDEX(Reference!$A$6:$A$11,MIN(5,MATCH(MAX(Reference!$A$6,MIN(Reference!$A$11,MIN($U112,300))),Reference!$A$6:$A$11,1))))*(INDEX(Reference!$B$6:$B$11,MIN(5,MATCH(MAX(Reference!$A$6,MIN(Reference!$A$11,MIN($U112,300))),Reference!$A$6:$A$11,1))+1)-INDEX(Reference!$B$6:$B$11,MIN(5,MATCH(MAX(Reference!$A$6,MIN(Reference!$A$11,MIN($U112,300))),Reference!$A$6:$A$11,1))))/(INDEX(Reference!$A$6:$A$11,MIN(5,MATCH(MAX(Reference!$A$6,MIN(Reference!$A$11,MIN($U112,300))),Reference!$A$6:$A$11,1))+1)-INDEX(Reference!$A$6:$A$11,MIN(5,MATCH(MAX(Reference!$A$6,MIN(Reference!$A$11,MIN($U112,300))),Reference!$A$6:$A$11,1))))),0))/($AL112*($AL112+5)/2)),$AN112))</f>
        <v>1</v>
      </c>
      <c r="AN112" s="32">
        <f>IF($U112="",0,(INDEX(Reference!$B$6:$B$11,MIN(5,MATCH(MAX(Reference!$A$6,MIN(Reference!$A$11,$U112)),Reference!$A$6:$A$11,1)))+(MAX(Reference!$A$6,MIN(Reference!$A$11,$U112))-INDEX(Reference!$A$6:$A$11,MIN(5,MATCH(MAX(Reference!$A$6,MIN(Reference!$A$11,$U112)),Reference!$A$6:$A$11,1))))*(INDEX(Reference!$B$6:$B$11,MIN(5,MATCH(MAX(Reference!$A$6,MIN(Reference!$A$11,$U112)),Reference!$A$6:$A$11,1))+1)-INDEX(Reference!$B$6:$B$11,MIN(5,MATCH(MAX(Reference!$A$6,MIN(Reference!$A$11,$U112)),Reference!$A$6:$A$11,1))))/(INDEX(Reference!$A$6:$A$11,MIN(5,MATCH(MAX(Reference!$A$6,MIN(Reference!$A$11,$U112)),Reference!$A$6:$A$11,1))+1)-INDEX(Reference!$A$6:$A$11,MIN(5,MATCH(MAX(Reference!$A$6,MIN(Reference!$A$11,$U112)),Reference!$A$6:$A$11,1))))))</f>
        <v>1</v>
      </c>
      <c r="AO112" s="37"/>
      <c r="AP112" s="37"/>
      <c r="AQ112" s="37"/>
    </row>
    <row r="113" spans="1:43" x14ac:dyDescent="0.3">
      <c r="A113" s="48">
        <f t="shared" si="55"/>
        <v>46377</v>
      </c>
      <c r="B113" s="32" t="str">
        <f t="shared" si="56"/>
        <v>Mon</v>
      </c>
      <c r="C113" s="32">
        <f t="shared" si="57"/>
        <v>14</v>
      </c>
      <c r="D113" s="32" t="str">
        <f t="shared" si="58"/>
        <v>Flat Ground / Intent</v>
      </c>
      <c r="E113" s="32" t="str">
        <f t="shared" si="59"/>
        <v>Low</v>
      </c>
      <c r="F113" s="32" t="str">
        <f t="shared" si="60"/>
        <v>Recovery/Easy Catch</v>
      </c>
      <c r="G113" s="47" t="str">
        <f t="shared" si="61"/>
        <v>75 ft × 35 @ 69–73 mph</v>
      </c>
      <c r="H113" s="30">
        <f t="shared" si="62"/>
        <v>24.15</v>
      </c>
      <c r="I113" s="46">
        <f>IF($A113="","",IF(AND($L113&lt;27,$K$12=0),"Building",IFERROR(((SUM($H$107:$H113)+$K$12*IF($L113&lt;6,SUMIFS('Throw Log'!$Q$5:$Q$300,'Throw Log'!$B$5:$B$300,$D$4,'Throw Log'!$A$5:$A$300,"&gt;="&amp;($D$6+$L113-6),'Throw Log'!$A$5:$A$300,"&lt;="&amp;($D$6-1)),0))/7)/((SUM($H$86:$H113)+$K$12*IF($L113&lt;27,SUMIFS('Throw Log'!$Q$5:$Q$300,'Throw Log'!$B$5:$B$300,$D$4,'Throw Log'!$A$5:$A$300,"&gt;="&amp;($D$6+$L113-27),'Throw Log'!$A$5:$A$300,"&lt;="&amp;($D$6-1)),0))/28),"")))</f>
        <v>1.1485716616585313</v>
      </c>
      <c r="J113" s="37"/>
      <c r="K113" s="37"/>
      <c r="L113" s="32">
        <v>70</v>
      </c>
      <c r="M113" s="32">
        <f t="shared" si="63"/>
        <v>11</v>
      </c>
      <c r="N113" s="32">
        <f t="shared" si="64"/>
        <v>0</v>
      </c>
      <c r="O113" s="32">
        <f t="shared" si="65"/>
        <v>0.92105263157894735</v>
      </c>
      <c r="P113" s="32">
        <f>IF(OR($A113="",N($C113)&lt;=7),"",$G$6*$G$9^($M113-1)*IF(AND(MOD($M113,Reference!$B$99)=0,$M113&lt;=$G$5-2),Reference!$B$100,1))</f>
        <v>260.00000000000006</v>
      </c>
      <c r="Q113" s="32">
        <f>IF($P113="","",IF(SUM($AK$113:$AK$119)=0,0,$P113*INDEX(Reference!$B$108:$B$114,$N113+1)/SUM($AK$113:$AK$119)))</f>
        <v>29.158878504672902</v>
      </c>
      <c r="R113" s="32">
        <f t="shared" si="66"/>
        <v>180</v>
      </c>
      <c r="S113" s="32">
        <f t="shared" si="67"/>
        <v>150</v>
      </c>
      <c r="T113" s="32" t="str">
        <f>IF($A113="","",IF($C113=0,"Bullpen",IF(OR($C113=7,$C113=1,$C113=5),"Recovery/Easy Catch",IF($C113=6,"Compression/Pulldowns",IF(OR($C113=4,$C113=2),"Long Toss",IF($C113=3,"No Throw",IF($N113=2,"No Throw",IF($N113=6,IF($O113&lt;Reference!$B$104,"No Throw","Recovery/Easy Catch"),IF(OR($N113=0,$N113=4),"Recovery/Easy Catch",IF($N113=1,IF($R113&gt;75,"Long Toss","Recovery/Easy Catch"),IF($N113=3,IF($O113&lt;0.5,IF($S113&gt;75,"Long Toss","Recovery/Easy Catch"),"Compression/Pulldowns"),IF($S113&gt;75,"Long Toss","Recovery/Easy Catch"))))))))))))</f>
        <v>Recovery/Easy Catch</v>
      </c>
      <c r="U113" s="32">
        <f t="shared" si="68"/>
        <v>75</v>
      </c>
      <c r="V113" s="32">
        <f t="shared" si="69"/>
        <v>18</v>
      </c>
      <c r="W113" s="32">
        <f t="shared" si="70"/>
        <v>22</v>
      </c>
      <c r="X113" s="32">
        <f t="shared" si="71"/>
        <v>0</v>
      </c>
      <c r="Y113" s="32" t="str">
        <f t="shared" si="72"/>
        <v/>
      </c>
      <c r="Z113" s="32" t="str">
        <f t="shared" si="73"/>
        <v/>
      </c>
      <c r="AA113" s="32" t="str">
        <f t="shared" si="74"/>
        <v/>
      </c>
      <c r="AB113" s="32">
        <f>IF($A113="","",IF($T113="No Throw",0,IF($K113&lt;&gt;"",$K113,IF($AA113&lt;&gt;"",ROUND($AA113*$D$12*IF($C113=0,1,$G$10),0),MIN(IF($T113="Recovery/Easy Catch",Reference!$B$103,IF($T113="Long Toss",Reference!$B$106,Reference!$B$102)),MAX(Reference!$B$101,ROUND(MAX(0,$Q113-$AE113)/$AF113,0)))))))</f>
        <v>35</v>
      </c>
      <c r="AC113" s="32">
        <f t="shared" si="75"/>
        <v>0</v>
      </c>
      <c r="AD113" s="32" t="b">
        <f t="shared" si="76"/>
        <v>0</v>
      </c>
      <c r="AE113" s="32">
        <f>IF($X113=0,0,$X113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113+$Z113)/2,0),Reference!$A$17:$B$20,2,TRUE()))</f>
        <v>0</v>
      </c>
      <c r="AF113" s="32">
        <f>IF(OR($A113="",$U113="",$T113="No Throw"),0,$AM113*VLOOKUP(MAX(($V113+$W113)/2,0),Reference!$A$17:$B$20,2,TRUE()))</f>
        <v>0.69</v>
      </c>
      <c r="AG113" s="32">
        <f>IF($AC113=0,0,$AC113*INDEX(Reference!$B$61:$B$62,MATCH("Bullpen",Reference!$A$61:$A$62,0))*VLOOKUP(MAX($D$5-($D$9+$E$9)/2,0),Reference!$A$17:$B$20,2,TRUE()))</f>
        <v>0</v>
      </c>
      <c r="AH113" s="46">
        <f t="shared" si="77"/>
        <v>1.1485716616585313</v>
      </c>
      <c r="AI113" s="32">
        <f>IF($A113="",NA(),Reference!$A$25)</f>
        <v>0.8</v>
      </c>
      <c r="AJ113" s="32">
        <f t="shared" si="78"/>
        <v>1.3</v>
      </c>
      <c r="AK113" s="56">
        <f>IF(OR($A113="",N($C113)&lt;=7,$T113="No Throw",$J113="x"),0,INDEX(Reference!$B$108:$B$114,$N113+1))</f>
        <v>0.12</v>
      </c>
      <c r="AL113" s="32">
        <f t="shared" si="79"/>
        <v>1</v>
      </c>
      <c r="AM113" s="32">
        <f>IF($U113="",0,IF($AL113&gt;1,((IF(1&lt;=$AL113,($AL113-1+3)*(INDEX(Reference!$B$6:$B$11,MIN(5,MATCH(MAX(Reference!$A$6,MIN(Reference!$A$11,MIN($U113,90))),Reference!$A$6:$A$11,1)))+(MAX(Reference!$A$6,MIN(Reference!$A$11,MIN($U113,90)))-INDEX(Reference!$A$6:$A$11,MIN(5,MATCH(MAX(Reference!$A$6,MIN(Reference!$A$11,MIN($U113,90))),Reference!$A$6:$A$11,1))))*(INDEX(Reference!$B$6:$B$11,MIN(5,MATCH(MAX(Reference!$A$6,MIN(Reference!$A$11,MIN($U113,90))),Reference!$A$6:$A$11,1))+1)-INDEX(Reference!$B$6:$B$11,MIN(5,MATCH(MAX(Reference!$A$6,MIN(Reference!$A$11,MIN($U113,90))),Reference!$A$6:$A$11,1))))/(INDEX(Reference!$A$6:$A$11,MIN(5,MATCH(MAX(Reference!$A$6,MIN(Reference!$A$11,MIN($U113,90))),Reference!$A$6:$A$11,1))+1)-INDEX(Reference!$A$6:$A$11,MIN(5,MATCH(MAX(Reference!$A$6,MIN(Reference!$A$11,MIN($U113,90))),Reference!$A$6:$A$11,1))))),0)+IF(2&lt;=$AL113,($AL113-2+3)*(INDEX(Reference!$B$6:$B$11,MIN(5,MATCH(MAX(Reference!$A$6,MIN(Reference!$A$11,MIN($U113,120))),Reference!$A$6:$A$11,1)))+(MAX(Reference!$A$6,MIN(Reference!$A$11,MIN($U113,120)))-INDEX(Reference!$A$6:$A$11,MIN(5,MATCH(MAX(Reference!$A$6,MIN(Reference!$A$11,MIN($U113,120))),Reference!$A$6:$A$11,1))))*(INDEX(Reference!$B$6:$B$11,MIN(5,MATCH(MAX(Reference!$A$6,MIN(Reference!$A$11,MIN($U113,120))),Reference!$A$6:$A$11,1))+1)-INDEX(Reference!$B$6:$B$11,MIN(5,MATCH(MAX(Reference!$A$6,MIN(Reference!$A$11,MIN($U113,120))),Reference!$A$6:$A$11,1))))/(INDEX(Reference!$A$6:$A$11,MIN(5,MATCH(MAX(Reference!$A$6,MIN(Reference!$A$11,MIN($U113,120))),Reference!$A$6:$A$11,1))+1)-INDEX(Reference!$A$6:$A$11,MIN(5,MATCH(MAX(Reference!$A$6,MIN(Reference!$A$11,MIN($U113,120))),Reference!$A$6:$A$11,1))))),0)+IF(3&lt;=$AL113,($AL113-3+3)*(INDEX(Reference!$B$6:$B$11,MIN(5,MATCH(MAX(Reference!$A$6,MIN(Reference!$A$11,MIN($U113,150))),Reference!$A$6:$A$11,1)))+(MAX(Reference!$A$6,MIN(Reference!$A$11,MIN($U113,150)))-INDEX(Reference!$A$6:$A$11,MIN(5,MATCH(MAX(Reference!$A$6,MIN(Reference!$A$11,MIN($U113,150))),Reference!$A$6:$A$11,1))))*(INDEX(Reference!$B$6:$B$11,MIN(5,MATCH(MAX(Reference!$A$6,MIN(Reference!$A$11,MIN($U113,150))),Reference!$A$6:$A$11,1))+1)-INDEX(Reference!$B$6:$B$11,MIN(5,MATCH(MAX(Reference!$A$6,MIN(Reference!$A$11,MIN($U113,150))),Reference!$A$6:$A$11,1))))/(INDEX(Reference!$A$6:$A$11,MIN(5,MATCH(MAX(Reference!$A$6,MIN(Reference!$A$11,MIN($U113,150))),Reference!$A$6:$A$11,1))+1)-INDEX(Reference!$A$6:$A$11,MIN(5,MATCH(MAX(Reference!$A$6,MIN(Reference!$A$11,MIN($U113,150))),Reference!$A$6:$A$11,1))))),0)+IF(4&lt;=$AL113,($AL113-4+3)*(INDEX(Reference!$B$6:$B$11,MIN(5,MATCH(MAX(Reference!$A$6,MIN(Reference!$A$11,MIN($U113,180))),Reference!$A$6:$A$11,1)))+(MAX(Reference!$A$6,MIN(Reference!$A$11,MIN($U113,180)))-INDEX(Reference!$A$6:$A$11,MIN(5,MATCH(MAX(Reference!$A$6,MIN(Reference!$A$11,MIN($U113,180))),Reference!$A$6:$A$11,1))))*(INDEX(Reference!$B$6:$B$11,MIN(5,MATCH(MAX(Reference!$A$6,MIN(Reference!$A$11,MIN($U113,180))),Reference!$A$6:$A$11,1))+1)-INDEX(Reference!$B$6:$B$11,MIN(5,MATCH(MAX(Reference!$A$6,MIN(Reference!$A$11,MIN($U113,180))),Reference!$A$6:$A$11,1))))/(INDEX(Reference!$A$6:$A$11,MIN(5,MATCH(MAX(Reference!$A$6,MIN(Reference!$A$11,MIN($U113,180))),Reference!$A$6:$A$11,1))+1)-INDEX(Reference!$A$6:$A$11,MIN(5,MATCH(MAX(Reference!$A$6,MIN(Reference!$A$11,MIN($U113,180))),Reference!$A$6:$A$11,1))))),0)+IF(5&lt;=$AL113,($AL113-5+3)*(INDEX(Reference!$B$6:$B$11,MIN(5,MATCH(MAX(Reference!$A$6,MIN(Reference!$A$11,MIN($U113,210))),Reference!$A$6:$A$11,1)))+(MAX(Reference!$A$6,MIN(Reference!$A$11,MIN($U113,210)))-INDEX(Reference!$A$6:$A$11,MIN(5,MATCH(MAX(Reference!$A$6,MIN(Reference!$A$11,MIN($U113,210))),Reference!$A$6:$A$11,1))))*(INDEX(Reference!$B$6:$B$11,MIN(5,MATCH(MAX(Reference!$A$6,MIN(Reference!$A$11,MIN($U113,210))),Reference!$A$6:$A$11,1))+1)-INDEX(Reference!$B$6:$B$11,MIN(5,MATCH(MAX(Reference!$A$6,MIN(Reference!$A$11,MIN($U113,210))),Reference!$A$6:$A$11,1))))/(INDEX(Reference!$A$6:$A$11,MIN(5,MATCH(MAX(Reference!$A$6,MIN(Reference!$A$11,MIN($U113,210))),Reference!$A$6:$A$11,1))+1)-INDEX(Reference!$A$6:$A$11,MIN(5,MATCH(MAX(Reference!$A$6,MIN(Reference!$A$11,MIN($U113,210))),Reference!$A$6:$A$11,1))))),0)+IF(6&lt;=$AL113,($AL113-6+3)*(INDEX(Reference!$B$6:$B$11,MIN(5,MATCH(MAX(Reference!$A$6,MIN(Reference!$A$11,MIN($U113,240))),Reference!$A$6:$A$11,1)))+(MAX(Reference!$A$6,MIN(Reference!$A$11,MIN($U113,240)))-INDEX(Reference!$A$6:$A$11,MIN(5,MATCH(MAX(Reference!$A$6,MIN(Reference!$A$11,MIN($U113,240))),Reference!$A$6:$A$11,1))))*(INDEX(Reference!$B$6:$B$11,MIN(5,MATCH(MAX(Reference!$A$6,MIN(Reference!$A$11,MIN($U113,240))),Reference!$A$6:$A$11,1))+1)-INDEX(Reference!$B$6:$B$11,MIN(5,MATCH(MAX(Reference!$A$6,MIN(Reference!$A$11,MIN($U113,240))),Reference!$A$6:$A$11,1))))/(INDEX(Reference!$A$6:$A$11,MIN(5,MATCH(MAX(Reference!$A$6,MIN(Reference!$A$11,MIN($U113,240))),Reference!$A$6:$A$11,1))+1)-INDEX(Reference!$A$6:$A$11,MIN(5,MATCH(MAX(Reference!$A$6,MIN(Reference!$A$11,MIN($U113,240))),Reference!$A$6:$A$11,1))))),0)+IF(7&lt;=$AL113,($AL113-7+3)*(INDEX(Reference!$B$6:$B$11,MIN(5,MATCH(MAX(Reference!$A$6,MIN(Reference!$A$11,MIN($U113,270))),Reference!$A$6:$A$11,1)))+(MAX(Reference!$A$6,MIN(Reference!$A$11,MIN($U113,270)))-INDEX(Reference!$A$6:$A$11,MIN(5,MATCH(MAX(Reference!$A$6,MIN(Reference!$A$11,MIN($U113,270))),Reference!$A$6:$A$11,1))))*(INDEX(Reference!$B$6:$B$11,MIN(5,MATCH(MAX(Reference!$A$6,MIN(Reference!$A$11,MIN($U113,270))),Reference!$A$6:$A$11,1))+1)-INDEX(Reference!$B$6:$B$11,MIN(5,MATCH(MAX(Reference!$A$6,MIN(Reference!$A$11,MIN($U113,270))),Reference!$A$6:$A$11,1))))/(INDEX(Reference!$A$6:$A$11,MIN(5,MATCH(MAX(Reference!$A$6,MIN(Reference!$A$11,MIN($U113,270))),Reference!$A$6:$A$11,1))+1)-INDEX(Reference!$A$6:$A$11,MIN(5,MATCH(MAX(Reference!$A$6,MIN(Reference!$A$11,MIN($U113,270))),Reference!$A$6:$A$11,1))))),0)+IF(8&lt;=$AL113,($AL113-8+3)*(INDEX(Reference!$B$6:$B$11,MIN(5,MATCH(MAX(Reference!$A$6,MIN(Reference!$A$11,MIN($U113,300))),Reference!$A$6:$A$11,1)))+(MAX(Reference!$A$6,MIN(Reference!$A$11,MIN($U113,300)))-INDEX(Reference!$A$6:$A$11,MIN(5,MATCH(MAX(Reference!$A$6,MIN(Reference!$A$11,MIN($U113,300))),Reference!$A$6:$A$11,1))))*(INDEX(Reference!$B$6:$B$11,MIN(5,MATCH(MAX(Reference!$A$6,MIN(Reference!$A$11,MIN($U113,300))),Reference!$A$6:$A$11,1))+1)-INDEX(Reference!$B$6:$B$11,MIN(5,MATCH(MAX(Reference!$A$6,MIN(Reference!$A$11,MIN($U113,300))),Reference!$A$6:$A$11,1))))/(INDEX(Reference!$A$6:$A$11,MIN(5,MATCH(MAX(Reference!$A$6,MIN(Reference!$A$11,MIN($U113,300))),Reference!$A$6:$A$11,1))+1)-INDEX(Reference!$A$6:$A$11,MIN(5,MATCH(MAX(Reference!$A$6,MIN(Reference!$A$11,MIN($U113,300))),Reference!$A$6:$A$11,1))))),0))/($AL113*($AL113+5)/2)),$AN113))</f>
        <v>1.1499999999999999</v>
      </c>
      <c r="AN113" s="32">
        <f>IF($U113="",0,(INDEX(Reference!$B$6:$B$11,MIN(5,MATCH(MAX(Reference!$A$6,MIN(Reference!$A$11,$U113)),Reference!$A$6:$A$11,1)))+(MAX(Reference!$A$6,MIN(Reference!$A$11,$U113))-INDEX(Reference!$A$6:$A$11,MIN(5,MATCH(MAX(Reference!$A$6,MIN(Reference!$A$11,$U113)),Reference!$A$6:$A$11,1))))*(INDEX(Reference!$B$6:$B$11,MIN(5,MATCH(MAX(Reference!$A$6,MIN(Reference!$A$11,$U113)),Reference!$A$6:$A$11,1))+1)-INDEX(Reference!$B$6:$B$11,MIN(5,MATCH(MAX(Reference!$A$6,MIN(Reference!$A$11,$U113)),Reference!$A$6:$A$11,1))))/(INDEX(Reference!$A$6:$A$11,MIN(5,MATCH(MAX(Reference!$A$6,MIN(Reference!$A$11,$U113)),Reference!$A$6:$A$11,1))+1)-INDEX(Reference!$A$6:$A$11,MIN(5,MATCH(MAX(Reference!$A$6,MIN(Reference!$A$11,$U113)),Reference!$A$6:$A$11,1))))))</f>
        <v>1.1499999999999999</v>
      </c>
      <c r="AO113" s="37"/>
      <c r="AP113" s="37"/>
      <c r="AQ113" s="37"/>
    </row>
    <row r="114" spans="1:43" ht="26.4" x14ac:dyDescent="0.3">
      <c r="A114" s="48">
        <f t="shared" si="55"/>
        <v>46378</v>
      </c>
      <c r="B114" s="32" t="str">
        <f t="shared" si="56"/>
        <v>Tue</v>
      </c>
      <c r="C114" s="32">
        <f t="shared" si="57"/>
        <v>13</v>
      </c>
      <c r="D114" s="32" t="str">
        <f t="shared" si="58"/>
        <v>Flat Ground / Intent</v>
      </c>
      <c r="E114" s="32" t="str">
        <f t="shared" si="59"/>
        <v>High Non-Bullpen</v>
      </c>
      <c r="F114" s="32" t="str">
        <f t="shared" si="60"/>
        <v>Long Toss</v>
      </c>
      <c r="G114" s="47" t="str">
        <f t="shared" si="61"/>
        <v>Long toss out to 180 ft — 35 throws (90×12 · 120×9 · 150×8 · 180×6) @ 79–81 mph + 60 ft × 15 @ 79–81 mph</v>
      </c>
      <c r="H114" s="30">
        <f t="shared" si="62"/>
        <v>48.083333333333336</v>
      </c>
      <c r="I114" s="46">
        <f>IF($A114="","",IF(AND($L114&lt;27,$K$12=0),"Building",IFERROR(((SUM($H$108:$H114)+$K$12*IF($L114&lt;6,SUMIFS('Throw Log'!$Q$5:$Q$300,'Throw Log'!$B$5:$B$300,$D$4,'Throw Log'!$A$5:$A$300,"&gt;="&amp;($D$6+$L114-6),'Throw Log'!$A$5:$A$300,"&lt;="&amp;($D$6-1)),0))/7)/((SUM($H$87:$H114)+$K$12*IF($L114&lt;27,SUMIFS('Throw Log'!$Q$5:$Q$300,'Throw Log'!$B$5:$B$300,$D$4,'Throw Log'!$A$5:$A$300,"&gt;="&amp;($D$6+$L114-27),'Throw Log'!$A$5:$A$300,"&lt;="&amp;($D$6-1)),0))/28),"")))</f>
        <v>1.1565938280195729</v>
      </c>
      <c r="J114" s="37"/>
      <c r="K114" s="37">
        <v>35</v>
      </c>
      <c r="L114" s="32">
        <v>71</v>
      </c>
      <c r="M114" s="32">
        <f t="shared" si="63"/>
        <v>11</v>
      </c>
      <c r="N114" s="32">
        <f t="shared" si="64"/>
        <v>1</v>
      </c>
      <c r="O114" s="32">
        <f t="shared" si="65"/>
        <v>0.93421052631578949</v>
      </c>
      <c r="P114" s="32">
        <f>IF(OR($A114="",N($C114)&lt;=7),"",$G$6*$G$9^($M114-1)*IF(AND(MOD($M114,Reference!$B$99)=0,$M114&lt;=$G$5-2),Reference!$B$100,1))</f>
        <v>260.00000000000006</v>
      </c>
      <c r="Q114" s="32">
        <f>IF($P114="","",IF(SUM($AK$113:$AK$119)=0,0,$P114*INDEX(Reference!$B$108:$B$114,$N114+1)/SUM($AK$113:$AK$119)))</f>
        <v>65.607476635514033</v>
      </c>
      <c r="R114" s="32">
        <f t="shared" si="66"/>
        <v>180</v>
      </c>
      <c r="S114" s="32">
        <f t="shared" si="67"/>
        <v>150</v>
      </c>
      <c r="T114" s="32" t="str">
        <f>IF($A114="","",IF($C114=0,"Bullpen",IF(OR($C114=7,$C114=1,$C114=5),"Recovery/Easy Catch",IF($C114=6,"Compression/Pulldowns",IF(OR($C114=4,$C114=2),"Long Toss",IF($C114=3,"No Throw",IF($N114=2,"No Throw",IF($N114=6,IF($O114&lt;Reference!$B$104,"No Throw","Recovery/Easy Catch"),IF(OR($N114=0,$N114=4),"Recovery/Easy Catch",IF($N114=1,IF($R114&gt;75,"Long Toss","Recovery/Easy Catch"),IF($N114=3,IF($O114&lt;0.5,IF($S114&gt;75,"Long Toss","Recovery/Easy Catch"),"Compression/Pulldowns"),IF($S114&gt;75,"Long Toss","Recovery/Easy Catch"))))))))))))</f>
        <v>Long Toss</v>
      </c>
      <c r="U114" s="32">
        <f t="shared" si="68"/>
        <v>180</v>
      </c>
      <c r="V114" s="32">
        <f t="shared" si="69"/>
        <v>10</v>
      </c>
      <c r="W114" s="32">
        <f t="shared" si="70"/>
        <v>12</v>
      </c>
      <c r="X114" s="32">
        <f t="shared" si="71"/>
        <v>15</v>
      </c>
      <c r="Y114" s="32">
        <f t="shared" si="72"/>
        <v>10</v>
      </c>
      <c r="Z114" s="32">
        <f t="shared" si="73"/>
        <v>12</v>
      </c>
      <c r="AA114" s="32" t="str">
        <f t="shared" si="74"/>
        <v/>
      </c>
      <c r="AB114" s="32">
        <f>IF($A114="","",IF($T114="No Throw",0,IF($K114&lt;&gt;"",$K114,IF($AA114&lt;&gt;"",ROUND($AA114*$D$12*IF($C114=0,1,$G$10),0),MIN(IF($T114="Recovery/Easy Catch",Reference!$B$103,IF($T114="Long Toss",Reference!$B$106,Reference!$B$102)),MAX(Reference!$B$101,ROUND(MAX(0,$Q114-$AE114)/$AF114,0)))))))</f>
        <v>35</v>
      </c>
      <c r="AC114" s="32">
        <f t="shared" si="75"/>
        <v>0</v>
      </c>
      <c r="AD114" s="32" t="b">
        <f t="shared" si="76"/>
        <v>0</v>
      </c>
      <c r="AE114" s="32">
        <f>IF($X114=0,0,$X114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114+$Z114)/2,0),Reference!$A$17:$B$20,2,TRUE()))</f>
        <v>9</v>
      </c>
      <c r="AF114" s="32">
        <f>IF(OR($A114="",$U114="",$T114="No Throw"),0,$AM114*VLOOKUP(MAX(($V114+$W114)/2,0),Reference!$A$17:$B$20,2,TRUE()))</f>
        <v>1.1166666666666667</v>
      </c>
      <c r="AG114" s="32">
        <f>IF($AC114=0,0,$AC114*INDEX(Reference!$B$61:$B$62,MATCH("Bullpen",Reference!$A$61:$A$62,0))*VLOOKUP(MAX($D$5-($D$9+$E$9)/2,0),Reference!$A$17:$B$20,2,TRUE()))</f>
        <v>0</v>
      </c>
      <c r="AH114" s="46">
        <f t="shared" si="77"/>
        <v>1.1565938280195729</v>
      </c>
      <c r="AI114" s="32">
        <f>IF($A114="",NA(),Reference!$A$25)</f>
        <v>0.8</v>
      </c>
      <c r="AJ114" s="32">
        <f t="shared" si="78"/>
        <v>1.3</v>
      </c>
      <c r="AK114" s="56">
        <f>IF(OR($A114="",N($C114)&lt;=7,$T114="No Throw",$J114="x"),0,INDEX(Reference!$B$108:$B$114,$N114+1))</f>
        <v>0.27</v>
      </c>
      <c r="AL114" s="32">
        <f t="shared" si="79"/>
        <v>4</v>
      </c>
      <c r="AM114" s="32">
        <f>IF($U114="",0,IF($AL114&gt;1,((IF(1&lt;=$AL114,($AL114-1+3)*(INDEX(Reference!$B$6:$B$11,MIN(5,MATCH(MAX(Reference!$A$6,MIN(Reference!$A$11,MIN($U114,90))),Reference!$A$6:$A$11,1)))+(MAX(Reference!$A$6,MIN(Reference!$A$11,MIN($U114,90)))-INDEX(Reference!$A$6:$A$11,MIN(5,MATCH(MAX(Reference!$A$6,MIN(Reference!$A$11,MIN($U114,90))),Reference!$A$6:$A$11,1))))*(INDEX(Reference!$B$6:$B$11,MIN(5,MATCH(MAX(Reference!$A$6,MIN(Reference!$A$11,MIN($U114,90))),Reference!$A$6:$A$11,1))+1)-INDEX(Reference!$B$6:$B$11,MIN(5,MATCH(MAX(Reference!$A$6,MIN(Reference!$A$11,MIN($U114,90))),Reference!$A$6:$A$11,1))))/(INDEX(Reference!$A$6:$A$11,MIN(5,MATCH(MAX(Reference!$A$6,MIN(Reference!$A$11,MIN($U114,90))),Reference!$A$6:$A$11,1))+1)-INDEX(Reference!$A$6:$A$11,MIN(5,MATCH(MAX(Reference!$A$6,MIN(Reference!$A$11,MIN($U114,90))),Reference!$A$6:$A$11,1))))),0)+IF(2&lt;=$AL114,($AL114-2+3)*(INDEX(Reference!$B$6:$B$11,MIN(5,MATCH(MAX(Reference!$A$6,MIN(Reference!$A$11,MIN($U114,120))),Reference!$A$6:$A$11,1)))+(MAX(Reference!$A$6,MIN(Reference!$A$11,MIN($U114,120)))-INDEX(Reference!$A$6:$A$11,MIN(5,MATCH(MAX(Reference!$A$6,MIN(Reference!$A$11,MIN($U114,120))),Reference!$A$6:$A$11,1))))*(INDEX(Reference!$B$6:$B$11,MIN(5,MATCH(MAX(Reference!$A$6,MIN(Reference!$A$11,MIN($U114,120))),Reference!$A$6:$A$11,1))+1)-INDEX(Reference!$B$6:$B$11,MIN(5,MATCH(MAX(Reference!$A$6,MIN(Reference!$A$11,MIN($U114,120))),Reference!$A$6:$A$11,1))))/(INDEX(Reference!$A$6:$A$11,MIN(5,MATCH(MAX(Reference!$A$6,MIN(Reference!$A$11,MIN($U114,120))),Reference!$A$6:$A$11,1))+1)-INDEX(Reference!$A$6:$A$11,MIN(5,MATCH(MAX(Reference!$A$6,MIN(Reference!$A$11,MIN($U114,120))),Reference!$A$6:$A$11,1))))),0)+IF(3&lt;=$AL114,($AL114-3+3)*(INDEX(Reference!$B$6:$B$11,MIN(5,MATCH(MAX(Reference!$A$6,MIN(Reference!$A$11,MIN($U114,150))),Reference!$A$6:$A$11,1)))+(MAX(Reference!$A$6,MIN(Reference!$A$11,MIN($U114,150)))-INDEX(Reference!$A$6:$A$11,MIN(5,MATCH(MAX(Reference!$A$6,MIN(Reference!$A$11,MIN($U114,150))),Reference!$A$6:$A$11,1))))*(INDEX(Reference!$B$6:$B$11,MIN(5,MATCH(MAX(Reference!$A$6,MIN(Reference!$A$11,MIN($U114,150))),Reference!$A$6:$A$11,1))+1)-INDEX(Reference!$B$6:$B$11,MIN(5,MATCH(MAX(Reference!$A$6,MIN(Reference!$A$11,MIN($U114,150))),Reference!$A$6:$A$11,1))))/(INDEX(Reference!$A$6:$A$11,MIN(5,MATCH(MAX(Reference!$A$6,MIN(Reference!$A$11,MIN($U114,150))),Reference!$A$6:$A$11,1))+1)-INDEX(Reference!$A$6:$A$11,MIN(5,MATCH(MAX(Reference!$A$6,MIN(Reference!$A$11,MIN($U114,150))),Reference!$A$6:$A$11,1))))),0)+IF(4&lt;=$AL114,($AL114-4+3)*(INDEX(Reference!$B$6:$B$11,MIN(5,MATCH(MAX(Reference!$A$6,MIN(Reference!$A$11,MIN($U114,180))),Reference!$A$6:$A$11,1)))+(MAX(Reference!$A$6,MIN(Reference!$A$11,MIN($U114,180)))-INDEX(Reference!$A$6:$A$11,MIN(5,MATCH(MAX(Reference!$A$6,MIN(Reference!$A$11,MIN($U114,180))),Reference!$A$6:$A$11,1))))*(INDEX(Reference!$B$6:$B$11,MIN(5,MATCH(MAX(Reference!$A$6,MIN(Reference!$A$11,MIN($U114,180))),Reference!$A$6:$A$11,1))+1)-INDEX(Reference!$B$6:$B$11,MIN(5,MATCH(MAX(Reference!$A$6,MIN(Reference!$A$11,MIN($U114,180))),Reference!$A$6:$A$11,1))))/(INDEX(Reference!$A$6:$A$11,MIN(5,MATCH(MAX(Reference!$A$6,MIN(Reference!$A$11,MIN($U114,180))),Reference!$A$6:$A$11,1))+1)-INDEX(Reference!$A$6:$A$11,MIN(5,MATCH(MAX(Reference!$A$6,MIN(Reference!$A$11,MIN($U114,180))),Reference!$A$6:$A$11,1))))),0)+IF(5&lt;=$AL114,($AL114-5+3)*(INDEX(Reference!$B$6:$B$11,MIN(5,MATCH(MAX(Reference!$A$6,MIN(Reference!$A$11,MIN($U114,210))),Reference!$A$6:$A$11,1)))+(MAX(Reference!$A$6,MIN(Reference!$A$11,MIN($U114,210)))-INDEX(Reference!$A$6:$A$11,MIN(5,MATCH(MAX(Reference!$A$6,MIN(Reference!$A$11,MIN($U114,210))),Reference!$A$6:$A$11,1))))*(INDEX(Reference!$B$6:$B$11,MIN(5,MATCH(MAX(Reference!$A$6,MIN(Reference!$A$11,MIN($U114,210))),Reference!$A$6:$A$11,1))+1)-INDEX(Reference!$B$6:$B$11,MIN(5,MATCH(MAX(Reference!$A$6,MIN(Reference!$A$11,MIN($U114,210))),Reference!$A$6:$A$11,1))))/(INDEX(Reference!$A$6:$A$11,MIN(5,MATCH(MAX(Reference!$A$6,MIN(Reference!$A$11,MIN($U114,210))),Reference!$A$6:$A$11,1))+1)-INDEX(Reference!$A$6:$A$11,MIN(5,MATCH(MAX(Reference!$A$6,MIN(Reference!$A$11,MIN($U114,210))),Reference!$A$6:$A$11,1))))),0)+IF(6&lt;=$AL114,($AL114-6+3)*(INDEX(Reference!$B$6:$B$11,MIN(5,MATCH(MAX(Reference!$A$6,MIN(Reference!$A$11,MIN($U114,240))),Reference!$A$6:$A$11,1)))+(MAX(Reference!$A$6,MIN(Reference!$A$11,MIN($U114,240)))-INDEX(Reference!$A$6:$A$11,MIN(5,MATCH(MAX(Reference!$A$6,MIN(Reference!$A$11,MIN($U114,240))),Reference!$A$6:$A$11,1))))*(INDEX(Reference!$B$6:$B$11,MIN(5,MATCH(MAX(Reference!$A$6,MIN(Reference!$A$11,MIN($U114,240))),Reference!$A$6:$A$11,1))+1)-INDEX(Reference!$B$6:$B$11,MIN(5,MATCH(MAX(Reference!$A$6,MIN(Reference!$A$11,MIN($U114,240))),Reference!$A$6:$A$11,1))))/(INDEX(Reference!$A$6:$A$11,MIN(5,MATCH(MAX(Reference!$A$6,MIN(Reference!$A$11,MIN($U114,240))),Reference!$A$6:$A$11,1))+1)-INDEX(Reference!$A$6:$A$11,MIN(5,MATCH(MAX(Reference!$A$6,MIN(Reference!$A$11,MIN($U114,240))),Reference!$A$6:$A$11,1))))),0)+IF(7&lt;=$AL114,($AL114-7+3)*(INDEX(Reference!$B$6:$B$11,MIN(5,MATCH(MAX(Reference!$A$6,MIN(Reference!$A$11,MIN($U114,270))),Reference!$A$6:$A$11,1)))+(MAX(Reference!$A$6,MIN(Reference!$A$11,MIN($U114,270)))-INDEX(Reference!$A$6:$A$11,MIN(5,MATCH(MAX(Reference!$A$6,MIN(Reference!$A$11,MIN($U114,270))),Reference!$A$6:$A$11,1))))*(INDEX(Reference!$B$6:$B$11,MIN(5,MATCH(MAX(Reference!$A$6,MIN(Reference!$A$11,MIN($U114,270))),Reference!$A$6:$A$11,1))+1)-INDEX(Reference!$B$6:$B$11,MIN(5,MATCH(MAX(Reference!$A$6,MIN(Reference!$A$11,MIN($U114,270))),Reference!$A$6:$A$11,1))))/(INDEX(Reference!$A$6:$A$11,MIN(5,MATCH(MAX(Reference!$A$6,MIN(Reference!$A$11,MIN($U114,270))),Reference!$A$6:$A$11,1))+1)-INDEX(Reference!$A$6:$A$11,MIN(5,MATCH(MAX(Reference!$A$6,MIN(Reference!$A$11,MIN($U114,270))),Reference!$A$6:$A$11,1))))),0)+IF(8&lt;=$AL114,($AL114-8+3)*(INDEX(Reference!$B$6:$B$11,MIN(5,MATCH(MAX(Reference!$A$6,MIN(Reference!$A$11,MIN($U114,300))),Reference!$A$6:$A$11,1)))+(MAX(Reference!$A$6,MIN(Reference!$A$11,MIN($U114,300)))-INDEX(Reference!$A$6:$A$11,MIN(5,MATCH(MAX(Reference!$A$6,MIN(Reference!$A$11,MIN($U114,300))),Reference!$A$6:$A$11,1))))*(INDEX(Reference!$B$6:$B$11,MIN(5,MATCH(MAX(Reference!$A$6,MIN(Reference!$A$11,MIN($U114,300))),Reference!$A$6:$A$11,1))+1)-INDEX(Reference!$B$6:$B$11,MIN(5,MATCH(MAX(Reference!$A$6,MIN(Reference!$A$11,MIN($U114,300))),Reference!$A$6:$A$11,1))))/(INDEX(Reference!$A$6:$A$11,MIN(5,MATCH(MAX(Reference!$A$6,MIN(Reference!$A$11,MIN($U114,300))),Reference!$A$6:$A$11,1))+1)-INDEX(Reference!$A$6:$A$11,MIN(5,MATCH(MAX(Reference!$A$6,MIN(Reference!$A$11,MIN($U114,300))),Reference!$A$6:$A$11,1))))),0))/($AL114*($AL114+5)/2)),$AN114))</f>
        <v>1.8611111111111112</v>
      </c>
      <c r="AN114" s="32">
        <f>IF($U114="",0,(INDEX(Reference!$B$6:$B$11,MIN(5,MATCH(MAX(Reference!$A$6,MIN(Reference!$A$11,$U114)),Reference!$A$6:$A$11,1)))+(MAX(Reference!$A$6,MIN(Reference!$A$11,$U114))-INDEX(Reference!$A$6:$A$11,MIN(5,MATCH(MAX(Reference!$A$6,MIN(Reference!$A$11,$U114)),Reference!$A$6:$A$11,1))))*(INDEX(Reference!$B$6:$B$11,MIN(5,MATCH(MAX(Reference!$A$6,MIN(Reference!$A$11,$U114)),Reference!$A$6:$A$11,1))+1)-INDEX(Reference!$B$6:$B$11,MIN(5,MATCH(MAX(Reference!$A$6,MIN(Reference!$A$11,$U114)),Reference!$A$6:$A$11,1))))/(INDEX(Reference!$A$6:$A$11,MIN(5,MATCH(MAX(Reference!$A$6,MIN(Reference!$A$11,$U114)),Reference!$A$6:$A$11,1))+1)-INDEX(Reference!$A$6:$A$11,MIN(5,MATCH(MAX(Reference!$A$6,MIN(Reference!$A$11,$U114)),Reference!$A$6:$A$11,1))))))</f>
        <v>2.8</v>
      </c>
      <c r="AO114" s="37"/>
      <c r="AP114" s="37"/>
      <c r="AQ114" s="37"/>
    </row>
    <row r="115" spans="1:43" x14ac:dyDescent="0.3">
      <c r="A115" s="48">
        <f t="shared" si="55"/>
        <v>46379</v>
      </c>
      <c r="B115" s="32" t="str">
        <f t="shared" si="56"/>
        <v>Wed</v>
      </c>
      <c r="C115" s="32">
        <f t="shared" si="57"/>
        <v>12</v>
      </c>
      <c r="D115" s="32" t="str">
        <f t="shared" si="58"/>
        <v>Flat Ground / Intent</v>
      </c>
      <c r="E115" s="32" t="str">
        <f t="shared" si="59"/>
        <v>No Throw</v>
      </c>
      <c r="F115" s="32" t="str">
        <f t="shared" si="60"/>
        <v>No Throw</v>
      </c>
      <c r="G115" s="47" t="str">
        <f t="shared" si="61"/>
        <v>Off</v>
      </c>
      <c r="H115" s="30">
        <f t="shared" si="62"/>
        <v>0</v>
      </c>
      <c r="I115" s="46">
        <f>IF($A115="","",IF(AND($L115&lt;27,$K$12=0),"Building",IFERROR(((SUM($H$109:$H115)+$K$12*IF($L115&lt;6,SUMIFS('Throw Log'!$Q$5:$Q$300,'Throw Log'!$B$5:$B$300,$D$4,'Throw Log'!$A$5:$A$300,"&gt;="&amp;($D$6+$L115-6),'Throw Log'!$A$5:$A$300,"&lt;="&amp;($D$6-1)),0))/7)/((SUM($H$88:$H115)+$K$12*IF($L115&lt;27,SUMIFS('Throw Log'!$Q$5:$Q$300,'Throw Log'!$B$5:$B$300,$D$4,'Throw Log'!$A$5:$A$300,"&gt;="&amp;($D$6+$L115-27),'Throw Log'!$A$5:$A$300,"&lt;="&amp;($D$6-1)),0))/28),"")))</f>
        <v>1.1565938280195729</v>
      </c>
      <c r="J115" s="37"/>
      <c r="K115" s="37"/>
      <c r="L115" s="32">
        <v>72</v>
      </c>
      <c r="M115" s="32">
        <f t="shared" si="63"/>
        <v>11</v>
      </c>
      <c r="N115" s="32">
        <f t="shared" si="64"/>
        <v>2</v>
      </c>
      <c r="O115" s="32">
        <f t="shared" si="65"/>
        <v>0.94736842105263153</v>
      </c>
      <c r="P115" s="32">
        <f>IF(OR($A115="",N($C115)&lt;=7),"",$G$6*$G$9^($M115-1)*IF(AND(MOD($M115,Reference!$B$99)=0,$M115&lt;=$G$5-2),Reference!$B$100,1))</f>
        <v>260.00000000000006</v>
      </c>
      <c r="Q115" s="32">
        <f>IF($P115="","",IF(SUM($AK$113:$AK$119)=0,0,$P115*INDEX(Reference!$B$108:$B$114,$N115+1)/SUM($AK$113:$AK$119)))</f>
        <v>0</v>
      </c>
      <c r="R115" s="32">
        <f t="shared" si="66"/>
        <v>180</v>
      </c>
      <c r="S115" s="32">
        <f t="shared" si="67"/>
        <v>150</v>
      </c>
      <c r="T115" s="32" t="str">
        <f>IF($A115="","",IF($C115=0,"Bullpen",IF(OR($C115=7,$C115=1,$C115=5),"Recovery/Easy Catch",IF($C115=6,"Compression/Pulldowns",IF(OR($C115=4,$C115=2),"Long Toss",IF($C115=3,"No Throw",IF($N115=2,"No Throw",IF($N115=6,IF($O115&lt;Reference!$B$104,"No Throw","Recovery/Easy Catch"),IF(OR($N115=0,$N115=4),"Recovery/Easy Catch",IF($N115=1,IF($R115&gt;75,"Long Toss","Recovery/Easy Catch"),IF($N115=3,IF($O115&lt;0.5,IF($S115&gt;75,"Long Toss","Recovery/Easy Catch"),"Compression/Pulldowns"),IF($S115&gt;75,"Long Toss","Recovery/Easy Catch"))))))))))))</f>
        <v>No Throw</v>
      </c>
      <c r="U115" s="32" t="str">
        <f t="shared" si="68"/>
        <v/>
      </c>
      <c r="V115" s="32" t="str">
        <f t="shared" si="69"/>
        <v/>
      </c>
      <c r="W115" s="32" t="str">
        <f t="shared" si="70"/>
        <v/>
      </c>
      <c r="X115" s="32">
        <f t="shared" si="71"/>
        <v>0</v>
      </c>
      <c r="Y115" s="32" t="str">
        <f t="shared" si="72"/>
        <v/>
      </c>
      <c r="Z115" s="32" t="str">
        <f t="shared" si="73"/>
        <v/>
      </c>
      <c r="AA115" s="32" t="str">
        <f t="shared" si="74"/>
        <v/>
      </c>
      <c r="AB115" s="32">
        <f>IF($A115="","",IF($T115="No Throw",0,IF($K115&lt;&gt;"",$K115,IF($AA115&lt;&gt;"",ROUND($AA115*$D$12*IF($C115=0,1,$G$10),0),MIN(IF($T115="Recovery/Easy Catch",Reference!$B$103,IF($T115="Long Toss",Reference!$B$106,Reference!$B$102)),MAX(Reference!$B$101,ROUND(MAX(0,$Q115-$AE115)/$AF115,0)))))))</f>
        <v>0</v>
      </c>
      <c r="AC115" s="32">
        <f t="shared" si="75"/>
        <v>0</v>
      </c>
      <c r="AD115" s="32" t="b">
        <f t="shared" si="76"/>
        <v>1</v>
      </c>
      <c r="AE115" s="32">
        <f>IF($X115=0,0,$X115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115+$Z115)/2,0),Reference!$A$17:$B$20,2,TRUE()))</f>
        <v>0</v>
      </c>
      <c r="AF115" s="32">
        <f>IF(OR($A115="",$U115="",$T115="No Throw"),0,$AM115*VLOOKUP(MAX(($V115+$W115)/2,0),Reference!$A$17:$B$20,2,TRUE()))</f>
        <v>0</v>
      </c>
      <c r="AG115" s="32">
        <f>IF($AC115=0,0,$AC115*INDEX(Reference!$B$61:$B$62,MATCH("Bullpen",Reference!$A$61:$A$62,0))*VLOOKUP(MAX($D$5-($D$9+$E$9)/2,0),Reference!$A$17:$B$20,2,TRUE()))</f>
        <v>0</v>
      </c>
      <c r="AH115" s="46">
        <f t="shared" si="77"/>
        <v>1.1565938280195729</v>
      </c>
      <c r="AI115" s="32">
        <f>IF($A115="",NA(),Reference!$A$25)</f>
        <v>0.8</v>
      </c>
      <c r="AJ115" s="32">
        <f t="shared" si="78"/>
        <v>1.3</v>
      </c>
      <c r="AK115" s="32">
        <f>IF(OR($A115="",N($C115)&lt;=7,$T115="No Throw",$J115="x"),0,INDEX(Reference!$B$108:$B$114,$N115+1))</f>
        <v>0</v>
      </c>
      <c r="AL115" s="32">
        <f t="shared" si="79"/>
        <v>1</v>
      </c>
      <c r="AM115" s="32">
        <f>IF($U115="",0,IF($AL115&gt;1,((IF(1&lt;=$AL115,($AL115-1+3)*(INDEX(Reference!$B$6:$B$11,MIN(5,MATCH(MAX(Reference!$A$6,MIN(Reference!$A$11,MIN($U115,90))),Reference!$A$6:$A$11,1)))+(MAX(Reference!$A$6,MIN(Reference!$A$11,MIN($U115,90)))-INDEX(Reference!$A$6:$A$11,MIN(5,MATCH(MAX(Reference!$A$6,MIN(Reference!$A$11,MIN($U115,90))),Reference!$A$6:$A$11,1))))*(INDEX(Reference!$B$6:$B$11,MIN(5,MATCH(MAX(Reference!$A$6,MIN(Reference!$A$11,MIN($U115,90))),Reference!$A$6:$A$11,1))+1)-INDEX(Reference!$B$6:$B$11,MIN(5,MATCH(MAX(Reference!$A$6,MIN(Reference!$A$11,MIN($U115,90))),Reference!$A$6:$A$11,1))))/(INDEX(Reference!$A$6:$A$11,MIN(5,MATCH(MAX(Reference!$A$6,MIN(Reference!$A$11,MIN($U115,90))),Reference!$A$6:$A$11,1))+1)-INDEX(Reference!$A$6:$A$11,MIN(5,MATCH(MAX(Reference!$A$6,MIN(Reference!$A$11,MIN($U115,90))),Reference!$A$6:$A$11,1))))),0)+IF(2&lt;=$AL115,($AL115-2+3)*(INDEX(Reference!$B$6:$B$11,MIN(5,MATCH(MAX(Reference!$A$6,MIN(Reference!$A$11,MIN($U115,120))),Reference!$A$6:$A$11,1)))+(MAX(Reference!$A$6,MIN(Reference!$A$11,MIN($U115,120)))-INDEX(Reference!$A$6:$A$11,MIN(5,MATCH(MAX(Reference!$A$6,MIN(Reference!$A$11,MIN($U115,120))),Reference!$A$6:$A$11,1))))*(INDEX(Reference!$B$6:$B$11,MIN(5,MATCH(MAX(Reference!$A$6,MIN(Reference!$A$11,MIN($U115,120))),Reference!$A$6:$A$11,1))+1)-INDEX(Reference!$B$6:$B$11,MIN(5,MATCH(MAX(Reference!$A$6,MIN(Reference!$A$11,MIN($U115,120))),Reference!$A$6:$A$11,1))))/(INDEX(Reference!$A$6:$A$11,MIN(5,MATCH(MAX(Reference!$A$6,MIN(Reference!$A$11,MIN($U115,120))),Reference!$A$6:$A$11,1))+1)-INDEX(Reference!$A$6:$A$11,MIN(5,MATCH(MAX(Reference!$A$6,MIN(Reference!$A$11,MIN($U115,120))),Reference!$A$6:$A$11,1))))),0)+IF(3&lt;=$AL115,($AL115-3+3)*(INDEX(Reference!$B$6:$B$11,MIN(5,MATCH(MAX(Reference!$A$6,MIN(Reference!$A$11,MIN($U115,150))),Reference!$A$6:$A$11,1)))+(MAX(Reference!$A$6,MIN(Reference!$A$11,MIN($U115,150)))-INDEX(Reference!$A$6:$A$11,MIN(5,MATCH(MAX(Reference!$A$6,MIN(Reference!$A$11,MIN($U115,150))),Reference!$A$6:$A$11,1))))*(INDEX(Reference!$B$6:$B$11,MIN(5,MATCH(MAX(Reference!$A$6,MIN(Reference!$A$11,MIN($U115,150))),Reference!$A$6:$A$11,1))+1)-INDEX(Reference!$B$6:$B$11,MIN(5,MATCH(MAX(Reference!$A$6,MIN(Reference!$A$11,MIN($U115,150))),Reference!$A$6:$A$11,1))))/(INDEX(Reference!$A$6:$A$11,MIN(5,MATCH(MAX(Reference!$A$6,MIN(Reference!$A$11,MIN($U115,150))),Reference!$A$6:$A$11,1))+1)-INDEX(Reference!$A$6:$A$11,MIN(5,MATCH(MAX(Reference!$A$6,MIN(Reference!$A$11,MIN($U115,150))),Reference!$A$6:$A$11,1))))),0)+IF(4&lt;=$AL115,($AL115-4+3)*(INDEX(Reference!$B$6:$B$11,MIN(5,MATCH(MAX(Reference!$A$6,MIN(Reference!$A$11,MIN($U115,180))),Reference!$A$6:$A$11,1)))+(MAX(Reference!$A$6,MIN(Reference!$A$11,MIN($U115,180)))-INDEX(Reference!$A$6:$A$11,MIN(5,MATCH(MAX(Reference!$A$6,MIN(Reference!$A$11,MIN($U115,180))),Reference!$A$6:$A$11,1))))*(INDEX(Reference!$B$6:$B$11,MIN(5,MATCH(MAX(Reference!$A$6,MIN(Reference!$A$11,MIN($U115,180))),Reference!$A$6:$A$11,1))+1)-INDEX(Reference!$B$6:$B$11,MIN(5,MATCH(MAX(Reference!$A$6,MIN(Reference!$A$11,MIN($U115,180))),Reference!$A$6:$A$11,1))))/(INDEX(Reference!$A$6:$A$11,MIN(5,MATCH(MAX(Reference!$A$6,MIN(Reference!$A$11,MIN($U115,180))),Reference!$A$6:$A$11,1))+1)-INDEX(Reference!$A$6:$A$11,MIN(5,MATCH(MAX(Reference!$A$6,MIN(Reference!$A$11,MIN($U115,180))),Reference!$A$6:$A$11,1))))),0)+IF(5&lt;=$AL115,($AL115-5+3)*(INDEX(Reference!$B$6:$B$11,MIN(5,MATCH(MAX(Reference!$A$6,MIN(Reference!$A$11,MIN($U115,210))),Reference!$A$6:$A$11,1)))+(MAX(Reference!$A$6,MIN(Reference!$A$11,MIN($U115,210)))-INDEX(Reference!$A$6:$A$11,MIN(5,MATCH(MAX(Reference!$A$6,MIN(Reference!$A$11,MIN($U115,210))),Reference!$A$6:$A$11,1))))*(INDEX(Reference!$B$6:$B$11,MIN(5,MATCH(MAX(Reference!$A$6,MIN(Reference!$A$11,MIN($U115,210))),Reference!$A$6:$A$11,1))+1)-INDEX(Reference!$B$6:$B$11,MIN(5,MATCH(MAX(Reference!$A$6,MIN(Reference!$A$11,MIN($U115,210))),Reference!$A$6:$A$11,1))))/(INDEX(Reference!$A$6:$A$11,MIN(5,MATCH(MAX(Reference!$A$6,MIN(Reference!$A$11,MIN($U115,210))),Reference!$A$6:$A$11,1))+1)-INDEX(Reference!$A$6:$A$11,MIN(5,MATCH(MAX(Reference!$A$6,MIN(Reference!$A$11,MIN($U115,210))),Reference!$A$6:$A$11,1))))),0)+IF(6&lt;=$AL115,($AL115-6+3)*(INDEX(Reference!$B$6:$B$11,MIN(5,MATCH(MAX(Reference!$A$6,MIN(Reference!$A$11,MIN($U115,240))),Reference!$A$6:$A$11,1)))+(MAX(Reference!$A$6,MIN(Reference!$A$11,MIN($U115,240)))-INDEX(Reference!$A$6:$A$11,MIN(5,MATCH(MAX(Reference!$A$6,MIN(Reference!$A$11,MIN($U115,240))),Reference!$A$6:$A$11,1))))*(INDEX(Reference!$B$6:$B$11,MIN(5,MATCH(MAX(Reference!$A$6,MIN(Reference!$A$11,MIN($U115,240))),Reference!$A$6:$A$11,1))+1)-INDEX(Reference!$B$6:$B$11,MIN(5,MATCH(MAX(Reference!$A$6,MIN(Reference!$A$11,MIN($U115,240))),Reference!$A$6:$A$11,1))))/(INDEX(Reference!$A$6:$A$11,MIN(5,MATCH(MAX(Reference!$A$6,MIN(Reference!$A$11,MIN($U115,240))),Reference!$A$6:$A$11,1))+1)-INDEX(Reference!$A$6:$A$11,MIN(5,MATCH(MAX(Reference!$A$6,MIN(Reference!$A$11,MIN($U115,240))),Reference!$A$6:$A$11,1))))),0)+IF(7&lt;=$AL115,($AL115-7+3)*(INDEX(Reference!$B$6:$B$11,MIN(5,MATCH(MAX(Reference!$A$6,MIN(Reference!$A$11,MIN($U115,270))),Reference!$A$6:$A$11,1)))+(MAX(Reference!$A$6,MIN(Reference!$A$11,MIN($U115,270)))-INDEX(Reference!$A$6:$A$11,MIN(5,MATCH(MAX(Reference!$A$6,MIN(Reference!$A$11,MIN($U115,270))),Reference!$A$6:$A$11,1))))*(INDEX(Reference!$B$6:$B$11,MIN(5,MATCH(MAX(Reference!$A$6,MIN(Reference!$A$11,MIN($U115,270))),Reference!$A$6:$A$11,1))+1)-INDEX(Reference!$B$6:$B$11,MIN(5,MATCH(MAX(Reference!$A$6,MIN(Reference!$A$11,MIN($U115,270))),Reference!$A$6:$A$11,1))))/(INDEX(Reference!$A$6:$A$11,MIN(5,MATCH(MAX(Reference!$A$6,MIN(Reference!$A$11,MIN($U115,270))),Reference!$A$6:$A$11,1))+1)-INDEX(Reference!$A$6:$A$11,MIN(5,MATCH(MAX(Reference!$A$6,MIN(Reference!$A$11,MIN($U115,270))),Reference!$A$6:$A$11,1))))),0)+IF(8&lt;=$AL115,($AL115-8+3)*(INDEX(Reference!$B$6:$B$11,MIN(5,MATCH(MAX(Reference!$A$6,MIN(Reference!$A$11,MIN($U115,300))),Reference!$A$6:$A$11,1)))+(MAX(Reference!$A$6,MIN(Reference!$A$11,MIN($U115,300)))-INDEX(Reference!$A$6:$A$11,MIN(5,MATCH(MAX(Reference!$A$6,MIN(Reference!$A$11,MIN($U115,300))),Reference!$A$6:$A$11,1))))*(INDEX(Reference!$B$6:$B$11,MIN(5,MATCH(MAX(Reference!$A$6,MIN(Reference!$A$11,MIN($U115,300))),Reference!$A$6:$A$11,1))+1)-INDEX(Reference!$B$6:$B$11,MIN(5,MATCH(MAX(Reference!$A$6,MIN(Reference!$A$11,MIN($U115,300))),Reference!$A$6:$A$11,1))))/(INDEX(Reference!$A$6:$A$11,MIN(5,MATCH(MAX(Reference!$A$6,MIN(Reference!$A$11,MIN($U115,300))),Reference!$A$6:$A$11,1))+1)-INDEX(Reference!$A$6:$A$11,MIN(5,MATCH(MAX(Reference!$A$6,MIN(Reference!$A$11,MIN($U115,300))),Reference!$A$6:$A$11,1))))),0))/($AL115*($AL115+5)/2)),$AN115))</f>
        <v>0</v>
      </c>
      <c r="AN115" s="32">
        <f>IF($U115="",0,(INDEX(Reference!$B$6:$B$11,MIN(5,MATCH(MAX(Reference!$A$6,MIN(Reference!$A$11,$U115)),Reference!$A$6:$A$11,1)))+(MAX(Reference!$A$6,MIN(Reference!$A$11,$U115))-INDEX(Reference!$A$6:$A$11,MIN(5,MATCH(MAX(Reference!$A$6,MIN(Reference!$A$11,$U115)),Reference!$A$6:$A$11,1))))*(INDEX(Reference!$B$6:$B$11,MIN(5,MATCH(MAX(Reference!$A$6,MIN(Reference!$A$11,$U115)),Reference!$A$6:$A$11,1))+1)-INDEX(Reference!$B$6:$B$11,MIN(5,MATCH(MAX(Reference!$A$6,MIN(Reference!$A$11,$U115)),Reference!$A$6:$A$11,1))))/(INDEX(Reference!$A$6:$A$11,MIN(5,MATCH(MAX(Reference!$A$6,MIN(Reference!$A$11,$U115)),Reference!$A$6:$A$11,1))+1)-INDEX(Reference!$A$6:$A$11,MIN(5,MATCH(MAX(Reference!$A$6,MIN(Reference!$A$11,$U115)),Reference!$A$6:$A$11,1))))))</f>
        <v>0</v>
      </c>
      <c r="AO115" s="37"/>
      <c r="AP115" s="37"/>
      <c r="AQ115" s="37"/>
    </row>
    <row r="116" spans="1:43" x14ac:dyDescent="0.3">
      <c r="A116" s="48">
        <f t="shared" si="55"/>
        <v>46380</v>
      </c>
      <c r="B116" s="32" t="str">
        <f t="shared" si="56"/>
        <v>Thu</v>
      </c>
      <c r="C116" s="32">
        <f t="shared" si="57"/>
        <v>11</v>
      </c>
      <c r="D116" s="32" t="str">
        <f t="shared" si="58"/>
        <v>Flat Ground / Intent</v>
      </c>
      <c r="E116" s="32" t="str">
        <f t="shared" si="59"/>
        <v>High Non-Bullpen</v>
      </c>
      <c r="F116" s="32" t="str">
        <f t="shared" si="60"/>
        <v>Compression/Pulldowns</v>
      </c>
      <c r="G116" s="47" t="str">
        <f t="shared" si="61"/>
        <v>90 ft × 25 @ 82–84 mph + flat ground at 60 ft × 25 @ 82–84 mph</v>
      </c>
      <c r="H116" s="30">
        <f t="shared" si="62"/>
        <v>57.5</v>
      </c>
      <c r="I116" s="46">
        <f>IF($A116="","",IF(AND($L116&lt;27,$K$12=0),"Building",IFERROR(((SUM($H$110:$H116)+$K$12*IF($L116&lt;6,SUMIFS('Throw Log'!$Q$5:$Q$300,'Throw Log'!$B$5:$B$300,$D$4,'Throw Log'!$A$5:$A$300,"&gt;="&amp;($D$6+$L116-6),'Throw Log'!$A$5:$A$300,"&lt;="&amp;($D$6-1)),0))/7)/((SUM($H$89:$H116)+$K$12*IF($L116&lt;27,SUMIFS('Throw Log'!$Q$5:$Q$300,'Throw Log'!$B$5:$B$300,$D$4,'Throw Log'!$A$5:$A$300,"&gt;="&amp;($D$6+$L116-27),'Throw Log'!$A$5:$A$300,"&lt;="&amp;($D$6-1)),0))/28),"")))</f>
        <v>1.1565635744765348</v>
      </c>
      <c r="J116" s="37"/>
      <c r="K116" s="37">
        <v>25</v>
      </c>
      <c r="L116" s="32">
        <v>73</v>
      </c>
      <c r="M116" s="32">
        <f t="shared" si="63"/>
        <v>11</v>
      </c>
      <c r="N116" s="32">
        <f t="shared" si="64"/>
        <v>3</v>
      </c>
      <c r="O116" s="32">
        <f t="shared" si="65"/>
        <v>0.96052631578947367</v>
      </c>
      <c r="P116" s="32">
        <f>IF(OR($A116="",N($C116)&lt;=7),"",$G$6*$G$9^($M116-1)*IF(AND(MOD($M116,Reference!$B$99)=0,$M116&lt;=$G$5-2),Reference!$B$100,1))</f>
        <v>260.00000000000006</v>
      </c>
      <c r="Q116" s="32">
        <f>IF($P116="","",IF(SUM($AK$113:$AK$119)=0,0,$P116*INDEX(Reference!$B$108:$B$114,$N116+1)/SUM($AK$113:$AK$119)))</f>
        <v>58.317757009345804</v>
      </c>
      <c r="R116" s="32">
        <f t="shared" si="66"/>
        <v>180</v>
      </c>
      <c r="S116" s="32">
        <f t="shared" si="67"/>
        <v>150</v>
      </c>
      <c r="T116" s="32" t="str">
        <f>IF($A116="","",IF($C116=0,"Bullpen",IF(OR($C116=7,$C116=1,$C116=5),"Recovery/Easy Catch",IF($C116=6,"Compression/Pulldowns",IF(OR($C116=4,$C116=2),"Long Toss",IF($C116=3,"No Throw",IF($N116=2,"No Throw",IF($N116=6,IF($O116&lt;Reference!$B$104,"No Throw","Recovery/Easy Catch"),IF(OR($N116=0,$N116=4),"Recovery/Easy Catch",IF($N116=1,IF($R116&gt;75,"Long Toss","Recovery/Easy Catch"),IF($N116=3,IF($O116&lt;0.5,IF($S116&gt;75,"Long Toss","Recovery/Easy Catch"),"Compression/Pulldowns"),IF($S116&gt;75,"Long Toss","Recovery/Easy Catch"))))))))))))</f>
        <v>Compression/Pulldowns</v>
      </c>
      <c r="U116" s="32">
        <f t="shared" si="68"/>
        <v>90</v>
      </c>
      <c r="V116" s="32">
        <f t="shared" si="69"/>
        <v>7</v>
      </c>
      <c r="W116" s="32">
        <f t="shared" si="70"/>
        <v>9</v>
      </c>
      <c r="X116" s="32">
        <f t="shared" si="71"/>
        <v>25</v>
      </c>
      <c r="Y116" s="32">
        <f t="shared" si="72"/>
        <v>7</v>
      </c>
      <c r="Z116" s="32">
        <f t="shared" si="73"/>
        <v>9</v>
      </c>
      <c r="AA116" s="32" t="str">
        <f t="shared" si="74"/>
        <v/>
      </c>
      <c r="AB116" s="32">
        <f>IF($A116="","",IF($T116="No Throw",0,IF($K116&lt;&gt;"",$K116,IF($AA116&lt;&gt;"",ROUND($AA116*$D$12*IF($C116=0,1,$G$10),0),MIN(IF($T116="Recovery/Easy Catch",Reference!$B$103,IF($T116="Long Toss",Reference!$B$106,Reference!$B$102)),MAX(Reference!$B$101,ROUND(MAX(0,$Q116-$AE116)/$AF116,0)))))))</f>
        <v>25</v>
      </c>
      <c r="AC116" s="32">
        <f t="shared" si="75"/>
        <v>0</v>
      </c>
      <c r="AD116" s="32" t="b">
        <f t="shared" si="76"/>
        <v>0</v>
      </c>
      <c r="AE116" s="32">
        <f>IF($X116=0,0,$X116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116+$Z116)/2,0),Reference!$A$17:$B$20,2,TRUE()))</f>
        <v>25</v>
      </c>
      <c r="AF116" s="32">
        <f>IF(OR($A116="",$U116="",$T116="No Throw"),0,$AM116*VLOOKUP(MAX(($V116+$W116)/2,0),Reference!$A$17:$B$20,2,TRUE()))</f>
        <v>1.3</v>
      </c>
      <c r="AG116" s="32">
        <f>IF($AC116=0,0,$AC116*INDEX(Reference!$B$61:$B$62,MATCH("Bullpen",Reference!$A$61:$A$62,0))*VLOOKUP(MAX($D$5-($D$9+$E$9)/2,0),Reference!$A$17:$B$20,2,TRUE()))</f>
        <v>0</v>
      </c>
      <c r="AH116" s="46">
        <f t="shared" si="77"/>
        <v>1.1565635744765348</v>
      </c>
      <c r="AI116" s="32">
        <f>IF($A116="",NA(),Reference!$A$25)</f>
        <v>0.8</v>
      </c>
      <c r="AJ116" s="32">
        <f t="shared" si="78"/>
        <v>1.3</v>
      </c>
      <c r="AK116" s="56">
        <f>IF(OR($A116="",N($C116)&lt;=7,$T116="No Throw",$J116="x"),0,INDEX(Reference!$B$108:$B$114,$N116+1))</f>
        <v>0.24</v>
      </c>
      <c r="AL116" s="32">
        <f t="shared" si="79"/>
        <v>1</v>
      </c>
      <c r="AM116" s="32">
        <f>IF($U116="",0,IF($AL116&gt;1,((IF(1&lt;=$AL116,($AL116-1+3)*(INDEX(Reference!$B$6:$B$11,MIN(5,MATCH(MAX(Reference!$A$6,MIN(Reference!$A$11,MIN($U116,90))),Reference!$A$6:$A$11,1)))+(MAX(Reference!$A$6,MIN(Reference!$A$11,MIN($U116,90)))-INDEX(Reference!$A$6:$A$11,MIN(5,MATCH(MAX(Reference!$A$6,MIN(Reference!$A$11,MIN($U116,90))),Reference!$A$6:$A$11,1))))*(INDEX(Reference!$B$6:$B$11,MIN(5,MATCH(MAX(Reference!$A$6,MIN(Reference!$A$11,MIN($U116,90))),Reference!$A$6:$A$11,1))+1)-INDEX(Reference!$B$6:$B$11,MIN(5,MATCH(MAX(Reference!$A$6,MIN(Reference!$A$11,MIN($U116,90))),Reference!$A$6:$A$11,1))))/(INDEX(Reference!$A$6:$A$11,MIN(5,MATCH(MAX(Reference!$A$6,MIN(Reference!$A$11,MIN($U116,90))),Reference!$A$6:$A$11,1))+1)-INDEX(Reference!$A$6:$A$11,MIN(5,MATCH(MAX(Reference!$A$6,MIN(Reference!$A$11,MIN($U116,90))),Reference!$A$6:$A$11,1))))),0)+IF(2&lt;=$AL116,($AL116-2+3)*(INDEX(Reference!$B$6:$B$11,MIN(5,MATCH(MAX(Reference!$A$6,MIN(Reference!$A$11,MIN($U116,120))),Reference!$A$6:$A$11,1)))+(MAX(Reference!$A$6,MIN(Reference!$A$11,MIN($U116,120)))-INDEX(Reference!$A$6:$A$11,MIN(5,MATCH(MAX(Reference!$A$6,MIN(Reference!$A$11,MIN($U116,120))),Reference!$A$6:$A$11,1))))*(INDEX(Reference!$B$6:$B$11,MIN(5,MATCH(MAX(Reference!$A$6,MIN(Reference!$A$11,MIN($U116,120))),Reference!$A$6:$A$11,1))+1)-INDEX(Reference!$B$6:$B$11,MIN(5,MATCH(MAX(Reference!$A$6,MIN(Reference!$A$11,MIN($U116,120))),Reference!$A$6:$A$11,1))))/(INDEX(Reference!$A$6:$A$11,MIN(5,MATCH(MAX(Reference!$A$6,MIN(Reference!$A$11,MIN($U116,120))),Reference!$A$6:$A$11,1))+1)-INDEX(Reference!$A$6:$A$11,MIN(5,MATCH(MAX(Reference!$A$6,MIN(Reference!$A$11,MIN($U116,120))),Reference!$A$6:$A$11,1))))),0)+IF(3&lt;=$AL116,($AL116-3+3)*(INDEX(Reference!$B$6:$B$11,MIN(5,MATCH(MAX(Reference!$A$6,MIN(Reference!$A$11,MIN($U116,150))),Reference!$A$6:$A$11,1)))+(MAX(Reference!$A$6,MIN(Reference!$A$11,MIN($U116,150)))-INDEX(Reference!$A$6:$A$11,MIN(5,MATCH(MAX(Reference!$A$6,MIN(Reference!$A$11,MIN($U116,150))),Reference!$A$6:$A$11,1))))*(INDEX(Reference!$B$6:$B$11,MIN(5,MATCH(MAX(Reference!$A$6,MIN(Reference!$A$11,MIN($U116,150))),Reference!$A$6:$A$11,1))+1)-INDEX(Reference!$B$6:$B$11,MIN(5,MATCH(MAX(Reference!$A$6,MIN(Reference!$A$11,MIN($U116,150))),Reference!$A$6:$A$11,1))))/(INDEX(Reference!$A$6:$A$11,MIN(5,MATCH(MAX(Reference!$A$6,MIN(Reference!$A$11,MIN($U116,150))),Reference!$A$6:$A$11,1))+1)-INDEX(Reference!$A$6:$A$11,MIN(5,MATCH(MAX(Reference!$A$6,MIN(Reference!$A$11,MIN($U116,150))),Reference!$A$6:$A$11,1))))),0)+IF(4&lt;=$AL116,($AL116-4+3)*(INDEX(Reference!$B$6:$B$11,MIN(5,MATCH(MAX(Reference!$A$6,MIN(Reference!$A$11,MIN($U116,180))),Reference!$A$6:$A$11,1)))+(MAX(Reference!$A$6,MIN(Reference!$A$11,MIN($U116,180)))-INDEX(Reference!$A$6:$A$11,MIN(5,MATCH(MAX(Reference!$A$6,MIN(Reference!$A$11,MIN($U116,180))),Reference!$A$6:$A$11,1))))*(INDEX(Reference!$B$6:$B$11,MIN(5,MATCH(MAX(Reference!$A$6,MIN(Reference!$A$11,MIN($U116,180))),Reference!$A$6:$A$11,1))+1)-INDEX(Reference!$B$6:$B$11,MIN(5,MATCH(MAX(Reference!$A$6,MIN(Reference!$A$11,MIN($U116,180))),Reference!$A$6:$A$11,1))))/(INDEX(Reference!$A$6:$A$11,MIN(5,MATCH(MAX(Reference!$A$6,MIN(Reference!$A$11,MIN($U116,180))),Reference!$A$6:$A$11,1))+1)-INDEX(Reference!$A$6:$A$11,MIN(5,MATCH(MAX(Reference!$A$6,MIN(Reference!$A$11,MIN($U116,180))),Reference!$A$6:$A$11,1))))),0)+IF(5&lt;=$AL116,($AL116-5+3)*(INDEX(Reference!$B$6:$B$11,MIN(5,MATCH(MAX(Reference!$A$6,MIN(Reference!$A$11,MIN($U116,210))),Reference!$A$6:$A$11,1)))+(MAX(Reference!$A$6,MIN(Reference!$A$11,MIN($U116,210)))-INDEX(Reference!$A$6:$A$11,MIN(5,MATCH(MAX(Reference!$A$6,MIN(Reference!$A$11,MIN($U116,210))),Reference!$A$6:$A$11,1))))*(INDEX(Reference!$B$6:$B$11,MIN(5,MATCH(MAX(Reference!$A$6,MIN(Reference!$A$11,MIN($U116,210))),Reference!$A$6:$A$11,1))+1)-INDEX(Reference!$B$6:$B$11,MIN(5,MATCH(MAX(Reference!$A$6,MIN(Reference!$A$11,MIN($U116,210))),Reference!$A$6:$A$11,1))))/(INDEX(Reference!$A$6:$A$11,MIN(5,MATCH(MAX(Reference!$A$6,MIN(Reference!$A$11,MIN($U116,210))),Reference!$A$6:$A$11,1))+1)-INDEX(Reference!$A$6:$A$11,MIN(5,MATCH(MAX(Reference!$A$6,MIN(Reference!$A$11,MIN($U116,210))),Reference!$A$6:$A$11,1))))),0)+IF(6&lt;=$AL116,($AL116-6+3)*(INDEX(Reference!$B$6:$B$11,MIN(5,MATCH(MAX(Reference!$A$6,MIN(Reference!$A$11,MIN($U116,240))),Reference!$A$6:$A$11,1)))+(MAX(Reference!$A$6,MIN(Reference!$A$11,MIN($U116,240)))-INDEX(Reference!$A$6:$A$11,MIN(5,MATCH(MAX(Reference!$A$6,MIN(Reference!$A$11,MIN($U116,240))),Reference!$A$6:$A$11,1))))*(INDEX(Reference!$B$6:$B$11,MIN(5,MATCH(MAX(Reference!$A$6,MIN(Reference!$A$11,MIN($U116,240))),Reference!$A$6:$A$11,1))+1)-INDEX(Reference!$B$6:$B$11,MIN(5,MATCH(MAX(Reference!$A$6,MIN(Reference!$A$11,MIN($U116,240))),Reference!$A$6:$A$11,1))))/(INDEX(Reference!$A$6:$A$11,MIN(5,MATCH(MAX(Reference!$A$6,MIN(Reference!$A$11,MIN($U116,240))),Reference!$A$6:$A$11,1))+1)-INDEX(Reference!$A$6:$A$11,MIN(5,MATCH(MAX(Reference!$A$6,MIN(Reference!$A$11,MIN($U116,240))),Reference!$A$6:$A$11,1))))),0)+IF(7&lt;=$AL116,($AL116-7+3)*(INDEX(Reference!$B$6:$B$11,MIN(5,MATCH(MAX(Reference!$A$6,MIN(Reference!$A$11,MIN($U116,270))),Reference!$A$6:$A$11,1)))+(MAX(Reference!$A$6,MIN(Reference!$A$11,MIN($U116,270)))-INDEX(Reference!$A$6:$A$11,MIN(5,MATCH(MAX(Reference!$A$6,MIN(Reference!$A$11,MIN($U116,270))),Reference!$A$6:$A$11,1))))*(INDEX(Reference!$B$6:$B$11,MIN(5,MATCH(MAX(Reference!$A$6,MIN(Reference!$A$11,MIN($U116,270))),Reference!$A$6:$A$11,1))+1)-INDEX(Reference!$B$6:$B$11,MIN(5,MATCH(MAX(Reference!$A$6,MIN(Reference!$A$11,MIN($U116,270))),Reference!$A$6:$A$11,1))))/(INDEX(Reference!$A$6:$A$11,MIN(5,MATCH(MAX(Reference!$A$6,MIN(Reference!$A$11,MIN($U116,270))),Reference!$A$6:$A$11,1))+1)-INDEX(Reference!$A$6:$A$11,MIN(5,MATCH(MAX(Reference!$A$6,MIN(Reference!$A$11,MIN($U116,270))),Reference!$A$6:$A$11,1))))),0)+IF(8&lt;=$AL116,($AL116-8+3)*(INDEX(Reference!$B$6:$B$11,MIN(5,MATCH(MAX(Reference!$A$6,MIN(Reference!$A$11,MIN($U116,300))),Reference!$A$6:$A$11,1)))+(MAX(Reference!$A$6,MIN(Reference!$A$11,MIN($U116,300)))-INDEX(Reference!$A$6:$A$11,MIN(5,MATCH(MAX(Reference!$A$6,MIN(Reference!$A$11,MIN($U116,300))),Reference!$A$6:$A$11,1))))*(INDEX(Reference!$B$6:$B$11,MIN(5,MATCH(MAX(Reference!$A$6,MIN(Reference!$A$11,MIN($U116,300))),Reference!$A$6:$A$11,1))+1)-INDEX(Reference!$B$6:$B$11,MIN(5,MATCH(MAX(Reference!$A$6,MIN(Reference!$A$11,MIN($U116,300))),Reference!$A$6:$A$11,1))))/(INDEX(Reference!$A$6:$A$11,MIN(5,MATCH(MAX(Reference!$A$6,MIN(Reference!$A$11,MIN($U116,300))),Reference!$A$6:$A$11,1))+1)-INDEX(Reference!$A$6:$A$11,MIN(5,MATCH(MAX(Reference!$A$6,MIN(Reference!$A$11,MIN($U116,300))),Reference!$A$6:$A$11,1))))),0))/($AL116*($AL116+5)/2)),$AN116))</f>
        <v>1.3</v>
      </c>
      <c r="AN116" s="32">
        <f>IF($U116="",0,(INDEX(Reference!$B$6:$B$11,MIN(5,MATCH(MAX(Reference!$A$6,MIN(Reference!$A$11,$U116)),Reference!$A$6:$A$11,1)))+(MAX(Reference!$A$6,MIN(Reference!$A$11,$U116))-INDEX(Reference!$A$6:$A$11,MIN(5,MATCH(MAX(Reference!$A$6,MIN(Reference!$A$11,$U116)),Reference!$A$6:$A$11,1))))*(INDEX(Reference!$B$6:$B$11,MIN(5,MATCH(MAX(Reference!$A$6,MIN(Reference!$A$11,$U116)),Reference!$A$6:$A$11,1))+1)-INDEX(Reference!$B$6:$B$11,MIN(5,MATCH(MAX(Reference!$A$6,MIN(Reference!$A$11,$U116)),Reference!$A$6:$A$11,1))))/(INDEX(Reference!$A$6:$A$11,MIN(5,MATCH(MAX(Reference!$A$6,MIN(Reference!$A$11,$U116)),Reference!$A$6:$A$11,1))+1)-INDEX(Reference!$A$6:$A$11,MIN(5,MATCH(MAX(Reference!$A$6,MIN(Reference!$A$11,$U116)),Reference!$A$6:$A$11,1))))))</f>
        <v>1.3</v>
      </c>
      <c r="AO116" s="37"/>
      <c r="AP116" s="37"/>
      <c r="AQ116" s="37"/>
    </row>
    <row r="117" spans="1:43" x14ac:dyDescent="0.3">
      <c r="A117" s="48">
        <f t="shared" si="55"/>
        <v>46381</v>
      </c>
      <c r="B117" s="32" t="str">
        <f t="shared" si="56"/>
        <v>Fri</v>
      </c>
      <c r="C117" s="32">
        <f t="shared" si="57"/>
        <v>10</v>
      </c>
      <c r="D117" s="32" t="str">
        <f t="shared" si="58"/>
        <v>Flat Ground / Intent</v>
      </c>
      <c r="E117" s="32" t="str">
        <f t="shared" si="59"/>
        <v>Low</v>
      </c>
      <c r="F117" s="32" t="str">
        <f t="shared" si="60"/>
        <v>Recovery/Easy Catch</v>
      </c>
      <c r="G117" s="47" t="str">
        <f t="shared" si="61"/>
        <v>75 ft × 30 @ 69–73 mph</v>
      </c>
      <c r="H117" s="30">
        <f t="shared" si="62"/>
        <v>20.7</v>
      </c>
      <c r="I117" s="46">
        <f>IF($A117="","",IF(AND($L117&lt;27,$K$12=0),"Building",IFERROR(((SUM($H$111:$H117)+$K$12*IF($L117&lt;6,SUMIFS('Throw Log'!$Q$5:$Q$300,'Throw Log'!$B$5:$B$300,$D$4,'Throw Log'!$A$5:$A$300,"&gt;="&amp;($D$6+$L117-6),'Throw Log'!$A$5:$A$300,"&lt;="&amp;($D$6-1)),0))/7)/((SUM($H$90:$H117)+$K$12*IF($L117&lt;27,SUMIFS('Throw Log'!$Q$5:$Q$300,'Throw Log'!$B$5:$B$300,$D$4,'Throw Log'!$A$5:$A$300,"&gt;="&amp;($D$6+$L117-27),'Throw Log'!$A$5:$A$300,"&lt;="&amp;($D$6-1)),0))/28),"")))</f>
        <v>1.1483544390605609</v>
      </c>
      <c r="J117" s="37"/>
      <c r="K117" s="37">
        <v>30</v>
      </c>
      <c r="L117" s="32">
        <v>74</v>
      </c>
      <c r="M117" s="32">
        <f t="shared" si="63"/>
        <v>11</v>
      </c>
      <c r="N117" s="32">
        <f t="shared" si="64"/>
        <v>4</v>
      </c>
      <c r="O117" s="32">
        <f t="shared" si="65"/>
        <v>0.97368421052631582</v>
      </c>
      <c r="P117" s="32">
        <f>IF(OR($A117="",N($C117)&lt;=7),"",$G$6*$G$9^($M117-1)*IF(AND(MOD($M117,Reference!$B$99)=0,$M117&lt;=$G$5-2),Reference!$B$100,1))</f>
        <v>260.00000000000006</v>
      </c>
      <c r="Q117" s="32">
        <f>IF($P117="","",IF(SUM($AK$113:$AK$119)=0,0,$P117*INDEX(Reference!$B$108:$B$114,$N117+1)/SUM($AK$113:$AK$119)))</f>
        <v>24.299065420560751</v>
      </c>
      <c r="R117" s="32">
        <f t="shared" si="66"/>
        <v>180</v>
      </c>
      <c r="S117" s="32">
        <f t="shared" si="67"/>
        <v>150</v>
      </c>
      <c r="T117" s="32" t="str">
        <f>IF($A117="","",IF($C117=0,"Bullpen",IF(OR($C117=7,$C117=1,$C117=5),"Recovery/Easy Catch",IF($C117=6,"Compression/Pulldowns",IF(OR($C117=4,$C117=2),"Long Toss",IF($C117=3,"No Throw",IF($N117=2,"No Throw",IF($N117=6,IF($O117&lt;Reference!$B$104,"No Throw","Recovery/Easy Catch"),IF(OR($N117=0,$N117=4),"Recovery/Easy Catch",IF($N117=1,IF($R117&gt;75,"Long Toss","Recovery/Easy Catch"),IF($N117=3,IF($O117&lt;0.5,IF($S117&gt;75,"Long Toss","Recovery/Easy Catch"),"Compression/Pulldowns"),IF($S117&gt;75,"Long Toss","Recovery/Easy Catch"))))))))))))</f>
        <v>Recovery/Easy Catch</v>
      </c>
      <c r="U117" s="32">
        <f t="shared" si="68"/>
        <v>75</v>
      </c>
      <c r="V117" s="32">
        <f t="shared" si="69"/>
        <v>18</v>
      </c>
      <c r="W117" s="32">
        <f t="shared" si="70"/>
        <v>22</v>
      </c>
      <c r="X117" s="32">
        <f t="shared" si="71"/>
        <v>0</v>
      </c>
      <c r="Y117" s="32" t="str">
        <f t="shared" si="72"/>
        <v/>
      </c>
      <c r="Z117" s="32" t="str">
        <f t="shared" si="73"/>
        <v/>
      </c>
      <c r="AA117" s="32" t="str">
        <f t="shared" si="74"/>
        <v/>
      </c>
      <c r="AB117" s="32">
        <f>IF($A117="","",IF($T117="No Throw",0,IF($K117&lt;&gt;"",$K117,IF($AA117&lt;&gt;"",ROUND($AA117*$D$12*IF($C117=0,1,$G$10),0),MIN(IF($T117="Recovery/Easy Catch",Reference!$B$103,IF($T117="Long Toss",Reference!$B$106,Reference!$B$102)),MAX(Reference!$B$101,ROUND(MAX(0,$Q117-$AE117)/$AF117,0)))))))</f>
        <v>30</v>
      </c>
      <c r="AC117" s="32">
        <f t="shared" si="75"/>
        <v>0</v>
      </c>
      <c r="AD117" s="32" t="b">
        <f t="shared" si="76"/>
        <v>0</v>
      </c>
      <c r="AE117" s="32">
        <f>IF($X117=0,0,$X117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117+$Z117)/2,0),Reference!$A$17:$B$20,2,TRUE()))</f>
        <v>0</v>
      </c>
      <c r="AF117" s="32">
        <f>IF(OR($A117="",$U117="",$T117="No Throw"),0,$AM117*VLOOKUP(MAX(($V117+$W117)/2,0),Reference!$A$17:$B$20,2,TRUE()))</f>
        <v>0.69</v>
      </c>
      <c r="AG117" s="32">
        <f>IF($AC117=0,0,$AC117*INDEX(Reference!$B$61:$B$62,MATCH("Bullpen",Reference!$A$61:$A$62,0))*VLOOKUP(MAX($D$5-($D$9+$E$9)/2,0),Reference!$A$17:$B$20,2,TRUE()))</f>
        <v>0</v>
      </c>
      <c r="AH117" s="46">
        <f t="shared" si="77"/>
        <v>1.1483544390605609</v>
      </c>
      <c r="AI117" s="32">
        <f>IF($A117="",NA(),Reference!$A$25)</f>
        <v>0.8</v>
      </c>
      <c r="AJ117" s="32">
        <f t="shared" si="78"/>
        <v>1.3</v>
      </c>
      <c r="AK117" s="56">
        <f>IF(OR($A117="",N($C117)&lt;=7,$T117="No Throw",$J117="x"),0,INDEX(Reference!$B$108:$B$114,$N117+1))</f>
        <v>0.1</v>
      </c>
      <c r="AL117" s="32">
        <f t="shared" si="79"/>
        <v>1</v>
      </c>
      <c r="AM117" s="32">
        <f>IF($U117="",0,IF($AL117&gt;1,((IF(1&lt;=$AL117,($AL117-1+3)*(INDEX(Reference!$B$6:$B$11,MIN(5,MATCH(MAX(Reference!$A$6,MIN(Reference!$A$11,MIN($U117,90))),Reference!$A$6:$A$11,1)))+(MAX(Reference!$A$6,MIN(Reference!$A$11,MIN($U117,90)))-INDEX(Reference!$A$6:$A$11,MIN(5,MATCH(MAX(Reference!$A$6,MIN(Reference!$A$11,MIN($U117,90))),Reference!$A$6:$A$11,1))))*(INDEX(Reference!$B$6:$B$11,MIN(5,MATCH(MAX(Reference!$A$6,MIN(Reference!$A$11,MIN($U117,90))),Reference!$A$6:$A$11,1))+1)-INDEX(Reference!$B$6:$B$11,MIN(5,MATCH(MAX(Reference!$A$6,MIN(Reference!$A$11,MIN($U117,90))),Reference!$A$6:$A$11,1))))/(INDEX(Reference!$A$6:$A$11,MIN(5,MATCH(MAX(Reference!$A$6,MIN(Reference!$A$11,MIN($U117,90))),Reference!$A$6:$A$11,1))+1)-INDEX(Reference!$A$6:$A$11,MIN(5,MATCH(MAX(Reference!$A$6,MIN(Reference!$A$11,MIN($U117,90))),Reference!$A$6:$A$11,1))))),0)+IF(2&lt;=$AL117,($AL117-2+3)*(INDEX(Reference!$B$6:$B$11,MIN(5,MATCH(MAX(Reference!$A$6,MIN(Reference!$A$11,MIN($U117,120))),Reference!$A$6:$A$11,1)))+(MAX(Reference!$A$6,MIN(Reference!$A$11,MIN($U117,120)))-INDEX(Reference!$A$6:$A$11,MIN(5,MATCH(MAX(Reference!$A$6,MIN(Reference!$A$11,MIN($U117,120))),Reference!$A$6:$A$11,1))))*(INDEX(Reference!$B$6:$B$11,MIN(5,MATCH(MAX(Reference!$A$6,MIN(Reference!$A$11,MIN($U117,120))),Reference!$A$6:$A$11,1))+1)-INDEX(Reference!$B$6:$B$11,MIN(5,MATCH(MAX(Reference!$A$6,MIN(Reference!$A$11,MIN($U117,120))),Reference!$A$6:$A$11,1))))/(INDEX(Reference!$A$6:$A$11,MIN(5,MATCH(MAX(Reference!$A$6,MIN(Reference!$A$11,MIN($U117,120))),Reference!$A$6:$A$11,1))+1)-INDEX(Reference!$A$6:$A$11,MIN(5,MATCH(MAX(Reference!$A$6,MIN(Reference!$A$11,MIN($U117,120))),Reference!$A$6:$A$11,1))))),0)+IF(3&lt;=$AL117,($AL117-3+3)*(INDEX(Reference!$B$6:$B$11,MIN(5,MATCH(MAX(Reference!$A$6,MIN(Reference!$A$11,MIN($U117,150))),Reference!$A$6:$A$11,1)))+(MAX(Reference!$A$6,MIN(Reference!$A$11,MIN($U117,150)))-INDEX(Reference!$A$6:$A$11,MIN(5,MATCH(MAX(Reference!$A$6,MIN(Reference!$A$11,MIN($U117,150))),Reference!$A$6:$A$11,1))))*(INDEX(Reference!$B$6:$B$11,MIN(5,MATCH(MAX(Reference!$A$6,MIN(Reference!$A$11,MIN($U117,150))),Reference!$A$6:$A$11,1))+1)-INDEX(Reference!$B$6:$B$11,MIN(5,MATCH(MAX(Reference!$A$6,MIN(Reference!$A$11,MIN($U117,150))),Reference!$A$6:$A$11,1))))/(INDEX(Reference!$A$6:$A$11,MIN(5,MATCH(MAX(Reference!$A$6,MIN(Reference!$A$11,MIN($U117,150))),Reference!$A$6:$A$11,1))+1)-INDEX(Reference!$A$6:$A$11,MIN(5,MATCH(MAX(Reference!$A$6,MIN(Reference!$A$11,MIN($U117,150))),Reference!$A$6:$A$11,1))))),0)+IF(4&lt;=$AL117,($AL117-4+3)*(INDEX(Reference!$B$6:$B$11,MIN(5,MATCH(MAX(Reference!$A$6,MIN(Reference!$A$11,MIN($U117,180))),Reference!$A$6:$A$11,1)))+(MAX(Reference!$A$6,MIN(Reference!$A$11,MIN($U117,180)))-INDEX(Reference!$A$6:$A$11,MIN(5,MATCH(MAX(Reference!$A$6,MIN(Reference!$A$11,MIN($U117,180))),Reference!$A$6:$A$11,1))))*(INDEX(Reference!$B$6:$B$11,MIN(5,MATCH(MAX(Reference!$A$6,MIN(Reference!$A$11,MIN($U117,180))),Reference!$A$6:$A$11,1))+1)-INDEX(Reference!$B$6:$B$11,MIN(5,MATCH(MAX(Reference!$A$6,MIN(Reference!$A$11,MIN($U117,180))),Reference!$A$6:$A$11,1))))/(INDEX(Reference!$A$6:$A$11,MIN(5,MATCH(MAX(Reference!$A$6,MIN(Reference!$A$11,MIN($U117,180))),Reference!$A$6:$A$11,1))+1)-INDEX(Reference!$A$6:$A$11,MIN(5,MATCH(MAX(Reference!$A$6,MIN(Reference!$A$11,MIN($U117,180))),Reference!$A$6:$A$11,1))))),0)+IF(5&lt;=$AL117,($AL117-5+3)*(INDEX(Reference!$B$6:$B$11,MIN(5,MATCH(MAX(Reference!$A$6,MIN(Reference!$A$11,MIN($U117,210))),Reference!$A$6:$A$11,1)))+(MAX(Reference!$A$6,MIN(Reference!$A$11,MIN($U117,210)))-INDEX(Reference!$A$6:$A$11,MIN(5,MATCH(MAX(Reference!$A$6,MIN(Reference!$A$11,MIN($U117,210))),Reference!$A$6:$A$11,1))))*(INDEX(Reference!$B$6:$B$11,MIN(5,MATCH(MAX(Reference!$A$6,MIN(Reference!$A$11,MIN($U117,210))),Reference!$A$6:$A$11,1))+1)-INDEX(Reference!$B$6:$B$11,MIN(5,MATCH(MAX(Reference!$A$6,MIN(Reference!$A$11,MIN($U117,210))),Reference!$A$6:$A$11,1))))/(INDEX(Reference!$A$6:$A$11,MIN(5,MATCH(MAX(Reference!$A$6,MIN(Reference!$A$11,MIN($U117,210))),Reference!$A$6:$A$11,1))+1)-INDEX(Reference!$A$6:$A$11,MIN(5,MATCH(MAX(Reference!$A$6,MIN(Reference!$A$11,MIN($U117,210))),Reference!$A$6:$A$11,1))))),0)+IF(6&lt;=$AL117,($AL117-6+3)*(INDEX(Reference!$B$6:$B$11,MIN(5,MATCH(MAX(Reference!$A$6,MIN(Reference!$A$11,MIN($U117,240))),Reference!$A$6:$A$11,1)))+(MAX(Reference!$A$6,MIN(Reference!$A$11,MIN($U117,240)))-INDEX(Reference!$A$6:$A$11,MIN(5,MATCH(MAX(Reference!$A$6,MIN(Reference!$A$11,MIN($U117,240))),Reference!$A$6:$A$11,1))))*(INDEX(Reference!$B$6:$B$11,MIN(5,MATCH(MAX(Reference!$A$6,MIN(Reference!$A$11,MIN($U117,240))),Reference!$A$6:$A$11,1))+1)-INDEX(Reference!$B$6:$B$11,MIN(5,MATCH(MAX(Reference!$A$6,MIN(Reference!$A$11,MIN($U117,240))),Reference!$A$6:$A$11,1))))/(INDEX(Reference!$A$6:$A$11,MIN(5,MATCH(MAX(Reference!$A$6,MIN(Reference!$A$11,MIN($U117,240))),Reference!$A$6:$A$11,1))+1)-INDEX(Reference!$A$6:$A$11,MIN(5,MATCH(MAX(Reference!$A$6,MIN(Reference!$A$11,MIN($U117,240))),Reference!$A$6:$A$11,1))))),0)+IF(7&lt;=$AL117,($AL117-7+3)*(INDEX(Reference!$B$6:$B$11,MIN(5,MATCH(MAX(Reference!$A$6,MIN(Reference!$A$11,MIN($U117,270))),Reference!$A$6:$A$11,1)))+(MAX(Reference!$A$6,MIN(Reference!$A$11,MIN($U117,270)))-INDEX(Reference!$A$6:$A$11,MIN(5,MATCH(MAX(Reference!$A$6,MIN(Reference!$A$11,MIN($U117,270))),Reference!$A$6:$A$11,1))))*(INDEX(Reference!$B$6:$B$11,MIN(5,MATCH(MAX(Reference!$A$6,MIN(Reference!$A$11,MIN($U117,270))),Reference!$A$6:$A$11,1))+1)-INDEX(Reference!$B$6:$B$11,MIN(5,MATCH(MAX(Reference!$A$6,MIN(Reference!$A$11,MIN($U117,270))),Reference!$A$6:$A$11,1))))/(INDEX(Reference!$A$6:$A$11,MIN(5,MATCH(MAX(Reference!$A$6,MIN(Reference!$A$11,MIN($U117,270))),Reference!$A$6:$A$11,1))+1)-INDEX(Reference!$A$6:$A$11,MIN(5,MATCH(MAX(Reference!$A$6,MIN(Reference!$A$11,MIN($U117,270))),Reference!$A$6:$A$11,1))))),0)+IF(8&lt;=$AL117,($AL117-8+3)*(INDEX(Reference!$B$6:$B$11,MIN(5,MATCH(MAX(Reference!$A$6,MIN(Reference!$A$11,MIN($U117,300))),Reference!$A$6:$A$11,1)))+(MAX(Reference!$A$6,MIN(Reference!$A$11,MIN($U117,300)))-INDEX(Reference!$A$6:$A$11,MIN(5,MATCH(MAX(Reference!$A$6,MIN(Reference!$A$11,MIN($U117,300))),Reference!$A$6:$A$11,1))))*(INDEX(Reference!$B$6:$B$11,MIN(5,MATCH(MAX(Reference!$A$6,MIN(Reference!$A$11,MIN($U117,300))),Reference!$A$6:$A$11,1))+1)-INDEX(Reference!$B$6:$B$11,MIN(5,MATCH(MAX(Reference!$A$6,MIN(Reference!$A$11,MIN($U117,300))),Reference!$A$6:$A$11,1))))/(INDEX(Reference!$A$6:$A$11,MIN(5,MATCH(MAX(Reference!$A$6,MIN(Reference!$A$11,MIN($U117,300))),Reference!$A$6:$A$11,1))+1)-INDEX(Reference!$A$6:$A$11,MIN(5,MATCH(MAX(Reference!$A$6,MIN(Reference!$A$11,MIN($U117,300))),Reference!$A$6:$A$11,1))))),0))/($AL117*($AL117+5)/2)),$AN117))</f>
        <v>1.1499999999999999</v>
      </c>
      <c r="AN117" s="32">
        <f>IF($U117="",0,(INDEX(Reference!$B$6:$B$11,MIN(5,MATCH(MAX(Reference!$A$6,MIN(Reference!$A$11,$U117)),Reference!$A$6:$A$11,1)))+(MAX(Reference!$A$6,MIN(Reference!$A$11,$U117))-INDEX(Reference!$A$6:$A$11,MIN(5,MATCH(MAX(Reference!$A$6,MIN(Reference!$A$11,$U117)),Reference!$A$6:$A$11,1))))*(INDEX(Reference!$B$6:$B$11,MIN(5,MATCH(MAX(Reference!$A$6,MIN(Reference!$A$11,$U117)),Reference!$A$6:$A$11,1))+1)-INDEX(Reference!$B$6:$B$11,MIN(5,MATCH(MAX(Reference!$A$6,MIN(Reference!$A$11,$U117)),Reference!$A$6:$A$11,1))))/(INDEX(Reference!$A$6:$A$11,MIN(5,MATCH(MAX(Reference!$A$6,MIN(Reference!$A$11,$U117)),Reference!$A$6:$A$11,1))+1)-INDEX(Reference!$A$6:$A$11,MIN(5,MATCH(MAX(Reference!$A$6,MIN(Reference!$A$11,$U117)),Reference!$A$6:$A$11,1))))))</f>
        <v>1.1499999999999999</v>
      </c>
      <c r="AO117" s="37"/>
      <c r="AP117" s="37"/>
      <c r="AQ117" s="37"/>
    </row>
    <row r="118" spans="1:43" ht="26.4" x14ac:dyDescent="0.3">
      <c r="A118" s="48">
        <f t="shared" si="55"/>
        <v>46382</v>
      </c>
      <c r="B118" s="32" t="str">
        <f t="shared" si="56"/>
        <v>Sat</v>
      </c>
      <c r="C118" s="32">
        <f t="shared" si="57"/>
        <v>9</v>
      </c>
      <c r="D118" s="32" t="str">
        <f t="shared" si="58"/>
        <v>Flat Ground / Intent</v>
      </c>
      <c r="E118" s="32" t="str">
        <f t="shared" si="59"/>
        <v>High Non-Bullpen</v>
      </c>
      <c r="F118" s="32" t="str">
        <f t="shared" si="60"/>
        <v>Long Toss</v>
      </c>
      <c r="G118" s="47" t="str">
        <f t="shared" si="61"/>
        <v>Long toss out to 150 ft — 30 throws (90×13 · 120×10 · 150×7) @ 78–81 mph + flat ground at 60 ft × 25 @ 82–84 mph</v>
      </c>
      <c r="H118" s="30">
        <f t="shared" si="62"/>
        <v>54.85</v>
      </c>
      <c r="I118" s="46">
        <f>IF($A118="","",IF(AND($L118&lt;27,$K$12=0),"Building",IFERROR(((SUM($H$112:$H118)+$K$12*IF($L118&lt;6,SUMIFS('Throw Log'!$Q$5:$Q$300,'Throw Log'!$B$5:$B$300,$D$4,'Throw Log'!$A$5:$A$300,"&gt;="&amp;($D$6+$L118-6),'Throw Log'!$A$5:$A$300,"&lt;="&amp;($D$6-1)),0))/7)/((SUM($H$91:$H118)+$K$12*IF($L118&lt;27,SUMIFS('Throw Log'!$Q$5:$Q$300,'Throw Log'!$B$5:$B$300,$D$4,'Throw Log'!$A$5:$A$300,"&gt;="&amp;($D$6+$L118-27),'Throw Log'!$A$5:$A$300,"&lt;="&amp;($D$6-1)),0))/28),"")))</f>
        <v>1.1007653804832138</v>
      </c>
      <c r="J118" s="37"/>
      <c r="K118" s="37">
        <v>30</v>
      </c>
      <c r="L118" s="32">
        <v>75</v>
      </c>
      <c r="M118" s="32">
        <f t="shared" si="63"/>
        <v>11</v>
      </c>
      <c r="N118" s="32">
        <f t="shared" si="64"/>
        <v>5</v>
      </c>
      <c r="O118" s="32">
        <f t="shared" si="65"/>
        <v>0.98684210526315785</v>
      </c>
      <c r="P118" s="32">
        <f>IF(OR($A118="",N($C118)&lt;=7),"",$G$6*$G$9^($M118-1)*IF(AND(MOD($M118,Reference!$B$99)=0,$M118&lt;=$G$5-2),Reference!$B$100,1))</f>
        <v>260.00000000000006</v>
      </c>
      <c r="Q118" s="32">
        <f>IF($P118="","",IF(SUM($AK$113:$AK$119)=0,0,$P118*INDEX(Reference!$B$108:$B$114,$N118+1)/SUM($AK$113:$AK$119)))</f>
        <v>65.607476635514033</v>
      </c>
      <c r="R118" s="32">
        <f t="shared" si="66"/>
        <v>180</v>
      </c>
      <c r="S118" s="32">
        <f t="shared" si="67"/>
        <v>150</v>
      </c>
      <c r="T118" s="32" t="str">
        <f>IF($A118="","",IF($C118=0,"Bullpen",IF(OR($C118=7,$C118=1,$C118=5),"Recovery/Easy Catch",IF($C118=6,"Compression/Pulldowns",IF(OR($C118=4,$C118=2),"Long Toss",IF($C118=3,"No Throw",IF($N118=2,"No Throw",IF($N118=6,IF($O118&lt;Reference!$B$104,"No Throw","Recovery/Easy Catch"),IF(OR($N118=0,$N118=4),"Recovery/Easy Catch",IF($N118=1,IF($R118&gt;75,"Long Toss","Recovery/Easy Catch"),IF($N118=3,IF($O118&lt;0.5,IF($S118&gt;75,"Long Toss","Recovery/Easy Catch"),"Compression/Pulldowns"),IF($S118&gt;75,"Long Toss","Recovery/Easy Catch"))))))))))))</f>
        <v>Long Toss</v>
      </c>
      <c r="U118" s="32">
        <f t="shared" si="68"/>
        <v>150</v>
      </c>
      <c r="V118" s="32">
        <f t="shared" si="69"/>
        <v>10</v>
      </c>
      <c r="W118" s="32">
        <f t="shared" si="70"/>
        <v>13</v>
      </c>
      <c r="X118" s="32">
        <f t="shared" si="71"/>
        <v>25</v>
      </c>
      <c r="Y118" s="32">
        <f t="shared" si="72"/>
        <v>7</v>
      </c>
      <c r="Z118" s="32">
        <f t="shared" si="73"/>
        <v>9</v>
      </c>
      <c r="AA118" s="32" t="str">
        <f t="shared" si="74"/>
        <v/>
      </c>
      <c r="AB118" s="32">
        <f>IF($A118="","",IF($T118="No Throw",0,IF($K118&lt;&gt;"",$K118,IF($AA118&lt;&gt;"",ROUND($AA118*$D$12*IF($C118=0,1,$G$10),0),MIN(IF($T118="Recovery/Easy Catch",Reference!$B$103,IF($T118="Long Toss",Reference!$B$106,Reference!$B$102)),MAX(Reference!$B$101,ROUND(MAX(0,$Q118-$AE118)/$AF118,0)))))))</f>
        <v>30</v>
      </c>
      <c r="AC118" s="32">
        <f t="shared" si="75"/>
        <v>0</v>
      </c>
      <c r="AD118" s="32" t="b">
        <f t="shared" si="76"/>
        <v>0</v>
      </c>
      <c r="AE118" s="32">
        <f>IF($X118=0,0,$X118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118+$Z118)/2,0),Reference!$A$17:$B$20,2,TRUE()))</f>
        <v>25</v>
      </c>
      <c r="AF118" s="32">
        <f>IF(OR($A118="",$U118="",$T118="No Throw"),0,$AM118*VLOOKUP(MAX(($V118+$W118)/2,0),Reference!$A$17:$B$20,2,TRUE()))</f>
        <v>0.995</v>
      </c>
      <c r="AG118" s="32">
        <f>IF($AC118=0,0,$AC118*INDEX(Reference!$B$61:$B$62,MATCH("Bullpen",Reference!$A$61:$A$62,0))*VLOOKUP(MAX($D$5-($D$9+$E$9)/2,0),Reference!$A$17:$B$20,2,TRUE()))</f>
        <v>0</v>
      </c>
      <c r="AH118" s="46">
        <f t="shared" si="77"/>
        <v>1.1007653804832138</v>
      </c>
      <c r="AI118" s="32">
        <f>IF($A118="",NA(),Reference!$A$25)</f>
        <v>0.8</v>
      </c>
      <c r="AJ118" s="32">
        <f t="shared" si="78"/>
        <v>1.3</v>
      </c>
      <c r="AK118" s="56">
        <f>IF(OR($A118="",N($C118)&lt;=7,$T118="No Throw",$J118="x"),0,INDEX(Reference!$B$108:$B$114,$N118+1))</f>
        <v>0.27</v>
      </c>
      <c r="AL118" s="32">
        <f t="shared" si="79"/>
        <v>3</v>
      </c>
      <c r="AM118" s="32">
        <f>IF($U118="",0,IF($AL118&gt;1,((IF(1&lt;=$AL118,($AL118-1+3)*(INDEX(Reference!$B$6:$B$11,MIN(5,MATCH(MAX(Reference!$A$6,MIN(Reference!$A$11,MIN($U118,90))),Reference!$A$6:$A$11,1)))+(MAX(Reference!$A$6,MIN(Reference!$A$11,MIN($U118,90)))-INDEX(Reference!$A$6:$A$11,MIN(5,MATCH(MAX(Reference!$A$6,MIN(Reference!$A$11,MIN($U118,90))),Reference!$A$6:$A$11,1))))*(INDEX(Reference!$B$6:$B$11,MIN(5,MATCH(MAX(Reference!$A$6,MIN(Reference!$A$11,MIN($U118,90))),Reference!$A$6:$A$11,1))+1)-INDEX(Reference!$B$6:$B$11,MIN(5,MATCH(MAX(Reference!$A$6,MIN(Reference!$A$11,MIN($U118,90))),Reference!$A$6:$A$11,1))))/(INDEX(Reference!$A$6:$A$11,MIN(5,MATCH(MAX(Reference!$A$6,MIN(Reference!$A$11,MIN($U118,90))),Reference!$A$6:$A$11,1))+1)-INDEX(Reference!$A$6:$A$11,MIN(5,MATCH(MAX(Reference!$A$6,MIN(Reference!$A$11,MIN($U118,90))),Reference!$A$6:$A$11,1))))),0)+IF(2&lt;=$AL118,($AL118-2+3)*(INDEX(Reference!$B$6:$B$11,MIN(5,MATCH(MAX(Reference!$A$6,MIN(Reference!$A$11,MIN($U118,120))),Reference!$A$6:$A$11,1)))+(MAX(Reference!$A$6,MIN(Reference!$A$11,MIN($U118,120)))-INDEX(Reference!$A$6:$A$11,MIN(5,MATCH(MAX(Reference!$A$6,MIN(Reference!$A$11,MIN($U118,120))),Reference!$A$6:$A$11,1))))*(INDEX(Reference!$B$6:$B$11,MIN(5,MATCH(MAX(Reference!$A$6,MIN(Reference!$A$11,MIN($U118,120))),Reference!$A$6:$A$11,1))+1)-INDEX(Reference!$B$6:$B$11,MIN(5,MATCH(MAX(Reference!$A$6,MIN(Reference!$A$11,MIN($U118,120))),Reference!$A$6:$A$11,1))))/(INDEX(Reference!$A$6:$A$11,MIN(5,MATCH(MAX(Reference!$A$6,MIN(Reference!$A$11,MIN($U118,120))),Reference!$A$6:$A$11,1))+1)-INDEX(Reference!$A$6:$A$11,MIN(5,MATCH(MAX(Reference!$A$6,MIN(Reference!$A$11,MIN($U118,120))),Reference!$A$6:$A$11,1))))),0)+IF(3&lt;=$AL118,($AL118-3+3)*(INDEX(Reference!$B$6:$B$11,MIN(5,MATCH(MAX(Reference!$A$6,MIN(Reference!$A$11,MIN($U118,150))),Reference!$A$6:$A$11,1)))+(MAX(Reference!$A$6,MIN(Reference!$A$11,MIN($U118,150)))-INDEX(Reference!$A$6:$A$11,MIN(5,MATCH(MAX(Reference!$A$6,MIN(Reference!$A$11,MIN($U118,150))),Reference!$A$6:$A$11,1))))*(INDEX(Reference!$B$6:$B$11,MIN(5,MATCH(MAX(Reference!$A$6,MIN(Reference!$A$11,MIN($U118,150))),Reference!$A$6:$A$11,1))+1)-INDEX(Reference!$B$6:$B$11,MIN(5,MATCH(MAX(Reference!$A$6,MIN(Reference!$A$11,MIN($U118,150))),Reference!$A$6:$A$11,1))))/(INDEX(Reference!$A$6:$A$11,MIN(5,MATCH(MAX(Reference!$A$6,MIN(Reference!$A$11,MIN($U118,150))),Reference!$A$6:$A$11,1))+1)-INDEX(Reference!$A$6:$A$11,MIN(5,MATCH(MAX(Reference!$A$6,MIN(Reference!$A$11,MIN($U118,150))),Reference!$A$6:$A$11,1))))),0)+IF(4&lt;=$AL118,($AL118-4+3)*(INDEX(Reference!$B$6:$B$11,MIN(5,MATCH(MAX(Reference!$A$6,MIN(Reference!$A$11,MIN($U118,180))),Reference!$A$6:$A$11,1)))+(MAX(Reference!$A$6,MIN(Reference!$A$11,MIN($U118,180)))-INDEX(Reference!$A$6:$A$11,MIN(5,MATCH(MAX(Reference!$A$6,MIN(Reference!$A$11,MIN($U118,180))),Reference!$A$6:$A$11,1))))*(INDEX(Reference!$B$6:$B$11,MIN(5,MATCH(MAX(Reference!$A$6,MIN(Reference!$A$11,MIN($U118,180))),Reference!$A$6:$A$11,1))+1)-INDEX(Reference!$B$6:$B$11,MIN(5,MATCH(MAX(Reference!$A$6,MIN(Reference!$A$11,MIN($U118,180))),Reference!$A$6:$A$11,1))))/(INDEX(Reference!$A$6:$A$11,MIN(5,MATCH(MAX(Reference!$A$6,MIN(Reference!$A$11,MIN($U118,180))),Reference!$A$6:$A$11,1))+1)-INDEX(Reference!$A$6:$A$11,MIN(5,MATCH(MAX(Reference!$A$6,MIN(Reference!$A$11,MIN($U118,180))),Reference!$A$6:$A$11,1))))),0)+IF(5&lt;=$AL118,($AL118-5+3)*(INDEX(Reference!$B$6:$B$11,MIN(5,MATCH(MAX(Reference!$A$6,MIN(Reference!$A$11,MIN($U118,210))),Reference!$A$6:$A$11,1)))+(MAX(Reference!$A$6,MIN(Reference!$A$11,MIN($U118,210)))-INDEX(Reference!$A$6:$A$11,MIN(5,MATCH(MAX(Reference!$A$6,MIN(Reference!$A$11,MIN($U118,210))),Reference!$A$6:$A$11,1))))*(INDEX(Reference!$B$6:$B$11,MIN(5,MATCH(MAX(Reference!$A$6,MIN(Reference!$A$11,MIN($U118,210))),Reference!$A$6:$A$11,1))+1)-INDEX(Reference!$B$6:$B$11,MIN(5,MATCH(MAX(Reference!$A$6,MIN(Reference!$A$11,MIN($U118,210))),Reference!$A$6:$A$11,1))))/(INDEX(Reference!$A$6:$A$11,MIN(5,MATCH(MAX(Reference!$A$6,MIN(Reference!$A$11,MIN($U118,210))),Reference!$A$6:$A$11,1))+1)-INDEX(Reference!$A$6:$A$11,MIN(5,MATCH(MAX(Reference!$A$6,MIN(Reference!$A$11,MIN($U118,210))),Reference!$A$6:$A$11,1))))),0)+IF(6&lt;=$AL118,($AL118-6+3)*(INDEX(Reference!$B$6:$B$11,MIN(5,MATCH(MAX(Reference!$A$6,MIN(Reference!$A$11,MIN($U118,240))),Reference!$A$6:$A$11,1)))+(MAX(Reference!$A$6,MIN(Reference!$A$11,MIN($U118,240)))-INDEX(Reference!$A$6:$A$11,MIN(5,MATCH(MAX(Reference!$A$6,MIN(Reference!$A$11,MIN($U118,240))),Reference!$A$6:$A$11,1))))*(INDEX(Reference!$B$6:$B$11,MIN(5,MATCH(MAX(Reference!$A$6,MIN(Reference!$A$11,MIN($U118,240))),Reference!$A$6:$A$11,1))+1)-INDEX(Reference!$B$6:$B$11,MIN(5,MATCH(MAX(Reference!$A$6,MIN(Reference!$A$11,MIN($U118,240))),Reference!$A$6:$A$11,1))))/(INDEX(Reference!$A$6:$A$11,MIN(5,MATCH(MAX(Reference!$A$6,MIN(Reference!$A$11,MIN($U118,240))),Reference!$A$6:$A$11,1))+1)-INDEX(Reference!$A$6:$A$11,MIN(5,MATCH(MAX(Reference!$A$6,MIN(Reference!$A$11,MIN($U118,240))),Reference!$A$6:$A$11,1))))),0)+IF(7&lt;=$AL118,($AL118-7+3)*(INDEX(Reference!$B$6:$B$11,MIN(5,MATCH(MAX(Reference!$A$6,MIN(Reference!$A$11,MIN($U118,270))),Reference!$A$6:$A$11,1)))+(MAX(Reference!$A$6,MIN(Reference!$A$11,MIN($U118,270)))-INDEX(Reference!$A$6:$A$11,MIN(5,MATCH(MAX(Reference!$A$6,MIN(Reference!$A$11,MIN($U118,270))),Reference!$A$6:$A$11,1))))*(INDEX(Reference!$B$6:$B$11,MIN(5,MATCH(MAX(Reference!$A$6,MIN(Reference!$A$11,MIN($U118,270))),Reference!$A$6:$A$11,1))+1)-INDEX(Reference!$B$6:$B$11,MIN(5,MATCH(MAX(Reference!$A$6,MIN(Reference!$A$11,MIN($U118,270))),Reference!$A$6:$A$11,1))))/(INDEX(Reference!$A$6:$A$11,MIN(5,MATCH(MAX(Reference!$A$6,MIN(Reference!$A$11,MIN($U118,270))),Reference!$A$6:$A$11,1))+1)-INDEX(Reference!$A$6:$A$11,MIN(5,MATCH(MAX(Reference!$A$6,MIN(Reference!$A$11,MIN($U118,270))),Reference!$A$6:$A$11,1))))),0)+IF(8&lt;=$AL118,($AL118-8+3)*(INDEX(Reference!$B$6:$B$11,MIN(5,MATCH(MAX(Reference!$A$6,MIN(Reference!$A$11,MIN($U118,300))),Reference!$A$6:$A$11,1)))+(MAX(Reference!$A$6,MIN(Reference!$A$11,MIN($U118,300)))-INDEX(Reference!$A$6:$A$11,MIN(5,MATCH(MAX(Reference!$A$6,MIN(Reference!$A$11,MIN($U118,300))),Reference!$A$6:$A$11,1))))*(INDEX(Reference!$B$6:$B$11,MIN(5,MATCH(MAX(Reference!$A$6,MIN(Reference!$A$11,MIN($U118,300))),Reference!$A$6:$A$11,1))+1)-INDEX(Reference!$B$6:$B$11,MIN(5,MATCH(MAX(Reference!$A$6,MIN(Reference!$A$11,MIN($U118,300))),Reference!$A$6:$A$11,1))))/(INDEX(Reference!$A$6:$A$11,MIN(5,MATCH(MAX(Reference!$A$6,MIN(Reference!$A$11,MIN($U118,300))),Reference!$A$6:$A$11,1))+1)-INDEX(Reference!$A$6:$A$11,MIN(5,MATCH(MAX(Reference!$A$6,MIN(Reference!$A$11,MIN($U118,300))),Reference!$A$6:$A$11,1))))),0))/($AL118*($AL118+5)/2)),$AN118))</f>
        <v>1.6583333333333334</v>
      </c>
      <c r="AN118" s="32">
        <f>IF($U118="",0,(INDEX(Reference!$B$6:$B$11,MIN(5,MATCH(MAX(Reference!$A$6,MIN(Reference!$A$11,$U118)),Reference!$A$6:$A$11,1)))+(MAX(Reference!$A$6,MIN(Reference!$A$11,$U118))-INDEX(Reference!$A$6:$A$11,MIN(5,MATCH(MAX(Reference!$A$6,MIN(Reference!$A$11,$U118)),Reference!$A$6:$A$11,1))))*(INDEX(Reference!$B$6:$B$11,MIN(5,MATCH(MAX(Reference!$A$6,MIN(Reference!$A$11,$U118)),Reference!$A$6:$A$11,1))+1)-INDEX(Reference!$B$6:$B$11,MIN(5,MATCH(MAX(Reference!$A$6,MIN(Reference!$A$11,$U118)),Reference!$A$6:$A$11,1))))/(INDEX(Reference!$A$6:$A$11,MIN(5,MATCH(MAX(Reference!$A$6,MIN(Reference!$A$11,$U118)),Reference!$A$6:$A$11,1))+1)-INDEX(Reference!$A$6:$A$11,MIN(5,MATCH(MAX(Reference!$A$6,MIN(Reference!$A$11,$U118)),Reference!$A$6:$A$11,1))))))</f>
        <v>2.2000000000000002</v>
      </c>
      <c r="AO118" s="37"/>
      <c r="AP118" s="37"/>
      <c r="AQ118" s="37"/>
    </row>
    <row r="119" spans="1:43" x14ac:dyDescent="0.3">
      <c r="A119" s="48">
        <f t="shared" si="55"/>
        <v>46383</v>
      </c>
      <c r="B119" s="32" t="str">
        <f t="shared" si="56"/>
        <v>Sun</v>
      </c>
      <c r="C119" s="32">
        <f t="shared" si="57"/>
        <v>8</v>
      </c>
      <c r="D119" s="32" t="str">
        <f t="shared" si="58"/>
        <v>Flat Ground / Intent</v>
      </c>
      <c r="E119" s="32" t="str">
        <f t="shared" si="59"/>
        <v>Low</v>
      </c>
      <c r="F119" s="32" t="str">
        <f t="shared" si="60"/>
        <v>Recovery/Easy Catch</v>
      </c>
      <c r="G119" s="47" t="str">
        <f t="shared" si="61"/>
        <v>60 ft × 30 @ 67–71 mph</v>
      </c>
      <c r="H119" s="30">
        <f t="shared" si="62"/>
        <v>18</v>
      </c>
      <c r="I119" s="46">
        <f>IF($A119="","",IF(AND($L119&lt;27,$K$12=0),"Building",IFERROR(((SUM($H$113:$H119)+$K$12*IF($L119&lt;6,SUMIFS('Throw Log'!$Q$5:$Q$300,'Throw Log'!$B$5:$B$300,$D$4,'Throw Log'!$A$5:$A$300,"&gt;="&amp;($D$6+$L119-6),'Throw Log'!$A$5:$A$300,"&lt;="&amp;($D$6-1)),0))/7)/((SUM($H$92:$H119)+$K$12*IF($L119&lt;27,SUMIFS('Throw Log'!$Q$5:$Q$300,'Throw Log'!$B$5:$B$300,$D$4,'Throw Log'!$A$5:$A$300,"&gt;="&amp;($D$6+$L119-27),'Throw Log'!$A$5:$A$300,"&lt;="&amp;($D$6-1)),0))/28),"")))</f>
        <v>1.1074555058650419</v>
      </c>
      <c r="J119" s="37"/>
      <c r="K119" s="37">
        <v>30</v>
      </c>
      <c r="L119" s="32">
        <v>76</v>
      </c>
      <c r="M119" s="32">
        <f t="shared" si="63"/>
        <v>11</v>
      </c>
      <c r="N119" s="32">
        <f t="shared" si="64"/>
        <v>6</v>
      </c>
      <c r="O119" s="32">
        <f t="shared" si="65"/>
        <v>1</v>
      </c>
      <c r="P119" s="32">
        <f>IF(OR($A119="",N($C119)&lt;=7),"",$G$6*$G$9^($M119-1)*IF(AND(MOD($M119,Reference!$B$99)=0,$M119&lt;=$G$5-2),Reference!$B$100,1))</f>
        <v>260.00000000000006</v>
      </c>
      <c r="Q119" s="32">
        <f>IF($P119="","",IF(SUM($AK$113:$AK$119)=0,0,$P119*INDEX(Reference!$B$108:$B$114,$N119+1)/SUM($AK$113:$AK$119)))</f>
        <v>17.009345794392527</v>
      </c>
      <c r="R119" s="32">
        <f t="shared" si="66"/>
        <v>180</v>
      </c>
      <c r="S119" s="32">
        <f t="shared" si="67"/>
        <v>150</v>
      </c>
      <c r="T119" s="32" t="str">
        <f>IF($A119="","",IF($C119=0,"Bullpen",IF(OR($C119=7,$C119=1,$C119=5),"Recovery/Easy Catch",IF($C119=6,"Compression/Pulldowns",IF(OR($C119=4,$C119=2),"Long Toss",IF($C119=3,"No Throw",IF($N119=2,"No Throw",IF($N119=6,IF($O119&lt;Reference!$B$104,"No Throw","Recovery/Easy Catch"),IF(OR($N119=0,$N119=4),"Recovery/Easy Catch",IF($N119=1,IF($R119&gt;75,"Long Toss","Recovery/Easy Catch"),IF($N119=3,IF($O119&lt;0.5,IF($S119&gt;75,"Long Toss","Recovery/Easy Catch"),"Compression/Pulldowns"),IF($S119&gt;75,"Long Toss","Recovery/Easy Catch"))))))))))))</f>
        <v>Recovery/Easy Catch</v>
      </c>
      <c r="U119" s="32">
        <f t="shared" si="68"/>
        <v>60</v>
      </c>
      <c r="V119" s="32">
        <f t="shared" si="69"/>
        <v>20</v>
      </c>
      <c r="W119" s="32">
        <f t="shared" si="70"/>
        <v>24</v>
      </c>
      <c r="X119" s="32">
        <f t="shared" si="71"/>
        <v>0</v>
      </c>
      <c r="Y119" s="32" t="str">
        <f t="shared" si="72"/>
        <v/>
      </c>
      <c r="Z119" s="32" t="str">
        <f t="shared" si="73"/>
        <v/>
      </c>
      <c r="AA119" s="32" t="str">
        <f t="shared" si="74"/>
        <v/>
      </c>
      <c r="AB119" s="32">
        <f>IF($A119="","",IF($T119="No Throw",0,IF($K119&lt;&gt;"",$K119,IF($AA119&lt;&gt;"",ROUND($AA119*$D$12*IF($C119=0,1,$G$10),0),MIN(IF($T119="Recovery/Easy Catch",Reference!$B$103,IF($T119="Long Toss",Reference!$B$106,Reference!$B$102)),MAX(Reference!$B$101,ROUND(MAX(0,$Q119-$AE119)/$AF119,0)))))))</f>
        <v>30</v>
      </c>
      <c r="AC119" s="32">
        <f t="shared" si="75"/>
        <v>0</v>
      </c>
      <c r="AD119" s="32" t="b">
        <f t="shared" si="76"/>
        <v>0</v>
      </c>
      <c r="AE119" s="32">
        <f>IF($X119=0,0,$X119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119+$Z119)/2,0),Reference!$A$17:$B$20,2,TRUE()))</f>
        <v>0</v>
      </c>
      <c r="AF119" s="32">
        <f>IF(OR($A119="",$U119="",$T119="No Throw"),0,$AM119*VLOOKUP(MAX(($V119+$W119)/2,0),Reference!$A$17:$B$20,2,TRUE()))</f>
        <v>0.6</v>
      </c>
      <c r="AG119" s="32">
        <f>IF($AC119=0,0,$AC119*INDEX(Reference!$B$61:$B$62,MATCH("Bullpen",Reference!$A$61:$A$62,0))*VLOOKUP(MAX($D$5-($D$9+$E$9)/2,0),Reference!$A$17:$B$20,2,TRUE()))</f>
        <v>0</v>
      </c>
      <c r="AH119" s="46">
        <f t="shared" si="77"/>
        <v>1.1074555058650419</v>
      </c>
      <c r="AI119" s="32">
        <f>IF($A119="",NA(),Reference!$A$25)</f>
        <v>0.8</v>
      </c>
      <c r="AJ119" s="32">
        <f t="shared" si="78"/>
        <v>1.3</v>
      </c>
      <c r="AK119" s="56">
        <f>IF(OR($A119="",N($C119)&lt;=7,$T119="No Throw",$J119="x"),0,INDEX(Reference!$B$108:$B$114,$N119+1))</f>
        <v>7.0000000000000007E-2</v>
      </c>
      <c r="AL119" s="32">
        <f t="shared" si="79"/>
        <v>1</v>
      </c>
      <c r="AM119" s="32">
        <f>IF($U119="",0,IF($AL119&gt;1,((IF(1&lt;=$AL119,($AL119-1+3)*(INDEX(Reference!$B$6:$B$11,MIN(5,MATCH(MAX(Reference!$A$6,MIN(Reference!$A$11,MIN($U119,90))),Reference!$A$6:$A$11,1)))+(MAX(Reference!$A$6,MIN(Reference!$A$11,MIN($U119,90)))-INDEX(Reference!$A$6:$A$11,MIN(5,MATCH(MAX(Reference!$A$6,MIN(Reference!$A$11,MIN($U119,90))),Reference!$A$6:$A$11,1))))*(INDEX(Reference!$B$6:$B$11,MIN(5,MATCH(MAX(Reference!$A$6,MIN(Reference!$A$11,MIN($U119,90))),Reference!$A$6:$A$11,1))+1)-INDEX(Reference!$B$6:$B$11,MIN(5,MATCH(MAX(Reference!$A$6,MIN(Reference!$A$11,MIN($U119,90))),Reference!$A$6:$A$11,1))))/(INDEX(Reference!$A$6:$A$11,MIN(5,MATCH(MAX(Reference!$A$6,MIN(Reference!$A$11,MIN($U119,90))),Reference!$A$6:$A$11,1))+1)-INDEX(Reference!$A$6:$A$11,MIN(5,MATCH(MAX(Reference!$A$6,MIN(Reference!$A$11,MIN($U119,90))),Reference!$A$6:$A$11,1))))),0)+IF(2&lt;=$AL119,($AL119-2+3)*(INDEX(Reference!$B$6:$B$11,MIN(5,MATCH(MAX(Reference!$A$6,MIN(Reference!$A$11,MIN($U119,120))),Reference!$A$6:$A$11,1)))+(MAX(Reference!$A$6,MIN(Reference!$A$11,MIN($U119,120)))-INDEX(Reference!$A$6:$A$11,MIN(5,MATCH(MAX(Reference!$A$6,MIN(Reference!$A$11,MIN($U119,120))),Reference!$A$6:$A$11,1))))*(INDEX(Reference!$B$6:$B$11,MIN(5,MATCH(MAX(Reference!$A$6,MIN(Reference!$A$11,MIN($U119,120))),Reference!$A$6:$A$11,1))+1)-INDEX(Reference!$B$6:$B$11,MIN(5,MATCH(MAX(Reference!$A$6,MIN(Reference!$A$11,MIN($U119,120))),Reference!$A$6:$A$11,1))))/(INDEX(Reference!$A$6:$A$11,MIN(5,MATCH(MAX(Reference!$A$6,MIN(Reference!$A$11,MIN($U119,120))),Reference!$A$6:$A$11,1))+1)-INDEX(Reference!$A$6:$A$11,MIN(5,MATCH(MAX(Reference!$A$6,MIN(Reference!$A$11,MIN($U119,120))),Reference!$A$6:$A$11,1))))),0)+IF(3&lt;=$AL119,($AL119-3+3)*(INDEX(Reference!$B$6:$B$11,MIN(5,MATCH(MAX(Reference!$A$6,MIN(Reference!$A$11,MIN($U119,150))),Reference!$A$6:$A$11,1)))+(MAX(Reference!$A$6,MIN(Reference!$A$11,MIN($U119,150)))-INDEX(Reference!$A$6:$A$11,MIN(5,MATCH(MAX(Reference!$A$6,MIN(Reference!$A$11,MIN($U119,150))),Reference!$A$6:$A$11,1))))*(INDEX(Reference!$B$6:$B$11,MIN(5,MATCH(MAX(Reference!$A$6,MIN(Reference!$A$11,MIN($U119,150))),Reference!$A$6:$A$11,1))+1)-INDEX(Reference!$B$6:$B$11,MIN(5,MATCH(MAX(Reference!$A$6,MIN(Reference!$A$11,MIN($U119,150))),Reference!$A$6:$A$11,1))))/(INDEX(Reference!$A$6:$A$11,MIN(5,MATCH(MAX(Reference!$A$6,MIN(Reference!$A$11,MIN($U119,150))),Reference!$A$6:$A$11,1))+1)-INDEX(Reference!$A$6:$A$11,MIN(5,MATCH(MAX(Reference!$A$6,MIN(Reference!$A$11,MIN($U119,150))),Reference!$A$6:$A$11,1))))),0)+IF(4&lt;=$AL119,($AL119-4+3)*(INDEX(Reference!$B$6:$B$11,MIN(5,MATCH(MAX(Reference!$A$6,MIN(Reference!$A$11,MIN($U119,180))),Reference!$A$6:$A$11,1)))+(MAX(Reference!$A$6,MIN(Reference!$A$11,MIN($U119,180)))-INDEX(Reference!$A$6:$A$11,MIN(5,MATCH(MAX(Reference!$A$6,MIN(Reference!$A$11,MIN($U119,180))),Reference!$A$6:$A$11,1))))*(INDEX(Reference!$B$6:$B$11,MIN(5,MATCH(MAX(Reference!$A$6,MIN(Reference!$A$11,MIN($U119,180))),Reference!$A$6:$A$11,1))+1)-INDEX(Reference!$B$6:$B$11,MIN(5,MATCH(MAX(Reference!$A$6,MIN(Reference!$A$11,MIN($U119,180))),Reference!$A$6:$A$11,1))))/(INDEX(Reference!$A$6:$A$11,MIN(5,MATCH(MAX(Reference!$A$6,MIN(Reference!$A$11,MIN($U119,180))),Reference!$A$6:$A$11,1))+1)-INDEX(Reference!$A$6:$A$11,MIN(5,MATCH(MAX(Reference!$A$6,MIN(Reference!$A$11,MIN($U119,180))),Reference!$A$6:$A$11,1))))),0)+IF(5&lt;=$AL119,($AL119-5+3)*(INDEX(Reference!$B$6:$B$11,MIN(5,MATCH(MAX(Reference!$A$6,MIN(Reference!$A$11,MIN($U119,210))),Reference!$A$6:$A$11,1)))+(MAX(Reference!$A$6,MIN(Reference!$A$11,MIN($U119,210)))-INDEX(Reference!$A$6:$A$11,MIN(5,MATCH(MAX(Reference!$A$6,MIN(Reference!$A$11,MIN($U119,210))),Reference!$A$6:$A$11,1))))*(INDEX(Reference!$B$6:$B$11,MIN(5,MATCH(MAX(Reference!$A$6,MIN(Reference!$A$11,MIN($U119,210))),Reference!$A$6:$A$11,1))+1)-INDEX(Reference!$B$6:$B$11,MIN(5,MATCH(MAX(Reference!$A$6,MIN(Reference!$A$11,MIN($U119,210))),Reference!$A$6:$A$11,1))))/(INDEX(Reference!$A$6:$A$11,MIN(5,MATCH(MAX(Reference!$A$6,MIN(Reference!$A$11,MIN($U119,210))),Reference!$A$6:$A$11,1))+1)-INDEX(Reference!$A$6:$A$11,MIN(5,MATCH(MAX(Reference!$A$6,MIN(Reference!$A$11,MIN($U119,210))),Reference!$A$6:$A$11,1))))),0)+IF(6&lt;=$AL119,($AL119-6+3)*(INDEX(Reference!$B$6:$B$11,MIN(5,MATCH(MAX(Reference!$A$6,MIN(Reference!$A$11,MIN($U119,240))),Reference!$A$6:$A$11,1)))+(MAX(Reference!$A$6,MIN(Reference!$A$11,MIN($U119,240)))-INDEX(Reference!$A$6:$A$11,MIN(5,MATCH(MAX(Reference!$A$6,MIN(Reference!$A$11,MIN($U119,240))),Reference!$A$6:$A$11,1))))*(INDEX(Reference!$B$6:$B$11,MIN(5,MATCH(MAX(Reference!$A$6,MIN(Reference!$A$11,MIN($U119,240))),Reference!$A$6:$A$11,1))+1)-INDEX(Reference!$B$6:$B$11,MIN(5,MATCH(MAX(Reference!$A$6,MIN(Reference!$A$11,MIN($U119,240))),Reference!$A$6:$A$11,1))))/(INDEX(Reference!$A$6:$A$11,MIN(5,MATCH(MAX(Reference!$A$6,MIN(Reference!$A$11,MIN($U119,240))),Reference!$A$6:$A$11,1))+1)-INDEX(Reference!$A$6:$A$11,MIN(5,MATCH(MAX(Reference!$A$6,MIN(Reference!$A$11,MIN($U119,240))),Reference!$A$6:$A$11,1))))),0)+IF(7&lt;=$AL119,($AL119-7+3)*(INDEX(Reference!$B$6:$B$11,MIN(5,MATCH(MAX(Reference!$A$6,MIN(Reference!$A$11,MIN($U119,270))),Reference!$A$6:$A$11,1)))+(MAX(Reference!$A$6,MIN(Reference!$A$11,MIN($U119,270)))-INDEX(Reference!$A$6:$A$11,MIN(5,MATCH(MAX(Reference!$A$6,MIN(Reference!$A$11,MIN($U119,270))),Reference!$A$6:$A$11,1))))*(INDEX(Reference!$B$6:$B$11,MIN(5,MATCH(MAX(Reference!$A$6,MIN(Reference!$A$11,MIN($U119,270))),Reference!$A$6:$A$11,1))+1)-INDEX(Reference!$B$6:$B$11,MIN(5,MATCH(MAX(Reference!$A$6,MIN(Reference!$A$11,MIN($U119,270))),Reference!$A$6:$A$11,1))))/(INDEX(Reference!$A$6:$A$11,MIN(5,MATCH(MAX(Reference!$A$6,MIN(Reference!$A$11,MIN($U119,270))),Reference!$A$6:$A$11,1))+1)-INDEX(Reference!$A$6:$A$11,MIN(5,MATCH(MAX(Reference!$A$6,MIN(Reference!$A$11,MIN($U119,270))),Reference!$A$6:$A$11,1))))),0)+IF(8&lt;=$AL119,($AL119-8+3)*(INDEX(Reference!$B$6:$B$11,MIN(5,MATCH(MAX(Reference!$A$6,MIN(Reference!$A$11,MIN($U119,300))),Reference!$A$6:$A$11,1)))+(MAX(Reference!$A$6,MIN(Reference!$A$11,MIN($U119,300)))-INDEX(Reference!$A$6:$A$11,MIN(5,MATCH(MAX(Reference!$A$6,MIN(Reference!$A$11,MIN($U119,300))),Reference!$A$6:$A$11,1))))*(INDEX(Reference!$B$6:$B$11,MIN(5,MATCH(MAX(Reference!$A$6,MIN(Reference!$A$11,MIN($U119,300))),Reference!$A$6:$A$11,1))+1)-INDEX(Reference!$B$6:$B$11,MIN(5,MATCH(MAX(Reference!$A$6,MIN(Reference!$A$11,MIN($U119,300))),Reference!$A$6:$A$11,1))))/(INDEX(Reference!$A$6:$A$11,MIN(5,MATCH(MAX(Reference!$A$6,MIN(Reference!$A$11,MIN($U119,300))),Reference!$A$6:$A$11,1))+1)-INDEX(Reference!$A$6:$A$11,MIN(5,MATCH(MAX(Reference!$A$6,MIN(Reference!$A$11,MIN($U119,300))),Reference!$A$6:$A$11,1))))),0))/($AL119*($AL119+5)/2)),$AN119))</f>
        <v>1</v>
      </c>
      <c r="AN119" s="32">
        <f>IF($U119="",0,(INDEX(Reference!$B$6:$B$11,MIN(5,MATCH(MAX(Reference!$A$6,MIN(Reference!$A$11,$U119)),Reference!$A$6:$A$11,1)))+(MAX(Reference!$A$6,MIN(Reference!$A$11,$U119))-INDEX(Reference!$A$6:$A$11,MIN(5,MATCH(MAX(Reference!$A$6,MIN(Reference!$A$11,$U119)),Reference!$A$6:$A$11,1))))*(INDEX(Reference!$B$6:$B$11,MIN(5,MATCH(MAX(Reference!$A$6,MIN(Reference!$A$11,$U119)),Reference!$A$6:$A$11,1))+1)-INDEX(Reference!$B$6:$B$11,MIN(5,MATCH(MAX(Reference!$A$6,MIN(Reference!$A$11,$U119)),Reference!$A$6:$A$11,1))))/(INDEX(Reference!$A$6:$A$11,MIN(5,MATCH(MAX(Reference!$A$6,MIN(Reference!$A$11,$U119)),Reference!$A$6:$A$11,1))+1)-INDEX(Reference!$A$6:$A$11,MIN(5,MATCH(MAX(Reference!$A$6,MIN(Reference!$A$11,$U119)),Reference!$A$6:$A$11,1))))))</f>
        <v>1</v>
      </c>
      <c r="AO119" s="37"/>
      <c r="AP119" s="37"/>
      <c r="AQ119" s="37"/>
    </row>
    <row r="120" spans="1:43" x14ac:dyDescent="0.3">
      <c r="A120" s="48">
        <f t="shared" si="55"/>
        <v>46384</v>
      </c>
      <c r="B120" s="32" t="str">
        <f t="shared" si="56"/>
        <v>Mon</v>
      </c>
      <c r="C120" s="32">
        <f t="shared" si="57"/>
        <v>7</v>
      </c>
      <c r="D120" s="32" t="str">
        <f t="shared" si="58"/>
        <v>Taper</v>
      </c>
      <c r="E120" s="32" t="str">
        <f t="shared" si="59"/>
        <v>Low</v>
      </c>
      <c r="F120" s="32" t="str">
        <f t="shared" si="60"/>
        <v>Recovery/Easy Catch</v>
      </c>
      <c r="G120" s="47" t="str">
        <f t="shared" si="61"/>
        <v>75 ft × 30 @ 69–73 mph</v>
      </c>
      <c r="H120" s="30">
        <f t="shared" si="62"/>
        <v>20.7</v>
      </c>
      <c r="I120" s="46">
        <f>IF($A120="","",IF(AND($L120&lt;27,$K$12=0),"Building",IFERROR(((SUM($H$114:$H120)+$K$12*IF($L120&lt;6,SUMIFS('Throw Log'!$Q$5:$Q$300,'Throw Log'!$B$5:$B$300,$D$4,'Throw Log'!$A$5:$A$300,"&gt;="&amp;($D$6+$L120-6),'Throw Log'!$A$5:$A$300,"&lt;="&amp;($D$6-1)),0))/7)/((SUM($H$93:$H120)+$K$12*IF($L120&lt;27,SUMIFS('Throw Log'!$Q$5:$Q$300,'Throw Log'!$B$5:$B$300,$D$4,'Throw Log'!$A$5:$A$300,"&gt;="&amp;($D$6+$L120-27),'Throw Log'!$A$5:$A$300,"&lt;="&amp;($D$6-1)),0))/28),"")))</f>
        <v>1.0810943724079143</v>
      </c>
      <c r="J120" s="37"/>
      <c r="K120" s="37"/>
      <c r="L120" s="32">
        <v>77</v>
      </c>
      <c r="M120" s="32">
        <f t="shared" si="63"/>
        <v>12</v>
      </c>
      <c r="N120" s="32">
        <f t="shared" si="64"/>
        <v>0</v>
      </c>
      <c r="O120" s="32">
        <f t="shared" si="65"/>
        <v>1</v>
      </c>
      <c r="P120" s="32" t="str">
        <f>IF(OR($A120="",N($C120)&lt;=7),"",$G$6*$G$9^($M120-1)*IF(AND(MOD($M120,Reference!$B$99)=0,$M120&lt;=$G$5-2),Reference!$B$100,1))</f>
        <v/>
      </c>
      <c r="Q120" s="32" t="str">
        <f>IF($P120="","",IF(SUM($AK$120:$AK$126)=0,0,$P120*INDEX(Reference!$B$108:$B$114,$N120+1)/SUM($AK$120:$AK$126)))</f>
        <v/>
      </c>
      <c r="R120" s="32">
        <f t="shared" si="66"/>
        <v>180</v>
      </c>
      <c r="S120" s="32">
        <f t="shared" si="67"/>
        <v>150</v>
      </c>
      <c r="T120" s="32" t="str">
        <f>IF($A120="","",IF($C120=0,"Bullpen",IF(OR($C120=7,$C120=1,$C120=5),"Recovery/Easy Catch",IF($C120=6,"Compression/Pulldowns",IF(OR($C120=4,$C120=2),"Long Toss",IF($C120=3,"No Throw",IF($N120=2,"No Throw",IF($N120=6,IF($O120&lt;Reference!$B$104,"No Throw","Recovery/Easy Catch"),IF(OR($N120=0,$N120=4),"Recovery/Easy Catch",IF($N120=1,IF($R120&gt;75,"Long Toss","Recovery/Easy Catch"),IF($N120=3,IF($O120&lt;0.5,IF($S120&gt;75,"Long Toss","Recovery/Easy Catch"),"Compression/Pulldowns"),IF($S120&gt;75,"Long Toss","Recovery/Easy Catch"))))))))))))</f>
        <v>Recovery/Easy Catch</v>
      </c>
      <c r="U120" s="32">
        <f t="shared" si="68"/>
        <v>75</v>
      </c>
      <c r="V120" s="32">
        <f t="shared" si="69"/>
        <v>18</v>
      </c>
      <c r="W120" s="32">
        <f t="shared" si="70"/>
        <v>22</v>
      </c>
      <c r="X120" s="32">
        <f t="shared" si="71"/>
        <v>0</v>
      </c>
      <c r="Y120" s="32" t="str">
        <f t="shared" si="72"/>
        <v/>
      </c>
      <c r="Z120" s="32" t="str">
        <f t="shared" si="73"/>
        <v/>
      </c>
      <c r="AA120" s="32">
        <f t="shared" si="74"/>
        <v>30</v>
      </c>
      <c r="AB120" s="32">
        <f>IF($A120="","",IF($T120="No Throw",0,IF($K120&lt;&gt;"",$K120,IF($AA120&lt;&gt;"",ROUND($AA120*$D$12*IF($C120=0,1,$G$10),0),MIN(IF($T120="Recovery/Easy Catch",Reference!$B$103,IF($T120="Long Toss",Reference!$B$106,Reference!$B$102)),MAX(Reference!$B$101,ROUND(MAX(0,$Q120-$AE120)/$AF120,0)))))))</f>
        <v>30</v>
      </c>
      <c r="AC120" s="32">
        <f t="shared" si="75"/>
        <v>0</v>
      </c>
      <c r="AD120" s="32" t="b">
        <f t="shared" si="76"/>
        <v>0</v>
      </c>
      <c r="AE120" s="32">
        <f>IF($X120=0,0,$X120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120+$Z120)/2,0),Reference!$A$17:$B$20,2,TRUE()))</f>
        <v>0</v>
      </c>
      <c r="AF120" s="32">
        <f>IF(OR($A120="",$U120="",$T120="No Throw"),0,$AM120*VLOOKUP(MAX(($V120+$W120)/2,0),Reference!$A$17:$B$20,2,TRUE()))</f>
        <v>0.69</v>
      </c>
      <c r="AG120" s="32">
        <f>IF($AC120=0,0,$AC120*INDEX(Reference!$B$61:$B$62,MATCH("Bullpen",Reference!$A$61:$A$62,0))*VLOOKUP(MAX($D$5-($D$9+$E$9)/2,0),Reference!$A$17:$B$20,2,TRUE()))</f>
        <v>0</v>
      </c>
      <c r="AH120" s="46">
        <f t="shared" si="77"/>
        <v>1.0810943724079143</v>
      </c>
      <c r="AI120" s="32">
        <f>IF($A120="",NA(),Reference!$A$25)</f>
        <v>0.8</v>
      </c>
      <c r="AJ120" s="32">
        <f t="shared" si="78"/>
        <v>1.3</v>
      </c>
      <c r="AK120" s="32">
        <f>IF(OR($A120="",N($C120)&lt;=7,$T120="No Throw",$J120="x"),0,INDEX(Reference!$B$108:$B$114,$N120+1))</f>
        <v>0</v>
      </c>
      <c r="AL120" s="32">
        <f t="shared" si="79"/>
        <v>1</v>
      </c>
      <c r="AM120" s="32">
        <f>IF($U120="",0,IF($AL120&gt;1,((IF(1&lt;=$AL120,($AL120-1+3)*(INDEX(Reference!$B$6:$B$11,MIN(5,MATCH(MAX(Reference!$A$6,MIN(Reference!$A$11,MIN($U120,90))),Reference!$A$6:$A$11,1)))+(MAX(Reference!$A$6,MIN(Reference!$A$11,MIN($U120,90)))-INDEX(Reference!$A$6:$A$11,MIN(5,MATCH(MAX(Reference!$A$6,MIN(Reference!$A$11,MIN($U120,90))),Reference!$A$6:$A$11,1))))*(INDEX(Reference!$B$6:$B$11,MIN(5,MATCH(MAX(Reference!$A$6,MIN(Reference!$A$11,MIN($U120,90))),Reference!$A$6:$A$11,1))+1)-INDEX(Reference!$B$6:$B$11,MIN(5,MATCH(MAX(Reference!$A$6,MIN(Reference!$A$11,MIN($U120,90))),Reference!$A$6:$A$11,1))))/(INDEX(Reference!$A$6:$A$11,MIN(5,MATCH(MAX(Reference!$A$6,MIN(Reference!$A$11,MIN($U120,90))),Reference!$A$6:$A$11,1))+1)-INDEX(Reference!$A$6:$A$11,MIN(5,MATCH(MAX(Reference!$A$6,MIN(Reference!$A$11,MIN($U120,90))),Reference!$A$6:$A$11,1))))),0)+IF(2&lt;=$AL120,($AL120-2+3)*(INDEX(Reference!$B$6:$B$11,MIN(5,MATCH(MAX(Reference!$A$6,MIN(Reference!$A$11,MIN($U120,120))),Reference!$A$6:$A$11,1)))+(MAX(Reference!$A$6,MIN(Reference!$A$11,MIN($U120,120)))-INDEX(Reference!$A$6:$A$11,MIN(5,MATCH(MAX(Reference!$A$6,MIN(Reference!$A$11,MIN($U120,120))),Reference!$A$6:$A$11,1))))*(INDEX(Reference!$B$6:$B$11,MIN(5,MATCH(MAX(Reference!$A$6,MIN(Reference!$A$11,MIN($U120,120))),Reference!$A$6:$A$11,1))+1)-INDEX(Reference!$B$6:$B$11,MIN(5,MATCH(MAX(Reference!$A$6,MIN(Reference!$A$11,MIN($U120,120))),Reference!$A$6:$A$11,1))))/(INDEX(Reference!$A$6:$A$11,MIN(5,MATCH(MAX(Reference!$A$6,MIN(Reference!$A$11,MIN($U120,120))),Reference!$A$6:$A$11,1))+1)-INDEX(Reference!$A$6:$A$11,MIN(5,MATCH(MAX(Reference!$A$6,MIN(Reference!$A$11,MIN($U120,120))),Reference!$A$6:$A$11,1))))),0)+IF(3&lt;=$AL120,($AL120-3+3)*(INDEX(Reference!$B$6:$B$11,MIN(5,MATCH(MAX(Reference!$A$6,MIN(Reference!$A$11,MIN($U120,150))),Reference!$A$6:$A$11,1)))+(MAX(Reference!$A$6,MIN(Reference!$A$11,MIN($U120,150)))-INDEX(Reference!$A$6:$A$11,MIN(5,MATCH(MAX(Reference!$A$6,MIN(Reference!$A$11,MIN($U120,150))),Reference!$A$6:$A$11,1))))*(INDEX(Reference!$B$6:$B$11,MIN(5,MATCH(MAX(Reference!$A$6,MIN(Reference!$A$11,MIN($U120,150))),Reference!$A$6:$A$11,1))+1)-INDEX(Reference!$B$6:$B$11,MIN(5,MATCH(MAX(Reference!$A$6,MIN(Reference!$A$11,MIN($U120,150))),Reference!$A$6:$A$11,1))))/(INDEX(Reference!$A$6:$A$11,MIN(5,MATCH(MAX(Reference!$A$6,MIN(Reference!$A$11,MIN($U120,150))),Reference!$A$6:$A$11,1))+1)-INDEX(Reference!$A$6:$A$11,MIN(5,MATCH(MAX(Reference!$A$6,MIN(Reference!$A$11,MIN($U120,150))),Reference!$A$6:$A$11,1))))),0)+IF(4&lt;=$AL120,($AL120-4+3)*(INDEX(Reference!$B$6:$B$11,MIN(5,MATCH(MAX(Reference!$A$6,MIN(Reference!$A$11,MIN($U120,180))),Reference!$A$6:$A$11,1)))+(MAX(Reference!$A$6,MIN(Reference!$A$11,MIN($U120,180)))-INDEX(Reference!$A$6:$A$11,MIN(5,MATCH(MAX(Reference!$A$6,MIN(Reference!$A$11,MIN($U120,180))),Reference!$A$6:$A$11,1))))*(INDEX(Reference!$B$6:$B$11,MIN(5,MATCH(MAX(Reference!$A$6,MIN(Reference!$A$11,MIN($U120,180))),Reference!$A$6:$A$11,1))+1)-INDEX(Reference!$B$6:$B$11,MIN(5,MATCH(MAX(Reference!$A$6,MIN(Reference!$A$11,MIN($U120,180))),Reference!$A$6:$A$11,1))))/(INDEX(Reference!$A$6:$A$11,MIN(5,MATCH(MAX(Reference!$A$6,MIN(Reference!$A$11,MIN($U120,180))),Reference!$A$6:$A$11,1))+1)-INDEX(Reference!$A$6:$A$11,MIN(5,MATCH(MAX(Reference!$A$6,MIN(Reference!$A$11,MIN($U120,180))),Reference!$A$6:$A$11,1))))),0)+IF(5&lt;=$AL120,($AL120-5+3)*(INDEX(Reference!$B$6:$B$11,MIN(5,MATCH(MAX(Reference!$A$6,MIN(Reference!$A$11,MIN($U120,210))),Reference!$A$6:$A$11,1)))+(MAX(Reference!$A$6,MIN(Reference!$A$11,MIN($U120,210)))-INDEX(Reference!$A$6:$A$11,MIN(5,MATCH(MAX(Reference!$A$6,MIN(Reference!$A$11,MIN($U120,210))),Reference!$A$6:$A$11,1))))*(INDEX(Reference!$B$6:$B$11,MIN(5,MATCH(MAX(Reference!$A$6,MIN(Reference!$A$11,MIN($U120,210))),Reference!$A$6:$A$11,1))+1)-INDEX(Reference!$B$6:$B$11,MIN(5,MATCH(MAX(Reference!$A$6,MIN(Reference!$A$11,MIN($U120,210))),Reference!$A$6:$A$11,1))))/(INDEX(Reference!$A$6:$A$11,MIN(5,MATCH(MAX(Reference!$A$6,MIN(Reference!$A$11,MIN($U120,210))),Reference!$A$6:$A$11,1))+1)-INDEX(Reference!$A$6:$A$11,MIN(5,MATCH(MAX(Reference!$A$6,MIN(Reference!$A$11,MIN($U120,210))),Reference!$A$6:$A$11,1))))),0)+IF(6&lt;=$AL120,($AL120-6+3)*(INDEX(Reference!$B$6:$B$11,MIN(5,MATCH(MAX(Reference!$A$6,MIN(Reference!$A$11,MIN($U120,240))),Reference!$A$6:$A$11,1)))+(MAX(Reference!$A$6,MIN(Reference!$A$11,MIN($U120,240)))-INDEX(Reference!$A$6:$A$11,MIN(5,MATCH(MAX(Reference!$A$6,MIN(Reference!$A$11,MIN($U120,240))),Reference!$A$6:$A$11,1))))*(INDEX(Reference!$B$6:$B$11,MIN(5,MATCH(MAX(Reference!$A$6,MIN(Reference!$A$11,MIN($U120,240))),Reference!$A$6:$A$11,1))+1)-INDEX(Reference!$B$6:$B$11,MIN(5,MATCH(MAX(Reference!$A$6,MIN(Reference!$A$11,MIN($U120,240))),Reference!$A$6:$A$11,1))))/(INDEX(Reference!$A$6:$A$11,MIN(5,MATCH(MAX(Reference!$A$6,MIN(Reference!$A$11,MIN($U120,240))),Reference!$A$6:$A$11,1))+1)-INDEX(Reference!$A$6:$A$11,MIN(5,MATCH(MAX(Reference!$A$6,MIN(Reference!$A$11,MIN($U120,240))),Reference!$A$6:$A$11,1))))),0)+IF(7&lt;=$AL120,($AL120-7+3)*(INDEX(Reference!$B$6:$B$11,MIN(5,MATCH(MAX(Reference!$A$6,MIN(Reference!$A$11,MIN($U120,270))),Reference!$A$6:$A$11,1)))+(MAX(Reference!$A$6,MIN(Reference!$A$11,MIN($U120,270)))-INDEX(Reference!$A$6:$A$11,MIN(5,MATCH(MAX(Reference!$A$6,MIN(Reference!$A$11,MIN($U120,270))),Reference!$A$6:$A$11,1))))*(INDEX(Reference!$B$6:$B$11,MIN(5,MATCH(MAX(Reference!$A$6,MIN(Reference!$A$11,MIN($U120,270))),Reference!$A$6:$A$11,1))+1)-INDEX(Reference!$B$6:$B$11,MIN(5,MATCH(MAX(Reference!$A$6,MIN(Reference!$A$11,MIN($U120,270))),Reference!$A$6:$A$11,1))))/(INDEX(Reference!$A$6:$A$11,MIN(5,MATCH(MAX(Reference!$A$6,MIN(Reference!$A$11,MIN($U120,270))),Reference!$A$6:$A$11,1))+1)-INDEX(Reference!$A$6:$A$11,MIN(5,MATCH(MAX(Reference!$A$6,MIN(Reference!$A$11,MIN($U120,270))),Reference!$A$6:$A$11,1))))),0)+IF(8&lt;=$AL120,($AL120-8+3)*(INDEX(Reference!$B$6:$B$11,MIN(5,MATCH(MAX(Reference!$A$6,MIN(Reference!$A$11,MIN($U120,300))),Reference!$A$6:$A$11,1)))+(MAX(Reference!$A$6,MIN(Reference!$A$11,MIN($U120,300)))-INDEX(Reference!$A$6:$A$11,MIN(5,MATCH(MAX(Reference!$A$6,MIN(Reference!$A$11,MIN($U120,300))),Reference!$A$6:$A$11,1))))*(INDEX(Reference!$B$6:$B$11,MIN(5,MATCH(MAX(Reference!$A$6,MIN(Reference!$A$11,MIN($U120,300))),Reference!$A$6:$A$11,1))+1)-INDEX(Reference!$B$6:$B$11,MIN(5,MATCH(MAX(Reference!$A$6,MIN(Reference!$A$11,MIN($U120,300))),Reference!$A$6:$A$11,1))))/(INDEX(Reference!$A$6:$A$11,MIN(5,MATCH(MAX(Reference!$A$6,MIN(Reference!$A$11,MIN($U120,300))),Reference!$A$6:$A$11,1))+1)-INDEX(Reference!$A$6:$A$11,MIN(5,MATCH(MAX(Reference!$A$6,MIN(Reference!$A$11,MIN($U120,300))),Reference!$A$6:$A$11,1))))),0))/($AL120*($AL120+5)/2)),$AN120))</f>
        <v>1.1499999999999999</v>
      </c>
      <c r="AN120" s="32">
        <f>IF($U120="",0,(INDEX(Reference!$B$6:$B$11,MIN(5,MATCH(MAX(Reference!$A$6,MIN(Reference!$A$11,$U120)),Reference!$A$6:$A$11,1)))+(MAX(Reference!$A$6,MIN(Reference!$A$11,$U120))-INDEX(Reference!$A$6:$A$11,MIN(5,MATCH(MAX(Reference!$A$6,MIN(Reference!$A$11,$U120)),Reference!$A$6:$A$11,1))))*(INDEX(Reference!$B$6:$B$11,MIN(5,MATCH(MAX(Reference!$A$6,MIN(Reference!$A$11,$U120)),Reference!$A$6:$A$11,1))+1)-INDEX(Reference!$B$6:$B$11,MIN(5,MATCH(MAX(Reference!$A$6,MIN(Reference!$A$11,$U120)),Reference!$A$6:$A$11,1))))/(INDEX(Reference!$A$6:$A$11,MIN(5,MATCH(MAX(Reference!$A$6,MIN(Reference!$A$11,$U120)),Reference!$A$6:$A$11,1))+1)-INDEX(Reference!$A$6:$A$11,MIN(5,MATCH(MAX(Reference!$A$6,MIN(Reference!$A$11,$U120)),Reference!$A$6:$A$11,1))))))</f>
        <v>1.1499999999999999</v>
      </c>
      <c r="AO120" s="37"/>
      <c r="AP120" s="37"/>
      <c r="AQ120" s="37"/>
    </row>
    <row r="121" spans="1:43" x14ac:dyDescent="0.3">
      <c r="A121" s="48">
        <f t="shared" si="55"/>
        <v>46385</v>
      </c>
      <c r="B121" s="32" t="str">
        <f t="shared" si="56"/>
        <v>Tue</v>
      </c>
      <c r="C121" s="32">
        <f t="shared" si="57"/>
        <v>6</v>
      </c>
      <c r="D121" s="32" t="str">
        <f t="shared" si="58"/>
        <v>Taper</v>
      </c>
      <c r="E121" s="32" t="str">
        <f t="shared" si="59"/>
        <v>High Non-Bullpen</v>
      </c>
      <c r="F121" s="32" t="str">
        <f t="shared" si="60"/>
        <v>Compression/Pulldowns</v>
      </c>
      <c r="G121" s="47" t="str">
        <f t="shared" si="61"/>
        <v>90 ft × 25 @ 82–84 mph + flat ground at 60 ft × 25 @ 84–86 mph</v>
      </c>
      <c r="H121" s="30">
        <f t="shared" si="62"/>
        <v>70</v>
      </c>
      <c r="I121" s="46">
        <f>IF($A121="","",IF(AND($L121&lt;27,$K$12=0),"Building",IFERROR(((SUM($H$115:$H121)+$K$12*IF($L121&lt;6,SUMIFS('Throw Log'!$Q$5:$Q$300,'Throw Log'!$B$5:$B$300,$D$4,'Throw Log'!$A$5:$A$300,"&gt;="&amp;($D$6+$L121-6),'Throw Log'!$A$5:$A$300,"&lt;="&amp;($D$6-1)),0))/7)/((SUM($H$94:$H121)+$K$12*IF($L121&lt;27,SUMIFS('Throw Log'!$Q$5:$Q$300,'Throw Log'!$B$5:$B$300,$D$4,'Throw Log'!$A$5:$A$300,"&gt;="&amp;($D$6+$L121-27),'Throw Log'!$A$5:$A$300,"&lt;="&amp;($D$6-1)),0))/28),"")))</f>
        <v>1.1458070020222446</v>
      </c>
      <c r="J121" s="37"/>
      <c r="K121" s="37"/>
      <c r="L121" s="32">
        <v>78</v>
      </c>
      <c r="M121" s="32">
        <f t="shared" si="63"/>
        <v>12</v>
      </c>
      <c r="N121" s="32">
        <f t="shared" si="64"/>
        <v>1</v>
      </c>
      <c r="O121" s="32">
        <f t="shared" si="65"/>
        <v>1</v>
      </c>
      <c r="P121" s="32" t="str">
        <f>IF(OR($A121="",N($C121)&lt;=7),"",$G$6*$G$9^($M121-1)*IF(AND(MOD($M121,Reference!$B$99)=0,$M121&lt;=$G$5-2),Reference!$B$100,1))</f>
        <v/>
      </c>
      <c r="Q121" s="32" t="str">
        <f>IF($P121="","",IF(SUM($AK$120:$AK$126)=0,0,$P121*INDEX(Reference!$B$108:$B$114,$N121+1)/SUM($AK$120:$AK$126)))</f>
        <v/>
      </c>
      <c r="R121" s="32">
        <f t="shared" si="66"/>
        <v>180</v>
      </c>
      <c r="S121" s="32">
        <f t="shared" si="67"/>
        <v>150</v>
      </c>
      <c r="T121" s="32" t="str">
        <f>IF($A121="","",IF($C121=0,"Bullpen",IF(OR($C121=7,$C121=1,$C121=5),"Recovery/Easy Catch",IF($C121=6,"Compression/Pulldowns",IF(OR($C121=4,$C121=2),"Long Toss",IF($C121=3,"No Throw",IF($N121=2,"No Throw",IF($N121=6,IF($O121&lt;Reference!$B$104,"No Throw","Recovery/Easy Catch"),IF(OR($N121=0,$N121=4),"Recovery/Easy Catch",IF($N121=1,IF($R121&gt;75,"Long Toss","Recovery/Easy Catch"),IF($N121=3,IF($O121&lt;0.5,IF($S121&gt;75,"Long Toss","Recovery/Easy Catch"),"Compression/Pulldowns"),IF($S121&gt;75,"Long Toss","Recovery/Easy Catch"))))))))))))</f>
        <v>Compression/Pulldowns</v>
      </c>
      <c r="U121" s="32">
        <f t="shared" si="68"/>
        <v>90</v>
      </c>
      <c r="V121" s="32">
        <f t="shared" si="69"/>
        <v>7</v>
      </c>
      <c r="W121" s="32">
        <f t="shared" si="70"/>
        <v>9</v>
      </c>
      <c r="X121" s="32">
        <f t="shared" si="71"/>
        <v>25</v>
      </c>
      <c r="Y121" s="32">
        <f t="shared" si="72"/>
        <v>5</v>
      </c>
      <c r="Z121" s="32">
        <f t="shared" si="73"/>
        <v>7</v>
      </c>
      <c r="AA121" s="32">
        <f t="shared" si="74"/>
        <v>25</v>
      </c>
      <c r="AB121" s="32">
        <f>IF($A121="","",IF($T121="No Throw",0,IF($K121&lt;&gt;"",$K121,IF($AA121&lt;&gt;"",ROUND($AA121*$D$12*IF($C121=0,1,$G$10),0),MIN(IF($T121="Recovery/Easy Catch",Reference!$B$103,IF($T121="Long Toss",Reference!$B$106,Reference!$B$102)),MAX(Reference!$B$101,ROUND(MAX(0,$Q121-$AE121)/$AF121,0)))))))</f>
        <v>25</v>
      </c>
      <c r="AC121" s="32">
        <f t="shared" si="75"/>
        <v>0</v>
      </c>
      <c r="AD121" s="32" t="b">
        <f t="shared" si="76"/>
        <v>0</v>
      </c>
      <c r="AE121" s="32">
        <f>IF($X121=0,0,$X121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121+$Z121)/2,0),Reference!$A$17:$B$20,2,TRUE()))</f>
        <v>37.5</v>
      </c>
      <c r="AF121" s="32">
        <f>IF(OR($A121="",$U121="",$T121="No Throw"),0,$AM121*VLOOKUP(MAX(($V121+$W121)/2,0),Reference!$A$17:$B$20,2,TRUE()))</f>
        <v>1.3</v>
      </c>
      <c r="AG121" s="32">
        <f>IF($AC121=0,0,$AC121*INDEX(Reference!$B$61:$B$62,MATCH("Bullpen",Reference!$A$61:$A$62,0))*VLOOKUP(MAX($D$5-($D$9+$E$9)/2,0),Reference!$A$17:$B$20,2,TRUE()))</f>
        <v>0</v>
      </c>
      <c r="AH121" s="46">
        <f t="shared" si="77"/>
        <v>1.1458070020222446</v>
      </c>
      <c r="AI121" s="32">
        <f>IF($A121="",NA(),Reference!$A$25)</f>
        <v>0.8</v>
      </c>
      <c r="AJ121" s="32">
        <f t="shared" si="78"/>
        <v>1.3</v>
      </c>
      <c r="AK121" s="32">
        <f>IF(OR($A121="",N($C121)&lt;=7,$T121="No Throw",$J121="x"),0,INDEX(Reference!$B$108:$B$114,$N121+1))</f>
        <v>0</v>
      </c>
      <c r="AL121" s="32">
        <f t="shared" si="79"/>
        <v>1</v>
      </c>
      <c r="AM121" s="32">
        <f>IF($U121="",0,IF($AL121&gt;1,((IF(1&lt;=$AL121,($AL121-1+3)*(INDEX(Reference!$B$6:$B$11,MIN(5,MATCH(MAX(Reference!$A$6,MIN(Reference!$A$11,MIN($U121,90))),Reference!$A$6:$A$11,1)))+(MAX(Reference!$A$6,MIN(Reference!$A$11,MIN($U121,90)))-INDEX(Reference!$A$6:$A$11,MIN(5,MATCH(MAX(Reference!$A$6,MIN(Reference!$A$11,MIN($U121,90))),Reference!$A$6:$A$11,1))))*(INDEX(Reference!$B$6:$B$11,MIN(5,MATCH(MAX(Reference!$A$6,MIN(Reference!$A$11,MIN($U121,90))),Reference!$A$6:$A$11,1))+1)-INDEX(Reference!$B$6:$B$11,MIN(5,MATCH(MAX(Reference!$A$6,MIN(Reference!$A$11,MIN($U121,90))),Reference!$A$6:$A$11,1))))/(INDEX(Reference!$A$6:$A$11,MIN(5,MATCH(MAX(Reference!$A$6,MIN(Reference!$A$11,MIN($U121,90))),Reference!$A$6:$A$11,1))+1)-INDEX(Reference!$A$6:$A$11,MIN(5,MATCH(MAX(Reference!$A$6,MIN(Reference!$A$11,MIN($U121,90))),Reference!$A$6:$A$11,1))))),0)+IF(2&lt;=$AL121,($AL121-2+3)*(INDEX(Reference!$B$6:$B$11,MIN(5,MATCH(MAX(Reference!$A$6,MIN(Reference!$A$11,MIN($U121,120))),Reference!$A$6:$A$11,1)))+(MAX(Reference!$A$6,MIN(Reference!$A$11,MIN($U121,120)))-INDEX(Reference!$A$6:$A$11,MIN(5,MATCH(MAX(Reference!$A$6,MIN(Reference!$A$11,MIN($U121,120))),Reference!$A$6:$A$11,1))))*(INDEX(Reference!$B$6:$B$11,MIN(5,MATCH(MAX(Reference!$A$6,MIN(Reference!$A$11,MIN($U121,120))),Reference!$A$6:$A$11,1))+1)-INDEX(Reference!$B$6:$B$11,MIN(5,MATCH(MAX(Reference!$A$6,MIN(Reference!$A$11,MIN($U121,120))),Reference!$A$6:$A$11,1))))/(INDEX(Reference!$A$6:$A$11,MIN(5,MATCH(MAX(Reference!$A$6,MIN(Reference!$A$11,MIN($U121,120))),Reference!$A$6:$A$11,1))+1)-INDEX(Reference!$A$6:$A$11,MIN(5,MATCH(MAX(Reference!$A$6,MIN(Reference!$A$11,MIN($U121,120))),Reference!$A$6:$A$11,1))))),0)+IF(3&lt;=$AL121,($AL121-3+3)*(INDEX(Reference!$B$6:$B$11,MIN(5,MATCH(MAX(Reference!$A$6,MIN(Reference!$A$11,MIN($U121,150))),Reference!$A$6:$A$11,1)))+(MAX(Reference!$A$6,MIN(Reference!$A$11,MIN($U121,150)))-INDEX(Reference!$A$6:$A$11,MIN(5,MATCH(MAX(Reference!$A$6,MIN(Reference!$A$11,MIN($U121,150))),Reference!$A$6:$A$11,1))))*(INDEX(Reference!$B$6:$B$11,MIN(5,MATCH(MAX(Reference!$A$6,MIN(Reference!$A$11,MIN($U121,150))),Reference!$A$6:$A$11,1))+1)-INDEX(Reference!$B$6:$B$11,MIN(5,MATCH(MAX(Reference!$A$6,MIN(Reference!$A$11,MIN($U121,150))),Reference!$A$6:$A$11,1))))/(INDEX(Reference!$A$6:$A$11,MIN(5,MATCH(MAX(Reference!$A$6,MIN(Reference!$A$11,MIN($U121,150))),Reference!$A$6:$A$11,1))+1)-INDEX(Reference!$A$6:$A$11,MIN(5,MATCH(MAX(Reference!$A$6,MIN(Reference!$A$11,MIN($U121,150))),Reference!$A$6:$A$11,1))))),0)+IF(4&lt;=$AL121,($AL121-4+3)*(INDEX(Reference!$B$6:$B$11,MIN(5,MATCH(MAX(Reference!$A$6,MIN(Reference!$A$11,MIN($U121,180))),Reference!$A$6:$A$11,1)))+(MAX(Reference!$A$6,MIN(Reference!$A$11,MIN($U121,180)))-INDEX(Reference!$A$6:$A$11,MIN(5,MATCH(MAX(Reference!$A$6,MIN(Reference!$A$11,MIN($U121,180))),Reference!$A$6:$A$11,1))))*(INDEX(Reference!$B$6:$B$11,MIN(5,MATCH(MAX(Reference!$A$6,MIN(Reference!$A$11,MIN($U121,180))),Reference!$A$6:$A$11,1))+1)-INDEX(Reference!$B$6:$B$11,MIN(5,MATCH(MAX(Reference!$A$6,MIN(Reference!$A$11,MIN($U121,180))),Reference!$A$6:$A$11,1))))/(INDEX(Reference!$A$6:$A$11,MIN(5,MATCH(MAX(Reference!$A$6,MIN(Reference!$A$11,MIN($U121,180))),Reference!$A$6:$A$11,1))+1)-INDEX(Reference!$A$6:$A$11,MIN(5,MATCH(MAX(Reference!$A$6,MIN(Reference!$A$11,MIN($U121,180))),Reference!$A$6:$A$11,1))))),0)+IF(5&lt;=$AL121,($AL121-5+3)*(INDEX(Reference!$B$6:$B$11,MIN(5,MATCH(MAX(Reference!$A$6,MIN(Reference!$A$11,MIN($U121,210))),Reference!$A$6:$A$11,1)))+(MAX(Reference!$A$6,MIN(Reference!$A$11,MIN($U121,210)))-INDEX(Reference!$A$6:$A$11,MIN(5,MATCH(MAX(Reference!$A$6,MIN(Reference!$A$11,MIN($U121,210))),Reference!$A$6:$A$11,1))))*(INDEX(Reference!$B$6:$B$11,MIN(5,MATCH(MAX(Reference!$A$6,MIN(Reference!$A$11,MIN($U121,210))),Reference!$A$6:$A$11,1))+1)-INDEX(Reference!$B$6:$B$11,MIN(5,MATCH(MAX(Reference!$A$6,MIN(Reference!$A$11,MIN($U121,210))),Reference!$A$6:$A$11,1))))/(INDEX(Reference!$A$6:$A$11,MIN(5,MATCH(MAX(Reference!$A$6,MIN(Reference!$A$11,MIN($U121,210))),Reference!$A$6:$A$11,1))+1)-INDEX(Reference!$A$6:$A$11,MIN(5,MATCH(MAX(Reference!$A$6,MIN(Reference!$A$11,MIN($U121,210))),Reference!$A$6:$A$11,1))))),0)+IF(6&lt;=$AL121,($AL121-6+3)*(INDEX(Reference!$B$6:$B$11,MIN(5,MATCH(MAX(Reference!$A$6,MIN(Reference!$A$11,MIN($U121,240))),Reference!$A$6:$A$11,1)))+(MAX(Reference!$A$6,MIN(Reference!$A$11,MIN($U121,240)))-INDEX(Reference!$A$6:$A$11,MIN(5,MATCH(MAX(Reference!$A$6,MIN(Reference!$A$11,MIN($U121,240))),Reference!$A$6:$A$11,1))))*(INDEX(Reference!$B$6:$B$11,MIN(5,MATCH(MAX(Reference!$A$6,MIN(Reference!$A$11,MIN($U121,240))),Reference!$A$6:$A$11,1))+1)-INDEX(Reference!$B$6:$B$11,MIN(5,MATCH(MAX(Reference!$A$6,MIN(Reference!$A$11,MIN($U121,240))),Reference!$A$6:$A$11,1))))/(INDEX(Reference!$A$6:$A$11,MIN(5,MATCH(MAX(Reference!$A$6,MIN(Reference!$A$11,MIN($U121,240))),Reference!$A$6:$A$11,1))+1)-INDEX(Reference!$A$6:$A$11,MIN(5,MATCH(MAX(Reference!$A$6,MIN(Reference!$A$11,MIN($U121,240))),Reference!$A$6:$A$11,1))))),0)+IF(7&lt;=$AL121,($AL121-7+3)*(INDEX(Reference!$B$6:$B$11,MIN(5,MATCH(MAX(Reference!$A$6,MIN(Reference!$A$11,MIN($U121,270))),Reference!$A$6:$A$11,1)))+(MAX(Reference!$A$6,MIN(Reference!$A$11,MIN($U121,270)))-INDEX(Reference!$A$6:$A$11,MIN(5,MATCH(MAX(Reference!$A$6,MIN(Reference!$A$11,MIN($U121,270))),Reference!$A$6:$A$11,1))))*(INDEX(Reference!$B$6:$B$11,MIN(5,MATCH(MAX(Reference!$A$6,MIN(Reference!$A$11,MIN($U121,270))),Reference!$A$6:$A$11,1))+1)-INDEX(Reference!$B$6:$B$11,MIN(5,MATCH(MAX(Reference!$A$6,MIN(Reference!$A$11,MIN($U121,270))),Reference!$A$6:$A$11,1))))/(INDEX(Reference!$A$6:$A$11,MIN(5,MATCH(MAX(Reference!$A$6,MIN(Reference!$A$11,MIN($U121,270))),Reference!$A$6:$A$11,1))+1)-INDEX(Reference!$A$6:$A$11,MIN(5,MATCH(MAX(Reference!$A$6,MIN(Reference!$A$11,MIN($U121,270))),Reference!$A$6:$A$11,1))))),0)+IF(8&lt;=$AL121,($AL121-8+3)*(INDEX(Reference!$B$6:$B$11,MIN(5,MATCH(MAX(Reference!$A$6,MIN(Reference!$A$11,MIN($U121,300))),Reference!$A$6:$A$11,1)))+(MAX(Reference!$A$6,MIN(Reference!$A$11,MIN($U121,300)))-INDEX(Reference!$A$6:$A$11,MIN(5,MATCH(MAX(Reference!$A$6,MIN(Reference!$A$11,MIN($U121,300))),Reference!$A$6:$A$11,1))))*(INDEX(Reference!$B$6:$B$11,MIN(5,MATCH(MAX(Reference!$A$6,MIN(Reference!$A$11,MIN($U121,300))),Reference!$A$6:$A$11,1))+1)-INDEX(Reference!$B$6:$B$11,MIN(5,MATCH(MAX(Reference!$A$6,MIN(Reference!$A$11,MIN($U121,300))),Reference!$A$6:$A$11,1))))/(INDEX(Reference!$A$6:$A$11,MIN(5,MATCH(MAX(Reference!$A$6,MIN(Reference!$A$11,MIN($U121,300))),Reference!$A$6:$A$11,1))+1)-INDEX(Reference!$A$6:$A$11,MIN(5,MATCH(MAX(Reference!$A$6,MIN(Reference!$A$11,MIN($U121,300))),Reference!$A$6:$A$11,1))))),0))/($AL121*($AL121+5)/2)),$AN121))</f>
        <v>1.3</v>
      </c>
      <c r="AN121" s="32">
        <f>IF($U121="",0,(INDEX(Reference!$B$6:$B$11,MIN(5,MATCH(MAX(Reference!$A$6,MIN(Reference!$A$11,$U121)),Reference!$A$6:$A$11,1)))+(MAX(Reference!$A$6,MIN(Reference!$A$11,$U121))-INDEX(Reference!$A$6:$A$11,MIN(5,MATCH(MAX(Reference!$A$6,MIN(Reference!$A$11,$U121)),Reference!$A$6:$A$11,1))))*(INDEX(Reference!$B$6:$B$11,MIN(5,MATCH(MAX(Reference!$A$6,MIN(Reference!$A$11,$U121)),Reference!$A$6:$A$11,1))+1)-INDEX(Reference!$B$6:$B$11,MIN(5,MATCH(MAX(Reference!$A$6,MIN(Reference!$A$11,$U121)),Reference!$A$6:$A$11,1))))/(INDEX(Reference!$A$6:$A$11,MIN(5,MATCH(MAX(Reference!$A$6,MIN(Reference!$A$11,$U121)),Reference!$A$6:$A$11,1))+1)-INDEX(Reference!$A$6:$A$11,MIN(5,MATCH(MAX(Reference!$A$6,MIN(Reference!$A$11,$U121)),Reference!$A$6:$A$11,1))))))</f>
        <v>1.3</v>
      </c>
      <c r="AO121" s="37"/>
      <c r="AP121" s="37"/>
      <c r="AQ121" s="37"/>
    </row>
    <row r="122" spans="1:43" x14ac:dyDescent="0.3">
      <c r="A122" s="48">
        <f t="shared" si="55"/>
        <v>46386</v>
      </c>
      <c r="B122" s="32" t="str">
        <f t="shared" si="56"/>
        <v>Wed</v>
      </c>
      <c r="C122" s="32">
        <f t="shared" si="57"/>
        <v>5</v>
      </c>
      <c r="D122" s="32" t="str">
        <f t="shared" si="58"/>
        <v>Taper</v>
      </c>
      <c r="E122" s="32" t="str">
        <f t="shared" si="59"/>
        <v>Low</v>
      </c>
      <c r="F122" s="32" t="str">
        <f t="shared" si="60"/>
        <v>Recovery/Easy Catch</v>
      </c>
      <c r="G122" s="47" t="str">
        <f t="shared" si="61"/>
        <v>60 ft × 30 @ 67–71 mph</v>
      </c>
      <c r="H122" s="30">
        <f t="shared" si="62"/>
        <v>18</v>
      </c>
      <c r="I122" s="46">
        <f>IF($A122="","",IF(AND($L122&lt;27,$K$12=0),"Building",IFERROR(((SUM($H$116:$H122)+$K$12*IF($L122&lt;6,SUMIFS('Throw Log'!$Q$5:$Q$300,'Throw Log'!$B$5:$B$300,$D$4,'Throw Log'!$A$5:$A$300,"&gt;="&amp;($D$6+$L122-6),'Throw Log'!$A$5:$A$300,"&lt;="&amp;($D$6-1)),0))/7)/((SUM($H$95:$H122)+$K$12*IF($L122&lt;27,SUMIFS('Throw Log'!$Q$5:$Q$300,'Throw Log'!$B$5:$B$300,$D$4,'Throw Log'!$A$5:$A$300,"&gt;="&amp;($D$6+$L122-27),'Throw Log'!$A$5:$A$300,"&lt;="&amp;($D$6-1)),0))/28),"")))</f>
        <v>1.2054110076416171</v>
      </c>
      <c r="J122" s="37"/>
      <c r="K122" s="37"/>
      <c r="L122" s="32">
        <v>79</v>
      </c>
      <c r="M122" s="32">
        <f t="shared" si="63"/>
        <v>12</v>
      </c>
      <c r="N122" s="32">
        <f t="shared" si="64"/>
        <v>2</v>
      </c>
      <c r="O122" s="32">
        <f t="shared" si="65"/>
        <v>1</v>
      </c>
      <c r="P122" s="32" t="str">
        <f>IF(OR($A122="",N($C122)&lt;=7),"",$G$6*$G$9^($M122-1)*IF(AND(MOD($M122,Reference!$B$99)=0,$M122&lt;=$G$5-2),Reference!$B$100,1))</f>
        <v/>
      </c>
      <c r="Q122" s="32" t="str">
        <f>IF($P122="","",IF(SUM($AK$120:$AK$126)=0,0,$P122*INDEX(Reference!$B$108:$B$114,$N122+1)/SUM($AK$120:$AK$126)))</f>
        <v/>
      </c>
      <c r="R122" s="32">
        <f t="shared" si="66"/>
        <v>180</v>
      </c>
      <c r="S122" s="32">
        <f t="shared" si="67"/>
        <v>150</v>
      </c>
      <c r="T122" s="32" t="str">
        <f>IF($A122="","",IF($C122=0,"Bullpen",IF(OR($C122=7,$C122=1,$C122=5),"Recovery/Easy Catch",IF($C122=6,"Compression/Pulldowns",IF(OR($C122=4,$C122=2),"Long Toss",IF($C122=3,"No Throw",IF($N122=2,"No Throw",IF($N122=6,IF($O122&lt;Reference!$B$104,"No Throw","Recovery/Easy Catch"),IF(OR($N122=0,$N122=4),"Recovery/Easy Catch",IF($N122=1,IF($R122&gt;75,"Long Toss","Recovery/Easy Catch"),IF($N122=3,IF($O122&lt;0.5,IF($S122&gt;75,"Long Toss","Recovery/Easy Catch"),"Compression/Pulldowns"),IF($S122&gt;75,"Long Toss","Recovery/Easy Catch"))))))))))))</f>
        <v>Recovery/Easy Catch</v>
      </c>
      <c r="U122" s="32">
        <f t="shared" si="68"/>
        <v>60</v>
      </c>
      <c r="V122" s="32">
        <f t="shared" si="69"/>
        <v>20</v>
      </c>
      <c r="W122" s="32">
        <f t="shared" si="70"/>
        <v>24</v>
      </c>
      <c r="X122" s="32">
        <f t="shared" si="71"/>
        <v>0</v>
      </c>
      <c r="Y122" s="32" t="str">
        <f t="shared" si="72"/>
        <v/>
      </c>
      <c r="Z122" s="32" t="str">
        <f t="shared" si="73"/>
        <v/>
      </c>
      <c r="AA122" s="32">
        <f t="shared" si="74"/>
        <v>30</v>
      </c>
      <c r="AB122" s="32">
        <f>IF($A122="","",IF($T122="No Throw",0,IF($K122&lt;&gt;"",$K122,IF($AA122&lt;&gt;"",ROUND($AA122*$D$12*IF($C122=0,1,$G$10),0),MIN(IF($T122="Recovery/Easy Catch",Reference!$B$103,IF($T122="Long Toss",Reference!$B$106,Reference!$B$102)),MAX(Reference!$B$101,ROUND(MAX(0,$Q122-$AE122)/$AF122,0)))))))</f>
        <v>30</v>
      </c>
      <c r="AC122" s="32">
        <f t="shared" si="75"/>
        <v>0</v>
      </c>
      <c r="AD122" s="32" t="b">
        <f t="shared" si="76"/>
        <v>0</v>
      </c>
      <c r="AE122" s="32">
        <f>IF($X122=0,0,$X122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122+$Z122)/2,0),Reference!$A$17:$B$20,2,TRUE()))</f>
        <v>0</v>
      </c>
      <c r="AF122" s="32">
        <f>IF(OR($A122="",$U122="",$T122="No Throw"),0,$AM122*VLOOKUP(MAX(($V122+$W122)/2,0),Reference!$A$17:$B$20,2,TRUE()))</f>
        <v>0.6</v>
      </c>
      <c r="AG122" s="32">
        <f>IF($AC122=0,0,$AC122*INDEX(Reference!$B$61:$B$62,MATCH("Bullpen",Reference!$A$61:$A$62,0))*VLOOKUP(MAX($D$5-($D$9+$E$9)/2,0),Reference!$A$17:$B$20,2,TRUE()))</f>
        <v>0</v>
      </c>
      <c r="AH122" s="46">
        <f t="shared" si="77"/>
        <v>1.2054110076416171</v>
      </c>
      <c r="AI122" s="32">
        <f>IF($A122="",NA(),Reference!$A$25)</f>
        <v>0.8</v>
      </c>
      <c r="AJ122" s="32">
        <f t="shared" si="78"/>
        <v>1.3</v>
      </c>
      <c r="AK122" s="32">
        <f>IF(OR($A122="",N($C122)&lt;=7,$T122="No Throw",$J122="x"),0,INDEX(Reference!$B$108:$B$114,$N122+1))</f>
        <v>0</v>
      </c>
      <c r="AL122" s="32">
        <f t="shared" si="79"/>
        <v>1</v>
      </c>
      <c r="AM122" s="32">
        <f>IF($U122="",0,IF($AL122&gt;1,((IF(1&lt;=$AL122,($AL122-1+3)*(INDEX(Reference!$B$6:$B$11,MIN(5,MATCH(MAX(Reference!$A$6,MIN(Reference!$A$11,MIN($U122,90))),Reference!$A$6:$A$11,1)))+(MAX(Reference!$A$6,MIN(Reference!$A$11,MIN($U122,90)))-INDEX(Reference!$A$6:$A$11,MIN(5,MATCH(MAX(Reference!$A$6,MIN(Reference!$A$11,MIN($U122,90))),Reference!$A$6:$A$11,1))))*(INDEX(Reference!$B$6:$B$11,MIN(5,MATCH(MAX(Reference!$A$6,MIN(Reference!$A$11,MIN($U122,90))),Reference!$A$6:$A$11,1))+1)-INDEX(Reference!$B$6:$B$11,MIN(5,MATCH(MAX(Reference!$A$6,MIN(Reference!$A$11,MIN($U122,90))),Reference!$A$6:$A$11,1))))/(INDEX(Reference!$A$6:$A$11,MIN(5,MATCH(MAX(Reference!$A$6,MIN(Reference!$A$11,MIN($U122,90))),Reference!$A$6:$A$11,1))+1)-INDEX(Reference!$A$6:$A$11,MIN(5,MATCH(MAX(Reference!$A$6,MIN(Reference!$A$11,MIN($U122,90))),Reference!$A$6:$A$11,1))))),0)+IF(2&lt;=$AL122,($AL122-2+3)*(INDEX(Reference!$B$6:$B$11,MIN(5,MATCH(MAX(Reference!$A$6,MIN(Reference!$A$11,MIN($U122,120))),Reference!$A$6:$A$11,1)))+(MAX(Reference!$A$6,MIN(Reference!$A$11,MIN($U122,120)))-INDEX(Reference!$A$6:$A$11,MIN(5,MATCH(MAX(Reference!$A$6,MIN(Reference!$A$11,MIN($U122,120))),Reference!$A$6:$A$11,1))))*(INDEX(Reference!$B$6:$B$11,MIN(5,MATCH(MAX(Reference!$A$6,MIN(Reference!$A$11,MIN($U122,120))),Reference!$A$6:$A$11,1))+1)-INDEX(Reference!$B$6:$B$11,MIN(5,MATCH(MAX(Reference!$A$6,MIN(Reference!$A$11,MIN($U122,120))),Reference!$A$6:$A$11,1))))/(INDEX(Reference!$A$6:$A$11,MIN(5,MATCH(MAX(Reference!$A$6,MIN(Reference!$A$11,MIN($U122,120))),Reference!$A$6:$A$11,1))+1)-INDEX(Reference!$A$6:$A$11,MIN(5,MATCH(MAX(Reference!$A$6,MIN(Reference!$A$11,MIN($U122,120))),Reference!$A$6:$A$11,1))))),0)+IF(3&lt;=$AL122,($AL122-3+3)*(INDEX(Reference!$B$6:$B$11,MIN(5,MATCH(MAX(Reference!$A$6,MIN(Reference!$A$11,MIN($U122,150))),Reference!$A$6:$A$11,1)))+(MAX(Reference!$A$6,MIN(Reference!$A$11,MIN($U122,150)))-INDEX(Reference!$A$6:$A$11,MIN(5,MATCH(MAX(Reference!$A$6,MIN(Reference!$A$11,MIN($U122,150))),Reference!$A$6:$A$11,1))))*(INDEX(Reference!$B$6:$B$11,MIN(5,MATCH(MAX(Reference!$A$6,MIN(Reference!$A$11,MIN($U122,150))),Reference!$A$6:$A$11,1))+1)-INDEX(Reference!$B$6:$B$11,MIN(5,MATCH(MAX(Reference!$A$6,MIN(Reference!$A$11,MIN($U122,150))),Reference!$A$6:$A$11,1))))/(INDEX(Reference!$A$6:$A$11,MIN(5,MATCH(MAX(Reference!$A$6,MIN(Reference!$A$11,MIN($U122,150))),Reference!$A$6:$A$11,1))+1)-INDEX(Reference!$A$6:$A$11,MIN(5,MATCH(MAX(Reference!$A$6,MIN(Reference!$A$11,MIN($U122,150))),Reference!$A$6:$A$11,1))))),0)+IF(4&lt;=$AL122,($AL122-4+3)*(INDEX(Reference!$B$6:$B$11,MIN(5,MATCH(MAX(Reference!$A$6,MIN(Reference!$A$11,MIN($U122,180))),Reference!$A$6:$A$11,1)))+(MAX(Reference!$A$6,MIN(Reference!$A$11,MIN($U122,180)))-INDEX(Reference!$A$6:$A$11,MIN(5,MATCH(MAX(Reference!$A$6,MIN(Reference!$A$11,MIN($U122,180))),Reference!$A$6:$A$11,1))))*(INDEX(Reference!$B$6:$B$11,MIN(5,MATCH(MAX(Reference!$A$6,MIN(Reference!$A$11,MIN($U122,180))),Reference!$A$6:$A$11,1))+1)-INDEX(Reference!$B$6:$B$11,MIN(5,MATCH(MAX(Reference!$A$6,MIN(Reference!$A$11,MIN($U122,180))),Reference!$A$6:$A$11,1))))/(INDEX(Reference!$A$6:$A$11,MIN(5,MATCH(MAX(Reference!$A$6,MIN(Reference!$A$11,MIN($U122,180))),Reference!$A$6:$A$11,1))+1)-INDEX(Reference!$A$6:$A$11,MIN(5,MATCH(MAX(Reference!$A$6,MIN(Reference!$A$11,MIN($U122,180))),Reference!$A$6:$A$11,1))))),0)+IF(5&lt;=$AL122,($AL122-5+3)*(INDEX(Reference!$B$6:$B$11,MIN(5,MATCH(MAX(Reference!$A$6,MIN(Reference!$A$11,MIN($U122,210))),Reference!$A$6:$A$11,1)))+(MAX(Reference!$A$6,MIN(Reference!$A$11,MIN($U122,210)))-INDEX(Reference!$A$6:$A$11,MIN(5,MATCH(MAX(Reference!$A$6,MIN(Reference!$A$11,MIN($U122,210))),Reference!$A$6:$A$11,1))))*(INDEX(Reference!$B$6:$B$11,MIN(5,MATCH(MAX(Reference!$A$6,MIN(Reference!$A$11,MIN($U122,210))),Reference!$A$6:$A$11,1))+1)-INDEX(Reference!$B$6:$B$11,MIN(5,MATCH(MAX(Reference!$A$6,MIN(Reference!$A$11,MIN($U122,210))),Reference!$A$6:$A$11,1))))/(INDEX(Reference!$A$6:$A$11,MIN(5,MATCH(MAX(Reference!$A$6,MIN(Reference!$A$11,MIN($U122,210))),Reference!$A$6:$A$11,1))+1)-INDEX(Reference!$A$6:$A$11,MIN(5,MATCH(MAX(Reference!$A$6,MIN(Reference!$A$11,MIN($U122,210))),Reference!$A$6:$A$11,1))))),0)+IF(6&lt;=$AL122,($AL122-6+3)*(INDEX(Reference!$B$6:$B$11,MIN(5,MATCH(MAX(Reference!$A$6,MIN(Reference!$A$11,MIN($U122,240))),Reference!$A$6:$A$11,1)))+(MAX(Reference!$A$6,MIN(Reference!$A$11,MIN($U122,240)))-INDEX(Reference!$A$6:$A$11,MIN(5,MATCH(MAX(Reference!$A$6,MIN(Reference!$A$11,MIN($U122,240))),Reference!$A$6:$A$11,1))))*(INDEX(Reference!$B$6:$B$11,MIN(5,MATCH(MAX(Reference!$A$6,MIN(Reference!$A$11,MIN($U122,240))),Reference!$A$6:$A$11,1))+1)-INDEX(Reference!$B$6:$B$11,MIN(5,MATCH(MAX(Reference!$A$6,MIN(Reference!$A$11,MIN($U122,240))),Reference!$A$6:$A$11,1))))/(INDEX(Reference!$A$6:$A$11,MIN(5,MATCH(MAX(Reference!$A$6,MIN(Reference!$A$11,MIN($U122,240))),Reference!$A$6:$A$11,1))+1)-INDEX(Reference!$A$6:$A$11,MIN(5,MATCH(MAX(Reference!$A$6,MIN(Reference!$A$11,MIN($U122,240))),Reference!$A$6:$A$11,1))))),0)+IF(7&lt;=$AL122,($AL122-7+3)*(INDEX(Reference!$B$6:$B$11,MIN(5,MATCH(MAX(Reference!$A$6,MIN(Reference!$A$11,MIN($U122,270))),Reference!$A$6:$A$11,1)))+(MAX(Reference!$A$6,MIN(Reference!$A$11,MIN($U122,270)))-INDEX(Reference!$A$6:$A$11,MIN(5,MATCH(MAX(Reference!$A$6,MIN(Reference!$A$11,MIN($U122,270))),Reference!$A$6:$A$11,1))))*(INDEX(Reference!$B$6:$B$11,MIN(5,MATCH(MAX(Reference!$A$6,MIN(Reference!$A$11,MIN($U122,270))),Reference!$A$6:$A$11,1))+1)-INDEX(Reference!$B$6:$B$11,MIN(5,MATCH(MAX(Reference!$A$6,MIN(Reference!$A$11,MIN($U122,270))),Reference!$A$6:$A$11,1))))/(INDEX(Reference!$A$6:$A$11,MIN(5,MATCH(MAX(Reference!$A$6,MIN(Reference!$A$11,MIN($U122,270))),Reference!$A$6:$A$11,1))+1)-INDEX(Reference!$A$6:$A$11,MIN(5,MATCH(MAX(Reference!$A$6,MIN(Reference!$A$11,MIN($U122,270))),Reference!$A$6:$A$11,1))))),0)+IF(8&lt;=$AL122,($AL122-8+3)*(INDEX(Reference!$B$6:$B$11,MIN(5,MATCH(MAX(Reference!$A$6,MIN(Reference!$A$11,MIN($U122,300))),Reference!$A$6:$A$11,1)))+(MAX(Reference!$A$6,MIN(Reference!$A$11,MIN($U122,300)))-INDEX(Reference!$A$6:$A$11,MIN(5,MATCH(MAX(Reference!$A$6,MIN(Reference!$A$11,MIN($U122,300))),Reference!$A$6:$A$11,1))))*(INDEX(Reference!$B$6:$B$11,MIN(5,MATCH(MAX(Reference!$A$6,MIN(Reference!$A$11,MIN($U122,300))),Reference!$A$6:$A$11,1))+1)-INDEX(Reference!$B$6:$B$11,MIN(5,MATCH(MAX(Reference!$A$6,MIN(Reference!$A$11,MIN($U122,300))),Reference!$A$6:$A$11,1))))/(INDEX(Reference!$A$6:$A$11,MIN(5,MATCH(MAX(Reference!$A$6,MIN(Reference!$A$11,MIN($U122,300))),Reference!$A$6:$A$11,1))+1)-INDEX(Reference!$A$6:$A$11,MIN(5,MATCH(MAX(Reference!$A$6,MIN(Reference!$A$11,MIN($U122,300))),Reference!$A$6:$A$11,1))))),0))/($AL122*($AL122+5)/2)),$AN122))</f>
        <v>1</v>
      </c>
      <c r="AN122" s="32">
        <f>IF($U122="",0,(INDEX(Reference!$B$6:$B$11,MIN(5,MATCH(MAX(Reference!$A$6,MIN(Reference!$A$11,$U122)),Reference!$A$6:$A$11,1)))+(MAX(Reference!$A$6,MIN(Reference!$A$11,$U122))-INDEX(Reference!$A$6:$A$11,MIN(5,MATCH(MAX(Reference!$A$6,MIN(Reference!$A$11,$U122)),Reference!$A$6:$A$11,1))))*(INDEX(Reference!$B$6:$B$11,MIN(5,MATCH(MAX(Reference!$A$6,MIN(Reference!$A$11,$U122)),Reference!$A$6:$A$11,1))+1)-INDEX(Reference!$B$6:$B$11,MIN(5,MATCH(MAX(Reference!$A$6,MIN(Reference!$A$11,$U122)),Reference!$A$6:$A$11,1))))/(INDEX(Reference!$A$6:$A$11,MIN(5,MATCH(MAX(Reference!$A$6,MIN(Reference!$A$11,$U122)),Reference!$A$6:$A$11,1))+1)-INDEX(Reference!$A$6:$A$11,MIN(5,MATCH(MAX(Reference!$A$6,MIN(Reference!$A$11,$U122)),Reference!$A$6:$A$11,1))))))</f>
        <v>1</v>
      </c>
      <c r="AO122" s="37"/>
      <c r="AP122" s="37"/>
      <c r="AQ122" s="37"/>
    </row>
    <row r="123" spans="1:43" ht="26.4" x14ac:dyDescent="0.3">
      <c r="A123" s="48">
        <f t="shared" si="55"/>
        <v>46387</v>
      </c>
      <c r="B123" s="32" t="str">
        <f t="shared" si="56"/>
        <v>Thu</v>
      </c>
      <c r="C123" s="32">
        <f t="shared" si="57"/>
        <v>4</v>
      </c>
      <c r="D123" s="32" t="str">
        <f t="shared" si="58"/>
        <v>Taper</v>
      </c>
      <c r="E123" s="32" t="str">
        <f t="shared" si="59"/>
        <v>Medium</v>
      </c>
      <c r="F123" s="32" t="str">
        <f t="shared" si="60"/>
        <v>Long Toss</v>
      </c>
      <c r="G123" s="47" t="str">
        <f t="shared" si="61"/>
        <v>Long toss out to 135 ft — 37 throws (90×15 · 120×13 · 135×9) @ 78–81 mph + flat ground at 60 ft × 15 @ 81–83 mph</v>
      </c>
      <c r="H123" s="30">
        <f t="shared" si="62"/>
        <v>50.427500000000002</v>
      </c>
      <c r="I123" s="46">
        <f>IF($A123="","",IF(AND($L123&lt;27,$K$12=0),"Building",IFERROR(((SUM($H$117:$H123)+$K$12*IF($L123&lt;6,SUMIFS('Throw Log'!$Q$5:$Q$300,'Throw Log'!$B$5:$B$300,$D$4,'Throw Log'!$A$5:$A$300,"&gt;="&amp;($D$6+$L123-6),'Throw Log'!$A$5:$A$300,"&lt;="&amp;($D$6-1)),0))/7)/((SUM($H$96:$H123)+$K$12*IF($L123&lt;27,SUMIFS('Throw Log'!$Q$5:$Q$300,'Throw Log'!$B$5:$B$300,$D$4,'Throw Log'!$A$5:$A$300,"&gt;="&amp;($D$6+$L123-27),'Throw Log'!$A$5:$A$300,"&lt;="&amp;($D$6-1)),0))/28),"")))</f>
        <v>1.1665975728346778</v>
      </c>
      <c r="J123" s="37"/>
      <c r="K123" s="37"/>
      <c r="L123" s="32">
        <v>80</v>
      </c>
      <c r="M123" s="32">
        <f t="shared" si="63"/>
        <v>12</v>
      </c>
      <c r="N123" s="32">
        <f t="shared" si="64"/>
        <v>3</v>
      </c>
      <c r="O123" s="32">
        <f t="shared" si="65"/>
        <v>1</v>
      </c>
      <c r="P123" s="32" t="str">
        <f>IF(OR($A123="",N($C123)&lt;=7),"",$G$6*$G$9^($M123-1)*IF(AND(MOD($M123,Reference!$B$99)=0,$M123&lt;=$G$5-2),Reference!$B$100,1))</f>
        <v/>
      </c>
      <c r="Q123" s="32" t="str">
        <f>IF($P123="","",IF(SUM($AK$120:$AK$126)=0,0,$P123*INDEX(Reference!$B$108:$B$114,$N123+1)/SUM($AK$120:$AK$126)))</f>
        <v/>
      </c>
      <c r="R123" s="32">
        <f t="shared" si="66"/>
        <v>180</v>
      </c>
      <c r="S123" s="32">
        <f t="shared" si="67"/>
        <v>150</v>
      </c>
      <c r="T123" s="32" t="str">
        <f>IF($A123="","",IF($C123=0,"Bullpen",IF(OR($C123=7,$C123=1,$C123=5),"Recovery/Easy Catch",IF($C123=6,"Compression/Pulldowns",IF(OR($C123=4,$C123=2),"Long Toss",IF($C123=3,"No Throw",IF($N123=2,"No Throw",IF($N123=6,IF($O123&lt;Reference!$B$104,"No Throw","Recovery/Easy Catch"),IF(OR($N123=0,$N123=4),"Recovery/Easy Catch",IF($N123=1,IF($R123&gt;75,"Long Toss","Recovery/Easy Catch"),IF($N123=3,IF($O123&lt;0.5,IF($S123&gt;75,"Long Toss","Recovery/Easy Catch"),"Compression/Pulldowns"),IF($S123&gt;75,"Long Toss","Recovery/Easy Catch"))))))))))))</f>
        <v>Long Toss</v>
      </c>
      <c r="U123" s="32">
        <f t="shared" si="68"/>
        <v>135</v>
      </c>
      <c r="V123" s="32">
        <f t="shared" si="69"/>
        <v>10</v>
      </c>
      <c r="W123" s="32">
        <f t="shared" si="70"/>
        <v>13</v>
      </c>
      <c r="X123" s="32">
        <f t="shared" si="71"/>
        <v>15</v>
      </c>
      <c r="Y123" s="32">
        <f t="shared" si="72"/>
        <v>8</v>
      </c>
      <c r="Z123" s="32">
        <f t="shared" si="73"/>
        <v>10</v>
      </c>
      <c r="AA123" s="32">
        <f t="shared" si="74"/>
        <v>36.6579634464752</v>
      </c>
      <c r="AB123" s="32">
        <f>IF($A123="","",IF($T123="No Throw",0,IF($K123&lt;&gt;"",$K123,IF($AA123&lt;&gt;"",ROUND($AA123*$D$12*IF($C123=0,1,$G$10),0),MIN(IF($T123="Recovery/Easy Catch",Reference!$B$103,IF($T123="Long Toss",Reference!$B$106,Reference!$B$102)),MAX(Reference!$B$101,ROUND(MAX(0,$Q123-$AE123)/$AF123,0)))))))</f>
        <v>37</v>
      </c>
      <c r="AC123" s="32">
        <f t="shared" si="75"/>
        <v>0</v>
      </c>
      <c r="AD123" s="32" t="b">
        <f t="shared" si="76"/>
        <v>0</v>
      </c>
      <c r="AE123" s="32">
        <f>IF($X123=0,0,$X123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123+$Z123)/2,0),Reference!$A$17:$B$20,2,TRUE()))</f>
        <v>15</v>
      </c>
      <c r="AF123" s="32">
        <f>IF(OR($A123="",$U123="",$T123="No Throw"),0,$AM123*VLOOKUP(MAX(($V123+$W123)/2,0),Reference!$A$17:$B$20,2,TRUE()))</f>
        <v>0.95750000000000002</v>
      </c>
      <c r="AG123" s="32">
        <f>IF($AC123=0,0,$AC123*INDEX(Reference!$B$61:$B$62,MATCH("Bullpen",Reference!$A$61:$A$62,0))*VLOOKUP(MAX($D$5-($D$9+$E$9)/2,0),Reference!$A$17:$B$20,2,TRUE()))</f>
        <v>0</v>
      </c>
      <c r="AH123" s="46">
        <f t="shared" si="77"/>
        <v>1.1665975728346778</v>
      </c>
      <c r="AI123" s="32">
        <f>IF($A123="",NA(),Reference!$A$25)</f>
        <v>0.8</v>
      </c>
      <c r="AJ123" s="32">
        <f t="shared" si="78"/>
        <v>1.3</v>
      </c>
      <c r="AK123" s="32">
        <f>IF(OR($A123="",N($C123)&lt;=7,$T123="No Throw",$J123="x"),0,INDEX(Reference!$B$108:$B$114,$N123+1))</f>
        <v>0</v>
      </c>
      <c r="AL123" s="32">
        <f t="shared" si="79"/>
        <v>3</v>
      </c>
      <c r="AM123" s="32">
        <f>IF($U123="",0,IF($AL123&gt;1,((IF(1&lt;=$AL123,($AL123-1+3)*(INDEX(Reference!$B$6:$B$11,MIN(5,MATCH(MAX(Reference!$A$6,MIN(Reference!$A$11,MIN($U123,90))),Reference!$A$6:$A$11,1)))+(MAX(Reference!$A$6,MIN(Reference!$A$11,MIN($U123,90)))-INDEX(Reference!$A$6:$A$11,MIN(5,MATCH(MAX(Reference!$A$6,MIN(Reference!$A$11,MIN($U123,90))),Reference!$A$6:$A$11,1))))*(INDEX(Reference!$B$6:$B$11,MIN(5,MATCH(MAX(Reference!$A$6,MIN(Reference!$A$11,MIN($U123,90))),Reference!$A$6:$A$11,1))+1)-INDEX(Reference!$B$6:$B$11,MIN(5,MATCH(MAX(Reference!$A$6,MIN(Reference!$A$11,MIN($U123,90))),Reference!$A$6:$A$11,1))))/(INDEX(Reference!$A$6:$A$11,MIN(5,MATCH(MAX(Reference!$A$6,MIN(Reference!$A$11,MIN($U123,90))),Reference!$A$6:$A$11,1))+1)-INDEX(Reference!$A$6:$A$11,MIN(5,MATCH(MAX(Reference!$A$6,MIN(Reference!$A$11,MIN($U123,90))),Reference!$A$6:$A$11,1))))),0)+IF(2&lt;=$AL123,($AL123-2+3)*(INDEX(Reference!$B$6:$B$11,MIN(5,MATCH(MAX(Reference!$A$6,MIN(Reference!$A$11,MIN($U123,120))),Reference!$A$6:$A$11,1)))+(MAX(Reference!$A$6,MIN(Reference!$A$11,MIN($U123,120)))-INDEX(Reference!$A$6:$A$11,MIN(5,MATCH(MAX(Reference!$A$6,MIN(Reference!$A$11,MIN($U123,120))),Reference!$A$6:$A$11,1))))*(INDEX(Reference!$B$6:$B$11,MIN(5,MATCH(MAX(Reference!$A$6,MIN(Reference!$A$11,MIN($U123,120))),Reference!$A$6:$A$11,1))+1)-INDEX(Reference!$B$6:$B$11,MIN(5,MATCH(MAX(Reference!$A$6,MIN(Reference!$A$11,MIN($U123,120))),Reference!$A$6:$A$11,1))))/(INDEX(Reference!$A$6:$A$11,MIN(5,MATCH(MAX(Reference!$A$6,MIN(Reference!$A$11,MIN($U123,120))),Reference!$A$6:$A$11,1))+1)-INDEX(Reference!$A$6:$A$11,MIN(5,MATCH(MAX(Reference!$A$6,MIN(Reference!$A$11,MIN($U123,120))),Reference!$A$6:$A$11,1))))),0)+IF(3&lt;=$AL123,($AL123-3+3)*(INDEX(Reference!$B$6:$B$11,MIN(5,MATCH(MAX(Reference!$A$6,MIN(Reference!$A$11,MIN($U123,150))),Reference!$A$6:$A$11,1)))+(MAX(Reference!$A$6,MIN(Reference!$A$11,MIN($U123,150)))-INDEX(Reference!$A$6:$A$11,MIN(5,MATCH(MAX(Reference!$A$6,MIN(Reference!$A$11,MIN($U123,150))),Reference!$A$6:$A$11,1))))*(INDEX(Reference!$B$6:$B$11,MIN(5,MATCH(MAX(Reference!$A$6,MIN(Reference!$A$11,MIN($U123,150))),Reference!$A$6:$A$11,1))+1)-INDEX(Reference!$B$6:$B$11,MIN(5,MATCH(MAX(Reference!$A$6,MIN(Reference!$A$11,MIN($U123,150))),Reference!$A$6:$A$11,1))))/(INDEX(Reference!$A$6:$A$11,MIN(5,MATCH(MAX(Reference!$A$6,MIN(Reference!$A$11,MIN($U123,150))),Reference!$A$6:$A$11,1))+1)-INDEX(Reference!$A$6:$A$11,MIN(5,MATCH(MAX(Reference!$A$6,MIN(Reference!$A$11,MIN($U123,150))),Reference!$A$6:$A$11,1))))),0)+IF(4&lt;=$AL123,($AL123-4+3)*(INDEX(Reference!$B$6:$B$11,MIN(5,MATCH(MAX(Reference!$A$6,MIN(Reference!$A$11,MIN($U123,180))),Reference!$A$6:$A$11,1)))+(MAX(Reference!$A$6,MIN(Reference!$A$11,MIN($U123,180)))-INDEX(Reference!$A$6:$A$11,MIN(5,MATCH(MAX(Reference!$A$6,MIN(Reference!$A$11,MIN($U123,180))),Reference!$A$6:$A$11,1))))*(INDEX(Reference!$B$6:$B$11,MIN(5,MATCH(MAX(Reference!$A$6,MIN(Reference!$A$11,MIN($U123,180))),Reference!$A$6:$A$11,1))+1)-INDEX(Reference!$B$6:$B$11,MIN(5,MATCH(MAX(Reference!$A$6,MIN(Reference!$A$11,MIN($U123,180))),Reference!$A$6:$A$11,1))))/(INDEX(Reference!$A$6:$A$11,MIN(5,MATCH(MAX(Reference!$A$6,MIN(Reference!$A$11,MIN($U123,180))),Reference!$A$6:$A$11,1))+1)-INDEX(Reference!$A$6:$A$11,MIN(5,MATCH(MAX(Reference!$A$6,MIN(Reference!$A$11,MIN($U123,180))),Reference!$A$6:$A$11,1))))),0)+IF(5&lt;=$AL123,($AL123-5+3)*(INDEX(Reference!$B$6:$B$11,MIN(5,MATCH(MAX(Reference!$A$6,MIN(Reference!$A$11,MIN($U123,210))),Reference!$A$6:$A$11,1)))+(MAX(Reference!$A$6,MIN(Reference!$A$11,MIN($U123,210)))-INDEX(Reference!$A$6:$A$11,MIN(5,MATCH(MAX(Reference!$A$6,MIN(Reference!$A$11,MIN($U123,210))),Reference!$A$6:$A$11,1))))*(INDEX(Reference!$B$6:$B$11,MIN(5,MATCH(MAX(Reference!$A$6,MIN(Reference!$A$11,MIN($U123,210))),Reference!$A$6:$A$11,1))+1)-INDEX(Reference!$B$6:$B$11,MIN(5,MATCH(MAX(Reference!$A$6,MIN(Reference!$A$11,MIN($U123,210))),Reference!$A$6:$A$11,1))))/(INDEX(Reference!$A$6:$A$11,MIN(5,MATCH(MAX(Reference!$A$6,MIN(Reference!$A$11,MIN($U123,210))),Reference!$A$6:$A$11,1))+1)-INDEX(Reference!$A$6:$A$11,MIN(5,MATCH(MAX(Reference!$A$6,MIN(Reference!$A$11,MIN($U123,210))),Reference!$A$6:$A$11,1))))),0)+IF(6&lt;=$AL123,($AL123-6+3)*(INDEX(Reference!$B$6:$B$11,MIN(5,MATCH(MAX(Reference!$A$6,MIN(Reference!$A$11,MIN($U123,240))),Reference!$A$6:$A$11,1)))+(MAX(Reference!$A$6,MIN(Reference!$A$11,MIN($U123,240)))-INDEX(Reference!$A$6:$A$11,MIN(5,MATCH(MAX(Reference!$A$6,MIN(Reference!$A$11,MIN($U123,240))),Reference!$A$6:$A$11,1))))*(INDEX(Reference!$B$6:$B$11,MIN(5,MATCH(MAX(Reference!$A$6,MIN(Reference!$A$11,MIN($U123,240))),Reference!$A$6:$A$11,1))+1)-INDEX(Reference!$B$6:$B$11,MIN(5,MATCH(MAX(Reference!$A$6,MIN(Reference!$A$11,MIN($U123,240))),Reference!$A$6:$A$11,1))))/(INDEX(Reference!$A$6:$A$11,MIN(5,MATCH(MAX(Reference!$A$6,MIN(Reference!$A$11,MIN($U123,240))),Reference!$A$6:$A$11,1))+1)-INDEX(Reference!$A$6:$A$11,MIN(5,MATCH(MAX(Reference!$A$6,MIN(Reference!$A$11,MIN($U123,240))),Reference!$A$6:$A$11,1))))),0)+IF(7&lt;=$AL123,($AL123-7+3)*(INDEX(Reference!$B$6:$B$11,MIN(5,MATCH(MAX(Reference!$A$6,MIN(Reference!$A$11,MIN($U123,270))),Reference!$A$6:$A$11,1)))+(MAX(Reference!$A$6,MIN(Reference!$A$11,MIN($U123,270)))-INDEX(Reference!$A$6:$A$11,MIN(5,MATCH(MAX(Reference!$A$6,MIN(Reference!$A$11,MIN($U123,270))),Reference!$A$6:$A$11,1))))*(INDEX(Reference!$B$6:$B$11,MIN(5,MATCH(MAX(Reference!$A$6,MIN(Reference!$A$11,MIN($U123,270))),Reference!$A$6:$A$11,1))+1)-INDEX(Reference!$B$6:$B$11,MIN(5,MATCH(MAX(Reference!$A$6,MIN(Reference!$A$11,MIN($U123,270))),Reference!$A$6:$A$11,1))))/(INDEX(Reference!$A$6:$A$11,MIN(5,MATCH(MAX(Reference!$A$6,MIN(Reference!$A$11,MIN($U123,270))),Reference!$A$6:$A$11,1))+1)-INDEX(Reference!$A$6:$A$11,MIN(5,MATCH(MAX(Reference!$A$6,MIN(Reference!$A$11,MIN($U123,270))),Reference!$A$6:$A$11,1))))),0)+IF(8&lt;=$AL123,($AL123-8+3)*(INDEX(Reference!$B$6:$B$11,MIN(5,MATCH(MAX(Reference!$A$6,MIN(Reference!$A$11,MIN($U123,300))),Reference!$A$6:$A$11,1)))+(MAX(Reference!$A$6,MIN(Reference!$A$11,MIN($U123,300)))-INDEX(Reference!$A$6:$A$11,MIN(5,MATCH(MAX(Reference!$A$6,MIN(Reference!$A$11,MIN($U123,300))),Reference!$A$6:$A$11,1))))*(INDEX(Reference!$B$6:$B$11,MIN(5,MATCH(MAX(Reference!$A$6,MIN(Reference!$A$11,MIN($U123,300))),Reference!$A$6:$A$11,1))+1)-INDEX(Reference!$B$6:$B$11,MIN(5,MATCH(MAX(Reference!$A$6,MIN(Reference!$A$11,MIN($U123,300))),Reference!$A$6:$A$11,1))))/(INDEX(Reference!$A$6:$A$11,MIN(5,MATCH(MAX(Reference!$A$6,MIN(Reference!$A$11,MIN($U123,300))),Reference!$A$6:$A$11,1))+1)-INDEX(Reference!$A$6:$A$11,MIN(5,MATCH(MAX(Reference!$A$6,MIN(Reference!$A$11,MIN($U123,300))),Reference!$A$6:$A$11,1))))),0))/($AL123*($AL123+5)/2)),$AN123))</f>
        <v>1.5958333333333334</v>
      </c>
      <c r="AN123" s="32">
        <f>IF($U123="",0,(INDEX(Reference!$B$6:$B$11,MIN(5,MATCH(MAX(Reference!$A$6,MIN(Reference!$A$11,$U123)),Reference!$A$6:$A$11,1)))+(MAX(Reference!$A$6,MIN(Reference!$A$11,$U123))-INDEX(Reference!$A$6:$A$11,MIN(5,MATCH(MAX(Reference!$A$6,MIN(Reference!$A$11,$U123)),Reference!$A$6:$A$11,1))))*(INDEX(Reference!$B$6:$B$11,MIN(5,MATCH(MAX(Reference!$A$6,MIN(Reference!$A$11,$U123)),Reference!$A$6:$A$11,1))+1)-INDEX(Reference!$B$6:$B$11,MIN(5,MATCH(MAX(Reference!$A$6,MIN(Reference!$A$11,$U123)),Reference!$A$6:$A$11,1))))/(INDEX(Reference!$A$6:$A$11,MIN(5,MATCH(MAX(Reference!$A$6,MIN(Reference!$A$11,$U123)),Reference!$A$6:$A$11,1))+1)-INDEX(Reference!$A$6:$A$11,MIN(5,MATCH(MAX(Reference!$A$6,MIN(Reference!$A$11,$U123)),Reference!$A$6:$A$11,1))))))</f>
        <v>1.9500000000000002</v>
      </c>
      <c r="AO123" s="37"/>
      <c r="AP123" s="37"/>
      <c r="AQ123" s="37"/>
    </row>
    <row r="124" spans="1:43" x14ac:dyDescent="0.3">
      <c r="A124" s="48">
        <f t="shared" si="55"/>
        <v>46388</v>
      </c>
      <c r="B124" s="32" t="str">
        <f t="shared" si="56"/>
        <v>Fri</v>
      </c>
      <c r="C124" s="32">
        <f t="shared" si="57"/>
        <v>3</v>
      </c>
      <c r="D124" s="32" t="str">
        <f t="shared" si="58"/>
        <v>Taper</v>
      </c>
      <c r="E124" s="32" t="str">
        <f t="shared" si="59"/>
        <v>No Throw</v>
      </c>
      <c r="F124" s="32" t="str">
        <f t="shared" si="60"/>
        <v>No Throw</v>
      </c>
      <c r="G124" s="47" t="str">
        <f t="shared" si="61"/>
        <v>Off</v>
      </c>
      <c r="H124" s="30">
        <f t="shared" si="62"/>
        <v>0</v>
      </c>
      <c r="I124" s="46">
        <f>IF($A124="","",IF(AND($L124&lt;27,$K$12=0),"Building",IFERROR(((SUM($H$118:$H124)+$K$12*IF($L124&lt;6,SUMIFS('Throw Log'!$Q$5:$Q$300,'Throw Log'!$B$5:$B$300,$D$4,'Throw Log'!$A$5:$A$300,"&gt;="&amp;($D$6+$L124-6),'Throw Log'!$A$5:$A$300,"&lt;="&amp;($D$6-1)),0))/7)/((SUM($H$97:$H124)+$K$12*IF($L124&lt;27,SUMIFS('Throw Log'!$Q$5:$Q$300,'Throw Log'!$B$5:$B$300,$D$4,'Throw Log'!$A$5:$A$300,"&gt;="&amp;($D$6+$L124-27),'Throw Log'!$A$5:$A$300,"&lt;="&amp;($D$6-1)),0))/28),"")))</f>
        <v>1.0892443319269736</v>
      </c>
      <c r="J124" s="37"/>
      <c r="K124" s="37"/>
      <c r="L124" s="32">
        <v>81</v>
      </c>
      <c r="M124" s="32">
        <f t="shared" si="63"/>
        <v>12</v>
      </c>
      <c r="N124" s="32">
        <f t="shared" si="64"/>
        <v>4</v>
      </c>
      <c r="O124" s="32">
        <f t="shared" si="65"/>
        <v>1</v>
      </c>
      <c r="P124" s="32" t="str">
        <f>IF(OR($A124="",N($C124)&lt;=7),"",$G$6*$G$9^($M124-1)*IF(AND(MOD($M124,Reference!$B$99)=0,$M124&lt;=$G$5-2),Reference!$B$100,1))</f>
        <v/>
      </c>
      <c r="Q124" s="32" t="str">
        <f>IF($P124="","",IF(SUM($AK$120:$AK$126)=0,0,$P124*INDEX(Reference!$B$108:$B$114,$N124+1)/SUM($AK$120:$AK$126)))</f>
        <v/>
      </c>
      <c r="R124" s="32">
        <f t="shared" si="66"/>
        <v>180</v>
      </c>
      <c r="S124" s="32">
        <f t="shared" si="67"/>
        <v>150</v>
      </c>
      <c r="T124" s="32" t="str">
        <f>IF($A124="","",IF($C124=0,"Bullpen",IF(OR($C124=7,$C124=1,$C124=5),"Recovery/Easy Catch",IF($C124=6,"Compression/Pulldowns",IF(OR($C124=4,$C124=2),"Long Toss",IF($C124=3,"No Throw",IF($N124=2,"No Throw",IF($N124=6,IF($O124&lt;Reference!$B$104,"No Throw","Recovery/Easy Catch"),IF(OR($N124=0,$N124=4),"Recovery/Easy Catch",IF($N124=1,IF($R124&gt;75,"Long Toss","Recovery/Easy Catch"),IF($N124=3,IF($O124&lt;0.5,IF($S124&gt;75,"Long Toss","Recovery/Easy Catch"),"Compression/Pulldowns"),IF($S124&gt;75,"Long Toss","Recovery/Easy Catch"))))))))))))</f>
        <v>No Throw</v>
      </c>
      <c r="U124" s="32" t="str">
        <f t="shared" si="68"/>
        <v/>
      </c>
      <c r="V124" s="32" t="str">
        <f t="shared" si="69"/>
        <v/>
      </c>
      <c r="W124" s="32" t="str">
        <f t="shared" si="70"/>
        <v/>
      </c>
      <c r="X124" s="32">
        <f t="shared" si="71"/>
        <v>0</v>
      </c>
      <c r="Y124" s="32" t="str">
        <f t="shared" si="72"/>
        <v/>
      </c>
      <c r="Z124" s="32" t="str">
        <f t="shared" si="73"/>
        <v/>
      </c>
      <c r="AA124" s="32" t="str">
        <f t="shared" si="74"/>
        <v/>
      </c>
      <c r="AB124" s="32">
        <f>IF($A124="","",IF($T124="No Throw",0,IF($K124&lt;&gt;"",$K124,IF($AA124&lt;&gt;"",ROUND($AA124*$D$12*IF($C124=0,1,$G$10),0),MIN(IF($T124="Recovery/Easy Catch",Reference!$B$103,IF($T124="Long Toss",Reference!$B$106,Reference!$B$102)),MAX(Reference!$B$101,ROUND(MAX(0,$Q124-$AE124)/$AF124,0)))))))</f>
        <v>0</v>
      </c>
      <c r="AC124" s="32">
        <f t="shared" si="75"/>
        <v>0</v>
      </c>
      <c r="AD124" s="32" t="b">
        <f t="shared" si="76"/>
        <v>1</v>
      </c>
      <c r="AE124" s="32">
        <f>IF($X124=0,0,$X124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124+$Z124)/2,0),Reference!$A$17:$B$20,2,TRUE()))</f>
        <v>0</v>
      </c>
      <c r="AF124" s="32">
        <f>IF(OR($A124="",$U124="",$T124="No Throw"),0,$AM124*VLOOKUP(MAX(($V124+$W124)/2,0),Reference!$A$17:$B$20,2,TRUE()))</f>
        <v>0</v>
      </c>
      <c r="AG124" s="32">
        <f>IF($AC124=0,0,$AC124*INDEX(Reference!$B$61:$B$62,MATCH("Bullpen",Reference!$A$61:$A$62,0))*VLOOKUP(MAX($D$5-($D$9+$E$9)/2,0),Reference!$A$17:$B$20,2,TRUE()))</f>
        <v>0</v>
      </c>
      <c r="AH124" s="46">
        <f t="shared" si="77"/>
        <v>1.0892443319269736</v>
      </c>
      <c r="AI124" s="32">
        <f>IF($A124="",NA(),Reference!$A$25)</f>
        <v>0.8</v>
      </c>
      <c r="AJ124" s="32">
        <f t="shared" si="78"/>
        <v>1.3</v>
      </c>
      <c r="AK124" s="32">
        <f>IF(OR($A124="",N($C124)&lt;=7,$T124="No Throw",$J124="x"),0,INDEX(Reference!$B$108:$B$114,$N124+1))</f>
        <v>0</v>
      </c>
      <c r="AL124" s="32">
        <f t="shared" si="79"/>
        <v>1</v>
      </c>
      <c r="AM124" s="32">
        <f>IF($U124="",0,IF($AL124&gt;1,((IF(1&lt;=$AL124,($AL124-1+3)*(INDEX(Reference!$B$6:$B$11,MIN(5,MATCH(MAX(Reference!$A$6,MIN(Reference!$A$11,MIN($U124,90))),Reference!$A$6:$A$11,1)))+(MAX(Reference!$A$6,MIN(Reference!$A$11,MIN($U124,90)))-INDEX(Reference!$A$6:$A$11,MIN(5,MATCH(MAX(Reference!$A$6,MIN(Reference!$A$11,MIN($U124,90))),Reference!$A$6:$A$11,1))))*(INDEX(Reference!$B$6:$B$11,MIN(5,MATCH(MAX(Reference!$A$6,MIN(Reference!$A$11,MIN($U124,90))),Reference!$A$6:$A$11,1))+1)-INDEX(Reference!$B$6:$B$11,MIN(5,MATCH(MAX(Reference!$A$6,MIN(Reference!$A$11,MIN($U124,90))),Reference!$A$6:$A$11,1))))/(INDEX(Reference!$A$6:$A$11,MIN(5,MATCH(MAX(Reference!$A$6,MIN(Reference!$A$11,MIN($U124,90))),Reference!$A$6:$A$11,1))+1)-INDEX(Reference!$A$6:$A$11,MIN(5,MATCH(MAX(Reference!$A$6,MIN(Reference!$A$11,MIN($U124,90))),Reference!$A$6:$A$11,1))))),0)+IF(2&lt;=$AL124,($AL124-2+3)*(INDEX(Reference!$B$6:$B$11,MIN(5,MATCH(MAX(Reference!$A$6,MIN(Reference!$A$11,MIN($U124,120))),Reference!$A$6:$A$11,1)))+(MAX(Reference!$A$6,MIN(Reference!$A$11,MIN($U124,120)))-INDEX(Reference!$A$6:$A$11,MIN(5,MATCH(MAX(Reference!$A$6,MIN(Reference!$A$11,MIN($U124,120))),Reference!$A$6:$A$11,1))))*(INDEX(Reference!$B$6:$B$11,MIN(5,MATCH(MAX(Reference!$A$6,MIN(Reference!$A$11,MIN($U124,120))),Reference!$A$6:$A$11,1))+1)-INDEX(Reference!$B$6:$B$11,MIN(5,MATCH(MAX(Reference!$A$6,MIN(Reference!$A$11,MIN($U124,120))),Reference!$A$6:$A$11,1))))/(INDEX(Reference!$A$6:$A$11,MIN(5,MATCH(MAX(Reference!$A$6,MIN(Reference!$A$11,MIN($U124,120))),Reference!$A$6:$A$11,1))+1)-INDEX(Reference!$A$6:$A$11,MIN(5,MATCH(MAX(Reference!$A$6,MIN(Reference!$A$11,MIN($U124,120))),Reference!$A$6:$A$11,1))))),0)+IF(3&lt;=$AL124,($AL124-3+3)*(INDEX(Reference!$B$6:$B$11,MIN(5,MATCH(MAX(Reference!$A$6,MIN(Reference!$A$11,MIN($U124,150))),Reference!$A$6:$A$11,1)))+(MAX(Reference!$A$6,MIN(Reference!$A$11,MIN($U124,150)))-INDEX(Reference!$A$6:$A$11,MIN(5,MATCH(MAX(Reference!$A$6,MIN(Reference!$A$11,MIN($U124,150))),Reference!$A$6:$A$11,1))))*(INDEX(Reference!$B$6:$B$11,MIN(5,MATCH(MAX(Reference!$A$6,MIN(Reference!$A$11,MIN($U124,150))),Reference!$A$6:$A$11,1))+1)-INDEX(Reference!$B$6:$B$11,MIN(5,MATCH(MAX(Reference!$A$6,MIN(Reference!$A$11,MIN($U124,150))),Reference!$A$6:$A$11,1))))/(INDEX(Reference!$A$6:$A$11,MIN(5,MATCH(MAX(Reference!$A$6,MIN(Reference!$A$11,MIN($U124,150))),Reference!$A$6:$A$11,1))+1)-INDEX(Reference!$A$6:$A$11,MIN(5,MATCH(MAX(Reference!$A$6,MIN(Reference!$A$11,MIN($U124,150))),Reference!$A$6:$A$11,1))))),0)+IF(4&lt;=$AL124,($AL124-4+3)*(INDEX(Reference!$B$6:$B$11,MIN(5,MATCH(MAX(Reference!$A$6,MIN(Reference!$A$11,MIN($U124,180))),Reference!$A$6:$A$11,1)))+(MAX(Reference!$A$6,MIN(Reference!$A$11,MIN($U124,180)))-INDEX(Reference!$A$6:$A$11,MIN(5,MATCH(MAX(Reference!$A$6,MIN(Reference!$A$11,MIN($U124,180))),Reference!$A$6:$A$11,1))))*(INDEX(Reference!$B$6:$B$11,MIN(5,MATCH(MAX(Reference!$A$6,MIN(Reference!$A$11,MIN($U124,180))),Reference!$A$6:$A$11,1))+1)-INDEX(Reference!$B$6:$B$11,MIN(5,MATCH(MAX(Reference!$A$6,MIN(Reference!$A$11,MIN($U124,180))),Reference!$A$6:$A$11,1))))/(INDEX(Reference!$A$6:$A$11,MIN(5,MATCH(MAX(Reference!$A$6,MIN(Reference!$A$11,MIN($U124,180))),Reference!$A$6:$A$11,1))+1)-INDEX(Reference!$A$6:$A$11,MIN(5,MATCH(MAX(Reference!$A$6,MIN(Reference!$A$11,MIN($U124,180))),Reference!$A$6:$A$11,1))))),0)+IF(5&lt;=$AL124,($AL124-5+3)*(INDEX(Reference!$B$6:$B$11,MIN(5,MATCH(MAX(Reference!$A$6,MIN(Reference!$A$11,MIN($U124,210))),Reference!$A$6:$A$11,1)))+(MAX(Reference!$A$6,MIN(Reference!$A$11,MIN($U124,210)))-INDEX(Reference!$A$6:$A$11,MIN(5,MATCH(MAX(Reference!$A$6,MIN(Reference!$A$11,MIN($U124,210))),Reference!$A$6:$A$11,1))))*(INDEX(Reference!$B$6:$B$11,MIN(5,MATCH(MAX(Reference!$A$6,MIN(Reference!$A$11,MIN($U124,210))),Reference!$A$6:$A$11,1))+1)-INDEX(Reference!$B$6:$B$11,MIN(5,MATCH(MAX(Reference!$A$6,MIN(Reference!$A$11,MIN($U124,210))),Reference!$A$6:$A$11,1))))/(INDEX(Reference!$A$6:$A$11,MIN(5,MATCH(MAX(Reference!$A$6,MIN(Reference!$A$11,MIN($U124,210))),Reference!$A$6:$A$11,1))+1)-INDEX(Reference!$A$6:$A$11,MIN(5,MATCH(MAX(Reference!$A$6,MIN(Reference!$A$11,MIN($U124,210))),Reference!$A$6:$A$11,1))))),0)+IF(6&lt;=$AL124,($AL124-6+3)*(INDEX(Reference!$B$6:$B$11,MIN(5,MATCH(MAX(Reference!$A$6,MIN(Reference!$A$11,MIN($U124,240))),Reference!$A$6:$A$11,1)))+(MAX(Reference!$A$6,MIN(Reference!$A$11,MIN($U124,240)))-INDEX(Reference!$A$6:$A$11,MIN(5,MATCH(MAX(Reference!$A$6,MIN(Reference!$A$11,MIN($U124,240))),Reference!$A$6:$A$11,1))))*(INDEX(Reference!$B$6:$B$11,MIN(5,MATCH(MAX(Reference!$A$6,MIN(Reference!$A$11,MIN($U124,240))),Reference!$A$6:$A$11,1))+1)-INDEX(Reference!$B$6:$B$11,MIN(5,MATCH(MAX(Reference!$A$6,MIN(Reference!$A$11,MIN($U124,240))),Reference!$A$6:$A$11,1))))/(INDEX(Reference!$A$6:$A$11,MIN(5,MATCH(MAX(Reference!$A$6,MIN(Reference!$A$11,MIN($U124,240))),Reference!$A$6:$A$11,1))+1)-INDEX(Reference!$A$6:$A$11,MIN(5,MATCH(MAX(Reference!$A$6,MIN(Reference!$A$11,MIN($U124,240))),Reference!$A$6:$A$11,1))))),0)+IF(7&lt;=$AL124,($AL124-7+3)*(INDEX(Reference!$B$6:$B$11,MIN(5,MATCH(MAX(Reference!$A$6,MIN(Reference!$A$11,MIN($U124,270))),Reference!$A$6:$A$11,1)))+(MAX(Reference!$A$6,MIN(Reference!$A$11,MIN($U124,270)))-INDEX(Reference!$A$6:$A$11,MIN(5,MATCH(MAX(Reference!$A$6,MIN(Reference!$A$11,MIN($U124,270))),Reference!$A$6:$A$11,1))))*(INDEX(Reference!$B$6:$B$11,MIN(5,MATCH(MAX(Reference!$A$6,MIN(Reference!$A$11,MIN($U124,270))),Reference!$A$6:$A$11,1))+1)-INDEX(Reference!$B$6:$B$11,MIN(5,MATCH(MAX(Reference!$A$6,MIN(Reference!$A$11,MIN($U124,270))),Reference!$A$6:$A$11,1))))/(INDEX(Reference!$A$6:$A$11,MIN(5,MATCH(MAX(Reference!$A$6,MIN(Reference!$A$11,MIN($U124,270))),Reference!$A$6:$A$11,1))+1)-INDEX(Reference!$A$6:$A$11,MIN(5,MATCH(MAX(Reference!$A$6,MIN(Reference!$A$11,MIN($U124,270))),Reference!$A$6:$A$11,1))))),0)+IF(8&lt;=$AL124,($AL124-8+3)*(INDEX(Reference!$B$6:$B$11,MIN(5,MATCH(MAX(Reference!$A$6,MIN(Reference!$A$11,MIN($U124,300))),Reference!$A$6:$A$11,1)))+(MAX(Reference!$A$6,MIN(Reference!$A$11,MIN($U124,300)))-INDEX(Reference!$A$6:$A$11,MIN(5,MATCH(MAX(Reference!$A$6,MIN(Reference!$A$11,MIN($U124,300))),Reference!$A$6:$A$11,1))))*(INDEX(Reference!$B$6:$B$11,MIN(5,MATCH(MAX(Reference!$A$6,MIN(Reference!$A$11,MIN($U124,300))),Reference!$A$6:$A$11,1))+1)-INDEX(Reference!$B$6:$B$11,MIN(5,MATCH(MAX(Reference!$A$6,MIN(Reference!$A$11,MIN($U124,300))),Reference!$A$6:$A$11,1))))/(INDEX(Reference!$A$6:$A$11,MIN(5,MATCH(MAX(Reference!$A$6,MIN(Reference!$A$11,MIN($U124,300))),Reference!$A$6:$A$11,1))+1)-INDEX(Reference!$A$6:$A$11,MIN(5,MATCH(MAX(Reference!$A$6,MIN(Reference!$A$11,MIN($U124,300))),Reference!$A$6:$A$11,1))))),0))/($AL124*($AL124+5)/2)),$AN124))</f>
        <v>0</v>
      </c>
      <c r="AN124" s="32">
        <f>IF($U124="",0,(INDEX(Reference!$B$6:$B$11,MIN(5,MATCH(MAX(Reference!$A$6,MIN(Reference!$A$11,$U124)),Reference!$A$6:$A$11,1)))+(MAX(Reference!$A$6,MIN(Reference!$A$11,$U124))-INDEX(Reference!$A$6:$A$11,MIN(5,MATCH(MAX(Reference!$A$6,MIN(Reference!$A$11,$U124)),Reference!$A$6:$A$11,1))))*(INDEX(Reference!$B$6:$B$11,MIN(5,MATCH(MAX(Reference!$A$6,MIN(Reference!$A$11,$U124)),Reference!$A$6:$A$11,1))+1)-INDEX(Reference!$B$6:$B$11,MIN(5,MATCH(MAX(Reference!$A$6,MIN(Reference!$A$11,$U124)),Reference!$A$6:$A$11,1))))/(INDEX(Reference!$A$6:$A$11,MIN(5,MATCH(MAX(Reference!$A$6,MIN(Reference!$A$11,$U124)),Reference!$A$6:$A$11,1))+1)-INDEX(Reference!$A$6:$A$11,MIN(5,MATCH(MAX(Reference!$A$6,MIN(Reference!$A$11,$U124)),Reference!$A$6:$A$11,1))))))</f>
        <v>0</v>
      </c>
      <c r="AO124" s="37"/>
      <c r="AP124" s="37"/>
      <c r="AQ124" s="37"/>
    </row>
    <row r="125" spans="1:43" ht="26.4" x14ac:dyDescent="0.3">
      <c r="A125" s="48">
        <f t="shared" si="55"/>
        <v>46389</v>
      </c>
      <c r="B125" s="32" t="str">
        <f t="shared" si="56"/>
        <v>Sat</v>
      </c>
      <c r="C125" s="32">
        <f t="shared" si="57"/>
        <v>2</v>
      </c>
      <c r="D125" s="32" t="str">
        <f t="shared" si="58"/>
        <v>Taper</v>
      </c>
      <c r="E125" s="32" t="str">
        <f t="shared" si="59"/>
        <v>Medium</v>
      </c>
      <c r="F125" s="32" t="str">
        <f t="shared" si="60"/>
        <v>Long Toss</v>
      </c>
      <c r="G125" s="47" t="str">
        <f t="shared" si="61"/>
        <v>Long toss out to 120 ft — 35 throws (90×20 · 120×15) @ 78–81 mph + flat ground at 60 ft × 15 @ 81–83 mph</v>
      </c>
      <c r="H125" s="30">
        <f t="shared" si="62"/>
        <v>45.900000000000006</v>
      </c>
      <c r="I125" s="46">
        <f>IF($A125="","",IF(AND($L125&lt;27,$K$12=0),"Building",IFERROR(((SUM($H$119:$H125)+$K$12*IF($L125&lt;6,SUMIFS('Throw Log'!$Q$5:$Q$300,'Throw Log'!$B$5:$B$300,$D$4,'Throw Log'!$A$5:$A$300,"&gt;="&amp;($D$6+$L125-6),'Throw Log'!$A$5:$A$300,"&lt;="&amp;($D$6-1)),0))/7)/((SUM($H$98:$H125)+$K$12*IF($L125&lt;27,SUMIFS('Throw Log'!$Q$5:$Q$300,'Throw Log'!$B$5:$B$300,$D$4,'Throw Log'!$A$5:$A$300,"&gt;="&amp;($D$6+$L125-27),'Throw Log'!$A$5:$A$300,"&lt;="&amp;($D$6-1)),0))/28),"")))</f>
        <v>1.0398956347059285</v>
      </c>
      <c r="J125" s="37"/>
      <c r="K125" s="37"/>
      <c r="L125" s="32">
        <v>82</v>
      </c>
      <c r="M125" s="32">
        <f t="shared" si="63"/>
        <v>12</v>
      </c>
      <c r="N125" s="32">
        <f t="shared" si="64"/>
        <v>5</v>
      </c>
      <c r="O125" s="32">
        <f t="shared" si="65"/>
        <v>1</v>
      </c>
      <c r="P125" s="32" t="str">
        <f>IF(OR($A125="",N($C125)&lt;=7),"",$G$6*$G$9^($M125-1)*IF(AND(MOD($M125,Reference!$B$99)=0,$M125&lt;=$G$5-2),Reference!$B$100,1))</f>
        <v/>
      </c>
      <c r="Q125" s="32" t="str">
        <f>IF($P125="","",IF(SUM($AK$120:$AK$126)=0,0,$P125*INDEX(Reference!$B$108:$B$114,$N125+1)/SUM($AK$120:$AK$126)))</f>
        <v/>
      </c>
      <c r="R125" s="32">
        <f t="shared" si="66"/>
        <v>180</v>
      </c>
      <c r="S125" s="32">
        <f t="shared" si="67"/>
        <v>150</v>
      </c>
      <c r="T125" s="32" t="str">
        <f>IF($A125="","",IF($C125=0,"Bullpen",IF(OR($C125=7,$C125=1,$C125=5),"Recovery/Easy Catch",IF($C125=6,"Compression/Pulldowns",IF(OR($C125=4,$C125=2),"Long Toss",IF($C125=3,"No Throw",IF($N125=2,"No Throw",IF($N125=6,IF($O125&lt;Reference!$B$104,"No Throw","Recovery/Easy Catch"),IF(OR($N125=0,$N125=4),"Recovery/Easy Catch",IF($N125=1,IF($R125&gt;75,"Long Toss","Recovery/Easy Catch"),IF($N125=3,IF($O125&lt;0.5,IF($S125&gt;75,"Long Toss","Recovery/Easy Catch"),"Compression/Pulldowns"),IF($S125&gt;75,"Long Toss","Recovery/Easy Catch"))))))))))))</f>
        <v>Long Toss</v>
      </c>
      <c r="U125" s="32">
        <f t="shared" si="68"/>
        <v>120</v>
      </c>
      <c r="V125" s="32">
        <f t="shared" si="69"/>
        <v>10</v>
      </c>
      <c r="W125" s="32">
        <f t="shared" si="70"/>
        <v>13</v>
      </c>
      <c r="X125" s="32">
        <f t="shared" si="71"/>
        <v>15</v>
      </c>
      <c r="Y125" s="32">
        <f t="shared" si="72"/>
        <v>8</v>
      </c>
      <c r="Z125" s="32">
        <f t="shared" si="73"/>
        <v>10</v>
      </c>
      <c r="AA125" s="32">
        <f t="shared" si="74"/>
        <v>34.660194174757279</v>
      </c>
      <c r="AB125" s="32">
        <f>IF($A125="","",IF($T125="No Throw",0,IF($K125&lt;&gt;"",$K125,IF($AA125&lt;&gt;"",ROUND($AA125*$D$12*IF($C125=0,1,$G$10),0),MIN(IF($T125="Recovery/Easy Catch",Reference!$B$103,IF($T125="Long Toss",Reference!$B$106,Reference!$B$102)),MAX(Reference!$B$101,ROUND(MAX(0,$Q125-$AE125)/$AF125,0)))))))</f>
        <v>35</v>
      </c>
      <c r="AC125" s="32">
        <f t="shared" si="75"/>
        <v>0</v>
      </c>
      <c r="AD125" s="32" t="b">
        <f t="shared" si="76"/>
        <v>0</v>
      </c>
      <c r="AE125" s="32">
        <f>IF($X125=0,0,$X125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125+$Z125)/2,0),Reference!$A$17:$B$20,2,TRUE()))</f>
        <v>15</v>
      </c>
      <c r="AF125" s="32">
        <f>IF(OR($A125="",$U125="",$T125="No Throw"),0,$AM125*VLOOKUP(MAX(($V125+$W125)/2,0),Reference!$A$17:$B$20,2,TRUE()))</f>
        <v>0.8828571428571429</v>
      </c>
      <c r="AG125" s="32">
        <f>IF($AC125=0,0,$AC125*INDEX(Reference!$B$61:$B$62,MATCH("Bullpen",Reference!$A$61:$A$62,0))*VLOOKUP(MAX($D$5-($D$9+$E$9)/2,0),Reference!$A$17:$B$20,2,TRUE()))</f>
        <v>0</v>
      </c>
      <c r="AH125" s="46">
        <f t="shared" si="77"/>
        <v>1.0398956347059285</v>
      </c>
      <c r="AI125" s="32">
        <f>IF($A125="",NA(),Reference!$A$25)</f>
        <v>0.8</v>
      </c>
      <c r="AJ125" s="32">
        <f t="shared" si="78"/>
        <v>1.3</v>
      </c>
      <c r="AK125" s="32">
        <f>IF(OR($A125="",N($C125)&lt;=7,$T125="No Throw",$J125="x"),0,INDEX(Reference!$B$108:$B$114,$N125+1))</f>
        <v>0</v>
      </c>
      <c r="AL125" s="32">
        <f t="shared" si="79"/>
        <v>2</v>
      </c>
      <c r="AM125" s="32">
        <f>IF($U125="",0,IF($AL125&gt;1,((IF(1&lt;=$AL125,($AL125-1+3)*(INDEX(Reference!$B$6:$B$11,MIN(5,MATCH(MAX(Reference!$A$6,MIN(Reference!$A$11,MIN($U125,90))),Reference!$A$6:$A$11,1)))+(MAX(Reference!$A$6,MIN(Reference!$A$11,MIN($U125,90)))-INDEX(Reference!$A$6:$A$11,MIN(5,MATCH(MAX(Reference!$A$6,MIN(Reference!$A$11,MIN($U125,90))),Reference!$A$6:$A$11,1))))*(INDEX(Reference!$B$6:$B$11,MIN(5,MATCH(MAX(Reference!$A$6,MIN(Reference!$A$11,MIN($U125,90))),Reference!$A$6:$A$11,1))+1)-INDEX(Reference!$B$6:$B$11,MIN(5,MATCH(MAX(Reference!$A$6,MIN(Reference!$A$11,MIN($U125,90))),Reference!$A$6:$A$11,1))))/(INDEX(Reference!$A$6:$A$11,MIN(5,MATCH(MAX(Reference!$A$6,MIN(Reference!$A$11,MIN($U125,90))),Reference!$A$6:$A$11,1))+1)-INDEX(Reference!$A$6:$A$11,MIN(5,MATCH(MAX(Reference!$A$6,MIN(Reference!$A$11,MIN($U125,90))),Reference!$A$6:$A$11,1))))),0)+IF(2&lt;=$AL125,($AL125-2+3)*(INDEX(Reference!$B$6:$B$11,MIN(5,MATCH(MAX(Reference!$A$6,MIN(Reference!$A$11,MIN($U125,120))),Reference!$A$6:$A$11,1)))+(MAX(Reference!$A$6,MIN(Reference!$A$11,MIN($U125,120)))-INDEX(Reference!$A$6:$A$11,MIN(5,MATCH(MAX(Reference!$A$6,MIN(Reference!$A$11,MIN($U125,120))),Reference!$A$6:$A$11,1))))*(INDEX(Reference!$B$6:$B$11,MIN(5,MATCH(MAX(Reference!$A$6,MIN(Reference!$A$11,MIN($U125,120))),Reference!$A$6:$A$11,1))+1)-INDEX(Reference!$B$6:$B$11,MIN(5,MATCH(MAX(Reference!$A$6,MIN(Reference!$A$11,MIN($U125,120))),Reference!$A$6:$A$11,1))))/(INDEX(Reference!$A$6:$A$11,MIN(5,MATCH(MAX(Reference!$A$6,MIN(Reference!$A$11,MIN($U125,120))),Reference!$A$6:$A$11,1))+1)-INDEX(Reference!$A$6:$A$11,MIN(5,MATCH(MAX(Reference!$A$6,MIN(Reference!$A$11,MIN($U125,120))),Reference!$A$6:$A$11,1))))),0)+IF(3&lt;=$AL125,($AL125-3+3)*(INDEX(Reference!$B$6:$B$11,MIN(5,MATCH(MAX(Reference!$A$6,MIN(Reference!$A$11,MIN($U125,150))),Reference!$A$6:$A$11,1)))+(MAX(Reference!$A$6,MIN(Reference!$A$11,MIN($U125,150)))-INDEX(Reference!$A$6:$A$11,MIN(5,MATCH(MAX(Reference!$A$6,MIN(Reference!$A$11,MIN($U125,150))),Reference!$A$6:$A$11,1))))*(INDEX(Reference!$B$6:$B$11,MIN(5,MATCH(MAX(Reference!$A$6,MIN(Reference!$A$11,MIN($U125,150))),Reference!$A$6:$A$11,1))+1)-INDEX(Reference!$B$6:$B$11,MIN(5,MATCH(MAX(Reference!$A$6,MIN(Reference!$A$11,MIN($U125,150))),Reference!$A$6:$A$11,1))))/(INDEX(Reference!$A$6:$A$11,MIN(5,MATCH(MAX(Reference!$A$6,MIN(Reference!$A$11,MIN($U125,150))),Reference!$A$6:$A$11,1))+1)-INDEX(Reference!$A$6:$A$11,MIN(5,MATCH(MAX(Reference!$A$6,MIN(Reference!$A$11,MIN($U125,150))),Reference!$A$6:$A$11,1))))),0)+IF(4&lt;=$AL125,($AL125-4+3)*(INDEX(Reference!$B$6:$B$11,MIN(5,MATCH(MAX(Reference!$A$6,MIN(Reference!$A$11,MIN($U125,180))),Reference!$A$6:$A$11,1)))+(MAX(Reference!$A$6,MIN(Reference!$A$11,MIN($U125,180)))-INDEX(Reference!$A$6:$A$11,MIN(5,MATCH(MAX(Reference!$A$6,MIN(Reference!$A$11,MIN($U125,180))),Reference!$A$6:$A$11,1))))*(INDEX(Reference!$B$6:$B$11,MIN(5,MATCH(MAX(Reference!$A$6,MIN(Reference!$A$11,MIN($U125,180))),Reference!$A$6:$A$11,1))+1)-INDEX(Reference!$B$6:$B$11,MIN(5,MATCH(MAX(Reference!$A$6,MIN(Reference!$A$11,MIN($U125,180))),Reference!$A$6:$A$11,1))))/(INDEX(Reference!$A$6:$A$11,MIN(5,MATCH(MAX(Reference!$A$6,MIN(Reference!$A$11,MIN($U125,180))),Reference!$A$6:$A$11,1))+1)-INDEX(Reference!$A$6:$A$11,MIN(5,MATCH(MAX(Reference!$A$6,MIN(Reference!$A$11,MIN($U125,180))),Reference!$A$6:$A$11,1))))),0)+IF(5&lt;=$AL125,($AL125-5+3)*(INDEX(Reference!$B$6:$B$11,MIN(5,MATCH(MAX(Reference!$A$6,MIN(Reference!$A$11,MIN($U125,210))),Reference!$A$6:$A$11,1)))+(MAX(Reference!$A$6,MIN(Reference!$A$11,MIN($U125,210)))-INDEX(Reference!$A$6:$A$11,MIN(5,MATCH(MAX(Reference!$A$6,MIN(Reference!$A$11,MIN($U125,210))),Reference!$A$6:$A$11,1))))*(INDEX(Reference!$B$6:$B$11,MIN(5,MATCH(MAX(Reference!$A$6,MIN(Reference!$A$11,MIN($U125,210))),Reference!$A$6:$A$11,1))+1)-INDEX(Reference!$B$6:$B$11,MIN(5,MATCH(MAX(Reference!$A$6,MIN(Reference!$A$11,MIN($U125,210))),Reference!$A$6:$A$11,1))))/(INDEX(Reference!$A$6:$A$11,MIN(5,MATCH(MAX(Reference!$A$6,MIN(Reference!$A$11,MIN($U125,210))),Reference!$A$6:$A$11,1))+1)-INDEX(Reference!$A$6:$A$11,MIN(5,MATCH(MAX(Reference!$A$6,MIN(Reference!$A$11,MIN($U125,210))),Reference!$A$6:$A$11,1))))),0)+IF(6&lt;=$AL125,($AL125-6+3)*(INDEX(Reference!$B$6:$B$11,MIN(5,MATCH(MAX(Reference!$A$6,MIN(Reference!$A$11,MIN($U125,240))),Reference!$A$6:$A$11,1)))+(MAX(Reference!$A$6,MIN(Reference!$A$11,MIN($U125,240)))-INDEX(Reference!$A$6:$A$11,MIN(5,MATCH(MAX(Reference!$A$6,MIN(Reference!$A$11,MIN($U125,240))),Reference!$A$6:$A$11,1))))*(INDEX(Reference!$B$6:$B$11,MIN(5,MATCH(MAX(Reference!$A$6,MIN(Reference!$A$11,MIN($U125,240))),Reference!$A$6:$A$11,1))+1)-INDEX(Reference!$B$6:$B$11,MIN(5,MATCH(MAX(Reference!$A$6,MIN(Reference!$A$11,MIN($U125,240))),Reference!$A$6:$A$11,1))))/(INDEX(Reference!$A$6:$A$11,MIN(5,MATCH(MAX(Reference!$A$6,MIN(Reference!$A$11,MIN($U125,240))),Reference!$A$6:$A$11,1))+1)-INDEX(Reference!$A$6:$A$11,MIN(5,MATCH(MAX(Reference!$A$6,MIN(Reference!$A$11,MIN($U125,240))),Reference!$A$6:$A$11,1))))),0)+IF(7&lt;=$AL125,($AL125-7+3)*(INDEX(Reference!$B$6:$B$11,MIN(5,MATCH(MAX(Reference!$A$6,MIN(Reference!$A$11,MIN($U125,270))),Reference!$A$6:$A$11,1)))+(MAX(Reference!$A$6,MIN(Reference!$A$11,MIN($U125,270)))-INDEX(Reference!$A$6:$A$11,MIN(5,MATCH(MAX(Reference!$A$6,MIN(Reference!$A$11,MIN($U125,270))),Reference!$A$6:$A$11,1))))*(INDEX(Reference!$B$6:$B$11,MIN(5,MATCH(MAX(Reference!$A$6,MIN(Reference!$A$11,MIN($U125,270))),Reference!$A$6:$A$11,1))+1)-INDEX(Reference!$B$6:$B$11,MIN(5,MATCH(MAX(Reference!$A$6,MIN(Reference!$A$11,MIN($U125,270))),Reference!$A$6:$A$11,1))))/(INDEX(Reference!$A$6:$A$11,MIN(5,MATCH(MAX(Reference!$A$6,MIN(Reference!$A$11,MIN($U125,270))),Reference!$A$6:$A$11,1))+1)-INDEX(Reference!$A$6:$A$11,MIN(5,MATCH(MAX(Reference!$A$6,MIN(Reference!$A$11,MIN($U125,270))),Reference!$A$6:$A$11,1))))),0)+IF(8&lt;=$AL125,($AL125-8+3)*(INDEX(Reference!$B$6:$B$11,MIN(5,MATCH(MAX(Reference!$A$6,MIN(Reference!$A$11,MIN($U125,300))),Reference!$A$6:$A$11,1)))+(MAX(Reference!$A$6,MIN(Reference!$A$11,MIN($U125,300)))-INDEX(Reference!$A$6:$A$11,MIN(5,MATCH(MAX(Reference!$A$6,MIN(Reference!$A$11,MIN($U125,300))),Reference!$A$6:$A$11,1))))*(INDEX(Reference!$B$6:$B$11,MIN(5,MATCH(MAX(Reference!$A$6,MIN(Reference!$A$11,MIN($U125,300))),Reference!$A$6:$A$11,1))+1)-INDEX(Reference!$B$6:$B$11,MIN(5,MATCH(MAX(Reference!$A$6,MIN(Reference!$A$11,MIN($U125,300))),Reference!$A$6:$A$11,1))))/(INDEX(Reference!$A$6:$A$11,MIN(5,MATCH(MAX(Reference!$A$6,MIN(Reference!$A$11,MIN($U125,300))),Reference!$A$6:$A$11,1))+1)-INDEX(Reference!$A$6:$A$11,MIN(5,MATCH(MAX(Reference!$A$6,MIN(Reference!$A$11,MIN($U125,300))),Reference!$A$6:$A$11,1))))),0))/($AL125*($AL125+5)/2)),$AN125))</f>
        <v>1.4714285714285715</v>
      </c>
      <c r="AN125" s="32">
        <f>IF($U125="",0,(INDEX(Reference!$B$6:$B$11,MIN(5,MATCH(MAX(Reference!$A$6,MIN(Reference!$A$11,$U125)),Reference!$A$6:$A$11,1)))+(MAX(Reference!$A$6,MIN(Reference!$A$11,$U125))-INDEX(Reference!$A$6:$A$11,MIN(5,MATCH(MAX(Reference!$A$6,MIN(Reference!$A$11,$U125)),Reference!$A$6:$A$11,1))))*(INDEX(Reference!$B$6:$B$11,MIN(5,MATCH(MAX(Reference!$A$6,MIN(Reference!$A$11,$U125)),Reference!$A$6:$A$11,1))+1)-INDEX(Reference!$B$6:$B$11,MIN(5,MATCH(MAX(Reference!$A$6,MIN(Reference!$A$11,$U125)),Reference!$A$6:$A$11,1))))/(INDEX(Reference!$A$6:$A$11,MIN(5,MATCH(MAX(Reference!$A$6,MIN(Reference!$A$11,$U125)),Reference!$A$6:$A$11,1))+1)-INDEX(Reference!$A$6:$A$11,MIN(5,MATCH(MAX(Reference!$A$6,MIN(Reference!$A$11,$U125)),Reference!$A$6:$A$11,1))))))</f>
        <v>1.7</v>
      </c>
      <c r="AO125" s="37"/>
      <c r="AP125" s="37"/>
      <c r="AQ125" s="37"/>
    </row>
    <row r="126" spans="1:43" x14ac:dyDescent="0.3">
      <c r="A126" s="48">
        <f t="shared" si="55"/>
        <v>46390</v>
      </c>
      <c r="B126" s="32" t="str">
        <f t="shared" si="56"/>
        <v>Sun</v>
      </c>
      <c r="C126" s="32">
        <f t="shared" si="57"/>
        <v>1</v>
      </c>
      <c r="D126" s="32" t="str">
        <f t="shared" si="58"/>
        <v>Taper</v>
      </c>
      <c r="E126" s="32" t="str">
        <f t="shared" si="59"/>
        <v>Low</v>
      </c>
      <c r="F126" s="32" t="str">
        <f t="shared" si="60"/>
        <v>Recovery/Easy Catch</v>
      </c>
      <c r="G126" s="47" t="str">
        <f t="shared" si="61"/>
        <v>75 ft × 30 @ 69–73 mph</v>
      </c>
      <c r="H126" s="30">
        <f t="shared" si="62"/>
        <v>20.7</v>
      </c>
      <c r="I126" s="46">
        <f>IF($A126="","",IF(AND($L126&lt;27,$K$12=0),"Building",IFERROR(((SUM($H$120:$H126)+$K$12*IF($L126&lt;6,SUMIFS('Throw Log'!$Q$5:$Q$300,'Throw Log'!$B$5:$B$300,$D$4,'Throw Log'!$A$5:$A$300,"&gt;="&amp;($D$6+$L126-6),'Throw Log'!$A$5:$A$300,"&lt;="&amp;($D$6-1)),0))/7)/((SUM($H$99:$H126)+$K$12*IF($L126&lt;27,SUMIFS('Throw Log'!$Q$5:$Q$300,'Throw Log'!$B$5:$B$300,$D$4,'Throw Log'!$A$5:$A$300,"&gt;="&amp;($D$6+$L126-27),'Throw Log'!$A$5:$A$300,"&lt;="&amp;($D$6-1)),0))/28),"")))</f>
        <v>1.0419184133874282</v>
      </c>
      <c r="J126" s="37"/>
      <c r="K126" s="37"/>
      <c r="L126" s="32">
        <v>83</v>
      </c>
      <c r="M126" s="32">
        <f t="shared" si="63"/>
        <v>12</v>
      </c>
      <c r="N126" s="32">
        <f t="shared" si="64"/>
        <v>6</v>
      </c>
      <c r="O126" s="32">
        <f t="shared" si="65"/>
        <v>1</v>
      </c>
      <c r="P126" s="32" t="str">
        <f>IF(OR($A126="",N($C126)&lt;=7),"",$G$6*$G$9^($M126-1)*IF(AND(MOD($M126,Reference!$B$99)=0,$M126&lt;=$G$5-2),Reference!$B$100,1))</f>
        <v/>
      </c>
      <c r="Q126" s="32" t="str">
        <f>IF($P126="","",IF(SUM($AK$120:$AK$126)=0,0,$P126*INDEX(Reference!$B$108:$B$114,$N126+1)/SUM($AK$120:$AK$126)))</f>
        <v/>
      </c>
      <c r="R126" s="32">
        <f t="shared" si="66"/>
        <v>180</v>
      </c>
      <c r="S126" s="32">
        <f t="shared" si="67"/>
        <v>150</v>
      </c>
      <c r="T126" s="32" t="str">
        <f>IF($A126="","",IF($C126=0,"Bullpen",IF(OR($C126=7,$C126=1,$C126=5),"Recovery/Easy Catch",IF($C126=6,"Compression/Pulldowns",IF(OR($C126=4,$C126=2),"Long Toss",IF($C126=3,"No Throw",IF($N126=2,"No Throw",IF($N126=6,IF($O126&lt;Reference!$B$104,"No Throw","Recovery/Easy Catch"),IF(OR($N126=0,$N126=4),"Recovery/Easy Catch",IF($N126=1,IF($R126&gt;75,"Long Toss","Recovery/Easy Catch"),IF($N126=3,IF($O126&lt;0.5,IF($S126&gt;75,"Long Toss","Recovery/Easy Catch"),"Compression/Pulldowns"),IF($S126&gt;75,"Long Toss","Recovery/Easy Catch"))))))))))))</f>
        <v>Recovery/Easy Catch</v>
      </c>
      <c r="U126" s="32">
        <f t="shared" si="68"/>
        <v>75</v>
      </c>
      <c r="V126" s="32">
        <f t="shared" si="69"/>
        <v>18</v>
      </c>
      <c r="W126" s="32">
        <f t="shared" si="70"/>
        <v>22</v>
      </c>
      <c r="X126" s="32">
        <f t="shared" si="71"/>
        <v>0</v>
      </c>
      <c r="Y126" s="32" t="str">
        <f t="shared" si="72"/>
        <v/>
      </c>
      <c r="Z126" s="32" t="str">
        <f t="shared" si="73"/>
        <v/>
      </c>
      <c r="AA126" s="32">
        <f t="shared" si="74"/>
        <v>30</v>
      </c>
      <c r="AB126" s="32">
        <f>IF($A126="","",IF($T126="No Throw",0,IF($K126&lt;&gt;"",$K126,IF($AA126&lt;&gt;"",ROUND($AA126*$D$12*IF($C126=0,1,$G$10),0),MIN(IF($T126="Recovery/Easy Catch",Reference!$B$103,IF($T126="Long Toss",Reference!$B$106,Reference!$B$102)),MAX(Reference!$B$101,ROUND(MAX(0,$Q126-$AE126)/$AF126,0)))))))</f>
        <v>30</v>
      </c>
      <c r="AC126" s="32">
        <f t="shared" si="75"/>
        <v>0</v>
      </c>
      <c r="AD126" s="32" t="b">
        <f t="shared" si="76"/>
        <v>0</v>
      </c>
      <c r="AE126" s="32">
        <f>IF($X126=0,0,$X126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126+$Z126)/2,0),Reference!$A$17:$B$20,2,TRUE()))</f>
        <v>0</v>
      </c>
      <c r="AF126" s="32">
        <f>IF(OR($A126="",$U126="",$T126="No Throw"),0,$AM126*VLOOKUP(MAX(($V126+$W126)/2,0),Reference!$A$17:$B$20,2,TRUE()))</f>
        <v>0.69</v>
      </c>
      <c r="AG126" s="32">
        <f>IF($AC126=0,0,$AC126*INDEX(Reference!$B$61:$B$62,MATCH("Bullpen",Reference!$A$61:$A$62,0))*VLOOKUP(MAX($D$5-($D$9+$E$9)/2,0),Reference!$A$17:$B$20,2,TRUE()))</f>
        <v>0</v>
      </c>
      <c r="AH126" s="46">
        <f t="shared" si="77"/>
        <v>1.0419184133874282</v>
      </c>
      <c r="AI126" s="32">
        <f>IF($A126="",NA(),Reference!$A$25)</f>
        <v>0.8</v>
      </c>
      <c r="AJ126" s="32">
        <f t="shared" si="78"/>
        <v>1.3</v>
      </c>
      <c r="AK126" s="32">
        <f>IF(OR($A126="",N($C126)&lt;=7,$T126="No Throw",$J126="x"),0,INDEX(Reference!$B$108:$B$114,$N126+1))</f>
        <v>0</v>
      </c>
      <c r="AL126" s="32">
        <f t="shared" si="79"/>
        <v>1</v>
      </c>
      <c r="AM126" s="32">
        <f>IF($U126="",0,IF($AL126&gt;1,((IF(1&lt;=$AL126,($AL126-1+3)*(INDEX(Reference!$B$6:$B$11,MIN(5,MATCH(MAX(Reference!$A$6,MIN(Reference!$A$11,MIN($U126,90))),Reference!$A$6:$A$11,1)))+(MAX(Reference!$A$6,MIN(Reference!$A$11,MIN($U126,90)))-INDEX(Reference!$A$6:$A$11,MIN(5,MATCH(MAX(Reference!$A$6,MIN(Reference!$A$11,MIN($U126,90))),Reference!$A$6:$A$11,1))))*(INDEX(Reference!$B$6:$B$11,MIN(5,MATCH(MAX(Reference!$A$6,MIN(Reference!$A$11,MIN($U126,90))),Reference!$A$6:$A$11,1))+1)-INDEX(Reference!$B$6:$B$11,MIN(5,MATCH(MAX(Reference!$A$6,MIN(Reference!$A$11,MIN($U126,90))),Reference!$A$6:$A$11,1))))/(INDEX(Reference!$A$6:$A$11,MIN(5,MATCH(MAX(Reference!$A$6,MIN(Reference!$A$11,MIN($U126,90))),Reference!$A$6:$A$11,1))+1)-INDEX(Reference!$A$6:$A$11,MIN(5,MATCH(MAX(Reference!$A$6,MIN(Reference!$A$11,MIN($U126,90))),Reference!$A$6:$A$11,1))))),0)+IF(2&lt;=$AL126,($AL126-2+3)*(INDEX(Reference!$B$6:$B$11,MIN(5,MATCH(MAX(Reference!$A$6,MIN(Reference!$A$11,MIN($U126,120))),Reference!$A$6:$A$11,1)))+(MAX(Reference!$A$6,MIN(Reference!$A$11,MIN($U126,120)))-INDEX(Reference!$A$6:$A$11,MIN(5,MATCH(MAX(Reference!$A$6,MIN(Reference!$A$11,MIN($U126,120))),Reference!$A$6:$A$11,1))))*(INDEX(Reference!$B$6:$B$11,MIN(5,MATCH(MAX(Reference!$A$6,MIN(Reference!$A$11,MIN($U126,120))),Reference!$A$6:$A$11,1))+1)-INDEX(Reference!$B$6:$B$11,MIN(5,MATCH(MAX(Reference!$A$6,MIN(Reference!$A$11,MIN($U126,120))),Reference!$A$6:$A$11,1))))/(INDEX(Reference!$A$6:$A$11,MIN(5,MATCH(MAX(Reference!$A$6,MIN(Reference!$A$11,MIN($U126,120))),Reference!$A$6:$A$11,1))+1)-INDEX(Reference!$A$6:$A$11,MIN(5,MATCH(MAX(Reference!$A$6,MIN(Reference!$A$11,MIN($U126,120))),Reference!$A$6:$A$11,1))))),0)+IF(3&lt;=$AL126,($AL126-3+3)*(INDEX(Reference!$B$6:$B$11,MIN(5,MATCH(MAX(Reference!$A$6,MIN(Reference!$A$11,MIN($U126,150))),Reference!$A$6:$A$11,1)))+(MAX(Reference!$A$6,MIN(Reference!$A$11,MIN($U126,150)))-INDEX(Reference!$A$6:$A$11,MIN(5,MATCH(MAX(Reference!$A$6,MIN(Reference!$A$11,MIN($U126,150))),Reference!$A$6:$A$11,1))))*(INDEX(Reference!$B$6:$B$11,MIN(5,MATCH(MAX(Reference!$A$6,MIN(Reference!$A$11,MIN($U126,150))),Reference!$A$6:$A$11,1))+1)-INDEX(Reference!$B$6:$B$11,MIN(5,MATCH(MAX(Reference!$A$6,MIN(Reference!$A$11,MIN($U126,150))),Reference!$A$6:$A$11,1))))/(INDEX(Reference!$A$6:$A$11,MIN(5,MATCH(MAX(Reference!$A$6,MIN(Reference!$A$11,MIN($U126,150))),Reference!$A$6:$A$11,1))+1)-INDEX(Reference!$A$6:$A$11,MIN(5,MATCH(MAX(Reference!$A$6,MIN(Reference!$A$11,MIN($U126,150))),Reference!$A$6:$A$11,1))))),0)+IF(4&lt;=$AL126,($AL126-4+3)*(INDEX(Reference!$B$6:$B$11,MIN(5,MATCH(MAX(Reference!$A$6,MIN(Reference!$A$11,MIN($U126,180))),Reference!$A$6:$A$11,1)))+(MAX(Reference!$A$6,MIN(Reference!$A$11,MIN($U126,180)))-INDEX(Reference!$A$6:$A$11,MIN(5,MATCH(MAX(Reference!$A$6,MIN(Reference!$A$11,MIN($U126,180))),Reference!$A$6:$A$11,1))))*(INDEX(Reference!$B$6:$B$11,MIN(5,MATCH(MAX(Reference!$A$6,MIN(Reference!$A$11,MIN($U126,180))),Reference!$A$6:$A$11,1))+1)-INDEX(Reference!$B$6:$B$11,MIN(5,MATCH(MAX(Reference!$A$6,MIN(Reference!$A$11,MIN($U126,180))),Reference!$A$6:$A$11,1))))/(INDEX(Reference!$A$6:$A$11,MIN(5,MATCH(MAX(Reference!$A$6,MIN(Reference!$A$11,MIN($U126,180))),Reference!$A$6:$A$11,1))+1)-INDEX(Reference!$A$6:$A$11,MIN(5,MATCH(MAX(Reference!$A$6,MIN(Reference!$A$11,MIN($U126,180))),Reference!$A$6:$A$11,1))))),0)+IF(5&lt;=$AL126,($AL126-5+3)*(INDEX(Reference!$B$6:$B$11,MIN(5,MATCH(MAX(Reference!$A$6,MIN(Reference!$A$11,MIN($U126,210))),Reference!$A$6:$A$11,1)))+(MAX(Reference!$A$6,MIN(Reference!$A$11,MIN($U126,210)))-INDEX(Reference!$A$6:$A$11,MIN(5,MATCH(MAX(Reference!$A$6,MIN(Reference!$A$11,MIN($U126,210))),Reference!$A$6:$A$11,1))))*(INDEX(Reference!$B$6:$B$11,MIN(5,MATCH(MAX(Reference!$A$6,MIN(Reference!$A$11,MIN($U126,210))),Reference!$A$6:$A$11,1))+1)-INDEX(Reference!$B$6:$B$11,MIN(5,MATCH(MAX(Reference!$A$6,MIN(Reference!$A$11,MIN($U126,210))),Reference!$A$6:$A$11,1))))/(INDEX(Reference!$A$6:$A$11,MIN(5,MATCH(MAX(Reference!$A$6,MIN(Reference!$A$11,MIN($U126,210))),Reference!$A$6:$A$11,1))+1)-INDEX(Reference!$A$6:$A$11,MIN(5,MATCH(MAX(Reference!$A$6,MIN(Reference!$A$11,MIN($U126,210))),Reference!$A$6:$A$11,1))))),0)+IF(6&lt;=$AL126,($AL126-6+3)*(INDEX(Reference!$B$6:$B$11,MIN(5,MATCH(MAX(Reference!$A$6,MIN(Reference!$A$11,MIN($U126,240))),Reference!$A$6:$A$11,1)))+(MAX(Reference!$A$6,MIN(Reference!$A$11,MIN($U126,240)))-INDEX(Reference!$A$6:$A$11,MIN(5,MATCH(MAX(Reference!$A$6,MIN(Reference!$A$11,MIN($U126,240))),Reference!$A$6:$A$11,1))))*(INDEX(Reference!$B$6:$B$11,MIN(5,MATCH(MAX(Reference!$A$6,MIN(Reference!$A$11,MIN($U126,240))),Reference!$A$6:$A$11,1))+1)-INDEX(Reference!$B$6:$B$11,MIN(5,MATCH(MAX(Reference!$A$6,MIN(Reference!$A$11,MIN($U126,240))),Reference!$A$6:$A$11,1))))/(INDEX(Reference!$A$6:$A$11,MIN(5,MATCH(MAX(Reference!$A$6,MIN(Reference!$A$11,MIN($U126,240))),Reference!$A$6:$A$11,1))+1)-INDEX(Reference!$A$6:$A$11,MIN(5,MATCH(MAX(Reference!$A$6,MIN(Reference!$A$11,MIN($U126,240))),Reference!$A$6:$A$11,1))))),0)+IF(7&lt;=$AL126,($AL126-7+3)*(INDEX(Reference!$B$6:$B$11,MIN(5,MATCH(MAX(Reference!$A$6,MIN(Reference!$A$11,MIN($U126,270))),Reference!$A$6:$A$11,1)))+(MAX(Reference!$A$6,MIN(Reference!$A$11,MIN($U126,270)))-INDEX(Reference!$A$6:$A$11,MIN(5,MATCH(MAX(Reference!$A$6,MIN(Reference!$A$11,MIN($U126,270))),Reference!$A$6:$A$11,1))))*(INDEX(Reference!$B$6:$B$11,MIN(5,MATCH(MAX(Reference!$A$6,MIN(Reference!$A$11,MIN($U126,270))),Reference!$A$6:$A$11,1))+1)-INDEX(Reference!$B$6:$B$11,MIN(5,MATCH(MAX(Reference!$A$6,MIN(Reference!$A$11,MIN($U126,270))),Reference!$A$6:$A$11,1))))/(INDEX(Reference!$A$6:$A$11,MIN(5,MATCH(MAX(Reference!$A$6,MIN(Reference!$A$11,MIN($U126,270))),Reference!$A$6:$A$11,1))+1)-INDEX(Reference!$A$6:$A$11,MIN(5,MATCH(MAX(Reference!$A$6,MIN(Reference!$A$11,MIN($U126,270))),Reference!$A$6:$A$11,1))))),0)+IF(8&lt;=$AL126,($AL126-8+3)*(INDEX(Reference!$B$6:$B$11,MIN(5,MATCH(MAX(Reference!$A$6,MIN(Reference!$A$11,MIN($U126,300))),Reference!$A$6:$A$11,1)))+(MAX(Reference!$A$6,MIN(Reference!$A$11,MIN($U126,300)))-INDEX(Reference!$A$6:$A$11,MIN(5,MATCH(MAX(Reference!$A$6,MIN(Reference!$A$11,MIN($U126,300))),Reference!$A$6:$A$11,1))))*(INDEX(Reference!$B$6:$B$11,MIN(5,MATCH(MAX(Reference!$A$6,MIN(Reference!$A$11,MIN($U126,300))),Reference!$A$6:$A$11,1))+1)-INDEX(Reference!$B$6:$B$11,MIN(5,MATCH(MAX(Reference!$A$6,MIN(Reference!$A$11,MIN($U126,300))),Reference!$A$6:$A$11,1))))/(INDEX(Reference!$A$6:$A$11,MIN(5,MATCH(MAX(Reference!$A$6,MIN(Reference!$A$11,MIN($U126,300))),Reference!$A$6:$A$11,1))+1)-INDEX(Reference!$A$6:$A$11,MIN(5,MATCH(MAX(Reference!$A$6,MIN(Reference!$A$11,MIN($U126,300))),Reference!$A$6:$A$11,1))))),0))/($AL126*($AL126+5)/2)),$AN126))</f>
        <v>1.1499999999999999</v>
      </c>
      <c r="AN126" s="32">
        <f>IF($U126="",0,(INDEX(Reference!$B$6:$B$11,MIN(5,MATCH(MAX(Reference!$A$6,MIN(Reference!$A$11,$U126)),Reference!$A$6:$A$11,1)))+(MAX(Reference!$A$6,MIN(Reference!$A$11,$U126))-INDEX(Reference!$A$6:$A$11,MIN(5,MATCH(MAX(Reference!$A$6,MIN(Reference!$A$11,$U126)),Reference!$A$6:$A$11,1))))*(INDEX(Reference!$B$6:$B$11,MIN(5,MATCH(MAX(Reference!$A$6,MIN(Reference!$A$11,$U126)),Reference!$A$6:$A$11,1))+1)-INDEX(Reference!$B$6:$B$11,MIN(5,MATCH(MAX(Reference!$A$6,MIN(Reference!$A$11,$U126)),Reference!$A$6:$A$11,1))))/(INDEX(Reference!$A$6:$A$11,MIN(5,MATCH(MAX(Reference!$A$6,MIN(Reference!$A$11,$U126)),Reference!$A$6:$A$11,1))+1)-INDEX(Reference!$A$6:$A$11,MIN(5,MATCH(MAX(Reference!$A$6,MIN(Reference!$A$11,$U126)),Reference!$A$6:$A$11,1))))))</f>
        <v>1.1499999999999999</v>
      </c>
      <c r="AO126" s="37"/>
      <c r="AP126" s="37"/>
      <c r="AQ126" s="37"/>
    </row>
    <row r="127" spans="1:43" x14ac:dyDescent="0.3">
      <c r="A127" s="48">
        <f t="shared" si="55"/>
        <v>46391</v>
      </c>
      <c r="B127" s="32" t="str">
        <f t="shared" si="56"/>
        <v>Mon</v>
      </c>
      <c r="C127" s="32">
        <f t="shared" si="57"/>
        <v>0</v>
      </c>
      <c r="D127" s="32" t="str">
        <f t="shared" si="58"/>
        <v>First Bullpen</v>
      </c>
      <c r="E127" s="32" t="str">
        <f t="shared" si="59"/>
        <v>High Bullpen</v>
      </c>
      <c r="F127" s="32" t="str">
        <f t="shared" si="60"/>
        <v>Bullpen</v>
      </c>
      <c r="G127" s="47" t="str">
        <f t="shared" si="61"/>
        <v>90 ft × 25 @ 79–81 mph + MOUND × 20 pitches @ 84–86 mph</v>
      </c>
      <c r="H127" s="30">
        <f t="shared" si="62"/>
        <v>109.5</v>
      </c>
      <c r="I127" s="46">
        <f>IF($A127="","",IF(AND($L127&lt;27,$K$12=0),"Building",IFERROR(((SUM($H$121:$H127)+$K$12*IF($L127&lt;6,SUMIFS('Throw Log'!$Q$5:$Q$300,'Throw Log'!$B$5:$B$300,$D$4,'Throw Log'!$A$5:$A$300,"&gt;="&amp;($D$6+$L127-6),'Throw Log'!$A$5:$A$300,"&lt;="&amp;($D$6-1)),0))/7)/((SUM($H$100:$H127)+$K$12*IF($L127&lt;27,SUMIFS('Throw Log'!$Q$5:$Q$300,'Throw Log'!$B$5:$B$300,$D$4,'Throw Log'!$A$5:$A$300,"&gt;="&amp;($D$6+$L127-27),'Throw Log'!$A$5:$A$300,"&lt;="&amp;($D$6-1)),0))/28),"")))</f>
        <v>1.3197223370749587</v>
      </c>
      <c r="J127" s="37"/>
      <c r="K127" s="37"/>
      <c r="L127" s="32">
        <v>84</v>
      </c>
      <c r="M127" s="32">
        <f t="shared" si="63"/>
        <v>13</v>
      </c>
      <c r="N127" s="32">
        <f t="shared" si="64"/>
        <v>0</v>
      </c>
      <c r="O127" s="32">
        <f t="shared" si="65"/>
        <v>1</v>
      </c>
      <c r="P127" s="32" t="str">
        <f>IF(OR($A127="",N($C127)&lt;=7),"",$G$6*$G$9^($M127-1)*IF(AND(MOD($M127,Reference!$B$99)=0,$M127&lt;=$G$5-2),Reference!$B$100,1))</f>
        <v/>
      </c>
      <c r="Q127" s="32" t="str">
        <f>IF($P127="","",IF(SUM($AK$127:$AK$133)=0,0,$P127*INDEX(Reference!$B$108:$B$114,$N127+1)/SUM($AK$127:$AK$133)))</f>
        <v/>
      </c>
      <c r="R127" s="32">
        <f t="shared" si="66"/>
        <v>180</v>
      </c>
      <c r="S127" s="32">
        <f t="shared" si="67"/>
        <v>150</v>
      </c>
      <c r="T127" s="32" t="str">
        <f>IF($A127="","",IF($C127=0,"Bullpen",IF(OR($C127=7,$C127=1,$C127=5),"Recovery/Easy Catch",IF($C127=6,"Compression/Pulldowns",IF(OR($C127=4,$C127=2),"Long Toss",IF($C127=3,"No Throw",IF($N127=2,"No Throw",IF($N127=6,IF($O127&lt;Reference!$B$104,"No Throw","Recovery/Easy Catch"),IF(OR($N127=0,$N127=4),"Recovery/Easy Catch",IF($N127=1,IF($R127&gt;75,"Long Toss","Recovery/Easy Catch"),IF($N127=3,IF($O127&lt;0.5,IF($S127&gt;75,"Long Toss","Recovery/Easy Catch"),"Compression/Pulldowns"),IF($S127&gt;75,"Long Toss","Recovery/Easy Catch"))))))))))))</f>
        <v>Bullpen</v>
      </c>
      <c r="U127" s="32">
        <f t="shared" si="68"/>
        <v>90</v>
      </c>
      <c r="V127" s="32">
        <f t="shared" si="69"/>
        <v>10</v>
      </c>
      <c r="W127" s="32">
        <f t="shared" si="70"/>
        <v>12</v>
      </c>
      <c r="X127" s="32">
        <f t="shared" si="71"/>
        <v>0</v>
      </c>
      <c r="Y127" s="32" t="str">
        <f t="shared" si="72"/>
        <v/>
      </c>
      <c r="Z127" s="32" t="str">
        <f t="shared" si="73"/>
        <v/>
      </c>
      <c r="AA127" s="32">
        <f t="shared" si="74"/>
        <v>25</v>
      </c>
      <c r="AB127" s="32">
        <f>IF($A127="","",IF($T127="No Throw",0,IF($K127&lt;&gt;"",$K127,IF($AA127&lt;&gt;"",ROUND($AA127*$D$12*IF($C127=0,1,$G$10),0),MIN(IF($T127="Recovery/Easy Catch",Reference!$B$103,IF($T127="Long Toss",Reference!$B$106,Reference!$B$102)),MAX(Reference!$B$101,ROUND(MAX(0,$Q127-$AE127)/$AF127,0)))))))</f>
        <v>25</v>
      </c>
      <c r="AC127" s="44">
        <f t="shared" si="75"/>
        <v>20</v>
      </c>
      <c r="AD127" s="32" t="b">
        <f t="shared" si="76"/>
        <v>0</v>
      </c>
      <c r="AE127" s="32">
        <f>IF($X127=0,0,$X127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127+$Z127)/2,0),Reference!$A$17:$B$20,2,TRUE()))</f>
        <v>0</v>
      </c>
      <c r="AF127" s="32">
        <f>IF(OR($A127="",$U127="",$T127="No Throw"),0,$AM127*VLOOKUP(MAX(($V127+$W127)/2,0),Reference!$A$17:$B$20,2,TRUE()))</f>
        <v>0.78</v>
      </c>
      <c r="AG127" s="32">
        <f>IF($AC127=0,0,$AC127*INDEX(Reference!$B$61:$B$62,MATCH("Bullpen",Reference!$A$61:$A$62,0))*VLOOKUP(MAX($D$5-($D$9+$E$9)/2,0),Reference!$A$17:$B$20,2,TRUE()))</f>
        <v>90</v>
      </c>
      <c r="AH127" s="46">
        <f t="shared" si="77"/>
        <v>1.3197223370749587</v>
      </c>
      <c r="AI127" s="32">
        <f>IF($A127="",NA(),Reference!$A$25)</f>
        <v>0.8</v>
      </c>
      <c r="AJ127" s="32">
        <f t="shared" si="78"/>
        <v>1.3</v>
      </c>
      <c r="AK127" s="32">
        <f>IF(OR($A127="",N($C127)&lt;=7,$T127="No Throw",$J127="x"),0,INDEX(Reference!$B$108:$B$114,$N127+1))</f>
        <v>0</v>
      </c>
      <c r="AL127" s="32">
        <f t="shared" si="79"/>
        <v>1</v>
      </c>
      <c r="AM127" s="32">
        <f>IF($U127="",0,IF($AL127&gt;1,((IF(1&lt;=$AL127,($AL127-1+3)*(INDEX(Reference!$B$6:$B$11,MIN(5,MATCH(MAX(Reference!$A$6,MIN(Reference!$A$11,MIN($U127,90))),Reference!$A$6:$A$11,1)))+(MAX(Reference!$A$6,MIN(Reference!$A$11,MIN($U127,90)))-INDEX(Reference!$A$6:$A$11,MIN(5,MATCH(MAX(Reference!$A$6,MIN(Reference!$A$11,MIN($U127,90))),Reference!$A$6:$A$11,1))))*(INDEX(Reference!$B$6:$B$11,MIN(5,MATCH(MAX(Reference!$A$6,MIN(Reference!$A$11,MIN($U127,90))),Reference!$A$6:$A$11,1))+1)-INDEX(Reference!$B$6:$B$11,MIN(5,MATCH(MAX(Reference!$A$6,MIN(Reference!$A$11,MIN($U127,90))),Reference!$A$6:$A$11,1))))/(INDEX(Reference!$A$6:$A$11,MIN(5,MATCH(MAX(Reference!$A$6,MIN(Reference!$A$11,MIN($U127,90))),Reference!$A$6:$A$11,1))+1)-INDEX(Reference!$A$6:$A$11,MIN(5,MATCH(MAX(Reference!$A$6,MIN(Reference!$A$11,MIN($U127,90))),Reference!$A$6:$A$11,1))))),0)+IF(2&lt;=$AL127,($AL127-2+3)*(INDEX(Reference!$B$6:$B$11,MIN(5,MATCH(MAX(Reference!$A$6,MIN(Reference!$A$11,MIN($U127,120))),Reference!$A$6:$A$11,1)))+(MAX(Reference!$A$6,MIN(Reference!$A$11,MIN($U127,120)))-INDEX(Reference!$A$6:$A$11,MIN(5,MATCH(MAX(Reference!$A$6,MIN(Reference!$A$11,MIN($U127,120))),Reference!$A$6:$A$11,1))))*(INDEX(Reference!$B$6:$B$11,MIN(5,MATCH(MAX(Reference!$A$6,MIN(Reference!$A$11,MIN($U127,120))),Reference!$A$6:$A$11,1))+1)-INDEX(Reference!$B$6:$B$11,MIN(5,MATCH(MAX(Reference!$A$6,MIN(Reference!$A$11,MIN($U127,120))),Reference!$A$6:$A$11,1))))/(INDEX(Reference!$A$6:$A$11,MIN(5,MATCH(MAX(Reference!$A$6,MIN(Reference!$A$11,MIN($U127,120))),Reference!$A$6:$A$11,1))+1)-INDEX(Reference!$A$6:$A$11,MIN(5,MATCH(MAX(Reference!$A$6,MIN(Reference!$A$11,MIN($U127,120))),Reference!$A$6:$A$11,1))))),0)+IF(3&lt;=$AL127,($AL127-3+3)*(INDEX(Reference!$B$6:$B$11,MIN(5,MATCH(MAX(Reference!$A$6,MIN(Reference!$A$11,MIN($U127,150))),Reference!$A$6:$A$11,1)))+(MAX(Reference!$A$6,MIN(Reference!$A$11,MIN($U127,150)))-INDEX(Reference!$A$6:$A$11,MIN(5,MATCH(MAX(Reference!$A$6,MIN(Reference!$A$11,MIN($U127,150))),Reference!$A$6:$A$11,1))))*(INDEX(Reference!$B$6:$B$11,MIN(5,MATCH(MAX(Reference!$A$6,MIN(Reference!$A$11,MIN($U127,150))),Reference!$A$6:$A$11,1))+1)-INDEX(Reference!$B$6:$B$11,MIN(5,MATCH(MAX(Reference!$A$6,MIN(Reference!$A$11,MIN($U127,150))),Reference!$A$6:$A$11,1))))/(INDEX(Reference!$A$6:$A$11,MIN(5,MATCH(MAX(Reference!$A$6,MIN(Reference!$A$11,MIN($U127,150))),Reference!$A$6:$A$11,1))+1)-INDEX(Reference!$A$6:$A$11,MIN(5,MATCH(MAX(Reference!$A$6,MIN(Reference!$A$11,MIN($U127,150))),Reference!$A$6:$A$11,1))))),0)+IF(4&lt;=$AL127,($AL127-4+3)*(INDEX(Reference!$B$6:$B$11,MIN(5,MATCH(MAX(Reference!$A$6,MIN(Reference!$A$11,MIN($U127,180))),Reference!$A$6:$A$11,1)))+(MAX(Reference!$A$6,MIN(Reference!$A$11,MIN($U127,180)))-INDEX(Reference!$A$6:$A$11,MIN(5,MATCH(MAX(Reference!$A$6,MIN(Reference!$A$11,MIN($U127,180))),Reference!$A$6:$A$11,1))))*(INDEX(Reference!$B$6:$B$11,MIN(5,MATCH(MAX(Reference!$A$6,MIN(Reference!$A$11,MIN($U127,180))),Reference!$A$6:$A$11,1))+1)-INDEX(Reference!$B$6:$B$11,MIN(5,MATCH(MAX(Reference!$A$6,MIN(Reference!$A$11,MIN($U127,180))),Reference!$A$6:$A$11,1))))/(INDEX(Reference!$A$6:$A$11,MIN(5,MATCH(MAX(Reference!$A$6,MIN(Reference!$A$11,MIN($U127,180))),Reference!$A$6:$A$11,1))+1)-INDEX(Reference!$A$6:$A$11,MIN(5,MATCH(MAX(Reference!$A$6,MIN(Reference!$A$11,MIN($U127,180))),Reference!$A$6:$A$11,1))))),0)+IF(5&lt;=$AL127,($AL127-5+3)*(INDEX(Reference!$B$6:$B$11,MIN(5,MATCH(MAX(Reference!$A$6,MIN(Reference!$A$11,MIN($U127,210))),Reference!$A$6:$A$11,1)))+(MAX(Reference!$A$6,MIN(Reference!$A$11,MIN($U127,210)))-INDEX(Reference!$A$6:$A$11,MIN(5,MATCH(MAX(Reference!$A$6,MIN(Reference!$A$11,MIN($U127,210))),Reference!$A$6:$A$11,1))))*(INDEX(Reference!$B$6:$B$11,MIN(5,MATCH(MAX(Reference!$A$6,MIN(Reference!$A$11,MIN($U127,210))),Reference!$A$6:$A$11,1))+1)-INDEX(Reference!$B$6:$B$11,MIN(5,MATCH(MAX(Reference!$A$6,MIN(Reference!$A$11,MIN($U127,210))),Reference!$A$6:$A$11,1))))/(INDEX(Reference!$A$6:$A$11,MIN(5,MATCH(MAX(Reference!$A$6,MIN(Reference!$A$11,MIN($U127,210))),Reference!$A$6:$A$11,1))+1)-INDEX(Reference!$A$6:$A$11,MIN(5,MATCH(MAX(Reference!$A$6,MIN(Reference!$A$11,MIN($U127,210))),Reference!$A$6:$A$11,1))))),0)+IF(6&lt;=$AL127,($AL127-6+3)*(INDEX(Reference!$B$6:$B$11,MIN(5,MATCH(MAX(Reference!$A$6,MIN(Reference!$A$11,MIN($U127,240))),Reference!$A$6:$A$11,1)))+(MAX(Reference!$A$6,MIN(Reference!$A$11,MIN($U127,240)))-INDEX(Reference!$A$6:$A$11,MIN(5,MATCH(MAX(Reference!$A$6,MIN(Reference!$A$11,MIN($U127,240))),Reference!$A$6:$A$11,1))))*(INDEX(Reference!$B$6:$B$11,MIN(5,MATCH(MAX(Reference!$A$6,MIN(Reference!$A$11,MIN($U127,240))),Reference!$A$6:$A$11,1))+1)-INDEX(Reference!$B$6:$B$11,MIN(5,MATCH(MAX(Reference!$A$6,MIN(Reference!$A$11,MIN($U127,240))),Reference!$A$6:$A$11,1))))/(INDEX(Reference!$A$6:$A$11,MIN(5,MATCH(MAX(Reference!$A$6,MIN(Reference!$A$11,MIN($U127,240))),Reference!$A$6:$A$11,1))+1)-INDEX(Reference!$A$6:$A$11,MIN(5,MATCH(MAX(Reference!$A$6,MIN(Reference!$A$11,MIN($U127,240))),Reference!$A$6:$A$11,1))))),0)+IF(7&lt;=$AL127,($AL127-7+3)*(INDEX(Reference!$B$6:$B$11,MIN(5,MATCH(MAX(Reference!$A$6,MIN(Reference!$A$11,MIN($U127,270))),Reference!$A$6:$A$11,1)))+(MAX(Reference!$A$6,MIN(Reference!$A$11,MIN($U127,270)))-INDEX(Reference!$A$6:$A$11,MIN(5,MATCH(MAX(Reference!$A$6,MIN(Reference!$A$11,MIN($U127,270))),Reference!$A$6:$A$11,1))))*(INDEX(Reference!$B$6:$B$11,MIN(5,MATCH(MAX(Reference!$A$6,MIN(Reference!$A$11,MIN($U127,270))),Reference!$A$6:$A$11,1))+1)-INDEX(Reference!$B$6:$B$11,MIN(5,MATCH(MAX(Reference!$A$6,MIN(Reference!$A$11,MIN($U127,270))),Reference!$A$6:$A$11,1))))/(INDEX(Reference!$A$6:$A$11,MIN(5,MATCH(MAX(Reference!$A$6,MIN(Reference!$A$11,MIN($U127,270))),Reference!$A$6:$A$11,1))+1)-INDEX(Reference!$A$6:$A$11,MIN(5,MATCH(MAX(Reference!$A$6,MIN(Reference!$A$11,MIN($U127,270))),Reference!$A$6:$A$11,1))))),0)+IF(8&lt;=$AL127,($AL127-8+3)*(INDEX(Reference!$B$6:$B$11,MIN(5,MATCH(MAX(Reference!$A$6,MIN(Reference!$A$11,MIN($U127,300))),Reference!$A$6:$A$11,1)))+(MAX(Reference!$A$6,MIN(Reference!$A$11,MIN($U127,300)))-INDEX(Reference!$A$6:$A$11,MIN(5,MATCH(MAX(Reference!$A$6,MIN(Reference!$A$11,MIN($U127,300))),Reference!$A$6:$A$11,1))))*(INDEX(Reference!$B$6:$B$11,MIN(5,MATCH(MAX(Reference!$A$6,MIN(Reference!$A$11,MIN($U127,300))),Reference!$A$6:$A$11,1))+1)-INDEX(Reference!$B$6:$B$11,MIN(5,MATCH(MAX(Reference!$A$6,MIN(Reference!$A$11,MIN($U127,300))),Reference!$A$6:$A$11,1))))/(INDEX(Reference!$A$6:$A$11,MIN(5,MATCH(MAX(Reference!$A$6,MIN(Reference!$A$11,MIN($U127,300))),Reference!$A$6:$A$11,1))+1)-INDEX(Reference!$A$6:$A$11,MIN(5,MATCH(MAX(Reference!$A$6,MIN(Reference!$A$11,MIN($U127,300))),Reference!$A$6:$A$11,1))))),0))/($AL127*($AL127+5)/2)),$AN127))</f>
        <v>1.3</v>
      </c>
      <c r="AN127" s="32">
        <f>IF($U127="",0,(INDEX(Reference!$B$6:$B$11,MIN(5,MATCH(MAX(Reference!$A$6,MIN(Reference!$A$11,$U127)),Reference!$A$6:$A$11,1)))+(MAX(Reference!$A$6,MIN(Reference!$A$11,$U127))-INDEX(Reference!$A$6:$A$11,MIN(5,MATCH(MAX(Reference!$A$6,MIN(Reference!$A$11,$U127)),Reference!$A$6:$A$11,1))))*(INDEX(Reference!$B$6:$B$11,MIN(5,MATCH(MAX(Reference!$A$6,MIN(Reference!$A$11,$U127)),Reference!$A$6:$A$11,1))+1)-INDEX(Reference!$B$6:$B$11,MIN(5,MATCH(MAX(Reference!$A$6,MIN(Reference!$A$11,$U127)),Reference!$A$6:$A$11,1))))/(INDEX(Reference!$A$6:$A$11,MIN(5,MATCH(MAX(Reference!$A$6,MIN(Reference!$A$11,$U127)),Reference!$A$6:$A$11,1))+1)-INDEX(Reference!$A$6:$A$11,MIN(5,MATCH(MAX(Reference!$A$6,MIN(Reference!$A$11,$U127)),Reference!$A$6:$A$11,1))))))</f>
        <v>1.3</v>
      </c>
      <c r="AO127" s="37"/>
      <c r="AP127" s="37"/>
      <c r="AQ127" s="37"/>
    </row>
    <row r="128" spans="1:43" x14ac:dyDescent="0.3">
      <c r="A128" s="48" t="str">
        <f t="shared" si="55"/>
        <v/>
      </c>
      <c r="B128" s="32" t="str">
        <f t="shared" si="56"/>
        <v/>
      </c>
      <c r="C128" s="32" t="str">
        <f t="shared" si="57"/>
        <v/>
      </c>
      <c r="D128" s="32" t="str">
        <f t="shared" si="58"/>
        <v/>
      </c>
      <c r="E128" s="32" t="str">
        <f t="shared" si="59"/>
        <v/>
      </c>
      <c r="F128" s="32" t="str">
        <f t="shared" si="60"/>
        <v/>
      </c>
      <c r="G128" s="47" t="str">
        <f t="shared" si="61"/>
        <v/>
      </c>
      <c r="H128" s="30" t="str">
        <f t="shared" si="62"/>
        <v/>
      </c>
      <c r="I128" s="46" t="str">
        <f>IF($A128="","",IF(AND($L128&lt;27,$K$12=0),"Building",IFERROR(((SUM($H$122:$H128)+$K$12*IF($L128&lt;6,SUMIFS('Throw Log'!$Q$5:$Q$300,'Throw Log'!$B$5:$B$300,$D$4,'Throw Log'!$A$5:$A$300,"&gt;="&amp;($D$6+$L128-6),'Throw Log'!$A$5:$A$300,"&lt;="&amp;($D$6-1)),0))/7)/((SUM($H$101:$H128)+$K$12*IF($L128&lt;27,SUMIFS('Throw Log'!$Q$5:$Q$300,'Throw Log'!$B$5:$B$300,$D$4,'Throw Log'!$A$5:$A$300,"&gt;="&amp;($D$6+$L128-27),'Throw Log'!$A$5:$A$300,"&lt;="&amp;($D$6-1)),0))/28),"")))</f>
        <v/>
      </c>
      <c r="J128" s="37"/>
      <c r="K128" s="37"/>
      <c r="L128" s="32">
        <v>85</v>
      </c>
      <c r="M128" s="32">
        <f t="shared" si="63"/>
        <v>13</v>
      </c>
      <c r="N128" s="32">
        <f t="shared" si="64"/>
        <v>1</v>
      </c>
      <c r="O128" s="32">
        <f t="shared" si="65"/>
        <v>1</v>
      </c>
      <c r="P128" s="32" t="str">
        <f>IF(OR($A128="",N($C128)&lt;=7),"",$G$6*$G$9^($M128-1)*IF(AND(MOD($M128,Reference!$B$99)=0,$M128&lt;=$G$5-2),Reference!$B$100,1))</f>
        <v/>
      </c>
      <c r="Q128" s="32" t="str">
        <f>IF($P128="","",IF(SUM($AK$127:$AK$133)=0,0,$P128*INDEX(Reference!$B$108:$B$114,$N128+1)/SUM($AK$127:$AK$133)))</f>
        <v/>
      </c>
      <c r="R128" s="32">
        <f t="shared" si="66"/>
        <v>180</v>
      </c>
      <c r="S128" s="32">
        <f t="shared" si="67"/>
        <v>150</v>
      </c>
      <c r="T128" s="32" t="str">
        <f>IF($A128="","",IF($C128=0,"Bullpen",IF(OR($C128=7,$C128=1,$C128=5),"Recovery/Easy Catch",IF($C128=6,"Compression/Pulldowns",IF(OR($C128=4,$C128=2),"Long Toss",IF($C128=3,"No Throw",IF($N128=2,"No Throw",IF($N128=6,IF($O128&lt;Reference!$B$104,"No Throw","Recovery/Easy Catch"),IF(OR($N128=0,$N128=4),"Recovery/Easy Catch",IF($N128=1,IF($R128&gt;75,"Long Toss","Recovery/Easy Catch"),IF($N128=3,IF($O128&lt;0.5,IF($S128&gt;75,"Long Toss","Recovery/Easy Catch"),"Compression/Pulldowns"),IF($S128&gt;75,"Long Toss","Recovery/Easy Catch"))))))))))))</f>
        <v/>
      </c>
      <c r="U128" s="32" t="str">
        <f t="shared" si="68"/>
        <v/>
      </c>
      <c r="V128" s="32" t="str">
        <f t="shared" si="69"/>
        <v/>
      </c>
      <c r="W128" s="32" t="str">
        <f t="shared" si="70"/>
        <v/>
      </c>
      <c r="X128" s="32">
        <f t="shared" si="71"/>
        <v>0</v>
      </c>
      <c r="Y128" s="32" t="str">
        <f t="shared" si="72"/>
        <v/>
      </c>
      <c r="Z128" s="32" t="str">
        <f t="shared" si="73"/>
        <v/>
      </c>
      <c r="AA128" s="32" t="str">
        <f t="shared" si="74"/>
        <v/>
      </c>
      <c r="AB128" s="32" t="str">
        <f>IF($A128="","",IF($T128="No Throw",0,IF($K128&lt;&gt;"",$K128,IF($AA128&lt;&gt;"",ROUND($AA128*$D$12*IF($C128=0,1,$G$10),0),MIN(IF($T128="Recovery/Easy Catch",Reference!$B$103,IF($T128="Long Toss",Reference!$B$106,Reference!$B$102)),MAX(Reference!$B$101,ROUND(MAX(0,$Q128-$AE128)/$AF128,0)))))))</f>
        <v/>
      </c>
      <c r="AC128" s="32">
        <f t="shared" si="75"/>
        <v>0</v>
      </c>
      <c r="AD128" s="32" t="b">
        <f t="shared" si="76"/>
        <v>1</v>
      </c>
      <c r="AE128" s="32">
        <f>IF($X128=0,0,$X128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128+$Z128)/2,0),Reference!$A$17:$B$20,2,TRUE()))</f>
        <v>0</v>
      </c>
      <c r="AF128" s="32">
        <f>IF(OR($A128="",$U128="",$T128="No Throw"),0,$AM128*VLOOKUP(MAX(($V128+$W128)/2,0),Reference!$A$17:$B$20,2,TRUE()))</f>
        <v>0</v>
      </c>
      <c r="AG128" s="32">
        <f>IF($AC128=0,0,$AC128*INDEX(Reference!$B$61:$B$62,MATCH("Bullpen",Reference!$A$61:$A$62,0))*VLOOKUP(MAX($D$5-($D$9+$E$9)/2,0),Reference!$A$17:$B$20,2,TRUE()))</f>
        <v>0</v>
      </c>
      <c r="AH128" s="32" t="e">
        <f t="shared" si="77"/>
        <v>#N/A</v>
      </c>
      <c r="AI128" s="32" t="e">
        <f>IF($A128="",NA(),Reference!$A$25)</f>
        <v>#N/A</v>
      </c>
      <c r="AJ128" s="32" t="e">
        <f t="shared" si="78"/>
        <v>#N/A</v>
      </c>
      <c r="AK128" s="32">
        <f>IF(OR($A128="",N($C128)&lt;=7,$T128="No Throw",$J128="x"),0,INDEX(Reference!$B$108:$B$114,$N128+1))</f>
        <v>0</v>
      </c>
      <c r="AL128" s="32">
        <f t="shared" si="79"/>
        <v>1</v>
      </c>
      <c r="AM128" s="32">
        <f>IF($U128="",0,IF($AL128&gt;1,((IF(1&lt;=$AL128,($AL128-1+3)*(INDEX(Reference!$B$6:$B$11,MIN(5,MATCH(MAX(Reference!$A$6,MIN(Reference!$A$11,MIN($U128,90))),Reference!$A$6:$A$11,1)))+(MAX(Reference!$A$6,MIN(Reference!$A$11,MIN($U128,90)))-INDEX(Reference!$A$6:$A$11,MIN(5,MATCH(MAX(Reference!$A$6,MIN(Reference!$A$11,MIN($U128,90))),Reference!$A$6:$A$11,1))))*(INDEX(Reference!$B$6:$B$11,MIN(5,MATCH(MAX(Reference!$A$6,MIN(Reference!$A$11,MIN($U128,90))),Reference!$A$6:$A$11,1))+1)-INDEX(Reference!$B$6:$B$11,MIN(5,MATCH(MAX(Reference!$A$6,MIN(Reference!$A$11,MIN($U128,90))),Reference!$A$6:$A$11,1))))/(INDEX(Reference!$A$6:$A$11,MIN(5,MATCH(MAX(Reference!$A$6,MIN(Reference!$A$11,MIN($U128,90))),Reference!$A$6:$A$11,1))+1)-INDEX(Reference!$A$6:$A$11,MIN(5,MATCH(MAX(Reference!$A$6,MIN(Reference!$A$11,MIN($U128,90))),Reference!$A$6:$A$11,1))))),0)+IF(2&lt;=$AL128,($AL128-2+3)*(INDEX(Reference!$B$6:$B$11,MIN(5,MATCH(MAX(Reference!$A$6,MIN(Reference!$A$11,MIN($U128,120))),Reference!$A$6:$A$11,1)))+(MAX(Reference!$A$6,MIN(Reference!$A$11,MIN($U128,120)))-INDEX(Reference!$A$6:$A$11,MIN(5,MATCH(MAX(Reference!$A$6,MIN(Reference!$A$11,MIN($U128,120))),Reference!$A$6:$A$11,1))))*(INDEX(Reference!$B$6:$B$11,MIN(5,MATCH(MAX(Reference!$A$6,MIN(Reference!$A$11,MIN($U128,120))),Reference!$A$6:$A$11,1))+1)-INDEX(Reference!$B$6:$B$11,MIN(5,MATCH(MAX(Reference!$A$6,MIN(Reference!$A$11,MIN($U128,120))),Reference!$A$6:$A$11,1))))/(INDEX(Reference!$A$6:$A$11,MIN(5,MATCH(MAX(Reference!$A$6,MIN(Reference!$A$11,MIN($U128,120))),Reference!$A$6:$A$11,1))+1)-INDEX(Reference!$A$6:$A$11,MIN(5,MATCH(MAX(Reference!$A$6,MIN(Reference!$A$11,MIN($U128,120))),Reference!$A$6:$A$11,1))))),0)+IF(3&lt;=$AL128,($AL128-3+3)*(INDEX(Reference!$B$6:$B$11,MIN(5,MATCH(MAX(Reference!$A$6,MIN(Reference!$A$11,MIN($U128,150))),Reference!$A$6:$A$11,1)))+(MAX(Reference!$A$6,MIN(Reference!$A$11,MIN($U128,150)))-INDEX(Reference!$A$6:$A$11,MIN(5,MATCH(MAX(Reference!$A$6,MIN(Reference!$A$11,MIN($U128,150))),Reference!$A$6:$A$11,1))))*(INDEX(Reference!$B$6:$B$11,MIN(5,MATCH(MAX(Reference!$A$6,MIN(Reference!$A$11,MIN($U128,150))),Reference!$A$6:$A$11,1))+1)-INDEX(Reference!$B$6:$B$11,MIN(5,MATCH(MAX(Reference!$A$6,MIN(Reference!$A$11,MIN($U128,150))),Reference!$A$6:$A$11,1))))/(INDEX(Reference!$A$6:$A$11,MIN(5,MATCH(MAX(Reference!$A$6,MIN(Reference!$A$11,MIN($U128,150))),Reference!$A$6:$A$11,1))+1)-INDEX(Reference!$A$6:$A$11,MIN(5,MATCH(MAX(Reference!$A$6,MIN(Reference!$A$11,MIN($U128,150))),Reference!$A$6:$A$11,1))))),0)+IF(4&lt;=$AL128,($AL128-4+3)*(INDEX(Reference!$B$6:$B$11,MIN(5,MATCH(MAX(Reference!$A$6,MIN(Reference!$A$11,MIN($U128,180))),Reference!$A$6:$A$11,1)))+(MAX(Reference!$A$6,MIN(Reference!$A$11,MIN($U128,180)))-INDEX(Reference!$A$6:$A$11,MIN(5,MATCH(MAX(Reference!$A$6,MIN(Reference!$A$11,MIN($U128,180))),Reference!$A$6:$A$11,1))))*(INDEX(Reference!$B$6:$B$11,MIN(5,MATCH(MAX(Reference!$A$6,MIN(Reference!$A$11,MIN($U128,180))),Reference!$A$6:$A$11,1))+1)-INDEX(Reference!$B$6:$B$11,MIN(5,MATCH(MAX(Reference!$A$6,MIN(Reference!$A$11,MIN($U128,180))),Reference!$A$6:$A$11,1))))/(INDEX(Reference!$A$6:$A$11,MIN(5,MATCH(MAX(Reference!$A$6,MIN(Reference!$A$11,MIN($U128,180))),Reference!$A$6:$A$11,1))+1)-INDEX(Reference!$A$6:$A$11,MIN(5,MATCH(MAX(Reference!$A$6,MIN(Reference!$A$11,MIN($U128,180))),Reference!$A$6:$A$11,1))))),0)+IF(5&lt;=$AL128,($AL128-5+3)*(INDEX(Reference!$B$6:$B$11,MIN(5,MATCH(MAX(Reference!$A$6,MIN(Reference!$A$11,MIN($U128,210))),Reference!$A$6:$A$11,1)))+(MAX(Reference!$A$6,MIN(Reference!$A$11,MIN($U128,210)))-INDEX(Reference!$A$6:$A$11,MIN(5,MATCH(MAX(Reference!$A$6,MIN(Reference!$A$11,MIN($U128,210))),Reference!$A$6:$A$11,1))))*(INDEX(Reference!$B$6:$B$11,MIN(5,MATCH(MAX(Reference!$A$6,MIN(Reference!$A$11,MIN($U128,210))),Reference!$A$6:$A$11,1))+1)-INDEX(Reference!$B$6:$B$11,MIN(5,MATCH(MAX(Reference!$A$6,MIN(Reference!$A$11,MIN($U128,210))),Reference!$A$6:$A$11,1))))/(INDEX(Reference!$A$6:$A$11,MIN(5,MATCH(MAX(Reference!$A$6,MIN(Reference!$A$11,MIN($U128,210))),Reference!$A$6:$A$11,1))+1)-INDEX(Reference!$A$6:$A$11,MIN(5,MATCH(MAX(Reference!$A$6,MIN(Reference!$A$11,MIN($U128,210))),Reference!$A$6:$A$11,1))))),0)+IF(6&lt;=$AL128,($AL128-6+3)*(INDEX(Reference!$B$6:$B$11,MIN(5,MATCH(MAX(Reference!$A$6,MIN(Reference!$A$11,MIN($U128,240))),Reference!$A$6:$A$11,1)))+(MAX(Reference!$A$6,MIN(Reference!$A$11,MIN($U128,240)))-INDEX(Reference!$A$6:$A$11,MIN(5,MATCH(MAX(Reference!$A$6,MIN(Reference!$A$11,MIN($U128,240))),Reference!$A$6:$A$11,1))))*(INDEX(Reference!$B$6:$B$11,MIN(5,MATCH(MAX(Reference!$A$6,MIN(Reference!$A$11,MIN($U128,240))),Reference!$A$6:$A$11,1))+1)-INDEX(Reference!$B$6:$B$11,MIN(5,MATCH(MAX(Reference!$A$6,MIN(Reference!$A$11,MIN($U128,240))),Reference!$A$6:$A$11,1))))/(INDEX(Reference!$A$6:$A$11,MIN(5,MATCH(MAX(Reference!$A$6,MIN(Reference!$A$11,MIN($U128,240))),Reference!$A$6:$A$11,1))+1)-INDEX(Reference!$A$6:$A$11,MIN(5,MATCH(MAX(Reference!$A$6,MIN(Reference!$A$11,MIN($U128,240))),Reference!$A$6:$A$11,1))))),0)+IF(7&lt;=$AL128,($AL128-7+3)*(INDEX(Reference!$B$6:$B$11,MIN(5,MATCH(MAX(Reference!$A$6,MIN(Reference!$A$11,MIN($U128,270))),Reference!$A$6:$A$11,1)))+(MAX(Reference!$A$6,MIN(Reference!$A$11,MIN($U128,270)))-INDEX(Reference!$A$6:$A$11,MIN(5,MATCH(MAX(Reference!$A$6,MIN(Reference!$A$11,MIN($U128,270))),Reference!$A$6:$A$11,1))))*(INDEX(Reference!$B$6:$B$11,MIN(5,MATCH(MAX(Reference!$A$6,MIN(Reference!$A$11,MIN($U128,270))),Reference!$A$6:$A$11,1))+1)-INDEX(Reference!$B$6:$B$11,MIN(5,MATCH(MAX(Reference!$A$6,MIN(Reference!$A$11,MIN($U128,270))),Reference!$A$6:$A$11,1))))/(INDEX(Reference!$A$6:$A$11,MIN(5,MATCH(MAX(Reference!$A$6,MIN(Reference!$A$11,MIN($U128,270))),Reference!$A$6:$A$11,1))+1)-INDEX(Reference!$A$6:$A$11,MIN(5,MATCH(MAX(Reference!$A$6,MIN(Reference!$A$11,MIN($U128,270))),Reference!$A$6:$A$11,1))))),0)+IF(8&lt;=$AL128,($AL128-8+3)*(INDEX(Reference!$B$6:$B$11,MIN(5,MATCH(MAX(Reference!$A$6,MIN(Reference!$A$11,MIN($U128,300))),Reference!$A$6:$A$11,1)))+(MAX(Reference!$A$6,MIN(Reference!$A$11,MIN($U128,300)))-INDEX(Reference!$A$6:$A$11,MIN(5,MATCH(MAX(Reference!$A$6,MIN(Reference!$A$11,MIN($U128,300))),Reference!$A$6:$A$11,1))))*(INDEX(Reference!$B$6:$B$11,MIN(5,MATCH(MAX(Reference!$A$6,MIN(Reference!$A$11,MIN($U128,300))),Reference!$A$6:$A$11,1))+1)-INDEX(Reference!$B$6:$B$11,MIN(5,MATCH(MAX(Reference!$A$6,MIN(Reference!$A$11,MIN($U128,300))),Reference!$A$6:$A$11,1))))/(INDEX(Reference!$A$6:$A$11,MIN(5,MATCH(MAX(Reference!$A$6,MIN(Reference!$A$11,MIN($U128,300))),Reference!$A$6:$A$11,1))+1)-INDEX(Reference!$A$6:$A$11,MIN(5,MATCH(MAX(Reference!$A$6,MIN(Reference!$A$11,MIN($U128,300))),Reference!$A$6:$A$11,1))))),0))/($AL128*($AL128+5)/2)),$AN128))</f>
        <v>0</v>
      </c>
      <c r="AN128" s="32">
        <f>IF($U128="",0,(INDEX(Reference!$B$6:$B$11,MIN(5,MATCH(MAX(Reference!$A$6,MIN(Reference!$A$11,$U128)),Reference!$A$6:$A$11,1)))+(MAX(Reference!$A$6,MIN(Reference!$A$11,$U128))-INDEX(Reference!$A$6:$A$11,MIN(5,MATCH(MAX(Reference!$A$6,MIN(Reference!$A$11,$U128)),Reference!$A$6:$A$11,1))))*(INDEX(Reference!$B$6:$B$11,MIN(5,MATCH(MAX(Reference!$A$6,MIN(Reference!$A$11,$U128)),Reference!$A$6:$A$11,1))+1)-INDEX(Reference!$B$6:$B$11,MIN(5,MATCH(MAX(Reference!$A$6,MIN(Reference!$A$11,$U128)),Reference!$A$6:$A$11,1))))/(INDEX(Reference!$A$6:$A$11,MIN(5,MATCH(MAX(Reference!$A$6,MIN(Reference!$A$11,$U128)),Reference!$A$6:$A$11,1))+1)-INDEX(Reference!$A$6:$A$11,MIN(5,MATCH(MAX(Reference!$A$6,MIN(Reference!$A$11,$U128)),Reference!$A$6:$A$11,1))))))</f>
        <v>0</v>
      </c>
      <c r="AO128" s="37"/>
      <c r="AP128" s="37"/>
      <c r="AQ128" s="37"/>
    </row>
    <row r="129" spans="1:43" x14ac:dyDescent="0.3">
      <c r="A129" s="48" t="str">
        <f t="shared" si="55"/>
        <v/>
      </c>
      <c r="B129" s="32" t="str">
        <f t="shared" si="56"/>
        <v/>
      </c>
      <c r="C129" s="32" t="str">
        <f t="shared" si="57"/>
        <v/>
      </c>
      <c r="D129" s="32" t="str">
        <f t="shared" si="58"/>
        <v/>
      </c>
      <c r="E129" s="32" t="str">
        <f t="shared" si="59"/>
        <v/>
      </c>
      <c r="F129" s="32" t="str">
        <f t="shared" si="60"/>
        <v/>
      </c>
      <c r="G129" s="47" t="str">
        <f t="shared" si="61"/>
        <v/>
      </c>
      <c r="H129" s="30" t="str">
        <f t="shared" si="62"/>
        <v/>
      </c>
      <c r="I129" s="46" t="str">
        <f>IF($A129="","",IF(AND($L129&lt;27,$K$12=0),"Building",IFERROR(((SUM($H$123:$H129)+$K$12*IF($L129&lt;6,SUMIFS('Throw Log'!$Q$5:$Q$300,'Throw Log'!$B$5:$B$300,$D$4,'Throw Log'!$A$5:$A$300,"&gt;="&amp;($D$6+$L129-6),'Throw Log'!$A$5:$A$300,"&lt;="&amp;($D$6-1)),0))/7)/((SUM($H$102:$H129)+$K$12*IF($L129&lt;27,SUMIFS('Throw Log'!$Q$5:$Q$300,'Throw Log'!$B$5:$B$300,$D$4,'Throw Log'!$A$5:$A$300,"&gt;="&amp;($D$6+$L129-27),'Throw Log'!$A$5:$A$300,"&lt;="&amp;($D$6-1)),0))/28),"")))</f>
        <v/>
      </c>
      <c r="J129" s="37"/>
      <c r="K129" s="37"/>
      <c r="L129" s="32">
        <v>86</v>
      </c>
      <c r="M129" s="32">
        <f t="shared" si="63"/>
        <v>13</v>
      </c>
      <c r="N129" s="32">
        <f t="shared" si="64"/>
        <v>2</v>
      </c>
      <c r="O129" s="32">
        <f t="shared" si="65"/>
        <v>1</v>
      </c>
      <c r="P129" s="32" t="str">
        <f>IF(OR($A129="",N($C129)&lt;=7),"",$G$6*$G$9^($M129-1)*IF(AND(MOD($M129,Reference!$B$99)=0,$M129&lt;=$G$5-2),Reference!$B$100,1))</f>
        <v/>
      </c>
      <c r="Q129" s="32" t="str">
        <f>IF($P129="","",IF(SUM($AK$127:$AK$133)=0,0,$P129*INDEX(Reference!$B$108:$B$114,$N129+1)/SUM($AK$127:$AK$133)))</f>
        <v/>
      </c>
      <c r="R129" s="32">
        <f t="shared" si="66"/>
        <v>180</v>
      </c>
      <c r="S129" s="32">
        <f t="shared" si="67"/>
        <v>150</v>
      </c>
      <c r="T129" s="32" t="str">
        <f>IF($A129="","",IF($C129=0,"Bullpen",IF(OR($C129=7,$C129=1,$C129=5),"Recovery/Easy Catch",IF($C129=6,"Compression/Pulldowns",IF(OR($C129=4,$C129=2),"Long Toss",IF($C129=3,"No Throw",IF($N129=2,"No Throw",IF($N129=6,IF($O129&lt;Reference!$B$104,"No Throw","Recovery/Easy Catch"),IF(OR($N129=0,$N129=4),"Recovery/Easy Catch",IF($N129=1,IF($R129&gt;75,"Long Toss","Recovery/Easy Catch"),IF($N129=3,IF($O129&lt;0.5,IF($S129&gt;75,"Long Toss","Recovery/Easy Catch"),"Compression/Pulldowns"),IF($S129&gt;75,"Long Toss","Recovery/Easy Catch"))))))))))))</f>
        <v/>
      </c>
      <c r="U129" s="32" t="str">
        <f t="shared" si="68"/>
        <v/>
      </c>
      <c r="V129" s="32" t="str">
        <f t="shared" si="69"/>
        <v/>
      </c>
      <c r="W129" s="32" t="str">
        <f t="shared" si="70"/>
        <v/>
      </c>
      <c r="X129" s="32">
        <f t="shared" si="71"/>
        <v>0</v>
      </c>
      <c r="Y129" s="32" t="str">
        <f t="shared" si="72"/>
        <v/>
      </c>
      <c r="Z129" s="32" t="str">
        <f t="shared" si="73"/>
        <v/>
      </c>
      <c r="AA129" s="32" t="str">
        <f t="shared" si="74"/>
        <v/>
      </c>
      <c r="AB129" s="32" t="str">
        <f>IF($A129="","",IF($T129="No Throw",0,IF($K129&lt;&gt;"",$K129,IF($AA129&lt;&gt;"",ROUND($AA129*$D$12*IF($C129=0,1,$G$10),0),MIN(IF($T129="Recovery/Easy Catch",Reference!$B$103,IF($T129="Long Toss",Reference!$B$106,Reference!$B$102)),MAX(Reference!$B$101,ROUND(MAX(0,$Q129-$AE129)/$AF129,0)))))))</f>
        <v/>
      </c>
      <c r="AC129" s="32">
        <f t="shared" si="75"/>
        <v>0</v>
      </c>
      <c r="AD129" s="32" t="b">
        <f t="shared" si="76"/>
        <v>1</v>
      </c>
      <c r="AE129" s="32">
        <f>IF($X129=0,0,$X129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129+$Z129)/2,0),Reference!$A$17:$B$20,2,TRUE()))</f>
        <v>0</v>
      </c>
      <c r="AF129" s="32">
        <f>IF(OR($A129="",$U129="",$T129="No Throw"),0,$AM129*VLOOKUP(MAX(($V129+$W129)/2,0),Reference!$A$17:$B$20,2,TRUE()))</f>
        <v>0</v>
      </c>
      <c r="AG129" s="32">
        <f>IF($AC129=0,0,$AC129*INDEX(Reference!$B$61:$B$62,MATCH("Bullpen",Reference!$A$61:$A$62,0))*VLOOKUP(MAX($D$5-($D$9+$E$9)/2,0),Reference!$A$17:$B$20,2,TRUE()))</f>
        <v>0</v>
      </c>
      <c r="AH129" s="32" t="e">
        <f t="shared" si="77"/>
        <v>#N/A</v>
      </c>
      <c r="AI129" s="32" t="e">
        <f>IF($A129="",NA(),Reference!$A$25)</f>
        <v>#N/A</v>
      </c>
      <c r="AJ129" s="32" t="e">
        <f t="shared" si="78"/>
        <v>#N/A</v>
      </c>
      <c r="AK129" s="32">
        <f>IF(OR($A129="",N($C129)&lt;=7,$T129="No Throw",$J129="x"),0,INDEX(Reference!$B$108:$B$114,$N129+1))</f>
        <v>0</v>
      </c>
      <c r="AL129" s="32">
        <f t="shared" si="79"/>
        <v>1</v>
      </c>
      <c r="AM129" s="32">
        <f>IF($U129="",0,IF($AL129&gt;1,((IF(1&lt;=$AL129,($AL129-1+3)*(INDEX(Reference!$B$6:$B$11,MIN(5,MATCH(MAX(Reference!$A$6,MIN(Reference!$A$11,MIN($U129,90))),Reference!$A$6:$A$11,1)))+(MAX(Reference!$A$6,MIN(Reference!$A$11,MIN($U129,90)))-INDEX(Reference!$A$6:$A$11,MIN(5,MATCH(MAX(Reference!$A$6,MIN(Reference!$A$11,MIN($U129,90))),Reference!$A$6:$A$11,1))))*(INDEX(Reference!$B$6:$B$11,MIN(5,MATCH(MAX(Reference!$A$6,MIN(Reference!$A$11,MIN($U129,90))),Reference!$A$6:$A$11,1))+1)-INDEX(Reference!$B$6:$B$11,MIN(5,MATCH(MAX(Reference!$A$6,MIN(Reference!$A$11,MIN($U129,90))),Reference!$A$6:$A$11,1))))/(INDEX(Reference!$A$6:$A$11,MIN(5,MATCH(MAX(Reference!$A$6,MIN(Reference!$A$11,MIN($U129,90))),Reference!$A$6:$A$11,1))+1)-INDEX(Reference!$A$6:$A$11,MIN(5,MATCH(MAX(Reference!$A$6,MIN(Reference!$A$11,MIN($U129,90))),Reference!$A$6:$A$11,1))))),0)+IF(2&lt;=$AL129,($AL129-2+3)*(INDEX(Reference!$B$6:$B$11,MIN(5,MATCH(MAX(Reference!$A$6,MIN(Reference!$A$11,MIN($U129,120))),Reference!$A$6:$A$11,1)))+(MAX(Reference!$A$6,MIN(Reference!$A$11,MIN($U129,120)))-INDEX(Reference!$A$6:$A$11,MIN(5,MATCH(MAX(Reference!$A$6,MIN(Reference!$A$11,MIN($U129,120))),Reference!$A$6:$A$11,1))))*(INDEX(Reference!$B$6:$B$11,MIN(5,MATCH(MAX(Reference!$A$6,MIN(Reference!$A$11,MIN($U129,120))),Reference!$A$6:$A$11,1))+1)-INDEX(Reference!$B$6:$B$11,MIN(5,MATCH(MAX(Reference!$A$6,MIN(Reference!$A$11,MIN($U129,120))),Reference!$A$6:$A$11,1))))/(INDEX(Reference!$A$6:$A$11,MIN(5,MATCH(MAX(Reference!$A$6,MIN(Reference!$A$11,MIN($U129,120))),Reference!$A$6:$A$11,1))+1)-INDEX(Reference!$A$6:$A$11,MIN(5,MATCH(MAX(Reference!$A$6,MIN(Reference!$A$11,MIN($U129,120))),Reference!$A$6:$A$11,1))))),0)+IF(3&lt;=$AL129,($AL129-3+3)*(INDEX(Reference!$B$6:$B$11,MIN(5,MATCH(MAX(Reference!$A$6,MIN(Reference!$A$11,MIN($U129,150))),Reference!$A$6:$A$11,1)))+(MAX(Reference!$A$6,MIN(Reference!$A$11,MIN($U129,150)))-INDEX(Reference!$A$6:$A$11,MIN(5,MATCH(MAX(Reference!$A$6,MIN(Reference!$A$11,MIN($U129,150))),Reference!$A$6:$A$11,1))))*(INDEX(Reference!$B$6:$B$11,MIN(5,MATCH(MAX(Reference!$A$6,MIN(Reference!$A$11,MIN($U129,150))),Reference!$A$6:$A$11,1))+1)-INDEX(Reference!$B$6:$B$11,MIN(5,MATCH(MAX(Reference!$A$6,MIN(Reference!$A$11,MIN($U129,150))),Reference!$A$6:$A$11,1))))/(INDEX(Reference!$A$6:$A$11,MIN(5,MATCH(MAX(Reference!$A$6,MIN(Reference!$A$11,MIN($U129,150))),Reference!$A$6:$A$11,1))+1)-INDEX(Reference!$A$6:$A$11,MIN(5,MATCH(MAX(Reference!$A$6,MIN(Reference!$A$11,MIN($U129,150))),Reference!$A$6:$A$11,1))))),0)+IF(4&lt;=$AL129,($AL129-4+3)*(INDEX(Reference!$B$6:$B$11,MIN(5,MATCH(MAX(Reference!$A$6,MIN(Reference!$A$11,MIN($U129,180))),Reference!$A$6:$A$11,1)))+(MAX(Reference!$A$6,MIN(Reference!$A$11,MIN($U129,180)))-INDEX(Reference!$A$6:$A$11,MIN(5,MATCH(MAX(Reference!$A$6,MIN(Reference!$A$11,MIN($U129,180))),Reference!$A$6:$A$11,1))))*(INDEX(Reference!$B$6:$B$11,MIN(5,MATCH(MAX(Reference!$A$6,MIN(Reference!$A$11,MIN($U129,180))),Reference!$A$6:$A$11,1))+1)-INDEX(Reference!$B$6:$B$11,MIN(5,MATCH(MAX(Reference!$A$6,MIN(Reference!$A$11,MIN($U129,180))),Reference!$A$6:$A$11,1))))/(INDEX(Reference!$A$6:$A$11,MIN(5,MATCH(MAX(Reference!$A$6,MIN(Reference!$A$11,MIN($U129,180))),Reference!$A$6:$A$11,1))+1)-INDEX(Reference!$A$6:$A$11,MIN(5,MATCH(MAX(Reference!$A$6,MIN(Reference!$A$11,MIN($U129,180))),Reference!$A$6:$A$11,1))))),0)+IF(5&lt;=$AL129,($AL129-5+3)*(INDEX(Reference!$B$6:$B$11,MIN(5,MATCH(MAX(Reference!$A$6,MIN(Reference!$A$11,MIN($U129,210))),Reference!$A$6:$A$11,1)))+(MAX(Reference!$A$6,MIN(Reference!$A$11,MIN($U129,210)))-INDEX(Reference!$A$6:$A$11,MIN(5,MATCH(MAX(Reference!$A$6,MIN(Reference!$A$11,MIN($U129,210))),Reference!$A$6:$A$11,1))))*(INDEX(Reference!$B$6:$B$11,MIN(5,MATCH(MAX(Reference!$A$6,MIN(Reference!$A$11,MIN($U129,210))),Reference!$A$6:$A$11,1))+1)-INDEX(Reference!$B$6:$B$11,MIN(5,MATCH(MAX(Reference!$A$6,MIN(Reference!$A$11,MIN($U129,210))),Reference!$A$6:$A$11,1))))/(INDEX(Reference!$A$6:$A$11,MIN(5,MATCH(MAX(Reference!$A$6,MIN(Reference!$A$11,MIN($U129,210))),Reference!$A$6:$A$11,1))+1)-INDEX(Reference!$A$6:$A$11,MIN(5,MATCH(MAX(Reference!$A$6,MIN(Reference!$A$11,MIN($U129,210))),Reference!$A$6:$A$11,1))))),0)+IF(6&lt;=$AL129,($AL129-6+3)*(INDEX(Reference!$B$6:$B$11,MIN(5,MATCH(MAX(Reference!$A$6,MIN(Reference!$A$11,MIN($U129,240))),Reference!$A$6:$A$11,1)))+(MAX(Reference!$A$6,MIN(Reference!$A$11,MIN($U129,240)))-INDEX(Reference!$A$6:$A$11,MIN(5,MATCH(MAX(Reference!$A$6,MIN(Reference!$A$11,MIN($U129,240))),Reference!$A$6:$A$11,1))))*(INDEX(Reference!$B$6:$B$11,MIN(5,MATCH(MAX(Reference!$A$6,MIN(Reference!$A$11,MIN($U129,240))),Reference!$A$6:$A$11,1))+1)-INDEX(Reference!$B$6:$B$11,MIN(5,MATCH(MAX(Reference!$A$6,MIN(Reference!$A$11,MIN($U129,240))),Reference!$A$6:$A$11,1))))/(INDEX(Reference!$A$6:$A$11,MIN(5,MATCH(MAX(Reference!$A$6,MIN(Reference!$A$11,MIN($U129,240))),Reference!$A$6:$A$11,1))+1)-INDEX(Reference!$A$6:$A$11,MIN(5,MATCH(MAX(Reference!$A$6,MIN(Reference!$A$11,MIN($U129,240))),Reference!$A$6:$A$11,1))))),0)+IF(7&lt;=$AL129,($AL129-7+3)*(INDEX(Reference!$B$6:$B$11,MIN(5,MATCH(MAX(Reference!$A$6,MIN(Reference!$A$11,MIN($U129,270))),Reference!$A$6:$A$11,1)))+(MAX(Reference!$A$6,MIN(Reference!$A$11,MIN($U129,270)))-INDEX(Reference!$A$6:$A$11,MIN(5,MATCH(MAX(Reference!$A$6,MIN(Reference!$A$11,MIN($U129,270))),Reference!$A$6:$A$11,1))))*(INDEX(Reference!$B$6:$B$11,MIN(5,MATCH(MAX(Reference!$A$6,MIN(Reference!$A$11,MIN($U129,270))),Reference!$A$6:$A$11,1))+1)-INDEX(Reference!$B$6:$B$11,MIN(5,MATCH(MAX(Reference!$A$6,MIN(Reference!$A$11,MIN($U129,270))),Reference!$A$6:$A$11,1))))/(INDEX(Reference!$A$6:$A$11,MIN(5,MATCH(MAX(Reference!$A$6,MIN(Reference!$A$11,MIN($U129,270))),Reference!$A$6:$A$11,1))+1)-INDEX(Reference!$A$6:$A$11,MIN(5,MATCH(MAX(Reference!$A$6,MIN(Reference!$A$11,MIN($U129,270))),Reference!$A$6:$A$11,1))))),0)+IF(8&lt;=$AL129,($AL129-8+3)*(INDEX(Reference!$B$6:$B$11,MIN(5,MATCH(MAX(Reference!$A$6,MIN(Reference!$A$11,MIN($U129,300))),Reference!$A$6:$A$11,1)))+(MAX(Reference!$A$6,MIN(Reference!$A$11,MIN($U129,300)))-INDEX(Reference!$A$6:$A$11,MIN(5,MATCH(MAX(Reference!$A$6,MIN(Reference!$A$11,MIN($U129,300))),Reference!$A$6:$A$11,1))))*(INDEX(Reference!$B$6:$B$11,MIN(5,MATCH(MAX(Reference!$A$6,MIN(Reference!$A$11,MIN($U129,300))),Reference!$A$6:$A$11,1))+1)-INDEX(Reference!$B$6:$B$11,MIN(5,MATCH(MAX(Reference!$A$6,MIN(Reference!$A$11,MIN($U129,300))),Reference!$A$6:$A$11,1))))/(INDEX(Reference!$A$6:$A$11,MIN(5,MATCH(MAX(Reference!$A$6,MIN(Reference!$A$11,MIN($U129,300))),Reference!$A$6:$A$11,1))+1)-INDEX(Reference!$A$6:$A$11,MIN(5,MATCH(MAX(Reference!$A$6,MIN(Reference!$A$11,MIN($U129,300))),Reference!$A$6:$A$11,1))))),0))/($AL129*($AL129+5)/2)),$AN129))</f>
        <v>0</v>
      </c>
      <c r="AN129" s="32">
        <f>IF($U129="",0,(INDEX(Reference!$B$6:$B$11,MIN(5,MATCH(MAX(Reference!$A$6,MIN(Reference!$A$11,$U129)),Reference!$A$6:$A$11,1)))+(MAX(Reference!$A$6,MIN(Reference!$A$11,$U129))-INDEX(Reference!$A$6:$A$11,MIN(5,MATCH(MAX(Reference!$A$6,MIN(Reference!$A$11,$U129)),Reference!$A$6:$A$11,1))))*(INDEX(Reference!$B$6:$B$11,MIN(5,MATCH(MAX(Reference!$A$6,MIN(Reference!$A$11,$U129)),Reference!$A$6:$A$11,1))+1)-INDEX(Reference!$B$6:$B$11,MIN(5,MATCH(MAX(Reference!$A$6,MIN(Reference!$A$11,$U129)),Reference!$A$6:$A$11,1))))/(INDEX(Reference!$A$6:$A$11,MIN(5,MATCH(MAX(Reference!$A$6,MIN(Reference!$A$11,$U129)),Reference!$A$6:$A$11,1))+1)-INDEX(Reference!$A$6:$A$11,MIN(5,MATCH(MAX(Reference!$A$6,MIN(Reference!$A$11,$U129)),Reference!$A$6:$A$11,1))))))</f>
        <v>0</v>
      </c>
      <c r="AO129" s="37"/>
      <c r="AP129" s="37"/>
      <c r="AQ129" s="37"/>
    </row>
    <row r="130" spans="1:43" x14ac:dyDescent="0.3">
      <c r="A130" s="48" t="str">
        <f t="shared" si="55"/>
        <v/>
      </c>
      <c r="B130" s="32" t="str">
        <f t="shared" si="56"/>
        <v/>
      </c>
      <c r="C130" s="32" t="str">
        <f t="shared" si="57"/>
        <v/>
      </c>
      <c r="D130" s="32" t="str">
        <f t="shared" si="58"/>
        <v/>
      </c>
      <c r="E130" s="32" t="str">
        <f t="shared" si="59"/>
        <v/>
      </c>
      <c r="F130" s="32" t="str">
        <f t="shared" si="60"/>
        <v/>
      </c>
      <c r="G130" s="47" t="str">
        <f t="shared" si="61"/>
        <v/>
      </c>
      <c r="H130" s="30" t="str">
        <f t="shared" si="62"/>
        <v/>
      </c>
      <c r="I130" s="46" t="str">
        <f>IF($A130="","",IF(AND($L130&lt;27,$K$12=0),"Building",IFERROR(((SUM($H$124:$H130)+$K$12*IF($L130&lt;6,SUMIFS('Throw Log'!$Q$5:$Q$300,'Throw Log'!$B$5:$B$300,$D$4,'Throw Log'!$A$5:$A$300,"&gt;="&amp;($D$6+$L130-6),'Throw Log'!$A$5:$A$300,"&lt;="&amp;($D$6-1)),0))/7)/((SUM($H$103:$H130)+$K$12*IF($L130&lt;27,SUMIFS('Throw Log'!$Q$5:$Q$300,'Throw Log'!$B$5:$B$300,$D$4,'Throw Log'!$A$5:$A$300,"&gt;="&amp;($D$6+$L130-27),'Throw Log'!$A$5:$A$300,"&lt;="&amp;($D$6-1)),0))/28),"")))</f>
        <v/>
      </c>
      <c r="J130" s="37"/>
      <c r="K130" s="37"/>
      <c r="L130" s="32">
        <v>87</v>
      </c>
      <c r="M130" s="32">
        <f t="shared" si="63"/>
        <v>13</v>
      </c>
      <c r="N130" s="32">
        <f t="shared" si="64"/>
        <v>3</v>
      </c>
      <c r="O130" s="32">
        <f t="shared" si="65"/>
        <v>1</v>
      </c>
      <c r="P130" s="32" t="str">
        <f>IF(OR($A130="",N($C130)&lt;=7),"",$G$6*$G$9^($M130-1)*IF(AND(MOD($M130,Reference!$B$99)=0,$M130&lt;=$G$5-2),Reference!$B$100,1))</f>
        <v/>
      </c>
      <c r="Q130" s="32" t="str">
        <f>IF($P130="","",IF(SUM($AK$127:$AK$133)=0,0,$P130*INDEX(Reference!$B$108:$B$114,$N130+1)/SUM($AK$127:$AK$133)))</f>
        <v/>
      </c>
      <c r="R130" s="32">
        <f t="shared" si="66"/>
        <v>180</v>
      </c>
      <c r="S130" s="32">
        <f t="shared" si="67"/>
        <v>150</v>
      </c>
      <c r="T130" s="32" t="str">
        <f>IF($A130="","",IF($C130=0,"Bullpen",IF(OR($C130=7,$C130=1,$C130=5),"Recovery/Easy Catch",IF($C130=6,"Compression/Pulldowns",IF(OR($C130=4,$C130=2),"Long Toss",IF($C130=3,"No Throw",IF($N130=2,"No Throw",IF($N130=6,IF($O130&lt;Reference!$B$104,"No Throw","Recovery/Easy Catch"),IF(OR($N130=0,$N130=4),"Recovery/Easy Catch",IF($N130=1,IF($R130&gt;75,"Long Toss","Recovery/Easy Catch"),IF($N130=3,IF($O130&lt;0.5,IF($S130&gt;75,"Long Toss","Recovery/Easy Catch"),"Compression/Pulldowns"),IF($S130&gt;75,"Long Toss","Recovery/Easy Catch"))))))))))))</f>
        <v/>
      </c>
      <c r="U130" s="32" t="str">
        <f t="shared" si="68"/>
        <v/>
      </c>
      <c r="V130" s="32" t="str">
        <f t="shared" si="69"/>
        <v/>
      </c>
      <c r="W130" s="32" t="str">
        <f t="shared" si="70"/>
        <v/>
      </c>
      <c r="X130" s="32">
        <f t="shared" si="71"/>
        <v>0</v>
      </c>
      <c r="Y130" s="32" t="str">
        <f t="shared" si="72"/>
        <v/>
      </c>
      <c r="Z130" s="32" t="str">
        <f t="shared" si="73"/>
        <v/>
      </c>
      <c r="AA130" s="32" t="str">
        <f t="shared" si="74"/>
        <v/>
      </c>
      <c r="AB130" s="32" t="str">
        <f>IF($A130="","",IF($T130="No Throw",0,IF($K130&lt;&gt;"",$K130,IF($AA130&lt;&gt;"",ROUND($AA130*$D$12*IF($C130=0,1,$G$10),0),MIN(IF($T130="Recovery/Easy Catch",Reference!$B$103,IF($T130="Long Toss",Reference!$B$106,Reference!$B$102)),MAX(Reference!$B$101,ROUND(MAX(0,$Q130-$AE130)/$AF130,0)))))))</f>
        <v/>
      </c>
      <c r="AC130" s="32">
        <f t="shared" si="75"/>
        <v>0</v>
      </c>
      <c r="AD130" s="32" t="b">
        <f t="shared" si="76"/>
        <v>1</v>
      </c>
      <c r="AE130" s="32">
        <f>IF($X130=0,0,$X130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130+$Z130)/2,0),Reference!$A$17:$B$20,2,TRUE()))</f>
        <v>0</v>
      </c>
      <c r="AF130" s="32">
        <f>IF(OR($A130="",$U130="",$T130="No Throw"),0,$AM130*VLOOKUP(MAX(($V130+$W130)/2,0),Reference!$A$17:$B$20,2,TRUE()))</f>
        <v>0</v>
      </c>
      <c r="AG130" s="32">
        <f>IF($AC130=0,0,$AC130*INDEX(Reference!$B$61:$B$62,MATCH("Bullpen",Reference!$A$61:$A$62,0))*VLOOKUP(MAX($D$5-($D$9+$E$9)/2,0),Reference!$A$17:$B$20,2,TRUE()))</f>
        <v>0</v>
      </c>
      <c r="AH130" s="32" t="e">
        <f t="shared" si="77"/>
        <v>#N/A</v>
      </c>
      <c r="AI130" s="32" t="e">
        <f>IF($A130="",NA(),Reference!$A$25)</f>
        <v>#N/A</v>
      </c>
      <c r="AJ130" s="32" t="e">
        <f t="shared" si="78"/>
        <v>#N/A</v>
      </c>
      <c r="AK130" s="32">
        <f>IF(OR($A130="",N($C130)&lt;=7,$T130="No Throw",$J130="x"),0,INDEX(Reference!$B$108:$B$114,$N130+1))</f>
        <v>0</v>
      </c>
      <c r="AL130" s="32">
        <f t="shared" si="79"/>
        <v>1</v>
      </c>
      <c r="AM130" s="32">
        <f>IF($U130="",0,IF($AL130&gt;1,((IF(1&lt;=$AL130,($AL130-1+3)*(INDEX(Reference!$B$6:$B$11,MIN(5,MATCH(MAX(Reference!$A$6,MIN(Reference!$A$11,MIN($U130,90))),Reference!$A$6:$A$11,1)))+(MAX(Reference!$A$6,MIN(Reference!$A$11,MIN($U130,90)))-INDEX(Reference!$A$6:$A$11,MIN(5,MATCH(MAX(Reference!$A$6,MIN(Reference!$A$11,MIN($U130,90))),Reference!$A$6:$A$11,1))))*(INDEX(Reference!$B$6:$B$11,MIN(5,MATCH(MAX(Reference!$A$6,MIN(Reference!$A$11,MIN($U130,90))),Reference!$A$6:$A$11,1))+1)-INDEX(Reference!$B$6:$B$11,MIN(5,MATCH(MAX(Reference!$A$6,MIN(Reference!$A$11,MIN($U130,90))),Reference!$A$6:$A$11,1))))/(INDEX(Reference!$A$6:$A$11,MIN(5,MATCH(MAX(Reference!$A$6,MIN(Reference!$A$11,MIN($U130,90))),Reference!$A$6:$A$11,1))+1)-INDEX(Reference!$A$6:$A$11,MIN(5,MATCH(MAX(Reference!$A$6,MIN(Reference!$A$11,MIN($U130,90))),Reference!$A$6:$A$11,1))))),0)+IF(2&lt;=$AL130,($AL130-2+3)*(INDEX(Reference!$B$6:$B$11,MIN(5,MATCH(MAX(Reference!$A$6,MIN(Reference!$A$11,MIN($U130,120))),Reference!$A$6:$A$11,1)))+(MAX(Reference!$A$6,MIN(Reference!$A$11,MIN($U130,120)))-INDEX(Reference!$A$6:$A$11,MIN(5,MATCH(MAX(Reference!$A$6,MIN(Reference!$A$11,MIN($U130,120))),Reference!$A$6:$A$11,1))))*(INDEX(Reference!$B$6:$B$11,MIN(5,MATCH(MAX(Reference!$A$6,MIN(Reference!$A$11,MIN($U130,120))),Reference!$A$6:$A$11,1))+1)-INDEX(Reference!$B$6:$B$11,MIN(5,MATCH(MAX(Reference!$A$6,MIN(Reference!$A$11,MIN($U130,120))),Reference!$A$6:$A$11,1))))/(INDEX(Reference!$A$6:$A$11,MIN(5,MATCH(MAX(Reference!$A$6,MIN(Reference!$A$11,MIN($U130,120))),Reference!$A$6:$A$11,1))+1)-INDEX(Reference!$A$6:$A$11,MIN(5,MATCH(MAX(Reference!$A$6,MIN(Reference!$A$11,MIN($U130,120))),Reference!$A$6:$A$11,1))))),0)+IF(3&lt;=$AL130,($AL130-3+3)*(INDEX(Reference!$B$6:$B$11,MIN(5,MATCH(MAX(Reference!$A$6,MIN(Reference!$A$11,MIN($U130,150))),Reference!$A$6:$A$11,1)))+(MAX(Reference!$A$6,MIN(Reference!$A$11,MIN($U130,150)))-INDEX(Reference!$A$6:$A$11,MIN(5,MATCH(MAX(Reference!$A$6,MIN(Reference!$A$11,MIN($U130,150))),Reference!$A$6:$A$11,1))))*(INDEX(Reference!$B$6:$B$11,MIN(5,MATCH(MAX(Reference!$A$6,MIN(Reference!$A$11,MIN($U130,150))),Reference!$A$6:$A$11,1))+1)-INDEX(Reference!$B$6:$B$11,MIN(5,MATCH(MAX(Reference!$A$6,MIN(Reference!$A$11,MIN($U130,150))),Reference!$A$6:$A$11,1))))/(INDEX(Reference!$A$6:$A$11,MIN(5,MATCH(MAX(Reference!$A$6,MIN(Reference!$A$11,MIN($U130,150))),Reference!$A$6:$A$11,1))+1)-INDEX(Reference!$A$6:$A$11,MIN(5,MATCH(MAX(Reference!$A$6,MIN(Reference!$A$11,MIN($U130,150))),Reference!$A$6:$A$11,1))))),0)+IF(4&lt;=$AL130,($AL130-4+3)*(INDEX(Reference!$B$6:$B$11,MIN(5,MATCH(MAX(Reference!$A$6,MIN(Reference!$A$11,MIN($U130,180))),Reference!$A$6:$A$11,1)))+(MAX(Reference!$A$6,MIN(Reference!$A$11,MIN($U130,180)))-INDEX(Reference!$A$6:$A$11,MIN(5,MATCH(MAX(Reference!$A$6,MIN(Reference!$A$11,MIN($U130,180))),Reference!$A$6:$A$11,1))))*(INDEX(Reference!$B$6:$B$11,MIN(5,MATCH(MAX(Reference!$A$6,MIN(Reference!$A$11,MIN($U130,180))),Reference!$A$6:$A$11,1))+1)-INDEX(Reference!$B$6:$B$11,MIN(5,MATCH(MAX(Reference!$A$6,MIN(Reference!$A$11,MIN($U130,180))),Reference!$A$6:$A$11,1))))/(INDEX(Reference!$A$6:$A$11,MIN(5,MATCH(MAX(Reference!$A$6,MIN(Reference!$A$11,MIN($U130,180))),Reference!$A$6:$A$11,1))+1)-INDEX(Reference!$A$6:$A$11,MIN(5,MATCH(MAX(Reference!$A$6,MIN(Reference!$A$11,MIN($U130,180))),Reference!$A$6:$A$11,1))))),0)+IF(5&lt;=$AL130,($AL130-5+3)*(INDEX(Reference!$B$6:$B$11,MIN(5,MATCH(MAX(Reference!$A$6,MIN(Reference!$A$11,MIN($U130,210))),Reference!$A$6:$A$11,1)))+(MAX(Reference!$A$6,MIN(Reference!$A$11,MIN($U130,210)))-INDEX(Reference!$A$6:$A$11,MIN(5,MATCH(MAX(Reference!$A$6,MIN(Reference!$A$11,MIN($U130,210))),Reference!$A$6:$A$11,1))))*(INDEX(Reference!$B$6:$B$11,MIN(5,MATCH(MAX(Reference!$A$6,MIN(Reference!$A$11,MIN($U130,210))),Reference!$A$6:$A$11,1))+1)-INDEX(Reference!$B$6:$B$11,MIN(5,MATCH(MAX(Reference!$A$6,MIN(Reference!$A$11,MIN($U130,210))),Reference!$A$6:$A$11,1))))/(INDEX(Reference!$A$6:$A$11,MIN(5,MATCH(MAX(Reference!$A$6,MIN(Reference!$A$11,MIN($U130,210))),Reference!$A$6:$A$11,1))+1)-INDEX(Reference!$A$6:$A$11,MIN(5,MATCH(MAX(Reference!$A$6,MIN(Reference!$A$11,MIN($U130,210))),Reference!$A$6:$A$11,1))))),0)+IF(6&lt;=$AL130,($AL130-6+3)*(INDEX(Reference!$B$6:$B$11,MIN(5,MATCH(MAX(Reference!$A$6,MIN(Reference!$A$11,MIN($U130,240))),Reference!$A$6:$A$11,1)))+(MAX(Reference!$A$6,MIN(Reference!$A$11,MIN($U130,240)))-INDEX(Reference!$A$6:$A$11,MIN(5,MATCH(MAX(Reference!$A$6,MIN(Reference!$A$11,MIN($U130,240))),Reference!$A$6:$A$11,1))))*(INDEX(Reference!$B$6:$B$11,MIN(5,MATCH(MAX(Reference!$A$6,MIN(Reference!$A$11,MIN($U130,240))),Reference!$A$6:$A$11,1))+1)-INDEX(Reference!$B$6:$B$11,MIN(5,MATCH(MAX(Reference!$A$6,MIN(Reference!$A$11,MIN($U130,240))),Reference!$A$6:$A$11,1))))/(INDEX(Reference!$A$6:$A$11,MIN(5,MATCH(MAX(Reference!$A$6,MIN(Reference!$A$11,MIN($U130,240))),Reference!$A$6:$A$11,1))+1)-INDEX(Reference!$A$6:$A$11,MIN(5,MATCH(MAX(Reference!$A$6,MIN(Reference!$A$11,MIN($U130,240))),Reference!$A$6:$A$11,1))))),0)+IF(7&lt;=$AL130,($AL130-7+3)*(INDEX(Reference!$B$6:$B$11,MIN(5,MATCH(MAX(Reference!$A$6,MIN(Reference!$A$11,MIN($U130,270))),Reference!$A$6:$A$11,1)))+(MAX(Reference!$A$6,MIN(Reference!$A$11,MIN($U130,270)))-INDEX(Reference!$A$6:$A$11,MIN(5,MATCH(MAX(Reference!$A$6,MIN(Reference!$A$11,MIN($U130,270))),Reference!$A$6:$A$11,1))))*(INDEX(Reference!$B$6:$B$11,MIN(5,MATCH(MAX(Reference!$A$6,MIN(Reference!$A$11,MIN($U130,270))),Reference!$A$6:$A$11,1))+1)-INDEX(Reference!$B$6:$B$11,MIN(5,MATCH(MAX(Reference!$A$6,MIN(Reference!$A$11,MIN($U130,270))),Reference!$A$6:$A$11,1))))/(INDEX(Reference!$A$6:$A$11,MIN(5,MATCH(MAX(Reference!$A$6,MIN(Reference!$A$11,MIN($U130,270))),Reference!$A$6:$A$11,1))+1)-INDEX(Reference!$A$6:$A$11,MIN(5,MATCH(MAX(Reference!$A$6,MIN(Reference!$A$11,MIN($U130,270))),Reference!$A$6:$A$11,1))))),0)+IF(8&lt;=$AL130,($AL130-8+3)*(INDEX(Reference!$B$6:$B$11,MIN(5,MATCH(MAX(Reference!$A$6,MIN(Reference!$A$11,MIN($U130,300))),Reference!$A$6:$A$11,1)))+(MAX(Reference!$A$6,MIN(Reference!$A$11,MIN($U130,300)))-INDEX(Reference!$A$6:$A$11,MIN(5,MATCH(MAX(Reference!$A$6,MIN(Reference!$A$11,MIN($U130,300))),Reference!$A$6:$A$11,1))))*(INDEX(Reference!$B$6:$B$11,MIN(5,MATCH(MAX(Reference!$A$6,MIN(Reference!$A$11,MIN($U130,300))),Reference!$A$6:$A$11,1))+1)-INDEX(Reference!$B$6:$B$11,MIN(5,MATCH(MAX(Reference!$A$6,MIN(Reference!$A$11,MIN($U130,300))),Reference!$A$6:$A$11,1))))/(INDEX(Reference!$A$6:$A$11,MIN(5,MATCH(MAX(Reference!$A$6,MIN(Reference!$A$11,MIN($U130,300))),Reference!$A$6:$A$11,1))+1)-INDEX(Reference!$A$6:$A$11,MIN(5,MATCH(MAX(Reference!$A$6,MIN(Reference!$A$11,MIN($U130,300))),Reference!$A$6:$A$11,1))))),0))/($AL130*($AL130+5)/2)),$AN130))</f>
        <v>0</v>
      </c>
      <c r="AN130" s="32">
        <f>IF($U130="",0,(INDEX(Reference!$B$6:$B$11,MIN(5,MATCH(MAX(Reference!$A$6,MIN(Reference!$A$11,$U130)),Reference!$A$6:$A$11,1)))+(MAX(Reference!$A$6,MIN(Reference!$A$11,$U130))-INDEX(Reference!$A$6:$A$11,MIN(5,MATCH(MAX(Reference!$A$6,MIN(Reference!$A$11,$U130)),Reference!$A$6:$A$11,1))))*(INDEX(Reference!$B$6:$B$11,MIN(5,MATCH(MAX(Reference!$A$6,MIN(Reference!$A$11,$U130)),Reference!$A$6:$A$11,1))+1)-INDEX(Reference!$B$6:$B$11,MIN(5,MATCH(MAX(Reference!$A$6,MIN(Reference!$A$11,$U130)),Reference!$A$6:$A$11,1))))/(INDEX(Reference!$A$6:$A$11,MIN(5,MATCH(MAX(Reference!$A$6,MIN(Reference!$A$11,$U130)),Reference!$A$6:$A$11,1))+1)-INDEX(Reference!$A$6:$A$11,MIN(5,MATCH(MAX(Reference!$A$6,MIN(Reference!$A$11,$U130)),Reference!$A$6:$A$11,1))))))</f>
        <v>0</v>
      </c>
      <c r="AO130" s="37"/>
      <c r="AP130" s="37"/>
      <c r="AQ130" s="37"/>
    </row>
    <row r="131" spans="1:43" x14ac:dyDescent="0.3">
      <c r="A131" s="48" t="str">
        <f t="shared" si="55"/>
        <v/>
      </c>
      <c r="B131" s="32" t="str">
        <f t="shared" si="56"/>
        <v/>
      </c>
      <c r="C131" s="32" t="str">
        <f t="shared" si="57"/>
        <v/>
      </c>
      <c r="D131" s="32" t="str">
        <f t="shared" si="58"/>
        <v/>
      </c>
      <c r="E131" s="32" t="str">
        <f t="shared" si="59"/>
        <v/>
      </c>
      <c r="F131" s="32" t="str">
        <f t="shared" si="60"/>
        <v/>
      </c>
      <c r="G131" s="47" t="str">
        <f t="shared" si="61"/>
        <v/>
      </c>
      <c r="H131" s="30" t="str">
        <f t="shared" si="62"/>
        <v/>
      </c>
      <c r="I131" s="46" t="str">
        <f>IF($A131="","",IF(AND($L131&lt;27,$K$12=0),"Building",IFERROR(((SUM($H$125:$H131)+$K$12*IF($L131&lt;6,SUMIFS('Throw Log'!$Q$5:$Q$300,'Throw Log'!$B$5:$B$300,$D$4,'Throw Log'!$A$5:$A$300,"&gt;="&amp;($D$6+$L131-6),'Throw Log'!$A$5:$A$300,"&lt;="&amp;($D$6-1)),0))/7)/((SUM($H$104:$H131)+$K$12*IF($L131&lt;27,SUMIFS('Throw Log'!$Q$5:$Q$300,'Throw Log'!$B$5:$B$300,$D$4,'Throw Log'!$A$5:$A$300,"&gt;="&amp;($D$6+$L131-27),'Throw Log'!$A$5:$A$300,"&lt;="&amp;($D$6-1)),0))/28),"")))</f>
        <v/>
      </c>
      <c r="J131" s="37"/>
      <c r="K131" s="37"/>
      <c r="L131" s="32">
        <v>88</v>
      </c>
      <c r="M131" s="32">
        <f t="shared" si="63"/>
        <v>13</v>
      </c>
      <c r="N131" s="32">
        <f t="shared" si="64"/>
        <v>4</v>
      </c>
      <c r="O131" s="32">
        <f t="shared" si="65"/>
        <v>1</v>
      </c>
      <c r="P131" s="32" t="str">
        <f>IF(OR($A131="",N($C131)&lt;=7),"",$G$6*$G$9^($M131-1)*IF(AND(MOD($M131,Reference!$B$99)=0,$M131&lt;=$G$5-2),Reference!$B$100,1))</f>
        <v/>
      </c>
      <c r="Q131" s="32" t="str">
        <f>IF($P131="","",IF(SUM($AK$127:$AK$133)=0,0,$P131*INDEX(Reference!$B$108:$B$114,$N131+1)/SUM($AK$127:$AK$133)))</f>
        <v/>
      </c>
      <c r="R131" s="32">
        <f t="shared" si="66"/>
        <v>180</v>
      </c>
      <c r="S131" s="32">
        <f t="shared" si="67"/>
        <v>150</v>
      </c>
      <c r="T131" s="32" t="str">
        <f>IF($A131="","",IF($C131=0,"Bullpen",IF(OR($C131=7,$C131=1,$C131=5),"Recovery/Easy Catch",IF($C131=6,"Compression/Pulldowns",IF(OR($C131=4,$C131=2),"Long Toss",IF($C131=3,"No Throw",IF($N131=2,"No Throw",IF($N131=6,IF($O131&lt;Reference!$B$104,"No Throw","Recovery/Easy Catch"),IF(OR($N131=0,$N131=4),"Recovery/Easy Catch",IF($N131=1,IF($R131&gt;75,"Long Toss","Recovery/Easy Catch"),IF($N131=3,IF($O131&lt;0.5,IF($S131&gt;75,"Long Toss","Recovery/Easy Catch"),"Compression/Pulldowns"),IF($S131&gt;75,"Long Toss","Recovery/Easy Catch"))))))))))))</f>
        <v/>
      </c>
      <c r="U131" s="32" t="str">
        <f t="shared" si="68"/>
        <v/>
      </c>
      <c r="V131" s="32" t="str">
        <f t="shared" si="69"/>
        <v/>
      </c>
      <c r="W131" s="32" t="str">
        <f t="shared" si="70"/>
        <v/>
      </c>
      <c r="X131" s="32">
        <f t="shared" si="71"/>
        <v>0</v>
      </c>
      <c r="Y131" s="32" t="str">
        <f t="shared" si="72"/>
        <v/>
      </c>
      <c r="Z131" s="32" t="str">
        <f t="shared" si="73"/>
        <v/>
      </c>
      <c r="AA131" s="32" t="str">
        <f t="shared" si="74"/>
        <v/>
      </c>
      <c r="AB131" s="32" t="str">
        <f>IF($A131="","",IF($T131="No Throw",0,IF($K131&lt;&gt;"",$K131,IF($AA131&lt;&gt;"",ROUND($AA131*$D$12*IF($C131=0,1,$G$10),0),MIN(IF($T131="Recovery/Easy Catch",Reference!$B$103,IF($T131="Long Toss",Reference!$B$106,Reference!$B$102)),MAX(Reference!$B$101,ROUND(MAX(0,$Q131-$AE131)/$AF131,0)))))))</f>
        <v/>
      </c>
      <c r="AC131" s="32">
        <f t="shared" si="75"/>
        <v>0</v>
      </c>
      <c r="AD131" s="32" t="b">
        <f t="shared" si="76"/>
        <v>1</v>
      </c>
      <c r="AE131" s="32">
        <f>IF($X131=0,0,$X131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131+$Z131)/2,0),Reference!$A$17:$B$20,2,TRUE()))</f>
        <v>0</v>
      </c>
      <c r="AF131" s="32">
        <f>IF(OR($A131="",$U131="",$T131="No Throw"),0,$AM131*VLOOKUP(MAX(($V131+$W131)/2,0),Reference!$A$17:$B$20,2,TRUE()))</f>
        <v>0</v>
      </c>
      <c r="AG131" s="32">
        <f>IF($AC131=0,0,$AC131*INDEX(Reference!$B$61:$B$62,MATCH("Bullpen",Reference!$A$61:$A$62,0))*VLOOKUP(MAX($D$5-($D$9+$E$9)/2,0),Reference!$A$17:$B$20,2,TRUE()))</f>
        <v>0</v>
      </c>
      <c r="AH131" s="32" t="e">
        <f t="shared" si="77"/>
        <v>#N/A</v>
      </c>
      <c r="AI131" s="32" t="e">
        <f>IF($A131="",NA(),Reference!$A$25)</f>
        <v>#N/A</v>
      </c>
      <c r="AJ131" s="32" t="e">
        <f t="shared" si="78"/>
        <v>#N/A</v>
      </c>
      <c r="AK131" s="32">
        <f>IF(OR($A131="",N($C131)&lt;=7,$T131="No Throw",$J131="x"),0,INDEX(Reference!$B$108:$B$114,$N131+1))</f>
        <v>0</v>
      </c>
      <c r="AL131" s="32">
        <f t="shared" si="79"/>
        <v>1</v>
      </c>
      <c r="AM131" s="32">
        <f>IF($U131="",0,IF($AL131&gt;1,((IF(1&lt;=$AL131,($AL131-1+3)*(INDEX(Reference!$B$6:$B$11,MIN(5,MATCH(MAX(Reference!$A$6,MIN(Reference!$A$11,MIN($U131,90))),Reference!$A$6:$A$11,1)))+(MAX(Reference!$A$6,MIN(Reference!$A$11,MIN($U131,90)))-INDEX(Reference!$A$6:$A$11,MIN(5,MATCH(MAX(Reference!$A$6,MIN(Reference!$A$11,MIN($U131,90))),Reference!$A$6:$A$11,1))))*(INDEX(Reference!$B$6:$B$11,MIN(5,MATCH(MAX(Reference!$A$6,MIN(Reference!$A$11,MIN($U131,90))),Reference!$A$6:$A$11,1))+1)-INDEX(Reference!$B$6:$B$11,MIN(5,MATCH(MAX(Reference!$A$6,MIN(Reference!$A$11,MIN($U131,90))),Reference!$A$6:$A$11,1))))/(INDEX(Reference!$A$6:$A$11,MIN(5,MATCH(MAX(Reference!$A$6,MIN(Reference!$A$11,MIN($U131,90))),Reference!$A$6:$A$11,1))+1)-INDEX(Reference!$A$6:$A$11,MIN(5,MATCH(MAX(Reference!$A$6,MIN(Reference!$A$11,MIN($U131,90))),Reference!$A$6:$A$11,1))))),0)+IF(2&lt;=$AL131,($AL131-2+3)*(INDEX(Reference!$B$6:$B$11,MIN(5,MATCH(MAX(Reference!$A$6,MIN(Reference!$A$11,MIN($U131,120))),Reference!$A$6:$A$11,1)))+(MAX(Reference!$A$6,MIN(Reference!$A$11,MIN($U131,120)))-INDEX(Reference!$A$6:$A$11,MIN(5,MATCH(MAX(Reference!$A$6,MIN(Reference!$A$11,MIN($U131,120))),Reference!$A$6:$A$11,1))))*(INDEX(Reference!$B$6:$B$11,MIN(5,MATCH(MAX(Reference!$A$6,MIN(Reference!$A$11,MIN($U131,120))),Reference!$A$6:$A$11,1))+1)-INDEX(Reference!$B$6:$B$11,MIN(5,MATCH(MAX(Reference!$A$6,MIN(Reference!$A$11,MIN($U131,120))),Reference!$A$6:$A$11,1))))/(INDEX(Reference!$A$6:$A$11,MIN(5,MATCH(MAX(Reference!$A$6,MIN(Reference!$A$11,MIN($U131,120))),Reference!$A$6:$A$11,1))+1)-INDEX(Reference!$A$6:$A$11,MIN(5,MATCH(MAX(Reference!$A$6,MIN(Reference!$A$11,MIN($U131,120))),Reference!$A$6:$A$11,1))))),0)+IF(3&lt;=$AL131,($AL131-3+3)*(INDEX(Reference!$B$6:$B$11,MIN(5,MATCH(MAX(Reference!$A$6,MIN(Reference!$A$11,MIN($U131,150))),Reference!$A$6:$A$11,1)))+(MAX(Reference!$A$6,MIN(Reference!$A$11,MIN($U131,150)))-INDEX(Reference!$A$6:$A$11,MIN(5,MATCH(MAX(Reference!$A$6,MIN(Reference!$A$11,MIN($U131,150))),Reference!$A$6:$A$11,1))))*(INDEX(Reference!$B$6:$B$11,MIN(5,MATCH(MAX(Reference!$A$6,MIN(Reference!$A$11,MIN($U131,150))),Reference!$A$6:$A$11,1))+1)-INDEX(Reference!$B$6:$B$11,MIN(5,MATCH(MAX(Reference!$A$6,MIN(Reference!$A$11,MIN($U131,150))),Reference!$A$6:$A$11,1))))/(INDEX(Reference!$A$6:$A$11,MIN(5,MATCH(MAX(Reference!$A$6,MIN(Reference!$A$11,MIN($U131,150))),Reference!$A$6:$A$11,1))+1)-INDEX(Reference!$A$6:$A$11,MIN(5,MATCH(MAX(Reference!$A$6,MIN(Reference!$A$11,MIN($U131,150))),Reference!$A$6:$A$11,1))))),0)+IF(4&lt;=$AL131,($AL131-4+3)*(INDEX(Reference!$B$6:$B$11,MIN(5,MATCH(MAX(Reference!$A$6,MIN(Reference!$A$11,MIN($U131,180))),Reference!$A$6:$A$11,1)))+(MAX(Reference!$A$6,MIN(Reference!$A$11,MIN($U131,180)))-INDEX(Reference!$A$6:$A$11,MIN(5,MATCH(MAX(Reference!$A$6,MIN(Reference!$A$11,MIN($U131,180))),Reference!$A$6:$A$11,1))))*(INDEX(Reference!$B$6:$B$11,MIN(5,MATCH(MAX(Reference!$A$6,MIN(Reference!$A$11,MIN($U131,180))),Reference!$A$6:$A$11,1))+1)-INDEX(Reference!$B$6:$B$11,MIN(5,MATCH(MAX(Reference!$A$6,MIN(Reference!$A$11,MIN($U131,180))),Reference!$A$6:$A$11,1))))/(INDEX(Reference!$A$6:$A$11,MIN(5,MATCH(MAX(Reference!$A$6,MIN(Reference!$A$11,MIN($U131,180))),Reference!$A$6:$A$11,1))+1)-INDEX(Reference!$A$6:$A$11,MIN(5,MATCH(MAX(Reference!$A$6,MIN(Reference!$A$11,MIN($U131,180))),Reference!$A$6:$A$11,1))))),0)+IF(5&lt;=$AL131,($AL131-5+3)*(INDEX(Reference!$B$6:$B$11,MIN(5,MATCH(MAX(Reference!$A$6,MIN(Reference!$A$11,MIN($U131,210))),Reference!$A$6:$A$11,1)))+(MAX(Reference!$A$6,MIN(Reference!$A$11,MIN($U131,210)))-INDEX(Reference!$A$6:$A$11,MIN(5,MATCH(MAX(Reference!$A$6,MIN(Reference!$A$11,MIN($U131,210))),Reference!$A$6:$A$11,1))))*(INDEX(Reference!$B$6:$B$11,MIN(5,MATCH(MAX(Reference!$A$6,MIN(Reference!$A$11,MIN($U131,210))),Reference!$A$6:$A$11,1))+1)-INDEX(Reference!$B$6:$B$11,MIN(5,MATCH(MAX(Reference!$A$6,MIN(Reference!$A$11,MIN($U131,210))),Reference!$A$6:$A$11,1))))/(INDEX(Reference!$A$6:$A$11,MIN(5,MATCH(MAX(Reference!$A$6,MIN(Reference!$A$11,MIN($U131,210))),Reference!$A$6:$A$11,1))+1)-INDEX(Reference!$A$6:$A$11,MIN(5,MATCH(MAX(Reference!$A$6,MIN(Reference!$A$11,MIN($U131,210))),Reference!$A$6:$A$11,1))))),0)+IF(6&lt;=$AL131,($AL131-6+3)*(INDEX(Reference!$B$6:$B$11,MIN(5,MATCH(MAX(Reference!$A$6,MIN(Reference!$A$11,MIN($U131,240))),Reference!$A$6:$A$11,1)))+(MAX(Reference!$A$6,MIN(Reference!$A$11,MIN($U131,240)))-INDEX(Reference!$A$6:$A$11,MIN(5,MATCH(MAX(Reference!$A$6,MIN(Reference!$A$11,MIN($U131,240))),Reference!$A$6:$A$11,1))))*(INDEX(Reference!$B$6:$B$11,MIN(5,MATCH(MAX(Reference!$A$6,MIN(Reference!$A$11,MIN($U131,240))),Reference!$A$6:$A$11,1))+1)-INDEX(Reference!$B$6:$B$11,MIN(5,MATCH(MAX(Reference!$A$6,MIN(Reference!$A$11,MIN($U131,240))),Reference!$A$6:$A$11,1))))/(INDEX(Reference!$A$6:$A$11,MIN(5,MATCH(MAX(Reference!$A$6,MIN(Reference!$A$11,MIN($U131,240))),Reference!$A$6:$A$11,1))+1)-INDEX(Reference!$A$6:$A$11,MIN(5,MATCH(MAX(Reference!$A$6,MIN(Reference!$A$11,MIN($U131,240))),Reference!$A$6:$A$11,1))))),0)+IF(7&lt;=$AL131,($AL131-7+3)*(INDEX(Reference!$B$6:$B$11,MIN(5,MATCH(MAX(Reference!$A$6,MIN(Reference!$A$11,MIN($U131,270))),Reference!$A$6:$A$11,1)))+(MAX(Reference!$A$6,MIN(Reference!$A$11,MIN($U131,270)))-INDEX(Reference!$A$6:$A$11,MIN(5,MATCH(MAX(Reference!$A$6,MIN(Reference!$A$11,MIN($U131,270))),Reference!$A$6:$A$11,1))))*(INDEX(Reference!$B$6:$B$11,MIN(5,MATCH(MAX(Reference!$A$6,MIN(Reference!$A$11,MIN($U131,270))),Reference!$A$6:$A$11,1))+1)-INDEX(Reference!$B$6:$B$11,MIN(5,MATCH(MAX(Reference!$A$6,MIN(Reference!$A$11,MIN($U131,270))),Reference!$A$6:$A$11,1))))/(INDEX(Reference!$A$6:$A$11,MIN(5,MATCH(MAX(Reference!$A$6,MIN(Reference!$A$11,MIN($U131,270))),Reference!$A$6:$A$11,1))+1)-INDEX(Reference!$A$6:$A$11,MIN(5,MATCH(MAX(Reference!$A$6,MIN(Reference!$A$11,MIN($U131,270))),Reference!$A$6:$A$11,1))))),0)+IF(8&lt;=$AL131,($AL131-8+3)*(INDEX(Reference!$B$6:$B$11,MIN(5,MATCH(MAX(Reference!$A$6,MIN(Reference!$A$11,MIN($U131,300))),Reference!$A$6:$A$11,1)))+(MAX(Reference!$A$6,MIN(Reference!$A$11,MIN($U131,300)))-INDEX(Reference!$A$6:$A$11,MIN(5,MATCH(MAX(Reference!$A$6,MIN(Reference!$A$11,MIN($U131,300))),Reference!$A$6:$A$11,1))))*(INDEX(Reference!$B$6:$B$11,MIN(5,MATCH(MAX(Reference!$A$6,MIN(Reference!$A$11,MIN($U131,300))),Reference!$A$6:$A$11,1))+1)-INDEX(Reference!$B$6:$B$11,MIN(5,MATCH(MAX(Reference!$A$6,MIN(Reference!$A$11,MIN($U131,300))),Reference!$A$6:$A$11,1))))/(INDEX(Reference!$A$6:$A$11,MIN(5,MATCH(MAX(Reference!$A$6,MIN(Reference!$A$11,MIN($U131,300))),Reference!$A$6:$A$11,1))+1)-INDEX(Reference!$A$6:$A$11,MIN(5,MATCH(MAX(Reference!$A$6,MIN(Reference!$A$11,MIN($U131,300))),Reference!$A$6:$A$11,1))))),0))/($AL131*($AL131+5)/2)),$AN131))</f>
        <v>0</v>
      </c>
      <c r="AN131" s="32">
        <f>IF($U131="",0,(INDEX(Reference!$B$6:$B$11,MIN(5,MATCH(MAX(Reference!$A$6,MIN(Reference!$A$11,$U131)),Reference!$A$6:$A$11,1)))+(MAX(Reference!$A$6,MIN(Reference!$A$11,$U131))-INDEX(Reference!$A$6:$A$11,MIN(5,MATCH(MAX(Reference!$A$6,MIN(Reference!$A$11,$U131)),Reference!$A$6:$A$11,1))))*(INDEX(Reference!$B$6:$B$11,MIN(5,MATCH(MAX(Reference!$A$6,MIN(Reference!$A$11,$U131)),Reference!$A$6:$A$11,1))+1)-INDEX(Reference!$B$6:$B$11,MIN(5,MATCH(MAX(Reference!$A$6,MIN(Reference!$A$11,$U131)),Reference!$A$6:$A$11,1))))/(INDEX(Reference!$A$6:$A$11,MIN(5,MATCH(MAX(Reference!$A$6,MIN(Reference!$A$11,$U131)),Reference!$A$6:$A$11,1))+1)-INDEX(Reference!$A$6:$A$11,MIN(5,MATCH(MAX(Reference!$A$6,MIN(Reference!$A$11,$U131)),Reference!$A$6:$A$11,1))))))</f>
        <v>0</v>
      </c>
      <c r="AO131" s="37"/>
      <c r="AP131" s="37"/>
      <c r="AQ131" s="37"/>
    </row>
    <row r="132" spans="1:43" x14ac:dyDescent="0.3">
      <c r="A132" s="48" t="str">
        <f t="shared" si="55"/>
        <v/>
      </c>
      <c r="B132" s="32" t="str">
        <f t="shared" si="56"/>
        <v/>
      </c>
      <c r="C132" s="32" t="str">
        <f t="shared" si="57"/>
        <v/>
      </c>
      <c r="D132" s="32" t="str">
        <f t="shared" si="58"/>
        <v/>
      </c>
      <c r="E132" s="32" t="str">
        <f t="shared" si="59"/>
        <v/>
      </c>
      <c r="F132" s="32" t="str">
        <f t="shared" si="60"/>
        <v/>
      </c>
      <c r="G132" s="47" t="str">
        <f t="shared" si="61"/>
        <v/>
      </c>
      <c r="H132" s="30" t="str">
        <f t="shared" si="62"/>
        <v/>
      </c>
      <c r="I132" s="46" t="str">
        <f>IF($A132="","",IF(AND($L132&lt;27,$K$12=0),"Building",IFERROR(((SUM($H$126:$H132)+$K$12*IF($L132&lt;6,SUMIFS('Throw Log'!$Q$5:$Q$300,'Throw Log'!$B$5:$B$300,$D$4,'Throw Log'!$A$5:$A$300,"&gt;="&amp;($D$6+$L132-6),'Throw Log'!$A$5:$A$300,"&lt;="&amp;($D$6-1)),0))/7)/((SUM($H$105:$H132)+$K$12*IF($L132&lt;27,SUMIFS('Throw Log'!$Q$5:$Q$300,'Throw Log'!$B$5:$B$300,$D$4,'Throw Log'!$A$5:$A$300,"&gt;="&amp;($D$6+$L132-27),'Throw Log'!$A$5:$A$300,"&lt;="&amp;($D$6-1)),0))/28),"")))</f>
        <v/>
      </c>
      <c r="J132" s="37"/>
      <c r="K132" s="37"/>
      <c r="L132" s="32">
        <v>89</v>
      </c>
      <c r="M132" s="32">
        <f t="shared" si="63"/>
        <v>13</v>
      </c>
      <c r="N132" s="32">
        <f t="shared" si="64"/>
        <v>5</v>
      </c>
      <c r="O132" s="32">
        <f t="shared" si="65"/>
        <v>1</v>
      </c>
      <c r="P132" s="32" t="str">
        <f>IF(OR($A132="",N($C132)&lt;=7),"",$G$6*$G$9^($M132-1)*IF(AND(MOD($M132,Reference!$B$99)=0,$M132&lt;=$G$5-2),Reference!$B$100,1))</f>
        <v/>
      </c>
      <c r="Q132" s="32" t="str">
        <f>IF($P132="","",IF(SUM($AK$127:$AK$133)=0,0,$P132*INDEX(Reference!$B$108:$B$114,$N132+1)/SUM($AK$127:$AK$133)))</f>
        <v/>
      </c>
      <c r="R132" s="32">
        <f t="shared" si="66"/>
        <v>180</v>
      </c>
      <c r="S132" s="32">
        <f t="shared" si="67"/>
        <v>150</v>
      </c>
      <c r="T132" s="32" t="str">
        <f>IF($A132="","",IF($C132=0,"Bullpen",IF(OR($C132=7,$C132=1,$C132=5),"Recovery/Easy Catch",IF($C132=6,"Compression/Pulldowns",IF(OR($C132=4,$C132=2),"Long Toss",IF($C132=3,"No Throw",IF($N132=2,"No Throw",IF($N132=6,IF($O132&lt;Reference!$B$104,"No Throw","Recovery/Easy Catch"),IF(OR($N132=0,$N132=4),"Recovery/Easy Catch",IF($N132=1,IF($R132&gt;75,"Long Toss","Recovery/Easy Catch"),IF($N132=3,IF($O132&lt;0.5,IF($S132&gt;75,"Long Toss","Recovery/Easy Catch"),"Compression/Pulldowns"),IF($S132&gt;75,"Long Toss","Recovery/Easy Catch"))))))))))))</f>
        <v/>
      </c>
      <c r="U132" s="32" t="str">
        <f t="shared" si="68"/>
        <v/>
      </c>
      <c r="V132" s="32" t="str">
        <f t="shared" si="69"/>
        <v/>
      </c>
      <c r="W132" s="32" t="str">
        <f t="shared" si="70"/>
        <v/>
      </c>
      <c r="X132" s="32">
        <f t="shared" si="71"/>
        <v>0</v>
      </c>
      <c r="Y132" s="32" t="str">
        <f t="shared" si="72"/>
        <v/>
      </c>
      <c r="Z132" s="32" t="str">
        <f t="shared" si="73"/>
        <v/>
      </c>
      <c r="AA132" s="32" t="str">
        <f t="shared" si="74"/>
        <v/>
      </c>
      <c r="AB132" s="32" t="str">
        <f>IF($A132="","",IF($T132="No Throw",0,IF($K132&lt;&gt;"",$K132,IF($AA132&lt;&gt;"",ROUND($AA132*$D$12*IF($C132=0,1,$G$10),0),MIN(IF($T132="Recovery/Easy Catch",Reference!$B$103,IF($T132="Long Toss",Reference!$B$106,Reference!$B$102)),MAX(Reference!$B$101,ROUND(MAX(0,$Q132-$AE132)/$AF132,0)))))))</f>
        <v/>
      </c>
      <c r="AC132" s="32">
        <f t="shared" si="75"/>
        <v>0</v>
      </c>
      <c r="AD132" s="32" t="b">
        <f t="shared" si="76"/>
        <v>1</v>
      </c>
      <c r="AE132" s="32">
        <f>IF($X132=0,0,$X132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132+$Z132)/2,0),Reference!$A$17:$B$20,2,TRUE()))</f>
        <v>0</v>
      </c>
      <c r="AF132" s="32">
        <f>IF(OR($A132="",$U132="",$T132="No Throw"),0,$AM132*VLOOKUP(MAX(($V132+$W132)/2,0),Reference!$A$17:$B$20,2,TRUE()))</f>
        <v>0</v>
      </c>
      <c r="AG132" s="32">
        <f>IF($AC132=0,0,$AC132*INDEX(Reference!$B$61:$B$62,MATCH("Bullpen",Reference!$A$61:$A$62,0))*VLOOKUP(MAX($D$5-($D$9+$E$9)/2,0),Reference!$A$17:$B$20,2,TRUE()))</f>
        <v>0</v>
      </c>
      <c r="AH132" s="32" t="e">
        <f t="shared" si="77"/>
        <v>#N/A</v>
      </c>
      <c r="AI132" s="32" t="e">
        <f>IF($A132="",NA(),Reference!$A$25)</f>
        <v>#N/A</v>
      </c>
      <c r="AJ132" s="32" t="e">
        <f t="shared" si="78"/>
        <v>#N/A</v>
      </c>
      <c r="AK132" s="32">
        <f>IF(OR($A132="",N($C132)&lt;=7,$T132="No Throw",$J132="x"),0,INDEX(Reference!$B$108:$B$114,$N132+1))</f>
        <v>0</v>
      </c>
      <c r="AL132" s="32">
        <f t="shared" si="79"/>
        <v>1</v>
      </c>
      <c r="AM132" s="32">
        <f>IF($U132="",0,IF($AL132&gt;1,((IF(1&lt;=$AL132,($AL132-1+3)*(INDEX(Reference!$B$6:$B$11,MIN(5,MATCH(MAX(Reference!$A$6,MIN(Reference!$A$11,MIN($U132,90))),Reference!$A$6:$A$11,1)))+(MAX(Reference!$A$6,MIN(Reference!$A$11,MIN($U132,90)))-INDEX(Reference!$A$6:$A$11,MIN(5,MATCH(MAX(Reference!$A$6,MIN(Reference!$A$11,MIN($U132,90))),Reference!$A$6:$A$11,1))))*(INDEX(Reference!$B$6:$B$11,MIN(5,MATCH(MAX(Reference!$A$6,MIN(Reference!$A$11,MIN($U132,90))),Reference!$A$6:$A$11,1))+1)-INDEX(Reference!$B$6:$B$11,MIN(5,MATCH(MAX(Reference!$A$6,MIN(Reference!$A$11,MIN($U132,90))),Reference!$A$6:$A$11,1))))/(INDEX(Reference!$A$6:$A$11,MIN(5,MATCH(MAX(Reference!$A$6,MIN(Reference!$A$11,MIN($U132,90))),Reference!$A$6:$A$11,1))+1)-INDEX(Reference!$A$6:$A$11,MIN(5,MATCH(MAX(Reference!$A$6,MIN(Reference!$A$11,MIN($U132,90))),Reference!$A$6:$A$11,1))))),0)+IF(2&lt;=$AL132,($AL132-2+3)*(INDEX(Reference!$B$6:$B$11,MIN(5,MATCH(MAX(Reference!$A$6,MIN(Reference!$A$11,MIN($U132,120))),Reference!$A$6:$A$11,1)))+(MAX(Reference!$A$6,MIN(Reference!$A$11,MIN($U132,120)))-INDEX(Reference!$A$6:$A$11,MIN(5,MATCH(MAX(Reference!$A$6,MIN(Reference!$A$11,MIN($U132,120))),Reference!$A$6:$A$11,1))))*(INDEX(Reference!$B$6:$B$11,MIN(5,MATCH(MAX(Reference!$A$6,MIN(Reference!$A$11,MIN($U132,120))),Reference!$A$6:$A$11,1))+1)-INDEX(Reference!$B$6:$B$11,MIN(5,MATCH(MAX(Reference!$A$6,MIN(Reference!$A$11,MIN($U132,120))),Reference!$A$6:$A$11,1))))/(INDEX(Reference!$A$6:$A$11,MIN(5,MATCH(MAX(Reference!$A$6,MIN(Reference!$A$11,MIN($U132,120))),Reference!$A$6:$A$11,1))+1)-INDEX(Reference!$A$6:$A$11,MIN(5,MATCH(MAX(Reference!$A$6,MIN(Reference!$A$11,MIN($U132,120))),Reference!$A$6:$A$11,1))))),0)+IF(3&lt;=$AL132,($AL132-3+3)*(INDEX(Reference!$B$6:$B$11,MIN(5,MATCH(MAX(Reference!$A$6,MIN(Reference!$A$11,MIN($U132,150))),Reference!$A$6:$A$11,1)))+(MAX(Reference!$A$6,MIN(Reference!$A$11,MIN($U132,150)))-INDEX(Reference!$A$6:$A$11,MIN(5,MATCH(MAX(Reference!$A$6,MIN(Reference!$A$11,MIN($U132,150))),Reference!$A$6:$A$11,1))))*(INDEX(Reference!$B$6:$B$11,MIN(5,MATCH(MAX(Reference!$A$6,MIN(Reference!$A$11,MIN($U132,150))),Reference!$A$6:$A$11,1))+1)-INDEX(Reference!$B$6:$B$11,MIN(5,MATCH(MAX(Reference!$A$6,MIN(Reference!$A$11,MIN($U132,150))),Reference!$A$6:$A$11,1))))/(INDEX(Reference!$A$6:$A$11,MIN(5,MATCH(MAX(Reference!$A$6,MIN(Reference!$A$11,MIN($U132,150))),Reference!$A$6:$A$11,1))+1)-INDEX(Reference!$A$6:$A$11,MIN(5,MATCH(MAX(Reference!$A$6,MIN(Reference!$A$11,MIN($U132,150))),Reference!$A$6:$A$11,1))))),0)+IF(4&lt;=$AL132,($AL132-4+3)*(INDEX(Reference!$B$6:$B$11,MIN(5,MATCH(MAX(Reference!$A$6,MIN(Reference!$A$11,MIN($U132,180))),Reference!$A$6:$A$11,1)))+(MAX(Reference!$A$6,MIN(Reference!$A$11,MIN($U132,180)))-INDEX(Reference!$A$6:$A$11,MIN(5,MATCH(MAX(Reference!$A$6,MIN(Reference!$A$11,MIN($U132,180))),Reference!$A$6:$A$11,1))))*(INDEX(Reference!$B$6:$B$11,MIN(5,MATCH(MAX(Reference!$A$6,MIN(Reference!$A$11,MIN($U132,180))),Reference!$A$6:$A$11,1))+1)-INDEX(Reference!$B$6:$B$11,MIN(5,MATCH(MAX(Reference!$A$6,MIN(Reference!$A$11,MIN($U132,180))),Reference!$A$6:$A$11,1))))/(INDEX(Reference!$A$6:$A$11,MIN(5,MATCH(MAX(Reference!$A$6,MIN(Reference!$A$11,MIN($U132,180))),Reference!$A$6:$A$11,1))+1)-INDEX(Reference!$A$6:$A$11,MIN(5,MATCH(MAX(Reference!$A$6,MIN(Reference!$A$11,MIN($U132,180))),Reference!$A$6:$A$11,1))))),0)+IF(5&lt;=$AL132,($AL132-5+3)*(INDEX(Reference!$B$6:$B$11,MIN(5,MATCH(MAX(Reference!$A$6,MIN(Reference!$A$11,MIN($U132,210))),Reference!$A$6:$A$11,1)))+(MAX(Reference!$A$6,MIN(Reference!$A$11,MIN($U132,210)))-INDEX(Reference!$A$6:$A$11,MIN(5,MATCH(MAX(Reference!$A$6,MIN(Reference!$A$11,MIN($U132,210))),Reference!$A$6:$A$11,1))))*(INDEX(Reference!$B$6:$B$11,MIN(5,MATCH(MAX(Reference!$A$6,MIN(Reference!$A$11,MIN($U132,210))),Reference!$A$6:$A$11,1))+1)-INDEX(Reference!$B$6:$B$11,MIN(5,MATCH(MAX(Reference!$A$6,MIN(Reference!$A$11,MIN($U132,210))),Reference!$A$6:$A$11,1))))/(INDEX(Reference!$A$6:$A$11,MIN(5,MATCH(MAX(Reference!$A$6,MIN(Reference!$A$11,MIN($U132,210))),Reference!$A$6:$A$11,1))+1)-INDEX(Reference!$A$6:$A$11,MIN(5,MATCH(MAX(Reference!$A$6,MIN(Reference!$A$11,MIN($U132,210))),Reference!$A$6:$A$11,1))))),0)+IF(6&lt;=$AL132,($AL132-6+3)*(INDEX(Reference!$B$6:$B$11,MIN(5,MATCH(MAX(Reference!$A$6,MIN(Reference!$A$11,MIN($U132,240))),Reference!$A$6:$A$11,1)))+(MAX(Reference!$A$6,MIN(Reference!$A$11,MIN($U132,240)))-INDEX(Reference!$A$6:$A$11,MIN(5,MATCH(MAX(Reference!$A$6,MIN(Reference!$A$11,MIN($U132,240))),Reference!$A$6:$A$11,1))))*(INDEX(Reference!$B$6:$B$11,MIN(5,MATCH(MAX(Reference!$A$6,MIN(Reference!$A$11,MIN($U132,240))),Reference!$A$6:$A$11,1))+1)-INDEX(Reference!$B$6:$B$11,MIN(5,MATCH(MAX(Reference!$A$6,MIN(Reference!$A$11,MIN($U132,240))),Reference!$A$6:$A$11,1))))/(INDEX(Reference!$A$6:$A$11,MIN(5,MATCH(MAX(Reference!$A$6,MIN(Reference!$A$11,MIN($U132,240))),Reference!$A$6:$A$11,1))+1)-INDEX(Reference!$A$6:$A$11,MIN(5,MATCH(MAX(Reference!$A$6,MIN(Reference!$A$11,MIN($U132,240))),Reference!$A$6:$A$11,1))))),0)+IF(7&lt;=$AL132,($AL132-7+3)*(INDEX(Reference!$B$6:$B$11,MIN(5,MATCH(MAX(Reference!$A$6,MIN(Reference!$A$11,MIN($U132,270))),Reference!$A$6:$A$11,1)))+(MAX(Reference!$A$6,MIN(Reference!$A$11,MIN($U132,270)))-INDEX(Reference!$A$6:$A$11,MIN(5,MATCH(MAX(Reference!$A$6,MIN(Reference!$A$11,MIN($U132,270))),Reference!$A$6:$A$11,1))))*(INDEX(Reference!$B$6:$B$11,MIN(5,MATCH(MAX(Reference!$A$6,MIN(Reference!$A$11,MIN($U132,270))),Reference!$A$6:$A$11,1))+1)-INDEX(Reference!$B$6:$B$11,MIN(5,MATCH(MAX(Reference!$A$6,MIN(Reference!$A$11,MIN($U132,270))),Reference!$A$6:$A$11,1))))/(INDEX(Reference!$A$6:$A$11,MIN(5,MATCH(MAX(Reference!$A$6,MIN(Reference!$A$11,MIN($U132,270))),Reference!$A$6:$A$11,1))+1)-INDEX(Reference!$A$6:$A$11,MIN(5,MATCH(MAX(Reference!$A$6,MIN(Reference!$A$11,MIN($U132,270))),Reference!$A$6:$A$11,1))))),0)+IF(8&lt;=$AL132,($AL132-8+3)*(INDEX(Reference!$B$6:$B$11,MIN(5,MATCH(MAX(Reference!$A$6,MIN(Reference!$A$11,MIN($U132,300))),Reference!$A$6:$A$11,1)))+(MAX(Reference!$A$6,MIN(Reference!$A$11,MIN($U132,300)))-INDEX(Reference!$A$6:$A$11,MIN(5,MATCH(MAX(Reference!$A$6,MIN(Reference!$A$11,MIN($U132,300))),Reference!$A$6:$A$11,1))))*(INDEX(Reference!$B$6:$B$11,MIN(5,MATCH(MAX(Reference!$A$6,MIN(Reference!$A$11,MIN($U132,300))),Reference!$A$6:$A$11,1))+1)-INDEX(Reference!$B$6:$B$11,MIN(5,MATCH(MAX(Reference!$A$6,MIN(Reference!$A$11,MIN($U132,300))),Reference!$A$6:$A$11,1))))/(INDEX(Reference!$A$6:$A$11,MIN(5,MATCH(MAX(Reference!$A$6,MIN(Reference!$A$11,MIN($U132,300))),Reference!$A$6:$A$11,1))+1)-INDEX(Reference!$A$6:$A$11,MIN(5,MATCH(MAX(Reference!$A$6,MIN(Reference!$A$11,MIN($U132,300))),Reference!$A$6:$A$11,1))))),0))/($AL132*($AL132+5)/2)),$AN132))</f>
        <v>0</v>
      </c>
      <c r="AN132" s="32">
        <f>IF($U132="",0,(INDEX(Reference!$B$6:$B$11,MIN(5,MATCH(MAX(Reference!$A$6,MIN(Reference!$A$11,$U132)),Reference!$A$6:$A$11,1)))+(MAX(Reference!$A$6,MIN(Reference!$A$11,$U132))-INDEX(Reference!$A$6:$A$11,MIN(5,MATCH(MAX(Reference!$A$6,MIN(Reference!$A$11,$U132)),Reference!$A$6:$A$11,1))))*(INDEX(Reference!$B$6:$B$11,MIN(5,MATCH(MAX(Reference!$A$6,MIN(Reference!$A$11,$U132)),Reference!$A$6:$A$11,1))+1)-INDEX(Reference!$B$6:$B$11,MIN(5,MATCH(MAX(Reference!$A$6,MIN(Reference!$A$11,$U132)),Reference!$A$6:$A$11,1))))/(INDEX(Reference!$A$6:$A$11,MIN(5,MATCH(MAX(Reference!$A$6,MIN(Reference!$A$11,$U132)),Reference!$A$6:$A$11,1))+1)-INDEX(Reference!$A$6:$A$11,MIN(5,MATCH(MAX(Reference!$A$6,MIN(Reference!$A$11,$U132)),Reference!$A$6:$A$11,1))))))</f>
        <v>0</v>
      </c>
      <c r="AO132" s="37"/>
      <c r="AP132" s="37"/>
      <c r="AQ132" s="37"/>
    </row>
    <row r="133" spans="1:43" x14ac:dyDescent="0.3">
      <c r="A133" s="48" t="str">
        <f t="shared" si="55"/>
        <v/>
      </c>
      <c r="B133" s="32" t="str">
        <f t="shared" si="56"/>
        <v/>
      </c>
      <c r="C133" s="32" t="str">
        <f t="shared" si="57"/>
        <v/>
      </c>
      <c r="D133" s="32" t="str">
        <f t="shared" si="58"/>
        <v/>
      </c>
      <c r="E133" s="32" t="str">
        <f t="shared" si="59"/>
        <v/>
      </c>
      <c r="F133" s="32" t="str">
        <f t="shared" si="60"/>
        <v/>
      </c>
      <c r="G133" s="47" t="str">
        <f t="shared" si="61"/>
        <v/>
      </c>
      <c r="H133" s="30" t="str">
        <f t="shared" si="62"/>
        <v/>
      </c>
      <c r="I133" s="46" t="str">
        <f>IF($A133="","",IF(AND($L133&lt;27,$K$12=0),"Building",IFERROR(((SUM($H$127:$H133)+$K$12*IF($L133&lt;6,SUMIFS('Throw Log'!$Q$5:$Q$300,'Throw Log'!$B$5:$B$300,$D$4,'Throw Log'!$A$5:$A$300,"&gt;="&amp;($D$6+$L133-6),'Throw Log'!$A$5:$A$300,"&lt;="&amp;($D$6-1)),0))/7)/((SUM($H$106:$H133)+$K$12*IF($L133&lt;27,SUMIFS('Throw Log'!$Q$5:$Q$300,'Throw Log'!$B$5:$B$300,$D$4,'Throw Log'!$A$5:$A$300,"&gt;="&amp;($D$6+$L133-27),'Throw Log'!$A$5:$A$300,"&lt;="&amp;($D$6-1)),0))/28),"")))</f>
        <v/>
      </c>
      <c r="J133" s="37"/>
      <c r="K133" s="37"/>
      <c r="L133" s="32">
        <v>90</v>
      </c>
      <c r="M133" s="32">
        <f t="shared" si="63"/>
        <v>13</v>
      </c>
      <c r="N133" s="32">
        <f t="shared" si="64"/>
        <v>6</v>
      </c>
      <c r="O133" s="32">
        <f t="shared" si="65"/>
        <v>1</v>
      </c>
      <c r="P133" s="32" t="str">
        <f>IF(OR($A133="",N($C133)&lt;=7),"",$G$6*$G$9^($M133-1)*IF(AND(MOD($M133,Reference!$B$99)=0,$M133&lt;=$G$5-2),Reference!$B$100,1))</f>
        <v/>
      </c>
      <c r="Q133" s="32" t="str">
        <f>IF($P133="","",IF(SUM($AK$127:$AK$133)=0,0,$P133*INDEX(Reference!$B$108:$B$114,$N133+1)/SUM($AK$127:$AK$133)))</f>
        <v/>
      </c>
      <c r="R133" s="32">
        <f t="shared" si="66"/>
        <v>180</v>
      </c>
      <c r="S133" s="32">
        <f t="shared" si="67"/>
        <v>150</v>
      </c>
      <c r="T133" s="32" t="str">
        <f>IF($A133="","",IF($C133=0,"Bullpen",IF(OR($C133=7,$C133=1,$C133=5),"Recovery/Easy Catch",IF($C133=6,"Compression/Pulldowns",IF(OR($C133=4,$C133=2),"Long Toss",IF($C133=3,"No Throw",IF($N133=2,"No Throw",IF($N133=6,IF($O133&lt;Reference!$B$104,"No Throw","Recovery/Easy Catch"),IF(OR($N133=0,$N133=4),"Recovery/Easy Catch",IF($N133=1,IF($R133&gt;75,"Long Toss","Recovery/Easy Catch"),IF($N133=3,IF($O133&lt;0.5,IF($S133&gt;75,"Long Toss","Recovery/Easy Catch"),"Compression/Pulldowns"),IF($S133&gt;75,"Long Toss","Recovery/Easy Catch"))))))))))))</f>
        <v/>
      </c>
      <c r="U133" s="32" t="str">
        <f t="shared" si="68"/>
        <v/>
      </c>
      <c r="V133" s="32" t="str">
        <f t="shared" si="69"/>
        <v/>
      </c>
      <c r="W133" s="32" t="str">
        <f t="shared" si="70"/>
        <v/>
      </c>
      <c r="X133" s="32">
        <f t="shared" si="71"/>
        <v>0</v>
      </c>
      <c r="Y133" s="32" t="str">
        <f t="shared" si="72"/>
        <v/>
      </c>
      <c r="Z133" s="32" t="str">
        <f t="shared" si="73"/>
        <v/>
      </c>
      <c r="AA133" s="32" t="str">
        <f t="shared" si="74"/>
        <v/>
      </c>
      <c r="AB133" s="32" t="str">
        <f>IF($A133="","",IF($T133="No Throw",0,IF($K133&lt;&gt;"",$K133,IF($AA133&lt;&gt;"",ROUND($AA133*$D$12*IF($C133=0,1,$G$10),0),MIN(IF($T133="Recovery/Easy Catch",Reference!$B$103,IF($T133="Long Toss",Reference!$B$106,Reference!$B$102)),MAX(Reference!$B$101,ROUND(MAX(0,$Q133-$AE133)/$AF133,0)))))))</f>
        <v/>
      </c>
      <c r="AC133" s="32">
        <f t="shared" si="75"/>
        <v>0</v>
      </c>
      <c r="AD133" s="32" t="b">
        <f t="shared" si="76"/>
        <v>1</v>
      </c>
      <c r="AE133" s="32">
        <f>IF($X133=0,0,$X133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133+$Z133)/2,0),Reference!$A$17:$B$20,2,TRUE()))</f>
        <v>0</v>
      </c>
      <c r="AF133" s="32">
        <f>IF(OR($A133="",$U133="",$T133="No Throw"),0,$AM133*VLOOKUP(MAX(($V133+$W133)/2,0),Reference!$A$17:$B$20,2,TRUE()))</f>
        <v>0</v>
      </c>
      <c r="AG133" s="32">
        <f>IF($AC133=0,0,$AC133*INDEX(Reference!$B$61:$B$62,MATCH("Bullpen",Reference!$A$61:$A$62,0))*VLOOKUP(MAX($D$5-($D$9+$E$9)/2,0),Reference!$A$17:$B$20,2,TRUE()))</f>
        <v>0</v>
      </c>
      <c r="AH133" s="32" t="e">
        <f t="shared" si="77"/>
        <v>#N/A</v>
      </c>
      <c r="AI133" s="32" t="e">
        <f>IF($A133="",NA(),Reference!$A$25)</f>
        <v>#N/A</v>
      </c>
      <c r="AJ133" s="32" t="e">
        <f t="shared" si="78"/>
        <v>#N/A</v>
      </c>
      <c r="AK133" s="32">
        <f>IF(OR($A133="",N($C133)&lt;=7,$T133="No Throw",$J133="x"),0,INDEX(Reference!$B$108:$B$114,$N133+1))</f>
        <v>0</v>
      </c>
      <c r="AL133" s="32">
        <f t="shared" si="79"/>
        <v>1</v>
      </c>
      <c r="AM133" s="32">
        <f>IF($U133="",0,IF($AL133&gt;1,((IF(1&lt;=$AL133,($AL133-1+3)*(INDEX(Reference!$B$6:$B$11,MIN(5,MATCH(MAX(Reference!$A$6,MIN(Reference!$A$11,MIN($U133,90))),Reference!$A$6:$A$11,1)))+(MAX(Reference!$A$6,MIN(Reference!$A$11,MIN($U133,90)))-INDEX(Reference!$A$6:$A$11,MIN(5,MATCH(MAX(Reference!$A$6,MIN(Reference!$A$11,MIN($U133,90))),Reference!$A$6:$A$11,1))))*(INDEX(Reference!$B$6:$B$11,MIN(5,MATCH(MAX(Reference!$A$6,MIN(Reference!$A$11,MIN($U133,90))),Reference!$A$6:$A$11,1))+1)-INDEX(Reference!$B$6:$B$11,MIN(5,MATCH(MAX(Reference!$A$6,MIN(Reference!$A$11,MIN($U133,90))),Reference!$A$6:$A$11,1))))/(INDEX(Reference!$A$6:$A$11,MIN(5,MATCH(MAX(Reference!$A$6,MIN(Reference!$A$11,MIN($U133,90))),Reference!$A$6:$A$11,1))+1)-INDEX(Reference!$A$6:$A$11,MIN(5,MATCH(MAX(Reference!$A$6,MIN(Reference!$A$11,MIN($U133,90))),Reference!$A$6:$A$11,1))))),0)+IF(2&lt;=$AL133,($AL133-2+3)*(INDEX(Reference!$B$6:$B$11,MIN(5,MATCH(MAX(Reference!$A$6,MIN(Reference!$A$11,MIN($U133,120))),Reference!$A$6:$A$11,1)))+(MAX(Reference!$A$6,MIN(Reference!$A$11,MIN($U133,120)))-INDEX(Reference!$A$6:$A$11,MIN(5,MATCH(MAX(Reference!$A$6,MIN(Reference!$A$11,MIN($U133,120))),Reference!$A$6:$A$11,1))))*(INDEX(Reference!$B$6:$B$11,MIN(5,MATCH(MAX(Reference!$A$6,MIN(Reference!$A$11,MIN($U133,120))),Reference!$A$6:$A$11,1))+1)-INDEX(Reference!$B$6:$B$11,MIN(5,MATCH(MAX(Reference!$A$6,MIN(Reference!$A$11,MIN($U133,120))),Reference!$A$6:$A$11,1))))/(INDEX(Reference!$A$6:$A$11,MIN(5,MATCH(MAX(Reference!$A$6,MIN(Reference!$A$11,MIN($U133,120))),Reference!$A$6:$A$11,1))+1)-INDEX(Reference!$A$6:$A$11,MIN(5,MATCH(MAX(Reference!$A$6,MIN(Reference!$A$11,MIN($U133,120))),Reference!$A$6:$A$11,1))))),0)+IF(3&lt;=$AL133,($AL133-3+3)*(INDEX(Reference!$B$6:$B$11,MIN(5,MATCH(MAX(Reference!$A$6,MIN(Reference!$A$11,MIN($U133,150))),Reference!$A$6:$A$11,1)))+(MAX(Reference!$A$6,MIN(Reference!$A$11,MIN($U133,150)))-INDEX(Reference!$A$6:$A$11,MIN(5,MATCH(MAX(Reference!$A$6,MIN(Reference!$A$11,MIN($U133,150))),Reference!$A$6:$A$11,1))))*(INDEX(Reference!$B$6:$B$11,MIN(5,MATCH(MAX(Reference!$A$6,MIN(Reference!$A$11,MIN($U133,150))),Reference!$A$6:$A$11,1))+1)-INDEX(Reference!$B$6:$B$11,MIN(5,MATCH(MAX(Reference!$A$6,MIN(Reference!$A$11,MIN($U133,150))),Reference!$A$6:$A$11,1))))/(INDEX(Reference!$A$6:$A$11,MIN(5,MATCH(MAX(Reference!$A$6,MIN(Reference!$A$11,MIN($U133,150))),Reference!$A$6:$A$11,1))+1)-INDEX(Reference!$A$6:$A$11,MIN(5,MATCH(MAX(Reference!$A$6,MIN(Reference!$A$11,MIN($U133,150))),Reference!$A$6:$A$11,1))))),0)+IF(4&lt;=$AL133,($AL133-4+3)*(INDEX(Reference!$B$6:$B$11,MIN(5,MATCH(MAX(Reference!$A$6,MIN(Reference!$A$11,MIN($U133,180))),Reference!$A$6:$A$11,1)))+(MAX(Reference!$A$6,MIN(Reference!$A$11,MIN($U133,180)))-INDEX(Reference!$A$6:$A$11,MIN(5,MATCH(MAX(Reference!$A$6,MIN(Reference!$A$11,MIN($U133,180))),Reference!$A$6:$A$11,1))))*(INDEX(Reference!$B$6:$B$11,MIN(5,MATCH(MAX(Reference!$A$6,MIN(Reference!$A$11,MIN($U133,180))),Reference!$A$6:$A$11,1))+1)-INDEX(Reference!$B$6:$B$11,MIN(5,MATCH(MAX(Reference!$A$6,MIN(Reference!$A$11,MIN($U133,180))),Reference!$A$6:$A$11,1))))/(INDEX(Reference!$A$6:$A$11,MIN(5,MATCH(MAX(Reference!$A$6,MIN(Reference!$A$11,MIN($U133,180))),Reference!$A$6:$A$11,1))+1)-INDEX(Reference!$A$6:$A$11,MIN(5,MATCH(MAX(Reference!$A$6,MIN(Reference!$A$11,MIN($U133,180))),Reference!$A$6:$A$11,1))))),0)+IF(5&lt;=$AL133,($AL133-5+3)*(INDEX(Reference!$B$6:$B$11,MIN(5,MATCH(MAX(Reference!$A$6,MIN(Reference!$A$11,MIN($U133,210))),Reference!$A$6:$A$11,1)))+(MAX(Reference!$A$6,MIN(Reference!$A$11,MIN($U133,210)))-INDEX(Reference!$A$6:$A$11,MIN(5,MATCH(MAX(Reference!$A$6,MIN(Reference!$A$11,MIN($U133,210))),Reference!$A$6:$A$11,1))))*(INDEX(Reference!$B$6:$B$11,MIN(5,MATCH(MAX(Reference!$A$6,MIN(Reference!$A$11,MIN($U133,210))),Reference!$A$6:$A$11,1))+1)-INDEX(Reference!$B$6:$B$11,MIN(5,MATCH(MAX(Reference!$A$6,MIN(Reference!$A$11,MIN($U133,210))),Reference!$A$6:$A$11,1))))/(INDEX(Reference!$A$6:$A$11,MIN(5,MATCH(MAX(Reference!$A$6,MIN(Reference!$A$11,MIN($U133,210))),Reference!$A$6:$A$11,1))+1)-INDEX(Reference!$A$6:$A$11,MIN(5,MATCH(MAX(Reference!$A$6,MIN(Reference!$A$11,MIN($U133,210))),Reference!$A$6:$A$11,1))))),0)+IF(6&lt;=$AL133,($AL133-6+3)*(INDEX(Reference!$B$6:$B$11,MIN(5,MATCH(MAX(Reference!$A$6,MIN(Reference!$A$11,MIN($U133,240))),Reference!$A$6:$A$11,1)))+(MAX(Reference!$A$6,MIN(Reference!$A$11,MIN($U133,240)))-INDEX(Reference!$A$6:$A$11,MIN(5,MATCH(MAX(Reference!$A$6,MIN(Reference!$A$11,MIN($U133,240))),Reference!$A$6:$A$11,1))))*(INDEX(Reference!$B$6:$B$11,MIN(5,MATCH(MAX(Reference!$A$6,MIN(Reference!$A$11,MIN($U133,240))),Reference!$A$6:$A$11,1))+1)-INDEX(Reference!$B$6:$B$11,MIN(5,MATCH(MAX(Reference!$A$6,MIN(Reference!$A$11,MIN($U133,240))),Reference!$A$6:$A$11,1))))/(INDEX(Reference!$A$6:$A$11,MIN(5,MATCH(MAX(Reference!$A$6,MIN(Reference!$A$11,MIN($U133,240))),Reference!$A$6:$A$11,1))+1)-INDEX(Reference!$A$6:$A$11,MIN(5,MATCH(MAX(Reference!$A$6,MIN(Reference!$A$11,MIN($U133,240))),Reference!$A$6:$A$11,1))))),0)+IF(7&lt;=$AL133,($AL133-7+3)*(INDEX(Reference!$B$6:$B$11,MIN(5,MATCH(MAX(Reference!$A$6,MIN(Reference!$A$11,MIN($U133,270))),Reference!$A$6:$A$11,1)))+(MAX(Reference!$A$6,MIN(Reference!$A$11,MIN($U133,270)))-INDEX(Reference!$A$6:$A$11,MIN(5,MATCH(MAX(Reference!$A$6,MIN(Reference!$A$11,MIN($U133,270))),Reference!$A$6:$A$11,1))))*(INDEX(Reference!$B$6:$B$11,MIN(5,MATCH(MAX(Reference!$A$6,MIN(Reference!$A$11,MIN($U133,270))),Reference!$A$6:$A$11,1))+1)-INDEX(Reference!$B$6:$B$11,MIN(5,MATCH(MAX(Reference!$A$6,MIN(Reference!$A$11,MIN($U133,270))),Reference!$A$6:$A$11,1))))/(INDEX(Reference!$A$6:$A$11,MIN(5,MATCH(MAX(Reference!$A$6,MIN(Reference!$A$11,MIN($U133,270))),Reference!$A$6:$A$11,1))+1)-INDEX(Reference!$A$6:$A$11,MIN(5,MATCH(MAX(Reference!$A$6,MIN(Reference!$A$11,MIN($U133,270))),Reference!$A$6:$A$11,1))))),0)+IF(8&lt;=$AL133,($AL133-8+3)*(INDEX(Reference!$B$6:$B$11,MIN(5,MATCH(MAX(Reference!$A$6,MIN(Reference!$A$11,MIN($U133,300))),Reference!$A$6:$A$11,1)))+(MAX(Reference!$A$6,MIN(Reference!$A$11,MIN($U133,300)))-INDEX(Reference!$A$6:$A$11,MIN(5,MATCH(MAX(Reference!$A$6,MIN(Reference!$A$11,MIN($U133,300))),Reference!$A$6:$A$11,1))))*(INDEX(Reference!$B$6:$B$11,MIN(5,MATCH(MAX(Reference!$A$6,MIN(Reference!$A$11,MIN($U133,300))),Reference!$A$6:$A$11,1))+1)-INDEX(Reference!$B$6:$B$11,MIN(5,MATCH(MAX(Reference!$A$6,MIN(Reference!$A$11,MIN($U133,300))),Reference!$A$6:$A$11,1))))/(INDEX(Reference!$A$6:$A$11,MIN(5,MATCH(MAX(Reference!$A$6,MIN(Reference!$A$11,MIN($U133,300))),Reference!$A$6:$A$11,1))+1)-INDEX(Reference!$A$6:$A$11,MIN(5,MATCH(MAX(Reference!$A$6,MIN(Reference!$A$11,MIN($U133,300))),Reference!$A$6:$A$11,1))))),0))/($AL133*($AL133+5)/2)),$AN133))</f>
        <v>0</v>
      </c>
      <c r="AN133" s="32">
        <f>IF($U133="",0,(INDEX(Reference!$B$6:$B$11,MIN(5,MATCH(MAX(Reference!$A$6,MIN(Reference!$A$11,$U133)),Reference!$A$6:$A$11,1)))+(MAX(Reference!$A$6,MIN(Reference!$A$11,$U133))-INDEX(Reference!$A$6:$A$11,MIN(5,MATCH(MAX(Reference!$A$6,MIN(Reference!$A$11,$U133)),Reference!$A$6:$A$11,1))))*(INDEX(Reference!$B$6:$B$11,MIN(5,MATCH(MAX(Reference!$A$6,MIN(Reference!$A$11,$U133)),Reference!$A$6:$A$11,1))+1)-INDEX(Reference!$B$6:$B$11,MIN(5,MATCH(MAX(Reference!$A$6,MIN(Reference!$A$11,$U133)),Reference!$A$6:$A$11,1))))/(INDEX(Reference!$A$6:$A$11,MIN(5,MATCH(MAX(Reference!$A$6,MIN(Reference!$A$11,$U133)),Reference!$A$6:$A$11,1))+1)-INDEX(Reference!$A$6:$A$11,MIN(5,MATCH(MAX(Reference!$A$6,MIN(Reference!$A$11,$U133)),Reference!$A$6:$A$11,1))))))</f>
        <v>0</v>
      </c>
      <c r="AO133" s="37"/>
      <c r="AP133" s="37"/>
      <c r="AQ133" s="37"/>
    </row>
    <row r="134" spans="1:43" x14ac:dyDescent="0.3">
      <c r="A134" s="48" t="str">
        <f t="shared" si="55"/>
        <v/>
      </c>
      <c r="B134" s="32" t="str">
        <f t="shared" si="56"/>
        <v/>
      </c>
      <c r="C134" s="32" t="str">
        <f t="shared" si="57"/>
        <v/>
      </c>
      <c r="D134" s="32" t="str">
        <f t="shared" si="58"/>
        <v/>
      </c>
      <c r="E134" s="32" t="str">
        <f t="shared" si="59"/>
        <v/>
      </c>
      <c r="F134" s="32" t="str">
        <f t="shared" si="60"/>
        <v/>
      </c>
      <c r="G134" s="47" t="str">
        <f t="shared" si="61"/>
        <v/>
      </c>
      <c r="H134" s="30" t="str">
        <f t="shared" si="62"/>
        <v/>
      </c>
      <c r="I134" s="46" t="str">
        <f>IF($A134="","",IF(AND($L134&lt;27,$K$12=0),"Building",IFERROR(((SUM($H$128:$H134)+$K$12*IF($L134&lt;6,SUMIFS('Throw Log'!$Q$5:$Q$300,'Throw Log'!$B$5:$B$300,$D$4,'Throw Log'!$A$5:$A$300,"&gt;="&amp;($D$6+$L134-6),'Throw Log'!$A$5:$A$300,"&lt;="&amp;($D$6-1)),0))/7)/((SUM($H$107:$H134)+$K$12*IF($L134&lt;27,SUMIFS('Throw Log'!$Q$5:$Q$300,'Throw Log'!$B$5:$B$300,$D$4,'Throw Log'!$A$5:$A$300,"&gt;="&amp;($D$6+$L134-27),'Throw Log'!$A$5:$A$300,"&lt;="&amp;($D$6-1)),0))/28),"")))</f>
        <v/>
      </c>
      <c r="J134" s="37"/>
      <c r="K134" s="37"/>
      <c r="L134" s="32">
        <v>91</v>
      </c>
      <c r="M134" s="32">
        <f t="shared" si="63"/>
        <v>14</v>
      </c>
      <c r="N134" s="32">
        <f t="shared" si="64"/>
        <v>0</v>
      </c>
      <c r="O134" s="32">
        <f t="shared" si="65"/>
        <v>1</v>
      </c>
      <c r="P134" s="32" t="str">
        <f>IF(OR($A134="",N($C134)&lt;=7),"",$G$6*$G$9^($M134-1)*IF(AND(MOD($M134,Reference!$B$99)=0,$M134&lt;=$G$5-2),Reference!$B$100,1))</f>
        <v/>
      </c>
      <c r="Q134" s="32" t="str">
        <f>IF($P134="","",IF(SUM($AK$134:$AK$140)=0,0,$P134*INDEX(Reference!$B$108:$B$114,$N134+1)/SUM($AK$134:$AK$140)))</f>
        <v/>
      </c>
      <c r="R134" s="32">
        <f t="shared" si="66"/>
        <v>180</v>
      </c>
      <c r="S134" s="32">
        <f t="shared" si="67"/>
        <v>150</v>
      </c>
      <c r="T134" s="32" t="str">
        <f>IF($A134="","",IF($C134=0,"Bullpen",IF(OR($C134=7,$C134=1,$C134=5),"Recovery/Easy Catch",IF($C134=6,"Compression/Pulldowns",IF(OR($C134=4,$C134=2),"Long Toss",IF($C134=3,"No Throw",IF($N134=2,"No Throw",IF($N134=6,IF($O134&lt;Reference!$B$104,"No Throw","Recovery/Easy Catch"),IF(OR($N134=0,$N134=4),"Recovery/Easy Catch",IF($N134=1,IF($R134&gt;75,"Long Toss","Recovery/Easy Catch"),IF($N134=3,IF($O134&lt;0.5,IF($S134&gt;75,"Long Toss","Recovery/Easy Catch"),"Compression/Pulldowns"),IF($S134&gt;75,"Long Toss","Recovery/Easy Catch"))))))))))))</f>
        <v/>
      </c>
      <c r="U134" s="32" t="str">
        <f t="shared" si="68"/>
        <v/>
      </c>
      <c r="V134" s="32" t="str">
        <f t="shared" si="69"/>
        <v/>
      </c>
      <c r="W134" s="32" t="str">
        <f t="shared" si="70"/>
        <v/>
      </c>
      <c r="X134" s="32">
        <f t="shared" si="71"/>
        <v>0</v>
      </c>
      <c r="Y134" s="32" t="str">
        <f t="shared" si="72"/>
        <v/>
      </c>
      <c r="Z134" s="32" t="str">
        <f t="shared" si="73"/>
        <v/>
      </c>
      <c r="AA134" s="32" t="str">
        <f t="shared" si="74"/>
        <v/>
      </c>
      <c r="AB134" s="32" t="str">
        <f>IF($A134="","",IF($T134="No Throw",0,IF($K134&lt;&gt;"",$K134,IF($AA134&lt;&gt;"",ROUND($AA134*$D$12*IF($C134=0,1,$G$10),0),MIN(IF($T134="Recovery/Easy Catch",Reference!$B$103,IF($T134="Long Toss",Reference!$B$106,Reference!$B$102)),MAX(Reference!$B$101,ROUND(MAX(0,$Q134-$AE134)/$AF134,0)))))))</f>
        <v/>
      </c>
      <c r="AC134" s="32">
        <f t="shared" si="75"/>
        <v>0</v>
      </c>
      <c r="AD134" s="32" t="b">
        <f t="shared" si="76"/>
        <v>1</v>
      </c>
      <c r="AE134" s="32">
        <f>IF($X134=0,0,$X134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134+$Z134)/2,0),Reference!$A$17:$B$20,2,TRUE()))</f>
        <v>0</v>
      </c>
      <c r="AF134" s="32">
        <f>IF(OR($A134="",$U134="",$T134="No Throw"),0,$AM134*VLOOKUP(MAX(($V134+$W134)/2,0),Reference!$A$17:$B$20,2,TRUE()))</f>
        <v>0</v>
      </c>
      <c r="AG134" s="32">
        <f>IF($AC134=0,0,$AC134*INDEX(Reference!$B$61:$B$62,MATCH("Bullpen",Reference!$A$61:$A$62,0))*VLOOKUP(MAX($D$5-($D$9+$E$9)/2,0),Reference!$A$17:$B$20,2,TRUE()))</f>
        <v>0</v>
      </c>
      <c r="AH134" s="32" t="e">
        <f t="shared" si="77"/>
        <v>#N/A</v>
      </c>
      <c r="AI134" s="32" t="e">
        <f>IF($A134="",NA(),Reference!$A$25)</f>
        <v>#N/A</v>
      </c>
      <c r="AJ134" s="32" t="e">
        <f t="shared" si="78"/>
        <v>#N/A</v>
      </c>
      <c r="AK134" s="32">
        <f>IF(OR($A134="",N($C134)&lt;=7,$T134="No Throw",$J134="x"),0,INDEX(Reference!$B$108:$B$114,$N134+1))</f>
        <v>0</v>
      </c>
      <c r="AL134" s="32">
        <f t="shared" si="79"/>
        <v>1</v>
      </c>
      <c r="AM134" s="32">
        <f>IF($U134="",0,IF($AL134&gt;1,((IF(1&lt;=$AL134,($AL134-1+3)*(INDEX(Reference!$B$6:$B$11,MIN(5,MATCH(MAX(Reference!$A$6,MIN(Reference!$A$11,MIN($U134,90))),Reference!$A$6:$A$11,1)))+(MAX(Reference!$A$6,MIN(Reference!$A$11,MIN($U134,90)))-INDEX(Reference!$A$6:$A$11,MIN(5,MATCH(MAX(Reference!$A$6,MIN(Reference!$A$11,MIN($U134,90))),Reference!$A$6:$A$11,1))))*(INDEX(Reference!$B$6:$B$11,MIN(5,MATCH(MAX(Reference!$A$6,MIN(Reference!$A$11,MIN($U134,90))),Reference!$A$6:$A$11,1))+1)-INDEX(Reference!$B$6:$B$11,MIN(5,MATCH(MAX(Reference!$A$6,MIN(Reference!$A$11,MIN($U134,90))),Reference!$A$6:$A$11,1))))/(INDEX(Reference!$A$6:$A$11,MIN(5,MATCH(MAX(Reference!$A$6,MIN(Reference!$A$11,MIN($U134,90))),Reference!$A$6:$A$11,1))+1)-INDEX(Reference!$A$6:$A$11,MIN(5,MATCH(MAX(Reference!$A$6,MIN(Reference!$A$11,MIN($U134,90))),Reference!$A$6:$A$11,1))))),0)+IF(2&lt;=$AL134,($AL134-2+3)*(INDEX(Reference!$B$6:$B$11,MIN(5,MATCH(MAX(Reference!$A$6,MIN(Reference!$A$11,MIN($U134,120))),Reference!$A$6:$A$11,1)))+(MAX(Reference!$A$6,MIN(Reference!$A$11,MIN($U134,120)))-INDEX(Reference!$A$6:$A$11,MIN(5,MATCH(MAX(Reference!$A$6,MIN(Reference!$A$11,MIN($U134,120))),Reference!$A$6:$A$11,1))))*(INDEX(Reference!$B$6:$B$11,MIN(5,MATCH(MAX(Reference!$A$6,MIN(Reference!$A$11,MIN($U134,120))),Reference!$A$6:$A$11,1))+1)-INDEX(Reference!$B$6:$B$11,MIN(5,MATCH(MAX(Reference!$A$6,MIN(Reference!$A$11,MIN($U134,120))),Reference!$A$6:$A$11,1))))/(INDEX(Reference!$A$6:$A$11,MIN(5,MATCH(MAX(Reference!$A$6,MIN(Reference!$A$11,MIN($U134,120))),Reference!$A$6:$A$11,1))+1)-INDEX(Reference!$A$6:$A$11,MIN(5,MATCH(MAX(Reference!$A$6,MIN(Reference!$A$11,MIN($U134,120))),Reference!$A$6:$A$11,1))))),0)+IF(3&lt;=$AL134,($AL134-3+3)*(INDEX(Reference!$B$6:$B$11,MIN(5,MATCH(MAX(Reference!$A$6,MIN(Reference!$A$11,MIN($U134,150))),Reference!$A$6:$A$11,1)))+(MAX(Reference!$A$6,MIN(Reference!$A$11,MIN($U134,150)))-INDEX(Reference!$A$6:$A$11,MIN(5,MATCH(MAX(Reference!$A$6,MIN(Reference!$A$11,MIN($U134,150))),Reference!$A$6:$A$11,1))))*(INDEX(Reference!$B$6:$B$11,MIN(5,MATCH(MAX(Reference!$A$6,MIN(Reference!$A$11,MIN($U134,150))),Reference!$A$6:$A$11,1))+1)-INDEX(Reference!$B$6:$B$11,MIN(5,MATCH(MAX(Reference!$A$6,MIN(Reference!$A$11,MIN($U134,150))),Reference!$A$6:$A$11,1))))/(INDEX(Reference!$A$6:$A$11,MIN(5,MATCH(MAX(Reference!$A$6,MIN(Reference!$A$11,MIN($U134,150))),Reference!$A$6:$A$11,1))+1)-INDEX(Reference!$A$6:$A$11,MIN(5,MATCH(MAX(Reference!$A$6,MIN(Reference!$A$11,MIN($U134,150))),Reference!$A$6:$A$11,1))))),0)+IF(4&lt;=$AL134,($AL134-4+3)*(INDEX(Reference!$B$6:$B$11,MIN(5,MATCH(MAX(Reference!$A$6,MIN(Reference!$A$11,MIN($U134,180))),Reference!$A$6:$A$11,1)))+(MAX(Reference!$A$6,MIN(Reference!$A$11,MIN($U134,180)))-INDEX(Reference!$A$6:$A$11,MIN(5,MATCH(MAX(Reference!$A$6,MIN(Reference!$A$11,MIN($U134,180))),Reference!$A$6:$A$11,1))))*(INDEX(Reference!$B$6:$B$11,MIN(5,MATCH(MAX(Reference!$A$6,MIN(Reference!$A$11,MIN($U134,180))),Reference!$A$6:$A$11,1))+1)-INDEX(Reference!$B$6:$B$11,MIN(5,MATCH(MAX(Reference!$A$6,MIN(Reference!$A$11,MIN($U134,180))),Reference!$A$6:$A$11,1))))/(INDEX(Reference!$A$6:$A$11,MIN(5,MATCH(MAX(Reference!$A$6,MIN(Reference!$A$11,MIN($U134,180))),Reference!$A$6:$A$11,1))+1)-INDEX(Reference!$A$6:$A$11,MIN(5,MATCH(MAX(Reference!$A$6,MIN(Reference!$A$11,MIN($U134,180))),Reference!$A$6:$A$11,1))))),0)+IF(5&lt;=$AL134,($AL134-5+3)*(INDEX(Reference!$B$6:$B$11,MIN(5,MATCH(MAX(Reference!$A$6,MIN(Reference!$A$11,MIN($U134,210))),Reference!$A$6:$A$11,1)))+(MAX(Reference!$A$6,MIN(Reference!$A$11,MIN($U134,210)))-INDEX(Reference!$A$6:$A$11,MIN(5,MATCH(MAX(Reference!$A$6,MIN(Reference!$A$11,MIN($U134,210))),Reference!$A$6:$A$11,1))))*(INDEX(Reference!$B$6:$B$11,MIN(5,MATCH(MAX(Reference!$A$6,MIN(Reference!$A$11,MIN($U134,210))),Reference!$A$6:$A$11,1))+1)-INDEX(Reference!$B$6:$B$11,MIN(5,MATCH(MAX(Reference!$A$6,MIN(Reference!$A$11,MIN($U134,210))),Reference!$A$6:$A$11,1))))/(INDEX(Reference!$A$6:$A$11,MIN(5,MATCH(MAX(Reference!$A$6,MIN(Reference!$A$11,MIN($U134,210))),Reference!$A$6:$A$11,1))+1)-INDEX(Reference!$A$6:$A$11,MIN(5,MATCH(MAX(Reference!$A$6,MIN(Reference!$A$11,MIN($U134,210))),Reference!$A$6:$A$11,1))))),0)+IF(6&lt;=$AL134,($AL134-6+3)*(INDEX(Reference!$B$6:$B$11,MIN(5,MATCH(MAX(Reference!$A$6,MIN(Reference!$A$11,MIN($U134,240))),Reference!$A$6:$A$11,1)))+(MAX(Reference!$A$6,MIN(Reference!$A$11,MIN($U134,240)))-INDEX(Reference!$A$6:$A$11,MIN(5,MATCH(MAX(Reference!$A$6,MIN(Reference!$A$11,MIN($U134,240))),Reference!$A$6:$A$11,1))))*(INDEX(Reference!$B$6:$B$11,MIN(5,MATCH(MAX(Reference!$A$6,MIN(Reference!$A$11,MIN($U134,240))),Reference!$A$6:$A$11,1))+1)-INDEX(Reference!$B$6:$B$11,MIN(5,MATCH(MAX(Reference!$A$6,MIN(Reference!$A$11,MIN($U134,240))),Reference!$A$6:$A$11,1))))/(INDEX(Reference!$A$6:$A$11,MIN(5,MATCH(MAX(Reference!$A$6,MIN(Reference!$A$11,MIN($U134,240))),Reference!$A$6:$A$11,1))+1)-INDEX(Reference!$A$6:$A$11,MIN(5,MATCH(MAX(Reference!$A$6,MIN(Reference!$A$11,MIN($U134,240))),Reference!$A$6:$A$11,1))))),0)+IF(7&lt;=$AL134,($AL134-7+3)*(INDEX(Reference!$B$6:$B$11,MIN(5,MATCH(MAX(Reference!$A$6,MIN(Reference!$A$11,MIN($U134,270))),Reference!$A$6:$A$11,1)))+(MAX(Reference!$A$6,MIN(Reference!$A$11,MIN($U134,270)))-INDEX(Reference!$A$6:$A$11,MIN(5,MATCH(MAX(Reference!$A$6,MIN(Reference!$A$11,MIN($U134,270))),Reference!$A$6:$A$11,1))))*(INDEX(Reference!$B$6:$B$11,MIN(5,MATCH(MAX(Reference!$A$6,MIN(Reference!$A$11,MIN($U134,270))),Reference!$A$6:$A$11,1))+1)-INDEX(Reference!$B$6:$B$11,MIN(5,MATCH(MAX(Reference!$A$6,MIN(Reference!$A$11,MIN($U134,270))),Reference!$A$6:$A$11,1))))/(INDEX(Reference!$A$6:$A$11,MIN(5,MATCH(MAX(Reference!$A$6,MIN(Reference!$A$11,MIN($U134,270))),Reference!$A$6:$A$11,1))+1)-INDEX(Reference!$A$6:$A$11,MIN(5,MATCH(MAX(Reference!$A$6,MIN(Reference!$A$11,MIN($U134,270))),Reference!$A$6:$A$11,1))))),0)+IF(8&lt;=$AL134,($AL134-8+3)*(INDEX(Reference!$B$6:$B$11,MIN(5,MATCH(MAX(Reference!$A$6,MIN(Reference!$A$11,MIN($U134,300))),Reference!$A$6:$A$11,1)))+(MAX(Reference!$A$6,MIN(Reference!$A$11,MIN($U134,300)))-INDEX(Reference!$A$6:$A$11,MIN(5,MATCH(MAX(Reference!$A$6,MIN(Reference!$A$11,MIN($U134,300))),Reference!$A$6:$A$11,1))))*(INDEX(Reference!$B$6:$B$11,MIN(5,MATCH(MAX(Reference!$A$6,MIN(Reference!$A$11,MIN($U134,300))),Reference!$A$6:$A$11,1))+1)-INDEX(Reference!$B$6:$B$11,MIN(5,MATCH(MAX(Reference!$A$6,MIN(Reference!$A$11,MIN($U134,300))),Reference!$A$6:$A$11,1))))/(INDEX(Reference!$A$6:$A$11,MIN(5,MATCH(MAX(Reference!$A$6,MIN(Reference!$A$11,MIN($U134,300))),Reference!$A$6:$A$11,1))+1)-INDEX(Reference!$A$6:$A$11,MIN(5,MATCH(MAX(Reference!$A$6,MIN(Reference!$A$11,MIN($U134,300))),Reference!$A$6:$A$11,1))))),0))/($AL134*($AL134+5)/2)),$AN134))</f>
        <v>0</v>
      </c>
      <c r="AN134" s="32">
        <f>IF($U134="",0,(INDEX(Reference!$B$6:$B$11,MIN(5,MATCH(MAX(Reference!$A$6,MIN(Reference!$A$11,$U134)),Reference!$A$6:$A$11,1)))+(MAX(Reference!$A$6,MIN(Reference!$A$11,$U134))-INDEX(Reference!$A$6:$A$11,MIN(5,MATCH(MAX(Reference!$A$6,MIN(Reference!$A$11,$U134)),Reference!$A$6:$A$11,1))))*(INDEX(Reference!$B$6:$B$11,MIN(5,MATCH(MAX(Reference!$A$6,MIN(Reference!$A$11,$U134)),Reference!$A$6:$A$11,1))+1)-INDEX(Reference!$B$6:$B$11,MIN(5,MATCH(MAX(Reference!$A$6,MIN(Reference!$A$11,$U134)),Reference!$A$6:$A$11,1))))/(INDEX(Reference!$A$6:$A$11,MIN(5,MATCH(MAX(Reference!$A$6,MIN(Reference!$A$11,$U134)),Reference!$A$6:$A$11,1))+1)-INDEX(Reference!$A$6:$A$11,MIN(5,MATCH(MAX(Reference!$A$6,MIN(Reference!$A$11,$U134)),Reference!$A$6:$A$11,1))))))</f>
        <v>0</v>
      </c>
      <c r="AO134" s="37"/>
      <c r="AP134" s="37"/>
      <c r="AQ134" s="37"/>
    </row>
    <row r="135" spans="1:43" x14ac:dyDescent="0.3">
      <c r="A135" s="48" t="str">
        <f t="shared" si="55"/>
        <v/>
      </c>
      <c r="B135" s="32" t="str">
        <f t="shared" si="56"/>
        <v/>
      </c>
      <c r="C135" s="32" t="str">
        <f t="shared" si="57"/>
        <v/>
      </c>
      <c r="D135" s="32" t="str">
        <f t="shared" si="58"/>
        <v/>
      </c>
      <c r="E135" s="32" t="str">
        <f t="shared" si="59"/>
        <v/>
      </c>
      <c r="F135" s="32" t="str">
        <f t="shared" si="60"/>
        <v/>
      </c>
      <c r="G135" s="47" t="str">
        <f t="shared" si="61"/>
        <v/>
      </c>
      <c r="H135" s="30" t="str">
        <f t="shared" si="62"/>
        <v/>
      </c>
      <c r="I135" s="46" t="str">
        <f>IF($A135="","",IF(AND($L135&lt;27,$K$12=0),"Building",IFERROR(((SUM($H$129:$H135)+$K$12*IF($L135&lt;6,SUMIFS('Throw Log'!$Q$5:$Q$300,'Throw Log'!$B$5:$B$300,$D$4,'Throw Log'!$A$5:$A$300,"&gt;="&amp;($D$6+$L135-6),'Throw Log'!$A$5:$A$300,"&lt;="&amp;($D$6-1)),0))/7)/((SUM($H$108:$H135)+$K$12*IF($L135&lt;27,SUMIFS('Throw Log'!$Q$5:$Q$300,'Throw Log'!$B$5:$B$300,$D$4,'Throw Log'!$A$5:$A$300,"&gt;="&amp;($D$6+$L135-27),'Throw Log'!$A$5:$A$300,"&lt;="&amp;($D$6-1)),0))/28),"")))</f>
        <v/>
      </c>
      <c r="J135" s="37"/>
      <c r="K135" s="37"/>
      <c r="L135" s="32">
        <v>92</v>
      </c>
      <c r="M135" s="32">
        <f t="shared" si="63"/>
        <v>14</v>
      </c>
      <c r="N135" s="32">
        <f t="shared" si="64"/>
        <v>1</v>
      </c>
      <c r="O135" s="32">
        <f t="shared" si="65"/>
        <v>1</v>
      </c>
      <c r="P135" s="32" t="str">
        <f>IF(OR($A135="",N($C135)&lt;=7),"",$G$6*$G$9^($M135-1)*IF(AND(MOD($M135,Reference!$B$99)=0,$M135&lt;=$G$5-2),Reference!$B$100,1))</f>
        <v/>
      </c>
      <c r="Q135" s="32" t="str">
        <f>IF($P135="","",IF(SUM($AK$134:$AK$140)=0,0,$P135*INDEX(Reference!$B$108:$B$114,$N135+1)/SUM($AK$134:$AK$140)))</f>
        <v/>
      </c>
      <c r="R135" s="32">
        <f t="shared" si="66"/>
        <v>180</v>
      </c>
      <c r="S135" s="32">
        <f t="shared" si="67"/>
        <v>150</v>
      </c>
      <c r="T135" s="32" t="str">
        <f>IF($A135="","",IF($C135=0,"Bullpen",IF(OR($C135=7,$C135=1,$C135=5),"Recovery/Easy Catch",IF($C135=6,"Compression/Pulldowns",IF(OR($C135=4,$C135=2),"Long Toss",IF($C135=3,"No Throw",IF($N135=2,"No Throw",IF($N135=6,IF($O135&lt;Reference!$B$104,"No Throw","Recovery/Easy Catch"),IF(OR($N135=0,$N135=4),"Recovery/Easy Catch",IF($N135=1,IF($R135&gt;75,"Long Toss","Recovery/Easy Catch"),IF($N135=3,IF($O135&lt;0.5,IF($S135&gt;75,"Long Toss","Recovery/Easy Catch"),"Compression/Pulldowns"),IF($S135&gt;75,"Long Toss","Recovery/Easy Catch"))))))))))))</f>
        <v/>
      </c>
      <c r="U135" s="32" t="str">
        <f t="shared" si="68"/>
        <v/>
      </c>
      <c r="V135" s="32" t="str">
        <f t="shared" si="69"/>
        <v/>
      </c>
      <c r="W135" s="32" t="str">
        <f t="shared" si="70"/>
        <v/>
      </c>
      <c r="X135" s="32">
        <f t="shared" si="71"/>
        <v>0</v>
      </c>
      <c r="Y135" s="32" t="str">
        <f t="shared" si="72"/>
        <v/>
      </c>
      <c r="Z135" s="32" t="str">
        <f t="shared" si="73"/>
        <v/>
      </c>
      <c r="AA135" s="32" t="str">
        <f t="shared" si="74"/>
        <v/>
      </c>
      <c r="AB135" s="32" t="str">
        <f>IF($A135="","",IF($T135="No Throw",0,IF($K135&lt;&gt;"",$K135,IF($AA135&lt;&gt;"",ROUND($AA135*$D$12*IF($C135=0,1,$G$10),0),MIN(IF($T135="Recovery/Easy Catch",Reference!$B$103,IF($T135="Long Toss",Reference!$B$106,Reference!$B$102)),MAX(Reference!$B$101,ROUND(MAX(0,$Q135-$AE135)/$AF135,0)))))))</f>
        <v/>
      </c>
      <c r="AC135" s="32">
        <f t="shared" si="75"/>
        <v>0</v>
      </c>
      <c r="AD135" s="32" t="b">
        <f t="shared" si="76"/>
        <v>1</v>
      </c>
      <c r="AE135" s="32">
        <f>IF($X135=0,0,$X135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135+$Z135)/2,0),Reference!$A$17:$B$20,2,TRUE()))</f>
        <v>0</v>
      </c>
      <c r="AF135" s="32">
        <f>IF(OR($A135="",$U135="",$T135="No Throw"),0,$AM135*VLOOKUP(MAX(($V135+$W135)/2,0),Reference!$A$17:$B$20,2,TRUE()))</f>
        <v>0</v>
      </c>
      <c r="AG135" s="32">
        <f>IF($AC135=0,0,$AC135*INDEX(Reference!$B$61:$B$62,MATCH("Bullpen",Reference!$A$61:$A$62,0))*VLOOKUP(MAX($D$5-($D$9+$E$9)/2,0),Reference!$A$17:$B$20,2,TRUE()))</f>
        <v>0</v>
      </c>
      <c r="AH135" s="32" t="e">
        <f t="shared" si="77"/>
        <v>#N/A</v>
      </c>
      <c r="AI135" s="32" t="e">
        <f>IF($A135="",NA(),Reference!$A$25)</f>
        <v>#N/A</v>
      </c>
      <c r="AJ135" s="32" t="e">
        <f t="shared" si="78"/>
        <v>#N/A</v>
      </c>
      <c r="AK135" s="32">
        <f>IF(OR($A135="",N($C135)&lt;=7,$T135="No Throw",$J135="x"),0,INDEX(Reference!$B$108:$B$114,$N135+1))</f>
        <v>0</v>
      </c>
      <c r="AL135" s="32">
        <f t="shared" si="79"/>
        <v>1</v>
      </c>
      <c r="AM135" s="32">
        <f>IF($U135="",0,IF($AL135&gt;1,((IF(1&lt;=$AL135,($AL135-1+3)*(INDEX(Reference!$B$6:$B$11,MIN(5,MATCH(MAX(Reference!$A$6,MIN(Reference!$A$11,MIN($U135,90))),Reference!$A$6:$A$11,1)))+(MAX(Reference!$A$6,MIN(Reference!$A$11,MIN($U135,90)))-INDEX(Reference!$A$6:$A$11,MIN(5,MATCH(MAX(Reference!$A$6,MIN(Reference!$A$11,MIN($U135,90))),Reference!$A$6:$A$11,1))))*(INDEX(Reference!$B$6:$B$11,MIN(5,MATCH(MAX(Reference!$A$6,MIN(Reference!$A$11,MIN($U135,90))),Reference!$A$6:$A$11,1))+1)-INDEX(Reference!$B$6:$B$11,MIN(5,MATCH(MAX(Reference!$A$6,MIN(Reference!$A$11,MIN($U135,90))),Reference!$A$6:$A$11,1))))/(INDEX(Reference!$A$6:$A$11,MIN(5,MATCH(MAX(Reference!$A$6,MIN(Reference!$A$11,MIN($U135,90))),Reference!$A$6:$A$11,1))+1)-INDEX(Reference!$A$6:$A$11,MIN(5,MATCH(MAX(Reference!$A$6,MIN(Reference!$A$11,MIN($U135,90))),Reference!$A$6:$A$11,1))))),0)+IF(2&lt;=$AL135,($AL135-2+3)*(INDEX(Reference!$B$6:$B$11,MIN(5,MATCH(MAX(Reference!$A$6,MIN(Reference!$A$11,MIN($U135,120))),Reference!$A$6:$A$11,1)))+(MAX(Reference!$A$6,MIN(Reference!$A$11,MIN($U135,120)))-INDEX(Reference!$A$6:$A$11,MIN(5,MATCH(MAX(Reference!$A$6,MIN(Reference!$A$11,MIN($U135,120))),Reference!$A$6:$A$11,1))))*(INDEX(Reference!$B$6:$B$11,MIN(5,MATCH(MAX(Reference!$A$6,MIN(Reference!$A$11,MIN($U135,120))),Reference!$A$6:$A$11,1))+1)-INDEX(Reference!$B$6:$B$11,MIN(5,MATCH(MAX(Reference!$A$6,MIN(Reference!$A$11,MIN($U135,120))),Reference!$A$6:$A$11,1))))/(INDEX(Reference!$A$6:$A$11,MIN(5,MATCH(MAX(Reference!$A$6,MIN(Reference!$A$11,MIN($U135,120))),Reference!$A$6:$A$11,1))+1)-INDEX(Reference!$A$6:$A$11,MIN(5,MATCH(MAX(Reference!$A$6,MIN(Reference!$A$11,MIN($U135,120))),Reference!$A$6:$A$11,1))))),0)+IF(3&lt;=$AL135,($AL135-3+3)*(INDEX(Reference!$B$6:$B$11,MIN(5,MATCH(MAX(Reference!$A$6,MIN(Reference!$A$11,MIN($U135,150))),Reference!$A$6:$A$11,1)))+(MAX(Reference!$A$6,MIN(Reference!$A$11,MIN($U135,150)))-INDEX(Reference!$A$6:$A$11,MIN(5,MATCH(MAX(Reference!$A$6,MIN(Reference!$A$11,MIN($U135,150))),Reference!$A$6:$A$11,1))))*(INDEX(Reference!$B$6:$B$11,MIN(5,MATCH(MAX(Reference!$A$6,MIN(Reference!$A$11,MIN($U135,150))),Reference!$A$6:$A$11,1))+1)-INDEX(Reference!$B$6:$B$11,MIN(5,MATCH(MAX(Reference!$A$6,MIN(Reference!$A$11,MIN($U135,150))),Reference!$A$6:$A$11,1))))/(INDEX(Reference!$A$6:$A$11,MIN(5,MATCH(MAX(Reference!$A$6,MIN(Reference!$A$11,MIN($U135,150))),Reference!$A$6:$A$11,1))+1)-INDEX(Reference!$A$6:$A$11,MIN(5,MATCH(MAX(Reference!$A$6,MIN(Reference!$A$11,MIN($U135,150))),Reference!$A$6:$A$11,1))))),0)+IF(4&lt;=$AL135,($AL135-4+3)*(INDEX(Reference!$B$6:$B$11,MIN(5,MATCH(MAX(Reference!$A$6,MIN(Reference!$A$11,MIN($U135,180))),Reference!$A$6:$A$11,1)))+(MAX(Reference!$A$6,MIN(Reference!$A$11,MIN($U135,180)))-INDEX(Reference!$A$6:$A$11,MIN(5,MATCH(MAX(Reference!$A$6,MIN(Reference!$A$11,MIN($U135,180))),Reference!$A$6:$A$11,1))))*(INDEX(Reference!$B$6:$B$11,MIN(5,MATCH(MAX(Reference!$A$6,MIN(Reference!$A$11,MIN($U135,180))),Reference!$A$6:$A$11,1))+1)-INDEX(Reference!$B$6:$B$11,MIN(5,MATCH(MAX(Reference!$A$6,MIN(Reference!$A$11,MIN($U135,180))),Reference!$A$6:$A$11,1))))/(INDEX(Reference!$A$6:$A$11,MIN(5,MATCH(MAX(Reference!$A$6,MIN(Reference!$A$11,MIN($U135,180))),Reference!$A$6:$A$11,1))+1)-INDEX(Reference!$A$6:$A$11,MIN(5,MATCH(MAX(Reference!$A$6,MIN(Reference!$A$11,MIN($U135,180))),Reference!$A$6:$A$11,1))))),0)+IF(5&lt;=$AL135,($AL135-5+3)*(INDEX(Reference!$B$6:$B$11,MIN(5,MATCH(MAX(Reference!$A$6,MIN(Reference!$A$11,MIN($U135,210))),Reference!$A$6:$A$11,1)))+(MAX(Reference!$A$6,MIN(Reference!$A$11,MIN($U135,210)))-INDEX(Reference!$A$6:$A$11,MIN(5,MATCH(MAX(Reference!$A$6,MIN(Reference!$A$11,MIN($U135,210))),Reference!$A$6:$A$11,1))))*(INDEX(Reference!$B$6:$B$11,MIN(5,MATCH(MAX(Reference!$A$6,MIN(Reference!$A$11,MIN($U135,210))),Reference!$A$6:$A$11,1))+1)-INDEX(Reference!$B$6:$B$11,MIN(5,MATCH(MAX(Reference!$A$6,MIN(Reference!$A$11,MIN($U135,210))),Reference!$A$6:$A$11,1))))/(INDEX(Reference!$A$6:$A$11,MIN(5,MATCH(MAX(Reference!$A$6,MIN(Reference!$A$11,MIN($U135,210))),Reference!$A$6:$A$11,1))+1)-INDEX(Reference!$A$6:$A$11,MIN(5,MATCH(MAX(Reference!$A$6,MIN(Reference!$A$11,MIN($U135,210))),Reference!$A$6:$A$11,1))))),0)+IF(6&lt;=$AL135,($AL135-6+3)*(INDEX(Reference!$B$6:$B$11,MIN(5,MATCH(MAX(Reference!$A$6,MIN(Reference!$A$11,MIN($U135,240))),Reference!$A$6:$A$11,1)))+(MAX(Reference!$A$6,MIN(Reference!$A$11,MIN($U135,240)))-INDEX(Reference!$A$6:$A$11,MIN(5,MATCH(MAX(Reference!$A$6,MIN(Reference!$A$11,MIN($U135,240))),Reference!$A$6:$A$11,1))))*(INDEX(Reference!$B$6:$B$11,MIN(5,MATCH(MAX(Reference!$A$6,MIN(Reference!$A$11,MIN($U135,240))),Reference!$A$6:$A$11,1))+1)-INDEX(Reference!$B$6:$B$11,MIN(5,MATCH(MAX(Reference!$A$6,MIN(Reference!$A$11,MIN($U135,240))),Reference!$A$6:$A$11,1))))/(INDEX(Reference!$A$6:$A$11,MIN(5,MATCH(MAX(Reference!$A$6,MIN(Reference!$A$11,MIN($U135,240))),Reference!$A$6:$A$11,1))+1)-INDEX(Reference!$A$6:$A$11,MIN(5,MATCH(MAX(Reference!$A$6,MIN(Reference!$A$11,MIN($U135,240))),Reference!$A$6:$A$11,1))))),0)+IF(7&lt;=$AL135,($AL135-7+3)*(INDEX(Reference!$B$6:$B$11,MIN(5,MATCH(MAX(Reference!$A$6,MIN(Reference!$A$11,MIN($U135,270))),Reference!$A$6:$A$11,1)))+(MAX(Reference!$A$6,MIN(Reference!$A$11,MIN($U135,270)))-INDEX(Reference!$A$6:$A$11,MIN(5,MATCH(MAX(Reference!$A$6,MIN(Reference!$A$11,MIN($U135,270))),Reference!$A$6:$A$11,1))))*(INDEX(Reference!$B$6:$B$11,MIN(5,MATCH(MAX(Reference!$A$6,MIN(Reference!$A$11,MIN($U135,270))),Reference!$A$6:$A$11,1))+1)-INDEX(Reference!$B$6:$B$11,MIN(5,MATCH(MAX(Reference!$A$6,MIN(Reference!$A$11,MIN($U135,270))),Reference!$A$6:$A$11,1))))/(INDEX(Reference!$A$6:$A$11,MIN(5,MATCH(MAX(Reference!$A$6,MIN(Reference!$A$11,MIN($U135,270))),Reference!$A$6:$A$11,1))+1)-INDEX(Reference!$A$6:$A$11,MIN(5,MATCH(MAX(Reference!$A$6,MIN(Reference!$A$11,MIN($U135,270))),Reference!$A$6:$A$11,1))))),0)+IF(8&lt;=$AL135,($AL135-8+3)*(INDEX(Reference!$B$6:$B$11,MIN(5,MATCH(MAX(Reference!$A$6,MIN(Reference!$A$11,MIN($U135,300))),Reference!$A$6:$A$11,1)))+(MAX(Reference!$A$6,MIN(Reference!$A$11,MIN($U135,300)))-INDEX(Reference!$A$6:$A$11,MIN(5,MATCH(MAX(Reference!$A$6,MIN(Reference!$A$11,MIN($U135,300))),Reference!$A$6:$A$11,1))))*(INDEX(Reference!$B$6:$B$11,MIN(5,MATCH(MAX(Reference!$A$6,MIN(Reference!$A$11,MIN($U135,300))),Reference!$A$6:$A$11,1))+1)-INDEX(Reference!$B$6:$B$11,MIN(5,MATCH(MAX(Reference!$A$6,MIN(Reference!$A$11,MIN($U135,300))),Reference!$A$6:$A$11,1))))/(INDEX(Reference!$A$6:$A$11,MIN(5,MATCH(MAX(Reference!$A$6,MIN(Reference!$A$11,MIN($U135,300))),Reference!$A$6:$A$11,1))+1)-INDEX(Reference!$A$6:$A$11,MIN(5,MATCH(MAX(Reference!$A$6,MIN(Reference!$A$11,MIN($U135,300))),Reference!$A$6:$A$11,1))))),0))/($AL135*($AL135+5)/2)),$AN135))</f>
        <v>0</v>
      </c>
      <c r="AN135" s="32">
        <f>IF($U135="",0,(INDEX(Reference!$B$6:$B$11,MIN(5,MATCH(MAX(Reference!$A$6,MIN(Reference!$A$11,$U135)),Reference!$A$6:$A$11,1)))+(MAX(Reference!$A$6,MIN(Reference!$A$11,$U135))-INDEX(Reference!$A$6:$A$11,MIN(5,MATCH(MAX(Reference!$A$6,MIN(Reference!$A$11,$U135)),Reference!$A$6:$A$11,1))))*(INDEX(Reference!$B$6:$B$11,MIN(5,MATCH(MAX(Reference!$A$6,MIN(Reference!$A$11,$U135)),Reference!$A$6:$A$11,1))+1)-INDEX(Reference!$B$6:$B$11,MIN(5,MATCH(MAX(Reference!$A$6,MIN(Reference!$A$11,$U135)),Reference!$A$6:$A$11,1))))/(INDEX(Reference!$A$6:$A$11,MIN(5,MATCH(MAX(Reference!$A$6,MIN(Reference!$A$11,$U135)),Reference!$A$6:$A$11,1))+1)-INDEX(Reference!$A$6:$A$11,MIN(5,MATCH(MAX(Reference!$A$6,MIN(Reference!$A$11,$U135)),Reference!$A$6:$A$11,1))))))</f>
        <v>0</v>
      </c>
      <c r="AO135" s="37"/>
      <c r="AP135" s="37"/>
      <c r="AQ135" s="37"/>
    </row>
    <row r="136" spans="1:43" x14ac:dyDescent="0.3">
      <c r="A136" s="48" t="str">
        <f t="shared" si="55"/>
        <v/>
      </c>
      <c r="B136" s="32" t="str">
        <f t="shared" si="56"/>
        <v/>
      </c>
      <c r="C136" s="32" t="str">
        <f t="shared" si="57"/>
        <v/>
      </c>
      <c r="D136" s="32" t="str">
        <f t="shared" si="58"/>
        <v/>
      </c>
      <c r="E136" s="32" t="str">
        <f t="shared" si="59"/>
        <v/>
      </c>
      <c r="F136" s="32" t="str">
        <f t="shared" si="60"/>
        <v/>
      </c>
      <c r="G136" s="47" t="str">
        <f t="shared" si="61"/>
        <v/>
      </c>
      <c r="H136" s="30" t="str">
        <f t="shared" si="62"/>
        <v/>
      </c>
      <c r="I136" s="46" t="str">
        <f>IF($A136="","",IF(AND($L136&lt;27,$K$12=0),"Building",IFERROR(((SUM($H$130:$H136)+$K$12*IF($L136&lt;6,SUMIFS('Throw Log'!$Q$5:$Q$300,'Throw Log'!$B$5:$B$300,$D$4,'Throw Log'!$A$5:$A$300,"&gt;="&amp;($D$6+$L136-6),'Throw Log'!$A$5:$A$300,"&lt;="&amp;($D$6-1)),0))/7)/((SUM($H$109:$H136)+$K$12*IF($L136&lt;27,SUMIFS('Throw Log'!$Q$5:$Q$300,'Throw Log'!$B$5:$B$300,$D$4,'Throw Log'!$A$5:$A$300,"&gt;="&amp;($D$6+$L136-27),'Throw Log'!$A$5:$A$300,"&lt;="&amp;($D$6-1)),0))/28),"")))</f>
        <v/>
      </c>
      <c r="J136" s="37"/>
      <c r="K136" s="37"/>
      <c r="L136" s="32">
        <v>93</v>
      </c>
      <c r="M136" s="32">
        <f t="shared" si="63"/>
        <v>14</v>
      </c>
      <c r="N136" s="32">
        <f t="shared" si="64"/>
        <v>2</v>
      </c>
      <c r="O136" s="32">
        <f t="shared" si="65"/>
        <v>1</v>
      </c>
      <c r="P136" s="32" t="str">
        <f>IF(OR($A136="",N($C136)&lt;=7),"",$G$6*$G$9^($M136-1)*IF(AND(MOD($M136,Reference!$B$99)=0,$M136&lt;=$G$5-2),Reference!$B$100,1))</f>
        <v/>
      </c>
      <c r="Q136" s="32" t="str">
        <f>IF($P136="","",IF(SUM($AK$134:$AK$140)=0,0,$P136*INDEX(Reference!$B$108:$B$114,$N136+1)/SUM($AK$134:$AK$140)))</f>
        <v/>
      </c>
      <c r="R136" s="32">
        <f t="shared" si="66"/>
        <v>180</v>
      </c>
      <c r="S136" s="32">
        <f t="shared" si="67"/>
        <v>150</v>
      </c>
      <c r="T136" s="32" t="str">
        <f>IF($A136="","",IF($C136=0,"Bullpen",IF(OR($C136=7,$C136=1,$C136=5),"Recovery/Easy Catch",IF($C136=6,"Compression/Pulldowns",IF(OR($C136=4,$C136=2),"Long Toss",IF($C136=3,"No Throw",IF($N136=2,"No Throw",IF($N136=6,IF($O136&lt;Reference!$B$104,"No Throw","Recovery/Easy Catch"),IF(OR($N136=0,$N136=4),"Recovery/Easy Catch",IF($N136=1,IF($R136&gt;75,"Long Toss","Recovery/Easy Catch"),IF($N136=3,IF($O136&lt;0.5,IF($S136&gt;75,"Long Toss","Recovery/Easy Catch"),"Compression/Pulldowns"),IF($S136&gt;75,"Long Toss","Recovery/Easy Catch"))))))))))))</f>
        <v/>
      </c>
      <c r="U136" s="32" t="str">
        <f t="shared" si="68"/>
        <v/>
      </c>
      <c r="V136" s="32" t="str">
        <f t="shared" si="69"/>
        <v/>
      </c>
      <c r="W136" s="32" t="str">
        <f t="shared" si="70"/>
        <v/>
      </c>
      <c r="X136" s="32">
        <f t="shared" si="71"/>
        <v>0</v>
      </c>
      <c r="Y136" s="32" t="str">
        <f t="shared" si="72"/>
        <v/>
      </c>
      <c r="Z136" s="32" t="str">
        <f t="shared" si="73"/>
        <v/>
      </c>
      <c r="AA136" s="32" t="str">
        <f t="shared" si="74"/>
        <v/>
      </c>
      <c r="AB136" s="32" t="str">
        <f>IF($A136="","",IF($T136="No Throw",0,IF($K136&lt;&gt;"",$K136,IF($AA136&lt;&gt;"",ROUND($AA136*$D$12*IF($C136=0,1,$G$10),0),MIN(IF($T136="Recovery/Easy Catch",Reference!$B$103,IF($T136="Long Toss",Reference!$B$106,Reference!$B$102)),MAX(Reference!$B$101,ROUND(MAX(0,$Q136-$AE136)/$AF136,0)))))))</f>
        <v/>
      </c>
      <c r="AC136" s="32">
        <f t="shared" si="75"/>
        <v>0</v>
      </c>
      <c r="AD136" s="32" t="b">
        <f t="shared" si="76"/>
        <v>1</v>
      </c>
      <c r="AE136" s="32">
        <f>IF($X136=0,0,$X136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136+$Z136)/2,0),Reference!$A$17:$B$20,2,TRUE()))</f>
        <v>0</v>
      </c>
      <c r="AF136" s="32">
        <f>IF(OR($A136="",$U136="",$T136="No Throw"),0,$AM136*VLOOKUP(MAX(($V136+$W136)/2,0),Reference!$A$17:$B$20,2,TRUE()))</f>
        <v>0</v>
      </c>
      <c r="AG136" s="32">
        <f>IF($AC136=0,0,$AC136*INDEX(Reference!$B$61:$B$62,MATCH("Bullpen",Reference!$A$61:$A$62,0))*VLOOKUP(MAX($D$5-($D$9+$E$9)/2,0),Reference!$A$17:$B$20,2,TRUE()))</f>
        <v>0</v>
      </c>
      <c r="AH136" s="32" t="e">
        <f t="shared" si="77"/>
        <v>#N/A</v>
      </c>
      <c r="AI136" s="32" t="e">
        <f>IF($A136="",NA(),Reference!$A$25)</f>
        <v>#N/A</v>
      </c>
      <c r="AJ136" s="32" t="e">
        <f t="shared" si="78"/>
        <v>#N/A</v>
      </c>
      <c r="AK136" s="32">
        <f>IF(OR($A136="",N($C136)&lt;=7,$T136="No Throw",$J136="x"),0,INDEX(Reference!$B$108:$B$114,$N136+1))</f>
        <v>0</v>
      </c>
      <c r="AL136" s="32">
        <f t="shared" si="79"/>
        <v>1</v>
      </c>
      <c r="AM136" s="32">
        <f>IF($U136="",0,IF($AL136&gt;1,((IF(1&lt;=$AL136,($AL136-1+3)*(INDEX(Reference!$B$6:$B$11,MIN(5,MATCH(MAX(Reference!$A$6,MIN(Reference!$A$11,MIN($U136,90))),Reference!$A$6:$A$11,1)))+(MAX(Reference!$A$6,MIN(Reference!$A$11,MIN($U136,90)))-INDEX(Reference!$A$6:$A$11,MIN(5,MATCH(MAX(Reference!$A$6,MIN(Reference!$A$11,MIN($U136,90))),Reference!$A$6:$A$11,1))))*(INDEX(Reference!$B$6:$B$11,MIN(5,MATCH(MAX(Reference!$A$6,MIN(Reference!$A$11,MIN($U136,90))),Reference!$A$6:$A$11,1))+1)-INDEX(Reference!$B$6:$B$11,MIN(5,MATCH(MAX(Reference!$A$6,MIN(Reference!$A$11,MIN($U136,90))),Reference!$A$6:$A$11,1))))/(INDEX(Reference!$A$6:$A$11,MIN(5,MATCH(MAX(Reference!$A$6,MIN(Reference!$A$11,MIN($U136,90))),Reference!$A$6:$A$11,1))+1)-INDEX(Reference!$A$6:$A$11,MIN(5,MATCH(MAX(Reference!$A$6,MIN(Reference!$A$11,MIN($U136,90))),Reference!$A$6:$A$11,1))))),0)+IF(2&lt;=$AL136,($AL136-2+3)*(INDEX(Reference!$B$6:$B$11,MIN(5,MATCH(MAX(Reference!$A$6,MIN(Reference!$A$11,MIN($U136,120))),Reference!$A$6:$A$11,1)))+(MAX(Reference!$A$6,MIN(Reference!$A$11,MIN($U136,120)))-INDEX(Reference!$A$6:$A$11,MIN(5,MATCH(MAX(Reference!$A$6,MIN(Reference!$A$11,MIN($U136,120))),Reference!$A$6:$A$11,1))))*(INDEX(Reference!$B$6:$B$11,MIN(5,MATCH(MAX(Reference!$A$6,MIN(Reference!$A$11,MIN($U136,120))),Reference!$A$6:$A$11,1))+1)-INDEX(Reference!$B$6:$B$11,MIN(5,MATCH(MAX(Reference!$A$6,MIN(Reference!$A$11,MIN($U136,120))),Reference!$A$6:$A$11,1))))/(INDEX(Reference!$A$6:$A$11,MIN(5,MATCH(MAX(Reference!$A$6,MIN(Reference!$A$11,MIN($U136,120))),Reference!$A$6:$A$11,1))+1)-INDEX(Reference!$A$6:$A$11,MIN(5,MATCH(MAX(Reference!$A$6,MIN(Reference!$A$11,MIN($U136,120))),Reference!$A$6:$A$11,1))))),0)+IF(3&lt;=$AL136,($AL136-3+3)*(INDEX(Reference!$B$6:$B$11,MIN(5,MATCH(MAX(Reference!$A$6,MIN(Reference!$A$11,MIN($U136,150))),Reference!$A$6:$A$11,1)))+(MAX(Reference!$A$6,MIN(Reference!$A$11,MIN($U136,150)))-INDEX(Reference!$A$6:$A$11,MIN(5,MATCH(MAX(Reference!$A$6,MIN(Reference!$A$11,MIN($U136,150))),Reference!$A$6:$A$11,1))))*(INDEX(Reference!$B$6:$B$11,MIN(5,MATCH(MAX(Reference!$A$6,MIN(Reference!$A$11,MIN($U136,150))),Reference!$A$6:$A$11,1))+1)-INDEX(Reference!$B$6:$B$11,MIN(5,MATCH(MAX(Reference!$A$6,MIN(Reference!$A$11,MIN($U136,150))),Reference!$A$6:$A$11,1))))/(INDEX(Reference!$A$6:$A$11,MIN(5,MATCH(MAX(Reference!$A$6,MIN(Reference!$A$11,MIN($U136,150))),Reference!$A$6:$A$11,1))+1)-INDEX(Reference!$A$6:$A$11,MIN(5,MATCH(MAX(Reference!$A$6,MIN(Reference!$A$11,MIN($U136,150))),Reference!$A$6:$A$11,1))))),0)+IF(4&lt;=$AL136,($AL136-4+3)*(INDEX(Reference!$B$6:$B$11,MIN(5,MATCH(MAX(Reference!$A$6,MIN(Reference!$A$11,MIN($U136,180))),Reference!$A$6:$A$11,1)))+(MAX(Reference!$A$6,MIN(Reference!$A$11,MIN($U136,180)))-INDEX(Reference!$A$6:$A$11,MIN(5,MATCH(MAX(Reference!$A$6,MIN(Reference!$A$11,MIN($U136,180))),Reference!$A$6:$A$11,1))))*(INDEX(Reference!$B$6:$B$11,MIN(5,MATCH(MAX(Reference!$A$6,MIN(Reference!$A$11,MIN($U136,180))),Reference!$A$6:$A$11,1))+1)-INDEX(Reference!$B$6:$B$11,MIN(5,MATCH(MAX(Reference!$A$6,MIN(Reference!$A$11,MIN($U136,180))),Reference!$A$6:$A$11,1))))/(INDEX(Reference!$A$6:$A$11,MIN(5,MATCH(MAX(Reference!$A$6,MIN(Reference!$A$11,MIN($U136,180))),Reference!$A$6:$A$11,1))+1)-INDEX(Reference!$A$6:$A$11,MIN(5,MATCH(MAX(Reference!$A$6,MIN(Reference!$A$11,MIN($U136,180))),Reference!$A$6:$A$11,1))))),0)+IF(5&lt;=$AL136,($AL136-5+3)*(INDEX(Reference!$B$6:$B$11,MIN(5,MATCH(MAX(Reference!$A$6,MIN(Reference!$A$11,MIN($U136,210))),Reference!$A$6:$A$11,1)))+(MAX(Reference!$A$6,MIN(Reference!$A$11,MIN($U136,210)))-INDEX(Reference!$A$6:$A$11,MIN(5,MATCH(MAX(Reference!$A$6,MIN(Reference!$A$11,MIN($U136,210))),Reference!$A$6:$A$11,1))))*(INDEX(Reference!$B$6:$B$11,MIN(5,MATCH(MAX(Reference!$A$6,MIN(Reference!$A$11,MIN($U136,210))),Reference!$A$6:$A$11,1))+1)-INDEX(Reference!$B$6:$B$11,MIN(5,MATCH(MAX(Reference!$A$6,MIN(Reference!$A$11,MIN($U136,210))),Reference!$A$6:$A$11,1))))/(INDEX(Reference!$A$6:$A$11,MIN(5,MATCH(MAX(Reference!$A$6,MIN(Reference!$A$11,MIN($U136,210))),Reference!$A$6:$A$11,1))+1)-INDEX(Reference!$A$6:$A$11,MIN(5,MATCH(MAX(Reference!$A$6,MIN(Reference!$A$11,MIN($U136,210))),Reference!$A$6:$A$11,1))))),0)+IF(6&lt;=$AL136,($AL136-6+3)*(INDEX(Reference!$B$6:$B$11,MIN(5,MATCH(MAX(Reference!$A$6,MIN(Reference!$A$11,MIN($U136,240))),Reference!$A$6:$A$11,1)))+(MAX(Reference!$A$6,MIN(Reference!$A$11,MIN($U136,240)))-INDEX(Reference!$A$6:$A$11,MIN(5,MATCH(MAX(Reference!$A$6,MIN(Reference!$A$11,MIN($U136,240))),Reference!$A$6:$A$11,1))))*(INDEX(Reference!$B$6:$B$11,MIN(5,MATCH(MAX(Reference!$A$6,MIN(Reference!$A$11,MIN($U136,240))),Reference!$A$6:$A$11,1))+1)-INDEX(Reference!$B$6:$B$11,MIN(5,MATCH(MAX(Reference!$A$6,MIN(Reference!$A$11,MIN($U136,240))),Reference!$A$6:$A$11,1))))/(INDEX(Reference!$A$6:$A$11,MIN(5,MATCH(MAX(Reference!$A$6,MIN(Reference!$A$11,MIN($U136,240))),Reference!$A$6:$A$11,1))+1)-INDEX(Reference!$A$6:$A$11,MIN(5,MATCH(MAX(Reference!$A$6,MIN(Reference!$A$11,MIN($U136,240))),Reference!$A$6:$A$11,1))))),0)+IF(7&lt;=$AL136,($AL136-7+3)*(INDEX(Reference!$B$6:$B$11,MIN(5,MATCH(MAX(Reference!$A$6,MIN(Reference!$A$11,MIN($U136,270))),Reference!$A$6:$A$11,1)))+(MAX(Reference!$A$6,MIN(Reference!$A$11,MIN($U136,270)))-INDEX(Reference!$A$6:$A$11,MIN(5,MATCH(MAX(Reference!$A$6,MIN(Reference!$A$11,MIN($U136,270))),Reference!$A$6:$A$11,1))))*(INDEX(Reference!$B$6:$B$11,MIN(5,MATCH(MAX(Reference!$A$6,MIN(Reference!$A$11,MIN($U136,270))),Reference!$A$6:$A$11,1))+1)-INDEX(Reference!$B$6:$B$11,MIN(5,MATCH(MAX(Reference!$A$6,MIN(Reference!$A$11,MIN($U136,270))),Reference!$A$6:$A$11,1))))/(INDEX(Reference!$A$6:$A$11,MIN(5,MATCH(MAX(Reference!$A$6,MIN(Reference!$A$11,MIN($U136,270))),Reference!$A$6:$A$11,1))+1)-INDEX(Reference!$A$6:$A$11,MIN(5,MATCH(MAX(Reference!$A$6,MIN(Reference!$A$11,MIN($U136,270))),Reference!$A$6:$A$11,1))))),0)+IF(8&lt;=$AL136,($AL136-8+3)*(INDEX(Reference!$B$6:$B$11,MIN(5,MATCH(MAX(Reference!$A$6,MIN(Reference!$A$11,MIN($U136,300))),Reference!$A$6:$A$11,1)))+(MAX(Reference!$A$6,MIN(Reference!$A$11,MIN($U136,300)))-INDEX(Reference!$A$6:$A$11,MIN(5,MATCH(MAX(Reference!$A$6,MIN(Reference!$A$11,MIN($U136,300))),Reference!$A$6:$A$11,1))))*(INDEX(Reference!$B$6:$B$11,MIN(5,MATCH(MAX(Reference!$A$6,MIN(Reference!$A$11,MIN($U136,300))),Reference!$A$6:$A$11,1))+1)-INDEX(Reference!$B$6:$B$11,MIN(5,MATCH(MAX(Reference!$A$6,MIN(Reference!$A$11,MIN($U136,300))),Reference!$A$6:$A$11,1))))/(INDEX(Reference!$A$6:$A$11,MIN(5,MATCH(MAX(Reference!$A$6,MIN(Reference!$A$11,MIN($U136,300))),Reference!$A$6:$A$11,1))+1)-INDEX(Reference!$A$6:$A$11,MIN(5,MATCH(MAX(Reference!$A$6,MIN(Reference!$A$11,MIN($U136,300))),Reference!$A$6:$A$11,1))))),0))/($AL136*($AL136+5)/2)),$AN136))</f>
        <v>0</v>
      </c>
      <c r="AN136" s="32">
        <f>IF($U136="",0,(INDEX(Reference!$B$6:$B$11,MIN(5,MATCH(MAX(Reference!$A$6,MIN(Reference!$A$11,$U136)),Reference!$A$6:$A$11,1)))+(MAX(Reference!$A$6,MIN(Reference!$A$11,$U136))-INDEX(Reference!$A$6:$A$11,MIN(5,MATCH(MAX(Reference!$A$6,MIN(Reference!$A$11,$U136)),Reference!$A$6:$A$11,1))))*(INDEX(Reference!$B$6:$B$11,MIN(5,MATCH(MAX(Reference!$A$6,MIN(Reference!$A$11,$U136)),Reference!$A$6:$A$11,1))+1)-INDEX(Reference!$B$6:$B$11,MIN(5,MATCH(MAX(Reference!$A$6,MIN(Reference!$A$11,$U136)),Reference!$A$6:$A$11,1))))/(INDEX(Reference!$A$6:$A$11,MIN(5,MATCH(MAX(Reference!$A$6,MIN(Reference!$A$11,$U136)),Reference!$A$6:$A$11,1))+1)-INDEX(Reference!$A$6:$A$11,MIN(5,MATCH(MAX(Reference!$A$6,MIN(Reference!$A$11,$U136)),Reference!$A$6:$A$11,1))))))</f>
        <v>0</v>
      </c>
      <c r="AO136" s="37"/>
      <c r="AP136" s="37"/>
      <c r="AQ136" s="37"/>
    </row>
    <row r="137" spans="1:43" x14ac:dyDescent="0.3">
      <c r="A137" s="48" t="str">
        <f t="shared" si="55"/>
        <v/>
      </c>
      <c r="B137" s="32" t="str">
        <f t="shared" si="56"/>
        <v/>
      </c>
      <c r="C137" s="32" t="str">
        <f t="shared" si="57"/>
        <v/>
      </c>
      <c r="D137" s="32" t="str">
        <f t="shared" si="58"/>
        <v/>
      </c>
      <c r="E137" s="32" t="str">
        <f t="shared" si="59"/>
        <v/>
      </c>
      <c r="F137" s="32" t="str">
        <f t="shared" si="60"/>
        <v/>
      </c>
      <c r="G137" s="47" t="str">
        <f t="shared" si="61"/>
        <v/>
      </c>
      <c r="H137" s="30" t="str">
        <f t="shared" si="62"/>
        <v/>
      </c>
      <c r="I137" s="46" t="str">
        <f>IF($A137="","",IF(AND($L137&lt;27,$K$12=0),"Building",IFERROR(((SUM($H$131:$H137)+$K$12*IF($L137&lt;6,SUMIFS('Throw Log'!$Q$5:$Q$300,'Throw Log'!$B$5:$B$300,$D$4,'Throw Log'!$A$5:$A$300,"&gt;="&amp;($D$6+$L137-6),'Throw Log'!$A$5:$A$300,"&lt;="&amp;($D$6-1)),0))/7)/((SUM($H$110:$H137)+$K$12*IF($L137&lt;27,SUMIFS('Throw Log'!$Q$5:$Q$300,'Throw Log'!$B$5:$B$300,$D$4,'Throw Log'!$A$5:$A$300,"&gt;="&amp;($D$6+$L137-27),'Throw Log'!$A$5:$A$300,"&lt;="&amp;($D$6-1)),0))/28),"")))</f>
        <v/>
      </c>
      <c r="J137" s="37"/>
      <c r="K137" s="37"/>
      <c r="L137" s="32">
        <v>94</v>
      </c>
      <c r="M137" s="32">
        <f t="shared" si="63"/>
        <v>14</v>
      </c>
      <c r="N137" s="32">
        <f t="shared" si="64"/>
        <v>3</v>
      </c>
      <c r="O137" s="32">
        <f t="shared" si="65"/>
        <v>1</v>
      </c>
      <c r="P137" s="32" t="str">
        <f>IF(OR($A137="",N($C137)&lt;=7),"",$G$6*$G$9^($M137-1)*IF(AND(MOD($M137,Reference!$B$99)=0,$M137&lt;=$G$5-2),Reference!$B$100,1))</f>
        <v/>
      </c>
      <c r="Q137" s="32" t="str">
        <f>IF($P137="","",IF(SUM($AK$134:$AK$140)=0,0,$P137*INDEX(Reference!$B$108:$B$114,$N137+1)/SUM($AK$134:$AK$140)))</f>
        <v/>
      </c>
      <c r="R137" s="32">
        <f t="shared" si="66"/>
        <v>180</v>
      </c>
      <c r="S137" s="32">
        <f t="shared" si="67"/>
        <v>150</v>
      </c>
      <c r="T137" s="32" t="str">
        <f>IF($A137="","",IF($C137=0,"Bullpen",IF(OR($C137=7,$C137=1,$C137=5),"Recovery/Easy Catch",IF($C137=6,"Compression/Pulldowns",IF(OR($C137=4,$C137=2),"Long Toss",IF($C137=3,"No Throw",IF($N137=2,"No Throw",IF($N137=6,IF($O137&lt;Reference!$B$104,"No Throw","Recovery/Easy Catch"),IF(OR($N137=0,$N137=4),"Recovery/Easy Catch",IF($N137=1,IF($R137&gt;75,"Long Toss","Recovery/Easy Catch"),IF($N137=3,IF($O137&lt;0.5,IF($S137&gt;75,"Long Toss","Recovery/Easy Catch"),"Compression/Pulldowns"),IF($S137&gt;75,"Long Toss","Recovery/Easy Catch"))))))))))))</f>
        <v/>
      </c>
      <c r="U137" s="32" t="str">
        <f t="shared" si="68"/>
        <v/>
      </c>
      <c r="V137" s="32" t="str">
        <f t="shared" si="69"/>
        <v/>
      </c>
      <c r="W137" s="32" t="str">
        <f t="shared" si="70"/>
        <v/>
      </c>
      <c r="X137" s="32">
        <f t="shared" si="71"/>
        <v>0</v>
      </c>
      <c r="Y137" s="32" t="str">
        <f t="shared" si="72"/>
        <v/>
      </c>
      <c r="Z137" s="32" t="str">
        <f t="shared" si="73"/>
        <v/>
      </c>
      <c r="AA137" s="32" t="str">
        <f t="shared" si="74"/>
        <v/>
      </c>
      <c r="AB137" s="32" t="str">
        <f>IF($A137="","",IF($T137="No Throw",0,IF($K137&lt;&gt;"",$K137,IF($AA137&lt;&gt;"",ROUND($AA137*$D$12*IF($C137=0,1,$G$10),0),MIN(IF($T137="Recovery/Easy Catch",Reference!$B$103,IF($T137="Long Toss",Reference!$B$106,Reference!$B$102)),MAX(Reference!$B$101,ROUND(MAX(0,$Q137-$AE137)/$AF137,0)))))))</f>
        <v/>
      </c>
      <c r="AC137" s="32">
        <f t="shared" si="75"/>
        <v>0</v>
      </c>
      <c r="AD137" s="32" t="b">
        <f t="shared" si="76"/>
        <v>1</v>
      </c>
      <c r="AE137" s="32">
        <f>IF($X137=0,0,$X137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137+$Z137)/2,0),Reference!$A$17:$B$20,2,TRUE()))</f>
        <v>0</v>
      </c>
      <c r="AF137" s="32">
        <f>IF(OR($A137="",$U137="",$T137="No Throw"),0,$AM137*VLOOKUP(MAX(($V137+$W137)/2,0),Reference!$A$17:$B$20,2,TRUE()))</f>
        <v>0</v>
      </c>
      <c r="AG137" s="32">
        <f>IF($AC137=0,0,$AC137*INDEX(Reference!$B$61:$B$62,MATCH("Bullpen",Reference!$A$61:$A$62,0))*VLOOKUP(MAX($D$5-($D$9+$E$9)/2,0),Reference!$A$17:$B$20,2,TRUE()))</f>
        <v>0</v>
      </c>
      <c r="AH137" s="32" t="e">
        <f t="shared" si="77"/>
        <v>#N/A</v>
      </c>
      <c r="AI137" s="32" t="e">
        <f>IF($A137="",NA(),Reference!$A$25)</f>
        <v>#N/A</v>
      </c>
      <c r="AJ137" s="32" t="e">
        <f t="shared" si="78"/>
        <v>#N/A</v>
      </c>
      <c r="AK137" s="32">
        <f>IF(OR($A137="",N($C137)&lt;=7,$T137="No Throw",$J137="x"),0,INDEX(Reference!$B$108:$B$114,$N137+1))</f>
        <v>0</v>
      </c>
      <c r="AL137" s="32">
        <f t="shared" si="79"/>
        <v>1</v>
      </c>
      <c r="AM137" s="32">
        <f>IF($U137="",0,IF($AL137&gt;1,((IF(1&lt;=$AL137,($AL137-1+3)*(INDEX(Reference!$B$6:$B$11,MIN(5,MATCH(MAX(Reference!$A$6,MIN(Reference!$A$11,MIN($U137,90))),Reference!$A$6:$A$11,1)))+(MAX(Reference!$A$6,MIN(Reference!$A$11,MIN($U137,90)))-INDEX(Reference!$A$6:$A$11,MIN(5,MATCH(MAX(Reference!$A$6,MIN(Reference!$A$11,MIN($U137,90))),Reference!$A$6:$A$11,1))))*(INDEX(Reference!$B$6:$B$11,MIN(5,MATCH(MAX(Reference!$A$6,MIN(Reference!$A$11,MIN($U137,90))),Reference!$A$6:$A$11,1))+1)-INDEX(Reference!$B$6:$B$11,MIN(5,MATCH(MAX(Reference!$A$6,MIN(Reference!$A$11,MIN($U137,90))),Reference!$A$6:$A$11,1))))/(INDEX(Reference!$A$6:$A$11,MIN(5,MATCH(MAX(Reference!$A$6,MIN(Reference!$A$11,MIN($U137,90))),Reference!$A$6:$A$11,1))+1)-INDEX(Reference!$A$6:$A$11,MIN(5,MATCH(MAX(Reference!$A$6,MIN(Reference!$A$11,MIN($U137,90))),Reference!$A$6:$A$11,1))))),0)+IF(2&lt;=$AL137,($AL137-2+3)*(INDEX(Reference!$B$6:$B$11,MIN(5,MATCH(MAX(Reference!$A$6,MIN(Reference!$A$11,MIN($U137,120))),Reference!$A$6:$A$11,1)))+(MAX(Reference!$A$6,MIN(Reference!$A$11,MIN($U137,120)))-INDEX(Reference!$A$6:$A$11,MIN(5,MATCH(MAX(Reference!$A$6,MIN(Reference!$A$11,MIN($U137,120))),Reference!$A$6:$A$11,1))))*(INDEX(Reference!$B$6:$B$11,MIN(5,MATCH(MAX(Reference!$A$6,MIN(Reference!$A$11,MIN($U137,120))),Reference!$A$6:$A$11,1))+1)-INDEX(Reference!$B$6:$B$11,MIN(5,MATCH(MAX(Reference!$A$6,MIN(Reference!$A$11,MIN($U137,120))),Reference!$A$6:$A$11,1))))/(INDEX(Reference!$A$6:$A$11,MIN(5,MATCH(MAX(Reference!$A$6,MIN(Reference!$A$11,MIN($U137,120))),Reference!$A$6:$A$11,1))+1)-INDEX(Reference!$A$6:$A$11,MIN(5,MATCH(MAX(Reference!$A$6,MIN(Reference!$A$11,MIN($U137,120))),Reference!$A$6:$A$11,1))))),0)+IF(3&lt;=$AL137,($AL137-3+3)*(INDEX(Reference!$B$6:$B$11,MIN(5,MATCH(MAX(Reference!$A$6,MIN(Reference!$A$11,MIN($U137,150))),Reference!$A$6:$A$11,1)))+(MAX(Reference!$A$6,MIN(Reference!$A$11,MIN($U137,150)))-INDEX(Reference!$A$6:$A$11,MIN(5,MATCH(MAX(Reference!$A$6,MIN(Reference!$A$11,MIN($U137,150))),Reference!$A$6:$A$11,1))))*(INDEX(Reference!$B$6:$B$11,MIN(5,MATCH(MAX(Reference!$A$6,MIN(Reference!$A$11,MIN($U137,150))),Reference!$A$6:$A$11,1))+1)-INDEX(Reference!$B$6:$B$11,MIN(5,MATCH(MAX(Reference!$A$6,MIN(Reference!$A$11,MIN($U137,150))),Reference!$A$6:$A$11,1))))/(INDEX(Reference!$A$6:$A$11,MIN(5,MATCH(MAX(Reference!$A$6,MIN(Reference!$A$11,MIN($U137,150))),Reference!$A$6:$A$11,1))+1)-INDEX(Reference!$A$6:$A$11,MIN(5,MATCH(MAX(Reference!$A$6,MIN(Reference!$A$11,MIN($U137,150))),Reference!$A$6:$A$11,1))))),0)+IF(4&lt;=$AL137,($AL137-4+3)*(INDEX(Reference!$B$6:$B$11,MIN(5,MATCH(MAX(Reference!$A$6,MIN(Reference!$A$11,MIN($U137,180))),Reference!$A$6:$A$11,1)))+(MAX(Reference!$A$6,MIN(Reference!$A$11,MIN($U137,180)))-INDEX(Reference!$A$6:$A$11,MIN(5,MATCH(MAX(Reference!$A$6,MIN(Reference!$A$11,MIN($U137,180))),Reference!$A$6:$A$11,1))))*(INDEX(Reference!$B$6:$B$11,MIN(5,MATCH(MAX(Reference!$A$6,MIN(Reference!$A$11,MIN($U137,180))),Reference!$A$6:$A$11,1))+1)-INDEX(Reference!$B$6:$B$11,MIN(5,MATCH(MAX(Reference!$A$6,MIN(Reference!$A$11,MIN($U137,180))),Reference!$A$6:$A$11,1))))/(INDEX(Reference!$A$6:$A$11,MIN(5,MATCH(MAX(Reference!$A$6,MIN(Reference!$A$11,MIN($U137,180))),Reference!$A$6:$A$11,1))+1)-INDEX(Reference!$A$6:$A$11,MIN(5,MATCH(MAX(Reference!$A$6,MIN(Reference!$A$11,MIN($U137,180))),Reference!$A$6:$A$11,1))))),0)+IF(5&lt;=$AL137,($AL137-5+3)*(INDEX(Reference!$B$6:$B$11,MIN(5,MATCH(MAX(Reference!$A$6,MIN(Reference!$A$11,MIN($U137,210))),Reference!$A$6:$A$11,1)))+(MAX(Reference!$A$6,MIN(Reference!$A$11,MIN($U137,210)))-INDEX(Reference!$A$6:$A$11,MIN(5,MATCH(MAX(Reference!$A$6,MIN(Reference!$A$11,MIN($U137,210))),Reference!$A$6:$A$11,1))))*(INDEX(Reference!$B$6:$B$11,MIN(5,MATCH(MAX(Reference!$A$6,MIN(Reference!$A$11,MIN($U137,210))),Reference!$A$6:$A$11,1))+1)-INDEX(Reference!$B$6:$B$11,MIN(5,MATCH(MAX(Reference!$A$6,MIN(Reference!$A$11,MIN($U137,210))),Reference!$A$6:$A$11,1))))/(INDEX(Reference!$A$6:$A$11,MIN(5,MATCH(MAX(Reference!$A$6,MIN(Reference!$A$11,MIN($U137,210))),Reference!$A$6:$A$11,1))+1)-INDEX(Reference!$A$6:$A$11,MIN(5,MATCH(MAX(Reference!$A$6,MIN(Reference!$A$11,MIN($U137,210))),Reference!$A$6:$A$11,1))))),0)+IF(6&lt;=$AL137,($AL137-6+3)*(INDEX(Reference!$B$6:$B$11,MIN(5,MATCH(MAX(Reference!$A$6,MIN(Reference!$A$11,MIN($U137,240))),Reference!$A$6:$A$11,1)))+(MAX(Reference!$A$6,MIN(Reference!$A$11,MIN($U137,240)))-INDEX(Reference!$A$6:$A$11,MIN(5,MATCH(MAX(Reference!$A$6,MIN(Reference!$A$11,MIN($U137,240))),Reference!$A$6:$A$11,1))))*(INDEX(Reference!$B$6:$B$11,MIN(5,MATCH(MAX(Reference!$A$6,MIN(Reference!$A$11,MIN($U137,240))),Reference!$A$6:$A$11,1))+1)-INDEX(Reference!$B$6:$B$11,MIN(5,MATCH(MAX(Reference!$A$6,MIN(Reference!$A$11,MIN($U137,240))),Reference!$A$6:$A$11,1))))/(INDEX(Reference!$A$6:$A$11,MIN(5,MATCH(MAX(Reference!$A$6,MIN(Reference!$A$11,MIN($U137,240))),Reference!$A$6:$A$11,1))+1)-INDEX(Reference!$A$6:$A$11,MIN(5,MATCH(MAX(Reference!$A$6,MIN(Reference!$A$11,MIN($U137,240))),Reference!$A$6:$A$11,1))))),0)+IF(7&lt;=$AL137,($AL137-7+3)*(INDEX(Reference!$B$6:$B$11,MIN(5,MATCH(MAX(Reference!$A$6,MIN(Reference!$A$11,MIN($U137,270))),Reference!$A$6:$A$11,1)))+(MAX(Reference!$A$6,MIN(Reference!$A$11,MIN($U137,270)))-INDEX(Reference!$A$6:$A$11,MIN(5,MATCH(MAX(Reference!$A$6,MIN(Reference!$A$11,MIN($U137,270))),Reference!$A$6:$A$11,1))))*(INDEX(Reference!$B$6:$B$11,MIN(5,MATCH(MAX(Reference!$A$6,MIN(Reference!$A$11,MIN($U137,270))),Reference!$A$6:$A$11,1))+1)-INDEX(Reference!$B$6:$B$11,MIN(5,MATCH(MAX(Reference!$A$6,MIN(Reference!$A$11,MIN($U137,270))),Reference!$A$6:$A$11,1))))/(INDEX(Reference!$A$6:$A$11,MIN(5,MATCH(MAX(Reference!$A$6,MIN(Reference!$A$11,MIN($U137,270))),Reference!$A$6:$A$11,1))+1)-INDEX(Reference!$A$6:$A$11,MIN(5,MATCH(MAX(Reference!$A$6,MIN(Reference!$A$11,MIN($U137,270))),Reference!$A$6:$A$11,1))))),0)+IF(8&lt;=$AL137,($AL137-8+3)*(INDEX(Reference!$B$6:$B$11,MIN(5,MATCH(MAX(Reference!$A$6,MIN(Reference!$A$11,MIN($U137,300))),Reference!$A$6:$A$11,1)))+(MAX(Reference!$A$6,MIN(Reference!$A$11,MIN($U137,300)))-INDEX(Reference!$A$6:$A$11,MIN(5,MATCH(MAX(Reference!$A$6,MIN(Reference!$A$11,MIN($U137,300))),Reference!$A$6:$A$11,1))))*(INDEX(Reference!$B$6:$B$11,MIN(5,MATCH(MAX(Reference!$A$6,MIN(Reference!$A$11,MIN($U137,300))),Reference!$A$6:$A$11,1))+1)-INDEX(Reference!$B$6:$B$11,MIN(5,MATCH(MAX(Reference!$A$6,MIN(Reference!$A$11,MIN($U137,300))),Reference!$A$6:$A$11,1))))/(INDEX(Reference!$A$6:$A$11,MIN(5,MATCH(MAX(Reference!$A$6,MIN(Reference!$A$11,MIN($U137,300))),Reference!$A$6:$A$11,1))+1)-INDEX(Reference!$A$6:$A$11,MIN(5,MATCH(MAX(Reference!$A$6,MIN(Reference!$A$11,MIN($U137,300))),Reference!$A$6:$A$11,1))))),0))/($AL137*($AL137+5)/2)),$AN137))</f>
        <v>0</v>
      </c>
      <c r="AN137" s="32">
        <f>IF($U137="",0,(INDEX(Reference!$B$6:$B$11,MIN(5,MATCH(MAX(Reference!$A$6,MIN(Reference!$A$11,$U137)),Reference!$A$6:$A$11,1)))+(MAX(Reference!$A$6,MIN(Reference!$A$11,$U137))-INDEX(Reference!$A$6:$A$11,MIN(5,MATCH(MAX(Reference!$A$6,MIN(Reference!$A$11,$U137)),Reference!$A$6:$A$11,1))))*(INDEX(Reference!$B$6:$B$11,MIN(5,MATCH(MAX(Reference!$A$6,MIN(Reference!$A$11,$U137)),Reference!$A$6:$A$11,1))+1)-INDEX(Reference!$B$6:$B$11,MIN(5,MATCH(MAX(Reference!$A$6,MIN(Reference!$A$11,$U137)),Reference!$A$6:$A$11,1))))/(INDEX(Reference!$A$6:$A$11,MIN(5,MATCH(MAX(Reference!$A$6,MIN(Reference!$A$11,$U137)),Reference!$A$6:$A$11,1))+1)-INDEX(Reference!$A$6:$A$11,MIN(5,MATCH(MAX(Reference!$A$6,MIN(Reference!$A$11,$U137)),Reference!$A$6:$A$11,1))))))</f>
        <v>0</v>
      </c>
      <c r="AO137" s="37"/>
      <c r="AP137" s="37"/>
      <c r="AQ137" s="37"/>
    </row>
    <row r="138" spans="1:43" x14ac:dyDescent="0.3">
      <c r="A138" s="48" t="str">
        <f t="shared" si="55"/>
        <v/>
      </c>
      <c r="B138" s="32" t="str">
        <f t="shared" si="56"/>
        <v/>
      </c>
      <c r="C138" s="32" t="str">
        <f t="shared" si="57"/>
        <v/>
      </c>
      <c r="D138" s="32" t="str">
        <f t="shared" si="58"/>
        <v/>
      </c>
      <c r="E138" s="32" t="str">
        <f t="shared" si="59"/>
        <v/>
      </c>
      <c r="F138" s="32" t="str">
        <f t="shared" si="60"/>
        <v/>
      </c>
      <c r="G138" s="47" t="str">
        <f t="shared" si="61"/>
        <v/>
      </c>
      <c r="H138" s="30" t="str">
        <f t="shared" si="62"/>
        <v/>
      </c>
      <c r="I138" s="46" t="str">
        <f>IF($A138="","",IF(AND($L138&lt;27,$K$12=0),"Building",IFERROR(((SUM($H$132:$H138)+$K$12*IF($L138&lt;6,SUMIFS('Throw Log'!$Q$5:$Q$300,'Throw Log'!$B$5:$B$300,$D$4,'Throw Log'!$A$5:$A$300,"&gt;="&amp;($D$6+$L138-6),'Throw Log'!$A$5:$A$300,"&lt;="&amp;($D$6-1)),0))/7)/((SUM($H$111:$H138)+$K$12*IF($L138&lt;27,SUMIFS('Throw Log'!$Q$5:$Q$300,'Throw Log'!$B$5:$B$300,$D$4,'Throw Log'!$A$5:$A$300,"&gt;="&amp;($D$6+$L138-27),'Throw Log'!$A$5:$A$300,"&lt;="&amp;($D$6-1)),0))/28),"")))</f>
        <v/>
      </c>
      <c r="J138" s="37"/>
      <c r="K138" s="37"/>
      <c r="L138" s="32">
        <v>95</v>
      </c>
      <c r="M138" s="32">
        <f t="shared" si="63"/>
        <v>14</v>
      </c>
      <c r="N138" s="32">
        <f t="shared" si="64"/>
        <v>4</v>
      </c>
      <c r="O138" s="32">
        <f t="shared" si="65"/>
        <v>1</v>
      </c>
      <c r="P138" s="32" t="str">
        <f>IF(OR($A138="",N($C138)&lt;=7),"",$G$6*$G$9^($M138-1)*IF(AND(MOD($M138,Reference!$B$99)=0,$M138&lt;=$G$5-2),Reference!$B$100,1))</f>
        <v/>
      </c>
      <c r="Q138" s="32" t="str">
        <f>IF($P138="","",IF(SUM($AK$134:$AK$140)=0,0,$P138*INDEX(Reference!$B$108:$B$114,$N138+1)/SUM($AK$134:$AK$140)))</f>
        <v/>
      </c>
      <c r="R138" s="32">
        <f t="shared" si="66"/>
        <v>180</v>
      </c>
      <c r="S138" s="32">
        <f t="shared" si="67"/>
        <v>150</v>
      </c>
      <c r="T138" s="32" t="str">
        <f>IF($A138="","",IF($C138=0,"Bullpen",IF(OR($C138=7,$C138=1,$C138=5),"Recovery/Easy Catch",IF($C138=6,"Compression/Pulldowns",IF(OR($C138=4,$C138=2),"Long Toss",IF($C138=3,"No Throw",IF($N138=2,"No Throw",IF($N138=6,IF($O138&lt;Reference!$B$104,"No Throw","Recovery/Easy Catch"),IF(OR($N138=0,$N138=4),"Recovery/Easy Catch",IF($N138=1,IF($R138&gt;75,"Long Toss","Recovery/Easy Catch"),IF($N138=3,IF($O138&lt;0.5,IF($S138&gt;75,"Long Toss","Recovery/Easy Catch"),"Compression/Pulldowns"),IF($S138&gt;75,"Long Toss","Recovery/Easy Catch"))))))))))))</f>
        <v/>
      </c>
      <c r="U138" s="32" t="str">
        <f t="shared" si="68"/>
        <v/>
      </c>
      <c r="V138" s="32" t="str">
        <f t="shared" si="69"/>
        <v/>
      </c>
      <c r="W138" s="32" t="str">
        <f t="shared" si="70"/>
        <v/>
      </c>
      <c r="X138" s="32">
        <f t="shared" si="71"/>
        <v>0</v>
      </c>
      <c r="Y138" s="32" t="str">
        <f t="shared" si="72"/>
        <v/>
      </c>
      <c r="Z138" s="32" t="str">
        <f t="shared" si="73"/>
        <v/>
      </c>
      <c r="AA138" s="32" t="str">
        <f t="shared" si="74"/>
        <v/>
      </c>
      <c r="AB138" s="32" t="str">
        <f>IF($A138="","",IF($T138="No Throw",0,IF($K138&lt;&gt;"",$K138,IF($AA138&lt;&gt;"",ROUND($AA138*$D$12*IF($C138=0,1,$G$10),0),MIN(IF($T138="Recovery/Easy Catch",Reference!$B$103,IF($T138="Long Toss",Reference!$B$106,Reference!$B$102)),MAX(Reference!$B$101,ROUND(MAX(0,$Q138-$AE138)/$AF138,0)))))))</f>
        <v/>
      </c>
      <c r="AC138" s="32">
        <f t="shared" si="75"/>
        <v>0</v>
      </c>
      <c r="AD138" s="32" t="b">
        <f t="shared" si="76"/>
        <v>1</v>
      </c>
      <c r="AE138" s="32">
        <f>IF($X138=0,0,$X138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138+$Z138)/2,0),Reference!$A$17:$B$20,2,TRUE()))</f>
        <v>0</v>
      </c>
      <c r="AF138" s="32">
        <f>IF(OR($A138="",$U138="",$T138="No Throw"),0,$AM138*VLOOKUP(MAX(($V138+$W138)/2,0),Reference!$A$17:$B$20,2,TRUE()))</f>
        <v>0</v>
      </c>
      <c r="AG138" s="32">
        <f>IF($AC138=0,0,$AC138*INDEX(Reference!$B$61:$B$62,MATCH("Bullpen",Reference!$A$61:$A$62,0))*VLOOKUP(MAX($D$5-($D$9+$E$9)/2,0),Reference!$A$17:$B$20,2,TRUE()))</f>
        <v>0</v>
      </c>
      <c r="AH138" s="32" t="e">
        <f t="shared" si="77"/>
        <v>#N/A</v>
      </c>
      <c r="AI138" s="32" t="e">
        <f>IF($A138="",NA(),Reference!$A$25)</f>
        <v>#N/A</v>
      </c>
      <c r="AJ138" s="32" t="e">
        <f t="shared" si="78"/>
        <v>#N/A</v>
      </c>
      <c r="AK138" s="32">
        <f>IF(OR($A138="",N($C138)&lt;=7,$T138="No Throw",$J138="x"),0,INDEX(Reference!$B$108:$B$114,$N138+1))</f>
        <v>0</v>
      </c>
      <c r="AL138" s="32">
        <f t="shared" si="79"/>
        <v>1</v>
      </c>
      <c r="AM138" s="32">
        <f>IF($U138="",0,IF($AL138&gt;1,((IF(1&lt;=$AL138,($AL138-1+3)*(INDEX(Reference!$B$6:$B$11,MIN(5,MATCH(MAX(Reference!$A$6,MIN(Reference!$A$11,MIN($U138,90))),Reference!$A$6:$A$11,1)))+(MAX(Reference!$A$6,MIN(Reference!$A$11,MIN($U138,90)))-INDEX(Reference!$A$6:$A$11,MIN(5,MATCH(MAX(Reference!$A$6,MIN(Reference!$A$11,MIN($U138,90))),Reference!$A$6:$A$11,1))))*(INDEX(Reference!$B$6:$B$11,MIN(5,MATCH(MAX(Reference!$A$6,MIN(Reference!$A$11,MIN($U138,90))),Reference!$A$6:$A$11,1))+1)-INDEX(Reference!$B$6:$B$11,MIN(5,MATCH(MAX(Reference!$A$6,MIN(Reference!$A$11,MIN($U138,90))),Reference!$A$6:$A$11,1))))/(INDEX(Reference!$A$6:$A$11,MIN(5,MATCH(MAX(Reference!$A$6,MIN(Reference!$A$11,MIN($U138,90))),Reference!$A$6:$A$11,1))+1)-INDEX(Reference!$A$6:$A$11,MIN(5,MATCH(MAX(Reference!$A$6,MIN(Reference!$A$11,MIN($U138,90))),Reference!$A$6:$A$11,1))))),0)+IF(2&lt;=$AL138,($AL138-2+3)*(INDEX(Reference!$B$6:$B$11,MIN(5,MATCH(MAX(Reference!$A$6,MIN(Reference!$A$11,MIN($U138,120))),Reference!$A$6:$A$11,1)))+(MAX(Reference!$A$6,MIN(Reference!$A$11,MIN($U138,120)))-INDEX(Reference!$A$6:$A$11,MIN(5,MATCH(MAX(Reference!$A$6,MIN(Reference!$A$11,MIN($U138,120))),Reference!$A$6:$A$11,1))))*(INDEX(Reference!$B$6:$B$11,MIN(5,MATCH(MAX(Reference!$A$6,MIN(Reference!$A$11,MIN($U138,120))),Reference!$A$6:$A$11,1))+1)-INDEX(Reference!$B$6:$B$11,MIN(5,MATCH(MAX(Reference!$A$6,MIN(Reference!$A$11,MIN($U138,120))),Reference!$A$6:$A$11,1))))/(INDEX(Reference!$A$6:$A$11,MIN(5,MATCH(MAX(Reference!$A$6,MIN(Reference!$A$11,MIN($U138,120))),Reference!$A$6:$A$11,1))+1)-INDEX(Reference!$A$6:$A$11,MIN(5,MATCH(MAX(Reference!$A$6,MIN(Reference!$A$11,MIN($U138,120))),Reference!$A$6:$A$11,1))))),0)+IF(3&lt;=$AL138,($AL138-3+3)*(INDEX(Reference!$B$6:$B$11,MIN(5,MATCH(MAX(Reference!$A$6,MIN(Reference!$A$11,MIN($U138,150))),Reference!$A$6:$A$11,1)))+(MAX(Reference!$A$6,MIN(Reference!$A$11,MIN($U138,150)))-INDEX(Reference!$A$6:$A$11,MIN(5,MATCH(MAX(Reference!$A$6,MIN(Reference!$A$11,MIN($U138,150))),Reference!$A$6:$A$11,1))))*(INDEX(Reference!$B$6:$B$11,MIN(5,MATCH(MAX(Reference!$A$6,MIN(Reference!$A$11,MIN($U138,150))),Reference!$A$6:$A$11,1))+1)-INDEX(Reference!$B$6:$B$11,MIN(5,MATCH(MAX(Reference!$A$6,MIN(Reference!$A$11,MIN($U138,150))),Reference!$A$6:$A$11,1))))/(INDEX(Reference!$A$6:$A$11,MIN(5,MATCH(MAX(Reference!$A$6,MIN(Reference!$A$11,MIN($U138,150))),Reference!$A$6:$A$11,1))+1)-INDEX(Reference!$A$6:$A$11,MIN(5,MATCH(MAX(Reference!$A$6,MIN(Reference!$A$11,MIN($U138,150))),Reference!$A$6:$A$11,1))))),0)+IF(4&lt;=$AL138,($AL138-4+3)*(INDEX(Reference!$B$6:$B$11,MIN(5,MATCH(MAX(Reference!$A$6,MIN(Reference!$A$11,MIN($U138,180))),Reference!$A$6:$A$11,1)))+(MAX(Reference!$A$6,MIN(Reference!$A$11,MIN($U138,180)))-INDEX(Reference!$A$6:$A$11,MIN(5,MATCH(MAX(Reference!$A$6,MIN(Reference!$A$11,MIN($U138,180))),Reference!$A$6:$A$11,1))))*(INDEX(Reference!$B$6:$B$11,MIN(5,MATCH(MAX(Reference!$A$6,MIN(Reference!$A$11,MIN($U138,180))),Reference!$A$6:$A$11,1))+1)-INDEX(Reference!$B$6:$B$11,MIN(5,MATCH(MAX(Reference!$A$6,MIN(Reference!$A$11,MIN($U138,180))),Reference!$A$6:$A$11,1))))/(INDEX(Reference!$A$6:$A$11,MIN(5,MATCH(MAX(Reference!$A$6,MIN(Reference!$A$11,MIN($U138,180))),Reference!$A$6:$A$11,1))+1)-INDEX(Reference!$A$6:$A$11,MIN(5,MATCH(MAX(Reference!$A$6,MIN(Reference!$A$11,MIN($U138,180))),Reference!$A$6:$A$11,1))))),0)+IF(5&lt;=$AL138,($AL138-5+3)*(INDEX(Reference!$B$6:$B$11,MIN(5,MATCH(MAX(Reference!$A$6,MIN(Reference!$A$11,MIN($U138,210))),Reference!$A$6:$A$11,1)))+(MAX(Reference!$A$6,MIN(Reference!$A$11,MIN($U138,210)))-INDEX(Reference!$A$6:$A$11,MIN(5,MATCH(MAX(Reference!$A$6,MIN(Reference!$A$11,MIN($U138,210))),Reference!$A$6:$A$11,1))))*(INDEX(Reference!$B$6:$B$11,MIN(5,MATCH(MAX(Reference!$A$6,MIN(Reference!$A$11,MIN($U138,210))),Reference!$A$6:$A$11,1))+1)-INDEX(Reference!$B$6:$B$11,MIN(5,MATCH(MAX(Reference!$A$6,MIN(Reference!$A$11,MIN($U138,210))),Reference!$A$6:$A$11,1))))/(INDEX(Reference!$A$6:$A$11,MIN(5,MATCH(MAX(Reference!$A$6,MIN(Reference!$A$11,MIN($U138,210))),Reference!$A$6:$A$11,1))+1)-INDEX(Reference!$A$6:$A$11,MIN(5,MATCH(MAX(Reference!$A$6,MIN(Reference!$A$11,MIN($U138,210))),Reference!$A$6:$A$11,1))))),0)+IF(6&lt;=$AL138,($AL138-6+3)*(INDEX(Reference!$B$6:$B$11,MIN(5,MATCH(MAX(Reference!$A$6,MIN(Reference!$A$11,MIN($U138,240))),Reference!$A$6:$A$11,1)))+(MAX(Reference!$A$6,MIN(Reference!$A$11,MIN($U138,240)))-INDEX(Reference!$A$6:$A$11,MIN(5,MATCH(MAX(Reference!$A$6,MIN(Reference!$A$11,MIN($U138,240))),Reference!$A$6:$A$11,1))))*(INDEX(Reference!$B$6:$B$11,MIN(5,MATCH(MAX(Reference!$A$6,MIN(Reference!$A$11,MIN($U138,240))),Reference!$A$6:$A$11,1))+1)-INDEX(Reference!$B$6:$B$11,MIN(5,MATCH(MAX(Reference!$A$6,MIN(Reference!$A$11,MIN($U138,240))),Reference!$A$6:$A$11,1))))/(INDEX(Reference!$A$6:$A$11,MIN(5,MATCH(MAX(Reference!$A$6,MIN(Reference!$A$11,MIN($U138,240))),Reference!$A$6:$A$11,1))+1)-INDEX(Reference!$A$6:$A$11,MIN(5,MATCH(MAX(Reference!$A$6,MIN(Reference!$A$11,MIN($U138,240))),Reference!$A$6:$A$11,1))))),0)+IF(7&lt;=$AL138,($AL138-7+3)*(INDEX(Reference!$B$6:$B$11,MIN(5,MATCH(MAX(Reference!$A$6,MIN(Reference!$A$11,MIN($U138,270))),Reference!$A$6:$A$11,1)))+(MAX(Reference!$A$6,MIN(Reference!$A$11,MIN($U138,270)))-INDEX(Reference!$A$6:$A$11,MIN(5,MATCH(MAX(Reference!$A$6,MIN(Reference!$A$11,MIN($U138,270))),Reference!$A$6:$A$11,1))))*(INDEX(Reference!$B$6:$B$11,MIN(5,MATCH(MAX(Reference!$A$6,MIN(Reference!$A$11,MIN($U138,270))),Reference!$A$6:$A$11,1))+1)-INDEX(Reference!$B$6:$B$11,MIN(5,MATCH(MAX(Reference!$A$6,MIN(Reference!$A$11,MIN($U138,270))),Reference!$A$6:$A$11,1))))/(INDEX(Reference!$A$6:$A$11,MIN(5,MATCH(MAX(Reference!$A$6,MIN(Reference!$A$11,MIN($U138,270))),Reference!$A$6:$A$11,1))+1)-INDEX(Reference!$A$6:$A$11,MIN(5,MATCH(MAX(Reference!$A$6,MIN(Reference!$A$11,MIN($U138,270))),Reference!$A$6:$A$11,1))))),0)+IF(8&lt;=$AL138,($AL138-8+3)*(INDEX(Reference!$B$6:$B$11,MIN(5,MATCH(MAX(Reference!$A$6,MIN(Reference!$A$11,MIN($U138,300))),Reference!$A$6:$A$11,1)))+(MAX(Reference!$A$6,MIN(Reference!$A$11,MIN($U138,300)))-INDEX(Reference!$A$6:$A$11,MIN(5,MATCH(MAX(Reference!$A$6,MIN(Reference!$A$11,MIN($U138,300))),Reference!$A$6:$A$11,1))))*(INDEX(Reference!$B$6:$B$11,MIN(5,MATCH(MAX(Reference!$A$6,MIN(Reference!$A$11,MIN($U138,300))),Reference!$A$6:$A$11,1))+1)-INDEX(Reference!$B$6:$B$11,MIN(5,MATCH(MAX(Reference!$A$6,MIN(Reference!$A$11,MIN($U138,300))),Reference!$A$6:$A$11,1))))/(INDEX(Reference!$A$6:$A$11,MIN(5,MATCH(MAX(Reference!$A$6,MIN(Reference!$A$11,MIN($U138,300))),Reference!$A$6:$A$11,1))+1)-INDEX(Reference!$A$6:$A$11,MIN(5,MATCH(MAX(Reference!$A$6,MIN(Reference!$A$11,MIN($U138,300))),Reference!$A$6:$A$11,1))))),0))/($AL138*($AL138+5)/2)),$AN138))</f>
        <v>0</v>
      </c>
      <c r="AN138" s="32">
        <f>IF($U138="",0,(INDEX(Reference!$B$6:$B$11,MIN(5,MATCH(MAX(Reference!$A$6,MIN(Reference!$A$11,$U138)),Reference!$A$6:$A$11,1)))+(MAX(Reference!$A$6,MIN(Reference!$A$11,$U138))-INDEX(Reference!$A$6:$A$11,MIN(5,MATCH(MAX(Reference!$A$6,MIN(Reference!$A$11,$U138)),Reference!$A$6:$A$11,1))))*(INDEX(Reference!$B$6:$B$11,MIN(5,MATCH(MAX(Reference!$A$6,MIN(Reference!$A$11,$U138)),Reference!$A$6:$A$11,1))+1)-INDEX(Reference!$B$6:$B$11,MIN(5,MATCH(MAX(Reference!$A$6,MIN(Reference!$A$11,$U138)),Reference!$A$6:$A$11,1))))/(INDEX(Reference!$A$6:$A$11,MIN(5,MATCH(MAX(Reference!$A$6,MIN(Reference!$A$11,$U138)),Reference!$A$6:$A$11,1))+1)-INDEX(Reference!$A$6:$A$11,MIN(5,MATCH(MAX(Reference!$A$6,MIN(Reference!$A$11,$U138)),Reference!$A$6:$A$11,1))))))</f>
        <v>0</v>
      </c>
      <c r="AO138" s="37"/>
      <c r="AP138" s="37"/>
      <c r="AQ138" s="37"/>
    </row>
    <row r="139" spans="1:43" x14ac:dyDescent="0.3">
      <c r="A139" s="48" t="str">
        <f t="shared" ref="A139:A170" si="80">IFERROR(IF($L139&gt;$G$4,"",$D$6+$L139),"")</f>
        <v/>
      </c>
      <c r="B139" s="32" t="str">
        <f t="shared" ref="B139:B170" si="81">IF($A139="","",TEXT($A139,"ddd"))</f>
        <v/>
      </c>
      <c r="C139" s="32" t="str">
        <f t="shared" ref="C139:C170" si="82">IF($A139="","",$G$4-$L139)</f>
        <v/>
      </c>
      <c r="D139" s="32" t="str">
        <f t="shared" ref="D139:D170" si="83">IF($A139="","",IF($C139=0,"First Bullpen",IF($C139&lt;=7,"Taper",IF($O139&lt;0.2,"Re-entry",IF($O139&lt;0.45,"Base",IF($O139&lt;0.65,"Extension","Flat Ground / Intent"))))))</f>
        <v/>
      </c>
      <c r="E139" s="32" t="str">
        <f t="shared" ref="E139:E170" si="84">IF($A139="","",IF($AD139,"No Throw",IF($C139=0,"High Bullpen",IF($C139=6,"High Non-Bullpen",IF(OR($C139=4,$C139=2),"Medium",IF($T139="Recovery/Easy Catch","Low",IF($N139=1,IF($O139&lt;0.4,"Low",IF($O139&lt;0.7,"Medium","High Non-Bullpen")),IF($N139=3,IF($O139&lt;0.5,"Medium","High Non-Bullpen"),IF($O139&lt;0.62,"Medium","High Non-Bullpen")))))))))</f>
        <v/>
      </c>
      <c r="F139" s="32" t="str">
        <f t="shared" ref="F139:F170" si="85">IF($A139="","",IF($AD139,"No Throw",$T139))</f>
        <v/>
      </c>
      <c r="G139" s="47" t="str">
        <f t="shared" ref="G139:G170" si="86">IF($A139="","",IF($AD139,"Off",IF($AL139&gt;1,"Long toss out to "&amp;$U139&amp;" ft — "&amp;$AB139&amp;" throws ("&amp;IF(1&lt;=$AL139,MIN($U139,90)&amp;"×"&amp;(ROUND($AB139*(1*($AL139+3)-1)/($AL139*($AL139+5)/2),0)-0),"")&amp;IF(2&lt;=$AL139," · "&amp;MIN($U139,120)&amp;"×"&amp;(ROUND($AB139*(2*($AL139+3)-3)/($AL139*($AL139+5)/2),0)-ROUND($AB139*(1*($AL139+3)-1)/($AL139*($AL139+5)/2),0)),"")&amp;IF(3&lt;=$AL139," · "&amp;MIN($U139,150)&amp;"×"&amp;(ROUND($AB139*(3*($AL139+3)-6)/($AL139*($AL139+5)/2),0)-ROUND($AB139*(2*($AL139+3)-3)/($AL139*($AL139+5)/2),0)),"")&amp;IF(4&lt;=$AL139," · "&amp;MIN($U139,180)&amp;"×"&amp;(ROUND($AB139*(4*($AL139+3)-10)/($AL139*($AL139+5)/2),0)-ROUND($AB139*(3*($AL139+3)-6)/($AL139*($AL139+5)/2),0)),"")&amp;IF(5&lt;=$AL139," · "&amp;MIN($U139,210)&amp;"×"&amp;(ROUND($AB139*(5*($AL139+3)-15)/($AL139*($AL139+5)/2),0)-ROUND($AB139*(4*($AL139+3)-10)/($AL139*($AL139+5)/2),0)),"")&amp;IF(6&lt;=$AL139," · "&amp;MIN($U139,240)&amp;"×"&amp;(ROUND($AB139*(6*($AL139+3)-21)/($AL139*($AL139+5)/2),0)-ROUND($AB139*(5*($AL139+3)-15)/($AL139*($AL139+5)/2),0)),"")&amp;IF(7&lt;=$AL139," · "&amp;MIN($U139,270)&amp;"×"&amp;(ROUND($AB139*(7*($AL139+3)-28)/($AL139*($AL139+5)/2),0)-ROUND($AB139*(6*($AL139+3)-21)/($AL139*($AL139+5)/2),0)),"")&amp;IF(8&lt;=$AL139," · "&amp;MIN($U139,300)&amp;"×"&amp;(ROUND($AB139*(8*($AL139+3)-36)/($AL139*($AL139+5)/2),0)-ROUND($AB139*(7*($AL139+3)-28)/($AL139*($AL139+5)/2),0)),"")&amp;")",$U139&amp;" ft × "&amp;$AB139)&amp;" @ "&amp;ROUND($D$5-$W139,0)&amp;"–"&amp;ROUND($D$5-$V139,0)&amp;" mph"&amp;IF($X139&gt;0,IF($Y139&lt;10," + flat ground at 60 ft × "," + 60 ft × ")&amp;$X139&amp;" @ "&amp;ROUND($D$5-$Z139,0)&amp;"–"&amp;ROUND($D$5-$Y139,0)&amp;" mph","")&amp;IF($AC139&gt;0," + MOUND × "&amp;$AC139&amp;" pitches @ "&amp;$D$9&amp;"–"&amp;$E$9&amp;" mph","")))</f>
        <v/>
      </c>
      <c r="H139" s="30" t="str">
        <f t="shared" ref="H139:H170" si="87">IF($A139="","",IF($AD139,0,$AB139*$AF139+$AE139+$AG139))</f>
        <v/>
      </c>
      <c r="I139" s="46" t="str">
        <f>IF($A139="","",IF(AND($L139&lt;27,$K$12=0),"Building",IFERROR(((SUM($H$133:$H139)+$K$12*IF($L139&lt;6,SUMIFS('Throw Log'!$Q$5:$Q$300,'Throw Log'!$B$5:$B$300,$D$4,'Throw Log'!$A$5:$A$300,"&gt;="&amp;($D$6+$L139-6),'Throw Log'!$A$5:$A$300,"&lt;="&amp;($D$6-1)),0))/7)/((SUM($H$112:$H139)+$K$12*IF($L139&lt;27,SUMIFS('Throw Log'!$Q$5:$Q$300,'Throw Log'!$B$5:$B$300,$D$4,'Throw Log'!$A$5:$A$300,"&gt;="&amp;($D$6+$L139-27),'Throw Log'!$A$5:$A$300,"&lt;="&amp;($D$6-1)),0))/28),"")))</f>
        <v/>
      </c>
      <c r="J139" s="37"/>
      <c r="K139" s="37"/>
      <c r="L139" s="32">
        <v>96</v>
      </c>
      <c r="M139" s="32">
        <f t="shared" ref="M139:M170" si="88">INT($L139/7)+1</f>
        <v>14</v>
      </c>
      <c r="N139" s="32">
        <f t="shared" ref="N139:N170" si="89">MOD($L139,7)</f>
        <v>5</v>
      </c>
      <c r="O139" s="32">
        <f t="shared" ref="O139:O170" si="90">MIN(1,$G$7+(1-$G$7)*$L139/MAX(1,N($G$4)-8))</f>
        <v>1</v>
      </c>
      <c r="P139" s="32" t="str">
        <f>IF(OR($A139="",N($C139)&lt;=7),"",$G$6*$G$9^($M139-1)*IF(AND(MOD($M139,Reference!$B$99)=0,$M139&lt;=$G$5-2),Reference!$B$100,1))</f>
        <v/>
      </c>
      <c r="Q139" s="32" t="str">
        <f>IF($P139="","",IF(SUM($AK$134:$AK$140)=0,0,$P139*INDEX(Reference!$B$108:$B$114,$N139+1)/SUM($AK$134:$AK$140)))</f>
        <v/>
      </c>
      <c r="R139" s="32">
        <f t="shared" ref="R139:R170" si="91">ROUND((60+($D$11-60)*MIN(1,$O139/0.75))/15,0)*15</f>
        <v>180</v>
      </c>
      <c r="S139" s="32">
        <f t="shared" ref="S139:S170" si="92">ROUND((60+($R139-60)*0.8)/15,0)*15</f>
        <v>150</v>
      </c>
      <c r="T139" s="32" t="str">
        <f>IF($A139="","",IF($C139=0,"Bullpen",IF(OR($C139=7,$C139=1,$C139=5),"Recovery/Easy Catch",IF($C139=6,"Compression/Pulldowns",IF(OR($C139=4,$C139=2),"Long Toss",IF($C139=3,"No Throw",IF($N139=2,"No Throw",IF($N139=6,IF($O139&lt;Reference!$B$104,"No Throw","Recovery/Easy Catch"),IF(OR($N139=0,$N139=4),"Recovery/Easy Catch",IF($N139=1,IF($R139&gt;75,"Long Toss","Recovery/Easy Catch"),IF($N139=3,IF($O139&lt;0.5,IF($S139&gt;75,"Long Toss","Recovery/Easy Catch"),"Compression/Pulldowns"),IF($S139&gt;75,"Long Toss","Recovery/Easy Catch"))))))))))))</f>
        <v/>
      </c>
      <c r="U139" s="32" t="str">
        <f t="shared" ref="U139:U170" si="93">IF($A139="","",IF(N($AO139)&gt;0,$AO139,IF($C139=0,90,IF(OR($C139=7,$C139=1),75,IF($C139=6,90,IF($C139=5,60,IF($C139=4,MIN(150,ROUND(0.75*$D$11/15,0)*15),IF($C139=2,MIN(120,ROUND(0.67*$D$11/15,0)*15),IF($C139=3,"",IF($N139=2,"",IF($N139=6,60,IF($N139=0,IF($O139&lt;0.25,60,75),IF($N139=4,IF($O139&lt;0.5,60,75),IF($N139=1,$R139,IF($N139=3,IF($O139&lt;0.5,$S139,90),$S139)))))))))))))))</f>
        <v/>
      </c>
      <c r="V139" s="32" t="str">
        <f t="shared" ref="V139:V170" si="94">IF($A139="","",IF(N($AQ139)&gt;0,$D$5-$AQ139,IF(N($AP139)&gt;0,$D$5-$AP139,IF($C139=0,10,IF(OR($C139=7,$C139=1),18,IF($C139=6,7,IF($C139=5,20,IF(OR($C139=4,$C139=2),10,IF($C139=3,"",IF($N139=2,"",IF($N139=6,20,IF($N139=0,IF($O139&lt;0.25,20,18),IF($N139=4,IF($O139&lt;0.5,20,18),IF($N139=1,IF($O139&lt;0.25,18,IF($O139&lt;0.5,13,10)),IF($N139=3,IF($O139&lt;0.5,IF($O139&lt;0.25,18,13),7),IF($O139&lt;0.25,18,IF($O139&lt;0.5,12,10)))))))))))))))))</f>
        <v/>
      </c>
      <c r="W139" s="32" t="str">
        <f t="shared" ref="W139:W170" si="95">IF($A139="","",IF(N($AP139)&gt;0,$D$5-$AP139,IF(N($AQ139)&gt;0,$D$5-$AQ139,IF($C139=0,12,IF(OR($C139=7,$C139=1),22,IF($C139=6,9,IF($C139=5,24,IF(OR($C139=4,$C139=2),13,IF($C139=3,"",IF($N139=2,"",IF($N139=6,24,IF($N139=0,IF($O139&lt;0.25,24,22),IF($N139=4,IF($O139&lt;0.5,24,22),IF($N139=1,IF($O139&lt;0.25,22,IF($O139&lt;0.5,16,12)),IF($N139=3,IF($O139&lt;0.5,IF($O139&lt;0.25,22,16),9),IF($O139&lt;0.25,22,IF($O139&lt;0.5,15,13)))))))))))))))))</f>
        <v/>
      </c>
      <c r="X139" s="32">
        <f t="shared" ref="X139:X170" si="96">IF($A139="",0,IF($C139=6,ROUND(25*$G$10,0),IF(OR($C139=4,$C139=2),ROUND(15*$G$10,0),IF($C139&lt;=7,0,IF($N139=1,IF($O139&lt;0.2,0,IF($O139&lt;0.5,10,15)),IF($N139=3,IF($O139&lt;0.5,IF($O139&lt;0.2,0,10),IF($O139&lt;0.62,15,IF($O139&lt;0.8,20,25))),IF($N139=5,IF($O139&lt;0.2,0,IF($O139&lt;0.62,12,IF($O139&lt;0.8,20,25))),0)))))))</f>
        <v>0</v>
      </c>
      <c r="Y139" s="32" t="str">
        <f t="shared" ref="Y139:Y170" si="97">IF($X139=0,"",IF($C139=6,$D$5-$E$9,IF(OR($C139=4,$C139=2),8,IF($N139=1,IF($O139&lt;0.5,14,10),IF($N139=3,IF($O139&lt;0.5,14,IF($O139&lt;0.62,10,7)),IF($N139=5,IF($O139&lt;0.5,14,IF($O139&lt;0.62,12,7)),""))))))</f>
        <v/>
      </c>
      <c r="Z139" s="32" t="str">
        <f t="shared" ref="Z139:Z170" si="98">IF($X139=0,"",IF($C139=6,$D$5-$D$9,IF(OR($C139=4,$C139=2),10,IF($N139=1,IF($O139&lt;0.5,18,12),IF($N139=3,IF($O139&lt;0.5,18,IF($O139&lt;0.62,12,9)),IF($N139=5,IF($O139&lt;0.5,18,IF($O139&lt;0.62,15,9)),""))))))</f>
        <v/>
      </c>
      <c r="AA139" s="32" t="str">
        <f t="shared" ref="AA139:AA170" si="99">IF($A139="","",IF($C139=0,25,IF(OR($C139=7,$C139=1,$C139=5),30,IF($C139=6,25,IF(OR($C139=4,$C139=2),IF($AM139=0,30,30*$AN139/$AM139),"")))))</f>
        <v/>
      </c>
      <c r="AB139" s="32" t="str">
        <f>IF($A139="","",IF($T139="No Throw",0,IF($K139&lt;&gt;"",$K139,IF($AA139&lt;&gt;"",ROUND($AA139*$D$12*IF($C139=0,1,$G$10),0),MIN(IF($T139="Recovery/Easy Catch",Reference!$B$103,IF($T139="Long Toss",Reference!$B$106,Reference!$B$102)),MAX(Reference!$B$101,ROUND(MAX(0,$Q139-$AE139)/$AF139,0)))))))</f>
        <v/>
      </c>
      <c r="AC139" s="32">
        <f t="shared" ref="AC139:AC170" si="100">IF($A139="",0,IF($C139=0,$D$8,0))</f>
        <v>0</v>
      </c>
      <c r="AD139" s="32" t="b">
        <f t="shared" ref="AD139:AD170" si="101">IF($A139="",TRUE(),OR($J139="x",$T139="No Throw"))</f>
        <v>1</v>
      </c>
      <c r="AE139" s="32">
        <f>IF($X139=0,0,$X139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139+$Z139)/2,0),Reference!$A$17:$B$20,2,TRUE()))</f>
        <v>0</v>
      </c>
      <c r="AF139" s="32">
        <f>IF(OR($A139="",$U139="",$T139="No Throw"),0,$AM139*VLOOKUP(MAX(($V139+$W139)/2,0),Reference!$A$17:$B$20,2,TRUE()))</f>
        <v>0</v>
      </c>
      <c r="AG139" s="32">
        <f>IF($AC139=0,0,$AC139*INDEX(Reference!$B$61:$B$62,MATCH("Bullpen",Reference!$A$61:$A$62,0))*VLOOKUP(MAX($D$5-($D$9+$E$9)/2,0),Reference!$A$17:$B$20,2,TRUE()))</f>
        <v>0</v>
      </c>
      <c r="AH139" s="32" t="e">
        <f t="shared" ref="AH139:AH170" si="102">IF(OR($A139="",$L139&lt;27),NA(),$I139)</f>
        <v>#N/A</v>
      </c>
      <c r="AI139" s="32" t="e">
        <f>IF($A139="",NA(),Reference!$A$25)</f>
        <v>#N/A</v>
      </c>
      <c r="AJ139" s="32" t="e">
        <f t="shared" ref="AJ139:AJ170" si="103">IF($A139="",NA(),1.3)</f>
        <v>#N/A</v>
      </c>
      <c r="AK139" s="32">
        <f>IF(OR($A139="",N($C139)&lt;=7,$T139="No Throw",$J139="x"),0,INDEX(Reference!$B$108:$B$114,$N139+1))</f>
        <v>0</v>
      </c>
      <c r="AL139" s="32">
        <f t="shared" ref="AL139:AL170" si="104">IF($U139="",1,IF(AND($T139="Long Toss",N($U139)&gt;90),1+ROUNDUP(($U139-90)/30,0),1))</f>
        <v>1</v>
      </c>
      <c r="AM139" s="32">
        <f>IF($U139="",0,IF($AL139&gt;1,((IF(1&lt;=$AL139,($AL139-1+3)*(INDEX(Reference!$B$6:$B$11,MIN(5,MATCH(MAX(Reference!$A$6,MIN(Reference!$A$11,MIN($U139,90))),Reference!$A$6:$A$11,1)))+(MAX(Reference!$A$6,MIN(Reference!$A$11,MIN($U139,90)))-INDEX(Reference!$A$6:$A$11,MIN(5,MATCH(MAX(Reference!$A$6,MIN(Reference!$A$11,MIN($U139,90))),Reference!$A$6:$A$11,1))))*(INDEX(Reference!$B$6:$B$11,MIN(5,MATCH(MAX(Reference!$A$6,MIN(Reference!$A$11,MIN($U139,90))),Reference!$A$6:$A$11,1))+1)-INDEX(Reference!$B$6:$B$11,MIN(5,MATCH(MAX(Reference!$A$6,MIN(Reference!$A$11,MIN($U139,90))),Reference!$A$6:$A$11,1))))/(INDEX(Reference!$A$6:$A$11,MIN(5,MATCH(MAX(Reference!$A$6,MIN(Reference!$A$11,MIN($U139,90))),Reference!$A$6:$A$11,1))+1)-INDEX(Reference!$A$6:$A$11,MIN(5,MATCH(MAX(Reference!$A$6,MIN(Reference!$A$11,MIN($U139,90))),Reference!$A$6:$A$11,1))))),0)+IF(2&lt;=$AL139,($AL139-2+3)*(INDEX(Reference!$B$6:$B$11,MIN(5,MATCH(MAX(Reference!$A$6,MIN(Reference!$A$11,MIN($U139,120))),Reference!$A$6:$A$11,1)))+(MAX(Reference!$A$6,MIN(Reference!$A$11,MIN($U139,120)))-INDEX(Reference!$A$6:$A$11,MIN(5,MATCH(MAX(Reference!$A$6,MIN(Reference!$A$11,MIN($U139,120))),Reference!$A$6:$A$11,1))))*(INDEX(Reference!$B$6:$B$11,MIN(5,MATCH(MAX(Reference!$A$6,MIN(Reference!$A$11,MIN($U139,120))),Reference!$A$6:$A$11,1))+1)-INDEX(Reference!$B$6:$B$11,MIN(5,MATCH(MAX(Reference!$A$6,MIN(Reference!$A$11,MIN($U139,120))),Reference!$A$6:$A$11,1))))/(INDEX(Reference!$A$6:$A$11,MIN(5,MATCH(MAX(Reference!$A$6,MIN(Reference!$A$11,MIN($U139,120))),Reference!$A$6:$A$11,1))+1)-INDEX(Reference!$A$6:$A$11,MIN(5,MATCH(MAX(Reference!$A$6,MIN(Reference!$A$11,MIN($U139,120))),Reference!$A$6:$A$11,1))))),0)+IF(3&lt;=$AL139,($AL139-3+3)*(INDEX(Reference!$B$6:$B$11,MIN(5,MATCH(MAX(Reference!$A$6,MIN(Reference!$A$11,MIN($U139,150))),Reference!$A$6:$A$11,1)))+(MAX(Reference!$A$6,MIN(Reference!$A$11,MIN($U139,150)))-INDEX(Reference!$A$6:$A$11,MIN(5,MATCH(MAX(Reference!$A$6,MIN(Reference!$A$11,MIN($U139,150))),Reference!$A$6:$A$11,1))))*(INDEX(Reference!$B$6:$B$11,MIN(5,MATCH(MAX(Reference!$A$6,MIN(Reference!$A$11,MIN($U139,150))),Reference!$A$6:$A$11,1))+1)-INDEX(Reference!$B$6:$B$11,MIN(5,MATCH(MAX(Reference!$A$6,MIN(Reference!$A$11,MIN($U139,150))),Reference!$A$6:$A$11,1))))/(INDEX(Reference!$A$6:$A$11,MIN(5,MATCH(MAX(Reference!$A$6,MIN(Reference!$A$11,MIN($U139,150))),Reference!$A$6:$A$11,1))+1)-INDEX(Reference!$A$6:$A$11,MIN(5,MATCH(MAX(Reference!$A$6,MIN(Reference!$A$11,MIN($U139,150))),Reference!$A$6:$A$11,1))))),0)+IF(4&lt;=$AL139,($AL139-4+3)*(INDEX(Reference!$B$6:$B$11,MIN(5,MATCH(MAX(Reference!$A$6,MIN(Reference!$A$11,MIN($U139,180))),Reference!$A$6:$A$11,1)))+(MAX(Reference!$A$6,MIN(Reference!$A$11,MIN($U139,180)))-INDEX(Reference!$A$6:$A$11,MIN(5,MATCH(MAX(Reference!$A$6,MIN(Reference!$A$11,MIN($U139,180))),Reference!$A$6:$A$11,1))))*(INDEX(Reference!$B$6:$B$11,MIN(5,MATCH(MAX(Reference!$A$6,MIN(Reference!$A$11,MIN($U139,180))),Reference!$A$6:$A$11,1))+1)-INDEX(Reference!$B$6:$B$11,MIN(5,MATCH(MAX(Reference!$A$6,MIN(Reference!$A$11,MIN($U139,180))),Reference!$A$6:$A$11,1))))/(INDEX(Reference!$A$6:$A$11,MIN(5,MATCH(MAX(Reference!$A$6,MIN(Reference!$A$11,MIN($U139,180))),Reference!$A$6:$A$11,1))+1)-INDEX(Reference!$A$6:$A$11,MIN(5,MATCH(MAX(Reference!$A$6,MIN(Reference!$A$11,MIN($U139,180))),Reference!$A$6:$A$11,1))))),0)+IF(5&lt;=$AL139,($AL139-5+3)*(INDEX(Reference!$B$6:$B$11,MIN(5,MATCH(MAX(Reference!$A$6,MIN(Reference!$A$11,MIN($U139,210))),Reference!$A$6:$A$11,1)))+(MAX(Reference!$A$6,MIN(Reference!$A$11,MIN($U139,210)))-INDEX(Reference!$A$6:$A$11,MIN(5,MATCH(MAX(Reference!$A$6,MIN(Reference!$A$11,MIN($U139,210))),Reference!$A$6:$A$11,1))))*(INDEX(Reference!$B$6:$B$11,MIN(5,MATCH(MAX(Reference!$A$6,MIN(Reference!$A$11,MIN($U139,210))),Reference!$A$6:$A$11,1))+1)-INDEX(Reference!$B$6:$B$11,MIN(5,MATCH(MAX(Reference!$A$6,MIN(Reference!$A$11,MIN($U139,210))),Reference!$A$6:$A$11,1))))/(INDEX(Reference!$A$6:$A$11,MIN(5,MATCH(MAX(Reference!$A$6,MIN(Reference!$A$11,MIN($U139,210))),Reference!$A$6:$A$11,1))+1)-INDEX(Reference!$A$6:$A$11,MIN(5,MATCH(MAX(Reference!$A$6,MIN(Reference!$A$11,MIN($U139,210))),Reference!$A$6:$A$11,1))))),0)+IF(6&lt;=$AL139,($AL139-6+3)*(INDEX(Reference!$B$6:$B$11,MIN(5,MATCH(MAX(Reference!$A$6,MIN(Reference!$A$11,MIN($U139,240))),Reference!$A$6:$A$11,1)))+(MAX(Reference!$A$6,MIN(Reference!$A$11,MIN($U139,240)))-INDEX(Reference!$A$6:$A$11,MIN(5,MATCH(MAX(Reference!$A$6,MIN(Reference!$A$11,MIN($U139,240))),Reference!$A$6:$A$11,1))))*(INDEX(Reference!$B$6:$B$11,MIN(5,MATCH(MAX(Reference!$A$6,MIN(Reference!$A$11,MIN($U139,240))),Reference!$A$6:$A$11,1))+1)-INDEX(Reference!$B$6:$B$11,MIN(5,MATCH(MAX(Reference!$A$6,MIN(Reference!$A$11,MIN($U139,240))),Reference!$A$6:$A$11,1))))/(INDEX(Reference!$A$6:$A$11,MIN(5,MATCH(MAX(Reference!$A$6,MIN(Reference!$A$11,MIN($U139,240))),Reference!$A$6:$A$11,1))+1)-INDEX(Reference!$A$6:$A$11,MIN(5,MATCH(MAX(Reference!$A$6,MIN(Reference!$A$11,MIN($U139,240))),Reference!$A$6:$A$11,1))))),0)+IF(7&lt;=$AL139,($AL139-7+3)*(INDEX(Reference!$B$6:$B$11,MIN(5,MATCH(MAX(Reference!$A$6,MIN(Reference!$A$11,MIN($U139,270))),Reference!$A$6:$A$11,1)))+(MAX(Reference!$A$6,MIN(Reference!$A$11,MIN($U139,270)))-INDEX(Reference!$A$6:$A$11,MIN(5,MATCH(MAX(Reference!$A$6,MIN(Reference!$A$11,MIN($U139,270))),Reference!$A$6:$A$11,1))))*(INDEX(Reference!$B$6:$B$11,MIN(5,MATCH(MAX(Reference!$A$6,MIN(Reference!$A$11,MIN($U139,270))),Reference!$A$6:$A$11,1))+1)-INDEX(Reference!$B$6:$B$11,MIN(5,MATCH(MAX(Reference!$A$6,MIN(Reference!$A$11,MIN($U139,270))),Reference!$A$6:$A$11,1))))/(INDEX(Reference!$A$6:$A$11,MIN(5,MATCH(MAX(Reference!$A$6,MIN(Reference!$A$11,MIN($U139,270))),Reference!$A$6:$A$11,1))+1)-INDEX(Reference!$A$6:$A$11,MIN(5,MATCH(MAX(Reference!$A$6,MIN(Reference!$A$11,MIN($U139,270))),Reference!$A$6:$A$11,1))))),0)+IF(8&lt;=$AL139,($AL139-8+3)*(INDEX(Reference!$B$6:$B$11,MIN(5,MATCH(MAX(Reference!$A$6,MIN(Reference!$A$11,MIN($U139,300))),Reference!$A$6:$A$11,1)))+(MAX(Reference!$A$6,MIN(Reference!$A$11,MIN($U139,300)))-INDEX(Reference!$A$6:$A$11,MIN(5,MATCH(MAX(Reference!$A$6,MIN(Reference!$A$11,MIN($U139,300))),Reference!$A$6:$A$11,1))))*(INDEX(Reference!$B$6:$B$11,MIN(5,MATCH(MAX(Reference!$A$6,MIN(Reference!$A$11,MIN($U139,300))),Reference!$A$6:$A$11,1))+1)-INDEX(Reference!$B$6:$B$11,MIN(5,MATCH(MAX(Reference!$A$6,MIN(Reference!$A$11,MIN($U139,300))),Reference!$A$6:$A$11,1))))/(INDEX(Reference!$A$6:$A$11,MIN(5,MATCH(MAX(Reference!$A$6,MIN(Reference!$A$11,MIN($U139,300))),Reference!$A$6:$A$11,1))+1)-INDEX(Reference!$A$6:$A$11,MIN(5,MATCH(MAX(Reference!$A$6,MIN(Reference!$A$11,MIN($U139,300))),Reference!$A$6:$A$11,1))))),0))/($AL139*($AL139+5)/2)),$AN139))</f>
        <v>0</v>
      </c>
      <c r="AN139" s="32">
        <f>IF($U139="",0,(INDEX(Reference!$B$6:$B$11,MIN(5,MATCH(MAX(Reference!$A$6,MIN(Reference!$A$11,$U139)),Reference!$A$6:$A$11,1)))+(MAX(Reference!$A$6,MIN(Reference!$A$11,$U139))-INDEX(Reference!$A$6:$A$11,MIN(5,MATCH(MAX(Reference!$A$6,MIN(Reference!$A$11,$U139)),Reference!$A$6:$A$11,1))))*(INDEX(Reference!$B$6:$B$11,MIN(5,MATCH(MAX(Reference!$A$6,MIN(Reference!$A$11,$U139)),Reference!$A$6:$A$11,1))+1)-INDEX(Reference!$B$6:$B$11,MIN(5,MATCH(MAX(Reference!$A$6,MIN(Reference!$A$11,$U139)),Reference!$A$6:$A$11,1))))/(INDEX(Reference!$A$6:$A$11,MIN(5,MATCH(MAX(Reference!$A$6,MIN(Reference!$A$11,$U139)),Reference!$A$6:$A$11,1))+1)-INDEX(Reference!$A$6:$A$11,MIN(5,MATCH(MAX(Reference!$A$6,MIN(Reference!$A$11,$U139)),Reference!$A$6:$A$11,1))))))</f>
        <v>0</v>
      </c>
      <c r="AO139" s="37"/>
      <c r="AP139" s="37"/>
      <c r="AQ139" s="37"/>
    </row>
    <row r="140" spans="1:43" x14ac:dyDescent="0.3">
      <c r="A140" s="48" t="str">
        <f t="shared" si="80"/>
        <v/>
      </c>
      <c r="B140" s="32" t="str">
        <f t="shared" si="81"/>
        <v/>
      </c>
      <c r="C140" s="32" t="str">
        <f t="shared" si="82"/>
        <v/>
      </c>
      <c r="D140" s="32" t="str">
        <f t="shared" si="83"/>
        <v/>
      </c>
      <c r="E140" s="32" t="str">
        <f t="shared" si="84"/>
        <v/>
      </c>
      <c r="F140" s="32" t="str">
        <f t="shared" si="85"/>
        <v/>
      </c>
      <c r="G140" s="47" t="str">
        <f t="shared" si="86"/>
        <v/>
      </c>
      <c r="H140" s="30" t="str">
        <f t="shared" si="87"/>
        <v/>
      </c>
      <c r="I140" s="46" t="str">
        <f>IF($A140="","",IF(AND($L140&lt;27,$K$12=0),"Building",IFERROR(((SUM($H$134:$H140)+$K$12*IF($L140&lt;6,SUMIFS('Throw Log'!$Q$5:$Q$300,'Throw Log'!$B$5:$B$300,$D$4,'Throw Log'!$A$5:$A$300,"&gt;="&amp;($D$6+$L140-6),'Throw Log'!$A$5:$A$300,"&lt;="&amp;($D$6-1)),0))/7)/((SUM($H$113:$H140)+$K$12*IF($L140&lt;27,SUMIFS('Throw Log'!$Q$5:$Q$300,'Throw Log'!$B$5:$B$300,$D$4,'Throw Log'!$A$5:$A$300,"&gt;="&amp;($D$6+$L140-27),'Throw Log'!$A$5:$A$300,"&lt;="&amp;($D$6-1)),0))/28),"")))</f>
        <v/>
      </c>
      <c r="J140" s="37"/>
      <c r="K140" s="37"/>
      <c r="L140" s="32">
        <v>97</v>
      </c>
      <c r="M140" s="32">
        <f t="shared" si="88"/>
        <v>14</v>
      </c>
      <c r="N140" s="32">
        <f t="shared" si="89"/>
        <v>6</v>
      </c>
      <c r="O140" s="32">
        <f t="shared" si="90"/>
        <v>1</v>
      </c>
      <c r="P140" s="32" t="str">
        <f>IF(OR($A140="",N($C140)&lt;=7),"",$G$6*$G$9^($M140-1)*IF(AND(MOD($M140,Reference!$B$99)=0,$M140&lt;=$G$5-2),Reference!$B$100,1))</f>
        <v/>
      </c>
      <c r="Q140" s="32" t="str">
        <f>IF($P140="","",IF(SUM($AK$134:$AK$140)=0,0,$P140*INDEX(Reference!$B$108:$B$114,$N140+1)/SUM($AK$134:$AK$140)))</f>
        <v/>
      </c>
      <c r="R140" s="32">
        <f t="shared" si="91"/>
        <v>180</v>
      </c>
      <c r="S140" s="32">
        <f t="shared" si="92"/>
        <v>150</v>
      </c>
      <c r="T140" s="32" t="str">
        <f>IF($A140="","",IF($C140=0,"Bullpen",IF(OR($C140=7,$C140=1,$C140=5),"Recovery/Easy Catch",IF($C140=6,"Compression/Pulldowns",IF(OR($C140=4,$C140=2),"Long Toss",IF($C140=3,"No Throw",IF($N140=2,"No Throw",IF($N140=6,IF($O140&lt;Reference!$B$104,"No Throw","Recovery/Easy Catch"),IF(OR($N140=0,$N140=4),"Recovery/Easy Catch",IF($N140=1,IF($R140&gt;75,"Long Toss","Recovery/Easy Catch"),IF($N140=3,IF($O140&lt;0.5,IF($S140&gt;75,"Long Toss","Recovery/Easy Catch"),"Compression/Pulldowns"),IF($S140&gt;75,"Long Toss","Recovery/Easy Catch"))))))))))))</f>
        <v/>
      </c>
      <c r="U140" s="32" t="str">
        <f t="shared" si="93"/>
        <v/>
      </c>
      <c r="V140" s="32" t="str">
        <f t="shared" si="94"/>
        <v/>
      </c>
      <c r="W140" s="32" t="str">
        <f t="shared" si="95"/>
        <v/>
      </c>
      <c r="X140" s="32">
        <f t="shared" si="96"/>
        <v>0</v>
      </c>
      <c r="Y140" s="32" t="str">
        <f t="shared" si="97"/>
        <v/>
      </c>
      <c r="Z140" s="32" t="str">
        <f t="shared" si="98"/>
        <v/>
      </c>
      <c r="AA140" s="32" t="str">
        <f t="shared" si="99"/>
        <v/>
      </c>
      <c r="AB140" s="32" t="str">
        <f>IF($A140="","",IF($T140="No Throw",0,IF($K140&lt;&gt;"",$K140,IF($AA140&lt;&gt;"",ROUND($AA140*$D$12*IF($C140=0,1,$G$10),0),MIN(IF($T140="Recovery/Easy Catch",Reference!$B$103,IF($T140="Long Toss",Reference!$B$106,Reference!$B$102)),MAX(Reference!$B$101,ROUND(MAX(0,$Q140-$AE140)/$AF140,0)))))))</f>
        <v/>
      </c>
      <c r="AC140" s="32">
        <f t="shared" si="100"/>
        <v>0</v>
      </c>
      <c r="AD140" s="32" t="b">
        <f t="shared" si="101"/>
        <v>1</v>
      </c>
      <c r="AE140" s="32">
        <f>IF($X140=0,0,$X140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140+$Z140)/2,0),Reference!$A$17:$B$20,2,TRUE()))</f>
        <v>0</v>
      </c>
      <c r="AF140" s="32">
        <f>IF(OR($A140="",$U140="",$T140="No Throw"),0,$AM140*VLOOKUP(MAX(($V140+$W140)/2,0),Reference!$A$17:$B$20,2,TRUE()))</f>
        <v>0</v>
      </c>
      <c r="AG140" s="32">
        <f>IF($AC140=0,0,$AC140*INDEX(Reference!$B$61:$B$62,MATCH("Bullpen",Reference!$A$61:$A$62,0))*VLOOKUP(MAX($D$5-($D$9+$E$9)/2,0),Reference!$A$17:$B$20,2,TRUE()))</f>
        <v>0</v>
      </c>
      <c r="AH140" s="32" t="e">
        <f t="shared" si="102"/>
        <v>#N/A</v>
      </c>
      <c r="AI140" s="32" t="e">
        <f>IF($A140="",NA(),Reference!$A$25)</f>
        <v>#N/A</v>
      </c>
      <c r="AJ140" s="32" t="e">
        <f t="shared" si="103"/>
        <v>#N/A</v>
      </c>
      <c r="AK140" s="32">
        <f>IF(OR($A140="",N($C140)&lt;=7,$T140="No Throw",$J140="x"),0,INDEX(Reference!$B$108:$B$114,$N140+1))</f>
        <v>0</v>
      </c>
      <c r="AL140" s="32">
        <f t="shared" si="104"/>
        <v>1</v>
      </c>
      <c r="AM140" s="32">
        <f>IF($U140="",0,IF($AL140&gt;1,((IF(1&lt;=$AL140,($AL140-1+3)*(INDEX(Reference!$B$6:$B$11,MIN(5,MATCH(MAX(Reference!$A$6,MIN(Reference!$A$11,MIN($U140,90))),Reference!$A$6:$A$11,1)))+(MAX(Reference!$A$6,MIN(Reference!$A$11,MIN($U140,90)))-INDEX(Reference!$A$6:$A$11,MIN(5,MATCH(MAX(Reference!$A$6,MIN(Reference!$A$11,MIN($U140,90))),Reference!$A$6:$A$11,1))))*(INDEX(Reference!$B$6:$B$11,MIN(5,MATCH(MAX(Reference!$A$6,MIN(Reference!$A$11,MIN($U140,90))),Reference!$A$6:$A$11,1))+1)-INDEX(Reference!$B$6:$B$11,MIN(5,MATCH(MAX(Reference!$A$6,MIN(Reference!$A$11,MIN($U140,90))),Reference!$A$6:$A$11,1))))/(INDEX(Reference!$A$6:$A$11,MIN(5,MATCH(MAX(Reference!$A$6,MIN(Reference!$A$11,MIN($U140,90))),Reference!$A$6:$A$11,1))+1)-INDEX(Reference!$A$6:$A$11,MIN(5,MATCH(MAX(Reference!$A$6,MIN(Reference!$A$11,MIN($U140,90))),Reference!$A$6:$A$11,1))))),0)+IF(2&lt;=$AL140,($AL140-2+3)*(INDEX(Reference!$B$6:$B$11,MIN(5,MATCH(MAX(Reference!$A$6,MIN(Reference!$A$11,MIN($U140,120))),Reference!$A$6:$A$11,1)))+(MAX(Reference!$A$6,MIN(Reference!$A$11,MIN($U140,120)))-INDEX(Reference!$A$6:$A$11,MIN(5,MATCH(MAX(Reference!$A$6,MIN(Reference!$A$11,MIN($U140,120))),Reference!$A$6:$A$11,1))))*(INDEX(Reference!$B$6:$B$11,MIN(5,MATCH(MAX(Reference!$A$6,MIN(Reference!$A$11,MIN($U140,120))),Reference!$A$6:$A$11,1))+1)-INDEX(Reference!$B$6:$B$11,MIN(5,MATCH(MAX(Reference!$A$6,MIN(Reference!$A$11,MIN($U140,120))),Reference!$A$6:$A$11,1))))/(INDEX(Reference!$A$6:$A$11,MIN(5,MATCH(MAX(Reference!$A$6,MIN(Reference!$A$11,MIN($U140,120))),Reference!$A$6:$A$11,1))+1)-INDEX(Reference!$A$6:$A$11,MIN(5,MATCH(MAX(Reference!$A$6,MIN(Reference!$A$11,MIN($U140,120))),Reference!$A$6:$A$11,1))))),0)+IF(3&lt;=$AL140,($AL140-3+3)*(INDEX(Reference!$B$6:$B$11,MIN(5,MATCH(MAX(Reference!$A$6,MIN(Reference!$A$11,MIN($U140,150))),Reference!$A$6:$A$11,1)))+(MAX(Reference!$A$6,MIN(Reference!$A$11,MIN($U140,150)))-INDEX(Reference!$A$6:$A$11,MIN(5,MATCH(MAX(Reference!$A$6,MIN(Reference!$A$11,MIN($U140,150))),Reference!$A$6:$A$11,1))))*(INDEX(Reference!$B$6:$B$11,MIN(5,MATCH(MAX(Reference!$A$6,MIN(Reference!$A$11,MIN($U140,150))),Reference!$A$6:$A$11,1))+1)-INDEX(Reference!$B$6:$B$11,MIN(5,MATCH(MAX(Reference!$A$6,MIN(Reference!$A$11,MIN($U140,150))),Reference!$A$6:$A$11,1))))/(INDEX(Reference!$A$6:$A$11,MIN(5,MATCH(MAX(Reference!$A$6,MIN(Reference!$A$11,MIN($U140,150))),Reference!$A$6:$A$11,1))+1)-INDEX(Reference!$A$6:$A$11,MIN(5,MATCH(MAX(Reference!$A$6,MIN(Reference!$A$11,MIN($U140,150))),Reference!$A$6:$A$11,1))))),0)+IF(4&lt;=$AL140,($AL140-4+3)*(INDEX(Reference!$B$6:$B$11,MIN(5,MATCH(MAX(Reference!$A$6,MIN(Reference!$A$11,MIN($U140,180))),Reference!$A$6:$A$11,1)))+(MAX(Reference!$A$6,MIN(Reference!$A$11,MIN($U140,180)))-INDEX(Reference!$A$6:$A$11,MIN(5,MATCH(MAX(Reference!$A$6,MIN(Reference!$A$11,MIN($U140,180))),Reference!$A$6:$A$11,1))))*(INDEX(Reference!$B$6:$B$11,MIN(5,MATCH(MAX(Reference!$A$6,MIN(Reference!$A$11,MIN($U140,180))),Reference!$A$6:$A$11,1))+1)-INDEX(Reference!$B$6:$B$11,MIN(5,MATCH(MAX(Reference!$A$6,MIN(Reference!$A$11,MIN($U140,180))),Reference!$A$6:$A$11,1))))/(INDEX(Reference!$A$6:$A$11,MIN(5,MATCH(MAX(Reference!$A$6,MIN(Reference!$A$11,MIN($U140,180))),Reference!$A$6:$A$11,1))+1)-INDEX(Reference!$A$6:$A$11,MIN(5,MATCH(MAX(Reference!$A$6,MIN(Reference!$A$11,MIN($U140,180))),Reference!$A$6:$A$11,1))))),0)+IF(5&lt;=$AL140,($AL140-5+3)*(INDEX(Reference!$B$6:$B$11,MIN(5,MATCH(MAX(Reference!$A$6,MIN(Reference!$A$11,MIN($U140,210))),Reference!$A$6:$A$11,1)))+(MAX(Reference!$A$6,MIN(Reference!$A$11,MIN($U140,210)))-INDEX(Reference!$A$6:$A$11,MIN(5,MATCH(MAX(Reference!$A$6,MIN(Reference!$A$11,MIN($U140,210))),Reference!$A$6:$A$11,1))))*(INDEX(Reference!$B$6:$B$11,MIN(5,MATCH(MAX(Reference!$A$6,MIN(Reference!$A$11,MIN($U140,210))),Reference!$A$6:$A$11,1))+1)-INDEX(Reference!$B$6:$B$11,MIN(5,MATCH(MAX(Reference!$A$6,MIN(Reference!$A$11,MIN($U140,210))),Reference!$A$6:$A$11,1))))/(INDEX(Reference!$A$6:$A$11,MIN(5,MATCH(MAX(Reference!$A$6,MIN(Reference!$A$11,MIN($U140,210))),Reference!$A$6:$A$11,1))+1)-INDEX(Reference!$A$6:$A$11,MIN(5,MATCH(MAX(Reference!$A$6,MIN(Reference!$A$11,MIN($U140,210))),Reference!$A$6:$A$11,1))))),0)+IF(6&lt;=$AL140,($AL140-6+3)*(INDEX(Reference!$B$6:$B$11,MIN(5,MATCH(MAX(Reference!$A$6,MIN(Reference!$A$11,MIN($U140,240))),Reference!$A$6:$A$11,1)))+(MAX(Reference!$A$6,MIN(Reference!$A$11,MIN($U140,240)))-INDEX(Reference!$A$6:$A$11,MIN(5,MATCH(MAX(Reference!$A$6,MIN(Reference!$A$11,MIN($U140,240))),Reference!$A$6:$A$11,1))))*(INDEX(Reference!$B$6:$B$11,MIN(5,MATCH(MAX(Reference!$A$6,MIN(Reference!$A$11,MIN($U140,240))),Reference!$A$6:$A$11,1))+1)-INDEX(Reference!$B$6:$B$11,MIN(5,MATCH(MAX(Reference!$A$6,MIN(Reference!$A$11,MIN($U140,240))),Reference!$A$6:$A$11,1))))/(INDEX(Reference!$A$6:$A$11,MIN(5,MATCH(MAX(Reference!$A$6,MIN(Reference!$A$11,MIN($U140,240))),Reference!$A$6:$A$11,1))+1)-INDEX(Reference!$A$6:$A$11,MIN(5,MATCH(MAX(Reference!$A$6,MIN(Reference!$A$11,MIN($U140,240))),Reference!$A$6:$A$11,1))))),0)+IF(7&lt;=$AL140,($AL140-7+3)*(INDEX(Reference!$B$6:$B$11,MIN(5,MATCH(MAX(Reference!$A$6,MIN(Reference!$A$11,MIN($U140,270))),Reference!$A$6:$A$11,1)))+(MAX(Reference!$A$6,MIN(Reference!$A$11,MIN($U140,270)))-INDEX(Reference!$A$6:$A$11,MIN(5,MATCH(MAX(Reference!$A$6,MIN(Reference!$A$11,MIN($U140,270))),Reference!$A$6:$A$11,1))))*(INDEX(Reference!$B$6:$B$11,MIN(5,MATCH(MAX(Reference!$A$6,MIN(Reference!$A$11,MIN($U140,270))),Reference!$A$6:$A$11,1))+1)-INDEX(Reference!$B$6:$B$11,MIN(5,MATCH(MAX(Reference!$A$6,MIN(Reference!$A$11,MIN($U140,270))),Reference!$A$6:$A$11,1))))/(INDEX(Reference!$A$6:$A$11,MIN(5,MATCH(MAX(Reference!$A$6,MIN(Reference!$A$11,MIN($U140,270))),Reference!$A$6:$A$11,1))+1)-INDEX(Reference!$A$6:$A$11,MIN(5,MATCH(MAX(Reference!$A$6,MIN(Reference!$A$11,MIN($U140,270))),Reference!$A$6:$A$11,1))))),0)+IF(8&lt;=$AL140,($AL140-8+3)*(INDEX(Reference!$B$6:$B$11,MIN(5,MATCH(MAX(Reference!$A$6,MIN(Reference!$A$11,MIN($U140,300))),Reference!$A$6:$A$11,1)))+(MAX(Reference!$A$6,MIN(Reference!$A$11,MIN($U140,300)))-INDEX(Reference!$A$6:$A$11,MIN(5,MATCH(MAX(Reference!$A$6,MIN(Reference!$A$11,MIN($U140,300))),Reference!$A$6:$A$11,1))))*(INDEX(Reference!$B$6:$B$11,MIN(5,MATCH(MAX(Reference!$A$6,MIN(Reference!$A$11,MIN($U140,300))),Reference!$A$6:$A$11,1))+1)-INDEX(Reference!$B$6:$B$11,MIN(5,MATCH(MAX(Reference!$A$6,MIN(Reference!$A$11,MIN($U140,300))),Reference!$A$6:$A$11,1))))/(INDEX(Reference!$A$6:$A$11,MIN(5,MATCH(MAX(Reference!$A$6,MIN(Reference!$A$11,MIN($U140,300))),Reference!$A$6:$A$11,1))+1)-INDEX(Reference!$A$6:$A$11,MIN(5,MATCH(MAX(Reference!$A$6,MIN(Reference!$A$11,MIN($U140,300))),Reference!$A$6:$A$11,1))))),0))/($AL140*($AL140+5)/2)),$AN140))</f>
        <v>0</v>
      </c>
      <c r="AN140" s="32">
        <f>IF($U140="",0,(INDEX(Reference!$B$6:$B$11,MIN(5,MATCH(MAX(Reference!$A$6,MIN(Reference!$A$11,$U140)),Reference!$A$6:$A$11,1)))+(MAX(Reference!$A$6,MIN(Reference!$A$11,$U140))-INDEX(Reference!$A$6:$A$11,MIN(5,MATCH(MAX(Reference!$A$6,MIN(Reference!$A$11,$U140)),Reference!$A$6:$A$11,1))))*(INDEX(Reference!$B$6:$B$11,MIN(5,MATCH(MAX(Reference!$A$6,MIN(Reference!$A$11,$U140)),Reference!$A$6:$A$11,1))+1)-INDEX(Reference!$B$6:$B$11,MIN(5,MATCH(MAX(Reference!$A$6,MIN(Reference!$A$11,$U140)),Reference!$A$6:$A$11,1))))/(INDEX(Reference!$A$6:$A$11,MIN(5,MATCH(MAX(Reference!$A$6,MIN(Reference!$A$11,$U140)),Reference!$A$6:$A$11,1))+1)-INDEX(Reference!$A$6:$A$11,MIN(5,MATCH(MAX(Reference!$A$6,MIN(Reference!$A$11,$U140)),Reference!$A$6:$A$11,1))))))</f>
        <v>0</v>
      </c>
      <c r="AO140" s="37"/>
      <c r="AP140" s="37"/>
      <c r="AQ140" s="37"/>
    </row>
    <row r="141" spans="1:43" x14ac:dyDescent="0.3">
      <c r="A141" s="48" t="str">
        <f t="shared" si="80"/>
        <v/>
      </c>
      <c r="B141" s="32" t="str">
        <f t="shared" si="81"/>
        <v/>
      </c>
      <c r="C141" s="32" t="str">
        <f t="shared" si="82"/>
        <v/>
      </c>
      <c r="D141" s="32" t="str">
        <f t="shared" si="83"/>
        <v/>
      </c>
      <c r="E141" s="32" t="str">
        <f t="shared" si="84"/>
        <v/>
      </c>
      <c r="F141" s="32" t="str">
        <f t="shared" si="85"/>
        <v/>
      </c>
      <c r="G141" s="47" t="str">
        <f t="shared" si="86"/>
        <v/>
      </c>
      <c r="H141" s="30" t="str">
        <f t="shared" si="87"/>
        <v/>
      </c>
      <c r="I141" s="46" t="str">
        <f>IF($A141="","",IF(AND($L141&lt;27,$K$12=0),"Building",IFERROR(((SUM($H$135:$H141)+$K$12*IF($L141&lt;6,SUMIFS('Throw Log'!$Q$5:$Q$300,'Throw Log'!$B$5:$B$300,$D$4,'Throw Log'!$A$5:$A$300,"&gt;="&amp;($D$6+$L141-6),'Throw Log'!$A$5:$A$300,"&lt;="&amp;($D$6-1)),0))/7)/((SUM($H$114:$H141)+$K$12*IF($L141&lt;27,SUMIFS('Throw Log'!$Q$5:$Q$300,'Throw Log'!$B$5:$B$300,$D$4,'Throw Log'!$A$5:$A$300,"&gt;="&amp;($D$6+$L141-27),'Throw Log'!$A$5:$A$300,"&lt;="&amp;($D$6-1)),0))/28),"")))</f>
        <v/>
      </c>
      <c r="J141" s="37"/>
      <c r="K141" s="37"/>
      <c r="L141" s="32">
        <v>98</v>
      </c>
      <c r="M141" s="32">
        <f t="shared" si="88"/>
        <v>15</v>
      </c>
      <c r="N141" s="32">
        <f t="shared" si="89"/>
        <v>0</v>
      </c>
      <c r="O141" s="32">
        <f t="shared" si="90"/>
        <v>1</v>
      </c>
      <c r="P141" s="32" t="str">
        <f>IF(OR($A141="",N($C141)&lt;=7),"",$G$6*$G$9^($M141-1)*IF(AND(MOD($M141,Reference!$B$99)=0,$M141&lt;=$G$5-2),Reference!$B$100,1))</f>
        <v/>
      </c>
      <c r="Q141" s="32" t="str">
        <f>IF($P141="","",IF(SUM($AK$141:$AK$147)=0,0,$P141*INDEX(Reference!$B$108:$B$114,$N141+1)/SUM($AK$141:$AK$147)))</f>
        <v/>
      </c>
      <c r="R141" s="32">
        <f t="shared" si="91"/>
        <v>180</v>
      </c>
      <c r="S141" s="32">
        <f t="shared" si="92"/>
        <v>150</v>
      </c>
      <c r="T141" s="32" t="str">
        <f>IF($A141="","",IF($C141=0,"Bullpen",IF(OR($C141=7,$C141=1,$C141=5),"Recovery/Easy Catch",IF($C141=6,"Compression/Pulldowns",IF(OR($C141=4,$C141=2),"Long Toss",IF($C141=3,"No Throw",IF($N141=2,"No Throw",IF($N141=6,IF($O141&lt;Reference!$B$104,"No Throw","Recovery/Easy Catch"),IF(OR($N141=0,$N141=4),"Recovery/Easy Catch",IF($N141=1,IF($R141&gt;75,"Long Toss","Recovery/Easy Catch"),IF($N141=3,IF($O141&lt;0.5,IF($S141&gt;75,"Long Toss","Recovery/Easy Catch"),"Compression/Pulldowns"),IF($S141&gt;75,"Long Toss","Recovery/Easy Catch"))))))))))))</f>
        <v/>
      </c>
      <c r="U141" s="32" t="str">
        <f t="shared" si="93"/>
        <v/>
      </c>
      <c r="V141" s="32" t="str">
        <f t="shared" si="94"/>
        <v/>
      </c>
      <c r="W141" s="32" t="str">
        <f t="shared" si="95"/>
        <v/>
      </c>
      <c r="X141" s="32">
        <f t="shared" si="96"/>
        <v>0</v>
      </c>
      <c r="Y141" s="32" t="str">
        <f t="shared" si="97"/>
        <v/>
      </c>
      <c r="Z141" s="32" t="str">
        <f t="shared" si="98"/>
        <v/>
      </c>
      <c r="AA141" s="32" t="str">
        <f t="shared" si="99"/>
        <v/>
      </c>
      <c r="AB141" s="32" t="str">
        <f>IF($A141="","",IF($T141="No Throw",0,IF($K141&lt;&gt;"",$K141,IF($AA141&lt;&gt;"",ROUND($AA141*$D$12*IF($C141=0,1,$G$10),0),MIN(IF($T141="Recovery/Easy Catch",Reference!$B$103,IF($T141="Long Toss",Reference!$B$106,Reference!$B$102)),MAX(Reference!$B$101,ROUND(MAX(0,$Q141-$AE141)/$AF141,0)))))))</f>
        <v/>
      </c>
      <c r="AC141" s="32">
        <f t="shared" si="100"/>
        <v>0</v>
      </c>
      <c r="AD141" s="32" t="b">
        <f t="shared" si="101"/>
        <v>1</v>
      </c>
      <c r="AE141" s="32">
        <f>IF($X141=0,0,$X141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141+$Z141)/2,0),Reference!$A$17:$B$20,2,TRUE()))</f>
        <v>0</v>
      </c>
      <c r="AF141" s="32">
        <f>IF(OR($A141="",$U141="",$T141="No Throw"),0,$AM141*VLOOKUP(MAX(($V141+$W141)/2,0),Reference!$A$17:$B$20,2,TRUE()))</f>
        <v>0</v>
      </c>
      <c r="AG141" s="32">
        <f>IF($AC141=0,0,$AC141*INDEX(Reference!$B$61:$B$62,MATCH("Bullpen",Reference!$A$61:$A$62,0))*VLOOKUP(MAX($D$5-($D$9+$E$9)/2,0),Reference!$A$17:$B$20,2,TRUE()))</f>
        <v>0</v>
      </c>
      <c r="AH141" s="32" t="e">
        <f t="shared" si="102"/>
        <v>#N/A</v>
      </c>
      <c r="AI141" s="32" t="e">
        <f>IF($A141="",NA(),Reference!$A$25)</f>
        <v>#N/A</v>
      </c>
      <c r="AJ141" s="32" t="e">
        <f t="shared" si="103"/>
        <v>#N/A</v>
      </c>
      <c r="AK141" s="32">
        <f>IF(OR($A141="",N($C141)&lt;=7,$T141="No Throw",$J141="x"),0,INDEX(Reference!$B$108:$B$114,$N141+1))</f>
        <v>0</v>
      </c>
      <c r="AL141" s="32">
        <f t="shared" si="104"/>
        <v>1</v>
      </c>
      <c r="AM141" s="32">
        <f>IF($U141="",0,IF($AL141&gt;1,((IF(1&lt;=$AL141,($AL141-1+3)*(INDEX(Reference!$B$6:$B$11,MIN(5,MATCH(MAX(Reference!$A$6,MIN(Reference!$A$11,MIN($U141,90))),Reference!$A$6:$A$11,1)))+(MAX(Reference!$A$6,MIN(Reference!$A$11,MIN($U141,90)))-INDEX(Reference!$A$6:$A$11,MIN(5,MATCH(MAX(Reference!$A$6,MIN(Reference!$A$11,MIN($U141,90))),Reference!$A$6:$A$11,1))))*(INDEX(Reference!$B$6:$B$11,MIN(5,MATCH(MAX(Reference!$A$6,MIN(Reference!$A$11,MIN($U141,90))),Reference!$A$6:$A$11,1))+1)-INDEX(Reference!$B$6:$B$11,MIN(5,MATCH(MAX(Reference!$A$6,MIN(Reference!$A$11,MIN($U141,90))),Reference!$A$6:$A$11,1))))/(INDEX(Reference!$A$6:$A$11,MIN(5,MATCH(MAX(Reference!$A$6,MIN(Reference!$A$11,MIN($U141,90))),Reference!$A$6:$A$11,1))+1)-INDEX(Reference!$A$6:$A$11,MIN(5,MATCH(MAX(Reference!$A$6,MIN(Reference!$A$11,MIN($U141,90))),Reference!$A$6:$A$11,1))))),0)+IF(2&lt;=$AL141,($AL141-2+3)*(INDEX(Reference!$B$6:$B$11,MIN(5,MATCH(MAX(Reference!$A$6,MIN(Reference!$A$11,MIN($U141,120))),Reference!$A$6:$A$11,1)))+(MAX(Reference!$A$6,MIN(Reference!$A$11,MIN($U141,120)))-INDEX(Reference!$A$6:$A$11,MIN(5,MATCH(MAX(Reference!$A$6,MIN(Reference!$A$11,MIN($U141,120))),Reference!$A$6:$A$11,1))))*(INDEX(Reference!$B$6:$B$11,MIN(5,MATCH(MAX(Reference!$A$6,MIN(Reference!$A$11,MIN($U141,120))),Reference!$A$6:$A$11,1))+1)-INDEX(Reference!$B$6:$B$11,MIN(5,MATCH(MAX(Reference!$A$6,MIN(Reference!$A$11,MIN($U141,120))),Reference!$A$6:$A$11,1))))/(INDEX(Reference!$A$6:$A$11,MIN(5,MATCH(MAX(Reference!$A$6,MIN(Reference!$A$11,MIN($U141,120))),Reference!$A$6:$A$11,1))+1)-INDEX(Reference!$A$6:$A$11,MIN(5,MATCH(MAX(Reference!$A$6,MIN(Reference!$A$11,MIN($U141,120))),Reference!$A$6:$A$11,1))))),0)+IF(3&lt;=$AL141,($AL141-3+3)*(INDEX(Reference!$B$6:$B$11,MIN(5,MATCH(MAX(Reference!$A$6,MIN(Reference!$A$11,MIN($U141,150))),Reference!$A$6:$A$11,1)))+(MAX(Reference!$A$6,MIN(Reference!$A$11,MIN($U141,150)))-INDEX(Reference!$A$6:$A$11,MIN(5,MATCH(MAX(Reference!$A$6,MIN(Reference!$A$11,MIN($U141,150))),Reference!$A$6:$A$11,1))))*(INDEX(Reference!$B$6:$B$11,MIN(5,MATCH(MAX(Reference!$A$6,MIN(Reference!$A$11,MIN($U141,150))),Reference!$A$6:$A$11,1))+1)-INDEX(Reference!$B$6:$B$11,MIN(5,MATCH(MAX(Reference!$A$6,MIN(Reference!$A$11,MIN($U141,150))),Reference!$A$6:$A$11,1))))/(INDEX(Reference!$A$6:$A$11,MIN(5,MATCH(MAX(Reference!$A$6,MIN(Reference!$A$11,MIN($U141,150))),Reference!$A$6:$A$11,1))+1)-INDEX(Reference!$A$6:$A$11,MIN(5,MATCH(MAX(Reference!$A$6,MIN(Reference!$A$11,MIN($U141,150))),Reference!$A$6:$A$11,1))))),0)+IF(4&lt;=$AL141,($AL141-4+3)*(INDEX(Reference!$B$6:$B$11,MIN(5,MATCH(MAX(Reference!$A$6,MIN(Reference!$A$11,MIN($U141,180))),Reference!$A$6:$A$11,1)))+(MAX(Reference!$A$6,MIN(Reference!$A$11,MIN($U141,180)))-INDEX(Reference!$A$6:$A$11,MIN(5,MATCH(MAX(Reference!$A$6,MIN(Reference!$A$11,MIN($U141,180))),Reference!$A$6:$A$11,1))))*(INDEX(Reference!$B$6:$B$11,MIN(5,MATCH(MAX(Reference!$A$6,MIN(Reference!$A$11,MIN($U141,180))),Reference!$A$6:$A$11,1))+1)-INDEX(Reference!$B$6:$B$11,MIN(5,MATCH(MAX(Reference!$A$6,MIN(Reference!$A$11,MIN($U141,180))),Reference!$A$6:$A$11,1))))/(INDEX(Reference!$A$6:$A$11,MIN(5,MATCH(MAX(Reference!$A$6,MIN(Reference!$A$11,MIN($U141,180))),Reference!$A$6:$A$11,1))+1)-INDEX(Reference!$A$6:$A$11,MIN(5,MATCH(MAX(Reference!$A$6,MIN(Reference!$A$11,MIN($U141,180))),Reference!$A$6:$A$11,1))))),0)+IF(5&lt;=$AL141,($AL141-5+3)*(INDEX(Reference!$B$6:$B$11,MIN(5,MATCH(MAX(Reference!$A$6,MIN(Reference!$A$11,MIN($U141,210))),Reference!$A$6:$A$11,1)))+(MAX(Reference!$A$6,MIN(Reference!$A$11,MIN($U141,210)))-INDEX(Reference!$A$6:$A$11,MIN(5,MATCH(MAX(Reference!$A$6,MIN(Reference!$A$11,MIN($U141,210))),Reference!$A$6:$A$11,1))))*(INDEX(Reference!$B$6:$B$11,MIN(5,MATCH(MAX(Reference!$A$6,MIN(Reference!$A$11,MIN($U141,210))),Reference!$A$6:$A$11,1))+1)-INDEX(Reference!$B$6:$B$11,MIN(5,MATCH(MAX(Reference!$A$6,MIN(Reference!$A$11,MIN($U141,210))),Reference!$A$6:$A$11,1))))/(INDEX(Reference!$A$6:$A$11,MIN(5,MATCH(MAX(Reference!$A$6,MIN(Reference!$A$11,MIN($U141,210))),Reference!$A$6:$A$11,1))+1)-INDEX(Reference!$A$6:$A$11,MIN(5,MATCH(MAX(Reference!$A$6,MIN(Reference!$A$11,MIN($U141,210))),Reference!$A$6:$A$11,1))))),0)+IF(6&lt;=$AL141,($AL141-6+3)*(INDEX(Reference!$B$6:$B$11,MIN(5,MATCH(MAX(Reference!$A$6,MIN(Reference!$A$11,MIN($U141,240))),Reference!$A$6:$A$11,1)))+(MAX(Reference!$A$6,MIN(Reference!$A$11,MIN($U141,240)))-INDEX(Reference!$A$6:$A$11,MIN(5,MATCH(MAX(Reference!$A$6,MIN(Reference!$A$11,MIN($U141,240))),Reference!$A$6:$A$11,1))))*(INDEX(Reference!$B$6:$B$11,MIN(5,MATCH(MAX(Reference!$A$6,MIN(Reference!$A$11,MIN($U141,240))),Reference!$A$6:$A$11,1))+1)-INDEX(Reference!$B$6:$B$11,MIN(5,MATCH(MAX(Reference!$A$6,MIN(Reference!$A$11,MIN($U141,240))),Reference!$A$6:$A$11,1))))/(INDEX(Reference!$A$6:$A$11,MIN(5,MATCH(MAX(Reference!$A$6,MIN(Reference!$A$11,MIN($U141,240))),Reference!$A$6:$A$11,1))+1)-INDEX(Reference!$A$6:$A$11,MIN(5,MATCH(MAX(Reference!$A$6,MIN(Reference!$A$11,MIN($U141,240))),Reference!$A$6:$A$11,1))))),0)+IF(7&lt;=$AL141,($AL141-7+3)*(INDEX(Reference!$B$6:$B$11,MIN(5,MATCH(MAX(Reference!$A$6,MIN(Reference!$A$11,MIN($U141,270))),Reference!$A$6:$A$11,1)))+(MAX(Reference!$A$6,MIN(Reference!$A$11,MIN($U141,270)))-INDEX(Reference!$A$6:$A$11,MIN(5,MATCH(MAX(Reference!$A$6,MIN(Reference!$A$11,MIN($U141,270))),Reference!$A$6:$A$11,1))))*(INDEX(Reference!$B$6:$B$11,MIN(5,MATCH(MAX(Reference!$A$6,MIN(Reference!$A$11,MIN($U141,270))),Reference!$A$6:$A$11,1))+1)-INDEX(Reference!$B$6:$B$11,MIN(5,MATCH(MAX(Reference!$A$6,MIN(Reference!$A$11,MIN($U141,270))),Reference!$A$6:$A$11,1))))/(INDEX(Reference!$A$6:$A$11,MIN(5,MATCH(MAX(Reference!$A$6,MIN(Reference!$A$11,MIN($U141,270))),Reference!$A$6:$A$11,1))+1)-INDEX(Reference!$A$6:$A$11,MIN(5,MATCH(MAX(Reference!$A$6,MIN(Reference!$A$11,MIN($U141,270))),Reference!$A$6:$A$11,1))))),0)+IF(8&lt;=$AL141,($AL141-8+3)*(INDEX(Reference!$B$6:$B$11,MIN(5,MATCH(MAX(Reference!$A$6,MIN(Reference!$A$11,MIN($U141,300))),Reference!$A$6:$A$11,1)))+(MAX(Reference!$A$6,MIN(Reference!$A$11,MIN($U141,300)))-INDEX(Reference!$A$6:$A$11,MIN(5,MATCH(MAX(Reference!$A$6,MIN(Reference!$A$11,MIN($U141,300))),Reference!$A$6:$A$11,1))))*(INDEX(Reference!$B$6:$B$11,MIN(5,MATCH(MAX(Reference!$A$6,MIN(Reference!$A$11,MIN($U141,300))),Reference!$A$6:$A$11,1))+1)-INDEX(Reference!$B$6:$B$11,MIN(5,MATCH(MAX(Reference!$A$6,MIN(Reference!$A$11,MIN($U141,300))),Reference!$A$6:$A$11,1))))/(INDEX(Reference!$A$6:$A$11,MIN(5,MATCH(MAX(Reference!$A$6,MIN(Reference!$A$11,MIN($U141,300))),Reference!$A$6:$A$11,1))+1)-INDEX(Reference!$A$6:$A$11,MIN(5,MATCH(MAX(Reference!$A$6,MIN(Reference!$A$11,MIN($U141,300))),Reference!$A$6:$A$11,1))))),0))/($AL141*($AL141+5)/2)),$AN141))</f>
        <v>0</v>
      </c>
      <c r="AN141" s="32">
        <f>IF($U141="",0,(INDEX(Reference!$B$6:$B$11,MIN(5,MATCH(MAX(Reference!$A$6,MIN(Reference!$A$11,$U141)),Reference!$A$6:$A$11,1)))+(MAX(Reference!$A$6,MIN(Reference!$A$11,$U141))-INDEX(Reference!$A$6:$A$11,MIN(5,MATCH(MAX(Reference!$A$6,MIN(Reference!$A$11,$U141)),Reference!$A$6:$A$11,1))))*(INDEX(Reference!$B$6:$B$11,MIN(5,MATCH(MAX(Reference!$A$6,MIN(Reference!$A$11,$U141)),Reference!$A$6:$A$11,1))+1)-INDEX(Reference!$B$6:$B$11,MIN(5,MATCH(MAX(Reference!$A$6,MIN(Reference!$A$11,$U141)),Reference!$A$6:$A$11,1))))/(INDEX(Reference!$A$6:$A$11,MIN(5,MATCH(MAX(Reference!$A$6,MIN(Reference!$A$11,$U141)),Reference!$A$6:$A$11,1))+1)-INDEX(Reference!$A$6:$A$11,MIN(5,MATCH(MAX(Reference!$A$6,MIN(Reference!$A$11,$U141)),Reference!$A$6:$A$11,1))))))</f>
        <v>0</v>
      </c>
      <c r="AO141" s="37"/>
      <c r="AP141" s="37"/>
      <c r="AQ141" s="37"/>
    </row>
    <row r="142" spans="1:43" x14ac:dyDescent="0.3">
      <c r="A142" s="48" t="str">
        <f t="shared" si="80"/>
        <v/>
      </c>
      <c r="B142" s="32" t="str">
        <f t="shared" si="81"/>
        <v/>
      </c>
      <c r="C142" s="32" t="str">
        <f t="shared" si="82"/>
        <v/>
      </c>
      <c r="D142" s="32" t="str">
        <f t="shared" si="83"/>
        <v/>
      </c>
      <c r="E142" s="32" t="str">
        <f t="shared" si="84"/>
        <v/>
      </c>
      <c r="F142" s="32" t="str">
        <f t="shared" si="85"/>
        <v/>
      </c>
      <c r="G142" s="47" t="str">
        <f t="shared" si="86"/>
        <v/>
      </c>
      <c r="H142" s="30" t="str">
        <f t="shared" si="87"/>
        <v/>
      </c>
      <c r="I142" s="46" t="str">
        <f>IF($A142="","",IF(AND($L142&lt;27,$K$12=0),"Building",IFERROR(((SUM($H$136:$H142)+$K$12*IF($L142&lt;6,SUMIFS('Throw Log'!$Q$5:$Q$300,'Throw Log'!$B$5:$B$300,$D$4,'Throw Log'!$A$5:$A$300,"&gt;="&amp;($D$6+$L142-6),'Throw Log'!$A$5:$A$300,"&lt;="&amp;($D$6-1)),0))/7)/((SUM($H$115:$H142)+$K$12*IF($L142&lt;27,SUMIFS('Throw Log'!$Q$5:$Q$300,'Throw Log'!$B$5:$B$300,$D$4,'Throw Log'!$A$5:$A$300,"&gt;="&amp;($D$6+$L142-27),'Throw Log'!$A$5:$A$300,"&lt;="&amp;($D$6-1)),0))/28),"")))</f>
        <v/>
      </c>
      <c r="J142" s="37"/>
      <c r="K142" s="37"/>
      <c r="L142" s="32">
        <v>99</v>
      </c>
      <c r="M142" s="32">
        <f t="shared" si="88"/>
        <v>15</v>
      </c>
      <c r="N142" s="32">
        <f t="shared" si="89"/>
        <v>1</v>
      </c>
      <c r="O142" s="32">
        <f t="shared" si="90"/>
        <v>1</v>
      </c>
      <c r="P142" s="32" t="str">
        <f>IF(OR($A142="",N($C142)&lt;=7),"",$G$6*$G$9^($M142-1)*IF(AND(MOD($M142,Reference!$B$99)=0,$M142&lt;=$G$5-2),Reference!$B$100,1))</f>
        <v/>
      </c>
      <c r="Q142" s="32" t="str">
        <f>IF($P142="","",IF(SUM($AK$141:$AK$147)=0,0,$P142*INDEX(Reference!$B$108:$B$114,$N142+1)/SUM($AK$141:$AK$147)))</f>
        <v/>
      </c>
      <c r="R142" s="32">
        <f t="shared" si="91"/>
        <v>180</v>
      </c>
      <c r="S142" s="32">
        <f t="shared" si="92"/>
        <v>150</v>
      </c>
      <c r="T142" s="32" t="str">
        <f>IF($A142="","",IF($C142=0,"Bullpen",IF(OR($C142=7,$C142=1,$C142=5),"Recovery/Easy Catch",IF($C142=6,"Compression/Pulldowns",IF(OR($C142=4,$C142=2),"Long Toss",IF($C142=3,"No Throw",IF($N142=2,"No Throw",IF($N142=6,IF($O142&lt;Reference!$B$104,"No Throw","Recovery/Easy Catch"),IF(OR($N142=0,$N142=4),"Recovery/Easy Catch",IF($N142=1,IF($R142&gt;75,"Long Toss","Recovery/Easy Catch"),IF($N142=3,IF($O142&lt;0.5,IF($S142&gt;75,"Long Toss","Recovery/Easy Catch"),"Compression/Pulldowns"),IF($S142&gt;75,"Long Toss","Recovery/Easy Catch"))))))))))))</f>
        <v/>
      </c>
      <c r="U142" s="32" t="str">
        <f t="shared" si="93"/>
        <v/>
      </c>
      <c r="V142" s="32" t="str">
        <f t="shared" si="94"/>
        <v/>
      </c>
      <c r="W142" s="32" t="str">
        <f t="shared" si="95"/>
        <v/>
      </c>
      <c r="X142" s="32">
        <f t="shared" si="96"/>
        <v>0</v>
      </c>
      <c r="Y142" s="32" t="str">
        <f t="shared" si="97"/>
        <v/>
      </c>
      <c r="Z142" s="32" t="str">
        <f t="shared" si="98"/>
        <v/>
      </c>
      <c r="AA142" s="32" t="str">
        <f t="shared" si="99"/>
        <v/>
      </c>
      <c r="AB142" s="32" t="str">
        <f>IF($A142="","",IF($T142="No Throw",0,IF($K142&lt;&gt;"",$K142,IF($AA142&lt;&gt;"",ROUND($AA142*$D$12*IF($C142=0,1,$G$10),0),MIN(IF($T142="Recovery/Easy Catch",Reference!$B$103,IF($T142="Long Toss",Reference!$B$106,Reference!$B$102)),MAX(Reference!$B$101,ROUND(MAX(0,$Q142-$AE142)/$AF142,0)))))))</f>
        <v/>
      </c>
      <c r="AC142" s="32">
        <f t="shared" si="100"/>
        <v>0</v>
      </c>
      <c r="AD142" s="32" t="b">
        <f t="shared" si="101"/>
        <v>1</v>
      </c>
      <c r="AE142" s="32">
        <f>IF($X142=0,0,$X142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142+$Z142)/2,0),Reference!$A$17:$B$20,2,TRUE()))</f>
        <v>0</v>
      </c>
      <c r="AF142" s="32">
        <f>IF(OR($A142="",$U142="",$T142="No Throw"),0,$AM142*VLOOKUP(MAX(($V142+$W142)/2,0),Reference!$A$17:$B$20,2,TRUE()))</f>
        <v>0</v>
      </c>
      <c r="AG142" s="32">
        <f>IF($AC142=0,0,$AC142*INDEX(Reference!$B$61:$B$62,MATCH("Bullpen",Reference!$A$61:$A$62,0))*VLOOKUP(MAX($D$5-($D$9+$E$9)/2,0),Reference!$A$17:$B$20,2,TRUE()))</f>
        <v>0</v>
      </c>
      <c r="AH142" s="32" t="e">
        <f t="shared" si="102"/>
        <v>#N/A</v>
      </c>
      <c r="AI142" s="32" t="e">
        <f>IF($A142="",NA(),Reference!$A$25)</f>
        <v>#N/A</v>
      </c>
      <c r="AJ142" s="32" t="e">
        <f t="shared" si="103"/>
        <v>#N/A</v>
      </c>
      <c r="AK142" s="32">
        <f>IF(OR($A142="",N($C142)&lt;=7,$T142="No Throw",$J142="x"),0,INDEX(Reference!$B$108:$B$114,$N142+1))</f>
        <v>0</v>
      </c>
      <c r="AL142" s="32">
        <f t="shared" si="104"/>
        <v>1</v>
      </c>
      <c r="AM142" s="32">
        <f>IF($U142="",0,IF($AL142&gt;1,((IF(1&lt;=$AL142,($AL142-1+3)*(INDEX(Reference!$B$6:$B$11,MIN(5,MATCH(MAX(Reference!$A$6,MIN(Reference!$A$11,MIN($U142,90))),Reference!$A$6:$A$11,1)))+(MAX(Reference!$A$6,MIN(Reference!$A$11,MIN($U142,90)))-INDEX(Reference!$A$6:$A$11,MIN(5,MATCH(MAX(Reference!$A$6,MIN(Reference!$A$11,MIN($U142,90))),Reference!$A$6:$A$11,1))))*(INDEX(Reference!$B$6:$B$11,MIN(5,MATCH(MAX(Reference!$A$6,MIN(Reference!$A$11,MIN($U142,90))),Reference!$A$6:$A$11,1))+1)-INDEX(Reference!$B$6:$B$11,MIN(5,MATCH(MAX(Reference!$A$6,MIN(Reference!$A$11,MIN($U142,90))),Reference!$A$6:$A$11,1))))/(INDEX(Reference!$A$6:$A$11,MIN(5,MATCH(MAX(Reference!$A$6,MIN(Reference!$A$11,MIN($U142,90))),Reference!$A$6:$A$11,1))+1)-INDEX(Reference!$A$6:$A$11,MIN(5,MATCH(MAX(Reference!$A$6,MIN(Reference!$A$11,MIN($U142,90))),Reference!$A$6:$A$11,1))))),0)+IF(2&lt;=$AL142,($AL142-2+3)*(INDEX(Reference!$B$6:$B$11,MIN(5,MATCH(MAX(Reference!$A$6,MIN(Reference!$A$11,MIN($U142,120))),Reference!$A$6:$A$11,1)))+(MAX(Reference!$A$6,MIN(Reference!$A$11,MIN($U142,120)))-INDEX(Reference!$A$6:$A$11,MIN(5,MATCH(MAX(Reference!$A$6,MIN(Reference!$A$11,MIN($U142,120))),Reference!$A$6:$A$11,1))))*(INDEX(Reference!$B$6:$B$11,MIN(5,MATCH(MAX(Reference!$A$6,MIN(Reference!$A$11,MIN($U142,120))),Reference!$A$6:$A$11,1))+1)-INDEX(Reference!$B$6:$B$11,MIN(5,MATCH(MAX(Reference!$A$6,MIN(Reference!$A$11,MIN($U142,120))),Reference!$A$6:$A$11,1))))/(INDEX(Reference!$A$6:$A$11,MIN(5,MATCH(MAX(Reference!$A$6,MIN(Reference!$A$11,MIN($U142,120))),Reference!$A$6:$A$11,1))+1)-INDEX(Reference!$A$6:$A$11,MIN(5,MATCH(MAX(Reference!$A$6,MIN(Reference!$A$11,MIN($U142,120))),Reference!$A$6:$A$11,1))))),0)+IF(3&lt;=$AL142,($AL142-3+3)*(INDEX(Reference!$B$6:$B$11,MIN(5,MATCH(MAX(Reference!$A$6,MIN(Reference!$A$11,MIN($U142,150))),Reference!$A$6:$A$11,1)))+(MAX(Reference!$A$6,MIN(Reference!$A$11,MIN($U142,150)))-INDEX(Reference!$A$6:$A$11,MIN(5,MATCH(MAX(Reference!$A$6,MIN(Reference!$A$11,MIN($U142,150))),Reference!$A$6:$A$11,1))))*(INDEX(Reference!$B$6:$B$11,MIN(5,MATCH(MAX(Reference!$A$6,MIN(Reference!$A$11,MIN($U142,150))),Reference!$A$6:$A$11,1))+1)-INDEX(Reference!$B$6:$B$11,MIN(5,MATCH(MAX(Reference!$A$6,MIN(Reference!$A$11,MIN($U142,150))),Reference!$A$6:$A$11,1))))/(INDEX(Reference!$A$6:$A$11,MIN(5,MATCH(MAX(Reference!$A$6,MIN(Reference!$A$11,MIN($U142,150))),Reference!$A$6:$A$11,1))+1)-INDEX(Reference!$A$6:$A$11,MIN(5,MATCH(MAX(Reference!$A$6,MIN(Reference!$A$11,MIN($U142,150))),Reference!$A$6:$A$11,1))))),0)+IF(4&lt;=$AL142,($AL142-4+3)*(INDEX(Reference!$B$6:$B$11,MIN(5,MATCH(MAX(Reference!$A$6,MIN(Reference!$A$11,MIN($U142,180))),Reference!$A$6:$A$11,1)))+(MAX(Reference!$A$6,MIN(Reference!$A$11,MIN($U142,180)))-INDEX(Reference!$A$6:$A$11,MIN(5,MATCH(MAX(Reference!$A$6,MIN(Reference!$A$11,MIN($U142,180))),Reference!$A$6:$A$11,1))))*(INDEX(Reference!$B$6:$B$11,MIN(5,MATCH(MAX(Reference!$A$6,MIN(Reference!$A$11,MIN($U142,180))),Reference!$A$6:$A$11,1))+1)-INDEX(Reference!$B$6:$B$11,MIN(5,MATCH(MAX(Reference!$A$6,MIN(Reference!$A$11,MIN($U142,180))),Reference!$A$6:$A$11,1))))/(INDEX(Reference!$A$6:$A$11,MIN(5,MATCH(MAX(Reference!$A$6,MIN(Reference!$A$11,MIN($U142,180))),Reference!$A$6:$A$11,1))+1)-INDEX(Reference!$A$6:$A$11,MIN(5,MATCH(MAX(Reference!$A$6,MIN(Reference!$A$11,MIN($U142,180))),Reference!$A$6:$A$11,1))))),0)+IF(5&lt;=$AL142,($AL142-5+3)*(INDEX(Reference!$B$6:$B$11,MIN(5,MATCH(MAX(Reference!$A$6,MIN(Reference!$A$11,MIN($U142,210))),Reference!$A$6:$A$11,1)))+(MAX(Reference!$A$6,MIN(Reference!$A$11,MIN($U142,210)))-INDEX(Reference!$A$6:$A$11,MIN(5,MATCH(MAX(Reference!$A$6,MIN(Reference!$A$11,MIN($U142,210))),Reference!$A$6:$A$11,1))))*(INDEX(Reference!$B$6:$B$11,MIN(5,MATCH(MAX(Reference!$A$6,MIN(Reference!$A$11,MIN($U142,210))),Reference!$A$6:$A$11,1))+1)-INDEX(Reference!$B$6:$B$11,MIN(5,MATCH(MAX(Reference!$A$6,MIN(Reference!$A$11,MIN($U142,210))),Reference!$A$6:$A$11,1))))/(INDEX(Reference!$A$6:$A$11,MIN(5,MATCH(MAX(Reference!$A$6,MIN(Reference!$A$11,MIN($U142,210))),Reference!$A$6:$A$11,1))+1)-INDEX(Reference!$A$6:$A$11,MIN(5,MATCH(MAX(Reference!$A$6,MIN(Reference!$A$11,MIN($U142,210))),Reference!$A$6:$A$11,1))))),0)+IF(6&lt;=$AL142,($AL142-6+3)*(INDEX(Reference!$B$6:$B$11,MIN(5,MATCH(MAX(Reference!$A$6,MIN(Reference!$A$11,MIN($U142,240))),Reference!$A$6:$A$11,1)))+(MAX(Reference!$A$6,MIN(Reference!$A$11,MIN($U142,240)))-INDEX(Reference!$A$6:$A$11,MIN(5,MATCH(MAX(Reference!$A$6,MIN(Reference!$A$11,MIN($U142,240))),Reference!$A$6:$A$11,1))))*(INDEX(Reference!$B$6:$B$11,MIN(5,MATCH(MAX(Reference!$A$6,MIN(Reference!$A$11,MIN($U142,240))),Reference!$A$6:$A$11,1))+1)-INDEX(Reference!$B$6:$B$11,MIN(5,MATCH(MAX(Reference!$A$6,MIN(Reference!$A$11,MIN($U142,240))),Reference!$A$6:$A$11,1))))/(INDEX(Reference!$A$6:$A$11,MIN(5,MATCH(MAX(Reference!$A$6,MIN(Reference!$A$11,MIN($U142,240))),Reference!$A$6:$A$11,1))+1)-INDEX(Reference!$A$6:$A$11,MIN(5,MATCH(MAX(Reference!$A$6,MIN(Reference!$A$11,MIN($U142,240))),Reference!$A$6:$A$11,1))))),0)+IF(7&lt;=$AL142,($AL142-7+3)*(INDEX(Reference!$B$6:$B$11,MIN(5,MATCH(MAX(Reference!$A$6,MIN(Reference!$A$11,MIN($U142,270))),Reference!$A$6:$A$11,1)))+(MAX(Reference!$A$6,MIN(Reference!$A$11,MIN($U142,270)))-INDEX(Reference!$A$6:$A$11,MIN(5,MATCH(MAX(Reference!$A$6,MIN(Reference!$A$11,MIN($U142,270))),Reference!$A$6:$A$11,1))))*(INDEX(Reference!$B$6:$B$11,MIN(5,MATCH(MAX(Reference!$A$6,MIN(Reference!$A$11,MIN($U142,270))),Reference!$A$6:$A$11,1))+1)-INDEX(Reference!$B$6:$B$11,MIN(5,MATCH(MAX(Reference!$A$6,MIN(Reference!$A$11,MIN($U142,270))),Reference!$A$6:$A$11,1))))/(INDEX(Reference!$A$6:$A$11,MIN(5,MATCH(MAX(Reference!$A$6,MIN(Reference!$A$11,MIN($U142,270))),Reference!$A$6:$A$11,1))+1)-INDEX(Reference!$A$6:$A$11,MIN(5,MATCH(MAX(Reference!$A$6,MIN(Reference!$A$11,MIN($U142,270))),Reference!$A$6:$A$11,1))))),0)+IF(8&lt;=$AL142,($AL142-8+3)*(INDEX(Reference!$B$6:$B$11,MIN(5,MATCH(MAX(Reference!$A$6,MIN(Reference!$A$11,MIN($U142,300))),Reference!$A$6:$A$11,1)))+(MAX(Reference!$A$6,MIN(Reference!$A$11,MIN($U142,300)))-INDEX(Reference!$A$6:$A$11,MIN(5,MATCH(MAX(Reference!$A$6,MIN(Reference!$A$11,MIN($U142,300))),Reference!$A$6:$A$11,1))))*(INDEX(Reference!$B$6:$B$11,MIN(5,MATCH(MAX(Reference!$A$6,MIN(Reference!$A$11,MIN($U142,300))),Reference!$A$6:$A$11,1))+1)-INDEX(Reference!$B$6:$B$11,MIN(5,MATCH(MAX(Reference!$A$6,MIN(Reference!$A$11,MIN($U142,300))),Reference!$A$6:$A$11,1))))/(INDEX(Reference!$A$6:$A$11,MIN(5,MATCH(MAX(Reference!$A$6,MIN(Reference!$A$11,MIN($U142,300))),Reference!$A$6:$A$11,1))+1)-INDEX(Reference!$A$6:$A$11,MIN(5,MATCH(MAX(Reference!$A$6,MIN(Reference!$A$11,MIN($U142,300))),Reference!$A$6:$A$11,1))))),0))/($AL142*($AL142+5)/2)),$AN142))</f>
        <v>0</v>
      </c>
      <c r="AN142" s="32">
        <f>IF($U142="",0,(INDEX(Reference!$B$6:$B$11,MIN(5,MATCH(MAX(Reference!$A$6,MIN(Reference!$A$11,$U142)),Reference!$A$6:$A$11,1)))+(MAX(Reference!$A$6,MIN(Reference!$A$11,$U142))-INDEX(Reference!$A$6:$A$11,MIN(5,MATCH(MAX(Reference!$A$6,MIN(Reference!$A$11,$U142)),Reference!$A$6:$A$11,1))))*(INDEX(Reference!$B$6:$B$11,MIN(5,MATCH(MAX(Reference!$A$6,MIN(Reference!$A$11,$U142)),Reference!$A$6:$A$11,1))+1)-INDEX(Reference!$B$6:$B$11,MIN(5,MATCH(MAX(Reference!$A$6,MIN(Reference!$A$11,$U142)),Reference!$A$6:$A$11,1))))/(INDEX(Reference!$A$6:$A$11,MIN(5,MATCH(MAX(Reference!$A$6,MIN(Reference!$A$11,$U142)),Reference!$A$6:$A$11,1))+1)-INDEX(Reference!$A$6:$A$11,MIN(5,MATCH(MAX(Reference!$A$6,MIN(Reference!$A$11,$U142)),Reference!$A$6:$A$11,1))))))</f>
        <v>0</v>
      </c>
      <c r="AO142" s="37"/>
      <c r="AP142" s="37"/>
      <c r="AQ142" s="37"/>
    </row>
    <row r="143" spans="1:43" x14ac:dyDescent="0.3">
      <c r="A143" s="48" t="str">
        <f t="shared" si="80"/>
        <v/>
      </c>
      <c r="B143" s="32" t="str">
        <f t="shared" si="81"/>
        <v/>
      </c>
      <c r="C143" s="32" t="str">
        <f t="shared" si="82"/>
        <v/>
      </c>
      <c r="D143" s="32" t="str">
        <f t="shared" si="83"/>
        <v/>
      </c>
      <c r="E143" s="32" t="str">
        <f t="shared" si="84"/>
        <v/>
      </c>
      <c r="F143" s="32" t="str">
        <f t="shared" si="85"/>
        <v/>
      </c>
      <c r="G143" s="47" t="str">
        <f t="shared" si="86"/>
        <v/>
      </c>
      <c r="H143" s="30" t="str">
        <f t="shared" si="87"/>
        <v/>
      </c>
      <c r="I143" s="46" t="str">
        <f>IF($A143="","",IF(AND($L143&lt;27,$K$12=0),"Building",IFERROR(((SUM($H$137:$H143)+$K$12*IF($L143&lt;6,SUMIFS('Throw Log'!$Q$5:$Q$300,'Throw Log'!$B$5:$B$300,$D$4,'Throw Log'!$A$5:$A$300,"&gt;="&amp;($D$6+$L143-6),'Throw Log'!$A$5:$A$300,"&lt;="&amp;($D$6-1)),0))/7)/((SUM($H$116:$H143)+$K$12*IF($L143&lt;27,SUMIFS('Throw Log'!$Q$5:$Q$300,'Throw Log'!$B$5:$B$300,$D$4,'Throw Log'!$A$5:$A$300,"&gt;="&amp;($D$6+$L143-27),'Throw Log'!$A$5:$A$300,"&lt;="&amp;($D$6-1)),0))/28),"")))</f>
        <v/>
      </c>
      <c r="J143" s="37"/>
      <c r="K143" s="37"/>
      <c r="L143" s="32">
        <v>100</v>
      </c>
      <c r="M143" s="32">
        <f t="shared" si="88"/>
        <v>15</v>
      </c>
      <c r="N143" s="32">
        <f t="shared" si="89"/>
        <v>2</v>
      </c>
      <c r="O143" s="32">
        <f t="shared" si="90"/>
        <v>1</v>
      </c>
      <c r="P143" s="32" t="str">
        <f>IF(OR($A143="",N($C143)&lt;=7),"",$G$6*$G$9^($M143-1)*IF(AND(MOD($M143,Reference!$B$99)=0,$M143&lt;=$G$5-2),Reference!$B$100,1))</f>
        <v/>
      </c>
      <c r="Q143" s="32" t="str">
        <f>IF($P143="","",IF(SUM($AK$141:$AK$147)=0,0,$P143*INDEX(Reference!$B$108:$B$114,$N143+1)/SUM($AK$141:$AK$147)))</f>
        <v/>
      </c>
      <c r="R143" s="32">
        <f t="shared" si="91"/>
        <v>180</v>
      </c>
      <c r="S143" s="32">
        <f t="shared" si="92"/>
        <v>150</v>
      </c>
      <c r="T143" s="32" t="str">
        <f>IF($A143="","",IF($C143=0,"Bullpen",IF(OR($C143=7,$C143=1,$C143=5),"Recovery/Easy Catch",IF($C143=6,"Compression/Pulldowns",IF(OR($C143=4,$C143=2),"Long Toss",IF($C143=3,"No Throw",IF($N143=2,"No Throw",IF($N143=6,IF($O143&lt;Reference!$B$104,"No Throw","Recovery/Easy Catch"),IF(OR($N143=0,$N143=4),"Recovery/Easy Catch",IF($N143=1,IF($R143&gt;75,"Long Toss","Recovery/Easy Catch"),IF($N143=3,IF($O143&lt;0.5,IF($S143&gt;75,"Long Toss","Recovery/Easy Catch"),"Compression/Pulldowns"),IF($S143&gt;75,"Long Toss","Recovery/Easy Catch"))))))))))))</f>
        <v/>
      </c>
      <c r="U143" s="32" t="str">
        <f t="shared" si="93"/>
        <v/>
      </c>
      <c r="V143" s="32" t="str">
        <f t="shared" si="94"/>
        <v/>
      </c>
      <c r="W143" s="32" t="str">
        <f t="shared" si="95"/>
        <v/>
      </c>
      <c r="X143" s="32">
        <f t="shared" si="96"/>
        <v>0</v>
      </c>
      <c r="Y143" s="32" t="str">
        <f t="shared" si="97"/>
        <v/>
      </c>
      <c r="Z143" s="32" t="str">
        <f t="shared" si="98"/>
        <v/>
      </c>
      <c r="AA143" s="32" t="str">
        <f t="shared" si="99"/>
        <v/>
      </c>
      <c r="AB143" s="32" t="str">
        <f>IF($A143="","",IF($T143="No Throw",0,IF($K143&lt;&gt;"",$K143,IF($AA143&lt;&gt;"",ROUND($AA143*$D$12*IF($C143=0,1,$G$10),0),MIN(IF($T143="Recovery/Easy Catch",Reference!$B$103,IF($T143="Long Toss",Reference!$B$106,Reference!$B$102)),MAX(Reference!$B$101,ROUND(MAX(0,$Q143-$AE143)/$AF143,0)))))))</f>
        <v/>
      </c>
      <c r="AC143" s="32">
        <f t="shared" si="100"/>
        <v>0</v>
      </c>
      <c r="AD143" s="32" t="b">
        <f t="shared" si="101"/>
        <v>1</v>
      </c>
      <c r="AE143" s="32">
        <f>IF($X143=0,0,$X143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143+$Z143)/2,0),Reference!$A$17:$B$20,2,TRUE()))</f>
        <v>0</v>
      </c>
      <c r="AF143" s="32">
        <f>IF(OR($A143="",$U143="",$T143="No Throw"),0,$AM143*VLOOKUP(MAX(($V143+$W143)/2,0),Reference!$A$17:$B$20,2,TRUE()))</f>
        <v>0</v>
      </c>
      <c r="AG143" s="32">
        <f>IF($AC143=0,0,$AC143*INDEX(Reference!$B$61:$B$62,MATCH("Bullpen",Reference!$A$61:$A$62,0))*VLOOKUP(MAX($D$5-($D$9+$E$9)/2,0),Reference!$A$17:$B$20,2,TRUE()))</f>
        <v>0</v>
      </c>
      <c r="AH143" s="32" t="e">
        <f t="shared" si="102"/>
        <v>#N/A</v>
      </c>
      <c r="AI143" s="32" t="e">
        <f>IF($A143="",NA(),Reference!$A$25)</f>
        <v>#N/A</v>
      </c>
      <c r="AJ143" s="32" t="e">
        <f t="shared" si="103"/>
        <v>#N/A</v>
      </c>
      <c r="AK143" s="32">
        <f>IF(OR($A143="",N($C143)&lt;=7,$T143="No Throw",$J143="x"),0,INDEX(Reference!$B$108:$B$114,$N143+1))</f>
        <v>0</v>
      </c>
      <c r="AL143" s="32">
        <f t="shared" si="104"/>
        <v>1</v>
      </c>
      <c r="AM143" s="32">
        <f>IF($U143="",0,IF($AL143&gt;1,((IF(1&lt;=$AL143,($AL143-1+3)*(INDEX(Reference!$B$6:$B$11,MIN(5,MATCH(MAX(Reference!$A$6,MIN(Reference!$A$11,MIN($U143,90))),Reference!$A$6:$A$11,1)))+(MAX(Reference!$A$6,MIN(Reference!$A$11,MIN($U143,90)))-INDEX(Reference!$A$6:$A$11,MIN(5,MATCH(MAX(Reference!$A$6,MIN(Reference!$A$11,MIN($U143,90))),Reference!$A$6:$A$11,1))))*(INDEX(Reference!$B$6:$B$11,MIN(5,MATCH(MAX(Reference!$A$6,MIN(Reference!$A$11,MIN($U143,90))),Reference!$A$6:$A$11,1))+1)-INDEX(Reference!$B$6:$B$11,MIN(5,MATCH(MAX(Reference!$A$6,MIN(Reference!$A$11,MIN($U143,90))),Reference!$A$6:$A$11,1))))/(INDEX(Reference!$A$6:$A$11,MIN(5,MATCH(MAX(Reference!$A$6,MIN(Reference!$A$11,MIN($U143,90))),Reference!$A$6:$A$11,1))+1)-INDEX(Reference!$A$6:$A$11,MIN(5,MATCH(MAX(Reference!$A$6,MIN(Reference!$A$11,MIN($U143,90))),Reference!$A$6:$A$11,1))))),0)+IF(2&lt;=$AL143,($AL143-2+3)*(INDEX(Reference!$B$6:$B$11,MIN(5,MATCH(MAX(Reference!$A$6,MIN(Reference!$A$11,MIN($U143,120))),Reference!$A$6:$A$11,1)))+(MAX(Reference!$A$6,MIN(Reference!$A$11,MIN($U143,120)))-INDEX(Reference!$A$6:$A$11,MIN(5,MATCH(MAX(Reference!$A$6,MIN(Reference!$A$11,MIN($U143,120))),Reference!$A$6:$A$11,1))))*(INDEX(Reference!$B$6:$B$11,MIN(5,MATCH(MAX(Reference!$A$6,MIN(Reference!$A$11,MIN($U143,120))),Reference!$A$6:$A$11,1))+1)-INDEX(Reference!$B$6:$B$11,MIN(5,MATCH(MAX(Reference!$A$6,MIN(Reference!$A$11,MIN($U143,120))),Reference!$A$6:$A$11,1))))/(INDEX(Reference!$A$6:$A$11,MIN(5,MATCH(MAX(Reference!$A$6,MIN(Reference!$A$11,MIN($U143,120))),Reference!$A$6:$A$11,1))+1)-INDEX(Reference!$A$6:$A$11,MIN(5,MATCH(MAX(Reference!$A$6,MIN(Reference!$A$11,MIN($U143,120))),Reference!$A$6:$A$11,1))))),0)+IF(3&lt;=$AL143,($AL143-3+3)*(INDEX(Reference!$B$6:$B$11,MIN(5,MATCH(MAX(Reference!$A$6,MIN(Reference!$A$11,MIN($U143,150))),Reference!$A$6:$A$11,1)))+(MAX(Reference!$A$6,MIN(Reference!$A$11,MIN($U143,150)))-INDEX(Reference!$A$6:$A$11,MIN(5,MATCH(MAX(Reference!$A$6,MIN(Reference!$A$11,MIN($U143,150))),Reference!$A$6:$A$11,1))))*(INDEX(Reference!$B$6:$B$11,MIN(5,MATCH(MAX(Reference!$A$6,MIN(Reference!$A$11,MIN($U143,150))),Reference!$A$6:$A$11,1))+1)-INDEX(Reference!$B$6:$B$11,MIN(5,MATCH(MAX(Reference!$A$6,MIN(Reference!$A$11,MIN($U143,150))),Reference!$A$6:$A$11,1))))/(INDEX(Reference!$A$6:$A$11,MIN(5,MATCH(MAX(Reference!$A$6,MIN(Reference!$A$11,MIN($U143,150))),Reference!$A$6:$A$11,1))+1)-INDEX(Reference!$A$6:$A$11,MIN(5,MATCH(MAX(Reference!$A$6,MIN(Reference!$A$11,MIN($U143,150))),Reference!$A$6:$A$11,1))))),0)+IF(4&lt;=$AL143,($AL143-4+3)*(INDEX(Reference!$B$6:$B$11,MIN(5,MATCH(MAX(Reference!$A$6,MIN(Reference!$A$11,MIN($U143,180))),Reference!$A$6:$A$11,1)))+(MAX(Reference!$A$6,MIN(Reference!$A$11,MIN($U143,180)))-INDEX(Reference!$A$6:$A$11,MIN(5,MATCH(MAX(Reference!$A$6,MIN(Reference!$A$11,MIN($U143,180))),Reference!$A$6:$A$11,1))))*(INDEX(Reference!$B$6:$B$11,MIN(5,MATCH(MAX(Reference!$A$6,MIN(Reference!$A$11,MIN($U143,180))),Reference!$A$6:$A$11,1))+1)-INDEX(Reference!$B$6:$B$11,MIN(5,MATCH(MAX(Reference!$A$6,MIN(Reference!$A$11,MIN($U143,180))),Reference!$A$6:$A$11,1))))/(INDEX(Reference!$A$6:$A$11,MIN(5,MATCH(MAX(Reference!$A$6,MIN(Reference!$A$11,MIN($U143,180))),Reference!$A$6:$A$11,1))+1)-INDEX(Reference!$A$6:$A$11,MIN(5,MATCH(MAX(Reference!$A$6,MIN(Reference!$A$11,MIN($U143,180))),Reference!$A$6:$A$11,1))))),0)+IF(5&lt;=$AL143,($AL143-5+3)*(INDEX(Reference!$B$6:$B$11,MIN(5,MATCH(MAX(Reference!$A$6,MIN(Reference!$A$11,MIN($U143,210))),Reference!$A$6:$A$11,1)))+(MAX(Reference!$A$6,MIN(Reference!$A$11,MIN($U143,210)))-INDEX(Reference!$A$6:$A$11,MIN(5,MATCH(MAX(Reference!$A$6,MIN(Reference!$A$11,MIN($U143,210))),Reference!$A$6:$A$11,1))))*(INDEX(Reference!$B$6:$B$11,MIN(5,MATCH(MAX(Reference!$A$6,MIN(Reference!$A$11,MIN($U143,210))),Reference!$A$6:$A$11,1))+1)-INDEX(Reference!$B$6:$B$11,MIN(5,MATCH(MAX(Reference!$A$6,MIN(Reference!$A$11,MIN($U143,210))),Reference!$A$6:$A$11,1))))/(INDEX(Reference!$A$6:$A$11,MIN(5,MATCH(MAX(Reference!$A$6,MIN(Reference!$A$11,MIN($U143,210))),Reference!$A$6:$A$11,1))+1)-INDEX(Reference!$A$6:$A$11,MIN(5,MATCH(MAX(Reference!$A$6,MIN(Reference!$A$11,MIN($U143,210))),Reference!$A$6:$A$11,1))))),0)+IF(6&lt;=$AL143,($AL143-6+3)*(INDEX(Reference!$B$6:$B$11,MIN(5,MATCH(MAX(Reference!$A$6,MIN(Reference!$A$11,MIN($U143,240))),Reference!$A$6:$A$11,1)))+(MAX(Reference!$A$6,MIN(Reference!$A$11,MIN($U143,240)))-INDEX(Reference!$A$6:$A$11,MIN(5,MATCH(MAX(Reference!$A$6,MIN(Reference!$A$11,MIN($U143,240))),Reference!$A$6:$A$11,1))))*(INDEX(Reference!$B$6:$B$11,MIN(5,MATCH(MAX(Reference!$A$6,MIN(Reference!$A$11,MIN($U143,240))),Reference!$A$6:$A$11,1))+1)-INDEX(Reference!$B$6:$B$11,MIN(5,MATCH(MAX(Reference!$A$6,MIN(Reference!$A$11,MIN($U143,240))),Reference!$A$6:$A$11,1))))/(INDEX(Reference!$A$6:$A$11,MIN(5,MATCH(MAX(Reference!$A$6,MIN(Reference!$A$11,MIN($U143,240))),Reference!$A$6:$A$11,1))+1)-INDEX(Reference!$A$6:$A$11,MIN(5,MATCH(MAX(Reference!$A$6,MIN(Reference!$A$11,MIN($U143,240))),Reference!$A$6:$A$11,1))))),0)+IF(7&lt;=$AL143,($AL143-7+3)*(INDEX(Reference!$B$6:$B$11,MIN(5,MATCH(MAX(Reference!$A$6,MIN(Reference!$A$11,MIN($U143,270))),Reference!$A$6:$A$11,1)))+(MAX(Reference!$A$6,MIN(Reference!$A$11,MIN($U143,270)))-INDEX(Reference!$A$6:$A$11,MIN(5,MATCH(MAX(Reference!$A$6,MIN(Reference!$A$11,MIN($U143,270))),Reference!$A$6:$A$11,1))))*(INDEX(Reference!$B$6:$B$11,MIN(5,MATCH(MAX(Reference!$A$6,MIN(Reference!$A$11,MIN($U143,270))),Reference!$A$6:$A$11,1))+1)-INDEX(Reference!$B$6:$B$11,MIN(5,MATCH(MAX(Reference!$A$6,MIN(Reference!$A$11,MIN($U143,270))),Reference!$A$6:$A$11,1))))/(INDEX(Reference!$A$6:$A$11,MIN(5,MATCH(MAX(Reference!$A$6,MIN(Reference!$A$11,MIN($U143,270))),Reference!$A$6:$A$11,1))+1)-INDEX(Reference!$A$6:$A$11,MIN(5,MATCH(MAX(Reference!$A$6,MIN(Reference!$A$11,MIN($U143,270))),Reference!$A$6:$A$11,1))))),0)+IF(8&lt;=$AL143,($AL143-8+3)*(INDEX(Reference!$B$6:$B$11,MIN(5,MATCH(MAX(Reference!$A$6,MIN(Reference!$A$11,MIN($U143,300))),Reference!$A$6:$A$11,1)))+(MAX(Reference!$A$6,MIN(Reference!$A$11,MIN($U143,300)))-INDEX(Reference!$A$6:$A$11,MIN(5,MATCH(MAX(Reference!$A$6,MIN(Reference!$A$11,MIN($U143,300))),Reference!$A$6:$A$11,1))))*(INDEX(Reference!$B$6:$B$11,MIN(5,MATCH(MAX(Reference!$A$6,MIN(Reference!$A$11,MIN($U143,300))),Reference!$A$6:$A$11,1))+1)-INDEX(Reference!$B$6:$B$11,MIN(5,MATCH(MAX(Reference!$A$6,MIN(Reference!$A$11,MIN($U143,300))),Reference!$A$6:$A$11,1))))/(INDEX(Reference!$A$6:$A$11,MIN(5,MATCH(MAX(Reference!$A$6,MIN(Reference!$A$11,MIN($U143,300))),Reference!$A$6:$A$11,1))+1)-INDEX(Reference!$A$6:$A$11,MIN(5,MATCH(MAX(Reference!$A$6,MIN(Reference!$A$11,MIN($U143,300))),Reference!$A$6:$A$11,1))))),0))/($AL143*($AL143+5)/2)),$AN143))</f>
        <v>0</v>
      </c>
      <c r="AN143" s="32">
        <f>IF($U143="",0,(INDEX(Reference!$B$6:$B$11,MIN(5,MATCH(MAX(Reference!$A$6,MIN(Reference!$A$11,$U143)),Reference!$A$6:$A$11,1)))+(MAX(Reference!$A$6,MIN(Reference!$A$11,$U143))-INDEX(Reference!$A$6:$A$11,MIN(5,MATCH(MAX(Reference!$A$6,MIN(Reference!$A$11,$U143)),Reference!$A$6:$A$11,1))))*(INDEX(Reference!$B$6:$B$11,MIN(5,MATCH(MAX(Reference!$A$6,MIN(Reference!$A$11,$U143)),Reference!$A$6:$A$11,1))+1)-INDEX(Reference!$B$6:$B$11,MIN(5,MATCH(MAX(Reference!$A$6,MIN(Reference!$A$11,$U143)),Reference!$A$6:$A$11,1))))/(INDEX(Reference!$A$6:$A$11,MIN(5,MATCH(MAX(Reference!$A$6,MIN(Reference!$A$11,$U143)),Reference!$A$6:$A$11,1))+1)-INDEX(Reference!$A$6:$A$11,MIN(5,MATCH(MAX(Reference!$A$6,MIN(Reference!$A$11,$U143)),Reference!$A$6:$A$11,1))))))</f>
        <v>0</v>
      </c>
      <c r="AO143" s="37"/>
      <c r="AP143" s="37"/>
      <c r="AQ143" s="37"/>
    </row>
    <row r="144" spans="1:43" x14ac:dyDescent="0.3">
      <c r="A144" s="48" t="str">
        <f t="shared" si="80"/>
        <v/>
      </c>
      <c r="B144" s="32" t="str">
        <f t="shared" si="81"/>
        <v/>
      </c>
      <c r="C144" s="32" t="str">
        <f t="shared" si="82"/>
        <v/>
      </c>
      <c r="D144" s="32" t="str">
        <f t="shared" si="83"/>
        <v/>
      </c>
      <c r="E144" s="32" t="str">
        <f t="shared" si="84"/>
        <v/>
      </c>
      <c r="F144" s="32" t="str">
        <f t="shared" si="85"/>
        <v/>
      </c>
      <c r="G144" s="47" t="str">
        <f t="shared" si="86"/>
        <v/>
      </c>
      <c r="H144" s="30" t="str">
        <f t="shared" si="87"/>
        <v/>
      </c>
      <c r="I144" s="46" t="str">
        <f>IF($A144="","",IF(AND($L144&lt;27,$K$12=0),"Building",IFERROR(((SUM($H$138:$H144)+$K$12*IF($L144&lt;6,SUMIFS('Throw Log'!$Q$5:$Q$300,'Throw Log'!$B$5:$B$300,$D$4,'Throw Log'!$A$5:$A$300,"&gt;="&amp;($D$6+$L144-6),'Throw Log'!$A$5:$A$300,"&lt;="&amp;($D$6-1)),0))/7)/((SUM($H$117:$H144)+$K$12*IF($L144&lt;27,SUMIFS('Throw Log'!$Q$5:$Q$300,'Throw Log'!$B$5:$B$300,$D$4,'Throw Log'!$A$5:$A$300,"&gt;="&amp;($D$6+$L144-27),'Throw Log'!$A$5:$A$300,"&lt;="&amp;($D$6-1)),0))/28),"")))</f>
        <v/>
      </c>
      <c r="J144" s="37"/>
      <c r="K144" s="37"/>
      <c r="L144" s="32">
        <v>101</v>
      </c>
      <c r="M144" s="32">
        <f t="shared" si="88"/>
        <v>15</v>
      </c>
      <c r="N144" s="32">
        <f t="shared" si="89"/>
        <v>3</v>
      </c>
      <c r="O144" s="32">
        <f t="shared" si="90"/>
        <v>1</v>
      </c>
      <c r="P144" s="32" t="str">
        <f>IF(OR($A144="",N($C144)&lt;=7),"",$G$6*$G$9^($M144-1)*IF(AND(MOD($M144,Reference!$B$99)=0,$M144&lt;=$G$5-2),Reference!$B$100,1))</f>
        <v/>
      </c>
      <c r="Q144" s="32" t="str">
        <f>IF($P144="","",IF(SUM($AK$141:$AK$147)=0,0,$P144*INDEX(Reference!$B$108:$B$114,$N144+1)/SUM($AK$141:$AK$147)))</f>
        <v/>
      </c>
      <c r="R144" s="32">
        <f t="shared" si="91"/>
        <v>180</v>
      </c>
      <c r="S144" s="32">
        <f t="shared" si="92"/>
        <v>150</v>
      </c>
      <c r="T144" s="32" t="str">
        <f>IF($A144="","",IF($C144=0,"Bullpen",IF(OR($C144=7,$C144=1,$C144=5),"Recovery/Easy Catch",IF($C144=6,"Compression/Pulldowns",IF(OR($C144=4,$C144=2),"Long Toss",IF($C144=3,"No Throw",IF($N144=2,"No Throw",IF($N144=6,IF($O144&lt;Reference!$B$104,"No Throw","Recovery/Easy Catch"),IF(OR($N144=0,$N144=4),"Recovery/Easy Catch",IF($N144=1,IF($R144&gt;75,"Long Toss","Recovery/Easy Catch"),IF($N144=3,IF($O144&lt;0.5,IF($S144&gt;75,"Long Toss","Recovery/Easy Catch"),"Compression/Pulldowns"),IF($S144&gt;75,"Long Toss","Recovery/Easy Catch"))))))))))))</f>
        <v/>
      </c>
      <c r="U144" s="32" t="str">
        <f t="shared" si="93"/>
        <v/>
      </c>
      <c r="V144" s="32" t="str">
        <f t="shared" si="94"/>
        <v/>
      </c>
      <c r="W144" s="32" t="str">
        <f t="shared" si="95"/>
        <v/>
      </c>
      <c r="X144" s="32">
        <f t="shared" si="96"/>
        <v>0</v>
      </c>
      <c r="Y144" s="32" t="str">
        <f t="shared" si="97"/>
        <v/>
      </c>
      <c r="Z144" s="32" t="str">
        <f t="shared" si="98"/>
        <v/>
      </c>
      <c r="AA144" s="32" t="str">
        <f t="shared" si="99"/>
        <v/>
      </c>
      <c r="AB144" s="32" t="str">
        <f>IF($A144="","",IF($T144="No Throw",0,IF($K144&lt;&gt;"",$K144,IF($AA144&lt;&gt;"",ROUND($AA144*$D$12*IF($C144=0,1,$G$10),0),MIN(IF($T144="Recovery/Easy Catch",Reference!$B$103,IF($T144="Long Toss",Reference!$B$106,Reference!$B$102)),MAX(Reference!$B$101,ROUND(MAX(0,$Q144-$AE144)/$AF144,0)))))))</f>
        <v/>
      </c>
      <c r="AC144" s="32">
        <f t="shared" si="100"/>
        <v>0</v>
      </c>
      <c r="AD144" s="32" t="b">
        <f t="shared" si="101"/>
        <v>1</v>
      </c>
      <c r="AE144" s="32">
        <f>IF($X144=0,0,$X144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144+$Z144)/2,0),Reference!$A$17:$B$20,2,TRUE()))</f>
        <v>0</v>
      </c>
      <c r="AF144" s="32">
        <f>IF(OR($A144="",$U144="",$T144="No Throw"),0,$AM144*VLOOKUP(MAX(($V144+$W144)/2,0),Reference!$A$17:$B$20,2,TRUE()))</f>
        <v>0</v>
      </c>
      <c r="AG144" s="32">
        <f>IF($AC144=0,0,$AC144*INDEX(Reference!$B$61:$B$62,MATCH("Bullpen",Reference!$A$61:$A$62,0))*VLOOKUP(MAX($D$5-($D$9+$E$9)/2,0),Reference!$A$17:$B$20,2,TRUE()))</f>
        <v>0</v>
      </c>
      <c r="AH144" s="32" t="e">
        <f t="shared" si="102"/>
        <v>#N/A</v>
      </c>
      <c r="AI144" s="32" t="e">
        <f>IF($A144="",NA(),Reference!$A$25)</f>
        <v>#N/A</v>
      </c>
      <c r="AJ144" s="32" t="e">
        <f t="shared" si="103"/>
        <v>#N/A</v>
      </c>
      <c r="AK144" s="32">
        <f>IF(OR($A144="",N($C144)&lt;=7,$T144="No Throw",$J144="x"),0,INDEX(Reference!$B$108:$B$114,$N144+1))</f>
        <v>0</v>
      </c>
      <c r="AL144" s="32">
        <f t="shared" si="104"/>
        <v>1</v>
      </c>
      <c r="AM144" s="32">
        <f>IF($U144="",0,IF($AL144&gt;1,((IF(1&lt;=$AL144,($AL144-1+3)*(INDEX(Reference!$B$6:$B$11,MIN(5,MATCH(MAX(Reference!$A$6,MIN(Reference!$A$11,MIN($U144,90))),Reference!$A$6:$A$11,1)))+(MAX(Reference!$A$6,MIN(Reference!$A$11,MIN($U144,90)))-INDEX(Reference!$A$6:$A$11,MIN(5,MATCH(MAX(Reference!$A$6,MIN(Reference!$A$11,MIN($U144,90))),Reference!$A$6:$A$11,1))))*(INDEX(Reference!$B$6:$B$11,MIN(5,MATCH(MAX(Reference!$A$6,MIN(Reference!$A$11,MIN($U144,90))),Reference!$A$6:$A$11,1))+1)-INDEX(Reference!$B$6:$B$11,MIN(5,MATCH(MAX(Reference!$A$6,MIN(Reference!$A$11,MIN($U144,90))),Reference!$A$6:$A$11,1))))/(INDEX(Reference!$A$6:$A$11,MIN(5,MATCH(MAX(Reference!$A$6,MIN(Reference!$A$11,MIN($U144,90))),Reference!$A$6:$A$11,1))+1)-INDEX(Reference!$A$6:$A$11,MIN(5,MATCH(MAX(Reference!$A$6,MIN(Reference!$A$11,MIN($U144,90))),Reference!$A$6:$A$11,1))))),0)+IF(2&lt;=$AL144,($AL144-2+3)*(INDEX(Reference!$B$6:$B$11,MIN(5,MATCH(MAX(Reference!$A$6,MIN(Reference!$A$11,MIN($U144,120))),Reference!$A$6:$A$11,1)))+(MAX(Reference!$A$6,MIN(Reference!$A$11,MIN($U144,120)))-INDEX(Reference!$A$6:$A$11,MIN(5,MATCH(MAX(Reference!$A$6,MIN(Reference!$A$11,MIN($U144,120))),Reference!$A$6:$A$11,1))))*(INDEX(Reference!$B$6:$B$11,MIN(5,MATCH(MAX(Reference!$A$6,MIN(Reference!$A$11,MIN($U144,120))),Reference!$A$6:$A$11,1))+1)-INDEX(Reference!$B$6:$B$11,MIN(5,MATCH(MAX(Reference!$A$6,MIN(Reference!$A$11,MIN($U144,120))),Reference!$A$6:$A$11,1))))/(INDEX(Reference!$A$6:$A$11,MIN(5,MATCH(MAX(Reference!$A$6,MIN(Reference!$A$11,MIN($U144,120))),Reference!$A$6:$A$11,1))+1)-INDEX(Reference!$A$6:$A$11,MIN(5,MATCH(MAX(Reference!$A$6,MIN(Reference!$A$11,MIN($U144,120))),Reference!$A$6:$A$11,1))))),0)+IF(3&lt;=$AL144,($AL144-3+3)*(INDEX(Reference!$B$6:$B$11,MIN(5,MATCH(MAX(Reference!$A$6,MIN(Reference!$A$11,MIN($U144,150))),Reference!$A$6:$A$11,1)))+(MAX(Reference!$A$6,MIN(Reference!$A$11,MIN($U144,150)))-INDEX(Reference!$A$6:$A$11,MIN(5,MATCH(MAX(Reference!$A$6,MIN(Reference!$A$11,MIN($U144,150))),Reference!$A$6:$A$11,1))))*(INDEX(Reference!$B$6:$B$11,MIN(5,MATCH(MAX(Reference!$A$6,MIN(Reference!$A$11,MIN($U144,150))),Reference!$A$6:$A$11,1))+1)-INDEX(Reference!$B$6:$B$11,MIN(5,MATCH(MAX(Reference!$A$6,MIN(Reference!$A$11,MIN($U144,150))),Reference!$A$6:$A$11,1))))/(INDEX(Reference!$A$6:$A$11,MIN(5,MATCH(MAX(Reference!$A$6,MIN(Reference!$A$11,MIN($U144,150))),Reference!$A$6:$A$11,1))+1)-INDEX(Reference!$A$6:$A$11,MIN(5,MATCH(MAX(Reference!$A$6,MIN(Reference!$A$11,MIN($U144,150))),Reference!$A$6:$A$11,1))))),0)+IF(4&lt;=$AL144,($AL144-4+3)*(INDEX(Reference!$B$6:$B$11,MIN(5,MATCH(MAX(Reference!$A$6,MIN(Reference!$A$11,MIN($U144,180))),Reference!$A$6:$A$11,1)))+(MAX(Reference!$A$6,MIN(Reference!$A$11,MIN($U144,180)))-INDEX(Reference!$A$6:$A$11,MIN(5,MATCH(MAX(Reference!$A$6,MIN(Reference!$A$11,MIN($U144,180))),Reference!$A$6:$A$11,1))))*(INDEX(Reference!$B$6:$B$11,MIN(5,MATCH(MAX(Reference!$A$6,MIN(Reference!$A$11,MIN($U144,180))),Reference!$A$6:$A$11,1))+1)-INDEX(Reference!$B$6:$B$11,MIN(5,MATCH(MAX(Reference!$A$6,MIN(Reference!$A$11,MIN($U144,180))),Reference!$A$6:$A$11,1))))/(INDEX(Reference!$A$6:$A$11,MIN(5,MATCH(MAX(Reference!$A$6,MIN(Reference!$A$11,MIN($U144,180))),Reference!$A$6:$A$11,1))+1)-INDEX(Reference!$A$6:$A$11,MIN(5,MATCH(MAX(Reference!$A$6,MIN(Reference!$A$11,MIN($U144,180))),Reference!$A$6:$A$11,1))))),0)+IF(5&lt;=$AL144,($AL144-5+3)*(INDEX(Reference!$B$6:$B$11,MIN(5,MATCH(MAX(Reference!$A$6,MIN(Reference!$A$11,MIN($U144,210))),Reference!$A$6:$A$11,1)))+(MAX(Reference!$A$6,MIN(Reference!$A$11,MIN($U144,210)))-INDEX(Reference!$A$6:$A$11,MIN(5,MATCH(MAX(Reference!$A$6,MIN(Reference!$A$11,MIN($U144,210))),Reference!$A$6:$A$11,1))))*(INDEX(Reference!$B$6:$B$11,MIN(5,MATCH(MAX(Reference!$A$6,MIN(Reference!$A$11,MIN($U144,210))),Reference!$A$6:$A$11,1))+1)-INDEX(Reference!$B$6:$B$11,MIN(5,MATCH(MAX(Reference!$A$6,MIN(Reference!$A$11,MIN($U144,210))),Reference!$A$6:$A$11,1))))/(INDEX(Reference!$A$6:$A$11,MIN(5,MATCH(MAX(Reference!$A$6,MIN(Reference!$A$11,MIN($U144,210))),Reference!$A$6:$A$11,1))+1)-INDEX(Reference!$A$6:$A$11,MIN(5,MATCH(MAX(Reference!$A$6,MIN(Reference!$A$11,MIN($U144,210))),Reference!$A$6:$A$11,1))))),0)+IF(6&lt;=$AL144,($AL144-6+3)*(INDEX(Reference!$B$6:$B$11,MIN(5,MATCH(MAX(Reference!$A$6,MIN(Reference!$A$11,MIN($U144,240))),Reference!$A$6:$A$11,1)))+(MAX(Reference!$A$6,MIN(Reference!$A$11,MIN($U144,240)))-INDEX(Reference!$A$6:$A$11,MIN(5,MATCH(MAX(Reference!$A$6,MIN(Reference!$A$11,MIN($U144,240))),Reference!$A$6:$A$11,1))))*(INDEX(Reference!$B$6:$B$11,MIN(5,MATCH(MAX(Reference!$A$6,MIN(Reference!$A$11,MIN($U144,240))),Reference!$A$6:$A$11,1))+1)-INDEX(Reference!$B$6:$B$11,MIN(5,MATCH(MAX(Reference!$A$6,MIN(Reference!$A$11,MIN($U144,240))),Reference!$A$6:$A$11,1))))/(INDEX(Reference!$A$6:$A$11,MIN(5,MATCH(MAX(Reference!$A$6,MIN(Reference!$A$11,MIN($U144,240))),Reference!$A$6:$A$11,1))+1)-INDEX(Reference!$A$6:$A$11,MIN(5,MATCH(MAX(Reference!$A$6,MIN(Reference!$A$11,MIN($U144,240))),Reference!$A$6:$A$11,1))))),0)+IF(7&lt;=$AL144,($AL144-7+3)*(INDEX(Reference!$B$6:$B$11,MIN(5,MATCH(MAX(Reference!$A$6,MIN(Reference!$A$11,MIN($U144,270))),Reference!$A$6:$A$11,1)))+(MAX(Reference!$A$6,MIN(Reference!$A$11,MIN($U144,270)))-INDEX(Reference!$A$6:$A$11,MIN(5,MATCH(MAX(Reference!$A$6,MIN(Reference!$A$11,MIN($U144,270))),Reference!$A$6:$A$11,1))))*(INDEX(Reference!$B$6:$B$11,MIN(5,MATCH(MAX(Reference!$A$6,MIN(Reference!$A$11,MIN($U144,270))),Reference!$A$6:$A$11,1))+1)-INDEX(Reference!$B$6:$B$11,MIN(5,MATCH(MAX(Reference!$A$6,MIN(Reference!$A$11,MIN($U144,270))),Reference!$A$6:$A$11,1))))/(INDEX(Reference!$A$6:$A$11,MIN(5,MATCH(MAX(Reference!$A$6,MIN(Reference!$A$11,MIN($U144,270))),Reference!$A$6:$A$11,1))+1)-INDEX(Reference!$A$6:$A$11,MIN(5,MATCH(MAX(Reference!$A$6,MIN(Reference!$A$11,MIN($U144,270))),Reference!$A$6:$A$11,1))))),0)+IF(8&lt;=$AL144,($AL144-8+3)*(INDEX(Reference!$B$6:$B$11,MIN(5,MATCH(MAX(Reference!$A$6,MIN(Reference!$A$11,MIN($U144,300))),Reference!$A$6:$A$11,1)))+(MAX(Reference!$A$6,MIN(Reference!$A$11,MIN($U144,300)))-INDEX(Reference!$A$6:$A$11,MIN(5,MATCH(MAX(Reference!$A$6,MIN(Reference!$A$11,MIN($U144,300))),Reference!$A$6:$A$11,1))))*(INDEX(Reference!$B$6:$B$11,MIN(5,MATCH(MAX(Reference!$A$6,MIN(Reference!$A$11,MIN($U144,300))),Reference!$A$6:$A$11,1))+1)-INDEX(Reference!$B$6:$B$11,MIN(5,MATCH(MAX(Reference!$A$6,MIN(Reference!$A$11,MIN($U144,300))),Reference!$A$6:$A$11,1))))/(INDEX(Reference!$A$6:$A$11,MIN(5,MATCH(MAX(Reference!$A$6,MIN(Reference!$A$11,MIN($U144,300))),Reference!$A$6:$A$11,1))+1)-INDEX(Reference!$A$6:$A$11,MIN(5,MATCH(MAX(Reference!$A$6,MIN(Reference!$A$11,MIN($U144,300))),Reference!$A$6:$A$11,1))))),0))/($AL144*($AL144+5)/2)),$AN144))</f>
        <v>0</v>
      </c>
      <c r="AN144" s="32">
        <f>IF($U144="",0,(INDEX(Reference!$B$6:$B$11,MIN(5,MATCH(MAX(Reference!$A$6,MIN(Reference!$A$11,$U144)),Reference!$A$6:$A$11,1)))+(MAX(Reference!$A$6,MIN(Reference!$A$11,$U144))-INDEX(Reference!$A$6:$A$11,MIN(5,MATCH(MAX(Reference!$A$6,MIN(Reference!$A$11,$U144)),Reference!$A$6:$A$11,1))))*(INDEX(Reference!$B$6:$B$11,MIN(5,MATCH(MAX(Reference!$A$6,MIN(Reference!$A$11,$U144)),Reference!$A$6:$A$11,1))+1)-INDEX(Reference!$B$6:$B$11,MIN(5,MATCH(MAX(Reference!$A$6,MIN(Reference!$A$11,$U144)),Reference!$A$6:$A$11,1))))/(INDEX(Reference!$A$6:$A$11,MIN(5,MATCH(MAX(Reference!$A$6,MIN(Reference!$A$11,$U144)),Reference!$A$6:$A$11,1))+1)-INDEX(Reference!$A$6:$A$11,MIN(5,MATCH(MAX(Reference!$A$6,MIN(Reference!$A$11,$U144)),Reference!$A$6:$A$11,1))))))</f>
        <v>0</v>
      </c>
      <c r="AO144" s="37"/>
      <c r="AP144" s="37"/>
      <c r="AQ144" s="37"/>
    </row>
    <row r="145" spans="1:43" x14ac:dyDescent="0.3">
      <c r="A145" s="48" t="str">
        <f t="shared" si="80"/>
        <v/>
      </c>
      <c r="B145" s="32" t="str">
        <f t="shared" si="81"/>
        <v/>
      </c>
      <c r="C145" s="32" t="str">
        <f t="shared" si="82"/>
        <v/>
      </c>
      <c r="D145" s="32" t="str">
        <f t="shared" si="83"/>
        <v/>
      </c>
      <c r="E145" s="32" t="str">
        <f t="shared" si="84"/>
        <v/>
      </c>
      <c r="F145" s="32" t="str">
        <f t="shared" si="85"/>
        <v/>
      </c>
      <c r="G145" s="47" t="str">
        <f t="shared" si="86"/>
        <v/>
      </c>
      <c r="H145" s="30" t="str">
        <f t="shared" si="87"/>
        <v/>
      </c>
      <c r="I145" s="46" t="str">
        <f>IF($A145="","",IF(AND($L145&lt;27,$K$12=0),"Building",IFERROR(((SUM($H$139:$H145)+$K$12*IF($L145&lt;6,SUMIFS('Throw Log'!$Q$5:$Q$300,'Throw Log'!$B$5:$B$300,$D$4,'Throw Log'!$A$5:$A$300,"&gt;="&amp;($D$6+$L145-6),'Throw Log'!$A$5:$A$300,"&lt;="&amp;($D$6-1)),0))/7)/((SUM($H$118:$H145)+$K$12*IF($L145&lt;27,SUMIFS('Throw Log'!$Q$5:$Q$300,'Throw Log'!$B$5:$B$300,$D$4,'Throw Log'!$A$5:$A$300,"&gt;="&amp;($D$6+$L145-27),'Throw Log'!$A$5:$A$300,"&lt;="&amp;($D$6-1)),0))/28),"")))</f>
        <v/>
      </c>
      <c r="J145" s="37"/>
      <c r="K145" s="37"/>
      <c r="L145" s="32">
        <v>102</v>
      </c>
      <c r="M145" s="32">
        <f t="shared" si="88"/>
        <v>15</v>
      </c>
      <c r="N145" s="32">
        <f t="shared" si="89"/>
        <v>4</v>
      </c>
      <c r="O145" s="32">
        <f t="shared" si="90"/>
        <v>1</v>
      </c>
      <c r="P145" s="32" t="str">
        <f>IF(OR($A145="",N($C145)&lt;=7),"",$G$6*$G$9^($M145-1)*IF(AND(MOD($M145,Reference!$B$99)=0,$M145&lt;=$G$5-2),Reference!$B$100,1))</f>
        <v/>
      </c>
      <c r="Q145" s="32" t="str">
        <f>IF($P145="","",IF(SUM($AK$141:$AK$147)=0,0,$P145*INDEX(Reference!$B$108:$B$114,$N145+1)/SUM($AK$141:$AK$147)))</f>
        <v/>
      </c>
      <c r="R145" s="32">
        <f t="shared" si="91"/>
        <v>180</v>
      </c>
      <c r="S145" s="32">
        <f t="shared" si="92"/>
        <v>150</v>
      </c>
      <c r="T145" s="32" t="str">
        <f>IF($A145="","",IF($C145=0,"Bullpen",IF(OR($C145=7,$C145=1,$C145=5),"Recovery/Easy Catch",IF($C145=6,"Compression/Pulldowns",IF(OR($C145=4,$C145=2),"Long Toss",IF($C145=3,"No Throw",IF($N145=2,"No Throw",IF($N145=6,IF($O145&lt;Reference!$B$104,"No Throw","Recovery/Easy Catch"),IF(OR($N145=0,$N145=4),"Recovery/Easy Catch",IF($N145=1,IF($R145&gt;75,"Long Toss","Recovery/Easy Catch"),IF($N145=3,IF($O145&lt;0.5,IF($S145&gt;75,"Long Toss","Recovery/Easy Catch"),"Compression/Pulldowns"),IF($S145&gt;75,"Long Toss","Recovery/Easy Catch"))))))))))))</f>
        <v/>
      </c>
      <c r="U145" s="32" t="str">
        <f t="shared" si="93"/>
        <v/>
      </c>
      <c r="V145" s="32" t="str">
        <f t="shared" si="94"/>
        <v/>
      </c>
      <c r="W145" s="32" t="str">
        <f t="shared" si="95"/>
        <v/>
      </c>
      <c r="X145" s="32">
        <f t="shared" si="96"/>
        <v>0</v>
      </c>
      <c r="Y145" s="32" t="str">
        <f t="shared" si="97"/>
        <v/>
      </c>
      <c r="Z145" s="32" t="str">
        <f t="shared" si="98"/>
        <v/>
      </c>
      <c r="AA145" s="32" t="str">
        <f t="shared" si="99"/>
        <v/>
      </c>
      <c r="AB145" s="32" t="str">
        <f>IF($A145="","",IF($T145="No Throw",0,IF($K145&lt;&gt;"",$K145,IF($AA145&lt;&gt;"",ROUND($AA145*$D$12*IF($C145=0,1,$G$10),0),MIN(IF($T145="Recovery/Easy Catch",Reference!$B$103,IF($T145="Long Toss",Reference!$B$106,Reference!$B$102)),MAX(Reference!$B$101,ROUND(MAX(0,$Q145-$AE145)/$AF145,0)))))))</f>
        <v/>
      </c>
      <c r="AC145" s="32">
        <f t="shared" si="100"/>
        <v>0</v>
      </c>
      <c r="AD145" s="32" t="b">
        <f t="shared" si="101"/>
        <v>1</v>
      </c>
      <c r="AE145" s="32">
        <f>IF($X145=0,0,$X145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145+$Z145)/2,0),Reference!$A$17:$B$20,2,TRUE()))</f>
        <v>0</v>
      </c>
      <c r="AF145" s="32">
        <f>IF(OR($A145="",$U145="",$T145="No Throw"),0,$AM145*VLOOKUP(MAX(($V145+$W145)/2,0),Reference!$A$17:$B$20,2,TRUE()))</f>
        <v>0</v>
      </c>
      <c r="AG145" s="32">
        <f>IF($AC145=0,0,$AC145*INDEX(Reference!$B$61:$B$62,MATCH("Bullpen",Reference!$A$61:$A$62,0))*VLOOKUP(MAX($D$5-($D$9+$E$9)/2,0),Reference!$A$17:$B$20,2,TRUE()))</f>
        <v>0</v>
      </c>
      <c r="AH145" s="32" t="e">
        <f t="shared" si="102"/>
        <v>#N/A</v>
      </c>
      <c r="AI145" s="32" t="e">
        <f>IF($A145="",NA(),Reference!$A$25)</f>
        <v>#N/A</v>
      </c>
      <c r="AJ145" s="32" t="e">
        <f t="shared" si="103"/>
        <v>#N/A</v>
      </c>
      <c r="AK145" s="32">
        <f>IF(OR($A145="",N($C145)&lt;=7,$T145="No Throw",$J145="x"),0,INDEX(Reference!$B$108:$B$114,$N145+1))</f>
        <v>0</v>
      </c>
      <c r="AL145" s="32">
        <f t="shared" si="104"/>
        <v>1</v>
      </c>
      <c r="AM145" s="32">
        <f>IF($U145="",0,IF($AL145&gt;1,((IF(1&lt;=$AL145,($AL145-1+3)*(INDEX(Reference!$B$6:$B$11,MIN(5,MATCH(MAX(Reference!$A$6,MIN(Reference!$A$11,MIN($U145,90))),Reference!$A$6:$A$11,1)))+(MAX(Reference!$A$6,MIN(Reference!$A$11,MIN($U145,90)))-INDEX(Reference!$A$6:$A$11,MIN(5,MATCH(MAX(Reference!$A$6,MIN(Reference!$A$11,MIN($U145,90))),Reference!$A$6:$A$11,1))))*(INDEX(Reference!$B$6:$B$11,MIN(5,MATCH(MAX(Reference!$A$6,MIN(Reference!$A$11,MIN($U145,90))),Reference!$A$6:$A$11,1))+1)-INDEX(Reference!$B$6:$B$11,MIN(5,MATCH(MAX(Reference!$A$6,MIN(Reference!$A$11,MIN($U145,90))),Reference!$A$6:$A$11,1))))/(INDEX(Reference!$A$6:$A$11,MIN(5,MATCH(MAX(Reference!$A$6,MIN(Reference!$A$11,MIN($U145,90))),Reference!$A$6:$A$11,1))+1)-INDEX(Reference!$A$6:$A$11,MIN(5,MATCH(MAX(Reference!$A$6,MIN(Reference!$A$11,MIN($U145,90))),Reference!$A$6:$A$11,1))))),0)+IF(2&lt;=$AL145,($AL145-2+3)*(INDEX(Reference!$B$6:$B$11,MIN(5,MATCH(MAX(Reference!$A$6,MIN(Reference!$A$11,MIN($U145,120))),Reference!$A$6:$A$11,1)))+(MAX(Reference!$A$6,MIN(Reference!$A$11,MIN($U145,120)))-INDEX(Reference!$A$6:$A$11,MIN(5,MATCH(MAX(Reference!$A$6,MIN(Reference!$A$11,MIN($U145,120))),Reference!$A$6:$A$11,1))))*(INDEX(Reference!$B$6:$B$11,MIN(5,MATCH(MAX(Reference!$A$6,MIN(Reference!$A$11,MIN($U145,120))),Reference!$A$6:$A$11,1))+1)-INDEX(Reference!$B$6:$B$11,MIN(5,MATCH(MAX(Reference!$A$6,MIN(Reference!$A$11,MIN($U145,120))),Reference!$A$6:$A$11,1))))/(INDEX(Reference!$A$6:$A$11,MIN(5,MATCH(MAX(Reference!$A$6,MIN(Reference!$A$11,MIN($U145,120))),Reference!$A$6:$A$11,1))+1)-INDEX(Reference!$A$6:$A$11,MIN(5,MATCH(MAX(Reference!$A$6,MIN(Reference!$A$11,MIN($U145,120))),Reference!$A$6:$A$11,1))))),0)+IF(3&lt;=$AL145,($AL145-3+3)*(INDEX(Reference!$B$6:$B$11,MIN(5,MATCH(MAX(Reference!$A$6,MIN(Reference!$A$11,MIN($U145,150))),Reference!$A$6:$A$11,1)))+(MAX(Reference!$A$6,MIN(Reference!$A$11,MIN($U145,150)))-INDEX(Reference!$A$6:$A$11,MIN(5,MATCH(MAX(Reference!$A$6,MIN(Reference!$A$11,MIN($U145,150))),Reference!$A$6:$A$11,1))))*(INDEX(Reference!$B$6:$B$11,MIN(5,MATCH(MAX(Reference!$A$6,MIN(Reference!$A$11,MIN($U145,150))),Reference!$A$6:$A$11,1))+1)-INDEX(Reference!$B$6:$B$11,MIN(5,MATCH(MAX(Reference!$A$6,MIN(Reference!$A$11,MIN($U145,150))),Reference!$A$6:$A$11,1))))/(INDEX(Reference!$A$6:$A$11,MIN(5,MATCH(MAX(Reference!$A$6,MIN(Reference!$A$11,MIN($U145,150))),Reference!$A$6:$A$11,1))+1)-INDEX(Reference!$A$6:$A$11,MIN(5,MATCH(MAX(Reference!$A$6,MIN(Reference!$A$11,MIN($U145,150))),Reference!$A$6:$A$11,1))))),0)+IF(4&lt;=$AL145,($AL145-4+3)*(INDEX(Reference!$B$6:$B$11,MIN(5,MATCH(MAX(Reference!$A$6,MIN(Reference!$A$11,MIN($U145,180))),Reference!$A$6:$A$11,1)))+(MAX(Reference!$A$6,MIN(Reference!$A$11,MIN($U145,180)))-INDEX(Reference!$A$6:$A$11,MIN(5,MATCH(MAX(Reference!$A$6,MIN(Reference!$A$11,MIN($U145,180))),Reference!$A$6:$A$11,1))))*(INDEX(Reference!$B$6:$B$11,MIN(5,MATCH(MAX(Reference!$A$6,MIN(Reference!$A$11,MIN($U145,180))),Reference!$A$6:$A$11,1))+1)-INDEX(Reference!$B$6:$B$11,MIN(5,MATCH(MAX(Reference!$A$6,MIN(Reference!$A$11,MIN($U145,180))),Reference!$A$6:$A$11,1))))/(INDEX(Reference!$A$6:$A$11,MIN(5,MATCH(MAX(Reference!$A$6,MIN(Reference!$A$11,MIN($U145,180))),Reference!$A$6:$A$11,1))+1)-INDEX(Reference!$A$6:$A$11,MIN(5,MATCH(MAX(Reference!$A$6,MIN(Reference!$A$11,MIN($U145,180))),Reference!$A$6:$A$11,1))))),0)+IF(5&lt;=$AL145,($AL145-5+3)*(INDEX(Reference!$B$6:$B$11,MIN(5,MATCH(MAX(Reference!$A$6,MIN(Reference!$A$11,MIN($U145,210))),Reference!$A$6:$A$11,1)))+(MAX(Reference!$A$6,MIN(Reference!$A$11,MIN($U145,210)))-INDEX(Reference!$A$6:$A$11,MIN(5,MATCH(MAX(Reference!$A$6,MIN(Reference!$A$11,MIN($U145,210))),Reference!$A$6:$A$11,1))))*(INDEX(Reference!$B$6:$B$11,MIN(5,MATCH(MAX(Reference!$A$6,MIN(Reference!$A$11,MIN($U145,210))),Reference!$A$6:$A$11,1))+1)-INDEX(Reference!$B$6:$B$11,MIN(5,MATCH(MAX(Reference!$A$6,MIN(Reference!$A$11,MIN($U145,210))),Reference!$A$6:$A$11,1))))/(INDEX(Reference!$A$6:$A$11,MIN(5,MATCH(MAX(Reference!$A$6,MIN(Reference!$A$11,MIN($U145,210))),Reference!$A$6:$A$11,1))+1)-INDEX(Reference!$A$6:$A$11,MIN(5,MATCH(MAX(Reference!$A$6,MIN(Reference!$A$11,MIN($U145,210))),Reference!$A$6:$A$11,1))))),0)+IF(6&lt;=$AL145,($AL145-6+3)*(INDEX(Reference!$B$6:$B$11,MIN(5,MATCH(MAX(Reference!$A$6,MIN(Reference!$A$11,MIN($U145,240))),Reference!$A$6:$A$11,1)))+(MAX(Reference!$A$6,MIN(Reference!$A$11,MIN($U145,240)))-INDEX(Reference!$A$6:$A$11,MIN(5,MATCH(MAX(Reference!$A$6,MIN(Reference!$A$11,MIN($U145,240))),Reference!$A$6:$A$11,1))))*(INDEX(Reference!$B$6:$B$11,MIN(5,MATCH(MAX(Reference!$A$6,MIN(Reference!$A$11,MIN($U145,240))),Reference!$A$6:$A$11,1))+1)-INDEX(Reference!$B$6:$B$11,MIN(5,MATCH(MAX(Reference!$A$6,MIN(Reference!$A$11,MIN($U145,240))),Reference!$A$6:$A$11,1))))/(INDEX(Reference!$A$6:$A$11,MIN(5,MATCH(MAX(Reference!$A$6,MIN(Reference!$A$11,MIN($U145,240))),Reference!$A$6:$A$11,1))+1)-INDEX(Reference!$A$6:$A$11,MIN(5,MATCH(MAX(Reference!$A$6,MIN(Reference!$A$11,MIN($U145,240))),Reference!$A$6:$A$11,1))))),0)+IF(7&lt;=$AL145,($AL145-7+3)*(INDEX(Reference!$B$6:$B$11,MIN(5,MATCH(MAX(Reference!$A$6,MIN(Reference!$A$11,MIN($U145,270))),Reference!$A$6:$A$11,1)))+(MAX(Reference!$A$6,MIN(Reference!$A$11,MIN($U145,270)))-INDEX(Reference!$A$6:$A$11,MIN(5,MATCH(MAX(Reference!$A$6,MIN(Reference!$A$11,MIN($U145,270))),Reference!$A$6:$A$11,1))))*(INDEX(Reference!$B$6:$B$11,MIN(5,MATCH(MAX(Reference!$A$6,MIN(Reference!$A$11,MIN($U145,270))),Reference!$A$6:$A$11,1))+1)-INDEX(Reference!$B$6:$B$11,MIN(5,MATCH(MAX(Reference!$A$6,MIN(Reference!$A$11,MIN($U145,270))),Reference!$A$6:$A$11,1))))/(INDEX(Reference!$A$6:$A$11,MIN(5,MATCH(MAX(Reference!$A$6,MIN(Reference!$A$11,MIN($U145,270))),Reference!$A$6:$A$11,1))+1)-INDEX(Reference!$A$6:$A$11,MIN(5,MATCH(MAX(Reference!$A$6,MIN(Reference!$A$11,MIN($U145,270))),Reference!$A$6:$A$11,1))))),0)+IF(8&lt;=$AL145,($AL145-8+3)*(INDEX(Reference!$B$6:$B$11,MIN(5,MATCH(MAX(Reference!$A$6,MIN(Reference!$A$11,MIN($U145,300))),Reference!$A$6:$A$11,1)))+(MAX(Reference!$A$6,MIN(Reference!$A$11,MIN($U145,300)))-INDEX(Reference!$A$6:$A$11,MIN(5,MATCH(MAX(Reference!$A$6,MIN(Reference!$A$11,MIN($U145,300))),Reference!$A$6:$A$11,1))))*(INDEX(Reference!$B$6:$B$11,MIN(5,MATCH(MAX(Reference!$A$6,MIN(Reference!$A$11,MIN($U145,300))),Reference!$A$6:$A$11,1))+1)-INDEX(Reference!$B$6:$B$11,MIN(5,MATCH(MAX(Reference!$A$6,MIN(Reference!$A$11,MIN($U145,300))),Reference!$A$6:$A$11,1))))/(INDEX(Reference!$A$6:$A$11,MIN(5,MATCH(MAX(Reference!$A$6,MIN(Reference!$A$11,MIN($U145,300))),Reference!$A$6:$A$11,1))+1)-INDEX(Reference!$A$6:$A$11,MIN(5,MATCH(MAX(Reference!$A$6,MIN(Reference!$A$11,MIN($U145,300))),Reference!$A$6:$A$11,1))))),0))/($AL145*($AL145+5)/2)),$AN145))</f>
        <v>0</v>
      </c>
      <c r="AN145" s="32">
        <f>IF($U145="",0,(INDEX(Reference!$B$6:$B$11,MIN(5,MATCH(MAX(Reference!$A$6,MIN(Reference!$A$11,$U145)),Reference!$A$6:$A$11,1)))+(MAX(Reference!$A$6,MIN(Reference!$A$11,$U145))-INDEX(Reference!$A$6:$A$11,MIN(5,MATCH(MAX(Reference!$A$6,MIN(Reference!$A$11,$U145)),Reference!$A$6:$A$11,1))))*(INDEX(Reference!$B$6:$B$11,MIN(5,MATCH(MAX(Reference!$A$6,MIN(Reference!$A$11,$U145)),Reference!$A$6:$A$11,1))+1)-INDEX(Reference!$B$6:$B$11,MIN(5,MATCH(MAX(Reference!$A$6,MIN(Reference!$A$11,$U145)),Reference!$A$6:$A$11,1))))/(INDEX(Reference!$A$6:$A$11,MIN(5,MATCH(MAX(Reference!$A$6,MIN(Reference!$A$11,$U145)),Reference!$A$6:$A$11,1))+1)-INDEX(Reference!$A$6:$A$11,MIN(5,MATCH(MAX(Reference!$A$6,MIN(Reference!$A$11,$U145)),Reference!$A$6:$A$11,1))))))</f>
        <v>0</v>
      </c>
      <c r="AO145" s="37"/>
      <c r="AP145" s="37"/>
      <c r="AQ145" s="37"/>
    </row>
    <row r="146" spans="1:43" x14ac:dyDescent="0.3">
      <c r="A146" s="48" t="str">
        <f t="shared" si="80"/>
        <v/>
      </c>
      <c r="B146" s="32" t="str">
        <f t="shared" si="81"/>
        <v/>
      </c>
      <c r="C146" s="32" t="str">
        <f t="shared" si="82"/>
        <v/>
      </c>
      <c r="D146" s="32" t="str">
        <f t="shared" si="83"/>
        <v/>
      </c>
      <c r="E146" s="32" t="str">
        <f t="shared" si="84"/>
        <v/>
      </c>
      <c r="F146" s="32" t="str">
        <f t="shared" si="85"/>
        <v/>
      </c>
      <c r="G146" s="47" t="str">
        <f t="shared" si="86"/>
        <v/>
      </c>
      <c r="H146" s="30" t="str">
        <f t="shared" si="87"/>
        <v/>
      </c>
      <c r="I146" s="46" t="str">
        <f>IF($A146="","",IF(AND($L146&lt;27,$K$12=0),"Building",IFERROR(((SUM($H$140:$H146)+$K$12*IF($L146&lt;6,SUMIFS('Throw Log'!$Q$5:$Q$300,'Throw Log'!$B$5:$B$300,$D$4,'Throw Log'!$A$5:$A$300,"&gt;="&amp;($D$6+$L146-6),'Throw Log'!$A$5:$A$300,"&lt;="&amp;($D$6-1)),0))/7)/((SUM($H$119:$H146)+$K$12*IF($L146&lt;27,SUMIFS('Throw Log'!$Q$5:$Q$300,'Throw Log'!$B$5:$B$300,$D$4,'Throw Log'!$A$5:$A$300,"&gt;="&amp;($D$6+$L146-27),'Throw Log'!$A$5:$A$300,"&lt;="&amp;($D$6-1)),0))/28),"")))</f>
        <v/>
      </c>
      <c r="J146" s="37"/>
      <c r="K146" s="37"/>
      <c r="L146" s="32">
        <v>103</v>
      </c>
      <c r="M146" s="32">
        <f t="shared" si="88"/>
        <v>15</v>
      </c>
      <c r="N146" s="32">
        <f t="shared" si="89"/>
        <v>5</v>
      </c>
      <c r="O146" s="32">
        <f t="shared" si="90"/>
        <v>1</v>
      </c>
      <c r="P146" s="32" t="str">
        <f>IF(OR($A146="",N($C146)&lt;=7),"",$G$6*$G$9^($M146-1)*IF(AND(MOD($M146,Reference!$B$99)=0,$M146&lt;=$G$5-2),Reference!$B$100,1))</f>
        <v/>
      </c>
      <c r="Q146" s="32" t="str">
        <f>IF($P146="","",IF(SUM($AK$141:$AK$147)=0,0,$P146*INDEX(Reference!$B$108:$B$114,$N146+1)/SUM($AK$141:$AK$147)))</f>
        <v/>
      </c>
      <c r="R146" s="32">
        <f t="shared" si="91"/>
        <v>180</v>
      </c>
      <c r="S146" s="32">
        <f t="shared" si="92"/>
        <v>150</v>
      </c>
      <c r="T146" s="32" t="str">
        <f>IF($A146="","",IF($C146=0,"Bullpen",IF(OR($C146=7,$C146=1,$C146=5),"Recovery/Easy Catch",IF($C146=6,"Compression/Pulldowns",IF(OR($C146=4,$C146=2),"Long Toss",IF($C146=3,"No Throw",IF($N146=2,"No Throw",IF($N146=6,IF($O146&lt;Reference!$B$104,"No Throw","Recovery/Easy Catch"),IF(OR($N146=0,$N146=4),"Recovery/Easy Catch",IF($N146=1,IF($R146&gt;75,"Long Toss","Recovery/Easy Catch"),IF($N146=3,IF($O146&lt;0.5,IF($S146&gt;75,"Long Toss","Recovery/Easy Catch"),"Compression/Pulldowns"),IF($S146&gt;75,"Long Toss","Recovery/Easy Catch"))))))))))))</f>
        <v/>
      </c>
      <c r="U146" s="32" t="str">
        <f t="shared" si="93"/>
        <v/>
      </c>
      <c r="V146" s="32" t="str">
        <f t="shared" si="94"/>
        <v/>
      </c>
      <c r="W146" s="32" t="str">
        <f t="shared" si="95"/>
        <v/>
      </c>
      <c r="X146" s="32">
        <f t="shared" si="96"/>
        <v>0</v>
      </c>
      <c r="Y146" s="32" t="str">
        <f t="shared" si="97"/>
        <v/>
      </c>
      <c r="Z146" s="32" t="str">
        <f t="shared" si="98"/>
        <v/>
      </c>
      <c r="AA146" s="32" t="str">
        <f t="shared" si="99"/>
        <v/>
      </c>
      <c r="AB146" s="32" t="str">
        <f>IF($A146="","",IF($T146="No Throw",0,IF($K146&lt;&gt;"",$K146,IF($AA146&lt;&gt;"",ROUND($AA146*$D$12*IF($C146=0,1,$G$10),0),MIN(IF($T146="Recovery/Easy Catch",Reference!$B$103,IF($T146="Long Toss",Reference!$B$106,Reference!$B$102)),MAX(Reference!$B$101,ROUND(MAX(0,$Q146-$AE146)/$AF146,0)))))))</f>
        <v/>
      </c>
      <c r="AC146" s="32">
        <f t="shared" si="100"/>
        <v>0</v>
      </c>
      <c r="AD146" s="32" t="b">
        <f t="shared" si="101"/>
        <v>1</v>
      </c>
      <c r="AE146" s="32">
        <f>IF($X146=0,0,$X146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146+$Z146)/2,0),Reference!$A$17:$B$20,2,TRUE()))</f>
        <v>0</v>
      </c>
      <c r="AF146" s="32">
        <f>IF(OR($A146="",$U146="",$T146="No Throw"),0,$AM146*VLOOKUP(MAX(($V146+$W146)/2,0),Reference!$A$17:$B$20,2,TRUE()))</f>
        <v>0</v>
      </c>
      <c r="AG146" s="32">
        <f>IF($AC146=0,0,$AC146*INDEX(Reference!$B$61:$B$62,MATCH("Bullpen",Reference!$A$61:$A$62,0))*VLOOKUP(MAX($D$5-($D$9+$E$9)/2,0),Reference!$A$17:$B$20,2,TRUE()))</f>
        <v>0</v>
      </c>
      <c r="AH146" s="32" t="e">
        <f t="shared" si="102"/>
        <v>#N/A</v>
      </c>
      <c r="AI146" s="32" t="e">
        <f>IF($A146="",NA(),Reference!$A$25)</f>
        <v>#N/A</v>
      </c>
      <c r="AJ146" s="32" t="e">
        <f t="shared" si="103"/>
        <v>#N/A</v>
      </c>
      <c r="AK146" s="32">
        <f>IF(OR($A146="",N($C146)&lt;=7,$T146="No Throw",$J146="x"),0,INDEX(Reference!$B$108:$B$114,$N146+1))</f>
        <v>0</v>
      </c>
      <c r="AL146" s="32">
        <f t="shared" si="104"/>
        <v>1</v>
      </c>
      <c r="AM146" s="32">
        <f>IF($U146="",0,IF($AL146&gt;1,((IF(1&lt;=$AL146,($AL146-1+3)*(INDEX(Reference!$B$6:$B$11,MIN(5,MATCH(MAX(Reference!$A$6,MIN(Reference!$A$11,MIN($U146,90))),Reference!$A$6:$A$11,1)))+(MAX(Reference!$A$6,MIN(Reference!$A$11,MIN($U146,90)))-INDEX(Reference!$A$6:$A$11,MIN(5,MATCH(MAX(Reference!$A$6,MIN(Reference!$A$11,MIN($U146,90))),Reference!$A$6:$A$11,1))))*(INDEX(Reference!$B$6:$B$11,MIN(5,MATCH(MAX(Reference!$A$6,MIN(Reference!$A$11,MIN($U146,90))),Reference!$A$6:$A$11,1))+1)-INDEX(Reference!$B$6:$B$11,MIN(5,MATCH(MAX(Reference!$A$6,MIN(Reference!$A$11,MIN($U146,90))),Reference!$A$6:$A$11,1))))/(INDEX(Reference!$A$6:$A$11,MIN(5,MATCH(MAX(Reference!$A$6,MIN(Reference!$A$11,MIN($U146,90))),Reference!$A$6:$A$11,1))+1)-INDEX(Reference!$A$6:$A$11,MIN(5,MATCH(MAX(Reference!$A$6,MIN(Reference!$A$11,MIN($U146,90))),Reference!$A$6:$A$11,1))))),0)+IF(2&lt;=$AL146,($AL146-2+3)*(INDEX(Reference!$B$6:$B$11,MIN(5,MATCH(MAX(Reference!$A$6,MIN(Reference!$A$11,MIN($U146,120))),Reference!$A$6:$A$11,1)))+(MAX(Reference!$A$6,MIN(Reference!$A$11,MIN($U146,120)))-INDEX(Reference!$A$6:$A$11,MIN(5,MATCH(MAX(Reference!$A$6,MIN(Reference!$A$11,MIN($U146,120))),Reference!$A$6:$A$11,1))))*(INDEX(Reference!$B$6:$B$11,MIN(5,MATCH(MAX(Reference!$A$6,MIN(Reference!$A$11,MIN($U146,120))),Reference!$A$6:$A$11,1))+1)-INDEX(Reference!$B$6:$B$11,MIN(5,MATCH(MAX(Reference!$A$6,MIN(Reference!$A$11,MIN($U146,120))),Reference!$A$6:$A$11,1))))/(INDEX(Reference!$A$6:$A$11,MIN(5,MATCH(MAX(Reference!$A$6,MIN(Reference!$A$11,MIN($U146,120))),Reference!$A$6:$A$11,1))+1)-INDEX(Reference!$A$6:$A$11,MIN(5,MATCH(MAX(Reference!$A$6,MIN(Reference!$A$11,MIN($U146,120))),Reference!$A$6:$A$11,1))))),0)+IF(3&lt;=$AL146,($AL146-3+3)*(INDEX(Reference!$B$6:$B$11,MIN(5,MATCH(MAX(Reference!$A$6,MIN(Reference!$A$11,MIN($U146,150))),Reference!$A$6:$A$11,1)))+(MAX(Reference!$A$6,MIN(Reference!$A$11,MIN($U146,150)))-INDEX(Reference!$A$6:$A$11,MIN(5,MATCH(MAX(Reference!$A$6,MIN(Reference!$A$11,MIN($U146,150))),Reference!$A$6:$A$11,1))))*(INDEX(Reference!$B$6:$B$11,MIN(5,MATCH(MAX(Reference!$A$6,MIN(Reference!$A$11,MIN($U146,150))),Reference!$A$6:$A$11,1))+1)-INDEX(Reference!$B$6:$B$11,MIN(5,MATCH(MAX(Reference!$A$6,MIN(Reference!$A$11,MIN($U146,150))),Reference!$A$6:$A$11,1))))/(INDEX(Reference!$A$6:$A$11,MIN(5,MATCH(MAX(Reference!$A$6,MIN(Reference!$A$11,MIN($U146,150))),Reference!$A$6:$A$11,1))+1)-INDEX(Reference!$A$6:$A$11,MIN(5,MATCH(MAX(Reference!$A$6,MIN(Reference!$A$11,MIN($U146,150))),Reference!$A$6:$A$11,1))))),0)+IF(4&lt;=$AL146,($AL146-4+3)*(INDEX(Reference!$B$6:$B$11,MIN(5,MATCH(MAX(Reference!$A$6,MIN(Reference!$A$11,MIN($U146,180))),Reference!$A$6:$A$11,1)))+(MAX(Reference!$A$6,MIN(Reference!$A$11,MIN($U146,180)))-INDEX(Reference!$A$6:$A$11,MIN(5,MATCH(MAX(Reference!$A$6,MIN(Reference!$A$11,MIN($U146,180))),Reference!$A$6:$A$11,1))))*(INDEX(Reference!$B$6:$B$11,MIN(5,MATCH(MAX(Reference!$A$6,MIN(Reference!$A$11,MIN($U146,180))),Reference!$A$6:$A$11,1))+1)-INDEX(Reference!$B$6:$B$11,MIN(5,MATCH(MAX(Reference!$A$6,MIN(Reference!$A$11,MIN($U146,180))),Reference!$A$6:$A$11,1))))/(INDEX(Reference!$A$6:$A$11,MIN(5,MATCH(MAX(Reference!$A$6,MIN(Reference!$A$11,MIN($U146,180))),Reference!$A$6:$A$11,1))+1)-INDEX(Reference!$A$6:$A$11,MIN(5,MATCH(MAX(Reference!$A$6,MIN(Reference!$A$11,MIN($U146,180))),Reference!$A$6:$A$11,1))))),0)+IF(5&lt;=$AL146,($AL146-5+3)*(INDEX(Reference!$B$6:$B$11,MIN(5,MATCH(MAX(Reference!$A$6,MIN(Reference!$A$11,MIN($U146,210))),Reference!$A$6:$A$11,1)))+(MAX(Reference!$A$6,MIN(Reference!$A$11,MIN($U146,210)))-INDEX(Reference!$A$6:$A$11,MIN(5,MATCH(MAX(Reference!$A$6,MIN(Reference!$A$11,MIN($U146,210))),Reference!$A$6:$A$11,1))))*(INDEX(Reference!$B$6:$B$11,MIN(5,MATCH(MAX(Reference!$A$6,MIN(Reference!$A$11,MIN($U146,210))),Reference!$A$6:$A$11,1))+1)-INDEX(Reference!$B$6:$B$11,MIN(5,MATCH(MAX(Reference!$A$6,MIN(Reference!$A$11,MIN($U146,210))),Reference!$A$6:$A$11,1))))/(INDEX(Reference!$A$6:$A$11,MIN(5,MATCH(MAX(Reference!$A$6,MIN(Reference!$A$11,MIN($U146,210))),Reference!$A$6:$A$11,1))+1)-INDEX(Reference!$A$6:$A$11,MIN(5,MATCH(MAX(Reference!$A$6,MIN(Reference!$A$11,MIN($U146,210))),Reference!$A$6:$A$11,1))))),0)+IF(6&lt;=$AL146,($AL146-6+3)*(INDEX(Reference!$B$6:$B$11,MIN(5,MATCH(MAX(Reference!$A$6,MIN(Reference!$A$11,MIN($U146,240))),Reference!$A$6:$A$11,1)))+(MAX(Reference!$A$6,MIN(Reference!$A$11,MIN($U146,240)))-INDEX(Reference!$A$6:$A$11,MIN(5,MATCH(MAX(Reference!$A$6,MIN(Reference!$A$11,MIN($U146,240))),Reference!$A$6:$A$11,1))))*(INDEX(Reference!$B$6:$B$11,MIN(5,MATCH(MAX(Reference!$A$6,MIN(Reference!$A$11,MIN($U146,240))),Reference!$A$6:$A$11,1))+1)-INDEX(Reference!$B$6:$B$11,MIN(5,MATCH(MAX(Reference!$A$6,MIN(Reference!$A$11,MIN($U146,240))),Reference!$A$6:$A$11,1))))/(INDEX(Reference!$A$6:$A$11,MIN(5,MATCH(MAX(Reference!$A$6,MIN(Reference!$A$11,MIN($U146,240))),Reference!$A$6:$A$11,1))+1)-INDEX(Reference!$A$6:$A$11,MIN(5,MATCH(MAX(Reference!$A$6,MIN(Reference!$A$11,MIN($U146,240))),Reference!$A$6:$A$11,1))))),0)+IF(7&lt;=$AL146,($AL146-7+3)*(INDEX(Reference!$B$6:$B$11,MIN(5,MATCH(MAX(Reference!$A$6,MIN(Reference!$A$11,MIN($U146,270))),Reference!$A$6:$A$11,1)))+(MAX(Reference!$A$6,MIN(Reference!$A$11,MIN($U146,270)))-INDEX(Reference!$A$6:$A$11,MIN(5,MATCH(MAX(Reference!$A$6,MIN(Reference!$A$11,MIN($U146,270))),Reference!$A$6:$A$11,1))))*(INDEX(Reference!$B$6:$B$11,MIN(5,MATCH(MAX(Reference!$A$6,MIN(Reference!$A$11,MIN($U146,270))),Reference!$A$6:$A$11,1))+1)-INDEX(Reference!$B$6:$B$11,MIN(5,MATCH(MAX(Reference!$A$6,MIN(Reference!$A$11,MIN($U146,270))),Reference!$A$6:$A$11,1))))/(INDEX(Reference!$A$6:$A$11,MIN(5,MATCH(MAX(Reference!$A$6,MIN(Reference!$A$11,MIN($U146,270))),Reference!$A$6:$A$11,1))+1)-INDEX(Reference!$A$6:$A$11,MIN(5,MATCH(MAX(Reference!$A$6,MIN(Reference!$A$11,MIN($U146,270))),Reference!$A$6:$A$11,1))))),0)+IF(8&lt;=$AL146,($AL146-8+3)*(INDEX(Reference!$B$6:$B$11,MIN(5,MATCH(MAX(Reference!$A$6,MIN(Reference!$A$11,MIN($U146,300))),Reference!$A$6:$A$11,1)))+(MAX(Reference!$A$6,MIN(Reference!$A$11,MIN($U146,300)))-INDEX(Reference!$A$6:$A$11,MIN(5,MATCH(MAX(Reference!$A$6,MIN(Reference!$A$11,MIN($U146,300))),Reference!$A$6:$A$11,1))))*(INDEX(Reference!$B$6:$B$11,MIN(5,MATCH(MAX(Reference!$A$6,MIN(Reference!$A$11,MIN($U146,300))),Reference!$A$6:$A$11,1))+1)-INDEX(Reference!$B$6:$B$11,MIN(5,MATCH(MAX(Reference!$A$6,MIN(Reference!$A$11,MIN($U146,300))),Reference!$A$6:$A$11,1))))/(INDEX(Reference!$A$6:$A$11,MIN(5,MATCH(MAX(Reference!$A$6,MIN(Reference!$A$11,MIN($U146,300))),Reference!$A$6:$A$11,1))+1)-INDEX(Reference!$A$6:$A$11,MIN(5,MATCH(MAX(Reference!$A$6,MIN(Reference!$A$11,MIN($U146,300))),Reference!$A$6:$A$11,1))))),0))/($AL146*($AL146+5)/2)),$AN146))</f>
        <v>0</v>
      </c>
      <c r="AN146" s="32">
        <f>IF($U146="",0,(INDEX(Reference!$B$6:$B$11,MIN(5,MATCH(MAX(Reference!$A$6,MIN(Reference!$A$11,$U146)),Reference!$A$6:$A$11,1)))+(MAX(Reference!$A$6,MIN(Reference!$A$11,$U146))-INDEX(Reference!$A$6:$A$11,MIN(5,MATCH(MAX(Reference!$A$6,MIN(Reference!$A$11,$U146)),Reference!$A$6:$A$11,1))))*(INDEX(Reference!$B$6:$B$11,MIN(5,MATCH(MAX(Reference!$A$6,MIN(Reference!$A$11,$U146)),Reference!$A$6:$A$11,1))+1)-INDEX(Reference!$B$6:$B$11,MIN(5,MATCH(MAX(Reference!$A$6,MIN(Reference!$A$11,$U146)),Reference!$A$6:$A$11,1))))/(INDEX(Reference!$A$6:$A$11,MIN(5,MATCH(MAX(Reference!$A$6,MIN(Reference!$A$11,$U146)),Reference!$A$6:$A$11,1))+1)-INDEX(Reference!$A$6:$A$11,MIN(5,MATCH(MAX(Reference!$A$6,MIN(Reference!$A$11,$U146)),Reference!$A$6:$A$11,1))))))</f>
        <v>0</v>
      </c>
      <c r="AO146" s="37"/>
      <c r="AP146" s="37"/>
      <c r="AQ146" s="37"/>
    </row>
    <row r="147" spans="1:43" x14ac:dyDescent="0.3">
      <c r="A147" s="48" t="str">
        <f t="shared" si="80"/>
        <v/>
      </c>
      <c r="B147" s="32" t="str">
        <f t="shared" si="81"/>
        <v/>
      </c>
      <c r="C147" s="32" t="str">
        <f t="shared" si="82"/>
        <v/>
      </c>
      <c r="D147" s="32" t="str">
        <f t="shared" si="83"/>
        <v/>
      </c>
      <c r="E147" s="32" t="str">
        <f t="shared" si="84"/>
        <v/>
      </c>
      <c r="F147" s="32" t="str">
        <f t="shared" si="85"/>
        <v/>
      </c>
      <c r="G147" s="47" t="str">
        <f t="shared" si="86"/>
        <v/>
      </c>
      <c r="H147" s="30" t="str">
        <f t="shared" si="87"/>
        <v/>
      </c>
      <c r="I147" s="46" t="str">
        <f>IF($A147="","",IF(AND($L147&lt;27,$K$12=0),"Building",IFERROR(((SUM($H$141:$H147)+$K$12*IF($L147&lt;6,SUMIFS('Throw Log'!$Q$5:$Q$300,'Throw Log'!$B$5:$B$300,$D$4,'Throw Log'!$A$5:$A$300,"&gt;="&amp;($D$6+$L147-6),'Throw Log'!$A$5:$A$300,"&lt;="&amp;($D$6-1)),0))/7)/((SUM($H$120:$H147)+$K$12*IF($L147&lt;27,SUMIFS('Throw Log'!$Q$5:$Q$300,'Throw Log'!$B$5:$B$300,$D$4,'Throw Log'!$A$5:$A$300,"&gt;="&amp;($D$6+$L147-27),'Throw Log'!$A$5:$A$300,"&lt;="&amp;($D$6-1)),0))/28),"")))</f>
        <v/>
      </c>
      <c r="J147" s="37"/>
      <c r="K147" s="37"/>
      <c r="L147" s="32">
        <v>104</v>
      </c>
      <c r="M147" s="32">
        <f t="shared" si="88"/>
        <v>15</v>
      </c>
      <c r="N147" s="32">
        <f t="shared" si="89"/>
        <v>6</v>
      </c>
      <c r="O147" s="32">
        <f t="shared" si="90"/>
        <v>1</v>
      </c>
      <c r="P147" s="32" t="str">
        <f>IF(OR($A147="",N($C147)&lt;=7),"",$G$6*$G$9^($M147-1)*IF(AND(MOD($M147,Reference!$B$99)=0,$M147&lt;=$G$5-2),Reference!$B$100,1))</f>
        <v/>
      </c>
      <c r="Q147" s="32" t="str">
        <f>IF($P147="","",IF(SUM($AK$141:$AK$147)=0,0,$P147*INDEX(Reference!$B$108:$B$114,$N147+1)/SUM($AK$141:$AK$147)))</f>
        <v/>
      </c>
      <c r="R147" s="32">
        <f t="shared" si="91"/>
        <v>180</v>
      </c>
      <c r="S147" s="32">
        <f t="shared" si="92"/>
        <v>150</v>
      </c>
      <c r="T147" s="32" t="str">
        <f>IF($A147="","",IF($C147=0,"Bullpen",IF(OR($C147=7,$C147=1,$C147=5),"Recovery/Easy Catch",IF($C147=6,"Compression/Pulldowns",IF(OR($C147=4,$C147=2),"Long Toss",IF($C147=3,"No Throw",IF($N147=2,"No Throw",IF($N147=6,IF($O147&lt;Reference!$B$104,"No Throw","Recovery/Easy Catch"),IF(OR($N147=0,$N147=4),"Recovery/Easy Catch",IF($N147=1,IF($R147&gt;75,"Long Toss","Recovery/Easy Catch"),IF($N147=3,IF($O147&lt;0.5,IF($S147&gt;75,"Long Toss","Recovery/Easy Catch"),"Compression/Pulldowns"),IF($S147&gt;75,"Long Toss","Recovery/Easy Catch"))))))))))))</f>
        <v/>
      </c>
      <c r="U147" s="32" t="str">
        <f t="shared" si="93"/>
        <v/>
      </c>
      <c r="V147" s="32" t="str">
        <f t="shared" si="94"/>
        <v/>
      </c>
      <c r="W147" s="32" t="str">
        <f t="shared" si="95"/>
        <v/>
      </c>
      <c r="X147" s="32">
        <f t="shared" si="96"/>
        <v>0</v>
      </c>
      <c r="Y147" s="32" t="str">
        <f t="shared" si="97"/>
        <v/>
      </c>
      <c r="Z147" s="32" t="str">
        <f t="shared" si="98"/>
        <v/>
      </c>
      <c r="AA147" s="32" t="str">
        <f t="shared" si="99"/>
        <v/>
      </c>
      <c r="AB147" s="32" t="str">
        <f>IF($A147="","",IF($T147="No Throw",0,IF($K147&lt;&gt;"",$K147,IF($AA147&lt;&gt;"",ROUND($AA147*$D$12*IF($C147=0,1,$G$10),0),MIN(IF($T147="Recovery/Easy Catch",Reference!$B$103,IF($T147="Long Toss",Reference!$B$106,Reference!$B$102)),MAX(Reference!$B$101,ROUND(MAX(0,$Q147-$AE147)/$AF147,0)))))))</f>
        <v/>
      </c>
      <c r="AC147" s="32">
        <f t="shared" si="100"/>
        <v>0</v>
      </c>
      <c r="AD147" s="32" t="b">
        <f t="shared" si="101"/>
        <v>1</v>
      </c>
      <c r="AE147" s="32">
        <f>IF($X147=0,0,$X147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147+$Z147)/2,0),Reference!$A$17:$B$20,2,TRUE()))</f>
        <v>0</v>
      </c>
      <c r="AF147" s="32">
        <f>IF(OR($A147="",$U147="",$T147="No Throw"),0,$AM147*VLOOKUP(MAX(($V147+$W147)/2,0),Reference!$A$17:$B$20,2,TRUE()))</f>
        <v>0</v>
      </c>
      <c r="AG147" s="32">
        <f>IF($AC147=0,0,$AC147*INDEX(Reference!$B$61:$B$62,MATCH("Bullpen",Reference!$A$61:$A$62,0))*VLOOKUP(MAX($D$5-($D$9+$E$9)/2,0),Reference!$A$17:$B$20,2,TRUE()))</f>
        <v>0</v>
      </c>
      <c r="AH147" s="32" t="e">
        <f t="shared" si="102"/>
        <v>#N/A</v>
      </c>
      <c r="AI147" s="32" t="e">
        <f>IF($A147="",NA(),Reference!$A$25)</f>
        <v>#N/A</v>
      </c>
      <c r="AJ147" s="32" t="e">
        <f t="shared" si="103"/>
        <v>#N/A</v>
      </c>
      <c r="AK147" s="32">
        <f>IF(OR($A147="",N($C147)&lt;=7,$T147="No Throw",$J147="x"),0,INDEX(Reference!$B$108:$B$114,$N147+1))</f>
        <v>0</v>
      </c>
      <c r="AL147" s="32">
        <f t="shared" si="104"/>
        <v>1</v>
      </c>
      <c r="AM147" s="32">
        <f>IF($U147="",0,IF($AL147&gt;1,((IF(1&lt;=$AL147,($AL147-1+3)*(INDEX(Reference!$B$6:$B$11,MIN(5,MATCH(MAX(Reference!$A$6,MIN(Reference!$A$11,MIN($U147,90))),Reference!$A$6:$A$11,1)))+(MAX(Reference!$A$6,MIN(Reference!$A$11,MIN($U147,90)))-INDEX(Reference!$A$6:$A$11,MIN(5,MATCH(MAX(Reference!$A$6,MIN(Reference!$A$11,MIN($U147,90))),Reference!$A$6:$A$11,1))))*(INDEX(Reference!$B$6:$B$11,MIN(5,MATCH(MAX(Reference!$A$6,MIN(Reference!$A$11,MIN($U147,90))),Reference!$A$6:$A$11,1))+1)-INDEX(Reference!$B$6:$B$11,MIN(5,MATCH(MAX(Reference!$A$6,MIN(Reference!$A$11,MIN($U147,90))),Reference!$A$6:$A$11,1))))/(INDEX(Reference!$A$6:$A$11,MIN(5,MATCH(MAX(Reference!$A$6,MIN(Reference!$A$11,MIN($U147,90))),Reference!$A$6:$A$11,1))+1)-INDEX(Reference!$A$6:$A$11,MIN(5,MATCH(MAX(Reference!$A$6,MIN(Reference!$A$11,MIN($U147,90))),Reference!$A$6:$A$11,1))))),0)+IF(2&lt;=$AL147,($AL147-2+3)*(INDEX(Reference!$B$6:$B$11,MIN(5,MATCH(MAX(Reference!$A$6,MIN(Reference!$A$11,MIN($U147,120))),Reference!$A$6:$A$11,1)))+(MAX(Reference!$A$6,MIN(Reference!$A$11,MIN($U147,120)))-INDEX(Reference!$A$6:$A$11,MIN(5,MATCH(MAX(Reference!$A$6,MIN(Reference!$A$11,MIN($U147,120))),Reference!$A$6:$A$11,1))))*(INDEX(Reference!$B$6:$B$11,MIN(5,MATCH(MAX(Reference!$A$6,MIN(Reference!$A$11,MIN($U147,120))),Reference!$A$6:$A$11,1))+1)-INDEX(Reference!$B$6:$B$11,MIN(5,MATCH(MAX(Reference!$A$6,MIN(Reference!$A$11,MIN($U147,120))),Reference!$A$6:$A$11,1))))/(INDEX(Reference!$A$6:$A$11,MIN(5,MATCH(MAX(Reference!$A$6,MIN(Reference!$A$11,MIN($U147,120))),Reference!$A$6:$A$11,1))+1)-INDEX(Reference!$A$6:$A$11,MIN(5,MATCH(MAX(Reference!$A$6,MIN(Reference!$A$11,MIN($U147,120))),Reference!$A$6:$A$11,1))))),0)+IF(3&lt;=$AL147,($AL147-3+3)*(INDEX(Reference!$B$6:$B$11,MIN(5,MATCH(MAX(Reference!$A$6,MIN(Reference!$A$11,MIN($U147,150))),Reference!$A$6:$A$11,1)))+(MAX(Reference!$A$6,MIN(Reference!$A$11,MIN($U147,150)))-INDEX(Reference!$A$6:$A$11,MIN(5,MATCH(MAX(Reference!$A$6,MIN(Reference!$A$11,MIN($U147,150))),Reference!$A$6:$A$11,1))))*(INDEX(Reference!$B$6:$B$11,MIN(5,MATCH(MAX(Reference!$A$6,MIN(Reference!$A$11,MIN($U147,150))),Reference!$A$6:$A$11,1))+1)-INDEX(Reference!$B$6:$B$11,MIN(5,MATCH(MAX(Reference!$A$6,MIN(Reference!$A$11,MIN($U147,150))),Reference!$A$6:$A$11,1))))/(INDEX(Reference!$A$6:$A$11,MIN(5,MATCH(MAX(Reference!$A$6,MIN(Reference!$A$11,MIN($U147,150))),Reference!$A$6:$A$11,1))+1)-INDEX(Reference!$A$6:$A$11,MIN(5,MATCH(MAX(Reference!$A$6,MIN(Reference!$A$11,MIN($U147,150))),Reference!$A$6:$A$11,1))))),0)+IF(4&lt;=$AL147,($AL147-4+3)*(INDEX(Reference!$B$6:$B$11,MIN(5,MATCH(MAX(Reference!$A$6,MIN(Reference!$A$11,MIN($U147,180))),Reference!$A$6:$A$11,1)))+(MAX(Reference!$A$6,MIN(Reference!$A$11,MIN($U147,180)))-INDEX(Reference!$A$6:$A$11,MIN(5,MATCH(MAX(Reference!$A$6,MIN(Reference!$A$11,MIN($U147,180))),Reference!$A$6:$A$11,1))))*(INDEX(Reference!$B$6:$B$11,MIN(5,MATCH(MAX(Reference!$A$6,MIN(Reference!$A$11,MIN($U147,180))),Reference!$A$6:$A$11,1))+1)-INDEX(Reference!$B$6:$B$11,MIN(5,MATCH(MAX(Reference!$A$6,MIN(Reference!$A$11,MIN($U147,180))),Reference!$A$6:$A$11,1))))/(INDEX(Reference!$A$6:$A$11,MIN(5,MATCH(MAX(Reference!$A$6,MIN(Reference!$A$11,MIN($U147,180))),Reference!$A$6:$A$11,1))+1)-INDEX(Reference!$A$6:$A$11,MIN(5,MATCH(MAX(Reference!$A$6,MIN(Reference!$A$11,MIN($U147,180))),Reference!$A$6:$A$11,1))))),0)+IF(5&lt;=$AL147,($AL147-5+3)*(INDEX(Reference!$B$6:$B$11,MIN(5,MATCH(MAX(Reference!$A$6,MIN(Reference!$A$11,MIN($U147,210))),Reference!$A$6:$A$11,1)))+(MAX(Reference!$A$6,MIN(Reference!$A$11,MIN($U147,210)))-INDEX(Reference!$A$6:$A$11,MIN(5,MATCH(MAX(Reference!$A$6,MIN(Reference!$A$11,MIN($U147,210))),Reference!$A$6:$A$11,1))))*(INDEX(Reference!$B$6:$B$11,MIN(5,MATCH(MAX(Reference!$A$6,MIN(Reference!$A$11,MIN($U147,210))),Reference!$A$6:$A$11,1))+1)-INDEX(Reference!$B$6:$B$11,MIN(5,MATCH(MAX(Reference!$A$6,MIN(Reference!$A$11,MIN($U147,210))),Reference!$A$6:$A$11,1))))/(INDEX(Reference!$A$6:$A$11,MIN(5,MATCH(MAX(Reference!$A$6,MIN(Reference!$A$11,MIN($U147,210))),Reference!$A$6:$A$11,1))+1)-INDEX(Reference!$A$6:$A$11,MIN(5,MATCH(MAX(Reference!$A$6,MIN(Reference!$A$11,MIN($U147,210))),Reference!$A$6:$A$11,1))))),0)+IF(6&lt;=$AL147,($AL147-6+3)*(INDEX(Reference!$B$6:$B$11,MIN(5,MATCH(MAX(Reference!$A$6,MIN(Reference!$A$11,MIN($U147,240))),Reference!$A$6:$A$11,1)))+(MAX(Reference!$A$6,MIN(Reference!$A$11,MIN($U147,240)))-INDEX(Reference!$A$6:$A$11,MIN(5,MATCH(MAX(Reference!$A$6,MIN(Reference!$A$11,MIN($U147,240))),Reference!$A$6:$A$11,1))))*(INDEX(Reference!$B$6:$B$11,MIN(5,MATCH(MAX(Reference!$A$6,MIN(Reference!$A$11,MIN($U147,240))),Reference!$A$6:$A$11,1))+1)-INDEX(Reference!$B$6:$B$11,MIN(5,MATCH(MAX(Reference!$A$6,MIN(Reference!$A$11,MIN($U147,240))),Reference!$A$6:$A$11,1))))/(INDEX(Reference!$A$6:$A$11,MIN(5,MATCH(MAX(Reference!$A$6,MIN(Reference!$A$11,MIN($U147,240))),Reference!$A$6:$A$11,1))+1)-INDEX(Reference!$A$6:$A$11,MIN(5,MATCH(MAX(Reference!$A$6,MIN(Reference!$A$11,MIN($U147,240))),Reference!$A$6:$A$11,1))))),0)+IF(7&lt;=$AL147,($AL147-7+3)*(INDEX(Reference!$B$6:$B$11,MIN(5,MATCH(MAX(Reference!$A$6,MIN(Reference!$A$11,MIN($U147,270))),Reference!$A$6:$A$11,1)))+(MAX(Reference!$A$6,MIN(Reference!$A$11,MIN($U147,270)))-INDEX(Reference!$A$6:$A$11,MIN(5,MATCH(MAX(Reference!$A$6,MIN(Reference!$A$11,MIN($U147,270))),Reference!$A$6:$A$11,1))))*(INDEX(Reference!$B$6:$B$11,MIN(5,MATCH(MAX(Reference!$A$6,MIN(Reference!$A$11,MIN($U147,270))),Reference!$A$6:$A$11,1))+1)-INDEX(Reference!$B$6:$B$11,MIN(5,MATCH(MAX(Reference!$A$6,MIN(Reference!$A$11,MIN($U147,270))),Reference!$A$6:$A$11,1))))/(INDEX(Reference!$A$6:$A$11,MIN(5,MATCH(MAX(Reference!$A$6,MIN(Reference!$A$11,MIN($U147,270))),Reference!$A$6:$A$11,1))+1)-INDEX(Reference!$A$6:$A$11,MIN(5,MATCH(MAX(Reference!$A$6,MIN(Reference!$A$11,MIN($U147,270))),Reference!$A$6:$A$11,1))))),0)+IF(8&lt;=$AL147,($AL147-8+3)*(INDEX(Reference!$B$6:$B$11,MIN(5,MATCH(MAX(Reference!$A$6,MIN(Reference!$A$11,MIN($U147,300))),Reference!$A$6:$A$11,1)))+(MAX(Reference!$A$6,MIN(Reference!$A$11,MIN($U147,300)))-INDEX(Reference!$A$6:$A$11,MIN(5,MATCH(MAX(Reference!$A$6,MIN(Reference!$A$11,MIN($U147,300))),Reference!$A$6:$A$11,1))))*(INDEX(Reference!$B$6:$B$11,MIN(5,MATCH(MAX(Reference!$A$6,MIN(Reference!$A$11,MIN($U147,300))),Reference!$A$6:$A$11,1))+1)-INDEX(Reference!$B$6:$B$11,MIN(5,MATCH(MAX(Reference!$A$6,MIN(Reference!$A$11,MIN($U147,300))),Reference!$A$6:$A$11,1))))/(INDEX(Reference!$A$6:$A$11,MIN(5,MATCH(MAX(Reference!$A$6,MIN(Reference!$A$11,MIN($U147,300))),Reference!$A$6:$A$11,1))+1)-INDEX(Reference!$A$6:$A$11,MIN(5,MATCH(MAX(Reference!$A$6,MIN(Reference!$A$11,MIN($U147,300))),Reference!$A$6:$A$11,1))))),0))/($AL147*($AL147+5)/2)),$AN147))</f>
        <v>0</v>
      </c>
      <c r="AN147" s="32">
        <f>IF($U147="",0,(INDEX(Reference!$B$6:$B$11,MIN(5,MATCH(MAX(Reference!$A$6,MIN(Reference!$A$11,$U147)),Reference!$A$6:$A$11,1)))+(MAX(Reference!$A$6,MIN(Reference!$A$11,$U147))-INDEX(Reference!$A$6:$A$11,MIN(5,MATCH(MAX(Reference!$A$6,MIN(Reference!$A$11,$U147)),Reference!$A$6:$A$11,1))))*(INDEX(Reference!$B$6:$B$11,MIN(5,MATCH(MAX(Reference!$A$6,MIN(Reference!$A$11,$U147)),Reference!$A$6:$A$11,1))+1)-INDEX(Reference!$B$6:$B$11,MIN(5,MATCH(MAX(Reference!$A$6,MIN(Reference!$A$11,$U147)),Reference!$A$6:$A$11,1))))/(INDEX(Reference!$A$6:$A$11,MIN(5,MATCH(MAX(Reference!$A$6,MIN(Reference!$A$11,$U147)),Reference!$A$6:$A$11,1))+1)-INDEX(Reference!$A$6:$A$11,MIN(5,MATCH(MAX(Reference!$A$6,MIN(Reference!$A$11,$U147)),Reference!$A$6:$A$11,1))))))</f>
        <v>0</v>
      </c>
      <c r="AO147" s="37"/>
      <c r="AP147" s="37"/>
      <c r="AQ147" s="37"/>
    </row>
    <row r="148" spans="1:43" x14ac:dyDescent="0.3">
      <c r="A148" s="48" t="str">
        <f t="shared" si="80"/>
        <v/>
      </c>
      <c r="B148" s="32" t="str">
        <f t="shared" si="81"/>
        <v/>
      </c>
      <c r="C148" s="32" t="str">
        <f t="shared" si="82"/>
        <v/>
      </c>
      <c r="D148" s="32" t="str">
        <f t="shared" si="83"/>
        <v/>
      </c>
      <c r="E148" s="32" t="str">
        <f t="shared" si="84"/>
        <v/>
      </c>
      <c r="F148" s="32" t="str">
        <f t="shared" si="85"/>
        <v/>
      </c>
      <c r="G148" s="47" t="str">
        <f t="shared" si="86"/>
        <v/>
      </c>
      <c r="H148" s="30" t="str">
        <f t="shared" si="87"/>
        <v/>
      </c>
      <c r="I148" s="46" t="str">
        <f>IF($A148="","",IF(AND($L148&lt;27,$K$12=0),"Building",IFERROR(((SUM($H$142:$H148)+$K$12*IF($L148&lt;6,SUMIFS('Throw Log'!$Q$5:$Q$300,'Throw Log'!$B$5:$B$300,$D$4,'Throw Log'!$A$5:$A$300,"&gt;="&amp;($D$6+$L148-6),'Throw Log'!$A$5:$A$300,"&lt;="&amp;($D$6-1)),0))/7)/((SUM($H$121:$H148)+$K$12*IF($L148&lt;27,SUMIFS('Throw Log'!$Q$5:$Q$300,'Throw Log'!$B$5:$B$300,$D$4,'Throw Log'!$A$5:$A$300,"&gt;="&amp;($D$6+$L148-27),'Throw Log'!$A$5:$A$300,"&lt;="&amp;($D$6-1)),0))/28),"")))</f>
        <v/>
      </c>
      <c r="J148" s="37"/>
      <c r="K148" s="37"/>
      <c r="L148" s="32">
        <v>105</v>
      </c>
      <c r="M148" s="32">
        <f t="shared" si="88"/>
        <v>16</v>
      </c>
      <c r="N148" s="32">
        <f t="shared" si="89"/>
        <v>0</v>
      </c>
      <c r="O148" s="32">
        <f t="shared" si="90"/>
        <v>1</v>
      </c>
      <c r="P148" s="32" t="str">
        <f>IF(OR($A148="",N($C148)&lt;=7),"",$G$6*$G$9^($M148-1)*IF(AND(MOD($M148,Reference!$B$99)=0,$M148&lt;=$G$5-2),Reference!$B$100,1))</f>
        <v/>
      </c>
      <c r="Q148" s="32" t="str">
        <f>IF($P148="","",IF(SUM($AK$148:$AK$154)=0,0,$P148*INDEX(Reference!$B$108:$B$114,$N148+1)/SUM($AK$148:$AK$154)))</f>
        <v/>
      </c>
      <c r="R148" s="32">
        <f t="shared" si="91"/>
        <v>180</v>
      </c>
      <c r="S148" s="32">
        <f t="shared" si="92"/>
        <v>150</v>
      </c>
      <c r="T148" s="32" t="str">
        <f>IF($A148="","",IF($C148=0,"Bullpen",IF(OR($C148=7,$C148=1,$C148=5),"Recovery/Easy Catch",IF($C148=6,"Compression/Pulldowns",IF(OR($C148=4,$C148=2),"Long Toss",IF($C148=3,"No Throw",IF($N148=2,"No Throw",IF($N148=6,IF($O148&lt;Reference!$B$104,"No Throw","Recovery/Easy Catch"),IF(OR($N148=0,$N148=4),"Recovery/Easy Catch",IF($N148=1,IF($R148&gt;75,"Long Toss","Recovery/Easy Catch"),IF($N148=3,IF($O148&lt;0.5,IF($S148&gt;75,"Long Toss","Recovery/Easy Catch"),"Compression/Pulldowns"),IF($S148&gt;75,"Long Toss","Recovery/Easy Catch"))))))))))))</f>
        <v/>
      </c>
      <c r="U148" s="32" t="str">
        <f t="shared" si="93"/>
        <v/>
      </c>
      <c r="V148" s="32" t="str">
        <f t="shared" si="94"/>
        <v/>
      </c>
      <c r="W148" s="32" t="str">
        <f t="shared" si="95"/>
        <v/>
      </c>
      <c r="X148" s="32">
        <f t="shared" si="96"/>
        <v>0</v>
      </c>
      <c r="Y148" s="32" t="str">
        <f t="shared" si="97"/>
        <v/>
      </c>
      <c r="Z148" s="32" t="str">
        <f t="shared" si="98"/>
        <v/>
      </c>
      <c r="AA148" s="32" t="str">
        <f t="shared" si="99"/>
        <v/>
      </c>
      <c r="AB148" s="32" t="str">
        <f>IF($A148="","",IF($T148="No Throw",0,IF($K148&lt;&gt;"",$K148,IF($AA148&lt;&gt;"",ROUND($AA148*$D$12*IF($C148=0,1,$G$10),0),MIN(IF($T148="Recovery/Easy Catch",Reference!$B$103,IF($T148="Long Toss",Reference!$B$106,Reference!$B$102)),MAX(Reference!$B$101,ROUND(MAX(0,$Q148-$AE148)/$AF148,0)))))))</f>
        <v/>
      </c>
      <c r="AC148" s="32">
        <f t="shared" si="100"/>
        <v>0</v>
      </c>
      <c r="AD148" s="32" t="b">
        <f t="shared" si="101"/>
        <v>1</v>
      </c>
      <c r="AE148" s="32">
        <f>IF($X148=0,0,$X148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148+$Z148)/2,0),Reference!$A$17:$B$20,2,TRUE()))</f>
        <v>0</v>
      </c>
      <c r="AF148" s="32">
        <f>IF(OR($A148="",$U148="",$T148="No Throw"),0,$AM148*VLOOKUP(MAX(($V148+$W148)/2,0),Reference!$A$17:$B$20,2,TRUE()))</f>
        <v>0</v>
      </c>
      <c r="AG148" s="32">
        <f>IF($AC148=0,0,$AC148*INDEX(Reference!$B$61:$B$62,MATCH("Bullpen",Reference!$A$61:$A$62,0))*VLOOKUP(MAX($D$5-($D$9+$E$9)/2,0),Reference!$A$17:$B$20,2,TRUE()))</f>
        <v>0</v>
      </c>
      <c r="AH148" s="32" t="e">
        <f t="shared" si="102"/>
        <v>#N/A</v>
      </c>
      <c r="AI148" s="32" t="e">
        <f>IF($A148="",NA(),Reference!$A$25)</f>
        <v>#N/A</v>
      </c>
      <c r="AJ148" s="32" t="e">
        <f t="shared" si="103"/>
        <v>#N/A</v>
      </c>
      <c r="AK148" s="32">
        <f>IF(OR($A148="",N($C148)&lt;=7,$T148="No Throw",$J148="x"),0,INDEX(Reference!$B$108:$B$114,$N148+1))</f>
        <v>0</v>
      </c>
      <c r="AL148" s="32">
        <f t="shared" si="104"/>
        <v>1</v>
      </c>
      <c r="AM148" s="32">
        <f>IF($U148="",0,IF($AL148&gt;1,((IF(1&lt;=$AL148,($AL148-1+3)*(INDEX(Reference!$B$6:$B$11,MIN(5,MATCH(MAX(Reference!$A$6,MIN(Reference!$A$11,MIN($U148,90))),Reference!$A$6:$A$11,1)))+(MAX(Reference!$A$6,MIN(Reference!$A$11,MIN($U148,90)))-INDEX(Reference!$A$6:$A$11,MIN(5,MATCH(MAX(Reference!$A$6,MIN(Reference!$A$11,MIN($U148,90))),Reference!$A$6:$A$11,1))))*(INDEX(Reference!$B$6:$B$11,MIN(5,MATCH(MAX(Reference!$A$6,MIN(Reference!$A$11,MIN($U148,90))),Reference!$A$6:$A$11,1))+1)-INDEX(Reference!$B$6:$B$11,MIN(5,MATCH(MAX(Reference!$A$6,MIN(Reference!$A$11,MIN($U148,90))),Reference!$A$6:$A$11,1))))/(INDEX(Reference!$A$6:$A$11,MIN(5,MATCH(MAX(Reference!$A$6,MIN(Reference!$A$11,MIN($U148,90))),Reference!$A$6:$A$11,1))+1)-INDEX(Reference!$A$6:$A$11,MIN(5,MATCH(MAX(Reference!$A$6,MIN(Reference!$A$11,MIN($U148,90))),Reference!$A$6:$A$11,1))))),0)+IF(2&lt;=$AL148,($AL148-2+3)*(INDEX(Reference!$B$6:$B$11,MIN(5,MATCH(MAX(Reference!$A$6,MIN(Reference!$A$11,MIN($U148,120))),Reference!$A$6:$A$11,1)))+(MAX(Reference!$A$6,MIN(Reference!$A$11,MIN($U148,120)))-INDEX(Reference!$A$6:$A$11,MIN(5,MATCH(MAX(Reference!$A$6,MIN(Reference!$A$11,MIN($U148,120))),Reference!$A$6:$A$11,1))))*(INDEX(Reference!$B$6:$B$11,MIN(5,MATCH(MAX(Reference!$A$6,MIN(Reference!$A$11,MIN($U148,120))),Reference!$A$6:$A$11,1))+1)-INDEX(Reference!$B$6:$B$11,MIN(5,MATCH(MAX(Reference!$A$6,MIN(Reference!$A$11,MIN($U148,120))),Reference!$A$6:$A$11,1))))/(INDEX(Reference!$A$6:$A$11,MIN(5,MATCH(MAX(Reference!$A$6,MIN(Reference!$A$11,MIN($U148,120))),Reference!$A$6:$A$11,1))+1)-INDEX(Reference!$A$6:$A$11,MIN(5,MATCH(MAX(Reference!$A$6,MIN(Reference!$A$11,MIN($U148,120))),Reference!$A$6:$A$11,1))))),0)+IF(3&lt;=$AL148,($AL148-3+3)*(INDEX(Reference!$B$6:$B$11,MIN(5,MATCH(MAX(Reference!$A$6,MIN(Reference!$A$11,MIN($U148,150))),Reference!$A$6:$A$11,1)))+(MAX(Reference!$A$6,MIN(Reference!$A$11,MIN($U148,150)))-INDEX(Reference!$A$6:$A$11,MIN(5,MATCH(MAX(Reference!$A$6,MIN(Reference!$A$11,MIN($U148,150))),Reference!$A$6:$A$11,1))))*(INDEX(Reference!$B$6:$B$11,MIN(5,MATCH(MAX(Reference!$A$6,MIN(Reference!$A$11,MIN($U148,150))),Reference!$A$6:$A$11,1))+1)-INDEX(Reference!$B$6:$B$11,MIN(5,MATCH(MAX(Reference!$A$6,MIN(Reference!$A$11,MIN($U148,150))),Reference!$A$6:$A$11,1))))/(INDEX(Reference!$A$6:$A$11,MIN(5,MATCH(MAX(Reference!$A$6,MIN(Reference!$A$11,MIN($U148,150))),Reference!$A$6:$A$11,1))+1)-INDEX(Reference!$A$6:$A$11,MIN(5,MATCH(MAX(Reference!$A$6,MIN(Reference!$A$11,MIN($U148,150))),Reference!$A$6:$A$11,1))))),0)+IF(4&lt;=$AL148,($AL148-4+3)*(INDEX(Reference!$B$6:$B$11,MIN(5,MATCH(MAX(Reference!$A$6,MIN(Reference!$A$11,MIN($U148,180))),Reference!$A$6:$A$11,1)))+(MAX(Reference!$A$6,MIN(Reference!$A$11,MIN($U148,180)))-INDEX(Reference!$A$6:$A$11,MIN(5,MATCH(MAX(Reference!$A$6,MIN(Reference!$A$11,MIN($U148,180))),Reference!$A$6:$A$11,1))))*(INDEX(Reference!$B$6:$B$11,MIN(5,MATCH(MAX(Reference!$A$6,MIN(Reference!$A$11,MIN($U148,180))),Reference!$A$6:$A$11,1))+1)-INDEX(Reference!$B$6:$B$11,MIN(5,MATCH(MAX(Reference!$A$6,MIN(Reference!$A$11,MIN($U148,180))),Reference!$A$6:$A$11,1))))/(INDEX(Reference!$A$6:$A$11,MIN(5,MATCH(MAX(Reference!$A$6,MIN(Reference!$A$11,MIN($U148,180))),Reference!$A$6:$A$11,1))+1)-INDEX(Reference!$A$6:$A$11,MIN(5,MATCH(MAX(Reference!$A$6,MIN(Reference!$A$11,MIN($U148,180))),Reference!$A$6:$A$11,1))))),0)+IF(5&lt;=$AL148,($AL148-5+3)*(INDEX(Reference!$B$6:$B$11,MIN(5,MATCH(MAX(Reference!$A$6,MIN(Reference!$A$11,MIN($U148,210))),Reference!$A$6:$A$11,1)))+(MAX(Reference!$A$6,MIN(Reference!$A$11,MIN($U148,210)))-INDEX(Reference!$A$6:$A$11,MIN(5,MATCH(MAX(Reference!$A$6,MIN(Reference!$A$11,MIN($U148,210))),Reference!$A$6:$A$11,1))))*(INDEX(Reference!$B$6:$B$11,MIN(5,MATCH(MAX(Reference!$A$6,MIN(Reference!$A$11,MIN($U148,210))),Reference!$A$6:$A$11,1))+1)-INDEX(Reference!$B$6:$B$11,MIN(5,MATCH(MAX(Reference!$A$6,MIN(Reference!$A$11,MIN($U148,210))),Reference!$A$6:$A$11,1))))/(INDEX(Reference!$A$6:$A$11,MIN(5,MATCH(MAX(Reference!$A$6,MIN(Reference!$A$11,MIN($U148,210))),Reference!$A$6:$A$11,1))+1)-INDEX(Reference!$A$6:$A$11,MIN(5,MATCH(MAX(Reference!$A$6,MIN(Reference!$A$11,MIN($U148,210))),Reference!$A$6:$A$11,1))))),0)+IF(6&lt;=$AL148,($AL148-6+3)*(INDEX(Reference!$B$6:$B$11,MIN(5,MATCH(MAX(Reference!$A$6,MIN(Reference!$A$11,MIN($U148,240))),Reference!$A$6:$A$11,1)))+(MAX(Reference!$A$6,MIN(Reference!$A$11,MIN($U148,240)))-INDEX(Reference!$A$6:$A$11,MIN(5,MATCH(MAX(Reference!$A$6,MIN(Reference!$A$11,MIN($U148,240))),Reference!$A$6:$A$11,1))))*(INDEX(Reference!$B$6:$B$11,MIN(5,MATCH(MAX(Reference!$A$6,MIN(Reference!$A$11,MIN($U148,240))),Reference!$A$6:$A$11,1))+1)-INDEX(Reference!$B$6:$B$11,MIN(5,MATCH(MAX(Reference!$A$6,MIN(Reference!$A$11,MIN($U148,240))),Reference!$A$6:$A$11,1))))/(INDEX(Reference!$A$6:$A$11,MIN(5,MATCH(MAX(Reference!$A$6,MIN(Reference!$A$11,MIN($U148,240))),Reference!$A$6:$A$11,1))+1)-INDEX(Reference!$A$6:$A$11,MIN(5,MATCH(MAX(Reference!$A$6,MIN(Reference!$A$11,MIN($U148,240))),Reference!$A$6:$A$11,1))))),0)+IF(7&lt;=$AL148,($AL148-7+3)*(INDEX(Reference!$B$6:$B$11,MIN(5,MATCH(MAX(Reference!$A$6,MIN(Reference!$A$11,MIN($U148,270))),Reference!$A$6:$A$11,1)))+(MAX(Reference!$A$6,MIN(Reference!$A$11,MIN($U148,270)))-INDEX(Reference!$A$6:$A$11,MIN(5,MATCH(MAX(Reference!$A$6,MIN(Reference!$A$11,MIN($U148,270))),Reference!$A$6:$A$11,1))))*(INDEX(Reference!$B$6:$B$11,MIN(5,MATCH(MAX(Reference!$A$6,MIN(Reference!$A$11,MIN($U148,270))),Reference!$A$6:$A$11,1))+1)-INDEX(Reference!$B$6:$B$11,MIN(5,MATCH(MAX(Reference!$A$6,MIN(Reference!$A$11,MIN($U148,270))),Reference!$A$6:$A$11,1))))/(INDEX(Reference!$A$6:$A$11,MIN(5,MATCH(MAX(Reference!$A$6,MIN(Reference!$A$11,MIN($U148,270))),Reference!$A$6:$A$11,1))+1)-INDEX(Reference!$A$6:$A$11,MIN(5,MATCH(MAX(Reference!$A$6,MIN(Reference!$A$11,MIN($U148,270))),Reference!$A$6:$A$11,1))))),0)+IF(8&lt;=$AL148,($AL148-8+3)*(INDEX(Reference!$B$6:$B$11,MIN(5,MATCH(MAX(Reference!$A$6,MIN(Reference!$A$11,MIN($U148,300))),Reference!$A$6:$A$11,1)))+(MAX(Reference!$A$6,MIN(Reference!$A$11,MIN($U148,300)))-INDEX(Reference!$A$6:$A$11,MIN(5,MATCH(MAX(Reference!$A$6,MIN(Reference!$A$11,MIN($U148,300))),Reference!$A$6:$A$11,1))))*(INDEX(Reference!$B$6:$B$11,MIN(5,MATCH(MAX(Reference!$A$6,MIN(Reference!$A$11,MIN($U148,300))),Reference!$A$6:$A$11,1))+1)-INDEX(Reference!$B$6:$B$11,MIN(5,MATCH(MAX(Reference!$A$6,MIN(Reference!$A$11,MIN($U148,300))),Reference!$A$6:$A$11,1))))/(INDEX(Reference!$A$6:$A$11,MIN(5,MATCH(MAX(Reference!$A$6,MIN(Reference!$A$11,MIN($U148,300))),Reference!$A$6:$A$11,1))+1)-INDEX(Reference!$A$6:$A$11,MIN(5,MATCH(MAX(Reference!$A$6,MIN(Reference!$A$11,MIN($U148,300))),Reference!$A$6:$A$11,1))))),0))/($AL148*($AL148+5)/2)),$AN148))</f>
        <v>0</v>
      </c>
      <c r="AN148" s="32">
        <f>IF($U148="",0,(INDEX(Reference!$B$6:$B$11,MIN(5,MATCH(MAX(Reference!$A$6,MIN(Reference!$A$11,$U148)),Reference!$A$6:$A$11,1)))+(MAX(Reference!$A$6,MIN(Reference!$A$11,$U148))-INDEX(Reference!$A$6:$A$11,MIN(5,MATCH(MAX(Reference!$A$6,MIN(Reference!$A$11,$U148)),Reference!$A$6:$A$11,1))))*(INDEX(Reference!$B$6:$B$11,MIN(5,MATCH(MAX(Reference!$A$6,MIN(Reference!$A$11,$U148)),Reference!$A$6:$A$11,1))+1)-INDEX(Reference!$B$6:$B$11,MIN(5,MATCH(MAX(Reference!$A$6,MIN(Reference!$A$11,$U148)),Reference!$A$6:$A$11,1))))/(INDEX(Reference!$A$6:$A$11,MIN(5,MATCH(MAX(Reference!$A$6,MIN(Reference!$A$11,$U148)),Reference!$A$6:$A$11,1))+1)-INDEX(Reference!$A$6:$A$11,MIN(5,MATCH(MAX(Reference!$A$6,MIN(Reference!$A$11,$U148)),Reference!$A$6:$A$11,1))))))</f>
        <v>0</v>
      </c>
      <c r="AO148" s="37"/>
      <c r="AP148" s="37"/>
      <c r="AQ148" s="37"/>
    </row>
    <row r="149" spans="1:43" x14ac:dyDescent="0.3">
      <c r="A149" s="48" t="str">
        <f t="shared" si="80"/>
        <v/>
      </c>
      <c r="B149" s="32" t="str">
        <f t="shared" si="81"/>
        <v/>
      </c>
      <c r="C149" s="32" t="str">
        <f t="shared" si="82"/>
        <v/>
      </c>
      <c r="D149" s="32" t="str">
        <f t="shared" si="83"/>
        <v/>
      </c>
      <c r="E149" s="32" t="str">
        <f t="shared" si="84"/>
        <v/>
      </c>
      <c r="F149" s="32" t="str">
        <f t="shared" si="85"/>
        <v/>
      </c>
      <c r="G149" s="47" t="str">
        <f t="shared" si="86"/>
        <v/>
      </c>
      <c r="H149" s="30" t="str">
        <f t="shared" si="87"/>
        <v/>
      </c>
      <c r="I149" s="46" t="str">
        <f>IF($A149="","",IF(AND($L149&lt;27,$K$12=0),"Building",IFERROR(((SUM($H$143:$H149)+$K$12*IF($L149&lt;6,SUMIFS('Throw Log'!$Q$5:$Q$300,'Throw Log'!$B$5:$B$300,$D$4,'Throw Log'!$A$5:$A$300,"&gt;="&amp;($D$6+$L149-6),'Throw Log'!$A$5:$A$300,"&lt;="&amp;($D$6-1)),0))/7)/((SUM($H$122:$H149)+$K$12*IF($L149&lt;27,SUMIFS('Throw Log'!$Q$5:$Q$300,'Throw Log'!$B$5:$B$300,$D$4,'Throw Log'!$A$5:$A$300,"&gt;="&amp;($D$6+$L149-27),'Throw Log'!$A$5:$A$300,"&lt;="&amp;($D$6-1)),0))/28),"")))</f>
        <v/>
      </c>
      <c r="J149" s="37"/>
      <c r="K149" s="37"/>
      <c r="L149" s="32">
        <v>106</v>
      </c>
      <c r="M149" s="32">
        <f t="shared" si="88"/>
        <v>16</v>
      </c>
      <c r="N149" s="32">
        <f t="shared" si="89"/>
        <v>1</v>
      </c>
      <c r="O149" s="32">
        <f t="shared" si="90"/>
        <v>1</v>
      </c>
      <c r="P149" s="32" t="str">
        <f>IF(OR($A149="",N($C149)&lt;=7),"",$G$6*$G$9^($M149-1)*IF(AND(MOD($M149,Reference!$B$99)=0,$M149&lt;=$G$5-2),Reference!$B$100,1))</f>
        <v/>
      </c>
      <c r="Q149" s="32" t="str">
        <f>IF($P149="","",IF(SUM($AK$148:$AK$154)=0,0,$P149*INDEX(Reference!$B$108:$B$114,$N149+1)/SUM($AK$148:$AK$154)))</f>
        <v/>
      </c>
      <c r="R149" s="32">
        <f t="shared" si="91"/>
        <v>180</v>
      </c>
      <c r="S149" s="32">
        <f t="shared" si="92"/>
        <v>150</v>
      </c>
      <c r="T149" s="32" t="str">
        <f>IF($A149="","",IF($C149=0,"Bullpen",IF(OR($C149=7,$C149=1,$C149=5),"Recovery/Easy Catch",IF($C149=6,"Compression/Pulldowns",IF(OR($C149=4,$C149=2),"Long Toss",IF($C149=3,"No Throw",IF($N149=2,"No Throw",IF($N149=6,IF($O149&lt;Reference!$B$104,"No Throw","Recovery/Easy Catch"),IF(OR($N149=0,$N149=4),"Recovery/Easy Catch",IF($N149=1,IF($R149&gt;75,"Long Toss","Recovery/Easy Catch"),IF($N149=3,IF($O149&lt;0.5,IF($S149&gt;75,"Long Toss","Recovery/Easy Catch"),"Compression/Pulldowns"),IF($S149&gt;75,"Long Toss","Recovery/Easy Catch"))))))))))))</f>
        <v/>
      </c>
      <c r="U149" s="32" t="str">
        <f t="shared" si="93"/>
        <v/>
      </c>
      <c r="V149" s="32" t="str">
        <f t="shared" si="94"/>
        <v/>
      </c>
      <c r="W149" s="32" t="str">
        <f t="shared" si="95"/>
        <v/>
      </c>
      <c r="X149" s="32">
        <f t="shared" si="96"/>
        <v>0</v>
      </c>
      <c r="Y149" s="32" t="str">
        <f t="shared" si="97"/>
        <v/>
      </c>
      <c r="Z149" s="32" t="str">
        <f t="shared" si="98"/>
        <v/>
      </c>
      <c r="AA149" s="32" t="str">
        <f t="shared" si="99"/>
        <v/>
      </c>
      <c r="AB149" s="32" t="str">
        <f>IF($A149="","",IF($T149="No Throw",0,IF($K149&lt;&gt;"",$K149,IF($AA149&lt;&gt;"",ROUND($AA149*$D$12*IF($C149=0,1,$G$10),0),MIN(IF($T149="Recovery/Easy Catch",Reference!$B$103,IF($T149="Long Toss",Reference!$B$106,Reference!$B$102)),MAX(Reference!$B$101,ROUND(MAX(0,$Q149-$AE149)/$AF149,0)))))))</f>
        <v/>
      </c>
      <c r="AC149" s="32">
        <f t="shared" si="100"/>
        <v>0</v>
      </c>
      <c r="AD149" s="32" t="b">
        <f t="shared" si="101"/>
        <v>1</v>
      </c>
      <c r="AE149" s="32">
        <f>IF($X149=0,0,$X149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149+$Z149)/2,0),Reference!$A$17:$B$20,2,TRUE()))</f>
        <v>0</v>
      </c>
      <c r="AF149" s="32">
        <f>IF(OR($A149="",$U149="",$T149="No Throw"),0,$AM149*VLOOKUP(MAX(($V149+$W149)/2,0),Reference!$A$17:$B$20,2,TRUE()))</f>
        <v>0</v>
      </c>
      <c r="AG149" s="32">
        <f>IF($AC149=0,0,$AC149*INDEX(Reference!$B$61:$B$62,MATCH("Bullpen",Reference!$A$61:$A$62,0))*VLOOKUP(MAX($D$5-($D$9+$E$9)/2,0),Reference!$A$17:$B$20,2,TRUE()))</f>
        <v>0</v>
      </c>
      <c r="AH149" s="32" t="e">
        <f t="shared" si="102"/>
        <v>#N/A</v>
      </c>
      <c r="AI149" s="32" t="e">
        <f>IF($A149="",NA(),Reference!$A$25)</f>
        <v>#N/A</v>
      </c>
      <c r="AJ149" s="32" t="e">
        <f t="shared" si="103"/>
        <v>#N/A</v>
      </c>
      <c r="AK149" s="32">
        <f>IF(OR($A149="",N($C149)&lt;=7,$T149="No Throw",$J149="x"),0,INDEX(Reference!$B$108:$B$114,$N149+1))</f>
        <v>0</v>
      </c>
      <c r="AL149" s="32">
        <f t="shared" si="104"/>
        <v>1</v>
      </c>
      <c r="AM149" s="32">
        <f>IF($U149="",0,IF($AL149&gt;1,((IF(1&lt;=$AL149,($AL149-1+3)*(INDEX(Reference!$B$6:$B$11,MIN(5,MATCH(MAX(Reference!$A$6,MIN(Reference!$A$11,MIN($U149,90))),Reference!$A$6:$A$11,1)))+(MAX(Reference!$A$6,MIN(Reference!$A$11,MIN($U149,90)))-INDEX(Reference!$A$6:$A$11,MIN(5,MATCH(MAX(Reference!$A$6,MIN(Reference!$A$11,MIN($U149,90))),Reference!$A$6:$A$11,1))))*(INDEX(Reference!$B$6:$B$11,MIN(5,MATCH(MAX(Reference!$A$6,MIN(Reference!$A$11,MIN($U149,90))),Reference!$A$6:$A$11,1))+1)-INDEX(Reference!$B$6:$B$11,MIN(5,MATCH(MAX(Reference!$A$6,MIN(Reference!$A$11,MIN($U149,90))),Reference!$A$6:$A$11,1))))/(INDEX(Reference!$A$6:$A$11,MIN(5,MATCH(MAX(Reference!$A$6,MIN(Reference!$A$11,MIN($U149,90))),Reference!$A$6:$A$11,1))+1)-INDEX(Reference!$A$6:$A$11,MIN(5,MATCH(MAX(Reference!$A$6,MIN(Reference!$A$11,MIN($U149,90))),Reference!$A$6:$A$11,1))))),0)+IF(2&lt;=$AL149,($AL149-2+3)*(INDEX(Reference!$B$6:$B$11,MIN(5,MATCH(MAX(Reference!$A$6,MIN(Reference!$A$11,MIN($U149,120))),Reference!$A$6:$A$11,1)))+(MAX(Reference!$A$6,MIN(Reference!$A$11,MIN($U149,120)))-INDEX(Reference!$A$6:$A$11,MIN(5,MATCH(MAX(Reference!$A$6,MIN(Reference!$A$11,MIN($U149,120))),Reference!$A$6:$A$11,1))))*(INDEX(Reference!$B$6:$B$11,MIN(5,MATCH(MAX(Reference!$A$6,MIN(Reference!$A$11,MIN($U149,120))),Reference!$A$6:$A$11,1))+1)-INDEX(Reference!$B$6:$B$11,MIN(5,MATCH(MAX(Reference!$A$6,MIN(Reference!$A$11,MIN($U149,120))),Reference!$A$6:$A$11,1))))/(INDEX(Reference!$A$6:$A$11,MIN(5,MATCH(MAX(Reference!$A$6,MIN(Reference!$A$11,MIN($U149,120))),Reference!$A$6:$A$11,1))+1)-INDEX(Reference!$A$6:$A$11,MIN(5,MATCH(MAX(Reference!$A$6,MIN(Reference!$A$11,MIN($U149,120))),Reference!$A$6:$A$11,1))))),0)+IF(3&lt;=$AL149,($AL149-3+3)*(INDEX(Reference!$B$6:$B$11,MIN(5,MATCH(MAX(Reference!$A$6,MIN(Reference!$A$11,MIN($U149,150))),Reference!$A$6:$A$11,1)))+(MAX(Reference!$A$6,MIN(Reference!$A$11,MIN($U149,150)))-INDEX(Reference!$A$6:$A$11,MIN(5,MATCH(MAX(Reference!$A$6,MIN(Reference!$A$11,MIN($U149,150))),Reference!$A$6:$A$11,1))))*(INDEX(Reference!$B$6:$B$11,MIN(5,MATCH(MAX(Reference!$A$6,MIN(Reference!$A$11,MIN($U149,150))),Reference!$A$6:$A$11,1))+1)-INDEX(Reference!$B$6:$B$11,MIN(5,MATCH(MAX(Reference!$A$6,MIN(Reference!$A$11,MIN($U149,150))),Reference!$A$6:$A$11,1))))/(INDEX(Reference!$A$6:$A$11,MIN(5,MATCH(MAX(Reference!$A$6,MIN(Reference!$A$11,MIN($U149,150))),Reference!$A$6:$A$11,1))+1)-INDEX(Reference!$A$6:$A$11,MIN(5,MATCH(MAX(Reference!$A$6,MIN(Reference!$A$11,MIN($U149,150))),Reference!$A$6:$A$11,1))))),0)+IF(4&lt;=$AL149,($AL149-4+3)*(INDEX(Reference!$B$6:$B$11,MIN(5,MATCH(MAX(Reference!$A$6,MIN(Reference!$A$11,MIN($U149,180))),Reference!$A$6:$A$11,1)))+(MAX(Reference!$A$6,MIN(Reference!$A$11,MIN($U149,180)))-INDEX(Reference!$A$6:$A$11,MIN(5,MATCH(MAX(Reference!$A$6,MIN(Reference!$A$11,MIN($U149,180))),Reference!$A$6:$A$11,1))))*(INDEX(Reference!$B$6:$B$11,MIN(5,MATCH(MAX(Reference!$A$6,MIN(Reference!$A$11,MIN($U149,180))),Reference!$A$6:$A$11,1))+1)-INDEX(Reference!$B$6:$B$11,MIN(5,MATCH(MAX(Reference!$A$6,MIN(Reference!$A$11,MIN($U149,180))),Reference!$A$6:$A$11,1))))/(INDEX(Reference!$A$6:$A$11,MIN(5,MATCH(MAX(Reference!$A$6,MIN(Reference!$A$11,MIN($U149,180))),Reference!$A$6:$A$11,1))+1)-INDEX(Reference!$A$6:$A$11,MIN(5,MATCH(MAX(Reference!$A$6,MIN(Reference!$A$11,MIN($U149,180))),Reference!$A$6:$A$11,1))))),0)+IF(5&lt;=$AL149,($AL149-5+3)*(INDEX(Reference!$B$6:$B$11,MIN(5,MATCH(MAX(Reference!$A$6,MIN(Reference!$A$11,MIN($U149,210))),Reference!$A$6:$A$11,1)))+(MAX(Reference!$A$6,MIN(Reference!$A$11,MIN($U149,210)))-INDEX(Reference!$A$6:$A$11,MIN(5,MATCH(MAX(Reference!$A$6,MIN(Reference!$A$11,MIN($U149,210))),Reference!$A$6:$A$11,1))))*(INDEX(Reference!$B$6:$B$11,MIN(5,MATCH(MAX(Reference!$A$6,MIN(Reference!$A$11,MIN($U149,210))),Reference!$A$6:$A$11,1))+1)-INDEX(Reference!$B$6:$B$11,MIN(5,MATCH(MAX(Reference!$A$6,MIN(Reference!$A$11,MIN($U149,210))),Reference!$A$6:$A$11,1))))/(INDEX(Reference!$A$6:$A$11,MIN(5,MATCH(MAX(Reference!$A$6,MIN(Reference!$A$11,MIN($U149,210))),Reference!$A$6:$A$11,1))+1)-INDEX(Reference!$A$6:$A$11,MIN(5,MATCH(MAX(Reference!$A$6,MIN(Reference!$A$11,MIN($U149,210))),Reference!$A$6:$A$11,1))))),0)+IF(6&lt;=$AL149,($AL149-6+3)*(INDEX(Reference!$B$6:$B$11,MIN(5,MATCH(MAX(Reference!$A$6,MIN(Reference!$A$11,MIN($U149,240))),Reference!$A$6:$A$11,1)))+(MAX(Reference!$A$6,MIN(Reference!$A$11,MIN($U149,240)))-INDEX(Reference!$A$6:$A$11,MIN(5,MATCH(MAX(Reference!$A$6,MIN(Reference!$A$11,MIN($U149,240))),Reference!$A$6:$A$11,1))))*(INDEX(Reference!$B$6:$B$11,MIN(5,MATCH(MAX(Reference!$A$6,MIN(Reference!$A$11,MIN($U149,240))),Reference!$A$6:$A$11,1))+1)-INDEX(Reference!$B$6:$B$11,MIN(5,MATCH(MAX(Reference!$A$6,MIN(Reference!$A$11,MIN($U149,240))),Reference!$A$6:$A$11,1))))/(INDEX(Reference!$A$6:$A$11,MIN(5,MATCH(MAX(Reference!$A$6,MIN(Reference!$A$11,MIN($U149,240))),Reference!$A$6:$A$11,1))+1)-INDEX(Reference!$A$6:$A$11,MIN(5,MATCH(MAX(Reference!$A$6,MIN(Reference!$A$11,MIN($U149,240))),Reference!$A$6:$A$11,1))))),0)+IF(7&lt;=$AL149,($AL149-7+3)*(INDEX(Reference!$B$6:$B$11,MIN(5,MATCH(MAX(Reference!$A$6,MIN(Reference!$A$11,MIN($U149,270))),Reference!$A$6:$A$11,1)))+(MAX(Reference!$A$6,MIN(Reference!$A$11,MIN($U149,270)))-INDEX(Reference!$A$6:$A$11,MIN(5,MATCH(MAX(Reference!$A$6,MIN(Reference!$A$11,MIN($U149,270))),Reference!$A$6:$A$11,1))))*(INDEX(Reference!$B$6:$B$11,MIN(5,MATCH(MAX(Reference!$A$6,MIN(Reference!$A$11,MIN($U149,270))),Reference!$A$6:$A$11,1))+1)-INDEX(Reference!$B$6:$B$11,MIN(5,MATCH(MAX(Reference!$A$6,MIN(Reference!$A$11,MIN($U149,270))),Reference!$A$6:$A$11,1))))/(INDEX(Reference!$A$6:$A$11,MIN(5,MATCH(MAX(Reference!$A$6,MIN(Reference!$A$11,MIN($U149,270))),Reference!$A$6:$A$11,1))+1)-INDEX(Reference!$A$6:$A$11,MIN(5,MATCH(MAX(Reference!$A$6,MIN(Reference!$A$11,MIN($U149,270))),Reference!$A$6:$A$11,1))))),0)+IF(8&lt;=$AL149,($AL149-8+3)*(INDEX(Reference!$B$6:$B$11,MIN(5,MATCH(MAX(Reference!$A$6,MIN(Reference!$A$11,MIN($U149,300))),Reference!$A$6:$A$11,1)))+(MAX(Reference!$A$6,MIN(Reference!$A$11,MIN($U149,300)))-INDEX(Reference!$A$6:$A$11,MIN(5,MATCH(MAX(Reference!$A$6,MIN(Reference!$A$11,MIN($U149,300))),Reference!$A$6:$A$11,1))))*(INDEX(Reference!$B$6:$B$11,MIN(5,MATCH(MAX(Reference!$A$6,MIN(Reference!$A$11,MIN($U149,300))),Reference!$A$6:$A$11,1))+1)-INDEX(Reference!$B$6:$B$11,MIN(5,MATCH(MAX(Reference!$A$6,MIN(Reference!$A$11,MIN($U149,300))),Reference!$A$6:$A$11,1))))/(INDEX(Reference!$A$6:$A$11,MIN(5,MATCH(MAX(Reference!$A$6,MIN(Reference!$A$11,MIN($U149,300))),Reference!$A$6:$A$11,1))+1)-INDEX(Reference!$A$6:$A$11,MIN(5,MATCH(MAX(Reference!$A$6,MIN(Reference!$A$11,MIN($U149,300))),Reference!$A$6:$A$11,1))))),0))/($AL149*($AL149+5)/2)),$AN149))</f>
        <v>0</v>
      </c>
      <c r="AN149" s="32">
        <f>IF($U149="",0,(INDEX(Reference!$B$6:$B$11,MIN(5,MATCH(MAX(Reference!$A$6,MIN(Reference!$A$11,$U149)),Reference!$A$6:$A$11,1)))+(MAX(Reference!$A$6,MIN(Reference!$A$11,$U149))-INDEX(Reference!$A$6:$A$11,MIN(5,MATCH(MAX(Reference!$A$6,MIN(Reference!$A$11,$U149)),Reference!$A$6:$A$11,1))))*(INDEX(Reference!$B$6:$B$11,MIN(5,MATCH(MAX(Reference!$A$6,MIN(Reference!$A$11,$U149)),Reference!$A$6:$A$11,1))+1)-INDEX(Reference!$B$6:$B$11,MIN(5,MATCH(MAX(Reference!$A$6,MIN(Reference!$A$11,$U149)),Reference!$A$6:$A$11,1))))/(INDEX(Reference!$A$6:$A$11,MIN(5,MATCH(MAX(Reference!$A$6,MIN(Reference!$A$11,$U149)),Reference!$A$6:$A$11,1))+1)-INDEX(Reference!$A$6:$A$11,MIN(5,MATCH(MAX(Reference!$A$6,MIN(Reference!$A$11,$U149)),Reference!$A$6:$A$11,1))))))</f>
        <v>0</v>
      </c>
      <c r="AO149" s="37"/>
      <c r="AP149" s="37"/>
      <c r="AQ149" s="37"/>
    </row>
    <row r="150" spans="1:43" x14ac:dyDescent="0.3">
      <c r="A150" s="48" t="str">
        <f t="shared" si="80"/>
        <v/>
      </c>
      <c r="B150" s="32" t="str">
        <f t="shared" si="81"/>
        <v/>
      </c>
      <c r="C150" s="32" t="str">
        <f t="shared" si="82"/>
        <v/>
      </c>
      <c r="D150" s="32" t="str">
        <f t="shared" si="83"/>
        <v/>
      </c>
      <c r="E150" s="32" t="str">
        <f t="shared" si="84"/>
        <v/>
      </c>
      <c r="F150" s="32" t="str">
        <f t="shared" si="85"/>
        <v/>
      </c>
      <c r="G150" s="47" t="str">
        <f t="shared" si="86"/>
        <v/>
      </c>
      <c r="H150" s="30" t="str">
        <f t="shared" si="87"/>
        <v/>
      </c>
      <c r="I150" s="46" t="str">
        <f>IF($A150="","",IF(AND($L150&lt;27,$K$12=0),"Building",IFERROR(((SUM($H$144:$H150)+$K$12*IF($L150&lt;6,SUMIFS('Throw Log'!$Q$5:$Q$300,'Throw Log'!$B$5:$B$300,$D$4,'Throw Log'!$A$5:$A$300,"&gt;="&amp;($D$6+$L150-6),'Throw Log'!$A$5:$A$300,"&lt;="&amp;($D$6-1)),0))/7)/((SUM($H$123:$H150)+$K$12*IF($L150&lt;27,SUMIFS('Throw Log'!$Q$5:$Q$300,'Throw Log'!$B$5:$B$300,$D$4,'Throw Log'!$A$5:$A$300,"&gt;="&amp;($D$6+$L150-27),'Throw Log'!$A$5:$A$300,"&lt;="&amp;($D$6-1)),0))/28),"")))</f>
        <v/>
      </c>
      <c r="J150" s="37"/>
      <c r="K150" s="37"/>
      <c r="L150" s="32">
        <v>107</v>
      </c>
      <c r="M150" s="32">
        <f t="shared" si="88"/>
        <v>16</v>
      </c>
      <c r="N150" s="32">
        <f t="shared" si="89"/>
        <v>2</v>
      </c>
      <c r="O150" s="32">
        <f t="shared" si="90"/>
        <v>1</v>
      </c>
      <c r="P150" s="32" t="str">
        <f>IF(OR($A150="",N($C150)&lt;=7),"",$G$6*$G$9^($M150-1)*IF(AND(MOD($M150,Reference!$B$99)=0,$M150&lt;=$G$5-2),Reference!$B$100,1))</f>
        <v/>
      </c>
      <c r="Q150" s="32" t="str">
        <f>IF($P150="","",IF(SUM($AK$148:$AK$154)=0,0,$P150*INDEX(Reference!$B$108:$B$114,$N150+1)/SUM($AK$148:$AK$154)))</f>
        <v/>
      </c>
      <c r="R150" s="32">
        <f t="shared" si="91"/>
        <v>180</v>
      </c>
      <c r="S150" s="32">
        <f t="shared" si="92"/>
        <v>150</v>
      </c>
      <c r="T150" s="32" t="str">
        <f>IF($A150="","",IF($C150=0,"Bullpen",IF(OR($C150=7,$C150=1,$C150=5),"Recovery/Easy Catch",IF($C150=6,"Compression/Pulldowns",IF(OR($C150=4,$C150=2),"Long Toss",IF($C150=3,"No Throw",IF($N150=2,"No Throw",IF($N150=6,IF($O150&lt;Reference!$B$104,"No Throw","Recovery/Easy Catch"),IF(OR($N150=0,$N150=4),"Recovery/Easy Catch",IF($N150=1,IF($R150&gt;75,"Long Toss","Recovery/Easy Catch"),IF($N150=3,IF($O150&lt;0.5,IF($S150&gt;75,"Long Toss","Recovery/Easy Catch"),"Compression/Pulldowns"),IF($S150&gt;75,"Long Toss","Recovery/Easy Catch"))))))))))))</f>
        <v/>
      </c>
      <c r="U150" s="32" t="str">
        <f t="shared" si="93"/>
        <v/>
      </c>
      <c r="V150" s="32" t="str">
        <f t="shared" si="94"/>
        <v/>
      </c>
      <c r="W150" s="32" t="str">
        <f t="shared" si="95"/>
        <v/>
      </c>
      <c r="X150" s="32">
        <f t="shared" si="96"/>
        <v>0</v>
      </c>
      <c r="Y150" s="32" t="str">
        <f t="shared" si="97"/>
        <v/>
      </c>
      <c r="Z150" s="32" t="str">
        <f t="shared" si="98"/>
        <v/>
      </c>
      <c r="AA150" s="32" t="str">
        <f t="shared" si="99"/>
        <v/>
      </c>
      <c r="AB150" s="32" t="str">
        <f>IF($A150="","",IF($T150="No Throw",0,IF($K150&lt;&gt;"",$K150,IF($AA150&lt;&gt;"",ROUND($AA150*$D$12*IF($C150=0,1,$G$10),0),MIN(IF($T150="Recovery/Easy Catch",Reference!$B$103,IF($T150="Long Toss",Reference!$B$106,Reference!$B$102)),MAX(Reference!$B$101,ROUND(MAX(0,$Q150-$AE150)/$AF150,0)))))))</f>
        <v/>
      </c>
      <c r="AC150" s="32">
        <f t="shared" si="100"/>
        <v>0</v>
      </c>
      <c r="AD150" s="32" t="b">
        <f t="shared" si="101"/>
        <v>1</v>
      </c>
      <c r="AE150" s="32">
        <f>IF($X150=0,0,$X150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150+$Z150)/2,0),Reference!$A$17:$B$20,2,TRUE()))</f>
        <v>0</v>
      </c>
      <c r="AF150" s="32">
        <f>IF(OR($A150="",$U150="",$T150="No Throw"),0,$AM150*VLOOKUP(MAX(($V150+$W150)/2,0),Reference!$A$17:$B$20,2,TRUE()))</f>
        <v>0</v>
      </c>
      <c r="AG150" s="32">
        <f>IF($AC150=0,0,$AC150*INDEX(Reference!$B$61:$B$62,MATCH("Bullpen",Reference!$A$61:$A$62,0))*VLOOKUP(MAX($D$5-($D$9+$E$9)/2,0),Reference!$A$17:$B$20,2,TRUE()))</f>
        <v>0</v>
      </c>
      <c r="AH150" s="32" t="e">
        <f t="shared" si="102"/>
        <v>#N/A</v>
      </c>
      <c r="AI150" s="32" t="e">
        <f>IF($A150="",NA(),Reference!$A$25)</f>
        <v>#N/A</v>
      </c>
      <c r="AJ150" s="32" t="e">
        <f t="shared" si="103"/>
        <v>#N/A</v>
      </c>
      <c r="AK150" s="32">
        <f>IF(OR($A150="",N($C150)&lt;=7,$T150="No Throw",$J150="x"),0,INDEX(Reference!$B$108:$B$114,$N150+1))</f>
        <v>0</v>
      </c>
      <c r="AL150" s="32">
        <f t="shared" si="104"/>
        <v>1</v>
      </c>
      <c r="AM150" s="32">
        <f>IF($U150="",0,IF($AL150&gt;1,((IF(1&lt;=$AL150,($AL150-1+3)*(INDEX(Reference!$B$6:$B$11,MIN(5,MATCH(MAX(Reference!$A$6,MIN(Reference!$A$11,MIN($U150,90))),Reference!$A$6:$A$11,1)))+(MAX(Reference!$A$6,MIN(Reference!$A$11,MIN($U150,90)))-INDEX(Reference!$A$6:$A$11,MIN(5,MATCH(MAX(Reference!$A$6,MIN(Reference!$A$11,MIN($U150,90))),Reference!$A$6:$A$11,1))))*(INDEX(Reference!$B$6:$B$11,MIN(5,MATCH(MAX(Reference!$A$6,MIN(Reference!$A$11,MIN($U150,90))),Reference!$A$6:$A$11,1))+1)-INDEX(Reference!$B$6:$B$11,MIN(5,MATCH(MAX(Reference!$A$6,MIN(Reference!$A$11,MIN($U150,90))),Reference!$A$6:$A$11,1))))/(INDEX(Reference!$A$6:$A$11,MIN(5,MATCH(MAX(Reference!$A$6,MIN(Reference!$A$11,MIN($U150,90))),Reference!$A$6:$A$11,1))+1)-INDEX(Reference!$A$6:$A$11,MIN(5,MATCH(MAX(Reference!$A$6,MIN(Reference!$A$11,MIN($U150,90))),Reference!$A$6:$A$11,1))))),0)+IF(2&lt;=$AL150,($AL150-2+3)*(INDEX(Reference!$B$6:$B$11,MIN(5,MATCH(MAX(Reference!$A$6,MIN(Reference!$A$11,MIN($U150,120))),Reference!$A$6:$A$11,1)))+(MAX(Reference!$A$6,MIN(Reference!$A$11,MIN($U150,120)))-INDEX(Reference!$A$6:$A$11,MIN(5,MATCH(MAX(Reference!$A$6,MIN(Reference!$A$11,MIN($U150,120))),Reference!$A$6:$A$11,1))))*(INDEX(Reference!$B$6:$B$11,MIN(5,MATCH(MAX(Reference!$A$6,MIN(Reference!$A$11,MIN($U150,120))),Reference!$A$6:$A$11,1))+1)-INDEX(Reference!$B$6:$B$11,MIN(5,MATCH(MAX(Reference!$A$6,MIN(Reference!$A$11,MIN($U150,120))),Reference!$A$6:$A$11,1))))/(INDEX(Reference!$A$6:$A$11,MIN(5,MATCH(MAX(Reference!$A$6,MIN(Reference!$A$11,MIN($U150,120))),Reference!$A$6:$A$11,1))+1)-INDEX(Reference!$A$6:$A$11,MIN(5,MATCH(MAX(Reference!$A$6,MIN(Reference!$A$11,MIN($U150,120))),Reference!$A$6:$A$11,1))))),0)+IF(3&lt;=$AL150,($AL150-3+3)*(INDEX(Reference!$B$6:$B$11,MIN(5,MATCH(MAX(Reference!$A$6,MIN(Reference!$A$11,MIN($U150,150))),Reference!$A$6:$A$11,1)))+(MAX(Reference!$A$6,MIN(Reference!$A$11,MIN($U150,150)))-INDEX(Reference!$A$6:$A$11,MIN(5,MATCH(MAX(Reference!$A$6,MIN(Reference!$A$11,MIN($U150,150))),Reference!$A$6:$A$11,1))))*(INDEX(Reference!$B$6:$B$11,MIN(5,MATCH(MAX(Reference!$A$6,MIN(Reference!$A$11,MIN($U150,150))),Reference!$A$6:$A$11,1))+1)-INDEX(Reference!$B$6:$B$11,MIN(5,MATCH(MAX(Reference!$A$6,MIN(Reference!$A$11,MIN($U150,150))),Reference!$A$6:$A$11,1))))/(INDEX(Reference!$A$6:$A$11,MIN(5,MATCH(MAX(Reference!$A$6,MIN(Reference!$A$11,MIN($U150,150))),Reference!$A$6:$A$11,1))+1)-INDEX(Reference!$A$6:$A$11,MIN(5,MATCH(MAX(Reference!$A$6,MIN(Reference!$A$11,MIN($U150,150))),Reference!$A$6:$A$11,1))))),0)+IF(4&lt;=$AL150,($AL150-4+3)*(INDEX(Reference!$B$6:$B$11,MIN(5,MATCH(MAX(Reference!$A$6,MIN(Reference!$A$11,MIN($U150,180))),Reference!$A$6:$A$11,1)))+(MAX(Reference!$A$6,MIN(Reference!$A$11,MIN($U150,180)))-INDEX(Reference!$A$6:$A$11,MIN(5,MATCH(MAX(Reference!$A$6,MIN(Reference!$A$11,MIN($U150,180))),Reference!$A$6:$A$11,1))))*(INDEX(Reference!$B$6:$B$11,MIN(5,MATCH(MAX(Reference!$A$6,MIN(Reference!$A$11,MIN($U150,180))),Reference!$A$6:$A$11,1))+1)-INDEX(Reference!$B$6:$B$11,MIN(5,MATCH(MAX(Reference!$A$6,MIN(Reference!$A$11,MIN($U150,180))),Reference!$A$6:$A$11,1))))/(INDEX(Reference!$A$6:$A$11,MIN(5,MATCH(MAX(Reference!$A$6,MIN(Reference!$A$11,MIN($U150,180))),Reference!$A$6:$A$11,1))+1)-INDEX(Reference!$A$6:$A$11,MIN(5,MATCH(MAX(Reference!$A$6,MIN(Reference!$A$11,MIN($U150,180))),Reference!$A$6:$A$11,1))))),0)+IF(5&lt;=$AL150,($AL150-5+3)*(INDEX(Reference!$B$6:$B$11,MIN(5,MATCH(MAX(Reference!$A$6,MIN(Reference!$A$11,MIN($U150,210))),Reference!$A$6:$A$11,1)))+(MAX(Reference!$A$6,MIN(Reference!$A$11,MIN($U150,210)))-INDEX(Reference!$A$6:$A$11,MIN(5,MATCH(MAX(Reference!$A$6,MIN(Reference!$A$11,MIN($U150,210))),Reference!$A$6:$A$11,1))))*(INDEX(Reference!$B$6:$B$11,MIN(5,MATCH(MAX(Reference!$A$6,MIN(Reference!$A$11,MIN($U150,210))),Reference!$A$6:$A$11,1))+1)-INDEX(Reference!$B$6:$B$11,MIN(5,MATCH(MAX(Reference!$A$6,MIN(Reference!$A$11,MIN($U150,210))),Reference!$A$6:$A$11,1))))/(INDEX(Reference!$A$6:$A$11,MIN(5,MATCH(MAX(Reference!$A$6,MIN(Reference!$A$11,MIN($U150,210))),Reference!$A$6:$A$11,1))+1)-INDEX(Reference!$A$6:$A$11,MIN(5,MATCH(MAX(Reference!$A$6,MIN(Reference!$A$11,MIN($U150,210))),Reference!$A$6:$A$11,1))))),0)+IF(6&lt;=$AL150,($AL150-6+3)*(INDEX(Reference!$B$6:$B$11,MIN(5,MATCH(MAX(Reference!$A$6,MIN(Reference!$A$11,MIN($U150,240))),Reference!$A$6:$A$11,1)))+(MAX(Reference!$A$6,MIN(Reference!$A$11,MIN($U150,240)))-INDEX(Reference!$A$6:$A$11,MIN(5,MATCH(MAX(Reference!$A$6,MIN(Reference!$A$11,MIN($U150,240))),Reference!$A$6:$A$11,1))))*(INDEX(Reference!$B$6:$B$11,MIN(5,MATCH(MAX(Reference!$A$6,MIN(Reference!$A$11,MIN($U150,240))),Reference!$A$6:$A$11,1))+1)-INDEX(Reference!$B$6:$B$11,MIN(5,MATCH(MAX(Reference!$A$6,MIN(Reference!$A$11,MIN($U150,240))),Reference!$A$6:$A$11,1))))/(INDEX(Reference!$A$6:$A$11,MIN(5,MATCH(MAX(Reference!$A$6,MIN(Reference!$A$11,MIN($U150,240))),Reference!$A$6:$A$11,1))+1)-INDEX(Reference!$A$6:$A$11,MIN(5,MATCH(MAX(Reference!$A$6,MIN(Reference!$A$11,MIN($U150,240))),Reference!$A$6:$A$11,1))))),0)+IF(7&lt;=$AL150,($AL150-7+3)*(INDEX(Reference!$B$6:$B$11,MIN(5,MATCH(MAX(Reference!$A$6,MIN(Reference!$A$11,MIN($U150,270))),Reference!$A$6:$A$11,1)))+(MAX(Reference!$A$6,MIN(Reference!$A$11,MIN($U150,270)))-INDEX(Reference!$A$6:$A$11,MIN(5,MATCH(MAX(Reference!$A$6,MIN(Reference!$A$11,MIN($U150,270))),Reference!$A$6:$A$11,1))))*(INDEX(Reference!$B$6:$B$11,MIN(5,MATCH(MAX(Reference!$A$6,MIN(Reference!$A$11,MIN($U150,270))),Reference!$A$6:$A$11,1))+1)-INDEX(Reference!$B$6:$B$11,MIN(5,MATCH(MAX(Reference!$A$6,MIN(Reference!$A$11,MIN($U150,270))),Reference!$A$6:$A$11,1))))/(INDEX(Reference!$A$6:$A$11,MIN(5,MATCH(MAX(Reference!$A$6,MIN(Reference!$A$11,MIN($U150,270))),Reference!$A$6:$A$11,1))+1)-INDEX(Reference!$A$6:$A$11,MIN(5,MATCH(MAX(Reference!$A$6,MIN(Reference!$A$11,MIN($U150,270))),Reference!$A$6:$A$11,1))))),0)+IF(8&lt;=$AL150,($AL150-8+3)*(INDEX(Reference!$B$6:$B$11,MIN(5,MATCH(MAX(Reference!$A$6,MIN(Reference!$A$11,MIN($U150,300))),Reference!$A$6:$A$11,1)))+(MAX(Reference!$A$6,MIN(Reference!$A$11,MIN($U150,300)))-INDEX(Reference!$A$6:$A$11,MIN(5,MATCH(MAX(Reference!$A$6,MIN(Reference!$A$11,MIN($U150,300))),Reference!$A$6:$A$11,1))))*(INDEX(Reference!$B$6:$B$11,MIN(5,MATCH(MAX(Reference!$A$6,MIN(Reference!$A$11,MIN($U150,300))),Reference!$A$6:$A$11,1))+1)-INDEX(Reference!$B$6:$B$11,MIN(5,MATCH(MAX(Reference!$A$6,MIN(Reference!$A$11,MIN($U150,300))),Reference!$A$6:$A$11,1))))/(INDEX(Reference!$A$6:$A$11,MIN(5,MATCH(MAX(Reference!$A$6,MIN(Reference!$A$11,MIN($U150,300))),Reference!$A$6:$A$11,1))+1)-INDEX(Reference!$A$6:$A$11,MIN(5,MATCH(MAX(Reference!$A$6,MIN(Reference!$A$11,MIN($U150,300))),Reference!$A$6:$A$11,1))))),0))/($AL150*($AL150+5)/2)),$AN150))</f>
        <v>0</v>
      </c>
      <c r="AN150" s="32">
        <f>IF($U150="",0,(INDEX(Reference!$B$6:$B$11,MIN(5,MATCH(MAX(Reference!$A$6,MIN(Reference!$A$11,$U150)),Reference!$A$6:$A$11,1)))+(MAX(Reference!$A$6,MIN(Reference!$A$11,$U150))-INDEX(Reference!$A$6:$A$11,MIN(5,MATCH(MAX(Reference!$A$6,MIN(Reference!$A$11,$U150)),Reference!$A$6:$A$11,1))))*(INDEX(Reference!$B$6:$B$11,MIN(5,MATCH(MAX(Reference!$A$6,MIN(Reference!$A$11,$U150)),Reference!$A$6:$A$11,1))+1)-INDEX(Reference!$B$6:$B$11,MIN(5,MATCH(MAX(Reference!$A$6,MIN(Reference!$A$11,$U150)),Reference!$A$6:$A$11,1))))/(INDEX(Reference!$A$6:$A$11,MIN(5,MATCH(MAX(Reference!$A$6,MIN(Reference!$A$11,$U150)),Reference!$A$6:$A$11,1))+1)-INDEX(Reference!$A$6:$A$11,MIN(5,MATCH(MAX(Reference!$A$6,MIN(Reference!$A$11,$U150)),Reference!$A$6:$A$11,1))))))</f>
        <v>0</v>
      </c>
      <c r="AO150" s="37"/>
      <c r="AP150" s="37"/>
      <c r="AQ150" s="37"/>
    </row>
    <row r="151" spans="1:43" x14ac:dyDescent="0.3">
      <c r="A151" s="48" t="str">
        <f t="shared" si="80"/>
        <v/>
      </c>
      <c r="B151" s="32" t="str">
        <f t="shared" si="81"/>
        <v/>
      </c>
      <c r="C151" s="32" t="str">
        <f t="shared" si="82"/>
        <v/>
      </c>
      <c r="D151" s="32" t="str">
        <f t="shared" si="83"/>
        <v/>
      </c>
      <c r="E151" s="32" t="str">
        <f t="shared" si="84"/>
        <v/>
      </c>
      <c r="F151" s="32" t="str">
        <f t="shared" si="85"/>
        <v/>
      </c>
      <c r="G151" s="47" t="str">
        <f t="shared" si="86"/>
        <v/>
      </c>
      <c r="H151" s="30" t="str">
        <f t="shared" si="87"/>
        <v/>
      </c>
      <c r="I151" s="46" t="str">
        <f>IF($A151="","",IF(AND($L151&lt;27,$K$12=0),"Building",IFERROR(((SUM($H$145:$H151)+$K$12*IF($L151&lt;6,SUMIFS('Throw Log'!$Q$5:$Q$300,'Throw Log'!$B$5:$B$300,$D$4,'Throw Log'!$A$5:$A$300,"&gt;="&amp;($D$6+$L151-6),'Throw Log'!$A$5:$A$300,"&lt;="&amp;($D$6-1)),0))/7)/((SUM($H$124:$H151)+$K$12*IF($L151&lt;27,SUMIFS('Throw Log'!$Q$5:$Q$300,'Throw Log'!$B$5:$B$300,$D$4,'Throw Log'!$A$5:$A$300,"&gt;="&amp;($D$6+$L151-27),'Throw Log'!$A$5:$A$300,"&lt;="&amp;($D$6-1)),0))/28),"")))</f>
        <v/>
      </c>
      <c r="J151" s="37"/>
      <c r="K151" s="37"/>
      <c r="L151" s="32">
        <v>108</v>
      </c>
      <c r="M151" s="32">
        <f t="shared" si="88"/>
        <v>16</v>
      </c>
      <c r="N151" s="32">
        <f t="shared" si="89"/>
        <v>3</v>
      </c>
      <c r="O151" s="32">
        <f t="shared" si="90"/>
        <v>1</v>
      </c>
      <c r="P151" s="32" t="str">
        <f>IF(OR($A151="",N($C151)&lt;=7),"",$G$6*$G$9^($M151-1)*IF(AND(MOD($M151,Reference!$B$99)=0,$M151&lt;=$G$5-2),Reference!$B$100,1))</f>
        <v/>
      </c>
      <c r="Q151" s="32" t="str">
        <f>IF($P151="","",IF(SUM($AK$148:$AK$154)=0,0,$P151*INDEX(Reference!$B$108:$B$114,$N151+1)/SUM($AK$148:$AK$154)))</f>
        <v/>
      </c>
      <c r="R151" s="32">
        <f t="shared" si="91"/>
        <v>180</v>
      </c>
      <c r="S151" s="32">
        <f t="shared" si="92"/>
        <v>150</v>
      </c>
      <c r="T151" s="32" t="str">
        <f>IF($A151="","",IF($C151=0,"Bullpen",IF(OR($C151=7,$C151=1,$C151=5),"Recovery/Easy Catch",IF($C151=6,"Compression/Pulldowns",IF(OR($C151=4,$C151=2),"Long Toss",IF($C151=3,"No Throw",IF($N151=2,"No Throw",IF($N151=6,IF($O151&lt;Reference!$B$104,"No Throw","Recovery/Easy Catch"),IF(OR($N151=0,$N151=4),"Recovery/Easy Catch",IF($N151=1,IF($R151&gt;75,"Long Toss","Recovery/Easy Catch"),IF($N151=3,IF($O151&lt;0.5,IF($S151&gt;75,"Long Toss","Recovery/Easy Catch"),"Compression/Pulldowns"),IF($S151&gt;75,"Long Toss","Recovery/Easy Catch"))))))))))))</f>
        <v/>
      </c>
      <c r="U151" s="32" t="str">
        <f t="shared" si="93"/>
        <v/>
      </c>
      <c r="V151" s="32" t="str">
        <f t="shared" si="94"/>
        <v/>
      </c>
      <c r="W151" s="32" t="str">
        <f t="shared" si="95"/>
        <v/>
      </c>
      <c r="X151" s="32">
        <f t="shared" si="96"/>
        <v>0</v>
      </c>
      <c r="Y151" s="32" t="str">
        <f t="shared" si="97"/>
        <v/>
      </c>
      <c r="Z151" s="32" t="str">
        <f t="shared" si="98"/>
        <v/>
      </c>
      <c r="AA151" s="32" t="str">
        <f t="shared" si="99"/>
        <v/>
      </c>
      <c r="AB151" s="32" t="str">
        <f>IF($A151="","",IF($T151="No Throw",0,IF($K151&lt;&gt;"",$K151,IF($AA151&lt;&gt;"",ROUND($AA151*$D$12*IF($C151=0,1,$G$10),0),MIN(IF($T151="Recovery/Easy Catch",Reference!$B$103,IF($T151="Long Toss",Reference!$B$106,Reference!$B$102)),MAX(Reference!$B$101,ROUND(MAX(0,$Q151-$AE151)/$AF151,0)))))))</f>
        <v/>
      </c>
      <c r="AC151" s="32">
        <f t="shared" si="100"/>
        <v>0</v>
      </c>
      <c r="AD151" s="32" t="b">
        <f t="shared" si="101"/>
        <v>1</v>
      </c>
      <c r="AE151" s="32">
        <f>IF($X151=0,0,$X151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151+$Z151)/2,0),Reference!$A$17:$B$20,2,TRUE()))</f>
        <v>0</v>
      </c>
      <c r="AF151" s="32">
        <f>IF(OR($A151="",$U151="",$T151="No Throw"),0,$AM151*VLOOKUP(MAX(($V151+$W151)/2,0),Reference!$A$17:$B$20,2,TRUE()))</f>
        <v>0</v>
      </c>
      <c r="AG151" s="32">
        <f>IF($AC151=0,0,$AC151*INDEX(Reference!$B$61:$B$62,MATCH("Bullpen",Reference!$A$61:$A$62,0))*VLOOKUP(MAX($D$5-($D$9+$E$9)/2,0),Reference!$A$17:$B$20,2,TRUE()))</f>
        <v>0</v>
      </c>
      <c r="AH151" s="32" t="e">
        <f t="shared" si="102"/>
        <v>#N/A</v>
      </c>
      <c r="AI151" s="32" t="e">
        <f>IF($A151="",NA(),Reference!$A$25)</f>
        <v>#N/A</v>
      </c>
      <c r="AJ151" s="32" t="e">
        <f t="shared" si="103"/>
        <v>#N/A</v>
      </c>
      <c r="AK151" s="32">
        <f>IF(OR($A151="",N($C151)&lt;=7,$T151="No Throw",$J151="x"),0,INDEX(Reference!$B$108:$B$114,$N151+1))</f>
        <v>0</v>
      </c>
      <c r="AL151" s="32">
        <f t="shared" si="104"/>
        <v>1</v>
      </c>
      <c r="AM151" s="32">
        <f>IF($U151="",0,IF($AL151&gt;1,((IF(1&lt;=$AL151,($AL151-1+3)*(INDEX(Reference!$B$6:$B$11,MIN(5,MATCH(MAX(Reference!$A$6,MIN(Reference!$A$11,MIN($U151,90))),Reference!$A$6:$A$11,1)))+(MAX(Reference!$A$6,MIN(Reference!$A$11,MIN($U151,90)))-INDEX(Reference!$A$6:$A$11,MIN(5,MATCH(MAX(Reference!$A$6,MIN(Reference!$A$11,MIN($U151,90))),Reference!$A$6:$A$11,1))))*(INDEX(Reference!$B$6:$B$11,MIN(5,MATCH(MAX(Reference!$A$6,MIN(Reference!$A$11,MIN($U151,90))),Reference!$A$6:$A$11,1))+1)-INDEX(Reference!$B$6:$B$11,MIN(5,MATCH(MAX(Reference!$A$6,MIN(Reference!$A$11,MIN($U151,90))),Reference!$A$6:$A$11,1))))/(INDEX(Reference!$A$6:$A$11,MIN(5,MATCH(MAX(Reference!$A$6,MIN(Reference!$A$11,MIN($U151,90))),Reference!$A$6:$A$11,1))+1)-INDEX(Reference!$A$6:$A$11,MIN(5,MATCH(MAX(Reference!$A$6,MIN(Reference!$A$11,MIN($U151,90))),Reference!$A$6:$A$11,1))))),0)+IF(2&lt;=$AL151,($AL151-2+3)*(INDEX(Reference!$B$6:$B$11,MIN(5,MATCH(MAX(Reference!$A$6,MIN(Reference!$A$11,MIN($U151,120))),Reference!$A$6:$A$11,1)))+(MAX(Reference!$A$6,MIN(Reference!$A$11,MIN($U151,120)))-INDEX(Reference!$A$6:$A$11,MIN(5,MATCH(MAX(Reference!$A$6,MIN(Reference!$A$11,MIN($U151,120))),Reference!$A$6:$A$11,1))))*(INDEX(Reference!$B$6:$B$11,MIN(5,MATCH(MAX(Reference!$A$6,MIN(Reference!$A$11,MIN($U151,120))),Reference!$A$6:$A$11,1))+1)-INDEX(Reference!$B$6:$B$11,MIN(5,MATCH(MAX(Reference!$A$6,MIN(Reference!$A$11,MIN($U151,120))),Reference!$A$6:$A$11,1))))/(INDEX(Reference!$A$6:$A$11,MIN(5,MATCH(MAX(Reference!$A$6,MIN(Reference!$A$11,MIN($U151,120))),Reference!$A$6:$A$11,1))+1)-INDEX(Reference!$A$6:$A$11,MIN(5,MATCH(MAX(Reference!$A$6,MIN(Reference!$A$11,MIN($U151,120))),Reference!$A$6:$A$11,1))))),0)+IF(3&lt;=$AL151,($AL151-3+3)*(INDEX(Reference!$B$6:$B$11,MIN(5,MATCH(MAX(Reference!$A$6,MIN(Reference!$A$11,MIN($U151,150))),Reference!$A$6:$A$11,1)))+(MAX(Reference!$A$6,MIN(Reference!$A$11,MIN($U151,150)))-INDEX(Reference!$A$6:$A$11,MIN(5,MATCH(MAX(Reference!$A$6,MIN(Reference!$A$11,MIN($U151,150))),Reference!$A$6:$A$11,1))))*(INDEX(Reference!$B$6:$B$11,MIN(5,MATCH(MAX(Reference!$A$6,MIN(Reference!$A$11,MIN($U151,150))),Reference!$A$6:$A$11,1))+1)-INDEX(Reference!$B$6:$B$11,MIN(5,MATCH(MAX(Reference!$A$6,MIN(Reference!$A$11,MIN($U151,150))),Reference!$A$6:$A$11,1))))/(INDEX(Reference!$A$6:$A$11,MIN(5,MATCH(MAX(Reference!$A$6,MIN(Reference!$A$11,MIN($U151,150))),Reference!$A$6:$A$11,1))+1)-INDEX(Reference!$A$6:$A$11,MIN(5,MATCH(MAX(Reference!$A$6,MIN(Reference!$A$11,MIN($U151,150))),Reference!$A$6:$A$11,1))))),0)+IF(4&lt;=$AL151,($AL151-4+3)*(INDEX(Reference!$B$6:$B$11,MIN(5,MATCH(MAX(Reference!$A$6,MIN(Reference!$A$11,MIN($U151,180))),Reference!$A$6:$A$11,1)))+(MAX(Reference!$A$6,MIN(Reference!$A$11,MIN($U151,180)))-INDEX(Reference!$A$6:$A$11,MIN(5,MATCH(MAX(Reference!$A$6,MIN(Reference!$A$11,MIN($U151,180))),Reference!$A$6:$A$11,1))))*(INDEX(Reference!$B$6:$B$11,MIN(5,MATCH(MAX(Reference!$A$6,MIN(Reference!$A$11,MIN($U151,180))),Reference!$A$6:$A$11,1))+1)-INDEX(Reference!$B$6:$B$11,MIN(5,MATCH(MAX(Reference!$A$6,MIN(Reference!$A$11,MIN($U151,180))),Reference!$A$6:$A$11,1))))/(INDEX(Reference!$A$6:$A$11,MIN(5,MATCH(MAX(Reference!$A$6,MIN(Reference!$A$11,MIN($U151,180))),Reference!$A$6:$A$11,1))+1)-INDEX(Reference!$A$6:$A$11,MIN(5,MATCH(MAX(Reference!$A$6,MIN(Reference!$A$11,MIN($U151,180))),Reference!$A$6:$A$11,1))))),0)+IF(5&lt;=$AL151,($AL151-5+3)*(INDEX(Reference!$B$6:$B$11,MIN(5,MATCH(MAX(Reference!$A$6,MIN(Reference!$A$11,MIN($U151,210))),Reference!$A$6:$A$11,1)))+(MAX(Reference!$A$6,MIN(Reference!$A$11,MIN($U151,210)))-INDEX(Reference!$A$6:$A$11,MIN(5,MATCH(MAX(Reference!$A$6,MIN(Reference!$A$11,MIN($U151,210))),Reference!$A$6:$A$11,1))))*(INDEX(Reference!$B$6:$B$11,MIN(5,MATCH(MAX(Reference!$A$6,MIN(Reference!$A$11,MIN($U151,210))),Reference!$A$6:$A$11,1))+1)-INDEX(Reference!$B$6:$B$11,MIN(5,MATCH(MAX(Reference!$A$6,MIN(Reference!$A$11,MIN($U151,210))),Reference!$A$6:$A$11,1))))/(INDEX(Reference!$A$6:$A$11,MIN(5,MATCH(MAX(Reference!$A$6,MIN(Reference!$A$11,MIN($U151,210))),Reference!$A$6:$A$11,1))+1)-INDEX(Reference!$A$6:$A$11,MIN(5,MATCH(MAX(Reference!$A$6,MIN(Reference!$A$11,MIN($U151,210))),Reference!$A$6:$A$11,1))))),0)+IF(6&lt;=$AL151,($AL151-6+3)*(INDEX(Reference!$B$6:$B$11,MIN(5,MATCH(MAX(Reference!$A$6,MIN(Reference!$A$11,MIN($U151,240))),Reference!$A$6:$A$11,1)))+(MAX(Reference!$A$6,MIN(Reference!$A$11,MIN($U151,240)))-INDEX(Reference!$A$6:$A$11,MIN(5,MATCH(MAX(Reference!$A$6,MIN(Reference!$A$11,MIN($U151,240))),Reference!$A$6:$A$11,1))))*(INDEX(Reference!$B$6:$B$11,MIN(5,MATCH(MAX(Reference!$A$6,MIN(Reference!$A$11,MIN($U151,240))),Reference!$A$6:$A$11,1))+1)-INDEX(Reference!$B$6:$B$11,MIN(5,MATCH(MAX(Reference!$A$6,MIN(Reference!$A$11,MIN($U151,240))),Reference!$A$6:$A$11,1))))/(INDEX(Reference!$A$6:$A$11,MIN(5,MATCH(MAX(Reference!$A$6,MIN(Reference!$A$11,MIN($U151,240))),Reference!$A$6:$A$11,1))+1)-INDEX(Reference!$A$6:$A$11,MIN(5,MATCH(MAX(Reference!$A$6,MIN(Reference!$A$11,MIN($U151,240))),Reference!$A$6:$A$11,1))))),0)+IF(7&lt;=$AL151,($AL151-7+3)*(INDEX(Reference!$B$6:$B$11,MIN(5,MATCH(MAX(Reference!$A$6,MIN(Reference!$A$11,MIN($U151,270))),Reference!$A$6:$A$11,1)))+(MAX(Reference!$A$6,MIN(Reference!$A$11,MIN($U151,270)))-INDEX(Reference!$A$6:$A$11,MIN(5,MATCH(MAX(Reference!$A$6,MIN(Reference!$A$11,MIN($U151,270))),Reference!$A$6:$A$11,1))))*(INDEX(Reference!$B$6:$B$11,MIN(5,MATCH(MAX(Reference!$A$6,MIN(Reference!$A$11,MIN($U151,270))),Reference!$A$6:$A$11,1))+1)-INDEX(Reference!$B$6:$B$11,MIN(5,MATCH(MAX(Reference!$A$6,MIN(Reference!$A$11,MIN($U151,270))),Reference!$A$6:$A$11,1))))/(INDEX(Reference!$A$6:$A$11,MIN(5,MATCH(MAX(Reference!$A$6,MIN(Reference!$A$11,MIN($U151,270))),Reference!$A$6:$A$11,1))+1)-INDEX(Reference!$A$6:$A$11,MIN(5,MATCH(MAX(Reference!$A$6,MIN(Reference!$A$11,MIN($U151,270))),Reference!$A$6:$A$11,1))))),0)+IF(8&lt;=$AL151,($AL151-8+3)*(INDEX(Reference!$B$6:$B$11,MIN(5,MATCH(MAX(Reference!$A$6,MIN(Reference!$A$11,MIN($U151,300))),Reference!$A$6:$A$11,1)))+(MAX(Reference!$A$6,MIN(Reference!$A$11,MIN($U151,300)))-INDEX(Reference!$A$6:$A$11,MIN(5,MATCH(MAX(Reference!$A$6,MIN(Reference!$A$11,MIN($U151,300))),Reference!$A$6:$A$11,1))))*(INDEX(Reference!$B$6:$B$11,MIN(5,MATCH(MAX(Reference!$A$6,MIN(Reference!$A$11,MIN($U151,300))),Reference!$A$6:$A$11,1))+1)-INDEX(Reference!$B$6:$B$11,MIN(5,MATCH(MAX(Reference!$A$6,MIN(Reference!$A$11,MIN($U151,300))),Reference!$A$6:$A$11,1))))/(INDEX(Reference!$A$6:$A$11,MIN(5,MATCH(MAX(Reference!$A$6,MIN(Reference!$A$11,MIN($U151,300))),Reference!$A$6:$A$11,1))+1)-INDEX(Reference!$A$6:$A$11,MIN(5,MATCH(MAX(Reference!$A$6,MIN(Reference!$A$11,MIN($U151,300))),Reference!$A$6:$A$11,1))))),0))/($AL151*($AL151+5)/2)),$AN151))</f>
        <v>0</v>
      </c>
      <c r="AN151" s="32">
        <f>IF($U151="",0,(INDEX(Reference!$B$6:$B$11,MIN(5,MATCH(MAX(Reference!$A$6,MIN(Reference!$A$11,$U151)),Reference!$A$6:$A$11,1)))+(MAX(Reference!$A$6,MIN(Reference!$A$11,$U151))-INDEX(Reference!$A$6:$A$11,MIN(5,MATCH(MAX(Reference!$A$6,MIN(Reference!$A$11,$U151)),Reference!$A$6:$A$11,1))))*(INDEX(Reference!$B$6:$B$11,MIN(5,MATCH(MAX(Reference!$A$6,MIN(Reference!$A$11,$U151)),Reference!$A$6:$A$11,1))+1)-INDEX(Reference!$B$6:$B$11,MIN(5,MATCH(MAX(Reference!$A$6,MIN(Reference!$A$11,$U151)),Reference!$A$6:$A$11,1))))/(INDEX(Reference!$A$6:$A$11,MIN(5,MATCH(MAX(Reference!$A$6,MIN(Reference!$A$11,$U151)),Reference!$A$6:$A$11,1))+1)-INDEX(Reference!$A$6:$A$11,MIN(5,MATCH(MAX(Reference!$A$6,MIN(Reference!$A$11,$U151)),Reference!$A$6:$A$11,1))))))</f>
        <v>0</v>
      </c>
      <c r="AO151" s="37"/>
      <c r="AP151" s="37"/>
      <c r="AQ151" s="37"/>
    </row>
    <row r="152" spans="1:43" x14ac:dyDescent="0.3">
      <c r="A152" s="48" t="str">
        <f t="shared" si="80"/>
        <v/>
      </c>
      <c r="B152" s="32" t="str">
        <f t="shared" si="81"/>
        <v/>
      </c>
      <c r="C152" s="32" t="str">
        <f t="shared" si="82"/>
        <v/>
      </c>
      <c r="D152" s="32" t="str">
        <f t="shared" si="83"/>
        <v/>
      </c>
      <c r="E152" s="32" t="str">
        <f t="shared" si="84"/>
        <v/>
      </c>
      <c r="F152" s="32" t="str">
        <f t="shared" si="85"/>
        <v/>
      </c>
      <c r="G152" s="47" t="str">
        <f t="shared" si="86"/>
        <v/>
      </c>
      <c r="H152" s="30" t="str">
        <f t="shared" si="87"/>
        <v/>
      </c>
      <c r="I152" s="46" t="str">
        <f>IF($A152="","",IF(AND($L152&lt;27,$K$12=0),"Building",IFERROR(((SUM($H$146:$H152)+$K$12*IF($L152&lt;6,SUMIFS('Throw Log'!$Q$5:$Q$300,'Throw Log'!$B$5:$B$300,$D$4,'Throw Log'!$A$5:$A$300,"&gt;="&amp;($D$6+$L152-6),'Throw Log'!$A$5:$A$300,"&lt;="&amp;($D$6-1)),0))/7)/((SUM($H$125:$H152)+$K$12*IF($L152&lt;27,SUMIFS('Throw Log'!$Q$5:$Q$300,'Throw Log'!$B$5:$B$300,$D$4,'Throw Log'!$A$5:$A$300,"&gt;="&amp;($D$6+$L152-27),'Throw Log'!$A$5:$A$300,"&lt;="&amp;($D$6-1)),0))/28),"")))</f>
        <v/>
      </c>
      <c r="J152" s="37"/>
      <c r="K152" s="37"/>
      <c r="L152" s="32">
        <v>109</v>
      </c>
      <c r="M152" s="32">
        <f t="shared" si="88"/>
        <v>16</v>
      </c>
      <c r="N152" s="32">
        <f t="shared" si="89"/>
        <v>4</v>
      </c>
      <c r="O152" s="32">
        <f t="shared" si="90"/>
        <v>1</v>
      </c>
      <c r="P152" s="32" t="str">
        <f>IF(OR($A152="",N($C152)&lt;=7),"",$G$6*$G$9^($M152-1)*IF(AND(MOD($M152,Reference!$B$99)=0,$M152&lt;=$G$5-2),Reference!$B$100,1))</f>
        <v/>
      </c>
      <c r="Q152" s="32" t="str">
        <f>IF($P152="","",IF(SUM($AK$148:$AK$154)=0,0,$P152*INDEX(Reference!$B$108:$B$114,$N152+1)/SUM($AK$148:$AK$154)))</f>
        <v/>
      </c>
      <c r="R152" s="32">
        <f t="shared" si="91"/>
        <v>180</v>
      </c>
      <c r="S152" s="32">
        <f t="shared" si="92"/>
        <v>150</v>
      </c>
      <c r="T152" s="32" t="str">
        <f>IF($A152="","",IF($C152=0,"Bullpen",IF(OR($C152=7,$C152=1,$C152=5),"Recovery/Easy Catch",IF($C152=6,"Compression/Pulldowns",IF(OR($C152=4,$C152=2),"Long Toss",IF($C152=3,"No Throw",IF($N152=2,"No Throw",IF($N152=6,IF($O152&lt;Reference!$B$104,"No Throw","Recovery/Easy Catch"),IF(OR($N152=0,$N152=4),"Recovery/Easy Catch",IF($N152=1,IF($R152&gt;75,"Long Toss","Recovery/Easy Catch"),IF($N152=3,IF($O152&lt;0.5,IF($S152&gt;75,"Long Toss","Recovery/Easy Catch"),"Compression/Pulldowns"),IF($S152&gt;75,"Long Toss","Recovery/Easy Catch"))))))))))))</f>
        <v/>
      </c>
      <c r="U152" s="32" t="str">
        <f t="shared" si="93"/>
        <v/>
      </c>
      <c r="V152" s="32" t="str">
        <f t="shared" si="94"/>
        <v/>
      </c>
      <c r="W152" s="32" t="str">
        <f t="shared" si="95"/>
        <v/>
      </c>
      <c r="X152" s="32">
        <f t="shared" si="96"/>
        <v>0</v>
      </c>
      <c r="Y152" s="32" t="str">
        <f t="shared" si="97"/>
        <v/>
      </c>
      <c r="Z152" s="32" t="str">
        <f t="shared" si="98"/>
        <v/>
      </c>
      <c r="AA152" s="32" t="str">
        <f t="shared" si="99"/>
        <v/>
      </c>
      <c r="AB152" s="32" t="str">
        <f>IF($A152="","",IF($T152="No Throw",0,IF($K152&lt;&gt;"",$K152,IF($AA152&lt;&gt;"",ROUND($AA152*$D$12*IF($C152=0,1,$G$10),0),MIN(IF($T152="Recovery/Easy Catch",Reference!$B$103,IF($T152="Long Toss",Reference!$B$106,Reference!$B$102)),MAX(Reference!$B$101,ROUND(MAX(0,$Q152-$AE152)/$AF152,0)))))))</f>
        <v/>
      </c>
      <c r="AC152" s="32">
        <f t="shared" si="100"/>
        <v>0</v>
      </c>
      <c r="AD152" s="32" t="b">
        <f t="shared" si="101"/>
        <v>1</v>
      </c>
      <c r="AE152" s="32">
        <f>IF($X152=0,0,$X152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152+$Z152)/2,0),Reference!$A$17:$B$20,2,TRUE()))</f>
        <v>0</v>
      </c>
      <c r="AF152" s="32">
        <f>IF(OR($A152="",$U152="",$T152="No Throw"),0,$AM152*VLOOKUP(MAX(($V152+$W152)/2,0),Reference!$A$17:$B$20,2,TRUE()))</f>
        <v>0</v>
      </c>
      <c r="AG152" s="32">
        <f>IF($AC152=0,0,$AC152*INDEX(Reference!$B$61:$B$62,MATCH("Bullpen",Reference!$A$61:$A$62,0))*VLOOKUP(MAX($D$5-($D$9+$E$9)/2,0),Reference!$A$17:$B$20,2,TRUE()))</f>
        <v>0</v>
      </c>
      <c r="AH152" s="32" t="e">
        <f t="shared" si="102"/>
        <v>#N/A</v>
      </c>
      <c r="AI152" s="32" t="e">
        <f>IF($A152="",NA(),Reference!$A$25)</f>
        <v>#N/A</v>
      </c>
      <c r="AJ152" s="32" t="e">
        <f t="shared" si="103"/>
        <v>#N/A</v>
      </c>
      <c r="AK152" s="32">
        <f>IF(OR($A152="",N($C152)&lt;=7,$T152="No Throw",$J152="x"),0,INDEX(Reference!$B$108:$B$114,$N152+1))</f>
        <v>0</v>
      </c>
      <c r="AL152" s="32">
        <f t="shared" si="104"/>
        <v>1</v>
      </c>
      <c r="AM152" s="32">
        <f>IF($U152="",0,IF($AL152&gt;1,((IF(1&lt;=$AL152,($AL152-1+3)*(INDEX(Reference!$B$6:$B$11,MIN(5,MATCH(MAX(Reference!$A$6,MIN(Reference!$A$11,MIN($U152,90))),Reference!$A$6:$A$11,1)))+(MAX(Reference!$A$6,MIN(Reference!$A$11,MIN($U152,90)))-INDEX(Reference!$A$6:$A$11,MIN(5,MATCH(MAX(Reference!$A$6,MIN(Reference!$A$11,MIN($U152,90))),Reference!$A$6:$A$11,1))))*(INDEX(Reference!$B$6:$B$11,MIN(5,MATCH(MAX(Reference!$A$6,MIN(Reference!$A$11,MIN($U152,90))),Reference!$A$6:$A$11,1))+1)-INDEX(Reference!$B$6:$B$11,MIN(5,MATCH(MAX(Reference!$A$6,MIN(Reference!$A$11,MIN($U152,90))),Reference!$A$6:$A$11,1))))/(INDEX(Reference!$A$6:$A$11,MIN(5,MATCH(MAX(Reference!$A$6,MIN(Reference!$A$11,MIN($U152,90))),Reference!$A$6:$A$11,1))+1)-INDEX(Reference!$A$6:$A$11,MIN(5,MATCH(MAX(Reference!$A$6,MIN(Reference!$A$11,MIN($U152,90))),Reference!$A$6:$A$11,1))))),0)+IF(2&lt;=$AL152,($AL152-2+3)*(INDEX(Reference!$B$6:$B$11,MIN(5,MATCH(MAX(Reference!$A$6,MIN(Reference!$A$11,MIN($U152,120))),Reference!$A$6:$A$11,1)))+(MAX(Reference!$A$6,MIN(Reference!$A$11,MIN($U152,120)))-INDEX(Reference!$A$6:$A$11,MIN(5,MATCH(MAX(Reference!$A$6,MIN(Reference!$A$11,MIN($U152,120))),Reference!$A$6:$A$11,1))))*(INDEX(Reference!$B$6:$B$11,MIN(5,MATCH(MAX(Reference!$A$6,MIN(Reference!$A$11,MIN($U152,120))),Reference!$A$6:$A$11,1))+1)-INDEX(Reference!$B$6:$B$11,MIN(5,MATCH(MAX(Reference!$A$6,MIN(Reference!$A$11,MIN($U152,120))),Reference!$A$6:$A$11,1))))/(INDEX(Reference!$A$6:$A$11,MIN(5,MATCH(MAX(Reference!$A$6,MIN(Reference!$A$11,MIN($U152,120))),Reference!$A$6:$A$11,1))+1)-INDEX(Reference!$A$6:$A$11,MIN(5,MATCH(MAX(Reference!$A$6,MIN(Reference!$A$11,MIN($U152,120))),Reference!$A$6:$A$11,1))))),0)+IF(3&lt;=$AL152,($AL152-3+3)*(INDEX(Reference!$B$6:$B$11,MIN(5,MATCH(MAX(Reference!$A$6,MIN(Reference!$A$11,MIN($U152,150))),Reference!$A$6:$A$11,1)))+(MAX(Reference!$A$6,MIN(Reference!$A$11,MIN($U152,150)))-INDEX(Reference!$A$6:$A$11,MIN(5,MATCH(MAX(Reference!$A$6,MIN(Reference!$A$11,MIN($U152,150))),Reference!$A$6:$A$11,1))))*(INDEX(Reference!$B$6:$B$11,MIN(5,MATCH(MAX(Reference!$A$6,MIN(Reference!$A$11,MIN($U152,150))),Reference!$A$6:$A$11,1))+1)-INDEX(Reference!$B$6:$B$11,MIN(5,MATCH(MAX(Reference!$A$6,MIN(Reference!$A$11,MIN($U152,150))),Reference!$A$6:$A$11,1))))/(INDEX(Reference!$A$6:$A$11,MIN(5,MATCH(MAX(Reference!$A$6,MIN(Reference!$A$11,MIN($U152,150))),Reference!$A$6:$A$11,1))+1)-INDEX(Reference!$A$6:$A$11,MIN(5,MATCH(MAX(Reference!$A$6,MIN(Reference!$A$11,MIN($U152,150))),Reference!$A$6:$A$11,1))))),0)+IF(4&lt;=$AL152,($AL152-4+3)*(INDEX(Reference!$B$6:$B$11,MIN(5,MATCH(MAX(Reference!$A$6,MIN(Reference!$A$11,MIN($U152,180))),Reference!$A$6:$A$11,1)))+(MAX(Reference!$A$6,MIN(Reference!$A$11,MIN($U152,180)))-INDEX(Reference!$A$6:$A$11,MIN(5,MATCH(MAX(Reference!$A$6,MIN(Reference!$A$11,MIN($U152,180))),Reference!$A$6:$A$11,1))))*(INDEX(Reference!$B$6:$B$11,MIN(5,MATCH(MAX(Reference!$A$6,MIN(Reference!$A$11,MIN($U152,180))),Reference!$A$6:$A$11,1))+1)-INDEX(Reference!$B$6:$B$11,MIN(5,MATCH(MAX(Reference!$A$6,MIN(Reference!$A$11,MIN($U152,180))),Reference!$A$6:$A$11,1))))/(INDEX(Reference!$A$6:$A$11,MIN(5,MATCH(MAX(Reference!$A$6,MIN(Reference!$A$11,MIN($U152,180))),Reference!$A$6:$A$11,1))+1)-INDEX(Reference!$A$6:$A$11,MIN(5,MATCH(MAX(Reference!$A$6,MIN(Reference!$A$11,MIN($U152,180))),Reference!$A$6:$A$11,1))))),0)+IF(5&lt;=$AL152,($AL152-5+3)*(INDEX(Reference!$B$6:$B$11,MIN(5,MATCH(MAX(Reference!$A$6,MIN(Reference!$A$11,MIN($U152,210))),Reference!$A$6:$A$11,1)))+(MAX(Reference!$A$6,MIN(Reference!$A$11,MIN($U152,210)))-INDEX(Reference!$A$6:$A$11,MIN(5,MATCH(MAX(Reference!$A$6,MIN(Reference!$A$11,MIN($U152,210))),Reference!$A$6:$A$11,1))))*(INDEX(Reference!$B$6:$B$11,MIN(5,MATCH(MAX(Reference!$A$6,MIN(Reference!$A$11,MIN($U152,210))),Reference!$A$6:$A$11,1))+1)-INDEX(Reference!$B$6:$B$11,MIN(5,MATCH(MAX(Reference!$A$6,MIN(Reference!$A$11,MIN($U152,210))),Reference!$A$6:$A$11,1))))/(INDEX(Reference!$A$6:$A$11,MIN(5,MATCH(MAX(Reference!$A$6,MIN(Reference!$A$11,MIN($U152,210))),Reference!$A$6:$A$11,1))+1)-INDEX(Reference!$A$6:$A$11,MIN(5,MATCH(MAX(Reference!$A$6,MIN(Reference!$A$11,MIN($U152,210))),Reference!$A$6:$A$11,1))))),0)+IF(6&lt;=$AL152,($AL152-6+3)*(INDEX(Reference!$B$6:$B$11,MIN(5,MATCH(MAX(Reference!$A$6,MIN(Reference!$A$11,MIN($U152,240))),Reference!$A$6:$A$11,1)))+(MAX(Reference!$A$6,MIN(Reference!$A$11,MIN($U152,240)))-INDEX(Reference!$A$6:$A$11,MIN(5,MATCH(MAX(Reference!$A$6,MIN(Reference!$A$11,MIN($U152,240))),Reference!$A$6:$A$11,1))))*(INDEX(Reference!$B$6:$B$11,MIN(5,MATCH(MAX(Reference!$A$6,MIN(Reference!$A$11,MIN($U152,240))),Reference!$A$6:$A$11,1))+1)-INDEX(Reference!$B$6:$B$11,MIN(5,MATCH(MAX(Reference!$A$6,MIN(Reference!$A$11,MIN($U152,240))),Reference!$A$6:$A$11,1))))/(INDEX(Reference!$A$6:$A$11,MIN(5,MATCH(MAX(Reference!$A$6,MIN(Reference!$A$11,MIN($U152,240))),Reference!$A$6:$A$11,1))+1)-INDEX(Reference!$A$6:$A$11,MIN(5,MATCH(MAX(Reference!$A$6,MIN(Reference!$A$11,MIN($U152,240))),Reference!$A$6:$A$11,1))))),0)+IF(7&lt;=$AL152,($AL152-7+3)*(INDEX(Reference!$B$6:$B$11,MIN(5,MATCH(MAX(Reference!$A$6,MIN(Reference!$A$11,MIN($U152,270))),Reference!$A$6:$A$11,1)))+(MAX(Reference!$A$6,MIN(Reference!$A$11,MIN($U152,270)))-INDEX(Reference!$A$6:$A$11,MIN(5,MATCH(MAX(Reference!$A$6,MIN(Reference!$A$11,MIN($U152,270))),Reference!$A$6:$A$11,1))))*(INDEX(Reference!$B$6:$B$11,MIN(5,MATCH(MAX(Reference!$A$6,MIN(Reference!$A$11,MIN($U152,270))),Reference!$A$6:$A$11,1))+1)-INDEX(Reference!$B$6:$B$11,MIN(5,MATCH(MAX(Reference!$A$6,MIN(Reference!$A$11,MIN($U152,270))),Reference!$A$6:$A$11,1))))/(INDEX(Reference!$A$6:$A$11,MIN(5,MATCH(MAX(Reference!$A$6,MIN(Reference!$A$11,MIN($U152,270))),Reference!$A$6:$A$11,1))+1)-INDEX(Reference!$A$6:$A$11,MIN(5,MATCH(MAX(Reference!$A$6,MIN(Reference!$A$11,MIN($U152,270))),Reference!$A$6:$A$11,1))))),0)+IF(8&lt;=$AL152,($AL152-8+3)*(INDEX(Reference!$B$6:$B$11,MIN(5,MATCH(MAX(Reference!$A$6,MIN(Reference!$A$11,MIN($U152,300))),Reference!$A$6:$A$11,1)))+(MAX(Reference!$A$6,MIN(Reference!$A$11,MIN($U152,300)))-INDEX(Reference!$A$6:$A$11,MIN(5,MATCH(MAX(Reference!$A$6,MIN(Reference!$A$11,MIN($U152,300))),Reference!$A$6:$A$11,1))))*(INDEX(Reference!$B$6:$B$11,MIN(5,MATCH(MAX(Reference!$A$6,MIN(Reference!$A$11,MIN($U152,300))),Reference!$A$6:$A$11,1))+1)-INDEX(Reference!$B$6:$B$11,MIN(5,MATCH(MAX(Reference!$A$6,MIN(Reference!$A$11,MIN($U152,300))),Reference!$A$6:$A$11,1))))/(INDEX(Reference!$A$6:$A$11,MIN(5,MATCH(MAX(Reference!$A$6,MIN(Reference!$A$11,MIN($U152,300))),Reference!$A$6:$A$11,1))+1)-INDEX(Reference!$A$6:$A$11,MIN(5,MATCH(MAX(Reference!$A$6,MIN(Reference!$A$11,MIN($U152,300))),Reference!$A$6:$A$11,1))))),0))/($AL152*($AL152+5)/2)),$AN152))</f>
        <v>0</v>
      </c>
      <c r="AN152" s="32">
        <f>IF($U152="",0,(INDEX(Reference!$B$6:$B$11,MIN(5,MATCH(MAX(Reference!$A$6,MIN(Reference!$A$11,$U152)),Reference!$A$6:$A$11,1)))+(MAX(Reference!$A$6,MIN(Reference!$A$11,$U152))-INDEX(Reference!$A$6:$A$11,MIN(5,MATCH(MAX(Reference!$A$6,MIN(Reference!$A$11,$U152)),Reference!$A$6:$A$11,1))))*(INDEX(Reference!$B$6:$B$11,MIN(5,MATCH(MAX(Reference!$A$6,MIN(Reference!$A$11,$U152)),Reference!$A$6:$A$11,1))+1)-INDEX(Reference!$B$6:$B$11,MIN(5,MATCH(MAX(Reference!$A$6,MIN(Reference!$A$11,$U152)),Reference!$A$6:$A$11,1))))/(INDEX(Reference!$A$6:$A$11,MIN(5,MATCH(MAX(Reference!$A$6,MIN(Reference!$A$11,$U152)),Reference!$A$6:$A$11,1))+1)-INDEX(Reference!$A$6:$A$11,MIN(5,MATCH(MAX(Reference!$A$6,MIN(Reference!$A$11,$U152)),Reference!$A$6:$A$11,1))))))</f>
        <v>0</v>
      </c>
      <c r="AO152" s="37"/>
      <c r="AP152" s="37"/>
      <c r="AQ152" s="37"/>
    </row>
    <row r="153" spans="1:43" x14ac:dyDescent="0.3">
      <c r="A153" s="48" t="str">
        <f t="shared" si="80"/>
        <v/>
      </c>
      <c r="B153" s="32" t="str">
        <f t="shared" si="81"/>
        <v/>
      </c>
      <c r="C153" s="32" t="str">
        <f t="shared" si="82"/>
        <v/>
      </c>
      <c r="D153" s="32" t="str">
        <f t="shared" si="83"/>
        <v/>
      </c>
      <c r="E153" s="32" t="str">
        <f t="shared" si="84"/>
        <v/>
      </c>
      <c r="F153" s="32" t="str">
        <f t="shared" si="85"/>
        <v/>
      </c>
      <c r="G153" s="47" t="str">
        <f t="shared" si="86"/>
        <v/>
      </c>
      <c r="H153" s="30" t="str">
        <f t="shared" si="87"/>
        <v/>
      </c>
      <c r="I153" s="46" t="str">
        <f>IF($A153="","",IF(AND($L153&lt;27,$K$12=0),"Building",IFERROR(((SUM($H$147:$H153)+$K$12*IF($L153&lt;6,SUMIFS('Throw Log'!$Q$5:$Q$300,'Throw Log'!$B$5:$B$300,$D$4,'Throw Log'!$A$5:$A$300,"&gt;="&amp;($D$6+$L153-6),'Throw Log'!$A$5:$A$300,"&lt;="&amp;($D$6-1)),0))/7)/((SUM($H$126:$H153)+$K$12*IF($L153&lt;27,SUMIFS('Throw Log'!$Q$5:$Q$300,'Throw Log'!$B$5:$B$300,$D$4,'Throw Log'!$A$5:$A$300,"&gt;="&amp;($D$6+$L153-27),'Throw Log'!$A$5:$A$300,"&lt;="&amp;($D$6-1)),0))/28),"")))</f>
        <v/>
      </c>
      <c r="J153" s="37"/>
      <c r="K153" s="37"/>
      <c r="L153" s="32">
        <v>110</v>
      </c>
      <c r="M153" s="32">
        <f t="shared" si="88"/>
        <v>16</v>
      </c>
      <c r="N153" s="32">
        <f t="shared" si="89"/>
        <v>5</v>
      </c>
      <c r="O153" s="32">
        <f t="shared" si="90"/>
        <v>1</v>
      </c>
      <c r="P153" s="32" t="str">
        <f>IF(OR($A153="",N($C153)&lt;=7),"",$G$6*$G$9^($M153-1)*IF(AND(MOD($M153,Reference!$B$99)=0,$M153&lt;=$G$5-2),Reference!$B$100,1))</f>
        <v/>
      </c>
      <c r="Q153" s="32" t="str">
        <f>IF($P153="","",IF(SUM($AK$148:$AK$154)=0,0,$P153*INDEX(Reference!$B$108:$B$114,$N153+1)/SUM($AK$148:$AK$154)))</f>
        <v/>
      </c>
      <c r="R153" s="32">
        <f t="shared" si="91"/>
        <v>180</v>
      </c>
      <c r="S153" s="32">
        <f t="shared" si="92"/>
        <v>150</v>
      </c>
      <c r="T153" s="32" t="str">
        <f>IF($A153="","",IF($C153=0,"Bullpen",IF(OR($C153=7,$C153=1,$C153=5),"Recovery/Easy Catch",IF($C153=6,"Compression/Pulldowns",IF(OR($C153=4,$C153=2),"Long Toss",IF($C153=3,"No Throw",IF($N153=2,"No Throw",IF($N153=6,IF($O153&lt;Reference!$B$104,"No Throw","Recovery/Easy Catch"),IF(OR($N153=0,$N153=4),"Recovery/Easy Catch",IF($N153=1,IF($R153&gt;75,"Long Toss","Recovery/Easy Catch"),IF($N153=3,IF($O153&lt;0.5,IF($S153&gt;75,"Long Toss","Recovery/Easy Catch"),"Compression/Pulldowns"),IF($S153&gt;75,"Long Toss","Recovery/Easy Catch"))))))))))))</f>
        <v/>
      </c>
      <c r="U153" s="32" t="str">
        <f t="shared" si="93"/>
        <v/>
      </c>
      <c r="V153" s="32" t="str">
        <f t="shared" si="94"/>
        <v/>
      </c>
      <c r="W153" s="32" t="str">
        <f t="shared" si="95"/>
        <v/>
      </c>
      <c r="X153" s="32">
        <f t="shared" si="96"/>
        <v>0</v>
      </c>
      <c r="Y153" s="32" t="str">
        <f t="shared" si="97"/>
        <v/>
      </c>
      <c r="Z153" s="32" t="str">
        <f t="shared" si="98"/>
        <v/>
      </c>
      <c r="AA153" s="32" t="str">
        <f t="shared" si="99"/>
        <v/>
      </c>
      <c r="AB153" s="32" t="str">
        <f>IF($A153="","",IF($T153="No Throw",0,IF($K153&lt;&gt;"",$K153,IF($AA153&lt;&gt;"",ROUND($AA153*$D$12*IF($C153=0,1,$G$10),0),MIN(IF($T153="Recovery/Easy Catch",Reference!$B$103,IF($T153="Long Toss",Reference!$B$106,Reference!$B$102)),MAX(Reference!$B$101,ROUND(MAX(0,$Q153-$AE153)/$AF153,0)))))))</f>
        <v/>
      </c>
      <c r="AC153" s="32">
        <f t="shared" si="100"/>
        <v>0</v>
      </c>
      <c r="AD153" s="32" t="b">
        <f t="shared" si="101"/>
        <v>1</v>
      </c>
      <c r="AE153" s="32">
        <f>IF($X153=0,0,$X153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153+$Z153)/2,0),Reference!$A$17:$B$20,2,TRUE()))</f>
        <v>0</v>
      </c>
      <c r="AF153" s="32">
        <f>IF(OR($A153="",$U153="",$T153="No Throw"),0,$AM153*VLOOKUP(MAX(($V153+$W153)/2,0),Reference!$A$17:$B$20,2,TRUE()))</f>
        <v>0</v>
      </c>
      <c r="AG153" s="32">
        <f>IF($AC153=0,0,$AC153*INDEX(Reference!$B$61:$B$62,MATCH("Bullpen",Reference!$A$61:$A$62,0))*VLOOKUP(MAX($D$5-($D$9+$E$9)/2,0),Reference!$A$17:$B$20,2,TRUE()))</f>
        <v>0</v>
      </c>
      <c r="AH153" s="32" t="e">
        <f t="shared" si="102"/>
        <v>#N/A</v>
      </c>
      <c r="AI153" s="32" t="e">
        <f>IF($A153="",NA(),Reference!$A$25)</f>
        <v>#N/A</v>
      </c>
      <c r="AJ153" s="32" t="e">
        <f t="shared" si="103"/>
        <v>#N/A</v>
      </c>
      <c r="AK153" s="32">
        <f>IF(OR($A153="",N($C153)&lt;=7,$T153="No Throw",$J153="x"),0,INDEX(Reference!$B$108:$B$114,$N153+1))</f>
        <v>0</v>
      </c>
      <c r="AL153" s="32">
        <f t="shared" si="104"/>
        <v>1</v>
      </c>
      <c r="AM153" s="32">
        <f>IF($U153="",0,IF($AL153&gt;1,((IF(1&lt;=$AL153,($AL153-1+3)*(INDEX(Reference!$B$6:$B$11,MIN(5,MATCH(MAX(Reference!$A$6,MIN(Reference!$A$11,MIN($U153,90))),Reference!$A$6:$A$11,1)))+(MAX(Reference!$A$6,MIN(Reference!$A$11,MIN($U153,90)))-INDEX(Reference!$A$6:$A$11,MIN(5,MATCH(MAX(Reference!$A$6,MIN(Reference!$A$11,MIN($U153,90))),Reference!$A$6:$A$11,1))))*(INDEX(Reference!$B$6:$B$11,MIN(5,MATCH(MAX(Reference!$A$6,MIN(Reference!$A$11,MIN($U153,90))),Reference!$A$6:$A$11,1))+1)-INDEX(Reference!$B$6:$B$11,MIN(5,MATCH(MAX(Reference!$A$6,MIN(Reference!$A$11,MIN($U153,90))),Reference!$A$6:$A$11,1))))/(INDEX(Reference!$A$6:$A$11,MIN(5,MATCH(MAX(Reference!$A$6,MIN(Reference!$A$11,MIN($U153,90))),Reference!$A$6:$A$11,1))+1)-INDEX(Reference!$A$6:$A$11,MIN(5,MATCH(MAX(Reference!$A$6,MIN(Reference!$A$11,MIN($U153,90))),Reference!$A$6:$A$11,1))))),0)+IF(2&lt;=$AL153,($AL153-2+3)*(INDEX(Reference!$B$6:$B$11,MIN(5,MATCH(MAX(Reference!$A$6,MIN(Reference!$A$11,MIN($U153,120))),Reference!$A$6:$A$11,1)))+(MAX(Reference!$A$6,MIN(Reference!$A$11,MIN($U153,120)))-INDEX(Reference!$A$6:$A$11,MIN(5,MATCH(MAX(Reference!$A$6,MIN(Reference!$A$11,MIN($U153,120))),Reference!$A$6:$A$11,1))))*(INDEX(Reference!$B$6:$B$11,MIN(5,MATCH(MAX(Reference!$A$6,MIN(Reference!$A$11,MIN($U153,120))),Reference!$A$6:$A$11,1))+1)-INDEX(Reference!$B$6:$B$11,MIN(5,MATCH(MAX(Reference!$A$6,MIN(Reference!$A$11,MIN($U153,120))),Reference!$A$6:$A$11,1))))/(INDEX(Reference!$A$6:$A$11,MIN(5,MATCH(MAX(Reference!$A$6,MIN(Reference!$A$11,MIN($U153,120))),Reference!$A$6:$A$11,1))+1)-INDEX(Reference!$A$6:$A$11,MIN(5,MATCH(MAX(Reference!$A$6,MIN(Reference!$A$11,MIN($U153,120))),Reference!$A$6:$A$11,1))))),0)+IF(3&lt;=$AL153,($AL153-3+3)*(INDEX(Reference!$B$6:$B$11,MIN(5,MATCH(MAX(Reference!$A$6,MIN(Reference!$A$11,MIN($U153,150))),Reference!$A$6:$A$11,1)))+(MAX(Reference!$A$6,MIN(Reference!$A$11,MIN($U153,150)))-INDEX(Reference!$A$6:$A$11,MIN(5,MATCH(MAX(Reference!$A$6,MIN(Reference!$A$11,MIN($U153,150))),Reference!$A$6:$A$11,1))))*(INDEX(Reference!$B$6:$B$11,MIN(5,MATCH(MAX(Reference!$A$6,MIN(Reference!$A$11,MIN($U153,150))),Reference!$A$6:$A$11,1))+1)-INDEX(Reference!$B$6:$B$11,MIN(5,MATCH(MAX(Reference!$A$6,MIN(Reference!$A$11,MIN($U153,150))),Reference!$A$6:$A$11,1))))/(INDEX(Reference!$A$6:$A$11,MIN(5,MATCH(MAX(Reference!$A$6,MIN(Reference!$A$11,MIN($U153,150))),Reference!$A$6:$A$11,1))+1)-INDEX(Reference!$A$6:$A$11,MIN(5,MATCH(MAX(Reference!$A$6,MIN(Reference!$A$11,MIN($U153,150))),Reference!$A$6:$A$11,1))))),0)+IF(4&lt;=$AL153,($AL153-4+3)*(INDEX(Reference!$B$6:$B$11,MIN(5,MATCH(MAX(Reference!$A$6,MIN(Reference!$A$11,MIN($U153,180))),Reference!$A$6:$A$11,1)))+(MAX(Reference!$A$6,MIN(Reference!$A$11,MIN($U153,180)))-INDEX(Reference!$A$6:$A$11,MIN(5,MATCH(MAX(Reference!$A$6,MIN(Reference!$A$11,MIN($U153,180))),Reference!$A$6:$A$11,1))))*(INDEX(Reference!$B$6:$B$11,MIN(5,MATCH(MAX(Reference!$A$6,MIN(Reference!$A$11,MIN($U153,180))),Reference!$A$6:$A$11,1))+1)-INDEX(Reference!$B$6:$B$11,MIN(5,MATCH(MAX(Reference!$A$6,MIN(Reference!$A$11,MIN($U153,180))),Reference!$A$6:$A$11,1))))/(INDEX(Reference!$A$6:$A$11,MIN(5,MATCH(MAX(Reference!$A$6,MIN(Reference!$A$11,MIN($U153,180))),Reference!$A$6:$A$11,1))+1)-INDEX(Reference!$A$6:$A$11,MIN(5,MATCH(MAX(Reference!$A$6,MIN(Reference!$A$11,MIN($U153,180))),Reference!$A$6:$A$11,1))))),0)+IF(5&lt;=$AL153,($AL153-5+3)*(INDEX(Reference!$B$6:$B$11,MIN(5,MATCH(MAX(Reference!$A$6,MIN(Reference!$A$11,MIN($U153,210))),Reference!$A$6:$A$11,1)))+(MAX(Reference!$A$6,MIN(Reference!$A$11,MIN($U153,210)))-INDEX(Reference!$A$6:$A$11,MIN(5,MATCH(MAX(Reference!$A$6,MIN(Reference!$A$11,MIN($U153,210))),Reference!$A$6:$A$11,1))))*(INDEX(Reference!$B$6:$B$11,MIN(5,MATCH(MAX(Reference!$A$6,MIN(Reference!$A$11,MIN($U153,210))),Reference!$A$6:$A$11,1))+1)-INDEX(Reference!$B$6:$B$11,MIN(5,MATCH(MAX(Reference!$A$6,MIN(Reference!$A$11,MIN($U153,210))),Reference!$A$6:$A$11,1))))/(INDEX(Reference!$A$6:$A$11,MIN(5,MATCH(MAX(Reference!$A$6,MIN(Reference!$A$11,MIN($U153,210))),Reference!$A$6:$A$11,1))+1)-INDEX(Reference!$A$6:$A$11,MIN(5,MATCH(MAX(Reference!$A$6,MIN(Reference!$A$11,MIN($U153,210))),Reference!$A$6:$A$11,1))))),0)+IF(6&lt;=$AL153,($AL153-6+3)*(INDEX(Reference!$B$6:$B$11,MIN(5,MATCH(MAX(Reference!$A$6,MIN(Reference!$A$11,MIN($U153,240))),Reference!$A$6:$A$11,1)))+(MAX(Reference!$A$6,MIN(Reference!$A$11,MIN($U153,240)))-INDEX(Reference!$A$6:$A$11,MIN(5,MATCH(MAX(Reference!$A$6,MIN(Reference!$A$11,MIN($U153,240))),Reference!$A$6:$A$11,1))))*(INDEX(Reference!$B$6:$B$11,MIN(5,MATCH(MAX(Reference!$A$6,MIN(Reference!$A$11,MIN($U153,240))),Reference!$A$6:$A$11,1))+1)-INDEX(Reference!$B$6:$B$11,MIN(5,MATCH(MAX(Reference!$A$6,MIN(Reference!$A$11,MIN($U153,240))),Reference!$A$6:$A$11,1))))/(INDEX(Reference!$A$6:$A$11,MIN(5,MATCH(MAX(Reference!$A$6,MIN(Reference!$A$11,MIN($U153,240))),Reference!$A$6:$A$11,1))+1)-INDEX(Reference!$A$6:$A$11,MIN(5,MATCH(MAX(Reference!$A$6,MIN(Reference!$A$11,MIN($U153,240))),Reference!$A$6:$A$11,1))))),0)+IF(7&lt;=$AL153,($AL153-7+3)*(INDEX(Reference!$B$6:$B$11,MIN(5,MATCH(MAX(Reference!$A$6,MIN(Reference!$A$11,MIN($U153,270))),Reference!$A$6:$A$11,1)))+(MAX(Reference!$A$6,MIN(Reference!$A$11,MIN($U153,270)))-INDEX(Reference!$A$6:$A$11,MIN(5,MATCH(MAX(Reference!$A$6,MIN(Reference!$A$11,MIN($U153,270))),Reference!$A$6:$A$11,1))))*(INDEX(Reference!$B$6:$B$11,MIN(5,MATCH(MAX(Reference!$A$6,MIN(Reference!$A$11,MIN($U153,270))),Reference!$A$6:$A$11,1))+1)-INDEX(Reference!$B$6:$B$11,MIN(5,MATCH(MAX(Reference!$A$6,MIN(Reference!$A$11,MIN($U153,270))),Reference!$A$6:$A$11,1))))/(INDEX(Reference!$A$6:$A$11,MIN(5,MATCH(MAX(Reference!$A$6,MIN(Reference!$A$11,MIN($U153,270))),Reference!$A$6:$A$11,1))+1)-INDEX(Reference!$A$6:$A$11,MIN(5,MATCH(MAX(Reference!$A$6,MIN(Reference!$A$11,MIN($U153,270))),Reference!$A$6:$A$11,1))))),0)+IF(8&lt;=$AL153,($AL153-8+3)*(INDEX(Reference!$B$6:$B$11,MIN(5,MATCH(MAX(Reference!$A$6,MIN(Reference!$A$11,MIN($U153,300))),Reference!$A$6:$A$11,1)))+(MAX(Reference!$A$6,MIN(Reference!$A$11,MIN($U153,300)))-INDEX(Reference!$A$6:$A$11,MIN(5,MATCH(MAX(Reference!$A$6,MIN(Reference!$A$11,MIN($U153,300))),Reference!$A$6:$A$11,1))))*(INDEX(Reference!$B$6:$B$11,MIN(5,MATCH(MAX(Reference!$A$6,MIN(Reference!$A$11,MIN($U153,300))),Reference!$A$6:$A$11,1))+1)-INDEX(Reference!$B$6:$B$11,MIN(5,MATCH(MAX(Reference!$A$6,MIN(Reference!$A$11,MIN($U153,300))),Reference!$A$6:$A$11,1))))/(INDEX(Reference!$A$6:$A$11,MIN(5,MATCH(MAX(Reference!$A$6,MIN(Reference!$A$11,MIN($U153,300))),Reference!$A$6:$A$11,1))+1)-INDEX(Reference!$A$6:$A$11,MIN(5,MATCH(MAX(Reference!$A$6,MIN(Reference!$A$11,MIN($U153,300))),Reference!$A$6:$A$11,1))))),0))/($AL153*($AL153+5)/2)),$AN153))</f>
        <v>0</v>
      </c>
      <c r="AN153" s="32">
        <f>IF($U153="",0,(INDEX(Reference!$B$6:$B$11,MIN(5,MATCH(MAX(Reference!$A$6,MIN(Reference!$A$11,$U153)),Reference!$A$6:$A$11,1)))+(MAX(Reference!$A$6,MIN(Reference!$A$11,$U153))-INDEX(Reference!$A$6:$A$11,MIN(5,MATCH(MAX(Reference!$A$6,MIN(Reference!$A$11,$U153)),Reference!$A$6:$A$11,1))))*(INDEX(Reference!$B$6:$B$11,MIN(5,MATCH(MAX(Reference!$A$6,MIN(Reference!$A$11,$U153)),Reference!$A$6:$A$11,1))+1)-INDEX(Reference!$B$6:$B$11,MIN(5,MATCH(MAX(Reference!$A$6,MIN(Reference!$A$11,$U153)),Reference!$A$6:$A$11,1))))/(INDEX(Reference!$A$6:$A$11,MIN(5,MATCH(MAX(Reference!$A$6,MIN(Reference!$A$11,$U153)),Reference!$A$6:$A$11,1))+1)-INDEX(Reference!$A$6:$A$11,MIN(5,MATCH(MAX(Reference!$A$6,MIN(Reference!$A$11,$U153)),Reference!$A$6:$A$11,1))))))</f>
        <v>0</v>
      </c>
      <c r="AO153" s="37"/>
      <c r="AP153" s="37"/>
      <c r="AQ153" s="37"/>
    </row>
    <row r="154" spans="1:43" x14ac:dyDescent="0.3">
      <c r="A154" s="48" t="str">
        <f t="shared" si="80"/>
        <v/>
      </c>
      <c r="B154" s="32" t="str">
        <f t="shared" si="81"/>
        <v/>
      </c>
      <c r="C154" s="32" t="str">
        <f t="shared" si="82"/>
        <v/>
      </c>
      <c r="D154" s="32" t="str">
        <f t="shared" si="83"/>
        <v/>
      </c>
      <c r="E154" s="32" t="str">
        <f t="shared" si="84"/>
        <v/>
      </c>
      <c r="F154" s="32" t="str">
        <f t="shared" si="85"/>
        <v/>
      </c>
      <c r="G154" s="47" t="str">
        <f t="shared" si="86"/>
        <v/>
      </c>
      <c r="H154" s="30" t="str">
        <f t="shared" si="87"/>
        <v/>
      </c>
      <c r="I154" s="46" t="str">
        <f>IF($A154="","",IF(AND($L154&lt;27,$K$12=0),"Building",IFERROR(((SUM($H$148:$H154)+$K$12*IF($L154&lt;6,SUMIFS('Throw Log'!$Q$5:$Q$300,'Throw Log'!$B$5:$B$300,$D$4,'Throw Log'!$A$5:$A$300,"&gt;="&amp;($D$6+$L154-6),'Throw Log'!$A$5:$A$300,"&lt;="&amp;($D$6-1)),0))/7)/((SUM($H$127:$H154)+$K$12*IF($L154&lt;27,SUMIFS('Throw Log'!$Q$5:$Q$300,'Throw Log'!$B$5:$B$300,$D$4,'Throw Log'!$A$5:$A$300,"&gt;="&amp;($D$6+$L154-27),'Throw Log'!$A$5:$A$300,"&lt;="&amp;($D$6-1)),0))/28),"")))</f>
        <v/>
      </c>
      <c r="J154" s="37"/>
      <c r="K154" s="37"/>
      <c r="L154" s="32">
        <v>111</v>
      </c>
      <c r="M154" s="32">
        <f t="shared" si="88"/>
        <v>16</v>
      </c>
      <c r="N154" s="32">
        <f t="shared" si="89"/>
        <v>6</v>
      </c>
      <c r="O154" s="32">
        <f t="shared" si="90"/>
        <v>1</v>
      </c>
      <c r="P154" s="32" t="str">
        <f>IF(OR($A154="",N($C154)&lt;=7),"",$G$6*$G$9^($M154-1)*IF(AND(MOD($M154,Reference!$B$99)=0,$M154&lt;=$G$5-2),Reference!$B$100,1))</f>
        <v/>
      </c>
      <c r="Q154" s="32" t="str">
        <f>IF($P154="","",IF(SUM($AK$148:$AK$154)=0,0,$P154*INDEX(Reference!$B$108:$B$114,$N154+1)/SUM($AK$148:$AK$154)))</f>
        <v/>
      </c>
      <c r="R154" s="32">
        <f t="shared" si="91"/>
        <v>180</v>
      </c>
      <c r="S154" s="32">
        <f t="shared" si="92"/>
        <v>150</v>
      </c>
      <c r="T154" s="32" t="str">
        <f>IF($A154="","",IF($C154=0,"Bullpen",IF(OR($C154=7,$C154=1,$C154=5),"Recovery/Easy Catch",IF($C154=6,"Compression/Pulldowns",IF(OR($C154=4,$C154=2),"Long Toss",IF($C154=3,"No Throw",IF($N154=2,"No Throw",IF($N154=6,IF($O154&lt;Reference!$B$104,"No Throw","Recovery/Easy Catch"),IF(OR($N154=0,$N154=4),"Recovery/Easy Catch",IF($N154=1,IF($R154&gt;75,"Long Toss","Recovery/Easy Catch"),IF($N154=3,IF($O154&lt;0.5,IF($S154&gt;75,"Long Toss","Recovery/Easy Catch"),"Compression/Pulldowns"),IF($S154&gt;75,"Long Toss","Recovery/Easy Catch"))))))))))))</f>
        <v/>
      </c>
      <c r="U154" s="32" t="str">
        <f t="shared" si="93"/>
        <v/>
      </c>
      <c r="V154" s="32" t="str">
        <f t="shared" si="94"/>
        <v/>
      </c>
      <c r="W154" s="32" t="str">
        <f t="shared" si="95"/>
        <v/>
      </c>
      <c r="X154" s="32">
        <f t="shared" si="96"/>
        <v>0</v>
      </c>
      <c r="Y154" s="32" t="str">
        <f t="shared" si="97"/>
        <v/>
      </c>
      <c r="Z154" s="32" t="str">
        <f t="shared" si="98"/>
        <v/>
      </c>
      <c r="AA154" s="32" t="str">
        <f t="shared" si="99"/>
        <v/>
      </c>
      <c r="AB154" s="32" t="str">
        <f>IF($A154="","",IF($T154="No Throw",0,IF($K154&lt;&gt;"",$K154,IF($AA154&lt;&gt;"",ROUND($AA154*$D$12*IF($C154=0,1,$G$10),0),MIN(IF($T154="Recovery/Easy Catch",Reference!$B$103,IF($T154="Long Toss",Reference!$B$106,Reference!$B$102)),MAX(Reference!$B$101,ROUND(MAX(0,$Q154-$AE154)/$AF154,0)))))))</f>
        <v/>
      </c>
      <c r="AC154" s="32">
        <f t="shared" si="100"/>
        <v>0</v>
      </c>
      <c r="AD154" s="32" t="b">
        <f t="shared" si="101"/>
        <v>1</v>
      </c>
      <c r="AE154" s="32">
        <f>IF($X154=0,0,$X154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154+$Z154)/2,0),Reference!$A$17:$B$20,2,TRUE()))</f>
        <v>0</v>
      </c>
      <c r="AF154" s="32">
        <f>IF(OR($A154="",$U154="",$T154="No Throw"),0,$AM154*VLOOKUP(MAX(($V154+$W154)/2,0),Reference!$A$17:$B$20,2,TRUE()))</f>
        <v>0</v>
      </c>
      <c r="AG154" s="32">
        <f>IF($AC154=0,0,$AC154*INDEX(Reference!$B$61:$B$62,MATCH("Bullpen",Reference!$A$61:$A$62,0))*VLOOKUP(MAX($D$5-($D$9+$E$9)/2,0),Reference!$A$17:$B$20,2,TRUE()))</f>
        <v>0</v>
      </c>
      <c r="AH154" s="32" t="e">
        <f t="shared" si="102"/>
        <v>#N/A</v>
      </c>
      <c r="AI154" s="32" t="e">
        <f>IF($A154="",NA(),Reference!$A$25)</f>
        <v>#N/A</v>
      </c>
      <c r="AJ154" s="32" t="e">
        <f t="shared" si="103"/>
        <v>#N/A</v>
      </c>
      <c r="AK154" s="32">
        <f>IF(OR($A154="",N($C154)&lt;=7,$T154="No Throw",$J154="x"),0,INDEX(Reference!$B$108:$B$114,$N154+1))</f>
        <v>0</v>
      </c>
      <c r="AL154" s="32">
        <f t="shared" si="104"/>
        <v>1</v>
      </c>
      <c r="AM154" s="32">
        <f>IF($U154="",0,IF($AL154&gt;1,((IF(1&lt;=$AL154,($AL154-1+3)*(INDEX(Reference!$B$6:$B$11,MIN(5,MATCH(MAX(Reference!$A$6,MIN(Reference!$A$11,MIN($U154,90))),Reference!$A$6:$A$11,1)))+(MAX(Reference!$A$6,MIN(Reference!$A$11,MIN($U154,90)))-INDEX(Reference!$A$6:$A$11,MIN(5,MATCH(MAX(Reference!$A$6,MIN(Reference!$A$11,MIN($U154,90))),Reference!$A$6:$A$11,1))))*(INDEX(Reference!$B$6:$B$11,MIN(5,MATCH(MAX(Reference!$A$6,MIN(Reference!$A$11,MIN($U154,90))),Reference!$A$6:$A$11,1))+1)-INDEX(Reference!$B$6:$B$11,MIN(5,MATCH(MAX(Reference!$A$6,MIN(Reference!$A$11,MIN($U154,90))),Reference!$A$6:$A$11,1))))/(INDEX(Reference!$A$6:$A$11,MIN(5,MATCH(MAX(Reference!$A$6,MIN(Reference!$A$11,MIN($U154,90))),Reference!$A$6:$A$11,1))+1)-INDEX(Reference!$A$6:$A$11,MIN(5,MATCH(MAX(Reference!$A$6,MIN(Reference!$A$11,MIN($U154,90))),Reference!$A$6:$A$11,1))))),0)+IF(2&lt;=$AL154,($AL154-2+3)*(INDEX(Reference!$B$6:$B$11,MIN(5,MATCH(MAX(Reference!$A$6,MIN(Reference!$A$11,MIN($U154,120))),Reference!$A$6:$A$11,1)))+(MAX(Reference!$A$6,MIN(Reference!$A$11,MIN($U154,120)))-INDEX(Reference!$A$6:$A$11,MIN(5,MATCH(MAX(Reference!$A$6,MIN(Reference!$A$11,MIN($U154,120))),Reference!$A$6:$A$11,1))))*(INDEX(Reference!$B$6:$B$11,MIN(5,MATCH(MAX(Reference!$A$6,MIN(Reference!$A$11,MIN($U154,120))),Reference!$A$6:$A$11,1))+1)-INDEX(Reference!$B$6:$B$11,MIN(5,MATCH(MAX(Reference!$A$6,MIN(Reference!$A$11,MIN($U154,120))),Reference!$A$6:$A$11,1))))/(INDEX(Reference!$A$6:$A$11,MIN(5,MATCH(MAX(Reference!$A$6,MIN(Reference!$A$11,MIN($U154,120))),Reference!$A$6:$A$11,1))+1)-INDEX(Reference!$A$6:$A$11,MIN(5,MATCH(MAX(Reference!$A$6,MIN(Reference!$A$11,MIN($U154,120))),Reference!$A$6:$A$11,1))))),0)+IF(3&lt;=$AL154,($AL154-3+3)*(INDEX(Reference!$B$6:$B$11,MIN(5,MATCH(MAX(Reference!$A$6,MIN(Reference!$A$11,MIN($U154,150))),Reference!$A$6:$A$11,1)))+(MAX(Reference!$A$6,MIN(Reference!$A$11,MIN($U154,150)))-INDEX(Reference!$A$6:$A$11,MIN(5,MATCH(MAX(Reference!$A$6,MIN(Reference!$A$11,MIN($U154,150))),Reference!$A$6:$A$11,1))))*(INDEX(Reference!$B$6:$B$11,MIN(5,MATCH(MAX(Reference!$A$6,MIN(Reference!$A$11,MIN($U154,150))),Reference!$A$6:$A$11,1))+1)-INDEX(Reference!$B$6:$B$11,MIN(5,MATCH(MAX(Reference!$A$6,MIN(Reference!$A$11,MIN($U154,150))),Reference!$A$6:$A$11,1))))/(INDEX(Reference!$A$6:$A$11,MIN(5,MATCH(MAX(Reference!$A$6,MIN(Reference!$A$11,MIN($U154,150))),Reference!$A$6:$A$11,1))+1)-INDEX(Reference!$A$6:$A$11,MIN(5,MATCH(MAX(Reference!$A$6,MIN(Reference!$A$11,MIN($U154,150))),Reference!$A$6:$A$11,1))))),0)+IF(4&lt;=$AL154,($AL154-4+3)*(INDEX(Reference!$B$6:$B$11,MIN(5,MATCH(MAX(Reference!$A$6,MIN(Reference!$A$11,MIN($U154,180))),Reference!$A$6:$A$11,1)))+(MAX(Reference!$A$6,MIN(Reference!$A$11,MIN($U154,180)))-INDEX(Reference!$A$6:$A$11,MIN(5,MATCH(MAX(Reference!$A$6,MIN(Reference!$A$11,MIN($U154,180))),Reference!$A$6:$A$11,1))))*(INDEX(Reference!$B$6:$B$11,MIN(5,MATCH(MAX(Reference!$A$6,MIN(Reference!$A$11,MIN($U154,180))),Reference!$A$6:$A$11,1))+1)-INDEX(Reference!$B$6:$B$11,MIN(5,MATCH(MAX(Reference!$A$6,MIN(Reference!$A$11,MIN($U154,180))),Reference!$A$6:$A$11,1))))/(INDEX(Reference!$A$6:$A$11,MIN(5,MATCH(MAX(Reference!$A$6,MIN(Reference!$A$11,MIN($U154,180))),Reference!$A$6:$A$11,1))+1)-INDEX(Reference!$A$6:$A$11,MIN(5,MATCH(MAX(Reference!$A$6,MIN(Reference!$A$11,MIN($U154,180))),Reference!$A$6:$A$11,1))))),0)+IF(5&lt;=$AL154,($AL154-5+3)*(INDEX(Reference!$B$6:$B$11,MIN(5,MATCH(MAX(Reference!$A$6,MIN(Reference!$A$11,MIN($U154,210))),Reference!$A$6:$A$11,1)))+(MAX(Reference!$A$6,MIN(Reference!$A$11,MIN($U154,210)))-INDEX(Reference!$A$6:$A$11,MIN(5,MATCH(MAX(Reference!$A$6,MIN(Reference!$A$11,MIN($U154,210))),Reference!$A$6:$A$11,1))))*(INDEX(Reference!$B$6:$B$11,MIN(5,MATCH(MAX(Reference!$A$6,MIN(Reference!$A$11,MIN($U154,210))),Reference!$A$6:$A$11,1))+1)-INDEX(Reference!$B$6:$B$11,MIN(5,MATCH(MAX(Reference!$A$6,MIN(Reference!$A$11,MIN($U154,210))),Reference!$A$6:$A$11,1))))/(INDEX(Reference!$A$6:$A$11,MIN(5,MATCH(MAX(Reference!$A$6,MIN(Reference!$A$11,MIN($U154,210))),Reference!$A$6:$A$11,1))+1)-INDEX(Reference!$A$6:$A$11,MIN(5,MATCH(MAX(Reference!$A$6,MIN(Reference!$A$11,MIN($U154,210))),Reference!$A$6:$A$11,1))))),0)+IF(6&lt;=$AL154,($AL154-6+3)*(INDEX(Reference!$B$6:$B$11,MIN(5,MATCH(MAX(Reference!$A$6,MIN(Reference!$A$11,MIN($U154,240))),Reference!$A$6:$A$11,1)))+(MAX(Reference!$A$6,MIN(Reference!$A$11,MIN($U154,240)))-INDEX(Reference!$A$6:$A$11,MIN(5,MATCH(MAX(Reference!$A$6,MIN(Reference!$A$11,MIN($U154,240))),Reference!$A$6:$A$11,1))))*(INDEX(Reference!$B$6:$B$11,MIN(5,MATCH(MAX(Reference!$A$6,MIN(Reference!$A$11,MIN($U154,240))),Reference!$A$6:$A$11,1))+1)-INDEX(Reference!$B$6:$B$11,MIN(5,MATCH(MAX(Reference!$A$6,MIN(Reference!$A$11,MIN($U154,240))),Reference!$A$6:$A$11,1))))/(INDEX(Reference!$A$6:$A$11,MIN(5,MATCH(MAX(Reference!$A$6,MIN(Reference!$A$11,MIN($U154,240))),Reference!$A$6:$A$11,1))+1)-INDEX(Reference!$A$6:$A$11,MIN(5,MATCH(MAX(Reference!$A$6,MIN(Reference!$A$11,MIN($U154,240))),Reference!$A$6:$A$11,1))))),0)+IF(7&lt;=$AL154,($AL154-7+3)*(INDEX(Reference!$B$6:$B$11,MIN(5,MATCH(MAX(Reference!$A$6,MIN(Reference!$A$11,MIN($U154,270))),Reference!$A$6:$A$11,1)))+(MAX(Reference!$A$6,MIN(Reference!$A$11,MIN($U154,270)))-INDEX(Reference!$A$6:$A$11,MIN(5,MATCH(MAX(Reference!$A$6,MIN(Reference!$A$11,MIN($U154,270))),Reference!$A$6:$A$11,1))))*(INDEX(Reference!$B$6:$B$11,MIN(5,MATCH(MAX(Reference!$A$6,MIN(Reference!$A$11,MIN($U154,270))),Reference!$A$6:$A$11,1))+1)-INDEX(Reference!$B$6:$B$11,MIN(5,MATCH(MAX(Reference!$A$6,MIN(Reference!$A$11,MIN($U154,270))),Reference!$A$6:$A$11,1))))/(INDEX(Reference!$A$6:$A$11,MIN(5,MATCH(MAX(Reference!$A$6,MIN(Reference!$A$11,MIN($U154,270))),Reference!$A$6:$A$11,1))+1)-INDEX(Reference!$A$6:$A$11,MIN(5,MATCH(MAX(Reference!$A$6,MIN(Reference!$A$11,MIN($U154,270))),Reference!$A$6:$A$11,1))))),0)+IF(8&lt;=$AL154,($AL154-8+3)*(INDEX(Reference!$B$6:$B$11,MIN(5,MATCH(MAX(Reference!$A$6,MIN(Reference!$A$11,MIN($U154,300))),Reference!$A$6:$A$11,1)))+(MAX(Reference!$A$6,MIN(Reference!$A$11,MIN($U154,300)))-INDEX(Reference!$A$6:$A$11,MIN(5,MATCH(MAX(Reference!$A$6,MIN(Reference!$A$11,MIN($U154,300))),Reference!$A$6:$A$11,1))))*(INDEX(Reference!$B$6:$B$11,MIN(5,MATCH(MAX(Reference!$A$6,MIN(Reference!$A$11,MIN($U154,300))),Reference!$A$6:$A$11,1))+1)-INDEX(Reference!$B$6:$B$11,MIN(5,MATCH(MAX(Reference!$A$6,MIN(Reference!$A$11,MIN($U154,300))),Reference!$A$6:$A$11,1))))/(INDEX(Reference!$A$6:$A$11,MIN(5,MATCH(MAX(Reference!$A$6,MIN(Reference!$A$11,MIN($U154,300))),Reference!$A$6:$A$11,1))+1)-INDEX(Reference!$A$6:$A$11,MIN(5,MATCH(MAX(Reference!$A$6,MIN(Reference!$A$11,MIN($U154,300))),Reference!$A$6:$A$11,1))))),0))/($AL154*($AL154+5)/2)),$AN154))</f>
        <v>0</v>
      </c>
      <c r="AN154" s="32">
        <f>IF($U154="",0,(INDEX(Reference!$B$6:$B$11,MIN(5,MATCH(MAX(Reference!$A$6,MIN(Reference!$A$11,$U154)),Reference!$A$6:$A$11,1)))+(MAX(Reference!$A$6,MIN(Reference!$A$11,$U154))-INDEX(Reference!$A$6:$A$11,MIN(5,MATCH(MAX(Reference!$A$6,MIN(Reference!$A$11,$U154)),Reference!$A$6:$A$11,1))))*(INDEX(Reference!$B$6:$B$11,MIN(5,MATCH(MAX(Reference!$A$6,MIN(Reference!$A$11,$U154)),Reference!$A$6:$A$11,1))+1)-INDEX(Reference!$B$6:$B$11,MIN(5,MATCH(MAX(Reference!$A$6,MIN(Reference!$A$11,$U154)),Reference!$A$6:$A$11,1))))/(INDEX(Reference!$A$6:$A$11,MIN(5,MATCH(MAX(Reference!$A$6,MIN(Reference!$A$11,$U154)),Reference!$A$6:$A$11,1))+1)-INDEX(Reference!$A$6:$A$11,MIN(5,MATCH(MAX(Reference!$A$6,MIN(Reference!$A$11,$U154)),Reference!$A$6:$A$11,1))))))</f>
        <v>0</v>
      </c>
      <c r="AO154" s="37"/>
      <c r="AP154" s="37"/>
      <c r="AQ154" s="37"/>
    </row>
    <row r="155" spans="1:43" x14ac:dyDescent="0.3">
      <c r="A155" s="48" t="str">
        <f t="shared" si="80"/>
        <v/>
      </c>
      <c r="B155" s="32" t="str">
        <f t="shared" si="81"/>
        <v/>
      </c>
      <c r="C155" s="32" t="str">
        <f t="shared" si="82"/>
        <v/>
      </c>
      <c r="D155" s="32" t="str">
        <f t="shared" si="83"/>
        <v/>
      </c>
      <c r="E155" s="32" t="str">
        <f t="shared" si="84"/>
        <v/>
      </c>
      <c r="F155" s="32" t="str">
        <f t="shared" si="85"/>
        <v/>
      </c>
      <c r="G155" s="47" t="str">
        <f t="shared" si="86"/>
        <v/>
      </c>
      <c r="H155" s="30" t="str">
        <f t="shared" si="87"/>
        <v/>
      </c>
      <c r="I155" s="46" t="str">
        <f>IF($A155="","",IF(AND($L155&lt;27,$K$12=0),"Building",IFERROR(((SUM($H$149:$H155)+$K$12*IF($L155&lt;6,SUMIFS('Throw Log'!$Q$5:$Q$300,'Throw Log'!$B$5:$B$300,$D$4,'Throw Log'!$A$5:$A$300,"&gt;="&amp;($D$6+$L155-6),'Throw Log'!$A$5:$A$300,"&lt;="&amp;($D$6-1)),0))/7)/((SUM($H$128:$H155)+$K$12*IF($L155&lt;27,SUMIFS('Throw Log'!$Q$5:$Q$300,'Throw Log'!$B$5:$B$300,$D$4,'Throw Log'!$A$5:$A$300,"&gt;="&amp;($D$6+$L155-27),'Throw Log'!$A$5:$A$300,"&lt;="&amp;($D$6-1)),0))/28),"")))</f>
        <v/>
      </c>
      <c r="J155" s="37"/>
      <c r="K155" s="37"/>
      <c r="L155" s="32">
        <v>112</v>
      </c>
      <c r="M155" s="32">
        <f t="shared" si="88"/>
        <v>17</v>
      </c>
      <c r="N155" s="32">
        <f t="shared" si="89"/>
        <v>0</v>
      </c>
      <c r="O155" s="32">
        <f t="shared" si="90"/>
        <v>1</v>
      </c>
      <c r="P155" s="32" t="str">
        <f>IF(OR($A155="",N($C155)&lt;=7),"",$G$6*$G$9^($M155-1)*IF(AND(MOD($M155,Reference!$B$99)=0,$M155&lt;=$G$5-2),Reference!$B$100,1))</f>
        <v/>
      </c>
      <c r="Q155" s="32" t="str">
        <f>IF($P155="","",IF(SUM($AK$155:$AK$161)=0,0,$P155*INDEX(Reference!$B$108:$B$114,$N155+1)/SUM($AK$155:$AK$161)))</f>
        <v/>
      </c>
      <c r="R155" s="32">
        <f t="shared" si="91"/>
        <v>180</v>
      </c>
      <c r="S155" s="32">
        <f t="shared" si="92"/>
        <v>150</v>
      </c>
      <c r="T155" s="32" t="str">
        <f>IF($A155="","",IF($C155=0,"Bullpen",IF(OR($C155=7,$C155=1,$C155=5),"Recovery/Easy Catch",IF($C155=6,"Compression/Pulldowns",IF(OR($C155=4,$C155=2),"Long Toss",IF($C155=3,"No Throw",IF($N155=2,"No Throw",IF($N155=6,IF($O155&lt;Reference!$B$104,"No Throw","Recovery/Easy Catch"),IF(OR($N155=0,$N155=4),"Recovery/Easy Catch",IF($N155=1,IF($R155&gt;75,"Long Toss","Recovery/Easy Catch"),IF($N155=3,IF($O155&lt;0.5,IF($S155&gt;75,"Long Toss","Recovery/Easy Catch"),"Compression/Pulldowns"),IF($S155&gt;75,"Long Toss","Recovery/Easy Catch"))))))))))))</f>
        <v/>
      </c>
      <c r="U155" s="32" t="str">
        <f t="shared" si="93"/>
        <v/>
      </c>
      <c r="V155" s="32" t="str">
        <f t="shared" si="94"/>
        <v/>
      </c>
      <c r="W155" s="32" t="str">
        <f t="shared" si="95"/>
        <v/>
      </c>
      <c r="X155" s="32">
        <f t="shared" si="96"/>
        <v>0</v>
      </c>
      <c r="Y155" s="32" t="str">
        <f t="shared" si="97"/>
        <v/>
      </c>
      <c r="Z155" s="32" t="str">
        <f t="shared" si="98"/>
        <v/>
      </c>
      <c r="AA155" s="32" t="str">
        <f t="shared" si="99"/>
        <v/>
      </c>
      <c r="AB155" s="32" t="str">
        <f>IF($A155="","",IF($T155="No Throw",0,IF($K155&lt;&gt;"",$K155,IF($AA155&lt;&gt;"",ROUND($AA155*$D$12*IF($C155=0,1,$G$10),0),MIN(IF($T155="Recovery/Easy Catch",Reference!$B$103,IF($T155="Long Toss",Reference!$B$106,Reference!$B$102)),MAX(Reference!$B$101,ROUND(MAX(0,$Q155-$AE155)/$AF155,0)))))))</f>
        <v/>
      </c>
      <c r="AC155" s="32">
        <f t="shared" si="100"/>
        <v>0</v>
      </c>
      <c r="AD155" s="32" t="b">
        <f t="shared" si="101"/>
        <v>1</v>
      </c>
      <c r="AE155" s="32">
        <f>IF($X155=0,0,$X155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155+$Z155)/2,0),Reference!$A$17:$B$20,2,TRUE()))</f>
        <v>0</v>
      </c>
      <c r="AF155" s="32">
        <f>IF(OR($A155="",$U155="",$T155="No Throw"),0,$AM155*VLOOKUP(MAX(($V155+$W155)/2,0),Reference!$A$17:$B$20,2,TRUE()))</f>
        <v>0</v>
      </c>
      <c r="AG155" s="32">
        <f>IF($AC155=0,0,$AC155*INDEX(Reference!$B$61:$B$62,MATCH("Bullpen",Reference!$A$61:$A$62,0))*VLOOKUP(MAX($D$5-($D$9+$E$9)/2,0),Reference!$A$17:$B$20,2,TRUE()))</f>
        <v>0</v>
      </c>
      <c r="AH155" s="32" t="e">
        <f t="shared" si="102"/>
        <v>#N/A</v>
      </c>
      <c r="AI155" s="32" t="e">
        <f>IF($A155="",NA(),Reference!$A$25)</f>
        <v>#N/A</v>
      </c>
      <c r="AJ155" s="32" t="e">
        <f t="shared" si="103"/>
        <v>#N/A</v>
      </c>
      <c r="AK155" s="32">
        <f>IF(OR($A155="",N($C155)&lt;=7,$T155="No Throw",$J155="x"),0,INDEX(Reference!$B$108:$B$114,$N155+1))</f>
        <v>0</v>
      </c>
      <c r="AL155" s="32">
        <f t="shared" si="104"/>
        <v>1</v>
      </c>
      <c r="AM155" s="32">
        <f>IF($U155="",0,IF($AL155&gt;1,((IF(1&lt;=$AL155,($AL155-1+3)*(INDEX(Reference!$B$6:$B$11,MIN(5,MATCH(MAX(Reference!$A$6,MIN(Reference!$A$11,MIN($U155,90))),Reference!$A$6:$A$11,1)))+(MAX(Reference!$A$6,MIN(Reference!$A$11,MIN($U155,90)))-INDEX(Reference!$A$6:$A$11,MIN(5,MATCH(MAX(Reference!$A$6,MIN(Reference!$A$11,MIN($U155,90))),Reference!$A$6:$A$11,1))))*(INDEX(Reference!$B$6:$B$11,MIN(5,MATCH(MAX(Reference!$A$6,MIN(Reference!$A$11,MIN($U155,90))),Reference!$A$6:$A$11,1))+1)-INDEX(Reference!$B$6:$B$11,MIN(5,MATCH(MAX(Reference!$A$6,MIN(Reference!$A$11,MIN($U155,90))),Reference!$A$6:$A$11,1))))/(INDEX(Reference!$A$6:$A$11,MIN(5,MATCH(MAX(Reference!$A$6,MIN(Reference!$A$11,MIN($U155,90))),Reference!$A$6:$A$11,1))+1)-INDEX(Reference!$A$6:$A$11,MIN(5,MATCH(MAX(Reference!$A$6,MIN(Reference!$A$11,MIN($U155,90))),Reference!$A$6:$A$11,1))))),0)+IF(2&lt;=$AL155,($AL155-2+3)*(INDEX(Reference!$B$6:$B$11,MIN(5,MATCH(MAX(Reference!$A$6,MIN(Reference!$A$11,MIN($U155,120))),Reference!$A$6:$A$11,1)))+(MAX(Reference!$A$6,MIN(Reference!$A$11,MIN($U155,120)))-INDEX(Reference!$A$6:$A$11,MIN(5,MATCH(MAX(Reference!$A$6,MIN(Reference!$A$11,MIN($U155,120))),Reference!$A$6:$A$11,1))))*(INDEX(Reference!$B$6:$B$11,MIN(5,MATCH(MAX(Reference!$A$6,MIN(Reference!$A$11,MIN($U155,120))),Reference!$A$6:$A$11,1))+1)-INDEX(Reference!$B$6:$B$11,MIN(5,MATCH(MAX(Reference!$A$6,MIN(Reference!$A$11,MIN($U155,120))),Reference!$A$6:$A$11,1))))/(INDEX(Reference!$A$6:$A$11,MIN(5,MATCH(MAX(Reference!$A$6,MIN(Reference!$A$11,MIN($U155,120))),Reference!$A$6:$A$11,1))+1)-INDEX(Reference!$A$6:$A$11,MIN(5,MATCH(MAX(Reference!$A$6,MIN(Reference!$A$11,MIN($U155,120))),Reference!$A$6:$A$11,1))))),0)+IF(3&lt;=$AL155,($AL155-3+3)*(INDEX(Reference!$B$6:$B$11,MIN(5,MATCH(MAX(Reference!$A$6,MIN(Reference!$A$11,MIN($U155,150))),Reference!$A$6:$A$11,1)))+(MAX(Reference!$A$6,MIN(Reference!$A$11,MIN($U155,150)))-INDEX(Reference!$A$6:$A$11,MIN(5,MATCH(MAX(Reference!$A$6,MIN(Reference!$A$11,MIN($U155,150))),Reference!$A$6:$A$11,1))))*(INDEX(Reference!$B$6:$B$11,MIN(5,MATCH(MAX(Reference!$A$6,MIN(Reference!$A$11,MIN($U155,150))),Reference!$A$6:$A$11,1))+1)-INDEX(Reference!$B$6:$B$11,MIN(5,MATCH(MAX(Reference!$A$6,MIN(Reference!$A$11,MIN($U155,150))),Reference!$A$6:$A$11,1))))/(INDEX(Reference!$A$6:$A$11,MIN(5,MATCH(MAX(Reference!$A$6,MIN(Reference!$A$11,MIN($U155,150))),Reference!$A$6:$A$11,1))+1)-INDEX(Reference!$A$6:$A$11,MIN(5,MATCH(MAX(Reference!$A$6,MIN(Reference!$A$11,MIN($U155,150))),Reference!$A$6:$A$11,1))))),0)+IF(4&lt;=$AL155,($AL155-4+3)*(INDEX(Reference!$B$6:$B$11,MIN(5,MATCH(MAX(Reference!$A$6,MIN(Reference!$A$11,MIN($U155,180))),Reference!$A$6:$A$11,1)))+(MAX(Reference!$A$6,MIN(Reference!$A$11,MIN($U155,180)))-INDEX(Reference!$A$6:$A$11,MIN(5,MATCH(MAX(Reference!$A$6,MIN(Reference!$A$11,MIN($U155,180))),Reference!$A$6:$A$11,1))))*(INDEX(Reference!$B$6:$B$11,MIN(5,MATCH(MAX(Reference!$A$6,MIN(Reference!$A$11,MIN($U155,180))),Reference!$A$6:$A$11,1))+1)-INDEX(Reference!$B$6:$B$11,MIN(5,MATCH(MAX(Reference!$A$6,MIN(Reference!$A$11,MIN($U155,180))),Reference!$A$6:$A$11,1))))/(INDEX(Reference!$A$6:$A$11,MIN(5,MATCH(MAX(Reference!$A$6,MIN(Reference!$A$11,MIN($U155,180))),Reference!$A$6:$A$11,1))+1)-INDEX(Reference!$A$6:$A$11,MIN(5,MATCH(MAX(Reference!$A$6,MIN(Reference!$A$11,MIN($U155,180))),Reference!$A$6:$A$11,1))))),0)+IF(5&lt;=$AL155,($AL155-5+3)*(INDEX(Reference!$B$6:$B$11,MIN(5,MATCH(MAX(Reference!$A$6,MIN(Reference!$A$11,MIN($U155,210))),Reference!$A$6:$A$11,1)))+(MAX(Reference!$A$6,MIN(Reference!$A$11,MIN($U155,210)))-INDEX(Reference!$A$6:$A$11,MIN(5,MATCH(MAX(Reference!$A$6,MIN(Reference!$A$11,MIN($U155,210))),Reference!$A$6:$A$11,1))))*(INDEX(Reference!$B$6:$B$11,MIN(5,MATCH(MAX(Reference!$A$6,MIN(Reference!$A$11,MIN($U155,210))),Reference!$A$6:$A$11,1))+1)-INDEX(Reference!$B$6:$B$11,MIN(5,MATCH(MAX(Reference!$A$6,MIN(Reference!$A$11,MIN($U155,210))),Reference!$A$6:$A$11,1))))/(INDEX(Reference!$A$6:$A$11,MIN(5,MATCH(MAX(Reference!$A$6,MIN(Reference!$A$11,MIN($U155,210))),Reference!$A$6:$A$11,1))+1)-INDEX(Reference!$A$6:$A$11,MIN(5,MATCH(MAX(Reference!$A$6,MIN(Reference!$A$11,MIN($U155,210))),Reference!$A$6:$A$11,1))))),0)+IF(6&lt;=$AL155,($AL155-6+3)*(INDEX(Reference!$B$6:$B$11,MIN(5,MATCH(MAX(Reference!$A$6,MIN(Reference!$A$11,MIN($U155,240))),Reference!$A$6:$A$11,1)))+(MAX(Reference!$A$6,MIN(Reference!$A$11,MIN($U155,240)))-INDEX(Reference!$A$6:$A$11,MIN(5,MATCH(MAX(Reference!$A$6,MIN(Reference!$A$11,MIN($U155,240))),Reference!$A$6:$A$11,1))))*(INDEX(Reference!$B$6:$B$11,MIN(5,MATCH(MAX(Reference!$A$6,MIN(Reference!$A$11,MIN($U155,240))),Reference!$A$6:$A$11,1))+1)-INDEX(Reference!$B$6:$B$11,MIN(5,MATCH(MAX(Reference!$A$6,MIN(Reference!$A$11,MIN($U155,240))),Reference!$A$6:$A$11,1))))/(INDEX(Reference!$A$6:$A$11,MIN(5,MATCH(MAX(Reference!$A$6,MIN(Reference!$A$11,MIN($U155,240))),Reference!$A$6:$A$11,1))+1)-INDEX(Reference!$A$6:$A$11,MIN(5,MATCH(MAX(Reference!$A$6,MIN(Reference!$A$11,MIN($U155,240))),Reference!$A$6:$A$11,1))))),0)+IF(7&lt;=$AL155,($AL155-7+3)*(INDEX(Reference!$B$6:$B$11,MIN(5,MATCH(MAX(Reference!$A$6,MIN(Reference!$A$11,MIN($U155,270))),Reference!$A$6:$A$11,1)))+(MAX(Reference!$A$6,MIN(Reference!$A$11,MIN($U155,270)))-INDEX(Reference!$A$6:$A$11,MIN(5,MATCH(MAX(Reference!$A$6,MIN(Reference!$A$11,MIN($U155,270))),Reference!$A$6:$A$11,1))))*(INDEX(Reference!$B$6:$B$11,MIN(5,MATCH(MAX(Reference!$A$6,MIN(Reference!$A$11,MIN($U155,270))),Reference!$A$6:$A$11,1))+1)-INDEX(Reference!$B$6:$B$11,MIN(5,MATCH(MAX(Reference!$A$6,MIN(Reference!$A$11,MIN($U155,270))),Reference!$A$6:$A$11,1))))/(INDEX(Reference!$A$6:$A$11,MIN(5,MATCH(MAX(Reference!$A$6,MIN(Reference!$A$11,MIN($U155,270))),Reference!$A$6:$A$11,1))+1)-INDEX(Reference!$A$6:$A$11,MIN(5,MATCH(MAX(Reference!$A$6,MIN(Reference!$A$11,MIN($U155,270))),Reference!$A$6:$A$11,1))))),0)+IF(8&lt;=$AL155,($AL155-8+3)*(INDEX(Reference!$B$6:$B$11,MIN(5,MATCH(MAX(Reference!$A$6,MIN(Reference!$A$11,MIN($U155,300))),Reference!$A$6:$A$11,1)))+(MAX(Reference!$A$6,MIN(Reference!$A$11,MIN($U155,300)))-INDEX(Reference!$A$6:$A$11,MIN(5,MATCH(MAX(Reference!$A$6,MIN(Reference!$A$11,MIN($U155,300))),Reference!$A$6:$A$11,1))))*(INDEX(Reference!$B$6:$B$11,MIN(5,MATCH(MAX(Reference!$A$6,MIN(Reference!$A$11,MIN($U155,300))),Reference!$A$6:$A$11,1))+1)-INDEX(Reference!$B$6:$B$11,MIN(5,MATCH(MAX(Reference!$A$6,MIN(Reference!$A$11,MIN($U155,300))),Reference!$A$6:$A$11,1))))/(INDEX(Reference!$A$6:$A$11,MIN(5,MATCH(MAX(Reference!$A$6,MIN(Reference!$A$11,MIN($U155,300))),Reference!$A$6:$A$11,1))+1)-INDEX(Reference!$A$6:$A$11,MIN(5,MATCH(MAX(Reference!$A$6,MIN(Reference!$A$11,MIN($U155,300))),Reference!$A$6:$A$11,1))))),0))/($AL155*($AL155+5)/2)),$AN155))</f>
        <v>0</v>
      </c>
      <c r="AN155" s="32">
        <f>IF($U155="",0,(INDEX(Reference!$B$6:$B$11,MIN(5,MATCH(MAX(Reference!$A$6,MIN(Reference!$A$11,$U155)),Reference!$A$6:$A$11,1)))+(MAX(Reference!$A$6,MIN(Reference!$A$11,$U155))-INDEX(Reference!$A$6:$A$11,MIN(5,MATCH(MAX(Reference!$A$6,MIN(Reference!$A$11,$U155)),Reference!$A$6:$A$11,1))))*(INDEX(Reference!$B$6:$B$11,MIN(5,MATCH(MAX(Reference!$A$6,MIN(Reference!$A$11,$U155)),Reference!$A$6:$A$11,1))+1)-INDEX(Reference!$B$6:$B$11,MIN(5,MATCH(MAX(Reference!$A$6,MIN(Reference!$A$11,$U155)),Reference!$A$6:$A$11,1))))/(INDEX(Reference!$A$6:$A$11,MIN(5,MATCH(MAX(Reference!$A$6,MIN(Reference!$A$11,$U155)),Reference!$A$6:$A$11,1))+1)-INDEX(Reference!$A$6:$A$11,MIN(5,MATCH(MAX(Reference!$A$6,MIN(Reference!$A$11,$U155)),Reference!$A$6:$A$11,1))))))</f>
        <v>0</v>
      </c>
      <c r="AO155" s="37"/>
      <c r="AP155" s="37"/>
      <c r="AQ155" s="37"/>
    </row>
    <row r="156" spans="1:43" x14ac:dyDescent="0.3">
      <c r="A156" s="48" t="str">
        <f t="shared" si="80"/>
        <v/>
      </c>
      <c r="B156" s="32" t="str">
        <f t="shared" si="81"/>
        <v/>
      </c>
      <c r="C156" s="32" t="str">
        <f t="shared" si="82"/>
        <v/>
      </c>
      <c r="D156" s="32" t="str">
        <f t="shared" si="83"/>
        <v/>
      </c>
      <c r="E156" s="32" t="str">
        <f t="shared" si="84"/>
        <v/>
      </c>
      <c r="F156" s="32" t="str">
        <f t="shared" si="85"/>
        <v/>
      </c>
      <c r="G156" s="47" t="str">
        <f t="shared" si="86"/>
        <v/>
      </c>
      <c r="H156" s="30" t="str">
        <f t="shared" si="87"/>
        <v/>
      </c>
      <c r="I156" s="46" t="str">
        <f>IF($A156="","",IF(AND($L156&lt;27,$K$12=0),"Building",IFERROR(((SUM($H$150:$H156)+$K$12*IF($L156&lt;6,SUMIFS('Throw Log'!$Q$5:$Q$300,'Throw Log'!$B$5:$B$300,$D$4,'Throw Log'!$A$5:$A$300,"&gt;="&amp;($D$6+$L156-6),'Throw Log'!$A$5:$A$300,"&lt;="&amp;($D$6-1)),0))/7)/((SUM($H$129:$H156)+$K$12*IF($L156&lt;27,SUMIFS('Throw Log'!$Q$5:$Q$300,'Throw Log'!$B$5:$B$300,$D$4,'Throw Log'!$A$5:$A$300,"&gt;="&amp;($D$6+$L156-27),'Throw Log'!$A$5:$A$300,"&lt;="&amp;($D$6-1)),0))/28),"")))</f>
        <v/>
      </c>
      <c r="J156" s="37"/>
      <c r="K156" s="37"/>
      <c r="L156" s="32">
        <v>113</v>
      </c>
      <c r="M156" s="32">
        <f t="shared" si="88"/>
        <v>17</v>
      </c>
      <c r="N156" s="32">
        <f t="shared" si="89"/>
        <v>1</v>
      </c>
      <c r="O156" s="32">
        <f t="shared" si="90"/>
        <v>1</v>
      </c>
      <c r="P156" s="32" t="str">
        <f>IF(OR($A156="",N($C156)&lt;=7),"",$G$6*$G$9^($M156-1)*IF(AND(MOD($M156,Reference!$B$99)=0,$M156&lt;=$G$5-2),Reference!$B$100,1))</f>
        <v/>
      </c>
      <c r="Q156" s="32" t="str">
        <f>IF($P156="","",IF(SUM($AK$155:$AK$161)=0,0,$P156*INDEX(Reference!$B$108:$B$114,$N156+1)/SUM($AK$155:$AK$161)))</f>
        <v/>
      </c>
      <c r="R156" s="32">
        <f t="shared" si="91"/>
        <v>180</v>
      </c>
      <c r="S156" s="32">
        <f t="shared" si="92"/>
        <v>150</v>
      </c>
      <c r="T156" s="32" t="str">
        <f>IF($A156="","",IF($C156=0,"Bullpen",IF(OR($C156=7,$C156=1,$C156=5),"Recovery/Easy Catch",IF($C156=6,"Compression/Pulldowns",IF(OR($C156=4,$C156=2),"Long Toss",IF($C156=3,"No Throw",IF($N156=2,"No Throw",IF($N156=6,IF($O156&lt;Reference!$B$104,"No Throw","Recovery/Easy Catch"),IF(OR($N156=0,$N156=4),"Recovery/Easy Catch",IF($N156=1,IF($R156&gt;75,"Long Toss","Recovery/Easy Catch"),IF($N156=3,IF($O156&lt;0.5,IF($S156&gt;75,"Long Toss","Recovery/Easy Catch"),"Compression/Pulldowns"),IF($S156&gt;75,"Long Toss","Recovery/Easy Catch"))))))))))))</f>
        <v/>
      </c>
      <c r="U156" s="32" t="str">
        <f t="shared" si="93"/>
        <v/>
      </c>
      <c r="V156" s="32" t="str">
        <f t="shared" si="94"/>
        <v/>
      </c>
      <c r="W156" s="32" t="str">
        <f t="shared" si="95"/>
        <v/>
      </c>
      <c r="X156" s="32">
        <f t="shared" si="96"/>
        <v>0</v>
      </c>
      <c r="Y156" s="32" t="str">
        <f t="shared" si="97"/>
        <v/>
      </c>
      <c r="Z156" s="32" t="str">
        <f t="shared" si="98"/>
        <v/>
      </c>
      <c r="AA156" s="32" t="str">
        <f t="shared" si="99"/>
        <v/>
      </c>
      <c r="AB156" s="32" t="str">
        <f>IF($A156="","",IF($T156="No Throw",0,IF($K156&lt;&gt;"",$K156,IF($AA156&lt;&gt;"",ROUND($AA156*$D$12*IF($C156=0,1,$G$10),0),MIN(IF($T156="Recovery/Easy Catch",Reference!$B$103,IF($T156="Long Toss",Reference!$B$106,Reference!$B$102)),MAX(Reference!$B$101,ROUND(MAX(0,$Q156-$AE156)/$AF156,0)))))))</f>
        <v/>
      </c>
      <c r="AC156" s="32">
        <f t="shared" si="100"/>
        <v>0</v>
      </c>
      <c r="AD156" s="32" t="b">
        <f t="shared" si="101"/>
        <v>1</v>
      </c>
      <c r="AE156" s="32">
        <f>IF($X156=0,0,$X156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156+$Z156)/2,0),Reference!$A$17:$B$20,2,TRUE()))</f>
        <v>0</v>
      </c>
      <c r="AF156" s="32">
        <f>IF(OR($A156="",$U156="",$T156="No Throw"),0,$AM156*VLOOKUP(MAX(($V156+$W156)/2,0),Reference!$A$17:$B$20,2,TRUE()))</f>
        <v>0</v>
      </c>
      <c r="AG156" s="32">
        <f>IF($AC156=0,0,$AC156*INDEX(Reference!$B$61:$B$62,MATCH("Bullpen",Reference!$A$61:$A$62,0))*VLOOKUP(MAX($D$5-($D$9+$E$9)/2,0),Reference!$A$17:$B$20,2,TRUE()))</f>
        <v>0</v>
      </c>
      <c r="AH156" s="32" t="e">
        <f t="shared" si="102"/>
        <v>#N/A</v>
      </c>
      <c r="AI156" s="32" t="e">
        <f>IF($A156="",NA(),Reference!$A$25)</f>
        <v>#N/A</v>
      </c>
      <c r="AJ156" s="32" t="e">
        <f t="shared" si="103"/>
        <v>#N/A</v>
      </c>
      <c r="AK156" s="32">
        <f>IF(OR($A156="",N($C156)&lt;=7,$T156="No Throw",$J156="x"),0,INDEX(Reference!$B$108:$B$114,$N156+1))</f>
        <v>0</v>
      </c>
      <c r="AL156" s="32">
        <f t="shared" si="104"/>
        <v>1</v>
      </c>
      <c r="AM156" s="32">
        <f>IF($U156="",0,IF($AL156&gt;1,((IF(1&lt;=$AL156,($AL156-1+3)*(INDEX(Reference!$B$6:$B$11,MIN(5,MATCH(MAX(Reference!$A$6,MIN(Reference!$A$11,MIN($U156,90))),Reference!$A$6:$A$11,1)))+(MAX(Reference!$A$6,MIN(Reference!$A$11,MIN($U156,90)))-INDEX(Reference!$A$6:$A$11,MIN(5,MATCH(MAX(Reference!$A$6,MIN(Reference!$A$11,MIN($U156,90))),Reference!$A$6:$A$11,1))))*(INDEX(Reference!$B$6:$B$11,MIN(5,MATCH(MAX(Reference!$A$6,MIN(Reference!$A$11,MIN($U156,90))),Reference!$A$6:$A$11,1))+1)-INDEX(Reference!$B$6:$B$11,MIN(5,MATCH(MAX(Reference!$A$6,MIN(Reference!$A$11,MIN($U156,90))),Reference!$A$6:$A$11,1))))/(INDEX(Reference!$A$6:$A$11,MIN(5,MATCH(MAX(Reference!$A$6,MIN(Reference!$A$11,MIN($U156,90))),Reference!$A$6:$A$11,1))+1)-INDEX(Reference!$A$6:$A$11,MIN(5,MATCH(MAX(Reference!$A$6,MIN(Reference!$A$11,MIN($U156,90))),Reference!$A$6:$A$11,1))))),0)+IF(2&lt;=$AL156,($AL156-2+3)*(INDEX(Reference!$B$6:$B$11,MIN(5,MATCH(MAX(Reference!$A$6,MIN(Reference!$A$11,MIN($U156,120))),Reference!$A$6:$A$11,1)))+(MAX(Reference!$A$6,MIN(Reference!$A$11,MIN($U156,120)))-INDEX(Reference!$A$6:$A$11,MIN(5,MATCH(MAX(Reference!$A$6,MIN(Reference!$A$11,MIN($U156,120))),Reference!$A$6:$A$11,1))))*(INDEX(Reference!$B$6:$B$11,MIN(5,MATCH(MAX(Reference!$A$6,MIN(Reference!$A$11,MIN($U156,120))),Reference!$A$6:$A$11,1))+1)-INDEX(Reference!$B$6:$B$11,MIN(5,MATCH(MAX(Reference!$A$6,MIN(Reference!$A$11,MIN($U156,120))),Reference!$A$6:$A$11,1))))/(INDEX(Reference!$A$6:$A$11,MIN(5,MATCH(MAX(Reference!$A$6,MIN(Reference!$A$11,MIN($U156,120))),Reference!$A$6:$A$11,1))+1)-INDEX(Reference!$A$6:$A$11,MIN(5,MATCH(MAX(Reference!$A$6,MIN(Reference!$A$11,MIN($U156,120))),Reference!$A$6:$A$11,1))))),0)+IF(3&lt;=$AL156,($AL156-3+3)*(INDEX(Reference!$B$6:$B$11,MIN(5,MATCH(MAX(Reference!$A$6,MIN(Reference!$A$11,MIN($U156,150))),Reference!$A$6:$A$11,1)))+(MAX(Reference!$A$6,MIN(Reference!$A$11,MIN($U156,150)))-INDEX(Reference!$A$6:$A$11,MIN(5,MATCH(MAX(Reference!$A$6,MIN(Reference!$A$11,MIN($U156,150))),Reference!$A$6:$A$11,1))))*(INDEX(Reference!$B$6:$B$11,MIN(5,MATCH(MAX(Reference!$A$6,MIN(Reference!$A$11,MIN($U156,150))),Reference!$A$6:$A$11,1))+1)-INDEX(Reference!$B$6:$B$11,MIN(5,MATCH(MAX(Reference!$A$6,MIN(Reference!$A$11,MIN($U156,150))),Reference!$A$6:$A$11,1))))/(INDEX(Reference!$A$6:$A$11,MIN(5,MATCH(MAX(Reference!$A$6,MIN(Reference!$A$11,MIN($U156,150))),Reference!$A$6:$A$11,1))+1)-INDEX(Reference!$A$6:$A$11,MIN(5,MATCH(MAX(Reference!$A$6,MIN(Reference!$A$11,MIN($U156,150))),Reference!$A$6:$A$11,1))))),0)+IF(4&lt;=$AL156,($AL156-4+3)*(INDEX(Reference!$B$6:$B$11,MIN(5,MATCH(MAX(Reference!$A$6,MIN(Reference!$A$11,MIN($U156,180))),Reference!$A$6:$A$11,1)))+(MAX(Reference!$A$6,MIN(Reference!$A$11,MIN($U156,180)))-INDEX(Reference!$A$6:$A$11,MIN(5,MATCH(MAX(Reference!$A$6,MIN(Reference!$A$11,MIN($U156,180))),Reference!$A$6:$A$11,1))))*(INDEX(Reference!$B$6:$B$11,MIN(5,MATCH(MAX(Reference!$A$6,MIN(Reference!$A$11,MIN($U156,180))),Reference!$A$6:$A$11,1))+1)-INDEX(Reference!$B$6:$B$11,MIN(5,MATCH(MAX(Reference!$A$6,MIN(Reference!$A$11,MIN($U156,180))),Reference!$A$6:$A$11,1))))/(INDEX(Reference!$A$6:$A$11,MIN(5,MATCH(MAX(Reference!$A$6,MIN(Reference!$A$11,MIN($U156,180))),Reference!$A$6:$A$11,1))+1)-INDEX(Reference!$A$6:$A$11,MIN(5,MATCH(MAX(Reference!$A$6,MIN(Reference!$A$11,MIN($U156,180))),Reference!$A$6:$A$11,1))))),0)+IF(5&lt;=$AL156,($AL156-5+3)*(INDEX(Reference!$B$6:$B$11,MIN(5,MATCH(MAX(Reference!$A$6,MIN(Reference!$A$11,MIN($U156,210))),Reference!$A$6:$A$11,1)))+(MAX(Reference!$A$6,MIN(Reference!$A$11,MIN($U156,210)))-INDEX(Reference!$A$6:$A$11,MIN(5,MATCH(MAX(Reference!$A$6,MIN(Reference!$A$11,MIN($U156,210))),Reference!$A$6:$A$11,1))))*(INDEX(Reference!$B$6:$B$11,MIN(5,MATCH(MAX(Reference!$A$6,MIN(Reference!$A$11,MIN($U156,210))),Reference!$A$6:$A$11,1))+1)-INDEX(Reference!$B$6:$B$11,MIN(5,MATCH(MAX(Reference!$A$6,MIN(Reference!$A$11,MIN($U156,210))),Reference!$A$6:$A$11,1))))/(INDEX(Reference!$A$6:$A$11,MIN(5,MATCH(MAX(Reference!$A$6,MIN(Reference!$A$11,MIN($U156,210))),Reference!$A$6:$A$11,1))+1)-INDEX(Reference!$A$6:$A$11,MIN(5,MATCH(MAX(Reference!$A$6,MIN(Reference!$A$11,MIN($U156,210))),Reference!$A$6:$A$11,1))))),0)+IF(6&lt;=$AL156,($AL156-6+3)*(INDEX(Reference!$B$6:$B$11,MIN(5,MATCH(MAX(Reference!$A$6,MIN(Reference!$A$11,MIN($U156,240))),Reference!$A$6:$A$11,1)))+(MAX(Reference!$A$6,MIN(Reference!$A$11,MIN($U156,240)))-INDEX(Reference!$A$6:$A$11,MIN(5,MATCH(MAX(Reference!$A$6,MIN(Reference!$A$11,MIN($U156,240))),Reference!$A$6:$A$11,1))))*(INDEX(Reference!$B$6:$B$11,MIN(5,MATCH(MAX(Reference!$A$6,MIN(Reference!$A$11,MIN($U156,240))),Reference!$A$6:$A$11,1))+1)-INDEX(Reference!$B$6:$B$11,MIN(5,MATCH(MAX(Reference!$A$6,MIN(Reference!$A$11,MIN($U156,240))),Reference!$A$6:$A$11,1))))/(INDEX(Reference!$A$6:$A$11,MIN(5,MATCH(MAX(Reference!$A$6,MIN(Reference!$A$11,MIN($U156,240))),Reference!$A$6:$A$11,1))+1)-INDEX(Reference!$A$6:$A$11,MIN(5,MATCH(MAX(Reference!$A$6,MIN(Reference!$A$11,MIN($U156,240))),Reference!$A$6:$A$11,1))))),0)+IF(7&lt;=$AL156,($AL156-7+3)*(INDEX(Reference!$B$6:$B$11,MIN(5,MATCH(MAX(Reference!$A$6,MIN(Reference!$A$11,MIN($U156,270))),Reference!$A$6:$A$11,1)))+(MAX(Reference!$A$6,MIN(Reference!$A$11,MIN($U156,270)))-INDEX(Reference!$A$6:$A$11,MIN(5,MATCH(MAX(Reference!$A$6,MIN(Reference!$A$11,MIN($U156,270))),Reference!$A$6:$A$11,1))))*(INDEX(Reference!$B$6:$B$11,MIN(5,MATCH(MAX(Reference!$A$6,MIN(Reference!$A$11,MIN($U156,270))),Reference!$A$6:$A$11,1))+1)-INDEX(Reference!$B$6:$B$11,MIN(5,MATCH(MAX(Reference!$A$6,MIN(Reference!$A$11,MIN($U156,270))),Reference!$A$6:$A$11,1))))/(INDEX(Reference!$A$6:$A$11,MIN(5,MATCH(MAX(Reference!$A$6,MIN(Reference!$A$11,MIN($U156,270))),Reference!$A$6:$A$11,1))+1)-INDEX(Reference!$A$6:$A$11,MIN(5,MATCH(MAX(Reference!$A$6,MIN(Reference!$A$11,MIN($U156,270))),Reference!$A$6:$A$11,1))))),0)+IF(8&lt;=$AL156,($AL156-8+3)*(INDEX(Reference!$B$6:$B$11,MIN(5,MATCH(MAX(Reference!$A$6,MIN(Reference!$A$11,MIN($U156,300))),Reference!$A$6:$A$11,1)))+(MAX(Reference!$A$6,MIN(Reference!$A$11,MIN($U156,300)))-INDEX(Reference!$A$6:$A$11,MIN(5,MATCH(MAX(Reference!$A$6,MIN(Reference!$A$11,MIN($U156,300))),Reference!$A$6:$A$11,1))))*(INDEX(Reference!$B$6:$B$11,MIN(5,MATCH(MAX(Reference!$A$6,MIN(Reference!$A$11,MIN($U156,300))),Reference!$A$6:$A$11,1))+1)-INDEX(Reference!$B$6:$B$11,MIN(5,MATCH(MAX(Reference!$A$6,MIN(Reference!$A$11,MIN($U156,300))),Reference!$A$6:$A$11,1))))/(INDEX(Reference!$A$6:$A$11,MIN(5,MATCH(MAX(Reference!$A$6,MIN(Reference!$A$11,MIN($U156,300))),Reference!$A$6:$A$11,1))+1)-INDEX(Reference!$A$6:$A$11,MIN(5,MATCH(MAX(Reference!$A$6,MIN(Reference!$A$11,MIN($U156,300))),Reference!$A$6:$A$11,1))))),0))/($AL156*($AL156+5)/2)),$AN156))</f>
        <v>0</v>
      </c>
      <c r="AN156" s="32">
        <f>IF($U156="",0,(INDEX(Reference!$B$6:$B$11,MIN(5,MATCH(MAX(Reference!$A$6,MIN(Reference!$A$11,$U156)),Reference!$A$6:$A$11,1)))+(MAX(Reference!$A$6,MIN(Reference!$A$11,$U156))-INDEX(Reference!$A$6:$A$11,MIN(5,MATCH(MAX(Reference!$A$6,MIN(Reference!$A$11,$U156)),Reference!$A$6:$A$11,1))))*(INDEX(Reference!$B$6:$B$11,MIN(5,MATCH(MAX(Reference!$A$6,MIN(Reference!$A$11,$U156)),Reference!$A$6:$A$11,1))+1)-INDEX(Reference!$B$6:$B$11,MIN(5,MATCH(MAX(Reference!$A$6,MIN(Reference!$A$11,$U156)),Reference!$A$6:$A$11,1))))/(INDEX(Reference!$A$6:$A$11,MIN(5,MATCH(MAX(Reference!$A$6,MIN(Reference!$A$11,$U156)),Reference!$A$6:$A$11,1))+1)-INDEX(Reference!$A$6:$A$11,MIN(5,MATCH(MAX(Reference!$A$6,MIN(Reference!$A$11,$U156)),Reference!$A$6:$A$11,1))))))</f>
        <v>0</v>
      </c>
      <c r="AO156" s="37"/>
      <c r="AP156" s="37"/>
      <c r="AQ156" s="37"/>
    </row>
    <row r="157" spans="1:43" x14ac:dyDescent="0.3">
      <c r="A157" s="48" t="str">
        <f t="shared" si="80"/>
        <v/>
      </c>
      <c r="B157" s="32" t="str">
        <f t="shared" si="81"/>
        <v/>
      </c>
      <c r="C157" s="32" t="str">
        <f t="shared" si="82"/>
        <v/>
      </c>
      <c r="D157" s="32" t="str">
        <f t="shared" si="83"/>
        <v/>
      </c>
      <c r="E157" s="32" t="str">
        <f t="shared" si="84"/>
        <v/>
      </c>
      <c r="F157" s="32" t="str">
        <f t="shared" si="85"/>
        <v/>
      </c>
      <c r="G157" s="47" t="str">
        <f t="shared" si="86"/>
        <v/>
      </c>
      <c r="H157" s="30" t="str">
        <f t="shared" si="87"/>
        <v/>
      </c>
      <c r="I157" s="46" t="str">
        <f>IF($A157="","",IF(AND($L157&lt;27,$K$12=0),"Building",IFERROR(((SUM($H$151:$H157)+$K$12*IF($L157&lt;6,SUMIFS('Throw Log'!$Q$5:$Q$300,'Throw Log'!$B$5:$B$300,$D$4,'Throw Log'!$A$5:$A$300,"&gt;="&amp;($D$6+$L157-6),'Throw Log'!$A$5:$A$300,"&lt;="&amp;($D$6-1)),0))/7)/((SUM($H$130:$H157)+$K$12*IF($L157&lt;27,SUMIFS('Throw Log'!$Q$5:$Q$300,'Throw Log'!$B$5:$B$300,$D$4,'Throw Log'!$A$5:$A$300,"&gt;="&amp;($D$6+$L157-27),'Throw Log'!$A$5:$A$300,"&lt;="&amp;($D$6-1)),0))/28),"")))</f>
        <v/>
      </c>
      <c r="J157" s="37"/>
      <c r="K157" s="37"/>
      <c r="L157" s="32">
        <v>114</v>
      </c>
      <c r="M157" s="32">
        <f t="shared" si="88"/>
        <v>17</v>
      </c>
      <c r="N157" s="32">
        <f t="shared" si="89"/>
        <v>2</v>
      </c>
      <c r="O157" s="32">
        <f t="shared" si="90"/>
        <v>1</v>
      </c>
      <c r="P157" s="32" t="str">
        <f>IF(OR($A157="",N($C157)&lt;=7),"",$G$6*$G$9^($M157-1)*IF(AND(MOD($M157,Reference!$B$99)=0,$M157&lt;=$G$5-2),Reference!$B$100,1))</f>
        <v/>
      </c>
      <c r="Q157" s="32" t="str">
        <f>IF($P157="","",IF(SUM($AK$155:$AK$161)=0,0,$P157*INDEX(Reference!$B$108:$B$114,$N157+1)/SUM($AK$155:$AK$161)))</f>
        <v/>
      </c>
      <c r="R157" s="32">
        <f t="shared" si="91"/>
        <v>180</v>
      </c>
      <c r="S157" s="32">
        <f t="shared" si="92"/>
        <v>150</v>
      </c>
      <c r="T157" s="32" t="str">
        <f>IF($A157="","",IF($C157=0,"Bullpen",IF(OR($C157=7,$C157=1,$C157=5),"Recovery/Easy Catch",IF($C157=6,"Compression/Pulldowns",IF(OR($C157=4,$C157=2),"Long Toss",IF($C157=3,"No Throw",IF($N157=2,"No Throw",IF($N157=6,IF($O157&lt;Reference!$B$104,"No Throw","Recovery/Easy Catch"),IF(OR($N157=0,$N157=4),"Recovery/Easy Catch",IF($N157=1,IF($R157&gt;75,"Long Toss","Recovery/Easy Catch"),IF($N157=3,IF($O157&lt;0.5,IF($S157&gt;75,"Long Toss","Recovery/Easy Catch"),"Compression/Pulldowns"),IF($S157&gt;75,"Long Toss","Recovery/Easy Catch"))))))))))))</f>
        <v/>
      </c>
      <c r="U157" s="32" t="str">
        <f t="shared" si="93"/>
        <v/>
      </c>
      <c r="V157" s="32" t="str">
        <f t="shared" si="94"/>
        <v/>
      </c>
      <c r="W157" s="32" t="str">
        <f t="shared" si="95"/>
        <v/>
      </c>
      <c r="X157" s="32">
        <f t="shared" si="96"/>
        <v>0</v>
      </c>
      <c r="Y157" s="32" t="str">
        <f t="shared" si="97"/>
        <v/>
      </c>
      <c r="Z157" s="32" t="str">
        <f t="shared" si="98"/>
        <v/>
      </c>
      <c r="AA157" s="32" t="str">
        <f t="shared" si="99"/>
        <v/>
      </c>
      <c r="AB157" s="32" t="str">
        <f>IF($A157="","",IF($T157="No Throw",0,IF($K157&lt;&gt;"",$K157,IF($AA157&lt;&gt;"",ROUND($AA157*$D$12*IF($C157=0,1,$G$10),0),MIN(IF($T157="Recovery/Easy Catch",Reference!$B$103,IF($T157="Long Toss",Reference!$B$106,Reference!$B$102)),MAX(Reference!$B$101,ROUND(MAX(0,$Q157-$AE157)/$AF157,0)))))))</f>
        <v/>
      </c>
      <c r="AC157" s="32">
        <f t="shared" si="100"/>
        <v>0</v>
      </c>
      <c r="AD157" s="32" t="b">
        <f t="shared" si="101"/>
        <v>1</v>
      </c>
      <c r="AE157" s="32">
        <f>IF($X157=0,0,$X157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157+$Z157)/2,0),Reference!$A$17:$B$20,2,TRUE()))</f>
        <v>0</v>
      </c>
      <c r="AF157" s="32">
        <f>IF(OR($A157="",$U157="",$T157="No Throw"),0,$AM157*VLOOKUP(MAX(($V157+$W157)/2,0),Reference!$A$17:$B$20,2,TRUE()))</f>
        <v>0</v>
      </c>
      <c r="AG157" s="32">
        <f>IF($AC157=0,0,$AC157*INDEX(Reference!$B$61:$B$62,MATCH("Bullpen",Reference!$A$61:$A$62,0))*VLOOKUP(MAX($D$5-($D$9+$E$9)/2,0),Reference!$A$17:$B$20,2,TRUE()))</f>
        <v>0</v>
      </c>
      <c r="AH157" s="32" t="e">
        <f t="shared" si="102"/>
        <v>#N/A</v>
      </c>
      <c r="AI157" s="32" t="e">
        <f>IF($A157="",NA(),Reference!$A$25)</f>
        <v>#N/A</v>
      </c>
      <c r="AJ157" s="32" t="e">
        <f t="shared" si="103"/>
        <v>#N/A</v>
      </c>
      <c r="AK157" s="32">
        <f>IF(OR($A157="",N($C157)&lt;=7,$T157="No Throw",$J157="x"),0,INDEX(Reference!$B$108:$B$114,$N157+1))</f>
        <v>0</v>
      </c>
      <c r="AL157" s="32">
        <f t="shared" si="104"/>
        <v>1</v>
      </c>
      <c r="AM157" s="32">
        <f>IF($U157="",0,IF($AL157&gt;1,((IF(1&lt;=$AL157,($AL157-1+3)*(INDEX(Reference!$B$6:$B$11,MIN(5,MATCH(MAX(Reference!$A$6,MIN(Reference!$A$11,MIN($U157,90))),Reference!$A$6:$A$11,1)))+(MAX(Reference!$A$6,MIN(Reference!$A$11,MIN($U157,90)))-INDEX(Reference!$A$6:$A$11,MIN(5,MATCH(MAX(Reference!$A$6,MIN(Reference!$A$11,MIN($U157,90))),Reference!$A$6:$A$11,1))))*(INDEX(Reference!$B$6:$B$11,MIN(5,MATCH(MAX(Reference!$A$6,MIN(Reference!$A$11,MIN($U157,90))),Reference!$A$6:$A$11,1))+1)-INDEX(Reference!$B$6:$B$11,MIN(5,MATCH(MAX(Reference!$A$6,MIN(Reference!$A$11,MIN($U157,90))),Reference!$A$6:$A$11,1))))/(INDEX(Reference!$A$6:$A$11,MIN(5,MATCH(MAX(Reference!$A$6,MIN(Reference!$A$11,MIN($U157,90))),Reference!$A$6:$A$11,1))+1)-INDEX(Reference!$A$6:$A$11,MIN(5,MATCH(MAX(Reference!$A$6,MIN(Reference!$A$11,MIN($U157,90))),Reference!$A$6:$A$11,1))))),0)+IF(2&lt;=$AL157,($AL157-2+3)*(INDEX(Reference!$B$6:$B$11,MIN(5,MATCH(MAX(Reference!$A$6,MIN(Reference!$A$11,MIN($U157,120))),Reference!$A$6:$A$11,1)))+(MAX(Reference!$A$6,MIN(Reference!$A$11,MIN($U157,120)))-INDEX(Reference!$A$6:$A$11,MIN(5,MATCH(MAX(Reference!$A$6,MIN(Reference!$A$11,MIN($U157,120))),Reference!$A$6:$A$11,1))))*(INDEX(Reference!$B$6:$B$11,MIN(5,MATCH(MAX(Reference!$A$6,MIN(Reference!$A$11,MIN($U157,120))),Reference!$A$6:$A$11,1))+1)-INDEX(Reference!$B$6:$B$11,MIN(5,MATCH(MAX(Reference!$A$6,MIN(Reference!$A$11,MIN($U157,120))),Reference!$A$6:$A$11,1))))/(INDEX(Reference!$A$6:$A$11,MIN(5,MATCH(MAX(Reference!$A$6,MIN(Reference!$A$11,MIN($U157,120))),Reference!$A$6:$A$11,1))+1)-INDEX(Reference!$A$6:$A$11,MIN(5,MATCH(MAX(Reference!$A$6,MIN(Reference!$A$11,MIN($U157,120))),Reference!$A$6:$A$11,1))))),0)+IF(3&lt;=$AL157,($AL157-3+3)*(INDEX(Reference!$B$6:$B$11,MIN(5,MATCH(MAX(Reference!$A$6,MIN(Reference!$A$11,MIN($U157,150))),Reference!$A$6:$A$11,1)))+(MAX(Reference!$A$6,MIN(Reference!$A$11,MIN($U157,150)))-INDEX(Reference!$A$6:$A$11,MIN(5,MATCH(MAX(Reference!$A$6,MIN(Reference!$A$11,MIN($U157,150))),Reference!$A$6:$A$11,1))))*(INDEX(Reference!$B$6:$B$11,MIN(5,MATCH(MAX(Reference!$A$6,MIN(Reference!$A$11,MIN($U157,150))),Reference!$A$6:$A$11,1))+1)-INDEX(Reference!$B$6:$B$11,MIN(5,MATCH(MAX(Reference!$A$6,MIN(Reference!$A$11,MIN($U157,150))),Reference!$A$6:$A$11,1))))/(INDEX(Reference!$A$6:$A$11,MIN(5,MATCH(MAX(Reference!$A$6,MIN(Reference!$A$11,MIN($U157,150))),Reference!$A$6:$A$11,1))+1)-INDEX(Reference!$A$6:$A$11,MIN(5,MATCH(MAX(Reference!$A$6,MIN(Reference!$A$11,MIN($U157,150))),Reference!$A$6:$A$11,1))))),0)+IF(4&lt;=$AL157,($AL157-4+3)*(INDEX(Reference!$B$6:$B$11,MIN(5,MATCH(MAX(Reference!$A$6,MIN(Reference!$A$11,MIN($U157,180))),Reference!$A$6:$A$11,1)))+(MAX(Reference!$A$6,MIN(Reference!$A$11,MIN($U157,180)))-INDEX(Reference!$A$6:$A$11,MIN(5,MATCH(MAX(Reference!$A$6,MIN(Reference!$A$11,MIN($U157,180))),Reference!$A$6:$A$11,1))))*(INDEX(Reference!$B$6:$B$11,MIN(5,MATCH(MAX(Reference!$A$6,MIN(Reference!$A$11,MIN($U157,180))),Reference!$A$6:$A$11,1))+1)-INDEX(Reference!$B$6:$B$11,MIN(5,MATCH(MAX(Reference!$A$6,MIN(Reference!$A$11,MIN($U157,180))),Reference!$A$6:$A$11,1))))/(INDEX(Reference!$A$6:$A$11,MIN(5,MATCH(MAX(Reference!$A$6,MIN(Reference!$A$11,MIN($U157,180))),Reference!$A$6:$A$11,1))+1)-INDEX(Reference!$A$6:$A$11,MIN(5,MATCH(MAX(Reference!$A$6,MIN(Reference!$A$11,MIN($U157,180))),Reference!$A$6:$A$11,1))))),0)+IF(5&lt;=$AL157,($AL157-5+3)*(INDEX(Reference!$B$6:$B$11,MIN(5,MATCH(MAX(Reference!$A$6,MIN(Reference!$A$11,MIN($U157,210))),Reference!$A$6:$A$11,1)))+(MAX(Reference!$A$6,MIN(Reference!$A$11,MIN($U157,210)))-INDEX(Reference!$A$6:$A$11,MIN(5,MATCH(MAX(Reference!$A$6,MIN(Reference!$A$11,MIN($U157,210))),Reference!$A$6:$A$11,1))))*(INDEX(Reference!$B$6:$B$11,MIN(5,MATCH(MAX(Reference!$A$6,MIN(Reference!$A$11,MIN($U157,210))),Reference!$A$6:$A$11,1))+1)-INDEX(Reference!$B$6:$B$11,MIN(5,MATCH(MAX(Reference!$A$6,MIN(Reference!$A$11,MIN($U157,210))),Reference!$A$6:$A$11,1))))/(INDEX(Reference!$A$6:$A$11,MIN(5,MATCH(MAX(Reference!$A$6,MIN(Reference!$A$11,MIN($U157,210))),Reference!$A$6:$A$11,1))+1)-INDEX(Reference!$A$6:$A$11,MIN(5,MATCH(MAX(Reference!$A$6,MIN(Reference!$A$11,MIN($U157,210))),Reference!$A$6:$A$11,1))))),0)+IF(6&lt;=$AL157,($AL157-6+3)*(INDEX(Reference!$B$6:$B$11,MIN(5,MATCH(MAX(Reference!$A$6,MIN(Reference!$A$11,MIN($U157,240))),Reference!$A$6:$A$11,1)))+(MAX(Reference!$A$6,MIN(Reference!$A$11,MIN($U157,240)))-INDEX(Reference!$A$6:$A$11,MIN(5,MATCH(MAX(Reference!$A$6,MIN(Reference!$A$11,MIN($U157,240))),Reference!$A$6:$A$11,1))))*(INDEX(Reference!$B$6:$B$11,MIN(5,MATCH(MAX(Reference!$A$6,MIN(Reference!$A$11,MIN($U157,240))),Reference!$A$6:$A$11,1))+1)-INDEX(Reference!$B$6:$B$11,MIN(5,MATCH(MAX(Reference!$A$6,MIN(Reference!$A$11,MIN($U157,240))),Reference!$A$6:$A$11,1))))/(INDEX(Reference!$A$6:$A$11,MIN(5,MATCH(MAX(Reference!$A$6,MIN(Reference!$A$11,MIN($U157,240))),Reference!$A$6:$A$11,1))+1)-INDEX(Reference!$A$6:$A$11,MIN(5,MATCH(MAX(Reference!$A$6,MIN(Reference!$A$11,MIN($U157,240))),Reference!$A$6:$A$11,1))))),0)+IF(7&lt;=$AL157,($AL157-7+3)*(INDEX(Reference!$B$6:$B$11,MIN(5,MATCH(MAX(Reference!$A$6,MIN(Reference!$A$11,MIN($U157,270))),Reference!$A$6:$A$11,1)))+(MAX(Reference!$A$6,MIN(Reference!$A$11,MIN($U157,270)))-INDEX(Reference!$A$6:$A$11,MIN(5,MATCH(MAX(Reference!$A$6,MIN(Reference!$A$11,MIN($U157,270))),Reference!$A$6:$A$11,1))))*(INDEX(Reference!$B$6:$B$11,MIN(5,MATCH(MAX(Reference!$A$6,MIN(Reference!$A$11,MIN($U157,270))),Reference!$A$6:$A$11,1))+1)-INDEX(Reference!$B$6:$B$11,MIN(5,MATCH(MAX(Reference!$A$6,MIN(Reference!$A$11,MIN($U157,270))),Reference!$A$6:$A$11,1))))/(INDEX(Reference!$A$6:$A$11,MIN(5,MATCH(MAX(Reference!$A$6,MIN(Reference!$A$11,MIN($U157,270))),Reference!$A$6:$A$11,1))+1)-INDEX(Reference!$A$6:$A$11,MIN(5,MATCH(MAX(Reference!$A$6,MIN(Reference!$A$11,MIN($U157,270))),Reference!$A$6:$A$11,1))))),0)+IF(8&lt;=$AL157,($AL157-8+3)*(INDEX(Reference!$B$6:$B$11,MIN(5,MATCH(MAX(Reference!$A$6,MIN(Reference!$A$11,MIN($U157,300))),Reference!$A$6:$A$11,1)))+(MAX(Reference!$A$6,MIN(Reference!$A$11,MIN($U157,300)))-INDEX(Reference!$A$6:$A$11,MIN(5,MATCH(MAX(Reference!$A$6,MIN(Reference!$A$11,MIN($U157,300))),Reference!$A$6:$A$11,1))))*(INDEX(Reference!$B$6:$B$11,MIN(5,MATCH(MAX(Reference!$A$6,MIN(Reference!$A$11,MIN($U157,300))),Reference!$A$6:$A$11,1))+1)-INDEX(Reference!$B$6:$B$11,MIN(5,MATCH(MAX(Reference!$A$6,MIN(Reference!$A$11,MIN($U157,300))),Reference!$A$6:$A$11,1))))/(INDEX(Reference!$A$6:$A$11,MIN(5,MATCH(MAX(Reference!$A$6,MIN(Reference!$A$11,MIN($U157,300))),Reference!$A$6:$A$11,1))+1)-INDEX(Reference!$A$6:$A$11,MIN(5,MATCH(MAX(Reference!$A$6,MIN(Reference!$A$11,MIN($U157,300))),Reference!$A$6:$A$11,1))))),0))/($AL157*($AL157+5)/2)),$AN157))</f>
        <v>0</v>
      </c>
      <c r="AN157" s="32">
        <f>IF($U157="",0,(INDEX(Reference!$B$6:$B$11,MIN(5,MATCH(MAX(Reference!$A$6,MIN(Reference!$A$11,$U157)),Reference!$A$6:$A$11,1)))+(MAX(Reference!$A$6,MIN(Reference!$A$11,$U157))-INDEX(Reference!$A$6:$A$11,MIN(5,MATCH(MAX(Reference!$A$6,MIN(Reference!$A$11,$U157)),Reference!$A$6:$A$11,1))))*(INDEX(Reference!$B$6:$B$11,MIN(5,MATCH(MAX(Reference!$A$6,MIN(Reference!$A$11,$U157)),Reference!$A$6:$A$11,1))+1)-INDEX(Reference!$B$6:$B$11,MIN(5,MATCH(MAX(Reference!$A$6,MIN(Reference!$A$11,$U157)),Reference!$A$6:$A$11,1))))/(INDEX(Reference!$A$6:$A$11,MIN(5,MATCH(MAX(Reference!$A$6,MIN(Reference!$A$11,$U157)),Reference!$A$6:$A$11,1))+1)-INDEX(Reference!$A$6:$A$11,MIN(5,MATCH(MAX(Reference!$A$6,MIN(Reference!$A$11,$U157)),Reference!$A$6:$A$11,1))))))</f>
        <v>0</v>
      </c>
      <c r="AO157" s="37"/>
      <c r="AP157" s="37"/>
      <c r="AQ157" s="37"/>
    </row>
    <row r="158" spans="1:43" x14ac:dyDescent="0.3">
      <c r="A158" s="48" t="str">
        <f t="shared" si="80"/>
        <v/>
      </c>
      <c r="B158" s="32" t="str">
        <f t="shared" si="81"/>
        <v/>
      </c>
      <c r="C158" s="32" t="str">
        <f t="shared" si="82"/>
        <v/>
      </c>
      <c r="D158" s="32" t="str">
        <f t="shared" si="83"/>
        <v/>
      </c>
      <c r="E158" s="32" t="str">
        <f t="shared" si="84"/>
        <v/>
      </c>
      <c r="F158" s="32" t="str">
        <f t="shared" si="85"/>
        <v/>
      </c>
      <c r="G158" s="47" t="str">
        <f t="shared" si="86"/>
        <v/>
      </c>
      <c r="H158" s="30" t="str">
        <f t="shared" si="87"/>
        <v/>
      </c>
      <c r="I158" s="46" t="str">
        <f>IF($A158="","",IF(AND($L158&lt;27,$K$12=0),"Building",IFERROR(((SUM($H$152:$H158)+$K$12*IF($L158&lt;6,SUMIFS('Throw Log'!$Q$5:$Q$300,'Throw Log'!$B$5:$B$300,$D$4,'Throw Log'!$A$5:$A$300,"&gt;="&amp;($D$6+$L158-6),'Throw Log'!$A$5:$A$300,"&lt;="&amp;($D$6-1)),0))/7)/((SUM($H$131:$H158)+$K$12*IF($L158&lt;27,SUMIFS('Throw Log'!$Q$5:$Q$300,'Throw Log'!$B$5:$B$300,$D$4,'Throw Log'!$A$5:$A$300,"&gt;="&amp;($D$6+$L158-27),'Throw Log'!$A$5:$A$300,"&lt;="&amp;($D$6-1)),0))/28),"")))</f>
        <v/>
      </c>
      <c r="J158" s="37"/>
      <c r="K158" s="37"/>
      <c r="L158" s="32">
        <v>115</v>
      </c>
      <c r="M158" s="32">
        <f t="shared" si="88"/>
        <v>17</v>
      </c>
      <c r="N158" s="32">
        <f t="shared" si="89"/>
        <v>3</v>
      </c>
      <c r="O158" s="32">
        <f t="shared" si="90"/>
        <v>1</v>
      </c>
      <c r="P158" s="32" t="str">
        <f>IF(OR($A158="",N($C158)&lt;=7),"",$G$6*$G$9^($M158-1)*IF(AND(MOD($M158,Reference!$B$99)=0,$M158&lt;=$G$5-2),Reference!$B$100,1))</f>
        <v/>
      </c>
      <c r="Q158" s="32" t="str">
        <f>IF($P158="","",IF(SUM($AK$155:$AK$161)=0,0,$P158*INDEX(Reference!$B$108:$B$114,$N158+1)/SUM($AK$155:$AK$161)))</f>
        <v/>
      </c>
      <c r="R158" s="32">
        <f t="shared" si="91"/>
        <v>180</v>
      </c>
      <c r="S158" s="32">
        <f t="shared" si="92"/>
        <v>150</v>
      </c>
      <c r="T158" s="32" t="str">
        <f>IF($A158="","",IF($C158=0,"Bullpen",IF(OR($C158=7,$C158=1,$C158=5),"Recovery/Easy Catch",IF($C158=6,"Compression/Pulldowns",IF(OR($C158=4,$C158=2),"Long Toss",IF($C158=3,"No Throw",IF($N158=2,"No Throw",IF($N158=6,IF($O158&lt;Reference!$B$104,"No Throw","Recovery/Easy Catch"),IF(OR($N158=0,$N158=4),"Recovery/Easy Catch",IF($N158=1,IF($R158&gt;75,"Long Toss","Recovery/Easy Catch"),IF($N158=3,IF($O158&lt;0.5,IF($S158&gt;75,"Long Toss","Recovery/Easy Catch"),"Compression/Pulldowns"),IF($S158&gt;75,"Long Toss","Recovery/Easy Catch"))))))))))))</f>
        <v/>
      </c>
      <c r="U158" s="32" t="str">
        <f t="shared" si="93"/>
        <v/>
      </c>
      <c r="V158" s="32" t="str">
        <f t="shared" si="94"/>
        <v/>
      </c>
      <c r="W158" s="32" t="str">
        <f t="shared" si="95"/>
        <v/>
      </c>
      <c r="X158" s="32">
        <f t="shared" si="96"/>
        <v>0</v>
      </c>
      <c r="Y158" s="32" t="str">
        <f t="shared" si="97"/>
        <v/>
      </c>
      <c r="Z158" s="32" t="str">
        <f t="shared" si="98"/>
        <v/>
      </c>
      <c r="AA158" s="32" t="str">
        <f t="shared" si="99"/>
        <v/>
      </c>
      <c r="AB158" s="32" t="str">
        <f>IF($A158="","",IF($T158="No Throw",0,IF($K158&lt;&gt;"",$K158,IF($AA158&lt;&gt;"",ROUND($AA158*$D$12*IF($C158=0,1,$G$10),0),MIN(IF($T158="Recovery/Easy Catch",Reference!$B$103,IF($T158="Long Toss",Reference!$B$106,Reference!$B$102)),MAX(Reference!$B$101,ROUND(MAX(0,$Q158-$AE158)/$AF158,0)))))))</f>
        <v/>
      </c>
      <c r="AC158" s="32">
        <f t="shared" si="100"/>
        <v>0</v>
      </c>
      <c r="AD158" s="32" t="b">
        <f t="shared" si="101"/>
        <v>1</v>
      </c>
      <c r="AE158" s="32">
        <f>IF($X158=0,0,$X158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158+$Z158)/2,0),Reference!$A$17:$B$20,2,TRUE()))</f>
        <v>0</v>
      </c>
      <c r="AF158" s="32">
        <f>IF(OR($A158="",$U158="",$T158="No Throw"),0,$AM158*VLOOKUP(MAX(($V158+$W158)/2,0),Reference!$A$17:$B$20,2,TRUE()))</f>
        <v>0</v>
      </c>
      <c r="AG158" s="32">
        <f>IF($AC158=0,0,$AC158*INDEX(Reference!$B$61:$B$62,MATCH("Bullpen",Reference!$A$61:$A$62,0))*VLOOKUP(MAX($D$5-($D$9+$E$9)/2,0),Reference!$A$17:$B$20,2,TRUE()))</f>
        <v>0</v>
      </c>
      <c r="AH158" s="32" t="e">
        <f t="shared" si="102"/>
        <v>#N/A</v>
      </c>
      <c r="AI158" s="32" t="e">
        <f>IF($A158="",NA(),Reference!$A$25)</f>
        <v>#N/A</v>
      </c>
      <c r="AJ158" s="32" t="e">
        <f t="shared" si="103"/>
        <v>#N/A</v>
      </c>
      <c r="AK158" s="32">
        <f>IF(OR($A158="",N($C158)&lt;=7,$T158="No Throw",$J158="x"),0,INDEX(Reference!$B$108:$B$114,$N158+1))</f>
        <v>0</v>
      </c>
      <c r="AL158" s="32">
        <f t="shared" si="104"/>
        <v>1</v>
      </c>
      <c r="AM158" s="32">
        <f>IF($U158="",0,IF($AL158&gt;1,((IF(1&lt;=$AL158,($AL158-1+3)*(INDEX(Reference!$B$6:$B$11,MIN(5,MATCH(MAX(Reference!$A$6,MIN(Reference!$A$11,MIN($U158,90))),Reference!$A$6:$A$11,1)))+(MAX(Reference!$A$6,MIN(Reference!$A$11,MIN($U158,90)))-INDEX(Reference!$A$6:$A$11,MIN(5,MATCH(MAX(Reference!$A$6,MIN(Reference!$A$11,MIN($U158,90))),Reference!$A$6:$A$11,1))))*(INDEX(Reference!$B$6:$B$11,MIN(5,MATCH(MAX(Reference!$A$6,MIN(Reference!$A$11,MIN($U158,90))),Reference!$A$6:$A$11,1))+1)-INDEX(Reference!$B$6:$B$11,MIN(5,MATCH(MAX(Reference!$A$6,MIN(Reference!$A$11,MIN($U158,90))),Reference!$A$6:$A$11,1))))/(INDEX(Reference!$A$6:$A$11,MIN(5,MATCH(MAX(Reference!$A$6,MIN(Reference!$A$11,MIN($U158,90))),Reference!$A$6:$A$11,1))+1)-INDEX(Reference!$A$6:$A$11,MIN(5,MATCH(MAX(Reference!$A$6,MIN(Reference!$A$11,MIN($U158,90))),Reference!$A$6:$A$11,1))))),0)+IF(2&lt;=$AL158,($AL158-2+3)*(INDEX(Reference!$B$6:$B$11,MIN(5,MATCH(MAX(Reference!$A$6,MIN(Reference!$A$11,MIN($U158,120))),Reference!$A$6:$A$11,1)))+(MAX(Reference!$A$6,MIN(Reference!$A$11,MIN($U158,120)))-INDEX(Reference!$A$6:$A$11,MIN(5,MATCH(MAX(Reference!$A$6,MIN(Reference!$A$11,MIN($U158,120))),Reference!$A$6:$A$11,1))))*(INDEX(Reference!$B$6:$B$11,MIN(5,MATCH(MAX(Reference!$A$6,MIN(Reference!$A$11,MIN($U158,120))),Reference!$A$6:$A$11,1))+1)-INDEX(Reference!$B$6:$B$11,MIN(5,MATCH(MAX(Reference!$A$6,MIN(Reference!$A$11,MIN($U158,120))),Reference!$A$6:$A$11,1))))/(INDEX(Reference!$A$6:$A$11,MIN(5,MATCH(MAX(Reference!$A$6,MIN(Reference!$A$11,MIN($U158,120))),Reference!$A$6:$A$11,1))+1)-INDEX(Reference!$A$6:$A$11,MIN(5,MATCH(MAX(Reference!$A$6,MIN(Reference!$A$11,MIN($U158,120))),Reference!$A$6:$A$11,1))))),0)+IF(3&lt;=$AL158,($AL158-3+3)*(INDEX(Reference!$B$6:$B$11,MIN(5,MATCH(MAX(Reference!$A$6,MIN(Reference!$A$11,MIN($U158,150))),Reference!$A$6:$A$11,1)))+(MAX(Reference!$A$6,MIN(Reference!$A$11,MIN($U158,150)))-INDEX(Reference!$A$6:$A$11,MIN(5,MATCH(MAX(Reference!$A$6,MIN(Reference!$A$11,MIN($U158,150))),Reference!$A$6:$A$11,1))))*(INDEX(Reference!$B$6:$B$11,MIN(5,MATCH(MAX(Reference!$A$6,MIN(Reference!$A$11,MIN($U158,150))),Reference!$A$6:$A$11,1))+1)-INDEX(Reference!$B$6:$B$11,MIN(5,MATCH(MAX(Reference!$A$6,MIN(Reference!$A$11,MIN($U158,150))),Reference!$A$6:$A$11,1))))/(INDEX(Reference!$A$6:$A$11,MIN(5,MATCH(MAX(Reference!$A$6,MIN(Reference!$A$11,MIN($U158,150))),Reference!$A$6:$A$11,1))+1)-INDEX(Reference!$A$6:$A$11,MIN(5,MATCH(MAX(Reference!$A$6,MIN(Reference!$A$11,MIN($U158,150))),Reference!$A$6:$A$11,1))))),0)+IF(4&lt;=$AL158,($AL158-4+3)*(INDEX(Reference!$B$6:$B$11,MIN(5,MATCH(MAX(Reference!$A$6,MIN(Reference!$A$11,MIN($U158,180))),Reference!$A$6:$A$11,1)))+(MAX(Reference!$A$6,MIN(Reference!$A$11,MIN($U158,180)))-INDEX(Reference!$A$6:$A$11,MIN(5,MATCH(MAX(Reference!$A$6,MIN(Reference!$A$11,MIN($U158,180))),Reference!$A$6:$A$11,1))))*(INDEX(Reference!$B$6:$B$11,MIN(5,MATCH(MAX(Reference!$A$6,MIN(Reference!$A$11,MIN($U158,180))),Reference!$A$6:$A$11,1))+1)-INDEX(Reference!$B$6:$B$11,MIN(5,MATCH(MAX(Reference!$A$6,MIN(Reference!$A$11,MIN($U158,180))),Reference!$A$6:$A$11,1))))/(INDEX(Reference!$A$6:$A$11,MIN(5,MATCH(MAX(Reference!$A$6,MIN(Reference!$A$11,MIN($U158,180))),Reference!$A$6:$A$11,1))+1)-INDEX(Reference!$A$6:$A$11,MIN(5,MATCH(MAX(Reference!$A$6,MIN(Reference!$A$11,MIN($U158,180))),Reference!$A$6:$A$11,1))))),0)+IF(5&lt;=$AL158,($AL158-5+3)*(INDEX(Reference!$B$6:$B$11,MIN(5,MATCH(MAX(Reference!$A$6,MIN(Reference!$A$11,MIN($U158,210))),Reference!$A$6:$A$11,1)))+(MAX(Reference!$A$6,MIN(Reference!$A$11,MIN($U158,210)))-INDEX(Reference!$A$6:$A$11,MIN(5,MATCH(MAX(Reference!$A$6,MIN(Reference!$A$11,MIN($U158,210))),Reference!$A$6:$A$11,1))))*(INDEX(Reference!$B$6:$B$11,MIN(5,MATCH(MAX(Reference!$A$6,MIN(Reference!$A$11,MIN($U158,210))),Reference!$A$6:$A$11,1))+1)-INDEX(Reference!$B$6:$B$11,MIN(5,MATCH(MAX(Reference!$A$6,MIN(Reference!$A$11,MIN($U158,210))),Reference!$A$6:$A$11,1))))/(INDEX(Reference!$A$6:$A$11,MIN(5,MATCH(MAX(Reference!$A$6,MIN(Reference!$A$11,MIN($U158,210))),Reference!$A$6:$A$11,1))+1)-INDEX(Reference!$A$6:$A$11,MIN(5,MATCH(MAX(Reference!$A$6,MIN(Reference!$A$11,MIN($U158,210))),Reference!$A$6:$A$11,1))))),0)+IF(6&lt;=$AL158,($AL158-6+3)*(INDEX(Reference!$B$6:$B$11,MIN(5,MATCH(MAX(Reference!$A$6,MIN(Reference!$A$11,MIN($U158,240))),Reference!$A$6:$A$11,1)))+(MAX(Reference!$A$6,MIN(Reference!$A$11,MIN($U158,240)))-INDEX(Reference!$A$6:$A$11,MIN(5,MATCH(MAX(Reference!$A$6,MIN(Reference!$A$11,MIN($U158,240))),Reference!$A$6:$A$11,1))))*(INDEX(Reference!$B$6:$B$11,MIN(5,MATCH(MAX(Reference!$A$6,MIN(Reference!$A$11,MIN($U158,240))),Reference!$A$6:$A$11,1))+1)-INDEX(Reference!$B$6:$B$11,MIN(5,MATCH(MAX(Reference!$A$6,MIN(Reference!$A$11,MIN($U158,240))),Reference!$A$6:$A$11,1))))/(INDEX(Reference!$A$6:$A$11,MIN(5,MATCH(MAX(Reference!$A$6,MIN(Reference!$A$11,MIN($U158,240))),Reference!$A$6:$A$11,1))+1)-INDEX(Reference!$A$6:$A$11,MIN(5,MATCH(MAX(Reference!$A$6,MIN(Reference!$A$11,MIN($U158,240))),Reference!$A$6:$A$11,1))))),0)+IF(7&lt;=$AL158,($AL158-7+3)*(INDEX(Reference!$B$6:$B$11,MIN(5,MATCH(MAX(Reference!$A$6,MIN(Reference!$A$11,MIN($U158,270))),Reference!$A$6:$A$11,1)))+(MAX(Reference!$A$6,MIN(Reference!$A$11,MIN($U158,270)))-INDEX(Reference!$A$6:$A$11,MIN(5,MATCH(MAX(Reference!$A$6,MIN(Reference!$A$11,MIN($U158,270))),Reference!$A$6:$A$11,1))))*(INDEX(Reference!$B$6:$B$11,MIN(5,MATCH(MAX(Reference!$A$6,MIN(Reference!$A$11,MIN($U158,270))),Reference!$A$6:$A$11,1))+1)-INDEX(Reference!$B$6:$B$11,MIN(5,MATCH(MAX(Reference!$A$6,MIN(Reference!$A$11,MIN($U158,270))),Reference!$A$6:$A$11,1))))/(INDEX(Reference!$A$6:$A$11,MIN(5,MATCH(MAX(Reference!$A$6,MIN(Reference!$A$11,MIN($U158,270))),Reference!$A$6:$A$11,1))+1)-INDEX(Reference!$A$6:$A$11,MIN(5,MATCH(MAX(Reference!$A$6,MIN(Reference!$A$11,MIN($U158,270))),Reference!$A$6:$A$11,1))))),0)+IF(8&lt;=$AL158,($AL158-8+3)*(INDEX(Reference!$B$6:$B$11,MIN(5,MATCH(MAX(Reference!$A$6,MIN(Reference!$A$11,MIN($U158,300))),Reference!$A$6:$A$11,1)))+(MAX(Reference!$A$6,MIN(Reference!$A$11,MIN($U158,300)))-INDEX(Reference!$A$6:$A$11,MIN(5,MATCH(MAX(Reference!$A$6,MIN(Reference!$A$11,MIN($U158,300))),Reference!$A$6:$A$11,1))))*(INDEX(Reference!$B$6:$B$11,MIN(5,MATCH(MAX(Reference!$A$6,MIN(Reference!$A$11,MIN($U158,300))),Reference!$A$6:$A$11,1))+1)-INDEX(Reference!$B$6:$B$11,MIN(5,MATCH(MAX(Reference!$A$6,MIN(Reference!$A$11,MIN($U158,300))),Reference!$A$6:$A$11,1))))/(INDEX(Reference!$A$6:$A$11,MIN(5,MATCH(MAX(Reference!$A$6,MIN(Reference!$A$11,MIN($U158,300))),Reference!$A$6:$A$11,1))+1)-INDEX(Reference!$A$6:$A$11,MIN(5,MATCH(MAX(Reference!$A$6,MIN(Reference!$A$11,MIN($U158,300))),Reference!$A$6:$A$11,1))))),0))/($AL158*($AL158+5)/2)),$AN158))</f>
        <v>0</v>
      </c>
      <c r="AN158" s="32">
        <f>IF($U158="",0,(INDEX(Reference!$B$6:$B$11,MIN(5,MATCH(MAX(Reference!$A$6,MIN(Reference!$A$11,$U158)),Reference!$A$6:$A$11,1)))+(MAX(Reference!$A$6,MIN(Reference!$A$11,$U158))-INDEX(Reference!$A$6:$A$11,MIN(5,MATCH(MAX(Reference!$A$6,MIN(Reference!$A$11,$U158)),Reference!$A$6:$A$11,1))))*(INDEX(Reference!$B$6:$B$11,MIN(5,MATCH(MAX(Reference!$A$6,MIN(Reference!$A$11,$U158)),Reference!$A$6:$A$11,1))+1)-INDEX(Reference!$B$6:$B$11,MIN(5,MATCH(MAX(Reference!$A$6,MIN(Reference!$A$11,$U158)),Reference!$A$6:$A$11,1))))/(INDEX(Reference!$A$6:$A$11,MIN(5,MATCH(MAX(Reference!$A$6,MIN(Reference!$A$11,$U158)),Reference!$A$6:$A$11,1))+1)-INDEX(Reference!$A$6:$A$11,MIN(5,MATCH(MAX(Reference!$A$6,MIN(Reference!$A$11,$U158)),Reference!$A$6:$A$11,1))))))</f>
        <v>0</v>
      </c>
      <c r="AO158" s="37"/>
      <c r="AP158" s="37"/>
      <c r="AQ158" s="37"/>
    </row>
    <row r="159" spans="1:43" x14ac:dyDescent="0.3">
      <c r="A159" s="48" t="str">
        <f t="shared" si="80"/>
        <v/>
      </c>
      <c r="B159" s="32" t="str">
        <f t="shared" si="81"/>
        <v/>
      </c>
      <c r="C159" s="32" t="str">
        <f t="shared" si="82"/>
        <v/>
      </c>
      <c r="D159" s="32" t="str">
        <f t="shared" si="83"/>
        <v/>
      </c>
      <c r="E159" s="32" t="str">
        <f t="shared" si="84"/>
        <v/>
      </c>
      <c r="F159" s="32" t="str">
        <f t="shared" si="85"/>
        <v/>
      </c>
      <c r="G159" s="47" t="str">
        <f t="shared" si="86"/>
        <v/>
      </c>
      <c r="H159" s="30" t="str">
        <f t="shared" si="87"/>
        <v/>
      </c>
      <c r="I159" s="46" t="str">
        <f>IF($A159="","",IF(AND($L159&lt;27,$K$12=0),"Building",IFERROR(((SUM($H$153:$H159)+$K$12*IF($L159&lt;6,SUMIFS('Throw Log'!$Q$5:$Q$300,'Throw Log'!$B$5:$B$300,$D$4,'Throw Log'!$A$5:$A$300,"&gt;="&amp;($D$6+$L159-6),'Throw Log'!$A$5:$A$300,"&lt;="&amp;($D$6-1)),0))/7)/((SUM($H$132:$H159)+$K$12*IF($L159&lt;27,SUMIFS('Throw Log'!$Q$5:$Q$300,'Throw Log'!$B$5:$B$300,$D$4,'Throw Log'!$A$5:$A$300,"&gt;="&amp;($D$6+$L159-27),'Throw Log'!$A$5:$A$300,"&lt;="&amp;($D$6-1)),0))/28),"")))</f>
        <v/>
      </c>
      <c r="J159" s="37"/>
      <c r="K159" s="37"/>
      <c r="L159" s="32">
        <v>116</v>
      </c>
      <c r="M159" s="32">
        <f t="shared" si="88"/>
        <v>17</v>
      </c>
      <c r="N159" s="32">
        <f t="shared" si="89"/>
        <v>4</v>
      </c>
      <c r="O159" s="32">
        <f t="shared" si="90"/>
        <v>1</v>
      </c>
      <c r="P159" s="32" t="str">
        <f>IF(OR($A159="",N($C159)&lt;=7),"",$G$6*$G$9^($M159-1)*IF(AND(MOD($M159,Reference!$B$99)=0,$M159&lt;=$G$5-2),Reference!$B$100,1))</f>
        <v/>
      </c>
      <c r="Q159" s="32" t="str">
        <f>IF($P159="","",IF(SUM($AK$155:$AK$161)=0,0,$P159*INDEX(Reference!$B$108:$B$114,$N159+1)/SUM($AK$155:$AK$161)))</f>
        <v/>
      </c>
      <c r="R159" s="32">
        <f t="shared" si="91"/>
        <v>180</v>
      </c>
      <c r="S159" s="32">
        <f t="shared" si="92"/>
        <v>150</v>
      </c>
      <c r="T159" s="32" t="str">
        <f>IF($A159="","",IF($C159=0,"Bullpen",IF(OR($C159=7,$C159=1,$C159=5),"Recovery/Easy Catch",IF($C159=6,"Compression/Pulldowns",IF(OR($C159=4,$C159=2),"Long Toss",IF($C159=3,"No Throw",IF($N159=2,"No Throw",IF($N159=6,IF($O159&lt;Reference!$B$104,"No Throw","Recovery/Easy Catch"),IF(OR($N159=0,$N159=4),"Recovery/Easy Catch",IF($N159=1,IF($R159&gt;75,"Long Toss","Recovery/Easy Catch"),IF($N159=3,IF($O159&lt;0.5,IF($S159&gt;75,"Long Toss","Recovery/Easy Catch"),"Compression/Pulldowns"),IF($S159&gt;75,"Long Toss","Recovery/Easy Catch"))))))))))))</f>
        <v/>
      </c>
      <c r="U159" s="32" t="str">
        <f t="shared" si="93"/>
        <v/>
      </c>
      <c r="V159" s="32" t="str">
        <f t="shared" si="94"/>
        <v/>
      </c>
      <c r="W159" s="32" t="str">
        <f t="shared" si="95"/>
        <v/>
      </c>
      <c r="X159" s="32">
        <f t="shared" si="96"/>
        <v>0</v>
      </c>
      <c r="Y159" s="32" t="str">
        <f t="shared" si="97"/>
        <v/>
      </c>
      <c r="Z159" s="32" t="str">
        <f t="shared" si="98"/>
        <v/>
      </c>
      <c r="AA159" s="32" t="str">
        <f t="shared" si="99"/>
        <v/>
      </c>
      <c r="AB159" s="32" t="str">
        <f>IF($A159="","",IF($T159="No Throw",0,IF($K159&lt;&gt;"",$K159,IF($AA159&lt;&gt;"",ROUND($AA159*$D$12*IF($C159=0,1,$G$10),0),MIN(IF($T159="Recovery/Easy Catch",Reference!$B$103,IF($T159="Long Toss",Reference!$B$106,Reference!$B$102)),MAX(Reference!$B$101,ROUND(MAX(0,$Q159-$AE159)/$AF159,0)))))))</f>
        <v/>
      </c>
      <c r="AC159" s="32">
        <f t="shared" si="100"/>
        <v>0</v>
      </c>
      <c r="AD159" s="32" t="b">
        <f t="shared" si="101"/>
        <v>1</v>
      </c>
      <c r="AE159" s="32">
        <f>IF($X159=0,0,$X159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159+$Z159)/2,0),Reference!$A$17:$B$20,2,TRUE()))</f>
        <v>0</v>
      </c>
      <c r="AF159" s="32">
        <f>IF(OR($A159="",$U159="",$T159="No Throw"),0,$AM159*VLOOKUP(MAX(($V159+$W159)/2,0),Reference!$A$17:$B$20,2,TRUE()))</f>
        <v>0</v>
      </c>
      <c r="AG159" s="32">
        <f>IF($AC159=0,0,$AC159*INDEX(Reference!$B$61:$B$62,MATCH("Bullpen",Reference!$A$61:$A$62,0))*VLOOKUP(MAX($D$5-($D$9+$E$9)/2,0),Reference!$A$17:$B$20,2,TRUE()))</f>
        <v>0</v>
      </c>
      <c r="AH159" s="32" t="e">
        <f t="shared" si="102"/>
        <v>#N/A</v>
      </c>
      <c r="AI159" s="32" t="e">
        <f>IF($A159="",NA(),Reference!$A$25)</f>
        <v>#N/A</v>
      </c>
      <c r="AJ159" s="32" t="e">
        <f t="shared" si="103"/>
        <v>#N/A</v>
      </c>
      <c r="AK159" s="32">
        <f>IF(OR($A159="",N($C159)&lt;=7,$T159="No Throw",$J159="x"),0,INDEX(Reference!$B$108:$B$114,$N159+1))</f>
        <v>0</v>
      </c>
      <c r="AL159" s="32">
        <f t="shared" si="104"/>
        <v>1</v>
      </c>
      <c r="AM159" s="32">
        <f>IF($U159="",0,IF($AL159&gt;1,((IF(1&lt;=$AL159,($AL159-1+3)*(INDEX(Reference!$B$6:$B$11,MIN(5,MATCH(MAX(Reference!$A$6,MIN(Reference!$A$11,MIN($U159,90))),Reference!$A$6:$A$11,1)))+(MAX(Reference!$A$6,MIN(Reference!$A$11,MIN($U159,90)))-INDEX(Reference!$A$6:$A$11,MIN(5,MATCH(MAX(Reference!$A$6,MIN(Reference!$A$11,MIN($U159,90))),Reference!$A$6:$A$11,1))))*(INDEX(Reference!$B$6:$B$11,MIN(5,MATCH(MAX(Reference!$A$6,MIN(Reference!$A$11,MIN($U159,90))),Reference!$A$6:$A$11,1))+1)-INDEX(Reference!$B$6:$B$11,MIN(5,MATCH(MAX(Reference!$A$6,MIN(Reference!$A$11,MIN($U159,90))),Reference!$A$6:$A$11,1))))/(INDEX(Reference!$A$6:$A$11,MIN(5,MATCH(MAX(Reference!$A$6,MIN(Reference!$A$11,MIN($U159,90))),Reference!$A$6:$A$11,1))+1)-INDEX(Reference!$A$6:$A$11,MIN(5,MATCH(MAX(Reference!$A$6,MIN(Reference!$A$11,MIN($U159,90))),Reference!$A$6:$A$11,1))))),0)+IF(2&lt;=$AL159,($AL159-2+3)*(INDEX(Reference!$B$6:$B$11,MIN(5,MATCH(MAX(Reference!$A$6,MIN(Reference!$A$11,MIN($U159,120))),Reference!$A$6:$A$11,1)))+(MAX(Reference!$A$6,MIN(Reference!$A$11,MIN($U159,120)))-INDEX(Reference!$A$6:$A$11,MIN(5,MATCH(MAX(Reference!$A$6,MIN(Reference!$A$11,MIN($U159,120))),Reference!$A$6:$A$11,1))))*(INDEX(Reference!$B$6:$B$11,MIN(5,MATCH(MAX(Reference!$A$6,MIN(Reference!$A$11,MIN($U159,120))),Reference!$A$6:$A$11,1))+1)-INDEX(Reference!$B$6:$B$11,MIN(5,MATCH(MAX(Reference!$A$6,MIN(Reference!$A$11,MIN($U159,120))),Reference!$A$6:$A$11,1))))/(INDEX(Reference!$A$6:$A$11,MIN(5,MATCH(MAX(Reference!$A$6,MIN(Reference!$A$11,MIN($U159,120))),Reference!$A$6:$A$11,1))+1)-INDEX(Reference!$A$6:$A$11,MIN(5,MATCH(MAX(Reference!$A$6,MIN(Reference!$A$11,MIN($U159,120))),Reference!$A$6:$A$11,1))))),0)+IF(3&lt;=$AL159,($AL159-3+3)*(INDEX(Reference!$B$6:$B$11,MIN(5,MATCH(MAX(Reference!$A$6,MIN(Reference!$A$11,MIN($U159,150))),Reference!$A$6:$A$11,1)))+(MAX(Reference!$A$6,MIN(Reference!$A$11,MIN($U159,150)))-INDEX(Reference!$A$6:$A$11,MIN(5,MATCH(MAX(Reference!$A$6,MIN(Reference!$A$11,MIN($U159,150))),Reference!$A$6:$A$11,1))))*(INDEX(Reference!$B$6:$B$11,MIN(5,MATCH(MAX(Reference!$A$6,MIN(Reference!$A$11,MIN($U159,150))),Reference!$A$6:$A$11,1))+1)-INDEX(Reference!$B$6:$B$11,MIN(5,MATCH(MAX(Reference!$A$6,MIN(Reference!$A$11,MIN($U159,150))),Reference!$A$6:$A$11,1))))/(INDEX(Reference!$A$6:$A$11,MIN(5,MATCH(MAX(Reference!$A$6,MIN(Reference!$A$11,MIN($U159,150))),Reference!$A$6:$A$11,1))+1)-INDEX(Reference!$A$6:$A$11,MIN(5,MATCH(MAX(Reference!$A$6,MIN(Reference!$A$11,MIN($U159,150))),Reference!$A$6:$A$11,1))))),0)+IF(4&lt;=$AL159,($AL159-4+3)*(INDEX(Reference!$B$6:$B$11,MIN(5,MATCH(MAX(Reference!$A$6,MIN(Reference!$A$11,MIN($U159,180))),Reference!$A$6:$A$11,1)))+(MAX(Reference!$A$6,MIN(Reference!$A$11,MIN($U159,180)))-INDEX(Reference!$A$6:$A$11,MIN(5,MATCH(MAX(Reference!$A$6,MIN(Reference!$A$11,MIN($U159,180))),Reference!$A$6:$A$11,1))))*(INDEX(Reference!$B$6:$B$11,MIN(5,MATCH(MAX(Reference!$A$6,MIN(Reference!$A$11,MIN($U159,180))),Reference!$A$6:$A$11,1))+1)-INDEX(Reference!$B$6:$B$11,MIN(5,MATCH(MAX(Reference!$A$6,MIN(Reference!$A$11,MIN($U159,180))),Reference!$A$6:$A$11,1))))/(INDEX(Reference!$A$6:$A$11,MIN(5,MATCH(MAX(Reference!$A$6,MIN(Reference!$A$11,MIN($U159,180))),Reference!$A$6:$A$11,1))+1)-INDEX(Reference!$A$6:$A$11,MIN(5,MATCH(MAX(Reference!$A$6,MIN(Reference!$A$11,MIN($U159,180))),Reference!$A$6:$A$11,1))))),0)+IF(5&lt;=$AL159,($AL159-5+3)*(INDEX(Reference!$B$6:$B$11,MIN(5,MATCH(MAX(Reference!$A$6,MIN(Reference!$A$11,MIN($U159,210))),Reference!$A$6:$A$11,1)))+(MAX(Reference!$A$6,MIN(Reference!$A$11,MIN($U159,210)))-INDEX(Reference!$A$6:$A$11,MIN(5,MATCH(MAX(Reference!$A$6,MIN(Reference!$A$11,MIN($U159,210))),Reference!$A$6:$A$11,1))))*(INDEX(Reference!$B$6:$B$11,MIN(5,MATCH(MAX(Reference!$A$6,MIN(Reference!$A$11,MIN($U159,210))),Reference!$A$6:$A$11,1))+1)-INDEX(Reference!$B$6:$B$11,MIN(5,MATCH(MAX(Reference!$A$6,MIN(Reference!$A$11,MIN($U159,210))),Reference!$A$6:$A$11,1))))/(INDEX(Reference!$A$6:$A$11,MIN(5,MATCH(MAX(Reference!$A$6,MIN(Reference!$A$11,MIN($U159,210))),Reference!$A$6:$A$11,1))+1)-INDEX(Reference!$A$6:$A$11,MIN(5,MATCH(MAX(Reference!$A$6,MIN(Reference!$A$11,MIN($U159,210))),Reference!$A$6:$A$11,1))))),0)+IF(6&lt;=$AL159,($AL159-6+3)*(INDEX(Reference!$B$6:$B$11,MIN(5,MATCH(MAX(Reference!$A$6,MIN(Reference!$A$11,MIN($U159,240))),Reference!$A$6:$A$11,1)))+(MAX(Reference!$A$6,MIN(Reference!$A$11,MIN($U159,240)))-INDEX(Reference!$A$6:$A$11,MIN(5,MATCH(MAX(Reference!$A$6,MIN(Reference!$A$11,MIN($U159,240))),Reference!$A$6:$A$11,1))))*(INDEX(Reference!$B$6:$B$11,MIN(5,MATCH(MAX(Reference!$A$6,MIN(Reference!$A$11,MIN($U159,240))),Reference!$A$6:$A$11,1))+1)-INDEX(Reference!$B$6:$B$11,MIN(5,MATCH(MAX(Reference!$A$6,MIN(Reference!$A$11,MIN($U159,240))),Reference!$A$6:$A$11,1))))/(INDEX(Reference!$A$6:$A$11,MIN(5,MATCH(MAX(Reference!$A$6,MIN(Reference!$A$11,MIN($U159,240))),Reference!$A$6:$A$11,1))+1)-INDEX(Reference!$A$6:$A$11,MIN(5,MATCH(MAX(Reference!$A$6,MIN(Reference!$A$11,MIN($U159,240))),Reference!$A$6:$A$11,1))))),0)+IF(7&lt;=$AL159,($AL159-7+3)*(INDEX(Reference!$B$6:$B$11,MIN(5,MATCH(MAX(Reference!$A$6,MIN(Reference!$A$11,MIN($U159,270))),Reference!$A$6:$A$11,1)))+(MAX(Reference!$A$6,MIN(Reference!$A$11,MIN($U159,270)))-INDEX(Reference!$A$6:$A$11,MIN(5,MATCH(MAX(Reference!$A$6,MIN(Reference!$A$11,MIN($U159,270))),Reference!$A$6:$A$11,1))))*(INDEX(Reference!$B$6:$B$11,MIN(5,MATCH(MAX(Reference!$A$6,MIN(Reference!$A$11,MIN($U159,270))),Reference!$A$6:$A$11,1))+1)-INDEX(Reference!$B$6:$B$11,MIN(5,MATCH(MAX(Reference!$A$6,MIN(Reference!$A$11,MIN($U159,270))),Reference!$A$6:$A$11,1))))/(INDEX(Reference!$A$6:$A$11,MIN(5,MATCH(MAX(Reference!$A$6,MIN(Reference!$A$11,MIN($U159,270))),Reference!$A$6:$A$11,1))+1)-INDEX(Reference!$A$6:$A$11,MIN(5,MATCH(MAX(Reference!$A$6,MIN(Reference!$A$11,MIN($U159,270))),Reference!$A$6:$A$11,1))))),0)+IF(8&lt;=$AL159,($AL159-8+3)*(INDEX(Reference!$B$6:$B$11,MIN(5,MATCH(MAX(Reference!$A$6,MIN(Reference!$A$11,MIN($U159,300))),Reference!$A$6:$A$11,1)))+(MAX(Reference!$A$6,MIN(Reference!$A$11,MIN($U159,300)))-INDEX(Reference!$A$6:$A$11,MIN(5,MATCH(MAX(Reference!$A$6,MIN(Reference!$A$11,MIN($U159,300))),Reference!$A$6:$A$11,1))))*(INDEX(Reference!$B$6:$B$11,MIN(5,MATCH(MAX(Reference!$A$6,MIN(Reference!$A$11,MIN($U159,300))),Reference!$A$6:$A$11,1))+1)-INDEX(Reference!$B$6:$B$11,MIN(5,MATCH(MAX(Reference!$A$6,MIN(Reference!$A$11,MIN($U159,300))),Reference!$A$6:$A$11,1))))/(INDEX(Reference!$A$6:$A$11,MIN(5,MATCH(MAX(Reference!$A$6,MIN(Reference!$A$11,MIN($U159,300))),Reference!$A$6:$A$11,1))+1)-INDEX(Reference!$A$6:$A$11,MIN(5,MATCH(MAX(Reference!$A$6,MIN(Reference!$A$11,MIN($U159,300))),Reference!$A$6:$A$11,1))))),0))/($AL159*($AL159+5)/2)),$AN159))</f>
        <v>0</v>
      </c>
      <c r="AN159" s="32">
        <f>IF($U159="",0,(INDEX(Reference!$B$6:$B$11,MIN(5,MATCH(MAX(Reference!$A$6,MIN(Reference!$A$11,$U159)),Reference!$A$6:$A$11,1)))+(MAX(Reference!$A$6,MIN(Reference!$A$11,$U159))-INDEX(Reference!$A$6:$A$11,MIN(5,MATCH(MAX(Reference!$A$6,MIN(Reference!$A$11,$U159)),Reference!$A$6:$A$11,1))))*(INDEX(Reference!$B$6:$B$11,MIN(5,MATCH(MAX(Reference!$A$6,MIN(Reference!$A$11,$U159)),Reference!$A$6:$A$11,1))+1)-INDEX(Reference!$B$6:$B$11,MIN(5,MATCH(MAX(Reference!$A$6,MIN(Reference!$A$11,$U159)),Reference!$A$6:$A$11,1))))/(INDEX(Reference!$A$6:$A$11,MIN(5,MATCH(MAX(Reference!$A$6,MIN(Reference!$A$11,$U159)),Reference!$A$6:$A$11,1))+1)-INDEX(Reference!$A$6:$A$11,MIN(5,MATCH(MAX(Reference!$A$6,MIN(Reference!$A$11,$U159)),Reference!$A$6:$A$11,1))))))</f>
        <v>0</v>
      </c>
      <c r="AO159" s="37"/>
      <c r="AP159" s="37"/>
      <c r="AQ159" s="37"/>
    </row>
    <row r="160" spans="1:43" x14ac:dyDescent="0.3">
      <c r="A160" s="48" t="str">
        <f t="shared" si="80"/>
        <v/>
      </c>
      <c r="B160" s="32" t="str">
        <f t="shared" si="81"/>
        <v/>
      </c>
      <c r="C160" s="32" t="str">
        <f t="shared" si="82"/>
        <v/>
      </c>
      <c r="D160" s="32" t="str">
        <f t="shared" si="83"/>
        <v/>
      </c>
      <c r="E160" s="32" t="str">
        <f t="shared" si="84"/>
        <v/>
      </c>
      <c r="F160" s="32" t="str">
        <f t="shared" si="85"/>
        <v/>
      </c>
      <c r="G160" s="47" t="str">
        <f t="shared" si="86"/>
        <v/>
      </c>
      <c r="H160" s="30" t="str">
        <f t="shared" si="87"/>
        <v/>
      </c>
      <c r="I160" s="46" t="str">
        <f>IF($A160="","",IF(AND($L160&lt;27,$K$12=0),"Building",IFERROR(((SUM($H$154:$H160)+$K$12*IF($L160&lt;6,SUMIFS('Throw Log'!$Q$5:$Q$300,'Throw Log'!$B$5:$B$300,$D$4,'Throw Log'!$A$5:$A$300,"&gt;="&amp;($D$6+$L160-6),'Throw Log'!$A$5:$A$300,"&lt;="&amp;($D$6-1)),0))/7)/((SUM($H$133:$H160)+$K$12*IF($L160&lt;27,SUMIFS('Throw Log'!$Q$5:$Q$300,'Throw Log'!$B$5:$B$300,$D$4,'Throw Log'!$A$5:$A$300,"&gt;="&amp;($D$6+$L160-27),'Throw Log'!$A$5:$A$300,"&lt;="&amp;($D$6-1)),0))/28),"")))</f>
        <v/>
      </c>
      <c r="J160" s="37"/>
      <c r="K160" s="37"/>
      <c r="L160" s="32">
        <v>117</v>
      </c>
      <c r="M160" s="32">
        <f t="shared" si="88"/>
        <v>17</v>
      </c>
      <c r="N160" s="32">
        <f t="shared" si="89"/>
        <v>5</v>
      </c>
      <c r="O160" s="32">
        <f t="shared" si="90"/>
        <v>1</v>
      </c>
      <c r="P160" s="32" t="str">
        <f>IF(OR($A160="",N($C160)&lt;=7),"",$G$6*$G$9^($M160-1)*IF(AND(MOD($M160,Reference!$B$99)=0,$M160&lt;=$G$5-2),Reference!$B$100,1))</f>
        <v/>
      </c>
      <c r="Q160" s="32" t="str">
        <f>IF($P160="","",IF(SUM($AK$155:$AK$161)=0,0,$P160*INDEX(Reference!$B$108:$B$114,$N160+1)/SUM($AK$155:$AK$161)))</f>
        <v/>
      </c>
      <c r="R160" s="32">
        <f t="shared" si="91"/>
        <v>180</v>
      </c>
      <c r="S160" s="32">
        <f t="shared" si="92"/>
        <v>150</v>
      </c>
      <c r="T160" s="32" t="str">
        <f>IF($A160="","",IF($C160=0,"Bullpen",IF(OR($C160=7,$C160=1,$C160=5),"Recovery/Easy Catch",IF($C160=6,"Compression/Pulldowns",IF(OR($C160=4,$C160=2),"Long Toss",IF($C160=3,"No Throw",IF($N160=2,"No Throw",IF($N160=6,IF($O160&lt;Reference!$B$104,"No Throw","Recovery/Easy Catch"),IF(OR($N160=0,$N160=4),"Recovery/Easy Catch",IF($N160=1,IF($R160&gt;75,"Long Toss","Recovery/Easy Catch"),IF($N160=3,IF($O160&lt;0.5,IF($S160&gt;75,"Long Toss","Recovery/Easy Catch"),"Compression/Pulldowns"),IF($S160&gt;75,"Long Toss","Recovery/Easy Catch"))))))))))))</f>
        <v/>
      </c>
      <c r="U160" s="32" t="str">
        <f t="shared" si="93"/>
        <v/>
      </c>
      <c r="V160" s="32" t="str">
        <f t="shared" si="94"/>
        <v/>
      </c>
      <c r="W160" s="32" t="str">
        <f t="shared" si="95"/>
        <v/>
      </c>
      <c r="X160" s="32">
        <f t="shared" si="96"/>
        <v>0</v>
      </c>
      <c r="Y160" s="32" t="str">
        <f t="shared" si="97"/>
        <v/>
      </c>
      <c r="Z160" s="32" t="str">
        <f t="shared" si="98"/>
        <v/>
      </c>
      <c r="AA160" s="32" t="str">
        <f t="shared" si="99"/>
        <v/>
      </c>
      <c r="AB160" s="32" t="str">
        <f>IF($A160="","",IF($T160="No Throw",0,IF($K160&lt;&gt;"",$K160,IF($AA160&lt;&gt;"",ROUND($AA160*$D$12*IF($C160=0,1,$G$10),0),MIN(IF($T160="Recovery/Easy Catch",Reference!$B$103,IF($T160="Long Toss",Reference!$B$106,Reference!$B$102)),MAX(Reference!$B$101,ROUND(MAX(0,$Q160-$AE160)/$AF160,0)))))))</f>
        <v/>
      </c>
      <c r="AC160" s="32">
        <f t="shared" si="100"/>
        <v>0</v>
      </c>
      <c r="AD160" s="32" t="b">
        <f t="shared" si="101"/>
        <v>1</v>
      </c>
      <c r="AE160" s="32">
        <f>IF($X160=0,0,$X160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160+$Z160)/2,0),Reference!$A$17:$B$20,2,TRUE()))</f>
        <v>0</v>
      </c>
      <c r="AF160" s="32">
        <f>IF(OR($A160="",$U160="",$T160="No Throw"),0,$AM160*VLOOKUP(MAX(($V160+$W160)/2,0),Reference!$A$17:$B$20,2,TRUE()))</f>
        <v>0</v>
      </c>
      <c r="AG160" s="32">
        <f>IF($AC160=0,0,$AC160*INDEX(Reference!$B$61:$B$62,MATCH("Bullpen",Reference!$A$61:$A$62,0))*VLOOKUP(MAX($D$5-($D$9+$E$9)/2,0),Reference!$A$17:$B$20,2,TRUE()))</f>
        <v>0</v>
      </c>
      <c r="AH160" s="32" t="e">
        <f t="shared" si="102"/>
        <v>#N/A</v>
      </c>
      <c r="AI160" s="32" t="e">
        <f>IF($A160="",NA(),Reference!$A$25)</f>
        <v>#N/A</v>
      </c>
      <c r="AJ160" s="32" t="e">
        <f t="shared" si="103"/>
        <v>#N/A</v>
      </c>
      <c r="AK160" s="32">
        <f>IF(OR($A160="",N($C160)&lt;=7,$T160="No Throw",$J160="x"),0,INDEX(Reference!$B$108:$B$114,$N160+1))</f>
        <v>0</v>
      </c>
      <c r="AL160" s="32">
        <f t="shared" si="104"/>
        <v>1</v>
      </c>
      <c r="AM160" s="32">
        <f>IF($U160="",0,IF($AL160&gt;1,((IF(1&lt;=$AL160,($AL160-1+3)*(INDEX(Reference!$B$6:$B$11,MIN(5,MATCH(MAX(Reference!$A$6,MIN(Reference!$A$11,MIN($U160,90))),Reference!$A$6:$A$11,1)))+(MAX(Reference!$A$6,MIN(Reference!$A$11,MIN($U160,90)))-INDEX(Reference!$A$6:$A$11,MIN(5,MATCH(MAX(Reference!$A$6,MIN(Reference!$A$11,MIN($U160,90))),Reference!$A$6:$A$11,1))))*(INDEX(Reference!$B$6:$B$11,MIN(5,MATCH(MAX(Reference!$A$6,MIN(Reference!$A$11,MIN($U160,90))),Reference!$A$6:$A$11,1))+1)-INDEX(Reference!$B$6:$B$11,MIN(5,MATCH(MAX(Reference!$A$6,MIN(Reference!$A$11,MIN($U160,90))),Reference!$A$6:$A$11,1))))/(INDEX(Reference!$A$6:$A$11,MIN(5,MATCH(MAX(Reference!$A$6,MIN(Reference!$A$11,MIN($U160,90))),Reference!$A$6:$A$11,1))+1)-INDEX(Reference!$A$6:$A$11,MIN(5,MATCH(MAX(Reference!$A$6,MIN(Reference!$A$11,MIN($U160,90))),Reference!$A$6:$A$11,1))))),0)+IF(2&lt;=$AL160,($AL160-2+3)*(INDEX(Reference!$B$6:$B$11,MIN(5,MATCH(MAX(Reference!$A$6,MIN(Reference!$A$11,MIN($U160,120))),Reference!$A$6:$A$11,1)))+(MAX(Reference!$A$6,MIN(Reference!$A$11,MIN($U160,120)))-INDEX(Reference!$A$6:$A$11,MIN(5,MATCH(MAX(Reference!$A$6,MIN(Reference!$A$11,MIN($U160,120))),Reference!$A$6:$A$11,1))))*(INDEX(Reference!$B$6:$B$11,MIN(5,MATCH(MAX(Reference!$A$6,MIN(Reference!$A$11,MIN($U160,120))),Reference!$A$6:$A$11,1))+1)-INDEX(Reference!$B$6:$B$11,MIN(5,MATCH(MAX(Reference!$A$6,MIN(Reference!$A$11,MIN($U160,120))),Reference!$A$6:$A$11,1))))/(INDEX(Reference!$A$6:$A$11,MIN(5,MATCH(MAX(Reference!$A$6,MIN(Reference!$A$11,MIN($U160,120))),Reference!$A$6:$A$11,1))+1)-INDEX(Reference!$A$6:$A$11,MIN(5,MATCH(MAX(Reference!$A$6,MIN(Reference!$A$11,MIN($U160,120))),Reference!$A$6:$A$11,1))))),0)+IF(3&lt;=$AL160,($AL160-3+3)*(INDEX(Reference!$B$6:$B$11,MIN(5,MATCH(MAX(Reference!$A$6,MIN(Reference!$A$11,MIN($U160,150))),Reference!$A$6:$A$11,1)))+(MAX(Reference!$A$6,MIN(Reference!$A$11,MIN($U160,150)))-INDEX(Reference!$A$6:$A$11,MIN(5,MATCH(MAX(Reference!$A$6,MIN(Reference!$A$11,MIN($U160,150))),Reference!$A$6:$A$11,1))))*(INDEX(Reference!$B$6:$B$11,MIN(5,MATCH(MAX(Reference!$A$6,MIN(Reference!$A$11,MIN($U160,150))),Reference!$A$6:$A$11,1))+1)-INDEX(Reference!$B$6:$B$11,MIN(5,MATCH(MAX(Reference!$A$6,MIN(Reference!$A$11,MIN($U160,150))),Reference!$A$6:$A$11,1))))/(INDEX(Reference!$A$6:$A$11,MIN(5,MATCH(MAX(Reference!$A$6,MIN(Reference!$A$11,MIN($U160,150))),Reference!$A$6:$A$11,1))+1)-INDEX(Reference!$A$6:$A$11,MIN(5,MATCH(MAX(Reference!$A$6,MIN(Reference!$A$11,MIN($U160,150))),Reference!$A$6:$A$11,1))))),0)+IF(4&lt;=$AL160,($AL160-4+3)*(INDEX(Reference!$B$6:$B$11,MIN(5,MATCH(MAX(Reference!$A$6,MIN(Reference!$A$11,MIN($U160,180))),Reference!$A$6:$A$11,1)))+(MAX(Reference!$A$6,MIN(Reference!$A$11,MIN($U160,180)))-INDEX(Reference!$A$6:$A$11,MIN(5,MATCH(MAX(Reference!$A$6,MIN(Reference!$A$11,MIN($U160,180))),Reference!$A$6:$A$11,1))))*(INDEX(Reference!$B$6:$B$11,MIN(5,MATCH(MAX(Reference!$A$6,MIN(Reference!$A$11,MIN($U160,180))),Reference!$A$6:$A$11,1))+1)-INDEX(Reference!$B$6:$B$11,MIN(5,MATCH(MAX(Reference!$A$6,MIN(Reference!$A$11,MIN($U160,180))),Reference!$A$6:$A$11,1))))/(INDEX(Reference!$A$6:$A$11,MIN(5,MATCH(MAX(Reference!$A$6,MIN(Reference!$A$11,MIN($U160,180))),Reference!$A$6:$A$11,1))+1)-INDEX(Reference!$A$6:$A$11,MIN(5,MATCH(MAX(Reference!$A$6,MIN(Reference!$A$11,MIN($U160,180))),Reference!$A$6:$A$11,1))))),0)+IF(5&lt;=$AL160,($AL160-5+3)*(INDEX(Reference!$B$6:$B$11,MIN(5,MATCH(MAX(Reference!$A$6,MIN(Reference!$A$11,MIN($U160,210))),Reference!$A$6:$A$11,1)))+(MAX(Reference!$A$6,MIN(Reference!$A$11,MIN($U160,210)))-INDEX(Reference!$A$6:$A$11,MIN(5,MATCH(MAX(Reference!$A$6,MIN(Reference!$A$11,MIN($U160,210))),Reference!$A$6:$A$11,1))))*(INDEX(Reference!$B$6:$B$11,MIN(5,MATCH(MAX(Reference!$A$6,MIN(Reference!$A$11,MIN($U160,210))),Reference!$A$6:$A$11,1))+1)-INDEX(Reference!$B$6:$B$11,MIN(5,MATCH(MAX(Reference!$A$6,MIN(Reference!$A$11,MIN($U160,210))),Reference!$A$6:$A$11,1))))/(INDEX(Reference!$A$6:$A$11,MIN(5,MATCH(MAX(Reference!$A$6,MIN(Reference!$A$11,MIN($U160,210))),Reference!$A$6:$A$11,1))+1)-INDEX(Reference!$A$6:$A$11,MIN(5,MATCH(MAX(Reference!$A$6,MIN(Reference!$A$11,MIN($U160,210))),Reference!$A$6:$A$11,1))))),0)+IF(6&lt;=$AL160,($AL160-6+3)*(INDEX(Reference!$B$6:$B$11,MIN(5,MATCH(MAX(Reference!$A$6,MIN(Reference!$A$11,MIN($U160,240))),Reference!$A$6:$A$11,1)))+(MAX(Reference!$A$6,MIN(Reference!$A$11,MIN($U160,240)))-INDEX(Reference!$A$6:$A$11,MIN(5,MATCH(MAX(Reference!$A$6,MIN(Reference!$A$11,MIN($U160,240))),Reference!$A$6:$A$11,1))))*(INDEX(Reference!$B$6:$B$11,MIN(5,MATCH(MAX(Reference!$A$6,MIN(Reference!$A$11,MIN($U160,240))),Reference!$A$6:$A$11,1))+1)-INDEX(Reference!$B$6:$B$11,MIN(5,MATCH(MAX(Reference!$A$6,MIN(Reference!$A$11,MIN($U160,240))),Reference!$A$6:$A$11,1))))/(INDEX(Reference!$A$6:$A$11,MIN(5,MATCH(MAX(Reference!$A$6,MIN(Reference!$A$11,MIN($U160,240))),Reference!$A$6:$A$11,1))+1)-INDEX(Reference!$A$6:$A$11,MIN(5,MATCH(MAX(Reference!$A$6,MIN(Reference!$A$11,MIN($U160,240))),Reference!$A$6:$A$11,1))))),0)+IF(7&lt;=$AL160,($AL160-7+3)*(INDEX(Reference!$B$6:$B$11,MIN(5,MATCH(MAX(Reference!$A$6,MIN(Reference!$A$11,MIN($U160,270))),Reference!$A$6:$A$11,1)))+(MAX(Reference!$A$6,MIN(Reference!$A$11,MIN($U160,270)))-INDEX(Reference!$A$6:$A$11,MIN(5,MATCH(MAX(Reference!$A$6,MIN(Reference!$A$11,MIN($U160,270))),Reference!$A$6:$A$11,1))))*(INDEX(Reference!$B$6:$B$11,MIN(5,MATCH(MAX(Reference!$A$6,MIN(Reference!$A$11,MIN($U160,270))),Reference!$A$6:$A$11,1))+1)-INDEX(Reference!$B$6:$B$11,MIN(5,MATCH(MAX(Reference!$A$6,MIN(Reference!$A$11,MIN($U160,270))),Reference!$A$6:$A$11,1))))/(INDEX(Reference!$A$6:$A$11,MIN(5,MATCH(MAX(Reference!$A$6,MIN(Reference!$A$11,MIN($U160,270))),Reference!$A$6:$A$11,1))+1)-INDEX(Reference!$A$6:$A$11,MIN(5,MATCH(MAX(Reference!$A$6,MIN(Reference!$A$11,MIN($U160,270))),Reference!$A$6:$A$11,1))))),0)+IF(8&lt;=$AL160,($AL160-8+3)*(INDEX(Reference!$B$6:$B$11,MIN(5,MATCH(MAX(Reference!$A$6,MIN(Reference!$A$11,MIN($U160,300))),Reference!$A$6:$A$11,1)))+(MAX(Reference!$A$6,MIN(Reference!$A$11,MIN($U160,300)))-INDEX(Reference!$A$6:$A$11,MIN(5,MATCH(MAX(Reference!$A$6,MIN(Reference!$A$11,MIN($U160,300))),Reference!$A$6:$A$11,1))))*(INDEX(Reference!$B$6:$B$11,MIN(5,MATCH(MAX(Reference!$A$6,MIN(Reference!$A$11,MIN($U160,300))),Reference!$A$6:$A$11,1))+1)-INDEX(Reference!$B$6:$B$11,MIN(5,MATCH(MAX(Reference!$A$6,MIN(Reference!$A$11,MIN($U160,300))),Reference!$A$6:$A$11,1))))/(INDEX(Reference!$A$6:$A$11,MIN(5,MATCH(MAX(Reference!$A$6,MIN(Reference!$A$11,MIN($U160,300))),Reference!$A$6:$A$11,1))+1)-INDEX(Reference!$A$6:$A$11,MIN(5,MATCH(MAX(Reference!$A$6,MIN(Reference!$A$11,MIN($U160,300))),Reference!$A$6:$A$11,1))))),0))/($AL160*($AL160+5)/2)),$AN160))</f>
        <v>0</v>
      </c>
      <c r="AN160" s="32">
        <f>IF($U160="",0,(INDEX(Reference!$B$6:$B$11,MIN(5,MATCH(MAX(Reference!$A$6,MIN(Reference!$A$11,$U160)),Reference!$A$6:$A$11,1)))+(MAX(Reference!$A$6,MIN(Reference!$A$11,$U160))-INDEX(Reference!$A$6:$A$11,MIN(5,MATCH(MAX(Reference!$A$6,MIN(Reference!$A$11,$U160)),Reference!$A$6:$A$11,1))))*(INDEX(Reference!$B$6:$B$11,MIN(5,MATCH(MAX(Reference!$A$6,MIN(Reference!$A$11,$U160)),Reference!$A$6:$A$11,1))+1)-INDEX(Reference!$B$6:$B$11,MIN(5,MATCH(MAX(Reference!$A$6,MIN(Reference!$A$11,$U160)),Reference!$A$6:$A$11,1))))/(INDEX(Reference!$A$6:$A$11,MIN(5,MATCH(MAX(Reference!$A$6,MIN(Reference!$A$11,$U160)),Reference!$A$6:$A$11,1))+1)-INDEX(Reference!$A$6:$A$11,MIN(5,MATCH(MAX(Reference!$A$6,MIN(Reference!$A$11,$U160)),Reference!$A$6:$A$11,1))))))</f>
        <v>0</v>
      </c>
      <c r="AO160" s="37"/>
      <c r="AP160" s="37"/>
      <c r="AQ160" s="37"/>
    </row>
    <row r="161" spans="1:43" x14ac:dyDescent="0.3">
      <c r="A161" s="48" t="str">
        <f t="shared" si="80"/>
        <v/>
      </c>
      <c r="B161" s="32" t="str">
        <f t="shared" si="81"/>
        <v/>
      </c>
      <c r="C161" s="32" t="str">
        <f t="shared" si="82"/>
        <v/>
      </c>
      <c r="D161" s="32" t="str">
        <f t="shared" si="83"/>
        <v/>
      </c>
      <c r="E161" s="32" t="str">
        <f t="shared" si="84"/>
        <v/>
      </c>
      <c r="F161" s="32" t="str">
        <f t="shared" si="85"/>
        <v/>
      </c>
      <c r="G161" s="47" t="str">
        <f t="shared" si="86"/>
        <v/>
      </c>
      <c r="H161" s="30" t="str">
        <f t="shared" si="87"/>
        <v/>
      </c>
      <c r="I161" s="46" t="str">
        <f>IF($A161="","",IF(AND($L161&lt;27,$K$12=0),"Building",IFERROR(((SUM($H$155:$H161)+$K$12*IF($L161&lt;6,SUMIFS('Throw Log'!$Q$5:$Q$300,'Throw Log'!$B$5:$B$300,$D$4,'Throw Log'!$A$5:$A$300,"&gt;="&amp;($D$6+$L161-6),'Throw Log'!$A$5:$A$300,"&lt;="&amp;($D$6-1)),0))/7)/((SUM($H$134:$H161)+$K$12*IF($L161&lt;27,SUMIFS('Throw Log'!$Q$5:$Q$300,'Throw Log'!$B$5:$B$300,$D$4,'Throw Log'!$A$5:$A$300,"&gt;="&amp;($D$6+$L161-27),'Throw Log'!$A$5:$A$300,"&lt;="&amp;($D$6-1)),0))/28),"")))</f>
        <v/>
      </c>
      <c r="J161" s="37"/>
      <c r="K161" s="37"/>
      <c r="L161" s="32">
        <v>118</v>
      </c>
      <c r="M161" s="32">
        <f t="shared" si="88"/>
        <v>17</v>
      </c>
      <c r="N161" s="32">
        <f t="shared" si="89"/>
        <v>6</v>
      </c>
      <c r="O161" s="32">
        <f t="shared" si="90"/>
        <v>1</v>
      </c>
      <c r="P161" s="32" t="str">
        <f>IF(OR($A161="",N($C161)&lt;=7),"",$G$6*$G$9^($M161-1)*IF(AND(MOD($M161,Reference!$B$99)=0,$M161&lt;=$G$5-2),Reference!$B$100,1))</f>
        <v/>
      </c>
      <c r="Q161" s="32" t="str">
        <f>IF($P161="","",IF(SUM($AK$155:$AK$161)=0,0,$P161*INDEX(Reference!$B$108:$B$114,$N161+1)/SUM($AK$155:$AK$161)))</f>
        <v/>
      </c>
      <c r="R161" s="32">
        <f t="shared" si="91"/>
        <v>180</v>
      </c>
      <c r="S161" s="32">
        <f t="shared" si="92"/>
        <v>150</v>
      </c>
      <c r="T161" s="32" t="str">
        <f>IF($A161="","",IF($C161=0,"Bullpen",IF(OR($C161=7,$C161=1,$C161=5),"Recovery/Easy Catch",IF($C161=6,"Compression/Pulldowns",IF(OR($C161=4,$C161=2),"Long Toss",IF($C161=3,"No Throw",IF($N161=2,"No Throw",IF($N161=6,IF($O161&lt;Reference!$B$104,"No Throw","Recovery/Easy Catch"),IF(OR($N161=0,$N161=4),"Recovery/Easy Catch",IF($N161=1,IF($R161&gt;75,"Long Toss","Recovery/Easy Catch"),IF($N161=3,IF($O161&lt;0.5,IF($S161&gt;75,"Long Toss","Recovery/Easy Catch"),"Compression/Pulldowns"),IF($S161&gt;75,"Long Toss","Recovery/Easy Catch"))))))))))))</f>
        <v/>
      </c>
      <c r="U161" s="32" t="str">
        <f t="shared" si="93"/>
        <v/>
      </c>
      <c r="V161" s="32" t="str">
        <f t="shared" si="94"/>
        <v/>
      </c>
      <c r="W161" s="32" t="str">
        <f t="shared" si="95"/>
        <v/>
      </c>
      <c r="X161" s="32">
        <f t="shared" si="96"/>
        <v>0</v>
      </c>
      <c r="Y161" s="32" t="str">
        <f t="shared" si="97"/>
        <v/>
      </c>
      <c r="Z161" s="32" t="str">
        <f t="shared" si="98"/>
        <v/>
      </c>
      <c r="AA161" s="32" t="str">
        <f t="shared" si="99"/>
        <v/>
      </c>
      <c r="AB161" s="32" t="str">
        <f>IF($A161="","",IF($T161="No Throw",0,IF($K161&lt;&gt;"",$K161,IF($AA161&lt;&gt;"",ROUND($AA161*$D$12*IF($C161=0,1,$G$10),0),MIN(IF($T161="Recovery/Easy Catch",Reference!$B$103,IF($T161="Long Toss",Reference!$B$106,Reference!$B$102)),MAX(Reference!$B$101,ROUND(MAX(0,$Q161-$AE161)/$AF161,0)))))))</f>
        <v/>
      </c>
      <c r="AC161" s="32">
        <f t="shared" si="100"/>
        <v>0</v>
      </c>
      <c r="AD161" s="32" t="b">
        <f t="shared" si="101"/>
        <v>1</v>
      </c>
      <c r="AE161" s="32">
        <f>IF($X161=0,0,$X161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161+$Z161)/2,0),Reference!$A$17:$B$20,2,TRUE()))</f>
        <v>0</v>
      </c>
      <c r="AF161" s="32">
        <f>IF(OR($A161="",$U161="",$T161="No Throw"),0,$AM161*VLOOKUP(MAX(($V161+$W161)/2,0),Reference!$A$17:$B$20,2,TRUE()))</f>
        <v>0</v>
      </c>
      <c r="AG161" s="32">
        <f>IF($AC161=0,0,$AC161*INDEX(Reference!$B$61:$B$62,MATCH("Bullpen",Reference!$A$61:$A$62,0))*VLOOKUP(MAX($D$5-($D$9+$E$9)/2,0),Reference!$A$17:$B$20,2,TRUE()))</f>
        <v>0</v>
      </c>
      <c r="AH161" s="32" t="e">
        <f t="shared" si="102"/>
        <v>#N/A</v>
      </c>
      <c r="AI161" s="32" t="e">
        <f>IF($A161="",NA(),Reference!$A$25)</f>
        <v>#N/A</v>
      </c>
      <c r="AJ161" s="32" t="e">
        <f t="shared" si="103"/>
        <v>#N/A</v>
      </c>
      <c r="AK161" s="32">
        <f>IF(OR($A161="",N($C161)&lt;=7,$T161="No Throw",$J161="x"),0,INDEX(Reference!$B$108:$B$114,$N161+1))</f>
        <v>0</v>
      </c>
      <c r="AL161" s="32">
        <f t="shared" si="104"/>
        <v>1</v>
      </c>
      <c r="AM161" s="32">
        <f>IF($U161="",0,IF($AL161&gt;1,((IF(1&lt;=$AL161,($AL161-1+3)*(INDEX(Reference!$B$6:$B$11,MIN(5,MATCH(MAX(Reference!$A$6,MIN(Reference!$A$11,MIN($U161,90))),Reference!$A$6:$A$11,1)))+(MAX(Reference!$A$6,MIN(Reference!$A$11,MIN($U161,90)))-INDEX(Reference!$A$6:$A$11,MIN(5,MATCH(MAX(Reference!$A$6,MIN(Reference!$A$11,MIN($U161,90))),Reference!$A$6:$A$11,1))))*(INDEX(Reference!$B$6:$B$11,MIN(5,MATCH(MAX(Reference!$A$6,MIN(Reference!$A$11,MIN($U161,90))),Reference!$A$6:$A$11,1))+1)-INDEX(Reference!$B$6:$B$11,MIN(5,MATCH(MAX(Reference!$A$6,MIN(Reference!$A$11,MIN($U161,90))),Reference!$A$6:$A$11,1))))/(INDEX(Reference!$A$6:$A$11,MIN(5,MATCH(MAX(Reference!$A$6,MIN(Reference!$A$11,MIN($U161,90))),Reference!$A$6:$A$11,1))+1)-INDEX(Reference!$A$6:$A$11,MIN(5,MATCH(MAX(Reference!$A$6,MIN(Reference!$A$11,MIN($U161,90))),Reference!$A$6:$A$11,1))))),0)+IF(2&lt;=$AL161,($AL161-2+3)*(INDEX(Reference!$B$6:$B$11,MIN(5,MATCH(MAX(Reference!$A$6,MIN(Reference!$A$11,MIN($U161,120))),Reference!$A$6:$A$11,1)))+(MAX(Reference!$A$6,MIN(Reference!$A$11,MIN($U161,120)))-INDEX(Reference!$A$6:$A$11,MIN(5,MATCH(MAX(Reference!$A$6,MIN(Reference!$A$11,MIN($U161,120))),Reference!$A$6:$A$11,1))))*(INDEX(Reference!$B$6:$B$11,MIN(5,MATCH(MAX(Reference!$A$6,MIN(Reference!$A$11,MIN($U161,120))),Reference!$A$6:$A$11,1))+1)-INDEX(Reference!$B$6:$B$11,MIN(5,MATCH(MAX(Reference!$A$6,MIN(Reference!$A$11,MIN($U161,120))),Reference!$A$6:$A$11,1))))/(INDEX(Reference!$A$6:$A$11,MIN(5,MATCH(MAX(Reference!$A$6,MIN(Reference!$A$11,MIN($U161,120))),Reference!$A$6:$A$11,1))+1)-INDEX(Reference!$A$6:$A$11,MIN(5,MATCH(MAX(Reference!$A$6,MIN(Reference!$A$11,MIN($U161,120))),Reference!$A$6:$A$11,1))))),0)+IF(3&lt;=$AL161,($AL161-3+3)*(INDEX(Reference!$B$6:$B$11,MIN(5,MATCH(MAX(Reference!$A$6,MIN(Reference!$A$11,MIN($U161,150))),Reference!$A$6:$A$11,1)))+(MAX(Reference!$A$6,MIN(Reference!$A$11,MIN($U161,150)))-INDEX(Reference!$A$6:$A$11,MIN(5,MATCH(MAX(Reference!$A$6,MIN(Reference!$A$11,MIN($U161,150))),Reference!$A$6:$A$11,1))))*(INDEX(Reference!$B$6:$B$11,MIN(5,MATCH(MAX(Reference!$A$6,MIN(Reference!$A$11,MIN($U161,150))),Reference!$A$6:$A$11,1))+1)-INDEX(Reference!$B$6:$B$11,MIN(5,MATCH(MAX(Reference!$A$6,MIN(Reference!$A$11,MIN($U161,150))),Reference!$A$6:$A$11,1))))/(INDEX(Reference!$A$6:$A$11,MIN(5,MATCH(MAX(Reference!$A$6,MIN(Reference!$A$11,MIN($U161,150))),Reference!$A$6:$A$11,1))+1)-INDEX(Reference!$A$6:$A$11,MIN(5,MATCH(MAX(Reference!$A$6,MIN(Reference!$A$11,MIN($U161,150))),Reference!$A$6:$A$11,1))))),0)+IF(4&lt;=$AL161,($AL161-4+3)*(INDEX(Reference!$B$6:$B$11,MIN(5,MATCH(MAX(Reference!$A$6,MIN(Reference!$A$11,MIN($U161,180))),Reference!$A$6:$A$11,1)))+(MAX(Reference!$A$6,MIN(Reference!$A$11,MIN($U161,180)))-INDEX(Reference!$A$6:$A$11,MIN(5,MATCH(MAX(Reference!$A$6,MIN(Reference!$A$11,MIN($U161,180))),Reference!$A$6:$A$11,1))))*(INDEX(Reference!$B$6:$B$11,MIN(5,MATCH(MAX(Reference!$A$6,MIN(Reference!$A$11,MIN($U161,180))),Reference!$A$6:$A$11,1))+1)-INDEX(Reference!$B$6:$B$11,MIN(5,MATCH(MAX(Reference!$A$6,MIN(Reference!$A$11,MIN($U161,180))),Reference!$A$6:$A$11,1))))/(INDEX(Reference!$A$6:$A$11,MIN(5,MATCH(MAX(Reference!$A$6,MIN(Reference!$A$11,MIN($U161,180))),Reference!$A$6:$A$11,1))+1)-INDEX(Reference!$A$6:$A$11,MIN(5,MATCH(MAX(Reference!$A$6,MIN(Reference!$A$11,MIN($U161,180))),Reference!$A$6:$A$11,1))))),0)+IF(5&lt;=$AL161,($AL161-5+3)*(INDEX(Reference!$B$6:$B$11,MIN(5,MATCH(MAX(Reference!$A$6,MIN(Reference!$A$11,MIN($U161,210))),Reference!$A$6:$A$11,1)))+(MAX(Reference!$A$6,MIN(Reference!$A$11,MIN($U161,210)))-INDEX(Reference!$A$6:$A$11,MIN(5,MATCH(MAX(Reference!$A$6,MIN(Reference!$A$11,MIN($U161,210))),Reference!$A$6:$A$11,1))))*(INDEX(Reference!$B$6:$B$11,MIN(5,MATCH(MAX(Reference!$A$6,MIN(Reference!$A$11,MIN($U161,210))),Reference!$A$6:$A$11,1))+1)-INDEX(Reference!$B$6:$B$11,MIN(5,MATCH(MAX(Reference!$A$6,MIN(Reference!$A$11,MIN($U161,210))),Reference!$A$6:$A$11,1))))/(INDEX(Reference!$A$6:$A$11,MIN(5,MATCH(MAX(Reference!$A$6,MIN(Reference!$A$11,MIN($U161,210))),Reference!$A$6:$A$11,1))+1)-INDEX(Reference!$A$6:$A$11,MIN(5,MATCH(MAX(Reference!$A$6,MIN(Reference!$A$11,MIN($U161,210))),Reference!$A$6:$A$11,1))))),0)+IF(6&lt;=$AL161,($AL161-6+3)*(INDEX(Reference!$B$6:$B$11,MIN(5,MATCH(MAX(Reference!$A$6,MIN(Reference!$A$11,MIN($U161,240))),Reference!$A$6:$A$11,1)))+(MAX(Reference!$A$6,MIN(Reference!$A$11,MIN($U161,240)))-INDEX(Reference!$A$6:$A$11,MIN(5,MATCH(MAX(Reference!$A$6,MIN(Reference!$A$11,MIN($U161,240))),Reference!$A$6:$A$11,1))))*(INDEX(Reference!$B$6:$B$11,MIN(5,MATCH(MAX(Reference!$A$6,MIN(Reference!$A$11,MIN($U161,240))),Reference!$A$6:$A$11,1))+1)-INDEX(Reference!$B$6:$B$11,MIN(5,MATCH(MAX(Reference!$A$6,MIN(Reference!$A$11,MIN($U161,240))),Reference!$A$6:$A$11,1))))/(INDEX(Reference!$A$6:$A$11,MIN(5,MATCH(MAX(Reference!$A$6,MIN(Reference!$A$11,MIN($U161,240))),Reference!$A$6:$A$11,1))+1)-INDEX(Reference!$A$6:$A$11,MIN(5,MATCH(MAX(Reference!$A$6,MIN(Reference!$A$11,MIN($U161,240))),Reference!$A$6:$A$11,1))))),0)+IF(7&lt;=$AL161,($AL161-7+3)*(INDEX(Reference!$B$6:$B$11,MIN(5,MATCH(MAX(Reference!$A$6,MIN(Reference!$A$11,MIN($U161,270))),Reference!$A$6:$A$11,1)))+(MAX(Reference!$A$6,MIN(Reference!$A$11,MIN($U161,270)))-INDEX(Reference!$A$6:$A$11,MIN(5,MATCH(MAX(Reference!$A$6,MIN(Reference!$A$11,MIN($U161,270))),Reference!$A$6:$A$11,1))))*(INDEX(Reference!$B$6:$B$11,MIN(5,MATCH(MAX(Reference!$A$6,MIN(Reference!$A$11,MIN($U161,270))),Reference!$A$6:$A$11,1))+1)-INDEX(Reference!$B$6:$B$11,MIN(5,MATCH(MAX(Reference!$A$6,MIN(Reference!$A$11,MIN($U161,270))),Reference!$A$6:$A$11,1))))/(INDEX(Reference!$A$6:$A$11,MIN(5,MATCH(MAX(Reference!$A$6,MIN(Reference!$A$11,MIN($U161,270))),Reference!$A$6:$A$11,1))+1)-INDEX(Reference!$A$6:$A$11,MIN(5,MATCH(MAX(Reference!$A$6,MIN(Reference!$A$11,MIN($U161,270))),Reference!$A$6:$A$11,1))))),0)+IF(8&lt;=$AL161,($AL161-8+3)*(INDEX(Reference!$B$6:$B$11,MIN(5,MATCH(MAX(Reference!$A$6,MIN(Reference!$A$11,MIN($U161,300))),Reference!$A$6:$A$11,1)))+(MAX(Reference!$A$6,MIN(Reference!$A$11,MIN($U161,300)))-INDEX(Reference!$A$6:$A$11,MIN(5,MATCH(MAX(Reference!$A$6,MIN(Reference!$A$11,MIN($U161,300))),Reference!$A$6:$A$11,1))))*(INDEX(Reference!$B$6:$B$11,MIN(5,MATCH(MAX(Reference!$A$6,MIN(Reference!$A$11,MIN($U161,300))),Reference!$A$6:$A$11,1))+1)-INDEX(Reference!$B$6:$B$11,MIN(5,MATCH(MAX(Reference!$A$6,MIN(Reference!$A$11,MIN($U161,300))),Reference!$A$6:$A$11,1))))/(INDEX(Reference!$A$6:$A$11,MIN(5,MATCH(MAX(Reference!$A$6,MIN(Reference!$A$11,MIN($U161,300))),Reference!$A$6:$A$11,1))+1)-INDEX(Reference!$A$6:$A$11,MIN(5,MATCH(MAX(Reference!$A$6,MIN(Reference!$A$11,MIN($U161,300))),Reference!$A$6:$A$11,1))))),0))/($AL161*($AL161+5)/2)),$AN161))</f>
        <v>0</v>
      </c>
      <c r="AN161" s="32">
        <f>IF($U161="",0,(INDEX(Reference!$B$6:$B$11,MIN(5,MATCH(MAX(Reference!$A$6,MIN(Reference!$A$11,$U161)),Reference!$A$6:$A$11,1)))+(MAX(Reference!$A$6,MIN(Reference!$A$11,$U161))-INDEX(Reference!$A$6:$A$11,MIN(5,MATCH(MAX(Reference!$A$6,MIN(Reference!$A$11,$U161)),Reference!$A$6:$A$11,1))))*(INDEX(Reference!$B$6:$B$11,MIN(5,MATCH(MAX(Reference!$A$6,MIN(Reference!$A$11,$U161)),Reference!$A$6:$A$11,1))+1)-INDEX(Reference!$B$6:$B$11,MIN(5,MATCH(MAX(Reference!$A$6,MIN(Reference!$A$11,$U161)),Reference!$A$6:$A$11,1))))/(INDEX(Reference!$A$6:$A$11,MIN(5,MATCH(MAX(Reference!$A$6,MIN(Reference!$A$11,$U161)),Reference!$A$6:$A$11,1))+1)-INDEX(Reference!$A$6:$A$11,MIN(5,MATCH(MAX(Reference!$A$6,MIN(Reference!$A$11,$U161)),Reference!$A$6:$A$11,1))))))</f>
        <v>0</v>
      </c>
      <c r="AO161" s="37"/>
      <c r="AP161" s="37"/>
      <c r="AQ161" s="37"/>
    </row>
    <row r="162" spans="1:43" x14ac:dyDescent="0.3">
      <c r="A162" s="48" t="str">
        <f t="shared" si="80"/>
        <v/>
      </c>
      <c r="B162" s="32" t="str">
        <f t="shared" si="81"/>
        <v/>
      </c>
      <c r="C162" s="32" t="str">
        <f t="shared" si="82"/>
        <v/>
      </c>
      <c r="D162" s="32" t="str">
        <f t="shared" si="83"/>
        <v/>
      </c>
      <c r="E162" s="32" t="str">
        <f t="shared" si="84"/>
        <v/>
      </c>
      <c r="F162" s="32" t="str">
        <f t="shared" si="85"/>
        <v/>
      </c>
      <c r="G162" s="47" t="str">
        <f t="shared" si="86"/>
        <v/>
      </c>
      <c r="H162" s="30" t="str">
        <f t="shared" si="87"/>
        <v/>
      </c>
      <c r="I162" s="46" t="str">
        <f>IF($A162="","",IF(AND($L162&lt;27,$K$12=0),"Building",IFERROR(((SUM($H$156:$H162)+$K$12*IF($L162&lt;6,SUMIFS('Throw Log'!$Q$5:$Q$300,'Throw Log'!$B$5:$B$300,$D$4,'Throw Log'!$A$5:$A$300,"&gt;="&amp;($D$6+$L162-6),'Throw Log'!$A$5:$A$300,"&lt;="&amp;($D$6-1)),0))/7)/((SUM($H$135:$H162)+$K$12*IF($L162&lt;27,SUMIFS('Throw Log'!$Q$5:$Q$300,'Throw Log'!$B$5:$B$300,$D$4,'Throw Log'!$A$5:$A$300,"&gt;="&amp;($D$6+$L162-27),'Throw Log'!$A$5:$A$300,"&lt;="&amp;($D$6-1)),0))/28),"")))</f>
        <v/>
      </c>
      <c r="J162" s="37"/>
      <c r="K162" s="37"/>
      <c r="L162" s="32">
        <v>119</v>
      </c>
      <c r="M162" s="32">
        <f t="shared" si="88"/>
        <v>18</v>
      </c>
      <c r="N162" s="32">
        <f t="shared" si="89"/>
        <v>0</v>
      </c>
      <c r="O162" s="32">
        <f t="shared" si="90"/>
        <v>1</v>
      </c>
      <c r="P162" s="32" t="str">
        <f>IF(OR($A162="",N($C162)&lt;=7),"",$G$6*$G$9^($M162-1)*IF(AND(MOD($M162,Reference!$B$99)=0,$M162&lt;=$G$5-2),Reference!$B$100,1))</f>
        <v/>
      </c>
      <c r="Q162" s="32" t="str">
        <f>IF($P162="","",IF(SUM($AK$162:$AK$168)=0,0,$P162*INDEX(Reference!$B$108:$B$114,$N162+1)/SUM($AK$162:$AK$168)))</f>
        <v/>
      </c>
      <c r="R162" s="32">
        <f t="shared" si="91"/>
        <v>180</v>
      </c>
      <c r="S162" s="32">
        <f t="shared" si="92"/>
        <v>150</v>
      </c>
      <c r="T162" s="32" t="str">
        <f>IF($A162="","",IF($C162=0,"Bullpen",IF(OR($C162=7,$C162=1,$C162=5),"Recovery/Easy Catch",IF($C162=6,"Compression/Pulldowns",IF(OR($C162=4,$C162=2),"Long Toss",IF($C162=3,"No Throw",IF($N162=2,"No Throw",IF($N162=6,IF($O162&lt;Reference!$B$104,"No Throw","Recovery/Easy Catch"),IF(OR($N162=0,$N162=4),"Recovery/Easy Catch",IF($N162=1,IF($R162&gt;75,"Long Toss","Recovery/Easy Catch"),IF($N162=3,IF($O162&lt;0.5,IF($S162&gt;75,"Long Toss","Recovery/Easy Catch"),"Compression/Pulldowns"),IF($S162&gt;75,"Long Toss","Recovery/Easy Catch"))))))))))))</f>
        <v/>
      </c>
      <c r="U162" s="32" t="str">
        <f t="shared" si="93"/>
        <v/>
      </c>
      <c r="V162" s="32" t="str">
        <f t="shared" si="94"/>
        <v/>
      </c>
      <c r="W162" s="32" t="str">
        <f t="shared" si="95"/>
        <v/>
      </c>
      <c r="X162" s="32">
        <f t="shared" si="96"/>
        <v>0</v>
      </c>
      <c r="Y162" s="32" t="str">
        <f t="shared" si="97"/>
        <v/>
      </c>
      <c r="Z162" s="32" t="str">
        <f t="shared" si="98"/>
        <v/>
      </c>
      <c r="AA162" s="32" t="str">
        <f t="shared" si="99"/>
        <v/>
      </c>
      <c r="AB162" s="32" t="str">
        <f>IF($A162="","",IF($T162="No Throw",0,IF($K162&lt;&gt;"",$K162,IF($AA162&lt;&gt;"",ROUND($AA162*$D$12*IF($C162=0,1,$G$10),0),MIN(IF($T162="Recovery/Easy Catch",Reference!$B$103,IF($T162="Long Toss",Reference!$B$106,Reference!$B$102)),MAX(Reference!$B$101,ROUND(MAX(0,$Q162-$AE162)/$AF162,0)))))))</f>
        <v/>
      </c>
      <c r="AC162" s="32">
        <f t="shared" si="100"/>
        <v>0</v>
      </c>
      <c r="AD162" s="32" t="b">
        <f t="shared" si="101"/>
        <v>1</v>
      </c>
      <c r="AE162" s="32">
        <f>IF($X162=0,0,$X162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162+$Z162)/2,0),Reference!$A$17:$B$20,2,TRUE()))</f>
        <v>0</v>
      </c>
      <c r="AF162" s="32">
        <f>IF(OR($A162="",$U162="",$T162="No Throw"),0,$AM162*VLOOKUP(MAX(($V162+$W162)/2,0),Reference!$A$17:$B$20,2,TRUE()))</f>
        <v>0</v>
      </c>
      <c r="AG162" s="32">
        <f>IF($AC162=0,0,$AC162*INDEX(Reference!$B$61:$B$62,MATCH("Bullpen",Reference!$A$61:$A$62,0))*VLOOKUP(MAX($D$5-($D$9+$E$9)/2,0),Reference!$A$17:$B$20,2,TRUE()))</f>
        <v>0</v>
      </c>
      <c r="AH162" s="32" t="e">
        <f t="shared" si="102"/>
        <v>#N/A</v>
      </c>
      <c r="AI162" s="32" t="e">
        <f>IF($A162="",NA(),Reference!$A$25)</f>
        <v>#N/A</v>
      </c>
      <c r="AJ162" s="32" t="e">
        <f t="shared" si="103"/>
        <v>#N/A</v>
      </c>
      <c r="AK162" s="32">
        <f>IF(OR($A162="",N($C162)&lt;=7,$T162="No Throw",$J162="x"),0,INDEX(Reference!$B$108:$B$114,$N162+1))</f>
        <v>0</v>
      </c>
      <c r="AL162" s="32">
        <f t="shared" si="104"/>
        <v>1</v>
      </c>
      <c r="AM162" s="32">
        <f>IF($U162="",0,IF($AL162&gt;1,((IF(1&lt;=$AL162,($AL162-1+3)*(INDEX(Reference!$B$6:$B$11,MIN(5,MATCH(MAX(Reference!$A$6,MIN(Reference!$A$11,MIN($U162,90))),Reference!$A$6:$A$11,1)))+(MAX(Reference!$A$6,MIN(Reference!$A$11,MIN($U162,90)))-INDEX(Reference!$A$6:$A$11,MIN(5,MATCH(MAX(Reference!$A$6,MIN(Reference!$A$11,MIN($U162,90))),Reference!$A$6:$A$11,1))))*(INDEX(Reference!$B$6:$B$11,MIN(5,MATCH(MAX(Reference!$A$6,MIN(Reference!$A$11,MIN($U162,90))),Reference!$A$6:$A$11,1))+1)-INDEX(Reference!$B$6:$B$11,MIN(5,MATCH(MAX(Reference!$A$6,MIN(Reference!$A$11,MIN($U162,90))),Reference!$A$6:$A$11,1))))/(INDEX(Reference!$A$6:$A$11,MIN(5,MATCH(MAX(Reference!$A$6,MIN(Reference!$A$11,MIN($U162,90))),Reference!$A$6:$A$11,1))+1)-INDEX(Reference!$A$6:$A$11,MIN(5,MATCH(MAX(Reference!$A$6,MIN(Reference!$A$11,MIN($U162,90))),Reference!$A$6:$A$11,1))))),0)+IF(2&lt;=$AL162,($AL162-2+3)*(INDEX(Reference!$B$6:$B$11,MIN(5,MATCH(MAX(Reference!$A$6,MIN(Reference!$A$11,MIN($U162,120))),Reference!$A$6:$A$11,1)))+(MAX(Reference!$A$6,MIN(Reference!$A$11,MIN($U162,120)))-INDEX(Reference!$A$6:$A$11,MIN(5,MATCH(MAX(Reference!$A$6,MIN(Reference!$A$11,MIN($U162,120))),Reference!$A$6:$A$11,1))))*(INDEX(Reference!$B$6:$B$11,MIN(5,MATCH(MAX(Reference!$A$6,MIN(Reference!$A$11,MIN($U162,120))),Reference!$A$6:$A$11,1))+1)-INDEX(Reference!$B$6:$B$11,MIN(5,MATCH(MAX(Reference!$A$6,MIN(Reference!$A$11,MIN($U162,120))),Reference!$A$6:$A$11,1))))/(INDEX(Reference!$A$6:$A$11,MIN(5,MATCH(MAX(Reference!$A$6,MIN(Reference!$A$11,MIN($U162,120))),Reference!$A$6:$A$11,1))+1)-INDEX(Reference!$A$6:$A$11,MIN(5,MATCH(MAX(Reference!$A$6,MIN(Reference!$A$11,MIN($U162,120))),Reference!$A$6:$A$11,1))))),0)+IF(3&lt;=$AL162,($AL162-3+3)*(INDEX(Reference!$B$6:$B$11,MIN(5,MATCH(MAX(Reference!$A$6,MIN(Reference!$A$11,MIN($U162,150))),Reference!$A$6:$A$11,1)))+(MAX(Reference!$A$6,MIN(Reference!$A$11,MIN($U162,150)))-INDEX(Reference!$A$6:$A$11,MIN(5,MATCH(MAX(Reference!$A$6,MIN(Reference!$A$11,MIN($U162,150))),Reference!$A$6:$A$11,1))))*(INDEX(Reference!$B$6:$B$11,MIN(5,MATCH(MAX(Reference!$A$6,MIN(Reference!$A$11,MIN($U162,150))),Reference!$A$6:$A$11,1))+1)-INDEX(Reference!$B$6:$B$11,MIN(5,MATCH(MAX(Reference!$A$6,MIN(Reference!$A$11,MIN($U162,150))),Reference!$A$6:$A$11,1))))/(INDEX(Reference!$A$6:$A$11,MIN(5,MATCH(MAX(Reference!$A$6,MIN(Reference!$A$11,MIN($U162,150))),Reference!$A$6:$A$11,1))+1)-INDEX(Reference!$A$6:$A$11,MIN(5,MATCH(MAX(Reference!$A$6,MIN(Reference!$A$11,MIN($U162,150))),Reference!$A$6:$A$11,1))))),0)+IF(4&lt;=$AL162,($AL162-4+3)*(INDEX(Reference!$B$6:$B$11,MIN(5,MATCH(MAX(Reference!$A$6,MIN(Reference!$A$11,MIN($U162,180))),Reference!$A$6:$A$11,1)))+(MAX(Reference!$A$6,MIN(Reference!$A$11,MIN($U162,180)))-INDEX(Reference!$A$6:$A$11,MIN(5,MATCH(MAX(Reference!$A$6,MIN(Reference!$A$11,MIN($U162,180))),Reference!$A$6:$A$11,1))))*(INDEX(Reference!$B$6:$B$11,MIN(5,MATCH(MAX(Reference!$A$6,MIN(Reference!$A$11,MIN($U162,180))),Reference!$A$6:$A$11,1))+1)-INDEX(Reference!$B$6:$B$11,MIN(5,MATCH(MAX(Reference!$A$6,MIN(Reference!$A$11,MIN($U162,180))),Reference!$A$6:$A$11,1))))/(INDEX(Reference!$A$6:$A$11,MIN(5,MATCH(MAX(Reference!$A$6,MIN(Reference!$A$11,MIN($U162,180))),Reference!$A$6:$A$11,1))+1)-INDEX(Reference!$A$6:$A$11,MIN(5,MATCH(MAX(Reference!$A$6,MIN(Reference!$A$11,MIN($U162,180))),Reference!$A$6:$A$11,1))))),0)+IF(5&lt;=$AL162,($AL162-5+3)*(INDEX(Reference!$B$6:$B$11,MIN(5,MATCH(MAX(Reference!$A$6,MIN(Reference!$A$11,MIN($U162,210))),Reference!$A$6:$A$11,1)))+(MAX(Reference!$A$6,MIN(Reference!$A$11,MIN($U162,210)))-INDEX(Reference!$A$6:$A$11,MIN(5,MATCH(MAX(Reference!$A$6,MIN(Reference!$A$11,MIN($U162,210))),Reference!$A$6:$A$11,1))))*(INDEX(Reference!$B$6:$B$11,MIN(5,MATCH(MAX(Reference!$A$6,MIN(Reference!$A$11,MIN($U162,210))),Reference!$A$6:$A$11,1))+1)-INDEX(Reference!$B$6:$B$11,MIN(5,MATCH(MAX(Reference!$A$6,MIN(Reference!$A$11,MIN($U162,210))),Reference!$A$6:$A$11,1))))/(INDEX(Reference!$A$6:$A$11,MIN(5,MATCH(MAX(Reference!$A$6,MIN(Reference!$A$11,MIN($U162,210))),Reference!$A$6:$A$11,1))+1)-INDEX(Reference!$A$6:$A$11,MIN(5,MATCH(MAX(Reference!$A$6,MIN(Reference!$A$11,MIN($U162,210))),Reference!$A$6:$A$11,1))))),0)+IF(6&lt;=$AL162,($AL162-6+3)*(INDEX(Reference!$B$6:$B$11,MIN(5,MATCH(MAX(Reference!$A$6,MIN(Reference!$A$11,MIN($U162,240))),Reference!$A$6:$A$11,1)))+(MAX(Reference!$A$6,MIN(Reference!$A$11,MIN($U162,240)))-INDEX(Reference!$A$6:$A$11,MIN(5,MATCH(MAX(Reference!$A$6,MIN(Reference!$A$11,MIN($U162,240))),Reference!$A$6:$A$11,1))))*(INDEX(Reference!$B$6:$B$11,MIN(5,MATCH(MAX(Reference!$A$6,MIN(Reference!$A$11,MIN($U162,240))),Reference!$A$6:$A$11,1))+1)-INDEX(Reference!$B$6:$B$11,MIN(5,MATCH(MAX(Reference!$A$6,MIN(Reference!$A$11,MIN($U162,240))),Reference!$A$6:$A$11,1))))/(INDEX(Reference!$A$6:$A$11,MIN(5,MATCH(MAX(Reference!$A$6,MIN(Reference!$A$11,MIN($U162,240))),Reference!$A$6:$A$11,1))+1)-INDEX(Reference!$A$6:$A$11,MIN(5,MATCH(MAX(Reference!$A$6,MIN(Reference!$A$11,MIN($U162,240))),Reference!$A$6:$A$11,1))))),0)+IF(7&lt;=$AL162,($AL162-7+3)*(INDEX(Reference!$B$6:$B$11,MIN(5,MATCH(MAX(Reference!$A$6,MIN(Reference!$A$11,MIN($U162,270))),Reference!$A$6:$A$11,1)))+(MAX(Reference!$A$6,MIN(Reference!$A$11,MIN($U162,270)))-INDEX(Reference!$A$6:$A$11,MIN(5,MATCH(MAX(Reference!$A$6,MIN(Reference!$A$11,MIN($U162,270))),Reference!$A$6:$A$11,1))))*(INDEX(Reference!$B$6:$B$11,MIN(5,MATCH(MAX(Reference!$A$6,MIN(Reference!$A$11,MIN($U162,270))),Reference!$A$6:$A$11,1))+1)-INDEX(Reference!$B$6:$B$11,MIN(5,MATCH(MAX(Reference!$A$6,MIN(Reference!$A$11,MIN($U162,270))),Reference!$A$6:$A$11,1))))/(INDEX(Reference!$A$6:$A$11,MIN(5,MATCH(MAX(Reference!$A$6,MIN(Reference!$A$11,MIN($U162,270))),Reference!$A$6:$A$11,1))+1)-INDEX(Reference!$A$6:$A$11,MIN(5,MATCH(MAX(Reference!$A$6,MIN(Reference!$A$11,MIN($U162,270))),Reference!$A$6:$A$11,1))))),0)+IF(8&lt;=$AL162,($AL162-8+3)*(INDEX(Reference!$B$6:$B$11,MIN(5,MATCH(MAX(Reference!$A$6,MIN(Reference!$A$11,MIN($U162,300))),Reference!$A$6:$A$11,1)))+(MAX(Reference!$A$6,MIN(Reference!$A$11,MIN($U162,300)))-INDEX(Reference!$A$6:$A$11,MIN(5,MATCH(MAX(Reference!$A$6,MIN(Reference!$A$11,MIN($U162,300))),Reference!$A$6:$A$11,1))))*(INDEX(Reference!$B$6:$B$11,MIN(5,MATCH(MAX(Reference!$A$6,MIN(Reference!$A$11,MIN($U162,300))),Reference!$A$6:$A$11,1))+1)-INDEX(Reference!$B$6:$B$11,MIN(5,MATCH(MAX(Reference!$A$6,MIN(Reference!$A$11,MIN($U162,300))),Reference!$A$6:$A$11,1))))/(INDEX(Reference!$A$6:$A$11,MIN(5,MATCH(MAX(Reference!$A$6,MIN(Reference!$A$11,MIN($U162,300))),Reference!$A$6:$A$11,1))+1)-INDEX(Reference!$A$6:$A$11,MIN(5,MATCH(MAX(Reference!$A$6,MIN(Reference!$A$11,MIN($U162,300))),Reference!$A$6:$A$11,1))))),0))/($AL162*($AL162+5)/2)),$AN162))</f>
        <v>0</v>
      </c>
      <c r="AN162" s="32">
        <f>IF($U162="",0,(INDEX(Reference!$B$6:$B$11,MIN(5,MATCH(MAX(Reference!$A$6,MIN(Reference!$A$11,$U162)),Reference!$A$6:$A$11,1)))+(MAX(Reference!$A$6,MIN(Reference!$A$11,$U162))-INDEX(Reference!$A$6:$A$11,MIN(5,MATCH(MAX(Reference!$A$6,MIN(Reference!$A$11,$U162)),Reference!$A$6:$A$11,1))))*(INDEX(Reference!$B$6:$B$11,MIN(5,MATCH(MAX(Reference!$A$6,MIN(Reference!$A$11,$U162)),Reference!$A$6:$A$11,1))+1)-INDEX(Reference!$B$6:$B$11,MIN(5,MATCH(MAX(Reference!$A$6,MIN(Reference!$A$11,$U162)),Reference!$A$6:$A$11,1))))/(INDEX(Reference!$A$6:$A$11,MIN(5,MATCH(MAX(Reference!$A$6,MIN(Reference!$A$11,$U162)),Reference!$A$6:$A$11,1))+1)-INDEX(Reference!$A$6:$A$11,MIN(5,MATCH(MAX(Reference!$A$6,MIN(Reference!$A$11,$U162)),Reference!$A$6:$A$11,1))))))</f>
        <v>0</v>
      </c>
      <c r="AO162" s="37"/>
      <c r="AP162" s="37"/>
      <c r="AQ162" s="37"/>
    </row>
    <row r="163" spans="1:43" x14ac:dyDescent="0.3">
      <c r="A163" s="48" t="str">
        <f t="shared" si="80"/>
        <v/>
      </c>
      <c r="B163" s="32" t="str">
        <f t="shared" si="81"/>
        <v/>
      </c>
      <c r="C163" s="32" t="str">
        <f t="shared" si="82"/>
        <v/>
      </c>
      <c r="D163" s="32" t="str">
        <f t="shared" si="83"/>
        <v/>
      </c>
      <c r="E163" s="32" t="str">
        <f t="shared" si="84"/>
        <v/>
      </c>
      <c r="F163" s="32" t="str">
        <f t="shared" si="85"/>
        <v/>
      </c>
      <c r="G163" s="47" t="str">
        <f t="shared" si="86"/>
        <v/>
      </c>
      <c r="H163" s="30" t="str">
        <f t="shared" si="87"/>
        <v/>
      </c>
      <c r="I163" s="46" t="str">
        <f>IF($A163="","",IF(AND($L163&lt;27,$K$12=0),"Building",IFERROR(((SUM($H$157:$H163)+$K$12*IF($L163&lt;6,SUMIFS('Throw Log'!$Q$5:$Q$300,'Throw Log'!$B$5:$B$300,$D$4,'Throw Log'!$A$5:$A$300,"&gt;="&amp;($D$6+$L163-6),'Throw Log'!$A$5:$A$300,"&lt;="&amp;($D$6-1)),0))/7)/((SUM($H$136:$H163)+$K$12*IF($L163&lt;27,SUMIFS('Throw Log'!$Q$5:$Q$300,'Throw Log'!$B$5:$B$300,$D$4,'Throw Log'!$A$5:$A$300,"&gt;="&amp;($D$6+$L163-27),'Throw Log'!$A$5:$A$300,"&lt;="&amp;($D$6-1)),0))/28),"")))</f>
        <v/>
      </c>
      <c r="J163" s="37"/>
      <c r="K163" s="37"/>
      <c r="L163" s="32">
        <v>120</v>
      </c>
      <c r="M163" s="32">
        <f t="shared" si="88"/>
        <v>18</v>
      </c>
      <c r="N163" s="32">
        <f t="shared" si="89"/>
        <v>1</v>
      </c>
      <c r="O163" s="32">
        <f t="shared" si="90"/>
        <v>1</v>
      </c>
      <c r="P163" s="32" t="str">
        <f>IF(OR($A163="",N($C163)&lt;=7),"",$G$6*$G$9^($M163-1)*IF(AND(MOD($M163,Reference!$B$99)=0,$M163&lt;=$G$5-2),Reference!$B$100,1))</f>
        <v/>
      </c>
      <c r="Q163" s="32" t="str">
        <f>IF($P163="","",IF(SUM($AK$162:$AK$168)=0,0,$P163*INDEX(Reference!$B$108:$B$114,$N163+1)/SUM($AK$162:$AK$168)))</f>
        <v/>
      </c>
      <c r="R163" s="32">
        <f t="shared" si="91"/>
        <v>180</v>
      </c>
      <c r="S163" s="32">
        <f t="shared" si="92"/>
        <v>150</v>
      </c>
      <c r="T163" s="32" t="str">
        <f>IF($A163="","",IF($C163=0,"Bullpen",IF(OR($C163=7,$C163=1,$C163=5),"Recovery/Easy Catch",IF($C163=6,"Compression/Pulldowns",IF(OR($C163=4,$C163=2),"Long Toss",IF($C163=3,"No Throw",IF($N163=2,"No Throw",IF($N163=6,IF($O163&lt;Reference!$B$104,"No Throw","Recovery/Easy Catch"),IF(OR($N163=0,$N163=4),"Recovery/Easy Catch",IF($N163=1,IF($R163&gt;75,"Long Toss","Recovery/Easy Catch"),IF($N163=3,IF($O163&lt;0.5,IF($S163&gt;75,"Long Toss","Recovery/Easy Catch"),"Compression/Pulldowns"),IF($S163&gt;75,"Long Toss","Recovery/Easy Catch"))))))))))))</f>
        <v/>
      </c>
      <c r="U163" s="32" t="str">
        <f t="shared" si="93"/>
        <v/>
      </c>
      <c r="V163" s="32" t="str">
        <f t="shared" si="94"/>
        <v/>
      </c>
      <c r="W163" s="32" t="str">
        <f t="shared" si="95"/>
        <v/>
      </c>
      <c r="X163" s="32">
        <f t="shared" si="96"/>
        <v>0</v>
      </c>
      <c r="Y163" s="32" t="str">
        <f t="shared" si="97"/>
        <v/>
      </c>
      <c r="Z163" s="32" t="str">
        <f t="shared" si="98"/>
        <v/>
      </c>
      <c r="AA163" s="32" t="str">
        <f t="shared" si="99"/>
        <v/>
      </c>
      <c r="AB163" s="32" t="str">
        <f>IF($A163="","",IF($T163="No Throw",0,IF($K163&lt;&gt;"",$K163,IF($AA163&lt;&gt;"",ROUND($AA163*$D$12*IF($C163=0,1,$G$10),0),MIN(IF($T163="Recovery/Easy Catch",Reference!$B$103,IF($T163="Long Toss",Reference!$B$106,Reference!$B$102)),MAX(Reference!$B$101,ROUND(MAX(0,$Q163-$AE163)/$AF163,0)))))))</f>
        <v/>
      </c>
      <c r="AC163" s="32">
        <f t="shared" si="100"/>
        <v>0</v>
      </c>
      <c r="AD163" s="32" t="b">
        <f t="shared" si="101"/>
        <v>1</v>
      </c>
      <c r="AE163" s="32">
        <f>IF($X163=0,0,$X163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163+$Z163)/2,0),Reference!$A$17:$B$20,2,TRUE()))</f>
        <v>0</v>
      </c>
      <c r="AF163" s="32">
        <f>IF(OR($A163="",$U163="",$T163="No Throw"),0,$AM163*VLOOKUP(MAX(($V163+$W163)/2,0),Reference!$A$17:$B$20,2,TRUE()))</f>
        <v>0</v>
      </c>
      <c r="AG163" s="32">
        <f>IF($AC163=0,0,$AC163*INDEX(Reference!$B$61:$B$62,MATCH("Bullpen",Reference!$A$61:$A$62,0))*VLOOKUP(MAX($D$5-($D$9+$E$9)/2,0),Reference!$A$17:$B$20,2,TRUE()))</f>
        <v>0</v>
      </c>
      <c r="AH163" s="32" t="e">
        <f t="shared" si="102"/>
        <v>#N/A</v>
      </c>
      <c r="AI163" s="32" t="e">
        <f>IF($A163="",NA(),Reference!$A$25)</f>
        <v>#N/A</v>
      </c>
      <c r="AJ163" s="32" t="e">
        <f t="shared" si="103"/>
        <v>#N/A</v>
      </c>
      <c r="AK163" s="32">
        <f>IF(OR($A163="",N($C163)&lt;=7,$T163="No Throw",$J163="x"),0,INDEX(Reference!$B$108:$B$114,$N163+1))</f>
        <v>0</v>
      </c>
      <c r="AL163" s="32">
        <f t="shared" si="104"/>
        <v>1</v>
      </c>
      <c r="AM163" s="32">
        <f>IF($U163="",0,IF($AL163&gt;1,((IF(1&lt;=$AL163,($AL163-1+3)*(INDEX(Reference!$B$6:$B$11,MIN(5,MATCH(MAX(Reference!$A$6,MIN(Reference!$A$11,MIN($U163,90))),Reference!$A$6:$A$11,1)))+(MAX(Reference!$A$6,MIN(Reference!$A$11,MIN($U163,90)))-INDEX(Reference!$A$6:$A$11,MIN(5,MATCH(MAX(Reference!$A$6,MIN(Reference!$A$11,MIN($U163,90))),Reference!$A$6:$A$11,1))))*(INDEX(Reference!$B$6:$B$11,MIN(5,MATCH(MAX(Reference!$A$6,MIN(Reference!$A$11,MIN($U163,90))),Reference!$A$6:$A$11,1))+1)-INDEX(Reference!$B$6:$B$11,MIN(5,MATCH(MAX(Reference!$A$6,MIN(Reference!$A$11,MIN($U163,90))),Reference!$A$6:$A$11,1))))/(INDEX(Reference!$A$6:$A$11,MIN(5,MATCH(MAX(Reference!$A$6,MIN(Reference!$A$11,MIN($U163,90))),Reference!$A$6:$A$11,1))+1)-INDEX(Reference!$A$6:$A$11,MIN(5,MATCH(MAX(Reference!$A$6,MIN(Reference!$A$11,MIN($U163,90))),Reference!$A$6:$A$11,1))))),0)+IF(2&lt;=$AL163,($AL163-2+3)*(INDEX(Reference!$B$6:$B$11,MIN(5,MATCH(MAX(Reference!$A$6,MIN(Reference!$A$11,MIN($U163,120))),Reference!$A$6:$A$11,1)))+(MAX(Reference!$A$6,MIN(Reference!$A$11,MIN($U163,120)))-INDEX(Reference!$A$6:$A$11,MIN(5,MATCH(MAX(Reference!$A$6,MIN(Reference!$A$11,MIN($U163,120))),Reference!$A$6:$A$11,1))))*(INDEX(Reference!$B$6:$B$11,MIN(5,MATCH(MAX(Reference!$A$6,MIN(Reference!$A$11,MIN($U163,120))),Reference!$A$6:$A$11,1))+1)-INDEX(Reference!$B$6:$B$11,MIN(5,MATCH(MAX(Reference!$A$6,MIN(Reference!$A$11,MIN($U163,120))),Reference!$A$6:$A$11,1))))/(INDEX(Reference!$A$6:$A$11,MIN(5,MATCH(MAX(Reference!$A$6,MIN(Reference!$A$11,MIN($U163,120))),Reference!$A$6:$A$11,1))+1)-INDEX(Reference!$A$6:$A$11,MIN(5,MATCH(MAX(Reference!$A$6,MIN(Reference!$A$11,MIN($U163,120))),Reference!$A$6:$A$11,1))))),0)+IF(3&lt;=$AL163,($AL163-3+3)*(INDEX(Reference!$B$6:$B$11,MIN(5,MATCH(MAX(Reference!$A$6,MIN(Reference!$A$11,MIN($U163,150))),Reference!$A$6:$A$11,1)))+(MAX(Reference!$A$6,MIN(Reference!$A$11,MIN($U163,150)))-INDEX(Reference!$A$6:$A$11,MIN(5,MATCH(MAX(Reference!$A$6,MIN(Reference!$A$11,MIN($U163,150))),Reference!$A$6:$A$11,1))))*(INDEX(Reference!$B$6:$B$11,MIN(5,MATCH(MAX(Reference!$A$6,MIN(Reference!$A$11,MIN($U163,150))),Reference!$A$6:$A$11,1))+1)-INDEX(Reference!$B$6:$B$11,MIN(5,MATCH(MAX(Reference!$A$6,MIN(Reference!$A$11,MIN($U163,150))),Reference!$A$6:$A$11,1))))/(INDEX(Reference!$A$6:$A$11,MIN(5,MATCH(MAX(Reference!$A$6,MIN(Reference!$A$11,MIN($U163,150))),Reference!$A$6:$A$11,1))+1)-INDEX(Reference!$A$6:$A$11,MIN(5,MATCH(MAX(Reference!$A$6,MIN(Reference!$A$11,MIN($U163,150))),Reference!$A$6:$A$11,1))))),0)+IF(4&lt;=$AL163,($AL163-4+3)*(INDEX(Reference!$B$6:$B$11,MIN(5,MATCH(MAX(Reference!$A$6,MIN(Reference!$A$11,MIN($U163,180))),Reference!$A$6:$A$11,1)))+(MAX(Reference!$A$6,MIN(Reference!$A$11,MIN($U163,180)))-INDEX(Reference!$A$6:$A$11,MIN(5,MATCH(MAX(Reference!$A$6,MIN(Reference!$A$11,MIN($U163,180))),Reference!$A$6:$A$11,1))))*(INDEX(Reference!$B$6:$B$11,MIN(5,MATCH(MAX(Reference!$A$6,MIN(Reference!$A$11,MIN($U163,180))),Reference!$A$6:$A$11,1))+1)-INDEX(Reference!$B$6:$B$11,MIN(5,MATCH(MAX(Reference!$A$6,MIN(Reference!$A$11,MIN($U163,180))),Reference!$A$6:$A$11,1))))/(INDEX(Reference!$A$6:$A$11,MIN(5,MATCH(MAX(Reference!$A$6,MIN(Reference!$A$11,MIN($U163,180))),Reference!$A$6:$A$11,1))+1)-INDEX(Reference!$A$6:$A$11,MIN(5,MATCH(MAX(Reference!$A$6,MIN(Reference!$A$11,MIN($U163,180))),Reference!$A$6:$A$11,1))))),0)+IF(5&lt;=$AL163,($AL163-5+3)*(INDEX(Reference!$B$6:$B$11,MIN(5,MATCH(MAX(Reference!$A$6,MIN(Reference!$A$11,MIN($U163,210))),Reference!$A$6:$A$11,1)))+(MAX(Reference!$A$6,MIN(Reference!$A$11,MIN($U163,210)))-INDEX(Reference!$A$6:$A$11,MIN(5,MATCH(MAX(Reference!$A$6,MIN(Reference!$A$11,MIN($U163,210))),Reference!$A$6:$A$11,1))))*(INDEX(Reference!$B$6:$B$11,MIN(5,MATCH(MAX(Reference!$A$6,MIN(Reference!$A$11,MIN($U163,210))),Reference!$A$6:$A$11,1))+1)-INDEX(Reference!$B$6:$B$11,MIN(5,MATCH(MAX(Reference!$A$6,MIN(Reference!$A$11,MIN($U163,210))),Reference!$A$6:$A$11,1))))/(INDEX(Reference!$A$6:$A$11,MIN(5,MATCH(MAX(Reference!$A$6,MIN(Reference!$A$11,MIN($U163,210))),Reference!$A$6:$A$11,1))+1)-INDEX(Reference!$A$6:$A$11,MIN(5,MATCH(MAX(Reference!$A$6,MIN(Reference!$A$11,MIN($U163,210))),Reference!$A$6:$A$11,1))))),0)+IF(6&lt;=$AL163,($AL163-6+3)*(INDEX(Reference!$B$6:$B$11,MIN(5,MATCH(MAX(Reference!$A$6,MIN(Reference!$A$11,MIN($U163,240))),Reference!$A$6:$A$11,1)))+(MAX(Reference!$A$6,MIN(Reference!$A$11,MIN($U163,240)))-INDEX(Reference!$A$6:$A$11,MIN(5,MATCH(MAX(Reference!$A$6,MIN(Reference!$A$11,MIN($U163,240))),Reference!$A$6:$A$11,1))))*(INDEX(Reference!$B$6:$B$11,MIN(5,MATCH(MAX(Reference!$A$6,MIN(Reference!$A$11,MIN($U163,240))),Reference!$A$6:$A$11,1))+1)-INDEX(Reference!$B$6:$B$11,MIN(5,MATCH(MAX(Reference!$A$6,MIN(Reference!$A$11,MIN($U163,240))),Reference!$A$6:$A$11,1))))/(INDEX(Reference!$A$6:$A$11,MIN(5,MATCH(MAX(Reference!$A$6,MIN(Reference!$A$11,MIN($U163,240))),Reference!$A$6:$A$11,1))+1)-INDEX(Reference!$A$6:$A$11,MIN(5,MATCH(MAX(Reference!$A$6,MIN(Reference!$A$11,MIN($U163,240))),Reference!$A$6:$A$11,1))))),0)+IF(7&lt;=$AL163,($AL163-7+3)*(INDEX(Reference!$B$6:$B$11,MIN(5,MATCH(MAX(Reference!$A$6,MIN(Reference!$A$11,MIN($U163,270))),Reference!$A$6:$A$11,1)))+(MAX(Reference!$A$6,MIN(Reference!$A$11,MIN($U163,270)))-INDEX(Reference!$A$6:$A$11,MIN(5,MATCH(MAX(Reference!$A$6,MIN(Reference!$A$11,MIN($U163,270))),Reference!$A$6:$A$11,1))))*(INDEX(Reference!$B$6:$B$11,MIN(5,MATCH(MAX(Reference!$A$6,MIN(Reference!$A$11,MIN($U163,270))),Reference!$A$6:$A$11,1))+1)-INDEX(Reference!$B$6:$B$11,MIN(5,MATCH(MAX(Reference!$A$6,MIN(Reference!$A$11,MIN($U163,270))),Reference!$A$6:$A$11,1))))/(INDEX(Reference!$A$6:$A$11,MIN(5,MATCH(MAX(Reference!$A$6,MIN(Reference!$A$11,MIN($U163,270))),Reference!$A$6:$A$11,1))+1)-INDEX(Reference!$A$6:$A$11,MIN(5,MATCH(MAX(Reference!$A$6,MIN(Reference!$A$11,MIN($U163,270))),Reference!$A$6:$A$11,1))))),0)+IF(8&lt;=$AL163,($AL163-8+3)*(INDEX(Reference!$B$6:$B$11,MIN(5,MATCH(MAX(Reference!$A$6,MIN(Reference!$A$11,MIN($U163,300))),Reference!$A$6:$A$11,1)))+(MAX(Reference!$A$6,MIN(Reference!$A$11,MIN($U163,300)))-INDEX(Reference!$A$6:$A$11,MIN(5,MATCH(MAX(Reference!$A$6,MIN(Reference!$A$11,MIN($U163,300))),Reference!$A$6:$A$11,1))))*(INDEX(Reference!$B$6:$B$11,MIN(5,MATCH(MAX(Reference!$A$6,MIN(Reference!$A$11,MIN($U163,300))),Reference!$A$6:$A$11,1))+1)-INDEX(Reference!$B$6:$B$11,MIN(5,MATCH(MAX(Reference!$A$6,MIN(Reference!$A$11,MIN($U163,300))),Reference!$A$6:$A$11,1))))/(INDEX(Reference!$A$6:$A$11,MIN(5,MATCH(MAX(Reference!$A$6,MIN(Reference!$A$11,MIN($U163,300))),Reference!$A$6:$A$11,1))+1)-INDEX(Reference!$A$6:$A$11,MIN(5,MATCH(MAX(Reference!$A$6,MIN(Reference!$A$11,MIN($U163,300))),Reference!$A$6:$A$11,1))))),0))/($AL163*($AL163+5)/2)),$AN163))</f>
        <v>0</v>
      </c>
      <c r="AN163" s="32">
        <f>IF($U163="",0,(INDEX(Reference!$B$6:$B$11,MIN(5,MATCH(MAX(Reference!$A$6,MIN(Reference!$A$11,$U163)),Reference!$A$6:$A$11,1)))+(MAX(Reference!$A$6,MIN(Reference!$A$11,$U163))-INDEX(Reference!$A$6:$A$11,MIN(5,MATCH(MAX(Reference!$A$6,MIN(Reference!$A$11,$U163)),Reference!$A$6:$A$11,1))))*(INDEX(Reference!$B$6:$B$11,MIN(5,MATCH(MAX(Reference!$A$6,MIN(Reference!$A$11,$U163)),Reference!$A$6:$A$11,1))+1)-INDEX(Reference!$B$6:$B$11,MIN(5,MATCH(MAX(Reference!$A$6,MIN(Reference!$A$11,$U163)),Reference!$A$6:$A$11,1))))/(INDEX(Reference!$A$6:$A$11,MIN(5,MATCH(MAX(Reference!$A$6,MIN(Reference!$A$11,$U163)),Reference!$A$6:$A$11,1))+1)-INDEX(Reference!$A$6:$A$11,MIN(5,MATCH(MAX(Reference!$A$6,MIN(Reference!$A$11,$U163)),Reference!$A$6:$A$11,1))))))</f>
        <v>0</v>
      </c>
      <c r="AO163" s="37"/>
      <c r="AP163" s="37"/>
      <c r="AQ163" s="37"/>
    </row>
    <row r="164" spans="1:43" x14ac:dyDescent="0.3">
      <c r="A164" s="48" t="str">
        <f t="shared" si="80"/>
        <v/>
      </c>
      <c r="B164" s="32" t="str">
        <f t="shared" si="81"/>
        <v/>
      </c>
      <c r="C164" s="32" t="str">
        <f t="shared" si="82"/>
        <v/>
      </c>
      <c r="D164" s="32" t="str">
        <f t="shared" si="83"/>
        <v/>
      </c>
      <c r="E164" s="32" t="str">
        <f t="shared" si="84"/>
        <v/>
      </c>
      <c r="F164" s="32" t="str">
        <f t="shared" si="85"/>
        <v/>
      </c>
      <c r="G164" s="47" t="str">
        <f t="shared" si="86"/>
        <v/>
      </c>
      <c r="H164" s="30" t="str">
        <f t="shared" si="87"/>
        <v/>
      </c>
      <c r="I164" s="46" t="str">
        <f>IF($A164="","",IF(AND($L164&lt;27,$K$12=0),"Building",IFERROR(((SUM($H$158:$H164)+$K$12*IF($L164&lt;6,SUMIFS('Throw Log'!$Q$5:$Q$300,'Throw Log'!$B$5:$B$300,$D$4,'Throw Log'!$A$5:$A$300,"&gt;="&amp;($D$6+$L164-6),'Throw Log'!$A$5:$A$300,"&lt;="&amp;($D$6-1)),0))/7)/((SUM($H$137:$H164)+$K$12*IF($L164&lt;27,SUMIFS('Throw Log'!$Q$5:$Q$300,'Throw Log'!$B$5:$B$300,$D$4,'Throw Log'!$A$5:$A$300,"&gt;="&amp;($D$6+$L164-27),'Throw Log'!$A$5:$A$300,"&lt;="&amp;($D$6-1)),0))/28),"")))</f>
        <v/>
      </c>
      <c r="J164" s="37"/>
      <c r="K164" s="37"/>
      <c r="L164" s="32">
        <v>121</v>
      </c>
      <c r="M164" s="32">
        <f t="shared" si="88"/>
        <v>18</v>
      </c>
      <c r="N164" s="32">
        <f t="shared" si="89"/>
        <v>2</v>
      </c>
      <c r="O164" s="32">
        <f t="shared" si="90"/>
        <v>1</v>
      </c>
      <c r="P164" s="32" t="str">
        <f>IF(OR($A164="",N($C164)&lt;=7),"",$G$6*$G$9^($M164-1)*IF(AND(MOD($M164,Reference!$B$99)=0,$M164&lt;=$G$5-2),Reference!$B$100,1))</f>
        <v/>
      </c>
      <c r="Q164" s="32" t="str">
        <f>IF($P164="","",IF(SUM($AK$162:$AK$168)=0,0,$P164*INDEX(Reference!$B$108:$B$114,$N164+1)/SUM($AK$162:$AK$168)))</f>
        <v/>
      </c>
      <c r="R164" s="32">
        <f t="shared" si="91"/>
        <v>180</v>
      </c>
      <c r="S164" s="32">
        <f t="shared" si="92"/>
        <v>150</v>
      </c>
      <c r="T164" s="32" t="str">
        <f>IF($A164="","",IF($C164=0,"Bullpen",IF(OR($C164=7,$C164=1,$C164=5),"Recovery/Easy Catch",IF($C164=6,"Compression/Pulldowns",IF(OR($C164=4,$C164=2),"Long Toss",IF($C164=3,"No Throw",IF($N164=2,"No Throw",IF($N164=6,IF($O164&lt;Reference!$B$104,"No Throw","Recovery/Easy Catch"),IF(OR($N164=0,$N164=4),"Recovery/Easy Catch",IF($N164=1,IF($R164&gt;75,"Long Toss","Recovery/Easy Catch"),IF($N164=3,IF($O164&lt;0.5,IF($S164&gt;75,"Long Toss","Recovery/Easy Catch"),"Compression/Pulldowns"),IF($S164&gt;75,"Long Toss","Recovery/Easy Catch"))))))))))))</f>
        <v/>
      </c>
      <c r="U164" s="32" t="str">
        <f t="shared" si="93"/>
        <v/>
      </c>
      <c r="V164" s="32" t="str">
        <f t="shared" si="94"/>
        <v/>
      </c>
      <c r="W164" s="32" t="str">
        <f t="shared" si="95"/>
        <v/>
      </c>
      <c r="X164" s="32">
        <f t="shared" si="96"/>
        <v>0</v>
      </c>
      <c r="Y164" s="32" t="str">
        <f t="shared" si="97"/>
        <v/>
      </c>
      <c r="Z164" s="32" t="str">
        <f t="shared" si="98"/>
        <v/>
      </c>
      <c r="AA164" s="32" t="str">
        <f t="shared" si="99"/>
        <v/>
      </c>
      <c r="AB164" s="32" t="str">
        <f>IF($A164="","",IF($T164="No Throw",0,IF($K164&lt;&gt;"",$K164,IF($AA164&lt;&gt;"",ROUND($AA164*$D$12*IF($C164=0,1,$G$10),0),MIN(IF($T164="Recovery/Easy Catch",Reference!$B$103,IF($T164="Long Toss",Reference!$B$106,Reference!$B$102)),MAX(Reference!$B$101,ROUND(MAX(0,$Q164-$AE164)/$AF164,0)))))))</f>
        <v/>
      </c>
      <c r="AC164" s="32">
        <f t="shared" si="100"/>
        <v>0</v>
      </c>
      <c r="AD164" s="32" t="b">
        <f t="shared" si="101"/>
        <v>1</v>
      </c>
      <c r="AE164" s="32">
        <f>IF($X164=0,0,$X164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164+$Z164)/2,0),Reference!$A$17:$B$20,2,TRUE()))</f>
        <v>0</v>
      </c>
      <c r="AF164" s="32">
        <f>IF(OR($A164="",$U164="",$T164="No Throw"),0,$AM164*VLOOKUP(MAX(($V164+$W164)/2,0),Reference!$A$17:$B$20,2,TRUE()))</f>
        <v>0</v>
      </c>
      <c r="AG164" s="32">
        <f>IF($AC164=0,0,$AC164*INDEX(Reference!$B$61:$B$62,MATCH("Bullpen",Reference!$A$61:$A$62,0))*VLOOKUP(MAX($D$5-($D$9+$E$9)/2,0),Reference!$A$17:$B$20,2,TRUE()))</f>
        <v>0</v>
      </c>
      <c r="AH164" s="32" t="e">
        <f t="shared" si="102"/>
        <v>#N/A</v>
      </c>
      <c r="AI164" s="32" t="e">
        <f>IF($A164="",NA(),Reference!$A$25)</f>
        <v>#N/A</v>
      </c>
      <c r="AJ164" s="32" t="e">
        <f t="shared" si="103"/>
        <v>#N/A</v>
      </c>
      <c r="AK164" s="32">
        <f>IF(OR($A164="",N($C164)&lt;=7,$T164="No Throw",$J164="x"),0,INDEX(Reference!$B$108:$B$114,$N164+1))</f>
        <v>0</v>
      </c>
      <c r="AL164" s="32">
        <f t="shared" si="104"/>
        <v>1</v>
      </c>
      <c r="AM164" s="32">
        <f>IF($U164="",0,IF($AL164&gt;1,((IF(1&lt;=$AL164,($AL164-1+3)*(INDEX(Reference!$B$6:$B$11,MIN(5,MATCH(MAX(Reference!$A$6,MIN(Reference!$A$11,MIN($U164,90))),Reference!$A$6:$A$11,1)))+(MAX(Reference!$A$6,MIN(Reference!$A$11,MIN($U164,90)))-INDEX(Reference!$A$6:$A$11,MIN(5,MATCH(MAX(Reference!$A$6,MIN(Reference!$A$11,MIN($U164,90))),Reference!$A$6:$A$11,1))))*(INDEX(Reference!$B$6:$B$11,MIN(5,MATCH(MAX(Reference!$A$6,MIN(Reference!$A$11,MIN($U164,90))),Reference!$A$6:$A$11,1))+1)-INDEX(Reference!$B$6:$B$11,MIN(5,MATCH(MAX(Reference!$A$6,MIN(Reference!$A$11,MIN($U164,90))),Reference!$A$6:$A$11,1))))/(INDEX(Reference!$A$6:$A$11,MIN(5,MATCH(MAX(Reference!$A$6,MIN(Reference!$A$11,MIN($U164,90))),Reference!$A$6:$A$11,1))+1)-INDEX(Reference!$A$6:$A$11,MIN(5,MATCH(MAX(Reference!$A$6,MIN(Reference!$A$11,MIN($U164,90))),Reference!$A$6:$A$11,1))))),0)+IF(2&lt;=$AL164,($AL164-2+3)*(INDEX(Reference!$B$6:$B$11,MIN(5,MATCH(MAX(Reference!$A$6,MIN(Reference!$A$11,MIN($U164,120))),Reference!$A$6:$A$11,1)))+(MAX(Reference!$A$6,MIN(Reference!$A$11,MIN($U164,120)))-INDEX(Reference!$A$6:$A$11,MIN(5,MATCH(MAX(Reference!$A$6,MIN(Reference!$A$11,MIN($U164,120))),Reference!$A$6:$A$11,1))))*(INDEX(Reference!$B$6:$B$11,MIN(5,MATCH(MAX(Reference!$A$6,MIN(Reference!$A$11,MIN($U164,120))),Reference!$A$6:$A$11,1))+1)-INDEX(Reference!$B$6:$B$11,MIN(5,MATCH(MAX(Reference!$A$6,MIN(Reference!$A$11,MIN($U164,120))),Reference!$A$6:$A$11,1))))/(INDEX(Reference!$A$6:$A$11,MIN(5,MATCH(MAX(Reference!$A$6,MIN(Reference!$A$11,MIN($U164,120))),Reference!$A$6:$A$11,1))+1)-INDEX(Reference!$A$6:$A$11,MIN(5,MATCH(MAX(Reference!$A$6,MIN(Reference!$A$11,MIN($U164,120))),Reference!$A$6:$A$11,1))))),0)+IF(3&lt;=$AL164,($AL164-3+3)*(INDEX(Reference!$B$6:$B$11,MIN(5,MATCH(MAX(Reference!$A$6,MIN(Reference!$A$11,MIN($U164,150))),Reference!$A$6:$A$11,1)))+(MAX(Reference!$A$6,MIN(Reference!$A$11,MIN($U164,150)))-INDEX(Reference!$A$6:$A$11,MIN(5,MATCH(MAX(Reference!$A$6,MIN(Reference!$A$11,MIN($U164,150))),Reference!$A$6:$A$11,1))))*(INDEX(Reference!$B$6:$B$11,MIN(5,MATCH(MAX(Reference!$A$6,MIN(Reference!$A$11,MIN($U164,150))),Reference!$A$6:$A$11,1))+1)-INDEX(Reference!$B$6:$B$11,MIN(5,MATCH(MAX(Reference!$A$6,MIN(Reference!$A$11,MIN($U164,150))),Reference!$A$6:$A$11,1))))/(INDEX(Reference!$A$6:$A$11,MIN(5,MATCH(MAX(Reference!$A$6,MIN(Reference!$A$11,MIN($U164,150))),Reference!$A$6:$A$11,1))+1)-INDEX(Reference!$A$6:$A$11,MIN(5,MATCH(MAX(Reference!$A$6,MIN(Reference!$A$11,MIN($U164,150))),Reference!$A$6:$A$11,1))))),0)+IF(4&lt;=$AL164,($AL164-4+3)*(INDEX(Reference!$B$6:$B$11,MIN(5,MATCH(MAX(Reference!$A$6,MIN(Reference!$A$11,MIN($U164,180))),Reference!$A$6:$A$11,1)))+(MAX(Reference!$A$6,MIN(Reference!$A$11,MIN($U164,180)))-INDEX(Reference!$A$6:$A$11,MIN(5,MATCH(MAX(Reference!$A$6,MIN(Reference!$A$11,MIN($U164,180))),Reference!$A$6:$A$11,1))))*(INDEX(Reference!$B$6:$B$11,MIN(5,MATCH(MAX(Reference!$A$6,MIN(Reference!$A$11,MIN($U164,180))),Reference!$A$6:$A$11,1))+1)-INDEX(Reference!$B$6:$B$11,MIN(5,MATCH(MAX(Reference!$A$6,MIN(Reference!$A$11,MIN($U164,180))),Reference!$A$6:$A$11,1))))/(INDEX(Reference!$A$6:$A$11,MIN(5,MATCH(MAX(Reference!$A$6,MIN(Reference!$A$11,MIN($U164,180))),Reference!$A$6:$A$11,1))+1)-INDEX(Reference!$A$6:$A$11,MIN(5,MATCH(MAX(Reference!$A$6,MIN(Reference!$A$11,MIN($U164,180))),Reference!$A$6:$A$11,1))))),0)+IF(5&lt;=$AL164,($AL164-5+3)*(INDEX(Reference!$B$6:$B$11,MIN(5,MATCH(MAX(Reference!$A$6,MIN(Reference!$A$11,MIN($U164,210))),Reference!$A$6:$A$11,1)))+(MAX(Reference!$A$6,MIN(Reference!$A$11,MIN($U164,210)))-INDEX(Reference!$A$6:$A$11,MIN(5,MATCH(MAX(Reference!$A$6,MIN(Reference!$A$11,MIN($U164,210))),Reference!$A$6:$A$11,1))))*(INDEX(Reference!$B$6:$B$11,MIN(5,MATCH(MAX(Reference!$A$6,MIN(Reference!$A$11,MIN($U164,210))),Reference!$A$6:$A$11,1))+1)-INDEX(Reference!$B$6:$B$11,MIN(5,MATCH(MAX(Reference!$A$6,MIN(Reference!$A$11,MIN($U164,210))),Reference!$A$6:$A$11,1))))/(INDEX(Reference!$A$6:$A$11,MIN(5,MATCH(MAX(Reference!$A$6,MIN(Reference!$A$11,MIN($U164,210))),Reference!$A$6:$A$11,1))+1)-INDEX(Reference!$A$6:$A$11,MIN(5,MATCH(MAX(Reference!$A$6,MIN(Reference!$A$11,MIN($U164,210))),Reference!$A$6:$A$11,1))))),0)+IF(6&lt;=$AL164,($AL164-6+3)*(INDEX(Reference!$B$6:$B$11,MIN(5,MATCH(MAX(Reference!$A$6,MIN(Reference!$A$11,MIN($U164,240))),Reference!$A$6:$A$11,1)))+(MAX(Reference!$A$6,MIN(Reference!$A$11,MIN($U164,240)))-INDEX(Reference!$A$6:$A$11,MIN(5,MATCH(MAX(Reference!$A$6,MIN(Reference!$A$11,MIN($U164,240))),Reference!$A$6:$A$11,1))))*(INDEX(Reference!$B$6:$B$11,MIN(5,MATCH(MAX(Reference!$A$6,MIN(Reference!$A$11,MIN($U164,240))),Reference!$A$6:$A$11,1))+1)-INDEX(Reference!$B$6:$B$11,MIN(5,MATCH(MAX(Reference!$A$6,MIN(Reference!$A$11,MIN($U164,240))),Reference!$A$6:$A$11,1))))/(INDEX(Reference!$A$6:$A$11,MIN(5,MATCH(MAX(Reference!$A$6,MIN(Reference!$A$11,MIN($U164,240))),Reference!$A$6:$A$11,1))+1)-INDEX(Reference!$A$6:$A$11,MIN(5,MATCH(MAX(Reference!$A$6,MIN(Reference!$A$11,MIN($U164,240))),Reference!$A$6:$A$11,1))))),0)+IF(7&lt;=$AL164,($AL164-7+3)*(INDEX(Reference!$B$6:$B$11,MIN(5,MATCH(MAX(Reference!$A$6,MIN(Reference!$A$11,MIN($U164,270))),Reference!$A$6:$A$11,1)))+(MAX(Reference!$A$6,MIN(Reference!$A$11,MIN($U164,270)))-INDEX(Reference!$A$6:$A$11,MIN(5,MATCH(MAX(Reference!$A$6,MIN(Reference!$A$11,MIN($U164,270))),Reference!$A$6:$A$11,1))))*(INDEX(Reference!$B$6:$B$11,MIN(5,MATCH(MAX(Reference!$A$6,MIN(Reference!$A$11,MIN($U164,270))),Reference!$A$6:$A$11,1))+1)-INDEX(Reference!$B$6:$B$11,MIN(5,MATCH(MAX(Reference!$A$6,MIN(Reference!$A$11,MIN($U164,270))),Reference!$A$6:$A$11,1))))/(INDEX(Reference!$A$6:$A$11,MIN(5,MATCH(MAX(Reference!$A$6,MIN(Reference!$A$11,MIN($U164,270))),Reference!$A$6:$A$11,1))+1)-INDEX(Reference!$A$6:$A$11,MIN(5,MATCH(MAX(Reference!$A$6,MIN(Reference!$A$11,MIN($U164,270))),Reference!$A$6:$A$11,1))))),0)+IF(8&lt;=$AL164,($AL164-8+3)*(INDEX(Reference!$B$6:$B$11,MIN(5,MATCH(MAX(Reference!$A$6,MIN(Reference!$A$11,MIN($U164,300))),Reference!$A$6:$A$11,1)))+(MAX(Reference!$A$6,MIN(Reference!$A$11,MIN($U164,300)))-INDEX(Reference!$A$6:$A$11,MIN(5,MATCH(MAX(Reference!$A$6,MIN(Reference!$A$11,MIN($U164,300))),Reference!$A$6:$A$11,1))))*(INDEX(Reference!$B$6:$B$11,MIN(5,MATCH(MAX(Reference!$A$6,MIN(Reference!$A$11,MIN($U164,300))),Reference!$A$6:$A$11,1))+1)-INDEX(Reference!$B$6:$B$11,MIN(5,MATCH(MAX(Reference!$A$6,MIN(Reference!$A$11,MIN($U164,300))),Reference!$A$6:$A$11,1))))/(INDEX(Reference!$A$6:$A$11,MIN(5,MATCH(MAX(Reference!$A$6,MIN(Reference!$A$11,MIN($U164,300))),Reference!$A$6:$A$11,1))+1)-INDEX(Reference!$A$6:$A$11,MIN(5,MATCH(MAX(Reference!$A$6,MIN(Reference!$A$11,MIN($U164,300))),Reference!$A$6:$A$11,1))))),0))/($AL164*($AL164+5)/2)),$AN164))</f>
        <v>0</v>
      </c>
      <c r="AN164" s="32">
        <f>IF($U164="",0,(INDEX(Reference!$B$6:$B$11,MIN(5,MATCH(MAX(Reference!$A$6,MIN(Reference!$A$11,$U164)),Reference!$A$6:$A$11,1)))+(MAX(Reference!$A$6,MIN(Reference!$A$11,$U164))-INDEX(Reference!$A$6:$A$11,MIN(5,MATCH(MAX(Reference!$A$6,MIN(Reference!$A$11,$U164)),Reference!$A$6:$A$11,1))))*(INDEX(Reference!$B$6:$B$11,MIN(5,MATCH(MAX(Reference!$A$6,MIN(Reference!$A$11,$U164)),Reference!$A$6:$A$11,1))+1)-INDEX(Reference!$B$6:$B$11,MIN(5,MATCH(MAX(Reference!$A$6,MIN(Reference!$A$11,$U164)),Reference!$A$6:$A$11,1))))/(INDEX(Reference!$A$6:$A$11,MIN(5,MATCH(MAX(Reference!$A$6,MIN(Reference!$A$11,$U164)),Reference!$A$6:$A$11,1))+1)-INDEX(Reference!$A$6:$A$11,MIN(5,MATCH(MAX(Reference!$A$6,MIN(Reference!$A$11,$U164)),Reference!$A$6:$A$11,1))))))</f>
        <v>0</v>
      </c>
      <c r="AO164" s="37"/>
      <c r="AP164" s="37"/>
      <c r="AQ164" s="37"/>
    </row>
    <row r="165" spans="1:43" x14ac:dyDescent="0.3">
      <c r="A165" s="48" t="str">
        <f t="shared" si="80"/>
        <v/>
      </c>
      <c r="B165" s="32" t="str">
        <f t="shared" si="81"/>
        <v/>
      </c>
      <c r="C165" s="32" t="str">
        <f t="shared" si="82"/>
        <v/>
      </c>
      <c r="D165" s="32" t="str">
        <f t="shared" si="83"/>
        <v/>
      </c>
      <c r="E165" s="32" t="str">
        <f t="shared" si="84"/>
        <v/>
      </c>
      <c r="F165" s="32" t="str">
        <f t="shared" si="85"/>
        <v/>
      </c>
      <c r="G165" s="47" t="str">
        <f t="shared" si="86"/>
        <v/>
      </c>
      <c r="H165" s="30" t="str">
        <f t="shared" si="87"/>
        <v/>
      </c>
      <c r="I165" s="46" t="str">
        <f>IF($A165="","",IF(AND($L165&lt;27,$K$12=0),"Building",IFERROR(((SUM($H$159:$H165)+$K$12*IF($L165&lt;6,SUMIFS('Throw Log'!$Q$5:$Q$300,'Throw Log'!$B$5:$B$300,$D$4,'Throw Log'!$A$5:$A$300,"&gt;="&amp;($D$6+$L165-6),'Throw Log'!$A$5:$A$300,"&lt;="&amp;($D$6-1)),0))/7)/((SUM($H$138:$H165)+$K$12*IF($L165&lt;27,SUMIFS('Throw Log'!$Q$5:$Q$300,'Throw Log'!$B$5:$B$300,$D$4,'Throw Log'!$A$5:$A$300,"&gt;="&amp;($D$6+$L165-27),'Throw Log'!$A$5:$A$300,"&lt;="&amp;($D$6-1)),0))/28),"")))</f>
        <v/>
      </c>
      <c r="J165" s="37"/>
      <c r="K165" s="37"/>
      <c r="L165" s="32">
        <v>122</v>
      </c>
      <c r="M165" s="32">
        <f t="shared" si="88"/>
        <v>18</v>
      </c>
      <c r="N165" s="32">
        <f t="shared" si="89"/>
        <v>3</v>
      </c>
      <c r="O165" s="32">
        <f t="shared" si="90"/>
        <v>1</v>
      </c>
      <c r="P165" s="32" t="str">
        <f>IF(OR($A165="",N($C165)&lt;=7),"",$G$6*$G$9^($M165-1)*IF(AND(MOD($M165,Reference!$B$99)=0,$M165&lt;=$G$5-2),Reference!$B$100,1))</f>
        <v/>
      </c>
      <c r="Q165" s="32" t="str">
        <f>IF($P165="","",IF(SUM($AK$162:$AK$168)=0,0,$P165*INDEX(Reference!$B$108:$B$114,$N165+1)/SUM($AK$162:$AK$168)))</f>
        <v/>
      </c>
      <c r="R165" s="32">
        <f t="shared" si="91"/>
        <v>180</v>
      </c>
      <c r="S165" s="32">
        <f t="shared" si="92"/>
        <v>150</v>
      </c>
      <c r="T165" s="32" t="str">
        <f>IF($A165="","",IF($C165=0,"Bullpen",IF(OR($C165=7,$C165=1,$C165=5),"Recovery/Easy Catch",IF($C165=6,"Compression/Pulldowns",IF(OR($C165=4,$C165=2),"Long Toss",IF($C165=3,"No Throw",IF($N165=2,"No Throw",IF($N165=6,IF($O165&lt;Reference!$B$104,"No Throw","Recovery/Easy Catch"),IF(OR($N165=0,$N165=4),"Recovery/Easy Catch",IF($N165=1,IF($R165&gt;75,"Long Toss","Recovery/Easy Catch"),IF($N165=3,IF($O165&lt;0.5,IF($S165&gt;75,"Long Toss","Recovery/Easy Catch"),"Compression/Pulldowns"),IF($S165&gt;75,"Long Toss","Recovery/Easy Catch"))))))))))))</f>
        <v/>
      </c>
      <c r="U165" s="32" t="str">
        <f t="shared" si="93"/>
        <v/>
      </c>
      <c r="V165" s="32" t="str">
        <f t="shared" si="94"/>
        <v/>
      </c>
      <c r="W165" s="32" t="str">
        <f t="shared" si="95"/>
        <v/>
      </c>
      <c r="X165" s="32">
        <f t="shared" si="96"/>
        <v>0</v>
      </c>
      <c r="Y165" s="32" t="str">
        <f t="shared" si="97"/>
        <v/>
      </c>
      <c r="Z165" s="32" t="str">
        <f t="shared" si="98"/>
        <v/>
      </c>
      <c r="AA165" s="32" t="str">
        <f t="shared" si="99"/>
        <v/>
      </c>
      <c r="AB165" s="32" t="str">
        <f>IF($A165="","",IF($T165="No Throw",0,IF($K165&lt;&gt;"",$K165,IF($AA165&lt;&gt;"",ROUND($AA165*$D$12*IF($C165=0,1,$G$10),0),MIN(IF($T165="Recovery/Easy Catch",Reference!$B$103,IF($T165="Long Toss",Reference!$B$106,Reference!$B$102)),MAX(Reference!$B$101,ROUND(MAX(0,$Q165-$AE165)/$AF165,0)))))))</f>
        <v/>
      </c>
      <c r="AC165" s="32">
        <f t="shared" si="100"/>
        <v>0</v>
      </c>
      <c r="AD165" s="32" t="b">
        <f t="shared" si="101"/>
        <v>1</v>
      </c>
      <c r="AE165" s="32">
        <f>IF($X165=0,0,$X165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165+$Z165)/2,0),Reference!$A$17:$B$20,2,TRUE()))</f>
        <v>0</v>
      </c>
      <c r="AF165" s="32">
        <f>IF(OR($A165="",$U165="",$T165="No Throw"),0,$AM165*VLOOKUP(MAX(($V165+$W165)/2,0),Reference!$A$17:$B$20,2,TRUE()))</f>
        <v>0</v>
      </c>
      <c r="AG165" s="32">
        <f>IF($AC165=0,0,$AC165*INDEX(Reference!$B$61:$B$62,MATCH("Bullpen",Reference!$A$61:$A$62,0))*VLOOKUP(MAX($D$5-($D$9+$E$9)/2,0),Reference!$A$17:$B$20,2,TRUE()))</f>
        <v>0</v>
      </c>
      <c r="AH165" s="32" t="e">
        <f t="shared" si="102"/>
        <v>#N/A</v>
      </c>
      <c r="AI165" s="32" t="e">
        <f>IF($A165="",NA(),Reference!$A$25)</f>
        <v>#N/A</v>
      </c>
      <c r="AJ165" s="32" t="e">
        <f t="shared" si="103"/>
        <v>#N/A</v>
      </c>
      <c r="AK165" s="32">
        <f>IF(OR($A165="",N($C165)&lt;=7,$T165="No Throw",$J165="x"),0,INDEX(Reference!$B$108:$B$114,$N165+1))</f>
        <v>0</v>
      </c>
      <c r="AL165" s="32">
        <f t="shared" si="104"/>
        <v>1</v>
      </c>
      <c r="AM165" s="32">
        <f>IF($U165="",0,IF($AL165&gt;1,((IF(1&lt;=$AL165,($AL165-1+3)*(INDEX(Reference!$B$6:$B$11,MIN(5,MATCH(MAX(Reference!$A$6,MIN(Reference!$A$11,MIN($U165,90))),Reference!$A$6:$A$11,1)))+(MAX(Reference!$A$6,MIN(Reference!$A$11,MIN($U165,90)))-INDEX(Reference!$A$6:$A$11,MIN(5,MATCH(MAX(Reference!$A$6,MIN(Reference!$A$11,MIN($U165,90))),Reference!$A$6:$A$11,1))))*(INDEX(Reference!$B$6:$B$11,MIN(5,MATCH(MAX(Reference!$A$6,MIN(Reference!$A$11,MIN($U165,90))),Reference!$A$6:$A$11,1))+1)-INDEX(Reference!$B$6:$B$11,MIN(5,MATCH(MAX(Reference!$A$6,MIN(Reference!$A$11,MIN($U165,90))),Reference!$A$6:$A$11,1))))/(INDEX(Reference!$A$6:$A$11,MIN(5,MATCH(MAX(Reference!$A$6,MIN(Reference!$A$11,MIN($U165,90))),Reference!$A$6:$A$11,1))+1)-INDEX(Reference!$A$6:$A$11,MIN(5,MATCH(MAX(Reference!$A$6,MIN(Reference!$A$11,MIN($U165,90))),Reference!$A$6:$A$11,1))))),0)+IF(2&lt;=$AL165,($AL165-2+3)*(INDEX(Reference!$B$6:$B$11,MIN(5,MATCH(MAX(Reference!$A$6,MIN(Reference!$A$11,MIN($U165,120))),Reference!$A$6:$A$11,1)))+(MAX(Reference!$A$6,MIN(Reference!$A$11,MIN($U165,120)))-INDEX(Reference!$A$6:$A$11,MIN(5,MATCH(MAX(Reference!$A$6,MIN(Reference!$A$11,MIN($U165,120))),Reference!$A$6:$A$11,1))))*(INDEX(Reference!$B$6:$B$11,MIN(5,MATCH(MAX(Reference!$A$6,MIN(Reference!$A$11,MIN($U165,120))),Reference!$A$6:$A$11,1))+1)-INDEX(Reference!$B$6:$B$11,MIN(5,MATCH(MAX(Reference!$A$6,MIN(Reference!$A$11,MIN($U165,120))),Reference!$A$6:$A$11,1))))/(INDEX(Reference!$A$6:$A$11,MIN(5,MATCH(MAX(Reference!$A$6,MIN(Reference!$A$11,MIN($U165,120))),Reference!$A$6:$A$11,1))+1)-INDEX(Reference!$A$6:$A$11,MIN(5,MATCH(MAX(Reference!$A$6,MIN(Reference!$A$11,MIN($U165,120))),Reference!$A$6:$A$11,1))))),0)+IF(3&lt;=$AL165,($AL165-3+3)*(INDEX(Reference!$B$6:$B$11,MIN(5,MATCH(MAX(Reference!$A$6,MIN(Reference!$A$11,MIN($U165,150))),Reference!$A$6:$A$11,1)))+(MAX(Reference!$A$6,MIN(Reference!$A$11,MIN($U165,150)))-INDEX(Reference!$A$6:$A$11,MIN(5,MATCH(MAX(Reference!$A$6,MIN(Reference!$A$11,MIN($U165,150))),Reference!$A$6:$A$11,1))))*(INDEX(Reference!$B$6:$B$11,MIN(5,MATCH(MAX(Reference!$A$6,MIN(Reference!$A$11,MIN($U165,150))),Reference!$A$6:$A$11,1))+1)-INDEX(Reference!$B$6:$B$11,MIN(5,MATCH(MAX(Reference!$A$6,MIN(Reference!$A$11,MIN($U165,150))),Reference!$A$6:$A$11,1))))/(INDEX(Reference!$A$6:$A$11,MIN(5,MATCH(MAX(Reference!$A$6,MIN(Reference!$A$11,MIN($U165,150))),Reference!$A$6:$A$11,1))+1)-INDEX(Reference!$A$6:$A$11,MIN(5,MATCH(MAX(Reference!$A$6,MIN(Reference!$A$11,MIN($U165,150))),Reference!$A$6:$A$11,1))))),0)+IF(4&lt;=$AL165,($AL165-4+3)*(INDEX(Reference!$B$6:$B$11,MIN(5,MATCH(MAX(Reference!$A$6,MIN(Reference!$A$11,MIN($U165,180))),Reference!$A$6:$A$11,1)))+(MAX(Reference!$A$6,MIN(Reference!$A$11,MIN($U165,180)))-INDEX(Reference!$A$6:$A$11,MIN(5,MATCH(MAX(Reference!$A$6,MIN(Reference!$A$11,MIN($U165,180))),Reference!$A$6:$A$11,1))))*(INDEX(Reference!$B$6:$B$11,MIN(5,MATCH(MAX(Reference!$A$6,MIN(Reference!$A$11,MIN($U165,180))),Reference!$A$6:$A$11,1))+1)-INDEX(Reference!$B$6:$B$11,MIN(5,MATCH(MAX(Reference!$A$6,MIN(Reference!$A$11,MIN($U165,180))),Reference!$A$6:$A$11,1))))/(INDEX(Reference!$A$6:$A$11,MIN(5,MATCH(MAX(Reference!$A$6,MIN(Reference!$A$11,MIN($U165,180))),Reference!$A$6:$A$11,1))+1)-INDEX(Reference!$A$6:$A$11,MIN(5,MATCH(MAX(Reference!$A$6,MIN(Reference!$A$11,MIN($U165,180))),Reference!$A$6:$A$11,1))))),0)+IF(5&lt;=$AL165,($AL165-5+3)*(INDEX(Reference!$B$6:$B$11,MIN(5,MATCH(MAX(Reference!$A$6,MIN(Reference!$A$11,MIN($U165,210))),Reference!$A$6:$A$11,1)))+(MAX(Reference!$A$6,MIN(Reference!$A$11,MIN($U165,210)))-INDEX(Reference!$A$6:$A$11,MIN(5,MATCH(MAX(Reference!$A$6,MIN(Reference!$A$11,MIN($U165,210))),Reference!$A$6:$A$11,1))))*(INDEX(Reference!$B$6:$B$11,MIN(5,MATCH(MAX(Reference!$A$6,MIN(Reference!$A$11,MIN($U165,210))),Reference!$A$6:$A$11,1))+1)-INDEX(Reference!$B$6:$B$11,MIN(5,MATCH(MAX(Reference!$A$6,MIN(Reference!$A$11,MIN($U165,210))),Reference!$A$6:$A$11,1))))/(INDEX(Reference!$A$6:$A$11,MIN(5,MATCH(MAX(Reference!$A$6,MIN(Reference!$A$11,MIN($U165,210))),Reference!$A$6:$A$11,1))+1)-INDEX(Reference!$A$6:$A$11,MIN(5,MATCH(MAX(Reference!$A$6,MIN(Reference!$A$11,MIN($U165,210))),Reference!$A$6:$A$11,1))))),0)+IF(6&lt;=$AL165,($AL165-6+3)*(INDEX(Reference!$B$6:$B$11,MIN(5,MATCH(MAX(Reference!$A$6,MIN(Reference!$A$11,MIN($U165,240))),Reference!$A$6:$A$11,1)))+(MAX(Reference!$A$6,MIN(Reference!$A$11,MIN($U165,240)))-INDEX(Reference!$A$6:$A$11,MIN(5,MATCH(MAX(Reference!$A$6,MIN(Reference!$A$11,MIN($U165,240))),Reference!$A$6:$A$11,1))))*(INDEX(Reference!$B$6:$B$11,MIN(5,MATCH(MAX(Reference!$A$6,MIN(Reference!$A$11,MIN($U165,240))),Reference!$A$6:$A$11,1))+1)-INDEX(Reference!$B$6:$B$11,MIN(5,MATCH(MAX(Reference!$A$6,MIN(Reference!$A$11,MIN($U165,240))),Reference!$A$6:$A$11,1))))/(INDEX(Reference!$A$6:$A$11,MIN(5,MATCH(MAX(Reference!$A$6,MIN(Reference!$A$11,MIN($U165,240))),Reference!$A$6:$A$11,1))+1)-INDEX(Reference!$A$6:$A$11,MIN(5,MATCH(MAX(Reference!$A$6,MIN(Reference!$A$11,MIN($U165,240))),Reference!$A$6:$A$11,1))))),0)+IF(7&lt;=$AL165,($AL165-7+3)*(INDEX(Reference!$B$6:$B$11,MIN(5,MATCH(MAX(Reference!$A$6,MIN(Reference!$A$11,MIN($U165,270))),Reference!$A$6:$A$11,1)))+(MAX(Reference!$A$6,MIN(Reference!$A$11,MIN($U165,270)))-INDEX(Reference!$A$6:$A$11,MIN(5,MATCH(MAX(Reference!$A$6,MIN(Reference!$A$11,MIN($U165,270))),Reference!$A$6:$A$11,1))))*(INDEX(Reference!$B$6:$B$11,MIN(5,MATCH(MAX(Reference!$A$6,MIN(Reference!$A$11,MIN($U165,270))),Reference!$A$6:$A$11,1))+1)-INDEX(Reference!$B$6:$B$11,MIN(5,MATCH(MAX(Reference!$A$6,MIN(Reference!$A$11,MIN($U165,270))),Reference!$A$6:$A$11,1))))/(INDEX(Reference!$A$6:$A$11,MIN(5,MATCH(MAX(Reference!$A$6,MIN(Reference!$A$11,MIN($U165,270))),Reference!$A$6:$A$11,1))+1)-INDEX(Reference!$A$6:$A$11,MIN(5,MATCH(MAX(Reference!$A$6,MIN(Reference!$A$11,MIN($U165,270))),Reference!$A$6:$A$11,1))))),0)+IF(8&lt;=$AL165,($AL165-8+3)*(INDEX(Reference!$B$6:$B$11,MIN(5,MATCH(MAX(Reference!$A$6,MIN(Reference!$A$11,MIN($U165,300))),Reference!$A$6:$A$11,1)))+(MAX(Reference!$A$6,MIN(Reference!$A$11,MIN($U165,300)))-INDEX(Reference!$A$6:$A$11,MIN(5,MATCH(MAX(Reference!$A$6,MIN(Reference!$A$11,MIN($U165,300))),Reference!$A$6:$A$11,1))))*(INDEX(Reference!$B$6:$B$11,MIN(5,MATCH(MAX(Reference!$A$6,MIN(Reference!$A$11,MIN($U165,300))),Reference!$A$6:$A$11,1))+1)-INDEX(Reference!$B$6:$B$11,MIN(5,MATCH(MAX(Reference!$A$6,MIN(Reference!$A$11,MIN($U165,300))),Reference!$A$6:$A$11,1))))/(INDEX(Reference!$A$6:$A$11,MIN(5,MATCH(MAX(Reference!$A$6,MIN(Reference!$A$11,MIN($U165,300))),Reference!$A$6:$A$11,1))+1)-INDEX(Reference!$A$6:$A$11,MIN(5,MATCH(MAX(Reference!$A$6,MIN(Reference!$A$11,MIN($U165,300))),Reference!$A$6:$A$11,1))))),0))/($AL165*($AL165+5)/2)),$AN165))</f>
        <v>0</v>
      </c>
      <c r="AN165" s="32">
        <f>IF($U165="",0,(INDEX(Reference!$B$6:$B$11,MIN(5,MATCH(MAX(Reference!$A$6,MIN(Reference!$A$11,$U165)),Reference!$A$6:$A$11,1)))+(MAX(Reference!$A$6,MIN(Reference!$A$11,$U165))-INDEX(Reference!$A$6:$A$11,MIN(5,MATCH(MAX(Reference!$A$6,MIN(Reference!$A$11,$U165)),Reference!$A$6:$A$11,1))))*(INDEX(Reference!$B$6:$B$11,MIN(5,MATCH(MAX(Reference!$A$6,MIN(Reference!$A$11,$U165)),Reference!$A$6:$A$11,1))+1)-INDEX(Reference!$B$6:$B$11,MIN(5,MATCH(MAX(Reference!$A$6,MIN(Reference!$A$11,$U165)),Reference!$A$6:$A$11,1))))/(INDEX(Reference!$A$6:$A$11,MIN(5,MATCH(MAX(Reference!$A$6,MIN(Reference!$A$11,$U165)),Reference!$A$6:$A$11,1))+1)-INDEX(Reference!$A$6:$A$11,MIN(5,MATCH(MAX(Reference!$A$6,MIN(Reference!$A$11,$U165)),Reference!$A$6:$A$11,1))))))</f>
        <v>0</v>
      </c>
      <c r="AO165" s="37"/>
      <c r="AP165" s="37"/>
      <c r="AQ165" s="37"/>
    </row>
    <row r="166" spans="1:43" x14ac:dyDescent="0.3">
      <c r="A166" s="48" t="str">
        <f t="shared" si="80"/>
        <v/>
      </c>
      <c r="B166" s="32" t="str">
        <f t="shared" si="81"/>
        <v/>
      </c>
      <c r="C166" s="32" t="str">
        <f t="shared" si="82"/>
        <v/>
      </c>
      <c r="D166" s="32" t="str">
        <f t="shared" si="83"/>
        <v/>
      </c>
      <c r="E166" s="32" t="str">
        <f t="shared" si="84"/>
        <v/>
      </c>
      <c r="F166" s="32" t="str">
        <f t="shared" si="85"/>
        <v/>
      </c>
      <c r="G166" s="47" t="str">
        <f t="shared" si="86"/>
        <v/>
      </c>
      <c r="H166" s="30" t="str">
        <f t="shared" si="87"/>
        <v/>
      </c>
      <c r="I166" s="46" t="str">
        <f>IF($A166="","",IF(AND($L166&lt;27,$K$12=0),"Building",IFERROR(((SUM($H$160:$H166)+$K$12*IF($L166&lt;6,SUMIFS('Throw Log'!$Q$5:$Q$300,'Throw Log'!$B$5:$B$300,$D$4,'Throw Log'!$A$5:$A$300,"&gt;="&amp;($D$6+$L166-6),'Throw Log'!$A$5:$A$300,"&lt;="&amp;($D$6-1)),0))/7)/((SUM($H$139:$H166)+$K$12*IF($L166&lt;27,SUMIFS('Throw Log'!$Q$5:$Q$300,'Throw Log'!$B$5:$B$300,$D$4,'Throw Log'!$A$5:$A$300,"&gt;="&amp;($D$6+$L166-27),'Throw Log'!$A$5:$A$300,"&lt;="&amp;($D$6-1)),0))/28),"")))</f>
        <v/>
      </c>
      <c r="J166" s="37"/>
      <c r="K166" s="37"/>
      <c r="L166" s="32">
        <v>123</v>
      </c>
      <c r="M166" s="32">
        <f t="shared" si="88"/>
        <v>18</v>
      </c>
      <c r="N166" s="32">
        <f t="shared" si="89"/>
        <v>4</v>
      </c>
      <c r="O166" s="32">
        <f t="shared" si="90"/>
        <v>1</v>
      </c>
      <c r="P166" s="32" t="str">
        <f>IF(OR($A166="",N($C166)&lt;=7),"",$G$6*$G$9^($M166-1)*IF(AND(MOD($M166,Reference!$B$99)=0,$M166&lt;=$G$5-2),Reference!$B$100,1))</f>
        <v/>
      </c>
      <c r="Q166" s="32" t="str">
        <f>IF($P166="","",IF(SUM($AK$162:$AK$168)=0,0,$P166*INDEX(Reference!$B$108:$B$114,$N166+1)/SUM($AK$162:$AK$168)))</f>
        <v/>
      </c>
      <c r="R166" s="32">
        <f t="shared" si="91"/>
        <v>180</v>
      </c>
      <c r="S166" s="32">
        <f t="shared" si="92"/>
        <v>150</v>
      </c>
      <c r="T166" s="32" t="str">
        <f>IF($A166="","",IF($C166=0,"Bullpen",IF(OR($C166=7,$C166=1,$C166=5),"Recovery/Easy Catch",IF($C166=6,"Compression/Pulldowns",IF(OR($C166=4,$C166=2),"Long Toss",IF($C166=3,"No Throw",IF($N166=2,"No Throw",IF($N166=6,IF($O166&lt;Reference!$B$104,"No Throw","Recovery/Easy Catch"),IF(OR($N166=0,$N166=4),"Recovery/Easy Catch",IF($N166=1,IF($R166&gt;75,"Long Toss","Recovery/Easy Catch"),IF($N166=3,IF($O166&lt;0.5,IF($S166&gt;75,"Long Toss","Recovery/Easy Catch"),"Compression/Pulldowns"),IF($S166&gt;75,"Long Toss","Recovery/Easy Catch"))))))))))))</f>
        <v/>
      </c>
      <c r="U166" s="32" t="str">
        <f t="shared" si="93"/>
        <v/>
      </c>
      <c r="V166" s="32" t="str">
        <f t="shared" si="94"/>
        <v/>
      </c>
      <c r="W166" s="32" t="str">
        <f t="shared" si="95"/>
        <v/>
      </c>
      <c r="X166" s="32">
        <f t="shared" si="96"/>
        <v>0</v>
      </c>
      <c r="Y166" s="32" t="str">
        <f t="shared" si="97"/>
        <v/>
      </c>
      <c r="Z166" s="32" t="str">
        <f t="shared" si="98"/>
        <v/>
      </c>
      <c r="AA166" s="32" t="str">
        <f t="shared" si="99"/>
        <v/>
      </c>
      <c r="AB166" s="32" t="str">
        <f>IF($A166="","",IF($T166="No Throw",0,IF($K166&lt;&gt;"",$K166,IF($AA166&lt;&gt;"",ROUND($AA166*$D$12*IF($C166=0,1,$G$10),0),MIN(IF($T166="Recovery/Easy Catch",Reference!$B$103,IF($T166="Long Toss",Reference!$B$106,Reference!$B$102)),MAX(Reference!$B$101,ROUND(MAX(0,$Q166-$AE166)/$AF166,0)))))))</f>
        <v/>
      </c>
      <c r="AC166" s="32">
        <f t="shared" si="100"/>
        <v>0</v>
      </c>
      <c r="AD166" s="32" t="b">
        <f t="shared" si="101"/>
        <v>1</v>
      </c>
      <c r="AE166" s="32">
        <f>IF($X166=0,0,$X166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166+$Z166)/2,0),Reference!$A$17:$B$20,2,TRUE()))</f>
        <v>0</v>
      </c>
      <c r="AF166" s="32">
        <f>IF(OR($A166="",$U166="",$T166="No Throw"),0,$AM166*VLOOKUP(MAX(($V166+$W166)/2,0),Reference!$A$17:$B$20,2,TRUE()))</f>
        <v>0</v>
      </c>
      <c r="AG166" s="32">
        <f>IF($AC166=0,0,$AC166*INDEX(Reference!$B$61:$B$62,MATCH("Bullpen",Reference!$A$61:$A$62,0))*VLOOKUP(MAX($D$5-($D$9+$E$9)/2,0),Reference!$A$17:$B$20,2,TRUE()))</f>
        <v>0</v>
      </c>
      <c r="AH166" s="32" t="e">
        <f t="shared" si="102"/>
        <v>#N/A</v>
      </c>
      <c r="AI166" s="32" t="e">
        <f>IF($A166="",NA(),Reference!$A$25)</f>
        <v>#N/A</v>
      </c>
      <c r="AJ166" s="32" t="e">
        <f t="shared" si="103"/>
        <v>#N/A</v>
      </c>
      <c r="AK166" s="32">
        <f>IF(OR($A166="",N($C166)&lt;=7,$T166="No Throw",$J166="x"),0,INDEX(Reference!$B$108:$B$114,$N166+1))</f>
        <v>0</v>
      </c>
      <c r="AL166" s="32">
        <f t="shared" si="104"/>
        <v>1</v>
      </c>
      <c r="AM166" s="32">
        <f>IF($U166="",0,IF($AL166&gt;1,((IF(1&lt;=$AL166,($AL166-1+3)*(INDEX(Reference!$B$6:$B$11,MIN(5,MATCH(MAX(Reference!$A$6,MIN(Reference!$A$11,MIN($U166,90))),Reference!$A$6:$A$11,1)))+(MAX(Reference!$A$6,MIN(Reference!$A$11,MIN($U166,90)))-INDEX(Reference!$A$6:$A$11,MIN(5,MATCH(MAX(Reference!$A$6,MIN(Reference!$A$11,MIN($U166,90))),Reference!$A$6:$A$11,1))))*(INDEX(Reference!$B$6:$B$11,MIN(5,MATCH(MAX(Reference!$A$6,MIN(Reference!$A$11,MIN($U166,90))),Reference!$A$6:$A$11,1))+1)-INDEX(Reference!$B$6:$B$11,MIN(5,MATCH(MAX(Reference!$A$6,MIN(Reference!$A$11,MIN($U166,90))),Reference!$A$6:$A$11,1))))/(INDEX(Reference!$A$6:$A$11,MIN(5,MATCH(MAX(Reference!$A$6,MIN(Reference!$A$11,MIN($U166,90))),Reference!$A$6:$A$11,1))+1)-INDEX(Reference!$A$6:$A$11,MIN(5,MATCH(MAX(Reference!$A$6,MIN(Reference!$A$11,MIN($U166,90))),Reference!$A$6:$A$11,1))))),0)+IF(2&lt;=$AL166,($AL166-2+3)*(INDEX(Reference!$B$6:$B$11,MIN(5,MATCH(MAX(Reference!$A$6,MIN(Reference!$A$11,MIN($U166,120))),Reference!$A$6:$A$11,1)))+(MAX(Reference!$A$6,MIN(Reference!$A$11,MIN($U166,120)))-INDEX(Reference!$A$6:$A$11,MIN(5,MATCH(MAX(Reference!$A$6,MIN(Reference!$A$11,MIN($U166,120))),Reference!$A$6:$A$11,1))))*(INDEX(Reference!$B$6:$B$11,MIN(5,MATCH(MAX(Reference!$A$6,MIN(Reference!$A$11,MIN($U166,120))),Reference!$A$6:$A$11,1))+1)-INDEX(Reference!$B$6:$B$11,MIN(5,MATCH(MAX(Reference!$A$6,MIN(Reference!$A$11,MIN($U166,120))),Reference!$A$6:$A$11,1))))/(INDEX(Reference!$A$6:$A$11,MIN(5,MATCH(MAX(Reference!$A$6,MIN(Reference!$A$11,MIN($U166,120))),Reference!$A$6:$A$11,1))+1)-INDEX(Reference!$A$6:$A$11,MIN(5,MATCH(MAX(Reference!$A$6,MIN(Reference!$A$11,MIN($U166,120))),Reference!$A$6:$A$11,1))))),0)+IF(3&lt;=$AL166,($AL166-3+3)*(INDEX(Reference!$B$6:$B$11,MIN(5,MATCH(MAX(Reference!$A$6,MIN(Reference!$A$11,MIN($U166,150))),Reference!$A$6:$A$11,1)))+(MAX(Reference!$A$6,MIN(Reference!$A$11,MIN($U166,150)))-INDEX(Reference!$A$6:$A$11,MIN(5,MATCH(MAX(Reference!$A$6,MIN(Reference!$A$11,MIN($U166,150))),Reference!$A$6:$A$11,1))))*(INDEX(Reference!$B$6:$B$11,MIN(5,MATCH(MAX(Reference!$A$6,MIN(Reference!$A$11,MIN($U166,150))),Reference!$A$6:$A$11,1))+1)-INDEX(Reference!$B$6:$B$11,MIN(5,MATCH(MAX(Reference!$A$6,MIN(Reference!$A$11,MIN($U166,150))),Reference!$A$6:$A$11,1))))/(INDEX(Reference!$A$6:$A$11,MIN(5,MATCH(MAX(Reference!$A$6,MIN(Reference!$A$11,MIN($U166,150))),Reference!$A$6:$A$11,1))+1)-INDEX(Reference!$A$6:$A$11,MIN(5,MATCH(MAX(Reference!$A$6,MIN(Reference!$A$11,MIN($U166,150))),Reference!$A$6:$A$11,1))))),0)+IF(4&lt;=$AL166,($AL166-4+3)*(INDEX(Reference!$B$6:$B$11,MIN(5,MATCH(MAX(Reference!$A$6,MIN(Reference!$A$11,MIN($U166,180))),Reference!$A$6:$A$11,1)))+(MAX(Reference!$A$6,MIN(Reference!$A$11,MIN($U166,180)))-INDEX(Reference!$A$6:$A$11,MIN(5,MATCH(MAX(Reference!$A$6,MIN(Reference!$A$11,MIN($U166,180))),Reference!$A$6:$A$11,1))))*(INDEX(Reference!$B$6:$B$11,MIN(5,MATCH(MAX(Reference!$A$6,MIN(Reference!$A$11,MIN($U166,180))),Reference!$A$6:$A$11,1))+1)-INDEX(Reference!$B$6:$B$11,MIN(5,MATCH(MAX(Reference!$A$6,MIN(Reference!$A$11,MIN($U166,180))),Reference!$A$6:$A$11,1))))/(INDEX(Reference!$A$6:$A$11,MIN(5,MATCH(MAX(Reference!$A$6,MIN(Reference!$A$11,MIN($U166,180))),Reference!$A$6:$A$11,1))+1)-INDEX(Reference!$A$6:$A$11,MIN(5,MATCH(MAX(Reference!$A$6,MIN(Reference!$A$11,MIN($U166,180))),Reference!$A$6:$A$11,1))))),0)+IF(5&lt;=$AL166,($AL166-5+3)*(INDEX(Reference!$B$6:$B$11,MIN(5,MATCH(MAX(Reference!$A$6,MIN(Reference!$A$11,MIN($U166,210))),Reference!$A$6:$A$11,1)))+(MAX(Reference!$A$6,MIN(Reference!$A$11,MIN($U166,210)))-INDEX(Reference!$A$6:$A$11,MIN(5,MATCH(MAX(Reference!$A$6,MIN(Reference!$A$11,MIN($U166,210))),Reference!$A$6:$A$11,1))))*(INDEX(Reference!$B$6:$B$11,MIN(5,MATCH(MAX(Reference!$A$6,MIN(Reference!$A$11,MIN($U166,210))),Reference!$A$6:$A$11,1))+1)-INDEX(Reference!$B$6:$B$11,MIN(5,MATCH(MAX(Reference!$A$6,MIN(Reference!$A$11,MIN($U166,210))),Reference!$A$6:$A$11,1))))/(INDEX(Reference!$A$6:$A$11,MIN(5,MATCH(MAX(Reference!$A$6,MIN(Reference!$A$11,MIN($U166,210))),Reference!$A$6:$A$11,1))+1)-INDEX(Reference!$A$6:$A$11,MIN(5,MATCH(MAX(Reference!$A$6,MIN(Reference!$A$11,MIN($U166,210))),Reference!$A$6:$A$11,1))))),0)+IF(6&lt;=$AL166,($AL166-6+3)*(INDEX(Reference!$B$6:$B$11,MIN(5,MATCH(MAX(Reference!$A$6,MIN(Reference!$A$11,MIN($U166,240))),Reference!$A$6:$A$11,1)))+(MAX(Reference!$A$6,MIN(Reference!$A$11,MIN($U166,240)))-INDEX(Reference!$A$6:$A$11,MIN(5,MATCH(MAX(Reference!$A$6,MIN(Reference!$A$11,MIN($U166,240))),Reference!$A$6:$A$11,1))))*(INDEX(Reference!$B$6:$B$11,MIN(5,MATCH(MAX(Reference!$A$6,MIN(Reference!$A$11,MIN($U166,240))),Reference!$A$6:$A$11,1))+1)-INDEX(Reference!$B$6:$B$11,MIN(5,MATCH(MAX(Reference!$A$6,MIN(Reference!$A$11,MIN($U166,240))),Reference!$A$6:$A$11,1))))/(INDEX(Reference!$A$6:$A$11,MIN(5,MATCH(MAX(Reference!$A$6,MIN(Reference!$A$11,MIN($U166,240))),Reference!$A$6:$A$11,1))+1)-INDEX(Reference!$A$6:$A$11,MIN(5,MATCH(MAX(Reference!$A$6,MIN(Reference!$A$11,MIN($U166,240))),Reference!$A$6:$A$11,1))))),0)+IF(7&lt;=$AL166,($AL166-7+3)*(INDEX(Reference!$B$6:$B$11,MIN(5,MATCH(MAX(Reference!$A$6,MIN(Reference!$A$11,MIN($U166,270))),Reference!$A$6:$A$11,1)))+(MAX(Reference!$A$6,MIN(Reference!$A$11,MIN($U166,270)))-INDEX(Reference!$A$6:$A$11,MIN(5,MATCH(MAX(Reference!$A$6,MIN(Reference!$A$11,MIN($U166,270))),Reference!$A$6:$A$11,1))))*(INDEX(Reference!$B$6:$B$11,MIN(5,MATCH(MAX(Reference!$A$6,MIN(Reference!$A$11,MIN($U166,270))),Reference!$A$6:$A$11,1))+1)-INDEX(Reference!$B$6:$B$11,MIN(5,MATCH(MAX(Reference!$A$6,MIN(Reference!$A$11,MIN($U166,270))),Reference!$A$6:$A$11,1))))/(INDEX(Reference!$A$6:$A$11,MIN(5,MATCH(MAX(Reference!$A$6,MIN(Reference!$A$11,MIN($U166,270))),Reference!$A$6:$A$11,1))+1)-INDEX(Reference!$A$6:$A$11,MIN(5,MATCH(MAX(Reference!$A$6,MIN(Reference!$A$11,MIN($U166,270))),Reference!$A$6:$A$11,1))))),0)+IF(8&lt;=$AL166,($AL166-8+3)*(INDEX(Reference!$B$6:$B$11,MIN(5,MATCH(MAX(Reference!$A$6,MIN(Reference!$A$11,MIN($U166,300))),Reference!$A$6:$A$11,1)))+(MAX(Reference!$A$6,MIN(Reference!$A$11,MIN($U166,300)))-INDEX(Reference!$A$6:$A$11,MIN(5,MATCH(MAX(Reference!$A$6,MIN(Reference!$A$11,MIN($U166,300))),Reference!$A$6:$A$11,1))))*(INDEX(Reference!$B$6:$B$11,MIN(5,MATCH(MAX(Reference!$A$6,MIN(Reference!$A$11,MIN($U166,300))),Reference!$A$6:$A$11,1))+1)-INDEX(Reference!$B$6:$B$11,MIN(5,MATCH(MAX(Reference!$A$6,MIN(Reference!$A$11,MIN($U166,300))),Reference!$A$6:$A$11,1))))/(INDEX(Reference!$A$6:$A$11,MIN(5,MATCH(MAX(Reference!$A$6,MIN(Reference!$A$11,MIN($U166,300))),Reference!$A$6:$A$11,1))+1)-INDEX(Reference!$A$6:$A$11,MIN(5,MATCH(MAX(Reference!$A$6,MIN(Reference!$A$11,MIN($U166,300))),Reference!$A$6:$A$11,1))))),0))/($AL166*($AL166+5)/2)),$AN166))</f>
        <v>0</v>
      </c>
      <c r="AN166" s="32">
        <f>IF($U166="",0,(INDEX(Reference!$B$6:$B$11,MIN(5,MATCH(MAX(Reference!$A$6,MIN(Reference!$A$11,$U166)),Reference!$A$6:$A$11,1)))+(MAX(Reference!$A$6,MIN(Reference!$A$11,$U166))-INDEX(Reference!$A$6:$A$11,MIN(5,MATCH(MAX(Reference!$A$6,MIN(Reference!$A$11,$U166)),Reference!$A$6:$A$11,1))))*(INDEX(Reference!$B$6:$B$11,MIN(5,MATCH(MAX(Reference!$A$6,MIN(Reference!$A$11,$U166)),Reference!$A$6:$A$11,1))+1)-INDEX(Reference!$B$6:$B$11,MIN(5,MATCH(MAX(Reference!$A$6,MIN(Reference!$A$11,$U166)),Reference!$A$6:$A$11,1))))/(INDEX(Reference!$A$6:$A$11,MIN(5,MATCH(MAX(Reference!$A$6,MIN(Reference!$A$11,$U166)),Reference!$A$6:$A$11,1))+1)-INDEX(Reference!$A$6:$A$11,MIN(5,MATCH(MAX(Reference!$A$6,MIN(Reference!$A$11,$U166)),Reference!$A$6:$A$11,1))))))</f>
        <v>0</v>
      </c>
      <c r="AO166" s="37"/>
      <c r="AP166" s="37"/>
      <c r="AQ166" s="37"/>
    </row>
    <row r="167" spans="1:43" x14ac:dyDescent="0.3">
      <c r="A167" s="48" t="str">
        <f t="shared" si="80"/>
        <v/>
      </c>
      <c r="B167" s="32" t="str">
        <f t="shared" si="81"/>
        <v/>
      </c>
      <c r="C167" s="32" t="str">
        <f t="shared" si="82"/>
        <v/>
      </c>
      <c r="D167" s="32" t="str">
        <f t="shared" si="83"/>
        <v/>
      </c>
      <c r="E167" s="32" t="str">
        <f t="shared" si="84"/>
        <v/>
      </c>
      <c r="F167" s="32" t="str">
        <f t="shared" si="85"/>
        <v/>
      </c>
      <c r="G167" s="47" t="str">
        <f t="shared" si="86"/>
        <v/>
      </c>
      <c r="H167" s="30" t="str">
        <f t="shared" si="87"/>
        <v/>
      </c>
      <c r="I167" s="46" t="str">
        <f>IF($A167="","",IF(AND($L167&lt;27,$K$12=0),"Building",IFERROR(((SUM($H$161:$H167)+$K$12*IF($L167&lt;6,SUMIFS('Throw Log'!$Q$5:$Q$300,'Throw Log'!$B$5:$B$300,$D$4,'Throw Log'!$A$5:$A$300,"&gt;="&amp;($D$6+$L167-6),'Throw Log'!$A$5:$A$300,"&lt;="&amp;($D$6-1)),0))/7)/((SUM($H$140:$H167)+$K$12*IF($L167&lt;27,SUMIFS('Throw Log'!$Q$5:$Q$300,'Throw Log'!$B$5:$B$300,$D$4,'Throw Log'!$A$5:$A$300,"&gt;="&amp;($D$6+$L167-27),'Throw Log'!$A$5:$A$300,"&lt;="&amp;($D$6-1)),0))/28),"")))</f>
        <v/>
      </c>
      <c r="J167" s="37"/>
      <c r="K167" s="37"/>
      <c r="L167" s="32">
        <v>124</v>
      </c>
      <c r="M167" s="32">
        <f t="shared" si="88"/>
        <v>18</v>
      </c>
      <c r="N167" s="32">
        <f t="shared" si="89"/>
        <v>5</v>
      </c>
      <c r="O167" s="32">
        <f t="shared" si="90"/>
        <v>1</v>
      </c>
      <c r="P167" s="32" t="str">
        <f>IF(OR($A167="",N($C167)&lt;=7),"",$G$6*$G$9^($M167-1)*IF(AND(MOD($M167,Reference!$B$99)=0,$M167&lt;=$G$5-2),Reference!$B$100,1))</f>
        <v/>
      </c>
      <c r="Q167" s="32" t="str">
        <f>IF($P167="","",IF(SUM($AK$162:$AK$168)=0,0,$P167*INDEX(Reference!$B$108:$B$114,$N167+1)/SUM($AK$162:$AK$168)))</f>
        <v/>
      </c>
      <c r="R167" s="32">
        <f t="shared" si="91"/>
        <v>180</v>
      </c>
      <c r="S167" s="32">
        <f t="shared" si="92"/>
        <v>150</v>
      </c>
      <c r="T167" s="32" t="str">
        <f>IF($A167="","",IF($C167=0,"Bullpen",IF(OR($C167=7,$C167=1,$C167=5),"Recovery/Easy Catch",IF($C167=6,"Compression/Pulldowns",IF(OR($C167=4,$C167=2),"Long Toss",IF($C167=3,"No Throw",IF($N167=2,"No Throw",IF($N167=6,IF($O167&lt;Reference!$B$104,"No Throw","Recovery/Easy Catch"),IF(OR($N167=0,$N167=4),"Recovery/Easy Catch",IF($N167=1,IF($R167&gt;75,"Long Toss","Recovery/Easy Catch"),IF($N167=3,IF($O167&lt;0.5,IF($S167&gt;75,"Long Toss","Recovery/Easy Catch"),"Compression/Pulldowns"),IF($S167&gt;75,"Long Toss","Recovery/Easy Catch"))))))))))))</f>
        <v/>
      </c>
      <c r="U167" s="32" t="str">
        <f t="shared" si="93"/>
        <v/>
      </c>
      <c r="V167" s="32" t="str">
        <f t="shared" si="94"/>
        <v/>
      </c>
      <c r="W167" s="32" t="str">
        <f t="shared" si="95"/>
        <v/>
      </c>
      <c r="X167" s="32">
        <f t="shared" si="96"/>
        <v>0</v>
      </c>
      <c r="Y167" s="32" t="str">
        <f t="shared" si="97"/>
        <v/>
      </c>
      <c r="Z167" s="32" t="str">
        <f t="shared" si="98"/>
        <v/>
      </c>
      <c r="AA167" s="32" t="str">
        <f t="shared" si="99"/>
        <v/>
      </c>
      <c r="AB167" s="32" t="str">
        <f>IF($A167="","",IF($T167="No Throw",0,IF($K167&lt;&gt;"",$K167,IF($AA167&lt;&gt;"",ROUND($AA167*$D$12*IF($C167=0,1,$G$10),0),MIN(IF($T167="Recovery/Easy Catch",Reference!$B$103,IF($T167="Long Toss",Reference!$B$106,Reference!$B$102)),MAX(Reference!$B$101,ROUND(MAX(0,$Q167-$AE167)/$AF167,0)))))))</f>
        <v/>
      </c>
      <c r="AC167" s="32">
        <f t="shared" si="100"/>
        <v>0</v>
      </c>
      <c r="AD167" s="32" t="b">
        <f t="shared" si="101"/>
        <v>1</v>
      </c>
      <c r="AE167" s="32">
        <f>IF($X167=0,0,$X167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167+$Z167)/2,0),Reference!$A$17:$B$20,2,TRUE()))</f>
        <v>0</v>
      </c>
      <c r="AF167" s="32">
        <f>IF(OR($A167="",$U167="",$T167="No Throw"),0,$AM167*VLOOKUP(MAX(($V167+$W167)/2,0),Reference!$A$17:$B$20,2,TRUE()))</f>
        <v>0</v>
      </c>
      <c r="AG167" s="32">
        <f>IF($AC167=0,0,$AC167*INDEX(Reference!$B$61:$B$62,MATCH("Bullpen",Reference!$A$61:$A$62,0))*VLOOKUP(MAX($D$5-($D$9+$E$9)/2,0),Reference!$A$17:$B$20,2,TRUE()))</f>
        <v>0</v>
      </c>
      <c r="AH167" s="32" t="e">
        <f t="shared" si="102"/>
        <v>#N/A</v>
      </c>
      <c r="AI167" s="32" t="e">
        <f>IF($A167="",NA(),Reference!$A$25)</f>
        <v>#N/A</v>
      </c>
      <c r="AJ167" s="32" t="e">
        <f t="shared" si="103"/>
        <v>#N/A</v>
      </c>
      <c r="AK167" s="32">
        <f>IF(OR($A167="",N($C167)&lt;=7,$T167="No Throw",$J167="x"),0,INDEX(Reference!$B$108:$B$114,$N167+1))</f>
        <v>0</v>
      </c>
      <c r="AL167" s="32">
        <f t="shared" si="104"/>
        <v>1</v>
      </c>
      <c r="AM167" s="32">
        <f>IF($U167="",0,IF($AL167&gt;1,((IF(1&lt;=$AL167,($AL167-1+3)*(INDEX(Reference!$B$6:$B$11,MIN(5,MATCH(MAX(Reference!$A$6,MIN(Reference!$A$11,MIN($U167,90))),Reference!$A$6:$A$11,1)))+(MAX(Reference!$A$6,MIN(Reference!$A$11,MIN($U167,90)))-INDEX(Reference!$A$6:$A$11,MIN(5,MATCH(MAX(Reference!$A$6,MIN(Reference!$A$11,MIN($U167,90))),Reference!$A$6:$A$11,1))))*(INDEX(Reference!$B$6:$B$11,MIN(5,MATCH(MAX(Reference!$A$6,MIN(Reference!$A$11,MIN($U167,90))),Reference!$A$6:$A$11,1))+1)-INDEX(Reference!$B$6:$B$11,MIN(5,MATCH(MAX(Reference!$A$6,MIN(Reference!$A$11,MIN($U167,90))),Reference!$A$6:$A$11,1))))/(INDEX(Reference!$A$6:$A$11,MIN(5,MATCH(MAX(Reference!$A$6,MIN(Reference!$A$11,MIN($U167,90))),Reference!$A$6:$A$11,1))+1)-INDEX(Reference!$A$6:$A$11,MIN(5,MATCH(MAX(Reference!$A$6,MIN(Reference!$A$11,MIN($U167,90))),Reference!$A$6:$A$11,1))))),0)+IF(2&lt;=$AL167,($AL167-2+3)*(INDEX(Reference!$B$6:$B$11,MIN(5,MATCH(MAX(Reference!$A$6,MIN(Reference!$A$11,MIN($U167,120))),Reference!$A$6:$A$11,1)))+(MAX(Reference!$A$6,MIN(Reference!$A$11,MIN($U167,120)))-INDEX(Reference!$A$6:$A$11,MIN(5,MATCH(MAX(Reference!$A$6,MIN(Reference!$A$11,MIN($U167,120))),Reference!$A$6:$A$11,1))))*(INDEX(Reference!$B$6:$B$11,MIN(5,MATCH(MAX(Reference!$A$6,MIN(Reference!$A$11,MIN($U167,120))),Reference!$A$6:$A$11,1))+1)-INDEX(Reference!$B$6:$B$11,MIN(5,MATCH(MAX(Reference!$A$6,MIN(Reference!$A$11,MIN($U167,120))),Reference!$A$6:$A$11,1))))/(INDEX(Reference!$A$6:$A$11,MIN(5,MATCH(MAX(Reference!$A$6,MIN(Reference!$A$11,MIN($U167,120))),Reference!$A$6:$A$11,1))+1)-INDEX(Reference!$A$6:$A$11,MIN(5,MATCH(MAX(Reference!$A$6,MIN(Reference!$A$11,MIN($U167,120))),Reference!$A$6:$A$11,1))))),0)+IF(3&lt;=$AL167,($AL167-3+3)*(INDEX(Reference!$B$6:$B$11,MIN(5,MATCH(MAX(Reference!$A$6,MIN(Reference!$A$11,MIN($U167,150))),Reference!$A$6:$A$11,1)))+(MAX(Reference!$A$6,MIN(Reference!$A$11,MIN($U167,150)))-INDEX(Reference!$A$6:$A$11,MIN(5,MATCH(MAX(Reference!$A$6,MIN(Reference!$A$11,MIN($U167,150))),Reference!$A$6:$A$11,1))))*(INDEX(Reference!$B$6:$B$11,MIN(5,MATCH(MAX(Reference!$A$6,MIN(Reference!$A$11,MIN($U167,150))),Reference!$A$6:$A$11,1))+1)-INDEX(Reference!$B$6:$B$11,MIN(5,MATCH(MAX(Reference!$A$6,MIN(Reference!$A$11,MIN($U167,150))),Reference!$A$6:$A$11,1))))/(INDEX(Reference!$A$6:$A$11,MIN(5,MATCH(MAX(Reference!$A$6,MIN(Reference!$A$11,MIN($U167,150))),Reference!$A$6:$A$11,1))+1)-INDEX(Reference!$A$6:$A$11,MIN(5,MATCH(MAX(Reference!$A$6,MIN(Reference!$A$11,MIN($U167,150))),Reference!$A$6:$A$11,1))))),0)+IF(4&lt;=$AL167,($AL167-4+3)*(INDEX(Reference!$B$6:$B$11,MIN(5,MATCH(MAX(Reference!$A$6,MIN(Reference!$A$11,MIN($U167,180))),Reference!$A$6:$A$11,1)))+(MAX(Reference!$A$6,MIN(Reference!$A$11,MIN($U167,180)))-INDEX(Reference!$A$6:$A$11,MIN(5,MATCH(MAX(Reference!$A$6,MIN(Reference!$A$11,MIN($U167,180))),Reference!$A$6:$A$11,1))))*(INDEX(Reference!$B$6:$B$11,MIN(5,MATCH(MAX(Reference!$A$6,MIN(Reference!$A$11,MIN($U167,180))),Reference!$A$6:$A$11,1))+1)-INDEX(Reference!$B$6:$B$11,MIN(5,MATCH(MAX(Reference!$A$6,MIN(Reference!$A$11,MIN($U167,180))),Reference!$A$6:$A$11,1))))/(INDEX(Reference!$A$6:$A$11,MIN(5,MATCH(MAX(Reference!$A$6,MIN(Reference!$A$11,MIN($U167,180))),Reference!$A$6:$A$11,1))+1)-INDEX(Reference!$A$6:$A$11,MIN(5,MATCH(MAX(Reference!$A$6,MIN(Reference!$A$11,MIN($U167,180))),Reference!$A$6:$A$11,1))))),0)+IF(5&lt;=$AL167,($AL167-5+3)*(INDEX(Reference!$B$6:$B$11,MIN(5,MATCH(MAX(Reference!$A$6,MIN(Reference!$A$11,MIN($U167,210))),Reference!$A$6:$A$11,1)))+(MAX(Reference!$A$6,MIN(Reference!$A$11,MIN($U167,210)))-INDEX(Reference!$A$6:$A$11,MIN(5,MATCH(MAX(Reference!$A$6,MIN(Reference!$A$11,MIN($U167,210))),Reference!$A$6:$A$11,1))))*(INDEX(Reference!$B$6:$B$11,MIN(5,MATCH(MAX(Reference!$A$6,MIN(Reference!$A$11,MIN($U167,210))),Reference!$A$6:$A$11,1))+1)-INDEX(Reference!$B$6:$B$11,MIN(5,MATCH(MAX(Reference!$A$6,MIN(Reference!$A$11,MIN($U167,210))),Reference!$A$6:$A$11,1))))/(INDEX(Reference!$A$6:$A$11,MIN(5,MATCH(MAX(Reference!$A$6,MIN(Reference!$A$11,MIN($U167,210))),Reference!$A$6:$A$11,1))+1)-INDEX(Reference!$A$6:$A$11,MIN(5,MATCH(MAX(Reference!$A$6,MIN(Reference!$A$11,MIN($U167,210))),Reference!$A$6:$A$11,1))))),0)+IF(6&lt;=$AL167,($AL167-6+3)*(INDEX(Reference!$B$6:$B$11,MIN(5,MATCH(MAX(Reference!$A$6,MIN(Reference!$A$11,MIN($U167,240))),Reference!$A$6:$A$11,1)))+(MAX(Reference!$A$6,MIN(Reference!$A$11,MIN($U167,240)))-INDEX(Reference!$A$6:$A$11,MIN(5,MATCH(MAX(Reference!$A$6,MIN(Reference!$A$11,MIN($U167,240))),Reference!$A$6:$A$11,1))))*(INDEX(Reference!$B$6:$B$11,MIN(5,MATCH(MAX(Reference!$A$6,MIN(Reference!$A$11,MIN($U167,240))),Reference!$A$6:$A$11,1))+1)-INDEX(Reference!$B$6:$B$11,MIN(5,MATCH(MAX(Reference!$A$6,MIN(Reference!$A$11,MIN($U167,240))),Reference!$A$6:$A$11,1))))/(INDEX(Reference!$A$6:$A$11,MIN(5,MATCH(MAX(Reference!$A$6,MIN(Reference!$A$11,MIN($U167,240))),Reference!$A$6:$A$11,1))+1)-INDEX(Reference!$A$6:$A$11,MIN(5,MATCH(MAX(Reference!$A$6,MIN(Reference!$A$11,MIN($U167,240))),Reference!$A$6:$A$11,1))))),0)+IF(7&lt;=$AL167,($AL167-7+3)*(INDEX(Reference!$B$6:$B$11,MIN(5,MATCH(MAX(Reference!$A$6,MIN(Reference!$A$11,MIN($U167,270))),Reference!$A$6:$A$11,1)))+(MAX(Reference!$A$6,MIN(Reference!$A$11,MIN($U167,270)))-INDEX(Reference!$A$6:$A$11,MIN(5,MATCH(MAX(Reference!$A$6,MIN(Reference!$A$11,MIN($U167,270))),Reference!$A$6:$A$11,1))))*(INDEX(Reference!$B$6:$B$11,MIN(5,MATCH(MAX(Reference!$A$6,MIN(Reference!$A$11,MIN($U167,270))),Reference!$A$6:$A$11,1))+1)-INDEX(Reference!$B$6:$B$11,MIN(5,MATCH(MAX(Reference!$A$6,MIN(Reference!$A$11,MIN($U167,270))),Reference!$A$6:$A$11,1))))/(INDEX(Reference!$A$6:$A$11,MIN(5,MATCH(MAX(Reference!$A$6,MIN(Reference!$A$11,MIN($U167,270))),Reference!$A$6:$A$11,1))+1)-INDEX(Reference!$A$6:$A$11,MIN(5,MATCH(MAX(Reference!$A$6,MIN(Reference!$A$11,MIN($U167,270))),Reference!$A$6:$A$11,1))))),0)+IF(8&lt;=$AL167,($AL167-8+3)*(INDEX(Reference!$B$6:$B$11,MIN(5,MATCH(MAX(Reference!$A$6,MIN(Reference!$A$11,MIN($U167,300))),Reference!$A$6:$A$11,1)))+(MAX(Reference!$A$6,MIN(Reference!$A$11,MIN($U167,300)))-INDEX(Reference!$A$6:$A$11,MIN(5,MATCH(MAX(Reference!$A$6,MIN(Reference!$A$11,MIN($U167,300))),Reference!$A$6:$A$11,1))))*(INDEX(Reference!$B$6:$B$11,MIN(5,MATCH(MAX(Reference!$A$6,MIN(Reference!$A$11,MIN($U167,300))),Reference!$A$6:$A$11,1))+1)-INDEX(Reference!$B$6:$B$11,MIN(5,MATCH(MAX(Reference!$A$6,MIN(Reference!$A$11,MIN($U167,300))),Reference!$A$6:$A$11,1))))/(INDEX(Reference!$A$6:$A$11,MIN(5,MATCH(MAX(Reference!$A$6,MIN(Reference!$A$11,MIN($U167,300))),Reference!$A$6:$A$11,1))+1)-INDEX(Reference!$A$6:$A$11,MIN(5,MATCH(MAX(Reference!$A$6,MIN(Reference!$A$11,MIN($U167,300))),Reference!$A$6:$A$11,1))))),0))/($AL167*($AL167+5)/2)),$AN167))</f>
        <v>0</v>
      </c>
      <c r="AN167" s="32">
        <f>IF($U167="",0,(INDEX(Reference!$B$6:$B$11,MIN(5,MATCH(MAX(Reference!$A$6,MIN(Reference!$A$11,$U167)),Reference!$A$6:$A$11,1)))+(MAX(Reference!$A$6,MIN(Reference!$A$11,$U167))-INDEX(Reference!$A$6:$A$11,MIN(5,MATCH(MAX(Reference!$A$6,MIN(Reference!$A$11,$U167)),Reference!$A$6:$A$11,1))))*(INDEX(Reference!$B$6:$B$11,MIN(5,MATCH(MAX(Reference!$A$6,MIN(Reference!$A$11,$U167)),Reference!$A$6:$A$11,1))+1)-INDEX(Reference!$B$6:$B$11,MIN(5,MATCH(MAX(Reference!$A$6,MIN(Reference!$A$11,$U167)),Reference!$A$6:$A$11,1))))/(INDEX(Reference!$A$6:$A$11,MIN(5,MATCH(MAX(Reference!$A$6,MIN(Reference!$A$11,$U167)),Reference!$A$6:$A$11,1))+1)-INDEX(Reference!$A$6:$A$11,MIN(5,MATCH(MAX(Reference!$A$6,MIN(Reference!$A$11,$U167)),Reference!$A$6:$A$11,1))))))</f>
        <v>0</v>
      </c>
      <c r="AO167" s="37"/>
      <c r="AP167" s="37"/>
      <c r="AQ167" s="37"/>
    </row>
    <row r="168" spans="1:43" x14ac:dyDescent="0.3">
      <c r="A168" s="48" t="str">
        <f t="shared" si="80"/>
        <v/>
      </c>
      <c r="B168" s="32" t="str">
        <f t="shared" si="81"/>
        <v/>
      </c>
      <c r="C168" s="32" t="str">
        <f t="shared" si="82"/>
        <v/>
      </c>
      <c r="D168" s="32" t="str">
        <f t="shared" si="83"/>
        <v/>
      </c>
      <c r="E168" s="32" t="str">
        <f t="shared" si="84"/>
        <v/>
      </c>
      <c r="F168" s="32" t="str">
        <f t="shared" si="85"/>
        <v/>
      </c>
      <c r="G168" s="47" t="str">
        <f t="shared" si="86"/>
        <v/>
      </c>
      <c r="H168" s="30" t="str">
        <f t="shared" si="87"/>
        <v/>
      </c>
      <c r="I168" s="46" t="str">
        <f>IF($A168="","",IF(AND($L168&lt;27,$K$12=0),"Building",IFERROR(((SUM($H$162:$H168)+$K$12*IF($L168&lt;6,SUMIFS('Throw Log'!$Q$5:$Q$300,'Throw Log'!$B$5:$B$300,$D$4,'Throw Log'!$A$5:$A$300,"&gt;="&amp;($D$6+$L168-6),'Throw Log'!$A$5:$A$300,"&lt;="&amp;($D$6-1)),0))/7)/((SUM($H$141:$H168)+$K$12*IF($L168&lt;27,SUMIFS('Throw Log'!$Q$5:$Q$300,'Throw Log'!$B$5:$B$300,$D$4,'Throw Log'!$A$5:$A$300,"&gt;="&amp;($D$6+$L168-27),'Throw Log'!$A$5:$A$300,"&lt;="&amp;($D$6-1)),0))/28),"")))</f>
        <v/>
      </c>
      <c r="J168" s="37"/>
      <c r="K168" s="37"/>
      <c r="L168" s="32">
        <v>125</v>
      </c>
      <c r="M168" s="32">
        <f t="shared" si="88"/>
        <v>18</v>
      </c>
      <c r="N168" s="32">
        <f t="shared" si="89"/>
        <v>6</v>
      </c>
      <c r="O168" s="32">
        <f t="shared" si="90"/>
        <v>1</v>
      </c>
      <c r="P168" s="32" t="str">
        <f>IF(OR($A168="",N($C168)&lt;=7),"",$G$6*$G$9^($M168-1)*IF(AND(MOD($M168,Reference!$B$99)=0,$M168&lt;=$G$5-2),Reference!$B$100,1))</f>
        <v/>
      </c>
      <c r="Q168" s="32" t="str">
        <f>IF($P168="","",IF(SUM($AK$162:$AK$168)=0,0,$P168*INDEX(Reference!$B$108:$B$114,$N168+1)/SUM($AK$162:$AK$168)))</f>
        <v/>
      </c>
      <c r="R168" s="32">
        <f t="shared" si="91"/>
        <v>180</v>
      </c>
      <c r="S168" s="32">
        <f t="shared" si="92"/>
        <v>150</v>
      </c>
      <c r="T168" s="32" t="str">
        <f>IF($A168="","",IF($C168=0,"Bullpen",IF(OR($C168=7,$C168=1,$C168=5),"Recovery/Easy Catch",IF($C168=6,"Compression/Pulldowns",IF(OR($C168=4,$C168=2),"Long Toss",IF($C168=3,"No Throw",IF($N168=2,"No Throw",IF($N168=6,IF($O168&lt;Reference!$B$104,"No Throw","Recovery/Easy Catch"),IF(OR($N168=0,$N168=4),"Recovery/Easy Catch",IF($N168=1,IF($R168&gt;75,"Long Toss","Recovery/Easy Catch"),IF($N168=3,IF($O168&lt;0.5,IF($S168&gt;75,"Long Toss","Recovery/Easy Catch"),"Compression/Pulldowns"),IF($S168&gt;75,"Long Toss","Recovery/Easy Catch"))))))))))))</f>
        <v/>
      </c>
      <c r="U168" s="32" t="str">
        <f t="shared" si="93"/>
        <v/>
      </c>
      <c r="V168" s="32" t="str">
        <f t="shared" si="94"/>
        <v/>
      </c>
      <c r="W168" s="32" t="str">
        <f t="shared" si="95"/>
        <v/>
      </c>
      <c r="X168" s="32">
        <f t="shared" si="96"/>
        <v>0</v>
      </c>
      <c r="Y168" s="32" t="str">
        <f t="shared" si="97"/>
        <v/>
      </c>
      <c r="Z168" s="32" t="str">
        <f t="shared" si="98"/>
        <v/>
      </c>
      <c r="AA168" s="32" t="str">
        <f t="shared" si="99"/>
        <v/>
      </c>
      <c r="AB168" s="32" t="str">
        <f>IF($A168="","",IF($T168="No Throw",0,IF($K168&lt;&gt;"",$K168,IF($AA168&lt;&gt;"",ROUND($AA168*$D$12*IF($C168=0,1,$G$10),0),MIN(IF($T168="Recovery/Easy Catch",Reference!$B$103,IF($T168="Long Toss",Reference!$B$106,Reference!$B$102)),MAX(Reference!$B$101,ROUND(MAX(0,$Q168-$AE168)/$AF168,0)))))))</f>
        <v/>
      </c>
      <c r="AC168" s="32">
        <f t="shared" si="100"/>
        <v>0</v>
      </c>
      <c r="AD168" s="32" t="b">
        <f t="shared" si="101"/>
        <v>1</v>
      </c>
      <c r="AE168" s="32">
        <f>IF($X168=0,0,$X168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168+$Z168)/2,0),Reference!$A$17:$B$20,2,TRUE()))</f>
        <v>0</v>
      </c>
      <c r="AF168" s="32">
        <f>IF(OR($A168="",$U168="",$T168="No Throw"),0,$AM168*VLOOKUP(MAX(($V168+$W168)/2,0),Reference!$A$17:$B$20,2,TRUE()))</f>
        <v>0</v>
      </c>
      <c r="AG168" s="32">
        <f>IF($AC168=0,0,$AC168*INDEX(Reference!$B$61:$B$62,MATCH("Bullpen",Reference!$A$61:$A$62,0))*VLOOKUP(MAX($D$5-($D$9+$E$9)/2,0),Reference!$A$17:$B$20,2,TRUE()))</f>
        <v>0</v>
      </c>
      <c r="AH168" s="32" t="e">
        <f t="shared" si="102"/>
        <v>#N/A</v>
      </c>
      <c r="AI168" s="32" t="e">
        <f>IF($A168="",NA(),Reference!$A$25)</f>
        <v>#N/A</v>
      </c>
      <c r="AJ168" s="32" t="e">
        <f t="shared" si="103"/>
        <v>#N/A</v>
      </c>
      <c r="AK168" s="32">
        <f>IF(OR($A168="",N($C168)&lt;=7,$T168="No Throw",$J168="x"),0,INDEX(Reference!$B$108:$B$114,$N168+1))</f>
        <v>0</v>
      </c>
      <c r="AL168" s="32">
        <f t="shared" si="104"/>
        <v>1</v>
      </c>
      <c r="AM168" s="32">
        <f>IF($U168="",0,IF($AL168&gt;1,((IF(1&lt;=$AL168,($AL168-1+3)*(INDEX(Reference!$B$6:$B$11,MIN(5,MATCH(MAX(Reference!$A$6,MIN(Reference!$A$11,MIN($U168,90))),Reference!$A$6:$A$11,1)))+(MAX(Reference!$A$6,MIN(Reference!$A$11,MIN($U168,90)))-INDEX(Reference!$A$6:$A$11,MIN(5,MATCH(MAX(Reference!$A$6,MIN(Reference!$A$11,MIN($U168,90))),Reference!$A$6:$A$11,1))))*(INDEX(Reference!$B$6:$B$11,MIN(5,MATCH(MAX(Reference!$A$6,MIN(Reference!$A$11,MIN($U168,90))),Reference!$A$6:$A$11,1))+1)-INDEX(Reference!$B$6:$B$11,MIN(5,MATCH(MAX(Reference!$A$6,MIN(Reference!$A$11,MIN($U168,90))),Reference!$A$6:$A$11,1))))/(INDEX(Reference!$A$6:$A$11,MIN(5,MATCH(MAX(Reference!$A$6,MIN(Reference!$A$11,MIN($U168,90))),Reference!$A$6:$A$11,1))+1)-INDEX(Reference!$A$6:$A$11,MIN(5,MATCH(MAX(Reference!$A$6,MIN(Reference!$A$11,MIN($U168,90))),Reference!$A$6:$A$11,1))))),0)+IF(2&lt;=$AL168,($AL168-2+3)*(INDEX(Reference!$B$6:$B$11,MIN(5,MATCH(MAX(Reference!$A$6,MIN(Reference!$A$11,MIN($U168,120))),Reference!$A$6:$A$11,1)))+(MAX(Reference!$A$6,MIN(Reference!$A$11,MIN($U168,120)))-INDEX(Reference!$A$6:$A$11,MIN(5,MATCH(MAX(Reference!$A$6,MIN(Reference!$A$11,MIN($U168,120))),Reference!$A$6:$A$11,1))))*(INDEX(Reference!$B$6:$B$11,MIN(5,MATCH(MAX(Reference!$A$6,MIN(Reference!$A$11,MIN($U168,120))),Reference!$A$6:$A$11,1))+1)-INDEX(Reference!$B$6:$B$11,MIN(5,MATCH(MAX(Reference!$A$6,MIN(Reference!$A$11,MIN($U168,120))),Reference!$A$6:$A$11,1))))/(INDEX(Reference!$A$6:$A$11,MIN(5,MATCH(MAX(Reference!$A$6,MIN(Reference!$A$11,MIN($U168,120))),Reference!$A$6:$A$11,1))+1)-INDEX(Reference!$A$6:$A$11,MIN(5,MATCH(MAX(Reference!$A$6,MIN(Reference!$A$11,MIN($U168,120))),Reference!$A$6:$A$11,1))))),0)+IF(3&lt;=$AL168,($AL168-3+3)*(INDEX(Reference!$B$6:$B$11,MIN(5,MATCH(MAX(Reference!$A$6,MIN(Reference!$A$11,MIN($U168,150))),Reference!$A$6:$A$11,1)))+(MAX(Reference!$A$6,MIN(Reference!$A$11,MIN($U168,150)))-INDEX(Reference!$A$6:$A$11,MIN(5,MATCH(MAX(Reference!$A$6,MIN(Reference!$A$11,MIN($U168,150))),Reference!$A$6:$A$11,1))))*(INDEX(Reference!$B$6:$B$11,MIN(5,MATCH(MAX(Reference!$A$6,MIN(Reference!$A$11,MIN($U168,150))),Reference!$A$6:$A$11,1))+1)-INDEX(Reference!$B$6:$B$11,MIN(5,MATCH(MAX(Reference!$A$6,MIN(Reference!$A$11,MIN($U168,150))),Reference!$A$6:$A$11,1))))/(INDEX(Reference!$A$6:$A$11,MIN(5,MATCH(MAX(Reference!$A$6,MIN(Reference!$A$11,MIN($U168,150))),Reference!$A$6:$A$11,1))+1)-INDEX(Reference!$A$6:$A$11,MIN(5,MATCH(MAX(Reference!$A$6,MIN(Reference!$A$11,MIN($U168,150))),Reference!$A$6:$A$11,1))))),0)+IF(4&lt;=$AL168,($AL168-4+3)*(INDEX(Reference!$B$6:$B$11,MIN(5,MATCH(MAX(Reference!$A$6,MIN(Reference!$A$11,MIN($U168,180))),Reference!$A$6:$A$11,1)))+(MAX(Reference!$A$6,MIN(Reference!$A$11,MIN($U168,180)))-INDEX(Reference!$A$6:$A$11,MIN(5,MATCH(MAX(Reference!$A$6,MIN(Reference!$A$11,MIN($U168,180))),Reference!$A$6:$A$11,1))))*(INDEX(Reference!$B$6:$B$11,MIN(5,MATCH(MAX(Reference!$A$6,MIN(Reference!$A$11,MIN($U168,180))),Reference!$A$6:$A$11,1))+1)-INDEX(Reference!$B$6:$B$11,MIN(5,MATCH(MAX(Reference!$A$6,MIN(Reference!$A$11,MIN($U168,180))),Reference!$A$6:$A$11,1))))/(INDEX(Reference!$A$6:$A$11,MIN(5,MATCH(MAX(Reference!$A$6,MIN(Reference!$A$11,MIN($U168,180))),Reference!$A$6:$A$11,1))+1)-INDEX(Reference!$A$6:$A$11,MIN(5,MATCH(MAX(Reference!$A$6,MIN(Reference!$A$11,MIN($U168,180))),Reference!$A$6:$A$11,1))))),0)+IF(5&lt;=$AL168,($AL168-5+3)*(INDEX(Reference!$B$6:$B$11,MIN(5,MATCH(MAX(Reference!$A$6,MIN(Reference!$A$11,MIN($U168,210))),Reference!$A$6:$A$11,1)))+(MAX(Reference!$A$6,MIN(Reference!$A$11,MIN($U168,210)))-INDEX(Reference!$A$6:$A$11,MIN(5,MATCH(MAX(Reference!$A$6,MIN(Reference!$A$11,MIN($U168,210))),Reference!$A$6:$A$11,1))))*(INDEX(Reference!$B$6:$B$11,MIN(5,MATCH(MAX(Reference!$A$6,MIN(Reference!$A$11,MIN($U168,210))),Reference!$A$6:$A$11,1))+1)-INDEX(Reference!$B$6:$B$11,MIN(5,MATCH(MAX(Reference!$A$6,MIN(Reference!$A$11,MIN($U168,210))),Reference!$A$6:$A$11,1))))/(INDEX(Reference!$A$6:$A$11,MIN(5,MATCH(MAX(Reference!$A$6,MIN(Reference!$A$11,MIN($U168,210))),Reference!$A$6:$A$11,1))+1)-INDEX(Reference!$A$6:$A$11,MIN(5,MATCH(MAX(Reference!$A$6,MIN(Reference!$A$11,MIN($U168,210))),Reference!$A$6:$A$11,1))))),0)+IF(6&lt;=$AL168,($AL168-6+3)*(INDEX(Reference!$B$6:$B$11,MIN(5,MATCH(MAX(Reference!$A$6,MIN(Reference!$A$11,MIN($U168,240))),Reference!$A$6:$A$11,1)))+(MAX(Reference!$A$6,MIN(Reference!$A$11,MIN($U168,240)))-INDEX(Reference!$A$6:$A$11,MIN(5,MATCH(MAX(Reference!$A$6,MIN(Reference!$A$11,MIN($U168,240))),Reference!$A$6:$A$11,1))))*(INDEX(Reference!$B$6:$B$11,MIN(5,MATCH(MAX(Reference!$A$6,MIN(Reference!$A$11,MIN($U168,240))),Reference!$A$6:$A$11,1))+1)-INDEX(Reference!$B$6:$B$11,MIN(5,MATCH(MAX(Reference!$A$6,MIN(Reference!$A$11,MIN($U168,240))),Reference!$A$6:$A$11,1))))/(INDEX(Reference!$A$6:$A$11,MIN(5,MATCH(MAX(Reference!$A$6,MIN(Reference!$A$11,MIN($U168,240))),Reference!$A$6:$A$11,1))+1)-INDEX(Reference!$A$6:$A$11,MIN(5,MATCH(MAX(Reference!$A$6,MIN(Reference!$A$11,MIN($U168,240))),Reference!$A$6:$A$11,1))))),0)+IF(7&lt;=$AL168,($AL168-7+3)*(INDEX(Reference!$B$6:$B$11,MIN(5,MATCH(MAX(Reference!$A$6,MIN(Reference!$A$11,MIN($U168,270))),Reference!$A$6:$A$11,1)))+(MAX(Reference!$A$6,MIN(Reference!$A$11,MIN($U168,270)))-INDEX(Reference!$A$6:$A$11,MIN(5,MATCH(MAX(Reference!$A$6,MIN(Reference!$A$11,MIN($U168,270))),Reference!$A$6:$A$11,1))))*(INDEX(Reference!$B$6:$B$11,MIN(5,MATCH(MAX(Reference!$A$6,MIN(Reference!$A$11,MIN($U168,270))),Reference!$A$6:$A$11,1))+1)-INDEX(Reference!$B$6:$B$11,MIN(5,MATCH(MAX(Reference!$A$6,MIN(Reference!$A$11,MIN($U168,270))),Reference!$A$6:$A$11,1))))/(INDEX(Reference!$A$6:$A$11,MIN(5,MATCH(MAX(Reference!$A$6,MIN(Reference!$A$11,MIN($U168,270))),Reference!$A$6:$A$11,1))+1)-INDEX(Reference!$A$6:$A$11,MIN(5,MATCH(MAX(Reference!$A$6,MIN(Reference!$A$11,MIN($U168,270))),Reference!$A$6:$A$11,1))))),0)+IF(8&lt;=$AL168,($AL168-8+3)*(INDEX(Reference!$B$6:$B$11,MIN(5,MATCH(MAX(Reference!$A$6,MIN(Reference!$A$11,MIN($U168,300))),Reference!$A$6:$A$11,1)))+(MAX(Reference!$A$6,MIN(Reference!$A$11,MIN($U168,300)))-INDEX(Reference!$A$6:$A$11,MIN(5,MATCH(MAX(Reference!$A$6,MIN(Reference!$A$11,MIN($U168,300))),Reference!$A$6:$A$11,1))))*(INDEX(Reference!$B$6:$B$11,MIN(5,MATCH(MAX(Reference!$A$6,MIN(Reference!$A$11,MIN($U168,300))),Reference!$A$6:$A$11,1))+1)-INDEX(Reference!$B$6:$B$11,MIN(5,MATCH(MAX(Reference!$A$6,MIN(Reference!$A$11,MIN($U168,300))),Reference!$A$6:$A$11,1))))/(INDEX(Reference!$A$6:$A$11,MIN(5,MATCH(MAX(Reference!$A$6,MIN(Reference!$A$11,MIN($U168,300))),Reference!$A$6:$A$11,1))+1)-INDEX(Reference!$A$6:$A$11,MIN(5,MATCH(MAX(Reference!$A$6,MIN(Reference!$A$11,MIN($U168,300))),Reference!$A$6:$A$11,1))))),0))/($AL168*($AL168+5)/2)),$AN168))</f>
        <v>0</v>
      </c>
      <c r="AN168" s="32">
        <f>IF($U168="",0,(INDEX(Reference!$B$6:$B$11,MIN(5,MATCH(MAX(Reference!$A$6,MIN(Reference!$A$11,$U168)),Reference!$A$6:$A$11,1)))+(MAX(Reference!$A$6,MIN(Reference!$A$11,$U168))-INDEX(Reference!$A$6:$A$11,MIN(5,MATCH(MAX(Reference!$A$6,MIN(Reference!$A$11,$U168)),Reference!$A$6:$A$11,1))))*(INDEX(Reference!$B$6:$B$11,MIN(5,MATCH(MAX(Reference!$A$6,MIN(Reference!$A$11,$U168)),Reference!$A$6:$A$11,1))+1)-INDEX(Reference!$B$6:$B$11,MIN(5,MATCH(MAX(Reference!$A$6,MIN(Reference!$A$11,$U168)),Reference!$A$6:$A$11,1))))/(INDEX(Reference!$A$6:$A$11,MIN(5,MATCH(MAX(Reference!$A$6,MIN(Reference!$A$11,$U168)),Reference!$A$6:$A$11,1))+1)-INDEX(Reference!$A$6:$A$11,MIN(5,MATCH(MAX(Reference!$A$6,MIN(Reference!$A$11,$U168)),Reference!$A$6:$A$11,1))))))</f>
        <v>0</v>
      </c>
      <c r="AO168" s="37"/>
      <c r="AP168" s="37"/>
      <c r="AQ168" s="37"/>
    </row>
    <row r="169" spans="1:43" x14ac:dyDescent="0.3">
      <c r="A169" s="48" t="str">
        <f t="shared" si="80"/>
        <v/>
      </c>
      <c r="B169" s="32" t="str">
        <f t="shared" si="81"/>
        <v/>
      </c>
      <c r="C169" s="32" t="str">
        <f t="shared" si="82"/>
        <v/>
      </c>
      <c r="D169" s="32" t="str">
        <f t="shared" si="83"/>
        <v/>
      </c>
      <c r="E169" s="32" t="str">
        <f t="shared" si="84"/>
        <v/>
      </c>
      <c r="F169" s="32" t="str">
        <f t="shared" si="85"/>
        <v/>
      </c>
      <c r="G169" s="47" t="str">
        <f t="shared" si="86"/>
        <v/>
      </c>
      <c r="H169" s="30" t="str">
        <f t="shared" si="87"/>
        <v/>
      </c>
      <c r="I169" s="46" t="str">
        <f>IF($A169="","",IF(AND($L169&lt;27,$K$12=0),"Building",IFERROR(((SUM($H$163:$H169)+$K$12*IF($L169&lt;6,SUMIFS('Throw Log'!$Q$5:$Q$300,'Throw Log'!$B$5:$B$300,$D$4,'Throw Log'!$A$5:$A$300,"&gt;="&amp;($D$6+$L169-6),'Throw Log'!$A$5:$A$300,"&lt;="&amp;($D$6-1)),0))/7)/((SUM($H$142:$H169)+$K$12*IF($L169&lt;27,SUMIFS('Throw Log'!$Q$5:$Q$300,'Throw Log'!$B$5:$B$300,$D$4,'Throw Log'!$A$5:$A$300,"&gt;="&amp;($D$6+$L169-27),'Throw Log'!$A$5:$A$300,"&lt;="&amp;($D$6-1)),0))/28),"")))</f>
        <v/>
      </c>
      <c r="J169" s="37"/>
      <c r="K169" s="37"/>
      <c r="L169" s="32">
        <v>126</v>
      </c>
      <c r="M169" s="32">
        <f t="shared" si="88"/>
        <v>19</v>
      </c>
      <c r="N169" s="32">
        <f t="shared" si="89"/>
        <v>0</v>
      </c>
      <c r="O169" s="32">
        <f t="shared" si="90"/>
        <v>1</v>
      </c>
      <c r="P169" s="32" t="str">
        <f>IF(OR($A169="",N($C169)&lt;=7),"",$G$6*$G$9^($M169-1)*IF(AND(MOD($M169,Reference!$B$99)=0,$M169&lt;=$G$5-2),Reference!$B$100,1))</f>
        <v/>
      </c>
      <c r="Q169" s="32" t="str">
        <f>IF($P169="","",IF(SUM($AK$169:$AK$175)=0,0,$P169*INDEX(Reference!$B$108:$B$114,$N169+1)/SUM($AK$169:$AK$175)))</f>
        <v/>
      </c>
      <c r="R169" s="32">
        <f t="shared" si="91"/>
        <v>180</v>
      </c>
      <c r="S169" s="32">
        <f t="shared" si="92"/>
        <v>150</v>
      </c>
      <c r="T169" s="32" t="str">
        <f>IF($A169="","",IF($C169=0,"Bullpen",IF(OR($C169=7,$C169=1,$C169=5),"Recovery/Easy Catch",IF($C169=6,"Compression/Pulldowns",IF(OR($C169=4,$C169=2),"Long Toss",IF($C169=3,"No Throw",IF($N169=2,"No Throw",IF($N169=6,IF($O169&lt;Reference!$B$104,"No Throw","Recovery/Easy Catch"),IF(OR($N169=0,$N169=4),"Recovery/Easy Catch",IF($N169=1,IF($R169&gt;75,"Long Toss","Recovery/Easy Catch"),IF($N169=3,IF($O169&lt;0.5,IF($S169&gt;75,"Long Toss","Recovery/Easy Catch"),"Compression/Pulldowns"),IF($S169&gt;75,"Long Toss","Recovery/Easy Catch"))))))))))))</f>
        <v/>
      </c>
      <c r="U169" s="32" t="str">
        <f t="shared" si="93"/>
        <v/>
      </c>
      <c r="V169" s="32" t="str">
        <f t="shared" si="94"/>
        <v/>
      </c>
      <c r="W169" s="32" t="str">
        <f t="shared" si="95"/>
        <v/>
      </c>
      <c r="X169" s="32">
        <f t="shared" si="96"/>
        <v>0</v>
      </c>
      <c r="Y169" s="32" t="str">
        <f t="shared" si="97"/>
        <v/>
      </c>
      <c r="Z169" s="32" t="str">
        <f t="shared" si="98"/>
        <v/>
      </c>
      <c r="AA169" s="32" t="str">
        <f t="shared" si="99"/>
        <v/>
      </c>
      <c r="AB169" s="32" t="str">
        <f>IF($A169="","",IF($T169="No Throw",0,IF($K169&lt;&gt;"",$K169,IF($AA169&lt;&gt;"",ROUND($AA169*$D$12*IF($C169=0,1,$G$10),0),MIN(IF($T169="Recovery/Easy Catch",Reference!$B$103,IF($T169="Long Toss",Reference!$B$106,Reference!$B$102)),MAX(Reference!$B$101,ROUND(MAX(0,$Q169-$AE169)/$AF169,0)))))))</f>
        <v/>
      </c>
      <c r="AC169" s="32">
        <f t="shared" si="100"/>
        <v>0</v>
      </c>
      <c r="AD169" s="32" t="b">
        <f t="shared" si="101"/>
        <v>1</v>
      </c>
      <c r="AE169" s="32">
        <f>IF($X169=0,0,$X169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169+$Z169)/2,0),Reference!$A$17:$B$20,2,TRUE()))</f>
        <v>0</v>
      </c>
      <c r="AF169" s="32">
        <f>IF(OR($A169="",$U169="",$T169="No Throw"),0,$AM169*VLOOKUP(MAX(($V169+$W169)/2,0),Reference!$A$17:$B$20,2,TRUE()))</f>
        <v>0</v>
      </c>
      <c r="AG169" s="32">
        <f>IF($AC169=0,0,$AC169*INDEX(Reference!$B$61:$B$62,MATCH("Bullpen",Reference!$A$61:$A$62,0))*VLOOKUP(MAX($D$5-($D$9+$E$9)/2,0),Reference!$A$17:$B$20,2,TRUE()))</f>
        <v>0</v>
      </c>
      <c r="AH169" s="32" t="e">
        <f t="shared" si="102"/>
        <v>#N/A</v>
      </c>
      <c r="AI169" s="32" t="e">
        <f>IF($A169="",NA(),Reference!$A$25)</f>
        <v>#N/A</v>
      </c>
      <c r="AJ169" s="32" t="e">
        <f t="shared" si="103"/>
        <v>#N/A</v>
      </c>
      <c r="AK169" s="32">
        <f>IF(OR($A169="",N($C169)&lt;=7,$T169="No Throw",$J169="x"),0,INDEX(Reference!$B$108:$B$114,$N169+1))</f>
        <v>0</v>
      </c>
      <c r="AL169" s="32">
        <f t="shared" si="104"/>
        <v>1</v>
      </c>
      <c r="AM169" s="32">
        <f>IF($U169="",0,IF($AL169&gt;1,((IF(1&lt;=$AL169,($AL169-1+3)*(INDEX(Reference!$B$6:$B$11,MIN(5,MATCH(MAX(Reference!$A$6,MIN(Reference!$A$11,MIN($U169,90))),Reference!$A$6:$A$11,1)))+(MAX(Reference!$A$6,MIN(Reference!$A$11,MIN($U169,90)))-INDEX(Reference!$A$6:$A$11,MIN(5,MATCH(MAX(Reference!$A$6,MIN(Reference!$A$11,MIN($U169,90))),Reference!$A$6:$A$11,1))))*(INDEX(Reference!$B$6:$B$11,MIN(5,MATCH(MAX(Reference!$A$6,MIN(Reference!$A$11,MIN($U169,90))),Reference!$A$6:$A$11,1))+1)-INDEX(Reference!$B$6:$B$11,MIN(5,MATCH(MAX(Reference!$A$6,MIN(Reference!$A$11,MIN($U169,90))),Reference!$A$6:$A$11,1))))/(INDEX(Reference!$A$6:$A$11,MIN(5,MATCH(MAX(Reference!$A$6,MIN(Reference!$A$11,MIN($U169,90))),Reference!$A$6:$A$11,1))+1)-INDEX(Reference!$A$6:$A$11,MIN(5,MATCH(MAX(Reference!$A$6,MIN(Reference!$A$11,MIN($U169,90))),Reference!$A$6:$A$11,1))))),0)+IF(2&lt;=$AL169,($AL169-2+3)*(INDEX(Reference!$B$6:$B$11,MIN(5,MATCH(MAX(Reference!$A$6,MIN(Reference!$A$11,MIN($U169,120))),Reference!$A$6:$A$11,1)))+(MAX(Reference!$A$6,MIN(Reference!$A$11,MIN($U169,120)))-INDEX(Reference!$A$6:$A$11,MIN(5,MATCH(MAX(Reference!$A$6,MIN(Reference!$A$11,MIN($U169,120))),Reference!$A$6:$A$11,1))))*(INDEX(Reference!$B$6:$B$11,MIN(5,MATCH(MAX(Reference!$A$6,MIN(Reference!$A$11,MIN($U169,120))),Reference!$A$6:$A$11,1))+1)-INDEX(Reference!$B$6:$B$11,MIN(5,MATCH(MAX(Reference!$A$6,MIN(Reference!$A$11,MIN($U169,120))),Reference!$A$6:$A$11,1))))/(INDEX(Reference!$A$6:$A$11,MIN(5,MATCH(MAX(Reference!$A$6,MIN(Reference!$A$11,MIN($U169,120))),Reference!$A$6:$A$11,1))+1)-INDEX(Reference!$A$6:$A$11,MIN(5,MATCH(MAX(Reference!$A$6,MIN(Reference!$A$11,MIN($U169,120))),Reference!$A$6:$A$11,1))))),0)+IF(3&lt;=$AL169,($AL169-3+3)*(INDEX(Reference!$B$6:$B$11,MIN(5,MATCH(MAX(Reference!$A$6,MIN(Reference!$A$11,MIN($U169,150))),Reference!$A$6:$A$11,1)))+(MAX(Reference!$A$6,MIN(Reference!$A$11,MIN($U169,150)))-INDEX(Reference!$A$6:$A$11,MIN(5,MATCH(MAX(Reference!$A$6,MIN(Reference!$A$11,MIN($U169,150))),Reference!$A$6:$A$11,1))))*(INDEX(Reference!$B$6:$B$11,MIN(5,MATCH(MAX(Reference!$A$6,MIN(Reference!$A$11,MIN($U169,150))),Reference!$A$6:$A$11,1))+1)-INDEX(Reference!$B$6:$B$11,MIN(5,MATCH(MAX(Reference!$A$6,MIN(Reference!$A$11,MIN($U169,150))),Reference!$A$6:$A$11,1))))/(INDEX(Reference!$A$6:$A$11,MIN(5,MATCH(MAX(Reference!$A$6,MIN(Reference!$A$11,MIN($U169,150))),Reference!$A$6:$A$11,1))+1)-INDEX(Reference!$A$6:$A$11,MIN(5,MATCH(MAX(Reference!$A$6,MIN(Reference!$A$11,MIN($U169,150))),Reference!$A$6:$A$11,1))))),0)+IF(4&lt;=$AL169,($AL169-4+3)*(INDEX(Reference!$B$6:$B$11,MIN(5,MATCH(MAX(Reference!$A$6,MIN(Reference!$A$11,MIN($U169,180))),Reference!$A$6:$A$11,1)))+(MAX(Reference!$A$6,MIN(Reference!$A$11,MIN($U169,180)))-INDEX(Reference!$A$6:$A$11,MIN(5,MATCH(MAX(Reference!$A$6,MIN(Reference!$A$11,MIN($U169,180))),Reference!$A$6:$A$11,1))))*(INDEX(Reference!$B$6:$B$11,MIN(5,MATCH(MAX(Reference!$A$6,MIN(Reference!$A$11,MIN($U169,180))),Reference!$A$6:$A$11,1))+1)-INDEX(Reference!$B$6:$B$11,MIN(5,MATCH(MAX(Reference!$A$6,MIN(Reference!$A$11,MIN($U169,180))),Reference!$A$6:$A$11,1))))/(INDEX(Reference!$A$6:$A$11,MIN(5,MATCH(MAX(Reference!$A$6,MIN(Reference!$A$11,MIN($U169,180))),Reference!$A$6:$A$11,1))+1)-INDEX(Reference!$A$6:$A$11,MIN(5,MATCH(MAX(Reference!$A$6,MIN(Reference!$A$11,MIN($U169,180))),Reference!$A$6:$A$11,1))))),0)+IF(5&lt;=$AL169,($AL169-5+3)*(INDEX(Reference!$B$6:$B$11,MIN(5,MATCH(MAX(Reference!$A$6,MIN(Reference!$A$11,MIN($U169,210))),Reference!$A$6:$A$11,1)))+(MAX(Reference!$A$6,MIN(Reference!$A$11,MIN($U169,210)))-INDEX(Reference!$A$6:$A$11,MIN(5,MATCH(MAX(Reference!$A$6,MIN(Reference!$A$11,MIN($U169,210))),Reference!$A$6:$A$11,1))))*(INDEX(Reference!$B$6:$B$11,MIN(5,MATCH(MAX(Reference!$A$6,MIN(Reference!$A$11,MIN($U169,210))),Reference!$A$6:$A$11,1))+1)-INDEX(Reference!$B$6:$B$11,MIN(5,MATCH(MAX(Reference!$A$6,MIN(Reference!$A$11,MIN($U169,210))),Reference!$A$6:$A$11,1))))/(INDEX(Reference!$A$6:$A$11,MIN(5,MATCH(MAX(Reference!$A$6,MIN(Reference!$A$11,MIN($U169,210))),Reference!$A$6:$A$11,1))+1)-INDEX(Reference!$A$6:$A$11,MIN(5,MATCH(MAX(Reference!$A$6,MIN(Reference!$A$11,MIN($U169,210))),Reference!$A$6:$A$11,1))))),0)+IF(6&lt;=$AL169,($AL169-6+3)*(INDEX(Reference!$B$6:$B$11,MIN(5,MATCH(MAX(Reference!$A$6,MIN(Reference!$A$11,MIN($U169,240))),Reference!$A$6:$A$11,1)))+(MAX(Reference!$A$6,MIN(Reference!$A$11,MIN($U169,240)))-INDEX(Reference!$A$6:$A$11,MIN(5,MATCH(MAX(Reference!$A$6,MIN(Reference!$A$11,MIN($U169,240))),Reference!$A$6:$A$11,1))))*(INDEX(Reference!$B$6:$B$11,MIN(5,MATCH(MAX(Reference!$A$6,MIN(Reference!$A$11,MIN($U169,240))),Reference!$A$6:$A$11,1))+1)-INDEX(Reference!$B$6:$B$11,MIN(5,MATCH(MAX(Reference!$A$6,MIN(Reference!$A$11,MIN($U169,240))),Reference!$A$6:$A$11,1))))/(INDEX(Reference!$A$6:$A$11,MIN(5,MATCH(MAX(Reference!$A$6,MIN(Reference!$A$11,MIN($U169,240))),Reference!$A$6:$A$11,1))+1)-INDEX(Reference!$A$6:$A$11,MIN(5,MATCH(MAX(Reference!$A$6,MIN(Reference!$A$11,MIN($U169,240))),Reference!$A$6:$A$11,1))))),0)+IF(7&lt;=$AL169,($AL169-7+3)*(INDEX(Reference!$B$6:$B$11,MIN(5,MATCH(MAX(Reference!$A$6,MIN(Reference!$A$11,MIN($U169,270))),Reference!$A$6:$A$11,1)))+(MAX(Reference!$A$6,MIN(Reference!$A$11,MIN($U169,270)))-INDEX(Reference!$A$6:$A$11,MIN(5,MATCH(MAX(Reference!$A$6,MIN(Reference!$A$11,MIN($U169,270))),Reference!$A$6:$A$11,1))))*(INDEX(Reference!$B$6:$B$11,MIN(5,MATCH(MAX(Reference!$A$6,MIN(Reference!$A$11,MIN($U169,270))),Reference!$A$6:$A$11,1))+1)-INDEX(Reference!$B$6:$B$11,MIN(5,MATCH(MAX(Reference!$A$6,MIN(Reference!$A$11,MIN($U169,270))),Reference!$A$6:$A$11,1))))/(INDEX(Reference!$A$6:$A$11,MIN(5,MATCH(MAX(Reference!$A$6,MIN(Reference!$A$11,MIN($U169,270))),Reference!$A$6:$A$11,1))+1)-INDEX(Reference!$A$6:$A$11,MIN(5,MATCH(MAX(Reference!$A$6,MIN(Reference!$A$11,MIN($U169,270))),Reference!$A$6:$A$11,1))))),0)+IF(8&lt;=$AL169,($AL169-8+3)*(INDEX(Reference!$B$6:$B$11,MIN(5,MATCH(MAX(Reference!$A$6,MIN(Reference!$A$11,MIN($U169,300))),Reference!$A$6:$A$11,1)))+(MAX(Reference!$A$6,MIN(Reference!$A$11,MIN($U169,300)))-INDEX(Reference!$A$6:$A$11,MIN(5,MATCH(MAX(Reference!$A$6,MIN(Reference!$A$11,MIN($U169,300))),Reference!$A$6:$A$11,1))))*(INDEX(Reference!$B$6:$B$11,MIN(5,MATCH(MAX(Reference!$A$6,MIN(Reference!$A$11,MIN($U169,300))),Reference!$A$6:$A$11,1))+1)-INDEX(Reference!$B$6:$B$11,MIN(5,MATCH(MAX(Reference!$A$6,MIN(Reference!$A$11,MIN($U169,300))),Reference!$A$6:$A$11,1))))/(INDEX(Reference!$A$6:$A$11,MIN(5,MATCH(MAX(Reference!$A$6,MIN(Reference!$A$11,MIN($U169,300))),Reference!$A$6:$A$11,1))+1)-INDEX(Reference!$A$6:$A$11,MIN(5,MATCH(MAX(Reference!$A$6,MIN(Reference!$A$11,MIN($U169,300))),Reference!$A$6:$A$11,1))))),0))/($AL169*($AL169+5)/2)),$AN169))</f>
        <v>0</v>
      </c>
      <c r="AN169" s="32">
        <f>IF($U169="",0,(INDEX(Reference!$B$6:$B$11,MIN(5,MATCH(MAX(Reference!$A$6,MIN(Reference!$A$11,$U169)),Reference!$A$6:$A$11,1)))+(MAX(Reference!$A$6,MIN(Reference!$A$11,$U169))-INDEX(Reference!$A$6:$A$11,MIN(5,MATCH(MAX(Reference!$A$6,MIN(Reference!$A$11,$U169)),Reference!$A$6:$A$11,1))))*(INDEX(Reference!$B$6:$B$11,MIN(5,MATCH(MAX(Reference!$A$6,MIN(Reference!$A$11,$U169)),Reference!$A$6:$A$11,1))+1)-INDEX(Reference!$B$6:$B$11,MIN(5,MATCH(MAX(Reference!$A$6,MIN(Reference!$A$11,$U169)),Reference!$A$6:$A$11,1))))/(INDEX(Reference!$A$6:$A$11,MIN(5,MATCH(MAX(Reference!$A$6,MIN(Reference!$A$11,$U169)),Reference!$A$6:$A$11,1))+1)-INDEX(Reference!$A$6:$A$11,MIN(5,MATCH(MAX(Reference!$A$6,MIN(Reference!$A$11,$U169)),Reference!$A$6:$A$11,1))))))</f>
        <v>0</v>
      </c>
      <c r="AO169" s="37"/>
      <c r="AP169" s="37"/>
      <c r="AQ169" s="37"/>
    </row>
    <row r="170" spans="1:43" x14ac:dyDescent="0.3">
      <c r="A170" s="48" t="str">
        <f t="shared" si="80"/>
        <v/>
      </c>
      <c r="B170" s="32" t="str">
        <f t="shared" si="81"/>
        <v/>
      </c>
      <c r="C170" s="32" t="str">
        <f t="shared" si="82"/>
        <v/>
      </c>
      <c r="D170" s="32" t="str">
        <f t="shared" si="83"/>
        <v/>
      </c>
      <c r="E170" s="32" t="str">
        <f t="shared" si="84"/>
        <v/>
      </c>
      <c r="F170" s="32" t="str">
        <f t="shared" si="85"/>
        <v/>
      </c>
      <c r="G170" s="47" t="str">
        <f t="shared" si="86"/>
        <v/>
      </c>
      <c r="H170" s="30" t="str">
        <f t="shared" si="87"/>
        <v/>
      </c>
      <c r="I170" s="46" t="str">
        <f>IF($A170="","",IF(AND($L170&lt;27,$K$12=0),"Building",IFERROR(((SUM($H$164:$H170)+$K$12*IF($L170&lt;6,SUMIFS('Throw Log'!$Q$5:$Q$300,'Throw Log'!$B$5:$B$300,$D$4,'Throw Log'!$A$5:$A$300,"&gt;="&amp;($D$6+$L170-6),'Throw Log'!$A$5:$A$300,"&lt;="&amp;($D$6-1)),0))/7)/((SUM($H$143:$H170)+$K$12*IF($L170&lt;27,SUMIFS('Throw Log'!$Q$5:$Q$300,'Throw Log'!$B$5:$B$300,$D$4,'Throw Log'!$A$5:$A$300,"&gt;="&amp;($D$6+$L170-27),'Throw Log'!$A$5:$A$300,"&lt;="&amp;($D$6-1)),0))/28),"")))</f>
        <v/>
      </c>
      <c r="J170" s="37"/>
      <c r="K170" s="37"/>
      <c r="L170" s="32">
        <v>127</v>
      </c>
      <c r="M170" s="32">
        <f t="shared" si="88"/>
        <v>19</v>
      </c>
      <c r="N170" s="32">
        <f t="shared" si="89"/>
        <v>1</v>
      </c>
      <c r="O170" s="32">
        <f t="shared" si="90"/>
        <v>1</v>
      </c>
      <c r="P170" s="32" t="str">
        <f>IF(OR($A170="",N($C170)&lt;=7),"",$G$6*$G$9^($M170-1)*IF(AND(MOD($M170,Reference!$B$99)=0,$M170&lt;=$G$5-2),Reference!$B$100,1))</f>
        <v/>
      </c>
      <c r="Q170" s="32" t="str">
        <f>IF($P170="","",IF(SUM($AK$169:$AK$175)=0,0,$P170*INDEX(Reference!$B$108:$B$114,$N170+1)/SUM($AK$169:$AK$175)))</f>
        <v/>
      </c>
      <c r="R170" s="32">
        <f t="shared" si="91"/>
        <v>180</v>
      </c>
      <c r="S170" s="32">
        <f t="shared" si="92"/>
        <v>150</v>
      </c>
      <c r="T170" s="32" t="str">
        <f>IF($A170="","",IF($C170=0,"Bullpen",IF(OR($C170=7,$C170=1,$C170=5),"Recovery/Easy Catch",IF($C170=6,"Compression/Pulldowns",IF(OR($C170=4,$C170=2),"Long Toss",IF($C170=3,"No Throw",IF($N170=2,"No Throw",IF($N170=6,IF($O170&lt;Reference!$B$104,"No Throw","Recovery/Easy Catch"),IF(OR($N170=0,$N170=4),"Recovery/Easy Catch",IF($N170=1,IF($R170&gt;75,"Long Toss","Recovery/Easy Catch"),IF($N170=3,IF($O170&lt;0.5,IF($S170&gt;75,"Long Toss","Recovery/Easy Catch"),"Compression/Pulldowns"),IF($S170&gt;75,"Long Toss","Recovery/Easy Catch"))))))))))))</f>
        <v/>
      </c>
      <c r="U170" s="32" t="str">
        <f t="shared" si="93"/>
        <v/>
      </c>
      <c r="V170" s="32" t="str">
        <f t="shared" si="94"/>
        <v/>
      </c>
      <c r="W170" s="32" t="str">
        <f t="shared" si="95"/>
        <v/>
      </c>
      <c r="X170" s="32">
        <f t="shared" si="96"/>
        <v>0</v>
      </c>
      <c r="Y170" s="32" t="str">
        <f t="shared" si="97"/>
        <v/>
      </c>
      <c r="Z170" s="32" t="str">
        <f t="shared" si="98"/>
        <v/>
      </c>
      <c r="AA170" s="32" t="str">
        <f t="shared" si="99"/>
        <v/>
      </c>
      <c r="AB170" s="32" t="str">
        <f>IF($A170="","",IF($T170="No Throw",0,IF($K170&lt;&gt;"",$K170,IF($AA170&lt;&gt;"",ROUND($AA170*$D$12*IF($C170=0,1,$G$10),0),MIN(IF($T170="Recovery/Easy Catch",Reference!$B$103,IF($T170="Long Toss",Reference!$B$106,Reference!$B$102)),MAX(Reference!$B$101,ROUND(MAX(0,$Q170-$AE170)/$AF170,0)))))))</f>
        <v/>
      </c>
      <c r="AC170" s="32">
        <f t="shared" si="100"/>
        <v>0</v>
      </c>
      <c r="AD170" s="32" t="b">
        <f t="shared" si="101"/>
        <v>1</v>
      </c>
      <c r="AE170" s="32">
        <f>IF($X170=0,0,$X170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170+$Z170)/2,0),Reference!$A$17:$B$20,2,TRUE()))</f>
        <v>0</v>
      </c>
      <c r="AF170" s="32">
        <f>IF(OR($A170="",$U170="",$T170="No Throw"),0,$AM170*VLOOKUP(MAX(($V170+$W170)/2,0),Reference!$A$17:$B$20,2,TRUE()))</f>
        <v>0</v>
      </c>
      <c r="AG170" s="32">
        <f>IF($AC170=0,0,$AC170*INDEX(Reference!$B$61:$B$62,MATCH("Bullpen",Reference!$A$61:$A$62,0))*VLOOKUP(MAX($D$5-($D$9+$E$9)/2,0),Reference!$A$17:$B$20,2,TRUE()))</f>
        <v>0</v>
      </c>
      <c r="AH170" s="32" t="e">
        <f t="shared" si="102"/>
        <v>#N/A</v>
      </c>
      <c r="AI170" s="32" t="e">
        <f>IF($A170="",NA(),Reference!$A$25)</f>
        <v>#N/A</v>
      </c>
      <c r="AJ170" s="32" t="e">
        <f t="shared" si="103"/>
        <v>#N/A</v>
      </c>
      <c r="AK170" s="32">
        <f>IF(OR($A170="",N($C170)&lt;=7,$T170="No Throw",$J170="x"),0,INDEX(Reference!$B$108:$B$114,$N170+1))</f>
        <v>0</v>
      </c>
      <c r="AL170" s="32">
        <f t="shared" si="104"/>
        <v>1</v>
      </c>
      <c r="AM170" s="32">
        <f>IF($U170="",0,IF($AL170&gt;1,((IF(1&lt;=$AL170,($AL170-1+3)*(INDEX(Reference!$B$6:$B$11,MIN(5,MATCH(MAX(Reference!$A$6,MIN(Reference!$A$11,MIN($U170,90))),Reference!$A$6:$A$11,1)))+(MAX(Reference!$A$6,MIN(Reference!$A$11,MIN($U170,90)))-INDEX(Reference!$A$6:$A$11,MIN(5,MATCH(MAX(Reference!$A$6,MIN(Reference!$A$11,MIN($U170,90))),Reference!$A$6:$A$11,1))))*(INDEX(Reference!$B$6:$B$11,MIN(5,MATCH(MAX(Reference!$A$6,MIN(Reference!$A$11,MIN($U170,90))),Reference!$A$6:$A$11,1))+1)-INDEX(Reference!$B$6:$B$11,MIN(5,MATCH(MAX(Reference!$A$6,MIN(Reference!$A$11,MIN($U170,90))),Reference!$A$6:$A$11,1))))/(INDEX(Reference!$A$6:$A$11,MIN(5,MATCH(MAX(Reference!$A$6,MIN(Reference!$A$11,MIN($U170,90))),Reference!$A$6:$A$11,1))+1)-INDEX(Reference!$A$6:$A$11,MIN(5,MATCH(MAX(Reference!$A$6,MIN(Reference!$A$11,MIN($U170,90))),Reference!$A$6:$A$11,1))))),0)+IF(2&lt;=$AL170,($AL170-2+3)*(INDEX(Reference!$B$6:$B$11,MIN(5,MATCH(MAX(Reference!$A$6,MIN(Reference!$A$11,MIN($U170,120))),Reference!$A$6:$A$11,1)))+(MAX(Reference!$A$6,MIN(Reference!$A$11,MIN($U170,120)))-INDEX(Reference!$A$6:$A$11,MIN(5,MATCH(MAX(Reference!$A$6,MIN(Reference!$A$11,MIN($U170,120))),Reference!$A$6:$A$11,1))))*(INDEX(Reference!$B$6:$B$11,MIN(5,MATCH(MAX(Reference!$A$6,MIN(Reference!$A$11,MIN($U170,120))),Reference!$A$6:$A$11,1))+1)-INDEX(Reference!$B$6:$B$11,MIN(5,MATCH(MAX(Reference!$A$6,MIN(Reference!$A$11,MIN($U170,120))),Reference!$A$6:$A$11,1))))/(INDEX(Reference!$A$6:$A$11,MIN(5,MATCH(MAX(Reference!$A$6,MIN(Reference!$A$11,MIN($U170,120))),Reference!$A$6:$A$11,1))+1)-INDEX(Reference!$A$6:$A$11,MIN(5,MATCH(MAX(Reference!$A$6,MIN(Reference!$A$11,MIN($U170,120))),Reference!$A$6:$A$11,1))))),0)+IF(3&lt;=$AL170,($AL170-3+3)*(INDEX(Reference!$B$6:$B$11,MIN(5,MATCH(MAX(Reference!$A$6,MIN(Reference!$A$11,MIN($U170,150))),Reference!$A$6:$A$11,1)))+(MAX(Reference!$A$6,MIN(Reference!$A$11,MIN($U170,150)))-INDEX(Reference!$A$6:$A$11,MIN(5,MATCH(MAX(Reference!$A$6,MIN(Reference!$A$11,MIN($U170,150))),Reference!$A$6:$A$11,1))))*(INDEX(Reference!$B$6:$B$11,MIN(5,MATCH(MAX(Reference!$A$6,MIN(Reference!$A$11,MIN($U170,150))),Reference!$A$6:$A$11,1))+1)-INDEX(Reference!$B$6:$B$11,MIN(5,MATCH(MAX(Reference!$A$6,MIN(Reference!$A$11,MIN($U170,150))),Reference!$A$6:$A$11,1))))/(INDEX(Reference!$A$6:$A$11,MIN(5,MATCH(MAX(Reference!$A$6,MIN(Reference!$A$11,MIN($U170,150))),Reference!$A$6:$A$11,1))+1)-INDEX(Reference!$A$6:$A$11,MIN(5,MATCH(MAX(Reference!$A$6,MIN(Reference!$A$11,MIN($U170,150))),Reference!$A$6:$A$11,1))))),0)+IF(4&lt;=$AL170,($AL170-4+3)*(INDEX(Reference!$B$6:$B$11,MIN(5,MATCH(MAX(Reference!$A$6,MIN(Reference!$A$11,MIN($U170,180))),Reference!$A$6:$A$11,1)))+(MAX(Reference!$A$6,MIN(Reference!$A$11,MIN($U170,180)))-INDEX(Reference!$A$6:$A$11,MIN(5,MATCH(MAX(Reference!$A$6,MIN(Reference!$A$11,MIN($U170,180))),Reference!$A$6:$A$11,1))))*(INDEX(Reference!$B$6:$B$11,MIN(5,MATCH(MAX(Reference!$A$6,MIN(Reference!$A$11,MIN($U170,180))),Reference!$A$6:$A$11,1))+1)-INDEX(Reference!$B$6:$B$11,MIN(5,MATCH(MAX(Reference!$A$6,MIN(Reference!$A$11,MIN($U170,180))),Reference!$A$6:$A$11,1))))/(INDEX(Reference!$A$6:$A$11,MIN(5,MATCH(MAX(Reference!$A$6,MIN(Reference!$A$11,MIN($U170,180))),Reference!$A$6:$A$11,1))+1)-INDEX(Reference!$A$6:$A$11,MIN(5,MATCH(MAX(Reference!$A$6,MIN(Reference!$A$11,MIN($U170,180))),Reference!$A$6:$A$11,1))))),0)+IF(5&lt;=$AL170,($AL170-5+3)*(INDEX(Reference!$B$6:$B$11,MIN(5,MATCH(MAX(Reference!$A$6,MIN(Reference!$A$11,MIN($U170,210))),Reference!$A$6:$A$11,1)))+(MAX(Reference!$A$6,MIN(Reference!$A$11,MIN($U170,210)))-INDEX(Reference!$A$6:$A$11,MIN(5,MATCH(MAX(Reference!$A$6,MIN(Reference!$A$11,MIN($U170,210))),Reference!$A$6:$A$11,1))))*(INDEX(Reference!$B$6:$B$11,MIN(5,MATCH(MAX(Reference!$A$6,MIN(Reference!$A$11,MIN($U170,210))),Reference!$A$6:$A$11,1))+1)-INDEX(Reference!$B$6:$B$11,MIN(5,MATCH(MAX(Reference!$A$6,MIN(Reference!$A$11,MIN($U170,210))),Reference!$A$6:$A$11,1))))/(INDEX(Reference!$A$6:$A$11,MIN(5,MATCH(MAX(Reference!$A$6,MIN(Reference!$A$11,MIN($U170,210))),Reference!$A$6:$A$11,1))+1)-INDEX(Reference!$A$6:$A$11,MIN(5,MATCH(MAX(Reference!$A$6,MIN(Reference!$A$11,MIN($U170,210))),Reference!$A$6:$A$11,1))))),0)+IF(6&lt;=$AL170,($AL170-6+3)*(INDEX(Reference!$B$6:$B$11,MIN(5,MATCH(MAX(Reference!$A$6,MIN(Reference!$A$11,MIN($U170,240))),Reference!$A$6:$A$11,1)))+(MAX(Reference!$A$6,MIN(Reference!$A$11,MIN($U170,240)))-INDEX(Reference!$A$6:$A$11,MIN(5,MATCH(MAX(Reference!$A$6,MIN(Reference!$A$11,MIN($U170,240))),Reference!$A$6:$A$11,1))))*(INDEX(Reference!$B$6:$B$11,MIN(5,MATCH(MAX(Reference!$A$6,MIN(Reference!$A$11,MIN($U170,240))),Reference!$A$6:$A$11,1))+1)-INDEX(Reference!$B$6:$B$11,MIN(5,MATCH(MAX(Reference!$A$6,MIN(Reference!$A$11,MIN($U170,240))),Reference!$A$6:$A$11,1))))/(INDEX(Reference!$A$6:$A$11,MIN(5,MATCH(MAX(Reference!$A$6,MIN(Reference!$A$11,MIN($U170,240))),Reference!$A$6:$A$11,1))+1)-INDEX(Reference!$A$6:$A$11,MIN(5,MATCH(MAX(Reference!$A$6,MIN(Reference!$A$11,MIN($U170,240))),Reference!$A$6:$A$11,1))))),0)+IF(7&lt;=$AL170,($AL170-7+3)*(INDEX(Reference!$B$6:$B$11,MIN(5,MATCH(MAX(Reference!$A$6,MIN(Reference!$A$11,MIN($U170,270))),Reference!$A$6:$A$11,1)))+(MAX(Reference!$A$6,MIN(Reference!$A$11,MIN($U170,270)))-INDEX(Reference!$A$6:$A$11,MIN(5,MATCH(MAX(Reference!$A$6,MIN(Reference!$A$11,MIN($U170,270))),Reference!$A$6:$A$11,1))))*(INDEX(Reference!$B$6:$B$11,MIN(5,MATCH(MAX(Reference!$A$6,MIN(Reference!$A$11,MIN($U170,270))),Reference!$A$6:$A$11,1))+1)-INDEX(Reference!$B$6:$B$11,MIN(5,MATCH(MAX(Reference!$A$6,MIN(Reference!$A$11,MIN($U170,270))),Reference!$A$6:$A$11,1))))/(INDEX(Reference!$A$6:$A$11,MIN(5,MATCH(MAX(Reference!$A$6,MIN(Reference!$A$11,MIN($U170,270))),Reference!$A$6:$A$11,1))+1)-INDEX(Reference!$A$6:$A$11,MIN(5,MATCH(MAX(Reference!$A$6,MIN(Reference!$A$11,MIN($U170,270))),Reference!$A$6:$A$11,1))))),0)+IF(8&lt;=$AL170,($AL170-8+3)*(INDEX(Reference!$B$6:$B$11,MIN(5,MATCH(MAX(Reference!$A$6,MIN(Reference!$A$11,MIN($U170,300))),Reference!$A$6:$A$11,1)))+(MAX(Reference!$A$6,MIN(Reference!$A$11,MIN($U170,300)))-INDEX(Reference!$A$6:$A$11,MIN(5,MATCH(MAX(Reference!$A$6,MIN(Reference!$A$11,MIN($U170,300))),Reference!$A$6:$A$11,1))))*(INDEX(Reference!$B$6:$B$11,MIN(5,MATCH(MAX(Reference!$A$6,MIN(Reference!$A$11,MIN($U170,300))),Reference!$A$6:$A$11,1))+1)-INDEX(Reference!$B$6:$B$11,MIN(5,MATCH(MAX(Reference!$A$6,MIN(Reference!$A$11,MIN($U170,300))),Reference!$A$6:$A$11,1))))/(INDEX(Reference!$A$6:$A$11,MIN(5,MATCH(MAX(Reference!$A$6,MIN(Reference!$A$11,MIN($U170,300))),Reference!$A$6:$A$11,1))+1)-INDEX(Reference!$A$6:$A$11,MIN(5,MATCH(MAX(Reference!$A$6,MIN(Reference!$A$11,MIN($U170,300))),Reference!$A$6:$A$11,1))))),0))/($AL170*($AL170+5)/2)),$AN170))</f>
        <v>0</v>
      </c>
      <c r="AN170" s="32">
        <f>IF($U170="",0,(INDEX(Reference!$B$6:$B$11,MIN(5,MATCH(MAX(Reference!$A$6,MIN(Reference!$A$11,$U170)),Reference!$A$6:$A$11,1)))+(MAX(Reference!$A$6,MIN(Reference!$A$11,$U170))-INDEX(Reference!$A$6:$A$11,MIN(5,MATCH(MAX(Reference!$A$6,MIN(Reference!$A$11,$U170)),Reference!$A$6:$A$11,1))))*(INDEX(Reference!$B$6:$B$11,MIN(5,MATCH(MAX(Reference!$A$6,MIN(Reference!$A$11,$U170)),Reference!$A$6:$A$11,1))+1)-INDEX(Reference!$B$6:$B$11,MIN(5,MATCH(MAX(Reference!$A$6,MIN(Reference!$A$11,$U170)),Reference!$A$6:$A$11,1))))/(INDEX(Reference!$A$6:$A$11,MIN(5,MATCH(MAX(Reference!$A$6,MIN(Reference!$A$11,$U170)),Reference!$A$6:$A$11,1))+1)-INDEX(Reference!$A$6:$A$11,MIN(5,MATCH(MAX(Reference!$A$6,MIN(Reference!$A$11,$U170)),Reference!$A$6:$A$11,1))))))</f>
        <v>0</v>
      </c>
      <c r="AO170" s="37"/>
      <c r="AP170" s="37"/>
      <c r="AQ170" s="37"/>
    </row>
    <row r="171" spans="1:43" x14ac:dyDescent="0.3">
      <c r="A171" s="48" t="str">
        <f t="shared" ref="A171:A183" si="105">IFERROR(IF($L171&gt;$G$4,"",$D$6+$L171),"")</f>
        <v/>
      </c>
      <c r="B171" s="32" t="str">
        <f t="shared" ref="B171:B183" si="106">IF($A171="","",TEXT($A171,"ddd"))</f>
        <v/>
      </c>
      <c r="C171" s="32" t="str">
        <f t="shared" ref="C171:C183" si="107">IF($A171="","",$G$4-$L171)</f>
        <v/>
      </c>
      <c r="D171" s="32" t="str">
        <f t="shared" ref="D171:D183" si="108">IF($A171="","",IF($C171=0,"First Bullpen",IF($C171&lt;=7,"Taper",IF($O171&lt;0.2,"Re-entry",IF($O171&lt;0.45,"Base",IF($O171&lt;0.65,"Extension","Flat Ground / Intent"))))))</f>
        <v/>
      </c>
      <c r="E171" s="32" t="str">
        <f t="shared" ref="E171:E183" si="109">IF($A171="","",IF($AD171,"No Throw",IF($C171=0,"High Bullpen",IF($C171=6,"High Non-Bullpen",IF(OR($C171=4,$C171=2),"Medium",IF($T171="Recovery/Easy Catch","Low",IF($N171=1,IF($O171&lt;0.4,"Low",IF($O171&lt;0.7,"Medium","High Non-Bullpen")),IF($N171=3,IF($O171&lt;0.5,"Medium","High Non-Bullpen"),IF($O171&lt;0.62,"Medium","High Non-Bullpen")))))))))</f>
        <v/>
      </c>
      <c r="F171" s="32" t="str">
        <f t="shared" ref="F171:F183" si="110">IF($A171="","",IF($AD171,"No Throw",$T171))</f>
        <v/>
      </c>
      <c r="G171" s="47" t="str">
        <f t="shared" ref="G171:G183" si="111">IF($A171="","",IF($AD171,"Off",IF($AL171&gt;1,"Long toss out to "&amp;$U171&amp;" ft — "&amp;$AB171&amp;" throws ("&amp;IF(1&lt;=$AL171,MIN($U171,90)&amp;"×"&amp;(ROUND($AB171*(1*($AL171+3)-1)/($AL171*($AL171+5)/2),0)-0),"")&amp;IF(2&lt;=$AL171," · "&amp;MIN($U171,120)&amp;"×"&amp;(ROUND($AB171*(2*($AL171+3)-3)/($AL171*($AL171+5)/2),0)-ROUND($AB171*(1*($AL171+3)-1)/($AL171*($AL171+5)/2),0)),"")&amp;IF(3&lt;=$AL171," · "&amp;MIN($U171,150)&amp;"×"&amp;(ROUND($AB171*(3*($AL171+3)-6)/($AL171*($AL171+5)/2),0)-ROUND($AB171*(2*($AL171+3)-3)/($AL171*($AL171+5)/2),0)),"")&amp;IF(4&lt;=$AL171," · "&amp;MIN($U171,180)&amp;"×"&amp;(ROUND($AB171*(4*($AL171+3)-10)/($AL171*($AL171+5)/2),0)-ROUND($AB171*(3*($AL171+3)-6)/($AL171*($AL171+5)/2),0)),"")&amp;IF(5&lt;=$AL171," · "&amp;MIN($U171,210)&amp;"×"&amp;(ROUND($AB171*(5*($AL171+3)-15)/($AL171*($AL171+5)/2),0)-ROUND($AB171*(4*($AL171+3)-10)/($AL171*($AL171+5)/2),0)),"")&amp;IF(6&lt;=$AL171," · "&amp;MIN($U171,240)&amp;"×"&amp;(ROUND($AB171*(6*($AL171+3)-21)/($AL171*($AL171+5)/2),0)-ROUND($AB171*(5*($AL171+3)-15)/($AL171*($AL171+5)/2),0)),"")&amp;IF(7&lt;=$AL171," · "&amp;MIN($U171,270)&amp;"×"&amp;(ROUND($AB171*(7*($AL171+3)-28)/($AL171*($AL171+5)/2),0)-ROUND($AB171*(6*($AL171+3)-21)/($AL171*($AL171+5)/2),0)),"")&amp;IF(8&lt;=$AL171," · "&amp;MIN($U171,300)&amp;"×"&amp;(ROUND($AB171*(8*($AL171+3)-36)/($AL171*($AL171+5)/2),0)-ROUND($AB171*(7*($AL171+3)-28)/($AL171*($AL171+5)/2),0)),"")&amp;")",$U171&amp;" ft × "&amp;$AB171)&amp;" @ "&amp;ROUND($D$5-$W171,0)&amp;"–"&amp;ROUND($D$5-$V171,0)&amp;" mph"&amp;IF($X171&gt;0,IF($Y171&lt;10," + flat ground at 60 ft × "," + 60 ft × ")&amp;$X171&amp;" @ "&amp;ROUND($D$5-$Z171,0)&amp;"–"&amp;ROUND($D$5-$Y171,0)&amp;" mph","")&amp;IF($AC171&gt;0," + MOUND × "&amp;$AC171&amp;" pitches @ "&amp;$D$9&amp;"–"&amp;$E$9&amp;" mph","")))</f>
        <v/>
      </c>
      <c r="H171" s="30" t="str">
        <f t="shared" ref="H171:H183" si="112">IF($A171="","",IF($AD171,0,$AB171*$AF171+$AE171+$AG171))</f>
        <v/>
      </c>
      <c r="I171" s="46" t="str">
        <f>IF($A171="","",IF(AND($L171&lt;27,$K$12=0),"Building",IFERROR(((SUM($H$165:$H171)+$K$12*IF($L171&lt;6,SUMIFS('Throw Log'!$Q$5:$Q$300,'Throw Log'!$B$5:$B$300,$D$4,'Throw Log'!$A$5:$A$300,"&gt;="&amp;($D$6+$L171-6),'Throw Log'!$A$5:$A$300,"&lt;="&amp;($D$6-1)),0))/7)/((SUM($H$144:$H171)+$K$12*IF($L171&lt;27,SUMIFS('Throw Log'!$Q$5:$Q$300,'Throw Log'!$B$5:$B$300,$D$4,'Throw Log'!$A$5:$A$300,"&gt;="&amp;($D$6+$L171-27),'Throw Log'!$A$5:$A$300,"&lt;="&amp;($D$6-1)),0))/28),"")))</f>
        <v/>
      </c>
      <c r="J171" s="37"/>
      <c r="K171" s="37"/>
      <c r="L171" s="32">
        <v>128</v>
      </c>
      <c r="M171" s="32">
        <f t="shared" ref="M171:M183" si="113">INT($L171/7)+1</f>
        <v>19</v>
      </c>
      <c r="N171" s="32">
        <f t="shared" ref="N171:N183" si="114">MOD($L171,7)</f>
        <v>2</v>
      </c>
      <c r="O171" s="32">
        <f t="shared" ref="O171:O183" si="115">MIN(1,$G$7+(1-$G$7)*$L171/MAX(1,N($G$4)-8))</f>
        <v>1</v>
      </c>
      <c r="P171" s="32" t="str">
        <f>IF(OR($A171="",N($C171)&lt;=7),"",$G$6*$G$9^($M171-1)*IF(AND(MOD($M171,Reference!$B$99)=0,$M171&lt;=$G$5-2),Reference!$B$100,1))</f>
        <v/>
      </c>
      <c r="Q171" s="32" t="str">
        <f>IF($P171="","",IF(SUM($AK$169:$AK$175)=0,0,$P171*INDEX(Reference!$B$108:$B$114,$N171+1)/SUM($AK$169:$AK$175)))</f>
        <v/>
      </c>
      <c r="R171" s="32">
        <f t="shared" ref="R171:R183" si="116">ROUND((60+($D$11-60)*MIN(1,$O171/0.75))/15,0)*15</f>
        <v>180</v>
      </c>
      <c r="S171" s="32">
        <f t="shared" ref="S171:S183" si="117">ROUND((60+($R171-60)*0.8)/15,0)*15</f>
        <v>150</v>
      </c>
      <c r="T171" s="32" t="str">
        <f>IF($A171="","",IF($C171=0,"Bullpen",IF(OR($C171=7,$C171=1,$C171=5),"Recovery/Easy Catch",IF($C171=6,"Compression/Pulldowns",IF(OR($C171=4,$C171=2),"Long Toss",IF($C171=3,"No Throw",IF($N171=2,"No Throw",IF($N171=6,IF($O171&lt;Reference!$B$104,"No Throw","Recovery/Easy Catch"),IF(OR($N171=0,$N171=4),"Recovery/Easy Catch",IF($N171=1,IF($R171&gt;75,"Long Toss","Recovery/Easy Catch"),IF($N171=3,IF($O171&lt;0.5,IF($S171&gt;75,"Long Toss","Recovery/Easy Catch"),"Compression/Pulldowns"),IF($S171&gt;75,"Long Toss","Recovery/Easy Catch"))))))))))))</f>
        <v/>
      </c>
      <c r="U171" s="32" t="str">
        <f t="shared" ref="U171:U183" si="118">IF($A171="","",IF(N($AO171)&gt;0,$AO171,IF($C171=0,90,IF(OR($C171=7,$C171=1),75,IF($C171=6,90,IF($C171=5,60,IF($C171=4,MIN(150,ROUND(0.75*$D$11/15,0)*15),IF($C171=2,MIN(120,ROUND(0.67*$D$11/15,0)*15),IF($C171=3,"",IF($N171=2,"",IF($N171=6,60,IF($N171=0,IF($O171&lt;0.25,60,75),IF($N171=4,IF($O171&lt;0.5,60,75),IF($N171=1,$R171,IF($N171=3,IF($O171&lt;0.5,$S171,90),$S171)))))))))))))))</f>
        <v/>
      </c>
      <c r="V171" s="32" t="str">
        <f t="shared" ref="V171:V183" si="119">IF($A171="","",IF(N($AQ171)&gt;0,$D$5-$AQ171,IF(N($AP171)&gt;0,$D$5-$AP171,IF($C171=0,10,IF(OR($C171=7,$C171=1),18,IF($C171=6,7,IF($C171=5,20,IF(OR($C171=4,$C171=2),10,IF($C171=3,"",IF($N171=2,"",IF($N171=6,20,IF($N171=0,IF($O171&lt;0.25,20,18),IF($N171=4,IF($O171&lt;0.5,20,18),IF($N171=1,IF($O171&lt;0.25,18,IF($O171&lt;0.5,13,10)),IF($N171=3,IF($O171&lt;0.5,IF($O171&lt;0.25,18,13),7),IF($O171&lt;0.25,18,IF($O171&lt;0.5,12,10)))))))))))))))))</f>
        <v/>
      </c>
      <c r="W171" s="32" t="str">
        <f t="shared" ref="W171:W183" si="120">IF($A171="","",IF(N($AP171)&gt;0,$D$5-$AP171,IF(N($AQ171)&gt;0,$D$5-$AQ171,IF($C171=0,12,IF(OR($C171=7,$C171=1),22,IF($C171=6,9,IF($C171=5,24,IF(OR($C171=4,$C171=2),13,IF($C171=3,"",IF($N171=2,"",IF($N171=6,24,IF($N171=0,IF($O171&lt;0.25,24,22),IF($N171=4,IF($O171&lt;0.5,24,22),IF($N171=1,IF($O171&lt;0.25,22,IF($O171&lt;0.5,16,12)),IF($N171=3,IF($O171&lt;0.5,IF($O171&lt;0.25,22,16),9),IF($O171&lt;0.25,22,IF($O171&lt;0.5,15,13)))))))))))))))))</f>
        <v/>
      </c>
      <c r="X171" s="32">
        <f t="shared" ref="X171:X183" si="121">IF($A171="",0,IF($C171=6,ROUND(25*$G$10,0),IF(OR($C171=4,$C171=2),ROUND(15*$G$10,0),IF($C171&lt;=7,0,IF($N171=1,IF($O171&lt;0.2,0,IF($O171&lt;0.5,10,15)),IF($N171=3,IF($O171&lt;0.5,IF($O171&lt;0.2,0,10),IF($O171&lt;0.62,15,IF($O171&lt;0.8,20,25))),IF($N171=5,IF($O171&lt;0.2,0,IF($O171&lt;0.62,12,IF($O171&lt;0.8,20,25))),0)))))))</f>
        <v>0</v>
      </c>
      <c r="Y171" s="32" t="str">
        <f t="shared" ref="Y171:Y183" si="122">IF($X171=0,"",IF($C171=6,$D$5-$E$9,IF(OR($C171=4,$C171=2),8,IF($N171=1,IF($O171&lt;0.5,14,10),IF($N171=3,IF($O171&lt;0.5,14,IF($O171&lt;0.62,10,7)),IF($N171=5,IF($O171&lt;0.5,14,IF($O171&lt;0.62,12,7)),""))))))</f>
        <v/>
      </c>
      <c r="Z171" s="32" t="str">
        <f t="shared" ref="Z171:Z183" si="123">IF($X171=0,"",IF($C171=6,$D$5-$D$9,IF(OR($C171=4,$C171=2),10,IF($N171=1,IF($O171&lt;0.5,18,12),IF($N171=3,IF($O171&lt;0.5,18,IF($O171&lt;0.62,12,9)),IF($N171=5,IF($O171&lt;0.5,18,IF($O171&lt;0.62,15,9)),""))))))</f>
        <v/>
      </c>
      <c r="AA171" s="32" t="str">
        <f t="shared" ref="AA171:AA183" si="124">IF($A171="","",IF($C171=0,25,IF(OR($C171=7,$C171=1,$C171=5),30,IF($C171=6,25,IF(OR($C171=4,$C171=2),IF($AM171=0,30,30*$AN171/$AM171),"")))))</f>
        <v/>
      </c>
      <c r="AB171" s="32" t="str">
        <f>IF($A171="","",IF($T171="No Throw",0,IF($K171&lt;&gt;"",$K171,IF($AA171&lt;&gt;"",ROUND($AA171*$D$12*IF($C171=0,1,$G$10),0),MIN(IF($T171="Recovery/Easy Catch",Reference!$B$103,IF($T171="Long Toss",Reference!$B$106,Reference!$B$102)),MAX(Reference!$B$101,ROUND(MAX(0,$Q171-$AE171)/$AF171,0)))))))</f>
        <v/>
      </c>
      <c r="AC171" s="32">
        <f t="shared" ref="AC171:AC183" si="125">IF($A171="",0,IF($C171=0,$D$8,0))</f>
        <v>0</v>
      </c>
      <c r="AD171" s="32" t="b">
        <f t="shared" ref="AD171:AD183" si="126">IF($A171="",TRUE(),OR($J171="x",$T171="No Throw"))</f>
        <v>1</v>
      </c>
      <c r="AE171" s="32">
        <f>IF($X171=0,0,$X171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171+$Z171)/2,0),Reference!$A$17:$B$20,2,TRUE()))</f>
        <v>0</v>
      </c>
      <c r="AF171" s="32">
        <f>IF(OR($A171="",$U171="",$T171="No Throw"),0,$AM171*VLOOKUP(MAX(($V171+$W171)/2,0),Reference!$A$17:$B$20,2,TRUE()))</f>
        <v>0</v>
      </c>
      <c r="AG171" s="32">
        <f>IF($AC171=0,0,$AC171*INDEX(Reference!$B$61:$B$62,MATCH("Bullpen",Reference!$A$61:$A$62,0))*VLOOKUP(MAX($D$5-($D$9+$E$9)/2,0),Reference!$A$17:$B$20,2,TRUE()))</f>
        <v>0</v>
      </c>
      <c r="AH171" s="32" t="e">
        <f t="shared" ref="AH171:AH183" si="127">IF(OR($A171="",$L171&lt;27),NA(),$I171)</f>
        <v>#N/A</v>
      </c>
      <c r="AI171" s="32" t="e">
        <f>IF($A171="",NA(),Reference!$A$25)</f>
        <v>#N/A</v>
      </c>
      <c r="AJ171" s="32" t="e">
        <f t="shared" ref="AJ171:AJ183" si="128">IF($A171="",NA(),1.3)</f>
        <v>#N/A</v>
      </c>
      <c r="AK171" s="32">
        <f>IF(OR($A171="",N($C171)&lt;=7,$T171="No Throw",$J171="x"),0,INDEX(Reference!$B$108:$B$114,$N171+1))</f>
        <v>0</v>
      </c>
      <c r="AL171" s="32">
        <f t="shared" ref="AL171:AL183" si="129">IF($U171="",1,IF(AND($T171="Long Toss",N($U171)&gt;90),1+ROUNDUP(($U171-90)/30,0),1))</f>
        <v>1</v>
      </c>
      <c r="AM171" s="32">
        <f>IF($U171="",0,IF($AL171&gt;1,((IF(1&lt;=$AL171,($AL171-1+3)*(INDEX(Reference!$B$6:$B$11,MIN(5,MATCH(MAX(Reference!$A$6,MIN(Reference!$A$11,MIN($U171,90))),Reference!$A$6:$A$11,1)))+(MAX(Reference!$A$6,MIN(Reference!$A$11,MIN($U171,90)))-INDEX(Reference!$A$6:$A$11,MIN(5,MATCH(MAX(Reference!$A$6,MIN(Reference!$A$11,MIN($U171,90))),Reference!$A$6:$A$11,1))))*(INDEX(Reference!$B$6:$B$11,MIN(5,MATCH(MAX(Reference!$A$6,MIN(Reference!$A$11,MIN($U171,90))),Reference!$A$6:$A$11,1))+1)-INDEX(Reference!$B$6:$B$11,MIN(5,MATCH(MAX(Reference!$A$6,MIN(Reference!$A$11,MIN($U171,90))),Reference!$A$6:$A$11,1))))/(INDEX(Reference!$A$6:$A$11,MIN(5,MATCH(MAX(Reference!$A$6,MIN(Reference!$A$11,MIN($U171,90))),Reference!$A$6:$A$11,1))+1)-INDEX(Reference!$A$6:$A$11,MIN(5,MATCH(MAX(Reference!$A$6,MIN(Reference!$A$11,MIN($U171,90))),Reference!$A$6:$A$11,1))))),0)+IF(2&lt;=$AL171,($AL171-2+3)*(INDEX(Reference!$B$6:$B$11,MIN(5,MATCH(MAX(Reference!$A$6,MIN(Reference!$A$11,MIN($U171,120))),Reference!$A$6:$A$11,1)))+(MAX(Reference!$A$6,MIN(Reference!$A$11,MIN($U171,120)))-INDEX(Reference!$A$6:$A$11,MIN(5,MATCH(MAX(Reference!$A$6,MIN(Reference!$A$11,MIN($U171,120))),Reference!$A$6:$A$11,1))))*(INDEX(Reference!$B$6:$B$11,MIN(5,MATCH(MAX(Reference!$A$6,MIN(Reference!$A$11,MIN($U171,120))),Reference!$A$6:$A$11,1))+1)-INDEX(Reference!$B$6:$B$11,MIN(5,MATCH(MAX(Reference!$A$6,MIN(Reference!$A$11,MIN($U171,120))),Reference!$A$6:$A$11,1))))/(INDEX(Reference!$A$6:$A$11,MIN(5,MATCH(MAX(Reference!$A$6,MIN(Reference!$A$11,MIN($U171,120))),Reference!$A$6:$A$11,1))+1)-INDEX(Reference!$A$6:$A$11,MIN(5,MATCH(MAX(Reference!$A$6,MIN(Reference!$A$11,MIN($U171,120))),Reference!$A$6:$A$11,1))))),0)+IF(3&lt;=$AL171,($AL171-3+3)*(INDEX(Reference!$B$6:$B$11,MIN(5,MATCH(MAX(Reference!$A$6,MIN(Reference!$A$11,MIN($U171,150))),Reference!$A$6:$A$11,1)))+(MAX(Reference!$A$6,MIN(Reference!$A$11,MIN($U171,150)))-INDEX(Reference!$A$6:$A$11,MIN(5,MATCH(MAX(Reference!$A$6,MIN(Reference!$A$11,MIN($U171,150))),Reference!$A$6:$A$11,1))))*(INDEX(Reference!$B$6:$B$11,MIN(5,MATCH(MAX(Reference!$A$6,MIN(Reference!$A$11,MIN($U171,150))),Reference!$A$6:$A$11,1))+1)-INDEX(Reference!$B$6:$B$11,MIN(5,MATCH(MAX(Reference!$A$6,MIN(Reference!$A$11,MIN($U171,150))),Reference!$A$6:$A$11,1))))/(INDEX(Reference!$A$6:$A$11,MIN(5,MATCH(MAX(Reference!$A$6,MIN(Reference!$A$11,MIN($U171,150))),Reference!$A$6:$A$11,1))+1)-INDEX(Reference!$A$6:$A$11,MIN(5,MATCH(MAX(Reference!$A$6,MIN(Reference!$A$11,MIN($U171,150))),Reference!$A$6:$A$11,1))))),0)+IF(4&lt;=$AL171,($AL171-4+3)*(INDEX(Reference!$B$6:$B$11,MIN(5,MATCH(MAX(Reference!$A$6,MIN(Reference!$A$11,MIN($U171,180))),Reference!$A$6:$A$11,1)))+(MAX(Reference!$A$6,MIN(Reference!$A$11,MIN($U171,180)))-INDEX(Reference!$A$6:$A$11,MIN(5,MATCH(MAX(Reference!$A$6,MIN(Reference!$A$11,MIN($U171,180))),Reference!$A$6:$A$11,1))))*(INDEX(Reference!$B$6:$B$11,MIN(5,MATCH(MAX(Reference!$A$6,MIN(Reference!$A$11,MIN($U171,180))),Reference!$A$6:$A$11,1))+1)-INDEX(Reference!$B$6:$B$11,MIN(5,MATCH(MAX(Reference!$A$6,MIN(Reference!$A$11,MIN($U171,180))),Reference!$A$6:$A$11,1))))/(INDEX(Reference!$A$6:$A$11,MIN(5,MATCH(MAX(Reference!$A$6,MIN(Reference!$A$11,MIN($U171,180))),Reference!$A$6:$A$11,1))+1)-INDEX(Reference!$A$6:$A$11,MIN(5,MATCH(MAX(Reference!$A$6,MIN(Reference!$A$11,MIN($U171,180))),Reference!$A$6:$A$11,1))))),0)+IF(5&lt;=$AL171,($AL171-5+3)*(INDEX(Reference!$B$6:$B$11,MIN(5,MATCH(MAX(Reference!$A$6,MIN(Reference!$A$11,MIN($U171,210))),Reference!$A$6:$A$11,1)))+(MAX(Reference!$A$6,MIN(Reference!$A$11,MIN($U171,210)))-INDEX(Reference!$A$6:$A$11,MIN(5,MATCH(MAX(Reference!$A$6,MIN(Reference!$A$11,MIN($U171,210))),Reference!$A$6:$A$11,1))))*(INDEX(Reference!$B$6:$B$11,MIN(5,MATCH(MAX(Reference!$A$6,MIN(Reference!$A$11,MIN($U171,210))),Reference!$A$6:$A$11,1))+1)-INDEX(Reference!$B$6:$B$11,MIN(5,MATCH(MAX(Reference!$A$6,MIN(Reference!$A$11,MIN($U171,210))),Reference!$A$6:$A$11,1))))/(INDEX(Reference!$A$6:$A$11,MIN(5,MATCH(MAX(Reference!$A$6,MIN(Reference!$A$11,MIN($U171,210))),Reference!$A$6:$A$11,1))+1)-INDEX(Reference!$A$6:$A$11,MIN(5,MATCH(MAX(Reference!$A$6,MIN(Reference!$A$11,MIN($U171,210))),Reference!$A$6:$A$11,1))))),0)+IF(6&lt;=$AL171,($AL171-6+3)*(INDEX(Reference!$B$6:$B$11,MIN(5,MATCH(MAX(Reference!$A$6,MIN(Reference!$A$11,MIN($U171,240))),Reference!$A$6:$A$11,1)))+(MAX(Reference!$A$6,MIN(Reference!$A$11,MIN($U171,240)))-INDEX(Reference!$A$6:$A$11,MIN(5,MATCH(MAX(Reference!$A$6,MIN(Reference!$A$11,MIN($U171,240))),Reference!$A$6:$A$11,1))))*(INDEX(Reference!$B$6:$B$11,MIN(5,MATCH(MAX(Reference!$A$6,MIN(Reference!$A$11,MIN($U171,240))),Reference!$A$6:$A$11,1))+1)-INDEX(Reference!$B$6:$B$11,MIN(5,MATCH(MAX(Reference!$A$6,MIN(Reference!$A$11,MIN($U171,240))),Reference!$A$6:$A$11,1))))/(INDEX(Reference!$A$6:$A$11,MIN(5,MATCH(MAX(Reference!$A$6,MIN(Reference!$A$11,MIN($U171,240))),Reference!$A$6:$A$11,1))+1)-INDEX(Reference!$A$6:$A$11,MIN(5,MATCH(MAX(Reference!$A$6,MIN(Reference!$A$11,MIN($U171,240))),Reference!$A$6:$A$11,1))))),0)+IF(7&lt;=$AL171,($AL171-7+3)*(INDEX(Reference!$B$6:$B$11,MIN(5,MATCH(MAX(Reference!$A$6,MIN(Reference!$A$11,MIN($U171,270))),Reference!$A$6:$A$11,1)))+(MAX(Reference!$A$6,MIN(Reference!$A$11,MIN($U171,270)))-INDEX(Reference!$A$6:$A$11,MIN(5,MATCH(MAX(Reference!$A$6,MIN(Reference!$A$11,MIN($U171,270))),Reference!$A$6:$A$11,1))))*(INDEX(Reference!$B$6:$B$11,MIN(5,MATCH(MAX(Reference!$A$6,MIN(Reference!$A$11,MIN($U171,270))),Reference!$A$6:$A$11,1))+1)-INDEX(Reference!$B$6:$B$11,MIN(5,MATCH(MAX(Reference!$A$6,MIN(Reference!$A$11,MIN($U171,270))),Reference!$A$6:$A$11,1))))/(INDEX(Reference!$A$6:$A$11,MIN(5,MATCH(MAX(Reference!$A$6,MIN(Reference!$A$11,MIN($U171,270))),Reference!$A$6:$A$11,1))+1)-INDEX(Reference!$A$6:$A$11,MIN(5,MATCH(MAX(Reference!$A$6,MIN(Reference!$A$11,MIN($U171,270))),Reference!$A$6:$A$11,1))))),0)+IF(8&lt;=$AL171,($AL171-8+3)*(INDEX(Reference!$B$6:$B$11,MIN(5,MATCH(MAX(Reference!$A$6,MIN(Reference!$A$11,MIN($U171,300))),Reference!$A$6:$A$11,1)))+(MAX(Reference!$A$6,MIN(Reference!$A$11,MIN($U171,300)))-INDEX(Reference!$A$6:$A$11,MIN(5,MATCH(MAX(Reference!$A$6,MIN(Reference!$A$11,MIN($U171,300))),Reference!$A$6:$A$11,1))))*(INDEX(Reference!$B$6:$B$11,MIN(5,MATCH(MAX(Reference!$A$6,MIN(Reference!$A$11,MIN($U171,300))),Reference!$A$6:$A$11,1))+1)-INDEX(Reference!$B$6:$B$11,MIN(5,MATCH(MAX(Reference!$A$6,MIN(Reference!$A$11,MIN($U171,300))),Reference!$A$6:$A$11,1))))/(INDEX(Reference!$A$6:$A$11,MIN(5,MATCH(MAX(Reference!$A$6,MIN(Reference!$A$11,MIN($U171,300))),Reference!$A$6:$A$11,1))+1)-INDEX(Reference!$A$6:$A$11,MIN(5,MATCH(MAX(Reference!$A$6,MIN(Reference!$A$11,MIN($U171,300))),Reference!$A$6:$A$11,1))))),0))/($AL171*($AL171+5)/2)),$AN171))</f>
        <v>0</v>
      </c>
      <c r="AN171" s="32">
        <f>IF($U171="",0,(INDEX(Reference!$B$6:$B$11,MIN(5,MATCH(MAX(Reference!$A$6,MIN(Reference!$A$11,$U171)),Reference!$A$6:$A$11,1)))+(MAX(Reference!$A$6,MIN(Reference!$A$11,$U171))-INDEX(Reference!$A$6:$A$11,MIN(5,MATCH(MAX(Reference!$A$6,MIN(Reference!$A$11,$U171)),Reference!$A$6:$A$11,1))))*(INDEX(Reference!$B$6:$B$11,MIN(5,MATCH(MAX(Reference!$A$6,MIN(Reference!$A$11,$U171)),Reference!$A$6:$A$11,1))+1)-INDEX(Reference!$B$6:$B$11,MIN(5,MATCH(MAX(Reference!$A$6,MIN(Reference!$A$11,$U171)),Reference!$A$6:$A$11,1))))/(INDEX(Reference!$A$6:$A$11,MIN(5,MATCH(MAX(Reference!$A$6,MIN(Reference!$A$11,$U171)),Reference!$A$6:$A$11,1))+1)-INDEX(Reference!$A$6:$A$11,MIN(5,MATCH(MAX(Reference!$A$6,MIN(Reference!$A$11,$U171)),Reference!$A$6:$A$11,1))))))</f>
        <v>0</v>
      </c>
      <c r="AO171" s="37"/>
      <c r="AP171" s="37"/>
      <c r="AQ171" s="37"/>
    </row>
    <row r="172" spans="1:43" x14ac:dyDescent="0.3">
      <c r="A172" s="48" t="str">
        <f t="shared" si="105"/>
        <v/>
      </c>
      <c r="B172" s="32" t="str">
        <f t="shared" si="106"/>
        <v/>
      </c>
      <c r="C172" s="32" t="str">
        <f t="shared" si="107"/>
        <v/>
      </c>
      <c r="D172" s="32" t="str">
        <f t="shared" si="108"/>
        <v/>
      </c>
      <c r="E172" s="32" t="str">
        <f t="shared" si="109"/>
        <v/>
      </c>
      <c r="F172" s="32" t="str">
        <f t="shared" si="110"/>
        <v/>
      </c>
      <c r="G172" s="47" t="str">
        <f t="shared" si="111"/>
        <v/>
      </c>
      <c r="H172" s="30" t="str">
        <f t="shared" si="112"/>
        <v/>
      </c>
      <c r="I172" s="46" t="str">
        <f>IF($A172="","",IF(AND($L172&lt;27,$K$12=0),"Building",IFERROR(((SUM($H$166:$H172)+$K$12*IF($L172&lt;6,SUMIFS('Throw Log'!$Q$5:$Q$300,'Throw Log'!$B$5:$B$300,$D$4,'Throw Log'!$A$5:$A$300,"&gt;="&amp;($D$6+$L172-6),'Throw Log'!$A$5:$A$300,"&lt;="&amp;($D$6-1)),0))/7)/((SUM($H$145:$H172)+$K$12*IF($L172&lt;27,SUMIFS('Throw Log'!$Q$5:$Q$300,'Throw Log'!$B$5:$B$300,$D$4,'Throw Log'!$A$5:$A$300,"&gt;="&amp;($D$6+$L172-27),'Throw Log'!$A$5:$A$300,"&lt;="&amp;($D$6-1)),0))/28),"")))</f>
        <v/>
      </c>
      <c r="J172" s="37"/>
      <c r="K172" s="37"/>
      <c r="L172" s="32">
        <v>129</v>
      </c>
      <c r="M172" s="32">
        <f t="shared" si="113"/>
        <v>19</v>
      </c>
      <c r="N172" s="32">
        <f t="shared" si="114"/>
        <v>3</v>
      </c>
      <c r="O172" s="32">
        <f t="shared" si="115"/>
        <v>1</v>
      </c>
      <c r="P172" s="32" t="str">
        <f>IF(OR($A172="",N($C172)&lt;=7),"",$G$6*$G$9^($M172-1)*IF(AND(MOD($M172,Reference!$B$99)=0,$M172&lt;=$G$5-2),Reference!$B$100,1))</f>
        <v/>
      </c>
      <c r="Q172" s="32" t="str">
        <f>IF($P172="","",IF(SUM($AK$169:$AK$175)=0,0,$P172*INDEX(Reference!$B$108:$B$114,$N172+1)/SUM($AK$169:$AK$175)))</f>
        <v/>
      </c>
      <c r="R172" s="32">
        <f t="shared" si="116"/>
        <v>180</v>
      </c>
      <c r="S172" s="32">
        <f t="shared" si="117"/>
        <v>150</v>
      </c>
      <c r="T172" s="32" t="str">
        <f>IF($A172="","",IF($C172=0,"Bullpen",IF(OR($C172=7,$C172=1,$C172=5),"Recovery/Easy Catch",IF($C172=6,"Compression/Pulldowns",IF(OR($C172=4,$C172=2),"Long Toss",IF($C172=3,"No Throw",IF($N172=2,"No Throw",IF($N172=6,IF($O172&lt;Reference!$B$104,"No Throw","Recovery/Easy Catch"),IF(OR($N172=0,$N172=4),"Recovery/Easy Catch",IF($N172=1,IF($R172&gt;75,"Long Toss","Recovery/Easy Catch"),IF($N172=3,IF($O172&lt;0.5,IF($S172&gt;75,"Long Toss","Recovery/Easy Catch"),"Compression/Pulldowns"),IF($S172&gt;75,"Long Toss","Recovery/Easy Catch"))))))))))))</f>
        <v/>
      </c>
      <c r="U172" s="32" t="str">
        <f t="shared" si="118"/>
        <v/>
      </c>
      <c r="V172" s="32" t="str">
        <f t="shared" si="119"/>
        <v/>
      </c>
      <c r="W172" s="32" t="str">
        <f t="shared" si="120"/>
        <v/>
      </c>
      <c r="X172" s="32">
        <f t="shared" si="121"/>
        <v>0</v>
      </c>
      <c r="Y172" s="32" t="str">
        <f t="shared" si="122"/>
        <v/>
      </c>
      <c r="Z172" s="32" t="str">
        <f t="shared" si="123"/>
        <v/>
      </c>
      <c r="AA172" s="32" t="str">
        <f t="shared" si="124"/>
        <v/>
      </c>
      <c r="AB172" s="32" t="str">
        <f>IF($A172="","",IF($T172="No Throw",0,IF($K172&lt;&gt;"",$K172,IF($AA172&lt;&gt;"",ROUND($AA172*$D$12*IF($C172=0,1,$G$10),0),MIN(IF($T172="Recovery/Easy Catch",Reference!$B$103,IF($T172="Long Toss",Reference!$B$106,Reference!$B$102)),MAX(Reference!$B$101,ROUND(MAX(0,$Q172-$AE172)/$AF172,0)))))))</f>
        <v/>
      </c>
      <c r="AC172" s="32">
        <f t="shared" si="125"/>
        <v>0</v>
      </c>
      <c r="AD172" s="32" t="b">
        <f t="shared" si="126"/>
        <v>1</v>
      </c>
      <c r="AE172" s="32">
        <f>IF($X172=0,0,$X172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172+$Z172)/2,0),Reference!$A$17:$B$20,2,TRUE()))</f>
        <v>0</v>
      </c>
      <c r="AF172" s="32">
        <f>IF(OR($A172="",$U172="",$T172="No Throw"),0,$AM172*VLOOKUP(MAX(($V172+$W172)/2,0),Reference!$A$17:$B$20,2,TRUE()))</f>
        <v>0</v>
      </c>
      <c r="AG172" s="32">
        <f>IF($AC172=0,0,$AC172*INDEX(Reference!$B$61:$B$62,MATCH("Bullpen",Reference!$A$61:$A$62,0))*VLOOKUP(MAX($D$5-($D$9+$E$9)/2,0),Reference!$A$17:$B$20,2,TRUE()))</f>
        <v>0</v>
      </c>
      <c r="AH172" s="32" t="e">
        <f t="shared" si="127"/>
        <v>#N/A</v>
      </c>
      <c r="AI172" s="32" t="e">
        <f>IF($A172="",NA(),Reference!$A$25)</f>
        <v>#N/A</v>
      </c>
      <c r="AJ172" s="32" t="e">
        <f t="shared" si="128"/>
        <v>#N/A</v>
      </c>
      <c r="AK172" s="32">
        <f>IF(OR($A172="",N($C172)&lt;=7,$T172="No Throw",$J172="x"),0,INDEX(Reference!$B$108:$B$114,$N172+1))</f>
        <v>0</v>
      </c>
      <c r="AL172" s="32">
        <f t="shared" si="129"/>
        <v>1</v>
      </c>
      <c r="AM172" s="32">
        <f>IF($U172="",0,IF($AL172&gt;1,((IF(1&lt;=$AL172,($AL172-1+3)*(INDEX(Reference!$B$6:$B$11,MIN(5,MATCH(MAX(Reference!$A$6,MIN(Reference!$A$11,MIN($U172,90))),Reference!$A$6:$A$11,1)))+(MAX(Reference!$A$6,MIN(Reference!$A$11,MIN($U172,90)))-INDEX(Reference!$A$6:$A$11,MIN(5,MATCH(MAX(Reference!$A$6,MIN(Reference!$A$11,MIN($U172,90))),Reference!$A$6:$A$11,1))))*(INDEX(Reference!$B$6:$B$11,MIN(5,MATCH(MAX(Reference!$A$6,MIN(Reference!$A$11,MIN($U172,90))),Reference!$A$6:$A$11,1))+1)-INDEX(Reference!$B$6:$B$11,MIN(5,MATCH(MAX(Reference!$A$6,MIN(Reference!$A$11,MIN($U172,90))),Reference!$A$6:$A$11,1))))/(INDEX(Reference!$A$6:$A$11,MIN(5,MATCH(MAX(Reference!$A$6,MIN(Reference!$A$11,MIN($U172,90))),Reference!$A$6:$A$11,1))+1)-INDEX(Reference!$A$6:$A$11,MIN(5,MATCH(MAX(Reference!$A$6,MIN(Reference!$A$11,MIN($U172,90))),Reference!$A$6:$A$11,1))))),0)+IF(2&lt;=$AL172,($AL172-2+3)*(INDEX(Reference!$B$6:$B$11,MIN(5,MATCH(MAX(Reference!$A$6,MIN(Reference!$A$11,MIN($U172,120))),Reference!$A$6:$A$11,1)))+(MAX(Reference!$A$6,MIN(Reference!$A$11,MIN($U172,120)))-INDEX(Reference!$A$6:$A$11,MIN(5,MATCH(MAX(Reference!$A$6,MIN(Reference!$A$11,MIN($U172,120))),Reference!$A$6:$A$11,1))))*(INDEX(Reference!$B$6:$B$11,MIN(5,MATCH(MAX(Reference!$A$6,MIN(Reference!$A$11,MIN($U172,120))),Reference!$A$6:$A$11,1))+1)-INDEX(Reference!$B$6:$B$11,MIN(5,MATCH(MAX(Reference!$A$6,MIN(Reference!$A$11,MIN($U172,120))),Reference!$A$6:$A$11,1))))/(INDEX(Reference!$A$6:$A$11,MIN(5,MATCH(MAX(Reference!$A$6,MIN(Reference!$A$11,MIN($U172,120))),Reference!$A$6:$A$11,1))+1)-INDEX(Reference!$A$6:$A$11,MIN(5,MATCH(MAX(Reference!$A$6,MIN(Reference!$A$11,MIN($U172,120))),Reference!$A$6:$A$11,1))))),0)+IF(3&lt;=$AL172,($AL172-3+3)*(INDEX(Reference!$B$6:$B$11,MIN(5,MATCH(MAX(Reference!$A$6,MIN(Reference!$A$11,MIN($U172,150))),Reference!$A$6:$A$11,1)))+(MAX(Reference!$A$6,MIN(Reference!$A$11,MIN($U172,150)))-INDEX(Reference!$A$6:$A$11,MIN(5,MATCH(MAX(Reference!$A$6,MIN(Reference!$A$11,MIN($U172,150))),Reference!$A$6:$A$11,1))))*(INDEX(Reference!$B$6:$B$11,MIN(5,MATCH(MAX(Reference!$A$6,MIN(Reference!$A$11,MIN($U172,150))),Reference!$A$6:$A$11,1))+1)-INDEX(Reference!$B$6:$B$11,MIN(5,MATCH(MAX(Reference!$A$6,MIN(Reference!$A$11,MIN($U172,150))),Reference!$A$6:$A$11,1))))/(INDEX(Reference!$A$6:$A$11,MIN(5,MATCH(MAX(Reference!$A$6,MIN(Reference!$A$11,MIN($U172,150))),Reference!$A$6:$A$11,1))+1)-INDEX(Reference!$A$6:$A$11,MIN(5,MATCH(MAX(Reference!$A$6,MIN(Reference!$A$11,MIN($U172,150))),Reference!$A$6:$A$11,1))))),0)+IF(4&lt;=$AL172,($AL172-4+3)*(INDEX(Reference!$B$6:$B$11,MIN(5,MATCH(MAX(Reference!$A$6,MIN(Reference!$A$11,MIN($U172,180))),Reference!$A$6:$A$11,1)))+(MAX(Reference!$A$6,MIN(Reference!$A$11,MIN($U172,180)))-INDEX(Reference!$A$6:$A$11,MIN(5,MATCH(MAX(Reference!$A$6,MIN(Reference!$A$11,MIN($U172,180))),Reference!$A$6:$A$11,1))))*(INDEX(Reference!$B$6:$B$11,MIN(5,MATCH(MAX(Reference!$A$6,MIN(Reference!$A$11,MIN($U172,180))),Reference!$A$6:$A$11,1))+1)-INDEX(Reference!$B$6:$B$11,MIN(5,MATCH(MAX(Reference!$A$6,MIN(Reference!$A$11,MIN($U172,180))),Reference!$A$6:$A$11,1))))/(INDEX(Reference!$A$6:$A$11,MIN(5,MATCH(MAX(Reference!$A$6,MIN(Reference!$A$11,MIN($U172,180))),Reference!$A$6:$A$11,1))+1)-INDEX(Reference!$A$6:$A$11,MIN(5,MATCH(MAX(Reference!$A$6,MIN(Reference!$A$11,MIN($U172,180))),Reference!$A$6:$A$11,1))))),0)+IF(5&lt;=$AL172,($AL172-5+3)*(INDEX(Reference!$B$6:$B$11,MIN(5,MATCH(MAX(Reference!$A$6,MIN(Reference!$A$11,MIN($U172,210))),Reference!$A$6:$A$11,1)))+(MAX(Reference!$A$6,MIN(Reference!$A$11,MIN($U172,210)))-INDEX(Reference!$A$6:$A$11,MIN(5,MATCH(MAX(Reference!$A$6,MIN(Reference!$A$11,MIN($U172,210))),Reference!$A$6:$A$11,1))))*(INDEX(Reference!$B$6:$B$11,MIN(5,MATCH(MAX(Reference!$A$6,MIN(Reference!$A$11,MIN($U172,210))),Reference!$A$6:$A$11,1))+1)-INDEX(Reference!$B$6:$B$11,MIN(5,MATCH(MAX(Reference!$A$6,MIN(Reference!$A$11,MIN($U172,210))),Reference!$A$6:$A$11,1))))/(INDEX(Reference!$A$6:$A$11,MIN(5,MATCH(MAX(Reference!$A$6,MIN(Reference!$A$11,MIN($U172,210))),Reference!$A$6:$A$11,1))+1)-INDEX(Reference!$A$6:$A$11,MIN(5,MATCH(MAX(Reference!$A$6,MIN(Reference!$A$11,MIN($U172,210))),Reference!$A$6:$A$11,1))))),0)+IF(6&lt;=$AL172,($AL172-6+3)*(INDEX(Reference!$B$6:$B$11,MIN(5,MATCH(MAX(Reference!$A$6,MIN(Reference!$A$11,MIN($U172,240))),Reference!$A$6:$A$11,1)))+(MAX(Reference!$A$6,MIN(Reference!$A$11,MIN($U172,240)))-INDEX(Reference!$A$6:$A$11,MIN(5,MATCH(MAX(Reference!$A$6,MIN(Reference!$A$11,MIN($U172,240))),Reference!$A$6:$A$11,1))))*(INDEX(Reference!$B$6:$B$11,MIN(5,MATCH(MAX(Reference!$A$6,MIN(Reference!$A$11,MIN($U172,240))),Reference!$A$6:$A$11,1))+1)-INDEX(Reference!$B$6:$B$11,MIN(5,MATCH(MAX(Reference!$A$6,MIN(Reference!$A$11,MIN($U172,240))),Reference!$A$6:$A$11,1))))/(INDEX(Reference!$A$6:$A$11,MIN(5,MATCH(MAX(Reference!$A$6,MIN(Reference!$A$11,MIN($U172,240))),Reference!$A$6:$A$11,1))+1)-INDEX(Reference!$A$6:$A$11,MIN(5,MATCH(MAX(Reference!$A$6,MIN(Reference!$A$11,MIN($U172,240))),Reference!$A$6:$A$11,1))))),0)+IF(7&lt;=$AL172,($AL172-7+3)*(INDEX(Reference!$B$6:$B$11,MIN(5,MATCH(MAX(Reference!$A$6,MIN(Reference!$A$11,MIN($U172,270))),Reference!$A$6:$A$11,1)))+(MAX(Reference!$A$6,MIN(Reference!$A$11,MIN($U172,270)))-INDEX(Reference!$A$6:$A$11,MIN(5,MATCH(MAX(Reference!$A$6,MIN(Reference!$A$11,MIN($U172,270))),Reference!$A$6:$A$11,1))))*(INDEX(Reference!$B$6:$B$11,MIN(5,MATCH(MAX(Reference!$A$6,MIN(Reference!$A$11,MIN($U172,270))),Reference!$A$6:$A$11,1))+1)-INDEX(Reference!$B$6:$B$11,MIN(5,MATCH(MAX(Reference!$A$6,MIN(Reference!$A$11,MIN($U172,270))),Reference!$A$6:$A$11,1))))/(INDEX(Reference!$A$6:$A$11,MIN(5,MATCH(MAX(Reference!$A$6,MIN(Reference!$A$11,MIN($U172,270))),Reference!$A$6:$A$11,1))+1)-INDEX(Reference!$A$6:$A$11,MIN(5,MATCH(MAX(Reference!$A$6,MIN(Reference!$A$11,MIN($U172,270))),Reference!$A$6:$A$11,1))))),0)+IF(8&lt;=$AL172,($AL172-8+3)*(INDEX(Reference!$B$6:$B$11,MIN(5,MATCH(MAX(Reference!$A$6,MIN(Reference!$A$11,MIN($U172,300))),Reference!$A$6:$A$11,1)))+(MAX(Reference!$A$6,MIN(Reference!$A$11,MIN($U172,300)))-INDEX(Reference!$A$6:$A$11,MIN(5,MATCH(MAX(Reference!$A$6,MIN(Reference!$A$11,MIN($U172,300))),Reference!$A$6:$A$11,1))))*(INDEX(Reference!$B$6:$B$11,MIN(5,MATCH(MAX(Reference!$A$6,MIN(Reference!$A$11,MIN($U172,300))),Reference!$A$6:$A$11,1))+1)-INDEX(Reference!$B$6:$B$11,MIN(5,MATCH(MAX(Reference!$A$6,MIN(Reference!$A$11,MIN($U172,300))),Reference!$A$6:$A$11,1))))/(INDEX(Reference!$A$6:$A$11,MIN(5,MATCH(MAX(Reference!$A$6,MIN(Reference!$A$11,MIN($U172,300))),Reference!$A$6:$A$11,1))+1)-INDEX(Reference!$A$6:$A$11,MIN(5,MATCH(MAX(Reference!$A$6,MIN(Reference!$A$11,MIN($U172,300))),Reference!$A$6:$A$11,1))))),0))/($AL172*($AL172+5)/2)),$AN172))</f>
        <v>0</v>
      </c>
      <c r="AN172" s="32">
        <f>IF($U172="",0,(INDEX(Reference!$B$6:$B$11,MIN(5,MATCH(MAX(Reference!$A$6,MIN(Reference!$A$11,$U172)),Reference!$A$6:$A$11,1)))+(MAX(Reference!$A$6,MIN(Reference!$A$11,$U172))-INDEX(Reference!$A$6:$A$11,MIN(5,MATCH(MAX(Reference!$A$6,MIN(Reference!$A$11,$U172)),Reference!$A$6:$A$11,1))))*(INDEX(Reference!$B$6:$B$11,MIN(5,MATCH(MAX(Reference!$A$6,MIN(Reference!$A$11,$U172)),Reference!$A$6:$A$11,1))+1)-INDEX(Reference!$B$6:$B$11,MIN(5,MATCH(MAX(Reference!$A$6,MIN(Reference!$A$11,$U172)),Reference!$A$6:$A$11,1))))/(INDEX(Reference!$A$6:$A$11,MIN(5,MATCH(MAX(Reference!$A$6,MIN(Reference!$A$11,$U172)),Reference!$A$6:$A$11,1))+1)-INDEX(Reference!$A$6:$A$11,MIN(5,MATCH(MAX(Reference!$A$6,MIN(Reference!$A$11,$U172)),Reference!$A$6:$A$11,1))))))</f>
        <v>0</v>
      </c>
      <c r="AO172" s="37"/>
      <c r="AP172" s="37"/>
      <c r="AQ172" s="37"/>
    </row>
    <row r="173" spans="1:43" x14ac:dyDescent="0.3">
      <c r="A173" s="48" t="str">
        <f t="shared" si="105"/>
        <v/>
      </c>
      <c r="B173" s="32" t="str">
        <f t="shared" si="106"/>
        <v/>
      </c>
      <c r="C173" s="32" t="str">
        <f t="shared" si="107"/>
        <v/>
      </c>
      <c r="D173" s="32" t="str">
        <f t="shared" si="108"/>
        <v/>
      </c>
      <c r="E173" s="32" t="str">
        <f t="shared" si="109"/>
        <v/>
      </c>
      <c r="F173" s="32" t="str">
        <f t="shared" si="110"/>
        <v/>
      </c>
      <c r="G173" s="47" t="str">
        <f t="shared" si="111"/>
        <v/>
      </c>
      <c r="H173" s="30" t="str">
        <f t="shared" si="112"/>
        <v/>
      </c>
      <c r="I173" s="46" t="str">
        <f>IF($A173="","",IF(AND($L173&lt;27,$K$12=0),"Building",IFERROR(((SUM($H$167:$H173)+$K$12*IF($L173&lt;6,SUMIFS('Throw Log'!$Q$5:$Q$300,'Throw Log'!$B$5:$B$300,$D$4,'Throw Log'!$A$5:$A$300,"&gt;="&amp;($D$6+$L173-6),'Throw Log'!$A$5:$A$300,"&lt;="&amp;($D$6-1)),0))/7)/((SUM($H$146:$H173)+$K$12*IF($L173&lt;27,SUMIFS('Throw Log'!$Q$5:$Q$300,'Throw Log'!$B$5:$B$300,$D$4,'Throw Log'!$A$5:$A$300,"&gt;="&amp;($D$6+$L173-27),'Throw Log'!$A$5:$A$300,"&lt;="&amp;($D$6-1)),0))/28),"")))</f>
        <v/>
      </c>
      <c r="J173" s="37"/>
      <c r="K173" s="37"/>
      <c r="L173" s="32">
        <v>130</v>
      </c>
      <c r="M173" s="32">
        <f t="shared" si="113"/>
        <v>19</v>
      </c>
      <c r="N173" s="32">
        <f t="shared" si="114"/>
        <v>4</v>
      </c>
      <c r="O173" s="32">
        <f t="shared" si="115"/>
        <v>1</v>
      </c>
      <c r="P173" s="32" t="str">
        <f>IF(OR($A173="",N($C173)&lt;=7),"",$G$6*$G$9^($M173-1)*IF(AND(MOD($M173,Reference!$B$99)=0,$M173&lt;=$G$5-2),Reference!$B$100,1))</f>
        <v/>
      </c>
      <c r="Q173" s="32" t="str">
        <f>IF($P173="","",IF(SUM($AK$169:$AK$175)=0,0,$P173*INDEX(Reference!$B$108:$B$114,$N173+1)/SUM($AK$169:$AK$175)))</f>
        <v/>
      </c>
      <c r="R173" s="32">
        <f t="shared" si="116"/>
        <v>180</v>
      </c>
      <c r="S173" s="32">
        <f t="shared" si="117"/>
        <v>150</v>
      </c>
      <c r="T173" s="32" t="str">
        <f>IF($A173="","",IF($C173=0,"Bullpen",IF(OR($C173=7,$C173=1,$C173=5),"Recovery/Easy Catch",IF($C173=6,"Compression/Pulldowns",IF(OR($C173=4,$C173=2),"Long Toss",IF($C173=3,"No Throw",IF($N173=2,"No Throw",IF($N173=6,IF($O173&lt;Reference!$B$104,"No Throw","Recovery/Easy Catch"),IF(OR($N173=0,$N173=4),"Recovery/Easy Catch",IF($N173=1,IF($R173&gt;75,"Long Toss","Recovery/Easy Catch"),IF($N173=3,IF($O173&lt;0.5,IF($S173&gt;75,"Long Toss","Recovery/Easy Catch"),"Compression/Pulldowns"),IF($S173&gt;75,"Long Toss","Recovery/Easy Catch"))))))))))))</f>
        <v/>
      </c>
      <c r="U173" s="32" t="str">
        <f t="shared" si="118"/>
        <v/>
      </c>
      <c r="V173" s="32" t="str">
        <f t="shared" si="119"/>
        <v/>
      </c>
      <c r="W173" s="32" t="str">
        <f t="shared" si="120"/>
        <v/>
      </c>
      <c r="X173" s="32">
        <f t="shared" si="121"/>
        <v>0</v>
      </c>
      <c r="Y173" s="32" t="str">
        <f t="shared" si="122"/>
        <v/>
      </c>
      <c r="Z173" s="32" t="str">
        <f t="shared" si="123"/>
        <v/>
      </c>
      <c r="AA173" s="32" t="str">
        <f t="shared" si="124"/>
        <v/>
      </c>
      <c r="AB173" s="32" t="str">
        <f>IF($A173="","",IF($T173="No Throw",0,IF($K173&lt;&gt;"",$K173,IF($AA173&lt;&gt;"",ROUND($AA173*$D$12*IF($C173=0,1,$G$10),0),MIN(IF($T173="Recovery/Easy Catch",Reference!$B$103,IF($T173="Long Toss",Reference!$B$106,Reference!$B$102)),MAX(Reference!$B$101,ROUND(MAX(0,$Q173-$AE173)/$AF173,0)))))))</f>
        <v/>
      </c>
      <c r="AC173" s="32">
        <f t="shared" si="125"/>
        <v>0</v>
      </c>
      <c r="AD173" s="32" t="b">
        <f t="shared" si="126"/>
        <v>1</v>
      </c>
      <c r="AE173" s="32">
        <f>IF($X173=0,0,$X173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173+$Z173)/2,0),Reference!$A$17:$B$20,2,TRUE()))</f>
        <v>0</v>
      </c>
      <c r="AF173" s="32">
        <f>IF(OR($A173="",$U173="",$T173="No Throw"),0,$AM173*VLOOKUP(MAX(($V173+$W173)/2,0),Reference!$A$17:$B$20,2,TRUE()))</f>
        <v>0</v>
      </c>
      <c r="AG173" s="32">
        <f>IF($AC173=0,0,$AC173*INDEX(Reference!$B$61:$B$62,MATCH("Bullpen",Reference!$A$61:$A$62,0))*VLOOKUP(MAX($D$5-($D$9+$E$9)/2,0),Reference!$A$17:$B$20,2,TRUE()))</f>
        <v>0</v>
      </c>
      <c r="AH173" s="32" t="e">
        <f t="shared" si="127"/>
        <v>#N/A</v>
      </c>
      <c r="AI173" s="32" t="e">
        <f>IF($A173="",NA(),Reference!$A$25)</f>
        <v>#N/A</v>
      </c>
      <c r="AJ173" s="32" t="e">
        <f t="shared" si="128"/>
        <v>#N/A</v>
      </c>
      <c r="AK173" s="32">
        <f>IF(OR($A173="",N($C173)&lt;=7,$T173="No Throw",$J173="x"),0,INDEX(Reference!$B$108:$B$114,$N173+1))</f>
        <v>0</v>
      </c>
      <c r="AL173" s="32">
        <f t="shared" si="129"/>
        <v>1</v>
      </c>
      <c r="AM173" s="32">
        <f>IF($U173="",0,IF($AL173&gt;1,((IF(1&lt;=$AL173,($AL173-1+3)*(INDEX(Reference!$B$6:$B$11,MIN(5,MATCH(MAX(Reference!$A$6,MIN(Reference!$A$11,MIN($U173,90))),Reference!$A$6:$A$11,1)))+(MAX(Reference!$A$6,MIN(Reference!$A$11,MIN($U173,90)))-INDEX(Reference!$A$6:$A$11,MIN(5,MATCH(MAX(Reference!$A$6,MIN(Reference!$A$11,MIN($U173,90))),Reference!$A$6:$A$11,1))))*(INDEX(Reference!$B$6:$B$11,MIN(5,MATCH(MAX(Reference!$A$6,MIN(Reference!$A$11,MIN($U173,90))),Reference!$A$6:$A$11,1))+1)-INDEX(Reference!$B$6:$B$11,MIN(5,MATCH(MAX(Reference!$A$6,MIN(Reference!$A$11,MIN($U173,90))),Reference!$A$6:$A$11,1))))/(INDEX(Reference!$A$6:$A$11,MIN(5,MATCH(MAX(Reference!$A$6,MIN(Reference!$A$11,MIN($U173,90))),Reference!$A$6:$A$11,1))+1)-INDEX(Reference!$A$6:$A$11,MIN(5,MATCH(MAX(Reference!$A$6,MIN(Reference!$A$11,MIN($U173,90))),Reference!$A$6:$A$11,1))))),0)+IF(2&lt;=$AL173,($AL173-2+3)*(INDEX(Reference!$B$6:$B$11,MIN(5,MATCH(MAX(Reference!$A$6,MIN(Reference!$A$11,MIN($U173,120))),Reference!$A$6:$A$11,1)))+(MAX(Reference!$A$6,MIN(Reference!$A$11,MIN($U173,120)))-INDEX(Reference!$A$6:$A$11,MIN(5,MATCH(MAX(Reference!$A$6,MIN(Reference!$A$11,MIN($U173,120))),Reference!$A$6:$A$11,1))))*(INDEX(Reference!$B$6:$B$11,MIN(5,MATCH(MAX(Reference!$A$6,MIN(Reference!$A$11,MIN($U173,120))),Reference!$A$6:$A$11,1))+1)-INDEX(Reference!$B$6:$B$11,MIN(5,MATCH(MAX(Reference!$A$6,MIN(Reference!$A$11,MIN($U173,120))),Reference!$A$6:$A$11,1))))/(INDEX(Reference!$A$6:$A$11,MIN(5,MATCH(MAX(Reference!$A$6,MIN(Reference!$A$11,MIN($U173,120))),Reference!$A$6:$A$11,1))+1)-INDEX(Reference!$A$6:$A$11,MIN(5,MATCH(MAX(Reference!$A$6,MIN(Reference!$A$11,MIN($U173,120))),Reference!$A$6:$A$11,1))))),0)+IF(3&lt;=$AL173,($AL173-3+3)*(INDEX(Reference!$B$6:$B$11,MIN(5,MATCH(MAX(Reference!$A$6,MIN(Reference!$A$11,MIN($U173,150))),Reference!$A$6:$A$11,1)))+(MAX(Reference!$A$6,MIN(Reference!$A$11,MIN($U173,150)))-INDEX(Reference!$A$6:$A$11,MIN(5,MATCH(MAX(Reference!$A$6,MIN(Reference!$A$11,MIN($U173,150))),Reference!$A$6:$A$11,1))))*(INDEX(Reference!$B$6:$B$11,MIN(5,MATCH(MAX(Reference!$A$6,MIN(Reference!$A$11,MIN($U173,150))),Reference!$A$6:$A$11,1))+1)-INDEX(Reference!$B$6:$B$11,MIN(5,MATCH(MAX(Reference!$A$6,MIN(Reference!$A$11,MIN($U173,150))),Reference!$A$6:$A$11,1))))/(INDEX(Reference!$A$6:$A$11,MIN(5,MATCH(MAX(Reference!$A$6,MIN(Reference!$A$11,MIN($U173,150))),Reference!$A$6:$A$11,1))+1)-INDEX(Reference!$A$6:$A$11,MIN(5,MATCH(MAX(Reference!$A$6,MIN(Reference!$A$11,MIN($U173,150))),Reference!$A$6:$A$11,1))))),0)+IF(4&lt;=$AL173,($AL173-4+3)*(INDEX(Reference!$B$6:$B$11,MIN(5,MATCH(MAX(Reference!$A$6,MIN(Reference!$A$11,MIN($U173,180))),Reference!$A$6:$A$11,1)))+(MAX(Reference!$A$6,MIN(Reference!$A$11,MIN($U173,180)))-INDEX(Reference!$A$6:$A$11,MIN(5,MATCH(MAX(Reference!$A$6,MIN(Reference!$A$11,MIN($U173,180))),Reference!$A$6:$A$11,1))))*(INDEX(Reference!$B$6:$B$11,MIN(5,MATCH(MAX(Reference!$A$6,MIN(Reference!$A$11,MIN($U173,180))),Reference!$A$6:$A$11,1))+1)-INDEX(Reference!$B$6:$B$11,MIN(5,MATCH(MAX(Reference!$A$6,MIN(Reference!$A$11,MIN($U173,180))),Reference!$A$6:$A$11,1))))/(INDEX(Reference!$A$6:$A$11,MIN(5,MATCH(MAX(Reference!$A$6,MIN(Reference!$A$11,MIN($U173,180))),Reference!$A$6:$A$11,1))+1)-INDEX(Reference!$A$6:$A$11,MIN(5,MATCH(MAX(Reference!$A$6,MIN(Reference!$A$11,MIN($U173,180))),Reference!$A$6:$A$11,1))))),0)+IF(5&lt;=$AL173,($AL173-5+3)*(INDEX(Reference!$B$6:$B$11,MIN(5,MATCH(MAX(Reference!$A$6,MIN(Reference!$A$11,MIN($U173,210))),Reference!$A$6:$A$11,1)))+(MAX(Reference!$A$6,MIN(Reference!$A$11,MIN($U173,210)))-INDEX(Reference!$A$6:$A$11,MIN(5,MATCH(MAX(Reference!$A$6,MIN(Reference!$A$11,MIN($U173,210))),Reference!$A$6:$A$11,1))))*(INDEX(Reference!$B$6:$B$11,MIN(5,MATCH(MAX(Reference!$A$6,MIN(Reference!$A$11,MIN($U173,210))),Reference!$A$6:$A$11,1))+1)-INDEX(Reference!$B$6:$B$11,MIN(5,MATCH(MAX(Reference!$A$6,MIN(Reference!$A$11,MIN($U173,210))),Reference!$A$6:$A$11,1))))/(INDEX(Reference!$A$6:$A$11,MIN(5,MATCH(MAX(Reference!$A$6,MIN(Reference!$A$11,MIN($U173,210))),Reference!$A$6:$A$11,1))+1)-INDEX(Reference!$A$6:$A$11,MIN(5,MATCH(MAX(Reference!$A$6,MIN(Reference!$A$11,MIN($U173,210))),Reference!$A$6:$A$11,1))))),0)+IF(6&lt;=$AL173,($AL173-6+3)*(INDEX(Reference!$B$6:$B$11,MIN(5,MATCH(MAX(Reference!$A$6,MIN(Reference!$A$11,MIN($U173,240))),Reference!$A$6:$A$11,1)))+(MAX(Reference!$A$6,MIN(Reference!$A$11,MIN($U173,240)))-INDEX(Reference!$A$6:$A$11,MIN(5,MATCH(MAX(Reference!$A$6,MIN(Reference!$A$11,MIN($U173,240))),Reference!$A$6:$A$11,1))))*(INDEX(Reference!$B$6:$B$11,MIN(5,MATCH(MAX(Reference!$A$6,MIN(Reference!$A$11,MIN($U173,240))),Reference!$A$6:$A$11,1))+1)-INDEX(Reference!$B$6:$B$11,MIN(5,MATCH(MAX(Reference!$A$6,MIN(Reference!$A$11,MIN($U173,240))),Reference!$A$6:$A$11,1))))/(INDEX(Reference!$A$6:$A$11,MIN(5,MATCH(MAX(Reference!$A$6,MIN(Reference!$A$11,MIN($U173,240))),Reference!$A$6:$A$11,1))+1)-INDEX(Reference!$A$6:$A$11,MIN(5,MATCH(MAX(Reference!$A$6,MIN(Reference!$A$11,MIN($U173,240))),Reference!$A$6:$A$11,1))))),0)+IF(7&lt;=$AL173,($AL173-7+3)*(INDEX(Reference!$B$6:$B$11,MIN(5,MATCH(MAX(Reference!$A$6,MIN(Reference!$A$11,MIN($U173,270))),Reference!$A$6:$A$11,1)))+(MAX(Reference!$A$6,MIN(Reference!$A$11,MIN($U173,270)))-INDEX(Reference!$A$6:$A$11,MIN(5,MATCH(MAX(Reference!$A$6,MIN(Reference!$A$11,MIN($U173,270))),Reference!$A$6:$A$11,1))))*(INDEX(Reference!$B$6:$B$11,MIN(5,MATCH(MAX(Reference!$A$6,MIN(Reference!$A$11,MIN($U173,270))),Reference!$A$6:$A$11,1))+1)-INDEX(Reference!$B$6:$B$11,MIN(5,MATCH(MAX(Reference!$A$6,MIN(Reference!$A$11,MIN($U173,270))),Reference!$A$6:$A$11,1))))/(INDEX(Reference!$A$6:$A$11,MIN(5,MATCH(MAX(Reference!$A$6,MIN(Reference!$A$11,MIN($U173,270))),Reference!$A$6:$A$11,1))+1)-INDEX(Reference!$A$6:$A$11,MIN(5,MATCH(MAX(Reference!$A$6,MIN(Reference!$A$11,MIN($U173,270))),Reference!$A$6:$A$11,1))))),0)+IF(8&lt;=$AL173,($AL173-8+3)*(INDEX(Reference!$B$6:$B$11,MIN(5,MATCH(MAX(Reference!$A$6,MIN(Reference!$A$11,MIN($U173,300))),Reference!$A$6:$A$11,1)))+(MAX(Reference!$A$6,MIN(Reference!$A$11,MIN($U173,300)))-INDEX(Reference!$A$6:$A$11,MIN(5,MATCH(MAX(Reference!$A$6,MIN(Reference!$A$11,MIN($U173,300))),Reference!$A$6:$A$11,1))))*(INDEX(Reference!$B$6:$B$11,MIN(5,MATCH(MAX(Reference!$A$6,MIN(Reference!$A$11,MIN($U173,300))),Reference!$A$6:$A$11,1))+1)-INDEX(Reference!$B$6:$B$11,MIN(5,MATCH(MAX(Reference!$A$6,MIN(Reference!$A$11,MIN($U173,300))),Reference!$A$6:$A$11,1))))/(INDEX(Reference!$A$6:$A$11,MIN(5,MATCH(MAX(Reference!$A$6,MIN(Reference!$A$11,MIN($U173,300))),Reference!$A$6:$A$11,1))+1)-INDEX(Reference!$A$6:$A$11,MIN(5,MATCH(MAX(Reference!$A$6,MIN(Reference!$A$11,MIN($U173,300))),Reference!$A$6:$A$11,1))))),0))/($AL173*($AL173+5)/2)),$AN173))</f>
        <v>0</v>
      </c>
      <c r="AN173" s="32">
        <f>IF($U173="",0,(INDEX(Reference!$B$6:$B$11,MIN(5,MATCH(MAX(Reference!$A$6,MIN(Reference!$A$11,$U173)),Reference!$A$6:$A$11,1)))+(MAX(Reference!$A$6,MIN(Reference!$A$11,$U173))-INDEX(Reference!$A$6:$A$11,MIN(5,MATCH(MAX(Reference!$A$6,MIN(Reference!$A$11,$U173)),Reference!$A$6:$A$11,1))))*(INDEX(Reference!$B$6:$B$11,MIN(5,MATCH(MAX(Reference!$A$6,MIN(Reference!$A$11,$U173)),Reference!$A$6:$A$11,1))+1)-INDEX(Reference!$B$6:$B$11,MIN(5,MATCH(MAX(Reference!$A$6,MIN(Reference!$A$11,$U173)),Reference!$A$6:$A$11,1))))/(INDEX(Reference!$A$6:$A$11,MIN(5,MATCH(MAX(Reference!$A$6,MIN(Reference!$A$11,$U173)),Reference!$A$6:$A$11,1))+1)-INDEX(Reference!$A$6:$A$11,MIN(5,MATCH(MAX(Reference!$A$6,MIN(Reference!$A$11,$U173)),Reference!$A$6:$A$11,1))))))</f>
        <v>0</v>
      </c>
      <c r="AO173" s="37"/>
      <c r="AP173" s="37"/>
      <c r="AQ173" s="37"/>
    </row>
    <row r="174" spans="1:43" x14ac:dyDescent="0.3">
      <c r="A174" s="48" t="str">
        <f t="shared" si="105"/>
        <v/>
      </c>
      <c r="B174" s="32" t="str">
        <f t="shared" si="106"/>
        <v/>
      </c>
      <c r="C174" s="32" t="str">
        <f t="shared" si="107"/>
        <v/>
      </c>
      <c r="D174" s="32" t="str">
        <f t="shared" si="108"/>
        <v/>
      </c>
      <c r="E174" s="32" t="str">
        <f t="shared" si="109"/>
        <v/>
      </c>
      <c r="F174" s="32" t="str">
        <f t="shared" si="110"/>
        <v/>
      </c>
      <c r="G174" s="47" t="str">
        <f t="shared" si="111"/>
        <v/>
      </c>
      <c r="H174" s="30" t="str">
        <f t="shared" si="112"/>
        <v/>
      </c>
      <c r="I174" s="46" t="str">
        <f>IF($A174="","",IF(AND($L174&lt;27,$K$12=0),"Building",IFERROR(((SUM($H$168:$H174)+$K$12*IF($L174&lt;6,SUMIFS('Throw Log'!$Q$5:$Q$300,'Throw Log'!$B$5:$B$300,$D$4,'Throw Log'!$A$5:$A$300,"&gt;="&amp;($D$6+$L174-6),'Throw Log'!$A$5:$A$300,"&lt;="&amp;($D$6-1)),0))/7)/((SUM($H$147:$H174)+$K$12*IF($L174&lt;27,SUMIFS('Throw Log'!$Q$5:$Q$300,'Throw Log'!$B$5:$B$300,$D$4,'Throw Log'!$A$5:$A$300,"&gt;="&amp;($D$6+$L174-27),'Throw Log'!$A$5:$A$300,"&lt;="&amp;($D$6-1)),0))/28),"")))</f>
        <v/>
      </c>
      <c r="J174" s="37"/>
      <c r="K174" s="37"/>
      <c r="L174" s="32">
        <v>131</v>
      </c>
      <c r="M174" s="32">
        <f t="shared" si="113"/>
        <v>19</v>
      </c>
      <c r="N174" s="32">
        <f t="shared" si="114"/>
        <v>5</v>
      </c>
      <c r="O174" s="32">
        <f t="shared" si="115"/>
        <v>1</v>
      </c>
      <c r="P174" s="32" t="str">
        <f>IF(OR($A174="",N($C174)&lt;=7),"",$G$6*$G$9^($M174-1)*IF(AND(MOD($M174,Reference!$B$99)=0,$M174&lt;=$G$5-2),Reference!$B$100,1))</f>
        <v/>
      </c>
      <c r="Q174" s="32" t="str">
        <f>IF($P174="","",IF(SUM($AK$169:$AK$175)=0,0,$P174*INDEX(Reference!$B$108:$B$114,$N174+1)/SUM($AK$169:$AK$175)))</f>
        <v/>
      </c>
      <c r="R174" s="32">
        <f t="shared" si="116"/>
        <v>180</v>
      </c>
      <c r="S174" s="32">
        <f t="shared" si="117"/>
        <v>150</v>
      </c>
      <c r="T174" s="32" t="str">
        <f>IF($A174="","",IF($C174=0,"Bullpen",IF(OR($C174=7,$C174=1,$C174=5),"Recovery/Easy Catch",IF($C174=6,"Compression/Pulldowns",IF(OR($C174=4,$C174=2),"Long Toss",IF($C174=3,"No Throw",IF($N174=2,"No Throw",IF($N174=6,IF($O174&lt;Reference!$B$104,"No Throw","Recovery/Easy Catch"),IF(OR($N174=0,$N174=4),"Recovery/Easy Catch",IF($N174=1,IF($R174&gt;75,"Long Toss","Recovery/Easy Catch"),IF($N174=3,IF($O174&lt;0.5,IF($S174&gt;75,"Long Toss","Recovery/Easy Catch"),"Compression/Pulldowns"),IF($S174&gt;75,"Long Toss","Recovery/Easy Catch"))))))))))))</f>
        <v/>
      </c>
      <c r="U174" s="32" t="str">
        <f t="shared" si="118"/>
        <v/>
      </c>
      <c r="V174" s="32" t="str">
        <f t="shared" si="119"/>
        <v/>
      </c>
      <c r="W174" s="32" t="str">
        <f t="shared" si="120"/>
        <v/>
      </c>
      <c r="X174" s="32">
        <f t="shared" si="121"/>
        <v>0</v>
      </c>
      <c r="Y174" s="32" t="str">
        <f t="shared" si="122"/>
        <v/>
      </c>
      <c r="Z174" s="32" t="str">
        <f t="shared" si="123"/>
        <v/>
      </c>
      <c r="AA174" s="32" t="str">
        <f t="shared" si="124"/>
        <v/>
      </c>
      <c r="AB174" s="32" t="str">
        <f>IF($A174="","",IF($T174="No Throw",0,IF($K174&lt;&gt;"",$K174,IF($AA174&lt;&gt;"",ROUND($AA174*$D$12*IF($C174=0,1,$G$10),0),MIN(IF($T174="Recovery/Easy Catch",Reference!$B$103,IF($T174="Long Toss",Reference!$B$106,Reference!$B$102)),MAX(Reference!$B$101,ROUND(MAX(0,$Q174-$AE174)/$AF174,0)))))))</f>
        <v/>
      </c>
      <c r="AC174" s="32">
        <f t="shared" si="125"/>
        <v>0</v>
      </c>
      <c r="AD174" s="32" t="b">
        <f t="shared" si="126"/>
        <v>1</v>
      </c>
      <c r="AE174" s="32">
        <f>IF($X174=0,0,$X174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174+$Z174)/2,0),Reference!$A$17:$B$20,2,TRUE()))</f>
        <v>0</v>
      </c>
      <c r="AF174" s="32">
        <f>IF(OR($A174="",$U174="",$T174="No Throw"),0,$AM174*VLOOKUP(MAX(($V174+$W174)/2,0),Reference!$A$17:$B$20,2,TRUE()))</f>
        <v>0</v>
      </c>
      <c r="AG174" s="32">
        <f>IF($AC174=0,0,$AC174*INDEX(Reference!$B$61:$B$62,MATCH("Bullpen",Reference!$A$61:$A$62,0))*VLOOKUP(MAX($D$5-($D$9+$E$9)/2,0),Reference!$A$17:$B$20,2,TRUE()))</f>
        <v>0</v>
      </c>
      <c r="AH174" s="32" t="e">
        <f t="shared" si="127"/>
        <v>#N/A</v>
      </c>
      <c r="AI174" s="32" t="e">
        <f>IF($A174="",NA(),Reference!$A$25)</f>
        <v>#N/A</v>
      </c>
      <c r="AJ174" s="32" t="e">
        <f t="shared" si="128"/>
        <v>#N/A</v>
      </c>
      <c r="AK174" s="32">
        <f>IF(OR($A174="",N($C174)&lt;=7,$T174="No Throw",$J174="x"),0,INDEX(Reference!$B$108:$B$114,$N174+1))</f>
        <v>0</v>
      </c>
      <c r="AL174" s="32">
        <f t="shared" si="129"/>
        <v>1</v>
      </c>
      <c r="AM174" s="32">
        <f>IF($U174="",0,IF($AL174&gt;1,((IF(1&lt;=$AL174,($AL174-1+3)*(INDEX(Reference!$B$6:$B$11,MIN(5,MATCH(MAX(Reference!$A$6,MIN(Reference!$A$11,MIN($U174,90))),Reference!$A$6:$A$11,1)))+(MAX(Reference!$A$6,MIN(Reference!$A$11,MIN($U174,90)))-INDEX(Reference!$A$6:$A$11,MIN(5,MATCH(MAX(Reference!$A$6,MIN(Reference!$A$11,MIN($U174,90))),Reference!$A$6:$A$11,1))))*(INDEX(Reference!$B$6:$B$11,MIN(5,MATCH(MAX(Reference!$A$6,MIN(Reference!$A$11,MIN($U174,90))),Reference!$A$6:$A$11,1))+1)-INDEX(Reference!$B$6:$B$11,MIN(5,MATCH(MAX(Reference!$A$6,MIN(Reference!$A$11,MIN($U174,90))),Reference!$A$6:$A$11,1))))/(INDEX(Reference!$A$6:$A$11,MIN(5,MATCH(MAX(Reference!$A$6,MIN(Reference!$A$11,MIN($U174,90))),Reference!$A$6:$A$11,1))+1)-INDEX(Reference!$A$6:$A$11,MIN(5,MATCH(MAX(Reference!$A$6,MIN(Reference!$A$11,MIN($U174,90))),Reference!$A$6:$A$11,1))))),0)+IF(2&lt;=$AL174,($AL174-2+3)*(INDEX(Reference!$B$6:$B$11,MIN(5,MATCH(MAX(Reference!$A$6,MIN(Reference!$A$11,MIN($U174,120))),Reference!$A$6:$A$11,1)))+(MAX(Reference!$A$6,MIN(Reference!$A$11,MIN($U174,120)))-INDEX(Reference!$A$6:$A$11,MIN(5,MATCH(MAX(Reference!$A$6,MIN(Reference!$A$11,MIN($U174,120))),Reference!$A$6:$A$11,1))))*(INDEX(Reference!$B$6:$B$11,MIN(5,MATCH(MAX(Reference!$A$6,MIN(Reference!$A$11,MIN($U174,120))),Reference!$A$6:$A$11,1))+1)-INDEX(Reference!$B$6:$B$11,MIN(5,MATCH(MAX(Reference!$A$6,MIN(Reference!$A$11,MIN($U174,120))),Reference!$A$6:$A$11,1))))/(INDEX(Reference!$A$6:$A$11,MIN(5,MATCH(MAX(Reference!$A$6,MIN(Reference!$A$11,MIN($U174,120))),Reference!$A$6:$A$11,1))+1)-INDEX(Reference!$A$6:$A$11,MIN(5,MATCH(MAX(Reference!$A$6,MIN(Reference!$A$11,MIN($U174,120))),Reference!$A$6:$A$11,1))))),0)+IF(3&lt;=$AL174,($AL174-3+3)*(INDEX(Reference!$B$6:$B$11,MIN(5,MATCH(MAX(Reference!$A$6,MIN(Reference!$A$11,MIN($U174,150))),Reference!$A$6:$A$11,1)))+(MAX(Reference!$A$6,MIN(Reference!$A$11,MIN($U174,150)))-INDEX(Reference!$A$6:$A$11,MIN(5,MATCH(MAX(Reference!$A$6,MIN(Reference!$A$11,MIN($U174,150))),Reference!$A$6:$A$11,1))))*(INDEX(Reference!$B$6:$B$11,MIN(5,MATCH(MAX(Reference!$A$6,MIN(Reference!$A$11,MIN($U174,150))),Reference!$A$6:$A$11,1))+1)-INDEX(Reference!$B$6:$B$11,MIN(5,MATCH(MAX(Reference!$A$6,MIN(Reference!$A$11,MIN($U174,150))),Reference!$A$6:$A$11,1))))/(INDEX(Reference!$A$6:$A$11,MIN(5,MATCH(MAX(Reference!$A$6,MIN(Reference!$A$11,MIN($U174,150))),Reference!$A$6:$A$11,1))+1)-INDEX(Reference!$A$6:$A$11,MIN(5,MATCH(MAX(Reference!$A$6,MIN(Reference!$A$11,MIN($U174,150))),Reference!$A$6:$A$11,1))))),0)+IF(4&lt;=$AL174,($AL174-4+3)*(INDEX(Reference!$B$6:$B$11,MIN(5,MATCH(MAX(Reference!$A$6,MIN(Reference!$A$11,MIN($U174,180))),Reference!$A$6:$A$11,1)))+(MAX(Reference!$A$6,MIN(Reference!$A$11,MIN($U174,180)))-INDEX(Reference!$A$6:$A$11,MIN(5,MATCH(MAX(Reference!$A$6,MIN(Reference!$A$11,MIN($U174,180))),Reference!$A$6:$A$11,1))))*(INDEX(Reference!$B$6:$B$11,MIN(5,MATCH(MAX(Reference!$A$6,MIN(Reference!$A$11,MIN($U174,180))),Reference!$A$6:$A$11,1))+1)-INDEX(Reference!$B$6:$B$11,MIN(5,MATCH(MAX(Reference!$A$6,MIN(Reference!$A$11,MIN($U174,180))),Reference!$A$6:$A$11,1))))/(INDEX(Reference!$A$6:$A$11,MIN(5,MATCH(MAX(Reference!$A$6,MIN(Reference!$A$11,MIN($U174,180))),Reference!$A$6:$A$11,1))+1)-INDEX(Reference!$A$6:$A$11,MIN(5,MATCH(MAX(Reference!$A$6,MIN(Reference!$A$11,MIN($U174,180))),Reference!$A$6:$A$11,1))))),0)+IF(5&lt;=$AL174,($AL174-5+3)*(INDEX(Reference!$B$6:$B$11,MIN(5,MATCH(MAX(Reference!$A$6,MIN(Reference!$A$11,MIN($U174,210))),Reference!$A$6:$A$11,1)))+(MAX(Reference!$A$6,MIN(Reference!$A$11,MIN($U174,210)))-INDEX(Reference!$A$6:$A$11,MIN(5,MATCH(MAX(Reference!$A$6,MIN(Reference!$A$11,MIN($U174,210))),Reference!$A$6:$A$11,1))))*(INDEX(Reference!$B$6:$B$11,MIN(5,MATCH(MAX(Reference!$A$6,MIN(Reference!$A$11,MIN($U174,210))),Reference!$A$6:$A$11,1))+1)-INDEX(Reference!$B$6:$B$11,MIN(5,MATCH(MAX(Reference!$A$6,MIN(Reference!$A$11,MIN($U174,210))),Reference!$A$6:$A$11,1))))/(INDEX(Reference!$A$6:$A$11,MIN(5,MATCH(MAX(Reference!$A$6,MIN(Reference!$A$11,MIN($U174,210))),Reference!$A$6:$A$11,1))+1)-INDEX(Reference!$A$6:$A$11,MIN(5,MATCH(MAX(Reference!$A$6,MIN(Reference!$A$11,MIN($U174,210))),Reference!$A$6:$A$11,1))))),0)+IF(6&lt;=$AL174,($AL174-6+3)*(INDEX(Reference!$B$6:$B$11,MIN(5,MATCH(MAX(Reference!$A$6,MIN(Reference!$A$11,MIN($U174,240))),Reference!$A$6:$A$11,1)))+(MAX(Reference!$A$6,MIN(Reference!$A$11,MIN($U174,240)))-INDEX(Reference!$A$6:$A$11,MIN(5,MATCH(MAX(Reference!$A$6,MIN(Reference!$A$11,MIN($U174,240))),Reference!$A$6:$A$11,1))))*(INDEX(Reference!$B$6:$B$11,MIN(5,MATCH(MAX(Reference!$A$6,MIN(Reference!$A$11,MIN($U174,240))),Reference!$A$6:$A$11,1))+1)-INDEX(Reference!$B$6:$B$11,MIN(5,MATCH(MAX(Reference!$A$6,MIN(Reference!$A$11,MIN($U174,240))),Reference!$A$6:$A$11,1))))/(INDEX(Reference!$A$6:$A$11,MIN(5,MATCH(MAX(Reference!$A$6,MIN(Reference!$A$11,MIN($U174,240))),Reference!$A$6:$A$11,1))+1)-INDEX(Reference!$A$6:$A$11,MIN(5,MATCH(MAX(Reference!$A$6,MIN(Reference!$A$11,MIN($U174,240))),Reference!$A$6:$A$11,1))))),0)+IF(7&lt;=$AL174,($AL174-7+3)*(INDEX(Reference!$B$6:$B$11,MIN(5,MATCH(MAX(Reference!$A$6,MIN(Reference!$A$11,MIN($U174,270))),Reference!$A$6:$A$11,1)))+(MAX(Reference!$A$6,MIN(Reference!$A$11,MIN($U174,270)))-INDEX(Reference!$A$6:$A$11,MIN(5,MATCH(MAX(Reference!$A$6,MIN(Reference!$A$11,MIN($U174,270))),Reference!$A$6:$A$11,1))))*(INDEX(Reference!$B$6:$B$11,MIN(5,MATCH(MAX(Reference!$A$6,MIN(Reference!$A$11,MIN($U174,270))),Reference!$A$6:$A$11,1))+1)-INDEX(Reference!$B$6:$B$11,MIN(5,MATCH(MAX(Reference!$A$6,MIN(Reference!$A$11,MIN($U174,270))),Reference!$A$6:$A$11,1))))/(INDEX(Reference!$A$6:$A$11,MIN(5,MATCH(MAX(Reference!$A$6,MIN(Reference!$A$11,MIN($U174,270))),Reference!$A$6:$A$11,1))+1)-INDEX(Reference!$A$6:$A$11,MIN(5,MATCH(MAX(Reference!$A$6,MIN(Reference!$A$11,MIN($U174,270))),Reference!$A$6:$A$11,1))))),0)+IF(8&lt;=$AL174,($AL174-8+3)*(INDEX(Reference!$B$6:$B$11,MIN(5,MATCH(MAX(Reference!$A$6,MIN(Reference!$A$11,MIN($U174,300))),Reference!$A$6:$A$11,1)))+(MAX(Reference!$A$6,MIN(Reference!$A$11,MIN($U174,300)))-INDEX(Reference!$A$6:$A$11,MIN(5,MATCH(MAX(Reference!$A$6,MIN(Reference!$A$11,MIN($U174,300))),Reference!$A$6:$A$11,1))))*(INDEX(Reference!$B$6:$B$11,MIN(5,MATCH(MAX(Reference!$A$6,MIN(Reference!$A$11,MIN($U174,300))),Reference!$A$6:$A$11,1))+1)-INDEX(Reference!$B$6:$B$11,MIN(5,MATCH(MAX(Reference!$A$6,MIN(Reference!$A$11,MIN($U174,300))),Reference!$A$6:$A$11,1))))/(INDEX(Reference!$A$6:$A$11,MIN(5,MATCH(MAX(Reference!$A$6,MIN(Reference!$A$11,MIN($U174,300))),Reference!$A$6:$A$11,1))+1)-INDEX(Reference!$A$6:$A$11,MIN(5,MATCH(MAX(Reference!$A$6,MIN(Reference!$A$11,MIN($U174,300))),Reference!$A$6:$A$11,1))))),0))/($AL174*($AL174+5)/2)),$AN174))</f>
        <v>0</v>
      </c>
      <c r="AN174" s="32">
        <f>IF($U174="",0,(INDEX(Reference!$B$6:$B$11,MIN(5,MATCH(MAX(Reference!$A$6,MIN(Reference!$A$11,$U174)),Reference!$A$6:$A$11,1)))+(MAX(Reference!$A$6,MIN(Reference!$A$11,$U174))-INDEX(Reference!$A$6:$A$11,MIN(5,MATCH(MAX(Reference!$A$6,MIN(Reference!$A$11,$U174)),Reference!$A$6:$A$11,1))))*(INDEX(Reference!$B$6:$B$11,MIN(5,MATCH(MAX(Reference!$A$6,MIN(Reference!$A$11,$U174)),Reference!$A$6:$A$11,1))+1)-INDEX(Reference!$B$6:$B$11,MIN(5,MATCH(MAX(Reference!$A$6,MIN(Reference!$A$11,$U174)),Reference!$A$6:$A$11,1))))/(INDEX(Reference!$A$6:$A$11,MIN(5,MATCH(MAX(Reference!$A$6,MIN(Reference!$A$11,$U174)),Reference!$A$6:$A$11,1))+1)-INDEX(Reference!$A$6:$A$11,MIN(5,MATCH(MAX(Reference!$A$6,MIN(Reference!$A$11,$U174)),Reference!$A$6:$A$11,1))))))</f>
        <v>0</v>
      </c>
      <c r="AO174" s="37"/>
      <c r="AP174" s="37"/>
      <c r="AQ174" s="37"/>
    </row>
    <row r="175" spans="1:43" x14ac:dyDescent="0.3">
      <c r="A175" s="48" t="str">
        <f t="shared" si="105"/>
        <v/>
      </c>
      <c r="B175" s="32" t="str">
        <f t="shared" si="106"/>
        <v/>
      </c>
      <c r="C175" s="32" t="str">
        <f t="shared" si="107"/>
        <v/>
      </c>
      <c r="D175" s="32" t="str">
        <f t="shared" si="108"/>
        <v/>
      </c>
      <c r="E175" s="32" t="str">
        <f t="shared" si="109"/>
        <v/>
      </c>
      <c r="F175" s="32" t="str">
        <f t="shared" si="110"/>
        <v/>
      </c>
      <c r="G175" s="47" t="str">
        <f t="shared" si="111"/>
        <v/>
      </c>
      <c r="H175" s="30" t="str">
        <f t="shared" si="112"/>
        <v/>
      </c>
      <c r="I175" s="46" t="str">
        <f>IF($A175="","",IF(AND($L175&lt;27,$K$12=0),"Building",IFERROR(((SUM($H$169:$H175)+$K$12*IF($L175&lt;6,SUMIFS('Throw Log'!$Q$5:$Q$300,'Throw Log'!$B$5:$B$300,$D$4,'Throw Log'!$A$5:$A$300,"&gt;="&amp;($D$6+$L175-6),'Throw Log'!$A$5:$A$300,"&lt;="&amp;($D$6-1)),0))/7)/((SUM($H$148:$H175)+$K$12*IF($L175&lt;27,SUMIFS('Throw Log'!$Q$5:$Q$300,'Throw Log'!$B$5:$B$300,$D$4,'Throw Log'!$A$5:$A$300,"&gt;="&amp;($D$6+$L175-27),'Throw Log'!$A$5:$A$300,"&lt;="&amp;($D$6-1)),0))/28),"")))</f>
        <v/>
      </c>
      <c r="J175" s="37"/>
      <c r="K175" s="37"/>
      <c r="L175" s="32">
        <v>132</v>
      </c>
      <c r="M175" s="32">
        <f t="shared" si="113"/>
        <v>19</v>
      </c>
      <c r="N175" s="32">
        <f t="shared" si="114"/>
        <v>6</v>
      </c>
      <c r="O175" s="32">
        <f t="shared" si="115"/>
        <v>1</v>
      </c>
      <c r="P175" s="32" t="str">
        <f>IF(OR($A175="",N($C175)&lt;=7),"",$G$6*$G$9^($M175-1)*IF(AND(MOD($M175,Reference!$B$99)=0,$M175&lt;=$G$5-2),Reference!$B$100,1))</f>
        <v/>
      </c>
      <c r="Q175" s="32" t="str">
        <f>IF($P175="","",IF(SUM($AK$169:$AK$175)=0,0,$P175*INDEX(Reference!$B$108:$B$114,$N175+1)/SUM($AK$169:$AK$175)))</f>
        <v/>
      </c>
      <c r="R175" s="32">
        <f t="shared" si="116"/>
        <v>180</v>
      </c>
      <c r="S175" s="32">
        <f t="shared" si="117"/>
        <v>150</v>
      </c>
      <c r="T175" s="32" t="str">
        <f>IF($A175="","",IF($C175=0,"Bullpen",IF(OR($C175=7,$C175=1,$C175=5),"Recovery/Easy Catch",IF($C175=6,"Compression/Pulldowns",IF(OR($C175=4,$C175=2),"Long Toss",IF($C175=3,"No Throw",IF($N175=2,"No Throw",IF($N175=6,IF($O175&lt;Reference!$B$104,"No Throw","Recovery/Easy Catch"),IF(OR($N175=0,$N175=4),"Recovery/Easy Catch",IF($N175=1,IF($R175&gt;75,"Long Toss","Recovery/Easy Catch"),IF($N175=3,IF($O175&lt;0.5,IF($S175&gt;75,"Long Toss","Recovery/Easy Catch"),"Compression/Pulldowns"),IF($S175&gt;75,"Long Toss","Recovery/Easy Catch"))))))))))))</f>
        <v/>
      </c>
      <c r="U175" s="32" t="str">
        <f t="shared" si="118"/>
        <v/>
      </c>
      <c r="V175" s="32" t="str">
        <f t="shared" si="119"/>
        <v/>
      </c>
      <c r="W175" s="32" t="str">
        <f t="shared" si="120"/>
        <v/>
      </c>
      <c r="X175" s="32">
        <f t="shared" si="121"/>
        <v>0</v>
      </c>
      <c r="Y175" s="32" t="str">
        <f t="shared" si="122"/>
        <v/>
      </c>
      <c r="Z175" s="32" t="str">
        <f t="shared" si="123"/>
        <v/>
      </c>
      <c r="AA175" s="32" t="str">
        <f t="shared" si="124"/>
        <v/>
      </c>
      <c r="AB175" s="32" t="str">
        <f>IF($A175="","",IF($T175="No Throw",0,IF($K175&lt;&gt;"",$K175,IF($AA175&lt;&gt;"",ROUND($AA175*$D$12*IF($C175=0,1,$G$10),0),MIN(IF($T175="Recovery/Easy Catch",Reference!$B$103,IF($T175="Long Toss",Reference!$B$106,Reference!$B$102)),MAX(Reference!$B$101,ROUND(MAX(0,$Q175-$AE175)/$AF175,0)))))))</f>
        <v/>
      </c>
      <c r="AC175" s="32">
        <f t="shared" si="125"/>
        <v>0</v>
      </c>
      <c r="AD175" s="32" t="b">
        <f t="shared" si="126"/>
        <v>1</v>
      </c>
      <c r="AE175" s="32">
        <f>IF($X175=0,0,$X175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175+$Z175)/2,0),Reference!$A$17:$B$20,2,TRUE()))</f>
        <v>0</v>
      </c>
      <c r="AF175" s="32">
        <f>IF(OR($A175="",$U175="",$T175="No Throw"),0,$AM175*VLOOKUP(MAX(($V175+$W175)/2,0),Reference!$A$17:$B$20,2,TRUE()))</f>
        <v>0</v>
      </c>
      <c r="AG175" s="32">
        <f>IF($AC175=0,0,$AC175*INDEX(Reference!$B$61:$B$62,MATCH("Bullpen",Reference!$A$61:$A$62,0))*VLOOKUP(MAX($D$5-($D$9+$E$9)/2,0),Reference!$A$17:$B$20,2,TRUE()))</f>
        <v>0</v>
      </c>
      <c r="AH175" s="32" t="e">
        <f t="shared" si="127"/>
        <v>#N/A</v>
      </c>
      <c r="AI175" s="32" t="e">
        <f>IF($A175="",NA(),Reference!$A$25)</f>
        <v>#N/A</v>
      </c>
      <c r="AJ175" s="32" t="e">
        <f t="shared" si="128"/>
        <v>#N/A</v>
      </c>
      <c r="AK175" s="32">
        <f>IF(OR($A175="",N($C175)&lt;=7,$T175="No Throw",$J175="x"),0,INDEX(Reference!$B$108:$B$114,$N175+1))</f>
        <v>0</v>
      </c>
      <c r="AL175" s="32">
        <f t="shared" si="129"/>
        <v>1</v>
      </c>
      <c r="AM175" s="32">
        <f>IF($U175="",0,IF($AL175&gt;1,((IF(1&lt;=$AL175,($AL175-1+3)*(INDEX(Reference!$B$6:$B$11,MIN(5,MATCH(MAX(Reference!$A$6,MIN(Reference!$A$11,MIN($U175,90))),Reference!$A$6:$A$11,1)))+(MAX(Reference!$A$6,MIN(Reference!$A$11,MIN($U175,90)))-INDEX(Reference!$A$6:$A$11,MIN(5,MATCH(MAX(Reference!$A$6,MIN(Reference!$A$11,MIN($U175,90))),Reference!$A$6:$A$11,1))))*(INDEX(Reference!$B$6:$B$11,MIN(5,MATCH(MAX(Reference!$A$6,MIN(Reference!$A$11,MIN($U175,90))),Reference!$A$6:$A$11,1))+1)-INDEX(Reference!$B$6:$B$11,MIN(5,MATCH(MAX(Reference!$A$6,MIN(Reference!$A$11,MIN($U175,90))),Reference!$A$6:$A$11,1))))/(INDEX(Reference!$A$6:$A$11,MIN(5,MATCH(MAX(Reference!$A$6,MIN(Reference!$A$11,MIN($U175,90))),Reference!$A$6:$A$11,1))+1)-INDEX(Reference!$A$6:$A$11,MIN(5,MATCH(MAX(Reference!$A$6,MIN(Reference!$A$11,MIN($U175,90))),Reference!$A$6:$A$11,1))))),0)+IF(2&lt;=$AL175,($AL175-2+3)*(INDEX(Reference!$B$6:$B$11,MIN(5,MATCH(MAX(Reference!$A$6,MIN(Reference!$A$11,MIN($U175,120))),Reference!$A$6:$A$11,1)))+(MAX(Reference!$A$6,MIN(Reference!$A$11,MIN($U175,120)))-INDEX(Reference!$A$6:$A$11,MIN(5,MATCH(MAX(Reference!$A$6,MIN(Reference!$A$11,MIN($U175,120))),Reference!$A$6:$A$11,1))))*(INDEX(Reference!$B$6:$B$11,MIN(5,MATCH(MAX(Reference!$A$6,MIN(Reference!$A$11,MIN($U175,120))),Reference!$A$6:$A$11,1))+1)-INDEX(Reference!$B$6:$B$11,MIN(5,MATCH(MAX(Reference!$A$6,MIN(Reference!$A$11,MIN($U175,120))),Reference!$A$6:$A$11,1))))/(INDEX(Reference!$A$6:$A$11,MIN(5,MATCH(MAX(Reference!$A$6,MIN(Reference!$A$11,MIN($U175,120))),Reference!$A$6:$A$11,1))+1)-INDEX(Reference!$A$6:$A$11,MIN(5,MATCH(MAX(Reference!$A$6,MIN(Reference!$A$11,MIN($U175,120))),Reference!$A$6:$A$11,1))))),0)+IF(3&lt;=$AL175,($AL175-3+3)*(INDEX(Reference!$B$6:$B$11,MIN(5,MATCH(MAX(Reference!$A$6,MIN(Reference!$A$11,MIN($U175,150))),Reference!$A$6:$A$11,1)))+(MAX(Reference!$A$6,MIN(Reference!$A$11,MIN($U175,150)))-INDEX(Reference!$A$6:$A$11,MIN(5,MATCH(MAX(Reference!$A$6,MIN(Reference!$A$11,MIN($U175,150))),Reference!$A$6:$A$11,1))))*(INDEX(Reference!$B$6:$B$11,MIN(5,MATCH(MAX(Reference!$A$6,MIN(Reference!$A$11,MIN($U175,150))),Reference!$A$6:$A$11,1))+1)-INDEX(Reference!$B$6:$B$11,MIN(5,MATCH(MAX(Reference!$A$6,MIN(Reference!$A$11,MIN($U175,150))),Reference!$A$6:$A$11,1))))/(INDEX(Reference!$A$6:$A$11,MIN(5,MATCH(MAX(Reference!$A$6,MIN(Reference!$A$11,MIN($U175,150))),Reference!$A$6:$A$11,1))+1)-INDEX(Reference!$A$6:$A$11,MIN(5,MATCH(MAX(Reference!$A$6,MIN(Reference!$A$11,MIN($U175,150))),Reference!$A$6:$A$11,1))))),0)+IF(4&lt;=$AL175,($AL175-4+3)*(INDEX(Reference!$B$6:$B$11,MIN(5,MATCH(MAX(Reference!$A$6,MIN(Reference!$A$11,MIN($U175,180))),Reference!$A$6:$A$11,1)))+(MAX(Reference!$A$6,MIN(Reference!$A$11,MIN($U175,180)))-INDEX(Reference!$A$6:$A$11,MIN(5,MATCH(MAX(Reference!$A$6,MIN(Reference!$A$11,MIN($U175,180))),Reference!$A$6:$A$11,1))))*(INDEX(Reference!$B$6:$B$11,MIN(5,MATCH(MAX(Reference!$A$6,MIN(Reference!$A$11,MIN($U175,180))),Reference!$A$6:$A$11,1))+1)-INDEX(Reference!$B$6:$B$11,MIN(5,MATCH(MAX(Reference!$A$6,MIN(Reference!$A$11,MIN($U175,180))),Reference!$A$6:$A$11,1))))/(INDEX(Reference!$A$6:$A$11,MIN(5,MATCH(MAX(Reference!$A$6,MIN(Reference!$A$11,MIN($U175,180))),Reference!$A$6:$A$11,1))+1)-INDEX(Reference!$A$6:$A$11,MIN(5,MATCH(MAX(Reference!$A$6,MIN(Reference!$A$11,MIN($U175,180))),Reference!$A$6:$A$11,1))))),0)+IF(5&lt;=$AL175,($AL175-5+3)*(INDEX(Reference!$B$6:$B$11,MIN(5,MATCH(MAX(Reference!$A$6,MIN(Reference!$A$11,MIN($U175,210))),Reference!$A$6:$A$11,1)))+(MAX(Reference!$A$6,MIN(Reference!$A$11,MIN($U175,210)))-INDEX(Reference!$A$6:$A$11,MIN(5,MATCH(MAX(Reference!$A$6,MIN(Reference!$A$11,MIN($U175,210))),Reference!$A$6:$A$11,1))))*(INDEX(Reference!$B$6:$B$11,MIN(5,MATCH(MAX(Reference!$A$6,MIN(Reference!$A$11,MIN($U175,210))),Reference!$A$6:$A$11,1))+1)-INDEX(Reference!$B$6:$B$11,MIN(5,MATCH(MAX(Reference!$A$6,MIN(Reference!$A$11,MIN($U175,210))),Reference!$A$6:$A$11,1))))/(INDEX(Reference!$A$6:$A$11,MIN(5,MATCH(MAX(Reference!$A$6,MIN(Reference!$A$11,MIN($U175,210))),Reference!$A$6:$A$11,1))+1)-INDEX(Reference!$A$6:$A$11,MIN(5,MATCH(MAX(Reference!$A$6,MIN(Reference!$A$11,MIN($U175,210))),Reference!$A$6:$A$11,1))))),0)+IF(6&lt;=$AL175,($AL175-6+3)*(INDEX(Reference!$B$6:$B$11,MIN(5,MATCH(MAX(Reference!$A$6,MIN(Reference!$A$11,MIN($U175,240))),Reference!$A$6:$A$11,1)))+(MAX(Reference!$A$6,MIN(Reference!$A$11,MIN($U175,240)))-INDEX(Reference!$A$6:$A$11,MIN(5,MATCH(MAX(Reference!$A$6,MIN(Reference!$A$11,MIN($U175,240))),Reference!$A$6:$A$11,1))))*(INDEX(Reference!$B$6:$B$11,MIN(5,MATCH(MAX(Reference!$A$6,MIN(Reference!$A$11,MIN($U175,240))),Reference!$A$6:$A$11,1))+1)-INDEX(Reference!$B$6:$B$11,MIN(5,MATCH(MAX(Reference!$A$6,MIN(Reference!$A$11,MIN($U175,240))),Reference!$A$6:$A$11,1))))/(INDEX(Reference!$A$6:$A$11,MIN(5,MATCH(MAX(Reference!$A$6,MIN(Reference!$A$11,MIN($U175,240))),Reference!$A$6:$A$11,1))+1)-INDEX(Reference!$A$6:$A$11,MIN(5,MATCH(MAX(Reference!$A$6,MIN(Reference!$A$11,MIN($U175,240))),Reference!$A$6:$A$11,1))))),0)+IF(7&lt;=$AL175,($AL175-7+3)*(INDEX(Reference!$B$6:$B$11,MIN(5,MATCH(MAX(Reference!$A$6,MIN(Reference!$A$11,MIN($U175,270))),Reference!$A$6:$A$11,1)))+(MAX(Reference!$A$6,MIN(Reference!$A$11,MIN($U175,270)))-INDEX(Reference!$A$6:$A$11,MIN(5,MATCH(MAX(Reference!$A$6,MIN(Reference!$A$11,MIN($U175,270))),Reference!$A$6:$A$11,1))))*(INDEX(Reference!$B$6:$B$11,MIN(5,MATCH(MAX(Reference!$A$6,MIN(Reference!$A$11,MIN($U175,270))),Reference!$A$6:$A$11,1))+1)-INDEX(Reference!$B$6:$B$11,MIN(5,MATCH(MAX(Reference!$A$6,MIN(Reference!$A$11,MIN($U175,270))),Reference!$A$6:$A$11,1))))/(INDEX(Reference!$A$6:$A$11,MIN(5,MATCH(MAX(Reference!$A$6,MIN(Reference!$A$11,MIN($U175,270))),Reference!$A$6:$A$11,1))+1)-INDEX(Reference!$A$6:$A$11,MIN(5,MATCH(MAX(Reference!$A$6,MIN(Reference!$A$11,MIN($U175,270))),Reference!$A$6:$A$11,1))))),0)+IF(8&lt;=$AL175,($AL175-8+3)*(INDEX(Reference!$B$6:$B$11,MIN(5,MATCH(MAX(Reference!$A$6,MIN(Reference!$A$11,MIN($U175,300))),Reference!$A$6:$A$11,1)))+(MAX(Reference!$A$6,MIN(Reference!$A$11,MIN($U175,300)))-INDEX(Reference!$A$6:$A$11,MIN(5,MATCH(MAX(Reference!$A$6,MIN(Reference!$A$11,MIN($U175,300))),Reference!$A$6:$A$11,1))))*(INDEX(Reference!$B$6:$B$11,MIN(5,MATCH(MAX(Reference!$A$6,MIN(Reference!$A$11,MIN($U175,300))),Reference!$A$6:$A$11,1))+1)-INDEX(Reference!$B$6:$B$11,MIN(5,MATCH(MAX(Reference!$A$6,MIN(Reference!$A$11,MIN($U175,300))),Reference!$A$6:$A$11,1))))/(INDEX(Reference!$A$6:$A$11,MIN(5,MATCH(MAX(Reference!$A$6,MIN(Reference!$A$11,MIN($U175,300))),Reference!$A$6:$A$11,1))+1)-INDEX(Reference!$A$6:$A$11,MIN(5,MATCH(MAX(Reference!$A$6,MIN(Reference!$A$11,MIN($U175,300))),Reference!$A$6:$A$11,1))))),0))/($AL175*($AL175+5)/2)),$AN175))</f>
        <v>0</v>
      </c>
      <c r="AN175" s="32">
        <f>IF($U175="",0,(INDEX(Reference!$B$6:$B$11,MIN(5,MATCH(MAX(Reference!$A$6,MIN(Reference!$A$11,$U175)),Reference!$A$6:$A$11,1)))+(MAX(Reference!$A$6,MIN(Reference!$A$11,$U175))-INDEX(Reference!$A$6:$A$11,MIN(5,MATCH(MAX(Reference!$A$6,MIN(Reference!$A$11,$U175)),Reference!$A$6:$A$11,1))))*(INDEX(Reference!$B$6:$B$11,MIN(5,MATCH(MAX(Reference!$A$6,MIN(Reference!$A$11,$U175)),Reference!$A$6:$A$11,1))+1)-INDEX(Reference!$B$6:$B$11,MIN(5,MATCH(MAX(Reference!$A$6,MIN(Reference!$A$11,$U175)),Reference!$A$6:$A$11,1))))/(INDEX(Reference!$A$6:$A$11,MIN(5,MATCH(MAX(Reference!$A$6,MIN(Reference!$A$11,$U175)),Reference!$A$6:$A$11,1))+1)-INDEX(Reference!$A$6:$A$11,MIN(5,MATCH(MAX(Reference!$A$6,MIN(Reference!$A$11,$U175)),Reference!$A$6:$A$11,1))))))</f>
        <v>0</v>
      </c>
      <c r="AO175" s="37"/>
      <c r="AP175" s="37"/>
      <c r="AQ175" s="37"/>
    </row>
    <row r="176" spans="1:43" x14ac:dyDescent="0.3">
      <c r="A176" s="48" t="str">
        <f t="shared" si="105"/>
        <v/>
      </c>
      <c r="B176" s="32" t="str">
        <f t="shared" si="106"/>
        <v/>
      </c>
      <c r="C176" s="32" t="str">
        <f t="shared" si="107"/>
        <v/>
      </c>
      <c r="D176" s="32" t="str">
        <f t="shared" si="108"/>
        <v/>
      </c>
      <c r="E176" s="32" t="str">
        <f t="shared" si="109"/>
        <v/>
      </c>
      <c r="F176" s="32" t="str">
        <f t="shared" si="110"/>
        <v/>
      </c>
      <c r="G176" s="47" t="str">
        <f t="shared" si="111"/>
        <v/>
      </c>
      <c r="H176" s="30" t="str">
        <f t="shared" si="112"/>
        <v/>
      </c>
      <c r="I176" s="46" t="str">
        <f>IF($A176="","",IF(AND($L176&lt;27,$K$12=0),"Building",IFERROR(((SUM($H$170:$H176)+$K$12*IF($L176&lt;6,SUMIFS('Throw Log'!$Q$5:$Q$300,'Throw Log'!$B$5:$B$300,$D$4,'Throw Log'!$A$5:$A$300,"&gt;="&amp;($D$6+$L176-6),'Throw Log'!$A$5:$A$300,"&lt;="&amp;($D$6-1)),0))/7)/((SUM($H$149:$H176)+$K$12*IF($L176&lt;27,SUMIFS('Throw Log'!$Q$5:$Q$300,'Throw Log'!$B$5:$B$300,$D$4,'Throw Log'!$A$5:$A$300,"&gt;="&amp;($D$6+$L176-27),'Throw Log'!$A$5:$A$300,"&lt;="&amp;($D$6-1)),0))/28),"")))</f>
        <v/>
      </c>
      <c r="J176" s="37"/>
      <c r="K176" s="37"/>
      <c r="L176" s="32">
        <v>133</v>
      </c>
      <c r="M176" s="32">
        <f t="shared" si="113"/>
        <v>20</v>
      </c>
      <c r="N176" s="32">
        <f t="shared" si="114"/>
        <v>0</v>
      </c>
      <c r="O176" s="32">
        <f t="shared" si="115"/>
        <v>1</v>
      </c>
      <c r="P176" s="32" t="str">
        <f>IF(OR($A176="",N($C176)&lt;=7),"",$G$6*$G$9^($M176-1)*IF(AND(MOD($M176,Reference!$B$99)=0,$M176&lt;=$G$5-2),Reference!$B$100,1))</f>
        <v/>
      </c>
      <c r="Q176" s="32" t="str">
        <f>IF($P176="","",IF(SUM($AK$176:$AK$182)=0,0,$P176*INDEX(Reference!$B$108:$B$114,$N176+1)/SUM($AK$176:$AK$182)))</f>
        <v/>
      </c>
      <c r="R176" s="32">
        <f t="shared" si="116"/>
        <v>180</v>
      </c>
      <c r="S176" s="32">
        <f t="shared" si="117"/>
        <v>150</v>
      </c>
      <c r="T176" s="32" t="str">
        <f>IF($A176="","",IF($C176=0,"Bullpen",IF(OR($C176=7,$C176=1,$C176=5),"Recovery/Easy Catch",IF($C176=6,"Compression/Pulldowns",IF(OR($C176=4,$C176=2),"Long Toss",IF($C176=3,"No Throw",IF($N176=2,"No Throw",IF($N176=6,IF($O176&lt;Reference!$B$104,"No Throw","Recovery/Easy Catch"),IF(OR($N176=0,$N176=4),"Recovery/Easy Catch",IF($N176=1,IF($R176&gt;75,"Long Toss","Recovery/Easy Catch"),IF($N176=3,IF($O176&lt;0.5,IF($S176&gt;75,"Long Toss","Recovery/Easy Catch"),"Compression/Pulldowns"),IF($S176&gt;75,"Long Toss","Recovery/Easy Catch"))))))))))))</f>
        <v/>
      </c>
      <c r="U176" s="32" t="str">
        <f t="shared" si="118"/>
        <v/>
      </c>
      <c r="V176" s="32" t="str">
        <f t="shared" si="119"/>
        <v/>
      </c>
      <c r="W176" s="32" t="str">
        <f t="shared" si="120"/>
        <v/>
      </c>
      <c r="X176" s="32">
        <f t="shared" si="121"/>
        <v>0</v>
      </c>
      <c r="Y176" s="32" t="str">
        <f t="shared" si="122"/>
        <v/>
      </c>
      <c r="Z176" s="32" t="str">
        <f t="shared" si="123"/>
        <v/>
      </c>
      <c r="AA176" s="32" t="str">
        <f t="shared" si="124"/>
        <v/>
      </c>
      <c r="AB176" s="32" t="str">
        <f>IF($A176="","",IF($T176="No Throw",0,IF($K176&lt;&gt;"",$K176,IF($AA176&lt;&gt;"",ROUND($AA176*$D$12*IF($C176=0,1,$G$10),0),MIN(IF($T176="Recovery/Easy Catch",Reference!$B$103,IF($T176="Long Toss",Reference!$B$106,Reference!$B$102)),MAX(Reference!$B$101,ROUND(MAX(0,$Q176-$AE176)/$AF176,0)))))))</f>
        <v/>
      </c>
      <c r="AC176" s="32">
        <f t="shared" si="125"/>
        <v>0</v>
      </c>
      <c r="AD176" s="32" t="b">
        <f t="shared" si="126"/>
        <v>1</v>
      </c>
      <c r="AE176" s="32">
        <f>IF($X176=0,0,$X176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176+$Z176)/2,0),Reference!$A$17:$B$20,2,TRUE()))</f>
        <v>0</v>
      </c>
      <c r="AF176" s="32">
        <f>IF(OR($A176="",$U176="",$T176="No Throw"),0,$AM176*VLOOKUP(MAX(($V176+$W176)/2,0),Reference!$A$17:$B$20,2,TRUE()))</f>
        <v>0</v>
      </c>
      <c r="AG176" s="32">
        <f>IF($AC176=0,0,$AC176*INDEX(Reference!$B$61:$B$62,MATCH("Bullpen",Reference!$A$61:$A$62,0))*VLOOKUP(MAX($D$5-($D$9+$E$9)/2,0),Reference!$A$17:$B$20,2,TRUE()))</f>
        <v>0</v>
      </c>
      <c r="AH176" s="32" t="e">
        <f t="shared" si="127"/>
        <v>#N/A</v>
      </c>
      <c r="AI176" s="32" t="e">
        <f>IF($A176="",NA(),Reference!$A$25)</f>
        <v>#N/A</v>
      </c>
      <c r="AJ176" s="32" t="e">
        <f t="shared" si="128"/>
        <v>#N/A</v>
      </c>
      <c r="AK176" s="32">
        <f>IF(OR($A176="",N($C176)&lt;=7,$T176="No Throw",$J176="x"),0,INDEX(Reference!$B$108:$B$114,$N176+1))</f>
        <v>0</v>
      </c>
      <c r="AL176" s="32">
        <f t="shared" si="129"/>
        <v>1</v>
      </c>
      <c r="AM176" s="32">
        <f>IF($U176="",0,IF($AL176&gt;1,((IF(1&lt;=$AL176,($AL176-1+3)*(INDEX(Reference!$B$6:$B$11,MIN(5,MATCH(MAX(Reference!$A$6,MIN(Reference!$A$11,MIN($U176,90))),Reference!$A$6:$A$11,1)))+(MAX(Reference!$A$6,MIN(Reference!$A$11,MIN($U176,90)))-INDEX(Reference!$A$6:$A$11,MIN(5,MATCH(MAX(Reference!$A$6,MIN(Reference!$A$11,MIN($U176,90))),Reference!$A$6:$A$11,1))))*(INDEX(Reference!$B$6:$B$11,MIN(5,MATCH(MAX(Reference!$A$6,MIN(Reference!$A$11,MIN($U176,90))),Reference!$A$6:$A$11,1))+1)-INDEX(Reference!$B$6:$B$11,MIN(5,MATCH(MAX(Reference!$A$6,MIN(Reference!$A$11,MIN($U176,90))),Reference!$A$6:$A$11,1))))/(INDEX(Reference!$A$6:$A$11,MIN(5,MATCH(MAX(Reference!$A$6,MIN(Reference!$A$11,MIN($U176,90))),Reference!$A$6:$A$11,1))+1)-INDEX(Reference!$A$6:$A$11,MIN(5,MATCH(MAX(Reference!$A$6,MIN(Reference!$A$11,MIN($U176,90))),Reference!$A$6:$A$11,1))))),0)+IF(2&lt;=$AL176,($AL176-2+3)*(INDEX(Reference!$B$6:$B$11,MIN(5,MATCH(MAX(Reference!$A$6,MIN(Reference!$A$11,MIN($U176,120))),Reference!$A$6:$A$11,1)))+(MAX(Reference!$A$6,MIN(Reference!$A$11,MIN($U176,120)))-INDEX(Reference!$A$6:$A$11,MIN(5,MATCH(MAX(Reference!$A$6,MIN(Reference!$A$11,MIN($U176,120))),Reference!$A$6:$A$11,1))))*(INDEX(Reference!$B$6:$B$11,MIN(5,MATCH(MAX(Reference!$A$6,MIN(Reference!$A$11,MIN($U176,120))),Reference!$A$6:$A$11,1))+1)-INDEX(Reference!$B$6:$B$11,MIN(5,MATCH(MAX(Reference!$A$6,MIN(Reference!$A$11,MIN($U176,120))),Reference!$A$6:$A$11,1))))/(INDEX(Reference!$A$6:$A$11,MIN(5,MATCH(MAX(Reference!$A$6,MIN(Reference!$A$11,MIN($U176,120))),Reference!$A$6:$A$11,1))+1)-INDEX(Reference!$A$6:$A$11,MIN(5,MATCH(MAX(Reference!$A$6,MIN(Reference!$A$11,MIN($U176,120))),Reference!$A$6:$A$11,1))))),0)+IF(3&lt;=$AL176,($AL176-3+3)*(INDEX(Reference!$B$6:$B$11,MIN(5,MATCH(MAX(Reference!$A$6,MIN(Reference!$A$11,MIN($U176,150))),Reference!$A$6:$A$11,1)))+(MAX(Reference!$A$6,MIN(Reference!$A$11,MIN($U176,150)))-INDEX(Reference!$A$6:$A$11,MIN(5,MATCH(MAX(Reference!$A$6,MIN(Reference!$A$11,MIN($U176,150))),Reference!$A$6:$A$11,1))))*(INDEX(Reference!$B$6:$B$11,MIN(5,MATCH(MAX(Reference!$A$6,MIN(Reference!$A$11,MIN($U176,150))),Reference!$A$6:$A$11,1))+1)-INDEX(Reference!$B$6:$B$11,MIN(5,MATCH(MAX(Reference!$A$6,MIN(Reference!$A$11,MIN($U176,150))),Reference!$A$6:$A$11,1))))/(INDEX(Reference!$A$6:$A$11,MIN(5,MATCH(MAX(Reference!$A$6,MIN(Reference!$A$11,MIN($U176,150))),Reference!$A$6:$A$11,1))+1)-INDEX(Reference!$A$6:$A$11,MIN(5,MATCH(MAX(Reference!$A$6,MIN(Reference!$A$11,MIN($U176,150))),Reference!$A$6:$A$11,1))))),0)+IF(4&lt;=$AL176,($AL176-4+3)*(INDEX(Reference!$B$6:$B$11,MIN(5,MATCH(MAX(Reference!$A$6,MIN(Reference!$A$11,MIN($U176,180))),Reference!$A$6:$A$11,1)))+(MAX(Reference!$A$6,MIN(Reference!$A$11,MIN($U176,180)))-INDEX(Reference!$A$6:$A$11,MIN(5,MATCH(MAX(Reference!$A$6,MIN(Reference!$A$11,MIN($U176,180))),Reference!$A$6:$A$11,1))))*(INDEX(Reference!$B$6:$B$11,MIN(5,MATCH(MAX(Reference!$A$6,MIN(Reference!$A$11,MIN($U176,180))),Reference!$A$6:$A$11,1))+1)-INDEX(Reference!$B$6:$B$11,MIN(5,MATCH(MAX(Reference!$A$6,MIN(Reference!$A$11,MIN($U176,180))),Reference!$A$6:$A$11,1))))/(INDEX(Reference!$A$6:$A$11,MIN(5,MATCH(MAX(Reference!$A$6,MIN(Reference!$A$11,MIN($U176,180))),Reference!$A$6:$A$11,1))+1)-INDEX(Reference!$A$6:$A$11,MIN(5,MATCH(MAX(Reference!$A$6,MIN(Reference!$A$11,MIN($U176,180))),Reference!$A$6:$A$11,1))))),0)+IF(5&lt;=$AL176,($AL176-5+3)*(INDEX(Reference!$B$6:$B$11,MIN(5,MATCH(MAX(Reference!$A$6,MIN(Reference!$A$11,MIN($U176,210))),Reference!$A$6:$A$11,1)))+(MAX(Reference!$A$6,MIN(Reference!$A$11,MIN($U176,210)))-INDEX(Reference!$A$6:$A$11,MIN(5,MATCH(MAX(Reference!$A$6,MIN(Reference!$A$11,MIN($U176,210))),Reference!$A$6:$A$11,1))))*(INDEX(Reference!$B$6:$B$11,MIN(5,MATCH(MAX(Reference!$A$6,MIN(Reference!$A$11,MIN($U176,210))),Reference!$A$6:$A$11,1))+1)-INDEX(Reference!$B$6:$B$11,MIN(5,MATCH(MAX(Reference!$A$6,MIN(Reference!$A$11,MIN($U176,210))),Reference!$A$6:$A$11,1))))/(INDEX(Reference!$A$6:$A$11,MIN(5,MATCH(MAX(Reference!$A$6,MIN(Reference!$A$11,MIN($U176,210))),Reference!$A$6:$A$11,1))+1)-INDEX(Reference!$A$6:$A$11,MIN(5,MATCH(MAX(Reference!$A$6,MIN(Reference!$A$11,MIN($U176,210))),Reference!$A$6:$A$11,1))))),0)+IF(6&lt;=$AL176,($AL176-6+3)*(INDEX(Reference!$B$6:$B$11,MIN(5,MATCH(MAX(Reference!$A$6,MIN(Reference!$A$11,MIN($U176,240))),Reference!$A$6:$A$11,1)))+(MAX(Reference!$A$6,MIN(Reference!$A$11,MIN($U176,240)))-INDEX(Reference!$A$6:$A$11,MIN(5,MATCH(MAX(Reference!$A$6,MIN(Reference!$A$11,MIN($U176,240))),Reference!$A$6:$A$11,1))))*(INDEX(Reference!$B$6:$B$11,MIN(5,MATCH(MAX(Reference!$A$6,MIN(Reference!$A$11,MIN($U176,240))),Reference!$A$6:$A$11,1))+1)-INDEX(Reference!$B$6:$B$11,MIN(5,MATCH(MAX(Reference!$A$6,MIN(Reference!$A$11,MIN($U176,240))),Reference!$A$6:$A$11,1))))/(INDEX(Reference!$A$6:$A$11,MIN(5,MATCH(MAX(Reference!$A$6,MIN(Reference!$A$11,MIN($U176,240))),Reference!$A$6:$A$11,1))+1)-INDEX(Reference!$A$6:$A$11,MIN(5,MATCH(MAX(Reference!$A$6,MIN(Reference!$A$11,MIN($U176,240))),Reference!$A$6:$A$11,1))))),0)+IF(7&lt;=$AL176,($AL176-7+3)*(INDEX(Reference!$B$6:$B$11,MIN(5,MATCH(MAX(Reference!$A$6,MIN(Reference!$A$11,MIN($U176,270))),Reference!$A$6:$A$11,1)))+(MAX(Reference!$A$6,MIN(Reference!$A$11,MIN($U176,270)))-INDEX(Reference!$A$6:$A$11,MIN(5,MATCH(MAX(Reference!$A$6,MIN(Reference!$A$11,MIN($U176,270))),Reference!$A$6:$A$11,1))))*(INDEX(Reference!$B$6:$B$11,MIN(5,MATCH(MAX(Reference!$A$6,MIN(Reference!$A$11,MIN($U176,270))),Reference!$A$6:$A$11,1))+1)-INDEX(Reference!$B$6:$B$11,MIN(5,MATCH(MAX(Reference!$A$6,MIN(Reference!$A$11,MIN($U176,270))),Reference!$A$6:$A$11,1))))/(INDEX(Reference!$A$6:$A$11,MIN(5,MATCH(MAX(Reference!$A$6,MIN(Reference!$A$11,MIN($U176,270))),Reference!$A$6:$A$11,1))+1)-INDEX(Reference!$A$6:$A$11,MIN(5,MATCH(MAX(Reference!$A$6,MIN(Reference!$A$11,MIN($U176,270))),Reference!$A$6:$A$11,1))))),0)+IF(8&lt;=$AL176,($AL176-8+3)*(INDEX(Reference!$B$6:$B$11,MIN(5,MATCH(MAX(Reference!$A$6,MIN(Reference!$A$11,MIN($U176,300))),Reference!$A$6:$A$11,1)))+(MAX(Reference!$A$6,MIN(Reference!$A$11,MIN($U176,300)))-INDEX(Reference!$A$6:$A$11,MIN(5,MATCH(MAX(Reference!$A$6,MIN(Reference!$A$11,MIN($U176,300))),Reference!$A$6:$A$11,1))))*(INDEX(Reference!$B$6:$B$11,MIN(5,MATCH(MAX(Reference!$A$6,MIN(Reference!$A$11,MIN($U176,300))),Reference!$A$6:$A$11,1))+1)-INDEX(Reference!$B$6:$B$11,MIN(5,MATCH(MAX(Reference!$A$6,MIN(Reference!$A$11,MIN($U176,300))),Reference!$A$6:$A$11,1))))/(INDEX(Reference!$A$6:$A$11,MIN(5,MATCH(MAX(Reference!$A$6,MIN(Reference!$A$11,MIN($U176,300))),Reference!$A$6:$A$11,1))+1)-INDEX(Reference!$A$6:$A$11,MIN(5,MATCH(MAX(Reference!$A$6,MIN(Reference!$A$11,MIN($U176,300))),Reference!$A$6:$A$11,1))))),0))/($AL176*($AL176+5)/2)),$AN176))</f>
        <v>0</v>
      </c>
      <c r="AN176" s="32">
        <f>IF($U176="",0,(INDEX(Reference!$B$6:$B$11,MIN(5,MATCH(MAX(Reference!$A$6,MIN(Reference!$A$11,$U176)),Reference!$A$6:$A$11,1)))+(MAX(Reference!$A$6,MIN(Reference!$A$11,$U176))-INDEX(Reference!$A$6:$A$11,MIN(5,MATCH(MAX(Reference!$A$6,MIN(Reference!$A$11,$U176)),Reference!$A$6:$A$11,1))))*(INDEX(Reference!$B$6:$B$11,MIN(5,MATCH(MAX(Reference!$A$6,MIN(Reference!$A$11,$U176)),Reference!$A$6:$A$11,1))+1)-INDEX(Reference!$B$6:$B$11,MIN(5,MATCH(MAX(Reference!$A$6,MIN(Reference!$A$11,$U176)),Reference!$A$6:$A$11,1))))/(INDEX(Reference!$A$6:$A$11,MIN(5,MATCH(MAX(Reference!$A$6,MIN(Reference!$A$11,$U176)),Reference!$A$6:$A$11,1))+1)-INDEX(Reference!$A$6:$A$11,MIN(5,MATCH(MAX(Reference!$A$6,MIN(Reference!$A$11,$U176)),Reference!$A$6:$A$11,1))))))</f>
        <v>0</v>
      </c>
      <c r="AO176" s="37"/>
      <c r="AP176" s="37"/>
      <c r="AQ176" s="37"/>
    </row>
    <row r="177" spans="1:43" x14ac:dyDescent="0.3">
      <c r="A177" s="48" t="str">
        <f t="shared" si="105"/>
        <v/>
      </c>
      <c r="B177" s="32" t="str">
        <f t="shared" si="106"/>
        <v/>
      </c>
      <c r="C177" s="32" t="str">
        <f t="shared" si="107"/>
        <v/>
      </c>
      <c r="D177" s="32" t="str">
        <f t="shared" si="108"/>
        <v/>
      </c>
      <c r="E177" s="32" t="str">
        <f t="shared" si="109"/>
        <v/>
      </c>
      <c r="F177" s="32" t="str">
        <f t="shared" si="110"/>
        <v/>
      </c>
      <c r="G177" s="47" t="str">
        <f t="shared" si="111"/>
        <v/>
      </c>
      <c r="H177" s="30" t="str">
        <f t="shared" si="112"/>
        <v/>
      </c>
      <c r="I177" s="46" t="str">
        <f>IF($A177="","",IF(AND($L177&lt;27,$K$12=0),"Building",IFERROR(((SUM($H$171:$H177)+$K$12*IF($L177&lt;6,SUMIFS('Throw Log'!$Q$5:$Q$300,'Throw Log'!$B$5:$B$300,$D$4,'Throw Log'!$A$5:$A$300,"&gt;="&amp;($D$6+$L177-6),'Throw Log'!$A$5:$A$300,"&lt;="&amp;($D$6-1)),0))/7)/((SUM($H$150:$H177)+$K$12*IF($L177&lt;27,SUMIFS('Throw Log'!$Q$5:$Q$300,'Throw Log'!$B$5:$B$300,$D$4,'Throw Log'!$A$5:$A$300,"&gt;="&amp;($D$6+$L177-27),'Throw Log'!$A$5:$A$300,"&lt;="&amp;($D$6-1)),0))/28),"")))</f>
        <v/>
      </c>
      <c r="J177" s="37"/>
      <c r="K177" s="37"/>
      <c r="L177" s="32">
        <v>134</v>
      </c>
      <c r="M177" s="32">
        <f t="shared" si="113"/>
        <v>20</v>
      </c>
      <c r="N177" s="32">
        <f t="shared" si="114"/>
        <v>1</v>
      </c>
      <c r="O177" s="32">
        <f t="shared" si="115"/>
        <v>1</v>
      </c>
      <c r="P177" s="32" t="str">
        <f>IF(OR($A177="",N($C177)&lt;=7),"",$G$6*$G$9^($M177-1)*IF(AND(MOD($M177,Reference!$B$99)=0,$M177&lt;=$G$5-2),Reference!$B$100,1))</f>
        <v/>
      </c>
      <c r="Q177" s="32" t="str">
        <f>IF($P177="","",IF(SUM($AK$176:$AK$182)=0,0,$P177*INDEX(Reference!$B$108:$B$114,$N177+1)/SUM($AK$176:$AK$182)))</f>
        <v/>
      </c>
      <c r="R177" s="32">
        <f t="shared" si="116"/>
        <v>180</v>
      </c>
      <c r="S177" s="32">
        <f t="shared" si="117"/>
        <v>150</v>
      </c>
      <c r="T177" s="32" t="str">
        <f>IF($A177="","",IF($C177=0,"Bullpen",IF(OR($C177=7,$C177=1,$C177=5),"Recovery/Easy Catch",IF($C177=6,"Compression/Pulldowns",IF(OR($C177=4,$C177=2),"Long Toss",IF($C177=3,"No Throw",IF($N177=2,"No Throw",IF($N177=6,IF($O177&lt;Reference!$B$104,"No Throw","Recovery/Easy Catch"),IF(OR($N177=0,$N177=4),"Recovery/Easy Catch",IF($N177=1,IF($R177&gt;75,"Long Toss","Recovery/Easy Catch"),IF($N177=3,IF($O177&lt;0.5,IF($S177&gt;75,"Long Toss","Recovery/Easy Catch"),"Compression/Pulldowns"),IF($S177&gt;75,"Long Toss","Recovery/Easy Catch"))))))))))))</f>
        <v/>
      </c>
      <c r="U177" s="32" t="str">
        <f t="shared" si="118"/>
        <v/>
      </c>
      <c r="V177" s="32" t="str">
        <f t="shared" si="119"/>
        <v/>
      </c>
      <c r="W177" s="32" t="str">
        <f t="shared" si="120"/>
        <v/>
      </c>
      <c r="X177" s="32">
        <f t="shared" si="121"/>
        <v>0</v>
      </c>
      <c r="Y177" s="32" t="str">
        <f t="shared" si="122"/>
        <v/>
      </c>
      <c r="Z177" s="32" t="str">
        <f t="shared" si="123"/>
        <v/>
      </c>
      <c r="AA177" s="32" t="str">
        <f t="shared" si="124"/>
        <v/>
      </c>
      <c r="AB177" s="32" t="str">
        <f>IF($A177="","",IF($T177="No Throw",0,IF($K177&lt;&gt;"",$K177,IF($AA177&lt;&gt;"",ROUND($AA177*$D$12*IF($C177=0,1,$G$10),0),MIN(IF($T177="Recovery/Easy Catch",Reference!$B$103,IF($T177="Long Toss",Reference!$B$106,Reference!$B$102)),MAX(Reference!$B$101,ROUND(MAX(0,$Q177-$AE177)/$AF177,0)))))))</f>
        <v/>
      </c>
      <c r="AC177" s="32">
        <f t="shared" si="125"/>
        <v>0</v>
      </c>
      <c r="AD177" s="32" t="b">
        <f t="shared" si="126"/>
        <v>1</v>
      </c>
      <c r="AE177" s="32">
        <f>IF($X177=0,0,$X177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177+$Z177)/2,0),Reference!$A$17:$B$20,2,TRUE()))</f>
        <v>0</v>
      </c>
      <c r="AF177" s="32">
        <f>IF(OR($A177="",$U177="",$T177="No Throw"),0,$AM177*VLOOKUP(MAX(($V177+$W177)/2,0),Reference!$A$17:$B$20,2,TRUE()))</f>
        <v>0</v>
      </c>
      <c r="AG177" s="32">
        <f>IF($AC177=0,0,$AC177*INDEX(Reference!$B$61:$B$62,MATCH("Bullpen",Reference!$A$61:$A$62,0))*VLOOKUP(MAX($D$5-($D$9+$E$9)/2,0),Reference!$A$17:$B$20,2,TRUE()))</f>
        <v>0</v>
      </c>
      <c r="AH177" s="32" t="e">
        <f t="shared" si="127"/>
        <v>#N/A</v>
      </c>
      <c r="AI177" s="32" t="e">
        <f>IF($A177="",NA(),Reference!$A$25)</f>
        <v>#N/A</v>
      </c>
      <c r="AJ177" s="32" t="e">
        <f t="shared" si="128"/>
        <v>#N/A</v>
      </c>
      <c r="AK177" s="32">
        <f>IF(OR($A177="",N($C177)&lt;=7,$T177="No Throw",$J177="x"),0,INDEX(Reference!$B$108:$B$114,$N177+1))</f>
        <v>0</v>
      </c>
      <c r="AL177" s="32">
        <f t="shared" si="129"/>
        <v>1</v>
      </c>
      <c r="AM177" s="32">
        <f>IF($U177="",0,IF($AL177&gt;1,((IF(1&lt;=$AL177,($AL177-1+3)*(INDEX(Reference!$B$6:$B$11,MIN(5,MATCH(MAX(Reference!$A$6,MIN(Reference!$A$11,MIN($U177,90))),Reference!$A$6:$A$11,1)))+(MAX(Reference!$A$6,MIN(Reference!$A$11,MIN($U177,90)))-INDEX(Reference!$A$6:$A$11,MIN(5,MATCH(MAX(Reference!$A$6,MIN(Reference!$A$11,MIN($U177,90))),Reference!$A$6:$A$11,1))))*(INDEX(Reference!$B$6:$B$11,MIN(5,MATCH(MAX(Reference!$A$6,MIN(Reference!$A$11,MIN($U177,90))),Reference!$A$6:$A$11,1))+1)-INDEX(Reference!$B$6:$B$11,MIN(5,MATCH(MAX(Reference!$A$6,MIN(Reference!$A$11,MIN($U177,90))),Reference!$A$6:$A$11,1))))/(INDEX(Reference!$A$6:$A$11,MIN(5,MATCH(MAX(Reference!$A$6,MIN(Reference!$A$11,MIN($U177,90))),Reference!$A$6:$A$11,1))+1)-INDEX(Reference!$A$6:$A$11,MIN(5,MATCH(MAX(Reference!$A$6,MIN(Reference!$A$11,MIN($U177,90))),Reference!$A$6:$A$11,1))))),0)+IF(2&lt;=$AL177,($AL177-2+3)*(INDEX(Reference!$B$6:$B$11,MIN(5,MATCH(MAX(Reference!$A$6,MIN(Reference!$A$11,MIN($U177,120))),Reference!$A$6:$A$11,1)))+(MAX(Reference!$A$6,MIN(Reference!$A$11,MIN($U177,120)))-INDEX(Reference!$A$6:$A$11,MIN(5,MATCH(MAX(Reference!$A$6,MIN(Reference!$A$11,MIN($U177,120))),Reference!$A$6:$A$11,1))))*(INDEX(Reference!$B$6:$B$11,MIN(5,MATCH(MAX(Reference!$A$6,MIN(Reference!$A$11,MIN($U177,120))),Reference!$A$6:$A$11,1))+1)-INDEX(Reference!$B$6:$B$11,MIN(5,MATCH(MAX(Reference!$A$6,MIN(Reference!$A$11,MIN($U177,120))),Reference!$A$6:$A$11,1))))/(INDEX(Reference!$A$6:$A$11,MIN(5,MATCH(MAX(Reference!$A$6,MIN(Reference!$A$11,MIN($U177,120))),Reference!$A$6:$A$11,1))+1)-INDEX(Reference!$A$6:$A$11,MIN(5,MATCH(MAX(Reference!$A$6,MIN(Reference!$A$11,MIN($U177,120))),Reference!$A$6:$A$11,1))))),0)+IF(3&lt;=$AL177,($AL177-3+3)*(INDEX(Reference!$B$6:$B$11,MIN(5,MATCH(MAX(Reference!$A$6,MIN(Reference!$A$11,MIN($U177,150))),Reference!$A$6:$A$11,1)))+(MAX(Reference!$A$6,MIN(Reference!$A$11,MIN($U177,150)))-INDEX(Reference!$A$6:$A$11,MIN(5,MATCH(MAX(Reference!$A$6,MIN(Reference!$A$11,MIN($U177,150))),Reference!$A$6:$A$11,1))))*(INDEX(Reference!$B$6:$B$11,MIN(5,MATCH(MAX(Reference!$A$6,MIN(Reference!$A$11,MIN($U177,150))),Reference!$A$6:$A$11,1))+1)-INDEX(Reference!$B$6:$B$11,MIN(5,MATCH(MAX(Reference!$A$6,MIN(Reference!$A$11,MIN($U177,150))),Reference!$A$6:$A$11,1))))/(INDEX(Reference!$A$6:$A$11,MIN(5,MATCH(MAX(Reference!$A$6,MIN(Reference!$A$11,MIN($U177,150))),Reference!$A$6:$A$11,1))+1)-INDEX(Reference!$A$6:$A$11,MIN(5,MATCH(MAX(Reference!$A$6,MIN(Reference!$A$11,MIN($U177,150))),Reference!$A$6:$A$11,1))))),0)+IF(4&lt;=$AL177,($AL177-4+3)*(INDEX(Reference!$B$6:$B$11,MIN(5,MATCH(MAX(Reference!$A$6,MIN(Reference!$A$11,MIN($U177,180))),Reference!$A$6:$A$11,1)))+(MAX(Reference!$A$6,MIN(Reference!$A$11,MIN($U177,180)))-INDEX(Reference!$A$6:$A$11,MIN(5,MATCH(MAX(Reference!$A$6,MIN(Reference!$A$11,MIN($U177,180))),Reference!$A$6:$A$11,1))))*(INDEX(Reference!$B$6:$B$11,MIN(5,MATCH(MAX(Reference!$A$6,MIN(Reference!$A$11,MIN($U177,180))),Reference!$A$6:$A$11,1))+1)-INDEX(Reference!$B$6:$B$11,MIN(5,MATCH(MAX(Reference!$A$6,MIN(Reference!$A$11,MIN($U177,180))),Reference!$A$6:$A$11,1))))/(INDEX(Reference!$A$6:$A$11,MIN(5,MATCH(MAX(Reference!$A$6,MIN(Reference!$A$11,MIN($U177,180))),Reference!$A$6:$A$11,1))+1)-INDEX(Reference!$A$6:$A$11,MIN(5,MATCH(MAX(Reference!$A$6,MIN(Reference!$A$11,MIN($U177,180))),Reference!$A$6:$A$11,1))))),0)+IF(5&lt;=$AL177,($AL177-5+3)*(INDEX(Reference!$B$6:$B$11,MIN(5,MATCH(MAX(Reference!$A$6,MIN(Reference!$A$11,MIN($U177,210))),Reference!$A$6:$A$11,1)))+(MAX(Reference!$A$6,MIN(Reference!$A$11,MIN($U177,210)))-INDEX(Reference!$A$6:$A$11,MIN(5,MATCH(MAX(Reference!$A$6,MIN(Reference!$A$11,MIN($U177,210))),Reference!$A$6:$A$11,1))))*(INDEX(Reference!$B$6:$B$11,MIN(5,MATCH(MAX(Reference!$A$6,MIN(Reference!$A$11,MIN($U177,210))),Reference!$A$6:$A$11,1))+1)-INDEX(Reference!$B$6:$B$11,MIN(5,MATCH(MAX(Reference!$A$6,MIN(Reference!$A$11,MIN($U177,210))),Reference!$A$6:$A$11,1))))/(INDEX(Reference!$A$6:$A$11,MIN(5,MATCH(MAX(Reference!$A$6,MIN(Reference!$A$11,MIN($U177,210))),Reference!$A$6:$A$11,1))+1)-INDEX(Reference!$A$6:$A$11,MIN(5,MATCH(MAX(Reference!$A$6,MIN(Reference!$A$11,MIN($U177,210))),Reference!$A$6:$A$11,1))))),0)+IF(6&lt;=$AL177,($AL177-6+3)*(INDEX(Reference!$B$6:$B$11,MIN(5,MATCH(MAX(Reference!$A$6,MIN(Reference!$A$11,MIN($U177,240))),Reference!$A$6:$A$11,1)))+(MAX(Reference!$A$6,MIN(Reference!$A$11,MIN($U177,240)))-INDEX(Reference!$A$6:$A$11,MIN(5,MATCH(MAX(Reference!$A$6,MIN(Reference!$A$11,MIN($U177,240))),Reference!$A$6:$A$11,1))))*(INDEX(Reference!$B$6:$B$11,MIN(5,MATCH(MAX(Reference!$A$6,MIN(Reference!$A$11,MIN($U177,240))),Reference!$A$6:$A$11,1))+1)-INDEX(Reference!$B$6:$B$11,MIN(5,MATCH(MAX(Reference!$A$6,MIN(Reference!$A$11,MIN($U177,240))),Reference!$A$6:$A$11,1))))/(INDEX(Reference!$A$6:$A$11,MIN(5,MATCH(MAX(Reference!$A$6,MIN(Reference!$A$11,MIN($U177,240))),Reference!$A$6:$A$11,1))+1)-INDEX(Reference!$A$6:$A$11,MIN(5,MATCH(MAX(Reference!$A$6,MIN(Reference!$A$11,MIN($U177,240))),Reference!$A$6:$A$11,1))))),0)+IF(7&lt;=$AL177,($AL177-7+3)*(INDEX(Reference!$B$6:$B$11,MIN(5,MATCH(MAX(Reference!$A$6,MIN(Reference!$A$11,MIN($U177,270))),Reference!$A$6:$A$11,1)))+(MAX(Reference!$A$6,MIN(Reference!$A$11,MIN($U177,270)))-INDEX(Reference!$A$6:$A$11,MIN(5,MATCH(MAX(Reference!$A$6,MIN(Reference!$A$11,MIN($U177,270))),Reference!$A$6:$A$11,1))))*(INDEX(Reference!$B$6:$B$11,MIN(5,MATCH(MAX(Reference!$A$6,MIN(Reference!$A$11,MIN($U177,270))),Reference!$A$6:$A$11,1))+1)-INDEX(Reference!$B$6:$B$11,MIN(5,MATCH(MAX(Reference!$A$6,MIN(Reference!$A$11,MIN($U177,270))),Reference!$A$6:$A$11,1))))/(INDEX(Reference!$A$6:$A$11,MIN(5,MATCH(MAX(Reference!$A$6,MIN(Reference!$A$11,MIN($U177,270))),Reference!$A$6:$A$11,1))+1)-INDEX(Reference!$A$6:$A$11,MIN(5,MATCH(MAX(Reference!$A$6,MIN(Reference!$A$11,MIN($U177,270))),Reference!$A$6:$A$11,1))))),0)+IF(8&lt;=$AL177,($AL177-8+3)*(INDEX(Reference!$B$6:$B$11,MIN(5,MATCH(MAX(Reference!$A$6,MIN(Reference!$A$11,MIN($U177,300))),Reference!$A$6:$A$11,1)))+(MAX(Reference!$A$6,MIN(Reference!$A$11,MIN($U177,300)))-INDEX(Reference!$A$6:$A$11,MIN(5,MATCH(MAX(Reference!$A$6,MIN(Reference!$A$11,MIN($U177,300))),Reference!$A$6:$A$11,1))))*(INDEX(Reference!$B$6:$B$11,MIN(5,MATCH(MAX(Reference!$A$6,MIN(Reference!$A$11,MIN($U177,300))),Reference!$A$6:$A$11,1))+1)-INDEX(Reference!$B$6:$B$11,MIN(5,MATCH(MAX(Reference!$A$6,MIN(Reference!$A$11,MIN($U177,300))),Reference!$A$6:$A$11,1))))/(INDEX(Reference!$A$6:$A$11,MIN(5,MATCH(MAX(Reference!$A$6,MIN(Reference!$A$11,MIN($U177,300))),Reference!$A$6:$A$11,1))+1)-INDEX(Reference!$A$6:$A$11,MIN(5,MATCH(MAX(Reference!$A$6,MIN(Reference!$A$11,MIN($U177,300))),Reference!$A$6:$A$11,1))))),0))/($AL177*($AL177+5)/2)),$AN177))</f>
        <v>0</v>
      </c>
      <c r="AN177" s="32">
        <f>IF($U177="",0,(INDEX(Reference!$B$6:$B$11,MIN(5,MATCH(MAX(Reference!$A$6,MIN(Reference!$A$11,$U177)),Reference!$A$6:$A$11,1)))+(MAX(Reference!$A$6,MIN(Reference!$A$11,$U177))-INDEX(Reference!$A$6:$A$11,MIN(5,MATCH(MAX(Reference!$A$6,MIN(Reference!$A$11,$U177)),Reference!$A$6:$A$11,1))))*(INDEX(Reference!$B$6:$B$11,MIN(5,MATCH(MAX(Reference!$A$6,MIN(Reference!$A$11,$U177)),Reference!$A$6:$A$11,1))+1)-INDEX(Reference!$B$6:$B$11,MIN(5,MATCH(MAX(Reference!$A$6,MIN(Reference!$A$11,$U177)),Reference!$A$6:$A$11,1))))/(INDEX(Reference!$A$6:$A$11,MIN(5,MATCH(MAX(Reference!$A$6,MIN(Reference!$A$11,$U177)),Reference!$A$6:$A$11,1))+1)-INDEX(Reference!$A$6:$A$11,MIN(5,MATCH(MAX(Reference!$A$6,MIN(Reference!$A$11,$U177)),Reference!$A$6:$A$11,1))))))</f>
        <v>0</v>
      </c>
      <c r="AO177" s="37"/>
      <c r="AP177" s="37"/>
      <c r="AQ177" s="37"/>
    </row>
    <row r="178" spans="1:43" x14ac:dyDescent="0.3">
      <c r="A178" s="48" t="str">
        <f t="shared" si="105"/>
        <v/>
      </c>
      <c r="B178" s="32" t="str">
        <f t="shared" si="106"/>
        <v/>
      </c>
      <c r="C178" s="32" t="str">
        <f t="shared" si="107"/>
        <v/>
      </c>
      <c r="D178" s="32" t="str">
        <f t="shared" si="108"/>
        <v/>
      </c>
      <c r="E178" s="32" t="str">
        <f t="shared" si="109"/>
        <v/>
      </c>
      <c r="F178" s="32" t="str">
        <f t="shared" si="110"/>
        <v/>
      </c>
      <c r="G178" s="47" t="str">
        <f t="shared" si="111"/>
        <v/>
      </c>
      <c r="H178" s="30" t="str">
        <f t="shared" si="112"/>
        <v/>
      </c>
      <c r="I178" s="46" t="str">
        <f>IF($A178="","",IF(AND($L178&lt;27,$K$12=0),"Building",IFERROR(((SUM($H$172:$H178)+$K$12*IF($L178&lt;6,SUMIFS('Throw Log'!$Q$5:$Q$300,'Throw Log'!$B$5:$B$300,$D$4,'Throw Log'!$A$5:$A$300,"&gt;="&amp;($D$6+$L178-6),'Throw Log'!$A$5:$A$300,"&lt;="&amp;($D$6-1)),0))/7)/((SUM($H$151:$H178)+$K$12*IF($L178&lt;27,SUMIFS('Throw Log'!$Q$5:$Q$300,'Throw Log'!$B$5:$B$300,$D$4,'Throw Log'!$A$5:$A$300,"&gt;="&amp;($D$6+$L178-27),'Throw Log'!$A$5:$A$300,"&lt;="&amp;($D$6-1)),0))/28),"")))</f>
        <v/>
      </c>
      <c r="J178" s="37"/>
      <c r="K178" s="37"/>
      <c r="L178" s="32">
        <v>135</v>
      </c>
      <c r="M178" s="32">
        <f t="shared" si="113"/>
        <v>20</v>
      </c>
      <c r="N178" s="32">
        <f t="shared" si="114"/>
        <v>2</v>
      </c>
      <c r="O178" s="32">
        <f t="shared" si="115"/>
        <v>1</v>
      </c>
      <c r="P178" s="32" t="str">
        <f>IF(OR($A178="",N($C178)&lt;=7),"",$G$6*$G$9^($M178-1)*IF(AND(MOD($M178,Reference!$B$99)=0,$M178&lt;=$G$5-2),Reference!$B$100,1))</f>
        <v/>
      </c>
      <c r="Q178" s="32" t="str">
        <f>IF($P178="","",IF(SUM($AK$176:$AK$182)=0,0,$P178*INDEX(Reference!$B$108:$B$114,$N178+1)/SUM($AK$176:$AK$182)))</f>
        <v/>
      </c>
      <c r="R178" s="32">
        <f t="shared" si="116"/>
        <v>180</v>
      </c>
      <c r="S178" s="32">
        <f t="shared" si="117"/>
        <v>150</v>
      </c>
      <c r="T178" s="32" t="str">
        <f>IF($A178="","",IF($C178=0,"Bullpen",IF(OR($C178=7,$C178=1,$C178=5),"Recovery/Easy Catch",IF($C178=6,"Compression/Pulldowns",IF(OR($C178=4,$C178=2),"Long Toss",IF($C178=3,"No Throw",IF($N178=2,"No Throw",IF($N178=6,IF($O178&lt;Reference!$B$104,"No Throw","Recovery/Easy Catch"),IF(OR($N178=0,$N178=4),"Recovery/Easy Catch",IF($N178=1,IF($R178&gt;75,"Long Toss","Recovery/Easy Catch"),IF($N178=3,IF($O178&lt;0.5,IF($S178&gt;75,"Long Toss","Recovery/Easy Catch"),"Compression/Pulldowns"),IF($S178&gt;75,"Long Toss","Recovery/Easy Catch"))))))))))))</f>
        <v/>
      </c>
      <c r="U178" s="32" t="str">
        <f t="shared" si="118"/>
        <v/>
      </c>
      <c r="V178" s="32" t="str">
        <f t="shared" si="119"/>
        <v/>
      </c>
      <c r="W178" s="32" t="str">
        <f t="shared" si="120"/>
        <v/>
      </c>
      <c r="X178" s="32">
        <f t="shared" si="121"/>
        <v>0</v>
      </c>
      <c r="Y178" s="32" t="str">
        <f t="shared" si="122"/>
        <v/>
      </c>
      <c r="Z178" s="32" t="str">
        <f t="shared" si="123"/>
        <v/>
      </c>
      <c r="AA178" s="32" t="str">
        <f t="shared" si="124"/>
        <v/>
      </c>
      <c r="AB178" s="32" t="str">
        <f>IF($A178="","",IF($T178="No Throw",0,IF($K178&lt;&gt;"",$K178,IF($AA178&lt;&gt;"",ROUND($AA178*$D$12*IF($C178=0,1,$G$10),0),MIN(IF($T178="Recovery/Easy Catch",Reference!$B$103,IF($T178="Long Toss",Reference!$B$106,Reference!$B$102)),MAX(Reference!$B$101,ROUND(MAX(0,$Q178-$AE178)/$AF178,0)))))))</f>
        <v/>
      </c>
      <c r="AC178" s="32">
        <f t="shared" si="125"/>
        <v>0</v>
      </c>
      <c r="AD178" s="32" t="b">
        <f t="shared" si="126"/>
        <v>1</v>
      </c>
      <c r="AE178" s="32">
        <f>IF($X178=0,0,$X178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178+$Z178)/2,0),Reference!$A$17:$B$20,2,TRUE()))</f>
        <v>0</v>
      </c>
      <c r="AF178" s="32">
        <f>IF(OR($A178="",$U178="",$T178="No Throw"),0,$AM178*VLOOKUP(MAX(($V178+$W178)/2,0),Reference!$A$17:$B$20,2,TRUE()))</f>
        <v>0</v>
      </c>
      <c r="AG178" s="32">
        <f>IF($AC178=0,0,$AC178*INDEX(Reference!$B$61:$B$62,MATCH("Bullpen",Reference!$A$61:$A$62,0))*VLOOKUP(MAX($D$5-($D$9+$E$9)/2,0),Reference!$A$17:$B$20,2,TRUE()))</f>
        <v>0</v>
      </c>
      <c r="AH178" s="32" t="e">
        <f t="shared" si="127"/>
        <v>#N/A</v>
      </c>
      <c r="AI178" s="32" t="e">
        <f>IF($A178="",NA(),Reference!$A$25)</f>
        <v>#N/A</v>
      </c>
      <c r="AJ178" s="32" t="e">
        <f t="shared" si="128"/>
        <v>#N/A</v>
      </c>
      <c r="AK178" s="32">
        <f>IF(OR($A178="",N($C178)&lt;=7,$T178="No Throw",$J178="x"),0,INDEX(Reference!$B$108:$B$114,$N178+1))</f>
        <v>0</v>
      </c>
      <c r="AL178" s="32">
        <f t="shared" si="129"/>
        <v>1</v>
      </c>
      <c r="AM178" s="32">
        <f>IF($U178="",0,IF($AL178&gt;1,((IF(1&lt;=$AL178,($AL178-1+3)*(INDEX(Reference!$B$6:$B$11,MIN(5,MATCH(MAX(Reference!$A$6,MIN(Reference!$A$11,MIN($U178,90))),Reference!$A$6:$A$11,1)))+(MAX(Reference!$A$6,MIN(Reference!$A$11,MIN($U178,90)))-INDEX(Reference!$A$6:$A$11,MIN(5,MATCH(MAX(Reference!$A$6,MIN(Reference!$A$11,MIN($U178,90))),Reference!$A$6:$A$11,1))))*(INDEX(Reference!$B$6:$B$11,MIN(5,MATCH(MAX(Reference!$A$6,MIN(Reference!$A$11,MIN($U178,90))),Reference!$A$6:$A$11,1))+1)-INDEX(Reference!$B$6:$B$11,MIN(5,MATCH(MAX(Reference!$A$6,MIN(Reference!$A$11,MIN($U178,90))),Reference!$A$6:$A$11,1))))/(INDEX(Reference!$A$6:$A$11,MIN(5,MATCH(MAX(Reference!$A$6,MIN(Reference!$A$11,MIN($U178,90))),Reference!$A$6:$A$11,1))+1)-INDEX(Reference!$A$6:$A$11,MIN(5,MATCH(MAX(Reference!$A$6,MIN(Reference!$A$11,MIN($U178,90))),Reference!$A$6:$A$11,1))))),0)+IF(2&lt;=$AL178,($AL178-2+3)*(INDEX(Reference!$B$6:$B$11,MIN(5,MATCH(MAX(Reference!$A$6,MIN(Reference!$A$11,MIN($U178,120))),Reference!$A$6:$A$11,1)))+(MAX(Reference!$A$6,MIN(Reference!$A$11,MIN($U178,120)))-INDEX(Reference!$A$6:$A$11,MIN(5,MATCH(MAX(Reference!$A$6,MIN(Reference!$A$11,MIN($U178,120))),Reference!$A$6:$A$11,1))))*(INDEX(Reference!$B$6:$B$11,MIN(5,MATCH(MAX(Reference!$A$6,MIN(Reference!$A$11,MIN($U178,120))),Reference!$A$6:$A$11,1))+1)-INDEX(Reference!$B$6:$B$11,MIN(5,MATCH(MAX(Reference!$A$6,MIN(Reference!$A$11,MIN($U178,120))),Reference!$A$6:$A$11,1))))/(INDEX(Reference!$A$6:$A$11,MIN(5,MATCH(MAX(Reference!$A$6,MIN(Reference!$A$11,MIN($U178,120))),Reference!$A$6:$A$11,1))+1)-INDEX(Reference!$A$6:$A$11,MIN(5,MATCH(MAX(Reference!$A$6,MIN(Reference!$A$11,MIN($U178,120))),Reference!$A$6:$A$11,1))))),0)+IF(3&lt;=$AL178,($AL178-3+3)*(INDEX(Reference!$B$6:$B$11,MIN(5,MATCH(MAX(Reference!$A$6,MIN(Reference!$A$11,MIN($U178,150))),Reference!$A$6:$A$11,1)))+(MAX(Reference!$A$6,MIN(Reference!$A$11,MIN($U178,150)))-INDEX(Reference!$A$6:$A$11,MIN(5,MATCH(MAX(Reference!$A$6,MIN(Reference!$A$11,MIN($U178,150))),Reference!$A$6:$A$11,1))))*(INDEX(Reference!$B$6:$B$11,MIN(5,MATCH(MAX(Reference!$A$6,MIN(Reference!$A$11,MIN($U178,150))),Reference!$A$6:$A$11,1))+1)-INDEX(Reference!$B$6:$B$11,MIN(5,MATCH(MAX(Reference!$A$6,MIN(Reference!$A$11,MIN($U178,150))),Reference!$A$6:$A$11,1))))/(INDEX(Reference!$A$6:$A$11,MIN(5,MATCH(MAX(Reference!$A$6,MIN(Reference!$A$11,MIN($U178,150))),Reference!$A$6:$A$11,1))+1)-INDEX(Reference!$A$6:$A$11,MIN(5,MATCH(MAX(Reference!$A$6,MIN(Reference!$A$11,MIN($U178,150))),Reference!$A$6:$A$11,1))))),0)+IF(4&lt;=$AL178,($AL178-4+3)*(INDEX(Reference!$B$6:$B$11,MIN(5,MATCH(MAX(Reference!$A$6,MIN(Reference!$A$11,MIN($U178,180))),Reference!$A$6:$A$11,1)))+(MAX(Reference!$A$6,MIN(Reference!$A$11,MIN($U178,180)))-INDEX(Reference!$A$6:$A$11,MIN(5,MATCH(MAX(Reference!$A$6,MIN(Reference!$A$11,MIN($U178,180))),Reference!$A$6:$A$11,1))))*(INDEX(Reference!$B$6:$B$11,MIN(5,MATCH(MAX(Reference!$A$6,MIN(Reference!$A$11,MIN($U178,180))),Reference!$A$6:$A$11,1))+1)-INDEX(Reference!$B$6:$B$11,MIN(5,MATCH(MAX(Reference!$A$6,MIN(Reference!$A$11,MIN($U178,180))),Reference!$A$6:$A$11,1))))/(INDEX(Reference!$A$6:$A$11,MIN(5,MATCH(MAX(Reference!$A$6,MIN(Reference!$A$11,MIN($U178,180))),Reference!$A$6:$A$11,1))+1)-INDEX(Reference!$A$6:$A$11,MIN(5,MATCH(MAX(Reference!$A$6,MIN(Reference!$A$11,MIN($U178,180))),Reference!$A$6:$A$11,1))))),0)+IF(5&lt;=$AL178,($AL178-5+3)*(INDEX(Reference!$B$6:$B$11,MIN(5,MATCH(MAX(Reference!$A$6,MIN(Reference!$A$11,MIN($U178,210))),Reference!$A$6:$A$11,1)))+(MAX(Reference!$A$6,MIN(Reference!$A$11,MIN($U178,210)))-INDEX(Reference!$A$6:$A$11,MIN(5,MATCH(MAX(Reference!$A$6,MIN(Reference!$A$11,MIN($U178,210))),Reference!$A$6:$A$11,1))))*(INDEX(Reference!$B$6:$B$11,MIN(5,MATCH(MAX(Reference!$A$6,MIN(Reference!$A$11,MIN($U178,210))),Reference!$A$6:$A$11,1))+1)-INDEX(Reference!$B$6:$B$11,MIN(5,MATCH(MAX(Reference!$A$6,MIN(Reference!$A$11,MIN($U178,210))),Reference!$A$6:$A$11,1))))/(INDEX(Reference!$A$6:$A$11,MIN(5,MATCH(MAX(Reference!$A$6,MIN(Reference!$A$11,MIN($U178,210))),Reference!$A$6:$A$11,1))+1)-INDEX(Reference!$A$6:$A$11,MIN(5,MATCH(MAX(Reference!$A$6,MIN(Reference!$A$11,MIN($U178,210))),Reference!$A$6:$A$11,1))))),0)+IF(6&lt;=$AL178,($AL178-6+3)*(INDEX(Reference!$B$6:$B$11,MIN(5,MATCH(MAX(Reference!$A$6,MIN(Reference!$A$11,MIN($U178,240))),Reference!$A$6:$A$11,1)))+(MAX(Reference!$A$6,MIN(Reference!$A$11,MIN($U178,240)))-INDEX(Reference!$A$6:$A$11,MIN(5,MATCH(MAX(Reference!$A$6,MIN(Reference!$A$11,MIN($U178,240))),Reference!$A$6:$A$11,1))))*(INDEX(Reference!$B$6:$B$11,MIN(5,MATCH(MAX(Reference!$A$6,MIN(Reference!$A$11,MIN($U178,240))),Reference!$A$6:$A$11,1))+1)-INDEX(Reference!$B$6:$B$11,MIN(5,MATCH(MAX(Reference!$A$6,MIN(Reference!$A$11,MIN($U178,240))),Reference!$A$6:$A$11,1))))/(INDEX(Reference!$A$6:$A$11,MIN(5,MATCH(MAX(Reference!$A$6,MIN(Reference!$A$11,MIN($U178,240))),Reference!$A$6:$A$11,1))+1)-INDEX(Reference!$A$6:$A$11,MIN(5,MATCH(MAX(Reference!$A$6,MIN(Reference!$A$11,MIN($U178,240))),Reference!$A$6:$A$11,1))))),0)+IF(7&lt;=$AL178,($AL178-7+3)*(INDEX(Reference!$B$6:$B$11,MIN(5,MATCH(MAX(Reference!$A$6,MIN(Reference!$A$11,MIN($U178,270))),Reference!$A$6:$A$11,1)))+(MAX(Reference!$A$6,MIN(Reference!$A$11,MIN($U178,270)))-INDEX(Reference!$A$6:$A$11,MIN(5,MATCH(MAX(Reference!$A$6,MIN(Reference!$A$11,MIN($U178,270))),Reference!$A$6:$A$11,1))))*(INDEX(Reference!$B$6:$B$11,MIN(5,MATCH(MAX(Reference!$A$6,MIN(Reference!$A$11,MIN($U178,270))),Reference!$A$6:$A$11,1))+1)-INDEX(Reference!$B$6:$B$11,MIN(5,MATCH(MAX(Reference!$A$6,MIN(Reference!$A$11,MIN($U178,270))),Reference!$A$6:$A$11,1))))/(INDEX(Reference!$A$6:$A$11,MIN(5,MATCH(MAX(Reference!$A$6,MIN(Reference!$A$11,MIN($U178,270))),Reference!$A$6:$A$11,1))+1)-INDEX(Reference!$A$6:$A$11,MIN(5,MATCH(MAX(Reference!$A$6,MIN(Reference!$A$11,MIN($U178,270))),Reference!$A$6:$A$11,1))))),0)+IF(8&lt;=$AL178,($AL178-8+3)*(INDEX(Reference!$B$6:$B$11,MIN(5,MATCH(MAX(Reference!$A$6,MIN(Reference!$A$11,MIN($U178,300))),Reference!$A$6:$A$11,1)))+(MAX(Reference!$A$6,MIN(Reference!$A$11,MIN($U178,300)))-INDEX(Reference!$A$6:$A$11,MIN(5,MATCH(MAX(Reference!$A$6,MIN(Reference!$A$11,MIN($U178,300))),Reference!$A$6:$A$11,1))))*(INDEX(Reference!$B$6:$B$11,MIN(5,MATCH(MAX(Reference!$A$6,MIN(Reference!$A$11,MIN($U178,300))),Reference!$A$6:$A$11,1))+1)-INDEX(Reference!$B$6:$B$11,MIN(5,MATCH(MAX(Reference!$A$6,MIN(Reference!$A$11,MIN($U178,300))),Reference!$A$6:$A$11,1))))/(INDEX(Reference!$A$6:$A$11,MIN(5,MATCH(MAX(Reference!$A$6,MIN(Reference!$A$11,MIN($U178,300))),Reference!$A$6:$A$11,1))+1)-INDEX(Reference!$A$6:$A$11,MIN(5,MATCH(MAX(Reference!$A$6,MIN(Reference!$A$11,MIN($U178,300))),Reference!$A$6:$A$11,1))))),0))/($AL178*($AL178+5)/2)),$AN178))</f>
        <v>0</v>
      </c>
      <c r="AN178" s="32">
        <f>IF($U178="",0,(INDEX(Reference!$B$6:$B$11,MIN(5,MATCH(MAX(Reference!$A$6,MIN(Reference!$A$11,$U178)),Reference!$A$6:$A$11,1)))+(MAX(Reference!$A$6,MIN(Reference!$A$11,$U178))-INDEX(Reference!$A$6:$A$11,MIN(5,MATCH(MAX(Reference!$A$6,MIN(Reference!$A$11,$U178)),Reference!$A$6:$A$11,1))))*(INDEX(Reference!$B$6:$B$11,MIN(5,MATCH(MAX(Reference!$A$6,MIN(Reference!$A$11,$U178)),Reference!$A$6:$A$11,1))+1)-INDEX(Reference!$B$6:$B$11,MIN(5,MATCH(MAX(Reference!$A$6,MIN(Reference!$A$11,$U178)),Reference!$A$6:$A$11,1))))/(INDEX(Reference!$A$6:$A$11,MIN(5,MATCH(MAX(Reference!$A$6,MIN(Reference!$A$11,$U178)),Reference!$A$6:$A$11,1))+1)-INDEX(Reference!$A$6:$A$11,MIN(5,MATCH(MAX(Reference!$A$6,MIN(Reference!$A$11,$U178)),Reference!$A$6:$A$11,1))))))</f>
        <v>0</v>
      </c>
      <c r="AO178" s="37"/>
      <c r="AP178" s="37"/>
      <c r="AQ178" s="37"/>
    </row>
    <row r="179" spans="1:43" x14ac:dyDescent="0.3">
      <c r="A179" s="48" t="str">
        <f t="shared" si="105"/>
        <v/>
      </c>
      <c r="B179" s="32" t="str">
        <f t="shared" si="106"/>
        <v/>
      </c>
      <c r="C179" s="32" t="str">
        <f t="shared" si="107"/>
        <v/>
      </c>
      <c r="D179" s="32" t="str">
        <f t="shared" si="108"/>
        <v/>
      </c>
      <c r="E179" s="32" t="str">
        <f t="shared" si="109"/>
        <v/>
      </c>
      <c r="F179" s="32" t="str">
        <f t="shared" si="110"/>
        <v/>
      </c>
      <c r="G179" s="47" t="str">
        <f t="shared" si="111"/>
        <v/>
      </c>
      <c r="H179" s="30" t="str">
        <f t="shared" si="112"/>
        <v/>
      </c>
      <c r="I179" s="46" t="str">
        <f>IF($A179="","",IF(AND($L179&lt;27,$K$12=0),"Building",IFERROR(((SUM($H$173:$H179)+$K$12*IF($L179&lt;6,SUMIFS('Throw Log'!$Q$5:$Q$300,'Throw Log'!$B$5:$B$300,$D$4,'Throw Log'!$A$5:$A$300,"&gt;="&amp;($D$6+$L179-6),'Throw Log'!$A$5:$A$300,"&lt;="&amp;($D$6-1)),0))/7)/((SUM($H$152:$H179)+$K$12*IF($L179&lt;27,SUMIFS('Throw Log'!$Q$5:$Q$300,'Throw Log'!$B$5:$B$300,$D$4,'Throw Log'!$A$5:$A$300,"&gt;="&amp;($D$6+$L179-27),'Throw Log'!$A$5:$A$300,"&lt;="&amp;($D$6-1)),0))/28),"")))</f>
        <v/>
      </c>
      <c r="J179" s="37"/>
      <c r="K179" s="37"/>
      <c r="L179" s="32">
        <v>136</v>
      </c>
      <c r="M179" s="32">
        <f t="shared" si="113"/>
        <v>20</v>
      </c>
      <c r="N179" s="32">
        <f t="shared" si="114"/>
        <v>3</v>
      </c>
      <c r="O179" s="32">
        <f t="shared" si="115"/>
        <v>1</v>
      </c>
      <c r="P179" s="32" t="str">
        <f>IF(OR($A179="",N($C179)&lt;=7),"",$G$6*$G$9^($M179-1)*IF(AND(MOD($M179,Reference!$B$99)=0,$M179&lt;=$G$5-2),Reference!$B$100,1))</f>
        <v/>
      </c>
      <c r="Q179" s="32" t="str">
        <f>IF($P179="","",IF(SUM($AK$176:$AK$182)=0,0,$P179*INDEX(Reference!$B$108:$B$114,$N179+1)/SUM($AK$176:$AK$182)))</f>
        <v/>
      </c>
      <c r="R179" s="32">
        <f t="shared" si="116"/>
        <v>180</v>
      </c>
      <c r="S179" s="32">
        <f t="shared" si="117"/>
        <v>150</v>
      </c>
      <c r="T179" s="32" t="str">
        <f>IF($A179="","",IF($C179=0,"Bullpen",IF(OR($C179=7,$C179=1,$C179=5),"Recovery/Easy Catch",IF($C179=6,"Compression/Pulldowns",IF(OR($C179=4,$C179=2),"Long Toss",IF($C179=3,"No Throw",IF($N179=2,"No Throw",IF($N179=6,IF($O179&lt;Reference!$B$104,"No Throw","Recovery/Easy Catch"),IF(OR($N179=0,$N179=4),"Recovery/Easy Catch",IF($N179=1,IF($R179&gt;75,"Long Toss","Recovery/Easy Catch"),IF($N179=3,IF($O179&lt;0.5,IF($S179&gt;75,"Long Toss","Recovery/Easy Catch"),"Compression/Pulldowns"),IF($S179&gt;75,"Long Toss","Recovery/Easy Catch"))))))))))))</f>
        <v/>
      </c>
      <c r="U179" s="32" t="str">
        <f t="shared" si="118"/>
        <v/>
      </c>
      <c r="V179" s="32" t="str">
        <f t="shared" si="119"/>
        <v/>
      </c>
      <c r="W179" s="32" t="str">
        <f t="shared" si="120"/>
        <v/>
      </c>
      <c r="X179" s="32">
        <f t="shared" si="121"/>
        <v>0</v>
      </c>
      <c r="Y179" s="32" t="str">
        <f t="shared" si="122"/>
        <v/>
      </c>
      <c r="Z179" s="32" t="str">
        <f t="shared" si="123"/>
        <v/>
      </c>
      <c r="AA179" s="32" t="str">
        <f t="shared" si="124"/>
        <v/>
      </c>
      <c r="AB179" s="32" t="str">
        <f>IF($A179="","",IF($T179="No Throw",0,IF($K179&lt;&gt;"",$K179,IF($AA179&lt;&gt;"",ROUND($AA179*$D$12*IF($C179=0,1,$G$10),0),MIN(IF($T179="Recovery/Easy Catch",Reference!$B$103,IF($T179="Long Toss",Reference!$B$106,Reference!$B$102)),MAX(Reference!$B$101,ROUND(MAX(0,$Q179-$AE179)/$AF179,0)))))))</f>
        <v/>
      </c>
      <c r="AC179" s="32">
        <f t="shared" si="125"/>
        <v>0</v>
      </c>
      <c r="AD179" s="32" t="b">
        <f t="shared" si="126"/>
        <v>1</v>
      </c>
      <c r="AE179" s="32">
        <f>IF($X179=0,0,$X179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179+$Z179)/2,0),Reference!$A$17:$B$20,2,TRUE()))</f>
        <v>0</v>
      </c>
      <c r="AF179" s="32">
        <f>IF(OR($A179="",$U179="",$T179="No Throw"),0,$AM179*VLOOKUP(MAX(($V179+$W179)/2,0),Reference!$A$17:$B$20,2,TRUE()))</f>
        <v>0</v>
      </c>
      <c r="AG179" s="32">
        <f>IF($AC179=0,0,$AC179*INDEX(Reference!$B$61:$B$62,MATCH("Bullpen",Reference!$A$61:$A$62,0))*VLOOKUP(MAX($D$5-($D$9+$E$9)/2,0),Reference!$A$17:$B$20,2,TRUE()))</f>
        <v>0</v>
      </c>
      <c r="AH179" s="32" t="e">
        <f t="shared" si="127"/>
        <v>#N/A</v>
      </c>
      <c r="AI179" s="32" t="e">
        <f>IF($A179="",NA(),Reference!$A$25)</f>
        <v>#N/A</v>
      </c>
      <c r="AJ179" s="32" t="e">
        <f t="shared" si="128"/>
        <v>#N/A</v>
      </c>
      <c r="AK179" s="32">
        <f>IF(OR($A179="",N($C179)&lt;=7,$T179="No Throw",$J179="x"),0,INDEX(Reference!$B$108:$B$114,$N179+1))</f>
        <v>0</v>
      </c>
      <c r="AL179" s="32">
        <f t="shared" si="129"/>
        <v>1</v>
      </c>
      <c r="AM179" s="32">
        <f>IF($U179="",0,IF($AL179&gt;1,((IF(1&lt;=$AL179,($AL179-1+3)*(INDEX(Reference!$B$6:$B$11,MIN(5,MATCH(MAX(Reference!$A$6,MIN(Reference!$A$11,MIN($U179,90))),Reference!$A$6:$A$11,1)))+(MAX(Reference!$A$6,MIN(Reference!$A$11,MIN($U179,90)))-INDEX(Reference!$A$6:$A$11,MIN(5,MATCH(MAX(Reference!$A$6,MIN(Reference!$A$11,MIN($U179,90))),Reference!$A$6:$A$11,1))))*(INDEX(Reference!$B$6:$B$11,MIN(5,MATCH(MAX(Reference!$A$6,MIN(Reference!$A$11,MIN($U179,90))),Reference!$A$6:$A$11,1))+1)-INDEX(Reference!$B$6:$B$11,MIN(5,MATCH(MAX(Reference!$A$6,MIN(Reference!$A$11,MIN($U179,90))),Reference!$A$6:$A$11,1))))/(INDEX(Reference!$A$6:$A$11,MIN(5,MATCH(MAX(Reference!$A$6,MIN(Reference!$A$11,MIN($U179,90))),Reference!$A$6:$A$11,1))+1)-INDEX(Reference!$A$6:$A$11,MIN(5,MATCH(MAX(Reference!$A$6,MIN(Reference!$A$11,MIN($U179,90))),Reference!$A$6:$A$11,1))))),0)+IF(2&lt;=$AL179,($AL179-2+3)*(INDEX(Reference!$B$6:$B$11,MIN(5,MATCH(MAX(Reference!$A$6,MIN(Reference!$A$11,MIN($U179,120))),Reference!$A$6:$A$11,1)))+(MAX(Reference!$A$6,MIN(Reference!$A$11,MIN($U179,120)))-INDEX(Reference!$A$6:$A$11,MIN(5,MATCH(MAX(Reference!$A$6,MIN(Reference!$A$11,MIN($U179,120))),Reference!$A$6:$A$11,1))))*(INDEX(Reference!$B$6:$B$11,MIN(5,MATCH(MAX(Reference!$A$6,MIN(Reference!$A$11,MIN($U179,120))),Reference!$A$6:$A$11,1))+1)-INDEX(Reference!$B$6:$B$11,MIN(5,MATCH(MAX(Reference!$A$6,MIN(Reference!$A$11,MIN($U179,120))),Reference!$A$6:$A$11,1))))/(INDEX(Reference!$A$6:$A$11,MIN(5,MATCH(MAX(Reference!$A$6,MIN(Reference!$A$11,MIN($U179,120))),Reference!$A$6:$A$11,1))+1)-INDEX(Reference!$A$6:$A$11,MIN(5,MATCH(MAX(Reference!$A$6,MIN(Reference!$A$11,MIN($U179,120))),Reference!$A$6:$A$11,1))))),0)+IF(3&lt;=$AL179,($AL179-3+3)*(INDEX(Reference!$B$6:$B$11,MIN(5,MATCH(MAX(Reference!$A$6,MIN(Reference!$A$11,MIN($U179,150))),Reference!$A$6:$A$11,1)))+(MAX(Reference!$A$6,MIN(Reference!$A$11,MIN($U179,150)))-INDEX(Reference!$A$6:$A$11,MIN(5,MATCH(MAX(Reference!$A$6,MIN(Reference!$A$11,MIN($U179,150))),Reference!$A$6:$A$11,1))))*(INDEX(Reference!$B$6:$B$11,MIN(5,MATCH(MAX(Reference!$A$6,MIN(Reference!$A$11,MIN($U179,150))),Reference!$A$6:$A$11,1))+1)-INDEX(Reference!$B$6:$B$11,MIN(5,MATCH(MAX(Reference!$A$6,MIN(Reference!$A$11,MIN($U179,150))),Reference!$A$6:$A$11,1))))/(INDEX(Reference!$A$6:$A$11,MIN(5,MATCH(MAX(Reference!$A$6,MIN(Reference!$A$11,MIN($U179,150))),Reference!$A$6:$A$11,1))+1)-INDEX(Reference!$A$6:$A$11,MIN(5,MATCH(MAX(Reference!$A$6,MIN(Reference!$A$11,MIN($U179,150))),Reference!$A$6:$A$11,1))))),0)+IF(4&lt;=$AL179,($AL179-4+3)*(INDEX(Reference!$B$6:$B$11,MIN(5,MATCH(MAX(Reference!$A$6,MIN(Reference!$A$11,MIN($U179,180))),Reference!$A$6:$A$11,1)))+(MAX(Reference!$A$6,MIN(Reference!$A$11,MIN($U179,180)))-INDEX(Reference!$A$6:$A$11,MIN(5,MATCH(MAX(Reference!$A$6,MIN(Reference!$A$11,MIN($U179,180))),Reference!$A$6:$A$11,1))))*(INDEX(Reference!$B$6:$B$11,MIN(5,MATCH(MAX(Reference!$A$6,MIN(Reference!$A$11,MIN($U179,180))),Reference!$A$6:$A$11,1))+1)-INDEX(Reference!$B$6:$B$11,MIN(5,MATCH(MAX(Reference!$A$6,MIN(Reference!$A$11,MIN($U179,180))),Reference!$A$6:$A$11,1))))/(INDEX(Reference!$A$6:$A$11,MIN(5,MATCH(MAX(Reference!$A$6,MIN(Reference!$A$11,MIN($U179,180))),Reference!$A$6:$A$11,1))+1)-INDEX(Reference!$A$6:$A$11,MIN(5,MATCH(MAX(Reference!$A$6,MIN(Reference!$A$11,MIN($U179,180))),Reference!$A$6:$A$11,1))))),0)+IF(5&lt;=$AL179,($AL179-5+3)*(INDEX(Reference!$B$6:$B$11,MIN(5,MATCH(MAX(Reference!$A$6,MIN(Reference!$A$11,MIN($U179,210))),Reference!$A$6:$A$11,1)))+(MAX(Reference!$A$6,MIN(Reference!$A$11,MIN($U179,210)))-INDEX(Reference!$A$6:$A$11,MIN(5,MATCH(MAX(Reference!$A$6,MIN(Reference!$A$11,MIN($U179,210))),Reference!$A$6:$A$11,1))))*(INDEX(Reference!$B$6:$B$11,MIN(5,MATCH(MAX(Reference!$A$6,MIN(Reference!$A$11,MIN($U179,210))),Reference!$A$6:$A$11,1))+1)-INDEX(Reference!$B$6:$B$11,MIN(5,MATCH(MAX(Reference!$A$6,MIN(Reference!$A$11,MIN($U179,210))),Reference!$A$6:$A$11,1))))/(INDEX(Reference!$A$6:$A$11,MIN(5,MATCH(MAX(Reference!$A$6,MIN(Reference!$A$11,MIN($U179,210))),Reference!$A$6:$A$11,1))+1)-INDEX(Reference!$A$6:$A$11,MIN(5,MATCH(MAX(Reference!$A$6,MIN(Reference!$A$11,MIN($U179,210))),Reference!$A$6:$A$11,1))))),0)+IF(6&lt;=$AL179,($AL179-6+3)*(INDEX(Reference!$B$6:$B$11,MIN(5,MATCH(MAX(Reference!$A$6,MIN(Reference!$A$11,MIN($U179,240))),Reference!$A$6:$A$11,1)))+(MAX(Reference!$A$6,MIN(Reference!$A$11,MIN($U179,240)))-INDEX(Reference!$A$6:$A$11,MIN(5,MATCH(MAX(Reference!$A$6,MIN(Reference!$A$11,MIN($U179,240))),Reference!$A$6:$A$11,1))))*(INDEX(Reference!$B$6:$B$11,MIN(5,MATCH(MAX(Reference!$A$6,MIN(Reference!$A$11,MIN($U179,240))),Reference!$A$6:$A$11,1))+1)-INDEX(Reference!$B$6:$B$11,MIN(5,MATCH(MAX(Reference!$A$6,MIN(Reference!$A$11,MIN($U179,240))),Reference!$A$6:$A$11,1))))/(INDEX(Reference!$A$6:$A$11,MIN(5,MATCH(MAX(Reference!$A$6,MIN(Reference!$A$11,MIN($U179,240))),Reference!$A$6:$A$11,1))+1)-INDEX(Reference!$A$6:$A$11,MIN(5,MATCH(MAX(Reference!$A$6,MIN(Reference!$A$11,MIN($U179,240))),Reference!$A$6:$A$11,1))))),0)+IF(7&lt;=$AL179,($AL179-7+3)*(INDEX(Reference!$B$6:$B$11,MIN(5,MATCH(MAX(Reference!$A$6,MIN(Reference!$A$11,MIN($U179,270))),Reference!$A$6:$A$11,1)))+(MAX(Reference!$A$6,MIN(Reference!$A$11,MIN($U179,270)))-INDEX(Reference!$A$6:$A$11,MIN(5,MATCH(MAX(Reference!$A$6,MIN(Reference!$A$11,MIN($U179,270))),Reference!$A$6:$A$11,1))))*(INDEX(Reference!$B$6:$B$11,MIN(5,MATCH(MAX(Reference!$A$6,MIN(Reference!$A$11,MIN($U179,270))),Reference!$A$6:$A$11,1))+1)-INDEX(Reference!$B$6:$B$11,MIN(5,MATCH(MAX(Reference!$A$6,MIN(Reference!$A$11,MIN($U179,270))),Reference!$A$6:$A$11,1))))/(INDEX(Reference!$A$6:$A$11,MIN(5,MATCH(MAX(Reference!$A$6,MIN(Reference!$A$11,MIN($U179,270))),Reference!$A$6:$A$11,1))+1)-INDEX(Reference!$A$6:$A$11,MIN(5,MATCH(MAX(Reference!$A$6,MIN(Reference!$A$11,MIN($U179,270))),Reference!$A$6:$A$11,1))))),0)+IF(8&lt;=$AL179,($AL179-8+3)*(INDEX(Reference!$B$6:$B$11,MIN(5,MATCH(MAX(Reference!$A$6,MIN(Reference!$A$11,MIN($U179,300))),Reference!$A$6:$A$11,1)))+(MAX(Reference!$A$6,MIN(Reference!$A$11,MIN($U179,300)))-INDEX(Reference!$A$6:$A$11,MIN(5,MATCH(MAX(Reference!$A$6,MIN(Reference!$A$11,MIN($U179,300))),Reference!$A$6:$A$11,1))))*(INDEX(Reference!$B$6:$B$11,MIN(5,MATCH(MAX(Reference!$A$6,MIN(Reference!$A$11,MIN($U179,300))),Reference!$A$6:$A$11,1))+1)-INDEX(Reference!$B$6:$B$11,MIN(5,MATCH(MAX(Reference!$A$6,MIN(Reference!$A$11,MIN($U179,300))),Reference!$A$6:$A$11,1))))/(INDEX(Reference!$A$6:$A$11,MIN(5,MATCH(MAX(Reference!$A$6,MIN(Reference!$A$11,MIN($U179,300))),Reference!$A$6:$A$11,1))+1)-INDEX(Reference!$A$6:$A$11,MIN(5,MATCH(MAX(Reference!$A$6,MIN(Reference!$A$11,MIN($U179,300))),Reference!$A$6:$A$11,1))))),0))/($AL179*($AL179+5)/2)),$AN179))</f>
        <v>0</v>
      </c>
      <c r="AN179" s="32">
        <f>IF($U179="",0,(INDEX(Reference!$B$6:$B$11,MIN(5,MATCH(MAX(Reference!$A$6,MIN(Reference!$A$11,$U179)),Reference!$A$6:$A$11,1)))+(MAX(Reference!$A$6,MIN(Reference!$A$11,$U179))-INDEX(Reference!$A$6:$A$11,MIN(5,MATCH(MAX(Reference!$A$6,MIN(Reference!$A$11,$U179)),Reference!$A$6:$A$11,1))))*(INDEX(Reference!$B$6:$B$11,MIN(5,MATCH(MAX(Reference!$A$6,MIN(Reference!$A$11,$U179)),Reference!$A$6:$A$11,1))+1)-INDEX(Reference!$B$6:$B$11,MIN(5,MATCH(MAX(Reference!$A$6,MIN(Reference!$A$11,$U179)),Reference!$A$6:$A$11,1))))/(INDEX(Reference!$A$6:$A$11,MIN(5,MATCH(MAX(Reference!$A$6,MIN(Reference!$A$11,$U179)),Reference!$A$6:$A$11,1))+1)-INDEX(Reference!$A$6:$A$11,MIN(5,MATCH(MAX(Reference!$A$6,MIN(Reference!$A$11,$U179)),Reference!$A$6:$A$11,1))))))</f>
        <v>0</v>
      </c>
      <c r="AO179" s="37"/>
      <c r="AP179" s="37"/>
      <c r="AQ179" s="37"/>
    </row>
    <row r="180" spans="1:43" x14ac:dyDescent="0.3">
      <c r="A180" s="48" t="str">
        <f t="shared" si="105"/>
        <v/>
      </c>
      <c r="B180" s="32" t="str">
        <f t="shared" si="106"/>
        <v/>
      </c>
      <c r="C180" s="32" t="str">
        <f t="shared" si="107"/>
        <v/>
      </c>
      <c r="D180" s="32" t="str">
        <f t="shared" si="108"/>
        <v/>
      </c>
      <c r="E180" s="32" t="str">
        <f t="shared" si="109"/>
        <v/>
      </c>
      <c r="F180" s="32" t="str">
        <f t="shared" si="110"/>
        <v/>
      </c>
      <c r="G180" s="47" t="str">
        <f t="shared" si="111"/>
        <v/>
      </c>
      <c r="H180" s="30" t="str">
        <f t="shared" si="112"/>
        <v/>
      </c>
      <c r="I180" s="46" t="str">
        <f>IF($A180="","",IF(AND($L180&lt;27,$K$12=0),"Building",IFERROR(((SUM($H$174:$H180)+$K$12*IF($L180&lt;6,SUMIFS('Throw Log'!$Q$5:$Q$300,'Throw Log'!$B$5:$B$300,$D$4,'Throw Log'!$A$5:$A$300,"&gt;="&amp;($D$6+$L180-6),'Throw Log'!$A$5:$A$300,"&lt;="&amp;($D$6-1)),0))/7)/((SUM($H$153:$H180)+$K$12*IF($L180&lt;27,SUMIFS('Throw Log'!$Q$5:$Q$300,'Throw Log'!$B$5:$B$300,$D$4,'Throw Log'!$A$5:$A$300,"&gt;="&amp;($D$6+$L180-27),'Throw Log'!$A$5:$A$300,"&lt;="&amp;($D$6-1)),0))/28),"")))</f>
        <v/>
      </c>
      <c r="J180" s="37"/>
      <c r="K180" s="37"/>
      <c r="L180" s="32">
        <v>137</v>
      </c>
      <c r="M180" s="32">
        <f t="shared" si="113"/>
        <v>20</v>
      </c>
      <c r="N180" s="32">
        <f t="shared" si="114"/>
        <v>4</v>
      </c>
      <c r="O180" s="32">
        <f t="shared" si="115"/>
        <v>1</v>
      </c>
      <c r="P180" s="32" t="str">
        <f>IF(OR($A180="",N($C180)&lt;=7),"",$G$6*$G$9^($M180-1)*IF(AND(MOD($M180,Reference!$B$99)=0,$M180&lt;=$G$5-2),Reference!$B$100,1))</f>
        <v/>
      </c>
      <c r="Q180" s="32" t="str">
        <f>IF($P180="","",IF(SUM($AK$176:$AK$182)=0,0,$P180*INDEX(Reference!$B$108:$B$114,$N180+1)/SUM($AK$176:$AK$182)))</f>
        <v/>
      </c>
      <c r="R180" s="32">
        <f t="shared" si="116"/>
        <v>180</v>
      </c>
      <c r="S180" s="32">
        <f t="shared" si="117"/>
        <v>150</v>
      </c>
      <c r="T180" s="32" t="str">
        <f>IF($A180="","",IF($C180=0,"Bullpen",IF(OR($C180=7,$C180=1,$C180=5),"Recovery/Easy Catch",IF($C180=6,"Compression/Pulldowns",IF(OR($C180=4,$C180=2),"Long Toss",IF($C180=3,"No Throw",IF($N180=2,"No Throw",IF($N180=6,IF($O180&lt;Reference!$B$104,"No Throw","Recovery/Easy Catch"),IF(OR($N180=0,$N180=4),"Recovery/Easy Catch",IF($N180=1,IF($R180&gt;75,"Long Toss","Recovery/Easy Catch"),IF($N180=3,IF($O180&lt;0.5,IF($S180&gt;75,"Long Toss","Recovery/Easy Catch"),"Compression/Pulldowns"),IF($S180&gt;75,"Long Toss","Recovery/Easy Catch"))))))))))))</f>
        <v/>
      </c>
      <c r="U180" s="32" t="str">
        <f t="shared" si="118"/>
        <v/>
      </c>
      <c r="V180" s="32" t="str">
        <f t="shared" si="119"/>
        <v/>
      </c>
      <c r="W180" s="32" t="str">
        <f t="shared" si="120"/>
        <v/>
      </c>
      <c r="X180" s="32">
        <f t="shared" si="121"/>
        <v>0</v>
      </c>
      <c r="Y180" s="32" t="str">
        <f t="shared" si="122"/>
        <v/>
      </c>
      <c r="Z180" s="32" t="str">
        <f t="shared" si="123"/>
        <v/>
      </c>
      <c r="AA180" s="32" t="str">
        <f t="shared" si="124"/>
        <v/>
      </c>
      <c r="AB180" s="32" t="str">
        <f>IF($A180="","",IF($T180="No Throw",0,IF($K180&lt;&gt;"",$K180,IF($AA180&lt;&gt;"",ROUND($AA180*$D$12*IF($C180=0,1,$G$10),0),MIN(IF($T180="Recovery/Easy Catch",Reference!$B$103,IF($T180="Long Toss",Reference!$B$106,Reference!$B$102)),MAX(Reference!$B$101,ROUND(MAX(0,$Q180-$AE180)/$AF180,0)))))))</f>
        <v/>
      </c>
      <c r="AC180" s="32">
        <f t="shared" si="125"/>
        <v>0</v>
      </c>
      <c r="AD180" s="32" t="b">
        <f t="shared" si="126"/>
        <v>1</v>
      </c>
      <c r="AE180" s="32">
        <f>IF($X180=0,0,$X180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180+$Z180)/2,0),Reference!$A$17:$B$20,2,TRUE()))</f>
        <v>0</v>
      </c>
      <c r="AF180" s="32">
        <f>IF(OR($A180="",$U180="",$T180="No Throw"),0,$AM180*VLOOKUP(MAX(($V180+$W180)/2,0),Reference!$A$17:$B$20,2,TRUE()))</f>
        <v>0</v>
      </c>
      <c r="AG180" s="32">
        <f>IF($AC180=0,0,$AC180*INDEX(Reference!$B$61:$B$62,MATCH("Bullpen",Reference!$A$61:$A$62,0))*VLOOKUP(MAX($D$5-($D$9+$E$9)/2,0),Reference!$A$17:$B$20,2,TRUE()))</f>
        <v>0</v>
      </c>
      <c r="AH180" s="32" t="e">
        <f t="shared" si="127"/>
        <v>#N/A</v>
      </c>
      <c r="AI180" s="32" t="e">
        <f>IF($A180="",NA(),Reference!$A$25)</f>
        <v>#N/A</v>
      </c>
      <c r="AJ180" s="32" t="e">
        <f t="shared" si="128"/>
        <v>#N/A</v>
      </c>
      <c r="AK180" s="32">
        <f>IF(OR($A180="",N($C180)&lt;=7,$T180="No Throw",$J180="x"),0,INDEX(Reference!$B$108:$B$114,$N180+1))</f>
        <v>0</v>
      </c>
      <c r="AL180" s="32">
        <f t="shared" si="129"/>
        <v>1</v>
      </c>
      <c r="AM180" s="32">
        <f>IF($U180="",0,IF($AL180&gt;1,((IF(1&lt;=$AL180,($AL180-1+3)*(INDEX(Reference!$B$6:$B$11,MIN(5,MATCH(MAX(Reference!$A$6,MIN(Reference!$A$11,MIN($U180,90))),Reference!$A$6:$A$11,1)))+(MAX(Reference!$A$6,MIN(Reference!$A$11,MIN($U180,90)))-INDEX(Reference!$A$6:$A$11,MIN(5,MATCH(MAX(Reference!$A$6,MIN(Reference!$A$11,MIN($U180,90))),Reference!$A$6:$A$11,1))))*(INDEX(Reference!$B$6:$B$11,MIN(5,MATCH(MAX(Reference!$A$6,MIN(Reference!$A$11,MIN($U180,90))),Reference!$A$6:$A$11,1))+1)-INDEX(Reference!$B$6:$B$11,MIN(5,MATCH(MAX(Reference!$A$6,MIN(Reference!$A$11,MIN($U180,90))),Reference!$A$6:$A$11,1))))/(INDEX(Reference!$A$6:$A$11,MIN(5,MATCH(MAX(Reference!$A$6,MIN(Reference!$A$11,MIN($U180,90))),Reference!$A$6:$A$11,1))+1)-INDEX(Reference!$A$6:$A$11,MIN(5,MATCH(MAX(Reference!$A$6,MIN(Reference!$A$11,MIN($U180,90))),Reference!$A$6:$A$11,1))))),0)+IF(2&lt;=$AL180,($AL180-2+3)*(INDEX(Reference!$B$6:$B$11,MIN(5,MATCH(MAX(Reference!$A$6,MIN(Reference!$A$11,MIN($U180,120))),Reference!$A$6:$A$11,1)))+(MAX(Reference!$A$6,MIN(Reference!$A$11,MIN($U180,120)))-INDEX(Reference!$A$6:$A$11,MIN(5,MATCH(MAX(Reference!$A$6,MIN(Reference!$A$11,MIN($U180,120))),Reference!$A$6:$A$11,1))))*(INDEX(Reference!$B$6:$B$11,MIN(5,MATCH(MAX(Reference!$A$6,MIN(Reference!$A$11,MIN($U180,120))),Reference!$A$6:$A$11,1))+1)-INDEX(Reference!$B$6:$B$11,MIN(5,MATCH(MAX(Reference!$A$6,MIN(Reference!$A$11,MIN($U180,120))),Reference!$A$6:$A$11,1))))/(INDEX(Reference!$A$6:$A$11,MIN(5,MATCH(MAX(Reference!$A$6,MIN(Reference!$A$11,MIN($U180,120))),Reference!$A$6:$A$11,1))+1)-INDEX(Reference!$A$6:$A$11,MIN(5,MATCH(MAX(Reference!$A$6,MIN(Reference!$A$11,MIN($U180,120))),Reference!$A$6:$A$11,1))))),0)+IF(3&lt;=$AL180,($AL180-3+3)*(INDEX(Reference!$B$6:$B$11,MIN(5,MATCH(MAX(Reference!$A$6,MIN(Reference!$A$11,MIN($U180,150))),Reference!$A$6:$A$11,1)))+(MAX(Reference!$A$6,MIN(Reference!$A$11,MIN($U180,150)))-INDEX(Reference!$A$6:$A$11,MIN(5,MATCH(MAX(Reference!$A$6,MIN(Reference!$A$11,MIN($U180,150))),Reference!$A$6:$A$11,1))))*(INDEX(Reference!$B$6:$B$11,MIN(5,MATCH(MAX(Reference!$A$6,MIN(Reference!$A$11,MIN($U180,150))),Reference!$A$6:$A$11,1))+1)-INDEX(Reference!$B$6:$B$11,MIN(5,MATCH(MAX(Reference!$A$6,MIN(Reference!$A$11,MIN($U180,150))),Reference!$A$6:$A$11,1))))/(INDEX(Reference!$A$6:$A$11,MIN(5,MATCH(MAX(Reference!$A$6,MIN(Reference!$A$11,MIN($U180,150))),Reference!$A$6:$A$11,1))+1)-INDEX(Reference!$A$6:$A$11,MIN(5,MATCH(MAX(Reference!$A$6,MIN(Reference!$A$11,MIN($U180,150))),Reference!$A$6:$A$11,1))))),0)+IF(4&lt;=$AL180,($AL180-4+3)*(INDEX(Reference!$B$6:$B$11,MIN(5,MATCH(MAX(Reference!$A$6,MIN(Reference!$A$11,MIN($U180,180))),Reference!$A$6:$A$11,1)))+(MAX(Reference!$A$6,MIN(Reference!$A$11,MIN($U180,180)))-INDEX(Reference!$A$6:$A$11,MIN(5,MATCH(MAX(Reference!$A$6,MIN(Reference!$A$11,MIN($U180,180))),Reference!$A$6:$A$11,1))))*(INDEX(Reference!$B$6:$B$11,MIN(5,MATCH(MAX(Reference!$A$6,MIN(Reference!$A$11,MIN($U180,180))),Reference!$A$6:$A$11,1))+1)-INDEX(Reference!$B$6:$B$11,MIN(5,MATCH(MAX(Reference!$A$6,MIN(Reference!$A$11,MIN($U180,180))),Reference!$A$6:$A$11,1))))/(INDEX(Reference!$A$6:$A$11,MIN(5,MATCH(MAX(Reference!$A$6,MIN(Reference!$A$11,MIN($U180,180))),Reference!$A$6:$A$11,1))+1)-INDEX(Reference!$A$6:$A$11,MIN(5,MATCH(MAX(Reference!$A$6,MIN(Reference!$A$11,MIN($U180,180))),Reference!$A$6:$A$11,1))))),0)+IF(5&lt;=$AL180,($AL180-5+3)*(INDEX(Reference!$B$6:$B$11,MIN(5,MATCH(MAX(Reference!$A$6,MIN(Reference!$A$11,MIN($U180,210))),Reference!$A$6:$A$11,1)))+(MAX(Reference!$A$6,MIN(Reference!$A$11,MIN($U180,210)))-INDEX(Reference!$A$6:$A$11,MIN(5,MATCH(MAX(Reference!$A$6,MIN(Reference!$A$11,MIN($U180,210))),Reference!$A$6:$A$11,1))))*(INDEX(Reference!$B$6:$B$11,MIN(5,MATCH(MAX(Reference!$A$6,MIN(Reference!$A$11,MIN($U180,210))),Reference!$A$6:$A$11,1))+1)-INDEX(Reference!$B$6:$B$11,MIN(5,MATCH(MAX(Reference!$A$6,MIN(Reference!$A$11,MIN($U180,210))),Reference!$A$6:$A$11,1))))/(INDEX(Reference!$A$6:$A$11,MIN(5,MATCH(MAX(Reference!$A$6,MIN(Reference!$A$11,MIN($U180,210))),Reference!$A$6:$A$11,1))+1)-INDEX(Reference!$A$6:$A$11,MIN(5,MATCH(MAX(Reference!$A$6,MIN(Reference!$A$11,MIN($U180,210))),Reference!$A$6:$A$11,1))))),0)+IF(6&lt;=$AL180,($AL180-6+3)*(INDEX(Reference!$B$6:$B$11,MIN(5,MATCH(MAX(Reference!$A$6,MIN(Reference!$A$11,MIN($U180,240))),Reference!$A$6:$A$11,1)))+(MAX(Reference!$A$6,MIN(Reference!$A$11,MIN($U180,240)))-INDEX(Reference!$A$6:$A$11,MIN(5,MATCH(MAX(Reference!$A$6,MIN(Reference!$A$11,MIN($U180,240))),Reference!$A$6:$A$11,1))))*(INDEX(Reference!$B$6:$B$11,MIN(5,MATCH(MAX(Reference!$A$6,MIN(Reference!$A$11,MIN($U180,240))),Reference!$A$6:$A$11,1))+1)-INDEX(Reference!$B$6:$B$11,MIN(5,MATCH(MAX(Reference!$A$6,MIN(Reference!$A$11,MIN($U180,240))),Reference!$A$6:$A$11,1))))/(INDEX(Reference!$A$6:$A$11,MIN(5,MATCH(MAX(Reference!$A$6,MIN(Reference!$A$11,MIN($U180,240))),Reference!$A$6:$A$11,1))+1)-INDEX(Reference!$A$6:$A$11,MIN(5,MATCH(MAX(Reference!$A$6,MIN(Reference!$A$11,MIN($U180,240))),Reference!$A$6:$A$11,1))))),0)+IF(7&lt;=$AL180,($AL180-7+3)*(INDEX(Reference!$B$6:$B$11,MIN(5,MATCH(MAX(Reference!$A$6,MIN(Reference!$A$11,MIN($U180,270))),Reference!$A$6:$A$11,1)))+(MAX(Reference!$A$6,MIN(Reference!$A$11,MIN($U180,270)))-INDEX(Reference!$A$6:$A$11,MIN(5,MATCH(MAX(Reference!$A$6,MIN(Reference!$A$11,MIN($U180,270))),Reference!$A$6:$A$11,1))))*(INDEX(Reference!$B$6:$B$11,MIN(5,MATCH(MAX(Reference!$A$6,MIN(Reference!$A$11,MIN($U180,270))),Reference!$A$6:$A$11,1))+1)-INDEX(Reference!$B$6:$B$11,MIN(5,MATCH(MAX(Reference!$A$6,MIN(Reference!$A$11,MIN($U180,270))),Reference!$A$6:$A$11,1))))/(INDEX(Reference!$A$6:$A$11,MIN(5,MATCH(MAX(Reference!$A$6,MIN(Reference!$A$11,MIN($U180,270))),Reference!$A$6:$A$11,1))+1)-INDEX(Reference!$A$6:$A$11,MIN(5,MATCH(MAX(Reference!$A$6,MIN(Reference!$A$11,MIN($U180,270))),Reference!$A$6:$A$11,1))))),0)+IF(8&lt;=$AL180,($AL180-8+3)*(INDEX(Reference!$B$6:$B$11,MIN(5,MATCH(MAX(Reference!$A$6,MIN(Reference!$A$11,MIN($U180,300))),Reference!$A$6:$A$11,1)))+(MAX(Reference!$A$6,MIN(Reference!$A$11,MIN($U180,300)))-INDEX(Reference!$A$6:$A$11,MIN(5,MATCH(MAX(Reference!$A$6,MIN(Reference!$A$11,MIN($U180,300))),Reference!$A$6:$A$11,1))))*(INDEX(Reference!$B$6:$B$11,MIN(5,MATCH(MAX(Reference!$A$6,MIN(Reference!$A$11,MIN($U180,300))),Reference!$A$6:$A$11,1))+1)-INDEX(Reference!$B$6:$B$11,MIN(5,MATCH(MAX(Reference!$A$6,MIN(Reference!$A$11,MIN($U180,300))),Reference!$A$6:$A$11,1))))/(INDEX(Reference!$A$6:$A$11,MIN(5,MATCH(MAX(Reference!$A$6,MIN(Reference!$A$11,MIN($U180,300))),Reference!$A$6:$A$11,1))+1)-INDEX(Reference!$A$6:$A$11,MIN(5,MATCH(MAX(Reference!$A$6,MIN(Reference!$A$11,MIN($U180,300))),Reference!$A$6:$A$11,1))))),0))/($AL180*($AL180+5)/2)),$AN180))</f>
        <v>0</v>
      </c>
      <c r="AN180" s="32">
        <f>IF($U180="",0,(INDEX(Reference!$B$6:$B$11,MIN(5,MATCH(MAX(Reference!$A$6,MIN(Reference!$A$11,$U180)),Reference!$A$6:$A$11,1)))+(MAX(Reference!$A$6,MIN(Reference!$A$11,$U180))-INDEX(Reference!$A$6:$A$11,MIN(5,MATCH(MAX(Reference!$A$6,MIN(Reference!$A$11,$U180)),Reference!$A$6:$A$11,1))))*(INDEX(Reference!$B$6:$B$11,MIN(5,MATCH(MAX(Reference!$A$6,MIN(Reference!$A$11,$U180)),Reference!$A$6:$A$11,1))+1)-INDEX(Reference!$B$6:$B$11,MIN(5,MATCH(MAX(Reference!$A$6,MIN(Reference!$A$11,$U180)),Reference!$A$6:$A$11,1))))/(INDEX(Reference!$A$6:$A$11,MIN(5,MATCH(MAX(Reference!$A$6,MIN(Reference!$A$11,$U180)),Reference!$A$6:$A$11,1))+1)-INDEX(Reference!$A$6:$A$11,MIN(5,MATCH(MAX(Reference!$A$6,MIN(Reference!$A$11,$U180)),Reference!$A$6:$A$11,1))))))</f>
        <v>0</v>
      </c>
      <c r="AO180" s="37"/>
      <c r="AP180" s="37"/>
      <c r="AQ180" s="37"/>
    </row>
    <row r="181" spans="1:43" x14ac:dyDescent="0.3">
      <c r="A181" s="48" t="str">
        <f t="shared" si="105"/>
        <v/>
      </c>
      <c r="B181" s="32" t="str">
        <f t="shared" si="106"/>
        <v/>
      </c>
      <c r="C181" s="32" t="str">
        <f t="shared" si="107"/>
        <v/>
      </c>
      <c r="D181" s="32" t="str">
        <f t="shared" si="108"/>
        <v/>
      </c>
      <c r="E181" s="32" t="str">
        <f t="shared" si="109"/>
        <v/>
      </c>
      <c r="F181" s="32" t="str">
        <f t="shared" si="110"/>
        <v/>
      </c>
      <c r="G181" s="47" t="str">
        <f t="shared" si="111"/>
        <v/>
      </c>
      <c r="H181" s="30" t="str">
        <f t="shared" si="112"/>
        <v/>
      </c>
      <c r="I181" s="46" t="str">
        <f>IF($A181="","",IF(AND($L181&lt;27,$K$12=0),"Building",IFERROR(((SUM($H$175:$H181)+$K$12*IF($L181&lt;6,SUMIFS('Throw Log'!$Q$5:$Q$300,'Throw Log'!$B$5:$B$300,$D$4,'Throw Log'!$A$5:$A$300,"&gt;="&amp;($D$6+$L181-6),'Throw Log'!$A$5:$A$300,"&lt;="&amp;($D$6-1)),0))/7)/((SUM($H$154:$H181)+$K$12*IF($L181&lt;27,SUMIFS('Throw Log'!$Q$5:$Q$300,'Throw Log'!$B$5:$B$300,$D$4,'Throw Log'!$A$5:$A$300,"&gt;="&amp;($D$6+$L181-27),'Throw Log'!$A$5:$A$300,"&lt;="&amp;($D$6-1)),0))/28),"")))</f>
        <v/>
      </c>
      <c r="J181" s="37"/>
      <c r="K181" s="37"/>
      <c r="L181" s="32">
        <v>138</v>
      </c>
      <c r="M181" s="32">
        <f t="shared" si="113"/>
        <v>20</v>
      </c>
      <c r="N181" s="32">
        <f t="shared" si="114"/>
        <v>5</v>
      </c>
      <c r="O181" s="32">
        <f t="shared" si="115"/>
        <v>1</v>
      </c>
      <c r="P181" s="32" t="str">
        <f>IF(OR($A181="",N($C181)&lt;=7),"",$G$6*$G$9^($M181-1)*IF(AND(MOD($M181,Reference!$B$99)=0,$M181&lt;=$G$5-2),Reference!$B$100,1))</f>
        <v/>
      </c>
      <c r="Q181" s="32" t="str">
        <f>IF($P181="","",IF(SUM($AK$176:$AK$182)=0,0,$P181*INDEX(Reference!$B$108:$B$114,$N181+1)/SUM($AK$176:$AK$182)))</f>
        <v/>
      </c>
      <c r="R181" s="32">
        <f t="shared" si="116"/>
        <v>180</v>
      </c>
      <c r="S181" s="32">
        <f t="shared" si="117"/>
        <v>150</v>
      </c>
      <c r="T181" s="32" t="str">
        <f>IF($A181="","",IF($C181=0,"Bullpen",IF(OR($C181=7,$C181=1,$C181=5),"Recovery/Easy Catch",IF($C181=6,"Compression/Pulldowns",IF(OR($C181=4,$C181=2),"Long Toss",IF($C181=3,"No Throw",IF($N181=2,"No Throw",IF($N181=6,IF($O181&lt;Reference!$B$104,"No Throw","Recovery/Easy Catch"),IF(OR($N181=0,$N181=4),"Recovery/Easy Catch",IF($N181=1,IF($R181&gt;75,"Long Toss","Recovery/Easy Catch"),IF($N181=3,IF($O181&lt;0.5,IF($S181&gt;75,"Long Toss","Recovery/Easy Catch"),"Compression/Pulldowns"),IF($S181&gt;75,"Long Toss","Recovery/Easy Catch"))))))))))))</f>
        <v/>
      </c>
      <c r="U181" s="32" t="str">
        <f t="shared" si="118"/>
        <v/>
      </c>
      <c r="V181" s="32" t="str">
        <f t="shared" si="119"/>
        <v/>
      </c>
      <c r="W181" s="32" t="str">
        <f t="shared" si="120"/>
        <v/>
      </c>
      <c r="X181" s="32">
        <f t="shared" si="121"/>
        <v>0</v>
      </c>
      <c r="Y181" s="32" t="str">
        <f t="shared" si="122"/>
        <v/>
      </c>
      <c r="Z181" s="32" t="str">
        <f t="shared" si="123"/>
        <v/>
      </c>
      <c r="AA181" s="32" t="str">
        <f t="shared" si="124"/>
        <v/>
      </c>
      <c r="AB181" s="32" t="str">
        <f>IF($A181="","",IF($T181="No Throw",0,IF($K181&lt;&gt;"",$K181,IF($AA181&lt;&gt;"",ROUND($AA181*$D$12*IF($C181=0,1,$G$10),0),MIN(IF($T181="Recovery/Easy Catch",Reference!$B$103,IF($T181="Long Toss",Reference!$B$106,Reference!$B$102)),MAX(Reference!$B$101,ROUND(MAX(0,$Q181-$AE181)/$AF181,0)))))))</f>
        <v/>
      </c>
      <c r="AC181" s="32">
        <f t="shared" si="125"/>
        <v>0</v>
      </c>
      <c r="AD181" s="32" t="b">
        <f t="shared" si="126"/>
        <v>1</v>
      </c>
      <c r="AE181" s="32">
        <f>IF($X181=0,0,$X181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181+$Z181)/2,0),Reference!$A$17:$B$20,2,TRUE()))</f>
        <v>0</v>
      </c>
      <c r="AF181" s="32">
        <f>IF(OR($A181="",$U181="",$T181="No Throw"),0,$AM181*VLOOKUP(MAX(($V181+$W181)/2,0),Reference!$A$17:$B$20,2,TRUE()))</f>
        <v>0</v>
      </c>
      <c r="AG181" s="32">
        <f>IF($AC181=0,0,$AC181*INDEX(Reference!$B$61:$B$62,MATCH("Bullpen",Reference!$A$61:$A$62,0))*VLOOKUP(MAX($D$5-($D$9+$E$9)/2,0),Reference!$A$17:$B$20,2,TRUE()))</f>
        <v>0</v>
      </c>
      <c r="AH181" s="32" t="e">
        <f t="shared" si="127"/>
        <v>#N/A</v>
      </c>
      <c r="AI181" s="32" t="e">
        <f>IF($A181="",NA(),Reference!$A$25)</f>
        <v>#N/A</v>
      </c>
      <c r="AJ181" s="32" t="e">
        <f t="shared" si="128"/>
        <v>#N/A</v>
      </c>
      <c r="AK181" s="32">
        <f>IF(OR($A181="",N($C181)&lt;=7,$T181="No Throw",$J181="x"),0,INDEX(Reference!$B$108:$B$114,$N181+1))</f>
        <v>0</v>
      </c>
      <c r="AL181" s="32">
        <f t="shared" si="129"/>
        <v>1</v>
      </c>
      <c r="AM181" s="32">
        <f>IF($U181="",0,IF($AL181&gt;1,((IF(1&lt;=$AL181,($AL181-1+3)*(INDEX(Reference!$B$6:$B$11,MIN(5,MATCH(MAX(Reference!$A$6,MIN(Reference!$A$11,MIN($U181,90))),Reference!$A$6:$A$11,1)))+(MAX(Reference!$A$6,MIN(Reference!$A$11,MIN($U181,90)))-INDEX(Reference!$A$6:$A$11,MIN(5,MATCH(MAX(Reference!$A$6,MIN(Reference!$A$11,MIN($U181,90))),Reference!$A$6:$A$11,1))))*(INDEX(Reference!$B$6:$B$11,MIN(5,MATCH(MAX(Reference!$A$6,MIN(Reference!$A$11,MIN($U181,90))),Reference!$A$6:$A$11,1))+1)-INDEX(Reference!$B$6:$B$11,MIN(5,MATCH(MAX(Reference!$A$6,MIN(Reference!$A$11,MIN($U181,90))),Reference!$A$6:$A$11,1))))/(INDEX(Reference!$A$6:$A$11,MIN(5,MATCH(MAX(Reference!$A$6,MIN(Reference!$A$11,MIN($U181,90))),Reference!$A$6:$A$11,1))+1)-INDEX(Reference!$A$6:$A$11,MIN(5,MATCH(MAX(Reference!$A$6,MIN(Reference!$A$11,MIN($U181,90))),Reference!$A$6:$A$11,1))))),0)+IF(2&lt;=$AL181,($AL181-2+3)*(INDEX(Reference!$B$6:$B$11,MIN(5,MATCH(MAX(Reference!$A$6,MIN(Reference!$A$11,MIN($U181,120))),Reference!$A$6:$A$11,1)))+(MAX(Reference!$A$6,MIN(Reference!$A$11,MIN($U181,120)))-INDEX(Reference!$A$6:$A$11,MIN(5,MATCH(MAX(Reference!$A$6,MIN(Reference!$A$11,MIN($U181,120))),Reference!$A$6:$A$11,1))))*(INDEX(Reference!$B$6:$B$11,MIN(5,MATCH(MAX(Reference!$A$6,MIN(Reference!$A$11,MIN($U181,120))),Reference!$A$6:$A$11,1))+1)-INDEX(Reference!$B$6:$B$11,MIN(5,MATCH(MAX(Reference!$A$6,MIN(Reference!$A$11,MIN($U181,120))),Reference!$A$6:$A$11,1))))/(INDEX(Reference!$A$6:$A$11,MIN(5,MATCH(MAX(Reference!$A$6,MIN(Reference!$A$11,MIN($U181,120))),Reference!$A$6:$A$11,1))+1)-INDEX(Reference!$A$6:$A$11,MIN(5,MATCH(MAX(Reference!$A$6,MIN(Reference!$A$11,MIN($U181,120))),Reference!$A$6:$A$11,1))))),0)+IF(3&lt;=$AL181,($AL181-3+3)*(INDEX(Reference!$B$6:$B$11,MIN(5,MATCH(MAX(Reference!$A$6,MIN(Reference!$A$11,MIN($U181,150))),Reference!$A$6:$A$11,1)))+(MAX(Reference!$A$6,MIN(Reference!$A$11,MIN($U181,150)))-INDEX(Reference!$A$6:$A$11,MIN(5,MATCH(MAX(Reference!$A$6,MIN(Reference!$A$11,MIN($U181,150))),Reference!$A$6:$A$11,1))))*(INDEX(Reference!$B$6:$B$11,MIN(5,MATCH(MAX(Reference!$A$6,MIN(Reference!$A$11,MIN($U181,150))),Reference!$A$6:$A$11,1))+1)-INDEX(Reference!$B$6:$B$11,MIN(5,MATCH(MAX(Reference!$A$6,MIN(Reference!$A$11,MIN($U181,150))),Reference!$A$6:$A$11,1))))/(INDEX(Reference!$A$6:$A$11,MIN(5,MATCH(MAX(Reference!$A$6,MIN(Reference!$A$11,MIN($U181,150))),Reference!$A$6:$A$11,1))+1)-INDEX(Reference!$A$6:$A$11,MIN(5,MATCH(MAX(Reference!$A$6,MIN(Reference!$A$11,MIN($U181,150))),Reference!$A$6:$A$11,1))))),0)+IF(4&lt;=$AL181,($AL181-4+3)*(INDEX(Reference!$B$6:$B$11,MIN(5,MATCH(MAX(Reference!$A$6,MIN(Reference!$A$11,MIN($U181,180))),Reference!$A$6:$A$11,1)))+(MAX(Reference!$A$6,MIN(Reference!$A$11,MIN($U181,180)))-INDEX(Reference!$A$6:$A$11,MIN(5,MATCH(MAX(Reference!$A$6,MIN(Reference!$A$11,MIN($U181,180))),Reference!$A$6:$A$11,1))))*(INDEX(Reference!$B$6:$B$11,MIN(5,MATCH(MAX(Reference!$A$6,MIN(Reference!$A$11,MIN($U181,180))),Reference!$A$6:$A$11,1))+1)-INDEX(Reference!$B$6:$B$11,MIN(5,MATCH(MAX(Reference!$A$6,MIN(Reference!$A$11,MIN($U181,180))),Reference!$A$6:$A$11,1))))/(INDEX(Reference!$A$6:$A$11,MIN(5,MATCH(MAX(Reference!$A$6,MIN(Reference!$A$11,MIN($U181,180))),Reference!$A$6:$A$11,1))+1)-INDEX(Reference!$A$6:$A$11,MIN(5,MATCH(MAX(Reference!$A$6,MIN(Reference!$A$11,MIN($U181,180))),Reference!$A$6:$A$11,1))))),0)+IF(5&lt;=$AL181,($AL181-5+3)*(INDEX(Reference!$B$6:$B$11,MIN(5,MATCH(MAX(Reference!$A$6,MIN(Reference!$A$11,MIN($U181,210))),Reference!$A$6:$A$11,1)))+(MAX(Reference!$A$6,MIN(Reference!$A$11,MIN($U181,210)))-INDEX(Reference!$A$6:$A$11,MIN(5,MATCH(MAX(Reference!$A$6,MIN(Reference!$A$11,MIN($U181,210))),Reference!$A$6:$A$11,1))))*(INDEX(Reference!$B$6:$B$11,MIN(5,MATCH(MAX(Reference!$A$6,MIN(Reference!$A$11,MIN($U181,210))),Reference!$A$6:$A$11,1))+1)-INDEX(Reference!$B$6:$B$11,MIN(5,MATCH(MAX(Reference!$A$6,MIN(Reference!$A$11,MIN($U181,210))),Reference!$A$6:$A$11,1))))/(INDEX(Reference!$A$6:$A$11,MIN(5,MATCH(MAX(Reference!$A$6,MIN(Reference!$A$11,MIN($U181,210))),Reference!$A$6:$A$11,1))+1)-INDEX(Reference!$A$6:$A$11,MIN(5,MATCH(MAX(Reference!$A$6,MIN(Reference!$A$11,MIN($U181,210))),Reference!$A$6:$A$11,1))))),0)+IF(6&lt;=$AL181,($AL181-6+3)*(INDEX(Reference!$B$6:$B$11,MIN(5,MATCH(MAX(Reference!$A$6,MIN(Reference!$A$11,MIN($U181,240))),Reference!$A$6:$A$11,1)))+(MAX(Reference!$A$6,MIN(Reference!$A$11,MIN($U181,240)))-INDEX(Reference!$A$6:$A$11,MIN(5,MATCH(MAX(Reference!$A$6,MIN(Reference!$A$11,MIN($U181,240))),Reference!$A$6:$A$11,1))))*(INDEX(Reference!$B$6:$B$11,MIN(5,MATCH(MAX(Reference!$A$6,MIN(Reference!$A$11,MIN($U181,240))),Reference!$A$6:$A$11,1))+1)-INDEX(Reference!$B$6:$B$11,MIN(5,MATCH(MAX(Reference!$A$6,MIN(Reference!$A$11,MIN($U181,240))),Reference!$A$6:$A$11,1))))/(INDEX(Reference!$A$6:$A$11,MIN(5,MATCH(MAX(Reference!$A$6,MIN(Reference!$A$11,MIN($U181,240))),Reference!$A$6:$A$11,1))+1)-INDEX(Reference!$A$6:$A$11,MIN(5,MATCH(MAX(Reference!$A$6,MIN(Reference!$A$11,MIN($U181,240))),Reference!$A$6:$A$11,1))))),0)+IF(7&lt;=$AL181,($AL181-7+3)*(INDEX(Reference!$B$6:$B$11,MIN(5,MATCH(MAX(Reference!$A$6,MIN(Reference!$A$11,MIN($U181,270))),Reference!$A$6:$A$11,1)))+(MAX(Reference!$A$6,MIN(Reference!$A$11,MIN($U181,270)))-INDEX(Reference!$A$6:$A$11,MIN(5,MATCH(MAX(Reference!$A$6,MIN(Reference!$A$11,MIN($U181,270))),Reference!$A$6:$A$11,1))))*(INDEX(Reference!$B$6:$B$11,MIN(5,MATCH(MAX(Reference!$A$6,MIN(Reference!$A$11,MIN($U181,270))),Reference!$A$6:$A$11,1))+1)-INDEX(Reference!$B$6:$B$11,MIN(5,MATCH(MAX(Reference!$A$6,MIN(Reference!$A$11,MIN($U181,270))),Reference!$A$6:$A$11,1))))/(INDEX(Reference!$A$6:$A$11,MIN(5,MATCH(MAX(Reference!$A$6,MIN(Reference!$A$11,MIN($U181,270))),Reference!$A$6:$A$11,1))+1)-INDEX(Reference!$A$6:$A$11,MIN(5,MATCH(MAX(Reference!$A$6,MIN(Reference!$A$11,MIN($U181,270))),Reference!$A$6:$A$11,1))))),0)+IF(8&lt;=$AL181,($AL181-8+3)*(INDEX(Reference!$B$6:$B$11,MIN(5,MATCH(MAX(Reference!$A$6,MIN(Reference!$A$11,MIN($U181,300))),Reference!$A$6:$A$11,1)))+(MAX(Reference!$A$6,MIN(Reference!$A$11,MIN($U181,300)))-INDEX(Reference!$A$6:$A$11,MIN(5,MATCH(MAX(Reference!$A$6,MIN(Reference!$A$11,MIN($U181,300))),Reference!$A$6:$A$11,1))))*(INDEX(Reference!$B$6:$B$11,MIN(5,MATCH(MAX(Reference!$A$6,MIN(Reference!$A$11,MIN($U181,300))),Reference!$A$6:$A$11,1))+1)-INDEX(Reference!$B$6:$B$11,MIN(5,MATCH(MAX(Reference!$A$6,MIN(Reference!$A$11,MIN($U181,300))),Reference!$A$6:$A$11,1))))/(INDEX(Reference!$A$6:$A$11,MIN(5,MATCH(MAX(Reference!$A$6,MIN(Reference!$A$11,MIN($U181,300))),Reference!$A$6:$A$11,1))+1)-INDEX(Reference!$A$6:$A$11,MIN(5,MATCH(MAX(Reference!$A$6,MIN(Reference!$A$11,MIN($U181,300))),Reference!$A$6:$A$11,1))))),0))/($AL181*($AL181+5)/2)),$AN181))</f>
        <v>0</v>
      </c>
      <c r="AN181" s="32">
        <f>IF($U181="",0,(INDEX(Reference!$B$6:$B$11,MIN(5,MATCH(MAX(Reference!$A$6,MIN(Reference!$A$11,$U181)),Reference!$A$6:$A$11,1)))+(MAX(Reference!$A$6,MIN(Reference!$A$11,$U181))-INDEX(Reference!$A$6:$A$11,MIN(5,MATCH(MAX(Reference!$A$6,MIN(Reference!$A$11,$U181)),Reference!$A$6:$A$11,1))))*(INDEX(Reference!$B$6:$B$11,MIN(5,MATCH(MAX(Reference!$A$6,MIN(Reference!$A$11,$U181)),Reference!$A$6:$A$11,1))+1)-INDEX(Reference!$B$6:$B$11,MIN(5,MATCH(MAX(Reference!$A$6,MIN(Reference!$A$11,$U181)),Reference!$A$6:$A$11,1))))/(INDEX(Reference!$A$6:$A$11,MIN(5,MATCH(MAX(Reference!$A$6,MIN(Reference!$A$11,$U181)),Reference!$A$6:$A$11,1))+1)-INDEX(Reference!$A$6:$A$11,MIN(5,MATCH(MAX(Reference!$A$6,MIN(Reference!$A$11,$U181)),Reference!$A$6:$A$11,1))))))</f>
        <v>0</v>
      </c>
      <c r="AO181" s="37"/>
      <c r="AP181" s="37"/>
      <c r="AQ181" s="37"/>
    </row>
    <row r="182" spans="1:43" x14ac:dyDescent="0.3">
      <c r="A182" s="48" t="str">
        <f t="shared" si="105"/>
        <v/>
      </c>
      <c r="B182" s="32" t="str">
        <f t="shared" si="106"/>
        <v/>
      </c>
      <c r="C182" s="32" t="str">
        <f t="shared" si="107"/>
        <v/>
      </c>
      <c r="D182" s="32" t="str">
        <f t="shared" si="108"/>
        <v/>
      </c>
      <c r="E182" s="32" t="str">
        <f t="shared" si="109"/>
        <v/>
      </c>
      <c r="F182" s="32" t="str">
        <f t="shared" si="110"/>
        <v/>
      </c>
      <c r="G182" s="47" t="str">
        <f t="shared" si="111"/>
        <v/>
      </c>
      <c r="H182" s="30" t="str">
        <f t="shared" si="112"/>
        <v/>
      </c>
      <c r="I182" s="46" t="str">
        <f>IF($A182="","",IF(AND($L182&lt;27,$K$12=0),"Building",IFERROR(((SUM($H$176:$H182)+$K$12*IF($L182&lt;6,SUMIFS('Throw Log'!$Q$5:$Q$300,'Throw Log'!$B$5:$B$300,$D$4,'Throw Log'!$A$5:$A$300,"&gt;="&amp;($D$6+$L182-6),'Throw Log'!$A$5:$A$300,"&lt;="&amp;($D$6-1)),0))/7)/((SUM($H$155:$H182)+$K$12*IF($L182&lt;27,SUMIFS('Throw Log'!$Q$5:$Q$300,'Throw Log'!$B$5:$B$300,$D$4,'Throw Log'!$A$5:$A$300,"&gt;="&amp;($D$6+$L182-27),'Throw Log'!$A$5:$A$300,"&lt;="&amp;($D$6-1)),0))/28),"")))</f>
        <v/>
      </c>
      <c r="J182" s="37"/>
      <c r="K182" s="37"/>
      <c r="L182" s="32">
        <v>139</v>
      </c>
      <c r="M182" s="32">
        <f t="shared" si="113"/>
        <v>20</v>
      </c>
      <c r="N182" s="32">
        <f t="shared" si="114"/>
        <v>6</v>
      </c>
      <c r="O182" s="32">
        <f t="shared" si="115"/>
        <v>1</v>
      </c>
      <c r="P182" s="32" t="str">
        <f>IF(OR($A182="",N($C182)&lt;=7),"",$G$6*$G$9^($M182-1)*IF(AND(MOD($M182,Reference!$B$99)=0,$M182&lt;=$G$5-2),Reference!$B$100,1))</f>
        <v/>
      </c>
      <c r="Q182" s="32" t="str">
        <f>IF($P182="","",IF(SUM($AK$176:$AK$182)=0,0,$P182*INDEX(Reference!$B$108:$B$114,$N182+1)/SUM($AK$176:$AK$182)))</f>
        <v/>
      </c>
      <c r="R182" s="32">
        <f t="shared" si="116"/>
        <v>180</v>
      </c>
      <c r="S182" s="32">
        <f t="shared" si="117"/>
        <v>150</v>
      </c>
      <c r="T182" s="32" t="str">
        <f>IF($A182="","",IF($C182=0,"Bullpen",IF(OR($C182=7,$C182=1,$C182=5),"Recovery/Easy Catch",IF($C182=6,"Compression/Pulldowns",IF(OR($C182=4,$C182=2),"Long Toss",IF($C182=3,"No Throw",IF($N182=2,"No Throw",IF($N182=6,IF($O182&lt;Reference!$B$104,"No Throw","Recovery/Easy Catch"),IF(OR($N182=0,$N182=4),"Recovery/Easy Catch",IF($N182=1,IF($R182&gt;75,"Long Toss","Recovery/Easy Catch"),IF($N182=3,IF($O182&lt;0.5,IF($S182&gt;75,"Long Toss","Recovery/Easy Catch"),"Compression/Pulldowns"),IF($S182&gt;75,"Long Toss","Recovery/Easy Catch"))))))))))))</f>
        <v/>
      </c>
      <c r="U182" s="32" t="str">
        <f t="shared" si="118"/>
        <v/>
      </c>
      <c r="V182" s="32" t="str">
        <f t="shared" si="119"/>
        <v/>
      </c>
      <c r="W182" s="32" t="str">
        <f t="shared" si="120"/>
        <v/>
      </c>
      <c r="X182" s="32">
        <f t="shared" si="121"/>
        <v>0</v>
      </c>
      <c r="Y182" s="32" t="str">
        <f t="shared" si="122"/>
        <v/>
      </c>
      <c r="Z182" s="32" t="str">
        <f t="shared" si="123"/>
        <v/>
      </c>
      <c r="AA182" s="32" t="str">
        <f t="shared" si="124"/>
        <v/>
      </c>
      <c r="AB182" s="32" t="str">
        <f>IF($A182="","",IF($T182="No Throw",0,IF($K182&lt;&gt;"",$K182,IF($AA182&lt;&gt;"",ROUND($AA182*$D$12*IF($C182=0,1,$G$10),0),MIN(IF($T182="Recovery/Easy Catch",Reference!$B$103,IF($T182="Long Toss",Reference!$B$106,Reference!$B$102)),MAX(Reference!$B$101,ROUND(MAX(0,$Q182-$AE182)/$AF182,0)))))))</f>
        <v/>
      </c>
      <c r="AC182" s="32">
        <f t="shared" si="125"/>
        <v>0</v>
      </c>
      <c r="AD182" s="32" t="b">
        <f t="shared" si="126"/>
        <v>1</v>
      </c>
      <c r="AE182" s="32">
        <f>IF($X182=0,0,$X182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182+$Z182)/2,0),Reference!$A$17:$B$20,2,TRUE()))</f>
        <v>0</v>
      </c>
      <c r="AF182" s="32">
        <f>IF(OR($A182="",$U182="",$T182="No Throw"),0,$AM182*VLOOKUP(MAX(($V182+$W182)/2,0),Reference!$A$17:$B$20,2,TRUE()))</f>
        <v>0</v>
      </c>
      <c r="AG182" s="32">
        <f>IF($AC182=0,0,$AC182*INDEX(Reference!$B$61:$B$62,MATCH("Bullpen",Reference!$A$61:$A$62,0))*VLOOKUP(MAX($D$5-($D$9+$E$9)/2,0),Reference!$A$17:$B$20,2,TRUE()))</f>
        <v>0</v>
      </c>
      <c r="AH182" s="32" t="e">
        <f t="shared" si="127"/>
        <v>#N/A</v>
      </c>
      <c r="AI182" s="32" t="e">
        <f>IF($A182="",NA(),Reference!$A$25)</f>
        <v>#N/A</v>
      </c>
      <c r="AJ182" s="32" t="e">
        <f t="shared" si="128"/>
        <v>#N/A</v>
      </c>
      <c r="AK182" s="32">
        <f>IF(OR($A182="",N($C182)&lt;=7,$T182="No Throw",$J182="x"),0,INDEX(Reference!$B$108:$B$114,$N182+1))</f>
        <v>0</v>
      </c>
      <c r="AL182" s="32">
        <f t="shared" si="129"/>
        <v>1</v>
      </c>
      <c r="AM182" s="32">
        <f>IF($U182="",0,IF($AL182&gt;1,((IF(1&lt;=$AL182,($AL182-1+3)*(INDEX(Reference!$B$6:$B$11,MIN(5,MATCH(MAX(Reference!$A$6,MIN(Reference!$A$11,MIN($U182,90))),Reference!$A$6:$A$11,1)))+(MAX(Reference!$A$6,MIN(Reference!$A$11,MIN($U182,90)))-INDEX(Reference!$A$6:$A$11,MIN(5,MATCH(MAX(Reference!$A$6,MIN(Reference!$A$11,MIN($U182,90))),Reference!$A$6:$A$11,1))))*(INDEX(Reference!$B$6:$B$11,MIN(5,MATCH(MAX(Reference!$A$6,MIN(Reference!$A$11,MIN($U182,90))),Reference!$A$6:$A$11,1))+1)-INDEX(Reference!$B$6:$B$11,MIN(5,MATCH(MAX(Reference!$A$6,MIN(Reference!$A$11,MIN($U182,90))),Reference!$A$6:$A$11,1))))/(INDEX(Reference!$A$6:$A$11,MIN(5,MATCH(MAX(Reference!$A$6,MIN(Reference!$A$11,MIN($U182,90))),Reference!$A$6:$A$11,1))+1)-INDEX(Reference!$A$6:$A$11,MIN(5,MATCH(MAX(Reference!$A$6,MIN(Reference!$A$11,MIN($U182,90))),Reference!$A$6:$A$11,1))))),0)+IF(2&lt;=$AL182,($AL182-2+3)*(INDEX(Reference!$B$6:$B$11,MIN(5,MATCH(MAX(Reference!$A$6,MIN(Reference!$A$11,MIN($U182,120))),Reference!$A$6:$A$11,1)))+(MAX(Reference!$A$6,MIN(Reference!$A$11,MIN($U182,120)))-INDEX(Reference!$A$6:$A$11,MIN(5,MATCH(MAX(Reference!$A$6,MIN(Reference!$A$11,MIN($U182,120))),Reference!$A$6:$A$11,1))))*(INDEX(Reference!$B$6:$B$11,MIN(5,MATCH(MAX(Reference!$A$6,MIN(Reference!$A$11,MIN($U182,120))),Reference!$A$6:$A$11,1))+1)-INDEX(Reference!$B$6:$B$11,MIN(5,MATCH(MAX(Reference!$A$6,MIN(Reference!$A$11,MIN($U182,120))),Reference!$A$6:$A$11,1))))/(INDEX(Reference!$A$6:$A$11,MIN(5,MATCH(MAX(Reference!$A$6,MIN(Reference!$A$11,MIN($U182,120))),Reference!$A$6:$A$11,1))+1)-INDEX(Reference!$A$6:$A$11,MIN(5,MATCH(MAX(Reference!$A$6,MIN(Reference!$A$11,MIN($U182,120))),Reference!$A$6:$A$11,1))))),0)+IF(3&lt;=$AL182,($AL182-3+3)*(INDEX(Reference!$B$6:$B$11,MIN(5,MATCH(MAX(Reference!$A$6,MIN(Reference!$A$11,MIN($U182,150))),Reference!$A$6:$A$11,1)))+(MAX(Reference!$A$6,MIN(Reference!$A$11,MIN($U182,150)))-INDEX(Reference!$A$6:$A$11,MIN(5,MATCH(MAX(Reference!$A$6,MIN(Reference!$A$11,MIN($U182,150))),Reference!$A$6:$A$11,1))))*(INDEX(Reference!$B$6:$B$11,MIN(5,MATCH(MAX(Reference!$A$6,MIN(Reference!$A$11,MIN($U182,150))),Reference!$A$6:$A$11,1))+1)-INDEX(Reference!$B$6:$B$11,MIN(5,MATCH(MAX(Reference!$A$6,MIN(Reference!$A$11,MIN($U182,150))),Reference!$A$6:$A$11,1))))/(INDEX(Reference!$A$6:$A$11,MIN(5,MATCH(MAX(Reference!$A$6,MIN(Reference!$A$11,MIN($U182,150))),Reference!$A$6:$A$11,1))+1)-INDEX(Reference!$A$6:$A$11,MIN(5,MATCH(MAX(Reference!$A$6,MIN(Reference!$A$11,MIN($U182,150))),Reference!$A$6:$A$11,1))))),0)+IF(4&lt;=$AL182,($AL182-4+3)*(INDEX(Reference!$B$6:$B$11,MIN(5,MATCH(MAX(Reference!$A$6,MIN(Reference!$A$11,MIN($U182,180))),Reference!$A$6:$A$11,1)))+(MAX(Reference!$A$6,MIN(Reference!$A$11,MIN($U182,180)))-INDEX(Reference!$A$6:$A$11,MIN(5,MATCH(MAX(Reference!$A$6,MIN(Reference!$A$11,MIN($U182,180))),Reference!$A$6:$A$11,1))))*(INDEX(Reference!$B$6:$B$11,MIN(5,MATCH(MAX(Reference!$A$6,MIN(Reference!$A$11,MIN($U182,180))),Reference!$A$6:$A$11,1))+1)-INDEX(Reference!$B$6:$B$11,MIN(5,MATCH(MAX(Reference!$A$6,MIN(Reference!$A$11,MIN($U182,180))),Reference!$A$6:$A$11,1))))/(INDEX(Reference!$A$6:$A$11,MIN(5,MATCH(MAX(Reference!$A$6,MIN(Reference!$A$11,MIN($U182,180))),Reference!$A$6:$A$11,1))+1)-INDEX(Reference!$A$6:$A$11,MIN(5,MATCH(MAX(Reference!$A$6,MIN(Reference!$A$11,MIN($U182,180))),Reference!$A$6:$A$11,1))))),0)+IF(5&lt;=$AL182,($AL182-5+3)*(INDEX(Reference!$B$6:$B$11,MIN(5,MATCH(MAX(Reference!$A$6,MIN(Reference!$A$11,MIN($U182,210))),Reference!$A$6:$A$11,1)))+(MAX(Reference!$A$6,MIN(Reference!$A$11,MIN($U182,210)))-INDEX(Reference!$A$6:$A$11,MIN(5,MATCH(MAX(Reference!$A$6,MIN(Reference!$A$11,MIN($U182,210))),Reference!$A$6:$A$11,1))))*(INDEX(Reference!$B$6:$B$11,MIN(5,MATCH(MAX(Reference!$A$6,MIN(Reference!$A$11,MIN($U182,210))),Reference!$A$6:$A$11,1))+1)-INDEX(Reference!$B$6:$B$11,MIN(5,MATCH(MAX(Reference!$A$6,MIN(Reference!$A$11,MIN($U182,210))),Reference!$A$6:$A$11,1))))/(INDEX(Reference!$A$6:$A$11,MIN(5,MATCH(MAX(Reference!$A$6,MIN(Reference!$A$11,MIN($U182,210))),Reference!$A$6:$A$11,1))+1)-INDEX(Reference!$A$6:$A$11,MIN(5,MATCH(MAX(Reference!$A$6,MIN(Reference!$A$11,MIN($U182,210))),Reference!$A$6:$A$11,1))))),0)+IF(6&lt;=$AL182,($AL182-6+3)*(INDEX(Reference!$B$6:$B$11,MIN(5,MATCH(MAX(Reference!$A$6,MIN(Reference!$A$11,MIN($U182,240))),Reference!$A$6:$A$11,1)))+(MAX(Reference!$A$6,MIN(Reference!$A$11,MIN($U182,240)))-INDEX(Reference!$A$6:$A$11,MIN(5,MATCH(MAX(Reference!$A$6,MIN(Reference!$A$11,MIN($U182,240))),Reference!$A$6:$A$11,1))))*(INDEX(Reference!$B$6:$B$11,MIN(5,MATCH(MAX(Reference!$A$6,MIN(Reference!$A$11,MIN($U182,240))),Reference!$A$6:$A$11,1))+1)-INDEX(Reference!$B$6:$B$11,MIN(5,MATCH(MAX(Reference!$A$6,MIN(Reference!$A$11,MIN($U182,240))),Reference!$A$6:$A$11,1))))/(INDEX(Reference!$A$6:$A$11,MIN(5,MATCH(MAX(Reference!$A$6,MIN(Reference!$A$11,MIN($U182,240))),Reference!$A$6:$A$11,1))+1)-INDEX(Reference!$A$6:$A$11,MIN(5,MATCH(MAX(Reference!$A$6,MIN(Reference!$A$11,MIN($U182,240))),Reference!$A$6:$A$11,1))))),0)+IF(7&lt;=$AL182,($AL182-7+3)*(INDEX(Reference!$B$6:$B$11,MIN(5,MATCH(MAX(Reference!$A$6,MIN(Reference!$A$11,MIN($U182,270))),Reference!$A$6:$A$11,1)))+(MAX(Reference!$A$6,MIN(Reference!$A$11,MIN($U182,270)))-INDEX(Reference!$A$6:$A$11,MIN(5,MATCH(MAX(Reference!$A$6,MIN(Reference!$A$11,MIN($U182,270))),Reference!$A$6:$A$11,1))))*(INDEX(Reference!$B$6:$B$11,MIN(5,MATCH(MAX(Reference!$A$6,MIN(Reference!$A$11,MIN($U182,270))),Reference!$A$6:$A$11,1))+1)-INDEX(Reference!$B$6:$B$11,MIN(5,MATCH(MAX(Reference!$A$6,MIN(Reference!$A$11,MIN($U182,270))),Reference!$A$6:$A$11,1))))/(INDEX(Reference!$A$6:$A$11,MIN(5,MATCH(MAX(Reference!$A$6,MIN(Reference!$A$11,MIN($U182,270))),Reference!$A$6:$A$11,1))+1)-INDEX(Reference!$A$6:$A$11,MIN(5,MATCH(MAX(Reference!$A$6,MIN(Reference!$A$11,MIN($U182,270))),Reference!$A$6:$A$11,1))))),0)+IF(8&lt;=$AL182,($AL182-8+3)*(INDEX(Reference!$B$6:$B$11,MIN(5,MATCH(MAX(Reference!$A$6,MIN(Reference!$A$11,MIN($U182,300))),Reference!$A$6:$A$11,1)))+(MAX(Reference!$A$6,MIN(Reference!$A$11,MIN($U182,300)))-INDEX(Reference!$A$6:$A$11,MIN(5,MATCH(MAX(Reference!$A$6,MIN(Reference!$A$11,MIN($U182,300))),Reference!$A$6:$A$11,1))))*(INDEX(Reference!$B$6:$B$11,MIN(5,MATCH(MAX(Reference!$A$6,MIN(Reference!$A$11,MIN($U182,300))),Reference!$A$6:$A$11,1))+1)-INDEX(Reference!$B$6:$B$11,MIN(5,MATCH(MAX(Reference!$A$6,MIN(Reference!$A$11,MIN($U182,300))),Reference!$A$6:$A$11,1))))/(INDEX(Reference!$A$6:$A$11,MIN(5,MATCH(MAX(Reference!$A$6,MIN(Reference!$A$11,MIN($U182,300))),Reference!$A$6:$A$11,1))+1)-INDEX(Reference!$A$6:$A$11,MIN(5,MATCH(MAX(Reference!$A$6,MIN(Reference!$A$11,MIN($U182,300))),Reference!$A$6:$A$11,1))))),0))/($AL182*($AL182+5)/2)),$AN182))</f>
        <v>0</v>
      </c>
      <c r="AN182" s="32">
        <f>IF($U182="",0,(INDEX(Reference!$B$6:$B$11,MIN(5,MATCH(MAX(Reference!$A$6,MIN(Reference!$A$11,$U182)),Reference!$A$6:$A$11,1)))+(MAX(Reference!$A$6,MIN(Reference!$A$11,$U182))-INDEX(Reference!$A$6:$A$11,MIN(5,MATCH(MAX(Reference!$A$6,MIN(Reference!$A$11,$U182)),Reference!$A$6:$A$11,1))))*(INDEX(Reference!$B$6:$B$11,MIN(5,MATCH(MAX(Reference!$A$6,MIN(Reference!$A$11,$U182)),Reference!$A$6:$A$11,1))+1)-INDEX(Reference!$B$6:$B$11,MIN(5,MATCH(MAX(Reference!$A$6,MIN(Reference!$A$11,$U182)),Reference!$A$6:$A$11,1))))/(INDEX(Reference!$A$6:$A$11,MIN(5,MATCH(MAX(Reference!$A$6,MIN(Reference!$A$11,$U182)),Reference!$A$6:$A$11,1))+1)-INDEX(Reference!$A$6:$A$11,MIN(5,MATCH(MAX(Reference!$A$6,MIN(Reference!$A$11,$U182)),Reference!$A$6:$A$11,1))))))</f>
        <v>0</v>
      </c>
      <c r="AO182" s="37"/>
      <c r="AP182" s="37"/>
      <c r="AQ182" s="37"/>
    </row>
    <row r="183" spans="1:43" x14ac:dyDescent="0.3">
      <c r="A183" s="48" t="str">
        <f t="shared" si="105"/>
        <v/>
      </c>
      <c r="B183" s="32" t="str">
        <f t="shared" si="106"/>
        <v/>
      </c>
      <c r="C183" s="32" t="str">
        <f t="shared" si="107"/>
        <v/>
      </c>
      <c r="D183" s="32" t="str">
        <f t="shared" si="108"/>
        <v/>
      </c>
      <c r="E183" s="32" t="str">
        <f t="shared" si="109"/>
        <v/>
      </c>
      <c r="F183" s="32" t="str">
        <f t="shared" si="110"/>
        <v/>
      </c>
      <c r="G183" s="47" t="str">
        <f t="shared" si="111"/>
        <v/>
      </c>
      <c r="H183" s="30" t="str">
        <f t="shared" si="112"/>
        <v/>
      </c>
      <c r="I183" s="46" t="str">
        <f>IF($A183="","",IF(AND($L183&lt;27,$K$12=0),"Building",IFERROR(((SUM($H$177:$H183)+$K$12*IF($L183&lt;6,SUMIFS('Throw Log'!$Q$5:$Q$300,'Throw Log'!$B$5:$B$300,$D$4,'Throw Log'!$A$5:$A$300,"&gt;="&amp;($D$6+$L183-6),'Throw Log'!$A$5:$A$300,"&lt;="&amp;($D$6-1)),0))/7)/((SUM($H$156:$H183)+$K$12*IF($L183&lt;27,SUMIFS('Throw Log'!$Q$5:$Q$300,'Throw Log'!$B$5:$B$300,$D$4,'Throw Log'!$A$5:$A$300,"&gt;="&amp;($D$6+$L183-27),'Throw Log'!$A$5:$A$300,"&lt;="&amp;($D$6-1)),0))/28),"")))</f>
        <v/>
      </c>
      <c r="J183" s="37"/>
      <c r="K183" s="37"/>
      <c r="L183" s="32">
        <v>140</v>
      </c>
      <c r="M183" s="32">
        <f t="shared" si="113"/>
        <v>21</v>
      </c>
      <c r="N183" s="32">
        <f t="shared" si="114"/>
        <v>0</v>
      </c>
      <c r="O183" s="32">
        <f t="shared" si="115"/>
        <v>1</v>
      </c>
      <c r="P183" s="32" t="str">
        <f>IF(OR($A183="",N($C183)&lt;=7),"",$G$6*$G$9^($M183-1)*IF(AND(MOD($M183,Reference!$B$99)=0,$M183&lt;=$G$5-2),Reference!$B$100,1))</f>
        <v/>
      </c>
      <c r="Q183" s="32" t="str">
        <f>IF($P183="","",IF(SUM($AK$183:$AK$189)=0,0,$P183*INDEX(Reference!$B$108:$B$114,$N183+1)/SUM($AK$183:$AK$189)))</f>
        <v/>
      </c>
      <c r="R183" s="32">
        <f t="shared" si="116"/>
        <v>180</v>
      </c>
      <c r="S183" s="32">
        <f t="shared" si="117"/>
        <v>150</v>
      </c>
      <c r="T183" s="32" t="str">
        <f>IF($A183="","",IF($C183=0,"Bullpen",IF(OR($C183=7,$C183=1,$C183=5),"Recovery/Easy Catch",IF($C183=6,"Compression/Pulldowns",IF(OR($C183=4,$C183=2),"Long Toss",IF($C183=3,"No Throw",IF($N183=2,"No Throw",IF($N183=6,IF($O183&lt;Reference!$B$104,"No Throw","Recovery/Easy Catch"),IF(OR($N183=0,$N183=4),"Recovery/Easy Catch",IF($N183=1,IF($R183&gt;75,"Long Toss","Recovery/Easy Catch"),IF($N183=3,IF($O183&lt;0.5,IF($S183&gt;75,"Long Toss","Recovery/Easy Catch"),"Compression/Pulldowns"),IF($S183&gt;75,"Long Toss","Recovery/Easy Catch"))))))))))))</f>
        <v/>
      </c>
      <c r="U183" s="32" t="str">
        <f t="shared" si="118"/>
        <v/>
      </c>
      <c r="V183" s="32" t="str">
        <f t="shared" si="119"/>
        <v/>
      </c>
      <c r="W183" s="32" t="str">
        <f t="shared" si="120"/>
        <v/>
      </c>
      <c r="X183" s="32">
        <f t="shared" si="121"/>
        <v>0</v>
      </c>
      <c r="Y183" s="32" t="str">
        <f t="shared" si="122"/>
        <v/>
      </c>
      <c r="Z183" s="32" t="str">
        <f t="shared" si="123"/>
        <v/>
      </c>
      <c r="AA183" s="32" t="str">
        <f t="shared" si="124"/>
        <v/>
      </c>
      <c r="AB183" s="32" t="str">
        <f>IF($A183="","",IF($T183="No Throw",0,IF($K183&lt;&gt;"",$K183,IF($AA183&lt;&gt;"",ROUND($AA183*$D$12*IF($C183=0,1,$G$10),0),MIN(IF($T183="Recovery/Easy Catch",Reference!$B$103,IF($T183="Long Toss",Reference!$B$106,Reference!$B$102)),MAX(Reference!$B$101,ROUND(MAX(0,$Q183-$AE183)/$AF183,0)))))))</f>
        <v/>
      </c>
      <c r="AC183" s="32">
        <f t="shared" si="125"/>
        <v>0</v>
      </c>
      <c r="AD183" s="32" t="b">
        <f t="shared" si="126"/>
        <v>1</v>
      </c>
      <c r="AE183" s="32">
        <f>IF($X183=0,0,$X183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183+$Z183)/2,0),Reference!$A$17:$B$20,2,TRUE()))</f>
        <v>0</v>
      </c>
      <c r="AF183" s="32">
        <f>IF(OR($A183="",$U183="",$T183="No Throw"),0,$AM183*VLOOKUP(MAX(($V183+$W183)/2,0),Reference!$A$17:$B$20,2,TRUE()))</f>
        <v>0</v>
      </c>
      <c r="AG183" s="32">
        <f>IF($AC183=0,0,$AC183*INDEX(Reference!$B$61:$B$62,MATCH("Bullpen",Reference!$A$61:$A$62,0))*VLOOKUP(MAX($D$5-($D$9+$E$9)/2,0),Reference!$A$17:$B$20,2,TRUE()))</f>
        <v>0</v>
      </c>
      <c r="AH183" s="32" t="e">
        <f t="shared" si="127"/>
        <v>#N/A</v>
      </c>
      <c r="AI183" s="32" t="e">
        <f>IF($A183="",NA(),Reference!$A$25)</f>
        <v>#N/A</v>
      </c>
      <c r="AJ183" s="32" t="e">
        <f t="shared" si="128"/>
        <v>#N/A</v>
      </c>
      <c r="AK183" s="32">
        <f>IF(OR($A183="",N($C183)&lt;=7,$T183="No Throw",$J183="x"),0,INDEX(Reference!$B$108:$B$114,$N183+1))</f>
        <v>0</v>
      </c>
      <c r="AL183" s="32">
        <f t="shared" si="129"/>
        <v>1</v>
      </c>
      <c r="AM183" s="32">
        <f>IF($U183="",0,IF($AL183&gt;1,((IF(1&lt;=$AL183,($AL183-1+3)*(INDEX(Reference!$B$6:$B$11,MIN(5,MATCH(MAX(Reference!$A$6,MIN(Reference!$A$11,MIN($U183,90))),Reference!$A$6:$A$11,1)))+(MAX(Reference!$A$6,MIN(Reference!$A$11,MIN($U183,90)))-INDEX(Reference!$A$6:$A$11,MIN(5,MATCH(MAX(Reference!$A$6,MIN(Reference!$A$11,MIN($U183,90))),Reference!$A$6:$A$11,1))))*(INDEX(Reference!$B$6:$B$11,MIN(5,MATCH(MAX(Reference!$A$6,MIN(Reference!$A$11,MIN($U183,90))),Reference!$A$6:$A$11,1))+1)-INDEX(Reference!$B$6:$B$11,MIN(5,MATCH(MAX(Reference!$A$6,MIN(Reference!$A$11,MIN($U183,90))),Reference!$A$6:$A$11,1))))/(INDEX(Reference!$A$6:$A$11,MIN(5,MATCH(MAX(Reference!$A$6,MIN(Reference!$A$11,MIN($U183,90))),Reference!$A$6:$A$11,1))+1)-INDEX(Reference!$A$6:$A$11,MIN(5,MATCH(MAX(Reference!$A$6,MIN(Reference!$A$11,MIN($U183,90))),Reference!$A$6:$A$11,1))))),0)+IF(2&lt;=$AL183,($AL183-2+3)*(INDEX(Reference!$B$6:$B$11,MIN(5,MATCH(MAX(Reference!$A$6,MIN(Reference!$A$11,MIN($U183,120))),Reference!$A$6:$A$11,1)))+(MAX(Reference!$A$6,MIN(Reference!$A$11,MIN($U183,120)))-INDEX(Reference!$A$6:$A$11,MIN(5,MATCH(MAX(Reference!$A$6,MIN(Reference!$A$11,MIN($U183,120))),Reference!$A$6:$A$11,1))))*(INDEX(Reference!$B$6:$B$11,MIN(5,MATCH(MAX(Reference!$A$6,MIN(Reference!$A$11,MIN($U183,120))),Reference!$A$6:$A$11,1))+1)-INDEX(Reference!$B$6:$B$11,MIN(5,MATCH(MAX(Reference!$A$6,MIN(Reference!$A$11,MIN($U183,120))),Reference!$A$6:$A$11,1))))/(INDEX(Reference!$A$6:$A$11,MIN(5,MATCH(MAX(Reference!$A$6,MIN(Reference!$A$11,MIN($U183,120))),Reference!$A$6:$A$11,1))+1)-INDEX(Reference!$A$6:$A$11,MIN(5,MATCH(MAX(Reference!$A$6,MIN(Reference!$A$11,MIN($U183,120))),Reference!$A$6:$A$11,1))))),0)+IF(3&lt;=$AL183,($AL183-3+3)*(INDEX(Reference!$B$6:$B$11,MIN(5,MATCH(MAX(Reference!$A$6,MIN(Reference!$A$11,MIN($U183,150))),Reference!$A$6:$A$11,1)))+(MAX(Reference!$A$6,MIN(Reference!$A$11,MIN($U183,150)))-INDEX(Reference!$A$6:$A$11,MIN(5,MATCH(MAX(Reference!$A$6,MIN(Reference!$A$11,MIN($U183,150))),Reference!$A$6:$A$11,1))))*(INDEX(Reference!$B$6:$B$11,MIN(5,MATCH(MAX(Reference!$A$6,MIN(Reference!$A$11,MIN($U183,150))),Reference!$A$6:$A$11,1))+1)-INDEX(Reference!$B$6:$B$11,MIN(5,MATCH(MAX(Reference!$A$6,MIN(Reference!$A$11,MIN($U183,150))),Reference!$A$6:$A$11,1))))/(INDEX(Reference!$A$6:$A$11,MIN(5,MATCH(MAX(Reference!$A$6,MIN(Reference!$A$11,MIN($U183,150))),Reference!$A$6:$A$11,1))+1)-INDEX(Reference!$A$6:$A$11,MIN(5,MATCH(MAX(Reference!$A$6,MIN(Reference!$A$11,MIN($U183,150))),Reference!$A$6:$A$11,1))))),0)+IF(4&lt;=$AL183,($AL183-4+3)*(INDEX(Reference!$B$6:$B$11,MIN(5,MATCH(MAX(Reference!$A$6,MIN(Reference!$A$11,MIN($U183,180))),Reference!$A$6:$A$11,1)))+(MAX(Reference!$A$6,MIN(Reference!$A$11,MIN($U183,180)))-INDEX(Reference!$A$6:$A$11,MIN(5,MATCH(MAX(Reference!$A$6,MIN(Reference!$A$11,MIN($U183,180))),Reference!$A$6:$A$11,1))))*(INDEX(Reference!$B$6:$B$11,MIN(5,MATCH(MAX(Reference!$A$6,MIN(Reference!$A$11,MIN($U183,180))),Reference!$A$6:$A$11,1))+1)-INDEX(Reference!$B$6:$B$11,MIN(5,MATCH(MAX(Reference!$A$6,MIN(Reference!$A$11,MIN($U183,180))),Reference!$A$6:$A$11,1))))/(INDEX(Reference!$A$6:$A$11,MIN(5,MATCH(MAX(Reference!$A$6,MIN(Reference!$A$11,MIN($U183,180))),Reference!$A$6:$A$11,1))+1)-INDEX(Reference!$A$6:$A$11,MIN(5,MATCH(MAX(Reference!$A$6,MIN(Reference!$A$11,MIN($U183,180))),Reference!$A$6:$A$11,1))))),0)+IF(5&lt;=$AL183,($AL183-5+3)*(INDEX(Reference!$B$6:$B$11,MIN(5,MATCH(MAX(Reference!$A$6,MIN(Reference!$A$11,MIN($U183,210))),Reference!$A$6:$A$11,1)))+(MAX(Reference!$A$6,MIN(Reference!$A$11,MIN($U183,210)))-INDEX(Reference!$A$6:$A$11,MIN(5,MATCH(MAX(Reference!$A$6,MIN(Reference!$A$11,MIN($U183,210))),Reference!$A$6:$A$11,1))))*(INDEX(Reference!$B$6:$B$11,MIN(5,MATCH(MAX(Reference!$A$6,MIN(Reference!$A$11,MIN($U183,210))),Reference!$A$6:$A$11,1))+1)-INDEX(Reference!$B$6:$B$11,MIN(5,MATCH(MAX(Reference!$A$6,MIN(Reference!$A$11,MIN($U183,210))),Reference!$A$6:$A$11,1))))/(INDEX(Reference!$A$6:$A$11,MIN(5,MATCH(MAX(Reference!$A$6,MIN(Reference!$A$11,MIN($U183,210))),Reference!$A$6:$A$11,1))+1)-INDEX(Reference!$A$6:$A$11,MIN(5,MATCH(MAX(Reference!$A$6,MIN(Reference!$A$11,MIN($U183,210))),Reference!$A$6:$A$11,1))))),0)+IF(6&lt;=$AL183,($AL183-6+3)*(INDEX(Reference!$B$6:$B$11,MIN(5,MATCH(MAX(Reference!$A$6,MIN(Reference!$A$11,MIN($U183,240))),Reference!$A$6:$A$11,1)))+(MAX(Reference!$A$6,MIN(Reference!$A$11,MIN($U183,240)))-INDEX(Reference!$A$6:$A$11,MIN(5,MATCH(MAX(Reference!$A$6,MIN(Reference!$A$11,MIN($U183,240))),Reference!$A$6:$A$11,1))))*(INDEX(Reference!$B$6:$B$11,MIN(5,MATCH(MAX(Reference!$A$6,MIN(Reference!$A$11,MIN($U183,240))),Reference!$A$6:$A$11,1))+1)-INDEX(Reference!$B$6:$B$11,MIN(5,MATCH(MAX(Reference!$A$6,MIN(Reference!$A$11,MIN($U183,240))),Reference!$A$6:$A$11,1))))/(INDEX(Reference!$A$6:$A$11,MIN(5,MATCH(MAX(Reference!$A$6,MIN(Reference!$A$11,MIN($U183,240))),Reference!$A$6:$A$11,1))+1)-INDEX(Reference!$A$6:$A$11,MIN(5,MATCH(MAX(Reference!$A$6,MIN(Reference!$A$11,MIN($U183,240))),Reference!$A$6:$A$11,1))))),0)+IF(7&lt;=$AL183,($AL183-7+3)*(INDEX(Reference!$B$6:$B$11,MIN(5,MATCH(MAX(Reference!$A$6,MIN(Reference!$A$11,MIN($U183,270))),Reference!$A$6:$A$11,1)))+(MAX(Reference!$A$6,MIN(Reference!$A$11,MIN($U183,270)))-INDEX(Reference!$A$6:$A$11,MIN(5,MATCH(MAX(Reference!$A$6,MIN(Reference!$A$11,MIN($U183,270))),Reference!$A$6:$A$11,1))))*(INDEX(Reference!$B$6:$B$11,MIN(5,MATCH(MAX(Reference!$A$6,MIN(Reference!$A$11,MIN($U183,270))),Reference!$A$6:$A$11,1))+1)-INDEX(Reference!$B$6:$B$11,MIN(5,MATCH(MAX(Reference!$A$6,MIN(Reference!$A$11,MIN($U183,270))),Reference!$A$6:$A$11,1))))/(INDEX(Reference!$A$6:$A$11,MIN(5,MATCH(MAX(Reference!$A$6,MIN(Reference!$A$11,MIN($U183,270))),Reference!$A$6:$A$11,1))+1)-INDEX(Reference!$A$6:$A$11,MIN(5,MATCH(MAX(Reference!$A$6,MIN(Reference!$A$11,MIN($U183,270))),Reference!$A$6:$A$11,1))))),0)+IF(8&lt;=$AL183,($AL183-8+3)*(INDEX(Reference!$B$6:$B$11,MIN(5,MATCH(MAX(Reference!$A$6,MIN(Reference!$A$11,MIN($U183,300))),Reference!$A$6:$A$11,1)))+(MAX(Reference!$A$6,MIN(Reference!$A$11,MIN($U183,300)))-INDEX(Reference!$A$6:$A$11,MIN(5,MATCH(MAX(Reference!$A$6,MIN(Reference!$A$11,MIN($U183,300))),Reference!$A$6:$A$11,1))))*(INDEX(Reference!$B$6:$B$11,MIN(5,MATCH(MAX(Reference!$A$6,MIN(Reference!$A$11,MIN($U183,300))),Reference!$A$6:$A$11,1))+1)-INDEX(Reference!$B$6:$B$11,MIN(5,MATCH(MAX(Reference!$A$6,MIN(Reference!$A$11,MIN($U183,300))),Reference!$A$6:$A$11,1))))/(INDEX(Reference!$A$6:$A$11,MIN(5,MATCH(MAX(Reference!$A$6,MIN(Reference!$A$11,MIN($U183,300))),Reference!$A$6:$A$11,1))+1)-INDEX(Reference!$A$6:$A$11,MIN(5,MATCH(MAX(Reference!$A$6,MIN(Reference!$A$11,MIN($U183,300))),Reference!$A$6:$A$11,1))))),0))/($AL183*($AL183+5)/2)),$AN183))</f>
        <v>0</v>
      </c>
      <c r="AN183" s="32">
        <f>IF($U183="",0,(INDEX(Reference!$B$6:$B$11,MIN(5,MATCH(MAX(Reference!$A$6,MIN(Reference!$A$11,$U183)),Reference!$A$6:$A$11,1)))+(MAX(Reference!$A$6,MIN(Reference!$A$11,$U183))-INDEX(Reference!$A$6:$A$11,MIN(5,MATCH(MAX(Reference!$A$6,MIN(Reference!$A$11,$U183)),Reference!$A$6:$A$11,1))))*(INDEX(Reference!$B$6:$B$11,MIN(5,MATCH(MAX(Reference!$A$6,MIN(Reference!$A$11,$U183)),Reference!$A$6:$A$11,1))+1)-INDEX(Reference!$B$6:$B$11,MIN(5,MATCH(MAX(Reference!$A$6,MIN(Reference!$A$11,$U183)),Reference!$A$6:$A$11,1))))/(INDEX(Reference!$A$6:$A$11,MIN(5,MATCH(MAX(Reference!$A$6,MIN(Reference!$A$11,$U183)),Reference!$A$6:$A$11,1))+1)-INDEX(Reference!$A$6:$A$11,MIN(5,MATCH(MAX(Reference!$A$6,MIN(Reference!$A$11,$U183)),Reference!$A$6:$A$11,1))))))</f>
        <v>0</v>
      </c>
      <c r="AO183" s="37"/>
      <c r="AP183" s="37"/>
      <c r="AQ183" s="37"/>
    </row>
  </sheetData>
  <mergeCells count="24">
    <mergeCell ref="A16:G16"/>
    <mergeCell ref="A17:G17"/>
    <mergeCell ref="A11:C11"/>
    <mergeCell ref="I11:J11"/>
    <mergeCell ref="A12:C12"/>
    <mergeCell ref="I12:J12"/>
    <mergeCell ref="A14:G15"/>
    <mergeCell ref="A9:C9"/>
    <mergeCell ref="I9:J9"/>
    <mergeCell ref="A10:C10"/>
    <mergeCell ref="D10:E10"/>
    <mergeCell ref="I10:J10"/>
    <mergeCell ref="A6:C6"/>
    <mergeCell ref="I6:J6"/>
    <mergeCell ref="A7:C7"/>
    <mergeCell ref="I7:J7"/>
    <mergeCell ref="A8:C8"/>
    <mergeCell ref="I8:J8"/>
    <mergeCell ref="A1:G1"/>
    <mergeCell ref="A2:G2"/>
    <mergeCell ref="A4:C4"/>
    <mergeCell ref="I4:K4"/>
    <mergeCell ref="A5:C5"/>
    <mergeCell ref="I5:J5"/>
  </mergeCells>
  <conditionalFormatting sqref="A43:K183">
    <cfRule type="expression" dxfId="55" priority="2">
      <formula>$F43="No Throw"</formula>
    </cfRule>
    <cfRule type="expression" dxfId="54" priority="3">
      <formula>AND($A43&lt;&gt;"",$C43=0)</formula>
    </cfRule>
  </conditionalFormatting>
  <conditionalFormatting sqref="F19:F39">
    <cfRule type="expression" dxfId="53" priority="8">
      <formula>AND(ISNUMBER(F19),F19&lt;0.8)</formula>
    </cfRule>
    <cfRule type="expression" dxfId="52" priority="9">
      <formula>AND(ISNUMBER(F19),F19&gt;=0.8,F19&lt;=1.3)</formula>
    </cfRule>
    <cfRule type="expression" dxfId="51" priority="10">
      <formula>AND(ISNUMBER(F19),F19&gt;1.3,F19&lt;=1.5)</formula>
    </cfRule>
    <cfRule type="expression" dxfId="50" priority="11">
      <formula>AND(ISNUMBER(F19),F19&gt;1.5)</formula>
    </cfRule>
  </conditionalFormatting>
  <conditionalFormatting sqref="G12:G13">
    <cfRule type="expression" dxfId="49" priority="12">
      <formula>AND(ISNUMBER(G12),G12&lt;0.8)</formula>
    </cfRule>
    <cfRule type="expression" dxfId="48" priority="13">
      <formula>AND(ISNUMBER(G12),G12&gt;=0.8,G12&lt;=1.3)</formula>
    </cfRule>
    <cfRule type="expression" dxfId="47" priority="14">
      <formula>AND(ISNUMBER(G12),G12&gt;1.3,G12&lt;=1.5)</formula>
    </cfRule>
    <cfRule type="expression" dxfId="46" priority="15">
      <formula>AND(ISNUMBER(G12),G12&gt;1.5)</formula>
    </cfRule>
  </conditionalFormatting>
  <conditionalFormatting sqref="I43:I183">
    <cfRule type="expression" dxfId="45" priority="4">
      <formula>AND(ISNUMBER(I43),I43&lt;0.8)</formula>
    </cfRule>
    <cfRule type="expression" dxfId="44" priority="5">
      <formula>AND(ISNUMBER(I43),I43&gt;=0.8,I43&lt;=1.3)</formula>
    </cfRule>
    <cfRule type="expression" dxfId="43" priority="6">
      <formula>AND(ISNUMBER(I43),I43&gt;1.3,I43&lt;=1.5)</formula>
    </cfRule>
    <cfRule type="expression" dxfId="42" priority="7">
      <formula>AND(ISNUMBER(I43),I43&gt;1.5)</formula>
    </cfRule>
  </conditionalFormatting>
  <dataValidations count="3">
    <dataValidation type="decimal" allowBlank="1" showErrorMessage="1" error="Distance in feet (30–400)." sqref="AO43:AO183" xr:uid="{00000000-0002-0000-0700-000000000000}">
      <formula1>30</formula1>
      <formula2>400</formula2>
    </dataValidation>
    <dataValidation type="decimal" allowBlank="1" showErrorMessage="1" error="Velo in mph (40–110)." sqref="AP43:AQ183" xr:uid="{00000000-0002-0000-0700-000001000000}">
      <formula1>40</formula1>
      <formula2>110</formula2>
    </dataValidation>
    <dataValidation type="list" allowBlank="1" sqref="J43:J183" xr:uid="{00000000-0002-0000-0700-000004000000}">
      <formula1>"(none),x"</formula1>
      <formula2>0</formula2>
    </dataValidation>
  </dataValidations>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2">
        <x14:dataValidation type="list" allowBlank="1" xr:uid="{00000000-0002-0000-0700-000002000000}">
          <x14:formula1>
            <xm:f>Roster!$A$5:$A$40</xm:f>
          </x14:formula1>
          <x14:formula2>
            <xm:f>0</xm:f>
          </x14:formula2>
          <xm:sqref>D4</xm:sqref>
        </x14:dataValidation>
        <x14:dataValidation type="list" xr:uid="{00000000-0002-0000-0700-000003000000}">
          <x14:formula1>
            <xm:f>Reference!$A$93:$A$96</xm:f>
          </x14:formula1>
          <x14:formula2>
            <xm:f>0</xm:f>
          </x14:formula2>
          <xm:sqref>D10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183"/>
  <sheetViews>
    <sheetView showGridLines="0" zoomScaleNormal="100" workbookViewId="0"/>
  </sheetViews>
  <sheetFormatPr defaultColWidth="8.6640625" defaultRowHeight="14.4" x14ac:dyDescent="0.3"/>
  <cols>
    <col min="1" max="1" width="11" customWidth="1"/>
    <col min="2" max="2" width="7" customWidth="1"/>
    <col min="3" max="3" width="9" customWidth="1"/>
    <col min="4" max="4" width="19" customWidth="1"/>
    <col min="5" max="5" width="17" customWidth="1"/>
    <col min="6" max="6" width="21" customWidth="1"/>
    <col min="7" max="7" width="64" customWidth="1"/>
    <col min="8" max="10" width="11" customWidth="1"/>
    <col min="11" max="11" width="22" customWidth="1"/>
    <col min="12" max="40" width="13" hidden="1" customWidth="1"/>
    <col min="41" max="43" width="11" customWidth="1"/>
  </cols>
  <sheetData>
    <row r="1" spans="1:11" ht="21" x14ac:dyDescent="0.4">
      <c r="A1" s="14" t="s">
        <v>277</v>
      </c>
      <c r="B1" s="14"/>
      <c r="C1" s="14"/>
      <c r="D1" s="14"/>
      <c r="E1" s="14"/>
      <c r="F1" s="14"/>
      <c r="G1" s="14"/>
    </row>
    <row r="2" spans="1:11" ht="103.5" customHeight="1" x14ac:dyDescent="0.3">
      <c r="A2" s="11" t="s">
        <v>278</v>
      </c>
      <c r="B2" s="11"/>
      <c r="C2" s="11"/>
      <c r="D2" s="11"/>
      <c r="E2" s="11"/>
      <c r="F2" s="11"/>
      <c r="G2" s="11"/>
    </row>
    <row r="4" spans="1:11" x14ac:dyDescent="0.3">
      <c r="A4" s="3" t="s">
        <v>151</v>
      </c>
      <c r="B4" s="3"/>
      <c r="C4" s="3"/>
      <c r="D4" s="37" t="s">
        <v>146</v>
      </c>
      <c r="F4" s="21" t="s">
        <v>279</v>
      </c>
      <c r="G4" s="49">
        <f>IFERROR($D$7-$D$6,"")</f>
        <v>84</v>
      </c>
      <c r="I4" s="2" t="s">
        <v>280</v>
      </c>
      <c r="J4" s="2"/>
      <c r="K4" s="2"/>
    </row>
    <row r="5" spans="1:11" x14ac:dyDescent="0.3">
      <c r="A5" s="3" t="s">
        <v>281</v>
      </c>
      <c r="B5" s="3"/>
      <c r="C5" s="3"/>
      <c r="D5" s="32">
        <f>IFERROR(INDEX(Roster!$D$5:$D$40,MATCH($D$4,Roster!$A$5:$A$40,0)),"")</f>
        <v>91</v>
      </c>
      <c r="F5" s="21" t="s">
        <v>282</v>
      </c>
      <c r="G5" s="49">
        <f>IFERROR(ROUNDUP(($G$4-7)/7,0),"")</f>
        <v>11</v>
      </c>
      <c r="I5" s="1" t="s">
        <v>283</v>
      </c>
      <c r="J5" s="1"/>
      <c r="K5" s="44" t="str">
        <f>IFERROR(IF(SUMPRODUCT(MAX(('Throw Log'!$B$5:$B$300=$D$4)*('Throw Log'!$A$5:$A$300&lt;$D$6)*ISNUMBER('Throw Log'!$Q$5:$Q$300)*('Throw Log'!$Q$5:$Q$300&gt;0)*'Throw Log'!$A$5:$A$300))=0,"none logged",$D$6-SUMPRODUCT(MAX(('Throw Log'!$B$5:$B$300=$D$4)*('Throw Log'!$A$5:$A$300&lt;$D$6)*ISNUMBER('Throw Log'!$Q$5:$Q$300)*('Throw Log'!$Q$5:$Q$300&gt;0)*'Throw Log'!$A$5:$A$300))),"")</f>
        <v>none logged</v>
      </c>
    </row>
    <row r="6" spans="1:11" x14ac:dyDescent="0.3">
      <c r="A6" s="3" t="s">
        <v>284</v>
      </c>
      <c r="B6" s="3"/>
      <c r="C6" s="3"/>
      <c r="D6" s="38">
        <v>46307</v>
      </c>
      <c r="F6" s="21" t="s">
        <v>285</v>
      </c>
      <c r="G6" s="49">
        <f>IFERROR(IF($K$12=1,MIN($G$8,$G$11/4),IF($D$10="Auto (from Throw Log)",Reference!$B$94,VLOOKUP($D$10,Reference!$A$93:$D$96,2,FALSE()))*$D$12),"")</f>
        <v>80</v>
      </c>
      <c r="I6" s="1" t="s">
        <v>286</v>
      </c>
      <c r="J6" s="1"/>
      <c r="K6" s="44">
        <f>IFERROR(SUMIFS('Throw Log'!$Q$5:$Q$300,'Throw Log'!$B$5:$B$300,$D$4,'Throw Log'!$A$5:$A$300,"&gt;="&amp;($D$6-7),'Throw Log'!$A$5:$A$300,"&lt;="&amp;($D$6-0-1)),0)</f>
        <v>0</v>
      </c>
    </row>
    <row r="7" spans="1:11" x14ac:dyDescent="0.3">
      <c r="A7" s="3" t="s">
        <v>287</v>
      </c>
      <c r="B7" s="3"/>
      <c r="C7" s="3"/>
      <c r="D7" s="38">
        <v>46391</v>
      </c>
      <c r="F7" s="21" t="s">
        <v>288</v>
      </c>
      <c r="G7" s="50">
        <f>IFERROR(IF($D$10="Auto (from Throw Log)",IF($K$12=1,MIN(0.55,MAX(0,($G$6-Reference!$B$94*$D$12)/MAX(1,$G$8-Reference!$B$94*$D$12)*0.55)),0),VLOOKUP($D$10,Reference!$A$93:$D$96,3,FALSE())),0)</f>
        <v>0</v>
      </c>
      <c r="I7" s="1" t="s">
        <v>289</v>
      </c>
      <c r="J7" s="1"/>
      <c r="K7" s="44">
        <f>IFERROR(SUMIFS('Throw Log'!$Q$5:$Q$300,'Throw Log'!$B$5:$B$300,$D$4,'Throw Log'!$A$5:$A$300,"&gt;="&amp;($D$6-14),'Throw Log'!$A$5:$A$300,"&lt;="&amp;($D$6-7-1)),0)</f>
        <v>0</v>
      </c>
    </row>
    <row r="8" spans="1:11" x14ac:dyDescent="0.3">
      <c r="A8" s="3" t="s">
        <v>290</v>
      </c>
      <c r="B8" s="3"/>
      <c r="C8" s="3"/>
      <c r="D8" s="51">
        <v>20</v>
      </c>
      <c r="F8" s="21" t="s">
        <v>291</v>
      </c>
      <c r="G8" s="49">
        <f>Reference!$B$97*$D$12</f>
        <v>260</v>
      </c>
      <c r="I8" s="1" t="s">
        <v>292</v>
      </c>
      <c r="J8" s="1"/>
      <c r="K8" s="44">
        <f>IFERROR(SUMIFS('Throw Log'!$Q$5:$Q$300,'Throw Log'!$B$5:$B$300,$D$4,'Throw Log'!$A$5:$A$300,"&gt;="&amp;($D$6-21),'Throw Log'!$A$5:$A$300,"&lt;="&amp;($D$6-14-1)),0)</f>
        <v>0</v>
      </c>
    </row>
    <row r="9" spans="1:11" x14ac:dyDescent="0.3">
      <c r="A9" s="3" t="s">
        <v>293</v>
      </c>
      <c r="B9" s="3"/>
      <c r="C9" s="3"/>
      <c r="D9" s="51">
        <v>84</v>
      </c>
      <c r="E9" s="37">
        <v>86</v>
      </c>
      <c r="F9" s="21" t="s">
        <v>294</v>
      </c>
      <c r="G9" s="52">
        <f>IFERROR(MIN(Reference!$B$98,MAX(1,($G$8/$G$6)^(1/MAX(1,$G$5-1)))),1)</f>
        <v>1.125092775800282</v>
      </c>
      <c r="I9" s="1" t="s">
        <v>295</v>
      </c>
      <c r="J9" s="1"/>
      <c r="K9" s="44">
        <f>IFERROR(SUMIFS('Throw Log'!$Q$5:$Q$300,'Throw Log'!$B$5:$B$300,$D$4,'Throw Log'!$A$5:$A$300,"&gt;="&amp;($D$6-28),'Throw Log'!$A$5:$A$300,"&lt;="&amp;($D$6-21-1)),0)</f>
        <v>0</v>
      </c>
    </row>
    <row r="10" spans="1:11" x14ac:dyDescent="0.3">
      <c r="A10" s="3" t="s">
        <v>99</v>
      </c>
      <c r="B10" s="3"/>
      <c r="C10" s="3"/>
      <c r="D10" s="7" t="s">
        <v>103</v>
      </c>
      <c r="E10" s="7"/>
      <c r="F10" s="21" t="s">
        <v>296</v>
      </c>
      <c r="G10" s="53">
        <f>IFERROR(MIN(1,$G$6*$G$9^($G$5-1)/$G$8),1)</f>
        <v>1</v>
      </c>
      <c r="I10" s="1" t="s">
        <v>297</v>
      </c>
      <c r="J10" s="1"/>
      <c r="K10" s="46" t="str">
        <f>IFERROR(IF(SUM($K$6:$K$9)=0,"—",($K$6/7)/(SUM($K$6:$K$9)/28)),"—")</f>
        <v>—</v>
      </c>
    </row>
    <row r="11" spans="1:11" x14ac:dyDescent="0.3">
      <c r="A11" s="3" t="s">
        <v>298</v>
      </c>
      <c r="B11" s="3"/>
      <c r="C11" s="3"/>
      <c r="D11" s="51">
        <v>180</v>
      </c>
      <c r="F11" s="21" t="s">
        <v>299</v>
      </c>
      <c r="G11" s="49">
        <f>IFERROR(SUMIFS('Throw Log'!$Q$5:$Q$300,'Throw Log'!$B$5:$B$300,$D$4,'Throw Log'!$A$5:$A$300,"&gt;="&amp;($D$6-28),'Throw Log'!$A$5:$A$300,"&lt;="&amp;($D$6-1)),0)</f>
        <v>0</v>
      </c>
      <c r="I11" s="1" t="s">
        <v>300</v>
      </c>
      <c r="J11" s="1"/>
      <c r="K11" s="32" t="str">
        <f>IF($K$12=1,"Continue from his load",IF($G$11&gt;0,"Restart (off too long)","Fresh start"))</f>
        <v>Fresh start</v>
      </c>
    </row>
    <row r="12" spans="1:11" x14ac:dyDescent="0.3">
      <c r="A12" s="3" t="s">
        <v>301</v>
      </c>
      <c r="B12" s="3"/>
      <c r="C12" s="3"/>
      <c r="D12" s="54">
        <v>1</v>
      </c>
      <c r="F12" s="21" t="s">
        <v>302</v>
      </c>
      <c r="G12" s="50">
        <f>IFERROR(INDEX($I$43:$I$183,$G$4+1),"")</f>
        <v>1.3197223370749587</v>
      </c>
      <c r="I12" s="1" t="s">
        <v>303</v>
      </c>
      <c r="J12" s="1"/>
      <c r="K12" s="55">
        <f>IF(AND(ISNUMBER($K$5),N($K$5)&lt;=Reference!$B$105,$G$11&gt;0),1,0)</f>
        <v>0</v>
      </c>
    </row>
    <row r="13" spans="1:11" x14ac:dyDescent="0.3">
      <c r="F13" s="21" t="s">
        <v>304</v>
      </c>
      <c r="G13" s="50">
        <f>IFERROR(MAX($I$43:$I$183),"")</f>
        <v>1.3197223370749587</v>
      </c>
    </row>
    <row r="14" spans="1:11" x14ac:dyDescent="0.3">
      <c r="A14" s="57" t="str">
        <f>IFERROR(IF($D$5="","Pick a player who is on the Roster (with his Avg Top Velo filled in).",IF($G$4&lt;IF($D$10="Auto (from Throw Log)",IF($K$12=1,Reference!$D$96,Reference!$D$94),VLOOKUP($D$10,Reference!$A$93:$D$96,4,FALSE())),"⚠ "&amp;$G$4&amp;" days is shorter than the recommended "&amp;IF($D$10="Auto (from Throw Log)",IF($K$12=1,Reference!$D$96,Reference!$D$94),VLOOKUP($D$10,Reference!$A$93:$D$96,4,FALSE()))&amp;" days for this starting point — expect ACWR spikes. Push the first pen back or change the Starting Point.",IF($G$4&gt;140,"⚠ The table covers 140 days max — move the start date later.",IF(COUNTIFS($I$43:$I$183,"&gt;1.3")&gt;0,"⚠ "&amp;COUNTIFS($I$43:$I$183,"&gt;1.3")&amp;" day(s) above 1.3 — see the ACWR column; use Make Off / Throws Override to smooth it out.",IF(COUNTIFS($I$43:$I$183,"&lt;0.8")&gt;0,"✓ No spikes above 1.3. "&amp;COUNTIFS($I$43:$I$183,"&lt;0.8")&amp;" day(s) read below 0.8 — that's him stepping down from a heavier recent load, not a risk.","✓ Every readable day sits in the 0.8–1.3 sweet spot, including the first pen."))))),"Fill in the start and first-bullpen dates.")</f>
        <v>⚠ 1 day(s) above 1.3 — see the ACWR column; use Make Off / Throws Override to smooth it out.</v>
      </c>
      <c r="B14" s="57"/>
      <c r="C14" s="57"/>
      <c r="D14" s="57"/>
      <c r="E14" s="57"/>
      <c r="F14" s="57"/>
      <c r="G14" s="57"/>
    </row>
    <row r="15" spans="1:11" x14ac:dyDescent="0.3">
      <c r="A15" s="57"/>
      <c r="B15" s="57"/>
      <c r="C15" s="57"/>
      <c r="D15" s="57"/>
      <c r="E15" s="57"/>
      <c r="F15" s="57"/>
      <c r="G15" s="57"/>
    </row>
    <row r="16" spans="1:11" x14ac:dyDescent="0.3">
      <c r="A16" s="13" t="str">
        <f>IFERROR("First pen at "&amp;$D$9&amp;"–"&amp;$E$9&amp;" mph = "&amp;ROUND($D$5-$E$9,0)&amp;"–"&amp;ROUND($D$5-$D$9,0)&amp;" mph below his avg"&amp;IF($D$5-$E$9&lt;4," — the top end is in his max-effort band; consider lowering the pen velo for him.","."),"")</f>
        <v>First pen at 84–86 mph = 5–7 mph below his avg.</v>
      </c>
      <c r="B16" s="13"/>
      <c r="C16" s="13"/>
      <c r="D16" s="13"/>
      <c r="E16" s="13"/>
      <c r="F16" s="13"/>
      <c r="G16" s="13"/>
    </row>
    <row r="17" spans="1:7" x14ac:dyDescent="0.3">
      <c r="A17" s="13" t="str">
        <f>IF($K$12=1,"ℹ Built off his Throw Log: starts at his average week over the last 28 days ("&amp;ROUND($G$11/4,0)&amp;"/week)"&amp;IF($G$11/4&gt;$G$8," — capped at this plan's peak, a planned cut-back","")&amp;", and that history counts toward his ACWR from day 1.",IF($G$11&gt;0,"ℹ He's been off "&amp;$K$5&amp;" days, more than the "&amp;Reference!$B$105&amp;" his history can cover — his old workload will expire out of the 28-day window, so the plan treats this as a restart and the ACWR reads from day 28.","ℹ No throwing logged for him in the 28 days before the start date — fresh start, ACWR reads from day 28."))</f>
        <v>ℹ No throwing logged for him in the 28 days before the start date — fresh start, ACWR reads from day 28.</v>
      </c>
      <c r="B17" s="13"/>
      <c r="C17" s="13"/>
      <c r="D17" s="13"/>
      <c r="E17" s="13"/>
      <c r="F17" s="13"/>
      <c r="G17" s="13"/>
    </row>
    <row r="18" spans="1:7" ht="30" customHeight="1" x14ac:dyDescent="0.3">
      <c r="A18" s="19" t="s">
        <v>203</v>
      </c>
      <c r="B18" s="19" t="s">
        <v>305</v>
      </c>
      <c r="C18" s="19" t="s">
        <v>306</v>
      </c>
      <c r="D18" s="19" t="s">
        <v>205</v>
      </c>
      <c r="E18" s="19" t="s">
        <v>207</v>
      </c>
      <c r="F18" s="19" t="s">
        <v>307</v>
      </c>
    </row>
    <row r="19" spans="1:7" x14ac:dyDescent="0.3">
      <c r="A19" s="48">
        <f t="shared" ref="A19:A39" si="0">IFERROR(IF($D$6+7*(B19-1)&gt;$D$7,"",$D$6+7*(B19-1)),"")</f>
        <v>46307</v>
      </c>
      <c r="B19" s="32">
        <v>1</v>
      </c>
      <c r="C19" s="32">
        <f t="shared" ref="C19:C39" si="1">IF(A19="","",COUNTIFS($M$43:$M$183,B19,$H$43:$H$183,"&gt;0"))</f>
        <v>4</v>
      </c>
      <c r="D19" s="44">
        <f t="shared" ref="D19:D39" si="2">IF(A19="","",SUMIFS($H$43:$H$183,$M$43:$M$183,B19))</f>
        <v>66</v>
      </c>
      <c r="E19" s="45"/>
      <c r="F19" s="46" t="str">
        <f t="shared" ref="F19:F39" si="3">IF(A19="","",INDEX($I$43:$I$183,MIN(7*B19,$G$4+1)))</f>
        <v>Building</v>
      </c>
    </row>
    <row r="20" spans="1:7" x14ac:dyDescent="0.3">
      <c r="A20" s="48">
        <f t="shared" si="0"/>
        <v>46314</v>
      </c>
      <c r="B20" s="32">
        <v>2</v>
      </c>
      <c r="C20" s="32">
        <f t="shared" si="1"/>
        <v>5</v>
      </c>
      <c r="D20" s="44">
        <f t="shared" si="2"/>
        <v>85.350000000000009</v>
      </c>
      <c r="E20" s="45">
        <f t="shared" ref="E20:E39" si="4">IF(OR(A20="",D19="",D19=0),"",D20/D19-1)</f>
        <v>0.29318181818181821</v>
      </c>
      <c r="F20" s="46" t="str">
        <f t="shared" si="3"/>
        <v>Building</v>
      </c>
    </row>
    <row r="21" spans="1:7" x14ac:dyDescent="0.3">
      <c r="A21" s="48">
        <f t="shared" si="0"/>
        <v>46321</v>
      </c>
      <c r="B21" s="32">
        <v>3</v>
      </c>
      <c r="C21" s="32">
        <f t="shared" si="1"/>
        <v>5</v>
      </c>
      <c r="D21" s="44">
        <f t="shared" si="2"/>
        <v>103.5</v>
      </c>
      <c r="E21" s="45">
        <f t="shared" si="4"/>
        <v>0.21265377855887513</v>
      </c>
      <c r="F21" s="46" t="str">
        <f t="shared" si="3"/>
        <v>Building</v>
      </c>
    </row>
    <row r="22" spans="1:7" x14ac:dyDescent="0.3">
      <c r="A22" s="48">
        <f t="shared" si="0"/>
        <v>46328</v>
      </c>
      <c r="B22" s="32">
        <v>4</v>
      </c>
      <c r="C22" s="32">
        <f t="shared" si="1"/>
        <v>5</v>
      </c>
      <c r="D22" s="44">
        <f t="shared" si="2"/>
        <v>103.57714285714286</v>
      </c>
      <c r="E22" s="45">
        <f t="shared" si="4"/>
        <v>7.4534161490680262E-4</v>
      </c>
      <c r="F22" s="46">
        <f t="shared" si="3"/>
        <v>1.1559073571437113</v>
      </c>
    </row>
    <row r="23" spans="1:7" x14ac:dyDescent="0.3">
      <c r="A23" s="48">
        <f t="shared" si="0"/>
        <v>46335</v>
      </c>
      <c r="B23" s="32">
        <v>5</v>
      </c>
      <c r="C23" s="32">
        <f t="shared" si="1"/>
        <v>5</v>
      </c>
      <c r="D23" s="44">
        <f t="shared" si="2"/>
        <v>115.72285714285715</v>
      </c>
      <c r="E23" s="45">
        <f t="shared" si="4"/>
        <v>0.1172624958622972</v>
      </c>
      <c r="F23" s="46">
        <f t="shared" si="3"/>
        <v>1.1341208589279153</v>
      </c>
    </row>
    <row r="24" spans="1:7" x14ac:dyDescent="0.3">
      <c r="A24" s="48">
        <f t="shared" si="0"/>
        <v>46342</v>
      </c>
      <c r="B24" s="32">
        <v>6</v>
      </c>
      <c r="C24" s="32">
        <f t="shared" si="1"/>
        <v>5</v>
      </c>
      <c r="D24" s="44">
        <f t="shared" si="2"/>
        <v>136.4325</v>
      </c>
      <c r="E24" s="45">
        <f t="shared" si="4"/>
        <v>0.17895896600251837</v>
      </c>
      <c r="F24" s="46">
        <f t="shared" si="3"/>
        <v>1.1883523052048797</v>
      </c>
    </row>
    <row r="25" spans="1:7" x14ac:dyDescent="0.3">
      <c r="A25" s="48">
        <f t="shared" si="0"/>
        <v>46349</v>
      </c>
      <c r="B25" s="32">
        <v>7</v>
      </c>
      <c r="C25" s="32">
        <f t="shared" si="1"/>
        <v>6</v>
      </c>
      <c r="D25" s="44">
        <f t="shared" si="2"/>
        <v>145.38</v>
      </c>
      <c r="E25" s="45">
        <f t="shared" si="4"/>
        <v>6.5581881150019061E-2</v>
      </c>
      <c r="F25" s="46">
        <f t="shared" si="3"/>
        <v>1.1604579809922919</v>
      </c>
    </row>
    <row r="26" spans="1:7" x14ac:dyDescent="0.3">
      <c r="A26" s="48">
        <f t="shared" si="0"/>
        <v>46356</v>
      </c>
      <c r="B26" s="32">
        <v>8</v>
      </c>
      <c r="C26" s="32">
        <f t="shared" si="1"/>
        <v>6</v>
      </c>
      <c r="D26" s="44">
        <f t="shared" si="2"/>
        <v>165.61666666666665</v>
      </c>
      <c r="E26" s="45">
        <f t="shared" si="4"/>
        <v>0.13919842252487724</v>
      </c>
      <c r="F26" s="46">
        <f t="shared" si="3"/>
        <v>1.1763549426410909</v>
      </c>
    </row>
    <row r="27" spans="1:7" x14ac:dyDescent="0.3">
      <c r="A27" s="48">
        <f t="shared" si="0"/>
        <v>46363</v>
      </c>
      <c r="B27" s="32">
        <v>9</v>
      </c>
      <c r="C27" s="32">
        <f t="shared" si="1"/>
        <v>6</v>
      </c>
      <c r="D27" s="44">
        <f t="shared" si="2"/>
        <v>206.38833333333332</v>
      </c>
      <c r="E27" s="45">
        <f t="shared" si="4"/>
        <v>0.24618093992150558</v>
      </c>
      <c r="F27" s="46">
        <f t="shared" si="3"/>
        <v>1.2626663148865445</v>
      </c>
    </row>
    <row r="28" spans="1:7" x14ac:dyDescent="0.3">
      <c r="A28" s="48">
        <f t="shared" si="0"/>
        <v>46370</v>
      </c>
      <c r="B28" s="32">
        <v>10</v>
      </c>
      <c r="C28" s="32">
        <f t="shared" si="1"/>
        <v>6</v>
      </c>
      <c r="D28" s="44">
        <f t="shared" si="2"/>
        <v>211.185</v>
      </c>
      <c r="E28" s="45">
        <f t="shared" si="4"/>
        <v>2.3240977768446358E-2</v>
      </c>
      <c r="F28" s="46">
        <f t="shared" si="3"/>
        <v>1.1594493322535926</v>
      </c>
    </row>
    <row r="29" spans="1:7" x14ac:dyDescent="0.3">
      <c r="A29" s="48">
        <f t="shared" si="0"/>
        <v>46377</v>
      </c>
      <c r="B29" s="32">
        <v>11</v>
      </c>
      <c r="C29" s="32">
        <f t="shared" si="1"/>
        <v>6</v>
      </c>
      <c r="D29" s="44">
        <f t="shared" si="2"/>
        <v>223.28333333333333</v>
      </c>
      <c r="E29" s="45">
        <f t="shared" si="4"/>
        <v>5.7287843991445042E-2</v>
      </c>
      <c r="F29" s="46">
        <f t="shared" si="3"/>
        <v>1.1074555058650419</v>
      </c>
    </row>
    <row r="30" spans="1:7" x14ac:dyDescent="0.3">
      <c r="A30" s="48">
        <f t="shared" si="0"/>
        <v>46384</v>
      </c>
      <c r="B30" s="32">
        <v>12</v>
      </c>
      <c r="C30" s="32">
        <f t="shared" si="1"/>
        <v>6</v>
      </c>
      <c r="D30" s="44">
        <f t="shared" si="2"/>
        <v>225.72749999999999</v>
      </c>
      <c r="E30" s="45">
        <f t="shared" si="4"/>
        <v>1.0946480555348082E-2</v>
      </c>
      <c r="F30" s="46">
        <f t="shared" si="3"/>
        <v>1.0419184133874282</v>
      </c>
    </row>
    <row r="31" spans="1:7" x14ac:dyDescent="0.3">
      <c r="A31" s="48">
        <f t="shared" si="0"/>
        <v>46391</v>
      </c>
      <c r="B31" s="32">
        <v>13</v>
      </c>
      <c r="C31" s="32">
        <f t="shared" si="1"/>
        <v>1</v>
      </c>
      <c r="D31" s="44">
        <f t="shared" si="2"/>
        <v>109.5</v>
      </c>
      <c r="E31" s="45">
        <f t="shared" si="4"/>
        <v>-0.51490181745688934</v>
      </c>
      <c r="F31" s="46">
        <f t="shared" si="3"/>
        <v>1.3197223370749587</v>
      </c>
    </row>
    <row r="32" spans="1:7" x14ac:dyDescent="0.3">
      <c r="A32" s="48" t="str">
        <f t="shared" si="0"/>
        <v/>
      </c>
      <c r="B32" s="32">
        <v>14</v>
      </c>
      <c r="C32" s="32" t="str">
        <f t="shared" si="1"/>
        <v/>
      </c>
      <c r="D32" s="44" t="str">
        <f t="shared" si="2"/>
        <v/>
      </c>
      <c r="E32" s="45" t="str">
        <f t="shared" si="4"/>
        <v/>
      </c>
      <c r="F32" s="46" t="str">
        <f t="shared" si="3"/>
        <v/>
      </c>
    </row>
    <row r="33" spans="1:43" x14ac:dyDescent="0.3">
      <c r="A33" s="48" t="str">
        <f t="shared" si="0"/>
        <v/>
      </c>
      <c r="B33" s="32">
        <v>15</v>
      </c>
      <c r="C33" s="32" t="str">
        <f t="shared" si="1"/>
        <v/>
      </c>
      <c r="D33" s="44" t="str">
        <f t="shared" si="2"/>
        <v/>
      </c>
      <c r="E33" s="45" t="str">
        <f t="shared" si="4"/>
        <v/>
      </c>
      <c r="F33" s="46" t="str">
        <f t="shared" si="3"/>
        <v/>
      </c>
    </row>
    <row r="34" spans="1:43" x14ac:dyDescent="0.3">
      <c r="A34" s="48" t="str">
        <f t="shared" si="0"/>
        <v/>
      </c>
      <c r="B34" s="32">
        <v>16</v>
      </c>
      <c r="C34" s="32" t="str">
        <f t="shared" si="1"/>
        <v/>
      </c>
      <c r="D34" s="44" t="str">
        <f t="shared" si="2"/>
        <v/>
      </c>
      <c r="E34" s="45" t="str">
        <f t="shared" si="4"/>
        <v/>
      </c>
      <c r="F34" s="46" t="str">
        <f t="shared" si="3"/>
        <v/>
      </c>
    </row>
    <row r="35" spans="1:43" x14ac:dyDescent="0.3">
      <c r="A35" s="48" t="str">
        <f t="shared" si="0"/>
        <v/>
      </c>
      <c r="B35" s="32">
        <v>17</v>
      </c>
      <c r="C35" s="32" t="str">
        <f t="shared" si="1"/>
        <v/>
      </c>
      <c r="D35" s="44" t="str">
        <f t="shared" si="2"/>
        <v/>
      </c>
      <c r="E35" s="45" t="str">
        <f t="shared" si="4"/>
        <v/>
      </c>
      <c r="F35" s="46" t="str">
        <f t="shared" si="3"/>
        <v/>
      </c>
    </row>
    <row r="36" spans="1:43" x14ac:dyDescent="0.3">
      <c r="A36" s="48" t="str">
        <f t="shared" si="0"/>
        <v/>
      </c>
      <c r="B36" s="32">
        <v>18</v>
      </c>
      <c r="C36" s="32" t="str">
        <f t="shared" si="1"/>
        <v/>
      </c>
      <c r="D36" s="44" t="str">
        <f t="shared" si="2"/>
        <v/>
      </c>
      <c r="E36" s="45" t="str">
        <f t="shared" si="4"/>
        <v/>
      </c>
      <c r="F36" s="46" t="str">
        <f t="shared" si="3"/>
        <v/>
      </c>
    </row>
    <row r="37" spans="1:43" x14ac:dyDescent="0.3">
      <c r="A37" s="48" t="str">
        <f t="shared" si="0"/>
        <v/>
      </c>
      <c r="B37" s="32">
        <v>19</v>
      </c>
      <c r="C37" s="32" t="str">
        <f t="shared" si="1"/>
        <v/>
      </c>
      <c r="D37" s="44" t="str">
        <f t="shared" si="2"/>
        <v/>
      </c>
      <c r="E37" s="45" t="str">
        <f t="shared" si="4"/>
        <v/>
      </c>
      <c r="F37" s="46" t="str">
        <f t="shared" si="3"/>
        <v/>
      </c>
    </row>
    <row r="38" spans="1:43" x14ac:dyDescent="0.3">
      <c r="A38" s="48" t="str">
        <f t="shared" si="0"/>
        <v/>
      </c>
      <c r="B38" s="32">
        <v>20</v>
      </c>
      <c r="C38" s="32" t="str">
        <f t="shared" si="1"/>
        <v/>
      </c>
      <c r="D38" s="44" t="str">
        <f t="shared" si="2"/>
        <v/>
      </c>
      <c r="E38" s="45" t="str">
        <f t="shared" si="4"/>
        <v/>
      </c>
      <c r="F38" s="46" t="str">
        <f t="shared" si="3"/>
        <v/>
      </c>
    </row>
    <row r="39" spans="1:43" x14ac:dyDescent="0.3">
      <c r="A39" s="48" t="str">
        <f t="shared" si="0"/>
        <v/>
      </c>
      <c r="B39" s="32">
        <v>21</v>
      </c>
      <c r="C39" s="32" t="str">
        <f t="shared" si="1"/>
        <v/>
      </c>
      <c r="D39" s="44" t="str">
        <f t="shared" si="2"/>
        <v/>
      </c>
      <c r="E39" s="45" t="str">
        <f t="shared" si="4"/>
        <v/>
      </c>
      <c r="F39" s="46" t="str">
        <f t="shared" si="3"/>
        <v/>
      </c>
    </row>
    <row r="42" spans="1:43" ht="31.5" customHeight="1" x14ac:dyDescent="0.3">
      <c r="A42" s="19" t="s">
        <v>150</v>
      </c>
      <c r="B42" s="19" t="s">
        <v>258</v>
      </c>
      <c r="C42" s="19" t="s">
        <v>308</v>
      </c>
      <c r="D42" s="19" t="s">
        <v>309</v>
      </c>
      <c r="E42" s="19" t="s">
        <v>92</v>
      </c>
      <c r="F42" s="19" t="s">
        <v>58</v>
      </c>
      <c r="G42" s="19" t="s">
        <v>310</v>
      </c>
      <c r="H42" s="19" t="s">
        <v>311</v>
      </c>
      <c r="I42" s="19" t="s">
        <v>312</v>
      </c>
      <c r="J42" s="19" t="s">
        <v>313</v>
      </c>
      <c r="K42" s="19" t="s">
        <v>314</v>
      </c>
      <c r="L42" s="19" t="s">
        <v>315</v>
      </c>
      <c r="M42" s="19" t="s">
        <v>305</v>
      </c>
      <c r="N42" s="19" t="s">
        <v>316</v>
      </c>
      <c r="O42" s="19" t="s">
        <v>317</v>
      </c>
      <c r="P42" s="19" t="s">
        <v>318</v>
      </c>
      <c r="Q42" s="19" t="s">
        <v>319</v>
      </c>
      <c r="R42" s="19" t="s">
        <v>320</v>
      </c>
      <c r="S42" s="19" t="s">
        <v>321</v>
      </c>
      <c r="T42" s="19" t="s">
        <v>322</v>
      </c>
      <c r="U42" s="19" t="s">
        <v>323</v>
      </c>
      <c r="V42" s="19" t="s">
        <v>324</v>
      </c>
      <c r="W42" s="19" t="s">
        <v>325</v>
      </c>
      <c r="X42" s="19" t="s">
        <v>326</v>
      </c>
      <c r="Y42" s="19" t="s">
        <v>327</v>
      </c>
      <c r="Z42" s="19" t="s">
        <v>328</v>
      </c>
      <c r="AA42" s="19" t="s">
        <v>329</v>
      </c>
      <c r="AB42" s="19" t="s">
        <v>330</v>
      </c>
      <c r="AC42" s="19" t="s">
        <v>331</v>
      </c>
      <c r="AD42" s="19" t="s">
        <v>332</v>
      </c>
      <c r="AE42" s="19" t="s">
        <v>333</v>
      </c>
      <c r="AF42" s="19" t="s">
        <v>334</v>
      </c>
      <c r="AG42" s="19" t="s">
        <v>335</v>
      </c>
      <c r="AH42" s="19" t="s">
        <v>336</v>
      </c>
      <c r="AI42" s="19" t="s">
        <v>337</v>
      </c>
      <c r="AJ42" s="19" t="s">
        <v>338</v>
      </c>
      <c r="AK42" s="19" t="s">
        <v>339</v>
      </c>
      <c r="AL42" s="19" t="s">
        <v>340</v>
      </c>
      <c r="AM42" s="19" t="s">
        <v>341</v>
      </c>
      <c r="AN42" s="19" t="s">
        <v>342</v>
      </c>
      <c r="AO42" s="19" t="s">
        <v>343</v>
      </c>
      <c r="AP42" s="19" t="s">
        <v>344</v>
      </c>
      <c r="AQ42" s="19" t="s">
        <v>345</v>
      </c>
    </row>
    <row r="43" spans="1:43" x14ac:dyDescent="0.3">
      <c r="A43" s="48">
        <f t="shared" ref="A43:A74" si="5">IFERROR(IF($L43&gt;$G$4,"",$D$6+$L43),"")</f>
        <v>46307</v>
      </c>
      <c r="B43" s="32" t="str">
        <f t="shared" ref="B43:B74" si="6">IF($A43="","",TEXT($A43,"ddd"))</f>
        <v>Mon</v>
      </c>
      <c r="C43" s="32">
        <f t="shared" ref="C43:C74" si="7">IF($A43="","",$G$4-$L43)</f>
        <v>84</v>
      </c>
      <c r="D43" s="32" t="str">
        <f t="shared" ref="D43:D74" si="8">IF($A43="","",IF($C43=0,"First Bullpen",IF($C43&lt;=7,"Taper",IF($O43&lt;0.2,"Re-entry",IF($O43&lt;0.45,"Base",IF($O43&lt;0.65,"Extension","Flat Ground / Intent"))))))</f>
        <v>Re-entry</v>
      </c>
      <c r="E43" s="32" t="str">
        <f t="shared" ref="E43:E74" si="9">IF($A43="","",IF($AD43,"No Throw",IF($C43=0,"High Bullpen",IF($C43=6,"High Non-Bullpen",IF(OR($C43=4,$C43=2),"Medium",IF($T43="Recovery/Easy Catch","Low",IF($N43=1,IF($O43&lt;0.4,"Low",IF($O43&lt;0.7,"Medium","High Non-Bullpen")),IF($N43=3,IF($O43&lt;0.5,"Medium","High Non-Bullpen"),IF($O43&lt;0.62,"Medium","High Non-Bullpen")))))))))</f>
        <v>Low</v>
      </c>
      <c r="F43" s="32" t="str">
        <f t="shared" ref="F43:F74" si="10">IF($A43="","",IF($AD43,"No Throw",$T43))</f>
        <v>Recovery/Easy Catch</v>
      </c>
      <c r="G43" s="47" t="str">
        <f t="shared" ref="G43:G74" si="11">IF($A43="","",IF($AD43,"Off",IF($AL43&gt;1,"Long toss out to "&amp;$U43&amp;" ft — "&amp;$AB43&amp;" throws ("&amp;IF(1&lt;=$AL43,MIN($U43,90)&amp;"×"&amp;(ROUND($AB43*(1*($AL43+3)-1)/($AL43*($AL43+5)/2),0)-0),"")&amp;IF(2&lt;=$AL43," · "&amp;MIN($U43,120)&amp;"×"&amp;(ROUND($AB43*(2*($AL43+3)-3)/($AL43*($AL43+5)/2),0)-ROUND($AB43*(1*($AL43+3)-1)/($AL43*($AL43+5)/2),0)),"")&amp;IF(3&lt;=$AL43," · "&amp;MIN($U43,150)&amp;"×"&amp;(ROUND($AB43*(3*($AL43+3)-6)/($AL43*($AL43+5)/2),0)-ROUND($AB43*(2*($AL43+3)-3)/($AL43*($AL43+5)/2),0)),"")&amp;IF(4&lt;=$AL43," · "&amp;MIN($U43,180)&amp;"×"&amp;(ROUND($AB43*(4*($AL43+3)-10)/($AL43*($AL43+5)/2),0)-ROUND($AB43*(3*($AL43+3)-6)/($AL43*($AL43+5)/2),0)),"")&amp;IF(5&lt;=$AL43," · "&amp;MIN($U43,210)&amp;"×"&amp;(ROUND($AB43*(5*($AL43+3)-15)/($AL43*($AL43+5)/2),0)-ROUND($AB43*(4*($AL43+3)-10)/($AL43*($AL43+5)/2),0)),"")&amp;IF(6&lt;=$AL43," · "&amp;MIN($U43,240)&amp;"×"&amp;(ROUND($AB43*(6*($AL43+3)-21)/($AL43*($AL43+5)/2),0)-ROUND($AB43*(5*($AL43+3)-15)/($AL43*($AL43+5)/2),0)),"")&amp;IF(7&lt;=$AL43," · "&amp;MIN($U43,270)&amp;"×"&amp;(ROUND($AB43*(7*($AL43+3)-28)/($AL43*($AL43+5)/2),0)-ROUND($AB43*(6*($AL43+3)-21)/($AL43*($AL43+5)/2),0)),"")&amp;IF(8&lt;=$AL43," · "&amp;MIN($U43,300)&amp;"×"&amp;(ROUND($AB43*(8*($AL43+3)-36)/($AL43*($AL43+5)/2),0)-ROUND($AB43*(7*($AL43+3)-28)/($AL43*($AL43+5)/2),0)),"")&amp;")",$U43&amp;" ft × "&amp;$AB43)&amp;" @ "&amp;ROUND($D$5-$W43,0)&amp;"–"&amp;ROUND($D$5-$V43,0)&amp;" mph"&amp;IF($X43&gt;0,IF($Y43&lt;10," + flat ground at 60 ft × "," + 60 ft × ")&amp;$X43&amp;" @ "&amp;ROUND($D$5-$Z43,0)&amp;"–"&amp;ROUND($D$5-$Y43,0)&amp;" mph","")&amp;IF($AC43&gt;0," + MOUND × "&amp;$AC43&amp;" pitches @ "&amp;$D$9&amp;"–"&amp;$E$9&amp;" mph","")))</f>
        <v>60 ft × 25 @ 67–71 mph</v>
      </c>
      <c r="H43" s="30">
        <f t="shared" ref="H43:H74" si="12">IF($A43="","",IF($AD43,0,$AB43*$AF43+$AE43+$AG43))</f>
        <v>15</v>
      </c>
      <c r="I43" s="46" t="str">
        <f>IF($A43="","",IF(AND($L43&lt;27,$K$12=0),"Building",IFERROR(((SUM($H$43:$H43)+$K$12*IF($L43&lt;6,SUMIFS('Throw Log'!$Q$5:$Q$300,'Throw Log'!$B$5:$B$300,$D$4,'Throw Log'!$A$5:$A$300,"&gt;="&amp;($D$6+$L43-6),'Throw Log'!$A$5:$A$300,"&lt;="&amp;($D$6-1)),0))/7)/((SUM($H$43:$H43)+$K$12*IF($L43&lt;27,SUMIFS('Throw Log'!$Q$5:$Q$300,'Throw Log'!$B$5:$B$300,$D$4,'Throw Log'!$A$5:$A$300,"&gt;="&amp;($D$6+$L43-27),'Throw Log'!$A$5:$A$300,"&lt;="&amp;($D$6-1)),0))/28),"")))</f>
        <v>Building</v>
      </c>
      <c r="J43" s="37"/>
      <c r="K43" s="37">
        <v>25</v>
      </c>
      <c r="L43" s="32">
        <v>0</v>
      </c>
      <c r="M43" s="32">
        <f t="shared" ref="M43:M74" si="13">INT($L43/7)+1</f>
        <v>1</v>
      </c>
      <c r="N43" s="32">
        <f t="shared" ref="N43:N74" si="14">MOD($L43,7)</f>
        <v>0</v>
      </c>
      <c r="O43" s="32">
        <f t="shared" ref="O43:O74" si="15">MIN(1,$G$7+(1-$G$7)*$L43/MAX(1,N($G$4)-8))</f>
        <v>0</v>
      </c>
      <c r="P43" s="32">
        <f>IF(OR($A43="",N($C43)&lt;=7),"",$G$6*$G$9^($M43-1)*IF(AND(MOD($M43,Reference!$B$99)=0,$M43&lt;=$G$5-2),Reference!$B$100,1))</f>
        <v>80</v>
      </c>
      <c r="Q43" s="32">
        <f>IF($P43="","",IF(SUM($AK$43:$AK$49)=0,0,$P43*INDEX(Reference!$B$108:$B$114,$N43+1)/SUM($AK$43:$AK$49)))</f>
        <v>13.150684931506849</v>
      </c>
      <c r="R43" s="32">
        <f t="shared" ref="R43:R74" si="16">ROUND((60+($D$11-60)*MIN(1,$O43/0.75))/15,0)*15</f>
        <v>60</v>
      </c>
      <c r="S43" s="32">
        <f t="shared" ref="S43:S74" si="17">ROUND((60+($R43-60)*0.8)/15,0)*15</f>
        <v>60</v>
      </c>
      <c r="T43" s="32" t="str">
        <f>IF($A43="","",IF($C43=0,"Bullpen",IF(OR($C43=7,$C43=1,$C43=5),"Recovery/Easy Catch",IF($C43=6,"Compression/Pulldowns",IF(OR($C43=4,$C43=2),"Long Toss",IF($C43=3,"No Throw",IF($N43=2,"No Throw",IF($N43=6,IF($O43&lt;Reference!$B$104,"No Throw","Recovery/Easy Catch"),IF(OR($N43=0,$N43=4),"Recovery/Easy Catch",IF($N43=1,IF($R43&gt;75,"Long Toss","Recovery/Easy Catch"),IF($N43=3,IF($O43&lt;0.5,IF($S43&gt;75,"Long Toss","Recovery/Easy Catch"),"Compression/Pulldowns"),IF($S43&gt;75,"Long Toss","Recovery/Easy Catch"))))))))))))</f>
        <v>Recovery/Easy Catch</v>
      </c>
      <c r="U43" s="32">
        <f t="shared" ref="U43:U74" si="18">IF($A43="","",IF(N($AO43)&gt;0,$AO43,IF($C43=0,90,IF(OR($C43=7,$C43=1),75,IF($C43=6,90,IF($C43=5,60,IF($C43=4,MIN(150,ROUND(0.75*$D$11/15,0)*15),IF($C43=2,MIN(120,ROUND(0.67*$D$11/15,0)*15),IF($C43=3,"",IF($N43=2,"",IF($N43=6,60,IF($N43=0,IF($O43&lt;0.25,60,75),IF($N43=4,IF($O43&lt;0.5,60,75),IF($N43=1,$R43,IF($N43=3,IF($O43&lt;0.5,$S43,90),$S43)))))))))))))))</f>
        <v>60</v>
      </c>
      <c r="V43" s="32">
        <f t="shared" ref="V43:V74" si="19">IF($A43="","",IF(N($AQ43)&gt;0,$D$5-$AQ43,IF(N($AP43)&gt;0,$D$5-$AP43,IF($C43=0,10,IF(OR($C43=7,$C43=1),18,IF($C43=6,7,IF($C43=5,20,IF(OR($C43=4,$C43=2),10,IF($C43=3,"",IF($N43=2,"",IF($N43=6,20,IF($N43=0,IF($O43&lt;0.25,20,18),IF($N43=4,IF($O43&lt;0.5,20,18),IF($N43=1,IF($O43&lt;0.25,18,IF($O43&lt;0.5,13,10)),IF($N43=3,IF($O43&lt;0.5,IF($O43&lt;0.25,18,13),7),IF($O43&lt;0.25,18,IF($O43&lt;0.5,12,10)))))))))))))))))</f>
        <v>20</v>
      </c>
      <c r="W43" s="32">
        <f t="shared" ref="W43:W74" si="20">IF($A43="","",IF(N($AP43)&gt;0,$D$5-$AP43,IF(N($AQ43)&gt;0,$D$5-$AQ43,IF($C43=0,12,IF(OR($C43=7,$C43=1),22,IF($C43=6,9,IF($C43=5,24,IF(OR($C43=4,$C43=2),13,IF($C43=3,"",IF($N43=2,"",IF($N43=6,24,IF($N43=0,IF($O43&lt;0.25,24,22),IF($N43=4,IF($O43&lt;0.5,24,22),IF($N43=1,IF($O43&lt;0.25,22,IF($O43&lt;0.5,16,12)),IF($N43=3,IF($O43&lt;0.5,IF($O43&lt;0.25,22,16),9),IF($O43&lt;0.25,22,IF($O43&lt;0.5,15,13)))))))))))))))))</f>
        <v>24</v>
      </c>
      <c r="X43" s="32">
        <f t="shared" ref="X43:X74" si="21">IF($A43="",0,IF($C43=6,ROUND(25*$G$10,0),IF(OR($C43=4,$C43=2),ROUND(15*$G$10,0),IF($C43&lt;=7,0,IF($N43=1,IF($O43&lt;0.2,0,IF($O43&lt;0.5,10,15)),IF($N43=3,IF($O43&lt;0.5,IF($O43&lt;0.2,0,10),IF($O43&lt;0.62,15,IF($O43&lt;0.8,20,25))),IF($N43=5,IF($O43&lt;0.2,0,IF($O43&lt;0.62,12,IF($O43&lt;0.8,20,25))),0)))))))</f>
        <v>0</v>
      </c>
      <c r="Y43" s="32" t="str">
        <f t="shared" ref="Y43:Y74" si="22">IF($X43=0,"",IF($C43=6,$D$5-$E$9,IF(OR($C43=4,$C43=2),8,IF($N43=1,IF($O43&lt;0.5,14,10),IF($N43=3,IF($O43&lt;0.5,14,IF($O43&lt;0.62,10,7)),IF($N43=5,IF($O43&lt;0.5,14,IF($O43&lt;0.62,12,7)),""))))))</f>
        <v/>
      </c>
      <c r="Z43" s="32" t="str">
        <f t="shared" ref="Z43:Z74" si="23">IF($X43=0,"",IF($C43=6,$D$5-$D$9,IF(OR($C43=4,$C43=2),10,IF($N43=1,IF($O43&lt;0.5,18,12),IF($N43=3,IF($O43&lt;0.5,18,IF($O43&lt;0.62,12,9)),IF($N43=5,IF($O43&lt;0.5,18,IF($O43&lt;0.62,15,9)),""))))))</f>
        <v/>
      </c>
      <c r="AA43" s="32" t="str">
        <f t="shared" ref="AA43:AA74" si="24">IF($A43="","",IF($C43=0,25,IF(OR($C43=7,$C43=1,$C43=5),30,IF($C43=6,25,IF(OR($C43=4,$C43=2),IF($AM43=0,30,30*$AN43/$AM43),"")))))</f>
        <v/>
      </c>
      <c r="AB43" s="32">
        <f>IF($A43="","",IF($T43="No Throw",0,IF($K43&lt;&gt;"",$K43,IF($AA43&lt;&gt;"",ROUND($AA43*$D$12*IF($C43=0,1,$G$10),0),MIN(IF($T43="Recovery/Easy Catch",Reference!$B$103,IF($T43="Long Toss",Reference!$B$106,Reference!$B$102)),MAX(Reference!$B$101,ROUND(MAX(0,$Q43-$AE43)/$AF43,0)))))))</f>
        <v>25</v>
      </c>
      <c r="AC43" s="32">
        <f t="shared" ref="AC43:AC74" si="25">IF($A43="",0,IF($C43=0,$D$8,0))</f>
        <v>0</v>
      </c>
      <c r="AD43" s="32" t="b">
        <f t="shared" ref="AD43:AD74" si="26">IF($A43="",TRUE(),OR($J43="x",$T43="No Throw"))</f>
        <v>0</v>
      </c>
      <c r="AE43" s="32">
        <f>IF($X43=0,0,$X43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43+$Z43)/2,0),Reference!$A$17:$B$20,2,TRUE()))</f>
        <v>0</v>
      </c>
      <c r="AF43" s="32">
        <f>IF(OR($A43="",$U43="",$T43="No Throw"),0,$AM43*VLOOKUP(MAX(($V43+$W43)/2,0),Reference!$A$17:$B$20,2,TRUE()))</f>
        <v>0.6</v>
      </c>
      <c r="AG43" s="32">
        <f>IF($AC43=0,0,$AC43*INDEX(Reference!$B$61:$B$62,MATCH("Bullpen",Reference!$A$61:$A$62,0))*VLOOKUP(MAX($D$5-($D$9+$E$9)/2,0),Reference!$A$17:$B$20,2,TRUE()))</f>
        <v>0</v>
      </c>
      <c r="AH43" s="32" t="e">
        <f t="shared" ref="AH43:AH74" si="27">IF(OR($A43="",$L43&lt;27),NA(),$I43)</f>
        <v>#N/A</v>
      </c>
      <c r="AI43" s="32">
        <f>IF($A43="",NA(),Reference!$A$25)</f>
        <v>0.8</v>
      </c>
      <c r="AJ43" s="32">
        <f t="shared" ref="AJ43:AJ74" si="28">IF($A43="",NA(),1.3)</f>
        <v>1.3</v>
      </c>
      <c r="AK43" s="56">
        <f>IF(OR($A43="",N($C43)&lt;=7,$T43="No Throw",$J43="x"),0,INDEX(Reference!$B$108:$B$114,$N43+1))</f>
        <v>0.12</v>
      </c>
      <c r="AL43" s="32">
        <f t="shared" ref="AL43:AL74" si="29">IF($U43="",1,IF(AND($T43="Long Toss",N($U43)&gt;90),1+ROUNDUP(($U43-90)/30,0),1))</f>
        <v>1</v>
      </c>
      <c r="AM43" s="32">
        <f>IF($U43="",0,IF($AL43&gt;1,((IF(1&lt;=$AL43,($AL43-1+3)*(INDEX(Reference!$B$6:$B$11,MIN(5,MATCH(MAX(Reference!$A$6,MIN(Reference!$A$11,MIN($U43,90))),Reference!$A$6:$A$11,1)))+(MAX(Reference!$A$6,MIN(Reference!$A$11,MIN($U43,90)))-INDEX(Reference!$A$6:$A$11,MIN(5,MATCH(MAX(Reference!$A$6,MIN(Reference!$A$11,MIN($U43,90))),Reference!$A$6:$A$11,1))))*(INDEX(Reference!$B$6:$B$11,MIN(5,MATCH(MAX(Reference!$A$6,MIN(Reference!$A$11,MIN($U43,90))),Reference!$A$6:$A$11,1))+1)-INDEX(Reference!$B$6:$B$11,MIN(5,MATCH(MAX(Reference!$A$6,MIN(Reference!$A$11,MIN($U43,90))),Reference!$A$6:$A$11,1))))/(INDEX(Reference!$A$6:$A$11,MIN(5,MATCH(MAX(Reference!$A$6,MIN(Reference!$A$11,MIN($U43,90))),Reference!$A$6:$A$11,1))+1)-INDEX(Reference!$A$6:$A$11,MIN(5,MATCH(MAX(Reference!$A$6,MIN(Reference!$A$11,MIN($U43,90))),Reference!$A$6:$A$11,1))))),0)+IF(2&lt;=$AL43,($AL43-2+3)*(INDEX(Reference!$B$6:$B$11,MIN(5,MATCH(MAX(Reference!$A$6,MIN(Reference!$A$11,MIN($U43,120))),Reference!$A$6:$A$11,1)))+(MAX(Reference!$A$6,MIN(Reference!$A$11,MIN($U43,120)))-INDEX(Reference!$A$6:$A$11,MIN(5,MATCH(MAX(Reference!$A$6,MIN(Reference!$A$11,MIN($U43,120))),Reference!$A$6:$A$11,1))))*(INDEX(Reference!$B$6:$B$11,MIN(5,MATCH(MAX(Reference!$A$6,MIN(Reference!$A$11,MIN($U43,120))),Reference!$A$6:$A$11,1))+1)-INDEX(Reference!$B$6:$B$11,MIN(5,MATCH(MAX(Reference!$A$6,MIN(Reference!$A$11,MIN($U43,120))),Reference!$A$6:$A$11,1))))/(INDEX(Reference!$A$6:$A$11,MIN(5,MATCH(MAX(Reference!$A$6,MIN(Reference!$A$11,MIN($U43,120))),Reference!$A$6:$A$11,1))+1)-INDEX(Reference!$A$6:$A$11,MIN(5,MATCH(MAX(Reference!$A$6,MIN(Reference!$A$11,MIN($U43,120))),Reference!$A$6:$A$11,1))))),0)+IF(3&lt;=$AL43,($AL43-3+3)*(INDEX(Reference!$B$6:$B$11,MIN(5,MATCH(MAX(Reference!$A$6,MIN(Reference!$A$11,MIN($U43,150))),Reference!$A$6:$A$11,1)))+(MAX(Reference!$A$6,MIN(Reference!$A$11,MIN($U43,150)))-INDEX(Reference!$A$6:$A$11,MIN(5,MATCH(MAX(Reference!$A$6,MIN(Reference!$A$11,MIN($U43,150))),Reference!$A$6:$A$11,1))))*(INDEX(Reference!$B$6:$B$11,MIN(5,MATCH(MAX(Reference!$A$6,MIN(Reference!$A$11,MIN($U43,150))),Reference!$A$6:$A$11,1))+1)-INDEX(Reference!$B$6:$B$11,MIN(5,MATCH(MAX(Reference!$A$6,MIN(Reference!$A$11,MIN($U43,150))),Reference!$A$6:$A$11,1))))/(INDEX(Reference!$A$6:$A$11,MIN(5,MATCH(MAX(Reference!$A$6,MIN(Reference!$A$11,MIN($U43,150))),Reference!$A$6:$A$11,1))+1)-INDEX(Reference!$A$6:$A$11,MIN(5,MATCH(MAX(Reference!$A$6,MIN(Reference!$A$11,MIN($U43,150))),Reference!$A$6:$A$11,1))))),0)+IF(4&lt;=$AL43,($AL43-4+3)*(INDEX(Reference!$B$6:$B$11,MIN(5,MATCH(MAX(Reference!$A$6,MIN(Reference!$A$11,MIN($U43,180))),Reference!$A$6:$A$11,1)))+(MAX(Reference!$A$6,MIN(Reference!$A$11,MIN($U43,180)))-INDEX(Reference!$A$6:$A$11,MIN(5,MATCH(MAX(Reference!$A$6,MIN(Reference!$A$11,MIN($U43,180))),Reference!$A$6:$A$11,1))))*(INDEX(Reference!$B$6:$B$11,MIN(5,MATCH(MAX(Reference!$A$6,MIN(Reference!$A$11,MIN($U43,180))),Reference!$A$6:$A$11,1))+1)-INDEX(Reference!$B$6:$B$11,MIN(5,MATCH(MAX(Reference!$A$6,MIN(Reference!$A$11,MIN($U43,180))),Reference!$A$6:$A$11,1))))/(INDEX(Reference!$A$6:$A$11,MIN(5,MATCH(MAX(Reference!$A$6,MIN(Reference!$A$11,MIN($U43,180))),Reference!$A$6:$A$11,1))+1)-INDEX(Reference!$A$6:$A$11,MIN(5,MATCH(MAX(Reference!$A$6,MIN(Reference!$A$11,MIN($U43,180))),Reference!$A$6:$A$11,1))))),0)+IF(5&lt;=$AL43,($AL43-5+3)*(INDEX(Reference!$B$6:$B$11,MIN(5,MATCH(MAX(Reference!$A$6,MIN(Reference!$A$11,MIN($U43,210))),Reference!$A$6:$A$11,1)))+(MAX(Reference!$A$6,MIN(Reference!$A$11,MIN($U43,210)))-INDEX(Reference!$A$6:$A$11,MIN(5,MATCH(MAX(Reference!$A$6,MIN(Reference!$A$11,MIN($U43,210))),Reference!$A$6:$A$11,1))))*(INDEX(Reference!$B$6:$B$11,MIN(5,MATCH(MAX(Reference!$A$6,MIN(Reference!$A$11,MIN($U43,210))),Reference!$A$6:$A$11,1))+1)-INDEX(Reference!$B$6:$B$11,MIN(5,MATCH(MAX(Reference!$A$6,MIN(Reference!$A$11,MIN($U43,210))),Reference!$A$6:$A$11,1))))/(INDEX(Reference!$A$6:$A$11,MIN(5,MATCH(MAX(Reference!$A$6,MIN(Reference!$A$11,MIN($U43,210))),Reference!$A$6:$A$11,1))+1)-INDEX(Reference!$A$6:$A$11,MIN(5,MATCH(MAX(Reference!$A$6,MIN(Reference!$A$11,MIN($U43,210))),Reference!$A$6:$A$11,1))))),0)+IF(6&lt;=$AL43,($AL43-6+3)*(INDEX(Reference!$B$6:$B$11,MIN(5,MATCH(MAX(Reference!$A$6,MIN(Reference!$A$11,MIN($U43,240))),Reference!$A$6:$A$11,1)))+(MAX(Reference!$A$6,MIN(Reference!$A$11,MIN($U43,240)))-INDEX(Reference!$A$6:$A$11,MIN(5,MATCH(MAX(Reference!$A$6,MIN(Reference!$A$11,MIN($U43,240))),Reference!$A$6:$A$11,1))))*(INDEX(Reference!$B$6:$B$11,MIN(5,MATCH(MAX(Reference!$A$6,MIN(Reference!$A$11,MIN($U43,240))),Reference!$A$6:$A$11,1))+1)-INDEX(Reference!$B$6:$B$11,MIN(5,MATCH(MAX(Reference!$A$6,MIN(Reference!$A$11,MIN($U43,240))),Reference!$A$6:$A$11,1))))/(INDEX(Reference!$A$6:$A$11,MIN(5,MATCH(MAX(Reference!$A$6,MIN(Reference!$A$11,MIN($U43,240))),Reference!$A$6:$A$11,1))+1)-INDEX(Reference!$A$6:$A$11,MIN(5,MATCH(MAX(Reference!$A$6,MIN(Reference!$A$11,MIN($U43,240))),Reference!$A$6:$A$11,1))))),0)+IF(7&lt;=$AL43,($AL43-7+3)*(INDEX(Reference!$B$6:$B$11,MIN(5,MATCH(MAX(Reference!$A$6,MIN(Reference!$A$11,MIN($U43,270))),Reference!$A$6:$A$11,1)))+(MAX(Reference!$A$6,MIN(Reference!$A$11,MIN($U43,270)))-INDEX(Reference!$A$6:$A$11,MIN(5,MATCH(MAX(Reference!$A$6,MIN(Reference!$A$11,MIN($U43,270))),Reference!$A$6:$A$11,1))))*(INDEX(Reference!$B$6:$B$11,MIN(5,MATCH(MAX(Reference!$A$6,MIN(Reference!$A$11,MIN($U43,270))),Reference!$A$6:$A$11,1))+1)-INDEX(Reference!$B$6:$B$11,MIN(5,MATCH(MAX(Reference!$A$6,MIN(Reference!$A$11,MIN($U43,270))),Reference!$A$6:$A$11,1))))/(INDEX(Reference!$A$6:$A$11,MIN(5,MATCH(MAX(Reference!$A$6,MIN(Reference!$A$11,MIN($U43,270))),Reference!$A$6:$A$11,1))+1)-INDEX(Reference!$A$6:$A$11,MIN(5,MATCH(MAX(Reference!$A$6,MIN(Reference!$A$11,MIN($U43,270))),Reference!$A$6:$A$11,1))))),0)+IF(8&lt;=$AL43,($AL43-8+3)*(INDEX(Reference!$B$6:$B$11,MIN(5,MATCH(MAX(Reference!$A$6,MIN(Reference!$A$11,MIN($U43,300))),Reference!$A$6:$A$11,1)))+(MAX(Reference!$A$6,MIN(Reference!$A$11,MIN($U43,300)))-INDEX(Reference!$A$6:$A$11,MIN(5,MATCH(MAX(Reference!$A$6,MIN(Reference!$A$11,MIN($U43,300))),Reference!$A$6:$A$11,1))))*(INDEX(Reference!$B$6:$B$11,MIN(5,MATCH(MAX(Reference!$A$6,MIN(Reference!$A$11,MIN($U43,300))),Reference!$A$6:$A$11,1))+1)-INDEX(Reference!$B$6:$B$11,MIN(5,MATCH(MAX(Reference!$A$6,MIN(Reference!$A$11,MIN($U43,300))),Reference!$A$6:$A$11,1))))/(INDEX(Reference!$A$6:$A$11,MIN(5,MATCH(MAX(Reference!$A$6,MIN(Reference!$A$11,MIN($U43,300))),Reference!$A$6:$A$11,1))+1)-INDEX(Reference!$A$6:$A$11,MIN(5,MATCH(MAX(Reference!$A$6,MIN(Reference!$A$11,MIN($U43,300))),Reference!$A$6:$A$11,1))))),0))/($AL43*($AL43+5)/2)),$AN43))</f>
        <v>1</v>
      </c>
      <c r="AN43" s="32">
        <f>IF($U43="",0,(INDEX(Reference!$B$6:$B$11,MIN(5,MATCH(MAX(Reference!$A$6,MIN(Reference!$A$11,$U43)),Reference!$A$6:$A$11,1)))+(MAX(Reference!$A$6,MIN(Reference!$A$11,$U43))-INDEX(Reference!$A$6:$A$11,MIN(5,MATCH(MAX(Reference!$A$6,MIN(Reference!$A$11,$U43)),Reference!$A$6:$A$11,1))))*(INDEX(Reference!$B$6:$B$11,MIN(5,MATCH(MAX(Reference!$A$6,MIN(Reference!$A$11,$U43)),Reference!$A$6:$A$11,1))+1)-INDEX(Reference!$B$6:$B$11,MIN(5,MATCH(MAX(Reference!$A$6,MIN(Reference!$A$11,$U43)),Reference!$A$6:$A$11,1))))/(INDEX(Reference!$A$6:$A$11,MIN(5,MATCH(MAX(Reference!$A$6,MIN(Reference!$A$11,$U43)),Reference!$A$6:$A$11,1))+1)-INDEX(Reference!$A$6:$A$11,MIN(5,MATCH(MAX(Reference!$A$6,MIN(Reference!$A$11,$U43)),Reference!$A$6:$A$11,1))))))</f>
        <v>1</v>
      </c>
      <c r="AO43" s="37"/>
      <c r="AP43" s="37"/>
      <c r="AQ43" s="37"/>
    </row>
    <row r="44" spans="1:43" x14ac:dyDescent="0.3">
      <c r="A44" s="48">
        <f t="shared" si="5"/>
        <v>46308</v>
      </c>
      <c r="B44" s="32" t="str">
        <f t="shared" si="6"/>
        <v>Tue</v>
      </c>
      <c r="C44" s="32">
        <f t="shared" si="7"/>
        <v>83</v>
      </c>
      <c r="D44" s="32" t="str">
        <f t="shared" si="8"/>
        <v>Re-entry</v>
      </c>
      <c r="E44" s="32" t="str">
        <f t="shared" si="9"/>
        <v>Low</v>
      </c>
      <c r="F44" s="32" t="str">
        <f t="shared" si="10"/>
        <v>Recovery/Easy Catch</v>
      </c>
      <c r="G44" s="47" t="str">
        <f t="shared" si="11"/>
        <v>60 ft × 30 @ 69–73 mph</v>
      </c>
      <c r="H44" s="30">
        <f t="shared" si="12"/>
        <v>18</v>
      </c>
      <c r="I44" s="46" t="str">
        <f>IF($A44="","",IF(AND($L44&lt;27,$K$12=0),"Building",IFERROR(((SUM($H$43:$H44)+$K$12*IF($L44&lt;6,SUMIFS('Throw Log'!$Q$5:$Q$300,'Throw Log'!$B$5:$B$300,$D$4,'Throw Log'!$A$5:$A$300,"&gt;="&amp;($D$6+$L44-6),'Throw Log'!$A$5:$A$300,"&lt;="&amp;($D$6-1)),0))/7)/((SUM($H$43:$H44)+$K$12*IF($L44&lt;27,SUMIFS('Throw Log'!$Q$5:$Q$300,'Throw Log'!$B$5:$B$300,$D$4,'Throw Log'!$A$5:$A$300,"&gt;="&amp;($D$6+$L44-27),'Throw Log'!$A$5:$A$300,"&lt;="&amp;($D$6-1)),0))/28),"")))</f>
        <v>Building</v>
      </c>
      <c r="J44" s="37"/>
      <c r="K44" s="37">
        <v>30</v>
      </c>
      <c r="L44" s="32">
        <v>1</v>
      </c>
      <c r="M44" s="32">
        <f t="shared" si="13"/>
        <v>1</v>
      </c>
      <c r="N44" s="32">
        <f t="shared" si="14"/>
        <v>1</v>
      </c>
      <c r="O44" s="32">
        <f t="shared" si="15"/>
        <v>1.3157894736842105E-2</v>
      </c>
      <c r="P44" s="32">
        <f>IF(OR($A44="",N($C44)&lt;=7),"",$G$6*$G$9^($M44-1)*IF(AND(MOD($M44,Reference!$B$99)=0,$M44&lt;=$G$5-2),Reference!$B$100,1))</f>
        <v>80</v>
      </c>
      <c r="Q44" s="32">
        <f>IF($P44="","",IF(SUM($AK$43:$AK$49)=0,0,$P44*INDEX(Reference!$B$108:$B$114,$N44+1)/SUM($AK$43:$AK$49)))</f>
        <v>29.589041095890412</v>
      </c>
      <c r="R44" s="32">
        <f t="shared" si="16"/>
        <v>60</v>
      </c>
      <c r="S44" s="32">
        <f t="shared" si="17"/>
        <v>60</v>
      </c>
      <c r="T44" s="32" t="str">
        <f>IF($A44="","",IF($C44=0,"Bullpen",IF(OR($C44=7,$C44=1,$C44=5),"Recovery/Easy Catch",IF($C44=6,"Compression/Pulldowns",IF(OR($C44=4,$C44=2),"Long Toss",IF($C44=3,"No Throw",IF($N44=2,"No Throw",IF($N44=6,IF($O44&lt;Reference!$B$104,"No Throw","Recovery/Easy Catch"),IF(OR($N44=0,$N44=4),"Recovery/Easy Catch",IF($N44=1,IF($R44&gt;75,"Long Toss","Recovery/Easy Catch"),IF($N44=3,IF($O44&lt;0.5,IF($S44&gt;75,"Long Toss","Recovery/Easy Catch"),"Compression/Pulldowns"),IF($S44&gt;75,"Long Toss","Recovery/Easy Catch"))))))))))))</f>
        <v>Recovery/Easy Catch</v>
      </c>
      <c r="U44" s="32">
        <f t="shared" si="18"/>
        <v>60</v>
      </c>
      <c r="V44" s="32">
        <f t="shared" si="19"/>
        <v>18</v>
      </c>
      <c r="W44" s="32">
        <f t="shared" si="20"/>
        <v>22</v>
      </c>
      <c r="X44" s="32">
        <f t="shared" si="21"/>
        <v>0</v>
      </c>
      <c r="Y44" s="32" t="str">
        <f t="shared" si="22"/>
        <v/>
      </c>
      <c r="Z44" s="32" t="str">
        <f t="shared" si="23"/>
        <v/>
      </c>
      <c r="AA44" s="32" t="str">
        <f t="shared" si="24"/>
        <v/>
      </c>
      <c r="AB44" s="32">
        <f>IF($A44="","",IF($T44="No Throw",0,IF($K44&lt;&gt;"",$K44,IF($AA44&lt;&gt;"",ROUND($AA44*$D$12*IF($C44=0,1,$G$10),0),MIN(IF($T44="Recovery/Easy Catch",Reference!$B$103,IF($T44="Long Toss",Reference!$B$106,Reference!$B$102)),MAX(Reference!$B$101,ROUND(MAX(0,$Q44-$AE44)/$AF44,0)))))))</f>
        <v>30</v>
      </c>
      <c r="AC44" s="32">
        <f t="shared" si="25"/>
        <v>0</v>
      </c>
      <c r="AD44" s="32" t="b">
        <f t="shared" si="26"/>
        <v>0</v>
      </c>
      <c r="AE44" s="32">
        <f>IF($X44=0,0,$X44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44+$Z44)/2,0),Reference!$A$17:$B$20,2,TRUE()))</f>
        <v>0</v>
      </c>
      <c r="AF44" s="32">
        <f>IF(OR($A44="",$U44="",$T44="No Throw"),0,$AM44*VLOOKUP(MAX(($V44+$W44)/2,0),Reference!$A$17:$B$20,2,TRUE()))</f>
        <v>0.6</v>
      </c>
      <c r="AG44" s="32">
        <f>IF($AC44=0,0,$AC44*INDEX(Reference!$B$61:$B$62,MATCH("Bullpen",Reference!$A$61:$A$62,0))*VLOOKUP(MAX($D$5-($D$9+$E$9)/2,0),Reference!$A$17:$B$20,2,TRUE()))</f>
        <v>0</v>
      </c>
      <c r="AH44" s="32" t="e">
        <f t="shared" si="27"/>
        <v>#N/A</v>
      </c>
      <c r="AI44" s="32">
        <f>IF($A44="",NA(),Reference!$A$25)</f>
        <v>0.8</v>
      </c>
      <c r="AJ44" s="32">
        <f t="shared" si="28"/>
        <v>1.3</v>
      </c>
      <c r="AK44" s="56">
        <f>IF(OR($A44="",N($C44)&lt;=7,$T44="No Throw",$J44="x"),0,INDEX(Reference!$B$108:$B$114,$N44+1))</f>
        <v>0.27</v>
      </c>
      <c r="AL44" s="32">
        <f t="shared" si="29"/>
        <v>1</v>
      </c>
      <c r="AM44" s="32">
        <f>IF($U44="",0,IF($AL44&gt;1,((IF(1&lt;=$AL44,($AL44-1+3)*(INDEX(Reference!$B$6:$B$11,MIN(5,MATCH(MAX(Reference!$A$6,MIN(Reference!$A$11,MIN($U44,90))),Reference!$A$6:$A$11,1)))+(MAX(Reference!$A$6,MIN(Reference!$A$11,MIN($U44,90)))-INDEX(Reference!$A$6:$A$11,MIN(5,MATCH(MAX(Reference!$A$6,MIN(Reference!$A$11,MIN($U44,90))),Reference!$A$6:$A$11,1))))*(INDEX(Reference!$B$6:$B$11,MIN(5,MATCH(MAX(Reference!$A$6,MIN(Reference!$A$11,MIN($U44,90))),Reference!$A$6:$A$11,1))+1)-INDEX(Reference!$B$6:$B$11,MIN(5,MATCH(MAX(Reference!$A$6,MIN(Reference!$A$11,MIN($U44,90))),Reference!$A$6:$A$11,1))))/(INDEX(Reference!$A$6:$A$11,MIN(5,MATCH(MAX(Reference!$A$6,MIN(Reference!$A$11,MIN($U44,90))),Reference!$A$6:$A$11,1))+1)-INDEX(Reference!$A$6:$A$11,MIN(5,MATCH(MAX(Reference!$A$6,MIN(Reference!$A$11,MIN($U44,90))),Reference!$A$6:$A$11,1))))),0)+IF(2&lt;=$AL44,($AL44-2+3)*(INDEX(Reference!$B$6:$B$11,MIN(5,MATCH(MAX(Reference!$A$6,MIN(Reference!$A$11,MIN($U44,120))),Reference!$A$6:$A$11,1)))+(MAX(Reference!$A$6,MIN(Reference!$A$11,MIN($U44,120)))-INDEX(Reference!$A$6:$A$11,MIN(5,MATCH(MAX(Reference!$A$6,MIN(Reference!$A$11,MIN($U44,120))),Reference!$A$6:$A$11,1))))*(INDEX(Reference!$B$6:$B$11,MIN(5,MATCH(MAX(Reference!$A$6,MIN(Reference!$A$11,MIN($U44,120))),Reference!$A$6:$A$11,1))+1)-INDEX(Reference!$B$6:$B$11,MIN(5,MATCH(MAX(Reference!$A$6,MIN(Reference!$A$11,MIN($U44,120))),Reference!$A$6:$A$11,1))))/(INDEX(Reference!$A$6:$A$11,MIN(5,MATCH(MAX(Reference!$A$6,MIN(Reference!$A$11,MIN($U44,120))),Reference!$A$6:$A$11,1))+1)-INDEX(Reference!$A$6:$A$11,MIN(5,MATCH(MAX(Reference!$A$6,MIN(Reference!$A$11,MIN($U44,120))),Reference!$A$6:$A$11,1))))),0)+IF(3&lt;=$AL44,($AL44-3+3)*(INDEX(Reference!$B$6:$B$11,MIN(5,MATCH(MAX(Reference!$A$6,MIN(Reference!$A$11,MIN($U44,150))),Reference!$A$6:$A$11,1)))+(MAX(Reference!$A$6,MIN(Reference!$A$11,MIN($U44,150)))-INDEX(Reference!$A$6:$A$11,MIN(5,MATCH(MAX(Reference!$A$6,MIN(Reference!$A$11,MIN($U44,150))),Reference!$A$6:$A$11,1))))*(INDEX(Reference!$B$6:$B$11,MIN(5,MATCH(MAX(Reference!$A$6,MIN(Reference!$A$11,MIN($U44,150))),Reference!$A$6:$A$11,1))+1)-INDEX(Reference!$B$6:$B$11,MIN(5,MATCH(MAX(Reference!$A$6,MIN(Reference!$A$11,MIN($U44,150))),Reference!$A$6:$A$11,1))))/(INDEX(Reference!$A$6:$A$11,MIN(5,MATCH(MAX(Reference!$A$6,MIN(Reference!$A$11,MIN($U44,150))),Reference!$A$6:$A$11,1))+1)-INDEX(Reference!$A$6:$A$11,MIN(5,MATCH(MAX(Reference!$A$6,MIN(Reference!$A$11,MIN($U44,150))),Reference!$A$6:$A$11,1))))),0)+IF(4&lt;=$AL44,($AL44-4+3)*(INDEX(Reference!$B$6:$B$11,MIN(5,MATCH(MAX(Reference!$A$6,MIN(Reference!$A$11,MIN($U44,180))),Reference!$A$6:$A$11,1)))+(MAX(Reference!$A$6,MIN(Reference!$A$11,MIN($U44,180)))-INDEX(Reference!$A$6:$A$11,MIN(5,MATCH(MAX(Reference!$A$6,MIN(Reference!$A$11,MIN($U44,180))),Reference!$A$6:$A$11,1))))*(INDEX(Reference!$B$6:$B$11,MIN(5,MATCH(MAX(Reference!$A$6,MIN(Reference!$A$11,MIN($U44,180))),Reference!$A$6:$A$11,1))+1)-INDEX(Reference!$B$6:$B$11,MIN(5,MATCH(MAX(Reference!$A$6,MIN(Reference!$A$11,MIN($U44,180))),Reference!$A$6:$A$11,1))))/(INDEX(Reference!$A$6:$A$11,MIN(5,MATCH(MAX(Reference!$A$6,MIN(Reference!$A$11,MIN($U44,180))),Reference!$A$6:$A$11,1))+1)-INDEX(Reference!$A$6:$A$11,MIN(5,MATCH(MAX(Reference!$A$6,MIN(Reference!$A$11,MIN($U44,180))),Reference!$A$6:$A$11,1))))),0)+IF(5&lt;=$AL44,($AL44-5+3)*(INDEX(Reference!$B$6:$B$11,MIN(5,MATCH(MAX(Reference!$A$6,MIN(Reference!$A$11,MIN($U44,210))),Reference!$A$6:$A$11,1)))+(MAX(Reference!$A$6,MIN(Reference!$A$11,MIN($U44,210)))-INDEX(Reference!$A$6:$A$11,MIN(5,MATCH(MAX(Reference!$A$6,MIN(Reference!$A$11,MIN($U44,210))),Reference!$A$6:$A$11,1))))*(INDEX(Reference!$B$6:$B$11,MIN(5,MATCH(MAX(Reference!$A$6,MIN(Reference!$A$11,MIN($U44,210))),Reference!$A$6:$A$11,1))+1)-INDEX(Reference!$B$6:$B$11,MIN(5,MATCH(MAX(Reference!$A$6,MIN(Reference!$A$11,MIN($U44,210))),Reference!$A$6:$A$11,1))))/(INDEX(Reference!$A$6:$A$11,MIN(5,MATCH(MAX(Reference!$A$6,MIN(Reference!$A$11,MIN($U44,210))),Reference!$A$6:$A$11,1))+1)-INDEX(Reference!$A$6:$A$11,MIN(5,MATCH(MAX(Reference!$A$6,MIN(Reference!$A$11,MIN($U44,210))),Reference!$A$6:$A$11,1))))),0)+IF(6&lt;=$AL44,($AL44-6+3)*(INDEX(Reference!$B$6:$B$11,MIN(5,MATCH(MAX(Reference!$A$6,MIN(Reference!$A$11,MIN($U44,240))),Reference!$A$6:$A$11,1)))+(MAX(Reference!$A$6,MIN(Reference!$A$11,MIN($U44,240)))-INDEX(Reference!$A$6:$A$11,MIN(5,MATCH(MAX(Reference!$A$6,MIN(Reference!$A$11,MIN($U44,240))),Reference!$A$6:$A$11,1))))*(INDEX(Reference!$B$6:$B$11,MIN(5,MATCH(MAX(Reference!$A$6,MIN(Reference!$A$11,MIN($U44,240))),Reference!$A$6:$A$11,1))+1)-INDEX(Reference!$B$6:$B$11,MIN(5,MATCH(MAX(Reference!$A$6,MIN(Reference!$A$11,MIN($U44,240))),Reference!$A$6:$A$11,1))))/(INDEX(Reference!$A$6:$A$11,MIN(5,MATCH(MAX(Reference!$A$6,MIN(Reference!$A$11,MIN($U44,240))),Reference!$A$6:$A$11,1))+1)-INDEX(Reference!$A$6:$A$11,MIN(5,MATCH(MAX(Reference!$A$6,MIN(Reference!$A$11,MIN($U44,240))),Reference!$A$6:$A$11,1))))),0)+IF(7&lt;=$AL44,($AL44-7+3)*(INDEX(Reference!$B$6:$B$11,MIN(5,MATCH(MAX(Reference!$A$6,MIN(Reference!$A$11,MIN($U44,270))),Reference!$A$6:$A$11,1)))+(MAX(Reference!$A$6,MIN(Reference!$A$11,MIN($U44,270)))-INDEX(Reference!$A$6:$A$11,MIN(5,MATCH(MAX(Reference!$A$6,MIN(Reference!$A$11,MIN($U44,270))),Reference!$A$6:$A$11,1))))*(INDEX(Reference!$B$6:$B$11,MIN(5,MATCH(MAX(Reference!$A$6,MIN(Reference!$A$11,MIN($U44,270))),Reference!$A$6:$A$11,1))+1)-INDEX(Reference!$B$6:$B$11,MIN(5,MATCH(MAX(Reference!$A$6,MIN(Reference!$A$11,MIN($U44,270))),Reference!$A$6:$A$11,1))))/(INDEX(Reference!$A$6:$A$11,MIN(5,MATCH(MAX(Reference!$A$6,MIN(Reference!$A$11,MIN($U44,270))),Reference!$A$6:$A$11,1))+1)-INDEX(Reference!$A$6:$A$11,MIN(5,MATCH(MAX(Reference!$A$6,MIN(Reference!$A$11,MIN($U44,270))),Reference!$A$6:$A$11,1))))),0)+IF(8&lt;=$AL44,($AL44-8+3)*(INDEX(Reference!$B$6:$B$11,MIN(5,MATCH(MAX(Reference!$A$6,MIN(Reference!$A$11,MIN($U44,300))),Reference!$A$6:$A$11,1)))+(MAX(Reference!$A$6,MIN(Reference!$A$11,MIN($U44,300)))-INDEX(Reference!$A$6:$A$11,MIN(5,MATCH(MAX(Reference!$A$6,MIN(Reference!$A$11,MIN($U44,300))),Reference!$A$6:$A$11,1))))*(INDEX(Reference!$B$6:$B$11,MIN(5,MATCH(MAX(Reference!$A$6,MIN(Reference!$A$11,MIN($U44,300))),Reference!$A$6:$A$11,1))+1)-INDEX(Reference!$B$6:$B$11,MIN(5,MATCH(MAX(Reference!$A$6,MIN(Reference!$A$11,MIN($U44,300))),Reference!$A$6:$A$11,1))))/(INDEX(Reference!$A$6:$A$11,MIN(5,MATCH(MAX(Reference!$A$6,MIN(Reference!$A$11,MIN($U44,300))),Reference!$A$6:$A$11,1))+1)-INDEX(Reference!$A$6:$A$11,MIN(5,MATCH(MAX(Reference!$A$6,MIN(Reference!$A$11,MIN($U44,300))),Reference!$A$6:$A$11,1))))),0))/($AL44*($AL44+5)/2)),$AN44))</f>
        <v>1</v>
      </c>
      <c r="AN44" s="32">
        <f>IF($U44="",0,(INDEX(Reference!$B$6:$B$11,MIN(5,MATCH(MAX(Reference!$A$6,MIN(Reference!$A$11,$U44)),Reference!$A$6:$A$11,1)))+(MAX(Reference!$A$6,MIN(Reference!$A$11,$U44))-INDEX(Reference!$A$6:$A$11,MIN(5,MATCH(MAX(Reference!$A$6,MIN(Reference!$A$11,$U44)),Reference!$A$6:$A$11,1))))*(INDEX(Reference!$B$6:$B$11,MIN(5,MATCH(MAX(Reference!$A$6,MIN(Reference!$A$11,$U44)),Reference!$A$6:$A$11,1))+1)-INDEX(Reference!$B$6:$B$11,MIN(5,MATCH(MAX(Reference!$A$6,MIN(Reference!$A$11,$U44)),Reference!$A$6:$A$11,1))))/(INDEX(Reference!$A$6:$A$11,MIN(5,MATCH(MAX(Reference!$A$6,MIN(Reference!$A$11,$U44)),Reference!$A$6:$A$11,1))+1)-INDEX(Reference!$A$6:$A$11,MIN(5,MATCH(MAX(Reference!$A$6,MIN(Reference!$A$11,$U44)),Reference!$A$6:$A$11,1))))))</f>
        <v>1</v>
      </c>
      <c r="AO44" s="37"/>
      <c r="AP44" s="37"/>
      <c r="AQ44" s="37"/>
    </row>
    <row r="45" spans="1:43" x14ac:dyDescent="0.3">
      <c r="A45" s="48">
        <f t="shared" si="5"/>
        <v>46309</v>
      </c>
      <c r="B45" s="32" t="str">
        <f t="shared" si="6"/>
        <v>Wed</v>
      </c>
      <c r="C45" s="32">
        <f t="shared" si="7"/>
        <v>82</v>
      </c>
      <c r="D45" s="32" t="str">
        <f t="shared" si="8"/>
        <v>Re-entry</v>
      </c>
      <c r="E45" s="32" t="str">
        <f t="shared" si="9"/>
        <v>No Throw</v>
      </c>
      <c r="F45" s="32" t="str">
        <f t="shared" si="10"/>
        <v>No Throw</v>
      </c>
      <c r="G45" s="47" t="str">
        <f t="shared" si="11"/>
        <v>Off</v>
      </c>
      <c r="H45" s="30">
        <f t="shared" si="12"/>
        <v>0</v>
      </c>
      <c r="I45" s="46" t="str">
        <f>IF($A45="","",IF(AND($L45&lt;27,$K$12=0),"Building",IFERROR(((SUM($H$43:$H45)+$K$12*IF($L45&lt;6,SUMIFS('Throw Log'!$Q$5:$Q$300,'Throw Log'!$B$5:$B$300,$D$4,'Throw Log'!$A$5:$A$300,"&gt;="&amp;($D$6+$L45-6),'Throw Log'!$A$5:$A$300,"&lt;="&amp;($D$6-1)),0))/7)/((SUM($H$43:$H45)+$K$12*IF($L45&lt;27,SUMIFS('Throw Log'!$Q$5:$Q$300,'Throw Log'!$B$5:$B$300,$D$4,'Throw Log'!$A$5:$A$300,"&gt;="&amp;($D$6+$L45-27),'Throw Log'!$A$5:$A$300,"&lt;="&amp;($D$6-1)),0))/28),"")))</f>
        <v>Building</v>
      </c>
      <c r="J45" s="37"/>
      <c r="K45" s="37"/>
      <c r="L45" s="32">
        <v>2</v>
      </c>
      <c r="M45" s="32">
        <f t="shared" si="13"/>
        <v>1</v>
      </c>
      <c r="N45" s="32">
        <f t="shared" si="14"/>
        <v>2</v>
      </c>
      <c r="O45" s="32">
        <f t="shared" si="15"/>
        <v>2.6315789473684209E-2</v>
      </c>
      <c r="P45" s="32">
        <f>IF(OR($A45="",N($C45)&lt;=7),"",$G$6*$G$9^($M45-1)*IF(AND(MOD($M45,Reference!$B$99)=0,$M45&lt;=$G$5-2),Reference!$B$100,1))</f>
        <v>80</v>
      </c>
      <c r="Q45" s="32">
        <f>IF($P45="","",IF(SUM($AK$43:$AK$49)=0,0,$P45*INDEX(Reference!$B$108:$B$114,$N45+1)/SUM($AK$43:$AK$49)))</f>
        <v>0</v>
      </c>
      <c r="R45" s="32">
        <f t="shared" si="16"/>
        <v>60</v>
      </c>
      <c r="S45" s="32">
        <f t="shared" si="17"/>
        <v>60</v>
      </c>
      <c r="T45" s="32" t="str">
        <f>IF($A45="","",IF($C45=0,"Bullpen",IF(OR($C45=7,$C45=1,$C45=5),"Recovery/Easy Catch",IF($C45=6,"Compression/Pulldowns",IF(OR($C45=4,$C45=2),"Long Toss",IF($C45=3,"No Throw",IF($N45=2,"No Throw",IF($N45=6,IF($O45&lt;Reference!$B$104,"No Throw","Recovery/Easy Catch"),IF(OR($N45=0,$N45=4),"Recovery/Easy Catch",IF($N45=1,IF($R45&gt;75,"Long Toss","Recovery/Easy Catch"),IF($N45=3,IF($O45&lt;0.5,IF($S45&gt;75,"Long Toss","Recovery/Easy Catch"),"Compression/Pulldowns"),IF($S45&gt;75,"Long Toss","Recovery/Easy Catch"))))))))))))</f>
        <v>No Throw</v>
      </c>
      <c r="U45" s="32" t="str">
        <f t="shared" si="18"/>
        <v/>
      </c>
      <c r="V45" s="32" t="str">
        <f t="shared" si="19"/>
        <v/>
      </c>
      <c r="W45" s="32" t="str">
        <f t="shared" si="20"/>
        <v/>
      </c>
      <c r="X45" s="32">
        <f t="shared" si="21"/>
        <v>0</v>
      </c>
      <c r="Y45" s="32" t="str">
        <f t="shared" si="22"/>
        <v/>
      </c>
      <c r="Z45" s="32" t="str">
        <f t="shared" si="23"/>
        <v/>
      </c>
      <c r="AA45" s="32" t="str">
        <f t="shared" si="24"/>
        <v/>
      </c>
      <c r="AB45" s="32">
        <f>IF($A45="","",IF($T45="No Throw",0,IF($K45&lt;&gt;"",$K45,IF($AA45&lt;&gt;"",ROUND($AA45*$D$12*IF($C45=0,1,$G$10),0),MIN(IF($T45="Recovery/Easy Catch",Reference!$B$103,IF($T45="Long Toss",Reference!$B$106,Reference!$B$102)),MAX(Reference!$B$101,ROUND(MAX(0,$Q45-$AE45)/$AF45,0)))))))</f>
        <v>0</v>
      </c>
      <c r="AC45" s="32">
        <f t="shared" si="25"/>
        <v>0</v>
      </c>
      <c r="AD45" s="32" t="b">
        <f t="shared" si="26"/>
        <v>1</v>
      </c>
      <c r="AE45" s="32">
        <f>IF($X45=0,0,$X45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45+$Z45)/2,0),Reference!$A$17:$B$20,2,TRUE()))</f>
        <v>0</v>
      </c>
      <c r="AF45" s="32">
        <f>IF(OR($A45="",$U45="",$T45="No Throw"),0,$AM45*VLOOKUP(MAX(($V45+$W45)/2,0),Reference!$A$17:$B$20,2,TRUE()))</f>
        <v>0</v>
      </c>
      <c r="AG45" s="32">
        <f>IF($AC45=0,0,$AC45*INDEX(Reference!$B$61:$B$62,MATCH("Bullpen",Reference!$A$61:$A$62,0))*VLOOKUP(MAX($D$5-($D$9+$E$9)/2,0),Reference!$A$17:$B$20,2,TRUE()))</f>
        <v>0</v>
      </c>
      <c r="AH45" s="32" t="e">
        <f t="shared" si="27"/>
        <v>#N/A</v>
      </c>
      <c r="AI45" s="32">
        <f>IF($A45="",NA(),Reference!$A$25)</f>
        <v>0.8</v>
      </c>
      <c r="AJ45" s="32">
        <f t="shared" si="28"/>
        <v>1.3</v>
      </c>
      <c r="AK45" s="32">
        <f>IF(OR($A45="",N($C45)&lt;=7,$T45="No Throw",$J45="x"),0,INDEX(Reference!$B$108:$B$114,$N45+1))</f>
        <v>0</v>
      </c>
      <c r="AL45" s="32">
        <f t="shared" si="29"/>
        <v>1</v>
      </c>
      <c r="AM45" s="32">
        <f>IF($U45="",0,IF($AL45&gt;1,((IF(1&lt;=$AL45,($AL45-1+3)*(INDEX(Reference!$B$6:$B$11,MIN(5,MATCH(MAX(Reference!$A$6,MIN(Reference!$A$11,MIN($U45,90))),Reference!$A$6:$A$11,1)))+(MAX(Reference!$A$6,MIN(Reference!$A$11,MIN($U45,90)))-INDEX(Reference!$A$6:$A$11,MIN(5,MATCH(MAX(Reference!$A$6,MIN(Reference!$A$11,MIN($U45,90))),Reference!$A$6:$A$11,1))))*(INDEX(Reference!$B$6:$B$11,MIN(5,MATCH(MAX(Reference!$A$6,MIN(Reference!$A$11,MIN($U45,90))),Reference!$A$6:$A$11,1))+1)-INDEX(Reference!$B$6:$B$11,MIN(5,MATCH(MAX(Reference!$A$6,MIN(Reference!$A$11,MIN($U45,90))),Reference!$A$6:$A$11,1))))/(INDEX(Reference!$A$6:$A$11,MIN(5,MATCH(MAX(Reference!$A$6,MIN(Reference!$A$11,MIN($U45,90))),Reference!$A$6:$A$11,1))+1)-INDEX(Reference!$A$6:$A$11,MIN(5,MATCH(MAX(Reference!$A$6,MIN(Reference!$A$11,MIN($U45,90))),Reference!$A$6:$A$11,1))))),0)+IF(2&lt;=$AL45,($AL45-2+3)*(INDEX(Reference!$B$6:$B$11,MIN(5,MATCH(MAX(Reference!$A$6,MIN(Reference!$A$11,MIN($U45,120))),Reference!$A$6:$A$11,1)))+(MAX(Reference!$A$6,MIN(Reference!$A$11,MIN($U45,120)))-INDEX(Reference!$A$6:$A$11,MIN(5,MATCH(MAX(Reference!$A$6,MIN(Reference!$A$11,MIN($U45,120))),Reference!$A$6:$A$11,1))))*(INDEX(Reference!$B$6:$B$11,MIN(5,MATCH(MAX(Reference!$A$6,MIN(Reference!$A$11,MIN($U45,120))),Reference!$A$6:$A$11,1))+1)-INDEX(Reference!$B$6:$B$11,MIN(5,MATCH(MAX(Reference!$A$6,MIN(Reference!$A$11,MIN($U45,120))),Reference!$A$6:$A$11,1))))/(INDEX(Reference!$A$6:$A$11,MIN(5,MATCH(MAX(Reference!$A$6,MIN(Reference!$A$11,MIN($U45,120))),Reference!$A$6:$A$11,1))+1)-INDEX(Reference!$A$6:$A$11,MIN(5,MATCH(MAX(Reference!$A$6,MIN(Reference!$A$11,MIN($U45,120))),Reference!$A$6:$A$11,1))))),0)+IF(3&lt;=$AL45,($AL45-3+3)*(INDEX(Reference!$B$6:$B$11,MIN(5,MATCH(MAX(Reference!$A$6,MIN(Reference!$A$11,MIN($U45,150))),Reference!$A$6:$A$11,1)))+(MAX(Reference!$A$6,MIN(Reference!$A$11,MIN($U45,150)))-INDEX(Reference!$A$6:$A$11,MIN(5,MATCH(MAX(Reference!$A$6,MIN(Reference!$A$11,MIN($U45,150))),Reference!$A$6:$A$11,1))))*(INDEX(Reference!$B$6:$B$11,MIN(5,MATCH(MAX(Reference!$A$6,MIN(Reference!$A$11,MIN($U45,150))),Reference!$A$6:$A$11,1))+1)-INDEX(Reference!$B$6:$B$11,MIN(5,MATCH(MAX(Reference!$A$6,MIN(Reference!$A$11,MIN($U45,150))),Reference!$A$6:$A$11,1))))/(INDEX(Reference!$A$6:$A$11,MIN(5,MATCH(MAX(Reference!$A$6,MIN(Reference!$A$11,MIN($U45,150))),Reference!$A$6:$A$11,1))+1)-INDEX(Reference!$A$6:$A$11,MIN(5,MATCH(MAX(Reference!$A$6,MIN(Reference!$A$11,MIN($U45,150))),Reference!$A$6:$A$11,1))))),0)+IF(4&lt;=$AL45,($AL45-4+3)*(INDEX(Reference!$B$6:$B$11,MIN(5,MATCH(MAX(Reference!$A$6,MIN(Reference!$A$11,MIN($U45,180))),Reference!$A$6:$A$11,1)))+(MAX(Reference!$A$6,MIN(Reference!$A$11,MIN($U45,180)))-INDEX(Reference!$A$6:$A$11,MIN(5,MATCH(MAX(Reference!$A$6,MIN(Reference!$A$11,MIN($U45,180))),Reference!$A$6:$A$11,1))))*(INDEX(Reference!$B$6:$B$11,MIN(5,MATCH(MAX(Reference!$A$6,MIN(Reference!$A$11,MIN($U45,180))),Reference!$A$6:$A$11,1))+1)-INDEX(Reference!$B$6:$B$11,MIN(5,MATCH(MAX(Reference!$A$6,MIN(Reference!$A$11,MIN($U45,180))),Reference!$A$6:$A$11,1))))/(INDEX(Reference!$A$6:$A$11,MIN(5,MATCH(MAX(Reference!$A$6,MIN(Reference!$A$11,MIN($U45,180))),Reference!$A$6:$A$11,1))+1)-INDEX(Reference!$A$6:$A$11,MIN(5,MATCH(MAX(Reference!$A$6,MIN(Reference!$A$11,MIN($U45,180))),Reference!$A$6:$A$11,1))))),0)+IF(5&lt;=$AL45,($AL45-5+3)*(INDEX(Reference!$B$6:$B$11,MIN(5,MATCH(MAX(Reference!$A$6,MIN(Reference!$A$11,MIN($U45,210))),Reference!$A$6:$A$11,1)))+(MAX(Reference!$A$6,MIN(Reference!$A$11,MIN($U45,210)))-INDEX(Reference!$A$6:$A$11,MIN(5,MATCH(MAX(Reference!$A$6,MIN(Reference!$A$11,MIN($U45,210))),Reference!$A$6:$A$11,1))))*(INDEX(Reference!$B$6:$B$11,MIN(5,MATCH(MAX(Reference!$A$6,MIN(Reference!$A$11,MIN($U45,210))),Reference!$A$6:$A$11,1))+1)-INDEX(Reference!$B$6:$B$11,MIN(5,MATCH(MAX(Reference!$A$6,MIN(Reference!$A$11,MIN($U45,210))),Reference!$A$6:$A$11,1))))/(INDEX(Reference!$A$6:$A$11,MIN(5,MATCH(MAX(Reference!$A$6,MIN(Reference!$A$11,MIN($U45,210))),Reference!$A$6:$A$11,1))+1)-INDEX(Reference!$A$6:$A$11,MIN(5,MATCH(MAX(Reference!$A$6,MIN(Reference!$A$11,MIN($U45,210))),Reference!$A$6:$A$11,1))))),0)+IF(6&lt;=$AL45,($AL45-6+3)*(INDEX(Reference!$B$6:$B$11,MIN(5,MATCH(MAX(Reference!$A$6,MIN(Reference!$A$11,MIN($U45,240))),Reference!$A$6:$A$11,1)))+(MAX(Reference!$A$6,MIN(Reference!$A$11,MIN($U45,240)))-INDEX(Reference!$A$6:$A$11,MIN(5,MATCH(MAX(Reference!$A$6,MIN(Reference!$A$11,MIN($U45,240))),Reference!$A$6:$A$11,1))))*(INDEX(Reference!$B$6:$B$11,MIN(5,MATCH(MAX(Reference!$A$6,MIN(Reference!$A$11,MIN($U45,240))),Reference!$A$6:$A$11,1))+1)-INDEX(Reference!$B$6:$B$11,MIN(5,MATCH(MAX(Reference!$A$6,MIN(Reference!$A$11,MIN($U45,240))),Reference!$A$6:$A$11,1))))/(INDEX(Reference!$A$6:$A$11,MIN(5,MATCH(MAX(Reference!$A$6,MIN(Reference!$A$11,MIN($U45,240))),Reference!$A$6:$A$11,1))+1)-INDEX(Reference!$A$6:$A$11,MIN(5,MATCH(MAX(Reference!$A$6,MIN(Reference!$A$11,MIN($U45,240))),Reference!$A$6:$A$11,1))))),0)+IF(7&lt;=$AL45,($AL45-7+3)*(INDEX(Reference!$B$6:$B$11,MIN(5,MATCH(MAX(Reference!$A$6,MIN(Reference!$A$11,MIN($U45,270))),Reference!$A$6:$A$11,1)))+(MAX(Reference!$A$6,MIN(Reference!$A$11,MIN($U45,270)))-INDEX(Reference!$A$6:$A$11,MIN(5,MATCH(MAX(Reference!$A$6,MIN(Reference!$A$11,MIN($U45,270))),Reference!$A$6:$A$11,1))))*(INDEX(Reference!$B$6:$B$11,MIN(5,MATCH(MAX(Reference!$A$6,MIN(Reference!$A$11,MIN($U45,270))),Reference!$A$6:$A$11,1))+1)-INDEX(Reference!$B$6:$B$11,MIN(5,MATCH(MAX(Reference!$A$6,MIN(Reference!$A$11,MIN($U45,270))),Reference!$A$6:$A$11,1))))/(INDEX(Reference!$A$6:$A$11,MIN(5,MATCH(MAX(Reference!$A$6,MIN(Reference!$A$11,MIN($U45,270))),Reference!$A$6:$A$11,1))+1)-INDEX(Reference!$A$6:$A$11,MIN(5,MATCH(MAX(Reference!$A$6,MIN(Reference!$A$11,MIN($U45,270))),Reference!$A$6:$A$11,1))))),0)+IF(8&lt;=$AL45,($AL45-8+3)*(INDEX(Reference!$B$6:$B$11,MIN(5,MATCH(MAX(Reference!$A$6,MIN(Reference!$A$11,MIN($U45,300))),Reference!$A$6:$A$11,1)))+(MAX(Reference!$A$6,MIN(Reference!$A$11,MIN($U45,300)))-INDEX(Reference!$A$6:$A$11,MIN(5,MATCH(MAX(Reference!$A$6,MIN(Reference!$A$11,MIN($U45,300))),Reference!$A$6:$A$11,1))))*(INDEX(Reference!$B$6:$B$11,MIN(5,MATCH(MAX(Reference!$A$6,MIN(Reference!$A$11,MIN($U45,300))),Reference!$A$6:$A$11,1))+1)-INDEX(Reference!$B$6:$B$11,MIN(5,MATCH(MAX(Reference!$A$6,MIN(Reference!$A$11,MIN($U45,300))),Reference!$A$6:$A$11,1))))/(INDEX(Reference!$A$6:$A$11,MIN(5,MATCH(MAX(Reference!$A$6,MIN(Reference!$A$11,MIN($U45,300))),Reference!$A$6:$A$11,1))+1)-INDEX(Reference!$A$6:$A$11,MIN(5,MATCH(MAX(Reference!$A$6,MIN(Reference!$A$11,MIN($U45,300))),Reference!$A$6:$A$11,1))))),0))/($AL45*($AL45+5)/2)),$AN45))</f>
        <v>0</v>
      </c>
      <c r="AN45" s="32">
        <f>IF($U45="",0,(INDEX(Reference!$B$6:$B$11,MIN(5,MATCH(MAX(Reference!$A$6,MIN(Reference!$A$11,$U45)),Reference!$A$6:$A$11,1)))+(MAX(Reference!$A$6,MIN(Reference!$A$11,$U45))-INDEX(Reference!$A$6:$A$11,MIN(5,MATCH(MAX(Reference!$A$6,MIN(Reference!$A$11,$U45)),Reference!$A$6:$A$11,1))))*(INDEX(Reference!$B$6:$B$11,MIN(5,MATCH(MAX(Reference!$A$6,MIN(Reference!$A$11,$U45)),Reference!$A$6:$A$11,1))+1)-INDEX(Reference!$B$6:$B$11,MIN(5,MATCH(MAX(Reference!$A$6,MIN(Reference!$A$11,$U45)),Reference!$A$6:$A$11,1))))/(INDEX(Reference!$A$6:$A$11,MIN(5,MATCH(MAX(Reference!$A$6,MIN(Reference!$A$11,$U45)),Reference!$A$6:$A$11,1))+1)-INDEX(Reference!$A$6:$A$11,MIN(5,MATCH(MAX(Reference!$A$6,MIN(Reference!$A$11,$U45)),Reference!$A$6:$A$11,1))))))</f>
        <v>0</v>
      </c>
      <c r="AO45" s="37"/>
      <c r="AP45" s="37"/>
      <c r="AQ45" s="37"/>
    </row>
    <row r="46" spans="1:43" x14ac:dyDescent="0.3">
      <c r="A46" s="48">
        <f t="shared" si="5"/>
        <v>46310</v>
      </c>
      <c r="B46" s="32" t="str">
        <f t="shared" si="6"/>
        <v>Thu</v>
      </c>
      <c r="C46" s="32">
        <f t="shared" si="7"/>
        <v>81</v>
      </c>
      <c r="D46" s="32" t="str">
        <f t="shared" si="8"/>
        <v>Re-entry</v>
      </c>
      <c r="E46" s="32" t="str">
        <f t="shared" si="9"/>
        <v>Low</v>
      </c>
      <c r="F46" s="32" t="str">
        <f t="shared" si="10"/>
        <v>Recovery/Easy Catch</v>
      </c>
      <c r="G46" s="47" t="str">
        <f t="shared" si="11"/>
        <v>60 ft × 35 @ 69–73 mph</v>
      </c>
      <c r="H46" s="30">
        <f t="shared" si="12"/>
        <v>21</v>
      </c>
      <c r="I46" s="46" t="str">
        <f>IF($A46="","",IF(AND($L46&lt;27,$K$12=0),"Building",IFERROR(((SUM($H$43:$H46)+$K$12*IF($L46&lt;6,SUMIFS('Throw Log'!$Q$5:$Q$300,'Throw Log'!$B$5:$B$300,$D$4,'Throw Log'!$A$5:$A$300,"&gt;="&amp;($D$6+$L46-6),'Throw Log'!$A$5:$A$300,"&lt;="&amp;($D$6-1)),0))/7)/((SUM($H$43:$H46)+$K$12*IF($L46&lt;27,SUMIFS('Throw Log'!$Q$5:$Q$300,'Throw Log'!$B$5:$B$300,$D$4,'Throw Log'!$A$5:$A$300,"&gt;="&amp;($D$6+$L46-27),'Throw Log'!$A$5:$A$300,"&lt;="&amp;($D$6-1)),0))/28),"")))</f>
        <v>Building</v>
      </c>
      <c r="J46" s="37"/>
      <c r="K46" s="37"/>
      <c r="L46" s="32">
        <v>3</v>
      </c>
      <c r="M46" s="32">
        <f t="shared" si="13"/>
        <v>1</v>
      </c>
      <c r="N46" s="32">
        <f t="shared" si="14"/>
        <v>3</v>
      </c>
      <c r="O46" s="32">
        <f t="shared" si="15"/>
        <v>3.9473684210526314E-2</v>
      </c>
      <c r="P46" s="32">
        <f>IF(OR($A46="",N($C46)&lt;=7),"",$G$6*$G$9^($M46-1)*IF(AND(MOD($M46,Reference!$B$99)=0,$M46&lt;=$G$5-2),Reference!$B$100,1))</f>
        <v>80</v>
      </c>
      <c r="Q46" s="32">
        <f>IF($P46="","",IF(SUM($AK$43:$AK$49)=0,0,$P46*INDEX(Reference!$B$108:$B$114,$N46+1)/SUM($AK$43:$AK$49)))</f>
        <v>26.301369863013697</v>
      </c>
      <c r="R46" s="32">
        <f t="shared" si="16"/>
        <v>60</v>
      </c>
      <c r="S46" s="32">
        <f t="shared" si="17"/>
        <v>60</v>
      </c>
      <c r="T46" s="32" t="str">
        <f>IF($A46="","",IF($C46=0,"Bullpen",IF(OR($C46=7,$C46=1,$C46=5),"Recovery/Easy Catch",IF($C46=6,"Compression/Pulldowns",IF(OR($C46=4,$C46=2),"Long Toss",IF($C46=3,"No Throw",IF($N46=2,"No Throw",IF($N46=6,IF($O46&lt;Reference!$B$104,"No Throw","Recovery/Easy Catch"),IF(OR($N46=0,$N46=4),"Recovery/Easy Catch",IF($N46=1,IF($R46&gt;75,"Long Toss","Recovery/Easy Catch"),IF($N46=3,IF($O46&lt;0.5,IF($S46&gt;75,"Long Toss","Recovery/Easy Catch"),"Compression/Pulldowns"),IF($S46&gt;75,"Long Toss","Recovery/Easy Catch"))))))))))))</f>
        <v>Recovery/Easy Catch</v>
      </c>
      <c r="U46" s="32">
        <f t="shared" si="18"/>
        <v>60</v>
      </c>
      <c r="V46" s="32">
        <f t="shared" si="19"/>
        <v>18</v>
      </c>
      <c r="W46" s="32">
        <f t="shared" si="20"/>
        <v>22</v>
      </c>
      <c r="X46" s="32">
        <f t="shared" si="21"/>
        <v>0</v>
      </c>
      <c r="Y46" s="32" t="str">
        <f t="shared" si="22"/>
        <v/>
      </c>
      <c r="Z46" s="32" t="str">
        <f t="shared" si="23"/>
        <v/>
      </c>
      <c r="AA46" s="32" t="str">
        <f t="shared" si="24"/>
        <v/>
      </c>
      <c r="AB46" s="32">
        <f>IF($A46="","",IF($T46="No Throw",0,IF($K46&lt;&gt;"",$K46,IF($AA46&lt;&gt;"",ROUND($AA46*$D$12*IF($C46=0,1,$G$10),0),MIN(IF($T46="Recovery/Easy Catch",Reference!$B$103,IF($T46="Long Toss",Reference!$B$106,Reference!$B$102)),MAX(Reference!$B$101,ROUND(MAX(0,$Q46-$AE46)/$AF46,0)))))))</f>
        <v>35</v>
      </c>
      <c r="AC46" s="32">
        <f t="shared" si="25"/>
        <v>0</v>
      </c>
      <c r="AD46" s="32" t="b">
        <f t="shared" si="26"/>
        <v>0</v>
      </c>
      <c r="AE46" s="32">
        <f>IF($X46=0,0,$X46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46+$Z46)/2,0),Reference!$A$17:$B$20,2,TRUE()))</f>
        <v>0</v>
      </c>
      <c r="AF46" s="32">
        <f>IF(OR($A46="",$U46="",$T46="No Throw"),0,$AM46*VLOOKUP(MAX(($V46+$W46)/2,0),Reference!$A$17:$B$20,2,TRUE()))</f>
        <v>0.6</v>
      </c>
      <c r="AG46" s="32">
        <f>IF($AC46=0,0,$AC46*INDEX(Reference!$B$61:$B$62,MATCH("Bullpen",Reference!$A$61:$A$62,0))*VLOOKUP(MAX($D$5-($D$9+$E$9)/2,0),Reference!$A$17:$B$20,2,TRUE()))</f>
        <v>0</v>
      </c>
      <c r="AH46" s="32" t="e">
        <f t="shared" si="27"/>
        <v>#N/A</v>
      </c>
      <c r="AI46" s="32">
        <f>IF($A46="",NA(),Reference!$A$25)</f>
        <v>0.8</v>
      </c>
      <c r="AJ46" s="32">
        <f t="shared" si="28"/>
        <v>1.3</v>
      </c>
      <c r="AK46" s="56">
        <f>IF(OR($A46="",N($C46)&lt;=7,$T46="No Throw",$J46="x"),0,INDEX(Reference!$B$108:$B$114,$N46+1))</f>
        <v>0.24</v>
      </c>
      <c r="AL46" s="32">
        <f t="shared" si="29"/>
        <v>1</v>
      </c>
      <c r="AM46" s="32">
        <f>IF($U46="",0,IF($AL46&gt;1,((IF(1&lt;=$AL46,($AL46-1+3)*(INDEX(Reference!$B$6:$B$11,MIN(5,MATCH(MAX(Reference!$A$6,MIN(Reference!$A$11,MIN($U46,90))),Reference!$A$6:$A$11,1)))+(MAX(Reference!$A$6,MIN(Reference!$A$11,MIN($U46,90)))-INDEX(Reference!$A$6:$A$11,MIN(5,MATCH(MAX(Reference!$A$6,MIN(Reference!$A$11,MIN($U46,90))),Reference!$A$6:$A$11,1))))*(INDEX(Reference!$B$6:$B$11,MIN(5,MATCH(MAX(Reference!$A$6,MIN(Reference!$A$11,MIN($U46,90))),Reference!$A$6:$A$11,1))+1)-INDEX(Reference!$B$6:$B$11,MIN(5,MATCH(MAX(Reference!$A$6,MIN(Reference!$A$11,MIN($U46,90))),Reference!$A$6:$A$11,1))))/(INDEX(Reference!$A$6:$A$11,MIN(5,MATCH(MAX(Reference!$A$6,MIN(Reference!$A$11,MIN($U46,90))),Reference!$A$6:$A$11,1))+1)-INDEX(Reference!$A$6:$A$11,MIN(5,MATCH(MAX(Reference!$A$6,MIN(Reference!$A$11,MIN($U46,90))),Reference!$A$6:$A$11,1))))),0)+IF(2&lt;=$AL46,($AL46-2+3)*(INDEX(Reference!$B$6:$B$11,MIN(5,MATCH(MAX(Reference!$A$6,MIN(Reference!$A$11,MIN($U46,120))),Reference!$A$6:$A$11,1)))+(MAX(Reference!$A$6,MIN(Reference!$A$11,MIN($U46,120)))-INDEX(Reference!$A$6:$A$11,MIN(5,MATCH(MAX(Reference!$A$6,MIN(Reference!$A$11,MIN($U46,120))),Reference!$A$6:$A$11,1))))*(INDEX(Reference!$B$6:$B$11,MIN(5,MATCH(MAX(Reference!$A$6,MIN(Reference!$A$11,MIN($U46,120))),Reference!$A$6:$A$11,1))+1)-INDEX(Reference!$B$6:$B$11,MIN(5,MATCH(MAX(Reference!$A$6,MIN(Reference!$A$11,MIN($U46,120))),Reference!$A$6:$A$11,1))))/(INDEX(Reference!$A$6:$A$11,MIN(5,MATCH(MAX(Reference!$A$6,MIN(Reference!$A$11,MIN($U46,120))),Reference!$A$6:$A$11,1))+1)-INDEX(Reference!$A$6:$A$11,MIN(5,MATCH(MAX(Reference!$A$6,MIN(Reference!$A$11,MIN($U46,120))),Reference!$A$6:$A$11,1))))),0)+IF(3&lt;=$AL46,($AL46-3+3)*(INDEX(Reference!$B$6:$B$11,MIN(5,MATCH(MAX(Reference!$A$6,MIN(Reference!$A$11,MIN($U46,150))),Reference!$A$6:$A$11,1)))+(MAX(Reference!$A$6,MIN(Reference!$A$11,MIN($U46,150)))-INDEX(Reference!$A$6:$A$11,MIN(5,MATCH(MAX(Reference!$A$6,MIN(Reference!$A$11,MIN($U46,150))),Reference!$A$6:$A$11,1))))*(INDEX(Reference!$B$6:$B$11,MIN(5,MATCH(MAX(Reference!$A$6,MIN(Reference!$A$11,MIN($U46,150))),Reference!$A$6:$A$11,1))+1)-INDEX(Reference!$B$6:$B$11,MIN(5,MATCH(MAX(Reference!$A$6,MIN(Reference!$A$11,MIN($U46,150))),Reference!$A$6:$A$11,1))))/(INDEX(Reference!$A$6:$A$11,MIN(5,MATCH(MAX(Reference!$A$6,MIN(Reference!$A$11,MIN($U46,150))),Reference!$A$6:$A$11,1))+1)-INDEX(Reference!$A$6:$A$11,MIN(5,MATCH(MAX(Reference!$A$6,MIN(Reference!$A$11,MIN($U46,150))),Reference!$A$6:$A$11,1))))),0)+IF(4&lt;=$AL46,($AL46-4+3)*(INDEX(Reference!$B$6:$B$11,MIN(5,MATCH(MAX(Reference!$A$6,MIN(Reference!$A$11,MIN($U46,180))),Reference!$A$6:$A$11,1)))+(MAX(Reference!$A$6,MIN(Reference!$A$11,MIN($U46,180)))-INDEX(Reference!$A$6:$A$11,MIN(5,MATCH(MAX(Reference!$A$6,MIN(Reference!$A$11,MIN($U46,180))),Reference!$A$6:$A$11,1))))*(INDEX(Reference!$B$6:$B$11,MIN(5,MATCH(MAX(Reference!$A$6,MIN(Reference!$A$11,MIN($U46,180))),Reference!$A$6:$A$11,1))+1)-INDEX(Reference!$B$6:$B$11,MIN(5,MATCH(MAX(Reference!$A$6,MIN(Reference!$A$11,MIN($U46,180))),Reference!$A$6:$A$11,1))))/(INDEX(Reference!$A$6:$A$11,MIN(5,MATCH(MAX(Reference!$A$6,MIN(Reference!$A$11,MIN($U46,180))),Reference!$A$6:$A$11,1))+1)-INDEX(Reference!$A$6:$A$11,MIN(5,MATCH(MAX(Reference!$A$6,MIN(Reference!$A$11,MIN($U46,180))),Reference!$A$6:$A$11,1))))),0)+IF(5&lt;=$AL46,($AL46-5+3)*(INDEX(Reference!$B$6:$B$11,MIN(5,MATCH(MAX(Reference!$A$6,MIN(Reference!$A$11,MIN($U46,210))),Reference!$A$6:$A$11,1)))+(MAX(Reference!$A$6,MIN(Reference!$A$11,MIN($U46,210)))-INDEX(Reference!$A$6:$A$11,MIN(5,MATCH(MAX(Reference!$A$6,MIN(Reference!$A$11,MIN($U46,210))),Reference!$A$6:$A$11,1))))*(INDEX(Reference!$B$6:$B$11,MIN(5,MATCH(MAX(Reference!$A$6,MIN(Reference!$A$11,MIN($U46,210))),Reference!$A$6:$A$11,1))+1)-INDEX(Reference!$B$6:$B$11,MIN(5,MATCH(MAX(Reference!$A$6,MIN(Reference!$A$11,MIN($U46,210))),Reference!$A$6:$A$11,1))))/(INDEX(Reference!$A$6:$A$11,MIN(5,MATCH(MAX(Reference!$A$6,MIN(Reference!$A$11,MIN($U46,210))),Reference!$A$6:$A$11,1))+1)-INDEX(Reference!$A$6:$A$11,MIN(5,MATCH(MAX(Reference!$A$6,MIN(Reference!$A$11,MIN($U46,210))),Reference!$A$6:$A$11,1))))),0)+IF(6&lt;=$AL46,($AL46-6+3)*(INDEX(Reference!$B$6:$B$11,MIN(5,MATCH(MAX(Reference!$A$6,MIN(Reference!$A$11,MIN($U46,240))),Reference!$A$6:$A$11,1)))+(MAX(Reference!$A$6,MIN(Reference!$A$11,MIN($U46,240)))-INDEX(Reference!$A$6:$A$11,MIN(5,MATCH(MAX(Reference!$A$6,MIN(Reference!$A$11,MIN($U46,240))),Reference!$A$6:$A$11,1))))*(INDEX(Reference!$B$6:$B$11,MIN(5,MATCH(MAX(Reference!$A$6,MIN(Reference!$A$11,MIN($U46,240))),Reference!$A$6:$A$11,1))+1)-INDEX(Reference!$B$6:$B$11,MIN(5,MATCH(MAX(Reference!$A$6,MIN(Reference!$A$11,MIN($U46,240))),Reference!$A$6:$A$11,1))))/(INDEX(Reference!$A$6:$A$11,MIN(5,MATCH(MAX(Reference!$A$6,MIN(Reference!$A$11,MIN($U46,240))),Reference!$A$6:$A$11,1))+1)-INDEX(Reference!$A$6:$A$11,MIN(5,MATCH(MAX(Reference!$A$6,MIN(Reference!$A$11,MIN($U46,240))),Reference!$A$6:$A$11,1))))),0)+IF(7&lt;=$AL46,($AL46-7+3)*(INDEX(Reference!$B$6:$B$11,MIN(5,MATCH(MAX(Reference!$A$6,MIN(Reference!$A$11,MIN($U46,270))),Reference!$A$6:$A$11,1)))+(MAX(Reference!$A$6,MIN(Reference!$A$11,MIN($U46,270)))-INDEX(Reference!$A$6:$A$11,MIN(5,MATCH(MAX(Reference!$A$6,MIN(Reference!$A$11,MIN($U46,270))),Reference!$A$6:$A$11,1))))*(INDEX(Reference!$B$6:$B$11,MIN(5,MATCH(MAX(Reference!$A$6,MIN(Reference!$A$11,MIN($U46,270))),Reference!$A$6:$A$11,1))+1)-INDEX(Reference!$B$6:$B$11,MIN(5,MATCH(MAX(Reference!$A$6,MIN(Reference!$A$11,MIN($U46,270))),Reference!$A$6:$A$11,1))))/(INDEX(Reference!$A$6:$A$11,MIN(5,MATCH(MAX(Reference!$A$6,MIN(Reference!$A$11,MIN($U46,270))),Reference!$A$6:$A$11,1))+1)-INDEX(Reference!$A$6:$A$11,MIN(5,MATCH(MAX(Reference!$A$6,MIN(Reference!$A$11,MIN($U46,270))),Reference!$A$6:$A$11,1))))),0)+IF(8&lt;=$AL46,($AL46-8+3)*(INDEX(Reference!$B$6:$B$11,MIN(5,MATCH(MAX(Reference!$A$6,MIN(Reference!$A$11,MIN($U46,300))),Reference!$A$6:$A$11,1)))+(MAX(Reference!$A$6,MIN(Reference!$A$11,MIN($U46,300)))-INDEX(Reference!$A$6:$A$11,MIN(5,MATCH(MAX(Reference!$A$6,MIN(Reference!$A$11,MIN($U46,300))),Reference!$A$6:$A$11,1))))*(INDEX(Reference!$B$6:$B$11,MIN(5,MATCH(MAX(Reference!$A$6,MIN(Reference!$A$11,MIN($U46,300))),Reference!$A$6:$A$11,1))+1)-INDEX(Reference!$B$6:$B$11,MIN(5,MATCH(MAX(Reference!$A$6,MIN(Reference!$A$11,MIN($U46,300))),Reference!$A$6:$A$11,1))))/(INDEX(Reference!$A$6:$A$11,MIN(5,MATCH(MAX(Reference!$A$6,MIN(Reference!$A$11,MIN($U46,300))),Reference!$A$6:$A$11,1))+1)-INDEX(Reference!$A$6:$A$11,MIN(5,MATCH(MAX(Reference!$A$6,MIN(Reference!$A$11,MIN($U46,300))),Reference!$A$6:$A$11,1))))),0))/($AL46*($AL46+5)/2)),$AN46))</f>
        <v>1</v>
      </c>
      <c r="AN46" s="32">
        <f>IF($U46="",0,(INDEX(Reference!$B$6:$B$11,MIN(5,MATCH(MAX(Reference!$A$6,MIN(Reference!$A$11,$U46)),Reference!$A$6:$A$11,1)))+(MAX(Reference!$A$6,MIN(Reference!$A$11,$U46))-INDEX(Reference!$A$6:$A$11,MIN(5,MATCH(MAX(Reference!$A$6,MIN(Reference!$A$11,$U46)),Reference!$A$6:$A$11,1))))*(INDEX(Reference!$B$6:$B$11,MIN(5,MATCH(MAX(Reference!$A$6,MIN(Reference!$A$11,$U46)),Reference!$A$6:$A$11,1))+1)-INDEX(Reference!$B$6:$B$11,MIN(5,MATCH(MAX(Reference!$A$6,MIN(Reference!$A$11,$U46)),Reference!$A$6:$A$11,1))))/(INDEX(Reference!$A$6:$A$11,MIN(5,MATCH(MAX(Reference!$A$6,MIN(Reference!$A$11,$U46)),Reference!$A$6:$A$11,1))+1)-INDEX(Reference!$A$6:$A$11,MIN(5,MATCH(MAX(Reference!$A$6,MIN(Reference!$A$11,$U46)),Reference!$A$6:$A$11,1))))))</f>
        <v>1</v>
      </c>
      <c r="AO46" s="37"/>
      <c r="AP46" s="37"/>
      <c r="AQ46" s="37"/>
    </row>
    <row r="47" spans="1:43" x14ac:dyDescent="0.3">
      <c r="A47" s="48">
        <f t="shared" si="5"/>
        <v>46311</v>
      </c>
      <c r="B47" s="32" t="str">
        <f t="shared" si="6"/>
        <v>Fri</v>
      </c>
      <c r="C47" s="32">
        <f t="shared" si="7"/>
        <v>80</v>
      </c>
      <c r="D47" s="32" t="str">
        <f t="shared" si="8"/>
        <v>Re-entry</v>
      </c>
      <c r="E47" s="32" t="str">
        <f t="shared" si="9"/>
        <v>Low</v>
      </c>
      <c r="F47" s="32" t="str">
        <f t="shared" si="10"/>
        <v>Recovery/Easy Catch</v>
      </c>
      <c r="G47" s="47" t="str">
        <f t="shared" si="11"/>
        <v>60 ft × 20 @ 67–71 mph</v>
      </c>
      <c r="H47" s="30">
        <f t="shared" si="12"/>
        <v>12</v>
      </c>
      <c r="I47" s="46" t="str">
        <f>IF($A47="","",IF(AND($L47&lt;27,$K$12=0),"Building",IFERROR(((SUM($H$43:$H47)+$K$12*IF($L47&lt;6,SUMIFS('Throw Log'!$Q$5:$Q$300,'Throw Log'!$B$5:$B$300,$D$4,'Throw Log'!$A$5:$A$300,"&gt;="&amp;($D$6+$L47-6),'Throw Log'!$A$5:$A$300,"&lt;="&amp;($D$6-1)),0))/7)/((SUM($H$43:$H47)+$K$12*IF($L47&lt;27,SUMIFS('Throw Log'!$Q$5:$Q$300,'Throw Log'!$B$5:$B$300,$D$4,'Throw Log'!$A$5:$A$300,"&gt;="&amp;($D$6+$L47-27),'Throw Log'!$A$5:$A$300,"&lt;="&amp;($D$6-1)),0))/28),"")))</f>
        <v>Building</v>
      </c>
      <c r="J47" s="37"/>
      <c r="K47" s="37"/>
      <c r="L47" s="32">
        <v>4</v>
      </c>
      <c r="M47" s="32">
        <f t="shared" si="13"/>
        <v>1</v>
      </c>
      <c r="N47" s="32">
        <f t="shared" si="14"/>
        <v>4</v>
      </c>
      <c r="O47" s="32">
        <f t="shared" si="15"/>
        <v>5.2631578947368418E-2</v>
      </c>
      <c r="P47" s="32">
        <f>IF(OR($A47="",N($C47)&lt;=7),"",$G$6*$G$9^($M47-1)*IF(AND(MOD($M47,Reference!$B$99)=0,$M47&lt;=$G$5-2),Reference!$B$100,1))</f>
        <v>80</v>
      </c>
      <c r="Q47" s="32">
        <f>IF($P47="","",IF(SUM($AK$43:$AK$49)=0,0,$P47*INDEX(Reference!$B$108:$B$114,$N47+1)/SUM($AK$43:$AK$49)))</f>
        <v>10.95890410958904</v>
      </c>
      <c r="R47" s="32">
        <f t="shared" si="16"/>
        <v>75</v>
      </c>
      <c r="S47" s="32">
        <f t="shared" si="17"/>
        <v>75</v>
      </c>
      <c r="T47" s="32" t="str">
        <f>IF($A47="","",IF($C47=0,"Bullpen",IF(OR($C47=7,$C47=1,$C47=5),"Recovery/Easy Catch",IF($C47=6,"Compression/Pulldowns",IF(OR($C47=4,$C47=2),"Long Toss",IF($C47=3,"No Throw",IF($N47=2,"No Throw",IF($N47=6,IF($O47&lt;Reference!$B$104,"No Throw","Recovery/Easy Catch"),IF(OR($N47=0,$N47=4),"Recovery/Easy Catch",IF($N47=1,IF($R47&gt;75,"Long Toss","Recovery/Easy Catch"),IF($N47=3,IF($O47&lt;0.5,IF($S47&gt;75,"Long Toss","Recovery/Easy Catch"),"Compression/Pulldowns"),IF($S47&gt;75,"Long Toss","Recovery/Easy Catch"))))))))))))</f>
        <v>Recovery/Easy Catch</v>
      </c>
      <c r="U47" s="32">
        <f t="shared" si="18"/>
        <v>60</v>
      </c>
      <c r="V47" s="32">
        <f t="shared" si="19"/>
        <v>20</v>
      </c>
      <c r="W47" s="32">
        <f t="shared" si="20"/>
        <v>24</v>
      </c>
      <c r="X47" s="32">
        <f t="shared" si="21"/>
        <v>0</v>
      </c>
      <c r="Y47" s="32" t="str">
        <f t="shared" si="22"/>
        <v/>
      </c>
      <c r="Z47" s="32" t="str">
        <f t="shared" si="23"/>
        <v/>
      </c>
      <c r="AA47" s="32" t="str">
        <f t="shared" si="24"/>
        <v/>
      </c>
      <c r="AB47" s="32">
        <f>IF($A47="","",IF($T47="No Throw",0,IF($K47&lt;&gt;"",$K47,IF($AA47&lt;&gt;"",ROUND($AA47*$D$12*IF($C47=0,1,$G$10),0),MIN(IF($T47="Recovery/Easy Catch",Reference!$B$103,IF($T47="Long Toss",Reference!$B$106,Reference!$B$102)),MAX(Reference!$B$101,ROUND(MAX(0,$Q47-$AE47)/$AF47,0)))))))</f>
        <v>20</v>
      </c>
      <c r="AC47" s="32">
        <f t="shared" si="25"/>
        <v>0</v>
      </c>
      <c r="AD47" s="32" t="b">
        <f t="shared" si="26"/>
        <v>0</v>
      </c>
      <c r="AE47" s="32">
        <f>IF($X47=0,0,$X47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47+$Z47)/2,0),Reference!$A$17:$B$20,2,TRUE()))</f>
        <v>0</v>
      </c>
      <c r="AF47" s="32">
        <f>IF(OR($A47="",$U47="",$T47="No Throw"),0,$AM47*VLOOKUP(MAX(($V47+$W47)/2,0),Reference!$A$17:$B$20,2,TRUE()))</f>
        <v>0.6</v>
      </c>
      <c r="AG47" s="32">
        <f>IF($AC47=0,0,$AC47*INDEX(Reference!$B$61:$B$62,MATCH("Bullpen",Reference!$A$61:$A$62,0))*VLOOKUP(MAX($D$5-($D$9+$E$9)/2,0),Reference!$A$17:$B$20,2,TRUE()))</f>
        <v>0</v>
      </c>
      <c r="AH47" s="32" t="e">
        <f t="shared" si="27"/>
        <v>#N/A</v>
      </c>
      <c r="AI47" s="32">
        <f>IF($A47="",NA(),Reference!$A$25)</f>
        <v>0.8</v>
      </c>
      <c r="AJ47" s="32">
        <f t="shared" si="28"/>
        <v>1.3</v>
      </c>
      <c r="AK47" s="56">
        <f>IF(OR($A47="",N($C47)&lt;=7,$T47="No Throw",$J47="x"),0,INDEX(Reference!$B$108:$B$114,$N47+1))</f>
        <v>0.1</v>
      </c>
      <c r="AL47" s="32">
        <f t="shared" si="29"/>
        <v>1</v>
      </c>
      <c r="AM47" s="32">
        <f>IF($U47="",0,IF($AL47&gt;1,((IF(1&lt;=$AL47,($AL47-1+3)*(INDEX(Reference!$B$6:$B$11,MIN(5,MATCH(MAX(Reference!$A$6,MIN(Reference!$A$11,MIN($U47,90))),Reference!$A$6:$A$11,1)))+(MAX(Reference!$A$6,MIN(Reference!$A$11,MIN($U47,90)))-INDEX(Reference!$A$6:$A$11,MIN(5,MATCH(MAX(Reference!$A$6,MIN(Reference!$A$11,MIN($U47,90))),Reference!$A$6:$A$11,1))))*(INDEX(Reference!$B$6:$B$11,MIN(5,MATCH(MAX(Reference!$A$6,MIN(Reference!$A$11,MIN($U47,90))),Reference!$A$6:$A$11,1))+1)-INDEX(Reference!$B$6:$B$11,MIN(5,MATCH(MAX(Reference!$A$6,MIN(Reference!$A$11,MIN($U47,90))),Reference!$A$6:$A$11,1))))/(INDEX(Reference!$A$6:$A$11,MIN(5,MATCH(MAX(Reference!$A$6,MIN(Reference!$A$11,MIN($U47,90))),Reference!$A$6:$A$11,1))+1)-INDEX(Reference!$A$6:$A$11,MIN(5,MATCH(MAX(Reference!$A$6,MIN(Reference!$A$11,MIN($U47,90))),Reference!$A$6:$A$11,1))))),0)+IF(2&lt;=$AL47,($AL47-2+3)*(INDEX(Reference!$B$6:$B$11,MIN(5,MATCH(MAX(Reference!$A$6,MIN(Reference!$A$11,MIN($U47,120))),Reference!$A$6:$A$11,1)))+(MAX(Reference!$A$6,MIN(Reference!$A$11,MIN($U47,120)))-INDEX(Reference!$A$6:$A$11,MIN(5,MATCH(MAX(Reference!$A$6,MIN(Reference!$A$11,MIN($U47,120))),Reference!$A$6:$A$11,1))))*(INDEX(Reference!$B$6:$B$11,MIN(5,MATCH(MAX(Reference!$A$6,MIN(Reference!$A$11,MIN($U47,120))),Reference!$A$6:$A$11,1))+1)-INDEX(Reference!$B$6:$B$11,MIN(5,MATCH(MAX(Reference!$A$6,MIN(Reference!$A$11,MIN($U47,120))),Reference!$A$6:$A$11,1))))/(INDEX(Reference!$A$6:$A$11,MIN(5,MATCH(MAX(Reference!$A$6,MIN(Reference!$A$11,MIN($U47,120))),Reference!$A$6:$A$11,1))+1)-INDEX(Reference!$A$6:$A$11,MIN(5,MATCH(MAX(Reference!$A$6,MIN(Reference!$A$11,MIN($U47,120))),Reference!$A$6:$A$11,1))))),0)+IF(3&lt;=$AL47,($AL47-3+3)*(INDEX(Reference!$B$6:$B$11,MIN(5,MATCH(MAX(Reference!$A$6,MIN(Reference!$A$11,MIN($U47,150))),Reference!$A$6:$A$11,1)))+(MAX(Reference!$A$6,MIN(Reference!$A$11,MIN($U47,150)))-INDEX(Reference!$A$6:$A$11,MIN(5,MATCH(MAX(Reference!$A$6,MIN(Reference!$A$11,MIN($U47,150))),Reference!$A$6:$A$11,1))))*(INDEX(Reference!$B$6:$B$11,MIN(5,MATCH(MAX(Reference!$A$6,MIN(Reference!$A$11,MIN($U47,150))),Reference!$A$6:$A$11,1))+1)-INDEX(Reference!$B$6:$B$11,MIN(5,MATCH(MAX(Reference!$A$6,MIN(Reference!$A$11,MIN($U47,150))),Reference!$A$6:$A$11,1))))/(INDEX(Reference!$A$6:$A$11,MIN(5,MATCH(MAX(Reference!$A$6,MIN(Reference!$A$11,MIN($U47,150))),Reference!$A$6:$A$11,1))+1)-INDEX(Reference!$A$6:$A$11,MIN(5,MATCH(MAX(Reference!$A$6,MIN(Reference!$A$11,MIN($U47,150))),Reference!$A$6:$A$11,1))))),0)+IF(4&lt;=$AL47,($AL47-4+3)*(INDEX(Reference!$B$6:$B$11,MIN(5,MATCH(MAX(Reference!$A$6,MIN(Reference!$A$11,MIN($U47,180))),Reference!$A$6:$A$11,1)))+(MAX(Reference!$A$6,MIN(Reference!$A$11,MIN($U47,180)))-INDEX(Reference!$A$6:$A$11,MIN(5,MATCH(MAX(Reference!$A$6,MIN(Reference!$A$11,MIN($U47,180))),Reference!$A$6:$A$11,1))))*(INDEX(Reference!$B$6:$B$11,MIN(5,MATCH(MAX(Reference!$A$6,MIN(Reference!$A$11,MIN($U47,180))),Reference!$A$6:$A$11,1))+1)-INDEX(Reference!$B$6:$B$11,MIN(5,MATCH(MAX(Reference!$A$6,MIN(Reference!$A$11,MIN($U47,180))),Reference!$A$6:$A$11,1))))/(INDEX(Reference!$A$6:$A$11,MIN(5,MATCH(MAX(Reference!$A$6,MIN(Reference!$A$11,MIN($U47,180))),Reference!$A$6:$A$11,1))+1)-INDEX(Reference!$A$6:$A$11,MIN(5,MATCH(MAX(Reference!$A$6,MIN(Reference!$A$11,MIN($U47,180))),Reference!$A$6:$A$11,1))))),0)+IF(5&lt;=$AL47,($AL47-5+3)*(INDEX(Reference!$B$6:$B$11,MIN(5,MATCH(MAX(Reference!$A$6,MIN(Reference!$A$11,MIN($U47,210))),Reference!$A$6:$A$11,1)))+(MAX(Reference!$A$6,MIN(Reference!$A$11,MIN($U47,210)))-INDEX(Reference!$A$6:$A$11,MIN(5,MATCH(MAX(Reference!$A$6,MIN(Reference!$A$11,MIN($U47,210))),Reference!$A$6:$A$11,1))))*(INDEX(Reference!$B$6:$B$11,MIN(5,MATCH(MAX(Reference!$A$6,MIN(Reference!$A$11,MIN($U47,210))),Reference!$A$6:$A$11,1))+1)-INDEX(Reference!$B$6:$B$11,MIN(5,MATCH(MAX(Reference!$A$6,MIN(Reference!$A$11,MIN($U47,210))),Reference!$A$6:$A$11,1))))/(INDEX(Reference!$A$6:$A$11,MIN(5,MATCH(MAX(Reference!$A$6,MIN(Reference!$A$11,MIN($U47,210))),Reference!$A$6:$A$11,1))+1)-INDEX(Reference!$A$6:$A$11,MIN(5,MATCH(MAX(Reference!$A$6,MIN(Reference!$A$11,MIN($U47,210))),Reference!$A$6:$A$11,1))))),0)+IF(6&lt;=$AL47,($AL47-6+3)*(INDEX(Reference!$B$6:$B$11,MIN(5,MATCH(MAX(Reference!$A$6,MIN(Reference!$A$11,MIN($U47,240))),Reference!$A$6:$A$11,1)))+(MAX(Reference!$A$6,MIN(Reference!$A$11,MIN($U47,240)))-INDEX(Reference!$A$6:$A$11,MIN(5,MATCH(MAX(Reference!$A$6,MIN(Reference!$A$11,MIN($U47,240))),Reference!$A$6:$A$11,1))))*(INDEX(Reference!$B$6:$B$11,MIN(5,MATCH(MAX(Reference!$A$6,MIN(Reference!$A$11,MIN($U47,240))),Reference!$A$6:$A$11,1))+1)-INDEX(Reference!$B$6:$B$11,MIN(5,MATCH(MAX(Reference!$A$6,MIN(Reference!$A$11,MIN($U47,240))),Reference!$A$6:$A$11,1))))/(INDEX(Reference!$A$6:$A$11,MIN(5,MATCH(MAX(Reference!$A$6,MIN(Reference!$A$11,MIN($U47,240))),Reference!$A$6:$A$11,1))+1)-INDEX(Reference!$A$6:$A$11,MIN(5,MATCH(MAX(Reference!$A$6,MIN(Reference!$A$11,MIN($U47,240))),Reference!$A$6:$A$11,1))))),0)+IF(7&lt;=$AL47,($AL47-7+3)*(INDEX(Reference!$B$6:$B$11,MIN(5,MATCH(MAX(Reference!$A$6,MIN(Reference!$A$11,MIN($U47,270))),Reference!$A$6:$A$11,1)))+(MAX(Reference!$A$6,MIN(Reference!$A$11,MIN($U47,270)))-INDEX(Reference!$A$6:$A$11,MIN(5,MATCH(MAX(Reference!$A$6,MIN(Reference!$A$11,MIN($U47,270))),Reference!$A$6:$A$11,1))))*(INDEX(Reference!$B$6:$B$11,MIN(5,MATCH(MAX(Reference!$A$6,MIN(Reference!$A$11,MIN($U47,270))),Reference!$A$6:$A$11,1))+1)-INDEX(Reference!$B$6:$B$11,MIN(5,MATCH(MAX(Reference!$A$6,MIN(Reference!$A$11,MIN($U47,270))),Reference!$A$6:$A$11,1))))/(INDEX(Reference!$A$6:$A$11,MIN(5,MATCH(MAX(Reference!$A$6,MIN(Reference!$A$11,MIN($U47,270))),Reference!$A$6:$A$11,1))+1)-INDEX(Reference!$A$6:$A$11,MIN(5,MATCH(MAX(Reference!$A$6,MIN(Reference!$A$11,MIN($U47,270))),Reference!$A$6:$A$11,1))))),0)+IF(8&lt;=$AL47,($AL47-8+3)*(INDEX(Reference!$B$6:$B$11,MIN(5,MATCH(MAX(Reference!$A$6,MIN(Reference!$A$11,MIN($U47,300))),Reference!$A$6:$A$11,1)))+(MAX(Reference!$A$6,MIN(Reference!$A$11,MIN($U47,300)))-INDEX(Reference!$A$6:$A$11,MIN(5,MATCH(MAX(Reference!$A$6,MIN(Reference!$A$11,MIN($U47,300))),Reference!$A$6:$A$11,1))))*(INDEX(Reference!$B$6:$B$11,MIN(5,MATCH(MAX(Reference!$A$6,MIN(Reference!$A$11,MIN($U47,300))),Reference!$A$6:$A$11,1))+1)-INDEX(Reference!$B$6:$B$11,MIN(5,MATCH(MAX(Reference!$A$6,MIN(Reference!$A$11,MIN($U47,300))),Reference!$A$6:$A$11,1))))/(INDEX(Reference!$A$6:$A$11,MIN(5,MATCH(MAX(Reference!$A$6,MIN(Reference!$A$11,MIN($U47,300))),Reference!$A$6:$A$11,1))+1)-INDEX(Reference!$A$6:$A$11,MIN(5,MATCH(MAX(Reference!$A$6,MIN(Reference!$A$11,MIN($U47,300))),Reference!$A$6:$A$11,1))))),0))/($AL47*($AL47+5)/2)),$AN47))</f>
        <v>1</v>
      </c>
      <c r="AN47" s="32">
        <f>IF($U47="",0,(INDEX(Reference!$B$6:$B$11,MIN(5,MATCH(MAX(Reference!$A$6,MIN(Reference!$A$11,$U47)),Reference!$A$6:$A$11,1)))+(MAX(Reference!$A$6,MIN(Reference!$A$11,$U47))-INDEX(Reference!$A$6:$A$11,MIN(5,MATCH(MAX(Reference!$A$6,MIN(Reference!$A$11,$U47)),Reference!$A$6:$A$11,1))))*(INDEX(Reference!$B$6:$B$11,MIN(5,MATCH(MAX(Reference!$A$6,MIN(Reference!$A$11,$U47)),Reference!$A$6:$A$11,1))+1)-INDEX(Reference!$B$6:$B$11,MIN(5,MATCH(MAX(Reference!$A$6,MIN(Reference!$A$11,$U47)),Reference!$A$6:$A$11,1))))/(INDEX(Reference!$A$6:$A$11,MIN(5,MATCH(MAX(Reference!$A$6,MIN(Reference!$A$11,$U47)),Reference!$A$6:$A$11,1))+1)-INDEX(Reference!$A$6:$A$11,MIN(5,MATCH(MAX(Reference!$A$6,MIN(Reference!$A$11,$U47)),Reference!$A$6:$A$11,1))))))</f>
        <v>1</v>
      </c>
      <c r="AO47" s="37"/>
      <c r="AP47" s="37"/>
      <c r="AQ47" s="37"/>
    </row>
    <row r="48" spans="1:43" x14ac:dyDescent="0.3">
      <c r="A48" s="48">
        <f t="shared" si="5"/>
        <v>46312</v>
      </c>
      <c r="B48" s="32" t="str">
        <f t="shared" si="6"/>
        <v>Sat</v>
      </c>
      <c r="C48" s="32">
        <f t="shared" si="7"/>
        <v>79</v>
      </c>
      <c r="D48" s="32" t="str">
        <f t="shared" si="8"/>
        <v>Re-entry</v>
      </c>
      <c r="E48" s="32" t="str">
        <f t="shared" si="9"/>
        <v>No Throw</v>
      </c>
      <c r="F48" s="32" t="str">
        <f t="shared" si="10"/>
        <v>No Throw</v>
      </c>
      <c r="G48" s="47" t="str">
        <f t="shared" si="11"/>
        <v>Off</v>
      </c>
      <c r="H48" s="30">
        <f t="shared" si="12"/>
        <v>0</v>
      </c>
      <c r="I48" s="46" t="str">
        <f>IF($A48="","",IF(AND($L48&lt;27,$K$12=0),"Building",IFERROR(((SUM($H$43:$H48)+$K$12*IF($L48&lt;6,SUMIFS('Throw Log'!$Q$5:$Q$300,'Throw Log'!$B$5:$B$300,$D$4,'Throw Log'!$A$5:$A$300,"&gt;="&amp;($D$6+$L48-6),'Throw Log'!$A$5:$A$300,"&lt;="&amp;($D$6-1)),0))/7)/((SUM($H$43:$H48)+$K$12*IF($L48&lt;27,SUMIFS('Throw Log'!$Q$5:$Q$300,'Throw Log'!$B$5:$B$300,$D$4,'Throw Log'!$A$5:$A$300,"&gt;="&amp;($D$6+$L48-27),'Throw Log'!$A$5:$A$300,"&lt;="&amp;($D$6-1)),0))/28),"")))</f>
        <v>Building</v>
      </c>
      <c r="J48" s="37" t="s">
        <v>346</v>
      </c>
      <c r="K48" s="37"/>
      <c r="L48" s="32">
        <v>5</v>
      </c>
      <c r="M48" s="32">
        <f t="shared" si="13"/>
        <v>1</v>
      </c>
      <c r="N48" s="32">
        <f t="shared" si="14"/>
        <v>5</v>
      </c>
      <c r="O48" s="32">
        <f t="shared" si="15"/>
        <v>6.5789473684210523E-2</v>
      </c>
      <c r="P48" s="32">
        <f>IF(OR($A48="",N($C48)&lt;=7),"",$G$6*$G$9^($M48-1)*IF(AND(MOD($M48,Reference!$B$99)=0,$M48&lt;=$G$5-2),Reference!$B$100,1))</f>
        <v>80</v>
      </c>
      <c r="Q48" s="32">
        <f>IF($P48="","",IF(SUM($AK$43:$AK$49)=0,0,$P48*INDEX(Reference!$B$108:$B$114,$N48+1)/SUM($AK$43:$AK$49)))</f>
        <v>29.589041095890412</v>
      </c>
      <c r="R48" s="32">
        <f t="shared" si="16"/>
        <v>75</v>
      </c>
      <c r="S48" s="32">
        <f t="shared" si="17"/>
        <v>75</v>
      </c>
      <c r="T48" s="32" t="str">
        <f>IF($A48="","",IF($C48=0,"Bullpen",IF(OR($C48=7,$C48=1,$C48=5),"Recovery/Easy Catch",IF($C48=6,"Compression/Pulldowns",IF(OR($C48=4,$C48=2),"Long Toss",IF($C48=3,"No Throw",IF($N48=2,"No Throw",IF($N48=6,IF($O48&lt;Reference!$B$104,"No Throw","Recovery/Easy Catch"),IF(OR($N48=0,$N48=4),"Recovery/Easy Catch",IF($N48=1,IF($R48&gt;75,"Long Toss","Recovery/Easy Catch"),IF($N48=3,IF($O48&lt;0.5,IF($S48&gt;75,"Long Toss","Recovery/Easy Catch"),"Compression/Pulldowns"),IF($S48&gt;75,"Long Toss","Recovery/Easy Catch"))))))))))))</f>
        <v>Recovery/Easy Catch</v>
      </c>
      <c r="U48" s="32">
        <f t="shared" si="18"/>
        <v>75</v>
      </c>
      <c r="V48" s="32">
        <f t="shared" si="19"/>
        <v>18</v>
      </c>
      <c r="W48" s="32">
        <f t="shared" si="20"/>
        <v>22</v>
      </c>
      <c r="X48" s="32">
        <f t="shared" si="21"/>
        <v>0</v>
      </c>
      <c r="Y48" s="32" t="str">
        <f t="shared" si="22"/>
        <v/>
      </c>
      <c r="Z48" s="32" t="str">
        <f t="shared" si="23"/>
        <v/>
      </c>
      <c r="AA48" s="32" t="str">
        <f t="shared" si="24"/>
        <v/>
      </c>
      <c r="AB48" s="32">
        <f>IF($A48="","",IF($T48="No Throw",0,IF($K48&lt;&gt;"",$K48,IF($AA48&lt;&gt;"",ROUND($AA48*$D$12*IF($C48=0,1,$G$10),0),MIN(IF($T48="Recovery/Easy Catch",Reference!$B$103,IF($T48="Long Toss",Reference!$B$106,Reference!$B$102)),MAX(Reference!$B$101,ROUND(MAX(0,$Q48-$AE48)/$AF48,0)))))))</f>
        <v>35</v>
      </c>
      <c r="AC48" s="32">
        <f t="shared" si="25"/>
        <v>0</v>
      </c>
      <c r="AD48" s="32" t="b">
        <f t="shared" si="26"/>
        <v>1</v>
      </c>
      <c r="AE48" s="32">
        <f>IF($X48=0,0,$X48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48+$Z48)/2,0),Reference!$A$17:$B$20,2,TRUE()))</f>
        <v>0</v>
      </c>
      <c r="AF48" s="32">
        <f>IF(OR($A48="",$U48="",$T48="No Throw"),0,$AM48*VLOOKUP(MAX(($V48+$W48)/2,0),Reference!$A$17:$B$20,2,TRUE()))</f>
        <v>0.69</v>
      </c>
      <c r="AG48" s="32">
        <f>IF($AC48=0,0,$AC48*INDEX(Reference!$B$61:$B$62,MATCH("Bullpen",Reference!$A$61:$A$62,0))*VLOOKUP(MAX($D$5-($D$9+$E$9)/2,0),Reference!$A$17:$B$20,2,TRUE()))</f>
        <v>0</v>
      </c>
      <c r="AH48" s="32" t="e">
        <f t="shared" si="27"/>
        <v>#N/A</v>
      </c>
      <c r="AI48" s="32">
        <f>IF($A48="",NA(),Reference!$A$25)</f>
        <v>0.8</v>
      </c>
      <c r="AJ48" s="32">
        <f t="shared" si="28"/>
        <v>1.3</v>
      </c>
      <c r="AK48" s="32">
        <f>IF(OR($A48="",N($C48)&lt;=7,$T48="No Throw",$J48="x"),0,INDEX(Reference!$B$108:$B$114,$N48+1))</f>
        <v>0</v>
      </c>
      <c r="AL48" s="32">
        <f t="shared" si="29"/>
        <v>1</v>
      </c>
      <c r="AM48" s="32">
        <f>IF($U48="",0,IF($AL48&gt;1,((IF(1&lt;=$AL48,($AL48-1+3)*(INDEX(Reference!$B$6:$B$11,MIN(5,MATCH(MAX(Reference!$A$6,MIN(Reference!$A$11,MIN($U48,90))),Reference!$A$6:$A$11,1)))+(MAX(Reference!$A$6,MIN(Reference!$A$11,MIN($U48,90)))-INDEX(Reference!$A$6:$A$11,MIN(5,MATCH(MAX(Reference!$A$6,MIN(Reference!$A$11,MIN($U48,90))),Reference!$A$6:$A$11,1))))*(INDEX(Reference!$B$6:$B$11,MIN(5,MATCH(MAX(Reference!$A$6,MIN(Reference!$A$11,MIN($U48,90))),Reference!$A$6:$A$11,1))+1)-INDEX(Reference!$B$6:$B$11,MIN(5,MATCH(MAX(Reference!$A$6,MIN(Reference!$A$11,MIN($U48,90))),Reference!$A$6:$A$11,1))))/(INDEX(Reference!$A$6:$A$11,MIN(5,MATCH(MAX(Reference!$A$6,MIN(Reference!$A$11,MIN($U48,90))),Reference!$A$6:$A$11,1))+1)-INDEX(Reference!$A$6:$A$11,MIN(5,MATCH(MAX(Reference!$A$6,MIN(Reference!$A$11,MIN($U48,90))),Reference!$A$6:$A$11,1))))),0)+IF(2&lt;=$AL48,($AL48-2+3)*(INDEX(Reference!$B$6:$B$11,MIN(5,MATCH(MAX(Reference!$A$6,MIN(Reference!$A$11,MIN($U48,120))),Reference!$A$6:$A$11,1)))+(MAX(Reference!$A$6,MIN(Reference!$A$11,MIN($U48,120)))-INDEX(Reference!$A$6:$A$11,MIN(5,MATCH(MAX(Reference!$A$6,MIN(Reference!$A$11,MIN($U48,120))),Reference!$A$6:$A$11,1))))*(INDEX(Reference!$B$6:$B$11,MIN(5,MATCH(MAX(Reference!$A$6,MIN(Reference!$A$11,MIN($U48,120))),Reference!$A$6:$A$11,1))+1)-INDEX(Reference!$B$6:$B$11,MIN(5,MATCH(MAX(Reference!$A$6,MIN(Reference!$A$11,MIN($U48,120))),Reference!$A$6:$A$11,1))))/(INDEX(Reference!$A$6:$A$11,MIN(5,MATCH(MAX(Reference!$A$6,MIN(Reference!$A$11,MIN($U48,120))),Reference!$A$6:$A$11,1))+1)-INDEX(Reference!$A$6:$A$11,MIN(5,MATCH(MAX(Reference!$A$6,MIN(Reference!$A$11,MIN($U48,120))),Reference!$A$6:$A$11,1))))),0)+IF(3&lt;=$AL48,($AL48-3+3)*(INDEX(Reference!$B$6:$B$11,MIN(5,MATCH(MAX(Reference!$A$6,MIN(Reference!$A$11,MIN($U48,150))),Reference!$A$6:$A$11,1)))+(MAX(Reference!$A$6,MIN(Reference!$A$11,MIN($U48,150)))-INDEX(Reference!$A$6:$A$11,MIN(5,MATCH(MAX(Reference!$A$6,MIN(Reference!$A$11,MIN($U48,150))),Reference!$A$6:$A$11,1))))*(INDEX(Reference!$B$6:$B$11,MIN(5,MATCH(MAX(Reference!$A$6,MIN(Reference!$A$11,MIN($U48,150))),Reference!$A$6:$A$11,1))+1)-INDEX(Reference!$B$6:$B$11,MIN(5,MATCH(MAX(Reference!$A$6,MIN(Reference!$A$11,MIN($U48,150))),Reference!$A$6:$A$11,1))))/(INDEX(Reference!$A$6:$A$11,MIN(5,MATCH(MAX(Reference!$A$6,MIN(Reference!$A$11,MIN($U48,150))),Reference!$A$6:$A$11,1))+1)-INDEX(Reference!$A$6:$A$11,MIN(5,MATCH(MAX(Reference!$A$6,MIN(Reference!$A$11,MIN($U48,150))),Reference!$A$6:$A$11,1))))),0)+IF(4&lt;=$AL48,($AL48-4+3)*(INDEX(Reference!$B$6:$B$11,MIN(5,MATCH(MAX(Reference!$A$6,MIN(Reference!$A$11,MIN($U48,180))),Reference!$A$6:$A$11,1)))+(MAX(Reference!$A$6,MIN(Reference!$A$11,MIN($U48,180)))-INDEX(Reference!$A$6:$A$11,MIN(5,MATCH(MAX(Reference!$A$6,MIN(Reference!$A$11,MIN($U48,180))),Reference!$A$6:$A$11,1))))*(INDEX(Reference!$B$6:$B$11,MIN(5,MATCH(MAX(Reference!$A$6,MIN(Reference!$A$11,MIN($U48,180))),Reference!$A$6:$A$11,1))+1)-INDEX(Reference!$B$6:$B$11,MIN(5,MATCH(MAX(Reference!$A$6,MIN(Reference!$A$11,MIN($U48,180))),Reference!$A$6:$A$11,1))))/(INDEX(Reference!$A$6:$A$11,MIN(5,MATCH(MAX(Reference!$A$6,MIN(Reference!$A$11,MIN($U48,180))),Reference!$A$6:$A$11,1))+1)-INDEX(Reference!$A$6:$A$11,MIN(5,MATCH(MAX(Reference!$A$6,MIN(Reference!$A$11,MIN($U48,180))),Reference!$A$6:$A$11,1))))),0)+IF(5&lt;=$AL48,($AL48-5+3)*(INDEX(Reference!$B$6:$B$11,MIN(5,MATCH(MAX(Reference!$A$6,MIN(Reference!$A$11,MIN($U48,210))),Reference!$A$6:$A$11,1)))+(MAX(Reference!$A$6,MIN(Reference!$A$11,MIN($U48,210)))-INDEX(Reference!$A$6:$A$11,MIN(5,MATCH(MAX(Reference!$A$6,MIN(Reference!$A$11,MIN($U48,210))),Reference!$A$6:$A$11,1))))*(INDEX(Reference!$B$6:$B$11,MIN(5,MATCH(MAX(Reference!$A$6,MIN(Reference!$A$11,MIN($U48,210))),Reference!$A$6:$A$11,1))+1)-INDEX(Reference!$B$6:$B$11,MIN(5,MATCH(MAX(Reference!$A$6,MIN(Reference!$A$11,MIN($U48,210))),Reference!$A$6:$A$11,1))))/(INDEX(Reference!$A$6:$A$11,MIN(5,MATCH(MAX(Reference!$A$6,MIN(Reference!$A$11,MIN($U48,210))),Reference!$A$6:$A$11,1))+1)-INDEX(Reference!$A$6:$A$11,MIN(5,MATCH(MAX(Reference!$A$6,MIN(Reference!$A$11,MIN($U48,210))),Reference!$A$6:$A$11,1))))),0)+IF(6&lt;=$AL48,($AL48-6+3)*(INDEX(Reference!$B$6:$B$11,MIN(5,MATCH(MAX(Reference!$A$6,MIN(Reference!$A$11,MIN($U48,240))),Reference!$A$6:$A$11,1)))+(MAX(Reference!$A$6,MIN(Reference!$A$11,MIN($U48,240)))-INDEX(Reference!$A$6:$A$11,MIN(5,MATCH(MAX(Reference!$A$6,MIN(Reference!$A$11,MIN($U48,240))),Reference!$A$6:$A$11,1))))*(INDEX(Reference!$B$6:$B$11,MIN(5,MATCH(MAX(Reference!$A$6,MIN(Reference!$A$11,MIN($U48,240))),Reference!$A$6:$A$11,1))+1)-INDEX(Reference!$B$6:$B$11,MIN(5,MATCH(MAX(Reference!$A$6,MIN(Reference!$A$11,MIN($U48,240))),Reference!$A$6:$A$11,1))))/(INDEX(Reference!$A$6:$A$11,MIN(5,MATCH(MAX(Reference!$A$6,MIN(Reference!$A$11,MIN($U48,240))),Reference!$A$6:$A$11,1))+1)-INDEX(Reference!$A$6:$A$11,MIN(5,MATCH(MAX(Reference!$A$6,MIN(Reference!$A$11,MIN($U48,240))),Reference!$A$6:$A$11,1))))),0)+IF(7&lt;=$AL48,($AL48-7+3)*(INDEX(Reference!$B$6:$B$11,MIN(5,MATCH(MAX(Reference!$A$6,MIN(Reference!$A$11,MIN($U48,270))),Reference!$A$6:$A$11,1)))+(MAX(Reference!$A$6,MIN(Reference!$A$11,MIN($U48,270)))-INDEX(Reference!$A$6:$A$11,MIN(5,MATCH(MAX(Reference!$A$6,MIN(Reference!$A$11,MIN($U48,270))),Reference!$A$6:$A$11,1))))*(INDEX(Reference!$B$6:$B$11,MIN(5,MATCH(MAX(Reference!$A$6,MIN(Reference!$A$11,MIN($U48,270))),Reference!$A$6:$A$11,1))+1)-INDEX(Reference!$B$6:$B$11,MIN(5,MATCH(MAX(Reference!$A$6,MIN(Reference!$A$11,MIN($U48,270))),Reference!$A$6:$A$11,1))))/(INDEX(Reference!$A$6:$A$11,MIN(5,MATCH(MAX(Reference!$A$6,MIN(Reference!$A$11,MIN($U48,270))),Reference!$A$6:$A$11,1))+1)-INDEX(Reference!$A$6:$A$11,MIN(5,MATCH(MAX(Reference!$A$6,MIN(Reference!$A$11,MIN($U48,270))),Reference!$A$6:$A$11,1))))),0)+IF(8&lt;=$AL48,($AL48-8+3)*(INDEX(Reference!$B$6:$B$11,MIN(5,MATCH(MAX(Reference!$A$6,MIN(Reference!$A$11,MIN($U48,300))),Reference!$A$6:$A$11,1)))+(MAX(Reference!$A$6,MIN(Reference!$A$11,MIN($U48,300)))-INDEX(Reference!$A$6:$A$11,MIN(5,MATCH(MAX(Reference!$A$6,MIN(Reference!$A$11,MIN($U48,300))),Reference!$A$6:$A$11,1))))*(INDEX(Reference!$B$6:$B$11,MIN(5,MATCH(MAX(Reference!$A$6,MIN(Reference!$A$11,MIN($U48,300))),Reference!$A$6:$A$11,1))+1)-INDEX(Reference!$B$6:$B$11,MIN(5,MATCH(MAX(Reference!$A$6,MIN(Reference!$A$11,MIN($U48,300))),Reference!$A$6:$A$11,1))))/(INDEX(Reference!$A$6:$A$11,MIN(5,MATCH(MAX(Reference!$A$6,MIN(Reference!$A$11,MIN($U48,300))),Reference!$A$6:$A$11,1))+1)-INDEX(Reference!$A$6:$A$11,MIN(5,MATCH(MAX(Reference!$A$6,MIN(Reference!$A$11,MIN($U48,300))),Reference!$A$6:$A$11,1))))),0))/($AL48*($AL48+5)/2)),$AN48))</f>
        <v>1.1499999999999999</v>
      </c>
      <c r="AN48" s="32">
        <f>IF($U48="",0,(INDEX(Reference!$B$6:$B$11,MIN(5,MATCH(MAX(Reference!$A$6,MIN(Reference!$A$11,$U48)),Reference!$A$6:$A$11,1)))+(MAX(Reference!$A$6,MIN(Reference!$A$11,$U48))-INDEX(Reference!$A$6:$A$11,MIN(5,MATCH(MAX(Reference!$A$6,MIN(Reference!$A$11,$U48)),Reference!$A$6:$A$11,1))))*(INDEX(Reference!$B$6:$B$11,MIN(5,MATCH(MAX(Reference!$A$6,MIN(Reference!$A$11,$U48)),Reference!$A$6:$A$11,1))+1)-INDEX(Reference!$B$6:$B$11,MIN(5,MATCH(MAX(Reference!$A$6,MIN(Reference!$A$11,$U48)),Reference!$A$6:$A$11,1))))/(INDEX(Reference!$A$6:$A$11,MIN(5,MATCH(MAX(Reference!$A$6,MIN(Reference!$A$11,$U48)),Reference!$A$6:$A$11,1))+1)-INDEX(Reference!$A$6:$A$11,MIN(5,MATCH(MAX(Reference!$A$6,MIN(Reference!$A$11,$U48)),Reference!$A$6:$A$11,1))))))</f>
        <v>1.1499999999999999</v>
      </c>
      <c r="AO48" s="37"/>
      <c r="AP48" s="37"/>
      <c r="AQ48" s="37"/>
    </row>
    <row r="49" spans="1:43" x14ac:dyDescent="0.3">
      <c r="A49" s="48">
        <f t="shared" si="5"/>
        <v>46313</v>
      </c>
      <c r="B49" s="32" t="str">
        <f t="shared" si="6"/>
        <v>Sun</v>
      </c>
      <c r="C49" s="32">
        <f t="shared" si="7"/>
        <v>78</v>
      </c>
      <c r="D49" s="32" t="str">
        <f t="shared" si="8"/>
        <v>Re-entry</v>
      </c>
      <c r="E49" s="32" t="str">
        <f t="shared" si="9"/>
        <v>No Throw</v>
      </c>
      <c r="F49" s="32" t="str">
        <f t="shared" si="10"/>
        <v>No Throw</v>
      </c>
      <c r="G49" s="47" t="str">
        <f t="shared" si="11"/>
        <v>Off</v>
      </c>
      <c r="H49" s="30">
        <f t="shared" si="12"/>
        <v>0</v>
      </c>
      <c r="I49" s="46" t="str">
        <f>IF($A49="","",IF(AND($L49&lt;27,$K$12=0),"Building",IFERROR(((SUM($H$43:$H49)+$K$12*IF($L49&lt;6,SUMIFS('Throw Log'!$Q$5:$Q$300,'Throw Log'!$B$5:$B$300,$D$4,'Throw Log'!$A$5:$A$300,"&gt;="&amp;($D$6+$L49-6),'Throw Log'!$A$5:$A$300,"&lt;="&amp;($D$6-1)),0))/7)/((SUM($H$43:$H49)+$K$12*IF($L49&lt;27,SUMIFS('Throw Log'!$Q$5:$Q$300,'Throw Log'!$B$5:$B$300,$D$4,'Throw Log'!$A$5:$A$300,"&gt;="&amp;($D$6+$L49-27),'Throw Log'!$A$5:$A$300,"&lt;="&amp;($D$6-1)),0))/28),"")))</f>
        <v>Building</v>
      </c>
      <c r="J49" s="37"/>
      <c r="K49" s="37"/>
      <c r="L49" s="32">
        <v>6</v>
      </c>
      <c r="M49" s="32">
        <f t="shared" si="13"/>
        <v>1</v>
      </c>
      <c r="N49" s="32">
        <f t="shared" si="14"/>
        <v>6</v>
      </c>
      <c r="O49" s="32">
        <f t="shared" si="15"/>
        <v>7.8947368421052627E-2</v>
      </c>
      <c r="P49" s="32">
        <f>IF(OR($A49="",N($C49)&lt;=7),"",$G$6*$G$9^($M49-1)*IF(AND(MOD($M49,Reference!$B$99)=0,$M49&lt;=$G$5-2),Reference!$B$100,1))</f>
        <v>80</v>
      </c>
      <c r="Q49" s="32">
        <f>IF($P49="","",IF(SUM($AK$43:$AK$49)=0,0,$P49*INDEX(Reference!$B$108:$B$114,$N49+1)/SUM($AK$43:$AK$49)))</f>
        <v>7.6712328767123301</v>
      </c>
      <c r="R49" s="32">
        <f t="shared" si="16"/>
        <v>75</v>
      </c>
      <c r="S49" s="32">
        <f t="shared" si="17"/>
        <v>75</v>
      </c>
      <c r="T49" s="32" t="str">
        <f>IF($A49="","",IF($C49=0,"Bullpen",IF(OR($C49=7,$C49=1,$C49=5),"Recovery/Easy Catch",IF($C49=6,"Compression/Pulldowns",IF(OR($C49=4,$C49=2),"Long Toss",IF($C49=3,"No Throw",IF($N49=2,"No Throw",IF($N49=6,IF($O49&lt;Reference!$B$104,"No Throw","Recovery/Easy Catch"),IF(OR($N49=0,$N49=4),"Recovery/Easy Catch",IF($N49=1,IF($R49&gt;75,"Long Toss","Recovery/Easy Catch"),IF($N49=3,IF($O49&lt;0.5,IF($S49&gt;75,"Long Toss","Recovery/Easy Catch"),"Compression/Pulldowns"),IF($S49&gt;75,"Long Toss","Recovery/Easy Catch"))))))))))))</f>
        <v>No Throw</v>
      </c>
      <c r="U49" s="32">
        <f t="shared" si="18"/>
        <v>60</v>
      </c>
      <c r="V49" s="32">
        <f t="shared" si="19"/>
        <v>20</v>
      </c>
      <c r="W49" s="32">
        <f t="shared" si="20"/>
        <v>24</v>
      </c>
      <c r="X49" s="32">
        <f t="shared" si="21"/>
        <v>0</v>
      </c>
      <c r="Y49" s="32" t="str">
        <f t="shared" si="22"/>
        <v/>
      </c>
      <c r="Z49" s="32" t="str">
        <f t="shared" si="23"/>
        <v/>
      </c>
      <c r="AA49" s="32" t="str">
        <f t="shared" si="24"/>
        <v/>
      </c>
      <c r="AB49" s="32">
        <f>IF($A49="","",IF($T49="No Throw",0,IF($K49&lt;&gt;"",$K49,IF($AA49&lt;&gt;"",ROUND($AA49*$D$12*IF($C49=0,1,$G$10),0),MIN(IF($T49="Recovery/Easy Catch",Reference!$B$103,IF($T49="Long Toss",Reference!$B$106,Reference!$B$102)),MAX(Reference!$B$101,ROUND(MAX(0,$Q49-$AE49)/$AF49,0)))))))</f>
        <v>0</v>
      </c>
      <c r="AC49" s="32">
        <f t="shared" si="25"/>
        <v>0</v>
      </c>
      <c r="AD49" s="32" t="b">
        <f t="shared" si="26"/>
        <v>1</v>
      </c>
      <c r="AE49" s="32">
        <f>IF($X49=0,0,$X49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49+$Z49)/2,0),Reference!$A$17:$B$20,2,TRUE()))</f>
        <v>0</v>
      </c>
      <c r="AF49" s="32">
        <f>IF(OR($A49="",$U49="",$T49="No Throw"),0,$AM49*VLOOKUP(MAX(($V49+$W49)/2,0),Reference!$A$17:$B$20,2,TRUE()))</f>
        <v>0</v>
      </c>
      <c r="AG49" s="32">
        <f>IF($AC49=0,0,$AC49*INDEX(Reference!$B$61:$B$62,MATCH("Bullpen",Reference!$A$61:$A$62,0))*VLOOKUP(MAX($D$5-($D$9+$E$9)/2,0),Reference!$A$17:$B$20,2,TRUE()))</f>
        <v>0</v>
      </c>
      <c r="AH49" s="32" t="e">
        <f t="shared" si="27"/>
        <v>#N/A</v>
      </c>
      <c r="AI49" s="32">
        <f>IF($A49="",NA(),Reference!$A$25)</f>
        <v>0.8</v>
      </c>
      <c r="AJ49" s="32">
        <f t="shared" si="28"/>
        <v>1.3</v>
      </c>
      <c r="AK49" s="32">
        <f>IF(OR($A49="",N($C49)&lt;=7,$T49="No Throw",$J49="x"),0,INDEX(Reference!$B$108:$B$114,$N49+1))</f>
        <v>0</v>
      </c>
      <c r="AL49" s="32">
        <f t="shared" si="29"/>
        <v>1</v>
      </c>
      <c r="AM49" s="32">
        <f>IF($U49="",0,IF($AL49&gt;1,((IF(1&lt;=$AL49,($AL49-1+3)*(INDEX(Reference!$B$6:$B$11,MIN(5,MATCH(MAX(Reference!$A$6,MIN(Reference!$A$11,MIN($U49,90))),Reference!$A$6:$A$11,1)))+(MAX(Reference!$A$6,MIN(Reference!$A$11,MIN($U49,90)))-INDEX(Reference!$A$6:$A$11,MIN(5,MATCH(MAX(Reference!$A$6,MIN(Reference!$A$11,MIN($U49,90))),Reference!$A$6:$A$11,1))))*(INDEX(Reference!$B$6:$B$11,MIN(5,MATCH(MAX(Reference!$A$6,MIN(Reference!$A$11,MIN($U49,90))),Reference!$A$6:$A$11,1))+1)-INDEX(Reference!$B$6:$B$11,MIN(5,MATCH(MAX(Reference!$A$6,MIN(Reference!$A$11,MIN($U49,90))),Reference!$A$6:$A$11,1))))/(INDEX(Reference!$A$6:$A$11,MIN(5,MATCH(MAX(Reference!$A$6,MIN(Reference!$A$11,MIN($U49,90))),Reference!$A$6:$A$11,1))+1)-INDEX(Reference!$A$6:$A$11,MIN(5,MATCH(MAX(Reference!$A$6,MIN(Reference!$A$11,MIN($U49,90))),Reference!$A$6:$A$11,1))))),0)+IF(2&lt;=$AL49,($AL49-2+3)*(INDEX(Reference!$B$6:$B$11,MIN(5,MATCH(MAX(Reference!$A$6,MIN(Reference!$A$11,MIN($U49,120))),Reference!$A$6:$A$11,1)))+(MAX(Reference!$A$6,MIN(Reference!$A$11,MIN($U49,120)))-INDEX(Reference!$A$6:$A$11,MIN(5,MATCH(MAX(Reference!$A$6,MIN(Reference!$A$11,MIN($U49,120))),Reference!$A$6:$A$11,1))))*(INDEX(Reference!$B$6:$B$11,MIN(5,MATCH(MAX(Reference!$A$6,MIN(Reference!$A$11,MIN($U49,120))),Reference!$A$6:$A$11,1))+1)-INDEX(Reference!$B$6:$B$11,MIN(5,MATCH(MAX(Reference!$A$6,MIN(Reference!$A$11,MIN($U49,120))),Reference!$A$6:$A$11,1))))/(INDEX(Reference!$A$6:$A$11,MIN(5,MATCH(MAX(Reference!$A$6,MIN(Reference!$A$11,MIN($U49,120))),Reference!$A$6:$A$11,1))+1)-INDEX(Reference!$A$6:$A$11,MIN(5,MATCH(MAX(Reference!$A$6,MIN(Reference!$A$11,MIN($U49,120))),Reference!$A$6:$A$11,1))))),0)+IF(3&lt;=$AL49,($AL49-3+3)*(INDEX(Reference!$B$6:$B$11,MIN(5,MATCH(MAX(Reference!$A$6,MIN(Reference!$A$11,MIN($U49,150))),Reference!$A$6:$A$11,1)))+(MAX(Reference!$A$6,MIN(Reference!$A$11,MIN($U49,150)))-INDEX(Reference!$A$6:$A$11,MIN(5,MATCH(MAX(Reference!$A$6,MIN(Reference!$A$11,MIN($U49,150))),Reference!$A$6:$A$11,1))))*(INDEX(Reference!$B$6:$B$11,MIN(5,MATCH(MAX(Reference!$A$6,MIN(Reference!$A$11,MIN($U49,150))),Reference!$A$6:$A$11,1))+1)-INDEX(Reference!$B$6:$B$11,MIN(5,MATCH(MAX(Reference!$A$6,MIN(Reference!$A$11,MIN($U49,150))),Reference!$A$6:$A$11,1))))/(INDEX(Reference!$A$6:$A$11,MIN(5,MATCH(MAX(Reference!$A$6,MIN(Reference!$A$11,MIN($U49,150))),Reference!$A$6:$A$11,1))+1)-INDEX(Reference!$A$6:$A$11,MIN(5,MATCH(MAX(Reference!$A$6,MIN(Reference!$A$11,MIN($U49,150))),Reference!$A$6:$A$11,1))))),0)+IF(4&lt;=$AL49,($AL49-4+3)*(INDEX(Reference!$B$6:$B$11,MIN(5,MATCH(MAX(Reference!$A$6,MIN(Reference!$A$11,MIN($U49,180))),Reference!$A$6:$A$11,1)))+(MAX(Reference!$A$6,MIN(Reference!$A$11,MIN($U49,180)))-INDEX(Reference!$A$6:$A$11,MIN(5,MATCH(MAX(Reference!$A$6,MIN(Reference!$A$11,MIN($U49,180))),Reference!$A$6:$A$11,1))))*(INDEX(Reference!$B$6:$B$11,MIN(5,MATCH(MAX(Reference!$A$6,MIN(Reference!$A$11,MIN($U49,180))),Reference!$A$6:$A$11,1))+1)-INDEX(Reference!$B$6:$B$11,MIN(5,MATCH(MAX(Reference!$A$6,MIN(Reference!$A$11,MIN($U49,180))),Reference!$A$6:$A$11,1))))/(INDEX(Reference!$A$6:$A$11,MIN(5,MATCH(MAX(Reference!$A$6,MIN(Reference!$A$11,MIN($U49,180))),Reference!$A$6:$A$11,1))+1)-INDEX(Reference!$A$6:$A$11,MIN(5,MATCH(MAX(Reference!$A$6,MIN(Reference!$A$11,MIN($U49,180))),Reference!$A$6:$A$11,1))))),0)+IF(5&lt;=$AL49,($AL49-5+3)*(INDEX(Reference!$B$6:$B$11,MIN(5,MATCH(MAX(Reference!$A$6,MIN(Reference!$A$11,MIN($U49,210))),Reference!$A$6:$A$11,1)))+(MAX(Reference!$A$6,MIN(Reference!$A$11,MIN($U49,210)))-INDEX(Reference!$A$6:$A$11,MIN(5,MATCH(MAX(Reference!$A$6,MIN(Reference!$A$11,MIN($U49,210))),Reference!$A$6:$A$11,1))))*(INDEX(Reference!$B$6:$B$11,MIN(5,MATCH(MAX(Reference!$A$6,MIN(Reference!$A$11,MIN($U49,210))),Reference!$A$6:$A$11,1))+1)-INDEX(Reference!$B$6:$B$11,MIN(5,MATCH(MAX(Reference!$A$6,MIN(Reference!$A$11,MIN($U49,210))),Reference!$A$6:$A$11,1))))/(INDEX(Reference!$A$6:$A$11,MIN(5,MATCH(MAX(Reference!$A$6,MIN(Reference!$A$11,MIN($U49,210))),Reference!$A$6:$A$11,1))+1)-INDEX(Reference!$A$6:$A$11,MIN(5,MATCH(MAX(Reference!$A$6,MIN(Reference!$A$11,MIN($U49,210))),Reference!$A$6:$A$11,1))))),0)+IF(6&lt;=$AL49,($AL49-6+3)*(INDEX(Reference!$B$6:$B$11,MIN(5,MATCH(MAX(Reference!$A$6,MIN(Reference!$A$11,MIN($U49,240))),Reference!$A$6:$A$11,1)))+(MAX(Reference!$A$6,MIN(Reference!$A$11,MIN($U49,240)))-INDEX(Reference!$A$6:$A$11,MIN(5,MATCH(MAX(Reference!$A$6,MIN(Reference!$A$11,MIN($U49,240))),Reference!$A$6:$A$11,1))))*(INDEX(Reference!$B$6:$B$11,MIN(5,MATCH(MAX(Reference!$A$6,MIN(Reference!$A$11,MIN($U49,240))),Reference!$A$6:$A$11,1))+1)-INDEX(Reference!$B$6:$B$11,MIN(5,MATCH(MAX(Reference!$A$6,MIN(Reference!$A$11,MIN($U49,240))),Reference!$A$6:$A$11,1))))/(INDEX(Reference!$A$6:$A$11,MIN(5,MATCH(MAX(Reference!$A$6,MIN(Reference!$A$11,MIN($U49,240))),Reference!$A$6:$A$11,1))+1)-INDEX(Reference!$A$6:$A$11,MIN(5,MATCH(MAX(Reference!$A$6,MIN(Reference!$A$11,MIN($U49,240))),Reference!$A$6:$A$11,1))))),0)+IF(7&lt;=$AL49,($AL49-7+3)*(INDEX(Reference!$B$6:$B$11,MIN(5,MATCH(MAX(Reference!$A$6,MIN(Reference!$A$11,MIN($U49,270))),Reference!$A$6:$A$11,1)))+(MAX(Reference!$A$6,MIN(Reference!$A$11,MIN($U49,270)))-INDEX(Reference!$A$6:$A$11,MIN(5,MATCH(MAX(Reference!$A$6,MIN(Reference!$A$11,MIN($U49,270))),Reference!$A$6:$A$11,1))))*(INDEX(Reference!$B$6:$B$11,MIN(5,MATCH(MAX(Reference!$A$6,MIN(Reference!$A$11,MIN($U49,270))),Reference!$A$6:$A$11,1))+1)-INDEX(Reference!$B$6:$B$11,MIN(5,MATCH(MAX(Reference!$A$6,MIN(Reference!$A$11,MIN($U49,270))),Reference!$A$6:$A$11,1))))/(INDEX(Reference!$A$6:$A$11,MIN(5,MATCH(MAX(Reference!$A$6,MIN(Reference!$A$11,MIN($U49,270))),Reference!$A$6:$A$11,1))+1)-INDEX(Reference!$A$6:$A$11,MIN(5,MATCH(MAX(Reference!$A$6,MIN(Reference!$A$11,MIN($U49,270))),Reference!$A$6:$A$11,1))))),0)+IF(8&lt;=$AL49,($AL49-8+3)*(INDEX(Reference!$B$6:$B$11,MIN(5,MATCH(MAX(Reference!$A$6,MIN(Reference!$A$11,MIN($U49,300))),Reference!$A$6:$A$11,1)))+(MAX(Reference!$A$6,MIN(Reference!$A$11,MIN($U49,300)))-INDEX(Reference!$A$6:$A$11,MIN(5,MATCH(MAX(Reference!$A$6,MIN(Reference!$A$11,MIN($U49,300))),Reference!$A$6:$A$11,1))))*(INDEX(Reference!$B$6:$B$11,MIN(5,MATCH(MAX(Reference!$A$6,MIN(Reference!$A$11,MIN($U49,300))),Reference!$A$6:$A$11,1))+1)-INDEX(Reference!$B$6:$B$11,MIN(5,MATCH(MAX(Reference!$A$6,MIN(Reference!$A$11,MIN($U49,300))),Reference!$A$6:$A$11,1))))/(INDEX(Reference!$A$6:$A$11,MIN(5,MATCH(MAX(Reference!$A$6,MIN(Reference!$A$11,MIN($U49,300))),Reference!$A$6:$A$11,1))+1)-INDEX(Reference!$A$6:$A$11,MIN(5,MATCH(MAX(Reference!$A$6,MIN(Reference!$A$11,MIN($U49,300))),Reference!$A$6:$A$11,1))))),0))/($AL49*($AL49+5)/2)),$AN49))</f>
        <v>1</v>
      </c>
      <c r="AN49" s="32">
        <f>IF($U49="",0,(INDEX(Reference!$B$6:$B$11,MIN(5,MATCH(MAX(Reference!$A$6,MIN(Reference!$A$11,$U49)),Reference!$A$6:$A$11,1)))+(MAX(Reference!$A$6,MIN(Reference!$A$11,$U49))-INDEX(Reference!$A$6:$A$11,MIN(5,MATCH(MAX(Reference!$A$6,MIN(Reference!$A$11,$U49)),Reference!$A$6:$A$11,1))))*(INDEX(Reference!$B$6:$B$11,MIN(5,MATCH(MAX(Reference!$A$6,MIN(Reference!$A$11,$U49)),Reference!$A$6:$A$11,1))+1)-INDEX(Reference!$B$6:$B$11,MIN(5,MATCH(MAX(Reference!$A$6,MIN(Reference!$A$11,$U49)),Reference!$A$6:$A$11,1))))/(INDEX(Reference!$A$6:$A$11,MIN(5,MATCH(MAX(Reference!$A$6,MIN(Reference!$A$11,$U49)),Reference!$A$6:$A$11,1))+1)-INDEX(Reference!$A$6:$A$11,MIN(5,MATCH(MAX(Reference!$A$6,MIN(Reference!$A$11,$U49)),Reference!$A$6:$A$11,1))))))</f>
        <v>1</v>
      </c>
      <c r="AO49" s="37"/>
      <c r="AP49" s="37"/>
      <c r="AQ49" s="37"/>
    </row>
    <row r="50" spans="1:43" x14ac:dyDescent="0.3">
      <c r="A50" s="48">
        <f t="shared" si="5"/>
        <v>46314</v>
      </c>
      <c r="B50" s="32" t="str">
        <f t="shared" si="6"/>
        <v>Mon</v>
      </c>
      <c r="C50" s="32">
        <f t="shared" si="7"/>
        <v>77</v>
      </c>
      <c r="D50" s="32" t="str">
        <f t="shared" si="8"/>
        <v>Re-entry</v>
      </c>
      <c r="E50" s="32" t="str">
        <f t="shared" si="9"/>
        <v>Low</v>
      </c>
      <c r="F50" s="32" t="str">
        <f t="shared" si="10"/>
        <v>Recovery/Easy Catch</v>
      </c>
      <c r="G50" s="47" t="str">
        <f t="shared" si="11"/>
        <v>60 ft × 20 @ 67–71 mph</v>
      </c>
      <c r="H50" s="30">
        <f t="shared" si="12"/>
        <v>12</v>
      </c>
      <c r="I50" s="46" t="str">
        <f>IF($A50="","",IF(AND($L50&lt;27,$K$12=0),"Building",IFERROR(((SUM($H$44:$H50)+$K$12*IF($L50&lt;6,SUMIFS('Throw Log'!$Q$5:$Q$300,'Throw Log'!$B$5:$B$300,$D$4,'Throw Log'!$A$5:$A$300,"&gt;="&amp;($D$6+$L50-6),'Throw Log'!$A$5:$A$300,"&lt;="&amp;($D$6-1)),0))/7)/((SUM($H$43:$H50)+$K$12*IF($L50&lt;27,SUMIFS('Throw Log'!$Q$5:$Q$300,'Throw Log'!$B$5:$B$300,$D$4,'Throw Log'!$A$5:$A$300,"&gt;="&amp;($D$6+$L50-27),'Throw Log'!$A$5:$A$300,"&lt;="&amp;($D$6-1)),0))/28),"")))</f>
        <v>Building</v>
      </c>
      <c r="J50" s="37"/>
      <c r="K50" s="37"/>
      <c r="L50" s="32">
        <v>7</v>
      </c>
      <c r="M50" s="32">
        <f t="shared" si="13"/>
        <v>2</v>
      </c>
      <c r="N50" s="32">
        <f t="shared" si="14"/>
        <v>0</v>
      </c>
      <c r="O50" s="32">
        <f t="shared" si="15"/>
        <v>9.2105263157894732E-2</v>
      </c>
      <c r="P50" s="32">
        <f>IF(OR($A50="",N($C50)&lt;=7),"",$G$6*$G$9^($M50-1)*IF(AND(MOD($M50,Reference!$B$99)=0,$M50&lt;=$G$5-2),Reference!$B$100,1))</f>
        <v>90.007422064022563</v>
      </c>
      <c r="Q50" s="32">
        <f>IF($P50="","",IF(SUM($AK$50:$AK$56)=0,0,$P50*INDEX(Reference!$B$108:$B$114,$N50+1)/SUM($AK$50:$AK$56)))</f>
        <v>10.800890647682706</v>
      </c>
      <c r="R50" s="32">
        <f t="shared" si="16"/>
        <v>75</v>
      </c>
      <c r="S50" s="32">
        <f t="shared" si="17"/>
        <v>75</v>
      </c>
      <c r="T50" s="32" t="str">
        <f>IF($A50="","",IF($C50=0,"Bullpen",IF(OR($C50=7,$C50=1,$C50=5),"Recovery/Easy Catch",IF($C50=6,"Compression/Pulldowns",IF(OR($C50=4,$C50=2),"Long Toss",IF($C50=3,"No Throw",IF($N50=2,"No Throw",IF($N50=6,IF($O50&lt;Reference!$B$104,"No Throw","Recovery/Easy Catch"),IF(OR($N50=0,$N50=4),"Recovery/Easy Catch",IF($N50=1,IF($R50&gt;75,"Long Toss","Recovery/Easy Catch"),IF($N50=3,IF($O50&lt;0.5,IF($S50&gt;75,"Long Toss","Recovery/Easy Catch"),"Compression/Pulldowns"),IF($S50&gt;75,"Long Toss","Recovery/Easy Catch"))))))))))))</f>
        <v>Recovery/Easy Catch</v>
      </c>
      <c r="U50" s="32">
        <f t="shared" si="18"/>
        <v>60</v>
      </c>
      <c r="V50" s="32">
        <f t="shared" si="19"/>
        <v>20</v>
      </c>
      <c r="W50" s="32">
        <f t="shared" si="20"/>
        <v>24</v>
      </c>
      <c r="X50" s="32">
        <f t="shared" si="21"/>
        <v>0</v>
      </c>
      <c r="Y50" s="32" t="str">
        <f t="shared" si="22"/>
        <v/>
      </c>
      <c r="Z50" s="32" t="str">
        <f t="shared" si="23"/>
        <v/>
      </c>
      <c r="AA50" s="32" t="str">
        <f t="shared" si="24"/>
        <v/>
      </c>
      <c r="AB50" s="32">
        <f>IF($A50="","",IF($T50="No Throw",0,IF($K50&lt;&gt;"",$K50,IF($AA50&lt;&gt;"",ROUND($AA50*$D$12*IF($C50=0,1,$G$10),0),MIN(IF($T50="Recovery/Easy Catch",Reference!$B$103,IF($T50="Long Toss",Reference!$B$106,Reference!$B$102)),MAX(Reference!$B$101,ROUND(MAX(0,$Q50-$AE50)/$AF50,0)))))))</f>
        <v>20</v>
      </c>
      <c r="AC50" s="32">
        <f t="shared" si="25"/>
        <v>0</v>
      </c>
      <c r="AD50" s="32" t="b">
        <f t="shared" si="26"/>
        <v>0</v>
      </c>
      <c r="AE50" s="32">
        <f>IF($X50=0,0,$X50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50+$Z50)/2,0),Reference!$A$17:$B$20,2,TRUE()))</f>
        <v>0</v>
      </c>
      <c r="AF50" s="32">
        <f>IF(OR($A50="",$U50="",$T50="No Throw"),0,$AM50*VLOOKUP(MAX(($V50+$W50)/2,0),Reference!$A$17:$B$20,2,TRUE()))</f>
        <v>0.6</v>
      </c>
      <c r="AG50" s="32">
        <f>IF($AC50=0,0,$AC50*INDEX(Reference!$B$61:$B$62,MATCH("Bullpen",Reference!$A$61:$A$62,0))*VLOOKUP(MAX($D$5-($D$9+$E$9)/2,0),Reference!$A$17:$B$20,2,TRUE()))</f>
        <v>0</v>
      </c>
      <c r="AH50" s="32" t="e">
        <f t="shared" si="27"/>
        <v>#N/A</v>
      </c>
      <c r="AI50" s="32">
        <f>IF($A50="",NA(),Reference!$A$25)</f>
        <v>0.8</v>
      </c>
      <c r="AJ50" s="32">
        <f t="shared" si="28"/>
        <v>1.3</v>
      </c>
      <c r="AK50" s="56">
        <f>IF(OR($A50="",N($C50)&lt;=7,$T50="No Throw",$J50="x"),0,INDEX(Reference!$B$108:$B$114,$N50+1))</f>
        <v>0.12</v>
      </c>
      <c r="AL50" s="32">
        <f t="shared" si="29"/>
        <v>1</v>
      </c>
      <c r="AM50" s="32">
        <f>IF($U50="",0,IF($AL50&gt;1,((IF(1&lt;=$AL50,($AL50-1+3)*(INDEX(Reference!$B$6:$B$11,MIN(5,MATCH(MAX(Reference!$A$6,MIN(Reference!$A$11,MIN($U50,90))),Reference!$A$6:$A$11,1)))+(MAX(Reference!$A$6,MIN(Reference!$A$11,MIN($U50,90)))-INDEX(Reference!$A$6:$A$11,MIN(5,MATCH(MAX(Reference!$A$6,MIN(Reference!$A$11,MIN($U50,90))),Reference!$A$6:$A$11,1))))*(INDEX(Reference!$B$6:$B$11,MIN(5,MATCH(MAX(Reference!$A$6,MIN(Reference!$A$11,MIN($U50,90))),Reference!$A$6:$A$11,1))+1)-INDEX(Reference!$B$6:$B$11,MIN(5,MATCH(MAX(Reference!$A$6,MIN(Reference!$A$11,MIN($U50,90))),Reference!$A$6:$A$11,1))))/(INDEX(Reference!$A$6:$A$11,MIN(5,MATCH(MAX(Reference!$A$6,MIN(Reference!$A$11,MIN($U50,90))),Reference!$A$6:$A$11,1))+1)-INDEX(Reference!$A$6:$A$11,MIN(5,MATCH(MAX(Reference!$A$6,MIN(Reference!$A$11,MIN($U50,90))),Reference!$A$6:$A$11,1))))),0)+IF(2&lt;=$AL50,($AL50-2+3)*(INDEX(Reference!$B$6:$B$11,MIN(5,MATCH(MAX(Reference!$A$6,MIN(Reference!$A$11,MIN($U50,120))),Reference!$A$6:$A$11,1)))+(MAX(Reference!$A$6,MIN(Reference!$A$11,MIN($U50,120)))-INDEX(Reference!$A$6:$A$11,MIN(5,MATCH(MAX(Reference!$A$6,MIN(Reference!$A$11,MIN($U50,120))),Reference!$A$6:$A$11,1))))*(INDEX(Reference!$B$6:$B$11,MIN(5,MATCH(MAX(Reference!$A$6,MIN(Reference!$A$11,MIN($U50,120))),Reference!$A$6:$A$11,1))+1)-INDEX(Reference!$B$6:$B$11,MIN(5,MATCH(MAX(Reference!$A$6,MIN(Reference!$A$11,MIN($U50,120))),Reference!$A$6:$A$11,1))))/(INDEX(Reference!$A$6:$A$11,MIN(5,MATCH(MAX(Reference!$A$6,MIN(Reference!$A$11,MIN($U50,120))),Reference!$A$6:$A$11,1))+1)-INDEX(Reference!$A$6:$A$11,MIN(5,MATCH(MAX(Reference!$A$6,MIN(Reference!$A$11,MIN($U50,120))),Reference!$A$6:$A$11,1))))),0)+IF(3&lt;=$AL50,($AL50-3+3)*(INDEX(Reference!$B$6:$B$11,MIN(5,MATCH(MAX(Reference!$A$6,MIN(Reference!$A$11,MIN($U50,150))),Reference!$A$6:$A$11,1)))+(MAX(Reference!$A$6,MIN(Reference!$A$11,MIN($U50,150)))-INDEX(Reference!$A$6:$A$11,MIN(5,MATCH(MAX(Reference!$A$6,MIN(Reference!$A$11,MIN($U50,150))),Reference!$A$6:$A$11,1))))*(INDEX(Reference!$B$6:$B$11,MIN(5,MATCH(MAX(Reference!$A$6,MIN(Reference!$A$11,MIN($U50,150))),Reference!$A$6:$A$11,1))+1)-INDEX(Reference!$B$6:$B$11,MIN(5,MATCH(MAX(Reference!$A$6,MIN(Reference!$A$11,MIN($U50,150))),Reference!$A$6:$A$11,1))))/(INDEX(Reference!$A$6:$A$11,MIN(5,MATCH(MAX(Reference!$A$6,MIN(Reference!$A$11,MIN($U50,150))),Reference!$A$6:$A$11,1))+1)-INDEX(Reference!$A$6:$A$11,MIN(5,MATCH(MAX(Reference!$A$6,MIN(Reference!$A$11,MIN($U50,150))),Reference!$A$6:$A$11,1))))),0)+IF(4&lt;=$AL50,($AL50-4+3)*(INDEX(Reference!$B$6:$B$11,MIN(5,MATCH(MAX(Reference!$A$6,MIN(Reference!$A$11,MIN($U50,180))),Reference!$A$6:$A$11,1)))+(MAX(Reference!$A$6,MIN(Reference!$A$11,MIN($U50,180)))-INDEX(Reference!$A$6:$A$11,MIN(5,MATCH(MAX(Reference!$A$6,MIN(Reference!$A$11,MIN($U50,180))),Reference!$A$6:$A$11,1))))*(INDEX(Reference!$B$6:$B$11,MIN(5,MATCH(MAX(Reference!$A$6,MIN(Reference!$A$11,MIN($U50,180))),Reference!$A$6:$A$11,1))+1)-INDEX(Reference!$B$6:$B$11,MIN(5,MATCH(MAX(Reference!$A$6,MIN(Reference!$A$11,MIN($U50,180))),Reference!$A$6:$A$11,1))))/(INDEX(Reference!$A$6:$A$11,MIN(5,MATCH(MAX(Reference!$A$6,MIN(Reference!$A$11,MIN($U50,180))),Reference!$A$6:$A$11,1))+1)-INDEX(Reference!$A$6:$A$11,MIN(5,MATCH(MAX(Reference!$A$6,MIN(Reference!$A$11,MIN($U50,180))),Reference!$A$6:$A$11,1))))),0)+IF(5&lt;=$AL50,($AL50-5+3)*(INDEX(Reference!$B$6:$B$11,MIN(5,MATCH(MAX(Reference!$A$6,MIN(Reference!$A$11,MIN($U50,210))),Reference!$A$6:$A$11,1)))+(MAX(Reference!$A$6,MIN(Reference!$A$11,MIN($U50,210)))-INDEX(Reference!$A$6:$A$11,MIN(5,MATCH(MAX(Reference!$A$6,MIN(Reference!$A$11,MIN($U50,210))),Reference!$A$6:$A$11,1))))*(INDEX(Reference!$B$6:$B$11,MIN(5,MATCH(MAX(Reference!$A$6,MIN(Reference!$A$11,MIN($U50,210))),Reference!$A$6:$A$11,1))+1)-INDEX(Reference!$B$6:$B$11,MIN(5,MATCH(MAX(Reference!$A$6,MIN(Reference!$A$11,MIN($U50,210))),Reference!$A$6:$A$11,1))))/(INDEX(Reference!$A$6:$A$11,MIN(5,MATCH(MAX(Reference!$A$6,MIN(Reference!$A$11,MIN($U50,210))),Reference!$A$6:$A$11,1))+1)-INDEX(Reference!$A$6:$A$11,MIN(5,MATCH(MAX(Reference!$A$6,MIN(Reference!$A$11,MIN($U50,210))),Reference!$A$6:$A$11,1))))),0)+IF(6&lt;=$AL50,($AL50-6+3)*(INDEX(Reference!$B$6:$B$11,MIN(5,MATCH(MAX(Reference!$A$6,MIN(Reference!$A$11,MIN($U50,240))),Reference!$A$6:$A$11,1)))+(MAX(Reference!$A$6,MIN(Reference!$A$11,MIN($U50,240)))-INDEX(Reference!$A$6:$A$11,MIN(5,MATCH(MAX(Reference!$A$6,MIN(Reference!$A$11,MIN($U50,240))),Reference!$A$6:$A$11,1))))*(INDEX(Reference!$B$6:$B$11,MIN(5,MATCH(MAX(Reference!$A$6,MIN(Reference!$A$11,MIN($U50,240))),Reference!$A$6:$A$11,1))+1)-INDEX(Reference!$B$6:$B$11,MIN(5,MATCH(MAX(Reference!$A$6,MIN(Reference!$A$11,MIN($U50,240))),Reference!$A$6:$A$11,1))))/(INDEX(Reference!$A$6:$A$11,MIN(5,MATCH(MAX(Reference!$A$6,MIN(Reference!$A$11,MIN($U50,240))),Reference!$A$6:$A$11,1))+1)-INDEX(Reference!$A$6:$A$11,MIN(5,MATCH(MAX(Reference!$A$6,MIN(Reference!$A$11,MIN($U50,240))),Reference!$A$6:$A$11,1))))),0)+IF(7&lt;=$AL50,($AL50-7+3)*(INDEX(Reference!$B$6:$B$11,MIN(5,MATCH(MAX(Reference!$A$6,MIN(Reference!$A$11,MIN($U50,270))),Reference!$A$6:$A$11,1)))+(MAX(Reference!$A$6,MIN(Reference!$A$11,MIN($U50,270)))-INDEX(Reference!$A$6:$A$11,MIN(5,MATCH(MAX(Reference!$A$6,MIN(Reference!$A$11,MIN($U50,270))),Reference!$A$6:$A$11,1))))*(INDEX(Reference!$B$6:$B$11,MIN(5,MATCH(MAX(Reference!$A$6,MIN(Reference!$A$11,MIN($U50,270))),Reference!$A$6:$A$11,1))+1)-INDEX(Reference!$B$6:$B$11,MIN(5,MATCH(MAX(Reference!$A$6,MIN(Reference!$A$11,MIN($U50,270))),Reference!$A$6:$A$11,1))))/(INDEX(Reference!$A$6:$A$11,MIN(5,MATCH(MAX(Reference!$A$6,MIN(Reference!$A$11,MIN($U50,270))),Reference!$A$6:$A$11,1))+1)-INDEX(Reference!$A$6:$A$11,MIN(5,MATCH(MAX(Reference!$A$6,MIN(Reference!$A$11,MIN($U50,270))),Reference!$A$6:$A$11,1))))),0)+IF(8&lt;=$AL50,($AL50-8+3)*(INDEX(Reference!$B$6:$B$11,MIN(5,MATCH(MAX(Reference!$A$6,MIN(Reference!$A$11,MIN($U50,300))),Reference!$A$6:$A$11,1)))+(MAX(Reference!$A$6,MIN(Reference!$A$11,MIN($U50,300)))-INDEX(Reference!$A$6:$A$11,MIN(5,MATCH(MAX(Reference!$A$6,MIN(Reference!$A$11,MIN($U50,300))),Reference!$A$6:$A$11,1))))*(INDEX(Reference!$B$6:$B$11,MIN(5,MATCH(MAX(Reference!$A$6,MIN(Reference!$A$11,MIN($U50,300))),Reference!$A$6:$A$11,1))+1)-INDEX(Reference!$B$6:$B$11,MIN(5,MATCH(MAX(Reference!$A$6,MIN(Reference!$A$11,MIN($U50,300))),Reference!$A$6:$A$11,1))))/(INDEX(Reference!$A$6:$A$11,MIN(5,MATCH(MAX(Reference!$A$6,MIN(Reference!$A$11,MIN($U50,300))),Reference!$A$6:$A$11,1))+1)-INDEX(Reference!$A$6:$A$11,MIN(5,MATCH(MAX(Reference!$A$6,MIN(Reference!$A$11,MIN($U50,300))),Reference!$A$6:$A$11,1))))),0))/($AL50*($AL50+5)/2)),$AN50))</f>
        <v>1</v>
      </c>
      <c r="AN50" s="32">
        <f>IF($U50="",0,(INDEX(Reference!$B$6:$B$11,MIN(5,MATCH(MAX(Reference!$A$6,MIN(Reference!$A$11,$U50)),Reference!$A$6:$A$11,1)))+(MAX(Reference!$A$6,MIN(Reference!$A$11,$U50))-INDEX(Reference!$A$6:$A$11,MIN(5,MATCH(MAX(Reference!$A$6,MIN(Reference!$A$11,$U50)),Reference!$A$6:$A$11,1))))*(INDEX(Reference!$B$6:$B$11,MIN(5,MATCH(MAX(Reference!$A$6,MIN(Reference!$A$11,$U50)),Reference!$A$6:$A$11,1))+1)-INDEX(Reference!$B$6:$B$11,MIN(5,MATCH(MAX(Reference!$A$6,MIN(Reference!$A$11,$U50)),Reference!$A$6:$A$11,1))))/(INDEX(Reference!$A$6:$A$11,MIN(5,MATCH(MAX(Reference!$A$6,MIN(Reference!$A$11,$U50)),Reference!$A$6:$A$11,1))+1)-INDEX(Reference!$A$6:$A$11,MIN(5,MATCH(MAX(Reference!$A$6,MIN(Reference!$A$11,$U50)),Reference!$A$6:$A$11,1))))))</f>
        <v>1</v>
      </c>
      <c r="AO50" s="37"/>
      <c r="AP50" s="37"/>
      <c r="AQ50" s="37"/>
    </row>
    <row r="51" spans="1:43" x14ac:dyDescent="0.3">
      <c r="A51" s="48">
        <f t="shared" si="5"/>
        <v>46315</v>
      </c>
      <c r="B51" s="32" t="str">
        <f t="shared" si="6"/>
        <v>Tue</v>
      </c>
      <c r="C51" s="32">
        <f t="shared" si="7"/>
        <v>76</v>
      </c>
      <c r="D51" s="32" t="str">
        <f t="shared" si="8"/>
        <v>Re-entry</v>
      </c>
      <c r="E51" s="32" t="str">
        <f t="shared" si="9"/>
        <v>Low</v>
      </c>
      <c r="F51" s="32" t="str">
        <f t="shared" si="10"/>
        <v>Recovery/Easy Catch</v>
      </c>
      <c r="G51" s="47" t="str">
        <f t="shared" si="11"/>
        <v>75 ft × 30 @ 69–73 mph</v>
      </c>
      <c r="H51" s="30">
        <f t="shared" si="12"/>
        <v>20.7</v>
      </c>
      <c r="I51" s="46" t="str">
        <f>IF($A51="","",IF(AND($L51&lt;27,$K$12=0),"Building",IFERROR(((SUM($H$45:$H51)+$K$12*IF($L51&lt;6,SUMIFS('Throw Log'!$Q$5:$Q$300,'Throw Log'!$B$5:$B$300,$D$4,'Throw Log'!$A$5:$A$300,"&gt;="&amp;($D$6+$L51-6),'Throw Log'!$A$5:$A$300,"&lt;="&amp;($D$6-1)),0))/7)/((SUM($H$43:$H51)+$K$12*IF($L51&lt;27,SUMIFS('Throw Log'!$Q$5:$Q$300,'Throw Log'!$B$5:$B$300,$D$4,'Throw Log'!$A$5:$A$300,"&gt;="&amp;($D$6+$L51-27),'Throw Log'!$A$5:$A$300,"&lt;="&amp;($D$6-1)),0))/28),"")))</f>
        <v>Building</v>
      </c>
      <c r="J51" s="37"/>
      <c r="K51" s="37">
        <v>30</v>
      </c>
      <c r="L51" s="32">
        <v>8</v>
      </c>
      <c r="M51" s="32">
        <f t="shared" si="13"/>
        <v>2</v>
      </c>
      <c r="N51" s="32">
        <f t="shared" si="14"/>
        <v>1</v>
      </c>
      <c r="O51" s="32">
        <f t="shared" si="15"/>
        <v>0.10526315789473684</v>
      </c>
      <c r="P51" s="32">
        <f>IF(OR($A51="",N($C51)&lt;=7),"",$G$6*$G$9^($M51-1)*IF(AND(MOD($M51,Reference!$B$99)=0,$M51&lt;=$G$5-2),Reference!$B$100,1))</f>
        <v>90.007422064022563</v>
      </c>
      <c r="Q51" s="32">
        <f>IF($P51="","",IF(SUM($AK$50:$AK$56)=0,0,$P51*INDEX(Reference!$B$108:$B$114,$N51+1)/SUM($AK$50:$AK$56)))</f>
        <v>24.302003957286093</v>
      </c>
      <c r="R51" s="32">
        <f t="shared" si="16"/>
        <v>75</v>
      </c>
      <c r="S51" s="32">
        <f t="shared" si="17"/>
        <v>75</v>
      </c>
      <c r="T51" s="32" t="str">
        <f>IF($A51="","",IF($C51=0,"Bullpen",IF(OR($C51=7,$C51=1,$C51=5),"Recovery/Easy Catch",IF($C51=6,"Compression/Pulldowns",IF(OR($C51=4,$C51=2),"Long Toss",IF($C51=3,"No Throw",IF($N51=2,"No Throw",IF($N51=6,IF($O51&lt;Reference!$B$104,"No Throw","Recovery/Easy Catch"),IF(OR($N51=0,$N51=4),"Recovery/Easy Catch",IF($N51=1,IF($R51&gt;75,"Long Toss","Recovery/Easy Catch"),IF($N51=3,IF($O51&lt;0.5,IF($S51&gt;75,"Long Toss","Recovery/Easy Catch"),"Compression/Pulldowns"),IF($S51&gt;75,"Long Toss","Recovery/Easy Catch"))))))))))))</f>
        <v>Recovery/Easy Catch</v>
      </c>
      <c r="U51" s="32">
        <f t="shared" si="18"/>
        <v>75</v>
      </c>
      <c r="V51" s="32">
        <f t="shared" si="19"/>
        <v>18</v>
      </c>
      <c r="W51" s="32">
        <f t="shared" si="20"/>
        <v>22</v>
      </c>
      <c r="X51" s="32">
        <f t="shared" si="21"/>
        <v>0</v>
      </c>
      <c r="Y51" s="32" t="str">
        <f t="shared" si="22"/>
        <v/>
      </c>
      <c r="Z51" s="32" t="str">
        <f t="shared" si="23"/>
        <v/>
      </c>
      <c r="AA51" s="32" t="str">
        <f t="shared" si="24"/>
        <v/>
      </c>
      <c r="AB51" s="32">
        <f>IF($A51="","",IF($T51="No Throw",0,IF($K51&lt;&gt;"",$K51,IF($AA51&lt;&gt;"",ROUND($AA51*$D$12*IF($C51=0,1,$G$10),0),MIN(IF($T51="Recovery/Easy Catch",Reference!$B$103,IF($T51="Long Toss",Reference!$B$106,Reference!$B$102)),MAX(Reference!$B$101,ROUND(MAX(0,$Q51-$AE51)/$AF51,0)))))))</f>
        <v>30</v>
      </c>
      <c r="AC51" s="32">
        <f t="shared" si="25"/>
        <v>0</v>
      </c>
      <c r="AD51" s="32" t="b">
        <f t="shared" si="26"/>
        <v>0</v>
      </c>
      <c r="AE51" s="32">
        <f>IF($X51=0,0,$X51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51+$Z51)/2,0),Reference!$A$17:$B$20,2,TRUE()))</f>
        <v>0</v>
      </c>
      <c r="AF51" s="32">
        <f>IF(OR($A51="",$U51="",$T51="No Throw"),0,$AM51*VLOOKUP(MAX(($V51+$W51)/2,0),Reference!$A$17:$B$20,2,TRUE()))</f>
        <v>0.69</v>
      </c>
      <c r="AG51" s="32">
        <f>IF($AC51=0,0,$AC51*INDEX(Reference!$B$61:$B$62,MATCH("Bullpen",Reference!$A$61:$A$62,0))*VLOOKUP(MAX($D$5-($D$9+$E$9)/2,0),Reference!$A$17:$B$20,2,TRUE()))</f>
        <v>0</v>
      </c>
      <c r="AH51" s="32" t="e">
        <f t="shared" si="27"/>
        <v>#N/A</v>
      </c>
      <c r="AI51" s="32">
        <f>IF($A51="",NA(),Reference!$A$25)</f>
        <v>0.8</v>
      </c>
      <c r="AJ51" s="32">
        <f t="shared" si="28"/>
        <v>1.3</v>
      </c>
      <c r="AK51" s="56">
        <f>IF(OR($A51="",N($C51)&lt;=7,$T51="No Throw",$J51="x"),0,INDEX(Reference!$B$108:$B$114,$N51+1))</f>
        <v>0.27</v>
      </c>
      <c r="AL51" s="32">
        <f t="shared" si="29"/>
        <v>1</v>
      </c>
      <c r="AM51" s="32">
        <f>IF($U51="",0,IF($AL51&gt;1,((IF(1&lt;=$AL51,($AL51-1+3)*(INDEX(Reference!$B$6:$B$11,MIN(5,MATCH(MAX(Reference!$A$6,MIN(Reference!$A$11,MIN($U51,90))),Reference!$A$6:$A$11,1)))+(MAX(Reference!$A$6,MIN(Reference!$A$11,MIN($U51,90)))-INDEX(Reference!$A$6:$A$11,MIN(5,MATCH(MAX(Reference!$A$6,MIN(Reference!$A$11,MIN($U51,90))),Reference!$A$6:$A$11,1))))*(INDEX(Reference!$B$6:$B$11,MIN(5,MATCH(MAX(Reference!$A$6,MIN(Reference!$A$11,MIN($U51,90))),Reference!$A$6:$A$11,1))+1)-INDEX(Reference!$B$6:$B$11,MIN(5,MATCH(MAX(Reference!$A$6,MIN(Reference!$A$11,MIN($U51,90))),Reference!$A$6:$A$11,1))))/(INDEX(Reference!$A$6:$A$11,MIN(5,MATCH(MAX(Reference!$A$6,MIN(Reference!$A$11,MIN($U51,90))),Reference!$A$6:$A$11,1))+1)-INDEX(Reference!$A$6:$A$11,MIN(5,MATCH(MAX(Reference!$A$6,MIN(Reference!$A$11,MIN($U51,90))),Reference!$A$6:$A$11,1))))),0)+IF(2&lt;=$AL51,($AL51-2+3)*(INDEX(Reference!$B$6:$B$11,MIN(5,MATCH(MAX(Reference!$A$6,MIN(Reference!$A$11,MIN($U51,120))),Reference!$A$6:$A$11,1)))+(MAX(Reference!$A$6,MIN(Reference!$A$11,MIN($U51,120)))-INDEX(Reference!$A$6:$A$11,MIN(5,MATCH(MAX(Reference!$A$6,MIN(Reference!$A$11,MIN($U51,120))),Reference!$A$6:$A$11,1))))*(INDEX(Reference!$B$6:$B$11,MIN(5,MATCH(MAX(Reference!$A$6,MIN(Reference!$A$11,MIN($U51,120))),Reference!$A$6:$A$11,1))+1)-INDEX(Reference!$B$6:$B$11,MIN(5,MATCH(MAX(Reference!$A$6,MIN(Reference!$A$11,MIN($U51,120))),Reference!$A$6:$A$11,1))))/(INDEX(Reference!$A$6:$A$11,MIN(5,MATCH(MAX(Reference!$A$6,MIN(Reference!$A$11,MIN($U51,120))),Reference!$A$6:$A$11,1))+1)-INDEX(Reference!$A$6:$A$11,MIN(5,MATCH(MAX(Reference!$A$6,MIN(Reference!$A$11,MIN($U51,120))),Reference!$A$6:$A$11,1))))),0)+IF(3&lt;=$AL51,($AL51-3+3)*(INDEX(Reference!$B$6:$B$11,MIN(5,MATCH(MAX(Reference!$A$6,MIN(Reference!$A$11,MIN($U51,150))),Reference!$A$6:$A$11,1)))+(MAX(Reference!$A$6,MIN(Reference!$A$11,MIN($U51,150)))-INDEX(Reference!$A$6:$A$11,MIN(5,MATCH(MAX(Reference!$A$6,MIN(Reference!$A$11,MIN($U51,150))),Reference!$A$6:$A$11,1))))*(INDEX(Reference!$B$6:$B$11,MIN(5,MATCH(MAX(Reference!$A$6,MIN(Reference!$A$11,MIN($U51,150))),Reference!$A$6:$A$11,1))+1)-INDEX(Reference!$B$6:$B$11,MIN(5,MATCH(MAX(Reference!$A$6,MIN(Reference!$A$11,MIN($U51,150))),Reference!$A$6:$A$11,1))))/(INDEX(Reference!$A$6:$A$11,MIN(5,MATCH(MAX(Reference!$A$6,MIN(Reference!$A$11,MIN($U51,150))),Reference!$A$6:$A$11,1))+1)-INDEX(Reference!$A$6:$A$11,MIN(5,MATCH(MAX(Reference!$A$6,MIN(Reference!$A$11,MIN($U51,150))),Reference!$A$6:$A$11,1))))),0)+IF(4&lt;=$AL51,($AL51-4+3)*(INDEX(Reference!$B$6:$B$11,MIN(5,MATCH(MAX(Reference!$A$6,MIN(Reference!$A$11,MIN($U51,180))),Reference!$A$6:$A$11,1)))+(MAX(Reference!$A$6,MIN(Reference!$A$11,MIN($U51,180)))-INDEX(Reference!$A$6:$A$11,MIN(5,MATCH(MAX(Reference!$A$6,MIN(Reference!$A$11,MIN($U51,180))),Reference!$A$6:$A$11,1))))*(INDEX(Reference!$B$6:$B$11,MIN(5,MATCH(MAX(Reference!$A$6,MIN(Reference!$A$11,MIN($U51,180))),Reference!$A$6:$A$11,1))+1)-INDEX(Reference!$B$6:$B$11,MIN(5,MATCH(MAX(Reference!$A$6,MIN(Reference!$A$11,MIN($U51,180))),Reference!$A$6:$A$11,1))))/(INDEX(Reference!$A$6:$A$11,MIN(5,MATCH(MAX(Reference!$A$6,MIN(Reference!$A$11,MIN($U51,180))),Reference!$A$6:$A$11,1))+1)-INDEX(Reference!$A$6:$A$11,MIN(5,MATCH(MAX(Reference!$A$6,MIN(Reference!$A$11,MIN($U51,180))),Reference!$A$6:$A$11,1))))),0)+IF(5&lt;=$AL51,($AL51-5+3)*(INDEX(Reference!$B$6:$B$11,MIN(5,MATCH(MAX(Reference!$A$6,MIN(Reference!$A$11,MIN($U51,210))),Reference!$A$6:$A$11,1)))+(MAX(Reference!$A$6,MIN(Reference!$A$11,MIN($U51,210)))-INDEX(Reference!$A$6:$A$11,MIN(5,MATCH(MAX(Reference!$A$6,MIN(Reference!$A$11,MIN($U51,210))),Reference!$A$6:$A$11,1))))*(INDEX(Reference!$B$6:$B$11,MIN(5,MATCH(MAX(Reference!$A$6,MIN(Reference!$A$11,MIN($U51,210))),Reference!$A$6:$A$11,1))+1)-INDEX(Reference!$B$6:$B$11,MIN(5,MATCH(MAX(Reference!$A$6,MIN(Reference!$A$11,MIN($U51,210))),Reference!$A$6:$A$11,1))))/(INDEX(Reference!$A$6:$A$11,MIN(5,MATCH(MAX(Reference!$A$6,MIN(Reference!$A$11,MIN($U51,210))),Reference!$A$6:$A$11,1))+1)-INDEX(Reference!$A$6:$A$11,MIN(5,MATCH(MAX(Reference!$A$6,MIN(Reference!$A$11,MIN($U51,210))),Reference!$A$6:$A$11,1))))),0)+IF(6&lt;=$AL51,($AL51-6+3)*(INDEX(Reference!$B$6:$B$11,MIN(5,MATCH(MAX(Reference!$A$6,MIN(Reference!$A$11,MIN($U51,240))),Reference!$A$6:$A$11,1)))+(MAX(Reference!$A$6,MIN(Reference!$A$11,MIN($U51,240)))-INDEX(Reference!$A$6:$A$11,MIN(5,MATCH(MAX(Reference!$A$6,MIN(Reference!$A$11,MIN($U51,240))),Reference!$A$6:$A$11,1))))*(INDEX(Reference!$B$6:$B$11,MIN(5,MATCH(MAX(Reference!$A$6,MIN(Reference!$A$11,MIN($U51,240))),Reference!$A$6:$A$11,1))+1)-INDEX(Reference!$B$6:$B$11,MIN(5,MATCH(MAX(Reference!$A$6,MIN(Reference!$A$11,MIN($U51,240))),Reference!$A$6:$A$11,1))))/(INDEX(Reference!$A$6:$A$11,MIN(5,MATCH(MAX(Reference!$A$6,MIN(Reference!$A$11,MIN($U51,240))),Reference!$A$6:$A$11,1))+1)-INDEX(Reference!$A$6:$A$11,MIN(5,MATCH(MAX(Reference!$A$6,MIN(Reference!$A$11,MIN($U51,240))),Reference!$A$6:$A$11,1))))),0)+IF(7&lt;=$AL51,($AL51-7+3)*(INDEX(Reference!$B$6:$B$11,MIN(5,MATCH(MAX(Reference!$A$6,MIN(Reference!$A$11,MIN($U51,270))),Reference!$A$6:$A$11,1)))+(MAX(Reference!$A$6,MIN(Reference!$A$11,MIN($U51,270)))-INDEX(Reference!$A$6:$A$11,MIN(5,MATCH(MAX(Reference!$A$6,MIN(Reference!$A$11,MIN($U51,270))),Reference!$A$6:$A$11,1))))*(INDEX(Reference!$B$6:$B$11,MIN(5,MATCH(MAX(Reference!$A$6,MIN(Reference!$A$11,MIN($U51,270))),Reference!$A$6:$A$11,1))+1)-INDEX(Reference!$B$6:$B$11,MIN(5,MATCH(MAX(Reference!$A$6,MIN(Reference!$A$11,MIN($U51,270))),Reference!$A$6:$A$11,1))))/(INDEX(Reference!$A$6:$A$11,MIN(5,MATCH(MAX(Reference!$A$6,MIN(Reference!$A$11,MIN($U51,270))),Reference!$A$6:$A$11,1))+1)-INDEX(Reference!$A$6:$A$11,MIN(5,MATCH(MAX(Reference!$A$6,MIN(Reference!$A$11,MIN($U51,270))),Reference!$A$6:$A$11,1))))),0)+IF(8&lt;=$AL51,($AL51-8+3)*(INDEX(Reference!$B$6:$B$11,MIN(5,MATCH(MAX(Reference!$A$6,MIN(Reference!$A$11,MIN($U51,300))),Reference!$A$6:$A$11,1)))+(MAX(Reference!$A$6,MIN(Reference!$A$11,MIN($U51,300)))-INDEX(Reference!$A$6:$A$11,MIN(5,MATCH(MAX(Reference!$A$6,MIN(Reference!$A$11,MIN($U51,300))),Reference!$A$6:$A$11,1))))*(INDEX(Reference!$B$6:$B$11,MIN(5,MATCH(MAX(Reference!$A$6,MIN(Reference!$A$11,MIN($U51,300))),Reference!$A$6:$A$11,1))+1)-INDEX(Reference!$B$6:$B$11,MIN(5,MATCH(MAX(Reference!$A$6,MIN(Reference!$A$11,MIN($U51,300))),Reference!$A$6:$A$11,1))))/(INDEX(Reference!$A$6:$A$11,MIN(5,MATCH(MAX(Reference!$A$6,MIN(Reference!$A$11,MIN($U51,300))),Reference!$A$6:$A$11,1))+1)-INDEX(Reference!$A$6:$A$11,MIN(5,MATCH(MAX(Reference!$A$6,MIN(Reference!$A$11,MIN($U51,300))),Reference!$A$6:$A$11,1))))),0))/($AL51*($AL51+5)/2)),$AN51))</f>
        <v>1.1499999999999999</v>
      </c>
      <c r="AN51" s="32">
        <f>IF($U51="",0,(INDEX(Reference!$B$6:$B$11,MIN(5,MATCH(MAX(Reference!$A$6,MIN(Reference!$A$11,$U51)),Reference!$A$6:$A$11,1)))+(MAX(Reference!$A$6,MIN(Reference!$A$11,$U51))-INDEX(Reference!$A$6:$A$11,MIN(5,MATCH(MAX(Reference!$A$6,MIN(Reference!$A$11,$U51)),Reference!$A$6:$A$11,1))))*(INDEX(Reference!$B$6:$B$11,MIN(5,MATCH(MAX(Reference!$A$6,MIN(Reference!$A$11,$U51)),Reference!$A$6:$A$11,1))+1)-INDEX(Reference!$B$6:$B$11,MIN(5,MATCH(MAX(Reference!$A$6,MIN(Reference!$A$11,$U51)),Reference!$A$6:$A$11,1))))/(INDEX(Reference!$A$6:$A$11,MIN(5,MATCH(MAX(Reference!$A$6,MIN(Reference!$A$11,$U51)),Reference!$A$6:$A$11,1))+1)-INDEX(Reference!$A$6:$A$11,MIN(5,MATCH(MAX(Reference!$A$6,MIN(Reference!$A$11,$U51)),Reference!$A$6:$A$11,1))))))</f>
        <v>1.1499999999999999</v>
      </c>
      <c r="AO51" s="37"/>
      <c r="AP51" s="37"/>
      <c r="AQ51" s="37"/>
    </row>
    <row r="52" spans="1:43" x14ac:dyDescent="0.3">
      <c r="A52" s="48">
        <f t="shared" si="5"/>
        <v>46316</v>
      </c>
      <c r="B52" s="32" t="str">
        <f t="shared" si="6"/>
        <v>Wed</v>
      </c>
      <c r="C52" s="32">
        <f t="shared" si="7"/>
        <v>75</v>
      </c>
      <c r="D52" s="32" t="str">
        <f t="shared" si="8"/>
        <v>Re-entry</v>
      </c>
      <c r="E52" s="32" t="str">
        <f t="shared" si="9"/>
        <v>No Throw</v>
      </c>
      <c r="F52" s="32" t="str">
        <f t="shared" si="10"/>
        <v>No Throw</v>
      </c>
      <c r="G52" s="47" t="str">
        <f t="shared" si="11"/>
        <v>Off</v>
      </c>
      <c r="H52" s="30">
        <f t="shared" si="12"/>
        <v>0</v>
      </c>
      <c r="I52" s="46" t="str">
        <f>IF($A52="","",IF(AND($L52&lt;27,$K$12=0),"Building",IFERROR(((SUM($H$46:$H52)+$K$12*IF($L52&lt;6,SUMIFS('Throw Log'!$Q$5:$Q$300,'Throw Log'!$B$5:$B$300,$D$4,'Throw Log'!$A$5:$A$300,"&gt;="&amp;($D$6+$L52-6),'Throw Log'!$A$5:$A$300,"&lt;="&amp;($D$6-1)),0))/7)/((SUM($H$43:$H52)+$K$12*IF($L52&lt;27,SUMIFS('Throw Log'!$Q$5:$Q$300,'Throw Log'!$B$5:$B$300,$D$4,'Throw Log'!$A$5:$A$300,"&gt;="&amp;($D$6+$L52-27),'Throw Log'!$A$5:$A$300,"&lt;="&amp;($D$6-1)),0))/28),"")))</f>
        <v>Building</v>
      </c>
      <c r="J52" s="37"/>
      <c r="K52" s="37"/>
      <c r="L52" s="32">
        <v>9</v>
      </c>
      <c r="M52" s="32">
        <f t="shared" si="13"/>
        <v>2</v>
      </c>
      <c r="N52" s="32">
        <f t="shared" si="14"/>
        <v>2</v>
      </c>
      <c r="O52" s="32">
        <f t="shared" si="15"/>
        <v>0.11842105263157894</v>
      </c>
      <c r="P52" s="32">
        <f>IF(OR($A52="",N($C52)&lt;=7),"",$G$6*$G$9^($M52-1)*IF(AND(MOD($M52,Reference!$B$99)=0,$M52&lt;=$G$5-2),Reference!$B$100,1))</f>
        <v>90.007422064022563</v>
      </c>
      <c r="Q52" s="32">
        <f>IF($P52="","",IF(SUM($AK$50:$AK$56)=0,0,$P52*INDEX(Reference!$B$108:$B$114,$N52+1)/SUM($AK$50:$AK$56)))</f>
        <v>0</v>
      </c>
      <c r="R52" s="32">
        <f t="shared" si="16"/>
        <v>75</v>
      </c>
      <c r="S52" s="32">
        <f t="shared" si="17"/>
        <v>75</v>
      </c>
      <c r="T52" s="32" t="str">
        <f>IF($A52="","",IF($C52=0,"Bullpen",IF(OR($C52=7,$C52=1,$C52=5),"Recovery/Easy Catch",IF($C52=6,"Compression/Pulldowns",IF(OR($C52=4,$C52=2),"Long Toss",IF($C52=3,"No Throw",IF($N52=2,"No Throw",IF($N52=6,IF($O52&lt;Reference!$B$104,"No Throw","Recovery/Easy Catch"),IF(OR($N52=0,$N52=4),"Recovery/Easy Catch",IF($N52=1,IF($R52&gt;75,"Long Toss","Recovery/Easy Catch"),IF($N52=3,IF($O52&lt;0.5,IF($S52&gt;75,"Long Toss","Recovery/Easy Catch"),"Compression/Pulldowns"),IF($S52&gt;75,"Long Toss","Recovery/Easy Catch"))))))))))))</f>
        <v>No Throw</v>
      </c>
      <c r="U52" s="32" t="str">
        <f t="shared" si="18"/>
        <v/>
      </c>
      <c r="V52" s="32" t="str">
        <f t="shared" si="19"/>
        <v/>
      </c>
      <c r="W52" s="32" t="str">
        <f t="shared" si="20"/>
        <v/>
      </c>
      <c r="X52" s="32">
        <f t="shared" si="21"/>
        <v>0</v>
      </c>
      <c r="Y52" s="32" t="str">
        <f t="shared" si="22"/>
        <v/>
      </c>
      <c r="Z52" s="32" t="str">
        <f t="shared" si="23"/>
        <v/>
      </c>
      <c r="AA52" s="32" t="str">
        <f t="shared" si="24"/>
        <v/>
      </c>
      <c r="AB52" s="32">
        <f>IF($A52="","",IF($T52="No Throw",0,IF($K52&lt;&gt;"",$K52,IF($AA52&lt;&gt;"",ROUND($AA52*$D$12*IF($C52=0,1,$G$10),0),MIN(IF($T52="Recovery/Easy Catch",Reference!$B$103,IF($T52="Long Toss",Reference!$B$106,Reference!$B$102)),MAX(Reference!$B$101,ROUND(MAX(0,$Q52-$AE52)/$AF52,0)))))))</f>
        <v>0</v>
      </c>
      <c r="AC52" s="32">
        <f t="shared" si="25"/>
        <v>0</v>
      </c>
      <c r="AD52" s="32" t="b">
        <f t="shared" si="26"/>
        <v>1</v>
      </c>
      <c r="AE52" s="32">
        <f>IF($X52=0,0,$X52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52+$Z52)/2,0),Reference!$A$17:$B$20,2,TRUE()))</f>
        <v>0</v>
      </c>
      <c r="AF52" s="32">
        <f>IF(OR($A52="",$U52="",$T52="No Throw"),0,$AM52*VLOOKUP(MAX(($V52+$W52)/2,0),Reference!$A$17:$B$20,2,TRUE()))</f>
        <v>0</v>
      </c>
      <c r="AG52" s="32">
        <f>IF($AC52=0,0,$AC52*INDEX(Reference!$B$61:$B$62,MATCH("Bullpen",Reference!$A$61:$A$62,0))*VLOOKUP(MAX($D$5-($D$9+$E$9)/2,0),Reference!$A$17:$B$20,2,TRUE()))</f>
        <v>0</v>
      </c>
      <c r="AH52" s="32" t="e">
        <f t="shared" si="27"/>
        <v>#N/A</v>
      </c>
      <c r="AI52" s="32">
        <f>IF($A52="",NA(),Reference!$A$25)</f>
        <v>0.8</v>
      </c>
      <c r="AJ52" s="32">
        <f t="shared" si="28"/>
        <v>1.3</v>
      </c>
      <c r="AK52" s="32">
        <f>IF(OR($A52="",N($C52)&lt;=7,$T52="No Throw",$J52="x"),0,INDEX(Reference!$B$108:$B$114,$N52+1))</f>
        <v>0</v>
      </c>
      <c r="AL52" s="32">
        <f t="shared" si="29"/>
        <v>1</v>
      </c>
      <c r="AM52" s="32">
        <f>IF($U52="",0,IF($AL52&gt;1,((IF(1&lt;=$AL52,($AL52-1+3)*(INDEX(Reference!$B$6:$B$11,MIN(5,MATCH(MAX(Reference!$A$6,MIN(Reference!$A$11,MIN($U52,90))),Reference!$A$6:$A$11,1)))+(MAX(Reference!$A$6,MIN(Reference!$A$11,MIN($U52,90)))-INDEX(Reference!$A$6:$A$11,MIN(5,MATCH(MAX(Reference!$A$6,MIN(Reference!$A$11,MIN($U52,90))),Reference!$A$6:$A$11,1))))*(INDEX(Reference!$B$6:$B$11,MIN(5,MATCH(MAX(Reference!$A$6,MIN(Reference!$A$11,MIN($U52,90))),Reference!$A$6:$A$11,1))+1)-INDEX(Reference!$B$6:$B$11,MIN(5,MATCH(MAX(Reference!$A$6,MIN(Reference!$A$11,MIN($U52,90))),Reference!$A$6:$A$11,1))))/(INDEX(Reference!$A$6:$A$11,MIN(5,MATCH(MAX(Reference!$A$6,MIN(Reference!$A$11,MIN($U52,90))),Reference!$A$6:$A$11,1))+1)-INDEX(Reference!$A$6:$A$11,MIN(5,MATCH(MAX(Reference!$A$6,MIN(Reference!$A$11,MIN($U52,90))),Reference!$A$6:$A$11,1))))),0)+IF(2&lt;=$AL52,($AL52-2+3)*(INDEX(Reference!$B$6:$B$11,MIN(5,MATCH(MAX(Reference!$A$6,MIN(Reference!$A$11,MIN($U52,120))),Reference!$A$6:$A$11,1)))+(MAX(Reference!$A$6,MIN(Reference!$A$11,MIN($U52,120)))-INDEX(Reference!$A$6:$A$11,MIN(5,MATCH(MAX(Reference!$A$6,MIN(Reference!$A$11,MIN($U52,120))),Reference!$A$6:$A$11,1))))*(INDEX(Reference!$B$6:$B$11,MIN(5,MATCH(MAX(Reference!$A$6,MIN(Reference!$A$11,MIN($U52,120))),Reference!$A$6:$A$11,1))+1)-INDEX(Reference!$B$6:$B$11,MIN(5,MATCH(MAX(Reference!$A$6,MIN(Reference!$A$11,MIN($U52,120))),Reference!$A$6:$A$11,1))))/(INDEX(Reference!$A$6:$A$11,MIN(5,MATCH(MAX(Reference!$A$6,MIN(Reference!$A$11,MIN($U52,120))),Reference!$A$6:$A$11,1))+1)-INDEX(Reference!$A$6:$A$11,MIN(5,MATCH(MAX(Reference!$A$6,MIN(Reference!$A$11,MIN($U52,120))),Reference!$A$6:$A$11,1))))),0)+IF(3&lt;=$AL52,($AL52-3+3)*(INDEX(Reference!$B$6:$B$11,MIN(5,MATCH(MAX(Reference!$A$6,MIN(Reference!$A$11,MIN($U52,150))),Reference!$A$6:$A$11,1)))+(MAX(Reference!$A$6,MIN(Reference!$A$11,MIN($U52,150)))-INDEX(Reference!$A$6:$A$11,MIN(5,MATCH(MAX(Reference!$A$6,MIN(Reference!$A$11,MIN($U52,150))),Reference!$A$6:$A$11,1))))*(INDEX(Reference!$B$6:$B$11,MIN(5,MATCH(MAX(Reference!$A$6,MIN(Reference!$A$11,MIN($U52,150))),Reference!$A$6:$A$11,1))+1)-INDEX(Reference!$B$6:$B$11,MIN(5,MATCH(MAX(Reference!$A$6,MIN(Reference!$A$11,MIN($U52,150))),Reference!$A$6:$A$11,1))))/(INDEX(Reference!$A$6:$A$11,MIN(5,MATCH(MAX(Reference!$A$6,MIN(Reference!$A$11,MIN($U52,150))),Reference!$A$6:$A$11,1))+1)-INDEX(Reference!$A$6:$A$11,MIN(5,MATCH(MAX(Reference!$A$6,MIN(Reference!$A$11,MIN($U52,150))),Reference!$A$6:$A$11,1))))),0)+IF(4&lt;=$AL52,($AL52-4+3)*(INDEX(Reference!$B$6:$B$11,MIN(5,MATCH(MAX(Reference!$A$6,MIN(Reference!$A$11,MIN($U52,180))),Reference!$A$6:$A$11,1)))+(MAX(Reference!$A$6,MIN(Reference!$A$11,MIN($U52,180)))-INDEX(Reference!$A$6:$A$11,MIN(5,MATCH(MAX(Reference!$A$6,MIN(Reference!$A$11,MIN($U52,180))),Reference!$A$6:$A$11,1))))*(INDEX(Reference!$B$6:$B$11,MIN(5,MATCH(MAX(Reference!$A$6,MIN(Reference!$A$11,MIN($U52,180))),Reference!$A$6:$A$11,1))+1)-INDEX(Reference!$B$6:$B$11,MIN(5,MATCH(MAX(Reference!$A$6,MIN(Reference!$A$11,MIN($U52,180))),Reference!$A$6:$A$11,1))))/(INDEX(Reference!$A$6:$A$11,MIN(5,MATCH(MAX(Reference!$A$6,MIN(Reference!$A$11,MIN($U52,180))),Reference!$A$6:$A$11,1))+1)-INDEX(Reference!$A$6:$A$11,MIN(5,MATCH(MAX(Reference!$A$6,MIN(Reference!$A$11,MIN($U52,180))),Reference!$A$6:$A$11,1))))),0)+IF(5&lt;=$AL52,($AL52-5+3)*(INDEX(Reference!$B$6:$B$11,MIN(5,MATCH(MAX(Reference!$A$6,MIN(Reference!$A$11,MIN($U52,210))),Reference!$A$6:$A$11,1)))+(MAX(Reference!$A$6,MIN(Reference!$A$11,MIN($U52,210)))-INDEX(Reference!$A$6:$A$11,MIN(5,MATCH(MAX(Reference!$A$6,MIN(Reference!$A$11,MIN($U52,210))),Reference!$A$6:$A$11,1))))*(INDEX(Reference!$B$6:$B$11,MIN(5,MATCH(MAX(Reference!$A$6,MIN(Reference!$A$11,MIN($U52,210))),Reference!$A$6:$A$11,1))+1)-INDEX(Reference!$B$6:$B$11,MIN(5,MATCH(MAX(Reference!$A$6,MIN(Reference!$A$11,MIN($U52,210))),Reference!$A$6:$A$11,1))))/(INDEX(Reference!$A$6:$A$11,MIN(5,MATCH(MAX(Reference!$A$6,MIN(Reference!$A$11,MIN($U52,210))),Reference!$A$6:$A$11,1))+1)-INDEX(Reference!$A$6:$A$11,MIN(5,MATCH(MAX(Reference!$A$6,MIN(Reference!$A$11,MIN($U52,210))),Reference!$A$6:$A$11,1))))),0)+IF(6&lt;=$AL52,($AL52-6+3)*(INDEX(Reference!$B$6:$B$11,MIN(5,MATCH(MAX(Reference!$A$6,MIN(Reference!$A$11,MIN($U52,240))),Reference!$A$6:$A$11,1)))+(MAX(Reference!$A$6,MIN(Reference!$A$11,MIN($U52,240)))-INDEX(Reference!$A$6:$A$11,MIN(5,MATCH(MAX(Reference!$A$6,MIN(Reference!$A$11,MIN($U52,240))),Reference!$A$6:$A$11,1))))*(INDEX(Reference!$B$6:$B$11,MIN(5,MATCH(MAX(Reference!$A$6,MIN(Reference!$A$11,MIN($U52,240))),Reference!$A$6:$A$11,1))+1)-INDEX(Reference!$B$6:$B$11,MIN(5,MATCH(MAX(Reference!$A$6,MIN(Reference!$A$11,MIN($U52,240))),Reference!$A$6:$A$11,1))))/(INDEX(Reference!$A$6:$A$11,MIN(5,MATCH(MAX(Reference!$A$6,MIN(Reference!$A$11,MIN($U52,240))),Reference!$A$6:$A$11,1))+1)-INDEX(Reference!$A$6:$A$11,MIN(5,MATCH(MAX(Reference!$A$6,MIN(Reference!$A$11,MIN($U52,240))),Reference!$A$6:$A$11,1))))),0)+IF(7&lt;=$AL52,($AL52-7+3)*(INDEX(Reference!$B$6:$B$11,MIN(5,MATCH(MAX(Reference!$A$6,MIN(Reference!$A$11,MIN($U52,270))),Reference!$A$6:$A$11,1)))+(MAX(Reference!$A$6,MIN(Reference!$A$11,MIN($U52,270)))-INDEX(Reference!$A$6:$A$11,MIN(5,MATCH(MAX(Reference!$A$6,MIN(Reference!$A$11,MIN($U52,270))),Reference!$A$6:$A$11,1))))*(INDEX(Reference!$B$6:$B$11,MIN(5,MATCH(MAX(Reference!$A$6,MIN(Reference!$A$11,MIN($U52,270))),Reference!$A$6:$A$11,1))+1)-INDEX(Reference!$B$6:$B$11,MIN(5,MATCH(MAX(Reference!$A$6,MIN(Reference!$A$11,MIN($U52,270))),Reference!$A$6:$A$11,1))))/(INDEX(Reference!$A$6:$A$11,MIN(5,MATCH(MAX(Reference!$A$6,MIN(Reference!$A$11,MIN($U52,270))),Reference!$A$6:$A$11,1))+1)-INDEX(Reference!$A$6:$A$11,MIN(5,MATCH(MAX(Reference!$A$6,MIN(Reference!$A$11,MIN($U52,270))),Reference!$A$6:$A$11,1))))),0)+IF(8&lt;=$AL52,($AL52-8+3)*(INDEX(Reference!$B$6:$B$11,MIN(5,MATCH(MAX(Reference!$A$6,MIN(Reference!$A$11,MIN($U52,300))),Reference!$A$6:$A$11,1)))+(MAX(Reference!$A$6,MIN(Reference!$A$11,MIN($U52,300)))-INDEX(Reference!$A$6:$A$11,MIN(5,MATCH(MAX(Reference!$A$6,MIN(Reference!$A$11,MIN($U52,300))),Reference!$A$6:$A$11,1))))*(INDEX(Reference!$B$6:$B$11,MIN(5,MATCH(MAX(Reference!$A$6,MIN(Reference!$A$11,MIN($U52,300))),Reference!$A$6:$A$11,1))+1)-INDEX(Reference!$B$6:$B$11,MIN(5,MATCH(MAX(Reference!$A$6,MIN(Reference!$A$11,MIN($U52,300))),Reference!$A$6:$A$11,1))))/(INDEX(Reference!$A$6:$A$11,MIN(5,MATCH(MAX(Reference!$A$6,MIN(Reference!$A$11,MIN($U52,300))),Reference!$A$6:$A$11,1))+1)-INDEX(Reference!$A$6:$A$11,MIN(5,MATCH(MAX(Reference!$A$6,MIN(Reference!$A$11,MIN($U52,300))),Reference!$A$6:$A$11,1))))),0))/($AL52*($AL52+5)/2)),$AN52))</f>
        <v>0</v>
      </c>
      <c r="AN52" s="32">
        <f>IF($U52="",0,(INDEX(Reference!$B$6:$B$11,MIN(5,MATCH(MAX(Reference!$A$6,MIN(Reference!$A$11,$U52)),Reference!$A$6:$A$11,1)))+(MAX(Reference!$A$6,MIN(Reference!$A$11,$U52))-INDEX(Reference!$A$6:$A$11,MIN(5,MATCH(MAX(Reference!$A$6,MIN(Reference!$A$11,$U52)),Reference!$A$6:$A$11,1))))*(INDEX(Reference!$B$6:$B$11,MIN(5,MATCH(MAX(Reference!$A$6,MIN(Reference!$A$11,$U52)),Reference!$A$6:$A$11,1))+1)-INDEX(Reference!$B$6:$B$11,MIN(5,MATCH(MAX(Reference!$A$6,MIN(Reference!$A$11,$U52)),Reference!$A$6:$A$11,1))))/(INDEX(Reference!$A$6:$A$11,MIN(5,MATCH(MAX(Reference!$A$6,MIN(Reference!$A$11,$U52)),Reference!$A$6:$A$11,1))+1)-INDEX(Reference!$A$6:$A$11,MIN(5,MATCH(MAX(Reference!$A$6,MIN(Reference!$A$11,$U52)),Reference!$A$6:$A$11,1))))))</f>
        <v>0</v>
      </c>
      <c r="AO52" s="37"/>
      <c r="AP52" s="37"/>
      <c r="AQ52" s="37"/>
    </row>
    <row r="53" spans="1:43" x14ac:dyDescent="0.3">
      <c r="A53" s="48">
        <f t="shared" si="5"/>
        <v>46317</v>
      </c>
      <c r="B53" s="32" t="str">
        <f t="shared" si="6"/>
        <v>Thu</v>
      </c>
      <c r="C53" s="32">
        <f t="shared" si="7"/>
        <v>74</v>
      </c>
      <c r="D53" s="32" t="str">
        <f t="shared" si="8"/>
        <v>Re-entry</v>
      </c>
      <c r="E53" s="32" t="str">
        <f t="shared" si="9"/>
        <v>Low</v>
      </c>
      <c r="F53" s="32" t="str">
        <f t="shared" si="10"/>
        <v>Recovery/Easy Catch</v>
      </c>
      <c r="G53" s="47" t="str">
        <f t="shared" si="11"/>
        <v>75 ft × 25 @ 69–73 mph</v>
      </c>
      <c r="H53" s="30">
        <f t="shared" si="12"/>
        <v>17.25</v>
      </c>
      <c r="I53" s="46" t="str">
        <f>IF($A53="","",IF(AND($L53&lt;27,$K$12=0),"Building",IFERROR(((SUM($H$47:$H53)+$K$12*IF($L53&lt;6,SUMIFS('Throw Log'!$Q$5:$Q$300,'Throw Log'!$B$5:$B$300,$D$4,'Throw Log'!$A$5:$A$300,"&gt;="&amp;($D$6+$L53-6),'Throw Log'!$A$5:$A$300,"&lt;="&amp;($D$6-1)),0))/7)/((SUM($H$43:$H53)+$K$12*IF($L53&lt;27,SUMIFS('Throw Log'!$Q$5:$Q$300,'Throw Log'!$B$5:$B$300,$D$4,'Throw Log'!$A$5:$A$300,"&gt;="&amp;($D$6+$L53-27),'Throw Log'!$A$5:$A$300,"&lt;="&amp;($D$6-1)),0))/28),"")))</f>
        <v>Building</v>
      </c>
      <c r="J53" s="37"/>
      <c r="K53" s="37">
        <v>25</v>
      </c>
      <c r="L53" s="32">
        <v>10</v>
      </c>
      <c r="M53" s="32">
        <f t="shared" si="13"/>
        <v>2</v>
      </c>
      <c r="N53" s="32">
        <f t="shared" si="14"/>
        <v>3</v>
      </c>
      <c r="O53" s="32">
        <f t="shared" si="15"/>
        <v>0.13157894736842105</v>
      </c>
      <c r="P53" s="32">
        <f>IF(OR($A53="",N($C53)&lt;=7),"",$G$6*$G$9^($M53-1)*IF(AND(MOD($M53,Reference!$B$99)=0,$M53&lt;=$G$5-2),Reference!$B$100,1))</f>
        <v>90.007422064022563</v>
      </c>
      <c r="Q53" s="32">
        <f>IF($P53="","",IF(SUM($AK$50:$AK$56)=0,0,$P53*INDEX(Reference!$B$108:$B$114,$N53+1)/SUM($AK$50:$AK$56)))</f>
        <v>21.601781295365413</v>
      </c>
      <c r="R53" s="32">
        <f t="shared" si="16"/>
        <v>75</v>
      </c>
      <c r="S53" s="32">
        <f t="shared" si="17"/>
        <v>75</v>
      </c>
      <c r="T53" s="32" t="str">
        <f>IF($A53="","",IF($C53=0,"Bullpen",IF(OR($C53=7,$C53=1,$C53=5),"Recovery/Easy Catch",IF($C53=6,"Compression/Pulldowns",IF(OR($C53=4,$C53=2),"Long Toss",IF($C53=3,"No Throw",IF($N53=2,"No Throw",IF($N53=6,IF($O53&lt;Reference!$B$104,"No Throw","Recovery/Easy Catch"),IF(OR($N53=0,$N53=4),"Recovery/Easy Catch",IF($N53=1,IF($R53&gt;75,"Long Toss","Recovery/Easy Catch"),IF($N53=3,IF($O53&lt;0.5,IF($S53&gt;75,"Long Toss","Recovery/Easy Catch"),"Compression/Pulldowns"),IF($S53&gt;75,"Long Toss","Recovery/Easy Catch"))))))))))))</f>
        <v>Recovery/Easy Catch</v>
      </c>
      <c r="U53" s="32">
        <f t="shared" si="18"/>
        <v>75</v>
      </c>
      <c r="V53" s="32">
        <f t="shared" si="19"/>
        <v>18</v>
      </c>
      <c r="W53" s="32">
        <f t="shared" si="20"/>
        <v>22</v>
      </c>
      <c r="X53" s="32">
        <f t="shared" si="21"/>
        <v>0</v>
      </c>
      <c r="Y53" s="32" t="str">
        <f t="shared" si="22"/>
        <v/>
      </c>
      <c r="Z53" s="32" t="str">
        <f t="shared" si="23"/>
        <v/>
      </c>
      <c r="AA53" s="32" t="str">
        <f t="shared" si="24"/>
        <v/>
      </c>
      <c r="AB53" s="32">
        <f>IF($A53="","",IF($T53="No Throw",0,IF($K53&lt;&gt;"",$K53,IF($AA53&lt;&gt;"",ROUND($AA53*$D$12*IF($C53=0,1,$G$10),0),MIN(IF($T53="Recovery/Easy Catch",Reference!$B$103,IF($T53="Long Toss",Reference!$B$106,Reference!$B$102)),MAX(Reference!$B$101,ROUND(MAX(0,$Q53-$AE53)/$AF53,0)))))))</f>
        <v>25</v>
      </c>
      <c r="AC53" s="32">
        <f t="shared" si="25"/>
        <v>0</v>
      </c>
      <c r="AD53" s="32" t="b">
        <f t="shared" si="26"/>
        <v>0</v>
      </c>
      <c r="AE53" s="32">
        <f>IF($X53=0,0,$X53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53+$Z53)/2,0),Reference!$A$17:$B$20,2,TRUE()))</f>
        <v>0</v>
      </c>
      <c r="AF53" s="32">
        <f>IF(OR($A53="",$U53="",$T53="No Throw"),0,$AM53*VLOOKUP(MAX(($V53+$W53)/2,0),Reference!$A$17:$B$20,2,TRUE()))</f>
        <v>0.69</v>
      </c>
      <c r="AG53" s="32">
        <f>IF($AC53=0,0,$AC53*INDEX(Reference!$B$61:$B$62,MATCH("Bullpen",Reference!$A$61:$A$62,0))*VLOOKUP(MAX($D$5-($D$9+$E$9)/2,0),Reference!$A$17:$B$20,2,TRUE()))</f>
        <v>0</v>
      </c>
      <c r="AH53" s="32" t="e">
        <f t="shared" si="27"/>
        <v>#N/A</v>
      </c>
      <c r="AI53" s="32">
        <f>IF($A53="",NA(),Reference!$A$25)</f>
        <v>0.8</v>
      </c>
      <c r="AJ53" s="32">
        <f t="shared" si="28"/>
        <v>1.3</v>
      </c>
      <c r="AK53" s="56">
        <f>IF(OR($A53="",N($C53)&lt;=7,$T53="No Throw",$J53="x"),0,INDEX(Reference!$B$108:$B$114,$N53+1))</f>
        <v>0.24</v>
      </c>
      <c r="AL53" s="32">
        <f t="shared" si="29"/>
        <v>1</v>
      </c>
      <c r="AM53" s="32">
        <f>IF($U53="",0,IF($AL53&gt;1,((IF(1&lt;=$AL53,($AL53-1+3)*(INDEX(Reference!$B$6:$B$11,MIN(5,MATCH(MAX(Reference!$A$6,MIN(Reference!$A$11,MIN($U53,90))),Reference!$A$6:$A$11,1)))+(MAX(Reference!$A$6,MIN(Reference!$A$11,MIN($U53,90)))-INDEX(Reference!$A$6:$A$11,MIN(5,MATCH(MAX(Reference!$A$6,MIN(Reference!$A$11,MIN($U53,90))),Reference!$A$6:$A$11,1))))*(INDEX(Reference!$B$6:$B$11,MIN(5,MATCH(MAX(Reference!$A$6,MIN(Reference!$A$11,MIN($U53,90))),Reference!$A$6:$A$11,1))+1)-INDEX(Reference!$B$6:$B$11,MIN(5,MATCH(MAX(Reference!$A$6,MIN(Reference!$A$11,MIN($U53,90))),Reference!$A$6:$A$11,1))))/(INDEX(Reference!$A$6:$A$11,MIN(5,MATCH(MAX(Reference!$A$6,MIN(Reference!$A$11,MIN($U53,90))),Reference!$A$6:$A$11,1))+1)-INDEX(Reference!$A$6:$A$11,MIN(5,MATCH(MAX(Reference!$A$6,MIN(Reference!$A$11,MIN($U53,90))),Reference!$A$6:$A$11,1))))),0)+IF(2&lt;=$AL53,($AL53-2+3)*(INDEX(Reference!$B$6:$B$11,MIN(5,MATCH(MAX(Reference!$A$6,MIN(Reference!$A$11,MIN($U53,120))),Reference!$A$6:$A$11,1)))+(MAX(Reference!$A$6,MIN(Reference!$A$11,MIN($U53,120)))-INDEX(Reference!$A$6:$A$11,MIN(5,MATCH(MAX(Reference!$A$6,MIN(Reference!$A$11,MIN($U53,120))),Reference!$A$6:$A$11,1))))*(INDEX(Reference!$B$6:$B$11,MIN(5,MATCH(MAX(Reference!$A$6,MIN(Reference!$A$11,MIN($U53,120))),Reference!$A$6:$A$11,1))+1)-INDEX(Reference!$B$6:$B$11,MIN(5,MATCH(MAX(Reference!$A$6,MIN(Reference!$A$11,MIN($U53,120))),Reference!$A$6:$A$11,1))))/(INDEX(Reference!$A$6:$A$11,MIN(5,MATCH(MAX(Reference!$A$6,MIN(Reference!$A$11,MIN($U53,120))),Reference!$A$6:$A$11,1))+1)-INDEX(Reference!$A$6:$A$11,MIN(5,MATCH(MAX(Reference!$A$6,MIN(Reference!$A$11,MIN($U53,120))),Reference!$A$6:$A$11,1))))),0)+IF(3&lt;=$AL53,($AL53-3+3)*(INDEX(Reference!$B$6:$B$11,MIN(5,MATCH(MAX(Reference!$A$6,MIN(Reference!$A$11,MIN($U53,150))),Reference!$A$6:$A$11,1)))+(MAX(Reference!$A$6,MIN(Reference!$A$11,MIN($U53,150)))-INDEX(Reference!$A$6:$A$11,MIN(5,MATCH(MAX(Reference!$A$6,MIN(Reference!$A$11,MIN($U53,150))),Reference!$A$6:$A$11,1))))*(INDEX(Reference!$B$6:$B$11,MIN(5,MATCH(MAX(Reference!$A$6,MIN(Reference!$A$11,MIN($U53,150))),Reference!$A$6:$A$11,1))+1)-INDEX(Reference!$B$6:$B$11,MIN(5,MATCH(MAX(Reference!$A$6,MIN(Reference!$A$11,MIN($U53,150))),Reference!$A$6:$A$11,1))))/(INDEX(Reference!$A$6:$A$11,MIN(5,MATCH(MAX(Reference!$A$6,MIN(Reference!$A$11,MIN($U53,150))),Reference!$A$6:$A$11,1))+1)-INDEX(Reference!$A$6:$A$11,MIN(5,MATCH(MAX(Reference!$A$6,MIN(Reference!$A$11,MIN($U53,150))),Reference!$A$6:$A$11,1))))),0)+IF(4&lt;=$AL53,($AL53-4+3)*(INDEX(Reference!$B$6:$B$11,MIN(5,MATCH(MAX(Reference!$A$6,MIN(Reference!$A$11,MIN($U53,180))),Reference!$A$6:$A$11,1)))+(MAX(Reference!$A$6,MIN(Reference!$A$11,MIN($U53,180)))-INDEX(Reference!$A$6:$A$11,MIN(5,MATCH(MAX(Reference!$A$6,MIN(Reference!$A$11,MIN($U53,180))),Reference!$A$6:$A$11,1))))*(INDEX(Reference!$B$6:$B$11,MIN(5,MATCH(MAX(Reference!$A$6,MIN(Reference!$A$11,MIN($U53,180))),Reference!$A$6:$A$11,1))+1)-INDEX(Reference!$B$6:$B$11,MIN(5,MATCH(MAX(Reference!$A$6,MIN(Reference!$A$11,MIN($U53,180))),Reference!$A$6:$A$11,1))))/(INDEX(Reference!$A$6:$A$11,MIN(5,MATCH(MAX(Reference!$A$6,MIN(Reference!$A$11,MIN($U53,180))),Reference!$A$6:$A$11,1))+1)-INDEX(Reference!$A$6:$A$11,MIN(5,MATCH(MAX(Reference!$A$6,MIN(Reference!$A$11,MIN($U53,180))),Reference!$A$6:$A$11,1))))),0)+IF(5&lt;=$AL53,($AL53-5+3)*(INDEX(Reference!$B$6:$B$11,MIN(5,MATCH(MAX(Reference!$A$6,MIN(Reference!$A$11,MIN($U53,210))),Reference!$A$6:$A$11,1)))+(MAX(Reference!$A$6,MIN(Reference!$A$11,MIN($U53,210)))-INDEX(Reference!$A$6:$A$11,MIN(5,MATCH(MAX(Reference!$A$6,MIN(Reference!$A$11,MIN($U53,210))),Reference!$A$6:$A$11,1))))*(INDEX(Reference!$B$6:$B$11,MIN(5,MATCH(MAX(Reference!$A$6,MIN(Reference!$A$11,MIN($U53,210))),Reference!$A$6:$A$11,1))+1)-INDEX(Reference!$B$6:$B$11,MIN(5,MATCH(MAX(Reference!$A$6,MIN(Reference!$A$11,MIN($U53,210))),Reference!$A$6:$A$11,1))))/(INDEX(Reference!$A$6:$A$11,MIN(5,MATCH(MAX(Reference!$A$6,MIN(Reference!$A$11,MIN($U53,210))),Reference!$A$6:$A$11,1))+1)-INDEX(Reference!$A$6:$A$11,MIN(5,MATCH(MAX(Reference!$A$6,MIN(Reference!$A$11,MIN($U53,210))),Reference!$A$6:$A$11,1))))),0)+IF(6&lt;=$AL53,($AL53-6+3)*(INDEX(Reference!$B$6:$B$11,MIN(5,MATCH(MAX(Reference!$A$6,MIN(Reference!$A$11,MIN($U53,240))),Reference!$A$6:$A$11,1)))+(MAX(Reference!$A$6,MIN(Reference!$A$11,MIN($U53,240)))-INDEX(Reference!$A$6:$A$11,MIN(5,MATCH(MAX(Reference!$A$6,MIN(Reference!$A$11,MIN($U53,240))),Reference!$A$6:$A$11,1))))*(INDEX(Reference!$B$6:$B$11,MIN(5,MATCH(MAX(Reference!$A$6,MIN(Reference!$A$11,MIN($U53,240))),Reference!$A$6:$A$11,1))+1)-INDEX(Reference!$B$6:$B$11,MIN(5,MATCH(MAX(Reference!$A$6,MIN(Reference!$A$11,MIN($U53,240))),Reference!$A$6:$A$11,1))))/(INDEX(Reference!$A$6:$A$11,MIN(5,MATCH(MAX(Reference!$A$6,MIN(Reference!$A$11,MIN($U53,240))),Reference!$A$6:$A$11,1))+1)-INDEX(Reference!$A$6:$A$11,MIN(5,MATCH(MAX(Reference!$A$6,MIN(Reference!$A$11,MIN($U53,240))),Reference!$A$6:$A$11,1))))),0)+IF(7&lt;=$AL53,($AL53-7+3)*(INDEX(Reference!$B$6:$B$11,MIN(5,MATCH(MAX(Reference!$A$6,MIN(Reference!$A$11,MIN($U53,270))),Reference!$A$6:$A$11,1)))+(MAX(Reference!$A$6,MIN(Reference!$A$11,MIN($U53,270)))-INDEX(Reference!$A$6:$A$11,MIN(5,MATCH(MAX(Reference!$A$6,MIN(Reference!$A$11,MIN($U53,270))),Reference!$A$6:$A$11,1))))*(INDEX(Reference!$B$6:$B$11,MIN(5,MATCH(MAX(Reference!$A$6,MIN(Reference!$A$11,MIN($U53,270))),Reference!$A$6:$A$11,1))+1)-INDEX(Reference!$B$6:$B$11,MIN(5,MATCH(MAX(Reference!$A$6,MIN(Reference!$A$11,MIN($U53,270))),Reference!$A$6:$A$11,1))))/(INDEX(Reference!$A$6:$A$11,MIN(5,MATCH(MAX(Reference!$A$6,MIN(Reference!$A$11,MIN($U53,270))),Reference!$A$6:$A$11,1))+1)-INDEX(Reference!$A$6:$A$11,MIN(5,MATCH(MAX(Reference!$A$6,MIN(Reference!$A$11,MIN($U53,270))),Reference!$A$6:$A$11,1))))),0)+IF(8&lt;=$AL53,($AL53-8+3)*(INDEX(Reference!$B$6:$B$11,MIN(5,MATCH(MAX(Reference!$A$6,MIN(Reference!$A$11,MIN($U53,300))),Reference!$A$6:$A$11,1)))+(MAX(Reference!$A$6,MIN(Reference!$A$11,MIN($U53,300)))-INDEX(Reference!$A$6:$A$11,MIN(5,MATCH(MAX(Reference!$A$6,MIN(Reference!$A$11,MIN($U53,300))),Reference!$A$6:$A$11,1))))*(INDEX(Reference!$B$6:$B$11,MIN(5,MATCH(MAX(Reference!$A$6,MIN(Reference!$A$11,MIN($U53,300))),Reference!$A$6:$A$11,1))+1)-INDEX(Reference!$B$6:$B$11,MIN(5,MATCH(MAX(Reference!$A$6,MIN(Reference!$A$11,MIN($U53,300))),Reference!$A$6:$A$11,1))))/(INDEX(Reference!$A$6:$A$11,MIN(5,MATCH(MAX(Reference!$A$6,MIN(Reference!$A$11,MIN($U53,300))),Reference!$A$6:$A$11,1))+1)-INDEX(Reference!$A$6:$A$11,MIN(5,MATCH(MAX(Reference!$A$6,MIN(Reference!$A$11,MIN($U53,300))),Reference!$A$6:$A$11,1))))),0))/($AL53*($AL53+5)/2)),$AN53))</f>
        <v>1.1499999999999999</v>
      </c>
      <c r="AN53" s="32">
        <f>IF($U53="",0,(INDEX(Reference!$B$6:$B$11,MIN(5,MATCH(MAX(Reference!$A$6,MIN(Reference!$A$11,$U53)),Reference!$A$6:$A$11,1)))+(MAX(Reference!$A$6,MIN(Reference!$A$11,$U53))-INDEX(Reference!$A$6:$A$11,MIN(5,MATCH(MAX(Reference!$A$6,MIN(Reference!$A$11,$U53)),Reference!$A$6:$A$11,1))))*(INDEX(Reference!$B$6:$B$11,MIN(5,MATCH(MAX(Reference!$A$6,MIN(Reference!$A$11,$U53)),Reference!$A$6:$A$11,1))+1)-INDEX(Reference!$B$6:$B$11,MIN(5,MATCH(MAX(Reference!$A$6,MIN(Reference!$A$11,$U53)),Reference!$A$6:$A$11,1))))/(INDEX(Reference!$A$6:$A$11,MIN(5,MATCH(MAX(Reference!$A$6,MIN(Reference!$A$11,$U53)),Reference!$A$6:$A$11,1))+1)-INDEX(Reference!$A$6:$A$11,MIN(5,MATCH(MAX(Reference!$A$6,MIN(Reference!$A$11,$U53)),Reference!$A$6:$A$11,1))))))</f>
        <v>1.1499999999999999</v>
      </c>
      <c r="AO53" s="37"/>
      <c r="AP53" s="37"/>
      <c r="AQ53" s="37"/>
    </row>
    <row r="54" spans="1:43" x14ac:dyDescent="0.3">
      <c r="A54" s="48">
        <f t="shared" si="5"/>
        <v>46318</v>
      </c>
      <c r="B54" s="32" t="str">
        <f t="shared" si="6"/>
        <v>Fri</v>
      </c>
      <c r="C54" s="32">
        <f t="shared" si="7"/>
        <v>73</v>
      </c>
      <c r="D54" s="32" t="str">
        <f t="shared" si="8"/>
        <v>Re-entry</v>
      </c>
      <c r="E54" s="32" t="str">
        <f t="shared" si="9"/>
        <v>Low</v>
      </c>
      <c r="F54" s="32" t="str">
        <f t="shared" si="10"/>
        <v>Recovery/Easy Catch</v>
      </c>
      <c r="G54" s="47" t="str">
        <f t="shared" si="11"/>
        <v>60 ft × 20 @ 67–71 mph</v>
      </c>
      <c r="H54" s="30">
        <f t="shared" si="12"/>
        <v>12</v>
      </c>
      <c r="I54" s="46" t="str">
        <f>IF($A54="","",IF(AND($L54&lt;27,$K$12=0),"Building",IFERROR(((SUM($H$48:$H54)+$K$12*IF($L54&lt;6,SUMIFS('Throw Log'!$Q$5:$Q$300,'Throw Log'!$B$5:$B$300,$D$4,'Throw Log'!$A$5:$A$300,"&gt;="&amp;($D$6+$L54-6),'Throw Log'!$A$5:$A$300,"&lt;="&amp;($D$6-1)),0))/7)/((SUM($H$43:$H54)+$K$12*IF($L54&lt;27,SUMIFS('Throw Log'!$Q$5:$Q$300,'Throw Log'!$B$5:$B$300,$D$4,'Throw Log'!$A$5:$A$300,"&gt;="&amp;($D$6+$L54-27),'Throw Log'!$A$5:$A$300,"&lt;="&amp;($D$6-1)),0))/28),"")))</f>
        <v>Building</v>
      </c>
      <c r="J54" s="37"/>
      <c r="K54" s="37"/>
      <c r="L54" s="32">
        <v>11</v>
      </c>
      <c r="M54" s="32">
        <f t="shared" si="13"/>
        <v>2</v>
      </c>
      <c r="N54" s="32">
        <f t="shared" si="14"/>
        <v>4</v>
      </c>
      <c r="O54" s="32">
        <f t="shared" si="15"/>
        <v>0.14473684210526316</v>
      </c>
      <c r="P54" s="32">
        <f>IF(OR($A54="",N($C54)&lt;=7),"",$G$6*$G$9^($M54-1)*IF(AND(MOD($M54,Reference!$B$99)=0,$M54&lt;=$G$5-2),Reference!$B$100,1))</f>
        <v>90.007422064022563</v>
      </c>
      <c r="Q54" s="32">
        <f>IF($P54="","",IF(SUM($AK$50:$AK$56)=0,0,$P54*INDEX(Reference!$B$108:$B$114,$N54+1)/SUM($AK$50:$AK$56)))</f>
        <v>9.000742206402256</v>
      </c>
      <c r="R54" s="32">
        <f t="shared" si="16"/>
        <v>90</v>
      </c>
      <c r="S54" s="32">
        <f t="shared" si="17"/>
        <v>90</v>
      </c>
      <c r="T54" s="32" t="str">
        <f>IF($A54="","",IF($C54=0,"Bullpen",IF(OR($C54=7,$C54=1,$C54=5),"Recovery/Easy Catch",IF($C54=6,"Compression/Pulldowns",IF(OR($C54=4,$C54=2),"Long Toss",IF($C54=3,"No Throw",IF($N54=2,"No Throw",IF($N54=6,IF($O54&lt;Reference!$B$104,"No Throw","Recovery/Easy Catch"),IF(OR($N54=0,$N54=4),"Recovery/Easy Catch",IF($N54=1,IF($R54&gt;75,"Long Toss","Recovery/Easy Catch"),IF($N54=3,IF($O54&lt;0.5,IF($S54&gt;75,"Long Toss","Recovery/Easy Catch"),"Compression/Pulldowns"),IF($S54&gt;75,"Long Toss","Recovery/Easy Catch"))))))))))))</f>
        <v>Recovery/Easy Catch</v>
      </c>
      <c r="U54" s="32">
        <f t="shared" si="18"/>
        <v>60</v>
      </c>
      <c r="V54" s="32">
        <f t="shared" si="19"/>
        <v>20</v>
      </c>
      <c r="W54" s="32">
        <f t="shared" si="20"/>
        <v>24</v>
      </c>
      <c r="X54" s="32">
        <f t="shared" si="21"/>
        <v>0</v>
      </c>
      <c r="Y54" s="32" t="str">
        <f t="shared" si="22"/>
        <v/>
      </c>
      <c r="Z54" s="32" t="str">
        <f t="shared" si="23"/>
        <v/>
      </c>
      <c r="AA54" s="32" t="str">
        <f t="shared" si="24"/>
        <v/>
      </c>
      <c r="AB54" s="32">
        <f>IF($A54="","",IF($T54="No Throw",0,IF($K54&lt;&gt;"",$K54,IF($AA54&lt;&gt;"",ROUND($AA54*$D$12*IF($C54=0,1,$G$10),0),MIN(IF($T54="Recovery/Easy Catch",Reference!$B$103,IF($T54="Long Toss",Reference!$B$106,Reference!$B$102)),MAX(Reference!$B$101,ROUND(MAX(0,$Q54-$AE54)/$AF54,0)))))))</f>
        <v>20</v>
      </c>
      <c r="AC54" s="32">
        <f t="shared" si="25"/>
        <v>0</v>
      </c>
      <c r="AD54" s="32" t="b">
        <f t="shared" si="26"/>
        <v>0</v>
      </c>
      <c r="AE54" s="32">
        <f>IF($X54=0,0,$X54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54+$Z54)/2,0),Reference!$A$17:$B$20,2,TRUE()))</f>
        <v>0</v>
      </c>
      <c r="AF54" s="32">
        <f>IF(OR($A54="",$U54="",$T54="No Throw"),0,$AM54*VLOOKUP(MAX(($V54+$W54)/2,0),Reference!$A$17:$B$20,2,TRUE()))</f>
        <v>0.6</v>
      </c>
      <c r="AG54" s="32">
        <f>IF($AC54=0,0,$AC54*INDEX(Reference!$B$61:$B$62,MATCH("Bullpen",Reference!$A$61:$A$62,0))*VLOOKUP(MAX($D$5-($D$9+$E$9)/2,0),Reference!$A$17:$B$20,2,TRUE()))</f>
        <v>0</v>
      </c>
      <c r="AH54" s="32" t="e">
        <f t="shared" si="27"/>
        <v>#N/A</v>
      </c>
      <c r="AI54" s="32">
        <f>IF($A54="",NA(),Reference!$A$25)</f>
        <v>0.8</v>
      </c>
      <c r="AJ54" s="32">
        <f t="shared" si="28"/>
        <v>1.3</v>
      </c>
      <c r="AK54" s="56">
        <f>IF(OR($A54="",N($C54)&lt;=7,$T54="No Throw",$J54="x"),0,INDEX(Reference!$B$108:$B$114,$N54+1))</f>
        <v>0.1</v>
      </c>
      <c r="AL54" s="32">
        <f t="shared" si="29"/>
        <v>1</v>
      </c>
      <c r="AM54" s="32">
        <f>IF($U54="",0,IF($AL54&gt;1,((IF(1&lt;=$AL54,($AL54-1+3)*(INDEX(Reference!$B$6:$B$11,MIN(5,MATCH(MAX(Reference!$A$6,MIN(Reference!$A$11,MIN($U54,90))),Reference!$A$6:$A$11,1)))+(MAX(Reference!$A$6,MIN(Reference!$A$11,MIN($U54,90)))-INDEX(Reference!$A$6:$A$11,MIN(5,MATCH(MAX(Reference!$A$6,MIN(Reference!$A$11,MIN($U54,90))),Reference!$A$6:$A$11,1))))*(INDEX(Reference!$B$6:$B$11,MIN(5,MATCH(MAX(Reference!$A$6,MIN(Reference!$A$11,MIN($U54,90))),Reference!$A$6:$A$11,1))+1)-INDEX(Reference!$B$6:$B$11,MIN(5,MATCH(MAX(Reference!$A$6,MIN(Reference!$A$11,MIN($U54,90))),Reference!$A$6:$A$11,1))))/(INDEX(Reference!$A$6:$A$11,MIN(5,MATCH(MAX(Reference!$A$6,MIN(Reference!$A$11,MIN($U54,90))),Reference!$A$6:$A$11,1))+1)-INDEX(Reference!$A$6:$A$11,MIN(5,MATCH(MAX(Reference!$A$6,MIN(Reference!$A$11,MIN($U54,90))),Reference!$A$6:$A$11,1))))),0)+IF(2&lt;=$AL54,($AL54-2+3)*(INDEX(Reference!$B$6:$B$11,MIN(5,MATCH(MAX(Reference!$A$6,MIN(Reference!$A$11,MIN($U54,120))),Reference!$A$6:$A$11,1)))+(MAX(Reference!$A$6,MIN(Reference!$A$11,MIN($U54,120)))-INDEX(Reference!$A$6:$A$11,MIN(5,MATCH(MAX(Reference!$A$6,MIN(Reference!$A$11,MIN($U54,120))),Reference!$A$6:$A$11,1))))*(INDEX(Reference!$B$6:$B$11,MIN(5,MATCH(MAX(Reference!$A$6,MIN(Reference!$A$11,MIN($U54,120))),Reference!$A$6:$A$11,1))+1)-INDEX(Reference!$B$6:$B$11,MIN(5,MATCH(MAX(Reference!$A$6,MIN(Reference!$A$11,MIN($U54,120))),Reference!$A$6:$A$11,1))))/(INDEX(Reference!$A$6:$A$11,MIN(5,MATCH(MAX(Reference!$A$6,MIN(Reference!$A$11,MIN($U54,120))),Reference!$A$6:$A$11,1))+1)-INDEX(Reference!$A$6:$A$11,MIN(5,MATCH(MAX(Reference!$A$6,MIN(Reference!$A$11,MIN($U54,120))),Reference!$A$6:$A$11,1))))),0)+IF(3&lt;=$AL54,($AL54-3+3)*(INDEX(Reference!$B$6:$B$11,MIN(5,MATCH(MAX(Reference!$A$6,MIN(Reference!$A$11,MIN($U54,150))),Reference!$A$6:$A$11,1)))+(MAX(Reference!$A$6,MIN(Reference!$A$11,MIN($U54,150)))-INDEX(Reference!$A$6:$A$11,MIN(5,MATCH(MAX(Reference!$A$6,MIN(Reference!$A$11,MIN($U54,150))),Reference!$A$6:$A$11,1))))*(INDEX(Reference!$B$6:$B$11,MIN(5,MATCH(MAX(Reference!$A$6,MIN(Reference!$A$11,MIN($U54,150))),Reference!$A$6:$A$11,1))+1)-INDEX(Reference!$B$6:$B$11,MIN(5,MATCH(MAX(Reference!$A$6,MIN(Reference!$A$11,MIN($U54,150))),Reference!$A$6:$A$11,1))))/(INDEX(Reference!$A$6:$A$11,MIN(5,MATCH(MAX(Reference!$A$6,MIN(Reference!$A$11,MIN($U54,150))),Reference!$A$6:$A$11,1))+1)-INDEX(Reference!$A$6:$A$11,MIN(5,MATCH(MAX(Reference!$A$6,MIN(Reference!$A$11,MIN($U54,150))),Reference!$A$6:$A$11,1))))),0)+IF(4&lt;=$AL54,($AL54-4+3)*(INDEX(Reference!$B$6:$B$11,MIN(5,MATCH(MAX(Reference!$A$6,MIN(Reference!$A$11,MIN($U54,180))),Reference!$A$6:$A$11,1)))+(MAX(Reference!$A$6,MIN(Reference!$A$11,MIN($U54,180)))-INDEX(Reference!$A$6:$A$11,MIN(5,MATCH(MAX(Reference!$A$6,MIN(Reference!$A$11,MIN($U54,180))),Reference!$A$6:$A$11,1))))*(INDEX(Reference!$B$6:$B$11,MIN(5,MATCH(MAX(Reference!$A$6,MIN(Reference!$A$11,MIN($U54,180))),Reference!$A$6:$A$11,1))+1)-INDEX(Reference!$B$6:$B$11,MIN(5,MATCH(MAX(Reference!$A$6,MIN(Reference!$A$11,MIN($U54,180))),Reference!$A$6:$A$11,1))))/(INDEX(Reference!$A$6:$A$11,MIN(5,MATCH(MAX(Reference!$A$6,MIN(Reference!$A$11,MIN($U54,180))),Reference!$A$6:$A$11,1))+1)-INDEX(Reference!$A$6:$A$11,MIN(5,MATCH(MAX(Reference!$A$6,MIN(Reference!$A$11,MIN($U54,180))),Reference!$A$6:$A$11,1))))),0)+IF(5&lt;=$AL54,($AL54-5+3)*(INDEX(Reference!$B$6:$B$11,MIN(5,MATCH(MAX(Reference!$A$6,MIN(Reference!$A$11,MIN($U54,210))),Reference!$A$6:$A$11,1)))+(MAX(Reference!$A$6,MIN(Reference!$A$11,MIN($U54,210)))-INDEX(Reference!$A$6:$A$11,MIN(5,MATCH(MAX(Reference!$A$6,MIN(Reference!$A$11,MIN($U54,210))),Reference!$A$6:$A$11,1))))*(INDEX(Reference!$B$6:$B$11,MIN(5,MATCH(MAX(Reference!$A$6,MIN(Reference!$A$11,MIN($U54,210))),Reference!$A$6:$A$11,1))+1)-INDEX(Reference!$B$6:$B$11,MIN(5,MATCH(MAX(Reference!$A$6,MIN(Reference!$A$11,MIN($U54,210))),Reference!$A$6:$A$11,1))))/(INDEX(Reference!$A$6:$A$11,MIN(5,MATCH(MAX(Reference!$A$6,MIN(Reference!$A$11,MIN($U54,210))),Reference!$A$6:$A$11,1))+1)-INDEX(Reference!$A$6:$A$11,MIN(5,MATCH(MAX(Reference!$A$6,MIN(Reference!$A$11,MIN($U54,210))),Reference!$A$6:$A$11,1))))),0)+IF(6&lt;=$AL54,($AL54-6+3)*(INDEX(Reference!$B$6:$B$11,MIN(5,MATCH(MAX(Reference!$A$6,MIN(Reference!$A$11,MIN($U54,240))),Reference!$A$6:$A$11,1)))+(MAX(Reference!$A$6,MIN(Reference!$A$11,MIN($U54,240)))-INDEX(Reference!$A$6:$A$11,MIN(5,MATCH(MAX(Reference!$A$6,MIN(Reference!$A$11,MIN($U54,240))),Reference!$A$6:$A$11,1))))*(INDEX(Reference!$B$6:$B$11,MIN(5,MATCH(MAX(Reference!$A$6,MIN(Reference!$A$11,MIN($U54,240))),Reference!$A$6:$A$11,1))+1)-INDEX(Reference!$B$6:$B$11,MIN(5,MATCH(MAX(Reference!$A$6,MIN(Reference!$A$11,MIN($U54,240))),Reference!$A$6:$A$11,1))))/(INDEX(Reference!$A$6:$A$11,MIN(5,MATCH(MAX(Reference!$A$6,MIN(Reference!$A$11,MIN($U54,240))),Reference!$A$6:$A$11,1))+1)-INDEX(Reference!$A$6:$A$11,MIN(5,MATCH(MAX(Reference!$A$6,MIN(Reference!$A$11,MIN($U54,240))),Reference!$A$6:$A$11,1))))),0)+IF(7&lt;=$AL54,($AL54-7+3)*(INDEX(Reference!$B$6:$B$11,MIN(5,MATCH(MAX(Reference!$A$6,MIN(Reference!$A$11,MIN($U54,270))),Reference!$A$6:$A$11,1)))+(MAX(Reference!$A$6,MIN(Reference!$A$11,MIN($U54,270)))-INDEX(Reference!$A$6:$A$11,MIN(5,MATCH(MAX(Reference!$A$6,MIN(Reference!$A$11,MIN($U54,270))),Reference!$A$6:$A$11,1))))*(INDEX(Reference!$B$6:$B$11,MIN(5,MATCH(MAX(Reference!$A$6,MIN(Reference!$A$11,MIN($U54,270))),Reference!$A$6:$A$11,1))+1)-INDEX(Reference!$B$6:$B$11,MIN(5,MATCH(MAX(Reference!$A$6,MIN(Reference!$A$11,MIN($U54,270))),Reference!$A$6:$A$11,1))))/(INDEX(Reference!$A$6:$A$11,MIN(5,MATCH(MAX(Reference!$A$6,MIN(Reference!$A$11,MIN($U54,270))),Reference!$A$6:$A$11,1))+1)-INDEX(Reference!$A$6:$A$11,MIN(5,MATCH(MAX(Reference!$A$6,MIN(Reference!$A$11,MIN($U54,270))),Reference!$A$6:$A$11,1))))),0)+IF(8&lt;=$AL54,($AL54-8+3)*(INDEX(Reference!$B$6:$B$11,MIN(5,MATCH(MAX(Reference!$A$6,MIN(Reference!$A$11,MIN($U54,300))),Reference!$A$6:$A$11,1)))+(MAX(Reference!$A$6,MIN(Reference!$A$11,MIN($U54,300)))-INDEX(Reference!$A$6:$A$11,MIN(5,MATCH(MAX(Reference!$A$6,MIN(Reference!$A$11,MIN($U54,300))),Reference!$A$6:$A$11,1))))*(INDEX(Reference!$B$6:$B$11,MIN(5,MATCH(MAX(Reference!$A$6,MIN(Reference!$A$11,MIN($U54,300))),Reference!$A$6:$A$11,1))+1)-INDEX(Reference!$B$6:$B$11,MIN(5,MATCH(MAX(Reference!$A$6,MIN(Reference!$A$11,MIN($U54,300))),Reference!$A$6:$A$11,1))))/(INDEX(Reference!$A$6:$A$11,MIN(5,MATCH(MAX(Reference!$A$6,MIN(Reference!$A$11,MIN($U54,300))),Reference!$A$6:$A$11,1))+1)-INDEX(Reference!$A$6:$A$11,MIN(5,MATCH(MAX(Reference!$A$6,MIN(Reference!$A$11,MIN($U54,300))),Reference!$A$6:$A$11,1))))),0))/($AL54*($AL54+5)/2)),$AN54))</f>
        <v>1</v>
      </c>
      <c r="AN54" s="32">
        <f>IF($U54="",0,(INDEX(Reference!$B$6:$B$11,MIN(5,MATCH(MAX(Reference!$A$6,MIN(Reference!$A$11,$U54)),Reference!$A$6:$A$11,1)))+(MAX(Reference!$A$6,MIN(Reference!$A$11,$U54))-INDEX(Reference!$A$6:$A$11,MIN(5,MATCH(MAX(Reference!$A$6,MIN(Reference!$A$11,$U54)),Reference!$A$6:$A$11,1))))*(INDEX(Reference!$B$6:$B$11,MIN(5,MATCH(MAX(Reference!$A$6,MIN(Reference!$A$11,$U54)),Reference!$A$6:$A$11,1))+1)-INDEX(Reference!$B$6:$B$11,MIN(5,MATCH(MAX(Reference!$A$6,MIN(Reference!$A$11,$U54)),Reference!$A$6:$A$11,1))))/(INDEX(Reference!$A$6:$A$11,MIN(5,MATCH(MAX(Reference!$A$6,MIN(Reference!$A$11,$U54)),Reference!$A$6:$A$11,1))+1)-INDEX(Reference!$A$6:$A$11,MIN(5,MATCH(MAX(Reference!$A$6,MIN(Reference!$A$11,$U54)),Reference!$A$6:$A$11,1))))))</f>
        <v>1</v>
      </c>
      <c r="AO54" s="37"/>
      <c r="AP54" s="37"/>
      <c r="AQ54" s="37"/>
    </row>
    <row r="55" spans="1:43" x14ac:dyDescent="0.3">
      <c r="A55" s="48">
        <f t="shared" si="5"/>
        <v>46319</v>
      </c>
      <c r="B55" s="32" t="str">
        <f t="shared" si="6"/>
        <v>Sat</v>
      </c>
      <c r="C55" s="32">
        <f t="shared" si="7"/>
        <v>72</v>
      </c>
      <c r="D55" s="32" t="str">
        <f t="shared" si="8"/>
        <v>Re-entry</v>
      </c>
      <c r="E55" s="32" t="str">
        <f t="shared" si="9"/>
        <v>Medium</v>
      </c>
      <c r="F55" s="32" t="str">
        <f t="shared" si="10"/>
        <v>Long Toss</v>
      </c>
      <c r="G55" s="47" t="str">
        <f t="shared" si="11"/>
        <v>90 ft × 30 @ 69–73 mph</v>
      </c>
      <c r="H55" s="30">
        <f t="shared" si="12"/>
        <v>23.400000000000002</v>
      </c>
      <c r="I55" s="46" t="str">
        <f>IF($A55="","",IF(AND($L55&lt;27,$K$12=0),"Building",IFERROR(((SUM($H$49:$H55)+$K$12*IF($L55&lt;6,SUMIFS('Throw Log'!$Q$5:$Q$300,'Throw Log'!$B$5:$B$300,$D$4,'Throw Log'!$A$5:$A$300,"&gt;="&amp;($D$6+$L55-6),'Throw Log'!$A$5:$A$300,"&lt;="&amp;($D$6-1)),0))/7)/((SUM($H$43:$H55)+$K$12*IF($L55&lt;27,SUMIFS('Throw Log'!$Q$5:$Q$300,'Throw Log'!$B$5:$B$300,$D$4,'Throw Log'!$A$5:$A$300,"&gt;="&amp;($D$6+$L55-27),'Throw Log'!$A$5:$A$300,"&lt;="&amp;($D$6-1)),0))/28),"")))</f>
        <v>Building</v>
      </c>
      <c r="J55" s="37"/>
      <c r="K55" s="37">
        <v>30</v>
      </c>
      <c r="L55" s="32">
        <v>12</v>
      </c>
      <c r="M55" s="32">
        <f t="shared" si="13"/>
        <v>2</v>
      </c>
      <c r="N55" s="32">
        <f t="shared" si="14"/>
        <v>5</v>
      </c>
      <c r="O55" s="32">
        <f t="shared" si="15"/>
        <v>0.15789473684210525</v>
      </c>
      <c r="P55" s="32">
        <f>IF(OR($A55="",N($C55)&lt;=7),"",$G$6*$G$9^($M55-1)*IF(AND(MOD($M55,Reference!$B$99)=0,$M55&lt;=$G$5-2),Reference!$B$100,1))</f>
        <v>90.007422064022563</v>
      </c>
      <c r="Q55" s="32">
        <f>IF($P55="","",IF(SUM($AK$50:$AK$56)=0,0,$P55*INDEX(Reference!$B$108:$B$114,$N55+1)/SUM($AK$50:$AK$56)))</f>
        <v>24.302003957286093</v>
      </c>
      <c r="R55" s="32">
        <f t="shared" si="16"/>
        <v>90</v>
      </c>
      <c r="S55" s="32">
        <f t="shared" si="17"/>
        <v>90</v>
      </c>
      <c r="T55" s="32" t="str">
        <f>IF($A55="","",IF($C55=0,"Bullpen",IF(OR($C55=7,$C55=1,$C55=5),"Recovery/Easy Catch",IF($C55=6,"Compression/Pulldowns",IF(OR($C55=4,$C55=2),"Long Toss",IF($C55=3,"No Throw",IF($N55=2,"No Throw",IF($N55=6,IF($O55&lt;Reference!$B$104,"No Throw","Recovery/Easy Catch"),IF(OR($N55=0,$N55=4),"Recovery/Easy Catch",IF($N55=1,IF($R55&gt;75,"Long Toss","Recovery/Easy Catch"),IF($N55=3,IF($O55&lt;0.5,IF($S55&gt;75,"Long Toss","Recovery/Easy Catch"),"Compression/Pulldowns"),IF($S55&gt;75,"Long Toss","Recovery/Easy Catch"))))))))))))</f>
        <v>Long Toss</v>
      </c>
      <c r="U55" s="32">
        <f t="shared" si="18"/>
        <v>90</v>
      </c>
      <c r="V55" s="32">
        <f t="shared" si="19"/>
        <v>18</v>
      </c>
      <c r="W55" s="32">
        <f t="shared" si="20"/>
        <v>22</v>
      </c>
      <c r="X55" s="32">
        <f t="shared" si="21"/>
        <v>0</v>
      </c>
      <c r="Y55" s="32" t="str">
        <f t="shared" si="22"/>
        <v/>
      </c>
      <c r="Z55" s="32" t="str">
        <f t="shared" si="23"/>
        <v/>
      </c>
      <c r="AA55" s="32" t="str">
        <f t="shared" si="24"/>
        <v/>
      </c>
      <c r="AB55" s="32">
        <f>IF($A55="","",IF($T55="No Throw",0,IF($K55&lt;&gt;"",$K55,IF($AA55&lt;&gt;"",ROUND($AA55*$D$12*IF($C55=0,1,$G$10),0),MIN(IF($T55="Recovery/Easy Catch",Reference!$B$103,IF($T55="Long Toss",Reference!$B$106,Reference!$B$102)),MAX(Reference!$B$101,ROUND(MAX(0,$Q55-$AE55)/$AF55,0)))))))</f>
        <v>30</v>
      </c>
      <c r="AC55" s="32">
        <f t="shared" si="25"/>
        <v>0</v>
      </c>
      <c r="AD55" s="32" t="b">
        <f t="shared" si="26"/>
        <v>0</v>
      </c>
      <c r="AE55" s="32">
        <f>IF($X55=0,0,$X55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55+$Z55)/2,0),Reference!$A$17:$B$20,2,TRUE()))</f>
        <v>0</v>
      </c>
      <c r="AF55" s="32">
        <f>IF(OR($A55="",$U55="",$T55="No Throw"),0,$AM55*VLOOKUP(MAX(($V55+$W55)/2,0),Reference!$A$17:$B$20,2,TRUE()))</f>
        <v>0.78</v>
      </c>
      <c r="AG55" s="32">
        <f>IF($AC55=0,0,$AC55*INDEX(Reference!$B$61:$B$62,MATCH("Bullpen",Reference!$A$61:$A$62,0))*VLOOKUP(MAX($D$5-($D$9+$E$9)/2,0),Reference!$A$17:$B$20,2,TRUE()))</f>
        <v>0</v>
      </c>
      <c r="AH55" s="32" t="e">
        <f t="shared" si="27"/>
        <v>#N/A</v>
      </c>
      <c r="AI55" s="32">
        <f>IF($A55="",NA(),Reference!$A$25)</f>
        <v>0.8</v>
      </c>
      <c r="AJ55" s="32">
        <f t="shared" si="28"/>
        <v>1.3</v>
      </c>
      <c r="AK55" s="56">
        <f>IF(OR($A55="",N($C55)&lt;=7,$T55="No Throw",$J55="x"),0,INDEX(Reference!$B$108:$B$114,$N55+1))</f>
        <v>0.27</v>
      </c>
      <c r="AL55" s="32">
        <f t="shared" si="29"/>
        <v>1</v>
      </c>
      <c r="AM55" s="32">
        <f>IF($U55="",0,IF($AL55&gt;1,((IF(1&lt;=$AL55,($AL55-1+3)*(INDEX(Reference!$B$6:$B$11,MIN(5,MATCH(MAX(Reference!$A$6,MIN(Reference!$A$11,MIN($U55,90))),Reference!$A$6:$A$11,1)))+(MAX(Reference!$A$6,MIN(Reference!$A$11,MIN($U55,90)))-INDEX(Reference!$A$6:$A$11,MIN(5,MATCH(MAX(Reference!$A$6,MIN(Reference!$A$11,MIN($U55,90))),Reference!$A$6:$A$11,1))))*(INDEX(Reference!$B$6:$B$11,MIN(5,MATCH(MAX(Reference!$A$6,MIN(Reference!$A$11,MIN($U55,90))),Reference!$A$6:$A$11,1))+1)-INDEX(Reference!$B$6:$B$11,MIN(5,MATCH(MAX(Reference!$A$6,MIN(Reference!$A$11,MIN($U55,90))),Reference!$A$6:$A$11,1))))/(INDEX(Reference!$A$6:$A$11,MIN(5,MATCH(MAX(Reference!$A$6,MIN(Reference!$A$11,MIN($U55,90))),Reference!$A$6:$A$11,1))+1)-INDEX(Reference!$A$6:$A$11,MIN(5,MATCH(MAX(Reference!$A$6,MIN(Reference!$A$11,MIN($U55,90))),Reference!$A$6:$A$11,1))))),0)+IF(2&lt;=$AL55,($AL55-2+3)*(INDEX(Reference!$B$6:$B$11,MIN(5,MATCH(MAX(Reference!$A$6,MIN(Reference!$A$11,MIN($U55,120))),Reference!$A$6:$A$11,1)))+(MAX(Reference!$A$6,MIN(Reference!$A$11,MIN($U55,120)))-INDEX(Reference!$A$6:$A$11,MIN(5,MATCH(MAX(Reference!$A$6,MIN(Reference!$A$11,MIN($U55,120))),Reference!$A$6:$A$11,1))))*(INDEX(Reference!$B$6:$B$11,MIN(5,MATCH(MAX(Reference!$A$6,MIN(Reference!$A$11,MIN($U55,120))),Reference!$A$6:$A$11,1))+1)-INDEX(Reference!$B$6:$B$11,MIN(5,MATCH(MAX(Reference!$A$6,MIN(Reference!$A$11,MIN($U55,120))),Reference!$A$6:$A$11,1))))/(INDEX(Reference!$A$6:$A$11,MIN(5,MATCH(MAX(Reference!$A$6,MIN(Reference!$A$11,MIN($U55,120))),Reference!$A$6:$A$11,1))+1)-INDEX(Reference!$A$6:$A$11,MIN(5,MATCH(MAX(Reference!$A$6,MIN(Reference!$A$11,MIN($U55,120))),Reference!$A$6:$A$11,1))))),0)+IF(3&lt;=$AL55,($AL55-3+3)*(INDEX(Reference!$B$6:$B$11,MIN(5,MATCH(MAX(Reference!$A$6,MIN(Reference!$A$11,MIN($U55,150))),Reference!$A$6:$A$11,1)))+(MAX(Reference!$A$6,MIN(Reference!$A$11,MIN($U55,150)))-INDEX(Reference!$A$6:$A$11,MIN(5,MATCH(MAX(Reference!$A$6,MIN(Reference!$A$11,MIN($U55,150))),Reference!$A$6:$A$11,1))))*(INDEX(Reference!$B$6:$B$11,MIN(5,MATCH(MAX(Reference!$A$6,MIN(Reference!$A$11,MIN($U55,150))),Reference!$A$6:$A$11,1))+1)-INDEX(Reference!$B$6:$B$11,MIN(5,MATCH(MAX(Reference!$A$6,MIN(Reference!$A$11,MIN($U55,150))),Reference!$A$6:$A$11,1))))/(INDEX(Reference!$A$6:$A$11,MIN(5,MATCH(MAX(Reference!$A$6,MIN(Reference!$A$11,MIN($U55,150))),Reference!$A$6:$A$11,1))+1)-INDEX(Reference!$A$6:$A$11,MIN(5,MATCH(MAX(Reference!$A$6,MIN(Reference!$A$11,MIN($U55,150))),Reference!$A$6:$A$11,1))))),0)+IF(4&lt;=$AL55,($AL55-4+3)*(INDEX(Reference!$B$6:$B$11,MIN(5,MATCH(MAX(Reference!$A$6,MIN(Reference!$A$11,MIN($U55,180))),Reference!$A$6:$A$11,1)))+(MAX(Reference!$A$6,MIN(Reference!$A$11,MIN($U55,180)))-INDEX(Reference!$A$6:$A$11,MIN(5,MATCH(MAX(Reference!$A$6,MIN(Reference!$A$11,MIN($U55,180))),Reference!$A$6:$A$11,1))))*(INDEX(Reference!$B$6:$B$11,MIN(5,MATCH(MAX(Reference!$A$6,MIN(Reference!$A$11,MIN($U55,180))),Reference!$A$6:$A$11,1))+1)-INDEX(Reference!$B$6:$B$11,MIN(5,MATCH(MAX(Reference!$A$6,MIN(Reference!$A$11,MIN($U55,180))),Reference!$A$6:$A$11,1))))/(INDEX(Reference!$A$6:$A$11,MIN(5,MATCH(MAX(Reference!$A$6,MIN(Reference!$A$11,MIN($U55,180))),Reference!$A$6:$A$11,1))+1)-INDEX(Reference!$A$6:$A$11,MIN(5,MATCH(MAX(Reference!$A$6,MIN(Reference!$A$11,MIN($U55,180))),Reference!$A$6:$A$11,1))))),0)+IF(5&lt;=$AL55,($AL55-5+3)*(INDEX(Reference!$B$6:$B$11,MIN(5,MATCH(MAX(Reference!$A$6,MIN(Reference!$A$11,MIN($U55,210))),Reference!$A$6:$A$11,1)))+(MAX(Reference!$A$6,MIN(Reference!$A$11,MIN($U55,210)))-INDEX(Reference!$A$6:$A$11,MIN(5,MATCH(MAX(Reference!$A$6,MIN(Reference!$A$11,MIN($U55,210))),Reference!$A$6:$A$11,1))))*(INDEX(Reference!$B$6:$B$11,MIN(5,MATCH(MAX(Reference!$A$6,MIN(Reference!$A$11,MIN($U55,210))),Reference!$A$6:$A$11,1))+1)-INDEX(Reference!$B$6:$B$11,MIN(5,MATCH(MAX(Reference!$A$6,MIN(Reference!$A$11,MIN($U55,210))),Reference!$A$6:$A$11,1))))/(INDEX(Reference!$A$6:$A$11,MIN(5,MATCH(MAX(Reference!$A$6,MIN(Reference!$A$11,MIN($U55,210))),Reference!$A$6:$A$11,1))+1)-INDEX(Reference!$A$6:$A$11,MIN(5,MATCH(MAX(Reference!$A$6,MIN(Reference!$A$11,MIN($U55,210))),Reference!$A$6:$A$11,1))))),0)+IF(6&lt;=$AL55,($AL55-6+3)*(INDEX(Reference!$B$6:$B$11,MIN(5,MATCH(MAX(Reference!$A$6,MIN(Reference!$A$11,MIN($U55,240))),Reference!$A$6:$A$11,1)))+(MAX(Reference!$A$6,MIN(Reference!$A$11,MIN($U55,240)))-INDEX(Reference!$A$6:$A$11,MIN(5,MATCH(MAX(Reference!$A$6,MIN(Reference!$A$11,MIN($U55,240))),Reference!$A$6:$A$11,1))))*(INDEX(Reference!$B$6:$B$11,MIN(5,MATCH(MAX(Reference!$A$6,MIN(Reference!$A$11,MIN($U55,240))),Reference!$A$6:$A$11,1))+1)-INDEX(Reference!$B$6:$B$11,MIN(5,MATCH(MAX(Reference!$A$6,MIN(Reference!$A$11,MIN($U55,240))),Reference!$A$6:$A$11,1))))/(INDEX(Reference!$A$6:$A$11,MIN(5,MATCH(MAX(Reference!$A$6,MIN(Reference!$A$11,MIN($U55,240))),Reference!$A$6:$A$11,1))+1)-INDEX(Reference!$A$6:$A$11,MIN(5,MATCH(MAX(Reference!$A$6,MIN(Reference!$A$11,MIN($U55,240))),Reference!$A$6:$A$11,1))))),0)+IF(7&lt;=$AL55,($AL55-7+3)*(INDEX(Reference!$B$6:$B$11,MIN(5,MATCH(MAX(Reference!$A$6,MIN(Reference!$A$11,MIN($U55,270))),Reference!$A$6:$A$11,1)))+(MAX(Reference!$A$6,MIN(Reference!$A$11,MIN($U55,270)))-INDEX(Reference!$A$6:$A$11,MIN(5,MATCH(MAX(Reference!$A$6,MIN(Reference!$A$11,MIN($U55,270))),Reference!$A$6:$A$11,1))))*(INDEX(Reference!$B$6:$B$11,MIN(5,MATCH(MAX(Reference!$A$6,MIN(Reference!$A$11,MIN($U55,270))),Reference!$A$6:$A$11,1))+1)-INDEX(Reference!$B$6:$B$11,MIN(5,MATCH(MAX(Reference!$A$6,MIN(Reference!$A$11,MIN($U55,270))),Reference!$A$6:$A$11,1))))/(INDEX(Reference!$A$6:$A$11,MIN(5,MATCH(MAX(Reference!$A$6,MIN(Reference!$A$11,MIN($U55,270))),Reference!$A$6:$A$11,1))+1)-INDEX(Reference!$A$6:$A$11,MIN(5,MATCH(MAX(Reference!$A$6,MIN(Reference!$A$11,MIN($U55,270))),Reference!$A$6:$A$11,1))))),0)+IF(8&lt;=$AL55,($AL55-8+3)*(INDEX(Reference!$B$6:$B$11,MIN(5,MATCH(MAX(Reference!$A$6,MIN(Reference!$A$11,MIN($U55,300))),Reference!$A$6:$A$11,1)))+(MAX(Reference!$A$6,MIN(Reference!$A$11,MIN($U55,300)))-INDEX(Reference!$A$6:$A$11,MIN(5,MATCH(MAX(Reference!$A$6,MIN(Reference!$A$11,MIN($U55,300))),Reference!$A$6:$A$11,1))))*(INDEX(Reference!$B$6:$B$11,MIN(5,MATCH(MAX(Reference!$A$6,MIN(Reference!$A$11,MIN($U55,300))),Reference!$A$6:$A$11,1))+1)-INDEX(Reference!$B$6:$B$11,MIN(5,MATCH(MAX(Reference!$A$6,MIN(Reference!$A$11,MIN($U55,300))),Reference!$A$6:$A$11,1))))/(INDEX(Reference!$A$6:$A$11,MIN(5,MATCH(MAX(Reference!$A$6,MIN(Reference!$A$11,MIN($U55,300))),Reference!$A$6:$A$11,1))+1)-INDEX(Reference!$A$6:$A$11,MIN(5,MATCH(MAX(Reference!$A$6,MIN(Reference!$A$11,MIN($U55,300))),Reference!$A$6:$A$11,1))))),0))/($AL55*($AL55+5)/2)),$AN55))</f>
        <v>1.3</v>
      </c>
      <c r="AN55" s="32">
        <f>IF($U55="",0,(INDEX(Reference!$B$6:$B$11,MIN(5,MATCH(MAX(Reference!$A$6,MIN(Reference!$A$11,$U55)),Reference!$A$6:$A$11,1)))+(MAX(Reference!$A$6,MIN(Reference!$A$11,$U55))-INDEX(Reference!$A$6:$A$11,MIN(5,MATCH(MAX(Reference!$A$6,MIN(Reference!$A$11,$U55)),Reference!$A$6:$A$11,1))))*(INDEX(Reference!$B$6:$B$11,MIN(5,MATCH(MAX(Reference!$A$6,MIN(Reference!$A$11,$U55)),Reference!$A$6:$A$11,1))+1)-INDEX(Reference!$B$6:$B$11,MIN(5,MATCH(MAX(Reference!$A$6,MIN(Reference!$A$11,$U55)),Reference!$A$6:$A$11,1))))/(INDEX(Reference!$A$6:$A$11,MIN(5,MATCH(MAX(Reference!$A$6,MIN(Reference!$A$11,$U55)),Reference!$A$6:$A$11,1))+1)-INDEX(Reference!$A$6:$A$11,MIN(5,MATCH(MAX(Reference!$A$6,MIN(Reference!$A$11,$U55)),Reference!$A$6:$A$11,1))))))</f>
        <v>1.3</v>
      </c>
      <c r="AO55" s="37"/>
      <c r="AP55" s="37"/>
      <c r="AQ55" s="37"/>
    </row>
    <row r="56" spans="1:43" x14ac:dyDescent="0.3">
      <c r="A56" s="48">
        <f t="shared" si="5"/>
        <v>46320</v>
      </c>
      <c r="B56" s="32" t="str">
        <f t="shared" si="6"/>
        <v>Sun</v>
      </c>
      <c r="C56" s="32">
        <f t="shared" si="7"/>
        <v>71</v>
      </c>
      <c r="D56" s="32" t="str">
        <f t="shared" si="8"/>
        <v>Re-entry</v>
      </c>
      <c r="E56" s="32" t="str">
        <f t="shared" si="9"/>
        <v>No Throw</v>
      </c>
      <c r="F56" s="32" t="str">
        <f t="shared" si="10"/>
        <v>No Throw</v>
      </c>
      <c r="G56" s="47" t="str">
        <f t="shared" si="11"/>
        <v>Off</v>
      </c>
      <c r="H56" s="30">
        <f t="shared" si="12"/>
        <v>0</v>
      </c>
      <c r="I56" s="46" t="str">
        <f>IF($A56="","",IF(AND($L56&lt;27,$K$12=0),"Building",IFERROR(((SUM($H$50:$H56)+$K$12*IF($L56&lt;6,SUMIFS('Throw Log'!$Q$5:$Q$300,'Throw Log'!$B$5:$B$300,$D$4,'Throw Log'!$A$5:$A$300,"&gt;="&amp;($D$6+$L56-6),'Throw Log'!$A$5:$A$300,"&lt;="&amp;($D$6-1)),0))/7)/((SUM($H$43:$H56)+$K$12*IF($L56&lt;27,SUMIFS('Throw Log'!$Q$5:$Q$300,'Throw Log'!$B$5:$B$300,$D$4,'Throw Log'!$A$5:$A$300,"&gt;="&amp;($D$6+$L56-27),'Throw Log'!$A$5:$A$300,"&lt;="&amp;($D$6-1)),0))/28),"")))</f>
        <v>Building</v>
      </c>
      <c r="J56" s="37"/>
      <c r="K56" s="37"/>
      <c r="L56" s="32">
        <v>13</v>
      </c>
      <c r="M56" s="32">
        <f t="shared" si="13"/>
        <v>2</v>
      </c>
      <c r="N56" s="32">
        <f t="shared" si="14"/>
        <v>6</v>
      </c>
      <c r="O56" s="32">
        <f t="shared" si="15"/>
        <v>0.17105263157894737</v>
      </c>
      <c r="P56" s="32">
        <f>IF(OR($A56="",N($C56)&lt;=7),"",$G$6*$G$9^($M56-1)*IF(AND(MOD($M56,Reference!$B$99)=0,$M56&lt;=$G$5-2),Reference!$B$100,1))</f>
        <v>90.007422064022563</v>
      </c>
      <c r="Q56" s="32">
        <f>IF($P56="","",IF(SUM($AK$50:$AK$56)=0,0,$P56*INDEX(Reference!$B$108:$B$114,$N56+1)/SUM($AK$50:$AK$56)))</f>
        <v>6.3005195444815802</v>
      </c>
      <c r="R56" s="32">
        <f t="shared" si="16"/>
        <v>90</v>
      </c>
      <c r="S56" s="32">
        <f t="shared" si="17"/>
        <v>90</v>
      </c>
      <c r="T56" s="32" t="str">
        <f>IF($A56="","",IF($C56=0,"Bullpen",IF(OR($C56=7,$C56=1,$C56=5),"Recovery/Easy Catch",IF($C56=6,"Compression/Pulldowns",IF(OR($C56=4,$C56=2),"Long Toss",IF($C56=3,"No Throw",IF($N56=2,"No Throw",IF($N56=6,IF($O56&lt;Reference!$B$104,"No Throw","Recovery/Easy Catch"),IF(OR($N56=0,$N56=4),"Recovery/Easy Catch",IF($N56=1,IF($R56&gt;75,"Long Toss","Recovery/Easy Catch"),IF($N56=3,IF($O56&lt;0.5,IF($S56&gt;75,"Long Toss","Recovery/Easy Catch"),"Compression/Pulldowns"),IF($S56&gt;75,"Long Toss","Recovery/Easy Catch"))))))))))))</f>
        <v>No Throw</v>
      </c>
      <c r="U56" s="32">
        <f t="shared" si="18"/>
        <v>60</v>
      </c>
      <c r="V56" s="32">
        <f t="shared" si="19"/>
        <v>20</v>
      </c>
      <c r="W56" s="32">
        <f t="shared" si="20"/>
        <v>24</v>
      </c>
      <c r="X56" s="32">
        <f t="shared" si="21"/>
        <v>0</v>
      </c>
      <c r="Y56" s="32" t="str">
        <f t="shared" si="22"/>
        <v/>
      </c>
      <c r="Z56" s="32" t="str">
        <f t="shared" si="23"/>
        <v/>
      </c>
      <c r="AA56" s="32" t="str">
        <f t="shared" si="24"/>
        <v/>
      </c>
      <c r="AB56" s="32">
        <f>IF($A56="","",IF($T56="No Throw",0,IF($K56&lt;&gt;"",$K56,IF($AA56&lt;&gt;"",ROUND($AA56*$D$12*IF($C56=0,1,$G$10),0),MIN(IF($T56="Recovery/Easy Catch",Reference!$B$103,IF($T56="Long Toss",Reference!$B$106,Reference!$B$102)),MAX(Reference!$B$101,ROUND(MAX(0,$Q56-$AE56)/$AF56,0)))))))</f>
        <v>0</v>
      </c>
      <c r="AC56" s="32">
        <f t="shared" si="25"/>
        <v>0</v>
      </c>
      <c r="AD56" s="32" t="b">
        <f t="shared" si="26"/>
        <v>1</v>
      </c>
      <c r="AE56" s="32">
        <f>IF($X56=0,0,$X56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56+$Z56)/2,0),Reference!$A$17:$B$20,2,TRUE()))</f>
        <v>0</v>
      </c>
      <c r="AF56" s="32">
        <f>IF(OR($A56="",$U56="",$T56="No Throw"),0,$AM56*VLOOKUP(MAX(($V56+$W56)/2,0),Reference!$A$17:$B$20,2,TRUE()))</f>
        <v>0</v>
      </c>
      <c r="AG56" s="32">
        <f>IF($AC56=0,0,$AC56*INDEX(Reference!$B$61:$B$62,MATCH("Bullpen",Reference!$A$61:$A$62,0))*VLOOKUP(MAX($D$5-($D$9+$E$9)/2,0),Reference!$A$17:$B$20,2,TRUE()))</f>
        <v>0</v>
      </c>
      <c r="AH56" s="32" t="e">
        <f t="shared" si="27"/>
        <v>#N/A</v>
      </c>
      <c r="AI56" s="32">
        <f>IF($A56="",NA(),Reference!$A$25)</f>
        <v>0.8</v>
      </c>
      <c r="AJ56" s="32">
        <f t="shared" si="28"/>
        <v>1.3</v>
      </c>
      <c r="AK56" s="32">
        <f>IF(OR($A56="",N($C56)&lt;=7,$T56="No Throw",$J56="x"),0,INDEX(Reference!$B$108:$B$114,$N56+1))</f>
        <v>0</v>
      </c>
      <c r="AL56" s="32">
        <f t="shared" si="29"/>
        <v>1</v>
      </c>
      <c r="AM56" s="32">
        <f>IF($U56="",0,IF($AL56&gt;1,((IF(1&lt;=$AL56,($AL56-1+3)*(INDEX(Reference!$B$6:$B$11,MIN(5,MATCH(MAX(Reference!$A$6,MIN(Reference!$A$11,MIN($U56,90))),Reference!$A$6:$A$11,1)))+(MAX(Reference!$A$6,MIN(Reference!$A$11,MIN($U56,90)))-INDEX(Reference!$A$6:$A$11,MIN(5,MATCH(MAX(Reference!$A$6,MIN(Reference!$A$11,MIN($U56,90))),Reference!$A$6:$A$11,1))))*(INDEX(Reference!$B$6:$B$11,MIN(5,MATCH(MAX(Reference!$A$6,MIN(Reference!$A$11,MIN($U56,90))),Reference!$A$6:$A$11,1))+1)-INDEX(Reference!$B$6:$B$11,MIN(5,MATCH(MAX(Reference!$A$6,MIN(Reference!$A$11,MIN($U56,90))),Reference!$A$6:$A$11,1))))/(INDEX(Reference!$A$6:$A$11,MIN(5,MATCH(MAX(Reference!$A$6,MIN(Reference!$A$11,MIN($U56,90))),Reference!$A$6:$A$11,1))+1)-INDEX(Reference!$A$6:$A$11,MIN(5,MATCH(MAX(Reference!$A$6,MIN(Reference!$A$11,MIN($U56,90))),Reference!$A$6:$A$11,1))))),0)+IF(2&lt;=$AL56,($AL56-2+3)*(INDEX(Reference!$B$6:$B$11,MIN(5,MATCH(MAX(Reference!$A$6,MIN(Reference!$A$11,MIN($U56,120))),Reference!$A$6:$A$11,1)))+(MAX(Reference!$A$6,MIN(Reference!$A$11,MIN($U56,120)))-INDEX(Reference!$A$6:$A$11,MIN(5,MATCH(MAX(Reference!$A$6,MIN(Reference!$A$11,MIN($U56,120))),Reference!$A$6:$A$11,1))))*(INDEX(Reference!$B$6:$B$11,MIN(5,MATCH(MAX(Reference!$A$6,MIN(Reference!$A$11,MIN($U56,120))),Reference!$A$6:$A$11,1))+1)-INDEX(Reference!$B$6:$B$11,MIN(5,MATCH(MAX(Reference!$A$6,MIN(Reference!$A$11,MIN($U56,120))),Reference!$A$6:$A$11,1))))/(INDEX(Reference!$A$6:$A$11,MIN(5,MATCH(MAX(Reference!$A$6,MIN(Reference!$A$11,MIN($U56,120))),Reference!$A$6:$A$11,1))+1)-INDEX(Reference!$A$6:$A$11,MIN(5,MATCH(MAX(Reference!$A$6,MIN(Reference!$A$11,MIN($U56,120))),Reference!$A$6:$A$11,1))))),0)+IF(3&lt;=$AL56,($AL56-3+3)*(INDEX(Reference!$B$6:$B$11,MIN(5,MATCH(MAX(Reference!$A$6,MIN(Reference!$A$11,MIN($U56,150))),Reference!$A$6:$A$11,1)))+(MAX(Reference!$A$6,MIN(Reference!$A$11,MIN($U56,150)))-INDEX(Reference!$A$6:$A$11,MIN(5,MATCH(MAX(Reference!$A$6,MIN(Reference!$A$11,MIN($U56,150))),Reference!$A$6:$A$11,1))))*(INDEX(Reference!$B$6:$B$11,MIN(5,MATCH(MAX(Reference!$A$6,MIN(Reference!$A$11,MIN($U56,150))),Reference!$A$6:$A$11,1))+1)-INDEX(Reference!$B$6:$B$11,MIN(5,MATCH(MAX(Reference!$A$6,MIN(Reference!$A$11,MIN($U56,150))),Reference!$A$6:$A$11,1))))/(INDEX(Reference!$A$6:$A$11,MIN(5,MATCH(MAX(Reference!$A$6,MIN(Reference!$A$11,MIN($U56,150))),Reference!$A$6:$A$11,1))+1)-INDEX(Reference!$A$6:$A$11,MIN(5,MATCH(MAX(Reference!$A$6,MIN(Reference!$A$11,MIN($U56,150))),Reference!$A$6:$A$11,1))))),0)+IF(4&lt;=$AL56,($AL56-4+3)*(INDEX(Reference!$B$6:$B$11,MIN(5,MATCH(MAX(Reference!$A$6,MIN(Reference!$A$11,MIN($U56,180))),Reference!$A$6:$A$11,1)))+(MAX(Reference!$A$6,MIN(Reference!$A$11,MIN($U56,180)))-INDEX(Reference!$A$6:$A$11,MIN(5,MATCH(MAX(Reference!$A$6,MIN(Reference!$A$11,MIN($U56,180))),Reference!$A$6:$A$11,1))))*(INDEX(Reference!$B$6:$B$11,MIN(5,MATCH(MAX(Reference!$A$6,MIN(Reference!$A$11,MIN($U56,180))),Reference!$A$6:$A$11,1))+1)-INDEX(Reference!$B$6:$B$11,MIN(5,MATCH(MAX(Reference!$A$6,MIN(Reference!$A$11,MIN($U56,180))),Reference!$A$6:$A$11,1))))/(INDEX(Reference!$A$6:$A$11,MIN(5,MATCH(MAX(Reference!$A$6,MIN(Reference!$A$11,MIN($U56,180))),Reference!$A$6:$A$11,1))+1)-INDEX(Reference!$A$6:$A$11,MIN(5,MATCH(MAX(Reference!$A$6,MIN(Reference!$A$11,MIN($U56,180))),Reference!$A$6:$A$11,1))))),0)+IF(5&lt;=$AL56,($AL56-5+3)*(INDEX(Reference!$B$6:$B$11,MIN(5,MATCH(MAX(Reference!$A$6,MIN(Reference!$A$11,MIN($U56,210))),Reference!$A$6:$A$11,1)))+(MAX(Reference!$A$6,MIN(Reference!$A$11,MIN($U56,210)))-INDEX(Reference!$A$6:$A$11,MIN(5,MATCH(MAX(Reference!$A$6,MIN(Reference!$A$11,MIN($U56,210))),Reference!$A$6:$A$11,1))))*(INDEX(Reference!$B$6:$B$11,MIN(5,MATCH(MAX(Reference!$A$6,MIN(Reference!$A$11,MIN($U56,210))),Reference!$A$6:$A$11,1))+1)-INDEX(Reference!$B$6:$B$11,MIN(5,MATCH(MAX(Reference!$A$6,MIN(Reference!$A$11,MIN($U56,210))),Reference!$A$6:$A$11,1))))/(INDEX(Reference!$A$6:$A$11,MIN(5,MATCH(MAX(Reference!$A$6,MIN(Reference!$A$11,MIN($U56,210))),Reference!$A$6:$A$11,1))+1)-INDEX(Reference!$A$6:$A$11,MIN(5,MATCH(MAX(Reference!$A$6,MIN(Reference!$A$11,MIN($U56,210))),Reference!$A$6:$A$11,1))))),0)+IF(6&lt;=$AL56,($AL56-6+3)*(INDEX(Reference!$B$6:$B$11,MIN(5,MATCH(MAX(Reference!$A$6,MIN(Reference!$A$11,MIN($U56,240))),Reference!$A$6:$A$11,1)))+(MAX(Reference!$A$6,MIN(Reference!$A$11,MIN($U56,240)))-INDEX(Reference!$A$6:$A$11,MIN(5,MATCH(MAX(Reference!$A$6,MIN(Reference!$A$11,MIN($U56,240))),Reference!$A$6:$A$11,1))))*(INDEX(Reference!$B$6:$B$11,MIN(5,MATCH(MAX(Reference!$A$6,MIN(Reference!$A$11,MIN($U56,240))),Reference!$A$6:$A$11,1))+1)-INDEX(Reference!$B$6:$B$11,MIN(5,MATCH(MAX(Reference!$A$6,MIN(Reference!$A$11,MIN($U56,240))),Reference!$A$6:$A$11,1))))/(INDEX(Reference!$A$6:$A$11,MIN(5,MATCH(MAX(Reference!$A$6,MIN(Reference!$A$11,MIN($U56,240))),Reference!$A$6:$A$11,1))+1)-INDEX(Reference!$A$6:$A$11,MIN(5,MATCH(MAX(Reference!$A$6,MIN(Reference!$A$11,MIN($U56,240))),Reference!$A$6:$A$11,1))))),0)+IF(7&lt;=$AL56,($AL56-7+3)*(INDEX(Reference!$B$6:$B$11,MIN(5,MATCH(MAX(Reference!$A$6,MIN(Reference!$A$11,MIN($U56,270))),Reference!$A$6:$A$11,1)))+(MAX(Reference!$A$6,MIN(Reference!$A$11,MIN($U56,270)))-INDEX(Reference!$A$6:$A$11,MIN(5,MATCH(MAX(Reference!$A$6,MIN(Reference!$A$11,MIN($U56,270))),Reference!$A$6:$A$11,1))))*(INDEX(Reference!$B$6:$B$11,MIN(5,MATCH(MAX(Reference!$A$6,MIN(Reference!$A$11,MIN($U56,270))),Reference!$A$6:$A$11,1))+1)-INDEX(Reference!$B$6:$B$11,MIN(5,MATCH(MAX(Reference!$A$6,MIN(Reference!$A$11,MIN($U56,270))),Reference!$A$6:$A$11,1))))/(INDEX(Reference!$A$6:$A$11,MIN(5,MATCH(MAX(Reference!$A$6,MIN(Reference!$A$11,MIN($U56,270))),Reference!$A$6:$A$11,1))+1)-INDEX(Reference!$A$6:$A$11,MIN(5,MATCH(MAX(Reference!$A$6,MIN(Reference!$A$11,MIN($U56,270))),Reference!$A$6:$A$11,1))))),0)+IF(8&lt;=$AL56,($AL56-8+3)*(INDEX(Reference!$B$6:$B$11,MIN(5,MATCH(MAX(Reference!$A$6,MIN(Reference!$A$11,MIN($U56,300))),Reference!$A$6:$A$11,1)))+(MAX(Reference!$A$6,MIN(Reference!$A$11,MIN($U56,300)))-INDEX(Reference!$A$6:$A$11,MIN(5,MATCH(MAX(Reference!$A$6,MIN(Reference!$A$11,MIN($U56,300))),Reference!$A$6:$A$11,1))))*(INDEX(Reference!$B$6:$B$11,MIN(5,MATCH(MAX(Reference!$A$6,MIN(Reference!$A$11,MIN($U56,300))),Reference!$A$6:$A$11,1))+1)-INDEX(Reference!$B$6:$B$11,MIN(5,MATCH(MAX(Reference!$A$6,MIN(Reference!$A$11,MIN($U56,300))),Reference!$A$6:$A$11,1))))/(INDEX(Reference!$A$6:$A$11,MIN(5,MATCH(MAX(Reference!$A$6,MIN(Reference!$A$11,MIN($U56,300))),Reference!$A$6:$A$11,1))+1)-INDEX(Reference!$A$6:$A$11,MIN(5,MATCH(MAX(Reference!$A$6,MIN(Reference!$A$11,MIN($U56,300))),Reference!$A$6:$A$11,1))))),0))/($AL56*($AL56+5)/2)),$AN56))</f>
        <v>1</v>
      </c>
      <c r="AN56" s="32">
        <f>IF($U56="",0,(INDEX(Reference!$B$6:$B$11,MIN(5,MATCH(MAX(Reference!$A$6,MIN(Reference!$A$11,$U56)),Reference!$A$6:$A$11,1)))+(MAX(Reference!$A$6,MIN(Reference!$A$11,$U56))-INDEX(Reference!$A$6:$A$11,MIN(5,MATCH(MAX(Reference!$A$6,MIN(Reference!$A$11,$U56)),Reference!$A$6:$A$11,1))))*(INDEX(Reference!$B$6:$B$11,MIN(5,MATCH(MAX(Reference!$A$6,MIN(Reference!$A$11,$U56)),Reference!$A$6:$A$11,1))+1)-INDEX(Reference!$B$6:$B$11,MIN(5,MATCH(MAX(Reference!$A$6,MIN(Reference!$A$11,$U56)),Reference!$A$6:$A$11,1))))/(INDEX(Reference!$A$6:$A$11,MIN(5,MATCH(MAX(Reference!$A$6,MIN(Reference!$A$11,$U56)),Reference!$A$6:$A$11,1))+1)-INDEX(Reference!$A$6:$A$11,MIN(5,MATCH(MAX(Reference!$A$6,MIN(Reference!$A$11,$U56)),Reference!$A$6:$A$11,1))))))</f>
        <v>1</v>
      </c>
      <c r="AO56" s="37"/>
      <c r="AP56" s="37"/>
      <c r="AQ56" s="37"/>
    </row>
    <row r="57" spans="1:43" x14ac:dyDescent="0.3">
      <c r="A57" s="48">
        <f t="shared" si="5"/>
        <v>46321</v>
      </c>
      <c r="B57" s="32" t="str">
        <f t="shared" si="6"/>
        <v>Mon</v>
      </c>
      <c r="C57" s="32">
        <f t="shared" si="7"/>
        <v>70</v>
      </c>
      <c r="D57" s="32" t="str">
        <f t="shared" si="8"/>
        <v>Re-entry</v>
      </c>
      <c r="E57" s="32" t="str">
        <f t="shared" si="9"/>
        <v>Low</v>
      </c>
      <c r="F57" s="32" t="str">
        <f t="shared" si="10"/>
        <v>Recovery/Easy Catch</v>
      </c>
      <c r="G57" s="47" t="str">
        <f t="shared" si="11"/>
        <v>60 ft × 20 @ 67–71 mph</v>
      </c>
      <c r="H57" s="30">
        <f t="shared" si="12"/>
        <v>12</v>
      </c>
      <c r="I57" s="46" t="str">
        <f>IF($A57="","",IF(AND($L57&lt;27,$K$12=0),"Building",IFERROR(((SUM($H$51:$H57)+$K$12*IF($L57&lt;6,SUMIFS('Throw Log'!$Q$5:$Q$300,'Throw Log'!$B$5:$B$300,$D$4,'Throw Log'!$A$5:$A$300,"&gt;="&amp;($D$6+$L57-6),'Throw Log'!$A$5:$A$300,"&lt;="&amp;($D$6-1)),0))/7)/((SUM($H$43:$H57)+$K$12*IF($L57&lt;27,SUMIFS('Throw Log'!$Q$5:$Q$300,'Throw Log'!$B$5:$B$300,$D$4,'Throw Log'!$A$5:$A$300,"&gt;="&amp;($D$6+$L57-27),'Throw Log'!$A$5:$A$300,"&lt;="&amp;($D$6-1)),0))/28),"")))</f>
        <v>Building</v>
      </c>
      <c r="J57" s="37"/>
      <c r="K57" s="37"/>
      <c r="L57" s="32">
        <v>14</v>
      </c>
      <c r="M57" s="32">
        <f t="shared" si="13"/>
        <v>3</v>
      </c>
      <c r="N57" s="32">
        <f t="shared" si="14"/>
        <v>0</v>
      </c>
      <c r="O57" s="32">
        <f t="shared" si="15"/>
        <v>0.18421052631578946</v>
      </c>
      <c r="P57" s="32">
        <f>IF(OR($A57="",N($C57)&lt;=7),"",$G$6*$G$9^($M57-1)*IF(AND(MOD($M57,Reference!$B$99)=0,$M57&lt;=$G$5-2),Reference!$B$100,1))</f>
        <v>101.26670033263869</v>
      </c>
      <c r="Q57" s="32">
        <f>IF($P57="","",IF(SUM($AK$57:$AK$63)=0,0,$P57*INDEX(Reference!$B$108:$B$114,$N57+1)/SUM($AK$57:$AK$63)))</f>
        <v>12.152004039916642</v>
      </c>
      <c r="R57" s="32">
        <f t="shared" si="16"/>
        <v>90</v>
      </c>
      <c r="S57" s="32">
        <f t="shared" si="17"/>
        <v>90</v>
      </c>
      <c r="T57" s="32" t="str">
        <f>IF($A57="","",IF($C57=0,"Bullpen",IF(OR($C57=7,$C57=1,$C57=5),"Recovery/Easy Catch",IF($C57=6,"Compression/Pulldowns",IF(OR($C57=4,$C57=2),"Long Toss",IF($C57=3,"No Throw",IF($N57=2,"No Throw",IF($N57=6,IF($O57&lt;Reference!$B$104,"No Throw","Recovery/Easy Catch"),IF(OR($N57=0,$N57=4),"Recovery/Easy Catch",IF($N57=1,IF($R57&gt;75,"Long Toss","Recovery/Easy Catch"),IF($N57=3,IF($O57&lt;0.5,IF($S57&gt;75,"Long Toss","Recovery/Easy Catch"),"Compression/Pulldowns"),IF($S57&gt;75,"Long Toss","Recovery/Easy Catch"))))))))))))</f>
        <v>Recovery/Easy Catch</v>
      </c>
      <c r="U57" s="32">
        <f t="shared" si="18"/>
        <v>60</v>
      </c>
      <c r="V57" s="32">
        <f t="shared" si="19"/>
        <v>20</v>
      </c>
      <c r="W57" s="32">
        <f t="shared" si="20"/>
        <v>24</v>
      </c>
      <c r="X57" s="32">
        <f t="shared" si="21"/>
        <v>0</v>
      </c>
      <c r="Y57" s="32" t="str">
        <f t="shared" si="22"/>
        <v/>
      </c>
      <c r="Z57" s="32" t="str">
        <f t="shared" si="23"/>
        <v/>
      </c>
      <c r="AA57" s="32" t="str">
        <f t="shared" si="24"/>
        <v/>
      </c>
      <c r="AB57" s="32">
        <f>IF($A57="","",IF($T57="No Throw",0,IF($K57&lt;&gt;"",$K57,IF($AA57&lt;&gt;"",ROUND($AA57*$D$12*IF($C57=0,1,$G$10),0),MIN(IF($T57="Recovery/Easy Catch",Reference!$B$103,IF($T57="Long Toss",Reference!$B$106,Reference!$B$102)),MAX(Reference!$B$101,ROUND(MAX(0,$Q57-$AE57)/$AF57,0)))))))</f>
        <v>20</v>
      </c>
      <c r="AC57" s="32">
        <f t="shared" si="25"/>
        <v>0</v>
      </c>
      <c r="AD57" s="32" t="b">
        <f t="shared" si="26"/>
        <v>0</v>
      </c>
      <c r="AE57" s="32">
        <f>IF($X57=0,0,$X57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57+$Z57)/2,0),Reference!$A$17:$B$20,2,TRUE()))</f>
        <v>0</v>
      </c>
      <c r="AF57" s="32">
        <f>IF(OR($A57="",$U57="",$T57="No Throw"),0,$AM57*VLOOKUP(MAX(($V57+$W57)/2,0),Reference!$A$17:$B$20,2,TRUE()))</f>
        <v>0.6</v>
      </c>
      <c r="AG57" s="32">
        <f>IF($AC57=0,0,$AC57*INDEX(Reference!$B$61:$B$62,MATCH("Bullpen",Reference!$A$61:$A$62,0))*VLOOKUP(MAX($D$5-($D$9+$E$9)/2,0),Reference!$A$17:$B$20,2,TRUE()))</f>
        <v>0</v>
      </c>
      <c r="AH57" s="32" t="e">
        <f t="shared" si="27"/>
        <v>#N/A</v>
      </c>
      <c r="AI57" s="32">
        <f>IF($A57="",NA(),Reference!$A$25)</f>
        <v>0.8</v>
      </c>
      <c r="AJ57" s="32">
        <f t="shared" si="28"/>
        <v>1.3</v>
      </c>
      <c r="AK57" s="56">
        <f>IF(OR($A57="",N($C57)&lt;=7,$T57="No Throw",$J57="x"),0,INDEX(Reference!$B$108:$B$114,$N57+1))</f>
        <v>0.12</v>
      </c>
      <c r="AL57" s="32">
        <f t="shared" si="29"/>
        <v>1</v>
      </c>
      <c r="AM57" s="32">
        <f>IF($U57="",0,IF($AL57&gt;1,((IF(1&lt;=$AL57,($AL57-1+3)*(INDEX(Reference!$B$6:$B$11,MIN(5,MATCH(MAX(Reference!$A$6,MIN(Reference!$A$11,MIN($U57,90))),Reference!$A$6:$A$11,1)))+(MAX(Reference!$A$6,MIN(Reference!$A$11,MIN($U57,90)))-INDEX(Reference!$A$6:$A$11,MIN(5,MATCH(MAX(Reference!$A$6,MIN(Reference!$A$11,MIN($U57,90))),Reference!$A$6:$A$11,1))))*(INDEX(Reference!$B$6:$B$11,MIN(5,MATCH(MAX(Reference!$A$6,MIN(Reference!$A$11,MIN($U57,90))),Reference!$A$6:$A$11,1))+1)-INDEX(Reference!$B$6:$B$11,MIN(5,MATCH(MAX(Reference!$A$6,MIN(Reference!$A$11,MIN($U57,90))),Reference!$A$6:$A$11,1))))/(INDEX(Reference!$A$6:$A$11,MIN(5,MATCH(MAX(Reference!$A$6,MIN(Reference!$A$11,MIN($U57,90))),Reference!$A$6:$A$11,1))+1)-INDEX(Reference!$A$6:$A$11,MIN(5,MATCH(MAX(Reference!$A$6,MIN(Reference!$A$11,MIN($U57,90))),Reference!$A$6:$A$11,1))))),0)+IF(2&lt;=$AL57,($AL57-2+3)*(INDEX(Reference!$B$6:$B$11,MIN(5,MATCH(MAX(Reference!$A$6,MIN(Reference!$A$11,MIN($U57,120))),Reference!$A$6:$A$11,1)))+(MAX(Reference!$A$6,MIN(Reference!$A$11,MIN($U57,120)))-INDEX(Reference!$A$6:$A$11,MIN(5,MATCH(MAX(Reference!$A$6,MIN(Reference!$A$11,MIN($U57,120))),Reference!$A$6:$A$11,1))))*(INDEX(Reference!$B$6:$B$11,MIN(5,MATCH(MAX(Reference!$A$6,MIN(Reference!$A$11,MIN($U57,120))),Reference!$A$6:$A$11,1))+1)-INDEX(Reference!$B$6:$B$11,MIN(5,MATCH(MAX(Reference!$A$6,MIN(Reference!$A$11,MIN($U57,120))),Reference!$A$6:$A$11,1))))/(INDEX(Reference!$A$6:$A$11,MIN(5,MATCH(MAX(Reference!$A$6,MIN(Reference!$A$11,MIN($U57,120))),Reference!$A$6:$A$11,1))+1)-INDEX(Reference!$A$6:$A$11,MIN(5,MATCH(MAX(Reference!$A$6,MIN(Reference!$A$11,MIN($U57,120))),Reference!$A$6:$A$11,1))))),0)+IF(3&lt;=$AL57,($AL57-3+3)*(INDEX(Reference!$B$6:$B$11,MIN(5,MATCH(MAX(Reference!$A$6,MIN(Reference!$A$11,MIN($U57,150))),Reference!$A$6:$A$11,1)))+(MAX(Reference!$A$6,MIN(Reference!$A$11,MIN($U57,150)))-INDEX(Reference!$A$6:$A$11,MIN(5,MATCH(MAX(Reference!$A$6,MIN(Reference!$A$11,MIN($U57,150))),Reference!$A$6:$A$11,1))))*(INDEX(Reference!$B$6:$B$11,MIN(5,MATCH(MAX(Reference!$A$6,MIN(Reference!$A$11,MIN($U57,150))),Reference!$A$6:$A$11,1))+1)-INDEX(Reference!$B$6:$B$11,MIN(5,MATCH(MAX(Reference!$A$6,MIN(Reference!$A$11,MIN($U57,150))),Reference!$A$6:$A$11,1))))/(INDEX(Reference!$A$6:$A$11,MIN(5,MATCH(MAX(Reference!$A$6,MIN(Reference!$A$11,MIN($U57,150))),Reference!$A$6:$A$11,1))+1)-INDEX(Reference!$A$6:$A$11,MIN(5,MATCH(MAX(Reference!$A$6,MIN(Reference!$A$11,MIN($U57,150))),Reference!$A$6:$A$11,1))))),0)+IF(4&lt;=$AL57,($AL57-4+3)*(INDEX(Reference!$B$6:$B$11,MIN(5,MATCH(MAX(Reference!$A$6,MIN(Reference!$A$11,MIN($U57,180))),Reference!$A$6:$A$11,1)))+(MAX(Reference!$A$6,MIN(Reference!$A$11,MIN($U57,180)))-INDEX(Reference!$A$6:$A$11,MIN(5,MATCH(MAX(Reference!$A$6,MIN(Reference!$A$11,MIN($U57,180))),Reference!$A$6:$A$11,1))))*(INDEX(Reference!$B$6:$B$11,MIN(5,MATCH(MAX(Reference!$A$6,MIN(Reference!$A$11,MIN($U57,180))),Reference!$A$6:$A$11,1))+1)-INDEX(Reference!$B$6:$B$11,MIN(5,MATCH(MAX(Reference!$A$6,MIN(Reference!$A$11,MIN($U57,180))),Reference!$A$6:$A$11,1))))/(INDEX(Reference!$A$6:$A$11,MIN(5,MATCH(MAX(Reference!$A$6,MIN(Reference!$A$11,MIN($U57,180))),Reference!$A$6:$A$11,1))+1)-INDEX(Reference!$A$6:$A$11,MIN(5,MATCH(MAX(Reference!$A$6,MIN(Reference!$A$11,MIN($U57,180))),Reference!$A$6:$A$11,1))))),0)+IF(5&lt;=$AL57,($AL57-5+3)*(INDEX(Reference!$B$6:$B$11,MIN(5,MATCH(MAX(Reference!$A$6,MIN(Reference!$A$11,MIN($U57,210))),Reference!$A$6:$A$11,1)))+(MAX(Reference!$A$6,MIN(Reference!$A$11,MIN($U57,210)))-INDEX(Reference!$A$6:$A$11,MIN(5,MATCH(MAX(Reference!$A$6,MIN(Reference!$A$11,MIN($U57,210))),Reference!$A$6:$A$11,1))))*(INDEX(Reference!$B$6:$B$11,MIN(5,MATCH(MAX(Reference!$A$6,MIN(Reference!$A$11,MIN($U57,210))),Reference!$A$6:$A$11,1))+1)-INDEX(Reference!$B$6:$B$11,MIN(5,MATCH(MAX(Reference!$A$6,MIN(Reference!$A$11,MIN($U57,210))),Reference!$A$6:$A$11,1))))/(INDEX(Reference!$A$6:$A$11,MIN(5,MATCH(MAX(Reference!$A$6,MIN(Reference!$A$11,MIN($U57,210))),Reference!$A$6:$A$11,1))+1)-INDEX(Reference!$A$6:$A$11,MIN(5,MATCH(MAX(Reference!$A$6,MIN(Reference!$A$11,MIN($U57,210))),Reference!$A$6:$A$11,1))))),0)+IF(6&lt;=$AL57,($AL57-6+3)*(INDEX(Reference!$B$6:$B$11,MIN(5,MATCH(MAX(Reference!$A$6,MIN(Reference!$A$11,MIN($U57,240))),Reference!$A$6:$A$11,1)))+(MAX(Reference!$A$6,MIN(Reference!$A$11,MIN($U57,240)))-INDEX(Reference!$A$6:$A$11,MIN(5,MATCH(MAX(Reference!$A$6,MIN(Reference!$A$11,MIN($U57,240))),Reference!$A$6:$A$11,1))))*(INDEX(Reference!$B$6:$B$11,MIN(5,MATCH(MAX(Reference!$A$6,MIN(Reference!$A$11,MIN($U57,240))),Reference!$A$6:$A$11,1))+1)-INDEX(Reference!$B$6:$B$11,MIN(5,MATCH(MAX(Reference!$A$6,MIN(Reference!$A$11,MIN($U57,240))),Reference!$A$6:$A$11,1))))/(INDEX(Reference!$A$6:$A$11,MIN(5,MATCH(MAX(Reference!$A$6,MIN(Reference!$A$11,MIN($U57,240))),Reference!$A$6:$A$11,1))+1)-INDEX(Reference!$A$6:$A$11,MIN(5,MATCH(MAX(Reference!$A$6,MIN(Reference!$A$11,MIN($U57,240))),Reference!$A$6:$A$11,1))))),0)+IF(7&lt;=$AL57,($AL57-7+3)*(INDEX(Reference!$B$6:$B$11,MIN(5,MATCH(MAX(Reference!$A$6,MIN(Reference!$A$11,MIN($U57,270))),Reference!$A$6:$A$11,1)))+(MAX(Reference!$A$6,MIN(Reference!$A$11,MIN($U57,270)))-INDEX(Reference!$A$6:$A$11,MIN(5,MATCH(MAX(Reference!$A$6,MIN(Reference!$A$11,MIN($U57,270))),Reference!$A$6:$A$11,1))))*(INDEX(Reference!$B$6:$B$11,MIN(5,MATCH(MAX(Reference!$A$6,MIN(Reference!$A$11,MIN($U57,270))),Reference!$A$6:$A$11,1))+1)-INDEX(Reference!$B$6:$B$11,MIN(5,MATCH(MAX(Reference!$A$6,MIN(Reference!$A$11,MIN($U57,270))),Reference!$A$6:$A$11,1))))/(INDEX(Reference!$A$6:$A$11,MIN(5,MATCH(MAX(Reference!$A$6,MIN(Reference!$A$11,MIN($U57,270))),Reference!$A$6:$A$11,1))+1)-INDEX(Reference!$A$6:$A$11,MIN(5,MATCH(MAX(Reference!$A$6,MIN(Reference!$A$11,MIN($U57,270))),Reference!$A$6:$A$11,1))))),0)+IF(8&lt;=$AL57,($AL57-8+3)*(INDEX(Reference!$B$6:$B$11,MIN(5,MATCH(MAX(Reference!$A$6,MIN(Reference!$A$11,MIN($U57,300))),Reference!$A$6:$A$11,1)))+(MAX(Reference!$A$6,MIN(Reference!$A$11,MIN($U57,300)))-INDEX(Reference!$A$6:$A$11,MIN(5,MATCH(MAX(Reference!$A$6,MIN(Reference!$A$11,MIN($U57,300))),Reference!$A$6:$A$11,1))))*(INDEX(Reference!$B$6:$B$11,MIN(5,MATCH(MAX(Reference!$A$6,MIN(Reference!$A$11,MIN($U57,300))),Reference!$A$6:$A$11,1))+1)-INDEX(Reference!$B$6:$B$11,MIN(5,MATCH(MAX(Reference!$A$6,MIN(Reference!$A$11,MIN($U57,300))),Reference!$A$6:$A$11,1))))/(INDEX(Reference!$A$6:$A$11,MIN(5,MATCH(MAX(Reference!$A$6,MIN(Reference!$A$11,MIN($U57,300))),Reference!$A$6:$A$11,1))+1)-INDEX(Reference!$A$6:$A$11,MIN(5,MATCH(MAX(Reference!$A$6,MIN(Reference!$A$11,MIN($U57,300))),Reference!$A$6:$A$11,1))))),0))/($AL57*($AL57+5)/2)),$AN57))</f>
        <v>1</v>
      </c>
      <c r="AN57" s="32">
        <f>IF($U57="",0,(INDEX(Reference!$B$6:$B$11,MIN(5,MATCH(MAX(Reference!$A$6,MIN(Reference!$A$11,$U57)),Reference!$A$6:$A$11,1)))+(MAX(Reference!$A$6,MIN(Reference!$A$11,$U57))-INDEX(Reference!$A$6:$A$11,MIN(5,MATCH(MAX(Reference!$A$6,MIN(Reference!$A$11,$U57)),Reference!$A$6:$A$11,1))))*(INDEX(Reference!$B$6:$B$11,MIN(5,MATCH(MAX(Reference!$A$6,MIN(Reference!$A$11,$U57)),Reference!$A$6:$A$11,1))+1)-INDEX(Reference!$B$6:$B$11,MIN(5,MATCH(MAX(Reference!$A$6,MIN(Reference!$A$11,$U57)),Reference!$A$6:$A$11,1))))/(INDEX(Reference!$A$6:$A$11,MIN(5,MATCH(MAX(Reference!$A$6,MIN(Reference!$A$11,$U57)),Reference!$A$6:$A$11,1))+1)-INDEX(Reference!$A$6:$A$11,MIN(5,MATCH(MAX(Reference!$A$6,MIN(Reference!$A$11,$U57)),Reference!$A$6:$A$11,1))))))</f>
        <v>1</v>
      </c>
      <c r="AO57" s="37"/>
      <c r="AP57" s="37"/>
      <c r="AQ57" s="37"/>
    </row>
    <row r="58" spans="1:43" x14ac:dyDescent="0.3">
      <c r="A58" s="48">
        <f t="shared" si="5"/>
        <v>46322</v>
      </c>
      <c r="B58" s="32" t="str">
        <f t="shared" si="6"/>
        <v>Tue</v>
      </c>
      <c r="C58" s="32">
        <f t="shared" si="7"/>
        <v>69</v>
      </c>
      <c r="D58" s="32" t="str">
        <f t="shared" si="8"/>
        <v>Re-entry</v>
      </c>
      <c r="E58" s="32" t="str">
        <f t="shared" si="9"/>
        <v>Low</v>
      </c>
      <c r="F58" s="32" t="str">
        <f t="shared" si="10"/>
        <v>Long Toss</v>
      </c>
      <c r="G58" s="47" t="str">
        <f t="shared" si="11"/>
        <v>90 ft × 35 @ 69–73 mph</v>
      </c>
      <c r="H58" s="30">
        <f t="shared" si="12"/>
        <v>27.3</v>
      </c>
      <c r="I58" s="46" t="str">
        <f>IF($A58="","",IF(AND($L58&lt;27,$K$12=0),"Building",IFERROR(((SUM($H$52:$H58)+$K$12*IF($L58&lt;6,SUMIFS('Throw Log'!$Q$5:$Q$300,'Throw Log'!$B$5:$B$300,$D$4,'Throw Log'!$A$5:$A$300,"&gt;="&amp;($D$6+$L58-6),'Throw Log'!$A$5:$A$300,"&lt;="&amp;($D$6-1)),0))/7)/((SUM($H$43:$H58)+$K$12*IF($L58&lt;27,SUMIFS('Throw Log'!$Q$5:$Q$300,'Throw Log'!$B$5:$B$300,$D$4,'Throw Log'!$A$5:$A$300,"&gt;="&amp;($D$6+$L58-27),'Throw Log'!$A$5:$A$300,"&lt;="&amp;($D$6-1)),0))/28),"")))</f>
        <v>Building</v>
      </c>
      <c r="J58" s="37"/>
      <c r="K58" s="37"/>
      <c r="L58" s="32">
        <v>15</v>
      </c>
      <c r="M58" s="32">
        <f t="shared" si="13"/>
        <v>3</v>
      </c>
      <c r="N58" s="32">
        <f t="shared" si="14"/>
        <v>1</v>
      </c>
      <c r="O58" s="32">
        <f t="shared" si="15"/>
        <v>0.19736842105263158</v>
      </c>
      <c r="P58" s="32">
        <f>IF(OR($A58="",N($C58)&lt;=7),"",$G$6*$G$9^($M58-1)*IF(AND(MOD($M58,Reference!$B$99)=0,$M58&lt;=$G$5-2),Reference!$B$100,1))</f>
        <v>101.26670033263869</v>
      </c>
      <c r="Q58" s="32">
        <f>IF($P58="","",IF(SUM($AK$57:$AK$63)=0,0,$P58*INDEX(Reference!$B$108:$B$114,$N58+1)/SUM($AK$57:$AK$63)))</f>
        <v>27.34200908981245</v>
      </c>
      <c r="R58" s="32">
        <f t="shared" si="16"/>
        <v>90</v>
      </c>
      <c r="S58" s="32">
        <f t="shared" si="17"/>
        <v>90</v>
      </c>
      <c r="T58" s="32" t="str">
        <f>IF($A58="","",IF($C58=0,"Bullpen",IF(OR($C58=7,$C58=1,$C58=5),"Recovery/Easy Catch",IF($C58=6,"Compression/Pulldowns",IF(OR($C58=4,$C58=2),"Long Toss",IF($C58=3,"No Throw",IF($N58=2,"No Throw",IF($N58=6,IF($O58&lt;Reference!$B$104,"No Throw","Recovery/Easy Catch"),IF(OR($N58=0,$N58=4),"Recovery/Easy Catch",IF($N58=1,IF($R58&gt;75,"Long Toss","Recovery/Easy Catch"),IF($N58=3,IF($O58&lt;0.5,IF($S58&gt;75,"Long Toss","Recovery/Easy Catch"),"Compression/Pulldowns"),IF($S58&gt;75,"Long Toss","Recovery/Easy Catch"))))))))))))</f>
        <v>Long Toss</v>
      </c>
      <c r="U58" s="32">
        <f t="shared" si="18"/>
        <v>90</v>
      </c>
      <c r="V58" s="32">
        <f t="shared" si="19"/>
        <v>18</v>
      </c>
      <c r="W58" s="32">
        <f t="shared" si="20"/>
        <v>22</v>
      </c>
      <c r="X58" s="32">
        <f t="shared" si="21"/>
        <v>0</v>
      </c>
      <c r="Y58" s="32" t="str">
        <f t="shared" si="22"/>
        <v/>
      </c>
      <c r="Z58" s="32" t="str">
        <f t="shared" si="23"/>
        <v/>
      </c>
      <c r="AA58" s="32" t="str">
        <f t="shared" si="24"/>
        <v/>
      </c>
      <c r="AB58" s="32">
        <f>IF($A58="","",IF($T58="No Throw",0,IF($K58&lt;&gt;"",$K58,IF($AA58&lt;&gt;"",ROUND($AA58*$D$12*IF($C58=0,1,$G$10),0),MIN(IF($T58="Recovery/Easy Catch",Reference!$B$103,IF($T58="Long Toss",Reference!$B$106,Reference!$B$102)),MAX(Reference!$B$101,ROUND(MAX(0,$Q58-$AE58)/$AF58,0)))))))</f>
        <v>35</v>
      </c>
      <c r="AC58" s="32">
        <f t="shared" si="25"/>
        <v>0</v>
      </c>
      <c r="AD58" s="32" t="b">
        <f t="shared" si="26"/>
        <v>0</v>
      </c>
      <c r="AE58" s="32">
        <f>IF($X58=0,0,$X58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58+$Z58)/2,0),Reference!$A$17:$B$20,2,TRUE()))</f>
        <v>0</v>
      </c>
      <c r="AF58" s="32">
        <f>IF(OR($A58="",$U58="",$T58="No Throw"),0,$AM58*VLOOKUP(MAX(($V58+$W58)/2,0),Reference!$A$17:$B$20,2,TRUE()))</f>
        <v>0.78</v>
      </c>
      <c r="AG58" s="32">
        <f>IF($AC58=0,0,$AC58*INDEX(Reference!$B$61:$B$62,MATCH("Bullpen",Reference!$A$61:$A$62,0))*VLOOKUP(MAX($D$5-($D$9+$E$9)/2,0),Reference!$A$17:$B$20,2,TRUE()))</f>
        <v>0</v>
      </c>
      <c r="AH58" s="32" t="e">
        <f t="shared" si="27"/>
        <v>#N/A</v>
      </c>
      <c r="AI58" s="32">
        <f>IF($A58="",NA(),Reference!$A$25)</f>
        <v>0.8</v>
      </c>
      <c r="AJ58" s="32">
        <f t="shared" si="28"/>
        <v>1.3</v>
      </c>
      <c r="AK58" s="56">
        <f>IF(OR($A58="",N($C58)&lt;=7,$T58="No Throw",$J58="x"),0,INDEX(Reference!$B$108:$B$114,$N58+1))</f>
        <v>0.27</v>
      </c>
      <c r="AL58" s="32">
        <f t="shared" si="29"/>
        <v>1</v>
      </c>
      <c r="AM58" s="32">
        <f>IF($U58="",0,IF($AL58&gt;1,((IF(1&lt;=$AL58,($AL58-1+3)*(INDEX(Reference!$B$6:$B$11,MIN(5,MATCH(MAX(Reference!$A$6,MIN(Reference!$A$11,MIN($U58,90))),Reference!$A$6:$A$11,1)))+(MAX(Reference!$A$6,MIN(Reference!$A$11,MIN($U58,90)))-INDEX(Reference!$A$6:$A$11,MIN(5,MATCH(MAX(Reference!$A$6,MIN(Reference!$A$11,MIN($U58,90))),Reference!$A$6:$A$11,1))))*(INDEX(Reference!$B$6:$B$11,MIN(5,MATCH(MAX(Reference!$A$6,MIN(Reference!$A$11,MIN($U58,90))),Reference!$A$6:$A$11,1))+1)-INDEX(Reference!$B$6:$B$11,MIN(5,MATCH(MAX(Reference!$A$6,MIN(Reference!$A$11,MIN($U58,90))),Reference!$A$6:$A$11,1))))/(INDEX(Reference!$A$6:$A$11,MIN(5,MATCH(MAX(Reference!$A$6,MIN(Reference!$A$11,MIN($U58,90))),Reference!$A$6:$A$11,1))+1)-INDEX(Reference!$A$6:$A$11,MIN(5,MATCH(MAX(Reference!$A$6,MIN(Reference!$A$11,MIN($U58,90))),Reference!$A$6:$A$11,1))))),0)+IF(2&lt;=$AL58,($AL58-2+3)*(INDEX(Reference!$B$6:$B$11,MIN(5,MATCH(MAX(Reference!$A$6,MIN(Reference!$A$11,MIN($U58,120))),Reference!$A$6:$A$11,1)))+(MAX(Reference!$A$6,MIN(Reference!$A$11,MIN($U58,120)))-INDEX(Reference!$A$6:$A$11,MIN(5,MATCH(MAX(Reference!$A$6,MIN(Reference!$A$11,MIN($U58,120))),Reference!$A$6:$A$11,1))))*(INDEX(Reference!$B$6:$B$11,MIN(5,MATCH(MAX(Reference!$A$6,MIN(Reference!$A$11,MIN($U58,120))),Reference!$A$6:$A$11,1))+1)-INDEX(Reference!$B$6:$B$11,MIN(5,MATCH(MAX(Reference!$A$6,MIN(Reference!$A$11,MIN($U58,120))),Reference!$A$6:$A$11,1))))/(INDEX(Reference!$A$6:$A$11,MIN(5,MATCH(MAX(Reference!$A$6,MIN(Reference!$A$11,MIN($U58,120))),Reference!$A$6:$A$11,1))+1)-INDEX(Reference!$A$6:$A$11,MIN(5,MATCH(MAX(Reference!$A$6,MIN(Reference!$A$11,MIN($U58,120))),Reference!$A$6:$A$11,1))))),0)+IF(3&lt;=$AL58,($AL58-3+3)*(INDEX(Reference!$B$6:$B$11,MIN(5,MATCH(MAX(Reference!$A$6,MIN(Reference!$A$11,MIN($U58,150))),Reference!$A$6:$A$11,1)))+(MAX(Reference!$A$6,MIN(Reference!$A$11,MIN($U58,150)))-INDEX(Reference!$A$6:$A$11,MIN(5,MATCH(MAX(Reference!$A$6,MIN(Reference!$A$11,MIN($U58,150))),Reference!$A$6:$A$11,1))))*(INDEX(Reference!$B$6:$B$11,MIN(5,MATCH(MAX(Reference!$A$6,MIN(Reference!$A$11,MIN($U58,150))),Reference!$A$6:$A$11,1))+1)-INDEX(Reference!$B$6:$B$11,MIN(5,MATCH(MAX(Reference!$A$6,MIN(Reference!$A$11,MIN($U58,150))),Reference!$A$6:$A$11,1))))/(INDEX(Reference!$A$6:$A$11,MIN(5,MATCH(MAX(Reference!$A$6,MIN(Reference!$A$11,MIN($U58,150))),Reference!$A$6:$A$11,1))+1)-INDEX(Reference!$A$6:$A$11,MIN(5,MATCH(MAX(Reference!$A$6,MIN(Reference!$A$11,MIN($U58,150))),Reference!$A$6:$A$11,1))))),0)+IF(4&lt;=$AL58,($AL58-4+3)*(INDEX(Reference!$B$6:$B$11,MIN(5,MATCH(MAX(Reference!$A$6,MIN(Reference!$A$11,MIN($U58,180))),Reference!$A$6:$A$11,1)))+(MAX(Reference!$A$6,MIN(Reference!$A$11,MIN($U58,180)))-INDEX(Reference!$A$6:$A$11,MIN(5,MATCH(MAX(Reference!$A$6,MIN(Reference!$A$11,MIN($U58,180))),Reference!$A$6:$A$11,1))))*(INDEX(Reference!$B$6:$B$11,MIN(5,MATCH(MAX(Reference!$A$6,MIN(Reference!$A$11,MIN($U58,180))),Reference!$A$6:$A$11,1))+1)-INDEX(Reference!$B$6:$B$11,MIN(5,MATCH(MAX(Reference!$A$6,MIN(Reference!$A$11,MIN($U58,180))),Reference!$A$6:$A$11,1))))/(INDEX(Reference!$A$6:$A$11,MIN(5,MATCH(MAX(Reference!$A$6,MIN(Reference!$A$11,MIN($U58,180))),Reference!$A$6:$A$11,1))+1)-INDEX(Reference!$A$6:$A$11,MIN(5,MATCH(MAX(Reference!$A$6,MIN(Reference!$A$11,MIN($U58,180))),Reference!$A$6:$A$11,1))))),0)+IF(5&lt;=$AL58,($AL58-5+3)*(INDEX(Reference!$B$6:$B$11,MIN(5,MATCH(MAX(Reference!$A$6,MIN(Reference!$A$11,MIN($U58,210))),Reference!$A$6:$A$11,1)))+(MAX(Reference!$A$6,MIN(Reference!$A$11,MIN($U58,210)))-INDEX(Reference!$A$6:$A$11,MIN(5,MATCH(MAX(Reference!$A$6,MIN(Reference!$A$11,MIN($U58,210))),Reference!$A$6:$A$11,1))))*(INDEX(Reference!$B$6:$B$11,MIN(5,MATCH(MAX(Reference!$A$6,MIN(Reference!$A$11,MIN($U58,210))),Reference!$A$6:$A$11,1))+1)-INDEX(Reference!$B$6:$B$11,MIN(5,MATCH(MAX(Reference!$A$6,MIN(Reference!$A$11,MIN($U58,210))),Reference!$A$6:$A$11,1))))/(INDEX(Reference!$A$6:$A$11,MIN(5,MATCH(MAX(Reference!$A$6,MIN(Reference!$A$11,MIN($U58,210))),Reference!$A$6:$A$11,1))+1)-INDEX(Reference!$A$6:$A$11,MIN(5,MATCH(MAX(Reference!$A$6,MIN(Reference!$A$11,MIN($U58,210))),Reference!$A$6:$A$11,1))))),0)+IF(6&lt;=$AL58,($AL58-6+3)*(INDEX(Reference!$B$6:$B$11,MIN(5,MATCH(MAX(Reference!$A$6,MIN(Reference!$A$11,MIN($U58,240))),Reference!$A$6:$A$11,1)))+(MAX(Reference!$A$6,MIN(Reference!$A$11,MIN($U58,240)))-INDEX(Reference!$A$6:$A$11,MIN(5,MATCH(MAX(Reference!$A$6,MIN(Reference!$A$11,MIN($U58,240))),Reference!$A$6:$A$11,1))))*(INDEX(Reference!$B$6:$B$11,MIN(5,MATCH(MAX(Reference!$A$6,MIN(Reference!$A$11,MIN($U58,240))),Reference!$A$6:$A$11,1))+1)-INDEX(Reference!$B$6:$B$11,MIN(5,MATCH(MAX(Reference!$A$6,MIN(Reference!$A$11,MIN($U58,240))),Reference!$A$6:$A$11,1))))/(INDEX(Reference!$A$6:$A$11,MIN(5,MATCH(MAX(Reference!$A$6,MIN(Reference!$A$11,MIN($U58,240))),Reference!$A$6:$A$11,1))+1)-INDEX(Reference!$A$6:$A$11,MIN(5,MATCH(MAX(Reference!$A$6,MIN(Reference!$A$11,MIN($U58,240))),Reference!$A$6:$A$11,1))))),0)+IF(7&lt;=$AL58,($AL58-7+3)*(INDEX(Reference!$B$6:$B$11,MIN(5,MATCH(MAX(Reference!$A$6,MIN(Reference!$A$11,MIN($U58,270))),Reference!$A$6:$A$11,1)))+(MAX(Reference!$A$6,MIN(Reference!$A$11,MIN($U58,270)))-INDEX(Reference!$A$6:$A$11,MIN(5,MATCH(MAX(Reference!$A$6,MIN(Reference!$A$11,MIN($U58,270))),Reference!$A$6:$A$11,1))))*(INDEX(Reference!$B$6:$B$11,MIN(5,MATCH(MAX(Reference!$A$6,MIN(Reference!$A$11,MIN($U58,270))),Reference!$A$6:$A$11,1))+1)-INDEX(Reference!$B$6:$B$11,MIN(5,MATCH(MAX(Reference!$A$6,MIN(Reference!$A$11,MIN($U58,270))),Reference!$A$6:$A$11,1))))/(INDEX(Reference!$A$6:$A$11,MIN(5,MATCH(MAX(Reference!$A$6,MIN(Reference!$A$11,MIN($U58,270))),Reference!$A$6:$A$11,1))+1)-INDEX(Reference!$A$6:$A$11,MIN(5,MATCH(MAX(Reference!$A$6,MIN(Reference!$A$11,MIN($U58,270))),Reference!$A$6:$A$11,1))))),0)+IF(8&lt;=$AL58,($AL58-8+3)*(INDEX(Reference!$B$6:$B$11,MIN(5,MATCH(MAX(Reference!$A$6,MIN(Reference!$A$11,MIN($U58,300))),Reference!$A$6:$A$11,1)))+(MAX(Reference!$A$6,MIN(Reference!$A$11,MIN($U58,300)))-INDEX(Reference!$A$6:$A$11,MIN(5,MATCH(MAX(Reference!$A$6,MIN(Reference!$A$11,MIN($U58,300))),Reference!$A$6:$A$11,1))))*(INDEX(Reference!$B$6:$B$11,MIN(5,MATCH(MAX(Reference!$A$6,MIN(Reference!$A$11,MIN($U58,300))),Reference!$A$6:$A$11,1))+1)-INDEX(Reference!$B$6:$B$11,MIN(5,MATCH(MAX(Reference!$A$6,MIN(Reference!$A$11,MIN($U58,300))),Reference!$A$6:$A$11,1))))/(INDEX(Reference!$A$6:$A$11,MIN(5,MATCH(MAX(Reference!$A$6,MIN(Reference!$A$11,MIN($U58,300))),Reference!$A$6:$A$11,1))+1)-INDEX(Reference!$A$6:$A$11,MIN(5,MATCH(MAX(Reference!$A$6,MIN(Reference!$A$11,MIN($U58,300))),Reference!$A$6:$A$11,1))))),0))/($AL58*($AL58+5)/2)),$AN58))</f>
        <v>1.3</v>
      </c>
      <c r="AN58" s="32">
        <f>IF($U58="",0,(INDEX(Reference!$B$6:$B$11,MIN(5,MATCH(MAX(Reference!$A$6,MIN(Reference!$A$11,$U58)),Reference!$A$6:$A$11,1)))+(MAX(Reference!$A$6,MIN(Reference!$A$11,$U58))-INDEX(Reference!$A$6:$A$11,MIN(5,MATCH(MAX(Reference!$A$6,MIN(Reference!$A$11,$U58)),Reference!$A$6:$A$11,1))))*(INDEX(Reference!$B$6:$B$11,MIN(5,MATCH(MAX(Reference!$A$6,MIN(Reference!$A$11,$U58)),Reference!$A$6:$A$11,1))+1)-INDEX(Reference!$B$6:$B$11,MIN(5,MATCH(MAX(Reference!$A$6,MIN(Reference!$A$11,$U58)),Reference!$A$6:$A$11,1))))/(INDEX(Reference!$A$6:$A$11,MIN(5,MATCH(MAX(Reference!$A$6,MIN(Reference!$A$11,$U58)),Reference!$A$6:$A$11,1))+1)-INDEX(Reference!$A$6:$A$11,MIN(5,MATCH(MAX(Reference!$A$6,MIN(Reference!$A$11,$U58)),Reference!$A$6:$A$11,1))))))</f>
        <v>1.3</v>
      </c>
      <c r="AO58" s="37"/>
      <c r="AP58" s="37"/>
      <c r="AQ58" s="37"/>
    </row>
    <row r="59" spans="1:43" x14ac:dyDescent="0.3">
      <c r="A59" s="48">
        <f t="shared" si="5"/>
        <v>46323</v>
      </c>
      <c r="B59" s="32" t="str">
        <f t="shared" si="6"/>
        <v>Wed</v>
      </c>
      <c r="C59" s="32">
        <f t="shared" si="7"/>
        <v>68</v>
      </c>
      <c r="D59" s="32" t="str">
        <f t="shared" si="8"/>
        <v>Base</v>
      </c>
      <c r="E59" s="32" t="str">
        <f t="shared" si="9"/>
        <v>No Throw</v>
      </c>
      <c r="F59" s="32" t="str">
        <f t="shared" si="10"/>
        <v>No Throw</v>
      </c>
      <c r="G59" s="47" t="str">
        <f t="shared" si="11"/>
        <v>Off</v>
      </c>
      <c r="H59" s="30">
        <f t="shared" si="12"/>
        <v>0</v>
      </c>
      <c r="I59" s="46" t="str">
        <f>IF($A59="","",IF(AND($L59&lt;27,$K$12=0),"Building",IFERROR(((SUM($H$53:$H59)+$K$12*IF($L59&lt;6,SUMIFS('Throw Log'!$Q$5:$Q$300,'Throw Log'!$B$5:$B$300,$D$4,'Throw Log'!$A$5:$A$300,"&gt;="&amp;($D$6+$L59-6),'Throw Log'!$A$5:$A$300,"&lt;="&amp;($D$6-1)),0))/7)/((SUM($H$43:$H59)+$K$12*IF($L59&lt;27,SUMIFS('Throw Log'!$Q$5:$Q$300,'Throw Log'!$B$5:$B$300,$D$4,'Throw Log'!$A$5:$A$300,"&gt;="&amp;($D$6+$L59-27),'Throw Log'!$A$5:$A$300,"&lt;="&amp;($D$6-1)),0))/28),"")))</f>
        <v>Building</v>
      </c>
      <c r="J59" s="37"/>
      <c r="K59" s="37"/>
      <c r="L59" s="32">
        <v>16</v>
      </c>
      <c r="M59" s="32">
        <f t="shared" si="13"/>
        <v>3</v>
      </c>
      <c r="N59" s="32">
        <f t="shared" si="14"/>
        <v>2</v>
      </c>
      <c r="O59" s="32">
        <f t="shared" si="15"/>
        <v>0.21052631578947367</v>
      </c>
      <c r="P59" s="32">
        <f>IF(OR($A59="",N($C59)&lt;=7),"",$G$6*$G$9^($M59-1)*IF(AND(MOD($M59,Reference!$B$99)=0,$M59&lt;=$G$5-2),Reference!$B$100,1))</f>
        <v>101.26670033263869</v>
      </c>
      <c r="Q59" s="32">
        <f>IF($P59="","",IF(SUM($AK$57:$AK$63)=0,0,$P59*INDEX(Reference!$B$108:$B$114,$N59+1)/SUM($AK$57:$AK$63)))</f>
        <v>0</v>
      </c>
      <c r="R59" s="32">
        <f t="shared" si="16"/>
        <v>90</v>
      </c>
      <c r="S59" s="32">
        <f t="shared" si="17"/>
        <v>90</v>
      </c>
      <c r="T59" s="32" t="str">
        <f>IF($A59="","",IF($C59=0,"Bullpen",IF(OR($C59=7,$C59=1,$C59=5),"Recovery/Easy Catch",IF($C59=6,"Compression/Pulldowns",IF(OR($C59=4,$C59=2),"Long Toss",IF($C59=3,"No Throw",IF($N59=2,"No Throw",IF($N59=6,IF($O59&lt;Reference!$B$104,"No Throw","Recovery/Easy Catch"),IF(OR($N59=0,$N59=4),"Recovery/Easy Catch",IF($N59=1,IF($R59&gt;75,"Long Toss","Recovery/Easy Catch"),IF($N59=3,IF($O59&lt;0.5,IF($S59&gt;75,"Long Toss","Recovery/Easy Catch"),"Compression/Pulldowns"),IF($S59&gt;75,"Long Toss","Recovery/Easy Catch"))))))))))))</f>
        <v>No Throw</v>
      </c>
      <c r="U59" s="32" t="str">
        <f t="shared" si="18"/>
        <v/>
      </c>
      <c r="V59" s="32" t="str">
        <f t="shared" si="19"/>
        <v/>
      </c>
      <c r="W59" s="32" t="str">
        <f t="shared" si="20"/>
        <v/>
      </c>
      <c r="X59" s="32">
        <f t="shared" si="21"/>
        <v>0</v>
      </c>
      <c r="Y59" s="32" t="str">
        <f t="shared" si="22"/>
        <v/>
      </c>
      <c r="Z59" s="32" t="str">
        <f t="shared" si="23"/>
        <v/>
      </c>
      <c r="AA59" s="32" t="str">
        <f t="shared" si="24"/>
        <v/>
      </c>
      <c r="AB59" s="32">
        <f>IF($A59="","",IF($T59="No Throw",0,IF($K59&lt;&gt;"",$K59,IF($AA59&lt;&gt;"",ROUND($AA59*$D$12*IF($C59=0,1,$G$10),0),MIN(IF($T59="Recovery/Easy Catch",Reference!$B$103,IF($T59="Long Toss",Reference!$B$106,Reference!$B$102)),MAX(Reference!$B$101,ROUND(MAX(0,$Q59-$AE59)/$AF59,0)))))))</f>
        <v>0</v>
      </c>
      <c r="AC59" s="32">
        <f t="shared" si="25"/>
        <v>0</v>
      </c>
      <c r="AD59" s="32" t="b">
        <f t="shared" si="26"/>
        <v>1</v>
      </c>
      <c r="AE59" s="32">
        <f>IF($X59=0,0,$X59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59+$Z59)/2,0),Reference!$A$17:$B$20,2,TRUE()))</f>
        <v>0</v>
      </c>
      <c r="AF59" s="32">
        <f>IF(OR($A59="",$U59="",$T59="No Throw"),0,$AM59*VLOOKUP(MAX(($V59+$W59)/2,0),Reference!$A$17:$B$20,2,TRUE()))</f>
        <v>0</v>
      </c>
      <c r="AG59" s="32">
        <f>IF($AC59=0,0,$AC59*INDEX(Reference!$B$61:$B$62,MATCH("Bullpen",Reference!$A$61:$A$62,0))*VLOOKUP(MAX($D$5-($D$9+$E$9)/2,0),Reference!$A$17:$B$20,2,TRUE()))</f>
        <v>0</v>
      </c>
      <c r="AH59" s="32" t="e">
        <f t="shared" si="27"/>
        <v>#N/A</v>
      </c>
      <c r="AI59" s="32">
        <f>IF($A59="",NA(),Reference!$A$25)</f>
        <v>0.8</v>
      </c>
      <c r="AJ59" s="32">
        <f t="shared" si="28"/>
        <v>1.3</v>
      </c>
      <c r="AK59" s="32">
        <f>IF(OR($A59="",N($C59)&lt;=7,$T59="No Throw",$J59="x"),0,INDEX(Reference!$B$108:$B$114,$N59+1))</f>
        <v>0</v>
      </c>
      <c r="AL59" s="32">
        <f t="shared" si="29"/>
        <v>1</v>
      </c>
      <c r="AM59" s="32">
        <f>IF($U59="",0,IF($AL59&gt;1,((IF(1&lt;=$AL59,($AL59-1+3)*(INDEX(Reference!$B$6:$B$11,MIN(5,MATCH(MAX(Reference!$A$6,MIN(Reference!$A$11,MIN($U59,90))),Reference!$A$6:$A$11,1)))+(MAX(Reference!$A$6,MIN(Reference!$A$11,MIN($U59,90)))-INDEX(Reference!$A$6:$A$11,MIN(5,MATCH(MAX(Reference!$A$6,MIN(Reference!$A$11,MIN($U59,90))),Reference!$A$6:$A$11,1))))*(INDEX(Reference!$B$6:$B$11,MIN(5,MATCH(MAX(Reference!$A$6,MIN(Reference!$A$11,MIN($U59,90))),Reference!$A$6:$A$11,1))+1)-INDEX(Reference!$B$6:$B$11,MIN(5,MATCH(MAX(Reference!$A$6,MIN(Reference!$A$11,MIN($U59,90))),Reference!$A$6:$A$11,1))))/(INDEX(Reference!$A$6:$A$11,MIN(5,MATCH(MAX(Reference!$A$6,MIN(Reference!$A$11,MIN($U59,90))),Reference!$A$6:$A$11,1))+1)-INDEX(Reference!$A$6:$A$11,MIN(5,MATCH(MAX(Reference!$A$6,MIN(Reference!$A$11,MIN($U59,90))),Reference!$A$6:$A$11,1))))),0)+IF(2&lt;=$AL59,($AL59-2+3)*(INDEX(Reference!$B$6:$B$11,MIN(5,MATCH(MAX(Reference!$A$6,MIN(Reference!$A$11,MIN($U59,120))),Reference!$A$6:$A$11,1)))+(MAX(Reference!$A$6,MIN(Reference!$A$11,MIN($U59,120)))-INDEX(Reference!$A$6:$A$11,MIN(5,MATCH(MAX(Reference!$A$6,MIN(Reference!$A$11,MIN($U59,120))),Reference!$A$6:$A$11,1))))*(INDEX(Reference!$B$6:$B$11,MIN(5,MATCH(MAX(Reference!$A$6,MIN(Reference!$A$11,MIN($U59,120))),Reference!$A$6:$A$11,1))+1)-INDEX(Reference!$B$6:$B$11,MIN(5,MATCH(MAX(Reference!$A$6,MIN(Reference!$A$11,MIN($U59,120))),Reference!$A$6:$A$11,1))))/(INDEX(Reference!$A$6:$A$11,MIN(5,MATCH(MAX(Reference!$A$6,MIN(Reference!$A$11,MIN($U59,120))),Reference!$A$6:$A$11,1))+1)-INDEX(Reference!$A$6:$A$11,MIN(5,MATCH(MAX(Reference!$A$6,MIN(Reference!$A$11,MIN($U59,120))),Reference!$A$6:$A$11,1))))),0)+IF(3&lt;=$AL59,($AL59-3+3)*(INDEX(Reference!$B$6:$B$11,MIN(5,MATCH(MAX(Reference!$A$6,MIN(Reference!$A$11,MIN($U59,150))),Reference!$A$6:$A$11,1)))+(MAX(Reference!$A$6,MIN(Reference!$A$11,MIN($U59,150)))-INDEX(Reference!$A$6:$A$11,MIN(5,MATCH(MAX(Reference!$A$6,MIN(Reference!$A$11,MIN($U59,150))),Reference!$A$6:$A$11,1))))*(INDEX(Reference!$B$6:$B$11,MIN(5,MATCH(MAX(Reference!$A$6,MIN(Reference!$A$11,MIN($U59,150))),Reference!$A$6:$A$11,1))+1)-INDEX(Reference!$B$6:$B$11,MIN(5,MATCH(MAX(Reference!$A$6,MIN(Reference!$A$11,MIN($U59,150))),Reference!$A$6:$A$11,1))))/(INDEX(Reference!$A$6:$A$11,MIN(5,MATCH(MAX(Reference!$A$6,MIN(Reference!$A$11,MIN($U59,150))),Reference!$A$6:$A$11,1))+1)-INDEX(Reference!$A$6:$A$11,MIN(5,MATCH(MAX(Reference!$A$6,MIN(Reference!$A$11,MIN($U59,150))),Reference!$A$6:$A$11,1))))),0)+IF(4&lt;=$AL59,($AL59-4+3)*(INDEX(Reference!$B$6:$B$11,MIN(5,MATCH(MAX(Reference!$A$6,MIN(Reference!$A$11,MIN($U59,180))),Reference!$A$6:$A$11,1)))+(MAX(Reference!$A$6,MIN(Reference!$A$11,MIN($U59,180)))-INDEX(Reference!$A$6:$A$11,MIN(5,MATCH(MAX(Reference!$A$6,MIN(Reference!$A$11,MIN($U59,180))),Reference!$A$6:$A$11,1))))*(INDEX(Reference!$B$6:$B$11,MIN(5,MATCH(MAX(Reference!$A$6,MIN(Reference!$A$11,MIN($U59,180))),Reference!$A$6:$A$11,1))+1)-INDEX(Reference!$B$6:$B$11,MIN(5,MATCH(MAX(Reference!$A$6,MIN(Reference!$A$11,MIN($U59,180))),Reference!$A$6:$A$11,1))))/(INDEX(Reference!$A$6:$A$11,MIN(5,MATCH(MAX(Reference!$A$6,MIN(Reference!$A$11,MIN($U59,180))),Reference!$A$6:$A$11,1))+1)-INDEX(Reference!$A$6:$A$11,MIN(5,MATCH(MAX(Reference!$A$6,MIN(Reference!$A$11,MIN($U59,180))),Reference!$A$6:$A$11,1))))),0)+IF(5&lt;=$AL59,($AL59-5+3)*(INDEX(Reference!$B$6:$B$11,MIN(5,MATCH(MAX(Reference!$A$6,MIN(Reference!$A$11,MIN($U59,210))),Reference!$A$6:$A$11,1)))+(MAX(Reference!$A$6,MIN(Reference!$A$11,MIN($U59,210)))-INDEX(Reference!$A$6:$A$11,MIN(5,MATCH(MAX(Reference!$A$6,MIN(Reference!$A$11,MIN($U59,210))),Reference!$A$6:$A$11,1))))*(INDEX(Reference!$B$6:$B$11,MIN(5,MATCH(MAX(Reference!$A$6,MIN(Reference!$A$11,MIN($U59,210))),Reference!$A$6:$A$11,1))+1)-INDEX(Reference!$B$6:$B$11,MIN(5,MATCH(MAX(Reference!$A$6,MIN(Reference!$A$11,MIN($U59,210))),Reference!$A$6:$A$11,1))))/(INDEX(Reference!$A$6:$A$11,MIN(5,MATCH(MAX(Reference!$A$6,MIN(Reference!$A$11,MIN($U59,210))),Reference!$A$6:$A$11,1))+1)-INDEX(Reference!$A$6:$A$11,MIN(5,MATCH(MAX(Reference!$A$6,MIN(Reference!$A$11,MIN($U59,210))),Reference!$A$6:$A$11,1))))),0)+IF(6&lt;=$AL59,($AL59-6+3)*(INDEX(Reference!$B$6:$B$11,MIN(5,MATCH(MAX(Reference!$A$6,MIN(Reference!$A$11,MIN($U59,240))),Reference!$A$6:$A$11,1)))+(MAX(Reference!$A$6,MIN(Reference!$A$11,MIN($U59,240)))-INDEX(Reference!$A$6:$A$11,MIN(5,MATCH(MAX(Reference!$A$6,MIN(Reference!$A$11,MIN($U59,240))),Reference!$A$6:$A$11,1))))*(INDEX(Reference!$B$6:$B$11,MIN(5,MATCH(MAX(Reference!$A$6,MIN(Reference!$A$11,MIN($U59,240))),Reference!$A$6:$A$11,1))+1)-INDEX(Reference!$B$6:$B$11,MIN(5,MATCH(MAX(Reference!$A$6,MIN(Reference!$A$11,MIN($U59,240))),Reference!$A$6:$A$11,1))))/(INDEX(Reference!$A$6:$A$11,MIN(5,MATCH(MAX(Reference!$A$6,MIN(Reference!$A$11,MIN($U59,240))),Reference!$A$6:$A$11,1))+1)-INDEX(Reference!$A$6:$A$11,MIN(5,MATCH(MAX(Reference!$A$6,MIN(Reference!$A$11,MIN($U59,240))),Reference!$A$6:$A$11,1))))),0)+IF(7&lt;=$AL59,($AL59-7+3)*(INDEX(Reference!$B$6:$B$11,MIN(5,MATCH(MAX(Reference!$A$6,MIN(Reference!$A$11,MIN($U59,270))),Reference!$A$6:$A$11,1)))+(MAX(Reference!$A$6,MIN(Reference!$A$11,MIN($U59,270)))-INDEX(Reference!$A$6:$A$11,MIN(5,MATCH(MAX(Reference!$A$6,MIN(Reference!$A$11,MIN($U59,270))),Reference!$A$6:$A$11,1))))*(INDEX(Reference!$B$6:$B$11,MIN(5,MATCH(MAX(Reference!$A$6,MIN(Reference!$A$11,MIN($U59,270))),Reference!$A$6:$A$11,1))+1)-INDEX(Reference!$B$6:$B$11,MIN(5,MATCH(MAX(Reference!$A$6,MIN(Reference!$A$11,MIN($U59,270))),Reference!$A$6:$A$11,1))))/(INDEX(Reference!$A$6:$A$11,MIN(5,MATCH(MAX(Reference!$A$6,MIN(Reference!$A$11,MIN($U59,270))),Reference!$A$6:$A$11,1))+1)-INDEX(Reference!$A$6:$A$11,MIN(5,MATCH(MAX(Reference!$A$6,MIN(Reference!$A$11,MIN($U59,270))),Reference!$A$6:$A$11,1))))),0)+IF(8&lt;=$AL59,($AL59-8+3)*(INDEX(Reference!$B$6:$B$11,MIN(5,MATCH(MAX(Reference!$A$6,MIN(Reference!$A$11,MIN($U59,300))),Reference!$A$6:$A$11,1)))+(MAX(Reference!$A$6,MIN(Reference!$A$11,MIN($U59,300)))-INDEX(Reference!$A$6:$A$11,MIN(5,MATCH(MAX(Reference!$A$6,MIN(Reference!$A$11,MIN($U59,300))),Reference!$A$6:$A$11,1))))*(INDEX(Reference!$B$6:$B$11,MIN(5,MATCH(MAX(Reference!$A$6,MIN(Reference!$A$11,MIN($U59,300))),Reference!$A$6:$A$11,1))+1)-INDEX(Reference!$B$6:$B$11,MIN(5,MATCH(MAX(Reference!$A$6,MIN(Reference!$A$11,MIN($U59,300))),Reference!$A$6:$A$11,1))))/(INDEX(Reference!$A$6:$A$11,MIN(5,MATCH(MAX(Reference!$A$6,MIN(Reference!$A$11,MIN($U59,300))),Reference!$A$6:$A$11,1))+1)-INDEX(Reference!$A$6:$A$11,MIN(5,MATCH(MAX(Reference!$A$6,MIN(Reference!$A$11,MIN($U59,300))),Reference!$A$6:$A$11,1))))),0))/($AL59*($AL59+5)/2)),$AN59))</f>
        <v>0</v>
      </c>
      <c r="AN59" s="32">
        <f>IF($U59="",0,(INDEX(Reference!$B$6:$B$11,MIN(5,MATCH(MAX(Reference!$A$6,MIN(Reference!$A$11,$U59)),Reference!$A$6:$A$11,1)))+(MAX(Reference!$A$6,MIN(Reference!$A$11,$U59))-INDEX(Reference!$A$6:$A$11,MIN(5,MATCH(MAX(Reference!$A$6,MIN(Reference!$A$11,$U59)),Reference!$A$6:$A$11,1))))*(INDEX(Reference!$B$6:$B$11,MIN(5,MATCH(MAX(Reference!$A$6,MIN(Reference!$A$11,$U59)),Reference!$A$6:$A$11,1))+1)-INDEX(Reference!$B$6:$B$11,MIN(5,MATCH(MAX(Reference!$A$6,MIN(Reference!$A$11,$U59)),Reference!$A$6:$A$11,1))))/(INDEX(Reference!$A$6:$A$11,MIN(5,MATCH(MAX(Reference!$A$6,MIN(Reference!$A$11,$U59)),Reference!$A$6:$A$11,1))+1)-INDEX(Reference!$A$6:$A$11,MIN(5,MATCH(MAX(Reference!$A$6,MIN(Reference!$A$11,$U59)),Reference!$A$6:$A$11,1))))))</f>
        <v>0</v>
      </c>
      <c r="AO59" s="37"/>
      <c r="AP59" s="37"/>
      <c r="AQ59" s="37"/>
    </row>
    <row r="60" spans="1:43" x14ac:dyDescent="0.3">
      <c r="A60" s="48">
        <f t="shared" si="5"/>
        <v>46324</v>
      </c>
      <c r="B60" s="32" t="str">
        <f t="shared" si="6"/>
        <v>Thu</v>
      </c>
      <c r="C60" s="32">
        <f t="shared" si="7"/>
        <v>67</v>
      </c>
      <c r="D60" s="32" t="str">
        <f t="shared" si="8"/>
        <v>Base</v>
      </c>
      <c r="E60" s="32" t="str">
        <f t="shared" si="9"/>
        <v>Medium</v>
      </c>
      <c r="F60" s="32" t="str">
        <f t="shared" si="10"/>
        <v>Long Toss</v>
      </c>
      <c r="G60" s="47" t="str">
        <f t="shared" si="11"/>
        <v>90 ft × 25 @ 69–73 mph + 60 ft × 10 @ 73–77 mph</v>
      </c>
      <c r="H60" s="30">
        <f t="shared" si="12"/>
        <v>25.5</v>
      </c>
      <c r="I60" s="46" t="str">
        <f>IF($A60="","",IF(AND($L60&lt;27,$K$12=0),"Building",IFERROR(((SUM($H$54:$H60)+$K$12*IF($L60&lt;6,SUMIFS('Throw Log'!$Q$5:$Q$300,'Throw Log'!$B$5:$B$300,$D$4,'Throw Log'!$A$5:$A$300,"&gt;="&amp;($D$6+$L60-6),'Throw Log'!$A$5:$A$300,"&lt;="&amp;($D$6-1)),0))/7)/((SUM($H$43:$H60)+$K$12*IF($L60&lt;27,SUMIFS('Throw Log'!$Q$5:$Q$300,'Throw Log'!$B$5:$B$300,$D$4,'Throw Log'!$A$5:$A$300,"&gt;="&amp;($D$6+$L60-27),'Throw Log'!$A$5:$A$300,"&lt;="&amp;($D$6-1)),0))/28),"")))</f>
        <v>Building</v>
      </c>
      <c r="J60" s="37"/>
      <c r="K60" s="37">
        <v>25</v>
      </c>
      <c r="L60" s="32">
        <v>17</v>
      </c>
      <c r="M60" s="32">
        <f t="shared" si="13"/>
        <v>3</v>
      </c>
      <c r="N60" s="32">
        <f t="shared" si="14"/>
        <v>3</v>
      </c>
      <c r="O60" s="32">
        <f t="shared" si="15"/>
        <v>0.22368421052631579</v>
      </c>
      <c r="P60" s="32">
        <f>IF(OR($A60="",N($C60)&lt;=7),"",$G$6*$G$9^($M60-1)*IF(AND(MOD($M60,Reference!$B$99)=0,$M60&lt;=$G$5-2),Reference!$B$100,1))</f>
        <v>101.26670033263869</v>
      </c>
      <c r="Q60" s="32">
        <f>IF($P60="","",IF(SUM($AK$57:$AK$63)=0,0,$P60*INDEX(Reference!$B$108:$B$114,$N60+1)/SUM($AK$57:$AK$63)))</f>
        <v>24.304008079833284</v>
      </c>
      <c r="R60" s="32">
        <f t="shared" si="16"/>
        <v>90</v>
      </c>
      <c r="S60" s="32">
        <f t="shared" si="17"/>
        <v>90</v>
      </c>
      <c r="T60" s="32" t="str">
        <f>IF($A60="","",IF($C60=0,"Bullpen",IF(OR($C60=7,$C60=1,$C60=5),"Recovery/Easy Catch",IF($C60=6,"Compression/Pulldowns",IF(OR($C60=4,$C60=2),"Long Toss",IF($C60=3,"No Throw",IF($N60=2,"No Throw",IF($N60=6,IF($O60&lt;Reference!$B$104,"No Throw","Recovery/Easy Catch"),IF(OR($N60=0,$N60=4),"Recovery/Easy Catch",IF($N60=1,IF($R60&gt;75,"Long Toss","Recovery/Easy Catch"),IF($N60=3,IF($O60&lt;0.5,IF($S60&gt;75,"Long Toss","Recovery/Easy Catch"),"Compression/Pulldowns"),IF($S60&gt;75,"Long Toss","Recovery/Easy Catch"))))))))))))</f>
        <v>Long Toss</v>
      </c>
      <c r="U60" s="32">
        <f t="shared" si="18"/>
        <v>90</v>
      </c>
      <c r="V60" s="32">
        <f t="shared" si="19"/>
        <v>18</v>
      </c>
      <c r="W60" s="32">
        <f t="shared" si="20"/>
        <v>22</v>
      </c>
      <c r="X60" s="32">
        <f t="shared" si="21"/>
        <v>10</v>
      </c>
      <c r="Y60" s="32">
        <f t="shared" si="22"/>
        <v>14</v>
      </c>
      <c r="Z60" s="32">
        <f t="shared" si="23"/>
        <v>18</v>
      </c>
      <c r="AA60" s="32" t="str">
        <f t="shared" si="24"/>
        <v/>
      </c>
      <c r="AB60" s="32">
        <f>IF($A60="","",IF($T60="No Throw",0,IF($K60&lt;&gt;"",$K60,IF($AA60&lt;&gt;"",ROUND($AA60*$D$12*IF($C60=0,1,$G$10),0),MIN(IF($T60="Recovery/Easy Catch",Reference!$B$103,IF($T60="Long Toss",Reference!$B$106,Reference!$B$102)),MAX(Reference!$B$101,ROUND(MAX(0,$Q60-$AE60)/$AF60,0)))))))</f>
        <v>25</v>
      </c>
      <c r="AC60" s="32">
        <f t="shared" si="25"/>
        <v>0</v>
      </c>
      <c r="AD60" s="32" t="b">
        <f t="shared" si="26"/>
        <v>0</v>
      </c>
      <c r="AE60" s="32">
        <f>IF($X60=0,0,$X60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60+$Z60)/2,0),Reference!$A$17:$B$20,2,TRUE()))</f>
        <v>6</v>
      </c>
      <c r="AF60" s="32">
        <f>IF(OR($A60="",$U60="",$T60="No Throw"),0,$AM60*VLOOKUP(MAX(($V60+$W60)/2,0),Reference!$A$17:$B$20,2,TRUE()))</f>
        <v>0.78</v>
      </c>
      <c r="AG60" s="32">
        <f>IF($AC60=0,0,$AC60*INDEX(Reference!$B$61:$B$62,MATCH("Bullpen",Reference!$A$61:$A$62,0))*VLOOKUP(MAX($D$5-($D$9+$E$9)/2,0),Reference!$A$17:$B$20,2,TRUE()))</f>
        <v>0</v>
      </c>
      <c r="AH60" s="32" t="e">
        <f t="shared" si="27"/>
        <v>#N/A</v>
      </c>
      <c r="AI60" s="32">
        <f>IF($A60="",NA(),Reference!$A$25)</f>
        <v>0.8</v>
      </c>
      <c r="AJ60" s="32">
        <f t="shared" si="28"/>
        <v>1.3</v>
      </c>
      <c r="AK60" s="56">
        <f>IF(OR($A60="",N($C60)&lt;=7,$T60="No Throw",$J60="x"),0,INDEX(Reference!$B$108:$B$114,$N60+1))</f>
        <v>0.24</v>
      </c>
      <c r="AL60" s="32">
        <f t="shared" si="29"/>
        <v>1</v>
      </c>
      <c r="AM60" s="32">
        <f>IF($U60="",0,IF($AL60&gt;1,((IF(1&lt;=$AL60,($AL60-1+3)*(INDEX(Reference!$B$6:$B$11,MIN(5,MATCH(MAX(Reference!$A$6,MIN(Reference!$A$11,MIN($U60,90))),Reference!$A$6:$A$11,1)))+(MAX(Reference!$A$6,MIN(Reference!$A$11,MIN($U60,90)))-INDEX(Reference!$A$6:$A$11,MIN(5,MATCH(MAX(Reference!$A$6,MIN(Reference!$A$11,MIN($U60,90))),Reference!$A$6:$A$11,1))))*(INDEX(Reference!$B$6:$B$11,MIN(5,MATCH(MAX(Reference!$A$6,MIN(Reference!$A$11,MIN($U60,90))),Reference!$A$6:$A$11,1))+1)-INDEX(Reference!$B$6:$B$11,MIN(5,MATCH(MAX(Reference!$A$6,MIN(Reference!$A$11,MIN($U60,90))),Reference!$A$6:$A$11,1))))/(INDEX(Reference!$A$6:$A$11,MIN(5,MATCH(MAX(Reference!$A$6,MIN(Reference!$A$11,MIN($U60,90))),Reference!$A$6:$A$11,1))+1)-INDEX(Reference!$A$6:$A$11,MIN(5,MATCH(MAX(Reference!$A$6,MIN(Reference!$A$11,MIN($U60,90))),Reference!$A$6:$A$11,1))))),0)+IF(2&lt;=$AL60,($AL60-2+3)*(INDEX(Reference!$B$6:$B$11,MIN(5,MATCH(MAX(Reference!$A$6,MIN(Reference!$A$11,MIN($U60,120))),Reference!$A$6:$A$11,1)))+(MAX(Reference!$A$6,MIN(Reference!$A$11,MIN($U60,120)))-INDEX(Reference!$A$6:$A$11,MIN(5,MATCH(MAX(Reference!$A$6,MIN(Reference!$A$11,MIN($U60,120))),Reference!$A$6:$A$11,1))))*(INDEX(Reference!$B$6:$B$11,MIN(5,MATCH(MAX(Reference!$A$6,MIN(Reference!$A$11,MIN($U60,120))),Reference!$A$6:$A$11,1))+1)-INDEX(Reference!$B$6:$B$11,MIN(5,MATCH(MAX(Reference!$A$6,MIN(Reference!$A$11,MIN($U60,120))),Reference!$A$6:$A$11,1))))/(INDEX(Reference!$A$6:$A$11,MIN(5,MATCH(MAX(Reference!$A$6,MIN(Reference!$A$11,MIN($U60,120))),Reference!$A$6:$A$11,1))+1)-INDEX(Reference!$A$6:$A$11,MIN(5,MATCH(MAX(Reference!$A$6,MIN(Reference!$A$11,MIN($U60,120))),Reference!$A$6:$A$11,1))))),0)+IF(3&lt;=$AL60,($AL60-3+3)*(INDEX(Reference!$B$6:$B$11,MIN(5,MATCH(MAX(Reference!$A$6,MIN(Reference!$A$11,MIN($U60,150))),Reference!$A$6:$A$11,1)))+(MAX(Reference!$A$6,MIN(Reference!$A$11,MIN($U60,150)))-INDEX(Reference!$A$6:$A$11,MIN(5,MATCH(MAX(Reference!$A$6,MIN(Reference!$A$11,MIN($U60,150))),Reference!$A$6:$A$11,1))))*(INDEX(Reference!$B$6:$B$11,MIN(5,MATCH(MAX(Reference!$A$6,MIN(Reference!$A$11,MIN($U60,150))),Reference!$A$6:$A$11,1))+1)-INDEX(Reference!$B$6:$B$11,MIN(5,MATCH(MAX(Reference!$A$6,MIN(Reference!$A$11,MIN($U60,150))),Reference!$A$6:$A$11,1))))/(INDEX(Reference!$A$6:$A$11,MIN(5,MATCH(MAX(Reference!$A$6,MIN(Reference!$A$11,MIN($U60,150))),Reference!$A$6:$A$11,1))+1)-INDEX(Reference!$A$6:$A$11,MIN(5,MATCH(MAX(Reference!$A$6,MIN(Reference!$A$11,MIN($U60,150))),Reference!$A$6:$A$11,1))))),0)+IF(4&lt;=$AL60,($AL60-4+3)*(INDEX(Reference!$B$6:$B$11,MIN(5,MATCH(MAX(Reference!$A$6,MIN(Reference!$A$11,MIN($U60,180))),Reference!$A$6:$A$11,1)))+(MAX(Reference!$A$6,MIN(Reference!$A$11,MIN($U60,180)))-INDEX(Reference!$A$6:$A$11,MIN(5,MATCH(MAX(Reference!$A$6,MIN(Reference!$A$11,MIN($U60,180))),Reference!$A$6:$A$11,1))))*(INDEX(Reference!$B$6:$B$11,MIN(5,MATCH(MAX(Reference!$A$6,MIN(Reference!$A$11,MIN($U60,180))),Reference!$A$6:$A$11,1))+1)-INDEX(Reference!$B$6:$B$11,MIN(5,MATCH(MAX(Reference!$A$6,MIN(Reference!$A$11,MIN($U60,180))),Reference!$A$6:$A$11,1))))/(INDEX(Reference!$A$6:$A$11,MIN(5,MATCH(MAX(Reference!$A$6,MIN(Reference!$A$11,MIN($U60,180))),Reference!$A$6:$A$11,1))+1)-INDEX(Reference!$A$6:$A$11,MIN(5,MATCH(MAX(Reference!$A$6,MIN(Reference!$A$11,MIN($U60,180))),Reference!$A$6:$A$11,1))))),0)+IF(5&lt;=$AL60,($AL60-5+3)*(INDEX(Reference!$B$6:$B$11,MIN(5,MATCH(MAX(Reference!$A$6,MIN(Reference!$A$11,MIN($U60,210))),Reference!$A$6:$A$11,1)))+(MAX(Reference!$A$6,MIN(Reference!$A$11,MIN($U60,210)))-INDEX(Reference!$A$6:$A$11,MIN(5,MATCH(MAX(Reference!$A$6,MIN(Reference!$A$11,MIN($U60,210))),Reference!$A$6:$A$11,1))))*(INDEX(Reference!$B$6:$B$11,MIN(5,MATCH(MAX(Reference!$A$6,MIN(Reference!$A$11,MIN($U60,210))),Reference!$A$6:$A$11,1))+1)-INDEX(Reference!$B$6:$B$11,MIN(5,MATCH(MAX(Reference!$A$6,MIN(Reference!$A$11,MIN($U60,210))),Reference!$A$6:$A$11,1))))/(INDEX(Reference!$A$6:$A$11,MIN(5,MATCH(MAX(Reference!$A$6,MIN(Reference!$A$11,MIN($U60,210))),Reference!$A$6:$A$11,1))+1)-INDEX(Reference!$A$6:$A$11,MIN(5,MATCH(MAX(Reference!$A$6,MIN(Reference!$A$11,MIN($U60,210))),Reference!$A$6:$A$11,1))))),0)+IF(6&lt;=$AL60,($AL60-6+3)*(INDEX(Reference!$B$6:$B$11,MIN(5,MATCH(MAX(Reference!$A$6,MIN(Reference!$A$11,MIN($U60,240))),Reference!$A$6:$A$11,1)))+(MAX(Reference!$A$6,MIN(Reference!$A$11,MIN($U60,240)))-INDEX(Reference!$A$6:$A$11,MIN(5,MATCH(MAX(Reference!$A$6,MIN(Reference!$A$11,MIN($U60,240))),Reference!$A$6:$A$11,1))))*(INDEX(Reference!$B$6:$B$11,MIN(5,MATCH(MAX(Reference!$A$6,MIN(Reference!$A$11,MIN($U60,240))),Reference!$A$6:$A$11,1))+1)-INDEX(Reference!$B$6:$B$11,MIN(5,MATCH(MAX(Reference!$A$6,MIN(Reference!$A$11,MIN($U60,240))),Reference!$A$6:$A$11,1))))/(INDEX(Reference!$A$6:$A$11,MIN(5,MATCH(MAX(Reference!$A$6,MIN(Reference!$A$11,MIN($U60,240))),Reference!$A$6:$A$11,1))+1)-INDEX(Reference!$A$6:$A$11,MIN(5,MATCH(MAX(Reference!$A$6,MIN(Reference!$A$11,MIN($U60,240))),Reference!$A$6:$A$11,1))))),0)+IF(7&lt;=$AL60,($AL60-7+3)*(INDEX(Reference!$B$6:$B$11,MIN(5,MATCH(MAX(Reference!$A$6,MIN(Reference!$A$11,MIN($U60,270))),Reference!$A$6:$A$11,1)))+(MAX(Reference!$A$6,MIN(Reference!$A$11,MIN($U60,270)))-INDEX(Reference!$A$6:$A$11,MIN(5,MATCH(MAX(Reference!$A$6,MIN(Reference!$A$11,MIN($U60,270))),Reference!$A$6:$A$11,1))))*(INDEX(Reference!$B$6:$B$11,MIN(5,MATCH(MAX(Reference!$A$6,MIN(Reference!$A$11,MIN($U60,270))),Reference!$A$6:$A$11,1))+1)-INDEX(Reference!$B$6:$B$11,MIN(5,MATCH(MAX(Reference!$A$6,MIN(Reference!$A$11,MIN($U60,270))),Reference!$A$6:$A$11,1))))/(INDEX(Reference!$A$6:$A$11,MIN(5,MATCH(MAX(Reference!$A$6,MIN(Reference!$A$11,MIN($U60,270))),Reference!$A$6:$A$11,1))+1)-INDEX(Reference!$A$6:$A$11,MIN(5,MATCH(MAX(Reference!$A$6,MIN(Reference!$A$11,MIN($U60,270))),Reference!$A$6:$A$11,1))))),0)+IF(8&lt;=$AL60,($AL60-8+3)*(INDEX(Reference!$B$6:$B$11,MIN(5,MATCH(MAX(Reference!$A$6,MIN(Reference!$A$11,MIN($U60,300))),Reference!$A$6:$A$11,1)))+(MAX(Reference!$A$6,MIN(Reference!$A$11,MIN($U60,300)))-INDEX(Reference!$A$6:$A$11,MIN(5,MATCH(MAX(Reference!$A$6,MIN(Reference!$A$11,MIN($U60,300))),Reference!$A$6:$A$11,1))))*(INDEX(Reference!$B$6:$B$11,MIN(5,MATCH(MAX(Reference!$A$6,MIN(Reference!$A$11,MIN($U60,300))),Reference!$A$6:$A$11,1))+1)-INDEX(Reference!$B$6:$B$11,MIN(5,MATCH(MAX(Reference!$A$6,MIN(Reference!$A$11,MIN($U60,300))),Reference!$A$6:$A$11,1))))/(INDEX(Reference!$A$6:$A$11,MIN(5,MATCH(MAX(Reference!$A$6,MIN(Reference!$A$11,MIN($U60,300))),Reference!$A$6:$A$11,1))+1)-INDEX(Reference!$A$6:$A$11,MIN(5,MATCH(MAX(Reference!$A$6,MIN(Reference!$A$11,MIN($U60,300))),Reference!$A$6:$A$11,1))))),0))/($AL60*($AL60+5)/2)),$AN60))</f>
        <v>1.3</v>
      </c>
      <c r="AN60" s="32">
        <f>IF($U60="",0,(INDEX(Reference!$B$6:$B$11,MIN(5,MATCH(MAX(Reference!$A$6,MIN(Reference!$A$11,$U60)),Reference!$A$6:$A$11,1)))+(MAX(Reference!$A$6,MIN(Reference!$A$11,$U60))-INDEX(Reference!$A$6:$A$11,MIN(5,MATCH(MAX(Reference!$A$6,MIN(Reference!$A$11,$U60)),Reference!$A$6:$A$11,1))))*(INDEX(Reference!$B$6:$B$11,MIN(5,MATCH(MAX(Reference!$A$6,MIN(Reference!$A$11,$U60)),Reference!$A$6:$A$11,1))+1)-INDEX(Reference!$B$6:$B$11,MIN(5,MATCH(MAX(Reference!$A$6,MIN(Reference!$A$11,$U60)),Reference!$A$6:$A$11,1))))/(INDEX(Reference!$A$6:$A$11,MIN(5,MATCH(MAX(Reference!$A$6,MIN(Reference!$A$11,$U60)),Reference!$A$6:$A$11,1))+1)-INDEX(Reference!$A$6:$A$11,MIN(5,MATCH(MAX(Reference!$A$6,MIN(Reference!$A$11,$U60)),Reference!$A$6:$A$11,1))))))</f>
        <v>1.3</v>
      </c>
      <c r="AO60" s="37"/>
      <c r="AP60" s="37"/>
      <c r="AQ60" s="37"/>
    </row>
    <row r="61" spans="1:43" x14ac:dyDescent="0.3">
      <c r="A61" s="48">
        <f t="shared" si="5"/>
        <v>46325</v>
      </c>
      <c r="B61" s="32" t="str">
        <f t="shared" si="6"/>
        <v>Fri</v>
      </c>
      <c r="C61" s="32">
        <f t="shared" si="7"/>
        <v>66</v>
      </c>
      <c r="D61" s="32" t="str">
        <f t="shared" si="8"/>
        <v>Base</v>
      </c>
      <c r="E61" s="32" t="str">
        <f t="shared" si="9"/>
        <v>Low</v>
      </c>
      <c r="F61" s="32" t="str">
        <f t="shared" si="10"/>
        <v>Recovery/Easy Catch</v>
      </c>
      <c r="G61" s="47" t="str">
        <f t="shared" si="11"/>
        <v>60 ft × 20 @ 67–71 mph</v>
      </c>
      <c r="H61" s="30">
        <f t="shared" si="12"/>
        <v>12</v>
      </c>
      <c r="I61" s="46" t="str">
        <f>IF($A61="","",IF(AND($L61&lt;27,$K$12=0),"Building",IFERROR(((SUM($H$55:$H61)+$K$12*IF($L61&lt;6,SUMIFS('Throw Log'!$Q$5:$Q$300,'Throw Log'!$B$5:$B$300,$D$4,'Throw Log'!$A$5:$A$300,"&gt;="&amp;($D$6+$L61-6),'Throw Log'!$A$5:$A$300,"&lt;="&amp;($D$6-1)),0))/7)/((SUM($H$43:$H61)+$K$12*IF($L61&lt;27,SUMIFS('Throw Log'!$Q$5:$Q$300,'Throw Log'!$B$5:$B$300,$D$4,'Throw Log'!$A$5:$A$300,"&gt;="&amp;($D$6+$L61-27),'Throw Log'!$A$5:$A$300,"&lt;="&amp;($D$6-1)),0))/28),"")))</f>
        <v>Building</v>
      </c>
      <c r="J61" s="37"/>
      <c r="K61" s="37"/>
      <c r="L61" s="32">
        <v>18</v>
      </c>
      <c r="M61" s="32">
        <f t="shared" si="13"/>
        <v>3</v>
      </c>
      <c r="N61" s="32">
        <f t="shared" si="14"/>
        <v>4</v>
      </c>
      <c r="O61" s="32">
        <f t="shared" si="15"/>
        <v>0.23684210526315788</v>
      </c>
      <c r="P61" s="32">
        <f>IF(OR($A61="",N($C61)&lt;=7),"",$G$6*$G$9^($M61-1)*IF(AND(MOD($M61,Reference!$B$99)=0,$M61&lt;=$G$5-2),Reference!$B$100,1))</f>
        <v>101.26670033263869</v>
      </c>
      <c r="Q61" s="32">
        <f>IF($P61="","",IF(SUM($AK$57:$AK$63)=0,0,$P61*INDEX(Reference!$B$108:$B$114,$N61+1)/SUM($AK$57:$AK$63)))</f>
        <v>10.126670033263871</v>
      </c>
      <c r="R61" s="32">
        <f t="shared" si="16"/>
        <v>105</v>
      </c>
      <c r="S61" s="32">
        <f t="shared" si="17"/>
        <v>90</v>
      </c>
      <c r="T61" s="32" t="str">
        <f>IF($A61="","",IF($C61=0,"Bullpen",IF(OR($C61=7,$C61=1,$C61=5),"Recovery/Easy Catch",IF($C61=6,"Compression/Pulldowns",IF(OR($C61=4,$C61=2),"Long Toss",IF($C61=3,"No Throw",IF($N61=2,"No Throw",IF($N61=6,IF($O61&lt;Reference!$B$104,"No Throw","Recovery/Easy Catch"),IF(OR($N61=0,$N61=4),"Recovery/Easy Catch",IF($N61=1,IF($R61&gt;75,"Long Toss","Recovery/Easy Catch"),IF($N61=3,IF($O61&lt;0.5,IF($S61&gt;75,"Long Toss","Recovery/Easy Catch"),"Compression/Pulldowns"),IF($S61&gt;75,"Long Toss","Recovery/Easy Catch"))))))))))))</f>
        <v>Recovery/Easy Catch</v>
      </c>
      <c r="U61" s="32">
        <f t="shared" si="18"/>
        <v>60</v>
      </c>
      <c r="V61" s="32">
        <f t="shared" si="19"/>
        <v>20</v>
      </c>
      <c r="W61" s="32">
        <f t="shared" si="20"/>
        <v>24</v>
      </c>
      <c r="X61" s="32">
        <f t="shared" si="21"/>
        <v>0</v>
      </c>
      <c r="Y61" s="32" t="str">
        <f t="shared" si="22"/>
        <v/>
      </c>
      <c r="Z61" s="32" t="str">
        <f t="shared" si="23"/>
        <v/>
      </c>
      <c r="AA61" s="32" t="str">
        <f t="shared" si="24"/>
        <v/>
      </c>
      <c r="AB61" s="32">
        <f>IF($A61="","",IF($T61="No Throw",0,IF($K61&lt;&gt;"",$K61,IF($AA61&lt;&gt;"",ROUND($AA61*$D$12*IF($C61=0,1,$G$10),0),MIN(IF($T61="Recovery/Easy Catch",Reference!$B$103,IF($T61="Long Toss",Reference!$B$106,Reference!$B$102)),MAX(Reference!$B$101,ROUND(MAX(0,$Q61-$AE61)/$AF61,0)))))))</f>
        <v>20</v>
      </c>
      <c r="AC61" s="32">
        <f t="shared" si="25"/>
        <v>0</v>
      </c>
      <c r="AD61" s="32" t="b">
        <f t="shared" si="26"/>
        <v>0</v>
      </c>
      <c r="AE61" s="32">
        <f>IF($X61=0,0,$X61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61+$Z61)/2,0),Reference!$A$17:$B$20,2,TRUE()))</f>
        <v>0</v>
      </c>
      <c r="AF61" s="32">
        <f>IF(OR($A61="",$U61="",$T61="No Throw"),0,$AM61*VLOOKUP(MAX(($V61+$W61)/2,0),Reference!$A$17:$B$20,2,TRUE()))</f>
        <v>0.6</v>
      </c>
      <c r="AG61" s="32">
        <f>IF($AC61=0,0,$AC61*INDEX(Reference!$B$61:$B$62,MATCH("Bullpen",Reference!$A$61:$A$62,0))*VLOOKUP(MAX($D$5-($D$9+$E$9)/2,0),Reference!$A$17:$B$20,2,TRUE()))</f>
        <v>0</v>
      </c>
      <c r="AH61" s="32" t="e">
        <f t="shared" si="27"/>
        <v>#N/A</v>
      </c>
      <c r="AI61" s="32">
        <f>IF($A61="",NA(),Reference!$A$25)</f>
        <v>0.8</v>
      </c>
      <c r="AJ61" s="32">
        <f t="shared" si="28"/>
        <v>1.3</v>
      </c>
      <c r="AK61" s="56">
        <f>IF(OR($A61="",N($C61)&lt;=7,$T61="No Throw",$J61="x"),0,INDEX(Reference!$B$108:$B$114,$N61+1))</f>
        <v>0.1</v>
      </c>
      <c r="AL61" s="32">
        <f t="shared" si="29"/>
        <v>1</v>
      </c>
      <c r="AM61" s="32">
        <f>IF($U61="",0,IF($AL61&gt;1,((IF(1&lt;=$AL61,($AL61-1+3)*(INDEX(Reference!$B$6:$B$11,MIN(5,MATCH(MAX(Reference!$A$6,MIN(Reference!$A$11,MIN($U61,90))),Reference!$A$6:$A$11,1)))+(MAX(Reference!$A$6,MIN(Reference!$A$11,MIN($U61,90)))-INDEX(Reference!$A$6:$A$11,MIN(5,MATCH(MAX(Reference!$A$6,MIN(Reference!$A$11,MIN($U61,90))),Reference!$A$6:$A$11,1))))*(INDEX(Reference!$B$6:$B$11,MIN(5,MATCH(MAX(Reference!$A$6,MIN(Reference!$A$11,MIN($U61,90))),Reference!$A$6:$A$11,1))+1)-INDEX(Reference!$B$6:$B$11,MIN(5,MATCH(MAX(Reference!$A$6,MIN(Reference!$A$11,MIN($U61,90))),Reference!$A$6:$A$11,1))))/(INDEX(Reference!$A$6:$A$11,MIN(5,MATCH(MAX(Reference!$A$6,MIN(Reference!$A$11,MIN($U61,90))),Reference!$A$6:$A$11,1))+1)-INDEX(Reference!$A$6:$A$11,MIN(5,MATCH(MAX(Reference!$A$6,MIN(Reference!$A$11,MIN($U61,90))),Reference!$A$6:$A$11,1))))),0)+IF(2&lt;=$AL61,($AL61-2+3)*(INDEX(Reference!$B$6:$B$11,MIN(5,MATCH(MAX(Reference!$A$6,MIN(Reference!$A$11,MIN($U61,120))),Reference!$A$6:$A$11,1)))+(MAX(Reference!$A$6,MIN(Reference!$A$11,MIN($U61,120)))-INDEX(Reference!$A$6:$A$11,MIN(5,MATCH(MAX(Reference!$A$6,MIN(Reference!$A$11,MIN($U61,120))),Reference!$A$6:$A$11,1))))*(INDEX(Reference!$B$6:$B$11,MIN(5,MATCH(MAX(Reference!$A$6,MIN(Reference!$A$11,MIN($U61,120))),Reference!$A$6:$A$11,1))+1)-INDEX(Reference!$B$6:$B$11,MIN(5,MATCH(MAX(Reference!$A$6,MIN(Reference!$A$11,MIN($U61,120))),Reference!$A$6:$A$11,1))))/(INDEX(Reference!$A$6:$A$11,MIN(5,MATCH(MAX(Reference!$A$6,MIN(Reference!$A$11,MIN($U61,120))),Reference!$A$6:$A$11,1))+1)-INDEX(Reference!$A$6:$A$11,MIN(5,MATCH(MAX(Reference!$A$6,MIN(Reference!$A$11,MIN($U61,120))),Reference!$A$6:$A$11,1))))),0)+IF(3&lt;=$AL61,($AL61-3+3)*(INDEX(Reference!$B$6:$B$11,MIN(5,MATCH(MAX(Reference!$A$6,MIN(Reference!$A$11,MIN($U61,150))),Reference!$A$6:$A$11,1)))+(MAX(Reference!$A$6,MIN(Reference!$A$11,MIN($U61,150)))-INDEX(Reference!$A$6:$A$11,MIN(5,MATCH(MAX(Reference!$A$6,MIN(Reference!$A$11,MIN($U61,150))),Reference!$A$6:$A$11,1))))*(INDEX(Reference!$B$6:$B$11,MIN(5,MATCH(MAX(Reference!$A$6,MIN(Reference!$A$11,MIN($U61,150))),Reference!$A$6:$A$11,1))+1)-INDEX(Reference!$B$6:$B$11,MIN(5,MATCH(MAX(Reference!$A$6,MIN(Reference!$A$11,MIN($U61,150))),Reference!$A$6:$A$11,1))))/(INDEX(Reference!$A$6:$A$11,MIN(5,MATCH(MAX(Reference!$A$6,MIN(Reference!$A$11,MIN($U61,150))),Reference!$A$6:$A$11,1))+1)-INDEX(Reference!$A$6:$A$11,MIN(5,MATCH(MAX(Reference!$A$6,MIN(Reference!$A$11,MIN($U61,150))),Reference!$A$6:$A$11,1))))),0)+IF(4&lt;=$AL61,($AL61-4+3)*(INDEX(Reference!$B$6:$B$11,MIN(5,MATCH(MAX(Reference!$A$6,MIN(Reference!$A$11,MIN($U61,180))),Reference!$A$6:$A$11,1)))+(MAX(Reference!$A$6,MIN(Reference!$A$11,MIN($U61,180)))-INDEX(Reference!$A$6:$A$11,MIN(5,MATCH(MAX(Reference!$A$6,MIN(Reference!$A$11,MIN($U61,180))),Reference!$A$6:$A$11,1))))*(INDEX(Reference!$B$6:$B$11,MIN(5,MATCH(MAX(Reference!$A$6,MIN(Reference!$A$11,MIN($U61,180))),Reference!$A$6:$A$11,1))+1)-INDEX(Reference!$B$6:$B$11,MIN(5,MATCH(MAX(Reference!$A$6,MIN(Reference!$A$11,MIN($U61,180))),Reference!$A$6:$A$11,1))))/(INDEX(Reference!$A$6:$A$11,MIN(5,MATCH(MAX(Reference!$A$6,MIN(Reference!$A$11,MIN($U61,180))),Reference!$A$6:$A$11,1))+1)-INDEX(Reference!$A$6:$A$11,MIN(5,MATCH(MAX(Reference!$A$6,MIN(Reference!$A$11,MIN($U61,180))),Reference!$A$6:$A$11,1))))),0)+IF(5&lt;=$AL61,($AL61-5+3)*(INDEX(Reference!$B$6:$B$11,MIN(5,MATCH(MAX(Reference!$A$6,MIN(Reference!$A$11,MIN($U61,210))),Reference!$A$6:$A$11,1)))+(MAX(Reference!$A$6,MIN(Reference!$A$11,MIN($U61,210)))-INDEX(Reference!$A$6:$A$11,MIN(5,MATCH(MAX(Reference!$A$6,MIN(Reference!$A$11,MIN($U61,210))),Reference!$A$6:$A$11,1))))*(INDEX(Reference!$B$6:$B$11,MIN(5,MATCH(MAX(Reference!$A$6,MIN(Reference!$A$11,MIN($U61,210))),Reference!$A$6:$A$11,1))+1)-INDEX(Reference!$B$6:$B$11,MIN(5,MATCH(MAX(Reference!$A$6,MIN(Reference!$A$11,MIN($U61,210))),Reference!$A$6:$A$11,1))))/(INDEX(Reference!$A$6:$A$11,MIN(5,MATCH(MAX(Reference!$A$6,MIN(Reference!$A$11,MIN($U61,210))),Reference!$A$6:$A$11,1))+1)-INDEX(Reference!$A$6:$A$11,MIN(5,MATCH(MAX(Reference!$A$6,MIN(Reference!$A$11,MIN($U61,210))),Reference!$A$6:$A$11,1))))),0)+IF(6&lt;=$AL61,($AL61-6+3)*(INDEX(Reference!$B$6:$B$11,MIN(5,MATCH(MAX(Reference!$A$6,MIN(Reference!$A$11,MIN($U61,240))),Reference!$A$6:$A$11,1)))+(MAX(Reference!$A$6,MIN(Reference!$A$11,MIN($U61,240)))-INDEX(Reference!$A$6:$A$11,MIN(5,MATCH(MAX(Reference!$A$6,MIN(Reference!$A$11,MIN($U61,240))),Reference!$A$6:$A$11,1))))*(INDEX(Reference!$B$6:$B$11,MIN(5,MATCH(MAX(Reference!$A$6,MIN(Reference!$A$11,MIN($U61,240))),Reference!$A$6:$A$11,1))+1)-INDEX(Reference!$B$6:$B$11,MIN(5,MATCH(MAX(Reference!$A$6,MIN(Reference!$A$11,MIN($U61,240))),Reference!$A$6:$A$11,1))))/(INDEX(Reference!$A$6:$A$11,MIN(5,MATCH(MAX(Reference!$A$6,MIN(Reference!$A$11,MIN($U61,240))),Reference!$A$6:$A$11,1))+1)-INDEX(Reference!$A$6:$A$11,MIN(5,MATCH(MAX(Reference!$A$6,MIN(Reference!$A$11,MIN($U61,240))),Reference!$A$6:$A$11,1))))),0)+IF(7&lt;=$AL61,($AL61-7+3)*(INDEX(Reference!$B$6:$B$11,MIN(5,MATCH(MAX(Reference!$A$6,MIN(Reference!$A$11,MIN($U61,270))),Reference!$A$6:$A$11,1)))+(MAX(Reference!$A$6,MIN(Reference!$A$11,MIN($U61,270)))-INDEX(Reference!$A$6:$A$11,MIN(5,MATCH(MAX(Reference!$A$6,MIN(Reference!$A$11,MIN($U61,270))),Reference!$A$6:$A$11,1))))*(INDEX(Reference!$B$6:$B$11,MIN(5,MATCH(MAX(Reference!$A$6,MIN(Reference!$A$11,MIN($U61,270))),Reference!$A$6:$A$11,1))+1)-INDEX(Reference!$B$6:$B$11,MIN(5,MATCH(MAX(Reference!$A$6,MIN(Reference!$A$11,MIN($U61,270))),Reference!$A$6:$A$11,1))))/(INDEX(Reference!$A$6:$A$11,MIN(5,MATCH(MAX(Reference!$A$6,MIN(Reference!$A$11,MIN($U61,270))),Reference!$A$6:$A$11,1))+1)-INDEX(Reference!$A$6:$A$11,MIN(5,MATCH(MAX(Reference!$A$6,MIN(Reference!$A$11,MIN($U61,270))),Reference!$A$6:$A$11,1))))),0)+IF(8&lt;=$AL61,($AL61-8+3)*(INDEX(Reference!$B$6:$B$11,MIN(5,MATCH(MAX(Reference!$A$6,MIN(Reference!$A$11,MIN($U61,300))),Reference!$A$6:$A$11,1)))+(MAX(Reference!$A$6,MIN(Reference!$A$11,MIN($U61,300)))-INDEX(Reference!$A$6:$A$11,MIN(5,MATCH(MAX(Reference!$A$6,MIN(Reference!$A$11,MIN($U61,300))),Reference!$A$6:$A$11,1))))*(INDEX(Reference!$B$6:$B$11,MIN(5,MATCH(MAX(Reference!$A$6,MIN(Reference!$A$11,MIN($U61,300))),Reference!$A$6:$A$11,1))+1)-INDEX(Reference!$B$6:$B$11,MIN(5,MATCH(MAX(Reference!$A$6,MIN(Reference!$A$11,MIN($U61,300))),Reference!$A$6:$A$11,1))))/(INDEX(Reference!$A$6:$A$11,MIN(5,MATCH(MAX(Reference!$A$6,MIN(Reference!$A$11,MIN($U61,300))),Reference!$A$6:$A$11,1))+1)-INDEX(Reference!$A$6:$A$11,MIN(5,MATCH(MAX(Reference!$A$6,MIN(Reference!$A$11,MIN($U61,300))),Reference!$A$6:$A$11,1))))),0))/($AL61*($AL61+5)/2)),$AN61))</f>
        <v>1</v>
      </c>
      <c r="AN61" s="32">
        <f>IF($U61="",0,(INDEX(Reference!$B$6:$B$11,MIN(5,MATCH(MAX(Reference!$A$6,MIN(Reference!$A$11,$U61)),Reference!$A$6:$A$11,1)))+(MAX(Reference!$A$6,MIN(Reference!$A$11,$U61))-INDEX(Reference!$A$6:$A$11,MIN(5,MATCH(MAX(Reference!$A$6,MIN(Reference!$A$11,$U61)),Reference!$A$6:$A$11,1))))*(INDEX(Reference!$B$6:$B$11,MIN(5,MATCH(MAX(Reference!$A$6,MIN(Reference!$A$11,$U61)),Reference!$A$6:$A$11,1))+1)-INDEX(Reference!$B$6:$B$11,MIN(5,MATCH(MAX(Reference!$A$6,MIN(Reference!$A$11,$U61)),Reference!$A$6:$A$11,1))))/(INDEX(Reference!$A$6:$A$11,MIN(5,MATCH(MAX(Reference!$A$6,MIN(Reference!$A$11,$U61)),Reference!$A$6:$A$11,1))+1)-INDEX(Reference!$A$6:$A$11,MIN(5,MATCH(MAX(Reference!$A$6,MIN(Reference!$A$11,$U61)),Reference!$A$6:$A$11,1))))))</f>
        <v>1</v>
      </c>
      <c r="AO61" s="37"/>
      <c r="AP61" s="37"/>
      <c r="AQ61" s="37"/>
    </row>
    <row r="62" spans="1:43" x14ac:dyDescent="0.3">
      <c r="A62" s="48">
        <f t="shared" si="5"/>
        <v>46326</v>
      </c>
      <c r="B62" s="32" t="str">
        <f t="shared" si="6"/>
        <v>Sat</v>
      </c>
      <c r="C62" s="32">
        <f t="shared" si="7"/>
        <v>65</v>
      </c>
      <c r="D62" s="32" t="str">
        <f t="shared" si="8"/>
        <v>Base</v>
      </c>
      <c r="E62" s="32" t="str">
        <f t="shared" si="9"/>
        <v>Medium</v>
      </c>
      <c r="F62" s="32" t="str">
        <f t="shared" si="10"/>
        <v>Long Toss</v>
      </c>
      <c r="G62" s="47" t="str">
        <f t="shared" si="11"/>
        <v>90 ft × 25 @ 76–79 mph + 60 ft × 12 @ 73–77 mph</v>
      </c>
      <c r="H62" s="30">
        <f t="shared" si="12"/>
        <v>26.7</v>
      </c>
      <c r="I62" s="46" t="str">
        <f>IF($A62="","",IF(AND($L62&lt;27,$K$12=0),"Building",IFERROR(((SUM($H$56:$H62)+$K$12*IF($L62&lt;6,SUMIFS('Throw Log'!$Q$5:$Q$300,'Throw Log'!$B$5:$B$300,$D$4,'Throw Log'!$A$5:$A$300,"&gt;="&amp;($D$6+$L62-6),'Throw Log'!$A$5:$A$300,"&lt;="&amp;($D$6-1)),0))/7)/((SUM($H$43:$H62)+$K$12*IF($L62&lt;27,SUMIFS('Throw Log'!$Q$5:$Q$300,'Throw Log'!$B$5:$B$300,$D$4,'Throw Log'!$A$5:$A$300,"&gt;="&amp;($D$6+$L62-27),'Throw Log'!$A$5:$A$300,"&lt;="&amp;($D$6-1)),0))/28),"")))</f>
        <v>Building</v>
      </c>
      <c r="J62" s="37"/>
      <c r="K62" s="37">
        <v>25</v>
      </c>
      <c r="L62" s="32">
        <v>19</v>
      </c>
      <c r="M62" s="32">
        <f t="shared" si="13"/>
        <v>3</v>
      </c>
      <c r="N62" s="32">
        <f t="shared" si="14"/>
        <v>5</v>
      </c>
      <c r="O62" s="32">
        <f t="shared" si="15"/>
        <v>0.25</v>
      </c>
      <c r="P62" s="32">
        <f>IF(OR($A62="",N($C62)&lt;=7),"",$G$6*$G$9^($M62-1)*IF(AND(MOD($M62,Reference!$B$99)=0,$M62&lt;=$G$5-2),Reference!$B$100,1))</f>
        <v>101.26670033263869</v>
      </c>
      <c r="Q62" s="32">
        <f>IF($P62="","",IF(SUM($AK$57:$AK$63)=0,0,$P62*INDEX(Reference!$B$108:$B$114,$N62+1)/SUM($AK$57:$AK$63)))</f>
        <v>27.34200908981245</v>
      </c>
      <c r="R62" s="32">
        <f t="shared" si="16"/>
        <v>105</v>
      </c>
      <c r="S62" s="32">
        <f t="shared" si="17"/>
        <v>90</v>
      </c>
      <c r="T62" s="32" t="str">
        <f>IF($A62="","",IF($C62=0,"Bullpen",IF(OR($C62=7,$C62=1,$C62=5),"Recovery/Easy Catch",IF($C62=6,"Compression/Pulldowns",IF(OR($C62=4,$C62=2),"Long Toss",IF($C62=3,"No Throw",IF($N62=2,"No Throw",IF($N62=6,IF($O62&lt;Reference!$B$104,"No Throw","Recovery/Easy Catch"),IF(OR($N62=0,$N62=4),"Recovery/Easy Catch",IF($N62=1,IF($R62&gt;75,"Long Toss","Recovery/Easy Catch"),IF($N62=3,IF($O62&lt;0.5,IF($S62&gt;75,"Long Toss","Recovery/Easy Catch"),"Compression/Pulldowns"),IF($S62&gt;75,"Long Toss","Recovery/Easy Catch"))))))))))))</f>
        <v>Long Toss</v>
      </c>
      <c r="U62" s="32">
        <f t="shared" si="18"/>
        <v>90</v>
      </c>
      <c r="V62" s="32">
        <f t="shared" si="19"/>
        <v>12</v>
      </c>
      <c r="W62" s="32">
        <f t="shared" si="20"/>
        <v>15</v>
      </c>
      <c r="X62" s="32">
        <f t="shared" si="21"/>
        <v>12</v>
      </c>
      <c r="Y62" s="32">
        <f t="shared" si="22"/>
        <v>14</v>
      </c>
      <c r="Z62" s="32">
        <f t="shared" si="23"/>
        <v>18</v>
      </c>
      <c r="AA62" s="32" t="str">
        <f t="shared" si="24"/>
        <v/>
      </c>
      <c r="AB62" s="32">
        <f>IF($A62="","",IF($T62="No Throw",0,IF($K62&lt;&gt;"",$K62,IF($AA62&lt;&gt;"",ROUND($AA62*$D$12*IF($C62=0,1,$G$10),0),MIN(IF($T62="Recovery/Easy Catch",Reference!$B$103,IF($T62="Long Toss",Reference!$B$106,Reference!$B$102)),MAX(Reference!$B$101,ROUND(MAX(0,$Q62-$AE62)/$AF62,0)))))))</f>
        <v>25</v>
      </c>
      <c r="AC62" s="32">
        <f t="shared" si="25"/>
        <v>0</v>
      </c>
      <c r="AD62" s="32" t="b">
        <f t="shared" si="26"/>
        <v>0</v>
      </c>
      <c r="AE62" s="32">
        <f>IF($X62=0,0,$X62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62+$Z62)/2,0),Reference!$A$17:$B$20,2,TRUE()))</f>
        <v>7.1999999999999993</v>
      </c>
      <c r="AF62" s="32">
        <f>IF(OR($A62="",$U62="",$T62="No Throw"),0,$AM62*VLOOKUP(MAX(($V62+$W62)/2,0),Reference!$A$17:$B$20,2,TRUE()))</f>
        <v>0.78</v>
      </c>
      <c r="AG62" s="32">
        <f>IF($AC62=0,0,$AC62*INDEX(Reference!$B$61:$B$62,MATCH("Bullpen",Reference!$A$61:$A$62,0))*VLOOKUP(MAX($D$5-($D$9+$E$9)/2,0),Reference!$A$17:$B$20,2,TRUE()))</f>
        <v>0</v>
      </c>
      <c r="AH62" s="32" t="e">
        <f t="shared" si="27"/>
        <v>#N/A</v>
      </c>
      <c r="AI62" s="32">
        <f>IF($A62="",NA(),Reference!$A$25)</f>
        <v>0.8</v>
      </c>
      <c r="AJ62" s="32">
        <f t="shared" si="28"/>
        <v>1.3</v>
      </c>
      <c r="AK62" s="56">
        <f>IF(OR($A62="",N($C62)&lt;=7,$T62="No Throw",$J62="x"),0,INDEX(Reference!$B$108:$B$114,$N62+1))</f>
        <v>0.27</v>
      </c>
      <c r="AL62" s="32">
        <f t="shared" si="29"/>
        <v>1</v>
      </c>
      <c r="AM62" s="32">
        <f>IF($U62="",0,IF($AL62&gt;1,((IF(1&lt;=$AL62,($AL62-1+3)*(INDEX(Reference!$B$6:$B$11,MIN(5,MATCH(MAX(Reference!$A$6,MIN(Reference!$A$11,MIN($U62,90))),Reference!$A$6:$A$11,1)))+(MAX(Reference!$A$6,MIN(Reference!$A$11,MIN($U62,90)))-INDEX(Reference!$A$6:$A$11,MIN(5,MATCH(MAX(Reference!$A$6,MIN(Reference!$A$11,MIN($U62,90))),Reference!$A$6:$A$11,1))))*(INDEX(Reference!$B$6:$B$11,MIN(5,MATCH(MAX(Reference!$A$6,MIN(Reference!$A$11,MIN($U62,90))),Reference!$A$6:$A$11,1))+1)-INDEX(Reference!$B$6:$B$11,MIN(5,MATCH(MAX(Reference!$A$6,MIN(Reference!$A$11,MIN($U62,90))),Reference!$A$6:$A$11,1))))/(INDEX(Reference!$A$6:$A$11,MIN(5,MATCH(MAX(Reference!$A$6,MIN(Reference!$A$11,MIN($U62,90))),Reference!$A$6:$A$11,1))+1)-INDEX(Reference!$A$6:$A$11,MIN(5,MATCH(MAX(Reference!$A$6,MIN(Reference!$A$11,MIN($U62,90))),Reference!$A$6:$A$11,1))))),0)+IF(2&lt;=$AL62,($AL62-2+3)*(INDEX(Reference!$B$6:$B$11,MIN(5,MATCH(MAX(Reference!$A$6,MIN(Reference!$A$11,MIN($U62,120))),Reference!$A$6:$A$11,1)))+(MAX(Reference!$A$6,MIN(Reference!$A$11,MIN($U62,120)))-INDEX(Reference!$A$6:$A$11,MIN(5,MATCH(MAX(Reference!$A$6,MIN(Reference!$A$11,MIN($U62,120))),Reference!$A$6:$A$11,1))))*(INDEX(Reference!$B$6:$B$11,MIN(5,MATCH(MAX(Reference!$A$6,MIN(Reference!$A$11,MIN($U62,120))),Reference!$A$6:$A$11,1))+1)-INDEX(Reference!$B$6:$B$11,MIN(5,MATCH(MAX(Reference!$A$6,MIN(Reference!$A$11,MIN($U62,120))),Reference!$A$6:$A$11,1))))/(INDEX(Reference!$A$6:$A$11,MIN(5,MATCH(MAX(Reference!$A$6,MIN(Reference!$A$11,MIN($U62,120))),Reference!$A$6:$A$11,1))+1)-INDEX(Reference!$A$6:$A$11,MIN(5,MATCH(MAX(Reference!$A$6,MIN(Reference!$A$11,MIN($U62,120))),Reference!$A$6:$A$11,1))))),0)+IF(3&lt;=$AL62,($AL62-3+3)*(INDEX(Reference!$B$6:$B$11,MIN(5,MATCH(MAX(Reference!$A$6,MIN(Reference!$A$11,MIN($U62,150))),Reference!$A$6:$A$11,1)))+(MAX(Reference!$A$6,MIN(Reference!$A$11,MIN($U62,150)))-INDEX(Reference!$A$6:$A$11,MIN(5,MATCH(MAX(Reference!$A$6,MIN(Reference!$A$11,MIN($U62,150))),Reference!$A$6:$A$11,1))))*(INDEX(Reference!$B$6:$B$11,MIN(5,MATCH(MAX(Reference!$A$6,MIN(Reference!$A$11,MIN($U62,150))),Reference!$A$6:$A$11,1))+1)-INDEX(Reference!$B$6:$B$11,MIN(5,MATCH(MAX(Reference!$A$6,MIN(Reference!$A$11,MIN($U62,150))),Reference!$A$6:$A$11,1))))/(INDEX(Reference!$A$6:$A$11,MIN(5,MATCH(MAX(Reference!$A$6,MIN(Reference!$A$11,MIN($U62,150))),Reference!$A$6:$A$11,1))+1)-INDEX(Reference!$A$6:$A$11,MIN(5,MATCH(MAX(Reference!$A$6,MIN(Reference!$A$11,MIN($U62,150))),Reference!$A$6:$A$11,1))))),0)+IF(4&lt;=$AL62,($AL62-4+3)*(INDEX(Reference!$B$6:$B$11,MIN(5,MATCH(MAX(Reference!$A$6,MIN(Reference!$A$11,MIN($U62,180))),Reference!$A$6:$A$11,1)))+(MAX(Reference!$A$6,MIN(Reference!$A$11,MIN($U62,180)))-INDEX(Reference!$A$6:$A$11,MIN(5,MATCH(MAX(Reference!$A$6,MIN(Reference!$A$11,MIN($U62,180))),Reference!$A$6:$A$11,1))))*(INDEX(Reference!$B$6:$B$11,MIN(5,MATCH(MAX(Reference!$A$6,MIN(Reference!$A$11,MIN($U62,180))),Reference!$A$6:$A$11,1))+1)-INDEX(Reference!$B$6:$B$11,MIN(5,MATCH(MAX(Reference!$A$6,MIN(Reference!$A$11,MIN($U62,180))),Reference!$A$6:$A$11,1))))/(INDEX(Reference!$A$6:$A$11,MIN(5,MATCH(MAX(Reference!$A$6,MIN(Reference!$A$11,MIN($U62,180))),Reference!$A$6:$A$11,1))+1)-INDEX(Reference!$A$6:$A$11,MIN(5,MATCH(MAX(Reference!$A$6,MIN(Reference!$A$11,MIN($U62,180))),Reference!$A$6:$A$11,1))))),0)+IF(5&lt;=$AL62,($AL62-5+3)*(INDEX(Reference!$B$6:$B$11,MIN(5,MATCH(MAX(Reference!$A$6,MIN(Reference!$A$11,MIN($U62,210))),Reference!$A$6:$A$11,1)))+(MAX(Reference!$A$6,MIN(Reference!$A$11,MIN($U62,210)))-INDEX(Reference!$A$6:$A$11,MIN(5,MATCH(MAX(Reference!$A$6,MIN(Reference!$A$11,MIN($U62,210))),Reference!$A$6:$A$11,1))))*(INDEX(Reference!$B$6:$B$11,MIN(5,MATCH(MAX(Reference!$A$6,MIN(Reference!$A$11,MIN($U62,210))),Reference!$A$6:$A$11,1))+1)-INDEX(Reference!$B$6:$B$11,MIN(5,MATCH(MAX(Reference!$A$6,MIN(Reference!$A$11,MIN($U62,210))),Reference!$A$6:$A$11,1))))/(INDEX(Reference!$A$6:$A$11,MIN(5,MATCH(MAX(Reference!$A$6,MIN(Reference!$A$11,MIN($U62,210))),Reference!$A$6:$A$11,1))+1)-INDEX(Reference!$A$6:$A$11,MIN(5,MATCH(MAX(Reference!$A$6,MIN(Reference!$A$11,MIN($U62,210))),Reference!$A$6:$A$11,1))))),0)+IF(6&lt;=$AL62,($AL62-6+3)*(INDEX(Reference!$B$6:$B$11,MIN(5,MATCH(MAX(Reference!$A$6,MIN(Reference!$A$11,MIN($U62,240))),Reference!$A$6:$A$11,1)))+(MAX(Reference!$A$6,MIN(Reference!$A$11,MIN($U62,240)))-INDEX(Reference!$A$6:$A$11,MIN(5,MATCH(MAX(Reference!$A$6,MIN(Reference!$A$11,MIN($U62,240))),Reference!$A$6:$A$11,1))))*(INDEX(Reference!$B$6:$B$11,MIN(5,MATCH(MAX(Reference!$A$6,MIN(Reference!$A$11,MIN($U62,240))),Reference!$A$6:$A$11,1))+1)-INDEX(Reference!$B$6:$B$11,MIN(5,MATCH(MAX(Reference!$A$6,MIN(Reference!$A$11,MIN($U62,240))),Reference!$A$6:$A$11,1))))/(INDEX(Reference!$A$6:$A$11,MIN(5,MATCH(MAX(Reference!$A$6,MIN(Reference!$A$11,MIN($U62,240))),Reference!$A$6:$A$11,1))+1)-INDEX(Reference!$A$6:$A$11,MIN(5,MATCH(MAX(Reference!$A$6,MIN(Reference!$A$11,MIN($U62,240))),Reference!$A$6:$A$11,1))))),0)+IF(7&lt;=$AL62,($AL62-7+3)*(INDEX(Reference!$B$6:$B$11,MIN(5,MATCH(MAX(Reference!$A$6,MIN(Reference!$A$11,MIN($U62,270))),Reference!$A$6:$A$11,1)))+(MAX(Reference!$A$6,MIN(Reference!$A$11,MIN($U62,270)))-INDEX(Reference!$A$6:$A$11,MIN(5,MATCH(MAX(Reference!$A$6,MIN(Reference!$A$11,MIN($U62,270))),Reference!$A$6:$A$11,1))))*(INDEX(Reference!$B$6:$B$11,MIN(5,MATCH(MAX(Reference!$A$6,MIN(Reference!$A$11,MIN($U62,270))),Reference!$A$6:$A$11,1))+1)-INDEX(Reference!$B$6:$B$11,MIN(5,MATCH(MAX(Reference!$A$6,MIN(Reference!$A$11,MIN($U62,270))),Reference!$A$6:$A$11,1))))/(INDEX(Reference!$A$6:$A$11,MIN(5,MATCH(MAX(Reference!$A$6,MIN(Reference!$A$11,MIN($U62,270))),Reference!$A$6:$A$11,1))+1)-INDEX(Reference!$A$6:$A$11,MIN(5,MATCH(MAX(Reference!$A$6,MIN(Reference!$A$11,MIN($U62,270))),Reference!$A$6:$A$11,1))))),0)+IF(8&lt;=$AL62,($AL62-8+3)*(INDEX(Reference!$B$6:$B$11,MIN(5,MATCH(MAX(Reference!$A$6,MIN(Reference!$A$11,MIN($U62,300))),Reference!$A$6:$A$11,1)))+(MAX(Reference!$A$6,MIN(Reference!$A$11,MIN($U62,300)))-INDEX(Reference!$A$6:$A$11,MIN(5,MATCH(MAX(Reference!$A$6,MIN(Reference!$A$11,MIN($U62,300))),Reference!$A$6:$A$11,1))))*(INDEX(Reference!$B$6:$B$11,MIN(5,MATCH(MAX(Reference!$A$6,MIN(Reference!$A$11,MIN($U62,300))),Reference!$A$6:$A$11,1))+1)-INDEX(Reference!$B$6:$B$11,MIN(5,MATCH(MAX(Reference!$A$6,MIN(Reference!$A$11,MIN($U62,300))),Reference!$A$6:$A$11,1))))/(INDEX(Reference!$A$6:$A$11,MIN(5,MATCH(MAX(Reference!$A$6,MIN(Reference!$A$11,MIN($U62,300))),Reference!$A$6:$A$11,1))+1)-INDEX(Reference!$A$6:$A$11,MIN(5,MATCH(MAX(Reference!$A$6,MIN(Reference!$A$11,MIN($U62,300))),Reference!$A$6:$A$11,1))))),0))/($AL62*($AL62+5)/2)),$AN62))</f>
        <v>1.3</v>
      </c>
      <c r="AN62" s="32">
        <f>IF($U62="",0,(INDEX(Reference!$B$6:$B$11,MIN(5,MATCH(MAX(Reference!$A$6,MIN(Reference!$A$11,$U62)),Reference!$A$6:$A$11,1)))+(MAX(Reference!$A$6,MIN(Reference!$A$11,$U62))-INDEX(Reference!$A$6:$A$11,MIN(5,MATCH(MAX(Reference!$A$6,MIN(Reference!$A$11,$U62)),Reference!$A$6:$A$11,1))))*(INDEX(Reference!$B$6:$B$11,MIN(5,MATCH(MAX(Reference!$A$6,MIN(Reference!$A$11,$U62)),Reference!$A$6:$A$11,1))+1)-INDEX(Reference!$B$6:$B$11,MIN(5,MATCH(MAX(Reference!$A$6,MIN(Reference!$A$11,$U62)),Reference!$A$6:$A$11,1))))/(INDEX(Reference!$A$6:$A$11,MIN(5,MATCH(MAX(Reference!$A$6,MIN(Reference!$A$11,$U62)),Reference!$A$6:$A$11,1))+1)-INDEX(Reference!$A$6:$A$11,MIN(5,MATCH(MAX(Reference!$A$6,MIN(Reference!$A$11,$U62)),Reference!$A$6:$A$11,1))))))</f>
        <v>1.3</v>
      </c>
      <c r="AO62" s="37"/>
      <c r="AP62" s="37"/>
      <c r="AQ62" s="37"/>
    </row>
    <row r="63" spans="1:43" x14ac:dyDescent="0.3">
      <c r="A63" s="48">
        <f t="shared" si="5"/>
        <v>46327</v>
      </c>
      <c r="B63" s="32" t="str">
        <f t="shared" si="6"/>
        <v>Sun</v>
      </c>
      <c r="C63" s="32">
        <f t="shared" si="7"/>
        <v>64</v>
      </c>
      <c r="D63" s="32" t="str">
        <f t="shared" si="8"/>
        <v>Base</v>
      </c>
      <c r="E63" s="32" t="str">
        <f t="shared" si="9"/>
        <v>No Throw</v>
      </c>
      <c r="F63" s="32" t="str">
        <f t="shared" si="10"/>
        <v>No Throw</v>
      </c>
      <c r="G63" s="47" t="str">
        <f t="shared" si="11"/>
        <v>Off</v>
      </c>
      <c r="H63" s="30">
        <f t="shared" si="12"/>
        <v>0</v>
      </c>
      <c r="I63" s="46" t="str">
        <f>IF($A63="","",IF(AND($L63&lt;27,$K$12=0),"Building",IFERROR(((SUM($H$57:$H63)+$K$12*IF($L63&lt;6,SUMIFS('Throw Log'!$Q$5:$Q$300,'Throw Log'!$B$5:$B$300,$D$4,'Throw Log'!$A$5:$A$300,"&gt;="&amp;($D$6+$L63-6),'Throw Log'!$A$5:$A$300,"&lt;="&amp;($D$6-1)),0))/7)/((SUM($H$43:$H63)+$K$12*IF($L63&lt;27,SUMIFS('Throw Log'!$Q$5:$Q$300,'Throw Log'!$B$5:$B$300,$D$4,'Throw Log'!$A$5:$A$300,"&gt;="&amp;($D$6+$L63-27),'Throw Log'!$A$5:$A$300,"&lt;="&amp;($D$6-1)),0))/28),"")))</f>
        <v>Building</v>
      </c>
      <c r="J63" s="37"/>
      <c r="K63" s="37"/>
      <c r="L63" s="32">
        <v>20</v>
      </c>
      <c r="M63" s="32">
        <f t="shared" si="13"/>
        <v>3</v>
      </c>
      <c r="N63" s="32">
        <f t="shared" si="14"/>
        <v>6</v>
      </c>
      <c r="O63" s="32">
        <f t="shared" si="15"/>
        <v>0.26315789473684209</v>
      </c>
      <c r="P63" s="32">
        <f>IF(OR($A63="",N($C63)&lt;=7),"",$G$6*$G$9^($M63-1)*IF(AND(MOD($M63,Reference!$B$99)=0,$M63&lt;=$G$5-2),Reference!$B$100,1))</f>
        <v>101.26670033263869</v>
      </c>
      <c r="Q63" s="32">
        <f>IF($P63="","",IF(SUM($AK$57:$AK$63)=0,0,$P63*INDEX(Reference!$B$108:$B$114,$N63+1)/SUM($AK$57:$AK$63)))</f>
        <v>7.0886690232847087</v>
      </c>
      <c r="R63" s="32">
        <f t="shared" si="16"/>
        <v>105</v>
      </c>
      <c r="S63" s="32">
        <f t="shared" si="17"/>
        <v>90</v>
      </c>
      <c r="T63" s="32" t="str">
        <f>IF($A63="","",IF($C63=0,"Bullpen",IF(OR($C63=7,$C63=1,$C63=5),"Recovery/Easy Catch",IF($C63=6,"Compression/Pulldowns",IF(OR($C63=4,$C63=2),"Long Toss",IF($C63=3,"No Throw",IF($N63=2,"No Throw",IF($N63=6,IF($O63&lt;Reference!$B$104,"No Throw","Recovery/Easy Catch"),IF(OR($N63=0,$N63=4),"Recovery/Easy Catch",IF($N63=1,IF($R63&gt;75,"Long Toss","Recovery/Easy Catch"),IF($N63=3,IF($O63&lt;0.5,IF($S63&gt;75,"Long Toss","Recovery/Easy Catch"),"Compression/Pulldowns"),IF($S63&gt;75,"Long Toss","Recovery/Easy Catch"))))))))))))</f>
        <v>No Throw</v>
      </c>
      <c r="U63" s="32">
        <f t="shared" si="18"/>
        <v>60</v>
      </c>
      <c r="V63" s="32">
        <f t="shared" si="19"/>
        <v>20</v>
      </c>
      <c r="W63" s="32">
        <f t="shared" si="20"/>
        <v>24</v>
      </c>
      <c r="X63" s="32">
        <f t="shared" si="21"/>
        <v>0</v>
      </c>
      <c r="Y63" s="32" t="str">
        <f t="shared" si="22"/>
        <v/>
      </c>
      <c r="Z63" s="32" t="str">
        <f t="shared" si="23"/>
        <v/>
      </c>
      <c r="AA63" s="32" t="str">
        <f t="shared" si="24"/>
        <v/>
      </c>
      <c r="AB63" s="32">
        <f>IF($A63="","",IF($T63="No Throw",0,IF($K63&lt;&gt;"",$K63,IF($AA63&lt;&gt;"",ROUND($AA63*$D$12*IF($C63=0,1,$G$10),0),MIN(IF($T63="Recovery/Easy Catch",Reference!$B$103,IF($T63="Long Toss",Reference!$B$106,Reference!$B$102)),MAX(Reference!$B$101,ROUND(MAX(0,$Q63-$AE63)/$AF63,0)))))))</f>
        <v>0</v>
      </c>
      <c r="AC63" s="32">
        <f t="shared" si="25"/>
        <v>0</v>
      </c>
      <c r="AD63" s="32" t="b">
        <f t="shared" si="26"/>
        <v>1</v>
      </c>
      <c r="AE63" s="32">
        <f>IF($X63=0,0,$X63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63+$Z63)/2,0),Reference!$A$17:$B$20,2,TRUE()))</f>
        <v>0</v>
      </c>
      <c r="AF63" s="32">
        <f>IF(OR($A63="",$U63="",$T63="No Throw"),0,$AM63*VLOOKUP(MAX(($V63+$W63)/2,0),Reference!$A$17:$B$20,2,TRUE()))</f>
        <v>0</v>
      </c>
      <c r="AG63" s="32">
        <f>IF($AC63=0,0,$AC63*INDEX(Reference!$B$61:$B$62,MATCH("Bullpen",Reference!$A$61:$A$62,0))*VLOOKUP(MAX($D$5-($D$9+$E$9)/2,0),Reference!$A$17:$B$20,2,TRUE()))</f>
        <v>0</v>
      </c>
      <c r="AH63" s="32" t="e">
        <f t="shared" si="27"/>
        <v>#N/A</v>
      </c>
      <c r="AI63" s="32">
        <f>IF($A63="",NA(),Reference!$A$25)</f>
        <v>0.8</v>
      </c>
      <c r="AJ63" s="32">
        <f t="shared" si="28"/>
        <v>1.3</v>
      </c>
      <c r="AK63" s="32">
        <f>IF(OR($A63="",N($C63)&lt;=7,$T63="No Throw",$J63="x"),0,INDEX(Reference!$B$108:$B$114,$N63+1))</f>
        <v>0</v>
      </c>
      <c r="AL63" s="32">
        <f t="shared" si="29"/>
        <v>1</v>
      </c>
      <c r="AM63" s="32">
        <f>IF($U63="",0,IF($AL63&gt;1,((IF(1&lt;=$AL63,($AL63-1+3)*(INDEX(Reference!$B$6:$B$11,MIN(5,MATCH(MAX(Reference!$A$6,MIN(Reference!$A$11,MIN($U63,90))),Reference!$A$6:$A$11,1)))+(MAX(Reference!$A$6,MIN(Reference!$A$11,MIN($U63,90)))-INDEX(Reference!$A$6:$A$11,MIN(5,MATCH(MAX(Reference!$A$6,MIN(Reference!$A$11,MIN($U63,90))),Reference!$A$6:$A$11,1))))*(INDEX(Reference!$B$6:$B$11,MIN(5,MATCH(MAX(Reference!$A$6,MIN(Reference!$A$11,MIN($U63,90))),Reference!$A$6:$A$11,1))+1)-INDEX(Reference!$B$6:$B$11,MIN(5,MATCH(MAX(Reference!$A$6,MIN(Reference!$A$11,MIN($U63,90))),Reference!$A$6:$A$11,1))))/(INDEX(Reference!$A$6:$A$11,MIN(5,MATCH(MAX(Reference!$A$6,MIN(Reference!$A$11,MIN($U63,90))),Reference!$A$6:$A$11,1))+1)-INDEX(Reference!$A$6:$A$11,MIN(5,MATCH(MAX(Reference!$A$6,MIN(Reference!$A$11,MIN($U63,90))),Reference!$A$6:$A$11,1))))),0)+IF(2&lt;=$AL63,($AL63-2+3)*(INDEX(Reference!$B$6:$B$11,MIN(5,MATCH(MAX(Reference!$A$6,MIN(Reference!$A$11,MIN($U63,120))),Reference!$A$6:$A$11,1)))+(MAX(Reference!$A$6,MIN(Reference!$A$11,MIN($U63,120)))-INDEX(Reference!$A$6:$A$11,MIN(5,MATCH(MAX(Reference!$A$6,MIN(Reference!$A$11,MIN($U63,120))),Reference!$A$6:$A$11,1))))*(INDEX(Reference!$B$6:$B$11,MIN(5,MATCH(MAX(Reference!$A$6,MIN(Reference!$A$11,MIN($U63,120))),Reference!$A$6:$A$11,1))+1)-INDEX(Reference!$B$6:$B$11,MIN(5,MATCH(MAX(Reference!$A$6,MIN(Reference!$A$11,MIN($U63,120))),Reference!$A$6:$A$11,1))))/(INDEX(Reference!$A$6:$A$11,MIN(5,MATCH(MAX(Reference!$A$6,MIN(Reference!$A$11,MIN($U63,120))),Reference!$A$6:$A$11,1))+1)-INDEX(Reference!$A$6:$A$11,MIN(5,MATCH(MAX(Reference!$A$6,MIN(Reference!$A$11,MIN($U63,120))),Reference!$A$6:$A$11,1))))),0)+IF(3&lt;=$AL63,($AL63-3+3)*(INDEX(Reference!$B$6:$B$11,MIN(5,MATCH(MAX(Reference!$A$6,MIN(Reference!$A$11,MIN($U63,150))),Reference!$A$6:$A$11,1)))+(MAX(Reference!$A$6,MIN(Reference!$A$11,MIN($U63,150)))-INDEX(Reference!$A$6:$A$11,MIN(5,MATCH(MAX(Reference!$A$6,MIN(Reference!$A$11,MIN($U63,150))),Reference!$A$6:$A$11,1))))*(INDEX(Reference!$B$6:$B$11,MIN(5,MATCH(MAX(Reference!$A$6,MIN(Reference!$A$11,MIN($U63,150))),Reference!$A$6:$A$11,1))+1)-INDEX(Reference!$B$6:$B$11,MIN(5,MATCH(MAX(Reference!$A$6,MIN(Reference!$A$11,MIN($U63,150))),Reference!$A$6:$A$11,1))))/(INDEX(Reference!$A$6:$A$11,MIN(5,MATCH(MAX(Reference!$A$6,MIN(Reference!$A$11,MIN($U63,150))),Reference!$A$6:$A$11,1))+1)-INDEX(Reference!$A$6:$A$11,MIN(5,MATCH(MAX(Reference!$A$6,MIN(Reference!$A$11,MIN($U63,150))),Reference!$A$6:$A$11,1))))),0)+IF(4&lt;=$AL63,($AL63-4+3)*(INDEX(Reference!$B$6:$B$11,MIN(5,MATCH(MAX(Reference!$A$6,MIN(Reference!$A$11,MIN($U63,180))),Reference!$A$6:$A$11,1)))+(MAX(Reference!$A$6,MIN(Reference!$A$11,MIN($U63,180)))-INDEX(Reference!$A$6:$A$11,MIN(5,MATCH(MAX(Reference!$A$6,MIN(Reference!$A$11,MIN($U63,180))),Reference!$A$6:$A$11,1))))*(INDEX(Reference!$B$6:$B$11,MIN(5,MATCH(MAX(Reference!$A$6,MIN(Reference!$A$11,MIN($U63,180))),Reference!$A$6:$A$11,1))+1)-INDEX(Reference!$B$6:$B$11,MIN(5,MATCH(MAX(Reference!$A$6,MIN(Reference!$A$11,MIN($U63,180))),Reference!$A$6:$A$11,1))))/(INDEX(Reference!$A$6:$A$11,MIN(5,MATCH(MAX(Reference!$A$6,MIN(Reference!$A$11,MIN($U63,180))),Reference!$A$6:$A$11,1))+1)-INDEX(Reference!$A$6:$A$11,MIN(5,MATCH(MAX(Reference!$A$6,MIN(Reference!$A$11,MIN($U63,180))),Reference!$A$6:$A$11,1))))),0)+IF(5&lt;=$AL63,($AL63-5+3)*(INDEX(Reference!$B$6:$B$11,MIN(5,MATCH(MAX(Reference!$A$6,MIN(Reference!$A$11,MIN($U63,210))),Reference!$A$6:$A$11,1)))+(MAX(Reference!$A$6,MIN(Reference!$A$11,MIN($U63,210)))-INDEX(Reference!$A$6:$A$11,MIN(5,MATCH(MAX(Reference!$A$6,MIN(Reference!$A$11,MIN($U63,210))),Reference!$A$6:$A$11,1))))*(INDEX(Reference!$B$6:$B$11,MIN(5,MATCH(MAX(Reference!$A$6,MIN(Reference!$A$11,MIN($U63,210))),Reference!$A$6:$A$11,1))+1)-INDEX(Reference!$B$6:$B$11,MIN(5,MATCH(MAX(Reference!$A$6,MIN(Reference!$A$11,MIN($U63,210))),Reference!$A$6:$A$11,1))))/(INDEX(Reference!$A$6:$A$11,MIN(5,MATCH(MAX(Reference!$A$6,MIN(Reference!$A$11,MIN($U63,210))),Reference!$A$6:$A$11,1))+1)-INDEX(Reference!$A$6:$A$11,MIN(5,MATCH(MAX(Reference!$A$6,MIN(Reference!$A$11,MIN($U63,210))),Reference!$A$6:$A$11,1))))),0)+IF(6&lt;=$AL63,($AL63-6+3)*(INDEX(Reference!$B$6:$B$11,MIN(5,MATCH(MAX(Reference!$A$6,MIN(Reference!$A$11,MIN($U63,240))),Reference!$A$6:$A$11,1)))+(MAX(Reference!$A$6,MIN(Reference!$A$11,MIN($U63,240)))-INDEX(Reference!$A$6:$A$11,MIN(5,MATCH(MAX(Reference!$A$6,MIN(Reference!$A$11,MIN($U63,240))),Reference!$A$6:$A$11,1))))*(INDEX(Reference!$B$6:$B$11,MIN(5,MATCH(MAX(Reference!$A$6,MIN(Reference!$A$11,MIN($U63,240))),Reference!$A$6:$A$11,1))+1)-INDEX(Reference!$B$6:$B$11,MIN(5,MATCH(MAX(Reference!$A$6,MIN(Reference!$A$11,MIN($U63,240))),Reference!$A$6:$A$11,1))))/(INDEX(Reference!$A$6:$A$11,MIN(5,MATCH(MAX(Reference!$A$6,MIN(Reference!$A$11,MIN($U63,240))),Reference!$A$6:$A$11,1))+1)-INDEX(Reference!$A$6:$A$11,MIN(5,MATCH(MAX(Reference!$A$6,MIN(Reference!$A$11,MIN($U63,240))),Reference!$A$6:$A$11,1))))),0)+IF(7&lt;=$AL63,($AL63-7+3)*(INDEX(Reference!$B$6:$B$11,MIN(5,MATCH(MAX(Reference!$A$6,MIN(Reference!$A$11,MIN($U63,270))),Reference!$A$6:$A$11,1)))+(MAX(Reference!$A$6,MIN(Reference!$A$11,MIN($U63,270)))-INDEX(Reference!$A$6:$A$11,MIN(5,MATCH(MAX(Reference!$A$6,MIN(Reference!$A$11,MIN($U63,270))),Reference!$A$6:$A$11,1))))*(INDEX(Reference!$B$6:$B$11,MIN(5,MATCH(MAX(Reference!$A$6,MIN(Reference!$A$11,MIN($U63,270))),Reference!$A$6:$A$11,1))+1)-INDEX(Reference!$B$6:$B$11,MIN(5,MATCH(MAX(Reference!$A$6,MIN(Reference!$A$11,MIN($U63,270))),Reference!$A$6:$A$11,1))))/(INDEX(Reference!$A$6:$A$11,MIN(5,MATCH(MAX(Reference!$A$6,MIN(Reference!$A$11,MIN($U63,270))),Reference!$A$6:$A$11,1))+1)-INDEX(Reference!$A$6:$A$11,MIN(5,MATCH(MAX(Reference!$A$6,MIN(Reference!$A$11,MIN($U63,270))),Reference!$A$6:$A$11,1))))),0)+IF(8&lt;=$AL63,($AL63-8+3)*(INDEX(Reference!$B$6:$B$11,MIN(5,MATCH(MAX(Reference!$A$6,MIN(Reference!$A$11,MIN($U63,300))),Reference!$A$6:$A$11,1)))+(MAX(Reference!$A$6,MIN(Reference!$A$11,MIN($U63,300)))-INDEX(Reference!$A$6:$A$11,MIN(5,MATCH(MAX(Reference!$A$6,MIN(Reference!$A$11,MIN($U63,300))),Reference!$A$6:$A$11,1))))*(INDEX(Reference!$B$6:$B$11,MIN(5,MATCH(MAX(Reference!$A$6,MIN(Reference!$A$11,MIN($U63,300))),Reference!$A$6:$A$11,1))+1)-INDEX(Reference!$B$6:$B$11,MIN(5,MATCH(MAX(Reference!$A$6,MIN(Reference!$A$11,MIN($U63,300))),Reference!$A$6:$A$11,1))))/(INDEX(Reference!$A$6:$A$11,MIN(5,MATCH(MAX(Reference!$A$6,MIN(Reference!$A$11,MIN($U63,300))),Reference!$A$6:$A$11,1))+1)-INDEX(Reference!$A$6:$A$11,MIN(5,MATCH(MAX(Reference!$A$6,MIN(Reference!$A$11,MIN($U63,300))),Reference!$A$6:$A$11,1))))),0))/($AL63*($AL63+5)/2)),$AN63))</f>
        <v>1</v>
      </c>
      <c r="AN63" s="32">
        <f>IF($U63="",0,(INDEX(Reference!$B$6:$B$11,MIN(5,MATCH(MAX(Reference!$A$6,MIN(Reference!$A$11,$U63)),Reference!$A$6:$A$11,1)))+(MAX(Reference!$A$6,MIN(Reference!$A$11,$U63))-INDEX(Reference!$A$6:$A$11,MIN(5,MATCH(MAX(Reference!$A$6,MIN(Reference!$A$11,$U63)),Reference!$A$6:$A$11,1))))*(INDEX(Reference!$B$6:$B$11,MIN(5,MATCH(MAX(Reference!$A$6,MIN(Reference!$A$11,$U63)),Reference!$A$6:$A$11,1))+1)-INDEX(Reference!$B$6:$B$11,MIN(5,MATCH(MAX(Reference!$A$6,MIN(Reference!$A$11,$U63)),Reference!$A$6:$A$11,1))))/(INDEX(Reference!$A$6:$A$11,MIN(5,MATCH(MAX(Reference!$A$6,MIN(Reference!$A$11,$U63)),Reference!$A$6:$A$11,1))+1)-INDEX(Reference!$A$6:$A$11,MIN(5,MATCH(MAX(Reference!$A$6,MIN(Reference!$A$11,$U63)),Reference!$A$6:$A$11,1))))))</f>
        <v>1</v>
      </c>
      <c r="AO63" s="37"/>
      <c r="AP63" s="37"/>
      <c r="AQ63" s="37"/>
    </row>
    <row r="64" spans="1:43" x14ac:dyDescent="0.3">
      <c r="A64" s="48">
        <f t="shared" si="5"/>
        <v>46328</v>
      </c>
      <c r="B64" s="32" t="str">
        <f t="shared" si="6"/>
        <v>Mon</v>
      </c>
      <c r="C64" s="32">
        <f t="shared" si="7"/>
        <v>63</v>
      </c>
      <c r="D64" s="32" t="str">
        <f t="shared" si="8"/>
        <v>Base</v>
      </c>
      <c r="E64" s="32" t="str">
        <f t="shared" si="9"/>
        <v>Low</v>
      </c>
      <c r="F64" s="32" t="str">
        <f t="shared" si="10"/>
        <v>Recovery/Easy Catch</v>
      </c>
      <c r="G64" s="47" t="str">
        <f t="shared" si="11"/>
        <v>75 ft × 20 @ 69–73 mph</v>
      </c>
      <c r="H64" s="30">
        <f t="shared" si="12"/>
        <v>13.799999999999999</v>
      </c>
      <c r="I64" s="46" t="str">
        <f>IF($A64="","",IF(AND($L64&lt;27,$K$12=0),"Building",IFERROR(((SUM($H$58:$H64)+$K$12*IF($L64&lt;6,SUMIFS('Throw Log'!$Q$5:$Q$300,'Throw Log'!$B$5:$B$300,$D$4,'Throw Log'!$A$5:$A$300,"&gt;="&amp;($D$6+$L64-6),'Throw Log'!$A$5:$A$300,"&lt;="&amp;($D$6-1)),0))/7)/((SUM($H$43:$H64)+$K$12*IF($L64&lt;27,SUMIFS('Throw Log'!$Q$5:$Q$300,'Throw Log'!$B$5:$B$300,$D$4,'Throw Log'!$A$5:$A$300,"&gt;="&amp;($D$6+$L64-27),'Throw Log'!$A$5:$A$300,"&lt;="&amp;($D$6-1)),0))/28),"")))</f>
        <v>Building</v>
      </c>
      <c r="J64" s="37"/>
      <c r="K64" s="37"/>
      <c r="L64" s="32">
        <v>21</v>
      </c>
      <c r="M64" s="32">
        <f t="shared" si="13"/>
        <v>4</v>
      </c>
      <c r="N64" s="32">
        <f t="shared" si="14"/>
        <v>0</v>
      </c>
      <c r="O64" s="32">
        <f t="shared" si="15"/>
        <v>0.27631578947368424</v>
      </c>
      <c r="P64" s="32">
        <f>IF(OR($A64="",N($C64)&lt;=7),"",$G$6*$G$9^($M64-1)*IF(AND(MOD($M64,Reference!$B$99)=0,$M64&lt;=$G$5-2),Reference!$B$100,1))</f>
        <v>96.844268027376231</v>
      </c>
      <c r="Q64" s="32">
        <f>IF($P64="","",IF(SUM($AK$64:$AK$70)=0,0,$P64*INDEX(Reference!$B$108:$B$114,$N64+1)/SUM($AK$64:$AK$70)))</f>
        <v>11.621312163285147</v>
      </c>
      <c r="R64" s="32">
        <f t="shared" si="16"/>
        <v>105</v>
      </c>
      <c r="S64" s="32">
        <f t="shared" si="17"/>
        <v>90</v>
      </c>
      <c r="T64" s="32" t="str">
        <f>IF($A64="","",IF($C64=0,"Bullpen",IF(OR($C64=7,$C64=1,$C64=5),"Recovery/Easy Catch",IF($C64=6,"Compression/Pulldowns",IF(OR($C64=4,$C64=2),"Long Toss",IF($C64=3,"No Throw",IF($N64=2,"No Throw",IF($N64=6,IF($O64&lt;Reference!$B$104,"No Throw","Recovery/Easy Catch"),IF(OR($N64=0,$N64=4),"Recovery/Easy Catch",IF($N64=1,IF($R64&gt;75,"Long Toss","Recovery/Easy Catch"),IF($N64=3,IF($O64&lt;0.5,IF($S64&gt;75,"Long Toss","Recovery/Easy Catch"),"Compression/Pulldowns"),IF($S64&gt;75,"Long Toss","Recovery/Easy Catch"))))))))))))</f>
        <v>Recovery/Easy Catch</v>
      </c>
      <c r="U64" s="32">
        <f t="shared" si="18"/>
        <v>75</v>
      </c>
      <c r="V64" s="32">
        <f t="shared" si="19"/>
        <v>18</v>
      </c>
      <c r="W64" s="32">
        <f t="shared" si="20"/>
        <v>22</v>
      </c>
      <c r="X64" s="32">
        <f t="shared" si="21"/>
        <v>0</v>
      </c>
      <c r="Y64" s="32" t="str">
        <f t="shared" si="22"/>
        <v/>
      </c>
      <c r="Z64" s="32" t="str">
        <f t="shared" si="23"/>
        <v/>
      </c>
      <c r="AA64" s="32" t="str">
        <f t="shared" si="24"/>
        <v/>
      </c>
      <c r="AB64" s="32">
        <f>IF($A64="","",IF($T64="No Throw",0,IF($K64&lt;&gt;"",$K64,IF($AA64&lt;&gt;"",ROUND($AA64*$D$12*IF($C64=0,1,$G$10),0),MIN(IF($T64="Recovery/Easy Catch",Reference!$B$103,IF($T64="Long Toss",Reference!$B$106,Reference!$B$102)),MAX(Reference!$B$101,ROUND(MAX(0,$Q64-$AE64)/$AF64,0)))))))</f>
        <v>20</v>
      </c>
      <c r="AC64" s="32">
        <f t="shared" si="25"/>
        <v>0</v>
      </c>
      <c r="AD64" s="32" t="b">
        <f t="shared" si="26"/>
        <v>0</v>
      </c>
      <c r="AE64" s="32">
        <f>IF($X64=0,0,$X64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64+$Z64)/2,0),Reference!$A$17:$B$20,2,TRUE()))</f>
        <v>0</v>
      </c>
      <c r="AF64" s="32">
        <f>IF(OR($A64="",$U64="",$T64="No Throw"),0,$AM64*VLOOKUP(MAX(($V64+$W64)/2,0),Reference!$A$17:$B$20,2,TRUE()))</f>
        <v>0.69</v>
      </c>
      <c r="AG64" s="32">
        <f>IF($AC64=0,0,$AC64*INDEX(Reference!$B$61:$B$62,MATCH("Bullpen",Reference!$A$61:$A$62,0))*VLOOKUP(MAX($D$5-($D$9+$E$9)/2,0),Reference!$A$17:$B$20,2,TRUE()))</f>
        <v>0</v>
      </c>
      <c r="AH64" s="32" t="e">
        <f t="shared" si="27"/>
        <v>#N/A</v>
      </c>
      <c r="AI64" s="32">
        <f>IF($A64="",NA(),Reference!$A$25)</f>
        <v>0.8</v>
      </c>
      <c r="AJ64" s="32">
        <f t="shared" si="28"/>
        <v>1.3</v>
      </c>
      <c r="AK64" s="56">
        <f>IF(OR($A64="",N($C64)&lt;=7,$T64="No Throw",$J64="x"),0,INDEX(Reference!$B$108:$B$114,$N64+1))</f>
        <v>0.12</v>
      </c>
      <c r="AL64" s="32">
        <f t="shared" si="29"/>
        <v>1</v>
      </c>
      <c r="AM64" s="32">
        <f>IF($U64="",0,IF($AL64&gt;1,((IF(1&lt;=$AL64,($AL64-1+3)*(INDEX(Reference!$B$6:$B$11,MIN(5,MATCH(MAX(Reference!$A$6,MIN(Reference!$A$11,MIN($U64,90))),Reference!$A$6:$A$11,1)))+(MAX(Reference!$A$6,MIN(Reference!$A$11,MIN($U64,90)))-INDEX(Reference!$A$6:$A$11,MIN(5,MATCH(MAX(Reference!$A$6,MIN(Reference!$A$11,MIN($U64,90))),Reference!$A$6:$A$11,1))))*(INDEX(Reference!$B$6:$B$11,MIN(5,MATCH(MAX(Reference!$A$6,MIN(Reference!$A$11,MIN($U64,90))),Reference!$A$6:$A$11,1))+1)-INDEX(Reference!$B$6:$B$11,MIN(5,MATCH(MAX(Reference!$A$6,MIN(Reference!$A$11,MIN($U64,90))),Reference!$A$6:$A$11,1))))/(INDEX(Reference!$A$6:$A$11,MIN(5,MATCH(MAX(Reference!$A$6,MIN(Reference!$A$11,MIN($U64,90))),Reference!$A$6:$A$11,1))+1)-INDEX(Reference!$A$6:$A$11,MIN(5,MATCH(MAX(Reference!$A$6,MIN(Reference!$A$11,MIN($U64,90))),Reference!$A$6:$A$11,1))))),0)+IF(2&lt;=$AL64,($AL64-2+3)*(INDEX(Reference!$B$6:$B$11,MIN(5,MATCH(MAX(Reference!$A$6,MIN(Reference!$A$11,MIN($U64,120))),Reference!$A$6:$A$11,1)))+(MAX(Reference!$A$6,MIN(Reference!$A$11,MIN($U64,120)))-INDEX(Reference!$A$6:$A$11,MIN(5,MATCH(MAX(Reference!$A$6,MIN(Reference!$A$11,MIN($U64,120))),Reference!$A$6:$A$11,1))))*(INDEX(Reference!$B$6:$B$11,MIN(5,MATCH(MAX(Reference!$A$6,MIN(Reference!$A$11,MIN($U64,120))),Reference!$A$6:$A$11,1))+1)-INDEX(Reference!$B$6:$B$11,MIN(5,MATCH(MAX(Reference!$A$6,MIN(Reference!$A$11,MIN($U64,120))),Reference!$A$6:$A$11,1))))/(INDEX(Reference!$A$6:$A$11,MIN(5,MATCH(MAX(Reference!$A$6,MIN(Reference!$A$11,MIN($U64,120))),Reference!$A$6:$A$11,1))+1)-INDEX(Reference!$A$6:$A$11,MIN(5,MATCH(MAX(Reference!$A$6,MIN(Reference!$A$11,MIN($U64,120))),Reference!$A$6:$A$11,1))))),0)+IF(3&lt;=$AL64,($AL64-3+3)*(INDEX(Reference!$B$6:$B$11,MIN(5,MATCH(MAX(Reference!$A$6,MIN(Reference!$A$11,MIN($U64,150))),Reference!$A$6:$A$11,1)))+(MAX(Reference!$A$6,MIN(Reference!$A$11,MIN($U64,150)))-INDEX(Reference!$A$6:$A$11,MIN(5,MATCH(MAX(Reference!$A$6,MIN(Reference!$A$11,MIN($U64,150))),Reference!$A$6:$A$11,1))))*(INDEX(Reference!$B$6:$B$11,MIN(5,MATCH(MAX(Reference!$A$6,MIN(Reference!$A$11,MIN($U64,150))),Reference!$A$6:$A$11,1))+1)-INDEX(Reference!$B$6:$B$11,MIN(5,MATCH(MAX(Reference!$A$6,MIN(Reference!$A$11,MIN($U64,150))),Reference!$A$6:$A$11,1))))/(INDEX(Reference!$A$6:$A$11,MIN(5,MATCH(MAX(Reference!$A$6,MIN(Reference!$A$11,MIN($U64,150))),Reference!$A$6:$A$11,1))+1)-INDEX(Reference!$A$6:$A$11,MIN(5,MATCH(MAX(Reference!$A$6,MIN(Reference!$A$11,MIN($U64,150))),Reference!$A$6:$A$11,1))))),0)+IF(4&lt;=$AL64,($AL64-4+3)*(INDEX(Reference!$B$6:$B$11,MIN(5,MATCH(MAX(Reference!$A$6,MIN(Reference!$A$11,MIN($U64,180))),Reference!$A$6:$A$11,1)))+(MAX(Reference!$A$6,MIN(Reference!$A$11,MIN($U64,180)))-INDEX(Reference!$A$6:$A$11,MIN(5,MATCH(MAX(Reference!$A$6,MIN(Reference!$A$11,MIN($U64,180))),Reference!$A$6:$A$11,1))))*(INDEX(Reference!$B$6:$B$11,MIN(5,MATCH(MAX(Reference!$A$6,MIN(Reference!$A$11,MIN($U64,180))),Reference!$A$6:$A$11,1))+1)-INDEX(Reference!$B$6:$B$11,MIN(5,MATCH(MAX(Reference!$A$6,MIN(Reference!$A$11,MIN($U64,180))),Reference!$A$6:$A$11,1))))/(INDEX(Reference!$A$6:$A$11,MIN(5,MATCH(MAX(Reference!$A$6,MIN(Reference!$A$11,MIN($U64,180))),Reference!$A$6:$A$11,1))+1)-INDEX(Reference!$A$6:$A$11,MIN(5,MATCH(MAX(Reference!$A$6,MIN(Reference!$A$11,MIN($U64,180))),Reference!$A$6:$A$11,1))))),0)+IF(5&lt;=$AL64,($AL64-5+3)*(INDEX(Reference!$B$6:$B$11,MIN(5,MATCH(MAX(Reference!$A$6,MIN(Reference!$A$11,MIN($U64,210))),Reference!$A$6:$A$11,1)))+(MAX(Reference!$A$6,MIN(Reference!$A$11,MIN($U64,210)))-INDEX(Reference!$A$6:$A$11,MIN(5,MATCH(MAX(Reference!$A$6,MIN(Reference!$A$11,MIN($U64,210))),Reference!$A$6:$A$11,1))))*(INDEX(Reference!$B$6:$B$11,MIN(5,MATCH(MAX(Reference!$A$6,MIN(Reference!$A$11,MIN($U64,210))),Reference!$A$6:$A$11,1))+1)-INDEX(Reference!$B$6:$B$11,MIN(5,MATCH(MAX(Reference!$A$6,MIN(Reference!$A$11,MIN($U64,210))),Reference!$A$6:$A$11,1))))/(INDEX(Reference!$A$6:$A$11,MIN(5,MATCH(MAX(Reference!$A$6,MIN(Reference!$A$11,MIN($U64,210))),Reference!$A$6:$A$11,1))+1)-INDEX(Reference!$A$6:$A$11,MIN(5,MATCH(MAX(Reference!$A$6,MIN(Reference!$A$11,MIN($U64,210))),Reference!$A$6:$A$11,1))))),0)+IF(6&lt;=$AL64,($AL64-6+3)*(INDEX(Reference!$B$6:$B$11,MIN(5,MATCH(MAX(Reference!$A$6,MIN(Reference!$A$11,MIN($U64,240))),Reference!$A$6:$A$11,1)))+(MAX(Reference!$A$6,MIN(Reference!$A$11,MIN($U64,240)))-INDEX(Reference!$A$6:$A$11,MIN(5,MATCH(MAX(Reference!$A$6,MIN(Reference!$A$11,MIN($U64,240))),Reference!$A$6:$A$11,1))))*(INDEX(Reference!$B$6:$B$11,MIN(5,MATCH(MAX(Reference!$A$6,MIN(Reference!$A$11,MIN($U64,240))),Reference!$A$6:$A$11,1))+1)-INDEX(Reference!$B$6:$B$11,MIN(5,MATCH(MAX(Reference!$A$6,MIN(Reference!$A$11,MIN($U64,240))),Reference!$A$6:$A$11,1))))/(INDEX(Reference!$A$6:$A$11,MIN(5,MATCH(MAX(Reference!$A$6,MIN(Reference!$A$11,MIN($U64,240))),Reference!$A$6:$A$11,1))+1)-INDEX(Reference!$A$6:$A$11,MIN(5,MATCH(MAX(Reference!$A$6,MIN(Reference!$A$11,MIN($U64,240))),Reference!$A$6:$A$11,1))))),0)+IF(7&lt;=$AL64,($AL64-7+3)*(INDEX(Reference!$B$6:$B$11,MIN(5,MATCH(MAX(Reference!$A$6,MIN(Reference!$A$11,MIN($U64,270))),Reference!$A$6:$A$11,1)))+(MAX(Reference!$A$6,MIN(Reference!$A$11,MIN($U64,270)))-INDEX(Reference!$A$6:$A$11,MIN(5,MATCH(MAX(Reference!$A$6,MIN(Reference!$A$11,MIN($U64,270))),Reference!$A$6:$A$11,1))))*(INDEX(Reference!$B$6:$B$11,MIN(5,MATCH(MAX(Reference!$A$6,MIN(Reference!$A$11,MIN($U64,270))),Reference!$A$6:$A$11,1))+1)-INDEX(Reference!$B$6:$B$11,MIN(5,MATCH(MAX(Reference!$A$6,MIN(Reference!$A$11,MIN($U64,270))),Reference!$A$6:$A$11,1))))/(INDEX(Reference!$A$6:$A$11,MIN(5,MATCH(MAX(Reference!$A$6,MIN(Reference!$A$11,MIN($U64,270))),Reference!$A$6:$A$11,1))+1)-INDEX(Reference!$A$6:$A$11,MIN(5,MATCH(MAX(Reference!$A$6,MIN(Reference!$A$11,MIN($U64,270))),Reference!$A$6:$A$11,1))))),0)+IF(8&lt;=$AL64,($AL64-8+3)*(INDEX(Reference!$B$6:$B$11,MIN(5,MATCH(MAX(Reference!$A$6,MIN(Reference!$A$11,MIN($U64,300))),Reference!$A$6:$A$11,1)))+(MAX(Reference!$A$6,MIN(Reference!$A$11,MIN($U64,300)))-INDEX(Reference!$A$6:$A$11,MIN(5,MATCH(MAX(Reference!$A$6,MIN(Reference!$A$11,MIN($U64,300))),Reference!$A$6:$A$11,1))))*(INDEX(Reference!$B$6:$B$11,MIN(5,MATCH(MAX(Reference!$A$6,MIN(Reference!$A$11,MIN($U64,300))),Reference!$A$6:$A$11,1))+1)-INDEX(Reference!$B$6:$B$11,MIN(5,MATCH(MAX(Reference!$A$6,MIN(Reference!$A$11,MIN($U64,300))),Reference!$A$6:$A$11,1))))/(INDEX(Reference!$A$6:$A$11,MIN(5,MATCH(MAX(Reference!$A$6,MIN(Reference!$A$11,MIN($U64,300))),Reference!$A$6:$A$11,1))+1)-INDEX(Reference!$A$6:$A$11,MIN(5,MATCH(MAX(Reference!$A$6,MIN(Reference!$A$11,MIN($U64,300))),Reference!$A$6:$A$11,1))))),0))/($AL64*($AL64+5)/2)),$AN64))</f>
        <v>1.1499999999999999</v>
      </c>
      <c r="AN64" s="32">
        <f>IF($U64="",0,(INDEX(Reference!$B$6:$B$11,MIN(5,MATCH(MAX(Reference!$A$6,MIN(Reference!$A$11,$U64)),Reference!$A$6:$A$11,1)))+(MAX(Reference!$A$6,MIN(Reference!$A$11,$U64))-INDEX(Reference!$A$6:$A$11,MIN(5,MATCH(MAX(Reference!$A$6,MIN(Reference!$A$11,$U64)),Reference!$A$6:$A$11,1))))*(INDEX(Reference!$B$6:$B$11,MIN(5,MATCH(MAX(Reference!$A$6,MIN(Reference!$A$11,$U64)),Reference!$A$6:$A$11,1))+1)-INDEX(Reference!$B$6:$B$11,MIN(5,MATCH(MAX(Reference!$A$6,MIN(Reference!$A$11,$U64)),Reference!$A$6:$A$11,1))))/(INDEX(Reference!$A$6:$A$11,MIN(5,MATCH(MAX(Reference!$A$6,MIN(Reference!$A$11,$U64)),Reference!$A$6:$A$11,1))+1)-INDEX(Reference!$A$6:$A$11,MIN(5,MATCH(MAX(Reference!$A$6,MIN(Reference!$A$11,$U64)),Reference!$A$6:$A$11,1))))))</f>
        <v>1.1499999999999999</v>
      </c>
      <c r="AO64" s="37"/>
      <c r="AP64" s="37"/>
      <c r="AQ64" s="37"/>
    </row>
    <row r="65" spans="1:43" ht="26.4" x14ac:dyDescent="0.3">
      <c r="A65" s="48">
        <f t="shared" si="5"/>
        <v>46329</v>
      </c>
      <c r="B65" s="32" t="str">
        <f t="shared" si="6"/>
        <v>Tue</v>
      </c>
      <c r="C65" s="32">
        <f t="shared" si="7"/>
        <v>62</v>
      </c>
      <c r="D65" s="32" t="str">
        <f t="shared" si="8"/>
        <v>Base</v>
      </c>
      <c r="E65" s="32" t="str">
        <f t="shared" si="9"/>
        <v>Low</v>
      </c>
      <c r="F65" s="32" t="str">
        <f t="shared" si="10"/>
        <v>Long Toss</v>
      </c>
      <c r="G65" s="47" t="str">
        <f t="shared" si="11"/>
        <v>Long toss out to 105 ft — 24 throws (90×14 · 105×10) @ 75–78 mph + 60 ft × 10 @ 73–77 mph</v>
      </c>
      <c r="H65" s="30">
        <f t="shared" si="12"/>
        <v>25.954285714285714</v>
      </c>
      <c r="I65" s="46" t="str">
        <f>IF($A65="","",IF(AND($L65&lt;27,$K$12=0),"Building",IFERROR(((SUM($H$59:$H65)+$K$12*IF($L65&lt;6,SUMIFS('Throw Log'!$Q$5:$Q$300,'Throw Log'!$B$5:$B$300,$D$4,'Throw Log'!$A$5:$A$300,"&gt;="&amp;($D$6+$L65-6),'Throw Log'!$A$5:$A$300,"&lt;="&amp;($D$6-1)),0))/7)/((SUM($H$43:$H65)+$K$12*IF($L65&lt;27,SUMIFS('Throw Log'!$Q$5:$Q$300,'Throw Log'!$B$5:$B$300,$D$4,'Throw Log'!$A$5:$A$300,"&gt;="&amp;($D$6+$L65-27),'Throw Log'!$A$5:$A$300,"&lt;="&amp;($D$6-1)),0))/28),"")))</f>
        <v>Building</v>
      </c>
      <c r="J65" s="37"/>
      <c r="K65" s="37"/>
      <c r="L65" s="32">
        <v>22</v>
      </c>
      <c r="M65" s="32">
        <f t="shared" si="13"/>
        <v>4</v>
      </c>
      <c r="N65" s="32">
        <f t="shared" si="14"/>
        <v>1</v>
      </c>
      <c r="O65" s="32">
        <f t="shared" si="15"/>
        <v>0.28947368421052633</v>
      </c>
      <c r="P65" s="32">
        <f>IF(OR($A65="",N($C65)&lt;=7),"",$G$6*$G$9^($M65-1)*IF(AND(MOD($M65,Reference!$B$99)=0,$M65&lt;=$G$5-2),Reference!$B$100,1))</f>
        <v>96.844268027376231</v>
      </c>
      <c r="Q65" s="32">
        <f>IF($P65="","",IF(SUM($AK$64:$AK$70)=0,0,$P65*INDEX(Reference!$B$108:$B$114,$N65+1)/SUM($AK$64:$AK$70)))</f>
        <v>26.147952367391586</v>
      </c>
      <c r="R65" s="32">
        <f t="shared" si="16"/>
        <v>105</v>
      </c>
      <c r="S65" s="32">
        <f t="shared" si="17"/>
        <v>90</v>
      </c>
      <c r="T65" s="32" t="str">
        <f>IF($A65="","",IF($C65=0,"Bullpen",IF(OR($C65=7,$C65=1,$C65=5),"Recovery/Easy Catch",IF($C65=6,"Compression/Pulldowns",IF(OR($C65=4,$C65=2),"Long Toss",IF($C65=3,"No Throw",IF($N65=2,"No Throw",IF($N65=6,IF($O65&lt;Reference!$B$104,"No Throw","Recovery/Easy Catch"),IF(OR($N65=0,$N65=4),"Recovery/Easy Catch",IF($N65=1,IF($R65&gt;75,"Long Toss","Recovery/Easy Catch"),IF($N65=3,IF($O65&lt;0.5,IF($S65&gt;75,"Long Toss","Recovery/Easy Catch"),"Compression/Pulldowns"),IF($S65&gt;75,"Long Toss","Recovery/Easy Catch"))))))))))))</f>
        <v>Long Toss</v>
      </c>
      <c r="U65" s="32">
        <f t="shared" si="18"/>
        <v>105</v>
      </c>
      <c r="V65" s="32">
        <f t="shared" si="19"/>
        <v>13</v>
      </c>
      <c r="W65" s="32">
        <f t="shared" si="20"/>
        <v>16</v>
      </c>
      <c r="X65" s="32">
        <f t="shared" si="21"/>
        <v>10</v>
      </c>
      <c r="Y65" s="32">
        <f t="shared" si="22"/>
        <v>14</v>
      </c>
      <c r="Z65" s="32">
        <f t="shared" si="23"/>
        <v>18</v>
      </c>
      <c r="AA65" s="32" t="str">
        <f t="shared" si="24"/>
        <v/>
      </c>
      <c r="AB65" s="32">
        <f>IF($A65="","",IF($T65="No Throw",0,IF($K65&lt;&gt;"",$K65,IF($AA65&lt;&gt;"",ROUND($AA65*$D$12*IF($C65=0,1,$G$10),0),MIN(IF($T65="Recovery/Easy Catch",Reference!$B$103,IF($T65="Long Toss",Reference!$B$106,Reference!$B$102)),MAX(Reference!$B$101,ROUND(MAX(0,$Q65-$AE65)/$AF65,0)))))))</f>
        <v>24</v>
      </c>
      <c r="AC65" s="32">
        <f t="shared" si="25"/>
        <v>0</v>
      </c>
      <c r="AD65" s="32" t="b">
        <f t="shared" si="26"/>
        <v>0</v>
      </c>
      <c r="AE65" s="32">
        <f>IF($X65=0,0,$X65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65+$Z65)/2,0),Reference!$A$17:$B$20,2,TRUE()))</f>
        <v>6</v>
      </c>
      <c r="AF65" s="32">
        <f>IF(OR($A65="",$U65="",$T65="No Throw"),0,$AM65*VLOOKUP(MAX(($V65+$W65)/2,0),Reference!$A$17:$B$20,2,TRUE()))</f>
        <v>0.83142857142857141</v>
      </c>
      <c r="AG65" s="32">
        <f>IF($AC65=0,0,$AC65*INDEX(Reference!$B$61:$B$62,MATCH("Bullpen",Reference!$A$61:$A$62,0))*VLOOKUP(MAX($D$5-($D$9+$E$9)/2,0),Reference!$A$17:$B$20,2,TRUE()))</f>
        <v>0</v>
      </c>
      <c r="AH65" s="32" t="e">
        <f t="shared" si="27"/>
        <v>#N/A</v>
      </c>
      <c r="AI65" s="32">
        <f>IF($A65="",NA(),Reference!$A$25)</f>
        <v>0.8</v>
      </c>
      <c r="AJ65" s="32">
        <f t="shared" si="28"/>
        <v>1.3</v>
      </c>
      <c r="AK65" s="56">
        <f>IF(OR($A65="",N($C65)&lt;=7,$T65="No Throw",$J65="x"),0,INDEX(Reference!$B$108:$B$114,$N65+1))</f>
        <v>0.27</v>
      </c>
      <c r="AL65" s="32">
        <f t="shared" si="29"/>
        <v>2</v>
      </c>
      <c r="AM65" s="32">
        <f>IF($U65="",0,IF($AL65&gt;1,((IF(1&lt;=$AL65,($AL65-1+3)*(INDEX(Reference!$B$6:$B$11,MIN(5,MATCH(MAX(Reference!$A$6,MIN(Reference!$A$11,MIN($U65,90))),Reference!$A$6:$A$11,1)))+(MAX(Reference!$A$6,MIN(Reference!$A$11,MIN($U65,90)))-INDEX(Reference!$A$6:$A$11,MIN(5,MATCH(MAX(Reference!$A$6,MIN(Reference!$A$11,MIN($U65,90))),Reference!$A$6:$A$11,1))))*(INDEX(Reference!$B$6:$B$11,MIN(5,MATCH(MAX(Reference!$A$6,MIN(Reference!$A$11,MIN($U65,90))),Reference!$A$6:$A$11,1))+1)-INDEX(Reference!$B$6:$B$11,MIN(5,MATCH(MAX(Reference!$A$6,MIN(Reference!$A$11,MIN($U65,90))),Reference!$A$6:$A$11,1))))/(INDEX(Reference!$A$6:$A$11,MIN(5,MATCH(MAX(Reference!$A$6,MIN(Reference!$A$11,MIN($U65,90))),Reference!$A$6:$A$11,1))+1)-INDEX(Reference!$A$6:$A$11,MIN(5,MATCH(MAX(Reference!$A$6,MIN(Reference!$A$11,MIN($U65,90))),Reference!$A$6:$A$11,1))))),0)+IF(2&lt;=$AL65,($AL65-2+3)*(INDEX(Reference!$B$6:$B$11,MIN(5,MATCH(MAX(Reference!$A$6,MIN(Reference!$A$11,MIN($U65,120))),Reference!$A$6:$A$11,1)))+(MAX(Reference!$A$6,MIN(Reference!$A$11,MIN($U65,120)))-INDEX(Reference!$A$6:$A$11,MIN(5,MATCH(MAX(Reference!$A$6,MIN(Reference!$A$11,MIN($U65,120))),Reference!$A$6:$A$11,1))))*(INDEX(Reference!$B$6:$B$11,MIN(5,MATCH(MAX(Reference!$A$6,MIN(Reference!$A$11,MIN($U65,120))),Reference!$A$6:$A$11,1))+1)-INDEX(Reference!$B$6:$B$11,MIN(5,MATCH(MAX(Reference!$A$6,MIN(Reference!$A$11,MIN($U65,120))),Reference!$A$6:$A$11,1))))/(INDEX(Reference!$A$6:$A$11,MIN(5,MATCH(MAX(Reference!$A$6,MIN(Reference!$A$11,MIN($U65,120))),Reference!$A$6:$A$11,1))+1)-INDEX(Reference!$A$6:$A$11,MIN(5,MATCH(MAX(Reference!$A$6,MIN(Reference!$A$11,MIN($U65,120))),Reference!$A$6:$A$11,1))))),0)+IF(3&lt;=$AL65,($AL65-3+3)*(INDEX(Reference!$B$6:$B$11,MIN(5,MATCH(MAX(Reference!$A$6,MIN(Reference!$A$11,MIN($U65,150))),Reference!$A$6:$A$11,1)))+(MAX(Reference!$A$6,MIN(Reference!$A$11,MIN($U65,150)))-INDEX(Reference!$A$6:$A$11,MIN(5,MATCH(MAX(Reference!$A$6,MIN(Reference!$A$11,MIN($U65,150))),Reference!$A$6:$A$11,1))))*(INDEX(Reference!$B$6:$B$11,MIN(5,MATCH(MAX(Reference!$A$6,MIN(Reference!$A$11,MIN($U65,150))),Reference!$A$6:$A$11,1))+1)-INDEX(Reference!$B$6:$B$11,MIN(5,MATCH(MAX(Reference!$A$6,MIN(Reference!$A$11,MIN($U65,150))),Reference!$A$6:$A$11,1))))/(INDEX(Reference!$A$6:$A$11,MIN(5,MATCH(MAX(Reference!$A$6,MIN(Reference!$A$11,MIN($U65,150))),Reference!$A$6:$A$11,1))+1)-INDEX(Reference!$A$6:$A$11,MIN(5,MATCH(MAX(Reference!$A$6,MIN(Reference!$A$11,MIN($U65,150))),Reference!$A$6:$A$11,1))))),0)+IF(4&lt;=$AL65,($AL65-4+3)*(INDEX(Reference!$B$6:$B$11,MIN(5,MATCH(MAX(Reference!$A$6,MIN(Reference!$A$11,MIN($U65,180))),Reference!$A$6:$A$11,1)))+(MAX(Reference!$A$6,MIN(Reference!$A$11,MIN($U65,180)))-INDEX(Reference!$A$6:$A$11,MIN(5,MATCH(MAX(Reference!$A$6,MIN(Reference!$A$11,MIN($U65,180))),Reference!$A$6:$A$11,1))))*(INDEX(Reference!$B$6:$B$11,MIN(5,MATCH(MAX(Reference!$A$6,MIN(Reference!$A$11,MIN($U65,180))),Reference!$A$6:$A$11,1))+1)-INDEX(Reference!$B$6:$B$11,MIN(5,MATCH(MAX(Reference!$A$6,MIN(Reference!$A$11,MIN($U65,180))),Reference!$A$6:$A$11,1))))/(INDEX(Reference!$A$6:$A$11,MIN(5,MATCH(MAX(Reference!$A$6,MIN(Reference!$A$11,MIN($U65,180))),Reference!$A$6:$A$11,1))+1)-INDEX(Reference!$A$6:$A$11,MIN(5,MATCH(MAX(Reference!$A$6,MIN(Reference!$A$11,MIN($U65,180))),Reference!$A$6:$A$11,1))))),0)+IF(5&lt;=$AL65,($AL65-5+3)*(INDEX(Reference!$B$6:$B$11,MIN(5,MATCH(MAX(Reference!$A$6,MIN(Reference!$A$11,MIN($U65,210))),Reference!$A$6:$A$11,1)))+(MAX(Reference!$A$6,MIN(Reference!$A$11,MIN($U65,210)))-INDEX(Reference!$A$6:$A$11,MIN(5,MATCH(MAX(Reference!$A$6,MIN(Reference!$A$11,MIN($U65,210))),Reference!$A$6:$A$11,1))))*(INDEX(Reference!$B$6:$B$11,MIN(5,MATCH(MAX(Reference!$A$6,MIN(Reference!$A$11,MIN($U65,210))),Reference!$A$6:$A$11,1))+1)-INDEX(Reference!$B$6:$B$11,MIN(5,MATCH(MAX(Reference!$A$6,MIN(Reference!$A$11,MIN($U65,210))),Reference!$A$6:$A$11,1))))/(INDEX(Reference!$A$6:$A$11,MIN(5,MATCH(MAX(Reference!$A$6,MIN(Reference!$A$11,MIN($U65,210))),Reference!$A$6:$A$11,1))+1)-INDEX(Reference!$A$6:$A$11,MIN(5,MATCH(MAX(Reference!$A$6,MIN(Reference!$A$11,MIN($U65,210))),Reference!$A$6:$A$11,1))))),0)+IF(6&lt;=$AL65,($AL65-6+3)*(INDEX(Reference!$B$6:$B$11,MIN(5,MATCH(MAX(Reference!$A$6,MIN(Reference!$A$11,MIN($U65,240))),Reference!$A$6:$A$11,1)))+(MAX(Reference!$A$6,MIN(Reference!$A$11,MIN($U65,240)))-INDEX(Reference!$A$6:$A$11,MIN(5,MATCH(MAX(Reference!$A$6,MIN(Reference!$A$11,MIN($U65,240))),Reference!$A$6:$A$11,1))))*(INDEX(Reference!$B$6:$B$11,MIN(5,MATCH(MAX(Reference!$A$6,MIN(Reference!$A$11,MIN($U65,240))),Reference!$A$6:$A$11,1))+1)-INDEX(Reference!$B$6:$B$11,MIN(5,MATCH(MAX(Reference!$A$6,MIN(Reference!$A$11,MIN($U65,240))),Reference!$A$6:$A$11,1))))/(INDEX(Reference!$A$6:$A$11,MIN(5,MATCH(MAX(Reference!$A$6,MIN(Reference!$A$11,MIN($U65,240))),Reference!$A$6:$A$11,1))+1)-INDEX(Reference!$A$6:$A$11,MIN(5,MATCH(MAX(Reference!$A$6,MIN(Reference!$A$11,MIN($U65,240))),Reference!$A$6:$A$11,1))))),0)+IF(7&lt;=$AL65,($AL65-7+3)*(INDEX(Reference!$B$6:$B$11,MIN(5,MATCH(MAX(Reference!$A$6,MIN(Reference!$A$11,MIN($U65,270))),Reference!$A$6:$A$11,1)))+(MAX(Reference!$A$6,MIN(Reference!$A$11,MIN($U65,270)))-INDEX(Reference!$A$6:$A$11,MIN(5,MATCH(MAX(Reference!$A$6,MIN(Reference!$A$11,MIN($U65,270))),Reference!$A$6:$A$11,1))))*(INDEX(Reference!$B$6:$B$11,MIN(5,MATCH(MAX(Reference!$A$6,MIN(Reference!$A$11,MIN($U65,270))),Reference!$A$6:$A$11,1))+1)-INDEX(Reference!$B$6:$B$11,MIN(5,MATCH(MAX(Reference!$A$6,MIN(Reference!$A$11,MIN($U65,270))),Reference!$A$6:$A$11,1))))/(INDEX(Reference!$A$6:$A$11,MIN(5,MATCH(MAX(Reference!$A$6,MIN(Reference!$A$11,MIN($U65,270))),Reference!$A$6:$A$11,1))+1)-INDEX(Reference!$A$6:$A$11,MIN(5,MATCH(MAX(Reference!$A$6,MIN(Reference!$A$11,MIN($U65,270))),Reference!$A$6:$A$11,1))))),0)+IF(8&lt;=$AL65,($AL65-8+3)*(INDEX(Reference!$B$6:$B$11,MIN(5,MATCH(MAX(Reference!$A$6,MIN(Reference!$A$11,MIN($U65,300))),Reference!$A$6:$A$11,1)))+(MAX(Reference!$A$6,MIN(Reference!$A$11,MIN($U65,300)))-INDEX(Reference!$A$6:$A$11,MIN(5,MATCH(MAX(Reference!$A$6,MIN(Reference!$A$11,MIN($U65,300))),Reference!$A$6:$A$11,1))))*(INDEX(Reference!$B$6:$B$11,MIN(5,MATCH(MAX(Reference!$A$6,MIN(Reference!$A$11,MIN($U65,300))),Reference!$A$6:$A$11,1))+1)-INDEX(Reference!$B$6:$B$11,MIN(5,MATCH(MAX(Reference!$A$6,MIN(Reference!$A$11,MIN($U65,300))),Reference!$A$6:$A$11,1))))/(INDEX(Reference!$A$6:$A$11,MIN(5,MATCH(MAX(Reference!$A$6,MIN(Reference!$A$11,MIN($U65,300))),Reference!$A$6:$A$11,1))+1)-INDEX(Reference!$A$6:$A$11,MIN(5,MATCH(MAX(Reference!$A$6,MIN(Reference!$A$11,MIN($U65,300))),Reference!$A$6:$A$11,1))))),0))/($AL65*($AL65+5)/2)),$AN65))</f>
        <v>1.3857142857142857</v>
      </c>
      <c r="AN65" s="32">
        <f>IF($U65="",0,(INDEX(Reference!$B$6:$B$11,MIN(5,MATCH(MAX(Reference!$A$6,MIN(Reference!$A$11,$U65)),Reference!$A$6:$A$11,1)))+(MAX(Reference!$A$6,MIN(Reference!$A$11,$U65))-INDEX(Reference!$A$6:$A$11,MIN(5,MATCH(MAX(Reference!$A$6,MIN(Reference!$A$11,$U65)),Reference!$A$6:$A$11,1))))*(INDEX(Reference!$B$6:$B$11,MIN(5,MATCH(MAX(Reference!$A$6,MIN(Reference!$A$11,$U65)),Reference!$A$6:$A$11,1))+1)-INDEX(Reference!$B$6:$B$11,MIN(5,MATCH(MAX(Reference!$A$6,MIN(Reference!$A$11,$U65)),Reference!$A$6:$A$11,1))))/(INDEX(Reference!$A$6:$A$11,MIN(5,MATCH(MAX(Reference!$A$6,MIN(Reference!$A$11,$U65)),Reference!$A$6:$A$11,1))+1)-INDEX(Reference!$A$6:$A$11,MIN(5,MATCH(MAX(Reference!$A$6,MIN(Reference!$A$11,$U65)),Reference!$A$6:$A$11,1))))))</f>
        <v>1.5</v>
      </c>
      <c r="AO65" s="37"/>
      <c r="AP65" s="37"/>
      <c r="AQ65" s="37"/>
    </row>
    <row r="66" spans="1:43" x14ac:dyDescent="0.3">
      <c r="A66" s="48">
        <f t="shared" si="5"/>
        <v>46330</v>
      </c>
      <c r="B66" s="32" t="str">
        <f t="shared" si="6"/>
        <v>Wed</v>
      </c>
      <c r="C66" s="32">
        <f t="shared" si="7"/>
        <v>61</v>
      </c>
      <c r="D66" s="32" t="str">
        <f t="shared" si="8"/>
        <v>Base</v>
      </c>
      <c r="E66" s="32" t="str">
        <f t="shared" si="9"/>
        <v>No Throw</v>
      </c>
      <c r="F66" s="32" t="str">
        <f t="shared" si="10"/>
        <v>No Throw</v>
      </c>
      <c r="G66" s="47" t="str">
        <f t="shared" si="11"/>
        <v>Off</v>
      </c>
      <c r="H66" s="30">
        <f t="shared" si="12"/>
        <v>0</v>
      </c>
      <c r="I66" s="46" t="str">
        <f>IF($A66="","",IF(AND($L66&lt;27,$K$12=0),"Building",IFERROR(((SUM($H$60:$H66)+$K$12*IF($L66&lt;6,SUMIFS('Throw Log'!$Q$5:$Q$300,'Throw Log'!$B$5:$B$300,$D$4,'Throw Log'!$A$5:$A$300,"&gt;="&amp;($D$6+$L66-6),'Throw Log'!$A$5:$A$300,"&lt;="&amp;($D$6-1)),0))/7)/((SUM($H$43:$H66)+$K$12*IF($L66&lt;27,SUMIFS('Throw Log'!$Q$5:$Q$300,'Throw Log'!$B$5:$B$300,$D$4,'Throw Log'!$A$5:$A$300,"&gt;="&amp;($D$6+$L66-27),'Throw Log'!$A$5:$A$300,"&lt;="&amp;($D$6-1)),0))/28),"")))</f>
        <v>Building</v>
      </c>
      <c r="J66" s="37"/>
      <c r="K66" s="37"/>
      <c r="L66" s="32">
        <v>23</v>
      </c>
      <c r="M66" s="32">
        <f t="shared" si="13"/>
        <v>4</v>
      </c>
      <c r="N66" s="32">
        <f t="shared" si="14"/>
        <v>2</v>
      </c>
      <c r="O66" s="32">
        <f t="shared" si="15"/>
        <v>0.30263157894736842</v>
      </c>
      <c r="P66" s="32">
        <f>IF(OR($A66="",N($C66)&lt;=7),"",$G$6*$G$9^($M66-1)*IF(AND(MOD($M66,Reference!$B$99)=0,$M66&lt;=$G$5-2),Reference!$B$100,1))</f>
        <v>96.844268027376231</v>
      </c>
      <c r="Q66" s="32">
        <f>IF($P66="","",IF(SUM($AK$64:$AK$70)=0,0,$P66*INDEX(Reference!$B$108:$B$114,$N66+1)/SUM($AK$64:$AK$70)))</f>
        <v>0</v>
      </c>
      <c r="R66" s="32">
        <f t="shared" si="16"/>
        <v>105</v>
      </c>
      <c r="S66" s="32">
        <f t="shared" si="17"/>
        <v>90</v>
      </c>
      <c r="T66" s="32" t="str">
        <f>IF($A66="","",IF($C66=0,"Bullpen",IF(OR($C66=7,$C66=1,$C66=5),"Recovery/Easy Catch",IF($C66=6,"Compression/Pulldowns",IF(OR($C66=4,$C66=2),"Long Toss",IF($C66=3,"No Throw",IF($N66=2,"No Throw",IF($N66=6,IF($O66&lt;Reference!$B$104,"No Throw","Recovery/Easy Catch"),IF(OR($N66=0,$N66=4),"Recovery/Easy Catch",IF($N66=1,IF($R66&gt;75,"Long Toss","Recovery/Easy Catch"),IF($N66=3,IF($O66&lt;0.5,IF($S66&gt;75,"Long Toss","Recovery/Easy Catch"),"Compression/Pulldowns"),IF($S66&gt;75,"Long Toss","Recovery/Easy Catch"))))))))))))</f>
        <v>No Throw</v>
      </c>
      <c r="U66" s="32" t="str">
        <f t="shared" si="18"/>
        <v/>
      </c>
      <c r="V66" s="32" t="str">
        <f t="shared" si="19"/>
        <v/>
      </c>
      <c r="W66" s="32" t="str">
        <f t="shared" si="20"/>
        <v/>
      </c>
      <c r="X66" s="32">
        <f t="shared" si="21"/>
        <v>0</v>
      </c>
      <c r="Y66" s="32" t="str">
        <f t="shared" si="22"/>
        <v/>
      </c>
      <c r="Z66" s="32" t="str">
        <f t="shared" si="23"/>
        <v/>
      </c>
      <c r="AA66" s="32" t="str">
        <f t="shared" si="24"/>
        <v/>
      </c>
      <c r="AB66" s="32">
        <f>IF($A66="","",IF($T66="No Throw",0,IF($K66&lt;&gt;"",$K66,IF($AA66&lt;&gt;"",ROUND($AA66*$D$12*IF($C66=0,1,$G$10),0),MIN(IF($T66="Recovery/Easy Catch",Reference!$B$103,IF($T66="Long Toss",Reference!$B$106,Reference!$B$102)),MAX(Reference!$B$101,ROUND(MAX(0,$Q66-$AE66)/$AF66,0)))))))</f>
        <v>0</v>
      </c>
      <c r="AC66" s="32">
        <f t="shared" si="25"/>
        <v>0</v>
      </c>
      <c r="AD66" s="32" t="b">
        <f t="shared" si="26"/>
        <v>1</v>
      </c>
      <c r="AE66" s="32">
        <f>IF($X66=0,0,$X66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66+$Z66)/2,0),Reference!$A$17:$B$20,2,TRUE()))</f>
        <v>0</v>
      </c>
      <c r="AF66" s="32">
        <f>IF(OR($A66="",$U66="",$T66="No Throw"),0,$AM66*VLOOKUP(MAX(($V66+$W66)/2,0),Reference!$A$17:$B$20,2,TRUE()))</f>
        <v>0</v>
      </c>
      <c r="AG66" s="32">
        <f>IF($AC66=0,0,$AC66*INDEX(Reference!$B$61:$B$62,MATCH("Bullpen",Reference!$A$61:$A$62,0))*VLOOKUP(MAX($D$5-($D$9+$E$9)/2,0),Reference!$A$17:$B$20,2,TRUE()))</f>
        <v>0</v>
      </c>
      <c r="AH66" s="32" t="e">
        <f t="shared" si="27"/>
        <v>#N/A</v>
      </c>
      <c r="AI66" s="32">
        <f>IF($A66="",NA(),Reference!$A$25)</f>
        <v>0.8</v>
      </c>
      <c r="AJ66" s="32">
        <f t="shared" si="28"/>
        <v>1.3</v>
      </c>
      <c r="AK66" s="32">
        <f>IF(OR($A66="",N($C66)&lt;=7,$T66="No Throw",$J66="x"),0,INDEX(Reference!$B$108:$B$114,$N66+1))</f>
        <v>0</v>
      </c>
      <c r="AL66" s="32">
        <f t="shared" si="29"/>
        <v>1</v>
      </c>
      <c r="AM66" s="32">
        <f>IF($U66="",0,IF($AL66&gt;1,((IF(1&lt;=$AL66,($AL66-1+3)*(INDEX(Reference!$B$6:$B$11,MIN(5,MATCH(MAX(Reference!$A$6,MIN(Reference!$A$11,MIN($U66,90))),Reference!$A$6:$A$11,1)))+(MAX(Reference!$A$6,MIN(Reference!$A$11,MIN($U66,90)))-INDEX(Reference!$A$6:$A$11,MIN(5,MATCH(MAX(Reference!$A$6,MIN(Reference!$A$11,MIN($U66,90))),Reference!$A$6:$A$11,1))))*(INDEX(Reference!$B$6:$B$11,MIN(5,MATCH(MAX(Reference!$A$6,MIN(Reference!$A$11,MIN($U66,90))),Reference!$A$6:$A$11,1))+1)-INDEX(Reference!$B$6:$B$11,MIN(5,MATCH(MAX(Reference!$A$6,MIN(Reference!$A$11,MIN($U66,90))),Reference!$A$6:$A$11,1))))/(INDEX(Reference!$A$6:$A$11,MIN(5,MATCH(MAX(Reference!$A$6,MIN(Reference!$A$11,MIN($U66,90))),Reference!$A$6:$A$11,1))+1)-INDEX(Reference!$A$6:$A$11,MIN(5,MATCH(MAX(Reference!$A$6,MIN(Reference!$A$11,MIN($U66,90))),Reference!$A$6:$A$11,1))))),0)+IF(2&lt;=$AL66,($AL66-2+3)*(INDEX(Reference!$B$6:$B$11,MIN(5,MATCH(MAX(Reference!$A$6,MIN(Reference!$A$11,MIN($U66,120))),Reference!$A$6:$A$11,1)))+(MAX(Reference!$A$6,MIN(Reference!$A$11,MIN($U66,120)))-INDEX(Reference!$A$6:$A$11,MIN(5,MATCH(MAX(Reference!$A$6,MIN(Reference!$A$11,MIN($U66,120))),Reference!$A$6:$A$11,1))))*(INDEX(Reference!$B$6:$B$11,MIN(5,MATCH(MAX(Reference!$A$6,MIN(Reference!$A$11,MIN($U66,120))),Reference!$A$6:$A$11,1))+1)-INDEX(Reference!$B$6:$B$11,MIN(5,MATCH(MAX(Reference!$A$6,MIN(Reference!$A$11,MIN($U66,120))),Reference!$A$6:$A$11,1))))/(INDEX(Reference!$A$6:$A$11,MIN(5,MATCH(MAX(Reference!$A$6,MIN(Reference!$A$11,MIN($U66,120))),Reference!$A$6:$A$11,1))+1)-INDEX(Reference!$A$6:$A$11,MIN(5,MATCH(MAX(Reference!$A$6,MIN(Reference!$A$11,MIN($U66,120))),Reference!$A$6:$A$11,1))))),0)+IF(3&lt;=$AL66,($AL66-3+3)*(INDEX(Reference!$B$6:$B$11,MIN(5,MATCH(MAX(Reference!$A$6,MIN(Reference!$A$11,MIN($U66,150))),Reference!$A$6:$A$11,1)))+(MAX(Reference!$A$6,MIN(Reference!$A$11,MIN($U66,150)))-INDEX(Reference!$A$6:$A$11,MIN(5,MATCH(MAX(Reference!$A$6,MIN(Reference!$A$11,MIN($U66,150))),Reference!$A$6:$A$11,1))))*(INDEX(Reference!$B$6:$B$11,MIN(5,MATCH(MAX(Reference!$A$6,MIN(Reference!$A$11,MIN($U66,150))),Reference!$A$6:$A$11,1))+1)-INDEX(Reference!$B$6:$B$11,MIN(5,MATCH(MAX(Reference!$A$6,MIN(Reference!$A$11,MIN($U66,150))),Reference!$A$6:$A$11,1))))/(INDEX(Reference!$A$6:$A$11,MIN(5,MATCH(MAX(Reference!$A$6,MIN(Reference!$A$11,MIN($U66,150))),Reference!$A$6:$A$11,1))+1)-INDEX(Reference!$A$6:$A$11,MIN(5,MATCH(MAX(Reference!$A$6,MIN(Reference!$A$11,MIN($U66,150))),Reference!$A$6:$A$11,1))))),0)+IF(4&lt;=$AL66,($AL66-4+3)*(INDEX(Reference!$B$6:$B$11,MIN(5,MATCH(MAX(Reference!$A$6,MIN(Reference!$A$11,MIN($U66,180))),Reference!$A$6:$A$11,1)))+(MAX(Reference!$A$6,MIN(Reference!$A$11,MIN($U66,180)))-INDEX(Reference!$A$6:$A$11,MIN(5,MATCH(MAX(Reference!$A$6,MIN(Reference!$A$11,MIN($U66,180))),Reference!$A$6:$A$11,1))))*(INDEX(Reference!$B$6:$B$11,MIN(5,MATCH(MAX(Reference!$A$6,MIN(Reference!$A$11,MIN($U66,180))),Reference!$A$6:$A$11,1))+1)-INDEX(Reference!$B$6:$B$11,MIN(5,MATCH(MAX(Reference!$A$6,MIN(Reference!$A$11,MIN($U66,180))),Reference!$A$6:$A$11,1))))/(INDEX(Reference!$A$6:$A$11,MIN(5,MATCH(MAX(Reference!$A$6,MIN(Reference!$A$11,MIN($U66,180))),Reference!$A$6:$A$11,1))+1)-INDEX(Reference!$A$6:$A$11,MIN(5,MATCH(MAX(Reference!$A$6,MIN(Reference!$A$11,MIN($U66,180))),Reference!$A$6:$A$11,1))))),0)+IF(5&lt;=$AL66,($AL66-5+3)*(INDEX(Reference!$B$6:$B$11,MIN(5,MATCH(MAX(Reference!$A$6,MIN(Reference!$A$11,MIN($U66,210))),Reference!$A$6:$A$11,1)))+(MAX(Reference!$A$6,MIN(Reference!$A$11,MIN($U66,210)))-INDEX(Reference!$A$6:$A$11,MIN(5,MATCH(MAX(Reference!$A$6,MIN(Reference!$A$11,MIN($U66,210))),Reference!$A$6:$A$11,1))))*(INDEX(Reference!$B$6:$B$11,MIN(5,MATCH(MAX(Reference!$A$6,MIN(Reference!$A$11,MIN($U66,210))),Reference!$A$6:$A$11,1))+1)-INDEX(Reference!$B$6:$B$11,MIN(5,MATCH(MAX(Reference!$A$6,MIN(Reference!$A$11,MIN($U66,210))),Reference!$A$6:$A$11,1))))/(INDEX(Reference!$A$6:$A$11,MIN(5,MATCH(MAX(Reference!$A$6,MIN(Reference!$A$11,MIN($U66,210))),Reference!$A$6:$A$11,1))+1)-INDEX(Reference!$A$6:$A$11,MIN(5,MATCH(MAX(Reference!$A$6,MIN(Reference!$A$11,MIN($U66,210))),Reference!$A$6:$A$11,1))))),0)+IF(6&lt;=$AL66,($AL66-6+3)*(INDEX(Reference!$B$6:$B$11,MIN(5,MATCH(MAX(Reference!$A$6,MIN(Reference!$A$11,MIN($U66,240))),Reference!$A$6:$A$11,1)))+(MAX(Reference!$A$6,MIN(Reference!$A$11,MIN($U66,240)))-INDEX(Reference!$A$6:$A$11,MIN(5,MATCH(MAX(Reference!$A$6,MIN(Reference!$A$11,MIN($U66,240))),Reference!$A$6:$A$11,1))))*(INDEX(Reference!$B$6:$B$11,MIN(5,MATCH(MAX(Reference!$A$6,MIN(Reference!$A$11,MIN($U66,240))),Reference!$A$6:$A$11,1))+1)-INDEX(Reference!$B$6:$B$11,MIN(5,MATCH(MAX(Reference!$A$6,MIN(Reference!$A$11,MIN($U66,240))),Reference!$A$6:$A$11,1))))/(INDEX(Reference!$A$6:$A$11,MIN(5,MATCH(MAX(Reference!$A$6,MIN(Reference!$A$11,MIN($U66,240))),Reference!$A$6:$A$11,1))+1)-INDEX(Reference!$A$6:$A$11,MIN(5,MATCH(MAX(Reference!$A$6,MIN(Reference!$A$11,MIN($U66,240))),Reference!$A$6:$A$11,1))))),0)+IF(7&lt;=$AL66,($AL66-7+3)*(INDEX(Reference!$B$6:$B$11,MIN(5,MATCH(MAX(Reference!$A$6,MIN(Reference!$A$11,MIN($U66,270))),Reference!$A$6:$A$11,1)))+(MAX(Reference!$A$6,MIN(Reference!$A$11,MIN($U66,270)))-INDEX(Reference!$A$6:$A$11,MIN(5,MATCH(MAX(Reference!$A$6,MIN(Reference!$A$11,MIN($U66,270))),Reference!$A$6:$A$11,1))))*(INDEX(Reference!$B$6:$B$11,MIN(5,MATCH(MAX(Reference!$A$6,MIN(Reference!$A$11,MIN($U66,270))),Reference!$A$6:$A$11,1))+1)-INDEX(Reference!$B$6:$B$11,MIN(5,MATCH(MAX(Reference!$A$6,MIN(Reference!$A$11,MIN($U66,270))),Reference!$A$6:$A$11,1))))/(INDEX(Reference!$A$6:$A$11,MIN(5,MATCH(MAX(Reference!$A$6,MIN(Reference!$A$11,MIN($U66,270))),Reference!$A$6:$A$11,1))+1)-INDEX(Reference!$A$6:$A$11,MIN(5,MATCH(MAX(Reference!$A$6,MIN(Reference!$A$11,MIN($U66,270))),Reference!$A$6:$A$11,1))))),0)+IF(8&lt;=$AL66,($AL66-8+3)*(INDEX(Reference!$B$6:$B$11,MIN(5,MATCH(MAX(Reference!$A$6,MIN(Reference!$A$11,MIN($U66,300))),Reference!$A$6:$A$11,1)))+(MAX(Reference!$A$6,MIN(Reference!$A$11,MIN($U66,300)))-INDEX(Reference!$A$6:$A$11,MIN(5,MATCH(MAX(Reference!$A$6,MIN(Reference!$A$11,MIN($U66,300))),Reference!$A$6:$A$11,1))))*(INDEX(Reference!$B$6:$B$11,MIN(5,MATCH(MAX(Reference!$A$6,MIN(Reference!$A$11,MIN($U66,300))),Reference!$A$6:$A$11,1))+1)-INDEX(Reference!$B$6:$B$11,MIN(5,MATCH(MAX(Reference!$A$6,MIN(Reference!$A$11,MIN($U66,300))),Reference!$A$6:$A$11,1))))/(INDEX(Reference!$A$6:$A$11,MIN(5,MATCH(MAX(Reference!$A$6,MIN(Reference!$A$11,MIN($U66,300))),Reference!$A$6:$A$11,1))+1)-INDEX(Reference!$A$6:$A$11,MIN(5,MATCH(MAX(Reference!$A$6,MIN(Reference!$A$11,MIN($U66,300))),Reference!$A$6:$A$11,1))))),0))/($AL66*($AL66+5)/2)),$AN66))</f>
        <v>0</v>
      </c>
      <c r="AN66" s="32">
        <f>IF($U66="",0,(INDEX(Reference!$B$6:$B$11,MIN(5,MATCH(MAX(Reference!$A$6,MIN(Reference!$A$11,$U66)),Reference!$A$6:$A$11,1)))+(MAX(Reference!$A$6,MIN(Reference!$A$11,$U66))-INDEX(Reference!$A$6:$A$11,MIN(5,MATCH(MAX(Reference!$A$6,MIN(Reference!$A$11,$U66)),Reference!$A$6:$A$11,1))))*(INDEX(Reference!$B$6:$B$11,MIN(5,MATCH(MAX(Reference!$A$6,MIN(Reference!$A$11,$U66)),Reference!$A$6:$A$11,1))+1)-INDEX(Reference!$B$6:$B$11,MIN(5,MATCH(MAX(Reference!$A$6,MIN(Reference!$A$11,$U66)),Reference!$A$6:$A$11,1))))/(INDEX(Reference!$A$6:$A$11,MIN(5,MATCH(MAX(Reference!$A$6,MIN(Reference!$A$11,$U66)),Reference!$A$6:$A$11,1))+1)-INDEX(Reference!$A$6:$A$11,MIN(5,MATCH(MAX(Reference!$A$6,MIN(Reference!$A$11,$U66)),Reference!$A$6:$A$11,1))))))</f>
        <v>0</v>
      </c>
      <c r="AO66" s="37"/>
      <c r="AP66" s="37"/>
      <c r="AQ66" s="37"/>
    </row>
    <row r="67" spans="1:43" x14ac:dyDescent="0.3">
      <c r="A67" s="48">
        <f t="shared" si="5"/>
        <v>46331</v>
      </c>
      <c r="B67" s="32" t="str">
        <f t="shared" si="6"/>
        <v>Thu</v>
      </c>
      <c r="C67" s="32">
        <f t="shared" si="7"/>
        <v>60</v>
      </c>
      <c r="D67" s="32" t="str">
        <f t="shared" si="8"/>
        <v>Base</v>
      </c>
      <c r="E67" s="32" t="str">
        <f t="shared" si="9"/>
        <v>Medium</v>
      </c>
      <c r="F67" s="32" t="str">
        <f t="shared" si="10"/>
        <v>Long Toss</v>
      </c>
      <c r="G67" s="47" t="str">
        <f t="shared" si="11"/>
        <v>90 ft × 25 @ 75–78 mph + 60 ft × 10 @ 73–77 mph</v>
      </c>
      <c r="H67" s="30">
        <f t="shared" si="12"/>
        <v>25.5</v>
      </c>
      <c r="I67" s="46" t="str">
        <f>IF($A67="","",IF(AND($L67&lt;27,$K$12=0),"Building",IFERROR(((SUM($H$61:$H67)+$K$12*IF($L67&lt;6,SUMIFS('Throw Log'!$Q$5:$Q$300,'Throw Log'!$B$5:$B$300,$D$4,'Throw Log'!$A$5:$A$300,"&gt;="&amp;($D$6+$L67-6),'Throw Log'!$A$5:$A$300,"&lt;="&amp;($D$6-1)),0))/7)/((SUM($H$43:$H67)+$K$12*IF($L67&lt;27,SUMIFS('Throw Log'!$Q$5:$Q$300,'Throw Log'!$B$5:$B$300,$D$4,'Throw Log'!$A$5:$A$300,"&gt;="&amp;($D$6+$L67-27),'Throw Log'!$A$5:$A$300,"&lt;="&amp;($D$6-1)),0))/28),"")))</f>
        <v>Building</v>
      </c>
      <c r="J67" s="37"/>
      <c r="K67" s="37">
        <v>25</v>
      </c>
      <c r="L67" s="32">
        <v>24</v>
      </c>
      <c r="M67" s="32">
        <f t="shared" si="13"/>
        <v>4</v>
      </c>
      <c r="N67" s="32">
        <f t="shared" si="14"/>
        <v>3</v>
      </c>
      <c r="O67" s="32">
        <f t="shared" si="15"/>
        <v>0.31578947368421051</v>
      </c>
      <c r="P67" s="32">
        <f>IF(OR($A67="",N($C67)&lt;=7),"",$G$6*$G$9^($M67-1)*IF(AND(MOD($M67,Reference!$B$99)=0,$M67&lt;=$G$5-2),Reference!$B$100,1))</f>
        <v>96.844268027376231</v>
      </c>
      <c r="Q67" s="32">
        <f>IF($P67="","",IF(SUM($AK$64:$AK$70)=0,0,$P67*INDEX(Reference!$B$108:$B$114,$N67+1)/SUM($AK$64:$AK$70)))</f>
        <v>23.242624326570294</v>
      </c>
      <c r="R67" s="32">
        <f t="shared" si="16"/>
        <v>105</v>
      </c>
      <c r="S67" s="32">
        <f t="shared" si="17"/>
        <v>90</v>
      </c>
      <c r="T67" s="32" t="str">
        <f>IF($A67="","",IF($C67=0,"Bullpen",IF(OR($C67=7,$C67=1,$C67=5),"Recovery/Easy Catch",IF($C67=6,"Compression/Pulldowns",IF(OR($C67=4,$C67=2),"Long Toss",IF($C67=3,"No Throw",IF($N67=2,"No Throw",IF($N67=6,IF($O67&lt;Reference!$B$104,"No Throw","Recovery/Easy Catch"),IF(OR($N67=0,$N67=4),"Recovery/Easy Catch",IF($N67=1,IF($R67&gt;75,"Long Toss","Recovery/Easy Catch"),IF($N67=3,IF($O67&lt;0.5,IF($S67&gt;75,"Long Toss","Recovery/Easy Catch"),"Compression/Pulldowns"),IF($S67&gt;75,"Long Toss","Recovery/Easy Catch"))))))))))))</f>
        <v>Long Toss</v>
      </c>
      <c r="U67" s="32">
        <f t="shared" si="18"/>
        <v>90</v>
      </c>
      <c r="V67" s="32">
        <f t="shared" si="19"/>
        <v>13</v>
      </c>
      <c r="W67" s="32">
        <f t="shared" si="20"/>
        <v>16</v>
      </c>
      <c r="X67" s="32">
        <f t="shared" si="21"/>
        <v>10</v>
      </c>
      <c r="Y67" s="32">
        <f t="shared" si="22"/>
        <v>14</v>
      </c>
      <c r="Z67" s="32">
        <f t="shared" si="23"/>
        <v>18</v>
      </c>
      <c r="AA67" s="32" t="str">
        <f t="shared" si="24"/>
        <v/>
      </c>
      <c r="AB67" s="32">
        <f>IF($A67="","",IF($T67="No Throw",0,IF($K67&lt;&gt;"",$K67,IF($AA67&lt;&gt;"",ROUND($AA67*$D$12*IF($C67=0,1,$G$10),0),MIN(IF($T67="Recovery/Easy Catch",Reference!$B$103,IF($T67="Long Toss",Reference!$B$106,Reference!$B$102)),MAX(Reference!$B$101,ROUND(MAX(0,$Q67-$AE67)/$AF67,0)))))))</f>
        <v>25</v>
      </c>
      <c r="AC67" s="32">
        <f t="shared" si="25"/>
        <v>0</v>
      </c>
      <c r="AD67" s="32" t="b">
        <f t="shared" si="26"/>
        <v>0</v>
      </c>
      <c r="AE67" s="32">
        <f>IF($X67=0,0,$X67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67+$Z67)/2,0),Reference!$A$17:$B$20,2,TRUE()))</f>
        <v>6</v>
      </c>
      <c r="AF67" s="32">
        <f>IF(OR($A67="",$U67="",$T67="No Throw"),0,$AM67*VLOOKUP(MAX(($V67+$W67)/2,0),Reference!$A$17:$B$20,2,TRUE()))</f>
        <v>0.78</v>
      </c>
      <c r="AG67" s="32">
        <f>IF($AC67=0,0,$AC67*INDEX(Reference!$B$61:$B$62,MATCH("Bullpen",Reference!$A$61:$A$62,0))*VLOOKUP(MAX($D$5-($D$9+$E$9)/2,0),Reference!$A$17:$B$20,2,TRUE()))</f>
        <v>0</v>
      </c>
      <c r="AH67" s="32" t="e">
        <f t="shared" si="27"/>
        <v>#N/A</v>
      </c>
      <c r="AI67" s="32">
        <f>IF($A67="",NA(),Reference!$A$25)</f>
        <v>0.8</v>
      </c>
      <c r="AJ67" s="32">
        <f t="shared" si="28"/>
        <v>1.3</v>
      </c>
      <c r="AK67" s="56">
        <f>IF(OR($A67="",N($C67)&lt;=7,$T67="No Throw",$J67="x"),0,INDEX(Reference!$B$108:$B$114,$N67+1))</f>
        <v>0.24</v>
      </c>
      <c r="AL67" s="32">
        <f t="shared" si="29"/>
        <v>1</v>
      </c>
      <c r="AM67" s="32">
        <f>IF($U67="",0,IF($AL67&gt;1,((IF(1&lt;=$AL67,($AL67-1+3)*(INDEX(Reference!$B$6:$B$11,MIN(5,MATCH(MAX(Reference!$A$6,MIN(Reference!$A$11,MIN($U67,90))),Reference!$A$6:$A$11,1)))+(MAX(Reference!$A$6,MIN(Reference!$A$11,MIN($U67,90)))-INDEX(Reference!$A$6:$A$11,MIN(5,MATCH(MAX(Reference!$A$6,MIN(Reference!$A$11,MIN($U67,90))),Reference!$A$6:$A$11,1))))*(INDEX(Reference!$B$6:$B$11,MIN(5,MATCH(MAX(Reference!$A$6,MIN(Reference!$A$11,MIN($U67,90))),Reference!$A$6:$A$11,1))+1)-INDEX(Reference!$B$6:$B$11,MIN(5,MATCH(MAX(Reference!$A$6,MIN(Reference!$A$11,MIN($U67,90))),Reference!$A$6:$A$11,1))))/(INDEX(Reference!$A$6:$A$11,MIN(5,MATCH(MAX(Reference!$A$6,MIN(Reference!$A$11,MIN($U67,90))),Reference!$A$6:$A$11,1))+1)-INDEX(Reference!$A$6:$A$11,MIN(5,MATCH(MAX(Reference!$A$6,MIN(Reference!$A$11,MIN($U67,90))),Reference!$A$6:$A$11,1))))),0)+IF(2&lt;=$AL67,($AL67-2+3)*(INDEX(Reference!$B$6:$B$11,MIN(5,MATCH(MAX(Reference!$A$6,MIN(Reference!$A$11,MIN($U67,120))),Reference!$A$6:$A$11,1)))+(MAX(Reference!$A$6,MIN(Reference!$A$11,MIN($U67,120)))-INDEX(Reference!$A$6:$A$11,MIN(5,MATCH(MAX(Reference!$A$6,MIN(Reference!$A$11,MIN($U67,120))),Reference!$A$6:$A$11,1))))*(INDEX(Reference!$B$6:$B$11,MIN(5,MATCH(MAX(Reference!$A$6,MIN(Reference!$A$11,MIN($U67,120))),Reference!$A$6:$A$11,1))+1)-INDEX(Reference!$B$6:$B$11,MIN(5,MATCH(MAX(Reference!$A$6,MIN(Reference!$A$11,MIN($U67,120))),Reference!$A$6:$A$11,1))))/(INDEX(Reference!$A$6:$A$11,MIN(5,MATCH(MAX(Reference!$A$6,MIN(Reference!$A$11,MIN($U67,120))),Reference!$A$6:$A$11,1))+1)-INDEX(Reference!$A$6:$A$11,MIN(5,MATCH(MAX(Reference!$A$6,MIN(Reference!$A$11,MIN($U67,120))),Reference!$A$6:$A$11,1))))),0)+IF(3&lt;=$AL67,($AL67-3+3)*(INDEX(Reference!$B$6:$B$11,MIN(5,MATCH(MAX(Reference!$A$6,MIN(Reference!$A$11,MIN($U67,150))),Reference!$A$6:$A$11,1)))+(MAX(Reference!$A$6,MIN(Reference!$A$11,MIN($U67,150)))-INDEX(Reference!$A$6:$A$11,MIN(5,MATCH(MAX(Reference!$A$6,MIN(Reference!$A$11,MIN($U67,150))),Reference!$A$6:$A$11,1))))*(INDEX(Reference!$B$6:$B$11,MIN(5,MATCH(MAX(Reference!$A$6,MIN(Reference!$A$11,MIN($U67,150))),Reference!$A$6:$A$11,1))+1)-INDEX(Reference!$B$6:$B$11,MIN(5,MATCH(MAX(Reference!$A$6,MIN(Reference!$A$11,MIN($U67,150))),Reference!$A$6:$A$11,1))))/(INDEX(Reference!$A$6:$A$11,MIN(5,MATCH(MAX(Reference!$A$6,MIN(Reference!$A$11,MIN($U67,150))),Reference!$A$6:$A$11,1))+1)-INDEX(Reference!$A$6:$A$11,MIN(5,MATCH(MAX(Reference!$A$6,MIN(Reference!$A$11,MIN($U67,150))),Reference!$A$6:$A$11,1))))),0)+IF(4&lt;=$AL67,($AL67-4+3)*(INDEX(Reference!$B$6:$B$11,MIN(5,MATCH(MAX(Reference!$A$6,MIN(Reference!$A$11,MIN($U67,180))),Reference!$A$6:$A$11,1)))+(MAX(Reference!$A$6,MIN(Reference!$A$11,MIN($U67,180)))-INDEX(Reference!$A$6:$A$11,MIN(5,MATCH(MAX(Reference!$A$6,MIN(Reference!$A$11,MIN($U67,180))),Reference!$A$6:$A$11,1))))*(INDEX(Reference!$B$6:$B$11,MIN(5,MATCH(MAX(Reference!$A$6,MIN(Reference!$A$11,MIN($U67,180))),Reference!$A$6:$A$11,1))+1)-INDEX(Reference!$B$6:$B$11,MIN(5,MATCH(MAX(Reference!$A$6,MIN(Reference!$A$11,MIN($U67,180))),Reference!$A$6:$A$11,1))))/(INDEX(Reference!$A$6:$A$11,MIN(5,MATCH(MAX(Reference!$A$6,MIN(Reference!$A$11,MIN($U67,180))),Reference!$A$6:$A$11,1))+1)-INDEX(Reference!$A$6:$A$11,MIN(5,MATCH(MAX(Reference!$A$6,MIN(Reference!$A$11,MIN($U67,180))),Reference!$A$6:$A$11,1))))),0)+IF(5&lt;=$AL67,($AL67-5+3)*(INDEX(Reference!$B$6:$B$11,MIN(5,MATCH(MAX(Reference!$A$6,MIN(Reference!$A$11,MIN($U67,210))),Reference!$A$6:$A$11,1)))+(MAX(Reference!$A$6,MIN(Reference!$A$11,MIN($U67,210)))-INDEX(Reference!$A$6:$A$11,MIN(5,MATCH(MAX(Reference!$A$6,MIN(Reference!$A$11,MIN($U67,210))),Reference!$A$6:$A$11,1))))*(INDEX(Reference!$B$6:$B$11,MIN(5,MATCH(MAX(Reference!$A$6,MIN(Reference!$A$11,MIN($U67,210))),Reference!$A$6:$A$11,1))+1)-INDEX(Reference!$B$6:$B$11,MIN(5,MATCH(MAX(Reference!$A$6,MIN(Reference!$A$11,MIN($U67,210))),Reference!$A$6:$A$11,1))))/(INDEX(Reference!$A$6:$A$11,MIN(5,MATCH(MAX(Reference!$A$6,MIN(Reference!$A$11,MIN($U67,210))),Reference!$A$6:$A$11,1))+1)-INDEX(Reference!$A$6:$A$11,MIN(5,MATCH(MAX(Reference!$A$6,MIN(Reference!$A$11,MIN($U67,210))),Reference!$A$6:$A$11,1))))),0)+IF(6&lt;=$AL67,($AL67-6+3)*(INDEX(Reference!$B$6:$B$11,MIN(5,MATCH(MAX(Reference!$A$6,MIN(Reference!$A$11,MIN($U67,240))),Reference!$A$6:$A$11,1)))+(MAX(Reference!$A$6,MIN(Reference!$A$11,MIN($U67,240)))-INDEX(Reference!$A$6:$A$11,MIN(5,MATCH(MAX(Reference!$A$6,MIN(Reference!$A$11,MIN($U67,240))),Reference!$A$6:$A$11,1))))*(INDEX(Reference!$B$6:$B$11,MIN(5,MATCH(MAX(Reference!$A$6,MIN(Reference!$A$11,MIN($U67,240))),Reference!$A$6:$A$11,1))+1)-INDEX(Reference!$B$6:$B$11,MIN(5,MATCH(MAX(Reference!$A$6,MIN(Reference!$A$11,MIN($U67,240))),Reference!$A$6:$A$11,1))))/(INDEX(Reference!$A$6:$A$11,MIN(5,MATCH(MAX(Reference!$A$6,MIN(Reference!$A$11,MIN($U67,240))),Reference!$A$6:$A$11,1))+1)-INDEX(Reference!$A$6:$A$11,MIN(5,MATCH(MAX(Reference!$A$6,MIN(Reference!$A$11,MIN($U67,240))),Reference!$A$6:$A$11,1))))),0)+IF(7&lt;=$AL67,($AL67-7+3)*(INDEX(Reference!$B$6:$B$11,MIN(5,MATCH(MAX(Reference!$A$6,MIN(Reference!$A$11,MIN($U67,270))),Reference!$A$6:$A$11,1)))+(MAX(Reference!$A$6,MIN(Reference!$A$11,MIN($U67,270)))-INDEX(Reference!$A$6:$A$11,MIN(5,MATCH(MAX(Reference!$A$6,MIN(Reference!$A$11,MIN($U67,270))),Reference!$A$6:$A$11,1))))*(INDEX(Reference!$B$6:$B$11,MIN(5,MATCH(MAX(Reference!$A$6,MIN(Reference!$A$11,MIN($U67,270))),Reference!$A$6:$A$11,1))+1)-INDEX(Reference!$B$6:$B$11,MIN(5,MATCH(MAX(Reference!$A$6,MIN(Reference!$A$11,MIN($U67,270))),Reference!$A$6:$A$11,1))))/(INDEX(Reference!$A$6:$A$11,MIN(5,MATCH(MAX(Reference!$A$6,MIN(Reference!$A$11,MIN($U67,270))),Reference!$A$6:$A$11,1))+1)-INDEX(Reference!$A$6:$A$11,MIN(5,MATCH(MAX(Reference!$A$6,MIN(Reference!$A$11,MIN($U67,270))),Reference!$A$6:$A$11,1))))),0)+IF(8&lt;=$AL67,($AL67-8+3)*(INDEX(Reference!$B$6:$B$11,MIN(5,MATCH(MAX(Reference!$A$6,MIN(Reference!$A$11,MIN($U67,300))),Reference!$A$6:$A$11,1)))+(MAX(Reference!$A$6,MIN(Reference!$A$11,MIN($U67,300)))-INDEX(Reference!$A$6:$A$11,MIN(5,MATCH(MAX(Reference!$A$6,MIN(Reference!$A$11,MIN($U67,300))),Reference!$A$6:$A$11,1))))*(INDEX(Reference!$B$6:$B$11,MIN(5,MATCH(MAX(Reference!$A$6,MIN(Reference!$A$11,MIN($U67,300))),Reference!$A$6:$A$11,1))+1)-INDEX(Reference!$B$6:$B$11,MIN(5,MATCH(MAX(Reference!$A$6,MIN(Reference!$A$11,MIN($U67,300))),Reference!$A$6:$A$11,1))))/(INDEX(Reference!$A$6:$A$11,MIN(5,MATCH(MAX(Reference!$A$6,MIN(Reference!$A$11,MIN($U67,300))),Reference!$A$6:$A$11,1))+1)-INDEX(Reference!$A$6:$A$11,MIN(5,MATCH(MAX(Reference!$A$6,MIN(Reference!$A$11,MIN($U67,300))),Reference!$A$6:$A$11,1))))),0))/($AL67*($AL67+5)/2)),$AN67))</f>
        <v>1.3</v>
      </c>
      <c r="AN67" s="32">
        <f>IF($U67="",0,(INDEX(Reference!$B$6:$B$11,MIN(5,MATCH(MAX(Reference!$A$6,MIN(Reference!$A$11,$U67)),Reference!$A$6:$A$11,1)))+(MAX(Reference!$A$6,MIN(Reference!$A$11,$U67))-INDEX(Reference!$A$6:$A$11,MIN(5,MATCH(MAX(Reference!$A$6,MIN(Reference!$A$11,$U67)),Reference!$A$6:$A$11,1))))*(INDEX(Reference!$B$6:$B$11,MIN(5,MATCH(MAX(Reference!$A$6,MIN(Reference!$A$11,$U67)),Reference!$A$6:$A$11,1))+1)-INDEX(Reference!$B$6:$B$11,MIN(5,MATCH(MAX(Reference!$A$6,MIN(Reference!$A$11,$U67)),Reference!$A$6:$A$11,1))))/(INDEX(Reference!$A$6:$A$11,MIN(5,MATCH(MAX(Reference!$A$6,MIN(Reference!$A$11,$U67)),Reference!$A$6:$A$11,1))+1)-INDEX(Reference!$A$6:$A$11,MIN(5,MATCH(MAX(Reference!$A$6,MIN(Reference!$A$11,$U67)),Reference!$A$6:$A$11,1))))))</f>
        <v>1.3</v>
      </c>
      <c r="AO67" s="37"/>
      <c r="AP67" s="37"/>
      <c r="AQ67" s="37"/>
    </row>
    <row r="68" spans="1:43" x14ac:dyDescent="0.3">
      <c r="A68" s="48">
        <f t="shared" si="5"/>
        <v>46332</v>
      </c>
      <c r="B68" s="32" t="str">
        <f t="shared" si="6"/>
        <v>Fri</v>
      </c>
      <c r="C68" s="32">
        <f t="shared" si="7"/>
        <v>59</v>
      </c>
      <c r="D68" s="32" t="str">
        <f t="shared" si="8"/>
        <v>Base</v>
      </c>
      <c r="E68" s="32" t="str">
        <f t="shared" si="9"/>
        <v>Low</v>
      </c>
      <c r="F68" s="32" t="str">
        <f t="shared" si="10"/>
        <v>Recovery/Easy Catch</v>
      </c>
      <c r="G68" s="47" t="str">
        <f t="shared" si="11"/>
        <v>60 ft × 20 @ 67–71 mph</v>
      </c>
      <c r="H68" s="30">
        <f t="shared" si="12"/>
        <v>12</v>
      </c>
      <c r="I68" s="46" t="str">
        <f>IF($A68="","",IF(AND($L68&lt;27,$K$12=0),"Building",IFERROR(((SUM($H$62:$H68)+$K$12*IF($L68&lt;6,SUMIFS('Throw Log'!$Q$5:$Q$300,'Throw Log'!$B$5:$B$300,$D$4,'Throw Log'!$A$5:$A$300,"&gt;="&amp;($D$6+$L68-6),'Throw Log'!$A$5:$A$300,"&lt;="&amp;($D$6-1)),0))/7)/((SUM($H$43:$H68)+$K$12*IF($L68&lt;27,SUMIFS('Throw Log'!$Q$5:$Q$300,'Throw Log'!$B$5:$B$300,$D$4,'Throw Log'!$A$5:$A$300,"&gt;="&amp;($D$6+$L68-27),'Throw Log'!$A$5:$A$300,"&lt;="&amp;($D$6-1)),0))/28),"")))</f>
        <v>Building</v>
      </c>
      <c r="J68" s="37"/>
      <c r="K68" s="37"/>
      <c r="L68" s="32">
        <v>25</v>
      </c>
      <c r="M68" s="32">
        <f t="shared" si="13"/>
        <v>4</v>
      </c>
      <c r="N68" s="32">
        <f t="shared" si="14"/>
        <v>4</v>
      </c>
      <c r="O68" s="32">
        <f t="shared" si="15"/>
        <v>0.32894736842105265</v>
      </c>
      <c r="P68" s="32">
        <f>IF(OR($A68="",N($C68)&lt;=7),"",$G$6*$G$9^($M68-1)*IF(AND(MOD($M68,Reference!$B$99)=0,$M68&lt;=$G$5-2),Reference!$B$100,1))</f>
        <v>96.844268027376231</v>
      </c>
      <c r="Q68" s="32">
        <f>IF($P68="","",IF(SUM($AK$64:$AK$70)=0,0,$P68*INDEX(Reference!$B$108:$B$114,$N68+1)/SUM($AK$64:$AK$70)))</f>
        <v>9.6844268027376241</v>
      </c>
      <c r="R68" s="32">
        <f t="shared" si="16"/>
        <v>120</v>
      </c>
      <c r="S68" s="32">
        <f t="shared" si="17"/>
        <v>105</v>
      </c>
      <c r="T68" s="32" t="str">
        <f>IF($A68="","",IF($C68=0,"Bullpen",IF(OR($C68=7,$C68=1,$C68=5),"Recovery/Easy Catch",IF($C68=6,"Compression/Pulldowns",IF(OR($C68=4,$C68=2),"Long Toss",IF($C68=3,"No Throw",IF($N68=2,"No Throw",IF($N68=6,IF($O68&lt;Reference!$B$104,"No Throw","Recovery/Easy Catch"),IF(OR($N68=0,$N68=4),"Recovery/Easy Catch",IF($N68=1,IF($R68&gt;75,"Long Toss","Recovery/Easy Catch"),IF($N68=3,IF($O68&lt;0.5,IF($S68&gt;75,"Long Toss","Recovery/Easy Catch"),"Compression/Pulldowns"),IF($S68&gt;75,"Long Toss","Recovery/Easy Catch"))))))))))))</f>
        <v>Recovery/Easy Catch</v>
      </c>
      <c r="U68" s="32">
        <f t="shared" si="18"/>
        <v>60</v>
      </c>
      <c r="V68" s="32">
        <f t="shared" si="19"/>
        <v>20</v>
      </c>
      <c r="W68" s="32">
        <f t="shared" si="20"/>
        <v>24</v>
      </c>
      <c r="X68" s="32">
        <f t="shared" si="21"/>
        <v>0</v>
      </c>
      <c r="Y68" s="32" t="str">
        <f t="shared" si="22"/>
        <v/>
      </c>
      <c r="Z68" s="32" t="str">
        <f t="shared" si="23"/>
        <v/>
      </c>
      <c r="AA68" s="32" t="str">
        <f t="shared" si="24"/>
        <v/>
      </c>
      <c r="AB68" s="32">
        <f>IF($A68="","",IF($T68="No Throw",0,IF($K68&lt;&gt;"",$K68,IF($AA68&lt;&gt;"",ROUND($AA68*$D$12*IF($C68=0,1,$G$10),0),MIN(IF($T68="Recovery/Easy Catch",Reference!$B$103,IF($T68="Long Toss",Reference!$B$106,Reference!$B$102)),MAX(Reference!$B$101,ROUND(MAX(0,$Q68-$AE68)/$AF68,0)))))))</f>
        <v>20</v>
      </c>
      <c r="AC68" s="32">
        <f t="shared" si="25"/>
        <v>0</v>
      </c>
      <c r="AD68" s="32" t="b">
        <f t="shared" si="26"/>
        <v>0</v>
      </c>
      <c r="AE68" s="32">
        <f>IF($X68=0,0,$X68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68+$Z68)/2,0),Reference!$A$17:$B$20,2,TRUE()))</f>
        <v>0</v>
      </c>
      <c r="AF68" s="32">
        <f>IF(OR($A68="",$U68="",$T68="No Throw"),0,$AM68*VLOOKUP(MAX(($V68+$W68)/2,0),Reference!$A$17:$B$20,2,TRUE()))</f>
        <v>0.6</v>
      </c>
      <c r="AG68" s="32">
        <f>IF($AC68=0,0,$AC68*INDEX(Reference!$B$61:$B$62,MATCH("Bullpen",Reference!$A$61:$A$62,0))*VLOOKUP(MAX($D$5-($D$9+$E$9)/2,0),Reference!$A$17:$B$20,2,TRUE()))</f>
        <v>0</v>
      </c>
      <c r="AH68" s="32" t="e">
        <f t="shared" si="27"/>
        <v>#N/A</v>
      </c>
      <c r="AI68" s="32">
        <f>IF($A68="",NA(),Reference!$A$25)</f>
        <v>0.8</v>
      </c>
      <c r="AJ68" s="32">
        <f t="shared" si="28"/>
        <v>1.3</v>
      </c>
      <c r="AK68" s="56">
        <f>IF(OR($A68="",N($C68)&lt;=7,$T68="No Throw",$J68="x"),0,INDEX(Reference!$B$108:$B$114,$N68+1))</f>
        <v>0.1</v>
      </c>
      <c r="AL68" s="32">
        <f t="shared" si="29"/>
        <v>1</v>
      </c>
      <c r="AM68" s="32">
        <f>IF($U68="",0,IF($AL68&gt;1,((IF(1&lt;=$AL68,($AL68-1+3)*(INDEX(Reference!$B$6:$B$11,MIN(5,MATCH(MAX(Reference!$A$6,MIN(Reference!$A$11,MIN($U68,90))),Reference!$A$6:$A$11,1)))+(MAX(Reference!$A$6,MIN(Reference!$A$11,MIN($U68,90)))-INDEX(Reference!$A$6:$A$11,MIN(5,MATCH(MAX(Reference!$A$6,MIN(Reference!$A$11,MIN($U68,90))),Reference!$A$6:$A$11,1))))*(INDEX(Reference!$B$6:$B$11,MIN(5,MATCH(MAX(Reference!$A$6,MIN(Reference!$A$11,MIN($U68,90))),Reference!$A$6:$A$11,1))+1)-INDEX(Reference!$B$6:$B$11,MIN(5,MATCH(MAX(Reference!$A$6,MIN(Reference!$A$11,MIN($U68,90))),Reference!$A$6:$A$11,1))))/(INDEX(Reference!$A$6:$A$11,MIN(5,MATCH(MAX(Reference!$A$6,MIN(Reference!$A$11,MIN($U68,90))),Reference!$A$6:$A$11,1))+1)-INDEX(Reference!$A$6:$A$11,MIN(5,MATCH(MAX(Reference!$A$6,MIN(Reference!$A$11,MIN($U68,90))),Reference!$A$6:$A$11,1))))),0)+IF(2&lt;=$AL68,($AL68-2+3)*(INDEX(Reference!$B$6:$B$11,MIN(5,MATCH(MAX(Reference!$A$6,MIN(Reference!$A$11,MIN($U68,120))),Reference!$A$6:$A$11,1)))+(MAX(Reference!$A$6,MIN(Reference!$A$11,MIN($U68,120)))-INDEX(Reference!$A$6:$A$11,MIN(5,MATCH(MAX(Reference!$A$6,MIN(Reference!$A$11,MIN($U68,120))),Reference!$A$6:$A$11,1))))*(INDEX(Reference!$B$6:$B$11,MIN(5,MATCH(MAX(Reference!$A$6,MIN(Reference!$A$11,MIN($U68,120))),Reference!$A$6:$A$11,1))+1)-INDEX(Reference!$B$6:$B$11,MIN(5,MATCH(MAX(Reference!$A$6,MIN(Reference!$A$11,MIN($U68,120))),Reference!$A$6:$A$11,1))))/(INDEX(Reference!$A$6:$A$11,MIN(5,MATCH(MAX(Reference!$A$6,MIN(Reference!$A$11,MIN($U68,120))),Reference!$A$6:$A$11,1))+1)-INDEX(Reference!$A$6:$A$11,MIN(5,MATCH(MAX(Reference!$A$6,MIN(Reference!$A$11,MIN($U68,120))),Reference!$A$6:$A$11,1))))),0)+IF(3&lt;=$AL68,($AL68-3+3)*(INDEX(Reference!$B$6:$B$11,MIN(5,MATCH(MAX(Reference!$A$6,MIN(Reference!$A$11,MIN($U68,150))),Reference!$A$6:$A$11,1)))+(MAX(Reference!$A$6,MIN(Reference!$A$11,MIN($U68,150)))-INDEX(Reference!$A$6:$A$11,MIN(5,MATCH(MAX(Reference!$A$6,MIN(Reference!$A$11,MIN($U68,150))),Reference!$A$6:$A$11,1))))*(INDEX(Reference!$B$6:$B$11,MIN(5,MATCH(MAX(Reference!$A$6,MIN(Reference!$A$11,MIN($U68,150))),Reference!$A$6:$A$11,1))+1)-INDEX(Reference!$B$6:$B$11,MIN(5,MATCH(MAX(Reference!$A$6,MIN(Reference!$A$11,MIN($U68,150))),Reference!$A$6:$A$11,1))))/(INDEX(Reference!$A$6:$A$11,MIN(5,MATCH(MAX(Reference!$A$6,MIN(Reference!$A$11,MIN($U68,150))),Reference!$A$6:$A$11,1))+1)-INDEX(Reference!$A$6:$A$11,MIN(5,MATCH(MAX(Reference!$A$6,MIN(Reference!$A$11,MIN($U68,150))),Reference!$A$6:$A$11,1))))),0)+IF(4&lt;=$AL68,($AL68-4+3)*(INDEX(Reference!$B$6:$B$11,MIN(5,MATCH(MAX(Reference!$A$6,MIN(Reference!$A$11,MIN($U68,180))),Reference!$A$6:$A$11,1)))+(MAX(Reference!$A$6,MIN(Reference!$A$11,MIN($U68,180)))-INDEX(Reference!$A$6:$A$11,MIN(5,MATCH(MAX(Reference!$A$6,MIN(Reference!$A$11,MIN($U68,180))),Reference!$A$6:$A$11,1))))*(INDEX(Reference!$B$6:$B$11,MIN(5,MATCH(MAX(Reference!$A$6,MIN(Reference!$A$11,MIN($U68,180))),Reference!$A$6:$A$11,1))+1)-INDEX(Reference!$B$6:$B$11,MIN(5,MATCH(MAX(Reference!$A$6,MIN(Reference!$A$11,MIN($U68,180))),Reference!$A$6:$A$11,1))))/(INDEX(Reference!$A$6:$A$11,MIN(5,MATCH(MAX(Reference!$A$6,MIN(Reference!$A$11,MIN($U68,180))),Reference!$A$6:$A$11,1))+1)-INDEX(Reference!$A$6:$A$11,MIN(5,MATCH(MAX(Reference!$A$6,MIN(Reference!$A$11,MIN($U68,180))),Reference!$A$6:$A$11,1))))),0)+IF(5&lt;=$AL68,($AL68-5+3)*(INDEX(Reference!$B$6:$B$11,MIN(5,MATCH(MAX(Reference!$A$6,MIN(Reference!$A$11,MIN($U68,210))),Reference!$A$6:$A$11,1)))+(MAX(Reference!$A$6,MIN(Reference!$A$11,MIN($U68,210)))-INDEX(Reference!$A$6:$A$11,MIN(5,MATCH(MAX(Reference!$A$6,MIN(Reference!$A$11,MIN($U68,210))),Reference!$A$6:$A$11,1))))*(INDEX(Reference!$B$6:$B$11,MIN(5,MATCH(MAX(Reference!$A$6,MIN(Reference!$A$11,MIN($U68,210))),Reference!$A$6:$A$11,1))+1)-INDEX(Reference!$B$6:$B$11,MIN(5,MATCH(MAX(Reference!$A$6,MIN(Reference!$A$11,MIN($U68,210))),Reference!$A$6:$A$11,1))))/(INDEX(Reference!$A$6:$A$11,MIN(5,MATCH(MAX(Reference!$A$6,MIN(Reference!$A$11,MIN($U68,210))),Reference!$A$6:$A$11,1))+1)-INDEX(Reference!$A$6:$A$11,MIN(5,MATCH(MAX(Reference!$A$6,MIN(Reference!$A$11,MIN($U68,210))),Reference!$A$6:$A$11,1))))),0)+IF(6&lt;=$AL68,($AL68-6+3)*(INDEX(Reference!$B$6:$B$11,MIN(5,MATCH(MAX(Reference!$A$6,MIN(Reference!$A$11,MIN($U68,240))),Reference!$A$6:$A$11,1)))+(MAX(Reference!$A$6,MIN(Reference!$A$11,MIN($U68,240)))-INDEX(Reference!$A$6:$A$11,MIN(5,MATCH(MAX(Reference!$A$6,MIN(Reference!$A$11,MIN($U68,240))),Reference!$A$6:$A$11,1))))*(INDEX(Reference!$B$6:$B$11,MIN(5,MATCH(MAX(Reference!$A$6,MIN(Reference!$A$11,MIN($U68,240))),Reference!$A$6:$A$11,1))+1)-INDEX(Reference!$B$6:$B$11,MIN(5,MATCH(MAX(Reference!$A$6,MIN(Reference!$A$11,MIN($U68,240))),Reference!$A$6:$A$11,1))))/(INDEX(Reference!$A$6:$A$11,MIN(5,MATCH(MAX(Reference!$A$6,MIN(Reference!$A$11,MIN($U68,240))),Reference!$A$6:$A$11,1))+1)-INDEX(Reference!$A$6:$A$11,MIN(5,MATCH(MAX(Reference!$A$6,MIN(Reference!$A$11,MIN($U68,240))),Reference!$A$6:$A$11,1))))),0)+IF(7&lt;=$AL68,($AL68-7+3)*(INDEX(Reference!$B$6:$B$11,MIN(5,MATCH(MAX(Reference!$A$6,MIN(Reference!$A$11,MIN($U68,270))),Reference!$A$6:$A$11,1)))+(MAX(Reference!$A$6,MIN(Reference!$A$11,MIN($U68,270)))-INDEX(Reference!$A$6:$A$11,MIN(5,MATCH(MAX(Reference!$A$6,MIN(Reference!$A$11,MIN($U68,270))),Reference!$A$6:$A$11,1))))*(INDEX(Reference!$B$6:$B$11,MIN(5,MATCH(MAX(Reference!$A$6,MIN(Reference!$A$11,MIN($U68,270))),Reference!$A$6:$A$11,1))+1)-INDEX(Reference!$B$6:$B$11,MIN(5,MATCH(MAX(Reference!$A$6,MIN(Reference!$A$11,MIN($U68,270))),Reference!$A$6:$A$11,1))))/(INDEX(Reference!$A$6:$A$11,MIN(5,MATCH(MAX(Reference!$A$6,MIN(Reference!$A$11,MIN($U68,270))),Reference!$A$6:$A$11,1))+1)-INDEX(Reference!$A$6:$A$11,MIN(5,MATCH(MAX(Reference!$A$6,MIN(Reference!$A$11,MIN($U68,270))),Reference!$A$6:$A$11,1))))),0)+IF(8&lt;=$AL68,($AL68-8+3)*(INDEX(Reference!$B$6:$B$11,MIN(5,MATCH(MAX(Reference!$A$6,MIN(Reference!$A$11,MIN($U68,300))),Reference!$A$6:$A$11,1)))+(MAX(Reference!$A$6,MIN(Reference!$A$11,MIN($U68,300)))-INDEX(Reference!$A$6:$A$11,MIN(5,MATCH(MAX(Reference!$A$6,MIN(Reference!$A$11,MIN($U68,300))),Reference!$A$6:$A$11,1))))*(INDEX(Reference!$B$6:$B$11,MIN(5,MATCH(MAX(Reference!$A$6,MIN(Reference!$A$11,MIN($U68,300))),Reference!$A$6:$A$11,1))+1)-INDEX(Reference!$B$6:$B$11,MIN(5,MATCH(MAX(Reference!$A$6,MIN(Reference!$A$11,MIN($U68,300))),Reference!$A$6:$A$11,1))))/(INDEX(Reference!$A$6:$A$11,MIN(5,MATCH(MAX(Reference!$A$6,MIN(Reference!$A$11,MIN($U68,300))),Reference!$A$6:$A$11,1))+1)-INDEX(Reference!$A$6:$A$11,MIN(5,MATCH(MAX(Reference!$A$6,MIN(Reference!$A$11,MIN($U68,300))),Reference!$A$6:$A$11,1))))),0))/($AL68*($AL68+5)/2)),$AN68))</f>
        <v>1</v>
      </c>
      <c r="AN68" s="32">
        <f>IF($U68="",0,(INDEX(Reference!$B$6:$B$11,MIN(5,MATCH(MAX(Reference!$A$6,MIN(Reference!$A$11,$U68)),Reference!$A$6:$A$11,1)))+(MAX(Reference!$A$6,MIN(Reference!$A$11,$U68))-INDEX(Reference!$A$6:$A$11,MIN(5,MATCH(MAX(Reference!$A$6,MIN(Reference!$A$11,$U68)),Reference!$A$6:$A$11,1))))*(INDEX(Reference!$B$6:$B$11,MIN(5,MATCH(MAX(Reference!$A$6,MIN(Reference!$A$11,$U68)),Reference!$A$6:$A$11,1))+1)-INDEX(Reference!$B$6:$B$11,MIN(5,MATCH(MAX(Reference!$A$6,MIN(Reference!$A$11,$U68)),Reference!$A$6:$A$11,1))))/(INDEX(Reference!$A$6:$A$11,MIN(5,MATCH(MAX(Reference!$A$6,MIN(Reference!$A$11,$U68)),Reference!$A$6:$A$11,1))+1)-INDEX(Reference!$A$6:$A$11,MIN(5,MATCH(MAX(Reference!$A$6,MIN(Reference!$A$11,$U68)),Reference!$A$6:$A$11,1))))))</f>
        <v>1</v>
      </c>
      <c r="AO68" s="37"/>
      <c r="AP68" s="37"/>
      <c r="AQ68" s="37"/>
    </row>
    <row r="69" spans="1:43" ht="26.4" x14ac:dyDescent="0.3">
      <c r="A69" s="48">
        <f t="shared" si="5"/>
        <v>46333</v>
      </c>
      <c r="B69" s="32" t="str">
        <f t="shared" si="6"/>
        <v>Sat</v>
      </c>
      <c r="C69" s="32">
        <f t="shared" si="7"/>
        <v>58</v>
      </c>
      <c r="D69" s="32" t="str">
        <f t="shared" si="8"/>
        <v>Base</v>
      </c>
      <c r="E69" s="32" t="str">
        <f t="shared" si="9"/>
        <v>Medium</v>
      </c>
      <c r="F69" s="32" t="str">
        <f t="shared" si="10"/>
        <v>Long Toss</v>
      </c>
      <c r="G69" s="47" t="str">
        <f t="shared" si="11"/>
        <v>Long toss out to 105 ft — 23 throws (90×13 · 105×10) @ 76–79 mph + 60 ft × 12 @ 73–77 mph</v>
      </c>
      <c r="H69" s="30">
        <f t="shared" si="12"/>
        <v>26.322857142857142</v>
      </c>
      <c r="I69" s="46" t="str">
        <f>IF($A69="","",IF(AND($L69&lt;27,$K$12=0),"Building",IFERROR(((SUM($H$63:$H69)+$K$12*IF($L69&lt;6,SUMIFS('Throw Log'!$Q$5:$Q$300,'Throw Log'!$B$5:$B$300,$D$4,'Throw Log'!$A$5:$A$300,"&gt;="&amp;($D$6+$L69-6),'Throw Log'!$A$5:$A$300,"&lt;="&amp;($D$6-1)),0))/7)/((SUM($H$43:$H69)+$K$12*IF($L69&lt;27,SUMIFS('Throw Log'!$Q$5:$Q$300,'Throw Log'!$B$5:$B$300,$D$4,'Throw Log'!$A$5:$A$300,"&gt;="&amp;($D$6+$L69-27),'Throw Log'!$A$5:$A$300,"&lt;="&amp;($D$6-1)),0))/28),"")))</f>
        <v>Building</v>
      </c>
      <c r="J69" s="37"/>
      <c r="K69" s="37"/>
      <c r="L69" s="32">
        <v>26</v>
      </c>
      <c r="M69" s="32">
        <f t="shared" si="13"/>
        <v>4</v>
      </c>
      <c r="N69" s="32">
        <f t="shared" si="14"/>
        <v>5</v>
      </c>
      <c r="O69" s="32">
        <f t="shared" si="15"/>
        <v>0.34210526315789475</v>
      </c>
      <c r="P69" s="32">
        <f>IF(OR($A69="",N($C69)&lt;=7),"",$G$6*$G$9^($M69-1)*IF(AND(MOD($M69,Reference!$B$99)=0,$M69&lt;=$G$5-2),Reference!$B$100,1))</f>
        <v>96.844268027376231</v>
      </c>
      <c r="Q69" s="32">
        <f>IF($P69="","",IF(SUM($AK$64:$AK$70)=0,0,$P69*INDEX(Reference!$B$108:$B$114,$N69+1)/SUM($AK$64:$AK$70)))</f>
        <v>26.147952367391586</v>
      </c>
      <c r="R69" s="32">
        <f t="shared" si="16"/>
        <v>120</v>
      </c>
      <c r="S69" s="32">
        <f t="shared" si="17"/>
        <v>105</v>
      </c>
      <c r="T69" s="32" t="str">
        <f>IF($A69="","",IF($C69=0,"Bullpen",IF(OR($C69=7,$C69=1,$C69=5),"Recovery/Easy Catch",IF($C69=6,"Compression/Pulldowns",IF(OR($C69=4,$C69=2),"Long Toss",IF($C69=3,"No Throw",IF($N69=2,"No Throw",IF($N69=6,IF($O69&lt;Reference!$B$104,"No Throw","Recovery/Easy Catch"),IF(OR($N69=0,$N69=4),"Recovery/Easy Catch",IF($N69=1,IF($R69&gt;75,"Long Toss","Recovery/Easy Catch"),IF($N69=3,IF($O69&lt;0.5,IF($S69&gt;75,"Long Toss","Recovery/Easy Catch"),"Compression/Pulldowns"),IF($S69&gt;75,"Long Toss","Recovery/Easy Catch"))))))))))))</f>
        <v>Long Toss</v>
      </c>
      <c r="U69" s="32">
        <f t="shared" si="18"/>
        <v>105</v>
      </c>
      <c r="V69" s="32">
        <f t="shared" si="19"/>
        <v>12</v>
      </c>
      <c r="W69" s="32">
        <f t="shared" si="20"/>
        <v>15</v>
      </c>
      <c r="X69" s="32">
        <f t="shared" si="21"/>
        <v>12</v>
      </c>
      <c r="Y69" s="32">
        <f t="shared" si="22"/>
        <v>14</v>
      </c>
      <c r="Z69" s="32">
        <f t="shared" si="23"/>
        <v>18</v>
      </c>
      <c r="AA69" s="32" t="str">
        <f t="shared" si="24"/>
        <v/>
      </c>
      <c r="AB69" s="32">
        <f>IF($A69="","",IF($T69="No Throw",0,IF($K69&lt;&gt;"",$K69,IF($AA69&lt;&gt;"",ROUND($AA69*$D$12*IF($C69=0,1,$G$10),0),MIN(IF($T69="Recovery/Easy Catch",Reference!$B$103,IF($T69="Long Toss",Reference!$B$106,Reference!$B$102)),MAX(Reference!$B$101,ROUND(MAX(0,$Q69-$AE69)/$AF69,0)))))))</f>
        <v>23</v>
      </c>
      <c r="AC69" s="32">
        <f t="shared" si="25"/>
        <v>0</v>
      </c>
      <c r="AD69" s="32" t="b">
        <f t="shared" si="26"/>
        <v>0</v>
      </c>
      <c r="AE69" s="32">
        <f>IF($X69=0,0,$X69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69+$Z69)/2,0),Reference!$A$17:$B$20,2,TRUE()))</f>
        <v>7.1999999999999993</v>
      </c>
      <c r="AF69" s="32">
        <f>IF(OR($A69="",$U69="",$T69="No Throw"),0,$AM69*VLOOKUP(MAX(($V69+$W69)/2,0),Reference!$A$17:$B$20,2,TRUE()))</f>
        <v>0.83142857142857141</v>
      </c>
      <c r="AG69" s="32">
        <f>IF($AC69=0,0,$AC69*INDEX(Reference!$B$61:$B$62,MATCH("Bullpen",Reference!$A$61:$A$62,0))*VLOOKUP(MAX($D$5-($D$9+$E$9)/2,0),Reference!$A$17:$B$20,2,TRUE()))</f>
        <v>0</v>
      </c>
      <c r="AH69" s="32" t="e">
        <f t="shared" si="27"/>
        <v>#N/A</v>
      </c>
      <c r="AI69" s="32">
        <f>IF($A69="",NA(),Reference!$A$25)</f>
        <v>0.8</v>
      </c>
      <c r="AJ69" s="32">
        <f t="shared" si="28"/>
        <v>1.3</v>
      </c>
      <c r="AK69" s="56">
        <f>IF(OR($A69="",N($C69)&lt;=7,$T69="No Throw",$J69="x"),0,INDEX(Reference!$B$108:$B$114,$N69+1))</f>
        <v>0.27</v>
      </c>
      <c r="AL69" s="32">
        <f t="shared" si="29"/>
        <v>2</v>
      </c>
      <c r="AM69" s="32">
        <f>IF($U69="",0,IF($AL69&gt;1,((IF(1&lt;=$AL69,($AL69-1+3)*(INDEX(Reference!$B$6:$B$11,MIN(5,MATCH(MAX(Reference!$A$6,MIN(Reference!$A$11,MIN($U69,90))),Reference!$A$6:$A$11,1)))+(MAX(Reference!$A$6,MIN(Reference!$A$11,MIN($U69,90)))-INDEX(Reference!$A$6:$A$11,MIN(5,MATCH(MAX(Reference!$A$6,MIN(Reference!$A$11,MIN($U69,90))),Reference!$A$6:$A$11,1))))*(INDEX(Reference!$B$6:$B$11,MIN(5,MATCH(MAX(Reference!$A$6,MIN(Reference!$A$11,MIN($U69,90))),Reference!$A$6:$A$11,1))+1)-INDEX(Reference!$B$6:$B$11,MIN(5,MATCH(MAX(Reference!$A$6,MIN(Reference!$A$11,MIN($U69,90))),Reference!$A$6:$A$11,1))))/(INDEX(Reference!$A$6:$A$11,MIN(5,MATCH(MAX(Reference!$A$6,MIN(Reference!$A$11,MIN($U69,90))),Reference!$A$6:$A$11,1))+1)-INDEX(Reference!$A$6:$A$11,MIN(5,MATCH(MAX(Reference!$A$6,MIN(Reference!$A$11,MIN($U69,90))),Reference!$A$6:$A$11,1))))),0)+IF(2&lt;=$AL69,($AL69-2+3)*(INDEX(Reference!$B$6:$B$11,MIN(5,MATCH(MAX(Reference!$A$6,MIN(Reference!$A$11,MIN($U69,120))),Reference!$A$6:$A$11,1)))+(MAX(Reference!$A$6,MIN(Reference!$A$11,MIN($U69,120)))-INDEX(Reference!$A$6:$A$11,MIN(5,MATCH(MAX(Reference!$A$6,MIN(Reference!$A$11,MIN($U69,120))),Reference!$A$6:$A$11,1))))*(INDEX(Reference!$B$6:$B$11,MIN(5,MATCH(MAX(Reference!$A$6,MIN(Reference!$A$11,MIN($U69,120))),Reference!$A$6:$A$11,1))+1)-INDEX(Reference!$B$6:$B$11,MIN(5,MATCH(MAX(Reference!$A$6,MIN(Reference!$A$11,MIN($U69,120))),Reference!$A$6:$A$11,1))))/(INDEX(Reference!$A$6:$A$11,MIN(5,MATCH(MAX(Reference!$A$6,MIN(Reference!$A$11,MIN($U69,120))),Reference!$A$6:$A$11,1))+1)-INDEX(Reference!$A$6:$A$11,MIN(5,MATCH(MAX(Reference!$A$6,MIN(Reference!$A$11,MIN($U69,120))),Reference!$A$6:$A$11,1))))),0)+IF(3&lt;=$AL69,($AL69-3+3)*(INDEX(Reference!$B$6:$B$11,MIN(5,MATCH(MAX(Reference!$A$6,MIN(Reference!$A$11,MIN($U69,150))),Reference!$A$6:$A$11,1)))+(MAX(Reference!$A$6,MIN(Reference!$A$11,MIN($U69,150)))-INDEX(Reference!$A$6:$A$11,MIN(5,MATCH(MAX(Reference!$A$6,MIN(Reference!$A$11,MIN($U69,150))),Reference!$A$6:$A$11,1))))*(INDEX(Reference!$B$6:$B$11,MIN(5,MATCH(MAX(Reference!$A$6,MIN(Reference!$A$11,MIN($U69,150))),Reference!$A$6:$A$11,1))+1)-INDEX(Reference!$B$6:$B$11,MIN(5,MATCH(MAX(Reference!$A$6,MIN(Reference!$A$11,MIN($U69,150))),Reference!$A$6:$A$11,1))))/(INDEX(Reference!$A$6:$A$11,MIN(5,MATCH(MAX(Reference!$A$6,MIN(Reference!$A$11,MIN($U69,150))),Reference!$A$6:$A$11,1))+1)-INDEX(Reference!$A$6:$A$11,MIN(5,MATCH(MAX(Reference!$A$6,MIN(Reference!$A$11,MIN($U69,150))),Reference!$A$6:$A$11,1))))),0)+IF(4&lt;=$AL69,($AL69-4+3)*(INDEX(Reference!$B$6:$B$11,MIN(5,MATCH(MAX(Reference!$A$6,MIN(Reference!$A$11,MIN($U69,180))),Reference!$A$6:$A$11,1)))+(MAX(Reference!$A$6,MIN(Reference!$A$11,MIN($U69,180)))-INDEX(Reference!$A$6:$A$11,MIN(5,MATCH(MAX(Reference!$A$6,MIN(Reference!$A$11,MIN($U69,180))),Reference!$A$6:$A$11,1))))*(INDEX(Reference!$B$6:$B$11,MIN(5,MATCH(MAX(Reference!$A$6,MIN(Reference!$A$11,MIN($U69,180))),Reference!$A$6:$A$11,1))+1)-INDEX(Reference!$B$6:$B$11,MIN(5,MATCH(MAX(Reference!$A$6,MIN(Reference!$A$11,MIN($U69,180))),Reference!$A$6:$A$11,1))))/(INDEX(Reference!$A$6:$A$11,MIN(5,MATCH(MAX(Reference!$A$6,MIN(Reference!$A$11,MIN($U69,180))),Reference!$A$6:$A$11,1))+1)-INDEX(Reference!$A$6:$A$11,MIN(5,MATCH(MAX(Reference!$A$6,MIN(Reference!$A$11,MIN($U69,180))),Reference!$A$6:$A$11,1))))),0)+IF(5&lt;=$AL69,($AL69-5+3)*(INDEX(Reference!$B$6:$B$11,MIN(5,MATCH(MAX(Reference!$A$6,MIN(Reference!$A$11,MIN($U69,210))),Reference!$A$6:$A$11,1)))+(MAX(Reference!$A$6,MIN(Reference!$A$11,MIN($U69,210)))-INDEX(Reference!$A$6:$A$11,MIN(5,MATCH(MAX(Reference!$A$6,MIN(Reference!$A$11,MIN($U69,210))),Reference!$A$6:$A$11,1))))*(INDEX(Reference!$B$6:$B$11,MIN(5,MATCH(MAX(Reference!$A$6,MIN(Reference!$A$11,MIN($U69,210))),Reference!$A$6:$A$11,1))+1)-INDEX(Reference!$B$6:$B$11,MIN(5,MATCH(MAX(Reference!$A$6,MIN(Reference!$A$11,MIN($U69,210))),Reference!$A$6:$A$11,1))))/(INDEX(Reference!$A$6:$A$11,MIN(5,MATCH(MAX(Reference!$A$6,MIN(Reference!$A$11,MIN($U69,210))),Reference!$A$6:$A$11,1))+1)-INDEX(Reference!$A$6:$A$11,MIN(5,MATCH(MAX(Reference!$A$6,MIN(Reference!$A$11,MIN($U69,210))),Reference!$A$6:$A$11,1))))),0)+IF(6&lt;=$AL69,($AL69-6+3)*(INDEX(Reference!$B$6:$B$11,MIN(5,MATCH(MAX(Reference!$A$6,MIN(Reference!$A$11,MIN($U69,240))),Reference!$A$6:$A$11,1)))+(MAX(Reference!$A$6,MIN(Reference!$A$11,MIN($U69,240)))-INDEX(Reference!$A$6:$A$11,MIN(5,MATCH(MAX(Reference!$A$6,MIN(Reference!$A$11,MIN($U69,240))),Reference!$A$6:$A$11,1))))*(INDEX(Reference!$B$6:$B$11,MIN(5,MATCH(MAX(Reference!$A$6,MIN(Reference!$A$11,MIN($U69,240))),Reference!$A$6:$A$11,1))+1)-INDEX(Reference!$B$6:$B$11,MIN(5,MATCH(MAX(Reference!$A$6,MIN(Reference!$A$11,MIN($U69,240))),Reference!$A$6:$A$11,1))))/(INDEX(Reference!$A$6:$A$11,MIN(5,MATCH(MAX(Reference!$A$6,MIN(Reference!$A$11,MIN($U69,240))),Reference!$A$6:$A$11,1))+1)-INDEX(Reference!$A$6:$A$11,MIN(5,MATCH(MAX(Reference!$A$6,MIN(Reference!$A$11,MIN($U69,240))),Reference!$A$6:$A$11,1))))),0)+IF(7&lt;=$AL69,($AL69-7+3)*(INDEX(Reference!$B$6:$B$11,MIN(5,MATCH(MAX(Reference!$A$6,MIN(Reference!$A$11,MIN($U69,270))),Reference!$A$6:$A$11,1)))+(MAX(Reference!$A$6,MIN(Reference!$A$11,MIN($U69,270)))-INDEX(Reference!$A$6:$A$11,MIN(5,MATCH(MAX(Reference!$A$6,MIN(Reference!$A$11,MIN($U69,270))),Reference!$A$6:$A$11,1))))*(INDEX(Reference!$B$6:$B$11,MIN(5,MATCH(MAX(Reference!$A$6,MIN(Reference!$A$11,MIN($U69,270))),Reference!$A$6:$A$11,1))+1)-INDEX(Reference!$B$6:$B$11,MIN(5,MATCH(MAX(Reference!$A$6,MIN(Reference!$A$11,MIN($U69,270))),Reference!$A$6:$A$11,1))))/(INDEX(Reference!$A$6:$A$11,MIN(5,MATCH(MAX(Reference!$A$6,MIN(Reference!$A$11,MIN($U69,270))),Reference!$A$6:$A$11,1))+1)-INDEX(Reference!$A$6:$A$11,MIN(5,MATCH(MAX(Reference!$A$6,MIN(Reference!$A$11,MIN($U69,270))),Reference!$A$6:$A$11,1))))),0)+IF(8&lt;=$AL69,($AL69-8+3)*(INDEX(Reference!$B$6:$B$11,MIN(5,MATCH(MAX(Reference!$A$6,MIN(Reference!$A$11,MIN($U69,300))),Reference!$A$6:$A$11,1)))+(MAX(Reference!$A$6,MIN(Reference!$A$11,MIN($U69,300)))-INDEX(Reference!$A$6:$A$11,MIN(5,MATCH(MAX(Reference!$A$6,MIN(Reference!$A$11,MIN($U69,300))),Reference!$A$6:$A$11,1))))*(INDEX(Reference!$B$6:$B$11,MIN(5,MATCH(MAX(Reference!$A$6,MIN(Reference!$A$11,MIN($U69,300))),Reference!$A$6:$A$11,1))+1)-INDEX(Reference!$B$6:$B$11,MIN(5,MATCH(MAX(Reference!$A$6,MIN(Reference!$A$11,MIN($U69,300))),Reference!$A$6:$A$11,1))))/(INDEX(Reference!$A$6:$A$11,MIN(5,MATCH(MAX(Reference!$A$6,MIN(Reference!$A$11,MIN($U69,300))),Reference!$A$6:$A$11,1))+1)-INDEX(Reference!$A$6:$A$11,MIN(5,MATCH(MAX(Reference!$A$6,MIN(Reference!$A$11,MIN($U69,300))),Reference!$A$6:$A$11,1))))),0))/($AL69*($AL69+5)/2)),$AN69))</f>
        <v>1.3857142857142857</v>
      </c>
      <c r="AN69" s="32">
        <f>IF($U69="",0,(INDEX(Reference!$B$6:$B$11,MIN(5,MATCH(MAX(Reference!$A$6,MIN(Reference!$A$11,$U69)),Reference!$A$6:$A$11,1)))+(MAX(Reference!$A$6,MIN(Reference!$A$11,$U69))-INDEX(Reference!$A$6:$A$11,MIN(5,MATCH(MAX(Reference!$A$6,MIN(Reference!$A$11,$U69)),Reference!$A$6:$A$11,1))))*(INDEX(Reference!$B$6:$B$11,MIN(5,MATCH(MAX(Reference!$A$6,MIN(Reference!$A$11,$U69)),Reference!$A$6:$A$11,1))+1)-INDEX(Reference!$B$6:$B$11,MIN(5,MATCH(MAX(Reference!$A$6,MIN(Reference!$A$11,$U69)),Reference!$A$6:$A$11,1))))/(INDEX(Reference!$A$6:$A$11,MIN(5,MATCH(MAX(Reference!$A$6,MIN(Reference!$A$11,$U69)),Reference!$A$6:$A$11,1))+1)-INDEX(Reference!$A$6:$A$11,MIN(5,MATCH(MAX(Reference!$A$6,MIN(Reference!$A$11,$U69)),Reference!$A$6:$A$11,1))))))</f>
        <v>1.5</v>
      </c>
      <c r="AO69" s="37"/>
      <c r="AP69" s="37"/>
      <c r="AQ69" s="37"/>
    </row>
    <row r="70" spans="1:43" x14ac:dyDescent="0.3">
      <c r="A70" s="48">
        <f t="shared" si="5"/>
        <v>46334</v>
      </c>
      <c r="B70" s="32" t="str">
        <f t="shared" si="6"/>
        <v>Sun</v>
      </c>
      <c r="C70" s="32">
        <f t="shared" si="7"/>
        <v>57</v>
      </c>
      <c r="D70" s="32" t="str">
        <f t="shared" si="8"/>
        <v>Base</v>
      </c>
      <c r="E70" s="32" t="str">
        <f t="shared" si="9"/>
        <v>No Throw</v>
      </c>
      <c r="F70" s="32" t="str">
        <f t="shared" si="10"/>
        <v>No Throw</v>
      </c>
      <c r="G70" s="47" t="str">
        <f t="shared" si="11"/>
        <v>Off</v>
      </c>
      <c r="H70" s="30">
        <f t="shared" si="12"/>
        <v>0</v>
      </c>
      <c r="I70" s="46">
        <f>IF($A70="","",IF(AND($L70&lt;27,$K$12=0),"Building",IFERROR(((SUM($H$64:$H70)+$K$12*IF($L70&lt;6,SUMIFS('Throw Log'!$Q$5:$Q$300,'Throw Log'!$B$5:$B$300,$D$4,'Throw Log'!$A$5:$A$300,"&gt;="&amp;($D$6+$L70-6),'Throw Log'!$A$5:$A$300,"&lt;="&amp;($D$6-1)),0))/7)/((SUM($H$43:$H70)+$K$12*IF($L70&lt;27,SUMIFS('Throw Log'!$Q$5:$Q$300,'Throw Log'!$B$5:$B$300,$D$4,'Throw Log'!$A$5:$A$300,"&gt;="&amp;($D$6+$L70-27),'Throw Log'!$A$5:$A$300,"&lt;="&amp;($D$6-1)),0))/28),"")))</f>
        <v>1.1559073571437113</v>
      </c>
      <c r="J70" s="37"/>
      <c r="K70" s="37"/>
      <c r="L70" s="32">
        <v>27</v>
      </c>
      <c r="M70" s="32">
        <f t="shared" si="13"/>
        <v>4</v>
      </c>
      <c r="N70" s="32">
        <f t="shared" si="14"/>
        <v>6</v>
      </c>
      <c r="O70" s="32">
        <f t="shared" si="15"/>
        <v>0.35526315789473684</v>
      </c>
      <c r="P70" s="32">
        <f>IF(OR($A70="",N($C70)&lt;=7),"",$G$6*$G$9^($M70-1)*IF(AND(MOD($M70,Reference!$B$99)=0,$M70&lt;=$G$5-2),Reference!$B$100,1))</f>
        <v>96.844268027376231</v>
      </c>
      <c r="Q70" s="32">
        <f>IF($P70="","",IF(SUM($AK$64:$AK$70)=0,0,$P70*INDEX(Reference!$B$108:$B$114,$N70+1)/SUM($AK$64:$AK$70)))</f>
        <v>6.7790987619163365</v>
      </c>
      <c r="R70" s="32">
        <f t="shared" si="16"/>
        <v>120</v>
      </c>
      <c r="S70" s="32">
        <f t="shared" si="17"/>
        <v>105</v>
      </c>
      <c r="T70" s="32" t="str">
        <f>IF($A70="","",IF($C70=0,"Bullpen",IF(OR($C70=7,$C70=1,$C70=5),"Recovery/Easy Catch",IF($C70=6,"Compression/Pulldowns",IF(OR($C70=4,$C70=2),"Long Toss",IF($C70=3,"No Throw",IF($N70=2,"No Throw",IF($N70=6,IF($O70&lt;Reference!$B$104,"No Throw","Recovery/Easy Catch"),IF(OR($N70=0,$N70=4),"Recovery/Easy Catch",IF($N70=1,IF($R70&gt;75,"Long Toss","Recovery/Easy Catch"),IF($N70=3,IF($O70&lt;0.5,IF($S70&gt;75,"Long Toss","Recovery/Easy Catch"),"Compression/Pulldowns"),IF($S70&gt;75,"Long Toss","Recovery/Easy Catch"))))))))))))</f>
        <v>No Throw</v>
      </c>
      <c r="U70" s="32">
        <f t="shared" si="18"/>
        <v>60</v>
      </c>
      <c r="V70" s="32">
        <f t="shared" si="19"/>
        <v>20</v>
      </c>
      <c r="W70" s="32">
        <f t="shared" si="20"/>
        <v>24</v>
      </c>
      <c r="X70" s="32">
        <f t="shared" si="21"/>
        <v>0</v>
      </c>
      <c r="Y70" s="32" t="str">
        <f t="shared" si="22"/>
        <v/>
      </c>
      <c r="Z70" s="32" t="str">
        <f t="shared" si="23"/>
        <v/>
      </c>
      <c r="AA70" s="32" t="str">
        <f t="shared" si="24"/>
        <v/>
      </c>
      <c r="AB70" s="32">
        <f>IF($A70="","",IF($T70="No Throw",0,IF($K70&lt;&gt;"",$K70,IF($AA70&lt;&gt;"",ROUND($AA70*$D$12*IF($C70=0,1,$G$10),0),MIN(IF($T70="Recovery/Easy Catch",Reference!$B$103,IF($T70="Long Toss",Reference!$B$106,Reference!$B$102)),MAX(Reference!$B$101,ROUND(MAX(0,$Q70-$AE70)/$AF70,0)))))))</f>
        <v>0</v>
      </c>
      <c r="AC70" s="32">
        <f t="shared" si="25"/>
        <v>0</v>
      </c>
      <c r="AD70" s="32" t="b">
        <f t="shared" si="26"/>
        <v>1</v>
      </c>
      <c r="AE70" s="32">
        <f>IF($X70=0,0,$X70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70+$Z70)/2,0),Reference!$A$17:$B$20,2,TRUE()))</f>
        <v>0</v>
      </c>
      <c r="AF70" s="32">
        <f>IF(OR($A70="",$U70="",$T70="No Throw"),0,$AM70*VLOOKUP(MAX(($V70+$W70)/2,0),Reference!$A$17:$B$20,2,TRUE()))</f>
        <v>0</v>
      </c>
      <c r="AG70" s="32">
        <f>IF($AC70=0,0,$AC70*INDEX(Reference!$B$61:$B$62,MATCH("Bullpen",Reference!$A$61:$A$62,0))*VLOOKUP(MAX($D$5-($D$9+$E$9)/2,0),Reference!$A$17:$B$20,2,TRUE()))</f>
        <v>0</v>
      </c>
      <c r="AH70" s="46">
        <f t="shared" si="27"/>
        <v>1.1559073571437113</v>
      </c>
      <c r="AI70" s="32">
        <f>IF($A70="",NA(),Reference!$A$25)</f>
        <v>0.8</v>
      </c>
      <c r="AJ70" s="32">
        <f t="shared" si="28"/>
        <v>1.3</v>
      </c>
      <c r="AK70" s="32">
        <f>IF(OR($A70="",N($C70)&lt;=7,$T70="No Throw",$J70="x"),0,INDEX(Reference!$B$108:$B$114,$N70+1))</f>
        <v>0</v>
      </c>
      <c r="AL70" s="32">
        <f t="shared" si="29"/>
        <v>1</v>
      </c>
      <c r="AM70" s="32">
        <f>IF($U70="",0,IF($AL70&gt;1,((IF(1&lt;=$AL70,($AL70-1+3)*(INDEX(Reference!$B$6:$B$11,MIN(5,MATCH(MAX(Reference!$A$6,MIN(Reference!$A$11,MIN($U70,90))),Reference!$A$6:$A$11,1)))+(MAX(Reference!$A$6,MIN(Reference!$A$11,MIN($U70,90)))-INDEX(Reference!$A$6:$A$11,MIN(5,MATCH(MAX(Reference!$A$6,MIN(Reference!$A$11,MIN($U70,90))),Reference!$A$6:$A$11,1))))*(INDEX(Reference!$B$6:$B$11,MIN(5,MATCH(MAX(Reference!$A$6,MIN(Reference!$A$11,MIN($U70,90))),Reference!$A$6:$A$11,1))+1)-INDEX(Reference!$B$6:$B$11,MIN(5,MATCH(MAX(Reference!$A$6,MIN(Reference!$A$11,MIN($U70,90))),Reference!$A$6:$A$11,1))))/(INDEX(Reference!$A$6:$A$11,MIN(5,MATCH(MAX(Reference!$A$6,MIN(Reference!$A$11,MIN($U70,90))),Reference!$A$6:$A$11,1))+1)-INDEX(Reference!$A$6:$A$11,MIN(5,MATCH(MAX(Reference!$A$6,MIN(Reference!$A$11,MIN($U70,90))),Reference!$A$6:$A$11,1))))),0)+IF(2&lt;=$AL70,($AL70-2+3)*(INDEX(Reference!$B$6:$B$11,MIN(5,MATCH(MAX(Reference!$A$6,MIN(Reference!$A$11,MIN($U70,120))),Reference!$A$6:$A$11,1)))+(MAX(Reference!$A$6,MIN(Reference!$A$11,MIN($U70,120)))-INDEX(Reference!$A$6:$A$11,MIN(5,MATCH(MAX(Reference!$A$6,MIN(Reference!$A$11,MIN($U70,120))),Reference!$A$6:$A$11,1))))*(INDEX(Reference!$B$6:$B$11,MIN(5,MATCH(MAX(Reference!$A$6,MIN(Reference!$A$11,MIN($U70,120))),Reference!$A$6:$A$11,1))+1)-INDEX(Reference!$B$6:$B$11,MIN(5,MATCH(MAX(Reference!$A$6,MIN(Reference!$A$11,MIN($U70,120))),Reference!$A$6:$A$11,1))))/(INDEX(Reference!$A$6:$A$11,MIN(5,MATCH(MAX(Reference!$A$6,MIN(Reference!$A$11,MIN($U70,120))),Reference!$A$6:$A$11,1))+1)-INDEX(Reference!$A$6:$A$11,MIN(5,MATCH(MAX(Reference!$A$6,MIN(Reference!$A$11,MIN($U70,120))),Reference!$A$6:$A$11,1))))),0)+IF(3&lt;=$AL70,($AL70-3+3)*(INDEX(Reference!$B$6:$B$11,MIN(5,MATCH(MAX(Reference!$A$6,MIN(Reference!$A$11,MIN($U70,150))),Reference!$A$6:$A$11,1)))+(MAX(Reference!$A$6,MIN(Reference!$A$11,MIN($U70,150)))-INDEX(Reference!$A$6:$A$11,MIN(5,MATCH(MAX(Reference!$A$6,MIN(Reference!$A$11,MIN($U70,150))),Reference!$A$6:$A$11,1))))*(INDEX(Reference!$B$6:$B$11,MIN(5,MATCH(MAX(Reference!$A$6,MIN(Reference!$A$11,MIN($U70,150))),Reference!$A$6:$A$11,1))+1)-INDEX(Reference!$B$6:$B$11,MIN(5,MATCH(MAX(Reference!$A$6,MIN(Reference!$A$11,MIN($U70,150))),Reference!$A$6:$A$11,1))))/(INDEX(Reference!$A$6:$A$11,MIN(5,MATCH(MAX(Reference!$A$6,MIN(Reference!$A$11,MIN($U70,150))),Reference!$A$6:$A$11,1))+1)-INDEX(Reference!$A$6:$A$11,MIN(5,MATCH(MAX(Reference!$A$6,MIN(Reference!$A$11,MIN($U70,150))),Reference!$A$6:$A$11,1))))),0)+IF(4&lt;=$AL70,($AL70-4+3)*(INDEX(Reference!$B$6:$B$11,MIN(5,MATCH(MAX(Reference!$A$6,MIN(Reference!$A$11,MIN($U70,180))),Reference!$A$6:$A$11,1)))+(MAX(Reference!$A$6,MIN(Reference!$A$11,MIN($U70,180)))-INDEX(Reference!$A$6:$A$11,MIN(5,MATCH(MAX(Reference!$A$6,MIN(Reference!$A$11,MIN($U70,180))),Reference!$A$6:$A$11,1))))*(INDEX(Reference!$B$6:$B$11,MIN(5,MATCH(MAX(Reference!$A$6,MIN(Reference!$A$11,MIN($U70,180))),Reference!$A$6:$A$11,1))+1)-INDEX(Reference!$B$6:$B$11,MIN(5,MATCH(MAX(Reference!$A$6,MIN(Reference!$A$11,MIN($U70,180))),Reference!$A$6:$A$11,1))))/(INDEX(Reference!$A$6:$A$11,MIN(5,MATCH(MAX(Reference!$A$6,MIN(Reference!$A$11,MIN($U70,180))),Reference!$A$6:$A$11,1))+1)-INDEX(Reference!$A$6:$A$11,MIN(5,MATCH(MAX(Reference!$A$6,MIN(Reference!$A$11,MIN($U70,180))),Reference!$A$6:$A$11,1))))),0)+IF(5&lt;=$AL70,($AL70-5+3)*(INDEX(Reference!$B$6:$B$11,MIN(5,MATCH(MAX(Reference!$A$6,MIN(Reference!$A$11,MIN($U70,210))),Reference!$A$6:$A$11,1)))+(MAX(Reference!$A$6,MIN(Reference!$A$11,MIN($U70,210)))-INDEX(Reference!$A$6:$A$11,MIN(5,MATCH(MAX(Reference!$A$6,MIN(Reference!$A$11,MIN($U70,210))),Reference!$A$6:$A$11,1))))*(INDEX(Reference!$B$6:$B$11,MIN(5,MATCH(MAX(Reference!$A$6,MIN(Reference!$A$11,MIN($U70,210))),Reference!$A$6:$A$11,1))+1)-INDEX(Reference!$B$6:$B$11,MIN(5,MATCH(MAX(Reference!$A$6,MIN(Reference!$A$11,MIN($U70,210))),Reference!$A$6:$A$11,1))))/(INDEX(Reference!$A$6:$A$11,MIN(5,MATCH(MAX(Reference!$A$6,MIN(Reference!$A$11,MIN($U70,210))),Reference!$A$6:$A$11,1))+1)-INDEX(Reference!$A$6:$A$11,MIN(5,MATCH(MAX(Reference!$A$6,MIN(Reference!$A$11,MIN($U70,210))),Reference!$A$6:$A$11,1))))),0)+IF(6&lt;=$AL70,($AL70-6+3)*(INDEX(Reference!$B$6:$B$11,MIN(5,MATCH(MAX(Reference!$A$6,MIN(Reference!$A$11,MIN($U70,240))),Reference!$A$6:$A$11,1)))+(MAX(Reference!$A$6,MIN(Reference!$A$11,MIN($U70,240)))-INDEX(Reference!$A$6:$A$11,MIN(5,MATCH(MAX(Reference!$A$6,MIN(Reference!$A$11,MIN($U70,240))),Reference!$A$6:$A$11,1))))*(INDEX(Reference!$B$6:$B$11,MIN(5,MATCH(MAX(Reference!$A$6,MIN(Reference!$A$11,MIN($U70,240))),Reference!$A$6:$A$11,1))+1)-INDEX(Reference!$B$6:$B$11,MIN(5,MATCH(MAX(Reference!$A$6,MIN(Reference!$A$11,MIN($U70,240))),Reference!$A$6:$A$11,1))))/(INDEX(Reference!$A$6:$A$11,MIN(5,MATCH(MAX(Reference!$A$6,MIN(Reference!$A$11,MIN($U70,240))),Reference!$A$6:$A$11,1))+1)-INDEX(Reference!$A$6:$A$11,MIN(5,MATCH(MAX(Reference!$A$6,MIN(Reference!$A$11,MIN($U70,240))),Reference!$A$6:$A$11,1))))),0)+IF(7&lt;=$AL70,($AL70-7+3)*(INDEX(Reference!$B$6:$B$11,MIN(5,MATCH(MAX(Reference!$A$6,MIN(Reference!$A$11,MIN($U70,270))),Reference!$A$6:$A$11,1)))+(MAX(Reference!$A$6,MIN(Reference!$A$11,MIN($U70,270)))-INDEX(Reference!$A$6:$A$11,MIN(5,MATCH(MAX(Reference!$A$6,MIN(Reference!$A$11,MIN($U70,270))),Reference!$A$6:$A$11,1))))*(INDEX(Reference!$B$6:$B$11,MIN(5,MATCH(MAX(Reference!$A$6,MIN(Reference!$A$11,MIN($U70,270))),Reference!$A$6:$A$11,1))+1)-INDEX(Reference!$B$6:$B$11,MIN(5,MATCH(MAX(Reference!$A$6,MIN(Reference!$A$11,MIN($U70,270))),Reference!$A$6:$A$11,1))))/(INDEX(Reference!$A$6:$A$11,MIN(5,MATCH(MAX(Reference!$A$6,MIN(Reference!$A$11,MIN($U70,270))),Reference!$A$6:$A$11,1))+1)-INDEX(Reference!$A$6:$A$11,MIN(5,MATCH(MAX(Reference!$A$6,MIN(Reference!$A$11,MIN($U70,270))),Reference!$A$6:$A$11,1))))),0)+IF(8&lt;=$AL70,($AL70-8+3)*(INDEX(Reference!$B$6:$B$11,MIN(5,MATCH(MAX(Reference!$A$6,MIN(Reference!$A$11,MIN($U70,300))),Reference!$A$6:$A$11,1)))+(MAX(Reference!$A$6,MIN(Reference!$A$11,MIN($U70,300)))-INDEX(Reference!$A$6:$A$11,MIN(5,MATCH(MAX(Reference!$A$6,MIN(Reference!$A$11,MIN($U70,300))),Reference!$A$6:$A$11,1))))*(INDEX(Reference!$B$6:$B$11,MIN(5,MATCH(MAX(Reference!$A$6,MIN(Reference!$A$11,MIN($U70,300))),Reference!$A$6:$A$11,1))+1)-INDEX(Reference!$B$6:$B$11,MIN(5,MATCH(MAX(Reference!$A$6,MIN(Reference!$A$11,MIN($U70,300))),Reference!$A$6:$A$11,1))))/(INDEX(Reference!$A$6:$A$11,MIN(5,MATCH(MAX(Reference!$A$6,MIN(Reference!$A$11,MIN($U70,300))),Reference!$A$6:$A$11,1))+1)-INDEX(Reference!$A$6:$A$11,MIN(5,MATCH(MAX(Reference!$A$6,MIN(Reference!$A$11,MIN($U70,300))),Reference!$A$6:$A$11,1))))),0))/($AL70*($AL70+5)/2)),$AN70))</f>
        <v>1</v>
      </c>
      <c r="AN70" s="32">
        <f>IF($U70="",0,(INDEX(Reference!$B$6:$B$11,MIN(5,MATCH(MAX(Reference!$A$6,MIN(Reference!$A$11,$U70)),Reference!$A$6:$A$11,1)))+(MAX(Reference!$A$6,MIN(Reference!$A$11,$U70))-INDEX(Reference!$A$6:$A$11,MIN(5,MATCH(MAX(Reference!$A$6,MIN(Reference!$A$11,$U70)),Reference!$A$6:$A$11,1))))*(INDEX(Reference!$B$6:$B$11,MIN(5,MATCH(MAX(Reference!$A$6,MIN(Reference!$A$11,$U70)),Reference!$A$6:$A$11,1))+1)-INDEX(Reference!$B$6:$B$11,MIN(5,MATCH(MAX(Reference!$A$6,MIN(Reference!$A$11,$U70)),Reference!$A$6:$A$11,1))))/(INDEX(Reference!$A$6:$A$11,MIN(5,MATCH(MAX(Reference!$A$6,MIN(Reference!$A$11,$U70)),Reference!$A$6:$A$11,1))+1)-INDEX(Reference!$A$6:$A$11,MIN(5,MATCH(MAX(Reference!$A$6,MIN(Reference!$A$11,$U70)),Reference!$A$6:$A$11,1))))))</f>
        <v>1</v>
      </c>
      <c r="AO70" s="37"/>
      <c r="AP70" s="37"/>
      <c r="AQ70" s="37"/>
    </row>
    <row r="71" spans="1:43" x14ac:dyDescent="0.3">
      <c r="A71" s="48">
        <f t="shared" si="5"/>
        <v>46335</v>
      </c>
      <c r="B71" s="32" t="str">
        <f t="shared" si="6"/>
        <v>Mon</v>
      </c>
      <c r="C71" s="32">
        <f t="shared" si="7"/>
        <v>56</v>
      </c>
      <c r="D71" s="32" t="str">
        <f t="shared" si="8"/>
        <v>Base</v>
      </c>
      <c r="E71" s="32" t="str">
        <f t="shared" si="9"/>
        <v>Low</v>
      </c>
      <c r="F71" s="32" t="str">
        <f t="shared" si="10"/>
        <v>Recovery/Easy Catch</v>
      </c>
      <c r="G71" s="47" t="str">
        <f t="shared" si="11"/>
        <v>75 ft × 22 @ 69–73 mph</v>
      </c>
      <c r="H71" s="30">
        <f t="shared" si="12"/>
        <v>15.18</v>
      </c>
      <c r="I71" s="46">
        <f>IF($A71="","",IF(AND($L71&lt;27,$K$12=0),"Building",IFERROR(((SUM($H$65:$H71)+$K$12*IF($L71&lt;6,SUMIFS('Throw Log'!$Q$5:$Q$300,'Throw Log'!$B$5:$B$300,$D$4,'Throw Log'!$A$5:$A$300,"&gt;="&amp;($D$6+$L71-6),'Throw Log'!$A$5:$A$300,"&lt;="&amp;($D$6-1)),0))/7)/((SUM($H$44:$H71)+$K$12*IF($L71&lt;27,SUMIFS('Throw Log'!$Q$5:$Q$300,'Throw Log'!$B$5:$B$300,$D$4,'Throw Log'!$A$5:$A$300,"&gt;="&amp;($D$6+$L71-27),'Throw Log'!$A$5:$A$300,"&lt;="&amp;($D$6-1)),0))/28),"")))</f>
        <v>1.1707200478040036</v>
      </c>
      <c r="J71" s="37"/>
      <c r="K71" s="37"/>
      <c r="L71" s="32">
        <v>28</v>
      </c>
      <c r="M71" s="32">
        <f t="shared" si="13"/>
        <v>5</v>
      </c>
      <c r="N71" s="32">
        <f t="shared" si="14"/>
        <v>0</v>
      </c>
      <c r="O71" s="32">
        <f t="shared" si="15"/>
        <v>0.36842105263157893</v>
      </c>
      <c r="P71" s="32">
        <f>IF(OR($A71="",N($C71)&lt;=7),"",$G$6*$G$9^($M71-1)*IF(AND(MOD($M71,Reference!$B$99)=0,$M71&lt;=$G$5-2),Reference!$B$100,1))</f>
        <v>128.18680745325557</v>
      </c>
      <c r="Q71" s="32">
        <f>IF($P71="","",IF(SUM($AK$71:$AK$77)=0,0,$P71*INDEX(Reference!$B$108:$B$114,$N71+1)/SUM($AK$71:$AK$77)))</f>
        <v>15.382416894390667</v>
      </c>
      <c r="R71" s="32">
        <f t="shared" si="16"/>
        <v>120</v>
      </c>
      <c r="S71" s="32">
        <f t="shared" si="17"/>
        <v>105</v>
      </c>
      <c r="T71" s="32" t="str">
        <f>IF($A71="","",IF($C71=0,"Bullpen",IF(OR($C71=7,$C71=1,$C71=5),"Recovery/Easy Catch",IF($C71=6,"Compression/Pulldowns",IF(OR($C71=4,$C71=2),"Long Toss",IF($C71=3,"No Throw",IF($N71=2,"No Throw",IF($N71=6,IF($O71&lt;Reference!$B$104,"No Throw","Recovery/Easy Catch"),IF(OR($N71=0,$N71=4),"Recovery/Easy Catch",IF($N71=1,IF($R71&gt;75,"Long Toss","Recovery/Easy Catch"),IF($N71=3,IF($O71&lt;0.5,IF($S71&gt;75,"Long Toss","Recovery/Easy Catch"),"Compression/Pulldowns"),IF($S71&gt;75,"Long Toss","Recovery/Easy Catch"))))))))))))</f>
        <v>Recovery/Easy Catch</v>
      </c>
      <c r="U71" s="32">
        <f t="shared" si="18"/>
        <v>75</v>
      </c>
      <c r="V71" s="32">
        <f t="shared" si="19"/>
        <v>18</v>
      </c>
      <c r="W71" s="32">
        <f t="shared" si="20"/>
        <v>22</v>
      </c>
      <c r="X71" s="32">
        <f t="shared" si="21"/>
        <v>0</v>
      </c>
      <c r="Y71" s="32" t="str">
        <f t="shared" si="22"/>
        <v/>
      </c>
      <c r="Z71" s="32" t="str">
        <f t="shared" si="23"/>
        <v/>
      </c>
      <c r="AA71" s="32" t="str">
        <f t="shared" si="24"/>
        <v/>
      </c>
      <c r="AB71" s="32">
        <f>IF($A71="","",IF($T71="No Throw",0,IF($K71&lt;&gt;"",$K71,IF($AA71&lt;&gt;"",ROUND($AA71*$D$12*IF($C71=0,1,$G$10),0),MIN(IF($T71="Recovery/Easy Catch",Reference!$B$103,IF($T71="Long Toss",Reference!$B$106,Reference!$B$102)),MAX(Reference!$B$101,ROUND(MAX(0,$Q71-$AE71)/$AF71,0)))))))</f>
        <v>22</v>
      </c>
      <c r="AC71" s="32">
        <f t="shared" si="25"/>
        <v>0</v>
      </c>
      <c r="AD71" s="32" t="b">
        <f t="shared" si="26"/>
        <v>0</v>
      </c>
      <c r="AE71" s="32">
        <f>IF($X71=0,0,$X71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71+$Z71)/2,0),Reference!$A$17:$B$20,2,TRUE()))</f>
        <v>0</v>
      </c>
      <c r="AF71" s="32">
        <f>IF(OR($A71="",$U71="",$T71="No Throw"),0,$AM71*VLOOKUP(MAX(($V71+$W71)/2,0),Reference!$A$17:$B$20,2,TRUE()))</f>
        <v>0.69</v>
      </c>
      <c r="AG71" s="32">
        <f>IF($AC71=0,0,$AC71*INDEX(Reference!$B$61:$B$62,MATCH("Bullpen",Reference!$A$61:$A$62,0))*VLOOKUP(MAX($D$5-($D$9+$E$9)/2,0),Reference!$A$17:$B$20,2,TRUE()))</f>
        <v>0</v>
      </c>
      <c r="AH71" s="46">
        <f t="shared" si="27"/>
        <v>1.1707200478040036</v>
      </c>
      <c r="AI71" s="32">
        <f>IF($A71="",NA(),Reference!$A$25)</f>
        <v>0.8</v>
      </c>
      <c r="AJ71" s="32">
        <f t="shared" si="28"/>
        <v>1.3</v>
      </c>
      <c r="AK71" s="56">
        <f>IF(OR($A71="",N($C71)&lt;=7,$T71="No Throw",$J71="x"),0,INDEX(Reference!$B$108:$B$114,$N71+1))</f>
        <v>0.12</v>
      </c>
      <c r="AL71" s="32">
        <f t="shared" si="29"/>
        <v>1</v>
      </c>
      <c r="AM71" s="32">
        <f>IF($U71="",0,IF($AL71&gt;1,((IF(1&lt;=$AL71,($AL71-1+3)*(INDEX(Reference!$B$6:$B$11,MIN(5,MATCH(MAX(Reference!$A$6,MIN(Reference!$A$11,MIN($U71,90))),Reference!$A$6:$A$11,1)))+(MAX(Reference!$A$6,MIN(Reference!$A$11,MIN($U71,90)))-INDEX(Reference!$A$6:$A$11,MIN(5,MATCH(MAX(Reference!$A$6,MIN(Reference!$A$11,MIN($U71,90))),Reference!$A$6:$A$11,1))))*(INDEX(Reference!$B$6:$B$11,MIN(5,MATCH(MAX(Reference!$A$6,MIN(Reference!$A$11,MIN($U71,90))),Reference!$A$6:$A$11,1))+1)-INDEX(Reference!$B$6:$B$11,MIN(5,MATCH(MAX(Reference!$A$6,MIN(Reference!$A$11,MIN($U71,90))),Reference!$A$6:$A$11,1))))/(INDEX(Reference!$A$6:$A$11,MIN(5,MATCH(MAX(Reference!$A$6,MIN(Reference!$A$11,MIN($U71,90))),Reference!$A$6:$A$11,1))+1)-INDEX(Reference!$A$6:$A$11,MIN(5,MATCH(MAX(Reference!$A$6,MIN(Reference!$A$11,MIN($U71,90))),Reference!$A$6:$A$11,1))))),0)+IF(2&lt;=$AL71,($AL71-2+3)*(INDEX(Reference!$B$6:$B$11,MIN(5,MATCH(MAX(Reference!$A$6,MIN(Reference!$A$11,MIN($U71,120))),Reference!$A$6:$A$11,1)))+(MAX(Reference!$A$6,MIN(Reference!$A$11,MIN($U71,120)))-INDEX(Reference!$A$6:$A$11,MIN(5,MATCH(MAX(Reference!$A$6,MIN(Reference!$A$11,MIN($U71,120))),Reference!$A$6:$A$11,1))))*(INDEX(Reference!$B$6:$B$11,MIN(5,MATCH(MAX(Reference!$A$6,MIN(Reference!$A$11,MIN($U71,120))),Reference!$A$6:$A$11,1))+1)-INDEX(Reference!$B$6:$B$11,MIN(5,MATCH(MAX(Reference!$A$6,MIN(Reference!$A$11,MIN($U71,120))),Reference!$A$6:$A$11,1))))/(INDEX(Reference!$A$6:$A$11,MIN(5,MATCH(MAX(Reference!$A$6,MIN(Reference!$A$11,MIN($U71,120))),Reference!$A$6:$A$11,1))+1)-INDEX(Reference!$A$6:$A$11,MIN(5,MATCH(MAX(Reference!$A$6,MIN(Reference!$A$11,MIN($U71,120))),Reference!$A$6:$A$11,1))))),0)+IF(3&lt;=$AL71,($AL71-3+3)*(INDEX(Reference!$B$6:$B$11,MIN(5,MATCH(MAX(Reference!$A$6,MIN(Reference!$A$11,MIN($U71,150))),Reference!$A$6:$A$11,1)))+(MAX(Reference!$A$6,MIN(Reference!$A$11,MIN($U71,150)))-INDEX(Reference!$A$6:$A$11,MIN(5,MATCH(MAX(Reference!$A$6,MIN(Reference!$A$11,MIN($U71,150))),Reference!$A$6:$A$11,1))))*(INDEX(Reference!$B$6:$B$11,MIN(5,MATCH(MAX(Reference!$A$6,MIN(Reference!$A$11,MIN($U71,150))),Reference!$A$6:$A$11,1))+1)-INDEX(Reference!$B$6:$B$11,MIN(5,MATCH(MAX(Reference!$A$6,MIN(Reference!$A$11,MIN($U71,150))),Reference!$A$6:$A$11,1))))/(INDEX(Reference!$A$6:$A$11,MIN(5,MATCH(MAX(Reference!$A$6,MIN(Reference!$A$11,MIN($U71,150))),Reference!$A$6:$A$11,1))+1)-INDEX(Reference!$A$6:$A$11,MIN(5,MATCH(MAX(Reference!$A$6,MIN(Reference!$A$11,MIN($U71,150))),Reference!$A$6:$A$11,1))))),0)+IF(4&lt;=$AL71,($AL71-4+3)*(INDEX(Reference!$B$6:$B$11,MIN(5,MATCH(MAX(Reference!$A$6,MIN(Reference!$A$11,MIN($U71,180))),Reference!$A$6:$A$11,1)))+(MAX(Reference!$A$6,MIN(Reference!$A$11,MIN($U71,180)))-INDEX(Reference!$A$6:$A$11,MIN(5,MATCH(MAX(Reference!$A$6,MIN(Reference!$A$11,MIN($U71,180))),Reference!$A$6:$A$11,1))))*(INDEX(Reference!$B$6:$B$11,MIN(5,MATCH(MAX(Reference!$A$6,MIN(Reference!$A$11,MIN($U71,180))),Reference!$A$6:$A$11,1))+1)-INDEX(Reference!$B$6:$B$11,MIN(5,MATCH(MAX(Reference!$A$6,MIN(Reference!$A$11,MIN($U71,180))),Reference!$A$6:$A$11,1))))/(INDEX(Reference!$A$6:$A$11,MIN(5,MATCH(MAX(Reference!$A$6,MIN(Reference!$A$11,MIN($U71,180))),Reference!$A$6:$A$11,1))+1)-INDEX(Reference!$A$6:$A$11,MIN(5,MATCH(MAX(Reference!$A$6,MIN(Reference!$A$11,MIN($U71,180))),Reference!$A$6:$A$11,1))))),0)+IF(5&lt;=$AL71,($AL71-5+3)*(INDEX(Reference!$B$6:$B$11,MIN(5,MATCH(MAX(Reference!$A$6,MIN(Reference!$A$11,MIN($U71,210))),Reference!$A$6:$A$11,1)))+(MAX(Reference!$A$6,MIN(Reference!$A$11,MIN($U71,210)))-INDEX(Reference!$A$6:$A$11,MIN(5,MATCH(MAX(Reference!$A$6,MIN(Reference!$A$11,MIN($U71,210))),Reference!$A$6:$A$11,1))))*(INDEX(Reference!$B$6:$B$11,MIN(5,MATCH(MAX(Reference!$A$6,MIN(Reference!$A$11,MIN($U71,210))),Reference!$A$6:$A$11,1))+1)-INDEX(Reference!$B$6:$B$11,MIN(5,MATCH(MAX(Reference!$A$6,MIN(Reference!$A$11,MIN($U71,210))),Reference!$A$6:$A$11,1))))/(INDEX(Reference!$A$6:$A$11,MIN(5,MATCH(MAX(Reference!$A$6,MIN(Reference!$A$11,MIN($U71,210))),Reference!$A$6:$A$11,1))+1)-INDEX(Reference!$A$6:$A$11,MIN(5,MATCH(MAX(Reference!$A$6,MIN(Reference!$A$11,MIN($U71,210))),Reference!$A$6:$A$11,1))))),0)+IF(6&lt;=$AL71,($AL71-6+3)*(INDEX(Reference!$B$6:$B$11,MIN(5,MATCH(MAX(Reference!$A$6,MIN(Reference!$A$11,MIN($U71,240))),Reference!$A$6:$A$11,1)))+(MAX(Reference!$A$6,MIN(Reference!$A$11,MIN($U71,240)))-INDEX(Reference!$A$6:$A$11,MIN(5,MATCH(MAX(Reference!$A$6,MIN(Reference!$A$11,MIN($U71,240))),Reference!$A$6:$A$11,1))))*(INDEX(Reference!$B$6:$B$11,MIN(5,MATCH(MAX(Reference!$A$6,MIN(Reference!$A$11,MIN($U71,240))),Reference!$A$6:$A$11,1))+1)-INDEX(Reference!$B$6:$B$11,MIN(5,MATCH(MAX(Reference!$A$6,MIN(Reference!$A$11,MIN($U71,240))),Reference!$A$6:$A$11,1))))/(INDEX(Reference!$A$6:$A$11,MIN(5,MATCH(MAX(Reference!$A$6,MIN(Reference!$A$11,MIN($U71,240))),Reference!$A$6:$A$11,1))+1)-INDEX(Reference!$A$6:$A$11,MIN(5,MATCH(MAX(Reference!$A$6,MIN(Reference!$A$11,MIN($U71,240))),Reference!$A$6:$A$11,1))))),0)+IF(7&lt;=$AL71,($AL71-7+3)*(INDEX(Reference!$B$6:$B$11,MIN(5,MATCH(MAX(Reference!$A$6,MIN(Reference!$A$11,MIN($U71,270))),Reference!$A$6:$A$11,1)))+(MAX(Reference!$A$6,MIN(Reference!$A$11,MIN($U71,270)))-INDEX(Reference!$A$6:$A$11,MIN(5,MATCH(MAX(Reference!$A$6,MIN(Reference!$A$11,MIN($U71,270))),Reference!$A$6:$A$11,1))))*(INDEX(Reference!$B$6:$B$11,MIN(5,MATCH(MAX(Reference!$A$6,MIN(Reference!$A$11,MIN($U71,270))),Reference!$A$6:$A$11,1))+1)-INDEX(Reference!$B$6:$B$11,MIN(5,MATCH(MAX(Reference!$A$6,MIN(Reference!$A$11,MIN($U71,270))),Reference!$A$6:$A$11,1))))/(INDEX(Reference!$A$6:$A$11,MIN(5,MATCH(MAX(Reference!$A$6,MIN(Reference!$A$11,MIN($U71,270))),Reference!$A$6:$A$11,1))+1)-INDEX(Reference!$A$6:$A$11,MIN(5,MATCH(MAX(Reference!$A$6,MIN(Reference!$A$11,MIN($U71,270))),Reference!$A$6:$A$11,1))))),0)+IF(8&lt;=$AL71,($AL71-8+3)*(INDEX(Reference!$B$6:$B$11,MIN(5,MATCH(MAX(Reference!$A$6,MIN(Reference!$A$11,MIN($U71,300))),Reference!$A$6:$A$11,1)))+(MAX(Reference!$A$6,MIN(Reference!$A$11,MIN($U71,300)))-INDEX(Reference!$A$6:$A$11,MIN(5,MATCH(MAX(Reference!$A$6,MIN(Reference!$A$11,MIN($U71,300))),Reference!$A$6:$A$11,1))))*(INDEX(Reference!$B$6:$B$11,MIN(5,MATCH(MAX(Reference!$A$6,MIN(Reference!$A$11,MIN($U71,300))),Reference!$A$6:$A$11,1))+1)-INDEX(Reference!$B$6:$B$11,MIN(5,MATCH(MAX(Reference!$A$6,MIN(Reference!$A$11,MIN($U71,300))),Reference!$A$6:$A$11,1))))/(INDEX(Reference!$A$6:$A$11,MIN(5,MATCH(MAX(Reference!$A$6,MIN(Reference!$A$11,MIN($U71,300))),Reference!$A$6:$A$11,1))+1)-INDEX(Reference!$A$6:$A$11,MIN(5,MATCH(MAX(Reference!$A$6,MIN(Reference!$A$11,MIN($U71,300))),Reference!$A$6:$A$11,1))))),0))/($AL71*($AL71+5)/2)),$AN71))</f>
        <v>1.1499999999999999</v>
      </c>
      <c r="AN71" s="32">
        <f>IF($U71="",0,(INDEX(Reference!$B$6:$B$11,MIN(5,MATCH(MAX(Reference!$A$6,MIN(Reference!$A$11,$U71)),Reference!$A$6:$A$11,1)))+(MAX(Reference!$A$6,MIN(Reference!$A$11,$U71))-INDEX(Reference!$A$6:$A$11,MIN(5,MATCH(MAX(Reference!$A$6,MIN(Reference!$A$11,$U71)),Reference!$A$6:$A$11,1))))*(INDEX(Reference!$B$6:$B$11,MIN(5,MATCH(MAX(Reference!$A$6,MIN(Reference!$A$11,$U71)),Reference!$A$6:$A$11,1))+1)-INDEX(Reference!$B$6:$B$11,MIN(5,MATCH(MAX(Reference!$A$6,MIN(Reference!$A$11,$U71)),Reference!$A$6:$A$11,1))))/(INDEX(Reference!$A$6:$A$11,MIN(5,MATCH(MAX(Reference!$A$6,MIN(Reference!$A$11,$U71)),Reference!$A$6:$A$11,1))+1)-INDEX(Reference!$A$6:$A$11,MIN(5,MATCH(MAX(Reference!$A$6,MIN(Reference!$A$11,$U71)),Reference!$A$6:$A$11,1))))))</f>
        <v>1.1499999999999999</v>
      </c>
      <c r="AO71" s="37"/>
      <c r="AP71" s="37"/>
      <c r="AQ71" s="37"/>
    </row>
    <row r="72" spans="1:43" ht="26.4" x14ac:dyDescent="0.3">
      <c r="A72" s="48">
        <f t="shared" si="5"/>
        <v>46336</v>
      </c>
      <c r="B72" s="32" t="str">
        <f t="shared" si="6"/>
        <v>Tue</v>
      </c>
      <c r="C72" s="32">
        <f t="shared" si="7"/>
        <v>55</v>
      </c>
      <c r="D72" s="32" t="str">
        <f t="shared" si="8"/>
        <v>Base</v>
      </c>
      <c r="E72" s="32" t="str">
        <f t="shared" si="9"/>
        <v>Low</v>
      </c>
      <c r="F72" s="32" t="str">
        <f t="shared" si="10"/>
        <v>Long Toss</v>
      </c>
      <c r="G72" s="47" t="str">
        <f t="shared" si="11"/>
        <v>Long toss out to 120 ft — 30 throws (90×17 · 120×13) @ 75–78 mph + 60 ft × 10 @ 73–77 mph</v>
      </c>
      <c r="H72" s="30">
        <f t="shared" si="12"/>
        <v>32.485714285714288</v>
      </c>
      <c r="I72" s="46">
        <f>IF($A72="","",IF(AND($L72&lt;27,$K$12=0),"Building",IFERROR(((SUM($H$66:$H72)+$K$12*IF($L72&lt;6,SUMIFS('Throw Log'!$Q$5:$Q$300,'Throw Log'!$B$5:$B$300,$D$4,'Throw Log'!$A$5:$A$300,"&gt;="&amp;($D$6+$L72-6),'Throw Log'!$A$5:$A$300,"&lt;="&amp;($D$6-1)),0))/7)/((SUM($H$45:$H72)+$K$12*IF($L72&lt;27,SUMIFS('Throw Log'!$Q$5:$Q$300,'Throw Log'!$B$5:$B$300,$D$4,'Throw Log'!$A$5:$A$300,"&gt;="&amp;($D$6+$L72-27),'Throw Log'!$A$5:$A$300,"&lt;="&amp;($D$6-1)),0))/28),"")))</f>
        <v>1.1952903336970884</v>
      </c>
      <c r="J72" s="37"/>
      <c r="K72" s="37">
        <v>30</v>
      </c>
      <c r="L72" s="32">
        <v>29</v>
      </c>
      <c r="M72" s="32">
        <f t="shared" si="13"/>
        <v>5</v>
      </c>
      <c r="N72" s="32">
        <f t="shared" si="14"/>
        <v>1</v>
      </c>
      <c r="O72" s="32">
        <f t="shared" si="15"/>
        <v>0.38157894736842107</v>
      </c>
      <c r="P72" s="32">
        <f>IF(OR($A72="",N($C72)&lt;=7),"",$G$6*$G$9^($M72-1)*IF(AND(MOD($M72,Reference!$B$99)=0,$M72&lt;=$G$5-2),Reference!$B$100,1))</f>
        <v>128.18680745325557</v>
      </c>
      <c r="Q72" s="32">
        <f>IF($P72="","",IF(SUM($AK$71:$AK$77)=0,0,$P72*INDEX(Reference!$B$108:$B$114,$N72+1)/SUM($AK$71:$AK$77)))</f>
        <v>34.610438012379007</v>
      </c>
      <c r="R72" s="32">
        <f t="shared" si="16"/>
        <v>120</v>
      </c>
      <c r="S72" s="32">
        <f t="shared" si="17"/>
        <v>105</v>
      </c>
      <c r="T72" s="32" t="str">
        <f>IF($A72="","",IF($C72=0,"Bullpen",IF(OR($C72=7,$C72=1,$C72=5),"Recovery/Easy Catch",IF($C72=6,"Compression/Pulldowns",IF(OR($C72=4,$C72=2),"Long Toss",IF($C72=3,"No Throw",IF($N72=2,"No Throw",IF($N72=6,IF($O72&lt;Reference!$B$104,"No Throw","Recovery/Easy Catch"),IF(OR($N72=0,$N72=4),"Recovery/Easy Catch",IF($N72=1,IF($R72&gt;75,"Long Toss","Recovery/Easy Catch"),IF($N72=3,IF($O72&lt;0.5,IF($S72&gt;75,"Long Toss","Recovery/Easy Catch"),"Compression/Pulldowns"),IF($S72&gt;75,"Long Toss","Recovery/Easy Catch"))))))))))))</f>
        <v>Long Toss</v>
      </c>
      <c r="U72" s="32">
        <f t="shared" si="18"/>
        <v>120</v>
      </c>
      <c r="V72" s="32">
        <f t="shared" si="19"/>
        <v>13</v>
      </c>
      <c r="W72" s="32">
        <f t="shared" si="20"/>
        <v>16</v>
      </c>
      <c r="X72" s="32">
        <f t="shared" si="21"/>
        <v>10</v>
      </c>
      <c r="Y72" s="32">
        <f t="shared" si="22"/>
        <v>14</v>
      </c>
      <c r="Z72" s="32">
        <f t="shared" si="23"/>
        <v>18</v>
      </c>
      <c r="AA72" s="32" t="str">
        <f t="shared" si="24"/>
        <v/>
      </c>
      <c r="AB72" s="32">
        <f>IF($A72="","",IF($T72="No Throw",0,IF($K72&lt;&gt;"",$K72,IF($AA72&lt;&gt;"",ROUND($AA72*$D$12*IF($C72=0,1,$G$10),0),MIN(IF($T72="Recovery/Easy Catch",Reference!$B$103,IF($T72="Long Toss",Reference!$B$106,Reference!$B$102)),MAX(Reference!$B$101,ROUND(MAX(0,$Q72-$AE72)/$AF72,0)))))))</f>
        <v>30</v>
      </c>
      <c r="AC72" s="32">
        <f t="shared" si="25"/>
        <v>0</v>
      </c>
      <c r="AD72" s="32" t="b">
        <f t="shared" si="26"/>
        <v>0</v>
      </c>
      <c r="AE72" s="32">
        <f>IF($X72=0,0,$X72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72+$Z72)/2,0),Reference!$A$17:$B$20,2,TRUE()))</f>
        <v>6</v>
      </c>
      <c r="AF72" s="32">
        <f>IF(OR($A72="",$U72="",$T72="No Throw"),0,$AM72*VLOOKUP(MAX(($V72+$W72)/2,0),Reference!$A$17:$B$20,2,TRUE()))</f>
        <v>0.8828571428571429</v>
      </c>
      <c r="AG72" s="32">
        <f>IF($AC72=0,0,$AC72*INDEX(Reference!$B$61:$B$62,MATCH("Bullpen",Reference!$A$61:$A$62,0))*VLOOKUP(MAX($D$5-($D$9+$E$9)/2,0),Reference!$A$17:$B$20,2,TRUE()))</f>
        <v>0</v>
      </c>
      <c r="AH72" s="46">
        <f t="shared" si="27"/>
        <v>1.1952903336970884</v>
      </c>
      <c r="AI72" s="32">
        <f>IF($A72="",NA(),Reference!$A$25)</f>
        <v>0.8</v>
      </c>
      <c r="AJ72" s="32">
        <f t="shared" si="28"/>
        <v>1.3</v>
      </c>
      <c r="AK72" s="56">
        <f>IF(OR($A72="",N($C72)&lt;=7,$T72="No Throw",$J72="x"),0,INDEX(Reference!$B$108:$B$114,$N72+1))</f>
        <v>0.27</v>
      </c>
      <c r="AL72" s="32">
        <f t="shared" si="29"/>
        <v>2</v>
      </c>
      <c r="AM72" s="32">
        <f>IF($U72="",0,IF($AL72&gt;1,((IF(1&lt;=$AL72,($AL72-1+3)*(INDEX(Reference!$B$6:$B$11,MIN(5,MATCH(MAX(Reference!$A$6,MIN(Reference!$A$11,MIN($U72,90))),Reference!$A$6:$A$11,1)))+(MAX(Reference!$A$6,MIN(Reference!$A$11,MIN($U72,90)))-INDEX(Reference!$A$6:$A$11,MIN(5,MATCH(MAX(Reference!$A$6,MIN(Reference!$A$11,MIN($U72,90))),Reference!$A$6:$A$11,1))))*(INDEX(Reference!$B$6:$B$11,MIN(5,MATCH(MAX(Reference!$A$6,MIN(Reference!$A$11,MIN($U72,90))),Reference!$A$6:$A$11,1))+1)-INDEX(Reference!$B$6:$B$11,MIN(5,MATCH(MAX(Reference!$A$6,MIN(Reference!$A$11,MIN($U72,90))),Reference!$A$6:$A$11,1))))/(INDEX(Reference!$A$6:$A$11,MIN(5,MATCH(MAX(Reference!$A$6,MIN(Reference!$A$11,MIN($U72,90))),Reference!$A$6:$A$11,1))+1)-INDEX(Reference!$A$6:$A$11,MIN(5,MATCH(MAX(Reference!$A$6,MIN(Reference!$A$11,MIN($U72,90))),Reference!$A$6:$A$11,1))))),0)+IF(2&lt;=$AL72,($AL72-2+3)*(INDEX(Reference!$B$6:$B$11,MIN(5,MATCH(MAX(Reference!$A$6,MIN(Reference!$A$11,MIN($U72,120))),Reference!$A$6:$A$11,1)))+(MAX(Reference!$A$6,MIN(Reference!$A$11,MIN($U72,120)))-INDEX(Reference!$A$6:$A$11,MIN(5,MATCH(MAX(Reference!$A$6,MIN(Reference!$A$11,MIN($U72,120))),Reference!$A$6:$A$11,1))))*(INDEX(Reference!$B$6:$B$11,MIN(5,MATCH(MAX(Reference!$A$6,MIN(Reference!$A$11,MIN($U72,120))),Reference!$A$6:$A$11,1))+1)-INDEX(Reference!$B$6:$B$11,MIN(5,MATCH(MAX(Reference!$A$6,MIN(Reference!$A$11,MIN($U72,120))),Reference!$A$6:$A$11,1))))/(INDEX(Reference!$A$6:$A$11,MIN(5,MATCH(MAX(Reference!$A$6,MIN(Reference!$A$11,MIN($U72,120))),Reference!$A$6:$A$11,1))+1)-INDEX(Reference!$A$6:$A$11,MIN(5,MATCH(MAX(Reference!$A$6,MIN(Reference!$A$11,MIN($U72,120))),Reference!$A$6:$A$11,1))))),0)+IF(3&lt;=$AL72,($AL72-3+3)*(INDEX(Reference!$B$6:$B$11,MIN(5,MATCH(MAX(Reference!$A$6,MIN(Reference!$A$11,MIN($U72,150))),Reference!$A$6:$A$11,1)))+(MAX(Reference!$A$6,MIN(Reference!$A$11,MIN($U72,150)))-INDEX(Reference!$A$6:$A$11,MIN(5,MATCH(MAX(Reference!$A$6,MIN(Reference!$A$11,MIN($U72,150))),Reference!$A$6:$A$11,1))))*(INDEX(Reference!$B$6:$B$11,MIN(5,MATCH(MAX(Reference!$A$6,MIN(Reference!$A$11,MIN($U72,150))),Reference!$A$6:$A$11,1))+1)-INDEX(Reference!$B$6:$B$11,MIN(5,MATCH(MAX(Reference!$A$6,MIN(Reference!$A$11,MIN($U72,150))),Reference!$A$6:$A$11,1))))/(INDEX(Reference!$A$6:$A$11,MIN(5,MATCH(MAX(Reference!$A$6,MIN(Reference!$A$11,MIN($U72,150))),Reference!$A$6:$A$11,1))+1)-INDEX(Reference!$A$6:$A$11,MIN(5,MATCH(MAX(Reference!$A$6,MIN(Reference!$A$11,MIN($U72,150))),Reference!$A$6:$A$11,1))))),0)+IF(4&lt;=$AL72,($AL72-4+3)*(INDEX(Reference!$B$6:$B$11,MIN(5,MATCH(MAX(Reference!$A$6,MIN(Reference!$A$11,MIN($U72,180))),Reference!$A$6:$A$11,1)))+(MAX(Reference!$A$6,MIN(Reference!$A$11,MIN($U72,180)))-INDEX(Reference!$A$6:$A$11,MIN(5,MATCH(MAX(Reference!$A$6,MIN(Reference!$A$11,MIN($U72,180))),Reference!$A$6:$A$11,1))))*(INDEX(Reference!$B$6:$B$11,MIN(5,MATCH(MAX(Reference!$A$6,MIN(Reference!$A$11,MIN($U72,180))),Reference!$A$6:$A$11,1))+1)-INDEX(Reference!$B$6:$B$11,MIN(5,MATCH(MAX(Reference!$A$6,MIN(Reference!$A$11,MIN($U72,180))),Reference!$A$6:$A$11,1))))/(INDEX(Reference!$A$6:$A$11,MIN(5,MATCH(MAX(Reference!$A$6,MIN(Reference!$A$11,MIN($U72,180))),Reference!$A$6:$A$11,1))+1)-INDEX(Reference!$A$6:$A$11,MIN(5,MATCH(MAX(Reference!$A$6,MIN(Reference!$A$11,MIN($U72,180))),Reference!$A$6:$A$11,1))))),0)+IF(5&lt;=$AL72,($AL72-5+3)*(INDEX(Reference!$B$6:$B$11,MIN(5,MATCH(MAX(Reference!$A$6,MIN(Reference!$A$11,MIN($U72,210))),Reference!$A$6:$A$11,1)))+(MAX(Reference!$A$6,MIN(Reference!$A$11,MIN($U72,210)))-INDEX(Reference!$A$6:$A$11,MIN(5,MATCH(MAX(Reference!$A$6,MIN(Reference!$A$11,MIN($U72,210))),Reference!$A$6:$A$11,1))))*(INDEX(Reference!$B$6:$B$11,MIN(5,MATCH(MAX(Reference!$A$6,MIN(Reference!$A$11,MIN($U72,210))),Reference!$A$6:$A$11,1))+1)-INDEX(Reference!$B$6:$B$11,MIN(5,MATCH(MAX(Reference!$A$6,MIN(Reference!$A$11,MIN($U72,210))),Reference!$A$6:$A$11,1))))/(INDEX(Reference!$A$6:$A$11,MIN(5,MATCH(MAX(Reference!$A$6,MIN(Reference!$A$11,MIN($U72,210))),Reference!$A$6:$A$11,1))+1)-INDEX(Reference!$A$6:$A$11,MIN(5,MATCH(MAX(Reference!$A$6,MIN(Reference!$A$11,MIN($U72,210))),Reference!$A$6:$A$11,1))))),0)+IF(6&lt;=$AL72,($AL72-6+3)*(INDEX(Reference!$B$6:$B$11,MIN(5,MATCH(MAX(Reference!$A$6,MIN(Reference!$A$11,MIN($U72,240))),Reference!$A$6:$A$11,1)))+(MAX(Reference!$A$6,MIN(Reference!$A$11,MIN($U72,240)))-INDEX(Reference!$A$6:$A$11,MIN(5,MATCH(MAX(Reference!$A$6,MIN(Reference!$A$11,MIN($U72,240))),Reference!$A$6:$A$11,1))))*(INDEX(Reference!$B$6:$B$11,MIN(5,MATCH(MAX(Reference!$A$6,MIN(Reference!$A$11,MIN($U72,240))),Reference!$A$6:$A$11,1))+1)-INDEX(Reference!$B$6:$B$11,MIN(5,MATCH(MAX(Reference!$A$6,MIN(Reference!$A$11,MIN($U72,240))),Reference!$A$6:$A$11,1))))/(INDEX(Reference!$A$6:$A$11,MIN(5,MATCH(MAX(Reference!$A$6,MIN(Reference!$A$11,MIN($U72,240))),Reference!$A$6:$A$11,1))+1)-INDEX(Reference!$A$6:$A$11,MIN(5,MATCH(MAX(Reference!$A$6,MIN(Reference!$A$11,MIN($U72,240))),Reference!$A$6:$A$11,1))))),0)+IF(7&lt;=$AL72,($AL72-7+3)*(INDEX(Reference!$B$6:$B$11,MIN(5,MATCH(MAX(Reference!$A$6,MIN(Reference!$A$11,MIN($U72,270))),Reference!$A$6:$A$11,1)))+(MAX(Reference!$A$6,MIN(Reference!$A$11,MIN($U72,270)))-INDEX(Reference!$A$6:$A$11,MIN(5,MATCH(MAX(Reference!$A$6,MIN(Reference!$A$11,MIN($U72,270))),Reference!$A$6:$A$11,1))))*(INDEX(Reference!$B$6:$B$11,MIN(5,MATCH(MAX(Reference!$A$6,MIN(Reference!$A$11,MIN($U72,270))),Reference!$A$6:$A$11,1))+1)-INDEX(Reference!$B$6:$B$11,MIN(5,MATCH(MAX(Reference!$A$6,MIN(Reference!$A$11,MIN($U72,270))),Reference!$A$6:$A$11,1))))/(INDEX(Reference!$A$6:$A$11,MIN(5,MATCH(MAX(Reference!$A$6,MIN(Reference!$A$11,MIN($U72,270))),Reference!$A$6:$A$11,1))+1)-INDEX(Reference!$A$6:$A$11,MIN(5,MATCH(MAX(Reference!$A$6,MIN(Reference!$A$11,MIN($U72,270))),Reference!$A$6:$A$11,1))))),0)+IF(8&lt;=$AL72,($AL72-8+3)*(INDEX(Reference!$B$6:$B$11,MIN(5,MATCH(MAX(Reference!$A$6,MIN(Reference!$A$11,MIN($U72,300))),Reference!$A$6:$A$11,1)))+(MAX(Reference!$A$6,MIN(Reference!$A$11,MIN($U72,300)))-INDEX(Reference!$A$6:$A$11,MIN(5,MATCH(MAX(Reference!$A$6,MIN(Reference!$A$11,MIN($U72,300))),Reference!$A$6:$A$11,1))))*(INDEX(Reference!$B$6:$B$11,MIN(5,MATCH(MAX(Reference!$A$6,MIN(Reference!$A$11,MIN($U72,300))),Reference!$A$6:$A$11,1))+1)-INDEX(Reference!$B$6:$B$11,MIN(5,MATCH(MAX(Reference!$A$6,MIN(Reference!$A$11,MIN($U72,300))),Reference!$A$6:$A$11,1))))/(INDEX(Reference!$A$6:$A$11,MIN(5,MATCH(MAX(Reference!$A$6,MIN(Reference!$A$11,MIN($U72,300))),Reference!$A$6:$A$11,1))+1)-INDEX(Reference!$A$6:$A$11,MIN(5,MATCH(MAX(Reference!$A$6,MIN(Reference!$A$11,MIN($U72,300))),Reference!$A$6:$A$11,1))))),0))/($AL72*($AL72+5)/2)),$AN72))</f>
        <v>1.4714285714285715</v>
      </c>
      <c r="AN72" s="32">
        <f>IF($U72="",0,(INDEX(Reference!$B$6:$B$11,MIN(5,MATCH(MAX(Reference!$A$6,MIN(Reference!$A$11,$U72)),Reference!$A$6:$A$11,1)))+(MAX(Reference!$A$6,MIN(Reference!$A$11,$U72))-INDEX(Reference!$A$6:$A$11,MIN(5,MATCH(MAX(Reference!$A$6,MIN(Reference!$A$11,$U72)),Reference!$A$6:$A$11,1))))*(INDEX(Reference!$B$6:$B$11,MIN(5,MATCH(MAX(Reference!$A$6,MIN(Reference!$A$11,$U72)),Reference!$A$6:$A$11,1))+1)-INDEX(Reference!$B$6:$B$11,MIN(5,MATCH(MAX(Reference!$A$6,MIN(Reference!$A$11,$U72)),Reference!$A$6:$A$11,1))))/(INDEX(Reference!$A$6:$A$11,MIN(5,MATCH(MAX(Reference!$A$6,MIN(Reference!$A$11,$U72)),Reference!$A$6:$A$11,1))+1)-INDEX(Reference!$A$6:$A$11,MIN(5,MATCH(MAX(Reference!$A$6,MIN(Reference!$A$11,$U72)),Reference!$A$6:$A$11,1))))))</f>
        <v>1.7</v>
      </c>
      <c r="AO72" s="37"/>
      <c r="AP72" s="37"/>
      <c r="AQ72" s="37"/>
    </row>
    <row r="73" spans="1:43" x14ac:dyDescent="0.3">
      <c r="A73" s="48">
        <f t="shared" si="5"/>
        <v>46337</v>
      </c>
      <c r="B73" s="32" t="str">
        <f t="shared" si="6"/>
        <v>Wed</v>
      </c>
      <c r="C73" s="32">
        <f t="shared" si="7"/>
        <v>54</v>
      </c>
      <c r="D73" s="32" t="str">
        <f t="shared" si="8"/>
        <v>Base</v>
      </c>
      <c r="E73" s="32" t="str">
        <f t="shared" si="9"/>
        <v>No Throw</v>
      </c>
      <c r="F73" s="32" t="str">
        <f t="shared" si="10"/>
        <v>No Throw</v>
      </c>
      <c r="G73" s="47" t="str">
        <f t="shared" si="11"/>
        <v>Off</v>
      </c>
      <c r="H73" s="30">
        <f t="shared" si="12"/>
        <v>0</v>
      </c>
      <c r="I73" s="46">
        <f>IF($A73="","",IF(AND($L73&lt;27,$K$12=0),"Building",IFERROR(((SUM($H$67:$H73)+$K$12*IF($L73&lt;6,SUMIFS('Throw Log'!$Q$5:$Q$300,'Throw Log'!$B$5:$B$300,$D$4,'Throw Log'!$A$5:$A$300,"&gt;="&amp;($D$6+$L73-6),'Throw Log'!$A$5:$A$300,"&lt;="&amp;($D$6-1)),0))/7)/((SUM($H$46:$H73)+$K$12*IF($L73&lt;27,SUMIFS('Throw Log'!$Q$5:$Q$300,'Throw Log'!$B$5:$B$300,$D$4,'Throw Log'!$A$5:$A$300,"&gt;="&amp;($D$6+$L73-27),'Throw Log'!$A$5:$A$300,"&lt;="&amp;($D$6-1)),0))/28),"")))</f>
        <v>1.1952903336970884</v>
      </c>
      <c r="J73" s="37"/>
      <c r="K73" s="37"/>
      <c r="L73" s="32">
        <v>30</v>
      </c>
      <c r="M73" s="32">
        <f t="shared" si="13"/>
        <v>5</v>
      </c>
      <c r="N73" s="32">
        <f t="shared" si="14"/>
        <v>2</v>
      </c>
      <c r="O73" s="32">
        <f t="shared" si="15"/>
        <v>0.39473684210526316</v>
      </c>
      <c r="P73" s="32">
        <f>IF(OR($A73="",N($C73)&lt;=7),"",$G$6*$G$9^($M73-1)*IF(AND(MOD($M73,Reference!$B$99)=0,$M73&lt;=$G$5-2),Reference!$B$100,1))</f>
        <v>128.18680745325557</v>
      </c>
      <c r="Q73" s="32">
        <f>IF($P73="","",IF(SUM($AK$71:$AK$77)=0,0,$P73*INDEX(Reference!$B$108:$B$114,$N73+1)/SUM($AK$71:$AK$77)))</f>
        <v>0</v>
      </c>
      <c r="R73" s="32">
        <f t="shared" si="16"/>
        <v>120</v>
      </c>
      <c r="S73" s="32">
        <f t="shared" si="17"/>
        <v>105</v>
      </c>
      <c r="T73" s="32" t="str">
        <f>IF($A73="","",IF($C73=0,"Bullpen",IF(OR($C73=7,$C73=1,$C73=5),"Recovery/Easy Catch",IF($C73=6,"Compression/Pulldowns",IF(OR($C73=4,$C73=2),"Long Toss",IF($C73=3,"No Throw",IF($N73=2,"No Throw",IF($N73=6,IF($O73&lt;Reference!$B$104,"No Throw","Recovery/Easy Catch"),IF(OR($N73=0,$N73=4),"Recovery/Easy Catch",IF($N73=1,IF($R73&gt;75,"Long Toss","Recovery/Easy Catch"),IF($N73=3,IF($O73&lt;0.5,IF($S73&gt;75,"Long Toss","Recovery/Easy Catch"),"Compression/Pulldowns"),IF($S73&gt;75,"Long Toss","Recovery/Easy Catch"))))))))))))</f>
        <v>No Throw</v>
      </c>
      <c r="U73" s="32" t="str">
        <f t="shared" si="18"/>
        <v/>
      </c>
      <c r="V73" s="32" t="str">
        <f t="shared" si="19"/>
        <v/>
      </c>
      <c r="W73" s="32" t="str">
        <f t="shared" si="20"/>
        <v/>
      </c>
      <c r="X73" s="32">
        <f t="shared" si="21"/>
        <v>0</v>
      </c>
      <c r="Y73" s="32" t="str">
        <f t="shared" si="22"/>
        <v/>
      </c>
      <c r="Z73" s="32" t="str">
        <f t="shared" si="23"/>
        <v/>
      </c>
      <c r="AA73" s="32" t="str">
        <f t="shared" si="24"/>
        <v/>
      </c>
      <c r="AB73" s="32">
        <f>IF($A73="","",IF($T73="No Throw",0,IF($K73&lt;&gt;"",$K73,IF($AA73&lt;&gt;"",ROUND($AA73*$D$12*IF($C73=0,1,$G$10),0),MIN(IF($T73="Recovery/Easy Catch",Reference!$B$103,IF($T73="Long Toss",Reference!$B$106,Reference!$B$102)),MAX(Reference!$B$101,ROUND(MAX(0,$Q73-$AE73)/$AF73,0)))))))</f>
        <v>0</v>
      </c>
      <c r="AC73" s="32">
        <f t="shared" si="25"/>
        <v>0</v>
      </c>
      <c r="AD73" s="32" t="b">
        <f t="shared" si="26"/>
        <v>1</v>
      </c>
      <c r="AE73" s="32">
        <f>IF($X73=0,0,$X73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73+$Z73)/2,0),Reference!$A$17:$B$20,2,TRUE()))</f>
        <v>0</v>
      </c>
      <c r="AF73" s="32">
        <f>IF(OR($A73="",$U73="",$T73="No Throw"),0,$AM73*VLOOKUP(MAX(($V73+$W73)/2,0),Reference!$A$17:$B$20,2,TRUE()))</f>
        <v>0</v>
      </c>
      <c r="AG73" s="32">
        <f>IF($AC73=0,0,$AC73*INDEX(Reference!$B$61:$B$62,MATCH("Bullpen",Reference!$A$61:$A$62,0))*VLOOKUP(MAX($D$5-($D$9+$E$9)/2,0),Reference!$A$17:$B$20,2,TRUE()))</f>
        <v>0</v>
      </c>
      <c r="AH73" s="46">
        <f t="shared" si="27"/>
        <v>1.1952903336970884</v>
      </c>
      <c r="AI73" s="32">
        <f>IF($A73="",NA(),Reference!$A$25)</f>
        <v>0.8</v>
      </c>
      <c r="AJ73" s="32">
        <f t="shared" si="28"/>
        <v>1.3</v>
      </c>
      <c r="AK73" s="32">
        <f>IF(OR($A73="",N($C73)&lt;=7,$T73="No Throw",$J73="x"),0,INDEX(Reference!$B$108:$B$114,$N73+1))</f>
        <v>0</v>
      </c>
      <c r="AL73" s="32">
        <f t="shared" si="29"/>
        <v>1</v>
      </c>
      <c r="AM73" s="32">
        <f>IF($U73="",0,IF($AL73&gt;1,((IF(1&lt;=$AL73,($AL73-1+3)*(INDEX(Reference!$B$6:$B$11,MIN(5,MATCH(MAX(Reference!$A$6,MIN(Reference!$A$11,MIN($U73,90))),Reference!$A$6:$A$11,1)))+(MAX(Reference!$A$6,MIN(Reference!$A$11,MIN($U73,90)))-INDEX(Reference!$A$6:$A$11,MIN(5,MATCH(MAX(Reference!$A$6,MIN(Reference!$A$11,MIN($U73,90))),Reference!$A$6:$A$11,1))))*(INDEX(Reference!$B$6:$B$11,MIN(5,MATCH(MAX(Reference!$A$6,MIN(Reference!$A$11,MIN($U73,90))),Reference!$A$6:$A$11,1))+1)-INDEX(Reference!$B$6:$B$11,MIN(5,MATCH(MAX(Reference!$A$6,MIN(Reference!$A$11,MIN($U73,90))),Reference!$A$6:$A$11,1))))/(INDEX(Reference!$A$6:$A$11,MIN(5,MATCH(MAX(Reference!$A$6,MIN(Reference!$A$11,MIN($U73,90))),Reference!$A$6:$A$11,1))+1)-INDEX(Reference!$A$6:$A$11,MIN(5,MATCH(MAX(Reference!$A$6,MIN(Reference!$A$11,MIN($U73,90))),Reference!$A$6:$A$11,1))))),0)+IF(2&lt;=$AL73,($AL73-2+3)*(INDEX(Reference!$B$6:$B$11,MIN(5,MATCH(MAX(Reference!$A$6,MIN(Reference!$A$11,MIN($U73,120))),Reference!$A$6:$A$11,1)))+(MAX(Reference!$A$6,MIN(Reference!$A$11,MIN($U73,120)))-INDEX(Reference!$A$6:$A$11,MIN(5,MATCH(MAX(Reference!$A$6,MIN(Reference!$A$11,MIN($U73,120))),Reference!$A$6:$A$11,1))))*(INDEX(Reference!$B$6:$B$11,MIN(5,MATCH(MAX(Reference!$A$6,MIN(Reference!$A$11,MIN($U73,120))),Reference!$A$6:$A$11,1))+1)-INDEX(Reference!$B$6:$B$11,MIN(5,MATCH(MAX(Reference!$A$6,MIN(Reference!$A$11,MIN($U73,120))),Reference!$A$6:$A$11,1))))/(INDEX(Reference!$A$6:$A$11,MIN(5,MATCH(MAX(Reference!$A$6,MIN(Reference!$A$11,MIN($U73,120))),Reference!$A$6:$A$11,1))+1)-INDEX(Reference!$A$6:$A$11,MIN(5,MATCH(MAX(Reference!$A$6,MIN(Reference!$A$11,MIN($U73,120))),Reference!$A$6:$A$11,1))))),0)+IF(3&lt;=$AL73,($AL73-3+3)*(INDEX(Reference!$B$6:$B$11,MIN(5,MATCH(MAX(Reference!$A$6,MIN(Reference!$A$11,MIN($U73,150))),Reference!$A$6:$A$11,1)))+(MAX(Reference!$A$6,MIN(Reference!$A$11,MIN($U73,150)))-INDEX(Reference!$A$6:$A$11,MIN(5,MATCH(MAX(Reference!$A$6,MIN(Reference!$A$11,MIN($U73,150))),Reference!$A$6:$A$11,1))))*(INDEX(Reference!$B$6:$B$11,MIN(5,MATCH(MAX(Reference!$A$6,MIN(Reference!$A$11,MIN($U73,150))),Reference!$A$6:$A$11,1))+1)-INDEX(Reference!$B$6:$B$11,MIN(5,MATCH(MAX(Reference!$A$6,MIN(Reference!$A$11,MIN($U73,150))),Reference!$A$6:$A$11,1))))/(INDEX(Reference!$A$6:$A$11,MIN(5,MATCH(MAX(Reference!$A$6,MIN(Reference!$A$11,MIN($U73,150))),Reference!$A$6:$A$11,1))+1)-INDEX(Reference!$A$6:$A$11,MIN(5,MATCH(MAX(Reference!$A$6,MIN(Reference!$A$11,MIN($U73,150))),Reference!$A$6:$A$11,1))))),0)+IF(4&lt;=$AL73,($AL73-4+3)*(INDEX(Reference!$B$6:$B$11,MIN(5,MATCH(MAX(Reference!$A$6,MIN(Reference!$A$11,MIN($U73,180))),Reference!$A$6:$A$11,1)))+(MAX(Reference!$A$6,MIN(Reference!$A$11,MIN($U73,180)))-INDEX(Reference!$A$6:$A$11,MIN(5,MATCH(MAX(Reference!$A$6,MIN(Reference!$A$11,MIN($U73,180))),Reference!$A$6:$A$11,1))))*(INDEX(Reference!$B$6:$B$11,MIN(5,MATCH(MAX(Reference!$A$6,MIN(Reference!$A$11,MIN($U73,180))),Reference!$A$6:$A$11,1))+1)-INDEX(Reference!$B$6:$B$11,MIN(5,MATCH(MAX(Reference!$A$6,MIN(Reference!$A$11,MIN($U73,180))),Reference!$A$6:$A$11,1))))/(INDEX(Reference!$A$6:$A$11,MIN(5,MATCH(MAX(Reference!$A$6,MIN(Reference!$A$11,MIN($U73,180))),Reference!$A$6:$A$11,1))+1)-INDEX(Reference!$A$6:$A$11,MIN(5,MATCH(MAX(Reference!$A$6,MIN(Reference!$A$11,MIN($U73,180))),Reference!$A$6:$A$11,1))))),0)+IF(5&lt;=$AL73,($AL73-5+3)*(INDEX(Reference!$B$6:$B$11,MIN(5,MATCH(MAX(Reference!$A$6,MIN(Reference!$A$11,MIN($U73,210))),Reference!$A$6:$A$11,1)))+(MAX(Reference!$A$6,MIN(Reference!$A$11,MIN($U73,210)))-INDEX(Reference!$A$6:$A$11,MIN(5,MATCH(MAX(Reference!$A$6,MIN(Reference!$A$11,MIN($U73,210))),Reference!$A$6:$A$11,1))))*(INDEX(Reference!$B$6:$B$11,MIN(5,MATCH(MAX(Reference!$A$6,MIN(Reference!$A$11,MIN($U73,210))),Reference!$A$6:$A$11,1))+1)-INDEX(Reference!$B$6:$B$11,MIN(5,MATCH(MAX(Reference!$A$6,MIN(Reference!$A$11,MIN($U73,210))),Reference!$A$6:$A$11,1))))/(INDEX(Reference!$A$6:$A$11,MIN(5,MATCH(MAX(Reference!$A$6,MIN(Reference!$A$11,MIN($U73,210))),Reference!$A$6:$A$11,1))+1)-INDEX(Reference!$A$6:$A$11,MIN(5,MATCH(MAX(Reference!$A$6,MIN(Reference!$A$11,MIN($U73,210))),Reference!$A$6:$A$11,1))))),0)+IF(6&lt;=$AL73,($AL73-6+3)*(INDEX(Reference!$B$6:$B$11,MIN(5,MATCH(MAX(Reference!$A$6,MIN(Reference!$A$11,MIN($U73,240))),Reference!$A$6:$A$11,1)))+(MAX(Reference!$A$6,MIN(Reference!$A$11,MIN($U73,240)))-INDEX(Reference!$A$6:$A$11,MIN(5,MATCH(MAX(Reference!$A$6,MIN(Reference!$A$11,MIN($U73,240))),Reference!$A$6:$A$11,1))))*(INDEX(Reference!$B$6:$B$11,MIN(5,MATCH(MAX(Reference!$A$6,MIN(Reference!$A$11,MIN($U73,240))),Reference!$A$6:$A$11,1))+1)-INDEX(Reference!$B$6:$B$11,MIN(5,MATCH(MAX(Reference!$A$6,MIN(Reference!$A$11,MIN($U73,240))),Reference!$A$6:$A$11,1))))/(INDEX(Reference!$A$6:$A$11,MIN(5,MATCH(MAX(Reference!$A$6,MIN(Reference!$A$11,MIN($U73,240))),Reference!$A$6:$A$11,1))+1)-INDEX(Reference!$A$6:$A$11,MIN(5,MATCH(MAX(Reference!$A$6,MIN(Reference!$A$11,MIN($U73,240))),Reference!$A$6:$A$11,1))))),0)+IF(7&lt;=$AL73,($AL73-7+3)*(INDEX(Reference!$B$6:$B$11,MIN(5,MATCH(MAX(Reference!$A$6,MIN(Reference!$A$11,MIN($U73,270))),Reference!$A$6:$A$11,1)))+(MAX(Reference!$A$6,MIN(Reference!$A$11,MIN($U73,270)))-INDEX(Reference!$A$6:$A$11,MIN(5,MATCH(MAX(Reference!$A$6,MIN(Reference!$A$11,MIN($U73,270))),Reference!$A$6:$A$11,1))))*(INDEX(Reference!$B$6:$B$11,MIN(5,MATCH(MAX(Reference!$A$6,MIN(Reference!$A$11,MIN($U73,270))),Reference!$A$6:$A$11,1))+1)-INDEX(Reference!$B$6:$B$11,MIN(5,MATCH(MAX(Reference!$A$6,MIN(Reference!$A$11,MIN($U73,270))),Reference!$A$6:$A$11,1))))/(INDEX(Reference!$A$6:$A$11,MIN(5,MATCH(MAX(Reference!$A$6,MIN(Reference!$A$11,MIN($U73,270))),Reference!$A$6:$A$11,1))+1)-INDEX(Reference!$A$6:$A$11,MIN(5,MATCH(MAX(Reference!$A$6,MIN(Reference!$A$11,MIN($U73,270))),Reference!$A$6:$A$11,1))))),0)+IF(8&lt;=$AL73,($AL73-8+3)*(INDEX(Reference!$B$6:$B$11,MIN(5,MATCH(MAX(Reference!$A$6,MIN(Reference!$A$11,MIN($U73,300))),Reference!$A$6:$A$11,1)))+(MAX(Reference!$A$6,MIN(Reference!$A$11,MIN($U73,300)))-INDEX(Reference!$A$6:$A$11,MIN(5,MATCH(MAX(Reference!$A$6,MIN(Reference!$A$11,MIN($U73,300))),Reference!$A$6:$A$11,1))))*(INDEX(Reference!$B$6:$B$11,MIN(5,MATCH(MAX(Reference!$A$6,MIN(Reference!$A$11,MIN($U73,300))),Reference!$A$6:$A$11,1))+1)-INDEX(Reference!$B$6:$B$11,MIN(5,MATCH(MAX(Reference!$A$6,MIN(Reference!$A$11,MIN($U73,300))),Reference!$A$6:$A$11,1))))/(INDEX(Reference!$A$6:$A$11,MIN(5,MATCH(MAX(Reference!$A$6,MIN(Reference!$A$11,MIN($U73,300))),Reference!$A$6:$A$11,1))+1)-INDEX(Reference!$A$6:$A$11,MIN(5,MATCH(MAX(Reference!$A$6,MIN(Reference!$A$11,MIN($U73,300))),Reference!$A$6:$A$11,1))))),0))/($AL73*($AL73+5)/2)),$AN73))</f>
        <v>0</v>
      </c>
      <c r="AN73" s="32">
        <f>IF($U73="",0,(INDEX(Reference!$B$6:$B$11,MIN(5,MATCH(MAX(Reference!$A$6,MIN(Reference!$A$11,$U73)),Reference!$A$6:$A$11,1)))+(MAX(Reference!$A$6,MIN(Reference!$A$11,$U73))-INDEX(Reference!$A$6:$A$11,MIN(5,MATCH(MAX(Reference!$A$6,MIN(Reference!$A$11,$U73)),Reference!$A$6:$A$11,1))))*(INDEX(Reference!$B$6:$B$11,MIN(5,MATCH(MAX(Reference!$A$6,MIN(Reference!$A$11,$U73)),Reference!$A$6:$A$11,1))+1)-INDEX(Reference!$B$6:$B$11,MIN(5,MATCH(MAX(Reference!$A$6,MIN(Reference!$A$11,$U73)),Reference!$A$6:$A$11,1))))/(INDEX(Reference!$A$6:$A$11,MIN(5,MATCH(MAX(Reference!$A$6,MIN(Reference!$A$11,$U73)),Reference!$A$6:$A$11,1))+1)-INDEX(Reference!$A$6:$A$11,MIN(5,MATCH(MAX(Reference!$A$6,MIN(Reference!$A$11,$U73)),Reference!$A$6:$A$11,1))))))</f>
        <v>0</v>
      </c>
      <c r="AO73" s="37"/>
      <c r="AP73" s="37"/>
      <c r="AQ73" s="37"/>
    </row>
    <row r="74" spans="1:43" ht="26.4" x14ac:dyDescent="0.3">
      <c r="A74" s="48">
        <f t="shared" si="5"/>
        <v>46338</v>
      </c>
      <c r="B74" s="32" t="str">
        <f t="shared" si="6"/>
        <v>Thu</v>
      </c>
      <c r="C74" s="32">
        <f t="shared" si="7"/>
        <v>53</v>
      </c>
      <c r="D74" s="32" t="str">
        <f t="shared" si="8"/>
        <v>Base</v>
      </c>
      <c r="E74" s="32" t="str">
        <f t="shared" si="9"/>
        <v>Medium</v>
      </c>
      <c r="F74" s="32" t="str">
        <f t="shared" si="10"/>
        <v>Long Toss</v>
      </c>
      <c r="G74" s="47" t="str">
        <f t="shared" si="11"/>
        <v>Long toss out to 105 ft — 25 throws (90×14 · 105×11) @ 75–78 mph + 60 ft × 10 @ 73–77 mph</v>
      </c>
      <c r="H74" s="30">
        <f t="shared" si="12"/>
        <v>26.785714285714285</v>
      </c>
      <c r="I74" s="46">
        <f>IF($A74="","",IF(AND($L74&lt;27,$K$12=0),"Building",IFERROR(((SUM($H$68:$H74)+$K$12*IF($L74&lt;6,SUMIFS('Throw Log'!$Q$5:$Q$300,'Throw Log'!$B$5:$B$300,$D$4,'Throw Log'!$A$5:$A$300,"&gt;="&amp;($D$6+$L74-6),'Throw Log'!$A$5:$A$300,"&lt;="&amp;($D$6-1)),0))/7)/((SUM($H$47:$H74)+$K$12*IF($L74&lt;27,SUMIFS('Throw Log'!$Q$5:$Q$300,'Throw Log'!$B$5:$B$300,$D$4,'Throw Log'!$A$5:$A$300,"&gt;="&amp;($D$6+$L74-27),'Throw Log'!$A$5:$A$300,"&lt;="&amp;($D$6-1)),0))/28),"")))</f>
        <v>1.1906113907584415</v>
      </c>
      <c r="J74" s="37"/>
      <c r="K74" s="37">
        <v>25</v>
      </c>
      <c r="L74" s="32">
        <v>31</v>
      </c>
      <c r="M74" s="32">
        <f t="shared" si="13"/>
        <v>5</v>
      </c>
      <c r="N74" s="32">
        <f t="shared" si="14"/>
        <v>3</v>
      </c>
      <c r="O74" s="32">
        <f t="shared" si="15"/>
        <v>0.40789473684210525</v>
      </c>
      <c r="P74" s="32">
        <f>IF(OR($A74="",N($C74)&lt;=7),"",$G$6*$G$9^($M74-1)*IF(AND(MOD($M74,Reference!$B$99)=0,$M74&lt;=$G$5-2),Reference!$B$100,1))</f>
        <v>128.18680745325557</v>
      </c>
      <c r="Q74" s="32">
        <f>IF($P74="","",IF(SUM($AK$71:$AK$77)=0,0,$P74*INDEX(Reference!$B$108:$B$114,$N74+1)/SUM($AK$71:$AK$77)))</f>
        <v>30.764833788781335</v>
      </c>
      <c r="R74" s="32">
        <f t="shared" si="16"/>
        <v>120</v>
      </c>
      <c r="S74" s="32">
        <f t="shared" si="17"/>
        <v>105</v>
      </c>
      <c r="T74" s="32" t="str">
        <f>IF($A74="","",IF($C74=0,"Bullpen",IF(OR($C74=7,$C74=1,$C74=5),"Recovery/Easy Catch",IF($C74=6,"Compression/Pulldowns",IF(OR($C74=4,$C74=2),"Long Toss",IF($C74=3,"No Throw",IF($N74=2,"No Throw",IF($N74=6,IF($O74&lt;Reference!$B$104,"No Throw","Recovery/Easy Catch"),IF(OR($N74=0,$N74=4),"Recovery/Easy Catch",IF($N74=1,IF($R74&gt;75,"Long Toss","Recovery/Easy Catch"),IF($N74=3,IF($O74&lt;0.5,IF($S74&gt;75,"Long Toss","Recovery/Easy Catch"),"Compression/Pulldowns"),IF($S74&gt;75,"Long Toss","Recovery/Easy Catch"))))))))))))</f>
        <v>Long Toss</v>
      </c>
      <c r="U74" s="32">
        <f t="shared" si="18"/>
        <v>105</v>
      </c>
      <c r="V74" s="32">
        <f t="shared" si="19"/>
        <v>13</v>
      </c>
      <c r="W74" s="32">
        <f t="shared" si="20"/>
        <v>16</v>
      </c>
      <c r="X74" s="32">
        <f t="shared" si="21"/>
        <v>10</v>
      </c>
      <c r="Y74" s="32">
        <f t="shared" si="22"/>
        <v>14</v>
      </c>
      <c r="Z74" s="32">
        <f t="shared" si="23"/>
        <v>18</v>
      </c>
      <c r="AA74" s="32" t="str">
        <f t="shared" si="24"/>
        <v/>
      </c>
      <c r="AB74" s="32">
        <f>IF($A74="","",IF($T74="No Throw",0,IF($K74&lt;&gt;"",$K74,IF($AA74&lt;&gt;"",ROUND($AA74*$D$12*IF($C74=0,1,$G$10),0),MIN(IF($T74="Recovery/Easy Catch",Reference!$B$103,IF($T74="Long Toss",Reference!$B$106,Reference!$B$102)),MAX(Reference!$B$101,ROUND(MAX(0,$Q74-$AE74)/$AF74,0)))))))</f>
        <v>25</v>
      </c>
      <c r="AC74" s="32">
        <f t="shared" si="25"/>
        <v>0</v>
      </c>
      <c r="AD74" s="32" t="b">
        <f t="shared" si="26"/>
        <v>0</v>
      </c>
      <c r="AE74" s="32">
        <f>IF($X74=0,0,$X74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74+$Z74)/2,0),Reference!$A$17:$B$20,2,TRUE()))</f>
        <v>6</v>
      </c>
      <c r="AF74" s="32">
        <f>IF(OR($A74="",$U74="",$T74="No Throw"),0,$AM74*VLOOKUP(MAX(($V74+$W74)/2,0),Reference!$A$17:$B$20,2,TRUE()))</f>
        <v>0.83142857142857141</v>
      </c>
      <c r="AG74" s="32">
        <f>IF($AC74=0,0,$AC74*INDEX(Reference!$B$61:$B$62,MATCH("Bullpen",Reference!$A$61:$A$62,0))*VLOOKUP(MAX($D$5-($D$9+$E$9)/2,0),Reference!$A$17:$B$20,2,TRUE()))</f>
        <v>0</v>
      </c>
      <c r="AH74" s="46">
        <f t="shared" si="27"/>
        <v>1.1906113907584415</v>
      </c>
      <c r="AI74" s="32">
        <f>IF($A74="",NA(),Reference!$A$25)</f>
        <v>0.8</v>
      </c>
      <c r="AJ74" s="32">
        <f t="shared" si="28"/>
        <v>1.3</v>
      </c>
      <c r="AK74" s="56">
        <f>IF(OR($A74="",N($C74)&lt;=7,$T74="No Throw",$J74="x"),0,INDEX(Reference!$B$108:$B$114,$N74+1))</f>
        <v>0.24</v>
      </c>
      <c r="AL74" s="32">
        <f t="shared" si="29"/>
        <v>2</v>
      </c>
      <c r="AM74" s="32">
        <f>IF($U74="",0,IF($AL74&gt;1,((IF(1&lt;=$AL74,($AL74-1+3)*(INDEX(Reference!$B$6:$B$11,MIN(5,MATCH(MAX(Reference!$A$6,MIN(Reference!$A$11,MIN($U74,90))),Reference!$A$6:$A$11,1)))+(MAX(Reference!$A$6,MIN(Reference!$A$11,MIN($U74,90)))-INDEX(Reference!$A$6:$A$11,MIN(5,MATCH(MAX(Reference!$A$6,MIN(Reference!$A$11,MIN($U74,90))),Reference!$A$6:$A$11,1))))*(INDEX(Reference!$B$6:$B$11,MIN(5,MATCH(MAX(Reference!$A$6,MIN(Reference!$A$11,MIN($U74,90))),Reference!$A$6:$A$11,1))+1)-INDEX(Reference!$B$6:$B$11,MIN(5,MATCH(MAX(Reference!$A$6,MIN(Reference!$A$11,MIN($U74,90))),Reference!$A$6:$A$11,1))))/(INDEX(Reference!$A$6:$A$11,MIN(5,MATCH(MAX(Reference!$A$6,MIN(Reference!$A$11,MIN($U74,90))),Reference!$A$6:$A$11,1))+1)-INDEX(Reference!$A$6:$A$11,MIN(5,MATCH(MAX(Reference!$A$6,MIN(Reference!$A$11,MIN($U74,90))),Reference!$A$6:$A$11,1))))),0)+IF(2&lt;=$AL74,($AL74-2+3)*(INDEX(Reference!$B$6:$B$11,MIN(5,MATCH(MAX(Reference!$A$6,MIN(Reference!$A$11,MIN($U74,120))),Reference!$A$6:$A$11,1)))+(MAX(Reference!$A$6,MIN(Reference!$A$11,MIN($U74,120)))-INDEX(Reference!$A$6:$A$11,MIN(5,MATCH(MAX(Reference!$A$6,MIN(Reference!$A$11,MIN($U74,120))),Reference!$A$6:$A$11,1))))*(INDEX(Reference!$B$6:$B$11,MIN(5,MATCH(MAX(Reference!$A$6,MIN(Reference!$A$11,MIN($U74,120))),Reference!$A$6:$A$11,1))+1)-INDEX(Reference!$B$6:$B$11,MIN(5,MATCH(MAX(Reference!$A$6,MIN(Reference!$A$11,MIN($U74,120))),Reference!$A$6:$A$11,1))))/(INDEX(Reference!$A$6:$A$11,MIN(5,MATCH(MAX(Reference!$A$6,MIN(Reference!$A$11,MIN($U74,120))),Reference!$A$6:$A$11,1))+1)-INDEX(Reference!$A$6:$A$11,MIN(5,MATCH(MAX(Reference!$A$6,MIN(Reference!$A$11,MIN($U74,120))),Reference!$A$6:$A$11,1))))),0)+IF(3&lt;=$AL74,($AL74-3+3)*(INDEX(Reference!$B$6:$B$11,MIN(5,MATCH(MAX(Reference!$A$6,MIN(Reference!$A$11,MIN($U74,150))),Reference!$A$6:$A$11,1)))+(MAX(Reference!$A$6,MIN(Reference!$A$11,MIN($U74,150)))-INDEX(Reference!$A$6:$A$11,MIN(5,MATCH(MAX(Reference!$A$6,MIN(Reference!$A$11,MIN($U74,150))),Reference!$A$6:$A$11,1))))*(INDEX(Reference!$B$6:$B$11,MIN(5,MATCH(MAX(Reference!$A$6,MIN(Reference!$A$11,MIN($U74,150))),Reference!$A$6:$A$11,1))+1)-INDEX(Reference!$B$6:$B$11,MIN(5,MATCH(MAX(Reference!$A$6,MIN(Reference!$A$11,MIN($U74,150))),Reference!$A$6:$A$11,1))))/(INDEX(Reference!$A$6:$A$11,MIN(5,MATCH(MAX(Reference!$A$6,MIN(Reference!$A$11,MIN($U74,150))),Reference!$A$6:$A$11,1))+1)-INDEX(Reference!$A$6:$A$11,MIN(5,MATCH(MAX(Reference!$A$6,MIN(Reference!$A$11,MIN($U74,150))),Reference!$A$6:$A$11,1))))),0)+IF(4&lt;=$AL74,($AL74-4+3)*(INDEX(Reference!$B$6:$B$11,MIN(5,MATCH(MAX(Reference!$A$6,MIN(Reference!$A$11,MIN($U74,180))),Reference!$A$6:$A$11,1)))+(MAX(Reference!$A$6,MIN(Reference!$A$11,MIN($U74,180)))-INDEX(Reference!$A$6:$A$11,MIN(5,MATCH(MAX(Reference!$A$6,MIN(Reference!$A$11,MIN($U74,180))),Reference!$A$6:$A$11,1))))*(INDEX(Reference!$B$6:$B$11,MIN(5,MATCH(MAX(Reference!$A$6,MIN(Reference!$A$11,MIN($U74,180))),Reference!$A$6:$A$11,1))+1)-INDEX(Reference!$B$6:$B$11,MIN(5,MATCH(MAX(Reference!$A$6,MIN(Reference!$A$11,MIN($U74,180))),Reference!$A$6:$A$11,1))))/(INDEX(Reference!$A$6:$A$11,MIN(5,MATCH(MAX(Reference!$A$6,MIN(Reference!$A$11,MIN($U74,180))),Reference!$A$6:$A$11,1))+1)-INDEX(Reference!$A$6:$A$11,MIN(5,MATCH(MAX(Reference!$A$6,MIN(Reference!$A$11,MIN($U74,180))),Reference!$A$6:$A$11,1))))),0)+IF(5&lt;=$AL74,($AL74-5+3)*(INDEX(Reference!$B$6:$B$11,MIN(5,MATCH(MAX(Reference!$A$6,MIN(Reference!$A$11,MIN($U74,210))),Reference!$A$6:$A$11,1)))+(MAX(Reference!$A$6,MIN(Reference!$A$11,MIN($U74,210)))-INDEX(Reference!$A$6:$A$11,MIN(5,MATCH(MAX(Reference!$A$6,MIN(Reference!$A$11,MIN($U74,210))),Reference!$A$6:$A$11,1))))*(INDEX(Reference!$B$6:$B$11,MIN(5,MATCH(MAX(Reference!$A$6,MIN(Reference!$A$11,MIN($U74,210))),Reference!$A$6:$A$11,1))+1)-INDEX(Reference!$B$6:$B$11,MIN(5,MATCH(MAX(Reference!$A$6,MIN(Reference!$A$11,MIN($U74,210))),Reference!$A$6:$A$11,1))))/(INDEX(Reference!$A$6:$A$11,MIN(5,MATCH(MAX(Reference!$A$6,MIN(Reference!$A$11,MIN($U74,210))),Reference!$A$6:$A$11,1))+1)-INDEX(Reference!$A$6:$A$11,MIN(5,MATCH(MAX(Reference!$A$6,MIN(Reference!$A$11,MIN($U74,210))),Reference!$A$6:$A$11,1))))),0)+IF(6&lt;=$AL74,($AL74-6+3)*(INDEX(Reference!$B$6:$B$11,MIN(5,MATCH(MAX(Reference!$A$6,MIN(Reference!$A$11,MIN($U74,240))),Reference!$A$6:$A$11,1)))+(MAX(Reference!$A$6,MIN(Reference!$A$11,MIN($U74,240)))-INDEX(Reference!$A$6:$A$11,MIN(5,MATCH(MAX(Reference!$A$6,MIN(Reference!$A$11,MIN($U74,240))),Reference!$A$6:$A$11,1))))*(INDEX(Reference!$B$6:$B$11,MIN(5,MATCH(MAX(Reference!$A$6,MIN(Reference!$A$11,MIN($U74,240))),Reference!$A$6:$A$11,1))+1)-INDEX(Reference!$B$6:$B$11,MIN(5,MATCH(MAX(Reference!$A$6,MIN(Reference!$A$11,MIN($U74,240))),Reference!$A$6:$A$11,1))))/(INDEX(Reference!$A$6:$A$11,MIN(5,MATCH(MAX(Reference!$A$6,MIN(Reference!$A$11,MIN($U74,240))),Reference!$A$6:$A$11,1))+1)-INDEX(Reference!$A$6:$A$11,MIN(5,MATCH(MAX(Reference!$A$6,MIN(Reference!$A$11,MIN($U74,240))),Reference!$A$6:$A$11,1))))),0)+IF(7&lt;=$AL74,($AL74-7+3)*(INDEX(Reference!$B$6:$B$11,MIN(5,MATCH(MAX(Reference!$A$6,MIN(Reference!$A$11,MIN($U74,270))),Reference!$A$6:$A$11,1)))+(MAX(Reference!$A$6,MIN(Reference!$A$11,MIN($U74,270)))-INDEX(Reference!$A$6:$A$11,MIN(5,MATCH(MAX(Reference!$A$6,MIN(Reference!$A$11,MIN($U74,270))),Reference!$A$6:$A$11,1))))*(INDEX(Reference!$B$6:$B$11,MIN(5,MATCH(MAX(Reference!$A$6,MIN(Reference!$A$11,MIN($U74,270))),Reference!$A$6:$A$11,1))+1)-INDEX(Reference!$B$6:$B$11,MIN(5,MATCH(MAX(Reference!$A$6,MIN(Reference!$A$11,MIN($U74,270))),Reference!$A$6:$A$11,1))))/(INDEX(Reference!$A$6:$A$11,MIN(5,MATCH(MAX(Reference!$A$6,MIN(Reference!$A$11,MIN($U74,270))),Reference!$A$6:$A$11,1))+1)-INDEX(Reference!$A$6:$A$11,MIN(5,MATCH(MAX(Reference!$A$6,MIN(Reference!$A$11,MIN($U74,270))),Reference!$A$6:$A$11,1))))),0)+IF(8&lt;=$AL74,($AL74-8+3)*(INDEX(Reference!$B$6:$B$11,MIN(5,MATCH(MAX(Reference!$A$6,MIN(Reference!$A$11,MIN($U74,300))),Reference!$A$6:$A$11,1)))+(MAX(Reference!$A$6,MIN(Reference!$A$11,MIN($U74,300)))-INDEX(Reference!$A$6:$A$11,MIN(5,MATCH(MAX(Reference!$A$6,MIN(Reference!$A$11,MIN($U74,300))),Reference!$A$6:$A$11,1))))*(INDEX(Reference!$B$6:$B$11,MIN(5,MATCH(MAX(Reference!$A$6,MIN(Reference!$A$11,MIN($U74,300))),Reference!$A$6:$A$11,1))+1)-INDEX(Reference!$B$6:$B$11,MIN(5,MATCH(MAX(Reference!$A$6,MIN(Reference!$A$11,MIN($U74,300))),Reference!$A$6:$A$11,1))))/(INDEX(Reference!$A$6:$A$11,MIN(5,MATCH(MAX(Reference!$A$6,MIN(Reference!$A$11,MIN($U74,300))),Reference!$A$6:$A$11,1))+1)-INDEX(Reference!$A$6:$A$11,MIN(5,MATCH(MAX(Reference!$A$6,MIN(Reference!$A$11,MIN($U74,300))),Reference!$A$6:$A$11,1))))),0))/($AL74*($AL74+5)/2)),$AN74))</f>
        <v>1.3857142857142857</v>
      </c>
      <c r="AN74" s="32">
        <f>IF($U74="",0,(INDEX(Reference!$B$6:$B$11,MIN(5,MATCH(MAX(Reference!$A$6,MIN(Reference!$A$11,$U74)),Reference!$A$6:$A$11,1)))+(MAX(Reference!$A$6,MIN(Reference!$A$11,$U74))-INDEX(Reference!$A$6:$A$11,MIN(5,MATCH(MAX(Reference!$A$6,MIN(Reference!$A$11,$U74)),Reference!$A$6:$A$11,1))))*(INDEX(Reference!$B$6:$B$11,MIN(5,MATCH(MAX(Reference!$A$6,MIN(Reference!$A$11,$U74)),Reference!$A$6:$A$11,1))+1)-INDEX(Reference!$B$6:$B$11,MIN(5,MATCH(MAX(Reference!$A$6,MIN(Reference!$A$11,$U74)),Reference!$A$6:$A$11,1))))/(INDEX(Reference!$A$6:$A$11,MIN(5,MATCH(MAX(Reference!$A$6,MIN(Reference!$A$11,$U74)),Reference!$A$6:$A$11,1))+1)-INDEX(Reference!$A$6:$A$11,MIN(5,MATCH(MAX(Reference!$A$6,MIN(Reference!$A$11,$U74)),Reference!$A$6:$A$11,1))))))</f>
        <v>1.5</v>
      </c>
      <c r="AO74" s="37"/>
      <c r="AP74" s="37"/>
      <c r="AQ74" s="37"/>
    </row>
    <row r="75" spans="1:43" x14ac:dyDescent="0.3">
      <c r="A75" s="48">
        <f t="shared" ref="A75:A106" si="30">IFERROR(IF($L75&gt;$G$4,"",$D$6+$L75),"")</f>
        <v>46339</v>
      </c>
      <c r="B75" s="32" t="str">
        <f t="shared" ref="B75:B106" si="31">IF($A75="","",TEXT($A75,"ddd"))</f>
        <v>Fri</v>
      </c>
      <c r="C75" s="32">
        <f t="shared" ref="C75:C106" si="32">IF($A75="","",$G$4-$L75)</f>
        <v>52</v>
      </c>
      <c r="D75" s="32" t="str">
        <f t="shared" ref="D75:D106" si="33">IF($A75="","",IF($C75=0,"First Bullpen",IF($C75&lt;=7,"Taper",IF($O75&lt;0.2,"Re-entry",IF($O75&lt;0.45,"Base",IF($O75&lt;0.65,"Extension","Flat Ground / Intent"))))))</f>
        <v>Base</v>
      </c>
      <c r="E75" s="32" t="str">
        <f t="shared" ref="E75:E106" si="34">IF($A75="","",IF($AD75,"No Throw",IF($C75=0,"High Bullpen",IF($C75=6,"High Non-Bullpen",IF(OR($C75=4,$C75=2),"Medium",IF($T75="Recovery/Easy Catch","Low",IF($N75=1,IF($O75&lt;0.4,"Low",IF($O75&lt;0.7,"Medium","High Non-Bullpen")),IF($N75=3,IF($O75&lt;0.5,"Medium","High Non-Bullpen"),IF($O75&lt;0.62,"Medium","High Non-Bullpen")))))))))</f>
        <v>Low</v>
      </c>
      <c r="F75" s="32" t="str">
        <f t="shared" ref="F75:F106" si="35">IF($A75="","",IF($AD75,"No Throw",$T75))</f>
        <v>Recovery/Easy Catch</v>
      </c>
      <c r="G75" s="47" t="str">
        <f t="shared" ref="G75:G106" si="36">IF($A75="","",IF($AD75,"Off",IF($AL75&gt;1,"Long toss out to "&amp;$U75&amp;" ft — "&amp;$AB75&amp;" throws ("&amp;IF(1&lt;=$AL75,MIN($U75,90)&amp;"×"&amp;(ROUND($AB75*(1*($AL75+3)-1)/($AL75*($AL75+5)/2),0)-0),"")&amp;IF(2&lt;=$AL75," · "&amp;MIN($U75,120)&amp;"×"&amp;(ROUND($AB75*(2*($AL75+3)-3)/($AL75*($AL75+5)/2),0)-ROUND($AB75*(1*($AL75+3)-1)/($AL75*($AL75+5)/2),0)),"")&amp;IF(3&lt;=$AL75," · "&amp;MIN($U75,150)&amp;"×"&amp;(ROUND($AB75*(3*($AL75+3)-6)/($AL75*($AL75+5)/2),0)-ROUND($AB75*(2*($AL75+3)-3)/($AL75*($AL75+5)/2),0)),"")&amp;IF(4&lt;=$AL75," · "&amp;MIN($U75,180)&amp;"×"&amp;(ROUND($AB75*(4*($AL75+3)-10)/($AL75*($AL75+5)/2),0)-ROUND($AB75*(3*($AL75+3)-6)/($AL75*($AL75+5)/2),0)),"")&amp;IF(5&lt;=$AL75," · "&amp;MIN($U75,210)&amp;"×"&amp;(ROUND($AB75*(5*($AL75+3)-15)/($AL75*($AL75+5)/2),0)-ROUND($AB75*(4*($AL75+3)-10)/($AL75*($AL75+5)/2),0)),"")&amp;IF(6&lt;=$AL75," · "&amp;MIN($U75,240)&amp;"×"&amp;(ROUND($AB75*(6*($AL75+3)-21)/($AL75*($AL75+5)/2),0)-ROUND($AB75*(5*($AL75+3)-15)/($AL75*($AL75+5)/2),0)),"")&amp;IF(7&lt;=$AL75," · "&amp;MIN($U75,270)&amp;"×"&amp;(ROUND($AB75*(7*($AL75+3)-28)/($AL75*($AL75+5)/2),0)-ROUND($AB75*(6*($AL75+3)-21)/($AL75*($AL75+5)/2),0)),"")&amp;IF(8&lt;=$AL75," · "&amp;MIN($U75,300)&amp;"×"&amp;(ROUND($AB75*(8*($AL75+3)-36)/($AL75*($AL75+5)/2),0)-ROUND($AB75*(7*($AL75+3)-28)/($AL75*($AL75+5)/2),0)),"")&amp;")",$U75&amp;" ft × "&amp;$AB75)&amp;" @ "&amp;ROUND($D$5-$W75,0)&amp;"–"&amp;ROUND($D$5-$V75,0)&amp;" mph"&amp;IF($X75&gt;0,IF($Y75&lt;10," + flat ground at 60 ft × "," + 60 ft × ")&amp;$X75&amp;" @ "&amp;ROUND($D$5-$Z75,0)&amp;"–"&amp;ROUND($D$5-$Y75,0)&amp;" mph","")&amp;IF($AC75&gt;0," + MOUND × "&amp;$AC75&amp;" pitches @ "&amp;$D$9&amp;"–"&amp;$E$9&amp;" mph","")))</f>
        <v>60 ft × 20 @ 67–71 mph</v>
      </c>
      <c r="H75" s="30">
        <f t="shared" ref="H75:H106" si="37">IF($A75="","",IF($AD75,0,$AB75*$AF75+$AE75+$AG75))</f>
        <v>12</v>
      </c>
      <c r="I75" s="46">
        <f>IF($A75="","",IF(AND($L75&lt;27,$K$12=0),"Building",IFERROR(((SUM($H$69:$H75)+$K$12*IF($L75&lt;6,SUMIFS('Throw Log'!$Q$5:$Q$300,'Throw Log'!$B$5:$B$300,$D$4,'Throw Log'!$A$5:$A$300,"&gt;="&amp;($D$6+$L75-6),'Throw Log'!$A$5:$A$300,"&lt;="&amp;($D$6-1)),0))/7)/((SUM($H$48:$H75)+$K$12*IF($L75&lt;27,SUMIFS('Throw Log'!$Q$5:$Q$300,'Throw Log'!$B$5:$B$300,$D$4,'Throw Log'!$A$5:$A$300,"&gt;="&amp;($D$6+$L75-27),'Throw Log'!$A$5:$A$300,"&lt;="&amp;($D$6-1)),0))/28),"")))</f>
        <v>1.1906113907584412</v>
      </c>
      <c r="J75" s="37"/>
      <c r="K75" s="37">
        <v>20</v>
      </c>
      <c r="L75" s="32">
        <v>32</v>
      </c>
      <c r="M75" s="32">
        <f t="shared" ref="M75:M106" si="38">INT($L75/7)+1</f>
        <v>5</v>
      </c>
      <c r="N75" s="32">
        <f t="shared" ref="N75:N106" si="39">MOD($L75,7)</f>
        <v>4</v>
      </c>
      <c r="O75" s="32">
        <f t="shared" ref="O75:O106" si="40">MIN(1,$G$7+(1-$G$7)*$L75/MAX(1,N($G$4)-8))</f>
        <v>0.42105263157894735</v>
      </c>
      <c r="P75" s="32">
        <f>IF(OR($A75="",N($C75)&lt;=7),"",$G$6*$G$9^($M75-1)*IF(AND(MOD($M75,Reference!$B$99)=0,$M75&lt;=$G$5-2),Reference!$B$100,1))</f>
        <v>128.18680745325557</v>
      </c>
      <c r="Q75" s="32">
        <f>IF($P75="","",IF(SUM($AK$71:$AK$77)=0,0,$P75*INDEX(Reference!$B$108:$B$114,$N75+1)/SUM($AK$71:$AK$77)))</f>
        <v>12.818680745325558</v>
      </c>
      <c r="R75" s="32">
        <f t="shared" ref="R75:R106" si="41">ROUND((60+($D$11-60)*MIN(1,$O75/0.75))/15,0)*15</f>
        <v>120</v>
      </c>
      <c r="S75" s="32">
        <f t="shared" ref="S75:S106" si="42">ROUND((60+($R75-60)*0.8)/15,0)*15</f>
        <v>105</v>
      </c>
      <c r="T75" s="32" t="str">
        <f>IF($A75="","",IF($C75=0,"Bullpen",IF(OR($C75=7,$C75=1,$C75=5),"Recovery/Easy Catch",IF($C75=6,"Compression/Pulldowns",IF(OR($C75=4,$C75=2),"Long Toss",IF($C75=3,"No Throw",IF($N75=2,"No Throw",IF($N75=6,IF($O75&lt;Reference!$B$104,"No Throw","Recovery/Easy Catch"),IF(OR($N75=0,$N75=4),"Recovery/Easy Catch",IF($N75=1,IF($R75&gt;75,"Long Toss","Recovery/Easy Catch"),IF($N75=3,IF($O75&lt;0.5,IF($S75&gt;75,"Long Toss","Recovery/Easy Catch"),"Compression/Pulldowns"),IF($S75&gt;75,"Long Toss","Recovery/Easy Catch"))))))))))))</f>
        <v>Recovery/Easy Catch</v>
      </c>
      <c r="U75" s="32">
        <f t="shared" ref="U75:U106" si="43">IF($A75="","",IF(N($AO75)&gt;0,$AO75,IF($C75=0,90,IF(OR($C75=7,$C75=1),75,IF($C75=6,90,IF($C75=5,60,IF($C75=4,MIN(150,ROUND(0.75*$D$11/15,0)*15),IF($C75=2,MIN(120,ROUND(0.67*$D$11/15,0)*15),IF($C75=3,"",IF($N75=2,"",IF($N75=6,60,IF($N75=0,IF($O75&lt;0.25,60,75),IF($N75=4,IF($O75&lt;0.5,60,75),IF($N75=1,$R75,IF($N75=3,IF($O75&lt;0.5,$S75,90),$S75)))))))))))))))</f>
        <v>60</v>
      </c>
      <c r="V75" s="32">
        <f t="shared" ref="V75:V106" si="44">IF($A75="","",IF(N($AQ75)&gt;0,$D$5-$AQ75,IF(N($AP75)&gt;0,$D$5-$AP75,IF($C75=0,10,IF(OR($C75=7,$C75=1),18,IF($C75=6,7,IF($C75=5,20,IF(OR($C75=4,$C75=2),10,IF($C75=3,"",IF($N75=2,"",IF($N75=6,20,IF($N75=0,IF($O75&lt;0.25,20,18),IF($N75=4,IF($O75&lt;0.5,20,18),IF($N75=1,IF($O75&lt;0.25,18,IF($O75&lt;0.5,13,10)),IF($N75=3,IF($O75&lt;0.5,IF($O75&lt;0.25,18,13),7),IF($O75&lt;0.25,18,IF($O75&lt;0.5,12,10)))))))))))))))))</f>
        <v>20</v>
      </c>
      <c r="W75" s="32">
        <f t="shared" ref="W75:W106" si="45">IF($A75="","",IF(N($AP75)&gt;0,$D$5-$AP75,IF(N($AQ75)&gt;0,$D$5-$AQ75,IF($C75=0,12,IF(OR($C75=7,$C75=1),22,IF($C75=6,9,IF($C75=5,24,IF(OR($C75=4,$C75=2),13,IF($C75=3,"",IF($N75=2,"",IF($N75=6,24,IF($N75=0,IF($O75&lt;0.25,24,22),IF($N75=4,IF($O75&lt;0.5,24,22),IF($N75=1,IF($O75&lt;0.25,22,IF($O75&lt;0.5,16,12)),IF($N75=3,IF($O75&lt;0.5,IF($O75&lt;0.25,22,16),9),IF($O75&lt;0.25,22,IF($O75&lt;0.5,15,13)))))))))))))))))</f>
        <v>24</v>
      </c>
      <c r="X75" s="32">
        <f t="shared" ref="X75:X106" si="46">IF($A75="",0,IF($C75=6,ROUND(25*$G$10,0),IF(OR($C75=4,$C75=2),ROUND(15*$G$10,0),IF($C75&lt;=7,0,IF($N75=1,IF($O75&lt;0.2,0,IF($O75&lt;0.5,10,15)),IF($N75=3,IF($O75&lt;0.5,IF($O75&lt;0.2,0,10),IF($O75&lt;0.62,15,IF($O75&lt;0.8,20,25))),IF($N75=5,IF($O75&lt;0.2,0,IF($O75&lt;0.62,12,IF($O75&lt;0.8,20,25))),0)))))))</f>
        <v>0</v>
      </c>
      <c r="Y75" s="32" t="str">
        <f t="shared" ref="Y75:Y106" si="47">IF($X75=0,"",IF($C75=6,$D$5-$E$9,IF(OR($C75=4,$C75=2),8,IF($N75=1,IF($O75&lt;0.5,14,10),IF($N75=3,IF($O75&lt;0.5,14,IF($O75&lt;0.62,10,7)),IF($N75=5,IF($O75&lt;0.5,14,IF($O75&lt;0.62,12,7)),""))))))</f>
        <v/>
      </c>
      <c r="Z75" s="32" t="str">
        <f t="shared" ref="Z75:Z106" si="48">IF($X75=0,"",IF($C75=6,$D$5-$D$9,IF(OR($C75=4,$C75=2),10,IF($N75=1,IF($O75&lt;0.5,18,12),IF($N75=3,IF($O75&lt;0.5,18,IF($O75&lt;0.62,12,9)),IF($N75=5,IF($O75&lt;0.5,18,IF($O75&lt;0.62,15,9)),""))))))</f>
        <v/>
      </c>
      <c r="AA75" s="32" t="str">
        <f t="shared" ref="AA75:AA106" si="49">IF($A75="","",IF($C75=0,25,IF(OR($C75=7,$C75=1,$C75=5),30,IF($C75=6,25,IF(OR($C75=4,$C75=2),IF($AM75=0,30,30*$AN75/$AM75),"")))))</f>
        <v/>
      </c>
      <c r="AB75" s="32">
        <f>IF($A75="","",IF($T75="No Throw",0,IF($K75&lt;&gt;"",$K75,IF($AA75&lt;&gt;"",ROUND($AA75*$D$12*IF($C75=0,1,$G$10),0),MIN(IF($T75="Recovery/Easy Catch",Reference!$B$103,IF($T75="Long Toss",Reference!$B$106,Reference!$B$102)),MAX(Reference!$B$101,ROUND(MAX(0,$Q75-$AE75)/$AF75,0)))))))</f>
        <v>20</v>
      </c>
      <c r="AC75" s="32">
        <f t="shared" ref="AC75:AC106" si="50">IF($A75="",0,IF($C75=0,$D$8,0))</f>
        <v>0</v>
      </c>
      <c r="AD75" s="32" t="b">
        <f t="shared" ref="AD75:AD106" si="51">IF($A75="",TRUE(),OR($J75="x",$T75="No Throw"))</f>
        <v>0</v>
      </c>
      <c r="AE75" s="32">
        <f>IF($X75=0,0,$X75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75+$Z75)/2,0),Reference!$A$17:$B$20,2,TRUE()))</f>
        <v>0</v>
      </c>
      <c r="AF75" s="32">
        <f>IF(OR($A75="",$U75="",$T75="No Throw"),0,$AM75*VLOOKUP(MAX(($V75+$W75)/2,0),Reference!$A$17:$B$20,2,TRUE()))</f>
        <v>0.6</v>
      </c>
      <c r="AG75" s="32">
        <f>IF($AC75=0,0,$AC75*INDEX(Reference!$B$61:$B$62,MATCH("Bullpen",Reference!$A$61:$A$62,0))*VLOOKUP(MAX($D$5-($D$9+$E$9)/2,0),Reference!$A$17:$B$20,2,TRUE()))</f>
        <v>0</v>
      </c>
      <c r="AH75" s="46">
        <f t="shared" ref="AH75:AH106" si="52">IF(OR($A75="",$L75&lt;27),NA(),$I75)</f>
        <v>1.1906113907584412</v>
      </c>
      <c r="AI75" s="32">
        <f>IF($A75="",NA(),Reference!$A$25)</f>
        <v>0.8</v>
      </c>
      <c r="AJ75" s="32">
        <f t="shared" ref="AJ75:AJ106" si="53">IF($A75="",NA(),1.3)</f>
        <v>1.3</v>
      </c>
      <c r="AK75" s="56">
        <f>IF(OR($A75="",N($C75)&lt;=7,$T75="No Throw",$J75="x"),0,INDEX(Reference!$B$108:$B$114,$N75+1))</f>
        <v>0.1</v>
      </c>
      <c r="AL75" s="32">
        <f t="shared" ref="AL75:AL106" si="54">IF($U75="",1,IF(AND($T75="Long Toss",N($U75)&gt;90),1+ROUNDUP(($U75-90)/30,0),1))</f>
        <v>1</v>
      </c>
      <c r="AM75" s="32">
        <f>IF($U75="",0,IF($AL75&gt;1,((IF(1&lt;=$AL75,($AL75-1+3)*(INDEX(Reference!$B$6:$B$11,MIN(5,MATCH(MAX(Reference!$A$6,MIN(Reference!$A$11,MIN($U75,90))),Reference!$A$6:$A$11,1)))+(MAX(Reference!$A$6,MIN(Reference!$A$11,MIN($U75,90)))-INDEX(Reference!$A$6:$A$11,MIN(5,MATCH(MAX(Reference!$A$6,MIN(Reference!$A$11,MIN($U75,90))),Reference!$A$6:$A$11,1))))*(INDEX(Reference!$B$6:$B$11,MIN(5,MATCH(MAX(Reference!$A$6,MIN(Reference!$A$11,MIN($U75,90))),Reference!$A$6:$A$11,1))+1)-INDEX(Reference!$B$6:$B$11,MIN(5,MATCH(MAX(Reference!$A$6,MIN(Reference!$A$11,MIN($U75,90))),Reference!$A$6:$A$11,1))))/(INDEX(Reference!$A$6:$A$11,MIN(5,MATCH(MAX(Reference!$A$6,MIN(Reference!$A$11,MIN($U75,90))),Reference!$A$6:$A$11,1))+1)-INDEX(Reference!$A$6:$A$11,MIN(5,MATCH(MAX(Reference!$A$6,MIN(Reference!$A$11,MIN($U75,90))),Reference!$A$6:$A$11,1))))),0)+IF(2&lt;=$AL75,($AL75-2+3)*(INDEX(Reference!$B$6:$B$11,MIN(5,MATCH(MAX(Reference!$A$6,MIN(Reference!$A$11,MIN($U75,120))),Reference!$A$6:$A$11,1)))+(MAX(Reference!$A$6,MIN(Reference!$A$11,MIN($U75,120)))-INDEX(Reference!$A$6:$A$11,MIN(5,MATCH(MAX(Reference!$A$6,MIN(Reference!$A$11,MIN($U75,120))),Reference!$A$6:$A$11,1))))*(INDEX(Reference!$B$6:$B$11,MIN(5,MATCH(MAX(Reference!$A$6,MIN(Reference!$A$11,MIN($U75,120))),Reference!$A$6:$A$11,1))+1)-INDEX(Reference!$B$6:$B$11,MIN(5,MATCH(MAX(Reference!$A$6,MIN(Reference!$A$11,MIN($U75,120))),Reference!$A$6:$A$11,1))))/(INDEX(Reference!$A$6:$A$11,MIN(5,MATCH(MAX(Reference!$A$6,MIN(Reference!$A$11,MIN($U75,120))),Reference!$A$6:$A$11,1))+1)-INDEX(Reference!$A$6:$A$11,MIN(5,MATCH(MAX(Reference!$A$6,MIN(Reference!$A$11,MIN($U75,120))),Reference!$A$6:$A$11,1))))),0)+IF(3&lt;=$AL75,($AL75-3+3)*(INDEX(Reference!$B$6:$B$11,MIN(5,MATCH(MAX(Reference!$A$6,MIN(Reference!$A$11,MIN($U75,150))),Reference!$A$6:$A$11,1)))+(MAX(Reference!$A$6,MIN(Reference!$A$11,MIN($U75,150)))-INDEX(Reference!$A$6:$A$11,MIN(5,MATCH(MAX(Reference!$A$6,MIN(Reference!$A$11,MIN($U75,150))),Reference!$A$6:$A$11,1))))*(INDEX(Reference!$B$6:$B$11,MIN(5,MATCH(MAX(Reference!$A$6,MIN(Reference!$A$11,MIN($U75,150))),Reference!$A$6:$A$11,1))+1)-INDEX(Reference!$B$6:$B$11,MIN(5,MATCH(MAX(Reference!$A$6,MIN(Reference!$A$11,MIN($U75,150))),Reference!$A$6:$A$11,1))))/(INDEX(Reference!$A$6:$A$11,MIN(5,MATCH(MAX(Reference!$A$6,MIN(Reference!$A$11,MIN($U75,150))),Reference!$A$6:$A$11,1))+1)-INDEX(Reference!$A$6:$A$11,MIN(5,MATCH(MAX(Reference!$A$6,MIN(Reference!$A$11,MIN($U75,150))),Reference!$A$6:$A$11,1))))),0)+IF(4&lt;=$AL75,($AL75-4+3)*(INDEX(Reference!$B$6:$B$11,MIN(5,MATCH(MAX(Reference!$A$6,MIN(Reference!$A$11,MIN($U75,180))),Reference!$A$6:$A$11,1)))+(MAX(Reference!$A$6,MIN(Reference!$A$11,MIN($U75,180)))-INDEX(Reference!$A$6:$A$11,MIN(5,MATCH(MAX(Reference!$A$6,MIN(Reference!$A$11,MIN($U75,180))),Reference!$A$6:$A$11,1))))*(INDEX(Reference!$B$6:$B$11,MIN(5,MATCH(MAX(Reference!$A$6,MIN(Reference!$A$11,MIN($U75,180))),Reference!$A$6:$A$11,1))+1)-INDEX(Reference!$B$6:$B$11,MIN(5,MATCH(MAX(Reference!$A$6,MIN(Reference!$A$11,MIN($U75,180))),Reference!$A$6:$A$11,1))))/(INDEX(Reference!$A$6:$A$11,MIN(5,MATCH(MAX(Reference!$A$6,MIN(Reference!$A$11,MIN($U75,180))),Reference!$A$6:$A$11,1))+1)-INDEX(Reference!$A$6:$A$11,MIN(5,MATCH(MAX(Reference!$A$6,MIN(Reference!$A$11,MIN($U75,180))),Reference!$A$6:$A$11,1))))),0)+IF(5&lt;=$AL75,($AL75-5+3)*(INDEX(Reference!$B$6:$B$11,MIN(5,MATCH(MAX(Reference!$A$6,MIN(Reference!$A$11,MIN($U75,210))),Reference!$A$6:$A$11,1)))+(MAX(Reference!$A$6,MIN(Reference!$A$11,MIN($U75,210)))-INDEX(Reference!$A$6:$A$11,MIN(5,MATCH(MAX(Reference!$A$6,MIN(Reference!$A$11,MIN($U75,210))),Reference!$A$6:$A$11,1))))*(INDEX(Reference!$B$6:$B$11,MIN(5,MATCH(MAX(Reference!$A$6,MIN(Reference!$A$11,MIN($U75,210))),Reference!$A$6:$A$11,1))+1)-INDEX(Reference!$B$6:$B$11,MIN(5,MATCH(MAX(Reference!$A$6,MIN(Reference!$A$11,MIN($U75,210))),Reference!$A$6:$A$11,1))))/(INDEX(Reference!$A$6:$A$11,MIN(5,MATCH(MAX(Reference!$A$6,MIN(Reference!$A$11,MIN($U75,210))),Reference!$A$6:$A$11,1))+1)-INDEX(Reference!$A$6:$A$11,MIN(5,MATCH(MAX(Reference!$A$6,MIN(Reference!$A$11,MIN($U75,210))),Reference!$A$6:$A$11,1))))),0)+IF(6&lt;=$AL75,($AL75-6+3)*(INDEX(Reference!$B$6:$B$11,MIN(5,MATCH(MAX(Reference!$A$6,MIN(Reference!$A$11,MIN($U75,240))),Reference!$A$6:$A$11,1)))+(MAX(Reference!$A$6,MIN(Reference!$A$11,MIN($U75,240)))-INDEX(Reference!$A$6:$A$11,MIN(5,MATCH(MAX(Reference!$A$6,MIN(Reference!$A$11,MIN($U75,240))),Reference!$A$6:$A$11,1))))*(INDEX(Reference!$B$6:$B$11,MIN(5,MATCH(MAX(Reference!$A$6,MIN(Reference!$A$11,MIN($U75,240))),Reference!$A$6:$A$11,1))+1)-INDEX(Reference!$B$6:$B$11,MIN(5,MATCH(MAX(Reference!$A$6,MIN(Reference!$A$11,MIN($U75,240))),Reference!$A$6:$A$11,1))))/(INDEX(Reference!$A$6:$A$11,MIN(5,MATCH(MAX(Reference!$A$6,MIN(Reference!$A$11,MIN($U75,240))),Reference!$A$6:$A$11,1))+1)-INDEX(Reference!$A$6:$A$11,MIN(5,MATCH(MAX(Reference!$A$6,MIN(Reference!$A$11,MIN($U75,240))),Reference!$A$6:$A$11,1))))),0)+IF(7&lt;=$AL75,($AL75-7+3)*(INDEX(Reference!$B$6:$B$11,MIN(5,MATCH(MAX(Reference!$A$6,MIN(Reference!$A$11,MIN($U75,270))),Reference!$A$6:$A$11,1)))+(MAX(Reference!$A$6,MIN(Reference!$A$11,MIN($U75,270)))-INDEX(Reference!$A$6:$A$11,MIN(5,MATCH(MAX(Reference!$A$6,MIN(Reference!$A$11,MIN($U75,270))),Reference!$A$6:$A$11,1))))*(INDEX(Reference!$B$6:$B$11,MIN(5,MATCH(MAX(Reference!$A$6,MIN(Reference!$A$11,MIN($U75,270))),Reference!$A$6:$A$11,1))+1)-INDEX(Reference!$B$6:$B$11,MIN(5,MATCH(MAX(Reference!$A$6,MIN(Reference!$A$11,MIN($U75,270))),Reference!$A$6:$A$11,1))))/(INDEX(Reference!$A$6:$A$11,MIN(5,MATCH(MAX(Reference!$A$6,MIN(Reference!$A$11,MIN($U75,270))),Reference!$A$6:$A$11,1))+1)-INDEX(Reference!$A$6:$A$11,MIN(5,MATCH(MAX(Reference!$A$6,MIN(Reference!$A$11,MIN($U75,270))),Reference!$A$6:$A$11,1))))),0)+IF(8&lt;=$AL75,($AL75-8+3)*(INDEX(Reference!$B$6:$B$11,MIN(5,MATCH(MAX(Reference!$A$6,MIN(Reference!$A$11,MIN($U75,300))),Reference!$A$6:$A$11,1)))+(MAX(Reference!$A$6,MIN(Reference!$A$11,MIN($U75,300)))-INDEX(Reference!$A$6:$A$11,MIN(5,MATCH(MAX(Reference!$A$6,MIN(Reference!$A$11,MIN($U75,300))),Reference!$A$6:$A$11,1))))*(INDEX(Reference!$B$6:$B$11,MIN(5,MATCH(MAX(Reference!$A$6,MIN(Reference!$A$11,MIN($U75,300))),Reference!$A$6:$A$11,1))+1)-INDEX(Reference!$B$6:$B$11,MIN(5,MATCH(MAX(Reference!$A$6,MIN(Reference!$A$11,MIN($U75,300))),Reference!$A$6:$A$11,1))))/(INDEX(Reference!$A$6:$A$11,MIN(5,MATCH(MAX(Reference!$A$6,MIN(Reference!$A$11,MIN($U75,300))),Reference!$A$6:$A$11,1))+1)-INDEX(Reference!$A$6:$A$11,MIN(5,MATCH(MAX(Reference!$A$6,MIN(Reference!$A$11,MIN($U75,300))),Reference!$A$6:$A$11,1))))),0))/($AL75*($AL75+5)/2)),$AN75))</f>
        <v>1</v>
      </c>
      <c r="AN75" s="32">
        <f>IF($U75="",0,(INDEX(Reference!$B$6:$B$11,MIN(5,MATCH(MAX(Reference!$A$6,MIN(Reference!$A$11,$U75)),Reference!$A$6:$A$11,1)))+(MAX(Reference!$A$6,MIN(Reference!$A$11,$U75))-INDEX(Reference!$A$6:$A$11,MIN(5,MATCH(MAX(Reference!$A$6,MIN(Reference!$A$11,$U75)),Reference!$A$6:$A$11,1))))*(INDEX(Reference!$B$6:$B$11,MIN(5,MATCH(MAX(Reference!$A$6,MIN(Reference!$A$11,$U75)),Reference!$A$6:$A$11,1))+1)-INDEX(Reference!$B$6:$B$11,MIN(5,MATCH(MAX(Reference!$A$6,MIN(Reference!$A$11,$U75)),Reference!$A$6:$A$11,1))))/(INDEX(Reference!$A$6:$A$11,MIN(5,MATCH(MAX(Reference!$A$6,MIN(Reference!$A$11,$U75)),Reference!$A$6:$A$11,1))+1)-INDEX(Reference!$A$6:$A$11,MIN(5,MATCH(MAX(Reference!$A$6,MIN(Reference!$A$11,$U75)),Reference!$A$6:$A$11,1))))))</f>
        <v>1</v>
      </c>
      <c r="AO75" s="37"/>
      <c r="AP75" s="37"/>
      <c r="AQ75" s="37"/>
    </row>
    <row r="76" spans="1:43" ht="26.4" x14ac:dyDescent="0.3">
      <c r="A76" s="48">
        <f t="shared" si="30"/>
        <v>46340</v>
      </c>
      <c r="B76" s="32" t="str">
        <f t="shared" si="31"/>
        <v>Sat</v>
      </c>
      <c r="C76" s="32">
        <f t="shared" si="32"/>
        <v>51</v>
      </c>
      <c r="D76" s="32" t="str">
        <f t="shared" si="33"/>
        <v>Base</v>
      </c>
      <c r="E76" s="32" t="str">
        <f t="shared" si="34"/>
        <v>Medium</v>
      </c>
      <c r="F76" s="32" t="str">
        <f t="shared" si="35"/>
        <v>Long Toss</v>
      </c>
      <c r="G76" s="47" t="str">
        <f t="shared" si="36"/>
        <v>Long toss out to 120 ft — 25 throws (90×14 · 120×11) @ 76–79 mph + 60 ft × 12 @ 73–77 mph</v>
      </c>
      <c r="H76" s="30">
        <f t="shared" si="37"/>
        <v>29.271428571428572</v>
      </c>
      <c r="I76" s="46">
        <f>IF($A76="","",IF(AND($L76&lt;27,$K$12=0),"Building",IFERROR(((SUM($H$70:$H76)+$K$12*IF($L76&lt;6,SUMIFS('Throw Log'!$Q$5:$Q$300,'Throw Log'!$B$5:$B$300,$D$4,'Throw Log'!$A$5:$A$300,"&gt;="&amp;($D$6+$L76-6),'Throw Log'!$A$5:$A$300,"&lt;="&amp;($D$6-1)),0))/7)/((SUM($H$49:$H76)+$K$12*IF($L76&lt;27,SUMIFS('Throw Log'!$Q$5:$Q$300,'Throw Log'!$B$5:$B$300,$D$4,'Throw Log'!$A$5:$A$300,"&gt;="&amp;($D$6+$L76-27),'Throw Log'!$A$5:$A$300,"&lt;="&amp;($D$6-1)),0))/28),"")))</f>
        <v>1.1341208589279153</v>
      </c>
      <c r="J76" s="37"/>
      <c r="K76" s="37">
        <v>25</v>
      </c>
      <c r="L76" s="32">
        <v>33</v>
      </c>
      <c r="M76" s="32">
        <f t="shared" si="38"/>
        <v>5</v>
      </c>
      <c r="N76" s="32">
        <f t="shared" si="39"/>
        <v>5</v>
      </c>
      <c r="O76" s="32">
        <f t="shared" si="40"/>
        <v>0.43421052631578949</v>
      </c>
      <c r="P76" s="32">
        <f>IF(OR($A76="",N($C76)&lt;=7),"",$G$6*$G$9^($M76-1)*IF(AND(MOD($M76,Reference!$B$99)=0,$M76&lt;=$G$5-2),Reference!$B$100,1))</f>
        <v>128.18680745325557</v>
      </c>
      <c r="Q76" s="32">
        <f>IF($P76="","",IF(SUM($AK$71:$AK$77)=0,0,$P76*INDEX(Reference!$B$108:$B$114,$N76+1)/SUM($AK$71:$AK$77)))</f>
        <v>34.610438012379007</v>
      </c>
      <c r="R76" s="32">
        <f t="shared" si="41"/>
        <v>135</v>
      </c>
      <c r="S76" s="32">
        <f t="shared" si="42"/>
        <v>120</v>
      </c>
      <c r="T76" s="32" t="str">
        <f>IF($A76="","",IF($C76=0,"Bullpen",IF(OR($C76=7,$C76=1,$C76=5),"Recovery/Easy Catch",IF($C76=6,"Compression/Pulldowns",IF(OR($C76=4,$C76=2),"Long Toss",IF($C76=3,"No Throw",IF($N76=2,"No Throw",IF($N76=6,IF($O76&lt;Reference!$B$104,"No Throw","Recovery/Easy Catch"),IF(OR($N76=0,$N76=4),"Recovery/Easy Catch",IF($N76=1,IF($R76&gt;75,"Long Toss","Recovery/Easy Catch"),IF($N76=3,IF($O76&lt;0.5,IF($S76&gt;75,"Long Toss","Recovery/Easy Catch"),"Compression/Pulldowns"),IF($S76&gt;75,"Long Toss","Recovery/Easy Catch"))))))))))))</f>
        <v>Long Toss</v>
      </c>
      <c r="U76" s="32">
        <f t="shared" si="43"/>
        <v>120</v>
      </c>
      <c r="V76" s="32">
        <f t="shared" si="44"/>
        <v>12</v>
      </c>
      <c r="W76" s="32">
        <f t="shared" si="45"/>
        <v>15</v>
      </c>
      <c r="X76" s="32">
        <f t="shared" si="46"/>
        <v>12</v>
      </c>
      <c r="Y76" s="32">
        <f t="shared" si="47"/>
        <v>14</v>
      </c>
      <c r="Z76" s="32">
        <f t="shared" si="48"/>
        <v>18</v>
      </c>
      <c r="AA76" s="32" t="str">
        <f t="shared" si="49"/>
        <v/>
      </c>
      <c r="AB76" s="32">
        <f>IF($A76="","",IF($T76="No Throw",0,IF($K76&lt;&gt;"",$K76,IF($AA76&lt;&gt;"",ROUND($AA76*$D$12*IF($C76=0,1,$G$10),0),MIN(IF($T76="Recovery/Easy Catch",Reference!$B$103,IF($T76="Long Toss",Reference!$B$106,Reference!$B$102)),MAX(Reference!$B$101,ROUND(MAX(0,$Q76-$AE76)/$AF76,0)))))))</f>
        <v>25</v>
      </c>
      <c r="AC76" s="32">
        <f t="shared" si="50"/>
        <v>0</v>
      </c>
      <c r="AD76" s="32" t="b">
        <f t="shared" si="51"/>
        <v>0</v>
      </c>
      <c r="AE76" s="32">
        <f>IF($X76=0,0,$X76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76+$Z76)/2,0),Reference!$A$17:$B$20,2,TRUE()))</f>
        <v>7.1999999999999993</v>
      </c>
      <c r="AF76" s="32">
        <f>IF(OR($A76="",$U76="",$T76="No Throw"),0,$AM76*VLOOKUP(MAX(($V76+$W76)/2,0),Reference!$A$17:$B$20,2,TRUE()))</f>
        <v>0.8828571428571429</v>
      </c>
      <c r="AG76" s="32">
        <f>IF($AC76=0,0,$AC76*INDEX(Reference!$B$61:$B$62,MATCH("Bullpen",Reference!$A$61:$A$62,0))*VLOOKUP(MAX($D$5-($D$9+$E$9)/2,0),Reference!$A$17:$B$20,2,TRUE()))</f>
        <v>0</v>
      </c>
      <c r="AH76" s="46">
        <f t="shared" si="52"/>
        <v>1.1341208589279153</v>
      </c>
      <c r="AI76" s="32">
        <f>IF($A76="",NA(),Reference!$A$25)</f>
        <v>0.8</v>
      </c>
      <c r="AJ76" s="32">
        <f t="shared" si="53"/>
        <v>1.3</v>
      </c>
      <c r="AK76" s="56">
        <f>IF(OR($A76="",N($C76)&lt;=7,$T76="No Throw",$J76="x"),0,INDEX(Reference!$B$108:$B$114,$N76+1))</f>
        <v>0.27</v>
      </c>
      <c r="AL76" s="32">
        <f t="shared" si="54"/>
        <v>2</v>
      </c>
      <c r="AM76" s="32">
        <f>IF($U76="",0,IF($AL76&gt;1,((IF(1&lt;=$AL76,($AL76-1+3)*(INDEX(Reference!$B$6:$B$11,MIN(5,MATCH(MAX(Reference!$A$6,MIN(Reference!$A$11,MIN($U76,90))),Reference!$A$6:$A$11,1)))+(MAX(Reference!$A$6,MIN(Reference!$A$11,MIN($U76,90)))-INDEX(Reference!$A$6:$A$11,MIN(5,MATCH(MAX(Reference!$A$6,MIN(Reference!$A$11,MIN($U76,90))),Reference!$A$6:$A$11,1))))*(INDEX(Reference!$B$6:$B$11,MIN(5,MATCH(MAX(Reference!$A$6,MIN(Reference!$A$11,MIN($U76,90))),Reference!$A$6:$A$11,1))+1)-INDEX(Reference!$B$6:$B$11,MIN(5,MATCH(MAX(Reference!$A$6,MIN(Reference!$A$11,MIN($U76,90))),Reference!$A$6:$A$11,1))))/(INDEX(Reference!$A$6:$A$11,MIN(5,MATCH(MAX(Reference!$A$6,MIN(Reference!$A$11,MIN($U76,90))),Reference!$A$6:$A$11,1))+1)-INDEX(Reference!$A$6:$A$11,MIN(5,MATCH(MAX(Reference!$A$6,MIN(Reference!$A$11,MIN($U76,90))),Reference!$A$6:$A$11,1))))),0)+IF(2&lt;=$AL76,($AL76-2+3)*(INDEX(Reference!$B$6:$B$11,MIN(5,MATCH(MAX(Reference!$A$6,MIN(Reference!$A$11,MIN($U76,120))),Reference!$A$6:$A$11,1)))+(MAX(Reference!$A$6,MIN(Reference!$A$11,MIN($U76,120)))-INDEX(Reference!$A$6:$A$11,MIN(5,MATCH(MAX(Reference!$A$6,MIN(Reference!$A$11,MIN($U76,120))),Reference!$A$6:$A$11,1))))*(INDEX(Reference!$B$6:$B$11,MIN(5,MATCH(MAX(Reference!$A$6,MIN(Reference!$A$11,MIN($U76,120))),Reference!$A$6:$A$11,1))+1)-INDEX(Reference!$B$6:$B$11,MIN(5,MATCH(MAX(Reference!$A$6,MIN(Reference!$A$11,MIN($U76,120))),Reference!$A$6:$A$11,1))))/(INDEX(Reference!$A$6:$A$11,MIN(5,MATCH(MAX(Reference!$A$6,MIN(Reference!$A$11,MIN($U76,120))),Reference!$A$6:$A$11,1))+1)-INDEX(Reference!$A$6:$A$11,MIN(5,MATCH(MAX(Reference!$A$6,MIN(Reference!$A$11,MIN($U76,120))),Reference!$A$6:$A$11,1))))),0)+IF(3&lt;=$AL76,($AL76-3+3)*(INDEX(Reference!$B$6:$B$11,MIN(5,MATCH(MAX(Reference!$A$6,MIN(Reference!$A$11,MIN($U76,150))),Reference!$A$6:$A$11,1)))+(MAX(Reference!$A$6,MIN(Reference!$A$11,MIN($U76,150)))-INDEX(Reference!$A$6:$A$11,MIN(5,MATCH(MAX(Reference!$A$6,MIN(Reference!$A$11,MIN($U76,150))),Reference!$A$6:$A$11,1))))*(INDEX(Reference!$B$6:$B$11,MIN(5,MATCH(MAX(Reference!$A$6,MIN(Reference!$A$11,MIN($U76,150))),Reference!$A$6:$A$11,1))+1)-INDEX(Reference!$B$6:$B$11,MIN(5,MATCH(MAX(Reference!$A$6,MIN(Reference!$A$11,MIN($U76,150))),Reference!$A$6:$A$11,1))))/(INDEX(Reference!$A$6:$A$11,MIN(5,MATCH(MAX(Reference!$A$6,MIN(Reference!$A$11,MIN($U76,150))),Reference!$A$6:$A$11,1))+1)-INDEX(Reference!$A$6:$A$11,MIN(5,MATCH(MAX(Reference!$A$6,MIN(Reference!$A$11,MIN($U76,150))),Reference!$A$6:$A$11,1))))),0)+IF(4&lt;=$AL76,($AL76-4+3)*(INDEX(Reference!$B$6:$B$11,MIN(5,MATCH(MAX(Reference!$A$6,MIN(Reference!$A$11,MIN($U76,180))),Reference!$A$6:$A$11,1)))+(MAX(Reference!$A$6,MIN(Reference!$A$11,MIN($U76,180)))-INDEX(Reference!$A$6:$A$11,MIN(5,MATCH(MAX(Reference!$A$6,MIN(Reference!$A$11,MIN($U76,180))),Reference!$A$6:$A$11,1))))*(INDEX(Reference!$B$6:$B$11,MIN(5,MATCH(MAX(Reference!$A$6,MIN(Reference!$A$11,MIN($U76,180))),Reference!$A$6:$A$11,1))+1)-INDEX(Reference!$B$6:$B$11,MIN(5,MATCH(MAX(Reference!$A$6,MIN(Reference!$A$11,MIN($U76,180))),Reference!$A$6:$A$11,1))))/(INDEX(Reference!$A$6:$A$11,MIN(5,MATCH(MAX(Reference!$A$6,MIN(Reference!$A$11,MIN($U76,180))),Reference!$A$6:$A$11,1))+1)-INDEX(Reference!$A$6:$A$11,MIN(5,MATCH(MAX(Reference!$A$6,MIN(Reference!$A$11,MIN($U76,180))),Reference!$A$6:$A$11,1))))),0)+IF(5&lt;=$AL76,($AL76-5+3)*(INDEX(Reference!$B$6:$B$11,MIN(5,MATCH(MAX(Reference!$A$6,MIN(Reference!$A$11,MIN($U76,210))),Reference!$A$6:$A$11,1)))+(MAX(Reference!$A$6,MIN(Reference!$A$11,MIN($U76,210)))-INDEX(Reference!$A$6:$A$11,MIN(5,MATCH(MAX(Reference!$A$6,MIN(Reference!$A$11,MIN($U76,210))),Reference!$A$6:$A$11,1))))*(INDEX(Reference!$B$6:$B$11,MIN(5,MATCH(MAX(Reference!$A$6,MIN(Reference!$A$11,MIN($U76,210))),Reference!$A$6:$A$11,1))+1)-INDEX(Reference!$B$6:$B$11,MIN(5,MATCH(MAX(Reference!$A$6,MIN(Reference!$A$11,MIN($U76,210))),Reference!$A$6:$A$11,1))))/(INDEX(Reference!$A$6:$A$11,MIN(5,MATCH(MAX(Reference!$A$6,MIN(Reference!$A$11,MIN($U76,210))),Reference!$A$6:$A$11,1))+1)-INDEX(Reference!$A$6:$A$11,MIN(5,MATCH(MAX(Reference!$A$6,MIN(Reference!$A$11,MIN($U76,210))),Reference!$A$6:$A$11,1))))),0)+IF(6&lt;=$AL76,($AL76-6+3)*(INDEX(Reference!$B$6:$B$11,MIN(5,MATCH(MAX(Reference!$A$6,MIN(Reference!$A$11,MIN($U76,240))),Reference!$A$6:$A$11,1)))+(MAX(Reference!$A$6,MIN(Reference!$A$11,MIN($U76,240)))-INDEX(Reference!$A$6:$A$11,MIN(5,MATCH(MAX(Reference!$A$6,MIN(Reference!$A$11,MIN($U76,240))),Reference!$A$6:$A$11,1))))*(INDEX(Reference!$B$6:$B$11,MIN(5,MATCH(MAX(Reference!$A$6,MIN(Reference!$A$11,MIN($U76,240))),Reference!$A$6:$A$11,1))+1)-INDEX(Reference!$B$6:$B$11,MIN(5,MATCH(MAX(Reference!$A$6,MIN(Reference!$A$11,MIN($U76,240))),Reference!$A$6:$A$11,1))))/(INDEX(Reference!$A$6:$A$11,MIN(5,MATCH(MAX(Reference!$A$6,MIN(Reference!$A$11,MIN($U76,240))),Reference!$A$6:$A$11,1))+1)-INDEX(Reference!$A$6:$A$11,MIN(5,MATCH(MAX(Reference!$A$6,MIN(Reference!$A$11,MIN($U76,240))),Reference!$A$6:$A$11,1))))),0)+IF(7&lt;=$AL76,($AL76-7+3)*(INDEX(Reference!$B$6:$B$11,MIN(5,MATCH(MAX(Reference!$A$6,MIN(Reference!$A$11,MIN($U76,270))),Reference!$A$6:$A$11,1)))+(MAX(Reference!$A$6,MIN(Reference!$A$11,MIN($U76,270)))-INDEX(Reference!$A$6:$A$11,MIN(5,MATCH(MAX(Reference!$A$6,MIN(Reference!$A$11,MIN($U76,270))),Reference!$A$6:$A$11,1))))*(INDEX(Reference!$B$6:$B$11,MIN(5,MATCH(MAX(Reference!$A$6,MIN(Reference!$A$11,MIN($U76,270))),Reference!$A$6:$A$11,1))+1)-INDEX(Reference!$B$6:$B$11,MIN(5,MATCH(MAX(Reference!$A$6,MIN(Reference!$A$11,MIN($U76,270))),Reference!$A$6:$A$11,1))))/(INDEX(Reference!$A$6:$A$11,MIN(5,MATCH(MAX(Reference!$A$6,MIN(Reference!$A$11,MIN($U76,270))),Reference!$A$6:$A$11,1))+1)-INDEX(Reference!$A$6:$A$11,MIN(5,MATCH(MAX(Reference!$A$6,MIN(Reference!$A$11,MIN($U76,270))),Reference!$A$6:$A$11,1))))),0)+IF(8&lt;=$AL76,($AL76-8+3)*(INDEX(Reference!$B$6:$B$11,MIN(5,MATCH(MAX(Reference!$A$6,MIN(Reference!$A$11,MIN($U76,300))),Reference!$A$6:$A$11,1)))+(MAX(Reference!$A$6,MIN(Reference!$A$11,MIN($U76,300)))-INDEX(Reference!$A$6:$A$11,MIN(5,MATCH(MAX(Reference!$A$6,MIN(Reference!$A$11,MIN($U76,300))),Reference!$A$6:$A$11,1))))*(INDEX(Reference!$B$6:$B$11,MIN(5,MATCH(MAX(Reference!$A$6,MIN(Reference!$A$11,MIN($U76,300))),Reference!$A$6:$A$11,1))+1)-INDEX(Reference!$B$6:$B$11,MIN(5,MATCH(MAX(Reference!$A$6,MIN(Reference!$A$11,MIN($U76,300))),Reference!$A$6:$A$11,1))))/(INDEX(Reference!$A$6:$A$11,MIN(5,MATCH(MAX(Reference!$A$6,MIN(Reference!$A$11,MIN($U76,300))),Reference!$A$6:$A$11,1))+1)-INDEX(Reference!$A$6:$A$11,MIN(5,MATCH(MAX(Reference!$A$6,MIN(Reference!$A$11,MIN($U76,300))),Reference!$A$6:$A$11,1))))),0))/($AL76*($AL76+5)/2)),$AN76))</f>
        <v>1.4714285714285715</v>
      </c>
      <c r="AN76" s="32">
        <f>IF($U76="",0,(INDEX(Reference!$B$6:$B$11,MIN(5,MATCH(MAX(Reference!$A$6,MIN(Reference!$A$11,$U76)),Reference!$A$6:$A$11,1)))+(MAX(Reference!$A$6,MIN(Reference!$A$11,$U76))-INDEX(Reference!$A$6:$A$11,MIN(5,MATCH(MAX(Reference!$A$6,MIN(Reference!$A$11,$U76)),Reference!$A$6:$A$11,1))))*(INDEX(Reference!$B$6:$B$11,MIN(5,MATCH(MAX(Reference!$A$6,MIN(Reference!$A$11,$U76)),Reference!$A$6:$A$11,1))+1)-INDEX(Reference!$B$6:$B$11,MIN(5,MATCH(MAX(Reference!$A$6,MIN(Reference!$A$11,$U76)),Reference!$A$6:$A$11,1))))/(INDEX(Reference!$A$6:$A$11,MIN(5,MATCH(MAX(Reference!$A$6,MIN(Reference!$A$11,$U76)),Reference!$A$6:$A$11,1))+1)-INDEX(Reference!$A$6:$A$11,MIN(5,MATCH(MAX(Reference!$A$6,MIN(Reference!$A$11,$U76)),Reference!$A$6:$A$11,1))))))</f>
        <v>1.7</v>
      </c>
      <c r="AO76" s="37"/>
      <c r="AP76" s="37"/>
      <c r="AQ76" s="37"/>
    </row>
    <row r="77" spans="1:43" x14ac:dyDescent="0.3">
      <c r="A77" s="48">
        <f t="shared" si="30"/>
        <v>46341</v>
      </c>
      <c r="B77" s="32" t="str">
        <f t="shared" si="31"/>
        <v>Sun</v>
      </c>
      <c r="C77" s="32">
        <f t="shared" si="32"/>
        <v>50</v>
      </c>
      <c r="D77" s="32" t="str">
        <f t="shared" si="33"/>
        <v>Base</v>
      </c>
      <c r="E77" s="32" t="str">
        <f t="shared" si="34"/>
        <v>No Throw</v>
      </c>
      <c r="F77" s="32" t="str">
        <f t="shared" si="35"/>
        <v>No Throw</v>
      </c>
      <c r="G77" s="47" t="str">
        <f t="shared" si="36"/>
        <v>Off</v>
      </c>
      <c r="H77" s="30">
        <f t="shared" si="37"/>
        <v>0</v>
      </c>
      <c r="I77" s="46">
        <f>IF($A77="","",IF(AND($L77&lt;27,$K$12=0),"Building",IFERROR(((SUM($H$71:$H77)+$K$12*IF($L77&lt;6,SUMIFS('Throw Log'!$Q$5:$Q$300,'Throw Log'!$B$5:$B$300,$D$4,'Throw Log'!$A$5:$A$300,"&gt;="&amp;($D$6+$L77-6),'Throw Log'!$A$5:$A$300,"&lt;="&amp;($D$6-1)),0))/7)/((SUM($H$50:$H77)+$K$12*IF($L77&lt;27,SUMIFS('Throw Log'!$Q$5:$Q$300,'Throw Log'!$B$5:$B$300,$D$4,'Throw Log'!$A$5:$A$300,"&gt;="&amp;($D$6+$L77-27),'Throw Log'!$A$5:$A$300,"&lt;="&amp;($D$6-1)),0))/28),"")))</f>
        <v>1.1341208589279153</v>
      </c>
      <c r="J77" s="37"/>
      <c r="K77" s="37"/>
      <c r="L77" s="32">
        <v>34</v>
      </c>
      <c r="M77" s="32">
        <f t="shared" si="38"/>
        <v>5</v>
      </c>
      <c r="N77" s="32">
        <f t="shared" si="39"/>
        <v>6</v>
      </c>
      <c r="O77" s="32">
        <f t="shared" si="40"/>
        <v>0.44736842105263158</v>
      </c>
      <c r="P77" s="32">
        <f>IF(OR($A77="",N($C77)&lt;=7),"",$G$6*$G$9^($M77-1)*IF(AND(MOD($M77,Reference!$B$99)=0,$M77&lt;=$G$5-2),Reference!$B$100,1))</f>
        <v>128.18680745325557</v>
      </c>
      <c r="Q77" s="32">
        <f>IF($P77="","",IF(SUM($AK$71:$AK$77)=0,0,$P77*INDEX(Reference!$B$108:$B$114,$N77+1)/SUM($AK$71:$AK$77)))</f>
        <v>8.9730765217278901</v>
      </c>
      <c r="R77" s="32">
        <f t="shared" si="41"/>
        <v>135</v>
      </c>
      <c r="S77" s="32">
        <f t="shared" si="42"/>
        <v>120</v>
      </c>
      <c r="T77" s="32" t="str">
        <f>IF($A77="","",IF($C77=0,"Bullpen",IF(OR($C77=7,$C77=1,$C77=5),"Recovery/Easy Catch",IF($C77=6,"Compression/Pulldowns",IF(OR($C77=4,$C77=2),"Long Toss",IF($C77=3,"No Throw",IF($N77=2,"No Throw",IF($N77=6,IF($O77&lt;Reference!$B$104,"No Throw","Recovery/Easy Catch"),IF(OR($N77=0,$N77=4),"Recovery/Easy Catch",IF($N77=1,IF($R77&gt;75,"Long Toss","Recovery/Easy Catch"),IF($N77=3,IF($O77&lt;0.5,IF($S77&gt;75,"Long Toss","Recovery/Easy Catch"),"Compression/Pulldowns"),IF($S77&gt;75,"Long Toss","Recovery/Easy Catch"))))))))))))</f>
        <v>No Throw</v>
      </c>
      <c r="U77" s="32">
        <f t="shared" si="43"/>
        <v>60</v>
      </c>
      <c r="V77" s="32">
        <f t="shared" si="44"/>
        <v>20</v>
      </c>
      <c r="W77" s="32">
        <f t="shared" si="45"/>
        <v>24</v>
      </c>
      <c r="X77" s="32">
        <f t="shared" si="46"/>
        <v>0</v>
      </c>
      <c r="Y77" s="32" t="str">
        <f t="shared" si="47"/>
        <v/>
      </c>
      <c r="Z77" s="32" t="str">
        <f t="shared" si="48"/>
        <v/>
      </c>
      <c r="AA77" s="32" t="str">
        <f t="shared" si="49"/>
        <v/>
      </c>
      <c r="AB77" s="32">
        <f>IF($A77="","",IF($T77="No Throw",0,IF($K77&lt;&gt;"",$K77,IF($AA77&lt;&gt;"",ROUND($AA77*$D$12*IF($C77=0,1,$G$10),0),MIN(IF($T77="Recovery/Easy Catch",Reference!$B$103,IF($T77="Long Toss",Reference!$B$106,Reference!$B$102)),MAX(Reference!$B$101,ROUND(MAX(0,$Q77-$AE77)/$AF77,0)))))))</f>
        <v>0</v>
      </c>
      <c r="AC77" s="32">
        <f t="shared" si="50"/>
        <v>0</v>
      </c>
      <c r="AD77" s="32" t="b">
        <f t="shared" si="51"/>
        <v>1</v>
      </c>
      <c r="AE77" s="32">
        <f>IF($X77=0,0,$X77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77+$Z77)/2,0),Reference!$A$17:$B$20,2,TRUE()))</f>
        <v>0</v>
      </c>
      <c r="AF77" s="32">
        <f>IF(OR($A77="",$U77="",$T77="No Throw"),0,$AM77*VLOOKUP(MAX(($V77+$W77)/2,0),Reference!$A$17:$B$20,2,TRUE()))</f>
        <v>0</v>
      </c>
      <c r="AG77" s="32">
        <f>IF($AC77=0,0,$AC77*INDEX(Reference!$B$61:$B$62,MATCH("Bullpen",Reference!$A$61:$A$62,0))*VLOOKUP(MAX($D$5-($D$9+$E$9)/2,0),Reference!$A$17:$B$20,2,TRUE()))</f>
        <v>0</v>
      </c>
      <c r="AH77" s="46">
        <f t="shared" si="52"/>
        <v>1.1341208589279153</v>
      </c>
      <c r="AI77" s="32">
        <f>IF($A77="",NA(),Reference!$A$25)</f>
        <v>0.8</v>
      </c>
      <c r="AJ77" s="32">
        <f t="shared" si="53"/>
        <v>1.3</v>
      </c>
      <c r="AK77" s="32">
        <f>IF(OR($A77="",N($C77)&lt;=7,$T77="No Throw",$J77="x"),0,INDEX(Reference!$B$108:$B$114,$N77+1))</f>
        <v>0</v>
      </c>
      <c r="AL77" s="32">
        <f t="shared" si="54"/>
        <v>1</v>
      </c>
      <c r="AM77" s="32">
        <f>IF($U77="",0,IF($AL77&gt;1,((IF(1&lt;=$AL77,($AL77-1+3)*(INDEX(Reference!$B$6:$B$11,MIN(5,MATCH(MAX(Reference!$A$6,MIN(Reference!$A$11,MIN($U77,90))),Reference!$A$6:$A$11,1)))+(MAX(Reference!$A$6,MIN(Reference!$A$11,MIN($U77,90)))-INDEX(Reference!$A$6:$A$11,MIN(5,MATCH(MAX(Reference!$A$6,MIN(Reference!$A$11,MIN($U77,90))),Reference!$A$6:$A$11,1))))*(INDEX(Reference!$B$6:$B$11,MIN(5,MATCH(MAX(Reference!$A$6,MIN(Reference!$A$11,MIN($U77,90))),Reference!$A$6:$A$11,1))+1)-INDEX(Reference!$B$6:$B$11,MIN(5,MATCH(MAX(Reference!$A$6,MIN(Reference!$A$11,MIN($U77,90))),Reference!$A$6:$A$11,1))))/(INDEX(Reference!$A$6:$A$11,MIN(5,MATCH(MAX(Reference!$A$6,MIN(Reference!$A$11,MIN($U77,90))),Reference!$A$6:$A$11,1))+1)-INDEX(Reference!$A$6:$A$11,MIN(5,MATCH(MAX(Reference!$A$6,MIN(Reference!$A$11,MIN($U77,90))),Reference!$A$6:$A$11,1))))),0)+IF(2&lt;=$AL77,($AL77-2+3)*(INDEX(Reference!$B$6:$B$11,MIN(5,MATCH(MAX(Reference!$A$6,MIN(Reference!$A$11,MIN($U77,120))),Reference!$A$6:$A$11,1)))+(MAX(Reference!$A$6,MIN(Reference!$A$11,MIN($U77,120)))-INDEX(Reference!$A$6:$A$11,MIN(5,MATCH(MAX(Reference!$A$6,MIN(Reference!$A$11,MIN($U77,120))),Reference!$A$6:$A$11,1))))*(INDEX(Reference!$B$6:$B$11,MIN(5,MATCH(MAX(Reference!$A$6,MIN(Reference!$A$11,MIN($U77,120))),Reference!$A$6:$A$11,1))+1)-INDEX(Reference!$B$6:$B$11,MIN(5,MATCH(MAX(Reference!$A$6,MIN(Reference!$A$11,MIN($U77,120))),Reference!$A$6:$A$11,1))))/(INDEX(Reference!$A$6:$A$11,MIN(5,MATCH(MAX(Reference!$A$6,MIN(Reference!$A$11,MIN($U77,120))),Reference!$A$6:$A$11,1))+1)-INDEX(Reference!$A$6:$A$11,MIN(5,MATCH(MAX(Reference!$A$6,MIN(Reference!$A$11,MIN($U77,120))),Reference!$A$6:$A$11,1))))),0)+IF(3&lt;=$AL77,($AL77-3+3)*(INDEX(Reference!$B$6:$B$11,MIN(5,MATCH(MAX(Reference!$A$6,MIN(Reference!$A$11,MIN($U77,150))),Reference!$A$6:$A$11,1)))+(MAX(Reference!$A$6,MIN(Reference!$A$11,MIN($U77,150)))-INDEX(Reference!$A$6:$A$11,MIN(5,MATCH(MAX(Reference!$A$6,MIN(Reference!$A$11,MIN($U77,150))),Reference!$A$6:$A$11,1))))*(INDEX(Reference!$B$6:$B$11,MIN(5,MATCH(MAX(Reference!$A$6,MIN(Reference!$A$11,MIN($U77,150))),Reference!$A$6:$A$11,1))+1)-INDEX(Reference!$B$6:$B$11,MIN(5,MATCH(MAX(Reference!$A$6,MIN(Reference!$A$11,MIN($U77,150))),Reference!$A$6:$A$11,1))))/(INDEX(Reference!$A$6:$A$11,MIN(5,MATCH(MAX(Reference!$A$6,MIN(Reference!$A$11,MIN($U77,150))),Reference!$A$6:$A$11,1))+1)-INDEX(Reference!$A$6:$A$11,MIN(5,MATCH(MAX(Reference!$A$6,MIN(Reference!$A$11,MIN($U77,150))),Reference!$A$6:$A$11,1))))),0)+IF(4&lt;=$AL77,($AL77-4+3)*(INDEX(Reference!$B$6:$B$11,MIN(5,MATCH(MAX(Reference!$A$6,MIN(Reference!$A$11,MIN($U77,180))),Reference!$A$6:$A$11,1)))+(MAX(Reference!$A$6,MIN(Reference!$A$11,MIN($U77,180)))-INDEX(Reference!$A$6:$A$11,MIN(5,MATCH(MAX(Reference!$A$6,MIN(Reference!$A$11,MIN($U77,180))),Reference!$A$6:$A$11,1))))*(INDEX(Reference!$B$6:$B$11,MIN(5,MATCH(MAX(Reference!$A$6,MIN(Reference!$A$11,MIN($U77,180))),Reference!$A$6:$A$11,1))+1)-INDEX(Reference!$B$6:$B$11,MIN(5,MATCH(MAX(Reference!$A$6,MIN(Reference!$A$11,MIN($U77,180))),Reference!$A$6:$A$11,1))))/(INDEX(Reference!$A$6:$A$11,MIN(5,MATCH(MAX(Reference!$A$6,MIN(Reference!$A$11,MIN($U77,180))),Reference!$A$6:$A$11,1))+1)-INDEX(Reference!$A$6:$A$11,MIN(5,MATCH(MAX(Reference!$A$6,MIN(Reference!$A$11,MIN($U77,180))),Reference!$A$6:$A$11,1))))),0)+IF(5&lt;=$AL77,($AL77-5+3)*(INDEX(Reference!$B$6:$B$11,MIN(5,MATCH(MAX(Reference!$A$6,MIN(Reference!$A$11,MIN($U77,210))),Reference!$A$6:$A$11,1)))+(MAX(Reference!$A$6,MIN(Reference!$A$11,MIN($U77,210)))-INDEX(Reference!$A$6:$A$11,MIN(5,MATCH(MAX(Reference!$A$6,MIN(Reference!$A$11,MIN($U77,210))),Reference!$A$6:$A$11,1))))*(INDEX(Reference!$B$6:$B$11,MIN(5,MATCH(MAX(Reference!$A$6,MIN(Reference!$A$11,MIN($U77,210))),Reference!$A$6:$A$11,1))+1)-INDEX(Reference!$B$6:$B$11,MIN(5,MATCH(MAX(Reference!$A$6,MIN(Reference!$A$11,MIN($U77,210))),Reference!$A$6:$A$11,1))))/(INDEX(Reference!$A$6:$A$11,MIN(5,MATCH(MAX(Reference!$A$6,MIN(Reference!$A$11,MIN($U77,210))),Reference!$A$6:$A$11,1))+1)-INDEX(Reference!$A$6:$A$11,MIN(5,MATCH(MAX(Reference!$A$6,MIN(Reference!$A$11,MIN($U77,210))),Reference!$A$6:$A$11,1))))),0)+IF(6&lt;=$AL77,($AL77-6+3)*(INDEX(Reference!$B$6:$B$11,MIN(5,MATCH(MAX(Reference!$A$6,MIN(Reference!$A$11,MIN($U77,240))),Reference!$A$6:$A$11,1)))+(MAX(Reference!$A$6,MIN(Reference!$A$11,MIN($U77,240)))-INDEX(Reference!$A$6:$A$11,MIN(5,MATCH(MAX(Reference!$A$6,MIN(Reference!$A$11,MIN($U77,240))),Reference!$A$6:$A$11,1))))*(INDEX(Reference!$B$6:$B$11,MIN(5,MATCH(MAX(Reference!$A$6,MIN(Reference!$A$11,MIN($U77,240))),Reference!$A$6:$A$11,1))+1)-INDEX(Reference!$B$6:$B$11,MIN(5,MATCH(MAX(Reference!$A$6,MIN(Reference!$A$11,MIN($U77,240))),Reference!$A$6:$A$11,1))))/(INDEX(Reference!$A$6:$A$11,MIN(5,MATCH(MAX(Reference!$A$6,MIN(Reference!$A$11,MIN($U77,240))),Reference!$A$6:$A$11,1))+1)-INDEX(Reference!$A$6:$A$11,MIN(5,MATCH(MAX(Reference!$A$6,MIN(Reference!$A$11,MIN($U77,240))),Reference!$A$6:$A$11,1))))),0)+IF(7&lt;=$AL77,($AL77-7+3)*(INDEX(Reference!$B$6:$B$11,MIN(5,MATCH(MAX(Reference!$A$6,MIN(Reference!$A$11,MIN($U77,270))),Reference!$A$6:$A$11,1)))+(MAX(Reference!$A$6,MIN(Reference!$A$11,MIN($U77,270)))-INDEX(Reference!$A$6:$A$11,MIN(5,MATCH(MAX(Reference!$A$6,MIN(Reference!$A$11,MIN($U77,270))),Reference!$A$6:$A$11,1))))*(INDEX(Reference!$B$6:$B$11,MIN(5,MATCH(MAX(Reference!$A$6,MIN(Reference!$A$11,MIN($U77,270))),Reference!$A$6:$A$11,1))+1)-INDEX(Reference!$B$6:$B$11,MIN(5,MATCH(MAX(Reference!$A$6,MIN(Reference!$A$11,MIN($U77,270))),Reference!$A$6:$A$11,1))))/(INDEX(Reference!$A$6:$A$11,MIN(5,MATCH(MAX(Reference!$A$6,MIN(Reference!$A$11,MIN($U77,270))),Reference!$A$6:$A$11,1))+1)-INDEX(Reference!$A$6:$A$11,MIN(5,MATCH(MAX(Reference!$A$6,MIN(Reference!$A$11,MIN($U77,270))),Reference!$A$6:$A$11,1))))),0)+IF(8&lt;=$AL77,($AL77-8+3)*(INDEX(Reference!$B$6:$B$11,MIN(5,MATCH(MAX(Reference!$A$6,MIN(Reference!$A$11,MIN($U77,300))),Reference!$A$6:$A$11,1)))+(MAX(Reference!$A$6,MIN(Reference!$A$11,MIN($U77,300)))-INDEX(Reference!$A$6:$A$11,MIN(5,MATCH(MAX(Reference!$A$6,MIN(Reference!$A$11,MIN($U77,300))),Reference!$A$6:$A$11,1))))*(INDEX(Reference!$B$6:$B$11,MIN(5,MATCH(MAX(Reference!$A$6,MIN(Reference!$A$11,MIN($U77,300))),Reference!$A$6:$A$11,1))+1)-INDEX(Reference!$B$6:$B$11,MIN(5,MATCH(MAX(Reference!$A$6,MIN(Reference!$A$11,MIN($U77,300))),Reference!$A$6:$A$11,1))))/(INDEX(Reference!$A$6:$A$11,MIN(5,MATCH(MAX(Reference!$A$6,MIN(Reference!$A$11,MIN($U77,300))),Reference!$A$6:$A$11,1))+1)-INDEX(Reference!$A$6:$A$11,MIN(5,MATCH(MAX(Reference!$A$6,MIN(Reference!$A$11,MIN($U77,300))),Reference!$A$6:$A$11,1))))),0))/($AL77*($AL77+5)/2)),$AN77))</f>
        <v>1</v>
      </c>
      <c r="AN77" s="32">
        <f>IF($U77="",0,(INDEX(Reference!$B$6:$B$11,MIN(5,MATCH(MAX(Reference!$A$6,MIN(Reference!$A$11,$U77)),Reference!$A$6:$A$11,1)))+(MAX(Reference!$A$6,MIN(Reference!$A$11,$U77))-INDEX(Reference!$A$6:$A$11,MIN(5,MATCH(MAX(Reference!$A$6,MIN(Reference!$A$11,$U77)),Reference!$A$6:$A$11,1))))*(INDEX(Reference!$B$6:$B$11,MIN(5,MATCH(MAX(Reference!$A$6,MIN(Reference!$A$11,$U77)),Reference!$A$6:$A$11,1))+1)-INDEX(Reference!$B$6:$B$11,MIN(5,MATCH(MAX(Reference!$A$6,MIN(Reference!$A$11,$U77)),Reference!$A$6:$A$11,1))))/(INDEX(Reference!$A$6:$A$11,MIN(5,MATCH(MAX(Reference!$A$6,MIN(Reference!$A$11,$U77)),Reference!$A$6:$A$11,1))+1)-INDEX(Reference!$A$6:$A$11,MIN(5,MATCH(MAX(Reference!$A$6,MIN(Reference!$A$11,$U77)),Reference!$A$6:$A$11,1))))))</f>
        <v>1</v>
      </c>
      <c r="AO77" s="37"/>
      <c r="AP77" s="37"/>
      <c r="AQ77" s="37"/>
    </row>
    <row r="78" spans="1:43" x14ac:dyDescent="0.3">
      <c r="A78" s="48">
        <f t="shared" si="30"/>
        <v>46342</v>
      </c>
      <c r="B78" s="32" t="str">
        <f t="shared" si="31"/>
        <v>Mon</v>
      </c>
      <c r="C78" s="32">
        <f t="shared" si="32"/>
        <v>49</v>
      </c>
      <c r="D78" s="32" t="str">
        <f t="shared" si="33"/>
        <v>Extension</v>
      </c>
      <c r="E78" s="32" t="str">
        <f t="shared" si="34"/>
        <v>Low</v>
      </c>
      <c r="F78" s="32" t="str">
        <f t="shared" si="35"/>
        <v>Recovery/Easy Catch</v>
      </c>
      <c r="G78" s="47" t="str">
        <f t="shared" si="36"/>
        <v>75 ft × 25 @ 69–73 mph</v>
      </c>
      <c r="H78" s="30">
        <f t="shared" si="37"/>
        <v>17.25</v>
      </c>
      <c r="I78" s="46">
        <f>IF($A78="","",IF(AND($L78&lt;27,$K$12=0),"Building",IFERROR(((SUM($H$72:$H78)+$K$12*IF($L78&lt;6,SUMIFS('Throw Log'!$Q$5:$Q$300,'Throw Log'!$B$5:$B$300,$D$4,'Throw Log'!$A$5:$A$300,"&gt;="&amp;($D$6+$L78-6),'Throw Log'!$A$5:$A$300,"&lt;="&amp;($D$6-1)),0))/7)/((SUM($H$51:$H78)+$K$12*IF($L78&lt;27,SUMIFS('Throw Log'!$Q$5:$Q$300,'Throw Log'!$B$5:$B$300,$D$4,'Throw Log'!$A$5:$A$300,"&gt;="&amp;($D$6+$L78-27),'Throw Log'!$A$5:$A$300,"&lt;="&amp;($D$6-1)),0))/28),"")))</f>
        <v>1.1397470454074228</v>
      </c>
      <c r="J78" s="37"/>
      <c r="K78" s="37">
        <v>25</v>
      </c>
      <c r="L78" s="32">
        <v>35</v>
      </c>
      <c r="M78" s="32">
        <f t="shared" si="38"/>
        <v>6</v>
      </c>
      <c r="N78" s="32">
        <f t="shared" si="39"/>
        <v>0</v>
      </c>
      <c r="O78" s="32">
        <f t="shared" si="40"/>
        <v>0.46052631578947367</v>
      </c>
      <c r="P78" s="32">
        <f>IF(OR($A78="",N($C78)&lt;=7),"",$G$6*$G$9^($M78-1)*IF(AND(MOD($M78,Reference!$B$99)=0,$M78&lt;=$G$5-2),Reference!$B$100,1))</f>
        <v>144.22205101855957</v>
      </c>
      <c r="Q78" s="32">
        <f>IF($P78="","",IF(SUM($AK$78:$AK$84)=0,0,$P78*INDEX(Reference!$B$108:$B$114,$N78+1)/SUM($AK$78:$AK$84)))</f>
        <v>17.306646122227146</v>
      </c>
      <c r="R78" s="32">
        <f t="shared" si="41"/>
        <v>135</v>
      </c>
      <c r="S78" s="32">
        <f t="shared" si="42"/>
        <v>120</v>
      </c>
      <c r="T78" s="32" t="str">
        <f>IF($A78="","",IF($C78=0,"Bullpen",IF(OR($C78=7,$C78=1,$C78=5),"Recovery/Easy Catch",IF($C78=6,"Compression/Pulldowns",IF(OR($C78=4,$C78=2),"Long Toss",IF($C78=3,"No Throw",IF($N78=2,"No Throw",IF($N78=6,IF($O78&lt;Reference!$B$104,"No Throw","Recovery/Easy Catch"),IF(OR($N78=0,$N78=4),"Recovery/Easy Catch",IF($N78=1,IF($R78&gt;75,"Long Toss","Recovery/Easy Catch"),IF($N78=3,IF($O78&lt;0.5,IF($S78&gt;75,"Long Toss","Recovery/Easy Catch"),"Compression/Pulldowns"),IF($S78&gt;75,"Long Toss","Recovery/Easy Catch"))))))))))))</f>
        <v>Recovery/Easy Catch</v>
      </c>
      <c r="U78" s="32">
        <f t="shared" si="43"/>
        <v>75</v>
      </c>
      <c r="V78" s="32">
        <f t="shared" si="44"/>
        <v>18</v>
      </c>
      <c r="W78" s="32">
        <f t="shared" si="45"/>
        <v>22</v>
      </c>
      <c r="X78" s="32">
        <f t="shared" si="46"/>
        <v>0</v>
      </c>
      <c r="Y78" s="32" t="str">
        <f t="shared" si="47"/>
        <v/>
      </c>
      <c r="Z78" s="32" t="str">
        <f t="shared" si="48"/>
        <v/>
      </c>
      <c r="AA78" s="32" t="str">
        <f t="shared" si="49"/>
        <v/>
      </c>
      <c r="AB78" s="32">
        <f>IF($A78="","",IF($T78="No Throw",0,IF($K78&lt;&gt;"",$K78,IF($AA78&lt;&gt;"",ROUND($AA78*$D$12*IF($C78=0,1,$G$10),0),MIN(IF($T78="Recovery/Easy Catch",Reference!$B$103,IF($T78="Long Toss",Reference!$B$106,Reference!$B$102)),MAX(Reference!$B$101,ROUND(MAX(0,$Q78-$AE78)/$AF78,0)))))))</f>
        <v>25</v>
      </c>
      <c r="AC78" s="32">
        <f t="shared" si="50"/>
        <v>0</v>
      </c>
      <c r="AD78" s="32" t="b">
        <f t="shared" si="51"/>
        <v>0</v>
      </c>
      <c r="AE78" s="32">
        <f>IF($X78=0,0,$X78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78+$Z78)/2,0),Reference!$A$17:$B$20,2,TRUE()))</f>
        <v>0</v>
      </c>
      <c r="AF78" s="32">
        <f>IF(OR($A78="",$U78="",$T78="No Throw"),0,$AM78*VLOOKUP(MAX(($V78+$W78)/2,0),Reference!$A$17:$B$20,2,TRUE()))</f>
        <v>0.69</v>
      </c>
      <c r="AG78" s="32">
        <f>IF($AC78=0,0,$AC78*INDEX(Reference!$B$61:$B$62,MATCH("Bullpen",Reference!$A$61:$A$62,0))*VLOOKUP(MAX($D$5-($D$9+$E$9)/2,0),Reference!$A$17:$B$20,2,TRUE()))</f>
        <v>0</v>
      </c>
      <c r="AH78" s="46">
        <f t="shared" si="52"/>
        <v>1.1397470454074228</v>
      </c>
      <c r="AI78" s="32">
        <f>IF($A78="",NA(),Reference!$A$25)</f>
        <v>0.8</v>
      </c>
      <c r="AJ78" s="32">
        <f t="shared" si="53"/>
        <v>1.3</v>
      </c>
      <c r="AK78" s="56">
        <f>IF(OR($A78="",N($C78)&lt;=7,$T78="No Throw",$J78="x"),0,INDEX(Reference!$B$108:$B$114,$N78+1))</f>
        <v>0.12</v>
      </c>
      <c r="AL78" s="32">
        <f t="shared" si="54"/>
        <v>1</v>
      </c>
      <c r="AM78" s="32">
        <f>IF($U78="",0,IF($AL78&gt;1,((IF(1&lt;=$AL78,($AL78-1+3)*(INDEX(Reference!$B$6:$B$11,MIN(5,MATCH(MAX(Reference!$A$6,MIN(Reference!$A$11,MIN($U78,90))),Reference!$A$6:$A$11,1)))+(MAX(Reference!$A$6,MIN(Reference!$A$11,MIN($U78,90)))-INDEX(Reference!$A$6:$A$11,MIN(5,MATCH(MAX(Reference!$A$6,MIN(Reference!$A$11,MIN($U78,90))),Reference!$A$6:$A$11,1))))*(INDEX(Reference!$B$6:$B$11,MIN(5,MATCH(MAX(Reference!$A$6,MIN(Reference!$A$11,MIN($U78,90))),Reference!$A$6:$A$11,1))+1)-INDEX(Reference!$B$6:$B$11,MIN(5,MATCH(MAX(Reference!$A$6,MIN(Reference!$A$11,MIN($U78,90))),Reference!$A$6:$A$11,1))))/(INDEX(Reference!$A$6:$A$11,MIN(5,MATCH(MAX(Reference!$A$6,MIN(Reference!$A$11,MIN($U78,90))),Reference!$A$6:$A$11,1))+1)-INDEX(Reference!$A$6:$A$11,MIN(5,MATCH(MAX(Reference!$A$6,MIN(Reference!$A$11,MIN($U78,90))),Reference!$A$6:$A$11,1))))),0)+IF(2&lt;=$AL78,($AL78-2+3)*(INDEX(Reference!$B$6:$B$11,MIN(5,MATCH(MAX(Reference!$A$6,MIN(Reference!$A$11,MIN($U78,120))),Reference!$A$6:$A$11,1)))+(MAX(Reference!$A$6,MIN(Reference!$A$11,MIN($U78,120)))-INDEX(Reference!$A$6:$A$11,MIN(5,MATCH(MAX(Reference!$A$6,MIN(Reference!$A$11,MIN($U78,120))),Reference!$A$6:$A$11,1))))*(INDEX(Reference!$B$6:$B$11,MIN(5,MATCH(MAX(Reference!$A$6,MIN(Reference!$A$11,MIN($U78,120))),Reference!$A$6:$A$11,1))+1)-INDEX(Reference!$B$6:$B$11,MIN(5,MATCH(MAX(Reference!$A$6,MIN(Reference!$A$11,MIN($U78,120))),Reference!$A$6:$A$11,1))))/(INDEX(Reference!$A$6:$A$11,MIN(5,MATCH(MAX(Reference!$A$6,MIN(Reference!$A$11,MIN($U78,120))),Reference!$A$6:$A$11,1))+1)-INDEX(Reference!$A$6:$A$11,MIN(5,MATCH(MAX(Reference!$A$6,MIN(Reference!$A$11,MIN($U78,120))),Reference!$A$6:$A$11,1))))),0)+IF(3&lt;=$AL78,($AL78-3+3)*(INDEX(Reference!$B$6:$B$11,MIN(5,MATCH(MAX(Reference!$A$6,MIN(Reference!$A$11,MIN($U78,150))),Reference!$A$6:$A$11,1)))+(MAX(Reference!$A$6,MIN(Reference!$A$11,MIN($U78,150)))-INDEX(Reference!$A$6:$A$11,MIN(5,MATCH(MAX(Reference!$A$6,MIN(Reference!$A$11,MIN($U78,150))),Reference!$A$6:$A$11,1))))*(INDEX(Reference!$B$6:$B$11,MIN(5,MATCH(MAX(Reference!$A$6,MIN(Reference!$A$11,MIN($U78,150))),Reference!$A$6:$A$11,1))+1)-INDEX(Reference!$B$6:$B$11,MIN(5,MATCH(MAX(Reference!$A$6,MIN(Reference!$A$11,MIN($U78,150))),Reference!$A$6:$A$11,1))))/(INDEX(Reference!$A$6:$A$11,MIN(5,MATCH(MAX(Reference!$A$6,MIN(Reference!$A$11,MIN($U78,150))),Reference!$A$6:$A$11,1))+1)-INDEX(Reference!$A$6:$A$11,MIN(5,MATCH(MAX(Reference!$A$6,MIN(Reference!$A$11,MIN($U78,150))),Reference!$A$6:$A$11,1))))),0)+IF(4&lt;=$AL78,($AL78-4+3)*(INDEX(Reference!$B$6:$B$11,MIN(5,MATCH(MAX(Reference!$A$6,MIN(Reference!$A$11,MIN($U78,180))),Reference!$A$6:$A$11,1)))+(MAX(Reference!$A$6,MIN(Reference!$A$11,MIN($U78,180)))-INDEX(Reference!$A$6:$A$11,MIN(5,MATCH(MAX(Reference!$A$6,MIN(Reference!$A$11,MIN($U78,180))),Reference!$A$6:$A$11,1))))*(INDEX(Reference!$B$6:$B$11,MIN(5,MATCH(MAX(Reference!$A$6,MIN(Reference!$A$11,MIN($U78,180))),Reference!$A$6:$A$11,1))+1)-INDEX(Reference!$B$6:$B$11,MIN(5,MATCH(MAX(Reference!$A$6,MIN(Reference!$A$11,MIN($U78,180))),Reference!$A$6:$A$11,1))))/(INDEX(Reference!$A$6:$A$11,MIN(5,MATCH(MAX(Reference!$A$6,MIN(Reference!$A$11,MIN($U78,180))),Reference!$A$6:$A$11,1))+1)-INDEX(Reference!$A$6:$A$11,MIN(5,MATCH(MAX(Reference!$A$6,MIN(Reference!$A$11,MIN($U78,180))),Reference!$A$6:$A$11,1))))),0)+IF(5&lt;=$AL78,($AL78-5+3)*(INDEX(Reference!$B$6:$B$11,MIN(5,MATCH(MAX(Reference!$A$6,MIN(Reference!$A$11,MIN($U78,210))),Reference!$A$6:$A$11,1)))+(MAX(Reference!$A$6,MIN(Reference!$A$11,MIN($U78,210)))-INDEX(Reference!$A$6:$A$11,MIN(5,MATCH(MAX(Reference!$A$6,MIN(Reference!$A$11,MIN($U78,210))),Reference!$A$6:$A$11,1))))*(INDEX(Reference!$B$6:$B$11,MIN(5,MATCH(MAX(Reference!$A$6,MIN(Reference!$A$11,MIN($U78,210))),Reference!$A$6:$A$11,1))+1)-INDEX(Reference!$B$6:$B$11,MIN(5,MATCH(MAX(Reference!$A$6,MIN(Reference!$A$11,MIN($U78,210))),Reference!$A$6:$A$11,1))))/(INDEX(Reference!$A$6:$A$11,MIN(5,MATCH(MAX(Reference!$A$6,MIN(Reference!$A$11,MIN($U78,210))),Reference!$A$6:$A$11,1))+1)-INDEX(Reference!$A$6:$A$11,MIN(5,MATCH(MAX(Reference!$A$6,MIN(Reference!$A$11,MIN($U78,210))),Reference!$A$6:$A$11,1))))),0)+IF(6&lt;=$AL78,($AL78-6+3)*(INDEX(Reference!$B$6:$B$11,MIN(5,MATCH(MAX(Reference!$A$6,MIN(Reference!$A$11,MIN($U78,240))),Reference!$A$6:$A$11,1)))+(MAX(Reference!$A$6,MIN(Reference!$A$11,MIN($U78,240)))-INDEX(Reference!$A$6:$A$11,MIN(5,MATCH(MAX(Reference!$A$6,MIN(Reference!$A$11,MIN($U78,240))),Reference!$A$6:$A$11,1))))*(INDEX(Reference!$B$6:$B$11,MIN(5,MATCH(MAX(Reference!$A$6,MIN(Reference!$A$11,MIN($U78,240))),Reference!$A$6:$A$11,1))+1)-INDEX(Reference!$B$6:$B$11,MIN(5,MATCH(MAX(Reference!$A$6,MIN(Reference!$A$11,MIN($U78,240))),Reference!$A$6:$A$11,1))))/(INDEX(Reference!$A$6:$A$11,MIN(5,MATCH(MAX(Reference!$A$6,MIN(Reference!$A$11,MIN($U78,240))),Reference!$A$6:$A$11,1))+1)-INDEX(Reference!$A$6:$A$11,MIN(5,MATCH(MAX(Reference!$A$6,MIN(Reference!$A$11,MIN($U78,240))),Reference!$A$6:$A$11,1))))),0)+IF(7&lt;=$AL78,($AL78-7+3)*(INDEX(Reference!$B$6:$B$11,MIN(5,MATCH(MAX(Reference!$A$6,MIN(Reference!$A$11,MIN($U78,270))),Reference!$A$6:$A$11,1)))+(MAX(Reference!$A$6,MIN(Reference!$A$11,MIN($U78,270)))-INDEX(Reference!$A$6:$A$11,MIN(5,MATCH(MAX(Reference!$A$6,MIN(Reference!$A$11,MIN($U78,270))),Reference!$A$6:$A$11,1))))*(INDEX(Reference!$B$6:$B$11,MIN(5,MATCH(MAX(Reference!$A$6,MIN(Reference!$A$11,MIN($U78,270))),Reference!$A$6:$A$11,1))+1)-INDEX(Reference!$B$6:$B$11,MIN(5,MATCH(MAX(Reference!$A$6,MIN(Reference!$A$11,MIN($U78,270))),Reference!$A$6:$A$11,1))))/(INDEX(Reference!$A$6:$A$11,MIN(5,MATCH(MAX(Reference!$A$6,MIN(Reference!$A$11,MIN($U78,270))),Reference!$A$6:$A$11,1))+1)-INDEX(Reference!$A$6:$A$11,MIN(5,MATCH(MAX(Reference!$A$6,MIN(Reference!$A$11,MIN($U78,270))),Reference!$A$6:$A$11,1))))),0)+IF(8&lt;=$AL78,($AL78-8+3)*(INDEX(Reference!$B$6:$B$11,MIN(5,MATCH(MAX(Reference!$A$6,MIN(Reference!$A$11,MIN($U78,300))),Reference!$A$6:$A$11,1)))+(MAX(Reference!$A$6,MIN(Reference!$A$11,MIN($U78,300)))-INDEX(Reference!$A$6:$A$11,MIN(5,MATCH(MAX(Reference!$A$6,MIN(Reference!$A$11,MIN($U78,300))),Reference!$A$6:$A$11,1))))*(INDEX(Reference!$B$6:$B$11,MIN(5,MATCH(MAX(Reference!$A$6,MIN(Reference!$A$11,MIN($U78,300))),Reference!$A$6:$A$11,1))+1)-INDEX(Reference!$B$6:$B$11,MIN(5,MATCH(MAX(Reference!$A$6,MIN(Reference!$A$11,MIN($U78,300))),Reference!$A$6:$A$11,1))))/(INDEX(Reference!$A$6:$A$11,MIN(5,MATCH(MAX(Reference!$A$6,MIN(Reference!$A$11,MIN($U78,300))),Reference!$A$6:$A$11,1))+1)-INDEX(Reference!$A$6:$A$11,MIN(5,MATCH(MAX(Reference!$A$6,MIN(Reference!$A$11,MIN($U78,300))),Reference!$A$6:$A$11,1))))),0))/($AL78*($AL78+5)/2)),$AN78))</f>
        <v>1.1499999999999999</v>
      </c>
      <c r="AN78" s="32">
        <f>IF($U78="",0,(INDEX(Reference!$B$6:$B$11,MIN(5,MATCH(MAX(Reference!$A$6,MIN(Reference!$A$11,$U78)),Reference!$A$6:$A$11,1)))+(MAX(Reference!$A$6,MIN(Reference!$A$11,$U78))-INDEX(Reference!$A$6:$A$11,MIN(5,MATCH(MAX(Reference!$A$6,MIN(Reference!$A$11,$U78)),Reference!$A$6:$A$11,1))))*(INDEX(Reference!$B$6:$B$11,MIN(5,MATCH(MAX(Reference!$A$6,MIN(Reference!$A$11,$U78)),Reference!$A$6:$A$11,1))+1)-INDEX(Reference!$B$6:$B$11,MIN(5,MATCH(MAX(Reference!$A$6,MIN(Reference!$A$11,$U78)),Reference!$A$6:$A$11,1))))/(INDEX(Reference!$A$6:$A$11,MIN(5,MATCH(MAX(Reference!$A$6,MIN(Reference!$A$11,$U78)),Reference!$A$6:$A$11,1))+1)-INDEX(Reference!$A$6:$A$11,MIN(5,MATCH(MAX(Reference!$A$6,MIN(Reference!$A$11,$U78)),Reference!$A$6:$A$11,1))))))</f>
        <v>1.1499999999999999</v>
      </c>
      <c r="AO78" s="37"/>
      <c r="AP78" s="37"/>
      <c r="AQ78" s="37"/>
    </row>
    <row r="79" spans="1:43" ht="26.4" x14ac:dyDescent="0.3">
      <c r="A79" s="48">
        <f t="shared" si="30"/>
        <v>46343</v>
      </c>
      <c r="B79" s="32" t="str">
        <f t="shared" si="31"/>
        <v>Tue</v>
      </c>
      <c r="C79" s="32">
        <f t="shared" si="32"/>
        <v>48</v>
      </c>
      <c r="D79" s="32" t="str">
        <f t="shared" si="33"/>
        <v>Extension</v>
      </c>
      <c r="E79" s="32" t="str">
        <f t="shared" si="34"/>
        <v>Medium</v>
      </c>
      <c r="F79" s="32" t="str">
        <f t="shared" si="35"/>
        <v>Long Toss</v>
      </c>
      <c r="G79" s="47" t="str">
        <f t="shared" si="36"/>
        <v>Long toss out to 135 ft — 34 throws (90×14 · 120×12 · 135×8) @ 75–78 mph + 60 ft × 10 @ 73–77 mph</v>
      </c>
      <c r="H79" s="30">
        <f t="shared" si="37"/>
        <v>38.555</v>
      </c>
      <c r="I79" s="46">
        <f>IF($A79="","",IF(AND($L79&lt;27,$K$12=0),"Building",IFERROR(((SUM($H$73:$H79)+$K$12*IF($L79&lt;6,SUMIFS('Throw Log'!$Q$5:$Q$300,'Throw Log'!$B$5:$B$300,$D$4,'Throw Log'!$A$5:$A$300,"&gt;="&amp;($D$6+$L79-6),'Throw Log'!$A$5:$A$300,"&lt;="&amp;($D$6-1)),0))/7)/((SUM($H$52:$H79)+$K$12*IF($L79&lt;27,SUMIFS('Throw Log'!$Q$5:$Q$300,'Throw Log'!$B$5:$B$300,$D$4,'Throw Log'!$A$5:$A$300,"&gt;="&amp;($D$6+$L79-27),'Throw Log'!$A$5:$A$300,"&lt;="&amp;($D$6-1)),0))/28),"")))</f>
        <v>1.1488529325539913</v>
      </c>
      <c r="J79" s="37"/>
      <c r="K79" s="37"/>
      <c r="L79" s="32">
        <v>36</v>
      </c>
      <c r="M79" s="32">
        <f t="shared" si="38"/>
        <v>6</v>
      </c>
      <c r="N79" s="32">
        <f t="shared" si="39"/>
        <v>1</v>
      </c>
      <c r="O79" s="32">
        <f t="shared" si="40"/>
        <v>0.47368421052631576</v>
      </c>
      <c r="P79" s="32">
        <f>IF(OR($A79="",N($C79)&lt;=7),"",$G$6*$G$9^($M79-1)*IF(AND(MOD($M79,Reference!$B$99)=0,$M79&lt;=$G$5-2),Reference!$B$100,1))</f>
        <v>144.22205101855957</v>
      </c>
      <c r="Q79" s="32">
        <f>IF($P79="","",IF(SUM($AK$78:$AK$84)=0,0,$P79*INDEX(Reference!$B$108:$B$114,$N79+1)/SUM($AK$78:$AK$84)))</f>
        <v>38.939953775011084</v>
      </c>
      <c r="R79" s="32">
        <f t="shared" si="41"/>
        <v>135</v>
      </c>
      <c r="S79" s="32">
        <f t="shared" si="42"/>
        <v>120</v>
      </c>
      <c r="T79" s="32" t="str">
        <f>IF($A79="","",IF($C79=0,"Bullpen",IF(OR($C79=7,$C79=1,$C79=5),"Recovery/Easy Catch",IF($C79=6,"Compression/Pulldowns",IF(OR($C79=4,$C79=2),"Long Toss",IF($C79=3,"No Throw",IF($N79=2,"No Throw",IF($N79=6,IF($O79&lt;Reference!$B$104,"No Throw","Recovery/Easy Catch"),IF(OR($N79=0,$N79=4),"Recovery/Easy Catch",IF($N79=1,IF($R79&gt;75,"Long Toss","Recovery/Easy Catch"),IF($N79=3,IF($O79&lt;0.5,IF($S79&gt;75,"Long Toss","Recovery/Easy Catch"),"Compression/Pulldowns"),IF($S79&gt;75,"Long Toss","Recovery/Easy Catch"))))))))))))</f>
        <v>Long Toss</v>
      </c>
      <c r="U79" s="32">
        <f t="shared" si="43"/>
        <v>135</v>
      </c>
      <c r="V79" s="32">
        <f t="shared" si="44"/>
        <v>13</v>
      </c>
      <c r="W79" s="32">
        <f t="shared" si="45"/>
        <v>16</v>
      </c>
      <c r="X79" s="32">
        <f t="shared" si="46"/>
        <v>10</v>
      </c>
      <c r="Y79" s="32">
        <f t="shared" si="47"/>
        <v>14</v>
      </c>
      <c r="Z79" s="32">
        <f t="shared" si="48"/>
        <v>18</v>
      </c>
      <c r="AA79" s="32" t="str">
        <f t="shared" si="49"/>
        <v/>
      </c>
      <c r="AB79" s="32">
        <f>IF($A79="","",IF($T79="No Throw",0,IF($K79&lt;&gt;"",$K79,IF($AA79&lt;&gt;"",ROUND($AA79*$D$12*IF($C79=0,1,$G$10),0),MIN(IF($T79="Recovery/Easy Catch",Reference!$B$103,IF($T79="Long Toss",Reference!$B$106,Reference!$B$102)),MAX(Reference!$B$101,ROUND(MAX(0,$Q79-$AE79)/$AF79,0)))))))</f>
        <v>34</v>
      </c>
      <c r="AC79" s="32">
        <f t="shared" si="50"/>
        <v>0</v>
      </c>
      <c r="AD79" s="32" t="b">
        <f t="shared" si="51"/>
        <v>0</v>
      </c>
      <c r="AE79" s="32">
        <f>IF($X79=0,0,$X79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79+$Z79)/2,0),Reference!$A$17:$B$20,2,TRUE()))</f>
        <v>6</v>
      </c>
      <c r="AF79" s="32">
        <f>IF(OR($A79="",$U79="",$T79="No Throw"),0,$AM79*VLOOKUP(MAX(($V79+$W79)/2,0),Reference!$A$17:$B$20,2,TRUE()))</f>
        <v>0.95750000000000002</v>
      </c>
      <c r="AG79" s="32">
        <f>IF($AC79=0,0,$AC79*INDEX(Reference!$B$61:$B$62,MATCH("Bullpen",Reference!$A$61:$A$62,0))*VLOOKUP(MAX($D$5-($D$9+$E$9)/2,0),Reference!$A$17:$B$20,2,TRUE()))</f>
        <v>0</v>
      </c>
      <c r="AH79" s="46">
        <f t="shared" si="52"/>
        <v>1.1488529325539913</v>
      </c>
      <c r="AI79" s="32">
        <f>IF($A79="",NA(),Reference!$A$25)</f>
        <v>0.8</v>
      </c>
      <c r="AJ79" s="32">
        <f t="shared" si="53"/>
        <v>1.3</v>
      </c>
      <c r="AK79" s="56">
        <f>IF(OR($A79="",N($C79)&lt;=7,$T79="No Throw",$J79="x"),0,INDEX(Reference!$B$108:$B$114,$N79+1))</f>
        <v>0.27</v>
      </c>
      <c r="AL79" s="32">
        <f t="shared" si="54"/>
        <v>3</v>
      </c>
      <c r="AM79" s="32">
        <f>IF($U79="",0,IF($AL79&gt;1,((IF(1&lt;=$AL79,($AL79-1+3)*(INDEX(Reference!$B$6:$B$11,MIN(5,MATCH(MAX(Reference!$A$6,MIN(Reference!$A$11,MIN($U79,90))),Reference!$A$6:$A$11,1)))+(MAX(Reference!$A$6,MIN(Reference!$A$11,MIN($U79,90)))-INDEX(Reference!$A$6:$A$11,MIN(5,MATCH(MAX(Reference!$A$6,MIN(Reference!$A$11,MIN($U79,90))),Reference!$A$6:$A$11,1))))*(INDEX(Reference!$B$6:$B$11,MIN(5,MATCH(MAX(Reference!$A$6,MIN(Reference!$A$11,MIN($U79,90))),Reference!$A$6:$A$11,1))+1)-INDEX(Reference!$B$6:$B$11,MIN(5,MATCH(MAX(Reference!$A$6,MIN(Reference!$A$11,MIN($U79,90))),Reference!$A$6:$A$11,1))))/(INDEX(Reference!$A$6:$A$11,MIN(5,MATCH(MAX(Reference!$A$6,MIN(Reference!$A$11,MIN($U79,90))),Reference!$A$6:$A$11,1))+1)-INDEX(Reference!$A$6:$A$11,MIN(5,MATCH(MAX(Reference!$A$6,MIN(Reference!$A$11,MIN($U79,90))),Reference!$A$6:$A$11,1))))),0)+IF(2&lt;=$AL79,($AL79-2+3)*(INDEX(Reference!$B$6:$B$11,MIN(5,MATCH(MAX(Reference!$A$6,MIN(Reference!$A$11,MIN($U79,120))),Reference!$A$6:$A$11,1)))+(MAX(Reference!$A$6,MIN(Reference!$A$11,MIN($U79,120)))-INDEX(Reference!$A$6:$A$11,MIN(5,MATCH(MAX(Reference!$A$6,MIN(Reference!$A$11,MIN($U79,120))),Reference!$A$6:$A$11,1))))*(INDEX(Reference!$B$6:$B$11,MIN(5,MATCH(MAX(Reference!$A$6,MIN(Reference!$A$11,MIN($U79,120))),Reference!$A$6:$A$11,1))+1)-INDEX(Reference!$B$6:$B$11,MIN(5,MATCH(MAX(Reference!$A$6,MIN(Reference!$A$11,MIN($U79,120))),Reference!$A$6:$A$11,1))))/(INDEX(Reference!$A$6:$A$11,MIN(5,MATCH(MAX(Reference!$A$6,MIN(Reference!$A$11,MIN($U79,120))),Reference!$A$6:$A$11,1))+1)-INDEX(Reference!$A$6:$A$11,MIN(5,MATCH(MAX(Reference!$A$6,MIN(Reference!$A$11,MIN($U79,120))),Reference!$A$6:$A$11,1))))),0)+IF(3&lt;=$AL79,($AL79-3+3)*(INDEX(Reference!$B$6:$B$11,MIN(5,MATCH(MAX(Reference!$A$6,MIN(Reference!$A$11,MIN($U79,150))),Reference!$A$6:$A$11,1)))+(MAX(Reference!$A$6,MIN(Reference!$A$11,MIN($U79,150)))-INDEX(Reference!$A$6:$A$11,MIN(5,MATCH(MAX(Reference!$A$6,MIN(Reference!$A$11,MIN($U79,150))),Reference!$A$6:$A$11,1))))*(INDEX(Reference!$B$6:$B$11,MIN(5,MATCH(MAX(Reference!$A$6,MIN(Reference!$A$11,MIN($U79,150))),Reference!$A$6:$A$11,1))+1)-INDEX(Reference!$B$6:$B$11,MIN(5,MATCH(MAX(Reference!$A$6,MIN(Reference!$A$11,MIN($U79,150))),Reference!$A$6:$A$11,1))))/(INDEX(Reference!$A$6:$A$11,MIN(5,MATCH(MAX(Reference!$A$6,MIN(Reference!$A$11,MIN($U79,150))),Reference!$A$6:$A$11,1))+1)-INDEX(Reference!$A$6:$A$11,MIN(5,MATCH(MAX(Reference!$A$6,MIN(Reference!$A$11,MIN($U79,150))),Reference!$A$6:$A$11,1))))),0)+IF(4&lt;=$AL79,($AL79-4+3)*(INDEX(Reference!$B$6:$B$11,MIN(5,MATCH(MAX(Reference!$A$6,MIN(Reference!$A$11,MIN($U79,180))),Reference!$A$6:$A$11,1)))+(MAX(Reference!$A$6,MIN(Reference!$A$11,MIN($U79,180)))-INDEX(Reference!$A$6:$A$11,MIN(5,MATCH(MAX(Reference!$A$6,MIN(Reference!$A$11,MIN($U79,180))),Reference!$A$6:$A$11,1))))*(INDEX(Reference!$B$6:$B$11,MIN(5,MATCH(MAX(Reference!$A$6,MIN(Reference!$A$11,MIN($U79,180))),Reference!$A$6:$A$11,1))+1)-INDEX(Reference!$B$6:$B$11,MIN(5,MATCH(MAX(Reference!$A$6,MIN(Reference!$A$11,MIN($U79,180))),Reference!$A$6:$A$11,1))))/(INDEX(Reference!$A$6:$A$11,MIN(5,MATCH(MAX(Reference!$A$6,MIN(Reference!$A$11,MIN($U79,180))),Reference!$A$6:$A$11,1))+1)-INDEX(Reference!$A$6:$A$11,MIN(5,MATCH(MAX(Reference!$A$6,MIN(Reference!$A$11,MIN($U79,180))),Reference!$A$6:$A$11,1))))),0)+IF(5&lt;=$AL79,($AL79-5+3)*(INDEX(Reference!$B$6:$B$11,MIN(5,MATCH(MAX(Reference!$A$6,MIN(Reference!$A$11,MIN($U79,210))),Reference!$A$6:$A$11,1)))+(MAX(Reference!$A$6,MIN(Reference!$A$11,MIN($U79,210)))-INDEX(Reference!$A$6:$A$11,MIN(5,MATCH(MAX(Reference!$A$6,MIN(Reference!$A$11,MIN($U79,210))),Reference!$A$6:$A$11,1))))*(INDEX(Reference!$B$6:$B$11,MIN(5,MATCH(MAX(Reference!$A$6,MIN(Reference!$A$11,MIN($U79,210))),Reference!$A$6:$A$11,1))+1)-INDEX(Reference!$B$6:$B$11,MIN(5,MATCH(MAX(Reference!$A$6,MIN(Reference!$A$11,MIN($U79,210))),Reference!$A$6:$A$11,1))))/(INDEX(Reference!$A$6:$A$11,MIN(5,MATCH(MAX(Reference!$A$6,MIN(Reference!$A$11,MIN($U79,210))),Reference!$A$6:$A$11,1))+1)-INDEX(Reference!$A$6:$A$11,MIN(5,MATCH(MAX(Reference!$A$6,MIN(Reference!$A$11,MIN($U79,210))),Reference!$A$6:$A$11,1))))),0)+IF(6&lt;=$AL79,($AL79-6+3)*(INDEX(Reference!$B$6:$B$11,MIN(5,MATCH(MAX(Reference!$A$6,MIN(Reference!$A$11,MIN($U79,240))),Reference!$A$6:$A$11,1)))+(MAX(Reference!$A$6,MIN(Reference!$A$11,MIN($U79,240)))-INDEX(Reference!$A$6:$A$11,MIN(5,MATCH(MAX(Reference!$A$6,MIN(Reference!$A$11,MIN($U79,240))),Reference!$A$6:$A$11,1))))*(INDEX(Reference!$B$6:$B$11,MIN(5,MATCH(MAX(Reference!$A$6,MIN(Reference!$A$11,MIN($U79,240))),Reference!$A$6:$A$11,1))+1)-INDEX(Reference!$B$6:$B$11,MIN(5,MATCH(MAX(Reference!$A$6,MIN(Reference!$A$11,MIN($U79,240))),Reference!$A$6:$A$11,1))))/(INDEX(Reference!$A$6:$A$11,MIN(5,MATCH(MAX(Reference!$A$6,MIN(Reference!$A$11,MIN($U79,240))),Reference!$A$6:$A$11,1))+1)-INDEX(Reference!$A$6:$A$11,MIN(5,MATCH(MAX(Reference!$A$6,MIN(Reference!$A$11,MIN($U79,240))),Reference!$A$6:$A$11,1))))),0)+IF(7&lt;=$AL79,($AL79-7+3)*(INDEX(Reference!$B$6:$B$11,MIN(5,MATCH(MAX(Reference!$A$6,MIN(Reference!$A$11,MIN($U79,270))),Reference!$A$6:$A$11,1)))+(MAX(Reference!$A$6,MIN(Reference!$A$11,MIN($U79,270)))-INDEX(Reference!$A$6:$A$11,MIN(5,MATCH(MAX(Reference!$A$6,MIN(Reference!$A$11,MIN($U79,270))),Reference!$A$6:$A$11,1))))*(INDEX(Reference!$B$6:$B$11,MIN(5,MATCH(MAX(Reference!$A$6,MIN(Reference!$A$11,MIN($U79,270))),Reference!$A$6:$A$11,1))+1)-INDEX(Reference!$B$6:$B$11,MIN(5,MATCH(MAX(Reference!$A$6,MIN(Reference!$A$11,MIN($U79,270))),Reference!$A$6:$A$11,1))))/(INDEX(Reference!$A$6:$A$11,MIN(5,MATCH(MAX(Reference!$A$6,MIN(Reference!$A$11,MIN($U79,270))),Reference!$A$6:$A$11,1))+1)-INDEX(Reference!$A$6:$A$11,MIN(5,MATCH(MAX(Reference!$A$6,MIN(Reference!$A$11,MIN($U79,270))),Reference!$A$6:$A$11,1))))),0)+IF(8&lt;=$AL79,($AL79-8+3)*(INDEX(Reference!$B$6:$B$11,MIN(5,MATCH(MAX(Reference!$A$6,MIN(Reference!$A$11,MIN($U79,300))),Reference!$A$6:$A$11,1)))+(MAX(Reference!$A$6,MIN(Reference!$A$11,MIN($U79,300)))-INDEX(Reference!$A$6:$A$11,MIN(5,MATCH(MAX(Reference!$A$6,MIN(Reference!$A$11,MIN($U79,300))),Reference!$A$6:$A$11,1))))*(INDEX(Reference!$B$6:$B$11,MIN(5,MATCH(MAX(Reference!$A$6,MIN(Reference!$A$11,MIN($U79,300))),Reference!$A$6:$A$11,1))+1)-INDEX(Reference!$B$6:$B$11,MIN(5,MATCH(MAX(Reference!$A$6,MIN(Reference!$A$11,MIN($U79,300))),Reference!$A$6:$A$11,1))))/(INDEX(Reference!$A$6:$A$11,MIN(5,MATCH(MAX(Reference!$A$6,MIN(Reference!$A$11,MIN($U79,300))),Reference!$A$6:$A$11,1))+1)-INDEX(Reference!$A$6:$A$11,MIN(5,MATCH(MAX(Reference!$A$6,MIN(Reference!$A$11,MIN($U79,300))),Reference!$A$6:$A$11,1))))),0))/($AL79*($AL79+5)/2)),$AN79))</f>
        <v>1.5958333333333334</v>
      </c>
      <c r="AN79" s="32">
        <f>IF($U79="",0,(INDEX(Reference!$B$6:$B$11,MIN(5,MATCH(MAX(Reference!$A$6,MIN(Reference!$A$11,$U79)),Reference!$A$6:$A$11,1)))+(MAX(Reference!$A$6,MIN(Reference!$A$11,$U79))-INDEX(Reference!$A$6:$A$11,MIN(5,MATCH(MAX(Reference!$A$6,MIN(Reference!$A$11,$U79)),Reference!$A$6:$A$11,1))))*(INDEX(Reference!$B$6:$B$11,MIN(5,MATCH(MAX(Reference!$A$6,MIN(Reference!$A$11,$U79)),Reference!$A$6:$A$11,1))+1)-INDEX(Reference!$B$6:$B$11,MIN(5,MATCH(MAX(Reference!$A$6,MIN(Reference!$A$11,$U79)),Reference!$A$6:$A$11,1))))/(INDEX(Reference!$A$6:$A$11,MIN(5,MATCH(MAX(Reference!$A$6,MIN(Reference!$A$11,$U79)),Reference!$A$6:$A$11,1))+1)-INDEX(Reference!$A$6:$A$11,MIN(5,MATCH(MAX(Reference!$A$6,MIN(Reference!$A$11,$U79)),Reference!$A$6:$A$11,1))))))</f>
        <v>1.9500000000000002</v>
      </c>
      <c r="AO79" s="37"/>
      <c r="AP79" s="37"/>
      <c r="AQ79" s="37"/>
    </row>
    <row r="80" spans="1:43" x14ac:dyDescent="0.3">
      <c r="A80" s="48">
        <f t="shared" si="30"/>
        <v>46344</v>
      </c>
      <c r="B80" s="32" t="str">
        <f t="shared" si="31"/>
        <v>Wed</v>
      </c>
      <c r="C80" s="32">
        <f t="shared" si="32"/>
        <v>47</v>
      </c>
      <c r="D80" s="32" t="str">
        <f t="shared" si="33"/>
        <v>Extension</v>
      </c>
      <c r="E80" s="32" t="str">
        <f t="shared" si="34"/>
        <v>No Throw</v>
      </c>
      <c r="F80" s="32" t="str">
        <f t="shared" si="35"/>
        <v>No Throw</v>
      </c>
      <c r="G80" s="47" t="str">
        <f t="shared" si="36"/>
        <v>Off</v>
      </c>
      <c r="H80" s="30">
        <f t="shared" si="37"/>
        <v>0</v>
      </c>
      <c r="I80" s="46">
        <f>IF($A80="","",IF(AND($L80&lt;27,$K$12=0),"Building",IFERROR(((SUM($H$74:$H80)+$K$12*IF($L80&lt;6,SUMIFS('Throw Log'!$Q$5:$Q$300,'Throw Log'!$B$5:$B$300,$D$4,'Throw Log'!$A$5:$A$300,"&gt;="&amp;($D$6+$L80-6),'Throw Log'!$A$5:$A$300,"&lt;="&amp;($D$6-1)),0))/7)/((SUM($H$53:$H80)+$K$12*IF($L80&lt;27,SUMIFS('Throw Log'!$Q$5:$Q$300,'Throw Log'!$B$5:$B$300,$D$4,'Throw Log'!$A$5:$A$300,"&gt;="&amp;($D$6+$L80-27),'Throw Log'!$A$5:$A$300,"&lt;="&amp;($D$6-1)),0))/28),"")))</f>
        <v>1.1488529325539913</v>
      </c>
      <c r="J80" s="37"/>
      <c r="K80" s="37"/>
      <c r="L80" s="32">
        <v>37</v>
      </c>
      <c r="M80" s="32">
        <f t="shared" si="38"/>
        <v>6</v>
      </c>
      <c r="N80" s="32">
        <f t="shared" si="39"/>
        <v>2</v>
      </c>
      <c r="O80" s="32">
        <f t="shared" si="40"/>
        <v>0.48684210526315791</v>
      </c>
      <c r="P80" s="32">
        <f>IF(OR($A80="",N($C80)&lt;=7),"",$G$6*$G$9^($M80-1)*IF(AND(MOD($M80,Reference!$B$99)=0,$M80&lt;=$G$5-2),Reference!$B$100,1))</f>
        <v>144.22205101855957</v>
      </c>
      <c r="Q80" s="32">
        <f>IF($P80="","",IF(SUM($AK$78:$AK$84)=0,0,$P80*INDEX(Reference!$B$108:$B$114,$N80+1)/SUM($AK$78:$AK$84)))</f>
        <v>0</v>
      </c>
      <c r="R80" s="32">
        <f t="shared" si="41"/>
        <v>135</v>
      </c>
      <c r="S80" s="32">
        <f t="shared" si="42"/>
        <v>120</v>
      </c>
      <c r="T80" s="32" t="str">
        <f>IF($A80="","",IF($C80=0,"Bullpen",IF(OR($C80=7,$C80=1,$C80=5),"Recovery/Easy Catch",IF($C80=6,"Compression/Pulldowns",IF(OR($C80=4,$C80=2),"Long Toss",IF($C80=3,"No Throw",IF($N80=2,"No Throw",IF($N80=6,IF($O80&lt;Reference!$B$104,"No Throw","Recovery/Easy Catch"),IF(OR($N80=0,$N80=4),"Recovery/Easy Catch",IF($N80=1,IF($R80&gt;75,"Long Toss","Recovery/Easy Catch"),IF($N80=3,IF($O80&lt;0.5,IF($S80&gt;75,"Long Toss","Recovery/Easy Catch"),"Compression/Pulldowns"),IF($S80&gt;75,"Long Toss","Recovery/Easy Catch"))))))))))))</f>
        <v>No Throw</v>
      </c>
      <c r="U80" s="32" t="str">
        <f t="shared" si="43"/>
        <v/>
      </c>
      <c r="V80" s="32" t="str">
        <f t="shared" si="44"/>
        <v/>
      </c>
      <c r="W80" s="32" t="str">
        <f t="shared" si="45"/>
        <v/>
      </c>
      <c r="X80" s="32">
        <f t="shared" si="46"/>
        <v>0</v>
      </c>
      <c r="Y80" s="32" t="str">
        <f t="shared" si="47"/>
        <v/>
      </c>
      <c r="Z80" s="32" t="str">
        <f t="shared" si="48"/>
        <v/>
      </c>
      <c r="AA80" s="32" t="str">
        <f t="shared" si="49"/>
        <v/>
      </c>
      <c r="AB80" s="32">
        <f>IF($A80="","",IF($T80="No Throw",0,IF($K80&lt;&gt;"",$K80,IF($AA80&lt;&gt;"",ROUND($AA80*$D$12*IF($C80=0,1,$G$10),0),MIN(IF($T80="Recovery/Easy Catch",Reference!$B$103,IF($T80="Long Toss",Reference!$B$106,Reference!$B$102)),MAX(Reference!$B$101,ROUND(MAX(0,$Q80-$AE80)/$AF80,0)))))))</f>
        <v>0</v>
      </c>
      <c r="AC80" s="32">
        <f t="shared" si="50"/>
        <v>0</v>
      </c>
      <c r="AD80" s="32" t="b">
        <f t="shared" si="51"/>
        <v>1</v>
      </c>
      <c r="AE80" s="32">
        <f>IF($X80=0,0,$X80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80+$Z80)/2,0),Reference!$A$17:$B$20,2,TRUE()))</f>
        <v>0</v>
      </c>
      <c r="AF80" s="32">
        <f>IF(OR($A80="",$U80="",$T80="No Throw"),0,$AM80*VLOOKUP(MAX(($V80+$W80)/2,0),Reference!$A$17:$B$20,2,TRUE()))</f>
        <v>0</v>
      </c>
      <c r="AG80" s="32">
        <f>IF($AC80=0,0,$AC80*INDEX(Reference!$B$61:$B$62,MATCH("Bullpen",Reference!$A$61:$A$62,0))*VLOOKUP(MAX($D$5-($D$9+$E$9)/2,0),Reference!$A$17:$B$20,2,TRUE()))</f>
        <v>0</v>
      </c>
      <c r="AH80" s="46">
        <f t="shared" si="52"/>
        <v>1.1488529325539913</v>
      </c>
      <c r="AI80" s="32">
        <f>IF($A80="",NA(),Reference!$A$25)</f>
        <v>0.8</v>
      </c>
      <c r="AJ80" s="32">
        <f t="shared" si="53"/>
        <v>1.3</v>
      </c>
      <c r="AK80" s="32">
        <f>IF(OR($A80="",N($C80)&lt;=7,$T80="No Throw",$J80="x"),0,INDEX(Reference!$B$108:$B$114,$N80+1))</f>
        <v>0</v>
      </c>
      <c r="AL80" s="32">
        <f t="shared" si="54"/>
        <v>1</v>
      </c>
      <c r="AM80" s="32">
        <f>IF($U80="",0,IF($AL80&gt;1,((IF(1&lt;=$AL80,($AL80-1+3)*(INDEX(Reference!$B$6:$B$11,MIN(5,MATCH(MAX(Reference!$A$6,MIN(Reference!$A$11,MIN($U80,90))),Reference!$A$6:$A$11,1)))+(MAX(Reference!$A$6,MIN(Reference!$A$11,MIN($U80,90)))-INDEX(Reference!$A$6:$A$11,MIN(5,MATCH(MAX(Reference!$A$6,MIN(Reference!$A$11,MIN($U80,90))),Reference!$A$6:$A$11,1))))*(INDEX(Reference!$B$6:$B$11,MIN(5,MATCH(MAX(Reference!$A$6,MIN(Reference!$A$11,MIN($U80,90))),Reference!$A$6:$A$11,1))+1)-INDEX(Reference!$B$6:$B$11,MIN(5,MATCH(MAX(Reference!$A$6,MIN(Reference!$A$11,MIN($U80,90))),Reference!$A$6:$A$11,1))))/(INDEX(Reference!$A$6:$A$11,MIN(5,MATCH(MAX(Reference!$A$6,MIN(Reference!$A$11,MIN($U80,90))),Reference!$A$6:$A$11,1))+1)-INDEX(Reference!$A$6:$A$11,MIN(5,MATCH(MAX(Reference!$A$6,MIN(Reference!$A$11,MIN($U80,90))),Reference!$A$6:$A$11,1))))),0)+IF(2&lt;=$AL80,($AL80-2+3)*(INDEX(Reference!$B$6:$B$11,MIN(5,MATCH(MAX(Reference!$A$6,MIN(Reference!$A$11,MIN($U80,120))),Reference!$A$6:$A$11,1)))+(MAX(Reference!$A$6,MIN(Reference!$A$11,MIN($U80,120)))-INDEX(Reference!$A$6:$A$11,MIN(5,MATCH(MAX(Reference!$A$6,MIN(Reference!$A$11,MIN($U80,120))),Reference!$A$6:$A$11,1))))*(INDEX(Reference!$B$6:$B$11,MIN(5,MATCH(MAX(Reference!$A$6,MIN(Reference!$A$11,MIN($U80,120))),Reference!$A$6:$A$11,1))+1)-INDEX(Reference!$B$6:$B$11,MIN(5,MATCH(MAX(Reference!$A$6,MIN(Reference!$A$11,MIN($U80,120))),Reference!$A$6:$A$11,1))))/(INDEX(Reference!$A$6:$A$11,MIN(5,MATCH(MAX(Reference!$A$6,MIN(Reference!$A$11,MIN($U80,120))),Reference!$A$6:$A$11,1))+1)-INDEX(Reference!$A$6:$A$11,MIN(5,MATCH(MAX(Reference!$A$6,MIN(Reference!$A$11,MIN($U80,120))),Reference!$A$6:$A$11,1))))),0)+IF(3&lt;=$AL80,($AL80-3+3)*(INDEX(Reference!$B$6:$B$11,MIN(5,MATCH(MAX(Reference!$A$6,MIN(Reference!$A$11,MIN($U80,150))),Reference!$A$6:$A$11,1)))+(MAX(Reference!$A$6,MIN(Reference!$A$11,MIN($U80,150)))-INDEX(Reference!$A$6:$A$11,MIN(5,MATCH(MAX(Reference!$A$6,MIN(Reference!$A$11,MIN($U80,150))),Reference!$A$6:$A$11,1))))*(INDEX(Reference!$B$6:$B$11,MIN(5,MATCH(MAX(Reference!$A$6,MIN(Reference!$A$11,MIN($U80,150))),Reference!$A$6:$A$11,1))+1)-INDEX(Reference!$B$6:$B$11,MIN(5,MATCH(MAX(Reference!$A$6,MIN(Reference!$A$11,MIN($U80,150))),Reference!$A$6:$A$11,1))))/(INDEX(Reference!$A$6:$A$11,MIN(5,MATCH(MAX(Reference!$A$6,MIN(Reference!$A$11,MIN($U80,150))),Reference!$A$6:$A$11,1))+1)-INDEX(Reference!$A$6:$A$11,MIN(5,MATCH(MAX(Reference!$A$6,MIN(Reference!$A$11,MIN($U80,150))),Reference!$A$6:$A$11,1))))),0)+IF(4&lt;=$AL80,($AL80-4+3)*(INDEX(Reference!$B$6:$B$11,MIN(5,MATCH(MAX(Reference!$A$6,MIN(Reference!$A$11,MIN($U80,180))),Reference!$A$6:$A$11,1)))+(MAX(Reference!$A$6,MIN(Reference!$A$11,MIN($U80,180)))-INDEX(Reference!$A$6:$A$11,MIN(5,MATCH(MAX(Reference!$A$6,MIN(Reference!$A$11,MIN($U80,180))),Reference!$A$6:$A$11,1))))*(INDEX(Reference!$B$6:$B$11,MIN(5,MATCH(MAX(Reference!$A$6,MIN(Reference!$A$11,MIN($U80,180))),Reference!$A$6:$A$11,1))+1)-INDEX(Reference!$B$6:$B$11,MIN(5,MATCH(MAX(Reference!$A$6,MIN(Reference!$A$11,MIN($U80,180))),Reference!$A$6:$A$11,1))))/(INDEX(Reference!$A$6:$A$11,MIN(5,MATCH(MAX(Reference!$A$6,MIN(Reference!$A$11,MIN($U80,180))),Reference!$A$6:$A$11,1))+1)-INDEX(Reference!$A$6:$A$11,MIN(5,MATCH(MAX(Reference!$A$6,MIN(Reference!$A$11,MIN($U80,180))),Reference!$A$6:$A$11,1))))),0)+IF(5&lt;=$AL80,($AL80-5+3)*(INDEX(Reference!$B$6:$B$11,MIN(5,MATCH(MAX(Reference!$A$6,MIN(Reference!$A$11,MIN($U80,210))),Reference!$A$6:$A$11,1)))+(MAX(Reference!$A$6,MIN(Reference!$A$11,MIN($U80,210)))-INDEX(Reference!$A$6:$A$11,MIN(5,MATCH(MAX(Reference!$A$6,MIN(Reference!$A$11,MIN($U80,210))),Reference!$A$6:$A$11,1))))*(INDEX(Reference!$B$6:$B$11,MIN(5,MATCH(MAX(Reference!$A$6,MIN(Reference!$A$11,MIN($U80,210))),Reference!$A$6:$A$11,1))+1)-INDEX(Reference!$B$6:$B$11,MIN(5,MATCH(MAX(Reference!$A$6,MIN(Reference!$A$11,MIN($U80,210))),Reference!$A$6:$A$11,1))))/(INDEX(Reference!$A$6:$A$11,MIN(5,MATCH(MAX(Reference!$A$6,MIN(Reference!$A$11,MIN($U80,210))),Reference!$A$6:$A$11,1))+1)-INDEX(Reference!$A$6:$A$11,MIN(5,MATCH(MAX(Reference!$A$6,MIN(Reference!$A$11,MIN($U80,210))),Reference!$A$6:$A$11,1))))),0)+IF(6&lt;=$AL80,($AL80-6+3)*(INDEX(Reference!$B$6:$B$11,MIN(5,MATCH(MAX(Reference!$A$6,MIN(Reference!$A$11,MIN($U80,240))),Reference!$A$6:$A$11,1)))+(MAX(Reference!$A$6,MIN(Reference!$A$11,MIN($U80,240)))-INDEX(Reference!$A$6:$A$11,MIN(5,MATCH(MAX(Reference!$A$6,MIN(Reference!$A$11,MIN($U80,240))),Reference!$A$6:$A$11,1))))*(INDEX(Reference!$B$6:$B$11,MIN(5,MATCH(MAX(Reference!$A$6,MIN(Reference!$A$11,MIN($U80,240))),Reference!$A$6:$A$11,1))+1)-INDEX(Reference!$B$6:$B$11,MIN(5,MATCH(MAX(Reference!$A$6,MIN(Reference!$A$11,MIN($U80,240))),Reference!$A$6:$A$11,1))))/(INDEX(Reference!$A$6:$A$11,MIN(5,MATCH(MAX(Reference!$A$6,MIN(Reference!$A$11,MIN($U80,240))),Reference!$A$6:$A$11,1))+1)-INDEX(Reference!$A$6:$A$11,MIN(5,MATCH(MAX(Reference!$A$6,MIN(Reference!$A$11,MIN($U80,240))),Reference!$A$6:$A$11,1))))),0)+IF(7&lt;=$AL80,($AL80-7+3)*(INDEX(Reference!$B$6:$B$11,MIN(5,MATCH(MAX(Reference!$A$6,MIN(Reference!$A$11,MIN($U80,270))),Reference!$A$6:$A$11,1)))+(MAX(Reference!$A$6,MIN(Reference!$A$11,MIN($U80,270)))-INDEX(Reference!$A$6:$A$11,MIN(5,MATCH(MAX(Reference!$A$6,MIN(Reference!$A$11,MIN($U80,270))),Reference!$A$6:$A$11,1))))*(INDEX(Reference!$B$6:$B$11,MIN(5,MATCH(MAX(Reference!$A$6,MIN(Reference!$A$11,MIN($U80,270))),Reference!$A$6:$A$11,1))+1)-INDEX(Reference!$B$6:$B$11,MIN(5,MATCH(MAX(Reference!$A$6,MIN(Reference!$A$11,MIN($U80,270))),Reference!$A$6:$A$11,1))))/(INDEX(Reference!$A$6:$A$11,MIN(5,MATCH(MAX(Reference!$A$6,MIN(Reference!$A$11,MIN($U80,270))),Reference!$A$6:$A$11,1))+1)-INDEX(Reference!$A$6:$A$11,MIN(5,MATCH(MAX(Reference!$A$6,MIN(Reference!$A$11,MIN($U80,270))),Reference!$A$6:$A$11,1))))),0)+IF(8&lt;=$AL80,($AL80-8+3)*(INDEX(Reference!$B$6:$B$11,MIN(5,MATCH(MAX(Reference!$A$6,MIN(Reference!$A$11,MIN($U80,300))),Reference!$A$6:$A$11,1)))+(MAX(Reference!$A$6,MIN(Reference!$A$11,MIN($U80,300)))-INDEX(Reference!$A$6:$A$11,MIN(5,MATCH(MAX(Reference!$A$6,MIN(Reference!$A$11,MIN($U80,300))),Reference!$A$6:$A$11,1))))*(INDEX(Reference!$B$6:$B$11,MIN(5,MATCH(MAX(Reference!$A$6,MIN(Reference!$A$11,MIN($U80,300))),Reference!$A$6:$A$11,1))+1)-INDEX(Reference!$B$6:$B$11,MIN(5,MATCH(MAX(Reference!$A$6,MIN(Reference!$A$11,MIN($U80,300))),Reference!$A$6:$A$11,1))))/(INDEX(Reference!$A$6:$A$11,MIN(5,MATCH(MAX(Reference!$A$6,MIN(Reference!$A$11,MIN($U80,300))),Reference!$A$6:$A$11,1))+1)-INDEX(Reference!$A$6:$A$11,MIN(5,MATCH(MAX(Reference!$A$6,MIN(Reference!$A$11,MIN($U80,300))),Reference!$A$6:$A$11,1))))),0))/($AL80*($AL80+5)/2)),$AN80))</f>
        <v>0</v>
      </c>
      <c r="AN80" s="32">
        <f>IF($U80="",0,(INDEX(Reference!$B$6:$B$11,MIN(5,MATCH(MAX(Reference!$A$6,MIN(Reference!$A$11,$U80)),Reference!$A$6:$A$11,1)))+(MAX(Reference!$A$6,MIN(Reference!$A$11,$U80))-INDEX(Reference!$A$6:$A$11,MIN(5,MATCH(MAX(Reference!$A$6,MIN(Reference!$A$11,$U80)),Reference!$A$6:$A$11,1))))*(INDEX(Reference!$B$6:$B$11,MIN(5,MATCH(MAX(Reference!$A$6,MIN(Reference!$A$11,$U80)),Reference!$A$6:$A$11,1))+1)-INDEX(Reference!$B$6:$B$11,MIN(5,MATCH(MAX(Reference!$A$6,MIN(Reference!$A$11,$U80)),Reference!$A$6:$A$11,1))))/(INDEX(Reference!$A$6:$A$11,MIN(5,MATCH(MAX(Reference!$A$6,MIN(Reference!$A$11,$U80)),Reference!$A$6:$A$11,1))+1)-INDEX(Reference!$A$6:$A$11,MIN(5,MATCH(MAX(Reference!$A$6,MIN(Reference!$A$11,$U80)),Reference!$A$6:$A$11,1))))))</f>
        <v>0</v>
      </c>
      <c r="AO80" s="37"/>
      <c r="AP80" s="37"/>
      <c r="AQ80" s="37"/>
    </row>
    <row r="81" spans="1:43" x14ac:dyDescent="0.3">
      <c r="A81" s="48">
        <f t="shared" si="30"/>
        <v>46345</v>
      </c>
      <c r="B81" s="32" t="str">
        <f t="shared" si="31"/>
        <v>Thu</v>
      </c>
      <c r="C81" s="32">
        <f t="shared" si="32"/>
        <v>46</v>
      </c>
      <c r="D81" s="32" t="str">
        <f t="shared" si="33"/>
        <v>Extension</v>
      </c>
      <c r="E81" s="32" t="str">
        <f t="shared" si="34"/>
        <v>High Non-Bullpen</v>
      </c>
      <c r="F81" s="32" t="str">
        <f t="shared" si="35"/>
        <v>Compression/Pulldowns</v>
      </c>
      <c r="G81" s="47" t="str">
        <f t="shared" si="36"/>
        <v>90 ft × 20 @ 82–84 mph + 60 ft × 15 @ 79–81 mph</v>
      </c>
      <c r="H81" s="30">
        <f t="shared" si="37"/>
        <v>35</v>
      </c>
      <c r="I81" s="46">
        <f>IF($A81="","",IF(AND($L81&lt;27,$K$12=0),"Building",IFERROR(((SUM($H$75:$H81)+$K$12*IF($L81&lt;6,SUMIFS('Throw Log'!$Q$5:$Q$300,'Throw Log'!$B$5:$B$300,$D$4,'Throw Log'!$A$5:$A$300,"&gt;="&amp;($D$6+$L81-6),'Throw Log'!$A$5:$A$300,"&lt;="&amp;($D$6-1)),0))/7)/((SUM($H$54:$H81)+$K$12*IF($L81&lt;27,SUMIFS('Throw Log'!$Q$5:$Q$300,'Throw Log'!$B$5:$B$300,$D$4,'Throw Log'!$A$5:$A$300,"&gt;="&amp;($D$6+$L81-27),'Throw Log'!$A$5:$A$300,"&lt;="&amp;($D$6-1)),0))/28),"")))</f>
        <v>1.1766143234166977</v>
      </c>
      <c r="J81" s="37"/>
      <c r="K81" s="37"/>
      <c r="L81" s="32">
        <v>38</v>
      </c>
      <c r="M81" s="32">
        <f t="shared" si="38"/>
        <v>6</v>
      </c>
      <c r="N81" s="32">
        <f t="shared" si="39"/>
        <v>3</v>
      </c>
      <c r="O81" s="32">
        <f t="shared" si="40"/>
        <v>0.5</v>
      </c>
      <c r="P81" s="32">
        <f>IF(OR($A81="",N($C81)&lt;=7),"",$G$6*$G$9^($M81-1)*IF(AND(MOD($M81,Reference!$B$99)=0,$M81&lt;=$G$5-2),Reference!$B$100,1))</f>
        <v>144.22205101855957</v>
      </c>
      <c r="Q81" s="32">
        <f>IF($P81="","",IF(SUM($AK$78:$AK$84)=0,0,$P81*INDEX(Reference!$B$108:$B$114,$N81+1)/SUM($AK$78:$AK$84)))</f>
        <v>34.613292244454293</v>
      </c>
      <c r="R81" s="32">
        <f t="shared" si="41"/>
        <v>135</v>
      </c>
      <c r="S81" s="32">
        <f t="shared" si="42"/>
        <v>120</v>
      </c>
      <c r="T81" s="32" t="str">
        <f>IF($A81="","",IF($C81=0,"Bullpen",IF(OR($C81=7,$C81=1,$C81=5),"Recovery/Easy Catch",IF($C81=6,"Compression/Pulldowns",IF(OR($C81=4,$C81=2),"Long Toss",IF($C81=3,"No Throw",IF($N81=2,"No Throw",IF($N81=6,IF($O81&lt;Reference!$B$104,"No Throw","Recovery/Easy Catch"),IF(OR($N81=0,$N81=4),"Recovery/Easy Catch",IF($N81=1,IF($R81&gt;75,"Long Toss","Recovery/Easy Catch"),IF($N81=3,IF($O81&lt;0.5,IF($S81&gt;75,"Long Toss","Recovery/Easy Catch"),"Compression/Pulldowns"),IF($S81&gt;75,"Long Toss","Recovery/Easy Catch"))))))))))))</f>
        <v>Compression/Pulldowns</v>
      </c>
      <c r="U81" s="32">
        <f t="shared" si="43"/>
        <v>90</v>
      </c>
      <c r="V81" s="32">
        <f t="shared" si="44"/>
        <v>7</v>
      </c>
      <c r="W81" s="32">
        <f t="shared" si="45"/>
        <v>9</v>
      </c>
      <c r="X81" s="32">
        <f t="shared" si="46"/>
        <v>15</v>
      </c>
      <c r="Y81" s="32">
        <f t="shared" si="47"/>
        <v>10</v>
      </c>
      <c r="Z81" s="32">
        <f t="shared" si="48"/>
        <v>12</v>
      </c>
      <c r="AA81" s="32" t="str">
        <f t="shared" si="49"/>
        <v/>
      </c>
      <c r="AB81" s="32">
        <f>IF($A81="","",IF($T81="No Throw",0,IF($K81&lt;&gt;"",$K81,IF($AA81&lt;&gt;"",ROUND($AA81*$D$12*IF($C81=0,1,$G$10),0),MIN(IF($T81="Recovery/Easy Catch",Reference!$B$103,IF($T81="Long Toss",Reference!$B$106,Reference!$B$102)),MAX(Reference!$B$101,ROUND(MAX(0,$Q81-$AE81)/$AF81,0)))))))</f>
        <v>20</v>
      </c>
      <c r="AC81" s="32">
        <f t="shared" si="50"/>
        <v>0</v>
      </c>
      <c r="AD81" s="32" t="b">
        <f t="shared" si="51"/>
        <v>0</v>
      </c>
      <c r="AE81" s="32">
        <f>IF($X81=0,0,$X81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81+$Z81)/2,0),Reference!$A$17:$B$20,2,TRUE()))</f>
        <v>9</v>
      </c>
      <c r="AF81" s="32">
        <f>IF(OR($A81="",$U81="",$T81="No Throw"),0,$AM81*VLOOKUP(MAX(($V81+$W81)/2,0),Reference!$A$17:$B$20,2,TRUE()))</f>
        <v>1.3</v>
      </c>
      <c r="AG81" s="32">
        <f>IF($AC81=0,0,$AC81*INDEX(Reference!$B$61:$B$62,MATCH("Bullpen",Reference!$A$61:$A$62,0))*VLOOKUP(MAX($D$5-($D$9+$E$9)/2,0),Reference!$A$17:$B$20,2,TRUE()))</f>
        <v>0</v>
      </c>
      <c r="AH81" s="46">
        <f t="shared" si="52"/>
        <v>1.1766143234166977</v>
      </c>
      <c r="AI81" s="32">
        <f>IF($A81="",NA(),Reference!$A$25)</f>
        <v>0.8</v>
      </c>
      <c r="AJ81" s="32">
        <f t="shared" si="53"/>
        <v>1.3</v>
      </c>
      <c r="AK81" s="56">
        <f>IF(OR($A81="",N($C81)&lt;=7,$T81="No Throw",$J81="x"),0,INDEX(Reference!$B$108:$B$114,$N81+1))</f>
        <v>0.24</v>
      </c>
      <c r="AL81" s="32">
        <f t="shared" si="54"/>
        <v>1</v>
      </c>
      <c r="AM81" s="32">
        <f>IF($U81="",0,IF($AL81&gt;1,((IF(1&lt;=$AL81,($AL81-1+3)*(INDEX(Reference!$B$6:$B$11,MIN(5,MATCH(MAX(Reference!$A$6,MIN(Reference!$A$11,MIN($U81,90))),Reference!$A$6:$A$11,1)))+(MAX(Reference!$A$6,MIN(Reference!$A$11,MIN($U81,90)))-INDEX(Reference!$A$6:$A$11,MIN(5,MATCH(MAX(Reference!$A$6,MIN(Reference!$A$11,MIN($U81,90))),Reference!$A$6:$A$11,1))))*(INDEX(Reference!$B$6:$B$11,MIN(5,MATCH(MAX(Reference!$A$6,MIN(Reference!$A$11,MIN($U81,90))),Reference!$A$6:$A$11,1))+1)-INDEX(Reference!$B$6:$B$11,MIN(5,MATCH(MAX(Reference!$A$6,MIN(Reference!$A$11,MIN($U81,90))),Reference!$A$6:$A$11,1))))/(INDEX(Reference!$A$6:$A$11,MIN(5,MATCH(MAX(Reference!$A$6,MIN(Reference!$A$11,MIN($U81,90))),Reference!$A$6:$A$11,1))+1)-INDEX(Reference!$A$6:$A$11,MIN(5,MATCH(MAX(Reference!$A$6,MIN(Reference!$A$11,MIN($U81,90))),Reference!$A$6:$A$11,1))))),0)+IF(2&lt;=$AL81,($AL81-2+3)*(INDEX(Reference!$B$6:$B$11,MIN(5,MATCH(MAX(Reference!$A$6,MIN(Reference!$A$11,MIN($U81,120))),Reference!$A$6:$A$11,1)))+(MAX(Reference!$A$6,MIN(Reference!$A$11,MIN($U81,120)))-INDEX(Reference!$A$6:$A$11,MIN(5,MATCH(MAX(Reference!$A$6,MIN(Reference!$A$11,MIN($U81,120))),Reference!$A$6:$A$11,1))))*(INDEX(Reference!$B$6:$B$11,MIN(5,MATCH(MAX(Reference!$A$6,MIN(Reference!$A$11,MIN($U81,120))),Reference!$A$6:$A$11,1))+1)-INDEX(Reference!$B$6:$B$11,MIN(5,MATCH(MAX(Reference!$A$6,MIN(Reference!$A$11,MIN($U81,120))),Reference!$A$6:$A$11,1))))/(INDEX(Reference!$A$6:$A$11,MIN(5,MATCH(MAX(Reference!$A$6,MIN(Reference!$A$11,MIN($U81,120))),Reference!$A$6:$A$11,1))+1)-INDEX(Reference!$A$6:$A$11,MIN(5,MATCH(MAX(Reference!$A$6,MIN(Reference!$A$11,MIN($U81,120))),Reference!$A$6:$A$11,1))))),0)+IF(3&lt;=$AL81,($AL81-3+3)*(INDEX(Reference!$B$6:$B$11,MIN(5,MATCH(MAX(Reference!$A$6,MIN(Reference!$A$11,MIN($U81,150))),Reference!$A$6:$A$11,1)))+(MAX(Reference!$A$6,MIN(Reference!$A$11,MIN($U81,150)))-INDEX(Reference!$A$6:$A$11,MIN(5,MATCH(MAX(Reference!$A$6,MIN(Reference!$A$11,MIN($U81,150))),Reference!$A$6:$A$11,1))))*(INDEX(Reference!$B$6:$B$11,MIN(5,MATCH(MAX(Reference!$A$6,MIN(Reference!$A$11,MIN($U81,150))),Reference!$A$6:$A$11,1))+1)-INDEX(Reference!$B$6:$B$11,MIN(5,MATCH(MAX(Reference!$A$6,MIN(Reference!$A$11,MIN($U81,150))),Reference!$A$6:$A$11,1))))/(INDEX(Reference!$A$6:$A$11,MIN(5,MATCH(MAX(Reference!$A$6,MIN(Reference!$A$11,MIN($U81,150))),Reference!$A$6:$A$11,1))+1)-INDEX(Reference!$A$6:$A$11,MIN(5,MATCH(MAX(Reference!$A$6,MIN(Reference!$A$11,MIN($U81,150))),Reference!$A$6:$A$11,1))))),0)+IF(4&lt;=$AL81,($AL81-4+3)*(INDEX(Reference!$B$6:$B$11,MIN(5,MATCH(MAX(Reference!$A$6,MIN(Reference!$A$11,MIN($U81,180))),Reference!$A$6:$A$11,1)))+(MAX(Reference!$A$6,MIN(Reference!$A$11,MIN($U81,180)))-INDEX(Reference!$A$6:$A$11,MIN(5,MATCH(MAX(Reference!$A$6,MIN(Reference!$A$11,MIN($U81,180))),Reference!$A$6:$A$11,1))))*(INDEX(Reference!$B$6:$B$11,MIN(5,MATCH(MAX(Reference!$A$6,MIN(Reference!$A$11,MIN($U81,180))),Reference!$A$6:$A$11,1))+1)-INDEX(Reference!$B$6:$B$11,MIN(5,MATCH(MAX(Reference!$A$6,MIN(Reference!$A$11,MIN($U81,180))),Reference!$A$6:$A$11,1))))/(INDEX(Reference!$A$6:$A$11,MIN(5,MATCH(MAX(Reference!$A$6,MIN(Reference!$A$11,MIN($U81,180))),Reference!$A$6:$A$11,1))+1)-INDEX(Reference!$A$6:$A$11,MIN(5,MATCH(MAX(Reference!$A$6,MIN(Reference!$A$11,MIN($U81,180))),Reference!$A$6:$A$11,1))))),0)+IF(5&lt;=$AL81,($AL81-5+3)*(INDEX(Reference!$B$6:$B$11,MIN(5,MATCH(MAX(Reference!$A$6,MIN(Reference!$A$11,MIN($U81,210))),Reference!$A$6:$A$11,1)))+(MAX(Reference!$A$6,MIN(Reference!$A$11,MIN($U81,210)))-INDEX(Reference!$A$6:$A$11,MIN(5,MATCH(MAX(Reference!$A$6,MIN(Reference!$A$11,MIN($U81,210))),Reference!$A$6:$A$11,1))))*(INDEX(Reference!$B$6:$B$11,MIN(5,MATCH(MAX(Reference!$A$6,MIN(Reference!$A$11,MIN($U81,210))),Reference!$A$6:$A$11,1))+1)-INDEX(Reference!$B$6:$B$11,MIN(5,MATCH(MAX(Reference!$A$6,MIN(Reference!$A$11,MIN($U81,210))),Reference!$A$6:$A$11,1))))/(INDEX(Reference!$A$6:$A$11,MIN(5,MATCH(MAX(Reference!$A$6,MIN(Reference!$A$11,MIN($U81,210))),Reference!$A$6:$A$11,1))+1)-INDEX(Reference!$A$6:$A$11,MIN(5,MATCH(MAX(Reference!$A$6,MIN(Reference!$A$11,MIN($U81,210))),Reference!$A$6:$A$11,1))))),0)+IF(6&lt;=$AL81,($AL81-6+3)*(INDEX(Reference!$B$6:$B$11,MIN(5,MATCH(MAX(Reference!$A$6,MIN(Reference!$A$11,MIN($U81,240))),Reference!$A$6:$A$11,1)))+(MAX(Reference!$A$6,MIN(Reference!$A$11,MIN($U81,240)))-INDEX(Reference!$A$6:$A$11,MIN(5,MATCH(MAX(Reference!$A$6,MIN(Reference!$A$11,MIN($U81,240))),Reference!$A$6:$A$11,1))))*(INDEX(Reference!$B$6:$B$11,MIN(5,MATCH(MAX(Reference!$A$6,MIN(Reference!$A$11,MIN($U81,240))),Reference!$A$6:$A$11,1))+1)-INDEX(Reference!$B$6:$B$11,MIN(5,MATCH(MAX(Reference!$A$6,MIN(Reference!$A$11,MIN($U81,240))),Reference!$A$6:$A$11,1))))/(INDEX(Reference!$A$6:$A$11,MIN(5,MATCH(MAX(Reference!$A$6,MIN(Reference!$A$11,MIN($U81,240))),Reference!$A$6:$A$11,1))+1)-INDEX(Reference!$A$6:$A$11,MIN(5,MATCH(MAX(Reference!$A$6,MIN(Reference!$A$11,MIN($U81,240))),Reference!$A$6:$A$11,1))))),0)+IF(7&lt;=$AL81,($AL81-7+3)*(INDEX(Reference!$B$6:$B$11,MIN(5,MATCH(MAX(Reference!$A$6,MIN(Reference!$A$11,MIN($U81,270))),Reference!$A$6:$A$11,1)))+(MAX(Reference!$A$6,MIN(Reference!$A$11,MIN($U81,270)))-INDEX(Reference!$A$6:$A$11,MIN(5,MATCH(MAX(Reference!$A$6,MIN(Reference!$A$11,MIN($U81,270))),Reference!$A$6:$A$11,1))))*(INDEX(Reference!$B$6:$B$11,MIN(5,MATCH(MAX(Reference!$A$6,MIN(Reference!$A$11,MIN($U81,270))),Reference!$A$6:$A$11,1))+1)-INDEX(Reference!$B$6:$B$11,MIN(5,MATCH(MAX(Reference!$A$6,MIN(Reference!$A$11,MIN($U81,270))),Reference!$A$6:$A$11,1))))/(INDEX(Reference!$A$6:$A$11,MIN(5,MATCH(MAX(Reference!$A$6,MIN(Reference!$A$11,MIN($U81,270))),Reference!$A$6:$A$11,1))+1)-INDEX(Reference!$A$6:$A$11,MIN(5,MATCH(MAX(Reference!$A$6,MIN(Reference!$A$11,MIN($U81,270))),Reference!$A$6:$A$11,1))))),0)+IF(8&lt;=$AL81,($AL81-8+3)*(INDEX(Reference!$B$6:$B$11,MIN(5,MATCH(MAX(Reference!$A$6,MIN(Reference!$A$11,MIN($U81,300))),Reference!$A$6:$A$11,1)))+(MAX(Reference!$A$6,MIN(Reference!$A$11,MIN($U81,300)))-INDEX(Reference!$A$6:$A$11,MIN(5,MATCH(MAX(Reference!$A$6,MIN(Reference!$A$11,MIN($U81,300))),Reference!$A$6:$A$11,1))))*(INDEX(Reference!$B$6:$B$11,MIN(5,MATCH(MAX(Reference!$A$6,MIN(Reference!$A$11,MIN($U81,300))),Reference!$A$6:$A$11,1))+1)-INDEX(Reference!$B$6:$B$11,MIN(5,MATCH(MAX(Reference!$A$6,MIN(Reference!$A$11,MIN($U81,300))),Reference!$A$6:$A$11,1))))/(INDEX(Reference!$A$6:$A$11,MIN(5,MATCH(MAX(Reference!$A$6,MIN(Reference!$A$11,MIN($U81,300))),Reference!$A$6:$A$11,1))+1)-INDEX(Reference!$A$6:$A$11,MIN(5,MATCH(MAX(Reference!$A$6,MIN(Reference!$A$11,MIN($U81,300))),Reference!$A$6:$A$11,1))))),0))/($AL81*($AL81+5)/2)),$AN81))</f>
        <v>1.3</v>
      </c>
      <c r="AN81" s="32">
        <f>IF($U81="",0,(INDEX(Reference!$B$6:$B$11,MIN(5,MATCH(MAX(Reference!$A$6,MIN(Reference!$A$11,$U81)),Reference!$A$6:$A$11,1)))+(MAX(Reference!$A$6,MIN(Reference!$A$11,$U81))-INDEX(Reference!$A$6:$A$11,MIN(5,MATCH(MAX(Reference!$A$6,MIN(Reference!$A$11,$U81)),Reference!$A$6:$A$11,1))))*(INDEX(Reference!$B$6:$B$11,MIN(5,MATCH(MAX(Reference!$A$6,MIN(Reference!$A$11,$U81)),Reference!$A$6:$A$11,1))+1)-INDEX(Reference!$B$6:$B$11,MIN(5,MATCH(MAX(Reference!$A$6,MIN(Reference!$A$11,$U81)),Reference!$A$6:$A$11,1))))/(INDEX(Reference!$A$6:$A$11,MIN(5,MATCH(MAX(Reference!$A$6,MIN(Reference!$A$11,$U81)),Reference!$A$6:$A$11,1))+1)-INDEX(Reference!$A$6:$A$11,MIN(5,MATCH(MAX(Reference!$A$6,MIN(Reference!$A$11,$U81)),Reference!$A$6:$A$11,1))))))</f>
        <v>1.3</v>
      </c>
      <c r="AO81" s="37"/>
      <c r="AP81" s="37"/>
      <c r="AQ81" s="37"/>
    </row>
    <row r="82" spans="1:43" x14ac:dyDescent="0.3">
      <c r="A82" s="48">
        <f t="shared" si="30"/>
        <v>46346</v>
      </c>
      <c r="B82" s="32" t="str">
        <f t="shared" si="31"/>
        <v>Fri</v>
      </c>
      <c r="C82" s="32">
        <f t="shared" si="32"/>
        <v>45</v>
      </c>
      <c r="D82" s="32" t="str">
        <f t="shared" si="33"/>
        <v>Extension</v>
      </c>
      <c r="E82" s="32" t="str">
        <f t="shared" si="34"/>
        <v>Low</v>
      </c>
      <c r="F82" s="32" t="str">
        <f t="shared" si="35"/>
        <v>Recovery/Easy Catch</v>
      </c>
      <c r="G82" s="47" t="str">
        <f t="shared" si="36"/>
        <v>75 ft × 21 @ 69–73 mph</v>
      </c>
      <c r="H82" s="30">
        <f t="shared" si="37"/>
        <v>14.489999999999998</v>
      </c>
      <c r="I82" s="46">
        <f>IF($A82="","",IF(AND($L82&lt;27,$K$12=0),"Building",IFERROR(((SUM($H$76:$H82)+$K$12*IF($L82&lt;6,SUMIFS('Throw Log'!$Q$5:$Q$300,'Throw Log'!$B$5:$B$300,$D$4,'Throw Log'!$A$5:$A$300,"&gt;="&amp;($D$6+$L82-6),'Throw Log'!$A$5:$A$300,"&lt;="&amp;($D$6-1)),0))/7)/((SUM($H$55:$H82)+$K$12*IF($L82&lt;27,SUMIFS('Throw Log'!$Q$5:$Q$300,'Throw Log'!$B$5:$B$300,$D$4,'Throw Log'!$A$5:$A$300,"&gt;="&amp;($D$6+$L82-27),'Throw Log'!$A$5:$A$300,"&lt;="&amp;($D$6-1)),0))/28),"")))</f>
        <v>1.1921853271591365</v>
      </c>
      <c r="J82" s="37"/>
      <c r="K82" s="37"/>
      <c r="L82" s="32">
        <v>39</v>
      </c>
      <c r="M82" s="32">
        <f t="shared" si="38"/>
        <v>6</v>
      </c>
      <c r="N82" s="32">
        <f t="shared" si="39"/>
        <v>4</v>
      </c>
      <c r="O82" s="32">
        <f t="shared" si="40"/>
        <v>0.51315789473684215</v>
      </c>
      <c r="P82" s="32">
        <f>IF(OR($A82="",N($C82)&lt;=7),"",$G$6*$G$9^($M82-1)*IF(AND(MOD($M82,Reference!$B$99)=0,$M82&lt;=$G$5-2),Reference!$B$100,1))</f>
        <v>144.22205101855957</v>
      </c>
      <c r="Q82" s="32">
        <f>IF($P82="","",IF(SUM($AK$78:$AK$84)=0,0,$P82*INDEX(Reference!$B$108:$B$114,$N82+1)/SUM($AK$78:$AK$84)))</f>
        <v>14.422205101855958</v>
      </c>
      <c r="R82" s="32">
        <f t="shared" si="41"/>
        <v>135</v>
      </c>
      <c r="S82" s="32">
        <f t="shared" si="42"/>
        <v>120</v>
      </c>
      <c r="T82" s="32" t="str">
        <f>IF($A82="","",IF($C82=0,"Bullpen",IF(OR($C82=7,$C82=1,$C82=5),"Recovery/Easy Catch",IF($C82=6,"Compression/Pulldowns",IF(OR($C82=4,$C82=2),"Long Toss",IF($C82=3,"No Throw",IF($N82=2,"No Throw",IF($N82=6,IF($O82&lt;Reference!$B$104,"No Throw","Recovery/Easy Catch"),IF(OR($N82=0,$N82=4),"Recovery/Easy Catch",IF($N82=1,IF($R82&gt;75,"Long Toss","Recovery/Easy Catch"),IF($N82=3,IF($O82&lt;0.5,IF($S82&gt;75,"Long Toss","Recovery/Easy Catch"),"Compression/Pulldowns"),IF($S82&gt;75,"Long Toss","Recovery/Easy Catch"))))))))))))</f>
        <v>Recovery/Easy Catch</v>
      </c>
      <c r="U82" s="32">
        <f t="shared" si="43"/>
        <v>75</v>
      </c>
      <c r="V82" s="32">
        <f t="shared" si="44"/>
        <v>18</v>
      </c>
      <c r="W82" s="32">
        <f t="shared" si="45"/>
        <v>22</v>
      </c>
      <c r="X82" s="32">
        <f t="shared" si="46"/>
        <v>0</v>
      </c>
      <c r="Y82" s="32" t="str">
        <f t="shared" si="47"/>
        <v/>
      </c>
      <c r="Z82" s="32" t="str">
        <f t="shared" si="48"/>
        <v/>
      </c>
      <c r="AA82" s="32" t="str">
        <f t="shared" si="49"/>
        <v/>
      </c>
      <c r="AB82" s="32">
        <f>IF($A82="","",IF($T82="No Throw",0,IF($K82&lt;&gt;"",$K82,IF($AA82&lt;&gt;"",ROUND($AA82*$D$12*IF($C82=0,1,$G$10),0),MIN(IF($T82="Recovery/Easy Catch",Reference!$B$103,IF($T82="Long Toss",Reference!$B$106,Reference!$B$102)),MAX(Reference!$B$101,ROUND(MAX(0,$Q82-$AE82)/$AF82,0)))))))</f>
        <v>21</v>
      </c>
      <c r="AC82" s="32">
        <f t="shared" si="50"/>
        <v>0</v>
      </c>
      <c r="AD82" s="32" t="b">
        <f t="shared" si="51"/>
        <v>0</v>
      </c>
      <c r="AE82" s="32">
        <f>IF($X82=0,0,$X82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82+$Z82)/2,0),Reference!$A$17:$B$20,2,TRUE()))</f>
        <v>0</v>
      </c>
      <c r="AF82" s="32">
        <f>IF(OR($A82="",$U82="",$T82="No Throw"),0,$AM82*VLOOKUP(MAX(($V82+$W82)/2,0),Reference!$A$17:$B$20,2,TRUE()))</f>
        <v>0.69</v>
      </c>
      <c r="AG82" s="32">
        <f>IF($AC82=0,0,$AC82*INDEX(Reference!$B$61:$B$62,MATCH("Bullpen",Reference!$A$61:$A$62,0))*VLOOKUP(MAX($D$5-($D$9+$E$9)/2,0),Reference!$A$17:$B$20,2,TRUE()))</f>
        <v>0</v>
      </c>
      <c r="AH82" s="46">
        <f t="shared" si="52"/>
        <v>1.1921853271591365</v>
      </c>
      <c r="AI82" s="32">
        <f>IF($A82="",NA(),Reference!$A$25)</f>
        <v>0.8</v>
      </c>
      <c r="AJ82" s="32">
        <f t="shared" si="53"/>
        <v>1.3</v>
      </c>
      <c r="AK82" s="56">
        <f>IF(OR($A82="",N($C82)&lt;=7,$T82="No Throw",$J82="x"),0,INDEX(Reference!$B$108:$B$114,$N82+1))</f>
        <v>0.1</v>
      </c>
      <c r="AL82" s="32">
        <f t="shared" si="54"/>
        <v>1</v>
      </c>
      <c r="AM82" s="32">
        <f>IF($U82="",0,IF($AL82&gt;1,((IF(1&lt;=$AL82,($AL82-1+3)*(INDEX(Reference!$B$6:$B$11,MIN(5,MATCH(MAX(Reference!$A$6,MIN(Reference!$A$11,MIN($U82,90))),Reference!$A$6:$A$11,1)))+(MAX(Reference!$A$6,MIN(Reference!$A$11,MIN($U82,90)))-INDEX(Reference!$A$6:$A$11,MIN(5,MATCH(MAX(Reference!$A$6,MIN(Reference!$A$11,MIN($U82,90))),Reference!$A$6:$A$11,1))))*(INDEX(Reference!$B$6:$B$11,MIN(5,MATCH(MAX(Reference!$A$6,MIN(Reference!$A$11,MIN($U82,90))),Reference!$A$6:$A$11,1))+1)-INDEX(Reference!$B$6:$B$11,MIN(5,MATCH(MAX(Reference!$A$6,MIN(Reference!$A$11,MIN($U82,90))),Reference!$A$6:$A$11,1))))/(INDEX(Reference!$A$6:$A$11,MIN(5,MATCH(MAX(Reference!$A$6,MIN(Reference!$A$11,MIN($U82,90))),Reference!$A$6:$A$11,1))+1)-INDEX(Reference!$A$6:$A$11,MIN(5,MATCH(MAX(Reference!$A$6,MIN(Reference!$A$11,MIN($U82,90))),Reference!$A$6:$A$11,1))))),0)+IF(2&lt;=$AL82,($AL82-2+3)*(INDEX(Reference!$B$6:$B$11,MIN(5,MATCH(MAX(Reference!$A$6,MIN(Reference!$A$11,MIN($U82,120))),Reference!$A$6:$A$11,1)))+(MAX(Reference!$A$6,MIN(Reference!$A$11,MIN($U82,120)))-INDEX(Reference!$A$6:$A$11,MIN(5,MATCH(MAX(Reference!$A$6,MIN(Reference!$A$11,MIN($U82,120))),Reference!$A$6:$A$11,1))))*(INDEX(Reference!$B$6:$B$11,MIN(5,MATCH(MAX(Reference!$A$6,MIN(Reference!$A$11,MIN($U82,120))),Reference!$A$6:$A$11,1))+1)-INDEX(Reference!$B$6:$B$11,MIN(5,MATCH(MAX(Reference!$A$6,MIN(Reference!$A$11,MIN($U82,120))),Reference!$A$6:$A$11,1))))/(INDEX(Reference!$A$6:$A$11,MIN(5,MATCH(MAX(Reference!$A$6,MIN(Reference!$A$11,MIN($U82,120))),Reference!$A$6:$A$11,1))+1)-INDEX(Reference!$A$6:$A$11,MIN(5,MATCH(MAX(Reference!$A$6,MIN(Reference!$A$11,MIN($U82,120))),Reference!$A$6:$A$11,1))))),0)+IF(3&lt;=$AL82,($AL82-3+3)*(INDEX(Reference!$B$6:$B$11,MIN(5,MATCH(MAX(Reference!$A$6,MIN(Reference!$A$11,MIN($U82,150))),Reference!$A$6:$A$11,1)))+(MAX(Reference!$A$6,MIN(Reference!$A$11,MIN($U82,150)))-INDEX(Reference!$A$6:$A$11,MIN(5,MATCH(MAX(Reference!$A$6,MIN(Reference!$A$11,MIN($U82,150))),Reference!$A$6:$A$11,1))))*(INDEX(Reference!$B$6:$B$11,MIN(5,MATCH(MAX(Reference!$A$6,MIN(Reference!$A$11,MIN($U82,150))),Reference!$A$6:$A$11,1))+1)-INDEX(Reference!$B$6:$B$11,MIN(5,MATCH(MAX(Reference!$A$6,MIN(Reference!$A$11,MIN($U82,150))),Reference!$A$6:$A$11,1))))/(INDEX(Reference!$A$6:$A$11,MIN(5,MATCH(MAX(Reference!$A$6,MIN(Reference!$A$11,MIN($U82,150))),Reference!$A$6:$A$11,1))+1)-INDEX(Reference!$A$6:$A$11,MIN(5,MATCH(MAX(Reference!$A$6,MIN(Reference!$A$11,MIN($U82,150))),Reference!$A$6:$A$11,1))))),0)+IF(4&lt;=$AL82,($AL82-4+3)*(INDEX(Reference!$B$6:$B$11,MIN(5,MATCH(MAX(Reference!$A$6,MIN(Reference!$A$11,MIN($U82,180))),Reference!$A$6:$A$11,1)))+(MAX(Reference!$A$6,MIN(Reference!$A$11,MIN($U82,180)))-INDEX(Reference!$A$6:$A$11,MIN(5,MATCH(MAX(Reference!$A$6,MIN(Reference!$A$11,MIN($U82,180))),Reference!$A$6:$A$11,1))))*(INDEX(Reference!$B$6:$B$11,MIN(5,MATCH(MAX(Reference!$A$6,MIN(Reference!$A$11,MIN($U82,180))),Reference!$A$6:$A$11,1))+1)-INDEX(Reference!$B$6:$B$11,MIN(5,MATCH(MAX(Reference!$A$6,MIN(Reference!$A$11,MIN($U82,180))),Reference!$A$6:$A$11,1))))/(INDEX(Reference!$A$6:$A$11,MIN(5,MATCH(MAX(Reference!$A$6,MIN(Reference!$A$11,MIN($U82,180))),Reference!$A$6:$A$11,1))+1)-INDEX(Reference!$A$6:$A$11,MIN(5,MATCH(MAX(Reference!$A$6,MIN(Reference!$A$11,MIN($U82,180))),Reference!$A$6:$A$11,1))))),0)+IF(5&lt;=$AL82,($AL82-5+3)*(INDEX(Reference!$B$6:$B$11,MIN(5,MATCH(MAX(Reference!$A$6,MIN(Reference!$A$11,MIN($U82,210))),Reference!$A$6:$A$11,1)))+(MAX(Reference!$A$6,MIN(Reference!$A$11,MIN($U82,210)))-INDEX(Reference!$A$6:$A$11,MIN(5,MATCH(MAX(Reference!$A$6,MIN(Reference!$A$11,MIN($U82,210))),Reference!$A$6:$A$11,1))))*(INDEX(Reference!$B$6:$B$11,MIN(5,MATCH(MAX(Reference!$A$6,MIN(Reference!$A$11,MIN($U82,210))),Reference!$A$6:$A$11,1))+1)-INDEX(Reference!$B$6:$B$11,MIN(5,MATCH(MAX(Reference!$A$6,MIN(Reference!$A$11,MIN($U82,210))),Reference!$A$6:$A$11,1))))/(INDEX(Reference!$A$6:$A$11,MIN(5,MATCH(MAX(Reference!$A$6,MIN(Reference!$A$11,MIN($U82,210))),Reference!$A$6:$A$11,1))+1)-INDEX(Reference!$A$6:$A$11,MIN(5,MATCH(MAX(Reference!$A$6,MIN(Reference!$A$11,MIN($U82,210))),Reference!$A$6:$A$11,1))))),0)+IF(6&lt;=$AL82,($AL82-6+3)*(INDEX(Reference!$B$6:$B$11,MIN(5,MATCH(MAX(Reference!$A$6,MIN(Reference!$A$11,MIN($U82,240))),Reference!$A$6:$A$11,1)))+(MAX(Reference!$A$6,MIN(Reference!$A$11,MIN($U82,240)))-INDEX(Reference!$A$6:$A$11,MIN(5,MATCH(MAX(Reference!$A$6,MIN(Reference!$A$11,MIN($U82,240))),Reference!$A$6:$A$11,1))))*(INDEX(Reference!$B$6:$B$11,MIN(5,MATCH(MAX(Reference!$A$6,MIN(Reference!$A$11,MIN($U82,240))),Reference!$A$6:$A$11,1))+1)-INDEX(Reference!$B$6:$B$11,MIN(5,MATCH(MAX(Reference!$A$6,MIN(Reference!$A$11,MIN($U82,240))),Reference!$A$6:$A$11,1))))/(INDEX(Reference!$A$6:$A$11,MIN(5,MATCH(MAX(Reference!$A$6,MIN(Reference!$A$11,MIN($U82,240))),Reference!$A$6:$A$11,1))+1)-INDEX(Reference!$A$6:$A$11,MIN(5,MATCH(MAX(Reference!$A$6,MIN(Reference!$A$11,MIN($U82,240))),Reference!$A$6:$A$11,1))))),0)+IF(7&lt;=$AL82,($AL82-7+3)*(INDEX(Reference!$B$6:$B$11,MIN(5,MATCH(MAX(Reference!$A$6,MIN(Reference!$A$11,MIN($U82,270))),Reference!$A$6:$A$11,1)))+(MAX(Reference!$A$6,MIN(Reference!$A$11,MIN($U82,270)))-INDEX(Reference!$A$6:$A$11,MIN(5,MATCH(MAX(Reference!$A$6,MIN(Reference!$A$11,MIN($U82,270))),Reference!$A$6:$A$11,1))))*(INDEX(Reference!$B$6:$B$11,MIN(5,MATCH(MAX(Reference!$A$6,MIN(Reference!$A$11,MIN($U82,270))),Reference!$A$6:$A$11,1))+1)-INDEX(Reference!$B$6:$B$11,MIN(5,MATCH(MAX(Reference!$A$6,MIN(Reference!$A$11,MIN($U82,270))),Reference!$A$6:$A$11,1))))/(INDEX(Reference!$A$6:$A$11,MIN(5,MATCH(MAX(Reference!$A$6,MIN(Reference!$A$11,MIN($U82,270))),Reference!$A$6:$A$11,1))+1)-INDEX(Reference!$A$6:$A$11,MIN(5,MATCH(MAX(Reference!$A$6,MIN(Reference!$A$11,MIN($U82,270))),Reference!$A$6:$A$11,1))))),0)+IF(8&lt;=$AL82,($AL82-8+3)*(INDEX(Reference!$B$6:$B$11,MIN(5,MATCH(MAX(Reference!$A$6,MIN(Reference!$A$11,MIN($U82,300))),Reference!$A$6:$A$11,1)))+(MAX(Reference!$A$6,MIN(Reference!$A$11,MIN($U82,300)))-INDEX(Reference!$A$6:$A$11,MIN(5,MATCH(MAX(Reference!$A$6,MIN(Reference!$A$11,MIN($U82,300))),Reference!$A$6:$A$11,1))))*(INDEX(Reference!$B$6:$B$11,MIN(5,MATCH(MAX(Reference!$A$6,MIN(Reference!$A$11,MIN($U82,300))),Reference!$A$6:$A$11,1))+1)-INDEX(Reference!$B$6:$B$11,MIN(5,MATCH(MAX(Reference!$A$6,MIN(Reference!$A$11,MIN($U82,300))),Reference!$A$6:$A$11,1))))/(INDEX(Reference!$A$6:$A$11,MIN(5,MATCH(MAX(Reference!$A$6,MIN(Reference!$A$11,MIN($U82,300))),Reference!$A$6:$A$11,1))+1)-INDEX(Reference!$A$6:$A$11,MIN(5,MATCH(MAX(Reference!$A$6,MIN(Reference!$A$11,MIN($U82,300))),Reference!$A$6:$A$11,1))))),0))/($AL82*($AL82+5)/2)),$AN82))</f>
        <v>1.1499999999999999</v>
      </c>
      <c r="AN82" s="32">
        <f>IF($U82="",0,(INDEX(Reference!$B$6:$B$11,MIN(5,MATCH(MAX(Reference!$A$6,MIN(Reference!$A$11,$U82)),Reference!$A$6:$A$11,1)))+(MAX(Reference!$A$6,MIN(Reference!$A$11,$U82))-INDEX(Reference!$A$6:$A$11,MIN(5,MATCH(MAX(Reference!$A$6,MIN(Reference!$A$11,$U82)),Reference!$A$6:$A$11,1))))*(INDEX(Reference!$B$6:$B$11,MIN(5,MATCH(MAX(Reference!$A$6,MIN(Reference!$A$11,$U82)),Reference!$A$6:$A$11,1))+1)-INDEX(Reference!$B$6:$B$11,MIN(5,MATCH(MAX(Reference!$A$6,MIN(Reference!$A$11,$U82)),Reference!$A$6:$A$11,1))))/(INDEX(Reference!$A$6:$A$11,MIN(5,MATCH(MAX(Reference!$A$6,MIN(Reference!$A$11,$U82)),Reference!$A$6:$A$11,1))+1)-INDEX(Reference!$A$6:$A$11,MIN(5,MATCH(MAX(Reference!$A$6,MIN(Reference!$A$11,$U82)),Reference!$A$6:$A$11,1))))))</f>
        <v>1.1499999999999999</v>
      </c>
      <c r="AO82" s="37"/>
      <c r="AP82" s="37"/>
      <c r="AQ82" s="37"/>
    </row>
    <row r="83" spans="1:43" ht="26.4" x14ac:dyDescent="0.3">
      <c r="A83" s="48">
        <f t="shared" si="30"/>
        <v>46347</v>
      </c>
      <c r="B83" s="32" t="str">
        <f t="shared" si="31"/>
        <v>Sat</v>
      </c>
      <c r="C83" s="32">
        <f t="shared" si="32"/>
        <v>44</v>
      </c>
      <c r="D83" s="32" t="str">
        <f t="shared" si="33"/>
        <v>Extension</v>
      </c>
      <c r="E83" s="32" t="str">
        <f t="shared" si="34"/>
        <v>Medium</v>
      </c>
      <c r="F83" s="32" t="str">
        <f t="shared" si="35"/>
        <v>Long Toss</v>
      </c>
      <c r="G83" s="47" t="str">
        <f t="shared" si="36"/>
        <v>Long toss out to 135 ft — 25 throws (90×10 · 120×9 · 135×6) @ 78–81 mph + 60 ft × 12 @ 76–79 mph</v>
      </c>
      <c r="H83" s="30">
        <f t="shared" si="37"/>
        <v>31.137499999999999</v>
      </c>
      <c r="I83" s="46">
        <f>IF($A83="","",IF(AND($L83&lt;27,$K$12=0),"Building",IFERROR(((SUM($H$77:$H83)+$K$12*IF($L83&lt;6,SUMIFS('Throw Log'!$Q$5:$Q$300,'Throw Log'!$B$5:$B$300,$D$4,'Throw Log'!$A$5:$A$300,"&gt;="&amp;($D$6+$L83-6),'Throw Log'!$A$5:$A$300,"&lt;="&amp;($D$6-1)),0))/7)/((SUM($H$56:$H83)+$K$12*IF($L83&lt;27,SUMIFS('Throw Log'!$Q$5:$Q$300,'Throw Log'!$B$5:$B$300,$D$4,'Throw Log'!$A$5:$A$300,"&gt;="&amp;($D$6+$L83-27),'Throw Log'!$A$5:$A$300,"&lt;="&amp;($D$6-1)),0))/28),"")))</f>
        <v>1.1883523052048797</v>
      </c>
      <c r="J83" s="37"/>
      <c r="K83" s="37">
        <v>25</v>
      </c>
      <c r="L83" s="32">
        <v>40</v>
      </c>
      <c r="M83" s="32">
        <f t="shared" si="38"/>
        <v>6</v>
      </c>
      <c r="N83" s="32">
        <f t="shared" si="39"/>
        <v>5</v>
      </c>
      <c r="O83" s="32">
        <f t="shared" si="40"/>
        <v>0.52631578947368418</v>
      </c>
      <c r="P83" s="32">
        <f>IF(OR($A83="",N($C83)&lt;=7),"",$G$6*$G$9^($M83-1)*IF(AND(MOD($M83,Reference!$B$99)=0,$M83&lt;=$G$5-2),Reference!$B$100,1))</f>
        <v>144.22205101855957</v>
      </c>
      <c r="Q83" s="32">
        <f>IF($P83="","",IF(SUM($AK$78:$AK$84)=0,0,$P83*INDEX(Reference!$B$108:$B$114,$N83+1)/SUM($AK$78:$AK$84)))</f>
        <v>38.939953775011084</v>
      </c>
      <c r="R83" s="32">
        <f t="shared" si="41"/>
        <v>150</v>
      </c>
      <c r="S83" s="32">
        <f t="shared" si="42"/>
        <v>135</v>
      </c>
      <c r="T83" s="32" t="str">
        <f>IF($A83="","",IF($C83=0,"Bullpen",IF(OR($C83=7,$C83=1,$C83=5),"Recovery/Easy Catch",IF($C83=6,"Compression/Pulldowns",IF(OR($C83=4,$C83=2),"Long Toss",IF($C83=3,"No Throw",IF($N83=2,"No Throw",IF($N83=6,IF($O83&lt;Reference!$B$104,"No Throw","Recovery/Easy Catch"),IF(OR($N83=0,$N83=4),"Recovery/Easy Catch",IF($N83=1,IF($R83&gt;75,"Long Toss","Recovery/Easy Catch"),IF($N83=3,IF($O83&lt;0.5,IF($S83&gt;75,"Long Toss","Recovery/Easy Catch"),"Compression/Pulldowns"),IF($S83&gt;75,"Long Toss","Recovery/Easy Catch"))))))))))))</f>
        <v>Long Toss</v>
      </c>
      <c r="U83" s="32">
        <f t="shared" si="43"/>
        <v>135</v>
      </c>
      <c r="V83" s="32">
        <f t="shared" si="44"/>
        <v>10</v>
      </c>
      <c r="W83" s="32">
        <f t="shared" si="45"/>
        <v>13</v>
      </c>
      <c r="X83" s="32">
        <f t="shared" si="46"/>
        <v>12</v>
      </c>
      <c r="Y83" s="32">
        <f t="shared" si="47"/>
        <v>12</v>
      </c>
      <c r="Z83" s="32">
        <f t="shared" si="48"/>
        <v>15</v>
      </c>
      <c r="AA83" s="32" t="str">
        <f t="shared" si="49"/>
        <v/>
      </c>
      <c r="AB83" s="32">
        <f>IF($A83="","",IF($T83="No Throw",0,IF($K83&lt;&gt;"",$K83,IF($AA83&lt;&gt;"",ROUND($AA83*$D$12*IF($C83=0,1,$G$10),0),MIN(IF($T83="Recovery/Easy Catch",Reference!$B$103,IF($T83="Long Toss",Reference!$B$106,Reference!$B$102)),MAX(Reference!$B$101,ROUND(MAX(0,$Q83-$AE83)/$AF83,0)))))))</f>
        <v>25</v>
      </c>
      <c r="AC83" s="32">
        <f t="shared" si="50"/>
        <v>0</v>
      </c>
      <c r="AD83" s="32" t="b">
        <f t="shared" si="51"/>
        <v>0</v>
      </c>
      <c r="AE83" s="32">
        <f>IF($X83=0,0,$X83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83+$Z83)/2,0),Reference!$A$17:$B$20,2,TRUE()))</f>
        <v>7.1999999999999993</v>
      </c>
      <c r="AF83" s="32">
        <f>IF(OR($A83="",$U83="",$T83="No Throw"),0,$AM83*VLOOKUP(MAX(($V83+$W83)/2,0),Reference!$A$17:$B$20,2,TRUE()))</f>
        <v>0.95750000000000002</v>
      </c>
      <c r="AG83" s="32">
        <f>IF($AC83=0,0,$AC83*INDEX(Reference!$B$61:$B$62,MATCH("Bullpen",Reference!$A$61:$A$62,0))*VLOOKUP(MAX($D$5-($D$9+$E$9)/2,0),Reference!$A$17:$B$20,2,TRUE()))</f>
        <v>0</v>
      </c>
      <c r="AH83" s="46">
        <f t="shared" si="52"/>
        <v>1.1883523052048797</v>
      </c>
      <c r="AI83" s="32">
        <f>IF($A83="",NA(),Reference!$A$25)</f>
        <v>0.8</v>
      </c>
      <c r="AJ83" s="32">
        <f t="shared" si="53"/>
        <v>1.3</v>
      </c>
      <c r="AK83" s="56">
        <f>IF(OR($A83="",N($C83)&lt;=7,$T83="No Throw",$J83="x"),0,INDEX(Reference!$B$108:$B$114,$N83+1))</f>
        <v>0.27</v>
      </c>
      <c r="AL83" s="32">
        <f t="shared" si="54"/>
        <v>3</v>
      </c>
      <c r="AM83" s="32">
        <f>IF($U83="",0,IF($AL83&gt;1,((IF(1&lt;=$AL83,($AL83-1+3)*(INDEX(Reference!$B$6:$B$11,MIN(5,MATCH(MAX(Reference!$A$6,MIN(Reference!$A$11,MIN($U83,90))),Reference!$A$6:$A$11,1)))+(MAX(Reference!$A$6,MIN(Reference!$A$11,MIN($U83,90)))-INDEX(Reference!$A$6:$A$11,MIN(5,MATCH(MAX(Reference!$A$6,MIN(Reference!$A$11,MIN($U83,90))),Reference!$A$6:$A$11,1))))*(INDEX(Reference!$B$6:$B$11,MIN(5,MATCH(MAX(Reference!$A$6,MIN(Reference!$A$11,MIN($U83,90))),Reference!$A$6:$A$11,1))+1)-INDEX(Reference!$B$6:$B$11,MIN(5,MATCH(MAX(Reference!$A$6,MIN(Reference!$A$11,MIN($U83,90))),Reference!$A$6:$A$11,1))))/(INDEX(Reference!$A$6:$A$11,MIN(5,MATCH(MAX(Reference!$A$6,MIN(Reference!$A$11,MIN($U83,90))),Reference!$A$6:$A$11,1))+1)-INDEX(Reference!$A$6:$A$11,MIN(5,MATCH(MAX(Reference!$A$6,MIN(Reference!$A$11,MIN($U83,90))),Reference!$A$6:$A$11,1))))),0)+IF(2&lt;=$AL83,($AL83-2+3)*(INDEX(Reference!$B$6:$B$11,MIN(5,MATCH(MAX(Reference!$A$6,MIN(Reference!$A$11,MIN($U83,120))),Reference!$A$6:$A$11,1)))+(MAX(Reference!$A$6,MIN(Reference!$A$11,MIN($U83,120)))-INDEX(Reference!$A$6:$A$11,MIN(5,MATCH(MAX(Reference!$A$6,MIN(Reference!$A$11,MIN($U83,120))),Reference!$A$6:$A$11,1))))*(INDEX(Reference!$B$6:$B$11,MIN(5,MATCH(MAX(Reference!$A$6,MIN(Reference!$A$11,MIN($U83,120))),Reference!$A$6:$A$11,1))+1)-INDEX(Reference!$B$6:$B$11,MIN(5,MATCH(MAX(Reference!$A$6,MIN(Reference!$A$11,MIN($U83,120))),Reference!$A$6:$A$11,1))))/(INDEX(Reference!$A$6:$A$11,MIN(5,MATCH(MAX(Reference!$A$6,MIN(Reference!$A$11,MIN($U83,120))),Reference!$A$6:$A$11,1))+1)-INDEX(Reference!$A$6:$A$11,MIN(5,MATCH(MAX(Reference!$A$6,MIN(Reference!$A$11,MIN($U83,120))),Reference!$A$6:$A$11,1))))),0)+IF(3&lt;=$AL83,($AL83-3+3)*(INDEX(Reference!$B$6:$B$11,MIN(5,MATCH(MAX(Reference!$A$6,MIN(Reference!$A$11,MIN($U83,150))),Reference!$A$6:$A$11,1)))+(MAX(Reference!$A$6,MIN(Reference!$A$11,MIN($U83,150)))-INDEX(Reference!$A$6:$A$11,MIN(5,MATCH(MAX(Reference!$A$6,MIN(Reference!$A$11,MIN($U83,150))),Reference!$A$6:$A$11,1))))*(INDEX(Reference!$B$6:$B$11,MIN(5,MATCH(MAX(Reference!$A$6,MIN(Reference!$A$11,MIN($U83,150))),Reference!$A$6:$A$11,1))+1)-INDEX(Reference!$B$6:$B$11,MIN(5,MATCH(MAX(Reference!$A$6,MIN(Reference!$A$11,MIN($U83,150))),Reference!$A$6:$A$11,1))))/(INDEX(Reference!$A$6:$A$11,MIN(5,MATCH(MAX(Reference!$A$6,MIN(Reference!$A$11,MIN($U83,150))),Reference!$A$6:$A$11,1))+1)-INDEX(Reference!$A$6:$A$11,MIN(5,MATCH(MAX(Reference!$A$6,MIN(Reference!$A$11,MIN($U83,150))),Reference!$A$6:$A$11,1))))),0)+IF(4&lt;=$AL83,($AL83-4+3)*(INDEX(Reference!$B$6:$B$11,MIN(5,MATCH(MAX(Reference!$A$6,MIN(Reference!$A$11,MIN($U83,180))),Reference!$A$6:$A$11,1)))+(MAX(Reference!$A$6,MIN(Reference!$A$11,MIN($U83,180)))-INDEX(Reference!$A$6:$A$11,MIN(5,MATCH(MAX(Reference!$A$6,MIN(Reference!$A$11,MIN($U83,180))),Reference!$A$6:$A$11,1))))*(INDEX(Reference!$B$6:$B$11,MIN(5,MATCH(MAX(Reference!$A$6,MIN(Reference!$A$11,MIN($U83,180))),Reference!$A$6:$A$11,1))+1)-INDEX(Reference!$B$6:$B$11,MIN(5,MATCH(MAX(Reference!$A$6,MIN(Reference!$A$11,MIN($U83,180))),Reference!$A$6:$A$11,1))))/(INDEX(Reference!$A$6:$A$11,MIN(5,MATCH(MAX(Reference!$A$6,MIN(Reference!$A$11,MIN($U83,180))),Reference!$A$6:$A$11,1))+1)-INDEX(Reference!$A$6:$A$11,MIN(5,MATCH(MAX(Reference!$A$6,MIN(Reference!$A$11,MIN($U83,180))),Reference!$A$6:$A$11,1))))),0)+IF(5&lt;=$AL83,($AL83-5+3)*(INDEX(Reference!$B$6:$B$11,MIN(5,MATCH(MAX(Reference!$A$6,MIN(Reference!$A$11,MIN($U83,210))),Reference!$A$6:$A$11,1)))+(MAX(Reference!$A$6,MIN(Reference!$A$11,MIN($U83,210)))-INDEX(Reference!$A$6:$A$11,MIN(5,MATCH(MAX(Reference!$A$6,MIN(Reference!$A$11,MIN($U83,210))),Reference!$A$6:$A$11,1))))*(INDEX(Reference!$B$6:$B$11,MIN(5,MATCH(MAX(Reference!$A$6,MIN(Reference!$A$11,MIN($U83,210))),Reference!$A$6:$A$11,1))+1)-INDEX(Reference!$B$6:$B$11,MIN(5,MATCH(MAX(Reference!$A$6,MIN(Reference!$A$11,MIN($U83,210))),Reference!$A$6:$A$11,1))))/(INDEX(Reference!$A$6:$A$11,MIN(5,MATCH(MAX(Reference!$A$6,MIN(Reference!$A$11,MIN($U83,210))),Reference!$A$6:$A$11,1))+1)-INDEX(Reference!$A$6:$A$11,MIN(5,MATCH(MAX(Reference!$A$6,MIN(Reference!$A$11,MIN($U83,210))),Reference!$A$6:$A$11,1))))),0)+IF(6&lt;=$AL83,($AL83-6+3)*(INDEX(Reference!$B$6:$B$11,MIN(5,MATCH(MAX(Reference!$A$6,MIN(Reference!$A$11,MIN($U83,240))),Reference!$A$6:$A$11,1)))+(MAX(Reference!$A$6,MIN(Reference!$A$11,MIN($U83,240)))-INDEX(Reference!$A$6:$A$11,MIN(5,MATCH(MAX(Reference!$A$6,MIN(Reference!$A$11,MIN($U83,240))),Reference!$A$6:$A$11,1))))*(INDEX(Reference!$B$6:$B$11,MIN(5,MATCH(MAX(Reference!$A$6,MIN(Reference!$A$11,MIN($U83,240))),Reference!$A$6:$A$11,1))+1)-INDEX(Reference!$B$6:$B$11,MIN(5,MATCH(MAX(Reference!$A$6,MIN(Reference!$A$11,MIN($U83,240))),Reference!$A$6:$A$11,1))))/(INDEX(Reference!$A$6:$A$11,MIN(5,MATCH(MAX(Reference!$A$6,MIN(Reference!$A$11,MIN($U83,240))),Reference!$A$6:$A$11,1))+1)-INDEX(Reference!$A$6:$A$11,MIN(5,MATCH(MAX(Reference!$A$6,MIN(Reference!$A$11,MIN($U83,240))),Reference!$A$6:$A$11,1))))),0)+IF(7&lt;=$AL83,($AL83-7+3)*(INDEX(Reference!$B$6:$B$11,MIN(5,MATCH(MAX(Reference!$A$6,MIN(Reference!$A$11,MIN($U83,270))),Reference!$A$6:$A$11,1)))+(MAX(Reference!$A$6,MIN(Reference!$A$11,MIN($U83,270)))-INDEX(Reference!$A$6:$A$11,MIN(5,MATCH(MAX(Reference!$A$6,MIN(Reference!$A$11,MIN($U83,270))),Reference!$A$6:$A$11,1))))*(INDEX(Reference!$B$6:$B$11,MIN(5,MATCH(MAX(Reference!$A$6,MIN(Reference!$A$11,MIN($U83,270))),Reference!$A$6:$A$11,1))+1)-INDEX(Reference!$B$6:$B$11,MIN(5,MATCH(MAX(Reference!$A$6,MIN(Reference!$A$11,MIN($U83,270))),Reference!$A$6:$A$11,1))))/(INDEX(Reference!$A$6:$A$11,MIN(5,MATCH(MAX(Reference!$A$6,MIN(Reference!$A$11,MIN($U83,270))),Reference!$A$6:$A$11,1))+1)-INDEX(Reference!$A$6:$A$11,MIN(5,MATCH(MAX(Reference!$A$6,MIN(Reference!$A$11,MIN($U83,270))),Reference!$A$6:$A$11,1))))),0)+IF(8&lt;=$AL83,($AL83-8+3)*(INDEX(Reference!$B$6:$B$11,MIN(5,MATCH(MAX(Reference!$A$6,MIN(Reference!$A$11,MIN($U83,300))),Reference!$A$6:$A$11,1)))+(MAX(Reference!$A$6,MIN(Reference!$A$11,MIN($U83,300)))-INDEX(Reference!$A$6:$A$11,MIN(5,MATCH(MAX(Reference!$A$6,MIN(Reference!$A$11,MIN($U83,300))),Reference!$A$6:$A$11,1))))*(INDEX(Reference!$B$6:$B$11,MIN(5,MATCH(MAX(Reference!$A$6,MIN(Reference!$A$11,MIN($U83,300))),Reference!$A$6:$A$11,1))+1)-INDEX(Reference!$B$6:$B$11,MIN(5,MATCH(MAX(Reference!$A$6,MIN(Reference!$A$11,MIN($U83,300))),Reference!$A$6:$A$11,1))))/(INDEX(Reference!$A$6:$A$11,MIN(5,MATCH(MAX(Reference!$A$6,MIN(Reference!$A$11,MIN($U83,300))),Reference!$A$6:$A$11,1))+1)-INDEX(Reference!$A$6:$A$11,MIN(5,MATCH(MAX(Reference!$A$6,MIN(Reference!$A$11,MIN($U83,300))),Reference!$A$6:$A$11,1))))),0))/($AL83*($AL83+5)/2)),$AN83))</f>
        <v>1.5958333333333334</v>
      </c>
      <c r="AN83" s="32">
        <f>IF($U83="",0,(INDEX(Reference!$B$6:$B$11,MIN(5,MATCH(MAX(Reference!$A$6,MIN(Reference!$A$11,$U83)),Reference!$A$6:$A$11,1)))+(MAX(Reference!$A$6,MIN(Reference!$A$11,$U83))-INDEX(Reference!$A$6:$A$11,MIN(5,MATCH(MAX(Reference!$A$6,MIN(Reference!$A$11,$U83)),Reference!$A$6:$A$11,1))))*(INDEX(Reference!$B$6:$B$11,MIN(5,MATCH(MAX(Reference!$A$6,MIN(Reference!$A$11,$U83)),Reference!$A$6:$A$11,1))+1)-INDEX(Reference!$B$6:$B$11,MIN(5,MATCH(MAX(Reference!$A$6,MIN(Reference!$A$11,$U83)),Reference!$A$6:$A$11,1))))/(INDEX(Reference!$A$6:$A$11,MIN(5,MATCH(MAX(Reference!$A$6,MIN(Reference!$A$11,$U83)),Reference!$A$6:$A$11,1))+1)-INDEX(Reference!$A$6:$A$11,MIN(5,MATCH(MAX(Reference!$A$6,MIN(Reference!$A$11,$U83)),Reference!$A$6:$A$11,1))))))</f>
        <v>1.9500000000000002</v>
      </c>
      <c r="AO83" s="37"/>
      <c r="AP83" s="37"/>
      <c r="AQ83" s="37"/>
    </row>
    <row r="84" spans="1:43" x14ac:dyDescent="0.3">
      <c r="A84" s="48">
        <f t="shared" si="30"/>
        <v>46348</v>
      </c>
      <c r="B84" s="32" t="str">
        <f t="shared" si="31"/>
        <v>Sun</v>
      </c>
      <c r="C84" s="32">
        <f t="shared" si="32"/>
        <v>43</v>
      </c>
      <c r="D84" s="32" t="str">
        <f t="shared" si="33"/>
        <v>Extension</v>
      </c>
      <c r="E84" s="32" t="str">
        <f t="shared" si="34"/>
        <v>No Throw</v>
      </c>
      <c r="F84" s="32" t="str">
        <f t="shared" si="35"/>
        <v>No Throw</v>
      </c>
      <c r="G84" s="47" t="str">
        <f t="shared" si="36"/>
        <v>Off</v>
      </c>
      <c r="H84" s="30">
        <f t="shared" si="37"/>
        <v>0</v>
      </c>
      <c r="I84" s="46">
        <f>IF($A84="","",IF(AND($L84&lt;27,$K$12=0),"Building",IFERROR(((SUM($H$78:$H84)+$K$12*IF($L84&lt;6,SUMIFS('Throw Log'!$Q$5:$Q$300,'Throw Log'!$B$5:$B$300,$D$4,'Throw Log'!$A$5:$A$300,"&gt;="&amp;($D$6+$L84-6),'Throw Log'!$A$5:$A$300,"&lt;="&amp;($D$6-1)),0))/7)/((SUM($H$57:$H84)+$K$12*IF($L84&lt;27,SUMIFS('Throw Log'!$Q$5:$Q$300,'Throw Log'!$B$5:$B$300,$D$4,'Throw Log'!$A$5:$A$300,"&gt;="&amp;($D$6+$L84-27),'Throw Log'!$A$5:$A$300,"&lt;="&amp;($D$6-1)),0))/28),"")))</f>
        <v>1.1883523052048797</v>
      </c>
      <c r="J84" s="37"/>
      <c r="K84" s="37"/>
      <c r="L84" s="32">
        <v>41</v>
      </c>
      <c r="M84" s="32">
        <f t="shared" si="38"/>
        <v>6</v>
      </c>
      <c r="N84" s="32">
        <f t="shared" si="39"/>
        <v>6</v>
      </c>
      <c r="O84" s="32">
        <f t="shared" si="40"/>
        <v>0.53947368421052633</v>
      </c>
      <c r="P84" s="32">
        <f>IF(OR($A84="",N($C84)&lt;=7),"",$G$6*$G$9^($M84-1)*IF(AND(MOD($M84,Reference!$B$99)=0,$M84&lt;=$G$5-2),Reference!$B$100,1))</f>
        <v>144.22205101855957</v>
      </c>
      <c r="Q84" s="32">
        <f>IF($P84="","",IF(SUM($AK$78:$AK$84)=0,0,$P84*INDEX(Reference!$B$108:$B$114,$N84+1)/SUM($AK$78:$AK$84)))</f>
        <v>10.095543571299171</v>
      </c>
      <c r="R84" s="32">
        <f t="shared" si="41"/>
        <v>150</v>
      </c>
      <c r="S84" s="32">
        <f t="shared" si="42"/>
        <v>135</v>
      </c>
      <c r="T84" s="32" t="str">
        <f>IF($A84="","",IF($C84=0,"Bullpen",IF(OR($C84=7,$C84=1,$C84=5),"Recovery/Easy Catch",IF($C84=6,"Compression/Pulldowns",IF(OR($C84=4,$C84=2),"Long Toss",IF($C84=3,"No Throw",IF($N84=2,"No Throw",IF($N84=6,IF($O84&lt;Reference!$B$104,"No Throw","Recovery/Easy Catch"),IF(OR($N84=0,$N84=4),"Recovery/Easy Catch",IF($N84=1,IF($R84&gt;75,"Long Toss","Recovery/Easy Catch"),IF($N84=3,IF($O84&lt;0.5,IF($S84&gt;75,"Long Toss","Recovery/Easy Catch"),"Compression/Pulldowns"),IF($S84&gt;75,"Long Toss","Recovery/Easy Catch"))))))))))))</f>
        <v>No Throw</v>
      </c>
      <c r="U84" s="32">
        <f t="shared" si="43"/>
        <v>60</v>
      </c>
      <c r="V84" s="32">
        <f t="shared" si="44"/>
        <v>20</v>
      </c>
      <c r="W84" s="32">
        <f t="shared" si="45"/>
        <v>24</v>
      </c>
      <c r="X84" s="32">
        <f t="shared" si="46"/>
        <v>0</v>
      </c>
      <c r="Y84" s="32" t="str">
        <f t="shared" si="47"/>
        <v/>
      </c>
      <c r="Z84" s="32" t="str">
        <f t="shared" si="48"/>
        <v/>
      </c>
      <c r="AA84" s="32" t="str">
        <f t="shared" si="49"/>
        <v/>
      </c>
      <c r="AB84" s="32">
        <f>IF($A84="","",IF($T84="No Throw",0,IF($K84&lt;&gt;"",$K84,IF($AA84&lt;&gt;"",ROUND($AA84*$D$12*IF($C84=0,1,$G$10),0),MIN(IF($T84="Recovery/Easy Catch",Reference!$B$103,IF($T84="Long Toss",Reference!$B$106,Reference!$B$102)),MAX(Reference!$B$101,ROUND(MAX(0,$Q84-$AE84)/$AF84,0)))))))</f>
        <v>0</v>
      </c>
      <c r="AC84" s="32">
        <f t="shared" si="50"/>
        <v>0</v>
      </c>
      <c r="AD84" s="32" t="b">
        <f t="shared" si="51"/>
        <v>1</v>
      </c>
      <c r="AE84" s="32">
        <f>IF($X84=0,0,$X84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84+$Z84)/2,0),Reference!$A$17:$B$20,2,TRUE()))</f>
        <v>0</v>
      </c>
      <c r="AF84" s="32">
        <f>IF(OR($A84="",$U84="",$T84="No Throw"),0,$AM84*VLOOKUP(MAX(($V84+$W84)/2,0),Reference!$A$17:$B$20,2,TRUE()))</f>
        <v>0</v>
      </c>
      <c r="AG84" s="32">
        <f>IF($AC84=0,0,$AC84*INDEX(Reference!$B$61:$B$62,MATCH("Bullpen",Reference!$A$61:$A$62,0))*VLOOKUP(MAX($D$5-($D$9+$E$9)/2,0),Reference!$A$17:$B$20,2,TRUE()))</f>
        <v>0</v>
      </c>
      <c r="AH84" s="46">
        <f t="shared" si="52"/>
        <v>1.1883523052048797</v>
      </c>
      <c r="AI84" s="32">
        <f>IF($A84="",NA(),Reference!$A$25)</f>
        <v>0.8</v>
      </c>
      <c r="AJ84" s="32">
        <f t="shared" si="53"/>
        <v>1.3</v>
      </c>
      <c r="AK84" s="32">
        <f>IF(OR($A84="",N($C84)&lt;=7,$T84="No Throw",$J84="x"),0,INDEX(Reference!$B$108:$B$114,$N84+1))</f>
        <v>0</v>
      </c>
      <c r="AL84" s="32">
        <f t="shared" si="54"/>
        <v>1</v>
      </c>
      <c r="AM84" s="32">
        <f>IF($U84="",0,IF($AL84&gt;1,((IF(1&lt;=$AL84,($AL84-1+3)*(INDEX(Reference!$B$6:$B$11,MIN(5,MATCH(MAX(Reference!$A$6,MIN(Reference!$A$11,MIN($U84,90))),Reference!$A$6:$A$11,1)))+(MAX(Reference!$A$6,MIN(Reference!$A$11,MIN($U84,90)))-INDEX(Reference!$A$6:$A$11,MIN(5,MATCH(MAX(Reference!$A$6,MIN(Reference!$A$11,MIN($U84,90))),Reference!$A$6:$A$11,1))))*(INDEX(Reference!$B$6:$B$11,MIN(5,MATCH(MAX(Reference!$A$6,MIN(Reference!$A$11,MIN($U84,90))),Reference!$A$6:$A$11,1))+1)-INDEX(Reference!$B$6:$B$11,MIN(5,MATCH(MAX(Reference!$A$6,MIN(Reference!$A$11,MIN($U84,90))),Reference!$A$6:$A$11,1))))/(INDEX(Reference!$A$6:$A$11,MIN(5,MATCH(MAX(Reference!$A$6,MIN(Reference!$A$11,MIN($U84,90))),Reference!$A$6:$A$11,1))+1)-INDEX(Reference!$A$6:$A$11,MIN(5,MATCH(MAX(Reference!$A$6,MIN(Reference!$A$11,MIN($U84,90))),Reference!$A$6:$A$11,1))))),0)+IF(2&lt;=$AL84,($AL84-2+3)*(INDEX(Reference!$B$6:$B$11,MIN(5,MATCH(MAX(Reference!$A$6,MIN(Reference!$A$11,MIN($U84,120))),Reference!$A$6:$A$11,1)))+(MAX(Reference!$A$6,MIN(Reference!$A$11,MIN($U84,120)))-INDEX(Reference!$A$6:$A$11,MIN(5,MATCH(MAX(Reference!$A$6,MIN(Reference!$A$11,MIN($U84,120))),Reference!$A$6:$A$11,1))))*(INDEX(Reference!$B$6:$B$11,MIN(5,MATCH(MAX(Reference!$A$6,MIN(Reference!$A$11,MIN($U84,120))),Reference!$A$6:$A$11,1))+1)-INDEX(Reference!$B$6:$B$11,MIN(5,MATCH(MAX(Reference!$A$6,MIN(Reference!$A$11,MIN($U84,120))),Reference!$A$6:$A$11,1))))/(INDEX(Reference!$A$6:$A$11,MIN(5,MATCH(MAX(Reference!$A$6,MIN(Reference!$A$11,MIN($U84,120))),Reference!$A$6:$A$11,1))+1)-INDEX(Reference!$A$6:$A$11,MIN(5,MATCH(MAX(Reference!$A$6,MIN(Reference!$A$11,MIN($U84,120))),Reference!$A$6:$A$11,1))))),0)+IF(3&lt;=$AL84,($AL84-3+3)*(INDEX(Reference!$B$6:$B$11,MIN(5,MATCH(MAX(Reference!$A$6,MIN(Reference!$A$11,MIN($U84,150))),Reference!$A$6:$A$11,1)))+(MAX(Reference!$A$6,MIN(Reference!$A$11,MIN($U84,150)))-INDEX(Reference!$A$6:$A$11,MIN(5,MATCH(MAX(Reference!$A$6,MIN(Reference!$A$11,MIN($U84,150))),Reference!$A$6:$A$11,1))))*(INDEX(Reference!$B$6:$B$11,MIN(5,MATCH(MAX(Reference!$A$6,MIN(Reference!$A$11,MIN($U84,150))),Reference!$A$6:$A$11,1))+1)-INDEX(Reference!$B$6:$B$11,MIN(5,MATCH(MAX(Reference!$A$6,MIN(Reference!$A$11,MIN($U84,150))),Reference!$A$6:$A$11,1))))/(INDEX(Reference!$A$6:$A$11,MIN(5,MATCH(MAX(Reference!$A$6,MIN(Reference!$A$11,MIN($U84,150))),Reference!$A$6:$A$11,1))+1)-INDEX(Reference!$A$6:$A$11,MIN(5,MATCH(MAX(Reference!$A$6,MIN(Reference!$A$11,MIN($U84,150))),Reference!$A$6:$A$11,1))))),0)+IF(4&lt;=$AL84,($AL84-4+3)*(INDEX(Reference!$B$6:$B$11,MIN(5,MATCH(MAX(Reference!$A$6,MIN(Reference!$A$11,MIN($U84,180))),Reference!$A$6:$A$11,1)))+(MAX(Reference!$A$6,MIN(Reference!$A$11,MIN($U84,180)))-INDEX(Reference!$A$6:$A$11,MIN(5,MATCH(MAX(Reference!$A$6,MIN(Reference!$A$11,MIN($U84,180))),Reference!$A$6:$A$11,1))))*(INDEX(Reference!$B$6:$B$11,MIN(5,MATCH(MAX(Reference!$A$6,MIN(Reference!$A$11,MIN($U84,180))),Reference!$A$6:$A$11,1))+1)-INDEX(Reference!$B$6:$B$11,MIN(5,MATCH(MAX(Reference!$A$6,MIN(Reference!$A$11,MIN($U84,180))),Reference!$A$6:$A$11,1))))/(INDEX(Reference!$A$6:$A$11,MIN(5,MATCH(MAX(Reference!$A$6,MIN(Reference!$A$11,MIN($U84,180))),Reference!$A$6:$A$11,1))+1)-INDEX(Reference!$A$6:$A$11,MIN(5,MATCH(MAX(Reference!$A$6,MIN(Reference!$A$11,MIN($U84,180))),Reference!$A$6:$A$11,1))))),0)+IF(5&lt;=$AL84,($AL84-5+3)*(INDEX(Reference!$B$6:$B$11,MIN(5,MATCH(MAX(Reference!$A$6,MIN(Reference!$A$11,MIN($U84,210))),Reference!$A$6:$A$11,1)))+(MAX(Reference!$A$6,MIN(Reference!$A$11,MIN($U84,210)))-INDEX(Reference!$A$6:$A$11,MIN(5,MATCH(MAX(Reference!$A$6,MIN(Reference!$A$11,MIN($U84,210))),Reference!$A$6:$A$11,1))))*(INDEX(Reference!$B$6:$B$11,MIN(5,MATCH(MAX(Reference!$A$6,MIN(Reference!$A$11,MIN($U84,210))),Reference!$A$6:$A$11,1))+1)-INDEX(Reference!$B$6:$B$11,MIN(5,MATCH(MAX(Reference!$A$6,MIN(Reference!$A$11,MIN($U84,210))),Reference!$A$6:$A$11,1))))/(INDEX(Reference!$A$6:$A$11,MIN(5,MATCH(MAX(Reference!$A$6,MIN(Reference!$A$11,MIN($U84,210))),Reference!$A$6:$A$11,1))+1)-INDEX(Reference!$A$6:$A$11,MIN(5,MATCH(MAX(Reference!$A$6,MIN(Reference!$A$11,MIN($U84,210))),Reference!$A$6:$A$11,1))))),0)+IF(6&lt;=$AL84,($AL84-6+3)*(INDEX(Reference!$B$6:$B$11,MIN(5,MATCH(MAX(Reference!$A$6,MIN(Reference!$A$11,MIN($U84,240))),Reference!$A$6:$A$11,1)))+(MAX(Reference!$A$6,MIN(Reference!$A$11,MIN($U84,240)))-INDEX(Reference!$A$6:$A$11,MIN(5,MATCH(MAX(Reference!$A$6,MIN(Reference!$A$11,MIN($U84,240))),Reference!$A$6:$A$11,1))))*(INDEX(Reference!$B$6:$B$11,MIN(5,MATCH(MAX(Reference!$A$6,MIN(Reference!$A$11,MIN($U84,240))),Reference!$A$6:$A$11,1))+1)-INDEX(Reference!$B$6:$B$11,MIN(5,MATCH(MAX(Reference!$A$6,MIN(Reference!$A$11,MIN($U84,240))),Reference!$A$6:$A$11,1))))/(INDEX(Reference!$A$6:$A$11,MIN(5,MATCH(MAX(Reference!$A$6,MIN(Reference!$A$11,MIN($U84,240))),Reference!$A$6:$A$11,1))+1)-INDEX(Reference!$A$6:$A$11,MIN(5,MATCH(MAX(Reference!$A$6,MIN(Reference!$A$11,MIN($U84,240))),Reference!$A$6:$A$11,1))))),0)+IF(7&lt;=$AL84,($AL84-7+3)*(INDEX(Reference!$B$6:$B$11,MIN(5,MATCH(MAX(Reference!$A$6,MIN(Reference!$A$11,MIN($U84,270))),Reference!$A$6:$A$11,1)))+(MAX(Reference!$A$6,MIN(Reference!$A$11,MIN($U84,270)))-INDEX(Reference!$A$6:$A$11,MIN(5,MATCH(MAX(Reference!$A$6,MIN(Reference!$A$11,MIN($U84,270))),Reference!$A$6:$A$11,1))))*(INDEX(Reference!$B$6:$B$11,MIN(5,MATCH(MAX(Reference!$A$6,MIN(Reference!$A$11,MIN($U84,270))),Reference!$A$6:$A$11,1))+1)-INDEX(Reference!$B$6:$B$11,MIN(5,MATCH(MAX(Reference!$A$6,MIN(Reference!$A$11,MIN($U84,270))),Reference!$A$6:$A$11,1))))/(INDEX(Reference!$A$6:$A$11,MIN(5,MATCH(MAX(Reference!$A$6,MIN(Reference!$A$11,MIN($U84,270))),Reference!$A$6:$A$11,1))+1)-INDEX(Reference!$A$6:$A$11,MIN(5,MATCH(MAX(Reference!$A$6,MIN(Reference!$A$11,MIN($U84,270))),Reference!$A$6:$A$11,1))))),0)+IF(8&lt;=$AL84,($AL84-8+3)*(INDEX(Reference!$B$6:$B$11,MIN(5,MATCH(MAX(Reference!$A$6,MIN(Reference!$A$11,MIN($U84,300))),Reference!$A$6:$A$11,1)))+(MAX(Reference!$A$6,MIN(Reference!$A$11,MIN($U84,300)))-INDEX(Reference!$A$6:$A$11,MIN(5,MATCH(MAX(Reference!$A$6,MIN(Reference!$A$11,MIN($U84,300))),Reference!$A$6:$A$11,1))))*(INDEX(Reference!$B$6:$B$11,MIN(5,MATCH(MAX(Reference!$A$6,MIN(Reference!$A$11,MIN($U84,300))),Reference!$A$6:$A$11,1))+1)-INDEX(Reference!$B$6:$B$11,MIN(5,MATCH(MAX(Reference!$A$6,MIN(Reference!$A$11,MIN($U84,300))),Reference!$A$6:$A$11,1))))/(INDEX(Reference!$A$6:$A$11,MIN(5,MATCH(MAX(Reference!$A$6,MIN(Reference!$A$11,MIN($U84,300))),Reference!$A$6:$A$11,1))+1)-INDEX(Reference!$A$6:$A$11,MIN(5,MATCH(MAX(Reference!$A$6,MIN(Reference!$A$11,MIN($U84,300))),Reference!$A$6:$A$11,1))))),0))/($AL84*($AL84+5)/2)),$AN84))</f>
        <v>1</v>
      </c>
      <c r="AN84" s="32">
        <f>IF($U84="",0,(INDEX(Reference!$B$6:$B$11,MIN(5,MATCH(MAX(Reference!$A$6,MIN(Reference!$A$11,$U84)),Reference!$A$6:$A$11,1)))+(MAX(Reference!$A$6,MIN(Reference!$A$11,$U84))-INDEX(Reference!$A$6:$A$11,MIN(5,MATCH(MAX(Reference!$A$6,MIN(Reference!$A$11,$U84)),Reference!$A$6:$A$11,1))))*(INDEX(Reference!$B$6:$B$11,MIN(5,MATCH(MAX(Reference!$A$6,MIN(Reference!$A$11,$U84)),Reference!$A$6:$A$11,1))+1)-INDEX(Reference!$B$6:$B$11,MIN(5,MATCH(MAX(Reference!$A$6,MIN(Reference!$A$11,$U84)),Reference!$A$6:$A$11,1))))/(INDEX(Reference!$A$6:$A$11,MIN(5,MATCH(MAX(Reference!$A$6,MIN(Reference!$A$11,$U84)),Reference!$A$6:$A$11,1))+1)-INDEX(Reference!$A$6:$A$11,MIN(5,MATCH(MAX(Reference!$A$6,MIN(Reference!$A$11,$U84)),Reference!$A$6:$A$11,1))))))</f>
        <v>1</v>
      </c>
      <c r="AO84" s="37"/>
      <c r="AP84" s="37"/>
      <c r="AQ84" s="37"/>
    </row>
    <row r="85" spans="1:43" x14ac:dyDescent="0.3">
      <c r="A85" s="48">
        <f t="shared" si="30"/>
        <v>46349</v>
      </c>
      <c r="B85" s="32" t="str">
        <f t="shared" si="31"/>
        <v>Mon</v>
      </c>
      <c r="C85" s="32">
        <f t="shared" si="32"/>
        <v>42</v>
      </c>
      <c r="D85" s="32" t="str">
        <f t="shared" si="33"/>
        <v>Extension</v>
      </c>
      <c r="E85" s="32" t="str">
        <f t="shared" si="34"/>
        <v>Low</v>
      </c>
      <c r="F85" s="32" t="str">
        <f t="shared" si="35"/>
        <v>Recovery/Easy Catch</v>
      </c>
      <c r="G85" s="47" t="str">
        <f t="shared" si="36"/>
        <v>75 ft × 25 @ 69–73 mph</v>
      </c>
      <c r="H85" s="30">
        <f t="shared" si="37"/>
        <v>17.25</v>
      </c>
      <c r="I85" s="46">
        <f>IF($A85="","",IF(AND($L85&lt;27,$K$12=0),"Building",IFERROR(((SUM($H$79:$H85)+$K$12*IF($L85&lt;6,SUMIFS('Throw Log'!$Q$5:$Q$300,'Throw Log'!$B$5:$B$300,$D$4,'Throw Log'!$A$5:$A$300,"&gt;="&amp;($D$6+$L85-6),'Throw Log'!$A$5:$A$300,"&lt;="&amp;($D$6-1)),0))/7)/((SUM($H$58:$H85)+$K$12*IF($L85&lt;27,SUMIFS('Throw Log'!$Q$5:$Q$300,'Throw Log'!$B$5:$B$300,$D$4,'Throw Log'!$A$5:$A$300,"&gt;="&amp;($D$6+$L85-27),'Throw Log'!$A$5:$A$300,"&lt;="&amp;($D$6-1)),0))/28),"")))</f>
        <v>1.174920476013628</v>
      </c>
      <c r="J85" s="37"/>
      <c r="K85" s="37">
        <v>25</v>
      </c>
      <c r="L85" s="32">
        <v>42</v>
      </c>
      <c r="M85" s="32">
        <f t="shared" si="38"/>
        <v>7</v>
      </c>
      <c r="N85" s="32">
        <f t="shared" si="39"/>
        <v>0</v>
      </c>
      <c r="O85" s="32">
        <f t="shared" si="40"/>
        <v>0.55263157894736847</v>
      </c>
      <c r="P85" s="32">
        <f>IF(OR($A85="",N($C85)&lt;=7),"",$G$6*$G$9^($M85-1)*IF(AND(MOD($M85,Reference!$B$99)=0,$M85&lt;=$G$5-2),Reference!$B$100,1))</f>
        <v>162.26318771208111</v>
      </c>
      <c r="Q85" s="32">
        <f>IF($P85="","",IF(SUM($AK$85:$AK$91)=0,0,$P85*INDEX(Reference!$B$108:$B$114,$N85+1)/SUM($AK$85:$AK$91)))</f>
        <v>18.197740677990403</v>
      </c>
      <c r="R85" s="32">
        <f t="shared" si="41"/>
        <v>150</v>
      </c>
      <c r="S85" s="32">
        <f t="shared" si="42"/>
        <v>135</v>
      </c>
      <c r="T85" s="32" t="str">
        <f>IF($A85="","",IF($C85=0,"Bullpen",IF(OR($C85=7,$C85=1,$C85=5),"Recovery/Easy Catch",IF($C85=6,"Compression/Pulldowns",IF(OR($C85=4,$C85=2),"Long Toss",IF($C85=3,"No Throw",IF($N85=2,"No Throw",IF($N85=6,IF($O85&lt;Reference!$B$104,"No Throw","Recovery/Easy Catch"),IF(OR($N85=0,$N85=4),"Recovery/Easy Catch",IF($N85=1,IF($R85&gt;75,"Long Toss","Recovery/Easy Catch"),IF($N85=3,IF($O85&lt;0.5,IF($S85&gt;75,"Long Toss","Recovery/Easy Catch"),"Compression/Pulldowns"),IF($S85&gt;75,"Long Toss","Recovery/Easy Catch"))))))))))))</f>
        <v>Recovery/Easy Catch</v>
      </c>
      <c r="U85" s="32">
        <f t="shared" si="43"/>
        <v>75</v>
      </c>
      <c r="V85" s="32">
        <f t="shared" si="44"/>
        <v>18</v>
      </c>
      <c r="W85" s="32">
        <f t="shared" si="45"/>
        <v>22</v>
      </c>
      <c r="X85" s="32">
        <f t="shared" si="46"/>
        <v>0</v>
      </c>
      <c r="Y85" s="32" t="str">
        <f t="shared" si="47"/>
        <v/>
      </c>
      <c r="Z85" s="32" t="str">
        <f t="shared" si="48"/>
        <v/>
      </c>
      <c r="AA85" s="32" t="str">
        <f t="shared" si="49"/>
        <v/>
      </c>
      <c r="AB85" s="32">
        <f>IF($A85="","",IF($T85="No Throw",0,IF($K85&lt;&gt;"",$K85,IF($AA85&lt;&gt;"",ROUND($AA85*$D$12*IF($C85=0,1,$G$10),0),MIN(IF($T85="Recovery/Easy Catch",Reference!$B$103,IF($T85="Long Toss",Reference!$B$106,Reference!$B$102)),MAX(Reference!$B$101,ROUND(MAX(0,$Q85-$AE85)/$AF85,0)))))))</f>
        <v>25</v>
      </c>
      <c r="AC85" s="32">
        <f t="shared" si="50"/>
        <v>0</v>
      </c>
      <c r="AD85" s="32" t="b">
        <f t="shared" si="51"/>
        <v>0</v>
      </c>
      <c r="AE85" s="32">
        <f>IF($X85=0,0,$X85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85+$Z85)/2,0),Reference!$A$17:$B$20,2,TRUE()))</f>
        <v>0</v>
      </c>
      <c r="AF85" s="32">
        <f>IF(OR($A85="",$U85="",$T85="No Throw"),0,$AM85*VLOOKUP(MAX(($V85+$W85)/2,0),Reference!$A$17:$B$20,2,TRUE()))</f>
        <v>0.69</v>
      </c>
      <c r="AG85" s="32">
        <f>IF($AC85=0,0,$AC85*INDEX(Reference!$B$61:$B$62,MATCH("Bullpen",Reference!$A$61:$A$62,0))*VLOOKUP(MAX($D$5-($D$9+$E$9)/2,0),Reference!$A$17:$B$20,2,TRUE()))</f>
        <v>0</v>
      </c>
      <c r="AH85" s="46">
        <f t="shared" si="52"/>
        <v>1.174920476013628</v>
      </c>
      <c r="AI85" s="32">
        <f>IF($A85="",NA(),Reference!$A$25)</f>
        <v>0.8</v>
      </c>
      <c r="AJ85" s="32">
        <f t="shared" si="53"/>
        <v>1.3</v>
      </c>
      <c r="AK85" s="56">
        <f>IF(OR($A85="",N($C85)&lt;=7,$T85="No Throw",$J85="x"),0,INDEX(Reference!$B$108:$B$114,$N85+1))</f>
        <v>0.12</v>
      </c>
      <c r="AL85" s="32">
        <f t="shared" si="54"/>
        <v>1</v>
      </c>
      <c r="AM85" s="32">
        <f>IF($U85="",0,IF($AL85&gt;1,((IF(1&lt;=$AL85,($AL85-1+3)*(INDEX(Reference!$B$6:$B$11,MIN(5,MATCH(MAX(Reference!$A$6,MIN(Reference!$A$11,MIN($U85,90))),Reference!$A$6:$A$11,1)))+(MAX(Reference!$A$6,MIN(Reference!$A$11,MIN($U85,90)))-INDEX(Reference!$A$6:$A$11,MIN(5,MATCH(MAX(Reference!$A$6,MIN(Reference!$A$11,MIN($U85,90))),Reference!$A$6:$A$11,1))))*(INDEX(Reference!$B$6:$B$11,MIN(5,MATCH(MAX(Reference!$A$6,MIN(Reference!$A$11,MIN($U85,90))),Reference!$A$6:$A$11,1))+1)-INDEX(Reference!$B$6:$B$11,MIN(5,MATCH(MAX(Reference!$A$6,MIN(Reference!$A$11,MIN($U85,90))),Reference!$A$6:$A$11,1))))/(INDEX(Reference!$A$6:$A$11,MIN(5,MATCH(MAX(Reference!$A$6,MIN(Reference!$A$11,MIN($U85,90))),Reference!$A$6:$A$11,1))+1)-INDEX(Reference!$A$6:$A$11,MIN(5,MATCH(MAX(Reference!$A$6,MIN(Reference!$A$11,MIN($U85,90))),Reference!$A$6:$A$11,1))))),0)+IF(2&lt;=$AL85,($AL85-2+3)*(INDEX(Reference!$B$6:$B$11,MIN(5,MATCH(MAX(Reference!$A$6,MIN(Reference!$A$11,MIN($U85,120))),Reference!$A$6:$A$11,1)))+(MAX(Reference!$A$6,MIN(Reference!$A$11,MIN($U85,120)))-INDEX(Reference!$A$6:$A$11,MIN(5,MATCH(MAX(Reference!$A$6,MIN(Reference!$A$11,MIN($U85,120))),Reference!$A$6:$A$11,1))))*(INDEX(Reference!$B$6:$B$11,MIN(5,MATCH(MAX(Reference!$A$6,MIN(Reference!$A$11,MIN($U85,120))),Reference!$A$6:$A$11,1))+1)-INDEX(Reference!$B$6:$B$11,MIN(5,MATCH(MAX(Reference!$A$6,MIN(Reference!$A$11,MIN($U85,120))),Reference!$A$6:$A$11,1))))/(INDEX(Reference!$A$6:$A$11,MIN(5,MATCH(MAX(Reference!$A$6,MIN(Reference!$A$11,MIN($U85,120))),Reference!$A$6:$A$11,1))+1)-INDEX(Reference!$A$6:$A$11,MIN(5,MATCH(MAX(Reference!$A$6,MIN(Reference!$A$11,MIN($U85,120))),Reference!$A$6:$A$11,1))))),0)+IF(3&lt;=$AL85,($AL85-3+3)*(INDEX(Reference!$B$6:$B$11,MIN(5,MATCH(MAX(Reference!$A$6,MIN(Reference!$A$11,MIN($U85,150))),Reference!$A$6:$A$11,1)))+(MAX(Reference!$A$6,MIN(Reference!$A$11,MIN($U85,150)))-INDEX(Reference!$A$6:$A$11,MIN(5,MATCH(MAX(Reference!$A$6,MIN(Reference!$A$11,MIN($U85,150))),Reference!$A$6:$A$11,1))))*(INDEX(Reference!$B$6:$B$11,MIN(5,MATCH(MAX(Reference!$A$6,MIN(Reference!$A$11,MIN($U85,150))),Reference!$A$6:$A$11,1))+1)-INDEX(Reference!$B$6:$B$11,MIN(5,MATCH(MAX(Reference!$A$6,MIN(Reference!$A$11,MIN($U85,150))),Reference!$A$6:$A$11,1))))/(INDEX(Reference!$A$6:$A$11,MIN(5,MATCH(MAX(Reference!$A$6,MIN(Reference!$A$11,MIN($U85,150))),Reference!$A$6:$A$11,1))+1)-INDEX(Reference!$A$6:$A$11,MIN(5,MATCH(MAX(Reference!$A$6,MIN(Reference!$A$11,MIN($U85,150))),Reference!$A$6:$A$11,1))))),0)+IF(4&lt;=$AL85,($AL85-4+3)*(INDEX(Reference!$B$6:$B$11,MIN(5,MATCH(MAX(Reference!$A$6,MIN(Reference!$A$11,MIN($U85,180))),Reference!$A$6:$A$11,1)))+(MAX(Reference!$A$6,MIN(Reference!$A$11,MIN($U85,180)))-INDEX(Reference!$A$6:$A$11,MIN(5,MATCH(MAX(Reference!$A$6,MIN(Reference!$A$11,MIN($U85,180))),Reference!$A$6:$A$11,1))))*(INDEX(Reference!$B$6:$B$11,MIN(5,MATCH(MAX(Reference!$A$6,MIN(Reference!$A$11,MIN($U85,180))),Reference!$A$6:$A$11,1))+1)-INDEX(Reference!$B$6:$B$11,MIN(5,MATCH(MAX(Reference!$A$6,MIN(Reference!$A$11,MIN($U85,180))),Reference!$A$6:$A$11,1))))/(INDEX(Reference!$A$6:$A$11,MIN(5,MATCH(MAX(Reference!$A$6,MIN(Reference!$A$11,MIN($U85,180))),Reference!$A$6:$A$11,1))+1)-INDEX(Reference!$A$6:$A$11,MIN(5,MATCH(MAX(Reference!$A$6,MIN(Reference!$A$11,MIN($U85,180))),Reference!$A$6:$A$11,1))))),0)+IF(5&lt;=$AL85,($AL85-5+3)*(INDEX(Reference!$B$6:$B$11,MIN(5,MATCH(MAX(Reference!$A$6,MIN(Reference!$A$11,MIN($U85,210))),Reference!$A$6:$A$11,1)))+(MAX(Reference!$A$6,MIN(Reference!$A$11,MIN($U85,210)))-INDEX(Reference!$A$6:$A$11,MIN(5,MATCH(MAX(Reference!$A$6,MIN(Reference!$A$11,MIN($U85,210))),Reference!$A$6:$A$11,1))))*(INDEX(Reference!$B$6:$B$11,MIN(5,MATCH(MAX(Reference!$A$6,MIN(Reference!$A$11,MIN($U85,210))),Reference!$A$6:$A$11,1))+1)-INDEX(Reference!$B$6:$B$11,MIN(5,MATCH(MAX(Reference!$A$6,MIN(Reference!$A$11,MIN($U85,210))),Reference!$A$6:$A$11,1))))/(INDEX(Reference!$A$6:$A$11,MIN(5,MATCH(MAX(Reference!$A$6,MIN(Reference!$A$11,MIN($U85,210))),Reference!$A$6:$A$11,1))+1)-INDEX(Reference!$A$6:$A$11,MIN(5,MATCH(MAX(Reference!$A$6,MIN(Reference!$A$11,MIN($U85,210))),Reference!$A$6:$A$11,1))))),0)+IF(6&lt;=$AL85,($AL85-6+3)*(INDEX(Reference!$B$6:$B$11,MIN(5,MATCH(MAX(Reference!$A$6,MIN(Reference!$A$11,MIN($U85,240))),Reference!$A$6:$A$11,1)))+(MAX(Reference!$A$6,MIN(Reference!$A$11,MIN($U85,240)))-INDEX(Reference!$A$6:$A$11,MIN(5,MATCH(MAX(Reference!$A$6,MIN(Reference!$A$11,MIN($U85,240))),Reference!$A$6:$A$11,1))))*(INDEX(Reference!$B$6:$B$11,MIN(5,MATCH(MAX(Reference!$A$6,MIN(Reference!$A$11,MIN($U85,240))),Reference!$A$6:$A$11,1))+1)-INDEX(Reference!$B$6:$B$11,MIN(5,MATCH(MAX(Reference!$A$6,MIN(Reference!$A$11,MIN($U85,240))),Reference!$A$6:$A$11,1))))/(INDEX(Reference!$A$6:$A$11,MIN(5,MATCH(MAX(Reference!$A$6,MIN(Reference!$A$11,MIN($U85,240))),Reference!$A$6:$A$11,1))+1)-INDEX(Reference!$A$6:$A$11,MIN(5,MATCH(MAX(Reference!$A$6,MIN(Reference!$A$11,MIN($U85,240))),Reference!$A$6:$A$11,1))))),0)+IF(7&lt;=$AL85,($AL85-7+3)*(INDEX(Reference!$B$6:$B$11,MIN(5,MATCH(MAX(Reference!$A$6,MIN(Reference!$A$11,MIN($U85,270))),Reference!$A$6:$A$11,1)))+(MAX(Reference!$A$6,MIN(Reference!$A$11,MIN($U85,270)))-INDEX(Reference!$A$6:$A$11,MIN(5,MATCH(MAX(Reference!$A$6,MIN(Reference!$A$11,MIN($U85,270))),Reference!$A$6:$A$11,1))))*(INDEX(Reference!$B$6:$B$11,MIN(5,MATCH(MAX(Reference!$A$6,MIN(Reference!$A$11,MIN($U85,270))),Reference!$A$6:$A$11,1))+1)-INDEX(Reference!$B$6:$B$11,MIN(5,MATCH(MAX(Reference!$A$6,MIN(Reference!$A$11,MIN($U85,270))),Reference!$A$6:$A$11,1))))/(INDEX(Reference!$A$6:$A$11,MIN(5,MATCH(MAX(Reference!$A$6,MIN(Reference!$A$11,MIN($U85,270))),Reference!$A$6:$A$11,1))+1)-INDEX(Reference!$A$6:$A$11,MIN(5,MATCH(MAX(Reference!$A$6,MIN(Reference!$A$11,MIN($U85,270))),Reference!$A$6:$A$11,1))))),0)+IF(8&lt;=$AL85,($AL85-8+3)*(INDEX(Reference!$B$6:$B$11,MIN(5,MATCH(MAX(Reference!$A$6,MIN(Reference!$A$11,MIN($U85,300))),Reference!$A$6:$A$11,1)))+(MAX(Reference!$A$6,MIN(Reference!$A$11,MIN($U85,300)))-INDEX(Reference!$A$6:$A$11,MIN(5,MATCH(MAX(Reference!$A$6,MIN(Reference!$A$11,MIN($U85,300))),Reference!$A$6:$A$11,1))))*(INDEX(Reference!$B$6:$B$11,MIN(5,MATCH(MAX(Reference!$A$6,MIN(Reference!$A$11,MIN($U85,300))),Reference!$A$6:$A$11,1))+1)-INDEX(Reference!$B$6:$B$11,MIN(5,MATCH(MAX(Reference!$A$6,MIN(Reference!$A$11,MIN($U85,300))),Reference!$A$6:$A$11,1))))/(INDEX(Reference!$A$6:$A$11,MIN(5,MATCH(MAX(Reference!$A$6,MIN(Reference!$A$11,MIN($U85,300))),Reference!$A$6:$A$11,1))+1)-INDEX(Reference!$A$6:$A$11,MIN(5,MATCH(MAX(Reference!$A$6,MIN(Reference!$A$11,MIN($U85,300))),Reference!$A$6:$A$11,1))))),0))/($AL85*($AL85+5)/2)),$AN85))</f>
        <v>1.1499999999999999</v>
      </c>
      <c r="AN85" s="32">
        <f>IF($U85="",0,(INDEX(Reference!$B$6:$B$11,MIN(5,MATCH(MAX(Reference!$A$6,MIN(Reference!$A$11,$U85)),Reference!$A$6:$A$11,1)))+(MAX(Reference!$A$6,MIN(Reference!$A$11,$U85))-INDEX(Reference!$A$6:$A$11,MIN(5,MATCH(MAX(Reference!$A$6,MIN(Reference!$A$11,$U85)),Reference!$A$6:$A$11,1))))*(INDEX(Reference!$B$6:$B$11,MIN(5,MATCH(MAX(Reference!$A$6,MIN(Reference!$A$11,$U85)),Reference!$A$6:$A$11,1))+1)-INDEX(Reference!$B$6:$B$11,MIN(5,MATCH(MAX(Reference!$A$6,MIN(Reference!$A$11,$U85)),Reference!$A$6:$A$11,1))))/(INDEX(Reference!$A$6:$A$11,MIN(5,MATCH(MAX(Reference!$A$6,MIN(Reference!$A$11,$U85)),Reference!$A$6:$A$11,1))+1)-INDEX(Reference!$A$6:$A$11,MIN(5,MATCH(MAX(Reference!$A$6,MIN(Reference!$A$11,$U85)),Reference!$A$6:$A$11,1))))))</f>
        <v>1.1499999999999999</v>
      </c>
      <c r="AO85" s="37"/>
      <c r="AP85" s="37"/>
      <c r="AQ85" s="37"/>
    </row>
    <row r="86" spans="1:43" ht="26.4" x14ac:dyDescent="0.3">
      <c r="A86" s="48">
        <f t="shared" si="30"/>
        <v>46350</v>
      </c>
      <c r="B86" s="32" t="str">
        <f t="shared" si="31"/>
        <v>Tue</v>
      </c>
      <c r="C86" s="32">
        <f t="shared" si="32"/>
        <v>41</v>
      </c>
      <c r="D86" s="32" t="str">
        <f t="shared" si="33"/>
        <v>Extension</v>
      </c>
      <c r="E86" s="32" t="str">
        <f t="shared" si="34"/>
        <v>Medium</v>
      </c>
      <c r="F86" s="32" t="str">
        <f t="shared" si="35"/>
        <v>Long Toss</v>
      </c>
      <c r="G86" s="47" t="str">
        <f t="shared" si="36"/>
        <v>Long toss out to 150 ft — 25 throws (90×10 · 120×9 · 150×6) @ 79–81 mph + 60 ft × 15 @ 79–81 mph</v>
      </c>
      <c r="H86" s="30">
        <f t="shared" si="37"/>
        <v>33.875</v>
      </c>
      <c r="I86" s="46">
        <f>IF($A86="","",IF(AND($L86&lt;27,$K$12=0),"Building",IFERROR(((SUM($H$80:$H86)+$K$12*IF($L86&lt;6,SUMIFS('Throw Log'!$Q$5:$Q$300,'Throw Log'!$B$5:$B$300,$D$4,'Throw Log'!$A$5:$A$300,"&gt;="&amp;($D$6+$L86-6),'Throw Log'!$A$5:$A$300,"&lt;="&amp;($D$6-1)),0))/7)/((SUM($H$59:$H86)+$K$12*IF($L86&lt;27,SUMIFS('Throw Log'!$Q$5:$Q$300,'Throw Log'!$B$5:$B$300,$D$4,'Throw Log'!$A$5:$A$300,"&gt;="&amp;($D$6+$L86-27),'Throw Log'!$A$5:$A$300,"&lt;="&amp;($D$6-1)),0))/28),"")))</f>
        <v>1.1187806159545279</v>
      </c>
      <c r="J86" s="37"/>
      <c r="K86" s="37">
        <v>25</v>
      </c>
      <c r="L86" s="32">
        <v>43</v>
      </c>
      <c r="M86" s="32">
        <f t="shared" si="38"/>
        <v>7</v>
      </c>
      <c r="N86" s="32">
        <f t="shared" si="39"/>
        <v>1</v>
      </c>
      <c r="O86" s="32">
        <f t="shared" si="40"/>
        <v>0.56578947368421051</v>
      </c>
      <c r="P86" s="32">
        <f>IF(OR($A86="",N($C86)&lt;=7),"",$G$6*$G$9^($M86-1)*IF(AND(MOD($M86,Reference!$B$99)=0,$M86&lt;=$G$5-2),Reference!$B$100,1))</f>
        <v>162.26318771208111</v>
      </c>
      <c r="Q86" s="32">
        <f>IF($P86="","",IF(SUM($AK$85:$AK$91)=0,0,$P86*INDEX(Reference!$B$108:$B$114,$N86+1)/SUM($AK$85:$AK$91)))</f>
        <v>40.944916525478412</v>
      </c>
      <c r="R86" s="32">
        <f t="shared" si="41"/>
        <v>150</v>
      </c>
      <c r="S86" s="32">
        <f t="shared" si="42"/>
        <v>135</v>
      </c>
      <c r="T86" s="32" t="str">
        <f>IF($A86="","",IF($C86=0,"Bullpen",IF(OR($C86=7,$C86=1,$C86=5),"Recovery/Easy Catch",IF($C86=6,"Compression/Pulldowns",IF(OR($C86=4,$C86=2),"Long Toss",IF($C86=3,"No Throw",IF($N86=2,"No Throw",IF($N86=6,IF($O86&lt;Reference!$B$104,"No Throw","Recovery/Easy Catch"),IF(OR($N86=0,$N86=4),"Recovery/Easy Catch",IF($N86=1,IF($R86&gt;75,"Long Toss","Recovery/Easy Catch"),IF($N86=3,IF($O86&lt;0.5,IF($S86&gt;75,"Long Toss","Recovery/Easy Catch"),"Compression/Pulldowns"),IF($S86&gt;75,"Long Toss","Recovery/Easy Catch"))))))))))))</f>
        <v>Long Toss</v>
      </c>
      <c r="U86" s="32">
        <f t="shared" si="43"/>
        <v>150</v>
      </c>
      <c r="V86" s="32">
        <f t="shared" si="44"/>
        <v>10</v>
      </c>
      <c r="W86" s="32">
        <f t="shared" si="45"/>
        <v>12</v>
      </c>
      <c r="X86" s="32">
        <f t="shared" si="46"/>
        <v>15</v>
      </c>
      <c r="Y86" s="32">
        <f t="shared" si="47"/>
        <v>10</v>
      </c>
      <c r="Z86" s="32">
        <f t="shared" si="48"/>
        <v>12</v>
      </c>
      <c r="AA86" s="32" t="str">
        <f t="shared" si="49"/>
        <v/>
      </c>
      <c r="AB86" s="32">
        <f>IF($A86="","",IF($T86="No Throw",0,IF($K86&lt;&gt;"",$K86,IF($AA86&lt;&gt;"",ROUND($AA86*$D$12*IF($C86=0,1,$G$10),0),MIN(IF($T86="Recovery/Easy Catch",Reference!$B$103,IF($T86="Long Toss",Reference!$B$106,Reference!$B$102)),MAX(Reference!$B$101,ROUND(MAX(0,$Q86-$AE86)/$AF86,0)))))))</f>
        <v>25</v>
      </c>
      <c r="AC86" s="32">
        <f t="shared" si="50"/>
        <v>0</v>
      </c>
      <c r="AD86" s="32" t="b">
        <f t="shared" si="51"/>
        <v>0</v>
      </c>
      <c r="AE86" s="32">
        <f>IF($X86=0,0,$X86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86+$Z86)/2,0),Reference!$A$17:$B$20,2,TRUE()))</f>
        <v>9</v>
      </c>
      <c r="AF86" s="32">
        <f>IF(OR($A86="",$U86="",$T86="No Throw"),0,$AM86*VLOOKUP(MAX(($V86+$W86)/2,0),Reference!$A$17:$B$20,2,TRUE()))</f>
        <v>0.995</v>
      </c>
      <c r="AG86" s="32">
        <f>IF($AC86=0,0,$AC86*INDEX(Reference!$B$61:$B$62,MATCH("Bullpen",Reference!$A$61:$A$62,0))*VLOOKUP(MAX($D$5-($D$9+$E$9)/2,0),Reference!$A$17:$B$20,2,TRUE()))</f>
        <v>0</v>
      </c>
      <c r="AH86" s="46">
        <f t="shared" si="52"/>
        <v>1.1187806159545279</v>
      </c>
      <c r="AI86" s="32">
        <f>IF($A86="",NA(),Reference!$A$25)</f>
        <v>0.8</v>
      </c>
      <c r="AJ86" s="32">
        <f t="shared" si="53"/>
        <v>1.3</v>
      </c>
      <c r="AK86" s="56">
        <f>IF(OR($A86="",N($C86)&lt;=7,$T86="No Throw",$J86="x"),0,INDEX(Reference!$B$108:$B$114,$N86+1))</f>
        <v>0.27</v>
      </c>
      <c r="AL86" s="32">
        <f t="shared" si="54"/>
        <v>3</v>
      </c>
      <c r="AM86" s="32">
        <f>IF($U86="",0,IF($AL86&gt;1,((IF(1&lt;=$AL86,($AL86-1+3)*(INDEX(Reference!$B$6:$B$11,MIN(5,MATCH(MAX(Reference!$A$6,MIN(Reference!$A$11,MIN($U86,90))),Reference!$A$6:$A$11,1)))+(MAX(Reference!$A$6,MIN(Reference!$A$11,MIN($U86,90)))-INDEX(Reference!$A$6:$A$11,MIN(5,MATCH(MAX(Reference!$A$6,MIN(Reference!$A$11,MIN($U86,90))),Reference!$A$6:$A$11,1))))*(INDEX(Reference!$B$6:$B$11,MIN(5,MATCH(MAX(Reference!$A$6,MIN(Reference!$A$11,MIN($U86,90))),Reference!$A$6:$A$11,1))+1)-INDEX(Reference!$B$6:$B$11,MIN(5,MATCH(MAX(Reference!$A$6,MIN(Reference!$A$11,MIN($U86,90))),Reference!$A$6:$A$11,1))))/(INDEX(Reference!$A$6:$A$11,MIN(5,MATCH(MAX(Reference!$A$6,MIN(Reference!$A$11,MIN($U86,90))),Reference!$A$6:$A$11,1))+1)-INDEX(Reference!$A$6:$A$11,MIN(5,MATCH(MAX(Reference!$A$6,MIN(Reference!$A$11,MIN($U86,90))),Reference!$A$6:$A$11,1))))),0)+IF(2&lt;=$AL86,($AL86-2+3)*(INDEX(Reference!$B$6:$B$11,MIN(5,MATCH(MAX(Reference!$A$6,MIN(Reference!$A$11,MIN($U86,120))),Reference!$A$6:$A$11,1)))+(MAX(Reference!$A$6,MIN(Reference!$A$11,MIN($U86,120)))-INDEX(Reference!$A$6:$A$11,MIN(5,MATCH(MAX(Reference!$A$6,MIN(Reference!$A$11,MIN($U86,120))),Reference!$A$6:$A$11,1))))*(INDEX(Reference!$B$6:$B$11,MIN(5,MATCH(MAX(Reference!$A$6,MIN(Reference!$A$11,MIN($U86,120))),Reference!$A$6:$A$11,1))+1)-INDEX(Reference!$B$6:$B$11,MIN(5,MATCH(MAX(Reference!$A$6,MIN(Reference!$A$11,MIN($U86,120))),Reference!$A$6:$A$11,1))))/(INDEX(Reference!$A$6:$A$11,MIN(5,MATCH(MAX(Reference!$A$6,MIN(Reference!$A$11,MIN($U86,120))),Reference!$A$6:$A$11,1))+1)-INDEX(Reference!$A$6:$A$11,MIN(5,MATCH(MAX(Reference!$A$6,MIN(Reference!$A$11,MIN($U86,120))),Reference!$A$6:$A$11,1))))),0)+IF(3&lt;=$AL86,($AL86-3+3)*(INDEX(Reference!$B$6:$B$11,MIN(5,MATCH(MAX(Reference!$A$6,MIN(Reference!$A$11,MIN($U86,150))),Reference!$A$6:$A$11,1)))+(MAX(Reference!$A$6,MIN(Reference!$A$11,MIN($U86,150)))-INDEX(Reference!$A$6:$A$11,MIN(5,MATCH(MAX(Reference!$A$6,MIN(Reference!$A$11,MIN($U86,150))),Reference!$A$6:$A$11,1))))*(INDEX(Reference!$B$6:$B$11,MIN(5,MATCH(MAX(Reference!$A$6,MIN(Reference!$A$11,MIN($U86,150))),Reference!$A$6:$A$11,1))+1)-INDEX(Reference!$B$6:$B$11,MIN(5,MATCH(MAX(Reference!$A$6,MIN(Reference!$A$11,MIN($U86,150))),Reference!$A$6:$A$11,1))))/(INDEX(Reference!$A$6:$A$11,MIN(5,MATCH(MAX(Reference!$A$6,MIN(Reference!$A$11,MIN($U86,150))),Reference!$A$6:$A$11,1))+1)-INDEX(Reference!$A$6:$A$11,MIN(5,MATCH(MAX(Reference!$A$6,MIN(Reference!$A$11,MIN($U86,150))),Reference!$A$6:$A$11,1))))),0)+IF(4&lt;=$AL86,($AL86-4+3)*(INDEX(Reference!$B$6:$B$11,MIN(5,MATCH(MAX(Reference!$A$6,MIN(Reference!$A$11,MIN($U86,180))),Reference!$A$6:$A$11,1)))+(MAX(Reference!$A$6,MIN(Reference!$A$11,MIN($U86,180)))-INDEX(Reference!$A$6:$A$11,MIN(5,MATCH(MAX(Reference!$A$6,MIN(Reference!$A$11,MIN($U86,180))),Reference!$A$6:$A$11,1))))*(INDEX(Reference!$B$6:$B$11,MIN(5,MATCH(MAX(Reference!$A$6,MIN(Reference!$A$11,MIN($U86,180))),Reference!$A$6:$A$11,1))+1)-INDEX(Reference!$B$6:$B$11,MIN(5,MATCH(MAX(Reference!$A$6,MIN(Reference!$A$11,MIN($U86,180))),Reference!$A$6:$A$11,1))))/(INDEX(Reference!$A$6:$A$11,MIN(5,MATCH(MAX(Reference!$A$6,MIN(Reference!$A$11,MIN($U86,180))),Reference!$A$6:$A$11,1))+1)-INDEX(Reference!$A$6:$A$11,MIN(5,MATCH(MAX(Reference!$A$6,MIN(Reference!$A$11,MIN($U86,180))),Reference!$A$6:$A$11,1))))),0)+IF(5&lt;=$AL86,($AL86-5+3)*(INDEX(Reference!$B$6:$B$11,MIN(5,MATCH(MAX(Reference!$A$6,MIN(Reference!$A$11,MIN($U86,210))),Reference!$A$6:$A$11,1)))+(MAX(Reference!$A$6,MIN(Reference!$A$11,MIN($U86,210)))-INDEX(Reference!$A$6:$A$11,MIN(5,MATCH(MAX(Reference!$A$6,MIN(Reference!$A$11,MIN($U86,210))),Reference!$A$6:$A$11,1))))*(INDEX(Reference!$B$6:$B$11,MIN(5,MATCH(MAX(Reference!$A$6,MIN(Reference!$A$11,MIN($U86,210))),Reference!$A$6:$A$11,1))+1)-INDEX(Reference!$B$6:$B$11,MIN(5,MATCH(MAX(Reference!$A$6,MIN(Reference!$A$11,MIN($U86,210))),Reference!$A$6:$A$11,1))))/(INDEX(Reference!$A$6:$A$11,MIN(5,MATCH(MAX(Reference!$A$6,MIN(Reference!$A$11,MIN($U86,210))),Reference!$A$6:$A$11,1))+1)-INDEX(Reference!$A$6:$A$11,MIN(5,MATCH(MAX(Reference!$A$6,MIN(Reference!$A$11,MIN($U86,210))),Reference!$A$6:$A$11,1))))),0)+IF(6&lt;=$AL86,($AL86-6+3)*(INDEX(Reference!$B$6:$B$11,MIN(5,MATCH(MAX(Reference!$A$6,MIN(Reference!$A$11,MIN($U86,240))),Reference!$A$6:$A$11,1)))+(MAX(Reference!$A$6,MIN(Reference!$A$11,MIN($U86,240)))-INDEX(Reference!$A$6:$A$11,MIN(5,MATCH(MAX(Reference!$A$6,MIN(Reference!$A$11,MIN($U86,240))),Reference!$A$6:$A$11,1))))*(INDEX(Reference!$B$6:$B$11,MIN(5,MATCH(MAX(Reference!$A$6,MIN(Reference!$A$11,MIN($U86,240))),Reference!$A$6:$A$11,1))+1)-INDEX(Reference!$B$6:$B$11,MIN(5,MATCH(MAX(Reference!$A$6,MIN(Reference!$A$11,MIN($U86,240))),Reference!$A$6:$A$11,1))))/(INDEX(Reference!$A$6:$A$11,MIN(5,MATCH(MAX(Reference!$A$6,MIN(Reference!$A$11,MIN($U86,240))),Reference!$A$6:$A$11,1))+1)-INDEX(Reference!$A$6:$A$11,MIN(5,MATCH(MAX(Reference!$A$6,MIN(Reference!$A$11,MIN($U86,240))),Reference!$A$6:$A$11,1))))),0)+IF(7&lt;=$AL86,($AL86-7+3)*(INDEX(Reference!$B$6:$B$11,MIN(5,MATCH(MAX(Reference!$A$6,MIN(Reference!$A$11,MIN($U86,270))),Reference!$A$6:$A$11,1)))+(MAX(Reference!$A$6,MIN(Reference!$A$11,MIN($U86,270)))-INDEX(Reference!$A$6:$A$11,MIN(5,MATCH(MAX(Reference!$A$6,MIN(Reference!$A$11,MIN($U86,270))),Reference!$A$6:$A$11,1))))*(INDEX(Reference!$B$6:$B$11,MIN(5,MATCH(MAX(Reference!$A$6,MIN(Reference!$A$11,MIN($U86,270))),Reference!$A$6:$A$11,1))+1)-INDEX(Reference!$B$6:$B$11,MIN(5,MATCH(MAX(Reference!$A$6,MIN(Reference!$A$11,MIN($U86,270))),Reference!$A$6:$A$11,1))))/(INDEX(Reference!$A$6:$A$11,MIN(5,MATCH(MAX(Reference!$A$6,MIN(Reference!$A$11,MIN($U86,270))),Reference!$A$6:$A$11,1))+1)-INDEX(Reference!$A$6:$A$11,MIN(5,MATCH(MAX(Reference!$A$6,MIN(Reference!$A$11,MIN($U86,270))),Reference!$A$6:$A$11,1))))),0)+IF(8&lt;=$AL86,($AL86-8+3)*(INDEX(Reference!$B$6:$B$11,MIN(5,MATCH(MAX(Reference!$A$6,MIN(Reference!$A$11,MIN($U86,300))),Reference!$A$6:$A$11,1)))+(MAX(Reference!$A$6,MIN(Reference!$A$11,MIN($U86,300)))-INDEX(Reference!$A$6:$A$11,MIN(5,MATCH(MAX(Reference!$A$6,MIN(Reference!$A$11,MIN($U86,300))),Reference!$A$6:$A$11,1))))*(INDEX(Reference!$B$6:$B$11,MIN(5,MATCH(MAX(Reference!$A$6,MIN(Reference!$A$11,MIN($U86,300))),Reference!$A$6:$A$11,1))+1)-INDEX(Reference!$B$6:$B$11,MIN(5,MATCH(MAX(Reference!$A$6,MIN(Reference!$A$11,MIN($U86,300))),Reference!$A$6:$A$11,1))))/(INDEX(Reference!$A$6:$A$11,MIN(5,MATCH(MAX(Reference!$A$6,MIN(Reference!$A$11,MIN($U86,300))),Reference!$A$6:$A$11,1))+1)-INDEX(Reference!$A$6:$A$11,MIN(5,MATCH(MAX(Reference!$A$6,MIN(Reference!$A$11,MIN($U86,300))),Reference!$A$6:$A$11,1))))),0))/($AL86*($AL86+5)/2)),$AN86))</f>
        <v>1.6583333333333334</v>
      </c>
      <c r="AN86" s="32">
        <f>IF($U86="",0,(INDEX(Reference!$B$6:$B$11,MIN(5,MATCH(MAX(Reference!$A$6,MIN(Reference!$A$11,$U86)),Reference!$A$6:$A$11,1)))+(MAX(Reference!$A$6,MIN(Reference!$A$11,$U86))-INDEX(Reference!$A$6:$A$11,MIN(5,MATCH(MAX(Reference!$A$6,MIN(Reference!$A$11,$U86)),Reference!$A$6:$A$11,1))))*(INDEX(Reference!$B$6:$B$11,MIN(5,MATCH(MAX(Reference!$A$6,MIN(Reference!$A$11,$U86)),Reference!$A$6:$A$11,1))+1)-INDEX(Reference!$B$6:$B$11,MIN(5,MATCH(MAX(Reference!$A$6,MIN(Reference!$A$11,$U86)),Reference!$A$6:$A$11,1))))/(INDEX(Reference!$A$6:$A$11,MIN(5,MATCH(MAX(Reference!$A$6,MIN(Reference!$A$11,$U86)),Reference!$A$6:$A$11,1))+1)-INDEX(Reference!$A$6:$A$11,MIN(5,MATCH(MAX(Reference!$A$6,MIN(Reference!$A$11,$U86)),Reference!$A$6:$A$11,1))))))</f>
        <v>2.2000000000000002</v>
      </c>
      <c r="AO86" s="37"/>
      <c r="AP86" s="37"/>
      <c r="AQ86" s="37"/>
    </row>
    <row r="87" spans="1:43" x14ac:dyDescent="0.3">
      <c r="A87" s="48">
        <f t="shared" si="30"/>
        <v>46351</v>
      </c>
      <c r="B87" s="32" t="str">
        <f t="shared" si="31"/>
        <v>Wed</v>
      </c>
      <c r="C87" s="32">
        <f t="shared" si="32"/>
        <v>40</v>
      </c>
      <c r="D87" s="32" t="str">
        <f t="shared" si="33"/>
        <v>Extension</v>
      </c>
      <c r="E87" s="32" t="str">
        <f t="shared" si="34"/>
        <v>No Throw</v>
      </c>
      <c r="F87" s="32" t="str">
        <f t="shared" si="35"/>
        <v>No Throw</v>
      </c>
      <c r="G87" s="47" t="str">
        <f t="shared" si="36"/>
        <v>Off</v>
      </c>
      <c r="H87" s="30">
        <f t="shared" si="37"/>
        <v>0</v>
      </c>
      <c r="I87" s="46">
        <f>IF($A87="","",IF(AND($L87&lt;27,$K$12=0),"Building",IFERROR(((SUM($H$81:$H87)+$K$12*IF($L87&lt;6,SUMIFS('Throw Log'!$Q$5:$Q$300,'Throw Log'!$B$5:$B$300,$D$4,'Throw Log'!$A$5:$A$300,"&gt;="&amp;($D$6+$L87-6),'Throw Log'!$A$5:$A$300,"&lt;="&amp;($D$6-1)),0))/7)/((SUM($H$60:$H87)+$K$12*IF($L87&lt;27,SUMIFS('Throw Log'!$Q$5:$Q$300,'Throw Log'!$B$5:$B$300,$D$4,'Throw Log'!$A$5:$A$300,"&gt;="&amp;($D$6+$L87-27),'Throw Log'!$A$5:$A$300,"&lt;="&amp;($D$6-1)),0))/28),"")))</f>
        <v>1.1187806159545279</v>
      </c>
      <c r="J87" s="37"/>
      <c r="K87" s="37"/>
      <c r="L87" s="32">
        <v>44</v>
      </c>
      <c r="M87" s="32">
        <f t="shared" si="38"/>
        <v>7</v>
      </c>
      <c r="N87" s="32">
        <f t="shared" si="39"/>
        <v>2</v>
      </c>
      <c r="O87" s="32">
        <f t="shared" si="40"/>
        <v>0.57894736842105265</v>
      </c>
      <c r="P87" s="32">
        <f>IF(OR($A87="",N($C87)&lt;=7),"",$G$6*$G$9^($M87-1)*IF(AND(MOD($M87,Reference!$B$99)=0,$M87&lt;=$G$5-2),Reference!$B$100,1))</f>
        <v>162.26318771208111</v>
      </c>
      <c r="Q87" s="32">
        <f>IF($P87="","",IF(SUM($AK$85:$AK$91)=0,0,$P87*INDEX(Reference!$B$108:$B$114,$N87+1)/SUM($AK$85:$AK$91)))</f>
        <v>0</v>
      </c>
      <c r="R87" s="32">
        <f t="shared" si="41"/>
        <v>150</v>
      </c>
      <c r="S87" s="32">
        <f t="shared" si="42"/>
        <v>135</v>
      </c>
      <c r="T87" s="32" t="str">
        <f>IF($A87="","",IF($C87=0,"Bullpen",IF(OR($C87=7,$C87=1,$C87=5),"Recovery/Easy Catch",IF($C87=6,"Compression/Pulldowns",IF(OR($C87=4,$C87=2),"Long Toss",IF($C87=3,"No Throw",IF($N87=2,"No Throw",IF($N87=6,IF($O87&lt;Reference!$B$104,"No Throw","Recovery/Easy Catch"),IF(OR($N87=0,$N87=4),"Recovery/Easy Catch",IF($N87=1,IF($R87&gt;75,"Long Toss","Recovery/Easy Catch"),IF($N87=3,IF($O87&lt;0.5,IF($S87&gt;75,"Long Toss","Recovery/Easy Catch"),"Compression/Pulldowns"),IF($S87&gt;75,"Long Toss","Recovery/Easy Catch"))))))))))))</f>
        <v>No Throw</v>
      </c>
      <c r="U87" s="32" t="str">
        <f t="shared" si="43"/>
        <v/>
      </c>
      <c r="V87" s="32" t="str">
        <f t="shared" si="44"/>
        <v/>
      </c>
      <c r="W87" s="32" t="str">
        <f t="shared" si="45"/>
        <v/>
      </c>
      <c r="X87" s="32">
        <f t="shared" si="46"/>
        <v>0</v>
      </c>
      <c r="Y87" s="32" t="str">
        <f t="shared" si="47"/>
        <v/>
      </c>
      <c r="Z87" s="32" t="str">
        <f t="shared" si="48"/>
        <v/>
      </c>
      <c r="AA87" s="32" t="str">
        <f t="shared" si="49"/>
        <v/>
      </c>
      <c r="AB87" s="32">
        <f>IF($A87="","",IF($T87="No Throw",0,IF($K87&lt;&gt;"",$K87,IF($AA87&lt;&gt;"",ROUND($AA87*$D$12*IF($C87=0,1,$G$10),0),MIN(IF($T87="Recovery/Easy Catch",Reference!$B$103,IF($T87="Long Toss",Reference!$B$106,Reference!$B$102)),MAX(Reference!$B$101,ROUND(MAX(0,$Q87-$AE87)/$AF87,0)))))))</f>
        <v>0</v>
      </c>
      <c r="AC87" s="32">
        <f t="shared" si="50"/>
        <v>0</v>
      </c>
      <c r="AD87" s="32" t="b">
        <f t="shared" si="51"/>
        <v>1</v>
      </c>
      <c r="AE87" s="32">
        <f>IF($X87=0,0,$X87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87+$Z87)/2,0),Reference!$A$17:$B$20,2,TRUE()))</f>
        <v>0</v>
      </c>
      <c r="AF87" s="32">
        <f>IF(OR($A87="",$U87="",$T87="No Throw"),0,$AM87*VLOOKUP(MAX(($V87+$W87)/2,0),Reference!$A$17:$B$20,2,TRUE()))</f>
        <v>0</v>
      </c>
      <c r="AG87" s="32">
        <f>IF($AC87=0,0,$AC87*INDEX(Reference!$B$61:$B$62,MATCH("Bullpen",Reference!$A$61:$A$62,0))*VLOOKUP(MAX($D$5-($D$9+$E$9)/2,0),Reference!$A$17:$B$20,2,TRUE()))</f>
        <v>0</v>
      </c>
      <c r="AH87" s="46">
        <f t="shared" si="52"/>
        <v>1.1187806159545279</v>
      </c>
      <c r="AI87" s="32">
        <f>IF($A87="",NA(),Reference!$A$25)</f>
        <v>0.8</v>
      </c>
      <c r="AJ87" s="32">
        <f t="shared" si="53"/>
        <v>1.3</v>
      </c>
      <c r="AK87" s="32">
        <f>IF(OR($A87="",N($C87)&lt;=7,$T87="No Throw",$J87="x"),0,INDEX(Reference!$B$108:$B$114,$N87+1))</f>
        <v>0</v>
      </c>
      <c r="AL87" s="32">
        <f t="shared" si="54"/>
        <v>1</v>
      </c>
      <c r="AM87" s="32">
        <f>IF($U87="",0,IF($AL87&gt;1,((IF(1&lt;=$AL87,($AL87-1+3)*(INDEX(Reference!$B$6:$B$11,MIN(5,MATCH(MAX(Reference!$A$6,MIN(Reference!$A$11,MIN($U87,90))),Reference!$A$6:$A$11,1)))+(MAX(Reference!$A$6,MIN(Reference!$A$11,MIN($U87,90)))-INDEX(Reference!$A$6:$A$11,MIN(5,MATCH(MAX(Reference!$A$6,MIN(Reference!$A$11,MIN($U87,90))),Reference!$A$6:$A$11,1))))*(INDEX(Reference!$B$6:$B$11,MIN(5,MATCH(MAX(Reference!$A$6,MIN(Reference!$A$11,MIN($U87,90))),Reference!$A$6:$A$11,1))+1)-INDEX(Reference!$B$6:$B$11,MIN(5,MATCH(MAX(Reference!$A$6,MIN(Reference!$A$11,MIN($U87,90))),Reference!$A$6:$A$11,1))))/(INDEX(Reference!$A$6:$A$11,MIN(5,MATCH(MAX(Reference!$A$6,MIN(Reference!$A$11,MIN($U87,90))),Reference!$A$6:$A$11,1))+1)-INDEX(Reference!$A$6:$A$11,MIN(5,MATCH(MAX(Reference!$A$6,MIN(Reference!$A$11,MIN($U87,90))),Reference!$A$6:$A$11,1))))),0)+IF(2&lt;=$AL87,($AL87-2+3)*(INDEX(Reference!$B$6:$B$11,MIN(5,MATCH(MAX(Reference!$A$6,MIN(Reference!$A$11,MIN($U87,120))),Reference!$A$6:$A$11,1)))+(MAX(Reference!$A$6,MIN(Reference!$A$11,MIN($U87,120)))-INDEX(Reference!$A$6:$A$11,MIN(5,MATCH(MAX(Reference!$A$6,MIN(Reference!$A$11,MIN($U87,120))),Reference!$A$6:$A$11,1))))*(INDEX(Reference!$B$6:$B$11,MIN(5,MATCH(MAX(Reference!$A$6,MIN(Reference!$A$11,MIN($U87,120))),Reference!$A$6:$A$11,1))+1)-INDEX(Reference!$B$6:$B$11,MIN(5,MATCH(MAX(Reference!$A$6,MIN(Reference!$A$11,MIN($U87,120))),Reference!$A$6:$A$11,1))))/(INDEX(Reference!$A$6:$A$11,MIN(5,MATCH(MAX(Reference!$A$6,MIN(Reference!$A$11,MIN($U87,120))),Reference!$A$6:$A$11,1))+1)-INDEX(Reference!$A$6:$A$11,MIN(5,MATCH(MAX(Reference!$A$6,MIN(Reference!$A$11,MIN($U87,120))),Reference!$A$6:$A$11,1))))),0)+IF(3&lt;=$AL87,($AL87-3+3)*(INDEX(Reference!$B$6:$B$11,MIN(5,MATCH(MAX(Reference!$A$6,MIN(Reference!$A$11,MIN($U87,150))),Reference!$A$6:$A$11,1)))+(MAX(Reference!$A$6,MIN(Reference!$A$11,MIN($U87,150)))-INDEX(Reference!$A$6:$A$11,MIN(5,MATCH(MAX(Reference!$A$6,MIN(Reference!$A$11,MIN($U87,150))),Reference!$A$6:$A$11,1))))*(INDEX(Reference!$B$6:$B$11,MIN(5,MATCH(MAX(Reference!$A$6,MIN(Reference!$A$11,MIN($U87,150))),Reference!$A$6:$A$11,1))+1)-INDEX(Reference!$B$6:$B$11,MIN(5,MATCH(MAX(Reference!$A$6,MIN(Reference!$A$11,MIN($U87,150))),Reference!$A$6:$A$11,1))))/(INDEX(Reference!$A$6:$A$11,MIN(5,MATCH(MAX(Reference!$A$6,MIN(Reference!$A$11,MIN($U87,150))),Reference!$A$6:$A$11,1))+1)-INDEX(Reference!$A$6:$A$11,MIN(5,MATCH(MAX(Reference!$A$6,MIN(Reference!$A$11,MIN($U87,150))),Reference!$A$6:$A$11,1))))),0)+IF(4&lt;=$AL87,($AL87-4+3)*(INDEX(Reference!$B$6:$B$11,MIN(5,MATCH(MAX(Reference!$A$6,MIN(Reference!$A$11,MIN($U87,180))),Reference!$A$6:$A$11,1)))+(MAX(Reference!$A$6,MIN(Reference!$A$11,MIN($U87,180)))-INDEX(Reference!$A$6:$A$11,MIN(5,MATCH(MAX(Reference!$A$6,MIN(Reference!$A$11,MIN($U87,180))),Reference!$A$6:$A$11,1))))*(INDEX(Reference!$B$6:$B$11,MIN(5,MATCH(MAX(Reference!$A$6,MIN(Reference!$A$11,MIN($U87,180))),Reference!$A$6:$A$11,1))+1)-INDEX(Reference!$B$6:$B$11,MIN(5,MATCH(MAX(Reference!$A$6,MIN(Reference!$A$11,MIN($U87,180))),Reference!$A$6:$A$11,1))))/(INDEX(Reference!$A$6:$A$11,MIN(5,MATCH(MAX(Reference!$A$6,MIN(Reference!$A$11,MIN($U87,180))),Reference!$A$6:$A$11,1))+1)-INDEX(Reference!$A$6:$A$11,MIN(5,MATCH(MAX(Reference!$A$6,MIN(Reference!$A$11,MIN($U87,180))),Reference!$A$6:$A$11,1))))),0)+IF(5&lt;=$AL87,($AL87-5+3)*(INDEX(Reference!$B$6:$B$11,MIN(5,MATCH(MAX(Reference!$A$6,MIN(Reference!$A$11,MIN($U87,210))),Reference!$A$6:$A$11,1)))+(MAX(Reference!$A$6,MIN(Reference!$A$11,MIN($U87,210)))-INDEX(Reference!$A$6:$A$11,MIN(5,MATCH(MAX(Reference!$A$6,MIN(Reference!$A$11,MIN($U87,210))),Reference!$A$6:$A$11,1))))*(INDEX(Reference!$B$6:$B$11,MIN(5,MATCH(MAX(Reference!$A$6,MIN(Reference!$A$11,MIN($U87,210))),Reference!$A$6:$A$11,1))+1)-INDEX(Reference!$B$6:$B$11,MIN(5,MATCH(MAX(Reference!$A$6,MIN(Reference!$A$11,MIN($U87,210))),Reference!$A$6:$A$11,1))))/(INDEX(Reference!$A$6:$A$11,MIN(5,MATCH(MAX(Reference!$A$6,MIN(Reference!$A$11,MIN($U87,210))),Reference!$A$6:$A$11,1))+1)-INDEX(Reference!$A$6:$A$11,MIN(5,MATCH(MAX(Reference!$A$6,MIN(Reference!$A$11,MIN($U87,210))),Reference!$A$6:$A$11,1))))),0)+IF(6&lt;=$AL87,($AL87-6+3)*(INDEX(Reference!$B$6:$B$11,MIN(5,MATCH(MAX(Reference!$A$6,MIN(Reference!$A$11,MIN($U87,240))),Reference!$A$6:$A$11,1)))+(MAX(Reference!$A$6,MIN(Reference!$A$11,MIN($U87,240)))-INDEX(Reference!$A$6:$A$11,MIN(5,MATCH(MAX(Reference!$A$6,MIN(Reference!$A$11,MIN($U87,240))),Reference!$A$6:$A$11,1))))*(INDEX(Reference!$B$6:$B$11,MIN(5,MATCH(MAX(Reference!$A$6,MIN(Reference!$A$11,MIN($U87,240))),Reference!$A$6:$A$11,1))+1)-INDEX(Reference!$B$6:$B$11,MIN(5,MATCH(MAX(Reference!$A$6,MIN(Reference!$A$11,MIN($U87,240))),Reference!$A$6:$A$11,1))))/(INDEX(Reference!$A$6:$A$11,MIN(5,MATCH(MAX(Reference!$A$6,MIN(Reference!$A$11,MIN($U87,240))),Reference!$A$6:$A$11,1))+1)-INDEX(Reference!$A$6:$A$11,MIN(5,MATCH(MAX(Reference!$A$6,MIN(Reference!$A$11,MIN($U87,240))),Reference!$A$6:$A$11,1))))),0)+IF(7&lt;=$AL87,($AL87-7+3)*(INDEX(Reference!$B$6:$B$11,MIN(5,MATCH(MAX(Reference!$A$6,MIN(Reference!$A$11,MIN($U87,270))),Reference!$A$6:$A$11,1)))+(MAX(Reference!$A$6,MIN(Reference!$A$11,MIN($U87,270)))-INDEX(Reference!$A$6:$A$11,MIN(5,MATCH(MAX(Reference!$A$6,MIN(Reference!$A$11,MIN($U87,270))),Reference!$A$6:$A$11,1))))*(INDEX(Reference!$B$6:$B$11,MIN(5,MATCH(MAX(Reference!$A$6,MIN(Reference!$A$11,MIN($U87,270))),Reference!$A$6:$A$11,1))+1)-INDEX(Reference!$B$6:$B$11,MIN(5,MATCH(MAX(Reference!$A$6,MIN(Reference!$A$11,MIN($U87,270))),Reference!$A$6:$A$11,1))))/(INDEX(Reference!$A$6:$A$11,MIN(5,MATCH(MAX(Reference!$A$6,MIN(Reference!$A$11,MIN($U87,270))),Reference!$A$6:$A$11,1))+1)-INDEX(Reference!$A$6:$A$11,MIN(5,MATCH(MAX(Reference!$A$6,MIN(Reference!$A$11,MIN($U87,270))),Reference!$A$6:$A$11,1))))),0)+IF(8&lt;=$AL87,($AL87-8+3)*(INDEX(Reference!$B$6:$B$11,MIN(5,MATCH(MAX(Reference!$A$6,MIN(Reference!$A$11,MIN($U87,300))),Reference!$A$6:$A$11,1)))+(MAX(Reference!$A$6,MIN(Reference!$A$11,MIN($U87,300)))-INDEX(Reference!$A$6:$A$11,MIN(5,MATCH(MAX(Reference!$A$6,MIN(Reference!$A$11,MIN($U87,300))),Reference!$A$6:$A$11,1))))*(INDEX(Reference!$B$6:$B$11,MIN(5,MATCH(MAX(Reference!$A$6,MIN(Reference!$A$11,MIN($U87,300))),Reference!$A$6:$A$11,1))+1)-INDEX(Reference!$B$6:$B$11,MIN(5,MATCH(MAX(Reference!$A$6,MIN(Reference!$A$11,MIN($U87,300))),Reference!$A$6:$A$11,1))))/(INDEX(Reference!$A$6:$A$11,MIN(5,MATCH(MAX(Reference!$A$6,MIN(Reference!$A$11,MIN($U87,300))),Reference!$A$6:$A$11,1))+1)-INDEX(Reference!$A$6:$A$11,MIN(5,MATCH(MAX(Reference!$A$6,MIN(Reference!$A$11,MIN($U87,300))),Reference!$A$6:$A$11,1))))),0))/($AL87*($AL87+5)/2)),$AN87))</f>
        <v>0</v>
      </c>
      <c r="AN87" s="32">
        <f>IF($U87="",0,(INDEX(Reference!$B$6:$B$11,MIN(5,MATCH(MAX(Reference!$A$6,MIN(Reference!$A$11,$U87)),Reference!$A$6:$A$11,1)))+(MAX(Reference!$A$6,MIN(Reference!$A$11,$U87))-INDEX(Reference!$A$6:$A$11,MIN(5,MATCH(MAX(Reference!$A$6,MIN(Reference!$A$11,$U87)),Reference!$A$6:$A$11,1))))*(INDEX(Reference!$B$6:$B$11,MIN(5,MATCH(MAX(Reference!$A$6,MIN(Reference!$A$11,$U87)),Reference!$A$6:$A$11,1))+1)-INDEX(Reference!$B$6:$B$11,MIN(5,MATCH(MAX(Reference!$A$6,MIN(Reference!$A$11,$U87)),Reference!$A$6:$A$11,1))))/(INDEX(Reference!$A$6:$A$11,MIN(5,MATCH(MAX(Reference!$A$6,MIN(Reference!$A$11,$U87)),Reference!$A$6:$A$11,1))+1)-INDEX(Reference!$A$6:$A$11,MIN(5,MATCH(MAX(Reference!$A$6,MIN(Reference!$A$11,$U87)),Reference!$A$6:$A$11,1))))))</f>
        <v>0</v>
      </c>
      <c r="AO87" s="37"/>
      <c r="AP87" s="37"/>
      <c r="AQ87" s="37"/>
    </row>
    <row r="88" spans="1:43" x14ac:dyDescent="0.3">
      <c r="A88" s="48">
        <f t="shared" si="30"/>
        <v>46352</v>
      </c>
      <c r="B88" s="32" t="str">
        <f t="shared" si="31"/>
        <v>Thu</v>
      </c>
      <c r="C88" s="32">
        <f t="shared" si="32"/>
        <v>39</v>
      </c>
      <c r="D88" s="32" t="str">
        <f t="shared" si="33"/>
        <v>Extension</v>
      </c>
      <c r="E88" s="32" t="str">
        <f t="shared" si="34"/>
        <v>High Non-Bullpen</v>
      </c>
      <c r="F88" s="32" t="str">
        <f t="shared" si="35"/>
        <v>Compression/Pulldowns</v>
      </c>
      <c r="G88" s="47" t="str">
        <f t="shared" si="36"/>
        <v>90 ft × 20 @ 82–84 mph + 60 ft × 15 @ 79–81 mph</v>
      </c>
      <c r="H88" s="30">
        <f t="shared" si="37"/>
        <v>35</v>
      </c>
      <c r="I88" s="46">
        <f>IF($A88="","",IF(AND($L88&lt;27,$K$12=0),"Building",IFERROR(((SUM($H$82:$H88)+$K$12*IF($L88&lt;6,SUMIFS('Throw Log'!$Q$5:$Q$300,'Throw Log'!$B$5:$B$300,$D$4,'Throw Log'!$A$5:$A$300,"&gt;="&amp;($D$6+$L88-6),'Throw Log'!$A$5:$A$300,"&lt;="&amp;($D$6-1)),0))/7)/((SUM($H$61:$H88)+$K$12*IF($L88&lt;27,SUMIFS('Throw Log'!$Q$5:$Q$300,'Throw Log'!$B$5:$B$300,$D$4,'Throw Log'!$A$5:$A$300,"&gt;="&amp;($D$6+$L88-27),'Throw Log'!$A$5:$A$300,"&lt;="&amp;($D$6-1)),0))/28),"")))</f>
        <v>1.0966637707246272</v>
      </c>
      <c r="J88" s="37" t="s">
        <v>347</v>
      </c>
      <c r="K88" s="37">
        <v>20</v>
      </c>
      <c r="L88" s="32">
        <v>45</v>
      </c>
      <c r="M88" s="32">
        <f t="shared" si="38"/>
        <v>7</v>
      </c>
      <c r="N88" s="32">
        <f t="shared" si="39"/>
        <v>3</v>
      </c>
      <c r="O88" s="32">
        <f t="shared" si="40"/>
        <v>0.59210526315789469</v>
      </c>
      <c r="P88" s="32">
        <f>IF(OR($A88="",N($C88)&lt;=7),"",$G$6*$G$9^($M88-1)*IF(AND(MOD($M88,Reference!$B$99)=0,$M88&lt;=$G$5-2),Reference!$B$100,1))</f>
        <v>162.26318771208111</v>
      </c>
      <c r="Q88" s="32">
        <f>IF($P88="","",IF(SUM($AK$85:$AK$91)=0,0,$P88*INDEX(Reference!$B$108:$B$114,$N88+1)/SUM($AK$85:$AK$91)))</f>
        <v>36.395481355980806</v>
      </c>
      <c r="R88" s="32">
        <f t="shared" si="41"/>
        <v>150</v>
      </c>
      <c r="S88" s="32">
        <f t="shared" si="42"/>
        <v>135</v>
      </c>
      <c r="T88" s="32" t="str">
        <f>IF($A88="","",IF($C88=0,"Bullpen",IF(OR($C88=7,$C88=1,$C88=5),"Recovery/Easy Catch",IF($C88=6,"Compression/Pulldowns",IF(OR($C88=4,$C88=2),"Long Toss",IF($C88=3,"No Throw",IF($N88=2,"No Throw",IF($N88=6,IF($O88&lt;Reference!$B$104,"No Throw","Recovery/Easy Catch"),IF(OR($N88=0,$N88=4),"Recovery/Easy Catch",IF($N88=1,IF($R88&gt;75,"Long Toss","Recovery/Easy Catch"),IF($N88=3,IF($O88&lt;0.5,IF($S88&gt;75,"Long Toss","Recovery/Easy Catch"),"Compression/Pulldowns"),IF($S88&gt;75,"Long Toss","Recovery/Easy Catch"))))))))))))</f>
        <v>Compression/Pulldowns</v>
      </c>
      <c r="U88" s="32">
        <f t="shared" si="43"/>
        <v>90</v>
      </c>
      <c r="V88" s="32">
        <f t="shared" si="44"/>
        <v>7</v>
      </c>
      <c r="W88" s="32">
        <f t="shared" si="45"/>
        <v>9</v>
      </c>
      <c r="X88" s="32">
        <f t="shared" si="46"/>
        <v>15</v>
      </c>
      <c r="Y88" s="32">
        <f t="shared" si="47"/>
        <v>10</v>
      </c>
      <c r="Z88" s="32">
        <f t="shared" si="48"/>
        <v>12</v>
      </c>
      <c r="AA88" s="32" t="str">
        <f t="shared" si="49"/>
        <v/>
      </c>
      <c r="AB88" s="32">
        <f>IF($A88="","",IF($T88="No Throw",0,IF($K88&lt;&gt;"",$K88,IF($AA88&lt;&gt;"",ROUND($AA88*$D$12*IF($C88=0,1,$G$10),0),MIN(IF($T88="Recovery/Easy Catch",Reference!$B$103,IF($T88="Long Toss",Reference!$B$106,Reference!$B$102)),MAX(Reference!$B$101,ROUND(MAX(0,$Q88-$AE88)/$AF88,0)))))))</f>
        <v>20</v>
      </c>
      <c r="AC88" s="32">
        <f t="shared" si="50"/>
        <v>0</v>
      </c>
      <c r="AD88" s="32" t="b">
        <f t="shared" si="51"/>
        <v>0</v>
      </c>
      <c r="AE88" s="32">
        <f>IF($X88=0,0,$X88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88+$Z88)/2,0),Reference!$A$17:$B$20,2,TRUE()))</f>
        <v>9</v>
      </c>
      <c r="AF88" s="32">
        <f>IF(OR($A88="",$U88="",$T88="No Throw"),0,$AM88*VLOOKUP(MAX(($V88+$W88)/2,0),Reference!$A$17:$B$20,2,TRUE()))</f>
        <v>1.3</v>
      </c>
      <c r="AG88" s="32">
        <f>IF($AC88=0,0,$AC88*INDEX(Reference!$B$61:$B$62,MATCH("Bullpen",Reference!$A$61:$A$62,0))*VLOOKUP(MAX($D$5-($D$9+$E$9)/2,0),Reference!$A$17:$B$20,2,TRUE()))</f>
        <v>0</v>
      </c>
      <c r="AH88" s="46">
        <f t="shared" si="52"/>
        <v>1.0966637707246272</v>
      </c>
      <c r="AI88" s="32">
        <f>IF($A88="",NA(),Reference!$A$25)</f>
        <v>0.8</v>
      </c>
      <c r="AJ88" s="32">
        <f t="shared" si="53"/>
        <v>1.3</v>
      </c>
      <c r="AK88" s="56">
        <f>IF(OR($A88="",N($C88)&lt;=7,$T88="No Throw",$J88="x"),0,INDEX(Reference!$B$108:$B$114,$N88+1))</f>
        <v>0.24</v>
      </c>
      <c r="AL88" s="32">
        <f t="shared" si="54"/>
        <v>1</v>
      </c>
      <c r="AM88" s="32">
        <f>IF($U88="",0,IF($AL88&gt;1,((IF(1&lt;=$AL88,($AL88-1+3)*(INDEX(Reference!$B$6:$B$11,MIN(5,MATCH(MAX(Reference!$A$6,MIN(Reference!$A$11,MIN($U88,90))),Reference!$A$6:$A$11,1)))+(MAX(Reference!$A$6,MIN(Reference!$A$11,MIN($U88,90)))-INDEX(Reference!$A$6:$A$11,MIN(5,MATCH(MAX(Reference!$A$6,MIN(Reference!$A$11,MIN($U88,90))),Reference!$A$6:$A$11,1))))*(INDEX(Reference!$B$6:$B$11,MIN(5,MATCH(MAX(Reference!$A$6,MIN(Reference!$A$11,MIN($U88,90))),Reference!$A$6:$A$11,1))+1)-INDEX(Reference!$B$6:$B$11,MIN(5,MATCH(MAX(Reference!$A$6,MIN(Reference!$A$11,MIN($U88,90))),Reference!$A$6:$A$11,1))))/(INDEX(Reference!$A$6:$A$11,MIN(5,MATCH(MAX(Reference!$A$6,MIN(Reference!$A$11,MIN($U88,90))),Reference!$A$6:$A$11,1))+1)-INDEX(Reference!$A$6:$A$11,MIN(5,MATCH(MAX(Reference!$A$6,MIN(Reference!$A$11,MIN($U88,90))),Reference!$A$6:$A$11,1))))),0)+IF(2&lt;=$AL88,($AL88-2+3)*(INDEX(Reference!$B$6:$B$11,MIN(5,MATCH(MAX(Reference!$A$6,MIN(Reference!$A$11,MIN($U88,120))),Reference!$A$6:$A$11,1)))+(MAX(Reference!$A$6,MIN(Reference!$A$11,MIN($U88,120)))-INDEX(Reference!$A$6:$A$11,MIN(5,MATCH(MAX(Reference!$A$6,MIN(Reference!$A$11,MIN($U88,120))),Reference!$A$6:$A$11,1))))*(INDEX(Reference!$B$6:$B$11,MIN(5,MATCH(MAX(Reference!$A$6,MIN(Reference!$A$11,MIN($U88,120))),Reference!$A$6:$A$11,1))+1)-INDEX(Reference!$B$6:$B$11,MIN(5,MATCH(MAX(Reference!$A$6,MIN(Reference!$A$11,MIN($U88,120))),Reference!$A$6:$A$11,1))))/(INDEX(Reference!$A$6:$A$11,MIN(5,MATCH(MAX(Reference!$A$6,MIN(Reference!$A$11,MIN($U88,120))),Reference!$A$6:$A$11,1))+1)-INDEX(Reference!$A$6:$A$11,MIN(5,MATCH(MAX(Reference!$A$6,MIN(Reference!$A$11,MIN($U88,120))),Reference!$A$6:$A$11,1))))),0)+IF(3&lt;=$AL88,($AL88-3+3)*(INDEX(Reference!$B$6:$B$11,MIN(5,MATCH(MAX(Reference!$A$6,MIN(Reference!$A$11,MIN($U88,150))),Reference!$A$6:$A$11,1)))+(MAX(Reference!$A$6,MIN(Reference!$A$11,MIN($U88,150)))-INDEX(Reference!$A$6:$A$11,MIN(5,MATCH(MAX(Reference!$A$6,MIN(Reference!$A$11,MIN($U88,150))),Reference!$A$6:$A$11,1))))*(INDEX(Reference!$B$6:$B$11,MIN(5,MATCH(MAX(Reference!$A$6,MIN(Reference!$A$11,MIN($U88,150))),Reference!$A$6:$A$11,1))+1)-INDEX(Reference!$B$6:$B$11,MIN(5,MATCH(MAX(Reference!$A$6,MIN(Reference!$A$11,MIN($U88,150))),Reference!$A$6:$A$11,1))))/(INDEX(Reference!$A$6:$A$11,MIN(5,MATCH(MAX(Reference!$A$6,MIN(Reference!$A$11,MIN($U88,150))),Reference!$A$6:$A$11,1))+1)-INDEX(Reference!$A$6:$A$11,MIN(5,MATCH(MAX(Reference!$A$6,MIN(Reference!$A$11,MIN($U88,150))),Reference!$A$6:$A$11,1))))),0)+IF(4&lt;=$AL88,($AL88-4+3)*(INDEX(Reference!$B$6:$B$11,MIN(5,MATCH(MAX(Reference!$A$6,MIN(Reference!$A$11,MIN($U88,180))),Reference!$A$6:$A$11,1)))+(MAX(Reference!$A$6,MIN(Reference!$A$11,MIN($U88,180)))-INDEX(Reference!$A$6:$A$11,MIN(5,MATCH(MAX(Reference!$A$6,MIN(Reference!$A$11,MIN($U88,180))),Reference!$A$6:$A$11,1))))*(INDEX(Reference!$B$6:$B$11,MIN(5,MATCH(MAX(Reference!$A$6,MIN(Reference!$A$11,MIN($U88,180))),Reference!$A$6:$A$11,1))+1)-INDEX(Reference!$B$6:$B$11,MIN(5,MATCH(MAX(Reference!$A$6,MIN(Reference!$A$11,MIN($U88,180))),Reference!$A$6:$A$11,1))))/(INDEX(Reference!$A$6:$A$11,MIN(5,MATCH(MAX(Reference!$A$6,MIN(Reference!$A$11,MIN($U88,180))),Reference!$A$6:$A$11,1))+1)-INDEX(Reference!$A$6:$A$11,MIN(5,MATCH(MAX(Reference!$A$6,MIN(Reference!$A$11,MIN($U88,180))),Reference!$A$6:$A$11,1))))),0)+IF(5&lt;=$AL88,($AL88-5+3)*(INDEX(Reference!$B$6:$B$11,MIN(5,MATCH(MAX(Reference!$A$6,MIN(Reference!$A$11,MIN($U88,210))),Reference!$A$6:$A$11,1)))+(MAX(Reference!$A$6,MIN(Reference!$A$11,MIN($U88,210)))-INDEX(Reference!$A$6:$A$11,MIN(5,MATCH(MAX(Reference!$A$6,MIN(Reference!$A$11,MIN($U88,210))),Reference!$A$6:$A$11,1))))*(INDEX(Reference!$B$6:$B$11,MIN(5,MATCH(MAX(Reference!$A$6,MIN(Reference!$A$11,MIN($U88,210))),Reference!$A$6:$A$11,1))+1)-INDEX(Reference!$B$6:$B$11,MIN(5,MATCH(MAX(Reference!$A$6,MIN(Reference!$A$11,MIN($U88,210))),Reference!$A$6:$A$11,1))))/(INDEX(Reference!$A$6:$A$11,MIN(5,MATCH(MAX(Reference!$A$6,MIN(Reference!$A$11,MIN($U88,210))),Reference!$A$6:$A$11,1))+1)-INDEX(Reference!$A$6:$A$11,MIN(5,MATCH(MAX(Reference!$A$6,MIN(Reference!$A$11,MIN($U88,210))),Reference!$A$6:$A$11,1))))),0)+IF(6&lt;=$AL88,($AL88-6+3)*(INDEX(Reference!$B$6:$B$11,MIN(5,MATCH(MAX(Reference!$A$6,MIN(Reference!$A$11,MIN($U88,240))),Reference!$A$6:$A$11,1)))+(MAX(Reference!$A$6,MIN(Reference!$A$11,MIN($U88,240)))-INDEX(Reference!$A$6:$A$11,MIN(5,MATCH(MAX(Reference!$A$6,MIN(Reference!$A$11,MIN($U88,240))),Reference!$A$6:$A$11,1))))*(INDEX(Reference!$B$6:$B$11,MIN(5,MATCH(MAX(Reference!$A$6,MIN(Reference!$A$11,MIN($U88,240))),Reference!$A$6:$A$11,1))+1)-INDEX(Reference!$B$6:$B$11,MIN(5,MATCH(MAX(Reference!$A$6,MIN(Reference!$A$11,MIN($U88,240))),Reference!$A$6:$A$11,1))))/(INDEX(Reference!$A$6:$A$11,MIN(5,MATCH(MAX(Reference!$A$6,MIN(Reference!$A$11,MIN($U88,240))),Reference!$A$6:$A$11,1))+1)-INDEX(Reference!$A$6:$A$11,MIN(5,MATCH(MAX(Reference!$A$6,MIN(Reference!$A$11,MIN($U88,240))),Reference!$A$6:$A$11,1))))),0)+IF(7&lt;=$AL88,($AL88-7+3)*(INDEX(Reference!$B$6:$B$11,MIN(5,MATCH(MAX(Reference!$A$6,MIN(Reference!$A$11,MIN($U88,270))),Reference!$A$6:$A$11,1)))+(MAX(Reference!$A$6,MIN(Reference!$A$11,MIN($U88,270)))-INDEX(Reference!$A$6:$A$11,MIN(5,MATCH(MAX(Reference!$A$6,MIN(Reference!$A$11,MIN($U88,270))),Reference!$A$6:$A$11,1))))*(INDEX(Reference!$B$6:$B$11,MIN(5,MATCH(MAX(Reference!$A$6,MIN(Reference!$A$11,MIN($U88,270))),Reference!$A$6:$A$11,1))+1)-INDEX(Reference!$B$6:$B$11,MIN(5,MATCH(MAX(Reference!$A$6,MIN(Reference!$A$11,MIN($U88,270))),Reference!$A$6:$A$11,1))))/(INDEX(Reference!$A$6:$A$11,MIN(5,MATCH(MAX(Reference!$A$6,MIN(Reference!$A$11,MIN($U88,270))),Reference!$A$6:$A$11,1))+1)-INDEX(Reference!$A$6:$A$11,MIN(5,MATCH(MAX(Reference!$A$6,MIN(Reference!$A$11,MIN($U88,270))),Reference!$A$6:$A$11,1))))),0)+IF(8&lt;=$AL88,($AL88-8+3)*(INDEX(Reference!$B$6:$B$11,MIN(5,MATCH(MAX(Reference!$A$6,MIN(Reference!$A$11,MIN($U88,300))),Reference!$A$6:$A$11,1)))+(MAX(Reference!$A$6,MIN(Reference!$A$11,MIN($U88,300)))-INDEX(Reference!$A$6:$A$11,MIN(5,MATCH(MAX(Reference!$A$6,MIN(Reference!$A$11,MIN($U88,300))),Reference!$A$6:$A$11,1))))*(INDEX(Reference!$B$6:$B$11,MIN(5,MATCH(MAX(Reference!$A$6,MIN(Reference!$A$11,MIN($U88,300))),Reference!$A$6:$A$11,1))+1)-INDEX(Reference!$B$6:$B$11,MIN(5,MATCH(MAX(Reference!$A$6,MIN(Reference!$A$11,MIN($U88,300))),Reference!$A$6:$A$11,1))))/(INDEX(Reference!$A$6:$A$11,MIN(5,MATCH(MAX(Reference!$A$6,MIN(Reference!$A$11,MIN($U88,300))),Reference!$A$6:$A$11,1))+1)-INDEX(Reference!$A$6:$A$11,MIN(5,MATCH(MAX(Reference!$A$6,MIN(Reference!$A$11,MIN($U88,300))),Reference!$A$6:$A$11,1))))),0))/($AL88*($AL88+5)/2)),$AN88))</f>
        <v>1.3</v>
      </c>
      <c r="AN88" s="32">
        <f>IF($U88="",0,(INDEX(Reference!$B$6:$B$11,MIN(5,MATCH(MAX(Reference!$A$6,MIN(Reference!$A$11,$U88)),Reference!$A$6:$A$11,1)))+(MAX(Reference!$A$6,MIN(Reference!$A$11,$U88))-INDEX(Reference!$A$6:$A$11,MIN(5,MATCH(MAX(Reference!$A$6,MIN(Reference!$A$11,$U88)),Reference!$A$6:$A$11,1))))*(INDEX(Reference!$B$6:$B$11,MIN(5,MATCH(MAX(Reference!$A$6,MIN(Reference!$A$11,$U88)),Reference!$A$6:$A$11,1))+1)-INDEX(Reference!$B$6:$B$11,MIN(5,MATCH(MAX(Reference!$A$6,MIN(Reference!$A$11,$U88)),Reference!$A$6:$A$11,1))))/(INDEX(Reference!$A$6:$A$11,MIN(5,MATCH(MAX(Reference!$A$6,MIN(Reference!$A$11,$U88)),Reference!$A$6:$A$11,1))+1)-INDEX(Reference!$A$6:$A$11,MIN(5,MATCH(MAX(Reference!$A$6,MIN(Reference!$A$11,$U88)),Reference!$A$6:$A$11,1))))))</f>
        <v>1.3</v>
      </c>
      <c r="AO88" s="37"/>
      <c r="AP88" s="37"/>
      <c r="AQ88" s="37"/>
    </row>
    <row r="89" spans="1:43" x14ac:dyDescent="0.3">
      <c r="A89" s="48">
        <f t="shared" si="30"/>
        <v>46353</v>
      </c>
      <c r="B89" s="32" t="str">
        <f t="shared" si="31"/>
        <v>Fri</v>
      </c>
      <c r="C89" s="32">
        <f t="shared" si="32"/>
        <v>38</v>
      </c>
      <c r="D89" s="32" t="str">
        <f t="shared" si="33"/>
        <v>Extension</v>
      </c>
      <c r="E89" s="32" t="str">
        <f t="shared" si="34"/>
        <v>Low</v>
      </c>
      <c r="F89" s="32" t="str">
        <f t="shared" si="35"/>
        <v>Recovery/Easy Catch</v>
      </c>
      <c r="G89" s="47" t="str">
        <f t="shared" si="36"/>
        <v>75 ft × 22 @ 69–73 mph</v>
      </c>
      <c r="H89" s="30">
        <f t="shared" si="37"/>
        <v>15.18</v>
      </c>
      <c r="I89" s="46">
        <f>IF($A89="","",IF(AND($L89&lt;27,$K$12=0),"Building",IFERROR(((SUM($H$83:$H89)+$K$12*IF($L89&lt;6,SUMIFS('Throw Log'!$Q$5:$Q$300,'Throw Log'!$B$5:$B$300,$D$4,'Throw Log'!$A$5:$A$300,"&gt;="&amp;($D$6+$L89-6),'Throw Log'!$A$5:$A$300,"&lt;="&amp;($D$6-1)),0))/7)/((SUM($H$62:$H89)+$K$12*IF($L89&lt;27,SUMIFS('Throw Log'!$Q$5:$Q$300,'Throw Log'!$B$5:$B$300,$D$4,'Throw Log'!$A$5:$A$300,"&gt;="&amp;($D$6+$L89-27),'Throw Log'!$A$5:$A$300,"&lt;="&amp;($D$6-1)),0))/28),"")))</f>
        <v>1.0951600816558567</v>
      </c>
      <c r="J89" s="37"/>
      <c r="K89" s="37"/>
      <c r="L89" s="32">
        <v>46</v>
      </c>
      <c r="M89" s="32">
        <f t="shared" si="38"/>
        <v>7</v>
      </c>
      <c r="N89" s="32">
        <f t="shared" si="39"/>
        <v>4</v>
      </c>
      <c r="O89" s="32">
        <f t="shared" si="40"/>
        <v>0.60526315789473684</v>
      </c>
      <c r="P89" s="32">
        <f>IF(OR($A89="",N($C89)&lt;=7),"",$G$6*$G$9^($M89-1)*IF(AND(MOD($M89,Reference!$B$99)=0,$M89&lt;=$G$5-2),Reference!$B$100,1))</f>
        <v>162.26318771208111</v>
      </c>
      <c r="Q89" s="32">
        <f>IF($P89="","",IF(SUM($AK$85:$AK$91)=0,0,$P89*INDEX(Reference!$B$108:$B$114,$N89+1)/SUM($AK$85:$AK$91)))</f>
        <v>15.164783898325336</v>
      </c>
      <c r="R89" s="32">
        <f t="shared" si="41"/>
        <v>150</v>
      </c>
      <c r="S89" s="32">
        <f t="shared" si="42"/>
        <v>135</v>
      </c>
      <c r="T89" s="32" t="str">
        <f>IF($A89="","",IF($C89=0,"Bullpen",IF(OR($C89=7,$C89=1,$C89=5),"Recovery/Easy Catch",IF($C89=6,"Compression/Pulldowns",IF(OR($C89=4,$C89=2),"Long Toss",IF($C89=3,"No Throw",IF($N89=2,"No Throw",IF($N89=6,IF($O89&lt;Reference!$B$104,"No Throw","Recovery/Easy Catch"),IF(OR($N89=0,$N89=4),"Recovery/Easy Catch",IF($N89=1,IF($R89&gt;75,"Long Toss","Recovery/Easy Catch"),IF($N89=3,IF($O89&lt;0.5,IF($S89&gt;75,"Long Toss","Recovery/Easy Catch"),"Compression/Pulldowns"),IF($S89&gt;75,"Long Toss","Recovery/Easy Catch"))))))))))))</f>
        <v>Recovery/Easy Catch</v>
      </c>
      <c r="U89" s="32">
        <f t="shared" si="43"/>
        <v>75</v>
      </c>
      <c r="V89" s="32">
        <f t="shared" si="44"/>
        <v>18</v>
      </c>
      <c r="W89" s="32">
        <f t="shared" si="45"/>
        <v>22</v>
      </c>
      <c r="X89" s="32">
        <f t="shared" si="46"/>
        <v>0</v>
      </c>
      <c r="Y89" s="32" t="str">
        <f t="shared" si="47"/>
        <v/>
      </c>
      <c r="Z89" s="32" t="str">
        <f t="shared" si="48"/>
        <v/>
      </c>
      <c r="AA89" s="32" t="str">
        <f t="shared" si="49"/>
        <v/>
      </c>
      <c r="AB89" s="32">
        <f>IF($A89="","",IF($T89="No Throw",0,IF($K89&lt;&gt;"",$K89,IF($AA89&lt;&gt;"",ROUND($AA89*$D$12*IF($C89=0,1,$G$10),0),MIN(IF($T89="Recovery/Easy Catch",Reference!$B$103,IF($T89="Long Toss",Reference!$B$106,Reference!$B$102)),MAX(Reference!$B$101,ROUND(MAX(0,$Q89-$AE89)/$AF89,0)))))))</f>
        <v>22</v>
      </c>
      <c r="AC89" s="32">
        <f t="shared" si="50"/>
        <v>0</v>
      </c>
      <c r="AD89" s="32" t="b">
        <f t="shared" si="51"/>
        <v>0</v>
      </c>
      <c r="AE89" s="32">
        <f>IF($X89=0,0,$X89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89+$Z89)/2,0),Reference!$A$17:$B$20,2,TRUE()))</f>
        <v>0</v>
      </c>
      <c r="AF89" s="32">
        <f>IF(OR($A89="",$U89="",$T89="No Throw"),0,$AM89*VLOOKUP(MAX(($V89+$W89)/2,0),Reference!$A$17:$B$20,2,TRUE()))</f>
        <v>0.69</v>
      </c>
      <c r="AG89" s="32">
        <f>IF($AC89=0,0,$AC89*INDEX(Reference!$B$61:$B$62,MATCH("Bullpen",Reference!$A$61:$A$62,0))*VLOOKUP(MAX($D$5-($D$9+$E$9)/2,0),Reference!$A$17:$B$20,2,TRUE()))</f>
        <v>0</v>
      </c>
      <c r="AH89" s="46">
        <f t="shared" si="52"/>
        <v>1.0951600816558567</v>
      </c>
      <c r="AI89" s="32">
        <f>IF($A89="",NA(),Reference!$A$25)</f>
        <v>0.8</v>
      </c>
      <c r="AJ89" s="32">
        <f t="shared" si="53"/>
        <v>1.3</v>
      </c>
      <c r="AK89" s="56">
        <f>IF(OR($A89="",N($C89)&lt;=7,$T89="No Throw",$J89="x"),0,INDEX(Reference!$B$108:$B$114,$N89+1))</f>
        <v>0.1</v>
      </c>
      <c r="AL89" s="32">
        <f t="shared" si="54"/>
        <v>1</v>
      </c>
      <c r="AM89" s="32">
        <f>IF($U89="",0,IF($AL89&gt;1,((IF(1&lt;=$AL89,($AL89-1+3)*(INDEX(Reference!$B$6:$B$11,MIN(5,MATCH(MAX(Reference!$A$6,MIN(Reference!$A$11,MIN($U89,90))),Reference!$A$6:$A$11,1)))+(MAX(Reference!$A$6,MIN(Reference!$A$11,MIN($U89,90)))-INDEX(Reference!$A$6:$A$11,MIN(5,MATCH(MAX(Reference!$A$6,MIN(Reference!$A$11,MIN($U89,90))),Reference!$A$6:$A$11,1))))*(INDEX(Reference!$B$6:$B$11,MIN(5,MATCH(MAX(Reference!$A$6,MIN(Reference!$A$11,MIN($U89,90))),Reference!$A$6:$A$11,1))+1)-INDEX(Reference!$B$6:$B$11,MIN(5,MATCH(MAX(Reference!$A$6,MIN(Reference!$A$11,MIN($U89,90))),Reference!$A$6:$A$11,1))))/(INDEX(Reference!$A$6:$A$11,MIN(5,MATCH(MAX(Reference!$A$6,MIN(Reference!$A$11,MIN($U89,90))),Reference!$A$6:$A$11,1))+1)-INDEX(Reference!$A$6:$A$11,MIN(5,MATCH(MAX(Reference!$A$6,MIN(Reference!$A$11,MIN($U89,90))),Reference!$A$6:$A$11,1))))),0)+IF(2&lt;=$AL89,($AL89-2+3)*(INDEX(Reference!$B$6:$B$11,MIN(5,MATCH(MAX(Reference!$A$6,MIN(Reference!$A$11,MIN($U89,120))),Reference!$A$6:$A$11,1)))+(MAX(Reference!$A$6,MIN(Reference!$A$11,MIN($U89,120)))-INDEX(Reference!$A$6:$A$11,MIN(5,MATCH(MAX(Reference!$A$6,MIN(Reference!$A$11,MIN($U89,120))),Reference!$A$6:$A$11,1))))*(INDEX(Reference!$B$6:$B$11,MIN(5,MATCH(MAX(Reference!$A$6,MIN(Reference!$A$11,MIN($U89,120))),Reference!$A$6:$A$11,1))+1)-INDEX(Reference!$B$6:$B$11,MIN(5,MATCH(MAX(Reference!$A$6,MIN(Reference!$A$11,MIN($U89,120))),Reference!$A$6:$A$11,1))))/(INDEX(Reference!$A$6:$A$11,MIN(5,MATCH(MAX(Reference!$A$6,MIN(Reference!$A$11,MIN($U89,120))),Reference!$A$6:$A$11,1))+1)-INDEX(Reference!$A$6:$A$11,MIN(5,MATCH(MAX(Reference!$A$6,MIN(Reference!$A$11,MIN($U89,120))),Reference!$A$6:$A$11,1))))),0)+IF(3&lt;=$AL89,($AL89-3+3)*(INDEX(Reference!$B$6:$B$11,MIN(5,MATCH(MAX(Reference!$A$6,MIN(Reference!$A$11,MIN($U89,150))),Reference!$A$6:$A$11,1)))+(MAX(Reference!$A$6,MIN(Reference!$A$11,MIN($U89,150)))-INDEX(Reference!$A$6:$A$11,MIN(5,MATCH(MAX(Reference!$A$6,MIN(Reference!$A$11,MIN($U89,150))),Reference!$A$6:$A$11,1))))*(INDEX(Reference!$B$6:$B$11,MIN(5,MATCH(MAX(Reference!$A$6,MIN(Reference!$A$11,MIN($U89,150))),Reference!$A$6:$A$11,1))+1)-INDEX(Reference!$B$6:$B$11,MIN(5,MATCH(MAX(Reference!$A$6,MIN(Reference!$A$11,MIN($U89,150))),Reference!$A$6:$A$11,1))))/(INDEX(Reference!$A$6:$A$11,MIN(5,MATCH(MAX(Reference!$A$6,MIN(Reference!$A$11,MIN($U89,150))),Reference!$A$6:$A$11,1))+1)-INDEX(Reference!$A$6:$A$11,MIN(5,MATCH(MAX(Reference!$A$6,MIN(Reference!$A$11,MIN($U89,150))),Reference!$A$6:$A$11,1))))),0)+IF(4&lt;=$AL89,($AL89-4+3)*(INDEX(Reference!$B$6:$B$11,MIN(5,MATCH(MAX(Reference!$A$6,MIN(Reference!$A$11,MIN($U89,180))),Reference!$A$6:$A$11,1)))+(MAX(Reference!$A$6,MIN(Reference!$A$11,MIN($U89,180)))-INDEX(Reference!$A$6:$A$11,MIN(5,MATCH(MAX(Reference!$A$6,MIN(Reference!$A$11,MIN($U89,180))),Reference!$A$6:$A$11,1))))*(INDEX(Reference!$B$6:$B$11,MIN(5,MATCH(MAX(Reference!$A$6,MIN(Reference!$A$11,MIN($U89,180))),Reference!$A$6:$A$11,1))+1)-INDEX(Reference!$B$6:$B$11,MIN(5,MATCH(MAX(Reference!$A$6,MIN(Reference!$A$11,MIN($U89,180))),Reference!$A$6:$A$11,1))))/(INDEX(Reference!$A$6:$A$11,MIN(5,MATCH(MAX(Reference!$A$6,MIN(Reference!$A$11,MIN($U89,180))),Reference!$A$6:$A$11,1))+1)-INDEX(Reference!$A$6:$A$11,MIN(5,MATCH(MAX(Reference!$A$6,MIN(Reference!$A$11,MIN($U89,180))),Reference!$A$6:$A$11,1))))),0)+IF(5&lt;=$AL89,($AL89-5+3)*(INDEX(Reference!$B$6:$B$11,MIN(5,MATCH(MAX(Reference!$A$6,MIN(Reference!$A$11,MIN($U89,210))),Reference!$A$6:$A$11,1)))+(MAX(Reference!$A$6,MIN(Reference!$A$11,MIN($U89,210)))-INDEX(Reference!$A$6:$A$11,MIN(5,MATCH(MAX(Reference!$A$6,MIN(Reference!$A$11,MIN($U89,210))),Reference!$A$6:$A$11,1))))*(INDEX(Reference!$B$6:$B$11,MIN(5,MATCH(MAX(Reference!$A$6,MIN(Reference!$A$11,MIN($U89,210))),Reference!$A$6:$A$11,1))+1)-INDEX(Reference!$B$6:$B$11,MIN(5,MATCH(MAX(Reference!$A$6,MIN(Reference!$A$11,MIN($U89,210))),Reference!$A$6:$A$11,1))))/(INDEX(Reference!$A$6:$A$11,MIN(5,MATCH(MAX(Reference!$A$6,MIN(Reference!$A$11,MIN($U89,210))),Reference!$A$6:$A$11,1))+1)-INDEX(Reference!$A$6:$A$11,MIN(5,MATCH(MAX(Reference!$A$6,MIN(Reference!$A$11,MIN($U89,210))),Reference!$A$6:$A$11,1))))),0)+IF(6&lt;=$AL89,($AL89-6+3)*(INDEX(Reference!$B$6:$B$11,MIN(5,MATCH(MAX(Reference!$A$6,MIN(Reference!$A$11,MIN($U89,240))),Reference!$A$6:$A$11,1)))+(MAX(Reference!$A$6,MIN(Reference!$A$11,MIN($U89,240)))-INDEX(Reference!$A$6:$A$11,MIN(5,MATCH(MAX(Reference!$A$6,MIN(Reference!$A$11,MIN($U89,240))),Reference!$A$6:$A$11,1))))*(INDEX(Reference!$B$6:$B$11,MIN(5,MATCH(MAX(Reference!$A$6,MIN(Reference!$A$11,MIN($U89,240))),Reference!$A$6:$A$11,1))+1)-INDEX(Reference!$B$6:$B$11,MIN(5,MATCH(MAX(Reference!$A$6,MIN(Reference!$A$11,MIN($U89,240))),Reference!$A$6:$A$11,1))))/(INDEX(Reference!$A$6:$A$11,MIN(5,MATCH(MAX(Reference!$A$6,MIN(Reference!$A$11,MIN($U89,240))),Reference!$A$6:$A$11,1))+1)-INDEX(Reference!$A$6:$A$11,MIN(5,MATCH(MAX(Reference!$A$6,MIN(Reference!$A$11,MIN($U89,240))),Reference!$A$6:$A$11,1))))),0)+IF(7&lt;=$AL89,($AL89-7+3)*(INDEX(Reference!$B$6:$B$11,MIN(5,MATCH(MAX(Reference!$A$6,MIN(Reference!$A$11,MIN($U89,270))),Reference!$A$6:$A$11,1)))+(MAX(Reference!$A$6,MIN(Reference!$A$11,MIN($U89,270)))-INDEX(Reference!$A$6:$A$11,MIN(5,MATCH(MAX(Reference!$A$6,MIN(Reference!$A$11,MIN($U89,270))),Reference!$A$6:$A$11,1))))*(INDEX(Reference!$B$6:$B$11,MIN(5,MATCH(MAX(Reference!$A$6,MIN(Reference!$A$11,MIN($U89,270))),Reference!$A$6:$A$11,1))+1)-INDEX(Reference!$B$6:$B$11,MIN(5,MATCH(MAX(Reference!$A$6,MIN(Reference!$A$11,MIN($U89,270))),Reference!$A$6:$A$11,1))))/(INDEX(Reference!$A$6:$A$11,MIN(5,MATCH(MAX(Reference!$A$6,MIN(Reference!$A$11,MIN($U89,270))),Reference!$A$6:$A$11,1))+1)-INDEX(Reference!$A$6:$A$11,MIN(5,MATCH(MAX(Reference!$A$6,MIN(Reference!$A$11,MIN($U89,270))),Reference!$A$6:$A$11,1))))),0)+IF(8&lt;=$AL89,($AL89-8+3)*(INDEX(Reference!$B$6:$B$11,MIN(5,MATCH(MAX(Reference!$A$6,MIN(Reference!$A$11,MIN($U89,300))),Reference!$A$6:$A$11,1)))+(MAX(Reference!$A$6,MIN(Reference!$A$11,MIN($U89,300)))-INDEX(Reference!$A$6:$A$11,MIN(5,MATCH(MAX(Reference!$A$6,MIN(Reference!$A$11,MIN($U89,300))),Reference!$A$6:$A$11,1))))*(INDEX(Reference!$B$6:$B$11,MIN(5,MATCH(MAX(Reference!$A$6,MIN(Reference!$A$11,MIN($U89,300))),Reference!$A$6:$A$11,1))+1)-INDEX(Reference!$B$6:$B$11,MIN(5,MATCH(MAX(Reference!$A$6,MIN(Reference!$A$11,MIN($U89,300))),Reference!$A$6:$A$11,1))))/(INDEX(Reference!$A$6:$A$11,MIN(5,MATCH(MAX(Reference!$A$6,MIN(Reference!$A$11,MIN($U89,300))),Reference!$A$6:$A$11,1))+1)-INDEX(Reference!$A$6:$A$11,MIN(5,MATCH(MAX(Reference!$A$6,MIN(Reference!$A$11,MIN($U89,300))),Reference!$A$6:$A$11,1))))),0))/($AL89*($AL89+5)/2)),$AN89))</f>
        <v>1.1499999999999999</v>
      </c>
      <c r="AN89" s="32">
        <f>IF($U89="",0,(INDEX(Reference!$B$6:$B$11,MIN(5,MATCH(MAX(Reference!$A$6,MIN(Reference!$A$11,$U89)),Reference!$A$6:$A$11,1)))+(MAX(Reference!$A$6,MIN(Reference!$A$11,$U89))-INDEX(Reference!$A$6:$A$11,MIN(5,MATCH(MAX(Reference!$A$6,MIN(Reference!$A$11,$U89)),Reference!$A$6:$A$11,1))))*(INDEX(Reference!$B$6:$B$11,MIN(5,MATCH(MAX(Reference!$A$6,MIN(Reference!$A$11,$U89)),Reference!$A$6:$A$11,1))+1)-INDEX(Reference!$B$6:$B$11,MIN(5,MATCH(MAX(Reference!$A$6,MIN(Reference!$A$11,$U89)),Reference!$A$6:$A$11,1))))/(INDEX(Reference!$A$6:$A$11,MIN(5,MATCH(MAX(Reference!$A$6,MIN(Reference!$A$11,$U89)),Reference!$A$6:$A$11,1))+1)-INDEX(Reference!$A$6:$A$11,MIN(5,MATCH(MAX(Reference!$A$6,MIN(Reference!$A$11,$U89)),Reference!$A$6:$A$11,1))))))</f>
        <v>1.1499999999999999</v>
      </c>
      <c r="AO89" s="37"/>
      <c r="AP89" s="37"/>
      <c r="AQ89" s="37"/>
    </row>
    <row r="90" spans="1:43" ht="26.4" x14ac:dyDescent="0.3">
      <c r="A90" s="48">
        <f t="shared" si="30"/>
        <v>46354</v>
      </c>
      <c r="B90" s="32" t="str">
        <f t="shared" si="31"/>
        <v>Sat</v>
      </c>
      <c r="C90" s="32">
        <f t="shared" si="32"/>
        <v>37</v>
      </c>
      <c r="D90" s="32" t="str">
        <f t="shared" si="33"/>
        <v>Extension</v>
      </c>
      <c r="E90" s="32" t="str">
        <f t="shared" si="34"/>
        <v>Medium</v>
      </c>
      <c r="F90" s="32" t="str">
        <f t="shared" si="35"/>
        <v>Long Toss</v>
      </c>
      <c r="G90" s="47" t="str">
        <f t="shared" si="36"/>
        <v>Long toss out to 150 ft — 25 throws (90×10 · 120×9 · 150×6) @ 78–81 mph + 60 ft × 12 @ 76–79 mph</v>
      </c>
      <c r="H90" s="30">
        <f t="shared" si="37"/>
        <v>32.075000000000003</v>
      </c>
      <c r="I90" s="46">
        <f>IF($A90="","",IF(AND($L90&lt;27,$K$12=0),"Building",IFERROR(((SUM($H$84:$H90)+$K$12*IF($L90&lt;6,SUMIFS('Throw Log'!$Q$5:$Q$300,'Throw Log'!$B$5:$B$300,$D$4,'Throw Log'!$A$5:$A$300,"&gt;="&amp;($D$6+$L90-6),'Throw Log'!$A$5:$A$300,"&lt;="&amp;($D$6-1)),0))/7)/((SUM($H$63:$H90)+$K$12*IF($L90&lt;27,SUMIFS('Throw Log'!$Q$5:$Q$300,'Throw Log'!$B$5:$B$300,$D$4,'Throw Log'!$A$5:$A$300,"&gt;="&amp;($D$6+$L90-27),'Throw Log'!$A$5:$A$300,"&lt;="&amp;($D$6-1)),0))/28),"")))</f>
        <v>1.0907919957065093</v>
      </c>
      <c r="J90" s="37"/>
      <c r="K90" s="37">
        <v>25</v>
      </c>
      <c r="L90" s="32">
        <v>47</v>
      </c>
      <c r="M90" s="32">
        <f t="shared" si="38"/>
        <v>7</v>
      </c>
      <c r="N90" s="32">
        <f t="shared" si="39"/>
        <v>5</v>
      </c>
      <c r="O90" s="32">
        <f t="shared" si="40"/>
        <v>0.61842105263157898</v>
      </c>
      <c r="P90" s="32">
        <f>IF(OR($A90="",N($C90)&lt;=7),"",$G$6*$G$9^($M90-1)*IF(AND(MOD($M90,Reference!$B$99)=0,$M90&lt;=$G$5-2),Reference!$B$100,1))</f>
        <v>162.26318771208111</v>
      </c>
      <c r="Q90" s="32">
        <f>IF($P90="","",IF(SUM($AK$85:$AK$91)=0,0,$P90*INDEX(Reference!$B$108:$B$114,$N90+1)/SUM($AK$85:$AK$91)))</f>
        <v>40.944916525478412</v>
      </c>
      <c r="R90" s="32">
        <f t="shared" si="41"/>
        <v>165</v>
      </c>
      <c r="S90" s="32">
        <f t="shared" si="42"/>
        <v>150</v>
      </c>
      <c r="T90" s="32" t="str">
        <f>IF($A90="","",IF($C90=0,"Bullpen",IF(OR($C90=7,$C90=1,$C90=5),"Recovery/Easy Catch",IF($C90=6,"Compression/Pulldowns",IF(OR($C90=4,$C90=2),"Long Toss",IF($C90=3,"No Throw",IF($N90=2,"No Throw",IF($N90=6,IF($O90&lt;Reference!$B$104,"No Throw","Recovery/Easy Catch"),IF(OR($N90=0,$N90=4),"Recovery/Easy Catch",IF($N90=1,IF($R90&gt;75,"Long Toss","Recovery/Easy Catch"),IF($N90=3,IF($O90&lt;0.5,IF($S90&gt;75,"Long Toss","Recovery/Easy Catch"),"Compression/Pulldowns"),IF($S90&gt;75,"Long Toss","Recovery/Easy Catch"))))))))))))</f>
        <v>Long Toss</v>
      </c>
      <c r="U90" s="32">
        <f t="shared" si="43"/>
        <v>150</v>
      </c>
      <c r="V90" s="32">
        <f t="shared" si="44"/>
        <v>10</v>
      </c>
      <c r="W90" s="32">
        <f t="shared" si="45"/>
        <v>13</v>
      </c>
      <c r="X90" s="32">
        <f t="shared" si="46"/>
        <v>12</v>
      </c>
      <c r="Y90" s="32">
        <f t="shared" si="47"/>
        <v>12</v>
      </c>
      <c r="Z90" s="32">
        <f t="shared" si="48"/>
        <v>15</v>
      </c>
      <c r="AA90" s="32" t="str">
        <f t="shared" si="49"/>
        <v/>
      </c>
      <c r="AB90" s="32">
        <f>IF($A90="","",IF($T90="No Throw",0,IF($K90&lt;&gt;"",$K90,IF($AA90&lt;&gt;"",ROUND($AA90*$D$12*IF($C90=0,1,$G$10),0),MIN(IF($T90="Recovery/Easy Catch",Reference!$B$103,IF($T90="Long Toss",Reference!$B$106,Reference!$B$102)),MAX(Reference!$B$101,ROUND(MAX(0,$Q90-$AE90)/$AF90,0)))))))</f>
        <v>25</v>
      </c>
      <c r="AC90" s="32">
        <f t="shared" si="50"/>
        <v>0</v>
      </c>
      <c r="AD90" s="32" t="b">
        <f t="shared" si="51"/>
        <v>0</v>
      </c>
      <c r="AE90" s="32">
        <f>IF($X90=0,0,$X90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90+$Z90)/2,0),Reference!$A$17:$B$20,2,TRUE()))</f>
        <v>7.1999999999999993</v>
      </c>
      <c r="AF90" s="32">
        <f>IF(OR($A90="",$U90="",$T90="No Throw"),0,$AM90*VLOOKUP(MAX(($V90+$W90)/2,0),Reference!$A$17:$B$20,2,TRUE()))</f>
        <v>0.995</v>
      </c>
      <c r="AG90" s="32">
        <f>IF($AC90=0,0,$AC90*INDEX(Reference!$B$61:$B$62,MATCH("Bullpen",Reference!$A$61:$A$62,0))*VLOOKUP(MAX($D$5-($D$9+$E$9)/2,0),Reference!$A$17:$B$20,2,TRUE()))</f>
        <v>0</v>
      </c>
      <c r="AH90" s="46">
        <f t="shared" si="52"/>
        <v>1.0907919957065093</v>
      </c>
      <c r="AI90" s="32">
        <f>IF($A90="",NA(),Reference!$A$25)</f>
        <v>0.8</v>
      </c>
      <c r="AJ90" s="32">
        <f t="shared" si="53"/>
        <v>1.3</v>
      </c>
      <c r="AK90" s="56">
        <f>IF(OR($A90="",N($C90)&lt;=7,$T90="No Throw",$J90="x"),0,INDEX(Reference!$B$108:$B$114,$N90+1))</f>
        <v>0.27</v>
      </c>
      <c r="AL90" s="32">
        <f t="shared" si="54"/>
        <v>3</v>
      </c>
      <c r="AM90" s="32">
        <f>IF($U90="",0,IF($AL90&gt;1,((IF(1&lt;=$AL90,($AL90-1+3)*(INDEX(Reference!$B$6:$B$11,MIN(5,MATCH(MAX(Reference!$A$6,MIN(Reference!$A$11,MIN($U90,90))),Reference!$A$6:$A$11,1)))+(MAX(Reference!$A$6,MIN(Reference!$A$11,MIN($U90,90)))-INDEX(Reference!$A$6:$A$11,MIN(5,MATCH(MAX(Reference!$A$6,MIN(Reference!$A$11,MIN($U90,90))),Reference!$A$6:$A$11,1))))*(INDEX(Reference!$B$6:$B$11,MIN(5,MATCH(MAX(Reference!$A$6,MIN(Reference!$A$11,MIN($U90,90))),Reference!$A$6:$A$11,1))+1)-INDEX(Reference!$B$6:$B$11,MIN(5,MATCH(MAX(Reference!$A$6,MIN(Reference!$A$11,MIN($U90,90))),Reference!$A$6:$A$11,1))))/(INDEX(Reference!$A$6:$A$11,MIN(5,MATCH(MAX(Reference!$A$6,MIN(Reference!$A$11,MIN($U90,90))),Reference!$A$6:$A$11,1))+1)-INDEX(Reference!$A$6:$A$11,MIN(5,MATCH(MAX(Reference!$A$6,MIN(Reference!$A$11,MIN($U90,90))),Reference!$A$6:$A$11,1))))),0)+IF(2&lt;=$AL90,($AL90-2+3)*(INDEX(Reference!$B$6:$B$11,MIN(5,MATCH(MAX(Reference!$A$6,MIN(Reference!$A$11,MIN($U90,120))),Reference!$A$6:$A$11,1)))+(MAX(Reference!$A$6,MIN(Reference!$A$11,MIN($U90,120)))-INDEX(Reference!$A$6:$A$11,MIN(5,MATCH(MAX(Reference!$A$6,MIN(Reference!$A$11,MIN($U90,120))),Reference!$A$6:$A$11,1))))*(INDEX(Reference!$B$6:$B$11,MIN(5,MATCH(MAX(Reference!$A$6,MIN(Reference!$A$11,MIN($U90,120))),Reference!$A$6:$A$11,1))+1)-INDEX(Reference!$B$6:$B$11,MIN(5,MATCH(MAX(Reference!$A$6,MIN(Reference!$A$11,MIN($U90,120))),Reference!$A$6:$A$11,1))))/(INDEX(Reference!$A$6:$A$11,MIN(5,MATCH(MAX(Reference!$A$6,MIN(Reference!$A$11,MIN($U90,120))),Reference!$A$6:$A$11,1))+1)-INDEX(Reference!$A$6:$A$11,MIN(5,MATCH(MAX(Reference!$A$6,MIN(Reference!$A$11,MIN($U90,120))),Reference!$A$6:$A$11,1))))),0)+IF(3&lt;=$AL90,($AL90-3+3)*(INDEX(Reference!$B$6:$B$11,MIN(5,MATCH(MAX(Reference!$A$6,MIN(Reference!$A$11,MIN($U90,150))),Reference!$A$6:$A$11,1)))+(MAX(Reference!$A$6,MIN(Reference!$A$11,MIN($U90,150)))-INDEX(Reference!$A$6:$A$11,MIN(5,MATCH(MAX(Reference!$A$6,MIN(Reference!$A$11,MIN($U90,150))),Reference!$A$6:$A$11,1))))*(INDEX(Reference!$B$6:$B$11,MIN(5,MATCH(MAX(Reference!$A$6,MIN(Reference!$A$11,MIN($U90,150))),Reference!$A$6:$A$11,1))+1)-INDEX(Reference!$B$6:$B$11,MIN(5,MATCH(MAX(Reference!$A$6,MIN(Reference!$A$11,MIN($U90,150))),Reference!$A$6:$A$11,1))))/(INDEX(Reference!$A$6:$A$11,MIN(5,MATCH(MAX(Reference!$A$6,MIN(Reference!$A$11,MIN($U90,150))),Reference!$A$6:$A$11,1))+1)-INDEX(Reference!$A$6:$A$11,MIN(5,MATCH(MAX(Reference!$A$6,MIN(Reference!$A$11,MIN($U90,150))),Reference!$A$6:$A$11,1))))),0)+IF(4&lt;=$AL90,($AL90-4+3)*(INDEX(Reference!$B$6:$B$11,MIN(5,MATCH(MAX(Reference!$A$6,MIN(Reference!$A$11,MIN($U90,180))),Reference!$A$6:$A$11,1)))+(MAX(Reference!$A$6,MIN(Reference!$A$11,MIN($U90,180)))-INDEX(Reference!$A$6:$A$11,MIN(5,MATCH(MAX(Reference!$A$6,MIN(Reference!$A$11,MIN($U90,180))),Reference!$A$6:$A$11,1))))*(INDEX(Reference!$B$6:$B$11,MIN(5,MATCH(MAX(Reference!$A$6,MIN(Reference!$A$11,MIN($U90,180))),Reference!$A$6:$A$11,1))+1)-INDEX(Reference!$B$6:$B$11,MIN(5,MATCH(MAX(Reference!$A$6,MIN(Reference!$A$11,MIN($U90,180))),Reference!$A$6:$A$11,1))))/(INDEX(Reference!$A$6:$A$11,MIN(5,MATCH(MAX(Reference!$A$6,MIN(Reference!$A$11,MIN($U90,180))),Reference!$A$6:$A$11,1))+1)-INDEX(Reference!$A$6:$A$11,MIN(5,MATCH(MAX(Reference!$A$6,MIN(Reference!$A$11,MIN($U90,180))),Reference!$A$6:$A$11,1))))),0)+IF(5&lt;=$AL90,($AL90-5+3)*(INDEX(Reference!$B$6:$B$11,MIN(5,MATCH(MAX(Reference!$A$6,MIN(Reference!$A$11,MIN($U90,210))),Reference!$A$6:$A$11,1)))+(MAX(Reference!$A$6,MIN(Reference!$A$11,MIN($U90,210)))-INDEX(Reference!$A$6:$A$11,MIN(5,MATCH(MAX(Reference!$A$6,MIN(Reference!$A$11,MIN($U90,210))),Reference!$A$6:$A$11,1))))*(INDEX(Reference!$B$6:$B$11,MIN(5,MATCH(MAX(Reference!$A$6,MIN(Reference!$A$11,MIN($U90,210))),Reference!$A$6:$A$11,1))+1)-INDEX(Reference!$B$6:$B$11,MIN(5,MATCH(MAX(Reference!$A$6,MIN(Reference!$A$11,MIN($U90,210))),Reference!$A$6:$A$11,1))))/(INDEX(Reference!$A$6:$A$11,MIN(5,MATCH(MAX(Reference!$A$6,MIN(Reference!$A$11,MIN($U90,210))),Reference!$A$6:$A$11,1))+1)-INDEX(Reference!$A$6:$A$11,MIN(5,MATCH(MAX(Reference!$A$6,MIN(Reference!$A$11,MIN($U90,210))),Reference!$A$6:$A$11,1))))),0)+IF(6&lt;=$AL90,($AL90-6+3)*(INDEX(Reference!$B$6:$B$11,MIN(5,MATCH(MAX(Reference!$A$6,MIN(Reference!$A$11,MIN($U90,240))),Reference!$A$6:$A$11,1)))+(MAX(Reference!$A$6,MIN(Reference!$A$11,MIN($U90,240)))-INDEX(Reference!$A$6:$A$11,MIN(5,MATCH(MAX(Reference!$A$6,MIN(Reference!$A$11,MIN($U90,240))),Reference!$A$6:$A$11,1))))*(INDEX(Reference!$B$6:$B$11,MIN(5,MATCH(MAX(Reference!$A$6,MIN(Reference!$A$11,MIN($U90,240))),Reference!$A$6:$A$11,1))+1)-INDEX(Reference!$B$6:$B$11,MIN(5,MATCH(MAX(Reference!$A$6,MIN(Reference!$A$11,MIN($U90,240))),Reference!$A$6:$A$11,1))))/(INDEX(Reference!$A$6:$A$11,MIN(5,MATCH(MAX(Reference!$A$6,MIN(Reference!$A$11,MIN($U90,240))),Reference!$A$6:$A$11,1))+1)-INDEX(Reference!$A$6:$A$11,MIN(5,MATCH(MAX(Reference!$A$6,MIN(Reference!$A$11,MIN($U90,240))),Reference!$A$6:$A$11,1))))),0)+IF(7&lt;=$AL90,($AL90-7+3)*(INDEX(Reference!$B$6:$B$11,MIN(5,MATCH(MAX(Reference!$A$6,MIN(Reference!$A$11,MIN($U90,270))),Reference!$A$6:$A$11,1)))+(MAX(Reference!$A$6,MIN(Reference!$A$11,MIN($U90,270)))-INDEX(Reference!$A$6:$A$11,MIN(5,MATCH(MAX(Reference!$A$6,MIN(Reference!$A$11,MIN($U90,270))),Reference!$A$6:$A$11,1))))*(INDEX(Reference!$B$6:$B$11,MIN(5,MATCH(MAX(Reference!$A$6,MIN(Reference!$A$11,MIN($U90,270))),Reference!$A$6:$A$11,1))+1)-INDEX(Reference!$B$6:$B$11,MIN(5,MATCH(MAX(Reference!$A$6,MIN(Reference!$A$11,MIN($U90,270))),Reference!$A$6:$A$11,1))))/(INDEX(Reference!$A$6:$A$11,MIN(5,MATCH(MAX(Reference!$A$6,MIN(Reference!$A$11,MIN($U90,270))),Reference!$A$6:$A$11,1))+1)-INDEX(Reference!$A$6:$A$11,MIN(5,MATCH(MAX(Reference!$A$6,MIN(Reference!$A$11,MIN($U90,270))),Reference!$A$6:$A$11,1))))),0)+IF(8&lt;=$AL90,($AL90-8+3)*(INDEX(Reference!$B$6:$B$11,MIN(5,MATCH(MAX(Reference!$A$6,MIN(Reference!$A$11,MIN($U90,300))),Reference!$A$6:$A$11,1)))+(MAX(Reference!$A$6,MIN(Reference!$A$11,MIN($U90,300)))-INDEX(Reference!$A$6:$A$11,MIN(5,MATCH(MAX(Reference!$A$6,MIN(Reference!$A$11,MIN($U90,300))),Reference!$A$6:$A$11,1))))*(INDEX(Reference!$B$6:$B$11,MIN(5,MATCH(MAX(Reference!$A$6,MIN(Reference!$A$11,MIN($U90,300))),Reference!$A$6:$A$11,1))+1)-INDEX(Reference!$B$6:$B$11,MIN(5,MATCH(MAX(Reference!$A$6,MIN(Reference!$A$11,MIN($U90,300))),Reference!$A$6:$A$11,1))))/(INDEX(Reference!$A$6:$A$11,MIN(5,MATCH(MAX(Reference!$A$6,MIN(Reference!$A$11,MIN($U90,300))),Reference!$A$6:$A$11,1))+1)-INDEX(Reference!$A$6:$A$11,MIN(5,MATCH(MAX(Reference!$A$6,MIN(Reference!$A$11,MIN($U90,300))),Reference!$A$6:$A$11,1))))),0))/($AL90*($AL90+5)/2)),$AN90))</f>
        <v>1.6583333333333334</v>
      </c>
      <c r="AN90" s="32">
        <f>IF($U90="",0,(INDEX(Reference!$B$6:$B$11,MIN(5,MATCH(MAX(Reference!$A$6,MIN(Reference!$A$11,$U90)),Reference!$A$6:$A$11,1)))+(MAX(Reference!$A$6,MIN(Reference!$A$11,$U90))-INDEX(Reference!$A$6:$A$11,MIN(5,MATCH(MAX(Reference!$A$6,MIN(Reference!$A$11,$U90)),Reference!$A$6:$A$11,1))))*(INDEX(Reference!$B$6:$B$11,MIN(5,MATCH(MAX(Reference!$A$6,MIN(Reference!$A$11,$U90)),Reference!$A$6:$A$11,1))+1)-INDEX(Reference!$B$6:$B$11,MIN(5,MATCH(MAX(Reference!$A$6,MIN(Reference!$A$11,$U90)),Reference!$A$6:$A$11,1))))/(INDEX(Reference!$A$6:$A$11,MIN(5,MATCH(MAX(Reference!$A$6,MIN(Reference!$A$11,$U90)),Reference!$A$6:$A$11,1))+1)-INDEX(Reference!$A$6:$A$11,MIN(5,MATCH(MAX(Reference!$A$6,MIN(Reference!$A$11,$U90)),Reference!$A$6:$A$11,1))))))</f>
        <v>2.2000000000000002</v>
      </c>
      <c r="AO90" s="37"/>
      <c r="AP90" s="37"/>
      <c r="AQ90" s="37"/>
    </row>
    <row r="91" spans="1:43" x14ac:dyDescent="0.3">
      <c r="A91" s="48">
        <f t="shared" si="30"/>
        <v>46355</v>
      </c>
      <c r="B91" s="32" t="str">
        <f t="shared" si="31"/>
        <v>Sun</v>
      </c>
      <c r="C91" s="32">
        <f t="shared" si="32"/>
        <v>36</v>
      </c>
      <c r="D91" s="32" t="str">
        <f t="shared" si="33"/>
        <v>Extension</v>
      </c>
      <c r="E91" s="32" t="str">
        <f t="shared" si="34"/>
        <v>Low</v>
      </c>
      <c r="F91" s="32" t="str">
        <f t="shared" si="35"/>
        <v>Recovery/Easy Catch</v>
      </c>
      <c r="G91" s="47" t="str">
        <f t="shared" si="36"/>
        <v>60 ft × 20 @ 67–71 mph</v>
      </c>
      <c r="H91" s="30">
        <f t="shared" si="37"/>
        <v>12</v>
      </c>
      <c r="I91" s="46">
        <f>IF($A91="","",IF(AND($L91&lt;27,$K$12=0),"Building",IFERROR(((SUM($H$85:$H91)+$K$12*IF($L91&lt;6,SUMIFS('Throw Log'!$Q$5:$Q$300,'Throw Log'!$B$5:$B$300,$D$4,'Throw Log'!$A$5:$A$300,"&gt;="&amp;($D$6+$L91-6),'Throw Log'!$A$5:$A$300,"&lt;="&amp;($D$6-1)),0))/7)/((SUM($H$64:$H91)+$K$12*IF($L91&lt;27,SUMIFS('Throw Log'!$Q$5:$Q$300,'Throw Log'!$B$5:$B$300,$D$4,'Throw Log'!$A$5:$A$300,"&gt;="&amp;($D$6+$L91-27),'Throw Log'!$A$5:$A$300,"&lt;="&amp;($D$6-1)),0))/28),"")))</f>
        <v>1.1604579809922919</v>
      </c>
      <c r="J91" s="37"/>
      <c r="K91" s="37"/>
      <c r="L91" s="32">
        <v>48</v>
      </c>
      <c r="M91" s="32">
        <f t="shared" si="38"/>
        <v>7</v>
      </c>
      <c r="N91" s="32">
        <f t="shared" si="39"/>
        <v>6</v>
      </c>
      <c r="O91" s="32">
        <f t="shared" si="40"/>
        <v>0.63157894736842102</v>
      </c>
      <c r="P91" s="32">
        <f>IF(OR($A91="",N($C91)&lt;=7),"",$G$6*$G$9^($M91-1)*IF(AND(MOD($M91,Reference!$B$99)=0,$M91&lt;=$G$5-2),Reference!$B$100,1))</f>
        <v>162.26318771208111</v>
      </c>
      <c r="Q91" s="32">
        <f>IF($P91="","",IF(SUM($AK$85:$AK$91)=0,0,$P91*INDEX(Reference!$B$108:$B$114,$N91+1)/SUM($AK$85:$AK$91)))</f>
        <v>10.615348728827737</v>
      </c>
      <c r="R91" s="32">
        <f t="shared" si="41"/>
        <v>165</v>
      </c>
      <c r="S91" s="32">
        <f t="shared" si="42"/>
        <v>150</v>
      </c>
      <c r="T91" s="32" t="str">
        <f>IF($A91="","",IF($C91=0,"Bullpen",IF(OR($C91=7,$C91=1,$C91=5),"Recovery/Easy Catch",IF($C91=6,"Compression/Pulldowns",IF(OR($C91=4,$C91=2),"Long Toss",IF($C91=3,"No Throw",IF($N91=2,"No Throw",IF($N91=6,IF($O91&lt;Reference!$B$104,"No Throw","Recovery/Easy Catch"),IF(OR($N91=0,$N91=4),"Recovery/Easy Catch",IF($N91=1,IF($R91&gt;75,"Long Toss","Recovery/Easy Catch"),IF($N91=3,IF($O91&lt;0.5,IF($S91&gt;75,"Long Toss","Recovery/Easy Catch"),"Compression/Pulldowns"),IF($S91&gt;75,"Long Toss","Recovery/Easy Catch"))))))))))))</f>
        <v>Recovery/Easy Catch</v>
      </c>
      <c r="U91" s="32">
        <f t="shared" si="43"/>
        <v>60</v>
      </c>
      <c r="V91" s="32">
        <f t="shared" si="44"/>
        <v>20</v>
      </c>
      <c r="W91" s="32">
        <f t="shared" si="45"/>
        <v>24</v>
      </c>
      <c r="X91" s="32">
        <f t="shared" si="46"/>
        <v>0</v>
      </c>
      <c r="Y91" s="32" t="str">
        <f t="shared" si="47"/>
        <v/>
      </c>
      <c r="Z91" s="32" t="str">
        <f t="shared" si="48"/>
        <v/>
      </c>
      <c r="AA91" s="32" t="str">
        <f t="shared" si="49"/>
        <v/>
      </c>
      <c r="AB91" s="32">
        <f>IF($A91="","",IF($T91="No Throw",0,IF($K91&lt;&gt;"",$K91,IF($AA91&lt;&gt;"",ROUND($AA91*$D$12*IF($C91=0,1,$G$10),0),MIN(IF($T91="Recovery/Easy Catch",Reference!$B$103,IF($T91="Long Toss",Reference!$B$106,Reference!$B$102)),MAX(Reference!$B$101,ROUND(MAX(0,$Q91-$AE91)/$AF91,0)))))))</f>
        <v>20</v>
      </c>
      <c r="AC91" s="32">
        <f t="shared" si="50"/>
        <v>0</v>
      </c>
      <c r="AD91" s="32" t="b">
        <f t="shared" si="51"/>
        <v>0</v>
      </c>
      <c r="AE91" s="32">
        <f>IF($X91=0,0,$X91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91+$Z91)/2,0),Reference!$A$17:$B$20,2,TRUE()))</f>
        <v>0</v>
      </c>
      <c r="AF91" s="32">
        <f>IF(OR($A91="",$U91="",$T91="No Throw"),0,$AM91*VLOOKUP(MAX(($V91+$W91)/2,0),Reference!$A$17:$B$20,2,TRUE()))</f>
        <v>0.6</v>
      </c>
      <c r="AG91" s="32">
        <f>IF($AC91=0,0,$AC91*INDEX(Reference!$B$61:$B$62,MATCH("Bullpen",Reference!$A$61:$A$62,0))*VLOOKUP(MAX($D$5-($D$9+$E$9)/2,0),Reference!$A$17:$B$20,2,TRUE()))</f>
        <v>0</v>
      </c>
      <c r="AH91" s="46">
        <f t="shared" si="52"/>
        <v>1.1604579809922919</v>
      </c>
      <c r="AI91" s="32">
        <f>IF($A91="",NA(),Reference!$A$25)</f>
        <v>0.8</v>
      </c>
      <c r="AJ91" s="32">
        <f t="shared" si="53"/>
        <v>1.3</v>
      </c>
      <c r="AK91" s="56">
        <f>IF(OR($A91="",N($C91)&lt;=7,$T91="No Throw",$J91="x"),0,INDEX(Reference!$B$108:$B$114,$N91+1))</f>
        <v>7.0000000000000007E-2</v>
      </c>
      <c r="AL91" s="32">
        <f t="shared" si="54"/>
        <v>1</v>
      </c>
      <c r="AM91" s="32">
        <f>IF($U91="",0,IF($AL91&gt;1,((IF(1&lt;=$AL91,($AL91-1+3)*(INDEX(Reference!$B$6:$B$11,MIN(5,MATCH(MAX(Reference!$A$6,MIN(Reference!$A$11,MIN($U91,90))),Reference!$A$6:$A$11,1)))+(MAX(Reference!$A$6,MIN(Reference!$A$11,MIN($U91,90)))-INDEX(Reference!$A$6:$A$11,MIN(5,MATCH(MAX(Reference!$A$6,MIN(Reference!$A$11,MIN($U91,90))),Reference!$A$6:$A$11,1))))*(INDEX(Reference!$B$6:$B$11,MIN(5,MATCH(MAX(Reference!$A$6,MIN(Reference!$A$11,MIN($U91,90))),Reference!$A$6:$A$11,1))+1)-INDEX(Reference!$B$6:$B$11,MIN(5,MATCH(MAX(Reference!$A$6,MIN(Reference!$A$11,MIN($U91,90))),Reference!$A$6:$A$11,1))))/(INDEX(Reference!$A$6:$A$11,MIN(5,MATCH(MAX(Reference!$A$6,MIN(Reference!$A$11,MIN($U91,90))),Reference!$A$6:$A$11,1))+1)-INDEX(Reference!$A$6:$A$11,MIN(5,MATCH(MAX(Reference!$A$6,MIN(Reference!$A$11,MIN($U91,90))),Reference!$A$6:$A$11,1))))),0)+IF(2&lt;=$AL91,($AL91-2+3)*(INDEX(Reference!$B$6:$B$11,MIN(5,MATCH(MAX(Reference!$A$6,MIN(Reference!$A$11,MIN($U91,120))),Reference!$A$6:$A$11,1)))+(MAX(Reference!$A$6,MIN(Reference!$A$11,MIN($U91,120)))-INDEX(Reference!$A$6:$A$11,MIN(5,MATCH(MAX(Reference!$A$6,MIN(Reference!$A$11,MIN($U91,120))),Reference!$A$6:$A$11,1))))*(INDEX(Reference!$B$6:$B$11,MIN(5,MATCH(MAX(Reference!$A$6,MIN(Reference!$A$11,MIN($U91,120))),Reference!$A$6:$A$11,1))+1)-INDEX(Reference!$B$6:$B$11,MIN(5,MATCH(MAX(Reference!$A$6,MIN(Reference!$A$11,MIN($U91,120))),Reference!$A$6:$A$11,1))))/(INDEX(Reference!$A$6:$A$11,MIN(5,MATCH(MAX(Reference!$A$6,MIN(Reference!$A$11,MIN($U91,120))),Reference!$A$6:$A$11,1))+1)-INDEX(Reference!$A$6:$A$11,MIN(5,MATCH(MAX(Reference!$A$6,MIN(Reference!$A$11,MIN($U91,120))),Reference!$A$6:$A$11,1))))),0)+IF(3&lt;=$AL91,($AL91-3+3)*(INDEX(Reference!$B$6:$B$11,MIN(5,MATCH(MAX(Reference!$A$6,MIN(Reference!$A$11,MIN($U91,150))),Reference!$A$6:$A$11,1)))+(MAX(Reference!$A$6,MIN(Reference!$A$11,MIN($U91,150)))-INDEX(Reference!$A$6:$A$11,MIN(5,MATCH(MAX(Reference!$A$6,MIN(Reference!$A$11,MIN($U91,150))),Reference!$A$6:$A$11,1))))*(INDEX(Reference!$B$6:$B$11,MIN(5,MATCH(MAX(Reference!$A$6,MIN(Reference!$A$11,MIN($U91,150))),Reference!$A$6:$A$11,1))+1)-INDEX(Reference!$B$6:$B$11,MIN(5,MATCH(MAX(Reference!$A$6,MIN(Reference!$A$11,MIN($U91,150))),Reference!$A$6:$A$11,1))))/(INDEX(Reference!$A$6:$A$11,MIN(5,MATCH(MAX(Reference!$A$6,MIN(Reference!$A$11,MIN($U91,150))),Reference!$A$6:$A$11,1))+1)-INDEX(Reference!$A$6:$A$11,MIN(5,MATCH(MAX(Reference!$A$6,MIN(Reference!$A$11,MIN($U91,150))),Reference!$A$6:$A$11,1))))),0)+IF(4&lt;=$AL91,($AL91-4+3)*(INDEX(Reference!$B$6:$B$11,MIN(5,MATCH(MAX(Reference!$A$6,MIN(Reference!$A$11,MIN($U91,180))),Reference!$A$6:$A$11,1)))+(MAX(Reference!$A$6,MIN(Reference!$A$11,MIN($U91,180)))-INDEX(Reference!$A$6:$A$11,MIN(5,MATCH(MAX(Reference!$A$6,MIN(Reference!$A$11,MIN($U91,180))),Reference!$A$6:$A$11,1))))*(INDEX(Reference!$B$6:$B$11,MIN(5,MATCH(MAX(Reference!$A$6,MIN(Reference!$A$11,MIN($U91,180))),Reference!$A$6:$A$11,1))+1)-INDEX(Reference!$B$6:$B$11,MIN(5,MATCH(MAX(Reference!$A$6,MIN(Reference!$A$11,MIN($U91,180))),Reference!$A$6:$A$11,1))))/(INDEX(Reference!$A$6:$A$11,MIN(5,MATCH(MAX(Reference!$A$6,MIN(Reference!$A$11,MIN($U91,180))),Reference!$A$6:$A$11,1))+1)-INDEX(Reference!$A$6:$A$11,MIN(5,MATCH(MAX(Reference!$A$6,MIN(Reference!$A$11,MIN($U91,180))),Reference!$A$6:$A$11,1))))),0)+IF(5&lt;=$AL91,($AL91-5+3)*(INDEX(Reference!$B$6:$B$11,MIN(5,MATCH(MAX(Reference!$A$6,MIN(Reference!$A$11,MIN($U91,210))),Reference!$A$6:$A$11,1)))+(MAX(Reference!$A$6,MIN(Reference!$A$11,MIN($U91,210)))-INDEX(Reference!$A$6:$A$11,MIN(5,MATCH(MAX(Reference!$A$6,MIN(Reference!$A$11,MIN($U91,210))),Reference!$A$6:$A$11,1))))*(INDEX(Reference!$B$6:$B$11,MIN(5,MATCH(MAX(Reference!$A$6,MIN(Reference!$A$11,MIN($U91,210))),Reference!$A$6:$A$11,1))+1)-INDEX(Reference!$B$6:$B$11,MIN(5,MATCH(MAX(Reference!$A$6,MIN(Reference!$A$11,MIN($U91,210))),Reference!$A$6:$A$11,1))))/(INDEX(Reference!$A$6:$A$11,MIN(5,MATCH(MAX(Reference!$A$6,MIN(Reference!$A$11,MIN($U91,210))),Reference!$A$6:$A$11,1))+1)-INDEX(Reference!$A$6:$A$11,MIN(5,MATCH(MAX(Reference!$A$6,MIN(Reference!$A$11,MIN($U91,210))),Reference!$A$6:$A$11,1))))),0)+IF(6&lt;=$AL91,($AL91-6+3)*(INDEX(Reference!$B$6:$B$11,MIN(5,MATCH(MAX(Reference!$A$6,MIN(Reference!$A$11,MIN($U91,240))),Reference!$A$6:$A$11,1)))+(MAX(Reference!$A$6,MIN(Reference!$A$11,MIN($U91,240)))-INDEX(Reference!$A$6:$A$11,MIN(5,MATCH(MAX(Reference!$A$6,MIN(Reference!$A$11,MIN($U91,240))),Reference!$A$6:$A$11,1))))*(INDEX(Reference!$B$6:$B$11,MIN(5,MATCH(MAX(Reference!$A$6,MIN(Reference!$A$11,MIN($U91,240))),Reference!$A$6:$A$11,1))+1)-INDEX(Reference!$B$6:$B$11,MIN(5,MATCH(MAX(Reference!$A$6,MIN(Reference!$A$11,MIN($U91,240))),Reference!$A$6:$A$11,1))))/(INDEX(Reference!$A$6:$A$11,MIN(5,MATCH(MAX(Reference!$A$6,MIN(Reference!$A$11,MIN($U91,240))),Reference!$A$6:$A$11,1))+1)-INDEX(Reference!$A$6:$A$11,MIN(5,MATCH(MAX(Reference!$A$6,MIN(Reference!$A$11,MIN($U91,240))),Reference!$A$6:$A$11,1))))),0)+IF(7&lt;=$AL91,($AL91-7+3)*(INDEX(Reference!$B$6:$B$11,MIN(5,MATCH(MAX(Reference!$A$6,MIN(Reference!$A$11,MIN($U91,270))),Reference!$A$6:$A$11,1)))+(MAX(Reference!$A$6,MIN(Reference!$A$11,MIN($U91,270)))-INDEX(Reference!$A$6:$A$11,MIN(5,MATCH(MAX(Reference!$A$6,MIN(Reference!$A$11,MIN($U91,270))),Reference!$A$6:$A$11,1))))*(INDEX(Reference!$B$6:$B$11,MIN(5,MATCH(MAX(Reference!$A$6,MIN(Reference!$A$11,MIN($U91,270))),Reference!$A$6:$A$11,1))+1)-INDEX(Reference!$B$6:$B$11,MIN(5,MATCH(MAX(Reference!$A$6,MIN(Reference!$A$11,MIN($U91,270))),Reference!$A$6:$A$11,1))))/(INDEX(Reference!$A$6:$A$11,MIN(5,MATCH(MAX(Reference!$A$6,MIN(Reference!$A$11,MIN($U91,270))),Reference!$A$6:$A$11,1))+1)-INDEX(Reference!$A$6:$A$11,MIN(5,MATCH(MAX(Reference!$A$6,MIN(Reference!$A$11,MIN($U91,270))),Reference!$A$6:$A$11,1))))),0)+IF(8&lt;=$AL91,($AL91-8+3)*(INDEX(Reference!$B$6:$B$11,MIN(5,MATCH(MAX(Reference!$A$6,MIN(Reference!$A$11,MIN($U91,300))),Reference!$A$6:$A$11,1)))+(MAX(Reference!$A$6,MIN(Reference!$A$11,MIN($U91,300)))-INDEX(Reference!$A$6:$A$11,MIN(5,MATCH(MAX(Reference!$A$6,MIN(Reference!$A$11,MIN($U91,300))),Reference!$A$6:$A$11,1))))*(INDEX(Reference!$B$6:$B$11,MIN(5,MATCH(MAX(Reference!$A$6,MIN(Reference!$A$11,MIN($U91,300))),Reference!$A$6:$A$11,1))+1)-INDEX(Reference!$B$6:$B$11,MIN(5,MATCH(MAX(Reference!$A$6,MIN(Reference!$A$11,MIN($U91,300))),Reference!$A$6:$A$11,1))))/(INDEX(Reference!$A$6:$A$11,MIN(5,MATCH(MAX(Reference!$A$6,MIN(Reference!$A$11,MIN($U91,300))),Reference!$A$6:$A$11,1))+1)-INDEX(Reference!$A$6:$A$11,MIN(5,MATCH(MAX(Reference!$A$6,MIN(Reference!$A$11,MIN($U91,300))),Reference!$A$6:$A$11,1))))),0))/($AL91*($AL91+5)/2)),$AN91))</f>
        <v>1</v>
      </c>
      <c r="AN91" s="32">
        <f>IF($U91="",0,(INDEX(Reference!$B$6:$B$11,MIN(5,MATCH(MAX(Reference!$A$6,MIN(Reference!$A$11,$U91)),Reference!$A$6:$A$11,1)))+(MAX(Reference!$A$6,MIN(Reference!$A$11,$U91))-INDEX(Reference!$A$6:$A$11,MIN(5,MATCH(MAX(Reference!$A$6,MIN(Reference!$A$11,$U91)),Reference!$A$6:$A$11,1))))*(INDEX(Reference!$B$6:$B$11,MIN(5,MATCH(MAX(Reference!$A$6,MIN(Reference!$A$11,$U91)),Reference!$A$6:$A$11,1))+1)-INDEX(Reference!$B$6:$B$11,MIN(5,MATCH(MAX(Reference!$A$6,MIN(Reference!$A$11,$U91)),Reference!$A$6:$A$11,1))))/(INDEX(Reference!$A$6:$A$11,MIN(5,MATCH(MAX(Reference!$A$6,MIN(Reference!$A$11,$U91)),Reference!$A$6:$A$11,1))+1)-INDEX(Reference!$A$6:$A$11,MIN(5,MATCH(MAX(Reference!$A$6,MIN(Reference!$A$11,$U91)),Reference!$A$6:$A$11,1))))))</f>
        <v>1</v>
      </c>
      <c r="AO91" s="37"/>
      <c r="AP91" s="37"/>
      <c r="AQ91" s="37"/>
    </row>
    <row r="92" spans="1:43" x14ac:dyDescent="0.3">
      <c r="A92" s="48">
        <f t="shared" si="30"/>
        <v>46356</v>
      </c>
      <c r="B92" s="32" t="str">
        <f t="shared" si="31"/>
        <v>Mon</v>
      </c>
      <c r="C92" s="32">
        <f t="shared" si="32"/>
        <v>35</v>
      </c>
      <c r="D92" s="32" t="str">
        <f t="shared" si="33"/>
        <v>Extension</v>
      </c>
      <c r="E92" s="32" t="str">
        <f t="shared" si="34"/>
        <v>Low</v>
      </c>
      <c r="F92" s="32" t="str">
        <f t="shared" si="35"/>
        <v>Recovery/Easy Catch</v>
      </c>
      <c r="G92" s="47" t="str">
        <f t="shared" si="36"/>
        <v>75 ft × 20 @ 69–73 mph</v>
      </c>
      <c r="H92" s="30">
        <f t="shared" si="37"/>
        <v>13.799999999999999</v>
      </c>
      <c r="I92" s="46">
        <f>IF($A92="","",IF(AND($L92&lt;27,$K$12=0),"Building",IFERROR(((SUM($H$86:$H92)+$K$12*IF($L92&lt;6,SUMIFS('Throw Log'!$Q$5:$Q$300,'Throw Log'!$B$5:$B$300,$D$4,'Throw Log'!$A$5:$A$300,"&gt;="&amp;($D$6+$L92-6),'Throw Log'!$A$5:$A$300,"&lt;="&amp;($D$6-1)),0))/7)/((SUM($H$65:$H92)+$K$12*IF($L92&lt;27,SUMIFS('Throw Log'!$Q$5:$Q$300,'Throw Log'!$B$5:$B$300,$D$4,'Throw Log'!$A$5:$A$300,"&gt;="&amp;($D$6+$L92-27),'Throw Log'!$A$5:$A$300,"&lt;="&amp;($D$6-1)),0))/28),"")))</f>
        <v>1.1329192546583851</v>
      </c>
      <c r="J92" s="37"/>
      <c r="K92" s="37">
        <v>20</v>
      </c>
      <c r="L92" s="32">
        <v>49</v>
      </c>
      <c r="M92" s="32">
        <f t="shared" si="38"/>
        <v>8</v>
      </c>
      <c r="N92" s="32">
        <f t="shared" si="39"/>
        <v>0</v>
      </c>
      <c r="O92" s="32">
        <f t="shared" si="40"/>
        <v>0.64473684210526316</v>
      </c>
      <c r="P92" s="32">
        <f>IF(OR($A92="",N($C92)&lt;=7),"",$G$6*$G$9^($M92-1)*IF(AND(MOD($M92,Reference!$B$99)=0,$M92&lt;=$G$5-2),Reference!$B$100,1))</f>
        <v>155.17696923220939</v>
      </c>
      <c r="Q92" s="32">
        <f>IF($P92="","",IF(SUM($AK$92:$AK$98)=0,0,$P92*INDEX(Reference!$B$108:$B$114,$N92+1)/SUM($AK$92:$AK$98)))</f>
        <v>17.403024586789837</v>
      </c>
      <c r="R92" s="32">
        <f t="shared" si="41"/>
        <v>165</v>
      </c>
      <c r="S92" s="32">
        <f t="shared" si="42"/>
        <v>150</v>
      </c>
      <c r="T92" s="32" t="str">
        <f>IF($A92="","",IF($C92=0,"Bullpen",IF(OR($C92=7,$C92=1,$C92=5),"Recovery/Easy Catch",IF($C92=6,"Compression/Pulldowns",IF(OR($C92=4,$C92=2),"Long Toss",IF($C92=3,"No Throw",IF($N92=2,"No Throw",IF($N92=6,IF($O92&lt;Reference!$B$104,"No Throw","Recovery/Easy Catch"),IF(OR($N92=0,$N92=4),"Recovery/Easy Catch",IF($N92=1,IF($R92&gt;75,"Long Toss","Recovery/Easy Catch"),IF($N92=3,IF($O92&lt;0.5,IF($S92&gt;75,"Long Toss","Recovery/Easy Catch"),"Compression/Pulldowns"),IF($S92&gt;75,"Long Toss","Recovery/Easy Catch"))))))))))))</f>
        <v>Recovery/Easy Catch</v>
      </c>
      <c r="U92" s="32">
        <f t="shared" si="43"/>
        <v>75</v>
      </c>
      <c r="V92" s="32">
        <f t="shared" si="44"/>
        <v>18</v>
      </c>
      <c r="W92" s="32">
        <f t="shared" si="45"/>
        <v>22</v>
      </c>
      <c r="X92" s="32">
        <f t="shared" si="46"/>
        <v>0</v>
      </c>
      <c r="Y92" s="32" t="str">
        <f t="shared" si="47"/>
        <v/>
      </c>
      <c r="Z92" s="32" t="str">
        <f t="shared" si="48"/>
        <v/>
      </c>
      <c r="AA92" s="32" t="str">
        <f t="shared" si="49"/>
        <v/>
      </c>
      <c r="AB92" s="32">
        <f>IF($A92="","",IF($T92="No Throw",0,IF($K92&lt;&gt;"",$K92,IF($AA92&lt;&gt;"",ROUND($AA92*$D$12*IF($C92=0,1,$G$10),0),MIN(IF($T92="Recovery/Easy Catch",Reference!$B$103,IF($T92="Long Toss",Reference!$B$106,Reference!$B$102)),MAX(Reference!$B$101,ROUND(MAX(0,$Q92-$AE92)/$AF92,0)))))))</f>
        <v>20</v>
      </c>
      <c r="AC92" s="32">
        <f t="shared" si="50"/>
        <v>0</v>
      </c>
      <c r="AD92" s="32" t="b">
        <f t="shared" si="51"/>
        <v>0</v>
      </c>
      <c r="AE92" s="32">
        <f>IF($X92=0,0,$X92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92+$Z92)/2,0),Reference!$A$17:$B$20,2,TRUE()))</f>
        <v>0</v>
      </c>
      <c r="AF92" s="32">
        <f>IF(OR($A92="",$U92="",$T92="No Throw"),0,$AM92*VLOOKUP(MAX(($V92+$W92)/2,0),Reference!$A$17:$B$20,2,TRUE()))</f>
        <v>0.69</v>
      </c>
      <c r="AG92" s="32">
        <f>IF($AC92=0,0,$AC92*INDEX(Reference!$B$61:$B$62,MATCH("Bullpen",Reference!$A$61:$A$62,0))*VLOOKUP(MAX($D$5-($D$9+$E$9)/2,0),Reference!$A$17:$B$20,2,TRUE()))</f>
        <v>0</v>
      </c>
      <c r="AH92" s="46">
        <f t="shared" si="52"/>
        <v>1.1329192546583851</v>
      </c>
      <c r="AI92" s="32">
        <f>IF($A92="",NA(),Reference!$A$25)</f>
        <v>0.8</v>
      </c>
      <c r="AJ92" s="32">
        <f t="shared" si="53"/>
        <v>1.3</v>
      </c>
      <c r="AK92" s="56">
        <f>IF(OR($A92="",N($C92)&lt;=7,$T92="No Throw",$J92="x"),0,INDEX(Reference!$B$108:$B$114,$N92+1))</f>
        <v>0.12</v>
      </c>
      <c r="AL92" s="32">
        <f t="shared" si="54"/>
        <v>1</v>
      </c>
      <c r="AM92" s="32">
        <f>IF($U92="",0,IF($AL92&gt;1,((IF(1&lt;=$AL92,($AL92-1+3)*(INDEX(Reference!$B$6:$B$11,MIN(5,MATCH(MAX(Reference!$A$6,MIN(Reference!$A$11,MIN($U92,90))),Reference!$A$6:$A$11,1)))+(MAX(Reference!$A$6,MIN(Reference!$A$11,MIN($U92,90)))-INDEX(Reference!$A$6:$A$11,MIN(5,MATCH(MAX(Reference!$A$6,MIN(Reference!$A$11,MIN($U92,90))),Reference!$A$6:$A$11,1))))*(INDEX(Reference!$B$6:$B$11,MIN(5,MATCH(MAX(Reference!$A$6,MIN(Reference!$A$11,MIN($U92,90))),Reference!$A$6:$A$11,1))+1)-INDEX(Reference!$B$6:$B$11,MIN(5,MATCH(MAX(Reference!$A$6,MIN(Reference!$A$11,MIN($U92,90))),Reference!$A$6:$A$11,1))))/(INDEX(Reference!$A$6:$A$11,MIN(5,MATCH(MAX(Reference!$A$6,MIN(Reference!$A$11,MIN($U92,90))),Reference!$A$6:$A$11,1))+1)-INDEX(Reference!$A$6:$A$11,MIN(5,MATCH(MAX(Reference!$A$6,MIN(Reference!$A$11,MIN($U92,90))),Reference!$A$6:$A$11,1))))),0)+IF(2&lt;=$AL92,($AL92-2+3)*(INDEX(Reference!$B$6:$B$11,MIN(5,MATCH(MAX(Reference!$A$6,MIN(Reference!$A$11,MIN($U92,120))),Reference!$A$6:$A$11,1)))+(MAX(Reference!$A$6,MIN(Reference!$A$11,MIN($U92,120)))-INDEX(Reference!$A$6:$A$11,MIN(5,MATCH(MAX(Reference!$A$6,MIN(Reference!$A$11,MIN($U92,120))),Reference!$A$6:$A$11,1))))*(INDEX(Reference!$B$6:$B$11,MIN(5,MATCH(MAX(Reference!$A$6,MIN(Reference!$A$11,MIN($U92,120))),Reference!$A$6:$A$11,1))+1)-INDEX(Reference!$B$6:$B$11,MIN(5,MATCH(MAX(Reference!$A$6,MIN(Reference!$A$11,MIN($U92,120))),Reference!$A$6:$A$11,1))))/(INDEX(Reference!$A$6:$A$11,MIN(5,MATCH(MAX(Reference!$A$6,MIN(Reference!$A$11,MIN($U92,120))),Reference!$A$6:$A$11,1))+1)-INDEX(Reference!$A$6:$A$11,MIN(5,MATCH(MAX(Reference!$A$6,MIN(Reference!$A$11,MIN($U92,120))),Reference!$A$6:$A$11,1))))),0)+IF(3&lt;=$AL92,($AL92-3+3)*(INDEX(Reference!$B$6:$B$11,MIN(5,MATCH(MAX(Reference!$A$6,MIN(Reference!$A$11,MIN($U92,150))),Reference!$A$6:$A$11,1)))+(MAX(Reference!$A$6,MIN(Reference!$A$11,MIN($U92,150)))-INDEX(Reference!$A$6:$A$11,MIN(5,MATCH(MAX(Reference!$A$6,MIN(Reference!$A$11,MIN($U92,150))),Reference!$A$6:$A$11,1))))*(INDEX(Reference!$B$6:$B$11,MIN(5,MATCH(MAX(Reference!$A$6,MIN(Reference!$A$11,MIN($U92,150))),Reference!$A$6:$A$11,1))+1)-INDEX(Reference!$B$6:$B$11,MIN(5,MATCH(MAX(Reference!$A$6,MIN(Reference!$A$11,MIN($U92,150))),Reference!$A$6:$A$11,1))))/(INDEX(Reference!$A$6:$A$11,MIN(5,MATCH(MAX(Reference!$A$6,MIN(Reference!$A$11,MIN($U92,150))),Reference!$A$6:$A$11,1))+1)-INDEX(Reference!$A$6:$A$11,MIN(5,MATCH(MAX(Reference!$A$6,MIN(Reference!$A$11,MIN($U92,150))),Reference!$A$6:$A$11,1))))),0)+IF(4&lt;=$AL92,($AL92-4+3)*(INDEX(Reference!$B$6:$B$11,MIN(5,MATCH(MAX(Reference!$A$6,MIN(Reference!$A$11,MIN($U92,180))),Reference!$A$6:$A$11,1)))+(MAX(Reference!$A$6,MIN(Reference!$A$11,MIN($U92,180)))-INDEX(Reference!$A$6:$A$11,MIN(5,MATCH(MAX(Reference!$A$6,MIN(Reference!$A$11,MIN($U92,180))),Reference!$A$6:$A$11,1))))*(INDEX(Reference!$B$6:$B$11,MIN(5,MATCH(MAX(Reference!$A$6,MIN(Reference!$A$11,MIN($U92,180))),Reference!$A$6:$A$11,1))+1)-INDEX(Reference!$B$6:$B$11,MIN(5,MATCH(MAX(Reference!$A$6,MIN(Reference!$A$11,MIN($U92,180))),Reference!$A$6:$A$11,1))))/(INDEX(Reference!$A$6:$A$11,MIN(5,MATCH(MAX(Reference!$A$6,MIN(Reference!$A$11,MIN($U92,180))),Reference!$A$6:$A$11,1))+1)-INDEX(Reference!$A$6:$A$11,MIN(5,MATCH(MAX(Reference!$A$6,MIN(Reference!$A$11,MIN($U92,180))),Reference!$A$6:$A$11,1))))),0)+IF(5&lt;=$AL92,($AL92-5+3)*(INDEX(Reference!$B$6:$B$11,MIN(5,MATCH(MAX(Reference!$A$6,MIN(Reference!$A$11,MIN($U92,210))),Reference!$A$6:$A$11,1)))+(MAX(Reference!$A$6,MIN(Reference!$A$11,MIN($U92,210)))-INDEX(Reference!$A$6:$A$11,MIN(5,MATCH(MAX(Reference!$A$6,MIN(Reference!$A$11,MIN($U92,210))),Reference!$A$6:$A$11,1))))*(INDEX(Reference!$B$6:$B$11,MIN(5,MATCH(MAX(Reference!$A$6,MIN(Reference!$A$11,MIN($U92,210))),Reference!$A$6:$A$11,1))+1)-INDEX(Reference!$B$6:$B$11,MIN(5,MATCH(MAX(Reference!$A$6,MIN(Reference!$A$11,MIN($U92,210))),Reference!$A$6:$A$11,1))))/(INDEX(Reference!$A$6:$A$11,MIN(5,MATCH(MAX(Reference!$A$6,MIN(Reference!$A$11,MIN($U92,210))),Reference!$A$6:$A$11,1))+1)-INDEX(Reference!$A$6:$A$11,MIN(5,MATCH(MAX(Reference!$A$6,MIN(Reference!$A$11,MIN($U92,210))),Reference!$A$6:$A$11,1))))),0)+IF(6&lt;=$AL92,($AL92-6+3)*(INDEX(Reference!$B$6:$B$11,MIN(5,MATCH(MAX(Reference!$A$6,MIN(Reference!$A$11,MIN($U92,240))),Reference!$A$6:$A$11,1)))+(MAX(Reference!$A$6,MIN(Reference!$A$11,MIN($U92,240)))-INDEX(Reference!$A$6:$A$11,MIN(5,MATCH(MAX(Reference!$A$6,MIN(Reference!$A$11,MIN($U92,240))),Reference!$A$6:$A$11,1))))*(INDEX(Reference!$B$6:$B$11,MIN(5,MATCH(MAX(Reference!$A$6,MIN(Reference!$A$11,MIN($U92,240))),Reference!$A$6:$A$11,1))+1)-INDEX(Reference!$B$6:$B$11,MIN(5,MATCH(MAX(Reference!$A$6,MIN(Reference!$A$11,MIN($U92,240))),Reference!$A$6:$A$11,1))))/(INDEX(Reference!$A$6:$A$11,MIN(5,MATCH(MAX(Reference!$A$6,MIN(Reference!$A$11,MIN($U92,240))),Reference!$A$6:$A$11,1))+1)-INDEX(Reference!$A$6:$A$11,MIN(5,MATCH(MAX(Reference!$A$6,MIN(Reference!$A$11,MIN($U92,240))),Reference!$A$6:$A$11,1))))),0)+IF(7&lt;=$AL92,($AL92-7+3)*(INDEX(Reference!$B$6:$B$11,MIN(5,MATCH(MAX(Reference!$A$6,MIN(Reference!$A$11,MIN($U92,270))),Reference!$A$6:$A$11,1)))+(MAX(Reference!$A$6,MIN(Reference!$A$11,MIN($U92,270)))-INDEX(Reference!$A$6:$A$11,MIN(5,MATCH(MAX(Reference!$A$6,MIN(Reference!$A$11,MIN($U92,270))),Reference!$A$6:$A$11,1))))*(INDEX(Reference!$B$6:$B$11,MIN(5,MATCH(MAX(Reference!$A$6,MIN(Reference!$A$11,MIN($U92,270))),Reference!$A$6:$A$11,1))+1)-INDEX(Reference!$B$6:$B$11,MIN(5,MATCH(MAX(Reference!$A$6,MIN(Reference!$A$11,MIN($U92,270))),Reference!$A$6:$A$11,1))))/(INDEX(Reference!$A$6:$A$11,MIN(5,MATCH(MAX(Reference!$A$6,MIN(Reference!$A$11,MIN($U92,270))),Reference!$A$6:$A$11,1))+1)-INDEX(Reference!$A$6:$A$11,MIN(5,MATCH(MAX(Reference!$A$6,MIN(Reference!$A$11,MIN($U92,270))),Reference!$A$6:$A$11,1))))),0)+IF(8&lt;=$AL92,($AL92-8+3)*(INDEX(Reference!$B$6:$B$11,MIN(5,MATCH(MAX(Reference!$A$6,MIN(Reference!$A$11,MIN($U92,300))),Reference!$A$6:$A$11,1)))+(MAX(Reference!$A$6,MIN(Reference!$A$11,MIN($U92,300)))-INDEX(Reference!$A$6:$A$11,MIN(5,MATCH(MAX(Reference!$A$6,MIN(Reference!$A$11,MIN($U92,300))),Reference!$A$6:$A$11,1))))*(INDEX(Reference!$B$6:$B$11,MIN(5,MATCH(MAX(Reference!$A$6,MIN(Reference!$A$11,MIN($U92,300))),Reference!$A$6:$A$11,1))+1)-INDEX(Reference!$B$6:$B$11,MIN(5,MATCH(MAX(Reference!$A$6,MIN(Reference!$A$11,MIN($U92,300))),Reference!$A$6:$A$11,1))))/(INDEX(Reference!$A$6:$A$11,MIN(5,MATCH(MAX(Reference!$A$6,MIN(Reference!$A$11,MIN($U92,300))),Reference!$A$6:$A$11,1))+1)-INDEX(Reference!$A$6:$A$11,MIN(5,MATCH(MAX(Reference!$A$6,MIN(Reference!$A$11,MIN($U92,300))),Reference!$A$6:$A$11,1))))),0))/($AL92*($AL92+5)/2)),$AN92))</f>
        <v>1.1499999999999999</v>
      </c>
      <c r="AN92" s="32">
        <f>IF($U92="",0,(INDEX(Reference!$B$6:$B$11,MIN(5,MATCH(MAX(Reference!$A$6,MIN(Reference!$A$11,$U92)),Reference!$A$6:$A$11,1)))+(MAX(Reference!$A$6,MIN(Reference!$A$11,$U92))-INDEX(Reference!$A$6:$A$11,MIN(5,MATCH(MAX(Reference!$A$6,MIN(Reference!$A$11,$U92)),Reference!$A$6:$A$11,1))))*(INDEX(Reference!$B$6:$B$11,MIN(5,MATCH(MAX(Reference!$A$6,MIN(Reference!$A$11,$U92)),Reference!$A$6:$A$11,1))+1)-INDEX(Reference!$B$6:$B$11,MIN(5,MATCH(MAX(Reference!$A$6,MIN(Reference!$A$11,$U92)),Reference!$A$6:$A$11,1))))/(INDEX(Reference!$A$6:$A$11,MIN(5,MATCH(MAX(Reference!$A$6,MIN(Reference!$A$11,$U92)),Reference!$A$6:$A$11,1))+1)-INDEX(Reference!$A$6:$A$11,MIN(5,MATCH(MAX(Reference!$A$6,MIN(Reference!$A$11,$U92)),Reference!$A$6:$A$11,1))))))</f>
        <v>1.1499999999999999</v>
      </c>
      <c r="AO92" s="37"/>
      <c r="AP92" s="37"/>
      <c r="AQ92" s="37"/>
    </row>
    <row r="93" spans="1:43" ht="26.4" x14ac:dyDescent="0.3">
      <c r="A93" s="48">
        <f t="shared" si="30"/>
        <v>46357</v>
      </c>
      <c r="B93" s="32" t="str">
        <f t="shared" si="31"/>
        <v>Tue</v>
      </c>
      <c r="C93" s="32">
        <f t="shared" si="32"/>
        <v>34</v>
      </c>
      <c r="D93" s="32" t="str">
        <f t="shared" si="33"/>
        <v>Flat Ground / Intent</v>
      </c>
      <c r="E93" s="32" t="str">
        <f t="shared" si="34"/>
        <v>Medium</v>
      </c>
      <c r="F93" s="32" t="str">
        <f t="shared" si="35"/>
        <v>Long Toss</v>
      </c>
      <c r="G93" s="47" t="str">
        <f t="shared" si="36"/>
        <v>Long toss out to 165 ft — 28 throws (90×9 · 120×8 · 150×6 · 165×5) @ 79–81 mph + 60 ft × 15 @ 79–81 mph</v>
      </c>
      <c r="H93" s="30">
        <f t="shared" si="37"/>
        <v>39.426666666666662</v>
      </c>
      <c r="I93" s="46">
        <f>IF($A93="","",IF(AND($L93&lt;27,$K$12=0),"Building",IFERROR(((SUM($H$87:$H93)+$K$12*IF($L93&lt;6,SUMIFS('Throw Log'!$Q$5:$Q$300,'Throw Log'!$B$5:$B$300,$D$4,'Throw Log'!$A$5:$A$300,"&gt;="&amp;($D$6+$L93-6),'Throw Log'!$A$5:$A$300,"&lt;="&amp;($D$6-1)),0))/7)/((SUM($H$66:$H93)+$K$12*IF($L93&lt;27,SUMIFS('Throw Log'!$Q$5:$Q$300,'Throw Log'!$B$5:$B$300,$D$4,'Throw Log'!$A$5:$A$300,"&gt;="&amp;($D$6+$L93-27),'Throw Log'!$A$5:$A$300,"&lt;="&amp;($D$6-1)),0))/28),"")))</f>
        <v>1.1464127464740999</v>
      </c>
      <c r="J93" s="37"/>
      <c r="K93" s="37"/>
      <c r="L93" s="32">
        <v>50</v>
      </c>
      <c r="M93" s="32">
        <f t="shared" si="38"/>
        <v>8</v>
      </c>
      <c r="N93" s="32">
        <f t="shared" si="39"/>
        <v>1</v>
      </c>
      <c r="O93" s="32">
        <f t="shared" si="40"/>
        <v>0.65789473684210531</v>
      </c>
      <c r="P93" s="32">
        <f>IF(OR($A93="",N($C93)&lt;=7),"",$G$6*$G$9^($M93-1)*IF(AND(MOD($M93,Reference!$B$99)=0,$M93&lt;=$G$5-2),Reference!$B$100,1))</f>
        <v>155.17696923220939</v>
      </c>
      <c r="Q93" s="32">
        <f>IF($P93="","",IF(SUM($AK$92:$AK$98)=0,0,$P93*INDEX(Reference!$B$108:$B$114,$N93+1)/SUM($AK$92:$AK$98)))</f>
        <v>39.156805320277137</v>
      </c>
      <c r="R93" s="32">
        <f t="shared" si="41"/>
        <v>165</v>
      </c>
      <c r="S93" s="32">
        <f t="shared" si="42"/>
        <v>150</v>
      </c>
      <c r="T93" s="32" t="str">
        <f>IF($A93="","",IF($C93=0,"Bullpen",IF(OR($C93=7,$C93=1,$C93=5),"Recovery/Easy Catch",IF($C93=6,"Compression/Pulldowns",IF(OR($C93=4,$C93=2),"Long Toss",IF($C93=3,"No Throw",IF($N93=2,"No Throw",IF($N93=6,IF($O93&lt;Reference!$B$104,"No Throw","Recovery/Easy Catch"),IF(OR($N93=0,$N93=4),"Recovery/Easy Catch",IF($N93=1,IF($R93&gt;75,"Long Toss","Recovery/Easy Catch"),IF($N93=3,IF($O93&lt;0.5,IF($S93&gt;75,"Long Toss","Recovery/Easy Catch"),"Compression/Pulldowns"),IF($S93&gt;75,"Long Toss","Recovery/Easy Catch"))))))))))))</f>
        <v>Long Toss</v>
      </c>
      <c r="U93" s="32">
        <f t="shared" si="43"/>
        <v>165</v>
      </c>
      <c r="V93" s="32">
        <f t="shared" si="44"/>
        <v>10</v>
      </c>
      <c r="W93" s="32">
        <f t="shared" si="45"/>
        <v>12</v>
      </c>
      <c r="X93" s="32">
        <f t="shared" si="46"/>
        <v>15</v>
      </c>
      <c r="Y93" s="32">
        <f t="shared" si="47"/>
        <v>10</v>
      </c>
      <c r="Z93" s="32">
        <f t="shared" si="48"/>
        <v>12</v>
      </c>
      <c r="AA93" s="32" t="str">
        <f t="shared" si="49"/>
        <v/>
      </c>
      <c r="AB93" s="32">
        <f>IF($A93="","",IF($T93="No Throw",0,IF($K93&lt;&gt;"",$K93,IF($AA93&lt;&gt;"",ROUND($AA93*$D$12*IF($C93=0,1,$G$10),0),MIN(IF($T93="Recovery/Easy Catch",Reference!$B$103,IF($T93="Long Toss",Reference!$B$106,Reference!$B$102)),MAX(Reference!$B$101,ROUND(MAX(0,$Q93-$AE93)/$AF93,0)))))))</f>
        <v>28</v>
      </c>
      <c r="AC93" s="32">
        <f t="shared" si="50"/>
        <v>0</v>
      </c>
      <c r="AD93" s="32" t="b">
        <f t="shared" si="51"/>
        <v>0</v>
      </c>
      <c r="AE93" s="32">
        <f>IF($X93=0,0,$X93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93+$Z93)/2,0),Reference!$A$17:$B$20,2,TRUE()))</f>
        <v>9</v>
      </c>
      <c r="AF93" s="32">
        <f>IF(OR($A93="",$U93="",$T93="No Throw"),0,$AM93*VLOOKUP(MAX(($V93+$W93)/2,0),Reference!$A$17:$B$20,2,TRUE()))</f>
        <v>1.0866666666666667</v>
      </c>
      <c r="AG93" s="32">
        <f>IF($AC93=0,0,$AC93*INDEX(Reference!$B$61:$B$62,MATCH("Bullpen",Reference!$A$61:$A$62,0))*VLOOKUP(MAX($D$5-($D$9+$E$9)/2,0),Reference!$A$17:$B$20,2,TRUE()))</f>
        <v>0</v>
      </c>
      <c r="AH93" s="46">
        <f t="shared" si="52"/>
        <v>1.1464127464740999</v>
      </c>
      <c r="AI93" s="32">
        <f>IF($A93="",NA(),Reference!$A$25)</f>
        <v>0.8</v>
      </c>
      <c r="AJ93" s="32">
        <f t="shared" si="53"/>
        <v>1.3</v>
      </c>
      <c r="AK93" s="56">
        <f>IF(OR($A93="",N($C93)&lt;=7,$T93="No Throw",$J93="x"),0,INDEX(Reference!$B$108:$B$114,$N93+1))</f>
        <v>0.27</v>
      </c>
      <c r="AL93" s="32">
        <f t="shared" si="54"/>
        <v>4</v>
      </c>
      <c r="AM93" s="32">
        <f>IF($U93="",0,IF($AL93&gt;1,((IF(1&lt;=$AL93,($AL93-1+3)*(INDEX(Reference!$B$6:$B$11,MIN(5,MATCH(MAX(Reference!$A$6,MIN(Reference!$A$11,MIN($U93,90))),Reference!$A$6:$A$11,1)))+(MAX(Reference!$A$6,MIN(Reference!$A$11,MIN($U93,90)))-INDEX(Reference!$A$6:$A$11,MIN(5,MATCH(MAX(Reference!$A$6,MIN(Reference!$A$11,MIN($U93,90))),Reference!$A$6:$A$11,1))))*(INDEX(Reference!$B$6:$B$11,MIN(5,MATCH(MAX(Reference!$A$6,MIN(Reference!$A$11,MIN($U93,90))),Reference!$A$6:$A$11,1))+1)-INDEX(Reference!$B$6:$B$11,MIN(5,MATCH(MAX(Reference!$A$6,MIN(Reference!$A$11,MIN($U93,90))),Reference!$A$6:$A$11,1))))/(INDEX(Reference!$A$6:$A$11,MIN(5,MATCH(MAX(Reference!$A$6,MIN(Reference!$A$11,MIN($U93,90))),Reference!$A$6:$A$11,1))+1)-INDEX(Reference!$A$6:$A$11,MIN(5,MATCH(MAX(Reference!$A$6,MIN(Reference!$A$11,MIN($U93,90))),Reference!$A$6:$A$11,1))))),0)+IF(2&lt;=$AL93,($AL93-2+3)*(INDEX(Reference!$B$6:$B$11,MIN(5,MATCH(MAX(Reference!$A$6,MIN(Reference!$A$11,MIN($U93,120))),Reference!$A$6:$A$11,1)))+(MAX(Reference!$A$6,MIN(Reference!$A$11,MIN($U93,120)))-INDEX(Reference!$A$6:$A$11,MIN(5,MATCH(MAX(Reference!$A$6,MIN(Reference!$A$11,MIN($U93,120))),Reference!$A$6:$A$11,1))))*(INDEX(Reference!$B$6:$B$11,MIN(5,MATCH(MAX(Reference!$A$6,MIN(Reference!$A$11,MIN($U93,120))),Reference!$A$6:$A$11,1))+1)-INDEX(Reference!$B$6:$B$11,MIN(5,MATCH(MAX(Reference!$A$6,MIN(Reference!$A$11,MIN($U93,120))),Reference!$A$6:$A$11,1))))/(INDEX(Reference!$A$6:$A$11,MIN(5,MATCH(MAX(Reference!$A$6,MIN(Reference!$A$11,MIN($U93,120))),Reference!$A$6:$A$11,1))+1)-INDEX(Reference!$A$6:$A$11,MIN(5,MATCH(MAX(Reference!$A$6,MIN(Reference!$A$11,MIN($U93,120))),Reference!$A$6:$A$11,1))))),0)+IF(3&lt;=$AL93,($AL93-3+3)*(INDEX(Reference!$B$6:$B$11,MIN(5,MATCH(MAX(Reference!$A$6,MIN(Reference!$A$11,MIN($U93,150))),Reference!$A$6:$A$11,1)))+(MAX(Reference!$A$6,MIN(Reference!$A$11,MIN($U93,150)))-INDEX(Reference!$A$6:$A$11,MIN(5,MATCH(MAX(Reference!$A$6,MIN(Reference!$A$11,MIN($U93,150))),Reference!$A$6:$A$11,1))))*(INDEX(Reference!$B$6:$B$11,MIN(5,MATCH(MAX(Reference!$A$6,MIN(Reference!$A$11,MIN($U93,150))),Reference!$A$6:$A$11,1))+1)-INDEX(Reference!$B$6:$B$11,MIN(5,MATCH(MAX(Reference!$A$6,MIN(Reference!$A$11,MIN($U93,150))),Reference!$A$6:$A$11,1))))/(INDEX(Reference!$A$6:$A$11,MIN(5,MATCH(MAX(Reference!$A$6,MIN(Reference!$A$11,MIN($U93,150))),Reference!$A$6:$A$11,1))+1)-INDEX(Reference!$A$6:$A$11,MIN(5,MATCH(MAX(Reference!$A$6,MIN(Reference!$A$11,MIN($U93,150))),Reference!$A$6:$A$11,1))))),0)+IF(4&lt;=$AL93,($AL93-4+3)*(INDEX(Reference!$B$6:$B$11,MIN(5,MATCH(MAX(Reference!$A$6,MIN(Reference!$A$11,MIN($U93,180))),Reference!$A$6:$A$11,1)))+(MAX(Reference!$A$6,MIN(Reference!$A$11,MIN($U93,180)))-INDEX(Reference!$A$6:$A$11,MIN(5,MATCH(MAX(Reference!$A$6,MIN(Reference!$A$11,MIN($U93,180))),Reference!$A$6:$A$11,1))))*(INDEX(Reference!$B$6:$B$11,MIN(5,MATCH(MAX(Reference!$A$6,MIN(Reference!$A$11,MIN($U93,180))),Reference!$A$6:$A$11,1))+1)-INDEX(Reference!$B$6:$B$11,MIN(5,MATCH(MAX(Reference!$A$6,MIN(Reference!$A$11,MIN($U93,180))),Reference!$A$6:$A$11,1))))/(INDEX(Reference!$A$6:$A$11,MIN(5,MATCH(MAX(Reference!$A$6,MIN(Reference!$A$11,MIN($U93,180))),Reference!$A$6:$A$11,1))+1)-INDEX(Reference!$A$6:$A$11,MIN(5,MATCH(MAX(Reference!$A$6,MIN(Reference!$A$11,MIN($U93,180))),Reference!$A$6:$A$11,1))))),0)+IF(5&lt;=$AL93,($AL93-5+3)*(INDEX(Reference!$B$6:$B$11,MIN(5,MATCH(MAX(Reference!$A$6,MIN(Reference!$A$11,MIN($U93,210))),Reference!$A$6:$A$11,1)))+(MAX(Reference!$A$6,MIN(Reference!$A$11,MIN($U93,210)))-INDEX(Reference!$A$6:$A$11,MIN(5,MATCH(MAX(Reference!$A$6,MIN(Reference!$A$11,MIN($U93,210))),Reference!$A$6:$A$11,1))))*(INDEX(Reference!$B$6:$B$11,MIN(5,MATCH(MAX(Reference!$A$6,MIN(Reference!$A$11,MIN($U93,210))),Reference!$A$6:$A$11,1))+1)-INDEX(Reference!$B$6:$B$11,MIN(5,MATCH(MAX(Reference!$A$6,MIN(Reference!$A$11,MIN($U93,210))),Reference!$A$6:$A$11,1))))/(INDEX(Reference!$A$6:$A$11,MIN(5,MATCH(MAX(Reference!$A$6,MIN(Reference!$A$11,MIN($U93,210))),Reference!$A$6:$A$11,1))+1)-INDEX(Reference!$A$6:$A$11,MIN(5,MATCH(MAX(Reference!$A$6,MIN(Reference!$A$11,MIN($U93,210))),Reference!$A$6:$A$11,1))))),0)+IF(6&lt;=$AL93,($AL93-6+3)*(INDEX(Reference!$B$6:$B$11,MIN(5,MATCH(MAX(Reference!$A$6,MIN(Reference!$A$11,MIN($U93,240))),Reference!$A$6:$A$11,1)))+(MAX(Reference!$A$6,MIN(Reference!$A$11,MIN($U93,240)))-INDEX(Reference!$A$6:$A$11,MIN(5,MATCH(MAX(Reference!$A$6,MIN(Reference!$A$11,MIN($U93,240))),Reference!$A$6:$A$11,1))))*(INDEX(Reference!$B$6:$B$11,MIN(5,MATCH(MAX(Reference!$A$6,MIN(Reference!$A$11,MIN($U93,240))),Reference!$A$6:$A$11,1))+1)-INDEX(Reference!$B$6:$B$11,MIN(5,MATCH(MAX(Reference!$A$6,MIN(Reference!$A$11,MIN($U93,240))),Reference!$A$6:$A$11,1))))/(INDEX(Reference!$A$6:$A$11,MIN(5,MATCH(MAX(Reference!$A$6,MIN(Reference!$A$11,MIN($U93,240))),Reference!$A$6:$A$11,1))+1)-INDEX(Reference!$A$6:$A$11,MIN(5,MATCH(MAX(Reference!$A$6,MIN(Reference!$A$11,MIN($U93,240))),Reference!$A$6:$A$11,1))))),0)+IF(7&lt;=$AL93,($AL93-7+3)*(INDEX(Reference!$B$6:$B$11,MIN(5,MATCH(MAX(Reference!$A$6,MIN(Reference!$A$11,MIN($U93,270))),Reference!$A$6:$A$11,1)))+(MAX(Reference!$A$6,MIN(Reference!$A$11,MIN($U93,270)))-INDEX(Reference!$A$6:$A$11,MIN(5,MATCH(MAX(Reference!$A$6,MIN(Reference!$A$11,MIN($U93,270))),Reference!$A$6:$A$11,1))))*(INDEX(Reference!$B$6:$B$11,MIN(5,MATCH(MAX(Reference!$A$6,MIN(Reference!$A$11,MIN($U93,270))),Reference!$A$6:$A$11,1))+1)-INDEX(Reference!$B$6:$B$11,MIN(5,MATCH(MAX(Reference!$A$6,MIN(Reference!$A$11,MIN($U93,270))),Reference!$A$6:$A$11,1))))/(INDEX(Reference!$A$6:$A$11,MIN(5,MATCH(MAX(Reference!$A$6,MIN(Reference!$A$11,MIN($U93,270))),Reference!$A$6:$A$11,1))+1)-INDEX(Reference!$A$6:$A$11,MIN(5,MATCH(MAX(Reference!$A$6,MIN(Reference!$A$11,MIN($U93,270))),Reference!$A$6:$A$11,1))))),0)+IF(8&lt;=$AL93,($AL93-8+3)*(INDEX(Reference!$B$6:$B$11,MIN(5,MATCH(MAX(Reference!$A$6,MIN(Reference!$A$11,MIN($U93,300))),Reference!$A$6:$A$11,1)))+(MAX(Reference!$A$6,MIN(Reference!$A$11,MIN($U93,300)))-INDEX(Reference!$A$6:$A$11,MIN(5,MATCH(MAX(Reference!$A$6,MIN(Reference!$A$11,MIN($U93,300))),Reference!$A$6:$A$11,1))))*(INDEX(Reference!$B$6:$B$11,MIN(5,MATCH(MAX(Reference!$A$6,MIN(Reference!$A$11,MIN($U93,300))),Reference!$A$6:$A$11,1))+1)-INDEX(Reference!$B$6:$B$11,MIN(5,MATCH(MAX(Reference!$A$6,MIN(Reference!$A$11,MIN($U93,300))),Reference!$A$6:$A$11,1))))/(INDEX(Reference!$A$6:$A$11,MIN(5,MATCH(MAX(Reference!$A$6,MIN(Reference!$A$11,MIN($U93,300))),Reference!$A$6:$A$11,1))+1)-INDEX(Reference!$A$6:$A$11,MIN(5,MATCH(MAX(Reference!$A$6,MIN(Reference!$A$11,MIN($U93,300))),Reference!$A$6:$A$11,1))))),0))/($AL93*($AL93+5)/2)),$AN93))</f>
        <v>1.8111111111111111</v>
      </c>
      <c r="AN93" s="32">
        <f>IF($U93="",0,(INDEX(Reference!$B$6:$B$11,MIN(5,MATCH(MAX(Reference!$A$6,MIN(Reference!$A$11,$U93)),Reference!$A$6:$A$11,1)))+(MAX(Reference!$A$6,MIN(Reference!$A$11,$U93))-INDEX(Reference!$A$6:$A$11,MIN(5,MATCH(MAX(Reference!$A$6,MIN(Reference!$A$11,$U93)),Reference!$A$6:$A$11,1))))*(INDEX(Reference!$B$6:$B$11,MIN(5,MATCH(MAX(Reference!$A$6,MIN(Reference!$A$11,$U93)),Reference!$A$6:$A$11,1))+1)-INDEX(Reference!$B$6:$B$11,MIN(5,MATCH(MAX(Reference!$A$6,MIN(Reference!$A$11,$U93)),Reference!$A$6:$A$11,1))))/(INDEX(Reference!$A$6:$A$11,MIN(5,MATCH(MAX(Reference!$A$6,MIN(Reference!$A$11,$U93)),Reference!$A$6:$A$11,1))+1)-INDEX(Reference!$A$6:$A$11,MIN(5,MATCH(MAX(Reference!$A$6,MIN(Reference!$A$11,$U93)),Reference!$A$6:$A$11,1))))))</f>
        <v>2.5</v>
      </c>
      <c r="AO93" s="37"/>
      <c r="AP93" s="37"/>
      <c r="AQ93" s="37"/>
    </row>
    <row r="94" spans="1:43" x14ac:dyDescent="0.3">
      <c r="A94" s="48">
        <f t="shared" si="30"/>
        <v>46358</v>
      </c>
      <c r="B94" s="32" t="str">
        <f t="shared" si="31"/>
        <v>Wed</v>
      </c>
      <c r="C94" s="32">
        <f t="shared" si="32"/>
        <v>33</v>
      </c>
      <c r="D94" s="32" t="str">
        <f t="shared" si="33"/>
        <v>Flat Ground / Intent</v>
      </c>
      <c r="E94" s="32" t="str">
        <f t="shared" si="34"/>
        <v>No Throw</v>
      </c>
      <c r="F94" s="32" t="str">
        <f t="shared" si="35"/>
        <v>No Throw</v>
      </c>
      <c r="G94" s="47" t="str">
        <f t="shared" si="36"/>
        <v>Off</v>
      </c>
      <c r="H94" s="30">
        <f t="shared" si="37"/>
        <v>0</v>
      </c>
      <c r="I94" s="46">
        <f>IF($A94="","",IF(AND($L94&lt;27,$K$12=0),"Building",IFERROR(((SUM($H$88:$H94)+$K$12*IF($L94&lt;6,SUMIFS('Throw Log'!$Q$5:$Q$300,'Throw Log'!$B$5:$B$300,$D$4,'Throw Log'!$A$5:$A$300,"&gt;="&amp;($D$6+$L94-6),'Throw Log'!$A$5:$A$300,"&lt;="&amp;($D$6-1)),0))/7)/((SUM($H$67:$H94)+$K$12*IF($L94&lt;27,SUMIFS('Throw Log'!$Q$5:$Q$300,'Throw Log'!$B$5:$B$300,$D$4,'Throw Log'!$A$5:$A$300,"&gt;="&amp;($D$6+$L94-27),'Throw Log'!$A$5:$A$300,"&lt;="&amp;($D$6-1)),0))/28),"")))</f>
        <v>1.1464127464740999</v>
      </c>
      <c r="J94" s="37"/>
      <c r="K94" s="37"/>
      <c r="L94" s="32">
        <v>51</v>
      </c>
      <c r="M94" s="32">
        <f t="shared" si="38"/>
        <v>8</v>
      </c>
      <c r="N94" s="32">
        <f t="shared" si="39"/>
        <v>2</v>
      </c>
      <c r="O94" s="32">
        <f t="shared" si="40"/>
        <v>0.67105263157894735</v>
      </c>
      <c r="P94" s="32">
        <f>IF(OR($A94="",N($C94)&lt;=7),"",$G$6*$G$9^($M94-1)*IF(AND(MOD($M94,Reference!$B$99)=0,$M94&lt;=$G$5-2),Reference!$B$100,1))</f>
        <v>155.17696923220939</v>
      </c>
      <c r="Q94" s="32">
        <f>IF($P94="","",IF(SUM($AK$92:$AK$98)=0,0,$P94*INDEX(Reference!$B$108:$B$114,$N94+1)/SUM($AK$92:$AK$98)))</f>
        <v>0</v>
      </c>
      <c r="R94" s="32">
        <f t="shared" si="41"/>
        <v>165</v>
      </c>
      <c r="S94" s="32">
        <f t="shared" si="42"/>
        <v>150</v>
      </c>
      <c r="T94" s="32" t="str">
        <f>IF($A94="","",IF($C94=0,"Bullpen",IF(OR($C94=7,$C94=1,$C94=5),"Recovery/Easy Catch",IF($C94=6,"Compression/Pulldowns",IF(OR($C94=4,$C94=2),"Long Toss",IF($C94=3,"No Throw",IF($N94=2,"No Throw",IF($N94=6,IF($O94&lt;Reference!$B$104,"No Throw","Recovery/Easy Catch"),IF(OR($N94=0,$N94=4),"Recovery/Easy Catch",IF($N94=1,IF($R94&gt;75,"Long Toss","Recovery/Easy Catch"),IF($N94=3,IF($O94&lt;0.5,IF($S94&gt;75,"Long Toss","Recovery/Easy Catch"),"Compression/Pulldowns"),IF($S94&gt;75,"Long Toss","Recovery/Easy Catch"))))))))))))</f>
        <v>No Throw</v>
      </c>
      <c r="U94" s="32" t="str">
        <f t="shared" si="43"/>
        <v/>
      </c>
      <c r="V94" s="32" t="str">
        <f t="shared" si="44"/>
        <v/>
      </c>
      <c r="W94" s="32" t="str">
        <f t="shared" si="45"/>
        <v/>
      </c>
      <c r="X94" s="32">
        <f t="shared" si="46"/>
        <v>0</v>
      </c>
      <c r="Y94" s="32" t="str">
        <f t="shared" si="47"/>
        <v/>
      </c>
      <c r="Z94" s="32" t="str">
        <f t="shared" si="48"/>
        <v/>
      </c>
      <c r="AA94" s="32" t="str">
        <f t="shared" si="49"/>
        <v/>
      </c>
      <c r="AB94" s="32">
        <f>IF($A94="","",IF($T94="No Throw",0,IF($K94&lt;&gt;"",$K94,IF($AA94&lt;&gt;"",ROUND($AA94*$D$12*IF($C94=0,1,$G$10),0),MIN(IF($T94="Recovery/Easy Catch",Reference!$B$103,IF($T94="Long Toss",Reference!$B$106,Reference!$B$102)),MAX(Reference!$B$101,ROUND(MAX(0,$Q94-$AE94)/$AF94,0)))))))</f>
        <v>0</v>
      </c>
      <c r="AC94" s="32">
        <f t="shared" si="50"/>
        <v>0</v>
      </c>
      <c r="AD94" s="32" t="b">
        <f t="shared" si="51"/>
        <v>1</v>
      </c>
      <c r="AE94" s="32">
        <f>IF($X94=0,0,$X94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94+$Z94)/2,0),Reference!$A$17:$B$20,2,TRUE()))</f>
        <v>0</v>
      </c>
      <c r="AF94" s="32">
        <f>IF(OR($A94="",$U94="",$T94="No Throw"),0,$AM94*VLOOKUP(MAX(($V94+$W94)/2,0),Reference!$A$17:$B$20,2,TRUE()))</f>
        <v>0</v>
      </c>
      <c r="AG94" s="32">
        <f>IF($AC94=0,0,$AC94*INDEX(Reference!$B$61:$B$62,MATCH("Bullpen",Reference!$A$61:$A$62,0))*VLOOKUP(MAX($D$5-($D$9+$E$9)/2,0),Reference!$A$17:$B$20,2,TRUE()))</f>
        <v>0</v>
      </c>
      <c r="AH94" s="46">
        <f t="shared" si="52"/>
        <v>1.1464127464740999</v>
      </c>
      <c r="AI94" s="32">
        <f>IF($A94="",NA(),Reference!$A$25)</f>
        <v>0.8</v>
      </c>
      <c r="AJ94" s="32">
        <f t="shared" si="53"/>
        <v>1.3</v>
      </c>
      <c r="AK94" s="32">
        <f>IF(OR($A94="",N($C94)&lt;=7,$T94="No Throw",$J94="x"),0,INDEX(Reference!$B$108:$B$114,$N94+1))</f>
        <v>0</v>
      </c>
      <c r="AL94" s="32">
        <f t="shared" si="54"/>
        <v>1</v>
      </c>
      <c r="AM94" s="32">
        <f>IF($U94="",0,IF($AL94&gt;1,((IF(1&lt;=$AL94,($AL94-1+3)*(INDEX(Reference!$B$6:$B$11,MIN(5,MATCH(MAX(Reference!$A$6,MIN(Reference!$A$11,MIN($U94,90))),Reference!$A$6:$A$11,1)))+(MAX(Reference!$A$6,MIN(Reference!$A$11,MIN($U94,90)))-INDEX(Reference!$A$6:$A$11,MIN(5,MATCH(MAX(Reference!$A$6,MIN(Reference!$A$11,MIN($U94,90))),Reference!$A$6:$A$11,1))))*(INDEX(Reference!$B$6:$B$11,MIN(5,MATCH(MAX(Reference!$A$6,MIN(Reference!$A$11,MIN($U94,90))),Reference!$A$6:$A$11,1))+1)-INDEX(Reference!$B$6:$B$11,MIN(5,MATCH(MAX(Reference!$A$6,MIN(Reference!$A$11,MIN($U94,90))),Reference!$A$6:$A$11,1))))/(INDEX(Reference!$A$6:$A$11,MIN(5,MATCH(MAX(Reference!$A$6,MIN(Reference!$A$11,MIN($U94,90))),Reference!$A$6:$A$11,1))+1)-INDEX(Reference!$A$6:$A$11,MIN(5,MATCH(MAX(Reference!$A$6,MIN(Reference!$A$11,MIN($U94,90))),Reference!$A$6:$A$11,1))))),0)+IF(2&lt;=$AL94,($AL94-2+3)*(INDEX(Reference!$B$6:$B$11,MIN(5,MATCH(MAX(Reference!$A$6,MIN(Reference!$A$11,MIN($U94,120))),Reference!$A$6:$A$11,1)))+(MAX(Reference!$A$6,MIN(Reference!$A$11,MIN($U94,120)))-INDEX(Reference!$A$6:$A$11,MIN(5,MATCH(MAX(Reference!$A$6,MIN(Reference!$A$11,MIN($U94,120))),Reference!$A$6:$A$11,1))))*(INDEX(Reference!$B$6:$B$11,MIN(5,MATCH(MAX(Reference!$A$6,MIN(Reference!$A$11,MIN($U94,120))),Reference!$A$6:$A$11,1))+1)-INDEX(Reference!$B$6:$B$11,MIN(5,MATCH(MAX(Reference!$A$6,MIN(Reference!$A$11,MIN($U94,120))),Reference!$A$6:$A$11,1))))/(INDEX(Reference!$A$6:$A$11,MIN(5,MATCH(MAX(Reference!$A$6,MIN(Reference!$A$11,MIN($U94,120))),Reference!$A$6:$A$11,1))+1)-INDEX(Reference!$A$6:$A$11,MIN(5,MATCH(MAX(Reference!$A$6,MIN(Reference!$A$11,MIN($U94,120))),Reference!$A$6:$A$11,1))))),0)+IF(3&lt;=$AL94,($AL94-3+3)*(INDEX(Reference!$B$6:$B$11,MIN(5,MATCH(MAX(Reference!$A$6,MIN(Reference!$A$11,MIN($U94,150))),Reference!$A$6:$A$11,1)))+(MAX(Reference!$A$6,MIN(Reference!$A$11,MIN($U94,150)))-INDEX(Reference!$A$6:$A$11,MIN(5,MATCH(MAX(Reference!$A$6,MIN(Reference!$A$11,MIN($U94,150))),Reference!$A$6:$A$11,1))))*(INDEX(Reference!$B$6:$B$11,MIN(5,MATCH(MAX(Reference!$A$6,MIN(Reference!$A$11,MIN($U94,150))),Reference!$A$6:$A$11,1))+1)-INDEX(Reference!$B$6:$B$11,MIN(5,MATCH(MAX(Reference!$A$6,MIN(Reference!$A$11,MIN($U94,150))),Reference!$A$6:$A$11,1))))/(INDEX(Reference!$A$6:$A$11,MIN(5,MATCH(MAX(Reference!$A$6,MIN(Reference!$A$11,MIN($U94,150))),Reference!$A$6:$A$11,1))+1)-INDEX(Reference!$A$6:$A$11,MIN(5,MATCH(MAX(Reference!$A$6,MIN(Reference!$A$11,MIN($U94,150))),Reference!$A$6:$A$11,1))))),0)+IF(4&lt;=$AL94,($AL94-4+3)*(INDEX(Reference!$B$6:$B$11,MIN(5,MATCH(MAX(Reference!$A$6,MIN(Reference!$A$11,MIN($U94,180))),Reference!$A$6:$A$11,1)))+(MAX(Reference!$A$6,MIN(Reference!$A$11,MIN($U94,180)))-INDEX(Reference!$A$6:$A$11,MIN(5,MATCH(MAX(Reference!$A$6,MIN(Reference!$A$11,MIN($U94,180))),Reference!$A$6:$A$11,1))))*(INDEX(Reference!$B$6:$B$11,MIN(5,MATCH(MAX(Reference!$A$6,MIN(Reference!$A$11,MIN($U94,180))),Reference!$A$6:$A$11,1))+1)-INDEX(Reference!$B$6:$B$11,MIN(5,MATCH(MAX(Reference!$A$6,MIN(Reference!$A$11,MIN($U94,180))),Reference!$A$6:$A$11,1))))/(INDEX(Reference!$A$6:$A$11,MIN(5,MATCH(MAX(Reference!$A$6,MIN(Reference!$A$11,MIN($U94,180))),Reference!$A$6:$A$11,1))+1)-INDEX(Reference!$A$6:$A$11,MIN(5,MATCH(MAX(Reference!$A$6,MIN(Reference!$A$11,MIN($U94,180))),Reference!$A$6:$A$11,1))))),0)+IF(5&lt;=$AL94,($AL94-5+3)*(INDEX(Reference!$B$6:$B$11,MIN(5,MATCH(MAX(Reference!$A$6,MIN(Reference!$A$11,MIN($U94,210))),Reference!$A$6:$A$11,1)))+(MAX(Reference!$A$6,MIN(Reference!$A$11,MIN($U94,210)))-INDEX(Reference!$A$6:$A$11,MIN(5,MATCH(MAX(Reference!$A$6,MIN(Reference!$A$11,MIN($U94,210))),Reference!$A$6:$A$11,1))))*(INDEX(Reference!$B$6:$B$11,MIN(5,MATCH(MAX(Reference!$A$6,MIN(Reference!$A$11,MIN($U94,210))),Reference!$A$6:$A$11,1))+1)-INDEX(Reference!$B$6:$B$11,MIN(5,MATCH(MAX(Reference!$A$6,MIN(Reference!$A$11,MIN($U94,210))),Reference!$A$6:$A$11,1))))/(INDEX(Reference!$A$6:$A$11,MIN(5,MATCH(MAX(Reference!$A$6,MIN(Reference!$A$11,MIN($U94,210))),Reference!$A$6:$A$11,1))+1)-INDEX(Reference!$A$6:$A$11,MIN(5,MATCH(MAX(Reference!$A$6,MIN(Reference!$A$11,MIN($U94,210))),Reference!$A$6:$A$11,1))))),0)+IF(6&lt;=$AL94,($AL94-6+3)*(INDEX(Reference!$B$6:$B$11,MIN(5,MATCH(MAX(Reference!$A$6,MIN(Reference!$A$11,MIN($U94,240))),Reference!$A$6:$A$11,1)))+(MAX(Reference!$A$6,MIN(Reference!$A$11,MIN($U94,240)))-INDEX(Reference!$A$6:$A$11,MIN(5,MATCH(MAX(Reference!$A$6,MIN(Reference!$A$11,MIN($U94,240))),Reference!$A$6:$A$11,1))))*(INDEX(Reference!$B$6:$B$11,MIN(5,MATCH(MAX(Reference!$A$6,MIN(Reference!$A$11,MIN($U94,240))),Reference!$A$6:$A$11,1))+1)-INDEX(Reference!$B$6:$B$11,MIN(5,MATCH(MAX(Reference!$A$6,MIN(Reference!$A$11,MIN($U94,240))),Reference!$A$6:$A$11,1))))/(INDEX(Reference!$A$6:$A$11,MIN(5,MATCH(MAX(Reference!$A$6,MIN(Reference!$A$11,MIN($U94,240))),Reference!$A$6:$A$11,1))+1)-INDEX(Reference!$A$6:$A$11,MIN(5,MATCH(MAX(Reference!$A$6,MIN(Reference!$A$11,MIN($U94,240))),Reference!$A$6:$A$11,1))))),0)+IF(7&lt;=$AL94,($AL94-7+3)*(INDEX(Reference!$B$6:$B$11,MIN(5,MATCH(MAX(Reference!$A$6,MIN(Reference!$A$11,MIN($U94,270))),Reference!$A$6:$A$11,1)))+(MAX(Reference!$A$6,MIN(Reference!$A$11,MIN($U94,270)))-INDEX(Reference!$A$6:$A$11,MIN(5,MATCH(MAX(Reference!$A$6,MIN(Reference!$A$11,MIN($U94,270))),Reference!$A$6:$A$11,1))))*(INDEX(Reference!$B$6:$B$11,MIN(5,MATCH(MAX(Reference!$A$6,MIN(Reference!$A$11,MIN($U94,270))),Reference!$A$6:$A$11,1))+1)-INDEX(Reference!$B$6:$B$11,MIN(5,MATCH(MAX(Reference!$A$6,MIN(Reference!$A$11,MIN($U94,270))),Reference!$A$6:$A$11,1))))/(INDEX(Reference!$A$6:$A$11,MIN(5,MATCH(MAX(Reference!$A$6,MIN(Reference!$A$11,MIN($U94,270))),Reference!$A$6:$A$11,1))+1)-INDEX(Reference!$A$6:$A$11,MIN(5,MATCH(MAX(Reference!$A$6,MIN(Reference!$A$11,MIN($U94,270))),Reference!$A$6:$A$11,1))))),0)+IF(8&lt;=$AL94,($AL94-8+3)*(INDEX(Reference!$B$6:$B$11,MIN(5,MATCH(MAX(Reference!$A$6,MIN(Reference!$A$11,MIN($U94,300))),Reference!$A$6:$A$11,1)))+(MAX(Reference!$A$6,MIN(Reference!$A$11,MIN($U94,300)))-INDEX(Reference!$A$6:$A$11,MIN(5,MATCH(MAX(Reference!$A$6,MIN(Reference!$A$11,MIN($U94,300))),Reference!$A$6:$A$11,1))))*(INDEX(Reference!$B$6:$B$11,MIN(5,MATCH(MAX(Reference!$A$6,MIN(Reference!$A$11,MIN($U94,300))),Reference!$A$6:$A$11,1))+1)-INDEX(Reference!$B$6:$B$11,MIN(5,MATCH(MAX(Reference!$A$6,MIN(Reference!$A$11,MIN($U94,300))),Reference!$A$6:$A$11,1))))/(INDEX(Reference!$A$6:$A$11,MIN(5,MATCH(MAX(Reference!$A$6,MIN(Reference!$A$11,MIN($U94,300))),Reference!$A$6:$A$11,1))+1)-INDEX(Reference!$A$6:$A$11,MIN(5,MATCH(MAX(Reference!$A$6,MIN(Reference!$A$11,MIN($U94,300))),Reference!$A$6:$A$11,1))))),0))/($AL94*($AL94+5)/2)),$AN94))</f>
        <v>0</v>
      </c>
      <c r="AN94" s="32">
        <f>IF($U94="",0,(INDEX(Reference!$B$6:$B$11,MIN(5,MATCH(MAX(Reference!$A$6,MIN(Reference!$A$11,$U94)),Reference!$A$6:$A$11,1)))+(MAX(Reference!$A$6,MIN(Reference!$A$11,$U94))-INDEX(Reference!$A$6:$A$11,MIN(5,MATCH(MAX(Reference!$A$6,MIN(Reference!$A$11,$U94)),Reference!$A$6:$A$11,1))))*(INDEX(Reference!$B$6:$B$11,MIN(5,MATCH(MAX(Reference!$A$6,MIN(Reference!$A$11,$U94)),Reference!$A$6:$A$11,1))+1)-INDEX(Reference!$B$6:$B$11,MIN(5,MATCH(MAX(Reference!$A$6,MIN(Reference!$A$11,$U94)),Reference!$A$6:$A$11,1))))/(INDEX(Reference!$A$6:$A$11,MIN(5,MATCH(MAX(Reference!$A$6,MIN(Reference!$A$11,$U94)),Reference!$A$6:$A$11,1))+1)-INDEX(Reference!$A$6:$A$11,MIN(5,MATCH(MAX(Reference!$A$6,MIN(Reference!$A$11,$U94)),Reference!$A$6:$A$11,1))))))</f>
        <v>0</v>
      </c>
      <c r="AO94" s="37"/>
      <c r="AP94" s="37"/>
      <c r="AQ94" s="37"/>
    </row>
    <row r="95" spans="1:43" x14ac:dyDescent="0.3">
      <c r="A95" s="48">
        <f t="shared" si="30"/>
        <v>46359</v>
      </c>
      <c r="B95" s="32" t="str">
        <f t="shared" si="31"/>
        <v>Thu</v>
      </c>
      <c r="C95" s="32">
        <f t="shared" si="32"/>
        <v>32</v>
      </c>
      <c r="D95" s="32" t="str">
        <f t="shared" si="33"/>
        <v>Flat Ground / Intent</v>
      </c>
      <c r="E95" s="32" t="str">
        <f t="shared" si="34"/>
        <v>High Non-Bullpen</v>
      </c>
      <c r="F95" s="32" t="str">
        <f t="shared" si="35"/>
        <v>Compression/Pulldowns</v>
      </c>
      <c r="G95" s="47" t="str">
        <f t="shared" si="36"/>
        <v>90 ft × 20 @ 82–84 mph + flat ground at 60 ft × 20 @ 82–84 mph</v>
      </c>
      <c r="H95" s="30">
        <f t="shared" si="37"/>
        <v>46</v>
      </c>
      <c r="I95" s="46">
        <f>IF($A95="","",IF(AND($L95&lt;27,$K$12=0),"Building",IFERROR(((SUM($H$89:$H95)+$K$12*IF($L95&lt;6,SUMIFS('Throw Log'!$Q$5:$Q$300,'Throw Log'!$B$5:$B$300,$D$4,'Throw Log'!$A$5:$A$300,"&gt;="&amp;($D$6+$L95-6),'Throw Log'!$A$5:$A$300,"&lt;="&amp;($D$6-1)),0))/7)/((SUM($H$68:$H95)+$K$12*IF($L95&lt;27,SUMIFS('Throw Log'!$Q$5:$Q$300,'Throw Log'!$B$5:$B$300,$D$4,'Throw Log'!$A$5:$A$300,"&gt;="&amp;($D$6+$L95-27),'Throw Log'!$A$5:$A$300,"&lt;="&amp;($D$6-1)),0))/28),"")))</f>
        <v>1.1847216941326399</v>
      </c>
      <c r="J95" s="37"/>
      <c r="K95" s="37"/>
      <c r="L95" s="32">
        <v>52</v>
      </c>
      <c r="M95" s="32">
        <f t="shared" si="38"/>
        <v>8</v>
      </c>
      <c r="N95" s="32">
        <f t="shared" si="39"/>
        <v>3</v>
      </c>
      <c r="O95" s="32">
        <f t="shared" si="40"/>
        <v>0.68421052631578949</v>
      </c>
      <c r="P95" s="32">
        <f>IF(OR($A95="",N($C95)&lt;=7),"",$G$6*$G$9^($M95-1)*IF(AND(MOD($M95,Reference!$B$99)=0,$M95&lt;=$G$5-2),Reference!$B$100,1))</f>
        <v>155.17696923220939</v>
      </c>
      <c r="Q95" s="32">
        <f>IF($P95="","",IF(SUM($AK$92:$AK$98)=0,0,$P95*INDEX(Reference!$B$108:$B$114,$N95+1)/SUM($AK$92:$AK$98)))</f>
        <v>34.806049173579673</v>
      </c>
      <c r="R95" s="32">
        <f t="shared" si="41"/>
        <v>165</v>
      </c>
      <c r="S95" s="32">
        <f t="shared" si="42"/>
        <v>150</v>
      </c>
      <c r="T95" s="32" t="str">
        <f>IF($A95="","",IF($C95=0,"Bullpen",IF(OR($C95=7,$C95=1,$C95=5),"Recovery/Easy Catch",IF($C95=6,"Compression/Pulldowns",IF(OR($C95=4,$C95=2),"Long Toss",IF($C95=3,"No Throw",IF($N95=2,"No Throw",IF($N95=6,IF($O95&lt;Reference!$B$104,"No Throw","Recovery/Easy Catch"),IF(OR($N95=0,$N95=4),"Recovery/Easy Catch",IF($N95=1,IF($R95&gt;75,"Long Toss","Recovery/Easy Catch"),IF($N95=3,IF($O95&lt;0.5,IF($S95&gt;75,"Long Toss","Recovery/Easy Catch"),"Compression/Pulldowns"),IF($S95&gt;75,"Long Toss","Recovery/Easy Catch"))))))))))))</f>
        <v>Compression/Pulldowns</v>
      </c>
      <c r="U95" s="32">
        <f t="shared" si="43"/>
        <v>90</v>
      </c>
      <c r="V95" s="32">
        <f t="shared" si="44"/>
        <v>7</v>
      </c>
      <c r="W95" s="32">
        <f t="shared" si="45"/>
        <v>9</v>
      </c>
      <c r="X95" s="32">
        <f t="shared" si="46"/>
        <v>20</v>
      </c>
      <c r="Y95" s="32">
        <f t="shared" si="47"/>
        <v>7</v>
      </c>
      <c r="Z95" s="32">
        <f t="shared" si="48"/>
        <v>9</v>
      </c>
      <c r="AA95" s="32" t="str">
        <f t="shared" si="49"/>
        <v/>
      </c>
      <c r="AB95" s="32">
        <f>IF($A95="","",IF($T95="No Throw",0,IF($K95&lt;&gt;"",$K95,IF($AA95&lt;&gt;"",ROUND($AA95*$D$12*IF($C95=0,1,$G$10),0),MIN(IF($T95="Recovery/Easy Catch",Reference!$B$103,IF($T95="Long Toss",Reference!$B$106,Reference!$B$102)),MAX(Reference!$B$101,ROUND(MAX(0,$Q95-$AE95)/$AF95,0)))))))</f>
        <v>20</v>
      </c>
      <c r="AC95" s="32">
        <f t="shared" si="50"/>
        <v>0</v>
      </c>
      <c r="AD95" s="32" t="b">
        <f t="shared" si="51"/>
        <v>0</v>
      </c>
      <c r="AE95" s="32">
        <f>IF($X95=0,0,$X95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95+$Z95)/2,0),Reference!$A$17:$B$20,2,TRUE()))</f>
        <v>20</v>
      </c>
      <c r="AF95" s="32">
        <f>IF(OR($A95="",$U95="",$T95="No Throw"),0,$AM95*VLOOKUP(MAX(($V95+$W95)/2,0),Reference!$A$17:$B$20,2,TRUE()))</f>
        <v>1.3</v>
      </c>
      <c r="AG95" s="32">
        <f>IF($AC95=0,0,$AC95*INDEX(Reference!$B$61:$B$62,MATCH("Bullpen",Reference!$A$61:$A$62,0))*VLOOKUP(MAX($D$5-($D$9+$E$9)/2,0),Reference!$A$17:$B$20,2,TRUE()))</f>
        <v>0</v>
      </c>
      <c r="AH95" s="46">
        <f t="shared" si="52"/>
        <v>1.1847216941326399</v>
      </c>
      <c r="AI95" s="32">
        <f>IF($A95="",NA(),Reference!$A$25)</f>
        <v>0.8</v>
      </c>
      <c r="AJ95" s="32">
        <f t="shared" si="53"/>
        <v>1.3</v>
      </c>
      <c r="AK95" s="56">
        <f>IF(OR($A95="",N($C95)&lt;=7,$T95="No Throw",$J95="x"),0,INDEX(Reference!$B$108:$B$114,$N95+1))</f>
        <v>0.24</v>
      </c>
      <c r="AL95" s="32">
        <f t="shared" si="54"/>
        <v>1</v>
      </c>
      <c r="AM95" s="32">
        <f>IF($U95="",0,IF($AL95&gt;1,((IF(1&lt;=$AL95,($AL95-1+3)*(INDEX(Reference!$B$6:$B$11,MIN(5,MATCH(MAX(Reference!$A$6,MIN(Reference!$A$11,MIN($U95,90))),Reference!$A$6:$A$11,1)))+(MAX(Reference!$A$6,MIN(Reference!$A$11,MIN($U95,90)))-INDEX(Reference!$A$6:$A$11,MIN(5,MATCH(MAX(Reference!$A$6,MIN(Reference!$A$11,MIN($U95,90))),Reference!$A$6:$A$11,1))))*(INDEX(Reference!$B$6:$B$11,MIN(5,MATCH(MAX(Reference!$A$6,MIN(Reference!$A$11,MIN($U95,90))),Reference!$A$6:$A$11,1))+1)-INDEX(Reference!$B$6:$B$11,MIN(5,MATCH(MAX(Reference!$A$6,MIN(Reference!$A$11,MIN($U95,90))),Reference!$A$6:$A$11,1))))/(INDEX(Reference!$A$6:$A$11,MIN(5,MATCH(MAX(Reference!$A$6,MIN(Reference!$A$11,MIN($U95,90))),Reference!$A$6:$A$11,1))+1)-INDEX(Reference!$A$6:$A$11,MIN(5,MATCH(MAX(Reference!$A$6,MIN(Reference!$A$11,MIN($U95,90))),Reference!$A$6:$A$11,1))))),0)+IF(2&lt;=$AL95,($AL95-2+3)*(INDEX(Reference!$B$6:$B$11,MIN(5,MATCH(MAX(Reference!$A$6,MIN(Reference!$A$11,MIN($U95,120))),Reference!$A$6:$A$11,1)))+(MAX(Reference!$A$6,MIN(Reference!$A$11,MIN($U95,120)))-INDEX(Reference!$A$6:$A$11,MIN(5,MATCH(MAX(Reference!$A$6,MIN(Reference!$A$11,MIN($U95,120))),Reference!$A$6:$A$11,1))))*(INDEX(Reference!$B$6:$B$11,MIN(5,MATCH(MAX(Reference!$A$6,MIN(Reference!$A$11,MIN($U95,120))),Reference!$A$6:$A$11,1))+1)-INDEX(Reference!$B$6:$B$11,MIN(5,MATCH(MAX(Reference!$A$6,MIN(Reference!$A$11,MIN($U95,120))),Reference!$A$6:$A$11,1))))/(INDEX(Reference!$A$6:$A$11,MIN(5,MATCH(MAX(Reference!$A$6,MIN(Reference!$A$11,MIN($U95,120))),Reference!$A$6:$A$11,1))+1)-INDEX(Reference!$A$6:$A$11,MIN(5,MATCH(MAX(Reference!$A$6,MIN(Reference!$A$11,MIN($U95,120))),Reference!$A$6:$A$11,1))))),0)+IF(3&lt;=$AL95,($AL95-3+3)*(INDEX(Reference!$B$6:$B$11,MIN(5,MATCH(MAX(Reference!$A$6,MIN(Reference!$A$11,MIN($U95,150))),Reference!$A$6:$A$11,1)))+(MAX(Reference!$A$6,MIN(Reference!$A$11,MIN($U95,150)))-INDEX(Reference!$A$6:$A$11,MIN(5,MATCH(MAX(Reference!$A$6,MIN(Reference!$A$11,MIN($U95,150))),Reference!$A$6:$A$11,1))))*(INDEX(Reference!$B$6:$B$11,MIN(5,MATCH(MAX(Reference!$A$6,MIN(Reference!$A$11,MIN($U95,150))),Reference!$A$6:$A$11,1))+1)-INDEX(Reference!$B$6:$B$11,MIN(5,MATCH(MAX(Reference!$A$6,MIN(Reference!$A$11,MIN($U95,150))),Reference!$A$6:$A$11,1))))/(INDEX(Reference!$A$6:$A$11,MIN(5,MATCH(MAX(Reference!$A$6,MIN(Reference!$A$11,MIN($U95,150))),Reference!$A$6:$A$11,1))+1)-INDEX(Reference!$A$6:$A$11,MIN(5,MATCH(MAX(Reference!$A$6,MIN(Reference!$A$11,MIN($U95,150))),Reference!$A$6:$A$11,1))))),0)+IF(4&lt;=$AL95,($AL95-4+3)*(INDEX(Reference!$B$6:$B$11,MIN(5,MATCH(MAX(Reference!$A$6,MIN(Reference!$A$11,MIN($U95,180))),Reference!$A$6:$A$11,1)))+(MAX(Reference!$A$6,MIN(Reference!$A$11,MIN($U95,180)))-INDEX(Reference!$A$6:$A$11,MIN(5,MATCH(MAX(Reference!$A$6,MIN(Reference!$A$11,MIN($U95,180))),Reference!$A$6:$A$11,1))))*(INDEX(Reference!$B$6:$B$11,MIN(5,MATCH(MAX(Reference!$A$6,MIN(Reference!$A$11,MIN($U95,180))),Reference!$A$6:$A$11,1))+1)-INDEX(Reference!$B$6:$B$11,MIN(5,MATCH(MAX(Reference!$A$6,MIN(Reference!$A$11,MIN($U95,180))),Reference!$A$6:$A$11,1))))/(INDEX(Reference!$A$6:$A$11,MIN(5,MATCH(MAX(Reference!$A$6,MIN(Reference!$A$11,MIN($U95,180))),Reference!$A$6:$A$11,1))+1)-INDEX(Reference!$A$6:$A$11,MIN(5,MATCH(MAX(Reference!$A$6,MIN(Reference!$A$11,MIN($U95,180))),Reference!$A$6:$A$11,1))))),0)+IF(5&lt;=$AL95,($AL95-5+3)*(INDEX(Reference!$B$6:$B$11,MIN(5,MATCH(MAX(Reference!$A$6,MIN(Reference!$A$11,MIN($U95,210))),Reference!$A$6:$A$11,1)))+(MAX(Reference!$A$6,MIN(Reference!$A$11,MIN($U95,210)))-INDEX(Reference!$A$6:$A$11,MIN(5,MATCH(MAX(Reference!$A$6,MIN(Reference!$A$11,MIN($U95,210))),Reference!$A$6:$A$11,1))))*(INDEX(Reference!$B$6:$B$11,MIN(5,MATCH(MAX(Reference!$A$6,MIN(Reference!$A$11,MIN($U95,210))),Reference!$A$6:$A$11,1))+1)-INDEX(Reference!$B$6:$B$11,MIN(5,MATCH(MAX(Reference!$A$6,MIN(Reference!$A$11,MIN($U95,210))),Reference!$A$6:$A$11,1))))/(INDEX(Reference!$A$6:$A$11,MIN(5,MATCH(MAX(Reference!$A$6,MIN(Reference!$A$11,MIN($U95,210))),Reference!$A$6:$A$11,1))+1)-INDEX(Reference!$A$6:$A$11,MIN(5,MATCH(MAX(Reference!$A$6,MIN(Reference!$A$11,MIN($U95,210))),Reference!$A$6:$A$11,1))))),0)+IF(6&lt;=$AL95,($AL95-6+3)*(INDEX(Reference!$B$6:$B$11,MIN(5,MATCH(MAX(Reference!$A$6,MIN(Reference!$A$11,MIN($U95,240))),Reference!$A$6:$A$11,1)))+(MAX(Reference!$A$6,MIN(Reference!$A$11,MIN($U95,240)))-INDEX(Reference!$A$6:$A$11,MIN(5,MATCH(MAX(Reference!$A$6,MIN(Reference!$A$11,MIN($U95,240))),Reference!$A$6:$A$11,1))))*(INDEX(Reference!$B$6:$B$11,MIN(5,MATCH(MAX(Reference!$A$6,MIN(Reference!$A$11,MIN($U95,240))),Reference!$A$6:$A$11,1))+1)-INDEX(Reference!$B$6:$B$11,MIN(5,MATCH(MAX(Reference!$A$6,MIN(Reference!$A$11,MIN($U95,240))),Reference!$A$6:$A$11,1))))/(INDEX(Reference!$A$6:$A$11,MIN(5,MATCH(MAX(Reference!$A$6,MIN(Reference!$A$11,MIN($U95,240))),Reference!$A$6:$A$11,1))+1)-INDEX(Reference!$A$6:$A$11,MIN(5,MATCH(MAX(Reference!$A$6,MIN(Reference!$A$11,MIN($U95,240))),Reference!$A$6:$A$11,1))))),0)+IF(7&lt;=$AL95,($AL95-7+3)*(INDEX(Reference!$B$6:$B$11,MIN(5,MATCH(MAX(Reference!$A$6,MIN(Reference!$A$11,MIN($U95,270))),Reference!$A$6:$A$11,1)))+(MAX(Reference!$A$6,MIN(Reference!$A$11,MIN($U95,270)))-INDEX(Reference!$A$6:$A$11,MIN(5,MATCH(MAX(Reference!$A$6,MIN(Reference!$A$11,MIN($U95,270))),Reference!$A$6:$A$11,1))))*(INDEX(Reference!$B$6:$B$11,MIN(5,MATCH(MAX(Reference!$A$6,MIN(Reference!$A$11,MIN($U95,270))),Reference!$A$6:$A$11,1))+1)-INDEX(Reference!$B$6:$B$11,MIN(5,MATCH(MAX(Reference!$A$6,MIN(Reference!$A$11,MIN($U95,270))),Reference!$A$6:$A$11,1))))/(INDEX(Reference!$A$6:$A$11,MIN(5,MATCH(MAX(Reference!$A$6,MIN(Reference!$A$11,MIN($U95,270))),Reference!$A$6:$A$11,1))+1)-INDEX(Reference!$A$6:$A$11,MIN(5,MATCH(MAX(Reference!$A$6,MIN(Reference!$A$11,MIN($U95,270))),Reference!$A$6:$A$11,1))))),0)+IF(8&lt;=$AL95,($AL95-8+3)*(INDEX(Reference!$B$6:$B$11,MIN(5,MATCH(MAX(Reference!$A$6,MIN(Reference!$A$11,MIN($U95,300))),Reference!$A$6:$A$11,1)))+(MAX(Reference!$A$6,MIN(Reference!$A$11,MIN($U95,300)))-INDEX(Reference!$A$6:$A$11,MIN(5,MATCH(MAX(Reference!$A$6,MIN(Reference!$A$11,MIN($U95,300))),Reference!$A$6:$A$11,1))))*(INDEX(Reference!$B$6:$B$11,MIN(5,MATCH(MAX(Reference!$A$6,MIN(Reference!$A$11,MIN($U95,300))),Reference!$A$6:$A$11,1))+1)-INDEX(Reference!$B$6:$B$11,MIN(5,MATCH(MAX(Reference!$A$6,MIN(Reference!$A$11,MIN($U95,300))),Reference!$A$6:$A$11,1))))/(INDEX(Reference!$A$6:$A$11,MIN(5,MATCH(MAX(Reference!$A$6,MIN(Reference!$A$11,MIN($U95,300))),Reference!$A$6:$A$11,1))+1)-INDEX(Reference!$A$6:$A$11,MIN(5,MATCH(MAX(Reference!$A$6,MIN(Reference!$A$11,MIN($U95,300))),Reference!$A$6:$A$11,1))))),0))/($AL95*($AL95+5)/2)),$AN95))</f>
        <v>1.3</v>
      </c>
      <c r="AN95" s="32">
        <f>IF($U95="",0,(INDEX(Reference!$B$6:$B$11,MIN(5,MATCH(MAX(Reference!$A$6,MIN(Reference!$A$11,$U95)),Reference!$A$6:$A$11,1)))+(MAX(Reference!$A$6,MIN(Reference!$A$11,$U95))-INDEX(Reference!$A$6:$A$11,MIN(5,MATCH(MAX(Reference!$A$6,MIN(Reference!$A$11,$U95)),Reference!$A$6:$A$11,1))))*(INDEX(Reference!$B$6:$B$11,MIN(5,MATCH(MAX(Reference!$A$6,MIN(Reference!$A$11,$U95)),Reference!$A$6:$A$11,1))+1)-INDEX(Reference!$B$6:$B$11,MIN(5,MATCH(MAX(Reference!$A$6,MIN(Reference!$A$11,$U95)),Reference!$A$6:$A$11,1))))/(INDEX(Reference!$A$6:$A$11,MIN(5,MATCH(MAX(Reference!$A$6,MIN(Reference!$A$11,$U95)),Reference!$A$6:$A$11,1))+1)-INDEX(Reference!$A$6:$A$11,MIN(5,MATCH(MAX(Reference!$A$6,MIN(Reference!$A$11,$U95)),Reference!$A$6:$A$11,1))))))</f>
        <v>1.3</v>
      </c>
      <c r="AO95" s="37"/>
      <c r="AP95" s="37"/>
      <c r="AQ95" s="37"/>
    </row>
    <row r="96" spans="1:43" x14ac:dyDescent="0.3">
      <c r="A96" s="48">
        <f t="shared" si="30"/>
        <v>46360</v>
      </c>
      <c r="B96" s="32" t="str">
        <f t="shared" si="31"/>
        <v>Fri</v>
      </c>
      <c r="C96" s="32">
        <f t="shared" si="32"/>
        <v>31</v>
      </c>
      <c r="D96" s="32" t="str">
        <f t="shared" si="33"/>
        <v>Flat Ground / Intent</v>
      </c>
      <c r="E96" s="32" t="str">
        <f t="shared" si="34"/>
        <v>Low</v>
      </c>
      <c r="F96" s="32" t="str">
        <f t="shared" si="35"/>
        <v>Recovery/Easy Catch</v>
      </c>
      <c r="G96" s="47" t="str">
        <f t="shared" si="36"/>
        <v>75 ft × 21 @ 69–73 mph</v>
      </c>
      <c r="H96" s="30">
        <f t="shared" si="37"/>
        <v>14.489999999999998</v>
      </c>
      <c r="I96" s="46">
        <f>IF($A96="","",IF(AND($L96&lt;27,$K$12=0),"Building",IFERROR(((SUM($H$90:$H96)+$K$12*IF($L96&lt;6,SUMIFS('Throw Log'!$Q$5:$Q$300,'Throw Log'!$B$5:$B$300,$D$4,'Throw Log'!$A$5:$A$300,"&gt;="&amp;($D$6+$L96-6),'Throw Log'!$A$5:$A$300,"&lt;="&amp;($D$6-1)),0))/7)/((SUM($H$69:$H96)+$K$12*IF($L96&lt;27,SUMIFS('Throw Log'!$Q$5:$Q$300,'Throw Log'!$B$5:$B$300,$D$4,'Throw Log'!$A$5:$A$300,"&gt;="&amp;($D$6+$L96-27),'Throw Log'!$A$5:$A$300,"&lt;="&amp;($D$6-1)),0))/28),"")))</f>
        <v>1.1740999980290676</v>
      </c>
      <c r="J96" s="37"/>
      <c r="K96" s="37"/>
      <c r="L96" s="32">
        <v>53</v>
      </c>
      <c r="M96" s="32">
        <f t="shared" si="38"/>
        <v>8</v>
      </c>
      <c r="N96" s="32">
        <f t="shared" si="39"/>
        <v>4</v>
      </c>
      <c r="O96" s="32">
        <f t="shared" si="40"/>
        <v>0.69736842105263153</v>
      </c>
      <c r="P96" s="32">
        <f>IF(OR($A96="",N($C96)&lt;=7),"",$G$6*$G$9^($M96-1)*IF(AND(MOD($M96,Reference!$B$99)=0,$M96&lt;=$G$5-2),Reference!$B$100,1))</f>
        <v>155.17696923220939</v>
      </c>
      <c r="Q96" s="32">
        <f>IF($P96="","",IF(SUM($AK$92:$AK$98)=0,0,$P96*INDEX(Reference!$B$108:$B$114,$N96+1)/SUM($AK$92:$AK$98)))</f>
        <v>14.50252048899153</v>
      </c>
      <c r="R96" s="32">
        <f t="shared" si="41"/>
        <v>165</v>
      </c>
      <c r="S96" s="32">
        <f t="shared" si="42"/>
        <v>150</v>
      </c>
      <c r="T96" s="32" t="str">
        <f>IF($A96="","",IF($C96=0,"Bullpen",IF(OR($C96=7,$C96=1,$C96=5),"Recovery/Easy Catch",IF($C96=6,"Compression/Pulldowns",IF(OR($C96=4,$C96=2),"Long Toss",IF($C96=3,"No Throw",IF($N96=2,"No Throw",IF($N96=6,IF($O96&lt;Reference!$B$104,"No Throw","Recovery/Easy Catch"),IF(OR($N96=0,$N96=4),"Recovery/Easy Catch",IF($N96=1,IF($R96&gt;75,"Long Toss","Recovery/Easy Catch"),IF($N96=3,IF($O96&lt;0.5,IF($S96&gt;75,"Long Toss","Recovery/Easy Catch"),"Compression/Pulldowns"),IF($S96&gt;75,"Long Toss","Recovery/Easy Catch"))))))))))))</f>
        <v>Recovery/Easy Catch</v>
      </c>
      <c r="U96" s="32">
        <f t="shared" si="43"/>
        <v>75</v>
      </c>
      <c r="V96" s="32">
        <f t="shared" si="44"/>
        <v>18</v>
      </c>
      <c r="W96" s="32">
        <f t="shared" si="45"/>
        <v>22</v>
      </c>
      <c r="X96" s="32">
        <f t="shared" si="46"/>
        <v>0</v>
      </c>
      <c r="Y96" s="32" t="str">
        <f t="shared" si="47"/>
        <v/>
      </c>
      <c r="Z96" s="32" t="str">
        <f t="shared" si="48"/>
        <v/>
      </c>
      <c r="AA96" s="32" t="str">
        <f t="shared" si="49"/>
        <v/>
      </c>
      <c r="AB96" s="32">
        <f>IF($A96="","",IF($T96="No Throw",0,IF($K96&lt;&gt;"",$K96,IF($AA96&lt;&gt;"",ROUND($AA96*$D$12*IF($C96=0,1,$G$10),0),MIN(IF($T96="Recovery/Easy Catch",Reference!$B$103,IF($T96="Long Toss",Reference!$B$106,Reference!$B$102)),MAX(Reference!$B$101,ROUND(MAX(0,$Q96-$AE96)/$AF96,0)))))))</f>
        <v>21</v>
      </c>
      <c r="AC96" s="32">
        <f t="shared" si="50"/>
        <v>0</v>
      </c>
      <c r="AD96" s="32" t="b">
        <f t="shared" si="51"/>
        <v>0</v>
      </c>
      <c r="AE96" s="32">
        <f>IF($X96=0,0,$X96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96+$Z96)/2,0),Reference!$A$17:$B$20,2,TRUE()))</f>
        <v>0</v>
      </c>
      <c r="AF96" s="32">
        <f>IF(OR($A96="",$U96="",$T96="No Throw"),0,$AM96*VLOOKUP(MAX(($V96+$W96)/2,0),Reference!$A$17:$B$20,2,TRUE()))</f>
        <v>0.69</v>
      </c>
      <c r="AG96" s="32">
        <f>IF($AC96=0,0,$AC96*INDEX(Reference!$B$61:$B$62,MATCH("Bullpen",Reference!$A$61:$A$62,0))*VLOOKUP(MAX($D$5-($D$9+$E$9)/2,0),Reference!$A$17:$B$20,2,TRUE()))</f>
        <v>0</v>
      </c>
      <c r="AH96" s="46">
        <f t="shared" si="52"/>
        <v>1.1740999980290676</v>
      </c>
      <c r="AI96" s="32">
        <f>IF($A96="",NA(),Reference!$A$25)</f>
        <v>0.8</v>
      </c>
      <c r="AJ96" s="32">
        <f t="shared" si="53"/>
        <v>1.3</v>
      </c>
      <c r="AK96" s="56">
        <f>IF(OR($A96="",N($C96)&lt;=7,$T96="No Throw",$J96="x"),0,INDEX(Reference!$B$108:$B$114,$N96+1))</f>
        <v>0.1</v>
      </c>
      <c r="AL96" s="32">
        <f t="shared" si="54"/>
        <v>1</v>
      </c>
      <c r="AM96" s="32">
        <f>IF($U96="",0,IF($AL96&gt;1,((IF(1&lt;=$AL96,($AL96-1+3)*(INDEX(Reference!$B$6:$B$11,MIN(5,MATCH(MAX(Reference!$A$6,MIN(Reference!$A$11,MIN($U96,90))),Reference!$A$6:$A$11,1)))+(MAX(Reference!$A$6,MIN(Reference!$A$11,MIN($U96,90)))-INDEX(Reference!$A$6:$A$11,MIN(5,MATCH(MAX(Reference!$A$6,MIN(Reference!$A$11,MIN($U96,90))),Reference!$A$6:$A$11,1))))*(INDEX(Reference!$B$6:$B$11,MIN(5,MATCH(MAX(Reference!$A$6,MIN(Reference!$A$11,MIN($U96,90))),Reference!$A$6:$A$11,1))+1)-INDEX(Reference!$B$6:$B$11,MIN(5,MATCH(MAX(Reference!$A$6,MIN(Reference!$A$11,MIN($U96,90))),Reference!$A$6:$A$11,1))))/(INDEX(Reference!$A$6:$A$11,MIN(5,MATCH(MAX(Reference!$A$6,MIN(Reference!$A$11,MIN($U96,90))),Reference!$A$6:$A$11,1))+1)-INDEX(Reference!$A$6:$A$11,MIN(5,MATCH(MAX(Reference!$A$6,MIN(Reference!$A$11,MIN($U96,90))),Reference!$A$6:$A$11,1))))),0)+IF(2&lt;=$AL96,($AL96-2+3)*(INDEX(Reference!$B$6:$B$11,MIN(5,MATCH(MAX(Reference!$A$6,MIN(Reference!$A$11,MIN($U96,120))),Reference!$A$6:$A$11,1)))+(MAX(Reference!$A$6,MIN(Reference!$A$11,MIN($U96,120)))-INDEX(Reference!$A$6:$A$11,MIN(5,MATCH(MAX(Reference!$A$6,MIN(Reference!$A$11,MIN($U96,120))),Reference!$A$6:$A$11,1))))*(INDEX(Reference!$B$6:$B$11,MIN(5,MATCH(MAX(Reference!$A$6,MIN(Reference!$A$11,MIN($U96,120))),Reference!$A$6:$A$11,1))+1)-INDEX(Reference!$B$6:$B$11,MIN(5,MATCH(MAX(Reference!$A$6,MIN(Reference!$A$11,MIN($U96,120))),Reference!$A$6:$A$11,1))))/(INDEX(Reference!$A$6:$A$11,MIN(5,MATCH(MAX(Reference!$A$6,MIN(Reference!$A$11,MIN($U96,120))),Reference!$A$6:$A$11,1))+1)-INDEX(Reference!$A$6:$A$11,MIN(5,MATCH(MAX(Reference!$A$6,MIN(Reference!$A$11,MIN($U96,120))),Reference!$A$6:$A$11,1))))),0)+IF(3&lt;=$AL96,($AL96-3+3)*(INDEX(Reference!$B$6:$B$11,MIN(5,MATCH(MAX(Reference!$A$6,MIN(Reference!$A$11,MIN($U96,150))),Reference!$A$6:$A$11,1)))+(MAX(Reference!$A$6,MIN(Reference!$A$11,MIN($U96,150)))-INDEX(Reference!$A$6:$A$11,MIN(5,MATCH(MAX(Reference!$A$6,MIN(Reference!$A$11,MIN($U96,150))),Reference!$A$6:$A$11,1))))*(INDEX(Reference!$B$6:$B$11,MIN(5,MATCH(MAX(Reference!$A$6,MIN(Reference!$A$11,MIN($U96,150))),Reference!$A$6:$A$11,1))+1)-INDEX(Reference!$B$6:$B$11,MIN(5,MATCH(MAX(Reference!$A$6,MIN(Reference!$A$11,MIN($U96,150))),Reference!$A$6:$A$11,1))))/(INDEX(Reference!$A$6:$A$11,MIN(5,MATCH(MAX(Reference!$A$6,MIN(Reference!$A$11,MIN($U96,150))),Reference!$A$6:$A$11,1))+1)-INDEX(Reference!$A$6:$A$11,MIN(5,MATCH(MAX(Reference!$A$6,MIN(Reference!$A$11,MIN($U96,150))),Reference!$A$6:$A$11,1))))),0)+IF(4&lt;=$AL96,($AL96-4+3)*(INDEX(Reference!$B$6:$B$11,MIN(5,MATCH(MAX(Reference!$A$6,MIN(Reference!$A$11,MIN($U96,180))),Reference!$A$6:$A$11,1)))+(MAX(Reference!$A$6,MIN(Reference!$A$11,MIN($U96,180)))-INDEX(Reference!$A$6:$A$11,MIN(5,MATCH(MAX(Reference!$A$6,MIN(Reference!$A$11,MIN($U96,180))),Reference!$A$6:$A$11,1))))*(INDEX(Reference!$B$6:$B$11,MIN(5,MATCH(MAX(Reference!$A$6,MIN(Reference!$A$11,MIN($U96,180))),Reference!$A$6:$A$11,1))+1)-INDEX(Reference!$B$6:$B$11,MIN(5,MATCH(MAX(Reference!$A$6,MIN(Reference!$A$11,MIN($U96,180))),Reference!$A$6:$A$11,1))))/(INDEX(Reference!$A$6:$A$11,MIN(5,MATCH(MAX(Reference!$A$6,MIN(Reference!$A$11,MIN($U96,180))),Reference!$A$6:$A$11,1))+1)-INDEX(Reference!$A$6:$A$11,MIN(5,MATCH(MAX(Reference!$A$6,MIN(Reference!$A$11,MIN($U96,180))),Reference!$A$6:$A$11,1))))),0)+IF(5&lt;=$AL96,($AL96-5+3)*(INDEX(Reference!$B$6:$B$11,MIN(5,MATCH(MAX(Reference!$A$6,MIN(Reference!$A$11,MIN($U96,210))),Reference!$A$6:$A$11,1)))+(MAX(Reference!$A$6,MIN(Reference!$A$11,MIN($U96,210)))-INDEX(Reference!$A$6:$A$11,MIN(5,MATCH(MAX(Reference!$A$6,MIN(Reference!$A$11,MIN($U96,210))),Reference!$A$6:$A$11,1))))*(INDEX(Reference!$B$6:$B$11,MIN(5,MATCH(MAX(Reference!$A$6,MIN(Reference!$A$11,MIN($U96,210))),Reference!$A$6:$A$11,1))+1)-INDEX(Reference!$B$6:$B$11,MIN(5,MATCH(MAX(Reference!$A$6,MIN(Reference!$A$11,MIN($U96,210))),Reference!$A$6:$A$11,1))))/(INDEX(Reference!$A$6:$A$11,MIN(5,MATCH(MAX(Reference!$A$6,MIN(Reference!$A$11,MIN($U96,210))),Reference!$A$6:$A$11,1))+1)-INDEX(Reference!$A$6:$A$11,MIN(5,MATCH(MAX(Reference!$A$6,MIN(Reference!$A$11,MIN($U96,210))),Reference!$A$6:$A$11,1))))),0)+IF(6&lt;=$AL96,($AL96-6+3)*(INDEX(Reference!$B$6:$B$11,MIN(5,MATCH(MAX(Reference!$A$6,MIN(Reference!$A$11,MIN($U96,240))),Reference!$A$6:$A$11,1)))+(MAX(Reference!$A$6,MIN(Reference!$A$11,MIN($U96,240)))-INDEX(Reference!$A$6:$A$11,MIN(5,MATCH(MAX(Reference!$A$6,MIN(Reference!$A$11,MIN($U96,240))),Reference!$A$6:$A$11,1))))*(INDEX(Reference!$B$6:$B$11,MIN(5,MATCH(MAX(Reference!$A$6,MIN(Reference!$A$11,MIN($U96,240))),Reference!$A$6:$A$11,1))+1)-INDEX(Reference!$B$6:$B$11,MIN(5,MATCH(MAX(Reference!$A$6,MIN(Reference!$A$11,MIN($U96,240))),Reference!$A$6:$A$11,1))))/(INDEX(Reference!$A$6:$A$11,MIN(5,MATCH(MAX(Reference!$A$6,MIN(Reference!$A$11,MIN($U96,240))),Reference!$A$6:$A$11,1))+1)-INDEX(Reference!$A$6:$A$11,MIN(5,MATCH(MAX(Reference!$A$6,MIN(Reference!$A$11,MIN($U96,240))),Reference!$A$6:$A$11,1))))),0)+IF(7&lt;=$AL96,($AL96-7+3)*(INDEX(Reference!$B$6:$B$11,MIN(5,MATCH(MAX(Reference!$A$6,MIN(Reference!$A$11,MIN($U96,270))),Reference!$A$6:$A$11,1)))+(MAX(Reference!$A$6,MIN(Reference!$A$11,MIN($U96,270)))-INDEX(Reference!$A$6:$A$11,MIN(5,MATCH(MAX(Reference!$A$6,MIN(Reference!$A$11,MIN($U96,270))),Reference!$A$6:$A$11,1))))*(INDEX(Reference!$B$6:$B$11,MIN(5,MATCH(MAX(Reference!$A$6,MIN(Reference!$A$11,MIN($U96,270))),Reference!$A$6:$A$11,1))+1)-INDEX(Reference!$B$6:$B$11,MIN(5,MATCH(MAX(Reference!$A$6,MIN(Reference!$A$11,MIN($U96,270))),Reference!$A$6:$A$11,1))))/(INDEX(Reference!$A$6:$A$11,MIN(5,MATCH(MAX(Reference!$A$6,MIN(Reference!$A$11,MIN($U96,270))),Reference!$A$6:$A$11,1))+1)-INDEX(Reference!$A$6:$A$11,MIN(5,MATCH(MAX(Reference!$A$6,MIN(Reference!$A$11,MIN($U96,270))),Reference!$A$6:$A$11,1))))),0)+IF(8&lt;=$AL96,($AL96-8+3)*(INDEX(Reference!$B$6:$B$11,MIN(5,MATCH(MAX(Reference!$A$6,MIN(Reference!$A$11,MIN($U96,300))),Reference!$A$6:$A$11,1)))+(MAX(Reference!$A$6,MIN(Reference!$A$11,MIN($U96,300)))-INDEX(Reference!$A$6:$A$11,MIN(5,MATCH(MAX(Reference!$A$6,MIN(Reference!$A$11,MIN($U96,300))),Reference!$A$6:$A$11,1))))*(INDEX(Reference!$B$6:$B$11,MIN(5,MATCH(MAX(Reference!$A$6,MIN(Reference!$A$11,MIN($U96,300))),Reference!$A$6:$A$11,1))+1)-INDEX(Reference!$B$6:$B$11,MIN(5,MATCH(MAX(Reference!$A$6,MIN(Reference!$A$11,MIN($U96,300))),Reference!$A$6:$A$11,1))))/(INDEX(Reference!$A$6:$A$11,MIN(5,MATCH(MAX(Reference!$A$6,MIN(Reference!$A$11,MIN($U96,300))),Reference!$A$6:$A$11,1))+1)-INDEX(Reference!$A$6:$A$11,MIN(5,MATCH(MAX(Reference!$A$6,MIN(Reference!$A$11,MIN($U96,300))),Reference!$A$6:$A$11,1))))),0))/($AL96*($AL96+5)/2)),$AN96))</f>
        <v>1.1499999999999999</v>
      </c>
      <c r="AN96" s="32">
        <f>IF($U96="",0,(INDEX(Reference!$B$6:$B$11,MIN(5,MATCH(MAX(Reference!$A$6,MIN(Reference!$A$11,$U96)),Reference!$A$6:$A$11,1)))+(MAX(Reference!$A$6,MIN(Reference!$A$11,$U96))-INDEX(Reference!$A$6:$A$11,MIN(5,MATCH(MAX(Reference!$A$6,MIN(Reference!$A$11,$U96)),Reference!$A$6:$A$11,1))))*(INDEX(Reference!$B$6:$B$11,MIN(5,MATCH(MAX(Reference!$A$6,MIN(Reference!$A$11,$U96)),Reference!$A$6:$A$11,1))+1)-INDEX(Reference!$B$6:$B$11,MIN(5,MATCH(MAX(Reference!$A$6,MIN(Reference!$A$11,$U96)),Reference!$A$6:$A$11,1))))/(INDEX(Reference!$A$6:$A$11,MIN(5,MATCH(MAX(Reference!$A$6,MIN(Reference!$A$11,$U96)),Reference!$A$6:$A$11,1))+1)-INDEX(Reference!$A$6:$A$11,MIN(5,MATCH(MAX(Reference!$A$6,MIN(Reference!$A$11,$U96)),Reference!$A$6:$A$11,1))))))</f>
        <v>1.1499999999999999</v>
      </c>
      <c r="AO96" s="37"/>
      <c r="AP96" s="37"/>
      <c r="AQ96" s="37"/>
    </row>
    <row r="97" spans="1:43" ht="26.4" x14ac:dyDescent="0.3">
      <c r="A97" s="48">
        <f t="shared" si="30"/>
        <v>46361</v>
      </c>
      <c r="B97" s="32" t="str">
        <f t="shared" si="31"/>
        <v>Sat</v>
      </c>
      <c r="C97" s="32">
        <f t="shared" si="32"/>
        <v>30</v>
      </c>
      <c r="D97" s="32" t="str">
        <f t="shared" si="33"/>
        <v>Flat Ground / Intent</v>
      </c>
      <c r="E97" s="32" t="str">
        <f t="shared" si="34"/>
        <v>High Non-Bullpen</v>
      </c>
      <c r="F97" s="32" t="str">
        <f t="shared" si="35"/>
        <v>Long Toss</v>
      </c>
      <c r="G97" s="47" t="str">
        <f t="shared" si="36"/>
        <v>Long toss out to 150 ft — 20 throws (90×8 · 120×7 · 150×5) @ 78–81 mph + flat ground at 60 ft × 20 @ 82–84 mph</v>
      </c>
      <c r="H97" s="30">
        <f t="shared" si="37"/>
        <v>39.9</v>
      </c>
      <c r="I97" s="46">
        <f>IF($A97="","",IF(AND($L97&lt;27,$K$12=0),"Building",IFERROR(((SUM($H$91:$H97)+$K$12*IF($L97&lt;6,SUMIFS('Throw Log'!$Q$5:$Q$300,'Throw Log'!$B$5:$B$300,$D$4,'Throw Log'!$A$5:$A$300,"&gt;="&amp;($D$6+$L97-6),'Throw Log'!$A$5:$A$300,"&lt;="&amp;($D$6-1)),0))/7)/((SUM($H$70:$H97)+$K$12*IF($L97&lt;27,SUMIFS('Throw Log'!$Q$5:$Q$300,'Throw Log'!$B$5:$B$300,$D$4,'Throw Log'!$A$5:$A$300,"&gt;="&amp;($D$6+$L97-27),'Throw Log'!$A$5:$A$300,"&lt;="&amp;($D$6-1)),0))/28),"")))</f>
        <v>1.2019672214713897</v>
      </c>
      <c r="J97" s="37"/>
      <c r="K97" s="37"/>
      <c r="L97" s="32">
        <v>54</v>
      </c>
      <c r="M97" s="32">
        <f t="shared" si="38"/>
        <v>8</v>
      </c>
      <c r="N97" s="32">
        <f t="shared" si="39"/>
        <v>5</v>
      </c>
      <c r="O97" s="32">
        <f t="shared" si="40"/>
        <v>0.71052631578947367</v>
      </c>
      <c r="P97" s="32">
        <f>IF(OR($A97="",N($C97)&lt;=7),"",$G$6*$G$9^($M97-1)*IF(AND(MOD($M97,Reference!$B$99)=0,$M97&lt;=$G$5-2),Reference!$B$100,1))</f>
        <v>155.17696923220939</v>
      </c>
      <c r="Q97" s="32">
        <f>IF($P97="","",IF(SUM($AK$92:$AK$98)=0,0,$P97*INDEX(Reference!$B$108:$B$114,$N97+1)/SUM($AK$92:$AK$98)))</f>
        <v>39.156805320277137</v>
      </c>
      <c r="R97" s="32">
        <f t="shared" si="41"/>
        <v>180</v>
      </c>
      <c r="S97" s="32">
        <f t="shared" si="42"/>
        <v>150</v>
      </c>
      <c r="T97" s="32" t="str">
        <f>IF($A97="","",IF($C97=0,"Bullpen",IF(OR($C97=7,$C97=1,$C97=5),"Recovery/Easy Catch",IF($C97=6,"Compression/Pulldowns",IF(OR($C97=4,$C97=2),"Long Toss",IF($C97=3,"No Throw",IF($N97=2,"No Throw",IF($N97=6,IF($O97&lt;Reference!$B$104,"No Throw","Recovery/Easy Catch"),IF(OR($N97=0,$N97=4),"Recovery/Easy Catch",IF($N97=1,IF($R97&gt;75,"Long Toss","Recovery/Easy Catch"),IF($N97=3,IF($O97&lt;0.5,IF($S97&gt;75,"Long Toss","Recovery/Easy Catch"),"Compression/Pulldowns"),IF($S97&gt;75,"Long Toss","Recovery/Easy Catch"))))))))))))</f>
        <v>Long Toss</v>
      </c>
      <c r="U97" s="32">
        <f t="shared" si="43"/>
        <v>150</v>
      </c>
      <c r="V97" s="32">
        <f t="shared" si="44"/>
        <v>10</v>
      </c>
      <c r="W97" s="32">
        <f t="shared" si="45"/>
        <v>13</v>
      </c>
      <c r="X97" s="32">
        <f t="shared" si="46"/>
        <v>20</v>
      </c>
      <c r="Y97" s="32">
        <f t="shared" si="47"/>
        <v>7</v>
      </c>
      <c r="Z97" s="32">
        <f t="shared" si="48"/>
        <v>9</v>
      </c>
      <c r="AA97" s="32" t="str">
        <f t="shared" si="49"/>
        <v/>
      </c>
      <c r="AB97" s="32">
        <f>IF($A97="","",IF($T97="No Throw",0,IF($K97&lt;&gt;"",$K97,IF($AA97&lt;&gt;"",ROUND($AA97*$D$12*IF($C97=0,1,$G$10),0),MIN(IF($T97="Recovery/Easy Catch",Reference!$B$103,IF($T97="Long Toss",Reference!$B$106,Reference!$B$102)),MAX(Reference!$B$101,ROUND(MAX(0,$Q97-$AE97)/$AF97,0)))))))</f>
        <v>20</v>
      </c>
      <c r="AC97" s="32">
        <f t="shared" si="50"/>
        <v>0</v>
      </c>
      <c r="AD97" s="32" t="b">
        <f t="shared" si="51"/>
        <v>0</v>
      </c>
      <c r="AE97" s="32">
        <f>IF($X97=0,0,$X97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97+$Z97)/2,0),Reference!$A$17:$B$20,2,TRUE()))</f>
        <v>20</v>
      </c>
      <c r="AF97" s="32">
        <f>IF(OR($A97="",$U97="",$T97="No Throw"),0,$AM97*VLOOKUP(MAX(($V97+$W97)/2,0),Reference!$A$17:$B$20,2,TRUE()))</f>
        <v>0.995</v>
      </c>
      <c r="AG97" s="32">
        <f>IF($AC97=0,0,$AC97*INDEX(Reference!$B$61:$B$62,MATCH("Bullpen",Reference!$A$61:$A$62,0))*VLOOKUP(MAX($D$5-($D$9+$E$9)/2,0),Reference!$A$17:$B$20,2,TRUE()))</f>
        <v>0</v>
      </c>
      <c r="AH97" s="46">
        <f t="shared" si="52"/>
        <v>1.2019672214713897</v>
      </c>
      <c r="AI97" s="32">
        <f>IF($A97="",NA(),Reference!$A$25)</f>
        <v>0.8</v>
      </c>
      <c r="AJ97" s="32">
        <f t="shared" si="53"/>
        <v>1.3</v>
      </c>
      <c r="AK97" s="56">
        <f>IF(OR($A97="",N($C97)&lt;=7,$T97="No Throw",$J97="x"),0,INDEX(Reference!$B$108:$B$114,$N97+1))</f>
        <v>0.27</v>
      </c>
      <c r="AL97" s="32">
        <f t="shared" si="54"/>
        <v>3</v>
      </c>
      <c r="AM97" s="32">
        <f>IF($U97="",0,IF($AL97&gt;1,((IF(1&lt;=$AL97,($AL97-1+3)*(INDEX(Reference!$B$6:$B$11,MIN(5,MATCH(MAX(Reference!$A$6,MIN(Reference!$A$11,MIN($U97,90))),Reference!$A$6:$A$11,1)))+(MAX(Reference!$A$6,MIN(Reference!$A$11,MIN($U97,90)))-INDEX(Reference!$A$6:$A$11,MIN(5,MATCH(MAX(Reference!$A$6,MIN(Reference!$A$11,MIN($U97,90))),Reference!$A$6:$A$11,1))))*(INDEX(Reference!$B$6:$B$11,MIN(5,MATCH(MAX(Reference!$A$6,MIN(Reference!$A$11,MIN($U97,90))),Reference!$A$6:$A$11,1))+1)-INDEX(Reference!$B$6:$B$11,MIN(5,MATCH(MAX(Reference!$A$6,MIN(Reference!$A$11,MIN($U97,90))),Reference!$A$6:$A$11,1))))/(INDEX(Reference!$A$6:$A$11,MIN(5,MATCH(MAX(Reference!$A$6,MIN(Reference!$A$11,MIN($U97,90))),Reference!$A$6:$A$11,1))+1)-INDEX(Reference!$A$6:$A$11,MIN(5,MATCH(MAX(Reference!$A$6,MIN(Reference!$A$11,MIN($U97,90))),Reference!$A$6:$A$11,1))))),0)+IF(2&lt;=$AL97,($AL97-2+3)*(INDEX(Reference!$B$6:$B$11,MIN(5,MATCH(MAX(Reference!$A$6,MIN(Reference!$A$11,MIN($U97,120))),Reference!$A$6:$A$11,1)))+(MAX(Reference!$A$6,MIN(Reference!$A$11,MIN($U97,120)))-INDEX(Reference!$A$6:$A$11,MIN(5,MATCH(MAX(Reference!$A$6,MIN(Reference!$A$11,MIN($U97,120))),Reference!$A$6:$A$11,1))))*(INDEX(Reference!$B$6:$B$11,MIN(5,MATCH(MAX(Reference!$A$6,MIN(Reference!$A$11,MIN($U97,120))),Reference!$A$6:$A$11,1))+1)-INDEX(Reference!$B$6:$B$11,MIN(5,MATCH(MAX(Reference!$A$6,MIN(Reference!$A$11,MIN($U97,120))),Reference!$A$6:$A$11,1))))/(INDEX(Reference!$A$6:$A$11,MIN(5,MATCH(MAX(Reference!$A$6,MIN(Reference!$A$11,MIN($U97,120))),Reference!$A$6:$A$11,1))+1)-INDEX(Reference!$A$6:$A$11,MIN(5,MATCH(MAX(Reference!$A$6,MIN(Reference!$A$11,MIN($U97,120))),Reference!$A$6:$A$11,1))))),0)+IF(3&lt;=$AL97,($AL97-3+3)*(INDEX(Reference!$B$6:$B$11,MIN(5,MATCH(MAX(Reference!$A$6,MIN(Reference!$A$11,MIN($U97,150))),Reference!$A$6:$A$11,1)))+(MAX(Reference!$A$6,MIN(Reference!$A$11,MIN($U97,150)))-INDEX(Reference!$A$6:$A$11,MIN(5,MATCH(MAX(Reference!$A$6,MIN(Reference!$A$11,MIN($U97,150))),Reference!$A$6:$A$11,1))))*(INDEX(Reference!$B$6:$B$11,MIN(5,MATCH(MAX(Reference!$A$6,MIN(Reference!$A$11,MIN($U97,150))),Reference!$A$6:$A$11,1))+1)-INDEX(Reference!$B$6:$B$11,MIN(5,MATCH(MAX(Reference!$A$6,MIN(Reference!$A$11,MIN($U97,150))),Reference!$A$6:$A$11,1))))/(INDEX(Reference!$A$6:$A$11,MIN(5,MATCH(MAX(Reference!$A$6,MIN(Reference!$A$11,MIN($U97,150))),Reference!$A$6:$A$11,1))+1)-INDEX(Reference!$A$6:$A$11,MIN(5,MATCH(MAX(Reference!$A$6,MIN(Reference!$A$11,MIN($U97,150))),Reference!$A$6:$A$11,1))))),0)+IF(4&lt;=$AL97,($AL97-4+3)*(INDEX(Reference!$B$6:$B$11,MIN(5,MATCH(MAX(Reference!$A$6,MIN(Reference!$A$11,MIN($U97,180))),Reference!$A$6:$A$11,1)))+(MAX(Reference!$A$6,MIN(Reference!$A$11,MIN($U97,180)))-INDEX(Reference!$A$6:$A$11,MIN(5,MATCH(MAX(Reference!$A$6,MIN(Reference!$A$11,MIN($U97,180))),Reference!$A$6:$A$11,1))))*(INDEX(Reference!$B$6:$B$11,MIN(5,MATCH(MAX(Reference!$A$6,MIN(Reference!$A$11,MIN($U97,180))),Reference!$A$6:$A$11,1))+1)-INDEX(Reference!$B$6:$B$11,MIN(5,MATCH(MAX(Reference!$A$6,MIN(Reference!$A$11,MIN($U97,180))),Reference!$A$6:$A$11,1))))/(INDEX(Reference!$A$6:$A$11,MIN(5,MATCH(MAX(Reference!$A$6,MIN(Reference!$A$11,MIN($U97,180))),Reference!$A$6:$A$11,1))+1)-INDEX(Reference!$A$6:$A$11,MIN(5,MATCH(MAX(Reference!$A$6,MIN(Reference!$A$11,MIN($U97,180))),Reference!$A$6:$A$11,1))))),0)+IF(5&lt;=$AL97,($AL97-5+3)*(INDEX(Reference!$B$6:$B$11,MIN(5,MATCH(MAX(Reference!$A$6,MIN(Reference!$A$11,MIN($U97,210))),Reference!$A$6:$A$11,1)))+(MAX(Reference!$A$6,MIN(Reference!$A$11,MIN($U97,210)))-INDEX(Reference!$A$6:$A$11,MIN(5,MATCH(MAX(Reference!$A$6,MIN(Reference!$A$11,MIN($U97,210))),Reference!$A$6:$A$11,1))))*(INDEX(Reference!$B$6:$B$11,MIN(5,MATCH(MAX(Reference!$A$6,MIN(Reference!$A$11,MIN($U97,210))),Reference!$A$6:$A$11,1))+1)-INDEX(Reference!$B$6:$B$11,MIN(5,MATCH(MAX(Reference!$A$6,MIN(Reference!$A$11,MIN($U97,210))),Reference!$A$6:$A$11,1))))/(INDEX(Reference!$A$6:$A$11,MIN(5,MATCH(MAX(Reference!$A$6,MIN(Reference!$A$11,MIN($U97,210))),Reference!$A$6:$A$11,1))+1)-INDEX(Reference!$A$6:$A$11,MIN(5,MATCH(MAX(Reference!$A$6,MIN(Reference!$A$11,MIN($U97,210))),Reference!$A$6:$A$11,1))))),0)+IF(6&lt;=$AL97,($AL97-6+3)*(INDEX(Reference!$B$6:$B$11,MIN(5,MATCH(MAX(Reference!$A$6,MIN(Reference!$A$11,MIN($U97,240))),Reference!$A$6:$A$11,1)))+(MAX(Reference!$A$6,MIN(Reference!$A$11,MIN($U97,240)))-INDEX(Reference!$A$6:$A$11,MIN(5,MATCH(MAX(Reference!$A$6,MIN(Reference!$A$11,MIN($U97,240))),Reference!$A$6:$A$11,1))))*(INDEX(Reference!$B$6:$B$11,MIN(5,MATCH(MAX(Reference!$A$6,MIN(Reference!$A$11,MIN($U97,240))),Reference!$A$6:$A$11,1))+1)-INDEX(Reference!$B$6:$B$11,MIN(5,MATCH(MAX(Reference!$A$6,MIN(Reference!$A$11,MIN($U97,240))),Reference!$A$6:$A$11,1))))/(INDEX(Reference!$A$6:$A$11,MIN(5,MATCH(MAX(Reference!$A$6,MIN(Reference!$A$11,MIN($U97,240))),Reference!$A$6:$A$11,1))+1)-INDEX(Reference!$A$6:$A$11,MIN(5,MATCH(MAX(Reference!$A$6,MIN(Reference!$A$11,MIN($U97,240))),Reference!$A$6:$A$11,1))))),0)+IF(7&lt;=$AL97,($AL97-7+3)*(INDEX(Reference!$B$6:$B$11,MIN(5,MATCH(MAX(Reference!$A$6,MIN(Reference!$A$11,MIN($U97,270))),Reference!$A$6:$A$11,1)))+(MAX(Reference!$A$6,MIN(Reference!$A$11,MIN($U97,270)))-INDEX(Reference!$A$6:$A$11,MIN(5,MATCH(MAX(Reference!$A$6,MIN(Reference!$A$11,MIN($U97,270))),Reference!$A$6:$A$11,1))))*(INDEX(Reference!$B$6:$B$11,MIN(5,MATCH(MAX(Reference!$A$6,MIN(Reference!$A$11,MIN($U97,270))),Reference!$A$6:$A$11,1))+1)-INDEX(Reference!$B$6:$B$11,MIN(5,MATCH(MAX(Reference!$A$6,MIN(Reference!$A$11,MIN($U97,270))),Reference!$A$6:$A$11,1))))/(INDEX(Reference!$A$6:$A$11,MIN(5,MATCH(MAX(Reference!$A$6,MIN(Reference!$A$11,MIN($U97,270))),Reference!$A$6:$A$11,1))+1)-INDEX(Reference!$A$6:$A$11,MIN(5,MATCH(MAX(Reference!$A$6,MIN(Reference!$A$11,MIN($U97,270))),Reference!$A$6:$A$11,1))))),0)+IF(8&lt;=$AL97,($AL97-8+3)*(INDEX(Reference!$B$6:$B$11,MIN(5,MATCH(MAX(Reference!$A$6,MIN(Reference!$A$11,MIN($U97,300))),Reference!$A$6:$A$11,1)))+(MAX(Reference!$A$6,MIN(Reference!$A$11,MIN($U97,300)))-INDEX(Reference!$A$6:$A$11,MIN(5,MATCH(MAX(Reference!$A$6,MIN(Reference!$A$11,MIN($U97,300))),Reference!$A$6:$A$11,1))))*(INDEX(Reference!$B$6:$B$11,MIN(5,MATCH(MAX(Reference!$A$6,MIN(Reference!$A$11,MIN($U97,300))),Reference!$A$6:$A$11,1))+1)-INDEX(Reference!$B$6:$B$11,MIN(5,MATCH(MAX(Reference!$A$6,MIN(Reference!$A$11,MIN($U97,300))),Reference!$A$6:$A$11,1))))/(INDEX(Reference!$A$6:$A$11,MIN(5,MATCH(MAX(Reference!$A$6,MIN(Reference!$A$11,MIN($U97,300))),Reference!$A$6:$A$11,1))+1)-INDEX(Reference!$A$6:$A$11,MIN(5,MATCH(MAX(Reference!$A$6,MIN(Reference!$A$11,MIN($U97,300))),Reference!$A$6:$A$11,1))))),0))/($AL97*($AL97+5)/2)),$AN97))</f>
        <v>1.6583333333333334</v>
      </c>
      <c r="AN97" s="32">
        <f>IF($U97="",0,(INDEX(Reference!$B$6:$B$11,MIN(5,MATCH(MAX(Reference!$A$6,MIN(Reference!$A$11,$U97)),Reference!$A$6:$A$11,1)))+(MAX(Reference!$A$6,MIN(Reference!$A$11,$U97))-INDEX(Reference!$A$6:$A$11,MIN(5,MATCH(MAX(Reference!$A$6,MIN(Reference!$A$11,$U97)),Reference!$A$6:$A$11,1))))*(INDEX(Reference!$B$6:$B$11,MIN(5,MATCH(MAX(Reference!$A$6,MIN(Reference!$A$11,$U97)),Reference!$A$6:$A$11,1))+1)-INDEX(Reference!$B$6:$B$11,MIN(5,MATCH(MAX(Reference!$A$6,MIN(Reference!$A$11,$U97)),Reference!$A$6:$A$11,1))))/(INDEX(Reference!$A$6:$A$11,MIN(5,MATCH(MAX(Reference!$A$6,MIN(Reference!$A$11,$U97)),Reference!$A$6:$A$11,1))+1)-INDEX(Reference!$A$6:$A$11,MIN(5,MATCH(MAX(Reference!$A$6,MIN(Reference!$A$11,$U97)),Reference!$A$6:$A$11,1))))))</f>
        <v>2.2000000000000002</v>
      </c>
      <c r="AO97" s="37"/>
      <c r="AP97" s="37"/>
      <c r="AQ97" s="37"/>
    </row>
    <row r="98" spans="1:43" x14ac:dyDescent="0.3">
      <c r="A98" s="48">
        <f t="shared" si="30"/>
        <v>46362</v>
      </c>
      <c r="B98" s="32" t="str">
        <f t="shared" si="31"/>
        <v>Sun</v>
      </c>
      <c r="C98" s="32">
        <f t="shared" si="32"/>
        <v>29</v>
      </c>
      <c r="D98" s="32" t="str">
        <f t="shared" si="33"/>
        <v>Flat Ground / Intent</v>
      </c>
      <c r="E98" s="32" t="str">
        <f t="shared" si="34"/>
        <v>Low</v>
      </c>
      <c r="F98" s="32" t="str">
        <f t="shared" si="35"/>
        <v>Recovery/Easy Catch</v>
      </c>
      <c r="G98" s="47" t="str">
        <f t="shared" si="36"/>
        <v>60 ft × 20 @ 67–71 mph</v>
      </c>
      <c r="H98" s="30">
        <f t="shared" si="37"/>
        <v>12</v>
      </c>
      <c r="I98" s="46">
        <f>IF($A98="","",IF(AND($L98&lt;27,$K$12=0),"Building",IFERROR(((SUM($H$92:$H98)+$K$12*IF($L98&lt;6,SUMIFS('Throw Log'!$Q$5:$Q$300,'Throw Log'!$B$5:$B$300,$D$4,'Throw Log'!$A$5:$A$300,"&gt;="&amp;($D$6+$L98-6),'Throw Log'!$A$5:$A$300,"&lt;="&amp;($D$6-1)),0))/7)/((SUM($H$71:$H98)+$K$12*IF($L98&lt;27,SUMIFS('Throw Log'!$Q$5:$Q$300,'Throw Log'!$B$5:$B$300,$D$4,'Throw Log'!$A$5:$A$300,"&gt;="&amp;($D$6+$L98-27),'Throw Log'!$A$5:$A$300,"&lt;="&amp;($D$6-1)),0))/28),"")))</f>
        <v>1.1763549426410909</v>
      </c>
      <c r="J98" s="37"/>
      <c r="K98" s="37"/>
      <c r="L98" s="32">
        <v>55</v>
      </c>
      <c r="M98" s="32">
        <f t="shared" si="38"/>
        <v>8</v>
      </c>
      <c r="N98" s="32">
        <f t="shared" si="39"/>
        <v>6</v>
      </c>
      <c r="O98" s="32">
        <f t="shared" si="40"/>
        <v>0.72368421052631582</v>
      </c>
      <c r="P98" s="32">
        <f>IF(OR($A98="",N($C98)&lt;=7),"",$G$6*$G$9^($M98-1)*IF(AND(MOD($M98,Reference!$B$99)=0,$M98&lt;=$G$5-2),Reference!$B$100,1))</f>
        <v>155.17696923220939</v>
      </c>
      <c r="Q98" s="32">
        <f>IF($P98="","",IF(SUM($AK$92:$AK$98)=0,0,$P98*INDEX(Reference!$B$108:$B$114,$N98+1)/SUM($AK$92:$AK$98)))</f>
        <v>10.151764342294072</v>
      </c>
      <c r="R98" s="32">
        <f t="shared" si="41"/>
        <v>180</v>
      </c>
      <c r="S98" s="32">
        <f t="shared" si="42"/>
        <v>150</v>
      </c>
      <c r="T98" s="32" t="str">
        <f>IF($A98="","",IF($C98=0,"Bullpen",IF(OR($C98=7,$C98=1,$C98=5),"Recovery/Easy Catch",IF($C98=6,"Compression/Pulldowns",IF(OR($C98=4,$C98=2),"Long Toss",IF($C98=3,"No Throw",IF($N98=2,"No Throw",IF($N98=6,IF($O98&lt;Reference!$B$104,"No Throw","Recovery/Easy Catch"),IF(OR($N98=0,$N98=4),"Recovery/Easy Catch",IF($N98=1,IF($R98&gt;75,"Long Toss","Recovery/Easy Catch"),IF($N98=3,IF($O98&lt;0.5,IF($S98&gt;75,"Long Toss","Recovery/Easy Catch"),"Compression/Pulldowns"),IF($S98&gt;75,"Long Toss","Recovery/Easy Catch"))))))))))))</f>
        <v>Recovery/Easy Catch</v>
      </c>
      <c r="U98" s="32">
        <f t="shared" si="43"/>
        <v>60</v>
      </c>
      <c r="V98" s="32">
        <f t="shared" si="44"/>
        <v>20</v>
      </c>
      <c r="W98" s="32">
        <f t="shared" si="45"/>
        <v>24</v>
      </c>
      <c r="X98" s="32">
        <f t="shared" si="46"/>
        <v>0</v>
      </c>
      <c r="Y98" s="32" t="str">
        <f t="shared" si="47"/>
        <v/>
      </c>
      <c r="Z98" s="32" t="str">
        <f t="shared" si="48"/>
        <v/>
      </c>
      <c r="AA98" s="32" t="str">
        <f t="shared" si="49"/>
        <v/>
      </c>
      <c r="AB98" s="32">
        <f>IF($A98="","",IF($T98="No Throw",0,IF($K98&lt;&gt;"",$K98,IF($AA98&lt;&gt;"",ROUND($AA98*$D$12*IF($C98=0,1,$G$10),0),MIN(IF($T98="Recovery/Easy Catch",Reference!$B$103,IF($T98="Long Toss",Reference!$B$106,Reference!$B$102)),MAX(Reference!$B$101,ROUND(MAX(0,$Q98-$AE98)/$AF98,0)))))))</f>
        <v>20</v>
      </c>
      <c r="AC98" s="32">
        <f t="shared" si="50"/>
        <v>0</v>
      </c>
      <c r="AD98" s="32" t="b">
        <f t="shared" si="51"/>
        <v>0</v>
      </c>
      <c r="AE98" s="32">
        <f>IF($X98=0,0,$X98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98+$Z98)/2,0),Reference!$A$17:$B$20,2,TRUE()))</f>
        <v>0</v>
      </c>
      <c r="AF98" s="32">
        <f>IF(OR($A98="",$U98="",$T98="No Throw"),0,$AM98*VLOOKUP(MAX(($V98+$W98)/2,0),Reference!$A$17:$B$20,2,TRUE()))</f>
        <v>0.6</v>
      </c>
      <c r="AG98" s="32">
        <f>IF($AC98=0,0,$AC98*INDEX(Reference!$B$61:$B$62,MATCH("Bullpen",Reference!$A$61:$A$62,0))*VLOOKUP(MAX($D$5-($D$9+$E$9)/2,0),Reference!$A$17:$B$20,2,TRUE()))</f>
        <v>0</v>
      </c>
      <c r="AH98" s="46">
        <f t="shared" si="52"/>
        <v>1.1763549426410909</v>
      </c>
      <c r="AI98" s="32">
        <f>IF($A98="",NA(),Reference!$A$25)</f>
        <v>0.8</v>
      </c>
      <c r="AJ98" s="32">
        <f t="shared" si="53"/>
        <v>1.3</v>
      </c>
      <c r="AK98" s="56">
        <f>IF(OR($A98="",N($C98)&lt;=7,$T98="No Throw",$J98="x"),0,INDEX(Reference!$B$108:$B$114,$N98+1))</f>
        <v>7.0000000000000007E-2</v>
      </c>
      <c r="AL98" s="32">
        <f t="shared" si="54"/>
        <v>1</v>
      </c>
      <c r="AM98" s="32">
        <f>IF($U98="",0,IF($AL98&gt;1,((IF(1&lt;=$AL98,($AL98-1+3)*(INDEX(Reference!$B$6:$B$11,MIN(5,MATCH(MAX(Reference!$A$6,MIN(Reference!$A$11,MIN($U98,90))),Reference!$A$6:$A$11,1)))+(MAX(Reference!$A$6,MIN(Reference!$A$11,MIN($U98,90)))-INDEX(Reference!$A$6:$A$11,MIN(5,MATCH(MAX(Reference!$A$6,MIN(Reference!$A$11,MIN($U98,90))),Reference!$A$6:$A$11,1))))*(INDEX(Reference!$B$6:$B$11,MIN(5,MATCH(MAX(Reference!$A$6,MIN(Reference!$A$11,MIN($U98,90))),Reference!$A$6:$A$11,1))+1)-INDEX(Reference!$B$6:$B$11,MIN(5,MATCH(MAX(Reference!$A$6,MIN(Reference!$A$11,MIN($U98,90))),Reference!$A$6:$A$11,1))))/(INDEX(Reference!$A$6:$A$11,MIN(5,MATCH(MAX(Reference!$A$6,MIN(Reference!$A$11,MIN($U98,90))),Reference!$A$6:$A$11,1))+1)-INDEX(Reference!$A$6:$A$11,MIN(5,MATCH(MAX(Reference!$A$6,MIN(Reference!$A$11,MIN($U98,90))),Reference!$A$6:$A$11,1))))),0)+IF(2&lt;=$AL98,($AL98-2+3)*(INDEX(Reference!$B$6:$B$11,MIN(5,MATCH(MAX(Reference!$A$6,MIN(Reference!$A$11,MIN($U98,120))),Reference!$A$6:$A$11,1)))+(MAX(Reference!$A$6,MIN(Reference!$A$11,MIN($U98,120)))-INDEX(Reference!$A$6:$A$11,MIN(5,MATCH(MAX(Reference!$A$6,MIN(Reference!$A$11,MIN($U98,120))),Reference!$A$6:$A$11,1))))*(INDEX(Reference!$B$6:$B$11,MIN(5,MATCH(MAX(Reference!$A$6,MIN(Reference!$A$11,MIN($U98,120))),Reference!$A$6:$A$11,1))+1)-INDEX(Reference!$B$6:$B$11,MIN(5,MATCH(MAX(Reference!$A$6,MIN(Reference!$A$11,MIN($U98,120))),Reference!$A$6:$A$11,1))))/(INDEX(Reference!$A$6:$A$11,MIN(5,MATCH(MAX(Reference!$A$6,MIN(Reference!$A$11,MIN($U98,120))),Reference!$A$6:$A$11,1))+1)-INDEX(Reference!$A$6:$A$11,MIN(5,MATCH(MAX(Reference!$A$6,MIN(Reference!$A$11,MIN($U98,120))),Reference!$A$6:$A$11,1))))),0)+IF(3&lt;=$AL98,($AL98-3+3)*(INDEX(Reference!$B$6:$B$11,MIN(5,MATCH(MAX(Reference!$A$6,MIN(Reference!$A$11,MIN($U98,150))),Reference!$A$6:$A$11,1)))+(MAX(Reference!$A$6,MIN(Reference!$A$11,MIN($U98,150)))-INDEX(Reference!$A$6:$A$11,MIN(5,MATCH(MAX(Reference!$A$6,MIN(Reference!$A$11,MIN($U98,150))),Reference!$A$6:$A$11,1))))*(INDEX(Reference!$B$6:$B$11,MIN(5,MATCH(MAX(Reference!$A$6,MIN(Reference!$A$11,MIN($U98,150))),Reference!$A$6:$A$11,1))+1)-INDEX(Reference!$B$6:$B$11,MIN(5,MATCH(MAX(Reference!$A$6,MIN(Reference!$A$11,MIN($U98,150))),Reference!$A$6:$A$11,1))))/(INDEX(Reference!$A$6:$A$11,MIN(5,MATCH(MAX(Reference!$A$6,MIN(Reference!$A$11,MIN($U98,150))),Reference!$A$6:$A$11,1))+1)-INDEX(Reference!$A$6:$A$11,MIN(5,MATCH(MAX(Reference!$A$6,MIN(Reference!$A$11,MIN($U98,150))),Reference!$A$6:$A$11,1))))),0)+IF(4&lt;=$AL98,($AL98-4+3)*(INDEX(Reference!$B$6:$B$11,MIN(5,MATCH(MAX(Reference!$A$6,MIN(Reference!$A$11,MIN($U98,180))),Reference!$A$6:$A$11,1)))+(MAX(Reference!$A$6,MIN(Reference!$A$11,MIN($U98,180)))-INDEX(Reference!$A$6:$A$11,MIN(5,MATCH(MAX(Reference!$A$6,MIN(Reference!$A$11,MIN($U98,180))),Reference!$A$6:$A$11,1))))*(INDEX(Reference!$B$6:$B$11,MIN(5,MATCH(MAX(Reference!$A$6,MIN(Reference!$A$11,MIN($U98,180))),Reference!$A$6:$A$11,1))+1)-INDEX(Reference!$B$6:$B$11,MIN(5,MATCH(MAX(Reference!$A$6,MIN(Reference!$A$11,MIN($U98,180))),Reference!$A$6:$A$11,1))))/(INDEX(Reference!$A$6:$A$11,MIN(5,MATCH(MAX(Reference!$A$6,MIN(Reference!$A$11,MIN($U98,180))),Reference!$A$6:$A$11,1))+1)-INDEX(Reference!$A$6:$A$11,MIN(5,MATCH(MAX(Reference!$A$6,MIN(Reference!$A$11,MIN($U98,180))),Reference!$A$6:$A$11,1))))),0)+IF(5&lt;=$AL98,($AL98-5+3)*(INDEX(Reference!$B$6:$B$11,MIN(5,MATCH(MAX(Reference!$A$6,MIN(Reference!$A$11,MIN($U98,210))),Reference!$A$6:$A$11,1)))+(MAX(Reference!$A$6,MIN(Reference!$A$11,MIN($U98,210)))-INDEX(Reference!$A$6:$A$11,MIN(5,MATCH(MAX(Reference!$A$6,MIN(Reference!$A$11,MIN($U98,210))),Reference!$A$6:$A$11,1))))*(INDEX(Reference!$B$6:$B$11,MIN(5,MATCH(MAX(Reference!$A$6,MIN(Reference!$A$11,MIN($U98,210))),Reference!$A$6:$A$11,1))+1)-INDEX(Reference!$B$6:$B$11,MIN(5,MATCH(MAX(Reference!$A$6,MIN(Reference!$A$11,MIN($U98,210))),Reference!$A$6:$A$11,1))))/(INDEX(Reference!$A$6:$A$11,MIN(5,MATCH(MAX(Reference!$A$6,MIN(Reference!$A$11,MIN($U98,210))),Reference!$A$6:$A$11,1))+1)-INDEX(Reference!$A$6:$A$11,MIN(5,MATCH(MAX(Reference!$A$6,MIN(Reference!$A$11,MIN($U98,210))),Reference!$A$6:$A$11,1))))),0)+IF(6&lt;=$AL98,($AL98-6+3)*(INDEX(Reference!$B$6:$B$11,MIN(5,MATCH(MAX(Reference!$A$6,MIN(Reference!$A$11,MIN($U98,240))),Reference!$A$6:$A$11,1)))+(MAX(Reference!$A$6,MIN(Reference!$A$11,MIN($U98,240)))-INDEX(Reference!$A$6:$A$11,MIN(5,MATCH(MAX(Reference!$A$6,MIN(Reference!$A$11,MIN($U98,240))),Reference!$A$6:$A$11,1))))*(INDEX(Reference!$B$6:$B$11,MIN(5,MATCH(MAX(Reference!$A$6,MIN(Reference!$A$11,MIN($U98,240))),Reference!$A$6:$A$11,1))+1)-INDEX(Reference!$B$6:$B$11,MIN(5,MATCH(MAX(Reference!$A$6,MIN(Reference!$A$11,MIN($U98,240))),Reference!$A$6:$A$11,1))))/(INDEX(Reference!$A$6:$A$11,MIN(5,MATCH(MAX(Reference!$A$6,MIN(Reference!$A$11,MIN($U98,240))),Reference!$A$6:$A$11,1))+1)-INDEX(Reference!$A$6:$A$11,MIN(5,MATCH(MAX(Reference!$A$6,MIN(Reference!$A$11,MIN($U98,240))),Reference!$A$6:$A$11,1))))),0)+IF(7&lt;=$AL98,($AL98-7+3)*(INDEX(Reference!$B$6:$B$11,MIN(5,MATCH(MAX(Reference!$A$6,MIN(Reference!$A$11,MIN($U98,270))),Reference!$A$6:$A$11,1)))+(MAX(Reference!$A$6,MIN(Reference!$A$11,MIN($U98,270)))-INDEX(Reference!$A$6:$A$11,MIN(5,MATCH(MAX(Reference!$A$6,MIN(Reference!$A$11,MIN($U98,270))),Reference!$A$6:$A$11,1))))*(INDEX(Reference!$B$6:$B$11,MIN(5,MATCH(MAX(Reference!$A$6,MIN(Reference!$A$11,MIN($U98,270))),Reference!$A$6:$A$11,1))+1)-INDEX(Reference!$B$6:$B$11,MIN(5,MATCH(MAX(Reference!$A$6,MIN(Reference!$A$11,MIN($U98,270))),Reference!$A$6:$A$11,1))))/(INDEX(Reference!$A$6:$A$11,MIN(5,MATCH(MAX(Reference!$A$6,MIN(Reference!$A$11,MIN($U98,270))),Reference!$A$6:$A$11,1))+1)-INDEX(Reference!$A$6:$A$11,MIN(5,MATCH(MAX(Reference!$A$6,MIN(Reference!$A$11,MIN($U98,270))),Reference!$A$6:$A$11,1))))),0)+IF(8&lt;=$AL98,($AL98-8+3)*(INDEX(Reference!$B$6:$B$11,MIN(5,MATCH(MAX(Reference!$A$6,MIN(Reference!$A$11,MIN($U98,300))),Reference!$A$6:$A$11,1)))+(MAX(Reference!$A$6,MIN(Reference!$A$11,MIN($U98,300)))-INDEX(Reference!$A$6:$A$11,MIN(5,MATCH(MAX(Reference!$A$6,MIN(Reference!$A$11,MIN($U98,300))),Reference!$A$6:$A$11,1))))*(INDEX(Reference!$B$6:$B$11,MIN(5,MATCH(MAX(Reference!$A$6,MIN(Reference!$A$11,MIN($U98,300))),Reference!$A$6:$A$11,1))+1)-INDEX(Reference!$B$6:$B$11,MIN(5,MATCH(MAX(Reference!$A$6,MIN(Reference!$A$11,MIN($U98,300))),Reference!$A$6:$A$11,1))))/(INDEX(Reference!$A$6:$A$11,MIN(5,MATCH(MAX(Reference!$A$6,MIN(Reference!$A$11,MIN($U98,300))),Reference!$A$6:$A$11,1))+1)-INDEX(Reference!$A$6:$A$11,MIN(5,MATCH(MAX(Reference!$A$6,MIN(Reference!$A$11,MIN($U98,300))),Reference!$A$6:$A$11,1))))),0))/($AL98*($AL98+5)/2)),$AN98))</f>
        <v>1</v>
      </c>
      <c r="AN98" s="32">
        <f>IF($U98="",0,(INDEX(Reference!$B$6:$B$11,MIN(5,MATCH(MAX(Reference!$A$6,MIN(Reference!$A$11,$U98)),Reference!$A$6:$A$11,1)))+(MAX(Reference!$A$6,MIN(Reference!$A$11,$U98))-INDEX(Reference!$A$6:$A$11,MIN(5,MATCH(MAX(Reference!$A$6,MIN(Reference!$A$11,$U98)),Reference!$A$6:$A$11,1))))*(INDEX(Reference!$B$6:$B$11,MIN(5,MATCH(MAX(Reference!$A$6,MIN(Reference!$A$11,$U98)),Reference!$A$6:$A$11,1))+1)-INDEX(Reference!$B$6:$B$11,MIN(5,MATCH(MAX(Reference!$A$6,MIN(Reference!$A$11,$U98)),Reference!$A$6:$A$11,1))))/(INDEX(Reference!$A$6:$A$11,MIN(5,MATCH(MAX(Reference!$A$6,MIN(Reference!$A$11,$U98)),Reference!$A$6:$A$11,1))+1)-INDEX(Reference!$A$6:$A$11,MIN(5,MATCH(MAX(Reference!$A$6,MIN(Reference!$A$11,$U98)),Reference!$A$6:$A$11,1))))))</f>
        <v>1</v>
      </c>
      <c r="AO98" s="37"/>
      <c r="AP98" s="37"/>
      <c r="AQ98" s="37"/>
    </row>
    <row r="99" spans="1:43" x14ac:dyDescent="0.3">
      <c r="A99" s="48">
        <f t="shared" si="30"/>
        <v>46363</v>
      </c>
      <c r="B99" s="32" t="str">
        <f t="shared" si="31"/>
        <v>Mon</v>
      </c>
      <c r="C99" s="32">
        <f t="shared" si="32"/>
        <v>28</v>
      </c>
      <c r="D99" s="32" t="str">
        <f t="shared" si="33"/>
        <v>Flat Ground / Intent</v>
      </c>
      <c r="E99" s="32" t="str">
        <f t="shared" si="34"/>
        <v>Low</v>
      </c>
      <c r="F99" s="32" t="str">
        <f t="shared" si="35"/>
        <v>Recovery/Easy Catch</v>
      </c>
      <c r="G99" s="47" t="str">
        <f t="shared" si="36"/>
        <v>75 ft × 33 @ 69–73 mph</v>
      </c>
      <c r="H99" s="30">
        <f t="shared" si="37"/>
        <v>22.77</v>
      </c>
      <c r="I99" s="46">
        <f>IF($A99="","",IF(AND($L99&lt;27,$K$12=0),"Building",IFERROR(((SUM($H$93:$H99)+$K$12*IF($L99&lt;6,SUMIFS('Throw Log'!$Q$5:$Q$300,'Throw Log'!$B$5:$B$300,$D$4,'Throw Log'!$A$5:$A$300,"&gt;="&amp;($D$6+$L99-6),'Throw Log'!$A$5:$A$300,"&lt;="&amp;($D$6-1)),0))/7)/((SUM($H$72:$H99)+$K$12*IF($L99&lt;27,SUMIFS('Throw Log'!$Q$5:$Q$300,'Throw Log'!$B$5:$B$300,$D$4,'Throw Log'!$A$5:$A$300,"&gt;="&amp;($D$6+$L99-27),'Throw Log'!$A$5:$A$300,"&lt;="&amp;($D$6-1)),0))/28),"")))</f>
        <v>1.2235767431411864</v>
      </c>
      <c r="J99" s="37"/>
      <c r="K99" s="37"/>
      <c r="L99" s="32">
        <v>56</v>
      </c>
      <c r="M99" s="32">
        <f t="shared" si="38"/>
        <v>9</v>
      </c>
      <c r="N99" s="32">
        <f t="shared" si="39"/>
        <v>0</v>
      </c>
      <c r="O99" s="32">
        <f t="shared" si="40"/>
        <v>0.73684210526315785</v>
      </c>
      <c r="P99" s="32">
        <f>IF(OR($A99="",N($C99)&lt;=7),"",$G$6*$G$9^($M99-1)*IF(AND(MOD($M99,Reference!$B$99)=0,$M99&lt;=$G$5-2),Reference!$B$100,1))</f>
        <v>205.39822006322521</v>
      </c>
      <c r="Q99" s="32">
        <f>IF($P99="","",IF(SUM($AK$99:$AK$105)=0,0,$P99*INDEX(Reference!$B$108:$B$114,$N99+1)/SUM($AK$99:$AK$105)))</f>
        <v>23.035314399614041</v>
      </c>
      <c r="R99" s="32">
        <f t="shared" si="41"/>
        <v>180</v>
      </c>
      <c r="S99" s="32">
        <f t="shared" si="42"/>
        <v>150</v>
      </c>
      <c r="T99" s="32" t="str">
        <f>IF($A99="","",IF($C99=0,"Bullpen",IF(OR($C99=7,$C99=1,$C99=5),"Recovery/Easy Catch",IF($C99=6,"Compression/Pulldowns",IF(OR($C99=4,$C99=2),"Long Toss",IF($C99=3,"No Throw",IF($N99=2,"No Throw",IF($N99=6,IF($O99&lt;Reference!$B$104,"No Throw","Recovery/Easy Catch"),IF(OR($N99=0,$N99=4),"Recovery/Easy Catch",IF($N99=1,IF($R99&gt;75,"Long Toss","Recovery/Easy Catch"),IF($N99=3,IF($O99&lt;0.5,IF($S99&gt;75,"Long Toss","Recovery/Easy Catch"),"Compression/Pulldowns"),IF($S99&gt;75,"Long Toss","Recovery/Easy Catch"))))))))))))</f>
        <v>Recovery/Easy Catch</v>
      </c>
      <c r="U99" s="32">
        <f t="shared" si="43"/>
        <v>75</v>
      </c>
      <c r="V99" s="32">
        <f t="shared" si="44"/>
        <v>18</v>
      </c>
      <c r="W99" s="32">
        <f t="shared" si="45"/>
        <v>22</v>
      </c>
      <c r="X99" s="32">
        <f t="shared" si="46"/>
        <v>0</v>
      </c>
      <c r="Y99" s="32" t="str">
        <f t="shared" si="47"/>
        <v/>
      </c>
      <c r="Z99" s="32" t="str">
        <f t="shared" si="48"/>
        <v/>
      </c>
      <c r="AA99" s="32" t="str">
        <f t="shared" si="49"/>
        <v/>
      </c>
      <c r="AB99" s="32">
        <f>IF($A99="","",IF($T99="No Throw",0,IF($K99&lt;&gt;"",$K99,IF($AA99&lt;&gt;"",ROUND($AA99*$D$12*IF($C99=0,1,$G$10),0),MIN(IF($T99="Recovery/Easy Catch",Reference!$B$103,IF($T99="Long Toss",Reference!$B$106,Reference!$B$102)),MAX(Reference!$B$101,ROUND(MAX(0,$Q99-$AE99)/$AF99,0)))))))</f>
        <v>33</v>
      </c>
      <c r="AC99" s="32">
        <f t="shared" si="50"/>
        <v>0</v>
      </c>
      <c r="AD99" s="32" t="b">
        <f t="shared" si="51"/>
        <v>0</v>
      </c>
      <c r="AE99" s="32">
        <f>IF($X99=0,0,$X99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99+$Z99)/2,0),Reference!$A$17:$B$20,2,TRUE()))</f>
        <v>0</v>
      </c>
      <c r="AF99" s="32">
        <f>IF(OR($A99="",$U99="",$T99="No Throw"),0,$AM99*VLOOKUP(MAX(($V99+$W99)/2,0),Reference!$A$17:$B$20,2,TRUE()))</f>
        <v>0.69</v>
      </c>
      <c r="AG99" s="32">
        <f>IF($AC99=0,0,$AC99*INDEX(Reference!$B$61:$B$62,MATCH("Bullpen",Reference!$A$61:$A$62,0))*VLOOKUP(MAX($D$5-($D$9+$E$9)/2,0),Reference!$A$17:$B$20,2,TRUE()))</f>
        <v>0</v>
      </c>
      <c r="AH99" s="46">
        <f t="shared" si="52"/>
        <v>1.2235767431411864</v>
      </c>
      <c r="AI99" s="32">
        <f>IF($A99="",NA(),Reference!$A$25)</f>
        <v>0.8</v>
      </c>
      <c r="AJ99" s="32">
        <f t="shared" si="53"/>
        <v>1.3</v>
      </c>
      <c r="AK99" s="56">
        <f>IF(OR($A99="",N($C99)&lt;=7,$T99="No Throw",$J99="x"),0,INDEX(Reference!$B$108:$B$114,$N99+1))</f>
        <v>0.12</v>
      </c>
      <c r="AL99" s="32">
        <f t="shared" si="54"/>
        <v>1</v>
      </c>
      <c r="AM99" s="32">
        <f>IF($U99="",0,IF($AL99&gt;1,((IF(1&lt;=$AL99,($AL99-1+3)*(INDEX(Reference!$B$6:$B$11,MIN(5,MATCH(MAX(Reference!$A$6,MIN(Reference!$A$11,MIN($U99,90))),Reference!$A$6:$A$11,1)))+(MAX(Reference!$A$6,MIN(Reference!$A$11,MIN($U99,90)))-INDEX(Reference!$A$6:$A$11,MIN(5,MATCH(MAX(Reference!$A$6,MIN(Reference!$A$11,MIN($U99,90))),Reference!$A$6:$A$11,1))))*(INDEX(Reference!$B$6:$B$11,MIN(5,MATCH(MAX(Reference!$A$6,MIN(Reference!$A$11,MIN($U99,90))),Reference!$A$6:$A$11,1))+1)-INDEX(Reference!$B$6:$B$11,MIN(5,MATCH(MAX(Reference!$A$6,MIN(Reference!$A$11,MIN($U99,90))),Reference!$A$6:$A$11,1))))/(INDEX(Reference!$A$6:$A$11,MIN(5,MATCH(MAX(Reference!$A$6,MIN(Reference!$A$11,MIN($U99,90))),Reference!$A$6:$A$11,1))+1)-INDEX(Reference!$A$6:$A$11,MIN(5,MATCH(MAX(Reference!$A$6,MIN(Reference!$A$11,MIN($U99,90))),Reference!$A$6:$A$11,1))))),0)+IF(2&lt;=$AL99,($AL99-2+3)*(INDEX(Reference!$B$6:$B$11,MIN(5,MATCH(MAX(Reference!$A$6,MIN(Reference!$A$11,MIN($U99,120))),Reference!$A$6:$A$11,1)))+(MAX(Reference!$A$6,MIN(Reference!$A$11,MIN($U99,120)))-INDEX(Reference!$A$6:$A$11,MIN(5,MATCH(MAX(Reference!$A$6,MIN(Reference!$A$11,MIN($U99,120))),Reference!$A$6:$A$11,1))))*(INDEX(Reference!$B$6:$B$11,MIN(5,MATCH(MAX(Reference!$A$6,MIN(Reference!$A$11,MIN($U99,120))),Reference!$A$6:$A$11,1))+1)-INDEX(Reference!$B$6:$B$11,MIN(5,MATCH(MAX(Reference!$A$6,MIN(Reference!$A$11,MIN($U99,120))),Reference!$A$6:$A$11,1))))/(INDEX(Reference!$A$6:$A$11,MIN(5,MATCH(MAX(Reference!$A$6,MIN(Reference!$A$11,MIN($U99,120))),Reference!$A$6:$A$11,1))+1)-INDEX(Reference!$A$6:$A$11,MIN(5,MATCH(MAX(Reference!$A$6,MIN(Reference!$A$11,MIN($U99,120))),Reference!$A$6:$A$11,1))))),0)+IF(3&lt;=$AL99,($AL99-3+3)*(INDEX(Reference!$B$6:$B$11,MIN(5,MATCH(MAX(Reference!$A$6,MIN(Reference!$A$11,MIN($U99,150))),Reference!$A$6:$A$11,1)))+(MAX(Reference!$A$6,MIN(Reference!$A$11,MIN($U99,150)))-INDEX(Reference!$A$6:$A$11,MIN(5,MATCH(MAX(Reference!$A$6,MIN(Reference!$A$11,MIN($U99,150))),Reference!$A$6:$A$11,1))))*(INDEX(Reference!$B$6:$B$11,MIN(5,MATCH(MAX(Reference!$A$6,MIN(Reference!$A$11,MIN($U99,150))),Reference!$A$6:$A$11,1))+1)-INDEX(Reference!$B$6:$B$11,MIN(5,MATCH(MAX(Reference!$A$6,MIN(Reference!$A$11,MIN($U99,150))),Reference!$A$6:$A$11,1))))/(INDEX(Reference!$A$6:$A$11,MIN(5,MATCH(MAX(Reference!$A$6,MIN(Reference!$A$11,MIN($U99,150))),Reference!$A$6:$A$11,1))+1)-INDEX(Reference!$A$6:$A$11,MIN(5,MATCH(MAX(Reference!$A$6,MIN(Reference!$A$11,MIN($U99,150))),Reference!$A$6:$A$11,1))))),0)+IF(4&lt;=$AL99,($AL99-4+3)*(INDEX(Reference!$B$6:$B$11,MIN(5,MATCH(MAX(Reference!$A$6,MIN(Reference!$A$11,MIN($U99,180))),Reference!$A$6:$A$11,1)))+(MAX(Reference!$A$6,MIN(Reference!$A$11,MIN($U99,180)))-INDEX(Reference!$A$6:$A$11,MIN(5,MATCH(MAX(Reference!$A$6,MIN(Reference!$A$11,MIN($U99,180))),Reference!$A$6:$A$11,1))))*(INDEX(Reference!$B$6:$B$11,MIN(5,MATCH(MAX(Reference!$A$6,MIN(Reference!$A$11,MIN($U99,180))),Reference!$A$6:$A$11,1))+1)-INDEX(Reference!$B$6:$B$11,MIN(5,MATCH(MAX(Reference!$A$6,MIN(Reference!$A$11,MIN($U99,180))),Reference!$A$6:$A$11,1))))/(INDEX(Reference!$A$6:$A$11,MIN(5,MATCH(MAX(Reference!$A$6,MIN(Reference!$A$11,MIN($U99,180))),Reference!$A$6:$A$11,1))+1)-INDEX(Reference!$A$6:$A$11,MIN(5,MATCH(MAX(Reference!$A$6,MIN(Reference!$A$11,MIN($U99,180))),Reference!$A$6:$A$11,1))))),0)+IF(5&lt;=$AL99,($AL99-5+3)*(INDEX(Reference!$B$6:$B$11,MIN(5,MATCH(MAX(Reference!$A$6,MIN(Reference!$A$11,MIN($U99,210))),Reference!$A$6:$A$11,1)))+(MAX(Reference!$A$6,MIN(Reference!$A$11,MIN($U99,210)))-INDEX(Reference!$A$6:$A$11,MIN(5,MATCH(MAX(Reference!$A$6,MIN(Reference!$A$11,MIN($U99,210))),Reference!$A$6:$A$11,1))))*(INDEX(Reference!$B$6:$B$11,MIN(5,MATCH(MAX(Reference!$A$6,MIN(Reference!$A$11,MIN($U99,210))),Reference!$A$6:$A$11,1))+1)-INDEX(Reference!$B$6:$B$11,MIN(5,MATCH(MAX(Reference!$A$6,MIN(Reference!$A$11,MIN($U99,210))),Reference!$A$6:$A$11,1))))/(INDEX(Reference!$A$6:$A$11,MIN(5,MATCH(MAX(Reference!$A$6,MIN(Reference!$A$11,MIN($U99,210))),Reference!$A$6:$A$11,1))+1)-INDEX(Reference!$A$6:$A$11,MIN(5,MATCH(MAX(Reference!$A$6,MIN(Reference!$A$11,MIN($U99,210))),Reference!$A$6:$A$11,1))))),0)+IF(6&lt;=$AL99,($AL99-6+3)*(INDEX(Reference!$B$6:$B$11,MIN(5,MATCH(MAX(Reference!$A$6,MIN(Reference!$A$11,MIN($U99,240))),Reference!$A$6:$A$11,1)))+(MAX(Reference!$A$6,MIN(Reference!$A$11,MIN($U99,240)))-INDEX(Reference!$A$6:$A$11,MIN(5,MATCH(MAX(Reference!$A$6,MIN(Reference!$A$11,MIN($U99,240))),Reference!$A$6:$A$11,1))))*(INDEX(Reference!$B$6:$B$11,MIN(5,MATCH(MAX(Reference!$A$6,MIN(Reference!$A$11,MIN($U99,240))),Reference!$A$6:$A$11,1))+1)-INDEX(Reference!$B$6:$B$11,MIN(5,MATCH(MAX(Reference!$A$6,MIN(Reference!$A$11,MIN($U99,240))),Reference!$A$6:$A$11,1))))/(INDEX(Reference!$A$6:$A$11,MIN(5,MATCH(MAX(Reference!$A$6,MIN(Reference!$A$11,MIN($U99,240))),Reference!$A$6:$A$11,1))+1)-INDEX(Reference!$A$6:$A$11,MIN(5,MATCH(MAX(Reference!$A$6,MIN(Reference!$A$11,MIN($U99,240))),Reference!$A$6:$A$11,1))))),0)+IF(7&lt;=$AL99,($AL99-7+3)*(INDEX(Reference!$B$6:$B$11,MIN(5,MATCH(MAX(Reference!$A$6,MIN(Reference!$A$11,MIN($U99,270))),Reference!$A$6:$A$11,1)))+(MAX(Reference!$A$6,MIN(Reference!$A$11,MIN($U99,270)))-INDEX(Reference!$A$6:$A$11,MIN(5,MATCH(MAX(Reference!$A$6,MIN(Reference!$A$11,MIN($U99,270))),Reference!$A$6:$A$11,1))))*(INDEX(Reference!$B$6:$B$11,MIN(5,MATCH(MAX(Reference!$A$6,MIN(Reference!$A$11,MIN($U99,270))),Reference!$A$6:$A$11,1))+1)-INDEX(Reference!$B$6:$B$11,MIN(5,MATCH(MAX(Reference!$A$6,MIN(Reference!$A$11,MIN($U99,270))),Reference!$A$6:$A$11,1))))/(INDEX(Reference!$A$6:$A$11,MIN(5,MATCH(MAX(Reference!$A$6,MIN(Reference!$A$11,MIN($U99,270))),Reference!$A$6:$A$11,1))+1)-INDEX(Reference!$A$6:$A$11,MIN(5,MATCH(MAX(Reference!$A$6,MIN(Reference!$A$11,MIN($U99,270))),Reference!$A$6:$A$11,1))))),0)+IF(8&lt;=$AL99,($AL99-8+3)*(INDEX(Reference!$B$6:$B$11,MIN(5,MATCH(MAX(Reference!$A$6,MIN(Reference!$A$11,MIN($U99,300))),Reference!$A$6:$A$11,1)))+(MAX(Reference!$A$6,MIN(Reference!$A$11,MIN($U99,300)))-INDEX(Reference!$A$6:$A$11,MIN(5,MATCH(MAX(Reference!$A$6,MIN(Reference!$A$11,MIN($U99,300))),Reference!$A$6:$A$11,1))))*(INDEX(Reference!$B$6:$B$11,MIN(5,MATCH(MAX(Reference!$A$6,MIN(Reference!$A$11,MIN($U99,300))),Reference!$A$6:$A$11,1))+1)-INDEX(Reference!$B$6:$B$11,MIN(5,MATCH(MAX(Reference!$A$6,MIN(Reference!$A$11,MIN($U99,300))),Reference!$A$6:$A$11,1))))/(INDEX(Reference!$A$6:$A$11,MIN(5,MATCH(MAX(Reference!$A$6,MIN(Reference!$A$11,MIN($U99,300))),Reference!$A$6:$A$11,1))+1)-INDEX(Reference!$A$6:$A$11,MIN(5,MATCH(MAX(Reference!$A$6,MIN(Reference!$A$11,MIN($U99,300))),Reference!$A$6:$A$11,1))))),0))/($AL99*($AL99+5)/2)),$AN99))</f>
        <v>1.1499999999999999</v>
      </c>
      <c r="AN99" s="32">
        <f>IF($U99="",0,(INDEX(Reference!$B$6:$B$11,MIN(5,MATCH(MAX(Reference!$A$6,MIN(Reference!$A$11,$U99)),Reference!$A$6:$A$11,1)))+(MAX(Reference!$A$6,MIN(Reference!$A$11,$U99))-INDEX(Reference!$A$6:$A$11,MIN(5,MATCH(MAX(Reference!$A$6,MIN(Reference!$A$11,$U99)),Reference!$A$6:$A$11,1))))*(INDEX(Reference!$B$6:$B$11,MIN(5,MATCH(MAX(Reference!$A$6,MIN(Reference!$A$11,$U99)),Reference!$A$6:$A$11,1))+1)-INDEX(Reference!$B$6:$B$11,MIN(5,MATCH(MAX(Reference!$A$6,MIN(Reference!$A$11,$U99)),Reference!$A$6:$A$11,1))))/(INDEX(Reference!$A$6:$A$11,MIN(5,MATCH(MAX(Reference!$A$6,MIN(Reference!$A$11,$U99)),Reference!$A$6:$A$11,1))+1)-INDEX(Reference!$A$6:$A$11,MIN(5,MATCH(MAX(Reference!$A$6,MIN(Reference!$A$11,$U99)),Reference!$A$6:$A$11,1))))))</f>
        <v>1.1499999999999999</v>
      </c>
      <c r="AO99" s="37"/>
      <c r="AP99" s="37"/>
      <c r="AQ99" s="37"/>
    </row>
    <row r="100" spans="1:43" ht="26.4" x14ac:dyDescent="0.3">
      <c r="A100" s="48">
        <f t="shared" si="30"/>
        <v>46364</v>
      </c>
      <c r="B100" s="32" t="str">
        <f t="shared" si="31"/>
        <v>Tue</v>
      </c>
      <c r="C100" s="32">
        <f t="shared" si="32"/>
        <v>27</v>
      </c>
      <c r="D100" s="32" t="str">
        <f t="shared" si="33"/>
        <v>Flat Ground / Intent</v>
      </c>
      <c r="E100" s="32" t="str">
        <f t="shared" si="34"/>
        <v>High Non-Bullpen</v>
      </c>
      <c r="F100" s="32" t="str">
        <f t="shared" si="35"/>
        <v>Long Toss</v>
      </c>
      <c r="G100" s="47" t="str">
        <f t="shared" si="36"/>
        <v>Long toss out to 180 ft — 38 throws (90×13 · 120×10 · 150×9 · 180×6) @ 79–81 mph + 60 ft × 15 @ 79–81 mph</v>
      </c>
      <c r="H100" s="30">
        <f t="shared" si="37"/>
        <v>51.433333333333337</v>
      </c>
      <c r="I100" s="46">
        <f>IF($A100="","",IF(AND($L100&lt;27,$K$12=0),"Building",IFERROR(((SUM($H$94:$H100)+$K$12*IF($L100&lt;6,SUMIFS('Throw Log'!$Q$5:$Q$300,'Throw Log'!$B$5:$B$300,$D$4,'Throw Log'!$A$5:$A$300,"&gt;="&amp;($D$6+$L100-6),'Throw Log'!$A$5:$A$300,"&lt;="&amp;($D$6-1)),0))/7)/((SUM($H$73:$H100)+$K$12*IF($L100&lt;27,SUMIFS('Throw Log'!$Q$5:$Q$300,'Throw Log'!$B$5:$B$300,$D$4,'Throw Log'!$A$5:$A$300,"&gt;="&amp;($D$6+$L100-27),'Throw Log'!$A$5:$A$300,"&lt;="&amp;($D$6-1)),0))/28),"")))</f>
        <v>1.2657053458104375</v>
      </c>
      <c r="J100" s="37"/>
      <c r="K100" s="37"/>
      <c r="L100" s="32">
        <v>57</v>
      </c>
      <c r="M100" s="32">
        <f t="shared" si="38"/>
        <v>9</v>
      </c>
      <c r="N100" s="32">
        <f t="shared" si="39"/>
        <v>1</v>
      </c>
      <c r="O100" s="32">
        <f t="shared" si="40"/>
        <v>0.75</v>
      </c>
      <c r="P100" s="32">
        <f>IF(OR($A100="",N($C100)&lt;=7),"",$G$6*$G$9^($M100-1)*IF(AND(MOD($M100,Reference!$B$99)=0,$M100&lt;=$G$5-2),Reference!$B$100,1))</f>
        <v>205.39822006322521</v>
      </c>
      <c r="Q100" s="32">
        <f>IF($P100="","",IF(SUM($AK$99:$AK$105)=0,0,$P100*INDEX(Reference!$B$108:$B$114,$N100+1)/SUM($AK$99:$AK$105)))</f>
        <v>51.829457399131599</v>
      </c>
      <c r="R100" s="32">
        <f t="shared" si="41"/>
        <v>180</v>
      </c>
      <c r="S100" s="32">
        <f t="shared" si="42"/>
        <v>150</v>
      </c>
      <c r="T100" s="32" t="str">
        <f>IF($A100="","",IF($C100=0,"Bullpen",IF(OR($C100=7,$C100=1,$C100=5),"Recovery/Easy Catch",IF($C100=6,"Compression/Pulldowns",IF(OR($C100=4,$C100=2),"Long Toss",IF($C100=3,"No Throw",IF($N100=2,"No Throw",IF($N100=6,IF($O100&lt;Reference!$B$104,"No Throw","Recovery/Easy Catch"),IF(OR($N100=0,$N100=4),"Recovery/Easy Catch",IF($N100=1,IF($R100&gt;75,"Long Toss","Recovery/Easy Catch"),IF($N100=3,IF($O100&lt;0.5,IF($S100&gt;75,"Long Toss","Recovery/Easy Catch"),"Compression/Pulldowns"),IF($S100&gt;75,"Long Toss","Recovery/Easy Catch"))))))))))))</f>
        <v>Long Toss</v>
      </c>
      <c r="U100" s="32">
        <f t="shared" si="43"/>
        <v>180</v>
      </c>
      <c r="V100" s="32">
        <f t="shared" si="44"/>
        <v>10</v>
      </c>
      <c r="W100" s="32">
        <f t="shared" si="45"/>
        <v>12</v>
      </c>
      <c r="X100" s="32">
        <f t="shared" si="46"/>
        <v>15</v>
      </c>
      <c r="Y100" s="32">
        <f t="shared" si="47"/>
        <v>10</v>
      </c>
      <c r="Z100" s="32">
        <f t="shared" si="48"/>
        <v>12</v>
      </c>
      <c r="AA100" s="32" t="str">
        <f t="shared" si="49"/>
        <v/>
      </c>
      <c r="AB100" s="32">
        <f>IF($A100="","",IF($T100="No Throw",0,IF($K100&lt;&gt;"",$K100,IF($AA100&lt;&gt;"",ROUND($AA100*$D$12*IF($C100=0,1,$G$10),0),MIN(IF($T100="Recovery/Easy Catch",Reference!$B$103,IF($T100="Long Toss",Reference!$B$106,Reference!$B$102)),MAX(Reference!$B$101,ROUND(MAX(0,$Q100-$AE100)/$AF100,0)))))))</f>
        <v>38</v>
      </c>
      <c r="AC100" s="32">
        <f t="shared" si="50"/>
        <v>0</v>
      </c>
      <c r="AD100" s="32" t="b">
        <f t="shared" si="51"/>
        <v>0</v>
      </c>
      <c r="AE100" s="32">
        <f>IF($X100=0,0,$X100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100+$Z100)/2,0),Reference!$A$17:$B$20,2,TRUE()))</f>
        <v>9</v>
      </c>
      <c r="AF100" s="32">
        <f>IF(OR($A100="",$U100="",$T100="No Throw"),0,$AM100*VLOOKUP(MAX(($V100+$W100)/2,0),Reference!$A$17:$B$20,2,TRUE()))</f>
        <v>1.1166666666666667</v>
      </c>
      <c r="AG100" s="32">
        <f>IF($AC100=0,0,$AC100*INDEX(Reference!$B$61:$B$62,MATCH("Bullpen",Reference!$A$61:$A$62,0))*VLOOKUP(MAX($D$5-($D$9+$E$9)/2,0),Reference!$A$17:$B$20,2,TRUE()))</f>
        <v>0</v>
      </c>
      <c r="AH100" s="46">
        <f t="shared" si="52"/>
        <v>1.2657053458104375</v>
      </c>
      <c r="AI100" s="32">
        <f>IF($A100="",NA(),Reference!$A$25)</f>
        <v>0.8</v>
      </c>
      <c r="AJ100" s="32">
        <f t="shared" si="53"/>
        <v>1.3</v>
      </c>
      <c r="AK100" s="56">
        <f>IF(OR($A100="",N($C100)&lt;=7,$T100="No Throw",$J100="x"),0,INDEX(Reference!$B$108:$B$114,$N100+1))</f>
        <v>0.27</v>
      </c>
      <c r="AL100" s="32">
        <f t="shared" si="54"/>
        <v>4</v>
      </c>
      <c r="AM100" s="32">
        <f>IF($U100="",0,IF($AL100&gt;1,((IF(1&lt;=$AL100,($AL100-1+3)*(INDEX(Reference!$B$6:$B$11,MIN(5,MATCH(MAX(Reference!$A$6,MIN(Reference!$A$11,MIN($U100,90))),Reference!$A$6:$A$11,1)))+(MAX(Reference!$A$6,MIN(Reference!$A$11,MIN($U100,90)))-INDEX(Reference!$A$6:$A$11,MIN(5,MATCH(MAX(Reference!$A$6,MIN(Reference!$A$11,MIN($U100,90))),Reference!$A$6:$A$11,1))))*(INDEX(Reference!$B$6:$B$11,MIN(5,MATCH(MAX(Reference!$A$6,MIN(Reference!$A$11,MIN($U100,90))),Reference!$A$6:$A$11,1))+1)-INDEX(Reference!$B$6:$B$11,MIN(5,MATCH(MAX(Reference!$A$6,MIN(Reference!$A$11,MIN($U100,90))),Reference!$A$6:$A$11,1))))/(INDEX(Reference!$A$6:$A$11,MIN(5,MATCH(MAX(Reference!$A$6,MIN(Reference!$A$11,MIN($U100,90))),Reference!$A$6:$A$11,1))+1)-INDEX(Reference!$A$6:$A$11,MIN(5,MATCH(MAX(Reference!$A$6,MIN(Reference!$A$11,MIN($U100,90))),Reference!$A$6:$A$11,1))))),0)+IF(2&lt;=$AL100,($AL100-2+3)*(INDEX(Reference!$B$6:$B$11,MIN(5,MATCH(MAX(Reference!$A$6,MIN(Reference!$A$11,MIN($U100,120))),Reference!$A$6:$A$11,1)))+(MAX(Reference!$A$6,MIN(Reference!$A$11,MIN($U100,120)))-INDEX(Reference!$A$6:$A$11,MIN(5,MATCH(MAX(Reference!$A$6,MIN(Reference!$A$11,MIN($U100,120))),Reference!$A$6:$A$11,1))))*(INDEX(Reference!$B$6:$B$11,MIN(5,MATCH(MAX(Reference!$A$6,MIN(Reference!$A$11,MIN($U100,120))),Reference!$A$6:$A$11,1))+1)-INDEX(Reference!$B$6:$B$11,MIN(5,MATCH(MAX(Reference!$A$6,MIN(Reference!$A$11,MIN($U100,120))),Reference!$A$6:$A$11,1))))/(INDEX(Reference!$A$6:$A$11,MIN(5,MATCH(MAX(Reference!$A$6,MIN(Reference!$A$11,MIN($U100,120))),Reference!$A$6:$A$11,1))+1)-INDEX(Reference!$A$6:$A$11,MIN(5,MATCH(MAX(Reference!$A$6,MIN(Reference!$A$11,MIN($U100,120))),Reference!$A$6:$A$11,1))))),0)+IF(3&lt;=$AL100,($AL100-3+3)*(INDEX(Reference!$B$6:$B$11,MIN(5,MATCH(MAX(Reference!$A$6,MIN(Reference!$A$11,MIN($U100,150))),Reference!$A$6:$A$11,1)))+(MAX(Reference!$A$6,MIN(Reference!$A$11,MIN($U100,150)))-INDEX(Reference!$A$6:$A$11,MIN(5,MATCH(MAX(Reference!$A$6,MIN(Reference!$A$11,MIN($U100,150))),Reference!$A$6:$A$11,1))))*(INDEX(Reference!$B$6:$B$11,MIN(5,MATCH(MAX(Reference!$A$6,MIN(Reference!$A$11,MIN($U100,150))),Reference!$A$6:$A$11,1))+1)-INDEX(Reference!$B$6:$B$11,MIN(5,MATCH(MAX(Reference!$A$6,MIN(Reference!$A$11,MIN($U100,150))),Reference!$A$6:$A$11,1))))/(INDEX(Reference!$A$6:$A$11,MIN(5,MATCH(MAX(Reference!$A$6,MIN(Reference!$A$11,MIN($U100,150))),Reference!$A$6:$A$11,1))+1)-INDEX(Reference!$A$6:$A$11,MIN(5,MATCH(MAX(Reference!$A$6,MIN(Reference!$A$11,MIN($U100,150))),Reference!$A$6:$A$11,1))))),0)+IF(4&lt;=$AL100,($AL100-4+3)*(INDEX(Reference!$B$6:$B$11,MIN(5,MATCH(MAX(Reference!$A$6,MIN(Reference!$A$11,MIN($U100,180))),Reference!$A$6:$A$11,1)))+(MAX(Reference!$A$6,MIN(Reference!$A$11,MIN($U100,180)))-INDEX(Reference!$A$6:$A$11,MIN(5,MATCH(MAX(Reference!$A$6,MIN(Reference!$A$11,MIN($U100,180))),Reference!$A$6:$A$11,1))))*(INDEX(Reference!$B$6:$B$11,MIN(5,MATCH(MAX(Reference!$A$6,MIN(Reference!$A$11,MIN($U100,180))),Reference!$A$6:$A$11,1))+1)-INDEX(Reference!$B$6:$B$11,MIN(5,MATCH(MAX(Reference!$A$6,MIN(Reference!$A$11,MIN($U100,180))),Reference!$A$6:$A$11,1))))/(INDEX(Reference!$A$6:$A$11,MIN(5,MATCH(MAX(Reference!$A$6,MIN(Reference!$A$11,MIN($U100,180))),Reference!$A$6:$A$11,1))+1)-INDEX(Reference!$A$6:$A$11,MIN(5,MATCH(MAX(Reference!$A$6,MIN(Reference!$A$11,MIN($U100,180))),Reference!$A$6:$A$11,1))))),0)+IF(5&lt;=$AL100,($AL100-5+3)*(INDEX(Reference!$B$6:$B$11,MIN(5,MATCH(MAX(Reference!$A$6,MIN(Reference!$A$11,MIN($U100,210))),Reference!$A$6:$A$11,1)))+(MAX(Reference!$A$6,MIN(Reference!$A$11,MIN($U100,210)))-INDEX(Reference!$A$6:$A$11,MIN(5,MATCH(MAX(Reference!$A$6,MIN(Reference!$A$11,MIN($U100,210))),Reference!$A$6:$A$11,1))))*(INDEX(Reference!$B$6:$B$11,MIN(5,MATCH(MAX(Reference!$A$6,MIN(Reference!$A$11,MIN($U100,210))),Reference!$A$6:$A$11,1))+1)-INDEX(Reference!$B$6:$B$11,MIN(5,MATCH(MAX(Reference!$A$6,MIN(Reference!$A$11,MIN($U100,210))),Reference!$A$6:$A$11,1))))/(INDEX(Reference!$A$6:$A$11,MIN(5,MATCH(MAX(Reference!$A$6,MIN(Reference!$A$11,MIN($U100,210))),Reference!$A$6:$A$11,1))+1)-INDEX(Reference!$A$6:$A$11,MIN(5,MATCH(MAX(Reference!$A$6,MIN(Reference!$A$11,MIN($U100,210))),Reference!$A$6:$A$11,1))))),0)+IF(6&lt;=$AL100,($AL100-6+3)*(INDEX(Reference!$B$6:$B$11,MIN(5,MATCH(MAX(Reference!$A$6,MIN(Reference!$A$11,MIN($U100,240))),Reference!$A$6:$A$11,1)))+(MAX(Reference!$A$6,MIN(Reference!$A$11,MIN($U100,240)))-INDEX(Reference!$A$6:$A$11,MIN(5,MATCH(MAX(Reference!$A$6,MIN(Reference!$A$11,MIN($U100,240))),Reference!$A$6:$A$11,1))))*(INDEX(Reference!$B$6:$B$11,MIN(5,MATCH(MAX(Reference!$A$6,MIN(Reference!$A$11,MIN($U100,240))),Reference!$A$6:$A$11,1))+1)-INDEX(Reference!$B$6:$B$11,MIN(5,MATCH(MAX(Reference!$A$6,MIN(Reference!$A$11,MIN($U100,240))),Reference!$A$6:$A$11,1))))/(INDEX(Reference!$A$6:$A$11,MIN(5,MATCH(MAX(Reference!$A$6,MIN(Reference!$A$11,MIN($U100,240))),Reference!$A$6:$A$11,1))+1)-INDEX(Reference!$A$6:$A$11,MIN(5,MATCH(MAX(Reference!$A$6,MIN(Reference!$A$11,MIN($U100,240))),Reference!$A$6:$A$11,1))))),0)+IF(7&lt;=$AL100,($AL100-7+3)*(INDEX(Reference!$B$6:$B$11,MIN(5,MATCH(MAX(Reference!$A$6,MIN(Reference!$A$11,MIN($U100,270))),Reference!$A$6:$A$11,1)))+(MAX(Reference!$A$6,MIN(Reference!$A$11,MIN($U100,270)))-INDEX(Reference!$A$6:$A$11,MIN(5,MATCH(MAX(Reference!$A$6,MIN(Reference!$A$11,MIN($U100,270))),Reference!$A$6:$A$11,1))))*(INDEX(Reference!$B$6:$B$11,MIN(5,MATCH(MAX(Reference!$A$6,MIN(Reference!$A$11,MIN($U100,270))),Reference!$A$6:$A$11,1))+1)-INDEX(Reference!$B$6:$B$11,MIN(5,MATCH(MAX(Reference!$A$6,MIN(Reference!$A$11,MIN($U100,270))),Reference!$A$6:$A$11,1))))/(INDEX(Reference!$A$6:$A$11,MIN(5,MATCH(MAX(Reference!$A$6,MIN(Reference!$A$11,MIN($U100,270))),Reference!$A$6:$A$11,1))+1)-INDEX(Reference!$A$6:$A$11,MIN(5,MATCH(MAX(Reference!$A$6,MIN(Reference!$A$11,MIN($U100,270))),Reference!$A$6:$A$11,1))))),0)+IF(8&lt;=$AL100,($AL100-8+3)*(INDEX(Reference!$B$6:$B$11,MIN(5,MATCH(MAX(Reference!$A$6,MIN(Reference!$A$11,MIN($U100,300))),Reference!$A$6:$A$11,1)))+(MAX(Reference!$A$6,MIN(Reference!$A$11,MIN($U100,300)))-INDEX(Reference!$A$6:$A$11,MIN(5,MATCH(MAX(Reference!$A$6,MIN(Reference!$A$11,MIN($U100,300))),Reference!$A$6:$A$11,1))))*(INDEX(Reference!$B$6:$B$11,MIN(5,MATCH(MAX(Reference!$A$6,MIN(Reference!$A$11,MIN($U100,300))),Reference!$A$6:$A$11,1))+1)-INDEX(Reference!$B$6:$B$11,MIN(5,MATCH(MAX(Reference!$A$6,MIN(Reference!$A$11,MIN($U100,300))),Reference!$A$6:$A$11,1))))/(INDEX(Reference!$A$6:$A$11,MIN(5,MATCH(MAX(Reference!$A$6,MIN(Reference!$A$11,MIN($U100,300))),Reference!$A$6:$A$11,1))+1)-INDEX(Reference!$A$6:$A$11,MIN(5,MATCH(MAX(Reference!$A$6,MIN(Reference!$A$11,MIN($U100,300))),Reference!$A$6:$A$11,1))))),0))/($AL100*($AL100+5)/2)),$AN100))</f>
        <v>1.8611111111111112</v>
      </c>
      <c r="AN100" s="32">
        <f>IF($U100="",0,(INDEX(Reference!$B$6:$B$11,MIN(5,MATCH(MAX(Reference!$A$6,MIN(Reference!$A$11,$U100)),Reference!$A$6:$A$11,1)))+(MAX(Reference!$A$6,MIN(Reference!$A$11,$U100))-INDEX(Reference!$A$6:$A$11,MIN(5,MATCH(MAX(Reference!$A$6,MIN(Reference!$A$11,$U100)),Reference!$A$6:$A$11,1))))*(INDEX(Reference!$B$6:$B$11,MIN(5,MATCH(MAX(Reference!$A$6,MIN(Reference!$A$11,$U100)),Reference!$A$6:$A$11,1))+1)-INDEX(Reference!$B$6:$B$11,MIN(5,MATCH(MAX(Reference!$A$6,MIN(Reference!$A$11,$U100)),Reference!$A$6:$A$11,1))))/(INDEX(Reference!$A$6:$A$11,MIN(5,MATCH(MAX(Reference!$A$6,MIN(Reference!$A$11,$U100)),Reference!$A$6:$A$11,1))+1)-INDEX(Reference!$A$6:$A$11,MIN(5,MATCH(MAX(Reference!$A$6,MIN(Reference!$A$11,$U100)),Reference!$A$6:$A$11,1))))))</f>
        <v>2.8</v>
      </c>
      <c r="AO100" s="37"/>
      <c r="AP100" s="37"/>
      <c r="AQ100" s="37"/>
    </row>
    <row r="101" spans="1:43" x14ac:dyDescent="0.3">
      <c r="A101" s="48">
        <f t="shared" si="30"/>
        <v>46365</v>
      </c>
      <c r="B101" s="32" t="str">
        <f t="shared" si="31"/>
        <v>Wed</v>
      </c>
      <c r="C101" s="32">
        <f t="shared" si="32"/>
        <v>26</v>
      </c>
      <c r="D101" s="32" t="str">
        <f t="shared" si="33"/>
        <v>Flat Ground / Intent</v>
      </c>
      <c r="E101" s="32" t="str">
        <f t="shared" si="34"/>
        <v>No Throw</v>
      </c>
      <c r="F101" s="32" t="str">
        <f t="shared" si="35"/>
        <v>No Throw</v>
      </c>
      <c r="G101" s="47" t="str">
        <f t="shared" si="36"/>
        <v>Off</v>
      </c>
      <c r="H101" s="30">
        <f t="shared" si="37"/>
        <v>0</v>
      </c>
      <c r="I101" s="46">
        <f>IF($A101="","",IF(AND($L101&lt;27,$K$12=0),"Building",IFERROR(((SUM($H$95:$H101)+$K$12*IF($L101&lt;6,SUMIFS('Throw Log'!$Q$5:$Q$300,'Throw Log'!$B$5:$B$300,$D$4,'Throw Log'!$A$5:$A$300,"&gt;="&amp;($D$6+$L101-6),'Throw Log'!$A$5:$A$300,"&lt;="&amp;($D$6-1)),0))/7)/((SUM($H$74:$H101)+$K$12*IF($L101&lt;27,SUMIFS('Throw Log'!$Q$5:$Q$300,'Throw Log'!$B$5:$B$300,$D$4,'Throw Log'!$A$5:$A$300,"&gt;="&amp;($D$6+$L101-27),'Throw Log'!$A$5:$A$300,"&lt;="&amp;($D$6-1)),0))/28),"")))</f>
        <v>1.2657053458104375</v>
      </c>
      <c r="J101" s="37"/>
      <c r="K101" s="37"/>
      <c r="L101" s="32">
        <v>58</v>
      </c>
      <c r="M101" s="32">
        <f t="shared" si="38"/>
        <v>9</v>
      </c>
      <c r="N101" s="32">
        <f t="shared" si="39"/>
        <v>2</v>
      </c>
      <c r="O101" s="32">
        <f t="shared" si="40"/>
        <v>0.76315789473684215</v>
      </c>
      <c r="P101" s="32">
        <f>IF(OR($A101="",N($C101)&lt;=7),"",$G$6*$G$9^($M101-1)*IF(AND(MOD($M101,Reference!$B$99)=0,$M101&lt;=$G$5-2),Reference!$B$100,1))</f>
        <v>205.39822006322521</v>
      </c>
      <c r="Q101" s="32">
        <f>IF($P101="","",IF(SUM($AK$99:$AK$105)=0,0,$P101*INDEX(Reference!$B$108:$B$114,$N101+1)/SUM($AK$99:$AK$105)))</f>
        <v>0</v>
      </c>
      <c r="R101" s="32">
        <f t="shared" si="41"/>
        <v>180</v>
      </c>
      <c r="S101" s="32">
        <f t="shared" si="42"/>
        <v>150</v>
      </c>
      <c r="T101" s="32" t="str">
        <f>IF($A101="","",IF($C101=0,"Bullpen",IF(OR($C101=7,$C101=1,$C101=5),"Recovery/Easy Catch",IF($C101=6,"Compression/Pulldowns",IF(OR($C101=4,$C101=2),"Long Toss",IF($C101=3,"No Throw",IF($N101=2,"No Throw",IF($N101=6,IF($O101&lt;Reference!$B$104,"No Throw","Recovery/Easy Catch"),IF(OR($N101=0,$N101=4),"Recovery/Easy Catch",IF($N101=1,IF($R101&gt;75,"Long Toss","Recovery/Easy Catch"),IF($N101=3,IF($O101&lt;0.5,IF($S101&gt;75,"Long Toss","Recovery/Easy Catch"),"Compression/Pulldowns"),IF($S101&gt;75,"Long Toss","Recovery/Easy Catch"))))))))))))</f>
        <v>No Throw</v>
      </c>
      <c r="U101" s="32" t="str">
        <f t="shared" si="43"/>
        <v/>
      </c>
      <c r="V101" s="32" t="str">
        <f t="shared" si="44"/>
        <v/>
      </c>
      <c r="W101" s="32" t="str">
        <f t="shared" si="45"/>
        <v/>
      </c>
      <c r="X101" s="32">
        <f t="shared" si="46"/>
        <v>0</v>
      </c>
      <c r="Y101" s="32" t="str">
        <f t="shared" si="47"/>
        <v/>
      </c>
      <c r="Z101" s="32" t="str">
        <f t="shared" si="48"/>
        <v/>
      </c>
      <c r="AA101" s="32" t="str">
        <f t="shared" si="49"/>
        <v/>
      </c>
      <c r="AB101" s="32">
        <f>IF($A101="","",IF($T101="No Throw",0,IF($K101&lt;&gt;"",$K101,IF($AA101&lt;&gt;"",ROUND($AA101*$D$12*IF($C101=0,1,$G$10),0),MIN(IF($T101="Recovery/Easy Catch",Reference!$B$103,IF($T101="Long Toss",Reference!$B$106,Reference!$B$102)),MAX(Reference!$B$101,ROUND(MAX(0,$Q101-$AE101)/$AF101,0)))))))</f>
        <v>0</v>
      </c>
      <c r="AC101" s="32">
        <f t="shared" si="50"/>
        <v>0</v>
      </c>
      <c r="AD101" s="32" t="b">
        <f t="shared" si="51"/>
        <v>1</v>
      </c>
      <c r="AE101" s="32">
        <f>IF($X101=0,0,$X101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101+$Z101)/2,0),Reference!$A$17:$B$20,2,TRUE()))</f>
        <v>0</v>
      </c>
      <c r="AF101" s="32">
        <f>IF(OR($A101="",$U101="",$T101="No Throw"),0,$AM101*VLOOKUP(MAX(($V101+$W101)/2,0),Reference!$A$17:$B$20,2,TRUE()))</f>
        <v>0</v>
      </c>
      <c r="AG101" s="32">
        <f>IF($AC101=0,0,$AC101*INDEX(Reference!$B$61:$B$62,MATCH("Bullpen",Reference!$A$61:$A$62,0))*VLOOKUP(MAX($D$5-($D$9+$E$9)/2,0),Reference!$A$17:$B$20,2,TRUE()))</f>
        <v>0</v>
      </c>
      <c r="AH101" s="46">
        <f t="shared" si="52"/>
        <v>1.2657053458104375</v>
      </c>
      <c r="AI101" s="32">
        <f>IF($A101="",NA(),Reference!$A$25)</f>
        <v>0.8</v>
      </c>
      <c r="AJ101" s="32">
        <f t="shared" si="53"/>
        <v>1.3</v>
      </c>
      <c r="AK101" s="32">
        <f>IF(OR($A101="",N($C101)&lt;=7,$T101="No Throw",$J101="x"),0,INDEX(Reference!$B$108:$B$114,$N101+1))</f>
        <v>0</v>
      </c>
      <c r="AL101" s="32">
        <f t="shared" si="54"/>
        <v>1</v>
      </c>
      <c r="AM101" s="32">
        <f>IF($U101="",0,IF($AL101&gt;1,((IF(1&lt;=$AL101,($AL101-1+3)*(INDEX(Reference!$B$6:$B$11,MIN(5,MATCH(MAX(Reference!$A$6,MIN(Reference!$A$11,MIN($U101,90))),Reference!$A$6:$A$11,1)))+(MAX(Reference!$A$6,MIN(Reference!$A$11,MIN($U101,90)))-INDEX(Reference!$A$6:$A$11,MIN(5,MATCH(MAX(Reference!$A$6,MIN(Reference!$A$11,MIN($U101,90))),Reference!$A$6:$A$11,1))))*(INDEX(Reference!$B$6:$B$11,MIN(5,MATCH(MAX(Reference!$A$6,MIN(Reference!$A$11,MIN($U101,90))),Reference!$A$6:$A$11,1))+1)-INDEX(Reference!$B$6:$B$11,MIN(5,MATCH(MAX(Reference!$A$6,MIN(Reference!$A$11,MIN($U101,90))),Reference!$A$6:$A$11,1))))/(INDEX(Reference!$A$6:$A$11,MIN(5,MATCH(MAX(Reference!$A$6,MIN(Reference!$A$11,MIN($U101,90))),Reference!$A$6:$A$11,1))+1)-INDEX(Reference!$A$6:$A$11,MIN(5,MATCH(MAX(Reference!$A$6,MIN(Reference!$A$11,MIN($U101,90))),Reference!$A$6:$A$11,1))))),0)+IF(2&lt;=$AL101,($AL101-2+3)*(INDEX(Reference!$B$6:$B$11,MIN(5,MATCH(MAX(Reference!$A$6,MIN(Reference!$A$11,MIN($U101,120))),Reference!$A$6:$A$11,1)))+(MAX(Reference!$A$6,MIN(Reference!$A$11,MIN($U101,120)))-INDEX(Reference!$A$6:$A$11,MIN(5,MATCH(MAX(Reference!$A$6,MIN(Reference!$A$11,MIN($U101,120))),Reference!$A$6:$A$11,1))))*(INDEX(Reference!$B$6:$B$11,MIN(5,MATCH(MAX(Reference!$A$6,MIN(Reference!$A$11,MIN($U101,120))),Reference!$A$6:$A$11,1))+1)-INDEX(Reference!$B$6:$B$11,MIN(5,MATCH(MAX(Reference!$A$6,MIN(Reference!$A$11,MIN($U101,120))),Reference!$A$6:$A$11,1))))/(INDEX(Reference!$A$6:$A$11,MIN(5,MATCH(MAX(Reference!$A$6,MIN(Reference!$A$11,MIN($U101,120))),Reference!$A$6:$A$11,1))+1)-INDEX(Reference!$A$6:$A$11,MIN(5,MATCH(MAX(Reference!$A$6,MIN(Reference!$A$11,MIN($U101,120))),Reference!$A$6:$A$11,1))))),0)+IF(3&lt;=$AL101,($AL101-3+3)*(INDEX(Reference!$B$6:$B$11,MIN(5,MATCH(MAX(Reference!$A$6,MIN(Reference!$A$11,MIN($U101,150))),Reference!$A$6:$A$11,1)))+(MAX(Reference!$A$6,MIN(Reference!$A$11,MIN($U101,150)))-INDEX(Reference!$A$6:$A$11,MIN(5,MATCH(MAX(Reference!$A$6,MIN(Reference!$A$11,MIN($U101,150))),Reference!$A$6:$A$11,1))))*(INDEX(Reference!$B$6:$B$11,MIN(5,MATCH(MAX(Reference!$A$6,MIN(Reference!$A$11,MIN($U101,150))),Reference!$A$6:$A$11,1))+1)-INDEX(Reference!$B$6:$B$11,MIN(5,MATCH(MAX(Reference!$A$6,MIN(Reference!$A$11,MIN($U101,150))),Reference!$A$6:$A$11,1))))/(INDEX(Reference!$A$6:$A$11,MIN(5,MATCH(MAX(Reference!$A$6,MIN(Reference!$A$11,MIN($U101,150))),Reference!$A$6:$A$11,1))+1)-INDEX(Reference!$A$6:$A$11,MIN(5,MATCH(MAX(Reference!$A$6,MIN(Reference!$A$11,MIN($U101,150))),Reference!$A$6:$A$11,1))))),0)+IF(4&lt;=$AL101,($AL101-4+3)*(INDEX(Reference!$B$6:$B$11,MIN(5,MATCH(MAX(Reference!$A$6,MIN(Reference!$A$11,MIN($U101,180))),Reference!$A$6:$A$11,1)))+(MAX(Reference!$A$6,MIN(Reference!$A$11,MIN($U101,180)))-INDEX(Reference!$A$6:$A$11,MIN(5,MATCH(MAX(Reference!$A$6,MIN(Reference!$A$11,MIN($U101,180))),Reference!$A$6:$A$11,1))))*(INDEX(Reference!$B$6:$B$11,MIN(5,MATCH(MAX(Reference!$A$6,MIN(Reference!$A$11,MIN($U101,180))),Reference!$A$6:$A$11,1))+1)-INDEX(Reference!$B$6:$B$11,MIN(5,MATCH(MAX(Reference!$A$6,MIN(Reference!$A$11,MIN($U101,180))),Reference!$A$6:$A$11,1))))/(INDEX(Reference!$A$6:$A$11,MIN(5,MATCH(MAX(Reference!$A$6,MIN(Reference!$A$11,MIN($U101,180))),Reference!$A$6:$A$11,1))+1)-INDEX(Reference!$A$6:$A$11,MIN(5,MATCH(MAX(Reference!$A$6,MIN(Reference!$A$11,MIN($U101,180))),Reference!$A$6:$A$11,1))))),0)+IF(5&lt;=$AL101,($AL101-5+3)*(INDEX(Reference!$B$6:$B$11,MIN(5,MATCH(MAX(Reference!$A$6,MIN(Reference!$A$11,MIN($U101,210))),Reference!$A$6:$A$11,1)))+(MAX(Reference!$A$6,MIN(Reference!$A$11,MIN($U101,210)))-INDEX(Reference!$A$6:$A$11,MIN(5,MATCH(MAX(Reference!$A$6,MIN(Reference!$A$11,MIN($U101,210))),Reference!$A$6:$A$11,1))))*(INDEX(Reference!$B$6:$B$11,MIN(5,MATCH(MAX(Reference!$A$6,MIN(Reference!$A$11,MIN($U101,210))),Reference!$A$6:$A$11,1))+1)-INDEX(Reference!$B$6:$B$11,MIN(5,MATCH(MAX(Reference!$A$6,MIN(Reference!$A$11,MIN($U101,210))),Reference!$A$6:$A$11,1))))/(INDEX(Reference!$A$6:$A$11,MIN(5,MATCH(MAX(Reference!$A$6,MIN(Reference!$A$11,MIN($U101,210))),Reference!$A$6:$A$11,1))+1)-INDEX(Reference!$A$6:$A$11,MIN(5,MATCH(MAX(Reference!$A$6,MIN(Reference!$A$11,MIN($U101,210))),Reference!$A$6:$A$11,1))))),0)+IF(6&lt;=$AL101,($AL101-6+3)*(INDEX(Reference!$B$6:$B$11,MIN(5,MATCH(MAX(Reference!$A$6,MIN(Reference!$A$11,MIN($U101,240))),Reference!$A$6:$A$11,1)))+(MAX(Reference!$A$6,MIN(Reference!$A$11,MIN($U101,240)))-INDEX(Reference!$A$6:$A$11,MIN(5,MATCH(MAX(Reference!$A$6,MIN(Reference!$A$11,MIN($U101,240))),Reference!$A$6:$A$11,1))))*(INDEX(Reference!$B$6:$B$11,MIN(5,MATCH(MAX(Reference!$A$6,MIN(Reference!$A$11,MIN($U101,240))),Reference!$A$6:$A$11,1))+1)-INDEX(Reference!$B$6:$B$11,MIN(5,MATCH(MAX(Reference!$A$6,MIN(Reference!$A$11,MIN($U101,240))),Reference!$A$6:$A$11,1))))/(INDEX(Reference!$A$6:$A$11,MIN(5,MATCH(MAX(Reference!$A$6,MIN(Reference!$A$11,MIN($U101,240))),Reference!$A$6:$A$11,1))+1)-INDEX(Reference!$A$6:$A$11,MIN(5,MATCH(MAX(Reference!$A$6,MIN(Reference!$A$11,MIN($U101,240))),Reference!$A$6:$A$11,1))))),0)+IF(7&lt;=$AL101,($AL101-7+3)*(INDEX(Reference!$B$6:$B$11,MIN(5,MATCH(MAX(Reference!$A$6,MIN(Reference!$A$11,MIN($U101,270))),Reference!$A$6:$A$11,1)))+(MAX(Reference!$A$6,MIN(Reference!$A$11,MIN($U101,270)))-INDEX(Reference!$A$6:$A$11,MIN(5,MATCH(MAX(Reference!$A$6,MIN(Reference!$A$11,MIN($U101,270))),Reference!$A$6:$A$11,1))))*(INDEX(Reference!$B$6:$B$11,MIN(5,MATCH(MAX(Reference!$A$6,MIN(Reference!$A$11,MIN($U101,270))),Reference!$A$6:$A$11,1))+1)-INDEX(Reference!$B$6:$B$11,MIN(5,MATCH(MAX(Reference!$A$6,MIN(Reference!$A$11,MIN($U101,270))),Reference!$A$6:$A$11,1))))/(INDEX(Reference!$A$6:$A$11,MIN(5,MATCH(MAX(Reference!$A$6,MIN(Reference!$A$11,MIN($U101,270))),Reference!$A$6:$A$11,1))+1)-INDEX(Reference!$A$6:$A$11,MIN(5,MATCH(MAX(Reference!$A$6,MIN(Reference!$A$11,MIN($U101,270))),Reference!$A$6:$A$11,1))))),0)+IF(8&lt;=$AL101,($AL101-8+3)*(INDEX(Reference!$B$6:$B$11,MIN(5,MATCH(MAX(Reference!$A$6,MIN(Reference!$A$11,MIN($U101,300))),Reference!$A$6:$A$11,1)))+(MAX(Reference!$A$6,MIN(Reference!$A$11,MIN($U101,300)))-INDEX(Reference!$A$6:$A$11,MIN(5,MATCH(MAX(Reference!$A$6,MIN(Reference!$A$11,MIN($U101,300))),Reference!$A$6:$A$11,1))))*(INDEX(Reference!$B$6:$B$11,MIN(5,MATCH(MAX(Reference!$A$6,MIN(Reference!$A$11,MIN($U101,300))),Reference!$A$6:$A$11,1))+1)-INDEX(Reference!$B$6:$B$11,MIN(5,MATCH(MAX(Reference!$A$6,MIN(Reference!$A$11,MIN($U101,300))),Reference!$A$6:$A$11,1))))/(INDEX(Reference!$A$6:$A$11,MIN(5,MATCH(MAX(Reference!$A$6,MIN(Reference!$A$11,MIN($U101,300))),Reference!$A$6:$A$11,1))+1)-INDEX(Reference!$A$6:$A$11,MIN(5,MATCH(MAX(Reference!$A$6,MIN(Reference!$A$11,MIN($U101,300))),Reference!$A$6:$A$11,1))))),0))/($AL101*($AL101+5)/2)),$AN101))</f>
        <v>0</v>
      </c>
      <c r="AN101" s="32">
        <f>IF($U101="",0,(INDEX(Reference!$B$6:$B$11,MIN(5,MATCH(MAX(Reference!$A$6,MIN(Reference!$A$11,$U101)),Reference!$A$6:$A$11,1)))+(MAX(Reference!$A$6,MIN(Reference!$A$11,$U101))-INDEX(Reference!$A$6:$A$11,MIN(5,MATCH(MAX(Reference!$A$6,MIN(Reference!$A$11,$U101)),Reference!$A$6:$A$11,1))))*(INDEX(Reference!$B$6:$B$11,MIN(5,MATCH(MAX(Reference!$A$6,MIN(Reference!$A$11,$U101)),Reference!$A$6:$A$11,1))+1)-INDEX(Reference!$B$6:$B$11,MIN(5,MATCH(MAX(Reference!$A$6,MIN(Reference!$A$11,$U101)),Reference!$A$6:$A$11,1))))/(INDEX(Reference!$A$6:$A$11,MIN(5,MATCH(MAX(Reference!$A$6,MIN(Reference!$A$11,$U101)),Reference!$A$6:$A$11,1))+1)-INDEX(Reference!$A$6:$A$11,MIN(5,MATCH(MAX(Reference!$A$6,MIN(Reference!$A$11,$U101)),Reference!$A$6:$A$11,1))))))</f>
        <v>0</v>
      </c>
      <c r="AO101" s="37"/>
      <c r="AP101" s="37"/>
      <c r="AQ101" s="37"/>
    </row>
    <row r="102" spans="1:43" x14ac:dyDescent="0.3">
      <c r="A102" s="48">
        <f t="shared" si="30"/>
        <v>46366</v>
      </c>
      <c r="B102" s="32" t="str">
        <f t="shared" si="31"/>
        <v>Thu</v>
      </c>
      <c r="C102" s="32">
        <f t="shared" si="32"/>
        <v>25</v>
      </c>
      <c r="D102" s="32" t="str">
        <f t="shared" si="33"/>
        <v>Flat Ground / Intent</v>
      </c>
      <c r="E102" s="32" t="str">
        <f t="shared" si="34"/>
        <v>High Non-Bullpen</v>
      </c>
      <c r="F102" s="32" t="str">
        <f t="shared" si="35"/>
        <v>Compression/Pulldowns</v>
      </c>
      <c r="G102" s="47" t="str">
        <f t="shared" si="36"/>
        <v>90 ft × 20 @ 82–84 mph + flat ground at 60 ft × 20 @ 82–84 mph</v>
      </c>
      <c r="H102" s="30">
        <f t="shared" si="37"/>
        <v>46</v>
      </c>
      <c r="I102" s="46">
        <f>IF($A102="","",IF(AND($L102&lt;27,$K$12=0),"Building",IFERROR(((SUM($H$96:$H102)+$K$12*IF($L102&lt;6,SUMIFS('Throw Log'!$Q$5:$Q$300,'Throw Log'!$B$5:$B$300,$D$4,'Throw Log'!$A$5:$A$300,"&gt;="&amp;($D$6+$L102-6),'Throw Log'!$A$5:$A$300,"&lt;="&amp;($D$6-1)),0))/7)/((SUM($H$75:$H102)+$K$12*IF($L102&lt;27,SUMIFS('Throw Log'!$Q$5:$Q$300,'Throw Log'!$B$5:$B$300,$D$4,'Throw Log'!$A$5:$A$300,"&gt;="&amp;($D$6+$L102-27),'Throw Log'!$A$5:$A$300,"&lt;="&amp;($D$6-1)),0))/28),"")))</f>
        <v>1.2257653437783307</v>
      </c>
      <c r="J102" s="37"/>
      <c r="K102" s="37"/>
      <c r="L102" s="32">
        <v>59</v>
      </c>
      <c r="M102" s="32">
        <f t="shared" si="38"/>
        <v>9</v>
      </c>
      <c r="N102" s="32">
        <f t="shared" si="39"/>
        <v>3</v>
      </c>
      <c r="O102" s="32">
        <f t="shared" si="40"/>
        <v>0.77631578947368418</v>
      </c>
      <c r="P102" s="32">
        <f>IF(OR($A102="",N($C102)&lt;=7),"",$G$6*$G$9^($M102-1)*IF(AND(MOD($M102,Reference!$B$99)=0,$M102&lt;=$G$5-2),Reference!$B$100,1))</f>
        <v>205.39822006322521</v>
      </c>
      <c r="Q102" s="32">
        <f>IF($P102="","",IF(SUM($AK$99:$AK$105)=0,0,$P102*INDEX(Reference!$B$108:$B$114,$N102+1)/SUM($AK$99:$AK$105)))</f>
        <v>46.070628799228082</v>
      </c>
      <c r="R102" s="32">
        <f t="shared" si="41"/>
        <v>180</v>
      </c>
      <c r="S102" s="32">
        <f t="shared" si="42"/>
        <v>150</v>
      </c>
      <c r="T102" s="32" t="str">
        <f>IF($A102="","",IF($C102=0,"Bullpen",IF(OR($C102=7,$C102=1,$C102=5),"Recovery/Easy Catch",IF($C102=6,"Compression/Pulldowns",IF(OR($C102=4,$C102=2),"Long Toss",IF($C102=3,"No Throw",IF($N102=2,"No Throw",IF($N102=6,IF($O102&lt;Reference!$B$104,"No Throw","Recovery/Easy Catch"),IF(OR($N102=0,$N102=4),"Recovery/Easy Catch",IF($N102=1,IF($R102&gt;75,"Long Toss","Recovery/Easy Catch"),IF($N102=3,IF($O102&lt;0.5,IF($S102&gt;75,"Long Toss","Recovery/Easy Catch"),"Compression/Pulldowns"),IF($S102&gt;75,"Long Toss","Recovery/Easy Catch"))))))))))))</f>
        <v>Compression/Pulldowns</v>
      </c>
      <c r="U102" s="32">
        <f t="shared" si="43"/>
        <v>90</v>
      </c>
      <c r="V102" s="32">
        <f t="shared" si="44"/>
        <v>7</v>
      </c>
      <c r="W102" s="32">
        <f t="shared" si="45"/>
        <v>9</v>
      </c>
      <c r="X102" s="32">
        <f t="shared" si="46"/>
        <v>20</v>
      </c>
      <c r="Y102" s="32">
        <f t="shared" si="47"/>
        <v>7</v>
      </c>
      <c r="Z102" s="32">
        <f t="shared" si="48"/>
        <v>9</v>
      </c>
      <c r="AA102" s="32" t="str">
        <f t="shared" si="49"/>
        <v/>
      </c>
      <c r="AB102" s="32">
        <f>IF($A102="","",IF($T102="No Throw",0,IF($K102&lt;&gt;"",$K102,IF($AA102&lt;&gt;"",ROUND($AA102*$D$12*IF($C102=0,1,$G$10),0),MIN(IF($T102="Recovery/Easy Catch",Reference!$B$103,IF($T102="Long Toss",Reference!$B$106,Reference!$B$102)),MAX(Reference!$B$101,ROUND(MAX(0,$Q102-$AE102)/$AF102,0)))))))</f>
        <v>20</v>
      </c>
      <c r="AC102" s="32">
        <f t="shared" si="50"/>
        <v>0</v>
      </c>
      <c r="AD102" s="32" t="b">
        <f t="shared" si="51"/>
        <v>0</v>
      </c>
      <c r="AE102" s="32">
        <f>IF($X102=0,0,$X102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102+$Z102)/2,0),Reference!$A$17:$B$20,2,TRUE()))</f>
        <v>20</v>
      </c>
      <c r="AF102" s="32">
        <f>IF(OR($A102="",$U102="",$T102="No Throw"),0,$AM102*VLOOKUP(MAX(($V102+$W102)/2,0),Reference!$A$17:$B$20,2,TRUE()))</f>
        <v>1.3</v>
      </c>
      <c r="AG102" s="32">
        <f>IF($AC102=0,0,$AC102*INDEX(Reference!$B$61:$B$62,MATCH("Bullpen",Reference!$A$61:$A$62,0))*VLOOKUP(MAX($D$5-($D$9+$E$9)/2,0),Reference!$A$17:$B$20,2,TRUE()))</f>
        <v>0</v>
      </c>
      <c r="AH102" s="46">
        <f t="shared" si="52"/>
        <v>1.2257653437783307</v>
      </c>
      <c r="AI102" s="32">
        <f>IF($A102="",NA(),Reference!$A$25)</f>
        <v>0.8</v>
      </c>
      <c r="AJ102" s="32">
        <f t="shared" si="53"/>
        <v>1.3</v>
      </c>
      <c r="AK102" s="56">
        <f>IF(OR($A102="",N($C102)&lt;=7,$T102="No Throw",$J102="x"),0,INDEX(Reference!$B$108:$B$114,$N102+1))</f>
        <v>0.24</v>
      </c>
      <c r="AL102" s="32">
        <f t="shared" si="54"/>
        <v>1</v>
      </c>
      <c r="AM102" s="32">
        <f>IF($U102="",0,IF($AL102&gt;1,((IF(1&lt;=$AL102,($AL102-1+3)*(INDEX(Reference!$B$6:$B$11,MIN(5,MATCH(MAX(Reference!$A$6,MIN(Reference!$A$11,MIN($U102,90))),Reference!$A$6:$A$11,1)))+(MAX(Reference!$A$6,MIN(Reference!$A$11,MIN($U102,90)))-INDEX(Reference!$A$6:$A$11,MIN(5,MATCH(MAX(Reference!$A$6,MIN(Reference!$A$11,MIN($U102,90))),Reference!$A$6:$A$11,1))))*(INDEX(Reference!$B$6:$B$11,MIN(5,MATCH(MAX(Reference!$A$6,MIN(Reference!$A$11,MIN($U102,90))),Reference!$A$6:$A$11,1))+1)-INDEX(Reference!$B$6:$B$11,MIN(5,MATCH(MAX(Reference!$A$6,MIN(Reference!$A$11,MIN($U102,90))),Reference!$A$6:$A$11,1))))/(INDEX(Reference!$A$6:$A$11,MIN(5,MATCH(MAX(Reference!$A$6,MIN(Reference!$A$11,MIN($U102,90))),Reference!$A$6:$A$11,1))+1)-INDEX(Reference!$A$6:$A$11,MIN(5,MATCH(MAX(Reference!$A$6,MIN(Reference!$A$11,MIN($U102,90))),Reference!$A$6:$A$11,1))))),0)+IF(2&lt;=$AL102,($AL102-2+3)*(INDEX(Reference!$B$6:$B$11,MIN(5,MATCH(MAX(Reference!$A$6,MIN(Reference!$A$11,MIN($U102,120))),Reference!$A$6:$A$11,1)))+(MAX(Reference!$A$6,MIN(Reference!$A$11,MIN($U102,120)))-INDEX(Reference!$A$6:$A$11,MIN(5,MATCH(MAX(Reference!$A$6,MIN(Reference!$A$11,MIN($U102,120))),Reference!$A$6:$A$11,1))))*(INDEX(Reference!$B$6:$B$11,MIN(5,MATCH(MAX(Reference!$A$6,MIN(Reference!$A$11,MIN($U102,120))),Reference!$A$6:$A$11,1))+1)-INDEX(Reference!$B$6:$B$11,MIN(5,MATCH(MAX(Reference!$A$6,MIN(Reference!$A$11,MIN($U102,120))),Reference!$A$6:$A$11,1))))/(INDEX(Reference!$A$6:$A$11,MIN(5,MATCH(MAX(Reference!$A$6,MIN(Reference!$A$11,MIN($U102,120))),Reference!$A$6:$A$11,1))+1)-INDEX(Reference!$A$6:$A$11,MIN(5,MATCH(MAX(Reference!$A$6,MIN(Reference!$A$11,MIN($U102,120))),Reference!$A$6:$A$11,1))))),0)+IF(3&lt;=$AL102,($AL102-3+3)*(INDEX(Reference!$B$6:$B$11,MIN(5,MATCH(MAX(Reference!$A$6,MIN(Reference!$A$11,MIN($U102,150))),Reference!$A$6:$A$11,1)))+(MAX(Reference!$A$6,MIN(Reference!$A$11,MIN($U102,150)))-INDEX(Reference!$A$6:$A$11,MIN(5,MATCH(MAX(Reference!$A$6,MIN(Reference!$A$11,MIN($U102,150))),Reference!$A$6:$A$11,1))))*(INDEX(Reference!$B$6:$B$11,MIN(5,MATCH(MAX(Reference!$A$6,MIN(Reference!$A$11,MIN($U102,150))),Reference!$A$6:$A$11,1))+1)-INDEX(Reference!$B$6:$B$11,MIN(5,MATCH(MAX(Reference!$A$6,MIN(Reference!$A$11,MIN($U102,150))),Reference!$A$6:$A$11,1))))/(INDEX(Reference!$A$6:$A$11,MIN(5,MATCH(MAX(Reference!$A$6,MIN(Reference!$A$11,MIN($U102,150))),Reference!$A$6:$A$11,1))+1)-INDEX(Reference!$A$6:$A$11,MIN(5,MATCH(MAX(Reference!$A$6,MIN(Reference!$A$11,MIN($U102,150))),Reference!$A$6:$A$11,1))))),0)+IF(4&lt;=$AL102,($AL102-4+3)*(INDEX(Reference!$B$6:$B$11,MIN(5,MATCH(MAX(Reference!$A$6,MIN(Reference!$A$11,MIN($U102,180))),Reference!$A$6:$A$11,1)))+(MAX(Reference!$A$6,MIN(Reference!$A$11,MIN($U102,180)))-INDEX(Reference!$A$6:$A$11,MIN(5,MATCH(MAX(Reference!$A$6,MIN(Reference!$A$11,MIN($U102,180))),Reference!$A$6:$A$11,1))))*(INDEX(Reference!$B$6:$B$11,MIN(5,MATCH(MAX(Reference!$A$6,MIN(Reference!$A$11,MIN($U102,180))),Reference!$A$6:$A$11,1))+1)-INDEX(Reference!$B$6:$B$11,MIN(5,MATCH(MAX(Reference!$A$6,MIN(Reference!$A$11,MIN($U102,180))),Reference!$A$6:$A$11,1))))/(INDEX(Reference!$A$6:$A$11,MIN(5,MATCH(MAX(Reference!$A$6,MIN(Reference!$A$11,MIN($U102,180))),Reference!$A$6:$A$11,1))+1)-INDEX(Reference!$A$6:$A$11,MIN(5,MATCH(MAX(Reference!$A$6,MIN(Reference!$A$11,MIN($U102,180))),Reference!$A$6:$A$11,1))))),0)+IF(5&lt;=$AL102,($AL102-5+3)*(INDEX(Reference!$B$6:$B$11,MIN(5,MATCH(MAX(Reference!$A$6,MIN(Reference!$A$11,MIN($U102,210))),Reference!$A$6:$A$11,1)))+(MAX(Reference!$A$6,MIN(Reference!$A$11,MIN($U102,210)))-INDEX(Reference!$A$6:$A$11,MIN(5,MATCH(MAX(Reference!$A$6,MIN(Reference!$A$11,MIN($U102,210))),Reference!$A$6:$A$11,1))))*(INDEX(Reference!$B$6:$B$11,MIN(5,MATCH(MAX(Reference!$A$6,MIN(Reference!$A$11,MIN($U102,210))),Reference!$A$6:$A$11,1))+1)-INDEX(Reference!$B$6:$B$11,MIN(5,MATCH(MAX(Reference!$A$6,MIN(Reference!$A$11,MIN($U102,210))),Reference!$A$6:$A$11,1))))/(INDEX(Reference!$A$6:$A$11,MIN(5,MATCH(MAX(Reference!$A$6,MIN(Reference!$A$11,MIN($U102,210))),Reference!$A$6:$A$11,1))+1)-INDEX(Reference!$A$6:$A$11,MIN(5,MATCH(MAX(Reference!$A$6,MIN(Reference!$A$11,MIN($U102,210))),Reference!$A$6:$A$11,1))))),0)+IF(6&lt;=$AL102,($AL102-6+3)*(INDEX(Reference!$B$6:$B$11,MIN(5,MATCH(MAX(Reference!$A$6,MIN(Reference!$A$11,MIN($U102,240))),Reference!$A$6:$A$11,1)))+(MAX(Reference!$A$6,MIN(Reference!$A$11,MIN($U102,240)))-INDEX(Reference!$A$6:$A$11,MIN(5,MATCH(MAX(Reference!$A$6,MIN(Reference!$A$11,MIN($U102,240))),Reference!$A$6:$A$11,1))))*(INDEX(Reference!$B$6:$B$11,MIN(5,MATCH(MAX(Reference!$A$6,MIN(Reference!$A$11,MIN($U102,240))),Reference!$A$6:$A$11,1))+1)-INDEX(Reference!$B$6:$B$11,MIN(5,MATCH(MAX(Reference!$A$6,MIN(Reference!$A$11,MIN($U102,240))),Reference!$A$6:$A$11,1))))/(INDEX(Reference!$A$6:$A$11,MIN(5,MATCH(MAX(Reference!$A$6,MIN(Reference!$A$11,MIN($U102,240))),Reference!$A$6:$A$11,1))+1)-INDEX(Reference!$A$6:$A$11,MIN(5,MATCH(MAX(Reference!$A$6,MIN(Reference!$A$11,MIN($U102,240))),Reference!$A$6:$A$11,1))))),0)+IF(7&lt;=$AL102,($AL102-7+3)*(INDEX(Reference!$B$6:$B$11,MIN(5,MATCH(MAX(Reference!$A$6,MIN(Reference!$A$11,MIN($U102,270))),Reference!$A$6:$A$11,1)))+(MAX(Reference!$A$6,MIN(Reference!$A$11,MIN($U102,270)))-INDEX(Reference!$A$6:$A$11,MIN(5,MATCH(MAX(Reference!$A$6,MIN(Reference!$A$11,MIN($U102,270))),Reference!$A$6:$A$11,1))))*(INDEX(Reference!$B$6:$B$11,MIN(5,MATCH(MAX(Reference!$A$6,MIN(Reference!$A$11,MIN($U102,270))),Reference!$A$6:$A$11,1))+1)-INDEX(Reference!$B$6:$B$11,MIN(5,MATCH(MAX(Reference!$A$6,MIN(Reference!$A$11,MIN($U102,270))),Reference!$A$6:$A$11,1))))/(INDEX(Reference!$A$6:$A$11,MIN(5,MATCH(MAX(Reference!$A$6,MIN(Reference!$A$11,MIN($U102,270))),Reference!$A$6:$A$11,1))+1)-INDEX(Reference!$A$6:$A$11,MIN(5,MATCH(MAX(Reference!$A$6,MIN(Reference!$A$11,MIN($U102,270))),Reference!$A$6:$A$11,1))))),0)+IF(8&lt;=$AL102,($AL102-8+3)*(INDEX(Reference!$B$6:$B$11,MIN(5,MATCH(MAX(Reference!$A$6,MIN(Reference!$A$11,MIN($U102,300))),Reference!$A$6:$A$11,1)))+(MAX(Reference!$A$6,MIN(Reference!$A$11,MIN($U102,300)))-INDEX(Reference!$A$6:$A$11,MIN(5,MATCH(MAX(Reference!$A$6,MIN(Reference!$A$11,MIN($U102,300))),Reference!$A$6:$A$11,1))))*(INDEX(Reference!$B$6:$B$11,MIN(5,MATCH(MAX(Reference!$A$6,MIN(Reference!$A$11,MIN($U102,300))),Reference!$A$6:$A$11,1))+1)-INDEX(Reference!$B$6:$B$11,MIN(5,MATCH(MAX(Reference!$A$6,MIN(Reference!$A$11,MIN($U102,300))),Reference!$A$6:$A$11,1))))/(INDEX(Reference!$A$6:$A$11,MIN(5,MATCH(MAX(Reference!$A$6,MIN(Reference!$A$11,MIN($U102,300))),Reference!$A$6:$A$11,1))+1)-INDEX(Reference!$A$6:$A$11,MIN(5,MATCH(MAX(Reference!$A$6,MIN(Reference!$A$11,MIN($U102,300))),Reference!$A$6:$A$11,1))))),0))/($AL102*($AL102+5)/2)),$AN102))</f>
        <v>1.3</v>
      </c>
      <c r="AN102" s="32">
        <f>IF($U102="",0,(INDEX(Reference!$B$6:$B$11,MIN(5,MATCH(MAX(Reference!$A$6,MIN(Reference!$A$11,$U102)),Reference!$A$6:$A$11,1)))+(MAX(Reference!$A$6,MIN(Reference!$A$11,$U102))-INDEX(Reference!$A$6:$A$11,MIN(5,MATCH(MAX(Reference!$A$6,MIN(Reference!$A$11,$U102)),Reference!$A$6:$A$11,1))))*(INDEX(Reference!$B$6:$B$11,MIN(5,MATCH(MAX(Reference!$A$6,MIN(Reference!$A$11,$U102)),Reference!$A$6:$A$11,1))+1)-INDEX(Reference!$B$6:$B$11,MIN(5,MATCH(MAX(Reference!$A$6,MIN(Reference!$A$11,$U102)),Reference!$A$6:$A$11,1))))/(INDEX(Reference!$A$6:$A$11,MIN(5,MATCH(MAX(Reference!$A$6,MIN(Reference!$A$11,$U102)),Reference!$A$6:$A$11,1))+1)-INDEX(Reference!$A$6:$A$11,MIN(5,MATCH(MAX(Reference!$A$6,MIN(Reference!$A$11,$U102)),Reference!$A$6:$A$11,1))))))</f>
        <v>1.3</v>
      </c>
      <c r="AO102" s="37"/>
      <c r="AP102" s="37"/>
      <c r="AQ102" s="37"/>
    </row>
    <row r="103" spans="1:43" x14ac:dyDescent="0.3">
      <c r="A103" s="48">
        <f t="shared" si="30"/>
        <v>46367</v>
      </c>
      <c r="B103" s="32" t="str">
        <f t="shared" si="31"/>
        <v>Fri</v>
      </c>
      <c r="C103" s="32">
        <f t="shared" si="32"/>
        <v>24</v>
      </c>
      <c r="D103" s="32" t="str">
        <f t="shared" si="33"/>
        <v>Flat Ground / Intent</v>
      </c>
      <c r="E103" s="32" t="str">
        <f t="shared" si="34"/>
        <v>Low</v>
      </c>
      <c r="F103" s="32" t="str">
        <f t="shared" si="35"/>
        <v>Recovery/Easy Catch</v>
      </c>
      <c r="G103" s="47" t="str">
        <f t="shared" si="36"/>
        <v>75 ft × 28 @ 69–73 mph</v>
      </c>
      <c r="H103" s="30">
        <f t="shared" si="37"/>
        <v>19.32</v>
      </c>
      <c r="I103" s="46">
        <f>IF($A103="","",IF(AND($L103&lt;27,$K$12=0),"Building",IFERROR(((SUM($H$97:$H103)+$K$12*IF($L103&lt;6,SUMIFS('Throw Log'!$Q$5:$Q$300,'Throw Log'!$B$5:$B$300,$D$4,'Throw Log'!$A$5:$A$300,"&gt;="&amp;($D$6+$L103-6),'Throw Log'!$A$5:$A$300,"&lt;="&amp;($D$6-1)),0))/7)/((SUM($H$76:$H103)+$K$12*IF($L103&lt;27,SUMIFS('Throw Log'!$Q$5:$Q$300,'Throw Log'!$B$5:$B$300,$D$4,'Throw Log'!$A$5:$A$300,"&gt;="&amp;($D$6+$L103-27),'Throw Log'!$A$5:$A$300,"&lt;="&amp;($D$6-1)),0))/28),"")))</f>
        <v>1.2425569631942317</v>
      </c>
      <c r="J103" s="37"/>
      <c r="K103" s="37"/>
      <c r="L103" s="32">
        <v>60</v>
      </c>
      <c r="M103" s="32">
        <f t="shared" si="38"/>
        <v>9</v>
      </c>
      <c r="N103" s="32">
        <f t="shared" si="39"/>
        <v>4</v>
      </c>
      <c r="O103" s="32">
        <f t="shared" si="40"/>
        <v>0.78947368421052633</v>
      </c>
      <c r="P103" s="32">
        <f>IF(OR($A103="",N($C103)&lt;=7),"",$G$6*$G$9^($M103-1)*IF(AND(MOD($M103,Reference!$B$99)=0,$M103&lt;=$G$5-2),Reference!$B$100,1))</f>
        <v>205.39822006322521</v>
      </c>
      <c r="Q103" s="32">
        <f>IF($P103="","",IF(SUM($AK$99:$AK$105)=0,0,$P103*INDEX(Reference!$B$108:$B$114,$N103+1)/SUM($AK$99:$AK$105)))</f>
        <v>19.196095333011705</v>
      </c>
      <c r="R103" s="32">
        <f t="shared" si="41"/>
        <v>180</v>
      </c>
      <c r="S103" s="32">
        <f t="shared" si="42"/>
        <v>150</v>
      </c>
      <c r="T103" s="32" t="str">
        <f>IF($A103="","",IF($C103=0,"Bullpen",IF(OR($C103=7,$C103=1,$C103=5),"Recovery/Easy Catch",IF($C103=6,"Compression/Pulldowns",IF(OR($C103=4,$C103=2),"Long Toss",IF($C103=3,"No Throw",IF($N103=2,"No Throw",IF($N103=6,IF($O103&lt;Reference!$B$104,"No Throw","Recovery/Easy Catch"),IF(OR($N103=0,$N103=4),"Recovery/Easy Catch",IF($N103=1,IF($R103&gt;75,"Long Toss","Recovery/Easy Catch"),IF($N103=3,IF($O103&lt;0.5,IF($S103&gt;75,"Long Toss","Recovery/Easy Catch"),"Compression/Pulldowns"),IF($S103&gt;75,"Long Toss","Recovery/Easy Catch"))))))))))))</f>
        <v>Recovery/Easy Catch</v>
      </c>
      <c r="U103" s="32">
        <f t="shared" si="43"/>
        <v>75</v>
      </c>
      <c r="V103" s="32">
        <f t="shared" si="44"/>
        <v>18</v>
      </c>
      <c r="W103" s="32">
        <f t="shared" si="45"/>
        <v>22</v>
      </c>
      <c r="X103" s="32">
        <f t="shared" si="46"/>
        <v>0</v>
      </c>
      <c r="Y103" s="32" t="str">
        <f t="shared" si="47"/>
        <v/>
      </c>
      <c r="Z103" s="32" t="str">
        <f t="shared" si="48"/>
        <v/>
      </c>
      <c r="AA103" s="32" t="str">
        <f t="shared" si="49"/>
        <v/>
      </c>
      <c r="AB103" s="32">
        <f>IF($A103="","",IF($T103="No Throw",0,IF($K103&lt;&gt;"",$K103,IF($AA103&lt;&gt;"",ROUND($AA103*$D$12*IF($C103=0,1,$G$10),0),MIN(IF($T103="Recovery/Easy Catch",Reference!$B$103,IF($T103="Long Toss",Reference!$B$106,Reference!$B$102)),MAX(Reference!$B$101,ROUND(MAX(0,$Q103-$AE103)/$AF103,0)))))))</f>
        <v>28</v>
      </c>
      <c r="AC103" s="32">
        <f t="shared" si="50"/>
        <v>0</v>
      </c>
      <c r="AD103" s="32" t="b">
        <f t="shared" si="51"/>
        <v>0</v>
      </c>
      <c r="AE103" s="32">
        <f>IF($X103=0,0,$X103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103+$Z103)/2,0),Reference!$A$17:$B$20,2,TRUE()))</f>
        <v>0</v>
      </c>
      <c r="AF103" s="32">
        <f>IF(OR($A103="",$U103="",$T103="No Throw"),0,$AM103*VLOOKUP(MAX(($V103+$W103)/2,0),Reference!$A$17:$B$20,2,TRUE()))</f>
        <v>0.69</v>
      </c>
      <c r="AG103" s="32">
        <f>IF($AC103=0,0,$AC103*INDEX(Reference!$B$61:$B$62,MATCH("Bullpen",Reference!$A$61:$A$62,0))*VLOOKUP(MAX($D$5-($D$9+$E$9)/2,0),Reference!$A$17:$B$20,2,TRUE()))</f>
        <v>0</v>
      </c>
      <c r="AH103" s="46">
        <f t="shared" si="52"/>
        <v>1.2425569631942317</v>
      </c>
      <c r="AI103" s="32">
        <f>IF($A103="",NA(),Reference!$A$25)</f>
        <v>0.8</v>
      </c>
      <c r="AJ103" s="32">
        <f t="shared" si="53"/>
        <v>1.3</v>
      </c>
      <c r="AK103" s="56">
        <f>IF(OR($A103="",N($C103)&lt;=7,$T103="No Throw",$J103="x"),0,INDEX(Reference!$B$108:$B$114,$N103+1))</f>
        <v>0.1</v>
      </c>
      <c r="AL103" s="32">
        <f t="shared" si="54"/>
        <v>1</v>
      </c>
      <c r="AM103" s="32">
        <f>IF($U103="",0,IF($AL103&gt;1,((IF(1&lt;=$AL103,($AL103-1+3)*(INDEX(Reference!$B$6:$B$11,MIN(5,MATCH(MAX(Reference!$A$6,MIN(Reference!$A$11,MIN($U103,90))),Reference!$A$6:$A$11,1)))+(MAX(Reference!$A$6,MIN(Reference!$A$11,MIN($U103,90)))-INDEX(Reference!$A$6:$A$11,MIN(5,MATCH(MAX(Reference!$A$6,MIN(Reference!$A$11,MIN($U103,90))),Reference!$A$6:$A$11,1))))*(INDEX(Reference!$B$6:$B$11,MIN(5,MATCH(MAX(Reference!$A$6,MIN(Reference!$A$11,MIN($U103,90))),Reference!$A$6:$A$11,1))+1)-INDEX(Reference!$B$6:$B$11,MIN(5,MATCH(MAX(Reference!$A$6,MIN(Reference!$A$11,MIN($U103,90))),Reference!$A$6:$A$11,1))))/(INDEX(Reference!$A$6:$A$11,MIN(5,MATCH(MAX(Reference!$A$6,MIN(Reference!$A$11,MIN($U103,90))),Reference!$A$6:$A$11,1))+1)-INDEX(Reference!$A$6:$A$11,MIN(5,MATCH(MAX(Reference!$A$6,MIN(Reference!$A$11,MIN($U103,90))),Reference!$A$6:$A$11,1))))),0)+IF(2&lt;=$AL103,($AL103-2+3)*(INDEX(Reference!$B$6:$B$11,MIN(5,MATCH(MAX(Reference!$A$6,MIN(Reference!$A$11,MIN($U103,120))),Reference!$A$6:$A$11,1)))+(MAX(Reference!$A$6,MIN(Reference!$A$11,MIN($U103,120)))-INDEX(Reference!$A$6:$A$11,MIN(5,MATCH(MAX(Reference!$A$6,MIN(Reference!$A$11,MIN($U103,120))),Reference!$A$6:$A$11,1))))*(INDEX(Reference!$B$6:$B$11,MIN(5,MATCH(MAX(Reference!$A$6,MIN(Reference!$A$11,MIN($U103,120))),Reference!$A$6:$A$11,1))+1)-INDEX(Reference!$B$6:$B$11,MIN(5,MATCH(MAX(Reference!$A$6,MIN(Reference!$A$11,MIN($U103,120))),Reference!$A$6:$A$11,1))))/(INDEX(Reference!$A$6:$A$11,MIN(5,MATCH(MAX(Reference!$A$6,MIN(Reference!$A$11,MIN($U103,120))),Reference!$A$6:$A$11,1))+1)-INDEX(Reference!$A$6:$A$11,MIN(5,MATCH(MAX(Reference!$A$6,MIN(Reference!$A$11,MIN($U103,120))),Reference!$A$6:$A$11,1))))),0)+IF(3&lt;=$AL103,($AL103-3+3)*(INDEX(Reference!$B$6:$B$11,MIN(5,MATCH(MAX(Reference!$A$6,MIN(Reference!$A$11,MIN($U103,150))),Reference!$A$6:$A$11,1)))+(MAX(Reference!$A$6,MIN(Reference!$A$11,MIN($U103,150)))-INDEX(Reference!$A$6:$A$11,MIN(5,MATCH(MAX(Reference!$A$6,MIN(Reference!$A$11,MIN($U103,150))),Reference!$A$6:$A$11,1))))*(INDEX(Reference!$B$6:$B$11,MIN(5,MATCH(MAX(Reference!$A$6,MIN(Reference!$A$11,MIN($U103,150))),Reference!$A$6:$A$11,1))+1)-INDEX(Reference!$B$6:$B$11,MIN(5,MATCH(MAX(Reference!$A$6,MIN(Reference!$A$11,MIN($U103,150))),Reference!$A$6:$A$11,1))))/(INDEX(Reference!$A$6:$A$11,MIN(5,MATCH(MAX(Reference!$A$6,MIN(Reference!$A$11,MIN($U103,150))),Reference!$A$6:$A$11,1))+1)-INDEX(Reference!$A$6:$A$11,MIN(5,MATCH(MAX(Reference!$A$6,MIN(Reference!$A$11,MIN($U103,150))),Reference!$A$6:$A$11,1))))),0)+IF(4&lt;=$AL103,($AL103-4+3)*(INDEX(Reference!$B$6:$B$11,MIN(5,MATCH(MAX(Reference!$A$6,MIN(Reference!$A$11,MIN($U103,180))),Reference!$A$6:$A$11,1)))+(MAX(Reference!$A$6,MIN(Reference!$A$11,MIN($U103,180)))-INDEX(Reference!$A$6:$A$11,MIN(5,MATCH(MAX(Reference!$A$6,MIN(Reference!$A$11,MIN($U103,180))),Reference!$A$6:$A$11,1))))*(INDEX(Reference!$B$6:$B$11,MIN(5,MATCH(MAX(Reference!$A$6,MIN(Reference!$A$11,MIN($U103,180))),Reference!$A$6:$A$11,1))+1)-INDEX(Reference!$B$6:$B$11,MIN(5,MATCH(MAX(Reference!$A$6,MIN(Reference!$A$11,MIN($U103,180))),Reference!$A$6:$A$11,1))))/(INDEX(Reference!$A$6:$A$11,MIN(5,MATCH(MAX(Reference!$A$6,MIN(Reference!$A$11,MIN($U103,180))),Reference!$A$6:$A$11,1))+1)-INDEX(Reference!$A$6:$A$11,MIN(5,MATCH(MAX(Reference!$A$6,MIN(Reference!$A$11,MIN($U103,180))),Reference!$A$6:$A$11,1))))),0)+IF(5&lt;=$AL103,($AL103-5+3)*(INDEX(Reference!$B$6:$B$11,MIN(5,MATCH(MAX(Reference!$A$6,MIN(Reference!$A$11,MIN($U103,210))),Reference!$A$6:$A$11,1)))+(MAX(Reference!$A$6,MIN(Reference!$A$11,MIN($U103,210)))-INDEX(Reference!$A$6:$A$11,MIN(5,MATCH(MAX(Reference!$A$6,MIN(Reference!$A$11,MIN($U103,210))),Reference!$A$6:$A$11,1))))*(INDEX(Reference!$B$6:$B$11,MIN(5,MATCH(MAX(Reference!$A$6,MIN(Reference!$A$11,MIN($U103,210))),Reference!$A$6:$A$11,1))+1)-INDEX(Reference!$B$6:$B$11,MIN(5,MATCH(MAX(Reference!$A$6,MIN(Reference!$A$11,MIN($U103,210))),Reference!$A$6:$A$11,1))))/(INDEX(Reference!$A$6:$A$11,MIN(5,MATCH(MAX(Reference!$A$6,MIN(Reference!$A$11,MIN($U103,210))),Reference!$A$6:$A$11,1))+1)-INDEX(Reference!$A$6:$A$11,MIN(5,MATCH(MAX(Reference!$A$6,MIN(Reference!$A$11,MIN($U103,210))),Reference!$A$6:$A$11,1))))),0)+IF(6&lt;=$AL103,($AL103-6+3)*(INDEX(Reference!$B$6:$B$11,MIN(5,MATCH(MAX(Reference!$A$6,MIN(Reference!$A$11,MIN($U103,240))),Reference!$A$6:$A$11,1)))+(MAX(Reference!$A$6,MIN(Reference!$A$11,MIN($U103,240)))-INDEX(Reference!$A$6:$A$11,MIN(5,MATCH(MAX(Reference!$A$6,MIN(Reference!$A$11,MIN($U103,240))),Reference!$A$6:$A$11,1))))*(INDEX(Reference!$B$6:$B$11,MIN(5,MATCH(MAX(Reference!$A$6,MIN(Reference!$A$11,MIN($U103,240))),Reference!$A$6:$A$11,1))+1)-INDEX(Reference!$B$6:$B$11,MIN(5,MATCH(MAX(Reference!$A$6,MIN(Reference!$A$11,MIN($U103,240))),Reference!$A$6:$A$11,1))))/(INDEX(Reference!$A$6:$A$11,MIN(5,MATCH(MAX(Reference!$A$6,MIN(Reference!$A$11,MIN($U103,240))),Reference!$A$6:$A$11,1))+1)-INDEX(Reference!$A$6:$A$11,MIN(5,MATCH(MAX(Reference!$A$6,MIN(Reference!$A$11,MIN($U103,240))),Reference!$A$6:$A$11,1))))),0)+IF(7&lt;=$AL103,($AL103-7+3)*(INDEX(Reference!$B$6:$B$11,MIN(5,MATCH(MAX(Reference!$A$6,MIN(Reference!$A$11,MIN($U103,270))),Reference!$A$6:$A$11,1)))+(MAX(Reference!$A$6,MIN(Reference!$A$11,MIN($U103,270)))-INDEX(Reference!$A$6:$A$11,MIN(5,MATCH(MAX(Reference!$A$6,MIN(Reference!$A$11,MIN($U103,270))),Reference!$A$6:$A$11,1))))*(INDEX(Reference!$B$6:$B$11,MIN(5,MATCH(MAX(Reference!$A$6,MIN(Reference!$A$11,MIN($U103,270))),Reference!$A$6:$A$11,1))+1)-INDEX(Reference!$B$6:$B$11,MIN(5,MATCH(MAX(Reference!$A$6,MIN(Reference!$A$11,MIN($U103,270))),Reference!$A$6:$A$11,1))))/(INDEX(Reference!$A$6:$A$11,MIN(5,MATCH(MAX(Reference!$A$6,MIN(Reference!$A$11,MIN($U103,270))),Reference!$A$6:$A$11,1))+1)-INDEX(Reference!$A$6:$A$11,MIN(5,MATCH(MAX(Reference!$A$6,MIN(Reference!$A$11,MIN($U103,270))),Reference!$A$6:$A$11,1))))),0)+IF(8&lt;=$AL103,($AL103-8+3)*(INDEX(Reference!$B$6:$B$11,MIN(5,MATCH(MAX(Reference!$A$6,MIN(Reference!$A$11,MIN($U103,300))),Reference!$A$6:$A$11,1)))+(MAX(Reference!$A$6,MIN(Reference!$A$11,MIN($U103,300)))-INDEX(Reference!$A$6:$A$11,MIN(5,MATCH(MAX(Reference!$A$6,MIN(Reference!$A$11,MIN($U103,300))),Reference!$A$6:$A$11,1))))*(INDEX(Reference!$B$6:$B$11,MIN(5,MATCH(MAX(Reference!$A$6,MIN(Reference!$A$11,MIN($U103,300))),Reference!$A$6:$A$11,1))+1)-INDEX(Reference!$B$6:$B$11,MIN(5,MATCH(MAX(Reference!$A$6,MIN(Reference!$A$11,MIN($U103,300))),Reference!$A$6:$A$11,1))))/(INDEX(Reference!$A$6:$A$11,MIN(5,MATCH(MAX(Reference!$A$6,MIN(Reference!$A$11,MIN($U103,300))),Reference!$A$6:$A$11,1))+1)-INDEX(Reference!$A$6:$A$11,MIN(5,MATCH(MAX(Reference!$A$6,MIN(Reference!$A$11,MIN($U103,300))),Reference!$A$6:$A$11,1))))),0))/($AL103*($AL103+5)/2)),$AN103))</f>
        <v>1.1499999999999999</v>
      </c>
      <c r="AN103" s="32">
        <f>IF($U103="",0,(INDEX(Reference!$B$6:$B$11,MIN(5,MATCH(MAX(Reference!$A$6,MIN(Reference!$A$11,$U103)),Reference!$A$6:$A$11,1)))+(MAX(Reference!$A$6,MIN(Reference!$A$11,$U103))-INDEX(Reference!$A$6:$A$11,MIN(5,MATCH(MAX(Reference!$A$6,MIN(Reference!$A$11,$U103)),Reference!$A$6:$A$11,1))))*(INDEX(Reference!$B$6:$B$11,MIN(5,MATCH(MAX(Reference!$A$6,MIN(Reference!$A$11,$U103)),Reference!$A$6:$A$11,1))+1)-INDEX(Reference!$B$6:$B$11,MIN(5,MATCH(MAX(Reference!$A$6,MIN(Reference!$A$11,$U103)),Reference!$A$6:$A$11,1))))/(INDEX(Reference!$A$6:$A$11,MIN(5,MATCH(MAX(Reference!$A$6,MIN(Reference!$A$11,$U103)),Reference!$A$6:$A$11,1))+1)-INDEX(Reference!$A$6:$A$11,MIN(5,MATCH(MAX(Reference!$A$6,MIN(Reference!$A$11,$U103)),Reference!$A$6:$A$11,1))))))</f>
        <v>1.1499999999999999</v>
      </c>
      <c r="AO103" s="37"/>
      <c r="AP103" s="37"/>
      <c r="AQ103" s="37"/>
    </row>
    <row r="104" spans="1:43" ht="26.4" x14ac:dyDescent="0.3">
      <c r="A104" s="48">
        <f t="shared" si="30"/>
        <v>46368</v>
      </c>
      <c r="B104" s="32" t="str">
        <f t="shared" si="31"/>
        <v>Sat</v>
      </c>
      <c r="C104" s="32">
        <f t="shared" si="32"/>
        <v>23</v>
      </c>
      <c r="D104" s="32" t="str">
        <f t="shared" si="33"/>
        <v>Flat Ground / Intent</v>
      </c>
      <c r="E104" s="32" t="str">
        <f t="shared" si="34"/>
        <v>High Non-Bullpen</v>
      </c>
      <c r="F104" s="32" t="str">
        <f t="shared" si="35"/>
        <v>Long Toss</v>
      </c>
      <c r="G104" s="47" t="str">
        <f t="shared" si="36"/>
        <v>Long toss out to 150 ft — 27 throws (90×11 · 120×9 · 150×7) @ 78–81 mph + flat ground at 60 ft × 25 @ 82–84 mph</v>
      </c>
      <c r="H104" s="30">
        <f t="shared" si="37"/>
        <v>51.864999999999995</v>
      </c>
      <c r="I104" s="46">
        <f>IF($A104="","",IF(AND($L104&lt;27,$K$12=0),"Building",IFERROR(((SUM($H$98:$H104)+$K$12*IF($L104&lt;6,SUMIFS('Throw Log'!$Q$5:$Q$300,'Throw Log'!$B$5:$B$300,$D$4,'Throw Log'!$A$5:$A$300,"&gt;="&amp;($D$6+$L104-6),'Throw Log'!$A$5:$A$300,"&lt;="&amp;($D$6-1)),0))/7)/((SUM($H$77:$H104)+$K$12*IF($L104&lt;27,SUMIFS('Throw Log'!$Q$5:$Q$300,'Throw Log'!$B$5:$B$300,$D$4,'Throw Log'!$A$5:$A$300,"&gt;="&amp;($D$6+$L104-27),'Throw Log'!$A$5:$A$300,"&lt;="&amp;($D$6-1)),0))/28),"")))</f>
        <v>1.2735301292361798</v>
      </c>
      <c r="J104" s="37"/>
      <c r="K104" s="37"/>
      <c r="L104" s="32">
        <v>61</v>
      </c>
      <c r="M104" s="32">
        <f t="shared" si="38"/>
        <v>9</v>
      </c>
      <c r="N104" s="32">
        <f t="shared" si="39"/>
        <v>5</v>
      </c>
      <c r="O104" s="32">
        <f t="shared" si="40"/>
        <v>0.80263157894736847</v>
      </c>
      <c r="P104" s="32">
        <f>IF(OR($A104="",N($C104)&lt;=7),"",$G$6*$G$9^($M104-1)*IF(AND(MOD($M104,Reference!$B$99)=0,$M104&lt;=$G$5-2),Reference!$B$100,1))</f>
        <v>205.39822006322521</v>
      </c>
      <c r="Q104" s="32">
        <f>IF($P104="","",IF(SUM($AK$99:$AK$105)=0,0,$P104*INDEX(Reference!$B$108:$B$114,$N104+1)/SUM($AK$99:$AK$105)))</f>
        <v>51.829457399131599</v>
      </c>
      <c r="R104" s="32">
        <f t="shared" si="41"/>
        <v>180</v>
      </c>
      <c r="S104" s="32">
        <f t="shared" si="42"/>
        <v>150</v>
      </c>
      <c r="T104" s="32" t="str">
        <f>IF($A104="","",IF($C104=0,"Bullpen",IF(OR($C104=7,$C104=1,$C104=5),"Recovery/Easy Catch",IF($C104=6,"Compression/Pulldowns",IF(OR($C104=4,$C104=2),"Long Toss",IF($C104=3,"No Throw",IF($N104=2,"No Throw",IF($N104=6,IF($O104&lt;Reference!$B$104,"No Throw","Recovery/Easy Catch"),IF(OR($N104=0,$N104=4),"Recovery/Easy Catch",IF($N104=1,IF($R104&gt;75,"Long Toss","Recovery/Easy Catch"),IF($N104=3,IF($O104&lt;0.5,IF($S104&gt;75,"Long Toss","Recovery/Easy Catch"),"Compression/Pulldowns"),IF($S104&gt;75,"Long Toss","Recovery/Easy Catch"))))))))))))</f>
        <v>Long Toss</v>
      </c>
      <c r="U104" s="32">
        <f t="shared" si="43"/>
        <v>150</v>
      </c>
      <c r="V104" s="32">
        <f t="shared" si="44"/>
        <v>10</v>
      </c>
      <c r="W104" s="32">
        <f t="shared" si="45"/>
        <v>13</v>
      </c>
      <c r="X104" s="32">
        <f t="shared" si="46"/>
        <v>25</v>
      </c>
      <c r="Y104" s="32">
        <f t="shared" si="47"/>
        <v>7</v>
      </c>
      <c r="Z104" s="32">
        <f t="shared" si="48"/>
        <v>9</v>
      </c>
      <c r="AA104" s="32" t="str">
        <f t="shared" si="49"/>
        <v/>
      </c>
      <c r="AB104" s="32">
        <f>IF($A104="","",IF($T104="No Throw",0,IF($K104&lt;&gt;"",$K104,IF($AA104&lt;&gt;"",ROUND($AA104*$D$12*IF($C104=0,1,$G$10),0),MIN(IF($T104="Recovery/Easy Catch",Reference!$B$103,IF($T104="Long Toss",Reference!$B$106,Reference!$B$102)),MAX(Reference!$B$101,ROUND(MAX(0,$Q104-$AE104)/$AF104,0)))))))</f>
        <v>27</v>
      </c>
      <c r="AC104" s="32">
        <f t="shared" si="50"/>
        <v>0</v>
      </c>
      <c r="AD104" s="32" t="b">
        <f t="shared" si="51"/>
        <v>0</v>
      </c>
      <c r="AE104" s="32">
        <f>IF($X104=0,0,$X104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104+$Z104)/2,0),Reference!$A$17:$B$20,2,TRUE()))</f>
        <v>25</v>
      </c>
      <c r="AF104" s="32">
        <f>IF(OR($A104="",$U104="",$T104="No Throw"),0,$AM104*VLOOKUP(MAX(($V104+$W104)/2,0),Reference!$A$17:$B$20,2,TRUE()))</f>
        <v>0.995</v>
      </c>
      <c r="AG104" s="32">
        <f>IF($AC104=0,0,$AC104*INDEX(Reference!$B$61:$B$62,MATCH("Bullpen",Reference!$A$61:$A$62,0))*VLOOKUP(MAX($D$5-($D$9+$E$9)/2,0),Reference!$A$17:$B$20,2,TRUE()))</f>
        <v>0</v>
      </c>
      <c r="AH104" s="46">
        <f t="shared" si="52"/>
        <v>1.2735301292361798</v>
      </c>
      <c r="AI104" s="32">
        <f>IF($A104="",NA(),Reference!$A$25)</f>
        <v>0.8</v>
      </c>
      <c r="AJ104" s="32">
        <f t="shared" si="53"/>
        <v>1.3</v>
      </c>
      <c r="AK104" s="56">
        <f>IF(OR($A104="",N($C104)&lt;=7,$T104="No Throw",$J104="x"),0,INDEX(Reference!$B$108:$B$114,$N104+1))</f>
        <v>0.27</v>
      </c>
      <c r="AL104" s="32">
        <f t="shared" si="54"/>
        <v>3</v>
      </c>
      <c r="AM104" s="32">
        <f>IF($U104="",0,IF($AL104&gt;1,((IF(1&lt;=$AL104,($AL104-1+3)*(INDEX(Reference!$B$6:$B$11,MIN(5,MATCH(MAX(Reference!$A$6,MIN(Reference!$A$11,MIN($U104,90))),Reference!$A$6:$A$11,1)))+(MAX(Reference!$A$6,MIN(Reference!$A$11,MIN($U104,90)))-INDEX(Reference!$A$6:$A$11,MIN(5,MATCH(MAX(Reference!$A$6,MIN(Reference!$A$11,MIN($U104,90))),Reference!$A$6:$A$11,1))))*(INDEX(Reference!$B$6:$B$11,MIN(5,MATCH(MAX(Reference!$A$6,MIN(Reference!$A$11,MIN($U104,90))),Reference!$A$6:$A$11,1))+1)-INDEX(Reference!$B$6:$B$11,MIN(5,MATCH(MAX(Reference!$A$6,MIN(Reference!$A$11,MIN($U104,90))),Reference!$A$6:$A$11,1))))/(INDEX(Reference!$A$6:$A$11,MIN(5,MATCH(MAX(Reference!$A$6,MIN(Reference!$A$11,MIN($U104,90))),Reference!$A$6:$A$11,1))+1)-INDEX(Reference!$A$6:$A$11,MIN(5,MATCH(MAX(Reference!$A$6,MIN(Reference!$A$11,MIN($U104,90))),Reference!$A$6:$A$11,1))))),0)+IF(2&lt;=$AL104,($AL104-2+3)*(INDEX(Reference!$B$6:$B$11,MIN(5,MATCH(MAX(Reference!$A$6,MIN(Reference!$A$11,MIN($U104,120))),Reference!$A$6:$A$11,1)))+(MAX(Reference!$A$6,MIN(Reference!$A$11,MIN($U104,120)))-INDEX(Reference!$A$6:$A$11,MIN(5,MATCH(MAX(Reference!$A$6,MIN(Reference!$A$11,MIN($U104,120))),Reference!$A$6:$A$11,1))))*(INDEX(Reference!$B$6:$B$11,MIN(5,MATCH(MAX(Reference!$A$6,MIN(Reference!$A$11,MIN($U104,120))),Reference!$A$6:$A$11,1))+1)-INDEX(Reference!$B$6:$B$11,MIN(5,MATCH(MAX(Reference!$A$6,MIN(Reference!$A$11,MIN($U104,120))),Reference!$A$6:$A$11,1))))/(INDEX(Reference!$A$6:$A$11,MIN(5,MATCH(MAX(Reference!$A$6,MIN(Reference!$A$11,MIN($U104,120))),Reference!$A$6:$A$11,1))+1)-INDEX(Reference!$A$6:$A$11,MIN(5,MATCH(MAX(Reference!$A$6,MIN(Reference!$A$11,MIN($U104,120))),Reference!$A$6:$A$11,1))))),0)+IF(3&lt;=$AL104,($AL104-3+3)*(INDEX(Reference!$B$6:$B$11,MIN(5,MATCH(MAX(Reference!$A$6,MIN(Reference!$A$11,MIN($U104,150))),Reference!$A$6:$A$11,1)))+(MAX(Reference!$A$6,MIN(Reference!$A$11,MIN($U104,150)))-INDEX(Reference!$A$6:$A$11,MIN(5,MATCH(MAX(Reference!$A$6,MIN(Reference!$A$11,MIN($U104,150))),Reference!$A$6:$A$11,1))))*(INDEX(Reference!$B$6:$B$11,MIN(5,MATCH(MAX(Reference!$A$6,MIN(Reference!$A$11,MIN($U104,150))),Reference!$A$6:$A$11,1))+1)-INDEX(Reference!$B$6:$B$11,MIN(5,MATCH(MAX(Reference!$A$6,MIN(Reference!$A$11,MIN($U104,150))),Reference!$A$6:$A$11,1))))/(INDEX(Reference!$A$6:$A$11,MIN(5,MATCH(MAX(Reference!$A$6,MIN(Reference!$A$11,MIN($U104,150))),Reference!$A$6:$A$11,1))+1)-INDEX(Reference!$A$6:$A$11,MIN(5,MATCH(MAX(Reference!$A$6,MIN(Reference!$A$11,MIN($U104,150))),Reference!$A$6:$A$11,1))))),0)+IF(4&lt;=$AL104,($AL104-4+3)*(INDEX(Reference!$B$6:$B$11,MIN(5,MATCH(MAX(Reference!$A$6,MIN(Reference!$A$11,MIN($U104,180))),Reference!$A$6:$A$11,1)))+(MAX(Reference!$A$6,MIN(Reference!$A$11,MIN($U104,180)))-INDEX(Reference!$A$6:$A$11,MIN(5,MATCH(MAX(Reference!$A$6,MIN(Reference!$A$11,MIN($U104,180))),Reference!$A$6:$A$11,1))))*(INDEX(Reference!$B$6:$B$11,MIN(5,MATCH(MAX(Reference!$A$6,MIN(Reference!$A$11,MIN($U104,180))),Reference!$A$6:$A$11,1))+1)-INDEX(Reference!$B$6:$B$11,MIN(5,MATCH(MAX(Reference!$A$6,MIN(Reference!$A$11,MIN($U104,180))),Reference!$A$6:$A$11,1))))/(INDEX(Reference!$A$6:$A$11,MIN(5,MATCH(MAX(Reference!$A$6,MIN(Reference!$A$11,MIN($U104,180))),Reference!$A$6:$A$11,1))+1)-INDEX(Reference!$A$6:$A$11,MIN(5,MATCH(MAX(Reference!$A$6,MIN(Reference!$A$11,MIN($U104,180))),Reference!$A$6:$A$11,1))))),0)+IF(5&lt;=$AL104,($AL104-5+3)*(INDEX(Reference!$B$6:$B$11,MIN(5,MATCH(MAX(Reference!$A$6,MIN(Reference!$A$11,MIN($U104,210))),Reference!$A$6:$A$11,1)))+(MAX(Reference!$A$6,MIN(Reference!$A$11,MIN($U104,210)))-INDEX(Reference!$A$6:$A$11,MIN(5,MATCH(MAX(Reference!$A$6,MIN(Reference!$A$11,MIN($U104,210))),Reference!$A$6:$A$11,1))))*(INDEX(Reference!$B$6:$B$11,MIN(5,MATCH(MAX(Reference!$A$6,MIN(Reference!$A$11,MIN($U104,210))),Reference!$A$6:$A$11,1))+1)-INDEX(Reference!$B$6:$B$11,MIN(5,MATCH(MAX(Reference!$A$6,MIN(Reference!$A$11,MIN($U104,210))),Reference!$A$6:$A$11,1))))/(INDEX(Reference!$A$6:$A$11,MIN(5,MATCH(MAX(Reference!$A$6,MIN(Reference!$A$11,MIN($U104,210))),Reference!$A$6:$A$11,1))+1)-INDEX(Reference!$A$6:$A$11,MIN(5,MATCH(MAX(Reference!$A$6,MIN(Reference!$A$11,MIN($U104,210))),Reference!$A$6:$A$11,1))))),0)+IF(6&lt;=$AL104,($AL104-6+3)*(INDEX(Reference!$B$6:$B$11,MIN(5,MATCH(MAX(Reference!$A$6,MIN(Reference!$A$11,MIN($U104,240))),Reference!$A$6:$A$11,1)))+(MAX(Reference!$A$6,MIN(Reference!$A$11,MIN($U104,240)))-INDEX(Reference!$A$6:$A$11,MIN(5,MATCH(MAX(Reference!$A$6,MIN(Reference!$A$11,MIN($U104,240))),Reference!$A$6:$A$11,1))))*(INDEX(Reference!$B$6:$B$11,MIN(5,MATCH(MAX(Reference!$A$6,MIN(Reference!$A$11,MIN($U104,240))),Reference!$A$6:$A$11,1))+1)-INDEX(Reference!$B$6:$B$11,MIN(5,MATCH(MAX(Reference!$A$6,MIN(Reference!$A$11,MIN($U104,240))),Reference!$A$6:$A$11,1))))/(INDEX(Reference!$A$6:$A$11,MIN(5,MATCH(MAX(Reference!$A$6,MIN(Reference!$A$11,MIN($U104,240))),Reference!$A$6:$A$11,1))+1)-INDEX(Reference!$A$6:$A$11,MIN(5,MATCH(MAX(Reference!$A$6,MIN(Reference!$A$11,MIN($U104,240))),Reference!$A$6:$A$11,1))))),0)+IF(7&lt;=$AL104,($AL104-7+3)*(INDEX(Reference!$B$6:$B$11,MIN(5,MATCH(MAX(Reference!$A$6,MIN(Reference!$A$11,MIN($U104,270))),Reference!$A$6:$A$11,1)))+(MAX(Reference!$A$6,MIN(Reference!$A$11,MIN($U104,270)))-INDEX(Reference!$A$6:$A$11,MIN(5,MATCH(MAX(Reference!$A$6,MIN(Reference!$A$11,MIN($U104,270))),Reference!$A$6:$A$11,1))))*(INDEX(Reference!$B$6:$B$11,MIN(5,MATCH(MAX(Reference!$A$6,MIN(Reference!$A$11,MIN($U104,270))),Reference!$A$6:$A$11,1))+1)-INDEX(Reference!$B$6:$B$11,MIN(5,MATCH(MAX(Reference!$A$6,MIN(Reference!$A$11,MIN($U104,270))),Reference!$A$6:$A$11,1))))/(INDEX(Reference!$A$6:$A$11,MIN(5,MATCH(MAX(Reference!$A$6,MIN(Reference!$A$11,MIN($U104,270))),Reference!$A$6:$A$11,1))+1)-INDEX(Reference!$A$6:$A$11,MIN(5,MATCH(MAX(Reference!$A$6,MIN(Reference!$A$11,MIN($U104,270))),Reference!$A$6:$A$11,1))))),0)+IF(8&lt;=$AL104,($AL104-8+3)*(INDEX(Reference!$B$6:$B$11,MIN(5,MATCH(MAX(Reference!$A$6,MIN(Reference!$A$11,MIN($U104,300))),Reference!$A$6:$A$11,1)))+(MAX(Reference!$A$6,MIN(Reference!$A$11,MIN($U104,300)))-INDEX(Reference!$A$6:$A$11,MIN(5,MATCH(MAX(Reference!$A$6,MIN(Reference!$A$11,MIN($U104,300))),Reference!$A$6:$A$11,1))))*(INDEX(Reference!$B$6:$B$11,MIN(5,MATCH(MAX(Reference!$A$6,MIN(Reference!$A$11,MIN($U104,300))),Reference!$A$6:$A$11,1))+1)-INDEX(Reference!$B$6:$B$11,MIN(5,MATCH(MAX(Reference!$A$6,MIN(Reference!$A$11,MIN($U104,300))),Reference!$A$6:$A$11,1))))/(INDEX(Reference!$A$6:$A$11,MIN(5,MATCH(MAX(Reference!$A$6,MIN(Reference!$A$11,MIN($U104,300))),Reference!$A$6:$A$11,1))+1)-INDEX(Reference!$A$6:$A$11,MIN(5,MATCH(MAX(Reference!$A$6,MIN(Reference!$A$11,MIN($U104,300))),Reference!$A$6:$A$11,1))))),0))/($AL104*($AL104+5)/2)),$AN104))</f>
        <v>1.6583333333333334</v>
      </c>
      <c r="AN104" s="32">
        <f>IF($U104="",0,(INDEX(Reference!$B$6:$B$11,MIN(5,MATCH(MAX(Reference!$A$6,MIN(Reference!$A$11,$U104)),Reference!$A$6:$A$11,1)))+(MAX(Reference!$A$6,MIN(Reference!$A$11,$U104))-INDEX(Reference!$A$6:$A$11,MIN(5,MATCH(MAX(Reference!$A$6,MIN(Reference!$A$11,$U104)),Reference!$A$6:$A$11,1))))*(INDEX(Reference!$B$6:$B$11,MIN(5,MATCH(MAX(Reference!$A$6,MIN(Reference!$A$11,$U104)),Reference!$A$6:$A$11,1))+1)-INDEX(Reference!$B$6:$B$11,MIN(5,MATCH(MAX(Reference!$A$6,MIN(Reference!$A$11,$U104)),Reference!$A$6:$A$11,1))))/(INDEX(Reference!$A$6:$A$11,MIN(5,MATCH(MAX(Reference!$A$6,MIN(Reference!$A$11,$U104)),Reference!$A$6:$A$11,1))+1)-INDEX(Reference!$A$6:$A$11,MIN(5,MATCH(MAX(Reference!$A$6,MIN(Reference!$A$11,$U104)),Reference!$A$6:$A$11,1))))))</f>
        <v>2.2000000000000002</v>
      </c>
      <c r="AO104" s="37"/>
      <c r="AP104" s="37"/>
      <c r="AQ104" s="37"/>
    </row>
    <row r="105" spans="1:43" x14ac:dyDescent="0.3">
      <c r="A105" s="48">
        <f t="shared" si="30"/>
        <v>46369</v>
      </c>
      <c r="B105" s="32" t="str">
        <f t="shared" si="31"/>
        <v>Sun</v>
      </c>
      <c r="C105" s="32">
        <f t="shared" si="32"/>
        <v>22</v>
      </c>
      <c r="D105" s="32" t="str">
        <f t="shared" si="33"/>
        <v>Flat Ground / Intent</v>
      </c>
      <c r="E105" s="32" t="str">
        <f t="shared" si="34"/>
        <v>Low</v>
      </c>
      <c r="F105" s="32" t="str">
        <f t="shared" si="35"/>
        <v>Recovery/Easy Catch</v>
      </c>
      <c r="G105" s="47" t="str">
        <f t="shared" si="36"/>
        <v>60 ft × 25 @ 67–71 mph</v>
      </c>
      <c r="H105" s="30">
        <f t="shared" si="37"/>
        <v>15</v>
      </c>
      <c r="I105" s="46">
        <f>IF($A105="","",IF(AND($L105&lt;27,$K$12=0),"Building",IFERROR(((SUM($H$99:$H105)+$K$12*IF($L105&lt;6,SUMIFS('Throw Log'!$Q$5:$Q$300,'Throw Log'!$B$5:$B$300,$D$4,'Throw Log'!$A$5:$A$300,"&gt;="&amp;($D$6+$L105-6),'Throw Log'!$A$5:$A$300,"&lt;="&amp;($D$6-1)),0))/7)/((SUM($H$78:$H105)+$K$12*IF($L105&lt;27,SUMIFS('Throw Log'!$Q$5:$Q$300,'Throw Log'!$B$5:$B$300,$D$4,'Throw Log'!$A$5:$A$300,"&gt;="&amp;($D$6+$L105-27),'Throw Log'!$A$5:$A$300,"&lt;="&amp;($D$6-1)),0))/28),"")))</f>
        <v>1.2626663148865445</v>
      </c>
      <c r="J105" s="37"/>
      <c r="K105" s="37">
        <v>25</v>
      </c>
      <c r="L105" s="32">
        <v>62</v>
      </c>
      <c r="M105" s="32">
        <f t="shared" si="38"/>
        <v>9</v>
      </c>
      <c r="N105" s="32">
        <f t="shared" si="39"/>
        <v>6</v>
      </c>
      <c r="O105" s="32">
        <f t="shared" si="40"/>
        <v>0.81578947368421051</v>
      </c>
      <c r="P105" s="32">
        <f>IF(OR($A105="",N($C105)&lt;=7),"",$G$6*$G$9^($M105-1)*IF(AND(MOD($M105,Reference!$B$99)=0,$M105&lt;=$G$5-2),Reference!$B$100,1))</f>
        <v>205.39822006322521</v>
      </c>
      <c r="Q105" s="32">
        <f>IF($P105="","",IF(SUM($AK$99:$AK$105)=0,0,$P105*INDEX(Reference!$B$108:$B$114,$N105+1)/SUM($AK$99:$AK$105)))</f>
        <v>13.43726673310819</v>
      </c>
      <c r="R105" s="32">
        <f t="shared" si="41"/>
        <v>180</v>
      </c>
      <c r="S105" s="32">
        <f t="shared" si="42"/>
        <v>150</v>
      </c>
      <c r="T105" s="32" t="str">
        <f>IF($A105="","",IF($C105=0,"Bullpen",IF(OR($C105=7,$C105=1,$C105=5),"Recovery/Easy Catch",IF($C105=6,"Compression/Pulldowns",IF(OR($C105=4,$C105=2),"Long Toss",IF($C105=3,"No Throw",IF($N105=2,"No Throw",IF($N105=6,IF($O105&lt;Reference!$B$104,"No Throw","Recovery/Easy Catch"),IF(OR($N105=0,$N105=4),"Recovery/Easy Catch",IF($N105=1,IF($R105&gt;75,"Long Toss","Recovery/Easy Catch"),IF($N105=3,IF($O105&lt;0.5,IF($S105&gt;75,"Long Toss","Recovery/Easy Catch"),"Compression/Pulldowns"),IF($S105&gt;75,"Long Toss","Recovery/Easy Catch"))))))))))))</f>
        <v>Recovery/Easy Catch</v>
      </c>
      <c r="U105" s="32">
        <f t="shared" si="43"/>
        <v>60</v>
      </c>
      <c r="V105" s="32">
        <f t="shared" si="44"/>
        <v>20</v>
      </c>
      <c r="W105" s="32">
        <f t="shared" si="45"/>
        <v>24</v>
      </c>
      <c r="X105" s="32">
        <f t="shared" si="46"/>
        <v>0</v>
      </c>
      <c r="Y105" s="32" t="str">
        <f t="shared" si="47"/>
        <v/>
      </c>
      <c r="Z105" s="32" t="str">
        <f t="shared" si="48"/>
        <v/>
      </c>
      <c r="AA105" s="32" t="str">
        <f t="shared" si="49"/>
        <v/>
      </c>
      <c r="AB105" s="32">
        <f>IF($A105="","",IF($T105="No Throw",0,IF($K105&lt;&gt;"",$K105,IF($AA105&lt;&gt;"",ROUND($AA105*$D$12*IF($C105=0,1,$G$10),0),MIN(IF($T105="Recovery/Easy Catch",Reference!$B$103,IF($T105="Long Toss",Reference!$B$106,Reference!$B$102)),MAX(Reference!$B$101,ROUND(MAX(0,$Q105-$AE105)/$AF105,0)))))))</f>
        <v>25</v>
      </c>
      <c r="AC105" s="32">
        <f t="shared" si="50"/>
        <v>0</v>
      </c>
      <c r="AD105" s="32" t="b">
        <f t="shared" si="51"/>
        <v>0</v>
      </c>
      <c r="AE105" s="32">
        <f>IF($X105=0,0,$X105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105+$Z105)/2,0),Reference!$A$17:$B$20,2,TRUE()))</f>
        <v>0</v>
      </c>
      <c r="AF105" s="32">
        <f>IF(OR($A105="",$U105="",$T105="No Throw"),0,$AM105*VLOOKUP(MAX(($V105+$W105)/2,0),Reference!$A$17:$B$20,2,TRUE()))</f>
        <v>0.6</v>
      </c>
      <c r="AG105" s="32">
        <f>IF($AC105=0,0,$AC105*INDEX(Reference!$B$61:$B$62,MATCH("Bullpen",Reference!$A$61:$A$62,0))*VLOOKUP(MAX($D$5-($D$9+$E$9)/2,0),Reference!$A$17:$B$20,2,TRUE()))</f>
        <v>0</v>
      </c>
      <c r="AH105" s="46">
        <f t="shared" si="52"/>
        <v>1.2626663148865445</v>
      </c>
      <c r="AI105" s="32">
        <f>IF($A105="",NA(),Reference!$A$25)</f>
        <v>0.8</v>
      </c>
      <c r="AJ105" s="32">
        <f t="shared" si="53"/>
        <v>1.3</v>
      </c>
      <c r="AK105" s="56">
        <f>IF(OR($A105="",N($C105)&lt;=7,$T105="No Throw",$J105="x"),0,INDEX(Reference!$B$108:$B$114,$N105+1))</f>
        <v>7.0000000000000007E-2</v>
      </c>
      <c r="AL105" s="32">
        <f t="shared" si="54"/>
        <v>1</v>
      </c>
      <c r="AM105" s="32">
        <f>IF($U105="",0,IF($AL105&gt;1,((IF(1&lt;=$AL105,($AL105-1+3)*(INDEX(Reference!$B$6:$B$11,MIN(5,MATCH(MAX(Reference!$A$6,MIN(Reference!$A$11,MIN($U105,90))),Reference!$A$6:$A$11,1)))+(MAX(Reference!$A$6,MIN(Reference!$A$11,MIN($U105,90)))-INDEX(Reference!$A$6:$A$11,MIN(5,MATCH(MAX(Reference!$A$6,MIN(Reference!$A$11,MIN($U105,90))),Reference!$A$6:$A$11,1))))*(INDEX(Reference!$B$6:$B$11,MIN(5,MATCH(MAX(Reference!$A$6,MIN(Reference!$A$11,MIN($U105,90))),Reference!$A$6:$A$11,1))+1)-INDEX(Reference!$B$6:$B$11,MIN(5,MATCH(MAX(Reference!$A$6,MIN(Reference!$A$11,MIN($U105,90))),Reference!$A$6:$A$11,1))))/(INDEX(Reference!$A$6:$A$11,MIN(5,MATCH(MAX(Reference!$A$6,MIN(Reference!$A$11,MIN($U105,90))),Reference!$A$6:$A$11,1))+1)-INDEX(Reference!$A$6:$A$11,MIN(5,MATCH(MAX(Reference!$A$6,MIN(Reference!$A$11,MIN($U105,90))),Reference!$A$6:$A$11,1))))),0)+IF(2&lt;=$AL105,($AL105-2+3)*(INDEX(Reference!$B$6:$B$11,MIN(5,MATCH(MAX(Reference!$A$6,MIN(Reference!$A$11,MIN($U105,120))),Reference!$A$6:$A$11,1)))+(MAX(Reference!$A$6,MIN(Reference!$A$11,MIN($U105,120)))-INDEX(Reference!$A$6:$A$11,MIN(5,MATCH(MAX(Reference!$A$6,MIN(Reference!$A$11,MIN($U105,120))),Reference!$A$6:$A$11,1))))*(INDEX(Reference!$B$6:$B$11,MIN(5,MATCH(MAX(Reference!$A$6,MIN(Reference!$A$11,MIN($U105,120))),Reference!$A$6:$A$11,1))+1)-INDEX(Reference!$B$6:$B$11,MIN(5,MATCH(MAX(Reference!$A$6,MIN(Reference!$A$11,MIN($U105,120))),Reference!$A$6:$A$11,1))))/(INDEX(Reference!$A$6:$A$11,MIN(5,MATCH(MAX(Reference!$A$6,MIN(Reference!$A$11,MIN($U105,120))),Reference!$A$6:$A$11,1))+1)-INDEX(Reference!$A$6:$A$11,MIN(5,MATCH(MAX(Reference!$A$6,MIN(Reference!$A$11,MIN($U105,120))),Reference!$A$6:$A$11,1))))),0)+IF(3&lt;=$AL105,($AL105-3+3)*(INDEX(Reference!$B$6:$B$11,MIN(5,MATCH(MAX(Reference!$A$6,MIN(Reference!$A$11,MIN($U105,150))),Reference!$A$6:$A$11,1)))+(MAX(Reference!$A$6,MIN(Reference!$A$11,MIN($U105,150)))-INDEX(Reference!$A$6:$A$11,MIN(5,MATCH(MAX(Reference!$A$6,MIN(Reference!$A$11,MIN($U105,150))),Reference!$A$6:$A$11,1))))*(INDEX(Reference!$B$6:$B$11,MIN(5,MATCH(MAX(Reference!$A$6,MIN(Reference!$A$11,MIN($U105,150))),Reference!$A$6:$A$11,1))+1)-INDEX(Reference!$B$6:$B$11,MIN(5,MATCH(MAX(Reference!$A$6,MIN(Reference!$A$11,MIN($U105,150))),Reference!$A$6:$A$11,1))))/(INDEX(Reference!$A$6:$A$11,MIN(5,MATCH(MAX(Reference!$A$6,MIN(Reference!$A$11,MIN($U105,150))),Reference!$A$6:$A$11,1))+1)-INDEX(Reference!$A$6:$A$11,MIN(5,MATCH(MAX(Reference!$A$6,MIN(Reference!$A$11,MIN($U105,150))),Reference!$A$6:$A$11,1))))),0)+IF(4&lt;=$AL105,($AL105-4+3)*(INDEX(Reference!$B$6:$B$11,MIN(5,MATCH(MAX(Reference!$A$6,MIN(Reference!$A$11,MIN($U105,180))),Reference!$A$6:$A$11,1)))+(MAX(Reference!$A$6,MIN(Reference!$A$11,MIN($U105,180)))-INDEX(Reference!$A$6:$A$11,MIN(5,MATCH(MAX(Reference!$A$6,MIN(Reference!$A$11,MIN($U105,180))),Reference!$A$6:$A$11,1))))*(INDEX(Reference!$B$6:$B$11,MIN(5,MATCH(MAX(Reference!$A$6,MIN(Reference!$A$11,MIN($U105,180))),Reference!$A$6:$A$11,1))+1)-INDEX(Reference!$B$6:$B$11,MIN(5,MATCH(MAX(Reference!$A$6,MIN(Reference!$A$11,MIN($U105,180))),Reference!$A$6:$A$11,1))))/(INDEX(Reference!$A$6:$A$11,MIN(5,MATCH(MAX(Reference!$A$6,MIN(Reference!$A$11,MIN($U105,180))),Reference!$A$6:$A$11,1))+1)-INDEX(Reference!$A$6:$A$11,MIN(5,MATCH(MAX(Reference!$A$6,MIN(Reference!$A$11,MIN($U105,180))),Reference!$A$6:$A$11,1))))),0)+IF(5&lt;=$AL105,($AL105-5+3)*(INDEX(Reference!$B$6:$B$11,MIN(5,MATCH(MAX(Reference!$A$6,MIN(Reference!$A$11,MIN($U105,210))),Reference!$A$6:$A$11,1)))+(MAX(Reference!$A$6,MIN(Reference!$A$11,MIN($U105,210)))-INDEX(Reference!$A$6:$A$11,MIN(5,MATCH(MAX(Reference!$A$6,MIN(Reference!$A$11,MIN($U105,210))),Reference!$A$6:$A$11,1))))*(INDEX(Reference!$B$6:$B$11,MIN(5,MATCH(MAX(Reference!$A$6,MIN(Reference!$A$11,MIN($U105,210))),Reference!$A$6:$A$11,1))+1)-INDEX(Reference!$B$6:$B$11,MIN(5,MATCH(MAX(Reference!$A$6,MIN(Reference!$A$11,MIN($U105,210))),Reference!$A$6:$A$11,1))))/(INDEX(Reference!$A$6:$A$11,MIN(5,MATCH(MAX(Reference!$A$6,MIN(Reference!$A$11,MIN($U105,210))),Reference!$A$6:$A$11,1))+1)-INDEX(Reference!$A$6:$A$11,MIN(5,MATCH(MAX(Reference!$A$6,MIN(Reference!$A$11,MIN($U105,210))),Reference!$A$6:$A$11,1))))),0)+IF(6&lt;=$AL105,($AL105-6+3)*(INDEX(Reference!$B$6:$B$11,MIN(5,MATCH(MAX(Reference!$A$6,MIN(Reference!$A$11,MIN($U105,240))),Reference!$A$6:$A$11,1)))+(MAX(Reference!$A$6,MIN(Reference!$A$11,MIN($U105,240)))-INDEX(Reference!$A$6:$A$11,MIN(5,MATCH(MAX(Reference!$A$6,MIN(Reference!$A$11,MIN($U105,240))),Reference!$A$6:$A$11,1))))*(INDEX(Reference!$B$6:$B$11,MIN(5,MATCH(MAX(Reference!$A$6,MIN(Reference!$A$11,MIN($U105,240))),Reference!$A$6:$A$11,1))+1)-INDEX(Reference!$B$6:$B$11,MIN(5,MATCH(MAX(Reference!$A$6,MIN(Reference!$A$11,MIN($U105,240))),Reference!$A$6:$A$11,1))))/(INDEX(Reference!$A$6:$A$11,MIN(5,MATCH(MAX(Reference!$A$6,MIN(Reference!$A$11,MIN($U105,240))),Reference!$A$6:$A$11,1))+1)-INDEX(Reference!$A$6:$A$11,MIN(5,MATCH(MAX(Reference!$A$6,MIN(Reference!$A$11,MIN($U105,240))),Reference!$A$6:$A$11,1))))),0)+IF(7&lt;=$AL105,($AL105-7+3)*(INDEX(Reference!$B$6:$B$11,MIN(5,MATCH(MAX(Reference!$A$6,MIN(Reference!$A$11,MIN($U105,270))),Reference!$A$6:$A$11,1)))+(MAX(Reference!$A$6,MIN(Reference!$A$11,MIN($U105,270)))-INDEX(Reference!$A$6:$A$11,MIN(5,MATCH(MAX(Reference!$A$6,MIN(Reference!$A$11,MIN($U105,270))),Reference!$A$6:$A$11,1))))*(INDEX(Reference!$B$6:$B$11,MIN(5,MATCH(MAX(Reference!$A$6,MIN(Reference!$A$11,MIN($U105,270))),Reference!$A$6:$A$11,1))+1)-INDEX(Reference!$B$6:$B$11,MIN(5,MATCH(MAX(Reference!$A$6,MIN(Reference!$A$11,MIN($U105,270))),Reference!$A$6:$A$11,1))))/(INDEX(Reference!$A$6:$A$11,MIN(5,MATCH(MAX(Reference!$A$6,MIN(Reference!$A$11,MIN($U105,270))),Reference!$A$6:$A$11,1))+1)-INDEX(Reference!$A$6:$A$11,MIN(5,MATCH(MAX(Reference!$A$6,MIN(Reference!$A$11,MIN($U105,270))),Reference!$A$6:$A$11,1))))),0)+IF(8&lt;=$AL105,($AL105-8+3)*(INDEX(Reference!$B$6:$B$11,MIN(5,MATCH(MAX(Reference!$A$6,MIN(Reference!$A$11,MIN($U105,300))),Reference!$A$6:$A$11,1)))+(MAX(Reference!$A$6,MIN(Reference!$A$11,MIN($U105,300)))-INDEX(Reference!$A$6:$A$11,MIN(5,MATCH(MAX(Reference!$A$6,MIN(Reference!$A$11,MIN($U105,300))),Reference!$A$6:$A$11,1))))*(INDEX(Reference!$B$6:$B$11,MIN(5,MATCH(MAX(Reference!$A$6,MIN(Reference!$A$11,MIN($U105,300))),Reference!$A$6:$A$11,1))+1)-INDEX(Reference!$B$6:$B$11,MIN(5,MATCH(MAX(Reference!$A$6,MIN(Reference!$A$11,MIN($U105,300))),Reference!$A$6:$A$11,1))))/(INDEX(Reference!$A$6:$A$11,MIN(5,MATCH(MAX(Reference!$A$6,MIN(Reference!$A$11,MIN($U105,300))),Reference!$A$6:$A$11,1))+1)-INDEX(Reference!$A$6:$A$11,MIN(5,MATCH(MAX(Reference!$A$6,MIN(Reference!$A$11,MIN($U105,300))),Reference!$A$6:$A$11,1))))),0))/($AL105*($AL105+5)/2)),$AN105))</f>
        <v>1</v>
      </c>
      <c r="AN105" s="32">
        <f>IF($U105="",0,(INDEX(Reference!$B$6:$B$11,MIN(5,MATCH(MAX(Reference!$A$6,MIN(Reference!$A$11,$U105)),Reference!$A$6:$A$11,1)))+(MAX(Reference!$A$6,MIN(Reference!$A$11,$U105))-INDEX(Reference!$A$6:$A$11,MIN(5,MATCH(MAX(Reference!$A$6,MIN(Reference!$A$11,$U105)),Reference!$A$6:$A$11,1))))*(INDEX(Reference!$B$6:$B$11,MIN(5,MATCH(MAX(Reference!$A$6,MIN(Reference!$A$11,$U105)),Reference!$A$6:$A$11,1))+1)-INDEX(Reference!$B$6:$B$11,MIN(5,MATCH(MAX(Reference!$A$6,MIN(Reference!$A$11,$U105)),Reference!$A$6:$A$11,1))))/(INDEX(Reference!$A$6:$A$11,MIN(5,MATCH(MAX(Reference!$A$6,MIN(Reference!$A$11,$U105)),Reference!$A$6:$A$11,1))+1)-INDEX(Reference!$A$6:$A$11,MIN(5,MATCH(MAX(Reference!$A$6,MIN(Reference!$A$11,$U105)),Reference!$A$6:$A$11,1))))))</f>
        <v>1</v>
      </c>
      <c r="AO105" s="37"/>
      <c r="AP105" s="37"/>
      <c r="AQ105" s="37"/>
    </row>
    <row r="106" spans="1:43" x14ac:dyDescent="0.3">
      <c r="A106" s="48">
        <f t="shared" si="30"/>
        <v>46370</v>
      </c>
      <c r="B106" s="32" t="str">
        <f t="shared" si="31"/>
        <v>Mon</v>
      </c>
      <c r="C106" s="32">
        <f t="shared" si="32"/>
        <v>21</v>
      </c>
      <c r="D106" s="32" t="str">
        <f t="shared" si="33"/>
        <v>Flat Ground / Intent</v>
      </c>
      <c r="E106" s="32" t="str">
        <f t="shared" si="34"/>
        <v>Low</v>
      </c>
      <c r="F106" s="32" t="str">
        <f t="shared" si="35"/>
        <v>Recovery/Easy Catch</v>
      </c>
      <c r="G106" s="47" t="str">
        <f t="shared" si="36"/>
        <v>75 ft × 35 @ 69–73 mph</v>
      </c>
      <c r="H106" s="30">
        <f t="shared" si="37"/>
        <v>24.15</v>
      </c>
      <c r="I106" s="46">
        <f>IF($A106="","",IF(AND($L106&lt;27,$K$12=0),"Building",IFERROR(((SUM($H$100:$H106)+$K$12*IF($L106&lt;6,SUMIFS('Throw Log'!$Q$5:$Q$300,'Throw Log'!$B$5:$B$300,$D$4,'Throw Log'!$A$5:$A$300,"&gt;="&amp;($D$6+$L106-6),'Throw Log'!$A$5:$A$300,"&lt;="&amp;($D$6-1)),0))/7)/((SUM($H$79:$H106)+$K$12*IF($L106&lt;27,SUMIFS('Throw Log'!$Q$5:$Q$300,'Throw Log'!$B$5:$B$300,$D$4,'Throw Log'!$A$5:$A$300,"&gt;="&amp;($D$6+$L106-27),'Throw Log'!$A$5:$A$300,"&lt;="&amp;($D$6-1)),0))/28),"")))</f>
        <v>1.2578346015253621</v>
      </c>
      <c r="J106" s="37"/>
      <c r="K106" s="37">
        <v>35</v>
      </c>
      <c r="L106" s="32">
        <v>63</v>
      </c>
      <c r="M106" s="32">
        <f t="shared" si="38"/>
        <v>10</v>
      </c>
      <c r="N106" s="32">
        <f t="shared" si="39"/>
        <v>0</v>
      </c>
      <c r="O106" s="32">
        <f t="shared" si="40"/>
        <v>0.82894736842105265</v>
      </c>
      <c r="P106" s="32">
        <f>IF(OR($A106="",N($C106)&lt;=7),"",$G$6*$G$9^($M106-1)*IF(AND(MOD($M106,Reference!$B$99)=0,$M106&lt;=$G$5-2),Reference!$B$100,1))</f>
        <v>231.09205355537119</v>
      </c>
      <c r="Q106" s="32">
        <f>IF($P106="","",IF(SUM($AK$106:$AK$112)=0,0,$P106*INDEX(Reference!$B$108:$B$114,$N106+1)/SUM($AK$106:$AK$112)))</f>
        <v>25.916865819293964</v>
      </c>
      <c r="R106" s="32">
        <f t="shared" si="41"/>
        <v>180</v>
      </c>
      <c r="S106" s="32">
        <f t="shared" si="42"/>
        <v>150</v>
      </c>
      <c r="T106" s="32" t="str">
        <f>IF($A106="","",IF($C106=0,"Bullpen",IF(OR($C106=7,$C106=1,$C106=5),"Recovery/Easy Catch",IF($C106=6,"Compression/Pulldowns",IF(OR($C106=4,$C106=2),"Long Toss",IF($C106=3,"No Throw",IF($N106=2,"No Throw",IF($N106=6,IF($O106&lt;Reference!$B$104,"No Throw","Recovery/Easy Catch"),IF(OR($N106=0,$N106=4),"Recovery/Easy Catch",IF($N106=1,IF($R106&gt;75,"Long Toss","Recovery/Easy Catch"),IF($N106=3,IF($O106&lt;0.5,IF($S106&gt;75,"Long Toss","Recovery/Easy Catch"),"Compression/Pulldowns"),IF($S106&gt;75,"Long Toss","Recovery/Easy Catch"))))))))))))</f>
        <v>Recovery/Easy Catch</v>
      </c>
      <c r="U106" s="32">
        <f t="shared" si="43"/>
        <v>75</v>
      </c>
      <c r="V106" s="32">
        <f t="shared" si="44"/>
        <v>18</v>
      </c>
      <c r="W106" s="32">
        <f t="shared" si="45"/>
        <v>22</v>
      </c>
      <c r="X106" s="32">
        <f t="shared" si="46"/>
        <v>0</v>
      </c>
      <c r="Y106" s="32" t="str">
        <f t="shared" si="47"/>
        <v/>
      </c>
      <c r="Z106" s="32" t="str">
        <f t="shared" si="48"/>
        <v/>
      </c>
      <c r="AA106" s="32" t="str">
        <f t="shared" si="49"/>
        <v/>
      </c>
      <c r="AB106" s="32">
        <f>IF($A106="","",IF($T106="No Throw",0,IF($K106&lt;&gt;"",$K106,IF($AA106&lt;&gt;"",ROUND($AA106*$D$12*IF($C106=0,1,$G$10),0),MIN(IF($T106="Recovery/Easy Catch",Reference!$B$103,IF($T106="Long Toss",Reference!$B$106,Reference!$B$102)),MAX(Reference!$B$101,ROUND(MAX(0,$Q106-$AE106)/$AF106,0)))))))</f>
        <v>35</v>
      </c>
      <c r="AC106" s="32">
        <f t="shared" si="50"/>
        <v>0</v>
      </c>
      <c r="AD106" s="32" t="b">
        <f t="shared" si="51"/>
        <v>0</v>
      </c>
      <c r="AE106" s="32">
        <f>IF($X106=0,0,$X106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106+$Z106)/2,0),Reference!$A$17:$B$20,2,TRUE()))</f>
        <v>0</v>
      </c>
      <c r="AF106" s="32">
        <f>IF(OR($A106="",$U106="",$T106="No Throw"),0,$AM106*VLOOKUP(MAX(($V106+$W106)/2,0),Reference!$A$17:$B$20,2,TRUE()))</f>
        <v>0.69</v>
      </c>
      <c r="AG106" s="32">
        <f>IF($AC106=0,0,$AC106*INDEX(Reference!$B$61:$B$62,MATCH("Bullpen",Reference!$A$61:$A$62,0))*VLOOKUP(MAX($D$5-($D$9+$E$9)/2,0),Reference!$A$17:$B$20,2,TRUE()))</f>
        <v>0</v>
      </c>
      <c r="AH106" s="46">
        <f t="shared" si="52"/>
        <v>1.2578346015253621</v>
      </c>
      <c r="AI106" s="32">
        <f>IF($A106="",NA(),Reference!$A$25)</f>
        <v>0.8</v>
      </c>
      <c r="AJ106" s="32">
        <f t="shared" si="53"/>
        <v>1.3</v>
      </c>
      <c r="AK106" s="56">
        <f>IF(OR($A106="",N($C106)&lt;=7,$T106="No Throw",$J106="x"),0,INDEX(Reference!$B$108:$B$114,$N106+1))</f>
        <v>0.12</v>
      </c>
      <c r="AL106" s="32">
        <f t="shared" si="54"/>
        <v>1</v>
      </c>
      <c r="AM106" s="32">
        <f>IF($U106="",0,IF($AL106&gt;1,((IF(1&lt;=$AL106,($AL106-1+3)*(INDEX(Reference!$B$6:$B$11,MIN(5,MATCH(MAX(Reference!$A$6,MIN(Reference!$A$11,MIN($U106,90))),Reference!$A$6:$A$11,1)))+(MAX(Reference!$A$6,MIN(Reference!$A$11,MIN($U106,90)))-INDEX(Reference!$A$6:$A$11,MIN(5,MATCH(MAX(Reference!$A$6,MIN(Reference!$A$11,MIN($U106,90))),Reference!$A$6:$A$11,1))))*(INDEX(Reference!$B$6:$B$11,MIN(5,MATCH(MAX(Reference!$A$6,MIN(Reference!$A$11,MIN($U106,90))),Reference!$A$6:$A$11,1))+1)-INDEX(Reference!$B$6:$B$11,MIN(5,MATCH(MAX(Reference!$A$6,MIN(Reference!$A$11,MIN($U106,90))),Reference!$A$6:$A$11,1))))/(INDEX(Reference!$A$6:$A$11,MIN(5,MATCH(MAX(Reference!$A$6,MIN(Reference!$A$11,MIN($U106,90))),Reference!$A$6:$A$11,1))+1)-INDEX(Reference!$A$6:$A$11,MIN(5,MATCH(MAX(Reference!$A$6,MIN(Reference!$A$11,MIN($U106,90))),Reference!$A$6:$A$11,1))))),0)+IF(2&lt;=$AL106,($AL106-2+3)*(INDEX(Reference!$B$6:$B$11,MIN(5,MATCH(MAX(Reference!$A$6,MIN(Reference!$A$11,MIN($U106,120))),Reference!$A$6:$A$11,1)))+(MAX(Reference!$A$6,MIN(Reference!$A$11,MIN($U106,120)))-INDEX(Reference!$A$6:$A$11,MIN(5,MATCH(MAX(Reference!$A$6,MIN(Reference!$A$11,MIN($U106,120))),Reference!$A$6:$A$11,1))))*(INDEX(Reference!$B$6:$B$11,MIN(5,MATCH(MAX(Reference!$A$6,MIN(Reference!$A$11,MIN($U106,120))),Reference!$A$6:$A$11,1))+1)-INDEX(Reference!$B$6:$B$11,MIN(5,MATCH(MAX(Reference!$A$6,MIN(Reference!$A$11,MIN($U106,120))),Reference!$A$6:$A$11,1))))/(INDEX(Reference!$A$6:$A$11,MIN(5,MATCH(MAX(Reference!$A$6,MIN(Reference!$A$11,MIN($U106,120))),Reference!$A$6:$A$11,1))+1)-INDEX(Reference!$A$6:$A$11,MIN(5,MATCH(MAX(Reference!$A$6,MIN(Reference!$A$11,MIN($U106,120))),Reference!$A$6:$A$11,1))))),0)+IF(3&lt;=$AL106,($AL106-3+3)*(INDEX(Reference!$B$6:$B$11,MIN(5,MATCH(MAX(Reference!$A$6,MIN(Reference!$A$11,MIN($U106,150))),Reference!$A$6:$A$11,1)))+(MAX(Reference!$A$6,MIN(Reference!$A$11,MIN($U106,150)))-INDEX(Reference!$A$6:$A$11,MIN(5,MATCH(MAX(Reference!$A$6,MIN(Reference!$A$11,MIN($U106,150))),Reference!$A$6:$A$11,1))))*(INDEX(Reference!$B$6:$B$11,MIN(5,MATCH(MAX(Reference!$A$6,MIN(Reference!$A$11,MIN($U106,150))),Reference!$A$6:$A$11,1))+1)-INDEX(Reference!$B$6:$B$11,MIN(5,MATCH(MAX(Reference!$A$6,MIN(Reference!$A$11,MIN($U106,150))),Reference!$A$6:$A$11,1))))/(INDEX(Reference!$A$6:$A$11,MIN(5,MATCH(MAX(Reference!$A$6,MIN(Reference!$A$11,MIN($U106,150))),Reference!$A$6:$A$11,1))+1)-INDEX(Reference!$A$6:$A$11,MIN(5,MATCH(MAX(Reference!$A$6,MIN(Reference!$A$11,MIN($U106,150))),Reference!$A$6:$A$11,1))))),0)+IF(4&lt;=$AL106,($AL106-4+3)*(INDEX(Reference!$B$6:$B$11,MIN(5,MATCH(MAX(Reference!$A$6,MIN(Reference!$A$11,MIN($U106,180))),Reference!$A$6:$A$11,1)))+(MAX(Reference!$A$6,MIN(Reference!$A$11,MIN($U106,180)))-INDEX(Reference!$A$6:$A$11,MIN(5,MATCH(MAX(Reference!$A$6,MIN(Reference!$A$11,MIN($U106,180))),Reference!$A$6:$A$11,1))))*(INDEX(Reference!$B$6:$B$11,MIN(5,MATCH(MAX(Reference!$A$6,MIN(Reference!$A$11,MIN($U106,180))),Reference!$A$6:$A$11,1))+1)-INDEX(Reference!$B$6:$B$11,MIN(5,MATCH(MAX(Reference!$A$6,MIN(Reference!$A$11,MIN($U106,180))),Reference!$A$6:$A$11,1))))/(INDEX(Reference!$A$6:$A$11,MIN(5,MATCH(MAX(Reference!$A$6,MIN(Reference!$A$11,MIN($U106,180))),Reference!$A$6:$A$11,1))+1)-INDEX(Reference!$A$6:$A$11,MIN(5,MATCH(MAX(Reference!$A$6,MIN(Reference!$A$11,MIN($U106,180))),Reference!$A$6:$A$11,1))))),0)+IF(5&lt;=$AL106,($AL106-5+3)*(INDEX(Reference!$B$6:$B$11,MIN(5,MATCH(MAX(Reference!$A$6,MIN(Reference!$A$11,MIN($U106,210))),Reference!$A$6:$A$11,1)))+(MAX(Reference!$A$6,MIN(Reference!$A$11,MIN($U106,210)))-INDEX(Reference!$A$6:$A$11,MIN(5,MATCH(MAX(Reference!$A$6,MIN(Reference!$A$11,MIN($U106,210))),Reference!$A$6:$A$11,1))))*(INDEX(Reference!$B$6:$B$11,MIN(5,MATCH(MAX(Reference!$A$6,MIN(Reference!$A$11,MIN($U106,210))),Reference!$A$6:$A$11,1))+1)-INDEX(Reference!$B$6:$B$11,MIN(5,MATCH(MAX(Reference!$A$6,MIN(Reference!$A$11,MIN($U106,210))),Reference!$A$6:$A$11,1))))/(INDEX(Reference!$A$6:$A$11,MIN(5,MATCH(MAX(Reference!$A$6,MIN(Reference!$A$11,MIN($U106,210))),Reference!$A$6:$A$11,1))+1)-INDEX(Reference!$A$6:$A$11,MIN(5,MATCH(MAX(Reference!$A$6,MIN(Reference!$A$11,MIN($U106,210))),Reference!$A$6:$A$11,1))))),0)+IF(6&lt;=$AL106,($AL106-6+3)*(INDEX(Reference!$B$6:$B$11,MIN(5,MATCH(MAX(Reference!$A$6,MIN(Reference!$A$11,MIN($U106,240))),Reference!$A$6:$A$11,1)))+(MAX(Reference!$A$6,MIN(Reference!$A$11,MIN($U106,240)))-INDEX(Reference!$A$6:$A$11,MIN(5,MATCH(MAX(Reference!$A$6,MIN(Reference!$A$11,MIN($U106,240))),Reference!$A$6:$A$11,1))))*(INDEX(Reference!$B$6:$B$11,MIN(5,MATCH(MAX(Reference!$A$6,MIN(Reference!$A$11,MIN($U106,240))),Reference!$A$6:$A$11,1))+1)-INDEX(Reference!$B$6:$B$11,MIN(5,MATCH(MAX(Reference!$A$6,MIN(Reference!$A$11,MIN($U106,240))),Reference!$A$6:$A$11,1))))/(INDEX(Reference!$A$6:$A$11,MIN(5,MATCH(MAX(Reference!$A$6,MIN(Reference!$A$11,MIN($U106,240))),Reference!$A$6:$A$11,1))+1)-INDEX(Reference!$A$6:$A$11,MIN(5,MATCH(MAX(Reference!$A$6,MIN(Reference!$A$11,MIN($U106,240))),Reference!$A$6:$A$11,1))))),0)+IF(7&lt;=$AL106,($AL106-7+3)*(INDEX(Reference!$B$6:$B$11,MIN(5,MATCH(MAX(Reference!$A$6,MIN(Reference!$A$11,MIN($U106,270))),Reference!$A$6:$A$11,1)))+(MAX(Reference!$A$6,MIN(Reference!$A$11,MIN($U106,270)))-INDEX(Reference!$A$6:$A$11,MIN(5,MATCH(MAX(Reference!$A$6,MIN(Reference!$A$11,MIN($U106,270))),Reference!$A$6:$A$11,1))))*(INDEX(Reference!$B$6:$B$11,MIN(5,MATCH(MAX(Reference!$A$6,MIN(Reference!$A$11,MIN($U106,270))),Reference!$A$6:$A$11,1))+1)-INDEX(Reference!$B$6:$B$11,MIN(5,MATCH(MAX(Reference!$A$6,MIN(Reference!$A$11,MIN($U106,270))),Reference!$A$6:$A$11,1))))/(INDEX(Reference!$A$6:$A$11,MIN(5,MATCH(MAX(Reference!$A$6,MIN(Reference!$A$11,MIN($U106,270))),Reference!$A$6:$A$11,1))+1)-INDEX(Reference!$A$6:$A$11,MIN(5,MATCH(MAX(Reference!$A$6,MIN(Reference!$A$11,MIN($U106,270))),Reference!$A$6:$A$11,1))))),0)+IF(8&lt;=$AL106,($AL106-8+3)*(INDEX(Reference!$B$6:$B$11,MIN(5,MATCH(MAX(Reference!$A$6,MIN(Reference!$A$11,MIN($U106,300))),Reference!$A$6:$A$11,1)))+(MAX(Reference!$A$6,MIN(Reference!$A$11,MIN($U106,300)))-INDEX(Reference!$A$6:$A$11,MIN(5,MATCH(MAX(Reference!$A$6,MIN(Reference!$A$11,MIN($U106,300))),Reference!$A$6:$A$11,1))))*(INDEX(Reference!$B$6:$B$11,MIN(5,MATCH(MAX(Reference!$A$6,MIN(Reference!$A$11,MIN($U106,300))),Reference!$A$6:$A$11,1))+1)-INDEX(Reference!$B$6:$B$11,MIN(5,MATCH(MAX(Reference!$A$6,MIN(Reference!$A$11,MIN($U106,300))),Reference!$A$6:$A$11,1))))/(INDEX(Reference!$A$6:$A$11,MIN(5,MATCH(MAX(Reference!$A$6,MIN(Reference!$A$11,MIN($U106,300))),Reference!$A$6:$A$11,1))+1)-INDEX(Reference!$A$6:$A$11,MIN(5,MATCH(MAX(Reference!$A$6,MIN(Reference!$A$11,MIN($U106,300))),Reference!$A$6:$A$11,1))))),0))/($AL106*($AL106+5)/2)),$AN106))</f>
        <v>1.1499999999999999</v>
      </c>
      <c r="AN106" s="32">
        <f>IF($U106="",0,(INDEX(Reference!$B$6:$B$11,MIN(5,MATCH(MAX(Reference!$A$6,MIN(Reference!$A$11,$U106)),Reference!$A$6:$A$11,1)))+(MAX(Reference!$A$6,MIN(Reference!$A$11,$U106))-INDEX(Reference!$A$6:$A$11,MIN(5,MATCH(MAX(Reference!$A$6,MIN(Reference!$A$11,$U106)),Reference!$A$6:$A$11,1))))*(INDEX(Reference!$B$6:$B$11,MIN(5,MATCH(MAX(Reference!$A$6,MIN(Reference!$A$11,$U106)),Reference!$A$6:$A$11,1))+1)-INDEX(Reference!$B$6:$B$11,MIN(5,MATCH(MAX(Reference!$A$6,MIN(Reference!$A$11,$U106)),Reference!$A$6:$A$11,1))))/(INDEX(Reference!$A$6:$A$11,MIN(5,MATCH(MAX(Reference!$A$6,MIN(Reference!$A$11,$U106)),Reference!$A$6:$A$11,1))+1)-INDEX(Reference!$A$6:$A$11,MIN(5,MATCH(MAX(Reference!$A$6,MIN(Reference!$A$11,$U106)),Reference!$A$6:$A$11,1))))))</f>
        <v>1.1499999999999999</v>
      </c>
      <c r="AO106" s="37"/>
      <c r="AP106" s="37"/>
      <c r="AQ106" s="37"/>
    </row>
    <row r="107" spans="1:43" ht="26.4" x14ac:dyDescent="0.3">
      <c r="A107" s="48">
        <f t="shared" ref="A107:A138" si="55">IFERROR(IF($L107&gt;$G$4,"",$D$6+$L107),"")</f>
        <v>46371</v>
      </c>
      <c r="B107" s="32" t="str">
        <f t="shared" ref="B107:B138" si="56">IF($A107="","",TEXT($A107,"ddd"))</f>
        <v>Tue</v>
      </c>
      <c r="C107" s="32">
        <f t="shared" ref="C107:C138" si="57">IF($A107="","",$G$4-$L107)</f>
        <v>20</v>
      </c>
      <c r="D107" s="32" t="str">
        <f t="shared" ref="D107:D138" si="58">IF($A107="","",IF($C107=0,"First Bullpen",IF($C107&lt;=7,"Taper",IF($O107&lt;0.2,"Re-entry",IF($O107&lt;0.45,"Base",IF($O107&lt;0.65,"Extension","Flat Ground / Intent"))))))</f>
        <v>Flat Ground / Intent</v>
      </c>
      <c r="E107" s="32" t="str">
        <f t="shared" ref="E107:E138" si="59">IF($A107="","",IF($AD107,"No Throw",IF($C107=0,"High Bullpen",IF($C107=6,"High Non-Bullpen",IF(OR($C107=4,$C107=2),"Medium",IF($T107="Recovery/Easy Catch","Low",IF($N107=1,IF($O107&lt;0.4,"Low",IF($O107&lt;0.7,"Medium","High Non-Bullpen")),IF($N107=3,IF($O107&lt;0.5,"Medium","High Non-Bullpen"),IF($O107&lt;0.62,"Medium","High Non-Bullpen")))))))))</f>
        <v>High Non-Bullpen</v>
      </c>
      <c r="F107" s="32" t="str">
        <f t="shared" ref="F107:F138" si="60">IF($A107="","",IF($AD107,"No Throw",$T107))</f>
        <v>Long Toss</v>
      </c>
      <c r="G107" s="47" t="str">
        <f t="shared" ref="G107:G138" si="61">IF($A107="","",IF($AD107,"Off",IF($AL107&gt;1,"Long toss out to "&amp;$U107&amp;" ft — "&amp;$AB107&amp;" throws ("&amp;IF(1&lt;=$AL107,MIN($U107,90)&amp;"×"&amp;(ROUND($AB107*(1*($AL107+3)-1)/($AL107*($AL107+5)/2),0)-0),"")&amp;IF(2&lt;=$AL107," · "&amp;MIN($U107,120)&amp;"×"&amp;(ROUND($AB107*(2*($AL107+3)-3)/($AL107*($AL107+5)/2),0)-ROUND($AB107*(1*($AL107+3)-1)/($AL107*($AL107+5)/2),0)),"")&amp;IF(3&lt;=$AL107," · "&amp;MIN($U107,150)&amp;"×"&amp;(ROUND($AB107*(3*($AL107+3)-6)/($AL107*($AL107+5)/2),0)-ROUND($AB107*(2*($AL107+3)-3)/($AL107*($AL107+5)/2),0)),"")&amp;IF(4&lt;=$AL107," · "&amp;MIN($U107,180)&amp;"×"&amp;(ROUND($AB107*(4*($AL107+3)-10)/($AL107*($AL107+5)/2),0)-ROUND($AB107*(3*($AL107+3)-6)/($AL107*($AL107+5)/2),0)),"")&amp;IF(5&lt;=$AL107," · "&amp;MIN($U107,210)&amp;"×"&amp;(ROUND($AB107*(5*($AL107+3)-15)/($AL107*($AL107+5)/2),0)-ROUND($AB107*(4*($AL107+3)-10)/($AL107*($AL107+5)/2),0)),"")&amp;IF(6&lt;=$AL107," · "&amp;MIN($U107,240)&amp;"×"&amp;(ROUND($AB107*(6*($AL107+3)-21)/($AL107*($AL107+5)/2),0)-ROUND($AB107*(5*($AL107+3)-15)/($AL107*($AL107+5)/2),0)),"")&amp;IF(7&lt;=$AL107," · "&amp;MIN($U107,270)&amp;"×"&amp;(ROUND($AB107*(7*($AL107+3)-28)/($AL107*($AL107+5)/2),0)-ROUND($AB107*(6*($AL107+3)-21)/($AL107*($AL107+5)/2),0)),"")&amp;IF(8&lt;=$AL107," · "&amp;MIN($U107,300)&amp;"×"&amp;(ROUND($AB107*(8*($AL107+3)-36)/($AL107*($AL107+5)/2),0)-ROUND($AB107*(7*($AL107+3)-28)/($AL107*($AL107+5)/2),0)),"")&amp;")",$U107&amp;" ft × "&amp;$AB107)&amp;" @ "&amp;ROUND($D$5-$W107,0)&amp;"–"&amp;ROUND($D$5-$V107,0)&amp;" mph"&amp;IF($X107&gt;0,IF($Y107&lt;10," + flat ground at 60 ft × "," + 60 ft × ")&amp;$X107&amp;" @ "&amp;ROUND($D$5-$Z107,0)&amp;"–"&amp;ROUND($D$5-$Y107,0)&amp;" mph","")&amp;IF($AC107&gt;0," + MOUND × "&amp;$AC107&amp;" pitches @ "&amp;$D$9&amp;"–"&amp;$E$9&amp;" mph","")))</f>
        <v>Long toss out to 180 ft — 30 throws (90×10 · 120×8 · 150×7 · 180×5) @ 79–81 mph + 60 ft × 15 @ 79–81 mph</v>
      </c>
      <c r="H107" s="30">
        <f t="shared" ref="H107:H138" si="62">IF($A107="","",IF($AD107,0,$AB107*$AF107+$AE107+$AG107))</f>
        <v>42.5</v>
      </c>
      <c r="I107" s="46">
        <f>IF($A107="","",IF(AND($L107&lt;27,$K$12=0),"Building",IFERROR(((SUM($H$101:$H107)+$K$12*IF($L107&lt;6,SUMIFS('Throw Log'!$Q$5:$Q$300,'Throw Log'!$B$5:$B$300,$D$4,'Throw Log'!$A$5:$A$300,"&gt;="&amp;($D$6+$L107-6),'Throw Log'!$A$5:$A$300,"&lt;="&amp;($D$6-1)),0))/7)/((SUM($H$80:$H107)+$K$12*IF($L107&lt;27,SUMIFS('Throw Log'!$Q$5:$Q$300,'Throw Log'!$B$5:$B$300,$D$4,'Throw Log'!$A$5:$A$300,"&gt;="&amp;($D$6+$L107-27),'Throw Log'!$A$5:$A$300,"&lt;="&amp;($D$6-1)),0))/28),"")))</f>
        <v>1.1966073006977225</v>
      </c>
      <c r="J107" s="37"/>
      <c r="K107" s="37">
        <v>30</v>
      </c>
      <c r="L107" s="32">
        <v>64</v>
      </c>
      <c r="M107" s="32">
        <f t="shared" ref="M107:M138" si="63">INT($L107/7)+1</f>
        <v>10</v>
      </c>
      <c r="N107" s="32">
        <f t="shared" ref="N107:N138" si="64">MOD($L107,7)</f>
        <v>1</v>
      </c>
      <c r="O107" s="32">
        <f t="shared" ref="O107:O138" si="65">MIN(1,$G$7+(1-$G$7)*$L107/MAX(1,N($G$4)-8))</f>
        <v>0.84210526315789469</v>
      </c>
      <c r="P107" s="32">
        <f>IF(OR($A107="",N($C107)&lt;=7),"",$G$6*$G$9^($M107-1)*IF(AND(MOD($M107,Reference!$B$99)=0,$M107&lt;=$G$5-2),Reference!$B$100,1))</f>
        <v>231.09205355537119</v>
      </c>
      <c r="Q107" s="32">
        <f>IF($P107="","",IF(SUM($AK$106:$AK$112)=0,0,$P107*INDEX(Reference!$B$108:$B$114,$N107+1)/SUM($AK$106:$AK$112)))</f>
        <v>58.312948093411421</v>
      </c>
      <c r="R107" s="32">
        <f t="shared" ref="R107:R138" si="66">ROUND((60+($D$11-60)*MIN(1,$O107/0.75))/15,0)*15</f>
        <v>180</v>
      </c>
      <c r="S107" s="32">
        <f t="shared" ref="S107:S138" si="67">ROUND((60+($R107-60)*0.8)/15,0)*15</f>
        <v>150</v>
      </c>
      <c r="T107" s="32" t="str">
        <f>IF($A107="","",IF($C107=0,"Bullpen",IF(OR($C107=7,$C107=1,$C107=5),"Recovery/Easy Catch",IF($C107=6,"Compression/Pulldowns",IF(OR($C107=4,$C107=2),"Long Toss",IF($C107=3,"No Throw",IF($N107=2,"No Throw",IF($N107=6,IF($O107&lt;Reference!$B$104,"No Throw","Recovery/Easy Catch"),IF(OR($N107=0,$N107=4),"Recovery/Easy Catch",IF($N107=1,IF($R107&gt;75,"Long Toss","Recovery/Easy Catch"),IF($N107=3,IF($O107&lt;0.5,IF($S107&gt;75,"Long Toss","Recovery/Easy Catch"),"Compression/Pulldowns"),IF($S107&gt;75,"Long Toss","Recovery/Easy Catch"))))))))))))</f>
        <v>Long Toss</v>
      </c>
      <c r="U107" s="32">
        <f t="shared" ref="U107:U138" si="68">IF($A107="","",IF(N($AO107)&gt;0,$AO107,IF($C107=0,90,IF(OR($C107=7,$C107=1),75,IF($C107=6,90,IF($C107=5,60,IF($C107=4,MIN(150,ROUND(0.75*$D$11/15,0)*15),IF($C107=2,MIN(120,ROUND(0.67*$D$11/15,0)*15),IF($C107=3,"",IF($N107=2,"",IF($N107=6,60,IF($N107=0,IF($O107&lt;0.25,60,75),IF($N107=4,IF($O107&lt;0.5,60,75),IF($N107=1,$R107,IF($N107=3,IF($O107&lt;0.5,$S107,90),$S107)))))))))))))))</f>
        <v>180</v>
      </c>
      <c r="V107" s="32">
        <f t="shared" ref="V107:V138" si="69">IF($A107="","",IF(N($AQ107)&gt;0,$D$5-$AQ107,IF(N($AP107)&gt;0,$D$5-$AP107,IF($C107=0,10,IF(OR($C107=7,$C107=1),18,IF($C107=6,7,IF($C107=5,20,IF(OR($C107=4,$C107=2),10,IF($C107=3,"",IF($N107=2,"",IF($N107=6,20,IF($N107=0,IF($O107&lt;0.25,20,18),IF($N107=4,IF($O107&lt;0.5,20,18),IF($N107=1,IF($O107&lt;0.25,18,IF($O107&lt;0.5,13,10)),IF($N107=3,IF($O107&lt;0.5,IF($O107&lt;0.25,18,13),7),IF($O107&lt;0.25,18,IF($O107&lt;0.5,12,10)))))))))))))))))</f>
        <v>10</v>
      </c>
      <c r="W107" s="32">
        <f t="shared" ref="W107:W138" si="70">IF($A107="","",IF(N($AP107)&gt;0,$D$5-$AP107,IF(N($AQ107)&gt;0,$D$5-$AQ107,IF($C107=0,12,IF(OR($C107=7,$C107=1),22,IF($C107=6,9,IF($C107=5,24,IF(OR($C107=4,$C107=2),13,IF($C107=3,"",IF($N107=2,"",IF($N107=6,24,IF($N107=0,IF($O107&lt;0.25,24,22),IF($N107=4,IF($O107&lt;0.5,24,22),IF($N107=1,IF($O107&lt;0.25,22,IF($O107&lt;0.5,16,12)),IF($N107=3,IF($O107&lt;0.5,IF($O107&lt;0.25,22,16),9),IF($O107&lt;0.25,22,IF($O107&lt;0.5,15,13)))))))))))))))))</f>
        <v>12</v>
      </c>
      <c r="X107" s="32">
        <f t="shared" ref="X107:X138" si="71">IF($A107="",0,IF($C107=6,ROUND(25*$G$10,0),IF(OR($C107=4,$C107=2),ROUND(15*$G$10,0),IF($C107&lt;=7,0,IF($N107=1,IF($O107&lt;0.2,0,IF($O107&lt;0.5,10,15)),IF($N107=3,IF($O107&lt;0.5,IF($O107&lt;0.2,0,10),IF($O107&lt;0.62,15,IF($O107&lt;0.8,20,25))),IF($N107=5,IF($O107&lt;0.2,0,IF($O107&lt;0.62,12,IF($O107&lt;0.8,20,25))),0)))))))</f>
        <v>15</v>
      </c>
      <c r="Y107" s="32">
        <f t="shared" ref="Y107:Y138" si="72">IF($X107=0,"",IF($C107=6,$D$5-$E$9,IF(OR($C107=4,$C107=2),8,IF($N107=1,IF($O107&lt;0.5,14,10),IF($N107=3,IF($O107&lt;0.5,14,IF($O107&lt;0.62,10,7)),IF($N107=5,IF($O107&lt;0.5,14,IF($O107&lt;0.62,12,7)),""))))))</f>
        <v>10</v>
      </c>
      <c r="Z107" s="32">
        <f t="shared" ref="Z107:Z138" si="73">IF($X107=0,"",IF($C107=6,$D$5-$D$9,IF(OR($C107=4,$C107=2),10,IF($N107=1,IF($O107&lt;0.5,18,12),IF($N107=3,IF($O107&lt;0.5,18,IF($O107&lt;0.62,12,9)),IF($N107=5,IF($O107&lt;0.5,18,IF($O107&lt;0.62,15,9)),""))))))</f>
        <v>12</v>
      </c>
      <c r="AA107" s="32" t="str">
        <f t="shared" ref="AA107:AA138" si="74">IF($A107="","",IF($C107=0,25,IF(OR($C107=7,$C107=1,$C107=5),30,IF($C107=6,25,IF(OR($C107=4,$C107=2),IF($AM107=0,30,30*$AN107/$AM107),"")))))</f>
        <v/>
      </c>
      <c r="AB107" s="32">
        <f>IF($A107="","",IF($T107="No Throw",0,IF($K107&lt;&gt;"",$K107,IF($AA107&lt;&gt;"",ROUND($AA107*$D$12*IF($C107=0,1,$G$10),0),MIN(IF($T107="Recovery/Easy Catch",Reference!$B$103,IF($T107="Long Toss",Reference!$B$106,Reference!$B$102)),MAX(Reference!$B$101,ROUND(MAX(0,$Q107-$AE107)/$AF107,0)))))))</f>
        <v>30</v>
      </c>
      <c r="AC107" s="32">
        <f t="shared" ref="AC107:AC138" si="75">IF($A107="",0,IF($C107=0,$D$8,0))</f>
        <v>0</v>
      </c>
      <c r="AD107" s="32" t="b">
        <f t="shared" ref="AD107:AD138" si="76">IF($A107="",TRUE(),OR($J107="x",$T107="No Throw"))</f>
        <v>0</v>
      </c>
      <c r="AE107" s="32">
        <f>IF($X107=0,0,$X107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107+$Z107)/2,0),Reference!$A$17:$B$20,2,TRUE()))</f>
        <v>9</v>
      </c>
      <c r="AF107" s="32">
        <f>IF(OR($A107="",$U107="",$T107="No Throw"),0,$AM107*VLOOKUP(MAX(($V107+$W107)/2,0),Reference!$A$17:$B$20,2,TRUE()))</f>
        <v>1.1166666666666667</v>
      </c>
      <c r="AG107" s="32">
        <f>IF($AC107=0,0,$AC107*INDEX(Reference!$B$61:$B$62,MATCH("Bullpen",Reference!$A$61:$A$62,0))*VLOOKUP(MAX($D$5-($D$9+$E$9)/2,0),Reference!$A$17:$B$20,2,TRUE()))</f>
        <v>0</v>
      </c>
      <c r="AH107" s="46">
        <f t="shared" ref="AH107:AH138" si="77">IF(OR($A107="",$L107&lt;27),NA(),$I107)</f>
        <v>1.1966073006977225</v>
      </c>
      <c r="AI107" s="32">
        <f>IF($A107="",NA(),Reference!$A$25)</f>
        <v>0.8</v>
      </c>
      <c r="AJ107" s="32">
        <f t="shared" ref="AJ107:AJ138" si="78">IF($A107="",NA(),1.3)</f>
        <v>1.3</v>
      </c>
      <c r="AK107" s="56">
        <f>IF(OR($A107="",N($C107)&lt;=7,$T107="No Throw",$J107="x"),0,INDEX(Reference!$B$108:$B$114,$N107+1))</f>
        <v>0.27</v>
      </c>
      <c r="AL107" s="32">
        <f t="shared" ref="AL107:AL138" si="79">IF($U107="",1,IF(AND($T107="Long Toss",N($U107)&gt;90),1+ROUNDUP(($U107-90)/30,0),1))</f>
        <v>4</v>
      </c>
      <c r="AM107" s="32">
        <f>IF($U107="",0,IF($AL107&gt;1,((IF(1&lt;=$AL107,($AL107-1+3)*(INDEX(Reference!$B$6:$B$11,MIN(5,MATCH(MAX(Reference!$A$6,MIN(Reference!$A$11,MIN($U107,90))),Reference!$A$6:$A$11,1)))+(MAX(Reference!$A$6,MIN(Reference!$A$11,MIN($U107,90)))-INDEX(Reference!$A$6:$A$11,MIN(5,MATCH(MAX(Reference!$A$6,MIN(Reference!$A$11,MIN($U107,90))),Reference!$A$6:$A$11,1))))*(INDEX(Reference!$B$6:$B$11,MIN(5,MATCH(MAX(Reference!$A$6,MIN(Reference!$A$11,MIN($U107,90))),Reference!$A$6:$A$11,1))+1)-INDEX(Reference!$B$6:$B$11,MIN(5,MATCH(MAX(Reference!$A$6,MIN(Reference!$A$11,MIN($U107,90))),Reference!$A$6:$A$11,1))))/(INDEX(Reference!$A$6:$A$11,MIN(5,MATCH(MAX(Reference!$A$6,MIN(Reference!$A$11,MIN($U107,90))),Reference!$A$6:$A$11,1))+1)-INDEX(Reference!$A$6:$A$11,MIN(5,MATCH(MAX(Reference!$A$6,MIN(Reference!$A$11,MIN($U107,90))),Reference!$A$6:$A$11,1))))),0)+IF(2&lt;=$AL107,($AL107-2+3)*(INDEX(Reference!$B$6:$B$11,MIN(5,MATCH(MAX(Reference!$A$6,MIN(Reference!$A$11,MIN($U107,120))),Reference!$A$6:$A$11,1)))+(MAX(Reference!$A$6,MIN(Reference!$A$11,MIN($U107,120)))-INDEX(Reference!$A$6:$A$11,MIN(5,MATCH(MAX(Reference!$A$6,MIN(Reference!$A$11,MIN($U107,120))),Reference!$A$6:$A$11,1))))*(INDEX(Reference!$B$6:$B$11,MIN(5,MATCH(MAX(Reference!$A$6,MIN(Reference!$A$11,MIN($U107,120))),Reference!$A$6:$A$11,1))+1)-INDEX(Reference!$B$6:$B$11,MIN(5,MATCH(MAX(Reference!$A$6,MIN(Reference!$A$11,MIN($U107,120))),Reference!$A$6:$A$11,1))))/(INDEX(Reference!$A$6:$A$11,MIN(5,MATCH(MAX(Reference!$A$6,MIN(Reference!$A$11,MIN($U107,120))),Reference!$A$6:$A$11,1))+1)-INDEX(Reference!$A$6:$A$11,MIN(5,MATCH(MAX(Reference!$A$6,MIN(Reference!$A$11,MIN($U107,120))),Reference!$A$6:$A$11,1))))),0)+IF(3&lt;=$AL107,($AL107-3+3)*(INDEX(Reference!$B$6:$B$11,MIN(5,MATCH(MAX(Reference!$A$6,MIN(Reference!$A$11,MIN($U107,150))),Reference!$A$6:$A$11,1)))+(MAX(Reference!$A$6,MIN(Reference!$A$11,MIN($U107,150)))-INDEX(Reference!$A$6:$A$11,MIN(5,MATCH(MAX(Reference!$A$6,MIN(Reference!$A$11,MIN($U107,150))),Reference!$A$6:$A$11,1))))*(INDEX(Reference!$B$6:$B$11,MIN(5,MATCH(MAX(Reference!$A$6,MIN(Reference!$A$11,MIN($U107,150))),Reference!$A$6:$A$11,1))+1)-INDEX(Reference!$B$6:$B$11,MIN(5,MATCH(MAX(Reference!$A$6,MIN(Reference!$A$11,MIN($U107,150))),Reference!$A$6:$A$11,1))))/(INDEX(Reference!$A$6:$A$11,MIN(5,MATCH(MAX(Reference!$A$6,MIN(Reference!$A$11,MIN($U107,150))),Reference!$A$6:$A$11,1))+1)-INDEX(Reference!$A$6:$A$11,MIN(5,MATCH(MAX(Reference!$A$6,MIN(Reference!$A$11,MIN($U107,150))),Reference!$A$6:$A$11,1))))),0)+IF(4&lt;=$AL107,($AL107-4+3)*(INDEX(Reference!$B$6:$B$11,MIN(5,MATCH(MAX(Reference!$A$6,MIN(Reference!$A$11,MIN($U107,180))),Reference!$A$6:$A$11,1)))+(MAX(Reference!$A$6,MIN(Reference!$A$11,MIN($U107,180)))-INDEX(Reference!$A$6:$A$11,MIN(5,MATCH(MAX(Reference!$A$6,MIN(Reference!$A$11,MIN($U107,180))),Reference!$A$6:$A$11,1))))*(INDEX(Reference!$B$6:$B$11,MIN(5,MATCH(MAX(Reference!$A$6,MIN(Reference!$A$11,MIN($U107,180))),Reference!$A$6:$A$11,1))+1)-INDEX(Reference!$B$6:$B$11,MIN(5,MATCH(MAX(Reference!$A$6,MIN(Reference!$A$11,MIN($U107,180))),Reference!$A$6:$A$11,1))))/(INDEX(Reference!$A$6:$A$11,MIN(5,MATCH(MAX(Reference!$A$6,MIN(Reference!$A$11,MIN($U107,180))),Reference!$A$6:$A$11,1))+1)-INDEX(Reference!$A$6:$A$11,MIN(5,MATCH(MAX(Reference!$A$6,MIN(Reference!$A$11,MIN($U107,180))),Reference!$A$6:$A$11,1))))),0)+IF(5&lt;=$AL107,($AL107-5+3)*(INDEX(Reference!$B$6:$B$11,MIN(5,MATCH(MAX(Reference!$A$6,MIN(Reference!$A$11,MIN($U107,210))),Reference!$A$6:$A$11,1)))+(MAX(Reference!$A$6,MIN(Reference!$A$11,MIN($U107,210)))-INDEX(Reference!$A$6:$A$11,MIN(5,MATCH(MAX(Reference!$A$6,MIN(Reference!$A$11,MIN($U107,210))),Reference!$A$6:$A$11,1))))*(INDEX(Reference!$B$6:$B$11,MIN(5,MATCH(MAX(Reference!$A$6,MIN(Reference!$A$11,MIN($U107,210))),Reference!$A$6:$A$11,1))+1)-INDEX(Reference!$B$6:$B$11,MIN(5,MATCH(MAX(Reference!$A$6,MIN(Reference!$A$11,MIN($U107,210))),Reference!$A$6:$A$11,1))))/(INDEX(Reference!$A$6:$A$11,MIN(5,MATCH(MAX(Reference!$A$6,MIN(Reference!$A$11,MIN($U107,210))),Reference!$A$6:$A$11,1))+1)-INDEX(Reference!$A$6:$A$11,MIN(5,MATCH(MAX(Reference!$A$6,MIN(Reference!$A$11,MIN($U107,210))),Reference!$A$6:$A$11,1))))),0)+IF(6&lt;=$AL107,($AL107-6+3)*(INDEX(Reference!$B$6:$B$11,MIN(5,MATCH(MAX(Reference!$A$6,MIN(Reference!$A$11,MIN($U107,240))),Reference!$A$6:$A$11,1)))+(MAX(Reference!$A$6,MIN(Reference!$A$11,MIN($U107,240)))-INDEX(Reference!$A$6:$A$11,MIN(5,MATCH(MAX(Reference!$A$6,MIN(Reference!$A$11,MIN($U107,240))),Reference!$A$6:$A$11,1))))*(INDEX(Reference!$B$6:$B$11,MIN(5,MATCH(MAX(Reference!$A$6,MIN(Reference!$A$11,MIN($U107,240))),Reference!$A$6:$A$11,1))+1)-INDEX(Reference!$B$6:$B$11,MIN(5,MATCH(MAX(Reference!$A$6,MIN(Reference!$A$11,MIN($U107,240))),Reference!$A$6:$A$11,1))))/(INDEX(Reference!$A$6:$A$11,MIN(5,MATCH(MAX(Reference!$A$6,MIN(Reference!$A$11,MIN($U107,240))),Reference!$A$6:$A$11,1))+1)-INDEX(Reference!$A$6:$A$11,MIN(5,MATCH(MAX(Reference!$A$6,MIN(Reference!$A$11,MIN($U107,240))),Reference!$A$6:$A$11,1))))),0)+IF(7&lt;=$AL107,($AL107-7+3)*(INDEX(Reference!$B$6:$B$11,MIN(5,MATCH(MAX(Reference!$A$6,MIN(Reference!$A$11,MIN($U107,270))),Reference!$A$6:$A$11,1)))+(MAX(Reference!$A$6,MIN(Reference!$A$11,MIN($U107,270)))-INDEX(Reference!$A$6:$A$11,MIN(5,MATCH(MAX(Reference!$A$6,MIN(Reference!$A$11,MIN($U107,270))),Reference!$A$6:$A$11,1))))*(INDEX(Reference!$B$6:$B$11,MIN(5,MATCH(MAX(Reference!$A$6,MIN(Reference!$A$11,MIN($U107,270))),Reference!$A$6:$A$11,1))+1)-INDEX(Reference!$B$6:$B$11,MIN(5,MATCH(MAX(Reference!$A$6,MIN(Reference!$A$11,MIN($U107,270))),Reference!$A$6:$A$11,1))))/(INDEX(Reference!$A$6:$A$11,MIN(5,MATCH(MAX(Reference!$A$6,MIN(Reference!$A$11,MIN($U107,270))),Reference!$A$6:$A$11,1))+1)-INDEX(Reference!$A$6:$A$11,MIN(5,MATCH(MAX(Reference!$A$6,MIN(Reference!$A$11,MIN($U107,270))),Reference!$A$6:$A$11,1))))),0)+IF(8&lt;=$AL107,($AL107-8+3)*(INDEX(Reference!$B$6:$B$11,MIN(5,MATCH(MAX(Reference!$A$6,MIN(Reference!$A$11,MIN($U107,300))),Reference!$A$6:$A$11,1)))+(MAX(Reference!$A$6,MIN(Reference!$A$11,MIN($U107,300)))-INDEX(Reference!$A$6:$A$11,MIN(5,MATCH(MAX(Reference!$A$6,MIN(Reference!$A$11,MIN($U107,300))),Reference!$A$6:$A$11,1))))*(INDEX(Reference!$B$6:$B$11,MIN(5,MATCH(MAX(Reference!$A$6,MIN(Reference!$A$11,MIN($U107,300))),Reference!$A$6:$A$11,1))+1)-INDEX(Reference!$B$6:$B$11,MIN(5,MATCH(MAX(Reference!$A$6,MIN(Reference!$A$11,MIN($U107,300))),Reference!$A$6:$A$11,1))))/(INDEX(Reference!$A$6:$A$11,MIN(5,MATCH(MAX(Reference!$A$6,MIN(Reference!$A$11,MIN($U107,300))),Reference!$A$6:$A$11,1))+1)-INDEX(Reference!$A$6:$A$11,MIN(5,MATCH(MAX(Reference!$A$6,MIN(Reference!$A$11,MIN($U107,300))),Reference!$A$6:$A$11,1))))),0))/($AL107*($AL107+5)/2)),$AN107))</f>
        <v>1.8611111111111112</v>
      </c>
      <c r="AN107" s="32">
        <f>IF($U107="",0,(INDEX(Reference!$B$6:$B$11,MIN(5,MATCH(MAX(Reference!$A$6,MIN(Reference!$A$11,$U107)),Reference!$A$6:$A$11,1)))+(MAX(Reference!$A$6,MIN(Reference!$A$11,$U107))-INDEX(Reference!$A$6:$A$11,MIN(5,MATCH(MAX(Reference!$A$6,MIN(Reference!$A$11,$U107)),Reference!$A$6:$A$11,1))))*(INDEX(Reference!$B$6:$B$11,MIN(5,MATCH(MAX(Reference!$A$6,MIN(Reference!$A$11,$U107)),Reference!$A$6:$A$11,1))+1)-INDEX(Reference!$B$6:$B$11,MIN(5,MATCH(MAX(Reference!$A$6,MIN(Reference!$A$11,$U107)),Reference!$A$6:$A$11,1))))/(INDEX(Reference!$A$6:$A$11,MIN(5,MATCH(MAX(Reference!$A$6,MIN(Reference!$A$11,$U107)),Reference!$A$6:$A$11,1))+1)-INDEX(Reference!$A$6:$A$11,MIN(5,MATCH(MAX(Reference!$A$6,MIN(Reference!$A$11,$U107)),Reference!$A$6:$A$11,1))))))</f>
        <v>2.8</v>
      </c>
      <c r="AO107" s="37"/>
      <c r="AP107" s="37"/>
      <c r="AQ107" s="37"/>
    </row>
    <row r="108" spans="1:43" x14ac:dyDescent="0.3">
      <c r="A108" s="48">
        <f t="shared" si="55"/>
        <v>46372</v>
      </c>
      <c r="B108" s="32" t="str">
        <f t="shared" si="56"/>
        <v>Wed</v>
      </c>
      <c r="C108" s="32">
        <f t="shared" si="57"/>
        <v>19</v>
      </c>
      <c r="D108" s="32" t="str">
        <f t="shared" si="58"/>
        <v>Flat Ground / Intent</v>
      </c>
      <c r="E108" s="32" t="str">
        <f t="shared" si="59"/>
        <v>No Throw</v>
      </c>
      <c r="F108" s="32" t="str">
        <f t="shared" si="60"/>
        <v>No Throw</v>
      </c>
      <c r="G108" s="47" t="str">
        <f t="shared" si="61"/>
        <v>Off</v>
      </c>
      <c r="H108" s="30">
        <f t="shared" si="62"/>
        <v>0</v>
      </c>
      <c r="I108" s="46">
        <f>IF($A108="","",IF(AND($L108&lt;27,$K$12=0),"Building",IFERROR(((SUM($H$102:$H108)+$K$12*IF($L108&lt;6,SUMIFS('Throw Log'!$Q$5:$Q$300,'Throw Log'!$B$5:$B$300,$D$4,'Throw Log'!$A$5:$A$300,"&gt;="&amp;($D$6+$L108-6),'Throw Log'!$A$5:$A$300,"&lt;="&amp;($D$6-1)),0))/7)/((SUM($H$81:$H108)+$K$12*IF($L108&lt;27,SUMIFS('Throw Log'!$Q$5:$Q$300,'Throw Log'!$B$5:$B$300,$D$4,'Throw Log'!$A$5:$A$300,"&gt;="&amp;($D$6+$L108-27),'Throw Log'!$A$5:$A$300,"&lt;="&amp;($D$6-1)),0))/28),"")))</f>
        <v>1.1966073006977225</v>
      </c>
      <c r="J108" s="37"/>
      <c r="K108" s="37"/>
      <c r="L108" s="32">
        <v>65</v>
      </c>
      <c r="M108" s="32">
        <f t="shared" si="63"/>
        <v>10</v>
      </c>
      <c r="N108" s="32">
        <f t="shared" si="64"/>
        <v>2</v>
      </c>
      <c r="O108" s="32">
        <f t="shared" si="65"/>
        <v>0.85526315789473684</v>
      </c>
      <c r="P108" s="32">
        <f>IF(OR($A108="",N($C108)&lt;=7),"",$G$6*$G$9^($M108-1)*IF(AND(MOD($M108,Reference!$B$99)=0,$M108&lt;=$G$5-2),Reference!$B$100,1))</f>
        <v>231.09205355537119</v>
      </c>
      <c r="Q108" s="32">
        <f>IF($P108="","",IF(SUM($AK$106:$AK$112)=0,0,$P108*INDEX(Reference!$B$108:$B$114,$N108+1)/SUM($AK$106:$AK$112)))</f>
        <v>0</v>
      </c>
      <c r="R108" s="32">
        <f t="shared" si="66"/>
        <v>180</v>
      </c>
      <c r="S108" s="32">
        <f t="shared" si="67"/>
        <v>150</v>
      </c>
      <c r="T108" s="32" t="str">
        <f>IF($A108="","",IF($C108=0,"Bullpen",IF(OR($C108=7,$C108=1,$C108=5),"Recovery/Easy Catch",IF($C108=6,"Compression/Pulldowns",IF(OR($C108=4,$C108=2),"Long Toss",IF($C108=3,"No Throw",IF($N108=2,"No Throw",IF($N108=6,IF($O108&lt;Reference!$B$104,"No Throw","Recovery/Easy Catch"),IF(OR($N108=0,$N108=4),"Recovery/Easy Catch",IF($N108=1,IF($R108&gt;75,"Long Toss","Recovery/Easy Catch"),IF($N108=3,IF($O108&lt;0.5,IF($S108&gt;75,"Long Toss","Recovery/Easy Catch"),"Compression/Pulldowns"),IF($S108&gt;75,"Long Toss","Recovery/Easy Catch"))))))))))))</f>
        <v>No Throw</v>
      </c>
      <c r="U108" s="32" t="str">
        <f t="shared" si="68"/>
        <v/>
      </c>
      <c r="V108" s="32" t="str">
        <f t="shared" si="69"/>
        <v/>
      </c>
      <c r="W108" s="32" t="str">
        <f t="shared" si="70"/>
        <v/>
      </c>
      <c r="X108" s="32">
        <f t="shared" si="71"/>
        <v>0</v>
      </c>
      <c r="Y108" s="32" t="str">
        <f t="shared" si="72"/>
        <v/>
      </c>
      <c r="Z108" s="32" t="str">
        <f t="shared" si="73"/>
        <v/>
      </c>
      <c r="AA108" s="32" t="str">
        <f t="shared" si="74"/>
        <v/>
      </c>
      <c r="AB108" s="32">
        <f>IF($A108="","",IF($T108="No Throw",0,IF($K108&lt;&gt;"",$K108,IF($AA108&lt;&gt;"",ROUND($AA108*$D$12*IF($C108=0,1,$G$10),0),MIN(IF($T108="Recovery/Easy Catch",Reference!$B$103,IF($T108="Long Toss",Reference!$B$106,Reference!$B$102)),MAX(Reference!$B$101,ROUND(MAX(0,$Q108-$AE108)/$AF108,0)))))))</f>
        <v>0</v>
      </c>
      <c r="AC108" s="32">
        <f t="shared" si="75"/>
        <v>0</v>
      </c>
      <c r="AD108" s="32" t="b">
        <f t="shared" si="76"/>
        <v>1</v>
      </c>
      <c r="AE108" s="32">
        <f>IF($X108=0,0,$X108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108+$Z108)/2,0),Reference!$A$17:$B$20,2,TRUE()))</f>
        <v>0</v>
      </c>
      <c r="AF108" s="32">
        <f>IF(OR($A108="",$U108="",$T108="No Throw"),0,$AM108*VLOOKUP(MAX(($V108+$W108)/2,0),Reference!$A$17:$B$20,2,TRUE()))</f>
        <v>0</v>
      </c>
      <c r="AG108" s="32">
        <f>IF($AC108=0,0,$AC108*INDEX(Reference!$B$61:$B$62,MATCH("Bullpen",Reference!$A$61:$A$62,0))*VLOOKUP(MAX($D$5-($D$9+$E$9)/2,0),Reference!$A$17:$B$20,2,TRUE()))</f>
        <v>0</v>
      </c>
      <c r="AH108" s="46">
        <f t="shared" si="77"/>
        <v>1.1966073006977225</v>
      </c>
      <c r="AI108" s="32">
        <f>IF($A108="",NA(),Reference!$A$25)</f>
        <v>0.8</v>
      </c>
      <c r="AJ108" s="32">
        <f t="shared" si="78"/>
        <v>1.3</v>
      </c>
      <c r="AK108" s="32">
        <f>IF(OR($A108="",N($C108)&lt;=7,$T108="No Throw",$J108="x"),0,INDEX(Reference!$B$108:$B$114,$N108+1))</f>
        <v>0</v>
      </c>
      <c r="AL108" s="32">
        <f t="shared" si="79"/>
        <v>1</v>
      </c>
      <c r="AM108" s="32">
        <f>IF($U108="",0,IF($AL108&gt;1,((IF(1&lt;=$AL108,($AL108-1+3)*(INDEX(Reference!$B$6:$B$11,MIN(5,MATCH(MAX(Reference!$A$6,MIN(Reference!$A$11,MIN($U108,90))),Reference!$A$6:$A$11,1)))+(MAX(Reference!$A$6,MIN(Reference!$A$11,MIN($U108,90)))-INDEX(Reference!$A$6:$A$11,MIN(5,MATCH(MAX(Reference!$A$6,MIN(Reference!$A$11,MIN($U108,90))),Reference!$A$6:$A$11,1))))*(INDEX(Reference!$B$6:$B$11,MIN(5,MATCH(MAX(Reference!$A$6,MIN(Reference!$A$11,MIN($U108,90))),Reference!$A$6:$A$11,1))+1)-INDEX(Reference!$B$6:$B$11,MIN(5,MATCH(MAX(Reference!$A$6,MIN(Reference!$A$11,MIN($U108,90))),Reference!$A$6:$A$11,1))))/(INDEX(Reference!$A$6:$A$11,MIN(5,MATCH(MAX(Reference!$A$6,MIN(Reference!$A$11,MIN($U108,90))),Reference!$A$6:$A$11,1))+1)-INDEX(Reference!$A$6:$A$11,MIN(5,MATCH(MAX(Reference!$A$6,MIN(Reference!$A$11,MIN($U108,90))),Reference!$A$6:$A$11,1))))),0)+IF(2&lt;=$AL108,($AL108-2+3)*(INDEX(Reference!$B$6:$B$11,MIN(5,MATCH(MAX(Reference!$A$6,MIN(Reference!$A$11,MIN($U108,120))),Reference!$A$6:$A$11,1)))+(MAX(Reference!$A$6,MIN(Reference!$A$11,MIN($U108,120)))-INDEX(Reference!$A$6:$A$11,MIN(5,MATCH(MAX(Reference!$A$6,MIN(Reference!$A$11,MIN($U108,120))),Reference!$A$6:$A$11,1))))*(INDEX(Reference!$B$6:$B$11,MIN(5,MATCH(MAX(Reference!$A$6,MIN(Reference!$A$11,MIN($U108,120))),Reference!$A$6:$A$11,1))+1)-INDEX(Reference!$B$6:$B$11,MIN(5,MATCH(MAX(Reference!$A$6,MIN(Reference!$A$11,MIN($U108,120))),Reference!$A$6:$A$11,1))))/(INDEX(Reference!$A$6:$A$11,MIN(5,MATCH(MAX(Reference!$A$6,MIN(Reference!$A$11,MIN($U108,120))),Reference!$A$6:$A$11,1))+1)-INDEX(Reference!$A$6:$A$11,MIN(5,MATCH(MAX(Reference!$A$6,MIN(Reference!$A$11,MIN($U108,120))),Reference!$A$6:$A$11,1))))),0)+IF(3&lt;=$AL108,($AL108-3+3)*(INDEX(Reference!$B$6:$B$11,MIN(5,MATCH(MAX(Reference!$A$6,MIN(Reference!$A$11,MIN($U108,150))),Reference!$A$6:$A$11,1)))+(MAX(Reference!$A$6,MIN(Reference!$A$11,MIN($U108,150)))-INDEX(Reference!$A$6:$A$11,MIN(5,MATCH(MAX(Reference!$A$6,MIN(Reference!$A$11,MIN($U108,150))),Reference!$A$6:$A$11,1))))*(INDEX(Reference!$B$6:$B$11,MIN(5,MATCH(MAX(Reference!$A$6,MIN(Reference!$A$11,MIN($U108,150))),Reference!$A$6:$A$11,1))+1)-INDEX(Reference!$B$6:$B$11,MIN(5,MATCH(MAX(Reference!$A$6,MIN(Reference!$A$11,MIN($U108,150))),Reference!$A$6:$A$11,1))))/(INDEX(Reference!$A$6:$A$11,MIN(5,MATCH(MAX(Reference!$A$6,MIN(Reference!$A$11,MIN($U108,150))),Reference!$A$6:$A$11,1))+1)-INDEX(Reference!$A$6:$A$11,MIN(5,MATCH(MAX(Reference!$A$6,MIN(Reference!$A$11,MIN($U108,150))),Reference!$A$6:$A$11,1))))),0)+IF(4&lt;=$AL108,($AL108-4+3)*(INDEX(Reference!$B$6:$B$11,MIN(5,MATCH(MAX(Reference!$A$6,MIN(Reference!$A$11,MIN($U108,180))),Reference!$A$6:$A$11,1)))+(MAX(Reference!$A$6,MIN(Reference!$A$11,MIN($U108,180)))-INDEX(Reference!$A$6:$A$11,MIN(5,MATCH(MAX(Reference!$A$6,MIN(Reference!$A$11,MIN($U108,180))),Reference!$A$6:$A$11,1))))*(INDEX(Reference!$B$6:$B$11,MIN(5,MATCH(MAX(Reference!$A$6,MIN(Reference!$A$11,MIN($U108,180))),Reference!$A$6:$A$11,1))+1)-INDEX(Reference!$B$6:$B$11,MIN(5,MATCH(MAX(Reference!$A$6,MIN(Reference!$A$11,MIN($U108,180))),Reference!$A$6:$A$11,1))))/(INDEX(Reference!$A$6:$A$11,MIN(5,MATCH(MAX(Reference!$A$6,MIN(Reference!$A$11,MIN($U108,180))),Reference!$A$6:$A$11,1))+1)-INDEX(Reference!$A$6:$A$11,MIN(5,MATCH(MAX(Reference!$A$6,MIN(Reference!$A$11,MIN($U108,180))),Reference!$A$6:$A$11,1))))),0)+IF(5&lt;=$AL108,($AL108-5+3)*(INDEX(Reference!$B$6:$B$11,MIN(5,MATCH(MAX(Reference!$A$6,MIN(Reference!$A$11,MIN($U108,210))),Reference!$A$6:$A$11,1)))+(MAX(Reference!$A$6,MIN(Reference!$A$11,MIN($U108,210)))-INDEX(Reference!$A$6:$A$11,MIN(5,MATCH(MAX(Reference!$A$6,MIN(Reference!$A$11,MIN($U108,210))),Reference!$A$6:$A$11,1))))*(INDEX(Reference!$B$6:$B$11,MIN(5,MATCH(MAX(Reference!$A$6,MIN(Reference!$A$11,MIN($U108,210))),Reference!$A$6:$A$11,1))+1)-INDEX(Reference!$B$6:$B$11,MIN(5,MATCH(MAX(Reference!$A$6,MIN(Reference!$A$11,MIN($U108,210))),Reference!$A$6:$A$11,1))))/(INDEX(Reference!$A$6:$A$11,MIN(5,MATCH(MAX(Reference!$A$6,MIN(Reference!$A$11,MIN($U108,210))),Reference!$A$6:$A$11,1))+1)-INDEX(Reference!$A$6:$A$11,MIN(5,MATCH(MAX(Reference!$A$6,MIN(Reference!$A$11,MIN($U108,210))),Reference!$A$6:$A$11,1))))),0)+IF(6&lt;=$AL108,($AL108-6+3)*(INDEX(Reference!$B$6:$B$11,MIN(5,MATCH(MAX(Reference!$A$6,MIN(Reference!$A$11,MIN($U108,240))),Reference!$A$6:$A$11,1)))+(MAX(Reference!$A$6,MIN(Reference!$A$11,MIN($U108,240)))-INDEX(Reference!$A$6:$A$11,MIN(5,MATCH(MAX(Reference!$A$6,MIN(Reference!$A$11,MIN($U108,240))),Reference!$A$6:$A$11,1))))*(INDEX(Reference!$B$6:$B$11,MIN(5,MATCH(MAX(Reference!$A$6,MIN(Reference!$A$11,MIN($U108,240))),Reference!$A$6:$A$11,1))+1)-INDEX(Reference!$B$6:$B$11,MIN(5,MATCH(MAX(Reference!$A$6,MIN(Reference!$A$11,MIN($U108,240))),Reference!$A$6:$A$11,1))))/(INDEX(Reference!$A$6:$A$11,MIN(5,MATCH(MAX(Reference!$A$6,MIN(Reference!$A$11,MIN($U108,240))),Reference!$A$6:$A$11,1))+1)-INDEX(Reference!$A$6:$A$11,MIN(5,MATCH(MAX(Reference!$A$6,MIN(Reference!$A$11,MIN($U108,240))),Reference!$A$6:$A$11,1))))),0)+IF(7&lt;=$AL108,($AL108-7+3)*(INDEX(Reference!$B$6:$B$11,MIN(5,MATCH(MAX(Reference!$A$6,MIN(Reference!$A$11,MIN($U108,270))),Reference!$A$6:$A$11,1)))+(MAX(Reference!$A$6,MIN(Reference!$A$11,MIN($U108,270)))-INDEX(Reference!$A$6:$A$11,MIN(5,MATCH(MAX(Reference!$A$6,MIN(Reference!$A$11,MIN($U108,270))),Reference!$A$6:$A$11,1))))*(INDEX(Reference!$B$6:$B$11,MIN(5,MATCH(MAX(Reference!$A$6,MIN(Reference!$A$11,MIN($U108,270))),Reference!$A$6:$A$11,1))+1)-INDEX(Reference!$B$6:$B$11,MIN(5,MATCH(MAX(Reference!$A$6,MIN(Reference!$A$11,MIN($U108,270))),Reference!$A$6:$A$11,1))))/(INDEX(Reference!$A$6:$A$11,MIN(5,MATCH(MAX(Reference!$A$6,MIN(Reference!$A$11,MIN($U108,270))),Reference!$A$6:$A$11,1))+1)-INDEX(Reference!$A$6:$A$11,MIN(5,MATCH(MAX(Reference!$A$6,MIN(Reference!$A$11,MIN($U108,270))),Reference!$A$6:$A$11,1))))),0)+IF(8&lt;=$AL108,($AL108-8+3)*(INDEX(Reference!$B$6:$B$11,MIN(5,MATCH(MAX(Reference!$A$6,MIN(Reference!$A$11,MIN($U108,300))),Reference!$A$6:$A$11,1)))+(MAX(Reference!$A$6,MIN(Reference!$A$11,MIN($U108,300)))-INDEX(Reference!$A$6:$A$11,MIN(5,MATCH(MAX(Reference!$A$6,MIN(Reference!$A$11,MIN($U108,300))),Reference!$A$6:$A$11,1))))*(INDEX(Reference!$B$6:$B$11,MIN(5,MATCH(MAX(Reference!$A$6,MIN(Reference!$A$11,MIN($U108,300))),Reference!$A$6:$A$11,1))+1)-INDEX(Reference!$B$6:$B$11,MIN(5,MATCH(MAX(Reference!$A$6,MIN(Reference!$A$11,MIN($U108,300))),Reference!$A$6:$A$11,1))))/(INDEX(Reference!$A$6:$A$11,MIN(5,MATCH(MAX(Reference!$A$6,MIN(Reference!$A$11,MIN($U108,300))),Reference!$A$6:$A$11,1))+1)-INDEX(Reference!$A$6:$A$11,MIN(5,MATCH(MAX(Reference!$A$6,MIN(Reference!$A$11,MIN($U108,300))),Reference!$A$6:$A$11,1))))),0))/($AL108*($AL108+5)/2)),$AN108))</f>
        <v>0</v>
      </c>
      <c r="AN108" s="32">
        <f>IF($U108="",0,(INDEX(Reference!$B$6:$B$11,MIN(5,MATCH(MAX(Reference!$A$6,MIN(Reference!$A$11,$U108)),Reference!$A$6:$A$11,1)))+(MAX(Reference!$A$6,MIN(Reference!$A$11,$U108))-INDEX(Reference!$A$6:$A$11,MIN(5,MATCH(MAX(Reference!$A$6,MIN(Reference!$A$11,$U108)),Reference!$A$6:$A$11,1))))*(INDEX(Reference!$B$6:$B$11,MIN(5,MATCH(MAX(Reference!$A$6,MIN(Reference!$A$11,$U108)),Reference!$A$6:$A$11,1))+1)-INDEX(Reference!$B$6:$B$11,MIN(5,MATCH(MAX(Reference!$A$6,MIN(Reference!$A$11,$U108)),Reference!$A$6:$A$11,1))))/(INDEX(Reference!$A$6:$A$11,MIN(5,MATCH(MAX(Reference!$A$6,MIN(Reference!$A$11,$U108)),Reference!$A$6:$A$11,1))+1)-INDEX(Reference!$A$6:$A$11,MIN(5,MATCH(MAX(Reference!$A$6,MIN(Reference!$A$11,$U108)),Reference!$A$6:$A$11,1))))))</f>
        <v>0</v>
      </c>
      <c r="AO108" s="37"/>
      <c r="AP108" s="37"/>
      <c r="AQ108" s="37"/>
    </row>
    <row r="109" spans="1:43" x14ac:dyDescent="0.3">
      <c r="A109" s="48">
        <f t="shared" si="55"/>
        <v>46373</v>
      </c>
      <c r="B109" s="32" t="str">
        <f t="shared" si="56"/>
        <v>Thu</v>
      </c>
      <c r="C109" s="32">
        <f t="shared" si="57"/>
        <v>18</v>
      </c>
      <c r="D109" s="32" t="str">
        <f t="shared" si="58"/>
        <v>Flat Ground / Intent</v>
      </c>
      <c r="E109" s="32" t="str">
        <f t="shared" si="59"/>
        <v>High Non-Bullpen</v>
      </c>
      <c r="F109" s="32" t="str">
        <f t="shared" si="60"/>
        <v>Compression/Pulldowns</v>
      </c>
      <c r="G109" s="47" t="str">
        <f t="shared" si="61"/>
        <v>90 ft × 20 @ 82–84 mph + flat ground at 60 ft × 25 @ 82–84 mph</v>
      </c>
      <c r="H109" s="30">
        <f t="shared" si="62"/>
        <v>51</v>
      </c>
      <c r="I109" s="46">
        <f>IF($A109="","",IF(AND($L109&lt;27,$K$12=0),"Building",IFERROR(((SUM($H$103:$H109)+$K$12*IF($L109&lt;6,SUMIFS('Throw Log'!$Q$5:$Q$300,'Throw Log'!$B$5:$B$300,$D$4,'Throw Log'!$A$5:$A$300,"&gt;="&amp;($D$6+$L109-6),'Throw Log'!$A$5:$A$300,"&lt;="&amp;($D$6-1)),0))/7)/((SUM($H$82:$H109)+$K$12*IF($L109&lt;27,SUMIFS('Throw Log'!$Q$5:$Q$300,'Throw Log'!$B$5:$B$300,$D$4,'Throw Log'!$A$5:$A$300,"&gt;="&amp;($D$6+$L109-27),'Throw Log'!$A$5:$A$300,"&lt;="&amp;($D$6-1)),0))/28),"")))</f>
        <v>1.1978623767285552</v>
      </c>
      <c r="J109" s="37"/>
      <c r="K109" s="37">
        <v>20</v>
      </c>
      <c r="L109" s="32">
        <v>66</v>
      </c>
      <c r="M109" s="32">
        <f t="shared" si="63"/>
        <v>10</v>
      </c>
      <c r="N109" s="32">
        <f t="shared" si="64"/>
        <v>3</v>
      </c>
      <c r="O109" s="32">
        <f t="shared" si="65"/>
        <v>0.86842105263157898</v>
      </c>
      <c r="P109" s="32">
        <f>IF(OR($A109="",N($C109)&lt;=7),"",$G$6*$G$9^($M109-1)*IF(AND(MOD($M109,Reference!$B$99)=0,$M109&lt;=$G$5-2),Reference!$B$100,1))</f>
        <v>231.09205355537119</v>
      </c>
      <c r="Q109" s="32">
        <f>IF($P109="","",IF(SUM($AK$106:$AK$112)=0,0,$P109*INDEX(Reference!$B$108:$B$114,$N109+1)/SUM($AK$106:$AK$112)))</f>
        <v>51.833731638587928</v>
      </c>
      <c r="R109" s="32">
        <f t="shared" si="66"/>
        <v>180</v>
      </c>
      <c r="S109" s="32">
        <f t="shared" si="67"/>
        <v>150</v>
      </c>
      <c r="T109" s="32" t="str">
        <f>IF($A109="","",IF($C109=0,"Bullpen",IF(OR($C109=7,$C109=1,$C109=5),"Recovery/Easy Catch",IF($C109=6,"Compression/Pulldowns",IF(OR($C109=4,$C109=2),"Long Toss",IF($C109=3,"No Throw",IF($N109=2,"No Throw",IF($N109=6,IF($O109&lt;Reference!$B$104,"No Throw","Recovery/Easy Catch"),IF(OR($N109=0,$N109=4),"Recovery/Easy Catch",IF($N109=1,IF($R109&gt;75,"Long Toss","Recovery/Easy Catch"),IF($N109=3,IF($O109&lt;0.5,IF($S109&gt;75,"Long Toss","Recovery/Easy Catch"),"Compression/Pulldowns"),IF($S109&gt;75,"Long Toss","Recovery/Easy Catch"))))))))))))</f>
        <v>Compression/Pulldowns</v>
      </c>
      <c r="U109" s="32">
        <f t="shared" si="68"/>
        <v>90</v>
      </c>
      <c r="V109" s="32">
        <f t="shared" si="69"/>
        <v>7</v>
      </c>
      <c r="W109" s="32">
        <f t="shared" si="70"/>
        <v>9</v>
      </c>
      <c r="X109" s="32">
        <f t="shared" si="71"/>
        <v>25</v>
      </c>
      <c r="Y109" s="32">
        <f t="shared" si="72"/>
        <v>7</v>
      </c>
      <c r="Z109" s="32">
        <f t="shared" si="73"/>
        <v>9</v>
      </c>
      <c r="AA109" s="32" t="str">
        <f t="shared" si="74"/>
        <v/>
      </c>
      <c r="AB109" s="32">
        <f>IF($A109="","",IF($T109="No Throw",0,IF($K109&lt;&gt;"",$K109,IF($AA109&lt;&gt;"",ROUND($AA109*$D$12*IF($C109=0,1,$G$10),0),MIN(IF($T109="Recovery/Easy Catch",Reference!$B$103,IF($T109="Long Toss",Reference!$B$106,Reference!$B$102)),MAX(Reference!$B$101,ROUND(MAX(0,$Q109-$AE109)/$AF109,0)))))))</f>
        <v>20</v>
      </c>
      <c r="AC109" s="32">
        <f t="shared" si="75"/>
        <v>0</v>
      </c>
      <c r="AD109" s="32" t="b">
        <f t="shared" si="76"/>
        <v>0</v>
      </c>
      <c r="AE109" s="32">
        <f>IF($X109=0,0,$X109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109+$Z109)/2,0),Reference!$A$17:$B$20,2,TRUE()))</f>
        <v>25</v>
      </c>
      <c r="AF109" s="32">
        <f>IF(OR($A109="",$U109="",$T109="No Throw"),0,$AM109*VLOOKUP(MAX(($V109+$W109)/2,0),Reference!$A$17:$B$20,2,TRUE()))</f>
        <v>1.3</v>
      </c>
      <c r="AG109" s="32">
        <f>IF($AC109=0,0,$AC109*INDEX(Reference!$B$61:$B$62,MATCH("Bullpen",Reference!$A$61:$A$62,0))*VLOOKUP(MAX($D$5-($D$9+$E$9)/2,0),Reference!$A$17:$B$20,2,TRUE()))</f>
        <v>0</v>
      </c>
      <c r="AH109" s="46">
        <f t="shared" si="77"/>
        <v>1.1978623767285552</v>
      </c>
      <c r="AI109" s="32">
        <f>IF($A109="",NA(),Reference!$A$25)</f>
        <v>0.8</v>
      </c>
      <c r="AJ109" s="32">
        <f t="shared" si="78"/>
        <v>1.3</v>
      </c>
      <c r="AK109" s="56">
        <f>IF(OR($A109="",N($C109)&lt;=7,$T109="No Throw",$J109="x"),0,INDEX(Reference!$B$108:$B$114,$N109+1))</f>
        <v>0.24</v>
      </c>
      <c r="AL109" s="32">
        <f t="shared" si="79"/>
        <v>1</v>
      </c>
      <c r="AM109" s="32">
        <f>IF($U109="",0,IF($AL109&gt;1,((IF(1&lt;=$AL109,($AL109-1+3)*(INDEX(Reference!$B$6:$B$11,MIN(5,MATCH(MAX(Reference!$A$6,MIN(Reference!$A$11,MIN($U109,90))),Reference!$A$6:$A$11,1)))+(MAX(Reference!$A$6,MIN(Reference!$A$11,MIN($U109,90)))-INDEX(Reference!$A$6:$A$11,MIN(5,MATCH(MAX(Reference!$A$6,MIN(Reference!$A$11,MIN($U109,90))),Reference!$A$6:$A$11,1))))*(INDEX(Reference!$B$6:$B$11,MIN(5,MATCH(MAX(Reference!$A$6,MIN(Reference!$A$11,MIN($U109,90))),Reference!$A$6:$A$11,1))+1)-INDEX(Reference!$B$6:$B$11,MIN(5,MATCH(MAX(Reference!$A$6,MIN(Reference!$A$11,MIN($U109,90))),Reference!$A$6:$A$11,1))))/(INDEX(Reference!$A$6:$A$11,MIN(5,MATCH(MAX(Reference!$A$6,MIN(Reference!$A$11,MIN($U109,90))),Reference!$A$6:$A$11,1))+1)-INDEX(Reference!$A$6:$A$11,MIN(5,MATCH(MAX(Reference!$A$6,MIN(Reference!$A$11,MIN($U109,90))),Reference!$A$6:$A$11,1))))),0)+IF(2&lt;=$AL109,($AL109-2+3)*(INDEX(Reference!$B$6:$B$11,MIN(5,MATCH(MAX(Reference!$A$6,MIN(Reference!$A$11,MIN($U109,120))),Reference!$A$6:$A$11,1)))+(MAX(Reference!$A$6,MIN(Reference!$A$11,MIN($U109,120)))-INDEX(Reference!$A$6:$A$11,MIN(5,MATCH(MAX(Reference!$A$6,MIN(Reference!$A$11,MIN($U109,120))),Reference!$A$6:$A$11,1))))*(INDEX(Reference!$B$6:$B$11,MIN(5,MATCH(MAX(Reference!$A$6,MIN(Reference!$A$11,MIN($U109,120))),Reference!$A$6:$A$11,1))+1)-INDEX(Reference!$B$6:$B$11,MIN(5,MATCH(MAX(Reference!$A$6,MIN(Reference!$A$11,MIN($U109,120))),Reference!$A$6:$A$11,1))))/(INDEX(Reference!$A$6:$A$11,MIN(5,MATCH(MAX(Reference!$A$6,MIN(Reference!$A$11,MIN($U109,120))),Reference!$A$6:$A$11,1))+1)-INDEX(Reference!$A$6:$A$11,MIN(5,MATCH(MAX(Reference!$A$6,MIN(Reference!$A$11,MIN($U109,120))),Reference!$A$6:$A$11,1))))),0)+IF(3&lt;=$AL109,($AL109-3+3)*(INDEX(Reference!$B$6:$B$11,MIN(5,MATCH(MAX(Reference!$A$6,MIN(Reference!$A$11,MIN($U109,150))),Reference!$A$6:$A$11,1)))+(MAX(Reference!$A$6,MIN(Reference!$A$11,MIN($U109,150)))-INDEX(Reference!$A$6:$A$11,MIN(5,MATCH(MAX(Reference!$A$6,MIN(Reference!$A$11,MIN($U109,150))),Reference!$A$6:$A$11,1))))*(INDEX(Reference!$B$6:$B$11,MIN(5,MATCH(MAX(Reference!$A$6,MIN(Reference!$A$11,MIN($U109,150))),Reference!$A$6:$A$11,1))+1)-INDEX(Reference!$B$6:$B$11,MIN(5,MATCH(MAX(Reference!$A$6,MIN(Reference!$A$11,MIN($U109,150))),Reference!$A$6:$A$11,1))))/(INDEX(Reference!$A$6:$A$11,MIN(5,MATCH(MAX(Reference!$A$6,MIN(Reference!$A$11,MIN($U109,150))),Reference!$A$6:$A$11,1))+1)-INDEX(Reference!$A$6:$A$11,MIN(5,MATCH(MAX(Reference!$A$6,MIN(Reference!$A$11,MIN($U109,150))),Reference!$A$6:$A$11,1))))),0)+IF(4&lt;=$AL109,($AL109-4+3)*(INDEX(Reference!$B$6:$B$11,MIN(5,MATCH(MAX(Reference!$A$6,MIN(Reference!$A$11,MIN($U109,180))),Reference!$A$6:$A$11,1)))+(MAX(Reference!$A$6,MIN(Reference!$A$11,MIN($U109,180)))-INDEX(Reference!$A$6:$A$11,MIN(5,MATCH(MAX(Reference!$A$6,MIN(Reference!$A$11,MIN($U109,180))),Reference!$A$6:$A$11,1))))*(INDEX(Reference!$B$6:$B$11,MIN(5,MATCH(MAX(Reference!$A$6,MIN(Reference!$A$11,MIN($U109,180))),Reference!$A$6:$A$11,1))+1)-INDEX(Reference!$B$6:$B$11,MIN(5,MATCH(MAX(Reference!$A$6,MIN(Reference!$A$11,MIN($U109,180))),Reference!$A$6:$A$11,1))))/(INDEX(Reference!$A$6:$A$11,MIN(5,MATCH(MAX(Reference!$A$6,MIN(Reference!$A$11,MIN($U109,180))),Reference!$A$6:$A$11,1))+1)-INDEX(Reference!$A$6:$A$11,MIN(5,MATCH(MAX(Reference!$A$6,MIN(Reference!$A$11,MIN($U109,180))),Reference!$A$6:$A$11,1))))),0)+IF(5&lt;=$AL109,($AL109-5+3)*(INDEX(Reference!$B$6:$B$11,MIN(5,MATCH(MAX(Reference!$A$6,MIN(Reference!$A$11,MIN($U109,210))),Reference!$A$6:$A$11,1)))+(MAX(Reference!$A$6,MIN(Reference!$A$11,MIN($U109,210)))-INDEX(Reference!$A$6:$A$11,MIN(5,MATCH(MAX(Reference!$A$6,MIN(Reference!$A$11,MIN($U109,210))),Reference!$A$6:$A$11,1))))*(INDEX(Reference!$B$6:$B$11,MIN(5,MATCH(MAX(Reference!$A$6,MIN(Reference!$A$11,MIN($U109,210))),Reference!$A$6:$A$11,1))+1)-INDEX(Reference!$B$6:$B$11,MIN(5,MATCH(MAX(Reference!$A$6,MIN(Reference!$A$11,MIN($U109,210))),Reference!$A$6:$A$11,1))))/(INDEX(Reference!$A$6:$A$11,MIN(5,MATCH(MAX(Reference!$A$6,MIN(Reference!$A$11,MIN($U109,210))),Reference!$A$6:$A$11,1))+1)-INDEX(Reference!$A$6:$A$11,MIN(5,MATCH(MAX(Reference!$A$6,MIN(Reference!$A$11,MIN($U109,210))),Reference!$A$6:$A$11,1))))),0)+IF(6&lt;=$AL109,($AL109-6+3)*(INDEX(Reference!$B$6:$B$11,MIN(5,MATCH(MAX(Reference!$A$6,MIN(Reference!$A$11,MIN($U109,240))),Reference!$A$6:$A$11,1)))+(MAX(Reference!$A$6,MIN(Reference!$A$11,MIN($U109,240)))-INDEX(Reference!$A$6:$A$11,MIN(5,MATCH(MAX(Reference!$A$6,MIN(Reference!$A$11,MIN($U109,240))),Reference!$A$6:$A$11,1))))*(INDEX(Reference!$B$6:$B$11,MIN(5,MATCH(MAX(Reference!$A$6,MIN(Reference!$A$11,MIN($U109,240))),Reference!$A$6:$A$11,1))+1)-INDEX(Reference!$B$6:$B$11,MIN(5,MATCH(MAX(Reference!$A$6,MIN(Reference!$A$11,MIN($U109,240))),Reference!$A$6:$A$11,1))))/(INDEX(Reference!$A$6:$A$11,MIN(5,MATCH(MAX(Reference!$A$6,MIN(Reference!$A$11,MIN($U109,240))),Reference!$A$6:$A$11,1))+1)-INDEX(Reference!$A$6:$A$11,MIN(5,MATCH(MAX(Reference!$A$6,MIN(Reference!$A$11,MIN($U109,240))),Reference!$A$6:$A$11,1))))),0)+IF(7&lt;=$AL109,($AL109-7+3)*(INDEX(Reference!$B$6:$B$11,MIN(5,MATCH(MAX(Reference!$A$6,MIN(Reference!$A$11,MIN($U109,270))),Reference!$A$6:$A$11,1)))+(MAX(Reference!$A$6,MIN(Reference!$A$11,MIN($U109,270)))-INDEX(Reference!$A$6:$A$11,MIN(5,MATCH(MAX(Reference!$A$6,MIN(Reference!$A$11,MIN($U109,270))),Reference!$A$6:$A$11,1))))*(INDEX(Reference!$B$6:$B$11,MIN(5,MATCH(MAX(Reference!$A$6,MIN(Reference!$A$11,MIN($U109,270))),Reference!$A$6:$A$11,1))+1)-INDEX(Reference!$B$6:$B$11,MIN(5,MATCH(MAX(Reference!$A$6,MIN(Reference!$A$11,MIN($U109,270))),Reference!$A$6:$A$11,1))))/(INDEX(Reference!$A$6:$A$11,MIN(5,MATCH(MAX(Reference!$A$6,MIN(Reference!$A$11,MIN($U109,270))),Reference!$A$6:$A$11,1))+1)-INDEX(Reference!$A$6:$A$11,MIN(5,MATCH(MAX(Reference!$A$6,MIN(Reference!$A$11,MIN($U109,270))),Reference!$A$6:$A$11,1))))),0)+IF(8&lt;=$AL109,($AL109-8+3)*(INDEX(Reference!$B$6:$B$11,MIN(5,MATCH(MAX(Reference!$A$6,MIN(Reference!$A$11,MIN($U109,300))),Reference!$A$6:$A$11,1)))+(MAX(Reference!$A$6,MIN(Reference!$A$11,MIN($U109,300)))-INDEX(Reference!$A$6:$A$11,MIN(5,MATCH(MAX(Reference!$A$6,MIN(Reference!$A$11,MIN($U109,300))),Reference!$A$6:$A$11,1))))*(INDEX(Reference!$B$6:$B$11,MIN(5,MATCH(MAX(Reference!$A$6,MIN(Reference!$A$11,MIN($U109,300))),Reference!$A$6:$A$11,1))+1)-INDEX(Reference!$B$6:$B$11,MIN(5,MATCH(MAX(Reference!$A$6,MIN(Reference!$A$11,MIN($U109,300))),Reference!$A$6:$A$11,1))))/(INDEX(Reference!$A$6:$A$11,MIN(5,MATCH(MAX(Reference!$A$6,MIN(Reference!$A$11,MIN($U109,300))),Reference!$A$6:$A$11,1))+1)-INDEX(Reference!$A$6:$A$11,MIN(5,MATCH(MAX(Reference!$A$6,MIN(Reference!$A$11,MIN($U109,300))),Reference!$A$6:$A$11,1))))),0))/($AL109*($AL109+5)/2)),$AN109))</f>
        <v>1.3</v>
      </c>
      <c r="AN109" s="32">
        <f>IF($U109="",0,(INDEX(Reference!$B$6:$B$11,MIN(5,MATCH(MAX(Reference!$A$6,MIN(Reference!$A$11,$U109)),Reference!$A$6:$A$11,1)))+(MAX(Reference!$A$6,MIN(Reference!$A$11,$U109))-INDEX(Reference!$A$6:$A$11,MIN(5,MATCH(MAX(Reference!$A$6,MIN(Reference!$A$11,$U109)),Reference!$A$6:$A$11,1))))*(INDEX(Reference!$B$6:$B$11,MIN(5,MATCH(MAX(Reference!$A$6,MIN(Reference!$A$11,$U109)),Reference!$A$6:$A$11,1))+1)-INDEX(Reference!$B$6:$B$11,MIN(5,MATCH(MAX(Reference!$A$6,MIN(Reference!$A$11,$U109)),Reference!$A$6:$A$11,1))))/(INDEX(Reference!$A$6:$A$11,MIN(5,MATCH(MAX(Reference!$A$6,MIN(Reference!$A$11,$U109)),Reference!$A$6:$A$11,1))+1)-INDEX(Reference!$A$6:$A$11,MIN(5,MATCH(MAX(Reference!$A$6,MIN(Reference!$A$11,$U109)),Reference!$A$6:$A$11,1))))))</f>
        <v>1.3</v>
      </c>
      <c r="AO109" s="37"/>
      <c r="AP109" s="37"/>
      <c r="AQ109" s="37"/>
    </row>
    <row r="110" spans="1:43" x14ac:dyDescent="0.3">
      <c r="A110" s="48">
        <f t="shared" si="55"/>
        <v>46374</v>
      </c>
      <c r="B110" s="32" t="str">
        <f t="shared" si="56"/>
        <v>Fri</v>
      </c>
      <c r="C110" s="32">
        <f t="shared" si="57"/>
        <v>17</v>
      </c>
      <c r="D110" s="32" t="str">
        <f t="shared" si="58"/>
        <v>Flat Ground / Intent</v>
      </c>
      <c r="E110" s="32" t="str">
        <f t="shared" si="59"/>
        <v>Low</v>
      </c>
      <c r="F110" s="32" t="str">
        <f t="shared" si="60"/>
        <v>Recovery/Easy Catch</v>
      </c>
      <c r="G110" s="47" t="str">
        <f t="shared" si="61"/>
        <v>75 ft × 30 @ 69–73 mph</v>
      </c>
      <c r="H110" s="30">
        <f t="shared" si="62"/>
        <v>20.7</v>
      </c>
      <c r="I110" s="46">
        <f>IF($A110="","",IF(AND($L110&lt;27,$K$12=0),"Building",IFERROR(((SUM($H$104:$H110)+$K$12*IF($L110&lt;6,SUMIFS('Throw Log'!$Q$5:$Q$300,'Throw Log'!$B$5:$B$300,$D$4,'Throw Log'!$A$5:$A$300,"&gt;="&amp;($D$6+$L110-6),'Throw Log'!$A$5:$A$300,"&lt;="&amp;($D$6-1)),0))/7)/((SUM($H$83:$H110)+$K$12*IF($L110&lt;27,SUMIFS('Throw Log'!$Q$5:$Q$300,'Throw Log'!$B$5:$B$300,$D$4,'Throw Log'!$A$5:$A$300,"&gt;="&amp;($D$6+$L110-27),'Throw Log'!$A$5:$A$300,"&lt;="&amp;($D$6-1)),0))/28),"")))</f>
        <v>1.195068953845146</v>
      </c>
      <c r="J110" s="37"/>
      <c r="K110" s="37">
        <v>30</v>
      </c>
      <c r="L110" s="32">
        <v>67</v>
      </c>
      <c r="M110" s="32">
        <f t="shared" si="63"/>
        <v>10</v>
      </c>
      <c r="N110" s="32">
        <f t="shared" si="64"/>
        <v>4</v>
      </c>
      <c r="O110" s="32">
        <f t="shared" si="65"/>
        <v>0.88157894736842102</v>
      </c>
      <c r="P110" s="32">
        <f>IF(OR($A110="",N($C110)&lt;=7),"",$G$6*$G$9^($M110-1)*IF(AND(MOD($M110,Reference!$B$99)=0,$M110&lt;=$G$5-2),Reference!$B$100,1))</f>
        <v>231.09205355537119</v>
      </c>
      <c r="Q110" s="32">
        <f>IF($P110="","",IF(SUM($AK$106:$AK$112)=0,0,$P110*INDEX(Reference!$B$108:$B$114,$N110+1)/SUM($AK$106:$AK$112)))</f>
        <v>21.597388182744972</v>
      </c>
      <c r="R110" s="32">
        <f t="shared" si="66"/>
        <v>180</v>
      </c>
      <c r="S110" s="32">
        <f t="shared" si="67"/>
        <v>150</v>
      </c>
      <c r="T110" s="32" t="str">
        <f>IF($A110="","",IF($C110=0,"Bullpen",IF(OR($C110=7,$C110=1,$C110=5),"Recovery/Easy Catch",IF($C110=6,"Compression/Pulldowns",IF(OR($C110=4,$C110=2),"Long Toss",IF($C110=3,"No Throw",IF($N110=2,"No Throw",IF($N110=6,IF($O110&lt;Reference!$B$104,"No Throw","Recovery/Easy Catch"),IF(OR($N110=0,$N110=4),"Recovery/Easy Catch",IF($N110=1,IF($R110&gt;75,"Long Toss","Recovery/Easy Catch"),IF($N110=3,IF($O110&lt;0.5,IF($S110&gt;75,"Long Toss","Recovery/Easy Catch"),"Compression/Pulldowns"),IF($S110&gt;75,"Long Toss","Recovery/Easy Catch"))))))))))))</f>
        <v>Recovery/Easy Catch</v>
      </c>
      <c r="U110" s="32">
        <f t="shared" si="68"/>
        <v>75</v>
      </c>
      <c r="V110" s="32">
        <f t="shared" si="69"/>
        <v>18</v>
      </c>
      <c r="W110" s="32">
        <f t="shared" si="70"/>
        <v>22</v>
      </c>
      <c r="X110" s="32">
        <f t="shared" si="71"/>
        <v>0</v>
      </c>
      <c r="Y110" s="32" t="str">
        <f t="shared" si="72"/>
        <v/>
      </c>
      <c r="Z110" s="32" t="str">
        <f t="shared" si="73"/>
        <v/>
      </c>
      <c r="AA110" s="32" t="str">
        <f t="shared" si="74"/>
        <v/>
      </c>
      <c r="AB110" s="32">
        <f>IF($A110="","",IF($T110="No Throw",0,IF($K110&lt;&gt;"",$K110,IF($AA110&lt;&gt;"",ROUND($AA110*$D$12*IF($C110=0,1,$G$10),0),MIN(IF($T110="Recovery/Easy Catch",Reference!$B$103,IF($T110="Long Toss",Reference!$B$106,Reference!$B$102)),MAX(Reference!$B$101,ROUND(MAX(0,$Q110-$AE110)/$AF110,0)))))))</f>
        <v>30</v>
      </c>
      <c r="AC110" s="32">
        <f t="shared" si="75"/>
        <v>0</v>
      </c>
      <c r="AD110" s="32" t="b">
        <f t="shared" si="76"/>
        <v>0</v>
      </c>
      <c r="AE110" s="32">
        <f>IF($X110=0,0,$X110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110+$Z110)/2,0),Reference!$A$17:$B$20,2,TRUE()))</f>
        <v>0</v>
      </c>
      <c r="AF110" s="32">
        <f>IF(OR($A110="",$U110="",$T110="No Throw"),0,$AM110*VLOOKUP(MAX(($V110+$W110)/2,0),Reference!$A$17:$B$20,2,TRUE()))</f>
        <v>0.69</v>
      </c>
      <c r="AG110" s="32">
        <f>IF($AC110=0,0,$AC110*INDEX(Reference!$B$61:$B$62,MATCH("Bullpen",Reference!$A$61:$A$62,0))*VLOOKUP(MAX($D$5-($D$9+$E$9)/2,0),Reference!$A$17:$B$20,2,TRUE()))</f>
        <v>0</v>
      </c>
      <c r="AH110" s="46">
        <f t="shared" si="77"/>
        <v>1.195068953845146</v>
      </c>
      <c r="AI110" s="32">
        <f>IF($A110="",NA(),Reference!$A$25)</f>
        <v>0.8</v>
      </c>
      <c r="AJ110" s="32">
        <f t="shared" si="78"/>
        <v>1.3</v>
      </c>
      <c r="AK110" s="56">
        <f>IF(OR($A110="",N($C110)&lt;=7,$T110="No Throw",$J110="x"),0,INDEX(Reference!$B$108:$B$114,$N110+1))</f>
        <v>0.1</v>
      </c>
      <c r="AL110" s="32">
        <f t="shared" si="79"/>
        <v>1</v>
      </c>
      <c r="AM110" s="32">
        <f>IF($U110="",0,IF($AL110&gt;1,((IF(1&lt;=$AL110,($AL110-1+3)*(INDEX(Reference!$B$6:$B$11,MIN(5,MATCH(MAX(Reference!$A$6,MIN(Reference!$A$11,MIN($U110,90))),Reference!$A$6:$A$11,1)))+(MAX(Reference!$A$6,MIN(Reference!$A$11,MIN($U110,90)))-INDEX(Reference!$A$6:$A$11,MIN(5,MATCH(MAX(Reference!$A$6,MIN(Reference!$A$11,MIN($U110,90))),Reference!$A$6:$A$11,1))))*(INDEX(Reference!$B$6:$B$11,MIN(5,MATCH(MAX(Reference!$A$6,MIN(Reference!$A$11,MIN($U110,90))),Reference!$A$6:$A$11,1))+1)-INDEX(Reference!$B$6:$B$11,MIN(5,MATCH(MAX(Reference!$A$6,MIN(Reference!$A$11,MIN($U110,90))),Reference!$A$6:$A$11,1))))/(INDEX(Reference!$A$6:$A$11,MIN(5,MATCH(MAX(Reference!$A$6,MIN(Reference!$A$11,MIN($U110,90))),Reference!$A$6:$A$11,1))+1)-INDEX(Reference!$A$6:$A$11,MIN(5,MATCH(MAX(Reference!$A$6,MIN(Reference!$A$11,MIN($U110,90))),Reference!$A$6:$A$11,1))))),0)+IF(2&lt;=$AL110,($AL110-2+3)*(INDEX(Reference!$B$6:$B$11,MIN(5,MATCH(MAX(Reference!$A$6,MIN(Reference!$A$11,MIN($U110,120))),Reference!$A$6:$A$11,1)))+(MAX(Reference!$A$6,MIN(Reference!$A$11,MIN($U110,120)))-INDEX(Reference!$A$6:$A$11,MIN(5,MATCH(MAX(Reference!$A$6,MIN(Reference!$A$11,MIN($U110,120))),Reference!$A$6:$A$11,1))))*(INDEX(Reference!$B$6:$B$11,MIN(5,MATCH(MAX(Reference!$A$6,MIN(Reference!$A$11,MIN($U110,120))),Reference!$A$6:$A$11,1))+1)-INDEX(Reference!$B$6:$B$11,MIN(5,MATCH(MAX(Reference!$A$6,MIN(Reference!$A$11,MIN($U110,120))),Reference!$A$6:$A$11,1))))/(INDEX(Reference!$A$6:$A$11,MIN(5,MATCH(MAX(Reference!$A$6,MIN(Reference!$A$11,MIN($U110,120))),Reference!$A$6:$A$11,1))+1)-INDEX(Reference!$A$6:$A$11,MIN(5,MATCH(MAX(Reference!$A$6,MIN(Reference!$A$11,MIN($U110,120))),Reference!$A$6:$A$11,1))))),0)+IF(3&lt;=$AL110,($AL110-3+3)*(INDEX(Reference!$B$6:$B$11,MIN(5,MATCH(MAX(Reference!$A$6,MIN(Reference!$A$11,MIN($U110,150))),Reference!$A$6:$A$11,1)))+(MAX(Reference!$A$6,MIN(Reference!$A$11,MIN($U110,150)))-INDEX(Reference!$A$6:$A$11,MIN(5,MATCH(MAX(Reference!$A$6,MIN(Reference!$A$11,MIN($U110,150))),Reference!$A$6:$A$11,1))))*(INDEX(Reference!$B$6:$B$11,MIN(5,MATCH(MAX(Reference!$A$6,MIN(Reference!$A$11,MIN($U110,150))),Reference!$A$6:$A$11,1))+1)-INDEX(Reference!$B$6:$B$11,MIN(5,MATCH(MAX(Reference!$A$6,MIN(Reference!$A$11,MIN($U110,150))),Reference!$A$6:$A$11,1))))/(INDEX(Reference!$A$6:$A$11,MIN(5,MATCH(MAX(Reference!$A$6,MIN(Reference!$A$11,MIN($U110,150))),Reference!$A$6:$A$11,1))+1)-INDEX(Reference!$A$6:$A$11,MIN(5,MATCH(MAX(Reference!$A$6,MIN(Reference!$A$11,MIN($U110,150))),Reference!$A$6:$A$11,1))))),0)+IF(4&lt;=$AL110,($AL110-4+3)*(INDEX(Reference!$B$6:$B$11,MIN(5,MATCH(MAX(Reference!$A$6,MIN(Reference!$A$11,MIN($U110,180))),Reference!$A$6:$A$11,1)))+(MAX(Reference!$A$6,MIN(Reference!$A$11,MIN($U110,180)))-INDEX(Reference!$A$6:$A$11,MIN(5,MATCH(MAX(Reference!$A$6,MIN(Reference!$A$11,MIN($U110,180))),Reference!$A$6:$A$11,1))))*(INDEX(Reference!$B$6:$B$11,MIN(5,MATCH(MAX(Reference!$A$6,MIN(Reference!$A$11,MIN($U110,180))),Reference!$A$6:$A$11,1))+1)-INDEX(Reference!$B$6:$B$11,MIN(5,MATCH(MAX(Reference!$A$6,MIN(Reference!$A$11,MIN($U110,180))),Reference!$A$6:$A$11,1))))/(INDEX(Reference!$A$6:$A$11,MIN(5,MATCH(MAX(Reference!$A$6,MIN(Reference!$A$11,MIN($U110,180))),Reference!$A$6:$A$11,1))+1)-INDEX(Reference!$A$6:$A$11,MIN(5,MATCH(MAX(Reference!$A$6,MIN(Reference!$A$11,MIN($U110,180))),Reference!$A$6:$A$11,1))))),0)+IF(5&lt;=$AL110,($AL110-5+3)*(INDEX(Reference!$B$6:$B$11,MIN(5,MATCH(MAX(Reference!$A$6,MIN(Reference!$A$11,MIN($U110,210))),Reference!$A$6:$A$11,1)))+(MAX(Reference!$A$6,MIN(Reference!$A$11,MIN($U110,210)))-INDEX(Reference!$A$6:$A$11,MIN(5,MATCH(MAX(Reference!$A$6,MIN(Reference!$A$11,MIN($U110,210))),Reference!$A$6:$A$11,1))))*(INDEX(Reference!$B$6:$B$11,MIN(5,MATCH(MAX(Reference!$A$6,MIN(Reference!$A$11,MIN($U110,210))),Reference!$A$6:$A$11,1))+1)-INDEX(Reference!$B$6:$B$11,MIN(5,MATCH(MAX(Reference!$A$6,MIN(Reference!$A$11,MIN($U110,210))),Reference!$A$6:$A$11,1))))/(INDEX(Reference!$A$6:$A$11,MIN(5,MATCH(MAX(Reference!$A$6,MIN(Reference!$A$11,MIN($U110,210))),Reference!$A$6:$A$11,1))+1)-INDEX(Reference!$A$6:$A$11,MIN(5,MATCH(MAX(Reference!$A$6,MIN(Reference!$A$11,MIN($U110,210))),Reference!$A$6:$A$11,1))))),0)+IF(6&lt;=$AL110,($AL110-6+3)*(INDEX(Reference!$B$6:$B$11,MIN(5,MATCH(MAX(Reference!$A$6,MIN(Reference!$A$11,MIN($U110,240))),Reference!$A$6:$A$11,1)))+(MAX(Reference!$A$6,MIN(Reference!$A$11,MIN($U110,240)))-INDEX(Reference!$A$6:$A$11,MIN(5,MATCH(MAX(Reference!$A$6,MIN(Reference!$A$11,MIN($U110,240))),Reference!$A$6:$A$11,1))))*(INDEX(Reference!$B$6:$B$11,MIN(5,MATCH(MAX(Reference!$A$6,MIN(Reference!$A$11,MIN($U110,240))),Reference!$A$6:$A$11,1))+1)-INDEX(Reference!$B$6:$B$11,MIN(5,MATCH(MAX(Reference!$A$6,MIN(Reference!$A$11,MIN($U110,240))),Reference!$A$6:$A$11,1))))/(INDEX(Reference!$A$6:$A$11,MIN(5,MATCH(MAX(Reference!$A$6,MIN(Reference!$A$11,MIN($U110,240))),Reference!$A$6:$A$11,1))+1)-INDEX(Reference!$A$6:$A$11,MIN(5,MATCH(MAX(Reference!$A$6,MIN(Reference!$A$11,MIN($U110,240))),Reference!$A$6:$A$11,1))))),0)+IF(7&lt;=$AL110,($AL110-7+3)*(INDEX(Reference!$B$6:$B$11,MIN(5,MATCH(MAX(Reference!$A$6,MIN(Reference!$A$11,MIN($U110,270))),Reference!$A$6:$A$11,1)))+(MAX(Reference!$A$6,MIN(Reference!$A$11,MIN($U110,270)))-INDEX(Reference!$A$6:$A$11,MIN(5,MATCH(MAX(Reference!$A$6,MIN(Reference!$A$11,MIN($U110,270))),Reference!$A$6:$A$11,1))))*(INDEX(Reference!$B$6:$B$11,MIN(5,MATCH(MAX(Reference!$A$6,MIN(Reference!$A$11,MIN($U110,270))),Reference!$A$6:$A$11,1))+1)-INDEX(Reference!$B$6:$B$11,MIN(5,MATCH(MAX(Reference!$A$6,MIN(Reference!$A$11,MIN($U110,270))),Reference!$A$6:$A$11,1))))/(INDEX(Reference!$A$6:$A$11,MIN(5,MATCH(MAX(Reference!$A$6,MIN(Reference!$A$11,MIN($U110,270))),Reference!$A$6:$A$11,1))+1)-INDEX(Reference!$A$6:$A$11,MIN(5,MATCH(MAX(Reference!$A$6,MIN(Reference!$A$11,MIN($U110,270))),Reference!$A$6:$A$11,1))))),0)+IF(8&lt;=$AL110,($AL110-8+3)*(INDEX(Reference!$B$6:$B$11,MIN(5,MATCH(MAX(Reference!$A$6,MIN(Reference!$A$11,MIN($U110,300))),Reference!$A$6:$A$11,1)))+(MAX(Reference!$A$6,MIN(Reference!$A$11,MIN($U110,300)))-INDEX(Reference!$A$6:$A$11,MIN(5,MATCH(MAX(Reference!$A$6,MIN(Reference!$A$11,MIN($U110,300))),Reference!$A$6:$A$11,1))))*(INDEX(Reference!$B$6:$B$11,MIN(5,MATCH(MAX(Reference!$A$6,MIN(Reference!$A$11,MIN($U110,300))),Reference!$A$6:$A$11,1))+1)-INDEX(Reference!$B$6:$B$11,MIN(5,MATCH(MAX(Reference!$A$6,MIN(Reference!$A$11,MIN($U110,300))),Reference!$A$6:$A$11,1))))/(INDEX(Reference!$A$6:$A$11,MIN(5,MATCH(MAX(Reference!$A$6,MIN(Reference!$A$11,MIN($U110,300))),Reference!$A$6:$A$11,1))+1)-INDEX(Reference!$A$6:$A$11,MIN(5,MATCH(MAX(Reference!$A$6,MIN(Reference!$A$11,MIN($U110,300))),Reference!$A$6:$A$11,1))))),0))/($AL110*($AL110+5)/2)),$AN110))</f>
        <v>1.1499999999999999</v>
      </c>
      <c r="AN110" s="32">
        <f>IF($U110="",0,(INDEX(Reference!$B$6:$B$11,MIN(5,MATCH(MAX(Reference!$A$6,MIN(Reference!$A$11,$U110)),Reference!$A$6:$A$11,1)))+(MAX(Reference!$A$6,MIN(Reference!$A$11,$U110))-INDEX(Reference!$A$6:$A$11,MIN(5,MATCH(MAX(Reference!$A$6,MIN(Reference!$A$11,$U110)),Reference!$A$6:$A$11,1))))*(INDEX(Reference!$B$6:$B$11,MIN(5,MATCH(MAX(Reference!$A$6,MIN(Reference!$A$11,$U110)),Reference!$A$6:$A$11,1))+1)-INDEX(Reference!$B$6:$B$11,MIN(5,MATCH(MAX(Reference!$A$6,MIN(Reference!$A$11,$U110)),Reference!$A$6:$A$11,1))))/(INDEX(Reference!$A$6:$A$11,MIN(5,MATCH(MAX(Reference!$A$6,MIN(Reference!$A$11,$U110)),Reference!$A$6:$A$11,1))+1)-INDEX(Reference!$A$6:$A$11,MIN(5,MATCH(MAX(Reference!$A$6,MIN(Reference!$A$11,$U110)),Reference!$A$6:$A$11,1))))))</f>
        <v>1.1499999999999999</v>
      </c>
      <c r="AO110" s="37"/>
      <c r="AP110" s="37"/>
      <c r="AQ110" s="37"/>
    </row>
    <row r="111" spans="1:43" ht="26.4" x14ac:dyDescent="0.3">
      <c r="A111" s="48">
        <f t="shared" si="55"/>
        <v>46375</v>
      </c>
      <c r="B111" s="32" t="str">
        <f t="shared" si="56"/>
        <v>Sat</v>
      </c>
      <c r="C111" s="32">
        <f t="shared" si="57"/>
        <v>16</v>
      </c>
      <c r="D111" s="32" t="str">
        <f t="shared" si="58"/>
        <v>Flat Ground / Intent</v>
      </c>
      <c r="E111" s="32" t="str">
        <f t="shared" si="59"/>
        <v>High Non-Bullpen</v>
      </c>
      <c r="F111" s="32" t="str">
        <f t="shared" si="60"/>
        <v>Long Toss</v>
      </c>
      <c r="G111" s="47" t="str">
        <f t="shared" si="61"/>
        <v>Long toss out to 150 ft — 33 throws (90×14 · 120×11 · 150×8) @ 78–81 mph + flat ground at 60 ft × 25 @ 82–84 mph</v>
      </c>
      <c r="H111" s="30">
        <f t="shared" si="62"/>
        <v>57.835000000000001</v>
      </c>
      <c r="I111" s="46">
        <f>IF($A111="","",IF(AND($L111&lt;27,$K$12=0),"Building",IFERROR(((SUM($H$105:$H111)+$K$12*IF($L111&lt;6,SUMIFS('Throw Log'!$Q$5:$Q$300,'Throw Log'!$B$5:$B$300,$D$4,'Throw Log'!$A$5:$A$300,"&gt;="&amp;($D$6+$L111-6),'Throw Log'!$A$5:$A$300,"&lt;="&amp;($D$6-1)),0))/7)/((SUM($H$84:$H111)+$K$12*IF($L111&lt;27,SUMIFS('Throw Log'!$Q$5:$Q$300,'Throw Log'!$B$5:$B$300,$D$4,'Throw Log'!$A$5:$A$300,"&gt;="&amp;($D$6+$L111-27),'Throw Log'!$A$5:$A$300,"&lt;="&amp;($D$6-1)),0))/28),"")))</f>
        <v>1.1838221898342138</v>
      </c>
      <c r="J111" s="37"/>
      <c r="K111" s="37"/>
      <c r="L111" s="32">
        <v>68</v>
      </c>
      <c r="M111" s="32">
        <f t="shared" si="63"/>
        <v>10</v>
      </c>
      <c r="N111" s="32">
        <f t="shared" si="64"/>
        <v>5</v>
      </c>
      <c r="O111" s="32">
        <f t="shared" si="65"/>
        <v>0.89473684210526316</v>
      </c>
      <c r="P111" s="32">
        <f>IF(OR($A111="",N($C111)&lt;=7),"",$G$6*$G$9^($M111-1)*IF(AND(MOD($M111,Reference!$B$99)=0,$M111&lt;=$G$5-2),Reference!$B$100,1))</f>
        <v>231.09205355537119</v>
      </c>
      <c r="Q111" s="32">
        <f>IF($P111="","",IF(SUM($AK$106:$AK$112)=0,0,$P111*INDEX(Reference!$B$108:$B$114,$N111+1)/SUM($AK$106:$AK$112)))</f>
        <v>58.312948093411421</v>
      </c>
      <c r="R111" s="32">
        <f t="shared" si="66"/>
        <v>180</v>
      </c>
      <c r="S111" s="32">
        <f t="shared" si="67"/>
        <v>150</v>
      </c>
      <c r="T111" s="32" t="str">
        <f>IF($A111="","",IF($C111=0,"Bullpen",IF(OR($C111=7,$C111=1,$C111=5),"Recovery/Easy Catch",IF($C111=6,"Compression/Pulldowns",IF(OR($C111=4,$C111=2),"Long Toss",IF($C111=3,"No Throw",IF($N111=2,"No Throw",IF($N111=6,IF($O111&lt;Reference!$B$104,"No Throw","Recovery/Easy Catch"),IF(OR($N111=0,$N111=4),"Recovery/Easy Catch",IF($N111=1,IF($R111&gt;75,"Long Toss","Recovery/Easy Catch"),IF($N111=3,IF($O111&lt;0.5,IF($S111&gt;75,"Long Toss","Recovery/Easy Catch"),"Compression/Pulldowns"),IF($S111&gt;75,"Long Toss","Recovery/Easy Catch"))))))))))))</f>
        <v>Long Toss</v>
      </c>
      <c r="U111" s="32">
        <f t="shared" si="68"/>
        <v>150</v>
      </c>
      <c r="V111" s="32">
        <f t="shared" si="69"/>
        <v>10</v>
      </c>
      <c r="W111" s="32">
        <f t="shared" si="70"/>
        <v>13</v>
      </c>
      <c r="X111" s="32">
        <f t="shared" si="71"/>
        <v>25</v>
      </c>
      <c r="Y111" s="32">
        <f t="shared" si="72"/>
        <v>7</v>
      </c>
      <c r="Z111" s="32">
        <f t="shared" si="73"/>
        <v>9</v>
      </c>
      <c r="AA111" s="32" t="str">
        <f t="shared" si="74"/>
        <v/>
      </c>
      <c r="AB111" s="32">
        <f>IF($A111="","",IF($T111="No Throw",0,IF($K111&lt;&gt;"",$K111,IF($AA111&lt;&gt;"",ROUND($AA111*$D$12*IF($C111=0,1,$G$10),0),MIN(IF($T111="Recovery/Easy Catch",Reference!$B$103,IF($T111="Long Toss",Reference!$B$106,Reference!$B$102)),MAX(Reference!$B$101,ROUND(MAX(0,$Q111-$AE111)/$AF111,0)))))))</f>
        <v>33</v>
      </c>
      <c r="AC111" s="32">
        <f t="shared" si="75"/>
        <v>0</v>
      </c>
      <c r="AD111" s="32" t="b">
        <f t="shared" si="76"/>
        <v>0</v>
      </c>
      <c r="AE111" s="32">
        <f>IF($X111=0,0,$X111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111+$Z111)/2,0),Reference!$A$17:$B$20,2,TRUE()))</f>
        <v>25</v>
      </c>
      <c r="AF111" s="32">
        <f>IF(OR($A111="",$U111="",$T111="No Throw"),0,$AM111*VLOOKUP(MAX(($V111+$W111)/2,0),Reference!$A$17:$B$20,2,TRUE()))</f>
        <v>0.995</v>
      </c>
      <c r="AG111" s="32">
        <f>IF($AC111=0,0,$AC111*INDEX(Reference!$B$61:$B$62,MATCH("Bullpen",Reference!$A$61:$A$62,0))*VLOOKUP(MAX($D$5-($D$9+$E$9)/2,0),Reference!$A$17:$B$20,2,TRUE()))</f>
        <v>0</v>
      </c>
      <c r="AH111" s="46">
        <f t="shared" si="77"/>
        <v>1.1838221898342138</v>
      </c>
      <c r="AI111" s="32">
        <f>IF($A111="",NA(),Reference!$A$25)</f>
        <v>0.8</v>
      </c>
      <c r="AJ111" s="32">
        <f t="shared" si="78"/>
        <v>1.3</v>
      </c>
      <c r="AK111" s="56">
        <f>IF(OR($A111="",N($C111)&lt;=7,$T111="No Throw",$J111="x"),0,INDEX(Reference!$B$108:$B$114,$N111+1))</f>
        <v>0.27</v>
      </c>
      <c r="AL111" s="32">
        <f t="shared" si="79"/>
        <v>3</v>
      </c>
      <c r="AM111" s="32">
        <f>IF($U111="",0,IF($AL111&gt;1,((IF(1&lt;=$AL111,($AL111-1+3)*(INDEX(Reference!$B$6:$B$11,MIN(5,MATCH(MAX(Reference!$A$6,MIN(Reference!$A$11,MIN($U111,90))),Reference!$A$6:$A$11,1)))+(MAX(Reference!$A$6,MIN(Reference!$A$11,MIN($U111,90)))-INDEX(Reference!$A$6:$A$11,MIN(5,MATCH(MAX(Reference!$A$6,MIN(Reference!$A$11,MIN($U111,90))),Reference!$A$6:$A$11,1))))*(INDEX(Reference!$B$6:$B$11,MIN(5,MATCH(MAX(Reference!$A$6,MIN(Reference!$A$11,MIN($U111,90))),Reference!$A$6:$A$11,1))+1)-INDEX(Reference!$B$6:$B$11,MIN(5,MATCH(MAX(Reference!$A$6,MIN(Reference!$A$11,MIN($U111,90))),Reference!$A$6:$A$11,1))))/(INDEX(Reference!$A$6:$A$11,MIN(5,MATCH(MAX(Reference!$A$6,MIN(Reference!$A$11,MIN($U111,90))),Reference!$A$6:$A$11,1))+1)-INDEX(Reference!$A$6:$A$11,MIN(5,MATCH(MAX(Reference!$A$6,MIN(Reference!$A$11,MIN($U111,90))),Reference!$A$6:$A$11,1))))),0)+IF(2&lt;=$AL111,($AL111-2+3)*(INDEX(Reference!$B$6:$B$11,MIN(5,MATCH(MAX(Reference!$A$6,MIN(Reference!$A$11,MIN($U111,120))),Reference!$A$6:$A$11,1)))+(MAX(Reference!$A$6,MIN(Reference!$A$11,MIN($U111,120)))-INDEX(Reference!$A$6:$A$11,MIN(5,MATCH(MAX(Reference!$A$6,MIN(Reference!$A$11,MIN($U111,120))),Reference!$A$6:$A$11,1))))*(INDEX(Reference!$B$6:$B$11,MIN(5,MATCH(MAX(Reference!$A$6,MIN(Reference!$A$11,MIN($U111,120))),Reference!$A$6:$A$11,1))+1)-INDEX(Reference!$B$6:$B$11,MIN(5,MATCH(MAX(Reference!$A$6,MIN(Reference!$A$11,MIN($U111,120))),Reference!$A$6:$A$11,1))))/(INDEX(Reference!$A$6:$A$11,MIN(5,MATCH(MAX(Reference!$A$6,MIN(Reference!$A$11,MIN($U111,120))),Reference!$A$6:$A$11,1))+1)-INDEX(Reference!$A$6:$A$11,MIN(5,MATCH(MAX(Reference!$A$6,MIN(Reference!$A$11,MIN($U111,120))),Reference!$A$6:$A$11,1))))),0)+IF(3&lt;=$AL111,($AL111-3+3)*(INDEX(Reference!$B$6:$B$11,MIN(5,MATCH(MAX(Reference!$A$6,MIN(Reference!$A$11,MIN($U111,150))),Reference!$A$6:$A$11,1)))+(MAX(Reference!$A$6,MIN(Reference!$A$11,MIN($U111,150)))-INDEX(Reference!$A$6:$A$11,MIN(5,MATCH(MAX(Reference!$A$6,MIN(Reference!$A$11,MIN($U111,150))),Reference!$A$6:$A$11,1))))*(INDEX(Reference!$B$6:$B$11,MIN(5,MATCH(MAX(Reference!$A$6,MIN(Reference!$A$11,MIN($U111,150))),Reference!$A$6:$A$11,1))+1)-INDEX(Reference!$B$6:$B$11,MIN(5,MATCH(MAX(Reference!$A$6,MIN(Reference!$A$11,MIN($U111,150))),Reference!$A$6:$A$11,1))))/(INDEX(Reference!$A$6:$A$11,MIN(5,MATCH(MAX(Reference!$A$6,MIN(Reference!$A$11,MIN($U111,150))),Reference!$A$6:$A$11,1))+1)-INDEX(Reference!$A$6:$A$11,MIN(5,MATCH(MAX(Reference!$A$6,MIN(Reference!$A$11,MIN($U111,150))),Reference!$A$6:$A$11,1))))),0)+IF(4&lt;=$AL111,($AL111-4+3)*(INDEX(Reference!$B$6:$B$11,MIN(5,MATCH(MAX(Reference!$A$6,MIN(Reference!$A$11,MIN($U111,180))),Reference!$A$6:$A$11,1)))+(MAX(Reference!$A$6,MIN(Reference!$A$11,MIN($U111,180)))-INDEX(Reference!$A$6:$A$11,MIN(5,MATCH(MAX(Reference!$A$6,MIN(Reference!$A$11,MIN($U111,180))),Reference!$A$6:$A$11,1))))*(INDEX(Reference!$B$6:$B$11,MIN(5,MATCH(MAX(Reference!$A$6,MIN(Reference!$A$11,MIN($U111,180))),Reference!$A$6:$A$11,1))+1)-INDEX(Reference!$B$6:$B$11,MIN(5,MATCH(MAX(Reference!$A$6,MIN(Reference!$A$11,MIN($U111,180))),Reference!$A$6:$A$11,1))))/(INDEX(Reference!$A$6:$A$11,MIN(5,MATCH(MAX(Reference!$A$6,MIN(Reference!$A$11,MIN($U111,180))),Reference!$A$6:$A$11,1))+1)-INDEX(Reference!$A$6:$A$11,MIN(5,MATCH(MAX(Reference!$A$6,MIN(Reference!$A$11,MIN($U111,180))),Reference!$A$6:$A$11,1))))),0)+IF(5&lt;=$AL111,($AL111-5+3)*(INDEX(Reference!$B$6:$B$11,MIN(5,MATCH(MAX(Reference!$A$6,MIN(Reference!$A$11,MIN($U111,210))),Reference!$A$6:$A$11,1)))+(MAX(Reference!$A$6,MIN(Reference!$A$11,MIN($U111,210)))-INDEX(Reference!$A$6:$A$11,MIN(5,MATCH(MAX(Reference!$A$6,MIN(Reference!$A$11,MIN($U111,210))),Reference!$A$6:$A$11,1))))*(INDEX(Reference!$B$6:$B$11,MIN(5,MATCH(MAX(Reference!$A$6,MIN(Reference!$A$11,MIN($U111,210))),Reference!$A$6:$A$11,1))+1)-INDEX(Reference!$B$6:$B$11,MIN(5,MATCH(MAX(Reference!$A$6,MIN(Reference!$A$11,MIN($U111,210))),Reference!$A$6:$A$11,1))))/(INDEX(Reference!$A$6:$A$11,MIN(5,MATCH(MAX(Reference!$A$6,MIN(Reference!$A$11,MIN($U111,210))),Reference!$A$6:$A$11,1))+1)-INDEX(Reference!$A$6:$A$11,MIN(5,MATCH(MAX(Reference!$A$6,MIN(Reference!$A$11,MIN($U111,210))),Reference!$A$6:$A$11,1))))),0)+IF(6&lt;=$AL111,($AL111-6+3)*(INDEX(Reference!$B$6:$B$11,MIN(5,MATCH(MAX(Reference!$A$6,MIN(Reference!$A$11,MIN($U111,240))),Reference!$A$6:$A$11,1)))+(MAX(Reference!$A$6,MIN(Reference!$A$11,MIN($U111,240)))-INDEX(Reference!$A$6:$A$11,MIN(5,MATCH(MAX(Reference!$A$6,MIN(Reference!$A$11,MIN($U111,240))),Reference!$A$6:$A$11,1))))*(INDEX(Reference!$B$6:$B$11,MIN(5,MATCH(MAX(Reference!$A$6,MIN(Reference!$A$11,MIN($U111,240))),Reference!$A$6:$A$11,1))+1)-INDEX(Reference!$B$6:$B$11,MIN(5,MATCH(MAX(Reference!$A$6,MIN(Reference!$A$11,MIN($U111,240))),Reference!$A$6:$A$11,1))))/(INDEX(Reference!$A$6:$A$11,MIN(5,MATCH(MAX(Reference!$A$6,MIN(Reference!$A$11,MIN($U111,240))),Reference!$A$6:$A$11,1))+1)-INDEX(Reference!$A$6:$A$11,MIN(5,MATCH(MAX(Reference!$A$6,MIN(Reference!$A$11,MIN($U111,240))),Reference!$A$6:$A$11,1))))),0)+IF(7&lt;=$AL111,($AL111-7+3)*(INDEX(Reference!$B$6:$B$11,MIN(5,MATCH(MAX(Reference!$A$6,MIN(Reference!$A$11,MIN($U111,270))),Reference!$A$6:$A$11,1)))+(MAX(Reference!$A$6,MIN(Reference!$A$11,MIN($U111,270)))-INDEX(Reference!$A$6:$A$11,MIN(5,MATCH(MAX(Reference!$A$6,MIN(Reference!$A$11,MIN($U111,270))),Reference!$A$6:$A$11,1))))*(INDEX(Reference!$B$6:$B$11,MIN(5,MATCH(MAX(Reference!$A$6,MIN(Reference!$A$11,MIN($U111,270))),Reference!$A$6:$A$11,1))+1)-INDEX(Reference!$B$6:$B$11,MIN(5,MATCH(MAX(Reference!$A$6,MIN(Reference!$A$11,MIN($U111,270))),Reference!$A$6:$A$11,1))))/(INDEX(Reference!$A$6:$A$11,MIN(5,MATCH(MAX(Reference!$A$6,MIN(Reference!$A$11,MIN($U111,270))),Reference!$A$6:$A$11,1))+1)-INDEX(Reference!$A$6:$A$11,MIN(5,MATCH(MAX(Reference!$A$6,MIN(Reference!$A$11,MIN($U111,270))),Reference!$A$6:$A$11,1))))),0)+IF(8&lt;=$AL111,($AL111-8+3)*(INDEX(Reference!$B$6:$B$11,MIN(5,MATCH(MAX(Reference!$A$6,MIN(Reference!$A$11,MIN($U111,300))),Reference!$A$6:$A$11,1)))+(MAX(Reference!$A$6,MIN(Reference!$A$11,MIN($U111,300)))-INDEX(Reference!$A$6:$A$11,MIN(5,MATCH(MAX(Reference!$A$6,MIN(Reference!$A$11,MIN($U111,300))),Reference!$A$6:$A$11,1))))*(INDEX(Reference!$B$6:$B$11,MIN(5,MATCH(MAX(Reference!$A$6,MIN(Reference!$A$11,MIN($U111,300))),Reference!$A$6:$A$11,1))+1)-INDEX(Reference!$B$6:$B$11,MIN(5,MATCH(MAX(Reference!$A$6,MIN(Reference!$A$11,MIN($U111,300))),Reference!$A$6:$A$11,1))))/(INDEX(Reference!$A$6:$A$11,MIN(5,MATCH(MAX(Reference!$A$6,MIN(Reference!$A$11,MIN($U111,300))),Reference!$A$6:$A$11,1))+1)-INDEX(Reference!$A$6:$A$11,MIN(5,MATCH(MAX(Reference!$A$6,MIN(Reference!$A$11,MIN($U111,300))),Reference!$A$6:$A$11,1))))),0))/($AL111*($AL111+5)/2)),$AN111))</f>
        <v>1.6583333333333334</v>
      </c>
      <c r="AN111" s="32">
        <f>IF($U111="",0,(INDEX(Reference!$B$6:$B$11,MIN(5,MATCH(MAX(Reference!$A$6,MIN(Reference!$A$11,$U111)),Reference!$A$6:$A$11,1)))+(MAX(Reference!$A$6,MIN(Reference!$A$11,$U111))-INDEX(Reference!$A$6:$A$11,MIN(5,MATCH(MAX(Reference!$A$6,MIN(Reference!$A$11,$U111)),Reference!$A$6:$A$11,1))))*(INDEX(Reference!$B$6:$B$11,MIN(5,MATCH(MAX(Reference!$A$6,MIN(Reference!$A$11,$U111)),Reference!$A$6:$A$11,1))+1)-INDEX(Reference!$B$6:$B$11,MIN(5,MATCH(MAX(Reference!$A$6,MIN(Reference!$A$11,$U111)),Reference!$A$6:$A$11,1))))/(INDEX(Reference!$A$6:$A$11,MIN(5,MATCH(MAX(Reference!$A$6,MIN(Reference!$A$11,$U111)),Reference!$A$6:$A$11,1))+1)-INDEX(Reference!$A$6:$A$11,MIN(5,MATCH(MAX(Reference!$A$6,MIN(Reference!$A$11,$U111)),Reference!$A$6:$A$11,1))))))</f>
        <v>2.2000000000000002</v>
      </c>
      <c r="AO111" s="37"/>
      <c r="AP111" s="37"/>
      <c r="AQ111" s="37"/>
    </row>
    <row r="112" spans="1:43" x14ac:dyDescent="0.3">
      <c r="A112" s="48">
        <f t="shared" si="55"/>
        <v>46376</v>
      </c>
      <c r="B112" s="32" t="str">
        <f t="shared" si="56"/>
        <v>Sun</v>
      </c>
      <c r="C112" s="32">
        <f t="shared" si="57"/>
        <v>15</v>
      </c>
      <c r="D112" s="32" t="str">
        <f t="shared" si="58"/>
        <v>Flat Ground / Intent</v>
      </c>
      <c r="E112" s="32" t="str">
        <f t="shared" si="59"/>
        <v>Low</v>
      </c>
      <c r="F112" s="32" t="str">
        <f t="shared" si="60"/>
        <v>Recovery/Easy Catch</v>
      </c>
      <c r="G112" s="47" t="str">
        <f t="shared" si="61"/>
        <v>60 ft × 25 @ 67–71 mph</v>
      </c>
      <c r="H112" s="30">
        <f t="shared" si="62"/>
        <v>15</v>
      </c>
      <c r="I112" s="46">
        <f>IF($A112="","",IF(AND($L112&lt;27,$K$12=0),"Building",IFERROR(((SUM($H$106:$H112)+$K$12*IF($L112&lt;6,SUMIFS('Throw Log'!$Q$5:$Q$300,'Throw Log'!$B$5:$B$300,$D$4,'Throw Log'!$A$5:$A$300,"&gt;="&amp;($D$6+$L112-6),'Throw Log'!$A$5:$A$300,"&lt;="&amp;($D$6-1)),0))/7)/((SUM($H$85:$H112)+$K$12*IF($L112&lt;27,SUMIFS('Throw Log'!$Q$5:$Q$300,'Throw Log'!$B$5:$B$300,$D$4,'Throw Log'!$A$5:$A$300,"&gt;="&amp;($D$6+$L112-27),'Throw Log'!$A$5:$A$300,"&lt;="&amp;($D$6-1)),0))/28),"")))</f>
        <v>1.1594493322535926</v>
      </c>
      <c r="J112" s="37"/>
      <c r="K112" s="37"/>
      <c r="L112" s="32">
        <v>69</v>
      </c>
      <c r="M112" s="32">
        <f t="shared" si="63"/>
        <v>10</v>
      </c>
      <c r="N112" s="32">
        <f t="shared" si="64"/>
        <v>6</v>
      </c>
      <c r="O112" s="32">
        <f t="shared" si="65"/>
        <v>0.90789473684210531</v>
      </c>
      <c r="P112" s="32">
        <f>IF(OR($A112="",N($C112)&lt;=7),"",$G$6*$G$9^($M112-1)*IF(AND(MOD($M112,Reference!$B$99)=0,$M112&lt;=$G$5-2),Reference!$B$100,1))</f>
        <v>231.09205355537119</v>
      </c>
      <c r="Q112" s="32">
        <f>IF($P112="","",IF(SUM($AK$106:$AK$112)=0,0,$P112*INDEX(Reference!$B$108:$B$114,$N112+1)/SUM($AK$106:$AK$112)))</f>
        <v>15.118171727921482</v>
      </c>
      <c r="R112" s="32">
        <f t="shared" si="66"/>
        <v>180</v>
      </c>
      <c r="S112" s="32">
        <f t="shared" si="67"/>
        <v>150</v>
      </c>
      <c r="T112" s="32" t="str">
        <f>IF($A112="","",IF($C112=0,"Bullpen",IF(OR($C112=7,$C112=1,$C112=5),"Recovery/Easy Catch",IF($C112=6,"Compression/Pulldowns",IF(OR($C112=4,$C112=2),"Long Toss",IF($C112=3,"No Throw",IF($N112=2,"No Throw",IF($N112=6,IF($O112&lt;Reference!$B$104,"No Throw","Recovery/Easy Catch"),IF(OR($N112=0,$N112=4),"Recovery/Easy Catch",IF($N112=1,IF($R112&gt;75,"Long Toss","Recovery/Easy Catch"),IF($N112=3,IF($O112&lt;0.5,IF($S112&gt;75,"Long Toss","Recovery/Easy Catch"),"Compression/Pulldowns"),IF($S112&gt;75,"Long Toss","Recovery/Easy Catch"))))))))))))</f>
        <v>Recovery/Easy Catch</v>
      </c>
      <c r="U112" s="32">
        <f t="shared" si="68"/>
        <v>60</v>
      </c>
      <c r="V112" s="32">
        <f t="shared" si="69"/>
        <v>20</v>
      </c>
      <c r="W112" s="32">
        <f t="shared" si="70"/>
        <v>24</v>
      </c>
      <c r="X112" s="32">
        <f t="shared" si="71"/>
        <v>0</v>
      </c>
      <c r="Y112" s="32" t="str">
        <f t="shared" si="72"/>
        <v/>
      </c>
      <c r="Z112" s="32" t="str">
        <f t="shared" si="73"/>
        <v/>
      </c>
      <c r="AA112" s="32" t="str">
        <f t="shared" si="74"/>
        <v/>
      </c>
      <c r="AB112" s="32">
        <f>IF($A112="","",IF($T112="No Throw",0,IF($K112&lt;&gt;"",$K112,IF($AA112&lt;&gt;"",ROUND($AA112*$D$12*IF($C112=0,1,$G$10),0),MIN(IF($T112="Recovery/Easy Catch",Reference!$B$103,IF($T112="Long Toss",Reference!$B$106,Reference!$B$102)),MAX(Reference!$B$101,ROUND(MAX(0,$Q112-$AE112)/$AF112,0)))))))</f>
        <v>25</v>
      </c>
      <c r="AC112" s="32">
        <f t="shared" si="75"/>
        <v>0</v>
      </c>
      <c r="AD112" s="32" t="b">
        <f t="shared" si="76"/>
        <v>0</v>
      </c>
      <c r="AE112" s="32">
        <f>IF($X112=0,0,$X112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112+$Z112)/2,0),Reference!$A$17:$B$20,2,TRUE()))</f>
        <v>0</v>
      </c>
      <c r="AF112" s="32">
        <f>IF(OR($A112="",$U112="",$T112="No Throw"),0,$AM112*VLOOKUP(MAX(($V112+$W112)/2,0),Reference!$A$17:$B$20,2,TRUE()))</f>
        <v>0.6</v>
      </c>
      <c r="AG112" s="32">
        <f>IF($AC112=0,0,$AC112*INDEX(Reference!$B$61:$B$62,MATCH("Bullpen",Reference!$A$61:$A$62,0))*VLOOKUP(MAX($D$5-($D$9+$E$9)/2,0),Reference!$A$17:$B$20,2,TRUE()))</f>
        <v>0</v>
      </c>
      <c r="AH112" s="46">
        <f t="shared" si="77"/>
        <v>1.1594493322535926</v>
      </c>
      <c r="AI112" s="32">
        <f>IF($A112="",NA(),Reference!$A$25)</f>
        <v>0.8</v>
      </c>
      <c r="AJ112" s="32">
        <f t="shared" si="78"/>
        <v>1.3</v>
      </c>
      <c r="AK112" s="56">
        <f>IF(OR($A112="",N($C112)&lt;=7,$T112="No Throw",$J112="x"),0,INDEX(Reference!$B$108:$B$114,$N112+1))</f>
        <v>7.0000000000000007E-2</v>
      </c>
      <c r="AL112" s="32">
        <f t="shared" si="79"/>
        <v>1</v>
      </c>
      <c r="AM112" s="32">
        <f>IF($U112="",0,IF($AL112&gt;1,((IF(1&lt;=$AL112,($AL112-1+3)*(INDEX(Reference!$B$6:$B$11,MIN(5,MATCH(MAX(Reference!$A$6,MIN(Reference!$A$11,MIN($U112,90))),Reference!$A$6:$A$11,1)))+(MAX(Reference!$A$6,MIN(Reference!$A$11,MIN($U112,90)))-INDEX(Reference!$A$6:$A$11,MIN(5,MATCH(MAX(Reference!$A$6,MIN(Reference!$A$11,MIN($U112,90))),Reference!$A$6:$A$11,1))))*(INDEX(Reference!$B$6:$B$11,MIN(5,MATCH(MAX(Reference!$A$6,MIN(Reference!$A$11,MIN($U112,90))),Reference!$A$6:$A$11,1))+1)-INDEX(Reference!$B$6:$B$11,MIN(5,MATCH(MAX(Reference!$A$6,MIN(Reference!$A$11,MIN($U112,90))),Reference!$A$6:$A$11,1))))/(INDEX(Reference!$A$6:$A$11,MIN(5,MATCH(MAX(Reference!$A$6,MIN(Reference!$A$11,MIN($U112,90))),Reference!$A$6:$A$11,1))+1)-INDEX(Reference!$A$6:$A$11,MIN(5,MATCH(MAX(Reference!$A$6,MIN(Reference!$A$11,MIN($U112,90))),Reference!$A$6:$A$11,1))))),0)+IF(2&lt;=$AL112,($AL112-2+3)*(INDEX(Reference!$B$6:$B$11,MIN(5,MATCH(MAX(Reference!$A$6,MIN(Reference!$A$11,MIN($U112,120))),Reference!$A$6:$A$11,1)))+(MAX(Reference!$A$6,MIN(Reference!$A$11,MIN($U112,120)))-INDEX(Reference!$A$6:$A$11,MIN(5,MATCH(MAX(Reference!$A$6,MIN(Reference!$A$11,MIN($U112,120))),Reference!$A$6:$A$11,1))))*(INDEX(Reference!$B$6:$B$11,MIN(5,MATCH(MAX(Reference!$A$6,MIN(Reference!$A$11,MIN($U112,120))),Reference!$A$6:$A$11,1))+1)-INDEX(Reference!$B$6:$B$11,MIN(5,MATCH(MAX(Reference!$A$6,MIN(Reference!$A$11,MIN($U112,120))),Reference!$A$6:$A$11,1))))/(INDEX(Reference!$A$6:$A$11,MIN(5,MATCH(MAX(Reference!$A$6,MIN(Reference!$A$11,MIN($U112,120))),Reference!$A$6:$A$11,1))+1)-INDEX(Reference!$A$6:$A$11,MIN(5,MATCH(MAX(Reference!$A$6,MIN(Reference!$A$11,MIN($U112,120))),Reference!$A$6:$A$11,1))))),0)+IF(3&lt;=$AL112,($AL112-3+3)*(INDEX(Reference!$B$6:$B$11,MIN(5,MATCH(MAX(Reference!$A$6,MIN(Reference!$A$11,MIN($U112,150))),Reference!$A$6:$A$11,1)))+(MAX(Reference!$A$6,MIN(Reference!$A$11,MIN($U112,150)))-INDEX(Reference!$A$6:$A$11,MIN(5,MATCH(MAX(Reference!$A$6,MIN(Reference!$A$11,MIN($U112,150))),Reference!$A$6:$A$11,1))))*(INDEX(Reference!$B$6:$B$11,MIN(5,MATCH(MAX(Reference!$A$6,MIN(Reference!$A$11,MIN($U112,150))),Reference!$A$6:$A$11,1))+1)-INDEX(Reference!$B$6:$B$11,MIN(5,MATCH(MAX(Reference!$A$6,MIN(Reference!$A$11,MIN($U112,150))),Reference!$A$6:$A$11,1))))/(INDEX(Reference!$A$6:$A$11,MIN(5,MATCH(MAX(Reference!$A$6,MIN(Reference!$A$11,MIN($U112,150))),Reference!$A$6:$A$11,1))+1)-INDEX(Reference!$A$6:$A$11,MIN(5,MATCH(MAX(Reference!$A$6,MIN(Reference!$A$11,MIN($U112,150))),Reference!$A$6:$A$11,1))))),0)+IF(4&lt;=$AL112,($AL112-4+3)*(INDEX(Reference!$B$6:$B$11,MIN(5,MATCH(MAX(Reference!$A$6,MIN(Reference!$A$11,MIN($U112,180))),Reference!$A$6:$A$11,1)))+(MAX(Reference!$A$6,MIN(Reference!$A$11,MIN($U112,180)))-INDEX(Reference!$A$6:$A$11,MIN(5,MATCH(MAX(Reference!$A$6,MIN(Reference!$A$11,MIN($U112,180))),Reference!$A$6:$A$11,1))))*(INDEX(Reference!$B$6:$B$11,MIN(5,MATCH(MAX(Reference!$A$6,MIN(Reference!$A$11,MIN($U112,180))),Reference!$A$6:$A$11,1))+1)-INDEX(Reference!$B$6:$B$11,MIN(5,MATCH(MAX(Reference!$A$6,MIN(Reference!$A$11,MIN($U112,180))),Reference!$A$6:$A$11,1))))/(INDEX(Reference!$A$6:$A$11,MIN(5,MATCH(MAX(Reference!$A$6,MIN(Reference!$A$11,MIN($U112,180))),Reference!$A$6:$A$11,1))+1)-INDEX(Reference!$A$6:$A$11,MIN(5,MATCH(MAX(Reference!$A$6,MIN(Reference!$A$11,MIN($U112,180))),Reference!$A$6:$A$11,1))))),0)+IF(5&lt;=$AL112,($AL112-5+3)*(INDEX(Reference!$B$6:$B$11,MIN(5,MATCH(MAX(Reference!$A$6,MIN(Reference!$A$11,MIN($U112,210))),Reference!$A$6:$A$11,1)))+(MAX(Reference!$A$6,MIN(Reference!$A$11,MIN($U112,210)))-INDEX(Reference!$A$6:$A$11,MIN(5,MATCH(MAX(Reference!$A$6,MIN(Reference!$A$11,MIN($U112,210))),Reference!$A$6:$A$11,1))))*(INDEX(Reference!$B$6:$B$11,MIN(5,MATCH(MAX(Reference!$A$6,MIN(Reference!$A$11,MIN($U112,210))),Reference!$A$6:$A$11,1))+1)-INDEX(Reference!$B$6:$B$11,MIN(5,MATCH(MAX(Reference!$A$6,MIN(Reference!$A$11,MIN($U112,210))),Reference!$A$6:$A$11,1))))/(INDEX(Reference!$A$6:$A$11,MIN(5,MATCH(MAX(Reference!$A$6,MIN(Reference!$A$11,MIN($U112,210))),Reference!$A$6:$A$11,1))+1)-INDEX(Reference!$A$6:$A$11,MIN(5,MATCH(MAX(Reference!$A$6,MIN(Reference!$A$11,MIN($U112,210))),Reference!$A$6:$A$11,1))))),0)+IF(6&lt;=$AL112,($AL112-6+3)*(INDEX(Reference!$B$6:$B$11,MIN(5,MATCH(MAX(Reference!$A$6,MIN(Reference!$A$11,MIN($U112,240))),Reference!$A$6:$A$11,1)))+(MAX(Reference!$A$6,MIN(Reference!$A$11,MIN($U112,240)))-INDEX(Reference!$A$6:$A$11,MIN(5,MATCH(MAX(Reference!$A$6,MIN(Reference!$A$11,MIN($U112,240))),Reference!$A$6:$A$11,1))))*(INDEX(Reference!$B$6:$B$11,MIN(5,MATCH(MAX(Reference!$A$6,MIN(Reference!$A$11,MIN($U112,240))),Reference!$A$6:$A$11,1))+1)-INDEX(Reference!$B$6:$B$11,MIN(5,MATCH(MAX(Reference!$A$6,MIN(Reference!$A$11,MIN($U112,240))),Reference!$A$6:$A$11,1))))/(INDEX(Reference!$A$6:$A$11,MIN(5,MATCH(MAX(Reference!$A$6,MIN(Reference!$A$11,MIN($U112,240))),Reference!$A$6:$A$11,1))+1)-INDEX(Reference!$A$6:$A$11,MIN(5,MATCH(MAX(Reference!$A$6,MIN(Reference!$A$11,MIN($U112,240))),Reference!$A$6:$A$11,1))))),0)+IF(7&lt;=$AL112,($AL112-7+3)*(INDEX(Reference!$B$6:$B$11,MIN(5,MATCH(MAX(Reference!$A$6,MIN(Reference!$A$11,MIN($U112,270))),Reference!$A$6:$A$11,1)))+(MAX(Reference!$A$6,MIN(Reference!$A$11,MIN($U112,270)))-INDEX(Reference!$A$6:$A$11,MIN(5,MATCH(MAX(Reference!$A$6,MIN(Reference!$A$11,MIN($U112,270))),Reference!$A$6:$A$11,1))))*(INDEX(Reference!$B$6:$B$11,MIN(5,MATCH(MAX(Reference!$A$6,MIN(Reference!$A$11,MIN($U112,270))),Reference!$A$6:$A$11,1))+1)-INDEX(Reference!$B$6:$B$11,MIN(5,MATCH(MAX(Reference!$A$6,MIN(Reference!$A$11,MIN($U112,270))),Reference!$A$6:$A$11,1))))/(INDEX(Reference!$A$6:$A$11,MIN(5,MATCH(MAX(Reference!$A$6,MIN(Reference!$A$11,MIN($U112,270))),Reference!$A$6:$A$11,1))+1)-INDEX(Reference!$A$6:$A$11,MIN(5,MATCH(MAX(Reference!$A$6,MIN(Reference!$A$11,MIN($U112,270))),Reference!$A$6:$A$11,1))))),0)+IF(8&lt;=$AL112,($AL112-8+3)*(INDEX(Reference!$B$6:$B$11,MIN(5,MATCH(MAX(Reference!$A$6,MIN(Reference!$A$11,MIN($U112,300))),Reference!$A$6:$A$11,1)))+(MAX(Reference!$A$6,MIN(Reference!$A$11,MIN($U112,300)))-INDEX(Reference!$A$6:$A$11,MIN(5,MATCH(MAX(Reference!$A$6,MIN(Reference!$A$11,MIN($U112,300))),Reference!$A$6:$A$11,1))))*(INDEX(Reference!$B$6:$B$11,MIN(5,MATCH(MAX(Reference!$A$6,MIN(Reference!$A$11,MIN($U112,300))),Reference!$A$6:$A$11,1))+1)-INDEX(Reference!$B$6:$B$11,MIN(5,MATCH(MAX(Reference!$A$6,MIN(Reference!$A$11,MIN($U112,300))),Reference!$A$6:$A$11,1))))/(INDEX(Reference!$A$6:$A$11,MIN(5,MATCH(MAX(Reference!$A$6,MIN(Reference!$A$11,MIN($U112,300))),Reference!$A$6:$A$11,1))+1)-INDEX(Reference!$A$6:$A$11,MIN(5,MATCH(MAX(Reference!$A$6,MIN(Reference!$A$11,MIN($U112,300))),Reference!$A$6:$A$11,1))))),0))/($AL112*($AL112+5)/2)),$AN112))</f>
        <v>1</v>
      </c>
      <c r="AN112" s="32">
        <f>IF($U112="",0,(INDEX(Reference!$B$6:$B$11,MIN(5,MATCH(MAX(Reference!$A$6,MIN(Reference!$A$11,$U112)),Reference!$A$6:$A$11,1)))+(MAX(Reference!$A$6,MIN(Reference!$A$11,$U112))-INDEX(Reference!$A$6:$A$11,MIN(5,MATCH(MAX(Reference!$A$6,MIN(Reference!$A$11,$U112)),Reference!$A$6:$A$11,1))))*(INDEX(Reference!$B$6:$B$11,MIN(5,MATCH(MAX(Reference!$A$6,MIN(Reference!$A$11,$U112)),Reference!$A$6:$A$11,1))+1)-INDEX(Reference!$B$6:$B$11,MIN(5,MATCH(MAX(Reference!$A$6,MIN(Reference!$A$11,$U112)),Reference!$A$6:$A$11,1))))/(INDEX(Reference!$A$6:$A$11,MIN(5,MATCH(MAX(Reference!$A$6,MIN(Reference!$A$11,$U112)),Reference!$A$6:$A$11,1))+1)-INDEX(Reference!$A$6:$A$11,MIN(5,MATCH(MAX(Reference!$A$6,MIN(Reference!$A$11,$U112)),Reference!$A$6:$A$11,1))))))</f>
        <v>1</v>
      </c>
      <c r="AO112" s="37"/>
      <c r="AP112" s="37"/>
      <c r="AQ112" s="37"/>
    </row>
    <row r="113" spans="1:43" x14ac:dyDescent="0.3">
      <c r="A113" s="48">
        <f t="shared" si="55"/>
        <v>46377</v>
      </c>
      <c r="B113" s="32" t="str">
        <f t="shared" si="56"/>
        <v>Mon</v>
      </c>
      <c r="C113" s="32">
        <f t="shared" si="57"/>
        <v>14</v>
      </c>
      <c r="D113" s="32" t="str">
        <f t="shared" si="58"/>
        <v>Flat Ground / Intent</v>
      </c>
      <c r="E113" s="32" t="str">
        <f t="shared" si="59"/>
        <v>Low</v>
      </c>
      <c r="F113" s="32" t="str">
        <f t="shared" si="60"/>
        <v>Recovery/Easy Catch</v>
      </c>
      <c r="G113" s="47" t="str">
        <f t="shared" si="61"/>
        <v>75 ft × 35 @ 69–73 mph</v>
      </c>
      <c r="H113" s="30">
        <f t="shared" si="62"/>
        <v>24.15</v>
      </c>
      <c r="I113" s="46">
        <f>IF($A113="","",IF(AND($L113&lt;27,$K$12=0),"Building",IFERROR(((SUM($H$107:$H113)+$K$12*IF($L113&lt;6,SUMIFS('Throw Log'!$Q$5:$Q$300,'Throw Log'!$B$5:$B$300,$D$4,'Throw Log'!$A$5:$A$300,"&gt;="&amp;($D$6+$L113-6),'Throw Log'!$A$5:$A$300,"&lt;="&amp;($D$6-1)),0))/7)/((SUM($H$86:$H113)+$K$12*IF($L113&lt;27,SUMIFS('Throw Log'!$Q$5:$Q$300,'Throw Log'!$B$5:$B$300,$D$4,'Throw Log'!$A$5:$A$300,"&gt;="&amp;($D$6+$L113-27),'Throw Log'!$A$5:$A$300,"&lt;="&amp;($D$6-1)),0))/28),"")))</f>
        <v>1.1485716616585313</v>
      </c>
      <c r="J113" s="37"/>
      <c r="K113" s="37"/>
      <c r="L113" s="32">
        <v>70</v>
      </c>
      <c r="M113" s="32">
        <f t="shared" si="63"/>
        <v>11</v>
      </c>
      <c r="N113" s="32">
        <f t="shared" si="64"/>
        <v>0</v>
      </c>
      <c r="O113" s="32">
        <f t="shared" si="65"/>
        <v>0.92105263157894735</v>
      </c>
      <c r="P113" s="32">
        <f>IF(OR($A113="",N($C113)&lt;=7),"",$G$6*$G$9^($M113-1)*IF(AND(MOD($M113,Reference!$B$99)=0,$M113&lt;=$G$5-2),Reference!$B$100,1))</f>
        <v>260.00000000000006</v>
      </c>
      <c r="Q113" s="32">
        <f>IF($P113="","",IF(SUM($AK$113:$AK$119)=0,0,$P113*INDEX(Reference!$B$108:$B$114,$N113+1)/SUM($AK$113:$AK$119)))</f>
        <v>29.158878504672902</v>
      </c>
      <c r="R113" s="32">
        <f t="shared" si="66"/>
        <v>180</v>
      </c>
      <c r="S113" s="32">
        <f t="shared" si="67"/>
        <v>150</v>
      </c>
      <c r="T113" s="32" t="str">
        <f>IF($A113="","",IF($C113=0,"Bullpen",IF(OR($C113=7,$C113=1,$C113=5),"Recovery/Easy Catch",IF($C113=6,"Compression/Pulldowns",IF(OR($C113=4,$C113=2),"Long Toss",IF($C113=3,"No Throw",IF($N113=2,"No Throw",IF($N113=6,IF($O113&lt;Reference!$B$104,"No Throw","Recovery/Easy Catch"),IF(OR($N113=0,$N113=4),"Recovery/Easy Catch",IF($N113=1,IF($R113&gt;75,"Long Toss","Recovery/Easy Catch"),IF($N113=3,IF($O113&lt;0.5,IF($S113&gt;75,"Long Toss","Recovery/Easy Catch"),"Compression/Pulldowns"),IF($S113&gt;75,"Long Toss","Recovery/Easy Catch"))))))))))))</f>
        <v>Recovery/Easy Catch</v>
      </c>
      <c r="U113" s="32">
        <f t="shared" si="68"/>
        <v>75</v>
      </c>
      <c r="V113" s="32">
        <f t="shared" si="69"/>
        <v>18</v>
      </c>
      <c r="W113" s="32">
        <f t="shared" si="70"/>
        <v>22</v>
      </c>
      <c r="X113" s="32">
        <f t="shared" si="71"/>
        <v>0</v>
      </c>
      <c r="Y113" s="32" t="str">
        <f t="shared" si="72"/>
        <v/>
      </c>
      <c r="Z113" s="32" t="str">
        <f t="shared" si="73"/>
        <v/>
      </c>
      <c r="AA113" s="32" t="str">
        <f t="shared" si="74"/>
        <v/>
      </c>
      <c r="AB113" s="32">
        <f>IF($A113="","",IF($T113="No Throw",0,IF($K113&lt;&gt;"",$K113,IF($AA113&lt;&gt;"",ROUND($AA113*$D$12*IF($C113=0,1,$G$10),0),MIN(IF($T113="Recovery/Easy Catch",Reference!$B$103,IF($T113="Long Toss",Reference!$B$106,Reference!$B$102)),MAX(Reference!$B$101,ROUND(MAX(0,$Q113-$AE113)/$AF113,0)))))))</f>
        <v>35</v>
      </c>
      <c r="AC113" s="32">
        <f t="shared" si="75"/>
        <v>0</v>
      </c>
      <c r="AD113" s="32" t="b">
        <f t="shared" si="76"/>
        <v>0</v>
      </c>
      <c r="AE113" s="32">
        <f>IF($X113=0,0,$X113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113+$Z113)/2,0),Reference!$A$17:$B$20,2,TRUE()))</f>
        <v>0</v>
      </c>
      <c r="AF113" s="32">
        <f>IF(OR($A113="",$U113="",$T113="No Throw"),0,$AM113*VLOOKUP(MAX(($V113+$W113)/2,0),Reference!$A$17:$B$20,2,TRUE()))</f>
        <v>0.69</v>
      </c>
      <c r="AG113" s="32">
        <f>IF($AC113=0,0,$AC113*INDEX(Reference!$B$61:$B$62,MATCH("Bullpen",Reference!$A$61:$A$62,0))*VLOOKUP(MAX($D$5-($D$9+$E$9)/2,0),Reference!$A$17:$B$20,2,TRUE()))</f>
        <v>0</v>
      </c>
      <c r="AH113" s="46">
        <f t="shared" si="77"/>
        <v>1.1485716616585313</v>
      </c>
      <c r="AI113" s="32">
        <f>IF($A113="",NA(),Reference!$A$25)</f>
        <v>0.8</v>
      </c>
      <c r="AJ113" s="32">
        <f t="shared" si="78"/>
        <v>1.3</v>
      </c>
      <c r="AK113" s="56">
        <f>IF(OR($A113="",N($C113)&lt;=7,$T113="No Throw",$J113="x"),0,INDEX(Reference!$B$108:$B$114,$N113+1))</f>
        <v>0.12</v>
      </c>
      <c r="AL113" s="32">
        <f t="shared" si="79"/>
        <v>1</v>
      </c>
      <c r="AM113" s="32">
        <f>IF($U113="",0,IF($AL113&gt;1,((IF(1&lt;=$AL113,($AL113-1+3)*(INDEX(Reference!$B$6:$B$11,MIN(5,MATCH(MAX(Reference!$A$6,MIN(Reference!$A$11,MIN($U113,90))),Reference!$A$6:$A$11,1)))+(MAX(Reference!$A$6,MIN(Reference!$A$11,MIN($U113,90)))-INDEX(Reference!$A$6:$A$11,MIN(5,MATCH(MAX(Reference!$A$6,MIN(Reference!$A$11,MIN($U113,90))),Reference!$A$6:$A$11,1))))*(INDEX(Reference!$B$6:$B$11,MIN(5,MATCH(MAX(Reference!$A$6,MIN(Reference!$A$11,MIN($U113,90))),Reference!$A$6:$A$11,1))+1)-INDEX(Reference!$B$6:$B$11,MIN(5,MATCH(MAX(Reference!$A$6,MIN(Reference!$A$11,MIN($U113,90))),Reference!$A$6:$A$11,1))))/(INDEX(Reference!$A$6:$A$11,MIN(5,MATCH(MAX(Reference!$A$6,MIN(Reference!$A$11,MIN($U113,90))),Reference!$A$6:$A$11,1))+1)-INDEX(Reference!$A$6:$A$11,MIN(5,MATCH(MAX(Reference!$A$6,MIN(Reference!$A$11,MIN($U113,90))),Reference!$A$6:$A$11,1))))),0)+IF(2&lt;=$AL113,($AL113-2+3)*(INDEX(Reference!$B$6:$B$11,MIN(5,MATCH(MAX(Reference!$A$6,MIN(Reference!$A$11,MIN($U113,120))),Reference!$A$6:$A$11,1)))+(MAX(Reference!$A$6,MIN(Reference!$A$11,MIN($U113,120)))-INDEX(Reference!$A$6:$A$11,MIN(5,MATCH(MAX(Reference!$A$6,MIN(Reference!$A$11,MIN($U113,120))),Reference!$A$6:$A$11,1))))*(INDEX(Reference!$B$6:$B$11,MIN(5,MATCH(MAX(Reference!$A$6,MIN(Reference!$A$11,MIN($U113,120))),Reference!$A$6:$A$11,1))+1)-INDEX(Reference!$B$6:$B$11,MIN(5,MATCH(MAX(Reference!$A$6,MIN(Reference!$A$11,MIN($U113,120))),Reference!$A$6:$A$11,1))))/(INDEX(Reference!$A$6:$A$11,MIN(5,MATCH(MAX(Reference!$A$6,MIN(Reference!$A$11,MIN($U113,120))),Reference!$A$6:$A$11,1))+1)-INDEX(Reference!$A$6:$A$11,MIN(5,MATCH(MAX(Reference!$A$6,MIN(Reference!$A$11,MIN($U113,120))),Reference!$A$6:$A$11,1))))),0)+IF(3&lt;=$AL113,($AL113-3+3)*(INDEX(Reference!$B$6:$B$11,MIN(5,MATCH(MAX(Reference!$A$6,MIN(Reference!$A$11,MIN($U113,150))),Reference!$A$6:$A$11,1)))+(MAX(Reference!$A$6,MIN(Reference!$A$11,MIN($U113,150)))-INDEX(Reference!$A$6:$A$11,MIN(5,MATCH(MAX(Reference!$A$6,MIN(Reference!$A$11,MIN($U113,150))),Reference!$A$6:$A$11,1))))*(INDEX(Reference!$B$6:$B$11,MIN(5,MATCH(MAX(Reference!$A$6,MIN(Reference!$A$11,MIN($U113,150))),Reference!$A$6:$A$11,1))+1)-INDEX(Reference!$B$6:$B$11,MIN(5,MATCH(MAX(Reference!$A$6,MIN(Reference!$A$11,MIN($U113,150))),Reference!$A$6:$A$11,1))))/(INDEX(Reference!$A$6:$A$11,MIN(5,MATCH(MAX(Reference!$A$6,MIN(Reference!$A$11,MIN($U113,150))),Reference!$A$6:$A$11,1))+1)-INDEX(Reference!$A$6:$A$11,MIN(5,MATCH(MAX(Reference!$A$6,MIN(Reference!$A$11,MIN($U113,150))),Reference!$A$6:$A$11,1))))),0)+IF(4&lt;=$AL113,($AL113-4+3)*(INDEX(Reference!$B$6:$B$11,MIN(5,MATCH(MAX(Reference!$A$6,MIN(Reference!$A$11,MIN($U113,180))),Reference!$A$6:$A$11,1)))+(MAX(Reference!$A$6,MIN(Reference!$A$11,MIN($U113,180)))-INDEX(Reference!$A$6:$A$11,MIN(5,MATCH(MAX(Reference!$A$6,MIN(Reference!$A$11,MIN($U113,180))),Reference!$A$6:$A$11,1))))*(INDEX(Reference!$B$6:$B$11,MIN(5,MATCH(MAX(Reference!$A$6,MIN(Reference!$A$11,MIN($U113,180))),Reference!$A$6:$A$11,1))+1)-INDEX(Reference!$B$6:$B$11,MIN(5,MATCH(MAX(Reference!$A$6,MIN(Reference!$A$11,MIN($U113,180))),Reference!$A$6:$A$11,1))))/(INDEX(Reference!$A$6:$A$11,MIN(5,MATCH(MAX(Reference!$A$6,MIN(Reference!$A$11,MIN($U113,180))),Reference!$A$6:$A$11,1))+1)-INDEX(Reference!$A$6:$A$11,MIN(5,MATCH(MAX(Reference!$A$6,MIN(Reference!$A$11,MIN($U113,180))),Reference!$A$6:$A$11,1))))),0)+IF(5&lt;=$AL113,($AL113-5+3)*(INDEX(Reference!$B$6:$B$11,MIN(5,MATCH(MAX(Reference!$A$6,MIN(Reference!$A$11,MIN($U113,210))),Reference!$A$6:$A$11,1)))+(MAX(Reference!$A$6,MIN(Reference!$A$11,MIN($U113,210)))-INDEX(Reference!$A$6:$A$11,MIN(5,MATCH(MAX(Reference!$A$6,MIN(Reference!$A$11,MIN($U113,210))),Reference!$A$6:$A$11,1))))*(INDEX(Reference!$B$6:$B$11,MIN(5,MATCH(MAX(Reference!$A$6,MIN(Reference!$A$11,MIN($U113,210))),Reference!$A$6:$A$11,1))+1)-INDEX(Reference!$B$6:$B$11,MIN(5,MATCH(MAX(Reference!$A$6,MIN(Reference!$A$11,MIN($U113,210))),Reference!$A$6:$A$11,1))))/(INDEX(Reference!$A$6:$A$11,MIN(5,MATCH(MAX(Reference!$A$6,MIN(Reference!$A$11,MIN($U113,210))),Reference!$A$6:$A$11,1))+1)-INDEX(Reference!$A$6:$A$11,MIN(5,MATCH(MAX(Reference!$A$6,MIN(Reference!$A$11,MIN($U113,210))),Reference!$A$6:$A$11,1))))),0)+IF(6&lt;=$AL113,($AL113-6+3)*(INDEX(Reference!$B$6:$B$11,MIN(5,MATCH(MAX(Reference!$A$6,MIN(Reference!$A$11,MIN($U113,240))),Reference!$A$6:$A$11,1)))+(MAX(Reference!$A$6,MIN(Reference!$A$11,MIN($U113,240)))-INDEX(Reference!$A$6:$A$11,MIN(5,MATCH(MAX(Reference!$A$6,MIN(Reference!$A$11,MIN($U113,240))),Reference!$A$6:$A$11,1))))*(INDEX(Reference!$B$6:$B$11,MIN(5,MATCH(MAX(Reference!$A$6,MIN(Reference!$A$11,MIN($U113,240))),Reference!$A$6:$A$11,1))+1)-INDEX(Reference!$B$6:$B$11,MIN(5,MATCH(MAX(Reference!$A$6,MIN(Reference!$A$11,MIN($U113,240))),Reference!$A$6:$A$11,1))))/(INDEX(Reference!$A$6:$A$11,MIN(5,MATCH(MAX(Reference!$A$6,MIN(Reference!$A$11,MIN($U113,240))),Reference!$A$6:$A$11,1))+1)-INDEX(Reference!$A$6:$A$11,MIN(5,MATCH(MAX(Reference!$A$6,MIN(Reference!$A$11,MIN($U113,240))),Reference!$A$6:$A$11,1))))),0)+IF(7&lt;=$AL113,($AL113-7+3)*(INDEX(Reference!$B$6:$B$11,MIN(5,MATCH(MAX(Reference!$A$6,MIN(Reference!$A$11,MIN($U113,270))),Reference!$A$6:$A$11,1)))+(MAX(Reference!$A$6,MIN(Reference!$A$11,MIN($U113,270)))-INDEX(Reference!$A$6:$A$11,MIN(5,MATCH(MAX(Reference!$A$6,MIN(Reference!$A$11,MIN($U113,270))),Reference!$A$6:$A$11,1))))*(INDEX(Reference!$B$6:$B$11,MIN(5,MATCH(MAX(Reference!$A$6,MIN(Reference!$A$11,MIN($U113,270))),Reference!$A$6:$A$11,1))+1)-INDEX(Reference!$B$6:$B$11,MIN(5,MATCH(MAX(Reference!$A$6,MIN(Reference!$A$11,MIN($U113,270))),Reference!$A$6:$A$11,1))))/(INDEX(Reference!$A$6:$A$11,MIN(5,MATCH(MAX(Reference!$A$6,MIN(Reference!$A$11,MIN($U113,270))),Reference!$A$6:$A$11,1))+1)-INDEX(Reference!$A$6:$A$11,MIN(5,MATCH(MAX(Reference!$A$6,MIN(Reference!$A$11,MIN($U113,270))),Reference!$A$6:$A$11,1))))),0)+IF(8&lt;=$AL113,($AL113-8+3)*(INDEX(Reference!$B$6:$B$11,MIN(5,MATCH(MAX(Reference!$A$6,MIN(Reference!$A$11,MIN($U113,300))),Reference!$A$6:$A$11,1)))+(MAX(Reference!$A$6,MIN(Reference!$A$11,MIN($U113,300)))-INDEX(Reference!$A$6:$A$11,MIN(5,MATCH(MAX(Reference!$A$6,MIN(Reference!$A$11,MIN($U113,300))),Reference!$A$6:$A$11,1))))*(INDEX(Reference!$B$6:$B$11,MIN(5,MATCH(MAX(Reference!$A$6,MIN(Reference!$A$11,MIN($U113,300))),Reference!$A$6:$A$11,1))+1)-INDEX(Reference!$B$6:$B$11,MIN(5,MATCH(MAX(Reference!$A$6,MIN(Reference!$A$11,MIN($U113,300))),Reference!$A$6:$A$11,1))))/(INDEX(Reference!$A$6:$A$11,MIN(5,MATCH(MAX(Reference!$A$6,MIN(Reference!$A$11,MIN($U113,300))),Reference!$A$6:$A$11,1))+1)-INDEX(Reference!$A$6:$A$11,MIN(5,MATCH(MAX(Reference!$A$6,MIN(Reference!$A$11,MIN($U113,300))),Reference!$A$6:$A$11,1))))),0))/($AL113*($AL113+5)/2)),$AN113))</f>
        <v>1.1499999999999999</v>
      </c>
      <c r="AN113" s="32">
        <f>IF($U113="",0,(INDEX(Reference!$B$6:$B$11,MIN(5,MATCH(MAX(Reference!$A$6,MIN(Reference!$A$11,$U113)),Reference!$A$6:$A$11,1)))+(MAX(Reference!$A$6,MIN(Reference!$A$11,$U113))-INDEX(Reference!$A$6:$A$11,MIN(5,MATCH(MAX(Reference!$A$6,MIN(Reference!$A$11,$U113)),Reference!$A$6:$A$11,1))))*(INDEX(Reference!$B$6:$B$11,MIN(5,MATCH(MAX(Reference!$A$6,MIN(Reference!$A$11,$U113)),Reference!$A$6:$A$11,1))+1)-INDEX(Reference!$B$6:$B$11,MIN(5,MATCH(MAX(Reference!$A$6,MIN(Reference!$A$11,$U113)),Reference!$A$6:$A$11,1))))/(INDEX(Reference!$A$6:$A$11,MIN(5,MATCH(MAX(Reference!$A$6,MIN(Reference!$A$11,$U113)),Reference!$A$6:$A$11,1))+1)-INDEX(Reference!$A$6:$A$11,MIN(5,MATCH(MAX(Reference!$A$6,MIN(Reference!$A$11,$U113)),Reference!$A$6:$A$11,1))))))</f>
        <v>1.1499999999999999</v>
      </c>
      <c r="AO113" s="37"/>
      <c r="AP113" s="37"/>
      <c r="AQ113" s="37"/>
    </row>
    <row r="114" spans="1:43" ht="26.4" x14ac:dyDescent="0.3">
      <c r="A114" s="48">
        <f t="shared" si="55"/>
        <v>46378</v>
      </c>
      <c r="B114" s="32" t="str">
        <f t="shared" si="56"/>
        <v>Tue</v>
      </c>
      <c r="C114" s="32">
        <f t="shared" si="57"/>
        <v>13</v>
      </c>
      <c r="D114" s="32" t="str">
        <f t="shared" si="58"/>
        <v>Flat Ground / Intent</v>
      </c>
      <c r="E114" s="32" t="str">
        <f t="shared" si="59"/>
        <v>High Non-Bullpen</v>
      </c>
      <c r="F114" s="32" t="str">
        <f t="shared" si="60"/>
        <v>Long Toss</v>
      </c>
      <c r="G114" s="47" t="str">
        <f t="shared" si="61"/>
        <v>Long toss out to 180 ft — 35 throws (90×12 · 120×9 · 150×8 · 180×6) @ 79–81 mph + 60 ft × 15 @ 79–81 mph</v>
      </c>
      <c r="H114" s="30">
        <f t="shared" si="62"/>
        <v>48.083333333333336</v>
      </c>
      <c r="I114" s="46">
        <f>IF($A114="","",IF(AND($L114&lt;27,$K$12=0),"Building",IFERROR(((SUM($H$108:$H114)+$K$12*IF($L114&lt;6,SUMIFS('Throw Log'!$Q$5:$Q$300,'Throw Log'!$B$5:$B$300,$D$4,'Throw Log'!$A$5:$A$300,"&gt;="&amp;($D$6+$L114-6),'Throw Log'!$A$5:$A$300,"&lt;="&amp;($D$6-1)),0))/7)/((SUM($H$87:$H114)+$K$12*IF($L114&lt;27,SUMIFS('Throw Log'!$Q$5:$Q$300,'Throw Log'!$B$5:$B$300,$D$4,'Throw Log'!$A$5:$A$300,"&gt;="&amp;($D$6+$L114-27),'Throw Log'!$A$5:$A$300,"&lt;="&amp;($D$6-1)),0))/28),"")))</f>
        <v>1.1565938280195729</v>
      </c>
      <c r="J114" s="37"/>
      <c r="K114" s="37">
        <v>35</v>
      </c>
      <c r="L114" s="32">
        <v>71</v>
      </c>
      <c r="M114" s="32">
        <f t="shared" si="63"/>
        <v>11</v>
      </c>
      <c r="N114" s="32">
        <f t="shared" si="64"/>
        <v>1</v>
      </c>
      <c r="O114" s="32">
        <f t="shared" si="65"/>
        <v>0.93421052631578949</v>
      </c>
      <c r="P114" s="32">
        <f>IF(OR($A114="",N($C114)&lt;=7),"",$G$6*$G$9^($M114-1)*IF(AND(MOD($M114,Reference!$B$99)=0,$M114&lt;=$G$5-2),Reference!$B$100,1))</f>
        <v>260.00000000000006</v>
      </c>
      <c r="Q114" s="32">
        <f>IF($P114="","",IF(SUM($AK$113:$AK$119)=0,0,$P114*INDEX(Reference!$B$108:$B$114,$N114+1)/SUM($AK$113:$AK$119)))</f>
        <v>65.607476635514033</v>
      </c>
      <c r="R114" s="32">
        <f t="shared" si="66"/>
        <v>180</v>
      </c>
      <c r="S114" s="32">
        <f t="shared" si="67"/>
        <v>150</v>
      </c>
      <c r="T114" s="32" t="str">
        <f>IF($A114="","",IF($C114=0,"Bullpen",IF(OR($C114=7,$C114=1,$C114=5),"Recovery/Easy Catch",IF($C114=6,"Compression/Pulldowns",IF(OR($C114=4,$C114=2),"Long Toss",IF($C114=3,"No Throw",IF($N114=2,"No Throw",IF($N114=6,IF($O114&lt;Reference!$B$104,"No Throw","Recovery/Easy Catch"),IF(OR($N114=0,$N114=4),"Recovery/Easy Catch",IF($N114=1,IF($R114&gt;75,"Long Toss","Recovery/Easy Catch"),IF($N114=3,IF($O114&lt;0.5,IF($S114&gt;75,"Long Toss","Recovery/Easy Catch"),"Compression/Pulldowns"),IF($S114&gt;75,"Long Toss","Recovery/Easy Catch"))))))))))))</f>
        <v>Long Toss</v>
      </c>
      <c r="U114" s="32">
        <f t="shared" si="68"/>
        <v>180</v>
      </c>
      <c r="V114" s="32">
        <f t="shared" si="69"/>
        <v>10</v>
      </c>
      <c r="W114" s="32">
        <f t="shared" si="70"/>
        <v>12</v>
      </c>
      <c r="X114" s="32">
        <f t="shared" si="71"/>
        <v>15</v>
      </c>
      <c r="Y114" s="32">
        <f t="shared" si="72"/>
        <v>10</v>
      </c>
      <c r="Z114" s="32">
        <f t="shared" si="73"/>
        <v>12</v>
      </c>
      <c r="AA114" s="32" t="str">
        <f t="shared" si="74"/>
        <v/>
      </c>
      <c r="AB114" s="32">
        <f>IF($A114="","",IF($T114="No Throw",0,IF($K114&lt;&gt;"",$K114,IF($AA114&lt;&gt;"",ROUND($AA114*$D$12*IF($C114=0,1,$G$10),0),MIN(IF($T114="Recovery/Easy Catch",Reference!$B$103,IF($T114="Long Toss",Reference!$B$106,Reference!$B$102)),MAX(Reference!$B$101,ROUND(MAX(0,$Q114-$AE114)/$AF114,0)))))))</f>
        <v>35</v>
      </c>
      <c r="AC114" s="32">
        <f t="shared" si="75"/>
        <v>0</v>
      </c>
      <c r="AD114" s="32" t="b">
        <f t="shared" si="76"/>
        <v>0</v>
      </c>
      <c r="AE114" s="32">
        <f>IF($X114=0,0,$X114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114+$Z114)/2,0),Reference!$A$17:$B$20,2,TRUE()))</f>
        <v>9</v>
      </c>
      <c r="AF114" s="32">
        <f>IF(OR($A114="",$U114="",$T114="No Throw"),0,$AM114*VLOOKUP(MAX(($V114+$W114)/2,0),Reference!$A$17:$B$20,2,TRUE()))</f>
        <v>1.1166666666666667</v>
      </c>
      <c r="AG114" s="32">
        <f>IF($AC114=0,0,$AC114*INDEX(Reference!$B$61:$B$62,MATCH("Bullpen",Reference!$A$61:$A$62,0))*VLOOKUP(MAX($D$5-($D$9+$E$9)/2,0),Reference!$A$17:$B$20,2,TRUE()))</f>
        <v>0</v>
      </c>
      <c r="AH114" s="46">
        <f t="shared" si="77"/>
        <v>1.1565938280195729</v>
      </c>
      <c r="AI114" s="32">
        <f>IF($A114="",NA(),Reference!$A$25)</f>
        <v>0.8</v>
      </c>
      <c r="AJ114" s="32">
        <f t="shared" si="78"/>
        <v>1.3</v>
      </c>
      <c r="AK114" s="56">
        <f>IF(OR($A114="",N($C114)&lt;=7,$T114="No Throw",$J114="x"),0,INDEX(Reference!$B$108:$B$114,$N114+1))</f>
        <v>0.27</v>
      </c>
      <c r="AL114" s="32">
        <f t="shared" si="79"/>
        <v>4</v>
      </c>
      <c r="AM114" s="32">
        <f>IF($U114="",0,IF($AL114&gt;1,((IF(1&lt;=$AL114,($AL114-1+3)*(INDEX(Reference!$B$6:$B$11,MIN(5,MATCH(MAX(Reference!$A$6,MIN(Reference!$A$11,MIN($U114,90))),Reference!$A$6:$A$11,1)))+(MAX(Reference!$A$6,MIN(Reference!$A$11,MIN($U114,90)))-INDEX(Reference!$A$6:$A$11,MIN(5,MATCH(MAX(Reference!$A$6,MIN(Reference!$A$11,MIN($U114,90))),Reference!$A$6:$A$11,1))))*(INDEX(Reference!$B$6:$B$11,MIN(5,MATCH(MAX(Reference!$A$6,MIN(Reference!$A$11,MIN($U114,90))),Reference!$A$6:$A$11,1))+1)-INDEX(Reference!$B$6:$B$11,MIN(5,MATCH(MAX(Reference!$A$6,MIN(Reference!$A$11,MIN($U114,90))),Reference!$A$6:$A$11,1))))/(INDEX(Reference!$A$6:$A$11,MIN(5,MATCH(MAX(Reference!$A$6,MIN(Reference!$A$11,MIN($U114,90))),Reference!$A$6:$A$11,1))+1)-INDEX(Reference!$A$6:$A$11,MIN(5,MATCH(MAX(Reference!$A$6,MIN(Reference!$A$11,MIN($U114,90))),Reference!$A$6:$A$11,1))))),0)+IF(2&lt;=$AL114,($AL114-2+3)*(INDEX(Reference!$B$6:$B$11,MIN(5,MATCH(MAX(Reference!$A$6,MIN(Reference!$A$11,MIN($U114,120))),Reference!$A$6:$A$11,1)))+(MAX(Reference!$A$6,MIN(Reference!$A$11,MIN($U114,120)))-INDEX(Reference!$A$6:$A$11,MIN(5,MATCH(MAX(Reference!$A$6,MIN(Reference!$A$11,MIN($U114,120))),Reference!$A$6:$A$11,1))))*(INDEX(Reference!$B$6:$B$11,MIN(5,MATCH(MAX(Reference!$A$6,MIN(Reference!$A$11,MIN($U114,120))),Reference!$A$6:$A$11,1))+1)-INDEX(Reference!$B$6:$B$11,MIN(5,MATCH(MAX(Reference!$A$6,MIN(Reference!$A$11,MIN($U114,120))),Reference!$A$6:$A$11,1))))/(INDEX(Reference!$A$6:$A$11,MIN(5,MATCH(MAX(Reference!$A$6,MIN(Reference!$A$11,MIN($U114,120))),Reference!$A$6:$A$11,1))+1)-INDEX(Reference!$A$6:$A$11,MIN(5,MATCH(MAX(Reference!$A$6,MIN(Reference!$A$11,MIN($U114,120))),Reference!$A$6:$A$11,1))))),0)+IF(3&lt;=$AL114,($AL114-3+3)*(INDEX(Reference!$B$6:$B$11,MIN(5,MATCH(MAX(Reference!$A$6,MIN(Reference!$A$11,MIN($U114,150))),Reference!$A$6:$A$11,1)))+(MAX(Reference!$A$6,MIN(Reference!$A$11,MIN($U114,150)))-INDEX(Reference!$A$6:$A$11,MIN(5,MATCH(MAX(Reference!$A$6,MIN(Reference!$A$11,MIN($U114,150))),Reference!$A$6:$A$11,1))))*(INDEX(Reference!$B$6:$B$11,MIN(5,MATCH(MAX(Reference!$A$6,MIN(Reference!$A$11,MIN($U114,150))),Reference!$A$6:$A$11,1))+1)-INDEX(Reference!$B$6:$B$11,MIN(5,MATCH(MAX(Reference!$A$6,MIN(Reference!$A$11,MIN($U114,150))),Reference!$A$6:$A$11,1))))/(INDEX(Reference!$A$6:$A$11,MIN(5,MATCH(MAX(Reference!$A$6,MIN(Reference!$A$11,MIN($U114,150))),Reference!$A$6:$A$11,1))+1)-INDEX(Reference!$A$6:$A$11,MIN(5,MATCH(MAX(Reference!$A$6,MIN(Reference!$A$11,MIN($U114,150))),Reference!$A$6:$A$11,1))))),0)+IF(4&lt;=$AL114,($AL114-4+3)*(INDEX(Reference!$B$6:$B$11,MIN(5,MATCH(MAX(Reference!$A$6,MIN(Reference!$A$11,MIN($U114,180))),Reference!$A$6:$A$11,1)))+(MAX(Reference!$A$6,MIN(Reference!$A$11,MIN($U114,180)))-INDEX(Reference!$A$6:$A$11,MIN(5,MATCH(MAX(Reference!$A$6,MIN(Reference!$A$11,MIN($U114,180))),Reference!$A$6:$A$11,1))))*(INDEX(Reference!$B$6:$B$11,MIN(5,MATCH(MAX(Reference!$A$6,MIN(Reference!$A$11,MIN($U114,180))),Reference!$A$6:$A$11,1))+1)-INDEX(Reference!$B$6:$B$11,MIN(5,MATCH(MAX(Reference!$A$6,MIN(Reference!$A$11,MIN($U114,180))),Reference!$A$6:$A$11,1))))/(INDEX(Reference!$A$6:$A$11,MIN(5,MATCH(MAX(Reference!$A$6,MIN(Reference!$A$11,MIN($U114,180))),Reference!$A$6:$A$11,1))+1)-INDEX(Reference!$A$6:$A$11,MIN(5,MATCH(MAX(Reference!$A$6,MIN(Reference!$A$11,MIN($U114,180))),Reference!$A$6:$A$11,1))))),0)+IF(5&lt;=$AL114,($AL114-5+3)*(INDEX(Reference!$B$6:$B$11,MIN(5,MATCH(MAX(Reference!$A$6,MIN(Reference!$A$11,MIN($U114,210))),Reference!$A$6:$A$11,1)))+(MAX(Reference!$A$6,MIN(Reference!$A$11,MIN($U114,210)))-INDEX(Reference!$A$6:$A$11,MIN(5,MATCH(MAX(Reference!$A$6,MIN(Reference!$A$11,MIN($U114,210))),Reference!$A$6:$A$11,1))))*(INDEX(Reference!$B$6:$B$11,MIN(5,MATCH(MAX(Reference!$A$6,MIN(Reference!$A$11,MIN($U114,210))),Reference!$A$6:$A$11,1))+1)-INDEX(Reference!$B$6:$B$11,MIN(5,MATCH(MAX(Reference!$A$6,MIN(Reference!$A$11,MIN($U114,210))),Reference!$A$6:$A$11,1))))/(INDEX(Reference!$A$6:$A$11,MIN(5,MATCH(MAX(Reference!$A$6,MIN(Reference!$A$11,MIN($U114,210))),Reference!$A$6:$A$11,1))+1)-INDEX(Reference!$A$6:$A$11,MIN(5,MATCH(MAX(Reference!$A$6,MIN(Reference!$A$11,MIN($U114,210))),Reference!$A$6:$A$11,1))))),0)+IF(6&lt;=$AL114,($AL114-6+3)*(INDEX(Reference!$B$6:$B$11,MIN(5,MATCH(MAX(Reference!$A$6,MIN(Reference!$A$11,MIN($U114,240))),Reference!$A$6:$A$11,1)))+(MAX(Reference!$A$6,MIN(Reference!$A$11,MIN($U114,240)))-INDEX(Reference!$A$6:$A$11,MIN(5,MATCH(MAX(Reference!$A$6,MIN(Reference!$A$11,MIN($U114,240))),Reference!$A$6:$A$11,1))))*(INDEX(Reference!$B$6:$B$11,MIN(5,MATCH(MAX(Reference!$A$6,MIN(Reference!$A$11,MIN($U114,240))),Reference!$A$6:$A$11,1))+1)-INDEX(Reference!$B$6:$B$11,MIN(5,MATCH(MAX(Reference!$A$6,MIN(Reference!$A$11,MIN($U114,240))),Reference!$A$6:$A$11,1))))/(INDEX(Reference!$A$6:$A$11,MIN(5,MATCH(MAX(Reference!$A$6,MIN(Reference!$A$11,MIN($U114,240))),Reference!$A$6:$A$11,1))+1)-INDEX(Reference!$A$6:$A$11,MIN(5,MATCH(MAX(Reference!$A$6,MIN(Reference!$A$11,MIN($U114,240))),Reference!$A$6:$A$11,1))))),0)+IF(7&lt;=$AL114,($AL114-7+3)*(INDEX(Reference!$B$6:$B$11,MIN(5,MATCH(MAX(Reference!$A$6,MIN(Reference!$A$11,MIN($U114,270))),Reference!$A$6:$A$11,1)))+(MAX(Reference!$A$6,MIN(Reference!$A$11,MIN($U114,270)))-INDEX(Reference!$A$6:$A$11,MIN(5,MATCH(MAX(Reference!$A$6,MIN(Reference!$A$11,MIN($U114,270))),Reference!$A$6:$A$11,1))))*(INDEX(Reference!$B$6:$B$11,MIN(5,MATCH(MAX(Reference!$A$6,MIN(Reference!$A$11,MIN($U114,270))),Reference!$A$6:$A$11,1))+1)-INDEX(Reference!$B$6:$B$11,MIN(5,MATCH(MAX(Reference!$A$6,MIN(Reference!$A$11,MIN($U114,270))),Reference!$A$6:$A$11,1))))/(INDEX(Reference!$A$6:$A$11,MIN(5,MATCH(MAX(Reference!$A$6,MIN(Reference!$A$11,MIN($U114,270))),Reference!$A$6:$A$11,1))+1)-INDEX(Reference!$A$6:$A$11,MIN(5,MATCH(MAX(Reference!$A$6,MIN(Reference!$A$11,MIN($U114,270))),Reference!$A$6:$A$11,1))))),0)+IF(8&lt;=$AL114,($AL114-8+3)*(INDEX(Reference!$B$6:$B$11,MIN(5,MATCH(MAX(Reference!$A$6,MIN(Reference!$A$11,MIN($U114,300))),Reference!$A$6:$A$11,1)))+(MAX(Reference!$A$6,MIN(Reference!$A$11,MIN($U114,300)))-INDEX(Reference!$A$6:$A$11,MIN(5,MATCH(MAX(Reference!$A$6,MIN(Reference!$A$11,MIN($U114,300))),Reference!$A$6:$A$11,1))))*(INDEX(Reference!$B$6:$B$11,MIN(5,MATCH(MAX(Reference!$A$6,MIN(Reference!$A$11,MIN($U114,300))),Reference!$A$6:$A$11,1))+1)-INDEX(Reference!$B$6:$B$11,MIN(5,MATCH(MAX(Reference!$A$6,MIN(Reference!$A$11,MIN($U114,300))),Reference!$A$6:$A$11,1))))/(INDEX(Reference!$A$6:$A$11,MIN(5,MATCH(MAX(Reference!$A$6,MIN(Reference!$A$11,MIN($U114,300))),Reference!$A$6:$A$11,1))+1)-INDEX(Reference!$A$6:$A$11,MIN(5,MATCH(MAX(Reference!$A$6,MIN(Reference!$A$11,MIN($U114,300))),Reference!$A$6:$A$11,1))))),0))/($AL114*($AL114+5)/2)),$AN114))</f>
        <v>1.8611111111111112</v>
      </c>
      <c r="AN114" s="32">
        <f>IF($U114="",0,(INDEX(Reference!$B$6:$B$11,MIN(5,MATCH(MAX(Reference!$A$6,MIN(Reference!$A$11,$U114)),Reference!$A$6:$A$11,1)))+(MAX(Reference!$A$6,MIN(Reference!$A$11,$U114))-INDEX(Reference!$A$6:$A$11,MIN(5,MATCH(MAX(Reference!$A$6,MIN(Reference!$A$11,$U114)),Reference!$A$6:$A$11,1))))*(INDEX(Reference!$B$6:$B$11,MIN(5,MATCH(MAX(Reference!$A$6,MIN(Reference!$A$11,$U114)),Reference!$A$6:$A$11,1))+1)-INDEX(Reference!$B$6:$B$11,MIN(5,MATCH(MAX(Reference!$A$6,MIN(Reference!$A$11,$U114)),Reference!$A$6:$A$11,1))))/(INDEX(Reference!$A$6:$A$11,MIN(5,MATCH(MAX(Reference!$A$6,MIN(Reference!$A$11,$U114)),Reference!$A$6:$A$11,1))+1)-INDEX(Reference!$A$6:$A$11,MIN(5,MATCH(MAX(Reference!$A$6,MIN(Reference!$A$11,$U114)),Reference!$A$6:$A$11,1))))))</f>
        <v>2.8</v>
      </c>
      <c r="AO114" s="37"/>
      <c r="AP114" s="37"/>
      <c r="AQ114" s="37"/>
    </row>
    <row r="115" spans="1:43" x14ac:dyDescent="0.3">
      <c r="A115" s="48">
        <f t="shared" si="55"/>
        <v>46379</v>
      </c>
      <c r="B115" s="32" t="str">
        <f t="shared" si="56"/>
        <v>Wed</v>
      </c>
      <c r="C115" s="32">
        <f t="shared" si="57"/>
        <v>12</v>
      </c>
      <c r="D115" s="32" t="str">
        <f t="shared" si="58"/>
        <v>Flat Ground / Intent</v>
      </c>
      <c r="E115" s="32" t="str">
        <f t="shared" si="59"/>
        <v>No Throw</v>
      </c>
      <c r="F115" s="32" t="str">
        <f t="shared" si="60"/>
        <v>No Throw</v>
      </c>
      <c r="G115" s="47" t="str">
        <f t="shared" si="61"/>
        <v>Off</v>
      </c>
      <c r="H115" s="30">
        <f t="shared" si="62"/>
        <v>0</v>
      </c>
      <c r="I115" s="46">
        <f>IF($A115="","",IF(AND($L115&lt;27,$K$12=0),"Building",IFERROR(((SUM($H$109:$H115)+$K$12*IF($L115&lt;6,SUMIFS('Throw Log'!$Q$5:$Q$300,'Throw Log'!$B$5:$B$300,$D$4,'Throw Log'!$A$5:$A$300,"&gt;="&amp;($D$6+$L115-6),'Throw Log'!$A$5:$A$300,"&lt;="&amp;($D$6-1)),0))/7)/((SUM($H$88:$H115)+$K$12*IF($L115&lt;27,SUMIFS('Throw Log'!$Q$5:$Q$300,'Throw Log'!$B$5:$B$300,$D$4,'Throw Log'!$A$5:$A$300,"&gt;="&amp;($D$6+$L115-27),'Throw Log'!$A$5:$A$300,"&lt;="&amp;($D$6-1)),0))/28),"")))</f>
        <v>1.1565938280195729</v>
      </c>
      <c r="J115" s="37"/>
      <c r="K115" s="37"/>
      <c r="L115" s="32">
        <v>72</v>
      </c>
      <c r="M115" s="32">
        <f t="shared" si="63"/>
        <v>11</v>
      </c>
      <c r="N115" s="32">
        <f t="shared" si="64"/>
        <v>2</v>
      </c>
      <c r="O115" s="32">
        <f t="shared" si="65"/>
        <v>0.94736842105263153</v>
      </c>
      <c r="P115" s="32">
        <f>IF(OR($A115="",N($C115)&lt;=7),"",$G$6*$G$9^($M115-1)*IF(AND(MOD($M115,Reference!$B$99)=0,$M115&lt;=$G$5-2),Reference!$B$100,1))</f>
        <v>260.00000000000006</v>
      </c>
      <c r="Q115" s="32">
        <f>IF($P115="","",IF(SUM($AK$113:$AK$119)=0,0,$P115*INDEX(Reference!$B$108:$B$114,$N115+1)/SUM($AK$113:$AK$119)))</f>
        <v>0</v>
      </c>
      <c r="R115" s="32">
        <f t="shared" si="66"/>
        <v>180</v>
      </c>
      <c r="S115" s="32">
        <f t="shared" si="67"/>
        <v>150</v>
      </c>
      <c r="T115" s="32" t="str">
        <f>IF($A115="","",IF($C115=0,"Bullpen",IF(OR($C115=7,$C115=1,$C115=5),"Recovery/Easy Catch",IF($C115=6,"Compression/Pulldowns",IF(OR($C115=4,$C115=2),"Long Toss",IF($C115=3,"No Throw",IF($N115=2,"No Throw",IF($N115=6,IF($O115&lt;Reference!$B$104,"No Throw","Recovery/Easy Catch"),IF(OR($N115=0,$N115=4),"Recovery/Easy Catch",IF($N115=1,IF($R115&gt;75,"Long Toss","Recovery/Easy Catch"),IF($N115=3,IF($O115&lt;0.5,IF($S115&gt;75,"Long Toss","Recovery/Easy Catch"),"Compression/Pulldowns"),IF($S115&gt;75,"Long Toss","Recovery/Easy Catch"))))))))))))</f>
        <v>No Throw</v>
      </c>
      <c r="U115" s="32" t="str">
        <f t="shared" si="68"/>
        <v/>
      </c>
      <c r="V115" s="32" t="str">
        <f t="shared" si="69"/>
        <v/>
      </c>
      <c r="W115" s="32" t="str">
        <f t="shared" si="70"/>
        <v/>
      </c>
      <c r="X115" s="32">
        <f t="shared" si="71"/>
        <v>0</v>
      </c>
      <c r="Y115" s="32" t="str">
        <f t="shared" si="72"/>
        <v/>
      </c>
      <c r="Z115" s="32" t="str">
        <f t="shared" si="73"/>
        <v/>
      </c>
      <c r="AA115" s="32" t="str">
        <f t="shared" si="74"/>
        <v/>
      </c>
      <c r="AB115" s="32">
        <f>IF($A115="","",IF($T115="No Throw",0,IF($K115&lt;&gt;"",$K115,IF($AA115&lt;&gt;"",ROUND($AA115*$D$12*IF($C115=0,1,$G$10),0),MIN(IF($T115="Recovery/Easy Catch",Reference!$B$103,IF($T115="Long Toss",Reference!$B$106,Reference!$B$102)),MAX(Reference!$B$101,ROUND(MAX(0,$Q115-$AE115)/$AF115,0)))))))</f>
        <v>0</v>
      </c>
      <c r="AC115" s="32">
        <f t="shared" si="75"/>
        <v>0</v>
      </c>
      <c r="AD115" s="32" t="b">
        <f t="shared" si="76"/>
        <v>1</v>
      </c>
      <c r="AE115" s="32">
        <f>IF($X115=0,0,$X115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115+$Z115)/2,0),Reference!$A$17:$B$20,2,TRUE()))</f>
        <v>0</v>
      </c>
      <c r="AF115" s="32">
        <f>IF(OR($A115="",$U115="",$T115="No Throw"),0,$AM115*VLOOKUP(MAX(($V115+$W115)/2,0),Reference!$A$17:$B$20,2,TRUE()))</f>
        <v>0</v>
      </c>
      <c r="AG115" s="32">
        <f>IF($AC115=0,0,$AC115*INDEX(Reference!$B$61:$B$62,MATCH("Bullpen",Reference!$A$61:$A$62,0))*VLOOKUP(MAX($D$5-($D$9+$E$9)/2,0),Reference!$A$17:$B$20,2,TRUE()))</f>
        <v>0</v>
      </c>
      <c r="AH115" s="46">
        <f t="shared" si="77"/>
        <v>1.1565938280195729</v>
      </c>
      <c r="AI115" s="32">
        <f>IF($A115="",NA(),Reference!$A$25)</f>
        <v>0.8</v>
      </c>
      <c r="AJ115" s="32">
        <f t="shared" si="78"/>
        <v>1.3</v>
      </c>
      <c r="AK115" s="32">
        <f>IF(OR($A115="",N($C115)&lt;=7,$T115="No Throw",$J115="x"),0,INDEX(Reference!$B$108:$B$114,$N115+1))</f>
        <v>0</v>
      </c>
      <c r="AL115" s="32">
        <f t="shared" si="79"/>
        <v>1</v>
      </c>
      <c r="AM115" s="32">
        <f>IF($U115="",0,IF($AL115&gt;1,((IF(1&lt;=$AL115,($AL115-1+3)*(INDEX(Reference!$B$6:$B$11,MIN(5,MATCH(MAX(Reference!$A$6,MIN(Reference!$A$11,MIN($U115,90))),Reference!$A$6:$A$11,1)))+(MAX(Reference!$A$6,MIN(Reference!$A$11,MIN($U115,90)))-INDEX(Reference!$A$6:$A$11,MIN(5,MATCH(MAX(Reference!$A$6,MIN(Reference!$A$11,MIN($U115,90))),Reference!$A$6:$A$11,1))))*(INDEX(Reference!$B$6:$B$11,MIN(5,MATCH(MAX(Reference!$A$6,MIN(Reference!$A$11,MIN($U115,90))),Reference!$A$6:$A$11,1))+1)-INDEX(Reference!$B$6:$B$11,MIN(5,MATCH(MAX(Reference!$A$6,MIN(Reference!$A$11,MIN($U115,90))),Reference!$A$6:$A$11,1))))/(INDEX(Reference!$A$6:$A$11,MIN(5,MATCH(MAX(Reference!$A$6,MIN(Reference!$A$11,MIN($U115,90))),Reference!$A$6:$A$11,1))+1)-INDEX(Reference!$A$6:$A$11,MIN(5,MATCH(MAX(Reference!$A$6,MIN(Reference!$A$11,MIN($U115,90))),Reference!$A$6:$A$11,1))))),0)+IF(2&lt;=$AL115,($AL115-2+3)*(INDEX(Reference!$B$6:$B$11,MIN(5,MATCH(MAX(Reference!$A$6,MIN(Reference!$A$11,MIN($U115,120))),Reference!$A$6:$A$11,1)))+(MAX(Reference!$A$6,MIN(Reference!$A$11,MIN($U115,120)))-INDEX(Reference!$A$6:$A$11,MIN(5,MATCH(MAX(Reference!$A$6,MIN(Reference!$A$11,MIN($U115,120))),Reference!$A$6:$A$11,1))))*(INDEX(Reference!$B$6:$B$11,MIN(5,MATCH(MAX(Reference!$A$6,MIN(Reference!$A$11,MIN($U115,120))),Reference!$A$6:$A$11,1))+1)-INDEX(Reference!$B$6:$B$11,MIN(5,MATCH(MAX(Reference!$A$6,MIN(Reference!$A$11,MIN($U115,120))),Reference!$A$6:$A$11,1))))/(INDEX(Reference!$A$6:$A$11,MIN(5,MATCH(MAX(Reference!$A$6,MIN(Reference!$A$11,MIN($U115,120))),Reference!$A$6:$A$11,1))+1)-INDEX(Reference!$A$6:$A$11,MIN(5,MATCH(MAX(Reference!$A$6,MIN(Reference!$A$11,MIN($U115,120))),Reference!$A$6:$A$11,1))))),0)+IF(3&lt;=$AL115,($AL115-3+3)*(INDEX(Reference!$B$6:$B$11,MIN(5,MATCH(MAX(Reference!$A$6,MIN(Reference!$A$11,MIN($U115,150))),Reference!$A$6:$A$11,1)))+(MAX(Reference!$A$6,MIN(Reference!$A$11,MIN($U115,150)))-INDEX(Reference!$A$6:$A$11,MIN(5,MATCH(MAX(Reference!$A$6,MIN(Reference!$A$11,MIN($U115,150))),Reference!$A$6:$A$11,1))))*(INDEX(Reference!$B$6:$B$11,MIN(5,MATCH(MAX(Reference!$A$6,MIN(Reference!$A$11,MIN($U115,150))),Reference!$A$6:$A$11,1))+1)-INDEX(Reference!$B$6:$B$11,MIN(5,MATCH(MAX(Reference!$A$6,MIN(Reference!$A$11,MIN($U115,150))),Reference!$A$6:$A$11,1))))/(INDEX(Reference!$A$6:$A$11,MIN(5,MATCH(MAX(Reference!$A$6,MIN(Reference!$A$11,MIN($U115,150))),Reference!$A$6:$A$11,1))+1)-INDEX(Reference!$A$6:$A$11,MIN(5,MATCH(MAX(Reference!$A$6,MIN(Reference!$A$11,MIN($U115,150))),Reference!$A$6:$A$11,1))))),0)+IF(4&lt;=$AL115,($AL115-4+3)*(INDEX(Reference!$B$6:$B$11,MIN(5,MATCH(MAX(Reference!$A$6,MIN(Reference!$A$11,MIN($U115,180))),Reference!$A$6:$A$11,1)))+(MAX(Reference!$A$6,MIN(Reference!$A$11,MIN($U115,180)))-INDEX(Reference!$A$6:$A$11,MIN(5,MATCH(MAX(Reference!$A$6,MIN(Reference!$A$11,MIN($U115,180))),Reference!$A$6:$A$11,1))))*(INDEX(Reference!$B$6:$B$11,MIN(5,MATCH(MAX(Reference!$A$6,MIN(Reference!$A$11,MIN($U115,180))),Reference!$A$6:$A$11,1))+1)-INDEX(Reference!$B$6:$B$11,MIN(5,MATCH(MAX(Reference!$A$6,MIN(Reference!$A$11,MIN($U115,180))),Reference!$A$6:$A$11,1))))/(INDEX(Reference!$A$6:$A$11,MIN(5,MATCH(MAX(Reference!$A$6,MIN(Reference!$A$11,MIN($U115,180))),Reference!$A$6:$A$11,1))+1)-INDEX(Reference!$A$6:$A$11,MIN(5,MATCH(MAX(Reference!$A$6,MIN(Reference!$A$11,MIN($U115,180))),Reference!$A$6:$A$11,1))))),0)+IF(5&lt;=$AL115,($AL115-5+3)*(INDEX(Reference!$B$6:$B$11,MIN(5,MATCH(MAX(Reference!$A$6,MIN(Reference!$A$11,MIN($U115,210))),Reference!$A$6:$A$11,1)))+(MAX(Reference!$A$6,MIN(Reference!$A$11,MIN($U115,210)))-INDEX(Reference!$A$6:$A$11,MIN(5,MATCH(MAX(Reference!$A$6,MIN(Reference!$A$11,MIN($U115,210))),Reference!$A$6:$A$11,1))))*(INDEX(Reference!$B$6:$B$11,MIN(5,MATCH(MAX(Reference!$A$6,MIN(Reference!$A$11,MIN($U115,210))),Reference!$A$6:$A$11,1))+1)-INDEX(Reference!$B$6:$B$11,MIN(5,MATCH(MAX(Reference!$A$6,MIN(Reference!$A$11,MIN($U115,210))),Reference!$A$6:$A$11,1))))/(INDEX(Reference!$A$6:$A$11,MIN(5,MATCH(MAX(Reference!$A$6,MIN(Reference!$A$11,MIN($U115,210))),Reference!$A$6:$A$11,1))+1)-INDEX(Reference!$A$6:$A$11,MIN(5,MATCH(MAX(Reference!$A$6,MIN(Reference!$A$11,MIN($U115,210))),Reference!$A$6:$A$11,1))))),0)+IF(6&lt;=$AL115,($AL115-6+3)*(INDEX(Reference!$B$6:$B$11,MIN(5,MATCH(MAX(Reference!$A$6,MIN(Reference!$A$11,MIN($U115,240))),Reference!$A$6:$A$11,1)))+(MAX(Reference!$A$6,MIN(Reference!$A$11,MIN($U115,240)))-INDEX(Reference!$A$6:$A$11,MIN(5,MATCH(MAX(Reference!$A$6,MIN(Reference!$A$11,MIN($U115,240))),Reference!$A$6:$A$11,1))))*(INDEX(Reference!$B$6:$B$11,MIN(5,MATCH(MAX(Reference!$A$6,MIN(Reference!$A$11,MIN($U115,240))),Reference!$A$6:$A$11,1))+1)-INDEX(Reference!$B$6:$B$11,MIN(5,MATCH(MAX(Reference!$A$6,MIN(Reference!$A$11,MIN($U115,240))),Reference!$A$6:$A$11,1))))/(INDEX(Reference!$A$6:$A$11,MIN(5,MATCH(MAX(Reference!$A$6,MIN(Reference!$A$11,MIN($U115,240))),Reference!$A$6:$A$11,1))+1)-INDEX(Reference!$A$6:$A$11,MIN(5,MATCH(MAX(Reference!$A$6,MIN(Reference!$A$11,MIN($U115,240))),Reference!$A$6:$A$11,1))))),0)+IF(7&lt;=$AL115,($AL115-7+3)*(INDEX(Reference!$B$6:$B$11,MIN(5,MATCH(MAX(Reference!$A$6,MIN(Reference!$A$11,MIN($U115,270))),Reference!$A$6:$A$11,1)))+(MAX(Reference!$A$6,MIN(Reference!$A$11,MIN($U115,270)))-INDEX(Reference!$A$6:$A$11,MIN(5,MATCH(MAX(Reference!$A$6,MIN(Reference!$A$11,MIN($U115,270))),Reference!$A$6:$A$11,1))))*(INDEX(Reference!$B$6:$B$11,MIN(5,MATCH(MAX(Reference!$A$6,MIN(Reference!$A$11,MIN($U115,270))),Reference!$A$6:$A$11,1))+1)-INDEX(Reference!$B$6:$B$11,MIN(5,MATCH(MAX(Reference!$A$6,MIN(Reference!$A$11,MIN($U115,270))),Reference!$A$6:$A$11,1))))/(INDEX(Reference!$A$6:$A$11,MIN(5,MATCH(MAX(Reference!$A$6,MIN(Reference!$A$11,MIN($U115,270))),Reference!$A$6:$A$11,1))+1)-INDEX(Reference!$A$6:$A$11,MIN(5,MATCH(MAX(Reference!$A$6,MIN(Reference!$A$11,MIN($U115,270))),Reference!$A$6:$A$11,1))))),0)+IF(8&lt;=$AL115,($AL115-8+3)*(INDEX(Reference!$B$6:$B$11,MIN(5,MATCH(MAX(Reference!$A$6,MIN(Reference!$A$11,MIN($U115,300))),Reference!$A$6:$A$11,1)))+(MAX(Reference!$A$6,MIN(Reference!$A$11,MIN($U115,300)))-INDEX(Reference!$A$6:$A$11,MIN(5,MATCH(MAX(Reference!$A$6,MIN(Reference!$A$11,MIN($U115,300))),Reference!$A$6:$A$11,1))))*(INDEX(Reference!$B$6:$B$11,MIN(5,MATCH(MAX(Reference!$A$6,MIN(Reference!$A$11,MIN($U115,300))),Reference!$A$6:$A$11,1))+1)-INDEX(Reference!$B$6:$B$11,MIN(5,MATCH(MAX(Reference!$A$6,MIN(Reference!$A$11,MIN($U115,300))),Reference!$A$6:$A$11,1))))/(INDEX(Reference!$A$6:$A$11,MIN(5,MATCH(MAX(Reference!$A$6,MIN(Reference!$A$11,MIN($U115,300))),Reference!$A$6:$A$11,1))+1)-INDEX(Reference!$A$6:$A$11,MIN(5,MATCH(MAX(Reference!$A$6,MIN(Reference!$A$11,MIN($U115,300))),Reference!$A$6:$A$11,1))))),0))/($AL115*($AL115+5)/2)),$AN115))</f>
        <v>0</v>
      </c>
      <c r="AN115" s="32">
        <f>IF($U115="",0,(INDEX(Reference!$B$6:$B$11,MIN(5,MATCH(MAX(Reference!$A$6,MIN(Reference!$A$11,$U115)),Reference!$A$6:$A$11,1)))+(MAX(Reference!$A$6,MIN(Reference!$A$11,$U115))-INDEX(Reference!$A$6:$A$11,MIN(5,MATCH(MAX(Reference!$A$6,MIN(Reference!$A$11,$U115)),Reference!$A$6:$A$11,1))))*(INDEX(Reference!$B$6:$B$11,MIN(5,MATCH(MAX(Reference!$A$6,MIN(Reference!$A$11,$U115)),Reference!$A$6:$A$11,1))+1)-INDEX(Reference!$B$6:$B$11,MIN(5,MATCH(MAX(Reference!$A$6,MIN(Reference!$A$11,$U115)),Reference!$A$6:$A$11,1))))/(INDEX(Reference!$A$6:$A$11,MIN(5,MATCH(MAX(Reference!$A$6,MIN(Reference!$A$11,$U115)),Reference!$A$6:$A$11,1))+1)-INDEX(Reference!$A$6:$A$11,MIN(5,MATCH(MAX(Reference!$A$6,MIN(Reference!$A$11,$U115)),Reference!$A$6:$A$11,1))))))</f>
        <v>0</v>
      </c>
      <c r="AO115" s="37"/>
      <c r="AP115" s="37"/>
      <c r="AQ115" s="37"/>
    </row>
    <row r="116" spans="1:43" x14ac:dyDescent="0.3">
      <c r="A116" s="48">
        <f t="shared" si="55"/>
        <v>46380</v>
      </c>
      <c r="B116" s="32" t="str">
        <f t="shared" si="56"/>
        <v>Thu</v>
      </c>
      <c r="C116" s="32">
        <f t="shared" si="57"/>
        <v>11</v>
      </c>
      <c r="D116" s="32" t="str">
        <f t="shared" si="58"/>
        <v>Flat Ground / Intent</v>
      </c>
      <c r="E116" s="32" t="str">
        <f t="shared" si="59"/>
        <v>High Non-Bullpen</v>
      </c>
      <c r="F116" s="32" t="str">
        <f t="shared" si="60"/>
        <v>Compression/Pulldowns</v>
      </c>
      <c r="G116" s="47" t="str">
        <f t="shared" si="61"/>
        <v>90 ft × 25 @ 82–84 mph + flat ground at 60 ft × 25 @ 82–84 mph</v>
      </c>
      <c r="H116" s="30">
        <f t="shared" si="62"/>
        <v>57.5</v>
      </c>
      <c r="I116" s="46">
        <f>IF($A116="","",IF(AND($L116&lt;27,$K$12=0),"Building",IFERROR(((SUM($H$110:$H116)+$K$12*IF($L116&lt;6,SUMIFS('Throw Log'!$Q$5:$Q$300,'Throw Log'!$B$5:$B$300,$D$4,'Throw Log'!$A$5:$A$300,"&gt;="&amp;($D$6+$L116-6),'Throw Log'!$A$5:$A$300,"&lt;="&amp;($D$6-1)),0))/7)/((SUM($H$89:$H116)+$K$12*IF($L116&lt;27,SUMIFS('Throw Log'!$Q$5:$Q$300,'Throw Log'!$B$5:$B$300,$D$4,'Throw Log'!$A$5:$A$300,"&gt;="&amp;($D$6+$L116-27),'Throw Log'!$A$5:$A$300,"&lt;="&amp;($D$6-1)),0))/28),"")))</f>
        <v>1.1565635744765348</v>
      </c>
      <c r="J116" s="37"/>
      <c r="K116" s="37">
        <v>25</v>
      </c>
      <c r="L116" s="32">
        <v>73</v>
      </c>
      <c r="M116" s="32">
        <f t="shared" si="63"/>
        <v>11</v>
      </c>
      <c r="N116" s="32">
        <f t="shared" si="64"/>
        <v>3</v>
      </c>
      <c r="O116" s="32">
        <f t="shared" si="65"/>
        <v>0.96052631578947367</v>
      </c>
      <c r="P116" s="32">
        <f>IF(OR($A116="",N($C116)&lt;=7),"",$G$6*$G$9^($M116-1)*IF(AND(MOD($M116,Reference!$B$99)=0,$M116&lt;=$G$5-2),Reference!$B$100,1))</f>
        <v>260.00000000000006</v>
      </c>
      <c r="Q116" s="32">
        <f>IF($P116="","",IF(SUM($AK$113:$AK$119)=0,0,$P116*INDEX(Reference!$B$108:$B$114,$N116+1)/SUM($AK$113:$AK$119)))</f>
        <v>58.317757009345804</v>
      </c>
      <c r="R116" s="32">
        <f t="shared" si="66"/>
        <v>180</v>
      </c>
      <c r="S116" s="32">
        <f t="shared" si="67"/>
        <v>150</v>
      </c>
      <c r="T116" s="32" t="str">
        <f>IF($A116="","",IF($C116=0,"Bullpen",IF(OR($C116=7,$C116=1,$C116=5),"Recovery/Easy Catch",IF($C116=6,"Compression/Pulldowns",IF(OR($C116=4,$C116=2),"Long Toss",IF($C116=3,"No Throw",IF($N116=2,"No Throw",IF($N116=6,IF($O116&lt;Reference!$B$104,"No Throw","Recovery/Easy Catch"),IF(OR($N116=0,$N116=4),"Recovery/Easy Catch",IF($N116=1,IF($R116&gt;75,"Long Toss","Recovery/Easy Catch"),IF($N116=3,IF($O116&lt;0.5,IF($S116&gt;75,"Long Toss","Recovery/Easy Catch"),"Compression/Pulldowns"),IF($S116&gt;75,"Long Toss","Recovery/Easy Catch"))))))))))))</f>
        <v>Compression/Pulldowns</v>
      </c>
      <c r="U116" s="32">
        <f t="shared" si="68"/>
        <v>90</v>
      </c>
      <c r="V116" s="32">
        <f t="shared" si="69"/>
        <v>7</v>
      </c>
      <c r="W116" s="32">
        <f t="shared" si="70"/>
        <v>9</v>
      </c>
      <c r="X116" s="32">
        <f t="shared" si="71"/>
        <v>25</v>
      </c>
      <c r="Y116" s="32">
        <f t="shared" si="72"/>
        <v>7</v>
      </c>
      <c r="Z116" s="32">
        <f t="shared" si="73"/>
        <v>9</v>
      </c>
      <c r="AA116" s="32" t="str">
        <f t="shared" si="74"/>
        <v/>
      </c>
      <c r="AB116" s="32">
        <f>IF($A116="","",IF($T116="No Throw",0,IF($K116&lt;&gt;"",$K116,IF($AA116&lt;&gt;"",ROUND($AA116*$D$12*IF($C116=0,1,$G$10),0),MIN(IF($T116="Recovery/Easy Catch",Reference!$B$103,IF($T116="Long Toss",Reference!$B$106,Reference!$B$102)),MAX(Reference!$B$101,ROUND(MAX(0,$Q116-$AE116)/$AF116,0)))))))</f>
        <v>25</v>
      </c>
      <c r="AC116" s="32">
        <f t="shared" si="75"/>
        <v>0</v>
      </c>
      <c r="AD116" s="32" t="b">
        <f t="shared" si="76"/>
        <v>0</v>
      </c>
      <c r="AE116" s="32">
        <f>IF($X116=0,0,$X116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116+$Z116)/2,0),Reference!$A$17:$B$20,2,TRUE()))</f>
        <v>25</v>
      </c>
      <c r="AF116" s="32">
        <f>IF(OR($A116="",$U116="",$T116="No Throw"),0,$AM116*VLOOKUP(MAX(($V116+$W116)/2,0),Reference!$A$17:$B$20,2,TRUE()))</f>
        <v>1.3</v>
      </c>
      <c r="AG116" s="32">
        <f>IF($AC116=0,0,$AC116*INDEX(Reference!$B$61:$B$62,MATCH("Bullpen",Reference!$A$61:$A$62,0))*VLOOKUP(MAX($D$5-($D$9+$E$9)/2,0),Reference!$A$17:$B$20,2,TRUE()))</f>
        <v>0</v>
      </c>
      <c r="AH116" s="46">
        <f t="shared" si="77"/>
        <v>1.1565635744765348</v>
      </c>
      <c r="AI116" s="32">
        <f>IF($A116="",NA(),Reference!$A$25)</f>
        <v>0.8</v>
      </c>
      <c r="AJ116" s="32">
        <f t="shared" si="78"/>
        <v>1.3</v>
      </c>
      <c r="AK116" s="56">
        <f>IF(OR($A116="",N($C116)&lt;=7,$T116="No Throw",$J116="x"),0,INDEX(Reference!$B$108:$B$114,$N116+1))</f>
        <v>0.24</v>
      </c>
      <c r="AL116" s="32">
        <f t="shared" si="79"/>
        <v>1</v>
      </c>
      <c r="AM116" s="32">
        <f>IF($U116="",0,IF($AL116&gt;1,((IF(1&lt;=$AL116,($AL116-1+3)*(INDEX(Reference!$B$6:$B$11,MIN(5,MATCH(MAX(Reference!$A$6,MIN(Reference!$A$11,MIN($U116,90))),Reference!$A$6:$A$11,1)))+(MAX(Reference!$A$6,MIN(Reference!$A$11,MIN($U116,90)))-INDEX(Reference!$A$6:$A$11,MIN(5,MATCH(MAX(Reference!$A$6,MIN(Reference!$A$11,MIN($U116,90))),Reference!$A$6:$A$11,1))))*(INDEX(Reference!$B$6:$B$11,MIN(5,MATCH(MAX(Reference!$A$6,MIN(Reference!$A$11,MIN($U116,90))),Reference!$A$6:$A$11,1))+1)-INDEX(Reference!$B$6:$B$11,MIN(5,MATCH(MAX(Reference!$A$6,MIN(Reference!$A$11,MIN($U116,90))),Reference!$A$6:$A$11,1))))/(INDEX(Reference!$A$6:$A$11,MIN(5,MATCH(MAX(Reference!$A$6,MIN(Reference!$A$11,MIN($U116,90))),Reference!$A$6:$A$11,1))+1)-INDEX(Reference!$A$6:$A$11,MIN(5,MATCH(MAX(Reference!$A$6,MIN(Reference!$A$11,MIN($U116,90))),Reference!$A$6:$A$11,1))))),0)+IF(2&lt;=$AL116,($AL116-2+3)*(INDEX(Reference!$B$6:$B$11,MIN(5,MATCH(MAX(Reference!$A$6,MIN(Reference!$A$11,MIN($U116,120))),Reference!$A$6:$A$11,1)))+(MAX(Reference!$A$6,MIN(Reference!$A$11,MIN($U116,120)))-INDEX(Reference!$A$6:$A$11,MIN(5,MATCH(MAX(Reference!$A$6,MIN(Reference!$A$11,MIN($U116,120))),Reference!$A$6:$A$11,1))))*(INDEX(Reference!$B$6:$B$11,MIN(5,MATCH(MAX(Reference!$A$6,MIN(Reference!$A$11,MIN($U116,120))),Reference!$A$6:$A$11,1))+1)-INDEX(Reference!$B$6:$B$11,MIN(5,MATCH(MAX(Reference!$A$6,MIN(Reference!$A$11,MIN($U116,120))),Reference!$A$6:$A$11,1))))/(INDEX(Reference!$A$6:$A$11,MIN(5,MATCH(MAX(Reference!$A$6,MIN(Reference!$A$11,MIN($U116,120))),Reference!$A$6:$A$11,1))+1)-INDEX(Reference!$A$6:$A$11,MIN(5,MATCH(MAX(Reference!$A$6,MIN(Reference!$A$11,MIN($U116,120))),Reference!$A$6:$A$11,1))))),0)+IF(3&lt;=$AL116,($AL116-3+3)*(INDEX(Reference!$B$6:$B$11,MIN(5,MATCH(MAX(Reference!$A$6,MIN(Reference!$A$11,MIN($U116,150))),Reference!$A$6:$A$11,1)))+(MAX(Reference!$A$6,MIN(Reference!$A$11,MIN($U116,150)))-INDEX(Reference!$A$6:$A$11,MIN(5,MATCH(MAX(Reference!$A$6,MIN(Reference!$A$11,MIN($U116,150))),Reference!$A$6:$A$11,1))))*(INDEX(Reference!$B$6:$B$11,MIN(5,MATCH(MAX(Reference!$A$6,MIN(Reference!$A$11,MIN($U116,150))),Reference!$A$6:$A$11,1))+1)-INDEX(Reference!$B$6:$B$11,MIN(5,MATCH(MAX(Reference!$A$6,MIN(Reference!$A$11,MIN($U116,150))),Reference!$A$6:$A$11,1))))/(INDEX(Reference!$A$6:$A$11,MIN(5,MATCH(MAX(Reference!$A$6,MIN(Reference!$A$11,MIN($U116,150))),Reference!$A$6:$A$11,1))+1)-INDEX(Reference!$A$6:$A$11,MIN(5,MATCH(MAX(Reference!$A$6,MIN(Reference!$A$11,MIN($U116,150))),Reference!$A$6:$A$11,1))))),0)+IF(4&lt;=$AL116,($AL116-4+3)*(INDEX(Reference!$B$6:$B$11,MIN(5,MATCH(MAX(Reference!$A$6,MIN(Reference!$A$11,MIN($U116,180))),Reference!$A$6:$A$11,1)))+(MAX(Reference!$A$6,MIN(Reference!$A$11,MIN($U116,180)))-INDEX(Reference!$A$6:$A$11,MIN(5,MATCH(MAX(Reference!$A$6,MIN(Reference!$A$11,MIN($U116,180))),Reference!$A$6:$A$11,1))))*(INDEX(Reference!$B$6:$B$11,MIN(5,MATCH(MAX(Reference!$A$6,MIN(Reference!$A$11,MIN($U116,180))),Reference!$A$6:$A$11,1))+1)-INDEX(Reference!$B$6:$B$11,MIN(5,MATCH(MAX(Reference!$A$6,MIN(Reference!$A$11,MIN($U116,180))),Reference!$A$6:$A$11,1))))/(INDEX(Reference!$A$6:$A$11,MIN(5,MATCH(MAX(Reference!$A$6,MIN(Reference!$A$11,MIN($U116,180))),Reference!$A$6:$A$11,1))+1)-INDEX(Reference!$A$6:$A$11,MIN(5,MATCH(MAX(Reference!$A$6,MIN(Reference!$A$11,MIN($U116,180))),Reference!$A$6:$A$11,1))))),0)+IF(5&lt;=$AL116,($AL116-5+3)*(INDEX(Reference!$B$6:$B$11,MIN(5,MATCH(MAX(Reference!$A$6,MIN(Reference!$A$11,MIN($U116,210))),Reference!$A$6:$A$11,1)))+(MAX(Reference!$A$6,MIN(Reference!$A$11,MIN($U116,210)))-INDEX(Reference!$A$6:$A$11,MIN(5,MATCH(MAX(Reference!$A$6,MIN(Reference!$A$11,MIN($U116,210))),Reference!$A$6:$A$11,1))))*(INDEX(Reference!$B$6:$B$11,MIN(5,MATCH(MAX(Reference!$A$6,MIN(Reference!$A$11,MIN($U116,210))),Reference!$A$6:$A$11,1))+1)-INDEX(Reference!$B$6:$B$11,MIN(5,MATCH(MAX(Reference!$A$6,MIN(Reference!$A$11,MIN($U116,210))),Reference!$A$6:$A$11,1))))/(INDEX(Reference!$A$6:$A$11,MIN(5,MATCH(MAX(Reference!$A$6,MIN(Reference!$A$11,MIN($U116,210))),Reference!$A$6:$A$11,1))+1)-INDEX(Reference!$A$6:$A$11,MIN(5,MATCH(MAX(Reference!$A$6,MIN(Reference!$A$11,MIN($U116,210))),Reference!$A$6:$A$11,1))))),0)+IF(6&lt;=$AL116,($AL116-6+3)*(INDEX(Reference!$B$6:$B$11,MIN(5,MATCH(MAX(Reference!$A$6,MIN(Reference!$A$11,MIN($U116,240))),Reference!$A$6:$A$11,1)))+(MAX(Reference!$A$6,MIN(Reference!$A$11,MIN($U116,240)))-INDEX(Reference!$A$6:$A$11,MIN(5,MATCH(MAX(Reference!$A$6,MIN(Reference!$A$11,MIN($U116,240))),Reference!$A$6:$A$11,1))))*(INDEX(Reference!$B$6:$B$11,MIN(5,MATCH(MAX(Reference!$A$6,MIN(Reference!$A$11,MIN($U116,240))),Reference!$A$6:$A$11,1))+1)-INDEX(Reference!$B$6:$B$11,MIN(5,MATCH(MAX(Reference!$A$6,MIN(Reference!$A$11,MIN($U116,240))),Reference!$A$6:$A$11,1))))/(INDEX(Reference!$A$6:$A$11,MIN(5,MATCH(MAX(Reference!$A$6,MIN(Reference!$A$11,MIN($U116,240))),Reference!$A$6:$A$11,1))+1)-INDEX(Reference!$A$6:$A$11,MIN(5,MATCH(MAX(Reference!$A$6,MIN(Reference!$A$11,MIN($U116,240))),Reference!$A$6:$A$11,1))))),0)+IF(7&lt;=$AL116,($AL116-7+3)*(INDEX(Reference!$B$6:$B$11,MIN(5,MATCH(MAX(Reference!$A$6,MIN(Reference!$A$11,MIN($U116,270))),Reference!$A$6:$A$11,1)))+(MAX(Reference!$A$6,MIN(Reference!$A$11,MIN($U116,270)))-INDEX(Reference!$A$6:$A$11,MIN(5,MATCH(MAX(Reference!$A$6,MIN(Reference!$A$11,MIN($U116,270))),Reference!$A$6:$A$11,1))))*(INDEX(Reference!$B$6:$B$11,MIN(5,MATCH(MAX(Reference!$A$6,MIN(Reference!$A$11,MIN($U116,270))),Reference!$A$6:$A$11,1))+1)-INDEX(Reference!$B$6:$B$11,MIN(5,MATCH(MAX(Reference!$A$6,MIN(Reference!$A$11,MIN($U116,270))),Reference!$A$6:$A$11,1))))/(INDEX(Reference!$A$6:$A$11,MIN(5,MATCH(MAX(Reference!$A$6,MIN(Reference!$A$11,MIN($U116,270))),Reference!$A$6:$A$11,1))+1)-INDEX(Reference!$A$6:$A$11,MIN(5,MATCH(MAX(Reference!$A$6,MIN(Reference!$A$11,MIN($U116,270))),Reference!$A$6:$A$11,1))))),0)+IF(8&lt;=$AL116,($AL116-8+3)*(INDEX(Reference!$B$6:$B$11,MIN(5,MATCH(MAX(Reference!$A$6,MIN(Reference!$A$11,MIN($U116,300))),Reference!$A$6:$A$11,1)))+(MAX(Reference!$A$6,MIN(Reference!$A$11,MIN($U116,300)))-INDEX(Reference!$A$6:$A$11,MIN(5,MATCH(MAX(Reference!$A$6,MIN(Reference!$A$11,MIN($U116,300))),Reference!$A$6:$A$11,1))))*(INDEX(Reference!$B$6:$B$11,MIN(5,MATCH(MAX(Reference!$A$6,MIN(Reference!$A$11,MIN($U116,300))),Reference!$A$6:$A$11,1))+1)-INDEX(Reference!$B$6:$B$11,MIN(5,MATCH(MAX(Reference!$A$6,MIN(Reference!$A$11,MIN($U116,300))),Reference!$A$6:$A$11,1))))/(INDEX(Reference!$A$6:$A$11,MIN(5,MATCH(MAX(Reference!$A$6,MIN(Reference!$A$11,MIN($U116,300))),Reference!$A$6:$A$11,1))+1)-INDEX(Reference!$A$6:$A$11,MIN(5,MATCH(MAX(Reference!$A$6,MIN(Reference!$A$11,MIN($U116,300))),Reference!$A$6:$A$11,1))))),0))/($AL116*($AL116+5)/2)),$AN116))</f>
        <v>1.3</v>
      </c>
      <c r="AN116" s="32">
        <f>IF($U116="",0,(INDEX(Reference!$B$6:$B$11,MIN(5,MATCH(MAX(Reference!$A$6,MIN(Reference!$A$11,$U116)),Reference!$A$6:$A$11,1)))+(MAX(Reference!$A$6,MIN(Reference!$A$11,$U116))-INDEX(Reference!$A$6:$A$11,MIN(5,MATCH(MAX(Reference!$A$6,MIN(Reference!$A$11,$U116)),Reference!$A$6:$A$11,1))))*(INDEX(Reference!$B$6:$B$11,MIN(5,MATCH(MAX(Reference!$A$6,MIN(Reference!$A$11,$U116)),Reference!$A$6:$A$11,1))+1)-INDEX(Reference!$B$6:$B$11,MIN(5,MATCH(MAX(Reference!$A$6,MIN(Reference!$A$11,$U116)),Reference!$A$6:$A$11,1))))/(INDEX(Reference!$A$6:$A$11,MIN(5,MATCH(MAX(Reference!$A$6,MIN(Reference!$A$11,$U116)),Reference!$A$6:$A$11,1))+1)-INDEX(Reference!$A$6:$A$11,MIN(5,MATCH(MAX(Reference!$A$6,MIN(Reference!$A$11,$U116)),Reference!$A$6:$A$11,1))))))</f>
        <v>1.3</v>
      </c>
      <c r="AO116" s="37"/>
      <c r="AP116" s="37"/>
      <c r="AQ116" s="37"/>
    </row>
    <row r="117" spans="1:43" x14ac:dyDescent="0.3">
      <c r="A117" s="48">
        <f t="shared" si="55"/>
        <v>46381</v>
      </c>
      <c r="B117" s="32" t="str">
        <f t="shared" si="56"/>
        <v>Fri</v>
      </c>
      <c r="C117" s="32">
        <f t="shared" si="57"/>
        <v>10</v>
      </c>
      <c r="D117" s="32" t="str">
        <f t="shared" si="58"/>
        <v>Flat Ground / Intent</v>
      </c>
      <c r="E117" s="32" t="str">
        <f t="shared" si="59"/>
        <v>Low</v>
      </c>
      <c r="F117" s="32" t="str">
        <f t="shared" si="60"/>
        <v>Recovery/Easy Catch</v>
      </c>
      <c r="G117" s="47" t="str">
        <f t="shared" si="61"/>
        <v>75 ft × 30 @ 69–73 mph</v>
      </c>
      <c r="H117" s="30">
        <f t="shared" si="62"/>
        <v>20.7</v>
      </c>
      <c r="I117" s="46">
        <f>IF($A117="","",IF(AND($L117&lt;27,$K$12=0),"Building",IFERROR(((SUM($H$111:$H117)+$K$12*IF($L117&lt;6,SUMIFS('Throw Log'!$Q$5:$Q$300,'Throw Log'!$B$5:$B$300,$D$4,'Throw Log'!$A$5:$A$300,"&gt;="&amp;($D$6+$L117-6),'Throw Log'!$A$5:$A$300,"&lt;="&amp;($D$6-1)),0))/7)/((SUM($H$90:$H117)+$K$12*IF($L117&lt;27,SUMIFS('Throw Log'!$Q$5:$Q$300,'Throw Log'!$B$5:$B$300,$D$4,'Throw Log'!$A$5:$A$300,"&gt;="&amp;($D$6+$L117-27),'Throw Log'!$A$5:$A$300,"&lt;="&amp;($D$6-1)),0))/28),"")))</f>
        <v>1.1483544390605609</v>
      </c>
      <c r="J117" s="37"/>
      <c r="K117" s="37">
        <v>30</v>
      </c>
      <c r="L117" s="32">
        <v>74</v>
      </c>
      <c r="M117" s="32">
        <f t="shared" si="63"/>
        <v>11</v>
      </c>
      <c r="N117" s="32">
        <f t="shared" si="64"/>
        <v>4</v>
      </c>
      <c r="O117" s="32">
        <f t="shared" si="65"/>
        <v>0.97368421052631582</v>
      </c>
      <c r="P117" s="32">
        <f>IF(OR($A117="",N($C117)&lt;=7),"",$G$6*$G$9^($M117-1)*IF(AND(MOD($M117,Reference!$B$99)=0,$M117&lt;=$G$5-2),Reference!$B$100,1))</f>
        <v>260.00000000000006</v>
      </c>
      <c r="Q117" s="32">
        <f>IF($P117="","",IF(SUM($AK$113:$AK$119)=0,0,$P117*INDEX(Reference!$B$108:$B$114,$N117+1)/SUM($AK$113:$AK$119)))</f>
        <v>24.299065420560751</v>
      </c>
      <c r="R117" s="32">
        <f t="shared" si="66"/>
        <v>180</v>
      </c>
      <c r="S117" s="32">
        <f t="shared" si="67"/>
        <v>150</v>
      </c>
      <c r="T117" s="32" t="str">
        <f>IF($A117="","",IF($C117=0,"Bullpen",IF(OR($C117=7,$C117=1,$C117=5),"Recovery/Easy Catch",IF($C117=6,"Compression/Pulldowns",IF(OR($C117=4,$C117=2),"Long Toss",IF($C117=3,"No Throw",IF($N117=2,"No Throw",IF($N117=6,IF($O117&lt;Reference!$B$104,"No Throw","Recovery/Easy Catch"),IF(OR($N117=0,$N117=4),"Recovery/Easy Catch",IF($N117=1,IF($R117&gt;75,"Long Toss","Recovery/Easy Catch"),IF($N117=3,IF($O117&lt;0.5,IF($S117&gt;75,"Long Toss","Recovery/Easy Catch"),"Compression/Pulldowns"),IF($S117&gt;75,"Long Toss","Recovery/Easy Catch"))))))))))))</f>
        <v>Recovery/Easy Catch</v>
      </c>
      <c r="U117" s="32">
        <f t="shared" si="68"/>
        <v>75</v>
      </c>
      <c r="V117" s="32">
        <f t="shared" si="69"/>
        <v>18</v>
      </c>
      <c r="W117" s="32">
        <f t="shared" si="70"/>
        <v>22</v>
      </c>
      <c r="X117" s="32">
        <f t="shared" si="71"/>
        <v>0</v>
      </c>
      <c r="Y117" s="32" t="str">
        <f t="shared" si="72"/>
        <v/>
      </c>
      <c r="Z117" s="32" t="str">
        <f t="shared" si="73"/>
        <v/>
      </c>
      <c r="AA117" s="32" t="str">
        <f t="shared" si="74"/>
        <v/>
      </c>
      <c r="AB117" s="32">
        <f>IF($A117="","",IF($T117="No Throw",0,IF($K117&lt;&gt;"",$K117,IF($AA117&lt;&gt;"",ROUND($AA117*$D$12*IF($C117=0,1,$G$10),0),MIN(IF($T117="Recovery/Easy Catch",Reference!$B$103,IF($T117="Long Toss",Reference!$B$106,Reference!$B$102)),MAX(Reference!$B$101,ROUND(MAX(0,$Q117-$AE117)/$AF117,0)))))))</f>
        <v>30</v>
      </c>
      <c r="AC117" s="32">
        <f t="shared" si="75"/>
        <v>0</v>
      </c>
      <c r="AD117" s="32" t="b">
        <f t="shared" si="76"/>
        <v>0</v>
      </c>
      <c r="AE117" s="32">
        <f>IF($X117=0,0,$X117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117+$Z117)/2,0),Reference!$A$17:$B$20,2,TRUE()))</f>
        <v>0</v>
      </c>
      <c r="AF117" s="32">
        <f>IF(OR($A117="",$U117="",$T117="No Throw"),0,$AM117*VLOOKUP(MAX(($V117+$W117)/2,0),Reference!$A$17:$B$20,2,TRUE()))</f>
        <v>0.69</v>
      </c>
      <c r="AG117" s="32">
        <f>IF($AC117=0,0,$AC117*INDEX(Reference!$B$61:$B$62,MATCH("Bullpen",Reference!$A$61:$A$62,0))*VLOOKUP(MAX($D$5-($D$9+$E$9)/2,0),Reference!$A$17:$B$20,2,TRUE()))</f>
        <v>0</v>
      </c>
      <c r="AH117" s="46">
        <f t="shared" si="77"/>
        <v>1.1483544390605609</v>
      </c>
      <c r="AI117" s="32">
        <f>IF($A117="",NA(),Reference!$A$25)</f>
        <v>0.8</v>
      </c>
      <c r="AJ117" s="32">
        <f t="shared" si="78"/>
        <v>1.3</v>
      </c>
      <c r="AK117" s="56">
        <f>IF(OR($A117="",N($C117)&lt;=7,$T117="No Throw",$J117="x"),0,INDEX(Reference!$B$108:$B$114,$N117+1))</f>
        <v>0.1</v>
      </c>
      <c r="AL117" s="32">
        <f t="shared" si="79"/>
        <v>1</v>
      </c>
      <c r="AM117" s="32">
        <f>IF($U117="",0,IF($AL117&gt;1,((IF(1&lt;=$AL117,($AL117-1+3)*(INDEX(Reference!$B$6:$B$11,MIN(5,MATCH(MAX(Reference!$A$6,MIN(Reference!$A$11,MIN($U117,90))),Reference!$A$6:$A$11,1)))+(MAX(Reference!$A$6,MIN(Reference!$A$11,MIN($U117,90)))-INDEX(Reference!$A$6:$A$11,MIN(5,MATCH(MAX(Reference!$A$6,MIN(Reference!$A$11,MIN($U117,90))),Reference!$A$6:$A$11,1))))*(INDEX(Reference!$B$6:$B$11,MIN(5,MATCH(MAX(Reference!$A$6,MIN(Reference!$A$11,MIN($U117,90))),Reference!$A$6:$A$11,1))+1)-INDEX(Reference!$B$6:$B$11,MIN(5,MATCH(MAX(Reference!$A$6,MIN(Reference!$A$11,MIN($U117,90))),Reference!$A$6:$A$11,1))))/(INDEX(Reference!$A$6:$A$11,MIN(5,MATCH(MAX(Reference!$A$6,MIN(Reference!$A$11,MIN($U117,90))),Reference!$A$6:$A$11,1))+1)-INDEX(Reference!$A$6:$A$11,MIN(5,MATCH(MAX(Reference!$A$6,MIN(Reference!$A$11,MIN($U117,90))),Reference!$A$6:$A$11,1))))),0)+IF(2&lt;=$AL117,($AL117-2+3)*(INDEX(Reference!$B$6:$B$11,MIN(5,MATCH(MAX(Reference!$A$6,MIN(Reference!$A$11,MIN($U117,120))),Reference!$A$6:$A$11,1)))+(MAX(Reference!$A$6,MIN(Reference!$A$11,MIN($U117,120)))-INDEX(Reference!$A$6:$A$11,MIN(5,MATCH(MAX(Reference!$A$6,MIN(Reference!$A$11,MIN($U117,120))),Reference!$A$6:$A$11,1))))*(INDEX(Reference!$B$6:$B$11,MIN(5,MATCH(MAX(Reference!$A$6,MIN(Reference!$A$11,MIN($U117,120))),Reference!$A$6:$A$11,1))+1)-INDEX(Reference!$B$6:$B$11,MIN(5,MATCH(MAX(Reference!$A$6,MIN(Reference!$A$11,MIN($U117,120))),Reference!$A$6:$A$11,1))))/(INDEX(Reference!$A$6:$A$11,MIN(5,MATCH(MAX(Reference!$A$6,MIN(Reference!$A$11,MIN($U117,120))),Reference!$A$6:$A$11,1))+1)-INDEX(Reference!$A$6:$A$11,MIN(5,MATCH(MAX(Reference!$A$6,MIN(Reference!$A$11,MIN($U117,120))),Reference!$A$6:$A$11,1))))),0)+IF(3&lt;=$AL117,($AL117-3+3)*(INDEX(Reference!$B$6:$B$11,MIN(5,MATCH(MAX(Reference!$A$6,MIN(Reference!$A$11,MIN($U117,150))),Reference!$A$6:$A$11,1)))+(MAX(Reference!$A$6,MIN(Reference!$A$11,MIN($U117,150)))-INDEX(Reference!$A$6:$A$11,MIN(5,MATCH(MAX(Reference!$A$6,MIN(Reference!$A$11,MIN($U117,150))),Reference!$A$6:$A$11,1))))*(INDEX(Reference!$B$6:$B$11,MIN(5,MATCH(MAX(Reference!$A$6,MIN(Reference!$A$11,MIN($U117,150))),Reference!$A$6:$A$11,1))+1)-INDEX(Reference!$B$6:$B$11,MIN(5,MATCH(MAX(Reference!$A$6,MIN(Reference!$A$11,MIN($U117,150))),Reference!$A$6:$A$11,1))))/(INDEX(Reference!$A$6:$A$11,MIN(5,MATCH(MAX(Reference!$A$6,MIN(Reference!$A$11,MIN($U117,150))),Reference!$A$6:$A$11,1))+1)-INDEX(Reference!$A$6:$A$11,MIN(5,MATCH(MAX(Reference!$A$6,MIN(Reference!$A$11,MIN($U117,150))),Reference!$A$6:$A$11,1))))),0)+IF(4&lt;=$AL117,($AL117-4+3)*(INDEX(Reference!$B$6:$B$11,MIN(5,MATCH(MAX(Reference!$A$6,MIN(Reference!$A$11,MIN($U117,180))),Reference!$A$6:$A$11,1)))+(MAX(Reference!$A$6,MIN(Reference!$A$11,MIN($U117,180)))-INDEX(Reference!$A$6:$A$11,MIN(5,MATCH(MAX(Reference!$A$6,MIN(Reference!$A$11,MIN($U117,180))),Reference!$A$6:$A$11,1))))*(INDEX(Reference!$B$6:$B$11,MIN(5,MATCH(MAX(Reference!$A$6,MIN(Reference!$A$11,MIN($U117,180))),Reference!$A$6:$A$11,1))+1)-INDEX(Reference!$B$6:$B$11,MIN(5,MATCH(MAX(Reference!$A$6,MIN(Reference!$A$11,MIN($U117,180))),Reference!$A$6:$A$11,1))))/(INDEX(Reference!$A$6:$A$11,MIN(5,MATCH(MAX(Reference!$A$6,MIN(Reference!$A$11,MIN($U117,180))),Reference!$A$6:$A$11,1))+1)-INDEX(Reference!$A$6:$A$11,MIN(5,MATCH(MAX(Reference!$A$6,MIN(Reference!$A$11,MIN($U117,180))),Reference!$A$6:$A$11,1))))),0)+IF(5&lt;=$AL117,($AL117-5+3)*(INDEX(Reference!$B$6:$B$11,MIN(5,MATCH(MAX(Reference!$A$6,MIN(Reference!$A$11,MIN($U117,210))),Reference!$A$6:$A$11,1)))+(MAX(Reference!$A$6,MIN(Reference!$A$11,MIN($U117,210)))-INDEX(Reference!$A$6:$A$11,MIN(5,MATCH(MAX(Reference!$A$6,MIN(Reference!$A$11,MIN($U117,210))),Reference!$A$6:$A$11,1))))*(INDEX(Reference!$B$6:$B$11,MIN(5,MATCH(MAX(Reference!$A$6,MIN(Reference!$A$11,MIN($U117,210))),Reference!$A$6:$A$11,1))+1)-INDEX(Reference!$B$6:$B$11,MIN(5,MATCH(MAX(Reference!$A$6,MIN(Reference!$A$11,MIN($U117,210))),Reference!$A$6:$A$11,1))))/(INDEX(Reference!$A$6:$A$11,MIN(5,MATCH(MAX(Reference!$A$6,MIN(Reference!$A$11,MIN($U117,210))),Reference!$A$6:$A$11,1))+1)-INDEX(Reference!$A$6:$A$11,MIN(5,MATCH(MAX(Reference!$A$6,MIN(Reference!$A$11,MIN($U117,210))),Reference!$A$6:$A$11,1))))),0)+IF(6&lt;=$AL117,($AL117-6+3)*(INDEX(Reference!$B$6:$B$11,MIN(5,MATCH(MAX(Reference!$A$6,MIN(Reference!$A$11,MIN($U117,240))),Reference!$A$6:$A$11,1)))+(MAX(Reference!$A$6,MIN(Reference!$A$11,MIN($U117,240)))-INDEX(Reference!$A$6:$A$11,MIN(5,MATCH(MAX(Reference!$A$6,MIN(Reference!$A$11,MIN($U117,240))),Reference!$A$6:$A$11,1))))*(INDEX(Reference!$B$6:$B$11,MIN(5,MATCH(MAX(Reference!$A$6,MIN(Reference!$A$11,MIN($U117,240))),Reference!$A$6:$A$11,1))+1)-INDEX(Reference!$B$6:$B$11,MIN(5,MATCH(MAX(Reference!$A$6,MIN(Reference!$A$11,MIN($U117,240))),Reference!$A$6:$A$11,1))))/(INDEX(Reference!$A$6:$A$11,MIN(5,MATCH(MAX(Reference!$A$6,MIN(Reference!$A$11,MIN($U117,240))),Reference!$A$6:$A$11,1))+1)-INDEX(Reference!$A$6:$A$11,MIN(5,MATCH(MAX(Reference!$A$6,MIN(Reference!$A$11,MIN($U117,240))),Reference!$A$6:$A$11,1))))),0)+IF(7&lt;=$AL117,($AL117-7+3)*(INDEX(Reference!$B$6:$B$11,MIN(5,MATCH(MAX(Reference!$A$6,MIN(Reference!$A$11,MIN($U117,270))),Reference!$A$6:$A$11,1)))+(MAX(Reference!$A$6,MIN(Reference!$A$11,MIN($U117,270)))-INDEX(Reference!$A$6:$A$11,MIN(5,MATCH(MAX(Reference!$A$6,MIN(Reference!$A$11,MIN($U117,270))),Reference!$A$6:$A$11,1))))*(INDEX(Reference!$B$6:$B$11,MIN(5,MATCH(MAX(Reference!$A$6,MIN(Reference!$A$11,MIN($U117,270))),Reference!$A$6:$A$11,1))+1)-INDEX(Reference!$B$6:$B$11,MIN(5,MATCH(MAX(Reference!$A$6,MIN(Reference!$A$11,MIN($U117,270))),Reference!$A$6:$A$11,1))))/(INDEX(Reference!$A$6:$A$11,MIN(5,MATCH(MAX(Reference!$A$6,MIN(Reference!$A$11,MIN($U117,270))),Reference!$A$6:$A$11,1))+1)-INDEX(Reference!$A$6:$A$11,MIN(5,MATCH(MAX(Reference!$A$6,MIN(Reference!$A$11,MIN($U117,270))),Reference!$A$6:$A$11,1))))),0)+IF(8&lt;=$AL117,($AL117-8+3)*(INDEX(Reference!$B$6:$B$11,MIN(5,MATCH(MAX(Reference!$A$6,MIN(Reference!$A$11,MIN($U117,300))),Reference!$A$6:$A$11,1)))+(MAX(Reference!$A$6,MIN(Reference!$A$11,MIN($U117,300)))-INDEX(Reference!$A$6:$A$11,MIN(5,MATCH(MAX(Reference!$A$6,MIN(Reference!$A$11,MIN($U117,300))),Reference!$A$6:$A$11,1))))*(INDEX(Reference!$B$6:$B$11,MIN(5,MATCH(MAX(Reference!$A$6,MIN(Reference!$A$11,MIN($U117,300))),Reference!$A$6:$A$11,1))+1)-INDEX(Reference!$B$6:$B$11,MIN(5,MATCH(MAX(Reference!$A$6,MIN(Reference!$A$11,MIN($U117,300))),Reference!$A$6:$A$11,1))))/(INDEX(Reference!$A$6:$A$11,MIN(5,MATCH(MAX(Reference!$A$6,MIN(Reference!$A$11,MIN($U117,300))),Reference!$A$6:$A$11,1))+1)-INDEX(Reference!$A$6:$A$11,MIN(5,MATCH(MAX(Reference!$A$6,MIN(Reference!$A$11,MIN($U117,300))),Reference!$A$6:$A$11,1))))),0))/($AL117*($AL117+5)/2)),$AN117))</f>
        <v>1.1499999999999999</v>
      </c>
      <c r="AN117" s="32">
        <f>IF($U117="",0,(INDEX(Reference!$B$6:$B$11,MIN(5,MATCH(MAX(Reference!$A$6,MIN(Reference!$A$11,$U117)),Reference!$A$6:$A$11,1)))+(MAX(Reference!$A$6,MIN(Reference!$A$11,$U117))-INDEX(Reference!$A$6:$A$11,MIN(5,MATCH(MAX(Reference!$A$6,MIN(Reference!$A$11,$U117)),Reference!$A$6:$A$11,1))))*(INDEX(Reference!$B$6:$B$11,MIN(5,MATCH(MAX(Reference!$A$6,MIN(Reference!$A$11,$U117)),Reference!$A$6:$A$11,1))+1)-INDEX(Reference!$B$6:$B$11,MIN(5,MATCH(MAX(Reference!$A$6,MIN(Reference!$A$11,$U117)),Reference!$A$6:$A$11,1))))/(INDEX(Reference!$A$6:$A$11,MIN(5,MATCH(MAX(Reference!$A$6,MIN(Reference!$A$11,$U117)),Reference!$A$6:$A$11,1))+1)-INDEX(Reference!$A$6:$A$11,MIN(5,MATCH(MAX(Reference!$A$6,MIN(Reference!$A$11,$U117)),Reference!$A$6:$A$11,1))))))</f>
        <v>1.1499999999999999</v>
      </c>
      <c r="AO117" s="37"/>
      <c r="AP117" s="37"/>
      <c r="AQ117" s="37"/>
    </row>
    <row r="118" spans="1:43" ht="26.4" x14ac:dyDescent="0.3">
      <c r="A118" s="48">
        <f t="shared" si="55"/>
        <v>46382</v>
      </c>
      <c r="B118" s="32" t="str">
        <f t="shared" si="56"/>
        <v>Sat</v>
      </c>
      <c r="C118" s="32">
        <f t="shared" si="57"/>
        <v>9</v>
      </c>
      <c r="D118" s="32" t="str">
        <f t="shared" si="58"/>
        <v>Flat Ground / Intent</v>
      </c>
      <c r="E118" s="32" t="str">
        <f t="shared" si="59"/>
        <v>High Non-Bullpen</v>
      </c>
      <c r="F118" s="32" t="str">
        <f t="shared" si="60"/>
        <v>Long Toss</v>
      </c>
      <c r="G118" s="47" t="str">
        <f t="shared" si="61"/>
        <v>Long toss out to 150 ft — 30 throws (90×13 · 120×10 · 150×7) @ 78–81 mph + flat ground at 60 ft × 25 @ 82–84 mph</v>
      </c>
      <c r="H118" s="30">
        <f t="shared" si="62"/>
        <v>54.85</v>
      </c>
      <c r="I118" s="46">
        <f>IF($A118="","",IF(AND($L118&lt;27,$K$12=0),"Building",IFERROR(((SUM($H$112:$H118)+$K$12*IF($L118&lt;6,SUMIFS('Throw Log'!$Q$5:$Q$300,'Throw Log'!$B$5:$B$300,$D$4,'Throw Log'!$A$5:$A$300,"&gt;="&amp;($D$6+$L118-6),'Throw Log'!$A$5:$A$300,"&lt;="&amp;($D$6-1)),0))/7)/((SUM($H$91:$H118)+$K$12*IF($L118&lt;27,SUMIFS('Throw Log'!$Q$5:$Q$300,'Throw Log'!$B$5:$B$300,$D$4,'Throw Log'!$A$5:$A$300,"&gt;="&amp;($D$6+$L118-27),'Throw Log'!$A$5:$A$300,"&lt;="&amp;($D$6-1)),0))/28),"")))</f>
        <v>1.1007653804832138</v>
      </c>
      <c r="J118" s="37"/>
      <c r="K118" s="37">
        <v>30</v>
      </c>
      <c r="L118" s="32">
        <v>75</v>
      </c>
      <c r="M118" s="32">
        <f t="shared" si="63"/>
        <v>11</v>
      </c>
      <c r="N118" s="32">
        <f t="shared" si="64"/>
        <v>5</v>
      </c>
      <c r="O118" s="32">
        <f t="shared" si="65"/>
        <v>0.98684210526315785</v>
      </c>
      <c r="P118" s="32">
        <f>IF(OR($A118="",N($C118)&lt;=7),"",$G$6*$G$9^($M118-1)*IF(AND(MOD($M118,Reference!$B$99)=0,$M118&lt;=$G$5-2),Reference!$B$100,1))</f>
        <v>260.00000000000006</v>
      </c>
      <c r="Q118" s="32">
        <f>IF($P118="","",IF(SUM($AK$113:$AK$119)=0,0,$P118*INDEX(Reference!$B$108:$B$114,$N118+1)/SUM($AK$113:$AK$119)))</f>
        <v>65.607476635514033</v>
      </c>
      <c r="R118" s="32">
        <f t="shared" si="66"/>
        <v>180</v>
      </c>
      <c r="S118" s="32">
        <f t="shared" si="67"/>
        <v>150</v>
      </c>
      <c r="T118" s="32" t="str">
        <f>IF($A118="","",IF($C118=0,"Bullpen",IF(OR($C118=7,$C118=1,$C118=5),"Recovery/Easy Catch",IF($C118=6,"Compression/Pulldowns",IF(OR($C118=4,$C118=2),"Long Toss",IF($C118=3,"No Throw",IF($N118=2,"No Throw",IF($N118=6,IF($O118&lt;Reference!$B$104,"No Throw","Recovery/Easy Catch"),IF(OR($N118=0,$N118=4),"Recovery/Easy Catch",IF($N118=1,IF($R118&gt;75,"Long Toss","Recovery/Easy Catch"),IF($N118=3,IF($O118&lt;0.5,IF($S118&gt;75,"Long Toss","Recovery/Easy Catch"),"Compression/Pulldowns"),IF($S118&gt;75,"Long Toss","Recovery/Easy Catch"))))))))))))</f>
        <v>Long Toss</v>
      </c>
      <c r="U118" s="32">
        <f t="shared" si="68"/>
        <v>150</v>
      </c>
      <c r="V118" s="32">
        <f t="shared" si="69"/>
        <v>10</v>
      </c>
      <c r="W118" s="32">
        <f t="shared" si="70"/>
        <v>13</v>
      </c>
      <c r="X118" s="32">
        <f t="shared" si="71"/>
        <v>25</v>
      </c>
      <c r="Y118" s="32">
        <f t="shared" si="72"/>
        <v>7</v>
      </c>
      <c r="Z118" s="32">
        <f t="shared" si="73"/>
        <v>9</v>
      </c>
      <c r="AA118" s="32" t="str">
        <f t="shared" si="74"/>
        <v/>
      </c>
      <c r="AB118" s="32">
        <f>IF($A118="","",IF($T118="No Throw",0,IF($K118&lt;&gt;"",$K118,IF($AA118&lt;&gt;"",ROUND($AA118*$D$12*IF($C118=0,1,$G$10),0),MIN(IF($T118="Recovery/Easy Catch",Reference!$B$103,IF($T118="Long Toss",Reference!$B$106,Reference!$B$102)),MAX(Reference!$B$101,ROUND(MAX(0,$Q118-$AE118)/$AF118,0)))))))</f>
        <v>30</v>
      </c>
      <c r="AC118" s="32">
        <f t="shared" si="75"/>
        <v>0</v>
      </c>
      <c r="AD118" s="32" t="b">
        <f t="shared" si="76"/>
        <v>0</v>
      </c>
      <c r="AE118" s="32">
        <f>IF($X118=0,0,$X118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118+$Z118)/2,0),Reference!$A$17:$B$20,2,TRUE()))</f>
        <v>25</v>
      </c>
      <c r="AF118" s="32">
        <f>IF(OR($A118="",$U118="",$T118="No Throw"),0,$AM118*VLOOKUP(MAX(($V118+$W118)/2,0),Reference!$A$17:$B$20,2,TRUE()))</f>
        <v>0.995</v>
      </c>
      <c r="AG118" s="32">
        <f>IF($AC118=0,0,$AC118*INDEX(Reference!$B$61:$B$62,MATCH("Bullpen",Reference!$A$61:$A$62,0))*VLOOKUP(MAX($D$5-($D$9+$E$9)/2,0),Reference!$A$17:$B$20,2,TRUE()))</f>
        <v>0</v>
      </c>
      <c r="AH118" s="46">
        <f t="shared" si="77"/>
        <v>1.1007653804832138</v>
      </c>
      <c r="AI118" s="32">
        <f>IF($A118="",NA(),Reference!$A$25)</f>
        <v>0.8</v>
      </c>
      <c r="AJ118" s="32">
        <f t="shared" si="78"/>
        <v>1.3</v>
      </c>
      <c r="AK118" s="56">
        <f>IF(OR($A118="",N($C118)&lt;=7,$T118="No Throw",$J118="x"),0,INDEX(Reference!$B$108:$B$114,$N118+1))</f>
        <v>0.27</v>
      </c>
      <c r="AL118" s="32">
        <f t="shared" si="79"/>
        <v>3</v>
      </c>
      <c r="AM118" s="32">
        <f>IF($U118="",0,IF($AL118&gt;1,((IF(1&lt;=$AL118,($AL118-1+3)*(INDEX(Reference!$B$6:$B$11,MIN(5,MATCH(MAX(Reference!$A$6,MIN(Reference!$A$11,MIN($U118,90))),Reference!$A$6:$A$11,1)))+(MAX(Reference!$A$6,MIN(Reference!$A$11,MIN($U118,90)))-INDEX(Reference!$A$6:$A$11,MIN(5,MATCH(MAX(Reference!$A$6,MIN(Reference!$A$11,MIN($U118,90))),Reference!$A$6:$A$11,1))))*(INDEX(Reference!$B$6:$B$11,MIN(5,MATCH(MAX(Reference!$A$6,MIN(Reference!$A$11,MIN($U118,90))),Reference!$A$6:$A$11,1))+1)-INDEX(Reference!$B$6:$B$11,MIN(5,MATCH(MAX(Reference!$A$6,MIN(Reference!$A$11,MIN($U118,90))),Reference!$A$6:$A$11,1))))/(INDEX(Reference!$A$6:$A$11,MIN(5,MATCH(MAX(Reference!$A$6,MIN(Reference!$A$11,MIN($U118,90))),Reference!$A$6:$A$11,1))+1)-INDEX(Reference!$A$6:$A$11,MIN(5,MATCH(MAX(Reference!$A$6,MIN(Reference!$A$11,MIN($U118,90))),Reference!$A$6:$A$11,1))))),0)+IF(2&lt;=$AL118,($AL118-2+3)*(INDEX(Reference!$B$6:$B$11,MIN(5,MATCH(MAX(Reference!$A$6,MIN(Reference!$A$11,MIN($U118,120))),Reference!$A$6:$A$11,1)))+(MAX(Reference!$A$6,MIN(Reference!$A$11,MIN($U118,120)))-INDEX(Reference!$A$6:$A$11,MIN(5,MATCH(MAX(Reference!$A$6,MIN(Reference!$A$11,MIN($U118,120))),Reference!$A$6:$A$11,1))))*(INDEX(Reference!$B$6:$B$11,MIN(5,MATCH(MAX(Reference!$A$6,MIN(Reference!$A$11,MIN($U118,120))),Reference!$A$6:$A$11,1))+1)-INDEX(Reference!$B$6:$B$11,MIN(5,MATCH(MAX(Reference!$A$6,MIN(Reference!$A$11,MIN($U118,120))),Reference!$A$6:$A$11,1))))/(INDEX(Reference!$A$6:$A$11,MIN(5,MATCH(MAX(Reference!$A$6,MIN(Reference!$A$11,MIN($U118,120))),Reference!$A$6:$A$11,1))+1)-INDEX(Reference!$A$6:$A$11,MIN(5,MATCH(MAX(Reference!$A$6,MIN(Reference!$A$11,MIN($U118,120))),Reference!$A$6:$A$11,1))))),0)+IF(3&lt;=$AL118,($AL118-3+3)*(INDEX(Reference!$B$6:$B$11,MIN(5,MATCH(MAX(Reference!$A$6,MIN(Reference!$A$11,MIN($U118,150))),Reference!$A$6:$A$11,1)))+(MAX(Reference!$A$6,MIN(Reference!$A$11,MIN($U118,150)))-INDEX(Reference!$A$6:$A$11,MIN(5,MATCH(MAX(Reference!$A$6,MIN(Reference!$A$11,MIN($U118,150))),Reference!$A$6:$A$11,1))))*(INDEX(Reference!$B$6:$B$11,MIN(5,MATCH(MAX(Reference!$A$6,MIN(Reference!$A$11,MIN($U118,150))),Reference!$A$6:$A$11,1))+1)-INDEX(Reference!$B$6:$B$11,MIN(5,MATCH(MAX(Reference!$A$6,MIN(Reference!$A$11,MIN($U118,150))),Reference!$A$6:$A$11,1))))/(INDEX(Reference!$A$6:$A$11,MIN(5,MATCH(MAX(Reference!$A$6,MIN(Reference!$A$11,MIN($U118,150))),Reference!$A$6:$A$11,1))+1)-INDEX(Reference!$A$6:$A$11,MIN(5,MATCH(MAX(Reference!$A$6,MIN(Reference!$A$11,MIN($U118,150))),Reference!$A$6:$A$11,1))))),0)+IF(4&lt;=$AL118,($AL118-4+3)*(INDEX(Reference!$B$6:$B$11,MIN(5,MATCH(MAX(Reference!$A$6,MIN(Reference!$A$11,MIN($U118,180))),Reference!$A$6:$A$11,1)))+(MAX(Reference!$A$6,MIN(Reference!$A$11,MIN($U118,180)))-INDEX(Reference!$A$6:$A$11,MIN(5,MATCH(MAX(Reference!$A$6,MIN(Reference!$A$11,MIN($U118,180))),Reference!$A$6:$A$11,1))))*(INDEX(Reference!$B$6:$B$11,MIN(5,MATCH(MAX(Reference!$A$6,MIN(Reference!$A$11,MIN($U118,180))),Reference!$A$6:$A$11,1))+1)-INDEX(Reference!$B$6:$B$11,MIN(5,MATCH(MAX(Reference!$A$6,MIN(Reference!$A$11,MIN($U118,180))),Reference!$A$6:$A$11,1))))/(INDEX(Reference!$A$6:$A$11,MIN(5,MATCH(MAX(Reference!$A$6,MIN(Reference!$A$11,MIN($U118,180))),Reference!$A$6:$A$11,1))+1)-INDEX(Reference!$A$6:$A$11,MIN(5,MATCH(MAX(Reference!$A$6,MIN(Reference!$A$11,MIN($U118,180))),Reference!$A$6:$A$11,1))))),0)+IF(5&lt;=$AL118,($AL118-5+3)*(INDEX(Reference!$B$6:$B$11,MIN(5,MATCH(MAX(Reference!$A$6,MIN(Reference!$A$11,MIN($U118,210))),Reference!$A$6:$A$11,1)))+(MAX(Reference!$A$6,MIN(Reference!$A$11,MIN($U118,210)))-INDEX(Reference!$A$6:$A$11,MIN(5,MATCH(MAX(Reference!$A$6,MIN(Reference!$A$11,MIN($U118,210))),Reference!$A$6:$A$11,1))))*(INDEX(Reference!$B$6:$B$11,MIN(5,MATCH(MAX(Reference!$A$6,MIN(Reference!$A$11,MIN($U118,210))),Reference!$A$6:$A$11,1))+1)-INDEX(Reference!$B$6:$B$11,MIN(5,MATCH(MAX(Reference!$A$6,MIN(Reference!$A$11,MIN($U118,210))),Reference!$A$6:$A$11,1))))/(INDEX(Reference!$A$6:$A$11,MIN(5,MATCH(MAX(Reference!$A$6,MIN(Reference!$A$11,MIN($U118,210))),Reference!$A$6:$A$11,1))+1)-INDEX(Reference!$A$6:$A$11,MIN(5,MATCH(MAX(Reference!$A$6,MIN(Reference!$A$11,MIN($U118,210))),Reference!$A$6:$A$11,1))))),0)+IF(6&lt;=$AL118,($AL118-6+3)*(INDEX(Reference!$B$6:$B$11,MIN(5,MATCH(MAX(Reference!$A$6,MIN(Reference!$A$11,MIN($U118,240))),Reference!$A$6:$A$11,1)))+(MAX(Reference!$A$6,MIN(Reference!$A$11,MIN($U118,240)))-INDEX(Reference!$A$6:$A$11,MIN(5,MATCH(MAX(Reference!$A$6,MIN(Reference!$A$11,MIN($U118,240))),Reference!$A$6:$A$11,1))))*(INDEX(Reference!$B$6:$B$11,MIN(5,MATCH(MAX(Reference!$A$6,MIN(Reference!$A$11,MIN($U118,240))),Reference!$A$6:$A$11,1))+1)-INDEX(Reference!$B$6:$B$11,MIN(5,MATCH(MAX(Reference!$A$6,MIN(Reference!$A$11,MIN($U118,240))),Reference!$A$6:$A$11,1))))/(INDEX(Reference!$A$6:$A$11,MIN(5,MATCH(MAX(Reference!$A$6,MIN(Reference!$A$11,MIN($U118,240))),Reference!$A$6:$A$11,1))+1)-INDEX(Reference!$A$6:$A$11,MIN(5,MATCH(MAX(Reference!$A$6,MIN(Reference!$A$11,MIN($U118,240))),Reference!$A$6:$A$11,1))))),0)+IF(7&lt;=$AL118,($AL118-7+3)*(INDEX(Reference!$B$6:$B$11,MIN(5,MATCH(MAX(Reference!$A$6,MIN(Reference!$A$11,MIN($U118,270))),Reference!$A$6:$A$11,1)))+(MAX(Reference!$A$6,MIN(Reference!$A$11,MIN($U118,270)))-INDEX(Reference!$A$6:$A$11,MIN(5,MATCH(MAX(Reference!$A$6,MIN(Reference!$A$11,MIN($U118,270))),Reference!$A$6:$A$11,1))))*(INDEX(Reference!$B$6:$B$11,MIN(5,MATCH(MAX(Reference!$A$6,MIN(Reference!$A$11,MIN($U118,270))),Reference!$A$6:$A$11,1))+1)-INDEX(Reference!$B$6:$B$11,MIN(5,MATCH(MAX(Reference!$A$6,MIN(Reference!$A$11,MIN($U118,270))),Reference!$A$6:$A$11,1))))/(INDEX(Reference!$A$6:$A$11,MIN(5,MATCH(MAX(Reference!$A$6,MIN(Reference!$A$11,MIN($U118,270))),Reference!$A$6:$A$11,1))+1)-INDEX(Reference!$A$6:$A$11,MIN(5,MATCH(MAX(Reference!$A$6,MIN(Reference!$A$11,MIN($U118,270))),Reference!$A$6:$A$11,1))))),0)+IF(8&lt;=$AL118,($AL118-8+3)*(INDEX(Reference!$B$6:$B$11,MIN(5,MATCH(MAX(Reference!$A$6,MIN(Reference!$A$11,MIN($U118,300))),Reference!$A$6:$A$11,1)))+(MAX(Reference!$A$6,MIN(Reference!$A$11,MIN($U118,300)))-INDEX(Reference!$A$6:$A$11,MIN(5,MATCH(MAX(Reference!$A$6,MIN(Reference!$A$11,MIN($U118,300))),Reference!$A$6:$A$11,1))))*(INDEX(Reference!$B$6:$B$11,MIN(5,MATCH(MAX(Reference!$A$6,MIN(Reference!$A$11,MIN($U118,300))),Reference!$A$6:$A$11,1))+1)-INDEX(Reference!$B$6:$B$11,MIN(5,MATCH(MAX(Reference!$A$6,MIN(Reference!$A$11,MIN($U118,300))),Reference!$A$6:$A$11,1))))/(INDEX(Reference!$A$6:$A$11,MIN(5,MATCH(MAX(Reference!$A$6,MIN(Reference!$A$11,MIN($U118,300))),Reference!$A$6:$A$11,1))+1)-INDEX(Reference!$A$6:$A$11,MIN(5,MATCH(MAX(Reference!$A$6,MIN(Reference!$A$11,MIN($U118,300))),Reference!$A$6:$A$11,1))))),0))/($AL118*($AL118+5)/2)),$AN118))</f>
        <v>1.6583333333333334</v>
      </c>
      <c r="AN118" s="32">
        <f>IF($U118="",0,(INDEX(Reference!$B$6:$B$11,MIN(5,MATCH(MAX(Reference!$A$6,MIN(Reference!$A$11,$U118)),Reference!$A$6:$A$11,1)))+(MAX(Reference!$A$6,MIN(Reference!$A$11,$U118))-INDEX(Reference!$A$6:$A$11,MIN(5,MATCH(MAX(Reference!$A$6,MIN(Reference!$A$11,$U118)),Reference!$A$6:$A$11,1))))*(INDEX(Reference!$B$6:$B$11,MIN(5,MATCH(MAX(Reference!$A$6,MIN(Reference!$A$11,$U118)),Reference!$A$6:$A$11,1))+1)-INDEX(Reference!$B$6:$B$11,MIN(5,MATCH(MAX(Reference!$A$6,MIN(Reference!$A$11,$U118)),Reference!$A$6:$A$11,1))))/(INDEX(Reference!$A$6:$A$11,MIN(5,MATCH(MAX(Reference!$A$6,MIN(Reference!$A$11,$U118)),Reference!$A$6:$A$11,1))+1)-INDEX(Reference!$A$6:$A$11,MIN(5,MATCH(MAX(Reference!$A$6,MIN(Reference!$A$11,$U118)),Reference!$A$6:$A$11,1))))))</f>
        <v>2.2000000000000002</v>
      </c>
      <c r="AO118" s="37"/>
      <c r="AP118" s="37"/>
      <c r="AQ118" s="37"/>
    </row>
    <row r="119" spans="1:43" x14ac:dyDescent="0.3">
      <c r="A119" s="48">
        <f t="shared" si="55"/>
        <v>46383</v>
      </c>
      <c r="B119" s="32" t="str">
        <f t="shared" si="56"/>
        <v>Sun</v>
      </c>
      <c r="C119" s="32">
        <f t="shared" si="57"/>
        <v>8</v>
      </c>
      <c r="D119" s="32" t="str">
        <f t="shared" si="58"/>
        <v>Flat Ground / Intent</v>
      </c>
      <c r="E119" s="32" t="str">
        <f t="shared" si="59"/>
        <v>Low</v>
      </c>
      <c r="F119" s="32" t="str">
        <f t="shared" si="60"/>
        <v>Recovery/Easy Catch</v>
      </c>
      <c r="G119" s="47" t="str">
        <f t="shared" si="61"/>
        <v>60 ft × 30 @ 67–71 mph</v>
      </c>
      <c r="H119" s="30">
        <f t="shared" si="62"/>
        <v>18</v>
      </c>
      <c r="I119" s="46">
        <f>IF($A119="","",IF(AND($L119&lt;27,$K$12=0),"Building",IFERROR(((SUM($H$113:$H119)+$K$12*IF($L119&lt;6,SUMIFS('Throw Log'!$Q$5:$Q$300,'Throw Log'!$B$5:$B$300,$D$4,'Throw Log'!$A$5:$A$300,"&gt;="&amp;($D$6+$L119-6),'Throw Log'!$A$5:$A$300,"&lt;="&amp;($D$6-1)),0))/7)/((SUM($H$92:$H119)+$K$12*IF($L119&lt;27,SUMIFS('Throw Log'!$Q$5:$Q$300,'Throw Log'!$B$5:$B$300,$D$4,'Throw Log'!$A$5:$A$300,"&gt;="&amp;($D$6+$L119-27),'Throw Log'!$A$5:$A$300,"&lt;="&amp;($D$6-1)),0))/28),"")))</f>
        <v>1.1074555058650419</v>
      </c>
      <c r="J119" s="37"/>
      <c r="K119" s="37">
        <v>30</v>
      </c>
      <c r="L119" s="32">
        <v>76</v>
      </c>
      <c r="M119" s="32">
        <f t="shared" si="63"/>
        <v>11</v>
      </c>
      <c r="N119" s="32">
        <f t="shared" si="64"/>
        <v>6</v>
      </c>
      <c r="O119" s="32">
        <f t="shared" si="65"/>
        <v>1</v>
      </c>
      <c r="P119" s="32">
        <f>IF(OR($A119="",N($C119)&lt;=7),"",$G$6*$G$9^($M119-1)*IF(AND(MOD($M119,Reference!$B$99)=0,$M119&lt;=$G$5-2),Reference!$B$100,1))</f>
        <v>260.00000000000006</v>
      </c>
      <c r="Q119" s="32">
        <f>IF($P119="","",IF(SUM($AK$113:$AK$119)=0,0,$P119*INDEX(Reference!$B$108:$B$114,$N119+1)/SUM($AK$113:$AK$119)))</f>
        <v>17.009345794392527</v>
      </c>
      <c r="R119" s="32">
        <f t="shared" si="66"/>
        <v>180</v>
      </c>
      <c r="S119" s="32">
        <f t="shared" si="67"/>
        <v>150</v>
      </c>
      <c r="T119" s="32" t="str">
        <f>IF($A119="","",IF($C119=0,"Bullpen",IF(OR($C119=7,$C119=1,$C119=5),"Recovery/Easy Catch",IF($C119=6,"Compression/Pulldowns",IF(OR($C119=4,$C119=2),"Long Toss",IF($C119=3,"No Throw",IF($N119=2,"No Throw",IF($N119=6,IF($O119&lt;Reference!$B$104,"No Throw","Recovery/Easy Catch"),IF(OR($N119=0,$N119=4),"Recovery/Easy Catch",IF($N119=1,IF($R119&gt;75,"Long Toss","Recovery/Easy Catch"),IF($N119=3,IF($O119&lt;0.5,IF($S119&gt;75,"Long Toss","Recovery/Easy Catch"),"Compression/Pulldowns"),IF($S119&gt;75,"Long Toss","Recovery/Easy Catch"))))))))))))</f>
        <v>Recovery/Easy Catch</v>
      </c>
      <c r="U119" s="32">
        <f t="shared" si="68"/>
        <v>60</v>
      </c>
      <c r="V119" s="32">
        <f t="shared" si="69"/>
        <v>20</v>
      </c>
      <c r="W119" s="32">
        <f t="shared" si="70"/>
        <v>24</v>
      </c>
      <c r="X119" s="32">
        <f t="shared" si="71"/>
        <v>0</v>
      </c>
      <c r="Y119" s="32" t="str">
        <f t="shared" si="72"/>
        <v/>
      </c>
      <c r="Z119" s="32" t="str">
        <f t="shared" si="73"/>
        <v/>
      </c>
      <c r="AA119" s="32" t="str">
        <f t="shared" si="74"/>
        <v/>
      </c>
      <c r="AB119" s="32">
        <f>IF($A119="","",IF($T119="No Throw",0,IF($K119&lt;&gt;"",$K119,IF($AA119&lt;&gt;"",ROUND($AA119*$D$12*IF($C119=0,1,$G$10),0),MIN(IF($T119="Recovery/Easy Catch",Reference!$B$103,IF($T119="Long Toss",Reference!$B$106,Reference!$B$102)),MAX(Reference!$B$101,ROUND(MAX(0,$Q119-$AE119)/$AF119,0)))))))</f>
        <v>30</v>
      </c>
      <c r="AC119" s="32">
        <f t="shared" si="75"/>
        <v>0</v>
      </c>
      <c r="AD119" s="32" t="b">
        <f t="shared" si="76"/>
        <v>0</v>
      </c>
      <c r="AE119" s="32">
        <f>IF($X119=0,0,$X119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119+$Z119)/2,0),Reference!$A$17:$B$20,2,TRUE()))</f>
        <v>0</v>
      </c>
      <c r="AF119" s="32">
        <f>IF(OR($A119="",$U119="",$T119="No Throw"),0,$AM119*VLOOKUP(MAX(($V119+$W119)/2,0),Reference!$A$17:$B$20,2,TRUE()))</f>
        <v>0.6</v>
      </c>
      <c r="AG119" s="32">
        <f>IF($AC119=0,0,$AC119*INDEX(Reference!$B$61:$B$62,MATCH("Bullpen",Reference!$A$61:$A$62,0))*VLOOKUP(MAX($D$5-($D$9+$E$9)/2,0),Reference!$A$17:$B$20,2,TRUE()))</f>
        <v>0</v>
      </c>
      <c r="AH119" s="46">
        <f t="shared" si="77"/>
        <v>1.1074555058650419</v>
      </c>
      <c r="AI119" s="32">
        <f>IF($A119="",NA(),Reference!$A$25)</f>
        <v>0.8</v>
      </c>
      <c r="AJ119" s="32">
        <f t="shared" si="78"/>
        <v>1.3</v>
      </c>
      <c r="AK119" s="56">
        <f>IF(OR($A119="",N($C119)&lt;=7,$T119="No Throw",$J119="x"),0,INDEX(Reference!$B$108:$B$114,$N119+1))</f>
        <v>7.0000000000000007E-2</v>
      </c>
      <c r="AL119" s="32">
        <f t="shared" si="79"/>
        <v>1</v>
      </c>
      <c r="AM119" s="32">
        <f>IF($U119="",0,IF($AL119&gt;1,((IF(1&lt;=$AL119,($AL119-1+3)*(INDEX(Reference!$B$6:$B$11,MIN(5,MATCH(MAX(Reference!$A$6,MIN(Reference!$A$11,MIN($U119,90))),Reference!$A$6:$A$11,1)))+(MAX(Reference!$A$6,MIN(Reference!$A$11,MIN($U119,90)))-INDEX(Reference!$A$6:$A$11,MIN(5,MATCH(MAX(Reference!$A$6,MIN(Reference!$A$11,MIN($U119,90))),Reference!$A$6:$A$11,1))))*(INDEX(Reference!$B$6:$B$11,MIN(5,MATCH(MAX(Reference!$A$6,MIN(Reference!$A$11,MIN($U119,90))),Reference!$A$6:$A$11,1))+1)-INDEX(Reference!$B$6:$B$11,MIN(5,MATCH(MAX(Reference!$A$6,MIN(Reference!$A$11,MIN($U119,90))),Reference!$A$6:$A$11,1))))/(INDEX(Reference!$A$6:$A$11,MIN(5,MATCH(MAX(Reference!$A$6,MIN(Reference!$A$11,MIN($U119,90))),Reference!$A$6:$A$11,1))+1)-INDEX(Reference!$A$6:$A$11,MIN(5,MATCH(MAX(Reference!$A$6,MIN(Reference!$A$11,MIN($U119,90))),Reference!$A$6:$A$11,1))))),0)+IF(2&lt;=$AL119,($AL119-2+3)*(INDEX(Reference!$B$6:$B$11,MIN(5,MATCH(MAX(Reference!$A$6,MIN(Reference!$A$11,MIN($U119,120))),Reference!$A$6:$A$11,1)))+(MAX(Reference!$A$6,MIN(Reference!$A$11,MIN($U119,120)))-INDEX(Reference!$A$6:$A$11,MIN(5,MATCH(MAX(Reference!$A$6,MIN(Reference!$A$11,MIN($U119,120))),Reference!$A$6:$A$11,1))))*(INDEX(Reference!$B$6:$B$11,MIN(5,MATCH(MAX(Reference!$A$6,MIN(Reference!$A$11,MIN($U119,120))),Reference!$A$6:$A$11,1))+1)-INDEX(Reference!$B$6:$B$11,MIN(5,MATCH(MAX(Reference!$A$6,MIN(Reference!$A$11,MIN($U119,120))),Reference!$A$6:$A$11,1))))/(INDEX(Reference!$A$6:$A$11,MIN(5,MATCH(MAX(Reference!$A$6,MIN(Reference!$A$11,MIN($U119,120))),Reference!$A$6:$A$11,1))+1)-INDEX(Reference!$A$6:$A$11,MIN(5,MATCH(MAX(Reference!$A$6,MIN(Reference!$A$11,MIN($U119,120))),Reference!$A$6:$A$11,1))))),0)+IF(3&lt;=$AL119,($AL119-3+3)*(INDEX(Reference!$B$6:$B$11,MIN(5,MATCH(MAX(Reference!$A$6,MIN(Reference!$A$11,MIN($U119,150))),Reference!$A$6:$A$11,1)))+(MAX(Reference!$A$6,MIN(Reference!$A$11,MIN($U119,150)))-INDEX(Reference!$A$6:$A$11,MIN(5,MATCH(MAX(Reference!$A$6,MIN(Reference!$A$11,MIN($U119,150))),Reference!$A$6:$A$11,1))))*(INDEX(Reference!$B$6:$B$11,MIN(5,MATCH(MAX(Reference!$A$6,MIN(Reference!$A$11,MIN($U119,150))),Reference!$A$6:$A$11,1))+1)-INDEX(Reference!$B$6:$B$11,MIN(5,MATCH(MAX(Reference!$A$6,MIN(Reference!$A$11,MIN($U119,150))),Reference!$A$6:$A$11,1))))/(INDEX(Reference!$A$6:$A$11,MIN(5,MATCH(MAX(Reference!$A$6,MIN(Reference!$A$11,MIN($U119,150))),Reference!$A$6:$A$11,1))+1)-INDEX(Reference!$A$6:$A$11,MIN(5,MATCH(MAX(Reference!$A$6,MIN(Reference!$A$11,MIN($U119,150))),Reference!$A$6:$A$11,1))))),0)+IF(4&lt;=$AL119,($AL119-4+3)*(INDEX(Reference!$B$6:$B$11,MIN(5,MATCH(MAX(Reference!$A$6,MIN(Reference!$A$11,MIN($U119,180))),Reference!$A$6:$A$11,1)))+(MAX(Reference!$A$6,MIN(Reference!$A$11,MIN($U119,180)))-INDEX(Reference!$A$6:$A$11,MIN(5,MATCH(MAX(Reference!$A$6,MIN(Reference!$A$11,MIN($U119,180))),Reference!$A$6:$A$11,1))))*(INDEX(Reference!$B$6:$B$11,MIN(5,MATCH(MAX(Reference!$A$6,MIN(Reference!$A$11,MIN($U119,180))),Reference!$A$6:$A$11,1))+1)-INDEX(Reference!$B$6:$B$11,MIN(5,MATCH(MAX(Reference!$A$6,MIN(Reference!$A$11,MIN($U119,180))),Reference!$A$6:$A$11,1))))/(INDEX(Reference!$A$6:$A$11,MIN(5,MATCH(MAX(Reference!$A$6,MIN(Reference!$A$11,MIN($U119,180))),Reference!$A$6:$A$11,1))+1)-INDEX(Reference!$A$6:$A$11,MIN(5,MATCH(MAX(Reference!$A$6,MIN(Reference!$A$11,MIN($U119,180))),Reference!$A$6:$A$11,1))))),0)+IF(5&lt;=$AL119,($AL119-5+3)*(INDEX(Reference!$B$6:$B$11,MIN(5,MATCH(MAX(Reference!$A$6,MIN(Reference!$A$11,MIN($U119,210))),Reference!$A$6:$A$11,1)))+(MAX(Reference!$A$6,MIN(Reference!$A$11,MIN($U119,210)))-INDEX(Reference!$A$6:$A$11,MIN(5,MATCH(MAX(Reference!$A$6,MIN(Reference!$A$11,MIN($U119,210))),Reference!$A$6:$A$11,1))))*(INDEX(Reference!$B$6:$B$11,MIN(5,MATCH(MAX(Reference!$A$6,MIN(Reference!$A$11,MIN($U119,210))),Reference!$A$6:$A$11,1))+1)-INDEX(Reference!$B$6:$B$11,MIN(5,MATCH(MAX(Reference!$A$6,MIN(Reference!$A$11,MIN($U119,210))),Reference!$A$6:$A$11,1))))/(INDEX(Reference!$A$6:$A$11,MIN(5,MATCH(MAX(Reference!$A$6,MIN(Reference!$A$11,MIN($U119,210))),Reference!$A$6:$A$11,1))+1)-INDEX(Reference!$A$6:$A$11,MIN(5,MATCH(MAX(Reference!$A$6,MIN(Reference!$A$11,MIN($U119,210))),Reference!$A$6:$A$11,1))))),0)+IF(6&lt;=$AL119,($AL119-6+3)*(INDEX(Reference!$B$6:$B$11,MIN(5,MATCH(MAX(Reference!$A$6,MIN(Reference!$A$11,MIN($U119,240))),Reference!$A$6:$A$11,1)))+(MAX(Reference!$A$6,MIN(Reference!$A$11,MIN($U119,240)))-INDEX(Reference!$A$6:$A$11,MIN(5,MATCH(MAX(Reference!$A$6,MIN(Reference!$A$11,MIN($U119,240))),Reference!$A$6:$A$11,1))))*(INDEX(Reference!$B$6:$B$11,MIN(5,MATCH(MAX(Reference!$A$6,MIN(Reference!$A$11,MIN($U119,240))),Reference!$A$6:$A$11,1))+1)-INDEX(Reference!$B$6:$B$11,MIN(5,MATCH(MAX(Reference!$A$6,MIN(Reference!$A$11,MIN($U119,240))),Reference!$A$6:$A$11,1))))/(INDEX(Reference!$A$6:$A$11,MIN(5,MATCH(MAX(Reference!$A$6,MIN(Reference!$A$11,MIN($U119,240))),Reference!$A$6:$A$11,1))+1)-INDEX(Reference!$A$6:$A$11,MIN(5,MATCH(MAX(Reference!$A$6,MIN(Reference!$A$11,MIN($U119,240))),Reference!$A$6:$A$11,1))))),0)+IF(7&lt;=$AL119,($AL119-7+3)*(INDEX(Reference!$B$6:$B$11,MIN(5,MATCH(MAX(Reference!$A$6,MIN(Reference!$A$11,MIN($U119,270))),Reference!$A$6:$A$11,1)))+(MAX(Reference!$A$6,MIN(Reference!$A$11,MIN($U119,270)))-INDEX(Reference!$A$6:$A$11,MIN(5,MATCH(MAX(Reference!$A$6,MIN(Reference!$A$11,MIN($U119,270))),Reference!$A$6:$A$11,1))))*(INDEX(Reference!$B$6:$B$11,MIN(5,MATCH(MAX(Reference!$A$6,MIN(Reference!$A$11,MIN($U119,270))),Reference!$A$6:$A$11,1))+1)-INDEX(Reference!$B$6:$B$11,MIN(5,MATCH(MAX(Reference!$A$6,MIN(Reference!$A$11,MIN($U119,270))),Reference!$A$6:$A$11,1))))/(INDEX(Reference!$A$6:$A$11,MIN(5,MATCH(MAX(Reference!$A$6,MIN(Reference!$A$11,MIN($U119,270))),Reference!$A$6:$A$11,1))+1)-INDEX(Reference!$A$6:$A$11,MIN(5,MATCH(MAX(Reference!$A$6,MIN(Reference!$A$11,MIN($U119,270))),Reference!$A$6:$A$11,1))))),0)+IF(8&lt;=$AL119,($AL119-8+3)*(INDEX(Reference!$B$6:$B$11,MIN(5,MATCH(MAX(Reference!$A$6,MIN(Reference!$A$11,MIN($U119,300))),Reference!$A$6:$A$11,1)))+(MAX(Reference!$A$6,MIN(Reference!$A$11,MIN($U119,300)))-INDEX(Reference!$A$6:$A$11,MIN(5,MATCH(MAX(Reference!$A$6,MIN(Reference!$A$11,MIN($U119,300))),Reference!$A$6:$A$11,1))))*(INDEX(Reference!$B$6:$B$11,MIN(5,MATCH(MAX(Reference!$A$6,MIN(Reference!$A$11,MIN($U119,300))),Reference!$A$6:$A$11,1))+1)-INDEX(Reference!$B$6:$B$11,MIN(5,MATCH(MAX(Reference!$A$6,MIN(Reference!$A$11,MIN($U119,300))),Reference!$A$6:$A$11,1))))/(INDEX(Reference!$A$6:$A$11,MIN(5,MATCH(MAX(Reference!$A$6,MIN(Reference!$A$11,MIN($U119,300))),Reference!$A$6:$A$11,1))+1)-INDEX(Reference!$A$6:$A$11,MIN(5,MATCH(MAX(Reference!$A$6,MIN(Reference!$A$11,MIN($U119,300))),Reference!$A$6:$A$11,1))))),0))/($AL119*($AL119+5)/2)),$AN119))</f>
        <v>1</v>
      </c>
      <c r="AN119" s="32">
        <f>IF($U119="",0,(INDEX(Reference!$B$6:$B$11,MIN(5,MATCH(MAX(Reference!$A$6,MIN(Reference!$A$11,$U119)),Reference!$A$6:$A$11,1)))+(MAX(Reference!$A$6,MIN(Reference!$A$11,$U119))-INDEX(Reference!$A$6:$A$11,MIN(5,MATCH(MAX(Reference!$A$6,MIN(Reference!$A$11,$U119)),Reference!$A$6:$A$11,1))))*(INDEX(Reference!$B$6:$B$11,MIN(5,MATCH(MAX(Reference!$A$6,MIN(Reference!$A$11,$U119)),Reference!$A$6:$A$11,1))+1)-INDEX(Reference!$B$6:$B$11,MIN(5,MATCH(MAX(Reference!$A$6,MIN(Reference!$A$11,$U119)),Reference!$A$6:$A$11,1))))/(INDEX(Reference!$A$6:$A$11,MIN(5,MATCH(MAX(Reference!$A$6,MIN(Reference!$A$11,$U119)),Reference!$A$6:$A$11,1))+1)-INDEX(Reference!$A$6:$A$11,MIN(5,MATCH(MAX(Reference!$A$6,MIN(Reference!$A$11,$U119)),Reference!$A$6:$A$11,1))))))</f>
        <v>1</v>
      </c>
      <c r="AO119" s="37"/>
      <c r="AP119" s="37"/>
      <c r="AQ119" s="37"/>
    </row>
    <row r="120" spans="1:43" x14ac:dyDescent="0.3">
      <c r="A120" s="48">
        <f t="shared" si="55"/>
        <v>46384</v>
      </c>
      <c r="B120" s="32" t="str">
        <f t="shared" si="56"/>
        <v>Mon</v>
      </c>
      <c r="C120" s="32">
        <f t="shared" si="57"/>
        <v>7</v>
      </c>
      <c r="D120" s="32" t="str">
        <f t="shared" si="58"/>
        <v>Taper</v>
      </c>
      <c r="E120" s="32" t="str">
        <f t="shared" si="59"/>
        <v>Low</v>
      </c>
      <c r="F120" s="32" t="str">
        <f t="shared" si="60"/>
        <v>Recovery/Easy Catch</v>
      </c>
      <c r="G120" s="47" t="str">
        <f t="shared" si="61"/>
        <v>75 ft × 30 @ 69–73 mph</v>
      </c>
      <c r="H120" s="30">
        <f t="shared" si="62"/>
        <v>20.7</v>
      </c>
      <c r="I120" s="46">
        <f>IF($A120="","",IF(AND($L120&lt;27,$K$12=0),"Building",IFERROR(((SUM($H$114:$H120)+$K$12*IF($L120&lt;6,SUMIFS('Throw Log'!$Q$5:$Q$300,'Throw Log'!$B$5:$B$300,$D$4,'Throw Log'!$A$5:$A$300,"&gt;="&amp;($D$6+$L120-6),'Throw Log'!$A$5:$A$300,"&lt;="&amp;($D$6-1)),0))/7)/((SUM($H$93:$H120)+$K$12*IF($L120&lt;27,SUMIFS('Throw Log'!$Q$5:$Q$300,'Throw Log'!$B$5:$B$300,$D$4,'Throw Log'!$A$5:$A$300,"&gt;="&amp;($D$6+$L120-27),'Throw Log'!$A$5:$A$300,"&lt;="&amp;($D$6-1)),0))/28),"")))</f>
        <v>1.0810943724079143</v>
      </c>
      <c r="J120" s="37"/>
      <c r="K120" s="37"/>
      <c r="L120" s="32">
        <v>77</v>
      </c>
      <c r="M120" s="32">
        <f t="shared" si="63"/>
        <v>12</v>
      </c>
      <c r="N120" s="32">
        <f t="shared" si="64"/>
        <v>0</v>
      </c>
      <c r="O120" s="32">
        <f t="shared" si="65"/>
        <v>1</v>
      </c>
      <c r="P120" s="32" t="str">
        <f>IF(OR($A120="",N($C120)&lt;=7),"",$G$6*$G$9^($M120-1)*IF(AND(MOD($M120,Reference!$B$99)=0,$M120&lt;=$G$5-2),Reference!$B$100,1))</f>
        <v/>
      </c>
      <c r="Q120" s="32" t="str">
        <f>IF($P120="","",IF(SUM($AK$120:$AK$126)=0,0,$P120*INDEX(Reference!$B$108:$B$114,$N120+1)/SUM($AK$120:$AK$126)))</f>
        <v/>
      </c>
      <c r="R120" s="32">
        <f t="shared" si="66"/>
        <v>180</v>
      </c>
      <c r="S120" s="32">
        <f t="shared" si="67"/>
        <v>150</v>
      </c>
      <c r="T120" s="32" t="str">
        <f>IF($A120="","",IF($C120=0,"Bullpen",IF(OR($C120=7,$C120=1,$C120=5),"Recovery/Easy Catch",IF($C120=6,"Compression/Pulldowns",IF(OR($C120=4,$C120=2),"Long Toss",IF($C120=3,"No Throw",IF($N120=2,"No Throw",IF($N120=6,IF($O120&lt;Reference!$B$104,"No Throw","Recovery/Easy Catch"),IF(OR($N120=0,$N120=4),"Recovery/Easy Catch",IF($N120=1,IF($R120&gt;75,"Long Toss","Recovery/Easy Catch"),IF($N120=3,IF($O120&lt;0.5,IF($S120&gt;75,"Long Toss","Recovery/Easy Catch"),"Compression/Pulldowns"),IF($S120&gt;75,"Long Toss","Recovery/Easy Catch"))))))))))))</f>
        <v>Recovery/Easy Catch</v>
      </c>
      <c r="U120" s="32">
        <f t="shared" si="68"/>
        <v>75</v>
      </c>
      <c r="V120" s="32">
        <f t="shared" si="69"/>
        <v>18</v>
      </c>
      <c r="W120" s="32">
        <f t="shared" si="70"/>
        <v>22</v>
      </c>
      <c r="X120" s="32">
        <f t="shared" si="71"/>
        <v>0</v>
      </c>
      <c r="Y120" s="32" t="str">
        <f t="shared" si="72"/>
        <v/>
      </c>
      <c r="Z120" s="32" t="str">
        <f t="shared" si="73"/>
        <v/>
      </c>
      <c r="AA120" s="32">
        <f t="shared" si="74"/>
        <v>30</v>
      </c>
      <c r="AB120" s="32">
        <f>IF($A120="","",IF($T120="No Throw",0,IF($K120&lt;&gt;"",$K120,IF($AA120&lt;&gt;"",ROUND($AA120*$D$12*IF($C120=0,1,$G$10),0),MIN(IF($T120="Recovery/Easy Catch",Reference!$B$103,IF($T120="Long Toss",Reference!$B$106,Reference!$B$102)),MAX(Reference!$B$101,ROUND(MAX(0,$Q120-$AE120)/$AF120,0)))))))</f>
        <v>30</v>
      </c>
      <c r="AC120" s="32">
        <f t="shared" si="75"/>
        <v>0</v>
      </c>
      <c r="AD120" s="32" t="b">
        <f t="shared" si="76"/>
        <v>0</v>
      </c>
      <c r="AE120" s="32">
        <f>IF($X120=0,0,$X120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120+$Z120)/2,0),Reference!$A$17:$B$20,2,TRUE()))</f>
        <v>0</v>
      </c>
      <c r="AF120" s="32">
        <f>IF(OR($A120="",$U120="",$T120="No Throw"),0,$AM120*VLOOKUP(MAX(($V120+$W120)/2,0),Reference!$A$17:$B$20,2,TRUE()))</f>
        <v>0.69</v>
      </c>
      <c r="AG120" s="32">
        <f>IF($AC120=0,0,$AC120*INDEX(Reference!$B$61:$B$62,MATCH("Bullpen",Reference!$A$61:$A$62,0))*VLOOKUP(MAX($D$5-($D$9+$E$9)/2,0),Reference!$A$17:$B$20,2,TRUE()))</f>
        <v>0</v>
      </c>
      <c r="AH120" s="46">
        <f t="shared" si="77"/>
        <v>1.0810943724079143</v>
      </c>
      <c r="AI120" s="32">
        <f>IF($A120="",NA(),Reference!$A$25)</f>
        <v>0.8</v>
      </c>
      <c r="AJ120" s="32">
        <f t="shared" si="78"/>
        <v>1.3</v>
      </c>
      <c r="AK120" s="32">
        <f>IF(OR($A120="",N($C120)&lt;=7,$T120="No Throw",$J120="x"),0,INDEX(Reference!$B$108:$B$114,$N120+1))</f>
        <v>0</v>
      </c>
      <c r="AL120" s="32">
        <f t="shared" si="79"/>
        <v>1</v>
      </c>
      <c r="AM120" s="32">
        <f>IF($U120="",0,IF($AL120&gt;1,((IF(1&lt;=$AL120,($AL120-1+3)*(INDEX(Reference!$B$6:$B$11,MIN(5,MATCH(MAX(Reference!$A$6,MIN(Reference!$A$11,MIN($U120,90))),Reference!$A$6:$A$11,1)))+(MAX(Reference!$A$6,MIN(Reference!$A$11,MIN($U120,90)))-INDEX(Reference!$A$6:$A$11,MIN(5,MATCH(MAX(Reference!$A$6,MIN(Reference!$A$11,MIN($U120,90))),Reference!$A$6:$A$11,1))))*(INDEX(Reference!$B$6:$B$11,MIN(5,MATCH(MAX(Reference!$A$6,MIN(Reference!$A$11,MIN($U120,90))),Reference!$A$6:$A$11,1))+1)-INDEX(Reference!$B$6:$B$11,MIN(5,MATCH(MAX(Reference!$A$6,MIN(Reference!$A$11,MIN($U120,90))),Reference!$A$6:$A$11,1))))/(INDEX(Reference!$A$6:$A$11,MIN(5,MATCH(MAX(Reference!$A$6,MIN(Reference!$A$11,MIN($U120,90))),Reference!$A$6:$A$11,1))+1)-INDEX(Reference!$A$6:$A$11,MIN(5,MATCH(MAX(Reference!$A$6,MIN(Reference!$A$11,MIN($U120,90))),Reference!$A$6:$A$11,1))))),0)+IF(2&lt;=$AL120,($AL120-2+3)*(INDEX(Reference!$B$6:$B$11,MIN(5,MATCH(MAX(Reference!$A$6,MIN(Reference!$A$11,MIN($U120,120))),Reference!$A$6:$A$11,1)))+(MAX(Reference!$A$6,MIN(Reference!$A$11,MIN($U120,120)))-INDEX(Reference!$A$6:$A$11,MIN(5,MATCH(MAX(Reference!$A$6,MIN(Reference!$A$11,MIN($U120,120))),Reference!$A$6:$A$11,1))))*(INDEX(Reference!$B$6:$B$11,MIN(5,MATCH(MAX(Reference!$A$6,MIN(Reference!$A$11,MIN($U120,120))),Reference!$A$6:$A$11,1))+1)-INDEX(Reference!$B$6:$B$11,MIN(5,MATCH(MAX(Reference!$A$6,MIN(Reference!$A$11,MIN($U120,120))),Reference!$A$6:$A$11,1))))/(INDEX(Reference!$A$6:$A$11,MIN(5,MATCH(MAX(Reference!$A$6,MIN(Reference!$A$11,MIN($U120,120))),Reference!$A$6:$A$11,1))+1)-INDEX(Reference!$A$6:$A$11,MIN(5,MATCH(MAX(Reference!$A$6,MIN(Reference!$A$11,MIN($U120,120))),Reference!$A$6:$A$11,1))))),0)+IF(3&lt;=$AL120,($AL120-3+3)*(INDEX(Reference!$B$6:$B$11,MIN(5,MATCH(MAX(Reference!$A$6,MIN(Reference!$A$11,MIN($U120,150))),Reference!$A$6:$A$11,1)))+(MAX(Reference!$A$6,MIN(Reference!$A$11,MIN($U120,150)))-INDEX(Reference!$A$6:$A$11,MIN(5,MATCH(MAX(Reference!$A$6,MIN(Reference!$A$11,MIN($U120,150))),Reference!$A$6:$A$11,1))))*(INDEX(Reference!$B$6:$B$11,MIN(5,MATCH(MAX(Reference!$A$6,MIN(Reference!$A$11,MIN($U120,150))),Reference!$A$6:$A$11,1))+1)-INDEX(Reference!$B$6:$B$11,MIN(5,MATCH(MAX(Reference!$A$6,MIN(Reference!$A$11,MIN($U120,150))),Reference!$A$6:$A$11,1))))/(INDEX(Reference!$A$6:$A$11,MIN(5,MATCH(MAX(Reference!$A$6,MIN(Reference!$A$11,MIN($U120,150))),Reference!$A$6:$A$11,1))+1)-INDEX(Reference!$A$6:$A$11,MIN(5,MATCH(MAX(Reference!$A$6,MIN(Reference!$A$11,MIN($U120,150))),Reference!$A$6:$A$11,1))))),0)+IF(4&lt;=$AL120,($AL120-4+3)*(INDEX(Reference!$B$6:$B$11,MIN(5,MATCH(MAX(Reference!$A$6,MIN(Reference!$A$11,MIN($U120,180))),Reference!$A$6:$A$11,1)))+(MAX(Reference!$A$6,MIN(Reference!$A$11,MIN($U120,180)))-INDEX(Reference!$A$6:$A$11,MIN(5,MATCH(MAX(Reference!$A$6,MIN(Reference!$A$11,MIN($U120,180))),Reference!$A$6:$A$11,1))))*(INDEX(Reference!$B$6:$B$11,MIN(5,MATCH(MAX(Reference!$A$6,MIN(Reference!$A$11,MIN($U120,180))),Reference!$A$6:$A$11,1))+1)-INDEX(Reference!$B$6:$B$11,MIN(5,MATCH(MAX(Reference!$A$6,MIN(Reference!$A$11,MIN($U120,180))),Reference!$A$6:$A$11,1))))/(INDEX(Reference!$A$6:$A$11,MIN(5,MATCH(MAX(Reference!$A$6,MIN(Reference!$A$11,MIN($U120,180))),Reference!$A$6:$A$11,1))+1)-INDEX(Reference!$A$6:$A$11,MIN(5,MATCH(MAX(Reference!$A$6,MIN(Reference!$A$11,MIN($U120,180))),Reference!$A$6:$A$11,1))))),0)+IF(5&lt;=$AL120,($AL120-5+3)*(INDEX(Reference!$B$6:$B$11,MIN(5,MATCH(MAX(Reference!$A$6,MIN(Reference!$A$11,MIN($U120,210))),Reference!$A$6:$A$11,1)))+(MAX(Reference!$A$6,MIN(Reference!$A$11,MIN($U120,210)))-INDEX(Reference!$A$6:$A$11,MIN(5,MATCH(MAX(Reference!$A$6,MIN(Reference!$A$11,MIN($U120,210))),Reference!$A$6:$A$11,1))))*(INDEX(Reference!$B$6:$B$11,MIN(5,MATCH(MAX(Reference!$A$6,MIN(Reference!$A$11,MIN($U120,210))),Reference!$A$6:$A$11,1))+1)-INDEX(Reference!$B$6:$B$11,MIN(5,MATCH(MAX(Reference!$A$6,MIN(Reference!$A$11,MIN($U120,210))),Reference!$A$6:$A$11,1))))/(INDEX(Reference!$A$6:$A$11,MIN(5,MATCH(MAX(Reference!$A$6,MIN(Reference!$A$11,MIN($U120,210))),Reference!$A$6:$A$11,1))+1)-INDEX(Reference!$A$6:$A$11,MIN(5,MATCH(MAX(Reference!$A$6,MIN(Reference!$A$11,MIN($U120,210))),Reference!$A$6:$A$11,1))))),0)+IF(6&lt;=$AL120,($AL120-6+3)*(INDEX(Reference!$B$6:$B$11,MIN(5,MATCH(MAX(Reference!$A$6,MIN(Reference!$A$11,MIN($U120,240))),Reference!$A$6:$A$11,1)))+(MAX(Reference!$A$6,MIN(Reference!$A$11,MIN($U120,240)))-INDEX(Reference!$A$6:$A$11,MIN(5,MATCH(MAX(Reference!$A$6,MIN(Reference!$A$11,MIN($U120,240))),Reference!$A$6:$A$11,1))))*(INDEX(Reference!$B$6:$B$11,MIN(5,MATCH(MAX(Reference!$A$6,MIN(Reference!$A$11,MIN($U120,240))),Reference!$A$6:$A$11,1))+1)-INDEX(Reference!$B$6:$B$11,MIN(5,MATCH(MAX(Reference!$A$6,MIN(Reference!$A$11,MIN($U120,240))),Reference!$A$6:$A$11,1))))/(INDEX(Reference!$A$6:$A$11,MIN(5,MATCH(MAX(Reference!$A$6,MIN(Reference!$A$11,MIN($U120,240))),Reference!$A$6:$A$11,1))+1)-INDEX(Reference!$A$6:$A$11,MIN(5,MATCH(MAX(Reference!$A$6,MIN(Reference!$A$11,MIN($U120,240))),Reference!$A$6:$A$11,1))))),0)+IF(7&lt;=$AL120,($AL120-7+3)*(INDEX(Reference!$B$6:$B$11,MIN(5,MATCH(MAX(Reference!$A$6,MIN(Reference!$A$11,MIN($U120,270))),Reference!$A$6:$A$11,1)))+(MAX(Reference!$A$6,MIN(Reference!$A$11,MIN($U120,270)))-INDEX(Reference!$A$6:$A$11,MIN(5,MATCH(MAX(Reference!$A$6,MIN(Reference!$A$11,MIN($U120,270))),Reference!$A$6:$A$11,1))))*(INDEX(Reference!$B$6:$B$11,MIN(5,MATCH(MAX(Reference!$A$6,MIN(Reference!$A$11,MIN($U120,270))),Reference!$A$6:$A$11,1))+1)-INDEX(Reference!$B$6:$B$11,MIN(5,MATCH(MAX(Reference!$A$6,MIN(Reference!$A$11,MIN($U120,270))),Reference!$A$6:$A$11,1))))/(INDEX(Reference!$A$6:$A$11,MIN(5,MATCH(MAX(Reference!$A$6,MIN(Reference!$A$11,MIN($U120,270))),Reference!$A$6:$A$11,1))+1)-INDEX(Reference!$A$6:$A$11,MIN(5,MATCH(MAX(Reference!$A$6,MIN(Reference!$A$11,MIN($U120,270))),Reference!$A$6:$A$11,1))))),0)+IF(8&lt;=$AL120,($AL120-8+3)*(INDEX(Reference!$B$6:$B$11,MIN(5,MATCH(MAX(Reference!$A$6,MIN(Reference!$A$11,MIN($U120,300))),Reference!$A$6:$A$11,1)))+(MAX(Reference!$A$6,MIN(Reference!$A$11,MIN($U120,300)))-INDEX(Reference!$A$6:$A$11,MIN(5,MATCH(MAX(Reference!$A$6,MIN(Reference!$A$11,MIN($U120,300))),Reference!$A$6:$A$11,1))))*(INDEX(Reference!$B$6:$B$11,MIN(5,MATCH(MAX(Reference!$A$6,MIN(Reference!$A$11,MIN($U120,300))),Reference!$A$6:$A$11,1))+1)-INDEX(Reference!$B$6:$B$11,MIN(5,MATCH(MAX(Reference!$A$6,MIN(Reference!$A$11,MIN($U120,300))),Reference!$A$6:$A$11,1))))/(INDEX(Reference!$A$6:$A$11,MIN(5,MATCH(MAX(Reference!$A$6,MIN(Reference!$A$11,MIN($U120,300))),Reference!$A$6:$A$11,1))+1)-INDEX(Reference!$A$6:$A$11,MIN(5,MATCH(MAX(Reference!$A$6,MIN(Reference!$A$11,MIN($U120,300))),Reference!$A$6:$A$11,1))))),0))/($AL120*($AL120+5)/2)),$AN120))</f>
        <v>1.1499999999999999</v>
      </c>
      <c r="AN120" s="32">
        <f>IF($U120="",0,(INDEX(Reference!$B$6:$B$11,MIN(5,MATCH(MAX(Reference!$A$6,MIN(Reference!$A$11,$U120)),Reference!$A$6:$A$11,1)))+(MAX(Reference!$A$6,MIN(Reference!$A$11,$U120))-INDEX(Reference!$A$6:$A$11,MIN(5,MATCH(MAX(Reference!$A$6,MIN(Reference!$A$11,$U120)),Reference!$A$6:$A$11,1))))*(INDEX(Reference!$B$6:$B$11,MIN(5,MATCH(MAX(Reference!$A$6,MIN(Reference!$A$11,$U120)),Reference!$A$6:$A$11,1))+1)-INDEX(Reference!$B$6:$B$11,MIN(5,MATCH(MAX(Reference!$A$6,MIN(Reference!$A$11,$U120)),Reference!$A$6:$A$11,1))))/(INDEX(Reference!$A$6:$A$11,MIN(5,MATCH(MAX(Reference!$A$6,MIN(Reference!$A$11,$U120)),Reference!$A$6:$A$11,1))+1)-INDEX(Reference!$A$6:$A$11,MIN(5,MATCH(MAX(Reference!$A$6,MIN(Reference!$A$11,$U120)),Reference!$A$6:$A$11,1))))))</f>
        <v>1.1499999999999999</v>
      </c>
      <c r="AO120" s="37"/>
      <c r="AP120" s="37"/>
      <c r="AQ120" s="37"/>
    </row>
    <row r="121" spans="1:43" x14ac:dyDescent="0.3">
      <c r="A121" s="48">
        <f t="shared" si="55"/>
        <v>46385</v>
      </c>
      <c r="B121" s="32" t="str">
        <f t="shared" si="56"/>
        <v>Tue</v>
      </c>
      <c r="C121" s="32">
        <f t="shared" si="57"/>
        <v>6</v>
      </c>
      <c r="D121" s="32" t="str">
        <f t="shared" si="58"/>
        <v>Taper</v>
      </c>
      <c r="E121" s="32" t="str">
        <f t="shared" si="59"/>
        <v>High Non-Bullpen</v>
      </c>
      <c r="F121" s="32" t="str">
        <f t="shared" si="60"/>
        <v>Compression/Pulldowns</v>
      </c>
      <c r="G121" s="47" t="str">
        <f t="shared" si="61"/>
        <v>90 ft × 25 @ 82–84 mph + flat ground at 60 ft × 25 @ 84–86 mph</v>
      </c>
      <c r="H121" s="30">
        <f t="shared" si="62"/>
        <v>70</v>
      </c>
      <c r="I121" s="46">
        <f>IF($A121="","",IF(AND($L121&lt;27,$K$12=0),"Building",IFERROR(((SUM($H$115:$H121)+$K$12*IF($L121&lt;6,SUMIFS('Throw Log'!$Q$5:$Q$300,'Throw Log'!$B$5:$B$300,$D$4,'Throw Log'!$A$5:$A$300,"&gt;="&amp;($D$6+$L121-6),'Throw Log'!$A$5:$A$300,"&lt;="&amp;($D$6-1)),0))/7)/((SUM($H$94:$H121)+$K$12*IF($L121&lt;27,SUMIFS('Throw Log'!$Q$5:$Q$300,'Throw Log'!$B$5:$B$300,$D$4,'Throw Log'!$A$5:$A$300,"&gt;="&amp;($D$6+$L121-27),'Throw Log'!$A$5:$A$300,"&lt;="&amp;($D$6-1)),0))/28),"")))</f>
        <v>1.1458070020222446</v>
      </c>
      <c r="J121" s="37"/>
      <c r="K121" s="37"/>
      <c r="L121" s="32">
        <v>78</v>
      </c>
      <c r="M121" s="32">
        <f t="shared" si="63"/>
        <v>12</v>
      </c>
      <c r="N121" s="32">
        <f t="shared" si="64"/>
        <v>1</v>
      </c>
      <c r="O121" s="32">
        <f t="shared" si="65"/>
        <v>1</v>
      </c>
      <c r="P121" s="32" t="str">
        <f>IF(OR($A121="",N($C121)&lt;=7),"",$G$6*$G$9^($M121-1)*IF(AND(MOD($M121,Reference!$B$99)=0,$M121&lt;=$G$5-2),Reference!$B$100,1))</f>
        <v/>
      </c>
      <c r="Q121" s="32" t="str">
        <f>IF($P121="","",IF(SUM($AK$120:$AK$126)=0,0,$P121*INDEX(Reference!$B$108:$B$114,$N121+1)/SUM($AK$120:$AK$126)))</f>
        <v/>
      </c>
      <c r="R121" s="32">
        <f t="shared" si="66"/>
        <v>180</v>
      </c>
      <c r="S121" s="32">
        <f t="shared" si="67"/>
        <v>150</v>
      </c>
      <c r="T121" s="32" t="str">
        <f>IF($A121="","",IF($C121=0,"Bullpen",IF(OR($C121=7,$C121=1,$C121=5),"Recovery/Easy Catch",IF($C121=6,"Compression/Pulldowns",IF(OR($C121=4,$C121=2),"Long Toss",IF($C121=3,"No Throw",IF($N121=2,"No Throw",IF($N121=6,IF($O121&lt;Reference!$B$104,"No Throw","Recovery/Easy Catch"),IF(OR($N121=0,$N121=4),"Recovery/Easy Catch",IF($N121=1,IF($R121&gt;75,"Long Toss","Recovery/Easy Catch"),IF($N121=3,IF($O121&lt;0.5,IF($S121&gt;75,"Long Toss","Recovery/Easy Catch"),"Compression/Pulldowns"),IF($S121&gt;75,"Long Toss","Recovery/Easy Catch"))))))))))))</f>
        <v>Compression/Pulldowns</v>
      </c>
      <c r="U121" s="32">
        <f t="shared" si="68"/>
        <v>90</v>
      </c>
      <c r="V121" s="32">
        <f t="shared" si="69"/>
        <v>7</v>
      </c>
      <c r="W121" s="32">
        <f t="shared" si="70"/>
        <v>9</v>
      </c>
      <c r="X121" s="32">
        <f t="shared" si="71"/>
        <v>25</v>
      </c>
      <c r="Y121" s="32">
        <f t="shared" si="72"/>
        <v>5</v>
      </c>
      <c r="Z121" s="32">
        <f t="shared" si="73"/>
        <v>7</v>
      </c>
      <c r="AA121" s="32">
        <f t="shared" si="74"/>
        <v>25</v>
      </c>
      <c r="AB121" s="32">
        <f>IF($A121="","",IF($T121="No Throw",0,IF($K121&lt;&gt;"",$K121,IF($AA121&lt;&gt;"",ROUND($AA121*$D$12*IF($C121=0,1,$G$10),0),MIN(IF($T121="Recovery/Easy Catch",Reference!$B$103,IF($T121="Long Toss",Reference!$B$106,Reference!$B$102)),MAX(Reference!$B$101,ROUND(MAX(0,$Q121-$AE121)/$AF121,0)))))))</f>
        <v>25</v>
      </c>
      <c r="AC121" s="32">
        <f t="shared" si="75"/>
        <v>0</v>
      </c>
      <c r="AD121" s="32" t="b">
        <f t="shared" si="76"/>
        <v>0</v>
      </c>
      <c r="AE121" s="32">
        <f>IF($X121=0,0,$X121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121+$Z121)/2,0),Reference!$A$17:$B$20,2,TRUE()))</f>
        <v>37.5</v>
      </c>
      <c r="AF121" s="32">
        <f>IF(OR($A121="",$U121="",$T121="No Throw"),0,$AM121*VLOOKUP(MAX(($V121+$W121)/2,0),Reference!$A$17:$B$20,2,TRUE()))</f>
        <v>1.3</v>
      </c>
      <c r="AG121" s="32">
        <f>IF($AC121=0,0,$AC121*INDEX(Reference!$B$61:$B$62,MATCH("Bullpen",Reference!$A$61:$A$62,0))*VLOOKUP(MAX($D$5-($D$9+$E$9)/2,0),Reference!$A$17:$B$20,2,TRUE()))</f>
        <v>0</v>
      </c>
      <c r="AH121" s="46">
        <f t="shared" si="77"/>
        <v>1.1458070020222446</v>
      </c>
      <c r="AI121" s="32">
        <f>IF($A121="",NA(),Reference!$A$25)</f>
        <v>0.8</v>
      </c>
      <c r="AJ121" s="32">
        <f t="shared" si="78"/>
        <v>1.3</v>
      </c>
      <c r="AK121" s="32">
        <f>IF(OR($A121="",N($C121)&lt;=7,$T121="No Throw",$J121="x"),0,INDEX(Reference!$B$108:$B$114,$N121+1))</f>
        <v>0</v>
      </c>
      <c r="AL121" s="32">
        <f t="shared" si="79"/>
        <v>1</v>
      </c>
      <c r="AM121" s="32">
        <f>IF($U121="",0,IF($AL121&gt;1,((IF(1&lt;=$AL121,($AL121-1+3)*(INDEX(Reference!$B$6:$B$11,MIN(5,MATCH(MAX(Reference!$A$6,MIN(Reference!$A$11,MIN($U121,90))),Reference!$A$6:$A$11,1)))+(MAX(Reference!$A$6,MIN(Reference!$A$11,MIN($U121,90)))-INDEX(Reference!$A$6:$A$11,MIN(5,MATCH(MAX(Reference!$A$6,MIN(Reference!$A$11,MIN($U121,90))),Reference!$A$6:$A$11,1))))*(INDEX(Reference!$B$6:$B$11,MIN(5,MATCH(MAX(Reference!$A$6,MIN(Reference!$A$11,MIN($U121,90))),Reference!$A$6:$A$11,1))+1)-INDEX(Reference!$B$6:$B$11,MIN(5,MATCH(MAX(Reference!$A$6,MIN(Reference!$A$11,MIN($U121,90))),Reference!$A$6:$A$11,1))))/(INDEX(Reference!$A$6:$A$11,MIN(5,MATCH(MAX(Reference!$A$6,MIN(Reference!$A$11,MIN($U121,90))),Reference!$A$6:$A$11,1))+1)-INDEX(Reference!$A$6:$A$11,MIN(5,MATCH(MAX(Reference!$A$6,MIN(Reference!$A$11,MIN($U121,90))),Reference!$A$6:$A$11,1))))),0)+IF(2&lt;=$AL121,($AL121-2+3)*(INDEX(Reference!$B$6:$B$11,MIN(5,MATCH(MAX(Reference!$A$6,MIN(Reference!$A$11,MIN($U121,120))),Reference!$A$6:$A$11,1)))+(MAX(Reference!$A$6,MIN(Reference!$A$11,MIN($U121,120)))-INDEX(Reference!$A$6:$A$11,MIN(5,MATCH(MAX(Reference!$A$6,MIN(Reference!$A$11,MIN($U121,120))),Reference!$A$6:$A$11,1))))*(INDEX(Reference!$B$6:$B$11,MIN(5,MATCH(MAX(Reference!$A$6,MIN(Reference!$A$11,MIN($U121,120))),Reference!$A$6:$A$11,1))+1)-INDEX(Reference!$B$6:$B$11,MIN(5,MATCH(MAX(Reference!$A$6,MIN(Reference!$A$11,MIN($U121,120))),Reference!$A$6:$A$11,1))))/(INDEX(Reference!$A$6:$A$11,MIN(5,MATCH(MAX(Reference!$A$6,MIN(Reference!$A$11,MIN($U121,120))),Reference!$A$6:$A$11,1))+1)-INDEX(Reference!$A$6:$A$11,MIN(5,MATCH(MAX(Reference!$A$6,MIN(Reference!$A$11,MIN($U121,120))),Reference!$A$6:$A$11,1))))),0)+IF(3&lt;=$AL121,($AL121-3+3)*(INDEX(Reference!$B$6:$B$11,MIN(5,MATCH(MAX(Reference!$A$6,MIN(Reference!$A$11,MIN($U121,150))),Reference!$A$6:$A$11,1)))+(MAX(Reference!$A$6,MIN(Reference!$A$11,MIN($U121,150)))-INDEX(Reference!$A$6:$A$11,MIN(5,MATCH(MAX(Reference!$A$6,MIN(Reference!$A$11,MIN($U121,150))),Reference!$A$6:$A$11,1))))*(INDEX(Reference!$B$6:$B$11,MIN(5,MATCH(MAX(Reference!$A$6,MIN(Reference!$A$11,MIN($U121,150))),Reference!$A$6:$A$11,1))+1)-INDEX(Reference!$B$6:$B$11,MIN(5,MATCH(MAX(Reference!$A$6,MIN(Reference!$A$11,MIN($U121,150))),Reference!$A$6:$A$11,1))))/(INDEX(Reference!$A$6:$A$11,MIN(5,MATCH(MAX(Reference!$A$6,MIN(Reference!$A$11,MIN($U121,150))),Reference!$A$6:$A$11,1))+1)-INDEX(Reference!$A$6:$A$11,MIN(5,MATCH(MAX(Reference!$A$6,MIN(Reference!$A$11,MIN($U121,150))),Reference!$A$6:$A$11,1))))),0)+IF(4&lt;=$AL121,($AL121-4+3)*(INDEX(Reference!$B$6:$B$11,MIN(5,MATCH(MAX(Reference!$A$6,MIN(Reference!$A$11,MIN($U121,180))),Reference!$A$6:$A$11,1)))+(MAX(Reference!$A$6,MIN(Reference!$A$11,MIN($U121,180)))-INDEX(Reference!$A$6:$A$11,MIN(5,MATCH(MAX(Reference!$A$6,MIN(Reference!$A$11,MIN($U121,180))),Reference!$A$6:$A$11,1))))*(INDEX(Reference!$B$6:$B$11,MIN(5,MATCH(MAX(Reference!$A$6,MIN(Reference!$A$11,MIN($U121,180))),Reference!$A$6:$A$11,1))+1)-INDEX(Reference!$B$6:$B$11,MIN(5,MATCH(MAX(Reference!$A$6,MIN(Reference!$A$11,MIN($U121,180))),Reference!$A$6:$A$11,1))))/(INDEX(Reference!$A$6:$A$11,MIN(5,MATCH(MAX(Reference!$A$6,MIN(Reference!$A$11,MIN($U121,180))),Reference!$A$6:$A$11,1))+1)-INDEX(Reference!$A$6:$A$11,MIN(5,MATCH(MAX(Reference!$A$6,MIN(Reference!$A$11,MIN($U121,180))),Reference!$A$6:$A$11,1))))),0)+IF(5&lt;=$AL121,($AL121-5+3)*(INDEX(Reference!$B$6:$B$11,MIN(5,MATCH(MAX(Reference!$A$6,MIN(Reference!$A$11,MIN($U121,210))),Reference!$A$6:$A$11,1)))+(MAX(Reference!$A$6,MIN(Reference!$A$11,MIN($U121,210)))-INDEX(Reference!$A$6:$A$11,MIN(5,MATCH(MAX(Reference!$A$6,MIN(Reference!$A$11,MIN($U121,210))),Reference!$A$6:$A$11,1))))*(INDEX(Reference!$B$6:$B$11,MIN(5,MATCH(MAX(Reference!$A$6,MIN(Reference!$A$11,MIN($U121,210))),Reference!$A$6:$A$11,1))+1)-INDEX(Reference!$B$6:$B$11,MIN(5,MATCH(MAX(Reference!$A$6,MIN(Reference!$A$11,MIN($U121,210))),Reference!$A$6:$A$11,1))))/(INDEX(Reference!$A$6:$A$11,MIN(5,MATCH(MAX(Reference!$A$6,MIN(Reference!$A$11,MIN($U121,210))),Reference!$A$6:$A$11,1))+1)-INDEX(Reference!$A$6:$A$11,MIN(5,MATCH(MAX(Reference!$A$6,MIN(Reference!$A$11,MIN($U121,210))),Reference!$A$6:$A$11,1))))),0)+IF(6&lt;=$AL121,($AL121-6+3)*(INDEX(Reference!$B$6:$B$11,MIN(5,MATCH(MAX(Reference!$A$6,MIN(Reference!$A$11,MIN($U121,240))),Reference!$A$6:$A$11,1)))+(MAX(Reference!$A$6,MIN(Reference!$A$11,MIN($U121,240)))-INDEX(Reference!$A$6:$A$11,MIN(5,MATCH(MAX(Reference!$A$6,MIN(Reference!$A$11,MIN($U121,240))),Reference!$A$6:$A$11,1))))*(INDEX(Reference!$B$6:$B$11,MIN(5,MATCH(MAX(Reference!$A$6,MIN(Reference!$A$11,MIN($U121,240))),Reference!$A$6:$A$11,1))+1)-INDEX(Reference!$B$6:$B$11,MIN(5,MATCH(MAX(Reference!$A$6,MIN(Reference!$A$11,MIN($U121,240))),Reference!$A$6:$A$11,1))))/(INDEX(Reference!$A$6:$A$11,MIN(5,MATCH(MAX(Reference!$A$6,MIN(Reference!$A$11,MIN($U121,240))),Reference!$A$6:$A$11,1))+1)-INDEX(Reference!$A$6:$A$11,MIN(5,MATCH(MAX(Reference!$A$6,MIN(Reference!$A$11,MIN($U121,240))),Reference!$A$6:$A$11,1))))),0)+IF(7&lt;=$AL121,($AL121-7+3)*(INDEX(Reference!$B$6:$B$11,MIN(5,MATCH(MAX(Reference!$A$6,MIN(Reference!$A$11,MIN($U121,270))),Reference!$A$6:$A$11,1)))+(MAX(Reference!$A$6,MIN(Reference!$A$11,MIN($U121,270)))-INDEX(Reference!$A$6:$A$11,MIN(5,MATCH(MAX(Reference!$A$6,MIN(Reference!$A$11,MIN($U121,270))),Reference!$A$6:$A$11,1))))*(INDEX(Reference!$B$6:$B$11,MIN(5,MATCH(MAX(Reference!$A$6,MIN(Reference!$A$11,MIN($U121,270))),Reference!$A$6:$A$11,1))+1)-INDEX(Reference!$B$6:$B$11,MIN(5,MATCH(MAX(Reference!$A$6,MIN(Reference!$A$11,MIN($U121,270))),Reference!$A$6:$A$11,1))))/(INDEX(Reference!$A$6:$A$11,MIN(5,MATCH(MAX(Reference!$A$6,MIN(Reference!$A$11,MIN($U121,270))),Reference!$A$6:$A$11,1))+1)-INDEX(Reference!$A$6:$A$11,MIN(5,MATCH(MAX(Reference!$A$6,MIN(Reference!$A$11,MIN($U121,270))),Reference!$A$6:$A$11,1))))),0)+IF(8&lt;=$AL121,($AL121-8+3)*(INDEX(Reference!$B$6:$B$11,MIN(5,MATCH(MAX(Reference!$A$6,MIN(Reference!$A$11,MIN($U121,300))),Reference!$A$6:$A$11,1)))+(MAX(Reference!$A$6,MIN(Reference!$A$11,MIN($U121,300)))-INDEX(Reference!$A$6:$A$11,MIN(5,MATCH(MAX(Reference!$A$6,MIN(Reference!$A$11,MIN($U121,300))),Reference!$A$6:$A$11,1))))*(INDEX(Reference!$B$6:$B$11,MIN(5,MATCH(MAX(Reference!$A$6,MIN(Reference!$A$11,MIN($U121,300))),Reference!$A$6:$A$11,1))+1)-INDEX(Reference!$B$6:$B$11,MIN(5,MATCH(MAX(Reference!$A$6,MIN(Reference!$A$11,MIN($U121,300))),Reference!$A$6:$A$11,1))))/(INDEX(Reference!$A$6:$A$11,MIN(5,MATCH(MAX(Reference!$A$6,MIN(Reference!$A$11,MIN($U121,300))),Reference!$A$6:$A$11,1))+1)-INDEX(Reference!$A$6:$A$11,MIN(5,MATCH(MAX(Reference!$A$6,MIN(Reference!$A$11,MIN($U121,300))),Reference!$A$6:$A$11,1))))),0))/($AL121*($AL121+5)/2)),$AN121))</f>
        <v>1.3</v>
      </c>
      <c r="AN121" s="32">
        <f>IF($U121="",0,(INDEX(Reference!$B$6:$B$11,MIN(5,MATCH(MAX(Reference!$A$6,MIN(Reference!$A$11,$U121)),Reference!$A$6:$A$11,1)))+(MAX(Reference!$A$6,MIN(Reference!$A$11,$U121))-INDEX(Reference!$A$6:$A$11,MIN(5,MATCH(MAX(Reference!$A$6,MIN(Reference!$A$11,$U121)),Reference!$A$6:$A$11,1))))*(INDEX(Reference!$B$6:$B$11,MIN(5,MATCH(MAX(Reference!$A$6,MIN(Reference!$A$11,$U121)),Reference!$A$6:$A$11,1))+1)-INDEX(Reference!$B$6:$B$11,MIN(5,MATCH(MAX(Reference!$A$6,MIN(Reference!$A$11,$U121)),Reference!$A$6:$A$11,1))))/(INDEX(Reference!$A$6:$A$11,MIN(5,MATCH(MAX(Reference!$A$6,MIN(Reference!$A$11,$U121)),Reference!$A$6:$A$11,1))+1)-INDEX(Reference!$A$6:$A$11,MIN(5,MATCH(MAX(Reference!$A$6,MIN(Reference!$A$11,$U121)),Reference!$A$6:$A$11,1))))))</f>
        <v>1.3</v>
      </c>
      <c r="AO121" s="37"/>
      <c r="AP121" s="37"/>
      <c r="AQ121" s="37"/>
    </row>
    <row r="122" spans="1:43" x14ac:dyDescent="0.3">
      <c r="A122" s="48">
        <f t="shared" si="55"/>
        <v>46386</v>
      </c>
      <c r="B122" s="32" t="str">
        <f t="shared" si="56"/>
        <v>Wed</v>
      </c>
      <c r="C122" s="32">
        <f t="shared" si="57"/>
        <v>5</v>
      </c>
      <c r="D122" s="32" t="str">
        <f t="shared" si="58"/>
        <v>Taper</v>
      </c>
      <c r="E122" s="32" t="str">
        <f t="shared" si="59"/>
        <v>Low</v>
      </c>
      <c r="F122" s="32" t="str">
        <f t="shared" si="60"/>
        <v>Recovery/Easy Catch</v>
      </c>
      <c r="G122" s="47" t="str">
        <f t="shared" si="61"/>
        <v>60 ft × 30 @ 67–71 mph</v>
      </c>
      <c r="H122" s="30">
        <f t="shared" si="62"/>
        <v>18</v>
      </c>
      <c r="I122" s="46">
        <f>IF($A122="","",IF(AND($L122&lt;27,$K$12=0),"Building",IFERROR(((SUM($H$116:$H122)+$K$12*IF($L122&lt;6,SUMIFS('Throw Log'!$Q$5:$Q$300,'Throw Log'!$B$5:$B$300,$D$4,'Throw Log'!$A$5:$A$300,"&gt;="&amp;($D$6+$L122-6),'Throw Log'!$A$5:$A$300,"&lt;="&amp;($D$6-1)),0))/7)/((SUM($H$95:$H122)+$K$12*IF($L122&lt;27,SUMIFS('Throw Log'!$Q$5:$Q$300,'Throw Log'!$B$5:$B$300,$D$4,'Throw Log'!$A$5:$A$300,"&gt;="&amp;($D$6+$L122-27),'Throw Log'!$A$5:$A$300,"&lt;="&amp;($D$6-1)),0))/28),"")))</f>
        <v>1.2054110076416171</v>
      </c>
      <c r="J122" s="37"/>
      <c r="K122" s="37"/>
      <c r="L122" s="32">
        <v>79</v>
      </c>
      <c r="M122" s="32">
        <f t="shared" si="63"/>
        <v>12</v>
      </c>
      <c r="N122" s="32">
        <f t="shared" si="64"/>
        <v>2</v>
      </c>
      <c r="O122" s="32">
        <f t="shared" si="65"/>
        <v>1</v>
      </c>
      <c r="P122" s="32" t="str">
        <f>IF(OR($A122="",N($C122)&lt;=7),"",$G$6*$G$9^($M122-1)*IF(AND(MOD($M122,Reference!$B$99)=0,$M122&lt;=$G$5-2),Reference!$B$100,1))</f>
        <v/>
      </c>
      <c r="Q122" s="32" t="str">
        <f>IF($P122="","",IF(SUM($AK$120:$AK$126)=0,0,$P122*INDEX(Reference!$B$108:$B$114,$N122+1)/SUM($AK$120:$AK$126)))</f>
        <v/>
      </c>
      <c r="R122" s="32">
        <f t="shared" si="66"/>
        <v>180</v>
      </c>
      <c r="S122" s="32">
        <f t="shared" si="67"/>
        <v>150</v>
      </c>
      <c r="T122" s="32" t="str">
        <f>IF($A122="","",IF($C122=0,"Bullpen",IF(OR($C122=7,$C122=1,$C122=5),"Recovery/Easy Catch",IF($C122=6,"Compression/Pulldowns",IF(OR($C122=4,$C122=2),"Long Toss",IF($C122=3,"No Throw",IF($N122=2,"No Throw",IF($N122=6,IF($O122&lt;Reference!$B$104,"No Throw","Recovery/Easy Catch"),IF(OR($N122=0,$N122=4),"Recovery/Easy Catch",IF($N122=1,IF($R122&gt;75,"Long Toss","Recovery/Easy Catch"),IF($N122=3,IF($O122&lt;0.5,IF($S122&gt;75,"Long Toss","Recovery/Easy Catch"),"Compression/Pulldowns"),IF($S122&gt;75,"Long Toss","Recovery/Easy Catch"))))))))))))</f>
        <v>Recovery/Easy Catch</v>
      </c>
      <c r="U122" s="32">
        <f t="shared" si="68"/>
        <v>60</v>
      </c>
      <c r="V122" s="32">
        <f t="shared" si="69"/>
        <v>20</v>
      </c>
      <c r="W122" s="32">
        <f t="shared" si="70"/>
        <v>24</v>
      </c>
      <c r="X122" s="32">
        <f t="shared" si="71"/>
        <v>0</v>
      </c>
      <c r="Y122" s="32" t="str">
        <f t="shared" si="72"/>
        <v/>
      </c>
      <c r="Z122" s="32" t="str">
        <f t="shared" si="73"/>
        <v/>
      </c>
      <c r="AA122" s="32">
        <f t="shared" si="74"/>
        <v>30</v>
      </c>
      <c r="AB122" s="32">
        <f>IF($A122="","",IF($T122="No Throw",0,IF($K122&lt;&gt;"",$K122,IF($AA122&lt;&gt;"",ROUND($AA122*$D$12*IF($C122=0,1,$G$10),0),MIN(IF($T122="Recovery/Easy Catch",Reference!$B$103,IF($T122="Long Toss",Reference!$B$106,Reference!$B$102)),MAX(Reference!$B$101,ROUND(MAX(0,$Q122-$AE122)/$AF122,0)))))))</f>
        <v>30</v>
      </c>
      <c r="AC122" s="32">
        <f t="shared" si="75"/>
        <v>0</v>
      </c>
      <c r="AD122" s="32" t="b">
        <f t="shared" si="76"/>
        <v>0</v>
      </c>
      <c r="AE122" s="32">
        <f>IF($X122=0,0,$X122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122+$Z122)/2,0),Reference!$A$17:$B$20,2,TRUE()))</f>
        <v>0</v>
      </c>
      <c r="AF122" s="32">
        <f>IF(OR($A122="",$U122="",$T122="No Throw"),0,$AM122*VLOOKUP(MAX(($V122+$W122)/2,0),Reference!$A$17:$B$20,2,TRUE()))</f>
        <v>0.6</v>
      </c>
      <c r="AG122" s="32">
        <f>IF($AC122=0,0,$AC122*INDEX(Reference!$B$61:$B$62,MATCH("Bullpen",Reference!$A$61:$A$62,0))*VLOOKUP(MAX($D$5-($D$9+$E$9)/2,0),Reference!$A$17:$B$20,2,TRUE()))</f>
        <v>0</v>
      </c>
      <c r="AH122" s="46">
        <f t="shared" si="77"/>
        <v>1.2054110076416171</v>
      </c>
      <c r="AI122" s="32">
        <f>IF($A122="",NA(),Reference!$A$25)</f>
        <v>0.8</v>
      </c>
      <c r="AJ122" s="32">
        <f t="shared" si="78"/>
        <v>1.3</v>
      </c>
      <c r="AK122" s="32">
        <f>IF(OR($A122="",N($C122)&lt;=7,$T122="No Throw",$J122="x"),0,INDEX(Reference!$B$108:$B$114,$N122+1))</f>
        <v>0</v>
      </c>
      <c r="AL122" s="32">
        <f t="shared" si="79"/>
        <v>1</v>
      </c>
      <c r="AM122" s="32">
        <f>IF($U122="",0,IF($AL122&gt;1,((IF(1&lt;=$AL122,($AL122-1+3)*(INDEX(Reference!$B$6:$B$11,MIN(5,MATCH(MAX(Reference!$A$6,MIN(Reference!$A$11,MIN($U122,90))),Reference!$A$6:$A$11,1)))+(MAX(Reference!$A$6,MIN(Reference!$A$11,MIN($U122,90)))-INDEX(Reference!$A$6:$A$11,MIN(5,MATCH(MAX(Reference!$A$6,MIN(Reference!$A$11,MIN($U122,90))),Reference!$A$6:$A$11,1))))*(INDEX(Reference!$B$6:$B$11,MIN(5,MATCH(MAX(Reference!$A$6,MIN(Reference!$A$11,MIN($U122,90))),Reference!$A$6:$A$11,1))+1)-INDEX(Reference!$B$6:$B$11,MIN(5,MATCH(MAX(Reference!$A$6,MIN(Reference!$A$11,MIN($U122,90))),Reference!$A$6:$A$11,1))))/(INDEX(Reference!$A$6:$A$11,MIN(5,MATCH(MAX(Reference!$A$6,MIN(Reference!$A$11,MIN($U122,90))),Reference!$A$6:$A$11,1))+1)-INDEX(Reference!$A$6:$A$11,MIN(5,MATCH(MAX(Reference!$A$6,MIN(Reference!$A$11,MIN($U122,90))),Reference!$A$6:$A$11,1))))),0)+IF(2&lt;=$AL122,($AL122-2+3)*(INDEX(Reference!$B$6:$B$11,MIN(5,MATCH(MAX(Reference!$A$6,MIN(Reference!$A$11,MIN($U122,120))),Reference!$A$6:$A$11,1)))+(MAX(Reference!$A$6,MIN(Reference!$A$11,MIN($U122,120)))-INDEX(Reference!$A$6:$A$11,MIN(5,MATCH(MAX(Reference!$A$6,MIN(Reference!$A$11,MIN($U122,120))),Reference!$A$6:$A$11,1))))*(INDEX(Reference!$B$6:$B$11,MIN(5,MATCH(MAX(Reference!$A$6,MIN(Reference!$A$11,MIN($U122,120))),Reference!$A$6:$A$11,1))+1)-INDEX(Reference!$B$6:$B$11,MIN(5,MATCH(MAX(Reference!$A$6,MIN(Reference!$A$11,MIN($U122,120))),Reference!$A$6:$A$11,1))))/(INDEX(Reference!$A$6:$A$11,MIN(5,MATCH(MAX(Reference!$A$6,MIN(Reference!$A$11,MIN($U122,120))),Reference!$A$6:$A$11,1))+1)-INDEX(Reference!$A$6:$A$11,MIN(5,MATCH(MAX(Reference!$A$6,MIN(Reference!$A$11,MIN($U122,120))),Reference!$A$6:$A$11,1))))),0)+IF(3&lt;=$AL122,($AL122-3+3)*(INDEX(Reference!$B$6:$B$11,MIN(5,MATCH(MAX(Reference!$A$6,MIN(Reference!$A$11,MIN($U122,150))),Reference!$A$6:$A$11,1)))+(MAX(Reference!$A$6,MIN(Reference!$A$11,MIN($U122,150)))-INDEX(Reference!$A$6:$A$11,MIN(5,MATCH(MAX(Reference!$A$6,MIN(Reference!$A$11,MIN($U122,150))),Reference!$A$6:$A$11,1))))*(INDEX(Reference!$B$6:$B$11,MIN(5,MATCH(MAX(Reference!$A$6,MIN(Reference!$A$11,MIN($U122,150))),Reference!$A$6:$A$11,1))+1)-INDEX(Reference!$B$6:$B$11,MIN(5,MATCH(MAX(Reference!$A$6,MIN(Reference!$A$11,MIN($U122,150))),Reference!$A$6:$A$11,1))))/(INDEX(Reference!$A$6:$A$11,MIN(5,MATCH(MAX(Reference!$A$6,MIN(Reference!$A$11,MIN($U122,150))),Reference!$A$6:$A$11,1))+1)-INDEX(Reference!$A$6:$A$11,MIN(5,MATCH(MAX(Reference!$A$6,MIN(Reference!$A$11,MIN($U122,150))),Reference!$A$6:$A$11,1))))),0)+IF(4&lt;=$AL122,($AL122-4+3)*(INDEX(Reference!$B$6:$B$11,MIN(5,MATCH(MAX(Reference!$A$6,MIN(Reference!$A$11,MIN($U122,180))),Reference!$A$6:$A$11,1)))+(MAX(Reference!$A$6,MIN(Reference!$A$11,MIN($U122,180)))-INDEX(Reference!$A$6:$A$11,MIN(5,MATCH(MAX(Reference!$A$6,MIN(Reference!$A$11,MIN($U122,180))),Reference!$A$6:$A$11,1))))*(INDEX(Reference!$B$6:$B$11,MIN(5,MATCH(MAX(Reference!$A$6,MIN(Reference!$A$11,MIN($U122,180))),Reference!$A$6:$A$11,1))+1)-INDEX(Reference!$B$6:$B$11,MIN(5,MATCH(MAX(Reference!$A$6,MIN(Reference!$A$11,MIN($U122,180))),Reference!$A$6:$A$11,1))))/(INDEX(Reference!$A$6:$A$11,MIN(5,MATCH(MAX(Reference!$A$6,MIN(Reference!$A$11,MIN($U122,180))),Reference!$A$6:$A$11,1))+1)-INDEX(Reference!$A$6:$A$11,MIN(5,MATCH(MAX(Reference!$A$6,MIN(Reference!$A$11,MIN($U122,180))),Reference!$A$6:$A$11,1))))),0)+IF(5&lt;=$AL122,($AL122-5+3)*(INDEX(Reference!$B$6:$B$11,MIN(5,MATCH(MAX(Reference!$A$6,MIN(Reference!$A$11,MIN($U122,210))),Reference!$A$6:$A$11,1)))+(MAX(Reference!$A$6,MIN(Reference!$A$11,MIN($U122,210)))-INDEX(Reference!$A$6:$A$11,MIN(5,MATCH(MAX(Reference!$A$6,MIN(Reference!$A$11,MIN($U122,210))),Reference!$A$6:$A$11,1))))*(INDEX(Reference!$B$6:$B$11,MIN(5,MATCH(MAX(Reference!$A$6,MIN(Reference!$A$11,MIN($U122,210))),Reference!$A$6:$A$11,1))+1)-INDEX(Reference!$B$6:$B$11,MIN(5,MATCH(MAX(Reference!$A$6,MIN(Reference!$A$11,MIN($U122,210))),Reference!$A$6:$A$11,1))))/(INDEX(Reference!$A$6:$A$11,MIN(5,MATCH(MAX(Reference!$A$6,MIN(Reference!$A$11,MIN($U122,210))),Reference!$A$6:$A$11,1))+1)-INDEX(Reference!$A$6:$A$11,MIN(5,MATCH(MAX(Reference!$A$6,MIN(Reference!$A$11,MIN($U122,210))),Reference!$A$6:$A$11,1))))),0)+IF(6&lt;=$AL122,($AL122-6+3)*(INDEX(Reference!$B$6:$B$11,MIN(5,MATCH(MAX(Reference!$A$6,MIN(Reference!$A$11,MIN($U122,240))),Reference!$A$6:$A$11,1)))+(MAX(Reference!$A$6,MIN(Reference!$A$11,MIN($U122,240)))-INDEX(Reference!$A$6:$A$11,MIN(5,MATCH(MAX(Reference!$A$6,MIN(Reference!$A$11,MIN($U122,240))),Reference!$A$6:$A$11,1))))*(INDEX(Reference!$B$6:$B$11,MIN(5,MATCH(MAX(Reference!$A$6,MIN(Reference!$A$11,MIN($U122,240))),Reference!$A$6:$A$11,1))+1)-INDEX(Reference!$B$6:$B$11,MIN(5,MATCH(MAX(Reference!$A$6,MIN(Reference!$A$11,MIN($U122,240))),Reference!$A$6:$A$11,1))))/(INDEX(Reference!$A$6:$A$11,MIN(5,MATCH(MAX(Reference!$A$6,MIN(Reference!$A$11,MIN($U122,240))),Reference!$A$6:$A$11,1))+1)-INDEX(Reference!$A$6:$A$11,MIN(5,MATCH(MAX(Reference!$A$6,MIN(Reference!$A$11,MIN($U122,240))),Reference!$A$6:$A$11,1))))),0)+IF(7&lt;=$AL122,($AL122-7+3)*(INDEX(Reference!$B$6:$B$11,MIN(5,MATCH(MAX(Reference!$A$6,MIN(Reference!$A$11,MIN($U122,270))),Reference!$A$6:$A$11,1)))+(MAX(Reference!$A$6,MIN(Reference!$A$11,MIN($U122,270)))-INDEX(Reference!$A$6:$A$11,MIN(5,MATCH(MAX(Reference!$A$6,MIN(Reference!$A$11,MIN($U122,270))),Reference!$A$6:$A$11,1))))*(INDEX(Reference!$B$6:$B$11,MIN(5,MATCH(MAX(Reference!$A$6,MIN(Reference!$A$11,MIN($U122,270))),Reference!$A$6:$A$11,1))+1)-INDEX(Reference!$B$6:$B$11,MIN(5,MATCH(MAX(Reference!$A$6,MIN(Reference!$A$11,MIN($U122,270))),Reference!$A$6:$A$11,1))))/(INDEX(Reference!$A$6:$A$11,MIN(5,MATCH(MAX(Reference!$A$6,MIN(Reference!$A$11,MIN($U122,270))),Reference!$A$6:$A$11,1))+1)-INDEX(Reference!$A$6:$A$11,MIN(5,MATCH(MAX(Reference!$A$6,MIN(Reference!$A$11,MIN($U122,270))),Reference!$A$6:$A$11,1))))),0)+IF(8&lt;=$AL122,($AL122-8+3)*(INDEX(Reference!$B$6:$B$11,MIN(5,MATCH(MAX(Reference!$A$6,MIN(Reference!$A$11,MIN($U122,300))),Reference!$A$6:$A$11,1)))+(MAX(Reference!$A$6,MIN(Reference!$A$11,MIN($U122,300)))-INDEX(Reference!$A$6:$A$11,MIN(5,MATCH(MAX(Reference!$A$6,MIN(Reference!$A$11,MIN($U122,300))),Reference!$A$6:$A$11,1))))*(INDEX(Reference!$B$6:$B$11,MIN(5,MATCH(MAX(Reference!$A$6,MIN(Reference!$A$11,MIN($U122,300))),Reference!$A$6:$A$11,1))+1)-INDEX(Reference!$B$6:$B$11,MIN(5,MATCH(MAX(Reference!$A$6,MIN(Reference!$A$11,MIN($U122,300))),Reference!$A$6:$A$11,1))))/(INDEX(Reference!$A$6:$A$11,MIN(5,MATCH(MAX(Reference!$A$6,MIN(Reference!$A$11,MIN($U122,300))),Reference!$A$6:$A$11,1))+1)-INDEX(Reference!$A$6:$A$11,MIN(5,MATCH(MAX(Reference!$A$6,MIN(Reference!$A$11,MIN($U122,300))),Reference!$A$6:$A$11,1))))),0))/($AL122*($AL122+5)/2)),$AN122))</f>
        <v>1</v>
      </c>
      <c r="AN122" s="32">
        <f>IF($U122="",0,(INDEX(Reference!$B$6:$B$11,MIN(5,MATCH(MAX(Reference!$A$6,MIN(Reference!$A$11,$U122)),Reference!$A$6:$A$11,1)))+(MAX(Reference!$A$6,MIN(Reference!$A$11,$U122))-INDEX(Reference!$A$6:$A$11,MIN(5,MATCH(MAX(Reference!$A$6,MIN(Reference!$A$11,$U122)),Reference!$A$6:$A$11,1))))*(INDEX(Reference!$B$6:$B$11,MIN(5,MATCH(MAX(Reference!$A$6,MIN(Reference!$A$11,$U122)),Reference!$A$6:$A$11,1))+1)-INDEX(Reference!$B$6:$B$11,MIN(5,MATCH(MAX(Reference!$A$6,MIN(Reference!$A$11,$U122)),Reference!$A$6:$A$11,1))))/(INDEX(Reference!$A$6:$A$11,MIN(5,MATCH(MAX(Reference!$A$6,MIN(Reference!$A$11,$U122)),Reference!$A$6:$A$11,1))+1)-INDEX(Reference!$A$6:$A$11,MIN(5,MATCH(MAX(Reference!$A$6,MIN(Reference!$A$11,$U122)),Reference!$A$6:$A$11,1))))))</f>
        <v>1</v>
      </c>
      <c r="AO122" s="37"/>
      <c r="AP122" s="37"/>
      <c r="AQ122" s="37"/>
    </row>
    <row r="123" spans="1:43" ht="26.4" x14ac:dyDescent="0.3">
      <c r="A123" s="48">
        <f t="shared" si="55"/>
        <v>46387</v>
      </c>
      <c r="B123" s="32" t="str">
        <f t="shared" si="56"/>
        <v>Thu</v>
      </c>
      <c r="C123" s="32">
        <f t="shared" si="57"/>
        <v>4</v>
      </c>
      <c r="D123" s="32" t="str">
        <f t="shared" si="58"/>
        <v>Taper</v>
      </c>
      <c r="E123" s="32" t="str">
        <f t="shared" si="59"/>
        <v>Medium</v>
      </c>
      <c r="F123" s="32" t="str">
        <f t="shared" si="60"/>
        <v>Long Toss</v>
      </c>
      <c r="G123" s="47" t="str">
        <f t="shared" si="61"/>
        <v>Long toss out to 135 ft — 37 throws (90×15 · 120×13 · 135×9) @ 78–81 mph + flat ground at 60 ft × 15 @ 81–83 mph</v>
      </c>
      <c r="H123" s="30">
        <f t="shared" si="62"/>
        <v>50.427500000000002</v>
      </c>
      <c r="I123" s="46">
        <f>IF($A123="","",IF(AND($L123&lt;27,$K$12=0),"Building",IFERROR(((SUM($H$117:$H123)+$K$12*IF($L123&lt;6,SUMIFS('Throw Log'!$Q$5:$Q$300,'Throw Log'!$B$5:$B$300,$D$4,'Throw Log'!$A$5:$A$300,"&gt;="&amp;($D$6+$L123-6),'Throw Log'!$A$5:$A$300,"&lt;="&amp;($D$6-1)),0))/7)/((SUM($H$96:$H123)+$K$12*IF($L123&lt;27,SUMIFS('Throw Log'!$Q$5:$Q$300,'Throw Log'!$B$5:$B$300,$D$4,'Throw Log'!$A$5:$A$300,"&gt;="&amp;($D$6+$L123-27),'Throw Log'!$A$5:$A$300,"&lt;="&amp;($D$6-1)),0))/28),"")))</f>
        <v>1.1665975728346778</v>
      </c>
      <c r="J123" s="37"/>
      <c r="K123" s="37"/>
      <c r="L123" s="32">
        <v>80</v>
      </c>
      <c r="M123" s="32">
        <f t="shared" si="63"/>
        <v>12</v>
      </c>
      <c r="N123" s="32">
        <f t="shared" si="64"/>
        <v>3</v>
      </c>
      <c r="O123" s="32">
        <f t="shared" si="65"/>
        <v>1</v>
      </c>
      <c r="P123" s="32" t="str">
        <f>IF(OR($A123="",N($C123)&lt;=7),"",$G$6*$G$9^($M123-1)*IF(AND(MOD($M123,Reference!$B$99)=0,$M123&lt;=$G$5-2),Reference!$B$100,1))</f>
        <v/>
      </c>
      <c r="Q123" s="32" t="str">
        <f>IF($P123="","",IF(SUM($AK$120:$AK$126)=0,0,$P123*INDEX(Reference!$B$108:$B$114,$N123+1)/SUM($AK$120:$AK$126)))</f>
        <v/>
      </c>
      <c r="R123" s="32">
        <f t="shared" si="66"/>
        <v>180</v>
      </c>
      <c r="S123" s="32">
        <f t="shared" si="67"/>
        <v>150</v>
      </c>
      <c r="T123" s="32" t="str">
        <f>IF($A123="","",IF($C123=0,"Bullpen",IF(OR($C123=7,$C123=1,$C123=5),"Recovery/Easy Catch",IF($C123=6,"Compression/Pulldowns",IF(OR($C123=4,$C123=2),"Long Toss",IF($C123=3,"No Throw",IF($N123=2,"No Throw",IF($N123=6,IF($O123&lt;Reference!$B$104,"No Throw","Recovery/Easy Catch"),IF(OR($N123=0,$N123=4),"Recovery/Easy Catch",IF($N123=1,IF($R123&gt;75,"Long Toss","Recovery/Easy Catch"),IF($N123=3,IF($O123&lt;0.5,IF($S123&gt;75,"Long Toss","Recovery/Easy Catch"),"Compression/Pulldowns"),IF($S123&gt;75,"Long Toss","Recovery/Easy Catch"))))))))))))</f>
        <v>Long Toss</v>
      </c>
      <c r="U123" s="32">
        <f t="shared" si="68"/>
        <v>135</v>
      </c>
      <c r="V123" s="32">
        <f t="shared" si="69"/>
        <v>10</v>
      </c>
      <c r="W123" s="32">
        <f t="shared" si="70"/>
        <v>13</v>
      </c>
      <c r="X123" s="32">
        <f t="shared" si="71"/>
        <v>15</v>
      </c>
      <c r="Y123" s="32">
        <f t="shared" si="72"/>
        <v>8</v>
      </c>
      <c r="Z123" s="32">
        <f t="shared" si="73"/>
        <v>10</v>
      </c>
      <c r="AA123" s="32">
        <f t="shared" si="74"/>
        <v>36.6579634464752</v>
      </c>
      <c r="AB123" s="32">
        <f>IF($A123="","",IF($T123="No Throw",0,IF($K123&lt;&gt;"",$K123,IF($AA123&lt;&gt;"",ROUND($AA123*$D$12*IF($C123=0,1,$G$10),0),MIN(IF($T123="Recovery/Easy Catch",Reference!$B$103,IF($T123="Long Toss",Reference!$B$106,Reference!$B$102)),MAX(Reference!$B$101,ROUND(MAX(0,$Q123-$AE123)/$AF123,0)))))))</f>
        <v>37</v>
      </c>
      <c r="AC123" s="32">
        <f t="shared" si="75"/>
        <v>0</v>
      </c>
      <c r="AD123" s="32" t="b">
        <f t="shared" si="76"/>
        <v>0</v>
      </c>
      <c r="AE123" s="32">
        <f>IF($X123=0,0,$X123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123+$Z123)/2,0),Reference!$A$17:$B$20,2,TRUE()))</f>
        <v>15</v>
      </c>
      <c r="AF123" s="32">
        <f>IF(OR($A123="",$U123="",$T123="No Throw"),0,$AM123*VLOOKUP(MAX(($V123+$W123)/2,0),Reference!$A$17:$B$20,2,TRUE()))</f>
        <v>0.95750000000000002</v>
      </c>
      <c r="AG123" s="32">
        <f>IF($AC123=0,0,$AC123*INDEX(Reference!$B$61:$B$62,MATCH("Bullpen",Reference!$A$61:$A$62,0))*VLOOKUP(MAX($D$5-($D$9+$E$9)/2,0),Reference!$A$17:$B$20,2,TRUE()))</f>
        <v>0</v>
      </c>
      <c r="AH123" s="46">
        <f t="shared" si="77"/>
        <v>1.1665975728346778</v>
      </c>
      <c r="AI123" s="32">
        <f>IF($A123="",NA(),Reference!$A$25)</f>
        <v>0.8</v>
      </c>
      <c r="AJ123" s="32">
        <f t="shared" si="78"/>
        <v>1.3</v>
      </c>
      <c r="AK123" s="32">
        <f>IF(OR($A123="",N($C123)&lt;=7,$T123="No Throw",$J123="x"),0,INDEX(Reference!$B$108:$B$114,$N123+1))</f>
        <v>0</v>
      </c>
      <c r="AL123" s="32">
        <f t="shared" si="79"/>
        <v>3</v>
      </c>
      <c r="AM123" s="32">
        <f>IF($U123="",0,IF($AL123&gt;1,((IF(1&lt;=$AL123,($AL123-1+3)*(INDEX(Reference!$B$6:$B$11,MIN(5,MATCH(MAX(Reference!$A$6,MIN(Reference!$A$11,MIN($U123,90))),Reference!$A$6:$A$11,1)))+(MAX(Reference!$A$6,MIN(Reference!$A$11,MIN($U123,90)))-INDEX(Reference!$A$6:$A$11,MIN(5,MATCH(MAX(Reference!$A$6,MIN(Reference!$A$11,MIN($U123,90))),Reference!$A$6:$A$11,1))))*(INDEX(Reference!$B$6:$B$11,MIN(5,MATCH(MAX(Reference!$A$6,MIN(Reference!$A$11,MIN($U123,90))),Reference!$A$6:$A$11,1))+1)-INDEX(Reference!$B$6:$B$11,MIN(5,MATCH(MAX(Reference!$A$6,MIN(Reference!$A$11,MIN($U123,90))),Reference!$A$6:$A$11,1))))/(INDEX(Reference!$A$6:$A$11,MIN(5,MATCH(MAX(Reference!$A$6,MIN(Reference!$A$11,MIN($U123,90))),Reference!$A$6:$A$11,1))+1)-INDEX(Reference!$A$6:$A$11,MIN(5,MATCH(MAX(Reference!$A$6,MIN(Reference!$A$11,MIN($U123,90))),Reference!$A$6:$A$11,1))))),0)+IF(2&lt;=$AL123,($AL123-2+3)*(INDEX(Reference!$B$6:$B$11,MIN(5,MATCH(MAX(Reference!$A$6,MIN(Reference!$A$11,MIN($U123,120))),Reference!$A$6:$A$11,1)))+(MAX(Reference!$A$6,MIN(Reference!$A$11,MIN($U123,120)))-INDEX(Reference!$A$6:$A$11,MIN(5,MATCH(MAX(Reference!$A$6,MIN(Reference!$A$11,MIN($U123,120))),Reference!$A$6:$A$11,1))))*(INDEX(Reference!$B$6:$B$11,MIN(5,MATCH(MAX(Reference!$A$6,MIN(Reference!$A$11,MIN($U123,120))),Reference!$A$6:$A$11,1))+1)-INDEX(Reference!$B$6:$B$11,MIN(5,MATCH(MAX(Reference!$A$6,MIN(Reference!$A$11,MIN($U123,120))),Reference!$A$6:$A$11,1))))/(INDEX(Reference!$A$6:$A$11,MIN(5,MATCH(MAX(Reference!$A$6,MIN(Reference!$A$11,MIN($U123,120))),Reference!$A$6:$A$11,1))+1)-INDEX(Reference!$A$6:$A$11,MIN(5,MATCH(MAX(Reference!$A$6,MIN(Reference!$A$11,MIN($U123,120))),Reference!$A$6:$A$11,1))))),0)+IF(3&lt;=$AL123,($AL123-3+3)*(INDEX(Reference!$B$6:$B$11,MIN(5,MATCH(MAX(Reference!$A$6,MIN(Reference!$A$11,MIN($U123,150))),Reference!$A$6:$A$11,1)))+(MAX(Reference!$A$6,MIN(Reference!$A$11,MIN($U123,150)))-INDEX(Reference!$A$6:$A$11,MIN(5,MATCH(MAX(Reference!$A$6,MIN(Reference!$A$11,MIN($U123,150))),Reference!$A$6:$A$11,1))))*(INDEX(Reference!$B$6:$B$11,MIN(5,MATCH(MAX(Reference!$A$6,MIN(Reference!$A$11,MIN($U123,150))),Reference!$A$6:$A$11,1))+1)-INDEX(Reference!$B$6:$B$11,MIN(5,MATCH(MAX(Reference!$A$6,MIN(Reference!$A$11,MIN($U123,150))),Reference!$A$6:$A$11,1))))/(INDEX(Reference!$A$6:$A$11,MIN(5,MATCH(MAX(Reference!$A$6,MIN(Reference!$A$11,MIN($U123,150))),Reference!$A$6:$A$11,1))+1)-INDEX(Reference!$A$6:$A$11,MIN(5,MATCH(MAX(Reference!$A$6,MIN(Reference!$A$11,MIN($U123,150))),Reference!$A$6:$A$11,1))))),0)+IF(4&lt;=$AL123,($AL123-4+3)*(INDEX(Reference!$B$6:$B$11,MIN(5,MATCH(MAX(Reference!$A$6,MIN(Reference!$A$11,MIN($U123,180))),Reference!$A$6:$A$11,1)))+(MAX(Reference!$A$6,MIN(Reference!$A$11,MIN($U123,180)))-INDEX(Reference!$A$6:$A$11,MIN(5,MATCH(MAX(Reference!$A$6,MIN(Reference!$A$11,MIN($U123,180))),Reference!$A$6:$A$11,1))))*(INDEX(Reference!$B$6:$B$11,MIN(5,MATCH(MAX(Reference!$A$6,MIN(Reference!$A$11,MIN($U123,180))),Reference!$A$6:$A$11,1))+1)-INDEX(Reference!$B$6:$B$11,MIN(5,MATCH(MAX(Reference!$A$6,MIN(Reference!$A$11,MIN($U123,180))),Reference!$A$6:$A$11,1))))/(INDEX(Reference!$A$6:$A$11,MIN(5,MATCH(MAX(Reference!$A$6,MIN(Reference!$A$11,MIN($U123,180))),Reference!$A$6:$A$11,1))+1)-INDEX(Reference!$A$6:$A$11,MIN(5,MATCH(MAX(Reference!$A$6,MIN(Reference!$A$11,MIN($U123,180))),Reference!$A$6:$A$11,1))))),0)+IF(5&lt;=$AL123,($AL123-5+3)*(INDEX(Reference!$B$6:$B$11,MIN(5,MATCH(MAX(Reference!$A$6,MIN(Reference!$A$11,MIN($U123,210))),Reference!$A$6:$A$11,1)))+(MAX(Reference!$A$6,MIN(Reference!$A$11,MIN($U123,210)))-INDEX(Reference!$A$6:$A$11,MIN(5,MATCH(MAX(Reference!$A$6,MIN(Reference!$A$11,MIN($U123,210))),Reference!$A$6:$A$11,1))))*(INDEX(Reference!$B$6:$B$11,MIN(5,MATCH(MAX(Reference!$A$6,MIN(Reference!$A$11,MIN($U123,210))),Reference!$A$6:$A$11,1))+1)-INDEX(Reference!$B$6:$B$11,MIN(5,MATCH(MAX(Reference!$A$6,MIN(Reference!$A$11,MIN($U123,210))),Reference!$A$6:$A$11,1))))/(INDEX(Reference!$A$6:$A$11,MIN(5,MATCH(MAX(Reference!$A$6,MIN(Reference!$A$11,MIN($U123,210))),Reference!$A$6:$A$11,1))+1)-INDEX(Reference!$A$6:$A$11,MIN(5,MATCH(MAX(Reference!$A$6,MIN(Reference!$A$11,MIN($U123,210))),Reference!$A$6:$A$11,1))))),0)+IF(6&lt;=$AL123,($AL123-6+3)*(INDEX(Reference!$B$6:$B$11,MIN(5,MATCH(MAX(Reference!$A$6,MIN(Reference!$A$11,MIN($U123,240))),Reference!$A$6:$A$11,1)))+(MAX(Reference!$A$6,MIN(Reference!$A$11,MIN($U123,240)))-INDEX(Reference!$A$6:$A$11,MIN(5,MATCH(MAX(Reference!$A$6,MIN(Reference!$A$11,MIN($U123,240))),Reference!$A$6:$A$11,1))))*(INDEX(Reference!$B$6:$B$11,MIN(5,MATCH(MAX(Reference!$A$6,MIN(Reference!$A$11,MIN($U123,240))),Reference!$A$6:$A$11,1))+1)-INDEX(Reference!$B$6:$B$11,MIN(5,MATCH(MAX(Reference!$A$6,MIN(Reference!$A$11,MIN($U123,240))),Reference!$A$6:$A$11,1))))/(INDEX(Reference!$A$6:$A$11,MIN(5,MATCH(MAX(Reference!$A$6,MIN(Reference!$A$11,MIN($U123,240))),Reference!$A$6:$A$11,1))+1)-INDEX(Reference!$A$6:$A$11,MIN(5,MATCH(MAX(Reference!$A$6,MIN(Reference!$A$11,MIN($U123,240))),Reference!$A$6:$A$11,1))))),0)+IF(7&lt;=$AL123,($AL123-7+3)*(INDEX(Reference!$B$6:$B$11,MIN(5,MATCH(MAX(Reference!$A$6,MIN(Reference!$A$11,MIN($U123,270))),Reference!$A$6:$A$11,1)))+(MAX(Reference!$A$6,MIN(Reference!$A$11,MIN($U123,270)))-INDEX(Reference!$A$6:$A$11,MIN(5,MATCH(MAX(Reference!$A$6,MIN(Reference!$A$11,MIN($U123,270))),Reference!$A$6:$A$11,1))))*(INDEX(Reference!$B$6:$B$11,MIN(5,MATCH(MAX(Reference!$A$6,MIN(Reference!$A$11,MIN($U123,270))),Reference!$A$6:$A$11,1))+1)-INDEX(Reference!$B$6:$B$11,MIN(5,MATCH(MAX(Reference!$A$6,MIN(Reference!$A$11,MIN($U123,270))),Reference!$A$6:$A$11,1))))/(INDEX(Reference!$A$6:$A$11,MIN(5,MATCH(MAX(Reference!$A$6,MIN(Reference!$A$11,MIN($U123,270))),Reference!$A$6:$A$11,1))+1)-INDEX(Reference!$A$6:$A$11,MIN(5,MATCH(MAX(Reference!$A$6,MIN(Reference!$A$11,MIN($U123,270))),Reference!$A$6:$A$11,1))))),0)+IF(8&lt;=$AL123,($AL123-8+3)*(INDEX(Reference!$B$6:$B$11,MIN(5,MATCH(MAX(Reference!$A$6,MIN(Reference!$A$11,MIN($U123,300))),Reference!$A$6:$A$11,1)))+(MAX(Reference!$A$6,MIN(Reference!$A$11,MIN($U123,300)))-INDEX(Reference!$A$6:$A$11,MIN(5,MATCH(MAX(Reference!$A$6,MIN(Reference!$A$11,MIN($U123,300))),Reference!$A$6:$A$11,1))))*(INDEX(Reference!$B$6:$B$11,MIN(5,MATCH(MAX(Reference!$A$6,MIN(Reference!$A$11,MIN($U123,300))),Reference!$A$6:$A$11,1))+1)-INDEX(Reference!$B$6:$B$11,MIN(5,MATCH(MAX(Reference!$A$6,MIN(Reference!$A$11,MIN($U123,300))),Reference!$A$6:$A$11,1))))/(INDEX(Reference!$A$6:$A$11,MIN(5,MATCH(MAX(Reference!$A$6,MIN(Reference!$A$11,MIN($U123,300))),Reference!$A$6:$A$11,1))+1)-INDEX(Reference!$A$6:$A$11,MIN(5,MATCH(MAX(Reference!$A$6,MIN(Reference!$A$11,MIN($U123,300))),Reference!$A$6:$A$11,1))))),0))/($AL123*($AL123+5)/2)),$AN123))</f>
        <v>1.5958333333333334</v>
      </c>
      <c r="AN123" s="32">
        <f>IF($U123="",0,(INDEX(Reference!$B$6:$B$11,MIN(5,MATCH(MAX(Reference!$A$6,MIN(Reference!$A$11,$U123)),Reference!$A$6:$A$11,1)))+(MAX(Reference!$A$6,MIN(Reference!$A$11,$U123))-INDEX(Reference!$A$6:$A$11,MIN(5,MATCH(MAX(Reference!$A$6,MIN(Reference!$A$11,$U123)),Reference!$A$6:$A$11,1))))*(INDEX(Reference!$B$6:$B$11,MIN(5,MATCH(MAX(Reference!$A$6,MIN(Reference!$A$11,$U123)),Reference!$A$6:$A$11,1))+1)-INDEX(Reference!$B$6:$B$11,MIN(5,MATCH(MAX(Reference!$A$6,MIN(Reference!$A$11,$U123)),Reference!$A$6:$A$11,1))))/(INDEX(Reference!$A$6:$A$11,MIN(5,MATCH(MAX(Reference!$A$6,MIN(Reference!$A$11,$U123)),Reference!$A$6:$A$11,1))+1)-INDEX(Reference!$A$6:$A$11,MIN(5,MATCH(MAX(Reference!$A$6,MIN(Reference!$A$11,$U123)),Reference!$A$6:$A$11,1))))))</f>
        <v>1.9500000000000002</v>
      </c>
      <c r="AO123" s="37"/>
      <c r="AP123" s="37"/>
      <c r="AQ123" s="37"/>
    </row>
    <row r="124" spans="1:43" x14ac:dyDescent="0.3">
      <c r="A124" s="48">
        <f t="shared" si="55"/>
        <v>46388</v>
      </c>
      <c r="B124" s="32" t="str">
        <f t="shared" si="56"/>
        <v>Fri</v>
      </c>
      <c r="C124" s="32">
        <f t="shared" si="57"/>
        <v>3</v>
      </c>
      <c r="D124" s="32" t="str">
        <f t="shared" si="58"/>
        <v>Taper</v>
      </c>
      <c r="E124" s="32" t="str">
        <f t="shared" si="59"/>
        <v>No Throw</v>
      </c>
      <c r="F124" s="32" t="str">
        <f t="shared" si="60"/>
        <v>No Throw</v>
      </c>
      <c r="G124" s="47" t="str">
        <f t="shared" si="61"/>
        <v>Off</v>
      </c>
      <c r="H124" s="30">
        <f t="shared" si="62"/>
        <v>0</v>
      </c>
      <c r="I124" s="46">
        <f>IF($A124="","",IF(AND($L124&lt;27,$K$12=0),"Building",IFERROR(((SUM($H$118:$H124)+$K$12*IF($L124&lt;6,SUMIFS('Throw Log'!$Q$5:$Q$300,'Throw Log'!$B$5:$B$300,$D$4,'Throw Log'!$A$5:$A$300,"&gt;="&amp;($D$6+$L124-6),'Throw Log'!$A$5:$A$300,"&lt;="&amp;($D$6-1)),0))/7)/((SUM($H$97:$H124)+$K$12*IF($L124&lt;27,SUMIFS('Throw Log'!$Q$5:$Q$300,'Throw Log'!$B$5:$B$300,$D$4,'Throw Log'!$A$5:$A$300,"&gt;="&amp;($D$6+$L124-27),'Throw Log'!$A$5:$A$300,"&lt;="&amp;($D$6-1)),0))/28),"")))</f>
        <v>1.0892443319269736</v>
      </c>
      <c r="J124" s="37"/>
      <c r="K124" s="37"/>
      <c r="L124" s="32">
        <v>81</v>
      </c>
      <c r="M124" s="32">
        <f t="shared" si="63"/>
        <v>12</v>
      </c>
      <c r="N124" s="32">
        <f t="shared" si="64"/>
        <v>4</v>
      </c>
      <c r="O124" s="32">
        <f t="shared" si="65"/>
        <v>1</v>
      </c>
      <c r="P124" s="32" t="str">
        <f>IF(OR($A124="",N($C124)&lt;=7),"",$G$6*$G$9^($M124-1)*IF(AND(MOD($M124,Reference!$B$99)=0,$M124&lt;=$G$5-2),Reference!$B$100,1))</f>
        <v/>
      </c>
      <c r="Q124" s="32" t="str">
        <f>IF($P124="","",IF(SUM($AK$120:$AK$126)=0,0,$P124*INDEX(Reference!$B$108:$B$114,$N124+1)/SUM($AK$120:$AK$126)))</f>
        <v/>
      </c>
      <c r="R124" s="32">
        <f t="shared" si="66"/>
        <v>180</v>
      </c>
      <c r="S124" s="32">
        <f t="shared" si="67"/>
        <v>150</v>
      </c>
      <c r="T124" s="32" t="str">
        <f>IF($A124="","",IF($C124=0,"Bullpen",IF(OR($C124=7,$C124=1,$C124=5),"Recovery/Easy Catch",IF($C124=6,"Compression/Pulldowns",IF(OR($C124=4,$C124=2),"Long Toss",IF($C124=3,"No Throw",IF($N124=2,"No Throw",IF($N124=6,IF($O124&lt;Reference!$B$104,"No Throw","Recovery/Easy Catch"),IF(OR($N124=0,$N124=4),"Recovery/Easy Catch",IF($N124=1,IF($R124&gt;75,"Long Toss","Recovery/Easy Catch"),IF($N124=3,IF($O124&lt;0.5,IF($S124&gt;75,"Long Toss","Recovery/Easy Catch"),"Compression/Pulldowns"),IF($S124&gt;75,"Long Toss","Recovery/Easy Catch"))))))))))))</f>
        <v>No Throw</v>
      </c>
      <c r="U124" s="32" t="str">
        <f t="shared" si="68"/>
        <v/>
      </c>
      <c r="V124" s="32" t="str">
        <f t="shared" si="69"/>
        <v/>
      </c>
      <c r="W124" s="32" t="str">
        <f t="shared" si="70"/>
        <v/>
      </c>
      <c r="X124" s="32">
        <f t="shared" si="71"/>
        <v>0</v>
      </c>
      <c r="Y124" s="32" t="str">
        <f t="shared" si="72"/>
        <v/>
      </c>
      <c r="Z124" s="32" t="str">
        <f t="shared" si="73"/>
        <v/>
      </c>
      <c r="AA124" s="32" t="str">
        <f t="shared" si="74"/>
        <v/>
      </c>
      <c r="AB124" s="32">
        <f>IF($A124="","",IF($T124="No Throw",0,IF($K124&lt;&gt;"",$K124,IF($AA124&lt;&gt;"",ROUND($AA124*$D$12*IF($C124=0,1,$G$10),0),MIN(IF($T124="Recovery/Easy Catch",Reference!$B$103,IF($T124="Long Toss",Reference!$B$106,Reference!$B$102)),MAX(Reference!$B$101,ROUND(MAX(0,$Q124-$AE124)/$AF124,0)))))))</f>
        <v>0</v>
      </c>
      <c r="AC124" s="32">
        <f t="shared" si="75"/>
        <v>0</v>
      </c>
      <c r="AD124" s="32" t="b">
        <f t="shared" si="76"/>
        <v>1</v>
      </c>
      <c r="AE124" s="32">
        <f>IF($X124=0,0,$X124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124+$Z124)/2,0),Reference!$A$17:$B$20,2,TRUE()))</f>
        <v>0</v>
      </c>
      <c r="AF124" s="32">
        <f>IF(OR($A124="",$U124="",$T124="No Throw"),0,$AM124*VLOOKUP(MAX(($V124+$W124)/2,0),Reference!$A$17:$B$20,2,TRUE()))</f>
        <v>0</v>
      </c>
      <c r="AG124" s="32">
        <f>IF($AC124=0,0,$AC124*INDEX(Reference!$B$61:$B$62,MATCH("Bullpen",Reference!$A$61:$A$62,0))*VLOOKUP(MAX($D$5-($D$9+$E$9)/2,0),Reference!$A$17:$B$20,2,TRUE()))</f>
        <v>0</v>
      </c>
      <c r="AH124" s="46">
        <f t="shared" si="77"/>
        <v>1.0892443319269736</v>
      </c>
      <c r="AI124" s="32">
        <f>IF($A124="",NA(),Reference!$A$25)</f>
        <v>0.8</v>
      </c>
      <c r="AJ124" s="32">
        <f t="shared" si="78"/>
        <v>1.3</v>
      </c>
      <c r="AK124" s="32">
        <f>IF(OR($A124="",N($C124)&lt;=7,$T124="No Throw",$J124="x"),0,INDEX(Reference!$B$108:$B$114,$N124+1))</f>
        <v>0</v>
      </c>
      <c r="AL124" s="32">
        <f t="shared" si="79"/>
        <v>1</v>
      </c>
      <c r="AM124" s="32">
        <f>IF($U124="",0,IF($AL124&gt;1,((IF(1&lt;=$AL124,($AL124-1+3)*(INDEX(Reference!$B$6:$B$11,MIN(5,MATCH(MAX(Reference!$A$6,MIN(Reference!$A$11,MIN($U124,90))),Reference!$A$6:$A$11,1)))+(MAX(Reference!$A$6,MIN(Reference!$A$11,MIN($U124,90)))-INDEX(Reference!$A$6:$A$11,MIN(5,MATCH(MAX(Reference!$A$6,MIN(Reference!$A$11,MIN($U124,90))),Reference!$A$6:$A$11,1))))*(INDEX(Reference!$B$6:$B$11,MIN(5,MATCH(MAX(Reference!$A$6,MIN(Reference!$A$11,MIN($U124,90))),Reference!$A$6:$A$11,1))+1)-INDEX(Reference!$B$6:$B$11,MIN(5,MATCH(MAX(Reference!$A$6,MIN(Reference!$A$11,MIN($U124,90))),Reference!$A$6:$A$11,1))))/(INDEX(Reference!$A$6:$A$11,MIN(5,MATCH(MAX(Reference!$A$6,MIN(Reference!$A$11,MIN($U124,90))),Reference!$A$6:$A$11,1))+1)-INDEX(Reference!$A$6:$A$11,MIN(5,MATCH(MAX(Reference!$A$6,MIN(Reference!$A$11,MIN($U124,90))),Reference!$A$6:$A$11,1))))),0)+IF(2&lt;=$AL124,($AL124-2+3)*(INDEX(Reference!$B$6:$B$11,MIN(5,MATCH(MAX(Reference!$A$6,MIN(Reference!$A$11,MIN($U124,120))),Reference!$A$6:$A$11,1)))+(MAX(Reference!$A$6,MIN(Reference!$A$11,MIN($U124,120)))-INDEX(Reference!$A$6:$A$11,MIN(5,MATCH(MAX(Reference!$A$6,MIN(Reference!$A$11,MIN($U124,120))),Reference!$A$6:$A$11,1))))*(INDEX(Reference!$B$6:$B$11,MIN(5,MATCH(MAX(Reference!$A$6,MIN(Reference!$A$11,MIN($U124,120))),Reference!$A$6:$A$11,1))+1)-INDEX(Reference!$B$6:$B$11,MIN(5,MATCH(MAX(Reference!$A$6,MIN(Reference!$A$11,MIN($U124,120))),Reference!$A$6:$A$11,1))))/(INDEX(Reference!$A$6:$A$11,MIN(5,MATCH(MAX(Reference!$A$6,MIN(Reference!$A$11,MIN($U124,120))),Reference!$A$6:$A$11,1))+1)-INDEX(Reference!$A$6:$A$11,MIN(5,MATCH(MAX(Reference!$A$6,MIN(Reference!$A$11,MIN($U124,120))),Reference!$A$6:$A$11,1))))),0)+IF(3&lt;=$AL124,($AL124-3+3)*(INDEX(Reference!$B$6:$B$11,MIN(5,MATCH(MAX(Reference!$A$6,MIN(Reference!$A$11,MIN($U124,150))),Reference!$A$6:$A$11,1)))+(MAX(Reference!$A$6,MIN(Reference!$A$11,MIN($U124,150)))-INDEX(Reference!$A$6:$A$11,MIN(5,MATCH(MAX(Reference!$A$6,MIN(Reference!$A$11,MIN($U124,150))),Reference!$A$6:$A$11,1))))*(INDEX(Reference!$B$6:$B$11,MIN(5,MATCH(MAX(Reference!$A$6,MIN(Reference!$A$11,MIN($U124,150))),Reference!$A$6:$A$11,1))+1)-INDEX(Reference!$B$6:$B$11,MIN(5,MATCH(MAX(Reference!$A$6,MIN(Reference!$A$11,MIN($U124,150))),Reference!$A$6:$A$11,1))))/(INDEX(Reference!$A$6:$A$11,MIN(5,MATCH(MAX(Reference!$A$6,MIN(Reference!$A$11,MIN($U124,150))),Reference!$A$6:$A$11,1))+1)-INDEX(Reference!$A$6:$A$11,MIN(5,MATCH(MAX(Reference!$A$6,MIN(Reference!$A$11,MIN($U124,150))),Reference!$A$6:$A$11,1))))),0)+IF(4&lt;=$AL124,($AL124-4+3)*(INDEX(Reference!$B$6:$B$11,MIN(5,MATCH(MAX(Reference!$A$6,MIN(Reference!$A$11,MIN($U124,180))),Reference!$A$6:$A$11,1)))+(MAX(Reference!$A$6,MIN(Reference!$A$11,MIN($U124,180)))-INDEX(Reference!$A$6:$A$11,MIN(5,MATCH(MAX(Reference!$A$6,MIN(Reference!$A$11,MIN($U124,180))),Reference!$A$6:$A$11,1))))*(INDEX(Reference!$B$6:$B$11,MIN(5,MATCH(MAX(Reference!$A$6,MIN(Reference!$A$11,MIN($U124,180))),Reference!$A$6:$A$11,1))+1)-INDEX(Reference!$B$6:$B$11,MIN(5,MATCH(MAX(Reference!$A$6,MIN(Reference!$A$11,MIN($U124,180))),Reference!$A$6:$A$11,1))))/(INDEX(Reference!$A$6:$A$11,MIN(5,MATCH(MAX(Reference!$A$6,MIN(Reference!$A$11,MIN($U124,180))),Reference!$A$6:$A$11,1))+1)-INDEX(Reference!$A$6:$A$11,MIN(5,MATCH(MAX(Reference!$A$6,MIN(Reference!$A$11,MIN($U124,180))),Reference!$A$6:$A$11,1))))),0)+IF(5&lt;=$AL124,($AL124-5+3)*(INDEX(Reference!$B$6:$B$11,MIN(5,MATCH(MAX(Reference!$A$6,MIN(Reference!$A$11,MIN($U124,210))),Reference!$A$6:$A$11,1)))+(MAX(Reference!$A$6,MIN(Reference!$A$11,MIN($U124,210)))-INDEX(Reference!$A$6:$A$11,MIN(5,MATCH(MAX(Reference!$A$6,MIN(Reference!$A$11,MIN($U124,210))),Reference!$A$6:$A$11,1))))*(INDEX(Reference!$B$6:$B$11,MIN(5,MATCH(MAX(Reference!$A$6,MIN(Reference!$A$11,MIN($U124,210))),Reference!$A$6:$A$11,1))+1)-INDEX(Reference!$B$6:$B$11,MIN(5,MATCH(MAX(Reference!$A$6,MIN(Reference!$A$11,MIN($U124,210))),Reference!$A$6:$A$11,1))))/(INDEX(Reference!$A$6:$A$11,MIN(5,MATCH(MAX(Reference!$A$6,MIN(Reference!$A$11,MIN($U124,210))),Reference!$A$6:$A$11,1))+1)-INDEX(Reference!$A$6:$A$11,MIN(5,MATCH(MAX(Reference!$A$6,MIN(Reference!$A$11,MIN($U124,210))),Reference!$A$6:$A$11,1))))),0)+IF(6&lt;=$AL124,($AL124-6+3)*(INDEX(Reference!$B$6:$B$11,MIN(5,MATCH(MAX(Reference!$A$6,MIN(Reference!$A$11,MIN($U124,240))),Reference!$A$6:$A$11,1)))+(MAX(Reference!$A$6,MIN(Reference!$A$11,MIN($U124,240)))-INDEX(Reference!$A$6:$A$11,MIN(5,MATCH(MAX(Reference!$A$6,MIN(Reference!$A$11,MIN($U124,240))),Reference!$A$6:$A$11,1))))*(INDEX(Reference!$B$6:$B$11,MIN(5,MATCH(MAX(Reference!$A$6,MIN(Reference!$A$11,MIN($U124,240))),Reference!$A$6:$A$11,1))+1)-INDEX(Reference!$B$6:$B$11,MIN(5,MATCH(MAX(Reference!$A$6,MIN(Reference!$A$11,MIN($U124,240))),Reference!$A$6:$A$11,1))))/(INDEX(Reference!$A$6:$A$11,MIN(5,MATCH(MAX(Reference!$A$6,MIN(Reference!$A$11,MIN($U124,240))),Reference!$A$6:$A$11,1))+1)-INDEX(Reference!$A$6:$A$11,MIN(5,MATCH(MAX(Reference!$A$6,MIN(Reference!$A$11,MIN($U124,240))),Reference!$A$6:$A$11,1))))),0)+IF(7&lt;=$AL124,($AL124-7+3)*(INDEX(Reference!$B$6:$B$11,MIN(5,MATCH(MAX(Reference!$A$6,MIN(Reference!$A$11,MIN($U124,270))),Reference!$A$6:$A$11,1)))+(MAX(Reference!$A$6,MIN(Reference!$A$11,MIN($U124,270)))-INDEX(Reference!$A$6:$A$11,MIN(5,MATCH(MAX(Reference!$A$6,MIN(Reference!$A$11,MIN($U124,270))),Reference!$A$6:$A$11,1))))*(INDEX(Reference!$B$6:$B$11,MIN(5,MATCH(MAX(Reference!$A$6,MIN(Reference!$A$11,MIN($U124,270))),Reference!$A$6:$A$11,1))+1)-INDEX(Reference!$B$6:$B$11,MIN(5,MATCH(MAX(Reference!$A$6,MIN(Reference!$A$11,MIN($U124,270))),Reference!$A$6:$A$11,1))))/(INDEX(Reference!$A$6:$A$11,MIN(5,MATCH(MAX(Reference!$A$6,MIN(Reference!$A$11,MIN($U124,270))),Reference!$A$6:$A$11,1))+1)-INDEX(Reference!$A$6:$A$11,MIN(5,MATCH(MAX(Reference!$A$6,MIN(Reference!$A$11,MIN($U124,270))),Reference!$A$6:$A$11,1))))),0)+IF(8&lt;=$AL124,($AL124-8+3)*(INDEX(Reference!$B$6:$B$11,MIN(5,MATCH(MAX(Reference!$A$6,MIN(Reference!$A$11,MIN($U124,300))),Reference!$A$6:$A$11,1)))+(MAX(Reference!$A$6,MIN(Reference!$A$11,MIN($U124,300)))-INDEX(Reference!$A$6:$A$11,MIN(5,MATCH(MAX(Reference!$A$6,MIN(Reference!$A$11,MIN($U124,300))),Reference!$A$6:$A$11,1))))*(INDEX(Reference!$B$6:$B$11,MIN(5,MATCH(MAX(Reference!$A$6,MIN(Reference!$A$11,MIN($U124,300))),Reference!$A$6:$A$11,1))+1)-INDEX(Reference!$B$6:$B$11,MIN(5,MATCH(MAX(Reference!$A$6,MIN(Reference!$A$11,MIN($U124,300))),Reference!$A$6:$A$11,1))))/(INDEX(Reference!$A$6:$A$11,MIN(5,MATCH(MAX(Reference!$A$6,MIN(Reference!$A$11,MIN($U124,300))),Reference!$A$6:$A$11,1))+1)-INDEX(Reference!$A$6:$A$11,MIN(5,MATCH(MAX(Reference!$A$6,MIN(Reference!$A$11,MIN($U124,300))),Reference!$A$6:$A$11,1))))),0))/($AL124*($AL124+5)/2)),$AN124))</f>
        <v>0</v>
      </c>
      <c r="AN124" s="32">
        <f>IF($U124="",0,(INDEX(Reference!$B$6:$B$11,MIN(5,MATCH(MAX(Reference!$A$6,MIN(Reference!$A$11,$U124)),Reference!$A$6:$A$11,1)))+(MAX(Reference!$A$6,MIN(Reference!$A$11,$U124))-INDEX(Reference!$A$6:$A$11,MIN(5,MATCH(MAX(Reference!$A$6,MIN(Reference!$A$11,$U124)),Reference!$A$6:$A$11,1))))*(INDEX(Reference!$B$6:$B$11,MIN(5,MATCH(MAX(Reference!$A$6,MIN(Reference!$A$11,$U124)),Reference!$A$6:$A$11,1))+1)-INDEX(Reference!$B$6:$B$11,MIN(5,MATCH(MAX(Reference!$A$6,MIN(Reference!$A$11,$U124)),Reference!$A$6:$A$11,1))))/(INDEX(Reference!$A$6:$A$11,MIN(5,MATCH(MAX(Reference!$A$6,MIN(Reference!$A$11,$U124)),Reference!$A$6:$A$11,1))+1)-INDEX(Reference!$A$6:$A$11,MIN(5,MATCH(MAX(Reference!$A$6,MIN(Reference!$A$11,$U124)),Reference!$A$6:$A$11,1))))))</f>
        <v>0</v>
      </c>
      <c r="AO124" s="37"/>
      <c r="AP124" s="37"/>
      <c r="AQ124" s="37"/>
    </row>
    <row r="125" spans="1:43" ht="26.4" x14ac:dyDescent="0.3">
      <c r="A125" s="48">
        <f t="shared" si="55"/>
        <v>46389</v>
      </c>
      <c r="B125" s="32" t="str">
        <f t="shared" si="56"/>
        <v>Sat</v>
      </c>
      <c r="C125" s="32">
        <f t="shared" si="57"/>
        <v>2</v>
      </c>
      <c r="D125" s="32" t="str">
        <f t="shared" si="58"/>
        <v>Taper</v>
      </c>
      <c r="E125" s="32" t="str">
        <f t="shared" si="59"/>
        <v>Medium</v>
      </c>
      <c r="F125" s="32" t="str">
        <f t="shared" si="60"/>
        <v>Long Toss</v>
      </c>
      <c r="G125" s="47" t="str">
        <f t="shared" si="61"/>
        <v>Long toss out to 120 ft — 35 throws (90×20 · 120×15) @ 78–81 mph + flat ground at 60 ft × 15 @ 81–83 mph</v>
      </c>
      <c r="H125" s="30">
        <f t="shared" si="62"/>
        <v>45.900000000000006</v>
      </c>
      <c r="I125" s="46">
        <f>IF($A125="","",IF(AND($L125&lt;27,$K$12=0),"Building",IFERROR(((SUM($H$119:$H125)+$K$12*IF($L125&lt;6,SUMIFS('Throw Log'!$Q$5:$Q$300,'Throw Log'!$B$5:$B$300,$D$4,'Throw Log'!$A$5:$A$300,"&gt;="&amp;($D$6+$L125-6),'Throw Log'!$A$5:$A$300,"&lt;="&amp;($D$6-1)),0))/7)/((SUM($H$98:$H125)+$K$12*IF($L125&lt;27,SUMIFS('Throw Log'!$Q$5:$Q$300,'Throw Log'!$B$5:$B$300,$D$4,'Throw Log'!$A$5:$A$300,"&gt;="&amp;($D$6+$L125-27),'Throw Log'!$A$5:$A$300,"&lt;="&amp;($D$6-1)),0))/28),"")))</f>
        <v>1.0398956347059285</v>
      </c>
      <c r="J125" s="37"/>
      <c r="K125" s="37"/>
      <c r="L125" s="32">
        <v>82</v>
      </c>
      <c r="M125" s="32">
        <f t="shared" si="63"/>
        <v>12</v>
      </c>
      <c r="N125" s="32">
        <f t="shared" si="64"/>
        <v>5</v>
      </c>
      <c r="O125" s="32">
        <f t="shared" si="65"/>
        <v>1</v>
      </c>
      <c r="P125" s="32" t="str">
        <f>IF(OR($A125="",N($C125)&lt;=7),"",$G$6*$G$9^($M125-1)*IF(AND(MOD($M125,Reference!$B$99)=0,$M125&lt;=$G$5-2),Reference!$B$100,1))</f>
        <v/>
      </c>
      <c r="Q125" s="32" t="str">
        <f>IF($P125="","",IF(SUM($AK$120:$AK$126)=0,0,$P125*INDEX(Reference!$B$108:$B$114,$N125+1)/SUM($AK$120:$AK$126)))</f>
        <v/>
      </c>
      <c r="R125" s="32">
        <f t="shared" si="66"/>
        <v>180</v>
      </c>
      <c r="S125" s="32">
        <f t="shared" si="67"/>
        <v>150</v>
      </c>
      <c r="T125" s="32" t="str">
        <f>IF($A125="","",IF($C125=0,"Bullpen",IF(OR($C125=7,$C125=1,$C125=5),"Recovery/Easy Catch",IF($C125=6,"Compression/Pulldowns",IF(OR($C125=4,$C125=2),"Long Toss",IF($C125=3,"No Throw",IF($N125=2,"No Throw",IF($N125=6,IF($O125&lt;Reference!$B$104,"No Throw","Recovery/Easy Catch"),IF(OR($N125=0,$N125=4),"Recovery/Easy Catch",IF($N125=1,IF($R125&gt;75,"Long Toss","Recovery/Easy Catch"),IF($N125=3,IF($O125&lt;0.5,IF($S125&gt;75,"Long Toss","Recovery/Easy Catch"),"Compression/Pulldowns"),IF($S125&gt;75,"Long Toss","Recovery/Easy Catch"))))))))))))</f>
        <v>Long Toss</v>
      </c>
      <c r="U125" s="32">
        <f t="shared" si="68"/>
        <v>120</v>
      </c>
      <c r="V125" s="32">
        <f t="shared" si="69"/>
        <v>10</v>
      </c>
      <c r="W125" s="32">
        <f t="shared" si="70"/>
        <v>13</v>
      </c>
      <c r="X125" s="32">
        <f t="shared" si="71"/>
        <v>15</v>
      </c>
      <c r="Y125" s="32">
        <f t="shared" si="72"/>
        <v>8</v>
      </c>
      <c r="Z125" s="32">
        <f t="shared" si="73"/>
        <v>10</v>
      </c>
      <c r="AA125" s="32">
        <f t="shared" si="74"/>
        <v>34.660194174757279</v>
      </c>
      <c r="AB125" s="32">
        <f>IF($A125="","",IF($T125="No Throw",0,IF($K125&lt;&gt;"",$K125,IF($AA125&lt;&gt;"",ROUND($AA125*$D$12*IF($C125=0,1,$G$10),0),MIN(IF($T125="Recovery/Easy Catch",Reference!$B$103,IF($T125="Long Toss",Reference!$B$106,Reference!$B$102)),MAX(Reference!$B$101,ROUND(MAX(0,$Q125-$AE125)/$AF125,0)))))))</f>
        <v>35</v>
      </c>
      <c r="AC125" s="32">
        <f t="shared" si="75"/>
        <v>0</v>
      </c>
      <c r="AD125" s="32" t="b">
        <f t="shared" si="76"/>
        <v>0</v>
      </c>
      <c r="AE125" s="32">
        <f>IF($X125=0,0,$X125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125+$Z125)/2,0),Reference!$A$17:$B$20,2,TRUE()))</f>
        <v>15</v>
      </c>
      <c r="AF125" s="32">
        <f>IF(OR($A125="",$U125="",$T125="No Throw"),0,$AM125*VLOOKUP(MAX(($V125+$W125)/2,0),Reference!$A$17:$B$20,2,TRUE()))</f>
        <v>0.8828571428571429</v>
      </c>
      <c r="AG125" s="32">
        <f>IF($AC125=0,0,$AC125*INDEX(Reference!$B$61:$B$62,MATCH("Bullpen",Reference!$A$61:$A$62,0))*VLOOKUP(MAX($D$5-($D$9+$E$9)/2,0),Reference!$A$17:$B$20,2,TRUE()))</f>
        <v>0</v>
      </c>
      <c r="AH125" s="46">
        <f t="shared" si="77"/>
        <v>1.0398956347059285</v>
      </c>
      <c r="AI125" s="32">
        <f>IF($A125="",NA(),Reference!$A$25)</f>
        <v>0.8</v>
      </c>
      <c r="AJ125" s="32">
        <f t="shared" si="78"/>
        <v>1.3</v>
      </c>
      <c r="AK125" s="32">
        <f>IF(OR($A125="",N($C125)&lt;=7,$T125="No Throw",$J125="x"),0,INDEX(Reference!$B$108:$B$114,$N125+1))</f>
        <v>0</v>
      </c>
      <c r="AL125" s="32">
        <f t="shared" si="79"/>
        <v>2</v>
      </c>
      <c r="AM125" s="32">
        <f>IF($U125="",0,IF($AL125&gt;1,((IF(1&lt;=$AL125,($AL125-1+3)*(INDEX(Reference!$B$6:$B$11,MIN(5,MATCH(MAX(Reference!$A$6,MIN(Reference!$A$11,MIN($U125,90))),Reference!$A$6:$A$11,1)))+(MAX(Reference!$A$6,MIN(Reference!$A$11,MIN($U125,90)))-INDEX(Reference!$A$6:$A$11,MIN(5,MATCH(MAX(Reference!$A$6,MIN(Reference!$A$11,MIN($U125,90))),Reference!$A$6:$A$11,1))))*(INDEX(Reference!$B$6:$B$11,MIN(5,MATCH(MAX(Reference!$A$6,MIN(Reference!$A$11,MIN($U125,90))),Reference!$A$6:$A$11,1))+1)-INDEX(Reference!$B$6:$B$11,MIN(5,MATCH(MAX(Reference!$A$6,MIN(Reference!$A$11,MIN($U125,90))),Reference!$A$6:$A$11,1))))/(INDEX(Reference!$A$6:$A$11,MIN(5,MATCH(MAX(Reference!$A$6,MIN(Reference!$A$11,MIN($U125,90))),Reference!$A$6:$A$11,1))+1)-INDEX(Reference!$A$6:$A$11,MIN(5,MATCH(MAX(Reference!$A$6,MIN(Reference!$A$11,MIN($U125,90))),Reference!$A$6:$A$11,1))))),0)+IF(2&lt;=$AL125,($AL125-2+3)*(INDEX(Reference!$B$6:$B$11,MIN(5,MATCH(MAX(Reference!$A$6,MIN(Reference!$A$11,MIN($U125,120))),Reference!$A$6:$A$11,1)))+(MAX(Reference!$A$6,MIN(Reference!$A$11,MIN($U125,120)))-INDEX(Reference!$A$6:$A$11,MIN(5,MATCH(MAX(Reference!$A$6,MIN(Reference!$A$11,MIN($U125,120))),Reference!$A$6:$A$11,1))))*(INDEX(Reference!$B$6:$B$11,MIN(5,MATCH(MAX(Reference!$A$6,MIN(Reference!$A$11,MIN($U125,120))),Reference!$A$6:$A$11,1))+1)-INDEX(Reference!$B$6:$B$11,MIN(5,MATCH(MAX(Reference!$A$6,MIN(Reference!$A$11,MIN($U125,120))),Reference!$A$6:$A$11,1))))/(INDEX(Reference!$A$6:$A$11,MIN(5,MATCH(MAX(Reference!$A$6,MIN(Reference!$A$11,MIN($U125,120))),Reference!$A$6:$A$11,1))+1)-INDEX(Reference!$A$6:$A$11,MIN(5,MATCH(MAX(Reference!$A$6,MIN(Reference!$A$11,MIN($U125,120))),Reference!$A$6:$A$11,1))))),0)+IF(3&lt;=$AL125,($AL125-3+3)*(INDEX(Reference!$B$6:$B$11,MIN(5,MATCH(MAX(Reference!$A$6,MIN(Reference!$A$11,MIN($U125,150))),Reference!$A$6:$A$11,1)))+(MAX(Reference!$A$6,MIN(Reference!$A$11,MIN($U125,150)))-INDEX(Reference!$A$6:$A$11,MIN(5,MATCH(MAX(Reference!$A$6,MIN(Reference!$A$11,MIN($U125,150))),Reference!$A$6:$A$11,1))))*(INDEX(Reference!$B$6:$B$11,MIN(5,MATCH(MAX(Reference!$A$6,MIN(Reference!$A$11,MIN($U125,150))),Reference!$A$6:$A$11,1))+1)-INDEX(Reference!$B$6:$B$11,MIN(5,MATCH(MAX(Reference!$A$6,MIN(Reference!$A$11,MIN($U125,150))),Reference!$A$6:$A$11,1))))/(INDEX(Reference!$A$6:$A$11,MIN(5,MATCH(MAX(Reference!$A$6,MIN(Reference!$A$11,MIN($U125,150))),Reference!$A$6:$A$11,1))+1)-INDEX(Reference!$A$6:$A$11,MIN(5,MATCH(MAX(Reference!$A$6,MIN(Reference!$A$11,MIN($U125,150))),Reference!$A$6:$A$11,1))))),0)+IF(4&lt;=$AL125,($AL125-4+3)*(INDEX(Reference!$B$6:$B$11,MIN(5,MATCH(MAX(Reference!$A$6,MIN(Reference!$A$11,MIN($U125,180))),Reference!$A$6:$A$11,1)))+(MAX(Reference!$A$6,MIN(Reference!$A$11,MIN($U125,180)))-INDEX(Reference!$A$6:$A$11,MIN(5,MATCH(MAX(Reference!$A$6,MIN(Reference!$A$11,MIN($U125,180))),Reference!$A$6:$A$11,1))))*(INDEX(Reference!$B$6:$B$11,MIN(5,MATCH(MAX(Reference!$A$6,MIN(Reference!$A$11,MIN($U125,180))),Reference!$A$6:$A$11,1))+1)-INDEX(Reference!$B$6:$B$11,MIN(5,MATCH(MAX(Reference!$A$6,MIN(Reference!$A$11,MIN($U125,180))),Reference!$A$6:$A$11,1))))/(INDEX(Reference!$A$6:$A$11,MIN(5,MATCH(MAX(Reference!$A$6,MIN(Reference!$A$11,MIN($U125,180))),Reference!$A$6:$A$11,1))+1)-INDEX(Reference!$A$6:$A$11,MIN(5,MATCH(MAX(Reference!$A$6,MIN(Reference!$A$11,MIN($U125,180))),Reference!$A$6:$A$11,1))))),0)+IF(5&lt;=$AL125,($AL125-5+3)*(INDEX(Reference!$B$6:$B$11,MIN(5,MATCH(MAX(Reference!$A$6,MIN(Reference!$A$11,MIN($U125,210))),Reference!$A$6:$A$11,1)))+(MAX(Reference!$A$6,MIN(Reference!$A$11,MIN($U125,210)))-INDEX(Reference!$A$6:$A$11,MIN(5,MATCH(MAX(Reference!$A$6,MIN(Reference!$A$11,MIN($U125,210))),Reference!$A$6:$A$11,1))))*(INDEX(Reference!$B$6:$B$11,MIN(5,MATCH(MAX(Reference!$A$6,MIN(Reference!$A$11,MIN($U125,210))),Reference!$A$6:$A$11,1))+1)-INDEX(Reference!$B$6:$B$11,MIN(5,MATCH(MAX(Reference!$A$6,MIN(Reference!$A$11,MIN($U125,210))),Reference!$A$6:$A$11,1))))/(INDEX(Reference!$A$6:$A$11,MIN(5,MATCH(MAX(Reference!$A$6,MIN(Reference!$A$11,MIN($U125,210))),Reference!$A$6:$A$11,1))+1)-INDEX(Reference!$A$6:$A$11,MIN(5,MATCH(MAX(Reference!$A$6,MIN(Reference!$A$11,MIN($U125,210))),Reference!$A$6:$A$11,1))))),0)+IF(6&lt;=$AL125,($AL125-6+3)*(INDEX(Reference!$B$6:$B$11,MIN(5,MATCH(MAX(Reference!$A$6,MIN(Reference!$A$11,MIN($U125,240))),Reference!$A$6:$A$11,1)))+(MAX(Reference!$A$6,MIN(Reference!$A$11,MIN($U125,240)))-INDEX(Reference!$A$6:$A$11,MIN(5,MATCH(MAX(Reference!$A$6,MIN(Reference!$A$11,MIN($U125,240))),Reference!$A$6:$A$11,1))))*(INDEX(Reference!$B$6:$B$11,MIN(5,MATCH(MAX(Reference!$A$6,MIN(Reference!$A$11,MIN($U125,240))),Reference!$A$6:$A$11,1))+1)-INDEX(Reference!$B$6:$B$11,MIN(5,MATCH(MAX(Reference!$A$6,MIN(Reference!$A$11,MIN($U125,240))),Reference!$A$6:$A$11,1))))/(INDEX(Reference!$A$6:$A$11,MIN(5,MATCH(MAX(Reference!$A$6,MIN(Reference!$A$11,MIN($U125,240))),Reference!$A$6:$A$11,1))+1)-INDEX(Reference!$A$6:$A$11,MIN(5,MATCH(MAX(Reference!$A$6,MIN(Reference!$A$11,MIN($U125,240))),Reference!$A$6:$A$11,1))))),0)+IF(7&lt;=$AL125,($AL125-7+3)*(INDEX(Reference!$B$6:$B$11,MIN(5,MATCH(MAX(Reference!$A$6,MIN(Reference!$A$11,MIN($U125,270))),Reference!$A$6:$A$11,1)))+(MAX(Reference!$A$6,MIN(Reference!$A$11,MIN($U125,270)))-INDEX(Reference!$A$6:$A$11,MIN(5,MATCH(MAX(Reference!$A$6,MIN(Reference!$A$11,MIN($U125,270))),Reference!$A$6:$A$11,1))))*(INDEX(Reference!$B$6:$B$11,MIN(5,MATCH(MAX(Reference!$A$6,MIN(Reference!$A$11,MIN($U125,270))),Reference!$A$6:$A$11,1))+1)-INDEX(Reference!$B$6:$B$11,MIN(5,MATCH(MAX(Reference!$A$6,MIN(Reference!$A$11,MIN($U125,270))),Reference!$A$6:$A$11,1))))/(INDEX(Reference!$A$6:$A$11,MIN(5,MATCH(MAX(Reference!$A$6,MIN(Reference!$A$11,MIN($U125,270))),Reference!$A$6:$A$11,1))+1)-INDEX(Reference!$A$6:$A$11,MIN(5,MATCH(MAX(Reference!$A$6,MIN(Reference!$A$11,MIN($U125,270))),Reference!$A$6:$A$11,1))))),0)+IF(8&lt;=$AL125,($AL125-8+3)*(INDEX(Reference!$B$6:$B$11,MIN(5,MATCH(MAX(Reference!$A$6,MIN(Reference!$A$11,MIN($U125,300))),Reference!$A$6:$A$11,1)))+(MAX(Reference!$A$6,MIN(Reference!$A$11,MIN($U125,300)))-INDEX(Reference!$A$6:$A$11,MIN(5,MATCH(MAX(Reference!$A$6,MIN(Reference!$A$11,MIN($U125,300))),Reference!$A$6:$A$11,1))))*(INDEX(Reference!$B$6:$B$11,MIN(5,MATCH(MAX(Reference!$A$6,MIN(Reference!$A$11,MIN($U125,300))),Reference!$A$6:$A$11,1))+1)-INDEX(Reference!$B$6:$B$11,MIN(5,MATCH(MAX(Reference!$A$6,MIN(Reference!$A$11,MIN($U125,300))),Reference!$A$6:$A$11,1))))/(INDEX(Reference!$A$6:$A$11,MIN(5,MATCH(MAX(Reference!$A$6,MIN(Reference!$A$11,MIN($U125,300))),Reference!$A$6:$A$11,1))+1)-INDEX(Reference!$A$6:$A$11,MIN(5,MATCH(MAX(Reference!$A$6,MIN(Reference!$A$11,MIN($U125,300))),Reference!$A$6:$A$11,1))))),0))/($AL125*($AL125+5)/2)),$AN125))</f>
        <v>1.4714285714285715</v>
      </c>
      <c r="AN125" s="32">
        <f>IF($U125="",0,(INDEX(Reference!$B$6:$B$11,MIN(5,MATCH(MAX(Reference!$A$6,MIN(Reference!$A$11,$U125)),Reference!$A$6:$A$11,1)))+(MAX(Reference!$A$6,MIN(Reference!$A$11,$U125))-INDEX(Reference!$A$6:$A$11,MIN(5,MATCH(MAX(Reference!$A$6,MIN(Reference!$A$11,$U125)),Reference!$A$6:$A$11,1))))*(INDEX(Reference!$B$6:$B$11,MIN(5,MATCH(MAX(Reference!$A$6,MIN(Reference!$A$11,$U125)),Reference!$A$6:$A$11,1))+1)-INDEX(Reference!$B$6:$B$11,MIN(5,MATCH(MAX(Reference!$A$6,MIN(Reference!$A$11,$U125)),Reference!$A$6:$A$11,1))))/(INDEX(Reference!$A$6:$A$11,MIN(5,MATCH(MAX(Reference!$A$6,MIN(Reference!$A$11,$U125)),Reference!$A$6:$A$11,1))+1)-INDEX(Reference!$A$6:$A$11,MIN(5,MATCH(MAX(Reference!$A$6,MIN(Reference!$A$11,$U125)),Reference!$A$6:$A$11,1))))))</f>
        <v>1.7</v>
      </c>
      <c r="AO125" s="37"/>
      <c r="AP125" s="37"/>
      <c r="AQ125" s="37"/>
    </row>
    <row r="126" spans="1:43" x14ac:dyDescent="0.3">
      <c r="A126" s="48">
        <f t="shared" si="55"/>
        <v>46390</v>
      </c>
      <c r="B126" s="32" t="str">
        <f t="shared" si="56"/>
        <v>Sun</v>
      </c>
      <c r="C126" s="32">
        <f t="shared" si="57"/>
        <v>1</v>
      </c>
      <c r="D126" s="32" t="str">
        <f t="shared" si="58"/>
        <v>Taper</v>
      </c>
      <c r="E126" s="32" t="str">
        <f t="shared" si="59"/>
        <v>Low</v>
      </c>
      <c r="F126" s="32" t="str">
        <f t="shared" si="60"/>
        <v>Recovery/Easy Catch</v>
      </c>
      <c r="G126" s="47" t="str">
        <f t="shared" si="61"/>
        <v>75 ft × 30 @ 69–73 mph</v>
      </c>
      <c r="H126" s="30">
        <f t="shared" si="62"/>
        <v>20.7</v>
      </c>
      <c r="I126" s="46">
        <f>IF($A126="","",IF(AND($L126&lt;27,$K$12=0),"Building",IFERROR(((SUM($H$120:$H126)+$K$12*IF($L126&lt;6,SUMIFS('Throw Log'!$Q$5:$Q$300,'Throw Log'!$B$5:$B$300,$D$4,'Throw Log'!$A$5:$A$300,"&gt;="&amp;($D$6+$L126-6),'Throw Log'!$A$5:$A$300,"&lt;="&amp;($D$6-1)),0))/7)/((SUM($H$99:$H126)+$K$12*IF($L126&lt;27,SUMIFS('Throw Log'!$Q$5:$Q$300,'Throw Log'!$B$5:$B$300,$D$4,'Throw Log'!$A$5:$A$300,"&gt;="&amp;($D$6+$L126-27),'Throw Log'!$A$5:$A$300,"&lt;="&amp;($D$6-1)),0))/28),"")))</f>
        <v>1.0419184133874282</v>
      </c>
      <c r="J126" s="37"/>
      <c r="K126" s="37"/>
      <c r="L126" s="32">
        <v>83</v>
      </c>
      <c r="M126" s="32">
        <f t="shared" si="63"/>
        <v>12</v>
      </c>
      <c r="N126" s="32">
        <f t="shared" si="64"/>
        <v>6</v>
      </c>
      <c r="O126" s="32">
        <f t="shared" si="65"/>
        <v>1</v>
      </c>
      <c r="P126" s="32" t="str">
        <f>IF(OR($A126="",N($C126)&lt;=7),"",$G$6*$G$9^($M126-1)*IF(AND(MOD($M126,Reference!$B$99)=0,$M126&lt;=$G$5-2),Reference!$B$100,1))</f>
        <v/>
      </c>
      <c r="Q126" s="32" t="str">
        <f>IF($P126="","",IF(SUM($AK$120:$AK$126)=0,0,$P126*INDEX(Reference!$B$108:$B$114,$N126+1)/SUM($AK$120:$AK$126)))</f>
        <v/>
      </c>
      <c r="R126" s="32">
        <f t="shared" si="66"/>
        <v>180</v>
      </c>
      <c r="S126" s="32">
        <f t="shared" si="67"/>
        <v>150</v>
      </c>
      <c r="T126" s="32" t="str">
        <f>IF($A126="","",IF($C126=0,"Bullpen",IF(OR($C126=7,$C126=1,$C126=5),"Recovery/Easy Catch",IF($C126=6,"Compression/Pulldowns",IF(OR($C126=4,$C126=2),"Long Toss",IF($C126=3,"No Throw",IF($N126=2,"No Throw",IF($N126=6,IF($O126&lt;Reference!$B$104,"No Throw","Recovery/Easy Catch"),IF(OR($N126=0,$N126=4),"Recovery/Easy Catch",IF($N126=1,IF($R126&gt;75,"Long Toss","Recovery/Easy Catch"),IF($N126=3,IF($O126&lt;0.5,IF($S126&gt;75,"Long Toss","Recovery/Easy Catch"),"Compression/Pulldowns"),IF($S126&gt;75,"Long Toss","Recovery/Easy Catch"))))))))))))</f>
        <v>Recovery/Easy Catch</v>
      </c>
      <c r="U126" s="32">
        <f t="shared" si="68"/>
        <v>75</v>
      </c>
      <c r="V126" s="32">
        <f t="shared" si="69"/>
        <v>18</v>
      </c>
      <c r="W126" s="32">
        <f t="shared" si="70"/>
        <v>22</v>
      </c>
      <c r="X126" s="32">
        <f t="shared" si="71"/>
        <v>0</v>
      </c>
      <c r="Y126" s="32" t="str">
        <f t="shared" si="72"/>
        <v/>
      </c>
      <c r="Z126" s="32" t="str">
        <f t="shared" si="73"/>
        <v/>
      </c>
      <c r="AA126" s="32">
        <f t="shared" si="74"/>
        <v>30</v>
      </c>
      <c r="AB126" s="32">
        <f>IF($A126="","",IF($T126="No Throw",0,IF($K126&lt;&gt;"",$K126,IF($AA126&lt;&gt;"",ROUND($AA126*$D$12*IF($C126=0,1,$G$10),0),MIN(IF($T126="Recovery/Easy Catch",Reference!$B$103,IF($T126="Long Toss",Reference!$B$106,Reference!$B$102)),MAX(Reference!$B$101,ROUND(MAX(0,$Q126-$AE126)/$AF126,0)))))))</f>
        <v>30</v>
      </c>
      <c r="AC126" s="32">
        <f t="shared" si="75"/>
        <v>0</v>
      </c>
      <c r="AD126" s="32" t="b">
        <f t="shared" si="76"/>
        <v>0</v>
      </c>
      <c r="AE126" s="32">
        <f>IF($X126=0,0,$X126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126+$Z126)/2,0),Reference!$A$17:$B$20,2,TRUE()))</f>
        <v>0</v>
      </c>
      <c r="AF126" s="32">
        <f>IF(OR($A126="",$U126="",$T126="No Throw"),0,$AM126*VLOOKUP(MAX(($V126+$W126)/2,0),Reference!$A$17:$B$20,2,TRUE()))</f>
        <v>0.69</v>
      </c>
      <c r="AG126" s="32">
        <f>IF($AC126=0,0,$AC126*INDEX(Reference!$B$61:$B$62,MATCH("Bullpen",Reference!$A$61:$A$62,0))*VLOOKUP(MAX($D$5-($D$9+$E$9)/2,0),Reference!$A$17:$B$20,2,TRUE()))</f>
        <v>0</v>
      </c>
      <c r="AH126" s="46">
        <f t="shared" si="77"/>
        <v>1.0419184133874282</v>
      </c>
      <c r="AI126" s="32">
        <f>IF($A126="",NA(),Reference!$A$25)</f>
        <v>0.8</v>
      </c>
      <c r="AJ126" s="32">
        <f t="shared" si="78"/>
        <v>1.3</v>
      </c>
      <c r="AK126" s="32">
        <f>IF(OR($A126="",N($C126)&lt;=7,$T126="No Throw",$J126="x"),0,INDEX(Reference!$B$108:$B$114,$N126+1))</f>
        <v>0</v>
      </c>
      <c r="AL126" s="32">
        <f t="shared" si="79"/>
        <v>1</v>
      </c>
      <c r="AM126" s="32">
        <f>IF($U126="",0,IF($AL126&gt;1,((IF(1&lt;=$AL126,($AL126-1+3)*(INDEX(Reference!$B$6:$B$11,MIN(5,MATCH(MAX(Reference!$A$6,MIN(Reference!$A$11,MIN($U126,90))),Reference!$A$6:$A$11,1)))+(MAX(Reference!$A$6,MIN(Reference!$A$11,MIN($U126,90)))-INDEX(Reference!$A$6:$A$11,MIN(5,MATCH(MAX(Reference!$A$6,MIN(Reference!$A$11,MIN($U126,90))),Reference!$A$6:$A$11,1))))*(INDEX(Reference!$B$6:$B$11,MIN(5,MATCH(MAX(Reference!$A$6,MIN(Reference!$A$11,MIN($U126,90))),Reference!$A$6:$A$11,1))+1)-INDEX(Reference!$B$6:$B$11,MIN(5,MATCH(MAX(Reference!$A$6,MIN(Reference!$A$11,MIN($U126,90))),Reference!$A$6:$A$11,1))))/(INDEX(Reference!$A$6:$A$11,MIN(5,MATCH(MAX(Reference!$A$6,MIN(Reference!$A$11,MIN($U126,90))),Reference!$A$6:$A$11,1))+1)-INDEX(Reference!$A$6:$A$11,MIN(5,MATCH(MAX(Reference!$A$6,MIN(Reference!$A$11,MIN($U126,90))),Reference!$A$6:$A$11,1))))),0)+IF(2&lt;=$AL126,($AL126-2+3)*(INDEX(Reference!$B$6:$B$11,MIN(5,MATCH(MAX(Reference!$A$6,MIN(Reference!$A$11,MIN($U126,120))),Reference!$A$6:$A$11,1)))+(MAX(Reference!$A$6,MIN(Reference!$A$11,MIN($U126,120)))-INDEX(Reference!$A$6:$A$11,MIN(5,MATCH(MAX(Reference!$A$6,MIN(Reference!$A$11,MIN($U126,120))),Reference!$A$6:$A$11,1))))*(INDEX(Reference!$B$6:$B$11,MIN(5,MATCH(MAX(Reference!$A$6,MIN(Reference!$A$11,MIN($U126,120))),Reference!$A$6:$A$11,1))+1)-INDEX(Reference!$B$6:$B$11,MIN(5,MATCH(MAX(Reference!$A$6,MIN(Reference!$A$11,MIN($U126,120))),Reference!$A$6:$A$11,1))))/(INDEX(Reference!$A$6:$A$11,MIN(5,MATCH(MAX(Reference!$A$6,MIN(Reference!$A$11,MIN($U126,120))),Reference!$A$6:$A$11,1))+1)-INDEX(Reference!$A$6:$A$11,MIN(5,MATCH(MAX(Reference!$A$6,MIN(Reference!$A$11,MIN($U126,120))),Reference!$A$6:$A$11,1))))),0)+IF(3&lt;=$AL126,($AL126-3+3)*(INDEX(Reference!$B$6:$B$11,MIN(5,MATCH(MAX(Reference!$A$6,MIN(Reference!$A$11,MIN($U126,150))),Reference!$A$6:$A$11,1)))+(MAX(Reference!$A$6,MIN(Reference!$A$11,MIN($U126,150)))-INDEX(Reference!$A$6:$A$11,MIN(5,MATCH(MAX(Reference!$A$6,MIN(Reference!$A$11,MIN($U126,150))),Reference!$A$6:$A$11,1))))*(INDEX(Reference!$B$6:$B$11,MIN(5,MATCH(MAX(Reference!$A$6,MIN(Reference!$A$11,MIN($U126,150))),Reference!$A$6:$A$11,1))+1)-INDEX(Reference!$B$6:$B$11,MIN(5,MATCH(MAX(Reference!$A$6,MIN(Reference!$A$11,MIN($U126,150))),Reference!$A$6:$A$11,1))))/(INDEX(Reference!$A$6:$A$11,MIN(5,MATCH(MAX(Reference!$A$6,MIN(Reference!$A$11,MIN($U126,150))),Reference!$A$6:$A$11,1))+1)-INDEX(Reference!$A$6:$A$11,MIN(5,MATCH(MAX(Reference!$A$6,MIN(Reference!$A$11,MIN($U126,150))),Reference!$A$6:$A$11,1))))),0)+IF(4&lt;=$AL126,($AL126-4+3)*(INDEX(Reference!$B$6:$B$11,MIN(5,MATCH(MAX(Reference!$A$6,MIN(Reference!$A$11,MIN($U126,180))),Reference!$A$6:$A$11,1)))+(MAX(Reference!$A$6,MIN(Reference!$A$11,MIN($U126,180)))-INDEX(Reference!$A$6:$A$11,MIN(5,MATCH(MAX(Reference!$A$6,MIN(Reference!$A$11,MIN($U126,180))),Reference!$A$6:$A$11,1))))*(INDEX(Reference!$B$6:$B$11,MIN(5,MATCH(MAX(Reference!$A$6,MIN(Reference!$A$11,MIN($U126,180))),Reference!$A$6:$A$11,1))+1)-INDEX(Reference!$B$6:$B$11,MIN(5,MATCH(MAX(Reference!$A$6,MIN(Reference!$A$11,MIN($U126,180))),Reference!$A$6:$A$11,1))))/(INDEX(Reference!$A$6:$A$11,MIN(5,MATCH(MAX(Reference!$A$6,MIN(Reference!$A$11,MIN($U126,180))),Reference!$A$6:$A$11,1))+1)-INDEX(Reference!$A$6:$A$11,MIN(5,MATCH(MAX(Reference!$A$6,MIN(Reference!$A$11,MIN($U126,180))),Reference!$A$6:$A$11,1))))),0)+IF(5&lt;=$AL126,($AL126-5+3)*(INDEX(Reference!$B$6:$B$11,MIN(5,MATCH(MAX(Reference!$A$6,MIN(Reference!$A$11,MIN($U126,210))),Reference!$A$6:$A$11,1)))+(MAX(Reference!$A$6,MIN(Reference!$A$11,MIN($U126,210)))-INDEX(Reference!$A$6:$A$11,MIN(5,MATCH(MAX(Reference!$A$6,MIN(Reference!$A$11,MIN($U126,210))),Reference!$A$6:$A$11,1))))*(INDEX(Reference!$B$6:$B$11,MIN(5,MATCH(MAX(Reference!$A$6,MIN(Reference!$A$11,MIN($U126,210))),Reference!$A$6:$A$11,1))+1)-INDEX(Reference!$B$6:$B$11,MIN(5,MATCH(MAX(Reference!$A$6,MIN(Reference!$A$11,MIN($U126,210))),Reference!$A$6:$A$11,1))))/(INDEX(Reference!$A$6:$A$11,MIN(5,MATCH(MAX(Reference!$A$6,MIN(Reference!$A$11,MIN($U126,210))),Reference!$A$6:$A$11,1))+1)-INDEX(Reference!$A$6:$A$11,MIN(5,MATCH(MAX(Reference!$A$6,MIN(Reference!$A$11,MIN($U126,210))),Reference!$A$6:$A$11,1))))),0)+IF(6&lt;=$AL126,($AL126-6+3)*(INDEX(Reference!$B$6:$B$11,MIN(5,MATCH(MAX(Reference!$A$6,MIN(Reference!$A$11,MIN($U126,240))),Reference!$A$6:$A$11,1)))+(MAX(Reference!$A$6,MIN(Reference!$A$11,MIN($U126,240)))-INDEX(Reference!$A$6:$A$11,MIN(5,MATCH(MAX(Reference!$A$6,MIN(Reference!$A$11,MIN($U126,240))),Reference!$A$6:$A$11,1))))*(INDEX(Reference!$B$6:$B$11,MIN(5,MATCH(MAX(Reference!$A$6,MIN(Reference!$A$11,MIN($U126,240))),Reference!$A$6:$A$11,1))+1)-INDEX(Reference!$B$6:$B$11,MIN(5,MATCH(MAX(Reference!$A$6,MIN(Reference!$A$11,MIN($U126,240))),Reference!$A$6:$A$11,1))))/(INDEX(Reference!$A$6:$A$11,MIN(5,MATCH(MAX(Reference!$A$6,MIN(Reference!$A$11,MIN($U126,240))),Reference!$A$6:$A$11,1))+1)-INDEX(Reference!$A$6:$A$11,MIN(5,MATCH(MAX(Reference!$A$6,MIN(Reference!$A$11,MIN($U126,240))),Reference!$A$6:$A$11,1))))),0)+IF(7&lt;=$AL126,($AL126-7+3)*(INDEX(Reference!$B$6:$B$11,MIN(5,MATCH(MAX(Reference!$A$6,MIN(Reference!$A$11,MIN($U126,270))),Reference!$A$6:$A$11,1)))+(MAX(Reference!$A$6,MIN(Reference!$A$11,MIN($U126,270)))-INDEX(Reference!$A$6:$A$11,MIN(5,MATCH(MAX(Reference!$A$6,MIN(Reference!$A$11,MIN($U126,270))),Reference!$A$6:$A$11,1))))*(INDEX(Reference!$B$6:$B$11,MIN(5,MATCH(MAX(Reference!$A$6,MIN(Reference!$A$11,MIN($U126,270))),Reference!$A$6:$A$11,1))+1)-INDEX(Reference!$B$6:$B$11,MIN(5,MATCH(MAX(Reference!$A$6,MIN(Reference!$A$11,MIN($U126,270))),Reference!$A$6:$A$11,1))))/(INDEX(Reference!$A$6:$A$11,MIN(5,MATCH(MAX(Reference!$A$6,MIN(Reference!$A$11,MIN($U126,270))),Reference!$A$6:$A$11,1))+1)-INDEX(Reference!$A$6:$A$11,MIN(5,MATCH(MAX(Reference!$A$6,MIN(Reference!$A$11,MIN($U126,270))),Reference!$A$6:$A$11,1))))),0)+IF(8&lt;=$AL126,($AL126-8+3)*(INDEX(Reference!$B$6:$B$11,MIN(5,MATCH(MAX(Reference!$A$6,MIN(Reference!$A$11,MIN($U126,300))),Reference!$A$6:$A$11,1)))+(MAX(Reference!$A$6,MIN(Reference!$A$11,MIN($U126,300)))-INDEX(Reference!$A$6:$A$11,MIN(5,MATCH(MAX(Reference!$A$6,MIN(Reference!$A$11,MIN($U126,300))),Reference!$A$6:$A$11,1))))*(INDEX(Reference!$B$6:$B$11,MIN(5,MATCH(MAX(Reference!$A$6,MIN(Reference!$A$11,MIN($U126,300))),Reference!$A$6:$A$11,1))+1)-INDEX(Reference!$B$6:$B$11,MIN(5,MATCH(MAX(Reference!$A$6,MIN(Reference!$A$11,MIN($U126,300))),Reference!$A$6:$A$11,1))))/(INDEX(Reference!$A$6:$A$11,MIN(5,MATCH(MAX(Reference!$A$6,MIN(Reference!$A$11,MIN($U126,300))),Reference!$A$6:$A$11,1))+1)-INDEX(Reference!$A$6:$A$11,MIN(5,MATCH(MAX(Reference!$A$6,MIN(Reference!$A$11,MIN($U126,300))),Reference!$A$6:$A$11,1))))),0))/($AL126*($AL126+5)/2)),$AN126))</f>
        <v>1.1499999999999999</v>
      </c>
      <c r="AN126" s="32">
        <f>IF($U126="",0,(INDEX(Reference!$B$6:$B$11,MIN(5,MATCH(MAX(Reference!$A$6,MIN(Reference!$A$11,$U126)),Reference!$A$6:$A$11,1)))+(MAX(Reference!$A$6,MIN(Reference!$A$11,$U126))-INDEX(Reference!$A$6:$A$11,MIN(5,MATCH(MAX(Reference!$A$6,MIN(Reference!$A$11,$U126)),Reference!$A$6:$A$11,1))))*(INDEX(Reference!$B$6:$B$11,MIN(5,MATCH(MAX(Reference!$A$6,MIN(Reference!$A$11,$U126)),Reference!$A$6:$A$11,1))+1)-INDEX(Reference!$B$6:$B$11,MIN(5,MATCH(MAX(Reference!$A$6,MIN(Reference!$A$11,$U126)),Reference!$A$6:$A$11,1))))/(INDEX(Reference!$A$6:$A$11,MIN(5,MATCH(MAX(Reference!$A$6,MIN(Reference!$A$11,$U126)),Reference!$A$6:$A$11,1))+1)-INDEX(Reference!$A$6:$A$11,MIN(5,MATCH(MAX(Reference!$A$6,MIN(Reference!$A$11,$U126)),Reference!$A$6:$A$11,1))))))</f>
        <v>1.1499999999999999</v>
      </c>
      <c r="AO126" s="37"/>
      <c r="AP126" s="37"/>
      <c r="AQ126" s="37"/>
    </row>
    <row r="127" spans="1:43" x14ac:dyDescent="0.3">
      <c r="A127" s="48">
        <f t="shared" si="55"/>
        <v>46391</v>
      </c>
      <c r="B127" s="32" t="str">
        <f t="shared" si="56"/>
        <v>Mon</v>
      </c>
      <c r="C127" s="32">
        <f t="shared" si="57"/>
        <v>0</v>
      </c>
      <c r="D127" s="32" t="str">
        <f t="shared" si="58"/>
        <v>First Bullpen</v>
      </c>
      <c r="E127" s="32" t="str">
        <f t="shared" si="59"/>
        <v>High Bullpen</v>
      </c>
      <c r="F127" s="32" t="str">
        <f t="shared" si="60"/>
        <v>Bullpen</v>
      </c>
      <c r="G127" s="47" t="str">
        <f t="shared" si="61"/>
        <v>90 ft × 25 @ 79–81 mph + MOUND × 20 pitches @ 84–86 mph</v>
      </c>
      <c r="H127" s="30">
        <f t="shared" si="62"/>
        <v>109.5</v>
      </c>
      <c r="I127" s="46">
        <f>IF($A127="","",IF(AND($L127&lt;27,$K$12=0),"Building",IFERROR(((SUM($H$121:$H127)+$K$12*IF($L127&lt;6,SUMIFS('Throw Log'!$Q$5:$Q$300,'Throw Log'!$B$5:$B$300,$D$4,'Throw Log'!$A$5:$A$300,"&gt;="&amp;($D$6+$L127-6),'Throw Log'!$A$5:$A$300,"&lt;="&amp;($D$6-1)),0))/7)/((SUM($H$100:$H127)+$K$12*IF($L127&lt;27,SUMIFS('Throw Log'!$Q$5:$Q$300,'Throw Log'!$B$5:$B$300,$D$4,'Throw Log'!$A$5:$A$300,"&gt;="&amp;($D$6+$L127-27),'Throw Log'!$A$5:$A$300,"&lt;="&amp;($D$6-1)),0))/28),"")))</f>
        <v>1.3197223370749587</v>
      </c>
      <c r="J127" s="37"/>
      <c r="K127" s="37"/>
      <c r="L127" s="32">
        <v>84</v>
      </c>
      <c r="M127" s="32">
        <f t="shared" si="63"/>
        <v>13</v>
      </c>
      <c r="N127" s="32">
        <f t="shared" si="64"/>
        <v>0</v>
      </c>
      <c r="O127" s="32">
        <f t="shared" si="65"/>
        <v>1</v>
      </c>
      <c r="P127" s="32" t="str">
        <f>IF(OR($A127="",N($C127)&lt;=7),"",$G$6*$G$9^($M127-1)*IF(AND(MOD($M127,Reference!$B$99)=0,$M127&lt;=$G$5-2),Reference!$B$100,1))</f>
        <v/>
      </c>
      <c r="Q127" s="32" t="str">
        <f>IF($P127="","",IF(SUM($AK$127:$AK$133)=0,0,$P127*INDEX(Reference!$B$108:$B$114,$N127+1)/SUM($AK$127:$AK$133)))</f>
        <v/>
      </c>
      <c r="R127" s="32">
        <f t="shared" si="66"/>
        <v>180</v>
      </c>
      <c r="S127" s="32">
        <f t="shared" si="67"/>
        <v>150</v>
      </c>
      <c r="T127" s="32" t="str">
        <f>IF($A127="","",IF($C127=0,"Bullpen",IF(OR($C127=7,$C127=1,$C127=5),"Recovery/Easy Catch",IF($C127=6,"Compression/Pulldowns",IF(OR($C127=4,$C127=2),"Long Toss",IF($C127=3,"No Throw",IF($N127=2,"No Throw",IF($N127=6,IF($O127&lt;Reference!$B$104,"No Throw","Recovery/Easy Catch"),IF(OR($N127=0,$N127=4),"Recovery/Easy Catch",IF($N127=1,IF($R127&gt;75,"Long Toss","Recovery/Easy Catch"),IF($N127=3,IF($O127&lt;0.5,IF($S127&gt;75,"Long Toss","Recovery/Easy Catch"),"Compression/Pulldowns"),IF($S127&gt;75,"Long Toss","Recovery/Easy Catch"))))))))))))</f>
        <v>Bullpen</v>
      </c>
      <c r="U127" s="32">
        <f t="shared" si="68"/>
        <v>90</v>
      </c>
      <c r="V127" s="32">
        <f t="shared" si="69"/>
        <v>10</v>
      </c>
      <c r="W127" s="32">
        <f t="shared" si="70"/>
        <v>12</v>
      </c>
      <c r="X127" s="32">
        <f t="shared" si="71"/>
        <v>0</v>
      </c>
      <c r="Y127" s="32" t="str">
        <f t="shared" si="72"/>
        <v/>
      </c>
      <c r="Z127" s="32" t="str">
        <f t="shared" si="73"/>
        <v/>
      </c>
      <c r="AA127" s="32">
        <f t="shared" si="74"/>
        <v>25</v>
      </c>
      <c r="AB127" s="32">
        <f>IF($A127="","",IF($T127="No Throw",0,IF($K127&lt;&gt;"",$K127,IF($AA127&lt;&gt;"",ROUND($AA127*$D$12*IF($C127=0,1,$G$10),0),MIN(IF($T127="Recovery/Easy Catch",Reference!$B$103,IF($T127="Long Toss",Reference!$B$106,Reference!$B$102)),MAX(Reference!$B$101,ROUND(MAX(0,$Q127-$AE127)/$AF127,0)))))))</f>
        <v>25</v>
      </c>
      <c r="AC127" s="44">
        <f t="shared" si="75"/>
        <v>20</v>
      </c>
      <c r="AD127" s="32" t="b">
        <f t="shared" si="76"/>
        <v>0</v>
      </c>
      <c r="AE127" s="32">
        <f>IF($X127=0,0,$X127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127+$Z127)/2,0),Reference!$A$17:$B$20,2,TRUE()))</f>
        <v>0</v>
      </c>
      <c r="AF127" s="32">
        <f>IF(OR($A127="",$U127="",$T127="No Throw"),0,$AM127*VLOOKUP(MAX(($V127+$W127)/2,0),Reference!$A$17:$B$20,2,TRUE()))</f>
        <v>0.78</v>
      </c>
      <c r="AG127" s="32">
        <f>IF($AC127=0,0,$AC127*INDEX(Reference!$B$61:$B$62,MATCH("Bullpen",Reference!$A$61:$A$62,0))*VLOOKUP(MAX($D$5-($D$9+$E$9)/2,0),Reference!$A$17:$B$20,2,TRUE()))</f>
        <v>90</v>
      </c>
      <c r="AH127" s="46">
        <f t="shared" si="77"/>
        <v>1.3197223370749587</v>
      </c>
      <c r="AI127" s="32">
        <f>IF($A127="",NA(),Reference!$A$25)</f>
        <v>0.8</v>
      </c>
      <c r="AJ127" s="32">
        <f t="shared" si="78"/>
        <v>1.3</v>
      </c>
      <c r="AK127" s="32">
        <f>IF(OR($A127="",N($C127)&lt;=7,$T127="No Throw",$J127="x"),0,INDEX(Reference!$B$108:$B$114,$N127+1))</f>
        <v>0</v>
      </c>
      <c r="AL127" s="32">
        <f t="shared" si="79"/>
        <v>1</v>
      </c>
      <c r="AM127" s="32">
        <f>IF($U127="",0,IF($AL127&gt;1,((IF(1&lt;=$AL127,($AL127-1+3)*(INDEX(Reference!$B$6:$B$11,MIN(5,MATCH(MAX(Reference!$A$6,MIN(Reference!$A$11,MIN($U127,90))),Reference!$A$6:$A$11,1)))+(MAX(Reference!$A$6,MIN(Reference!$A$11,MIN($U127,90)))-INDEX(Reference!$A$6:$A$11,MIN(5,MATCH(MAX(Reference!$A$6,MIN(Reference!$A$11,MIN($U127,90))),Reference!$A$6:$A$11,1))))*(INDEX(Reference!$B$6:$B$11,MIN(5,MATCH(MAX(Reference!$A$6,MIN(Reference!$A$11,MIN($U127,90))),Reference!$A$6:$A$11,1))+1)-INDEX(Reference!$B$6:$B$11,MIN(5,MATCH(MAX(Reference!$A$6,MIN(Reference!$A$11,MIN($U127,90))),Reference!$A$6:$A$11,1))))/(INDEX(Reference!$A$6:$A$11,MIN(5,MATCH(MAX(Reference!$A$6,MIN(Reference!$A$11,MIN($U127,90))),Reference!$A$6:$A$11,1))+1)-INDEX(Reference!$A$6:$A$11,MIN(5,MATCH(MAX(Reference!$A$6,MIN(Reference!$A$11,MIN($U127,90))),Reference!$A$6:$A$11,1))))),0)+IF(2&lt;=$AL127,($AL127-2+3)*(INDEX(Reference!$B$6:$B$11,MIN(5,MATCH(MAX(Reference!$A$6,MIN(Reference!$A$11,MIN($U127,120))),Reference!$A$6:$A$11,1)))+(MAX(Reference!$A$6,MIN(Reference!$A$11,MIN($U127,120)))-INDEX(Reference!$A$6:$A$11,MIN(5,MATCH(MAX(Reference!$A$6,MIN(Reference!$A$11,MIN($U127,120))),Reference!$A$6:$A$11,1))))*(INDEX(Reference!$B$6:$B$11,MIN(5,MATCH(MAX(Reference!$A$6,MIN(Reference!$A$11,MIN($U127,120))),Reference!$A$6:$A$11,1))+1)-INDEX(Reference!$B$6:$B$11,MIN(5,MATCH(MAX(Reference!$A$6,MIN(Reference!$A$11,MIN($U127,120))),Reference!$A$6:$A$11,1))))/(INDEX(Reference!$A$6:$A$11,MIN(5,MATCH(MAX(Reference!$A$6,MIN(Reference!$A$11,MIN($U127,120))),Reference!$A$6:$A$11,1))+1)-INDEX(Reference!$A$6:$A$11,MIN(5,MATCH(MAX(Reference!$A$6,MIN(Reference!$A$11,MIN($U127,120))),Reference!$A$6:$A$11,1))))),0)+IF(3&lt;=$AL127,($AL127-3+3)*(INDEX(Reference!$B$6:$B$11,MIN(5,MATCH(MAX(Reference!$A$6,MIN(Reference!$A$11,MIN($U127,150))),Reference!$A$6:$A$11,1)))+(MAX(Reference!$A$6,MIN(Reference!$A$11,MIN($U127,150)))-INDEX(Reference!$A$6:$A$11,MIN(5,MATCH(MAX(Reference!$A$6,MIN(Reference!$A$11,MIN($U127,150))),Reference!$A$6:$A$11,1))))*(INDEX(Reference!$B$6:$B$11,MIN(5,MATCH(MAX(Reference!$A$6,MIN(Reference!$A$11,MIN($U127,150))),Reference!$A$6:$A$11,1))+1)-INDEX(Reference!$B$6:$B$11,MIN(5,MATCH(MAX(Reference!$A$6,MIN(Reference!$A$11,MIN($U127,150))),Reference!$A$6:$A$11,1))))/(INDEX(Reference!$A$6:$A$11,MIN(5,MATCH(MAX(Reference!$A$6,MIN(Reference!$A$11,MIN($U127,150))),Reference!$A$6:$A$11,1))+1)-INDEX(Reference!$A$6:$A$11,MIN(5,MATCH(MAX(Reference!$A$6,MIN(Reference!$A$11,MIN($U127,150))),Reference!$A$6:$A$11,1))))),0)+IF(4&lt;=$AL127,($AL127-4+3)*(INDEX(Reference!$B$6:$B$11,MIN(5,MATCH(MAX(Reference!$A$6,MIN(Reference!$A$11,MIN($U127,180))),Reference!$A$6:$A$11,1)))+(MAX(Reference!$A$6,MIN(Reference!$A$11,MIN($U127,180)))-INDEX(Reference!$A$6:$A$11,MIN(5,MATCH(MAX(Reference!$A$6,MIN(Reference!$A$11,MIN($U127,180))),Reference!$A$6:$A$11,1))))*(INDEX(Reference!$B$6:$B$11,MIN(5,MATCH(MAX(Reference!$A$6,MIN(Reference!$A$11,MIN($U127,180))),Reference!$A$6:$A$11,1))+1)-INDEX(Reference!$B$6:$B$11,MIN(5,MATCH(MAX(Reference!$A$6,MIN(Reference!$A$11,MIN($U127,180))),Reference!$A$6:$A$11,1))))/(INDEX(Reference!$A$6:$A$11,MIN(5,MATCH(MAX(Reference!$A$6,MIN(Reference!$A$11,MIN($U127,180))),Reference!$A$6:$A$11,1))+1)-INDEX(Reference!$A$6:$A$11,MIN(5,MATCH(MAX(Reference!$A$6,MIN(Reference!$A$11,MIN($U127,180))),Reference!$A$6:$A$11,1))))),0)+IF(5&lt;=$AL127,($AL127-5+3)*(INDEX(Reference!$B$6:$B$11,MIN(5,MATCH(MAX(Reference!$A$6,MIN(Reference!$A$11,MIN($U127,210))),Reference!$A$6:$A$11,1)))+(MAX(Reference!$A$6,MIN(Reference!$A$11,MIN($U127,210)))-INDEX(Reference!$A$6:$A$11,MIN(5,MATCH(MAX(Reference!$A$6,MIN(Reference!$A$11,MIN($U127,210))),Reference!$A$6:$A$11,1))))*(INDEX(Reference!$B$6:$B$11,MIN(5,MATCH(MAX(Reference!$A$6,MIN(Reference!$A$11,MIN($U127,210))),Reference!$A$6:$A$11,1))+1)-INDEX(Reference!$B$6:$B$11,MIN(5,MATCH(MAX(Reference!$A$6,MIN(Reference!$A$11,MIN($U127,210))),Reference!$A$6:$A$11,1))))/(INDEX(Reference!$A$6:$A$11,MIN(5,MATCH(MAX(Reference!$A$6,MIN(Reference!$A$11,MIN($U127,210))),Reference!$A$6:$A$11,1))+1)-INDEX(Reference!$A$6:$A$11,MIN(5,MATCH(MAX(Reference!$A$6,MIN(Reference!$A$11,MIN($U127,210))),Reference!$A$6:$A$11,1))))),0)+IF(6&lt;=$AL127,($AL127-6+3)*(INDEX(Reference!$B$6:$B$11,MIN(5,MATCH(MAX(Reference!$A$6,MIN(Reference!$A$11,MIN($U127,240))),Reference!$A$6:$A$11,1)))+(MAX(Reference!$A$6,MIN(Reference!$A$11,MIN($U127,240)))-INDEX(Reference!$A$6:$A$11,MIN(5,MATCH(MAX(Reference!$A$6,MIN(Reference!$A$11,MIN($U127,240))),Reference!$A$6:$A$11,1))))*(INDEX(Reference!$B$6:$B$11,MIN(5,MATCH(MAX(Reference!$A$6,MIN(Reference!$A$11,MIN($U127,240))),Reference!$A$6:$A$11,1))+1)-INDEX(Reference!$B$6:$B$11,MIN(5,MATCH(MAX(Reference!$A$6,MIN(Reference!$A$11,MIN($U127,240))),Reference!$A$6:$A$11,1))))/(INDEX(Reference!$A$6:$A$11,MIN(5,MATCH(MAX(Reference!$A$6,MIN(Reference!$A$11,MIN($U127,240))),Reference!$A$6:$A$11,1))+1)-INDEX(Reference!$A$6:$A$11,MIN(5,MATCH(MAX(Reference!$A$6,MIN(Reference!$A$11,MIN($U127,240))),Reference!$A$6:$A$11,1))))),0)+IF(7&lt;=$AL127,($AL127-7+3)*(INDEX(Reference!$B$6:$B$11,MIN(5,MATCH(MAX(Reference!$A$6,MIN(Reference!$A$11,MIN($U127,270))),Reference!$A$6:$A$11,1)))+(MAX(Reference!$A$6,MIN(Reference!$A$11,MIN($U127,270)))-INDEX(Reference!$A$6:$A$11,MIN(5,MATCH(MAX(Reference!$A$6,MIN(Reference!$A$11,MIN($U127,270))),Reference!$A$6:$A$11,1))))*(INDEX(Reference!$B$6:$B$11,MIN(5,MATCH(MAX(Reference!$A$6,MIN(Reference!$A$11,MIN($U127,270))),Reference!$A$6:$A$11,1))+1)-INDEX(Reference!$B$6:$B$11,MIN(5,MATCH(MAX(Reference!$A$6,MIN(Reference!$A$11,MIN($U127,270))),Reference!$A$6:$A$11,1))))/(INDEX(Reference!$A$6:$A$11,MIN(5,MATCH(MAX(Reference!$A$6,MIN(Reference!$A$11,MIN($U127,270))),Reference!$A$6:$A$11,1))+1)-INDEX(Reference!$A$6:$A$11,MIN(5,MATCH(MAX(Reference!$A$6,MIN(Reference!$A$11,MIN($U127,270))),Reference!$A$6:$A$11,1))))),0)+IF(8&lt;=$AL127,($AL127-8+3)*(INDEX(Reference!$B$6:$B$11,MIN(5,MATCH(MAX(Reference!$A$6,MIN(Reference!$A$11,MIN($U127,300))),Reference!$A$6:$A$11,1)))+(MAX(Reference!$A$6,MIN(Reference!$A$11,MIN($U127,300)))-INDEX(Reference!$A$6:$A$11,MIN(5,MATCH(MAX(Reference!$A$6,MIN(Reference!$A$11,MIN($U127,300))),Reference!$A$6:$A$11,1))))*(INDEX(Reference!$B$6:$B$11,MIN(5,MATCH(MAX(Reference!$A$6,MIN(Reference!$A$11,MIN($U127,300))),Reference!$A$6:$A$11,1))+1)-INDEX(Reference!$B$6:$B$11,MIN(5,MATCH(MAX(Reference!$A$6,MIN(Reference!$A$11,MIN($U127,300))),Reference!$A$6:$A$11,1))))/(INDEX(Reference!$A$6:$A$11,MIN(5,MATCH(MAX(Reference!$A$6,MIN(Reference!$A$11,MIN($U127,300))),Reference!$A$6:$A$11,1))+1)-INDEX(Reference!$A$6:$A$11,MIN(5,MATCH(MAX(Reference!$A$6,MIN(Reference!$A$11,MIN($U127,300))),Reference!$A$6:$A$11,1))))),0))/($AL127*($AL127+5)/2)),$AN127))</f>
        <v>1.3</v>
      </c>
      <c r="AN127" s="32">
        <f>IF($U127="",0,(INDEX(Reference!$B$6:$B$11,MIN(5,MATCH(MAX(Reference!$A$6,MIN(Reference!$A$11,$U127)),Reference!$A$6:$A$11,1)))+(MAX(Reference!$A$6,MIN(Reference!$A$11,$U127))-INDEX(Reference!$A$6:$A$11,MIN(5,MATCH(MAX(Reference!$A$6,MIN(Reference!$A$11,$U127)),Reference!$A$6:$A$11,1))))*(INDEX(Reference!$B$6:$B$11,MIN(5,MATCH(MAX(Reference!$A$6,MIN(Reference!$A$11,$U127)),Reference!$A$6:$A$11,1))+1)-INDEX(Reference!$B$6:$B$11,MIN(5,MATCH(MAX(Reference!$A$6,MIN(Reference!$A$11,$U127)),Reference!$A$6:$A$11,1))))/(INDEX(Reference!$A$6:$A$11,MIN(5,MATCH(MAX(Reference!$A$6,MIN(Reference!$A$11,$U127)),Reference!$A$6:$A$11,1))+1)-INDEX(Reference!$A$6:$A$11,MIN(5,MATCH(MAX(Reference!$A$6,MIN(Reference!$A$11,$U127)),Reference!$A$6:$A$11,1))))))</f>
        <v>1.3</v>
      </c>
      <c r="AO127" s="37"/>
      <c r="AP127" s="37"/>
      <c r="AQ127" s="37"/>
    </row>
    <row r="128" spans="1:43" x14ac:dyDescent="0.3">
      <c r="A128" s="48" t="str">
        <f t="shared" si="55"/>
        <v/>
      </c>
      <c r="B128" s="32" t="str">
        <f t="shared" si="56"/>
        <v/>
      </c>
      <c r="C128" s="32" t="str">
        <f t="shared" si="57"/>
        <v/>
      </c>
      <c r="D128" s="32" t="str">
        <f t="shared" si="58"/>
        <v/>
      </c>
      <c r="E128" s="32" t="str">
        <f t="shared" si="59"/>
        <v/>
      </c>
      <c r="F128" s="32" t="str">
        <f t="shared" si="60"/>
        <v/>
      </c>
      <c r="G128" s="47" t="str">
        <f t="shared" si="61"/>
        <v/>
      </c>
      <c r="H128" s="30" t="str">
        <f t="shared" si="62"/>
        <v/>
      </c>
      <c r="I128" s="46" t="str">
        <f>IF($A128="","",IF(AND($L128&lt;27,$K$12=0),"Building",IFERROR(((SUM($H$122:$H128)+$K$12*IF($L128&lt;6,SUMIFS('Throw Log'!$Q$5:$Q$300,'Throw Log'!$B$5:$B$300,$D$4,'Throw Log'!$A$5:$A$300,"&gt;="&amp;($D$6+$L128-6),'Throw Log'!$A$5:$A$300,"&lt;="&amp;($D$6-1)),0))/7)/((SUM($H$101:$H128)+$K$12*IF($L128&lt;27,SUMIFS('Throw Log'!$Q$5:$Q$300,'Throw Log'!$B$5:$B$300,$D$4,'Throw Log'!$A$5:$A$300,"&gt;="&amp;($D$6+$L128-27),'Throw Log'!$A$5:$A$300,"&lt;="&amp;($D$6-1)),0))/28),"")))</f>
        <v/>
      </c>
      <c r="J128" s="37"/>
      <c r="K128" s="37"/>
      <c r="L128" s="32">
        <v>85</v>
      </c>
      <c r="M128" s="32">
        <f t="shared" si="63"/>
        <v>13</v>
      </c>
      <c r="N128" s="32">
        <f t="shared" si="64"/>
        <v>1</v>
      </c>
      <c r="O128" s="32">
        <f t="shared" si="65"/>
        <v>1</v>
      </c>
      <c r="P128" s="32" t="str">
        <f>IF(OR($A128="",N($C128)&lt;=7),"",$G$6*$G$9^($M128-1)*IF(AND(MOD($M128,Reference!$B$99)=0,$M128&lt;=$G$5-2),Reference!$B$100,1))</f>
        <v/>
      </c>
      <c r="Q128" s="32" t="str">
        <f>IF($P128="","",IF(SUM($AK$127:$AK$133)=0,0,$P128*INDEX(Reference!$B$108:$B$114,$N128+1)/SUM($AK$127:$AK$133)))</f>
        <v/>
      </c>
      <c r="R128" s="32">
        <f t="shared" si="66"/>
        <v>180</v>
      </c>
      <c r="S128" s="32">
        <f t="shared" si="67"/>
        <v>150</v>
      </c>
      <c r="T128" s="32" t="str">
        <f>IF($A128="","",IF($C128=0,"Bullpen",IF(OR($C128=7,$C128=1,$C128=5),"Recovery/Easy Catch",IF($C128=6,"Compression/Pulldowns",IF(OR($C128=4,$C128=2),"Long Toss",IF($C128=3,"No Throw",IF($N128=2,"No Throw",IF($N128=6,IF($O128&lt;Reference!$B$104,"No Throw","Recovery/Easy Catch"),IF(OR($N128=0,$N128=4),"Recovery/Easy Catch",IF($N128=1,IF($R128&gt;75,"Long Toss","Recovery/Easy Catch"),IF($N128=3,IF($O128&lt;0.5,IF($S128&gt;75,"Long Toss","Recovery/Easy Catch"),"Compression/Pulldowns"),IF($S128&gt;75,"Long Toss","Recovery/Easy Catch"))))))))))))</f>
        <v/>
      </c>
      <c r="U128" s="32" t="str">
        <f t="shared" si="68"/>
        <v/>
      </c>
      <c r="V128" s="32" t="str">
        <f t="shared" si="69"/>
        <v/>
      </c>
      <c r="W128" s="32" t="str">
        <f t="shared" si="70"/>
        <v/>
      </c>
      <c r="X128" s="32">
        <f t="shared" si="71"/>
        <v>0</v>
      </c>
      <c r="Y128" s="32" t="str">
        <f t="shared" si="72"/>
        <v/>
      </c>
      <c r="Z128" s="32" t="str">
        <f t="shared" si="73"/>
        <v/>
      </c>
      <c r="AA128" s="32" t="str">
        <f t="shared" si="74"/>
        <v/>
      </c>
      <c r="AB128" s="32" t="str">
        <f>IF($A128="","",IF($T128="No Throw",0,IF($K128&lt;&gt;"",$K128,IF($AA128&lt;&gt;"",ROUND($AA128*$D$12*IF($C128=0,1,$G$10),0),MIN(IF($T128="Recovery/Easy Catch",Reference!$B$103,IF($T128="Long Toss",Reference!$B$106,Reference!$B$102)),MAX(Reference!$B$101,ROUND(MAX(0,$Q128-$AE128)/$AF128,0)))))))</f>
        <v/>
      </c>
      <c r="AC128" s="32">
        <f t="shared" si="75"/>
        <v>0</v>
      </c>
      <c r="AD128" s="32" t="b">
        <f t="shared" si="76"/>
        <v>1</v>
      </c>
      <c r="AE128" s="32">
        <f>IF($X128=0,0,$X128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128+$Z128)/2,0),Reference!$A$17:$B$20,2,TRUE()))</f>
        <v>0</v>
      </c>
      <c r="AF128" s="32">
        <f>IF(OR($A128="",$U128="",$T128="No Throw"),0,$AM128*VLOOKUP(MAX(($V128+$W128)/2,0),Reference!$A$17:$B$20,2,TRUE()))</f>
        <v>0</v>
      </c>
      <c r="AG128" s="32">
        <f>IF($AC128=0,0,$AC128*INDEX(Reference!$B$61:$B$62,MATCH("Bullpen",Reference!$A$61:$A$62,0))*VLOOKUP(MAX($D$5-($D$9+$E$9)/2,0),Reference!$A$17:$B$20,2,TRUE()))</f>
        <v>0</v>
      </c>
      <c r="AH128" s="32" t="e">
        <f t="shared" si="77"/>
        <v>#N/A</v>
      </c>
      <c r="AI128" s="32" t="e">
        <f>IF($A128="",NA(),Reference!$A$25)</f>
        <v>#N/A</v>
      </c>
      <c r="AJ128" s="32" t="e">
        <f t="shared" si="78"/>
        <v>#N/A</v>
      </c>
      <c r="AK128" s="32">
        <f>IF(OR($A128="",N($C128)&lt;=7,$T128="No Throw",$J128="x"),0,INDEX(Reference!$B$108:$B$114,$N128+1))</f>
        <v>0</v>
      </c>
      <c r="AL128" s="32">
        <f t="shared" si="79"/>
        <v>1</v>
      </c>
      <c r="AM128" s="32">
        <f>IF($U128="",0,IF($AL128&gt;1,((IF(1&lt;=$AL128,($AL128-1+3)*(INDEX(Reference!$B$6:$B$11,MIN(5,MATCH(MAX(Reference!$A$6,MIN(Reference!$A$11,MIN($U128,90))),Reference!$A$6:$A$11,1)))+(MAX(Reference!$A$6,MIN(Reference!$A$11,MIN($U128,90)))-INDEX(Reference!$A$6:$A$11,MIN(5,MATCH(MAX(Reference!$A$6,MIN(Reference!$A$11,MIN($U128,90))),Reference!$A$6:$A$11,1))))*(INDEX(Reference!$B$6:$B$11,MIN(5,MATCH(MAX(Reference!$A$6,MIN(Reference!$A$11,MIN($U128,90))),Reference!$A$6:$A$11,1))+1)-INDEX(Reference!$B$6:$B$11,MIN(5,MATCH(MAX(Reference!$A$6,MIN(Reference!$A$11,MIN($U128,90))),Reference!$A$6:$A$11,1))))/(INDEX(Reference!$A$6:$A$11,MIN(5,MATCH(MAX(Reference!$A$6,MIN(Reference!$A$11,MIN($U128,90))),Reference!$A$6:$A$11,1))+1)-INDEX(Reference!$A$6:$A$11,MIN(5,MATCH(MAX(Reference!$A$6,MIN(Reference!$A$11,MIN($U128,90))),Reference!$A$6:$A$11,1))))),0)+IF(2&lt;=$AL128,($AL128-2+3)*(INDEX(Reference!$B$6:$B$11,MIN(5,MATCH(MAX(Reference!$A$6,MIN(Reference!$A$11,MIN($U128,120))),Reference!$A$6:$A$11,1)))+(MAX(Reference!$A$6,MIN(Reference!$A$11,MIN($U128,120)))-INDEX(Reference!$A$6:$A$11,MIN(5,MATCH(MAX(Reference!$A$6,MIN(Reference!$A$11,MIN($U128,120))),Reference!$A$6:$A$11,1))))*(INDEX(Reference!$B$6:$B$11,MIN(5,MATCH(MAX(Reference!$A$6,MIN(Reference!$A$11,MIN($U128,120))),Reference!$A$6:$A$11,1))+1)-INDEX(Reference!$B$6:$B$11,MIN(5,MATCH(MAX(Reference!$A$6,MIN(Reference!$A$11,MIN($U128,120))),Reference!$A$6:$A$11,1))))/(INDEX(Reference!$A$6:$A$11,MIN(5,MATCH(MAX(Reference!$A$6,MIN(Reference!$A$11,MIN($U128,120))),Reference!$A$6:$A$11,1))+1)-INDEX(Reference!$A$6:$A$11,MIN(5,MATCH(MAX(Reference!$A$6,MIN(Reference!$A$11,MIN($U128,120))),Reference!$A$6:$A$11,1))))),0)+IF(3&lt;=$AL128,($AL128-3+3)*(INDEX(Reference!$B$6:$B$11,MIN(5,MATCH(MAX(Reference!$A$6,MIN(Reference!$A$11,MIN($U128,150))),Reference!$A$6:$A$11,1)))+(MAX(Reference!$A$6,MIN(Reference!$A$11,MIN($U128,150)))-INDEX(Reference!$A$6:$A$11,MIN(5,MATCH(MAX(Reference!$A$6,MIN(Reference!$A$11,MIN($U128,150))),Reference!$A$6:$A$11,1))))*(INDEX(Reference!$B$6:$B$11,MIN(5,MATCH(MAX(Reference!$A$6,MIN(Reference!$A$11,MIN($U128,150))),Reference!$A$6:$A$11,1))+1)-INDEX(Reference!$B$6:$B$11,MIN(5,MATCH(MAX(Reference!$A$6,MIN(Reference!$A$11,MIN($U128,150))),Reference!$A$6:$A$11,1))))/(INDEX(Reference!$A$6:$A$11,MIN(5,MATCH(MAX(Reference!$A$6,MIN(Reference!$A$11,MIN($U128,150))),Reference!$A$6:$A$11,1))+1)-INDEX(Reference!$A$6:$A$11,MIN(5,MATCH(MAX(Reference!$A$6,MIN(Reference!$A$11,MIN($U128,150))),Reference!$A$6:$A$11,1))))),0)+IF(4&lt;=$AL128,($AL128-4+3)*(INDEX(Reference!$B$6:$B$11,MIN(5,MATCH(MAX(Reference!$A$6,MIN(Reference!$A$11,MIN($U128,180))),Reference!$A$6:$A$11,1)))+(MAX(Reference!$A$6,MIN(Reference!$A$11,MIN($U128,180)))-INDEX(Reference!$A$6:$A$11,MIN(5,MATCH(MAX(Reference!$A$6,MIN(Reference!$A$11,MIN($U128,180))),Reference!$A$6:$A$11,1))))*(INDEX(Reference!$B$6:$B$11,MIN(5,MATCH(MAX(Reference!$A$6,MIN(Reference!$A$11,MIN($U128,180))),Reference!$A$6:$A$11,1))+1)-INDEX(Reference!$B$6:$B$11,MIN(5,MATCH(MAX(Reference!$A$6,MIN(Reference!$A$11,MIN($U128,180))),Reference!$A$6:$A$11,1))))/(INDEX(Reference!$A$6:$A$11,MIN(5,MATCH(MAX(Reference!$A$6,MIN(Reference!$A$11,MIN($U128,180))),Reference!$A$6:$A$11,1))+1)-INDEX(Reference!$A$6:$A$11,MIN(5,MATCH(MAX(Reference!$A$6,MIN(Reference!$A$11,MIN($U128,180))),Reference!$A$6:$A$11,1))))),0)+IF(5&lt;=$AL128,($AL128-5+3)*(INDEX(Reference!$B$6:$B$11,MIN(5,MATCH(MAX(Reference!$A$6,MIN(Reference!$A$11,MIN($U128,210))),Reference!$A$6:$A$11,1)))+(MAX(Reference!$A$6,MIN(Reference!$A$11,MIN($U128,210)))-INDEX(Reference!$A$6:$A$11,MIN(5,MATCH(MAX(Reference!$A$6,MIN(Reference!$A$11,MIN($U128,210))),Reference!$A$6:$A$11,1))))*(INDEX(Reference!$B$6:$B$11,MIN(5,MATCH(MAX(Reference!$A$6,MIN(Reference!$A$11,MIN($U128,210))),Reference!$A$6:$A$11,1))+1)-INDEX(Reference!$B$6:$B$11,MIN(5,MATCH(MAX(Reference!$A$6,MIN(Reference!$A$11,MIN($U128,210))),Reference!$A$6:$A$11,1))))/(INDEX(Reference!$A$6:$A$11,MIN(5,MATCH(MAX(Reference!$A$6,MIN(Reference!$A$11,MIN($U128,210))),Reference!$A$6:$A$11,1))+1)-INDEX(Reference!$A$6:$A$11,MIN(5,MATCH(MAX(Reference!$A$6,MIN(Reference!$A$11,MIN($U128,210))),Reference!$A$6:$A$11,1))))),0)+IF(6&lt;=$AL128,($AL128-6+3)*(INDEX(Reference!$B$6:$B$11,MIN(5,MATCH(MAX(Reference!$A$6,MIN(Reference!$A$11,MIN($U128,240))),Reference!$A$6:$A$11,1)))+(MAX(Reference!$A$6,MIN(Reference!$A$11,MIN($U128,240)))-INDEX(Reference!$A$6:$A$11,MIN(5,MATCH(MAX(Reference!$A$6,MIN(Reference!$A$11,MIN($U128,240))),Reference!$A$6:$A$11,1))))*(INDEX(Reference!$B$6:$B$11,MIN(5,MATCH(MAX(Reference!$A$6,MIN(Reference!$A$11,MIN($U128,240))),Reference!$A$6:$A$11,1))+1)-INDEX(Reference!$B$6:$B$11,MIN(5,MATCH(MAX(Reference!$A$6,MIN(Reference!$A$11,MIN($U128,240))),Reference!$A$6:$A$11,1))))/(INDEX(Reference!$A$6:$A$11,MIN(5,MATCH(MAX(Reference!$A$6,MIN(Reference!$A$11,MIN($U128,240))),Reference!$A$6:$A$11,1))+1)-INDEX(Reference!$A$6:$A$11,MIN(5,MATCH(MAX(Reference!$A$6,MIN(Reference!$A$11,MIN($U128,240))),Reference!$A$6:$A$11,1))))),0)+IF(7&lt;=$AL128,($AL128-7+3)*(INDEX(Reference!$B$6:$B$11,MIN(5,MATCH(MAX(Reference!$A$6,MIN(Reference!$A$11,MIN($U128,270))),Reference!$A$6:$A$11,1)))+(MAX(Reference!$A$6,MIN(Reference!$A$11,MIN($U128,270)))-INDEX(Reference!$A$6:$A$11,MIN(5,MATCH(MAX(Reference!$A$6,MIN(Reference!$A$11,MIN($U128,270))),Reference!$A$6:$A$11,1))))*(INDEX(Reference!$B$6:$B$11,MIN(5,MATCH(MAX(Reference!$A$6,MIN(Reference!$A$11,MIN($U128,270))),Reference!$A$6:$A$11,1))+1)-INDEX(Reference!$B$6:$B$11,MIN(5,MATCH(MAX(Reference!$A$6,MIN(Reference!$A$11,MIN($U128,270))),Reference!$A$6:$A$11,1))))/(INDEX(Reference!$A$6:$A$11,MIN(5,MATCH(MAX(Reference!$A$6,MIN(Reference!$A$11,MIN($U128,270))),Reference!$A$6:$A$11,1))+1)-INDEX(Reference!$A$6:$A$11,MIN(5,MATCH(MAX(Reference!$A$6,MIN(Reference!$A$11,MIN($U128,270))),Reference!$A$6:$A$11,1))))),0)+IF(8&lt;=$AL128,($AL128-8+3)*(INDEX(Reference!$B$6:$B$11,MIN(5,MATCH(MAX(Reference!$A$6,MIN(Reference!$A$11,MIN($U128,300))),Reference!$A$6:$A$11,1)))+(MAX(Reference!$A$6,MIN(Reference!$A$11,MIN($U128,300)))-INDEX(Reference!$A$6:$A$11,MIN(5,MATCH(MAX(Reference!$A$6,MIN(Reference!$A$11,MIN($U128,300))),Reference!$A$6:$A$11,1))))*(INDEX(Reference!$B$6:$B$11,MIN(5,MATCH(MAX(Reference!$A$6,MIN(Reference!$A$11,MIN($U128,300))),Reference!$A$6:$A$11,1))+1)-INDEX(Reference!$B$6:$B$11,MIN(5,MATCH(MAX(Reference!$A$6,MIN(Reference!$A$11,MIN($U128,300))),Reference!$A$6:$A$11,1))))/(INDEX(Reference!$A$6:$A$11,MIN(5,MATCH(MAX(Reference!$A$6,MIN(Reference!$A$11,MIN($U128,300))),Reference!$A$6:$A$11,1))+1)-INDEX(Reference!$A$6:$A$11,MIN(5,MATCH(MAX(Reference!$A$6,MIN(Reference!$A$11,MIN($U128,300))),Reference!$A$6:$A$11,1))))),0))/($AL128*($AL128+5)/2)),$AN128))</f>
        <v>0</v>
      </c>
      <c r="AN128" s="32">
        <f>IF($U128="",0,(INDEX(Reference!$B$6:$B$11,MIN(5,MATCH(MAX(Reference!$A$6,MIN(Reference!$A$11,$U128)),Reference!$A$6:$A$11,1)))+(MAX(Reference!$A$6,MIN(Reference!$A$11,$U128))-INDEX(Reference!$A$6:$A$11,MIN(5,MATCH(MAX(Reference!$A$6,MIN(Reference!$A$11,$U128)),Reference!$A$6:$A$11,1))))*(INDEX(Reference!$B$6:$B$11,MIN(5,MATCH(MAX(Reference!$A$6,MIN(Reference!$A$11,$U128)),Reference!$A$6:$A$11,1))+1)-INDEX(Reference!$B$6:$B$11,MIN(5,MATCH(MAX(Reference!$A$6,MIN(Reference!$A$11,$U128)),Reference!$A$6:$A$11,1))))/(INDEX(Reference!$A$6:$A$11,MIN(5,MATCH(MAX(Reference!$A$6,MIN(Reference!$A$11,$U128)),Reference!$A$6:$A$11,1))+1)-INDEX(Reference!$A$6:$A$11,MIN(5,MATCH(MAX(Reference!$A$6,MIN(Reference!$A$11,$U128)),Reference!$A$6:$A$11,1))))))</f>
        <v>0</v>
      </c>
      <c r="AO128" s="37"/>
      <c r="AP128" s="37"/>
      <c r="AQ128" s="37"/>
    </row>
    <row r="129" spans="1:43" x14ac:dyDescent="0.3">
      <c r="A129" s="48" t="str">
        <f t="shared" si="55"/>
        <v/>
      </c>
      <c r="B129" s="32" t="str">
        <f t="shared" si="56"/>
        <v/>
      </c>
      <c r="C129" s="32" t="str">
        <f t="shared" si="57"/>
        <v/>
      </c>
      <c r="D129" s="32" t="str">
        <f t="shared" si="58"/>
        <v/>
      </c>
      <c r="E129" s="32" t="str">
        <f t="shared" si="59"/>
        <v/>
      </c>
      <c r="F129" s="32" t="str">
        <f t="shared" si="60"/>
        <v/>
      </c>
      <c r="G129" s="47" t="str">
        <f t="shared" si="61"/>
        <v/>
      </c>
      <c r="H129" s="30" t="str">
        <f t="shared" si="62"/>
        <v/>
      </c>
      <c r="I129" s="46" t="str">
        <f>IF($A129="","",IF(AND($L129&lt;27,$K$12=0),"Building",IFERROR(((SUM($H$123:$H129)+$K$12*IF($L129&lt;6,SUMIFS('Throw Log'!$Q$5:$Q$300,'Throw Log'!$B$5:$B$300,$D$4,'Throw Log'!$A$5:$A$300,"&gt;="&amp;($D$6+$L129-6),'Throw Log'!$A$5:$A$300,"&lt;="&amp;($D$6-1)),0))/7)/((SUM($H$102:$H129)+$K$12*IF($L129&lt;27,SUMIFS('Throw Log'!$Q$5:$Q$300,'Throw Log'!$B$5:$B$300,$D$4,'Throw Log'!$A$5:$A$300,"&gt;="&amp;($D$6+$L129-27),'Throw Log'!$A$5:$A$300,"&lt;="&amp;($D$6-1)),0))/28),"")))</f>
        <v/>
      </c>
      <c r="J129" s="37"/>
      <c r="K129" s="37"/>
      <c r="L129" s="32">
        <v>86</v>
      </c>
      <c r="M129" s="32">
        <f t="shared" si="63"/>
        <v>13</v>
      </c>
      <c r="N129" s="32">
        <f t="shared" si="64"/>
        <v>2</v>
      </c>
      <c r="O129" s="32">
        <f t="shared" si="65"/>
        <v>1</v>
      </c>
      <c r="P129" s="32" t="str">
        <f>IF(OR($A129="",N($C129)&lt;=7),"",$G$6*$G$9^($M129-1)*IF(AND(MOD($M129,Reference!$B$99)=0,$M129&lt;=$G$5-2),Reference!$B$100,1))</f>
        <v/>
      </c>
      <c r="Q129" s="32" t="str">
        <f>IF($P129="","",IF(SUM($AK$127:$AK$133)=0,0,$P129*INDEX(Reference!$B$108:$B$114,$N129+1)/SUM($AK$127:$AK$133)))</f>
        <v/>
      </c>
      <c r="R129" s="32">
        <f t="shared" si="66"/>
        <v>180</v>
      </c>
      <c r="S129" s="32">
        <f t="shared" si="67"/>
        <v>150</v>
      </c>
      <c r="T129" s="32" t="str">
        <f>IF($A129="","",IF($C129=0,"Bullpen",IF(OR($C129=7,$C129=1,$C129=5),"Recovery/Easy Catch",IF($C129=6,"Compression/Pulldowns",IF(OR($C129=4,$C129=2),"Long Toss",IF($C129=3,"No Throw",IF($N129=2,"No Throw",IF($N129=6,IF($O129&lt;Reference!$B$104,"No Throw","Recovery/Easy Catch"),IF(OR($N129=0,$N129=4),"Recovery/Easy Catch",IF($N129=1,IF($R129&gt;75,"Long Toss","Recovery/Easy Catch"),IF($N129=3,IF($O129&lt;0.5,IF($S129&gt;75,"Long Toss","Recovery/Easy Catch"),"Compression/Pulldowns"),IF($S129&gt;75,"Long Toss","Recovery/Easy Catch"))))))))))))</f>
        <v/>
      </c>
      <c r="U129" s="32" t="str">
        <f t="shared" si="68"/>
        <v/>
      </c>
      <c r="V129" s="32" t="str">
        <f t="shared" si="69"/>
        <v/>
      </c>
      <c r="W129" s="32" t="str">
        <f t="shared" si="70"/>
        <v/>
      </c>
      <c r="X129" s="32">
        <f t="shared" si="71"/>
        <v>0</v>
      </c>
      <c r="Y129" s="32" t="str">
        <f t="shared" si="72"/>
        <v/>
      </c>
      <c r="Z129" s="32" t="str">
        <f t="shared" si="73"/>
        <v/>
      </c>
      <c r="AA129" s="32" t="str">
        <f t="shared" si="74"/>
        <v/>
      </c>
      <c r="AB129" s="32" t="str">
        <f>IF($A129="","",IF($T129="No Throw",0,IF($K129&lt;&gt;"",$K129,IF($AA129&lt;&gt;"",ROUND($AA129*$D$12*IF($C129=0,1,$G$10),0),MIN(IF($T129="Recovery/Easy Catch",Reference!$B$103,IF($T129="Long Toss",Reference!$B$106,Reference!$B$102)),MAX(Reference!$B$101,ROUND(MAX(0,$Q129-$AE129)/$AF129,0)))))))</f>
        <v/>
      </c>
      <c r="AC129" s="32">
        <f t="shared" si="75"/>
        <v>0</v>
      </c>
      <c r="AD129" s="32" t="b">
        <f t="shared" si="76"/>
        <v>1</v>
      </c>
      <c r="AE129" s="32">
        <f>IF($X129=0,0,$X129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129+$Z129)/2,0),Reference!$A$17:$B$20,2,TRUE()))</f>
        <v>0</v>
      </c>
      <c r="AF129" s="32">
        <f>IF(OR($A129="",$U129="",$T129="No Throw"),0,$AM129*VLOOKUP(MAX(($V129+$W129)/2,0),Reference!$A$17:$B$20,2,TRUE()))</f>
        <v>0</v>
      </c>
      <c r="AG129" s="32">
        <f>IF($AC129=0,0,$AC129*INDEX(Reference!$B$61:$B$62,MATCH("Bullpen",Reference!$A$61:$A$62,0))*VLOOKUP(MAX($D$5-($D$9+$E$9)/2,0),Reference!$A$17:$B$20,2,TRUE()))</f>
        <v>0</v>
      </c>
      <c r="AH129" s="32" t="e">
        <f t="shared" si="77"/>
        <v>#N/A</v>
      </c>
      <c r="AI129" s="32" t="e">
        <f>IF($A129="",NA(),Reference!$A$25)</f>
        <v>#N/A</v>
      </c>
      <c r="AJ129" s="32" t="e">
        <f t="shared" si="78"/>
        <v>#N/A</v>
      </c>
      <c r="AK129" s="32">
        <f>IF(OR($A129="",N($C129)&lt;=7,$T129="No Throw",$J129="x"),0,INDEX(Reference!$B$108:$B$114,$N129+1))</f>
        <v>0</v>
      </c>
      <c r="AL129" s="32">
        <f t="shared" si="79"/>
        <v>1</v>
      </c>
      <c r="AM129" s="32">
        <f>IF($U129="",0,IF($AL129&gt;1,((IF(1&lt;=$AL129,($AL129-1+3)*(INDEX(Reference!$B$6:$B$11,MIN(5,MATCH(MAX(Reference!$A$6,MIN(Reference!$A$11,MIN($U129,90))),Reference!$A$6:$A$11,1)))+(MAX(Reference!$A$6,MIN(Reference!$A$11,MIN($U129,90)))-INDEX(Reference!$A$6:$A$11,MIN(5,MATCH(MAX(Reference!$A$6,MIN(Reference!$A$11,MIN($U129,90))),Reference!$A$6:$A$11,1))))*(INDEX(Reference!$B$6:$B$11,MIN(5,MATCH(MAX(Reference!$A$6,MIN(Reference!$A$11,MIN($U129,90))),Reference!$A$6:$A$11,1))+1)-INDEX(Reference!$B$6:$B$11,MIN(5,MATCH(MAX(Reference!$A$6,MIN(Reference!$A$11,MIN($U129,90))),Reference!$A$6:$A$11,1))))/(INDEX(Reference!$A$6:$A$11,MIN(5,MATCH(MAX(Reference!$A$6,MIN(Reference!$A$11,MIN($U129,90))),Reference!$A$6:$A$11,1))+1)-INDEX(Reference!$A$6:$A$11,MIN(5,MATCH(MAX(Reference!$A$6,MIN(Reference!$A$11,MIN($U129,90))),Reference!$A$6:$A$11,1))))),0)+IF(2&lt;=$AL129,($AL129-2+3)*(INDEX(Reference!$B$6:$B$11,MIN(5,MATCH(MAX(Reference!$A$6,MIN(Reference!$A$11,MIN($U129,120))),Reference!$A$6:$A$11,1)))+(MAX(Reference!$A$6,MIN(Reference!$A$11,MIN($U129,120)))-INDEX(Reference!$A$6:$A$11,MIN(5,MATCH(MAX(Reference!$A$6,MIN(Reference!$A$11,MIN($U129,120))),Reference!$A$6:$A$11,1))))*(INDEX(Reference!$B$6:$B$11,MIN(5,MATCH(MAX(Reference!$A$6,MIN(Reference!$A$11,MIN($U129,120))),Reference!$A$6:$A$11,1))+1)-INDEX(Reference!$B$6:$B$11,MIN(5,MATCH(MAX(Reference!$A$6,MIN(Reference!$A$11,MIN($U129,120))),Reference!$A$6:$A$11,1))))/(INDEX(Reference!$A$6:$A$11,MIN(5,MATCH(MAX(Reference!$A$6,MIN(Reference!$A$11,MIN($U129,120))),Reference!$A$6:$A$11,1))+1)-INDEX(Reference!$A$6:$A$11,MIN(5,MATCH(MAX(Reference!$A$6,MIN(Reference!$A$11,MIN($U129,120))),Reference!$A$6:$A$11,1))))),0)+IF(3&lt;=$AL129,($AL129-3+3)*(INDEX(Reference!$B$6:$B$11,MIN(5,MATCH(MAX(Reference!$A$6,MIN(Reference!$A$11,MIN($U129,150))),Reference!$A$6:$A$11,1)))+(MAX(Reference!$A$6,MIN(Reference!$A$11,MIN($U129,150)))-INDEX(Reference!$A$6:$A$11,MIN(5,MATCH(MAX(Reference!$A$6,MIN(Reference!$A$11,MIN($U129,150))),Reference!$A$6:$A$11,1))))*(INDEX(Reference!$B$6:$B$11,MIN(5,MATCH(MAX(Reference!$A$6,MIN(Reference!$A$11,MIN($U129,150))),Reference!$A$6:$A$11,1))+1)-INDEX(Reference!$B$6:$B$11,MIN(5,MATCH(MAX(Reference!$A$6,MIN(Reference!$A$11,MIN($U129,150))),Reference!$A$6:$A$11,1))))/(INDEX(Reference!$A$6:$A$11,MIN(5,MATCH(MAX(Reference!$A$6,MIN(Reference!$A$11,MIN($U129,150))),Reference!$A$6:$A$11,1))+1)-INDEX(Reference!$A$6:$A$11,MIN(5,MATCH(MAX(Reference!$A$6,MIN(Reference!$A$11,MIN($U129,150))),Reference!$A$6:$A$11,1))))),0)+IF(4&lt;=$AL129,($AL129-4+3)*(INDEX(Reference!$B$6:$B$11,MIN(5,MATCH(MAX(Reference!$A$6,MIN(Reference!$A$11,MIN($U129,180))),Reference!$A$6:$A$11,1)))+(MAX(Reference!$A$6,MIN(Reference!$A$11,MIN($U129,180)))-INDEX(Reference!$A$6:$A$11,MIN(5,MATCH(MAX(Reference!$A$6,MIN(Reference!$A$11,MIN($U129,180))),Reference!$A$6:$A$11,1))))*(INDEX(Reference!$B$6:$B$11,MIN(5,MATCH(MAX(Reference!$A$6,MIN(Reference!$A$11,MIN($U129,180))),Reference!$A$6:$A$11,1))+1)-INDEX(Reference!$B$6:$B$11,MIN(5,MATCH(MAX(Reference!$A$6,MIN(Reference!$A$11,MIN($U129,180))),Reference!$A$6:$A$11,1))))/(INDEX(Reference!$A$6:$A$11,MIN(5,MATCH(MAX(Reference!$A$6,MIN(Reference!$A$11,MIN($U129,180))),Reference!$A$6:$A$11,1))+1)-INDEX(Reference!$A$6:$A$11,MIN(5,MATCH(MAX(Reference!$A$6,MIN(Reference!$A$11,MIN($U129,180))),Reference!$A$6:$A$11,1))))),0)+IF(5&lt;=$AL129,($AL129-5+3)*(INDEX(Reference!$B$6:$B$11,MIN(5,MATCH(MAX(Reference!$A$6,MIN(Reference!$A$11,MIN($U129,210))),Reference!$A$6:$A$11,1)))+(MAX(Reference!$A$6,MIN(Reference!$A$11,MIN($U129,210)))-INDEX(Reference!$A$6:$A$11,MIN(5,MATCH(MAX(Reference!$A$6,MIN(Reference!$A$11,MIN($U129,210))),Reference!$A$6:$A$11,1))))*(INDEX(Reference!$B$6:$B$11,MIN(5,MATCH(MAX(Reference!$A$6,MIN(Reference!$A$11,MIN($U129,210))),Reference!$A$6:$A$11,1))+1)-INDEX(Reference!$B$6:$B$11,MIN(5,MATCH(MAX(Reference!$A$6,MIN(Reference!$A$11,MIN($U129,210))),Reference!$A$6:$A$11,1))))/(INDEX(Reference!$A$6:$A$11,MIN(5,MATCH(MAX(Reference!$A$6,MIN(Reference!$A$11,MIN($U129,210))),Reference!$A$6:$A$11,1))+1)-INDEX(Reference!$A$6:$A$11,MIN(5,MATCH(MAX(Reference!$A$6,MIN(Reference!$A$11,MIN($U129,210))),Reference!$A$6:$A$11,1))))),0)+IF(6&lt;=$AL129,($AL129-6+3)*(INDEX(Reference!$B$6:$B$11,MIN(5,MATCH(MAX(Reference!$A$6,MIN(Reference!$A$11,MIN($U129,240))),Reference!$A$6:$A$11,1)))+(MAX(Reference!$A$6,MIN(Reference!$A$11,MIN($U129,240)))-INDEX(Reference!$A$6:$A$11,MIN(5,MATCH(MAX(Reference!$A$6,MIN(Reference!$A$11,MIN($U129,240))),Reference!$A$6:$A$11,1))))*(INDEX(Reference!$B$6:$B$11,MIN(5,MATCH(MAX(Reference!$A$6,MIN(Reference!$A$11,MIN($U129,240))),Reference!$A$6:$A$11,1))+1)-INDEX(Reference!$B$6:$B$11,MIN(5,MATCH(MAX(Reference!$A$6,MIN(Reference!$A$11,MIN($U129,240))),Reference!$A$6:$A$11,1))))/(INDEX(Reference!$A$6:$A$11,MIN(5,MATCH(MAX(Reference!$A$6,MIN(Reference!$A$11,MIN($U129,240))),Reference!$A$6:$A$11,1))+1)-INDEX(Reference!$A$6:$A$11,MIN(5,MATCH(MAX(Reference!$A$6,MIN(Reference!$A$11,MIN($U129,240))),Reference!$A$6:$A$11,1))))),0)+IF(7&lt;=$AL129,($AL129-7+3)*(INDEX(Reference!$B$6:$B$11,MIN(5,MATCH(MAX(Reference!$A$6,MIN(Reference!$A$11,MIN($U129,270))),Reference!$A$6:$A$11,1)))+(MAX(Reference!$A$6,MIN(Reference!$A$11,MIN($U129,270)))-INDEX(Reference!$A$6:$A$11,MIN(5,MATCH(MAX(Reference!$A$6,MIN(Reference!$A$11,MIN($U129,270))),Reference!$A$6:$A$11,1))))*(INDEX(Reference!$B$6:$B$11,MIN(5,MATCH(MAX(Reference!$A$6,MIN(Reference!$A$11,MIN($U129,270))),Reference!$A$6:$A$11,1))+1)-INDEX(Reference!$B$6:$B$11,MIN(5,MATCH(MAX(Reference!$A$6,MIN(Reference!$A$11,MIN($U129,270))),Reference!$A$6:$A$11,1))))/(INDEX(Reference!$A$6:$A$11,MIN(5,MATCH(MAX(Reference!$A$6,MIN(Reference!$A$11,MIN($U129,270))),Reference!$A$6:$A$11,1))+1)-INDEX(Reference!$A$6:$A$11,MIN(5,MATCH(MAX(Reference!$A$6,MIN(Reference!$A$11,MIN($U129,270))),Reference!$A$6:$A$11,1))))),0)+IF(8&lt;=$AL129,($AL129-8+3)*(INDEX(Reference!$B$6:$B$11,MIN(5,MATCH(MAX(Reference!$A$6,MIN(Reference!$A$11,MIN($U129,300))),Reference!$A$6:$A$11,1)))+(MAX(Reference!$A$6,MIN(Reference!$A$11,MIN($U129,300)))-INDEX(Reference!$A$6:$A$11,MIN(5,MATCH(MAX(Reference!$A$6,MIN(Reference!$A$11,MIN($U129,300))),Reference!$A$6:$A$11,1))))*(INDEX(Reference!$B$6:$B$11,MIN(5,MATCH(MAX(Reference!$A$6,MIN(Reference!$A$11,MIN($U129,300))),Reference!$A$6:$A$11,1))+1)-INDEX(Reference!$B$6:$B$11,MIN(5,MATCH(MAX(Reference!$A$6,MIN(Reference!$A$11,MIN($U129,300))),Reference!$A$6:$A$11,1))))/(INDEX(Reference!$A$6:$A$11,MIN(5,MATCH(MAX(Reference!$A$6,MIN(Reference!$A$11,MIN($U129,300))),Reference!$A$6:$A$11,1))+1)-INDEX(Reference!$A$6:$A$11,MIN(5,MATCH(MAX(Reference!$A$6,MIN(Reference!$A$11,MIN($U129,300))),Reference!$A$6:$A$11,1))))),0))/($AL129*($AL129+5)/2)),$AN129))</f>
        <v>0</v>
      </c>
      <c r="AN129" s="32">
        <f>IF($U129="",0,(INDEX(Reference!$B$6:$B$11,MIN(5,MATCH(MAX(Reference!$A$6,MIN(Reference!$A$11,$U129)),Reference!$A$6:$A$11,1)))+(MAX(Reference!$A$6,MIN(Reference!$A$11,$U129))-INDEX(Reference!$A$6:$A$11,MIN(5,MATCH(MAX(Reference!$A$6,MIN(Reference!$A$11,$U129)),Reference!$A$6:$A$11,1))))*(INDEX(Reference!$B$6:$B$11,MIN(5,MATCH(MAX(Reference!$A$6,MIN(Reference!$A$11,$U129)),Reference!$A$6:$A$11,1))+1)-INDEX(Reference!$B$6:$B$11,MIN(5,MATCH(MAX(Reference!$A$6,MIN(Reference!$A$11,$U129)),Reference!$A$6:$A$11,1))))/(INDEX(Reference!$A$6:$A$11,MIN(5,MATCH(MAX(Reference!$A$6,MIN(Reference!$A$11,$U129)),Reference!$A$6:$A$11,1))+1)-INDEX(Reference!$A$6:$A$11,MIN(5,MATCH(MAX(Reference!$A$6,MIN(Reference!$A$11,$U129)),Reference!$A$6:$A$11,1))))))</f>
        <v>0</v>
      </c>
      <c r="AO129" s="37"/>
      <c r="AP129" s="37"/>
      <c r="AQ129" s="37"/>
    </row>
    <row r="130" spans="1:43" x14ac:dyDescent="0.3">
      <c r="A130" s="48" t="str">
        <f t="shared" si="55"/>
        <v/>
      </c>
      <c r="B130" s="32" t="str">
        <f t="shared" si="56"/>
        <v/>
      </c>
      <c r="C130" s="32" t="str">
        <f t="shared" si="57"/>
        <v/>
      </c>
      <c r="D130" s="32" t="str">
        <f t="shared" si="58"/>
        <v/>
      </c>
      <c r="E130" s="32" t="str">
        <f t="shared" si="59"/>
        <v/>
      </c>
      <c r="F130" s="32" t="str">
        <f t="shared" si="60"/>
        <v/>
      </c>
      <c r="G130" s="47" t="str">
        <f t="shared" si="61"/>
        <v/>
      </c>
      <c r="H130" s="30" t="str">
        <f t="shared" si="62"/>
        <v/>
      </c>
      <c r="I130" s="46" t="str">
        <f>IF($A130="","",IF(AND($L130&lt;27,$K$12=0),"Building",IFERROR(((SUM($H$124:$H130)+$K$12*IF($L130&lt;6,SUMIFS('Throw Log'!$Q$5:$Q$300,'Throw Log'!$B$5:$B$300,$D$4,'Throw Log'!$A$5:$A$300,"&gt;="&amp;($D$6+$L130-6),'Throw Log'!$A$5:$A$300,"&lt;="&amp;($D$6-1)),0))/7)/((SUM($H$103:$H130)+$K$12*IF($L130&lt;27,SUMIFS('Throw Log'!$Q$5:$Q$300,'Throw Log'!$B$5:$B$300,$D$4,'Throw Log'!$A$5:$A$300,"&gt;="&amp;($D$6+$L130-27),'Throw Log'!$A$5:$A$300,"&lt;="&amp;($D$6-1)),0))/28),"")))</f>
        <v/>
      </c>
      <c r="J130" s="37"/>
      <c r="K130" s="37"/>
      <c r="L130" s="32">
        <v>87</v>
      </c>
      <c r="M130" s="32">
        <f t="shared" si="63"/>
        <v>13</v>
      </c>
      <c r="N130" s="32">
        <f t="shared" si="64"/>
        <v>3</v>
      </c>
      <c r="O130" s="32">
        <f t="shared" si="65"/>
        <v>1</v>
      </c>
      <c r="P130" s="32" t="str">
        <f>IF(OR($A130="",N($C130)&lt;=7),"",$G$6*$G$9^($M130-1)*IF(AND(MOD($M130,Reference!$B$99)=0,$M130&lt;=$G$5-2),Reference!$B$100,1))</f>
        <v/>
      </c>
      <c r="Q130" s="32" t="str">
        <f>IF($P130="","",IF(SUM($AK$127:$AK$133)=0,0,$P130*INDEX(Reference!$B$108:$B$114,$N130+1)/SUM($AK$127:$AK$133)))</f>
        <v/>
      </c>
      <c r="R130" s="32">
        <f t="shared" si="66"/>
        <v>180</v>
      </c>
      <c r="S130" s="32">
        <f t="shared" si="67"/>
        <v>150</v>
      </c>
      <c r="T130" s="32" t="str">
        <f>IF($A130="","",IF($C130=0,"Bullpen",IF(OR($C130=7,$C130=1,$C130=5),"Recovery/Easy Catch",IF($C130=6,"Compression/Pulldowns",IF(OR($C130=4,$C130=2),"Long Toss",IF($C130=3,"No Throw",IF($N130=2,"No Throw",IF($N130=6,IF($O130&lt;Reference!$B$104,"No Throw","Recovery/Easy Catch"),IF(OR($N130=0,$N130=4),"Recovery/Easy Catch",IF($N130=1,IF($R130&gt;75,"Long Toss","Recovery/Easy Catch"),IF($N130=3,IF($O130&lt;0.5,IF($S130&gt;75,"Long Toss","Recovery/Easy Catch"),"Compression/Pulldowns"),IF($S130&gt;75,"Long Toss","Recovery/Easy Catch"))))))))))))</f>
        <v/>
      </c>
      <c r="U130" s="32" t="str">
        <f t="shared" si="68"/>
        <v/>
      </c>
      <c r="V130" s="32" t="str">
        <f t="shared" si="69"/>
        <v/>
      </c>
      <c r="W130" s="32" t="str">
        <f t="shared" si="70"/>
        <v/>
      </c>
      <c r="X130" s="32">
        <f t="shared" si="71"/>
        <v>0</v>
      </c>
      <c r="Y130" s="32" t="str">
        <f t="shared" si="72"/>
        <v/>
      </c>
      <c r="Z130" s="32" t="str">
        <f t="shared" si="73"/>
        <v/>
      </c>
      <c r="AA130" s="32" t="str">
        <f t="shared" si="74"/>
        <v/>
      </c>
      <c r="AB130" s="32" t="str">
        <f>IF($A130="","",IF($T130="No Throw",0,IF($K130&lt;&gt;"",$K130,IF($AA130&lt;&gt;"",ROUND($AA130*$D$12*IF($C130=0,1,$G$10),0),MIN(IF($T130="Recovery/Easy Catch",Reference!$B$103,IF($T130="Long Toss",Reference!$B$106,Reference!$B$102)),MAX(Reference!$B$101,ROUND(MAX(0,$Q130-$AE130)/$AF130,0)))))))</f>
        <v/>
      </c>
      <c r="AC130" s="32">
        <f t="shared" si="75"/>
        <v>0</v>
      </c>
      <c r="AD130" s="32" t="b">
        <f t="shared" si="76"/>
        <v>1</v>
      </c>
      <c r="AE130" s="32">
        <f>IF($X130=0,0,$X130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130+$Z130)/2,0),Reference!$A$17:$B$20,2,TRUE()))</f>
        <v>0</v>
      </c>
      <c r="AF130" s="32">
        <f>IF(OR($A130="",$U130="",$T130="No Throw"),0,$AM130*VLOOKUP(MAX(($V130+$W130)/2,0),Reference!$A$17:$B$20,2,TRUE()))</f>
        <v>0</v>
      </c>
      <c r="AG130" s="32">
        <f>IF($AC130=0,0,$AC130*INDEX(Reference!$B$61:$B$62,MATCH("Bullpen",Reference!$A$61:$A$62,0))*VLOOKUP(MAX($D$5-($D$9+$E$9)/2,0),Reference!$A$17:$B$20,2,TRUE()))</f>
        <v>0</v>
      </c>
      <c r="AH130" s="32" t="e">
        <f t="shared" si="77"/>
        <v>#N/A</v>
      </c>
      <c r="AI130" s="32" t="e">
        <f>IF($A130="",NA(),Reference!$A$25)</f>
        <v>#N/A</v>
      </c>
      <c r="AJ130" s="32" t="e">
        <f t="shared" si="78"/>
        <v>#N/A</v>
      </c>
      <c r="AK130" s="32">
        <f>IF(OR($A130="",N($C130)&lt;=7,$T130="No Throw",$J130="x"),0,INDEX(Reference!$B$108:$B$114,$N130+1))</f>
        <v>0</v>
      </c>
      <c r="AL130" s="32">
        <f t="shared" si="79"/>
        <v>1</v>
      </c>
      <c r="AM130" s="32">
        <f>IF($U130="",0,IF($AL130&gt;1,((IF(1&lt;=$AL130,($AL130-1+3)*(INDEX(Reference!$B$6:$B$11,MIN(5,MATCH(MAX(Reference!$A$6,MIN(Reference!$A$11,MIN($U130,90))),Reference!$A$6:$A$11,1)))+(MAX(Reference!$A$6,MIN(Reference!$A$11,MIN($U130,90)))-INDEX(Reference!$A$6:$A$11,MIN(5,MATCH(MAX(Reference!$A$6,MIN(Reference!$A$11,MIN($U130,90))),Reference!$A$6:$A$11,1))))*(INDEX(Reference!$B$6:$B$11,MIN(5,MATCH(MAX(Reference!$A$6,MIN(Reference!$A$11,MIN($U130,90))),Reference!$A$6:$A$11,1))+1)-INDEX(Reference!$B$6:$B$11,MIN(5,MATCH(MAX(Reference!$A$6,MIN(Reference!$A$11,MIN($U130,90))),Reference!$A$6:$A$11,1))))/(INDEX(Reference!$A$6:$A$11,MIN(5,MATCH(MAX(Reference!$A$6,MIN(Reference!$A$11,MIN($U130,90))),Reference!$A$6:$A$11,1))+1)-INDEX(Reference!$A$6:$A$11,MIN(5,MATCH(MAX(Reference!$A$6,MIN(Reference!$A$11,MIN($U130,90))),Reference!$A$6:$A$11,1))))),0)+IF(2&lt;=$AL130,($AL130-2+3)*(INDEX(Reference!$B$6:$B$11,MIN(5,MATCH(MAX(Reference!$A$6,MIN(Reference!$A$11,MIN($U130,120))),Reference!$A$6:$A$11,1)))+(MAX(Reference!$A$6,MIN(Reference!$A$11,MIN($U130,120)))-INDEX(Reference!$A$6:$A$11,MIN(5,MATCH(MAX(Reference!$A$6,MIN(Reference!$A$11,MIN($U130,120))),Reference!$A$6:$A$11,1))))*(INDEX(Reference!$B$6:$B$11,MIN(5,MATCH(MAX(Reference!$A$6,MIN(Reference!$A$11,MIN($U130,120))),Reference!$A$6:$A$11,1))+1)-INDEX(Reference!$B$6:$B$11,MIN(5,MATCH(MAX(Reference!$A$6,MIN(Reference!$A$11,MIN($U130,120))),Reference!$A$6:$A$11,1))))/(INDEX(Reference!$A$6:$A$11,MIN(5,MATCH(MAX(Reference!$A$6,MIN(Reference!$A$11,MIN($U130,120))),Reference!$A$6:$A$11,1))+1)-INDEX(Reference!$A$6:$A$11,MIN(5,MATCH(MAX(Reference!$A$6,MIN(Reference!$A$11,MIN($U130,120))),Reference!$A$6:$A$11,1))))),0)+IF(3&lt;=$AL130,($AL130-3+3)*(INDEX(Reference!$B$6:$B$11,MIN(5,MATCH(MAX(Reference!$A$6,MIN(Reference!$A$11,MIN($U130,150))),Reference!$A$6:$A$11,1)))+(MAX(Reference!$A$6,MIN(Reference!$A$11,MIN($U130,150)))-INDEX(Reference!$A$6:$A$11,MIN(5,MATCH(MAX(Reference!$A$6,MIN(Reference!$A$11,MIN($U130,150))),Reference!$A$6:$A$11,1))))*(INDEX(Reference!$B$6:$B$11,MIN(5,MATCH(MAX(Reference!$A$6,MIN(Reference!$A$11,MIN($U130,150))),Reference!$A$6:$A$11,1))+1)-INDEX(Reference!$B$6:$B$11,MIN(5,MATCH(MAX(Reference!$A$6,MIN(Reference!$A$11,MIN($U130,150))),Reference!$A$6:$A$11,1))))/(INDEX(Reference!$A$6:$A$11,MIN(5,MATCH(MAX(Reference!$A$6,MIN(Reference!$A$11,MIN($U130,150))),Reference!$A$6:$A$11,1))+1)-INDEX(Reference!$A$6:$A$11,MIN(5,MATCH(MAX(Reference!$A$6,MIN(Reference!$A$11,MIN($U130,150))),Reference!$A$6:$A$11,1))))),0)+IF(4&lt;=$AL130,($AL130-4+3)*(INDEX(Reference!$B$6:$B$11,MIN(5,MATCH(MAX(Reference!$A$6,MIN(Reference!$A$11,MIN($U130,180))),Reference!$A$6:$A$11,1)))+(MAX(Reference!$A$6,MIN(Reference!$A$11,MIN($U130,180)))-INDEX(Reference!$A$6:$A$11,MIN(5,MATCH(MAX(Reference!$A$6,MIN(Reference!$A$11,MIN($U130,180))),Reference!$A$6:$A$11,1))))*(INDEX(Reference!$B$6:$B$11,MIN(5,MATCH(MAX(Reference!$A$6,MIN(Reference!$A$11,MIN($U130,180))),Reference!$A$6:$A$11,1))+1)-INDEX(Reference!$B$6:$B$11,MIN(5,MATCH(MAX(Reference!$A$6,MIN(Reference!$A$11,MIN($U130,180))),Reference!$A$6:$A$11,1))))/(INDEX(Reference!$A$6:$A$11,MIN(5,MATCH(MAX(Reference!$A$6,MIN(Reference!$A$11,MIN($U130,180))),Reference!$A$6:$A$11,1))+1)-INDEX(Reference!$A$6:$A$11,MIN(5,MATCH(MAX(Reference!$A$6,MIN(Reference!$A$11,MIN($U130,180))),Reference!$A$6:$A$11,1))))),0)+IF(5&lt;=$AL130,($AL130-5+3)*(INDEX(Reference!$B$6:$B$11,MIN(5,MATCH(MAX(Reference!$A$6,MIN(Reference!$A$11,MIN($U130,210))),Reference!$A$6:$A$11,1)))+(MAX(Reference!$A$6,MIN(Reference!$A$11,MIN($U130,210)))-INDEX(Reference!$A$6:$A$11,MIN(5,MATCH(MAX(Reference!$A$6,MIN(Reference!$A$11,MIN($U130,210))),Reference!$A$6:$A$11,1))))*(INDEX(Reference!$B$6:$B$11,MIN(5,MATCH(MAX(Reference!$A$6,MIN(Reference!$A$11,MIN($U130,210))),Reference!$A$6:$A$11,1))+1)-INDEX(Reference!$B$6:$B$11,MIN(5,MATCH(MAX(Reference!$A$6,MIN(Reference!$A$11,MIN($U130,210))),Reference!$A$6:$A$11,1))))/(INDEX(Reference!$A$6:$A$11,MIN(5,MATCH(MAX(Reference!$A$6,MIN(Reference!$A$11,MIN($U130,210))),Reference!$A$6:$A$11,1))+1)-INDEX(Reference!$A$6:$A$11,MIN(5,MATCH(MAX(Reference!$A$6,MIN(Reference!$A$11,MIN($U130,210))),Reference!$A$6:$A$11,1))))),0)+IF(6&lt;=$AL130,($AL130-6+3)*(INDEX(Reference!$B$6:$B$11,MIN(5,MATCH(MAX(Reference!$A$6,MIN(Reference!$A$11,MIN($U130,240))),Reference!$A$6:$A$11,1)))+(MAX(Reference!$A$6,MIN(Reference!$A$11,MIN($U130,240)))-INDEX(Reference!$A$6:$A$11,MIN(5,MATCH(MAX(Reference!$A$6,MIN(Reference!$A$11,MIN($U130,240))),Reference!$A$6:$A$11,1))))*(INDEX(Reference!$B$6:$B$11,MIN(5,MATCH(MAX(Reference!$A$6,MIN(Reference!$A$11,MIN($U130,240))),Reference!$A$6:$A$11,1))+1)-INDEX(Reference!$B$6:$B$11,MIN(5,MATCH(MAX(Reference!$A$6,MIN(Reference!$A$11,MIN($U130,240))),Reference!$A$6:$A$11,1))))/(INDEX(Reference!$A$6:$A$11,MIN(5,MATCH(MAX(Reference!$A$6,MIN(Reference!$A$11,MIN($U130,240))),Reference!$A$6:$A$11,1))+1)-INDEX(Reference!$A$6:$A$11,MIN(5,MATCH(MAX(Reference!$A$6,MIN(Reference!$A$11,MIN($U130,240))),Reference!$A$6:$A$11,1))))),0)+IF(7&lt;=$AL130,($AL130-7+3)*(INDEX(Reference!$B$6:$B$11,MIN(5,MATCH(MAX(Reference!$A$6,MIN(Reference!$A$11,MIN($U130,270))),Reference!$A$6:$A$11,1)))+(MAX(Reference!$A$6,MIN(Reference!$A$11,MIN($U130,270)))-INDEX(Reference!$A$6:$A$11,MIN(5,MATCH(MAX(Reference!$A$6,MIN(Reference!$A$11,MIN($U130,270))),Reference!$A$6:$A$11,1))))*(INDEX(Reference!$B$6:$B$11,MIN(5,MATCH(MAX(Reference!$A$6,MIN(Reference!$A$11,MIN($U130,270))),Reference!$A$6:$A$11,1))+1)-INDEX(Reference!$B$6:$B$11,MIN(5,MATCH(MAX(Reference!$A$6,MIN(Reference!$A$11,MIN($U130,270))),Reference!$A$6:$A$11,1))))/(INDEX(Reference!$A$6:$A$11,MIN(5,MATCH(MAX(Reference!$A$6,MIN(Reference!$A$11,MIN($U130,270))),Reference!$A$6:$A$11,1))+1)-INDEX(Reference!$A$6:$A$11,MIN(5,MATCH(MAX(Reference!$A$6,MIN(Reference!$A$11,MIN($U130,270))),Reference!$A$6:$A$11,1))))),0)+IF(8&lt;=$AL130,($AL130-8+3)*(INDEX(Reference!$B$6:$B$11,MIN(5,MATCH(MAX(Reference!$A$6,MIN(Reference!$A$11,MIN($U130,300))),Reference!$A$6:$A$11,1)))+(MAX(Reference!$A$6,MIN(Reference!$A$11,MIN($U130,300)))-INDEX(Reference!$A$6:$A$11,MIN(5,MATCH(MAX(Reference!$A$6,MIN(Reference!$A$11,MIN($U130,300))),Reference!$A$6:$A$11,1))))*(INDEX(Reference!$B$6:$B$11,MIN(5,MATCH(MAX(Reference!$A$6,MIN(Reference!$A$11,MIN($U130,300))),Reference!$A$6:$A$11,1))+1)-INDEX(Reference!$B$6:$B$11,MIN(5,MATCH(MAX(Reference!$A$6,MIN(Reference!$A$11,MIN($U130,300))),Reference!$A$6:$A$11,1))))/(INDEX(Reference!$A$6:$A$11,MIN(5,MATCH(MAX(Reference!$A$6,MIN(Reference!$A$11,MIN($U130,300))),Reference!$A$6:$A$11,1))+1)-INDEX(Reference!$A$6:$A$11,MIN(5,MATCH(MAX(Reference!$A$6,MIN(Reference!$A$11,MIN($U130,300))),Reference!$A$6:$A$11,1))))),0))/($AL130*($AL130+5)/2)),$AN130))</f>
        <v>0</v>
      </c>
      <c r="AN130" s="32">
        <f>IF($U130="",0,(INDEX(Reference!$B$6:$B$11,MIN(5,MATCH(MAX(Reference!$A$6,MIN(Reference!$A$11,$U130)),Reference!$A$6:$A$11,1)))+(MAX(Reference!$A$6,MIN(Reference!$A$11,$U130))-INDEX(Reference!$A$6:$A$11,MIN(5,MATCH(MAX(Reference!$A$6,MIN(Reference!$A$11,$U130)),Reference!$A$6:$A$11,1))))*(INDEX(Reference!$B$6:$B$11,MIN(5,MATCH(MAX(Reference!$A$6,MIN(Reference!$A$11,$U130)),Reference!$A$6:$A$11,1))+1)-INDEX(Reference!$B$6:$B$11,MIN(5,MATCH(MAX(Reference!$A$6,MIN(Reference!$A$11,$U130)),Reference!$A$6:$A$11,1))))/(INDEX(Reference!$A$6:$A$11,MIN(5,MATCH(MAX(Reference!$A$6,MIN(Reference!$A$11,$U130)),Reference!$A$6:$A$11,1))+1)-INDEX(Reference!$A$6:$A$11,MIN(5,MATCH(MAX(Reference!$A$6,MIN(Reference!$A$11,$U130)),Reference!$A$6:$A$11,1))))))</f>
        <v>0</v>
      </c>
      <c r="AO130" s="37"/>
      <c r="AP130" s="37"/>
      <c r="AQ130" s="37"/>
    </row>
    <row r="131" spans="1:43" x14ac:dyDescent="0.3">
      <c r="A131" s="48" t="str">
        <f t="shared" si="55"/>
        <v/>
      </c>
      <c r="B131" s="32" t="str">
        <f t="shared" si="56"/>
        <v/>
      </c>
      <c r="C131" s="32" t="str">
        <f t="shared" si="57"/>
        <v/>
      </c>
      <c r="D131" s="32" t="str">
        <f t="shared" si="58"/>
        <v/>
      </c>
      <c r="E131" s="32" t="str">
        <f t="shared" si="59"/>
        <v/>
      </c>
      <c r="F131" s="32" t="str">
        <f t="shared" si="60"/>
        <v/>
      </c>
      <c r="G131" s="47" t="str">
        <f t="shared" si="61"/>
        <v/>
      </c>
      <c r="H131" s="30" t="str">
        <f t="shared" si="62"/>
        <v/>
      </c>
      <c r="I131" s="46" t="str">
        <f>IF($A131="","",IF(AND($L131&lt;27,$K$12=0),"Building",IFERROR(((SUM($H$125:$H131)+$K$12*IF($L131&lt;6,SUMIFS('Throw Log'!$Q$5:$Q$300,'Throw Log'!$B$5:$B$300,$D$4,'Throw Log'!$A$5:$A$300,"&gt;="&amp;($D$6+$L131-6),'Throw Log'!$A$5:$A$300,"&lt;="&amp;($D$6-1)),0))/7)/((SUM($H$104:$H131)+$K$12*IF($L131&lt;27,SUMIFS('Throw Log'!$Q$5:$Q$300,'Throw Log'!$B$5:$B$300,$D$4,'Throw Log'!$A$5:$A$300,"&gt;="&amp;($D$6+$L131-27),'Throw Log'!$A$5:$A$300,"&lt;="&amp;($D$6-1)),0))/28),"")))</f>
        <v/>
      </c>
      <c r="J131" s="37"/>
      <c r="K131" s="37"/>
      <c r="L131" s="32">
        <v>88</v>
      </c>
      <c r="M131" s="32">
        <f t="shared" si="63"/>
        <v>13</v>
      </c>
      <c r="N131" s="32">
        <f t="shared" si="64"/>
        <v>4</v>
      </c>
      <c r="O131" s="32">
        <f t="shared" si="65"/>
        <v>1</v>
      </c>
      <c r="P131" s="32" t="str">
        <f>IF(OR($A131="",N($C131)&lt;=7),"",$G$6*$G$9^($M131-1)*IF(AND(MOD($M131,Reference!$B$99)=0,$M131&lt;=$G$5-2),Reference!$B$100,1))</f>
        <v/>
      </c>
      <c r="Q131" s="32" t="str">
        <f>IF($P131="","",IF(SUM($AK$127:$AK$133)=0,0,$P131*INDEX(Reference!$B$108:$B$114,$N131+1)/SUM($AK$127:$AK$133)))</f>
        <v/>
      </c>
      <c r="R131" s="32">
        <f t="shared" si="66"/>
        <v>180</v>
      </c>
      <c r="S131" s="32">
        <f t="shared" si="67"/>
        <v>150</v>
      </c>
      <c r="T131" s="32" t="str">
        <f>IF($A131="","",IF($C131=0,"Bullpen",IF(OR($C131=7,$C131=1,$C131=5),"Recovery/Easy Catch",IF($C131=6,"Compression/Pulldowns",IF(OR($C131=4,$C131=2),"Long Toss",IF($C131=3,"No Throw",IF($N131=2,"No Throw",IF($N131=6,IF($O131&lt;Reference!$B$104,"No Throw","Recovery/Easy Catch"),IF(OR($N131=0,$N131=4),"Recovery/Easy Catch",IF($N131=1,IF($R131&gt;75,"Long Toss","Recovery/Easy Catch"),IF($N131=3,IF($O131&lt;0.5,IF($S131&gt;75,"Long Toss","Recovery/Easy Catch"),"Compression/Pulldowns"),IF($S131&gt;75,"Long Toss","Recovery/Easy Catch"))))))))))))</f>
        <v/>
      </c>
      <c r="U131" s="32" t="str">
        <f t="shared" si="68"/>
        <v/>
      </c>
      <c r="V131" s="32" t="str">
        <f t="shared" si="69"/>
        <v/>
      </c>
      <c r="W131" s="32" t="str">
        <f t="shared" si="70"/>
        <v/>
      </c>
      <c r="X131" s="32">
        <f t="shared" si="71"/>
        <v>0</v>
      </c>
      <c r="Y131" s="32" t="str">
        <f t="shared" si="72"/>
        <v/>
      </c>
      <c r="Z131" s="32" t="str">
        <f t="shared" si="73"/>
        <v/>
      </c>
      <c r="AA131" s="32" t="str">
        <f t="shared" si="74"/>
        <v/>
      </c>
      <c r="AB131" s="32" t="str">
        <f>IF($A131="","",IF($T131="No Throw",0,IF($K131&lt;&gt;"",$K131,IF($AA131&lt;&gt;"",ROUND($AA131*$D$12*IF($C131=0,1,$G$10),0),MIN(IF($T131="Recovery/Easy Catch",Reference!$B$103,IF($T131="Long Toss",Reference!$B$106,Reference!$B$102)),MAX(Reference!$B$101,ROUND(MAX(0,$Q131-$AE131)/$AF131,0)))))))</f>
        <v/>
      </c>
      <c r="AC131" s="32">
        <f t="shared" si="75"/>
        <v>0</v>
      </c>
      <c r="AD131" s="32" t="b">
        <f t="shared" si="76"/>
        <v>1</v>
      </c>
      <c r="AE131" s="32">
        <f>IF($X131=0,0,$X131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131+$Z131)/2,0),Reference!$A$17:$B$20,2,TRUE()))</f>
        <v>0</v>
      </c>
      <c r="AF131" s="32">
        <f>IF(OR($A131="",$U131="",$T131="No Throw"),0,$AM131*VLOOKUP(MAX(($V131+$W131)/2,0),Reference!$A$17:$B$20,2,TRUE()))</f>
        <v>0</v>
      </c>
      <c r="AG131" s="32">
        <f>IF($AC131=0,0,$AC131*INDEX(Reference!$B$61:$B$62,MATCH("Bullpen",Reference!$A$61:$A$62,0))*VLOOKUP(MAX($D$5-($D$9+$E$9)/2,0),Reference!$A$17:$B$20,2,TRUE()))</f>
        <v>0</v>
      </c>
      <c r="AH131" s="32" t="e">
        <f t="shared" si="77"/>
        <v>#N/A</v>
      </c>
      <c r="AI131" s="32" t="e">
        <f>IF($A131="",NA(),Reference!$A$25)</f>
        <v>#N/A</v>
      </c>
      <c r="AJ131" s="32" t="e">
        <f t="shared" si="78"/>
        <v>#N/A</v>
      </c>
      <c r="AK131" s="32">
        <f>IF(OR($A131="",N($C131)&lt;=7,$T131="No Throw",$J131="x"),0,INDEX(Reference!$B$108:$B$114,$N131+1))</f>
        <v>0</v>
      </c>
      <c r="AL131" s="32">
        <f t="shared" si="79"/>
        <v>1</v>
      </c>
      <c r="AM131" s="32">
        <f>IF($U131="",0,IF($AL131&gt;1,((IF(1&lt;=$AL131,($AL131-1+3)*(INDEX(Reference!$B$6:$B$11,MIN(5,MATCH(MAX(Reference!$A$6,MIN(Reference!$A$11,MIN($U131,90))),Reference!$A$6:$A$11,1)))+(MAX(Reference!$A$6,MIN(Reference!$A$11,MIN($U131,90)))-INDEX(Reference!$A$6:$A$11,MIN(5,MATCH(MAX(Reference!$A$6,MIN(Reference!$A$11,MIN($U131,90))),Reference!$A$6:$A$11,1))))*(INDEX(Reference!$B$6:$B$11,MIN(5,MATCH(MAX(Reference!$A$6,MIN(Reference!$A$11,MIN($U131,90))),Reference!$A$6:$A$11,1))+1)-INDEX(Reference!$B$6:$B$11,MIN(5,MATCH(MAX(Reference!$A$6,MIN(Reference!$A$11,MIN($U131,90))),Reference!$A$6:$A$11,1))))/(INDEX(Reference!$A$6:$A$11,MIN(5,MATCH(MAX(Reference!$A$6,MIN(Reference!$A$11,MIN($U131,90))),Reference!$A$6:$A$11,1))+1)-INDEX(Reference!$A$6:$A$11,MIN(5,MATCH(MAX(Reference!$A$6,MIN(Reference!$A$11,MIN($U131,90))),Reference!$A$6:$A$11,1))))),0)+IF(2&lt;=$AL131,($AL131-2+3)*(INDEX(Reference!$B$6:$B$11,MIN(5,MATCH(MAX(Reference!$A$6,MIN(Reference!$A$11,MIN($U131,120))),Reference!$A$6:$A$11,1)))+(MAX(Reference!$A$6,MIN(Reference!$A$11,MIN($U131,120)))-INDEX(Reference!$A$6:$A$11,MIN(5,MATCH(MAX(Reference!$A$6,MIN(Reference!$A$11,MIN($U131,120))),Reference!$A$6:$A$11,1))))*(INDEX(Reference!$B$6:$B$11,MIN(5,MATCH(MAX(Reference!$A$6,MIN(Reference!$A$11,MIN($U131,120))),Reference!$A$6:$A$11,1))+1)-INDEX(Reference!$B$6:$B$11,MIN(5,MATCH(MAX(Reference!$A$6,MIN(Reference!$A$11,MIN($U131,120))),Reference!$A$6:$A$11,1))))/(INDEX(Reference!$A$6:$A$11,MIN(5,MATCH(MAX(Reference!$A$6,MIN(Reference!$A$11,MIN($U131,120))),Reference!$A$6:$A$11,1))+1)-INDEX(Reference!$A$6:$A$11,MIN(5,MATCH(MAX(Reference!$A$6,MIN(Reference!$A$11,MIN($U131,120))),Reference!$A$6:$A$11,1))))),0)+IF(3&lt;=$AL131,($AL131-3+3)*(INDEX(Reference!$B$6:$B$11,MIN(5,MATCH(MAX(Reference!$A$6,MIN(Reference!$A$11,MIN($U131,150))),Reference!$A$6:$A$11,1)))+(MAX(Reference!$A$6,MIN(Reference!$A$11,MIN($U131,150)))-INDEX(Reference!$A$6:$A$11,MIN(5,MATCH(MAX(Reference!$A$6,MIN(Reference!$A$11,MIN($U131,150))),Reference!$A$6:$A$11,1))))*(INDEX(Reference!$B$6:$B$11,MIN(5,MATCH(MAX(Reference!$A$6,MIN(Reference!$A$11,MIN($U131,150))),Reference!$A$6:$A$11,1))+1)-INDEX(Reference!$B$6:$B$11,MIN(5,MATCH(MAX(Reference!$A$6,MIN(Reference!$A$11,MIN($U131,150))),Reference!$A$6:$A$11,1))))/(INDEX(Reference!$A$6:$A$11,MIN(5,MATCH(MAX(Reference!$A$6,MIN(Reference!$A$11,MIN($U131,150))),Reference!$A$6:$A$11,1))+1)-INDEX(Reference!$A$6:$A$11,MIN(5,MATCH(MAX(Reference!$A$6,MIN(Reference!$A$11,MIN($U131,150))),Reference!$A$6:$A$11,1))))),0)+IF(4&lt;=$AL131,($AL131-4+3)*(INDEX(Reference!$B$6:$B$11,MIN(5,MATCH(MAX(Reference!$A$6,MIN(Reference!$A$11,MIN($U131,180))),Reference!$A$6:$A$11,1)))+(MAX(Reference!$A$6,MIN(Reference!$A$11,MIN($U131,180)))-INDEX(Reference!$A$6:$A$11,MIN(5,MATCH(MAX(Reference!$A$6,MIN(Reference!$A$11,MIN($U131,180))),Reference!$A$6:$A$11,1))))*(INDEX(Reference!$B$6:$B$11,MIN(5,MATCH(MAX(Reference!$A$6,MIN(Reference!$A$11,MIN($U131,180))),Reference!$A$6:$A$11,1))+1)-INDEX(Reference!$B$6:$B$11,MIN(5,MATCH(MAX(Reference!$A$6,MIN(Reference!$A$11,MIN($U131,180))),Reference!$A$6:$A$11,1))))/(INDEX(Reference!$A$6:$A$11,MIN(5,MATCH(MAX(Reference!$A$6,MIN(Reference!$A$11,MIN($U131,180))),Reference!$A$6:$A$11,1))+1)-INDEX(Reference!$A$6:$A$11,MIN(5,MATCH(MAX(Reference!$A$6,MIN(Reference!$A$11,MIN($U131,180))),Reference!$A$6:$A$11,1))))),0)+IF(5&lt;=$AL131,($AL131-5+3)*(INDEX(Reference!$B$6:$B$11,MIN(5,MATCH(MAX(Reference!$A$6,MIN(Reference!$A$11,MIN($U131,210))),Reference!$A$6:$A$11,1)))+(MAX(Reference!$A$6,MIN(Reference!$A$11,MIN($U131,210)))-INDEX(Reference!$A$6:$A$11,MIN(5,MATCH(MAX(Reference!$A$6,MIN(Reference!$A$11,MIN($U131,210))),Reference!$A$6:$A$11,1))))*(INDEX(Reference!$B$6:$B$11,MIN(5,MATCH(MAX(Reference!$A$6,MIN(Reference!$A$11,MIN($U131,210))),Reference!$A$6:$A$11,1))+1)-INDEX(Reference!$B$6:$B$11,MIN(5,MATCH(MAX(Reference!$A$6,MIN(Reference!$A$11,MIN($U131,210))),Reference!$A$6:$A$11,1))))/(INDEX(Reference!$A$6:$A$11,MIN(5,MATCH(MAX(Reference!$A$6,MIN(Reference!$A$11,MIN($U131,210))),Reference!$A$6:$A$11,1))+1)-INDEX(Reference!$A$6:$A$11,MIN(5,MATCH(MAX(Reference!$A$6,MIN(Reference!$A$11,MIN($U131,210))),Reference!$A$6:$A$11,1))))),0)+IF(6&lt;=$AL131,($AL131-6+3)*(INDEX(Reference!$B$6:$B$11,MIN(5,MATCH(MAX(Reference!$A$6,MIN(Reference!$A$11,MIN($U131,240))),Reference!$A$6:$A$11,1)))+(MAX(Reference!$A$6,MIN(Reference!$A$11,MIN($U131,240)))-INDEX(Reference!$A$6:$A$11,MIN(5,MATCH(MAX(Reference!$A$6,MIN(Reference!$A$11,MIN($U131,240))),Reference!$A$6:$A$11,1))))*(INDEX(Reference!$B$6:$B$11,MIN(5,MATCH(MAX(Reference!$A$6,MIN(Reference!$A$11,MIN($U131,240))),Reference!$A$6:$A$11,1))+1)-INDEX(Reference!$B$6:$B$11,MIN(5,MATCH(MAX(Reference!$A$6,MIN(Reference!$A$11,MIN($U131,240))),Reference!$A$6:$A$11,1))))/(INDEX(Reference!$A$6:$A$11,MIN(5,MATCH(MAX(Reference!$A$6,MIN(Reference!$A$11,MIN($U131,240))),Reference!$A$6:$A$11,1))+1)-INDEX(Reference!$A$6:$A$11,MIN(5,MATCH(MAX(Reference!$A$6,MIN(Reference!$A$11,MIN($U131,240))),Reference!$A$6:$A$11,1))))),0)+IF(7&lt;=$AL131,($AL131-7+3)*(INDEX(Reference!$B$6:$B$11,MIN(5,MATCH(MAX(Reference!$A$6,MIN(Reference!$A$11,MIN($U131,270))),Reference!$A$6:$A$11,1)))+(MAX(Reference!$A$6,MIN(Reference!$A$11,MIN($U131,270)))-INDEX(Reference!$A$6:$A$11,MIN(5,MATCH(MAX(Reference!$A$6,MIN(Reference!$A$11,MIN($U131,270))),Reference!$A$6:$A$11,1))))*(INDEX(Reference!$B$6:$B$11,MIN(5,MATCH(MAX(Reference!$A$6,MIN(Reference!$A$11,MIN($U131,270))),Reference!$A$6:$A$11,1))+1)-INDEX(Reference!$B$6:$B$11,MIN(5,MATCH(MAX(Reference!$A$6,MIN(Reference!$A$11,MIN($U131,270))),Reference!$A$6:$A$11,1))))/(INDEX(Reference!$A$6:$A$11,MIN(5,MATCH(MAX(Reference!$A$6,MIN(Reference!$A$11,MIN($U131,270))),Reference!$A$6:$A$11,1))+1)-INDEX(Reference!$A$6:$A$11,MIN(5,MATCH(MAX(Reference!$A$6,MIN(Reference!$A$11,MIN($U131,270))),Reference!$A$6:$A$11,1))))),0)+IF(8&lt;=$AL131,($AL131-8+3)*(INDEX(Reference!$B$6:$B$11,MIN(5,MATCH(MAX(Reference!$A$6,MIN(Reference!$A$11,MIN($U131,300))),Reference!$A$6:$A$11,1)))+(MAX(Reference!$A$6,MIN(Reference!$A$11,MIN($U131,300)))-INDEX(Reference!$A$6:$A$11,MIN(5,MATCH(MAX(Reference!$A$6,MIN(Reference!$A$11,MIN($U131,300))),Reference!$A$6:$A$11,1))))*(INDEX(Reference!$B$6:$B$11,MIN(5,MATCH(MAX(Reference!$A$6,MIN(Reference!$A$11,MIN($U131,300))),Reference!$A$6:$A$11,1))+1)-INDEX(Reference!$B$6:$B$11,MIN(5,MATCH(MAX(Reference!$A$6,MIN(Reference!$A$11,MIN($U131,300))),Reference!$A$6:$A$11,1))))/(INDEX(Reference!$A$6:$A$11,MIN(5,MATCH(MAX(Reference!$A$6,MIN(Reference!$A$11,MIN($U131,300))),Reference!$A$6:$A$11,1))+1)-INDEX(Reference!$A$6:$A$11,MIN(5,MATCH(MAX(Reference!$A$6,MIN(Reference!$A$11,MIN($U131,300))),Reference!$A$6:$A$11,1))))),0))/($AL131*($AL131+5)/2)),$AN131))</f>
        <v>0</v>
      </c>
      <c r="AN131" s="32">
        <f>IF($U131="",0,(INDEX(Reference!$B$6:$B$11,MIN(5,MATCH(MAX(Reference!$A$6,MIN(Reference!$A$11,$U131)),Reference!$A$6:$A$11,1)))+(MAX(Reference!$A$6,MIN(Reference!$A$11,$U131))-INDEX(Reference!$A$6:$A$11,MIN(5,MATCH(MAX(Reference!$A$6,MIN(Reference!$A$11,$U131)),Reference!$A$6:$A$11,1))))*(INDEX(Reference!$B$6:$B$11,MIN(5,MATCH(MAX(Reference!$A$6,MIN(Reference!$A$11,$U131)),Reference!$A$6:$A$11,1))+1)-INDEX(Reference!$B$6:$B$11,MIN(5,MATCH(MAX(Reference!$A$6,MIN(Reference!$A$11,$U131)),Reference!$A$6:$A$11,1))))/(INDEX(Reference!$A$6:$A$11,MIN(5,MATCH(MAX(Reference!$A$6,MIN(Reference!$A$11,$U131)),Reference!$A$6:$A$11,1))+1)-INDEX(Reference!$A$6:$A$11,MIN(5,MATCH(MAX(Reference!$A$6,MIN(Reference!$A$11,$U131)),Reference!$A$6:$A$11,1))))))</f>
        <v>0</v>
      </c>
      <c r="AO131" s="37"/>
      <c r="AP131" s="37"/>
      <c r="AQ131" s="37"/>
    </row>
    <row r="132" spans="1:43" x14ac:dyDescent="0.3">
      <c r="A132" s="48" t="str">
        <f t="shared" si="55"/>
        <v/>
      </c>
      <c r="B132" s="32" t="str">
        <f t="shared" si="56"/>
        <v/>
      </c>
      <c r="C132" s="32" t="str">
        <f t="shared" si="57"/>
        <v/>
      </c>
      <c r="D132" s="32" t="str">
        <f t="shared" si="58"/>
        <v/>
      </c>
      <c r="E132" s="32" t="str">
        <f t="shared" si="59"/>
        <v/>
      </c>
      <c r="F132" s="32" t="str">
        <f t="shared" si="60"/>
        <v/>
      </c>
      <c r="G132" s="47" t="str">
        <f t="shared" si="61"/>
        <v/>
      </c>
      <c r="H132" s="30" t="str">
        <f t="shared" si="62"/>
        <v/>
      </c>
      <c r="I132" s="46" t="str">
        <f>IF($A132="","",IF(AND($L132&lt;27,$K$12=0),"Building",IFERROR(((SUM($H$126:$H132)+$K$12*IF($L132&lt;6,SUMIFS('Throw Log'!$Q$5:$Q$300,'Throw Log'!$B$5:$B$300,$D$4,'Throw Log'!$A$5:$A$300,"&gt;="&amp;($D$6+$L132-6),'Throw Log'!$A$5:$A$300,"&lt;="&amp;($D$6-1)),0))/7)/((SUM($H$105:$H132)+$K$12*IF($L132&lt;27,SUMIFS('Throw Log'!$Q$5:$Q$300,'Throw Log'!$B$5:$B$300,$D$4,'Throw Log'!$A$5:$A$300,"&gt;="&amp;($D$6+$L132-27),'Throw Log'!$A$5:$A$300,"&lt;="&amp;($D$6-1)),0))/28),"")))</f>
        <v/>
      </c>
      <c r="J132" s="37"/>
      <c r="K132" s="37"/>
      <c r="L132" s="32">
        <v>89</v>
      </c>
      <c r="M132" s="32">
        <f t="shared" si="63"/>
        <v>13</v>
      </c>
      <c r="N132" s="32">
        <f t="shared" si="64"/>
        <v>5</v>
      </c>
      <c r="O132" s="32">
        <f t="shared" si="65"/>
        <v>1</v>
      </c>
      <c r="P132" s="32" t="str">
        <f>IF(OR($A132="",N($C132)&lt;=7),"",$G$6*$G$9^($M132-1)*IF(AND(MOD($M132,Reference!$B$99)=0,$M132&lt;=$G$5-2),Reference!$B$100,1))</f>
        <v/>
      </c>
      <c r="Q132" s="32" t="str">
        <f>IF($P132="","",IF(SUM($AK$127:$AK$133)=0,0,$P132*INDEX(Reference!$B$108:$B$114,$N132+1)/SUM($AK$127:$AK$133)))</f>
        <v/>
      </c>
      <c r="R132" s="32">
        <f t="shared" si="66"/>
        <v>180</v>
      </c>
      <c r="S132" s="32">
        <f t="shared" si="67"/>
        <v>150</v>
      </c>
      <c r="T132" s="32" t="str">
        <f>IF($A132="","",IF($C132=0,"Bullpen",IF(OR($C132=7,$C132=1,$C132=5),"Recovery/Easy Catch",IF($C132=6,"Compression/Pulldowns",IF(OR($C132=4,$C132=2),"Long Toss",IF($C132=3,"No Throw",IF($N132=2,"No Throw",IF($N132=6,IF($O132&lt;Reference!$B$104,"No Throw","Recovery/Easy Catch"),IF(OR($N132=0,$N132=4),"Recovery/Easy Catch",IF($N132=1,IF($R132&gt;75,"Long Toss","Recovery/Easy Catch"),IF($N132=3,IF($O132&lt;0.5,IF($S132&gt;75,"Long Toss","Recovery/Easy Catch"),"Compression/Pulldowns"),IF($S132&gt;75,"Long Toss","Recovery/Easy Catch"))))))))))))</f>
        <v/>
      </c>
      <c r="U132" s="32" t="str">
        <f t="shared" si="68"/>
        <v/>
      </c>
      <c r="V132" s="32" t="str">
        <f t="shared" si="69"/>
        <v/>
      </c>
      <c r="W132" s="32" t="str">
        <f t="shared" si="70"/>
        <v/>
      </c>
      <c r="X132" s="32">
        <f t="shared" si="71"/>
        <v>0</v>
      </c>
      <c r="Y132" s="32" t="str">
        <f t="shared" si="72"/>
        <v/>
      </c>
      <c r="Z132" s="32" t="str">
        <f t="shared" si="73"/>
        <v/>
      </c>
      <c r="AA132" s="32" t="str">
        <f t="shared" si="74"/>
        <v/>
      </c>
      <c r="AB132" s="32" t="str">
        <f>IF($A132="","",IF($T132="No Throw",0,IF($K132&lt;&gt;"",$K132,IF($AA132&lt;&gt;"",ROUND($AA132*$D$12*IF($C132=0,1,$G$10),0),MIN(IF($T132="Recovery/Easy Catch",Reference!$B$103,IF($T132="Long Toss",Reference!$B$106,Reference!$B$102)),MAX(Reference!$B$101,ROUND(MAX(0,$Q132-$AE132)/$AF132,0)))))))</f>
        <v/>
      </c>
      <c r="AC132" s="32">
        <f t="shared" si="75"/>
        <v>0</v>
      </c>
      <c r="AD132" s="32" t="b">
        <f t="shared" si="76"/>
        <v>1</v>
      </c>
      <c r="AE132" s="32">
        <f>IF($X132=0,0,$X132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132+$Z132)/2,0),Reference!$A$17:$B$20,2,TRUE()))</f>
        <v>0</v>
      </c>
      <c r="AF132" s="32">
        <f>IF(OR($A132="",$U132="",$T132="No Throw"),0,$AM132*VLOOKUP(MAX(($V132+$W132)/2,0),Reference!$A$17:$B$20,2,TRUE()))</f>
        <v>0</v>
      </c>
      <c r="AG132" s="32">
        <f>IF($AC132=0,0,$AC132*INDEX(Reference!$B$61:$B$62,MATCH("Bullpen",Reference!$A$61:$A$62,0))*VLOOKUP(MAX($D$5-($D$9+$E$9)/2,0),Reference!$A$17:$B$20,2,TRUE()))</f>
        <v>0</v>
      </c>
      <c r="AH132" s="32" t="e">
        <f t="shared" si="77"/>
        <v>#N/A</v>
      </c>
      <c r="AI132" s="32" t="e">
        <f>IF($A132="",NA(),Reference!$A$25)</f>
        <v>#N/A</v>
      </c>
      <c r="AJ132" s="32" t="e">
        <f t="shared" si="78"/>
        <v>#N/A</v>
      </c>
      <c r="AK132" s="32">
        <f>IF(OR($A132="",N($C132)&lt;=7,$T132="No Throw",$J132="x"),0,INDEX(Reference!$B$108:$B$114,$N132+1))</f>
        <v>0</v>
      </c>
      <c r="AL132" s="32">
        <f t="shared" si="79"/>
        <v>1</v>
      </c>
      <c r="AM132" s="32">
        <f>IF($U132="",0,IF($AL132&gt;1,((IF(1&lt;=$AL132,($AL132-1+3)*(INDEX(Reference!$B$6:$B$11,MIN(5,MATCH(MAX(Reference!$A$6,MIN(Reference!$A$11,MIN($U132,90))),Reference!$A$6:$A$11,1)))+(MAX(Reference!$A$6,MIN(Reference!$A$11,MIN($U132,90)))-INDEX(Reference!$A$6:$A$11,MIN(5,MATCH(MAX(Reference!$A$6,MIN(Reference!$A$11,MIN($U132,90))),Reference!$A$6:$A$11,1))))*(INDEX(Reference!$B$6:$B$11,MIN(5,MATCH(MAX(Reference!$A$6,MIN(Reference!$A$11,MIN($U132,90))),Reference!$A$6:$A$11,1))+1)-INDEX(Reference!$B$6:$B$11,MIN(5,MATCH(MAX(Reference!$A$6,MIN(Reference!$A$11,MIN($U132,90))),Reference!$A$6:$A$11,1))))/(INDEX(Reference!$A$6:$A$11,MIN(5,MATCH(MAX(Reference!$A$6,MIN(Reference!$A$11,MIN($U132,90))),Reference!$A$6:$A$11,1))+1)-INDEX(Reference!$A$6:$A$11,MIN(5,MATCH(MAX(Reference!$A$6,MIN(Reference!$A$11,MIN($U132,90))),Reference!$A$6:$A$11,1))))),0)+IF(2&lt;=$AL132,($AL132-2+3)*(INDEX(Reference!$B$6:$B$11,MIN(5,MATCH(MAX(Reference!$A$6,MIN(Reference!$A$11,MIN($U132,120))),Reference!$A$6:$A$11,1)))+(MAX(Reference!$A$6,MIN(Reference!$A$11,MIN($U132,120)))-INDEX(Reference!$A$6:$A$11,MIN(5,MATCH(MAX(Reference!$A$6,MIN(Reference!$A$11,MIN($U132,120))),Reference!$A$6:$A$11,1))))*(INDEX(Reference!$B$6:$B$11,MIN(5,MATCH(MAX(Reference!$A$6,MIN(Reference!$A$11,MIN($U132,120))),Reference!$A$6:$A$11,1))+1)-INDEX(Reference!$B$6:$B$11,MIN(5,MATCH(MAX(Reference!$A$6,MIN(Reference!$A$11,MIN($U132,120))),Reference!$A$6:$A$11,1))))/(INDEX(Reference!$A$6:$A$11,MIN(5,MATCH(MAX(Reference!$A$6,MIN(Reference!$A$11,MIN($U132,120))),Reference!$A$6:$A$11,1))+1)-INDEX(Reference!$A$6:$A$11,MIN(5,MATCH(MAX(Reference!$A$6,MIN(Reference!$A$11,MIN($U132,120))),Reference!$A$6:$A$11,1))))),0)+IF(3&lt;=$AL132,($AL132-3+3)*(INDEX(Reference!$B$6:$B$11,MIN(5,MATCH(MAX(Reference!$A$6,MIN(Reference!$A$11,MIN($U132,150))),Reference!$A$6:$A$11,1)))+(MAX(Reference!$A$6,MIN(Reference!$A$11,MIN($U132,150)))-INDEX(Reference!$A$6:$A$11,MIN(5,MATCH(MAX(Reference!$A$6,MIN(Reference!$A$11,MIN($U132,150))),Reference!$A$6:$A$11,1))))*(INDEX(Reference!$B$6:$B$11,MIN(5,MATCH(MAX(Reference!$A$6,MIN(Reference!$A$11,MIN($U132,150))),Reference!$A$6:$A$11,1))+1)-INDEX(Reference!$B$6:$B$11,MIN(5,MATCH(MAX(Reference!$A$6,MIN(Reference!$A$11,MIN($U132,150))),Reference!$A$6:$A$11,1))))/(INDEX(Reference!$A$6:$A$11,MIN(5,MATCH(MAX(Reference!$A$6,MIN(Reference!$A$11,MIN($U132,150))),Reference!$A$6:$A$11,1))+1)-INDEX(Reference!$A$6:$A$11,MIN(5,MATCH(MAX(Reference!$A$6,MIN(Reference!$A$11,MIN($U132,150))),Reference!$A$6:$A$11,1))))),0)+IF(4&lt;=$AL132,($AL132-4+3)*(INDEX(Reference!$B$6:$B$11,MIN(5,MATCH(MAX(Reference!$A$6,MIN(Reference!$A$11,MIN($U132,180))),Reference!$A$6:$A$11,1)))+(MAX(Reference!$A$6,MIN(Reference!$A$11,MIN($U132,180)))-INDEX(Reference!$A$6:$A$11,MIN(5,MATCH(MAX(Reference!$A$6,MIN(Reference!$A$11,MIN($U132,180))),Reference!$A$6:$A$11,1))))*(INDEX(Reference!$B$6:$B$11,MIN(5,MATCH(MAX(Reference!$A$6,MIN(Reference!$A$11,MIN($U132,180))),Reference!$A$6:$A$11,1))+1)-INDEX(Reference!$B$6:$B$11,MIN(5,MATCH(MAX(Reference!$A$6,MIN(Reference!$A$11,MIN($U132,180))),Reference!$A$6:$A$11,1))))/(INDEX(Reference!$A$6:$A$11,MIN(5,MATCH(MAX(Reference!$A$6,MIN(Reference!$A$11,MIN($U132,180))),Reference!$A$6:$A$11,1))+1)-INDEX(Reference!$A$6:$A$11,MIN(5,MATCH(MAX(Reference!$A$6,MIN(Reference!$A$11,MIN($U132,180))),Reference!$A$6:$A$11,1))))),0)+IF(5&lt;=$AL132,($AL132-5+3)*(INDEX(Reference!$B$6:$B$11,MIN(5,MATCH(MAX(Reference!$A$6,MIN(Reference!$A$11,MIN($U132,210))),Reference!$A$6:$A$11,1)))+(MAX(Reference!$A$6,MIN(Reference!$A$11,MIN($U132,210)))-INDEX(Reference!$A$6:$A$11,MIN(5,MATCH(MAX(Reference!$A$6,MIN(Reference!$A$11,MIN($U132,210))),Reference!$A$6:$A$11,1))))*(INDEX(Reference!$B$6:$B$11,MIN(5,MATCH(MAX(Reference!$A$6,MIN(Reference!$A$11,MIN($U132,210))),Reference!$A$6:$A$11,1))+1)-INDEX(Reference!$B$6:$B$11,MIN(5,MATCH(MAX(Reference!$A$6,MIN(Reference!$A$11,MIN($U132,210))),Reference!$A$6:$A$11,1))))/(INDEX(Reference!$A$6:$A$11,MIN(5,MATCH(MAX(Reference!$A$6,MIN(Reference!$A$11,MIN($U132,210))),Reference!$A$6:$A$11,1))+1)-INDEX(Reference!$A$6:$A$11,MIN(5,MATCH(MAX(Reference!$A$6,MIN(Reference!$A$11,MIN($U132,210))),Reference!$A$6:$A$11,1))))),0)+IF(6&lt;=$AL132,($AL132-6+3)*(INDEX(Reference!$B$6:$B$11,MIN(5,MATCH(MAX(Reference!$A$6,MIN(Reference!$A$11,MIN($U132,240))),Reference!$A$6:$A$11,1)))+(MAX(Reference!$A$6,MIN(Reference!$A$11,MIN($U132,240)))-INDEX(Reference!$A$6:$A$11,MIN(5,MATCH(MAX(Reference!$A$6,MIN(Reference!$A$11,MIN($U132,240))),Reference!$A$6:$A$11,1))))*(INDEX(Reference!$B$6:$B$11,MIN(5,MATCH(MAX(Reference!$A$6,MIN(Reference!$A$11,MIN($U132,240))),Reference!$A$6:$A$11,1))+1)-INDEX(Reference!$B$6:$B$11,MIN(5,MATCH(MAX(Reference!$A$6,MIN(Reference!$A$11,MIN($U132,240))),Reference!$A$6:$A$11,1))))/(INDEX(Reference!$A$6:$A$11,MIN(5,MATCH(MAX(Reference!$A$6,MIN(Reference!$A$11,MIN($U132,240))),Reference!$A$6:$A$11,1))+1)-INDEX(Reference!$A$6:$A$11,MIN(5,MATCH(MAX(Reference!$A$6,MIN(Reference!$A$11,MIN($U132,240))),Reference!$A$6:$A$11,1))))),0)+IF(7&lt;=$AL132,($AL132-7+3)*(INDEX(Reference!$B$6:$B$11,MIN(5,MATCH(MAX(Reference!$A$6,MIN(Reference!$A$11,MIN($U132,270))),Reference!$A$6:$A$11,1)))+(MAX(Reference!$A$6,MIN(Reference!$A$11,MIN($U132,270)))-INDEX(Reference!$A$6:$A$11,MIN(5,MATCH(MAX(Reference!$A$6,MIN(Reference!$A$11,MIN($U132,270))),Reference!$A$6:$A$11,1))))*(INDEX(Reference!$B$6:$B$11,MIN(5,MATCH(MAX(Reference!$A$6,MIN(Reference!$A$11,MIN($U132,270))),Reference!$A$6:$A$11,1))+1)-INDEX(Reference!$B$6:$B$11,MIN(5,MATCH(MAX(Reference!$A$6,MIN(Reference!$A$11,MIN($U132,270))),Reference!$A$6:$A$11,1))))/(INDEX(Reference!$A$6:$A$11,MIN(5,MATCH(MAX(Reference!$A$6,MIN(Reference!$A$11,MIN($U132,270))),Reference!$A$6:$A$11,1))+1)-INDEX(Reference!$A$6:$A$11,MIN(5,MATCH(MAX(Reference!$A$6,MIN(Reference!$A$11,MIN($U132,270))),Reference!$A$6:$A$11,1))))),0)+IF(8&lt;=$AL132,($AL132-8+3)*(INDEX(Reference!$B$6:$B$11,MIN(5,MATCH(MAX(Reference!$A$6,MIN(Reference!$A$11,MIN($U132,300))),Reference!$A$6:$A$11,1)))+(MAX(Reference!$A$6,MIN(Reference!$A$11,MIN($U132,300)))-INDEX(Reference!$A$6:$A$11,MIN(5,MATCH(MAX(Reference!$A$6,MIN(Reference!$A$11,MIN($U132,300))),Reference!$A$6:$A$11,1))))*(INDEX(Reference!$B$6:$B$11,MIN(5,MATCH(MAX(Reference!$A$6,MIN(Reference!$A$11,MIN($U132,300))),Reference!$A$6:$A$11,1))+1)-INDEX(Reference!$B$6:$B$11,MIN(5,MATCH(MAX(Reference!$A$6,MIN(Reference!$A$11,MIN($U132,300))),Reference!$A$6:$A$11,1))))/(INDEX(Reference!$A$6:$A$11,MIN(5,MATCH(MAX(Reference!$A$6,MIN(Reference!$A$11,MIN($U132,300))),Reference!$A$6:$A$11,1))+1)-INDEX(Reference!$A$6:$A$11,MIN(5,MATCH(MAX(Reference!$A$6,MIN(Reference!$A$11,MIN($U132,300))),Reference!$A$6:$A$11,1))))),0))/($AL132*($AL132+5)/2)),$AN132))</f>
        <v>0</v>
      </c>
      <c r="AN132" s="32">
        <f>IF($U132="",0,(INDEX(Reference!$B$6:$B$11,MIN(5,MATCH(MAX(Reference!$A$6,MIN(Reference!$A$11,$U132)),Reference!$A$6:$A$11,1)))+(MAX(Reference!$A$6,MIN(Reference!$A$11,$U132))-INDEX(Reference!$A$6:$A$11,MIN(5,MATCH(MAX(Reference!$A$6,MIN(Reference!$A$11,$U132)),Reference!$A$6:$A$11,1))))*(INDEX(Reference!$B$6:$B$11,MIN(5,MATCH(MAX(Reference!$A$6,MIN(Reference!$A$11,$U132)),Reference!$A$6:$A$11,1))+1)-INDEX(Reference!$B$6:$B$11,MIN(5,MATCH(MAX(Reference!$A$6,MIN(Reference!$A$11,$U132)),Reference!$A$6:$A$11,1))))/(INDEX(Reference!$A$6:$A$11,MIN(5,MATCH(MAX(Reference!$A$6,MIN(Reference!$A$11,$U132)),Reference!$A$6:$A$11,1))+1)-INDEX(Reference!$A$6:$A$11,MIN(5,MATCH(MAX(Reference!$A$6,MIN(Reference!$A$11,$U132)),Reference!$A$6:$A$11,1))))))</f>
        <v>0</v>
      </c>
      <c r="AO132" s="37"/>
      <c r="AP132" s="37"/>
      <c r="AQ132" s="37"/>
    </row>
    <row r="133" spans="1:43" x14ac:dyDescent="0.3">
      <c r="A133" s="48" t="str">
        <f t="shared" si="55"/>
        <v/>
      </c>
      <c r="B133" s="32" t="str">
        <f t="shared" si="56"/>
        <v/>
      </c>
      <c r="C133" s="32" t="str">
        <f t="shared" si="57"/>
        <v/>
      </c>
      <c r="D133" s="32" t="str">
        <f t="shared" si="58"/>
        <v/>
      </c>
      <c r="E133" s="32" t="str">
        <f t="shared" si="59"/>
        <v/>
      </c>
      <c r="F133" s="32" t="str">
        <f t="shared" si="60"/>
        <v/>
      </c>
      <c r="G133" s="47" t="str">
        <f t="shared" si="61"/>
        <v/>
      </c>
      <c r="H133" s="30" t="str">
        <f t="shared" si="62"/>
        <v/>
      </c>
      <c r="I133" s="46" t="str">
        <f>IF($A133="","",IF(AND($L133&lt;27,$K$12=0),"Building",IFERROR(((SUM($H$127:$H133)+$K$12*IF($L133&lt;6,SUMIFS('Throw Log'!$Q$5:$Q$300,'Throw Log'!$B$5:$B$300,$D$4,'Throw Log'!$A$5:$A$300,"&gt;="&amp;($D$6+$L133-6),'Throw Log'!$A$5:$A$300,"&lt;="&amp;($D$6-1)),0))/7)/((SUM($H$106:$H133)+$K$12*IF($L133&lt;27,SUMIFS('Throw Log'!$Q$5:$Q$300,'Throw Log'!$B$5:$B$300,$D$4,'Throw Log'!$A$5:$A$300,"&gt;="&amp;($D$6+$L133-27),'Throw Log'!$A$5:$A$300,"&lt;="&amp;($D$6-1)),0))/28),"")))</f>
        <v/>
      </c>
      <c r="J133" s="37"/>
      <c r="K133" s="37"/>
      <c r="L133" s="32">
        <v>90</v>
      </c>
      <c r="M133" s="32">
        <f t="shared" si="63"/>
        <v>13</v>
      </c>
      <c r="N133" s="32">
        <f t="shared" si="64"/>
        <v>6</v>
      </c>
      <c r="O133" s="32">
        <f t="shared" si="65"/>
        <v>1</v>
      </c>
      <c r="P133" s="32" t="str">
        <f>IF(OR($A133="",N($C133)&lt;=7),"",$G$6*$G$9^($M133-1)*IF(AND(MOD($M133,Reference!$B$99)=0,$M133&lt;=$G$5-2),Reference!$B$100,1))</f>
        <v/>
      </c>
      <c r="Q133" s="32" t="str">
        <f>IF($P133="","",IF(SUM($AK$127:$AK$133)=0,0,$P133*INDEX(Reference!$B$108:$B$114,$N133+1)/SUM($AK$127:$AK$133)))</f>
        <v/>
      </c>
      <c r="R133" s="32">
        <f t="shared" si="66"/>
        <v>180</v>
      </c>
      <c r="S133" s="32">
        <f t="shared" si="67"/>
        <v>150</v>
      </c>
      <c r="T133" s="32" t="str">
        <f>IF($A133="","",IF($C133=0,"Bullpen",IF(OR($C133=7,$C133=1,$C133=5),"Recovery/Easy Catch",IF($C133=6,"Compression/Pulldowns",IF(OR($C133=4,$C133=2),"Long Toss",IF($C133=3,"No Throw",IF($N133=2,"No Throw",IF($N133=6,IF($O133&lt;Reference!$B$104,"No Throw","Recovery/Easy Catch"),IF(OR($N133=0,$N133=4),"Recovery/Easy Catch",IF($N133=1,IF($R133&gt;75,"Long Toss","Recovery/Easy Catch"),IF($N133=3,IF($O133&lt;0.5,IF($S133&gt;75,"Long Toss","Recovery/Easy Catch"),"Compression/Pulldowns"),IF($S133&gt;75,"Long Toss","Recovery/Easy Catch"))))))))))))</f>
        <v/>
      </c>
      <c r="U133" s="32" t="str">
        <f t="shared" si="68"/>
        <v/>
      </c>
      <c r="V133" s="32" t="str">
        <f t="shared" si="69"/>
        <v/>
      </c>
      <c r="W133" s="32" t="str">
        <f t="shared" si="70"/>
        <v/>
      </c>
      <c r="X133" s="32">
        <f t="shared" si="71"/>
        <v>0</v>
      </c>
      <c r="Y133" s="32" t="str">
        <f t="shared" si="72"/>
        <v/>
      </c>
      <c r="Z133" s="32" t="str">
        <f t="shared" si="73"/>
        <v/>
      </c>
      <c r="AA133" s="32" t="str">
        <f t="shared" si="74"/>
        <v/>
      </c>
      <c r="AB133" s="32" t="str">
        <f>IF($A133="","",IF($T133="No Throw",0,IF($K133&lt;&gt;"",$K133,IF($AA133&lt;&gt;"",ROUND($AA133*$D$12*IF($C133=0,1,$G$10),0),MIN(IF($T133="Recovery/Easy Catch",Reference!$B$103,IF($T133="Long Toss",Reference!$B$106,Reference!$B$102)),MAX(Reference!$B$101,ROUND(MAX(0,$Q133-$AE133)/$AF133,0)))))))</f>
        <v/>
      </c>
      <c r="AC133" s="32">
        <f t="shared" si="75"/>
        <v>0</v>
      </c>
      <c r="AD133" s="32" t="b">
        <f t="shared" si="76"/>
        <v>1</v>
      </c>
      <c r="AE133" s="32">
        <f>IF($X133=0,0,$X133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133+$Z133)/2,0),Reference!$A$17:$B$20,2,TRUE()))</f>
        <v>0</v>
      </c>
      <c r="AF133" s="32">
        <f>IF(OR($A133="",$U133="",$T133="No Throw"),0,$AM133*VLOOKUP(MAX(($V133+$W133)/2,0),Reference!$A$17:$B$20,2,TRUE()))</f>
        <v>0</v>
      </c>
      <c r="AG133" s="32">
        <f>IF($AC133=0,0,$AC133*INDEX(Reference!$B$61:$B$62,MATCH("Bullpen",Reference!$A$61:$A$62,0))*VLOOKUP(MAX($D$5-($D$9+$E$9)/2,0),Reference!$A$17:$B$20,2,TRUE()))</f>
        <v>0</v>
      </c>
      <c r="AH133" s="32" t="e">
        <f t="shared" si="77"/>
        <v>#N/A</v>
      </c>
      <c r="AI133" s="32" t="e">
        <f>IF($A133="",NA(),Reference!$A$25)</f>
        <v>#N/A</v>
      </c>
      <c r="AJ133" s="32" t="e">
        <f t="shared" si="78"/>
        <v>#N/A</v>
      </c>
      <c r="AK133" s="32">
        <f>IF(OR($A133="",N($C133)&lt;=7,$T133="No Throw",$J133="x"),0,INDEX(Reference!$B$108:$B$114,$N133+1))</f>
        <v>0</v>
      </c>
      <c r="AL133" s="32">
        <f t="shared" si="79"/>
        <v>1</v>
      </c>
      <c r="AM133" s="32">
        <f>IF($U133="",0,IF($AL133&gt;1,((IF(1&lt;=$AL133,($AL133-1+3)*(INDEX(Reference!$B$6:$B$11,MIN(5,MATCH(MAX(Reference!$A$6,MIN(Reference!$A$11,MIN($U133,90))),Reference!$A$6:$A$11,1)))+(MAX(Reference!$A$6,MIN(Reference!$A$11,MIN($U133,90)))-INDEX(Reference!$A$6:$A$11,MIN(5,MATCH(MAX(Reference!$A$6,MIN(Reference!$A$11,MIN($U133,90))),Reference!$A$6:$A$11,1))))*(INDEX(Reference!$B$6:$B$11,MIN(5,MATCH(MAX(Reference!$A$6,MIN(Reference!$A$11,MIN($U133,90))),Reference!$A$6:$A$11,1))+1)-INDEX(Reference!$B$6:$B$11,MIN(5,MATCH(MAX(Reference!$A$6,MIN(Reference!$A$11,MIN($U133,90))),Reference!$A$6:$A$11,1))))/(INDEX(Reference!$A$6:$A$11,MIN(5,MATCH(MAX(Reference!$A$6,MIN(Reference!$A$11,MIN($U133,90))),Reference!$A$6:$A$11,1))+1)-INDEX(Reference!$A$6:$A$11,MIN(5,MATCH(MAX(Reference!$A$6,MIN(Reference!$A$11,MIN($U133,90))),Reference!$A$6:$A$11,1))))),0)+IF(2&lt;=$AL133,($AL133-2+3)*(INDEX(Reference!$B$6:$B$11,MIN(5,MATCH(MAX(Reference!$A$6,MIN(Reference!$A$11,MIN($U133,120))),Reference!$A$6:$A$11,1)))+(MAX(Reference!$A$6,MIN(Reference!$A$11,MIN($U133,120)))-INDEX(Reference!$A$6:$A$11,MIN(5,MATCH(MAX(Reference!$A$6,MIN(Reference!$A$11,MIN($U133,120))),Reference!$A$6:$A$11,1))))*(INDEX(Reference!$B$6:$B$11,MIN(5,MATCH(MAX(Reference!$A$6,MIN(Reference!$A$11,MIN($U133,120))),Reference!$A$6:$A$11,1))+1)-INDEX(Reference!$B$6:$B$11,MIN(5,MATCH(MAX(Reference!$A$6,MIN(Reference!$A$11,MIN($U133,120))),Reference!$A$6:$A$11,1))))/(INDEX(Reference!$A$6:$A$11,MIN(5,MATCH(MAX(Reference!$A$6,MIN(Reference!$A$11,MIN($U133,120))),Reference!$A$6:$A$11,1))+1)-INDEX(Reference!$A$6:$A$11,MIN(5,MATCH(MAX(Reference!$A$6,MIN(Reference!$A$11,MIN($U133,120))),Reference!$A$6:$A$11,1))))),0)+IF(3&lt;=$AL133,($AL133-3+3)*(INDEX(Reference!$B$6:$B$11,MIN(5,MATCH(MAX(Reference!$A$6,MIN(Reference!$A$11,MIN($U133,150))),Reference!$A$6:$A$11,1)))+(MAX(Reference!$A$6,MIN(Reference!$A$11,MIN($U133,150)))-INDEX(Reference!$A$6:$A$11,MIN(5,MATCH(MAX(Reference!$A$6,MIN(Reference!$A$11,MIN($U133,150))),Reference!$A$6:$A$11,1))))*(INDEX(Reference!$B$6:$B$11,MIN(5,MATCH(MAX(Reference!$A$6,MIN(Reference!$A$11,MIN($U133,150))),Reference!$A$6:$A$11,1))+1)-INDEX(Reference!$B$6:$B$11,MIN(5,MATCH(MAX(Reference!$A$6,MIN(Reference!$A$11,MIN($U133,150))),Reference!$A$6:$A$11,1))))/(INDEX(Reference!$A$6:$A$11,MIN(5,MATCH(MAX(Reference!$A$6,MIN(Reference!$A$11,MIN($U133,150))),Reference!$A$6:$A$11,1))+1)-INDEX(Reference!$A$6:$A$11,MIN(5,MATCH(MAX(Reference!$A$6,MIN(Reference!$A$11,MIN($U133,150))),Reference!$A$6:$A$11,1))))),0)+IF(4&lt;=$AL133,($AL133-4+3)*(INDEX(Reference!$B$6:$B$11,MIN(5,MATCH(MAX(Reference!$A$6,MIN(Reference!$A$11,MIN($U133,180))),Reference!$A$6:$A$11,1)))+(MAX(Reference!$A$6,MIN(Reference!$A$11,MIN($U133,180)))-INDEX(Reference!$A$6:$A$11,MIN(5,MATCH(MAX(Reference!$A$6,MIN(Reference!$A$11,MIN($U133,180))),Reference!$A$6:$A$11,1))))*(INDEX(Reference!$B$6:$B$11,MIN(5,MATCH(MAX(Reference!$A$6,MIN(Reference!$A$11,MIN($U133,180))),Reference!$A$6:$A$11,1))+1)-INDEX(Reference!$B$6:$B$11,MIN(5,MATCH(MAX(Reference!$A$6,MIN(Reference!$A$11,MIN($U133,180))),Reference!$A$6:$A$11,1))))/(INDEX(Reference!$A$6:$A$11,MIN(5,MATCH(MAX(Reference!$A$6,MIN(Reference!$A$11,MIN($U133,180))),Reference!$A$6:$A$11,1))+1)-INDEX(Reference!$A$6:$A$11,MIN(5,MATCH(MAX(Reference!$A$6,MIN(Reference!$A$11,MIN($U133,180))),Reference!$A$6:$A$11,1))))),0)+IF(5&lt;=$AL133,($AL133-5+3)*(INDEX(Reference!$B$6:$B$11,MIN(5,MATCH(MAX(Reference!$A$6,MIN(Reference!$A$11,MIN($U133,210))),Reference!$A$6:$A$11,1)))+(MAX(Reference!$A$6,MIN(Reference!$A$11,MIN($U133,210)))-INDEX(Reference!$A$6:$A$11,MIN(5,MATCH(MAX(Reference!$A$6,MIN(Reference!$A$11,MIN($U133,210))),Reference!$A$6:$A$11,1))))*(INDEX(Reference!$B$6:$B$11,MIN(5,MATCH(MAX(Reference!$A$6,MIN(Reference!$A$11,MIN($U133,210))),Reference!$A$6:$A$11,1))+1)-INDEX(Reference!$B$6:$B$11,MIN(5,MATCH(MAX(Reference!$A$6,MIN(Reference!$A$11,MIN($U133,210))),Reference!$A$6:$A$11,1))))/(INDEX(Reference!$A$6:$A$11,MIN(5,MATCH(MAX(Reference!$A$6,MIN(Reference!$A$11,MIN($U133,210))),Reference!$A$6:$A$11,1))+1)-INDEX(Reference!$A$6:$A$11,MIN(5,MATCH(MAX(Reference!$A$6,MIN(Reference!$A$11,MIN($U133,210))),Reference!$A$6:$A$11,1))))),0)+IF(6&lt;=$AL133,($AL133-6+3)*(INDEX(Reference!$B$6:$B$11,MIN(5,MATCH(MAX(Reference!$A$6,MIN(Reference!$A$11,MIN($U133,240))),Reference!$A$6:$A$11,1)))+(MAX(Reference!$A$6,MIN(Reference!$A$11,MIN($U133,240)))-INDEX(Reference!$A$6:$A$11,MIN(5,MATCH(MAX(Reference!$A$6,MIN(Reference!$A$11,MIN($U133,240))),Reference!$A$6:$A$11,1))))*(INDEX(Reference!$B$6:$B$11,MIN(5,MATCH(MAX(Reference!$A$6,MIN(Reference!$A$11,MIN($U133,240))),Reference!$A$6:$A$11,1))+1)-INDEX(Reference!$B$6:$B$11,MIN(5,MATCH(MAX(Reference!$A$6,MIN(Reference!$A$11,MIN($U133,240))),Reference!$A$6:$A$11,1))))/(INDEX(Reference!$A$6:$A$11,MIN(5,MATCH(MAX(Reference!$A$6,MIN(Reference!$A$11,MIN($U133,240))),Reference!$A$6:$A$11,1))+1)-INDEX(Reference!$A$6:$A$11,MIN(5,MATCH(MAX(Reference!$A$6,MIN(Reference!$A$11,MIN($U133,240))),Reference!$A$6:$A$11,1))))),0)+IF(7&lt;=$AL133,($AL133-7+3)*(INDEX(Reference!$B$6:$B$11,MIN(5,MATCH(MAX(Reference!$A$6,MIN(Reference!$A$11,MIN($U133,270))),Reference!$A$6:$A$11,1)))+(MAX(Reference!$A$6,MIN(Reference!$A$11,MIN($U133,270)))-INDEX(Reference!$A$6:$A$11,MIN(5,MATCH(MAX(Reference!$A$6,MIN(Reference!$A$11,MIN($U133,270))),Reference!$A$6:$A$11,1))))*(INDEX(Reference!$B$6:$B$11,MIN(5,MATCH(MAX(Reference!$A$6,MIN(Reference!$A$11,MIN($U133,270))),Reference!$A$6:$A$11,1))+1)-INDEX(Reference!$B$6:$B$11,MIN(5,MATCH(MAX(Reference!$A$6,MIN(Reference!$A$11,MIN($U133,270))),Reference!$A$6:$A$11,1))))/(INDEX(Reference!$A$6:$A$11,MIN(5,MATCH(MAX(Reference!$A$6,MIN(Reference!$A$11,MIN($U133,270))),Reference!$A$6:$A$11,1))+1)-INDEX(Reference!$A$6:$A$11,MIN(5,MATCH(MAX(Reference!$A$6,MIN(Reference!$A$11,MIN($U133,270))),Reference!$A$6:$A$11,1))))),0)+IF(8&lt;=$AL133,($AL133-8+3)*(INDEX(Reference!$B$6:$B$11,MIN(5,MATCH(MAX(Reference!$A$6,MIN(Reference!$A$11,MIN($U133,300))),Reference!$A$6:$A$11,1)))+(MAX(Reference!$A$6,MIN(Reference!$A$11,MIN($U133,300)))-INDEX(Reference!$A$6:$A$11,MIN(5,MATCH(MAX(Reference!$A$6,MIN(Reference!$A$11,MIN($U133,300))),Reference!$A$6:$A$11,1))))*(INDEX(Reference!$B$6:$B$11,MIN(5,MATCH(MAX(Reference!$A$6,MIN(Reference!$A$11,MIN($U133,300))),Reference!$A$6:$A$11,1))+1)-INDEX(Reference!$B$6:$B$11,MIN(5,MATCH(MAX(Reference!$A$6,MIN(Reference!$A$11,MIN($U133,300))),Reference!$A$6:$A$11,1))))/(INDEX(Reference!$A$6:$A$11,MIN(5,MATCH(MAX(Reference!$A$6,MIN(Reference!$A$11,MIN($U133,300))),Reference!$A$6:$A$11,1))+1)-INDEX(Reference!$A$6:$A$11,MIN(5,MATCH(MAX(Reference!$A$6,MIN(Reference!$A$11,MIN($U133,300))),Reference!$A$6:$A$11,1))))),0))/($AL133*($AL133+5)/2)),$AN133))</f>
        <v>0</v>
      </c>
      <c r="AN133" s="32">
        <f>IF($U133="",0,(INDEX(Reference!$B$6:$B$11,MIN(5,MATCH(MAX(Reference!$A$6,MIN(Reference!$A$11,$U133)),Reference!$A$6:$A$11,1)))+(MAX(Reference!$A$6,MIN(Reference!$A$11,$U133))-INDEX(Reference!$A$6:$A$11,MIN(5,MATCH(MAX(Reference!$A$6,MIN(Reference!$A$11,$U133)),Reference!$A$6:$A$11,1))))*(INDEX(Reference!$B$6:$B$11,MIN(5,MATCH(MAX(Reference!$A$6,MIN(Reference!$A$11,$U133)),Reference!$A$6:$A$11,1))+1)-INDEX(Reference!$B$6:$B$11,MIN(5,MATCH(MAX(Reference!$A$6,MIN(Reference!$A$11,$U133)),Reference!$A$6:$A$11,1))))/(INDEX(Reference!$A$6:$A$11,MIN(5,MATCH(MAX(Reference!$A$6,MIN(Reference!$A$11,$U133)),Reference!$A$6:$A$11,1))+1)-INDEX(Reference!$A$6:$A$11,MIN(5,MATCH(MAX(Reference!$A$6,MIN(Reference!$A$11,$U133)),Reference!$A$6:$A$11,1))))))</f>
        <v>0</v>
      </c>
      <c r="AO133" s="37"/>
      <c r="AP133" s="37"/>
      <c r="AQ133" s="37"/>
    </row>
    <row r="134" spans="1:43" x14ac:dyDescent="0.3">
      <c r="A134" s="48" t="str">
        <f t="shared" si="55"/>
        <v/>
      </c>
      <c r="B134" s="32" t="str">
        <f t="shared" si="56"/>
        <v/>
      </c>
      <c r="C134" s="32" t="str">
        <f t="shared" si="57"/>
        <v/>
      </c>
      <c r="D134" s="32" t="str">
        <f t="shared" si="58"/>
        <v/>
      </c>
      <c r="E134" s="32" t="str">
        <f t="shared" si="59"/>
        <v/>
      </c>
      <c r="F134" s="32" t="str">
        <f t="shared" si="60"/>
        <v/>
      </c>
      <c r="G134" s="47" t="str">
        <f t="shared" si="61"/>
        <v/>
      </c>
      <c r="H134" s="30" t="str">
        <f t="shared" si="62"/>
        <v/>
      </c>
      <c r="I134" s="46" t="str">
        <f>IF($A134="","",IF(AND($L134&lt;27,$K$12=0),"Building",IFERROR(((SUM($H$128:$H134)+$K$12*IF($L134&lt;6,SUMIFS('Throw Log'!$Q$5:$Q$300,'Throw Log'!$B$5:$B$300,$D$4,'Throw Log'!$A$5:$A$300,"&gt;="&amp;($D$6+$L134-6),'Throw Log'!$A$5:$A$300,"&lt;="&amp;($D$6-1)),0))/7)/((SUM($H$107:$H134)+$K$12*IF($L134&lt;27,SUMIFS('Throw Log'!$Q$5:$Q$300,'Throw Log'!$B$5:$B$300,$D$4,'Throw Log'!$A$5:$A$300,"&gt;="&amp;($D$6+$L134-27),'Throw Log'!$A$5:$A$300,"&lt;="&amp;($D$6-1)),0))/28),"")))</f>
        <v/>
      </c>
      <c r="J134" s="37"/>
      <c r="K134" s="37"/>
      <c r="L134" s="32">
        <v>91</v>
      </c>
      <c r="M134" s="32">
        <f t="shared" si="63"/>
        <v>14</v>
      </c>
      <c r="N134" s="32">
        <f t="shared" si="64"/>
        <v>0</v>
      </c>
      <c r="O134" s="32">
        <f t="shared" si="65"/>
        <v>1</v>
      </c>
      <c r="P134" s="32" t="str">
        <f>IF(OR($A134="",N($C134)&lt;=7),"",$G$6*$G$9^($M134-1)*IF(AND(MOD($M134,Reference!$B$99)=0,$M134&lt;=$G$5-2),Reference!$B$100,1))</f>
        <v/>
      </c>
      <c r="Q134" s="32" t="str">
        <f>IF($P134="","",IF(SUM($AK$134:$AK$140)=0,0,$P134*INDEX(Reference!$B$108:$B$114,$N134+1)/SUM($AK$134:$AK$140)))</f>
        <v/>
      </c>
      <c r="R134" s="32">
        <f t="shared" si="66"/>
        <v>180</v>
      </c>
      <c r="S134" s="32">
        <f t="shared" si="67"/>
        <v>150</v>
      </c>
      <c r="T134" s="32" t="str">
        <f>IF($A134="","",IF($C134=0,"Bullpen",IF(OR($C134=7,$C134=1,$C134=5),"Recovery/Easy Catch",IF($C134=6,"Compression/Pulldowns",IF(OR($C134=4,$C134=2),"Long Toss",IF($C134=3,"No Throw",IF($N134=2,"No Throw",IF($N134=6,IF($O134&lt;Reference!$B$104,"No Throw","Recovery/Easy Catch"),IF(OR($N134=0,$N134=4),"Recovery/Easy Catch",IF($N134=1,IF($R134&gt;75,"Long Toss","Recovery/Easy Catch"),IF($N134=3,IF($O134&lt;0.5,IF($S134&gt;75,"Long Toss","Recovery/Easy Catch"),"Compression/Pulldowns"),IF($S134&gt;75,"Long Toss","Recovery/Easy Catch"))))))))))))</f>
        <v/>
      </c>
      <c r="U134" s="32" t="str">
        <f t="shared" si="68"/>
        <v/>
      </c>
      <c r="V134" s="32" t="str">
        <f t="shared" si="69"/>
        <v/>
      </c>
      <c r="W134" s="32" t="str">
        <f t="shared" si="70"/>
        <v/>
      </c>
      <c r="X134" s="32">
        <f t="shared" si="71"/>
        <v>0</v>
      </c>
      <c r="Y134" s="32" t="str">
        <f t="shared" si="72"/>
        <v/>
      </c>
      <c r="Z134" s="32" t="str">
        <f t="shared" si="73"/>
        <v/>
      </c>
      <c r="AA134" s="32" t="str">
        <f t="shared" si="74"/>
        <v/>
      </c>
      <c r="AB134" s="32" t="str">
        <f>IF($A134="","",IF($T134="No Throw",0,IF($K134&lt;&gt;"",$K134,IF($AA134&lt;&gt;"",ROUND($AA134*$D$12*IF($C134=0,1,$G$10),0),MIN(IF($T134="Recovery/Easy Catch",Reference!$B$103,IF($T134="Long Toss",Reference!$B$106,Reference!$B$102)),MAX(Reference!$B$101,ROUND(MAX(0,$Q134-$AE134)/$AF134,0)))))))</f>
        <v/>
      </c>
      <c r="AC134" s="32">
        <f t="shared" si="75"/>
        <v>0</v>
      </c>
      <c r="AD134" s="32" t="b">
        <f t="shared" si="76"/>
        <v>1</v>
      </c>
      <c r="AE134" s="32">
        <f>IF($X134=0,0,$X134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134+$Z134)/2,0),Reference!$A$17:$B$20,2,TRUE()))</f>
        <v>0</v>
      </c>
      <c r="AF134" s="32">
        <f>IF(OR($A134="",$U134="",$T134="No Throw"),0,$AM134*VLOOKUP(MAX(($V134+$W134)/2,0),Reference!$A$17:$B$20,2,TRUE()))</f>
        <v>0</v>
      </c>
      <c r="AG134" s="32">
        <f>IF($AC134=0,0,$AC134*INDEX(Reference!$B$61:$B$62,MATCH("Bullpen",Reference!$A$61:$A$62,0))*VLOOKUP(MAX($D$5-($D$9+$E$9)/2,0),Reference!$A$17:$B$20,2,TRUE()))</f>
        <v>0</v>
      </c>
      <c r="AH134" s="32" t="e">
        <f t="shared" si="77"/>
        <v>#N/A</v>
      </c>
      <c r="AI134" s="32" t="e">
        <f>IF($A134="",NA(),Reference!$A$25)</f>
        <v>#N/A</v>
      </c>
      <c r="AJ134" s="32" t="e">
        <f t="shared" si="78"/>
        <v>#N/A</v>
      </c>
      <c r="AK134" s="32">
        <f>IF(OR($A134="",N($C134)&lt;=7,$T134="No Throw",$J134="x"),0,INDEX(Reference!$B$108:$B$114,$N134+1))</f>
        <v>0</v>
      </c>
      <c r="AL134" s="32">
        <f t="shared" si="79"/>
        <v>1</v>
      </c>
      <c r="AM134" s="32">
        <f>IF($U134="",0,IF($AL134&gt;1,((IF(1&lt;=$AL134,($AL134-1+3)*(INDEX(Reference!$B$6:$B$11,MIN(5,MATCH(MAX(Reference!$A$6,MIN(Reference!$A$11,MIN($U134,90))),Reference!$A$6:$A$11,1)))+(MAX(Reference!$A$6,MIN(Reference!$A$11,MIN($U134,90)))-INDEX(Reference!$A$6:$A$11,MIN(5,MATCH(MAX(Reference!$A$6,MIN(Reference!$A$11,MIN($U134,90))),Reference!$A$6:$A$11,1))))*(INDEX(Reference!$B$6:$B$11,MIN(5,MATCH(MAX(Reference!$A$6,MIN(Reference!$A$11,MIN($U134,90))),Reference!$A$6:$A$11,1))+1)-INDEX(Reference!$B$6:$B$11,MIN(5,MATCH(MAX(Reference!$A$6,MIN(Reference!$A$11,MIN($U134,90))),Reference!$A$6:$A$11,1))))/(INDEX(Reference!$A$6:$A$11,MIN(5,MATCH(MAX(Reference!$A$6,MIN(Reference!$A$11,MIN($U134,90))),Reference!$A$6:$A$11,1))+1)-INDEX(Reference!$A$6:$A$11,MIN(5,MATCH(MAX(Reference!$A$6,MIN(Reference!$A$11,MIN($U134,90))),Reference!$A$6:$A$11,1))))),0)+IF(2&lt;=$AL134,($AL134-2+3)*(INDEX(Reference!$B$6:$B$11,MIN(5,MATCH(MAX(Reference!$A$6,MIN(Reference!$A$11,MIN($U134,120))),Reference!$A$6:$A$11,1)))+(MAX(Reference!$A$6,MIN(Reference!$A$11,MIN($U134,120)))-INDEX(Reference!$A$6:$A$11,MIN(5,MATCH(MAX(Reference!$A$6,MIN(Reference!$A$11,MIN($U134,120))),Reference!$A$6:$A$11,1))))*(INDEX(Reference!$B$6:$B$11,MIN(5,MATCH(MAX(Reference!$A$6,MIN(Reference!$A$11,MIN($U134,120))),Reference!$A$6:$A$11,1))+1)-INDEX(Reference!$B$6:$B$11,MIN(5,MATCH(MAX(Reference!$A$6,MIN(Reference!$A$11,MIN($U134,120))),Reference!$A$6:$A$11,1))))/(INDEX(Reference!$A$6:$A$11,MIN(5,MATCH(MAX(Reference!$A$6,MIN(Reference!$A$11,MIN($U134,120))),Reference!$A$6:$A$11,1))+1)-INDEX(Reference!$A$6:$A$11,MIN(5,MATCH(MAX(Reference!$A$6,MIN(Reference!$A$11,MIN($U134,120))),Reference!$A$6:$A$11,1))))),0)+IF(3&lt;=$AL134,($AL134-3+3)*(INDEX(Reference!$B$6:$B$11,MIN(5,MATCH(MAX(Reference!$A$6,MIN(Reference!$A$11,MIN($U134,150))),Reference!$A$6:$A$11,1)))+(MAX(Reference!$A$6,MIN(Reference!$A$11,MIN($U134,150)))-INDEX(Reference!$A$6:$A$11,MIN(5,MATCH(MAX(Reference!$A$6,MIN(Reference!$A$11,MIN($U134,150))),Reference!$A$6:$A$11,1))))*(INDEX(Reference!$B$6:$B$11,MIN(5,MATCH(MAX(Reference!$A$6,MIN(Reference!$A$11,MIN($U134,150))),Reference!$A$6:$A$11,1))+1)-INDEX(Reference!$B$6:$B$11,MIN(5,MATCH(MAX(Reference!$A$6,MIN(Reference!$A$11,MIN($U134,150))),Reference!$A$6:$A$11,1))))/(INDEX(Reference!$A$6:$A$11,MIN(5,MATCH(MAX(Reference!$A$6,MIN(Reference!$A$11,MIN($U134,150))),Reference!$A$6:$A$11,1))+1)-INDEX(Reference!$A$6:$A$11,MIN(5,MATCH(MAX(Reference!$A$6,MIN(Reference!$A$11,MIN($U134,150))),Reference!$A$6:$A$11,1))))),0)+IF(4&lt;=$AL134,($AL134-4+3)*(INDEX(Reference!$B$6:$B$11,MIN(5,MATCH(MAX(Reference!$A$6,MIN(Reference!$A$11,MIN($U134,180))),Reference!$A$6:$A$11,1)))+(MAX(Reference!$A$6,MIN(Reference!$A$11,MIN($U134,180)))-INDEX(Reference!$A$6:$A$11,MIN(5,MATCH(MAX(Reference!$A$6,MIN(Reference!$A$11,MIN($U134,180))),Reference!$A$6:$A$11,1))))*(INDEX(Reference!$B$6:$B$11,MIN(5,MATCH(MAX(Reference!$A$6,MIN(Reference!$A$11,MIN($U134,180))),Reference!$A$6:$A$11,1))+1)-INDEX(Reference!$B$6:$B$11,MIN(5,MATCH(MAX(Reference!$A$6,MIN(Reference!$A$11,MIN($U134,180))),Reference!$A$6:$A$11,1))))/(INDEX(Reference!$A$6:$A$11,MIN(5,MATCH(MAX(Reference!$A$6,MIN(Reference!$A$11,MIN($U134,180))),Reference!$A$6:$A$11,1))+1)-INDEX(Reference!$A$6:$A$11,MIN(5,MATCH(MAX(Reference!$A$6,MIN(Reference!$A$11,MIN($U134,180))),Reference!$A$6:$A$11,1))))),0)+IF(5&lt;=$AL134,($AL134-5+3)*(INDEX(Reference!$B$6:$B$11,MIN(5,MATCH(MAX(Reference!$A$6,MIN(Reference!$A$11,MIN($U134,210))),Reference!$A$6:$A$11,1)))+(MAX(Reference!$A$6,MIN(Reference!$A$11,MIN($U134,210)))-INDEX(Reference!$A$6:$A$11,MIN(5,MATCH(MAX(Reference!$A$6,MIN(Reference!$A$11,MIN($U134,210))),Reference!$A$6:$A$11,1))))*(INDEX(Reference!$B$6:$B$11,MIN(5,MATCH(MAX(Reference!$A$6,MIN(Reference!$A$11,MIN($U134,210))),Reference!$A$6:$A$11,1))+1)-INDEX(Reference!$B$6:$B$11,MIN(5,MATCH(MAX(Reference!$A$6,MIN(Reference!$A$11,MIN($U134,210))),Reference!$A$6:$A$11,1))))/(INDEX(Reference!$A$6:$A$11,MIN(5,MATCH(MAX(Reference!$A$6,MIN(Reference!$A$11,MIN($U134,210))),Reference!$A$6:$A$11,1))+1)-INDEX(Reference!$A$6:$A$11,MIN(5,MATCH(MAX(Reference!$A$6,MIN(Reference!$A$11,MIN($U134,210))),Reference!$A$6:$A$11,1))))),0)+IF(6&lt;=$AL134,($AL134-6+3)*(INDEX(Reference!$B$6:$B$11,MIN(5,MATCH(MAX(Reference!$A$6,MIN(Reference!$A$11,MIN($U134,240))),Reference!$A$6:$A$11,1)))+(MAX(Reference!$A$6,MIN(Reference!$A$11,MIN($U134,240)))-INDEX(Reference!$A$6:$A$11,MIN(5,MATCH(MAX(Reference!$A$6,MIN(Reference!$A$11,MIN($U134,240))),Reference!$A$6:$A$11,1))))*(INDEX(Reference!$B$6:$B$11,MIN(5,MATCH(MAX(Reference!$A$6,MIN(Reference!$A$11,MIN($U134,240))),Reference!$A$6:$A$11,1))+1)-INDEX(Reference!$B$6:$B$11,MIN(5,MATCH(MAX(Reference!$A$6,MIN(Reference!$A$11,MIN($U134,240))),Reference!$A$6:$A$11,1))))/(INDEX(Reference!$A$6:$A$11,MIN(5,MATCH(MAX(Reference!$A$6,MIN(Reference!$A$11,MIN($U134,240))),Reference!$A$6:$A$11,1))+1)-INDEX(Reference!$A$6:$A$11,MIN(5,MATCH(MAX(Reference!$A$6,MIN(Reference!$A$11,MIN($U134,240))),Reference!$A$6:$A$11,1))))),0)+IF(7&lt;=$AL134,($AL134-7+3)*(INDEX(Reference!$B$6:$B$11,MIN(5,MATCH(MAX(Reference!$A$6,MIN(Reference!$A$11,MIN($U134,270))),Reference!$A$6:$A$11,1)))+(MAX(Reference!$A$6,MIN(Reference!$A$11,MIN($U134,270)))-INDEX(Reference!$A$6:$A$11,MIN(5,MATCH(MAX(Reference!$A$6,MIN(Reference!$A$11,MIN($U134,270))),Reference!$A$6:$A$11,1))))*(INDEX(Reference!$B$6:$B$11,MIN(5,MATCH(MAX(Reference!$A$6,MIN(Reference!$A$11,MIN($U134,270))),Reference!$A$6:$A$11,1))+1)-INDEX(Reference!$B$6:$B$11,MIN(5,MATCH(MAX(Reference!$A$6,MIN(Reference!$A$11,MIN($U134,270))),Reference!$A$6:$A$11,1))))/(INDEX(Reference!$A$6:$A$11,MIN(5,MATCH(MAX(Reference!$A$6,MIN(Reference!$A$11,MIN($U134,270))),Reference!$A$6:$A$11,1))+1)-INDEX(Reference!$A$6:$A$11,MIN(5,MATCH(MAX(Reference!$A$6,MIN(Reference!$A$11,MIN($U134,270))),Reference!$A$6:$A$11,1))))),0)+IF(8&lt;=$AL134,($AL134-8+3)*(INDEX(Reference!$B$6:$B$11,MIN(5,MATCH(MAX(Reference!$A$6,MIN(Reference!$A$11,MIN($U134,300))),Reference!$A$6:$A$11,1)))+(MAX(Reference!$A$6,MIN(Reference!$A$11,MIN($U134,300)))-INDEX(Reference!$A$6:$A$11,MIN(5,MATCH(MAX(Reference!$A$6,MIN(Reference!$A$11,MIN($U134,300))),Reference!$A$6:$A$11,1))))*(INDEX(Reference!$B$6:$B$11,MIN(5,MATCH(MAX(Reference!$A$6,MIN(Reference!$A$11,MIN($U134,300))),Reference!$A$6:$A$11,1))+1)-INDEX(Reference!$B$6:$B$11,MIN(5,MATCH(MAX(Reference!$A$6,MIN(Reference!$A$11,MIN($U134,300))),Reference!$A$6:$A$11,1))))/(INDEX(Reference!$A$6:$A$11,MIN(5,MATCH(MAX(Reference!$A$6,MIN(Reference!$A$11,MIN($U134,300))),Reference!$A$6:$A$11,1))+1)-INDEX(Reference!$A$6:$A$11,MIN(5,MATCH(MAX(Reference!$A$6,MIN(Reference!$A$11,MIN($U134,300))),Reference!$A$6:$A$11,1))))),0))/($AL134*($AL134+5)/2)),$AN134))</f>
        <v>0</v>
      </c>
      <c r="AN134" s="32">
        <f>IF($U134="",0,(INDEX(Reference!$B$6:$B$11,MIN(5,MATCH(MAX(Reference!$A$6,MIN(Reference!$A$11,$U134)),Reference!$A$6:$A$11,1)))+(MAX(Reference!$A$6,MIN(Reference!$A$11,$U134))-INDEX(Reference!$A$6:$A$11,MIN(5,MATCH(MAX(Reference!$A$6,MIN(Reference!$A$11,$U134)),Reference!$A$6:$A$11,1))))*(INDEX(Reference!$B$6:$B$11,MIN(5,MATCH(MAX(Reference!$A$6,MIN(Reference!$A$11,$U134)),Reference!$A$6:$A$11,1))+1)-INDEX(Reference!$B$6:$B$11,MIN(5,MATCH(MAX(Reference!$A$6,MIN(Reference!$A$11,$U134)),Reference!$A$6:$A$11,1))))/(INDEX(Reference!$A$6:$A$11,MIN(5,MATCH(MAX(Reference!$A$6,MIN(Reference!$A$11,$U134)),Reference!$A$6:$A$11,1))+1)-INDEX(Reference!$A$6:$A$11,MIN(5,MATCH(MAX(Reference!$A$6,MIN(Reference!$A$11,$U134)),Reference!$A$6:$A$11,1))))))</f>
        <v>0</v>
      </c>
      <c r="AO134" s="37"/>
      <c r="AP134" s="37"/>
      <c r="AQ134" s="37"/>
    </row>
    <row r="135" spans="1:43" x14ac:dyDescent="0.3">
      <c r="A135" s="48" t="str">
        <f t="shared" si="55"/>
        <v/>
      </c>
      <c r="B135" s="32" t="str">
        <f t="shared" si="56"/>
        <v/>
      </c>
      <c r="C135" s="32" t="str">
        <f t="shared" si="57"/>
        <v/>
      </c>
      <c r="D135" s="32" t="str">
        <f t="shared" si="58"/>
        <v/>
      </c>
      <c r="E135" s="32" t="str">
        <f t="shared" si="59"/>
        <v/>
      </c>
      <c r="F135" s="32" t="str">
        <f t="shared" si="60"/>
        <v/>
      </c>
      <c r="G135" s="47" t="str">
        <f t="shared" si="61"/>
        <v/>
      </c>
      <c r="H135" s="30" t="str">
        <f t="shared" si="62"/>
        <v/>
      </c>
      <c r="I135" s="46" t="str">
        <f>IF($A135="","",IF(AND($L135&lt;27,$K$12=0),"Building",IFERROR(((SUM($H$129:$H135)+$K$12*IF($L135&lt;6,SUMIFS('Throw Log'!$Q$5:$Q$300,'Throw Log'!$B$5:$B$300,$D$4,'Throw Log'!$A$5:$A$300,"&gt;="&amp;($D$6+$L135-6),'Throw Log'!$A$5:$A$300,"&lt;="&amp;($D$6-1)),0))/7)/((SUM($H$108:$H135)+$K$12*IF($L135&lt;27,SUMIFS('Throw Log'!$Q$5:$Q$300,'Throw Log'!$B$5:$B$300,$D$4,'Throw Log'!$A$5:$A$300,"&gt;="&amp;($D$6+$L135-27),'Throw Log'!$A$5:$A$300,"&lt;="&amp;($D$6-1)),0))/28),"")))</f>
        <v/>
      </c>
      <c r="J135" s="37"/>
      <c r="K135" s="37"/>
      <c r="L135" s="32">
        <v>92</v>
      </c>
      <c r="M135" s="32">
        <f t="shared" si="63"/>
        <v>14</v>
      </c>
      <c r="N135" s="32">
        <f t="shared" si="64"/>
        <v>1</v>
      </c>
      <c r="O135" s="32">
        <f t="shared" si="65"/>
        <v>1</v>
      </c>
      <c r="P135" s="32" t="str">
        <f>IF(OR($A135="",N($C135)&lt;=7),"",$G$6*$G$9^($M135-1)*IF(AND(MOD($M135,Reference!$B$99)=0,$M135&lt;=$G$5-2),Reference!$B$100,1))</f>
        <v/>
      </c>
      <c r="Q135" s="32" t="str">
        <f>IF($P135="","",IF(SUM($AK$134:$AK$140)=0,0,$P135*INDEX(Reference!$B$108:$B$114,$N135+1)/SUM($AK$134:$AK$140)))</f>
        <v/>
      </c>
      <c r="R135" s="32">
        <f t="shared" si="66"/>
        <v>180</v>
      </c>
      <c r="S135" s="32">
        <f t="shared" si="67"/>
        <v>150</v>
      </c>
      <c r="T135" s="32" t="str">
        <f>IF($A135="","",IF($C135=0,"Bullpen",IF(OR($C135=7,$C135=1,$C135=5),"Recovery/Easy Catch",IF($C135=6,"Compression/Pulldowns",IF(OR($C135=4,$C135=2),"Long Toss",IF($C135=3,"No Throw",IF($N135=2,"No Throw",IF($N135=6,IF($O135&lt;Reference!$B$104,"No Throw","Recovery/Easy Catch"),IF(OR($N135=0,$N135=4),"Recovery/Easy Catch",IF($N135=1,IF($R135&gt;75,"Long Toss","Recovery/Easy Catch"),IF($N135=3,IF($O135&lt;0.5,IF($S135&gt;75,"Long Toss","Recovery/Easy Catch"),"Compression/Pulldowns"),IF($S135&gt;75,"Long Toss","Recovery/Easy Catch"))))))))))))</f>
        <v/>
      </c>
      <c r="U135" s="32" t="str">
        <f t="shared" si="68"/>
        <v/>
      </c>
      <c r="V135" s="32" t="str">
        <f t="shared" si="69"/>
        <v/>
      </c>
      <c r="W135" s="32" t="str">
        <f t="shared" si="70"/>
        <v/>
      </c>
      <c r="X135" s="32">
        <f t="shared" si="71"/>
        <v>0</v>
      </c>
      <c r="Y135" s="32" t="str">
        <f t="shared" si="72"/>
        <v/>
      </c>
      <c r="Z135" s="32" t="str">
        <f t="shared" si="73"/>
        <v/>
      </c>
      <c r="AA135" s="32" t="str">
        <f t="shared" si="74"/>
        <v/>
      </c>
      <c r="AB135" s="32" t="str">
        <f>IF($A135="","",IF($T135="No Throw",0,IF($K135&lt;&gt;"",$K135,IF($AA135&lt;&gt;"",ROUND($AA135*$D$12*IF($C135=0,1,$G$10),0),MIN(IF($T135="Recovery/Easy Catch",Reference!$B$103,IF($T135="Long Toss",Reference!$B$106,Reference!$B$102)),MAX(Reference!$B$101,ROUND(MAX(0,$Q135-$AE135)/$AF135,0)))))))</f>
        <v/>
      </c>
      <c r="AC135" s="32">
        <f t="shared" si="75"/>
        <v>0</v>
      </c>
      <c r="AD135" s="32" t="b">
        <f t="shared" si="76"/>
        <v>1</v>
      </c>
      <c r="AE135" s="32">
        <f>IF($X135=0,0,$X135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135+$Z135)/2,0),Reference!$A$17:$B$20,2,TRUE()))</f>
        <v>0</v>
      </c>
      <c r="AF135" s="32">
        <f>IF(OR($A135="",$U135="",$T135="No Throw"),0,$AM135*VLOOKUP(MAX(($V135+$W135)/2,0),Reference!$A$17:$B$20,2,TRUE()))</f>
        <v>0</v>
      </c>
      <c r="AG135" s="32">
        <f>IF($AC135=0,0,$AC135*INDEX(Reference!$B$61:$B$62,MATCH("Bullpen",Reference!$A$61:$A$62,0))*VLOOKUP(MAX($D$5-($D$9+$E$9)/2,0),Reference!$A$17:$B$20,2,TRUE()))</f>
        <v>0</v>
      </c>
      <c r="AH135" s="32" t="e">
        <f t="shared" si="77"/>
        <v>#N/A</v>
      </c>
      <c r="AI135" s="32" t="e">
        <f>IF($A135="",NA(),Reference!$A$25)</f>
        <v>#N/A</v>
      </c>
      <c r="AJ135" s="32" t="e">
        <f t="shared" si="78"/>
        <v>#N/A</v>
      </c>
      <c r="AK135" s="32">
        <f>IF(OR($A135="",N($C135)&lt;=7,$T135="No Throw",$J135="x"),0,INDEX(Reference!$B$108:$B$114,$N135+1))</f>
        <v>0</v>
      </c>
      <c r="AL135" s="32">
        <f t="shared" si="79"/>
        <v>1</v>
      </c>
      <c r="AM135" s="32">
        <f>IF($U135="",0,IF($AL135&gt;1,((IF(1&lt;=$AL135,($AL135-1+3)*(INDEX(Reference!$B$6:$B$11,MIN(5,MATCH(MAX(Reference!$A$6,MIN(Reference!$A$11,MIN($U135,90))),Reference!$A$6:$A$11,1)))+(MAX(Reference!$A$6,MIN(Reference!$A$11,MIN($U135,90)))-INDEX(Reference!$A$6:$A$11,MIN(5,MATCH(MAX(Reference!$A$6,MIN(Reference!$A$11,MIN($U135,90))),Reference!$A$6:$A$11,1))))*(INDEX(Reference!$B$6:$B$11,MIN(5,MATCH(MAX(Reference!$A$6,MIN(Reference!$A$11,MIN($U135,90))),Reference!$A$6:$A$11,1))+1)-INDEX(Reference!$B$6:$B$11,MIN(5,MATCH(MAX(Reference!$A$6,MIN(Reference!$A$11,MIN($U135,90))),Reference!$A$6:$A$11,1))))/(INDEX(Reference!$A$6:$A$11,MIN(5,MATCH(MAX(Reference!$A$6,MIN(Reference!$A$11,MIN($U135,90))),Reference!$A$6:$A$11,1))+1)-INDEX(Reference!$A$6:$A$11,MIN(5,MATCH(MAX(Reference!$A$6,MIN(Reference!$A$11,MIN($U135,90))),Reference!$A$6:$A$11,1))))),0)+IF(2&lt;=$AL135,($AL135-2+3)*(INDEX(Reference!$B$6:$B$11,MIN(5,MATCH(MAX(Reference!$A$6,MIN(Reference!$A$11,MIN($U135,120))),Reference!$A$6:$A$11,1)))+(MAX(Reference!$A$6,MIN(Reference!$A$11,MIN($U135,120)))-INDEX(Reference!$A$6:$A$11,MIN(5,MATCH(MAX(Reference!$A$6,MIN(Reference!$A$11,MIN($U135,120))),Reference!$A$6:$A$11,1))))*(INDEX(Reference!$B$6:$B$11,MIN(5,MATCH(MAX(Reference!$A$6,MIN(Reference!$A$11,MIN($U135,120))),Reference!$A$6:$A$11,1))+1)-INDEX(Reference!$B$6:$B$11,MIN(5,MATCH(MAX(Reference!$A$6,MIN(Reference!$A$11,MIN($U135,120))),Reference!$A$6:$A$11,1))))/(INDEX(Reference!$A$6:$A$11,MIN(5,MATCH(MAX(Reference!$A$6,MIN(Reference!$A$11,MIN($U135,120))),Reference!$A$6:$A$11,1))+1)-INDEX(Reference!$A$6:$A$11,MIN(5,MATCH(MAX(Reference!$A$6,MIN(Reference!$A$11,MIN($U135,120))),Reference!$A$6:$A$11,1))))),0)+IF(3&lt;=$AL135,($AL135-3+3)*(INDEX(Reference!$B$6:$B$11,MIN(5,MATCH(MAX(Reference!$A$6,MIN(Reference!$A$11,MIN($U135,150))),Reference!$A$6:$A$11,1)))+(MAX(Reference!$A$6,MIN(Reference!$A$11,MIN($U135,150)))-INDEX(Reference!$A$6:$A$11,MIN(5,MATCH(MAX(Reference!$A$6,MIN(Reference!$A$11,MIN($U135,150))),Reference!$A$6:$A$11,1))))*(INDEX(Reference!$B$6:$B$11,MIN(5,MATCH(MAX(Reference!$A$6,MIN(Reference!$A$11,MIN($U135,150))),Reference!$A$6:$A$11,1))+1)-INDEX(Reference!$B$6:$B$11,MIN(5,MATCH(MAX(Reference!$A$6,MIN(Reference!$A$11,MIN($U135,150))),Reference!$A$6:$A$11,1))))/(INDEX(Reference!$A$6:$A$11,MIN(5,MATCH(MAX(Reference!$A$6,MIN(Reference!$A$11,MIN($U135,150))),Reference!$A$6:$A$11,1))+1)-INDEX(Reference!$A$6:$A$11,MIN(5,MATCH(MAX(Reference!$A$6,MIN(Reference!$A$11,MIN($U135,150))),Reference!$A$6:$A$11,1))))),0)+IF(4&lt;=$AL135,($AL135-4+3)*(INDEX(Reference!$B$6:$B$11,MIN(5,MATCH(MAX(Reference!$A$6,MIN(Reference!$A$11,MIN($U135,180))),Reference!$A$6:$A$11,1)))+(MAX(Reference!$A$6,MIN(Reference!$A$11,MIN($U135,180)))-INDEX(Reference!$A$6:$A$11,MIN(5,MATCH(MAX(Reference!$A$6,MIN(Reference!$A$11,MIN($U135,180))),Reference!$A$6:$A$11,1))))*(INDEX(Reference!$B$6:$B$11,MIN(5,MATCH(MAX(Reference!$A$6,MIN(Reference!$A$11,MIN($U135,180))),Reference!$A$6:$A$11,1))+1)-INDEX(Reference!$B$6:$B$11,MIN(5,MATCH(MAX(Reference!$A$6,MIN(Reference!$A$11,MIN($U135,180))),Reference!$A$6:$A$11,1))))/(INDEX(Reference!$A$6:$A$11,MIN(5,MATCH(MAX(Reference!$A$6,MIN(Reference!$A$11,MIN($U135,180))),Reference!$A$6:$A$11,1))+1)-INDEX(Reference!$A$6:$A$11,MIN(5,MATCH(MAX(Reference!$A$6,MIN(Reference!$A$11,MIN($U135,180))),Reference!$A$6:$A$11,1))))),0)+IF(5&lt;=$AL135,($AL135-5+3)*(INDEX(Reference!$B$6:$B$11,MIN(5,MATCH(MAX(Reference!$A$6,MIN(Reference!$A$11,MIN($U135,210))),Reference!$A$6:$A$11,1)))+(MAX(Reference!$A$6,MIN(Reference!$A$11,MIN($U135,210)))-INDEX(Reference!$A$6:$A$11,MIN(5,MATCH(MAX(Reference!$A$6,MIN(Reference!$A$11,MIN($U135,210))),Reference!$A$6:$A$11,1))))*(INDEX(Reference!$B$6:$B$11,MIN(5,MATCH(MAX(Reference!$A$6,MIN(Reference!$A$11,MIN($U135,210))),Reference!$A$6:$A$11,1))+1)-INDEX(Reference!$B$6:$B$11,MIN(5,MATCH(MAX(Reference!$A$6,MIN(Reference!$A$11,MIN($U135,210))),Reference!$A$6:$A$11,1))))/(INDEX(Reference!$A$6:$A$11,MIN(5,MATCH(MAX(Reference!$A$6,MIN(Reference!$A$11,MIN($U135,210))),Reference!$A$6:$A$11,1))+1)-INDEX(Reference!$A$6:$A$11,MIN(5,MATCH(MAX(Reference!$A$6,MIN(Reference!$A$11,MIN($U135,210))),Reference!$A$6:$A$11,1))))),0)+IF(6&lt;=$AL135,($AL135-6+3)*(INDEX(Reference!$B$6:$B$11,MIN(5,MATCH(MAX(Reference!$A$6,MIN(Reference!$A$11,MIN($U135,240))),Reference!$A$6:$A$11,1)))+(MAX(Reference!$A$6,MIN(Reference!$A$11,MIN($U135,240)))-INDEX(Reference!$A$6:$A$11,MIN(5,MATCH(MAX(Reference!$A$6,MIN(Reference!$A$11,MIN($U135,240))),Reference!$A$6:$A$11,1))))*(INDEX(Reference!$B$6:$B$11,MIN(5,MATCH(MAX(Reference!$A$6,MIN(Reference!$A$11,MIN($U135,240))),Reference!$A$6:$A$11,1))+1)-INDEX(Reference!$B$6:$B$11,MIN(5,MATCH(MAX(Reference!$A$6,MIN(Reference!$A$11,MIN($U135,240))),Reference!$A$6:$A$11,1))))/(INDEX(Reference!$A$6:$A$11,MIN(5,MATCH(MAX(Reference!$A$6,MIN(Reference!$A$11,MIN($U135,240))),Reference!$A$6:$A$11,1))+1)-INDEX(Reference!$A$6:$A$11,MIN(5,MATCH(MAX(Reference!$A$6,MIN(Reference!$A$11,MIN($U135,240))),Reference!$A$6:$A$11,1))))),0)+IF(7&lt;=$AL135,($AL135-7+3)*(INDEX(Reference!$B$6:$B$11,MIN(5,MATCH(MAX(Reference!$A$6,MIN(Reference!$A$11,MIN($U135,270))),Reference!$A$6:$A$11,1)))+(MAX(Reference!$A$6,MIN(Reference!$A$11,MIN($U135,270)))-INDEX(Reference!$A$6:$A$11,MIN(5,MATCH(MAX(Reference!$A$6,MIN(Reference!$A$11,MIN($U135,270))),Reference!$A$6:$A$11,1))))*(INDEX(Reference!$B$6:$B$11,MIN(5,MATCH(MAX(Reference!$A$6,MIN(Reference!$A$11,MIN($U135,270))),Reference!$A$6:$A$11,1))+1)-INDEX(Reference!$B$6:$B$11,MIN(5,MATCH(MAX(Reference!$A$6,MIN(Reference!$A$11,MIN($U135,270))),Reference!$A$6:$A$11,1))))/(INDEX(Reference!$A$6:$A$11,MIN(5,MATCH(MAX(Reference!$A$6,MIN(Reference!$A$11,MIN($U135,270))),Reference!$A$6:$A$11,1))+1)-INDEX(Reference!$A$6:$A$11,MIN(5,MATCH(MAX(Reference!$A$6,MIN(Reference!$A$11,MIN($U135,270))),Reference!$A$6:$A$11,1))))),0)+IF(8&lt;=$AL135,($AL135-8+3)*(INDEX(Reference!$B$6:$B$11,MIN(5,MATCH(MAX(Reference!$A$6,MIN(Reference!$A$11,MIN($U135,300))),Reference!$A$6:$A$11,1)))+(MAX(Reference!$A$6,MIN(Reference!$A$11,MIN($U135,300)))-INDEX(Reference!$A$6:$A$11,MIN(5,MATCH(MAX(Reference!$A$6,MIN(Reference!$A$11,MIN($U135,300))),Reference!$A$6:$A$11,1))))*(INDEX(Reference!$B$6:$B$11,MIN(5,MATCH(MAX(Reference!$A$6,MIN(Reference!$A$11,MIN($U135,300))),Reference!$A$6:$A$11,1))+1)-INDEX(Reference!$B$6:$B$11,MIN(5,MATCH(MAX(Reference!$A$6,MIN(Reference!$A$11,MIN($U135,300))),Reference!$A$6:$A$11,1))))/(INDEX(Reference!$A$6:$A$11,MIN(5,MATCH(MAX(Reference!$A$6,MIN(Reference!$A$11,MIN($U135,300))),Reference!$A$6:$A$11,1))+1)-INDEX(Reference!$A$6:$A$11,MIN(5,MATCH(MAX(Reference!$A$6,MIN(Reference!$A$11,MIN($U135,300))),Reference!$A$6:$A$11,1))))),0))/($AL135*($AL135+5)/2)),$AN135))</f>
        <v>0</v>
      </c>
      <c r="AN135" s="32">
        <f>IF($U135="",0,(INDEX(Reference!$B$6:$B$11,MIN(5,MATCH(MAX(Reference!$A$6,MIN(Reference!$A$11,$U135)),Reference!$A$6:$A$11,1)))+(MAX(Reference!$A$6,MIN(Reference!$A$11,$U135))-INDEX(Reference!$A$6:$A$11,MIN(5,MATCH(MAX(Reference!$A$6,MIN(Reference!$A$11,$U135)),Reference!$A$6:$A$11,1))))*(INDEX(Reference!$B$6:$B$11,MIN(5,MATCH(MAX(Reference!$A$6,MIN(Reference!$A$11,$U135)),Reference!$A$6:$A$11,1))+1)-INDEX(Reference!$B$6:$B$11,MIN(5,MATCH(MAX(Reference!$A$6,MIN(Reference!$A$11,$U135)),Reference!$A$6:$A$11,1))))/(INDEX(Reference!$A$6:$A$11,MIN(5,MATCH(MAX(Reference!$A$6,MIN(Reference!$A$11,$U135)),Reference!$A$6:$A$11,1))+1)-INDEX(Reference!$A$6:$A$11,MIN(5,MATCH(MAX(Reference!$A$6,MIN(Reference!$A$11,$U135)),Reference!$A$6:$A$11,1))))))</f>
        <v>0</v>
      </c>
      <c r="AO135" s="37"/>
      <c r="AP135" s="37"/>
      <c r="AQ135" s="37"/>
    </row>
    <row r="136" spans="1:43" x14ac:dyDescent="0.3">
      <c r="A136" s="48" t="str">
        <f t="shared" si="55"/>
        <v/>
      </c>
      <c r="B136" s="32" t="str">
        <f t="shared" si="56"/>
        <v/>
      </c>
      <c r="C136" s="32" t="str">
        <f t="shared" si="57"/>
        <v/>
      </c>
      <c r="D136" s="32" t="str">
        <f t="shared" si="58"/>
        <v/>
      </c>
      <c r="E136" s="32" t="str">
        <f t="shared" si="59"/>
        <v/>
      </c>
      <c r="F136" s="32" t="str">
        <f t="shared" si="60"/>
        <v/>
      </c>
      <c r="G136" s="47" t="str">
        <f t="shared" si="61"/>
        <v/>
      </c>
      <c r="H136" s="30" t="str">
        <f t="shared" si="62"/>
        <v/>
      </c>
      <c r="I136" s="46" t="str">
        <f>IF($A136="","",IF(AND($L136&lt;27,$K$12=0),"Building",IFERROR(((SUM($H$130:$H136)+$K$12*IF($L136&lt;6,SUMIFS('Throw Log'!$Q$5:$Q$300,'Throw Log'!$B$5:$B$300,$D$4,'Throw Log'!$A$5:$A$300,"&gt;="&amp;($D$6+$L136-6),'Throw Log'!$A$5:$A$300,"&lt;="&amp;($D$6-1)),0))/7)/((SUM($H$109:$H136)+$K$12*IF($L136&lt;27,SUMIFS('Throw Log'!$Q$5:$Q$300,'Throw Log'!$B$5:$B$300,$D$4,'Throw Log'!$A$5:$A$300,"&gt;="&amp;($D$6+$L136-27),'Throw Log'!$A$5:$A$300,"&lt;="&amp;($D$6-1)),0))/28),"")))</f>
        <v/>
      </c>
      <c r="J136" s="37"/>
      <c r="K136" s="37"/>
      <c r="L136" s="32">
        <v>93</v>
      </c>
      <c r="M136" s="32">
        <f t="shared" si="63"/>
        <v>14</v>
      </c>
      <c r="N136" s="32">
        <f t="shared" si="64"/>
        <v>2</v>
      </c>
      <c r="O136" s="32">
        <f t="shared" si="65"/>
        <v>1</v>
      </c>
      <c r="P136" s="32" t="str">
        <f>IF(OR($A136="",N($C136)&lt;=7),"",$G$6*$G$9^($M136-1)*IF(AND(MOD($M136,Reference!$B$99)=0,$M136&lt;=$G$5-2),Reference!$B$100,1))</f>
        <v/>
      </c>
      <c r="Q136" s="32" t="str">
        <f>IF($P136="","",IF(SUM($AK$134:$AK$140)=0,0,$P136*INDEX(Reference!$B$108:$B$114,$N136+1)/SUM($AK$134:$AK$140)))</f>
        <v/>
      </c>
      <c r="R136" s="32">
        <f t="shared" si="66"/>
        <v>180</v>
      </c>
      <c r="S136" s="32">
        <f t="shared" si="67"/>
        <v>150</v>
      </c>
      <c r="T136" s="32" t="str">
        <f>IF($A136="","",IF($C136=0,"Bullpen",IF(OR($C136=7,$C136=1,$C136=5),"Recovery/Easy Catch",IF($C136=6,"Compression/Pulldowns",IF(OR($C136=4,$C136=2),"Long Toss",IF($C136=3,"No Throw",IF($N136=2,"No Throw",IF($N136=6,IF($O136&lt;Reference!$B$104,"No Throw","Recovery/Easy Catch"),IF(OR($N136=0,$N136=4),"Recovery/Easy Catch",IF($N136=1,IF($R136&gt;75,"Long Toss","Recovery/Easy Catch"),IF($N136=3,IF($O136&lt;0.5,IF($S136&gt;75,"Long Toss","Recovery/Easy Catch"),"Compression/Pulldowns"),IF($S136&gt;75,"Long Toss","Recovery/Easy Catch"))))))))))))</f>
        <v/>
      </c>
      <c r="U136" s="32" t="str">
        <f t="shared" si="68"/>
        <v/>
      </c>
      <c r="V136" s="32" t="str">
        <f t="shared" si="69"/>
        <v/>
      </c>
      <c r="W136" s="32" t="str">
        <f t="shared" si="70"/>
        <v/>
      </c>
      <c r="X136" s="32">
        <f t="shared" si="71"/>
        <v>0</v>
      </c>
      <c r="Y136" s="32" t="str">
        <f t="shared" si="72"/>
        <v/>
      </c>
      <c r="Z136" s="32" t="str">
        <f t="shared" si="73"/>
        <v/>
      </c>
      <c r="AA136" s="32" t="str">
        <f t="shared" si="74"/>
        <v/>
      </c>
      <c r="AB136" s="32" t="str">
        <f>IF($A136="","",IF($T136="No Throw",0,IF($K136&lt;&gt;"",$K136,IF($AA136&lt;&gt;"",ROUND($AA136*$D$12*IF($C136=0,1,$G$10),0),MIN(IF($T136="Recovery/Easy Catch",Reference!$B$103,IF($T136="Long Toss",Reference!$B$106,Reference!$B$102)),MAX(Reference!$B$101,ROUND(MAX(0,$Q136-$AE136)/$AF136,0)))))))</f>
        <v/>
      </c>
      <c r="AC136" s="32">
        <f t="shared" si="75"/>
        <v>0</v>
      </c>
      <c r="AD136" s="32" t="b">
        <f t="shared" si="76"/>
        <v>1</v>
      </c>
      <c r="AE136" s="32">
        <f>IF($X136=0,0,$X136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136+$Z136)/2,0),Reference!$A$17:$B$20,2,TRUE()))</f>
        <v>0</v>
      </c>
      <c r="AF136" s="32">
        <f>IF(OR($A136="",$U136="",$T136="No Throw"),0,$AM136*VLOOKUP(MAX(($V136+$W136)/2,0),Reference!$A$17:$B$20,2,TRUE()))</f>
        <v>0</v>
      </c>
      <c r="AG136" s="32">
        <f>IF($AC136=0,0,$AC136*INDEX(Reference!$B$61:$B$62,MATCH("Bullpen",Reference!$A$61:$A$62,0))*VLOOKUP(MAX($D$5-($D$9+$E$9)/2,0),Reference!$A$17:$B$20,2,TRUE()))</f>
        <v>0</v>
      </c>
      <c r="AH136" s="32" t="e">
        <f t="shared" si="77"/>
        <v>#N/A</v>
      </c>
      <c r="AI136" s="32" t="e">
        <f>IF($A136="",NA(),Reference!$A$25)</f>
        <v>#N/A</v>
      </c>
      <c r="AJ136" s="32" t="e">
        <f t="shared" si="78"/>
        <v>#N/A</v>
      </c>
      <c r="AK136" s="32">
        <f>IF(OR($A136="",N($C136)&lt;=7,$T136="No Throw",$J136="x"),0,INDEX(Reference!$B$108:$B$114,$N136+1))</f>
        <v>0</v>
      </c>
      <c r="AL136" s="32">
        <f t="shared" si="79"/>
        <v>1</v>
      </c>
      <c r="AM136" s="32">
        <f>IF($U136="",0,IF($AL136&gt;1,((IF(1&lt;=$AL136,($AL136-1+3)*(INDEX(Reference!$B$6:$B$11,MIN(5,MATCH(MAX(Reference!$A$6,MIN(Reference!$A$11,MIN($U136,90))),Reference!$A$6:$A$11,1)))+(MAX(Reference!$A$6,MIN(Reference!$A$11,MIN($U136,90)))-INDEX(Reference!$A$6:$A$11,MIN(5,MATCH(MAX(Reference!$A$6,MIN(Reference!$A$11,MIN($U136,90))),Reference!$A$6:$A$11,1))))*(INDEX(Reference!$B$6:$B$11,MIN(5,MATCH(MAX(Reference!$A$6,MIN(Reference!$A$11,MIN($U136,90))),Reference!$A$6:$A$11,1))+1)-INDEX(Reference!$B$6:$B$11,MIN(5,MATCH(MAX(Reference!$A$6,MIN(Reference!$A$11,MIN($U136,90))),Reference!$A$6:$A$11,1))))/(INDEX(Reference!$A$6:$A$11,MIN(5,MATCH(MAX(Reference!$A$6,MIN(Reference!$A$11,MIN($U136,90))),Reference!$A$6:$A$11,1))+1)-INDEX(Reference!$A$6:$A$11,MIN(5,MATCH(MAX(Reference!$A$6,MIN(Reference!$A$11,MIN($U136,90))),Reference!$A$6:$A$11,1))))),0)+IF(2&lt;=$AL136,($AL136-2+3)*(INDEX(Reference!$B$6:$B$11,MIN(5,MATCH(MAX(Reference!$A$6,MIN(Reference!$A$11,MIN($U136,120))),Reference!$A$6:$A$11,1)))+(MAX(Reference!$A$6,MIN(Reference!$A$11,MIN($U136,120)))-INDEX(Reference!$A$6:$A$11,MIN(5,MATCH(MAX(Reference!$A$6,MIN(Reference!$A$11,MIN($U136,120))),Reference!$A$6:$A$11,1))))*(INDEX(Reference!$B$6:$B$11,MIN(5,MATCH(MAX(Reference!$A$6,MIN(Reference!$A$11,MIN($U136,120))),Reference!$A$6:$A$11,1))+1)-INDEX(Reference!$B$6:$B$11,MIN(5,MATCH(MAX(Reference!$A$6,MIN(Reference!$A$11,MIN($U136,120))),Reference!$A$6:$A$11,1))))/(INDEX(Reference!$A$6:$A$11,MIN(5,MATCH(MAX(Reference!$A$6,MIN(Reference!$A$11,MIN($U136,120))),Reference!$A$6:$A$11,1))+1)-INDEX(Reference!$A$6:$A$11,MIN(5,MATCH(MAX(Reference!$A$6,MIN(Reference!$A$11,MIN($U136,120))),Reference!$A$6:$A$11,1))))),0)+IF(3&lt;=$AL136,($AL136-3+3)*(INDEX(Reference!$B$6:$B$11,MIN(5,MATCH(MAX(Reference!$A$6,MIN(Reference!$A$11,MIN($U136,150))),Reference!$A$6:$A$11,1)))+(MAX(Reference!$A$6,MIN(Reference!$A$11,MIN($U136,150)))-INDEX(Reference!$A$6:$A$11,MIN(5,MATCH(MAX(Reference!$A$6,MIN(Reference!$A$11,MIN($U136,150))),Reference!$A$6:$A$11,1))))*(INDEX(Reference!$B$6:$B$11,MIN(5,MATCH(MAX(Reference!$A$6,MIN(Reference!$A$11,MIN($U136,150))),Reference!$A$6:$A$11,1))+1)-INDEX(Reference!$B$6:$B$11,MIN(5,MATCH(MAX(Reference!$A$6,MIN(Reference!$A$11,MIN($U136,150))),Reference!$A$6:$A$11,1))))/(INDEX(Reference!$A$6:$A$11,MIN(5,MATCH(MAX(Reference!$A$6,MIN(Reference!$A$11,MIN($U136,150))),Reference!$A$6:$A$11,1))+1)-INDEX(Reference!$A$6:$A$11,MIN(5,MATCH(MAX(Reference!$A$6,MIN(Reference!$A$11,MIN($U136,150))),Reference!$A$6:$A$11,1))))),0)+IF(4&lt;=$AL136,($AL136-4+3)*(INDEX(Reference!$B$6:$B$11,MIN(5,MATCH(MAX(Reference!$A$6,MIN(Reference!$A$11,MIN($U136,180))),Reference!$A$6:$A$11,1)))+(MAX(Reference!$A$6,MIN(Reference!$A$11,MIN($U136,180)))-INDEX(Reference!$A$6:$A$11,MIN(5,MATCH(MAX(Reference!$A$6,MIN(Reference!$A$11,MIN($U136,180))),Reference!$A$6:$A$11,1))))*(INDEX(Reference!$B$6:$B$11,MIN(5,MATCH(MAX(Reference!$A$6,MIN(Reference!$A$11,MIN($U136,180))),Reference!$A$6:$A$11,1))+1)-INDEX(Reference!$B$6:$B$11,MIN(5,MATCH(MAX(Reference!$A$6,MIN(Reference!$A$11,MIN($U136,180))),Reference!$A$6:$A$11,1))))/(INDEX(Reference!$A$6:$A$11,MIN(5,MATCH(MAX(Reference!$A$6,MIN(Reference!$A$11,MIN($U136,180))),Reference!$A$6:$A$11,1))+1)-INDEX(Reference!$A$6:$A$11,MIN(5,MATCH(MAX(Reference!$A$6,MIN(Reference!$A$11,MIN($U136,180))),Reference!$A$6:$A$11,1))))),0)+IF(5&lt;=$AL136,($AL136-5+3)*(INDEX(Reference!$B$6:$B$11,MIN(5,MATCH(MAX(Reference!$A$6,MIN(Reference!$A$11,MIN($U136,210))),Reference!$A$6:$A$11,1)))+(MAX(Reference!$A$6,MIN(Reference!$A$11,MIN($U136,210)))-INDEX(Reference!$A$6:$A$11,MIN(5,MATCH(MAX(Reference!$A$6,MIN(Reference!$A$11,MIN($U136,210))),Reference!$A$6:$A$11,1))))*(INDEX(Reference!$B$6:$B$11,MIN(5,MATCH(MAX(Reference!$A$6,MIN(Reference!$A$11,MIN($U136,210))),Reference!$A$6:$A$11,1))+1)-INDEX(Reference!$B$6:$B$11,MIN(5,MATCH(MAX(Reference!$A$6,MIN(Reference!$A$11,MIN($U136,210))),Reference!$A$6:$A$11,1))))/(INDEX(Reference!$A$6:$A$11,MIN(5,MATCH(MAX(Reference!$A$6,MIN(Reference!$A$11,MIN($U136,210))),Reference!$A$6:$A$11,1))+1)-INDEX(Reference!$A$6:$A$11,MIN(5,MATCH(MAX(Reference!$A$6,MIN(Reference!$A$11,MIN($U136,210))),Reference!$A$6:$A$11,1))))),0)+IF(6&lt;=$AL136,($AL136-6+3)*(INDEX(Reference!$B$6:$B$11,MIN(5,MATCH(MAX(Reference!$A$6,MIN(Reference!$A$11,MIN($U136,240))),Reference!$A$6:$A$11,1)))+(MAX(Reference!$A$6,MIN(Reference!$A$11,MIN($U136,240)))-INDEX(Reference!$A$6:$A$11,MIN(5,MATCH(MAX(Reference!$A$6,MIN(Reference!$A$11,MIN($U136,240))),Reference!$A$6:$A$11,1))))*(INDEX(Reference!$B$6:$B$11,MIN(5,MATCH(MAX(Reference!$A$6,MIN(Reference!$A$11,MIN($U136,240))),Reference!$A$6:$A$11,1))+1)-INDEX(Reference!$B$6:$B$11,MIN(5,MATCH(MAX(Reference!$A$6,MIN(Reference!$A$11,MIN($U136,240))),Reference!$A$6:$A$11,1))))/(INDEX(Reference!$A$6:$A$11,MIN(5,MATCH(MAX(Reference!$A$6,MIN(Reference!$A$11,MIN($U136,240))),Reference!$A$6:$A$11,1))+1)-INDEX(Reference!$A$6:$A$11,MIN(5,MATCH(MAX(Reference!$A$6,MIN(Reference!$A$11,MIN($U136,240))),Reference!$A$6:$A$11,1))))),0)+IF(7&lt;=$AL136,($AL136-7+3)*(INDEX(Reference!$B$6:$B$11,MIN(5,MATCH(MAX(Reference!$A$6,MIN(Reference!$A$11,MIN($U136,270))),Reference!$A$6:$A$11,1)))+(MAX(Reference!$A$6,MIN(Reference!$A$11,MIN($U136,270)))-INDEX(Reference!$A$6:$A$11,MIN(5,MATCH(MAX(Reference!$A$6,MIN(Reference!$A$11,MIN($U136,270))),Reference!$A$6:$A$11,1))))*(INDEX(Reference!$B$6:$B$11,MIN(5,MATCH(MAX(Reference!$A$6,MIN(Reference!$A$11,MIN($U136,270))),Reference!$A$6:$A$11,1))+1)-INDEX(Reference!$B$6:$B$11,MIN(5,MATCH(MAX(Reference!$A$6,MIN(Reference!$A$11,MIN($U136,270))),Reference!$A$6:$A$11,1))))/(INDEX(Reference!$A$6:$A$11,MIN(5,MATCH(MAX(Reference!$A$6,MIN(Reference!$A$11,MIN($U136,270))),Reference!$A$6:$A$11,1))+1)-INDEX(Reference!$A$6:$A$11,MIN(5,MATCH(MAX(Reference!$A$6,MIN(Reference!$A$11,MIN($U136,270))),Reference!$A$6:$A$11,1))))),0)+IF(8&lt;=$AL136,($AL136-8+3)*(INDEX(Reference!$B$6:$B$11,MIN(5,MATCH(MAX(Reference!$A$6,MIN(Reference!$A$11,MIN($U136,300))),Reference!$A$6:$A$11,1)))+(MAX(Reference!$A$6,MIN(Reference!$A$11,MIN($U136,300)))-INDEX(Reference!$A$6:$A$11,MIN(5,MATCH(MAX(Reference!$A$6,MIN(Reference!$A$11,MIN($U136,300))),Reference!$A$6:$A$11,1))))*(INDEX(Reference!$B$6:$B$11,MIN(5,MATCH(MAX(Reference!$A$6,MIN(Reference!$A$11,MIN($U136,300))),Reference!$A$6:$A$11,1))+1)-INDEX(Reference!$B$6:$B$11,MIN(5,MATCH(MAX(Reference!$A$6,MIN(Reference!$A$11,MIN($U136,300))),Reference!$A$6:$A$11,1))))/(INDEX(Reference!$A$6:$A$11,MIN(5,MATCH(MAX(Reference!$A$6,MIN(Reference!$A$11,MIN($U136,300))),Reference!$A$6:$A$11,1))+1)-INDEX(Reference!$A$6:$A$11,MIN(5,MATCH(MAX(Reference!$A$6,MIN(Reference!$A$11,MIN($U136,300))),Reference!$A$6:$A$11,1))))),0))/($AL136*($AL136+5)/2)),$AN136))</f>
        <v>0</v>
      </c>
      <c r="AN136" s="32">
        <f>IF($U136="",0,(INDEX(Reference!$B$6:$B$11,MIN(5,MATCH(MAX(Reference!$A$6,MIN(Reference!$A$11,$U136)),Reference!$A$6:$A$11,1)))+(MAX(Reference!$A$6,MIN(Reference!$A$11,$U136))-INDEX(Reference!$A$6:$A$11,MIN(5,MATCH(MAX(Reference!$A$6,MIN(Reference!$A$11,$U136)),Reference!$A$6:$A$11,1))))*(INDEX(Reference!$B$6:$B$11,MIN(5,MATCH(MAX(Reference!$A$6,MIN(Reference!$A$11,$U136)),Reference!$A$6:$A$11,1))+1)-INDEX(Reference!$B$6:$B$11,MIN(5,MATCH(MAX(Reference!$A$6,MIN(Reference!$A$11,$U136)),Reference!$A$6:$A$11,1))))/(INDEX(Reference!$A$6:$A$11,MIN(5,MATCH(MAX(Reference!$A$6,MIN(Reference!$A$11,$U136)),Reference!$A$6:$A$11,1))+1)-INDEX(Reference!$A$6:$A$11,MIN(5,MATCH(MAX(Reference!$A$6,MIN(Reference!$A$11,$U136)),Reference!$A$6:$A$11,1))))))</f>
        <v>0</v>
      </c>
      <c r="AO136" s="37"/>
      <c r="AP136" s="37"/>
      <c r="AQ136" s="37"/>
    </row>
    <row r="137" spans="1:43" x14ac:dyDescent="0.3">
      <c r="A137" s="48" t="str">
        <f t="shared" si="55"/>
        <v/>
      </c>
      <c r="B137" s="32" t="str">
        <f t="shared" si="56"/>
        <v/>
      </c>
      <c r="C137" s="32" t="str">
        <f t="shared" si="57"/>
        <v/>
      </c>
      <c r="D137" s="32" t="str">
        <f t="shared" si="58"/>
        <v/>
      </c>
      <c r="E137" s="32" t="str">
        <f t="shared" si="59"/>
        <v/>
      </c>
      <c r="F137" s="32" t="str">
        <f t="shared" si="60"/>
        <v/>
      </c>
      <c r="G137" s="47" t="str">
        <f t="shared" si="61"/>
        <v/>
      </c>
      <c r="H137" s="30" t="str">
        <f t="shared" si="62"/>
        <v/>
      </c>
      <c r="I137" s="46" t="str">
        <f>IF($A137="","",IF(AND($L137&lt;27,$K$12=0),"Building",IFERROR(((SUM($H$131:$H137)+$K$12*IF($L137&lt;6,SUMIFS('Throw Log'!$Q$5:$Q$300,'Throw Log'!$B$5:$B$300,$D$4,'Throw Log'!$A$5:$A$300,"&gt;="&amp;($D$6+$L137-6),'Throw Log'!$A$5:$A$300,"&lt;="&amp;($D$6-1)),0))/7)/((SUM($H$110:$H137)+$K$12*IF($L137&lt;27,SUMIFS('Throw Log'!$Q$5:$Q$300,'Throw Log'!$B$5:$B$300,$D$4,'Throw Log'!$A$5:$A$300,"&gt;="&amp;($D$6+$L137-27),'Throw Log'!$A$5:$A$300,"&lt;="&amp;($D$6-1)),0))/28),"")))</f>
        <v/>
      </c>
      <c r="J137" s="37"/>
      <c r="K137" s="37"/>
      <c r="L137" s="32">
        <v>94</v>
      </c>
      <c r="M137" s="32">
        <f t="shared" si="63"/>
        <v>14</v>
      </c>
      <c r="N137" s="32">
        <f t="shared" si="64"/>
        <v>3</v>
      </c>
      <c r="O137" s="32">
        <f t="shared" si="65"/>
        <v>1</v>
      </c>
      <c r="P137" s="32" t="str">
        <f>IF(OR($A137="",N($C137)&lt;=7),"",$G$6*$G$9^($M137-1)*IF(AND(MOD($M137,Reference!$B$99)=0,$M137&lt;=$G$5-2),Reference!$B$100,1))</f>
        <v/>
      </c>
      <c r="Q137" s="32" t="str">
        <f>IF($P137="","",IF(SUM($AK$134:$AK$140)=0,0,$P137*INDEX(Reference!$B$108:$B$114,$N137+1)/SUM($AK$134:$AK$140)))</f>
        <v/>
      </c>
      <c r="R137" s="32">
        <f t="shared" si="66"/>
        <v>180</v>
      </c>
      <c r="S137" s="32">
        <f t="shared" si="67"/>
        <v>150</v>
      </c>
      <c r="T137" s="32" t="str">
        <f>IF($A137="","",IF($C137=0,"Bullpen",IF(OR($C137=7,$C137=1,$C137=5),"Recovery/Easy Catch",IF($C137=6,"Compression/Pulldowns",IF(OR($C137=4,$C137=2),"Long Toss",IF($C137=3,"No Throw",IF($N137=2,"No Throw",IF($N137=6,IF($O137&lt;Reference!$B$104,"No Throw","Recovery/Easy Catch"),IF(OR($N137=0,$N137=4),"Recovery/Easy Catch",IF($N137=1,IF($R137&gt;75,"Long Toss","Recovery/Easy Catch"),IF($N137=3,IF($O137&lt;0.5,IF($S137&gt;75,"Long Toss","Recovery/Easy Catch"),"Compression/Pulldowns"),IF($S137&gt;75,"Long Toss","Recovery/Easy Catch"))))))))))))</f>
        <v/>
      </c>
      <c r="U137" s="32" t="str">
        <f t="shared" si="68"/>
        <v/>
      </c>
      <c r="V137" s="32" t="str">
        <f t="shared" si="69"/>
        <v/>
      </c>
      <c r="W137" s="32" t="str">
        <f t="shared" si="70"/>
        <v/>
      </c>
      <c r="X137" s="32">
        <f t="shared" si="71"/>
        <v>0</v>
      </c>
      <c r="Y137" s="32" t="str">
        <f t="shared" si="72"/>
        <v/>
      </c>
      <c r="Z137" s="32" t="str">
        <f t="shared" si="73"/>
        <v/>
      </c>
      <c r="AA137" s="32" t="str">
        <f t="shared" si="74"/>
        <v/>
      </c>
      <c r="AB137" s="32" t="str">
        <f>IF($A137="","",IF($T137="No Throw",0,IF($K137&lt;&gt;"",$K137,IF($AA137&lt;&gt;"",ROUND($AA137*$D$12*IF($C137=0,1,$G$10),0),MIN(IF($T137="Recovery/Easy Catch",Reference!$B$103,IF($T137="Long Toss",Reference!$B$106,Reference!$B$102)),MAX(Reference!$B$101,ROUND(MAX(0,$Q137-$AE137)/$AF137,0)))))))</f>
        <v/>
      </c>
      <c r="AC137" s="32">
        <f t="shared" si="75"/>
        <v>0</v>
      </c>
      <c r="AD137" s="32" t="b">
        <f t="shared" si="76"/>
        <v>1</v>
      </c>
      <c r="AE137" s="32">
        <f>IF($X137=0,0,$X137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137+$Z137)/2,0),Reference!$A$17:$B$20,2,TRUE()))</f>
        <v>0</v>
      </c>
      <c r="AF137" s="32">
        <f>IF(OR($A137="",$U137="",$T137="No Throw"),0,$AM137*VLOOKUP(MAX(($V137+$W137)/2,0),Reference!$A$17:$B$20,2,TRUE()))</f>
        <v>0</v>
      </c>
      <c r="AG137" s="32">
        <f>IF($AC137=0,0,$AC137*INDEX(Reference!$B$61:$B$62,MATCH("Bullpen",Reference!$A$61:$A$62,0))*VLOOKUP(MAX($D$5-($D$9+$E$9)/2,0),Reference!$A$17:$B$20,2,TRUE()))</f>
        <v>0</v>
      </c>
      <c r="AH137" s="32" t="e">
        <f t="shared" si="77"/>
        <v>#N/A</v>
      </c>
      <c r="AI137" s="32" t="e">
        <f>IF($A137="",NA(),Reference!$A$25)</f>
        <v>#N/A</v>
      </c>
      <c r="AJ137" s="32" t="e">
        <f t="shared" si="78"/>
        <v>#N/A</v>
      </c>
      <c r="AK137" s="32">
        <f>IF(OR($A137="",N($C137)&lt;=7,$T137="No Throw",$J137="x"),0,INDEX(Reference!$B$108:$B$114,$N137+1))</f>
        <v>0</v>
      </c>
      <c r="AL137" s="32">
        <f t="shared" si="79"/>
        <v>1</v>
      </c>
      <c r="AM137" s="32">
        <f>IF($U137="",0,IF($AL137&gt;1,((IF(1&lt;=$AL137,($AL137-1+3)*(INDEX(Reference!$B$6:$B$11,MIN(5,MATCH(MAX(Reference!$A$6,MIN(Reference!$A$11,MIN($U137,90))),Reference!$A$6:$A$11,1)))+(MAX(Reference!$A$6,MIN(Reference!$A$11,MIN($U137,90)))-INDEX(Reference!$A$6:$A$11,MIN(5,MATCH(MAX(Reference!$A$6,MIN(Reference!$A$11,MIN($U137,90))),Reference!$A$6:$A$11,1))))*(INDEX(Reference!$B$6:$B$11,MIN(5,MATCH(MAX(Reference!$A$6,MIN(Reference!$A$11,MIN($U137,90))),Reference!$A$6:$A$11,1))+1)-INDEX(Reference!$B$6:$B$11,MIN(5,MATCH(MAX(Reference!$A$6,MIN(Reference!$A$11,MIN($U137,90))),Reference!$A$6:$A$11,1))))/(INDEX(Reference!$A$6:$A$11,MIN(5,MATCH(MAX(Reference!$A$6,MIN(Reference!$A$11,MIN($U137,90))),Reference!$A$6:$A$11,1))+1)-INDEX(Reference!$A$6:$A$11,MIN(5,MATCH(MAX(Reference!$A$6,MIN(Reference!$A$11,MIN($U137,90))),Reference!$A$6:$A$11,1))))),0)+IF(2&lt;=$AL137,($AL137-2+3)*(INDEX(Reference!$B$6:$B$11,MIN(5,MATCH(MAX(Reference!$A$6,MIN(Reference!$A$11,MIN($U137,120))),Reference!$A$6:$A$11,1)))+(MAX(Reference!$A$6,MIN(Reference!$A$11,MIN($U137,120)))-INDEX(Reference!$A$6:$A$11,MIN(5,MATCH(MAX(Reference!$A$6,MIN(Reference!$A$11,MIN($U137,120))),Reference!$A$6:$A$11,1))))*(INDEX(Reference!$B$6:$B$11,MIN(5,MATCH(MAX(Reference!$A$6,MIN(Reference!$A$11,MIN($U137,120))),Reference!$A$6:$A$11,1))+1)-INDEX(Reference!$B$6:$B$11,MIN(5,MATCH(MAX(Reference!$A$6,MIN(Reference!$A$11,MIN($U137,120))),Reference!$A$6:$A$11,1))))/(INDEX(Reference!$A$6:$A$11,MIN(5,MATCH(MAX(Reference!$A$6,MIN(Reference!$A$11,MIN($U137,120))),Reference!$A$6:$A$11,1))+1)-INDEX(Reference!$A$6:$A$11,MIN(5,MATCH(MAX(Reference!$A$6,MIN(Reference!$A$11,MIN($U137,120))),Reference!$A$6:$A$11,1))))),0)+IF(3&lt;=$AL137,($AL137-3+3)*(INDEX(Reference!$B$6:$B$11,MIN(5,MATCH(MAX(Reference!$A$6,MIN(Reference!$A$11,MIN($U137,150))),Reference!$A$6:$A$11,1)))+(MAX(Reference!$A$6,MIN(Reference!$A$11,MIN($U137,150)))-INDEX(Reference!$A$6:$A$11,MIN(5,MATCH(MAX(Reference!$A$6,MIN(Reference!$A$11,MIN($U137,150))),Reference!$A$6:$A$11,1))))*(INDEX(Reference!$B$6:$B$11,MIN(5,MATCH(MAX(Reference!$A$6,MIN(Reference!$A$11,MIN($U137,150))),Reference!$A$6:$A$11,1))+1)-INDEX(Reference!$B$6:$B$11,MIN(5,MATCH(MAX(Reference!$A$6,MIN(Reference!$A$11,MIN($U137,150))),Reference!$A$6:$A$11,1))))/(INDEX(Reference!$A$6:$A$11,MIN(5,MATCH(MAX(Reference!$A$6,MIN(Reference!$A$11,MIN($U137,150))),Reference!$A$6:$A$11,1))+1)-INDEX(Reference!$A$6:$A$11,MIN(5,MATCH(MAX(Reference!$A$6,MIN(Reference!$A$11,MIN($U137,150))),Reference!$A$6:$A$11,1))))),0)+IF(4&lt;=$AL137,($AL137-4+3)*(INDEX(Reference!$B$6:$B$11,MIN(5,MATCH(MAX(Reference!$A$6,MIN(Reference!$A$11,MIN($U137,180))),Reference!$A$6:$A$11,1)))+(MAX(Reference!$A$6,MIN(Reference!$A$11,MIN($U137,180)))-INDEX(Reference!$A$6:$A$11,MIN(5,MATCH(MAX(Reference!$A$6,MIN(Reference!$A$11,MIN($U137,180))),Reference!$A$6:$A$11,1))))*(INDEX(Reference!$B$6:$B$11,MIN(5,MATCH(MAX(Reference!$A$6,MIN(Reference!$A$11,MIN($U137,180))),Reference!$A$6:$A$11,1))+1)-INDEX(Reference!$B$6:$B$11,MIN(5,MATCH(MAX(Reference!$A$6,MIN(Reference!$A$11,MIN($U137,180))),Reference!$A$6:$A$11,1))))/(INDEX(Reference!$A$6:$A$11,MIN(5,MATCH(MAX(Reference!$A$6,MIN(Reference!$A$11,MIN($U137,180))),Reference!$A$6:$A$11,1))+1)-INDEX(Reference!$A$6:$A$11,MIN(5,MATCH(MAX(Reference!$A$6,MIN(Reference!$A$11,MIN($U137,180))),Reference!$A$6:$A$11,1))))),0)+IF(5&lt;=$AL137,($AL137-5+3)*(INDEX(Reference!$B$6:$B$11,MIN(5,MATCH(MAX(Reference!$A$6,MIN(Reference!$A$11,MIN($U137,210))),Reference!$A$6:$A$11,1)))+(MAX(Reference!$A$6,MIN(Reference!$A$11,MIN($U137,210)))-INDEX(Reference!$A$6:$A$11,MIN(5,MATCH(MAX(Reference!$A$6,MIN(Reference!$A$11,MIN($U137,210))),Reference!$A$6:$A$11,1))))*(INDEX(Reference!$B$6:$B$11,MIN(5,MATCH(MAX(Reference!$A$6,MIN(Reference!$A$11,MIN($U137,210))),Reference!$A$6:$A$11,1))+1)-INDEX(Reference!$B$6:$B$11,MIN(5,MATCH(MAX(Reference!$A$6,MIN(Reference!$A$11,MIN($U137,210))),Reference!$A$6:$A$11,1))))/(INDEX(Reference!$A$6:$A$11,MIN(5,MATCH(MAX(Reference!$A$6,MIN(Reference!$A$11,MIN($U137,210))),Reference!$A$6:$A$11,1))+1)-INDEX(Reference!$A$6:$A$11,MIN(5,MATCH(MAX(Reference!$A$6,MIN(Reference!$A$11,MIN($U137,210))),Reference!$A$6:$A$11,1))))),0)+IF(6&lt;=$AL137,($AL137-6+3)*(INDEX(Reference!$B$6:$B$11,MIN(5,MATCH(MAX(Reference!$A$6,MIN(Reference!$A$11,MIN($U137,240))),Reference!$A$6:$A$11,1)))+(MAX(Reference!$A$6,MIN(Reference!$A$11,MIN($U137,240)))-INDEX(Reference!$A$6:$A$11,MIN(5,MATCH(MAX(Reference!$A$6,MIN(Reference!$A$11,MIN($U137,240))),Reference!$A$6:$A$11,1))))*(INDEX(Reference!$B$6:$B$11,MIN(5,MATCH(MAX(Reference!$A$6,MIN(Reference!$A$11,MIN($U137,240))),Reference!$A$6:$A$11,1))+1)-INDEX(Reference!$B$6:$B$11,MIN(5,MATCH(MAX(Reference!$A$6,MIN(Reference!$A$11,MIN($U137,240))),Reference!$A$6:$A$11,1))))/(INDEX(Reference!$A$6:$A$11,MIN(5,MATCH(MAX(Reference!$A$6,MIN(Reference!$A$11,MIN($U137,240))),Reference!$A$6:$A$11,1))+1)-INDEX(Reference!$A$6:$A$11,MIN(5,MATCH(MAX(Reference!$A$6,MIN(Reference!$A$11,MIN($U137,240))),Reference!$A$6:$A$11,1))))),0)+IF(7&lt;=$AL137,($AL137-7+3)*(INDEX(Reference!$B$6:$B$11,MIN(5,MATCH(MAX(Reference!$A$6,MIN(Reference!$A$11,MIN($U137,270))),Reference!$A$6:$A$11,1)))+(MAX(Reference!$A$6,MIN(Reference!$A$11,MIN($U137,270)))-INDEX(Reference!$A$6:$A$11,MIN(5,MATCH(MAX(Reference!$A$6,MIN(Reference!$A$11,MIN($U137,270))),Reference!$A$6:$A$11,1))))*(INDEX(Reference!$B$6:$B$11,MIN(5,MATCH(MAX(Reference!$A$6,MIN(Reference!$A$11,MIN($U137,270))),Reference!$A$6:$A$11,1))+1)-INDEX(Reference!$B$6:$B$11,MIN(5,MATCH(MAX(Reference!$A$6,MIN(Reference!$A$11,MIN($U137,270))),Reference!$A$6:$A$11,1))))/(INDEX(Reference!$A$6:$A$11,MIN(5,MATCH(MAX(Reference!$A$6,MIN(Reference!$A$11,MIN($U137,270))),Reference!$A$6:$A$11,1))+1)-INDEX(Reference!$A$6:$A$11,MIN(5,MATCH(MAX(Reference!$A$6,MIN(Reference!$A$11,MIN($U137,270))),Reference!$A$6:$A$11,1))))),0)+IF(8&lt;=$AL137,($AL137-8+3)*(INDEX(Reference!$B$6:$B$11,MIN(5,MATCH(MAX(Reference!$A$6,MIN(Reference!$A$11,MIN($U137,300))),Reference!$A$6:$A$11,1)))+(MAX(Reference!$A$6,MIN(Reference!$A$11,MIN($U137,300)))-INDEX(Reference!$A$6:$A$11,MIN(5,MATCH(MAX(Reference!$A$6,MIN(Reference!$A$11,MIN($U137,300))),Reference!$A$6:$A$11,1))))*(INDEX(Reference!$B$6:$B$11,MIN(5,MATCH(MAX(Reference!$A$6,MIN(Reference!$A$11,MIN($U137,300))),Reference!$A$6:$A$11,1))+1)-INDEX(Reference!$B$6:$B$11,MIN(5,MATCH(MAX(Reference!$A$6,MIN(Reference!$A$11,MIN($U137,300))),Reference!$A$6:$A$11,1))))/(INDEX(Reference!$A$6:$A$11,MIN(5,MATCH(MAX(Reference!$A$6,MIN(Reference!$A$11,MIN($U137,300))),Reference!$A$6:$A$11,1))+1)-INDEX(Reference!$A$6:$A$11,MIN(5,MATCH(MAX(Reference!$A$6,MIN(Reference!$A$11,MIN($U137,300))),Reference!$A$6:$A$11,1))))),0))/($AL137*($AL137+5)/2)),$AN137))</f>
        <v>0</v>
      </c>
      <c r="AN137" s="32">
        <f>IF($U137="",0,(INDEX(Reference!$B$6:$B$11,MIN(5,MATCH(MAX(Reference!$A$6,MIN(Reference!$A$11,$U137)),Reference!$A$6:$A$11,1)))+(MAX(Reference!$A$6,MIN(Reference!$A$11,$U137))-INDEX(Reference!$A$6:$A$11,MIN(5,MATCH(MAX(Reference!$A$6,MIN(Reference!$A$11,$U137)),Reference!$A$6:$A$11,1))))*(INDEX(Reference!$B$6:$B$11,MIN(5,MATCH(MAX(Reference!$A$6,MIN(Reference!$A$11,$U137)),Reference!$A$6:$A$11,1))+1)-INDEX(Reference!$B$6:$B$11,MIN(5,MATCH(MAX(Reference!$A$6,MIN(Reference!$A$11,$U137)),Reference!$A$6:$A$11,1))))/(INDEX(Reference!$A$6:$A$11,MIN(5,MATCH(MAX(Reference!$A$6,MIN(Reference!$A$11,$U137)),Reference!$A$6:$A$11,1))+1)-INDEX(Reference!$A$6:$A$11,MIN(5,MATCH(MAX(Reference!$A$6,MIN(Reference!$A$11,$U137)),Reference!$A$6:$A$11,1))))))</f>
        <v>0</v>
      </c>
      <c r="AO137" s="37"/>
      <c r="AP137" s="37"/>
      <c r="AQ137" s="37"/>
    </row>
    <row r="138" spans="1:43" x14ac:dyDescent="0.3">
      <c r="A138" s="48" t="str">
        <f t="shared" si="55"/>
        <v/>
      </c>
      <c r="B138" s="32" t="str">
        <f t="shared" si="56"/>
        <v/>
      </c>
      <c r="C138" s="32" t="str">
        <f t="shared" si="57"/>
        <v/>
      </c>
      <c r="D138" s="32" t="str">
        <f t="shared" si="58"/>
        <v/>
      </c>
      <c r="E138" s="32" t="str">
        <f t="shared" si="59"/>
        <v/>
      </c>
      <c r="F138" s="32" t="str">
        <f t="shared" si="60"/>
        <v/>
      </c>
      <c r="G138" s="47" t="str">
        <f t="shared" si="61"/>
        <v/>
      </c>
      <c r="H138" s="30" t="str">
        <f t="shared" si="62"/>
        <v/>
      </c>
      <c r="I138" s="46" t="str">
        <f>IF($A138="","",IF(AND($L138&lt;27,$K$12=0),"Building",IFERROR(((SUM($H$132:$H138)+$K$12*IF($L138&lt;6,SUMIFS('Throw Log'!$Q$5:$Q$300,'Throw Log'!$B$5:$B$300,$D$4,'Throw Log'!$A$5:$A$300,"&gt;="&amp;($D$6+$L138-6),'Throw Log'!$A$5:$A$300,"&lt;="&amp;($D$6-1)),0))/7)/((SUM($H$111:$H138)+$K$12*IF($L138&lt;27,SUMIFS('Throw Log'!$Q$5:$Q$300,'Throw Log'!$B$5:$B$300,$D$4,'Throw Log'!$A$5:$A$300,"&gt;="&amp;($D$6+$L138-27),'Throw Log'!$A$5:$A$300,"&lt;="&amp;($D$6-1)),0))/28),"")))</f>
        <v/>
      </c>
      <c r="J138" s="37"/>
      <c r="K138" s="37"/>
      <c r="L138" s="32">
        <v>95</v>
      </c>
      <c r="M138" s="32">
        <f t="shared" si="63"/>
        <v>14</v>
      </c>
      <c r="N138" s="32">
        <f t="shared" si="64"/>
        <v>4</v>
      </c>
      <c r="O138" s="32">
        <f t="shared" si="65"/>
        <v>1</v>
      </c>
      <c r="P138" s="32" t="str">
        <f>IF(OR($A138="",N($C138)&lt;=7),"",$G$6*$G$9^($M138-1)*IF(AND(MOD($M138,Reference!$B$99)=0,$M138&lt;=$G$5-2),Reference!$B$100,1))</f>
        <v/>
      </c>
      <c r="Q138" s="32" t="str">
        <f>IF($P138="","",IF(SUM($AK$134:$AK$140)=0,0,$P138*INDEX(Reference!$B$108:$B$114,$N138+1)/SUM($AK$134:$AK$140)))</f>
        <v/>
      </c>
      <c r="R138" s="32">
        <f t="shared" si="66"/>
        <v>180</v>
      </c>
      <c r="S138" s="32">
        <f t="shared" si="67"/>
        <v>150</v>
      </c>
      <c r="T138" s="32" t="str">
        <f>IF($A138="","",IF($C138=0,"Bullpen",IF(OR($C138=7,$C138=1,$C138=5),"Recovery/Easy Catch",IF($C138=6,"Compression/Pulldowns",IF(OR($C138=4,$C138=2),"Long Toss",IF($C138=3,"No Throw",IF($N138=2,"No Throw",IF($N138=6,IF($O138&lt;Reference!$B$104,"No Throw","Recovery/Easy Catch"),IF(OR($N138=0,$N138=4),"Recovery/Easy Catch",IF($N138=1,IF($R138&gt;75,"Long Toss","Recovery/Easy Catch"),IF($N138=3,IF($O138&lt;0.5,IF($S138&gt;75,"Long Toss","Recovery/Easy Catch"),"Compression/Pulldowns"),IF($S138&gt;75,"Long Toss","Recovery/Easy Catch"))))))))))))</f>
        <v/>
      </c>
      <c r="U138" s="32" t="str">
        <f t="shared" si="68"/>
        <v/>
      </c>
      <c r="V138" s="32" t="str">
        <f t="shared" si="69"/>
        <v/>
      </c>
      <c r="W138" s="32" t="str">
        <f t="shared" si="70"/>
        <v/>
      </c>
      <c r="X138" s="32">
        <f t="shared" si="71"/>
        <v>0</v>
      </c>
      <c r="Y138" s="32" t="str">
        <f t="shared" si="72"/>
        <v/>
      </c>
      <c r="Z138" s="32" t="str">
        <f t="shared" si="73"/>
        <v/>
      </c>
      <c r="AA138" s="32" t="str">
        <f t="shared" si="74"/>
        <v/>
      </c>
      <c r="AB138" s="32" t="str">
        <f>IF($A138="","",IF($T138="No Throw",0,IF($K138&lt;&gt;"",$K138,IF($AA138&lt;&gt;"",ROUND($AA138*$D$12*IF($C138=0,1,$G$10),0),MIN(IF($T138="Recovery/Easy Catch",Reference!$B$103,IF($T138="Long Toss",Reference!$B$106,Reference!$B$102)),MAX(Reference!$B$101,ROUND(MAX(0,$Q138-$AE138)/$AF138,0)))))))</f>
        <v/>
      </c>
      <c r="AC138" s="32">
        <f t="shared" si="75"/>
        <v>0</v>
      </c>
      <c r="AD138" s="32" t="b">
        <f t="shared" si="76"/>
        <v>1</v>
      </c>
      <c r="AE138" s="32">
        <f>IF($X138=0,0,$X138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138+$Z138)/2,0),Reference!$A$17:$B$20,2,TRUE()))</f>
        <v>0</v>
      </c>
      <c r="AF138" s="32">
        <f>IF(OR($A138="",$U138="",$T138="No Throw"),0,$AM138*VLOOKUP(MAX(($V138+$W138)/2,0),Reference!$A$17:$B$20,2,TRUE()))</f>
        <v>0</v>
      </c>
      <c r="AG138" s="32">
        <f>IF($AC138=0,0,$AC138*INDEX(Reference!$B$61:$B$62,MATCH("Bullpen",Reference!$A$61:$A$62,0))*VLOOKUP(MAX($D$5-($D$9+$E$9)/2,0),Reference!$A$17:$B$20,2,TRUE()))</f>
        <v>0</v>
      </c>
      <c r="AH138" s="32" t="e">
        <f t="shared" si="77"/>
        <v>#N/A</v>
      </c>
      <c r="AI138" s="32" t="e">
        <f>IF($A138="",NA(),Reference!$A$25)</f>
        <v>#N/A</v>
      </c>
      <c r="AJ138" s="32" t="e">
        <f t="shared" si="78"/>
        <v>#N/A</v>
      </c>
      <c r="AK138" s="32">
        <f>IF(OR($A138="",N($C138)&lt;=7,$T138="No Throw",$J138="x"),0,INDEX(Reference!$B$108:$B$114,$N138+1))</f>
        <v>0</v>
      </c>
      <c r="AL138" s="32">
        <f t="shared" si="79"/>
        <v>1</v>
      </c>
      <c r="AM138" s="32">
        <f>IF($U138="",0,IF($AL138&gt;1,((IF(1&lt;=$AL138,($AL138-1+3)*(INDEX(Reference!$B$6:$B$11,MIN(5,MATCH(MAX(Reference!$A$6,MIN(Reference!$A$11,MIN($U138,90))),Reference!$A$6:$A$11,1)))+(MAX(Reference!$A$6,MIN(Reference!$A$11,MIN($U138,90)))-INDEX(Reference!$A$6:$A$11,MIN(5,MATCH(MAX(Reference!$A$6,MIN(Reference!$A$11,MIN($U138,90))),Reference!$A$6:$A$11,1))))*(INDEX(Reference!$B$6:$B$11,MIN(5,MATCH(MAX(Reference!$A$6,MIN(Reference!$A$11,MIN($U138,90))),Reference!$A$6:$A$11,1))+1)-INDEX(Reference!$B$6:$B$11,MIN(5,MATCH(MAX(Reference!$A$6,MIN(Reference!$A$11,MIN($U138,90))),Reference!$A$6:$A$11,1))))/(INDEX(Reference!$A$6:$A$11,MIN(5,MATCH(MAX(Reference!$A$6,MIN(Reference!$A$11,MIN($U138,90))),Reference!$A$6:$A$11,1))+1)-INDEX(Reference!$A$6:$A$11,MIN(5,MATCH(MAX(Reference!$A$6,MIN(Reference!$A$11,MIN($U138,90))),Reference!$A$6:$A$11,1))))),0)+IF(2&lt;=$AL138,($AL138-2+3)*(INDEX(Reference!$B$6:$B$11,MIN(5,MATCH(MAX(Reference!$A$6,MIN(Reference!$A$11,MIN($U138,120))),Reference!$A$6:$A$11,1)))+(MAX(Reference!$A$6,MIN(Reference!$A$11,MIN($U138,120)))-INDEX(Reference!$A$6:$A$11,MIN(5,MATCH(MAX(Reference!$A$6,MIN(Reference!$A$11,MIN($U138,120))),Reference!$A$6:$A$11,1))))*(INDEX(Reference!$B$6:$B$11,MIN(5,MATCH(MAX(Reference!$A$6,MIN(Reference!$A$11,MIN($U138,120))),Reference!$A$6:$A$11,1))+1)-INDEX(Reference!$B$6:$B$11,MIN(5,MATCH(MAX(Reference!$A$6,MIN(Reference!$A$11,MIN($U138,120))),Reference!$A$6:$A$11,1))))/(INDEX(Reference!$A$6:$A$11,MIN(5,MATCH(MAX(Reference!$A$6,MIN(Reference!$A$11,MIN($U138,120))),Reference!$A$6:$A$11,1))+1)-INDEX(Reference!$A$6:$A$11,MIN(5,MATCH(MAX(Reference!$A$6,MIN(Reference!$A$11,MIN($U138,120))),Reference!$A$6:$A$11,1))))),0)+IF(3&lt;=$AL138,($AL138-3+3)*(INDEX(Reference!$B$6:$B$11,MIN(5,MATCH(MAX(Reference!$A$6,MIN(Reference!$A$11,MIN($U138,150))),Reference!$A$6:$A$11,1)))+(MAX(Reference!$A$6,MIN(Reference!$A$11,MIN($U138,150)))-INDEX(Reference!$A$6:$A$11,MIN(5,MATCH(MAX(Reference!$A$6,MIN(Reference!$A$11,MIN($U138,150))),Reference!$A$6:$A$11,1))))*(INDEX(Reference!$B$6:$B$11,MIN(5,MATCH(MAX(Reference!$A$6,MIN(Reference!$A$11,MIN($U138,150))),Reference!$A$6:$A$11,1))+1)-INDEX(Reference!$B$6:$B$11,MIN(5,MATCH(MAX(Reference!$A$6,MIN(Reference!$A$11,MIN($U138,150))),Reference!$A$6:$A$11,1))))/(INDEX(Reference!$A$6:$A$11,MIN(5,MATCH(MAX(Reference!$A$6,MIN(Reference!$A$11,MIN($U138,150))),Reference!$A$6:$A$11,1))+1)-INDEX(Reference!$A$6:$A$11,MIN(5,MATCH(MAX(Reference!$A$6,MIN(Reference!$A$11,MIN($U138,150))),Reference!$A$6:$A$11,1))))),0)+IF(4&lt;=$AL138,($AL138-4+3)*(INDEX(Reference!$B$6:$B$11,MIN(5,MATCH(MAX(Reference!$A$6,MIN(Reference!$A$11,MIN($U138,180))),Reference!$A$6:$A$11,1)))+(MAX(Reference!$A$6,MIN(Reference!$A$11,MIN($U138,180)))-INDEX(Reference!$A$6:$A$11,MIN(5,MATCH(MAX(Reference!$A$6,MIN(Reference!$A$11,MIN($U138,180))),Reference!$A$6:$A$11,1))))*(INDEX(Reference!$B$6:$B$11,MIN(5,MATCH(MAX(Reference!$A$6,MIN(Reference!$A$11,MIN($U138,180))),Reference!$A$6:$A$11,1))+1)-INDEX(Reference!$B$6:$B$11,MIN(5,MATCH(MAX(Reference!$A$6,MIN(Reference!$A$11,MIN($U138,180))),Reference!$A$6:$A$11,1))))/(INDEX(Reference!$A$6:$A$11,MIN(5,MATCH(MAX(Reference!$A$6,MIN(Reference!$A$11,MIN($U138,180))),Reference!$A$6:$A$11,1))+1)-INDEX(Reference!$A$6:$A$11,MIN(5,MATCH(MAX(Reference!$A$6,MIN(Reference!$A$11,MIN($U138,180))),Reference!$A$6:$A$11,1))))),0)+IF(5&lt;=$AL138,($AL138-5+3)*(INDEX(Reference!$B$6:$B$11,MIN(5,MATCH(MAX(Reference!$A$6,MIN(Reference!$A$11,MIN($U138,210))),Reference!$A$6:$A$11,1)))+(MAX(Reference!$A$6,MIN(Reference!$A$11,MIN($U138,210)))-INDEX(Reference!$A$6:$A$11,MIN(5,MATCH(MAX(Reference!$A$6,MIN(Reference!$A$11,MIN($U138,210))),Reference!$A$6:$A$11,1))))*(INDEX(Reference!$B$6:$B$11,MIN(5,MATCH(MAX(Reference!$A$6,MIN(Reference!$A$11,MIN($U138,210))),Reference!$A$6:$A$11,1))+1)-INDEX(Reference!$B$6:$B$11,MIN(5,MATCH(MAX(Reference!$A$6,MIN(Reference!$A$11,MIN($U138,210))),Reference!$A$6:$A$11,1))))/(INDEX(Reference!$A$6:$A$11,MIN(5,MATCH(MAX(Reference!$A$6,MIN(Reference!$A$11,MIN($U138,210))),Reference!$A$6:$A$11,1))+1)-INDEX(Reference!$A$6:$A$11,MIN(5,MATCH(MAX(Reference!$A$6,MIN(Reference!$A$11,MIN($U138,210))),Reference!$A$6:$A$11,1))))),0)+IF(6&lt;=$AL138,($AL138-6+3)*(INDEX(Reference!$B$6:$B$11,MIN(5,MATCH(MAX(Reference!$A$6,MIN(Reference!$A$11,MIN($U138,240))),Reference!$A$6:$A$11,1)))+(MAX(Reference!$A$6,MIN(Reference!$A$11,MIN($U138,240)))-INDEX(Reference!$A$6:$A$11,MIN(5,MATCH(MAX(Reference!$A$6,MIN(Reference!$A$11,MIN($U138,240))),Reference!$A$6:$A$11,1))))*(INDEX(Reference!$B$6:$B$11,MIN(5,MATCH(MAX(Reference!$A$6,MIN(Reference!$A$11,MIN($U138,240))),Reference!$A$6:$A$11,1))+1)-INDEX(Reference!$B$6:$B$11,MIN(5,MATCH(MAX(Reference!$A$6,MIN(Reference!$A$11,MIN($U138,240))),Reference!$A$6:$A$11,1))))/(INDEX(Reference!$A$6:$A$11,MIN(5,MATCH(MAX(Reference!$A$6,MIN(Reference!$A$11,MIN($U138,240))),Reference!$A$6:$A$11,1))+1)-INDEX(Reference!$A$6:$A$11,MIN(5,MATCH(MAX(Reference!$A$6,MIN(Reference!$A$11,MIN($U138,240))),Reference!$A$6:$A$11,1))))),0)+IF(7&lt;=$AL138,($AL138-7+3)*(INDEX(Reference!$B$6:$B$11,MIN(5,MATCH(MAX(Reference!$A$6,MIN(Reference!$A$11,MIN($U138,270))),Reference!$A$6:$A$11,1)))+(MAX(Reference!$A$6,MIN(Reference!$A$11,MIN($U138,270)))-INDEX(Reference!$A$6:$A$11,MIN(5,MATCH(MAX(Reference!$A$6,MIN(Reference!$A$11,MIN($U138,270))),Reference!$A$6:$A$11,1))))*(INDEX(Reference!$B$6:$B$11,MIN(5,MATCH(MAX(Reference!$A$6,MIN(Reference!$A$11,MIN($U138,270))),Reference!$A$6:$A$11,1))+1)-INDEX(Reference!$B$6:$B$11,MIN(5,MATCH(MAX(Reference!$A$6,MIN(Reference!$A$11,MIN($U138,270))),Reference!$A$6:$A$11,1))))/(INDEX(Reference!$A$6:$A$11,MIN(5,MATCH(MAX(Reference!$A$6,MIN(Reference!$A$11,MIN($U138,270))),Reference!$A$6:$A$11,1))+1)-INDEX(Reference!$A$6:$A$11,MIN(5,MATCH(MAX(Reference!$A$6,MIN(Reference!$A$11,MIN($U138,270))),Reference!$A$6:$A$11,1))))),0)+IF(8&lt;=$AL138,($AL138-8+3)*(INDEX(Reference!$B$6:$B$11,MIN(5,MATCH(MAX(Reference!$A$6,MIN(Reference!$A$11,MIN($U138,300))),Reference!$A$6:$A$11,1)))+(MAX(Reference!$A$6,MIN(Reference!$A$11,MIN($U138,300)))-INDEX(Reference!$A$6:$A$11,MIN(5,MATCH(MAX(Reference!$A$6,MIN(Reference!$A$11,MIN($U138,300))),Reference!$A$6:$A$11,1))))*(INDEX(Reference!$B$6:$B$11,MIN(5,MATCH(MAX(Reference!$A$6,MIN(Reference!$A$11,MIN($U138,300))),Reference!$A$6:$A$11,1))+1)-INDEX(Reference!$B$6:$B$11,MIN(5,MATCH(MAX(Reference!$A$6,MIN(Reference!$A$11,MIN($U138,300))),Reference!$A$6:$A$11,1))))/(INDEX(Reference!$A$6:$A$11,MIN(5,MATCH(MAX(Reference!$A$6,MIN(Reference!$A$11,MIN($U138,300))),Reference!$A$6:$A$11,1))+1)-INDEX(Reference!$A$6:$A$11,MIN(5,MATCH(MAX(Reference!$A$6,MIN(Reference!$A$11,MIN($U138,300))),Reference!$A$6:$A$11,1))))),0))/($AL138*($AL138+5)/2)),$AN138))</f>
        <v>0</v>
      </c>
      <c r="AN138" s="32">
        <f>IF($U138="",0,(INDEX(Reference!$B$6:$B$11,MIN(5,MATCH(MAX(Reference!$A$6,MIN(Reference!$A$11,$U138)),Reference!$A$6:$A$11,1)))+(MAX(Reference!$A$6,MIN(Reference!$A$11,$U138))-INDEX(Reference!$A$6:$A$11,MIN(5,MATCH(MAX(Reference!$A$6,MIN(Reference!$A$11,$U138)),Reference!$A$6:$A$11,1))))*(INDEX(Reference!$B$6:$B$11,MIN(5,MATCH(MAX(Reference!$A$6,MIN(Reference!$A$11,$U138)),Reference!$A$6:$A$11,1))+1)-INDEX(Reference!$B$6:$B$11,MIN(5,MATCH(MAX(Reference!$A$6,MIN(Reference!$A$11,$U138)),Reference!$A$6:$A$11,1))))/(INDEX(Reference!$A$6:$A$11,MIN(5,MATCH(MAX(Reference!$A$6,MIN(Reference!$A$11,$U138)),Reference!$A$6:$A$11,1))+1)-INDEX(Reference!$A$6:$A$11,MIN(5,MATCH(MAX(Reference!$A$6,MIN(Reference!$A$11,$U138)),Reference!$A$6:$A$11,1))))))</f>
        <v>0</v>
      </c>
      <c r="AO138" s="37"/>
      <c r="AP138" s="37"/>
      <c r="AQ138" s="37"/>
    </row>
    <row r="139" spans="1:43" x14ac:dyDescent="0.3">
      <c r="A139" s="48" t="str">
        <f t="shared" ref="A139:A170" si="80">IFERROR(IF($L139&gt;$G$4,"",$D$6+$L139),"")</f>
        <v/>
      </c>
      <c r="B139" s="32" t="str">
        <f t="shared" ref="B139:B170" si="81">IF($A139="","",TEXT($A139,"ddd"))</f>
        <v/>
      </c>
      <c r="C139" s="32" t="str">
        <f t="shared" ref="C139:C170" si="82">IF($A139="","",$G$4-$L139)</f>
        <v/>
      </c>
      <c r="D139" s="32" t="str">
        <f t="shared" ref="D139:D170" si="83">IF($A139="","",IF($C139=0,"First Bullpen",IF($C139&lt;=7,"Taper",IF($O139&lt;0.2,"Re-entry",IF($O139&lt;0.45,"Base",IF($O139&lt;0.65,"Extension","Flat Ground / Intent"))))))</f>
        <v/>
      </c>
      <c r="E139" s="32" t="str">
        <f t="shared" ref="E139:E170" si="84">IF($A139="","",IF($AD139,"No Throw",IF($C139=0,"High Bullpen",IF($C139=6,"High Non-Bullpen",IF(OR($C139=4,$C139=2),"Medium",IF($T139="Recovery/Easy Catch","Low",IF($N139=1,IF($O139&lt;0.4,"Low",IF($O139&lt;0.7,"Medium","High Non-Bullpen")),IF($N139=3,IF($O139&lt;0.5,"Medium","High Non-Bullpen"),IF($O139&lt;0.62,"Medium","High Non-Bullpen")))))))))</f>
        <v/>
      </c>
      <c r="F139" s="32" t="str">
        <f t="shared" ref="F139:F170" si="85">IF($A139="","",IF($AD139,"No Throw",$T139))</f>
        <v/>
      </c>
      <c r="G139" s="47" t="str">
        <f t="shared" ref="G139:G170" si="86">IF($A139="","",IF($AD139,"Off",IF($AL139&gt;1,"Long toss out to "&amp;$U139&amp;" ft — "&amp;$AB139&amp;" throws ("&amp;IF(1&lt;=$AL139,MIN($U139,90)&amp;"×"&amp;(ROUND($AB139*(1*($AL139+3)-1)/($AL139*($AL139+5)/2),0)-0),"")&amp;IF(2&lt;=$AL139," · "&amp;MIN($U139,120)&amp;"×"&amp;(ROUND($AB139*(2*($AL139+3)-3)/($AL139*($AL139+5)/2),0)-ROUND($AB139*(1*($AL139+3)-1)/($AL139*($AL139+5)/2),0)),"")&amp;IF(3&lt;=$AL139," · "&amp;MIN($U139,150)&amp;"×"&amp;(ROUND($AB139*(3*($AL139+3)-6)/($AL139*($AL139+5)/2),0)-ROUND($AB139*(2*($AL139+3)-3)/($AL139*($AL139+5)/2),0)),"")&amp;IF(4&lt;=$AL139," · "&amp;MIN($U139,180)&amp;"×"&amp;(ROUND($AB139*(4*($AL139+3)-10)/($AL139*($AL139+5)/2),0)-ROUND($AB139*(3*($AL139+3)-6)/($AL139*($AL139+5)/2),0)),"")&amp;IF(5&lt;=$AL139," · "&amp;MIN($U139,210)&amp;"×"&amp;(ROUND($AB139*(5*($AL139+3)-15)/($AL139*($AL139+5)/2),0)-ROUND($AB139*(4*($AL139+3)-10)/($AL139*($AL139+5)/2),0)),"")&amp;IF(6&lt;=$AL139," · "&amp;MIN($U139,240)&amp;"×"&amp;(ROUND($AB139*(6*($AL139+3)-21)/($AL139*($AL139+5)/2),0)-ROUND($AB139*(5*($AL139+3)-15)/($AL139*($AL139+5)/2),0)),"")&amp;IF(7&lt;=$AL139," · "&amp;MIN($U139,270)&amp;"×"&amp;(ROUND($AB139*(7*($AL139+3)-28)/($AL139*($AL139+5)/2),0)-ROUND($AB139*(6*($AL139+3)-21)/($AL139*($AL139+5)/2),0)),"")&amp;IF(8&lt;=$AL139," · "&amp;MIN($U139,300)&amp;"×"&amp;(ROUND($AB139*(8*($AL139+3)-36)/($AL139*($AL139+5)/2),0)-ROUND($AB139*(7*($AL139+3)-28)/($AL139*($AL139+5)/2),0)),"")&amp;")",$U139&amp;" ft × "&amp;$AB139)&amp;" @ "&amp;ROUND($D$5-$W139,0)&amp;"–"&amp;ROUND($D$5-$V139,0)&amp;" mph"&amp;IF($X139&gt;0,IF($Y139&lt;10," + flat ground at 60 ft × "," + 60 ft × ")&amp;$X139&amp;" @ "&amp;ROUND($D$5-$Z139,0)&amp;"–"&amp;ROUND($D$5-$Y139,0)&amp;" mph","")&amp;IF($AC139&gt;0," + MOUND × "&amp;$AC139&amp;" pitches @ "&amp;$D$9&amp;"–"&amp;$E$9&amp;" mph","")))</f>
        <v/>
      </c>
      <c r="H139" s="30" t="str">
        <f t="shared" ref="H139:H170" si="87">IF($A139="","",IF($AD139,0,$AB139*$AF139+$AE139+$AG139))</f>
        <v/>
      </c>
      <c r="I139" s="46" t="str">
        <f>IF($A139="","",IF(AND($L139&lt;27,$K$12=0),"Building",IFERROR(((SUM($H$133:$H139)+$K$12*IF($L139&lt;6,SUMIFS('Throw Log'!$Q$5:$Q$300,'Throw Log'!$B$5:$B$300,$D$4,'Throw Log'!$A$5:$A$300,"&gt;="&amp;($D$6+$L139-6),'Throw Log'!$A$5:$A$300,"&lt;="&amp;($D$6-1)),0))/7)/((SUM($H$112:$H139)+$K$12*IF($L139&lt;27,SUMIFS('Throw Log'!$Q$5:$Q$300,'Throw Log'!$B$5:$B$300,$D$4,'Throw Log'!$A$5:$A$300,"&gt;="&amp;($D$6+$L139-27),'Throw Log'!$A$5:$A$300,"&lt;="&amp;($D$6-1)),0))/28),"")))</f>
        <v/>
      </c>
      <c r="J139" s="37"/>
      <c r="K139" s="37"/>
      <c r="L139" s="32">
        <v>96</v>
      </c>
      <c r="M139" s="32">
        <f t="shared" ref="M139:M170" si="88">INT($L139/7)+1</f>
        <v>14</v>
      </c>
      <c r="N139" s="32">
        <f t="shared" ref="N139:N170" si="89">MOD($L139,7)</f>
        <v>5</v>
      </c>
      <c r="O139" s="32">
        <f t="shared" ref="O139:O170" si="90">MIN(1,$G$7+(1-$G$7)*$L139/MAX(1,N($G$4)-8))</f>
        <v>1</v>
      </c>
      <c r="P139" s="32" t="str">
        <f>IF(OR($A139="",N($C139)&lt;=7),"",$G$6*$G$9^($M139-1)*IF(AND(MOD($M139,Reference!$B$99)=0,$M139&lt;=$G$5-2),Reference!$B$100,1))</f>
        <v/>
      </c>
      <c r="Q139" s="32" t="str">
        <f>IF($P139="","",IF(SUM($AK$134:$AK$140)=0,0,$P139*INDEX(Reference!$B$108:$B$114,$N139+1)/SUM($AK$134:$AK$140)))</f>
        <v/>
      </c>
      <c r="R139" s="32">
        <f t="shared" ref="R139:R170" si="91">ROUND((60+($D$11-60)*MIN(1,$O139/0.75))/15,0)*15</f>
        <v>180</v>
      </c>
      <c r="S139" s="32">
        <f t="shared" ref="S139:S170" si="92">ROUND((60+($R139-60)*0.8)/15,0)*15</f>
        <v>150</v>
      </c>
      <c r="T139" s="32" t="str">
        <f>IF($A139="","",IF($C139=0,"Bullpen",IF(OR($C139=7,$C139=1,$C139=5),"Recovery/Easy Catch",IF($C139=6,"Compression/Pulldowns",IF(OR($C139=4,$C139=2),"Long Toss",IF($C139=3,"No Throw",IF($N139=2,"No Throw",IF($N139=6,IF($O139&lt;Reference!$B$104,"No Throw","Recovery/Easy Catch"),IF(OR($N139=0,$N139=4),"Recovery/Easy Catch",IF($N139=1,IF($R139&gt;75,"Long Toss","Recovery/Easy Catch"),IF($N139=3,IF($O139&lt;0.5,IF($S139&gt;75,"Long Toss","Recovery/Easy Catch"),"Compression/Pulldowns"),IF($S139&gt;75,"Long Toss","Recovery/Easy Catch"))))))))))))</f>
        <v/>
      </c>
      <c r="U139" s="32" t="str">
        <f t="shared" ref="U139:U170" si="93">IF($A139="","",IF(N($AO139)&gt;0,$AO139,IF($C139=0,90,IF(OR($C139=7,$C139=1),75,IF($C139=6,90,IF($C139=5,60,IF($C139=4,MIN(150,ROUND(0.75*$D$11/15,0)*15),IF($C139=2,MIN(120,ROUND(0.67*$D$11/15,0)*15),IF($C139=3,"",IF($N139=2,"",IF($N139=6,60,IF($N139=0,IF($O139&lt;0.25,60,75),IF($N139=4,IF($O139&lt;0.5,60,75),IF($N139=1,$R139,IF($N139=3,IF($O139&lt;0.5,$S139,90),$S139)))))))))))))))</f>
        <v/>
      </c>
      <c r="V139" s="32" t="str">
        <f t="shared" ref="V139:V170" si="94">IF($A139="","",IF(N($AQ139)&gt;0,$D$5-$AQ139,IF(N($AP139)&gt;0,$D$5-$AP139,IF($C139=0,10,IF(OR($C139=7,$C139=1),18,IF($C139=6,7,IF($C139=5,20,IF(OR($C139=4,$C139=2),10,IF($C139=3,"",IF($N139=2,"",IF($N139=6,20,IF($N139=0,IF($O139&lt;0.25,20,18),IF($N139=4,IF($O139&lt;0.5,20,18),IF($N139=1,IF($O139&lt;0.25,18,IF($O139&lt;0.5,13,10)),IF($N139=3,IF($O139&lt;0.5,IF($O139&lt;0.25,18,13),7),IF($O139&lt;0.25,18,IF($O139&lt;0.5,12,10)))))))))))))))))</f>
        <v/>
      </c>
      <c r="W139" s="32" t="str">
        <f t="shared" ref="W139:W170" si="95">IF($A139="","",IF(N($AP139)&gt;0,$D$5-$AP139,IF(N($AQ139)&gt;0,$D$5-$AQ139,IF($C139=0,12,IF(OR($C139=7,$C139=1),22,IF($C139=6,9,IF($C139=5,24,IF(OR($C139=4,$C139=2),13,IF($C139=3,"",IF($N139=2,"",IF($N139=6,24,IF($N139=0,IF($O139&lt;0.25,24,22),IF($N139=4,IF($O139&lt;0.5,24,22),IF($N139=1,IF($O139&lt;0.25,22,IF($O139&lt;0.5,16,12)),IF($N139=3,IF($O139&lt;0.5,IF($O139&lt;0.25,22,16),9),IF($O139&lt;0.25,22,IF($O139&lt;0.5,15,13)))))))))))))))))</f>
        <v/>
      </c>
      <c r="X139" s="32">
        <f t="shared" ref="X139:X170" si="96">IF($A139="",0,IF($C139=6,ROUND(25*$G$10,0),IF(OR($C139=4,$C139=2),ROUND(15*$G$10,0),IF($C139&lt;=7,0,IF($N139=1,IF($O139&lt;0.2,0,IF($O139&lt;0.5,10,15)),IF($N139=3,IF($O139&lt;0.5,IF($O139&lt;0.2,0,10),IF($O139&lt;0.62,15,IF($O139&lt;0.8,20,25))),IF($N139=5,IF($O139&lt;0.2,0,IF($O139&lt;0.62,12,IF($O139&lt;0.8,20,25))),0)))))))</f>
        <v>0</v>
      </c>
      <c r="Y139" s="32" t="str">
        <f t="shared" ref="Y139:Y170" si="97">IF($X139=0,"",IF($C139=6,$D$5-$E$9,IF(OR($C139=4,$C139=2),8,IF($N139=1,IF($O139&lt;0.5,14,10),IF($N139=3,IF($O139&lt;0.5,14,IF($O139&lt;0.62,10,7)),IF($N139=5,IF($O139&lt;0.5,14,IF($O139&lt;0.62,12,7)),""))))))</f>
        <v/>
      </c>
      <c r="Z139" s="32" t="str">
        <f t="shared" ref="Z139:Z170" si="98">IF($X139=0,"",IF($C139=6,$D$5-$D$9,IF(OR($C139=4,$C139=2),10,IF($N139=1,IF($O139&lt;0.5,18,12),IF($N139=3,IF($O139&lt;0.5,18,IF($O139&lt;0.62,12,9)),IF($N139=5,IF($O139&lt;0.5,18,IF($O139&lt;0.62,15,9)),""))))))</f>
        <v/>
      </c>
      <c r="AA139" s="32" t="str">
        <f t="shared" ref="AA139:AA170" si="99">IF($A139="","",IF($C139=0,25,IF(OR($C139=7,$C139=1,$C139=5),30,IF($C139=6,25,IF(OR($C139=4,$C139=2),IF($AM139=0,30,30*$AN139/$AM139),"")))))</f>
        <v/>
      </c>
      <c r="AB139" s="32" t="str">
        <f>IF($A139="","",IF($T139="No Throw",0,IF($K139&lt;&gt;"",$K139,IF($AA139&lt;&gt;"",ROUND($AA139*$D$12*IF($C139=0,1,$G$10),0),MIN(IF($T139="Recovery/Easy Catch",Reference!$B$103,IF($T139="Long Toss",Reference!$B$106,Reference!$B$102)),MAX(Reference!$B$101,ROUND(MAX(0,$Q139-$AE139)/$AF139,0)))))))</f>
        <v/>
      </c>
      <c r="AC139" s="32">
        <f t="shared" ref="AC139:AC170" si="100">IF($A139="",0,IF($C139=0,$D$8,0))</f>
        <v>0</v>
      </c>
      <c r="AD139" s="32" t="b">
        <f t="shared" ref="AD139:AD170" si="101">IF($A139="",TRUE(),OR($J139="x",$T139="No Throw"))</f>
        <v>1</v>
      </c>
      <c r="AE139" s="32">
        <f>IF($X139=0,0,$X139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139+$Z139)/2,0),Reference!$A$17:$B$20,2,TRUE()))</f>
        <v>0</v>
      </c>
      <c r="AF139" s="32">
        <f>IF(OR($A139="",$U139="",$T139="No Throw"),0,$AM139*VLOOKUP(MAX(($V139+$W139)/2,0),Reference!$A$17:$B$20,2,TRUE()))</f>
        <v>0</v>
      </c>
      <c r="AG139" s="32">
        <f>IF($AC139=0,0,$AC139*INDEX(Reference!$B$61:$B$62,MATCH("Bullpen",Reference!$A$61:$A$62,0))*VLOOKUP(MAX($D$5-($D$9+$E$9)/2,0),Reference!$A$17:$B$20,2,TRUE()))</f>
        <v>0</v>
      </c>
      <c r="AH139" s="32" t="e">
        <f t="shared" ref="AH139:AH170" si="102">IF(OR($A139="",$L139&lt;27),NA(),$I139)</f>
        <v>#N/A</v>
      </c>
      <c r="AI139" s="32" t="e">
        <f>IF($A139="",NA(),Reference!$A$25)</f>
        <v>#N/A</v>
      </c>
      <c r="AJ139" s="32" t="e">
        <f t="shared" ref="AJ139:AJ170" si="103">IF($A139="",NA(),1.3)</f>
        <v>#N/A</v>
      </c>
      <c r="AK139" s="32">
        <f>IF(OR($A139="",N($C139)&lt;=7,$T139="No Throw",$J139="x"),0,INDEX(Reference!$B$108:$B$114,$N139+1))</f>
        <v>0</v>
      </c>
      <c r="AL139" s="32">
        <f t="shared" ref="AL139:AL170" si="104">IF($U139="",1,IF(AND($T139="Long Toss",N($U139)&gt;90),1+ROUNDUP(($U139-90)/30,0),1))</f>
        <v>1</v>
      </c>
      <c r="AM139" s="32">
        <f>IF($U139="",0,IF($AL139&gt;1,((IF(1&lt;=$AL139,($AL139-1+3)*(INDEX(Reference!$B$6:$B$11,MIN(5,MATCH(MAX(Reference!$A$6,MIN(Reference!$A$11,MIN($U139,90))),Reference!$A$6:$A$11,1)))+(MAX(Reference!$A$6,MIN(Reference!$A$11,MIN($U139,90)))-INDEX(Reference!$A$6:$A$11,MIN(5,MATCH(MAX(Reference!$A$6,MIN(Reference!$A$11,MIN($U139,90))),Reference!$A$6:$A$11,1))))*(INDEX(Reference!$B$6:$B$11,MIN(5,MATCH(MAX(Reference!$A$6,MIN(Reference!$A$11,MIN($U139,90))),Reference!$A$6:$A$11,1))+1)-INDEX(Reference!$B$6:$B$11,MIN(5,MATCH(MAX(Reference!$A$6,MIN(Reference!$A$11,MIN($U139,90))),Reference!$A$6:$A$11,1))))/(INDEX(Reference!$A$6:$A$11,MIN(5,MATCH(MAX(Reference!$A$6,MIN(Reference!$A$11,MIN($U139,90))),Reference!$A$6:$A$11,1))+1)-INDEX(Reference!$A$6:$A$11,MIN(5,MATCH(MAX(Reference!$A$6,MIN(Reference!$A$11,MIN($U139,90))),Reference!$A$6:$A$11,1))))),0)+IF(2&lt;=$AL139,($AL139-2+3)*(INDEX(Reference!$B$6:$B$11,MIN(5,MATCH(MAX(Reference!$A$6,MIN(Reference!$A$11,MIN($U139,120))),Reference!$A$6:$A$11,1)))+(MAX(Reference!$A$6,MIN(Reference!$A$11,MIN($U139,120)))-INDEX(Reference!$A$6:$A$11,MIN(5,MATCH(MAX(Reference!$A$6,MIN(Reference!$A$11,MIN($U139,120))),Reference!$A$6:$A$11,1))))*(INDEX(Reference!$B$6:$B$11,MIN(5,MATCH(MAX(Reference!$A$6,MIN(Reference!$A$11,MIN($U139,120))),Reference!$A$6:$A$11,1))+1)-INDEX(Reference!$B$6:$B$11,MIN(5,MATCH(MAX(Reference!$A$6,MIN(Reference!$A$11,MIN($U139,120))),Reference!$A$6:$A$11,1))))/(INDEX(Reference!$A$6:$A$11,MIN(5,MATCH(MAX(Reference!$A$6,MIN(Reference!$A$11,MIN($U139,120))),Reference!$A$6:$A$11,1))+1)-INDEX(Reference!$A$6:$A$11,MIN(5,MATCH(MAX(Reference!$A$6,MIN(Reference!$A$11,MIN($U139,120))),Reference!$A$6:$A$11,1))))),0)+IF(3&lt;=$AL139,($AL139-3+3)*(INDEX(Reference!$B$6:$B$11,MIN(5,MATCH(MAX(Reference!$A$6,MIN(Reference!$A$11,MIN($U139,150))),Reference!$A$6:$A$11,1)))+(MAX(Reference!$A$6,MIN(Reference!$A$11,MIN($U139,150)))-INDEX(Reference!$A$6:$A$11,MIN(5,MATCH(MAX(Reference!$A$6,MIN(Reference!$A$11,MIN($U139,150))),Reference!$A$6:$A$11,1))))*(INDEX(Reference!$B$6:$B$11,MIN(5,MATCH(MAX(Reference!$A$6,MIN(Reference!$A$11,MIN($U139,150))),Reference!$A$6:$A$11,1))+1)-INDEX(Reference!$B$6:$B$11,MIN(5,MATCH(MAX(Reference!$A$6,MIN(Reference!$A$11,MIN($U139,150))),Reference!$A$6:$A$11,1))))/(INDEX(Reference!$A$6:$A$11,MIN(5,MATCH(MAX(Reference!$A$6,MIN(Reference!$A$11,MIN($U139,150))),Reference!$A$6:$A$11,1))+1)-INDEX(Reference!$A$6:$A$11,MIN(5,MATCH(MAX(Reference!$A$6,MIN(Reference!$A$11,MIN($U139,150))),Reference!$A$6:$A$11,1))))),0)+IF(4&lt;=$AL139,($AL139-4+3)*(INDEX(Reference!$B$6:$B$11,MIN(5,MATCH(MAX(Reference!$A$6,MIN(Reference!$A$11,MIN($U139,180))),Reference!$A$6:$A$11,1)))+(MAX(Reference!$A$6,MIN(Reference!$A$11,MIN($U139,180)))-INDEX(Reference!$A$6:$A$11,MIN(5,MATCH(MAX(Reference!$A$6,MIN(Reference!$A$11,MIN($U139,180))),Reference!$A$6:$A$11,1))))*(INDEX(Reference!$B$6:$B$11,MIN(5,MATCH(MAX(Reference!$A$6,MIN(Reference!$A$11,MIN($U139,180))),Reference!$A$6:$A$11,1))+1)-INDEX(Reference!$B$6:$B$11,MIN(5,MATCH(MAX(Reference!$A$6,MIN(Reference!$A$11,MIN($U139,180))),Reference!$A$6:$A$11,1))))/(INDEX(Reference!$A$6:$A$11,MIN(5,MATCH(MAX(Reference!$A$6,MIN(Reference!$A$11,MIN($U139,180))),Reference!$A$6:$A$11,1))+1)-INDEX(Reference!$A$6:$A$11,MIN(5,MATCH(MAX(Reference!$A$6,MIN(Reference!$A$11,MIN($U139,180))),Reference!$A$6:$A$11,1))))),0)+IF(5&lt;=$AL139,($AL139-5+3)*(INDEX(Reference!$B$6:$B$11,MIN(5,MATCH(MAX(Reference!$A$6,MIN(Reference!$A$11,MIN($U139,210))),Reference!$A$6:$A$11,1)))+(MAX(Reference!$A$6,MIN(Reference!$A$11,MIN($U139,210)))-INDEX(Reference!$A$6:$A$11,MIN(5,MATCH(MAX(Reference!$A$6,MIN(Reference!$A$11,MIN($U139,210))),Reference!$A$6:$A$11,1))))*(INDEX(Reference!$B$6:$B$11,MIN(5,MATCH(MAX(Reference!$A$6,MIN(Reference!$A$11,MIN($U139,210))),Reference!$A$6:$A$11,1))+1)-INDEX(Reference!$B$6:$B$11,MIN(5,MATCH(MAX(Reference!$A$6,MIN(Reference!$A$11,MIN($U139,210))),Reference!$A$6:$A$11,1))))/(INDEX(Reference!$A$6:$A$11,MIN(5,MATCH(MAX(Reference!$A$6,MIN(Reference!$A$11,MIN($U139,210))),Reference!$A$6:$A$11,1))+1)-INDEX(Reference!$A$6:$A$11,MIN(5,MATCH(MAX(Reference!$A$6,MIN(Reference!$A$11,MIN($U139,210))),Reference!$A$6:$A$11,1))))),0)+IF(6&lt;=$AL139,($AL139-6+3)*(INDEX(Reference!$B$6:$B$11,MIN(5,MATCH(MAX(Reference!$A$6,MIN(Reference!$A$11,MIN($U139,240))),Reference!$A$6:$A$11,1)))+(MAX(Reference!$A$6,MIN(Reference!$A$11,MIN($U139,240)))-INDEX(Reference!$A$6:$A$11,MIN(5,MATCH(MAX(Reference!$A$6,MIN(Reference!$A$11,MIN($U139,240))),Reference!$A$6:$A$11,1))))*(INDEX(Reference!$B$6:$B$11,MIN(5,MATCH(MAX(Reference!$A$6,MIN(Reference!$A$11,MIN($U139,240))),Reference!$A$6:$A$11,1))+1)-INDEX(Reference!$B$6:$B$11,MIN(5,MATCH(MAX(Reference!$A$6,MIN(Reference!$A$11,MIN($U139,240))),Reference!$A$6:$A$11,1))))/(INDEX(Reference!$A$6:$A$11,MIN(5,MATCH(MAX(Reference!$A$6,MIN(Reference!$A$11,MIN($U139,240))),Reference!$A$6:$A$11,1))+1)-INDEX(Reference!$A$6:$A$11,MIN(5,MATCH(MAX(Reference!$A$6,MIN(Reference!$A$11,MIN($U139,240))),Reference!$A$6:$A$11,1))))),0)+IF(7&lt;=$AL139,($AL139-7+3)*(INDEX(Reference!$B$6:$B$11,MIN(5,MATCH(MAX(Reference!$A$6,MIN(Reference!$A$11,MIN($U139,270))),Reference!$A$6:$A$11,1)))+(MAX(Reference!$A$6,MIN(Reference!$A$11,MIN($U139,270)))-INDEX(Reference!$A$6:$A$11,MIN(5,MATCH(MAX(Reference!$A$6,MIN(Reference!$A$11,MIN($U139,270))),Reference!$A$6:$A$11,1))))*(INDEX(Reference!$B$6:$B$11,MIN(5,MATCH(MAX(Reference!$A$6,MIN(Reference!$A$11,MIN($U139,270))),Reference!$A$6:$A$11,1))+1)-INDEX(Reference!$B$6:$B$11,MIN(5,MATCH(MAX(Reference!$A$6,MIN(Reference!$A$11,MIN($U139,270))),Reference!$A$6:$A$11,1))))/(INDEX(Reference!$A$6:$A$11,MIN(5,MATCH(MAX(Reference!$A$6,MIN(Reference!$A$11,MIN($U139,270))),Reference!$A$6:$A$11,1))+1)-INDEX(Reference!$A$6:$A$11,MIN(5,MATCH(MAX(Reference!$A$6,MIN(Reference!$A$11,MIN($U139,270))),Reference!$A$6:$A$11,1))))),0)+IF(8&lt;=$AL139,($AL139-8+3)*(INDEX(Reference!$B$6:$B$11,MIN(5,MATCH(MAX(Reference!$A$6,MIN(Reference!$A$11,MIN($U139,300))),Reference!$A$6:$A$11,1)))+(MAX(Reference!$A$6,MIN(Reference!$A$11,MIN($U139,300)))-INDEX(Reference!$A$6:$A$11,MIN(5,MATCH(MAX(Reference!$A$6,MIN(Reference!$A$11,MIN($U139,300))),Reference!$A$6:$A$11,1))))*(INDEX(Reference!$B$6:$B$11,MIN(5,MATCH(MAX(Reference!$A$6,MIN(Reference!$A$11,MIN($U139,300))),Reference!$A$6:$A$11,1))+1)-INDEX(Reference!$B$6:$B$11,MIN(5,MATCH(MAX(Reference!$A$6,MIN(Reference!$A$11,MIN($U139,300))),Reference!$A$6:$A$11,1))))/(INDEX(Reference!$A$6:$A$11,MIN(5,MATCH(MAX(Reference!$A$6,MIN(Reference!$A$11,MIN($U139,300))),Reference!$A$6:$A$11,1))+1)-INDEX(Reference!$A$6:$A$11,MIN(5,MATCH(MAX(Reference!$A$6,MIN(Reference!$A$11,MIN($U139,300))),Reference!$A$6:$A$11,1))))),0))/($AL139*($AL139+5)/2)),$AN139))</f>
        <v>0</v>
      </c>
      <c r="AN139" s="32">
        <f>IF($U139="",0,(INDEX(Reference!$B$6:$B$11,MIN(5,MATCH(MAX(Reference!$A$6,MIN(Reference!$A$11,$U139)),Reference!$A$6:$A$11,1)))+(MAX(Reference!$A$6,MIN(Reference!$A$11,$U139))-INDEX(Reference!$A$6:$A$11,MIN(5,MATCH(MAX(Reference!$A$6,MIN(Reference!$A$11,$U139)),Reference!$A$6:$A$11,1))))*(INDEX(Reference!$B$6:$B$11,MIN(5,MATCH(MAX(Reference!$A$6,MIN(Reference!$A$11,$U139)),Reference!$A$6:$A$11,1))+1)-INDEX(Reference!$B$6:$B$11,MIN(5,MATCH(MAX(Reference!$A$6,MIN(Reference!$A$11,$U139)),Reference!$A$6:$A$11,1))))/(INDEX(Reference!$A$6:$A$11,MIN(5,MATCH(MAX(Reference!$A$6,MIN(Reference!$A$11,$U139)),Reference!$A$6:$A$11,1))+1)-INDEX(Reference!$A$6:$A$11,MIN(5,MATCH(MAX(Reference!$A$6,MIN(Reference!$A$11,$U139)),Reference!$A$6:$A$11,1))))))</f>
        <v>0</v>
      </c>
      <c r="AO139" s="37"/>
      <c r="AP139" s="37"/>
      <c r="AQ139" s="37"/>
    </row>
    <row r="140" spans="1:43" x14ac:dyDescent="0.3">
      <c r="A140" s="48" t="str">
        <f t="shared" si="80"/>
        <v/>
      </c>
      <c r="B140" s="32" t="str">
        <f t="shared" si="81"/>
        <v/>
      </c>
      <c r="C140" s="32" t="str">
        <f t="shared" si="82"/>
        <v/>
      </c>
      <c r="D140" s="32" t="str">
        <f t="shared" si="83"/>
        <v/>
      </c>
      <c r="E140" s="32" t="str">
        <f t="shared" si="84"/>
        <v/>
      </c>
      <c r="F140" s="32" t="str">
        <f t="shared" si="85"/>
        <v/>
      </c>
      <c r="G140" s="47" t="str">
        <f t="shared" si="86"/>
        <v/>
      </c>
      <c r="H140" s="30" t="str">
        <f t="shared" si="87"/>
        <v/>
      </c>
      <c r="I140" s="46" t="str">
        <f>IF($A140="","",IF(AND($L140&lt;27,$K$12=0),"Building",IFERROR(((SUM($H$134:$H140)+$K$12*IF($L140&lt;6,SUMIFS('Throw Log'!$Q$5:$Q$300,'Throw Log'!$B$5:$B$300,$D$4,'Throw Log'!$A$5:$A$300,"&gt;="&amp;($D$6+$L140-6),'Throw Log'!$A$5:$A$300,"&lt;="&amp;($D$6-1)),0))/7)/((SUM($H$113:$H140)+$K$12*IF($L140&lt;27,SUMIFS('Throw Log'!$Q$5:$Q$300,'Throw Log'!$B$5:$B$300,$D$4,'Throw Log'!$A$5:$A$300,"&gt;="&amp;($D$6+$L140-27),'Throw Log'!$A$5:$A$300,"&lt;="&amp;($D$6-1)),0))/28),"")))</f>
        <v/>
      </c>
      <c r="J140" s="37"/>
      <c r="K140" s="37"/>
      <c r="L140" s="32">
        <v>97</v>
      </c>
      <c r="M140" s="32">
        <f t="shared" si="88"/>
        <v>14</v>
      </c>
      <c r="N140" s="32">
        <f t="shared" si="89"/>
        <v>6</v>
      </c>
      <c r="O140" s="32">
        <f t="shared" si="90"/>
        <v>1</v>
      </c>
      <c r="P140" s="32" t="str">
        <f>IF(OR($A140="",N($C140)&lt;=7),"",$G$6*$G$9^($M140-1)*IF(AND(MOD($M140,Reference!$B$99)=0,$M140&lt;=$G$5-2),Reference!$B$100,1))</f>
        <v/>
      </c>
      <c r="Q140" s="32" t="str">
        <f>IF($P140="","",IF(SUM($AK$134:$AK$140)=0,0,$P140*INDEX(Reference!$B$108:$B$114,$N140+1)/SUM($AK$134:$AK$140)))</f>
        <v/>
      </c>
      <c r="R140" s="32">
        <f t="shared" si="91"/>
        <v>180</v>
      </c>
      <c r="S140" s="32">
        <f t="shared" si="92"/>
        <v>150</v>
      </c>
      <c r="T140" s="32" t="str">
        <f>IF($A140="","",IF($C140=0,"Bullpen",IF(OR($C140=7,$C140=1,$C140=5),"Recovery/Easy Catch",IF($C140=6,"Compression/Pulldowns",IF(OR($C140=4,$C140=2),"Long Toss",IF($C140=3,"No Throw",IF($N140=2,"No Throw",IF($N140=6,IF($O140&lt;Reference!$B$104,"No Throw","Recovery/Easy Catch"),IF(OR($N140=0,$N140=4),"Recovery/Easy Catch",IF($N140=1,IF($R140&gt;75,"Long Toss","Recovery/Easy Catch"),IF($N140=3,IF($O140&lt;0.5,IF($S140&gt;75,"Long Toss","Recovery/Easy Catch"),"Compression/Pulldowns"),IF($S140&gt;75,"Long Toss","Recovery/Easy Catch"))))))))))))</f>
        <v/>
      </c>
      <c r="U140" s="32" t="str">
        <f t="shared" si="93"/>
        <v/>
      </c>
      <c r="V140" s="32" t="str">
        <f t="shared" si="94"/>
        <v/>
      </c>
      <c r="W140" s="32" t="str">
        <f t="shared" si="95"/>
        <v/>
      </c>
      <c r="X140" s="32">
        <f t="shared" si="96"/>
        <v>0</v>
      </c>
      <c r="Y140" s="32" t="str">
        <f t="shared" si="97"/>
        <v/>
      </c>
      <c r="Z140" s="32" t="str">
        <f t="shared" si="98"/>
        <v/>
      </c>
      <c r="AA140" s="32" t="str">
        <f t="shared" si="99"/>
        <v/>
      </c>
      <c r="AB140" s="32" t="str">
        <f>IF($A140="","",IF($T140="No Throw",0,IF($K140&lt;&gt;"",$K140,IF($AA140&lt;&gt;"",ROUND($AA140*$D$12*IF($C140=0,1,$G$10),0),MIN(IF($T140="Recovery/Easy Catch",Reference!$B$103,IF($T140="Long Toss",Reference!$B$106,Reference!$B$102)),MAX(Reference!$B$101,ROUND(MAX(0,$Q140-$AE140)/$AF140,0)))))))</f>
        <v/>
      </c>
      <c r="AC140" s="32">
        <f t="shared" si="100"/>
        <v>0</v>
      </c>
      <c r="AD140" s="32" t="b">
        <f t="shared" si="101"/>
        <v>1</v>
      </c>
      <c r="AE140" s="32">
        <f>IF($X140=0,0,$X140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140+$Z140)/2,0),Reference!$A$17:$B$20,2,TRUE()))</f>
        <v>0</v>
      </c>
      <c r="AF140" s="32">
        <f>IF(OR($A140="",$U140="",$T140="No Throw"),0,$AM140*VLOOKUP(MAX(($V140+$W140)/2,0),Reference!$A$17:$B$20,2,TRUE()))</f>
        <v>0</v>
      </c>
      <c r="AG140" s="32">
        <f>IF($AC140=0,0,$AC140*INDEX(Reference!$B$61:$B$62,MATCH("Bullpen",Reference!$A$61:$A$62,0))*VLOOKUP(MAX($D$5-($D$9+$E$9)/2,0),Reference!$A$17:$B$20,2,TRUE()))</f>
        <v>0</v>
      </c>
      <c r="AH140" s="32" t="e">
        <f t="shared" si="102"/>
        <v>#N/A</v>
      </c>
      <c r="AI140" s="32" t="e">
        <f>IF($A140="",NA(),Reference!$A$25)</f>
        <v>#N/A</v>
      </c>
      <c r="AJ140" s="32" t="e">
        <f t="shared" si="103"/>
        <v>#N/A</v>
      </c>
      <c r="AK140" s="32">
        <f>IF(OR($A140="",N($C140)&lt;=7,$T140="No Throw",$J140="x"),0,INDEX(Reference!$B$108:$B$114,$N140+1))</f>
        <v>0</v>
      </c>
      <c r="AL140" s="32">
        <f t="shared" si="104"/>
        <v>1</v>
      </c>
      <c r="AM140" s="32">
        <f>IF($U140="",0,IF($AL140&gt;1,((IF(1&lt;=$AL140,($AL140-1+3)*(INDEX(Reference!$B$6:$B$11,MIN(5,MATCH(MAX(Reference!$A$6,MIN(Reference!$A$11,MIN($U140,90))),Reference!$A$6:$A$11,1)))+(MAX(Reference!$A$6,MIN(Reference!$A$11,MIN($U140,90)))-INDEX(Reference!$A$6:$A$11,MIN(5,MATCH(MAX(Reference!$A$6,MIN(Reference!$A$11,MIN($U140,90))),Reference!$A$6:$A$11,1))))*(INDEX(Reference!$B$6:$B$11,MIN(5,MATCH(MAX(Reference!$A$6,MIN(Reference!$A$11,MIN($U140,90))),Reference!$A$6:$A$11,1))+1)-INDEX(Reference!$B$6:$B$11,MIN(5,MATCH(MAX(Reference!$A$6,MIN(Reference!$A$11,MIN($U140,90))),Reference!$A$6:$A$11,1))))/(INDEX(Reference!$A$6:$A$11,MIN(5,MATCH(MAX(Reference!$A$6,MIN(Reference!$A$11,MIN($U140,90))),Reference!$A$6:$A$11,1))+1)-INDEX(Reference!$A$6:$A$11,MIN(5,MATCH(MAX(Reference!$A$6,MIN(Reference!$A$11,MIN($U140,90))),Reference!$A$6:$A$11,1))))),0)+IF(2&lt;=$AL140,($AL140-2+3)*(INDEX(Reference!$B$6:$B$11,MIN(5,MATCH(MAX(Reference!$A$6,MIN(Reference!$A$11,MIN($U140,120))),Reference!$A$6:$A$11,1)))+(MAX(Reference!$A$6,MIN(Reference!$A$11,MIN($U140,120)))-INDEX(Reference!$A$6:$A$11,MIN(5,MATCH(MAX(Reference!$A$6,MIN(Reference!$A$11,MIN($U140,120))),Reference!$A$6:$A$11,1))))*(INDEX(Reference!$B$6:$B$11,MIN(5,MATCH(MAX(Reference!$A$6,MIN(Reference!$A$11,MIN($U140,120))),Reference!$A$6:$A$11,1))+1)-INDEX(Reference!$B$6:$B$11,MIN(5,MATCH(MAX(Reference!$A$6,MIN(Reference!$A$11,MIN($U140,120))),Reference!$A$6:$A$11,1))))/(INDEX(Reference!$A$6:$A$11,MIN(5,MATCH(MAX(Reference!$A$6,MIN(Reference!$A$11,MIN($U140,120))),Reference!$A$6:$A$11,1))+1)-INDEX(Reference!$A$6:$A$11,MIN(5,MATCH(MAX(Reference!$A$6,MIN(Reference!$A$11,MIN($U140,120))),Reference!$A$6:$A$11,1))))),0)+IF(3&lt;=$AL140,($AL140-3+3)*(INDEX(Reference!$B$6:$B$11,MIN(5,MATCH(MAX(Reference!$A$6,MIN(Reference!$A$11,MIN($U140,150))),Reference!$A$6:$A$11,1)))+(MAX(Reference!$A$6,MIN(Reference!$A$11,MIN($U140,150)))-INDEX(Reference!$A$6:$A$11,MIN(5,MATCH(MAX(Reference!$A$6,MIN(Reference!$A$11,MIN($U140,150))),Reference!$A$6:$A$11,1))))*(INDEX(Reference!$B$6:$B$11,MIN(5,MATCH(MAX(Reference!$A$6,MIN(Reference!$A$11,MIN($U140,150))),Reference!$A$6:$A$11,1))+1)-INDEX(Reference!$B$6:$B$11,MIN(5,MATCH(MAX(Reference!$A$6,MIN(Reference!$A$11,MIN($U140,150))),Reference!$A$6:$A$11,1))))/(INDEX(Reference!$A$6:$A$11,MIN(5,MATCH(MAX(Reference!$A$6,MIN(Reference!$A$11,MIN($U140,150))),Reference!$A$6:$A$11,1))+1)-INDEX(Reference!$A$6:$A$11,MIN(5,MATCH(MAX(Reference!$A$6,MIN(Reference!$A$11,MIN($U140,150))),Reference!$A$6:$A$11,1))))),0)+IF(4&lt;=$AL140,($AL140-4+3)*(INDEX(Reference!$B$6:$B$11,MIN(5,MATCH(MAX(Reference!$A$6,MIN(Reference!$A$11,MIN($U140,180))),Reference!$A$6:$A$11,1)))+(MAX(Reference!$A$6,MIN(Reference!$A$11,MIN($U140,180)))-INDEX(Reference!$A$6:$A$11,MIN(5,MATCH(MAX(Reference!$A$6,MIN(Reference!$A$11,MIN($U140,180))),Reference!$A$6:$A$11,1))))*(INDEX(Reference!$B$6:$B$11,MIN(5,MATCH(MAX(Reference!$A$6,MIN(Reference!$A$11,MIN($U140,180))),Reference!$A$6:$A$11,1))+1)-INDEX(Reference!$B$6:$B$11,MIN(5,MATCH(MAX(Reference!$A$6,MIN(Reference!$A$11,MIN($U140,180))),Reference!$A$6:$A$11,1))))/(INDEX(Reference!$A$6:$A$11,MIN(5,MATCH(MAX(Reference!$A$6,MIN(Reference!$A$11,MIN($U140,180))),Reference!$A$6:$A$11,1))+1)-INDEX(Reference!$A$6:$A$11,MIN(5,MATCH(MAX(Reference!$A$6,MIN(Reference!$A$11,MIN($U140,180))),Reference!$A$6:$A$11,1))))),0)+IF(5&lt;=$AL140,($AL140-5+3)*(INDEX(Reference!$B$6:$B$11,MIN(5,MATCH(MAX(Reference!$A$6,MIN(Reference!$A$11,MIN($U140,210))),Reference!$A$6:$A$11,1)))+(MAX(Reference!$A$6,MIN(Reference!$A$11,MIN($U140,210)))-INDEX(Reference!$A$6:$A$11,MIN(5,MATCH(MAX(Reference!$A$6,MIN(Reference!$A$11,MIN($U140,210))),Reference!$A$6:$A$11,1))))*(INDEX(Reference!$B$6:$B$11,MIN(5,MATCH(MAX(Reference!$A$6,MIN(Reference!$A$11,MIN($U140,210))),Reference!$A$6:$A$11,1))+1)-INDEX(Reference!$B$6:$B$11,MIN(5,MATCH(MAX(Reference!$A$6,MIN(Reference!$A$11,MIN($U140,210))),Reference!$A$6:$A$11,1))))/(INDEX(Reference!$A$6:$A$11,MIN(5,MATCH(MAX(Reference!$A$6,MIN(Reference!$A$11,MIN($U140,210))),Reference!$A$6:$A$11,1))+1)-INDEX(Reference!$A$6:$A$11,MIN(5,MATCH(MAX(Reference!$A$6,MIN(Reference!$A$11,MIN($U140,210))),Reference!$A$6:$A$11,1))))),0)+IF(6&lt;=$AL140,($AL140-6+3)*(INDEX(Reference!$B$6:$B$11,MIN(5,MATCH(MAX(Reference!$A$6,MIN(Reference!$A$11,MIN($U140,240))),Reference!$A$6:$A$11,1)))+(MAX(Reference!$A$6,MIN(Reference!$A$11,MIN($U140,240)))-INDEX(Reference!$A$6:$A$11,MIN(5,MATCH(MAX(Reference!$A$6,MIN(Reference!$A$11,MIN($U140,240))),Reference!$A$6:$A$11,1))))*(INDEX(Reference!$B$6:$B$11,MIN(5,MATCH(MAX(Reference!$A$6,MIN(Reference!$A$11,MIN($U140,240))),Reference!$A$6:$A$11,1))+1)-INDEX(Reference!$B$6:$B$11,MIN(5,MATCH(MAX(Reference!$A$6,MIN(Reference!$A$11,MIN($U140,240))),Reference!$A$6:$A$11,1))))/(INDEX(Reference!$A$6:$A$11,MIN(5,MATCH(MAX(Reference!$A$6,MIN(Reference!$A$11,MIN($U140,240))),Reference!$A$6:$A$11,1))+1)-INDEX(Reference!$A$6:$A$11,MIN(5,MATCH(MAX(Reference!$A$6,MIN(Reference!$A$11,MIN($U140,240))),Reference!$A$6:$A$11,1))))),0)+IF(7&lt;=$AL140,($AL140-7+3)*(INDEX(Reference!$B$6:$B$11,MIN(5,MATCH(MAX(Reference!$A$6,MIN(Reference!$A$11,MIN($U140,270))),Reference!$A$6:$A$11,1)))+(MAX(Reference!$A$6,MIN(Reference!$A$11,MIN($U140,270)))-INDEX(Reference!$A$6:$A$11,MIN(5,MATCH(MAX(Reference!$A$6,MIN(Reference!$A$11,MIN($U140,270))),Reference!$A$6:$A$11,1))))*(INDEX(Reference!$B$6:$B$11,MIN(5,MATCH(MAX(Reference!$A$6,MIN(Reference!$A$11,MIN($U140,270))),Reference!$A$6:$A$11,1))+1)-INDEX(Reference!$B$6:$B$11,MIN(5,MATCH(MAX(Reference!$A$6,MIN(Reference!$A$11,MIN($U140,270))),Reference!$A$6:$A$11,1))))/(INDEX(Reference!$A$6:$A$11,MIN(5,MATCH(MAX(Reference!$A$6,MIN(Reference!$A$11,MIN($U140,270))),Reference!$A$6:$A$11,1))+1)-INDEX(Reference!$A$6:$A$11,MIN(5,MATCH(MAX(Reference!$A$6,MIN(Reference!$A$11,MIN($U140,270))),Reference!$A$6:$A$11,1))))),0)+IF(8&lt;=$AL140,($AL140-8+3)*(INDEX(Reference!$B$6:$B$11,MIN(5,MATCH(MAX(Reference!$A$6,MIN(Reference!$A$11,MIN($U140,300))),Reference!$A$6:$A$11,1)))+(MAX(Reference!$A$6,MIN(Reference!$A$11,MIN($U140,300)))-INDEX(Reference!$A$6:$A$11,MIN(5,MATCH(MAX(Reference!$A$6,MIN(Reference!$A$11,MIN($U140,300))),Reference!$A$6:$A$11,1))))*(INDEX(Reference!$B$6:$B$11,MIN(5,MATCH(MAX(Reference!$A$6,MIN(Reference!$A$11,MIN($U140,300))),Reference!$A$6:$A$11,1))+1)-INDEX(Reference!$B$6:$B$11,MIN(5,MATCH(MAX(Reference!$A$6,MIN(Reference!$A$11,MIN($U140,300))),Reference!$A$6:$A$11,1))))/(INDEX(Reference!$A$6:$A$11,MIN(5,MATCH(MAX(Reference!$A$6,MIN(Reference!$A$11,MIN($U140,300))),Reference!$A$6:$A$11,1))+1)-INDEX(Reference!$A$6:$A$11,MIN(5,MATCH(MAX(Reference!$A$6,MIN(Reference!$A$11,MIN($U140,300))),Reference!$A$6:$A$11,1))))),0))/($AL140*($AL140+5)/2)),$AN140))</f>
        <v>0</v>
      </c>
      <c r="AN140" s="32">
        <f>IF($U140="",0,(INDEX(Reference!$B$6:$B$11,MIN(5,MATCH(MAX(Reference!$A$6,MIN(Reference!$A$11,$U140)),Reference!$A$6:$A$11,1)))+(MAX(Reference!$A$6,MIN(Reference!$A$11,$U140))-INDEX(Reference!$A$6:$A$11,MIN(5,MATCH(MAX(Reference!$A$6,MIN(Reference!$A$11,$U140)),Reference!$A$6:$A$11,1))))*(INDEX(Reference!$B$6:$B$11,MIN(5,MATCH(MAX(Reference!$A$6,MIN(Reference!$A$11,$U140)),Reference!$A$6:$A$11,1))+1)-INDEX(Reference!$B$6:$B$11,MIN(5,MATCH(MAX(Reference!$A$6,MIN(Reference!$A$11,$U140)),Reference!$A$6:$A$11,1))))/(INDEX(Reference!$A$6:$A$11,MIN(5,MATCH(MAX(Reference!$A$6,MIN(Reference!$A$11,$U140)),Reference!$A$6:$A$11,1))+1)-INDEX(Reference!$A$6:$A$11,MIN(5,MATCH(MAX(Reference!$A$6,MIN(Reference!$A$11,$U140)),Reference!$A$6:$A$11,1))))))</f>
        <v>0</v>
      </c>
      <c r="AO140" s="37"/>
      <c r="AP140" s="37"/>
      <c r="AQ140" s="37"/>
    </row>
    <row r="141" spans="1:43" x14ac:dyDescent="0.3">
      <c r="A141" s="48" t="str">
        <f t="shared" si="80"/>
        <v/>
      </c>
      <c r="B141" s="32" t="str">
        <f t="shared" si="81"/>
        <v/>
      </c>
      <c r="C141" s="32" t="str">
        <f t="shared" si="82"/>
        <v/>
      </c>
      <c r="D141" s="32" t="str">
        <f t="shared" si="83"/>
        <v/>
      </c>
      <c r="E141" s="32" t="str">
        <f t="shared" si="84"/>
        <v/>
      </c>
      <c r="F141" s="32" t="str">
        <f t="shared" si="85"/>
        <v/>
      </c>
      <c r="G141" s="47" t="str">
        <f t="shared" si="86"/>
        <v/>
      </c>
      <c r="H141" s="30" t="str">
        <f t="shared" si="87"/>
        <v/>
      </c>
      <c r="I141" s="46" t="str">
        <f>IF($A141="","",IF(AND($L141&lt;27,$K$12=0),"Building",IFERROR(((SUM($H$135:$H141)+$K$12*IF($L141&lt;6,SUMIFS('Throw Log'!$Q$5:$Q$300,'Throw Log'!$B$5:$B$300,$D$4,'Throw Log'!$A$5:$A$300,"&gt;="&amp;($D$6+$L141-6),'Throw Log'!$A$5:$A$300,"&lt;="&amp;($D$6-1)),0))/7)/((SUM($H$114:$H141)+$K$12*IF($L141&lt;27,SUMIFS('Throw Log'!$Q$5:$Q$300,'Throw Log'!$B$5:$B$300,$D$4,'Throw Log'!$A$5:$A$300,"&gt;="&amp;($D$6+$L141-27),'Throw Log'!$A$5:$A$300,"&lt;="&amp;($D$6-1)),0))/28),"")))</f>
        <v/>
      </c>
      <c r="J141" s="37"/>
      <c r="K141" s="37"/>
      <c r="L141" s="32">
        <v>98</v>
      </c>
      <c r="M141" s="32">
        <f t="shared" si="88"/>
        <v>15</v>
      </c>
      <c r="N141" s="32">
        <f t="shared" si="89"/>
        <v>0</v>
      </c>
      <c r="O141" s="32">
        <f t="shared" si="90"/>
        <v>1</v>
      </c>
      <c r="P141" s="32" t="str">
        <f>IF(OR($A141="",N($C141)&lt;=7),"",$G$6*$G$9^($M141-1)*IF(AND(MOD($M141,Reference!$B$99)=0,$M141&lt;=$G$5-2),Reference!$B$100,1))</f>
        <v/>
      </c>
      <c r="Q141" s="32" t="str">
        <f>IF($P141="","",IF(SUM($AK$141:$AK$147)=0,0,$P141*INDEX(Reference!$B$108:$B$114,$N141+1)/SUM($AK$141:$AK$147)))</f>
        <v/>
      </c>
      <c r="R141" s="32">
        <f t="shared" si="91"/>
        <v>180</v>
      </c>
      <c r="S141" s="32">
        <f t="shared" si="92"/>
        <v>150</v>
      </c>
      <c r="T141" s="32" t="str">
        <f>IF($A141="","",IF($C141=0,"Bullpen",IF(OR($C141=7,$C141=1,$C141=5),"Recovery/Easy Catch",IF($C141=6,"Compression/Pulldowns",IF(OR($C141=4,$C141=2),"Long Toss",IF($C141=3,"No Throw",IF($N141=2,"No Throw",IF($N141=6,IF($O141&lt;Reference!$B$104,"No Throw","Recovery/Easy Catch"),IF(OR($N141=0,$N141=4),"Recovery/Easy Catch",IF($N141=1,IF($R141&gt;75,"Long Toss","Recovery/Easy Catch"),IF($N141=3,IF($O141&lt;0.5,IF($S141&gt;75,"Long Toss","Recovery/Easy Catch"),"Compression/Pulldowns"),IF($S141&gt;75,"Long Toss","Recovery/Easy Catch"))))))))))))</f>
        <v/>
      </c>
      <c r="U141" s="32" t="str">
        <f t="shared" si="93"/>
        <v/>
      </c>
      <c r="V141" s="32" t="str">
        <f t="shared" si="94"/>
        <v/>
      </c>
      <c r="W141" s="32" t="str">
        <f t="shared" si="95"/>
        <v/>
      </c>
      <c r="X141" s="32">
        <f t="shared" si="96"/>
        <v>0</v>
      </c>
      <c r="Y141" s="32" t="str">
        <f t="shared" si="97"/>
        <v/>
      </c>
      <c r="Z141" s="32" t="str">
        <f t="shared" si="98"/>
        <v/>
      </c>
      <c r="AA141" s="32" t="str">
        <f t="shared" si="99"/>
        <v/>
      </c>
      <c r="AB141" s="32" t="str">
        <f>IF($A141="","",IF($T141="No Throw",0,IF($K141&lt;&gt;"",$K141,IF($AA141&lt;&gt;"",ROUND($AA141*$D$12*IF($C141=0,1,$G$10),0),MIN(IF($T141="Recovery/Easy Catch",Reference!$B$103,IF($T141="Long Toss",Reference!$B$106,Reference!$B$102)),MAX(Reference!$B$101,ROUND(MAX(0,$Q141-$AE141)/$AF141,0)))))))</f>
        <v/>
      </c>
      <c r="AC141" s="32">
        <f t="shared" si="100"/>
        <v>0</v>
      </c>
      <c r="AD141" s="32" t="b">
        <f t="shared" si="101"/>
        <v>1</v>
      </c>
      <c r="AE141" s="32">
        <f>IF($X141=0,0,$X141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141+$Z141)/2,0),Reference!$A$17:$B$20,2,TRUE()))</f>
        <v>0</v>
      </c>
      <c r="AF141" s="32">
        <f>IF(OR($A141="",$U141="",$T141="No Throw"),0,$AM141*VLOOKUP(MAX(($V141+$W141)/2,0),Reference!$A$17:$B$20,2,TRUE()))</f>
        <v>0</v>
      </c>
      <c r="AG141" s="32">
        <f>IF($AC141=0,0,$AC141*INDEX(Reference!$B$61:$B$62,MATCH("Bullpen",Reference!$A$61:$A$62,0))*VLOOKUP(MAX($D$5-($D$9+$E$9)/2,0),Reference!$A$17:$B$20,2,TRUE()))</f>
        <v>0</v>
      </c>
      <c r="AH141" s="32" t="e">
        <f t="shared" si="102"/>
        <v>#N/A</v>
      </c>
      <c r="AI141" s="32" t="e">
        <f>IF($A141="",NA(),Reference!$A$25)</f>
        <v>#N/A</v>
      </c>
      <c r="AJ141" s="32" t="e">
        <f t="shared" si="103"/>
        <v>#N/A</v>
      </c>
      <c r="AK141" s="32">
        <f>IF(OR($A141="",N($C141)&lt;=7,$T141="No Throw",$J141="x"),0,INDEX(Reference!$B$108:$B$114,$N141+1))</f>
        <v>0</v>
      </c>
      <c r="AL141" s="32">
        <f t="shared" si="104"/>
        <v>1</v>
      </c>
      <c r="AM141" s="32">
        <f>IF($U141="",0,IF($AL141&gt;1,((IF(1&lt;=$AL141,($AL141-1+3)*(INDEX(Reference!$B$6:$B$11,MIN(5,MATCH(MAX(Reference!$A$6,MIN(Reference!$A$11,MIN($U141,90))),Reference!$A$6:$A$11,1)))+(MAX(Reference!$A$6,MIN(Reference!$A$11,MIN($U141,90)))-INDEX(Reference!$A$6:$A$11,MIN(5,MATCH(MAX(Reference!$A$6,MIN(Reference!$A$11,MIN($U141,90))),Reference!$A$6:$A$11,1))))*(INDEX(Reference!$B$6:$B$11,MIN(5,MATCH(MAX(Reference!$A$6,MIN(Reference!$A$11,MIN($U141,90))),Reference!$A$6:$A$11,1))+1)-INDEX(Reference!$B$6:$B$11,MIN(5,MATCH(MAX(Reference!$A$6,MIN(Reference!$A$11,MIN($U141,90))),Reference!$A$6:$A$11,1))))/(INDEX(Reference!$A$6:$A$11,MIN(5,MATCH(MAX(Reference!$A$6,MIN(Reference!$A$11,MIN($U141,90))),Reference!$A$6:$A$11,1))+1)-INDEX(Reference!$A$6:$A$11,MIN(5,MATCH(MAX(Reference!$A$6,MIN(Reference!$A$11,MIN($U141,90))),Reference!$A$6:$A$11,1))))),0)+IF(2&lt;=$AL141,($AL141-2+3)*(INDEX(Reference!$B$6:$B$11,MIN(5,MATCH(MAX(Reference!$A$6,MIN(Reference!$A$11,MIN($U141,120))),Reference!$A$6:$A$11,1)))+(MAX(Reference!$A$6,MIN(Reference!$A$11,MIN($U141,120)))-INDEX(Reference!$A$6:$A$11,MIN(5,MATCH(MAX(Reference!$A$6,MIN(Reference!$A$11,MIN($U141,120))),Reference!$A$6:$A$11,1))))*(INDEX(Reference!$B$6:$B$11,MIN(5,MATCH(MAX(Reference!$A$6,MIN(Reference!$A$11,MIN($U141,120))),Reference!$A$6:$A$11,1))+1)-INDEX(Reference!$B$6:$B$11,MIN(5,MATCH(MAX(Reference!$A$6,MIN(Reference!$A$11,MIN($U141,120))),Reference!$A$6:$A$11,1))))/(INDEX(Reference!$A$6:$A$11,MIN(5,MATCH(MAX(Reference!$A$6,MIN(Reference!$A$11,MIN($U141,120))),Reference!$A$6:$A$11,1))+1)-INDEX(Reference!$A$6:$A$11,MIN(5,MATCH(MAX(Reference!$A$6,MIN(Reference!$A$11,MIN($U141,120))),Reference!$A$6:$A$11,1))))),0)+IF(3&lt;=$AL141,($AL141-3+3)*(INDEX(Reference!$B$6:$B$11,MIN(5,MATCH(MAX(Reference!$A$6,MIN(Reference!$A$11,MIN($U141,150))),Reference!$A$6:$A$11,1)))+(MAX(Reference!$A$6,MIN(Reference!$A$11,MIN($U141,150)))-INDEX(Reference!$A$6:$A$11,MIN(5,MATCH(MAX(Reference!$A$6,MIN(Reference!$A$11,MIN($U141,150))),Reference!$A$6:$A$11,1))))*(INDEX(Reference!$B$6:$B$11,MIN(5,MATCH(MAX(Reference!$A$6,MIN(Reference!$A$11,MIN($U141,150))),Reference!$A$6:$A$11,1))+1)-INDEX(Reference!$B$6:$B$11,MIN(5,MATCH(MAX(Reference!$A$6,MIN(Reference!$A$11,MIN($U141,150))),Reference!$A$6:$A$11,1))))/(INDEX(Reference!$A$6:$A$11,MIN(5,MATCH(MAX(Reference!$A$6,MIN(Reference!$A$11,MIN($U141,150))),Reference!$A$6:$A$11,1))+1)-INDEX(Reference!$A$6:$A$11,MIN(5,MATCH(MAX(Reference!$A$6,MIN(Reference!$A$11,MIN($U141,150))),Reference!$A$6:$A$11,1))))),0)+IF(4&lt;=$AL141,($AL141-4+3)*(INDEX(Reference!$B$6:$B$11,MIN(5,MATCH(MAX(Reference!$A$6,MIN(Reference!$A$11,MIN($U141,180))),Reference!$A$6:$A$11,1)))+(MAX(Reference!$A$6,MIN(Reference!$A$11,MIN($U141,180)))-INDEX(Reference!$A$6:$A$11,MIN(5,MATCH(MAX(Reference!$A$6,MIN(Reference!$A$11,MIN($U141,180))),Reference!$A$6:$A$11,1))))*(INDEX(Reference!$B$6:$B$11,MIN(5,MATCH(MAX(Reference!$A$6,MIN(Reference!$A$11,MIN($U141,180))),Reference!$A$6:$A$11,1))+1)-INDEX(Reference!$B$6:$B$11,MIN(5,MATCH(MAX(Reference!$A$6,MIN(Reference!$A$11,MIN($U141,180))),Reference!$A$6:$A$11,1))))/(INDEX(Reference!$A$6:$A$11,MIN(5,MATCH(MAX(Reference!$A$6,MIN(Reference!$A$11,MIN($U141,180))),Reference!$A$6:$A$11,1))+1)-INDEX(Reference!$A$6:$A$11,MIN(5,MATCH(MAX(Reference!$A$6,MIN(Reference!$A$11,MIN($U141,180))),Reference!$A$6:$A$11,1))))),0)+IF(5&lt;=$AL141,($AL141-5+3)*(INDEX(Reference!$B$6:$B$11,MIN(5,MATCH(MAX(Reference!$A$6,MIN(Reference!$A$11,MIN($U141,210))),Reference!$A$6:$A$11,1)))+(MAX(Reference!$A$6,MIN(Reference!$A$11,MIN($U141,210)))-INDEX(Reference!$A$6:$A$11,MIN(5,MATCH(MAX(Reference!$A$6,MIN(Reference!$A$11,MIN($U141,210))),Reference!$A$6:$A$11,1))))*(INDEX(Reference!$B$6:$B$11,MIN(5,MATCH(MAX(Reference!$A$6,MIN(Reference!$A$11,MIN($U141,210))),Reference!$A$6:$A$11,1))+1)-INDEX(Reference!$B$6:$B$11,MIN(5,MATCH(MAX(Reference!$A$6,MIN(Reference!$A$11,MIN($U141,210))),Reference!$A$6:$A$11,1))))/(INDEX(Reference!$A$6:$A$11,MIN(5,MATCH(MAX(Reference!$A$6,MIN(Reference!$A$11,MIN($U141,210))),Reference!$A$6:$A$11,1))+1)-INDEX(Reference!$A$6:$A$11,MIN(5,MATCH(MAX(Reference!$A$6,MIN(Reference!$A$11,MIN($U141,210))),Reference!$A$6:$A$11,1))))),0)+IF(6&lt;=$AL141,($AL141-6+3)*(INDEX(Reference!$B$6:$B$11,MIN(5,MATCH(MAX(Reference!$A$6,MIN(Reference!$A$11,MIN($U141,240))),Reference!$A$6:$A$11,1)))+(MAX(Reference!$A$6,MIN(Reference!$A$11,MIN($U141,240)))-INDEX(Reference!$A$6:$A$11,MIN(5,MATCH(MAX(Reference!$A$6,MIN(Reference!$A$11,MIN($U141,240))),Reference!$A$6:$A$11,1))))*(INDEX(Reference!$B$6:$B$11,MIN(5,MATCH(MAX(Reference!$A$6,MIN(Reference!$A$11,MIN($U141,240))),Reference!$A$6:$A$11,1))+1)-INDEX(Reference!$B$6:$B$11,MIN(5,MATCH(MAX(Reference!$A$6,MIN(Reference!$A$11,MIN($U141,240))),Reference!$A$6:$A$11,1))))/(INDEX(Reference!$A$6:$A$11,MIN(5,MATCH(MAX(Reference!$A$6,MIN(Reference!$A$11,MIN($U141,240))),Reference!$A$6:$A$11,1))+1)-INDEX(Reference!$A$6:$A$11,MIN(5,MATCH(MAX(Reference!$A$6,MIN(Reference!$A$11,MIN($U141,240))),Reference!$A$6:$A$11,1))))),0)+IF(7&lt;=$AL141,($AL141-7+3)*(INDEX(Reference!$B$6:$B$11,MIN(5,MATCH(MAX(Reference!$A$6,MIN(Reference!$A$11,MIN($U141,270))),Reference!$A$6:$A$11,1)))+(MAX(Reference!$A$6,MIN(Reference!$A$11,MIN($U141,270)))-INDEX(Reference!$A$6:$A$11,MIN(5,MATCH(MAX(Reference!$A$6,MIN(Reference!$A$11,MIN($U141,270))),Reference!$A$6:$A$11,1))))*(INDEX(Reference!$B$6:$B$11,MIN(5,MATCH(MAX(Reference!$A$6,MIN(Reference!$A$11,MIN($U141,270))),Reference!$A$6:$A$11,1))+1)-INDEX(Reference!$B$6:$B$11,MIN(5,MATCH(MAX(Reference!$A$6,MIN(Reference!$A$11,MIN($U141,270))),Reference!$A$6:$A$11,1))))/(INDEX(Reference!$A$6:$A$11,MIN(5,MATCH(MAX(Reference!$A$6,MIN(Reference!$A$11,MIN($U141,270))),Reference!$A$6:$A$11,1))+1)-INDEX(Reference!$A$6:$A$11,MIN(5,MATCH(MAX(Reference!$A$6,MIN(Reference!$A$11,MIN($U141,270))),Reference!$A$6:$A$11,1))))),0)+IF(8&lt;=$AL141,($AL141-8+3)*(INDEX(Reference!$B$6:$B$11,MIN(5,MATCH(MAX(Reference!$A$6,MIN(Reference!$A$11,MIN($U141,300))),Reference!$A$6:$A$11,1)))+(MAX(Reference!$A$6,MIN(Reference!$A$11,MIN($U141,300)))-INDEX(Reference!$A$6:$A$11,MIN(5,MATCH(MAX(Reference!$A$6,MIN(Reference!$A$11,MIN($U141,300))),Reference!$A$6:$A$11,1))))*(INDEX(Reference!$B$6:$B$11,MIN(5,MATCH(MAX(Reference!$A$6,MIN(Reference!$A$11,MIN($U141,300))),Reference!$A$6:$A$11,1))+1)-INDEX(Reference!$B$6:$B$11,MIN(5,MATCH(MAX(Reference!$A$6,MIN(Reference!$A$11,MIN($U141,300))),Reference!$A$6:$A$11,1))))/(INDEX(Reference!$A$6:$A$11,MIN(5,MATCH(MAX(Reference!$A$6,MIN(Reference!$A$11,MIN($U141,300))),Reference!$A$6:$A$11,1))+1)-INDEX(Reference!$A$6:$A$11,MIN(5,MATCH(MAX(Reference!$A$6,MIN(Reference!$A$11,MIN($U141,300))),Reference!$A$6:$A$11,1))))),0))/($AL141*($AL141+5)/2)),$AN141))</f>
        <v>0</v>
      </c>
      <c r="AN141" s="32">
        <f>IF($U141="",0,(INDEX(Reference!$B$6:$B$11,MIN(5,MATCH(MAX(Reference!$A$6,MIN(Reference!$A$11,$U141)),Reference!$A$6:$A$11,1)))+(MAX(Reference!$A$6,MIN(Reference!$A$11,$U141))-INDEX(Reference!$A$6:$A$11,MIN(5,MATCH(MAX(Reference!$A$6,MIN(Reference!$A$11,$U141)),Reference!$A$6:$A$11,1))))*(INDEX(Reference!$B$6:$B$11,MIN(5,MATCH(MAX(Reference!$A$6,MIN(Reference!$A$11,$U141)),Reference!$A$6:$A$11,1))+1)-INDEX(Reference!$B$6:$B$11,MIN(5,MATCH(MAX(Reference!$A$6,MIN(Reference!$A$11,$U141)),Reference!$A$6:$A$11,1))))/(INDEX(Reference!$A$6:$A$11,MIN(5,MATCH(MAX(Reference!$A$6,MIN(Reference!$A$11,$U141)),Reference!$A$6:$A$11,1))+1)-INDEX(Reference!$A$6:$A$11,MIN(5,MATCH(MAX(Reference!$A$6,MIN(Reference!$A$11,$U141)),Reference!$A$6:$A$11,1))))))</f>
        <v>0</v>
      </c>
      <c r="AO141" s="37"/>
      <c r="AP141" s="37"/>
      <c r="AQ141" s="37"/>
    </row>
    <row r="142" spans="1:43" x14ac:dyDescent="0.3">
      <c r="A142" s="48" t="str">
        <f t="shared" si="80"/>
        <v/>
      </c>
      <c r="B142" s="32" t="str">
        <f t="shared" si="81"/>
        <v/>
      </c>
      <c r="C142" s="32" t="str">
        <f t="shared" si="82"/>
        <v/>
      </c>
      <c r="D142" s="32" t="str">
        <f t="shared" si="83"/>
        <v/>
      </c>
      <c r="E142" s="32" t="str">
        <f t="shared" si="84"/>
        <v/>
      </c>
      <c r="F142" s="32" t="str">
        <f t="shared" si="85"/>
        <v/>
      </c>
      <c r="G142" s="47" t="str">
        <f t="shared" si="86"/>
        <v/>
      </c>
      <c r="H142" s="30" t="str">
        <f t="shared" si="87"/>
        <v/>
      </c>
      <c r="I142" s="46" t="str">
        <f>IF($A142="","",IF(AND($L142&lt;27,$K$12=0),"Building",IFERROR(((SUM($H$136:$H142)+$K$12*IF($L142&lt;6,SUMIFS('Throw Log'!$Q$5:$Q$300,'Throw Log'!$B$5:$B$300,$D$4,'Throw Log'!$A$5:$A$300,"&gt;="&amp;($D$6+$L142-6),'Throw Log'!$A$5:$A$300,"&lt;="&amp;($D$6-1)),0))/7)/((SUM($H$115:$H142)+$K$12*IF($L142&lt;27,SUMIFS('Throw Log'!$Q$5:$Q$300,'Throw Log'!$B$5:$B$300,$D$4,'Throw Log'!$A$5:$A$300,"&gt;="&amp;($D$6+$L142-27),'Throw Log'!$A$5:$A$300,"&lt;="&amp;($D$6-1)),0))/28),"")))</f>
        <v/>
      </c>
      <c r="J142" s="37"/>
      <c r="K142" s="37"/>
      <c r="L142" s="32">
        <v>99</v>
      </c>
      <c r="M142" s="32">
        <f t="shared" si="88"/>
        <v>15</v>
      </c>
      <c r="N142" s="32">
        <f t="shared" si="89"/>
        <v>1</v>
      </c>
      <c r="O142" s="32">
        <f t="shared" si="90"/>
        <v>1</v>
      </c>
      <c r="P142" s="32" t="str">
        <f>IF(OR($A142="",N($C142)&lt;=7),"",$G$6*$G$9^($M142-1)*IF(AND(MOD($M142,Reference!$B$99)=0,$M142&lt;=$G$5-2),Reference!$B$100,1))</f>
        <v/>
      </c>
      <c r="Q142" s="32" t="str">
        <f>IF($P142="","",IF(SUM($AK$141:$AK$147)=0,0,$P142*INDEX(Reference!$B$108:$B$114,$N142+1)/SUM($AK$141:$AK$147)))</f>
        <v/>
      </c>
      <c r="R142" s="32">
        <f t="shared" si="91"/>
        <v>180</v>
      </c>
      <c r="S142" s="32">
        <f t="shared" si="92"/>
        <v>150</v>
      </c>
      <c r="T142" s="32" t="str">
        <f>IF($A142="","",IF($C142=0,"Bullpen",IF(OR($C142=7,$C142=1,$C142=5),"Recovery/Easy Catch",IF($C142=6,"Compression/Pulldowns",IF(OR($C142=4,$C142=2),"Long Toss",IF($C142=3,"No Throw",IF($N142=2,"No Throw",IF($N142=6,IF($O142&lt;Reference!$B$104,"No Throw","Recovery/Easy Catch"),IF(OR($N142=0,$N142=4),"Recovery/Easy Catch",IF($N142=1,IF($R142&gt;75,"Long Toss","Recovery/Easy Catch"),IF($N142=3,IF($O142&lt;0.5,IF($S142&gt;75,"Long Toss","Recovery/Easy Catch"),"Compression/Pulldowns"),IF($S142&gt;75,"Long Toss","Recovery/Easy Catch"))))))))))))</f>
        <v/>
      </c>
      <c r="U142" s="32" t="str">
        <f t="shared" si="93"/>
        <v/>
      </c>
      <c r="V142" s="32" t="str">
        <f t="shared" si="94"/>
        <v/>
      </c>
      <c r="W142" s="32" t="str">
        <f t="shared" si="95"/>
        <v/>
      </c>
      <c r="X142" s="32">
        <f t="shared" si="96"/>
        <v>0</v>
      </c>
      <c r="Y142" s="32" t="str">
        <f t="shared" si="97"/>
        <v/>
      </c>
      <c r="Z142" s="32" t="str">
        <f t="shared" si="98"/>
        <v/>
      </c>
      <c r="AA142" s="32" t="str">
        <f t="shared" si="99"/>
        <v/>
      </c>
      <c r="AB142" s="32" t="str">
        <f>IF($A142="","",IF($T142="No Throw",0,IF($K142&lt;&gt;"",$K142,IF($AA142&lt;&gt;"",ROUND($AA142*$D$12*IF($C142=0,1,$G$10),0),MIN(IF($T142="Recovery/Easy Catch",Reference!$B$103,IF($T142="Long Toss",Reference!$B$106,Reference!$B$102)),MAX(Reference!$B$101,ROUND(MAX(0,$Q142-$AE142)/$AF142,0)))))))</f>
        <v/>
      </c>
      <c r="AC142" s="32">
        <f t="shared" si="100"/>
        <v>0</v>
      </c>
      <c r="AD142" s="32" t="b">
        <f t="shared" si="101"/>
        <v>1</v>
      </c>
      <c r="AE142" s="32">
        <f>IF($X142=0,0,$X142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142+$Z142)/2,0),Reference!$A$17:$B$20,2,TRUE()))</f>
        <v>0</v>
      </c>
      <c r="AF142" s="32">
        <f>IF(OR($A142="",$U142="",$T142="No Throw"),0,$AM142*VLOOKUP(MAX(($V142+$W142)/2,0),Reference!$A$17:$B$20,2,TRUE()))</f>
        <v>0</v>
      </c>
      <c r="AG142" s="32">
        <f>IF($AC142=0,0,$AC142*INDEX(Reference!$B$61:$B$62,MATCH("Bullpen",Reference!$A$61:$A$62,0))*VLOOKUP(MAX($D$5-($D$9+$E$9)/2,0),Reference!$A$17:$B$20,2,TRUE()))</f>
        <v>0</v>
      </c>
      <c r="AH142" s="32" t="e">
        <f t="shared" si="102"/>
        <v>#N/A</v>
      </c>
      <c r="AI142" s="32" t="e">
        <f>IF($A142="",NA(),Reference!$A$25)</f>
        <v>#N/A</v>
      </c>
      <c r="AJ142" s="32" t="e">
        <f t="shared" si="103"/>
        <v>#N/A</v>
      </c>
      <c r="AK142" s="32">
        <f>IF(OR($A142="",N($C142)&lt;=7,$T142="No Throw",$J142="x"),0,INDEX(Reference!$B$108:$B$114,$N142+1))</f>
        <v>0</v>
      </c>
      <c r="AL142" s="32">
        <f t="shared" si="104"/>
        <v>1</v>
      </c>
      <c r="AM142" s="32">
        <f>IF($U142="",0,IF($AL142&gt;1,((IF(1&lt;=$AL142,($AL142-1+3)*(INDEX(Reference!$B$6:$B$11,MIN(5,MATCH(MAX(Reference!$A$6,MIN(Reference!$A$11,MIN($U142,90))),Reference!$A$6:$A$11,1)))+(MAX(Reference!$A$6,MIN(Reference!$A$11,MIN($U142,90)))-INDEX(Reference!$A$6:$A$11,MIN(5,MATCH(MAX(Reference!$A$6,MIN(Reference!$A$11,MIN($U142,90))),Reference!$A$6:$A$11,1))))*(INDEX(Reference!$B$6:$B$11,MIN(5,MATCH(MAX(Reference!$A$6,MIN(Reference!$A$11,MIN($U142,90))),Reference!$A$6:$A$11,1))+1)-INDEX(Reference!$B$6:$B$11,MIN(5,MATCH(MAX(Reference!$A$6,MIN(Reference!$A$11,MIN($U142,90))),Reference!$A$6:$A$11,1))))/(INDEX(Reference!$A$6:$A$11,MIN(5,MATCH(MAX(Reference!$A$6,MIN(Reference!$A$11,MIN($U142,90))),Reference!$A$6:$A$11,1))+1)-INDEX(Reference!$A$6:$A$11,MIN(5,MATCH(MAX(Reference!$A$6,MIN(Reference!$A$11,MIN($U142,90))),Reference!$A$6:$A$11,1))))),0)+IF(2&lt;=$AL142,($AL142-2+3)*(INDEX(Reference!$B$6:$B$11,MIN(5,MATCH(MAX(Reference!$A$6,MIN(Reference!$A$11,MIN($U142,120))),Reference!$A$6:$A$11,1)))+(MAX(Reference!$A$6,MIN(Reference!$A$11,MIN($U142,120)))-INDEX(Reference!$A$6:$A$11,MIN(5,MATCH(MAX(Reference!$A$6,MIN(Reference!$A$11,MIN($U142,120))),Reference!$A$6:$A$11,1))))*(INDEX(Reference!$B$6:$B$11,MIN(5,MATCH(MAX(Reference!$A$6,MIN(Reference!$A$11,MIN($U142,120))),Reference!$A$6:$A$11,1))+1)-INDEX(Reference!$B$6:$B$11,MIN(5,MATCH(MAX(Reference!$A$6,MIN(Reference!$A$11,MIN($U142,120))),Reference!$A$6:$A$11,1))))/(INDEX(Reference!$A$6:$A$11,MIN(5,MATCH(MAX(Reference!$A$6,MIN(Reference!$A$11,MIN($U142,120))),Reference!$A$6:$A$11,1))+1)-INDEX(Reference!$A$6:$A$11,MIN(5,MATCH(MAX(Reference!$A$6,MIN(Reference!$A$11,MIN($U142,120))),Reference!$A$6:$A$11,1))))),0)+IF(3&lt;=$AL142,($AL142-3+3)*(INDEX(Reference!$B$6:$B$11,MIN(5,MATCH(MAX(Reference!$A$6,MIN(Reference!$A$11,MIN($U142,150))),Reference!$A$6:$A$11,1)))+(MAX(Reference!$A$6,MIN(Reference!$A$11,MIN($U142,150)))-INDEX(Reference!$A$6:$A$11,MIN(5,MATCH(MAX(Reference!$A$6,MIN(Reference!$A$11,MIN($U142,150))),Reference!$A$6:$A$11,1))))*(INDEX(Reference!$B$6:$B$11,MIN(5,MATCH(MAX(Reference!$A$6,MIN(Reference!$A$11,MIN($U142,150))),Reference!$A$6:$A$11,1))+1)-INDEX(Reference!$B$6:$B$11,MIN(5,MATCH(MAX(Reference!$A$6,MIN(Reference!$A$11,MIN($U142,150))),Reference!$A$6:$A$11,1))))/(INDEX(Reference!$A$6:$A$11,MIN(5,MATCH(MAX(Reference!$A$6,MIN(Reference!$A$11,MIN($U142,150))),Reference!$A$6:$A$11,1))+1)-INDEX(Reference!$A$6:$A$11,MIN(5,MATCH(MAX(Reference!$A$6,MIN(Reference!$A$11,MIN($U142,150))),Reference!$A$6:$A$11,1))))),0)+IF(4&lt;=$AL142,($AL142-4+3)*(INDEX(Reference!$B$6:$B$11,MIN(5,MATCH(MAX(Reference!$A$6,MIN(Reference!$A$11,MIN($U142,180))),Reference!$A$6:$A$11,1)))+(MAX(Reference!$A$6,MIN(Reference!$A$11,MIN($U142,180)))-INDEX(Reference!$A$6:$A$11,MIN(5,MATCH(MAX(Reference!$A$6,MIN(Reference!$A$11,MIN($U142,180))),Reference!$A$6:$A$11,1))))*(INDEX(Reference!$B$6:$B$11,MIN(5,MATCH(MAX(Reference!$A$6,MIN(Reference!$A$11,MIN($U142,180))),Reference!$A$6:$A$11,1))+1)-INDEX(Reference!$B$6:$B$11,MIN(5,MATCH(MAX(Reference!$A$6,MIN(Reference!$A$11,MIN($U142,180))),Reference!$A$6:$A$11,1))))/(INDEX(Reference!$A$6:$A$11,MIN(5,MATCH(MAX(Reference!$A$6,MIN(Reference!$A$11,MIN($U142,180))),Reference!$A$6:$A$11,1))+1)-INDEX(Reference!$A$6:$A$11,MIN(5,MATCH(MAX(Reference!$A$6,MIN(Reference!$A$11,MIN($U142,180))),Reference!$A$6:$A$11,1))))),0)+IF(5&lt;=$AL142,($AL142-5+3)*(INDEX(Reference!$B$6:$B$11,MIN(5,MATCH(MAX(Reference!$A$6,MIN(Reference!$A$11,MIN($U142,210))),Reference!$A$6:$A$11,1)))+(MAX(Reference!$A$6,MIN(Reference!$A$11,MIN($U142,210)))-INDEX(Reference!$A$6:$A$11,MIN(5,MATCH(MAX(Reference!$A$6,MIN(Reference!$A$11,MIN($U142,210))),Reference!$A$6:$A$11,1))))*(INDEX(Reference!$B$6:$B$11,MIN(5,MATCH(MAX(Reference!$A$6,MIN(Reference!$A$11,MIN($U142,210))),Reference!$A$6:$A$11,1))+1)-INDEX(Reference!$B$6:$B$11,MIN(5,MATCH(MAX(Reference!$A$6,MIN(Reference!$A$11,MIN($U142,210))),Reference!$A$6:$A$11,1))))/(INDEX(Reference!$A$6:$A$11,MIN(5,MATCH(MAX(Reference!$A$6,MIN(Reference!$A$11,MIN($U142,210))),Reference!$A$6:$A$11,1))+1)-INDEX(Reference!$A$6:$A$11,MIN(5,MATCH(MAX(Reference!$A$6,MIN(Reference!$A$11,MIN($U142,210))),Reference!$A$6:$A$11,1))))),0)+IF(6&lt;=$AL142,($AL142-6+3)*(INDEX(Reference!$B$6:$B$11,MIN(5,MATCH(MAX(Reference!$A$6,MIN(Reference!$A$11,MIN($U142,240))),Reference!$A$6:$A$11,1)))+(MAX(Reference!$A$6,MIN(Reference!$A$11,MIN($U142,240)))-INDEX(Reference!$A$6:$A$11,MIN(5,MATCH(MAX(Reference!$A$6,MIN(Reference!$A$11,MIN($U142,240))),Reference!$A$6:$A$11,1))))*(INDEX(Reference!$B$6:$B$11,MIN(5,MATCH(MAX(Reference!$A$6,MIN(Reference!$A$11,MIN($U142,240))),Reference!$A$6:$A$11,1))+1)-INDEX(Reference!$B$6:$B$11,MIN(5,MATCH(MAX(Reference!$A$6,MIN(Reference!$A$11,MIN($U142,240))),Reference!$A$6:$A$11,1))))/(INDEX(Reference!$A$6:$A$11,MIN(5,MATCH(MAX(Reference!$A$6,MIN(Reference!$A$11,MIN($U142,240))),Reference!$A$6:$A$11,1))+1)-INDEX(Reference!$A$6:$A$11,MIN(5,MATCH(MAX(Reference!$A$6,MIN(Reference!$A$11,MIN($U142,240))),Reference!$A$6:$A$11,1))))),0)+IF(7&lt;=$AL142,($AL142-7+3)*(INDEX(Reference!$B$6:$B$11,MIN(5,MATCH(MAX(Reference!$A$6,MIN(Reference!$A$11,MIN($U142,270))),Reference!$A$6:$A$11,1)))+(MAX(Reference!$A$6,MIN(Reference!$A$11,MIN($U142,270)))-INDEX(Reference!$A$6:$A$11,MIN(5,MATCH(MAX(Reference!$A$6,MIN(Reference!$A$11,MIN($U142,270))),Reference!$A$6:$A$11,1))))*(INDEX(Reference!$B$6:$B$11,MIN(5,MATCH(MAX(Reference!$A$6,MIN(Reference!$A$11,MIN($U142,270))),Reference!$A$6:$A$11,1))+1)-INDEX(Reference!$B$6:$B$11,MIN(5,MATCH(MAX(Reference!$A$6,MIN(Reference!$A$11,MIN($U142,270))),Reference!$A$6:$A$11,1))))/(INDEX(Reference!$A$6:$A$11,MIN(5,MATCH(MAX(Reference!$A$6,MIN(Reference!$A$11,MIN($U142,270))),Reference!$A$6:$A$11,1))+1)-INDEX(Reference!$A$6:$A$11,MIN(5,MATCH(MAX(Reference!$A$6,MIN(Reference!$A$11,MIN($U142,270))),Reference!$A$6:$A$11,1))))),0)+IF(8&lt;=$AL142,($AL142-8+3)*(INDEX(Reference!$B$6:$B$11,MIN(5,MATCH(MAX(Reference!$A$6,MIN(Reference!$A$11,MIN($U142,300))),Reference!$A$6:$A$11,1)))+(MAX(Reference!$A$6,MIN(Reference!$A$11,MIN($U142,300)))-INDEX(Reference!$A$6:$A$11,MIN(5,MATCH(MAX(Reference!$A$6,MIN(Reference!$A$11,MIN($U142,300))),Reference!$A$6:$A$11,1))))*(INDEX(Reference!$B$6:$B$11,MIN(5,MATCH(MAX(Reference!$A$6,MIN(Reference!$A$11,MIN($U142,300))),Reference!$A$6:$A$11,1))+1)-INDEX(Reference!$B$6:$B$11,MIN(5,MATCH(MAX(Reference!$A$6,MIN(Reference!$A$11,MIN($U142,300))),Reference!$A$6:$A$11,1))))/(INDEX(Reference!$A$6:$A$11,MIN(5,MATCH(MAX(Reference!$A$6,MIN(Reference!$A$11,MIN($U142,300))),Reference!$A$6:$A$11,1))+1)-INDEX(Reference!$A$6:$A$11,MIN(5,MATCH(MAX(Reference!$A$6,MIN(Reference!$A$11,MIN($U142,300))),Reference!$A$6:$A$11,1))))),0))/($AL142*($AL142+5)/2)),$AN142))</f>
        <v>0</v>
      </c>
      <c r="AN142" s="32">
        <f>IF($U142="",0,(INDEX(Reference!$B$6:$B$11,MIN(5,MATCH(MAX(Reference!$A$6,MIN(Reference!$A$11,$U142)),Reference!$A$6:$A$11,1)))+(MAX(Reference!$A$6,MIN(Reference!$A$11,$U142))-INDEX(Reference!$A$6:$A$11,MIN(5,MATCH(MAX(Reference!$A$6,MIN(Reference!$A$11,$U142)),Reference!$A$6:$A$11,1))))*(INDEX(Reference!$B$6:$B$11,MIN(5,MATCH(MAX(Reference!$A$6,MIN(Reference!$A$11,$U142)),Reference!$A$6:$A$11,1))+1)-INDEX(Reference!$B$6:$B$11,MIN(5,MATCH(MAX(Reference!$A$6,MIN(Reference!$A$11,$U142)),Reference!$A$6:$A$11,1))))/(INDEX(Reference!$A$6:$A$11,MIN(5,MATCH(MAX(Reference!$A$6,MIN(Reference!$A$11,$U142)),Reference!$A$6:$A$11,1))+1)-INDEX(Reference!$A$6:$A$11,MIN(5,MATCH(MAX(Reference!$A$6,MIN(Reference!$A$11,$U142)),Reference!$A$6:$A$11,1))))))</f>
        <v>0</v>
      </c>
      <c r="AO142" s="37"/>
      <c r="AP142" s="37"/>
      <c r="AQ142" s="37"/>
    </row>
    <row r="143" spans="1:43" x14ac:dyDescent="0.3">
      <c r="A143" s="48" t="str">
        <f t="shared" si="80"/>
        <v/>
      </c>
      <c r="B143" s="32" t="str">
        <f t="shared" si="81"/>
        <v/>
      </c>
      <c r="C143" s="32" t="str">
        <f t="shared" si="82"/>
        <v/>
      </c>
      <c r="D143" s="32" t="str">
        <f t="shared" si="83"/>
        <v/>
      </c>
      <c r="E143" s="32" t="str">
        <f t="shared" si="84"/>
        <v/>
      </c>
      <c r="F143" s="32" t="str">
        <f t="shared" si="85"/>
        <v/>
      </c>
      <c r="G143" s="47" t="str">
        <f t="shared" si="86"/>
        <v/>
      </c>
      <c r="H143" s="30" t="str">
        <f t="shared" si="87"/>
        <v/>
      </c>
      <c r="I143" s="46" t="str">
        <f>IF($A143="","",IF(AND($L143&lt;27,$K$12=0),"Building",IFERROR(((SUM($H$137:$H143)+$K$12*IF($L143&lt;6,SUMIFS('Throw Log'!$Q$5:$Q$300,'Throw Log'!$B$5:$B$300,$D$4,'Throw Log'!$A$5:$A$300,"&gt;="&amp;($D$6+$L143-6),'Throw Log'!$A$5:$A$300,"&lt;="&amp;($D$6-1)),0))/7)/((SUM($H$116:$H143)+$K$12*IF($L143&lt;27,SUMIFS('Throw Log'!$Q$5:$Q$300,'Throw Log'!$B$5:$B$300,$D$4,'Throw Log'!$A$5:$A$300,"&gt;="&amp;($D$6+$L143-27),'Throw Log'!$A$5:$A$300,"&lt;="&amp;($D$6-1)),0))/28),"")))</f>
        <v/>
      </c>
      <c r="J143" s="37"/>
      <c r="K143" s="37"/>
      <c r="L143" s="32">
        <v>100</v>
      </c>
      <c r="M143" s="32">
        <f t="shared" si="88"/>
        <v>15</v>
      </c>
      <c r="N143" s="32">
        <f t="shared" si="89"/>
        <v>2</v>
      </c>
      <c r="O143" s="32">
        <f t="shared" si="90"/>
        <v>1</v>
      </c>
      <c r="P143" s="32" t="str">
        <f>IF(OR($A143="",N($C143)&lt;=7),"",$G$6*$G$9^($M143-1)*IF(AND(MOD($M143,Reference!$B$99)=0,$M143&lt;=$G$5-2),Reference!$B$100,1))</f>
        <v/>
      </c>
      <c r="Q143" s="32" t="str">
        <f>IF($P143="","",IF(SUM($AK$141:$AK$147)=0,0,$P143*INDEX(Reference!$B$108:$B$114,$N143+1)/SUM($AK$141:$AK$147)))</f>
        <v/>
      </c>
      <c r="R143" s="32">
        <f t="shared" si="91"/>
        <v>180</v>
      </c>
      <c r="S143" s="32">
        <f t="shared" si="92"/>
        <v>150</v>
      </c>
      <c r="T143" s="32" t="str">
        <f>IF($A143="","",IF($C143=0,"Bullpen",IF(OR($C143=7,$C143=1,$C143=5),"Recovery/Easy Catch",IF($C143=6,"Compression/Pulldowns",IF(OR($C143=4,$C143=2),"Long Toss",IF($C143=3,"No Throw",IF($N143=2,"No Throw",IF($N143=6,IF($O143&lt;Reference!$B$104,"No Throw","Recovery/Easy Catch"),IF(OR($N143=0,$N143=4),"Recovery/Easy Catch",IF($N143=1,IF($R143&gt;75,"Long Toss","Recovery/Easy Catch"),IF($N143=3,IF($O143&lt;0.5,IF($S143&gt;75,"Long Toss","Recovery/Easy Catch"),"Compression/Pulldowns"),IF($S143&gt;75,"Long Toss","Recovery/Easy Catch"))))))))))))</f>
        <v/>
      </c>
      <c r="U143" s="32" t="str">
        <f t="shared" si="93"/>
        <v/>
      </c>
      <c r="V143" s="32" t="str">
        <f t="shared" si="94"/>
        <v/>
      </c>
      <c r="W143" s="32" t="str">
        <f t="shared" si="95"/>
        <v/>
      </c>
      <c r="X143" s="32">
        <f t="shared" si="96"/>
        <v>0</v>
      </c>
      <c r="Y143" s="32" t="str">
        <f t="shared" si="97"/>
        <v/>
      </c>
      <c r="Z143" s="32" t="str">
        <f t="shared" si="98"/>
        <v/>
      </c>
      <c r="AA143" s="32" t="str">
        <f t="shared" si="99"/>
        <v/>
      </c>
      <c r="AB143" s="32" t="str">
        <f>IF($A143="","",IF($T143="No Throw",0,IF($K143&lt;&gt;"",$K143,IF($AA143&lt;&gt;"",ROUND($AA143*$D$12*IF($C143=0,1,$G$10),0),MIN(IF($T143="Recovery/Easy Catch",Reference!$B$103,IF($T143="Long Toss",Reference!$B$106,Reference!$B$102)),MAX(Reference!$B$101,ROUND(MAX(0,$Q143-$AE143)/$AF143,0)))))))</f>
        <v/>
      </c>
      <c r="AC143" s="32">
        <f t="shared" si="100"/>
        <v>0</v>
      </c>
      <c r="AD143" s="32" t="b">
        <f t="shared" si="101"/>
        <v>1</v>
      </c>
      <c r="AE143" s="32">
        <f>IF($X143=0,0,$X143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143+$Z143)/2,0),Reference!$A$17:$B$20,2,TRUE()))</f>
        <v>0</v>
      </c>
      <c r="AF143" s="32">
        <f>IF(OR($A143="",$U143="",$T143="No Throw"),0,$AM143*VLOOKUP(MAX(($V143+$W143)/2,0),Reference!$A$17:$B$20,2,TRUE()))</f>
        <v>0</v>
      </c>
      <c r="AG143" s="32">
        <f>IF($AC143=0,0,$AC143*INDEX(Reference!$B$61:$B$62,MATCH("Bullpen",Reference!$A$61:$A$62,0))*VLOOKUP(MAX($D$5-($D$9+$E$9)/2,0),Reference!$A$17:$B$20,2,TRUE()))</f>
        <v>0</v>
      </c>
      <c r="AH143" s="32" t="e">
        <f t="shared" si="102"/>
        <v>#N/A</v>
      </c>
      <c r="AI143" s="32" t="e">
        <f>IF($A143="",NA(),Reference!$A$25)</f>
        <v>#N/A</v>
      </c>
      <c r="AJ143" s="32" t="e">
        <f t="shared" si="103"/>
        <v>#N/A</v>
      </c>
      <c r="AK143" s="32">
        <f>IF(OR($A143="",N($C143)&lt;=7,$T143="No Throw",$J143="x"),0,INDEX(Reference!$B$108:$B$114,$N143+1))</f>
        <v>0</v>
      </c>
      <c r="AL143" s="32">
        <f t="shared" si="104"/>
        <v>1</v>
      </c>
      <c r="AM143" s="32">
        <f>IF($U143="",0,IF($AL143&gt;1,((IF(1&lt;=$AL143,($AL143-1+3)*(INDEX(Reference!$B$6:$B$11,MIN(5,MATCH(MAX(Reference!$A$6,MIN(Reference!$A$11,MIN($U143,90))),Reference!$A$6:$A$11,1)))+(MAX(Reference!$A$6,MIN(Reference!$A$11,MIN($U143,90)))-INDEX(Reference!$A$6:$A$11,MIN(5,MATCH(MAX(Reference!$A$6,MIN(Reference!$A$11,MIN($U143,90))),Reference!$A$6:$A$11,1))))*(INDEX(Reference!$B$6:$B$11,MIN(5,MATCH(MAX(Reference!$A$6,MIN(Reference!$A$11,MIN($U143,90))),Reference!$A$6:$A$11,1))+1)-INDEX(Reference!$B$6:$B$11,MIN(5,MATCH(MAX(Reference!$A$6,MIN(Reference!$A$11,MIN($U143,90))),Reference!$A$6:$A$11,1))))/(INDEX(Reference!$A$6:$A$11,MIN(5,MATCH(MAX(Reference!$A$6,MIN(Reference!$A$11,MIN($U143,90))),Reference!$A$6:$A$11,1))+1)-INDEX(Reference!$A$6:$A$11,MIN(5,MATCH(MAX(Reference!$A$6,MIN(Reference!$A$11,MIN($U143,90))),Reference!$A$6:$A$11,1))))),0)+IF(2&lt;=$AL143,($AL143-2+3)*(INDEX(Reference!$B$6:$B$11,MIN(5,MATCH(MAX(Reference!$A$6,MIN(Reference!$A$11,MIN($U143,120))),Reference!$A$6:$A$11,1)))+(MAX(Reference!$A$6,MIN(Reference!$A$11,MIN($U143,120)))-INDEX(Reference!$A$6:$A$11,MIN(5,MATCH(MAX(Reference!$A$6,MIN(Reference!$A$11,MIN($U143,120))),Reference!$A$6:$A$11,1))))*(INDEX(Reference!$B$6:$B$11,MIN(5,MATCH(MAX(Reference!$A$6,MIN(Reference!$A$11,MIN($U143,120))),Reference!$A$6:$A$11,1))+1)-INDEX(Reference!$B$6:$B$11,MIN(5,MATCH(MAX(Reference!$A$6,MIN(Reference!$A$11,MIN($U143,120))),Reference!$A$6:$A$11,1))))/(INDEX(Reference!$A$6:$A$11,MIN(5,MATCH(MAX(Reference!$A$6,MIN(Reference!$A$11,MIN($U143,120))),Reference!$A$6:$A$11,1))+1)-INDEX(Reference!$A$6:$A$11,MIN(5,MATCH(MAX(Reference!$A$6,MIN(Reference!$A$11,MIN($U143,120))),Reference!$A$6:$A$11,1))))),0)+IF(3&lt;=$AL143,($AL143-3+3)*(INDEX(Reference!$B$6:$B$11,MIN(5,MATCH(MAX(Reference!$A$6,MIN(Reference!$A$11,MIN($U143,150))),Reference!$A$6:$A$11,1)))+(MAX(Reference!$A$6,MIN(Reference!$A$11,MIN($U143,150)))-INDEX(Reference!$A$6:$A$11,MIN(5,MATCH(MAX(Reference!$A$6,MIN(Reference!$A$11,MIN($U143,150))),Reference!$A$6:$A$11,1))))*(INDEX(Reference!$B$6:$B$11,MIN(5,MATCH(MAX(Reference!$A$6,MIN(Reference!$A$11,MIN($U143,150))),Reference!$A$6:$A$11,1))+1)-INDEX(Reference!$B$6:$B$11,MIN(5,MATCH(MAX(Reference!$A$6,MIN(Reference!$A$11,MIN($U143,150))),Reference!$A$6:$A$11,1))))/(INDEX(Reference!$A$6:$A$11,MIN(5,MATCH(MAX(Reference!$A$6,MIN(Reference!$A$11,MIN($U143,150))),Reference!$A$6:$A$11,1))+1)-INDEX(Reference!$A$6:$A$11,MIN(5,MATCH(MAX(Reference!$A$6,MIN(Reference!$A$11,MIN($U143,150))),Reference!$A$6:$A$11,1))))),0)+IF(4&lt;=$AL143,($AL143-4+3)*(INDEX(Reference!$B$6:$B$11,MIN(5,MATCH(MAX(Reference!$A$6,MIN(Reference!$A$11,MIN($U143,180))),Reference!$A$6:$A$11,1)))+(MAX(Reference!$A$6,MIN(Reference!$A$11,MIN($U143,180)))-INDEX(Reference!$A$6:$A$11,MIN(5,MATCH(MAX(Reference!$A$6,MIN(Reference!$A$11,MIN($U143,180))),Reference!$A$6:$A$11,1))))*(INDEX(Reference!$B$6:$B$11,MIN(5,MATCH(MAX(Reference!$A$6,MIN(Reference!$A$11,MIN($U143,180))),Reference!$A$6:$A$11,1))+1)-INDEX(Reference!$B$6:$B$11,MIN(5,MATCH(MAX(Reference!$A$6,MIN(Reference!$A$11,MIN($U143,180))),Reference!$A$6:$A$11,1))))/(INDEX(Reference!$A$6:$A$11,MIN(5,MATCH(MAX(Reference!$A$6,MIN(Reference!$A$11,MIN($U143,180))),Reference!$A$6:$A$11,1))+1)-INDEX(Reference!$A$6:$A$11,MIN(5,MATCH(MAX(Reference!$A$6,MIN(Reference!$A$11,MIN($U143,180))),Reference!$A$6:$A$11,1))))),0)+IF(5&lt;=$AL143,($AL143-5+3)*(INDEX(Reference!$B$6:$B$11,MIN(5,MATCH(MAX(Reference!$A$6,MIN(Reference!$A$11,MIN($U143,210))),Reference!$A$6:$A$11,1)))+(MAX(Reference!$A$6,MIN(Reference!$A$11,MIN($U143,210)))-INDEX(Reference!$A$6:$A$11,MIN(5,MATCH(MAX(Reference!$A$6,MIN(Reference!$A$11,MIN($U143,210))),Reference!$A$6:$A$11,1))))*(INDEX(Reference!$B$6:$B$11,MIN(5,MATCH(MAX(Reference!$A$6,MIN(Reference!$A$11,MIN($U143,210))),Reference!$A$6:$A$11,1))+1)-INDEX(Reference!$B$6:$B$11,MIN(5,MATCH(MAX(Reference!$A$6,MIN(Reference!$A$11,MIN($U143,210))),Reference!$A$6:$A$11,1))))/(INDEX(Reference!$A$6:$A$11,MIN(5,MATCH(MAX(Reference!$A$6,MIN(Reference!$A$11,MIN($U143,210))),Reference!$A$6:$A$11,1))+1)-INDEX(Reference!$A$6:$A$11,MIN(5,MATCH(MAX(Reference!$A$6,MIN(Reference!$A$11,MIN($U143,210))),Reference!$A$6:$A$11,1))))),0)+IF(6&lt;=$AL143,($AL143-6+3)*(INDEX(Reference!$B$6:$B$11,MIN(5,MATCH(MAX(Reference!$A$6,MIN(Reference!$A$11,MIN($U143,240))),Reference!$A$6:$A$11,1)))+(MAX(Reference!$A$6,MIN(Reference!$A$11,MIN($U143,240)))-INDEX(Reference!$A$6:$A$11,MIN(5,MATCH(MAX(Reference!$A$6,MIN(Reference!$A$11,MIN($U143,240))),Reference!$A$6:$A$11,1))))*(INDEX(Reference!$B$6:$B$11,MIN(5,MATCH(MAX(Reference!$A$6,MIN(Reference!$A$11,MIN($U143,240))),Reference!$A$6:$A$11,1))+1)-INDEX(Reference!$B$6:$B$11,MIN(5,MATCH(MAX(Reference!$A$6,MIN(Reference!$A$11,MIN($U143,240))),Reference!$A$6:$A$11,1))))/(INDEX(Reference!$A$6:$A$11,MIN(5,MATCH(MAX(Reference!$A$6,MIN(Reference!$A$11,MIN($U143,240))),Reference!$A$6:$A$11,1))+1)-INDEX(Reference!$A$6:$A$11,MIN(5,MATCH(MAX(Reference!$A$6,MIN(Reference!$A$11,MIN($U143,240))),Reference!$A$6:$A$11,1))))),0)+IF(7&lt;=$AL143,($AL143-7+3)*(INDEX(Reference!$B$6:$B$11,MIN(5,MATCH(MAX(Reference!$A$6,MIN(Reference!$A$11,MIN($U143,270))),Reference!$A$6:$A$11,1)))+(MAX(Reference!$A$6,MIN(Reference!$A$11,MIN($U143,270)))-INDEX(Reference!$A$6:$A$11,MIN(5,MATCH(MAX(Reference!$A$6,MIN(Reference!$A$11,MIN($U143,270))),Reference!$A$6:$A$11,1))))*(INDEX(Reference!$B$6:$B$11,MIN(5,MATCH(MAX(Reference!$A$6,MIN(Reference!$A$11,MIN($U143,270))),Reference!$A$6:$A$11,1))+1)-INDEX(Reference!$B$6:$B$11,MIN(5,MATCH(MAX(Reference!$A$6,MIN(Reference!$A$11,MIN($U143,270))),Reference!$A$6:$A$11,1))))/(INDEX(Reference!$A$6:$A$11,MIN(5,MATCH(MAX(Reference!$A$6,MIN(Reference!$A$11,MIN($U143,270))),Reference!$A$6:$A$11,1))+1)-INDEX(Reference!$A$6:$A$11,MIN(5,MATCH(MAX(Reference!$A$6,MIN(Reference!$A$11,MIN($U143,270))),Reference!$A$6:$A$11,1))))),0)+IF(8&lt;=$AL143,($AL143-8+3)*(INDEX(Reference!$B$6:$B$11,MIN(5,MATCH(MAX(Reference!$A$6,MIN(Reference!$A$11,MIN($U143,300))),Reference!$A$6:$A$11,1)))+(MAX(Reference!$A$6,MIN(Reference!$A$11,MIN($U143,300)))-INDEX(Reference!$A$6:$A$11,MIN(5,MATCH(MAX(Reference!$A$6,MIN(Reference!$A$11,MIN($U143,300))),Reference!$A$6:$A$11,1))))*(INDEX(Reference!$B$6:$B$11,MIN(5,MATCH(MAX(Reference!$A$6,MIN(Reference!$A$11,MIN($U143,300))),Reference!$A$6:$A$11,1))+1)-INDEX(Reference!$B$6:$B$11,MIN(5,MATCH(MAX(Reference!$A$6,MIN(Reference!$A$11,MIN($U143,300))),Reference!$A$6:$A$11,1))))/(INDEX(Reference!$A$6:$A$11,MIN(5,MATCH(MAX(Reference!$A$6,MIN(Reference!$A$11,MIN($U143,300))),Reference!$A$6:$A$11,1))+1)-INDEX(Reference!$A$6:$A$11,MIN(5,MATCH(MAX(Reference!$A$6,MIN(Reference!$A$11,MIN($U143,300))),Reference!$A$6:$A$11,1))))),0))/($AL143*($AL143+5)/2)),$AN143))</f>
        <v>0</v>
      </c>
      <c r="AN143" s="32">
        <f>IF($U143="",0,(INDEX(Reference!$B$6:$B$11,MIN(5,MATCH(MAX(Reference!$A$6,MIN(Reference!$A$11,$U143)),Reference!$A$6:$A$11,1)))+(MAX(Reference!$A$6,MIN(Reference!$A$11,$U143))-INDEX(Reference!$A$6:$A$11,MIN(5,MATCH(MAX(Reference!$A$6,MIN(Reference!$A$11,$U143)),Reference!$A$6:$A$11,1))))*(INDEX(Reference!$B$6:$B$11,MIN(5,MATCH(MAX(Reference!$A$6,MIN(Reference!$A$11,$U143)),Reference!$A$6:$A$11,1))+1)-INDEX(Reference!$B$6:$B$11,MIN(5,MATCH(MAX(Reference!$A$6,MIN(Reference!$A$11,$U143)),Reference!$A$6:$A$11,1))))/(INDEX(Reference!$A$6:$A$11,MIN(5,MATCH(MAX(Reference!$A$6,MIN(Reference!$A$11,$U143)),Reference!$A$6:$A$11,1))+1)-INDEX(Reference!$A$6:$A$11,MIN(5,MATCH(MAX(Reference!$A$6,MIN(Reference!$A$11,$U143)),Reference!$A$6:$A$11,1))))))</f>
        <v>0</v>
      </c>
      <c r="AO143" s="37"/>
      <c r="AP143" s="37"/>
      <c r="AQ143" s="37"/>
    </row>
    <row r="144" spans="1:43" x14ac:dyDescent="0.3">
      <c r="A144" s="48" t="str">
        <f t="shared" si="80"/>
        <v/>
      </c>
      <c r="B144" s="32" t="str">
        <f t="shared" si="81"/>
        <v/>
      </c>
      <c r="C144" s="32" t="str">
        <f t="shared" si="82"/>
        <v/>
      </c>
      <c r="D144" s="32" t="str">
        <f t="shared" si="83"/>
        <v/>
      </c>
      <c r="E144" s="32" t="str">
        <f t="shared" si="84"/>
        <v/>
      </c>
      <c r="F144" s="32" t="str">
        <f t="shared" si="85"/>
        <v/>
      </c>
      <c r="G144" s="47" t="str">
        <f t="shared" si="86"/>
        <v/>
      </c>
      <c r="H144" s="30" t="str">
        <f t="shared" si="87"/>
        <v/>
      </c>
      <c r="I144" s="46" t="str">
        <f>IF($A144="","",IF(AND($L144&lt;27,$K$12=0),"Building",IFERROR(((SUM($H$138:$H144)+$K$12*IF($L144&lt;6,SUMIFS('Throw Log'!$Q$5:$Q$300,'Throw Log'!$B$5:$B$300,$D$4,'Throw Log'!$A$5:$A$300,"&gt;="&amp;($D$6+$L144-6),'Throw Log'!$A$5:$A$300,"&lt;="&amp;($D$6-1)),0))/7)/((SUM($H$117:$H144)+$K$12*IF($L144&lt;27,SUMIFS('Throw Log'!$Q$5:$Q$300,'Throw Log'!$B$5:$B$300,$D$4,'Throw Log'!$A$5:$A$300,"&gt;="&amp;($D$6+$L144-27),'Throw Log'!$A$5:$A$300,"&lt;="&amp;($D$6-1)),0))/28),"")))</f>
        <v/>
      </c>
      <c r="J144" s="37"/>
      <c r="K144" s="37"/>
      <c r="L144" s="32">
        <v>101</v>
      </c>
      <c r="M144" s="32">
        <f t="shared" si="88"/>
        <v>15</v>
      </c>
      <c r="N144" s="32">
        <f t="shared" si="89"/>
        <v>3</v>
      </c>
      <c r="O144" s="32">
        <f t="shared" si="90"/>
        <v>1</v>
      </c>
      <c r="P144" s="32" t="str">
        <f>IF(OR($A144="",N($C144)&lt;=7),"",$G$6*$G$9^($M144-1)*IF(AND(MOD($M144,Reference!$B$99)=0,$M144&lt;=$G$5-2),Reference!$B$100,1))</f>
        <v/>
      </c>
      <c r="Q144" s="32" t="str">
        <f>IF($P144="","",IF(SUM($AK$141:$AK$147)=0,0,$P144*INDEX(Reference!$B$108:$B$114,$N144+1)/SUM($AK$141:$AK$147)))</f>
        <v/>
      </c>
      <c r="R144" s="32">
        <f t="shared" si="91"/>
        <v>180</v>
      </c>
      <c r="S144" s="32">
        <f t="shared" si="92"/>
        <v>150</v>
      </c>
      <c r="T144" s="32" t="str">
        <f>IF($A144="","",IF($C144=0,"Bullpen",IF(OR($C144=7,$C144=1,$C144=5),"Recovery/Easy Catch",IF($C144=6,"Compression/Pulldowns",IF(OR($C144=4,$C144=2),"Long Toss",IF($C144=3,"No Throw",IF($N144=2,"No Throw",IF($N144=6,IF($O144&lt;Reference!$B$104,"No Throw","Recovery/Easy Catch"),IF(OR($N144=0,$N144=4),"Recovery/Easy Catch",IF($N144=1,IF($R144&gt;75,"Long Toss","Recovery/Easy Catch"),IF($N144=3,IF($O144&lt;0.5,IF($S144&gt;75,"Long Toss","Recovery/Easy Catch"),"Compression/Pulldowns"),IF($S144&gt;75,"Long Toss","Recovery/Easy Catch"))))))))))))</f>
        <v/>
      </c>
      <c r="U144" s="32" t="str">
        <f t="shared" si="93"/>
        <v/>
      </c>
      <c r="V144" s="32" t="str">
        <f t="shared" si="94"/>
        <v/>
      </c>
      <c r="W144" s="32" t="str">
        <f t="shared" si="95"/>
        <v/>
      </c>
      <c r="X144" s="32">
        <f t="shared" si="96"/>
        <v>0</v>
      </c>
      <c r="Y144" s="32" t="str">
        <f t="shared" si="97"/>
        <v/>
      </c>
      <c r="Z144" s="32" t="str">
        <f t="shared" si="98"/>
        <v/>
      </c>
      <c r="AA144" s="32" t="str">
        <f t="shared" si="99"/>
        <v/>
      </c>
      <c r="AB144" s="32" t="str">
        <f>IF($A144="","",IF($T144="No Throw",0,IF($K144&lt;&gt;"",$K144,IF($AA144&lt;&gt;"",ROUND($AA144*$D$12*IF($C144=0,1,$G$10),0),MIN(IF($T144="Recovery/Easy Catch",Reference!$B$103,IF($T144="Long Toss",Reference!$B$106,Reference!$B$102)),MAX(Reference!$B$101,ROUND(MAX(0,$Q144-$AE144)/$AF144,0)))))))</f>
        <v/>
      </c>
      <c r="AC144" s="32">
        <f t="shared" si="100"/>
        <v>0</v>
      </c>
      <c r="AD144" s="32" t="b">
        <f t="shared" si="101"/>
        <v>1</v>
      </c>
      <c r="AE144" s="32">
        <f>IF($X144=0,0,$X144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144+$Z144)/2,0),Reference!$A$17:$B$20,2,TRUE()))</f>
        <v>0</v>
      </c>
      <c r="AF144" s="32">
        <f>IF(OR($A144="",$U144="",$T144="No Throw"),0,$AM144*VLOOKUP(MAX(($V144+$W144)/2,0),Reference!$A$17:$B$20,2,TRUE()))</f>
        <v>0</v>
      </c>
      <c r="AG144" s="32">
        <f>IF($AC144=0,0,$AC144*INDEX(Reference!$B$61:$B$62,MATCH("Bullpen",Reference!$A$61:$A$62,0))*VLOOKUP(MAX($D$5-($D$9+$E$9)/2,0),Reference!$A$17:$B$20,2,TRUE()))</f>
        <v>0</v>
      </c>
      <c r="AH144" s="32" t="e">
        <f t="shared" si="102"/>
        <v>#N/A</v>
      </c>
      <c r="AI144" s="32" t="e">
        <f>IF($A144="",NA(),Reference!$A$25)</f>
        <v>#N/A</v>
      </c>
      <c r="AJ144" s="32" t="e">
        <f t="shared" si="103"/>
        <v>#N/A</v>
      </c>
      <c r="AK144" s="32">
        <f>IF(OR($A144="",N($C144)&lt;=7,$T144="No Throw",$J144="x"),0,INDEX(Reference!$B$108:$B$114,$N144+1))</f>
        <v>0</v>
      </c>
      <c r="AL144" s="32">
        <f t="shared" si="104"/>
        <v>1</v>
      </c>
      <c r="AM144" s="32">
        <f>IF($U144="",0,IF($AL144&gt;1,((IF(1&lt;=$AL144,($AL144-1+3)*(INDEX(Reference!$B$6:$B$11,MIN(5,MATCH(MAX(Reference!$A$6,MIN(Reference!$A$11,MIN($U144,90))),Reference!$A$6:$A$11,1)))+(MAX(Reference!$A$6,MIN(Reference!$A$11,MIN($U144,90)))-INDEX(Reference!$A$6:$A$11,MIN(5,MATCH(MAX(Reference!$A$6,MIN(Reference!$A$11,MIN($U144,90))),Reference!$A$6:$A$11,1))))*(INDEX(Reference!$B$6:$B$11,MIN(5,MATCH(MAX(Reference!$A$6,MIN(Reference!$A$11,MIN($U144,90))),Reference!$A$6:$A$11,1))+1)-INDEX(Reference!$B$6:$B$11,MIN(5,MATCH(MAX(Reference!$A$6,MIN(Reference!$A$11,MIN($U144,90))),Reference!$A$6:$A$11,1))))/(INDEX(Reference!$A$6:$A$11,MIN(5,MATCH(MAX(Reference!$A$6,MIN(Reference!$A$11,MIN($U144,90))),Reference!$A$6:$A$11,1))+1)-INDEX(Reference!$A$6:$A$11,MIN(5,MATCH(MAX(Reference!$A$6,MIN(Reference!$A$11,MIN($U144,90))),Reference!$A$6:$A$11,1))))),0)+IF(2&lt;=$AL144,($AL144-2+3)*(INDEX(Reference!$B$6:$B$11,MIN(5,MATCH(MAX(Reference!$A$6,MIN(Reference!$A$11,MIN($U144,120))),Reference!$A$6:$A$11,1)))+(MAX(Reference!$A$6,MIN(Reference!$A$11,MIN($U144,120)))-INDEX(Reference!$A$6:$A$11,MIN(5,MATCH(MAX(Reference!$A$6,MIN(Reference!$A$11,MIN($U144,120))),Reference!$A$6:$A$11,1))))*(INDEX(Reference!$B$6:$B$11,MIN(5,MATCH(MAX(Reference!$A$6,MIN(Reference!$A$11,MIN($U144,120))),Reference!$A$6:$A$11,1))+1)-INDEX(Reference!$B$6:$B$11,MIN(5,MATCH(MAX(Reference!$A$6,MIN(Reference!$A$11,MIN($U144,120))),Reference!$A$6:$A$11,1))))/(INDEX(Reference!$A$6:$A$11,MIN(5,MATCH(MAX(Reference!$A$6,MIN(Reference!$A$11,MIN($U144,120))),Reference!$A$6:$A$11,1))+1)-INDEX(Reference!$A$6:$A$11,MIN(5,MATCH(MAX(Reference!$A$6,MIN(Reference!$A$11,MIN($U144,120))),Reference!$A$6:$A$11,1))))),0)+IF(3&lt;=$AL144,($AL144-3+3)*(INDEX(Reference!$B$6:$B$11,MIN(5,MATCH(MAX(Reference!$A$6,MIN(Reference!$A$11,MIN($U144,150))),Reference!$A$6:$A$11,1)))+(MAX(Reference!$A$6,MIN(Reference!$A$11,MIN($U144,150)))-INDEX(Reference!$A$6:$A$11,MIN(5,MATCH(MAX(Reference!$A$6,MIN(Reference!$A$11,MIN($U144,150))),Reference!$A$6:$A$11,1))))*(INDEX(Reference!$B$6:$B$11,MIN(5,MATCH(MAX(Reference!$A$6,MIN(Reference!$A$11,MIN($U144,150))),Reference!$A$6:$A$11,1))+1)-INDEX(Reference!$B$6:$B$11,MIN(5,MATCH(MAX(Reference!$A$6,MIN(Reference!$A$11,MIN($U144,150))),Reference!$A$6:$A$11,1))))/(INDEX(Reference!$A$6:$A$11,MIN(5,MATCH(MAX(Reference!$A$6,MIN(Reference!$A$11,MIN($U144,150))),Reference!$A$6:$A$11,1))+1)-INDEX(Reference!$A$6:$A$11,MIN(5,MATCH(MAX(Reference!$A$6,MIN(Reference!$A$11,MIN($U144,150))),Reference!$A$6:$A$11,1))))),0)+IF(4&lt;=$AL144,($AL144-4+3)*(INDEX(Reference!$B$6:$B$11,MIN(5,MATCH(MAX(Reference!$A$6,MIN(Reference!$A$11,MIN($U144,180))),Reference!$A$6:$A$11,1)))+(MAX(Reference!$A$6,MIN(Reference!$A$11,MIN($U144,180)))-INDEX(Reference!$A$6:$A$11,MIN(5,MATCH(MAX(Reference!$A$6,MIN(Reference!$A$11,MIN($U144,180))),Reference!$A$6:$A$11,1))))*(INDEX(Reference!$B$6:$B$11,MIN(5,MATCH(MAX(Reference!$A$6,MIN(Reference!$A$11,MIN($U144,180))),Reference!$A$6:$A$11,1))+1)-INDEX(Reference!$B$6:$B$11,MIN(5,MATCH(MAX(Reference!$A$6,MIN(Reference!$A$11,MIN($U144,180))),Reference!$A$6:$A$11,1))))/(INDEX(Reference!$A$6:$A$11,MIN(5,MATCH(MAX(Reference!$A$6,MIN(Reference!$A$11,MIN($U144,180))),Reference!$A$6:$A$11,1))+1)-INDEX(Reference!$A$6:$A$11,MIN(5,MATCH(MAX(Reference!$A$6,MIN(Reference!$A$11,MIN($U144,180))),Reference!$A$6:$A$11,1))))),0)+IF(5&lt;=$AL144,($AL144-5+3)*(INDEX(Reference!$B$6:$B$11,MIN(5,MATCH(MAX(Reference!$A$6,MIN(Reference!$A$11,MIN($U144,210))),Reference!$A$6:$A$11,1)))+(MAX(Reference!$A$6,MIN(Reference!$A$11,MIN($U144,210)))-INDEX(Reference!$A$6:$A$11,MIN(5,MATCH(MAX(Reference!$A$6,MIN(Reference!$A$11,MIN($U144,210))),Reference!$A$6:$A$11,1))))*(INDEX(Reference!$B$6:$B$11,MIN(5,MATCH(MAX(Reference!$A$6,MIN(Reference!$A$11,MIN($U144,210))),Reference!$A$6:$A$11,1))+1)-INDEX(Reference!$B$6:$B$11,MIN(5,MATCH(MAX(Reference!$A$6,MIN(Reference!$A$11,MIN($U144,210))),Reference!$A$6:$A$11,1))))/(INDEX(Reference!$A$6:$A$11,MIN(5,MATCH(MAX(Reference!$A$6,MIN(Reference!$A$11,MIN($U144,210))),Reference!$A$6:$A$11,1))+1)-INDEX(Reference!$A$6:$A$11,MIN(5,MATCH(MAX(Reference!$A$6,MIN(Reference!$A$11,MIN($U144,210))),Reference!$A$6:$A$11,1))))),0)+IF(6&lt;=$AL144,($AL144-6+3)*(INDEX(Reference!$B$6:$B$11,MIN(5,MATCH(MAX(Reference!$A$6,MIN(Reference!$A$11,MIN($U144,240))),Reference!$A$6:$A$11,1)))+(MAX(Reference!$A$6,MIN(Reference!$A$11,MIN($U144,240)))-INDEX(Reference!$A$6:$A$11,MIN(5,MATCH(MAX(Reference!$A$6,MIN(Reference!$A$11,MIN($U144,240))),Reference!$A$6:$A$11,1))))*(INDEX(Reference!$B$6:$B$11,MIN(5,MATCH(MAX(Reference!$A$6,MIN(Reference!$A$11,MIN($U144,240))),Reference!$A$6:$A$11,1))+1)-INDEX(Reference!$B$6:$B$11,MIN(5,MATCH(MAX(Reference!$A$6,MIN(Reference!$A$11,MIN($U144,240))),Reference!$A$6:$A$11,1))))/(INDEX(Reference!$A$6:$A$11,MIN(5,MATCH(MAX(Reference!$A$6,MIN(Reference!$A$11,MIN($U144,240))),Reference!$A$6:$A$11,1))+1)-INDEX(Reference!$A$6:$A$11,MIN(5,MATCH(MAX(Reference!$A$6,MIN(Reference!$A$11,MIN($U144,240))),Reference!$A$6:$A$11,1))))),0)+IF(7&lt;=$AL144,($AL144-7+3)*(INDEX(Reference!$B$6:$B$11,MIN(5,MATCH(MAX(Reference!$A$6,MIN(Reference!$A$11,MIN($U144,270))),Reference!$A$6:$A$11,1)))+(MAX(Reference!$A$6,MIN(Reference!$A$11,MIN($U144,270)))-INDEX(Reference!$A$6:$A$11,MIN(5,MATCH(MAX(Reference!$A$6,MIN(Reference!$A$11,MIN($U144,270))),Reference!$A$6:$A$11,1))))*(INDEX(Reference!$B$6:$B$11,MIN(5,MATCH(MAX(Reference!$A$6,MIN(Reference!$A$11,MIN($U144,270))),Reference!$A$6:$A$11,1))+1)-INDEX(Reference!$B$6:$B$11,MIN(5,MATCH(MAX(Reference!$A$6,MIN(Reference!$A$11,MIN($U144,270))),Reference!$A$6:$A$11,1))))/(INDEX(Reference!$A$6:$A$11,MIN(5,MATCH(MAX(Reference!$A$6,MIN(Reference!$A$11,MIN($U144,270))),Reference!$A$6:$A$11,1))+1)-INDEX(Reference!$A$6:$A$11,MIN(5,MATCH(MAX(Reference!$A$6,MIN(Reference!$A$11,MIN($U144,270))),Reference!$A$6:$A$11,1))))),0)+IF(8&lt;=$AL144,($AL144-8+3)*(INDEX(Reference!$B$6:$B$11,MIN(5,MATCH(MAX(Reference!$A$6,MIN(Reference!$A$11,MIN($U144,300))),Reference!$A$6:$A$11,1)))+(MAX(Reference!$A$6,MIN(Reference!$A$11,MIN($U144,300)))-INDEX(Reference!$A$6:$A$11,MIN(5,MATCH(MAX(Reference!$A$6,MIN(Reference!$A$11,MIN($U144,300))),Reference!$A$6:$A$11,1))))*(INDEX(Reference!$B$6:$B$11,MIN(5,MATCH(MAX(Reference!$A$6,MIN(Reference!$A$11,MIN($U144,300))),Reference!$A$6:$A$11,1))+1)-INDEX(Reference!$B$6:$B$11,MIN(5,MATCH(MAX(Reference!$A$6,MIN(Reference!$A$11,MIN($U144,300))),Reference!$A$6:$A$11,1))))/(INDEX(Reference!$A$6:$A$11,MIN(5,MATCH(MAX(Reference!$A$6,MIN(Reference!$A$11,MIN($U144,300))),Reference!$A$6:$A$11,1))+1)-INDEX(Reference!$A$6:$A$11,MIN(5,MATCH(MAX(Reference!$A$6,MIN(Reference!$A$11,MIN($U144,300))),Reference!$A$6:$A$11,1))))),0))/($AL144*($AL144+5)/2)),$AN144))</f>
        <v>0</v>
      </c>
      <c r="AN144" s="32">
        <f>IF($U144="",0,(INDEX(Reference!$B$6:$B$11,MIN(5,MATCH(MAX(Reference!$A$6,MIN(Reference!$A$11,$U144)),Reference!$A$6:$A$11,1)))+(MAX(Reference!$A$6,MIN(Reference!$A$11,$U144))-INDEX(Reference!$A$6:$A$11,MIN(5,MATCH(MAX(Reference!$A$6,MIN(Reference!$A$11,$U144)),Reference!$A$6:$A$11,1))))*(INDEX(Reference!$B$6:$B$11,MIN(5,MATCH(MAX(Reference!$A$6,MIN(Reference!$A$11,$U144)),Reference!$A$6:$A$11,1))+1)-INDEX(Reference!$B$6:$B$11,MIN(5,MATCH(MAX(Reference!$A$6,MIN(Reference!$A$11,$U144)),Reference!$A$6:$A$11,1))))/(INDEX(Reference!$A$6:$A$11,MIN(5,MATCH(MAX(Reference!$A$6,MIN(Reference!$A$11,$U144)),Reference!$A$6:$A$11,1))+1)-INDEX(Reference!$A$6:$A$11,MIN(5,MATCH(MAX(Reference!$A$6,MIN(Reference!$A$11,$U144)),Reference!$A$6:$A$11,1))))))</f>
        <v>0</v>
      </c>
      <c r="AO144" s="37"/>
      <c r="AP144" s="37"/>
      <c r="AQ144" s="37"/>
    </row>
    <row r="145" spans="1:43" x14ac:dyDescent="0.3">
      <c r="A145" s="48" t="str">
        <f t="shared" si="80"/>
        <v/>
      </c>
      <c r="B145" s="32" t="str">
        <f t="shared" si="81"/>
        <v/>
      </c>
      <c r="C145" s="32" t="str">
        <f t="shared" si="82"/>
        <v/>
      </c>
      <c r="D145" s="32" t="str">
        <f t="shared" si="83"/>
        <v/>
      </c>
      <c r="E145" s="32" t="str">
        <f t="shared" si="84"/>
        <v/>
      </c>
      <c r="F145" s="32" t="str">
        <f t="shared" si="85"/>
        <v/>
      </c>
      <c r="G145" s="47" t="str">
        <f t="shared" si="86"/>
        <v/>
      </c>
      <c r="H145" s="30" t="str">
        <f t="shared" si="87"/>
        <v/>
      </c>
      <c r="I145" s="46" t="str">
        <f>IF($A145="","",IF(AND($L145&lt;27,$K$12=0),"Building",IFERROR(((SUM($H$139:$H145)+$K$12*IF($L145&lt;6,SUMIFS('Throw Log'!$Q$5:$Q$300,'Throw Log'!$B$5:$B$300,$D$4,'Throw Log'!$A$5:$A$300,"&gt;="&amp;($D$6+$L145-6),'Throw Log'!$A$5:$A$300,"&lt;="&amp;($D$6-1)),0))/7)/((SUM($H$118:$H145)+$K$12*IF($L145&lt;27,SUMIFS('Throw Log'!$Q$5:$Q$300,'Throw Log'!$B$5:$B$300,$D$4,'Throw Log'!$A$5:$A$300,"&gt;="&amp;($D$6+$L145-27),'Throw Log'!$A$5:$A$300,"&lt;="&amp;($D$6-1)),0))/28),"")))</f>
        <v/>
      </c>
      <c r="J145" s="37"/>
      <c r="K145" s="37"/>
      <c r="L145" s="32">
        <v>102</v>
      </c>
      <c r="M145" s="32">
        <f t="shared" si="88"/>
        <v>15</v>
      </c>
      <c r="N145" s="32">
        <f t="shared" si="89"/>
        <v>4</v>
      </c>
      <c r="O145" s="32">
        <f t="shared" si="90"/>
        <v>1</v>
      </c>
      <c r="P145" s="32" t="str">
        <f>IF(OR($A145="",N($C145)&lt;=7),"",$G$6*$G$9^($M145-1)*IF(AND(MOD($M145,Reference!$B$99)=0,$M145&lt;=$G$5-2),Reference!$B$100,1))</f>
        <v/>
      </c>
      <c r="Q145" s="32" t="str">
        <f>IF($P145="","",IF(SUM($AK$141:$AK$147)=0,0,$P145*INDEX(Reference!$B$108:$B$114,$N145+1)/SUM($AK$141:$AK$147)))</f>
        <v/>
      </c>
      <c r="R145" s="32">
        <f t="shared" si="91"/>
        <v>180</v>
      </c>
      <c r="S145" s="32">
        <f t="shared" si="92"/>
        <v>150</v>
      </c>
      <c r="T145" s="32" t="str">
        <f>IF($A145="","",IF($C145=0,"Bullpen",IF(OR($C145=7,$C145=1,$C145=5),"Recovery/Easy Catch",IF($C145=6,"Compression/Pulldowns",IF(OR($C145=4,$C145=2),"Long Toss",IF($C145=3,"No Throw",IF($N145=2,"No Throw",IF($N145=6,IF($O145&lt;Reference!$B$104,"No Throw","Recovery/Easy Catch"),IF(OR($N145=0,$N145=4),"Recovery/Easy Catch",IF($N145=1,IF($R145&gt;75,"Long Toss","Recovery/Easy Catch"),IF($N145=3,IF($O145&lt;0.5,IF($S145&gt;75,"Long Toss","Recovery/Easy Catch"),"Compression/Pulldowns"),IF($S145&gt;75,"Long Toss","Recovery/Easy Catch"))))))))))))</f>
        <v/>
      </c>
      <c r="U145" s="32" t="str">
        <f t="shared" si="93"/>
        <v/>
      </c>
      <c r="V145" s="32" t="str">
        <f t="shared" si="94"/>
        <v/>
      </c>
      <c r="W145" s="32" t="str">
        <f t="shared" si="95"/>
        <v/>
      </c>
      <c r="X145" s="32">
        <f t="shared" si="96"/>
        <v>0</v>
      </c>
      <c r="Y145" s="32" t="str">
        <f t="shared" si="97"/>
        <v/>
      </c>
      <c r="Z145" s="32" t="str">
        <f t="shared" si="98"/>
        <v/>
      </c>
      <c r="AA145" s="32" t="str">
        <f t="shared" si="99"/>
        <v/>
      </c>
      <c r="AB145" s="32" t="str">
        <f>IF($A145="","",IF($T145="No Throw",0,IF($K145&lt;&gt;"",$K145,IF($AA145&lt;&gt;"",ROUND($AA145*$D$12*IF($C145=0,1,$G$10),0),MIN(IF($T145="Recovery/Easy Catch",Reference!$B$103,IF($T145="Long Toss",Reference!$B$106,Reference!$B$102)),MAX(Reference!$B$101,ROUND(MAX(0,$Q145-$AE145)/$AF145,0)))))))</f>
        <v/>
      </c>
      <c r="AC145" s="32">
        <f t="shared" si="100"/>
        <v>0</v>
      </c>
      <c r="AD145" s="32" t="b">
        <f t="shared" si="101"/>
        <v>1</v>
      </c>
      <c r="AE145" s="32">
        <f>IF($X145=0,0,$X145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145+$Z145)/2,0),Reference!$A$17:$B$20,2,TRUE()))</f>
        <v>0</v>
      </c>
      <c r="AF145" s="32">
        <f>IF(OR($A145="",$U145="",$T145="No Throw"),0,$AM145*VLOOKUP(MAX(($V145+$W145)/2,0),Reference!$A$17:$B$20,2,TRUE()))</f>
        <v>0</v>
      </c>
      <c r="AG145" s="32">
        <f>IF($AC145=0,0,$AC145*INDEX(Reference!$B$61:$B$62,MATCH("Bullpen",Reference!$A$61:$A$62,0))*VLOOKUP(MAX($D$5-($D$9+$E$9)/2,0),Reference!$A$17:$B$20,2,TRUE()))</f>
        <v>0</v>
      </c>
      <c r="AH145" s="32" t="e">
        <f t="shared" si="102"/>
        <v>#N/A</v>
      </c>
      <c r="AI145" s="32" t="e">
        <f>IF($A145="",NA(),Reference!$A$25)</f>
        <v>#N/A</v>
      </c>
      <c r="AJ145" s="32" t="e">
        <f t="shared" si="103"/>
        <v>#N/A</v>
      </c>
      <c r="AK145" s="32">
        <f>IF(OR($A145="",N($C145)&lt;=7,$T145="No Throw",$J145="x"),0,INDEX(Reference!$B$108:$B$114,$N145+1))</f>
        <v>0</v>
      </c>
      <c r="AL145" s="32">
        <f t="shared" si="104"/>
        <v>1</v>
      </c>
      <c r="AM145" s="32">
        <f>IF($U145="",0,IF($AL145&gt;1,((IF(1&lt;=$AL145,($AL145-1+3)*(INDEX(Reference!$B$6:$B$11,MIN(5,MATCH(MAX(Reference!$A$6,MIN(Reference!$A$11,MIN($U145,90))),Reference!$A$6:$A$11,1)))+(MAX(Reference!$A$6,MIN(Reference!$A$11,MIN($U145,90)))-INDEX(Reference!$A$6:$A$11,MIN(5,MATCH(MAX(Reference!$A$6,MIN(Reference!$A$11,MIN($U145,90))),Reference!$A$6:$A$11,1))))*(INDEX(Reference!$B$6:$B$11,MIN(5,MATCH(MAX(Reference!$A$6,MIN(Reference!$A$11,MIN($U145,90))),Reference!$A$6:$A$11,1))+1)-INDEX(Reference!$B$6:$B$11,MIN(5,MATCH(MAX(Reference!$A$6,MIN(Reference!$A$11,MIN($U145,90))),Reference!$A$6:$A$11,1))))/(INDEX(Reference!$A$6:$A$11,MIN(5,MATCH(MAX(Reference!$A$6,MIN(Reference!$A$11,MIN($U145,90))),Reference!$A$6:$A$11,1))+1)-INDEX(Reference!$A$6:$A$11,MIN(5,MATCH(MAX(Reference!$A$6,MIN(Reference!$A$11,MIN($U145,90))),Reference!$A$6:$A$11,1))))),0)+IF(2&lt;=$AL145,($AL145-2+3)*(INDEX(Reference!$B$6:$B$11,MIN(5,MATCH(MAX(Reference!$A$6,MIN(Reference!$A$11,MIN($U145,120))),Reference!$A$6:$A$11,1)))+(MAX(Reference!$A$6,MIN(Reference!$A$11,MIN($U145,120)))-INDEX(Reference!$A$6:$A$11,MIN(5,MATCH(MAX(Reference!$A$6,MIN(Reference!$A$11,MIN($U145,120))),Reference!$A$6:$A$11,1))))*(INDEX(Reference!$B$6:$B$11,MIN(5,MATCH(MAX(Reference!$A$6,MIN(Reference!$A$11,MIN($U145,120))),Reference!$A$6:$A$11,1))+1)-INDEX(Reference!$B$6:$B$11,MIN(5,MATCH(MAX(Reference!$A$6,MIN(Reference!$A$11,MIN($U145,120))),Reference!$A$6:$A$11,1))))/(INDEX(Reference!$A$6:$A$11,MIN(5,MATCH(MAX(Reference!$A$6,MIN(Reference!$A$11,MIN($U145,120))),Reference!$A$6:$A$11,1))+1)-INDEX(Reference!$A$6:$A$11,MIN(5,MATCH(MAX(Reference!$A$6,MIN(Reference!$A$11,MIN($U145,120))),Reference!$A$6:$A$11,1))))),0)+IF(3&lt;=$AL145,($AL145-3+3)*(INDEX(Reference!$B$6:$B$11,MIN(5,MATCH(MAX(Reference!$A$6,MIN(Reference!$A$11,MIN($U145,150))),Reference!$A$6:$A$11,1)))+(MAX(Reference!$A$6,MIN(Reference!$A$11,MIN($U145,150)))-INDEX(Reference!$A$6:$A$11,MIN(5,MATCH(MAX(Reference!$A$6,MIN(Reference!$A$11,MIN($U145,150))),Reference!$A$6:$A$11,1))))*(INDEX(Reference!$B$6:$B$11,MIN(5,MATCH(MAX(Reference!$A$6,MIN(Reference!$A$11,MIN($U145,150))),Reference!$A$6:$A$11,1))+1)-INDEX(Reference!$B$6:$B$11,MIN(5,MATCH(MAX(Reference!$A$6,MIN(Reference!$A$11,MIN($U145,150))),Reference!$A$6:$A$11,1))))/(INDEX(Reference!$A$6:$A$11,MIN(5,MATCH(MAX(Reference!$A$6,MIN(Reference!$A$11,MIN($U145,150))),Reference!$A$6:$A$11,1))+1)-INDEX(Reference!$A$6:$A$11,MIN(5,MATCH(MAX(Reference!$A$6,MIN(Reference!$A$11,MIN($U145,150))),Reference!$A$6:$A$11,1))))),0)+IF(4&lt;=$AL145,($AL145-4+3)*(INDEX(Reference!$B$6:$B$11,MIN(5,MATCH(MAX(Reference!$A$6,MIN(Reference!$A$11,MIN($U145,180))),Reference!$A$6:$A$11,1)))+(MAX(Reference!$A$6,MIN(Reference!$A$11,MIN($U145,180)))-INDEX(Reference!$A$6:$A$11,MIN(5,MATCH(MAX(Reference!$A$6,MIN(Reference!$A$11,MIN($U145,180))),Reference!$A$6:$A$11,1))))*(INDEX(Reference!$B$6:$B$11,MIN(5,MATCH(MAX(Reference!$A$6,MIN(Reference!$A$11,MIN($U145,180))),Reference!$A$6:$A$11,1))+1)-INDEX(Reference!$B$6:$B$11,MIN(5,MATCH(MAX(Reference!$A$6,MIN(Reference!$A$11,MIN($U145,180))),Reference!$A$6:$A$11,1))))/(INDEX(Reference!$A$6:$A$11,MIN(5,MATCH(MAX(Reference!$A$6,MIN(Reference!$A$11,MIN($U145,180))),Reference!$A$6:$A$11,1))+1)-INDEX(Reference!$A$6:$A$11,MIN(5,MATCH(MAX(Reference!$A$6,MIN(Reference!$A$11,MIN($U145,180))),Reference!$A$6:$A$11,1))))),0)+IF(5&lt;=$AL145,($AL145-5+3)*(INDEX(Reference!$B$6:$B$11,MIN(5,MATCH(MAX(Reference!$A$6,MIN(Reference!$A$11,MIN($U145,210))),Reference!$A$6:$A$11,1)))+(MAX(Reference!$A$6,MIN(Reference!$A$11,MIN($U145,210)))-INDEX(Reference!$A$6:$A$11,MIN(5,MATCH(MAX(Reference!$A$6,MIN(Reference!$A$11,MIN($U145,210))),Reference!$A$6:$A$11,1))))*(INDEX(Reference!$B$6:$B$11,MIN(5,MATCH(MAX(Reference!$A$6,MIN(Reference!$A$11,MIN($U145,210))),Reference!$A$6:$A$11,1))+1)-INDEX(Reference!$B$6:$B$11,MIN(5,MATCH(MAX(Reference!$A$6,MIN(Reference!$A$11,MIN($U145,210))),Reference!$A$6:$A$11,1))))/(INDEX(Reference!$A$6:$A$11,MIN(5,MATCH(MAX(Reference!$A$6,MIN(Reference!$A$11,MIN($U145,210))),Reference!$A$6:$A$11,1))+1)-INDEX(Reference!$A$6:$A$11,MIN(5,MATCH(MAX(Reference!$A$6,MIN(Reference!$A$11,MIN($U145,210))),Reference!$A$6:$A$11,1))))),0)+IF(6&lt;=$AL145,($AL145-6+3)*(INDEX(Reference!$B$6:$B$11,MIN(5,MATCH(MAX(Reference!$A$6,MIN(Reference!$A$11,MIN($U145,240))),Reference!$A$6:$A$11,1)))+(MAX(Reference!$A$6,MIN(Reference!$A$11,MIN($U145,240)))-INDEX(Reference!$A$6:$A$11,MIN(5,MATCH(MAX(Reference!$A$6,MIN(Reference!$A$11,MIN($U145,240))),Reference!$A$6:$A$11,1))))*(INDEX(Reference!$B$6:$B$11,MIN(5,MATCH(MAX(Reference!$A$6,MIN(Reference!$A$11,MIN($U145,240))),Reference!$A$6:$A$11,1))+1)-INDEX(Reference!$B$6:$B$11,MIN(5,MATCH(MAX(Reference!$A$6,MIN(Reference!$A$11,MIN($U145,240))),Reference!$A$6:$A$11,1))))/(INDEX(Reference!$A$6:$A$11,MIN(5,MATCH(MAX(Reference!$A$6,MIN(Reference!$A$11,MIN($U145,240))),Reference!$A$6:$A$11,1))+1)-INDEX(Reference!$A$6:$A$11,MIN(5,MATCH(MAX(Reference!$A$6,MIN(Reference!$A$11,MIN($U145,240))),Reference!$A$6:$A$11,1))))),0)+IF(7&lt;=$AL145,($AL145-7+3)*(INDEX(Reference!$B$6:$B$11,MIN(5,MATCH(MAX(Reference!$A$6,MIN(Reference!$A$11,MIN($U145,270))),Reference!$A$6:$A$11,1)))+(MAX(Reference!$A$6,MIN(Reference!$A$11,MIN($U145,270)))-INDEX(Reference!$A$6:$A$11,MIN(5,MATCH(MAX(Reference!$A$6,MIN(Reference!$A$11,MIN($U145,270))),Reference!$A$6:$A$11,1))))*(INDEX(Reference!$B$6:$B$11,MIN(5,MATCH(MAX(Reference!$A$6,MIN(Reference!$A$11,MIN($U145,270))),Reference!$A$6:$A$11,1))+1)-INDEX(Reference!$B$6:$B$11,MIN(5,MATCH(MAX(Reference!$A$6,MIN(Reference!$A$11,MIN($U145,270))),Reference!$A$6:$A$11,1))))/(INDEX(Reference!$A$6:$A$11,MIN(5,MATCH(MAX(Reference!$A$6,MIN(Reference!$A$11,MIN($U145,270))),Reference!$A$6:$A$11,1))+1)-INDEX(Reference!$A$6:$A$11,MIN(5,MATCH(MAX(Reference!$A$6,MIN(Reference!$A$11,MIN($U145,270))),Reference!$A$6:$A$11,1))))),0)+IF(8&lt;=$AL145,($AL145-8+3)*(INDEX(Reference!$B$6:$B$11,MIN(5,MATCH(MAX(Reference!$A$6,MIN(Reference!$A$11,MIN($U145,300))),Reference!$A$6:$A$11,1)))+(MAX(Reference!$A$6,MIN(Reference!$A$11,MIN($U145,300)))-INDEX(Reference!$A$6:$A$11,MIN(5,MATCH(MAX(Reference!$A$6,MIN(Reference!$A$11,MIN($U145,300))),Reference!$A$6:$A$11,1))))*(INDEX(Reference!$B$6:$B$11,MIN(5,MATCH(MAX(Reference!$A$6,MIN(Reference!$A$11,MIN($U145,300))),Reference!$A$6:$A$11,1))+1)-INDEX(Reference!$B$6:$B$11,MIN(5,MATCH(MAX(Reference!$A$6,MIN(Reference!$A$11,MIN($U145,300))),Reference!$A$6:$A$11,1))))/(INDEX(Reference!$A$6:$A$11,MIN(5,MATCH(MAX(Reference!$A$6,MIN(Reference!$A$11,MIN($U145,300))),Reference!$A$6:$A$11,1))+1)-INDEX(Reference!$A$6:$A$11,MIN(5,MATCH(MAX(Reference!$A$6,MIN(Reference!$A$11,MIN($U145,300))),Reference!$A$6:$A$11,1))))),0))/($AL145*($AL145+5)/2)),$AN145))</f>
        <v>0</v>
      </c>
      <c r="AN145" s="32">
        <f>IF($U145="",0,(INDEX(Reference!$B$6:$B$11,MIN(5,MATCH(MAX(Reference!$A$6,MIN(Reference!$A$11,$U145)),Reference!$A$6:$A$11,1)))+(MAX(Reference!$A$6,MIN(Reference!$A$11,$U145))-INDEX(Reference!$A$6:$A$11,MIN(5,MATCH(MAX(Reference!$A$6,MIN(Reference!$A$11,$U145)),Reference!$A$6:$A$11,1))))*(INDEX(Reference!$B$6:$B$11,MIN(5,MATCH(MAX(Reference!$A$6,MIN(Reference!$A$11,$U145)),Reference!$A$6:$A$11,1))+1)-INDEX(Reference!$B$6:$B$11,MIN(5,MATCH(MAX(Reference!$A$6,MIN(Reference!$A$11,$U145)),Reference!$A$6:$A$11,1))))/(INDEX(Reference!$A$6:$A$11,MIN(5,MATCH(MAX(Reference!$A$6,MIN(Reference!$A$11,$U145)),Reference!$A$6:$A$11,1))+1)-INDEX(Reference!$A$6:$A$11,MIN(5,MATCH(MAX(Reference!$A$6,MIN(Reference!$A$11,$U145)),Reference!$A$6:$A$11,1))))))</f>
        <v>0</v>
      </c>
      <c r="AO145" s="37"/>
      <c r="AP145" s="37"/>
      <c r="AQ145" s="37"/>
    </row>
    <row r="146" spans="1:43" x14ac:dyDescent="0.3">
      <c r="A146" s="48" t="str">
        <f t="shared" si="80"/>
        <v/>
      </c>
      <c r="B146" s="32" t="str">
        <f t="shared" si="81"/>
        <v/>
      </c>
      <c r="C146" s="32" t="str">
        <f t="shared" si="82"/>
        <v/>
      </c>
      <c r="D146" s="32" t="str">
        <f t="shared" si="83"/>
        <v/>
      </c>
      <c r="E146" s="32" t="str">
        <f t="shared" si="84"/>
        <v/>
      </c>
      <c r="F146" s="32" t="str">
        <f t="shared" si="85"/>
        <v/>
      </c>
      <c r="G146" s="47" t="str">
        <f t="shared" si="86"/>
        <v/>
      </c>
      <c r="H146" s="30" t="str">
        <f t="shared" si="87"/>
        <v/>
      </c>
      <c r="I146" s="46" t="str">
        <f>IF($A146="","",IF(AND($L146&lt;27,$K$12=0),"Building",IFERROR(((SUM($H$140:$H146)+$K$12*IF($L146&lt;6,SUMIFS('Throw Log'!$Q$5:$Q$300,'Throw Log'!$B$5:$B$300,$D$4,'Throw Log'!$A$5:$A$300,"&gt;="&amp;($D$6+$L146-6),'Throw Log'!$A$5:$A$300,"&lt;="&amp;($D$6-1)),0))/7)/((SUM($H$119:$H146)+$K$12*IF($L146&lt;27,SUMIFS('Throw Log'!$Q$5:$Q$300,'Throw Log'!$B$5:$B$300,$D$4,'Throw Log'!$A$5:$A$300,"&gt;="&amp;($D$6+$L146-27),'Throw Log'!$A$5:$A$300,"&lt;="&amp;($D$6-1)),0))/28),"")))</f>
        <v/>
      </c>
      <c r="J146" s="37"/>
      <c r="K146" s="37"/>
      <c r="L146" s="32">
        <v>103</v>
      </c>
      <c r="M146" s="32">
        <f t="shared" si="88"/>
        <v>15</v>
      </c>
      <c r="N146" s="32">
        <f t="shared" si="89"/>
        <v>5</v>
      </c>
      <c r="O146" s="32">
        <f t="shared" si="90"/>
        <v>1</v>
      </c>
      <c r="P146" s="32" t="str">
        <f>IF(OR($A146="",N($C146)&lt;=7),"",$G$6*$G$9^($M146-1)*IF(AND(MOD($M146,Reference!$B$99)=0,$M146&lt;=$G$5-2),Reference!$B$100,1))</f>
        <v/>
      </c>
      <c r="Q146" s="32" t="str">
        <f>IF($P146="","",IF(SUM($AK$141:$AK$147)=0,0,$P146*INDEX(Reference!$B$108:$B$114,$N146+1)/SUM($AK$141:$AK$147)))</f>
        <v/>
      </c>
      <c r="R146" s="32">
        <f t="shared" si="91"/>
        <v>180</v>
      </c>
      <c r="S146" s="32">
        <f t="shared" si="92"/>
        <v>150</v>
      </c>
      <c r="T146" s="32" t="str">
        <f>IF($A146="","",IF($C146=0,"Bullpen",IF(OR($C146=7,$C146=1,$C146=5),"Recovery/Easy Catch",IF($C146=6,"Compression/Pulldowns",IF(OR($C146=4,$C146=2),"Long Toss",IF($C146=3,"No Throw",IF($N146=2,"No Throw",IF($N146=6,IF($O146&lt;Reference!$B$104,"No Throw","Recovery/Easy Catch"),IF(OR($N146=0,$N146=4),"Recovery/Easy Catch",IF($N146=1,IF($R146&gt;75,"Long Toss","Recovery/Easy Catch"),IF($N146=3,IF($O146&lt;0.5,IF($S146&gt;75,"Long Toss","Recovery/Easy Catch"),"Compression/Pulldowns"),IF($S146&gt;75,"Long Toss","Recovery/Easy Catch"))))))))))))</f>
        <v/>
      </c>
      <c r="U146" s="32" t="str">
        <f t="shared" si="93"/>
        <v/>
      </c>
      <c r="V146" s="32" t="str">
        <f t="shared" si="94"/>
        <v/>
      </c>
      <c r="W146" s="32" t="str">
        <f t="shared" si="95"/>
        <v/>
      </c>
      <c r="X146" s="32">
        <f t="shared" si="96"/>
        <v>0</v>
      </c>
      <c r="Y146" s="32" t="str">
        <f t="shared" si="97"/>
        <v/>
      </c>
      <c r="Z146" s="32" t="str">
        <f t="shared" si="98"/>
        <v/>
      </c>
      <c r="AA146" s="32" t="str">
        <f t="shared" si="99"/>
        <v/>
      </c>
      <c r="AB146" s="32" t="str">
        <f>IF($A146="","",IF($T146="No Throw",0,IF($K146&lt;&gt;"",$K146,IF($AA146&lt;&gt;"",ROUND($AA146*$D$12*IF($C146=0,1,$G$10),0),MIN(IF($T146="Recovery/Easy Catch",Reference!$B$103,IF($T146="Long Toss",Reference!$B$106,Reference!$B$102)),MAX(Reference!$B$101,ROUND(MAX(0,$Q146-$AE146)/$AF146,0)))))))</f>
        <v/>
      </c>
      <c r="AC146" s="32">
        <f t="shared" si="100"/>
        <v>0</v>
      </c>
      <c r="AD146" s="32" t="b">
        <f t="shared" si="101"/>
        <v>1</v>
      </c>
      <c r="AE146" s="32">
        <f>IF($X146=0,0,$X146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146+$Z146)/2,0),Reference!$A$17:$B$20,2,TRUE()))</f>
        <v>0</v>
      </c>
      <c r="AF146" s="32">
        <f>IF(OR($A146="",$U146="",$T146="No Throw"),0,$AM146*VLOOKUP(MAX(($V146+$W146)/2,0),Reference!$A$17:$B$20,2,TRUE()))</f>
        <v>0</v>
      </c>
      <c r="AG146" s="32">
        <f>IF($AC146=0,0,$AC146*INDEX(Reference!$B$61:$B$62,MATCH("Bullpen",Reference!$A$61:$A$62,0))*VLOOKUP(MAX($D$5-($D$9+$E$9)/2,0),Reference!$A$17:$B$20,2,TRUE()))</f>
        <v>0</v>
      </c>
      <c r="AH146" s="32" t="e">
        <f t="shared" si="102"/>
        <v>#N/A</v>
      </c>
      <c r="AI146" s="32" t="e">
        <f>IF($A146="",NA(),Reference!$A$25)</f>
        <v>#N/A</v>
      </c>
      <c r="AJ146" s="32" t="e">
        <f t="shared" si="103"/>
        <v>#N/A</v>
      </c>
      <c r="AK146" s="32">
        <f>IF(OR($A146="",N($C146)&lt;=7,$T146="No Throw",$J146="x"),0,INDEX(Reference!$B$108:$B$114,$N146+1))</f>
        <v>0</v>
      </c>
      <c r="AL146" s="32">
        <f t="shared" si="104"/>
        <v>1</v>
      </c>
      <c r="AM146" s="32">
        <f>IF($U146="",0,IF($AL146&gt;1,((IF(1&lt;=$AL146,($AL146-1+3)*(INDEX(Reference!$B$6:$B$11,MIN(5,MATCH(MAX(Reference!$A$6,MIN(Reference!$A$11,MIN($U146,90))),Reference!$A$6:$A$11,1)))+(MAX(Reference!$A$6,MIN(Reference!$A$11,MIN($U146,90)))-INDEX(Reference!$A$6:$A$11,MIN(5,MATCH(MAX(Reference!$A$6,MIN(Reference!$A$11,MIN($U146,90))),Reference!$A$6:$A$11,1))))*(INDEX(Reference!$B$6:$B$11,MIN(5,MATCH(MAX(Reference!$A$6,MIN(Reference!$A$11,MIN($U146,90))),Reference!$A$6:$A$11,1))+1)-INDEX(Reference!$B$6:$B$11,MIN(5,MATCH(MAX(Reference!$A$6,MIN(Reference!$A$11,MIN($U146,90))),Reference!$A$6:$A$11,1))))/(INDEX(Reference!$A$6:$A$11,MIN(5,MATCH(MAX(Reference!$A$6,MIN(Reference!$A$11,MIN($U146,90))),Reference!$A$6:$A$11,1))+1)-INDEX(Reference!$A$6:$A$11,MIN(5,MATCH(MAX(Reference!$A$6,MIN(Reference!$A$11,MIN($U146,90))),Reference!$A$6:$A$11,1))))),0)+IF(2&lt;=$AL146,($AL146-2+3)*(INDEX(Reference!$B$6:$B$11,MIN(5,MATCH(MAX(Reference!$A$6,MIN(Reference!$A$11,MIN($U146,120))),Reference!$A$6:$A$11,1)))+(MAX(Reference!$A$6,MIN(Reference!$A$11,MIN($U146,120)))-INDEX(Reference!$A$6:$A$11,MIN(5,MATCH(MAX(Reference!$A$6,MIN(Reference!$A$11,MIN($U146,120))),Reference!$A$6:$A$11,1))))*(INDEX(Reference!$B$6:$B$11,MIN(5,MATCH(MAX(Reference!$A$6,MIN(Reference!$A$11,MIN($U146,120))),Reference!$A$6:$A$11,1))+1)-INDEX(Reference!$B$6:$B$11,MIN(5,MATCH(MAX(Reference!$A$6,MIN(Reference!$A$11,MIN($U146,120))),Reference!$A$6:$A$11,1))))/(INDEX(Reference!$A$6:$A$11,MIN(5,MATCH(MAX(Reference!$A$6,MIN(Reference!$A$11,MIN($U146,120))),Reference!$A$6:$A$11,1))+1)-INDEX(Reference!$A$6:$A$11,MIN(5,MATCH(MAX(Reference!$A$6,MIN(Reference!$A$11,MIN($U146,120))),Reference!$A$6:$A$11,1))))),0)+IF(3&lt;=$AL146,($AL146-3+3)*(INDEX(Reference!$B$6:$B$11,MIN(5,MATCH(MAX(Reference!$A$6,MIN(Reference!$A$11,MIN($U146,150))),Reference!$A$6:$A$11,1)))+(MAX(Reference!$A$6,MIN(Reference!$A$11,MIN($U146,150)))-INDEX(Reference!$A$6:$A$11,MIN(5,MATCH(MAX(Reference!$A$6,MIN(Reference!$A$11,MIN($U146,150))),Reference!$A$6:$A$11,1))))*(INDEX(Reference!$B$6:$B$11,MIN(5,MATCH(MAX(Reference!$A$6,MIN(Reference!$A$11,MIN($U146,150))),Reference!$A$6:$A$11,1))+1)-INDEX(Reference!$B$6:$B$11,MIN(5,MATCH(MAX(Reference!$A$6,MIN(Reference!$A$11,MIN($U146,150))),Reference!$A$6:$A$11,1))))/(INDEX(Reference!$A$6:$A$11,MIN(5,MATCH(MAX(Reference!$A$6,MIN(Reference!$A$11,MIN($U146,150))),Reference!$A$6:$A$11,1))+1)-INDEX(Reference!$A$6:$A$11,MIN(5,MATCH(MAX(Reference!$A$6,MIN(Reference!$A$11,MIN($U146,150))),Reference!$A$6:$A$11,1))))),0)+IF(4&lt;=$AL146,($AL146-4+3)*(INDEX(Reference!$B$6:$B$11,MIN(5,MATCH(MAX(Reference!$A$6,MIN(Reference!$A$11,MIN($U146,180))),Reference!$A$6:$A$11,1)))+(MAX(Reference!$A$6,MIN(Reference!$A$11,MIN($U146,180)))-INDEX(Reference!$A$6:$A$11,MIN(5,MATCH(MAX(Reference!$A$6,MIN(Reference!$A$11,MIN($U146,180))),Reference!$A$6:$A$11,1))))*(INDEX(Reference!$B$6:$B$11,MIN(5,MATCH(MAX(Reference!$A$6,MIN(Reference!$A$11,MIN($U146,180))),Reference!$A$6:$A$11,1))+1)-INDEX(Reference!$B$6:$B$11,MIN(5,MATCH(MAX(Reference!$A$6,MIN(Reference!$A$11,MIN($U146,180))),Reference!$A$6:$A$11,1))))/(INDEX(Reference!$A$6:$A$11,MIN(5,MATCH(MAX(Reference!$A$6,MIN(Reference!$A$11,MIN($U146,180))),Reference!$A$6:$A$11,1))+1)-INDEX(Reference!$A$6:$A$11,MIN(5,MATCH(MAX(Reference!$A$6,MIN(Reference!$A$11,MIN($U146,180))),Reference!$A$6:$A$11,1))))),0)+IF(5&lt;=$AL146,($AL146-5+3)*(INDEX(Reference!$B$6:$B$11,MIN(5,MATCH(MAX(Reference!$A$6,MIN(Reference!$A$11,MIN($U146,210))),Reference!$A$6:$A$11,1)))+(MAX(Reference!$A$6,MIN(Reference!$A$11,MIN($U146,210)))-INDEX(Reference!$A$6:$A$11,MIN(5,MATCH(MAX(Reference!$A$6,MIN(Reference!$A$11,MIN($U146,210))),Reference!$A$6:$A$11,1))))*(INDEX(Reference!$B$6:$B$11,MIN(5,MATCH(MAX(Reference!$A$6,MIN(Reference!$A$11,MIN($U146,210))),Reference!$A$6:$A$11,1))+1)-INDEX(Reference!$B$6:$B$11,MIN(5,MATCH(MAX(Reference!$A$6,MIN(Reference!$A$11,MIN($U146,210))),Reference!$A$6:$A$11,1))))/(INDEX(Reference!$A$6:$A$11,MIN(5,MATCH(MAX(Reference!$A$6,MIN(Reference!$A$11,MIN($U146,210))),Reference!$A$6:$A$11,1))+1)-INDEX(Reference!$A$6:$A$11,MIN(5,MATCH(MAX(Reference!$A$6,MIN(Reference!$A$11,MIN($U146,210))),Reference!$A$6:$A$11,1))))),0)+IF(6&lt;=$AL146,($AL146-6+3)*(INDEX(Reference!$B$6:$B$11,MIN(5,MATCH(MAX(Reference!$A$6,MIN(Reference!$A$11,MIN($U146,240))),Reference!$A$6:$A$11,1)))+(MAX(Reference!$A$6,MIN(Reference!$A$11,MIN($U146,240)))-INDEX(Reference!$A$6:$A$11,MIN(5,MATCH(MAX(Reference!$A$6,MIN(Reference!$A$11,MIN($U146,240))),Reference!$A$6:$A$11,1))))*(INDEX(Reference!$B$6:$B$11,MIN(5,MATCH(MAX(Reference!$A$6,MIN(Reference!$A$11,MIN($U146,240))),Reference!$A$6:$A$11,1))+1)-INDEX(Reference!$B$6:$B$11,MIN(5,MATCH(MAX(Reference!$A$6,MIN(Reference!$A$11,MIN($U146,240))),Reference!$A$6:$A$11,1))))/(INDEX(Reference!$A$6:$A$11,MIN(5,MATCH(MAX(Reference!$A$6,MIN(Reference!$A$11,MIN($U146,240))),Reference!$A$6:$A$11,1))+1)-INDEX(Reference!$A$6:$A$11,MIN(5,MATCH(MAX(Reference!$A$6,MIN(Reference!$A$11,MIN($U146,240))),Reference!$A$6:$A$11,1))))),0)+IF(7&lt;=$AL146,($AL146-7+3)*(INDEX(Reference!$B$6:$B$11,MIN(5,MATCH(MAX(Reference!$A$6,MIN(Reference!$A$11,MIN($U146,270))),Reference!$A$6:$A$11,1)))+(MAX(Reference!$A$6,MIN(Reference!$A$11,MIN($U146,270)))-INDEX(Reference!$A$6:$A$11,MIN(5,MATCH(MAX(Reference!$A$6,MIN(Reference!$A$11,MIN($U146,270))),Reference!$A$6:$A$11,1))))*(INDEX(Reference!$B$6:$B$11,MIN(5,MATCH(MAX(Reference!$A$6,MIN(Reference!$A$11,MIN($U146,270))),Reference!$A$6:$A$11,1))+1)-INDEX(Reference!$B$6:$B$11,MIN(5,MATCH(MAX(Reference!$A$6,MIN(Reference!$A$11,MIN($U146,270))),Reference!$A$6:$A$11,1))))/(INDEX(Reference!$A$6:$A$11,MIN(5,MATCH(MAX(Reference!$A$6,MIN(Reference!$A$11,MIN($U146,270))),Reference!$A$6:$A$11,1))+1)-INDEX(Reference!$A$6:$A$11,MIN(5,MATCH(MAX(Reference!$A$6,MIN(Reference!$A$11,MIN($U146,270))),Reference!$A$6:$A$11,1))))),0)+IF(8&lt;=$AL146,($AL146-8+3)*(INDEX(Reference!$B$6:$B$11,MIN(5,MATCH(MAX(Reference!$A$6,MIN(Reference!$A$11,MIN($U146,300))),Reference!$A$6:$A$11,1)))+(MAX(Reference!$A$6,MIN(Reference!$A$11,MIN($U146,300)))-INDEX(Reference!$A$6:$A$11,MIN(5,MATCH(MAX(Reference!$A$6,MIN(Reference!$A$11,MIN($U146,300))),Reference!$A$6:$A$11,1))))*(INDEX(Reference!$B$6:$B$11,MIN(5,MATCH(MAX(Reference!$A$6,MIN(Reference!$A$11,MIN($U146,300))),Reference!$A$6:$A$11,1))+1)-INDEX(Reference!$B$6:$B$11,MIN(5,MATCH(MAX(Reference!$A$6,MIN(Reference!$A$11,MIN($U146,300))),Reference!$A$6:$A$11,1))))/(INDEX(Reference!$A$6:$A$11,MIN(5,MATCH(MAX(Reference!$A$6,MIN(Reference!$A$11,MIN($U146,300))),Reference!$A$6:$A$11,1))+1)-INDEX(Reference!$A$6:$A$11,MIN(5,MATCH(MAX(Reference!$A$6,MIN(Reference!$A$11,MIN($U146,300))),Reference!$A$6:$A$11,1))))),0))/($AL146*($AL146+5)/2)),$AN146))</f>
        <v>0</v>
      </c>
      <c r="AN146" s="32">
        <f>IF($U146="",0,(INDEX(Reference!$B$6:$B$11,MIN(5,MATCH(MAX(Reference!$A$6,MIN(Reference!$A$11,$U146)),Reference!$A$6:$A$11,1)))+(MAX(Reference!$A$6,MIN(Reference!$A$11,$U146))-INDEX(Reference!$A$6:$A$11,MIN(5,MATCH(MAX(Reference!$A$6,MIN(Reference!$A$11,$U146)),Reference!$A$6:$A$11,1))))*(INDEX(Reference!$B$6:$B$11,MIN(5,MATCH(MAX(Reference!$A$6,MIN(Reference!$A$11,$U146)),Reference!$A$6:$A$11,1))+1)-INDEX(Reference!$B$6:$B$11,MIN(5,MATCH(MAX(Reference!$A$6,MIN(Reference!$A$11,$U146)),Reference!$A$6:$A$11,1))))/(INDEX(Reference!$A$6:$A$11,MIN(5,MATCH(MAX(Reference!$A$6,MIN(Reference!$A$11,$U146)),Reference!$A$6:$A$11,1))+1)-INDEX(Reference!$A$6:$A$11,MIN(5,MATCH(MAX(Reference!$A$6,MIN(Reference!$A$11,$U146)),Reference!$A$6:$A$11,1))))))</f>
        <v>0</v>
      </c>
      <c r="AO146" s="37"/>
      <c r="AP146" s="37"/>
      <c r="AQ146" s="37"/>
    </row>
    <row r="147" spans="1:43" x14ac:dyDescent="0.3">
      <c r="A147" s="48" t="str">
        <f t="shared" si="80"/>
        <v/>
      </c>
      <c r="B147" s="32" t="str">
        <f t="shared" si="81"/>
        <v/>
      </c>
      <c r="C147" s="32" t="str">
        <f t="shared" si="82"/>
        <v/>
      </c>
      <c r="D147" s="32" t="str">
        <f t="shared" si="83"/>
        <v/>
      </c>
      <c r="E147" s="32" t="str">
        <f t="shared" si="84"/>
        <v/>
      </c>
      <c r="F147" s="32" t="str">
        <f t="shared" si="85"/>
        <v/>
      </c>
      <c r="G147" s="47" t="str">
        <f t="shared" si="86"/>
        <v/>
      </c>
      <c r="H147" s="30" t="str">
        <f t="shared" si="87"/>
        <v/>
      </c>
      <c r="I147" s="46" t="str">
        <f>IF($A147="","",IF(AND($L147&lt;27,$K$12=0),"Building",IFERROR(((SUM($H$141:$H147)+$K$12*IF($L147&lt;6,SUMIFS('Throw Log'!$Q$5:$Q$300,'Throw Log'!$B$5:$B$300,$D$4,'Throw Log'!$A$5:$A$300,"&gt;="&amp;($D$6+$L147-6),'Throw Log'!$A$5:$A$300,"&lt;="&amp;($D$6-1)),0))/7)/((SUM($H$120:$H147)+$K$12*IF($L147&lt;27,SUMIFS('Throw Log'!$Q$5:$Q$300,'Throw Log'!$B$5:$B$300,$D$4,'Throw Log'!$A$5:$A$300,"&gt;="&amp;($D$6+$L147-27),'Throw Log'!$A$5:$A$300,"&lt;="&amp;($D$6-1)),0))/28),"")))</f>
        <v/>
      </c>
      <c r="J147" s="37"/>
      <c r="K147" s="37"/>
      <c r="L147" s="32">
        <v>104</v>
      </c>
      <c r="M147" s="32">
        <f t="shared" si="88"/>
        <v>15</v>
      </c>
      <c r="N147" s="32">
        <f t="shared" si="89"/>
        <v>6</v>
      </c>
      <c r="O147" s="32">
        <f t="shared" si="90"/>
        <v>1</v>
      </c>
      <c r="P147" s="32" t="str">
        <f>IF(OR($A147="",N($C147)&lt;=7),"",$G$6*$G$9^($M147-1)*IF(AND(MOD($M147,Reference!$B$99)=0,$M147&lt;=$G$5-2),Reference!$B$100,1))</f>
        <v/>
      </c>
      <c r="Q147" s="32" t="str">
        <f>IF($P147="","",IF(SUM($AK$141:$AK$147)=0,0,$P147*INDEX(Reference!$B$108:$B$114,$N147+1)/SUM($AK$141:$AK$147)))</f>
        <v/>
      </c>
      <c r="R147" s="32">
        <f t="shared" si="91"/>
        <v>180</v>
      </c>
      <c r="S147" s="32">
        <f t="shared" si="92"/>
        <v>150</v>
      </c>
      <c r="T147" s="32" t="str">
        <f>IF($A147="","",IF($C147=0,"Bullpen",IF(OR($C147=7,$C147=1,$C147=5),"Recovery/Easy Catch",IF($C147=6,"Compression/Pulldowns",IF(OR($C147=4,$C147=2),"Long Toss",IF($C147=3,"No Throw",IF($N147=2,"No Throw",IF($N147=6,IF($O147&lt;Reference!$B$104,"No Throw","Recovery/Easy Catch"),IF(OR($N147=0,$N147=4),"Recovery/Easy Catch",IF($N147=1,IF($R147&gt;75,"Long Toss","Recovery/Easy Catch"),IF($N147=3,IF($O147&lt;0.5,IF($S147&gt;75,"Long Toss","Recovery/Easy Catch"),"Compression/Pulldowns"),IF($S147&gt;75,"Long Toss","Recovery/Easy Catch"))))))))))))</f>
        <v/>
      </c>
      <c r="U147" s="32" t="str">
        <f t="shared" si="93"/>
        <v/>
      </c>
      <c r="V147" s="32" t="str">
        <f t="shared" si="94"/>
        <v/>
      </c>
      <c r="W147" s="32" t="str">
        <f t="shared" si="95"/>
        <v/>
      </c>
      <c r="X147" s="32">
        <f t="shared" si="96"/>
        <v>0</v>
      </c>
      <c r="Y147" s="32" t="str">
        <f t="shared" si="97"/>
        <v/>
      </c>
      <c r="Z147" s="32" t="str">
        <f t="shared" si="98"/>
        <v/>
      </c>
      <c r="AA147" s="32" t="str">
        <f t="shared" si="99"/>
        <v/>
      </c>
      <c r="AB147" s="32" t="str">
        <f>IF($A147="","",IF($T147="No Throw",0,IF($K147&lt;&gt;"",$K147,IF($AA147&lt;&gt;"",ROUND($AA147*$D$12*IF($C147=0,1,$G$10),0),MIN(IF($T147="Recovery/Easy Catch",Reference!$B$103,IF($T147="Long Toss",Reference!$B$106,Reference!$B$102)),MAX(Reference!$B$101,ROUND(MAX(0,$Q147-$AE147)/$AF147,0)))))))</f>
        <v/>
      </c>
      <c r="AC147" s="32">
        <f t="shared" si="100"/>
        <v>0</v>
      </c>
      <c r="AD147" s="32" t="b">
        <f t="shared" si="101"/>
        <v>1</v>
      </c>
      <c r="AE147" s="32">
        <f>IF($X147=0,0,$X147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147+$Z147)/2,0),Reference!$A$17:$B$20,2,TRUE()))</f>
        <v>0</v>
      </c>
      <c r="AF147" s="32">
        <f>IF(OR($A147="",$U147="",$T147="No Throw"),0,$AM147*VLOOKUP(MAX(($V147+$W147)/2,0),Reference!$A$17:$B$20,2,TRUE()))</f>
        <v>0</v>
      </c>
      <c r="AG147" s="32">
        <f>IF($AC147=0,0,$AC147*INDEX(Reference!$B$61:$B$62,MATCH("Bullpen",Reference!$A$61:$A$62,0))*VLOOKUP(MAX($D$5-($D$9+$E$9)/2,0),Reference!$A$17:$B$20,2,TRUE()))</f>
        <v>0</v>
      </c>
      <c r="AH147" s="32" t="e">
        <f t="shared" si="102"/>
        <v>#N/A</v>
      </c>
      <c r="AI147" s="32" t="e">
        <f>IF($A147="",NA(),Reference!$A$25)</f>
        <v>#N/A</v>
      </c>
      <c r="AJ147" s="32" t="e">
        <f t="shared" si="103"/>
        <v>#N/A</v>
      </c>
      <c r="AK147" s="32">
        <f>IF(OR($A147="",N($C147)&lt;=7,$T147="No Throw",$J147="x"),0,INDEX(Reference!$B$108:$B$114,$N147+1))</f>
        <v>0</v>
      </c>
      <c r="AL147" s="32">
        <f t="shared" si="104"/>
        <v>1</v>
      </c>
      <c r="AM147" s="32">
        <f>IF($U147="",0,IF($AL147&gt;1,((IF(1&lt;=$AL147,($AL147-1+3)*(INDEX(Reference!$B$6:$B$11,MIN(5,MATCH(MAX(Reference!$A$6,MIN(Reference!$A$11,MIN($U147,90))),Reference!$A$6:$A$11,1)))+(MAX(Reference!$A$6,MIN(Reference!$A$11,MIN($U147,90)))-INDEX(Reference!$A$6:$A$11,MIN(5,MATCH(MAX(Reference!$A$6,MIN(Reference!$A$11,MIN($U147,90))),Reference!$A$6:$A$11,1))))*(INDEX(Reference!$B$6:$B$11,MIN(5,MATCH(MAX(Reference!$A$6,MIN(Reference!$A$11,MIN($U147,90))),Reference!$A$6:$A$11,1))+1)-INDEX(Reference!$B$6:$B$11,MIN(5,MATCH(MAX(Reference!$A$6,MIN(Reference!$A$11,MIN($U147,90))),Reference!$A$6:$A$11,1))))/(INDEX(Reference!$A$6:$A$11,MIN(5,MATCH(MAX(Reference!$A$6,MIN(Reference!$A$11,MIN($U147,90))),Reference!$A$6:$A$11,1))+1)-INDEX(Reference!$A$6:$A$11,MIN(5,MATCH(MAX(Reference!$A$6,MIN(Reference!$A$11,MIN($U147,90))),Reference!$A$6:$A$11,1))))),0)+IF(2&lt;=$AL147,($AL147-2+3)*(INDEX(Reference!$B$6:$B$11,MIN(5,MATCH(MAX(Reference!$A$6,MIN(Reference!$A$11,MIN($U147,120))),Reference!$A$6:$A$11,1)))+(MAX(Reference!$A$6,MIN(Reference!$A$11,MIN($U147,120)))-INDEX(Reference!$A$6:$A$11,MIN(5,MATCH(MAX(Reference!$A$6,MIN(Reference!$A$11,MIN($U147,120))),Reference!$A$6:$A$11,1))))*(INDEX(Reference!$B$6:$B$11,MIN(5,MATCH(MAX(Reference!$A$6,MIN(Reference!$A$11,MIN($U147,120))),Reference!$A$6:$A$11,1))+1)-INDEX(Reference!$B$6:$B$11,MIN(5,MATCH(MAX(Reference!$A$6,MIN(Reference!$A$11,MIN($U147,120))),Reference!$A$6:$A$11,1))))/(INDEX(Reference!$A$6:$A$11,MIN(5,MATCH(MAX(Reference!$A$6,MIN(Reference!$A$11,MIN($U147,120))),Reference!$A$6:$A$11,1))+1)-INDEX(Reference!$A$6:$A$11,MIN(5,MATCH(MAX(Reference!$A$6,MIN(Reference!$A$11,MIN($U147,120))),Reference!$A$6:$A$11,1))))),0)+IF(3&lt;=$AL147,($AL147-3+3)*(INDEX(Reference!$B$6:$B$11,MIN(5,MATCH(MAX(Reference!$A$6,MIN(Reference!$A$11,MIN($U147,150))),Reference!$A$6:$A$11,1)))+(MAX(Reference!$A$6,MIN(Reference!$A$11,MIN($U147,150)))-INDEX(Reference!$A$6:$A$11,MIN(5,MATCH(MAX(Reference!$A$6,MIN(Reference!$A$11,MIN($U147,150))),Reference!$A$6:$A$11,1))))*(INDEX(Reference!$B$6:$B$11,MIN(5,MATCH(MAX(Reference!$A$6,MIN(Reference!$A$11,MIN($U147,150))),Reference!$A$6:$A$11,1))+1)-INDEX(Reference!$B$6:$B$11,MIN(5,MATCH(MAX(Reference!$A$6,MIN(Reference!$A$11,MIN($U147,150))),Reference!$A$6:$A$11,1))))/(INDEX(Reference!$A$6:$A$11,MIN(5,MATCH(MAX(Reference!$A$6,MIN(Reference!$A$11,MIN($U147,150))),Reference!$A$6:$A$11,1))+1)-INDEX(Reference!$A$6:$A$11,MIN(5,MATCH(MAX(Reference!$A$6,MIN(Reference!$A$11,MIN($U147,150))),Reference!$A$6:$A$11,1))))),0)+IF(4&lt;=$AL147,($AL147-4+3)*(INDEX(Reference!$B$6:$B$11,MIN(5,MATCH(MAX(Reference!$A$6,MIN(Reference!$A$11,MIN($U147,180))),Reference!$A$6:$A$11,1)))+(MAX(Reference!$A$6,MIN(Reference!$A$11,MIN($U147,180)))-INDEX(Reference!$A$6:$A$11,MIN(5,MATCH(MAX(Reference!$A$6,MIN(Reference!$A$11,MIN($U147,180))),Reference!$A$6:$A$11,1))))*(INDEX(Reference!$B$6:$B$11,MIN(5,MATCH(MAX(Reference!$A$6,MIN(Reference!$A$11,MIN($U147,180))),Reference!$A$6:$A$11,1))+1)-INDEX(Reference!$B$6:$B$11,MIN(5,MATCH(MAX(Reference!$A$6,MIN(Reference!$A$11,MIN($U147,180))),Reference!$A$6:$A$11,1))))/(INDEX(Reference!$A$6:$A$11,MIN(5,MATCH(MAX(Reference!$A$6,MIN(Reference!$A$11,MIN($U147,180))),Reference!$A$6:$A$11,1))+1)-INDEX(Reference!$A$6:$A$11,MIN(5,MATCH(MAX(Reference!$A$6,MIN(Reference!$A$11,MIN($U147,180))),Reference!$A$6:$A$11,1))))),0)+IF(5&lt;=$AL147,($AL147-5+3)*(INDEX(Reference!$B$6:$B$11,MIN(5,MATCH(MAX(Reference!$A$6,MIN(Reference!$A$11,MIN($U147,210))),Reference!$A$6:$A$11,1)))+(MAX(Reference!$A$6,MIN(Reference!$A$11,MIN($U147,210)))-INDEX(Reference!$A$6:$A$11,MIN(5,MATCH(MAX(Reference!$A$6,MIN(Reference!$A$11,MIN($U147,210))),Reference!$A$6:$A$11,1))))*(INDEX(Reference!$B$6:$B$11,MIN(5,MATCH(MAX(Reference!$A$6,MIN(Reference!$A$11,MIN($U147,210))),Reference!$A$6:$A$11,1))+1)-INDEX(Reference!$B$6:$B$11,MIN(5,MATCH(MAX(Reference!$A$6,MIN(Reference!$A$11,MIN($U147,210))),Reference!$A$6:$A$11,1))))/(INDEX(Reference!$A$6:$A$11,MIN(5,MATCH(MAX(Reference!$A$6,MIN(Reference!$A$11,MIN($U147,210))),Reference!$A$6:$A$11,1))+1)-INDEX(Reference!$A$6:$A$11,MIN(5,MATCH(MAX(Reference!$A$6,MIN(Reference!$A$11,MIN($U147,210))),Reference!$A$6:$A$11,1))))),0)+IF(6&lt;=$AL147,($AL147-6+3)*(INDEX(Reference!$B$6:$B$11,MIN(5,MATCH(MAX(Reference!$A$6,MIN(Reference!$A$11,MIN($U147,240))),Reference!$A$6:$A$11,1)))+(MAX(Reference!$A$6,MIN(Reference!$A$11,MIN($U147,240)))-INDEX(Reference!$A$6:$A$11,MIN(5,MATCH(MAX(Reference!$A$6,MIN(Reference!$A$11,MIN($U147,240))),Reference!$A$6:$A$11,1))))*(INDEX(Reference!$B$6:$B$11,MIN(5,MATCH(MAX(Reference!$A$6,MIN(Reference!$A$11,MIN($U147,240))),Reference!$A$6:$A$11,1))+1)-INDEX(Reference!$B$6:$B$11,MIN(5,MATCH(MAX(Reference!$A$6,MIN(Reference!$A$11,MIN($U147,240))),Reference!$A$6:$A$11,1))))/(INDEX(Reference!$A$6:$A$11,MIN(5,MATCH(MAX(Reference!$A$6,MIN(Reference!$A$11,MIN($U147,240))),Reference!$A$6:$A$11,1))+1)-INDEX(Reference!$A$6:$A$11,MIN(5,MATCH(MAX(Reference!$A$6,MIN(Reference!$A$11,MIN($U147,240))),Reference!$A$6:$A$11,1))))),0)+IF(7&lt;=$AL147,($AL147-7+3)*(INDEX(Reference!$B$6:$B$11,MIN(5,MATCH(MAX(Reference!$A$6,MIN(Reference!$A$11,MIN($U147,270))),Reference!$A$6:$A$11,1)))+(MAX(Reference!$A$6,MIN(Reference!$A$11,MIN($U147,270)))-INDEX(Reference!$A$6:$A$11,MIN(5,MATCH(MAX(Reference!$A$6,MIN(Reference!$A$11,MIN($U147,270))),Reference!$A$6:$A$11,1))))*(INDEX(Reference!$B$6:$B$11,MIN(5,MATCH(MAX(Reference!$A$6,MIN(Reference!$A$11,MIN($U147,270))),Reference!$A$6:$A$11,1))+1)-INDEX(Reference!$B$6:$B$11,MIN(5,MATCH(MAX(Reference!$A$6,MIN(Reference!$A$11,MIN($U147,270))),Reference!$A$6:$A$11,1))))/(INDEX(Reference!$A$6:$A$11,MIN(5,MATCH(MAX(Reference!$A$6,MIN(Reference!$A$11,MIN($U147,270))),Reference!$A$6:$A$11,1))+1)-INDEX(Reference!$A$6:$A$11,MIN(5,MATCH(MAX(Reference!$A$6,MIN(Reference!$A$11,MIN($U147,270))),Reference!$A$6:$A$11,1))))),0)+IF(8&lt;=$AL147,($AL147-8+3)*(INDEX(Reference!$B$6:$B$11,MIN(5,MATCH(MAX(Reference!$A$6,MIN(Reference!$A$11,MIN($U147,300))),Reference!$A$6:$A$11,1)))+(MAX(Reference!$A$6,MIN(Reference!$A$11,MIN($U147,300)))-INDEX(Reference!$A$6:$A$11,MIN(5,MATCH(MAX(Reference!$A$6,MIN(Reference!$A$11,MIN($U147,300))),Reference!$A$6:$A$11,1))))*(INDEX(Reference!$B$6:$B$11,MIN(5,MATCH(MAX(Reference!$A$6,MIN(Reference!$A$11,MIN($U147,300))),Reference!$A$6:$A$11,1))+1)-INDEX(Reference!$B$6:$B$11,MIN(5,MATCH(MAX(Reference!$A$6,MIN(Reference!$A$11,MIN($U147,300))),Reference!$A$6:$A$11,1))))/(INDEX(Reference!$A$6:$A$11,MIN(5,MATCH(MAX(Reference!$A$6,MIN(Reference!$A$11,MIN($U147,300))),Reference!$A$6:$A$11,1))+1)-INDEX(Reference!$A$6:$A$11,MIN(5,MATCH(MAX(Reference!$A$6,MIN(Reference!$A$11,MIN($U147,300))),Reference!$A$6:$A$11,1))))),0))/($AL147*($AL147+5)/2)),$AN147))</f>
        <v>0</v>
      </c>
      <c r="AN147" s="32">
        <f>IF($U147="",0,(INDEX(Reference!$B$6:$B$11,MIN(5,MATCH(MAX(Reference!$A$6,MIN(Reference!$A$11,$U147)),Reference!$A$6:$A$11,1)))+(MAX(Reference!$A$6,MIN(Reference!$A$11,$U147))-INDEX(Reference!$A$6:$A$11,MIN(5,MATCH(MAX(Reference!$A$6,MIN(Reference!$A$11,$U147)),Reference!$A$6:$A$11,1))))*(INDEX(Reference!$B$6:$B$11,MIN(5,MATCH(MAX(Reference!$A$6,MIN(Reference!$A$11,$U147)),Reference!$A$6:$A$11,1))+1)-INDEX(Reference!$B$6:$B$11,MIN(5,MATCH(MAX(Reference!$A$6,MIN(Reference!$A$11,$U147)),Reference!$A$6:$A$11,1))))/(INDEX(Reference!$A$6:$A$11,MIN(5,MATCH(MAX(Reference!$A$6,MIN(Reference!$A$11,$U147)),Reference!$A$6:$A$11,1))+1)-INDEX(Reference!$A$6:$A$11,MIN(5,MATCH(MAX(Reference!$A$6,MIN(Reference!$A$11,$U147)),Reference!$A$6:$A$11,1))))))</f>
        <v>0</v>
      </c>
      <c r="AO147" s="37"/>
      <c r="AP147" s="37"/>
      <c r="AQ147" s="37"/>
    </row>
    <row r="148" spans="1:43" x14ac:dyDescent="0.3">
      <c r="A148" s="48" t="str">
        <f t="shared" si="80"/>
        <v/>
      </c>
      <c r="B148" s="32" t="str">
        <f t="shared" si="81"/>
        <v/>
      </c>
      <c r="C148" s="32" t="str">
        <f t="shared" si="82"/>
        <v/>
      </c>
      <c r="D148" s="32" t="str">
        <f t="shared" si="83"/>
        <v/>
      </c>
      <c r="E148" s="32" t="str">
        <f t="shared" si="84"/>
        <v/>
      </c>
      <c r="F148" s="32" t="str">
        <f t="shared" si="85"/>
        <v/>
      </c>
      <c r="G148" s="47" t="str">
        <f t="shared" si="86"/>
        <v/>
      </c>
      <c r="H148" s="30" t="str">
        <f t="shared" si="87"/>
        <v/>
      </c>
      <c r="I148" s="46" t="str">
        <f>IF($A148="","",IF(AND($L148&lt;27,$K$12=0),"Building",IFERROR(((SUM($H$142:$H148)+$K$12*IF($L148&lt;6,SUMIFS('Throw Log'!$Q$5:$Q$300,'Throw Log'!$B$5:$B$300,$D$4,'Throw Log'!$A$5:$A$300,"&gt;="&amp;($D$6+$L148-6),'Throw Log'!$A$5:$A$300,"&lt;="&amp;($D$6-1)),0))/7)/((SUM($H$121:$H148)+$K$12*IF($L148&lt;27,SUMIFS('Throw Log'!$Q$5:$Q$300,'Throw Log'!$B$5:$B$300,$D$4,'Throw Log'!$A$5:$A$300,"&gt;="&amp;($D$6+$L148-27),'Throw Log'!$A$5:$A$300,"&lt;="&amp;($D$6-1)),0))/28),"")))</f>
        <v/>
      </c>
      <c r="J148" s="37"/>
      <c r="K148" s="37"/>
      <c r="L148" s="32">
        <v>105</v>
      </c>
      <c r="M148" s="32">
        <f t="shared" si="88"/>
        <v>16</v>
      </c>
      <c r="N148" s="32">
        <f t="shared" si="89"/>
        <v>0</v>
      </c>
      <c r="O148" s="32">
        <f t="shared" si="90"/>
        <v>1</v>
      </c>
      <c r="P148" s="32" t="str">
        <f>IF(OR($A148="",N($C148)&lt;=7),"",$G$6*$G$9^($M148-1)*IF(AND(MOD($M148,Reference!$B$99)=0,$M148&lt;=$G$5-2),Reference!$B$100,1))</f>
        <v/>
      </c>
      <c r="Q148" s="32" t="str">
        <f>IF($P148="","",IF(SUM($AK$148:$AK$154)=0,0,$P148*INDEX(Reference!$B$108:$B$114,$N148+1)/SUM($AK$148:$AK$154)))</f>
        <v/>
      </c>
      <c r="R148" s="32">
        <f t="shared" si="91"/>
        <v>180</v>
      </c>
      <c r="S148" s="32">
        <f t="shared" si="92"/>
        <v>150</v>
      </c>
      <c r="T148" s="32" t="str">
        <f>IF($A148="","",IF($C148=0,"Bullpen",IF(OR($C148=7,$C148=1,$C148=5),"Recovery/Easy Catch",IF($C148=6,"Compression/Pulldowns",IF(OR($C148=4,$C148=2),"Long Toss",IF($C148=3,"No Throw",IF($N148=2,"No Throw",IF($N148=6,IF($O148&lt;Reference!$B$104,"No Throw","Recovery/Easy Catch"),IF(OR($N148=0,$N148=4),"Recovery/Easy Catch",IF($N148=1,IF($R148&gt;75,"Long Toss","Recovery/Easy Catch"),IF($N148=3,IF($O148&lt;0.5,IF($S148&gt;75,"Long Toss","Recovery/Easy Catch"),"Compression/Pulldowns"),IF($S148&gt;75,"Long Toss","Recovery/Easy Catch"))))))))))))</f>
        <v/>
      </c>
      <c r="U148" s="32" t="str">
        <f t="shared" si="93"/>
        <v/>
      </c>
      <c r="V148" s="32" t="str">
        <f t="shared" si="94"/>
        <v/>
      </c>
      <c r="W148" s="32" t="str">
        <f t="shared" si="95"/>
        <v/>
      </c>
      <c r="X148" s="32">
        <f t="shared" si="96"/>
        <v>0</v>
      </c>
      <c r="Y148" s="32" t="str">
        <f t="shared" si="97"/>
        <v/>
      </c>
      <c r="Z148" s="32" t="str">
        <f t="shared" si="98"/>
        <v/>
      </c>
      <c r="AA148" s="32" t="str">
        <f t="shared" si="99"/>
        <v/>
      </c>
      <c r="AB148" s="32" t="str">
        <f>IF($A148="","",IF($T148="No Throw",0,IF($K148&lt;&gt;"",$K148,IF($AA148&lt;&gt;"",ROUND($AA148*$D$12*IF($C148=0,1,$G$10),0),MIN(IF($T148="Recovery/Easy Catch",Reference!$B$103,IF($T148="Long Toss",Reference!$B$106,Reference!$B$102)),MAX(Reference!$B$101,ROUND(MAX(0,$Q148-$AE148)/$AF148,0)))))))</f>
        <v/>
      </c>
      <c r="AC148" s="32">
        <f t="shared" si="100"/>
        <v>0</v>
      </c>
      <c r="AD148" s="32" t="b">
        <f t="shared" si="101"/>
        <v>1</v>
      </c>
      <c r="AE148" s="32">
        <f>IF($X148=0,0,$X148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148+$Z148)/2,0),Reference!$A$17:$B$20,2,TRUE()))</f>
        <v>0</v>
      </c>
      <c r="AF148" s="32">
        <f>IF(OR($A148="",$U148="",$T148="No Throw"),0,$AM148*VLOOKUP(MAX(($V148+$W148)/2,0),Reference!$A$17:$B$20,2,TRUE()))</f>
        <v>0</v>
      </c>
      <c r="AG148" s="32">
        <f>IF($AC148=0,0,$AC148*INDEX(Reference!$B$61:$B$62,MATCH("Bullpen",Reference!$A$61:$A$62,0))*VLOOKUP(MAX($D$5-($D$9+$E$9)/2,0),Reference!$A$17:$B$20,2,TRUE()))</f>
        <v>0</v>
      </c>
      <c r="AH148" s="32" t="e">
        <f t="shared" si="102"/>
        <v>#N/A</v>
      </c>
      <c r="AI148" s="32" t="e">
        <f>IF($A148="",NA(),Reference!$A$25)</f>
        <v>#N/A</v>
      </c>
      <c r="AJ148" s="32" t="e">
        <f t="shared" si="103"/>
        <v>#N/A</v>
      </c>
      <c r="AK148" s="32">
        <f>IF(OR($A148="",N($C148)&lt;=7,$T148="No Throw",$J148="x"),0,INDEX(Reference!$B$108:$B$114,$N148+1))</f>
        <v>0</v>
      </c>
      <c r="AL148" s="32">
        <f t="shared" si="104"/>
        <v>1</v>
      </c>
      <c r="AM148" s="32">
        <f>IF($U148="",0,IF($AL148&gt;1,((IF(1&lt;=$AL148,($AL148-1+3)*(INDEX(Reference!$B$6:$B$11,MIN(5,MATCH(MAX(Reference!$A$6,MIN(Reference!$A$11,MIN($U148,90))),Reference!$A$6:$A$11,1)))+(MAX(Reference!$A$6,MIN(Reference!$A$11,MIN($U148,90)))-INDEX(Reference!$A$6:$A$11,MIN(5,MATCH(MAX(Reference!$A$6,MIN(Reference!$A$11,MIN($U148,90))),Reference!$A$6:$A$11,1))))*(INDEX(Reference!$B$6:$B$11,MIN(5,MATCH(MAX(Reference!$A$6,MIN(Reference!$A$11,MIN($U148,90))),Reference!$A$6:$A$11,1))+1)-INDEX(Reference!$B$6:$B$11,MIN(5,MATCH(MAX(Reference!$A$6,MIN(Reference!$A$11,MIN($U148,90))),Reference!$A$6:$A$11,1))))/(INDEX(Reference!$A$6:$A$11,MIN(5,MATCH(MAX(Reference!$A$6,MIN(Reference!$A$11,MIN($U148,90))),Reference!$A$6:$A$11,1))+1)-INDEX(Reference!$A$6:$A$11,MIN(5,MATCH(MAX(Reference!$A$6,MIN(Reference!$A$11,MIN($U148,90))),Reference!$A$6:$A$11,1))))),0)+IF(2&lt;=$AL148,($AL148-2+3)*(INDEX(Reference!$B$6:$B$11,MIN(5,MATCH(MAX(Reference!$A$6,MIN(Reference!$A$11,MIN($U148,120))),Reference!$A$6:$A$11,1)))+(MAX(Reference!$A$6,MIN(Reference!$A$11,MIN($U148,120)))-INDEX(Reference!$A$6:$A$11,MIN(5,MATCH(MAX(Reference!$A$6,MIN(Reference!$A$11,MIN($U148,120))),Reference!$A$6:$A$11,1))))*(INDEX(Reference!$B$6:$B$11,MIN(5,MATCH(MAX(Reference!$A$6,MIN(Reference!$A$11,MIN($U148,120))),Reference!$A$6:$A$11,1))+1)-INDEX(Reference!$B$6:$B$11,MIN(5,MATCH(MAX(Reference!$A$6,MIN(Reference!$A$11,MIN($U148,120))),Reference!$A$6:$A$11,1))))/(INDEX(Reference!$A$6:$A$11,MIN(5,MATCH(MAX(Reference!$A$6,MIN(Reference!$A$11,MIN($U148,120))),Reference!$A$6:$A$11,1))+1)-INDEX(Reference!$A$6:$A$11,MIN(5,MATCH(MAX(Reference!$A$6,MIN(Reference!$A$11,MIN($U148,120))),Reference!$A$6:$A$11,1))))),0)+IF(3&lt;=$AL148,($AL148-3+3)*(INDEX(Reference!$B$6:$B$11,MIN(5,MATCH(MAX(Reference!$A$6,MIN(Reference!$A$11,MIN($U148,150))),Reference!$A$6:$A$11,1)))+(MAX(Reference!$A$6,MIN(Reference!$A$11,MIN($U148,150)))-INDEX(Reference!$A$6:$A$11,MIN(5,MATCH(MAX(Reference!$A$6,MIN(Reference!$A$11,MIN($U148,150))),Reference!$A$6:$A$11,1))))*(INDEX(Reference!$B$6:$B$11,MIN(5,MATCH(MAX(Reference!$A$6,MIN(Reference!$A$11,MIN($U148,150))),Reference!$A$6:$A$11,1))+1)-INDEX(Reference!$B$6:$B$11,MIN(5,MATCH(MAX(Reference!$A$6,MIN(Reference!$A$11,MIN($U148,150))),Reference!$A$6:$A$11,1))))/(INDEX(Reference!$A$6:$A$11,MIN(5,MATCH(MAX(Reference!$A$6,MIN(Reference!$A$11,MIN($U148,150))),Reference!$A$6:$A$11,1))+1)-INDEX(Reference!$A$6:$A$11,MIN(5,MATCH(MAX(Reference!$A$6,MIN(Reference!$A$11,MIN($U148,150))),Reference!$A$6:$A$11,1))))),0)+IF(4&lt;=$AL148,($AL148-4+3)*(INDEX(Reference!$B$6:$B$11,MIN(5,MATCH(MAX(Reference!$A$6,MIN(Reference!$A$11,MIN($U148,180))),Reference!$A$6:$A$11,1)))+(MAX(Reference!$A$6,MIN(Reference!$A$11,MIN($U148,180)))-INDEX(Reference!$A$6:$A$11,MIN(5,MATCH(MAX(Reference!$A$6,MIN(Reference!$A$11,MIN($U148,180))),Reference!$A$6:$A$11,1))))*(INDEX(Reference!$B$6:$B$11,MIN(5,MATCH(MAX(Reference!$A$6,MIN(Reference!$A$11,MIN($U148,180))),Reference!$A$6:$A$11,1))+1)-INDEX(Reference!$B$6:$B$11,MIN(5,MATCH(MAX(Reference!$A$6,MIN(Reference!$A$11,MIN($U148,180))),Reference!$A$6:$A$11,1))))/(INDEX(Reference!$A$6:$A$11,MIN(5,MATCH(MAX(Reference!$A$6,MIN(Reference!$A$11,MIN($U148,180))),Reference!$A$6:$A$11,1))+1)-INDEX(Reference!$A$6:$A$11,MIN(5,MATCH(MAX(Reference!$A$6,MIN(Reference!$A$11,MIN($U148,180))),Reference!$A$6:$A$11,1))))),0)+IF(5&lt;=$AL148,($AL148-5+3)*(INDEX(Reference!$B$6:$B$11,MIN(5,MATCH(MAX(Reference!$A$6,MIN(Reference!$A$11,MIN($U148,210))),Reference!$A$6:$A$11,1)))+(MAX(Reference!$A$6,MIN(Reference!$A$11,MIN($U148,210)))-INDEX(Reference!$A$6:$A$11,MIN(5,MATCH(MAX(Reference!$A$6,MIN(Reference!$A$11,MIN($U148,210))),Reference!$A$6:$A$11,1))))*(INDEX(Reference!$B$6:$B$11,MIN(5,MATCH(MAX(Reference!$A$6,MIN(Reference!$A$11,MIN($U148,210))),Reference!$A$6:$A$11,1))+1)-INDEX(Reference!$B$6:$B$11,MIN(5,MATCH(MAX(Reference!$A$6,MIN(Reference!$A$11,MIN($U148,210))),Reference!$A$6:$A$11,1))))/(INDEX(Reference!$A$6:$A$11,MIN(5,MATCH(MAX(Reference!$A$6,MIN(Reference!$A$11,MIN($U148,210))),Reference!$A$6:$A$11,1))+1)-INDEX(Reference!$A$6:$A$11,MIN(5,MATCH(MAX(Reference!$A$6,MIN(Reference!$A$11,MIN($U148,210))),Reference!$A$6:$A$11,1))))),0)+IF(6&lt;=$AL148,($AL148-6+3)*(INDEX(Reference!$B$6:$B$11,MIN(5,MATCH(MAX(Reference!$A$6,MIN(Reference!$A$11,MIN($U148,240))),Reference!$A$6:$A$11,1)))+(MAX(Reference!$A$6,MIN(Reference!$A$11,MIN($U148,240)))-INDEX(Reference!$A$6:$A$11,MIN(5,MATCH(MAX(Reference!$A$6,MIN(Reference!$A$11,MIN($U148,240))),Reference!$A$6:$A$11,1))))*(INDEX(Reference!$B$6:$B$11,MIN(5,MATCH(MAX(Reference!$A$6,MIN(Reference!$A$11,MIN($U148,240))),Reference!$A$6:$A$11,1))+1)-INDEX(Reference!$B$6:$B$11,MIN(5,MATCH(MAX(Reference!$A$6,MIN(Reference!$A$11,MIN($U148,240))),Reference!$A$6:$A$11,1))))/(INDEX(Reference!$A$6:$A$11,MIN(5,MATCH(MAX(Reference!$A$6,MIN(Reference!$A$11,MIN($U148,240))),Reference!$A$6:$A$11,1))+1)-INDEX(Reference!$A$6:$A$11,MIN(5,MATCH(MAX(Reference!$A$6,MIN(Reference!$A$11,MIN($U148,240))),Reference!$A$6:$A$11,1))))),0)+IF(7&lt;=$AL148,($AL148-7+3)*(INDEX(Reference!$B$6:$B$11,MIN(5,MATCH(MAX(Reference!$A$6,MIN(Reference!$A$11,MIN($U148,270))),Reference!$A$6:$A$11,1)))+(MAX(Reference!$A$6,MIN(Reference!$A$11,MIN($U148,270)))-INDEX(Reference!$A$6:$A$11,MIN(5,MATCH(MAX(Reference!$A$6,MIN(Reference!$A$11,MIN($U148,270))),Reference!$A$6:$A$11,1))))*(INDEX(Reference!$B$6:$B$11,MIN(5,MATCH(MAX(Reference!$A$6,MIN(Reference!$A$11,MIN($U148,270))),Reference!$A$6:$A$11,1))+1)-INDEX(Reference!$B$6:$B$11,MIN(5,MATCH(MAX(Reference!$A$6,MIN(Reference!$A$11,MIN($U148,270))),Reference!$A$6:$A$11,1))))/(INDEX(Reference!$A$6:$A$11,MIN(5,MATCH(MAX(Reference!$A$6,MIN(Reference!$A$11,MIN($U148,270))),Reference!$A$6:$A$11,1))+1)-INDEX(Reference!$A$6:$A$11,MIN(5,MATCH(MAX(Reference!$A$6,MIN(Reference!$A$11,MIN($U148,270))),Reference!$A$6:$A$11,1))))),0)+IF(8&lt;=$AL148,($AL148-8+3)*(INDEX(Reference!$B$6:$B$11,MIN(5,MATCH(MAX(Reference!$A$6,MIN(Reference!$A$11,MIN($U148,300))),Reference!$A$6:$A$11,1)))+(MAX(Reference!$A$6,MIN(Reference!$A$11,MIN($U148,300)))-INDEX(Reference!$A$6:$A$11,MIN(5,MATCH(MAX(Reference!$A$6,MIN(Reference!$A$11,MIN($U148,300))),Reference!$A$6:$A$11,1))))*(INDEX(Reference!$B$6:$B$11,MIN(5,MATCH(MAX(Reference!$A$6,MIN(Reference!$A$11,MIN($U148,300))),Reference!$A$6:$A$11,1))+1)-INDEX(Reference!$B$6:$B$11,MIN(5,MATCH(MAX(Reference!$A$6,MIN(Reference!$A$11,MIN($U148,300))),Reference!$A$6:$A$11,1))))/(INDEX(Reference!$A$6:$A$11,MIN(5,MATCH(MAX(Reference!$A$6,MIN(Reference!$A$11,MIN($U148,300))),Reference!$A$6:$A$11,1))+1)-INDEX(Reference!$A$6:$A$11,MIN(5,MATCH(MAX(Reference!$A$6,MIN(Reference!$A$11,MIN($U148,300))),Reference!$A$6:$A$11,1))))),0))/($AL148*($AL148+5)/2)),$AN148))</f>
        <v>0</v>
      </c>
      <c r="AN148" s="32">
        <f>IF($U148="",0,(INDEX(Reference!$B$6:$B$11,MIN(5,MATCH(MAX(Reference!$A$6,MIN(Reference!$A$11,$U148)),Reference!$A$6:$A$11,1)))+(MAX(Reference!$A$6,MIN(Reference!$A$11,$U148))-INDEX(Reference!$A$6:$A$11,MIN(5,MATCH(MAX(Reference!$A$6,MIN(Reference!$A$11,$U148)),Reference!$A$6:$A$11,1))))*(INDEX(Reference!$B$6:$B$11,MIN(5,MATCH(MAX(Reference!$A$6,MIN(Reference!$A$11,$U148)),Reference!$A$6:$A$11,1))+1)-INDEX(Reference!$B$6:$B$11,MIN(5,MATCH(MAX(Reference!$A$6,MIN(Reference!$A$11,$U148)),Reference!$A$6:$A$11,1))))/(INDEX(Reference!$A$6:$A$11,MIN(5,MATCH(MAX(Reference!$A$6,MIN(Reference!$A$11,$U148)),Reference!$A$6:$A$11,1))+1)-INDEX(Reference!$A$6:$A$11,MIN(5,MATCH(MAX(Reference!$A$6,MIN(Reference!$A$11,$U148)),Reference!$A$6:$A$11,1))))))</f>
        <v>0</v>
      </c>
      <c r="AO148" s="37"/>
      <c r="AP148" s="37"/>
      <c r="AQ148" s="37"/>
    </row>
    <row r="149" spans="1:43" x14ac:dyDescent="0.3">
      <c r="A149" s="48" t="str">
        <f t="shared" si="80"/>
        <v/>
      </c>
      <c r="B149" s="32" t="str">
        <f t="shared" si="81"/>
        <v/>
      </c>
      <c r="C149" s="32" t="str">
        <f t="shared" si="82"/>
        <v/>
      </c>
      <c r="D149" s="32" t="str">
        <f t="shared" si="83"/>
        <v/>
      </c>
      <c r="E149" s="32" t="str">
        <f t="shared" si="84"/>
        <v/>
      </c>
      <c r="F149" s="32" t="str">
        <f t="shared" si="85"/>
        <v/>
      </c>
      <c r="G149" s="47" t="str">
        <f t="shared" si="86"/>
        <v/>
      </c>
      <c r="H149" s="30" t="str">
        <f t="shared" si="87"/>
        <v/>
      </c>
      <c r="I149" s="46" t="str">
        <f>IF($A149="","",IF(AND($L149&lt;27,$K$12=0),"Building",IFERROR(((SUM($H$143:$H149)+$K$12*IF($L149&lt;6,SUMIFS('Throw Log'!$Q$5:$Q$300,'Throw Log'!$B$5:$B$300,$D$4,'Throw Log'!$A$5:$A$300,"&gt;="&amp;($D$6+$L149-6),'Throw Log'!$A$5:$A$300,"&lt;="&amp;($D$6-1)),0))/7)/((SUM($H$122:$H149)+$K$12*IF($L149&lt;27,SUMIFS('Throw Log'!$Q$5:$Q$300,'Throw Log'!$B$5:$B$300,$D$4,'Throw Log'!$A$5:$A$300,"&gt;="&amp;($D$6+$L149-27),'Throw Log'!$A$5:$A$300,"&lt;="&amp;($D$6-1)),0))/28),"")))</f>
        <v/>
      </c>
      <c r="J149" s="37"/>
      <c r="K149" s="37"/>
      <c r="L149" s="32">
        <v>106</v>
      </c>
      <c r="M149" s="32">
        <f t="shared" si="88"/>
        <v>16</v>
      </c>
      <c r="N149" s="32">
        <f t="shared" si="89"/>
        <v>1</v>
      </c>
      <c r="O149" s="32">
        <f t="shared" si="90"/>
        <v>1</v>
      </c>
      <c r="P149" s="32" t="str">
        <f>IF(OR($A149="",N($C149)&lt;=7),"",$G$6*$G$9^($M149-1)*IF(AND(MOD($M149,Reference!$B$99)=0,$M149&lt;=$G$5-2),Reference!$B$100,1))</f>
        <v/>
      </c>
      <c r="Q149" s="32" t="str">
        <f>IF($P149="","",IF(SUM($AK$148:$AK$154)=0,0,$P149*INDEX(Reference!$B$108:$B$114,$N149+1)/SUM($AK$148:$AK$154)))</f>
        <v/>
      </c>
      <c r="R149" s="32">
        <f t="shared" si="91"/>
        <v>180</v>
      </c>
      <c r="S149" s="32">
        <f t="shared" si="92"/>
        <v>150</v>
      </c>
      <c r="T149" s="32" t="str">
        <f>IF($A149="","",IF($C149=0,"Bullpen",IF(OR($C149=7,$C149=1,$C149=5),"Recovery/Easy Catch",IF($C149=6,"Compression/Pulldowns",IF(OR($C149=4,$C149=2),"Long Toss",IF($C149=3,"No Throw",IF($N149=2,"No Throw",IF($N149=6,IF($O149&lt;Reference!$B$104,"No Throw","Recovery/Easy Catch"),IF(OR($N149=0,$N149=4),"Recovery/Easy Catch",IF($N149=1,IF($R149&gt;75,"Long Toss","Recovery/Easy Catch"),IF($N149=3,IF($O149&lt;0.5,IF($S149&gt;75,"Long Toss","Recovery/Easy Catch"),"Compression/Pulldowns"),IF($S149&gt;75,"Long Toss","Recovery/Easy Catch"))))))))))))</f>
        <v/>
      </c>
      <c r="U149" s="32" t="str">
        <f t="shared" si="93"/>
        <v/>
      </c>
      <c r="V149" s="32" t="str">
        <f t="shared" si="94"/>
        <v/>
      </c>
      <c r="W149" s="32" t="str">
        <f t="shared" si="95"/>
        <v/>
      </c>
      <c r="X149" s="32">
        <f t="shared" si="96"/>
        <v>0</v>
      </c>
      <c r="Y149" s="32" t="str">
        <f t="shared" si="97"/>
        <v/>
      </c>
      <c r="Z149" s="32" t="str">
        <f t="shared" si="98"/>
        <v/>
      </c>
      <c r="AA149" s="32" t="str">
        <f t="shared" si="99"/>
        <v/>
      </c>
      <c r="AB149" s="32" t="str">
        <f>IF($A149="","",IF($T149="No Throw",0,IF($K149&lt;&gt;"",$K149,IF($AA149&lt;&gt;"",ROUND($AA149*$D$12*IF($C149=0,1,$G$10),0),MIN(IF($T149="Recovery/Easy Catch",Reference!$B$103,IF($T149="Long Toss",Reference!$B$106,Reference!$B$102)),MAX(Reference!$B$101,ROUND(MAX(0,$Q149-$AE149)/$AF149,0)))))))</f>
        <v/>
      </c>
      <c r="AC149" s="32">
        <f t="shared" si="100"/>
        <v>0</v>
      </c>
      <c r="AD149" s="32" t="b">
        <f t="shared" si="101"/>
        <v>1</v>
      </c>
      <c r="AE149" s="32">
        <f>IF($X149=0,0,$X149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149+$Z149)/2,0),Reference!$A$17:$B$20,2,TRUE()))</f>
        <v>0</v>
      </c>
      <c r="AF149" s="32">
        <f>IF(OR($A149="",$U149="",$T149="No Throw"),0,$AM149*VLOOKUP(MAX(($V149+$W149)/2,0),Reference!$A$17:$B$20,2,TRUE()))</f>
        <v>0</v>
      </c>
      <c r="AG149" s="32">
        <f>IF($AC149=0,0,$AC149*INDEX(Reference!$B$61:$B$62,MATCH("Bullpen",Reference!$A$61:$A$62,0))*VLOOKUP(MAX($D$5-($D$9+$E$9)/2,0),Reference!$A$17:$B$20,2,TRUE()))</f>
        <v>0</v>
      </c>
      <c r="AH149" s="32" t="e">
        <f t="shared" si="102"/>
        <v>#N/A</v>
      </c>
      <c r="AI149" s="32" t="e">
        <f>IF($A149="",NA(),Reference!$A$25)</f>
        <v>#N/A</v>
      </c>
      <c r="AJ149" s="32" t="e">
        <f t="shared" si="103"/>
        <v>#N/A</v>
      </c>
      <c r="AK149" s="32">
        <f>IF(OR($A149="",N($C149)&lt;=7,$T149="No Throw",$J149="x"),0,INDEX(Reference!$B$108:$B$114,$N149+1))</f>
        <v>0</v>
      </c>
      <c r="AL149" s="32">
        <f t="shared" si="104"/>
        <v>1</v>
      </c>
      <c r="AM149" s="32">
        <f>IF($U149="",0,IF($AL149&gt;1,((IF(1&lt;=$AL149,($AL149-1+3)*(INDEX(Reference!$B$6:$B$11,MIN(5,MATCH(MAX(Reference!$A$6,MIN(Reference!$A$11,MIN($U149,90))),Reference!$A$6:$A$11,1)))+(MAX(Reference!$A$6,MIN(Reference!$A$11,MIN($U149,90)))-INDEX(Reference!$A$6:$A$11,MIN(5,MATCH(MAX(Reference!$A$6,MIN(Reference!$A$11,MIN($U149,90))),Reference!$A$6:$A$11,1))))*(INDEX(Reference!$B$6:$B$11,MIN(5,MATCH(MAX(Reference!$A$6,MIN(Reference!$A$11,MIN($U149,90))),Reference!$A$6:$A$11,1))+1)-INDEX(Reference!$B$6:$B$11,MIN(5,MATCH(MAX(Reference!$A$6,MIN(Reference!$A$11,MIN($U149,90))),Reference!$A$6:$A$11,1))))/(INDEX(Reference!$A$6:$A$11,MIN(5,MATCH(MAX(Reference!$A$6,MIN(Reference!$A$11,MIN($U149,90))),Reference!$A$6:$A$11,1))+1)-INDEX(Reference!$A$6:$A$11,MIN(5,MATCH(MAX(Reference!$A$6,MIN(Reference!$A$11,MIN($U149,90))),Reference!$A$6:$A$11,1))))),0)+IF(2&lt;=$AL149,($AL149-2+3)*(INDEX(Reference!$B$6:$B$11,MIN(5,MATCH(MAX(Reference!$A$6,MIN(Reference!$A$11,MIN($U149,120))),Reference!$A$6:$A$11,1)))+(MAX(Reference!$A$6,MIN(Reference!$A$11,MIN($U149,120)))-INDEX(Reference!$A$6:$A$11,MIN(5,MATCH(MAX(Reference!$A$6,MIN(Reference!$A$11,MIN($U149,120))),Reference!$A$6:$A$11,1))))*(INDEX(Reference!$B$6:$B$11,MIN(5,MATCH(MAX(Reference!$A$6,MIN(Reference!$A$11,MIN($U149,120))),Reference!$A$6:$A$11,1))+1)-INDEX(Reference!$B$6:$B$11,MIN(5,MATCH(MAX(Reference!$A$6,MIN(Reference!$A$11,MIN($U149,120))),Reference!$A$6:$A$11,1))))/(INDEX(Reference!$A$6:$A$11,MIN(5,MATCH(MAX(Reference!$A$6,MIN(Reference!$A$11,MIN($U149,120))),Reference!$A$6:$A$11,1))+1)-INDEX(Reference!$A$6:$A$11,MIN(5,MATCH(MAX(Reference!$A$6,MIN(Reference!$A$11,MIN($U149,120))),Reference!$A$6:$A$11,1))))),0)+IF(3&lt;=$AL149,($AL149-3+3)*(INDEX(Reference!$B$6:$B$11,MIN(5,MATCH(MAX(Reference!$A$6,MIN(Reference!$A$11,MIN($U149,150))),Reference!$A$6:$A$11,1)))+(MAX(Reference!$A$6,MIN(Reference!$A$11,MIN($U149,150)))-INDEX(Reference!$A$6:$A$11,MIN(5,MATCH(MAX(Reference!$A$6,MIN(Reference!$A$11,MIN($U149,150))),Reference!$A$6:$A$11,1))))*(INDEX(Reference!$B$6:$B$11,MIN(5,MATCH(MAX(Reference!$A$6,MIN(Reference!$A$11,MIN($U149,150))),Reference!$A$6:$A$11,1))+1)-INDEX(Reference!$B$6:$B$11,MIN(5,MATCH(MAX(Reference!$A$6,MIN(Reference!$A$11,MIN($U149,150))),Reference!$A$6:$A$11,1))))/(INDEX(Reference!$A$6:$A$11,MIN(5,MATCH(MAX(Reference!$A$6,MIN(Reference!$A$11,MIN($U149,150))),Reference!$A$6:$A$11,1))+1)-INDEX(Reference!$A$6:$A$11,MIN(5,MATCH(MAX(Reference!$A$6,MIN(Reference!$A$11,MIN($U149,150))),Reference!$A$6:$A$11,1))))),0)+IF(4&lt;=$AL149,($AL149-4+3)*(INDEX(Reference!$B$6:$B$11,MIN(5,MATCH(MAX(Reference!$A$6,MIN(Reference!$A$11,MIN($U149,180))),Reference!$A$6:$A$11,1)))+(MAX(Reference!$A$6,MIN(Reference!$A$11,MIN($U149,180)))-INDEX(Reference!$A$6:$A$11,MIN(5,MATCH(MAX(Reference!$A$6,MIN(Reference!$A$11,MIN($U149,180))),Reference!$A$6:$A$11,1))))*(INDEX(Reference!$B$6:$B$11,MIN(5,MATCH(MAX(Reference!$A$6,MIN(Reference!$A$11,MIN($U149,180))),Reference!$A$6:$A$11,1))+1)-INDEX(Reference!$B$6:$B$11,MIN(5,MATCH(MAX(Reference!$A$6,MIN(Reference!$A$11,MIN($U149,180))),Reference!$A$6:$A$11,1))))/(INDEX(Reference!$A$6:$A$11,MIN(5,MATCH(MAX(Reference!$A$6,MIN(Reference!$A$11,MIN($U149,180))),Reference!$A$6:$A$11,1))+1)-INDEX(Reference!$A$6:$A$11,MIN(5,MATCH(MAX(Reference!$A$6,MIN(Reference!$A$11,MIN($U149,180))),Reference!$A$6:$A$11,1))))),0)+IF(5&lt;=$AL149,($AL149-5+3)*(INDEX(Reference!$B$6:$B$11,MIN(5,MATCH(MAX(Reference!$A$6,MIN(Reference!$A$11,MIN($U149,210))),Reference!$A$6:$A$11,1)))+(MAX(Reference!$A$6,MIN(Reference!$A$11,MIN($U149,210)))-INDEX(Reference!$A$6:$A$11,MIN(5,MATCH(MAX(Reference!$A$6,MIN(Reference!$A$11,MIN($U149,210))),Reference!$A$6:$A$11,1))))*(INDEX(Reference!$B$6:$B$11,MIN(5,MATCH(MAX(Reference!$A$6,MIN(Reference!$A$11,MIN($U149,210))),Reference!$A$6:$A$11,1))+1)-INDEX(Reference!$B$6:$B$11,MIN(5,MATCH(MAX(Reference!$A$6,MIN(Reference!$A$11,MIN($U149,210))),Reference!$A$6:$A$11,1))))/(INDEX(Reference!$A$6:$A$11,MIN(5,MATCH(MAX(Reference!$A$6,MIN(Reference!$A$11,MIN($U149,210))),Reference!$A$6:$A$11,1))+1)-INDEX(Reference!$A$6:$A$11,MIN(5,MATCH(MAX(Reference!$A$6,MIN(Reference!$A$11,MIN($U149,210))),Reference!$A$6:$A$11,1))))),0)+IF(6&lt;=$AL149,($AL149-6+3)*(INDEX(Reference!$B$6:$B$11,MIN(5,MATCH(MAX(Reference!$A$6,MIN(Reference!$A$11,MIN($U149,240))),Reference!$A$6:$A$11,1)))+(MAX(Reference!$A$6,MIN(Reference!$A$11,MIN($U149,240)))-INDEX(Reference!$A$6:$A$11,MIN(5,MATCH(MAX(Reference!$A$6,MIN(Reference!$A$11,MIN($U149,240))),Reference!$A$6:$A$11,1))))*(INDEX(Reference!$B$6:$B$11,MIN(5,MATCH(MAX(Reference!$A$6,MIN(Reference!$A$11,MIN($U149,240))),Reference!$A$6:$A$11,1))+1)-INDEX(Reference!$B$6:$B$11,MIN(5,MATCH(MAX(Reference!$A$6,MIN(Reference!$A$11,MIN($U149,240))),Reference!$A$6:$A$11,1))))/(INDEX(Reference!$A$6:$A$11,MIN(5,MATCH(MAX(Reference!$A$6,MIN(Reference!$A$11,MIN($U149,240))),Reference!$A$6:$A$11,1))+1)-INDEX(Reference!$A$6:$A$11,MIN(5,MATCH(MAX(Reference!$A$6,MIN(Reference!$A$11,MIN($U149,240))),Reference!$A$6:$A$11,1))))),0)+IF(7&lt;=$AL149,($AL149-7+3)*(INDEX(Reference!$B$6:$B$11,MIN(5,MATCH(MAX(Reference!$A$6,MIN(Reference!$A$11,MIN($U149,270))),Reference!$A$6:$A$11,1)))+(MAX(Reference!$A$6,MIN(Reference!$A$11,MIN($U149,270)))-INDEX(Reference!$A$6:$A$11,MIN(5,MATCH(MAX(Reference!$A$6,MIN(Reference!$A$11,MIN($U149,270))),Reference!$A$6:$A$11,1))))*(INDEX(Reference!$B$6:$B$11,MIN(5,MATCH(MAX(Reference!$A$6,MIN(Reference!$A$11,MIN($U149,270))),Reference!$A$6:$A$11,1))+1)-INDEX(Reference!$B$6:$B$11,MIN(5,MATCH(MAX(Reference!$A$6,MIN(Reference!$A$11,MIN($U149,270))),Reference!$A$6:$A$11,1))))/(INDEX(Reference!$A$6:$A$11,MIN(5,MATCH(MAX(Reference!$A$6,MIN(Reference!$A$11,MIN($U149,270))),Reference!$A$6:$A$11,1))+1)-INDEX(Reference!$A$6:$A$11,MIN(5,MATCH(MAX(Reference!$A$6,MIN(Reference!$A$11,MIN($U149,270))),Reference!$A$6:$A$11,1))))),0)+IF(8&lt;=$AL149,($AL149-8+3)*(INDEX(Reference!$B$6:$B$11,MIN(5,MATCH(MAX(Reference!$A$6,MIN(Reference!$A$11,MIN($U149,300))),Reference!$A$6:$A$11,1)))+(MAX(Reference!$A$6,MIN(Reference!$A$11,MIN($U149,300)))-INDEX(Reference!$A$6:$A$11,MIN(5,MATCH(MAX(Reference!$A$6,MIN(Reference!$A$11,MIN($U149,300))),Reference!$A$6:$A$11,1))))*(INDEX(Reference!$B$6:$B$11,MIN(5,MATCH(MAX(Reference!$A$6,MIN(Reference!$A$11,MIN($U149,300))),Reference!$A$6:$A$11,1))+1)-INDEX(Reference!$B$6:$B$11,MIN(5,MATCH(MAX(Reference!$A$6,MIN(Reference!$A$11,MIN($U149,300))),Reference!$A$6:$A$11,1))))/(INDEX(Reference!$A$6:$A$11,MIN(5,MATCH(MAX(Reference!$A$6,MIN(Reference!$A$11,MIN($U149,300))),Reference!$A$6:$A$11,1))+1)-INDEX(Reference!$A$6:$A$11,MIN(5,MATCH(MAX(Reference!$A$6,MIN(Reference!$A$11,MIN($U149,300))),Reference!$A$6:$A$11,1))))),0))/($AL149*($AL149+5)/2)),$AN149))</f>
        <v>0</v>
      </c>
      <c r="AN149" s="32">
        <f>IF($U149="",0,(INDEX(Reference!$B$6:$B$11,MIN(5,MATCH(MAX(Reference!$A$6,MIN(Reference!$A$11,$U149)),Reference!$A$6:$A$11,1)))+(MAX(Reference!$A$6,MIN(Reference!$A$11,$U149))-INDEX(Reference!$A$6:$A$11,MIN(5,MATCH(MAX(Reference!$A$6,MIN(Reference!$A$11,$U149)),Reference!$A$6:$A$11,1))))*(INDEX(Reference!$B$6:$B$11,MIN(5,MATCH(MAX(Reference!$A$6,MIN(Reference!$A$11,$U149)),Reference!$A$6:$A$11,1))+1)-INDEX(Reference!$B$6:$B$11,MIN(5,MATCH(MAX(Reference!$A$6,MIN(Reference!$A$11,$U149)),Reference!$A$6:$A$11,1))))/(INDEX(Reference!$A$6:$A$11,MIN(5,MATCH(MAX(Reference!$A$6,MIN(Reference!$A$11,$U149)),Reference!$A$6:$A$11,1))+1)-INDEX(Reference!$A$6:$A$11,MIN(5,MATCH(MAX(Reference!$A$6,MIN(Reference!$A$11,$U149)),Reference!$A$6:$A$11,1))))))</f>
        <v>0</v>
      </c>
      <c r="AO149" s="37"/>
      <c r="AP149" s="37"/>
      <c r="AQ149" s="37"/>
    </row>
    <row r="150" spans="1:43" x14ac:dyDescent="0.3">
      <c r="A150" s="48" t="str">
        <f t="shared" si="80"/>
        <v/>
      </c>
      <c r="B150" s="32" t="str">
        <f t="shared" si="81"/>
        <v/>
      </c>
      <c r="C150" s="32" t="str">
        <f t="shared" si="82"/>
        <v/>
      </c>
      <c r="D150" s="32" t="str">
        <f t="shared" si="83"/>
        <v/>
      </c>
      <c r="E150" s="32" t="str">
        <f t="shared" si="84"/>
        <v/>
      </c>
      <c r="F150" s="32" t="str">
        <f t="shared" si="85"/>
        <v/>
      </c>
      <c r="G150" s="47" t="str">
        <f t="shared" si="86"/>
        <v/>
      </c>
      <c r="H150" s="30" t="str">
        <f t="shared" si="87"/>
        <v/>
      </c>
      <c r="I150" s="46" t="str">
        <f>IF($A150="","",IF(AND($L150&lt;27,$K$12=0),"Building",IFERROR(((SUM($H$144:$H150)+$K$12*IF($L150&lt;6,SUMIFS('Throw Log'!$Q$5:$Q$300,'Throw Log'!$B$5:$B$300,$D$4,'Throw Log'!$A$5:$A$300,"&gt;="&amp;($D$6+$L150-6),'Throw Log'!$A$5:$A$300,"&lt;="&amp;($D$6-1)),0))/7)/((SUM($H$123:$H150)+$K$12*IF($L150&lt;27,SUMIFS('Throw Log'!$Q$5:$Q$300,'Throw Log'!$B$5:$B$300,$D$4,'Throw Log'!$A$5:$A$300,"&gt;="&amp;($D$6+$L150-27),'Throw Log'!$A$5:$A$300,"&lt;="&amp;($D$6-1)),0))/28),"")))</f>
        <v/>
      </c>
      <c r="J150" s="37"/>
      <c r="K150" s="37"/>
      <c r="L150" s="32">
        <v>107</v>
      </c>
      <c r="M150" s="32">
        <f t="shared" si="88"/>
        <v>16</v>
      </c>
      <c r="N150" s="32">
        <f t="shared" si="89"/>
        <v>2</v>
      </c>
      <c r="O150" s="32">
        <f t="shared" si="90"/>
        <v>1</v>
      </c>
      <c r="P150" s="32" t="str">
        <f>IF(OR($A150="",N($C150)&lt;=7),"",$G$6*$G$9^($M150-1)*IF(AND(MOD($M150,Reference!$B$99)=0,$M150&lt;=$G$5-2),Reference!$B$100,1))</f>
        <v/>
      </c>
      <c r="Q150" s="32" t="str">
        <f>IF($P150="","",IF(SUM($AK$148:$AK$154)=0,0,$P150*INDEX(Reference!$B$108:$B$114,$N150+1)/SUM($AK$148:$AK$154)))</f>
        <v/>
      </c>
      <c r="R150" s="32">
        <f t="shared" si="91"/>
        <v>180</v>
      </c>
      <c r="S150" s="32">
        <f t="shared" si="92"/>
        <v>150</v>
      </c>
      <c r="T150" s="32" t="str">
        <f>IF($A150="","",IF($C150=0,"Bullpen",IF(OR($C150=7,$C150=1,$C150=5),"Recovery/Easy Catch",IF($C150=6,"Compression/Pulldowns",IF(OR($C150=4,$C150=2),"Long Toss",IF($C150=3,"No Throw",IF($N150=2,"No Throw",IF($N150=6,IF($O150&lt;Reference!$B$104,"No Throw","Recovery/Easy Catch"),IF(OR($N150=0,$N150=4),"Recovery/Easy Catch",IF($N150=1,IF($R150&gt;75,"Long Toss","Recovery/Easy Catch"),IF($N150=3,IF($O150&lt;0.5,IF($S150&gt;75,"Long Toss","Recovery/Easy Catch"),"Compression/Pulldowns"),IF($S150&gt;75,"Long Toss","Recovery/Easy Catch"))))))))))))</f>
        <v/>
      </c>
      <c r="U150" s="32" t="str">
        <f t="shared" si="93"/>
        <v/>
      </c>
      <c r="V150" s="32" t="str">
        <f t="shared" si="94"/>
        <v/>
      </c>
      <c r="W150" s="32" t="str">
        <f t="shared" si="95"/>
        <v/>
      </c>
      <c r="X150" s="32">
        <f t="shared" si="96"/>
        <v>0</v>
      </c>
      <c r="Y150" s="32" t="str">
        <f t="shared" si="97"/>
        <v/>
      </c>
      <c r="Z150" s="32" t="str">
        <f t="shared" si="98"/>
        <v/>
      </c>
      <c r="AA150" s="32" t="str">
        <f t="shared" si="99"/>
        <v/>
      </c>
      <c r="AB150" s="32" t="str">
        <f>IF($A150="","",IF($T150="No Throw",0,IF($K150&lt;&gt;"",$K150,IF($AA150&lt;&gt;"",ROUND($AA150*$D$12*IF($C150=0,1,$G$10),0),MIN(IF($T150="Recovery/Easy Catch",Reference!$B$103,IF($T150="Long Toss",Reference!$B$106,Reference!$B$102)),MAX(Reference!$B$101,ROUND(MAX(0,$Q150-$AE150)/$AF150,0)))))))</f>
        <v/>
      </c>
      <c r="AC150" s="32">
        <f t="shared" si="100"/>
        <v>0</v>
      </c>
      <c r="AD150" s="32" t="b">
        <f t="shared" si="101"/>
        <v>1</v>
      </c>
      <c r="AE150" s="32">
        <f>IF($X150=0,0,$X150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150+$Z150)/2,0),Reference!$A$17:$B$20,2,TRUE()))</f>
        <v>0</v>
      </c>
      <c r="AF150" s="32">
        <f>IF(OR($A150="",$U150="",$T150="No Throw"),0,$AM150*VLOOKUP(MAX(($V150+$W150)/2,0),Reference!$A$17:$B$20,2,TRUE()))</f>
        <v>0</v>
      </c>
      <c r="AG150" s="32">
        <f>IF($AC150=0,0,$AC150*INDEX(Reference!$B$61:$B$62,MATCH("Bullpen",Reference!$A$61:$A$62,0))*VLOOKUP(MAX($D$5-($D$9+$E$9)/2,0),Reference!$A$17:$B$20,2,TRUE()))</f>
        <v>0</v>
      </c>
      <c r="AH150" s="32" t="e">
        <f t="shared" si="102"/>
        <v>#N/A</v>
      </c>
      <c r="AI150" s="32" t="e">
        <f>IF($A150="",NA(),Reference!$A$25)</f>
        <v>#N/A</v>
      </c>
      <c r="AJ150" s="32" t="e">
        <f t="shared" si="103"/>
        <v>#N/A</v>
      </c>
      <c r="AK150" s="32">
        <f>IF(OR($A150="",N($C150)&lt;=7,$T150="No Throw",$J150="x"),0,INDEX(Reference!$B$108:$B$114,$N150+1))</f>
        <v>0</v>
      </c>
      <c r="AL150" s="32">
        <f t="shared" si="104"/>
        <v>1</v>
      </c>
      <c r="AM150" s="32">
        <f>IF($U150="",0,IF($AL150&gt;1,((IF(1&lt;=$AL150,($AL150-1+3)*(INDEX(Reference!$B$6:$B$11,MIN(5,MATCH(MAX(Reference!$A$6,MIN(Reference!$A$11,MIN($U150,90))),Reference!$A$6:$A$11,1)))+(MAX(Reference!$A$6,MIN(Reference!$A$11,MIN($U150,90)))-INDEX(Reference!$A$6:$A$11,MIN(5,MATCH(MAX(Reference!$A$6,MIN(Reference!$A$11,MIN($U150,90))),Reference!$A$6:$A$11,1))))*(INDEX(Reference!$B$6:$B$11,MIN(5,MATCH(MAX(Reference!$A$6,MIN(Reference!$A$11,MIN($U150,90))),Reference!$A$6:$A$11,1))+1)-INDEX(Reference!$B$6:$B$11,MIN(5,MATCH(MAX(Reference!$A$6,MIN(Reference!$A$11,MIN($U150,90))),Reference!$A$6:$A$11,1))))/(INDEX(Reference!$A$6:$A$11,MIN(5,MATCH(MAX(Reference!$A$6,MIN(Reference!$A$11,MIN($U150,90))),Reference!$A$6:$A$11,1))+1)-INDEX(Reference!$A$6:$A$11,MIN(5,MATCH(MAX(Reference!$A$6,MIN(Reference!$A$11,MIN($U150,90))),Reference!$A$6:$A$11,1))))),0)+IF(2&lt;=$AL150,($AL150-2+3)*(INDEX(Reference!$B$6:$B$11,MIN(5,MATCH(MAX(Reference!$A$6,MIN(Reference!$A$11,MIN($U150,120))),Reference!$A$6:$A$11,1)))+(MAX(Reference!$A$6,MIN(Reference!$A$11,MIN($U150,120)))-INDEX(Reference!$A$6:$A$11,MIN(5,MATCH(MAX(Reference!$A$6,MIN(Reference!$A$11,MIN($U150,120))),Reference!$A$6:$A$11,1))))*(INDEX(Reference!$B$6:$B$11,MIN(5,MATCH(MAX(Reference!$A$6,MIN(Reference!$A$11,MIN($U150,120))),Reference!$A$6:$A$11,1))+1)-INDEX(Reference!$B$6:$B$11,MIN(5,MATCH(MAX(Reference!$A$6,MIN(Reference!$A$11,MIN($U150,120))),Reference!$A$6:$A$11,1))))/(INDEX(Reference!$A$6:$A$11,MIN(5,MATCH(MAX(Reference!$A$6,MIN(Reference!$A$11,MIN($U150,120))),Reference!$A$6:$A$11,1))+1)-INDEX(Reference!$A$6:$A$11,MIN(5,MATCH(MAX(Reference!$A$6,MIN(Reference!$A$11,MIN($U150,120))),Reference!$A$6:$A$11,1))))),0)+IF(3&lt;=$AL150,($AL150-3+3)*(INDEX(Reference!$B$6:$B$11,MIN(5,MATCH(MAX(Reference!$A$6,MIN(Reference!$A$11,MIN($U150,150))),Reference!$A$6:$A$11,1)))+(MAX(Reference!$A$6,MIN(Reference!$A$11,MIN($U150,150)))-INDEX(Reference!$A$6:$A$11,MIN(5,MATCH(MAX(Reference!$A$6,MIN(Reference!$A$11,MIN($U150,150))),Reference!$A$6:$A$11,1))))*(INDEX(Reference!$B$6:$B$11,MIN(5,MATCH(MAX(Reference!$A$6,MIN(Reference!$A$11,MIN($U150,150))),Reference!$A$6:$A$11,1))+1)-INDEX(Reference!$B$6:$B$11,MIN(5,MATCH(MAX(Reference!$A$6,MIN(Reference!$A$11,MIN($U150,150))),Reference!$A$6:$A$11,1))))/(INDEX(Reference!$A$6:$A$11,MIN(5,MATCH(MAX(Reference!$A$6,MIN(Reference!$A$11,MIN($U150,150))),Reference!$A$6:$A$11,1))+1)-INDEX(Reference!$A$6:$A$11,MIN(5,MATCH(MAX(Reference!$A$6,MIN(Reference!$A$11,MIN($U150,150))),Reference!$A$6:$A$11,1))))),0)+IF(4&lt;=$AL150,($AL150-4+3)*(INDEX(Reference!$B$6:$B$11,MIN(5,MATCH(MAX(Reference!$A$6,MIN(Reference!$A$11,MIN($U150,180))),Reference!$A$6:$A$11,1)))+(MAX(Reference!$A$6,MIN(Reference!$A$11,MIN($U150,180)))-INDEX(Reference!$A$6:$A$11,MIN(5,MATCH(MAX(Reference!$A$6,MIN(Reference!$A$11,MIN($U150,180))),Reference!$A$6:$A$11,1))))*(INDEX(Reference!$B$6:$B$11,MIN(5,MATCH(MAX(Reference!$A$6,MIN(Reference!$A$11,MIN($U150,180))),Reference!$A$6:$A$11,1))+1)-INDEX(Reference!$B$6:$B$11,MIN(5,MATCH(MAX(Reference!$A$6,MIN(Reference!$A$11,MIN($U150,180))),Reference!$A$6:$A$11,1))))/(INDEX(Reference!$A$6:$A$11,MIN(5,MATCH(MAX(Reference!$A$6,MIN(Reference!$A$11,MIN($U150,180))),Reference!$A$6:$A$11,1))+1)-INDEX(Reference!$A$6:$A$11,MIN(5,MATCH(MAX(Reference!$A$6,MIN(Reference!$A$11,MIN($U150,180))),Reference!$A$6:$A$11,1))))),0)+IF(5&lt;=$AL150,($AL150-5+3)*(INDEX(Reference!$B$6:$B$11,MIN(5,MATCH(MAX(Reference!$A$6,MIN(Reference!$A$11,MIN($U150,210))),Reference!$A$6:$A$11,1)))+(MAX(Reference!$A$6,MIN(Reference!$A$11,MIN($U150,210)))-INDEX(Reference!$A$6:$A$11,MIN(5,MATCH(MAX(Reference!$A$6,MIN(Reference!$A$11,MIN($U150,210))),Reference!$A$6:$A$11,1))))*(INDEX(Reference!$B$6:$B$11,MIN(5,MATCH(MAX(Reference!$A$6,MIN(Reference!$A$11,MIN($U150,210))),Reference!$A$6:$A$11,1))+1)-INDEX(Reference!$B$6:$B$11,MIN(5,MATCH(MAX(Reference!$A$6,MIN(Reference!$A$11,MIN($U150,210))),Reference!$A$6:$A$11,1))))/(INDEX(Reference!$A$6:$A$11,MIN(5,MATCH(MAX(Reference!$A$6,MIN(Reference!$A$11,MIN($U150,210))),Reference!$A$6:$A$11,1))+1)-INDEX(Reference!$A$6:$A$11,MIN(5,MATCH(MAX(Reference!$A$6,MIN(Reference!$A$11,MIN($U150,210))),Reference!$A$6:$A$11,1))))),0)+IF(6&lt;=$AL150,($AL150-6+3)*(INDEX(Reference!$B$6:$B$11,MIN(5,MATCH(MAX(Reference!$A$6,MIN(Reference!$A$11,MIN($U150,240))),Reference!$A$6:$A$11,1)))+(MAX(Reference!$A$6,MIN(Reference!$A$11,MIN($U150,240)))-INDEX(Reference!$A$6:$A$11,MIN(5,MATCH(MAX(Reference!$A$6,MIN(Reference!$A$11,MIN($U150,240))),Reference!$A$6:$A$11,1))))*(INDEX(Reference!$B$6:$B$11,MIN(5,MATCH(MAX(Reference!$A$6,MIN(Reference!$A$11,MIN($U150,240))),Reference!$A$6:$A$11,1))+1)-INDEX(Reference!$B$6:$B$11,MIN(5,MATCH(MAX(Reference!$A$6,MIN(Reference!$A$11,MIN($U150,240))),Reference!$A$6:$A$11,1))))/(INDEX(Reference!$A$6:$A$11,MIN(5,MATCH(MAX(Reference!$A$6,MIN(Reference!$A$11,MIN($U150,240))),Reference!$A$6:$A$11,1))+1)-INDEX(Reference!$A$6:$A$11,MIN(5,MATCH(MAX(Reference!$A$6,MIN(Reference!$A$11,MIN($U150,240))),Reference!$A$6:$A$11,1))))),0)+IF(7&lt;=$AL150,($AL150-7+3)*(INDEX(Reference!$B$6:$B$11,MIN(5,MATCH(MAX(Reference!$A$6,MIN(Reference!$A$11,MIN($U150,270))),Reference!$A$6:$A$11,1)))+(MAX(Reference!$A$6,MIN(Reference!$A$11,MIN($U150,270)))-INDEX(Reference!$A$6:$A$11,MIN(5,MATCH(MAX(Reference!$A$6,MIN(Reference!$A$11,MIN($U150,270))),Reference!$A$6:$A$11,1))))*(INDEX(Reference!$B$6:$B$11,MIN(5,MATCH(MAX(Reference!$A$6,MIN(Reference!$A$11,MIN($U150,270))),Reference!$A$6:$A$11,1))+1)-INDEX(Reference!$B$6:$B$11,MIN(5,MATCH(MAX(Reference!$A$6,MIN(Reference!$A$11,MIN($U150,270))),Reference!$A$6:$A$11,1))))/(INDEX(Reference!$A$6:$A$11,MIN(5,MATCH(MAX(Reference!$A$6,MIN(Reference!$A$11,MIN($U150,270))),Reference!$A$6:$A$11,1))+1)-INDEX(Reference!$A$6:$A$11,MIN(5,MATCH(MAX(Reference!$A$6,MIN(Reference!$A$11,MIN($U150,270))),Reference!$A$6:$A$11,1))))),0)+IF(8&lt;=$AL150,($AL150-8+3)*(INDEX(Reference!$B$6:$B$11,MIN(5,MATCH(MAX(Reference!$A$6,MIN(Reference!$A$11,MIN($U150,300))),Reference!$A$6:$A$11,1)))+(MAX(Reference!$A$6,MIN(Reference!$A$11,MIN($U150,300)))-INDEX(Reference!$A$6:$A$11,MIN(5,MATCH(MAX(Reference!$A$6,MIN(Reference!$A$11,MIN($U150,300))),Reference!$A$6:$A$11,1))))*(INDEX(Reference!$B$6:$B$11,MIN(5,MATCH(MAX(Reference!$A$6,MIN(Reference!$A$11,MIN($U150,300))),Reference!$A$6:$A$11,1))+1)-INDEX(Reference!$B$6:$B$11,MIN(5,MATCH(MAX(Reference!$A$6,MIN(Reference!$A$11,MIN($U150,300))),Reference!$A$6:$A$11,1))))/(INDEX(Reference!$A$6:$A$11,MIN(5,MATCH(MAX(Reference!$A$6,MIN(Reference!$A$11,MIN($U150,300))),Reference!$A$6:$A$11,1))+1)-INDEX(Reference!$A$6:$A$11,MIN(5,MATCH(MAX(Reference!$A$6,MIN(Reference!$A$11,MIN($U150,300))),Reference!$A$6:$A$11,1))))),0))/($AL150*($AL150+5)/2)),$AN150))</f>
        <v>0</v>
      </c>
      <c r="AN150" s="32">
        <f>IF($U150="",0,(INDEX(Reference!$B$6:$B$11,MIN(5,MATCH(MAX(Reference!$A$6,MIN(Reference!$A$11,$U150)),Reference!$A$6:$A$11,1)))+(MAX(Reference!$A$6,MIN(Reference!$A$11,$U150))-INDEX(Reference!$A$6:$A$11,MIN(5,MATCH(MAX(Reference!$A$6,MIN(Reference!$A$11,$U150)),Reference!$A$6:$A$11,1))))*(INDEX(Reference!$B$6:$B$11,MIN(5,MATCH(MAX(Reference!$A$6,MIN(Reference!$A$11,$U150)),Reference!$A$6:$A$11,1))+1)-INDEX(Reference!$B$6:$B$11,MIN(5,MATCH(MAX(Reference!$A$6,MIN(Reference!$A$11,$U150)),Reference!$A$6:$A$11,1))))/(INDEX(Reference!$A$6:$A$11,MIN(5,MATCH(MAX(Reference!$A$6,MIN(Reference!$A$11,$U150)),Reference!$A$6:$A$11,1))+1)-INDEX(Reference!$A$6:$A$11,MIN(5,MATCH(MAX(Reference!$A$6,MIN(Reference!$A$11,$U150)),Reference!$A$6:$A$11,1))))))</f>
        <v>0</v>
      </c>
      <c r="AO150" s="37"/>
      <c r="AP150" s="37"/>
      <c r="AQ150" s="37"/>
    </row>
    <row r="151" spans="1:43" x14ac:dyDescent="0.3">
      <c r="A151" s="48" t="str">
        <f t="shared" si="80"/>
        <v/>
      </c>
      <c r="B151" s="32" t="str">
        <f t="shared" si="81"/>
        <v/>
      </c>
      <c r="C151" s="32" t="str">
        <f t="shared" si="82"/>
        <v/>
      </c>
      <c r="D151" s="32" t="str">
        <f t="shared" si="83"/>
        <v/>
      </c>
      <c r="E151" s="32" t="str">
        <f t="shared" si="84"/>
        <v/>
      </c>
      <c r="F151" s="32" t="str">
        <f t="shared" si="85"/>
        <v/>
      </c>
      <c r="G151" s="47" t="str">
        <f t="shared" si="86"/>
        <v/>
      </c>
      <c r="H151" s="30" t="str">
        <f t="shared" si="87"/>
        <v/>
      </c>
      <c r="I151" s="46" t="str">
        <f>IF($A151="","",IF(AND($L151&lt;27,$K$12=0),"Building",IFERROR(((SUM($H$145:$H151)+$K$12*IF($L151&lt;6,SUMIFS('Throw Log'!$Q$5:$Q$300,'Throw Log'!$B$5:$B$300,$D$4,'Throw Log'!$A$5:$A$300,"&gt;="&amp;($D$6+$L151-6),'Throw Log'!$A$5:$A$300,"&lt;="&amp;($D$6-1)),0))/7)/((SUM($H$124:$H151)+$K$12*IF($L151&lt;27,SUMIFS('Throw Log'!$Q$5:$Q$300,'Throw Log'!$B$5:$B$300,$D$4,'Throw Log'!$A$5:$A$300,"&gt;="&amp;($D$6+$L151-27),'Throw Log'!$A$5:$A$300,"&lt;="&amp;($D$6-1)),0))/28),"")))</f>
        <v/>
      </c>
      <c r="J151" s="37"/>
      <c r="K151" s="37"/>
      <c r="L151" s="32">
        <v>108</v>
      </c>
      <c r="M151" s="32">
        <f t="shared" si="88"/>
        <v>16</v>
      </c>
      <c r="N151" s="32">
        <f t="shared" si="89"/>
        <v>3</v>
      </c>
      <c r="O151" s="32">
        <f t="shared" si="90"/>
        <v>1</v>
      </c>
      <c r="P151" s="32" t="str">
        <f>IF(OR($A151="",N($C151)&lt;=7),"",$G$6*$G$9^($M151-1)*IF(AND(MOD($M151,Reference!$B$99)=0,$M151&lt;=$G$5-2),Reference!$B$100,1))</f>
        <v/>
      </c>
      <c r="Q151" s="32" t="str">
        <f>IF($P151="","",IF(SUM($AK$148:$AK$154)=0,0,$P151*INDEX(Reference!$B$108:$B$114,$N151+1)/SUM($AK$148:$AK$154)))</f>
        <v/>
      </c>
      <c r="R151" s="32">
        <f t="shared" si="91"/>
        <v>180</v>
      </c>
      <c r="S151" s="32">
        <f t="shared" si="92"/>
        <v>150</v>
      </c>
      <c r="T151" s="32" t="str">
        <f>IF($A151="","",IF($C151=0,"Bullpen",IF(OR($C151=7,$C151=1,$C151=5),"Recovery/Easy Catch",IF($C151=6,"Compression/Pulldowns",IF(OR($C151=4,$C151=2),"Long Toss",IF($C151=3,"No Throw",IF($N151=2,"No Throw",IF($N151=6,IF($O151&lt;Reference!$B$104,"No Throw","Recovery/Easy Catch"),IF(OR($N151=0,$N151=4),"Recovery/Easy Catch",IF($N151=1,IF($R151&gt;75,"Long Toss","Recovery/Easy Catch"),IF($N151=3,IF($O151&lt;0.5,IF($S151&gt;75,"Long Toss","Recovery/Easy Catch"),"Compression/Pulldowns"),IF($S151&gt;75,"Long Toss","Recovery/Easy Catch"))))))))))))</f>
        <v/>
      </c>
      <c r="U151" s="32" t="str">
        <f t="shared" si="93"/>
        <v/>
      </c>
      <c r="V151" s="32" t="str">
        <f t="shared" si="94"/>
        <v/>
      </c>
      <c r="W151" s="32" t="str">
        <f t="shared" si="95"/>
        <v/>
      </c>
      <c r="X151" s="32">
        <f t="shared" si="96"/>
        <v>0</v>
      </c>
      <c r="Y151" s="32" t="str">
        <f t="shared" si="97"/>
        <v/>
      </c>
      <c r="Z151" s="32" t="str">
        <f t="shared" si="98"/>
        <v/>
      </c>
      <c r="AA151" s="32" t="str">
        <f t="shared" si="99"/>
        <v/>
      </c>
      <c r="AB151" s="32" t="str">
        <f>IF($A151="","",IF($T151="No Throw",0,IF($K151&lt;&gt;"",$K151,IF($AA151&lt;&gt;"",ROUND($AA151*$D$12*IF($C151=0,1,$G$10),0),MIN(IF($T151="Recovery/Easy Catch",Reference!$B$103,IF($T151="Long Toss",Reference!$B$106,Reference!$B$102)),MAX(Reference!$B$101,ROUND(MAX(0,$Q151-$AE151)/$AF151,0)))))))</f>
        <v/>
      </c>
      <c r="AC151" s="32">
        <f t="shared" si="100"/>
        <v>0</v>
      </c>
      <c r="AD151" s="32" t="b">
        <f t="shared" si="101"/>
        <v>1</v>
      </c>
      <c r="AE151" s="32">
        <f>IF($X151=0,0,$X151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151+$Z151)/2,0),Reference!$A$17:$B$20,2,TRUE()))</f>
        <v>0</v>
      </c>
      <c r="AF151" s="32">
        <f>IF(OR($A151="",$U151="",$T151="No Throw"),0,$AM151*VLOOKUP(MAX(($V151+$W151)/2,0),Reference!$A$17:$B$20,2,TRUE()))</f>
        <v>0</v>
      </c>
      <c r="AG151" s="32">
        <f>IF($AC151=0,0,$AC151*INDEX(Reference!$B$61:$B$62,MATCH("Bullpen",Reference!$A$61:$A$62,0))*VLOOKUP(MAX($D$5-($D$9+$E$9)/2,0),Reference!$A$17:$B$20,2,TRUE()))</f>
        <v>0</v>
      </c>
      <c r="AH151" s="32" t="e">
        <f t="shared" si="102"/>
        <v>#N/A</v>
      </c>
      <c r="AI151" s="32" t="e">
        <f>IF($A151="",NA(),Reference!$A$25)</f>
        <v>#N/A</v>
      </c>
      <c r="AJ151" s="32" t="e">
        <f t="shared" si="103"/>
        <v>#N/A</v>
      </c>
      <c r="AK151" s="32">
        <f>IF(OR($A151="",N($C151)&lt;=7,$T151="No Throw",$J151="x"),0,INDEX(Reference!$B$108:$B$114,$N151+1))</f>
        <v>0</v>
      </c>
      <c r="AL151" s="32">
        <f t="shared" si="104"/>
        <v>1</v>
      </c>
      <c r="AM151" s="32">
        <f>IF($U151="",0,IF($AL151&gt;1,((IF(1&lt;=$AL151,($AL151-1+3)*(INDEX(Reference!$B$6:$B$11,MIN(5,MATCH(MAX(Reference!$A$6,MIN(Reference!$A$11,MIN($U151,90))),Reference!$A$6:$A$11,1)))+(MAX(Reference!$A$6,MIN(Reference!$A$11,MIN($U151,90)))-INDEX(Reference!$A$6:$A$11,MIN(5,MATCH(MAX(Reference!$A$6,MIN(Reference!$A$11,MIN($U151,90))),Reference!$A$6:$A$11,1))))*(INDEX(Reference!$B$6:$B$11,MIN(5,MATCH(MAX(Reference!$A$6,MIN(Reference!$A$11,MIN($U151,90))),Reference!$A$6:$A$11,1))+1)-INDEX(Reference!$B$6:$B$11,MIN(5,MATCH(MAX(Reference!$A$6,MIN(Reference!$A$11,MIN($U151,90))),Reference!$A$6:$A$11,1))))/(INDEX(Reference!$A$6:$A$11,MIN(5,MATCH(MAX(Reference!$A$6,MIN(Reference!$A$11,MIN($U151,90))),Reference!$A$6:$A$11,1))+1)-INDEX(Reference!$A$6:$A$11,MIN(5,MATCH(MAX(Reference!$A$6,MIN(Reference!$A$11,MIN($U151,90))),Reference!$A$6:$A$11,1))))),0)+IF(2&lt;=$AL151,($AL151-2+3)*(INDEX(Reference!$B$6:$B$11,MIN(5,MATCH(MAX(Reference!$A$6,MIN(Reference!$A$11,MIN($U151,120))),Reference!$A$6:$A$11,1)))+(MAX(Reference!$A$6,MIN(Reference!$A$11,MIN($U151,120)))-INDEX(Reference!$A$6:$A$11,MIN(5,MATCH(MAX(Reference!$A$6,MIN(Reference!$A$11,MIN($U151,120))),Reference!$A$6:$A$11,1))))*(INDEX(Reference!$B$6:$B$11,MIN(5,MATCH(MAX(Reference!$A$6,MIN(Reference!$A$11,MIN($U151,120))),Reference!$A$6:$A$11,1))+1)-INDEX(Reference!$B$6:$B$11,MIN(5,MATCH(MAX(Reference!$A$6,MIN(Reference!$A$11,MIN($U151,120))),Reference!$A$6:$A$11,1))))/(INDEX(Reference!$A$6:$A$11,MIN(5,MATCH(MAX(Reference!$A$6,MIN(Reference!$A$11,MIN($U151,120))),Reference!$A$6:$A$11,1))+1)-INDEX(Reference!$A$6:$A$11,MIN(5,MATCH(MAX(Reference!$A$6,MIN(Reference!$A$11,MIN($U151,120))),Reference!$A$6:$A$11,1))))),0)+IF(3&lt;=$AL151,($AL151-3+3)*(INDEX(Reference!$B$6:$B$11,MIN(5,MATCH(MAX(Reference!$A$6,MIN(Reference!$A$11,MIN($U151,150))),Reference!$A$6:$A$11,1)))+(MAX(Reference!$A$6,MIN(Reference!$A$11,MIN($U151,150)))-INDEX(Reference!$A$6:$A$11,MIN(5,MATCH(MAX(Reference!$A$6,MIN(Reference!$A$11,MIN($U151,150))),Reference!$A$6:$A$11,1))))*(INDEX(Reference!$B$6:$B$11,MIN(5,MATCH(MAX(Reference!$A$6,MIN(Reference!$A$11,MIN($U151,150))),Reference!$A$6:$A$11,1))+1)-INDEX(Reference!$B$6:$B$11,MIN(5,MATCH(MAX(Reference!$A$6,MIN(Reference!$A$11,MIN($U151,150))),Reference!$A$6:$A$11,1))))/(INDEX(Reference!$A$6:$A$11,MIN(5,MATCH(MAX(Reference!$A$6,MIN(Reference!$A$11,MIN($U151,150))),Reference!$A$6:$A$11,1))+1)-INDEX(Reference!$A$6:$A$11,MIN(5,MATCH(MAX(Reference!$A$6,MIN(Reference!$A$11,MIN($U151,150))),Reference!$A$6:$A$11,1))))),0)+IF(4&lt;=$AL151,($AL151-4+3)*(INDEX(Reference!$B$6:$B$11,MIN(5,MATCH(MAX(Reference!$A$6,MIN(Reference!$A$11,MIN($U151,180))),Reference!$A$6:$A$11,1)))+(MAX(Reference!$A$6,MIN(Reference!$A$11,MIN($U151,180)))-INDEX(Reference!$A$6:$A$11,MIN(5,MATCH(MAX(Reference!$A$6,MIN(Reference!$A$11,MIN($U151,180))),Reference!$A$6:$A$11,1))))*(INDEX(Reference!$B$6:$B$11,MIN(5,MATCH(MAX(Reference!$A$6,MIN(Reference!$A$11,MIN($U151,180))),Reference!$A$6:$A$11,1))+1)-INDEX(Reference!$B$6:$B$11,MIN(5,MATCH(MAX(Reference!$A$6,MIN(Reference!$A$11,MIN($U151,180))),Reference!$A$6:$A$11,1))))/(INDEX(Reference!$A$6:$A$11,MIN(5,MATCH(MAX(Reference!$A$6,MIN(Reference!$A$11,MIN($U151,180))),Reference!$A$6:$A$11,1))+1)-INDEX(Reference!$A$6:$A$11,MIN(5,MATCH(MAX(Reference!$A$6,MIN(Reference!$A$11,MIN($U151,180))),Reference!$A$6:$A$11,1))))),0)+IF(5&lt;=$AL151,($AL151-5+3)*(INDEX(Reference!$B$6:$B$11,MIN(5,MATCH(MAX(Reference!$A$6,MIN(Reference!$A$11,MIN($U151,210))),Reference!$A$6:$A$11,1)))+(MAX(Reference!$A$6,MIN(Reference!$A$11,MIN($U151,210)))-INDEX(Reference!$A$6:$A$11,MIN(5,MATCH(MAX(Reference!$A$6,MIN(Reference!$A$11,MIN($U151,210))),Reference!$A$6:$A$11,1))))*(INDEX(Reference!$B$6:$B$11,MIN(5,MATCH(MAX(Reference!$A$6,MIN(Reference!$A$11,MIN($U151,210))),Reference!$A$6:$A$11,1))+1)-INDEX(Reference!$B$6:$B$11,MIN(5,MATCH(MAX(Reference!$A$6,MIN(Reference!$A$11,MIN($U151,210))),Reference!$A$6:$A$11,1))))/(INDEX(Reference!$A$6:$A$11,MIN(5,MATCH(MAX(Reference!$A$6,MIN(Reference!$A$11,MIN($U151,210))),Reference!$A$6:$A$11,1))+1)-INDEX(Reference!$A$6:$A$11,MIN(5,MATCH(MAX(Reference!$A$6,MIN(Reference!$A$11,MIN($U151,210))),Reference!$A$6:$A$11,1))))),0)+IF(6&lt;=$AL151,($AL151-6+3)*(INDEX(Reference!$B$6:$B$11,MIN(5,MATCH(MAX(Reference!$A$6,MIN(Reference!$A$11,MIN($U151,240))),Reference!$A$6:$A$11,1)))+(MAX(Reference!$A$6,MIN(Reference!$A$11,MIN($U151,240)))-INDEX(Reference!$A$6:$A$11,MIN(5,MATCH(MAX(Reference!$A$6,MIN(Reference!$A$11,MIN($U151,240))),Reference!$A$6:$A$11,1))))*(INDEX(Reference!$B$6:$B$11,MIN(5,MATCH(MAX(Reference!$A$6,MIN(Reference!$A$11,MIN($U151,240))),Reference!$A$6:$A$11,1))+1)-INDEX(Reference!$B$6:$B$11,MIN(5,MATCH(MAX(Reference!$A$6,MIN(Reference!$A$11,MIN($U151,240))),Reference!$A$6:$A$11,1))))/(INDEX(Reference!$A$6:$A$11,MIN(5,MATCH(MAX(Reference!$A$6,MIN(Reference!$A$11,MIN($U151,240))),Reference!$A$6:$A$11,1))+1)-INDEX(Reference!$A$6:$A$11,MIN(5,MATCH(MAX(Reference!$A$6,MIN(Reference!$A$11,MIN($U151,240))),Reference!$A$6:$A$11,1))))),0)+IF(7&lt;=$AL151,($AL151-7+3)*(INDEX(Reference!$B$6:$B$11,MIN(5,MATCH(MAX(Reference!$A$6,MIN(Reference!$A$11,MIN($U151,270))),Reference!$A$6:$A$11,1)))+(MAX(Reference!$A$6,MIN(Reference!$A$11,MIN($U151,270)))-INDEX(Reference!$A$6:$A$11,MIN(5,MATCH(MAX(Reference!$A$6,MIN(Reference!$A$11,MIN($U151,270))),Reference!$A$6:$A$11,1))))*(INDEX(Reference!$B$6:$B$11,MIN(5,MATCH(MAX(Reference!$A$6,MIN(Reference!$A$11,MIN($U151,270))),Reference!$A$6:$A$11,1))+1)-INDEX(Reference!$B$6:$B$11,MIN(5,MATCH(MAX(Reference!$A$6,MIN(Reference!$A$11,MIN($U151,270))),Reference!$A$6:$A$11,1))))/(INDEX(Reference!$A$6:$A$11,MIN(5,MATCH(MAX(Reference!$A$6,MIN(Reference!$A$11,MIN($U151,270))),Reference!$A$6:$A$11,1))+1)-INDEX(Reference!$A$6:$A$11,MIN(5,MATCH(MAX(Reference!$A$6,MIN(Reference!$A$11,MIN($U151,270))),Reference!$A$6:$A$11,1))))),0)+IF(8&lt;=$AL151,($AL151-8+3)*(INDEX(Reference!$B$6:$B$11,MIN(5,MATCH(MAX(Reference!$A$6,MIN(Reference!$A$11,MIN($U151,300))),Reference!$A$6:$A$11,1)))+(MAX(Reference!$A$6,MIN(Reference!$A$11,MIN($U151,300)))-INDEX(Reference!$A$6:$A$11,MIN(5,MATCH(MAX(Reference!$A$6,MIN(Reference!$A$11,MIN($U151,300))),Reference!$A$6:$A$11,1))))*(INDEX(Reference!$B$6:$B$11,MIN(5,MATCH(MAX(Reference!$A$6,MIN(Reference!$A$11,MIN($U151,300))),Reference!$A$6:$A$11,1))+1)-INDEX(Reference!$B$6:$B$11,MIN(5,MATCH(MAX(Reference!$A$6,MIN(Reference!$A$11,MIN($U151,300))),Reference!$A$6:$A$11,1))))/(INDEX(Reference!$A$6:$A$11,MIN(5,MATCH(MAX(Reference!$A$6,MIN(Reference!$A$11,MIN($U151,300))),Reference!$A$6:$A$11,1))+1)-INDEX(Reference!$A$6:$A$11,MIN(5,MATCH(MAX(Reference!$A$6,MIN(Reference!$A$11,MIN($U151,300))),Reference!$A$6:$A$11,1))))),0))/($AL151*($AL151+5)/2)),$AN151))</f>
        <v>0</v>
      </c>
      <c r="AN151" s="32">
        <f>IF($U151="",0,(INDEX(Reference!$B$6:$B$11,MIN(5,MATCH(MAX(Reference!$A$6,MIN(Reference!$A$11,$U151)),Reference!$A$6:$A$11,1)))+(MAX(Reference!$A$6,MIN(Reference!$A$11,$U151))-INDEX(Reference!$A$6:$A$11,MIN(5,MATCH(MAX(Reference!$A$6,MIN(Reference!$A$11,$U151)),Reference!$A$6:$A$11,1))))*(INDEX(Reference!$B$6:$B$11,MIN(5,MATCH(MAX(Reference!$A$6,MIN(Reference!$A$11,$U151)),Reference!$A$6:$A$11,1))+1)-INDEX(Reference!$B$6:$B$11,MIN(5,MATCH(MAX(Reference!$A$6,MIN(Reference!$A$11,$U151)),Reference!$A$6:$A$11,1))))/(INDEX(Reference!$A$6:$A$11,MIN(5,MATCH(MAX(Reference!$A$6,MIN(Reference!$A$11,$U151)),Reference!$A$6:$A$11,1))+1)-INDEX(Reference!$A$6:$A$11,MIN(5,MATCH(MAX(Reference!$A$6,MIN(Reference!$A$11,$U151)),Reference!$A$6:$A$11,1))))))</f>
        <v>0</v>
      </c>
      <c r="AO151" s="37"/>
      <c r="AP151" s="37"/>
      <c r="AQ151" s="37"/>
    </row>
    <row r="152" spans="1:43" x14ac:dyDescent="0.3">
      <c r="A152" s="48" t="str">
        <f t="shared" si="80"/>
        <v/>
      </c>
      <c r="B152" s="32" t="str">
        <f t="shared" si="81"/>
        <v/>
      </c>
      <c r="C152" s="32" t="str">
        <f t="shared" si="82"/>
        <v/>
      </c>
      <c r="D152" s="32" t="str">
        <f t="shared" si="83"/>
        <v/>
      </c>
      <c r="E152" s="32" t="str">
        <f t="shared" si="84"/>
        <v/>
      </c>
      <c r="F152" s="32" t="str">
        <f t="shared" si="85"/>
        <v/>
      </c>
      <c r="G152" s="47" t="str">
        <f t="shared" si="86"/>
        <v/>
      </c>
      <c r="H152" s="30" t="str">
        <f t="shared" si="87"/>
        <v/>
      </c>
      <c r="I152" s="46" t="str">
        <f>IF($A152="","",IF(AND($L152&lt;27,$K$12=0),"Building",IFERROR(((SUM($H$146:$H152)+$K$12*IF($L152&lt;6,SUMIFS('Throw Log'!$Q$5:$Q$300,'Throw Log'!$B$5:$B$300,$D$4,'Throw Log'!$A$5:$A$300,"&gt;="&amp;($D$6+$L152-6),'Throw Log'!$A$5:$A$300,"&lt;="&amp;($D$6-1)),0))/7)/((SUM($H$125:$H152)+$K$12*IF($L152&lt;27,SUMIFS('Throw Log'!$Q$5:$Q$300,'Throw Log'!$B$5:$B$300,$D$4,'Throw Log'!$A$5:$A$300,"&gt;="&amp;($D$6+$L152-27),'Throw Log'!$A$5:$A$300,"&lt;="&amp;($D$6-1)),0))/28),"")))</f>
        <v/>
      </c>
      <c r="J152" s="37"/>
      <c r="K152" s="37"/>
      <c r="L152" s="32">
        <v>109</v>
      </c>
      <c r="M152" s="32">
        <f t="shared" si="88"/>
        <v>16</v>
      </c>
      <c r="N152" s="32">
        <f t="shared" si="89"/>
        <v>4</v>
      </c>
      <c r="O152" s="32">
        <f t="shared" si="90"/>
        <v>1</v>
      </c>
      <c r="P152" s="32" t="str">
        <f>IF(OR($A152="",N($C152)&lt;=7),"",$G$6*$G$9^($M152-1)*IF(AND(MOD($M152,Reference!$B$99)=0,$M152&lt;=$G$5-2),Reference!$B$100,1))</f>
        <v/>
      </c>
      <c r="Q152" s="32" t="str">
        <f>IF($P152="","",IF(SUM($AK$148:$AK$154)=0,0,$P152*INDEX(Reference!$B$108:$B$114,$N152+1)/SUM($AK$148:$AK$154)))</f>
        <v/>
      </c>
      <c r="R152" s="32">
        <f t="shared" si="91"/>
        <v>180</v>
      </c>
      <c r="S152" s="32">
        <f t="shared" si="92"/>
        <v>150</v>
      </c>
      <c r="T152" s="32" t="str">
        <f>IF($A152="","",IF($C152=0,"Bullpen",IF(OR($C152=7,$C152=1,$C152=5),"Recovery/Easy Catch",IF($C152=6,"Compression/Pulldowns",IF(OR($C152=4,$C152=2),"Long Toss",IF($C152=3,"No Throw",IF($N152=2,"No Throw",IF($N152=6,IF($O152&lt;Reference!$B$104,"No Throw","Recovery/Easy Catch"),IF(OR($N152=0,$N152=4),"Recovery/Easy Catch",IF($N152=1,IF($R152&gt;75,"Long Toss","Recovery/Easy Catch"),IF($N152=3,IF($O152&lt;0.5,IF($S152&gt;75,"Long Toss","Recovery/Easy Catch"),"Compression/Pulldowns"),IF($S152&gt;75,"Long Toss","Recovery/Easy Catch"))))))))))))</f>
        <v/>
      </c>
      <c r="U152" s="32" t="str">
        <f t="shared" si="93"/>
        <v/>
      </c>
      <c r="V152" s="32" t="str">
        <f t="shared" si="94"/>
        <v/>
      </c>
      <c r="W152" s="32" t="str">
        <f t="shared" si="95"/>
        <v/>
      </c>
      <c r="X152" s="32">
        <f t="shared" si="96"/>
        <v>0</v>
      </c>
      <c r="Y152" s="32" t="str">
        <f t="shared" si="97"/>
        <v/>
      </c>
      <c r="Z152" s="32" t="str">
        <f t="shared" si="98"/>
        <v/>
      </c>
      <c r="AA152" s="32" t="str">
        <f t="shared" si="99"/>
        <v/>
      </c>
      <c r="AB152" s="32" t="str">
        <f>IF($A152="","",IF($T152="No Throw",0,IF($K152&lt;&gt;"",$K152,IF($AA152&lt;&gt;"",ROUND($AA152*$D$12*IF($C152=0,1,$G$10),0),MIN(IF($T152="Recovery/Easy Catch",Reference!$B$103,IF($T152="Long Toss",Reference!$B$106,Reference!$B$102)),MAX(Reference!$B$101,ROUND(MAX(0,$Q152-$AE152)/$AF152,0)))))))</f>
        <v/>
      </c>
      <c r="AC152" s="32">
        <f t="shared" si="100"/>
        <v>0</v>
      </c>
      <c r="AD152" s="32" t="b">
        <f t="shared" si="101"/>
        <v>1</v>
      </c>
      <c r="AE152" s="32">
        <f>IF($X152=0,0,$X152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152+$Z152)/2,0),Reference!$A$17:$B$20,2,TRUE()))</f>
        <v>0</v>
      </c>
      <c r="AF152" s="32">
        <f>IF(OR($A152="",$U152="",$T152="No Throw"),0,$AM152*VLOOKUP(MAX(($V152+$W152)/2,0),Reference!$A$17:$B$20,2,TRUE()))</f>
        <v>0</v>
      </c>
      <c r="AG152" s="32">
        <f>IF($AC152=0,0,$AC152*INDEX(Reference!$B$61:$B$62,MATCH("Bullpen",Reference!$A$61:$A$62,0))*VLOOKUP(MAX($D$5-($D$9+$E$9)/2,0),Reference!$A$17:$B$20,2,TRUE()))</f>
        <v>0</v>
      </c>
      <c r="AH152" s="32" t="e">
        <f t="shared" si="102"/>
        <v>#N/A</v>
      </c>
      <c r="AI152" s="32" t="e">
        <f>IF($A152="",NA(),Reference!$A$25)</f>
        <v>#N/A</v>
      </c>
      <c r="AJ152" s="32" t="e">
        <f t="shared" si="103"/>
        <v>#N/A</v>
      </c>
      <c r="AK152" s="32">
        <f>IF(OR($A152="",N($C152)&lt;=7,$T152="No Throw",$J152="x"),0,INDEX(Reference!$B$108:$B$114,$N152+1))</f>
        <v>0</v>
      </c>
      <c r="AL152" s="32">
        <f t="shared" si="104"/>
        <v>1</v>
      </c>
      <c r="AM152" s="32">
        <f>IF($U152="",0,IF($AL152&gt;1,((IF(1&lt;=$AL152,($AL152-1+3)*(INDEX(Reference!$B$6:$B$11,MIN(5,MATCH(MAX(Reference!$A$6,MIN(Reference!$A$11,MIN($U152,90))),Reference!$A$6:$A$11,1)))+(MAX(Reference!$A$6,MIN(Reference!$A$11,MIN($U152,90)))-INDEX(Reference!$A$6:$A$11,MIN(5,MATCH(MAX(Reference!$A$6,MIN(Reference!$A$11,MIN($U152,90))),Reference!$A$6:$A$11,1))))*(INDEX(Reference!$B$6:$B$11,MIN(5,MATCH(MAX(Reference!$A$6,MIN(Reference!$A$11,MIN($U152,90))),Reference!$A$6:$A$11,1))+1)-INDEX(Reference!$B$6:$B$11,MIN(5,MATCH(MAX(Reference!$A$6,MIN(Reference!$A$11,MIN($U152,90))),Reference!$A$6:$A$11,1))))/(INDEX(Reference!$A$6:$A$11,MIN(5,MATCH(MAX(Reference!$A$6,MIN(Reference!$A$11,MIN($U152,90))),Reference!$A$6:$A$11,1))+1)-INDEX(Reference!$A$6:$A$11,MIN(5,MATCH(MAX(Reference!$A$6,MIN(Reference!$A$11,MIN($U152,90))),Reference!$A$6:$A$11,1))))),0)+IF(2&lt;=$AL152,($AL152-2+3)*(INDEX(Reference!$B$6:$B$11,MIN(5,MATCH(MAX(Reference!$A$6,MIN(Reference!$A$11,MIN($U152,120))),Reference!$A$6:$A$11,1)))+(MAX(Reference!$A$6,MIN(Reference!$A$11,MIN($U152,120)))-INDEX(Reference!$A$6:$A$11,MIN(5,MATCH(MAX(Reference!$A$6,MIN(Reference!$A$11,MIN($U152,120))),Reference!$A$6:$A$11,1))))*(INDEX(Reference!$B$6:$B$11,MIN(5,MATCH(MAX(Reference!$A$6,MIN(Reference!$A$11,MIN($U152,120))),Reference!$A$6:$A$11,1))+1)-INDEX(Reference!$B$6:$B$11,MIN(5,MATCH(MAX(Reference!$A$6,MIN(Reference!$A$11,MIN($U152,120))),Reference!$A$6:$A$11,1))))/(INDEX(Reference!$A$6:$A$11,MIN(5,MATCH(MAX(Reference!$A$6,MIN(Reference!$A$11,MIN($U152,120))),Reference!$A$6:$A$11,1))+1)-INDEX(Reference!$A$6:$A$11,MIN(5,MATCH(MAX(Reference!$A$6,MIN(Reference!$A$11,MIN($U152,120))),Reference!$A$6:$A$11,1))))),0)+IF(3&lt;=$AL152,($AL152-3+3)*(INDEX(Reference!$B$6:$B$11,MIN(5,MATCH(MAX(Reference!$A$6,MIN(Reference!$A$11,MIN($U152,150))),Reference!$A$6:$A$11,1)))+(MAX(Reference!$A$6,MIN(Reference!$A$11,MIN($U152,150)))-INDEX(Reference!$A$6:$A$11,MIN(5,MATCH(MAX(Reference!$A$6,MIN(Reference!$A$11,MIN($U152,150))),Reference!$A$6:$A$11,1))))*(INDEX(Reference!$B$6:$B$11,MIN(5,MATCH(MAX(Reference!$A$6,MIN(Reference!$A$11,MIN($U152,150))),Reference!$A$6:$A$11,1))+1)-INDEX(Reference!$B$6:$B$11,MIN(5,MATCH(MAX(Reference!$A$6,MIN(Reference!$A$11,MIN($U152,150))),Reference!$A$6:$A$11,1))))/(INDEX(Reference!$A$6:$A$11,MIN(5,MATCH(MAX(Reference!$A$6,MIN(Reference!$A$11,MIN($U152,150))),Reference!$A$6:$A$11,1))+1)-INDEX(Reference!$A$6:$A$11,MIN(5,MATCH(MAX(Reference!$A$6,MIN(Reference!$A$11,MIN($U152,150))),Reference!$A$6:$A$11,1))))),0)+IF(4&lt;=$AL152,($AL152-4+3)*(INDEX(Reference!$B$6:$B$11,MIN(5,MATCH(MAX(Reference!$A$6,MIN(Reference!$A$11,MIN($U152,180))),Reference!$A$6:$A$11,1)))+(MAX(Reference!$A$6,MIN(Reference!$A$11,MIN($U152,180)))-INDEX(Reference!$A$6:$A$11,MIN(5,MATCH(MAX(Reference!$A$6,MIN(Reference!$A$11,MIN($U152,180))),Reference!$A$6:$A$11,1))))*(INDEX(Reference!$B$6:$B$11,MIN(5,MATCH(MAX(Reference!$A$6,MIN(Reference!$A$11,MIN($U152,180))),Reference!$A$6:$A$11,1))+1)-INDEX(Reference!$B$6:$B$11,MIN(5,MATCH(MAX(Reference!$A$6,MIN(Reference!$A$11,MIN($U152,180))),Reference!$A$6:$A$11,1))))/(INDEX(Reference!$A$6:$A$11,MIN(5,MATCH(MAX(Reference!$A$6,MIN(Reference!$A$11,MIN($U152,180))),Reference!$A$6:$A$11,1))+1)-INDEX(Reference!$A$6:$A$11,MIN(5,MATCH(MAX(Reference!$A$6,MIN(Reference!$A$11,MIN($U152,180))),Reference!$A$6:$A$11,1))))),0)+IF(5&lt;=$AL152,($AL152-5+3)*(INDEX(Reference!$B$6:$B$11,MIN(5,MATCH(MAX(Reference!$A$6,MIN(Reference!$A$11,MIN($U152,210))),Reference!$A$6:$A$11,1)))+(MAX(Reference!$A$6,MIN(Reference!$A$11,MIN($U152,210)))-INDEX(Reference!$A$6:$A$11,MIN(5,MATCH(MAX(Reference!$A$6,MIN(Reference!$A$11,MIN($U152,210))),Reference!$A$6:$A$11,1))))*(INDEX(Reference!$B$6:$B$11,MIN(5,MATCH(MAX(Reference!$A$6,MIN(Reference!$A$11,MIN($U152,210))),Reference!$A$6:$A$11,1))+1)-INDEX(Reference!$B$6:$B$11,MIN(5,MATCH(MAX(Reference!$A$6,MIN(Reference!$A$11,MIN($U152,210))),Reference!$A$6:$A$11,1))))/(INDEX(Reference!$A$6:$A$11,MIN(5,MATCH(MAX(Reference!$A$6,MIN(Reference!$A$11,MIN($U152,210))),Reference!$A$6:$A$11,1))+1)-INDEX(Reference!$A$6:$A$11,MIN(5,MATCH(MAX(Reference!$A$6,MIN(Reference!$A$11,MIN($U152,210))),Reference!$A$6:$A$11,1))))),0)+IF(6&lt;=$AL152,($AL152-6+3)*(INDEX(Reference!$B$6:$B$11,MIN(5,MATCH(MAX(Reference!$A$6,MIN(Reference!$A$11,MIN($U152,240))),Reference!$A$6:$A$11,1)))+(MAX(Reference!$A$6,MIN(Reference!$A$11,MIN($U152,240)))-INDEX(Reference!$A$6:$A$11,MIN(5,MATCH(MAX(Reference!$A$6,MIN(Reference!$A$11,MIN($U152,240))),Reference!$A$6:$A$11,1))))*(INDEX(Reference!$B$6:$B$11,MIN(5,MATCH(MAX(Reference!$A$6,MIN(Reference!$A$11,MIN($U152,240))),Reference!$A$6:$A$11,1))+1)-INDEX(Reference!$B$6:$B$11,MIN(5,MATCH(MAX(Reference!$A$6,MIN(Reference!$A$11,MIN($U152,240))),Reference!$A$6:$A$11,1))))/(INDEX(Reference!$A$6:$A$11,MIN(5,MATCH(MAX(Reference!$A$6,MIN(Reference!$A$11,MIN($U152,240))),Reference!$A$6:$A$11,1))+1)-INDEX(Reference!$A$6:$A$11,MIN(5,MATCH(MAX(Reference!$A$6,MIN(Reference!$A$11,MIN($U152,240))),Reference!$A$6:$A$11,1))))),0)+IF(7&lt;=$AL152,($AL152-7+3)*(INDEX(Reference!$B$6:$B$11,MIN(5,MATCH(MAX(Reference!$A$6,MIN(Reference!$A$11,MIN($U152,270))),Reference!$A$6:$A$11,1)))+(MAX(Reference!$A$6,MIN(Reference!$A$11,MIN($U152,270)))-INDEX(Reference!$A$6:$A$11,MIN(5,MATCH(MAX(Reference!$A$6,MIN(Reference!$A$11,MIN($U152,270))),Reference!$A$6:$A$11,1))))*(INDEX(Reference!$B$6:$B$11,MIN(5,MATCH(MAX(Reference!$A$6,MIN(Reference!$A$11,MIN($U152,270))),Reference!$A$6:$A$11,1))+1)-INDEX(Reference!$B$6:$B$11,MIN(5,MATCH(MAX(Reference!$A$6,MIN(Reference!$A$11,MIN($U152,270))),Reference!$A$6:$A$11,1))))/(INDEX(Reference!$A$6:$A$11,MIN(5,MATCH(MAX(Reference!$A$6,MIN(Reference!$A$11,MIN($U152,270))),Reference!$A$6:$A$11,1))+1)-INDEX(Reference!$A$6:$A$11,MIN(5,MATCH(MAX(Reference!$A$6,MIN(Reference!$A$11,MIN($U152,270))),Reference!$A$6:$A$11,1))))),0)+IF(8&lt;=$AL152,($AL152-8+3)*(INDEX(Reference!$B$6:$B$11,MIN(5,MATCH(MAX(Reference!$A$6,MIN(Reference!$A$11,MIN($U152,300))),Reference!$A$6:$A$11,1)))+(MAX(Reference!$A$6,MIN(Reference!$A$11,MIN($U152,300)))-INDEX(Reference!$A$6:$A$11,MIN(5,MATCH(MAX(Reference!$A$6,MIN(Reference!$A$11,MIN($U152,300))),Reference!$A$6:$A$11,1))))*(INDEX(Reference!$B$6:$B$11,MIN(5,MATCH(MAX(Reference!$A$6,MIN(Reference!$A$11,MIN($U152,300))),Reference!$A$6:$A$11,1))+1)-INDEX(Reference!$B$6:$B$11,MIN(5,MATCH(MAX(Reference!$A$6,MIN(Reference!$A$11,MIN($U152,300))),Reference!$A$6:$A$11,1))))/(INDEX(Reference!$A$6:$A$11,MIN(5,MATCH(MAX(Reference!$A$6,MIN(Reference!$A$11,MIN($U152,300))),Reference!$A$6:$A$11,1))+1)-INDEX(Reference!$A$6:$A$11,MIN(5,MATCH(MAX(Reference!$A$6,MIN(Reference!$A$11,MIN($U152,300))),Reference!$A$6:$A$11,1))))),0))/($AL152*($AL152+5)/2)),$AN152))</f>
        <v>0</v>
      </c>
      <c r="AN152" s="32">
        <f>IF($U152="",0,(INDEX(Reference!$B$6:$B$11,MIN(5,MATCH(MAX(Reference!$A$6,MIN(Reference!$A$11,$U152)),Reference!$A$6:$A$11,1)))+(MAX(Reference!$A$6,MIN(Reference!$A$11,$U152))-INDEX(Reference!$A$6:$A$11,MIN(5,MATCH(MAX(Reference!$A$6,MIN(Reference!$A$11,$U152)),Reference!$A$6:$A$11,1))))*(INDEX(Reference!$B$6:$B$11,MIN(5,MATCH(MAX(Reference!$A$6,MIN(Reference!$A$11,$U152)),Reference!$A$6:$A$11,1))+1)-INDEX(Reference!$B$6:$B$11,MIN(5,MATCH(MAX(Reference!$A$6,MIN(Reference!$A$11,$U152)),Reference!$A$6:$A$11,1))))/(INDEX(Reference!$A$6:$A$11,MIN(5,MATCH(MAX(Reference!$A$6,MIN(Reference!$A$11,$U152)),Reference!$A$6:$A$11,1))+1)-INDEX(Reference!$A$6:$A$11,MIN(5,MATCH(MAX(Reference!$A$6,MIN(Reference!$A$11,$U152)),Reference!$A$6:$A$11,1))))))</f>
        <v>0</v>
      </c>
      <c r="AO152" s="37"/>
      <c r="AP152" s="37"/>
      <c r="AQ152" s="37"/>
    </row>
    <row r="153" spans="1:43" x14ac:dyDescent="0.3">
      <c r="A153" s="48" t="str">
        <f t="shared" si="80"/>
        <v/>
      </c>
      <c r="B153" s="32" t="str">
        <f t="shared" si="81"/>
        <v/>
      </c>
      <c r="C153" s="32" t="str">
        <f t="shared" si="82"/>
        <v/>
      </c>
      <c r="D153" s="32" t="str">
        <f t="shared" si="83"/>
        <v/>
      </c>
      <c r="E153" s="32" t="str">
        <f t="shared" si="84"/>
        <v/>
      </c>
      <c r="F153" s="32" t="str">
        <f t="shared" si="85"/>
        <v/>
      </c>
      <c r="G153" s="47" t="str">
        <f t="shared" si="86"/>
        <v/>
      </c>
      <c r="H153" s="30" t="str">
        <f t="shared" si="87"/>
        <v/>
      </c>
      <c r="I153" s="46" t="str">
        <f>IF($A153="","",IF(AND($L153&lt;27,$K$12=0),"Building",IFERROR(((SUM($H$147:$H153)+$K$12*IF($L153&lt;6,SUMIFS('Throw Log'!$Q$5:$Q$300,'Throw Log'!$B$5:$B$300,$D$4,'Throw Log'!$A$5:$A$300,"&gt;="&amp;($D$6+$L153-6),'Throw Log'!$A$5:$A$300,"&lt;="&amp;($D$6-1)),0))/7)/((SUM($H$126:$H153)+$K$12*IF($L153&lt;27,SUMIFS('Throw Log'!$Q$5:$Q$300,'Throw Log'!$B$5:$B$300,$D$4,'Throw Log'!$A$5:$A$300,"&gt;="&amp;($D$6+$L153-27),'Throw Log'!$A$5:$A$300,"&lt;="&amp;($D$6-1)),0))/28),"")))</f>
        <v/>
      </c>
      <c r="J153" s="37"/>
      <c r="K153" s="37"/>
      <c r="L153" s="32">
        <v>110</v>
      </c>
      <c r="M153" s="32">
        <f t="shared" si="88"/>
        <v>16</v>
      </c>
      <c r="N153" s="32">
        <f t="shared" si="89"/>
        <v>5</v>
      </c>
      <c r="O153" s="32">
        <f t="shared" si="90"/>
        <v>1</v>
      </c>
      <c r="P153" s="32" t="str">
        <f>IF(OR($A153="",N($C153)&lt;=7),"",$G$6*$G$9^($M153-1)*IF(AND(MOD($M153,Reference!$B$99)=0,$M153&lt;=$G$5-2),Reference!$B$100,1))</f>
        <v/>
      </c>
      <c r="Q153" s="32" t="str">
        <f>IF($P153="","",IF(SUM($AK$148:$AK$154)=0,0,$P153*INDEX(Reference!$B$108:$B$114,$N153+1)/SUM($AK$148:$AK$154)))</f>
        <v/>
      </c>
      <c r="R153" s="32">
        <f t="shared" si="91"/>
        <v>180</v>
      </c>
      <c r="S153" s="32">
        <f t="shared" si="92"/>
        <v>150</v>
      </c>
      <c r="T153" s="32" t="str">
        <f>IF($A153="","",IF($C153=0,"Bullpen",IF(OR($C153=7,$C153=1,$C153=5),"Recovery/Easy Catch",IF($C153=6,"Compression/Pulldowns",IF(OR($C153=4,$C153=2),"Long Toss",IF($C153=3,"No Throw",IF($N153=2,"No Throw",IF($N153=6,IF($O153&lt;Reference!$B$104,"No Throw","Recovery/Easy Catch"),IF(OR($N153=0,$N153=4),"Recovery/Easy Catch",IF($N153=1,IF($R153&gt;75,"Long Toss","Recovery/Easy Catch"),IF($N153=3,IF($O153&lt;0.5,IF($S153&gt;75,"Long Toss","Recovery/Easy Catch"),"Compression/Pulldowns"),IF($S153&gt;75,"Long Toss","Recovery/Easy Catch"))))))))))))</f>
        <v/>
      </c>
      <c r="U153" s="32" t="str">
        <f t="shared" si="93"/>
        <v/>
      </c>
      <c r="V153" s="32" t="str">
        <f t="shared" si="94"/>
        <v/>
      </c>
      <c r="W153" s="32" t="str">
        <f t="shared" si="95"/>
        <v/>
      </c>
      <c r="X153" s="32">
        <f t="shared" si="96"/>
        <v>0</v>
      </c>
      <c r="Y153" s="32" t="str">
        <f t="shared" si="97"/>
        <v/>
      </c>
      <c r="Z153" s="32" t="str">
        <f t="shared" si="98"/>
        <v/>
      </c>
      <c r="AA153" s="32" t="str">
        <f t="shared" si="99"/>
        <v/>
      </c>
      <c r="AB153" s="32" t="str">
        <f>IF($A153="","",IF($T153="No Throw",0,IF($K153&lt;&gt;"",$K153,IF($AA153&lt;&gt;"",ROUND($AA153*$D$12*IF($C153=0,1,$G$10),0),MIN(IF($T153="Recovery/Easy Catch",Reference!$B$103,IF($T153="Long Toss",Reference!$B$106,Reference!$B$102)),MAX(Reference!$B$101,ROUND(MAX(0,$Q153-$AE153)/$AF153,0)))))))</f>
        <v/>
      </c>
      <c r="AC153" s="32">
        <f t="shared" si="100"/>
        <v>0</v>
      </c>
      <c r="AD153" s="32" t="b">
        <f t="shared" si="101"/>
        <v>1</v>
      </c>
      <c r="AE153" s="32">
        <f>IF($X153=0,0,$X153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153+$Z153)/2,0),Reference!$A$17:$B$20,2,TRUE()))</f>
        <v>0</v>
      </c>
      <c r="AF153" s="32">
        <f>IF(OR($A153="",$U153="",$T153="No Throw"),0,$AM153*VLOOKUP(MAX(($V153+$W153)/2,0),Reference!$A$17:$B$20,2,TRUE()))</f>
        <v>0</v>
      </c>
      <c r="AG153" s="32">
        <f>IF($AC153=0,0,$AC153*INDEX(Reference!$B$61:$B$62,MATCH("Bullpen",Reference!$A$61:$A$62,0))*VLOOKUP(MAX($D$5-($D$9+$E$9)/2,0),Reference!$A$17:$B$20,2,TRUE()))</f>
        <v>0</v>
      </c>
      <c r="AH153" s="32" t="e">
        <f t="shared" si="102"/>
        <v>#N/A</v>
      </c>
      <c r="AI153" s="32" t="e">
        <f>IF($A153="",NA(),Reference!$A$25)</f>
        <v>#N/A</v>
      </c>
      <c r="AJ153" s="32" t="e">
        <f t="shared" si="103"/>
        <v>#N/A</v>
      </c>
      <c r="AK153" s="32">
        <f>IF(OR($A153="",N($C153)&lt;=7,$T153="No Throw",$J153="x"),0,INDEX(Reference!$B$108:$B$114,$N153+1))</f>
        <v>0</v>
      </c>
      <c r="AL153" s="32">
        <f t="shared" si="104"/>
        <v>1</v>
      </c>
      <c r="AM153" s="32">
        <f>IF($U153="",0,IF($AL153&gt;1,((IF(1&lt;=$AL153,($AL153-1+3)*(INDEX(Reference!$B$6:$B$11,MIN(5,MATCH(MAX(Reference!$A$6,MIN(Reference!$A$11,MIN($U153,90))),Reference!$A$6:$A$11,1)))+(MAX(Reference!$A$6,MIN(Reference!$A$11,MIN($U153,90)))-INDEX(Reference!$A$6:$A$11,MIN(5,MATCH(MAX(Reference!$A$6,MIN(Reference!$A$11,MIN($U153,90))),Reference!$A$6:$A$11,1))))*(INDEX(Reference!$B$6:$B$11,MIN(5,MATCH(MAX(Reference!$A$6,MIN(Reference!$A$11,MIN($U153,90))),Reference!$A$6:$A$11,1))+1)-INDEX(Reference!$B$6:$B$11,MIN(5,MATCH(MAX(Reference!$A$6,MIN(Reference!$A$11,MIN($U153,90))),Reference!$A$6:$A$11,1))))/(INDEX(Reference!$A$6:$A$11,MIN(5,MATCH(MAX(Reference!$A$6,MIN(Reference!$A$11,MIN($U153,90))),Reference!$A$6:$A$11,1))+1)-INDEX(Reference!$A$6:$A$11,MIN(5,MATCH(MAX(Reference!$A$6,MIN(Reference!$A$11,MIN($U153,90))),Reference!$A$6:$A$11,1))))),0)+IF(2&lt;=$AL153,($AL153-2+3)*(INDEX(Reference!$B$6:$B$11,MIN(5,MATCH(MAX(Reference!$A$6,MIN(Reference!$A$11,MIN($U153,120))),Reference!$A$6:$A$11,1)))+(MAX(Reference!$A$6,MIN(Reference!$A$11,MIN($U153,120)))-INDEX(Reference!$A$6:$A$11,MIN(5,MATCH(MAX(Reference!$A$6,MIN(Reference!$A$11,MIN($U153,120))),Reference!$A$6:$A$11,1))))*(INDEX(Reference!$B$6:$B$11,MIN(5,MATCH(MAX(Reference!$A$6,MIN(Reference!$A$11,MIN($U153,120))),Reference!$A$6:$A$11,1))+1)-INDEX(Reference!$B$6:$B$11,MIN(5,MATCH(MAX(Reference!$A$6,MIN(Reference!$A$11,MIN($U153,120))),Reference!$A$6:$A$11,1))))/(INDEX(Reference!$A$6:$A$11,MIN(5,MATCH(MAX(Reference!$A$6,MIN(Reference!$A$11,MIN($U153,120))),Reference!$A$6:$A$11,1))+1)-INDEX(Reference!$A$6:$A$11,MIN(5,MATCH(MAX(Reference!$A$6,MIN(Reference!$A$11,MIN($U153,120))),Reference!$A$6:$A$11,1))))),0)+IF(3&lt;=$AL153,($AL153-3+3)*(INDEX(Reference!$B$6:$B$11,MIN(5,MATCH(MAX(Reference!$A$6,MIN(Reference!$A$11,MIN($U153,150))),Reference!$A$6:$A$11,1)))+(MAX(Reference!$A$6,MIN(Reference!$A$11,MIN($U153,150)))-INDEX(Reference!$A$6:$A$11,MIN(5,MATCH(MAX(Reference!$A$6,MIN(Reference!$A$11,MIN($U153,150))),Reference!$A$6:$A$11,1))))*(INDEX(Reference!$B$6:$B$11,MIN(5,MATCH(MAX(Reference!$A$6,MIN(Reference!$A$11,MIN($U153,150))),Reference!$A$6:$A$11,1))+1)-INDEX(Reference!$B$6:$B$11,MIN(5,MATCH(MAX(Reference!$A$6,MIN(Reference!$A$11,MIN($U153,150))),Reference!$A$6:$A$11,1))))/(INDEX(Reference!$A$6:$A$11,MIN(5,MATCH(MAX(Reference!$A$6,MIN(Reference!$A$11,MIN($U153,150))),Reference!$A$6:$A$11,1))+1)-INDEX(Reference!$A$6:$A$11,MIN(5,MATCH(MAX(Reference!$A$6,MIN(Reference!$A$11,MIN($U153,150))),Reference!$A$6:$A$11,1))))),0)+IF(4&lt;=$AL153,($AL153-4+3)*(INDEX(Reference!$B$6:$B$11,MIN(5,MATCH(MAX(Reference!$A$6,MIN(Reference!$A$11,MIN($U153,180))),Reference!$A$6:$A$11,1)))+(MAX(Reference!$A$6,MIN(Reference!$A$11,MIN($U153,180)))-INDEX(Reference!$A$6:$A$11,MIN(5,MATCH(MAX(Reference!$A$6,MIN(Reference!$A$11,MIN($U153,180))),Reference!$A$6:$A$11,1))))*(INDEX(Reference!$B$6:$B$11,MIN(5,MATCH(MAX(Reference!$A$6,MIN(Reference!$A$11,MIN($U153,180))),Reference!$A$6:$A$11,1))+1)-INDEX(Reference!$B$6:$B$11,MIN(5,MATCH(MAX(Reference!$A$6,MIN(Reference!$A$11,MIN($U153,180))),Reference!$A$6:$A$11,1))))/(INDEX(Reference!$A$6:$A$11,MIN(5,MATCH(MAX(Reference!$A$6,MIN(Reference!$A$11,MIN($U153,180))),Reference!$A$6:$A$11,1))+1)-INDEX(Reference!$A$6:$A$11,MIN(5,MATCH(MAX(Reference!$A$6,MIN(Reference!$A$11,MIN($U153,180))),Reference!$A$6:$A$11,1))))),0)+IF(5&lt;=$AL153,($AL153-5+3)*(INDEX(Reference!$B$6:$B$11,MIN(5,MATCH(MAX(Reference!$A$6,MIN(Reference!$A$11,MIN($U153,210))),Reference!$A$6:$A$11,1)))+(MAX(Reference!$A$6,MIN(Reference!$A$11,MIN($U153,210)))-INDEX(Reference!$A$6:$A$11,MIN(5,MATCH(MAX(Reference!$A$6,MIN(Reference!$A$11,MIN($U153,210))),Reference!$A$6:$A$11,1))))*(INDEX(Reference!$B$6:$B$11,MIN(5,MATCH(MAX(Reference!$A$6,MIN(Reference!$A$11,MIN($U153,210))),Reference!$A$6:$A$11,1))+1)-INDEX(Reference!$B$6:$B$11,MIN(5,MATCH(MAX(Reference!$A$6,MIN(Reference!$A$11,MIN($U153,210))),Reference!$A$6:$A$11,1))))/(INDEX(Reference!$A$6:$A$11,MIN(5,MATCH(MAX(Reference!$A$6,MIN(Reference!$A$11,MIN($U153,210))),Reference!$A$6:$A$11,1))+1)-INDEX(Reference!$A$6:$A$11,MIN(5,MATCH(MAX(Reference!$A$6,MIN(Reference!$A$11,MIN($U153,210))),Reference!$A$6:$A$11,1))))),0)+IF(6&lt;=$AL153,($AL153-6+3)*(INDEX(Reference!$B$6:$B$11,MIN(5,MATCH(MAX(Reference!$A$6,MIN(Reference!$A$11,MIN($U153,240))),Reference!$A$6:$A$11,1)))+(MAX(Reference!$A$6,MIN(Reference!$A$11,MIN($U153,240)))-INDEX(Reference!$A$6:$A$11,MIN(5,MATCH(MAX(Reference!$A$6,MIN(Reference!$A$11,MIN($U153,240))),Reference!$A$6:$A$11,1))))*(INDEX(Reference!$B$6:$B$11,MIN(5,MATCH(MAX(Reference!$A$6,MIN(Reference!$A$11,MIN($U153,240))),Reference!$A$6:$A$11,1))+1)-INDEX(Reference!$B$6:$B$11,MIN(5,MATCH(MAX(Reference!$A$6,MIN(Reference!$A$11,MIN($U153,240))),Reference!$A$6:$A$11,1))))/(INDEX(Reference!$A$6:$A$11,MIN(5,MATCH(MAX(Reference!$A$6,MIN(Reference!$A$11,MIN($U153,240))),Reference!$A$6:$A$11,1))+1)-INDEX(Reference!$A$6:$A$11,MIN(5,MATCH(MAX(Reference!$A$6,MIN(Reference!$A$11,MIN($U153,240))),Reference!$A$6:$A$11,1))))),0)+IF(7&lt;=$AL153,($AL153-7+3)*(INDEX(Reference!$B$6:$B$11,MIN(5,MATCH(MAX(Reference!$A$6,MIN(Reference!$A$11,MIN($U153,270))),Reference!$A$6:$A$11,1)))+(MAX(Reference!$A$6,MIN(Reference!$A$11,MIN($U153,270)))-INDEX(Reference!$A$6:$A$11,MIN(5,MATCH(MAX(Reference!$A$6,MIN(Reference!$A$11,MIN($U153,270))),Reference!$A$6:$A$11,1))))*(INDEX(Reference!$B$6:$B$11,MIN(5,MATCH(MAX(Reference!$A$6,MIN(Reference!$A$11,MIN($U153,270))),Reference!$A$6:$A$11,1))+1)-INDEX(Reference!$B$6:$B$11,MIN(5,MATCH(MAX(Reference!$A$6,MIN(Reference!$A$11,MIN($U153,270))),Reference!$A$6:$A$11,1))))/(INDEX(Reference!$A$6:$A$11,MIN(5,MATCH(MAX(Reference!$A$6,MIN(Reference!$A$11,MIN($U153,270))),Reference!$A$6:$A$11,1))+1)-INDEX(Reference!$A$6:$A$11,MIN(5,MATCH(MAX(Reference!$A$6,MIN(Reference!$A$11,MIN($U153,270))),Reference!$A$6:$A$11,1))))),0)+IF(8&lt;=$AL153,($AL153-8+3)*(INDEX(Reference!$B$6:$B$11,MIN(5,MATCH(MAX(Reference!$A$6,MIN(Reference!$A$11,MIN($U153,300))),Reference!$A$6:$A$11,1)))+(MAX(Reference!$A$6,MIN(Reference!$A$11,MIN($U153,300)))-INDEX(Reference!$A$6:$A$11,MIN(5,MATCH(MAX(Reference!$A$6,MIN(Reference!$A$11,MIN($U153,300))),Reference!$A$6:$A$11,1))))*(INDEX(Reference!$B$6:$B$11,MIN(5,MATCH(MAX(Reference!$A$6,MIN(Reference!$A$11,MIN($U153,300))),Reference!$A$6:$A$11,1))+1)-INDEX(Reference!$B$6:$B$11,MIN(5,MATCH(MAX(Reference!$A$6,MIN(Reference!$A$11,MIN($U153,300))),Reference!$A$6:$A$11,1))))/(INDEX(Reference!$A$6:$A$11,MIN(5,MATCH(MAX(Reference!$A$6,MIN(Reference!$A$11,MIN($U153,300))),Reference!$A$6:$A$11,1))+1)-INDEX(Reference!$A$6:$A$11,MIN(5,MATCH(MAX(Reference!$A$6,MIN(Reference!$A$11,MIN($U153,300))),Reference!$A$6:$A$11,1))))),0))/($AL153*($AL153+5)/2)),$AN153))</f>
        <v>0</v>
      </c>
      <c r="AN153" s="32">
        <f>IF($U153="",0,(INDEX(Reference!$B$6:$B$11,MIN(5,MATCH(MAX(Reference!$A$6,MIN(Reference!$A$11,$U153)),Reference!$A$6:$A$11,1)))+(MAX(Reference!$A$6,MIN(Reference!$A$11,$U153))-INDEX(Reference!$A$6:$A$11,MIN(5,MATCH(MAX(Reference!$A$6,MIN(Reference!$A$11,$U153)),Reference!$A$6:$A$11,1))))*(INDEX(Reference!$B$6:$B$11,MIN(5,MATCH(MAX(Reference!$A$6,MIN(Reference!$A$11,$U153)),Reference!$A$6:$A$11,1))+1)-INDEX(Reference!$B$6:$B$11,MIN(5,MATCH(MAX(Reference!$A$6,MIN(Reference!$A$11,$U153)),Reference!$A$6:$A$11,1))))/(INDEX(Reference!$A$6:$A$11,MIN(5,MATCH(MAX(Reference!$A$6,MIN(Reference!$A$11,$U153)),Reference!$A$6:$A$11,1))+1)-INDEX(Reference!$A$6:$A$11,MIN(5,MATCH(MAX(Reference!$A$6,MIN(Reference!$A$11,$U153)),Reference!$A$6:$A$11,1))))))</f>
        <v>0</v>
      </c>
      <c r="AO153" s="37"/>
      <c r="AP153" s="37"/>
      <c r="AQ153" s="37"/>
    </row>
    <row r="154" spans="1:43" x14ac:dyDescent="0.3">
      <c r="A154" s="48" t="str">
        <f t="shared" si="80"/>
        <v/>
      </c>
      <c r="B154" s="32" t="str">
        <f t="shared" si="81"/>
        <v/>
      </c>
      <c r="C154" s="32" t="str">
        <f t="shared" si="82"/>
        <v/>
      </c>
      <c r="D154" s="32" t="str">
        <f t="shared" si="83"/>
        <v/>
      </c>
      <c r="E154" s="32" t="str">
        <f t="shared" si="84"/>
        <v/>
      </c>
      <c r="F154" s="32" t="str">
        <f t="shared" si="85"/>
        <v/>
      </c>
      <c r="G154" s="47" t="str">
        <f t="shared" si="86"/>
        <v/>
      </c>
      <c r="H154" s="30" t="str">
        <f t="shared" si="87"/>
        <v/>
      </c>
      <c r="I154" s="46" t="str">
        <f>IF($A154="","",IF(AND($L154&lt;27,$K$12=0),"Building",IFERROR(((SUM($H$148:$H154)+$K$12*IF($L154&lt;6,SUMIFS('Throw Log'!$Q$5:$Q$300,'Throw Log'!$B$5:$B$300,$D$4,'Throw Log'!$A$5:$A$300,"&gt;="&amp;($D$6+$L154-6),'Throw Log'!$A$5:$A$300,"&lt;="&amp;($D$6-1)),0))/7)/((SUM($H$127:$H154)+$K$12*IF($L154&lt;27,SUMIFS('Throw Log'!$Q$5:$Q$300,'Throw Log'!$B$5:$B$300,$D$4,'Throw Log'!$A$5:$A$300,"&gt;="&amp;($D$6+$L154-27),'Throw Log'!$A$5:$A$300,"&lt;="&amp;($D$6-1)),0))/28),"")))</f>
        <v/>
      </c>
      <c r="J154" s="37"/>
      <c r="K154" s="37"/>
      <c r="L154" s="32">
        <v>111</v>
      </c>
      <c r="M154" s="32">
        <f t="shared" si="88"/>
        <v>16</v>
      </c>
      <c r="N154" s="32">
        <f t="shared" si="89"/>
        <v>6</v>
      </c>
      <c r="O154" s="32">
        <f t="shared" si="90"/>
        <v>1</v>
      </c>
      <c r="P154" s="32" t="str">
        <f>IF(OR($A154="",N($C154)&lt;=7),"",$G$6*$G$9^($M154-1)*IF(AND(MOD($M154,Reference!$B$99)=0,$M154&lt;=$G$5-2),Reference!$B$100,1))</f>
        <v/>
      </c>
      <c r="Q154" s="32" t="str">
        <f>IF($P154="","",IF(SUM($AK$148:$AK$154)=0,0,$P154*INDEX(Reference!$B$108:$B$114,$N154+1)/SUM($AK$148:$AK$154)))</f>
        <v/>
      </c>
      <c r="R154" s="32">
        <f t="shared" si="91"/>
        <v>180</v>
      </c>
      <c r="S154" s="32">
        <f t="shared" si="92"/>
        <v>150</v>
      </c>
      <c r="T154" s="32" t="str">
        <f>IF($A154="","",IF($C154=0,"Bullpen",IF(OR($C154=7,$C154=1,$C154=5),"Recovery/Easy Catch",IF($C154=6,"Compression/Pulldowns",IF(OR($C154=4,$C154=2),"Long Toss",IF($C154=3,"No Throw",IF($N154=2,"No Throw",IF($N154=6,IF($O154&lt;Reference!$B$104,"No Throw","Recovery/Easy Catch"),IF(OR($N154=0,$N154=4),"Recovery/Easy Catch",IF($N154=1,IF($R154&gt;75,"Long Toss","Recovery/Easy Catch"),IF($N154=3,IF($O154&lt;0.5,IF($S154&gt;75,"Long Toss","Recovery/Easy Catch"),"Compression/Pulldowns"),IF($S154&gt;75,"Long Toss","Recovery/Easy Catch"))))))))))))</f>
        <v/>
      </c>
      <c r="U154" s="32" t="str">
        <f t="shared" si="93"/>
        <v/>
      </c>
      <c r="V154" s="32" t="str">
        <f t="shared" si="94"/>
        <v/>
      </c>
      <c r="W154" s="32" t="str">
        <f t="shared" si="95"/>
        <v/>
      </c>
      <c r="X154" s="32">
        <f t="shared" si="96"/>
        <v>0</v>
      </c>
      <c r="Y154" s="32" t="str">
        <f t="shared" si="97"/>
        <v/>
      </c>
      <c r="Z154" s="32" t="str">
        <f t="shared" si="98"/>
        <v/>
      </c>
      <c r="AA154" s="32" t="str">
        <f t="shared" si="99"/>
        <v/>
      </c>
      <c r="AB154" s="32" t="str">
        <f>IF($A154="","",IF($T154="No Throw",0,IF($K154&lt;&gt;"",$K154,IF($AA154&lt;&gt;"",ROUND($AA154*$D$12*IF($C154=0,1,$G$10),0),MIN(IF($T154="Recovery/Easy Catch",Reference!$B$103,IF($T154="Long Toss",Reference!$B$106,Reference!$B$102)),MAX(Reference!$B$101,ROUND(MAX(0,$Q154-$AE154)/$AF154,0)))))))</f>
        <v/>
      </c>
      <c r="AC154" s="32">
        <f t="shared" si="100"/>
        <v>0</v>
      </c>
      <c r="AD154" s="32" t="b">
        <f t="shared" si="101"/>
        <v>1</v>
      </c>
      <c r="AE154" s="32">
        <f>IF($X154=0,0,$X154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154+$Z154)/2,0),Reference!$A$17:$B$20,2,TRUE()))</f>
        <v>0</v>
      </c>
      <c r="AF154" s="32">
        <f>IF(OR($A154="",$U154="",$T154="No Throw"),0,$AM154*VLOOKUP(MAX(($V154+$W154)/2,0),Reference!$A$17:$B$20,2,TRUE()))</f>
        <v>0</v>
      </c>
      <c r="AG154" s="32">
        <f>IF($AC154=0,0,$AC154*INDEX(Reference!$B$61:$B$62,MATCH("Bullpen",Reference!$A$61:$A$62,0))*VLOOKUP(MAX($D$5-($D$9+$E$9)/2,0),Reference!$A$17:$B$20,2,TRUE()))</f>
        <v>0</v>
      </c>
      <c r="AH154" s="32" t="e">
        <f t="shared" si="102"/>
        <v>#N/A</v>
      </c>
      <c r="AI154" s="32" t="e">
        <f>IF($A154="",NA(),Reference!$A$25)</f>
        <v>#N/A</v>
      </c>
      <c r="AJ154" s="32" t="e">
        <f t="shared" si="103"/>
        <v>#N/A</v>
      </c>
      <c r="AK154" s="32">
        <f>IF(OR($A154="",N($C154)&lt;=7,$T154="No Throw",$J154="x"),0,INDEX(Reference!$B$108:$B$114,$N154+1))</f>
        <v>0</v>
      </c>
      <c r="AL154" s="32">
        <f t="shared" si="104"/>
        <v>1</v>
      </c>
      <c r="AM154" s="32">
        <f>IF($U154="",0,IF($AL154&gt;1,((IF(1&lt;=$AL154,($AL154-1+3)*(INDEX(Reference!$B$6:$B$11,MIN(5,MATCH(MAX(Reference!$A$6,MIN(Reference!$A$11,MIN($U154,90))),Reference!$A$6:$A$11,1)))+(MAX(Reference!$A$6,MIN(Reference!$A$11,MIN($U154,90)))-INDEX(Reference!$A$6:$A$11,MIN(5,MATCH(MAX(Reference!$A$6,MIN(Reference!$A$11,MIN($U154,90))),Reference!$A$6:$A$11,1))))*(INDEX(Reference!$B$6:$B$11,MIN(5,MATCH(MAX(Reference!$A$6,MIN(Reference!$A$11,MIN($U154,90))),Reference!$A$6:$A$11,1))+1)-INDEX(Reference!$B$6:$B$11,MIN(5,MATCH(MAX(Reference!$A$6,MIN(Reference!$A$11,MIN($U154,90))),Reference!$A$6:$A$11,1))))/(INDEX(Reference!$A$6:$A$11,MIN(5,MATCH(MAX(Reference!$A$6,MIN(Reference!$A$11,MIN($U154,90))),Reference!$A$6:$A$11,1))+1)-INDEX(Reference!$A$6:$A$11,MIN(5,MATCH(MAX(Reference!$A$6,MIN(Reference!$A$11,MIN($U154,90))),Reference!$A$6:$A$11,1))))),0)+IF(2&lt;=$AL154,($AL154-2+3)*(INDEX(Reference!$B$6:$B$11,MIN(5,MATCH(MAX(Reference!$A$6,MIN(Reference!$A$11,MIN($U154,120))),Reference!$A$6:$A$11,1)))+(MAX(Reference!$A$6,MIN(Reference!$A$11,MIN($U154,120)))-INDEX(Reference!$A$6:$A$11,MIN(5,MATCH(MAX(Reference!$A$6,MIN(Reference!$A$11,MIN($U154,120))),Reference!$A$6:$A$11,1))))*(INDEX(Reference!$B$6:$B$11,MIN(5,MATCH(MAX(Reference!$A$6,MIN(Reference!$A$11,MIN($U154,120))),Reference!$A$6:$A$11,1))+1)-INDEX(Reference!$B$6:$B$11,MIN(5,MATCH(MAX(Reference!$A$6,MIN(Reference!$A$11,MIN($U154,120))),Reference!$A$6:$A$11,1))))/(INDEX(Reference!$A$6:$A$11,MIN(5,MATCH(MAX(Reference!$A$6,MIN(Reference!$A$11,MIN($U154,120))),Reference!$A$6:$A$11,1))+1)-INDEX(Reference!$A$6:$A$11,MIN(5,MATCH(MAX(Reference!$A$6,MIN(Reference!$A$11,MIN($U154,120))),Reference!$A$6:$A$11,1))))),0)+IF(3&lt;=$AL154,($AL154-3+3)*(INDEX(Reference!$B$6:$B$11,MIN(5,MATCH(MAX(Reference!$A$6,MIN(Reference!$A$11,MIN($U154,150))),Reference!$A$6:$A$11,1)))+(MAX(Reference!$A$6,MIN(Reference!$A$11,MIN($U154,150)))-INDEX(Reference!$A$6:$A$11,MIN(5,MATCH(MAX(Reference!$A$6,MIN(Reference!$A$11,MIN($U154,150))),Reference!$A$6:$A$11,1))))*(INDEX(Reference!$B$6:$B$11,MIN(5,MATCH(MAX(Reference!$A$6,MIN(Reference!$A$11,MIN($U154,150))),Reference!$A$6:$A$11,1))+1)-INDEX(Reference!$B$6:$B$11,MIN(5,MATCH(MAX(Reference!$A$6,MIN(Reference!$A$11,MIN($U154,150))),Reference!$A$6:$A$11,1))))/(INDEX(Reference!$A$6:$A$11,MIN(5,MATCH(MAX(Reference!$A$6,MIN(Reference!$A$11,MIN($U154,150))),Reference!$A$6:$A$11,1))+1)-INDEX(Reference!$A$6:$A$11,MIN(5,MATCH(MAX(Reference!$A$6,MIN(Reference!$A$11,MIN($U154,150))),Reference!$A$6:$A$11,1))))),0)+IF(4&lt;=$AL154,($AL154-4+3)*(INDEX(Reference!$B$6:$B$11,MIN(5,MATCH(MAX(Reference!$A$6,MIN(Reference!$A$11,MIN($U154,180))),Reference!$A$6:$A$11,1)))+(MAX(Reference!$A$6,MIN(Reference!$A$11,MIN($U154,180)))-INDEX(Reference!$A$6:$A$11,MIN(5,MATCH(MAX(Reference!$A$6,MIN(Reference!$A$11,MIN($U154,180))),Reference!$A$6:$A$11,1))))*(INDEX(Reference!$B$6:$B$11,MIN(5,MATCH(MAX(Reference!$A$6,MIN(Reference!$A$11,MIN($U154,180))),Reference!$A$6:$A$11,1))+1)-INDEX(Reference!$B$6:$B$11,MIN(5,MATCH(MAX(Reference!$A$6,MIN(Reference!$A$11,MIN($U154,180))),Reference!$A$6:$A$11,1))))/(INDEX(Reference!$A$6:$A$11,MIN(5,MATCH(MAX(Reference!$A$6,MIN(Reference!$A$11,MIN($U154,180))),Reference!$A$6:$A$11,1))+1)-INDEX(Reference!$A$6:$A$11,MIN(5,MATCH(MAX(Reference!$A$6,MIN(Reference!$A$11,MIN($U154,180))),Reference!$A$6:$A$11,1))))),0)+IF(5&lt;=$AL154,($AL154-5+3)*(INDEX(Reference!$B$6:$B$11,MIN(5,MATCH(MAX(Reference!$A$6,MIN(Reference!$A$11,MIN($U154,210))),Reference!$A$6:$A$11,1)))+(MAX(Reference!$A$6,MIN(Reference!$A$11,MIN($U154,210)))-INDEX(Reference!$A$6:$A$11,MIN(5,MATCH(MAX(Reference!$A$6,MIN(Reference!$A$11,MIN($U154,210))),Reference!$A$6:$A$11,1))))*(INDEX(Reference!$B$6:$B$11,MIN(5,MATCH(MAX(Reference!$A$6,MIN(Reference!$A$11,MIN($U154,210))),Reference!$A$6:$A$11,1))+1)-INDEX(Reference!$B$6:$B$11,MIN(5,MATCH(MAX(Reference!$A$6,MIN(Reference!$A$11,MIN($U154,210))),Reference!$A$6:$A$11,1))))/(INDEX(Reference!$A$6:$A$11,MIN(5,MATCH(MAX(Reference!$A$6,MIN(Reference!$A$11,MIN($U154,210))),Reference!$A$6:$A$11,1))+1)-INDEX(Reference!$A$6:$A$11,MIN(5,MATCH(MAX(Reference!$A$6,MIN(Reference!$A$11,MIN($U154,210))),Reference!$A$6:$A$11,1))))),0)+IF(6&lt;=$AL154,($AL154-6+3)*(INDEX(Reference!$B$6:$B$11,MIN(5,MATCH(MAX(Reference!$A$6,MIN(Reference!$A$11,MIN($U154,240))),Reference!$A$6:$A$11,1)))+(MAX(Reference!$A$6,MIN(Reference!$A$11,MIN($U154,240)))-INDEX(Reference!$A$6:$A$11,MIN(5,MATCH(MAX(Reference!$A$6,MIN(Reference!$A$11,MIN($U154,240))),Reference!$A$6:$A$11,1))))*(INDEX(Reference!$B$6:$B$11,MIN(5,MATCH(MAX(Reference!$A$6,MIN(Reference!$A$11,MIN($U154,240))),Reference!$A$6:$A$11,1))+1)-INDEX(Reference!$B$6:$B$11,MIN(5,MATCH(MAX(Reference!$A$6,MIN(Reference!$A$11,MIN($U154,240))),Reference!$A$6:$A$11,1))))/(INDEX(Reference!$A$6:$A$11,MIN(5,MATCH(MAX(Reference!$A$6,MIN(Reference!$A$11,MIN($U154,240))),Reference!$A$6:$A$11,1))+1)-INDEX(Reference!$A$6:$A$11,MIN(5,MATCH(MAX(Reference!$A$6,MIN(Reference!$A$11,MIN($U154,240))),Reference!$A$6:$A$11,1))))),0)+IF(7&lt;=$AL154,($AL154-7+3)*(INDEX(Reference!$B$6:$B$11,MIN(5,MATCH(MAX(Reference!$A$6,MIN(Reference!$A$11,MIN($U154,270))),Reference!$A$6:$A$11,1)))+(MAX(Reference!$A$6,MIN(Reference!$A$11,MIN($U154,270)))-INDEX(Reference!$A$6:$A$11,MIN(5,MATCH(MAX(Reference!$A$6,MIN(Reference!$A$11,MIN($U154,270))),Reference!$A$6:$A$11,1))))*(INDEX(Reference!$B$6:$B$11,MIN(5,MATCH(MAX(Reference!$A$6,MIN(Reference!$A$11,MIN($U154,270))),Reference!$A$6:$A$11,1))+1)-INDEX(Reference!$B$6:$B$11,MIN(5,MATCH(MAX(Reference!$A$6,MIN(Reference!$A$11,MIN($U154,270))),Reference!$A$6:$A$11,1))))/(INDEX(Reference!$A$6:$A$11,MIN(5,MATCH(MAX(Reference!$A$6,MIN(Reference!$A$11,MIN($U154,270))),Reference!$A$6:$A$11,1))+1)-INDEX(Reference!$A$6:$A$11,MIN(5,MATCH(MAX(Reference!$A$6,MIN(Reference!$A$11,MIN($U154,270))),Reference!$A$6:$A$11,1))))),0)+IF(8&lt;=$AL154,($AL154-8+3)*(INDEX(Reference!$B$6:$B$11,MIN(5,MATCH(MAX(Reference!$A$6,MIN(Reference!$A$11,MIN($U154,300))),Reference!$A$6:$A$11,1)))+(MAX(Reference!$A$6,MIN(Reference!$A$11,MIN($U154,300)))-INDEX(Reference!$A$6:$A$11,MIN(5,MATCH(MAX(Reference!$A$6,MIN(Reference!$A$11,MIN($U154,300))),Reference!$A$6:$A$11,1))))*(INDEX(Reference!$B$6:$B$11,MIN(5,MATCH(MAX(Reference!$A$6,MIN(Reference!$A$11,MIN($U154,300))),Reference!$A$6:$A$11,1))+1)-INDEX(Reference!$B$6:$B$11,MIN(5,MATCH(MAX(Reference!$A$6,MIN(Reference!$A$11,MIN($U154,300))),Reference!$A$6:$A$11,1))))/(INDEX(Reference!$A$6:$A$11,MIN(5,MATCH(MAX(Reference!$A$6,MIN(Reference!$A$11,MIN($U154,300))),Reference!$A$6:$A$11,1))+1)-INDEX(Reference!$A$6:$A$11,MIN(5,MATCH(MAX(Reference!$A$6,MIN(Reference!$A$11,MIN($U154,300))),Reference!$A$6:$A$11,1))))),0))/($AL154*($AL154+5)/2)),$AN154))</f>
        <v>0</v>
      </c>
      <c r="AN154" s="32">
        <f>IF($U154="",0,(INDEX(Reference!$B$6:$B$11,MIN(5,MATCH(MAX(Reference!$A$6,MIN(Reference!$A$11,$U154)),Reference!$A$6:$A$11,1)))+(MAX(Reference!$A$6,MIN(Reference!$A$11,$U154))-INDEX(Reference!$A$6:$A$11,MIN(5,MATCH(MAX(Reference!$A$6,MIN(Reference!$A$11,$U154)),Reference!$A$6:$A$11,1))))*(INDEX(Reference!$B$6:$B$11,MIN(5,MATCH(MAX(Reference!$A$6,MIN(Reference!$A$11,$U154)),Reference!$A$6:$A$11,1))+1)-INDEX(Reference!$B$6:$B$11,MIN(5,MATCH(MAX(Reference!$A$6,MIN(Reference!$A$11,$U154)),Reference!$A$6:$A$11,1))))/(INDEX(Reference!$A$6:$A$11,MIN(5,MATCH(MAX(Reference!$A$6,MIN(Reference!$A$11,$U154)),Reference!$A$6:$A$11,1))+1)-INDEX(Reference!$A$6:$A$11,MIN(5,MATCH(MAX(Reference!$A$6,MIN(Reference!$A$11,$U154)),Reference!$A$6:$A$11,1))))))</f>
        <v>0</v>
      </c>
      <c r="AO154" s="37"/>
      <c r="AP154" s="37"/>
      <c r="AQ154" s="37"/>
    </row>
    <row r="155" spans="1:43" x14ac:dyDescent="0.3">
      <c r="A155" s="48" t="str">
        <f t="shared" si="80"/>
        <v/>
      </c>
      <c r="B155" s="32" t="str">
        <f t="shared" si="81"/>
        <v/>
      </c>
      <c r="C155" s="32" t="str">
        <f t="shared" si="82"/>
        <v/>
      </c>
      <c r="D155" s="32" t="str">
        <f t="shared" si="83"/>
        <v/>
      </c>
      <c r="E155" s="32" t="str">
        <f t="shared" si="84"/>
        <v/>
      </c>
      <c r="F155" s="32" t="str">
        <f t="shared" si="85"/>
        <v/>
      </c>
      <c r="G155" s="47" t="str">
        <f t="shared" si="86"/>
        <v/>
      </c>
      <c r="H155" s="30" t="str">
        <f t="shared" si="87"/>
        <v/>
      </c>
      <c r="I155" s="46" t="str">
        <f>IF($A155="","",IF(AND($L155&lt;27,$K$12=0),"Building",IFERROR(((SUM($H$149:$H155)+$K$12*IF($L155&lt;6,SUMIFS('Throw Log'!$Q$5:$Q$300,'Throw Log'!$B$5:$B$300,$D$4,'Throw Log'!$A$5:$A$300,"&gt;="&amp;($D$6+$L155-6),'Throw Log'!$A$5:$A$300,"&lt;="&amp;($D$6-1)),0))/7)/((SUM($H$128:$H155)+$K$12*IF($L155&lt;27,SUMIFS('Throw Log'!$Q$5:$Q$300,'Throw Log'!$B$5:$B$300,$D$4,'Throw Log'!$A$5:$A$300,"&gt;="&amp;($D$6+$L155-27),'Throw Log'!$A$5:$A$300,"&lt;="&amp;($D$6-1)),0))/28),"")))</f>
        <v/>
      </c>
      <c r="J155" s="37"/>
      <c r="K155" s="37"/>
      <c r="L155" s="32">
        <v>112</v>
      </c>
      <c r="M155" s="32">
        <f t="shared" si="88"/>
        <v>17</v>
      </c>
      <c r="N155" s="32">
        <f t="shared" si="89"/>
        <v>0</v>
      </c>
      <c r="O155" s="32">
        <f t="shared" si="90"/>
        <v>1</v>
      </c>
      <c r="P155" s="32" t="str">
        <f>IF(OR($A155="",N($C155)&lt;=7),"",$G$6*$G$9^($M155-1)*IF(AND(MOD($M155,Reference!$B$99)=0,$M155&lt;=$G$5-2),Reference!$B$100,1))</f>
        <v/>
      </c>
      <c r="Q155" s="32" t="str">
        <f>IF($P155="","",IF(SUM($AK$155:$AK$161)=0,0,$P155*INDEX(Reference!$B$108:$B$114,$N155+1)/SUM($AK$155:$AK$161)))</f>
        <v/>
      </c>
      <c r="R155" s="32">
        <f t="shared" si="91"/>
        <v>180</v>
      </c>
      <c r="S155" s="32">
        <f t="shared" si="92"/>
        <v>150</v>
      </c>
      <c r="T155" s="32" t="str">
        <f>IF($A155="","",IF($C155=0,"Bullpen",IF(OR($C155=7,$C155=1,$C155=5),"Recovery/Easy Catch",IF($C155=6,"Compression/Pulldowns",IF(OR($C155=4,$C155=2),"Long Toss",IF($C155=3,"No Throw",IF($N155=2,"No Throw",IF($N155=6,IF($O155&lt;Reference!$B$104,"No Throw","Recovery/Easy Catch"),IF(OR($N155=0,$N155=4),"Recovery/Easy Catch",IF($N155=1,IF($R155&gt;75,"Long Toss","Recovery/Easy Catch"),IF($N155=3,IF($O155&lt;0.5,IF($S155&gt;75,"Long Toss","Recovery/Easy Catch"),"Compression/Pulldowns"),IF($S155&gt;75,"Long Toss","Recovery/Easy Catch"))))))))))))</f>
        <v/>
      </c>
      <c r="U155" s="32" t="str">
        <f t="shared" si="93"/>
        <v/>
      </c>
      <c r="V155" s="32" t="str">
        <f t="shared" si="94"/>
        <v/>
      </c>
      <c r="W155" s="32" t="str">
        <f t="shared" si="95"/>
        <v/>
      </c>
      <c r="X155" s="32">
        <f t="shared" si="96"/>
        <v>0</v>
      </c>
      <c r="Y155" s="32" t="str">
        <f t="shared" si="97"/>
        <v/>
      </c>
      <c r="Z155" s="32" t="str">
        <f t="shared" si="98"/>
        <v/>
      </c>
      <c r="AA155" s="32" t="str">
        <f t="shared" si="99"/>
        <v/>
      </c>
      <c r="AB155" s="32" t="str">
        <f>IF($A155="","",IF($T155="No Throw",0,IF($K155&lt;&gt;"",$K155,IF($AA155&lt;&gt;"",ROUND($AA155*$D$12*IF($C155=0,1,$G$10),0),MIN(IF($T155="Recovery/Easy Catch",Reference!$B$103,IF($T155="Long Toss",Reference!$B$106,Reference!$B$102)),MAX(Reference!$B$101,ROUND(MAX(0,$Q155-$AE155)/$AF155,0)))))))</f>
        <v/>
      </c>
      <c r="AC155" s="32">
        <f t="shared" si="100"/>
        <v>0</v>
      </c>
      <c r="AD155" s="32" t="b">
        <f t="shared" si="101"/>
        <v>1</v>
      </c>
      <c r="AE155" s="32">
        <f>IF($X155=0,0,$X155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155+$Z155)/2,0),Reference!$A$17:$B$20,2,TRUE()))</f>
        <v>0</v>
      </c>
      <c r="AF155" s="32">
        <f>IF(OR($A155="",$U155="",$T155="No Throw"),0,$AM155*VLOOKUP(MAX(($V155+$W155)/2,0),Reference!$A$17:$B$20,2,TRUE()))</f>
        <v>0</v>
      </c>
      <c r="AG155" s="32">
        <f>IF($AC155=0,0,$AC155*INDEX(Reference!$B$61:$B$62,MATCH("Bullpen",Reference!$A$61:$A$62,0))*VLOOKUP(MAX($D$5-($D$9+$E$9)/2,0),Reference!$A$17:$B$20,2,TRUE()))</f>
        <v>0</v>
      </c>
      <c r="AH155" s="32" t="e">
        <f t="shared" si="102"/>
        <v>#N/A</v>
      </c>
      <c r="AI155" s="32" t="e">
        <f>IF($A155="",NA(),Reference!$A$25)</f>
        <v>#N/A</v>
      </c>
      <c r="AJ155" s="32" t="e">
        <f t="shared" si="103"/>
        <v>#N/A</v>
      </c>
      <c r="AK155" s="32">
        <f>IF(OR($A155="",N($C155)&lt;=7,$T155="No Throw",$J155="x"),0,INDEX(Reference!$B$108:$B$114,$N155+1))</f>
        <v>0</v>
      </c>
      <c r="AL155" s="32">
        <f t="shared" si="104"/>
        <v>1</v>
      </c>
      <c r="AM155" s="32">
        <f>IF($U155="",0,IF($AL155&gt;1,((IF(1&lt;=$AL155,($AL155-1+3)*(INDEX(Reference!$B$6:$B$11,MIN(5,MATCH(MAX(Reference!$A$6,MIN(Reference!$A$11,MIN($U155,90))),Reference!$A$6:$A$11,1)))+(MAX(Reference!$A$6,MIN(Reference!$A$11,MIN($U155,90)))-INDEX(Reference!$A$6:$A$11,MIN(5,MATCH(MAX(Reference!$A$6,MIN(Reference!$A$11,MIN($U155,90))),Reference!$A$6:$A$11,1))))*(INDEX(Reference!$B$6:$B$11,MIN(5,MATCH(MAX(Reference!$A$6,MIN(Reference!$A$11,MIN($U155,90))),Reference!$A$6:$A$11,1))+1)-INDEX(Reference!$B$6:$B$11,MIN(5,MATCH(MAX(Reference!$A$6,MIN(Reference!$A$11,MIN($U155,90))),Reference!$A$6:$A$11,1))))/(INDEX(Reference!$A$6:$A$11,MIN(5,MATCH(MAX(Reference!$A$6,MIN(Reference!$A$11,MIN($U155,90))),Reference!$A$6:$A$11,1))+1)-INDEX(Reference!$A$6:$A$11,MIN(5,MATCH(MAX(Reference!$A$6,MIN(Reference!$A$11,MIN($U155,90))),Reference!$A$6:$A$11,1))))),0)+IF(2&lt;=$AL155,($AL155-2+3)*(INDEX(Reference!$B$6:$B$11,MIN(5,MATCH(MAX(Reference!$A$6,MIN(Reference!$A$11,MIN($U155,120))),Reference!$A$6:$A$11,1)))+(MAX(Reference!$A$6,MIN(Reference!$A$11,MIN($U155,120)))-INDEX(Reference!$A$6:$A$11,MIN(5,MATCH(MAX(Reference!$A$6,MIN(Reference!$A$11,MIN($U155,120))),Reference!$A$6:$A$11,1))))*(INDEX(Reference!$B$6:$B$11,MIN(5,MATCH(MAX(Reference!$A$6,MIN(Reference!$A$11,MIN($U155,120))),Reference!$A$6:$A$11,1))+1)-INDEX(Reference!$B$6:$B$11,MIN(5,MATCH(MAX(Reference!$A$6,MIN(Reference!$A$11,MIN($U155,120))),Reference!$A$6:$A$11,1))))/(INDEX(Reference!$A$6:$A$11,MIN(5,MATCH(MAX(Reference!$A$6,MIN(Reference!$A$11,MIN($U155,120))),Reference!$A$6:$A$11,1))+1)-INDEX(Reference!$A$6:$A$11,MIN(5,MATCH(MAX(Reference!$A$6,MIN(Reference!$A$11,MIN($U155,120))),Reference!$A$6:$A$11,1))))),0)+IF(3&lt;=$AL155,($AL155-3+3)*(INDEX(Reference!$B$6:$B$11,MIN(5,MATCH(MAX(Reference!$A$6,MIN(Reference!$A$11,MIN($U155,150))),Reference!$A$6:$A$11,1)))+(MAX(Reference!$A$6,MIN(Reference!$A$11,MIN($U155,150)))-INDEX(Reference!$A$6:$A$11,MIN(5,MATCH(MAX(Reference!$A$6,MIN(Reference!$A$11,MIN($U155,150))),Reference!$A$6:$A$11,1))))*(INDEX(Reference!$B$6:$B$11,MIN(5,MATCH(MAX(Reference!$A$6,MIN(Reference!$A$11,MIN($U155,150))),Reference!$A$6:$A$11,1))+1)-INDEX(Reference!$B$6:$B$11,MIN(5,MATCH(MAX(Reference!$A$6,MIN(Reference!$A$11,MIN($U155,150))),Reference!$A$6:$A$11,1))))/(INDEX(Reference!$A$6:$A$11,MIN(5,MATCH(MAX(Reference!$A$6,MIN(Reference!$A$11,MIN($U155,150))),Reference!$A$6:$A$11,1))+1)-INDEX(Reference!$A$6:$A$11,MIN(5,MATCH(MAX(Reference!$A$6,MIN(Reference!$A$11,MIN($U155,150))),Reference!$A$6:$A$11,1))))),0)+IF(4&lt;=$AL155,($AL155-4+3)*(INDEX(Reference!$B$6:$B$11,MIN(5,MATCH(MAX(Reference!$A$6,MIN(Reference!$A$11,MIN($U155,180))),Reference!$A$6:$A$11,1)))+(MAX(Reference!$A$6,MIN(Reference!$A$11,MIN($U155,180)))-INDEX(Reference!$A$6:$A$11,MIN(5,MATCH(MAX(Reference!$A$6,MIN(Reference!$A$11,MIN($U155,180))),Reference!$A$6:$A$11,1))))*(INDEX(Reference!$B$6:$B$11,MIN(5,MATCH(MAX(Reference!$A$6,MIN(Reference!$A$11,MIN($U155,180))),Reference!$A$6:$A$11,1))+1)-INDEX(Reference!$B$6:$B$11,MIN(5,MATCH(MAX(Reference!$A$6,MIN(Reference!$A$11,MIN($U155,180))),Reference!$A$6:$A$11,1))))/(INDEX(Reference!$A$6:$A$11,MIN(5,MATCH(MAX(Reference!$A$6,MIN(Reference!$A$11,MIN($U155,180))),Reference!$A$6:$A$11,1))+1)-INDEX(Reference!$A$6:$A$11,MIN(5,MATCH(MAX(Reference!$A$6,MIN(Reference!$A$11,MIN($U155,180))),Reference!$A$6:$A$11,1))))),0)+IF(5&lt;=$AL155,($AL155-5+3)*(INDEX(Reference!$B$6:$B$11,MIN(5,MATCH(MAX(Reference!$A$6,MIN(Reference!$A$11,MIN($U155,210))),Reference!$A$6:$A$11,1)))+(MAX(Reference!$A$6,MIN(Reference!$A$11,MIN($U155,210)))-INDEX(Reference!$A$6:$A$11,MIN(5,MATCH(MAX(Reference!$A$6,MIN(Reference!$A$11,MIN($U155,210))),Reference!$A$6:$A$11,1))))*(INDEX(Reference!$B$6:$B$11,MIN(5,MATCH(MAX(Reference!$A$6,MIN(Reference!$A$11,MIN($U155,210))),Reference!$A$6:$A$11,1))+1)-INDEX(Reference!$B$6:$B$11,MIN(5,MATCH(MAX(Reference!$A$6,MIN(Reference!$A$11,MIN($U155,210))),Reference!$A$6:$A$11,1))))/(INDEX(Reference!$A$6:$A$11,MIN(5,MATCH(MAX(Reference!$A$6,MIN(Reference!$A$11,MIN($U155,210))),Reference!$A$6:$A$11,1))+1)-INDEX(Reference!$A$6:$A$11,MIN(5,MATCH(MAX(Reference!$A$6,MIN(Reference!$A$11,MIN($U155,210))),Reference!$A$6:$A$11,1))))),0)+IF(6&lt;=$AL155,($AL155-6+3)*(INDEX(Reference!$B$6:$B$11,MIN(5,MATCH(MAX(Reference!$A$6,MIN(Reference!$A$11,MIN($U155,240))),Reference!$A$6:$A$11,1)))+(MAX(Reference!$A$6,MIN(Reference!$A$11,MIN($U155,240)))-INDEX(Reference!$A$6:$A$11,MIN(5,MATCH(MAX(Reference!$A$6,MIN(Reference!$A$11,MIN($U155,240))),Reference!$A$6:$A$11,1))))*(INDEX(Reference!$B$6:$B$11,MIN(5,MATCH(MAX(Reference!$A$6,MIN(Reference!$A$11,MIN($U155,240))),Reference!$A$6:$A$11,1))+1)-INDEX(Reference!$B$6:$B$11,MIN(5,MATCH(MAX(Reference!$A$6,MIN(Reference!$A$11,MIN($U155,240))),Reference!$A$6:$A$11,1))))/(INDEX(Reference!$A$6:$A$11,MIN(5,MATCH(MAX(Reference!$A$6,MIN(Reference!$A$11,MIN($U155,240))),Reference!$A$6:$A$11,1))+1)-INDEX(Reference!$A$6:$A$11,MIN(5,MATCH(MAX(Reference!$A$6,MIN(Reference!$A$11,MIN($U155,240))),Reference!$A$6:$A$11,1))))),0)+IF(7&lt;=$AL155,($AL155-7+3)*(INDEX(Reference!$B$6:$B$11,MIN(5,MATCH(MAX(Reference!$A$6,MIN(Reference!$A$11,MIN($U155,270))),Reference!$A$6:$A$11,1)))+(MAX(Reference!$A$6,MIN(Reference!$A$11,MIN($U155,270)))-INDEX(Reference!$A$6:$A$11,MIN(5,MATCH(MAX(Reference!$A$6,MIN(Reference!$A$11,MIN($U155,270))),Reference!$A$6:$A$11,1))))*(INDEX(Reference!$B$6:$B$11,MIN(5,MATCH(MAX(Reference!$A$6,MIN(Reference!$A$11,MIN($U155,270))),Reference!$A$6:$A$11,1))+1)-INDEX(Reference!$B$6:$B$11,MIN(5,MATCH(MAX(Reference!$A$6,MIN(Reference!$A$11,MIN($U155,270))),Reference!$A$6:$A$11,1))))/(INDEX(Reference!$A$6:$A$11,MIN(5,MATCH(MAX(Reference!$A$6,MIN(Reference!$A$11,MIN($U155,270))),Reference!$A$6:$A$11,1))+1)-INDEX(Reference!$A$6:$A$11,MIN(5,MATCH(MAX(Reference!$A$6,MIN(Reference!$A$11,MIN($U155,270))),Reference!$A$6:$A$11,1))))),0)+IF(8&lt;=$AL155,($AL155-8+3)*(INDEX(Reference!$B$6:$B$11,MIN(5,MATCH(MAX(Reference!$A$6,MIN(Reference!$A$11,MIN($U155,300))),Reference!$A$6:$A$11,1)))+(MAX(Reference!$A$6,MIN(Reference!$A$11,MIN($U155,300)))-INDEX(Reference!$A$6:$A$11,MIN(5,MATCH(MAX(Reference!$A$6,MIN(Reference!$A$11,MIN($U155,300))),Reference!$A$6:$A$11,1))))*(INDEX(Reference!$B$6:$B$11,MIN(5,MATCH(MAX(Reference!$A$6,MIN(Reference!$A$11,MIN($U155,300))),Reference!$A$6:$A$11,1))+1)-INDEX(Reference!$B$6:$B$11,MIN(5,MATCH(MAX(Reference!$A$6,MIN(Reference!$A$11,MIN($U155,300))),Reference!$A$6:$A$11,1))))/(INDEX(Reference!$A$6:$A$11,MIN(5,MATCH(MAX(Reference!$A$6,MIN(Reference!$A$11,MIN($U155,300))),Reference!$A$6:$A$11,1))+1)-INDEX(Reference!$A$6:$A$11,MIN(5,MATCH(MAX(Reference!$A$6,MIN(Reference!$A$11,MIN($U155,300))),Reference!$A$6:$A$11,1))))),0))/($AL155*($AL155+5)/2)),$AN155))</f>
        <v>0</v>
      </c>
      <c r="AN155" s="32">
        <f>IF($U155="",0,(INDEX(Reference!$B$6:$B$11,MIN(5,MATCH(MAX(Reference!$A$6,MIN(Reference!$A$11,$U155)),Reference!$A$6:$A$11,1)))+(MAX(Reference!$A$6,MIN(Reference!$A$11,$U155))-INDEX(Reference!$A$6:$A$11,MIN(5,MATCH(MAX(Reference!$A$6,MIN(Reference!$A$11,$U155)),Reference!$A$6:$A$11,1))))*(INDEX(Reference!$B$6:$B$11,MIN(5,MATCH(MAX(Reference!$A$6,MIN(Reference!$A$11,$U155)),Reference!$A$6:$A$11,1))+1)-INDEX(Reference!$B$6:$B$11,MIN(5,MATCH(MAX(Reference!$A$6,MIN(Reference!$A$11,$U155)),Reference!$A$6:$A$11,1))))/(INDEX(Reference!$A$6:$A$11,MIN(5,MATCH(MAX(Reference!$A$6,MIN(Reference!$A$11,$U155)),Reference!$A$6:$A$11,1))+1)-INDEX(Reference!$A$6:$A$11,MIN(5,MATCH(MAX(Reference!$A$6,MIN(Reference!$A$11,$U155)),Reference!$A$6:$A$11,1))))))</f>
        <v>0</v>
      </c>
      <c r="AO155" s="37"/>
      <c r="AP155" s="37"/>
      <c r="AQ155" s="37"/>
    </row>
    <row r="156" spans="1:43" x14ac:dyDescent="0.3">
      <c r="A156" s="48" t="str">
        <f t="shared" si="80"/>
        <v/>
      </c>
      <c r="B156" s="32" t="str">
        <f t="shared" si="81"/>
        <v/>
      </c>
      <c r="C156" s="32" t="str">
        <f t="shared" si="82"/>
        <v/>
      </c>
      <c r="D156" s="32" t="str">
        <f t="shared" si="83"/>
        <v/>
      </c>
      <c r="E156" s="32" t="str">
        <f t="shared" si="84"/>
        <v/>
      </c>
      <c r="F156" s="32" t="str">
        <f t="shared" si="85"/>
        <v/>
      </c>
      <c r="G156" s="47" t="str">
        <f t="shared" si="86"/>
        <v/>
      </c>
      <c r="H156" s="30" t="str">
        <f t="shared" si="87"/>
        <v/>
      </c>
      <c r="I156" s="46" t="str">
        <f>IF($A156="","",IF(AND($L156&lt;27,$K$12=0),"Building",IFERROR(((SUM($H$150:$H156)+$K$12*IF($L156&lt;6,SUMIFS('Throw Log'!$Q$5:$Q$300,'Throw Log'!$B$5:$B$300,$D$4,'Throw Log'!$A$5:$A$300,"&gt;="&amp;($D$6+$L156-6),'Throw Log'!$A$5:$A$300,"&lt;="&amp;($D$6-1)),0))/7)/((SUM($H$129:$H156)+$K$12*IF($L156&lt;27,SUMIFS('Throw Log'!$Q$5:$Q$300,'Throw Log'!$B$5:$B$300,$D$4,'Throw Log'!$A$5:$A$300,"&gt;="&amp;($D$6+$L156-27),'Throw Log'!$A$5:$A$300,"&lt;="&amp;($D$6-1)),0))/28),"")))</f>
        <v/>
      </c>
      <c r="J156" s="37"/>
      <c r="K156" s="37"/>
      <c r="L156" s="32">
        <v>113</v>
      </c>
      <c r="M156" s="32">
        <f t="shared" si="88"/>
        <v>17</v>
      </c>
      <c r="N156" s="32">
        <f t="shared" si="89"/>
        <v>1</v>
      </c>
      <c r="O156" s="32">
        <f t="shared" si="90"/>
        <v>1</v>
      </c>
      <c r="P156" s="32" t="str">
        <f>IF(OR($A156="",N($C156)&lt;=7),"",$G$6*$G$9^($M156-1)*IF(AND(MOD($M156,Reference!$B$99)=0,$M156&lt;=$G$5-2),Reference!$B$100,1))</f>
        <v/>
      </c>
      <c r="Q156" s="32" t="str">
        <f>IF($P156="","",IF(SUM($AK$155:$AK$161)=0,0,$P156*INDEX(Reference!$B$108:$B$114,$N156+1)/SUM($AK$155:$AK$161)))</f>
        <v/>
      </c>
      <c r="R156" s="32">
        <f t="shared" si="91"/>
        <v>180</v>
      </c>
      <c r="S156" s="32">
        <f t="shared" si="92"/>
        <v>150</v>
      </c>
      <c r="T156" s="32" t="str">
        <f>IF($A156="","",IF($C156=0,"Bullpen",IF(OR($C156=7,$C156=1,$C156=5),"Recovery/Easy Catch",IF($C156=6,"Compression/Pulldowns",IF(OR($C156=4,$C156=2),"Long Toss",IF($C156=3,"No Throw",IF($N156=2,"No Throw",IF($N156=6,IF($O156&lt;Reference!$B$104,"No Throw","Recovery/Easy Catch"),IF(OR($N156=0,$N156=4),"Recovery/Easy Catch",IF($N156=1,IF($R156&gt;75,"Long Toss","Recovery/Easy Catch"),IF($N156=3,IF($O156&lt;0.5,IF($S156&gt;75,"Long Toss","Recovery/Easy Catch"),"Compression/Pulldowns"),IF($S156&gt;75,"Long Toss","Recovery/Easy Catch"))))))))))))</f>
        <v/>
      </c>
      <c r="U156" s="32" t="str">
        <f t="shared" si="93"/>
        <v/>
      </c>
      <c r="V156" s="32" t="str">
        <f t="shared" si="94"/>
        <v/>
      </c>
      <c r="W156" s="32" t="str">
        <f t="shared" si="95"/>
        <v/>
      </c>
      <c r="X156" s="32">
        <f t="shared" si="96"/>
        <v>0</v>
      </c>
      <c r="Y156" s="32" t="str">
        <f t="shared" si="97"/>
        <v/>
      </c>
      <c r="Z156" s="32" t="str">
        <f t="shared" si="98"/>
        <v/>
      </c>
      <c r="AA156" s="32" t="str">
        <f t="shared" si="99"/>
        <v/>
      </c>
      <c r="AB156" s="32" t="str">
        <f>IF($A156="","",IF($T156="No Throw",0,IF($K156&lt;&gt;"",$K156,IF($AA156&lt;&gt;"",ROUND($AA156*$D$12*IF($C156=0,1,$G$10),0),MIN(IF($T156="Recovery/Easy Catch",Reference!$B$103,IF($T156="Long Toss",Reference!$B$106,Reference!$B$102)),MAX(Reference!$B$101,ROUND(MAX(0,$Q156-$AE156)/$AF156,0)))))))</f>
        <v/>
      </c>
      <c r="AC156" s="32">
        <f t="shared" si="100"/>
        <v>0</v>
      </c>
      <c r="AD156" s="32" t="b">
        <f t="shared" si="101"/>
        <v>1</v>
      </c>
      <c r="AE156" s="32">
        <f>IF($X156=0,0,$X156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156+$Z156)/2,0),Reference!$A$17:$B$20,2,TRUE()))</f>
        <v>0</v>
      </c>
      <c r="AF156" s="32">
        <f>IF(OR($A156="",$U156="",$T156="No Throw"),0,$AM156*VLOOKUP(MAX(($V156+$W156)/2,0),Reference!$A$17:$B$20,2,TRUE()))</f>
        <v>0</v>
      </c>
      <c r="AG156" s="32">
        <f>IF($AC156=0,0,$AC156*INDEX(Reference!$B$61:$B$62,MATCH("Bullpen",Reference!$A$61:$A$62,0))*VLOOKUP(MAX($D$5-($D$9+$E$9)/2,0),Reference!$A$17:$B$20,2,TRUE()))</f>
        <v>0</v>
      </c>
      <c r="AH156" s="32" t="e">
        <f t="shared" si="102"/>
        <v>#N/A</v>
      </c>
      <c r="AI156" s="32" t="e">
        <f>IF($A156="",NA(),Reference!$A$25)</f>
        <v>#N/A</v>
      </c>
      <c r="AJ156" s="32" t="e">
        <f t="shared" si="103"/>
        <v>#N/A</v>
      </c>
      <c r="AK156" s="32">
        <f>IF(OR($A156="",N($C156)&lt;=7,$T156="No Throw",$J156="x"),0,INDEX(Reference!$B$108:$B$114,$N156+1))</f>
        <v>0</v>
      </c>
      <c r="AL156" s="32">
        <f t="shared" si="104"/>
        <v>1</v>
      </c>
      <c r="AM156" s="32">
        <f>IF($U156="",0,IF($AL156&gt;1,((IF(1&lt;=$AL156,($AL156-1+3)*(INDEX(Reference!$B$6:$B$11,MIN(5,MATCH(MAX(Reference!$A$6,MIN(Reference!$A$11,MIN($U156,90))),Reference!$A$6:$A$11,1)))+(MAX(Reference!$A$6,MIN(Reference!$A$11,MIN($U156,90)))-INDEX(Reference!$A$6:$A$11,MIN(5,MATCH(MAX(Reference!$A$6,MIN(Reference!$A$11,MIN($U156,90))),Reference!$A$6:$A$11,1))))*(INDEX(Reference!$B$6:$B$11,MIN(5,MATCH(MAX(Reference!$A$6,MIN(Reference!$A$11,MIN($U156,90))),Reference!$A$6:$A$11,1))+1)-INDEX(Reference!$B$6:$B$11,MIN(5,MATCH(MAX(Reference!$A$6,MIN(Reference!$A$11,MIN($U156,90))),Reference!$A$6:$A$11,1))))/(INDEX(Reference!$A$6:$A$11,MIN(5,MATCH(MAX(Reference!$A$6,MIN(Reference!$A$11,MIN($U156,90))),Reference!$A$6:$A$11,1))+1)-INDEX(Reference!$A$6:$A$11,MIN(5,MATCH(MAX(Reference!$A$6,MIN(Reference!$A$11,MIN($U156,90))),Reference!$A$6:$A$11,1))))),0)+IF(2&lt;=$AL156,($AL156-2+3)*(INDEX(Reference!$B$6:$B$11,MIN(5,MATCH(MAX(Reference!$A$6,MIN(Reference!$A$11,MIN($U156,120))),Reference!$A$6:$A$11,1)))+(MAX(Reference!$A$6,MIN(Reference!$A$11,MIN($U156,120)))-INDEX(Reference!$A$6:$A$11,MIN(5,MATCH(MAX(Reference!$A$6,MIN(Reference!$A$11,MIN($U156,120))),Reference!$A$6:$A$11,1))))*(INDEX(Reference!$B$6:$B$11,MIN(5,MATCH(MAX(Reference!$A$6,MIN(Reference!$A$11,MIN($U156,120))),Reference!$A$6:$A$11,1))+1)-INDEX(Reference!$B$6:$B$11,MIN(5,MATCH(MAX(Reference!$A$6,MIN(Reference!$A$11,MIN($U156,120))),Reference!$A$6:$A$11,1))))/(INDEX(Reference!$A$6:$A$11,MIN(5,MATCH(MAX(Reference!$A$6,MIN(Reference!$A$11,MIN($U156,120))),Reference!$A$6:$A$11,1))+1)-INDEX(Reference!$A$6:$A$11,MIN(5,MATCH(MAX(Reference!$A$6,MIN(Reference!$A$11,MIN($U156,120))),Reference!$A$6:$A$11,1))))),0)+IF(3&lt;=$AL156,($AL156-3+3)*(INDEX(Reference!$B$6:$B$11,MIN(5,MATCH(MAX(Reference!$A$6,MIN(Reference!$A$11,MIN($U156,150))),Reference!$A$6:$A$11,1)))+(MAX(Reference!$A$6,MIN(Reference!$A$11,MIN($U156,150)))-INDEX(Reference!$A$6:$A$11,MIN(5,MATCH(MAX(Reference!$A$6,MIN(Reference!$A$11,MIN($U156,150))),Reference!$A$6:$A$11,1))))*(INDEX(Reference!$B$6:$B$11,MIN(5,MATCH(MAX(Reference!$A$6,MIN(Reference!$A$11,MIN($U156,150))),Reference!$A$6:$A$11,1))+1)-INDEX(Reference!$B$6:$B$11,MIN(5,MATCH(MAX(Reference!$A$6,MIN(Reference!$A$11,MIN($U156,150))),Reference!$A$6:$A$11,1))))/(INDEX(Reference!$A$6:$A$11,MIN(5,MATCH(MAX(Reference!$A$6,MIN(Reference!$A$11,MIN($U156,150))),Reference!$A$6:$A$11,1))+1)-INDEX(Reference!$A$6:$A$11,MIN(5,MATCH(MAX(Reference!$A$6,MIN(Reference!$A$11,MIN($U156,150))),Reference!$A$6:$A$11,1))))),0)+IF(4&lt;=$AL156,($AL156-4+3)*(INDEX(Reference!$B$6:$B$11,MIN(5,MATCH(MAX(Reference!$A$6,MIN(Reference!$A$11,MIN($U156,180))),Reference!$A$6:$A$11,1)))+(MAX(Reference!$A$6,MIN(Reference!$A$11,MIN($U156,180)))-INDEX(Reference!$A$6:$A$11,MIN(5,MATCH(MAX(Reference!$A$6,MIN(Reference!$A$11,MIN($U156,180))),Reference!$A$6:$A$11,1))))*(INDEX(Reference!$B$6:$B$11,MIN(5,MATCH(MAX(Reference!$A$6,MIN(Reference!$A$11,MIN($U156,180))),Reference!$A$6:$A$11,1))+1)-INDEX(Reference!$B$6:$B$11,MIN(5,MATCH(MAX(Reference!$A$6,MIN(Reference!$A$11,MIN($U156,180))),Reference!$A$6:$A$11,1))))/(INDEX(Reference!$A$6:$A$11,MIN(5,MATCH(MAX(Reference!$A$6,MIN(Reference!$A$11,MIN($U156,180))),Reference!$A$6:$A$11,1))+1)-INDEX(Reference!$A$6:$A$11,MIN(5,MATCH(MAX(Reference!$A$6,MIN(Reference!$A$11,MIN($U156,180))),Reference!$A$6:$A$11,1))))),0)+IF(5&lt;=$AL156,($AL156-5+3)*(INDEX(Reference!$B$6:$B$11,MIN(5,MATCH(MAX(Reference!$A$6,MIN(Reference!$A$11,MIN($U156,210))),Reference!$A$6:$A$11,1)))+(MAX(Reference!$A$6,MIN(Reference!$A$11,MIN($U156,210)))-INDEX(Reference!$A$6:$A$11,MIN(5,MATCH(MAX(Reference!$A$6,MIN(Reference!$A$11,MIN($U156,210))),Reference!$A$6:$A$11,1))))*(INDEX(Reference!$B$6:$B$11,MIN(5,MATCH(MAX(Reference!$A$6,MIN(Reference!$A$11,MIN($U156,210))),Reference!$A$6:$A$11,1))+1)-INDEX(Reference!$B$6:$B$11,MIN(5,MATCH(MAX(Reference!$A$6,MIN(Reference!$A$11,MIN($U156,210))),Reference!$A$6:$A$11,1))))/(INDEX(Reference!$A$6:$A$11,MIN(5,MATCH(MAX(Reference!$A$6,MIN(Reference!$A$11,MIN($U156,210))),Reference!$A$6:$A$11,1))+1)-INDEX(Reference!$A$6:$A$11,MIN(5,MATCH(MAX(Reference!$A$6,MIN(Reference!$A$11,MIN($U156,210))),Reference!$A$6:$A$11,1))))),0)+IF(6&lt;=$AL156,($AL156-6+3)*(INDEX(Reference!$B$6:$B$11,MIN(5,MATCH(MAX(Reference!$A$6,MIN(Reference!$A$11,MIN($U156,240))),Reference!$A$6:$A$11,1)))+(MAX(Reference!$A$6,MIN(Reference!$A$11,MIN($U156,240)))-INDEX(Reference!$A$6:$A$11,MIN(5,MATCH(MAX(Reference!$A$6,MIN(Reference!$A$11,MIN($U156,240))),Reference!$A$6:$A$11,1))))*(INDEX(Reference!$B$6:$B$11,MIN(5,MATCH(MAX(Reference!$A$6,MIN(Reference!$A$11,MIN($U156,240))),Reference!$A$6:$A$11,1))+1)-INDEX(Reference!$B$6:$B$11,MIN(5,MATCH(MAX(Reference!$A$6,MIN(Reference!$A$11,MIN($U156,240))),Reference!$A$6:$A$11,1))))/(INDEX(Reference!$A$6:$A$11,MIN(5,MATCH(MAX(Reference!$A$6,MIN(Reference!$A$11,MIN($U156,240))),Reference!$A$6:$A$11,1))+1)-INDEX(Reference!$A$6:$A$11,MIN(5,MATCH(MAX(Reference!$A$6,MIN(Reference!$A$11,MIN($U156,240))),Reference!$A$6:$A$11,1))))),0)+IF(7&lt;=$AL156,($AL156-7+3)*(INDEX(Reference!$B$6:$B$11,MIN(5,MATCH(MAX(Reference!$A$6,MIN(Reference!$A$11,MIN($U156,270))),Reference!$A$6:$A$11,1)))+(MAX(Reference!$A$6,MIN(Reference!$A$11,MIN($U156,270)))-INDEX(Reference!$A$6:$A$11,MIN(5,MATCH(MAX(Reference!$A$6,MIN(Reference!$A$11,MIN($U156,270))),Reference!$A$6:$A$11,1))))*(INDEX(Reference!$B$6:$B$11,MIN(5,MATCH(MAX(Reference!$A$6,MIN(Reference!$A$11,MIN($U156,270))),Reference!$A$6:$A$11,1))+1)-INDEX(Reference!$B$6:$B$11,MIN(5,MATCH(MAX(Reference!$A$6,MIN(Reference!$A$11,MIN($U156,270))),Reference!$A$6:$A$11,1))))/(INDEX(Reference!$A$6:$A$11,MIN(5,MATCH(MAX(Reference!$A$6,MIN(Reference!$A$11,MIN($U156,270))),Reference!$A$6:$A$11,1))+1)-INDEX(Reference!$A$6:$A$11,MIN(5,MATCH(MAX(Reference!$A$6,MIN(Reference!$A$11,MIN($U156,270))),Reference!$A$6:$A$11,1))))),0)+IF(8&lt;=$AL156,($AL156-8+3)*(INDEX(Reference!$B$6:$B$11,MIN(5,MATCH(MAX(Reference!$A$6,MIN(Reference!$A$11,MIN($U156,300))),Reference!$A$6:$A$11,1)))+(MAX(Reference!$A$6,MIN(Reference!$A$11,MIN($U156,300)))-INDEX(Reference!$A$6:$A$11,MIN(5,MATCH(MAX(Reference!$A$6,MIN(Reference!$A$11,MIN($U156,300))),Reference!$A$6:$A$11,1))))*(INDEX(Reference!$B$6:$B$11,MIN(5,MATCH(MAX(Reference!$A$6,MIN(Reference!$A$11,MIN($U156,300))),Reference!$A$6:$A$11,1))+1)-INDEX(Reference!$B$6:$B$11,MIN(5,MATCH(MAX(Reference!$A$6,MIN(Reference!$A$11,MIN($U156,300))),Reference!$A$6:$A$11,1))))/(INDEX(Reference!$A$6:$A$11,MIN(5,MATCH(MAX(Reference!$A$6,MIN(Reference!$A$11,MIN($U156,300))),Reference!$A$6:$A$11,1))+1)-INDEX(Reference!$A$6:$A$11,MIN(5,MATCH(MAX(Reference!$A$6,MIN(Reference!$A$11,MIN($U156,300))),Reference!$A$6:$A$11,1))))),0))/($AL156*($AL156+5)/2)),$AN156))</f>
        <v>0</v>
      </c>
      <c r="AN156" s="32">
        <f>IF($U156="",0,(INDEX(Reference!$B$6:$B$11,MIN(5,MATCH(MAX(Reference!$A$6,MIN(Reference!$A$11,$U156)),Reference!$A$6:$A$11,1)))+(MAX(Reference!$A$6,MIN(Reference!$A$11,$U156))-INDEX(Reference!$A$6:$A$11,MIN(5,MATCH(MAX(Reference!$A$6,MIN(Reference!$A$11,$U156)),Reference!$A$6:$A$11,1))))*(INDEX(Reference!$B$6:$B$11,MIN(5,MATCH(MAX(Reference!$A$6,MIN(Reference!$A$11,$U156)),Reference!$A$6:$A$11,1))+1)-INDEX(Reference!$B$6:$B$11,MIN(5,MATCH(MAX(Reference!$A$6,MIN(Reference!$A$11,$U156)),Reference!$A$6:$A$11,1))))/(INDEX(Reference!$A$6:$A$11,MIN(5,MATCH(MAX(Reference!$A$6,MIN(Reference!$A$11,$U156)),Reference!$A$6:$A$11,1))+1)-INDEX(Reference!$A$6:$A$11,MIN(5,MATCH(MAX(Reference!$A$6,MIN(Reference!$A$11,$U156)),Reference!$A$6:$A$11,1))))))</f>
        <v>0</v>
      </c>
      <c r="AO156" s="37"/>
      <c r="AP156" s="37"/>
      <c r="AQ156" s="37"/>
    </row>
    <row r="157" spans="1:43" x14ac:dyDescent="0.3">
      <c r="A157" s="48" t="str">
        <f t="shared" si="80"/>
        <v/>
      </c>
      <c r="B157" s="32" t="str">
        <f t="shared" si="81"/>
        <v/>
      </c>
      <c r="C157" s="32" t="str">
        <f t="shared" si="82"/>
        <v/>
      </c>
      <c r="D157" s="32" t="str">
        <f t="shared" si="83"/>
        <v/>
      </c>
      <c r="E157" s="32" t="str">
        <f t="shared" si="84"/>
        <v/>
      </c>
      <c r="F157" s="32" t="str">
        <f t="shared" si="85"/>
        <v/>
      </c>
      <c r="G157" s="47" t="str">
        <f t="shared" si="86"/>
        <v/>
      </c>
      <c r="H157" s="30" t="str">
        <f t="shared" si="87"/>
        <v/>
      </c>
      <c r="I157" s="46" t="str">
        <f>IF($A157="","",IF(AND($L157&lt;27,$K$12=0),"Building",IFERROR(((SUM($H$151:$H157)+$K$12*IF($L157&lt;6,SUMIFS('Throw Log'!$Q$5:$Q$300,'Throw Log'!$B$5:$B$300,$D$4,'Throw Log'!$A$5:$A$300,"&gt;="&amp;($D$6+$L157-6),'Throw Log'!$A$5:$A$300,"&lt;="&amp;($D$6-1)),0))/7)/((SUM($H$130:$H157)+$K$12*IF($L157&lt;27,SUMIFS('Throw Log'!$Q$5:$Q$300,'Throw Log'!$B$5:$B$300,$D$4,'Throw Log'!$A$5:$A$300,"&gt;="&amp;($D$6+$L157-27),'Throw Log'!$A$5:$A$300,"&lt;="&amp;($D$6-1)),0))/28),"")))</f>
        <v/>
      </c>
      <c r="J157" s="37"/>
      <c r="K157" s="37"/>
      <c r="L157" s="32">
        <v>114</v>
      </c>
      <c r="M157" s="32">
        <f t="shared" si="88"/>
        <v>17</v>
      </c>
      <c r="N157" s="32">
        <f t="shared" si="89"/>
        <v>2</v>
      </c>
      <c r="O157" s="32">
        <f t="shared" si="90"/>
        <v>1</v>
      </c>
      <c r="P157" s="32" t="str">
        <f>IF(OR($A157="",N($C157)&lt;=7),"",$G$6*$G$9^($M157-1)*IF(AND(MOD($M157,Reference!$B$99)=0,$M157&lt;=$G$5-2),Reference!$B$100,1))</f>
        <v/>
      </c>
      <c r="Q157" s="32" t="str">
        <f>IF($P157="","",IF(SUM($AK$155:$AK$161)=0,0,$P157*INDEX(Reference!$B$108:$B$114,$N157+1)/SUM($AK$155:$AK$161)))</f>
        <v/>
      </c>
      <c r="R157" s="32">
        <f t="shared" si="91"/>
        <v>180</v>
      </c>
      <c r="S157" s="32">
        <f t="shared" si="92"/>
        <v>150</v>
      </c>
      <c r="T157" s="32" t="str">
        <f>IF($A157="","",IF($C157=0,"Bullpen",IF(OR($C157=7,$C157=1,$C157=5),"Recovery/Easy Catch",IF($C157=6,"Compression/Pulldowns",IF(OR($C157=4,$C157=2),"Long Toss",IF($C157=3,"No Throw",IF($N157=2,"No Throw",IF($N157=6,IF($O157&lt;Reference!$B$104,"No Throw","Recovery/Easy Catch"),IF(OR($N157=0,$N157=4),"Recovery/Easy Catch",IF($N157=1,IF($R157&gt;75,"Long Toss","Recovery/Easy Catch"),IF($N157=3,IF($O157&lt;0.5,IF($S157&gt;75,"Long Toss","Recovery/Easy Catch"),"Compression/Pulldowns"),IF($S157&gt;75,"Long Toss","Recovery/Easy Catch"))))))))))))</f>
        <v/>
      </c>
      <c r="U157" s="32" t="str">
        <f t="shared" si="93"/>
        <v/>
      </c>
      <c r="V157" s="32" t="str">
        <f t="shared" si="94"/>
        <v/>
      </c>
      <c r="W157" s="32" t="str">
        <f t="shared" si="95"/>
        <v/>
      </c>
      <c r="X157" s="32">
        <f t="shared" si="96"/>
        <v>0</v>
      </c>
      <c r="Y157" s="32" t="str">
        <f t="shared" si="97"/>
        <v/>
      </c>
      <c r="Z157" s="32" t="str">
        <f t="shared" si="98"/>
        <v/>
      </c>
      <c r="AA157" s="32" t="str">
        <f t="shared" si="99"/>
        <v/>
      </c>
      <c r="AB157" s="32" t="str">
        <f>IF($A157="","",IF($T157="No Throw",0,IF($K157&lt;&gt;"",$K157,IF($AA157&lt;&gt;"",ROUND($AA157*$D$12*IF($C157=0,1,$G$10),0),MIN(IF($T157="Recovery/Easy Catch",Reference!$B$103,IF($T157="Long Toss",Reference!$B$106,Reference!$B$102)),MAX(Reference!$B$101,ROUND(MAX(0,$Q157-$AE157)/$AF157,0)))))))</f>
        <v/>
      </c>
      <c r="AC157" s="32">
        <f t="shared" si="100"/>
        <v>0</v>
      </c>
      <c r="AD157" s="32" t="b">
        <f t="shared" si="101"/>
        <v>1</v>
      </c>
      <c r="AE157" s="32">
        <f>IF($X157=0,0,$X157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157+$Z157)/2,0),Reference!$A$17:$B$20,2,TRUE()))</f>
        <v>0</v>
      </c>
      <c r="AF157" s="32">
        <f>IF(OR($A157="",$U157="",$T157="No Throw"),0,$AM157*VLOOKUP(MAX(($V157+$W157)/2,0),Reference!$A$17:$B$20,2,TRUE()))</f>
        <v>0</v>
      </c>
      <c r="AG157" s="32">
        <f>IF($AC157=0,0,$AC157*INDEX(Reference!$B$61:$B$62,MATCH("Bullpen",Reference!$A$61:$A$62,0))*VLOOKUP(MAX($D$5-($D$9+$E$9)/2,0),Reference!$A$17:$B$20,2,TRUE()))</f>
        <v>0</v>
      </c>
      <c r="AH157" s="32" t="e">
        <f t="shared" si="102"/>
        <v>#N/A</v>
      </c>
      <c r="AI157" s="32" t="e">
        <f>IF($A157="",NA(),Reference!$A$25)</f>
        <v>#N/A</v>
      </c>
      <c r="AJ157" s="32" t="e">
        <f t="shared" si="103"/>
        <v>#N/A</v>
      </c>
      <c r="AK157" s="32">
        <f>IF(OR($A157="",N($C157)&lt;=7,$T157="No Throw",$J157="x"),0,INDEX(Reference!$B$108:$B$114,$N157+1))</f>
        <v>0</v>
      </c>
      <c r="AL157" s="32">
        <f t="shared" si="104"/>
        <v>1</v>
      </c>
      <c r="AM157" s="32">
        <f>IF($U157="",0,IF($AL157&gt;1,((IF(1&lt;=$AL157,($AL157-1+3)*(INDEX(Reference!$B$6:$B$11,MIN(5,MATCH(MAX(Reference!$A$6,MIN(Reference!$A$11,MIN($U157,90))),Reference!$A$6:$A$11,1)))+(MAX(Reference!$A$6,MIN(Reference!$A$11,MIN($U157,90)))-INDEX(Reference!$A$6:$A$11,MIN(5,MATCH(MAX(Reference!$A$6,MIN(Reference!$A$11,MIN($U157,90))),Reference!$A$6:$A$11,1))))*(INDEX(Reference!$B$6:$B$11,MIN(5,MATCH(MAX(Reference!$A$6,MIN(Reference!$A$11,MIN($U157,90))),Reference!$A$6:$A$11,1))+1)-INDEX(Reference!$B$6:$B$11,MIN(5,MATCH(MAX(Reference!$A$6,MIN(Reference!$A$11,MIN($U157,90))),Reference!$A$6:$A$11,1))))/(INDEX(Reference!$A$6:$A$11,MIN(5,MATCH(MAX(Reference!$A$6,MIN(Reference!$A$11,MIN($U157,90))),Reference!$A$6:$A$11,1))+1)-INDEX(Reference!$A$6:$A$11,MIN(5,MATCH(MAX(Reference!$A$6,MIN(Reference!$A$11,MIN($U157,90))),Reference!$A$6:$A$11,1))))),0)+IF(2&lt;=$AL157,($AL157-2+3)*(INDEX(Reference!$B$6:$B$11,MIN(5,MATCH(MAX(Reference!$A$6,MIN(Reference!$A$11,MIN($U157,120))),Reference!$A$6:$A$11,1)))+(MAX(Reference!$A$6,MIN(Reference!$A$11,MIN($U157,120)))-INDEX(Reference!$A$6:$A$11,MIN(5,MATCH(MAX(Reference!$A$6,MIN(Reference!$A$11,MIN($U157,120))),Reference!$A$6:$A$11,1))))*(INDEX(Reference!$B$6:$B$11,MIN(5,MATCH(MAX(Reference!$A$6,MIN(Reference!$A$11,MIN($U157,120))),Reference!$A$6:$A$11,1))+1)-INDEX(Reference!$B$6:$B$11,MIN(5,MATCH(MAX(Reference!$A$6,MIN(Reference!$A$11,MIN($U157,120))),Reference!$A$6:$A$11,1))))/(INDEX(Reference!$A$6:$A$11,MIN(5,MATCH(MAX(Reference!$A$6,MIN(Reference!$A$11,MIN($U157,120))),Reference!$A$6:$A$11,1))+1)-INDEX(Reference!$A$6:$A$11,MIN(5,MATCH(MAX(Reference!$A$6,MIN(Reference!$A$11,MIN($U157,120))),Reference!$A$6:$A$11,1))))),0)+IF(3&lt;=$AL157,($AL157-3+3)*(INDEX(Reference!$B$6:$B$11,MIN(5,MATCH(MAX(Reference!$A$6,MIN(Reference!$A$11,MIN($U157,150))),Reference!$A$6:$A$11,1)))+(MAX(Reference!$A$6,MIN(Reference!$A$11,MIN($U157,150)))-INDEX(Reference!$A$6:$A$11,MIN(5,MATCH(MAX(Reference!$A$6,MIN(Reference!$A$11,MIN($U157,150))),Reference!$A$6:$A$11,1))))*(INDEX(Reference!$B$6:$B$11,MIN(5,MATCH(MAX(Reference!$A$6,MIN(Reference!$A$11,MIN($U157,150))),Reference!$A$6:$A$11,1))+1)-INDEX(Reference!$B$6:$B$11,MIN(5,MATCH(MAX(Reference!$A$6,MIN(Reference!$A$11,MIN($U157,150))),Reference!$A$6:$A$11,1))))/(INDEX(Reference!$A$6:$A$11,MIN(5,MATCH(MAX(Reference!$A$6,MIN(Reference!$A$11,MIN($U157,150))),Reference!$A$6:$A$11,1))+1)-INDEX(Reference!$A$6:$A$11,MIN(5,MATCH(MAX(Reference!$A$6,MIN(Reference!$A$11,MIN($U157,150))),Reference!$A$6:$A$11,1))))),0)+IF(4&lt;=$AL157,($AL157-4+3)*(INDEX(Reference!$B$6:$B$11,MIN(5,MATCH(MAX(Reference!$A$6,MIN(Reference!$A$11,MIN($U157,180))),Reference!$A$6:$A$11,1)))+(MAX(Reference!$A$6,MIN(Reference!$A$11,MIN($U157,180)))-INDEX(Reference!$A$6:$A$11,MIN(5,MATCH(MAX(Reference!$A$6,MIN(Reference!$A$11,MIN($U157,180))),Reference!$A$6:$A$11,1))))*(INDEX(Reference!$B$6:$B$11,MIN(5,MATCH(MAX(Reference!$A$6,MIN(Reference!$A$11,MIN($U157,180))),Reference!$A$6:$A$11,1))+1)-INDEX(Reference!$B$6:$B$11,MIN(5,MATCH(MAX(Reference!$A$6,MIN(Reference!$A$11,MIN($U157,180))),Reference!$A$6:$A$11,1))))/(INDEX(Reference!$A$6:$A$11,MIN(5,MATCH(MAX(Reference!$A$6,MIN(Reference!$A$11,MIN($U157,180))),Reference!$A$6:$A$11,1))+1)-INDEX(Reference!$A$6:$A$11,MIN(5,MATCH(MAX(Reference!$A$6,MIN(Reference!$A$11,MIN($U157,180))),Reference!$A$6:$A$11,1))))),0)+IF(5&lt;=$AL157,($AL157-5+3)*(INDEX(Reference!$B$6:$B$11,MIN(5,MATCH(MAX(Reference!$A$6,MIN(Reference!$A$11,MIN($U157,210))),Reference!$A$6:$A$11,1)))+(MAX(Reference!$A$6,MIN(Reference!$A$11,MIN($U157,210)))-INDEX(Reference!$A$6:$A$11,MIN(5,MATCH(MAX(Reference!$A$6,MIN(Reference!$A$11,MIN($U157,210))),Reference!$A$6:$A$11,1))))*(INDEX(Reference!$B$6:$B$11,MIN(5,MATCH(MAX(Reference!$A$6,MIN(Reference!$A$11,MIN($U157,210))),Reference!$A$6:$A$11,1))+1)-INDEX(Reference!$B$6:$B$11,MIN(5,MATCH(MAX(Reference!$A$6,MIN(Reference!$A$11,MIN($U157,210))),Reference!$A$6:$A$11,1))))/(INDEX(Reference!$A$6:$A$11,MIN(5,MATCH(MAX(Reference!$A$6,MIN(Reference!$A$11,MIN($U157,210))),Reference!$A$6:$A$11,1))+1)-INDEX(Reference!$A$6:$A$11,MIN(5,MATCH(MAX(Reference!$A$6,MIN(Reference!$A$11,MIN($U157,210))),Reference!$A$6:$A$11,1))))),0)+IF(6&lt;=$AL157,($AL157-6+3)*(INDEX(Reference!$B$6:$B$11,MIN(5,MATCH(MAX(Reference!$A$6,MIN(Reference!$A$11,MIN($U157,240))),Reference!$A$6:$A$11,1)))+(MAX(Reference!$A$6,MIN(Reference!$A$11,MIN($U157,240)))-INDEX(Reference!$A$6:$A$11,MIN(5,MATCH(MAX(Reference!$A$6,MIN(Reference!$A$11,MIN($U157,240))),Reference!$A$6:$A$11,1))))*(INDEX(Reference!$B$6:$B$11,MIN(5,MATCH(MAX(Reference!$A$6,MIN(Reference!$A$11,MIN($U157,240))),Reference!$A$6:$A$11,1))+1)-INDEX(Reference!$B$6:$B$11,MIN(5,MATCH(MAX(Reference!$A$6,MIN(Reference!$A$11,MIN($U157,240))),Reference!$A$6:$A$11,1))))/(INDEX(Reference!$A$6:$A$11,MIN(5,MATCH(MAX(Reference!$A$6,MIN(Reference!$A$11,MIN($U157,240))),Reference!$A$6:$A$11,1))+1)-INDEX(Reference!$A$6:$A$11,MIN(5,MATCH(MAX(Reference!$A$6,MIN(Reference!$A$11,MIN($U157,240))),Reference!$A$6:$A$11,1))))),0)+IF(7&lt;=$AL157,($AL157-7+3)*(INDEX(Reference!$B$6:$B$11,MIN(5,MATCH(MAX(Reference!$A$6,MIN(Reference!$A$11,MIN($U157,270))),Reference!$A$6:$A$11,1)))+(MAX(Reference!$A$6,MIN(Reference!$A$11,MIN($U157,270)))-INDEX(Reference!$A$6:$A$11,MIN(5,MATCH(MAX(Reference!$A$6,MIN(Reference!$A$11,MIN($U157,270))),Reference!$A$6:$A$11,1))))*(INDEX(Reference!$B$6:$B$11,MIN(5,MATCH(MAX(Reference!$A$6,MIN(Reference!$A$11,MIN($U157,270))),Reference!$A$6:$A$11,1))+1)-INDEX(Reference!$B$6:$B$11,MIN(5,MATCH(MAX(Reference!$A$6,MIN(Reference!$A$11,MIN($U157,270))),Reference!$A$6:$A$11,1))))/(INDEX(Reference!$A$6:$A$11,MIN(5,MATCH(MAX(Reference!$A$6,MIN(Reference!$A$11,MIN($U157,270))),Reference!$A$6:$A$11,1))+1)-INDEX(Reference!$A$6:$A$11,MIN(5,MATCH(MAX(Reference!$A$6,MIN(Reference!$A$11,MIN($U157,270))),Reference!$A$6:$A$11,1))))),0)+IF(8&lt;=$AL157,($AL157-8+3)*(INDEX(Reference!$B$6:$B$11,MIN(5,MATCH(MAX(Reference!$A$6,MIN(Reference!$A$11,MIN($U157,300))),Reference!$A$6:$A$11,1)))+(MAX(Reference!$A$6,MIN(Reference!$A$11,MIN($U157,300)))-INDEX(Reference!$A$6:$A$11,MIN(5,MATCH(MAX(Reference!$A$6,MIN(Reference!$A$11,MIN($U157,300))),Reference!$A$6:$A$11,1))))*(INDEX(Reference!$B$6:$B$11,MIN(5,MATCH(MAX(Reference!$A$6,MIN(Reference!$A$11,MIN($U157,300))),Reference!$A$6:$A$11,1))+1)-INDEX(Reference!$B$6:$B$11,MIN(5,MATCH(MAX(Reference!$A$6,MIN(Reference!$A$11,MIN($U157,300))),Reference!$A$6:$A$11,1))))/(INDEX(Reference!$A$6:$A$11,MIN(5,MATCH(MAX(Reference!$A$6,MIN(Reference!$A$11,MIN($U157,300))),Reference!$A$6:$A$11,1))+1)-INDEX(Reference!$A$6:$A$11,MIN(5,MATCH(MAX(Reference!$A$6,MIN(Reference!$A$11,MIN($U157,300))),Reference!$A$6:$A$11,1))))),0))/($AL157*($AL157+5)/2)),$AN157))</f>
        <v>0</v>
      </c>
      <c r="AN157" s="32">
        <f>IF($U157="",0,(INDEX(Reference!$B$6:$B$11,MIN(5,MATCH(MAX(Reference!$A$6,MIN(Reference!$A$11,$U157)),Reference!$A$6:$A$11,1)))+(MAX(Reference!$A$6,MIN(Reference!$A$11,$U157))-INDEX(Reference!$A$6:$A$11,MIN(5,MATCH(MAX(Reference!$A$6,MIN(Reference!$A$11,$U157)),Reference!$A$6:$A$11,1))))*(INDEX(Reference!$B$6:$B$11,MIN(5,MATCH(MAX(Reference!$A$6,MIN(Reference!$A$11,$U157)),Reference!$A$6:$A$11,1))+1)-INDEX(Reference!$B$6:$B$11,MIN(5,MATCH(MAX(Reference!$A$6,MIN(Reference!$A$11,$U157)),Reference!$A$6:$A$11,1))))/(INDEX(Reference!$A$6:$A$11,MIN(5,MATCH(MAX(Reference!$A$6,MIN(Reference!$A$11,$U157)),Reference!$A$6:$A$11,1))+1)-INDEX(Reference!$A$6:$A$11,MIN(5,MATCH(MAX(Reference!$A$6,MIN(Reference!$A$11,$U157)),Reference!$A$6:$A$11,1))))))</f>
        <v>0</v>
      </c>
      <c r="AO157" s="37"/>
      <c r="AP157" s="37"/>
      <c r="AQ157" s="37"/>
    </row>
    <row r="158" spans="1:43" x14ac:dyDescent="0.3">
      <c r="A158" s="48" t="str">
        <f t="shared" si="80"/>
        <v/>
      </c>
      <c r="B158" s="32" t="str">
        <f t="shared" si="81"/>
        <v/>
      </c>
      <c r="C158" s="32" t="str">
        <f t="shared" si="82"/>
        <v/>
      </c>
      <c r="D158" s="32" t="str">
        <f t="shared" si="83"/>
        <v/>
      </c>
      <c r="E158" s="32" t="str">
        <f t="shared" si="84"/>
        <v/>
      </c>
      <c r="F158" s="32" t="str">
        <f t="shared" si="85"/>
        <v/>
      </c>
      <c r="G158" s="47" t="str">
        <f t="shared" si="86"/>
        <v/>
      </c>
      <c r="H158" s="30" t="str">
        <f t="shared" si="87"/>
        <v/>
      </c>
      <c r="I158" s="46" t="str">
        <f>IF($A158="","",IF(AND($L158&lt;27,$K$12=0),"Building",IFERROR(((SUM($H$152:$H158)+$K$12*IF($L158&lt;6,SUMIFS('Throw Log'!$Q$5:$Q$300,'Throw Log'!$B$5:$B$300,$D$4,'Throw Log'!$A$5:$A$300,"&gt;="&amp;($D$6+$L158-6),'Throw Log'!$A$5:$A$300,"&lt;="&amp;($D$6-1)),0))/7)/((SUM($H$131:$H158)+$K$12*IF($L158&lt;27,SUMIFS('Throw Log'!$Q$5:$Q$300,'Throw Log'!$B$5:$B$300,$D$4,'Throw Log'!$A$5:$A$300,"&gt;="&amp;($D$6+$L158-27),'Throw Log'!$A$5:$A$300,"&lt;="&amp;($D$6-1)),0))/28),"")))</f>
        <v/>
      </c>
      <c r="J158" s="37"/>
      <c r="K158" s="37"/>
      <c r="L158" s="32">
        <v>115</v>
      </c>
      <c r="M158" s="32">
        <f t="shared" si="88"/>
        <v>17</v>
      </c>
      <c r="N158" s="32">
        <f t="shared" si="89"/>
        <v>3</v>
      </c>
      <c r="O158" s="32">
        <f t="shared" si="90"/>
        <v>1</v>
      </c>
      <c r="P158" s="32" t="str">
        <f>IF(OR($A158="",N($C158)&lt;=7),"",$G$6*$G$9^($M158-1)*IF(AND(MOD($M158,Reference!$B$99)=0,$M158&lt;=$G$5-2),Reference!$B$100,1))</f>
        <v/>
      </c>
      <c r="Q158" s="32" t="str">
        <f>IF($P158="","",IF(SUM($AK$155:$AK$161)=0,0,$P158*INDEX(Reference!$B$108:$B$114,$N158+1)/SUM($AK$155:$AK$161)))</f>
        <v/>
      </c>
      <c r="R158" s="32">
        <f t="shared" si="91"/>
        <v>180</v>
      </c>
      <c r="S158" s="32">
        <f t="shared" si="92"/>
        <v>150</v>
      </c>
      <c r="T158" s="32" t="str">
        <f>IF($A158="","",IF($C158=0,"Bullpen",IF(OR($C158=7,$C158=1,$C158=5),"Recovery/Easy Catch",IF($C158=6,"Compression/Pulldowns",IF(OR($C158=4,$C158=2),"Long Toss",IF($C158=3,"No Throw",IF($N158=2,"No Throw",IF($N158=6,IF($O158&lt;Reference!$B$104,"No Throw","Recovery/Easy Catch"),IF(OR($N158=0,$N158=4),"Recovery/Easy Catch",IF($N158=1,IF($R158&gt;75,"Long Toss","Recovery/Easy Catch"),IF($N158=3,IF($O158&lt;0.5,IF($S158&gt;75,"Long Toss","Recovery/Easy Catch"),"Compression/Pulldowns"),IF($S158&gt;75,"Long Toss","Recovery/Easy Catch"))))))))))))</f>
        <v/>
      </c>
      <c r="U158" s="32" t="str">
        <f t="shared" si="93"/>
        <v/>
      </c>
      <c r="V158" s="32" t="str">
        <f t="shared" si="94"/>
        <v/>
      </c>
      <c r="W158" s="32" t="str">
        <f t="shared" si="95"/>
        <v/>
      </c>
      <c r="X158" s="32">
        <f t="shared" si="96"/>
        <v>0</v>
      </c>
      <c r="Y158" s="32" t="str">
        <f t="shared" si="97"/>
        <v/>
      </c>
      <c r="Z158" s="32" t="str">
        <f t="shared" si="98"/>
        <v/>
      </c>
      <c r="AA158" s="32" t="str">
        <f t="shared" si="99"/>
        <v/>
      </c>
      <c r="AB158" s="32" t="str">
        <f>IF($A158="","",IF($T158="No Throw",0,IF($K158&lt;&gt;"",$K158,IF($AA158&lt;&gt;"",ROUND($AA158*$D$12*IF($C158=0,1,$G$10),0),MIN(IF($T158="Recovery/Easy Catch",Reference!$B$103,IF($T158="Long Toss",Reference!$B$106,Reference!$B$102)),MAX(Reference!$B$101,ROUND(MAX(0,$Q158-$AE158)/$AF158,0)))))))</f>
        <v/>
      </c>
      <c r="AC158" s="32">
        <f t="shared" si="100"/>
        <v>0</v>
      </c>
      <c r="AD158" s="32" t="b">
        <f t="shared" si="101"/>
        <v>1</v>
      </c>
      <c r="AE158" s="32">
        <f>IF($X158=0,0,$X158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158+$Z158)/2,0),Reference!$A$17:$B$20,2,TRUE()))</f>
        <v>0</v>
      </c>
      <c r="AF158" s="32">
        <f>IF(OR($A158="",$U158="",$T158="No Throw"),0,$AM158*VLOOKUP(MAX(($V158+$W158)/2,0),Reference!$A$17:$B$20,2,TRUE()))</f>
        <v>0</v>
      </c>
      <c r="AG158" s="32">
        <f>IF($AC158=0,0,$AC158*INDEX(Reference!$B$61:$B$62,MATCH("Bullpen",Reference!$A$61:$A$62,0))*VLOOKUP(MAX($D$5-($D$9+$E$9)/2,0),Reference!$A$17:$B$20,2,TRUE()))</f>
        <v>0</v>
      </c>
      <c r="AH158" s="32" t="e">
        <f t="shared" si="102"/>
        <v>#N/A</v>
      </c>
      <c r="AI158" s="32" t="e">
        <f>IF($A158="",NA(),Reference!$A$25)</f>
        <v>#N/A</v>
      </c>
      <c r="AJ158" s="32" t="e">
        <f t="shared" si="103"/>
        <v>#N/A</v>
      </c>
      <c r="AK158" s="32">
        <f>IF(OR($A158="",N($C158)&lt;=7,$T158="No Throw",$J158="x"),0,INDEX(Reference!$B$108:$B$114,$N158+1))</f>
        <v>0</v>
      </c>
      <c r="AL158" s="32">
        <f t="shared" si="104"/>
        <v>1</v>
      </c>
      <c r="AM158" s="32">
        <f>IF($U158="",0,IF($AL158&gt;1,((IF(1&lt;=$AL158,($AL158-1+3)*(INDEX(Reference!$B$6:$B$11,MIN(5,MATCH(MAX(Reference!$A$6,MIN(Reference!$A$11,MIN($U158,90))),Reference!$A$6:$A$11,1)))+(MAX(Reference!$A$6,MIN(Reference!$A$11,MIN($U158,90)))-INDEX(Reference!$A$6:$A$11,MIN(5,MATCH(MAX(Reference!$A$6,MIN(Reference!$A$11,MIN($U158,90))),Reference!$A$6:$A$11,1))))*(INDEX(Reference!$B$6:$B$11,MIN(5,MATCH(MAX(Reference!$A$6,MIN(Reference!$A$11,MIN($U158,90))),Reference!$A$6:$A$11,1))+1)-INDEX(Reference!$B$6:$B$11,MIN(5,MATCH(MAX(Reference!$A$6,MIN(Reference!$A$11,MIN($U158,90))),Reference!$A$6:$A$11,1))))/(INDEX(Reference!$A$6:$A$11,MIN(5,MATCH(MAX(Reference!$A$6,MIN(Reference!$A$11,MIN($U158,90))),Reference!$A$6:$A$11,1))+1)-INDEX(Reference!$A$6:$A$11,MIN(5,MATCH(MAX(Reference!$A$6,MIN(Reference!$A$11,MIN($U158,90))),Reference!$A$6:$A$11,1))))),0)+IF(2&lt;=$AL158,($AL158-2+3)*(INDEX(Reference!$B$6:$B$11,MIN(5,MATCH(MAX(Reference!$A$6,MIN(Reference!$A$11,MIN($U158,120))),Reference!$A$6:$A$11,1)))+(MAX(Reference!$A$6,MIN(Reference!$A$11,MIN($U158,120)))-INDEX(Reference!$A$6:$A$11,MIN(5,MATCH(MAX(Reference!$A$6,MIN(Reference!$A$11,MIN($U158,120))),Reference!$A$6:$A$11,1))))*(INDEX(Reference!$B$6:$B$11,MIN(5,MATCH(MAX(Reference!$A$6,MIN(Reference!$A$11,MIN($U158,120))),Reference!$A$6:$A$11,1))+1)-INDEX(Reference!$B$6:$B$11,MIN(5,MATCH(MAX(Reference!$A$6,MIN(Reference!$A$11,MIN($U158,120))),Reference!$A$6:$A$11,1))))/(INDEX(Reference!$A$6:$A$11,MIN(5,MATCH(MAX(Reference!$A$6,MIN(Reference!$A$11,MIN($U158,120))),Reference!$A$6:$A$11,1))+1)-INDEX(Reference!$A$6:$A$11,MIN(5,MATCH(MAX(Reference!$A$6,MIN(Reference!$A$11,MIN($U158,120))),Reference!$A$6:$A$11,1))))),0)+IF(3&lt;=$AL158,($AL158-3+3)*(INDEX(Reference!$B$6:$B$11,MIN(5,MATCH(MAX(Reference!$A$6,MIN(Reference!$A$11,MIN($U158,150))),Reference!$A$6:$A$11,1)))+(MAX(Reference!$A$6,MIN(Reference!$A$11,MIN($U158,150)))-INDEX(Reference!$A$6:$A$11,MIN(5,MATCH(MAX(Reference!$A$6,MIN(Reference!$A$11,MIN($U158,150))),Reference!$A$6:$A$11,1))))*(INDEX(Reference!$B$6:$B$11,MIN(5,MATCH(MAX(Reference!$A$6,MIN(Reference!$A$11,MIN($U158,150))),Reference!$A$6:$A$11,1))+1)-INDEX(Reference!$B$6:$B$11,MIN(5,MATCH(MAX(Reference!$A$6,MIN(Reference!$A$11,MIN($U158,150))),Reference!$A$6:$A$11,1))))/(INDEX(Reference!$A$6:$A$11,MIN(5,MATCH(MAX(Reference!$A$6,MIN(Reference!$A$11,MIN($U158,150))),Reference!$A$6:$A$11,1))+1)-INDEX(Reference!$A$6:$A$11,MIN(5,MATCH(MAX(Reference!$A$6,MIN(Reference!$A$11,MIN($U158,150))),Reference!$A$6:$A$11,1))))),0)+IF(4&lt;=$AL158,($AL158-4+3)*(INDEX(Reference!$B$6:$B$11,MIN(5,MATCH(MAX(Reference!$A$6,MIN(Reference!$A$11,MIN($U158,180))),Reference!$A$6:$A$11,1)))+(MAX(Reference!$A$6,MIN(Reference!$A$11,MIN($U158,180)))-INDEX(Reference!$A$6:$A$11,MIN(5,MATCH(MAX(Reference!$A$6,MIN(Reference!$A$11,MIN($U158,180))),Reference!$A$6:$A$11,1))))*(INDEX(Reference!$B$6:$B$11,MIN(5,MATCH(MAX(Reference!$A$6,MIN(Reference!$A$11,MIN($U158,180))),Reference!$A$6:$A$11,1))+1)-INDEX(Reference!$B$6:$B$11,MIN(5,MATCH(MAX(Reference!$A$6,MIN(Reference!$A$11,MIN($U158,180))),Reference!$A$6:$A$11,1))))/(INDEX(Reference!$A$6:$A$11,MIN(5,MATCH(MAX(Reference!$A$6,MIN(Reference!$A$11,MIN($U158,180))),Reference!$A$6:$A$11,1))+1)-INDEX(Reference!$A$6:$A$11,MIN(5,MATCH(MAX(Reference!$A$6,MIN(Reference!$A$11,MIN($U158,180))),Reference!$A$6:$A$11,1))))),0)+IF(5&lt;=$AL158,($AL158-5+3)*(INDEX(Reference!$B$6:$B$11,MIN(5,MATCH(MAX(Reference!$A$6,MIN(Reference!$A$11,MIN($U158,210))),Reference!$A$6:$A$11,1)))+(MAX(Reference!$A$6,MIN(Reference!$A$11,MIN($U158,210)))-INDEX(Reference!$A$6:$A$11,MIN(5,MATCH(MAX(Reference!$A$6,MIN(Reference!$A$11,MIN($U158,210))),Reference!$A$6:$A$11,1))))*(INDEX(Reference!$B$6:$B$11,MIN(5,MATCH(MAX(Reference!$A$6,MIN(Reference!$A$11,MIN($U158,210))),Reference!$A$6:$A$11,1))+1)-INDEX(Reference!$B$6:$B$11,MIN(5,MATCH(MAX(Reference!$A$6,MIN(Reference!$A$11,MIN($U158,210))),Reference!$A$6:$A$11,1))))/(INDEX(Reference!$A$6:$A$11,MIN(5,MATCH(MAX(Reference!$A$6,MIN(Reference!$A$11,MIN($U158,210))),Reference!$A$6:$A$11,1))+1)-INDEX(Reference!$A$6:$A$11,MIN(5,MATCH(MAX(Reference!$A$6,MIN(Reference!$A$11,MIN($U158,210))),Reference!$A$6:$A$11,1))))),0)+IF(6&lt;=$AL158,($AL158-6+3)*(INDEX(Reference!$B$6:$B$11,MIN(5,MATCH(MAX(Reference!$A$6,MIN(Reference!$A$11,MIN($U158,240))),Reference!$A$6:$A$11,1)))+(MAX(Reference!$A$6,MIN(Reference!$A$11,MIN($U158,240)))-INDEX(Reference!$A$6:$A$11,MIN(5,MATCH(MAX(Reference!$A$6,MIN(Reference!$A$11,MIN($U158,240))),Reference!$A$6:$A$11,1))))*(INDEX(Reference!$B$6:$B$11,MIN(5,MATCH(MAX(Reference!$A$6,MIN(Reference!$A$11,MIN($U158,240))),Reference!$A$6:$A$11,1))+1)-INDEX(Reference!$B$6:$B$11,MIN(5,MATCH(MAX(Reference!$A$6,MIN(Reference!$A$11,MIN($U158,240))),Reference!$A$6:$A$11,1))))/(INDEX(Reference!$A$6:$A$11,MIN(5,MATCH(MAX(Reference!$A$6,MIN(Reference!$A$11,MIN($U158,240))),Reference!$A$6:$A$11,1))+1)-INDEX(Reference!$A$6:$A$11,MIN(5,MATCH(MAX(Reference!$A$6,MIN(Reference!$A$11,MIN($U158,240))),Reference!$A$6:$A$11,1))))),0)+IF(7&lt;=$AL158,($AL158-7+3)*(INDEX(Reference!$B$6:$B$11,MIN(5,MATCH(MAX(Reference!$A$6,MIN(Reference!$A$11,MIN($U158,270))),Reference!$A$6:$A$11,1)))+(MAX(Reference!$A$6,MIN(Reference!$A$11,MIN($U158,270)))-INDEX(Reference!$A$6:$A$11,MIN(5,MATCH(MAX(Reference!$A$6,MIN(Reference!$A$11,MIN($U158,270))),Reference!$A$6:$A$11,1))))*(INDEX(Reference!$B$6:$B$11,MIN(5,MATCH(MAX(Reference!$A$6,MIN(Reference!$A$11,MIN($U158,270))),Reference!$A$6:$A$11,1))+1)-INDEX(Reference!$B$6:$B$11,MIN(5,MATCH(MAX(Reference!$A$6,MIN(Reference!$A$11,MIN($U158,270))),Reference!$A$6:$A$11,1))))/(INDEX(Reference!$A$6:$A$11,MIN(5,MATCH(MAX(Reference!$A$6,MIN(Reference!$A$11,MIN($U158,270))),Reference!$A$6:$A$11,1))+1)-INDEX(Reference!$A$6:$A$11,MIN(5,MATCH(MAX(Reference!$A$6,MIN(Reference!$A$11,MIN($U158,270))),Reference!$A$6:$A$11,1))))),0)+IF(8&lt;=$AL158,($AL158-8+3)*(INDEX(Reference!$B$6:$B$11,MIN(5,MATCH(MAX(Reference!$A$6,MIN(Reference!$A$11,MIN($U158,300))),Reference!$A$6:$A$11,1)))+(MAX(Reference!$A$6,MIN(Reference!$A$11,MIN($U158,300)))-INDEX(Reference!$A$6:$A$11,MIN(5,MATCH(MAX(Reference!$A$6,MIN(Reference!$A$11,MIN($U158,300))),Reference!$A$6:$A$11,1))))*(INDEX(Reference!$B$6:$B$11,MIN(5,MATCH(MAX(Reference!$A$6,MIN(Reference!$A$11,MIN($U158,300))),Reference!$A$6:$A$11,1))+1)-INDEX(Reference!$B$6:$B$11,MIN(5,MATCH(MAX(Reference!$A$6,MIN(Reference!$A$11,MIN($U158,300))),Reference!$A$6:$A$11,1))))/(INDEX(Reference!$A$6:$A$11,MIN(5,MATCH(MAX(Reference!$A$6,MIN(Reference!$A$11,MIN($U158,300))),Reference!$A$6:$A$11,1))+1)-INDEX(Reference!$A$6:$A$11,MIN(5,MATCH(MAX(Reference!$A$6,MIN(Reference!$A$11,MIN($U158,300))),Reference!$A$6:$A$11,1))))),0))/($AL158*($AL158+5)/2)),$AN158))</f>
        <v>0</v>
      </c>
      <c r="AN158" s="32">
        <f>IF($U158="",0,(INDEX(Reference!$B$6:$B$11,MIN(5,MATCH(MAX(Reference!$A$6,MIN(Reference!$A$11,$U158)),Reference!$A$6:$A$11,1)))+(MAX(Reference!$A$6,MIN(Reference!$A$11,$U158))-INDEX(Reference!$A$6:$A$11,MIN(5,MATCH(MAX(Reference!$A$6,MIN(Reference!$A$11,$U158)),Reference!$A$6:$A$11,1))))*(INDEX(Reference!$B$6:$B$11,MIN(5,MATCH(MAX(Reference!$A$6,MIN(Reference!$A$11,$U158)),Reference!$A$6:$A$11,1))+1)-INDEX(Reference!$B$6:$B$11,MIN(5,MATCH(MAX(Reference!$A$6,MIN(Reference!$A$11,$U158)),Reference!$A$6:$A$11,1))))/(INDEX(Reference!$A$6:$A$11,MIN(5,MATCH(MAX(Reference!$A$6,MIN(Reference!$A$11,$U158)),Reference!$A$6:$A$11,1))+1)-INDEX(Reference!$A$6:$A$11,MIN(5,MATCH(MAX(Reference!$A$6,MIN(Reference!$A$11,$U158)),Reference!$A$6:$A$11,1))))))</f>
        <v>0</v>
      </c>
      <c r="AO158" s="37"/>
      <c r="AP158" s="37"/>
      <c r="AQ158" s="37"/>
    </row>
    <row r="159" spans="1:43" x14ac:dyDescent="0.3">
      <c r="A159" s="48" t="str">
        <f t="shared" si="80"/>
        <v/>
      </c>
      <c r="B159" s="32" t="str">
        <f t="shared" si="81"/>
        <v/>
      </c>
      <c r="C159" s="32" t="str">
        <f t="shared" si="82"/>
        <v/>
      </c>
      <c r="D159" s="32" t="str">
        <f t="shared" si="83"/>
        <v/>
      </c>
      <c r="E159" s="32" t="str">
        <f t="shared" si="84"/>
        <v/>
      </c>
      <c r="F159" s="32" t="str">
        <f t="shared" si="85"/>
        <v/>
      </c>
      <c r="G159" s="47" t="str">
        <f t="shared" si="86"/>
        <v/>
      </c>
      <c r="H159" s="30" t="str">
        <f t="shared" si="87"/>
        <v/>
      </c>
      <c r="I159" s="46" t="str">
        <f>IF($A159="","",IF(AND($L159&lt;27,$K$12=0),"Building",IFERROR(((SUM($H$153:$H159)+$K$12*IF($L159&lt;6,SUMIFS('Throw Log'!$Q$5:$Q$300,'Throw Log'!$B$5:$B$300,$D$4,'Throw Log'!$A$5:$A$300,"&gt;="&amp;($D$6+$L159-6),'Throw Log'!$A$5:$A$300,"&lt;="&amp;($D$6-1)),0))/7)/((SUM($H$132:$H159)+$K$12*IF($L159&lt;27,SUMIFS('Throw Log'!$Q$5:$Q$300,'Throw Log'!$B$5:$B$300,$D$4,'Throw Log'!$A$5:$A$300,"&gt;="&amp;($D$6+$L159-27),'Throw Log'!$A$5:$A$300,"&lt;="&amp;($D$6-1)),0))/28),"")))</f>
        <v/>
      </c>
      <c r="J159" s="37"/>
      <c r="K159" s="37"/>
      <c r="L159" s="32">
        <v>116</v>
      </c>
      <c r="M159" s="32">
        <f t="shared" si="88"/>
        <v>17</v>
      </c>
      <c r="N159" s="32">
        <f t="shared" si="89"/>
        <v>4</v>
      </c>
      <c r="O159" s="32">
        <f t="shared" si="90"/>
        <v>1</v>
      </c>
      <c r="P159" s="32" t="str">
        <f>IF(OR($A159="",N($C159)&lt;=7),"",$G$6*$G$9^($M159-1)*IF(AND(MOD($M159,Reference!$B$99)=0,$M159&lt;=$G$5-2),Reference!$B$100,1))</f>
        <v/>
      </c>
      <c r="Q159" s="32" t="str">
        <f>IF($P159="","",IF(SUM($AK$155:$AK$161)=0,0,$P159*INDEX(Reference!$B$108:$B$114,$N159+1)/SUM($AK$155:$AK$161)))</f>
        <v/>
      </c>
      <c r="R159" s="32">
        <f t="shared" si="91"/>
        <v>180</v>
      </c>
      <c r="S159" s="32">
        <f t="shared" si="92"/>
        <v>150</v>
      </c>
      <c r="T159" s="32" t="str">
        <f>IF($A159="","",IF($C159=0,"Bullpen",IF(OR($C159=7,$C159=1,$C159=5),"Recovery/Easy Catch",IF($C159=6,"Compression/Pulldowns",IF(OR($C159=4,$C159=2),"Long Toss",IF($C159=3,"No Throw",IF($N159=2,"No Throw",IF($N159=6,IF($O159&lt;Reference!$B$104,"No Throw","Recovery/Easy Catch"),IF(OR($N159=0,$N159=4),"Recovery/Easy Catch",IF($N159=1,IF($R159&gt;75,"Long Toss","Recovery/Easy Catch"),IF($N159=3,IF($O159&lt;0.5,IF($S159&gt;75,"Long Toss","Recovery/Easy Catch"),"Compression/Pulldowns"),IF($S159&gt;75,"Long Toss","Recovery/Easy Catch"))))))))))))</f>
        <v/>
      </c>
      <c r="U159" s="32" t="str">
        <f t="shared" si="93"/>
        <v/>
      </c>
      <c r="V159" s="32" t="str">
        <f t="shared" si="94"/>
        <v/>
      </c>
      <c r="W159" s="32" t="str">
        <f t="shared" si="95"/>
        <v/>
      </c>
      <c r="X159" s="32">
        <f t="shared" si="96"/>
        <v>0</v>
      </c>
      <c r="Y159" s="32" t="str">
        <f t="shared" si="97"/>
        <v/>
      </c>
      <c r="Z159" s="32" t="str">
        <f t="shared" si="98"/>
        <v/>
      </c>
      <c r="AA159" s="32" t="str">
        <f t="shared" si="99"/>
        <v/>
      </c>
      <c r="AB159" s="32" t="str">
        <f>IF($A159="","",IF($T159="No Throw",0,IF($K159&lt;&gt;"",$K159,IF($AA159&lt;&gt;"",ROUND($AA159*$D$12*IF($C159=0,1,$G$10),0),MIN(IF($T159="Recovery/Easy Catch",Reference!$B$103,IF($T159="Long Toss",Reference!$B$106,Reference!$B$102)),MAX(Reference!$B$101,ROUND(MAX(0,$Q159-$AE159)/$AF159,0)))))))</f>
        <v/>
      </c>
      <c r="AC159" s="32">
        <f t="shared" si="100"/>
        <v>0</v>
      </c>
      <c r="AD159" s="32" t="b">
        <f t="shared" si="101"/>
        <v>1</v>
      </c>
      <c r="AE159" s="32">
        <f>IF($X159=0,0,$X159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159+$Z159)/2,0),Reference!$A$17:$B$20,2,TRUE()))</f>
        <v>0</v>
      </c>
      <c r="AF159" s="32">
        <f>IF(OR($A159="",$U159="",$T159="No Throw"),0,$AM159*VLOOKUP(MAX(($V159+$W159)/2,0),Reference!$A$17:$B$20,2,TRUE()))</f>
        <v>0</v>
      </c>
      <c r="AG159" s="32">
        <f>IF($AC159=0,0,$AC159*INDEX(Reference!$B$61:$B$62,MATCH("Bullpen",Reference!$A$61:$A$62,0))*VLOOKUP(MAX($D$5-($D$9+$E$9)/2,0),Reference!$A$17:$B$20,2,TRUE()))</f>
        <v>0</v>
      </c>
      <c r="AH159" s="32" t="e">
        <f t="shared" si="102"/>
        <v>#N/A</v>
      </c>
      <c r="AI159" s="32" t="e">
        <f>IF($A159="",NA(),Reference!$A$25)</f>
        <v>#N/A</v>
      </c>
      <c r="AJ159" s="32" t="e">
        <f t="shared" si="103"/>
        <v>#N/A</v>
      </c>
      <c r="AK159" s="32">
        <f>IF(OR($A159="",N($C159)&lt;=7,$T159="No Throw",$J159="x"),0,INDEX(Reference!$B$108:$B$114,$N159+1))</f>
        <v>0</v>
      </c>
      <c r="AL159" s="32">
        <f t="shared" si="104"/>
        <v>1</v>
      </c>
      <c r="AM159" s="32">
        <f>IF($U159="",0,IF($AL159&gt;1,((IF(1&lt;=$AL159,($AL159-1+3)*(INDEX(Reference!$B$6:$B$11,MIN(5,MATCH(MAX(Reference!$A$6,MIN(Reference!$A$11,MIN($U159,90))),Reference!$A$6:$A$11,1)))+(MAX(Reference!$A$6,MIN(Reference!$A$11,MIN($U159,90)))-INDEX(Reference!$A$6:$A$11,MIN(5,MATCH(MAX(Reference!$A$6,MIN(Reference!$A$11,MIN($U159,90))),Reference!$A$6:$A$11,1))))*(INDEX(Reference!$B$6:$B$11,MIN(5,MATCH(MAX(Reference!$A$6,MIN(Reference!$A$11,MIN($U159,90))),Reference!$A$6:$A$11,1))+1)-INDEX(Reference!$B$6:$B$11,MIN(5,MATCH(MAX(Reference!$A$6,MIN(Reference!$A$11,MIN($U159,90))),Reference!$A$6:$A$11,1))))/(INDEX(Reference!$A$6:$A$11,MIN(5,MATCH(MAX(Reference!$A$6,MIN(Reference!$A$11,MIN($U159,90))),Reference!$A$6:$A$11,1))+1)-INDEX(Reference!$A$6:$A$11,MIN(5,MATCH(MAX(Reference!$A$6,MIN(Reference!$A$11,MIN($U159,90))),Reference!$A$6:$A$11,1))))),0)+IF(2&lt;=$AL159,($AL159-2+3)*(INDEX(Reference!$B$6:$B$11,MIN(5,MATCH(MAX(Reference!$A$6,MIN(Reference!$A$11,MIN($U159,120))),Reference!$A$6:$A$11,1)))+(MAX(Reference!$A$6,MIN(Reference!$A$11,MIN($U159,120)))-INDEX(Reference!$A$6:$A$11,MIN(5,MATCH(MAX(Reference!$A$6,MIN(Reference!$A$11,MIN($U159,120))),Reference!$A$6:$A$11,1))))*(INDEX(Reference!$B$6:$B$11,MIN(5,MATCH(MAX(Reference!$A$6,MIN(Reference!$A$11,MIN($U159,120))),Reference!$A$6:$A$11,1))+1)-INDEX(Reference!$B$6:$B$11,MIN(5,MATCH(MAX(Reference!$A$6,MIN(Reference!$A$11,MIN($U159,120))),Reference!$A$6:$A$11,1))))/(INDEX(Reference!$A$6:$A$11,MIN(5,MATCH(MAX(Reference!$A$6,MIN(Reference!$A$11,MIN($U159,120))),Reference!$A$6:$A$11,1))+1)-INDEX(Reference!$A$6:$A$11,MIN(5,MATCH(MAX(Reference!$A$6,MIN(Reference!$A$11,MIN($U159,120))),Reference!$A$6:$A$11,1))))),0)+IF(3&lt;=$AL159,($AL159-3+3)*(INDEX(Reference!$B$6:$B$11,MIN(5,MATCH(MAX(Reference!$A$6,MIN(Reference!$A$11,MIN($U159,150))),Reference!$A$6:$A$11,1)))+(MAX(Reference!$A$6,MIN(Reference!$A$11,MIN($U159,150)))-INDEX(Reference!$A$6:$A$11,MIN(5,MATCH(MAX(Reference!$A$6,MIN(Reference!$A$11,MIN($U159,150))),Reference!$A$6:$A$11,1))))*(INDEX(Reference!$B$6:$B$11,MIN(5,MATCH(MAX(Reference!$A$6,MIN(Reference!$A$11,MIN($U159,150))),Reference!$A$6:$A$11,1))+1)-INDEX(Reference!$B$6:$B$11,MIN(5,MATCH(MAX(Reference!$A$6,MIN(Reference!$A$11,MIN($U159,150))),Reference!$A$6:$A$11,1))))/(INDEX(Reference!$A$6:$A$11,MIN(5,MATCH(MAX(Reference!$A$6,MIN(Reference!$A$11,MIN($U159,150))),Reference!$A$6:$A$11,1))+1)-INDEX(Reference!$A$6:$A$11,MIN(5,MATCH(MAX(Reference!$A$6,MIN(Reference!$A$11,MIN($U159,150))),Reference!$A$6:$A$11,1))))),0)+IF(4&lt;=$AL159,($AL159-4+3)*(INDEX(Reference!$B$6:$B$11,MIN(5,MATCH(MAX(Reference!$A$6,MIN(Reference!$A$11,MIN($U159,180))),Reference!$A$6:$A$11,1)))+(MAX(Reference!$A$6,MIN(Reference!$A$11,MIN($U159,180)))-INDEX(Reference!$A$6:$A$11,MIN(5,MATCH(MAX(Reference!$A$6,MIN(Reference!$A$11,MIN($U159,180))),Reference!$A$6:$A$11,1))))*(INDEX(Reference!$B$6:$B$11,MIN(5,MATCH(MAX(Reference!$A$6,MIN(Reference!$A$11,MIN($U159,180))),Reference!$A$6:$A$11,1))+1)-INDEX(Reference!$B$6:$B$11,MIN(5,MATCH(MAX(Reference!$A$6,MIN(Reference!$A$11,MIN($U159,180))),Reference!$A$6:$A$11,1))))/(INDEX(Reference!$A$6:$A$11,MIN(5,MATCH(MAX(Reference!$A$6,MIN(Reference!$A$11,MIN($U159,180))),Reference!$A$6:$A$11,1))+1)-INDEX(Reference!$A$6:$A$11,MIN(5,MATCH(MAX(Reference!$A$6,MIN(Reference!$A$11,MIN($U159,180))),Reference!$A$6:$A$11,1))))),0)+IF(5&lt;=$AL159,($AL159-5+3)*(INDEX(Reference!$B$6:$B$11,MIN(5,MATCH(MAX(Reference!$A$6,MIN(Reference!$A$11,MIN($U159,210))),Reference!$A$6:$A$11,1)))+(MAX(Reference!$A$6,MIN(Reference!$A$11,MIN($U159,210)))-INDEX(Reference!$A$6:$A$11,MIN(5,MATCH(MAX(Reference!$A$6,MIN(Reference!$A$11,MIN($U159,210))),Reference!$A$6:$A$11,1))))*(INDEX(Reference!$B$6:$B$11,MIN(5,MATCH(MAX(Reference!$A$6,MIN(Reference!$A$11,MIN($U159,210))),Reference!$A$6:$A$11,1))+1)-INDEX(Reference!$B$6:$B$11,MIN(5,MATCH(MAX(Reference!$A$6,MIN(Reference!$A$11,MIN($U159,210))),Reference!$A$6:$A$11,1))))/(INDEX(Reference!$A$6:$A$11,MIN(5,MATCH(MAX(Reference!$A$6,MIN(Reference!$A$11,MIN($U159,210))),Reference!$A$6:$A$11,1))+1)-INDEX(Reference!$A$6:$A$11,MIN(5,MATCH(MAX(Reference!$A$6,MIN(Reference!$A$11,MIN($U159,210))),Reference!$A$6:$A$11,1))))),0)+IF(6&lt;=$AL159,($AL159-6+3)*(INDEX(Reference!$B$6:$B$11,MIN(5,MATCH(MAX(Reference!$A$6,MIN(Reference!$A$11,MIN($U159,240))),Reference!$A$6:$A$11,1)))+(MAX(Reference!$A$6,MIN(Reference!$A$11,MIN($U159,240)))-INDEX(Reference!$A$6:$A$11,MIN(5,MATCH(MAX(Reference!$A$6,MIN(Reference!$A$11,MIN($U159,240))),Reference!$A$6:$A$11,1))))*(INDEX(Reference!$B$6:$B$11,MIN(5,MATCH(MAX(Reference!$A$6,MIN(Reference!$A$11,MIN($U159,240))),Reference!$A$6:$A$11,1))+1)-INDEX(Reference!$B$6:$B$11,MIN(5,MATCH(MAX(Reference!$A$6,MIN(Reference!$A$11,MIN($U159,240))),Reference!$A$6:$A$11,1))))/(INDEX(Reference!$A$6:$A$11,MIN(5,MATCH(MAX(Reference!$A$6,MIN(Reference!$A$11,MIN($U159,240))),Reference!$A$6:$A$11,1))+1)-INDEX(Reference!$A$6:$A$11,MIN(5,MATCH(MAX(Reference!$A$6,MIN(Reference!$A$11,MIN($U159,240))),Reference!$A$6:$A$11,1))))),0)+IF(7&lt;=$AL159,($AL159-7+3)*(INDEX(Reference!$B$6:$B$11,MIN(5,MATCH(MAX(Reference!$A$6,MIN(Reference!$A$11,MIN($U159,270))),Reference!$A$6:$A$11,1)))+(MAX(Reference!$A$6,MIN(Reference!$A$11,MIN($U159,270)))-INDEX(Reference!$A$6:$A$11,MIN(5,MATCH(MAX(Reference!$A$6,MIN(Reference!$A$11,MIN($U159,270))),Reference!$A$6:$A$11,1))))*(INDEX(Reference!$B$6:$B$11,MIN(5,MATCH(MAX(Reference!$A$6,MIN(Reference!$A$11,MIN($U159,270))),Reference!$A$6:$A$11,1))+1)-INDEX(Reference!$B$6:$B$11,MIN(5,MATCH(MAX(Reference!$A$6,MIN(Reference!$A$11,MIN($U159,270))),Reference!$A$6:$A$11,1))))/(INDEX(Reference!$A$6:$A$11,MIN(5,MATCH(MAX(Reference!$A$6,MIN(Reference!$A$11,MIN($U159,270))),Reference!$A$6:$A$11,1))+1)-INDEX(Reference!$A$6:$A$11,MIN(5,MATCH(MAX(Reference!$A$6,MIN(Reference!$A$11,MIN($U159,270))),Reference!$A$6:$A$11,1))))),0)+IF(8&lt;=$AL159,($AL159-8+3)*(INDEX(Reference!$B$6:$B$11,MIN(5,MATCH(MAX(Reference!$A$6,MIN(Reference!$A$11,MIN($U159,300))),Reference!$A$6:$A$11,1)))+(MAX(Reference!$A$6,MIN(Reference!$A$11,MIN($U159,300)))-INDEX(Reference!$A$6:$A$11,MIN(5,MATCH(MAX(Reference!$A$6,MIN(Reference!$A$11,MIN($U159,300))),Reference!$A$6:$A$11,1))))*(INDEX(Reference!$B$6:$B$11,MIN(5,MATCH(MAX(Reference!$A$6,MIN(Reference!$A$11,MIN($U159,300))),Reference!$A$6:$A$11,1))+1)-INDEX(Reference!$B$6:$B$11,MIN(5,MATCH(MAX(Reference!$A$6,MIN(Reference!$A$11,MIN($U159,300))),Reference!$A$6:$A$11,1))))/(INDEX(Reference!$A$6:$A$11,MIN(5,MATCH(MAX(Reference!$A$6,MIN(Reference!$A$11,MIN($U159,300))),Reference!$A$6:$A$11,1))+1)-INDEX(Reference!$A$6:$A$11,MIN(5,MATCH(MAX(Reference!$A$6,MIN(Reference!$A$11,MIN($U159,300))),Reference!$A$6:$A$11,1))))),0))/($AL159*($AL159+5)/2)),$AN159))</f>
        <v>0</v>
      </c>
      <c r="AN159" s="32">
        <f>IF($U159="",0,(INDEX(Reference!$B$6:$B$11,MIN(5,MATCH(MAX(Reference!$A$6,MIN(Reference!$A$11,$U159)),Reference!$A$6:$A$11,1)))+(MAX(Reference!$A$6,MIN(Reference!$A$11,$U159))-INDEX(Reference!$A$6:$A$11,MIN(5,MATCH(MAX(Reference!$A$6,MIN(Reference!$A$11,$U159)),Reference!$A$6:$A$11,1))))*(INDEX(Reference!$B$6:$B$11,MIN(5,MATCH(MAX(Reference!$A$6,MIN(Reference!$A$11,$U159)),Reference!$A$6:$A$11,1))+1)-INDEX(Reference!$B$6:$B$11,MIN(5,MATCH(MAX(Reference!$A$6,MIN(Reference!$A$11,$U159)),Reference!$A$6:$A$11,1))))/(INDEX(Reference!$A$6:$A$11,MIN(5,MATCH(MAX(Reference!$A$6,MIN(Reference!$A$11,$U159)),Reference!$A$6:$A$11,1))+1)-INDEX(Reference!$A$6:$A$11,MIN(5,MATCH(MAX(Reference!$A$6,MIN(Reference!$A$11,$U159)),Reference!$A$6:$A$11,1))))))</f>
        <v>0</v>
      </c>
      <c r="AO159" s="37"/>
      <c r="AP159" s="37"/>
      <c r="AQ159" s="37"/>
    </row>
    <row r="160" spans="1:43" x14ac:dyDescent="0.3">
      <c r="A160" s="48" t="str">
        <f t="shared" si="80"/>
        <v/>
      </c>
      <c r="B160" s="32" t="str">
        <f t="shared" si="81"/>
        <v/>
      </c>
      <c r="C160" s="32" t="str">
        <f t="shared" si="82"/>
        <v/>
      </c>
      <c r="D160" s="32" t="str">
        <f t="shared" si="83"/>
        <v/>
      </c>
      <c r="E160" s="32" t="str">
        <f t="shared" si="84"/>
        <v/>
      </c>
      <c r="F160" s="32" t="str">
        <f t="shared" si="85"/>
        <v/>
      </c>
      <c r="G160" s="47" t="str">
        <f t="shared" si="86"/>
        <v/>
      </c>
      <c r="H160" s="30" t="str">
        <f t="shared" si="87"/>
        <v/>
      </c>
      <c r="I160" s="46" t="str">
        <f>IF($A160="","",IF(AND($L160&lt;27,$K$12=0),"Building",IFERROR(((SUM($H$154:$H160)+$K$12*IF($L160&lt;6,SUMIFS('Throw Log'!$Q$5:$Q$300,'Throw Log'!$B$5:$B$300,$D$4,'Throw Log'!$A$5:$A$300,"&gt;="&amp;($D$6+$L160-6),'Throw Log'!$A$5:$A$300,"&lt;="&amp;($D$6-1)),0))/7)/((SUM($H$133:$H160)+$K$12*IF($L160&lt;27,SUMIFS('Throw Log'!$Q$5:$Q$300,'Throw Log'!$B$5:$B$300,$D$4,'Throw Log'!$A$5:$A$300,"&gt;="&amp;($D$6+$L160-27),'Throw Log'!$A$5:$A$300,"&lt;="&amp;($D$6-1)),0))/28),"")))</f>
        <v/>
      </c>
      <c r="J160" s="37"/>
      <c r="K160" s="37"/>
      <c r="L160" s="32">
        <v>117</v>
      </c>
      <c r="M160" s="32">
        <f t="shared" si="88"/>
        <v>17</v>
      </c>
      <c r="N160" s="32">
        <f t="shared" si="89"/>
        <v>5</v>
      </c>
      <c r="O160" s="32">
        <f t="shared" si="90"/>
        <v>1</v>
      </c>
      <c r="P160" s="32" t="str">
        <f>IF(OR($A160="",N($C160)&lt;=7),"",$G$6*$G$9^($M160-1)*IF(AND(MOD($M160,Reference!$B$99)=0,$M160&lt;=$G$5-2),Reference!$B$100,1))</f>
        <v/>
      </c>
      <c r="Q160" s="32" t="str">
        <f>IF($P160="","",IF(SUM($AK$155:$AK$161)=0,0,$P160*INDEX(Reference!$B$108:$B$114,$N160+1)/SUM($AK$155:$AK$161)))</f>
        <v/>
      </c>
      <c r="R160" s="32">
        <f t="shared" si="91"/>
        <v>180</v>
      </c>
      <c r="S160" s="32">
        <f t="shared" si="92"/>
        <v>150</v>
      </c>
      <c r="T160" s="32" t="str">
        <f>IF($A160="","",IF($C160=0,"Bullpen",IF(OR($C160=7,$C160=1,$C160=5),"Recovery/Easy Catch",IF($C160=6,"Compression/Pulldowns",IF(OR($C160=4,$C160=2),"Long Toss",IF($C160=3,"No Throw",IF($N160=2,"No Throw",IF($N160=6,IF($O160&lt;Reference!$B$104,"No Throw","Recovery/Easy Catch"),IF(OR($N160=0,$N160=4),"Recovery/Easy Catch",IF($N160=1,IF($R160&gt;75,"Long Toss","Recovery/Easy Catch"),IF($N160=3,IF($O160&lt;0.5,IF($S160&gt;75,"Long Toss","Recovery/Easy Catch"),"Compression/Pulldowns"),IF($S160&gt;75,"Long Toss","Recovery/Easy Catch"))))))))))))</f>
        <v/>
      </c>
      <c r="U160" s="32" t="str">
        <f t="shared" si="93"/>
        <v/>
      </c>
      <c r="V160" s="32" t="str">
        <f t="shared" si="94"/>
        <v/>
      </c>
      <c r="W160" s="32" t="str">
        <f t="shared" si="95"/>
        <v/>
      </c>
      <c r="X160" s="32">
        <f t="shared" si="96"/>
        <v>0</v>
      </c>
      <c r="Y160" s="32" t="str">
        <f t="shared" si="97"/>
        <v/>
      </c>
      <c r="Z160" s="32" t="str">
        <f t="shared" si="98"/>
        <v/>
      </c>
      <c r="AA160" s="32" t="str">
        <f t="shared" si="99"/>
        <v/>
      </c>
      <c r="AB160" s="32" t="str">
        <f>IF($A160="","",IF($T160="No Throw",0,IF($K160&lt;&gt;"",$K160,IF($AA160&lt;&gt;"",ROUND($AA160*$D$12*IF($C160=0,1,$G$10),0),MIN(IF($T160="Recovery/Easy Catch",Reference!$B$103,IF($T160="Long Toss",Reference!$B$106,Reference!$B$102)),MAX(Reference!$B$101,ROUND(MAX(0,$Q160-$AE160)/$AF160,0)))))))</f>
        <v/>
      </c>
      <c r="AC160" s="32">
        <f t="shared" si="100"/>
        <v>0</v>
      </c>
      <c r="AD160" s="32" t="b">
        <f t="shared" si="101"/>
        <v>1</v>
      </c>
      <c r="AE160" s="32">
        <f>IF($X160=0,0,$X160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160+$Z160)/2,0),Reference!$A$17:$B$20,2,TRUE()))</f>
        <v>0</v>
      </c>
      <c r="AF160" s="32">
        <f>IF(OR($A160="",$U160="",$T160="No Throw"),0,$AM160*VLOOKUP(MAX(($V160+$W160)/2,0),Reference!$A$17:$B$20,2,TRUE()))</f>
        <v>0</v>
      </c>
      <c r="AG160" s="32">
        <f>IF($AC160=0,0,$AC160*INDEX(Reference!$B$61:$B$62,MATCH("Bullpen",Reference!$A$61:$A$62,0))*VLOOKUP(MAX($D$5-($D$9+$E$9)/2,0),Reference!$A$17:$B$20,2,TRUE()))</f>
        <v>0</v>
      </c>
      <c r="AH160" s="32" t="e">
        <f t="shared" si="102"/>
        <v>#N/A</v>
      </c>
      <c r="AI160" s="32" t="e">
        <f>IF($A160="",NA(),Reference!$A$25)</f>
        <v>#N/A</v>
      </c>
      <c r="AJ160" s="32" t="e">
        <f t="shared" si="103"/>
        <v>#N/A</v>
      </c>
      <c r="AK160" s="32">
        <f>IF(OR($A160="",N($C160)&lt;=7,$T160="No Throw",$J160="x"),0,INDEX(Reference!$B$108:$B$114,$N160+1))</f>
        <v>0</v>
      </c>
      <c r="AL160" s="32">
        <f t="shared" si="104"/>
        <v>1</v>
      </c>
      <c r="AM160" s="32">
        <f>IF($U160="",0,IF($AL160&gt;1,((IF(1&lt;=$AL160,($AL160-1+3)*(INDEX(Reference!$B$6:$B$11,MIN(5,MATCH(MAX(Reference!$A$6,MIN(Reference!$A$11,MIN($U160,90))),Reference!$A$6:$A$11,1)))+(MAX(Reference!$A$6,MIN(Reference!$A$11,MIN($U160,90)))-INDEX(Reference!$A$6:$A$11,MIN(5,MATCH(MAX(Reference!$A$6,MIN(Reference!$A$11,MIN($U160,90))),Reference!$A$6:$A$11,1))))*(INDEX(Reference!$B$6:$B$11,MIN(5,MATCH(MAX(Reference!$A$6,MIN(Reference!$A$11,MIN($U160,90))),Reference!$A$6:$A$11,1))+1)-INDEX(Reference!$B$6:$B$11,MIN(5,MATCH(MAX(Reference!$A$6,MIN(Reference!$A$11,MIN($U160,90))),Reference!$A$6:$A$11,1))))/(INDEX(Reference!$A$6:$A$11,MIN(5,MATCH(MAX(Reference!$A$6,MIN(Reference!$A$11,MIN($U160,90))),Reference!$A$6:$A$11,1))+1)-INDEX(Reference!$A$6:$A$11,MIN(5,MATCH(MAX(Reference!$A$6,MIN(Reference!$A$11,MIN($U160,90))),Reference!$A$6:$A$11,1))))),0)+IF(2&lt;=$AL160,($AL160-2+3)*(INDEX(Reference!$B$6:$B$11,MIN(5,MATCH(MAX(Reference!$A$6,MIN(Reference!$A$11,MIN($U160,120))),Reference!$A$6:$A$11,1)))+(MAX(Reference!$A$6,MIN(Reference!$A$11,MIN($U160,120)))-INDEX(Reference!$A$6:$A$11,MIN(5,MATCH(MAX(Reference!$A$6,MIN(Reference!$A$11,MIN($U160,120))),Reference!$A$6:$A$11,1))))*(INDEX(Reference!$B$6:$B$11,MIN(5,MATCH(MAX(Reference!$A$6,MIN(Reference!$A$11,MIN($U160,120))),Reference!$A$6:$A$11,1))+1)-INDEX(Reference!$B$6:$B$11,MIN(5,MATCH(MAX(Reference!$A$6,MIN(Reference!$A$11,MIN($U160,120))),Reference!$A$6:$A$11,1))))/(INDEX(Reference!$A$6:$A$11,MIN(5,MATCH(MAX(Reference!$A$6,MIN(Reference!$A$11,MIN($U160,120))),Reference!$A$6:$A$11,1))+1)-INDEX(Reference!$A$6:$A$11,MIN(5,MATCH(MAX(Reference!$A$6,MIN(Reference!$A$11,MIN($U160,120))),Reference!$A$6:$A$11,1))))),0)+IF(3&lt;=$AL160,($AL160-3+3)*(INDEX(Reference!$B$6:$B$11,MIN(5,MATCH(MAX(Reference!$A$6,MIN(Reference!$A$11,MIN($U160,150))),Reference!$A$6:$A$11,1)))+(MAX(Reference!$A$6,MIN(Reference!$A$11,MIN($U160,150)))-INDEX(Reference!$A$6:$A$11,MIN(5,MATCH(MAX(Reference!$A$6,MIN(Reference!$A$11,MIN($U160,150))),Reference!$A$6:$A$11,1))))*(INDEX(Reference!$B$6:$B$11,MIN(5,MATCH(MAX(Reference!$A$6,MIN(Reference!$A$11,MIN($U160,150))),Reference!$A$6:$A$11,1))+1)-INDEX(Reference!$B$6:$B$11,MIN(5,MATCH(MAX(Reference!$A$6,MIN(Reference!$A$11,MIN($U160,150))),Reference!$A$6:$A$11,1))))/(INDEX(Reference!$A$6:$A$11,MIN(5,MATCH(MAX(Reference!$A$6,MIN(Reference!$A$11,MIN($U160,150))),Reference!$A$6:$A$11,1))+1)-INDEX(Reference!$A$6:$A$11,MIN(5,MATCH(MAX(Reference!$A$6,MIN(Reference!$A$11,MIN($U160,150))),Reference!$A$6:$A$11,1))))),0)+IF(4&lt;=$AL160,($AL160-4+3)*(INDEX(Reference!$B$6:$B$11,MIN(5,MATCH(MAX(Reference!$A$6,MIN(Reference!$A$11,MIN($U160,180))),Reference!$A$6:$A$11,1)))+(MAX(Reference!$A$6,MIN(Reference!$A$11,MIN($U160,180)))-INDEX(Reference!$A$6:$A$11,MIN(5,MATCH(MAX(Reference!$A$6,MIN(Reference!$A$11,MIN($U160,180))),Reference!$A$6:$A$11,1))))*(INDEX(Reference!$B$6:$B$11,MIN(5,MATCH(MAX(Reference!$A$6,MIN(Reference!$A$11,MIN($U160,180))),Reference!$A$6:$A$11,1))+1)-INDEX(Reference!$B$6:$B$11,MIN(5,MATCH(MAX(Reference!$A$6,MIN(Reference!$A$11,MIN($U160,180))),Reference!$A$6:$A$11,1))))/(INDEX(Reference!$A$6:$A$11,MIN(5,MATCH(MAX(Reference!$A$6,MIN(Reference!$A$11,MIN($U160,180))),Reference!$A$6:$A$11,1))+1)-INDEX(Reference!$A$6:$A$11,MIN(5,MATCH(MAX(Reference!$A$6,MIN(Reference!$A$11,MIN($U160,180))),Reference!$A$6:$A$11,1))))),0)+IF(5&lt;=$AL160,($AL160-5+3)*(INDEX(Reference!$B$6:$B$11,MIN(5,MATCH(MAX(Reference!$A$6,MIN(Reference!$A$11,MIN($U160,210))),Reference!$A$6:$A$11,1)))+(MAX(Reference!$A$6,MIN(Reference!$A$11,MIN($U160,210)))-INDEX(Reference!$A$6:$A$11,MIN(5,MATCH(MAX(Reference!$A$6,MIN(Reference!$A$11,MIN($U160,210))),Reference!$A$6:$A$11,1))))*(INDEX(Reference!$B$6:$B$11,MIN(5,MATCH(MAX(Reference!$A$6,MIN(Reference!$A$11,MIN($U160,210))),Reference!$A$6:$A$11,1))+1)-INDEX(Reference!$B$6:$B$11,MIN(5,MATCH(MAX(Reference!$A$6,MIN(Reference!$A$11,MIN($U160,210))),Reference!$A$6:$A$11,1))))/(INDEX(Reference!$A$6:$A$11,MIN(5,MATCH(MAX(Reference!$A$6,MIN(Reference!$A$11,MIN($U160,210))),Reference!$A$6:$A$11,1))+1)-INDEX(Reference!$A$6:$A$11,MIN(5,MATCH(MAX(Reference!$A$6,MIN(Reference!$A$11,MIN($U160,210))),Reference!$A$6:$A$11,1))))),0)+IF(6&lt;=$AL160,($AL160-6+3)*(INDEX(Reference!$B$6:$B$11,MIN(5,MATCH(MAX(Reference!$A$6,MIN(Reference!$A$11,MIN($U160,240))),Reference!$A$6:$A$11,1)))+(MAX(Reference!$A$6,MIN(Reference!$A$11,MIN($U160,240)))-INDEX(Reference!$A$6:$A$11,MIN(5,MATCH(MAX(Reference!$A$6,MIN(Reference!$A$11,MIN($U160,240))),Reference!$A$6:$A$11,1))))*(INDEX(Reference!$B$6:$B$11,MIN(5,MATCH(MAX(Reference!$A$6,MIN(Reference!$A$11,MIN($U160,240))),Reference!$A$6:$A$11,1))+1)-INDEX(Reference!$B$6:$B$11,MIN(5,MATCH(MAX(Reference!$A$6,MIN(Reference!$A$11,MIN($U160,240))),Reference!$A$6:$A$11,1))))/(INDEX(Reference!$A$6:$A$11,MIN(5,MATCH(MAX(Reference!$A$6,MIN(Reference!$A$11,MIN($U160,240))),Reference!$A$6:$A$11,1))+1)-INDEX(Reference!$A$6:$A$11,MIN(5,MATCH(MAX(Reference!$A$6,MIN(Reference!$A$11,MIN($U160,240))),Reference!$A$6:$A$11,1))))),0)+IF(7&lt;=$AL160,($AL160-7+3)*(INDEX(Reference!$B$6:$B$11,MIN(5,MATCH(MAX(Reference!$A$6,MIN(Reference!$A$11,MIN($U160,270))),Reference!$A$6:$A$11,1)))+(MAX(Reference!$A$6,MIN(Reference!$A$11,MIN($U160,270)))-INDEX(Reference!$A$6:$A$11,MIN(5,MATCH(MAX(Reference!$A$6,MIN(Reference!$A$11,MIN($U160,270))),Reference!$A$6:$A$11,1))))*(INDEX(Reference!$B$6:$B$11,MIN(5,MATCH(MAX(Reference!$A$6,MIN(Reference!$A$11,MIN($U160,270))),Reference!$A$6:$A$11,1))+1)-INDEX(Reference!$B$6:$B$11,MIN(5,MATCH(MAX(Reference!$A$6,MIN(Reference!$A$11,MIN($U160,270))),Reference!$A$6:$A$11,1))))/(INDEX(Reference!$A$6:$A$11,MIN(5,MATCH(MAX(Reference!$A$6,MIN(Reference!$A$11,MIN($U160,270))),Reference!$A$6:$A$11,1))+1)-INDEX(Reference!$A$6:$A$11,MIN(5,MATCH(MAX(Reference!$A$6,MIN(Reference!$A$11,MIN($U160,270))),Reference!$A$6:$A$11,1))))),0)+IF(8&lt;=$AL160,($AL160-8+3)*(INDEX(Reference!$B$6:$B$11,MIN(5,MATCH(MAX(Reference!$A$6,MIN(Reference!$A$11,MIN($U160,300))),Reference!$A$6:$A$11,1)))+(MAX(Reference!$A$6,MIN(Reference!$A$11,MIN($U160,300)))-INDEX(Reference!$A$6:$A$11,MIN(5,MATCH(MAX(Reference!$A$6,MIN(Reference!$A$11,MIN($U160,300))),Reference!$A$6:$A$11,1))))*(INDEX(Reference!$B$6:$B$11,MIN(5,MATCH(MAX(Reference!$A$6,MIN(Reference!$A$11,MIN($U160,300))),Reference!$A$6:$A$11,1))+1)-INDEX(Reference!$B$6:$B$11,MIN(5,MATCH(MAX(Reference!$A$6,MIN(Reference!$A$11,MIN($U160,300))),Reference!$A$6:$A$11,1))))/(INDEX(Reference!$A$6:$A$11,MIN(5,MATCH(MAX(Reference!$A$6,MIN(Reference!$A$11,MIN($U160,300))),Reference!$A$6:$A$11,1))+1)-INDEX(Reference!$A$6:$A$11,MIN(5,MATCH(MAX(Reference!$A$6,MIN(Reference!$A$11,MIN($U160,300))),Reference!$A$6:$A$11,1))))),0))/($AL160*($AL160+5)/2)),$AN160))</f>
        <v>0</v>
      </c>
      <c r="AN160" s="32">
        <f>IF($U160="",0,(INDEX(Reference!$B$6:$B$11,MIN(5,MATCH(MAX(Reference!$A$6,MIN(Reference!$A$11,$U160)),Reference!$A$6:$A$11,1)))+(MAX(Reference!$A$6,MIN(Reference!$A$11,$U160))-INDEX(Reference!$A$6:$A$11,MIN(5,MATCH(MAX(Reference!$A$6,MIN(Reference!$A$11,$U160)),Reference!$A$6:$A$11,1))))*(INDEX(Reference!$B$6:$B$11,MIN(5,MATCH(MAX(Reference!$A$6,MIN(Reference!$A$11,$U160)),Reference!$A$6:$A$11,1))+1)-INDEX(Reference!$B$6:$B$11,MIN(5,MATCH(MAX(Reference!$A$6,MIN(Reference!$A$11,$U160)),Reference!$A$6:$A$11,1))))/(INDEX(Reference!$A$6:$A$11,MIN(5,MATCH(MAX(Reference!$A$6,MIN(Reference!$A$11,$U160)),Reference!$A$6:$A$11,1))+1)-INDEX(Reference!$A$6:$A$11,MIN(5,MATCH(MAX(Reference!$A$6,MIN(Reference!$A$11,$U160)),Reference!$A$6:$A$11,1))))))</f>
        <v>0</v>
      </c>
      <c r="AO160" s="37"/>
      <c r="AP160" s="37"/>
      <c r="AQ160" s="37"/>
    </row>
    <row r="161" spans="1:43" x14ac:dyDescent="0.3">
      <c r="A161" s="48" t="str">
        <f t="shared" si="80"/>
        <v/>
      </c>
      <c r="B161" s="32" t="str">
        <f t="shared" si="81"/>
        <v/>
      </c>
      <c r="C161" s="32" t="str">
        <f t="shared" si="82"/>
        <v/>
      </c>
      <c r="D161" s="32" t="str">
        <f t="shared" si="83"/>
        <v/>
      </c>
      <c r="E161" s="32" t="str">
        <f t="shared" si="84"/>
        <v/>
      </c>
      <c r="F161" s="32" t="str">
        <f t="shared" si="85"/>
        <v/>
      </c>
      <c r="G161" s="47" t="str">
        <f t="shared" si="86"/>
        <v/>
      </c>
      <c r="H161" s="30" t="str">
        <f t="shared" si="87"/>
        <v/>
      </c>
      <c r="I161" s="46" t="str">
        <f>IF($A161="","",IF(AND($L161&lt;27,$K$12=0),"Building",IFERROR(((SUM($H$155:$H161)+$K$12*IF($L161&lt;6,SUMIFS('Throw Log'!$Q$5:$Q$300,'Throw Log'!$B$5:$B$300,$D$4,'Throw Log'!$A$5:$A$300,"&gt;="&amp;($D$6+$L161-6),'Throw Log'!$A$5:$A$300,"&lt;="&amp;($D$6-1)),0))/7)/((SUM($H$134:$H161)+$K$12*IF($L161&lt;27,SUMIFS('Throw Log'!$Q$5:$Q$300,'Throw Log'!$B$5:$B$300,$D$4,'Throw Log'!$A$5:$A$300,"&gt;="&amp;($D$6+$L161-27),'Throw Log'!$A$5:$A$300,"&lt;="&amp;($D$6-1)),0))/28),"")))</f>
        <v/>
      </c>
      <c r="J161" s="37"/>
      <c r="K161" s="37"/>
      <c r="L161" s="32">
        <v>118</v>
      </c>
      <c r="M161" s="32">
        <f t="shared" si="88"/>
        <v>17</v>
      </c>
      <c r="N161" s="32">
        <f t="shared" si="89"/>
        <v>6</v>
      </c>
      <c r="O161" s="32">
        <f t="shared" si="90"/>
        <v>1</v>
      </c>
      <c r="P161" s="32" t="str">
        <f>IF(OR($A161="",N($C161)&lt;=7),"",$G$6*$G$9^($M161-1)*IF(AND(MOD($M161,Reference!$B$99)=0,$M161&lt;=$G$5-2),Reference!$B$100,1))</f>
        <v/>
      </c>
      <c r="Q161" s="32" t="str">
        <f>IF($P161="","",IF(SUM($AK$155:$AK$161)=0,0,$P161*INDEX(Reference!$B$108:$B$114,$N161+1)/SUM($AK$155:$AK$161)))</f>
        <v/>
      </c>
      <c r="R161" s="32">
        <f t="shared" si="91"/>
        <v>180</v>
      </c>
      <c r="S161" s="32">
        <f t="shared" si="92"/>
        <v>150</v>
      </c>
      <c r="T161" s="32" t="str">
        <f>IF($A161="","",IF($C161=0,"Bullpen",IF(OR($C161=7,$C161=1,$C161=5),"Recovery/Easy Catch",IF($C161=6,"Compression/Pulldowns",IF(OR($C161=4,$C161=2),"Long Toss",IF($C161=3,"No Throw",IF($N161=2,"No Throw",IF($N161=6,IF($O161&lt;Reference!$B$104,"No Throw","Recovery/Easy Catch"),IF(OR($N161=0,$N161=4),"Recovery/Easy Catch",IF($N161=1,IF($R161&gt;75,"Long Toss","Recovery/Easy Catch"),IF($N161=3,IF($O161&lt;0.5,IF($S161&gt;75,"Long Toss","Recovery/Easy Catch"),"Compression/Pulldowns"),IF($S161&gt;75,"Long Toss","Recovery/Easy Catch"))))))))))))</f>
        <v/>
      </c>
      <c r="U161" s="32" t="str">
        <f t="shared" si="93"/>
        <v/>
      </c>
      <c r="V161" s="32" t="str">
        <f t="shared" si="94"/>
        <v/>
      </c>
      <c r="W161" s="32" t="str">
        <f t="shared" si="95"/>
        <v/>
      </c>
      <c r="X161" s="32">
        <f t="shared" si="96"/>
        <v>0</v>
      </c>
      <c r="Y161" s="32" t="str">
        <f t="shared" si="97"/>
        <v/>
      </c>
      <c r="Z161" s="32" t="str">
        <f t="shared" si="98"/>
        <v/>
      </c>
      <c r="AA161" s="32" t="str">
        <f t="shared" si="99"/>
        <v/>
      </c>
      <c r="AB161" s="32" t="str">
        <f>IF($A161="","",IF($T161="No Throw",0,IF($K161&lt;&gt;"",$K161,IF($AA161&lt;&gt;"",ROUND($AA161*$D$12*IF($C161=0,1,$G$10),0),MIN(IF($T161="Recovery/Easy Catch",Reference!$B$103,IF($T161="Long Toss",Reference!$B$106,Reference!$B$102)),MAX(Reference!$B$101,ROUND(MAX(0,$Q161-$AE161)/$AF161,0)))))))</f>
        <v/>
      </c>
      <c r="AC161" s="32">
        <f t="shared" si="100"/>
        <v>0</v>
      </c>
      <c r="AD161" s="32" t="b">
        <f t="shared" si="101"/>
        <v>1</v>
      </c>
      <c r="AE161" s="32">
        <f>IF($X161=0,0,$X161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161+$Z161)/2,0),Reference!$A$17:$B$20,2,TRUE()))</f>
        <v>0</v>
      </c>
      <c r="AF161" s="32">
        <f>IF(OR($A161="",$U161="",$T161="No Throw"),0,$AM161*VLOOKUP(MAX(($V161+$W161)/2,0),Reference!$A$17:$B$20,2,TRUE()))</f>
        <v>0</v>
      </c>
      <c r="AG161" s="32">
        <f>IF($AC161=0,0,$AC161*INDEX(Reference!$B$61:$B$62,MATCH("Bullpen",Reference!$A$61:$A$62,0))*VLOOKUP(MAX($D$5-($D$9+$E$9)/2,0),Reference!$A$17:$B$20,2,TRUE()))</f>
        <v>0</v>
      </c>
      <c r="AH161" s="32" t="e">
        <f t="shared" si="102"/>
        <v>#N/A</v>
      </c>
      <c r="AI161" s="32" t="e">
        <f>IF($A161="",NA(),Reference!$A$25)</f>
        <v>#N/A</v>
      </c>
      <c r="AJ161" s="32" t="e">
        <f t="shared" si="103"/>
        <v>#N/A</v>
      </c>
      <c r="AK161" s="32">
        <f>IF(OR($A161="",N($C161)&lt;=7,$T161="No Throw",$J161="x"),0,INDEX(Reference!$B$108:$B$114,$N161+1))</f>
        <v>0</v>
      </c>
      <c r="AL161" s="32">
        <f t="shared" si="104"/>
        <v>1</v>
      </c>
      <c r="AM161" s="32">
        <f>IF($U161="",0,IF($AL161&gt;1,((IF(1&lt;=$AL161,($AL161-1+3)*(INDEX(Reference!$B$6:$B$11,MIN(5,MATCH(MAX(Reference!$A$6,MIN(Reference!$A$11,MIN($U161,90))),Reference!$A$6:$A$11,1)))+(MAX(Reference!$A$6,MIN(Reference!$A$11,MIN($U161,90)))-INDEX(Reference!$A$6:$A$11,MIN(5,MATCH(MAX(Reference!$A$6,MIN(Reference!$A$11,MIN($U161,90))),Reference!$A$6:$A$11,1))))*(INDEX(Reference!$B$6:$B$11,MIN(5,MATCH(MAX(Reference!$A$6,MIN(Reference!$A$11,MIN($U161,90))),Reference!$A$6:$A$11,1))+1)-INDEX(Reference!$B$6:$B$11,MIN(5,MATCH(MAX(Reference!$A$6,MIN(Reference!$A$11,MIN($U161,90))),Reference!$A$6:$A$11,1))))/(INDEX(Reference!$A$6:$A$11,MIN(5,MATCH(MAX(Reference!$A$6,MIN(Reference!$A$11,MIN($U161,90))),Reference!$A$6:$A$11,1))+1)-INDEX(Reference!$A$6:$A$11,MIN(5,MATCH(MAX(Reference!$A$6,MIN(Reference!$A$11,MIN($U161,90))),Reference!$A$6:$A$11,1))))),0)+IF(2&lt;=$AL161,($AL161-2+3)*(INDEX(Reference!$B$6:$B$11,MIN(5,MATCH(MAX(Reference!$A$6,MIN(Reference!$A$11,MIN($U161,120))),Reference!$A$6:$A$11,1)))+(MAX(Reference!$A$6,MIN(Reference!$A$11,MIN($U161,120)))-INDEX(Reference!$A$6:$A$11,MIN(5,MATCH(MAX(Reference!$A$6,MIN(Reference!$A$11,MIN($U161,120))),Reference!$A$6:$A$11,1))))*(INDEX(Reference!$B$6:$B$11,MIN(5,MATCH(MAX(Reference!$A$6,MIN(Reference!$A$11,MIN($U161,120))),Reference!$A$6:$A$11,1))+1)-INDEX(Reference!$B$6:$B$11,MIN(5,MATCH(MAX(Reference!$A$6,MIN(Reference!$A$11,MIN($U161,120))),Reference!$A$6:$A$11,1))))/(INDEX(Reference!$A$6:$A$11,MIN(5,MATCH(MAX(Reference!$A$6,MIN(Reference!$A$11,MIN($U161,120))),Reference!$A$6:$A$11,1))+1)-INDEX(Reference!$A$6:$A$11,MIN(5,MATCH(MAX(Reference!$A$6,MIN(Reference!$A$11,MIN($U161,120))),Reference!$A$6:$A$11,1))))),0)+IF(3&lt;=$AL161,($AL161-3+3)*(INDEX(Reference!$B$6:$B$11,MIN(5,MATCH(MAX(Reference!$A$6,MIN(Reference!$A$11,MIN($U161,150))),Reference!$A$6:$A$11,1)))+(MAX(Reference!$A$6,MIN(Reference!$A$11,MIN($U161,150)))-INDEX(Reference!$A$6:$A$11,MIN(5,MATCH(MAX(Reference!$A$6,MIN(Reference!$A$11,MIN($U161,150))),Reference!$A$6:$A$11,1))))*(INDEX(Reference!$B$6:$B$11,MIN(5,MATCH(MAX(Reference!$A$6,MIN(Reference!$A$11,MIN($U161,150))),Reference!$A$6:$A$11,1))+1)-INDEX(Reference!$B$6:$B$11,MIN(5,MATCH(MAX(Reference!$A$6,MIN(Reference!$A$11,MIN($U161,150))),Reference!$A$6:$A$11,1))))/(INDEX(Reference!$A$6:$A$11,MIN(5,MATCH(MAX(Reference!$A$6,MIN(Reference!$A$11,MIN($U161,150))),Reference!$A$6:$A$11,1))+1)-INDEX(Reference!$A$6:$A$11,MIN(5,MATCH(MAX(Reference!$A$6,MIN(Reference!$A$11,MIN($U161,150))),Reference!$A$6:$A$11,1))))),0)+IF(4&lt;=$AL161,($AL161-4+3)*(INDEX(Reference!$B$6:$B$11,MIN(5,MATCH(MAX(Reference!$A$6,MIN(Reference!$A$11,MIN($U161,180))),Reference!$A$6:$A$11,1)))+(MAX(Reference!$A$6,MIN(Reference!$A$11,MIN($U161,180)))-INDEX(Reference!$A$6:$A$11,MIN(5,MATCH(MAX(Reference!$A$6,MIN(Reference!$A$11,MIN($U161,180))),Reference!$A$6:$A$11,1))))*(INDEX(Reference!$B$6:$B$11,MIN(5,MATCH(MAX(Reference!$A$6,MIN(Reference!$A$11,MIN($U161,180))),Reference!$A$6:$A$11,1))+1)-INDEX(Reference!$B$6:$B$11,MIN(5,MATCH(MAX(Reference!$A$6,MIN(Reference!$A$11,MIN($U161,180))),Reference!$A$6:$A$11,1))))/(INDEX(Reference!$A$6:$A$11,MIN(5,MATCH(MAX(Reference!$A$6,MIN(Reference!$A$11,MIN($U161,180))),Reference!$A$6:$A$11,1))+1)-INDEX(Reference!$A$6:$A$11,MIN(5,MATCH(MAX(Reference!$A$6,MIN(Reference!$A$11,MIN($U161,180))),Reference!$A$6:$A$11,1))))),0)+IF(5&lt;=$AL161,($AL161-5+3)*(INDEX(Reference!$B$6:$B$11,MIN(5,MATCH(MAX(Reference!$A$6,MIN(Reference!$A$11,MIN($U161,210))),Reference!$A$6:$A$11,1)))+(MAX(Reference!$A$6,MIN(Reference!$A$11,MIN($U161,210)))-INDEX(Reference!$A$6:$A$11,MIN(5,MATCH(MAX(Reference!$A$6,MIN(Reference!$A$11,MIN($U161,210))),Reference!$A$6:$A$11,1))))*(INDEX(Reference!$B$6:$B$11,MIN(5,MATCH(MAX(Reference!$A$6,MIN(Reference!$A$11,MIN($U161,210))),Reference!$A$6:$A$11,1))+1)-INDEX(Reference!$B$6:$B$11,MIN(5,MATCH(MAX(Reference!$A$6,MIN(Reference!$A$11,MIN($U161,210))),Reference!$A$6:$A$11,1))))/(INDEX(Reference!$A$6:$A$11,MIN(5,MATCH(MAX(Reference!$A$6,MIN(Reference!$A$11,MIN($U161,210))),Reference!$A$6:$A$11,1))+1)-INDEX(Reference!$A$6:$A$11,MIN(5,MATCH(MAX(Reference!$A$6,MIN(Reference!$A$11,MIN($U161,210))),Reference!$A$6:$A$11,1))))),0)+IF(6&lt;=$AL161,($AL161-6+3)*(INDEX(Reference!$B$6:$B$11,MIN(5,MATCH(MAX(Reference!$A$6,MIN(Reference!$A$11,MIN($U161,240))),Reference!$A$6:$A$11,1)))+(MAX(Reference!$A$6,MIN(Reference!$A$11,MIN($U161,240)))-INDEX(Reference!$A$6:$A$11,MIN(5,MATCH(MAX(Reference!$A$6,MIN(Reference!$A$11,MIN($U161,240))),Reference!$A$6:$A$11,1))))*(INDEX(Reference!$B$6:$B$11,MIN(5,MATCH(MAX(Reference!$A$6,MIN(Reference!$A$11,MIN($U161,240))),Reference!$A$6:$A$11,1))+1)-INDEX(Reference!$B$6:$B$11,MIN(5,MATCH(MAX(Reference!$A$6,MIN(Reference!$A$11,MIN($U161,240))),Reference!$A$6:$A$11,1))))/(INDEX(Reference!$A$6:$A$11,MIN(5,MATCH(MAX(Reference!$A$6,MIN(Reference!$A$11,MIN($U161,240))),Reference!$A$6:$A$11,1))+1)-INDEX(Reference!$A$6:$A$11,MIN(5,MATCH(MAX(Reference!$A$6,MIN(Reference!$A$11,MIN($U161,240))),Reference!$A$6:$A$11,1))))),0)+IF(7&lt;=$AL161,($AL161-7+3)*(INDEX(Reference!$B$6:$B$11,MIN(5,MATCH(MAX(Reference!$A$6,MIN(Reference!$A$11,MIN($U161,270))),Reference!$A$6:$A$11,1)))+(MAX(Reference!$A$6,MIN(Reference!$A$11,MIN($U161,270)))-INDEX(Reference!$A$6:$A$11,MIN(5,MATCH(MAX(Reference!$A$6,MIN(Reference!$A$11,MIN($U161,270))),Reference!$A$6:$A$11,1))))*(INDEX(Reference!$B$6:$B$11,MIN(5,MATCH(MAX(Reference!$A$6,MIN(Reference!$A$11,MIN($U161,270))),Reference!$A$6:$A$11,1))+1)-INDEX(Reference!$B$6:$B$11,MIN(5,MATCH(MAX(Reference!$A$6,MIN(Reference!$A$11,MIN($U161,270))),Reference!$A$6:$A$11,1))))/(INDEX(Reference!$A$6:$A$11,MIN(5,MATCH(MAX(Reference!$A$6,MIN(Reference!$A$11,MIN($U161,270))),Reference!$A$6:$A$11,1))+1)-INDEX(Reference!$A$6:$A$11,MIN(5,MATCH(MAX(Reference!$A$6,MIN(Reference!$A$11,MIN($U161,270))),Reference!$A$6:$A$11,1))))),0)+IF(8&lt;=$AL161,($AL161-8+3)*(INDEX(Reference!$B$6:$B$11,MIN(5,MATCH(MAX(Reference!$A$6,MIN(Reference!$A$11,MIN($U161,300))),Reference!$A$6:$A$11,1)))+(MAX(Reference!$A$6,MIN(Reference!$A$11,MIN($U161,300)))-INDEX(Reference!$A$6:$A$11,MIN(5,MATCH(MAX(Reference!$A$6,MIN(Reference!$A$11,MIN($U161,300))),Reference!$A$6:$A$11,1))))*(INDEX(Reference!$B$6:$B$11,MIN(5,MATCH(MAX(Reference!$A$6,MIN(Reference!$A$11,MIN($U161,300))),Reference!$A$6:$A$11,1))+1)-INDEX(Reference!$B$6:$B$11,MIN(5,MATCH(MAX(Reference!$A$6,MIN(Reference!$A$11,MIN($U161,300))),Reference!$A$6:$A$11,1))))/(INDEX(Reference!$A$6:$A$11,MIN(5,MATCH(MAX(Reference!$A$6,MIN(Reference!$A$11,MIN($U161,300))),Reference!$A$6:$A$11,1))+1)-INDEX(Reference!$A$6:$A$11,MIN(5,MATCH(MAX(Reference!$A$6,MIN(Reference!$A$11,MIN($U161,300))),Reference!$A$6:$A$11,1))))),0))/($AL161*($AL161+5)/2)),$AN161))</f>
        <v>0</v>
      </c>
      <c r="AN161" s="32">
        <f>IF($U161="",0,(INDEX(Reference!$B$6:$B$11,MIN(5,MATCH(MAX(Reference!$A$6,MIN(Reference!$A$11,$U161)),Reference!$A$6:$A$11,1)))+(MAX(Reference!$A$6,MIN(Reference!$A$11,$U161))-INDEX(Reference!$A$6:$A$11,MIN(5,MATCH(MAX(Reference!$A$6,MIN(Reference!$A$11,$U161)),Reference!$A$6:$A$11,1))))*(INDEX(Reference!$B$6:$B$11,MIN(5,MATCH(MAX(Reference!$A$6,MIN(Reference!$A$11,$U161)),Reference!$A$6:$A$11,1))+1)-INDEX(Reference!$B$6:$B$11,MIN(5,MATCH(MAX(Reference!$A$6,MIN(Reference!$A$11,$U161)),Reference!$A$6:$A$11,1))))/(INDEX(Reference!$A$6:$A$11,MIN(5,MATCH(MAX(Reference!$A$6,MIN(Reference!$A$11,$U161)),Reference!$A$6:$A$11,1))+1)-INDEX(Reference!$A$6:$A$11,MIN(5,MATCH(MAX(Reference!$A$6,MIN(Reference!$A$11,$U161)),Reference!$A$6:$A$11,1))))))</f>
        <v>0</v>
      </c>
      <c r="AO161" s="37"/>
      <c r="AP161" s="37"/>
      <c r="AQ161" s="37"/>
    </row>
    <row r="162" spans="1:43" x14ac:dyDescent="0.3">
      <c r="A162" s="48" t="str">
        <f t="shared" si="80"/>
        <v/>
      </c>
      <c r="B162" s="32" t="str">
        <f t="shared" si="81"/>
        <v/>
      </c>
      <c r="C162" s="32" t="str">
        <f t="shared" si="82"/>
        <v/>
      </c>
      <c r="D162" s="32" t="str">
        <f t="shared" si="83"/>
        <v/>
      </c>
      <c r="E162" s="32" t="str">
        <f t="shared" si="84"/>
        <v/>
      </c>
      <c r="F162" s="32" t="str">
        <f t="shared" si="85"/>
        <v/>
      </c>
      <c r="G162" s="47" t="str">
        <f t="shared" si="86"/>
        <v/>
      </c>
      <c r="H162" s="30" t="str">
        <f t="shared" si="87"/>
        <v/>
      </c>
      <c r="I162" s="46" t="str">
        <f>IF($A162="","",IF(AND($L162&lt;27,$K$12=0),"Building",IFERROR(((SUM($H$156:$H162)+$K$12*IF($L162&lt;6,SUMIFS('Throw Log'!$Q$5:$Q$300,'Throw Log'!$B$5:$B$300,$D$4,'Throw Log'!$A$5:$A$300,"&gt;="&amp;($D$6+$L162-6),'Throw Log'!$A$5:$A$300,"&lt;="&amp;($D$6-1)),0))/7)/((SUM($H$135:$H162)+$K$12*IF($L162&lt;27,SUMIFS('Throw Log'!$Q$5:$Q$300,'Throw Log'!$B$5:$B$300,$D$4,'Throw Log'!$A$5:$A$300,"&gt;="&amp;($D$6+$L162-27),'Throw Log'!$A$5:$A$300,"&lt;="&amp;($D$6-1)),0))/28),"")))</f>
        <v/>
      </c>
      <c r="J162" s="37"/>
      <c r="K162" s="37"/>
      <c r="L162" s="32">
        <v>119</v>
      </c>
      <c r="M162" s="32">
        <f t="shared" si="88"/>
        <v>18</v>
      </c>
      <c r="N162" s="32">
        <f t="shared" si="89"/>
        <v>0</v>
      </c>
      <c r="O162" s="32">
        <f t="shared" si="90"/>
        <v>1</v>
      </c>
      <c r="P162" s="32" t="str">
        <f>IF(OR($A162="",N($C162)&lt;=7),"",$G$6*$G$9^($M162-1)*IF(AND(MOD($M162,Reference!$B$99)=0,$M162&lt;=$G$5-2),Reference!$B$100,1))</f>
        <v/>
      </c>
      <c r="Q162" s="32" t="str">
        <f>IF($P162="","",IF(SUM($AK$162:$AK$168)=0,0,$P162*INDEX(Reference!$B$108:$B$114,$N162+1)/SUM($AK$162:$AK$168)))</f>
        <v/>
      </c>
      <c r="R162" s="32">
        <f t="shared" si="91"/>
        <v>180</v>
      </c>
      <c r="S162" s="32">
        <f t="shared" si="92"/>
        <v>150</v>
      </c>
      <c r="T162" s="32" t="str">
        <f>IF($A162="","",IF($C162=0,"Bullpen",IF(OR($C162=7,$C162=1,$C162=5),"Recovery/Easy Catch",IF($C162=6,"Compression/Pulldowns",IF(OR($C162=4,$C162=2),"Long Toss",IF($C162=3,"No Throw",IF($N162=2,"No Throw",IF($N162=6,IF($O162&lt;Reference!$B$104,"No Throw","Recovery/Easy Catch"),IF(OR($N162=0,$N162=4),"Recovery/Easy Catch",IF($N162=1,IF($R162&gt;75,"Long Toss","Recovery/Easy Catch"),IF($N162=3,IF($O162&lt;0.5,IF($S162&gt;75,"Long Toss","Recovery/Easy Catch"),"Compression/Pulldowns"),IF($S162&gt;75,"Long Toss","Recovery/Easy Catch"))))))))))))</f>
        <v/>
      </c>
      <c r="U162" s="32" t="str">
        <f t="shared" si="93"/>
        <v/>
      </c>
      <c r="V162" s="32" t="str">
        <f t="shared" si="94"/>
        <v/>
      </c>
      <c r="W162" s="32" t="str">
        <f t="shared" si="95"/>
        <v/>
      </c>
      <c r="X162" s="32">
        <f t="shared" si="96"/>
        <v>0</v>
      </c>
      <c r="Y162" s="32" t="str">
        <f t="shared" si="97"/>
        <v/>
      </c>
      <c r="Z162" s="32" t="str">
        <f t="shared" si="98"/>
        <v/>
      </c>
      <c r="AA162" s="32" t="str">
        <f t="shared" si="99"/>
        <v/>
      </c>
      <c r="AB162" s="32" t="str">
        <f>IF($A162="","",IF($T162="No Throw",0,IF($K162&lt;&gt;"",$K162,IF($AA162&lt;&gt;"",ROUND($AA162*$D$12*IF($C162=0,1,$G$10),0),MIN(IF($T162="Recovery/Easy Catch",Reference!$B$103,IF($T162="Long Toss",Reference!$B$106,Reference!$B$102)),MAX(Reference!$B$101,ROUND(MAX(0,$Q162-$AE162)/$AF162,0)))))))</f>
        <v/>
      </c>
      <c r="AC162" s="32">
        <f t="shared" si="100"/>
        <v>0</v>
      </c>
      <c r="AD162" s="32" t="b">
        <f t="shared" si="101"/>
        <v>1</v>
      </c>
      <c r="AE162" s="32">
        <f>IF($X162=0,0,$X162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162+$Z162)/2,0),Reference!$A$17:$B$20,2,TRUE()))</f>
        <v>0</v>
      </c>
      <c r="AF162" s="32">
        <f>IF(OR($A162="",$U162="",$T162="No Throw"),0,$AM162*VLOOKUP(MAX(($V162+$W162)/2,0),Reference!$A$17:$B$20,2,TRUE()))</f>
        <v>0</v>
      </c>
      <c r="AG162" s="32">
        <f>IF($AC162=0,0,$AC162*INDEX(Reference!$B$61:$B$62,MATCH("Bullpen",Reference!$A$61:$A$62,0))*VLOOKUP(MAX($D$5-($D$9+$E$9)/2,0),Reference!$A$17:$B$20,2,TRUE()))</f>
        <v>0</v>
      </c>
      <c r="AH162" s="32" t="e">
        <f t="shared" si="102"/>
        <v>#N/A</v>
      </c>
      <c r="AI162" s="32" t="e">
        <f>IF($A162="",NA(),Reference!$A$25)</f>
        <v>#N/A</v>
      </c>
      <c r="AJ162" s="32" t="e">
        <f t="shared" si="103"/>
        <v>#N/A</v>
      </c>
      <c r="AK162" s="32">
        <f>IF(OR($A162="",N($C162)&lt;=7,$T162="No Throw",$J162="x"),0,INDEX(Reference!$B$108:$B$114,$N162+1))</f>
        <v>0</v>
      </c>
      <c r="AL162" s="32">
        <f t="shared" si="104"/>
        <v>1</v>
      </c>
      <c r="AM162" s="32">
        <f>IF($U162="",0,IF($AL162&gt;1,((IF(1&lt;=$AL162,($AL162-1+3)*(INDEX(Reference!$B$6:$B$11,MIN(5,MATCH(MAX(Reference!$A$6,MIN(Reference!$A$11,MIN($U162,90))),Reference!$A$6:$A$11,1)))+(MAX(Reference!$A$6,MIN(Reference!$A$11,MIN($U162,90)))-INDEX(Reference!$A$6:$A$11,MIN(5,MATCH(MAX(Reference!$A$6,MIN(Reference!$A$11,MIN($U162,90))),Reference!$A$6:$A$11,1))))*(INDEX(Reference!$B$6:$B$11,MIN(5,MATCH(MAX(Reference!$A$6,MIN(Reference!$A$11,MIN($U162,90))),Reference!$A$6:$A$11,1))+1)-INDEX(Reference!$B$6:$B$11,MIN(5,MATCH(MAX(Reference!$A$6,MIN(Reference!$A$11,MIN($U162,90))),Reference!$A$6:$A$11,1))))/(INDEX(Reference!$A$6:$A$11,MIN(5,MATCH(MAX(Reference!$A$6,MIN(Reference!$A$11,MIN($U162,90))),Reference!$A$6:$A$11,1))+1)-INDEX(Reference!$A$6:$A$11,MIN(5,MATCH(MAX(Reference!$A$6,MIN(Reference!$A$11,MIN($U162,90))),Reference!$A$6:$A$11,1))))),0)+IF(2&lt;=$AL162,($AL162-2+3)*(INDEX(Reference!$B$6:$B$11,MIN(5,MATCH(MAX(Reference!$A$6,MIN(Reference!$A$11,MIN($U162,120))),Reference!$A$6:$A$11,1)))+(MAX(Reference!$A$6,MIN(Reference!$A$11,MIN($U162,120)))-INDEX(Reference!$A$6:$A$11,MIN(5,MATCH(MAX(Reference!$A$6,MIN(Reference!$A$11,MIN($U162,120))),Reference!$A$6:$A$11,1))))*(INDEX(Reference!$B$6:$B$11,MIN(5,MATCH(MAX(Reference!$A$6,MIN(Reference!$A$11,MIN($U162,120))),Reference!$A$6:$A$11,1))+1)-INDEX(Reference!$B$6:$B$11,MIN(5,MATCH(MAX(Reference!$A$6,MIN(Reference!$A$11,MIN($U162,120))),Reference!$A$6:$A$11,1))))/(INDEX(Reference!$A$6:$A$11,MIN(5,MATCH(MAX(Reference!$A$6,MIN(Reference!$A$11,MIN($U162,120))),Reference!$A$6:$A$11,1))+1)-INDEX(Reference!$A$6:$A$11,MIN(5,MATCH(MAX(Reference!$A$6,MIN(Reference!$A$11,MIN($U162,120))),Reference!$A$6:$A$11,1))))),0)+IF(3&lt;=$AL162,($AL162-3+3)*(INDEX(Reference!$B$6:$B$11,MIN(5,MATCH(MAX(Reference!$A$6,MIN(Reference!$A$11,MIN($U162,150))),Reference!$A$6:$A$11,1)))+(MAX(Reference!$A$6,MIN(Reference!$A$11,MIN($U162,150)))-INDEX(Reference!$A$6:$A$11,MIN(5,MATCH(MAX(Reference!$A$6,MIN(Reference!$A$11,MIN($U162,150))),Reference!$A$6:$A$11,1))))*(INDEX(Reference!$B$6:$B$11,MIN(5,MATCH(MAX(Reference!$A$6,MIN(Reference!$A$11,MIN($U162,150))),Reference!$A$6:$A$11,1))+1)-INDEX(Reference!$B$6:$B$11,MIN(5,MATCH(MAX(Reference!$A$6,MIN(Reference!$A$11,MIN($U162,150))),Reference!$A$6:$A$11,1))))/(INDEX(Reference!$A$6:$A$11,MIN(5,MATCH(MAX(Reference!$A$6,MIN(Reference!$A$11,MIN($U162,150))),Reference!$A$6:$A$11,1))+1)-INDEX(Reference!$A$6:$A$11,MIN(5,MATCH(MAX(Reference!$A$6,MIN(Reference!$A$11,MIN($U162,150))),Reference!$A$6:$A$11,1))))),0)+IF(4&lt;=$AL162,($AL162-4+3)*(INDEX(Reference!$B$6:$B$11,MIN(5,MATCH(MAX(Reference!$A$6,MIN(Reference!$A$11,MIN($U162,180))),Reference!$A$6:$A$11,1)))+(MAX(Reference!$A$6,MIN(Reference!$A$11,MIN($U162,180)))-INDEX(Reference!$A$6:$A$11,MIN(5,MATCH(MAX(Reference!$A$6,MIN(Reference!$A$11,MIN($U162,180))),Reference!$A$6:$A$11,1))))*(INDEX(Reference!$B$6:$B$11,MIN(5,MATCH(MAX(Reference!$A$6,MIN(Reference!$A$11,MIN($U162,180))),Reference!$A$6:$A$11,1))+1)-INDEX(Reference!$B$6:$B$11,MIN(5,MATCH(MAX(Reference!$A$6,MIN(Reference!$A$11,MIN($U162,180))),Reference!$A$6:$A$11,1))))/(INDEX(Reference!$A$6:$A$11,MIN(5,MATCH(MAX(Reference!$A$6,MIN(Reference!$A$11,MIN($U162,180))),Reference!$A$6:$A$11,1))+1)-INDEX(Reference!$A$6:$A$11,MIN(5,MATCH(MAX(Reference!$A$6,MIN(Reference!$A$11,MIN($U162,180))),Reference!$A$6:$A$11,1))))),0)+IF(5&lt;=$AL162,($AL162-5+3)*(INDEX(Reference!$B$6:$B$11,MIN(5,MATCH(MAX(Reference!$A$6,MIN(Reference!$A$11,MIN($U162,210))),Reference!$A$6:$A$11,1)))+(MAX(Reference!$A$6,MIN(Reference!$A$11,MIN($U162,210)))-INDEX(Reference!$A$6:$A$11,MIN(5,MATCH(MAX(Reference!$A$6,MIN(Reference!$A$11,MIN($U162,210))),Reference!$A$6:$A$11,1))))*(INDEX(Reference!$B$6:$B$11,MIN(5,MATCH(MAX(Reference!$A$6,MIN(Reference!$A$11,MIN($U162,210))),Reference!$A$6:$A$11,1))+1)-INDEX(Reference!$B$6:$B$11,MIN(5,MATCH(MAX(Reference!$A$6,MIN(Reference!$A$11,MIN($U162,210))),Reference!$A$6:$A$11,1))))/(INDEX(Reference!$A$6:$A$11,MIN(5,MATCH(MAX(Reference!$A$6,MIN(Reference!$A$11,MIN($U162,210))),Reference!$A$6:$A$11,1))+1)-INDEX(Reference!$A$6:$A$11,MIN(5,MATCH(MAX(Reference!$A$6,MIN(Reference!$A$11,MIN($U162,210))),Reference!$A$6:$A$11,1))))),0)+IF(6&lt;=$AL162,($AL162-6+3)*(INDEX(Reference!$B$6:$B$11,MIN(5,MATCH(MAX(Reference!$A$6,MIN(Reference!$A$11,MIN($U162,240))),Reference!$A$6:$A$11,1)))+(MAX(Reference!$A$6,MIN(Reference!$A$11,MIN($U162,240)))-INDEX(Reference!$A$6:$A$11,MIN(5,MATCH(MAX(Reference!$A$6,MIN(Reference!$A$11,MIN($U162,240))),Reference!$A$6:$A$11,1))))*(INDEX(Reference!$B$6:$B$11,MIN(5,MATCH(MAX(Reference!$A$6,MIN(Reference!$A$11,MIN($U162,240))),Reference!$A$6:$A$11,1))+1)-INDEX(Reference!$B$6:$B$11,MIN(5,MATCH(MAX(Reference!$A$6,MIN(Reference!$A$11,MIN($U162,240))),Reference!$A$6:$A$11,1))))/(INDEX(Reference!$A$6:$A$11,MIN(5,MATCH(MAX(Reference!$A$6,MIN(Reference!$A$11,MIN($U162,240))),Reference!$A$6:$A$11,1))+1)-INDEX(Reference!$A$6:$A$11,MIN(5,MATCH(MAX(Reference!$A$6,MIN(Reference!$A$11,MIN($U162,240))),Reference!$A$6:$A$11,1))))),0)+IF(7&lt;=$AL162,($AL162-7+3)*(INDEX(Reference!$B$6:$B$11,MIN(5,MATCH(MAX(Reference!$A$6,MIN(Reference!$A$11,MIN($U162,270))),Reference!$A$6:$A$11,1)))+(MAX(Reference!$A$6,MIN(Reference!$A$11,MIN($U162,270)))-INDEX(Reference!$A$6:$A$11,MIN(5,MATCH(MAX(Reference!$A$6,MIN(Reference!$A$11,MIN($U162,270))),Reference!$A$6:$A$11,1))))*(INDEX(Reference!$B$6:$B$11,MIN(5,MATCH(MAX(Reference!$A$6,MIN(Reference!$A$11,MIN($U162,270))),Reference!$A$6:$A$11,1))+1)-INDEX(Reference!$B$6:$B$11,MIN(5,MATCH(MAX(Reference!$A$6,MIN(Reference!$A$11,MIN($U162,270))),Reference!$A$6:$A$11,1))))/(INDEX(Reference!$A$6:$A$11,MIN(5,MATCH(MAX(Reference!$A$6,MIN(Reference!$A$11,MIN($U162,270))),Reference!$A$6:$A$11,1))+1)-INDEX(Reference!$A$6:$A$11,MIN(5,MATCH(MAX(Reference!$A$6,MIN(Reference!$A$11,MIN($U162,270))),Reference!$A$6:$A$11,1))))),0)+IF(8&lt;=$AL162,($AL162-8+3)*(INDEX(Reference!$B$6:$B$11,MIN(5,MATCH(MAX(Reference!$A$6,MIN(Reference!$A$11,MIN($U162,300))),Reference!$A$6:$A$11,1)))+(MAX(Reference!$A$6,MIN(Reference!$A$11,MIN($U162,300)))-INDEX(Reference!$A$6:$A$11,MIN(5,MATCH(MAX(Reference!$A$6,MIN(Reference!$A$11,MIN($U162,300))),Reference!$A$6:$A$11,1))))*(INDEX(Reference!$B$6:$B$11,MIN(5,MATCH(MAX(Reference!$A$6,MIN(Reference!$A$11,MIN($U162,300))),Reference!$A$6:$A$11,1))+1)-INDEX(Reference!$B$6:$B$11,MIN(5,MATCH(MAX(Reference!$A$6,MIN(Reference!$A$11,MIN($U162,300))),Reference!$A$6:$A$11,1))))/(INDEX(Reference!$A$6:$A$11,MIN(5,MATCH(MAX(Reference!$A$6,MIN(Reference!$A$11,MIN($U162,300))),Reference!$A$6:$A$11,1))+1)-INDEX(Reference!$A$6:$A$11,MIN(5,MATCH(MAX(Reference!$A$6,MIN(Reference!$A$11,MIN($U162,300))),Reference!$A$6:$A$11,1))))),0))/($AL162*($AL162+5)/2)),$AN162))</f>
        <v>0</v>
      </c>
      <c r="AN162" s="32">
        <f>IF($U162="",0,(INDEX(Reference!$B$6:$B$11,MIN(5,MATCH(MAX(Reference!$A$6,MIN(Reference!$A$11,$U162)),Reference!$A$6:$A$11,1)))+(MAX(Reference!$A$6,MIN(Reference!$A$11,$U162))-INDEX(Reference!$A$6:$A$11,MIN(5,MATCH(MAX(Reference!$A$6,MIN(Reference!$A$11,$U162)),Reference!$A$6:$A$11,1))))*(INDEX(Reference!$B$6:$B$11,MIN(5,MATCH(MAX(Reference!$A$6,MIN(Reference!$A$11,$U162)),Reference!$A$6:$A$11,1))+1)-INDEX(Reference!$B$6:$B$11,MIN(5,MATCH(MAX(Reference!$A$6,MIN(Reference!$A$11,$U162)),Reference!$A$6:$A$11,1))))/(INDEX(Reference!$A$6:$A$11,MIN(5,MATCH(MAX(Reference!$A$6,MIN(Reference!$A$11,$U162)),Reference!$A$6:$A$11,1))+1)-INDEX(Reference!$A$6:$A$11,MIN(5,MATCH(MAX(Reference!$A$6,MIN(Reference!$A$11,$U162)),Reference!$A$6:$A$11,1))))))</f>
        <v>0</v>
      </c>
      <c r="AO162" s="37"/>
      <c r="AP162" s="37"/>
      <c r="AQ162" s="37"/>
    </row>
    <row r="163" spans="1:43" x14ac:dyDescent="0.3">
      <c r="A163" s="48" t="str">
        <f t="shared" si="80"/>
        <v/>
      </c>
      <c r="B163" s="32" t="str">
        <f t="shared" si="81"/>
        <v/>
      </c>
      <c r="C163" s="32" t="str">
        <f t="shared" si="82"/>
        <v/>
      </c>
      <c r="D163" s="32" t="str">
        <f t="shared" si="83"/>
        <v/>
      </c>
      <c r="E163" s="32" t="str">
        <f t="shared" si="84"/>
        <v/>
      </c>
      <c r="F163" s="32" t="str">
        <f t="shared" si="85"/>
        <v/>
      </c>
      <c r="G163" s="47" t="str">
        <f t="shared" si="86"/>
        <v/>
      </c>
      <c r="H163" s="30" t="str">
        <f t="shared" si="87"/>
        <v/>
      </c>
      <c r="I163" s="46" t="str">
        <f>IF($A163="","",IF(AND($L163&lt;27,$K$12=0),"Building",IFERROR(((SUM($H$157:$H163)+$K$12*IF($L163&lt;6,SUMIFS('Throw Log'!$Q$5:$Q$300,'Throw Log'!$B$5:$B$300,$D$4,'Throw Log'!$A$5:$A$300,"&gt;="&amp;($D$6+$L163-6),'Throw Log'!$A$5:$A$300,"&lt;="&amp;($D$6-1)),0))/7)/((SUM($H$136:$H163)+$K$12*IF($L163&lt;27,SUMIFS('Throw Log'!$Q$5:$Q$300,'Throw Log'!$B$5:$B$300,$D$4,'Throw Log'!$A$5:$A$300,"&gt;="&amp;($D$6+$L163-27),'Throw Log'!$A$5:$A$300,"&lt;="&amp;($D$6-1)),0))/28),"")))</f>
        <v/>
      </c>
      <c r="J163" s="37"/>
      <c r="K163" s="37"/>
      <c r="L163" s="32">
        <v>120</v>
      </c>
      <c r="M163" s="32">
        <f t="shared" si="88"/>
        <v>18</v>
      </c>
      <c r="N163" s="32">
        <f t="shared" si="89"/>
        <v>1</v>
      </c>
      <c r="O163" s="32">
        <f t="shared" si="90"/>
        <v>1</v>
      </c>
      <c r="P163" s="32" t="str">
        <f>IF(OR($A163="",N($C163)&lt;=7),"",$G$6*$G$9^($M163-1)*IF(AND(MOD($M163,Reference!$B$99)=0,$M163&lt;=$G$5-2),Reference!$B$100,1))</f>
        <v/>
      </c>
      <c r="Q163" s="32" t="str">
        <f>IF($P163="","",IF(SUM($AK$162:$AK$168)=0,0,$P163*INDEX(Reference!$B$108:$B$114,$N163+1)/SUM($AK$162:$AK$168)))</f>
        <v/>
      </c>
      <c r="R163" s="32">
        <f t="shared" si="91"/>
        <v>180</v>
      </c>
      <c r="S163" s="32">
        <f t="shared" si="92"/>
        <v>150</v>
      </c>
      <c r="T163" s="32" t="str">
        <f>IF($A163="","",IF($C163=0,"Bullpen",IF(OR($C163=7,$C163=1,$C163=5),"Recovery/Easy Catch",IF($C163=6,"Compression/Pulldowns",IF(OR($C163=4,$C163=2),"Long Toss",IF($C163=3,"No Throw",IF($N163=2,"No Throw",IF($N163=6,IF($O163&lt;Reference!$B$104,"No Throw","Recovery/Easy Catch"),IF(OR($N163=0,$N163=4),"Recovery/Easy Catch",IF($N163=1,IF($R163&gt;75,"Long Toss","Recovery/Easy Catch"),IF($N163=3,IF($O163&lt;0.5,IF($S163&gt;75,"Long Toss","Recovery/Easy Catch"),"Compression/Pulldowns"),IF($S163&gt;75,"Long Toss","Recovery/Easy Catch"))))))))))))</f>
        <v/>
      </c>
      <c r="U163" s="32" t="str">
        <f t="shared" si="93"/>
        <v/>
      </c>
      <c r="V163" s="32" t="str">
        <f t="shared" si="94"/>
        <v/>
      </c>
      <c r="W163" s="32" t="str">
        <f t="shared" si="95"/>
        <v/>
      </c>
      <c r="X163" s="32">
        <f t="shared" si="96"/>
        <v>0</v>
      </c>
      <c r="Y163" s="32" t="str">
        <f t="shared" si="97"/>
        <v/>
      </c>
      <c r="Z163" s="32" t="str">
        <f t="shared" si="98"/>
        <v/>
      </c>
      <c r="AA163" s="32" t="str">
        <f t="shared" si="99"/>
        <v/>
      </c>
      <c r="AB163" s="32" t="str">
        <f>IF($A163="","",IF($T163="No Throw",0,IF($K163&lt;&gt;"",$K163,IF($AA163&lt;&gt;"",ROUND($AA163*$D$12*IF($C163=0,1,$G$10),0),MIN(IF($T163="Recovery/Easy Catch",Reference!$B$103,IF($T163="Long Toss",Reference!$B$106,Reference!$B$102)),MAX(Reference!$B$101,ROUND(MAX(0,$Q163-$AE163)/$AF163,0)))))))</f>
        <v/>
      </c>
      <c r="AC163" s="32">
        <f t="shared" si="100"/>
        <v>0</v>
      </c>
      <c r="AD163" s="32" t="b">
        <f t="shared" si="101"/>
        <v>1</v>
      </c>
      <c r="AE163" s="32">
        <f>IF($X163=0,0,$X163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163+$Z163)/2,0),Reference!$A$17:$B$20,2,TRUE()))</f>
        <v>0</v>
      </c>
      <c r="AF163" s="32">
        <f>IF(OR($A163="",$U163="",$T163="No Throw"),0,$AM163*VLOOKUP(MAX(($V163+$W163)/2,0),Reference!$A$17:$B$20,2,TRUE()))</f>
        <v>0</v>
      </c>
      <c r="AG163" s="32">
        <f>IF($AC163=0,0,$AC163*INDEX(Reference!$B$61:$B$62,MATCH("Bullpen",Reference!$A$61:$A$62,0))*VLOOKUP(MAX($D$5-($D$9+$E$9)/2,0),Reference!$A$17:$B$20,2,TRUE()))</f>
        <v>0</v>
      </c>
      <c r="AH163" s="32" t="e">
        <f t="shared" si="102"/>
        <v>#N/A</v>
      </c>
      <c r="AI163" s="32" t="e">
        <f>IF($A163="",NA(),Reference!$A$25)</f>
        <v>#N/A</v>
      </c>
      <c r="AJ163" s="32" t="e">
        <f t="shared" si="103"/>
        <v>#N/A</v>
      </c>
      <c r="AK163" s="32">
        <f>IF(OR($A163="",N($C163)&lt;=7,$T163="No Throw",$J163="x"),0,INDEX(Reference!$B$108:$B$114,$N163+1))</f>
        <v>0</v>
      </c>
      <c r="AL163" s="32">
        <f t="shared" si="104"/>
        <v>1</v>
      </c>
      <c r="AM163" s="32">
        <f>IF($U163="",0,IF($AL163&gt;1,((IF(1&lt;=$AL163,($AL163-1+3)*(INDEX(Reference!$B$6:$B$11,MIN(5,MATCH(MAX(Reference!$A$6,MIN(Reference!$A$11,MIN($U163,90))),Reference!$A$6:$A$11,1)))+(MAX(Reference!$A$6,MIN(Reference!$A$11,MIN($U163,90)))-INDEX(Reference!$A$6:$A$11,MIN(5,MATCH(MAX(Reference!$A$6,MIN(Reference!$A$11,MIN($U163,90))),Reference!$A$6:$A$11,1))))*(INDEX(Reference!$B$6:$B$11,MIN(5,MATCH(MAX(Reference!$A$6,MIN(Reference!$A$11,MIN($U163,90))),Reference!$A$6:$A$11,1))+1)-INDEX(Reference!$B$6:$B$11,MIN(5,MATCH(MAX(Reference!$A$6,MIN(Reference!$A$11,MIN($U163,90))),Reference!$A$6:$A$11,1))))/(INDEX(Reference!$A$6:$A$11,MIN(5,MATCH(MAX(Reference!$A$6,MIN(Reference!$A$11,MIN($U163,90))),Reference!$A$6:$A$11,1))+1)-INDEX(Reference!$A$6:$A$11,MIN(5,MATCH(MAX(Reference!$A$6,MIN(Reference!$A$11,MIN($U163,90))),Reference!$A$6:$A$11,1))))),0)+IF(2&lt;=$AL163,($AL163-2+3)*(INDEX(Reference!$B$6:$B$11,MIN(5,MATCH(MAX(Reference!$A$6,MIN(Reference!$A$11,MIN($U163,120))),Reference!$A$6:$A$11,1)))+(MAX(Reference!$A$6,MIN(Reference!$A$11,MIN($U163,120)))-INDEX(Reference!$A$6:$A$11,MIN(5,MATCH(MAX(Reference!$A$6,MIN(Reference!$A$11,MIN($U163,120))),Reference!$A$6:$A$11,1))))*(INDEX(Reference!$B$6:$B$11,MIN(5,MATCH(MAX(Reference!$A$6,MIN(Reference!$A$11,MIN($U163,120))),Reference!$A$6:$A$11,1))+1)-INDEX(Reference!$B$6:$B$11,MIN(5,MATCH(MAX(Reference!$A$6,MIN(Reference!$A$11,MIN($U163,120))),Reference!$A$6:$A$11,1))))/(INDEX(Reference!$A$6:$A$11,MIN(5,MATCH(MAX(Reference!$A$6,MIN(Reference!$A$11,MIN($U163,120))),Reference!$A$6:$A$11,1))+1)-INDEX(Reference!$A$6:$A$11,MIN(5,MATCH(MAX(Reference!$A$6,MIN(Reference!$A$11,MIN($U163,120))),Reference!$A$6:$A$11,1))))),0)+IF(3&lt;=$AL163,($AL163-3+3)*(INDEX(Reference!$B$6:$B$11,MIN(5,MATCH(MAX(Reference!$A$6,MIN(Reference!$A$11,MIN($U163,150))),Reference!$A$6:$A$11,1)))+(MAX(Reference!$A$6,MIN(Reference!$A$11,MIN($U163,150)))-INDEX(Reference!$A$6:$A$11,MIN(5,MATCH(MAX(Reference!$A$6,MIN(Reference!$A$11,MIN($U163,150))),Reference!$A$6:$A$11,1))))*(INDEX(Reference!$B$6:$B$11,MIN(5,MATCH(MAX(Reference!$A$6,MIN(Reference!$A$11,MIN($U163,150))),Reference!$A$6:$A$11,1))+1)-INDEX(Reference!$B$6:$B$11,MIN(5,MATCH(MAX(Reference!$A$6,MIN(Reference!$A$11,MIN($U163,150))),Reference!$A$6:$A$11,1))))/(INDEX(Reference!$A$6:$A$11,MIN(5,MATCH(MAX(Reference!$A$6,MIN(Reference!$A$11,MIN($U163,150))),Reference!$A$6:$A$11,1))+1)-INDEX(Reference!$A$6:$A$11,MIN(5,MATCH(MAX(Reference!$A$6,MIN(Reference!$A$11,MIN($U163,150))),Reference!$A$6:$A$11,1))))),0)+IF(4&lt;=$AL163,($AL163-4+3)*(INDEX(Reference!$B$6:$B$11,MIN(5,MATCH(MAX(Reference!$A$6,MIN(Reference!$A$11,MIN($U163,180))),Reference!$A$6:$A$11,1)))+(MAX(Reference!$A$6,MIN(Reference!$A$11,MIN($U163,180)))-INDEX(Reference!$A$6:$A$11,MIN(5,MATCH(MAX(Reference!$A$6,MIN(Reference!$A$11,MIN($U163,180))),Reference!$A$6:$A$11,1))))*(INDEX(Reference!$B$6:$B$11,MIN(5,MATCH(MAX(Reference!$A$6,MIN(Reference!$A$11,MIN($U163,180))),Reference!$A$6:$A$11,1))+1)-INDEX(Reference!$B$6:$B$11,MIN(5,MATCH(MAX(Reference!$A$6,MIN(Reference!$A$11,MIN($U163,180))),Reference!$A$6:$A$11,1))))/(INDEX(Reference!$A$6:$A$11,MIN(5,MATCH(MAX(Reference!$A$6,MIN(Reference!$A$11,MIN($U163,180))),Reference!$A$6:$A$11,1))+1)-INDEX(Reference!$A$6:$A$11,MIN(5,MATCH(MAX(Reference!$A$6,MIN(Reference!$A$11,MIN($U163,180))),Reference!$A$6:$A$11,1))))),0)+IF(5&lt;=$AL163,($AL163-5+3)*(INDEX(Reference!$B$6:$B$11,MIN(5,MATCH(MAX(Reference!$A$6,MIN(Reference!$A$11,MIN($U163,210))),Reference!$A$6:$A$11,1)))+(MAX(Reference!$A$6,MIN(Reference!$A$11,MIN($U163,210)))-INDEX(Reference!$A$6:$A$11,MIN(5,MATCH(MAX(Reference!$A$6,MIN(Reference!$A$11,MIN($U163,210))),Reference!$A$6:$A$11,1))))*(INDEX(Reference!$B$6:$B$11,MIN(5,MATCH(MAX(Reference!$A$6,MIN(Reference!$A$11,MIN($U163,210))),Reference!$A$6:$A$11,1))+1)-INDEX(Reference!$B$6:$B$11,MIN(5,MATCH(MAX(Reference!$A$6,MIN(Reference!$A$11,MIN($U163,210))),Reference!$A$6:$A$11,1))))/(INDEX(Reference!$A$6:$A$11,MIN(5,MATCH(MAX(Reference!$A$6,MIN(Reference!$A$11,MIN($U163,210))),Reference!$A$6:$A$11,1))+1)-INDEX(Reference!$A$6:$A$11,MIN(5,MATCH(MAX(Reference!$A$6,MIN(Reference!$A$11,MIN($U163,210))),Reference!$A$6:$A$11,1))))),0)+IF(6&lt;=$AL163,($AL163-6+3)*(INDEX(Reference!$B$6:$B$11,MIN(5,MATCH(MAX(Reference!$A$6,MIN(Reference!$A$11,MIN($U163,240))),Reference!$A$6:$A$11,1)))+(MAX(Reference!$A$6,MIN(Reference!$A$11,MIN($U163,240)))-INDEX(Reference!$A$6:$A$11,MIN(5,MATCH(MAX(Reference!$A$6,MIN(Reference!$A$11,MIN($U163,240))),Reference!$A$6:$A$11,1))))*(INDEX(Reference!$B$6:$B$11,MIN(5,MATCH(MAX(Reference!$A$6,MIN(Reference!$A$11,MIN($U163,240))),Reference!$A$6:$A$11,1))+1)-INDEX(Reference!$B$6:$B$11,MIN(5,MATCH(MAX(Reference!$A$6,MIN(Reference!$A$11,MIN($U163,240))),Reference!$A$6:$A$11,1))))/(INDEX(Reference!$A$6:$A$11,MIN(5,MATCH(MAX(Reference!$A$6,MIN(Reference!$A$11,MIN($U163,240))),Reference!$A$6:$A$11,1))+1)-INDEX(Reference!$A$6:$A$11,MIN(5,MATCH(MAX(Reference!$A$6,MIN(Reference!$A$11,MIN($U163,240))),Reference!$A$6:$A$11,1))))),0)+IF(7&lt;=$AL163,($AL163-7+3)*(INDEX(Reference!$B$6:$B$11,MIN(5,MATCH(MAX(Reference!$A$6,MIN(Reference!$A$11,MIN($U163,270))),Reference!$A$6:$A$11,1)))+(MAX(Reference!$A$6,MIN(Reference!$A$11,MIN($U163,270)))-INDEX(Reference!$A$6:$A$11,MIN(5,MATCH(MAX(Reference!$A$6,MIN(Reference!$A$11,MIN($U163,270))),Reference!$A$6:$A$11,1))))*(INDEX(Reference!$B$6:$B$11,MIN(5,MATCH(MAX(Reference!$A$6,MIN(Reference!$A$11,MIN($U163,270))),Reference!$A$6:$A$11,1))+1)-INDEX(Reference!$B$6:$B$11,MIN(5,MATCH(MAX(Reference!$A$6,MIN(Reference!$A$11,MIN($U163,270))),Reference!$A$6:$A$11,1))))/(INDEX(Reference!$A$6:$A$11,MIN(5,MATCH(MAX(Reference!$A$6,MIN(Reference!$A$11,MIN($U163,270))),Reference!$A$6:$A$11,1))+1)-INDEX(Reference!$A$6:$A$11,MIN(5,MATCH(MAX(Reference!$A$6,MIN(Reference!$A$11,MIN($U163,270))),Reference!$A$6:$A$11,1))))),0)+IF(8&lt;=$AL163,($AL163-8+3)*(INDEX(Reference!$B$6:$B$11,MIN(5,MATCH(MAX(Reference!$A$6,MIN(Reference!$A$11,MIN($U163,300))),Reference!$A$6:$A$11,1)))+(MAX(Reference!$A$6,MIN(Reference!$A$11,MIN($U163,300)))-INDEX(Reference!$A$6:$A$11,MIN(5,MATCH(MAX(Reference!$A$6,MIN(Reference!$A$11,MIN($U163,300))),Reference!$A$6:$A$11,1))))*(INDEX(Reference!$B$6:$B$11,MIN(5,MATCH(MAX(Reference!$A$6,MIN(Reference!$A$11,MIN($U163,300))),Reference!$A$6:$A$11,1))+1)-INDEX(Reference!$B$6:$B$11,MIN(5,MATCH(MAX(Reference!$A$6,MIN(Reference!$A$11,MIN($U163,300))),Reference!$A$6:$A$11,1))))/(INDEX(Reference!$A$6:$A$11,MIN(5,MATCH(MAX(Reference!$A$6,MIN(Reference!$A$11,MIN($U163,300))),Reference!$A$6:$A$11,1))+1)-INDEX(Reference!$A$6:$A$11,MIN(5,MATCH(MAX(Reference!$A$6,MIN(Reference!$A$11,MIN($U163,300))),Reference!$A$6:$A$11,1))))),0))/($AL163*($AL163+5)/2)),$AN163))</f>
        <v>0</v>
      </c>
      <c r="AN163" s="32">
        <f>IF($U163="",0,(INDEX(Reference!$B$6:$B$11,MIN(5,MATCH(MAX(Reference!$A$6,MIN(Reference!$A$11,$U163)),Reference!$A$6:$A$11,1)))+(MAX(Reference!$A$6,MIN(Reference!$A$11,$U163))-INDEX(Reference!$A$6:$A$11,MIN(5,MATCH(MAX(Reference!$A$6,MIN(Reference!$A$11,$U163)),Reference!$A$6:$A$11,1))))*(INDEX(Reference!$B$6:$B$11,MIN(5,MATCH(MAX(Reference!$A$6,MIN(Reference!$A$11,$U163)),Reference!$A$6:$A$11,1))+1)-INDEX(Reference!$B$6:$B$11,MIN(5,MATCH(MAX(Reference!$A$6,MIN(Reference!$A$11,$U163)),Reference!$A$6:$A$11,1))))/(INDEX(Reference!$A$6:$A$11,MIN(5,MATCH(MAX(Reference!$A$6,MIN(Reference!$A$11,$U163)),Reference!$A$6:$A$11,1))+1)-INDEX(Reference!$A$6:$A$11,MIN(5,MATCH(MAX(Reference!$A$6,MIN(Reference!$A$11,$U163)),Reference!$A$6:$A$11,1))))))</f>
        <v>0</v>
      </c>
      <c r="AO163" s="37"/>
      <c r="AP163" s="37"/>
      <c r="AQ163" s="37"/>
    </row>
    <row r="164" spans="1:43" x14ac:dyDescent="0.3">
      <c r="A164" s="48" t="str">
        <f t="shared" si="80"/>
        <v/>
      </c>
      <c r="B164" s="32" t="str">
        <f t="shared" si="81"/>
        <v/>
      </c>
      <c r="C164" s="32" t="str">
        <f t="shared" si="82"/>
        <v/>
      </c>
      <c r="D164" s="32" t="str">
        <f t="shared" si="83"/>
        <v/>
      </c>
      <c r="E164" s="32" t="str">
        <f t="shared" si="84"/>
        <v/>
      </c>
      <c r="F164" s="32" t="str">
        <f t="shared" si="85"/>
        <v/>
      </c>
      <c r="G164" s="47" t="str">
        <f t="shared" si="86"/>
        <v/>
      </c>
      <c r="H164" s="30" t="str">
        <f t="shared" si="87"/>
        <v/>
      </c>
      <c r="I164" s="46" t="str">
        <f>IF($A164="","",IF(AND($L164&lt;27,$K$12=0),"Building",IFERROR(((SUM($H$158:$H164)+$K$12*IF($L164&lt;6,SUMIFS('Throw Log'!$Q$5:$Q$300,'Throw Log'!$B$5:$B$300,$D$4,'Throw Log'!$A$5:$A$300,"&gt;="&amp;($D$6+$L164-6),'Throw Log'!$A$5:$A$300,"&lt;="&amp;($D$6-1)),0))/7)/((SUM($H$137:$H164)+$K$12*IF($L164&lt;27,SUMIFS('Throw Log'!$Q$5:$Q$300,'Throw Log'!$B$5:$B$300,$D$4,'Throw Log'!$A$5:$A$300,"&gt;="&amp;($D$6+$L164-27),'Throw Log'!$A$5:$A$300,"&lt;="&amp;($D$6-1)),0))/28),"")))</f>
        <v/>
      </c>
      <c r="J164" s="37"/>
      <c r="K164" s="37"/>
      <c r="L164" s="32">
        <v>121</v>
      </c>
      <c r="M164" s="32">
        <f t="shared" si="88"/>
        <v>18</v>
      </c>
      <c r="N164" s="32">
        <f t="shared" si="89"/>
        <v>2</v>
      </c>
      <c r="O164" s="32">
        <f t="shared" si="90"/>
        <v>1</v>
      </c>
      <c r="P164" s="32" t="str">
        <f>IF(OR($A164="",N($C164)&lt;=7),"",$G$6*$G$9^($M164-1)*IF(AND(MOD($M164,Reference!$B$99)=0,$M164&lt;=$G$5-2),Reference!$B$100,1))</f>
        <v/>
      </c>
      <c r="Q164" s="32" t="str">
        <f>IF($P164="","",IF(SUM($AK$162:$AK$168)=0,0,$P164*INDEX(Reference!$B$108:$B$114,$N164+1)/SUM($AK$162:$AK$168)))</f>
        <v/>
      </c>
      <c r="R164" s="32">
        <f t="shared" si="91"/>
        <v>180</v>
      </c>
      <c r="S164" s="32">
        <f t="shared" si="92"/>
        <v>150</v>
      </c>
      <c r="T164" s="32" t="str">
        <f>IF($A164="","",IF($C164=0,"Bullpen",IF(OR($C164=7,$C164=1,$C164=5),"Recovery/Easy Catch",IF($C164=6,"Compression/Pulldowns",IF(OR($C164=4,$C164=2),"Long Toss",IF($C164=3,"No Throw",IF($N164=2,"No Throw",IF($N164=6,IF($O164&lt;Reference!$B$104,"No Throw","Recovery/Easy Catch"),IF(OR($N164=0,$N164=4),"Recovery/Easy Catch",IF($N164=1,IF($R164&gt;75,"Long Toss","Recovery/Easy Catch"),IF($N164=3,IF($O164&lt;0.5,IF($S164&gt;75,"Long Toss","Recovery/Easy Catch"),"Compression/Pulldowns"),IF($S164&gt;75,"Long Toss","Recovery/Easy Catch"))))))))))))</f>
        <v/>
      </c>
      <c r="U164" s="32" t="str">
        <f t="shared" si="93"/>
        <v/>
      </c>
      <c r="V164" s="32" t="str">
        <f t="shared" si="94"/>
        <v/>
      </c>
      <c r="W164" s="32" t="str">
        <f t="shared" si="95"/>
        <v/>
      </c>
      <c r="X164" s="32">
        <f t="shared" si="96"/>
        <v>0</v>
      </c>
      <c r="Y164" s="32" t="str">
        <f t="shared" si="97"/>
        <v/>
      </c>
      <c r="Z164" s="32" t="str">
        <f t="shared" si="98"/>
        <v/>
      </c>
      <c r="AA164" s="32" t="str">
        <f t="shared" si="99"/>
        <v/>
      </c>
      <c r="AB164" s="32" t="str">
        <f>IF($A164="","",IF($T164="No Throw",0,IF($K164&lt;&gt;"",$K164,IF($AA164&lt;&gt;"",ROUND($AA164*$D$12*IF($C164=0,1,$G$10),0),MIN(IF($T164="Recovery/Easy Catch",Reference!$B$103,IF($T164="Long Toss",Reference!$B$106,Reference!$B$102)),MAX(Reference!$B$101,ROUND(MAX(0,$Q164-$AE164)/$AF164,0)))))))</f>
        <v/>
      </c>
      <c r="AC164" s="32">
        <f t="shared" si="100"/>
        <v>0</v>
      </c>
      <c r="AD164" s="32" t="b">
        <f t="shared" si="101"/>
        <v>1</v>
      </c>
      <c r="AE164" s="32">
        <f>IF($X164=0,0,$X164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164+$Z164)/2,0),Reference!$A$17:$B$20,2,TRUE()))</f>
        <v>0</v>
      </c>
      <c r="AF164" s="32">
        <f>IF(OR($A164="",$U164="",$T164="No Throw"),0,$AM164*VLOOKUP(MAX(($V164+$W164)/2,0),Reference!$A$17:$B$20,2,TRUE()))</f>
        <v>0</v>
      </c>
      <c r="AG164" s="32">
        <f>IF($AC164=0,0,$AC164*INDEX(Reference!$B$61:$B$62,MATCH("Bullpen",Reference!$A$61:$A$62,0))*VLOOKUP(MAX($D$5-($D$9+$E$9)/2,0),Reference!$A$17:$B$20,2,TRUE()))</f>
        <v>0</v>
      </c>
      <c r="AH164" s="32" t="e">
        <f t="shared" si="102"/>
        <v>#N/A</v>
      </c>
      <c r="AI164" s="32" t="e">
        <f>IF($A164="",NA(),Reference!$A$25)</f>
        <v>#N/A</v>
      </c>
      <c r="AJ164" s="32" t="e">
        <f t="shared" si="103"/>
        <v>#N/A</v>
      </c>
      <c r="AK164" s="32">
        <f>IF(OR($A164="",N($C164)&lt;=7,$T164="No Throw",$J164="x"),0,INDEX(Reference!$B$108:$B$114,$N164+1))</f>
        <v>0</v>
      </c>
      <c r="AL164" s="32">
        <f t="shared" si="104"/>
        <v>1</v>
      </c>
      <c r="AM164" s="32">
        <f>IF($U164="",0,IF($AL164&gt;1,((IF(1&lt;=$AL164,($AL164-1+3)*(INDEX(Reference!$B$6:$B$11,MIN(5,MATCH(MAX(Reference!$A$6,MIN(Reference!$A$11,MIN($U164,90))),Reference!$A$6:$A$11,1)))+(MAX(Reference!$A$6,MIN(Reference!$A$11,MIN($U164,90)))-INDEX(Reference!$A$6:$A$11,MIN(5,MATCH(MAX(Reference!$A$6,MIN(Reference!$A$11,MIN($U164,90))),Reference!$A$6:$A$11,1))))*(INDEX(Reference!$B$6:$B$11,MIN(5,MATCH(MAX(Reference!$A$6,MIN(Reference!$A$11,MIN($U164,90))),Reference!$A$6:$A$11,1))+1)-INDEX(Reference!$B$6:$B$11,MIN(5,MATCH(MAX(Reference!$A$6,MIN(Reference!$A$11,MIN($U164,90))),Reference!$A$6:$A$11,1))))/(INDEX(Reference!$A$6:$A$11,MIN(5,MATCH(MAX(Reference!$A$6,MIN(Reference!$A$11,MIN($U164,90))),Reference!$A$6:$A$11,1))+1)-INDEX(Reference!$A$6:$A$11,MIN(5,MATCH(MAX(Reference!$A$6,MIN(Reference!$A$11,MIN($U164,90))),Reference!$A$6:$A$11,1))))),0)+IF(2&lt;=$AL164,($AL164-2+3)*(INDEX(Reference!$B$6:$B$11,MIN(5,MATCH(MAX(Reference!$A$6,MIN(Reference!$A$11,MIN($U164,120))),Reference!$A$6:$A$11,1)))+(MAX(Reference!$A$6,MIN(Reference!$A$11,MIN($U164,120)))-INDEX(Reference!$A$6:$A$11,MIN(5,MATCH(MAX(Reference!$A$6,MIN(Reference!$A$11,MIN($U164,120))),Reference!$A$6:$A$11,1))))*(INDEX(Reference!$B$6:$B$11,MIN(5,MATCH(MAX(Reference!$A$6,MIN(Reference!$A$11,MIN($U164,120))),Reference!$A$6:$A$11,1))+1)-INDEX(Reference!$B$6:$B$11,MIN(5,MATCH(MAX(Reference!$A$6,MIN(Reference!$A$11,MIN($U164,120))),Reference!$A$6:$A$11,1))))/(INDEX(Reference!$A$6:$A$11,MIN(5,MATCH(MAX(Reference!$A$6,MIN(Reference!$A$11,MIN($U164,120))),Reference!$A$6:$A$11,1))+1)-INDEX(Reference!$A$6:$A$11,MIN(5,MATCH(MAX(Reference!$A$6,MIN(Reference!$A$11,MIN($U164,120))),Reference!$A$6:$A$11,1))))),0)+IF(3&lt;=$AL164,($AL164-3+3)*(INDEX(Reference!$B$6:$B$11,MIN(5,MATCH(MAX(Reference!$A$6,MIN(Reference!$A$11,MIN($U164,150))),Reference!$A$6:$A$11,1)))+(MAX(Reference!$A$6,MIN(Reference!$A$11,MIN($U164,150)))-INDEX(Reference!$A$6:$A$11,MIN(5,MATCH(MAX(Reference!$A$6,MIN(Reference!$A$11,MIN($U164,150))),Reference!$A$6:$A$11,1))))*(INDEX(Reference!$B$6:$B$11,MIN(5,MATCH(MAX(Reference!$A$6,MIN(Reference!$A$11,MIN($U164,150))),Reference!$A$6:$A$11,1))+1)-INDEX(Reference!$B$6:$B$11,MIN(5,MATCH(MAX(Reference!$A$6,MIN(Reference!$A$11,MIN($U164,150))),Reference!$A$6:$A$11,1))))/(INDEX(Reference!$A$6:$A$11,MIN(5,MATCH(MAX(Reference!$A$6,MIN(Reference!$A$11,MIN($U164,150))),Reference!$A$6:$A$11,1))+1)-INDEX(Reference!$A$6:$A$11,MIN(5,MATCH(MAX(Reference!$A$6,MIN(Reference!$A$11,MIN($U164,150))),Reference!$A$6:$A$11,1))))),0)+IF(4&lt;=$AL164,($AL164-4+3)*(INDEX(Reference!$B$6:$B$11,MIN(5,MATCH(MAX(Reference!$A$6,MIN(Reference!$A$11,MIN($U164,180))),Reference!$A$6:$A$11,1)))+(MAX(Reference!$A$6,MIN(Reference!$A$11,MIN($U164,180)))-INDEX(Reference!$A$6:$A$11,MIN(5,MATCH(MAX(Reference!$A$6,MIN(Reference!$A$11,MIN($U164,180))),Reference!$A$6:$A$11,1))))*(INDEX(Reference!$B$6:$B$11,MIN(5,MATCH(MAX(Reference!$A$6,MIN(Reference!$A$11,MIN($U164,180))),Reference!$A$6:$A$11,1))+1)-INDEX(Reference!$B$6:$B$11,MIN(5,MATCH(MAX(Reference!$A$6,MIN(Reference!$A$11,MIN($U164,180))),Reference!$A$6:$A$11,1))))/(INDEX(Reference!$A$6:$A$11,MIN(5,MATCH(MAX(Reference!$A$6,MIN(Reference!$A$11,MIN($U164,180))),Reference!$A$6:$A$11,1))+1)-INDEX(Reference!$A$6:$A$11,MIN(5,MATCH(MAX(Reference!$A$6,MIN(Reference!$A$11,MIN($U164,180))),Reference!$A$6:$A$11,1))))),0)+IF(5&lt;=$AL164,($AL164-5+3)*(INDEX(Reference!$B$6:$B$11,MIN(5,MATCH(MAX(Reference!$A$6,MIN(Reference!$A$11,MIN($U164,210))),Reference!$A$6:$A$11,1)))+(MAX(Reference!$A$6,MIN(Reference!$A$11,MIN($U164,210)))-INDEX(Reference!$A$6:$A$11,MIN(5,MATCH(MAX(Reference!$A$6,MIN(Reference!$A$11,MIN($U164,210))),Reference!$A$6:$A$11,1))))*(INDEX(Reference!$B$6:$B$11,MIN(5,MATCH(MAX(Reference!$A$6,MIN(Reference!$A$11,MIN($U164,210))),Reference!$A$6:$A$11,1))+1)-INDEX(Reference!$B$6:$B$11,MIN(5,MATCH(MAX(Reference!$A$6,MIN(Reference!$A$11,MIN($U164,210))),Reference!$A$6:$A$11,1))))/(INDEX(Reference!$A$6:$A$11,MIN(5,MATCH(MAX(Reference!$A$6,MIN(Reference!$A$11,MIN($U164,210))),Reference!$A$6:$A$11,1))+1)-INDEX(Reference!$A$6:$A$11,MIN(5,MATCH(MAX(Reference!$A$6,MIN(Reference!$A$11,MIN($U164,210))),Reference!$A$6:$A$11,1))))),0)+IF(6&lt;=$AL164,($AL164-6+3)*(INDEX(Reference!$B$6:$B$11,MIN(5,MATCH(MAX(Reference!$A$6,MIN(Reference!$A$11,MIN($U164,240))),Reference!$A$6:$A$11,1)))+(MAX(Reference!$A$6,MIN(Reference!$A$11,MIN($U164,240)))-INDEX(Reference!$A$6:$A$11,MIN(5,MATCH(MAX(Reference!$A$6,MIN(Reference!$A$11,MIN($U164,240))),Reference!$A$6:$A$11,1))))*(INDEX(Reference!$B$6:$B$11,MIN(5,MATCH(MAX(Reference!$A$6,MIN(Reference!$A$11,MIN($U164,240))),Reference!$A$6:$A$11,1))+1)-INDEX(Reference!$B$6:$B$11,MIN(5,MATCH(MAX(Reference!$A$6,MIN(Reference!$A$11,MIN($U164,240))),Reference!$A$6:$A$11,1))))/(INDEX(Reference!$A$6:$A$11,MIN(5,MATCH(MAX(Reference!$A$6,MIN(Reference!$A$11,MIN($U164,240))),Reference!$A$6:$A$11,1))+1)-INDEX(Reference!$A$6:$A$11,MIN(5,MATCH(MAX(Reference!$A$6,MIN(Reference!$A$11,MIN($U164,240))),Reference!$A$6:$A$11,1))))),0)+IF(7&lt;=$AL164,($AL164-7+3)*(INDEX(Reference!$B$6:$B$11,MIN(5,MATCH(MAX(Reference!$A$6,MIN(Reference!$A$11,MIN($U164,270))),Reference!$A$6:$A$11,1)))+(MAX(Reference!$A$6,MIN(Reference!$A$11,MIN($U164,270)))-INDEX(Reference!$A$6:$A$11,MIN(5,MATCH(MAX(Reference!$A$6,MIN(Reference!$A$11,MIN($U164,270))),Reference!$A$6:$A$11,1))))*(INDEX(Reference!$B$6:$B$11,MIN(5,MATCH(MAX(Reference!$A$6,MIN(Reference!$A$11,MIN($U164,270))),Reference!$A$6:$A$11,1))+1)-INDEX(Reference!$B$6:$B$11,MIN(5,MATCH(MAX(Reference!$A$6,MIN(Reference!$A$11,MIN($U164,270))),Reference!$A$6:$A$11,1))))/(INDEX(Reference!$A$6:$A$11,MIN(5,MATCH(MAX(Reference!$A$6,MIN(Reference!$A$11,MIN($U164,270))),Reference!$A$6:$A$11,1))+1)-INDEX(Reference!$A$6:$A$11,MIN(5,MATCH(MAX(Reference!$A$6,MIN(Reference!$A$11,MIN($U164,270))),Reference!$A$6:$A$11,1))))),0)+IF(8&lt;=$AL164,($AL164-8+3)*(INDEX(Reference!$B$6:$B$11,MIN(5,MATCH(MAX(Reference!$A$6,MIN(Reference!$A$11,MIN($U164,300))),Reference!$A$6:$A$11,1)))+(MAX(Reference!$A$6,MIN(Reference!$A$11,MIN($U164,300)))-INDEX(Reference!$A$6:$A$11,MIN(5,MATCH(MAX(Reference!$A$6,MIN(Reference!$A$11,MIN($U164,300))),Reference!$A$6:$A$11,1))))*(INDEX(Reference!$B$6:$B$11,MIN(5,MATCH(MAX(Reference!$A$6,MIN(Reference!$A$11,MIN($U164,300))),Reference!$A$6:$A$11,1))+1)-INDEX(Reference!$B$6:$B$11,MIN(5,MATCH(MAX(Reference!$A$6,MIN(Reference!$A$11,MIN($U164,300))),Reference!$A$6:$A$11,1))))/(INDEX(Reference!$A$6:$A$11,MIN(5,MATCH(MAX(Reference!$A$6,MIN(Reference!$A$11,MIN($U164,300))),Reference!$A$6:$A$11,1))+1)-INDEX(Reference!$A$6:$A$11,MIN(5,MATCH(MAX(Reference!$A$6,MIN(Reference!$A$11,MIN($U164,300))),Reference!$A$6:$A$11,1))))),0))/($AL164*($AL164+5)/2)),$AN164))</f>
        <v>0</v>
      </c>
      <c r="AN164" s="32">
        <f>IF($U164="",0,(INDEX(Reference!$B$6:$B$11,MIN(5,MATCH(MAX(Reference!$A$6,MIN(Reference!$A$11,$U164)),Reference!$A$6:$A$11,1)))+(MAX(Reference!$A$6,MIN(Reference!$A$11,$U164))-INDEX(Reference!$A$6:$A$11,MIN(5,MATCH(MAX(Reference!$A$6,MIN(Reference!$A$11,$U164)),Reference!$A$6:$A$11,1))))*(INDEX(Reference!$B$6:$B$11,MIN(5,MATCH(MAX(Reference!$A$6,MIN(Reference!$A$11,$U164)),Reference!$A$6:$A$11,1))+1)-INDEX(Reference!$B$6:$B$11,MIN(5,MATCH(MAX(Reference!$A$6,MIN(Reference!$A$11,$U164)),Reference!$A$6:$A$11,1))))/(INDEX(Reference!$A$6:$A$11,MIN(5,MATCH(MAX(Reference!$A$6,MIN(Reference!$A$11,$U164)),Reference!$A$6:$A$11,1))+1)-INDEX(Reference!$A$6:$A$11,MIN(5,MATCH(MAX(Reference!$A$6,MIN(Reference!$A$11,$U164)),Reference!$A$6:$A$11,1))))))</f>
        <v>0</v>
      </c>
      <c r="AO164" s="37"/>
      <c r="AP164" s="37"/>
      <c r="AQ164" s="37"/>
    </row>
    <row r="165" spans="1:43" x14ac:dyDescent="0.3">
      <c r="A165" s="48" t="str">
        <f t="shared" si="80"/>
        <v/>
      </c>
      <c r="B165" s="32" t="str">
        <f t="shared" si="81"/>
        <v/>
      </c>
      <c r="C165" s="32" t="str">
        <f t="shared" si="82"/>
        <v/>
      </c>
      <c r="D165" s="32" t="str">
        <f t="shared" si="83"/>
        <v/>
      </c>
      <c r="E165" s="32" t="str">
        <f t="shared" si="84"/>
        <v/>
      </c>
      <c r="F165" s="32" t="str">
        <f t="shared" si="85"/>
        <v/>
      </c>
      <c r="G165" s="47" t="str">
        <f t="shared" si="86"/>
        <v/>
      </c>
      <c r="H165" s="30" t="str">
        <f t="shared" si="87"/>
        <v/>
      </c>
      <c r="I165" s="46" t="str">
        <f>IF($A165="","",IF(AND($L165&lt;27,$K$12=0),"Building",IFERROR(((SUM($H$159:$H165)+$K$12*IF($L165&lt;6,SUMIFS('Throw Log'!$Q$5:$Q$300,'Throw Log'!$B$5:$B$300,$D$4,'Throw Log'!$A$5:$A$300,"&gt;="&amp;($D$6+$L165-6),'Throw Log'!$A$5:$A$300,"&lt;="&amp;($D$6-1)),0))/7)/((SUM($H$138:$H165)+$K$12*IF($L165&lt;27,SUMIFS('Throw Log'!$Q$5:$Q$300,'Throw Log'!$B$5:$B$300,$D$4,'Throw Log'!$A$5:$A$300,"&gt;="&amp;($D$6+$L165-27),'Throw Log'!$A$5:$A$300,"&lt;="&amp;($D$6-1)),0))/28),"")))</f>
        <v/>
      </c>
      <c r="J165" s="37"/>
      <c r="K165" s="37"/>
      <c r="L165" s="32">
        <v>122</v>
      </c>
      <c r="M165" s="32">
        <f t="shared" si="88"/>
        <v>18</v>
      </c>
      <c r="N165" s="32">
        <f t="shared" si="89"/>
        <v>3</v>
      </c>
      <c r="O165" s="32">
        <f t="shared" si="90"/>
        <v>1</v>
      </c>
      <c r="P165" s="32" t="str">
        <f>IF(OR($A165="",N($C165)&lt;=7),"",$G$6*$G$9^($M165-1)*IF(AND(MOD($M165,Reference!$B$99)=0,$M165&lt;=$G$5-2),Reference!$B$100,1))</f>
        <v/>
      </c>
      <c r="Q165" s="32" t="str">
        <f>IF($P165="","",IF(SUM($AK$162:$AK$168)=0,0,$P165*INDEX(Reference!$B$108:$B$114,$N165+1)/SUM($AK$162:$AK$168)))</f>
        <v/>
      </c>
      <c r="R165" s="32">
        <f t="shared" si="91"/>
        <v>180</v>
      </c>
      <c r="S165" s="32">
        <f t="shared" si="92"/>
        <v>150</v>
      </c>
      <c r="T165" s="32" t="str">
        <f>IF($A165="","",IF($C165=0,"Bullpen",IF(OR($C165=7,$C165=1,$C165=5),"Recovery/Easy Catch",IF($C165=6,"Compression/Pulldowns",IF(OR($C165=4,$C165=2),"Long Toss",IF($C165=3,"No Throw",IF($N165=2,"No Throw",IF($N165=6,IF($O165&lt;Reference!$B$104,"No Throw","Recovery/Easy Catch"),IF(OR($N165=0,$N165=4),"Recovery/Easy Catch",IF($N165=1,IF($R165&gt;75,"Long Toss","Recovery/Easy Catch"),IF($N165=3,IF($O165&lt;0.5,IF($S165&gt;75,"Long Toss","Recovery/Easy Catch"),"Compression/Pulldowns"),IF($S165&gt;75,"Long Toss","Recovery/Easy Catch"))))))))))))</f>
        <v/>
      </c>
      <c r="U165" s="32" t="str">
        <f t="shared" si="93"/>
        <v/>
      </c>
      <c r="V165" s="32" t="str">
        <f t="shared" si="94"/>
        <v/>
      </c>
      <c r="W165" s="32" t="str">
        <f t="shared" si="95"/>
        <v/>
      </c>
      <c r="X165" s="32">
        <f t="shared" si="96"/>
        <v>0</v>
      </c>
      <c r="Y165" s="32" t="str">
        <f t="shared" si="97"/>
        <v/>
      </c>
      <c r="Z165" s="32" t="str">
        <f t="shared" si="98"/>
        <v/>
      </c>
      <c r="AA165" s="32" t="str">
        <f t="shared" si="99"/>
        <v/>
      </c>
      <c r="AB165" s="32" t="str">
        <f>IF($A165="","",IF($T165="No Throw",0,IF($K165&lt;&gt;"",$K165,IF($AA165&lt;&gt;"",ROUND($AA165*$D$12*IF($C165=0,1,$G$10),0),MIN(IF($T165="Recovery/Easy Catch",Reference!$B$103,IF($T165="Long Toss",Reference!$B$106,Reference!$B$102)),MAX(Reference!$B$101,ROUND(MAX(0,$Q165-$AE165)/$AF165,0)))))))</f>
        <v/>
      </c>
      <c r="AC165" s="32">
        <f t="shared" si="100"/>
        <v>0</v>
      </c>
      <c r="AD165" s="32" t="b">
        <f t="shared" si="101"/>
        <v>1</v>
      </c>
      <c r="AE165" s="32">
        <f>IF($X165=0,0,$X165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165+$Z165)/2,0),Reference!$A$17:$B$20,2,TRUE()))</f>
        <v>0</v>
      </c>
      <c r="AF165" s="32">
        <f>IF(OR($A165="",$U165="",$T165="No Throw"),0,$AM165*VLOOKUP(MAX(($V165+$W165)/2,0),Reference!$A$17:$B$20,2,TRUE()))</f>
        <v>0</v>
      </c>
      <c r="AG165" s="32">
        <f>IF($AC165=0,0,$AC165*INDEX(Reference!$B$61:$B$62,MATCH("Bullpen",Reference!$A$61:$A$62,0))*VLOOKUP(MAX($D$5-($D$9+$E$9)/2,0),Reference!$A$17:$B$20,2,TRUE()))</f>
        <v>0</v>
      </c>
      <c r="AH165" s="32" t="e">
        <f t="shared" si="102"/>
        <v>#N/A</v>
      </c>
      <c r="AI165" s="32" t="e">
        <f>IF($A165="",NA(),Reference!$A$25)</f>
        <v>#N/A</v>
      </c>
      <c r="AJ165" s="32" t="e">
        <f t="shared" si="103"/>
        <v>#N/A</v>
      </c>
      <c r="AK165" s="32">
        <f>IF(OR($A165="",N($C165)&lt;=7,$T165="No Throw",$J165="x"),0,INDEX(Reference!$B$108:$B$114,$N165+1))</f>
        <v>0</v>
      </c>
      <c r="AL165" s="32">
        <f t="shared" si="104"/>
        <v>1</v>
      </c>
      <c r="AM165" s="32">
        <f>IF($U165="",0,IF($AL165&gt;1,((IF(1&lt;=$AL165,($AL165-1+3)*(INDEX(Reference!$B$6:$B$11,MIN(5,MATCH(MAX(Reference!$A$6,MIN(Reference!$A$11,MIN($U165,90))),Reference!$A$6:$A$11,1)))+(MAX(Reference!$A$6,MIN(Reference!$A$11,MIN($U165,90)))-INDEX(Reference!$A$6:$A$11,MIN(5,MATCH(MAX(Reference!$A$6,MIN(Reference!$A$11,MIN($U165,90))),Reference!$A$6:$A$11,1))))*(INDEX(Reference!$B$6:$B$11,MIN(5,MATCH(MAX(Reference!$A$6,MIN(Reference!$A$11,MIN($U165,90))),Reference!$A$6:$A$11,1))+1)-INDEX(Reference!$B$6:$B$11,MIN(5,MATCH(MAX(Reference!$A$6,MIN(Reference!$A$11,MIN($U165,90))),Reference!$A$6:$A$11,1))))/(INDEX(Reference!$A$6:$A$11,MIN(5,MATCH(MAX(Reference!$A$6,MIN(Reference!$A$11,MIN($U165,90))),Reference!$A$6:$A$11,1))+1)-INDEX(Reference!$A$6:$A$11,MIN(5,MATCH(MAX(Reference!$A$6,MIN(Reference!$A$11,MIN($U165,90))),Reference!$A$6:$A$11,1))))),0)+IF(2&lt;=$AL165,($AL165-2+3)*(INDEX(Reference!$B$6:$B$11,MIN(5,MATCH(MAX(Reference!$A$6,MIN(Reference!$A$11,MIN($U165,120))),Reference!$A$6:$A$11,1)))+(MAX(Reference!$A$6,MIN(Reference!$A$11,MIN($U165,120)))-INDEX(Reference!$A$6:$A$11,MIN(5,MATCH(MAX(Reference!$A$6,MIN(Reference!$A$11,MIN($U165,120))),Reference!$A$6:$A$11,1))))*(INDEX(Reference!$B$6:$B$11,MIN(5,MATCH(MAX(Reference!$A$6,MIN(Reference!$A$11,MIN($U165,120))),Reference!$A$6:$A$11,1))+1)-INDEX(Reference!$B$6:$B$11,MIN(5,MATCH(MAX(Reference!$A$6,MIN(Reference!$A$11,MIN($U165,120))),Reference!$A$6:$A$11,1))))/(INDEX(Reference!$A$6:$A$11,MIN(5,MATCH(MAX(Reference!$A$6,MIN(Reference!$A$11,MIN($U165,120))),Reference!$A$6:$A$11,1))+1)-INDEX(Reference!$A$6:$A$11,MIN(5,MATCH(MAX(Reference!$A$6,MIN(Reference!$A$11,MIN($U165,120))),Reference!$A$6:$A$11,1))))),0)+IF(3&lt;=$AL165,($AL165-3+3)*(INDEX(Reference!$B$6:$B$11,MIN(5,MATCH(MAX(Reference!$A$6,MIN(Reference!$A$11,MIN($U165,150))),Reference!$A$6:$A$11,1)))+(MAX(Reference!$A$6,MIN(Reference!$A$11,MIN($U165,150)))-INDEX(Reference!$A$6:$A$11,MIN(5,MATCH(MAX(Reference!$A$6,MIN(Reference!$A$11,MIN($U165,150))),Reference!$A$6:$A$11,1))))*(INDEX(Reference!$B$6:$B$11,MIN(5,MATCH(MAX(Reference!$A$6,MIN(Reference!$A$11,MIN($U165,150))),Reference!$A$6:$A$11,1))+1)-INDEX(Reference!$B$6:$B$11,MIN(5,MATCH(MAX(Reference!$A$6,MIN(Reference!$A$11,MIN($U165,150))),Reference!$A$6:$A$11,1))))/(INDEX(Reference!$A$6:$A$11,MIN(5,MATCH(MAX(Reference!$A$6,MIN(Reference!$A$11,MIN($U165,150))),Reference!$A$6:$A$11,1))+1)-INDEX(Reference!$A$6:$A$11,MIN(5,MATCH(MAX(Reference!$A$6,MIN(Reference!$A$11,MIN($U165,150))),Reference!$A$6:$A$11,1))))),0)+IF(4&lt;=$AL165,($AL165-4+3)*(INDEX(Reference!$B$6:$B$11,MIN(5,MATCH(MAX(Reference!$A$6,MIN(Reference!$A$11,MIN($U165,180))),Reference!$A$6:$A$11,1)))+(MAX(Reference!$A$6,MIN(Reference!$A$11,MIN($U165,180)))-INDEX(Reference!$A$6:$A$11,MIN(5,MATCH(MAX(Reference!$A$6,MIN(Reference!$A$11,MIN($U165,180))),Reference!$A$6:$A$11,1))))*(INDEX(Reference!$B$6:$B$11,MIN(5,MATCH(MAX(Reference!$A$6,MIN(Reference!$A$11,MIN($U165,180))),Reference!$A$6:$A$11,1))+1)-INDEX(Reference!$B$6:$B$11,MIN(5,MATCH(MAX(Reference!$A$6,MIN(Reference!$A$11,MIN($U165,180))),Reference!$A$6:$A$11,1))))/(INDEX(Reference!$A$6:$A$11,MIN(5,MATCH(MAX(Reference!$A$6,MIN(Reference!$A$11,MIN($U165,180))),Reference!$A$6:$A$11,1))+1)-INDEX(Reference!$A$6:$A$11,MIN(5,MATCH(MAX(Reference!$A$6,MIN(Reference!$A$11,MIN($U165,180))),Reference!$A$6:$A$11,1))))),0)+IF(5&lt;=$AL165,($AL165-5+3)*(INDEX(Reference!$B$6:$B$11,MIN(5,MATCH(MAX(Reference!$A$6,MIN(Reference!$A$11,MIN($U165,210))),Reference!$A$6:$A$11,1)))+(MAX(Reference!$A$6,MIN(Reference!$A$11,MIN($U165,210)))-INDEX(Reference!$A$6:$A$11,MIN(5,MATCH(MAX(Reference!$A$6,MIN(Reference!$A$11,MIN($U165,210))),Reference!$A$6:$A$11,1))))*(INDEX(Reference!$B$6:$B$11,MIN(5,MATCH(MAX(Reference!$A$6,MIN(Reference!$A$11,MIN($U165,210))),Reference!$A$6:$A$11,1))+1)-INDEX(Reference!$B$6:$B$11,MIN(5,MATCH(MAX(Reference!$A$6,MIN(Reference!$A$11,MIN($U165,210))),Reference!$A$6:$A$11,1))))/(INDEX(Reference!$A$6:$A$11,MIN(5,MATCH(MAX(Reference!$A$6,MIN(Reference!$A$11,MIN($U165,210))),Reference!$A$6:$A$11,1))+1)-INDEX(Reference!$A$6:$A$11,MIN(5,MATCH(MAX(Reference!$A$6,MIN(Reference!$A$11,MIN($U165,210))),Reference!$A$6:$A$11,1))))),0)+IF(6&lt;=$AL165,($AL165-6+3)*(INDEX(Reference!$B$6:$B$11,MIN(5,MATCH(MAX(Reference!$A$6,MIN(Reference!$A$11,MIN($U165,240))),Reference!$A$6:$A$11,1)))+(MAX(Reference!$A$6,MIN(Reference!$A$11,MIN($U165,240)))-INDEX(Reference!$A$6:$A$11,MIN(5,MATCH(MAX(Reference!$A$6,MIN(Reference!$A$11,MIN($U165,240))),Reference!$A$6:$A$11,1))))*(INDEX(Reference!$B$6:$B$11,MIN(5,MATCH(MAX(Reference!$A$6,MIN(Reference!$A$11,MIN($U165,240))),Reference!$A$6:$A$11,1))+1)-INDEX(Reference!$B$6:$B$11,MIN(5,MATCH(MAX(Reference!$A$6,MIN(Reference!$A$11,MIN($U165,240))),Reference!$A$6:$A$11,1))))/(INDEX(Reference!$A$6:$A$11,MIN(5,MATCH(MAX(Reference!$A$6,MIN(Reference!$A$11,MIN($U165,240))),Reference!$A$6:$A$11,1))+1)-INDEX(Reference!$A$6:$A$11,MIN(5,MATCH(MAX(Reference!$A$6,MIN(Reference!$A$11,MIN($U165,240))),Reference!$A$6:$A$11,1))))),0)+IF(7&lt;=$AL165,($AL165-7+3)*(INDEX(Reference!$B$6:$B$11,MIN(5,MATCH(MAX(Reference!$A$6,MIN(Reference!$A$11,MIN($U165,270))),Reference!$A$6:$A$11,1)))+(MAX(Reference!$A$6,MIN(Reference!$A$11,MIN($U165,270)))-INDEX(Reference!$A$6:$A$11,MIN(5,MATCH(MAX(Reference!$A$6,MIN(Reference!$A$11,MIN($U165,270))),Reference!$A$6:$A$11,1))))*(INDEX(Reference!$B$6:$B$11,MIN(5,MATCH(MAX(Reference!$A$6,MIN(Reference!$A$11,MIN($U165,270))),Reference!$A$6:$A$11,1))+1)-INDEX(Reference!$B$6:$B$11,MIN(5,MATCH(MAX(Reference!$A$6,MIN(Reference!$A$11,MIN($U165,270))),Reference!$A$6:$A$11,1))))/(INDEX(Reference!$A$6:$A$11,MIN(5,MATCH(MAX(Reference!$A$6,MIN(Reference!$A$11,MIN($U165,270))),Reference!$A$6:$A$11,1))+1)-INDEX(Reference!$A$6:$A$11,MIN(5,MATCH(MAX(Reference!$A$6,MIN(Reference!$A$11,MIN($U165,270))),Reference!$A$6:$A$11,1))))),0)+IF(8&lt;=$AL165,($AL165-8+3)*(INDEX(Reference!$B$6:$B$11,MIN(5,MATCH(MAX(Reference!$A$6,MIN(Reference!$A$11,MIN($U165,300))),Reference!$A$6:$A$11,1)))+(MAX(Reference!$A$6,MIN(Reference!$A$11,MIN($U165,300)))-INDEX(Reference!$A$6:$A$11,MIN(5,MATCH(MAX(Reference!$A$6,MIN(Reference!$A$11,MIN($U165,300))),Reference!$A$6:$A$11,1))))*(INDEX(Reference!$B$6:$B$11,MIN(5,MATCH(MAX(Reference!$A$6,MIN(Reference!$A$11,MIN($U165,300))),Reference!$A$6:$A$11,1))+1)-INDEX(Reference!$B$6:$B$11,MIN(5,MATCH(MAX(Reference!$A$6,MIN(Reference!$A$11,MIN($U165,300))),Reference!$A$6:$A$11,1))))/(INDEX(Reference!$A$6:$A$11,MIN(5,MATCH(MAX(Reference!$A$6,MIN(Reference!$A$11,MIN($U165,300))),Reference!$A$6:$A$11,1))+1)-INDEX(Reference!$A$6:$A$11,MIN(5,MATCH(MAX(Reference!$A$6,MIN(Reference!$A$11,MIN($U165,300))),Reference!$A$6:$A$11,1))))),0))/($AL165*($AL165+5)/2)),$AN165))</f>
        <v>0</v>
      </c>
      <c r="AN165" s="32">
        <f>IF($U165="",0,(INDEX(Reference!$B$6:$B$11,MIN(5,MATCH(MAX(Reference!$A$6,MIN(Reference!$A$11,$U165)),Reference!$A$6:$A$11,1)))+(MAX(Reference!$A$6,MIN(Reference!$A$11,$U165))-INDEX(Reference!$A$6:$A$11,MIN(5,MATCH(MAX(Reference!$A$6,MIN(Reference!$A$11,$U165)),Reference!$A$6:$A$11,1))))*(INDEX(Reference!$B$6:$B$11,MIN(5,MATCH(MAX(Reference!$A$6,MIN(Reference!$A$11,$U165)),Reference!$A$6:$A$11,1))+1)-INDEX(Reference!$B$6:$B$11,MIN(5,MATCH(MAX(Reference!$A$6,MIN(Reference!$A$11,$U165)),Reference!$A$6:$A$11,1))))/(INDEX(Reference!$A$6:$A$11,MIN(5,MATCH(MAX(Reference!$A$6,MIN(Reference!$A$11,$U165)),Reference!$A$6:$A$11,1))+1)-INDEX(Reference!$A$6:$A$11,MIN(5,MATCH(MAX(Reference!$A$6,MIN(Reference!$A$11,$U165)),Reference!$A$6:$A$11,1))))))</f>
        <v>0</v>
      </c>
      <c r="AO165" s="37"/>
      <c r="AP165" s="37"/>
      <c r="AQ165" s="37"/>
    </row>
    <row r="166" spans="1:43" x14ac:dyDescent="0.3">
      <c r="A166" s="48" t="str">
        <f t="shared" si="80"/>
        <v/>
      </c>
      <c r="B166" s="32" t="str">
        <f t="shared" si="81"/>
        <v/>
      </c>
      <c r="C166" s="32" t="str">
        <f t="shared" si="82"/>
        <v/>
      </c>
      <c r="D166" s="32" t="str">
        <f t="shared" si="83"/>
        <v/>
      </c>
      <c r="E166" s="32" t="str">
        <f t="shared" si="84"/>
        <v/>
      </c>
      <c r="F166" s="32" t="str">
        <f t="shared" si="85"/>
        <v/>
      </c>
      <c r="G166" s="47" t="str">
        <f t="shared" si="86"/>
        <v/>
      </c>
      <c r="H166" s="30" t="str">
        <f t="shared" si="87"/>
        <v/>
      </c>
      <c r="I166" s="46" t="str">
        <f>IF($A166="","",IF(AND($L166&lt;27,$K$12=0),"Building",IFERROR(((SUM($H$160:$H166)+$K$12*IF($L166&lt;6,SUMIFS('Throw Log'!$Q$5:$Q$300,'Throw Log'!$B$5:$B$300,$D$4,'Throw Log'!$A$5:$A$300,"&gt;="&amp;($D$6+$L166-6),'Throw Log'!$A$5:$A$300,"&lt;="&amp;($D$6-1)),0))/7)/((SUM($H$139:$H166)+$K$12*IF($L166&lt;27,SUMIFS('Throw Log'!$Q$5:$Q$300,'Throw Log'!$B$5:$B$300,$D$4,'Throw Log'!$A$5:$A$300,"&gt;="&amp;($D$6+$L166-27),'Throw Log'!$A$5:$A$300,"&lt;="&amp;($D$6-1)),0))/28),"")))</f>
        <v/>
      </c>
      <c r="J166" s="37"/>
      <c r="K166" s="37"/>
      <c r="L166" s="32">
        <v>123</v>
      </c>
      <c r="M166" s="32">
        <f t="shared" si="88"/>
        <v>18</v>
      </c>
      <c r="N166" s="32">
        <f t="shared" si="89"/>
        <v>4</v>
      </c>
      <c r="O166" s="32">
        <f t="shared" si="90"/>
        <v>1</v>
      </c>
      <c r="P166" s="32" t="str">
        <f>IF(OR($A166="",N($C166)&lt;=7),"",$G$6*$G$9^($M166-1)*IF(AND(MOD($M166,Reference!$B$99)=0,$M166&lt;=$G$5-2),Reference!$B$100,1))</f>
        <v/>
      </c>
      <c r="Q166" s="32" t="str">
        <f>IF($P166="","",IF(SUM($AK$162:$AK$168)=0,0,$P166*INDEX(Reference!$B$108:$B$114,$N166+1)/SUM($AK$162:$AK$168)))</f>
        <v/>
      </c>
      <c r="R166" s="32">
        <f t="shared" si="91"/>
        <v>180</v>
      </c>
      <c r="S166" s="32">
        <f t="shared" si="92"/>
        <v>150</v>
      </c>
      <c r="T166" s="32" t="str">
        <f>IF($A166="","",IF($C166=0,"Bullpen",IF(OR($C166=7,$C166=1,$C166=5),"Recovery/Easy Catch",IF($C166=6,"Compression/Pulldowns",IF(OR($C166=4,$C166=2),"Long Toss",IF($C166=3,"No Throw",IF($N166=2,"No Throw",IF($N166=6,IF($O166&lt;Reference!$B$104,"No Throw","Recovery/Easy Catch"),IF(OR($N166=0,$N166=4),"Recovery/Easy Catch",IF($N166=1,IF($R166&gt;75,"Long Toss","Recovery/Easy Catch"),IF($N166=3,IF($O166&lt;0.5,IF($S166&gt;75,"Long Toss","Recovery/Easy Catch"),"Compression/Pulldowns"),IF($S166&gt;75,"Long Toss","Recovery/Easy Catch"))))))))))))</f>
        <v/>
      </c>
      <c r="U166" s="32" t="str">
        <f t="shared" si="93"/>
        <v/>
      </c>
      <c r="V166" s="32" t="str">
        <f t="shared" si="94"/>
        <v/>
      </c>
      <c r="W166" s="32" t="str">
        <f t="shared" si="95"/>
        <v/>
      </c>
      <c r="X166" s="32">
        <f t="shared" si="96"/>
        <v>0</v>
      </c>
      <c r="Y166" s="32" t="str">
        <f t="shared" si="97"/>
        <v/>
      </c>
      <c r="Z166" s="32" t="str">
        <f t="shared" si="98"/>
        <v/>
      </c>
      <c r="AA166" s="32" t="str">
        <f t="shared" si="99"/>
        <v/>
      </c>
      <c r="AB166" s="32" t="str">
        <f>IF($A166="","",IF($T166="No Throw",0,IF($K166&lt;&gt;"",$K166,IF($AA166&lt;&gt;"",ROUND($AA166*$D$12*IF($C166=0,1,$G$10),0),MIN(IF($T166="Recovery/Easy Catch",Reference!$B$103,IF($T166="Long Toss",Reference!$B$106,Reference!$B$102)),MAX(Reference!$B$101,ROUND(MAX(0,$Q166-$AE166)/$AF166,0)))))))</f>
        <v/>
      </c>
      <c r="AC166" s="32">
        <f t="shared" si="100"/>
        <v>0</v>
      </c>
      <c r="AD166" s="32" t="b">
        <f t="shared" si="101"/>
        <v>1</v>
      </c>
      <c r="AE166" s="32">
        <f>IF($X166=0,0,$X166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166+$Z166)/2,0),Reference!$A$17:$B$20,2,TRUE()))</f>
        <v>0</v>
      </c>
      <c r="AF166" s="32">
        <f>IF(OR($A166="",$U166="",$T166="No Throw"),0,$AM166*VLOOKUP(MAX(($V166+$W166)/2,0),Reference!$A$17:$B$20,2,TRUE()))</f>
        <v>0</v>
      </c>
      <c r="AG166" s="32">
        <f>IF($AC166=0,0,$AC166*INDEX(Reference!$B$61:$B$62,MATCH("Bullpen",Reference!$A$61:$A$62,0))*VLOOKUP(MAX($D$5-($D$9+$E$9)/2,0),Reference!$A$17:$B$20,2,TRUE()))</f>
        <v>0</v>
      </c>
      <c r="AH166" s="32" t="e">
        <f t="shared" si="102"/>
        <v>#N/A</v>
      </c>
      <c r="AI166" s="32" t="e">
        <f>IF($A166="",NA(),Reference!$A$25)</f>
        <v>#N/A</v>
      </c>
      <c r="AJ166" s="32" t="e">
        <f t="shared" si="103"/>
        <v>#N/A</v>
      </c>
      <c r="AK166" s="32">
        <f>IF(OR($A166="",N($C166)&lt;=7,$T166="No Throw",$J166="x"),0,INDEX(Reference!$B$108:$B$114,$N166+1))</f>
        <v>0</v>
      </c>
      <c r="AL166" s="32">
        <f t="shared" si="104"/>
        <v>1</v>
      </c>
      <c r="AM166" s="32">
        <f>IF($U166="",0,IF($AL166&gt;1,((IF(1&lt;=$AL166,($AL166-1+3)*(INDEX(Reference!$B$6:$B$11,MIN(5,MATCH(MAX(Reference!$A$6,MIN(Reference!$A$11,MIN($U166,90))),Reference!$A$6:$A$11,1)))+(MAX(Reference!$A$6,MIN(Reference!$A$11,MIN($U166,90)))-INDEX(Reference!$A$6:$A$11,MIN(5,MATCH(MAX(Reference!$A$6,MIN(Reference!$A$11,MIN($U166,90))),Reference!$A$6:$A$11,1))))*(INDEX(Reference!$B$6:$B$11,MIN(5,MATCH(MAX(Reference!$A$6,MIN(Reference!$A$11,MIN($U166,90))),Reference!$A$6:$A$11,1))+1)-INDEX(Reference!$B$6:$B$11,MIN(5,MATCH(MAX(Reference!$A$6,MIN(Reference!$A$11,MIN($U166,90))),Reference!$A$6:$A$11,1))))/(INDEX(Reference!$A$6:$A$11,MIN(5,MATCH(MAX(Reference!$A$6,MIN(Reference!$A$11,MIN($U166,90))),Reference!$A$6:$A$11,1))+1)-INDEX(Reference!$A$6:$A$11,MIN(5,MATCH(MAX(Reference!$A$6,MIN(Reference!$A$11,MIN($U166,90))),Reference!$A$6:$A$11,1))))),0)+IF(2&lt;=$AL166,($AL166-2+3)*(INDEX(Reference!$B$6:$B$11,MIN(5,MATCH(MAX(Reference!$A$6,MIN(Reference!$A$11,MIN($U166,120))),Reference!$A$6:$A$11,1)))+(MAX(Reference!$A$6,MIN(Reference!$A$11,MIN($U166,120)))-INDEX(Reference!$A$6:$A$11,MIN(5,MATCH(MAX(Reference!$A$6,MIN(Reference!$A$11,MIN($U166,120))),Reference!$A$6:$A$11,1))))*(INDEX(Reference!$B$6:$B$11,MIN(5,MATCH(MAX(Reference!$A$6,MIN(Reference!$A$11,MIN($U166,120))),Reference!$A$6:$A$11,1))+1)-INDEX(Reference!$B$6:$B$11,MIN(5,MATCH(MAX(Reference!$A$6,MIN(Reference!$A$11,MIN($U166,120))),Reference!$A$6:$A$11,1))))/(INDEX(Reference!$A$6:$A$11,MIN(5,MATCH(MAX(Reference!$A$6,MIN(Reference!$A$11,MIN($U166,120))),Reference!$A$6:$A$11,1))+1)-INDEX(Reference!$A$6:$A$11,MIN(5,MATCH(MAX(Reference!$A$6,MIN(Reference!$A$11,MIN($U166,120))),Reference!$A$6:$A$11,1))))),0)+IF(3&lt;=$AL166,($AL166-3+3)*(INDEX(Reference!$B$6:$B$11,MIN(5,MATCH(MAX(Reference!$A$6,MIN(Reference!$A$11,MIN($U166,150))),Reference!$A$6:$A$11,1)))+(MAX(Reference!$A$6,MIN(Reference!$A$11,MIN($U166,150)))-INDEX(Reference!$A$6:$A$11,MIN(5,MATCH(MAX(Reference!$A$6,MIN(Reference!$A$11,MIN($U166,150))),Reference!$A$6:$A$11,1))))*(INDEX(Reference!$B$6:$B$11,MIN(5,MATCH(MAX(Reference!$A$6,MIN(Reference!$A$11,MIN($U166,150))),Reference!$A$6:$A$11,1))+1)-INDEX(Reference!$B$6:$B$11,MIN(5,MATCH(MAX(Reference!$A$6,MIN(Reference!$A$11,MIN($U166,150))),Reference!$A$6:$A$11,1))))/(INDEX(Reference!$A$6:$A$11,MIN(5,MATCH(MAX(Reference!$A$6,MIN(Reference!$A$11,MIN($U166,150))),Reference!$A$6:$A$11,1))+1)-INDEX(Reference!$A$6:$A$11,MIN(5,MATCH(MAX(Reference!$A$6,MIN(Reference!$A$11,MIN($U166,150))),Reference!$A$6:$A$11,1))))),0)+IF(4&lt;=$AL166,($AL166-4+3)*(INDEX(Reference!$B$6:$B$11,MIN(5,MATCH(MAX(Reference!$A$6,MIN(Reference!$A$11,MIN($U166,180))),Reference!$A$6:$A$11,1)))+(MAX(Reference!$A$6,MIN(Reference!$A$11,MIN($U166,180)))-INDEX(Reference!$A$6:$A$11,MIN(5,MATCH(MAX(Reference!$A$6,MIN(Reference!$A$11,MIN($U166,180))),Reference!$A$6:$A$11,1))))*(INDEX(Reference!$B$6:$B$11,MIN(5,MATCH(MAX(Reference!$A$6,MIN(Reference!$A$11,MIN($U166,180))),Reference!$A$6:$A$11,1))+1)-INDEX(Reference!$B$6:$B$11,MIN(5,MATCH(MAX(Reference!$A$6,MIN(Reference!$A$11,MIN($U166,180))),Reference!$A$6:$A$11,1))))/(INDEX(Reference!$A$6:$A$11,MIN(5,MATCH(MAX(Reference!$A$6,MIN(Reference!$A$11,MIN($U166,180))),Reference!$A$6:$A$11,1))+1)-INDEX(Reference!$A$6:$A$11,MIN(5,MATCH(MAX(Reference!$A$6,MIN(Reference!$A$11,MIN($U166,180))),Reference!$A$6:$A$11,1))))),0)+IF(5&lt;=$AL166,($AL166-5+3)*(INDEX(Reference!$B$6:$B$11,MIN(5,MATCH(MAX(Reference!$A$6,MIN(Reference!$A$11,MIN($U166,210))),Reference!$A$6:$A$11,1)))+(MAX(Reference!$A$6,MIN(Reference!$A$11,MIN($U166,210)))-INDEX(Reference!$A$6:$A$11,MIN(5,MATCH(MAX(Reference!$A$6,MIN(Reference!$A$11,MIN($U166,210))),Reference!$A$6:$A$11,1))))*(INDEX(Reference!$B$6:$B$11,MIN(5,MATCH(MAX(Reference!$A$6,MIN(Reference!$A$11,MIN($U166,210))),Reference!$A$6:$A$11,1))+1)-INDEX(Reference!$B$6:$B$11,MIN(5,MATCH(MAX(Reference!$A$6,MIN(Reference!$A$11,MIN($U166,210))),Reference!$A$6:$A$11,1))))/(INDEX(Reference!$A$6:$A$11,MIN(5,MATCH(MAX(Reference!$A$6,MIN(Reference!$A$11,MIN($U166,210))),Reference!$A$6:$A$11,1))+1)-INDEX(Reference!$A$6:$A$11,MIN(5,MATCH(MAX(Reference!$A$6,MIN(Reference!$A$11,MIN($U166,210))),Reference!$A$6:$A$11,1))))),0)+IF(6&lt;=$AL166,($AL166-6+3)*(INDEX(Reference!$B$6:$B$11,MIN(5,MATCH(MAX(Reference!$A$6,MIN(Reference!$A$11,MIN($U166,240))),Reference!$A$6:$A$11,1)))+(MAX(Reference!$A$6,MIN(Reference!$A$11,MIN($U166,240)))-INDEX(Reference!$A$6:$A$11,MIN(5,MATCH(MAX(Reference!$A$6,MIN(Reference!$A$11,MIN($U166,240))),Reference!$A$6:$A$11,1))))*(INDEX(Reference!$B$6:$B$11,MIN(5,MATCH(MAX(Reference!$A$6,MIN(Reference!$A$11,MIN($U166,240))),Reference!$A$6:$A$11,1))+1)-INDEX(Reference!$B$6:$B$11,MIN(5,MATCH(MAX(Reference!$A$6,MIN(Reference!$A$11,MIN($U166,240))),Reference!$A$6:$A$11,1))))/(INDEX(Reference!$A$6:$A$11,MIN(5,MATCH(MAX(Reference!$A$6,MIN(Reference!$A$11,MIN($U166,240))),Reference!$A$6:$A$11,1))+1)-INDEX(Reference!$A$6:$A$11,MIN(5,MATCH(MAX(Reference!$A$6,MIN(Reference!$A$11,MIN($U166,240))),Reference!$A$6:$A$11,1))))),0)+IF(7&lt;=$AL166,($AL166-7+3)*(INDEX(Reference!$B$6:$B$11,MIN(5,MATCH(MAX(Reference!$A$6,MIN(Reference!$A$11,MIN($U166,270))),Reference!$A$6:$A$11,1)))+(MAX(Reference!$A$6,MIN(Reference!$A$11,MIN($U166,270)))-INDEX(Reference!$A$6:$A$11,MIN(5,MATCH(MAX(Reference!$A$6,MIN(Reference!$A$11,MIN($U166,270))),Reference!$A$6:$A$11,1))))*(INDEX(Reference!$B$6:$B$11,MIN(5,MATCH(MAX(Reference!$A$6,MIN(Reference!$A$11,MIN($U166,270))),Reference!$A$6:$A$11,1))+1)-INDEX(Reference!$B$6:$B$11,MIN(5,MATCH(MAX(Reference!$A$6,MIN(Reference!$A$11,MIN($U166,270))),Reference!$A$6:$A$11,1))))/(INDEX(Reference!$A$6:$A$11,MIN(5,MATCH(MAX(Reference!$A$6,MIN(Reference!$A$11,MIN($U166,270))),Reference!$A$6:$A$11,1))+1)-INDEX(Reference!$A$6:$A$11,MIN(5,MATCH(MAX(Reference!$A$6,MIN(Reference!$A$11,MIN($U166,270))),Reference!$A$6:$A$11,1))))),0)+IF(8&lt;=$AL166,($AL166-8+3)*(INDEX(Reference!$B$6:$B$11,MIN(5,MATCH(MAX(Reference!$A$6,MIN(Reference!$A$11,MIN($U166,300))),Reference!$A$6:$A$11,1)))+(MAX(Reference!$A$6,MIN(Reference!$A$11,MIN($U166,300)))-INDEX(Reference!$A$6:$A$11,MIN(5,MATCH(MAX(Reference!$A$6,MIN(Reference!$A$11,MIN($U166,300))),Reference!$A$6:$A$11,1))))*(INDEX(Reference!$B$6:$B$11,MIN(5,MATCH(MAX(Reference!$A$6,MIN(Reference!$A$11,MIN($U166,300))),Reference!$A$6:$A$11,1))+1)-INDEX(Reference!$B$6:$B$11,MIN(5,MATCH(MAX(Reference!$A$6,MIN(Reference!$A$11,MIN($U166,300))),Reference!$A$6:$A$11,1))))/(INDEX(Reference!$A$6:$A$11,MIN(5,MATCH(MAX(Reference!$A$6,MIN(Reference!$A$11,MIN($U166,300))),Reference!$A$6:$A$11,1))+1)-INDEX(Reference!$A$6:$A$11,MIN(5,MATCH(MAX(Reference!$A$6,MIN(Reference!$A$11,MIN($U166,300))),Reference!$A$6:$A$11,1))))),0))/($AL166*($AL166+5)/2)),$AN166))</f>
        <v>0</v>
      </c>
      <c r="AN166" s="32">
        <f>IF($U166="",0,(INDEX(Reference!$B$6:$B$11,MIN(5,MATCH(MAX(Reference!$A$6,MIN(Reference!$A$11,$U166)),Reference!$A$6:$A$11,1)))+(MAX(Reference!$A$6,MIN(Reference!$A$11,$U166))-INDEX(Reference!$A$6:$A$11,MIN(5,MATCH(MAX(Reference!$A$6,MIN(Reference!$A$11,$U166)),Reference!$A$6:$A$11,1))))*(INDEX(Reference!$B$6:$B$11,MIN(5,MATCH(MAX(Reference!$A$6,MIN(Reference!$A$11,$U166)),Reference!$A$6:$A$11,1))+1)-INDEX(Reference!$B$6:$B$11,MIN(5,MATCH(MAX(Reference!$A$6,MIN(Reference!$A$11,$U166)),Reference!$A$6:$A$11,1))))/(INDEX(Reference!$A$6:$A$11,MIN(5,MATCH(MAX(Reference!$A$6,MIN(Reference!$A$11,$U166)),Reference!$A$6:$A$11,1))+1)-INDEX(Reference!$A$6:$A$11,MIN(5,MATCH(MAX(Reference!$A$6,MIN(Reference!$A$11,$U166)),Reference!$A$6:$A$11,1))))))</f>
        <v>0</v>
      </c>
      <c r="AO166" s="37"/>
      <c r="AP166" s="37"/>
      <c r="AQ166" s="37"/>
    </row>
    <row r="167" spans="1:43" x14ac:dyDescent="0.3">
      <c r="A167" s="48" t="str">
        <f t="shared" si="80"/>
        <v/>
      </c>
      <c r="B167" s="32" t="str">
        <f t="shared" si="81"/>
        <v/>
      </c>
      <c r="C167" s="32" t="str">
        <f t="shared" si="82"/>
        <v/>
      </c>
      <c r="D167" s="32" t="str">
        <f t="shared" si="83"/>
        <v/>
      </c>
      <c r="E167" s="32" t="str">
        <f t="shared" si="84"/>
        <v/>
      </c>
      <c r="F167" s="32" t="str">
        <f t="shared" si="85"/>
        <v/>
      </c>
      <c r="G167" s="47" t="str">
        <f t="shared" si="86"/>
        <v/>
      </c>
      <c r="H167" s="30" t="str">
        <f t="shared" si="87"/>
        <v/>
      </c>
      <c r="I167" s="46" t="str">
        <f>IF($A167="","",IF(AND($L167&lt;27,$K$12=0),"Building",IFERROR(((SUM($H$161:$H167)+$K$12*IF($L167&lt;6,SUMIFS('Throw Log'!$Q$5:$Q$300,'Throw Log'!$B$5:$B$300,$D$4,'Throw Log'!$A$5:$A$300,"&gt;="&amp;($D$6+$L167-6),'Throw Log'!$A$5:$A$300,"&lt;="&amp;($D$6-1)),0))/7)/((SUM($H$140:$H167)+$K$12*IF($L167&lt;27,SUMIFS('Throw Log'!$Q$5:$Q$300,'Throw Log'!$B$5:$B$300,$D$4,'Throw Log'!$A$5:$A$300,"&gt;="&amp;($D$6+$L167-27),'Throw Log'!$A$5:$A$300,"&lt;="&amp;($D$6-1)),0))/28),"")))</f>
        <v/>
      </c>
      <c r="J167" s="37"/>
      <c r="K167" s="37"/>
      <c r="L167" s="32">
        <v>124</v>
      </c>
      <c r="M167" s="32">
        <f t="shared" si="88"/>
        <v>18</v>
      </c>
      <c r="N167" s="32">
        <f t="shared" si="89"/>
        <v>5</v>
      </c>
      <c r="O167" s="32">
        <f t="shared" si="90"/>
        <v>1</v>
      </c>
      <c r="P167" s="32" t="str">
        <f>IF(OR($A167="",N($C167)&lt;=7),"",$G$6*$G$9^($M167-1)*IF(AND(MOD($M167,Reference!$B$99)=0,$M167&lt;=$G$5-2),Reference!$B$100,1))</f>
        <v/>
      </c>
      <c r="Q167" s="32" t="str">
        <f>IF($P167="","",IF(SUM($AK$162:$AK$168)=0,0,$P167*INDEX(Reference!$B$108:$B$114,$N167+1)/SUM($AK$162:$AK$168)))</f>
        <v/>
      </c>
      <c r="R167" s="32">
        <f t="shared" si="91"/>
        <v>180</v>
      </c>
      <c r="S167" s="32">
        <f t="shared" si="92"/>
        <v>150</v>
      </c>
      <c r="T167" s="32" t="str">
        <f>IF($A167="","",IF($C167=0,"Bullpen",IF(OR($C167=7,$C167=1,$C167=5),"Recovery/Easy Catch",IF($C167=6,"Compression/Pulldowns",IF(OR($C167=4,$C167=2),"Long Toss",IF($C167=3,"No Throw",IF($N167=2,"No Throw",IF($N167=6,IF($O167&lt;Reference!$B$104,"No Throw","Recovery/Easy Catch"),IF(OR($N167=0,$N167=4),"Recovery/Easy Catch",IF($N167=1,IF($R167&gt;75,"Long Toss","Recovery/Easy Catch"),IF($N167=3,IF($O167&lt;0.5,IF($S167&gt;75,"Long Toss","Recovery/Easy Catch"),"Compression/Pulldowns"),IF($S167&gt;75,"Long Toss","Recovery/Easy Catch"))))))))))))</f>
        <v/>
      </c>
      <c r="U167" s="32" t="str">
        <f t="shared" si="93"/>
        <v/>
      </c>
      <c r="V167" s="32" t="str">
        <f t="shared" si="94"/>
        <v/>
      </c>
      <c r="W167" s="32" t="str">
        <f t="shared" si="95"/>
        <v/>
      </c>
      <c r="X167" s="32">
        <f t="shared" si="96"/>
        <v>0</v>
      </c>
      <c r="Y167" s="32" t="str">
        <f t="shared" si="97"/>
        <v/>
      </c>
      <c r="Z167" s="32" t="str">
        <f t="shared" si="98"/>
        <v/>
      </c>
      <c r="AA167" s="32" t="str">
        <f t="shared" si="99"/>
        <v/>
      </c>
      <c r="AB167" s="32" t="str">
        <f>IF($A167="","",IF($T167="No Throw",0,IF($K167&lt;&gt;"",$K167,IF($AA167&lt;&gt;"",ROUND($AA167*$D$12*IF($C167=0,1,$G$10),0),MIN(IF($T167="Recovery/Easy Catch",Reference!$B$103,IF($T167="Long Toss",Reference!$B$106,Reference!$B$102)),MAX(Reference!$B$101,ROUND(MAX(0,$Q167-$AE167)/$AF167,0)))))))</f>
        <v/>
      </c>
      <c r="AC167" s="32">
        <f t="shared" si="100"/>
        <v>0</v>
      </c>
      <c r="AD167" s="32" t="b">
        <f t="shared" si="101"/>
        <v>1</v>
      </c>
      <c r="AE167" s="32">
        <f>IF($X167=0,0,$X167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167+$Z167)/2,0),Reference!$A$17:$B$20,2,TRUE()))</f>
        <v>0</v>
      </c>
      <c r="AF167" s="32">
        <f>IF(OR($A167="",$U167="",$T167="No Throw"),0,$AM167*VLOOKUP(MAX(($V167+$W167)/2,0),Reference!$A$17:$B$20,2,TRUE()))</f>
        <v>0</v>
      </c>
      <c r="AG167" s="32">
        <f>IF($AC167=0,0,$AC167*INDEX(Reference!$B$61:$B$62,MATCH("Bullpen",Reference!$A$61:$A$62,0))*VLOOKUP(MAX($D$5-($D$9+$E$9)/2,0),Reference!$A$17:$B$20,2,TRUE()))</f>
        <v>0</v>
      </c>
      <c r="AH167" s="32" t="e">
        <f t="shared" si="102"/>
        <v>#N/A</v>
      </c>
      <c r="AI167" s="32" t="e">
        <f>IF($A167="",NA(),Reference!$A$25)</f>
        <v>#N/A</v>
      </c>
      <c r="AJ167" s="32" t="e">
        <f t="shared" si="103"/>
        <v>#N/A</v>
      </c>
      <c r="AK167" s="32">
        <f>IF(OR($A167="",N($C167)&lt;=7,$T167="No Throw",$J167="x"),0,INDEX(Reference!$B$108:$B$114,$N167+1))</f>
        <v>0</v>
      </c>
      <c r="AL167" s="32">
        <f t="shared" si="104"/>
        <v>1</v>
      </c>
      <c r="AM167" s="32">
        <f>IF($U167="",0,IF($AL167&gt;1,((IF(1&lt;=$AL167,($AL167-1+3)*(INDEX(Reference!$B$6:$B$11,MIN(5,MATCH(MAX(Reference!$A$6,MIN(Reference!$A$11,MIN($U167,90))),Reference!$A$6:$A$11,1)))+(MAX(Reference!$A$6,MIN(Reference!$A$11,MIN($U167,90)))-INDEX(Reference!$A$6:$A$11,MIN(5,MATCH(MAX(Reference!$A$6,MIN(Reference!$A$11,MIN($U167,90))),Reference!$A$6:$A$11,1))))*(INDEX(Reference!$B$6:$B$11,MIN(5,MATCH(MAX(Reference!$A$6,MIN(Reference!$A$11,MIN($U167,90))),Reference!$A$6:$A$11,1))+1)-INDEX(Reference!$B$6:$B$11,MIN(5,MATCH(MAX(Reference!$A$6,MIN(Reference!$A$11,MIN($U167,90))),Reference!$A$6:$A$11,1))))/(INDEX(Reference!$A$6:$A$11,MIN(5,MATCH(MAX(Reference!$A$6,MIN(Reference!$A$11,MIN($U167,90))),Reference!$A$6:$A$11,1))+1)-INDEX(Reference!$A$6:$A$11,MIN(5,MATCH(MAX(Reference!$A$6,MIN(Reference!$A$11,MIN($U167,90))),Reference!$A$6:$A$11,1))))),0)+IF(2&lt;=$AL167,($AL167-2+3)*(INDEX(Reference!$B$6:$B$11,MIN(5,MATCH(MAX(Reference!$A$6,MIN(Reference!$A$11,MIN($U167,120))),Reference!$A$6:$A$11,1)))+(MAX(Reference!$A$6,MIN(Reference!$A$11,MIN($U167,120)))-INDEX(Reference!$A$6:$A$11,MIN(5,MATCH(MAX(Reference!$A$6,MIN(Reference!$A$11,MIN($U167,120))),Reference!$A$6:$A$11,1))))*(INDEX(Reference!$B$6:$B$11,MIN(5,MATCH(MAX(Reference!$A$6,MIN(Reference!$A$11,MIN($U167,120))),Reference!$A$6:$A$11,1))+1)-INDEX(Reference!$B$6:$B$11,MIN(5,MATCH(MAX(Reference!$A$6,MIN(Reference!$A$11,MIN($U167,120))),Reference!$A$6:$A$11,1))))/(INDEX(Reference!$A$6:$A$11,MIN(5,MATCH(MAX(Reference!$A$6,MIN(Reference!$A$11,MIN($U167,120))),Reference!$A$6:$A$11,1))+1)-INDEX(Reference!$A$6:$A$11,MIN(5,MATCH(MAX(Reference!$A$6,MIN(Reference!$A$11,MIN($U167,120))),Reference!$A$6:$A$11,1))))),0)+IF(3&lt;=$AL167,($AL167-3+3)*(INDEX(Reference!$B$6:$B$11,MIN(5,MATCH(MAX(Reference!$A$6,MIN(Reference!$A$11,MIN($U167,150))),Reference!$A$6:$A$11,1)))+(MAX(Reference!$A$6,MIN(Reference!$A$11,MIN($U167,150)))-INDEX(Reference!$A$6:$A$11,MIN(5,MATCH(MAX(Reference!$A$6,MIN(Reference!$A$11,MIN($U167,150))),Reference!$A$6:$A$11,1))))*(INDEX(Reference!$B$6:$B$11,MIN(5,MATCH(MAX(Reference!$A$6,MIN(Reference!$A$11,MIN($U167,150))),Reference!$A$6:$A$11,1))+1)-INDEX(Reference!$B$6:$B$11,MIN(5,MATCH(MAX(Reference!$A$6,MIN(Reference!$A$11,MIN($U167,150))),Reference!$A$6:$A$11,1))))/(INDEX(Reference!$A$6:$A$11,MIN(5,MATCH(MAX(Reference!$A$6,MIN(Reference!$A$11,MIN($U167,150))),Reference!$A$6:$A$11,1))+1)-INDEX(Reference!$A$6:$A$11,MIN(5,MATCH(MAX(Reference!$A$6,MIN(Reference!$A$11,MIN($U167,150))),Reference!$A$6:$A$11,1))))),0)+IF(4&lt;=$AL167,($AL167-4+3)*(INDEX(Reference!$B$6:$B$11,MIN(5,MATCH(MAX(Reference!$A$6,MIN(Reference!$A$11,MIN($U167,180))),Reference!$A$6:$A$11,1)))+(MAX(Reference!$A$6,MIN(Reference!$A$11,MIN($U167,180)))-INDEX(Reference!$A$6:$A$11,MIN(5,MATCH(MAX(Reference!$A$6,MIN(Reference!$A$11,MIN($U167,180))),Reference!$A$6:$A$11,1))))*(INDEX(Reference!$B$6:$B$11,MIN(5,MATCH(MAX(Reference!$A$6,MIN(Reference!$A$11,MIN($U167,180))),Reference!$A$6:$A$11,1))+1)-INDEX(Reference!$B$6:$B$11,MIN(5,MATCH(MAX(Reference!$A$6,MIN(Reference!$A$11,MIN($U167,180))),Reference!$A$6:$A$11,1))))/(INDEX(Reference!$A$6:$A$11,MIN(5,MATCH(MAX(Reference!$A$6,MIN(Reference!$A$11,MIN($U167,180))),Reference!$A$6:$A$11,1))+1)-INDEX(Reference!$A$6:$A$11,MIN(5,MATCH(MAX(Reference!$A$6,MIN(Reference!$A$11,MIN($U167,180))),Reference!$A$6:$A$11,1))))),0)+IF(5&lt;=$AL167,($AL167-5+3)*(INDEX(Reference!$B$6:$B$11,MIN(5,MATCH(MAX(Reference!$A$6,MIN(Reference!$A$11,MIN($U167,210))),Reference!$A$6:$A$11,1)))+(MAX(Reference!$A$6,MIN(Reference!$A$11,MIN($U167,210)))-INDEX(Reference!$A$6:$A$11,MIN(5,MATCH(MAX(Reference!$A$6,MIN(Reference!$A$11,MIN($U167,210))),Reference!$A$6:$A$11,1))))*(INDEX(Reference!$B$6:$B$11,MIN(5,MATCH(MAX(Reference!$A$6,MIN(Reference!$A$11,MIN($U167,210))),Reference!$A$6:$A$11,1))+1)-INDEX(Reference!$B$6:$B$11,MIN(5,MATCH(MAX(Reference!$A$6,MIN(Reference!$A$11,MIN($U167,210))),Reference!$A$6:$A$11,1))))/(INDEX(Reference!$A$6:$A$11,MIN(5,MATCH(MAX(Reference!$A$6,MIN(Reference!$A$11,MIN($U167,210))),Reference!$A$6:$A$11,1))+1)-INDEX(Reference!$A$6:$A$11,MIN(5,MATCH(MAX(Reference!$A$6,MIN(Reference!$A$11,MIN($U167,210))),Reference!$A$6:$A$11,1))))),0)+IF(6&lt;=$AL167,($AL167-6+3)*(INDEX(Reference!$B$6:$B$11,MIN(5,MATCH(MAX(Reference!$A$6,MIN(Reference!$A$11,MIN($U167,240))),Reference!$A$6:$A$11,1)))+(MAX(Reference!$A$6,MIN(Reference!$A$11,MIN($U167,240)))-INDEX(Reference!$A$6:$A$11,MIN(5,MATCH(MAX(Reference!$A$6,MIN(Reference!$A$11,MIN($U167,240))),Reference!$A$6:$A$11,1))))*(INDEX(Reference!$B$6:$B$11,MIN(5,MATCH(MAX(Reference!$A$6,MIN(Reference!$A$11,MIN($U167,240))),Reference!$A$6:$A$11,1))+1)-INDEX(Reference!$B$6:$B$11,MIN(5,MATCH(MAX(Reference!$A$6,MIN(Reference!$A$11,MIN($U167,240))),Reference!$A$6:$A$11,1))))/(INDEX(Reference!$A$6:$A$11,MIN(5,MATCH(MAX(Reference!$A$6,MIN(Reference!$A$11,MIN($U167,240))),Reference!$A$6:$A$11,1))+1)-INDEX(Reference!$A$6:$A$11,MIN(5,MATCH(MAX(Reference!$A$6,MIN(Reference!$A$11,MIN($U167,240))),Reference!$A$6:$A$11,1))))),0)+IF(7&lt;=$AL167,($AL167-7+3)*(INDEX(Reference!$B$6:$B$11,MIN(5,MATCH(MAX(Reference!$A$6,MIN(Reference!$A$11,MIN($U167,270))),Reference!$A$6:$A$11,1)))+(MAX(Reference!$A$6,MIN(Reference!$A$11,MIN($U167,270)))-INDEX(Reference!$A$6:$A$11,MIN(5,MATCH(MAX(Reference!$A$6,MIN(Reference!$A$11,MIN($U167,270))),Reference!$A$6:$A$11,1))))*(INDEX(Reference!$B$6:$B$11,MIN(5,MATCH(MAX(Reference!$A$6,MIN(Reference!$A$11,MIN($U167,270))),Reference!$A$6:$A$11,1))+1)-INDEX(Reference!$B$6:$B$11,MIN(5,MATCH(MAX(Reference!$A$6,MIN(Reference!$A$11,MIN($U167,270))),Reference!$A$6:$A$11,1))))/(INDEX(Reference!$A$6:$A$11,MIN(5,MATCH(MAX(Reference!$A$6,MIN(Reference!$A$11,MIN($U167,270))),Reference!$A$6:$A$11,1))+1)-INDEX(Reference!$A$6:$A$11,MIN(5,MATCH(MAX(Reference!$A$6,MIN(Reference!$A$11,MIN($U167,270))),Reference!$A$6:$A$11,1))))),0)+IF(8&lt;=$AL167,($AL167-8+3)*(INDEX(Reference!$B$6:$B$11,MIN(5,MATCH(MAX(Reference!$A$6,MIN(Reference!$A$11,MIN($U167,300))),Reference!$A$6:$A$11,1)))+(MAX(Reference!$A$6,MIN(Reference!$A$11,MIN($U167,300)))-INDEX(Reference!$A$6:$A$11,MIN(5,MATCH(MAX(Reference!$A$6,MIN(Reference!$A$11,MIN($U167,300))),Reference!$A$6:$A$11,1))))*(INDEX(Reference!$B$6:$B$11,MIN(5,MATCH(MAX(Reference!$A$6,MIN(Reference!$A$11,MIN($U167,300))),Reference!$A$6:$A$11,1))+1)-INDEX(Reference!$B$6:$B$11,MIN(5,MATCH(MAX(Reference!$A$6,MIN(Reference!$A$11,MIN($U167,300))),Reference!$A$6:$A$11,1))))/(INDEX(Reference!$A$6:$A$11,MIN(5,MATCH(MAX(Reference!$A$6,MIN(Reference!$A$11,MIN($U167,300))),Reference!$A$6:$A$11,1))+1)-INDEX(Reference!$A$6:$A$11,MIN(5,MATCH(MAX(Reference!$A$6,MIN(Reference!$A$11,MIN($U167,300))),Reference!$A$6:$A$11,1))))),0))/($AL167*($AL167+5)/2)),$AN167))</f>
        <v>0</v>
      </c>
      <c r="AN167" s="32">
        <f>IF($U167="",0,(INDEX(Reference!$B$6:$B$11,MIN(5,MATCH(MAX(Reference!$A$6,MIN(Reference!$A$11,$U167)),Reference!$A$6:$A$11,1)))+(MAX(Reference!$A$6,MIN(Reference!$A$11,$U167))-INDEX(Reference!$A$6:$A$11,MIN(5,MATCH(MAX(Reference!$A$6,MIN(Reference!$A$11,$U167)),Reference!$A$6:$A$11,1))))*(INDEX(Reference!$B$6:$B$11,MIN(5,MATCH(MAX(Reference!$A$6,MIN(Reference!$A$11,$U167)),Reference!$A$6:$A$11,1))+1)-INDEX(Reference!$B$6:$B$11,MIN(5,MATCH(MAX(Reference!$A$6,MIN(Reference!$A$11,$U167)),Reference!$A$6:$A$11,1))))/(INDEX(Reference!$A$6:$A$11,MIN(5,MATCH(MAX(Reference!$A$6,MIN(Reference!$A$11,$U167)),Reference!$A$6:$A$11,1))+1)-INDEX(Reference!$A$6:$A$11,MIN(5,MATCH(MAX(Reference!$A$6,MIN(Reference!$A$11,$U167)),Reference!$A$6:$A$11,1))))))</f>
        <v>0</v>
      </c>
      <c r="AO167" s="37"/>
      <c r="AP167" s="37"/>
      <c r="AQ167" s="37"/>
    </row>
    <row r="168" spans="1:43" x14ac:dyDescent="0.3">
      <c r="A168" s="48" t="str">
        <f t="shared" si="80"/>
        <v/>
      </c>
      <c r="B168" s="32" t="str">
        <f t="shared" si="81"/>
        <v/>
      </c>
      <c r="C168" s="32" t="str">
        <f t="shared" si="82"/>
        <v/>
      </c>
      <c r="D168" s="32" t="str">
        <f t="shared" si="83"/>
        <v/>
      </c>
      <c r="E168" s="32" t="str">
        <f t="shared" si="84"/>
        <v/>
      </c>
      <c r="F168" s="32" t="str">
        <f t="shared" si="85"/>
        <v/>
      </c>
      <c r="G168" s="47" t="str">
        <f t="shared" si="86"/>
        <v/>
      </c>
      <c r="H168" s="30" t="str">
        <f t="shared" si="87"/>
        <v/>
      </c>
      <c r="I168" s="46" t="str">
        <f>IF($A168="","",IF(AND($L168&lt;27,$K$12=0),"Building",IFERROR(((SUM($H$162:$H168)+$K$12*IF($L168&lt;6,SUMIFS('Throw Log'!$Q$5:$Q$300,'Throw Log'!$B$5:$B$300,$D$4,'Throw Log'!$A$5:$A$300,"&gt;="&amp;($D$6+$L168-6),'Throw Log'!$A$5:$A$300,"&lt;="&amp;($D$6-1)),0))/7)/((SUM($H$141:$H168)+$K$12*IF($L168&lt;27,SUMIFS('Throw Log'!$Q$5:$Q$300,'Throw Log'!$B$5:$B$300,$D$4,'Throw Log'!$A$5:$A$300,"&gt;="&amp;($D$6+$L168-27),'Throw Log'!$A$5:$A$300,"&lt;="&amp;($D$6-1)),0))/28),"")))</f>
        <v/>
      </c>
      <c r="J168" s="37"/>
      <c r="K168" s="37"/>
      <c r="L168" s="32">
        <v>125</v>
      </c>
      <c r="M168" s="32">
        <f t="shared" si="88"/>
        <v>18</v>
      </c>
      <c r="N168" s="32">
        <f t="shared" si="89"/>
        <v>6</v>
      </c>
      <c r="O168" s="32">
        <f t="shared" si="90"/>
        <v>1</v>
      </c>
      <c r="P168" s="32" t="str">
        <f>IF(OR($A168="",N($C168)&lt;=7),"",$G$6*$G$9^($M168-1)*IF(AND(MOD($M168,Reference!$B$99)=0,$M168&lt;=$G$5-2),Reference!$B$100,1))</f>
        <v/>
      </c>
      <c r="Q168" s="32" t="str">
        <f>IF($P168="","",IF(SUM($AK$162:$AK$168)=0,0,$P168*INDEX(Reference!$B$108:$B$114,$N168+1)/SUM($AK$162:$AK$168)))</f>
        <v/>
      </c>
      <c r="R168" s="32">
        <f t="shared" si="91"/>
        <v>180</v>
      </c>
      <c r="S168" s="32">
        <f t="shared" si="92"/>
        <v>150</v>
      </c>
      <c r="T168" s="32" t="str">
        <f>IF($A168="","",IF($C168=0,"Bullpen",IF(OR($C168=7,$C168=1,$C168=5),"Recovery/Easy Catch",IF($C168=6,"Compression/Pulldowns",IF(OR($C168=4,$C168=2),"Long Toss",IF($C168=3,"No Throw",IF($N168=2,"No Throw",IF($N168=6,IF($O168&lt;Reference!$B$104,"No Throw","Recovery/Easy Catch"),IF(OR($N168=0,$N168=4),"Recovery/Easy Catch",IF($N168=1,IF($R168&gt;75,"Long Toss","Recovery/Easy Catch"),IF($N168=3,IF($O168&lt;0.5,IF($S168&gt;75,"Long Toss","Recovery/Easy Catch"),"Compression/Pulldowns"),IF($S168&gt;75,"Long Toss","Recovery/Easy Catch"))))))))))))</f>
        <v/>
      </c>
      <c r="U168" s="32" t="str">
        <f t="shared" si="93"/>
        <v/>
      </c>
      <c r="V168" s="32" t="str">
        <f t="shared" si="94"/>
        <v/>
      </c>
      <c r="W168" s="32" t="str">
        <f t="shared" si="95"/>
        <v/>
      </c>
      <c r="X168" s="32">
        <f t="shared" si="96"/>
        <v>0</v>
      </c>
      <c r="Y168" s="32" t="str">
        <f t="shared" si="97"/>
        <v/>
      </c>
      <c r="Z168" s="32" t="str">
        <f t="shared" si="98"/>
        <v/>
      </c>
      <c r="AA168" s="32" t="str">
        <f t="shared" si="99"/>
        <v/>
      </c>
      <c r="AB168" s="32" t="str">
        <f>IF($A168="","",IF($T168="No Throw",0,IF($K168&lt;&gt;"",$K168,IF($AA168&lt;&gt;"",ROUND($AA168*$D$12*IF($C168=0,1,$G$10),0),MIN(IF($T168="Recovery/Easy Catch",Reference!$B$103,IF($T168="Long Toss",Reference!$B$106,Reference!$B$102)),MAX(Reference!$B$101,ROUND(MAX(0,$Q168-$AE168)/$AF168,0)))))))</f>
        <v/>
      </c>
      <c r="AC168" s="32">
        <f t="shared" si="100"/>
        <v>0</v>
      </c>
      <c r="AD168" s="32" t="b">
        <f t="shared" si="101"/>
        <v>1</v>
      </c>
      <c r="AE168" s="32">
        <f>IF($X168=0,0,$X168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168+$Z168)/2,0),Reference!$A$17:$B$20,2,TRUE()))</f>
        <v>0</v>
      </c>
      <c r="AF168" s="32">
        <f>IF(OR($A168="",$U168="",$T168="No Throw"),0,$AM168*VLOOKUP(MAX(($V168+$W168)/2,0),Reference!$A$17:$B$20,2,TRUE()))</f>
        <v>0</v>
      </c>
      <c r="AG168" s="32">
        <f>IF($AC168=0,0,$AC168*INDEX(Reference!$B$61:$B$62,MATCH("Bullpen",Reference!$A$61:$A$62,0))*VLOOKUP(MAX($D$5-($D$9+$E$9)/2,0),Reference!$A$17:$B$20,2,TRUE()))</f>
        <v>0</v>
      </c>
      <c r="AH168" s="32" t="e">
        <f t="shared" si="102"/>
        <v>#N/A</v>
      </c>
      <c r="AI168" s="32" t="e">
        <f>IF($A168="",NA(),Reference!$A$25)</f>
        <v>#N/A</v>
      </c>
      <c r="AJ168" s="32" t="e">
        <f t="shared" si="103"/>
        <v>#N/A</v>
      </c>
      <c r="AK168" s="32">
        <f>IF(OR($A168="",N($C168)&lt;=7,$T168="No Throw",$J168="x"),0,INDEX(Reference!$B$108:$B$114,$N168+1))</f>
        <v>0</v>
      </c>
      <c r="AL168" s="32">
        <f t="shared" si="104"/>
        <v>1</v>
      </c>
      <c r="AM168" s="32">
        <f>IF($U168="",0,IF($AL168&gt;1,((IF(1&lt;=$AL168,($AL168-1+3)*(INDEX(Reference!$B$6:$B$11,MIN(5,MATCH(MAX(Reference!$A$6,MIN(Reference!$A$11,MIN($U168,90))),Reference!$A$6:$A$11,1)))+(MAX(Reference!$A$6,MIN(Reference!$A$11,MIN($U168,90)))-INDEX(Reference!$A$6:$A$11,MIN(5,MATCH(MAX(Reference!$A$6,MIN(Reference!$A$11,MIN($U168,90))),Reference!$A$6:$A$11,1))))*(INDEX(Reference!$B$6:$B$11,MIN(5,MATCH(MAX(Reference!$A$6,MIN(Reference!$A$11,MIN($U168,90))),Reference!$A$6:$A$11,1))+1)-INDEX(Reference!$B$6:$B$11,MIN(5,MATCH(MAX(Reference!$A$6,MIN(Reference!$A$11,MIN($U168,90))),Reference!$A$6:$A$11,1))))/(INDEX(Reference!$A$6:$A$11,MIN(5,MATCH(MAX(Reference!$A$6,MIN(Reference!$A$11,MIN($U168,90))),Reference!$A$6:$A$11,1))+1)-INDEX(Reference!$A$6:$A$11,MIN(5,MATCH(MAX(Reference!$A$6,MIN(Reference!$A$11,MIN($U168,90))),Reference!$A$6:$A$11,1))))),0)+IF(2&lt;=$AL168,($AL168-2+3)*(INDEX(Reference!$B$6:$B$11,MIN(5,MATCH(MAX(Reference!$A$6,MIN(Reference!$A$11,MIN($U168,120))),Reference!$A$6:$A$11,1)))+(MAX(Reference!$A$6,MIN(Reference!$A$11,MIN($U168,120)))-INDEX(Reference!$A$6:$A$11,MIN(5,MATCH(MAX(Reference!$A$6,MIN(Reference!$A$11,MIN($U168,120))),Reference!$A$6:$A$11,1))))*(INDEX(Reference!$B$6:$B$11,MIN(5,MATCH(MAX(Reference!$A$6,MIN(Reference!$A$11,MIN($U168,120))),Reference!$A$6:$A$11,1))+1)-INDEX(Reference!$B$6:$B$11,MIN(5,MATCH(MAX(Reference!$A$6,MIN(Reference!$A$11,MIN($U168,120))),Reference!$A$6:$A$11,1))))/(INDEX(Reference!$A$6:$A$11,MIN(5,MATCH(MAX(Reference!$A$6,MIN(Reference!$A$11,MIN($U168,120))),Reference!$A$6:$A$11,1))+1)-INDEX(Reference!$A$6:$A$11,MIN(5,MATCH(MAX(Reference!$A$6,MIN(Reference!$A$11,MIN($U168,120))),Reference!$A$6:$A$11,1))))),0)+IF(3&lt;=$AL168,($AL168-3+3)*(INDEX(Reference!$B$6:$B$11,MIN(5,MATCH(MAX(Reference!$A$6,MIN(Reference!$A$11,MIN($U168,150))),Reference!$A$6:$A$11,1)))+(MAX(Reference!$A$6,MIN(Reference!$A$11,MIN($U168,150)))-INDEX(Reference!$A$6:$A$11,MIN(5,MATCH(MAX(Reference!$A$6,MIN(Reference!$A$11,MIN($U168,150))),Reference!$A$6:$A$11,1))))*(INDEX(Reference!$B$6:$B$11,MIN(5,MATCH(MAX(Reference!$A$6,MIN(Reference!$A$11,MIN($U168,150))),Reference!$A$6:$A$11,1))+1)-INDEX(Reference!$B$6:$B$11,MIN(5,MATCH(MAX(Reference!$A$6,MIN(Reference!$A$11,MIN($U168,150))),Reference!$A$6:$A$11,1))))/(INDEX(Reference!$A$6:$A$11,MIN(5,MATCH(MAX(Reference!$A$6,MIN(Reference!$A$11,MIN($U168,150))),Reference!$A$6:$A$11,1))+1)-INDEX(Reference!$A$6:$A$11,MIN(5,MATCH(MAX(Reference!$A$6,MIN(Reference!$A$11,MIN($U168,150))),Reference!$A$6:$A$11,1))))),0)+IF(4&lt;=$AL168,($AL168-4+3)*(INDEX(Reference!$B$6:$B$11,MIN(5,MATCH(MAX(Reference!$A$6,MIN(Reference!$A$11,MIN($U168,180))),Reference!$A$6:$A$11,1)))+(MAX(Reference!$A$6,MIN(Reference!$A$11,MIN($U168,180)))-INDEX(Reference!$A$6:$A$11,MIN(5,MATCH(MAX(Reference!$A$6,MIN(Reference!$A$11,MIN($U168,180))),Reference!$A$6:$A$11,1))))*(INDEX(Reference!$B$6:$B$11,MIN(5,MATCH(MAX(Reference!$A$6,MIN(Reference!$A$11,MIN($U168,180))),Reference!$A$6:$A$11,1))+1)-INDEX(Reference!$B$6:$B$11,MIN(5,MATCH(MAX(Reference!$A$6,MIN(Reference!$A$11,MIN($U168,180))),Reference!$A$6:$A$11,1))))/(INDEX(Reference!$A$6:$A$11,MIN(5,MATCH(MAX(Reference!$A$6,MIN(Reference!$A$11,MIN($U168,180))),Reference!$A$6:$A$11,1))+1)-INDEX(Reference!$A$6:$A$11,MIN(5,MATCH(MAX(Reference!$A$6,MIN(Reference!$A$11,MIN($U168,180))),Reference!$A$6:$A$11,1))))),0)+IF(5&lt;=$AL168,($AL168-5+3)*(INDEX(Reference!$B$6:$B$11,MIN(5,MATCH(MAX(Reference!$A$6,MIN(Reference!$A$11,MIN($U168,210))),Reference!$A$6:$A$11,1)))+(MAX(Reference!$A$6,MIN(Reference!$A$11,MIN($U168,210)))-INDEX(Reference!$A$6:$A$11,MIN(5,MATCH(MAX(Reference!$A$6,MIN(Reference!$A$11,MIN($U168,210))),Reference!$A$6:$A$11,1))))*(INDEX(Reference!$B$6:$B$11,MIN(5,MATCH(MAX(Reference!$A$6,MIN(Reference!$A$11,MIN($U168,210))),Reference!$A$6:$A$11,1))+1)-INDEX(Reference!$B$6:$B$11,MIN(5,MATCH(MAX(Reference!$A$6,MIN(Reference!$A$11,MIN($U168,210))),Reference!$A$6:$A$11,1))))/(INDEX(Reference!$A$6:$A$11,MIN(5,MATCH(MAX(Reference!$A$6,MIN(Reference!$A$11,MIN($U168,210))),Reference!$A$6:$A$11,1))+1)-INDEX(Reference!$A$6:$A$11,MIN(5,MATCH(MAX(Reference!$A$6,MIN(Reference!$A$11,MIN($U168,210))),Reference!$A$6:$A$11,1))))),0)+IF(6&lt;=$AL168,($AL168-6+3)*(INDEX(Reference!$B$6:$B$11,MIN(5,MATCH(MAX(Reference!$A$6,MIN(Reference!$A$11,MIN($U168,240))),Reference!$A$6:$A$11,1)))+(MAX(Reference!$A$6,MIN(Reference!$A$11,MIN($U168,240)))-INDEX(Reference!$A$6:$A$11,MIN(5,MATCH(MAX(Reference!$A$6,MIN(Reference!$A$11,MIN($U168,240))),Reference!$A$6:$A$11,1))))*(INDEX(Reference!$B$6:$B$11,MIN(5,MATCH(MAX(Reference!$A$6,MIN(Reference!$A$11,MIN($U168,240))),Reference!$A$6:$A$11,1))+1)-INDEX(Reference!$B$6:$B$11,MIN(5,MATCH(MAX(Reference!$A$6,MIN(Reference!$A$11,MIN($U168,240))),Reference!$A$6:$A$11,1))))/(INDEX(Reference!$A$6:$A$11,MIN(5,MATCH(MAX(Reference!$A$6,MIN(Reference!$A$11,MIN($U168,240))),Reference!$A$6:$A$11,1))+1)-INDEX(Reference!$A$6:$A$11,MIN(5,MATCH(MAX(Reference!$A$6,MIN(Reference!$A$11,MIN($U168,240))),Reference!$A$6:$A$11,1))))),0)+IF(7&lt;=$AL168,($AL168-7+3)*(INDEX(Reference!$B$6:$B$11,MIN(5,MATCH(MAX(Reference!$A$6,MIN(Reference!$A$11,MIN($U168,270))),Reference!$A$6:$A$11,1)))+(MAX(Reference!$A$6,MIN(Reference!$A$11,MIN($U168,270)))-INDEX(Reference!$A$6:$A$11,MIN(5,MATCH(MAX(Reference!$A$6,MIN(Reference!$A$11,MIN($U168,270))),Reference!$A$6:$A$11,1))))*(INDEX(Reference!$B$6:$B$11,MIN(5,MATCH(MAX(Reference!$A$6,MIN(Reference!$A$11,MIN($U168,270))),Reference!$A$6:$A$11,1))+1)-INDEX(Reference!$B$6:$B$11,MIN(5,MATCH(MAX(Reference!$A$6,MIN(Reference!$A$11,MIN($U168,270))),Reference!$A$6:$A$11,1))))/(INDEX(Reference!$A$6:$A$11,MIN(5,MATCH(MAX(Reference!$A$6,MIN(Reference!$A$11,MIN($U168,270))),Reference!$A$6:$A$11,1))+1)-INDEX(Reference!$A$6:$A$11,MIN(5,MATCH(MAX(Reference!$A$6,MIN(Reference!$A$11,MIN($U168,270))),Reference!$A$6:$A$11,1))))),0)+IF(8&lt;=$AL168,($AL168-8+3)*(INDEX(Reference!$B$6:$B$11,MIN(5,MATCH(MAX(Reference!$A$6,MIN(Reference!$A$11,MIN($U168,300))),Reference!$A$6:$A$11,1)))+(MAX(Reference!$A$6,MIN(Reference!$A$11,MIN($U168,300)))-INDEX(Reference!$A$6:$A$11,MIN(5,MATCH(MAX(Reference!$A$6,MIN(Reference!$A$11,MIN($U168,300))),Reference!$A$6:$A$11,1))))*(INDEX(Reference!$B$6:$B$11,MIN(5,MATCH(MAX(Reference!$A$6,MIN(Reference!$A$11,MIN($U168,300))),Reference!$A$6:$A$11,1))+1)-INDEX(Reference!$B$6:$B$11,MIN(5,MATCH(MAX(Reference!$A$6,MIN(Reference!$A$11,MIN($U168,300))),Reference!$A$6:$A$11,1))))/(INDEX(Reference!$A$6:$A$11,MIN(5,MATCH(MAX(Reference!$A$6,MIN(Reference!$A$11,MIN($U168,300))),Reference!$A$6:$A$11,1))+1)-INDEX(Reference!$A$6:$A$11,MIN(5,MATCH(MAX(Reference!$A$6,MIN(Reference!$A$11,MIN($U168,300))),Reference!$A$6:$A$11,1))))),0))/($AL168*($AL168+5)/2)),$AN168))</f>
        <v>0</v>
      </c>
      <c r="AN168" s="32">
        <f>IF($U168="",0,(INDEX(Reference!$B$6:$B$11,MIN(5,MATCH(MAX(Reference!$A$6,MIN(Reference!$A$11,$U168)),Reference!$A$6:$A$11,1)))+(MAX(Reference!$A$6,MIN(Reference!$A$11,$U168))-INDEX(Reference!$A$6:$A$11,MIN(5,MATCH(MAX(Reference!$A$6,MIN(Reference!$A$11,$U168)),Reference!$A$6:$A$11,1))))*(INDEX(Reference!$B$6:$B$11,MIN(5,MATCH(MAX(Reference!$A$6,MIN(Reference!$A$11,$U168)),Reference!$A$6:$A$11,1))+1)-INDEX(Reference!$B$6:$B$11,MIN(5,MATCH(MAX(Reference!$A$6,MIN(Reference!$A$11,$U168)),Reference!$A$6:$A$11,1))))/(INDEX(Reference!$A$6:$A$11,MIN(5,MATCH(MAX(Reference!$A$6,MIN(Reference!$A$11,$U168)),Reference!$A$6:$A$11,1))+1)-INDEX(Reference!$A$6:$A$11,MIN(5,MATCH(MAX(Reference!$A$6,MIN(Reference!$A$11,$U168)),Reference!$A$6:$A$11,1))))))</f>
        <v>0</v>
      </c>
      <c r="AO168" s="37"/>
      <c r="AP168" s="37"/>
      <c r="AQ168" s="37"/>
    </row>
    <row r="169" spans="1:43" x14ac:dyDescent="0.3">
      <c r="A169" s="48" t="str">
        <f t="shared" si="80"/>
        <v/>
      </c>
      <c r="B169" s="32" t="str">
        <f t="shared" si="81"/>
        <v/>
      </c>
      <c r="C169" s="32" t="str">
        <f t="shared" si="82"/>
        <v/>
      </c>
      <c r="D169" s="32" t="str">
        <f t="shared" si="83"/>
        <v/>
      </c>
      <c r="E169" s="32" t="str">
        <f t="shared" si="84"/>
        <v/>
      </c>
      <c r="F169" s="32" t="str">
        <f t="shared" si="85"/>
        <v/>
      </c>
      <c r="G169" s="47" t="str">
        <f t="shared" si="86"/>
        <v/>
      </c>
      <c r="H169" s="30" t="str">
        <f t="shared" si="87"/>
        <v/>
      </c>
      <c r="I169" s="46" t="str">
        <f>IF($A169="","",IF(AND($L169&lt;27,$K$12=0),"Building",IFERROR(((SUM($H$163:$H169)+$K$12*IF($L169&lt;6,SUMIFS('Throw Log'!$Q$5:$Q$300,'Throw Log'!$B$5:$B$300,$D$4,'Throw Log'!$A$5:$A$300,"&gt;="&amp;($D$6+$L169-6),'Throw Log'!$A$5:$A$300,"&lt;="&amp;($D$6-1)),0))/7)/((SUM($H$142:$H169)+$K$12*IF($L169&lt;27,SUMIFS('Throw Log'!$Q$5:$Q$300,'Throw Log'!$B$5:$B$300,$D$4,'Throw Log'!$A$5:$A$300,"&gt;="&amp;($D$6+$L169-27),'Throw Log'!$A$5:$A$300,"&lt;="&amp;($D$6-1)),0))/28),"")))</f>
        <v/>
      </c>
      <c r="J169" s="37"/>
      <c r="K169" s="37"/>
      <c r="L169" s="32">
        <v>126</v>
      </c>
      <c r="M169" s="32">
        <f t="shared" si="88"/>
        <v>19</v>
      </c>
      <c r="N169" s="32">
        <f t="shared" si="89"/>
        <v>0</v>
      </c>
      <c r="O169" s="32">
        <f t="shared" si="90"/>
        <v>1</v>
      </c>
      <c r="P169" s="32" t="str">
        <f>IF(OR($A169="",N($C169)&lt;=7),"",$G$6*$G$9^($M169-1)*IF(AND(MOD($M169,Reference!$B$99)=0,$M169&lt;=$G$5-2),Reference!$B$100,1))</f>
        <v/>
      </c>
      <c r="Q169" s="32" t="str">
        <f>IF($P169="","",IF(SUM($AK$169:$AK$175)=0,0,$P169*INDEX(Reference!$B$108:$B$114,$N169+1)/SUM($AK$169:$AK$175)))</f>
        <v/>
      </c>
      <c r="R169" s="32">
        <f t="shared" si="91"/>
        <v>180</v>
      </c>
      <c r="S169" s="32">
        <f t="shared" si="92"/>
        <v>150</v>
      </c>
      <c r="T169" s="32" t="str">
        <f>IF($A169="","",IF($C169=0,"Bullpen",IF(OR($C169=7,$C169=1,$C169=5),"Recovery/Easy Catch",IF($C169=6,"Compression/Pulldowns",IF(OR($C169=4,$C169=2),"Long Toss",IF($C169=3,"No Throw",IF($N169=2,"No Throw",IF($N169=6,IF($O169&lt;Reference!$B$104,"No Throw","Recovery/Easy Catch"),IF(OR($N169=0,$N169=4),"Recovery/Easy Catch",IF($N169=1,IF($R169&gt;75,"Long Toss","Recovery/Easy Catch"),IF($N169=3,IF($O169&lt;0.5,IF($S169&gt;75,"Long Toss","Recovery/Easy Catch"),"Compression/Pulldowns"),IF($S169&gt;75,"Long Toss","Recovery/Easy Catch"))))))))))))</f>
        <v/>
      </c>
      <c r="U169" s="32" t="str">
        <f t="shared" si="93"/>
        <v/>
      </c>
      <c r="V169" s="32" t="str">
        <f t="shared" si="94"/>
        <v/>
      </c>
      <c r="W169" s="32" t="str">
        <f t="shared" si="95"/>
        <v/>
      </c>
      <c r="X169" s="32">
        <f t="shared" si="96"/>
        <v>0</v>
      </c>
      <c r="Y169" s="32" t="str">
        <f t="shared" si="97"/>
        <v/>
      </c>
      <c r="Z169" s="32" t="str">
        <f t="shared" si="98"/>
        <v/>
      </c>
      <c r="AA169" s="32" t="str">
        <f t="shared" si="99"/>
        <v/>
      </c>
      <c r="AB169" s="32" t="str">
        <f>IF($A169="","",IF($T169="No Throw",0,IF($K169&lt;&gt;"",$K169,IF($AA169&lt;&gt;"",ROUND($AA169*$D$12*IF($C169=0,1,$G$10),0),MIN(IF($T169="Recovery/Easy Catch",Reference!$B$103,IF($T169="Long Toss",Reference!$B$106,Reference!$B$102)),MAX(Reference!$B$101,ROUND(MAX(0,$Q169-$AE169)/$AF169,0)))))))</f>
        <v/>
      </c>
      <c r="AC169" s="32">
        <f t="shared" si="100"/>
        <v>0</v>
      </c>
      <c r="AD169" s="32" t="b">
        <f t="shared" si="101"/>
        <v>1</v>
      </c>
      <c r="AE169" s="32">
        <f>IF($X169=0,0,$X169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169+$Z169)/2,0),Reference!$A$17:$B$20,2,TRUE()))</f>
        <v>0</v>
      </c>
      <c r="AF169" s="32">
        <f>IF(OR($A169="",$U169="",$T169="No Throw"),0,$AM169*VLOOKUP(MAX(($V169+$W169)/2,0),Reference!$A$17:$B$20,2,TRUE()))</f>
        <v>0</v>
      </c>
      <c r="AG169" s="32">
        <f>IF($AC169=0,0,$AC169*INDEX(Reference!$B$61:$B$62,MATCH("Bullpen",Reference!$A$61:$A$62,0))*VLOOKUP(MAX($D$5-($D$9+$E$9)/2,0),Reference!$A$17:$B$20,2,TRUE()))</f>
        <v>0</v>
      </c>
      <c r="AH169" s="32" t="e">
        <f t="shared" si="102"/>
        <v>#N/A</v>
      </c>
      <c r="AI169" s="32" t="e">
        <f>IF($A169="",NA(),Reference!$A$25)</f>
        <v>#N/A</v>
      </c>
      <c r="AJ169" s="32" t="e">
        <f t="shared" si="103"/>
        <v>#N/A</v>
      </c>
      <c r="AK169" s="32">
        <f>IF(OR($A169="",N($C169)&lt;=7,$T169="No Throw",$J169="x"),0,INDEX(Reference!$B$108:$B$114,$N169+1))</f>
        <v>0</v>
      </c>
      <c r="AL169" s="32">
        <f t="shared" si="104"/>
        <v>1</v>
      </c>
      <c r="AM169" s="32">
        <f>IF($U169="",0,IF($AL169&gt;1,((IF(1&lt;=$AL169,($AL169-1+3)*(INDEX(Reference!$B$6:$B$11,MIN(5,MATCH(MAX(Reference!$A$6,MIN(Reference!$A$11,MIN($U169,90))),Reference!$A$6:$A$11,1)))+(MAX(Reference!$A$6,MIN(Reference!$A$11,MIN($U169,90)))-INDEX(Reference!$A$6:$A$11,MIN(5,MATCH(MAX(Reference!$A$6,MIN(Reference!$A$11,MIN($U169,90))),Reference!$A$6:$A$11,1))))*(INDEX(Reference!$B$6:$B$11,MIN(5,MATCH(MAX(Reference!$A$6,MIN(Reference!$A$11,MIN($U169,90))),Reference!$A$6:$A$11,1))+1)-INDEX(Reference!$B$6:$B$11,MIN(5,MATCH(MAX(Reference!$A$6,MIN(Reference!$A$11,MIN($U169,90))),Reference!$A$6:$A$11,1))))/(INDEX(Reference!$A$6:$A$11,MIN(5,MATCH(MAX(Reference!$A$6,MIN(Reference!$A$11,MIN($U169,90))),Reference!$A$6:$A$11,1))+1)-INDEX(Reference!$A$6:$A$11,MIN(5,MATCH(MAX(Reference!$A$6,MIN(Reference!$A$11,MIN($U169,90))),Reference!$A$6:$A$11,1))))),0)+IF(2&lt;=$AL169,($AL169-2+3)*(INDEX(Reference!$B$6:$B$11,MIN(5,MATCH(MAX(Reference!$A$6,MIN(Reference!$A$11,MIN($U169,120))),Reference!$A$6:$A$11,1)))+(MAX(Reference!$A$6,MIN(Reference!$A$11,MIN($U169,120)))-INDEX(Reference!$A$6:$A$11,MIN(5,MATCH(MAX(Reference!$A$6,MIN(Reference!$A$11,MIN($U169,120))),Reference!$A$6:$A$11,1))))*(INDEX(Reference!$B$6:$B$11,MIN(5,MATCH(MAX(Reference!$A$6,MIN(Reference!$A$11,MIN($U169,120))),Reference!$A$6:$A$11,1))+1)-INDEX(Reference!$B$6:$B$11,MIN(5,MATCH(MAX(Reference!$A$6,MIN(Reference!$A$11,MIN($U169,120))),Reference!$A$6:$A$11,1))))/(INDEX(Reference!$A$6:$A$11,MIN(5,MATCH(MAX(Reference!$A$6,MIN(Reference!$A$11,MIN($U169,120))),Reference!$A$6:$A$11,1))+1)-INDEX(Reference!$A$6:$A$11,MIN(5,MATCH(MAX(Reference!$A$6,MIN(Reference!$A$11,MIN($U169,120))),Reference!$A$6:$A$11,1))))),0)+IF(3&lt;=$AL169,($AL169-3+3)*(INDEX(Reference!$B$6:$B$11,MIN(5,MATCH(MAX(Reference!$A$6,MIN(Reference!$A$11,MIN($U169,150))),Reference!$A$6:$A$11,1)))+(MAX(Reference!$A$6,MIN(Reference!$A$11,MIN($U169,150)))-INDEX(Reference!$A$6:$A$11,MIN(5,MATCH(MAX(Reference!$A$6,MIN(Reference!$A$11,MIN($U169,150))),Reference!$A$6:$A$11,1))))*(INDEX(Reference!$B$6:$B$11,MIN(5,MATCH(MAX(Reference!$A$6,MIN(Reference!$A$11,MIN($U169,150))),Reference!$A$6:$A$11,1))+1)-INDEX(Reference!$B$6:$B$11,MIN(5,MATCH(MAX(Reference!$A$6,MIN(Reference!$A$11,MIN($U169,150))),Reference!$A$6:$A$11,1))))/(INDEX(Reference!$A$6:$A$11,MIN(5,MATCH(MAX(Reference!$A$6,MIN(Reference!$A$11,MIN($U169,150))),Reference!$A$6:$A$11,1))+1)-INDEX(Reference!$A$6:$A$11,MIN(5,MATCH(MAX(Reference!$A$6,MIN(Reference!$A$11,MIN($U169,150))),Reference!$A$6:$A$11,1))))),0)+IF(4&lt;=$AL169,($AL169-4+3)*(INDEX(Reference!$B$6:$B$11,MIN(5,MATCH(MAX(Reference!$A$6,MIN(Reference!$A$11,MIN($U169,180))),Reference!$A$6:$A$11,1)))+(MAX(Reference!$A$6,MIN(Reference!$A$11,MIN($U169,180)))-INDEX(Reference!$A$6:$A$11,MIN(5,MATCH(MAX(Reference!$A$6,MIN(Reference!$A$11,MIN($U169,180))),Reference!$A$6:$A$11,1))))*(INDEX(Reference!$B$6:$B$11,MIN(5,MATCH(MAX(Reference!$A$6,MIN(Reference!$A$11,MIN($U169,180))),Reference!$A$6:$A$11,1))+1)-INDEX(Reference!$B$6:$B$11,MIN(5,MATCH(MAX(Reference!$A$6,MIN(Reference!$A$11,MIN($U169,180))),Reference!$A$6:$A$11,1))))/(INDEX(Reference!$A$6:$A$11,MIN(5,MATCH(MAX(Reference!$A$6,MIN(Reference!$A$11,MIN($U169,180))),Reference!$A$6:$A$11,1))+1)-INDEX(Reference!$A$6:$A$11,MIN(5,MATCH(MAX(Reference!$A$6,MIN(Reference!$A$11,MIN($U169,180))),Reference!$A$6:$A$11,1))))),0)+IF(5&lt;=$AL169,($AL169-5+3)*(INDEX(Reference!$B$6:$B$11,MIN(5,MATCH(MAX(Reference!$A$6,MIN(Reference!$A$11,MIN($U169,210))),Reference!$A$6:$A$11,1)))+(MAX(Reference!$A$6,MIN(Reference!$A$11,MIN($U169,210)))-INDEX(Reference!$A$6:$A$11,MIN(5,MATCH(MAX(Reference!$A$6,MIN(Reference!$A$11,MIN($U169,210))),Reference!$A$6:$A$11,1))))*(INDEX(Reference!$B$6:$B$11,MIN(5,MATCH(MAX(Reference!$A$6,MIN(Reference!$A$11,MIN($U169,210))),Reference!$A$6:$A$11,1))+1)-INDEX(Reference!$B$6:$B$11,MIN(5,MATCH(MAX(Reference!$A$6,MIN(Reference!$A$11,MIN($U169,210))),Reference!$A$6:$A$11,1))))/(INDEX(Reference!$A$6:$A$11,MIN(5,MATCH(MAX(Reference!$A$6,MIN(Reference!$A$11,MIN($U169,210))),Reference!$A$6:$A$11,1))+1)-INDEX(Reference!$A$6:$A$11,MIN(5,MATCH(MAX(Reference!$A$6,MIN(Reference!$A$11,MIN($U169,210))),Reference!$A$6:$A$11,1))))),0)+IF(6&lt;=$AL169,($AL169-6+3)*(INDEX(Reference!$B$6:$B$11,MIN(5,MATCH(MAX(Reference!$A$6,MIN(Reference!$A$11,MIN($U169,240))),Reference!$A$6:$A$11,1)))+(MAX(Reference!$A$6,MIN(Reference!$A$11,MIN($U169,240)))-INDEX(Reference!$A$6:$A$11,MIN(5,MATCH(MAX(Reference!$A$6,MIN(Reference!$A$11,MIN($U169,240))),Reference!$A$6:$A$11,1))))*(INDEX(Reference!$B$6:$B$11,MIN(5,MATCH(MAX(Reference!$A$6,MIN(Reference!$A$11,MIN($U169,240))),Reference!$A$6:$A$11,1))+1)-INDEX(Reference!$B$6:$B$11,MIN(5,MATCH(MAX(Reference!$A$6,MIN(Reference!$A$11,MIN($U169,240))),Reference!$A$6:$A$11,1))))/(INDEX(Reference!$A$6:$A$11,MIN(5,MATCH(MAX(Reference!$A$6,MIN(Reference!$A$11,MIN($U169,240))),Reference!$A$6:$A$11,1))+1)-INDEX(Reference!$A$6:$A$11,MIN(5,MATCH(MAX(Reference!$A$6,MIN(Reference!$A$11,MIN($U169,240))),Reference!$A$6:$A$11,1))))),0)+IF(7&lt;=$AL169,($AL169-7+3)*(INDEX(Reference!$B$6:$B$11,MIN(5,MATCH(MAX(Reference!$A$6,MIN(Reference!$A$11,MIN($U169,270))),Reference!$A$6:$A$11,1)))+(MAX(Reference!$A$6,MIN(Reference!$A$11,MIN($U169,270)))-INDEX(Reference!$A$6:$A$11,MIN(5,MATCH(MAX(Reference!$A$6,MIN(Reference!$A$11,MIN($U169,270))),Reference!$A$6:$A$11,1))))*(INDEX(Reference!$B$6:$B$11,MIN(5,MATCH(MAX(Reference!$A$6,MIN(Reference!$A$11,MIN($U169,270))),Reference!$A$6:$A$11,1))+1)-INDEX(Reference!$B$6:$B$11,MIN(5,MATCH(MAX(Reference!$A$6,MIN(Reference!$A$11,MIN($U169,270))),Reference!$A$6:$A$11,1))))/(INDEX(Reference!$A$6:$A$11,MIN(5,MATCH(MAX(Reference!$A$6,MIN(Reference!$A$11,MIN($U169,270))),Reference!$A$6:$A$11,1))+1)-INDEX(Reference!$A$6:$A$11,MIN(5,MATCH(MAX(Reference!$A$6,MIN(Reference!$A$11,MIN($U169,270))),Reference!$A$6:$A$11,1))))),0)+IF(8&lt;=$AL169,($AL169-8+3)*(INDEX(Reference!$B$6:$B$11,MIN(5,MATCH(MAX(Reference!$A$6,MIN(Reference!$A$11,MIN($U169,300))),Reference!$A$6:$A$11,1)))+(MAX(Reference!$A$6,MIN(Reference!$A$11,MIN($U169,300)))-INDEX(Reference!$A$6:$A$11,MIN(5,MATCH(MAX(Reference!$A$6,MIN(Reference!$A$11,MIN($U169,300))),Reference!$A$6:$A$11,1))))*(INDEX(Reference!$B$6:$B$11,MIN(5,MATCH(MAX(Reference!$A$6,MIN(Reference!$A$11,MIN($U169,300))),Reference!$A$6:$A$11,1))+1)-INDEX(Reference!$B$6:$B$11,MIN(5,MATCH(MAX(Reference!$A$6,MIN(Reference!$A$11,MIN($U169,300))),Reference!$A$6:$A$11,1))))/(INDEX(Reference!$A$6:$A$11,MIN(5,MATCH(MAX(Reference!$A$6,MIN(Reference!$A$11,MIN($U169,300))),Reference!$A$6:$A$11,1))+1)-INDEX(Reference!$A$6:$A$11,MIN(5,MATCH(MAX(Reference!$A$6,MIN(Reference!$A$11,MIN($U169,300))),Reference!$A$6:$A$11,1))))),0))/($AL169*($AL169+5)/2)),$AN169))</f>
        <v>0</v>
      </c>
      <c r="AN169" s="32">
        <f>IF($U169="",0,(INDEX(Reference!$B$6:$B$11,MIN(5,MATCH(MAX(Reference!$A$6,MIN(Reference!$A$11,$U169)),Reference!$A$6:$A$11,1)))+(MAX(Reference!$A$6,MIN(Reference!$A$11,$U169))-INDEX(Reference!$A$6:$A$11,MIN(5,MATCH(MAX(Reference!$A$6,MIN(Reference!$A$11,$U169)),Reference!$A$6:$A$11,1))))*(INDEX(Reference!$B$6:$B$11,MIN(5,MATCH(MAX(Reference!$A$6,MIN(Reference!$A$11,$U169)),Reference!$A$6:$A$11,1))+1)-INDEX(Reference!$B$6:$B$11,MIN(5,MATCH(MAX(Reference!$A$6,MIN(Reference!$A$11,$U169)),Reference!$A$6:$A$11,1))))/(INDEX(Reference!$A$6:$A$11,MIN(5,MATCH(MAX(Reference!$A$6,MIN(Reference!$A$11,$U169)),Reference!$A$6:$A$11,1))+1)-INDEX(Reference!$A$6:$A$11,MIN(5,MATCH(MAX(Reference!$A$6,MIN(Reference!$A$11,$U169)),Reference!$A$6:$A$11,1))))))</f>
        <v>0</v>
      </c>
      <c r="AO169" s="37"/>
      <c r="AP169" s="37"/>
      <c r="AQ169" s="37"/>
    </row>
    <row r="170" spans="1:43" x14ac:dyDescent="0.3">
      <c r="A170" s="48" t="str">
        <f t="shared" si="80"/>
        <v/>
      </c>
      <c r="B170" s="32" t="str">
        <f t="shared" si="81"/>
        <v/>
      </c>
      <c r="C170" s="32" t="str">
        <f t="shared" si="82"/>
        <v/>
      </c>
      <c r="D170" s="32" t="str">
        <f t="shared" si="83"/>
        <v/>
      </c>
      <c r="E170" s="32" t="str">
        <f t="shared" si="84"/>
        <v/>
      </c>
      <c r="F170" s="32" t="str">
        <f t="shared" si="85"/>
        <v/>
      </c>
      <c r="G170" s="47" t="str">
        <f t="shared" si="86"/>
        <v/>
      </c>
      <c r="H170" s="30" t="str">
        <f t="shared" si="87"/>
        <v/>
      </c>
      <c r="I170" s="46" t="str">
        <f>IF($A170="","",IF(AND($L170&lt;27,$K$12=0),"Building",IFERROR(((SUM($H$164:$H170)+$K$12*IF($L170&lt;6,SUMIFS('Throw Log'!$Q$5:$Q$300,'Throw Log'!$B$5:$B$300,$D$4,'Throw Log'!$A$5:$A$300,"&gt;="&amp;($D$6+$L170-6),'Throw Log'!$A$5:$A$300,"&lt;="&amp;($D$6-1)),0))/7)/((SUM($H$143:$H170)+$K$12*IF($L170&lt;27,SUMIFS('Throw Log'!$Q$5:$Q$300,'Throw Log'!$B$5:$B$300,$D$4,'Throw Log'!$A$5:$A$300,"&gt;="&amp;($D$6+$L170-27),'Throw Log'!$A$5:$A$300,"&lt;="&amp;($D$6-1)),0))/28),"")))</f>
        <v/>
      </c>
      <c r="J170" s="37"/>
      <c r="K170" s="37"/>
      <c r="L170" s="32">
        <v>127</v>
      </c>
      <c r="M170" s="32">
        <f t="shared" si="88"/>
        <v>19</v>
      </c>
      <c r="N170" s="32">
        <f t="shared" si="89"/>
        <v>1</v>
      </c>
      <c r="O170" s="32">
        <f t="shared" si="90"/>
        <v>1</v>
      </c>
      <c r="P170" s="32" t="str">
        <f>IF(OR($A170="",N($C170)&lt;=7),"",$G$6*$G$9^($M170-1)*IF(AND(MOD($M170,Reference!$B$99)=0,$M170&lt;=$G$5-2),Reference!$B$100,1))</f>
        <v/>
      </c>
      <c r="Q170" s="32" t="str">
        <f>IF($P170="","",IF(SUM($AK$169:$AK$175)=0,0,$P170*INDEX(Reference!$B$108:$B$114,$N170+1)/SUM($AK$169:$AK$175)))</f>
        <v/>
      </c>
      <c r="R170" s="32">
        <f t="shared" si="91"/>
        <v>180</v>
      </c>
      <c r="S170" s="32">
        <f t="shared" si="92"/>
        <v>150</v>
      </c>
      <c r="T170" s="32" t="str">
        <f>IF($A170="","",IF($C170=0,"Bullpen",IF(OR($C170=7,$C170=1,$C170=5),"Recovery/Easy Catch",IF($C170=6,"Compression/Pulldowns",IF(OR($C170=4,$C170=2),"Long Toss",IF($C170=3,"No Throw",IF($N170=2,"No Throw",IF($N170=6,IF($O170&lt;Reference!$B$104,"No Throw","Recovery/Easy Catch"),IF(OR($N170=0,$N170=4),"Recovery/Easy Catch",IF($N170=1,IF($R170&gt;75,"Long Toss","Recovery/Easy Catch"),IF($N170=3,IF($O170&lt;0.5,IF($S170&gt;75,"Long Toss","Recovery/Easy Catch"),"Compression/Pulldowns"),IF($S170&gt;75,"Long Toss","Recovery/Easy Catch"))))))))))))</f>
        <v/>
      </c>
      <c r="U170" s="32" t="str">
        <f t="shared" si="93"/>
        <v/>
      </c>
      <c r="V170" s="32" t="str">
        <f t="shared" si="94"/>
        <v/>
      </c>
      <c r="W170" s="32" t="str">
        <f t="shared" si="95"/>
        <v/>
      </c>
      <c r="X170" s="32">
        <f t="shared" si="96"/>
        <v>0</v>
      </c>
      <c r="Y170" s="32" t="str">
        <f t="shared" si="97"/>
        <v/>
      </c>
      <c r="Z170" s="32" t="str">
        <f t="shared" si="98"/>
        <v/>
      </c>
      <c r="AA170" s="32" t="str">
        <f t="shared" si="99"/>
        <v/>
      </c>
      <c r="AB170" s="32" t="str">
        <f>IF($A170="","",IF($T170="No Throw",0,IF($K170&lt;&gt;"",$K170,IF($AA170&lt;&gt;"",ROUND($AA170*$D$12*IF($C170=0,1,$G$10),0),MIN(IF($T170="Recovery/Easy Catch",Reference!$B$103,IF($T170="Long Toss",Reference!$B$106,Reference!$B$102)),MAX(Reference!$B$101,ROUND(MAX(0,$Q170-$AE170)/$AF170,0)))))))</f>
        <v/>
      </c>
      <c r="AC170" s="32">
        <f t="shared" si="100"/>
        <v>0</v>
      </c>
      <c r="AD170" s="32" t="b">
        <f t="shared" si="101"/>
        <v>1</v>
      </c>
      <c r="AE170" s="32">
        <f>IF($X170=0,0,$X170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170+$Z170)/2,0),Reference!$A$17:$B$20,2,TRUE()))</f>
        <v>0</v>
      </c>
      <c r="AF170" s="32">
        <f>IF(OR($A170="",$U170="",$T170="No Throw"),0,$AM170*VLOOKUP(MAX(($V170+$W170)/2,0),Reference!$A$17:$B$20,2,TRUE()))</f>
        <v>0</v>
      </c>
      <c r="AG170" s="32">
        <f>IF($AC170=0,0,$AC170*INDEX(Reference!$B$61:$B$62,MATCH("Bullpen",Reference!$A$61:$A$62,0))*VLOOKUP(MAX($D$5-($D$9+$E$9)/2,0),Reference!$A$17:$B$20,2,TRUE()))</f>
        <v>0</v>
      </c>
      <c r="AH170" s="32" t="e">
        <f t="shared" si="102"/>
        <v>#N/A</v>
      </c>
      <c r="AI170" s="32" t="e">
        <f>IF($A170="",NA(),Reference!$A$25)</f>
        <v>#N/A</v>
      </c>
      <c r="AJ170" s="32" t="e">
        <f t="shared" si="103"/>
        <v>#N/A</v>
      </c>
      <c r="AK170" s="32">
        <f>IF(OR($A170="",N($C170)&lt;=7,$T170="No Throw",$J170="x"),0,INDEX(Reference!$B$108:$B$114,$N170+1))</f>
        <v>0</v>
      </c>
      <c r="AL170" s="32">
        <f t="shared" si="104"/>
        <v>1</v>
      </c>
      <c r="AM170" s="32">
        <f>IF($U170="",0,IF($AL170&gt;1,((IF(1&lt;=$AL170,($AL170-1+3)*(INDEX(Reference!$B$6:$B$11,MIN(5,MATCH(MAX(Reference!$A$6,MIN(Reference!$A$11,MIN($U170,90))),Reference!$A$6:$A$11,1)))+(MAX(Reference!$A$6,MIN(Reference!$A$11,MIN($U170,90)))-INDEX(Reference!$A$6:$A$11,MIN(5,MATCH(MAX(Reference!$A$6,MIN(Reference!$A$11,MIN($U170,90))),Reference!$A$6:$A$11,1))))*(INDEX(Reference!$B$6:$B$11,MIN(5,MATCH(MAX(Reference!$A$6,MIN(Reference!$A$11,MIN($U170,90))),Reference!$A$6:$A$11,1))+1)-INDEX(Reference!$B$6:$B$11,MIN(5,MATCH(MAX(Reference!$A$6,MIN(Reference!$A$11,MIN($U170,90))),Reference!$A$6:$A$11,1))))/(INDEX(Reference!$A$6:$A$11,MIN(5,MATCH(MAX(Reference!$A$6,MIN(Reference!$A$11,MIN($U170,90))),Reference!$A$6:$A$11,1))+1)-INDEX(Reference!$A$6:$A$11,MIN(5,MATCH(MAX(Reference!$A$6,MIN(Reference!$A$11,MIN($U170,90))),Reference!$A$6:$A$11,1))))),0)+IF(2&lt;=$AL170,($AL170-2+3)*(INDEX(Reference!$B$6:$B$11,MIN(5,MATCH(MAX(Reference!$A$6,MIN(Reference!$A$11,MIN($U170,120))),Reference!$A$6:$A$11,1)))+(MAX(Reference!$A$6,MIN(Reference!$A$11,MIN($U170,120)))-INDEX(Reference!$A$6:$A$11,MIN(5,MATCH(MAX(Reference!$A$6,MIN(Reference!$A$11,MIN($U170,120))),Reference!$A$6:$A$11,1))))*(INDEX(Reference!$B$6:$B$11,MIN(5,MATCH(MAX(Reference!$A$6,MIN(Reference!$A$11,MIN($U170,120))),Reference!$A$6:$A$11,1))+1)-INDEX(Reference!$B$6:$B$11,MIN(5,MATCH(MAX(Reference!$A$6,MIN(Reference!$A$11,MIN($U170,120))),Reference!$A$6:$A$11,1))))/(INDEX(Reference!$A$6:$A$11,MIN(5,MATCH(MAX(Reference!$A$6,MIN(Reference!$A$11,MIN($U170,120))),Reference!$A$6:$A$11,1))+1)-INDEX(Reference!$A$6:$A$11,MIN(5,MATCH(MAX(Reference!$A$6,MIN(Reference!$A$11,MIN($U170,120))),Reference!$A$6:$A$11,1))))),0)+IF(3&lt;=$AL170,($AL170-3+3)*(INDEX(Reference!$B$6:$B$11,MIN(5,MATCH(MAX(Reference!$A$6,MIN(Reference!$A$11,MIN($U170,150))),Reference!$A$6:$A$11,1)))+(MAX(Reference!$A$6,MIN(Reference!$A$11,MIN($U170,150)))-INDEX(Reference!$A$6:$A$11,MIN(5,MATCH(MAX(Reference!$A$6,MIN(Reference!$A$11,MIN($U170,150))),Reference!$A$6:$A$11,1))))*(INDEX(Reference!$B$6:$B$11,MIN(5,MATCH(MAX(Reference!$A$6,MIN(Reference!$A$11,MIN($U170,150))),Reference!$A$6:$A$11,1))+1)-INDEX(Reference!$B$6:$B$11,MIN(5,MATCH(MAX(Reference!$A$6,MIN(Reference!$A$11,MIN($U170,150))),Reference!$A$6:$A$11,1))))/(INDEX(Reference!$A$6:$A$11,MIN(5,MATCH(MAX(Reference!$A$6,MIN(Reference!$A$11,MIN($U170,150))),Reference!$A$6:$A$11,1))+1)-INDEX(Reference!$A$6:$A$11,MIN(5,MATCH(MAX(Reference!$A$6,MIN(Reference!$A$11,MIN($U170,150))),Reference!$A$6:$A$11,1))))),0)+IF(4&lt;=$AL170,($AL170-4+3)*(INDEX(Reference!$B$6:$B$11,MIN(5,MATCH(MAX(Reference!$A$6,MIN(Reference!$A$11,MIN($U170,180))),Reference!$A$6:$A$11,1)))+(MAX(Reference!$A$6,MIN(Reference!$A$11,MIN($U170,180)))-INDEX(Reference!$A$6:$A$11,MIN(5,MATCH(MAX(Reference!$A$6,MIN(Reference!$A$11,MIN($U170,180))),Reference!$A$6:$A$11,1))))*(INDEX(Reference!$B$6:$B$11,MIN(5,MATCH(MAX(Reference!$A$6,MIN(Reference!$A$11,MIN($U170,180))),Reference!$A$6:$A$11,1))+1)-INDEX(Reference!$B$6:$B$11,MIN(5,MATCH(MAX(Reference!$A$6,MIN(Reference!$A$11,MIN($U170,180))),Reference!$A$6:$A$11,1))))/(INDEX(Reference!$A$6:$A$11,MIN(5,MATCH(MAX(Reference!$A$6,MIN(Reference!$A$11,MIN($U170,180))),Reference!$A$6:$A$11,1))+1)-INDEX(Reference!$A$6:$A$11,MIN(5,MATCH(MAX(Reference!$A$6,MIN(Reference!$A$11,MIN($U170,180))),Reference!$A$6:$A$11,1))))),0)+IF(5&lt;=$AL170,($AL170-5+3)*(INDEX(Reference!$B$6:$B$11,MIN(5,MATCH(MAX(Reference!$A$6,MIN(Reference!$A$11,MIN($U170,210))),Reference!$A$6:$A$11,1)))+(MAX(Reference!$A$6,MIN(Reference!$A$11,MIN($U170,210)))-INDEX(Reference!$A$6:$A$11,MIN(5,MATCH(MAX(Reference!$A$6,MIN(Reference!$A$11,MIN($U170,210))),Reference!$A$6:$A$11,1))))*(INDEX(Reference!$B$6:$B$11,MIN(5,MATCH(MAX(Reference!$A$6,MIN(Reference!$A$11,MIN($U170,210))),Reference!$A$6:$A$11,1))+1)-INDEX(Reference!$B$6:$B$11,MIN(5,MATCH(MAX(Reference!$A$6,MIN(Reference!$A$11,MIN($U170,210))),Reference!$A$6:$A$11,1))))/(INDEX(Reference!$A$6:$A$11,MIN(5,MATCH(MAX(Reference!$A$6,MIN(Reference!$A$11,MIN($U170,210))),Reference!$A$6:$A$11,1))+1)-INDEX(Reference!$A$6:$A$11,MIN(5,MATCH(MAX(Reference!$A$6,MIN(Reference!$A$11,MIN($U170,210))),Reference!$A$6:$A$11,1))))),0)+IF(6&lt;=$AL170,($AL170-6+3)*(INDEX(Reference!$B$6:$B$11,MIN(5,MATCH(MAX(Reference!$A$6,MIN(Reference!$A$11,MIN($U170,240))),Reference!$A$6:$A$11,1)))+(MAX(Reference!$A$6,MIN(Reference!$A$11,MIN($U170,240)))-INDEX(Reference!$A$6:$A$11,MIN(5,MATCH(MAX(Reference!$A$6,MIN(Reference!$A$11,MIN($U170,240))),Reference!$A$6:$A$11,1))))*(INDEX(Reference!$B$6:$B$11,MIN(5,MATCH(MAX(Reference!$A$6,MIN(Reference!$A$11,MIN($U170,240))),Reference!$A$6:$A$11,1))+1)-INDEX(Reference!$B$6:$B$11,MIN(5,MATCH(MAX(Reference!$A$6,MIN(Reference!$A$11,MIN($U170,240))),Reference!$A$6:$A$11,1))))/(INDEX(Reference!$A$6:$A$11,MIN(5,MATCH(MAX(Reference!$A$6,MIN(Reference!$A$11,MIN($U170,240))),Reference!$A$6:$A$11,1))+1)-INDEX(Reference!$A$6:$A$11,MIN(5,MATCH(MAX(Reference!$A$6,MIN(Reference!$A$11,MIN($U170,240))),Reference!$A$6:$A$11,1))))),0)+IF(7&lt;=$AL170,($AL170-7+3)*(INDEX(Reference!$B$6:$B$11,MIN(5,MATCH(MAX(Reference!$A$6,MIN(Reference!$A$11,MIN($U170,270))),Reference!$A$6:$A$11,1)))+(MAX(Reference!$A$6,MIN(Reference!$A$11,MIN($U170,270)))-INDEX(Reference!$A$6:$A$11,MIN(5,MATCH(MAX(Reference!$A$6,MIN(Reference!$A$11,MIN($U170,270))),Reference!$A$6:$A$11,1))))*(INDEX(Reference!$B$6:$B$11,MIN(5,MATCH(MAX(Reference!$A$6,MIN(Reference!$A$11,MIN($U170,270))),Reference!$A$6:$A$11,1))+1)-INDEX(Reference!$B$6:$B$11,MIN(5,MATCH(MAX(Reference!$A$6,MIN(Reference!$A$11,MIN($U170,270))),Reference!$A$6:$A$11,1))))/(INDEX(Reference!$A$6:$A$11,MIN(5,MATCH(MAX(Reference!$A$6,MIN(Reference!$A$11,MIN($U170,270))),Reference!$A$6:$A$11,1))+1)-INDEX(Reference!$A$6:$A$11,MIN(5,MATCH(MAX(Reference!$A$6,MIN(Reference!$A$11,MIN($U170,270))),Reference!$A$6:$A$11,1))))),0)+IF(8&lt;=$AL170,($AL170-8+3)*(INDEX(Reference!$B$6:$B$11,MIN(5,MATCH(MAX(Reference!$A$6,MIN(Reference!$A$11,MIN($U170,300))),Reference!$A$6:$A$11,1)))+(MAX(Reference!$A$6,MIN(Reference!$A$11,MIN($U170,300)))-INDEX(Reference!$A$6:$A$11,MIN(5,MATCH(MAX(Reference!$A$6,MIN(Reference!$A$11,MIN($U170,300))),Reference!$A$6:$A$11,1))))*(INDEX(Reference!$B$6:$B$11,MIN(5,MATCH(MAX(Reference!$A$6,MIN(Reference!$A$11,MIN($U170,300))),Reference!$A$6:$A$11,1))+1)-INDEX(Reference!$B$6:$B$11,MIN(5,MATCH(MAX(Reference!$A$6,MIN(Reference!$A$11,MIN($U170,300))),Reference!$A$6:$A$11,1))))/(INDEX(Reference!$A$6:$A$11,MIN(5,MATCH(MAX(Reference!$A$6,MIN(Reference!$A$11,MIN($U170,300))),Reference!$A$6:$A$11,1))+1)-INDEX(Reference!$A$6:$A$11,MIN(5,MATCH(MAX(Reference!$A$6,MIN(Reference!$A$11,MIN($U170,300))),Reference!$A$6:$A$11,1))))),0))/($AL170*($AL170+5)/2)),$AN170))</f>
        <v>0</v>
      </c>
      <c r="AN170" s="32">
        <f>IF($U170="",0,(INDEX(Reference!$B$6:$B$11,MIN(5,MATCH(MAX(Reference!$A$6,MIN(Reference!$A$11,$U170)),Reference!$A$6:$A$11,1)))+(MAX(Reference!$A$6,MIN(Reference!$A$11,$U170))-INDEX(Reference!$A$6:$A$11,MIN(5,MATCH(MAX(Reference!$A$6,MIN(Reference!$A$11,$U170)),Reference!$A$6:$A$11,1))))*(INDEX(Reference!$B$6:$B$11,MIN(5,MATCH(MAX(Reference!$A$6,MIN(Reference!$A$11,$U170)),Reference!$A$6:$A$11,1))+1)-INDEX(Reference!$B$6:$B$11,MIN(5,MATCH(MAX(Reference!$A$6,MIN(Reference!$A$11,$U170)),Reference!$A$6:$A$11,1))))/(INDEX(Reference!$A$6:$A$11,MIN(5,MATCH(MAX(Reference!$A$6,MIN(Reference!$A$11,$U170)),Reference!$A$6:$A$11,1))+1)-INDEX(Reference!$A$6:$A$11,MIN(5,MATCH(MAX(Reference!$A$6,MIN(Reference!$A$11,$U170)),Reference!$A$6:$A$11,1))))))</f>
        <v>0</v>
      </c>
      <c r="AO170" s="37"/>
      <c r="AP170" s="37"/>
      <c r="AQ170" s="37"/>
    </row>
    <row r="171" spans="1:43" x14ac:dyDescent="0.3">
      <c r="A171" s="48" t="str">
        <f t="shared" ref="A171:A183" si="105">IFERROR(IF($L171&gt;$G$4,"",$D$6+$L171),"")</f>
        <v/>
      </c>
      <c r="B171" s="32" t="str">
        <f t="shared" ref="B171:B183" si="106">IF($A171="","",TEXT($A171,"ddd"))</f>
        <v/>
      </c>
      <c r="C171" s="32" t="str">
        <f t="shared" ref="C171:C183" si="107">IF($A171="","",$G$4-$L171)</f>
        <v/>
      </c>
      <c r="D171" s="32" t="str">
        <f t="shared" ref="D171:D183" si="108">IF($A171="","",IF($C171=0,"First Bullpen",IF($C171&lt;=7,"Taper",IF($O171&lt;0.2,"Re-entry",IF($O171&lt;0.45,"Base",IF($O171&lt;0.65,"Extension","Flat Ground / Intent"))))))</f>
        <v/>
      </c>
      <c r="E171" s="32" t="str">
        <f t="shared" ref="E171:E183" si="109">IF($A171="","",IF($AD171,"No Throw",IF($C171=0,"High Bullpen",IF($C171=6,"High Non-Bullpen",IF(OR($C171=4,$C171=2),"Medium",IF($T171="Recovery/Easy Catch","Low",IF($N171=1,IF($O171&lt;0.4,"Low",IF($O171&lt;0.7,"Medium","High Non-Bullpen")),IF($N171=3,IF($O171&lt;0.5,"Medium","High Non-Bullpen"),IF($O171&lt;0.62,"Medium","High Non-Bullpen")))))))))</f>
        <v/>
      </c>
      <c r="F171" s="32" t="str">
        <f t="shared" ref="F171:F183" si="110">IF($A171="","",IF($AD171,"No Throw",$T171))</f>
        <v/>
      </c>
      <c r="G171" s="47" t="str">
        <f t="shared" ref="G171:G183" si="111">IF($A171="","",IF($AD171,"Off",IF($AL171&gt;1,"Long toss out to "&amp;$U171&amp;" ft — "&amp;$AB171&amp;" throws ("&amp;IF(1&lt;=$AL171,MIN($U171,90)&amp;"×"&amp;(ROUND($AB171*(1*($AL171+3)-1)/($AL171*($AL171+5)/2),0)-0),"")&amp;IF(2&lt;=$AL171," · "&amp;MIN($U171,120)&amp;"×"&amp;(ROUND($AB171*(2*($AL171+3)-3)/($AL171*($AL171+5)/2),0)-ROUND($AB171*(1*($AL171+3)-1)/($AL171*($AL171+5)/2),0)),"")&amp;IF(3&lt;=$AL171," · "&amp;MIN($U171,150)&amp;"×"&amp;(ROUND($AB171*(3*($AL171+3)-6)/($AL171*($AL171+5)/2),0)-ROUND($AB171*(2*($AL171+3)-3)/($AL171*($AL171+5)/2),0)),"")&amp;IF(4&lt;=$AL171," · "&amp;MIN($U171,180)&amp;"×"&amp;(ROUND($AB171*(4*($AL171+3)-10)/($AL171*($AL171+5)/2),0)-ROUND($AB171*(3*($AL171+3)-6)/($AL171*($AL171+5)/2),0)),"")&amp;IF(5&lt;=$AL171," · "&amp;MIN($U171,210)&amp;"×"&amp;(ROUND($AB171*(5*($AL171+3)-15)/($AL171*($AL171+5)/2),0)-ROUND($AB171*(4*($AL171+3)-10)/($AL171*($AL171+5)/2),0)),"")&amp;IF(6&lt;=$AL171," · "&amp;MIN($U171,240)&amp;"×"&amp;(ROUND($AB171*(6*($AL171+3)-21)/($AL171*($AL171+5)/2),0)-ROUND($AB171*(5*($AL171+3)-15)/($AL171*($AL171+5)/2),0)),"")&amp;IF(7&lt;=$AL171," · "&amp;MIN($U171,270)&amp;"×"&amp;(ROUND($AB171*(7*($AL171+3)-28)/($AL171*($AL171+5)/2),0)-ROUND($AB171*(6*($AL171+3)-21)/($AL171*($AL171+5)/2),0)),"")&amp;IF(8&lt;=$AL171," · "&amp;MIN($U171,300)&amp;"×"&amp;(ROUND($AB171*(8*($AL171+3)-36)/($AL171*($AL171+5)/2),0)-ROUND($AB171*(7*($AL171+3)-28)/($AL171*($AL171+5)/2),0)),"")&amp;")",$U171&amp;" ft × "&amp;$AB171)&amp;" @ "&amp;ROUND($D$5-$W171,0)&amp;"–"&amp;ROUND($D$5-$V171,0)&amp;" mph"&amp;IF($X171&gt;0,IF($Y171&lt;10," + flat ground at 60 ft × "," + 60 ft × ")&amp;$X171&amp;" @ "&amp;ROUND($D$5-$Z171,0)&amp;"–"&amp;ROUND($D$5-$Y171,0)&amp;" mph","")&amp;IF($AC171&gt;0," + MOUND × "&amp;$AC171&amp;" pitches @ "&amp;$D$9&amp;"–"&amp;$E$9&amp;" mph","")))</f>
        <v/>
      </c>
      <c r="H171" s="30" t="str">
        <f t="shared" ref="H171:H183" si="112">IF($A171="","",IF($AD171,0,$AB171*$AF171+$AE171+$AG171))</f>
        <v/>
      </c>
      <c r="I171" s="46" t="str">
        <f>IF($A171="","",IF(AND($L171&lt;27,$K$12=0),"Building",IFERROR(((SUM($H$165:$H171)+$K$12*IF($L171&lt;6,SUMIFS('Throw Log'!$Q$5:$Q$300,'Throw Log'!$B$5:$B$300,$D$4,'Throw Log'!$A$5:$A$300,"&gt;="&amp;($D$6+$L171-6),'Throw Log'!$A$5:$A$300,"&lt;="&amp;($D$6-1)),0))/7)/((SUM($H$144:$H171)+$K$12*IF($L171&lt;27,SUMIFS('Throw Log'!$Q$5:$Q$300,'Throw Log'!$B$5:$B$300,$D$4,'Throw Log'!$A$5:$A$300,"&gt;="&amp;($D$6+$L171-27),'Throw Log'!$A$5:$A$300,"&lt;="&amp;($D$6-1)),0))/28),"")))</f>
        <v/>
      </c>
      <c r="J171" s="37"/>
      <c r="K171" s="37"/>
      <c r="L171" s="32">
        <v>128</v>
      </c>
      <c r="M171" s="32">
        <f t="shared" ref="M171:M183" si="113">INT($L171/7)+1</f>
        <v>19</v>
      </c>
      <c r="N171" s="32">
        <f t="shared" ref="N171:N183" si="114">MOD($L171,7)</f>
        <v>2</v>
      </c>
      <c r="O171" s="32">
        <f t="shared" ref="O171:O183" si="115">MIN(1,$G$7+(1-$G$7)*$L171/MAX(1,N($G$4)-8))</f>
        <v>1</v>
      </c>
      <c r="P171" s="32" t="str">
        <f>IF(OR($A171="",N($C171)&lt;=7),"",$G$6*$G$9^($M171-1)*IF(AND(MOD($M171,Reference!$B$99)=0,$M171&lt;=$G$5-2),Reference!$B$100,1))</f>
        <v/>
      </c>
      <c r="Q171" s="32" t="str">
        <f>IF($P171="","",IF(SUM($AK$169:$AK$175)=0,0,$P171*INDEX(Reference!$B$108:$B$114,$N171+1)/SUM($AK$169:$AK$175)))</f>
        <v/>
      </c>
      <c r="R171" s="32">
        <f t="shared" ref="R171:R183" si="116">ROUND((60+($D$11-60)*MIN(1,$O171/0.75))/15,0)*15</f>
        <v>180</v>
      </c>
      <c r="S171" s="32">
        <f t="shared" ref="S171:S183" si="117">ROUND((60+($R171-60)*0.8)/15,0)*15</f>
        <v>150</v>
      </c>
      <c r="T171" s="32" t="str">
        <f>IF($A171="","",IF($C171=0,"Bullpen",IF(OR($C171=7,$C171=1,$C171=5),"Recovery/Easy Catch",IF($C171=6,"Compression/Pulldowns",IF(OR($C171=4,$C171=2),"Long Toss",IF($C171=3,"No Throw",IF($N171=2,"No Throw",IF($N171=6,IF($O171&lt;Reference!$B$104,"No Throw","Recovery/Easy Catch"),IF(OR($N171=0,$N171=4),"Recovery/Easy Catch",IF($N171=1,IF($R171&gt;75,"Long Toss","Recovery/Easy Catch"),IF($N171=3,IF($O171&lt;0.5,IF($S171&gt;75,"Long Toss","Recovery/Easy Catch"),"Compression/Pulldowns"),IF($S171&gt;75,"Long Toss","Recovery/Easy Catch"))))))))))))</f>
        <v/>
      </c>
      <c r="U171" s="32" t="str">
        <f t="shared" ref="U171:U183" si="118">IF($A171="","",IF(N($AO171)&gt;0,$AO171,IF($C171=0,90,IF(OR($C171=7,$C171=1),75,IF($C171=6,90,IF($C171=5,60,IF($C171=4,MIN(150,ROUND(0.75*$D$11/15,0)*15),IF($C171=2,MIN(120,ROUND(0.67*$D$11/15,0)*15),IF($C171=3,"",IF($N171=2,"",IF($N171=6,60,IF($N171=0,IF($O171&lt;0.25,60,75),IF($N171=4,IF($O171&lt;0.5,60,75),IF($N171=1,$R171,IF($N171=3,IF($O171&lt;0.5,$S171,90),$S171)))))))))))))))</f>
        <v/>
      </c>
      <c r="V171" s="32" t="str">
        <f t="shared" ref="V171:V183" si="119">IF($A171="","",IF(N($AQ171)&gt;0,$D$5-$AQ171,IF(N($AP171)&gt;0,$D$5-$AP171,IF($C171=0,10,IF(OR($C171=7,$C171=1),18,IF($C171=6,7,IF($C171=5,20,IF(OR($C171=4,$C171=2),10,IF($C171=3,"",IF($N171=2,"",IF($N171=6,20,IF($N171=0,IF($O171&lt;0.25,20,18),IF($N171=4,IF($O171&lt;0.5,20,18),IF($N171=1,IF($O171&lt;0.25,18,IF($O171&lt;0.5,13,10)),IF($N171=3,IF($O171&lt;0.5,IF($O171&lt;0.25,18,13),7),IF($O171&lt;0.25,18,IF($O171&lt;0.5,12,10)))))))))))))))))</f>
        <v/>
      </c>
      <c r="W171" s="32" t="str">
        <f t="shared" ref="W171:W183" si="120">IF($A171="","",IF(N($AP171)&gt;0,$D$5-$AP171,IF(N($AQ171)&gt;0,$D$5-$AQ171,IF($C171=0,12,IF(OR($C171=7,$C171=1),22,IF($C171=6,9,IF($C171=5,24,IF(OR($C171=4,$C171=2),13,IF($C171=3,"",IF($N171=2,"",IF($N171=6,24,IF($N171=0,IF($O171&lt;0.25,24,22),IF($N171=4,IF($O171&lt;0.5,24,22),IF($N171=1,IF($O171&lt;0.25,22,IF($O171&lt;0.5,16,12)),IF($N171=3,IF($O171&lt;0.5,IF($O171&lt;0.25,22,16),9),IF($O171&lt;0.25,22,IF($O171&lt;0.5,15,13)))))))))))))))))</f>
        <v/>
      </c>
      <c r="X171" s="32">
        <f t="shared" ref="X171:X183" si="121">IF($A171="",0,IF($C171=6,ROUND(25*$G$10,0),IF(OR($C171=4,$C171=2),ROUND(15*$G$10,0),IF($C171&lt;=7,0,IF($N171=1,IF($O171&lt;0.2,0,IF($O171&lt;0.5,10,15)),IF($N171=3,IF($O171&lt;0.5,IF($O171&lt;0.2,0,10),IF($O171&lt;0.62,15,IF($O171&lt;0.8,20,25))),IF($N171=5,IF($O171&lt;0.2,0,IF($O171&lt;0.62,12,IF($O171&lt;0.8,20,25))),0)))))))</f>
        <v>0</v>
      </c>
      <c r="Y171" s="32" t="str">
        <f t="shared" ref="Y171:Y183" si="122">IF($X171=0,"",IF($C171=6,$D$5-$E$9,IF(OR($C171=4,$C171=2),8,IF($N171=1,IF($O171&lt;0.5,14,10),IF($N171=3,IF($O171&lt;0.5,14,IF($O171&lt;0.62,10,7)),IF($N171=5,IF($O171&lt;0.5,14,IF($O171&lt;0.62,12,7)),""))))))</f>
        <v/>
      </c>
      <c r="Z171" s="32" t="str">
        <f t="shared" ref="Z171:Z183" si="123">IF($X171=0,"",IF($C171=6,$D$5-$D$9,IF(OR($C171=4,$C171=2),10,IF($N171=1,IF($O171&lt;0.5,18,12),IF($N171=3,IF($O171&lt;0.5,18,IF($O171&lt;0.62,12,9)),IF($N171=5,IF($O171&lt;0.5,18,IF($O171&lt;0.62,15,9)),""))))))</f>
        <v/>
      </c>
      <c r="AA171" s="32" t="str">
        <f t="shared" ref="AA171:AA183" si="124">IF($A171="","",IF($C171=0,25,IF(OR($C171=7,$C171=1,$C171=5),30,IF($C171=6,25,IF(OR($C171=4,$C171=2),IF($AM171=0,30,30*$AN171/$AM171),"")))))</f>
        <v/>
      </c>
      <c r="AB171" s="32" t="str">
        <f>IF($A171="","",IF($T171="No Throw",0,IF($K171&lt;&gt;"",$K171,IF($AA171&lt;&gt;"",ROUND($AA171*$D$12*IF($C171=0,1,$G$10),0),MIN(IF($T171="Recovery/Easy Catch",Reference!$B$103,IF($T171="Long Toss",Reference!$B$106,Reference!$B$102)),MAX(Reference!$B$101,ROUND(MAX(0,$Q171-$AE171)/$AF171,0)))))))</f>
        <v/>
      </c>
      <c r="AC171" s="32">
        <f t="shared" ref="AC171:AC183" si="125">IF($A171="",0,IF($C171=0,$D$8,0))</f>
        <v>0</v>
      </c>
      <c r="AD171" s="32" t="b">
        <f t="shared" ref="AD171:AD183" si="126">IF($A171="",TRUE(),OR($J171="x",$T171="No Throw"))</f>
        <v>1</v>
      </c>
      <c r="AE171" s="32">
        <f>IF($X171=0,0,$X171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171+$Z171)/2,0),Reference!$A$17:$B$20,2,TRUE()))</f>
        <v>0</v>
      </c>
      <c r="AF171" s="32">
        <f>IF(OR($A171="",$U171="",$T171="No Throw"),0,$AM171*VLOOKUP(MAX(($V171+$W171)/2,0),Reference!$A$17:$B$20,2,TRUE()))</f>
        <v>0</v>
      </c>
      <c r="AG171" s="32">
        <f>IF($AC171=0,0,$AC171*INDEX(Reference!$B$61:$B$62,MATCH("Bullpen",Reference!$A$61:$A$62,0))*VLOOKUP(MAX($D$5-($D$9+$E$9)/2,0),Reference!$A$17:$B$20,2,TRUE()))</f>
        <v>0</v>
      </c>
      <c r="AH171" s="32" t="e">
        <f t="shared" ref="AH171:AH183" si="127">IF(OR($A171="",$L171&lt;27),NA(),$I171)</f>
        <v>#N/A</v>
      </c>
      <c r="AI171" s="32" t="e">
        <f>IF($A171="",NA(),Reference!$A$25)</f>
        <v>#N/A</v>
      </c>
      <c r="AJ171" s="32" t="e">
        <f t="shared" ref="AJ171:AJ183" si="128">IF($A171="",NA(),1.3)</f>
        <v>#N/A</v>
      </c>
      <c r="AK171" s="32">
        <f>IF(OR($A171="",N($C171)&lt;=7,$T171="No Throw",$J171="x"),0,INDEX(Reference!$B$108:$B$114,$N171+1))</f>
        <v>0</v>
      </c>
      <c r="AL171" s="32">
        <f t="shared" ref="AL171:AL183" si="129">IF($U171="",1,IF(AND($T171="Long Toss",N($U171)&gt;90),1+ROUNDUP(($U171-90)/30,0),1))</f>
        <v>1</v>
      </c>
      <c r="AM171" s="32">
        <f>IF($U171="",0,IF($AL171&gt;1,((IF(1&lt;=$AL171,($AL171-1+3)*(INDEX(Reference!$B$6:$B$11,MIN(5,MATCH(MAX(Reference!$A$6,MIN(Reference!$A$11,MIN($U171,90))),Reference!$A$6:$A$11,1)))+(MAX(Reference!$A$6,MIN(Reference!$A$11,MIN($U171,90)))-INDEX(Reference!$A$6:$A$11,MIN(5,MATCH(MAX(Reference!$A$6,MIN(Reference!$A$11,MIN($U171,90))),Reference!$A$6:$A$11,1))))*(INDEX(Reference!$B$6:$B$11,MIN(5,MATCH(MAX(Reference!$A$6,MIN(Reference!$A$11,MIN($U171,90))),Reference!$A$6:$A$11,1))+1)-INDEX(Reference!$B$6:$B$11,MIN(5,MATCH(MAX(Reference!$A$6,MIN(Reference!$A$11,MIN($U171,90))),Reference!$A$6:$A$11,1))))/(INDEX(Reference!$A$6:$A$11,MIN(5,MATCH(MAX(Reference!$A$6,MIN(Reference!$A$11,MIN($U171,90))),Reference!$A$6:$A$11,1))+1)-INDEX(Reference!$A$6:$A$11,MIN(5,MATCH(MAX(Reference!$A$6,MIN(Reference!$A$11,MIN($U171,90))),Reference!$A$6:$A$11,1))))),0)+IF(2&lt;=$AL171,($AL171-2+3)*(INDEX(Reference!$B$6:$B$11,MIN(5,MATCH(MAX(Reference!$A$6,MIN(Reference!$A$11,MIN($U171,120))),Reference!$A$6:$A$11,1)))+(MAX(Reference!$A$6,MIN(Reference!$A$11,MIN($U171,120)))-INDEX(Reference!$A$6:$A$11,MIN(5,MATCH(MAX(Reference!$A$6,MIN(Reference!$A$11,MIN($U171,120))),Reference!$A$6:$A$11,1))))*(INDEX(Reference!$B$6:$B$11,MIN(5,MATCH(MAX(Reference!$A$6,MIN(Reference!$A$11,MIN($U171,120))),Reference!$A$6:$A$11,1))+1)-INDEX(Reference!$B$6:$B$11,MIN(5,MATCH(MAX(Reference!$A$6,MIN(Reference!$A$11,MIN($U171,120))),Reference!$A$6:$A$11,1))))/(INDEX(Reference!$A$6:$A$11,MIN(5,MATCH(MAX(Reference!$A$6,MIN(Reference!$A$11,MIN($U171,120))),Reference!$A$6:$A$11,1))+1)-INDEX(Reference!$A$6:$A$11,MIN(5,MATCH(MAX(Reference!$A$6,MIN(Reference!$A$11,MIN($U171,120))),Reference!$A$6:$A$11,1))))),0)+IF(3&lt;=$AL171,($AL171-3+3)*(INDEX(Reference!$B$6:$B$11,MIN(5,MATCH(MAX(Reference!$A$6,MIN(Reference!$A$11,MIN($U171,150))),Reference!$A$6:$A$11,1)))+(MAX(Reference!$A$6,MIN(Reference!$A$11,MIN($U171,150)))-INDEX(Reference!$A$6:$A$11,MIN(5,MATCH(MAX(Reference!$A$6,MIN(Reference!$A$11,MIN($U171,150))),Reference!$A$6:$A$11,1))))*(INDEX(Reference!$B$6:$B$11,MIN(5,MATCH(MAX(Reference!$A$6,MIN(Reference!$A$11,MIN($U171,150))),Reference!$A$6:$A$11,1))+1)-INDEX(Reference!$B$6:$B$11,MIN(5,MATCH(MAX(Reference!$A$6,MIN(Reference!$A$11,MIN($U171,150))),Reference!$A$6:$A$11,1))))/(INDEX(Reference!$A$6:$A$11,MIN(5,MATCH(MAX(Reference!$A$6,MIN(Reference!$A$11,MIN($U171,150))),Reference!$A$6:$A$11,1))+1)-INDEX(Reference!$A$6:$A$11,MIN(5,MATCH(MAX(Reference!$A$6,MIN(Reference!$A$11,MIN($U171,150))),Reference!$A$6:$A$11,1))))),0)+IF(4&lt;=$AL171,($AL171-4+3)*(INDEX(Reference!$B$6:$B$11,MIN(5,MATCH(MAX(Reference!$A$6,MIN(Reference!$A$11,MIN($U171,180))),Reference!$A$6:$A$11,1)))+(MAX(Reference!$A$6,MIN(Reference!$A$11,MIN($U171,180)))-INDEX(Reference!$A$6:$A$11,MIN(5,MATCH(MAX(Reference!$A$6,MIN(Reference!$A$11,MIN($U171,180))),Reference!$A$6:$A$11,1))))*(INDEX(Reference!$B$6:$B$11,MIN(5,MATCH(MAX(Reference!$A$6,MIN(Reference!$A$11,MIN($U171,180))),Reference!$A$6:$A$11,1))+1)-INDEX(Reference!$B$6:$B$11,MIN(5,MATCH(MAX(Reference!$A$6,MIN(Reference!$A$11,MIN($U171,180))),Reference!$A$6:$A$11,1))))/(INDEX(Reference!$A$6:$A$11,MIN(5,MATCH(MAX(Reference!$A$6,MIN(Reference!$A$11,MIN($U171,180))),Reference!$A$6:$A$11,1))+1)-INDEX(Reference!$A$6:$A$11,MIN(5,MATCH(MAX(Reference!$A$6,MIN(Reference!$A$11,MIN($U171,180))),Reference!$A$6:$A$11,1))))),0)+IF(5&lt;=$AL171,($AL171-5+3)*(INDEX(Reference!$B$6:$B$11,MIN(5,MATCH(MAX(Reference!$A$6,MIN(Reference!$A$11,MIN($U171,210))),Reference!$A$6:$A$11,1)))+(MAX(Reference!$A$6,MIN(Reference!$A$11,MIN($U171,210)))-INDEX(Reference!$A$6:$A$11,MIN(5,MATCH(MAX(Reference!$A$6,MIN(Reference!$A$11,MIN($U171,210))),Reference!$A$6:$A$11,1))))*(INDEX(Reference!$B$6:$B$11,MIN(5,MATCH(MAX(Reference!$A$6,MIN(Reference!$A$11,MIN($U171,210))),Reference!$A$6:$A$11,1))+1)-INDEX(Reference!$B$6:$B$11,MIN(5,MATCH(MAX(Reference!$A$6,MIN(Reference!$A$11,MIN($U171,210))),Reference!$A$6:$A$11,1))))/(INDEX(Reference!$A$6:$A$11,MIN(5,MATCH(MAX(Reference!$A$6,MIN(Reference!$A$11,MIN($U171,210))),Reference!$A$6:$A$11,1))+1)-INDEX(Reference!$A$6:$A$11,MIN(5,MATCH(MAX(Reference!$A$6,MIN(Reference!$A$11,MIN($U171,210))),Reference!$A$6:$A$11,1))))),0)+IF(6&lt;=$AL171,($AL171-6+3)*(INDEX(Reference!$B$6:$B$11,MIN(5,MATCH(MAX(Reference!$A$6,MIN(Reference!$A$11,MIN($U171,240))),Reference!$A$6:$A$11,1)))+(MAX(Reference!$A$6,MIN(Reference!$A$11,MIN($U171,240)))-INDEX(Reference!$A$6:$A$11,MIN(5,MATCH(MAX(Reference!$A$6,MIN(Reference!$A$11,MIN($U171,240))),Reference!$A$6:$A$11,1))))*(INDEX(Reference!$B$6:$B$11,MIN(5,MATCH(MAX(Reference!$A$6,MIN(Reference!$A$11,MIN($U171,240))),Reference!$A$6:$A$11,1))+1)-INDEX(Reference!$B$6:$B$11,MIN(5,MATCH(MAX(Reference!$A$6,MIN(Reference!$A$11,MIN($U171,240))),Reference!$A$6:$A$11,1))))/(INDEX(Reference!$A$6:$A$11,MIN(5,MATCH(MAX(Reference!$A$6,MIN(Reference!$A$11,MIN($U171,240))),Reference!$A$6:$A$11,1))+1)-INDEX(Reference!$A$6:$A$11,MIN(5,MATCH(MAX(Reference!$A$6,MIN(Reference!$A$11,MIN($U171,240))),Reference!$A$6:$A$11,1))))),0)+IF(7&lt;=$AL171,($AL171-7+3)*(INDEX(Reference!$B$6:$B$11,MIN(5,MATCH(MAX(Reference!$A$6,MIN(Reference!$A$11,MIN($U171,270))),Reference!$A$6:$A$11,1)))+(MAX(Reference!$A$6,MIN(Reference!$A$11,MIN($U171,270)))-INDEX(Reference!$A$6:$A$11,MIN(5,MATCH(MAX(Reference!$A$6,MIN(Reference!$A$11,MIN($U171,270))),Reference!$A$6:$A$11,1))))*(INDEX(Reference!$B$6:$B$11,MIN(5,MATCH(MAX(Reference!$A$6,MIN(Reference!$A$11,MIN($U171,270))),Reference!$A$6:$A$11,1))+1)-INDEX(Reference!$B$6:$B$11,MIN(5,MATCH(MAX(Reference!$A$6,MIN(Reference!$A$11,MIN($U171,270))),Reference!$A$6:$A$11,1))))/(INDEX(Reference!$A$6:$A$11,MIN(5,MATCH(MAX(Reference!$A$6,MIN(Reference!$A$11,MIN($U171,270))),Reference!$A$6:$A$11,1))+1)-INDEX(Reference!$A$6:$A$11,MIN(5,MATCH(MAX(Reference!$A$6,MIN(Reference!$A$11,MIN($U171,270))),Reference!$A$6:$A$11,1))))),0)+IF(8&lt;=$AL171,($AL171-8+3)*(INDEX(Reference!$B$6:$B$11,MIN(5,MATCH(MAX(Reference!$A$6,MIN(Reference!$A$11,MIN($U171,300))),Reference!$A$6:$A$11,1)))+(MAX(Reference!$A$6,MIN(Reference!$A$11,MIN($U171,300)))-INDEX(Reference!$A$6:$A$11,MIN(5,MATCH(MAX(Reference!$A$6,MIN(Reference!$A$11,MIN($U171,300))),Reference!$A$6:$A$11,1))))*(INDEX(Reference!$B$6:$B$11,MIN(5,MATCH(MAX(Reference!$A$6,MIN(Reference!$A$11,MIN($U171,300))),Reference!$A$6:$A$11,1))+1)-INDEX(Reference!$B$6:$B$11,MIN(5,MATCH(MAX(Reference!$A$6,MIN(Reference!$A$11,MIN($U171,300))),Reference!$A$6:$A$11,1))))/(INDEX(Reference!$A$6:$A$11,MIN(5,MATCH(MAX(Reference!$A$6,MIN(Reference!$A$11,MIN($U171,300))),Reference!$A$6:$A$11,1))+1)-INDEX(Reference!$A$6:$A$11,MIN(5,MATCH(MAX(Reference!$A$6,MIN(Reference!$A$11,MIN($U171,300))),Reference!$A$6:$A$11,1))))),0))/($AL171*($AL171+5)/2)),$AN171))</f>
        <v>0</v>
      </c>
      <c r="AN171" s="32">
        <f>IF($U171="",0,(INDEX(Reference!$B$6:$B$11,MIN(5,MATCH(MAX(Reference!$A$6,MIN(Reference!$A$11,$U171)),Reference!$A$6:$A$11,1)))+(MAX(Reference!$A$6,MIN(Reference!$A$11,$U171))-INDEX(Reference!$A$6:$A$11,MIN(5,MATCH(MAX(Reference!$A$6,MIN(Reference!$A$11,$U171)),Reference!$A$6:$A$11,1))))*(INDEX(Reference!$B$6:$B$11,MIN(5,MATCH(MAX(Reference!$A$6,MIN(Reference!$A$11,$U171)),Reference!$A$6:$A$11,1))+1)-INDEX(Reference!$B$6:$B$11,MIN(5,MATCH(MAX(Reference!$A$6,MIN(Reference!$A$11,$U171)),Reference!$A$6:$A$11,1))))/(INDEX(Reference!$A$6:$A$11,MIN(5,MATCH(MAX(Reference!$A$6,MIN(Reference!$A$11,$U171)),Reference!$A$6:$A$11,1))+1)-INDEX(Reference!$A$6:$A$11,MIN(5,MATCH(MAX(Reference!$A$6,MIN(Reference!$A$11,$U171)),Reference!$A$6:$A$11,1))))))</f>
        <v>0</v>
      </c>
      <c r="AO171" s="37"/>
      <c r="AP171" s="37"/>
      <c r="AQ171" s="37"/>
    </row>
    <row r="172" spans="1:43" x14ac:dyDescent="0.3">
      <c r="A172" s="48" t="str">
        <f t="shared" si="105"/>
        <v/>
      </c>
      <c r="B172" s="32" t="str">
        <f t="shared" si="106"/>
        <v/>
      </c>
      <c r="C172" s="32" t="str">
        <f t="shared" si="107"/>
        <v/>
      </c>
      <c r="D172" s="32" t="str">
        <f t="shared" si="108"/>
        <v/>
      </c>
      <c r="E172" s="32" t="str">
        <f t="shared" si="109"/>
        <v/>
      </c>
      <c r="F172" s="32" t="str">
        <f t="shared" si="110"/>
        <v/>
      </c>
      <c r="G172" s="47" t="str">
        <f t="shared" si="111"/>
        <v/>
      </c>
      <c r="H172" s="30" t="str">
        <f t="shared" si="112"/>
        <v/>
      </c>
      <c r="I172" s="46" t="str">
        <f>IF($A172="","",IF(AND($L172&lt;27,$K$12=0),"Building",IFERROR(((SUM($H$166:$H172)+$K$12*IF($L172&lt;6,SUMIFS('Throw Log'!$Q$5:$Q$300,'Throw Log'!$B$5:$B$300,$D$4,'Throw Log'!$A$5:$A$300,"&gt;="&amp;($D$6+$L172-6),'Throw Log'!$A$5:$A$300,"&lt;="&amp;($D$6-1)),0))/7)/((SUM($H$145:$H172)+$K$12*IF($L172&lt;27,SUMIFS('Throw Log'!$Q$5:$Q$300,'Throw Log'!$B$5:$B$300,$D$4,'Throw Log'!$A$5:$A$300,"&gt;="&amp;($D$6+$L172-27),'Throw Log'!$A$5:$A$300,"&lt;="&amp;($D$6-1)),0))/28),"")))</f>
        <v/>
      </c>
      <c r="J172" s="37"/>
      <c r="K172" s="37"/>
      <c r="L172" s="32">
        <v>129</v>
      </c>
      <c r="M172" s="32">
        <f t="shared" si="113"/>
        <v>19</v>
      </c>
      <c r="N172" s="32">
        <f t="shared" si="114"/>
        <v>3</v>
      </c>
      <c r="O172" s="32">
        <f t="shared" si="115"/>
        <v>1</v>
      </c>
      <c r="P172" s="32" t="str">
        <f>IF(OR($A172="",N($C172)&lt;=7),"",$G$6*$G$9^($M172-1)*IF(AND(MOD($M172,Reference!$B$99)=0,$M172&lt;=$G$5-2),Reference!$B$100,1))</f>
        <v/>
      </c>
      <c r="Q172" s="32" t="str">
        <f>IF($P172="","",IF(SUM($AK$169:$AK$175)=0,0,$P172*INDEX(Reference!$B$108:$B$114,$N172+1)/SUM($AK$169:$AK$175)))</f>
        <v/>
      </c>
      <c r="R172" s="32">
        <f t="shared" si="116"/>
        <v>180</v>
      </c>
      <c r="S172" s="32">
        <f t="shared" si="117"/>
        <v>150</v>
      </c>
      <c r="T172" s="32" t="str">
        <f>IF($A172="","",IF($C172=0,"Bullpen",IF(OR($C172=7,$C172=1,$C172=5),"Recovery/Easy Catch",IF($C172=6,"Compression/Pulldowns",IF(OR($C172=4,$C172=2),"Long Toss",IF($C172=3,"No Throw",IF($N172=2,"No Throw",IF($N172=6,IF($O172&lt;Reference!$B$104,"No Throw","Recovery/Easy Catch"),IF(OR($N172=0,$N172=4),"Recovery/Easy Catch",IF($N172=1,IF($R172&gt;75,"Long Toss","Recovery/Easy Catch"),IF($N172=3,IF($O172&lt;0.5,IF($S172&gt;75,"Long Toss","Recovery/Easy Catch"),"Compression/Pulldowns"),IF($S172&gt;75,"Long Toss","Recovery/Easy Catch"))))))))))))</f>
        <v/>
      </c>
      <c r="U172" s="32" t="str">
        <f t="shared" si="118"/>
        <v/>
      </c>
      <c r="V172" s="32" t="str">
        <f t="shared" si="119"/>
        <v/>
      </c>
      <c r="W172" s="32" t="str">
        <f t="shared" si="120"/>
        <v/>
      </c>
      <c r="X172" s="32">
        <f t="shared" si="121"/>
        <v>0</v>
      </c>
      <c r="Y172" s="32" t="str">
        <f t="shared" si="122"/>
        <v/>
      </c>
      <c r="Z172" s="32" t="str">
        <f t="shared" si="123"/>
        <v/>
      </c>
      <c r="AA172" s="32" t="str">
        <f t="shared" si="124"/>
        <v/>
      </c>
      <c r="AB172" s="32" t="str">
        <f>IF($A172="","",IF($T172="No Throw",0,IF($K172&lt;&gt;"",$K172,IF($AA172&lt;&gt;"",ROUND($AA172*$D$12*IF($C172=0,1,$G$10),0),MIN(IF($T172="Recovery/Easy Catch",Reference!$B$103,IF($T172="Long Toss",Reference!$B$106,Reference!$B$102)),MAX(Reference!$B$101,ROUND(MAX(0,$Q172-$AE172)/$AF172,0)))))))</f>
        <v/>
      </c>
      <c r="AC172" s="32">
        <f t="shared" si="125"/>
        <v>0</v>
      </c>
      <c r="AD172" s="32" t="b">
        <f t="shared" si="126"/>
        <v>1</v>
      </c>
      <c r="AE172" s="32">
        <f>IF($X172=0,0,$X172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172+$Z172)/2,0),Reference!$A$17:$B$20,2,TRUE()))</f>
        <v>0</v>
      </c>
      <c r="AF172" s="32">
        <f>IF(OR($A172="",$U172="",$T172="No Throw"),0,$AM172*VLOOKUP(MAX(($V172+$W172)/2,0),Reference!$A$17:$B$20,2,TRUE()))</f>
        <v>0</v>
      </c>
      <c r="AG172" s="32">
        <f>IF($AC172=0,0,$AC172*INDEX(Reference!$B$61:$B$62,MATCH("Bullpen",Reference!$A$61:$A$62,0))*VLOOKUP(MAX($D$5-($D$9+$E$9)/2,0),Reference!$A$17:$B$20,2,TRUE()))</f>
        <v>0</v>
      </c>
      <c r="AH172" s="32" t="e">
        <f t="shared" si="127"/>
        <v>#N/A</v>
      </c>
      <c r="AI172" s="32" t="e">
        <f>IF($A172="",NA(),Reference!$A$25)</f>
        <v>#N/A</v>
      </c>
      <c r="AJ172" s="32" t="e">
        <f t="shared" si="128"/>
        <v>#N/A</v>
      </c>
      <c r="AK172" s="32">
        <f>IF(OR($A172="",N($C172)&lt;=7,$T172="No Throw",$J172="x"),0,INDEX(Reference!$B$108:$B$114,$N172+1))</f>
        <v>0</v>
      </c>
      <c r="AL172" s="32">
        <f t="shared" si="129"/>
        <v>1</v>
      </c>
      <c r="AM172" s="32">
        <f>IF($U172="",0,IF($AL172&gt;1,((IF(1&lt;=$AL172,($AL172-1+3)*(INDEX(Reference!$B$6:$B$11,MIN(5,MATCH(MAX(Reference!$A$6,MIN(Reference!$A$11,MIN($U172,90))),Reference!$A$6:$A$11,1)))+(MAX(Reference!$A$6,MIN(Reference!$A$11,MIN($U172,90)))-INDEX(Reference!$A$6:$A$11,MIN(5,MATCH(MAX(Reference!$A$6,MIN(Reference!$A$11,MIN($U172,90))),Reference!$A$6:$A$11,1))))*(INDEX(Reference!$B$6:$B$11,MIN(5,MATCH(MAX(Reference!$A$6,MIN(Reference!$A$11,MIN($U172,90))),Reference!$A$6:$A$11,1))+1)-INDEX(Reference!$B$6:$B$11,MIN(5,MATCH(MAX(Reference!$A$6,MIN(Reference!$A$11,MIN($U172,90))),Reference!$A$6:$A$11,1))))/(INDEX(Reference!$A$6:$A$11,MIN(5,MATCH(MAX(Reference!$A$6,MIN(Reference!$A$11,MIN($U172,90))),Reference!$A$6:$A$11,1))+1)-INDEX(Reference!$A$6:$A$11,MIN(5,MATCH(MAX(Reference!$A$6,MIN(Reference!$A$11,MIN($U172,90))),Reference!$A$6:$A$11,1))))),0)+IF(2&lt;=$AL172,($AL172-2+3)*(INDEX(Reference!$B$6:$B$11,MIN(5,MATCH(MAX(Reference!$A$6,MIN(Reference!$A$11,MIN($U172,120))),Reference!$A$6:$A$11,1)))+(MAX(Reference!$A$6,MIN(Reference!$A$11,MIN($U172,120)))-INDEX(Reference!$A$6:$A$11,MIN(5,MATCH(MAX(Reference!$A$6,MIN(Reference!$A$11,MIN($U172,120))),Reference!$A$6:$A$11,1))))*(INDEX(Reference!$B$6:$B$11,MIN(5,MATCH(MAX(Reference!$A$6,MIN(Reference!$A$11,MIN($U172,120))),Reference!$A$6:$A$11,1))+1)-INDEX(Reference!$B$6:$B$11,MIN(5,MATCH(MAX(Reference!$A$6,MIN(Reference!$A$11,MIN($U172,120))),Reference!$A$6:$A$11,1))))/(INDEX(Reference!$A$6:$A$11,MIN(5,MATCH(MAX(Reference!$A$6,MIN(Reference!$A$11,MIN($U172,120))),Reference!$A$6:$A$11,1))+1)-INDEX(Reference!$A$6:$A$11,MIN(5,MATCH(MAX(Reference!$A$6,MIN(Reference!$A$11,MIN($U172,120))),Reference!$A$6:$A$11,1))))),0)+IF(3&lt;=$AL172,($AL172-3+3)*(INDEX(Reference!$B$6:$B$11,MIN(5,MATCH(MAX(Reference!$A$6,MIN(Reference!$A$11,MIN($U172,150))),Reference!$A$6:$A$11,1)))+(MAX(Reference!$A$6,MIN(Reference!$A$11,MIN($U172,150)))-INDEX(Reference!$A$6:$A$11,MIN(5,MATCH(MAX(Reference!$A$6,MIN(Reference!$A$11,MIN($U172,150))),Reference!$A$6:$A$11,1))))*(INDEX(Reference!$B$6:$B$11,MIN(5,MATCH(MAX(Reference!$A$6,MIN(Reference!$A$11,MIN($U172,150))),Reference!$A$6:$A$11,1))+1)-INDEX(Reference!$B$6:$B$11,MIN(5,MATCH(MAX(Reference!$A$6,MIN(Reference!$A$11,MIN($U172,150))),Reference!$A$6:$A$11,1))))/(INDEX(Reference!$A$6:$A$11,MIN(5,MATCH(MAX(Reference!$A$6,MIN(Reference!$A$11,MIN($U172,150))),Reference!$A$6:$A$11,1))+1)-INDEX(Reference!$A$6:$A$11,MIN(5,MATCH(MAX(Reference!$A$6,MIN(Reference!$A$11,MIN($U172,150))),Reference!$A$6:$A$11,1))))),0)+IF(4&lt;=$AL172,($AL172-4+3)*(INDEX(Reference!$B$6:$B$11,MIN(5,MATCH(MAX(Reference!$A$6,MIN(Reference!$A$11,MIN($U172,180))),Reference!$A$6:$A$11,1)))+(MAX(Reference!$A$6,MIN(Reference!$A$11,MIN($U172,180)))-INDEX(Reference!$A$6:$A$11,MIN(5,MATCH(MAX(Reference!$A$6,MIN(Reference!$A$11,MIN($U172,180))),Reference!$A$6:$A$11,1))))*(INDEX(Reference!$B$6:$B$11,MIN(5,MATCH(MAX(Reference!$A$6,MIN(Reference!$A$11,MIN($U172,180))),Reference!$A$6:$A$11,1))+1)-INDEX(Reference!$B$6:$B$11,MIN(5,MATCH(MAX(Reference!$A$6,MIN(Reference!$A$11,MIN($U172,180))),Reference!$A$6:$A$11,1))))/(INDEX(Reference!$A$6:$A$11,MIN(5,MATCH(MAX(Reference!$A$6,MIN(Reference!$A$11,MIN($U172,180))),Reference!$A$6:$A$11,1))+1)-INDEX(Reference!$A$6:$A$11,MIN(5,MATCH(MAX(Reference!$A$6,MIN(Reference!$A$11,MIN($U172,180))),Reference!$A$6:$A$11,1))))),0)+IF(5&lt;=$AL172,($AL172-5+3)*(INDEX(Reference!$B$6:$B$11,MIN(5,MATCH(MAX(Reference!$A$6,MIN(Reference!$A$11,MIN($U172,210))),Reference!$A$6:$A$11,1)))+(MAX(Reference!$A$6,MIN(Reference!$A$11,MIN($U172,210)))-INDEX(Reference!$A$6:$A$11,MIN(5,MATCH(MAX(Reference!$A$6,MIN(Reference!$A$11,MIN($U172,210))),Reference!$A$6:$A$11,1))))*(INDEX(Reference!$B$6:$B$11,MIN(5,MATCH(MAX(Reference!$A$6,MIN(Reference!$A$11,MIN($U172,210))),Reference!$A$6:$A$11,1))+1)-INDEX(Reference!$B$6:$B$11,MIN(5,MATCH(MAX(Reference!$A$6,MIN(Reference!$A$11,MIN($U172,210))),Reference!$A$6:$A$11,1))))/(INDEX(Reference!$A$6:$A$11,MIN(5,MATCH(MAX(Reference!$A$6,MIN(Reference!$A$11,MIN($U172,210))),Reference!$A$6:$A$11,1))+1)-INDEX(Reference!$A$6:$A$11,MIN(5,MATCH(MAX(Reference!$A$6,MIN(Reference!$A$11,MIN($U172,210))),Reference!$A$6:$A$11,1))))),0)+IF(6&lt;=$AL172,($AL172-6+3)*(INDEX(Reference!$B$6:$B$11,MIN(5,MATCH(MAX(Reference!$A$6,MIN(Reference!$A$11,MIN($U172,240))),Reference!$A$6:$A$11,1)))+(MAX(Reference!$A$6,MIN(Reference!$A$11,MIN($U172,240)))-INDEX(Reference!$A$6:$A$11,MIN(5,MATCH(MAX(Reference!$A$6,MIN(Reference!$A$11,MIN($U172,240))),Reference!$A$6:$A$11,1))))*(INDEX(Reference!$B$6:$B$11,MIN(5,MATCH(MAX(Reference!$A$6,MIN(Reference!$A$11,MIN($U172,240))),Reference!$A$6:$A$11,1))+1)-INDEX(Reference!$B$6:$B$11,MIN(5,MATCH(MAX(Reference!$A$6,MIN(Reference!$A$11,MIN($U172,240))),Reference!$A$6:$A$11,1))))/(INDEX(Reference!$A$6:$A$11,MIN(5,MATCH(MAX(Reference!$A$6,MIN(Reference!$A$11,MIN($U172,240))),Reference!$A$6:$A$11,1))+1)-INDEX(Reference!$A$6:$A$11,MIN(5,MATCH(MAX(Reference!$A$6,MIN(Reference!$A$11,MIN($U172,240))),Reference!$A$6:$A$11,1))))),0)+IF(7&lt;=$AL172,($AL172-7+3)*(INDEX(Reference!$B$6:$B$11,MIN(5,MATCH(MAX(Reference!$A$6,MIN(Reference!$A$11,MIN($U172,270))),Reference!$A$6:$A$11,1)))+(MAX(Reference!$A$6,MIN(Reference!$A$11,MIN($U172,270)))-INDEX(Reference!$A$6:$A$11,MIN(5,MATCH(MAX(Reference!$A$6,MIN(Reference!$A$11,MIN($U172,270))),Reference!$A$6:$A$11,1))))*(INDEX(Reference!$B$6:$B$11,MIN(5,MATCH(MAX(Reference!$A$6,MIN(Reference!$A$11,MIN($U172,270))),Reference!$A$6:$A$11,1))+1)-INDEX(Reference!$B$6:$B$11,MIN(5,MATCH(MAX(Reference!$A$6,MIN(Reference!$A$11,MIN($U172,270))),Reference!$A$6:$A$11,1))))/(INDEX(Reference!$A$6:$A$11,MIN(5,MATCH(MAX(Reference!$A$6,MIN(Reference!$A$11,MIN($U172,270))),Reference!$A$6:$A$11,1))+1)-INDEX(Reference!$A$6:$A$11,MIN(5,MATCH(MAX(Reference!$A$6,MIN(Reference!$A$11,MIN($U172,270))),Reference!$A$6:$A$11,1))))),0)+IF(8&lt;=$AL172,($AL172-8+3)*(INDEX(Reference!$B$6:$B$11,MIN(5,MATCH(MAX(Reference!$A$6,MIN(Reference!$A$11,MIN($U172,300))),Reference!$A$6:$A$11,1)))+(MAX(Reference!$A$6,MIN(Reference!$A$11,MIN($U172,300)))-INDEX(Reference!$A$6:$A$11,MIN(5,MATCH(MAX(Reference!$A$6,MIN(Reference!$A$11,MIN($U172,300))),Reference!$A$6:$A$11,1))))*(INDEX(Reference!$B$6:$B$11,MIN(5,MATCH(MAX(Reference!$A$6,MIN(Reference!$A$11,MIN($U172,300))),Reference!$A$6:$A$11,1))+1)-INDEX(Reference!$B$6:$B$11,MIN(5,MATCH(MAX(Reference!$A$6,MIN(Reference!$A$11,MIN($U172,300))),Reference!$A$6:$A$11,1))))/(INDEX(Reference!$A$6:$A$11,MIN(5,MATCH(MAX(Reference!$A$6,MIN(Reference!$A$11,MIN($U172,300))),Reference!$A$6:$A$11,1))+1)-INDEX(Reference!$A$6:$A$11,MIN(5,MATCH(MAX(Reference!$A$6,MIN(Reference!$A$11,MIN($U172,300))),Reference!$A$6:$A$11,1))))),0))/($AL172*($AL172+5)/2)),$AN172))</f>
        <v>0</v>
      </c>
      <c r="AN172" s="32">
        <f>IF($U172="",0,(INDEX(Reference!$B$6:$B$11,MIN(5,MATCH(MAX(Reference!$A$6,MIN(Reference!$A$11,$U172)),Reference!$A$6:$A$11,1)))+(MAX(Reference!$A$6,MIN(Reference!$A$11,$U172))-INDEX(Reference!$A$6:$A$11,MIN(5,MATCH(MAX(Reference!$A$6,MIN(Reference!$A$11,$U172)),Reference!$A$6:$A$11,1))))*(INDEX(Reference!$B$6:$B$11,MIN(5,MATCH(MAX(Reference!$A$6,MIN(Reference!$A$11,$U172)),Reference!$A$6:$A$11,1))+1)-INDEX(Reference!$B$6:$B$11,MIN(5,MATCH(MAX(Reference!$A$6,MIN(Reference!$A$11,$U172)),Reference!$A$6:$A$11,1))))/(INDEX(Reference!$A$6:$A$11,MIN(5,MATCH(MAX(Reference!$A$6,MIN(Reference!$A$11,$U172)),Reference!$A$6:$A$11,1))+1)-INDEX(Reference!$A$6:$A$11,MIN(5,MATCH(MAX(Reference!$A$6,MIN(Reference!$A$11,$U172)),Reference!$A$6:$A$11,1))))))</f>
        <v>0</v>
      </c>
      <c r="AO172" s="37"/>
      <c r="AP172" s="37"/>
      <c r="AQ172" s="37"/>
    </row>
    <row r="173" spans="1:43" x14ac:dyDescent="0.3">
      <c r="A173" s="48" t="str">
        <f t="shared" si="105"/>
        <v/>
      </c>
      <c r="B173" s="32" t="str">
        <f t="shared" si="106"/>
        <v/>
      </c>
      <c r="C173" s="32" t="str">
        <f t="shared" si="107"/>
        <v/>
      </c>
      <c r="D173" s="32" t="str">
        <f t="shared" si="108"/>
        <v/>
      </c>
      <c r="E173" s="32" t="str">
        <f t="shared" si="109"/>
        <v/>
      </c>
      <c r="F173" s="32" t="str">
        <f t="shared" si="110"/>
        <v/>
      </c>
      <c r="G173" s="47" t="str">
        <f t="shared" si="111"/>
        <v/>
      </c>
      <c r="H173" s="30" t="str">
        <f t="shared" si="112"/>
        <v/>
      </c>
      <c r="I173" s="46" t="str">
        <f>IF($A173="","",IF(AND($L173&lt;27,$K$12=0),"Building",IFERROR(((SUM($H$167:$H173)+$K$12*IF($L173&lt;6,SUMIFS('Throw Log'!$Q$5:$Q$300,'Throw Log'!$B$5:$B$300,$D$4,'Throw Log'!$A$5:$A$300,"&gt;="&amp;($D$6+$L173-6),'Throw Log'!$A$5:$A$300,"&lt;="&amp;($D$6-1)),0))/7)/((SUM($H$146:$H173)+$K$12*IF($L173&lt;27,SUMIFS('Throw Log'!$Q$5:$Q$300,'Throw Log'!$B$5:$B$300,$D$4,'Throw Log'!$A$5:$A$300,"&gt;="&amp;($D$6+$L173-27),'Throw Log'!$A$5:$A$300,"&lt;="&amp;($D$6-1)),0))/28),"")))</f>
        <v/>
      </c>
      <c r="J173" s="37"/>
      <c r="K173" s="37"/>
      <c r="L173" s="32">
        <v>130</v>
      </c>
      <c r="M173" s="32">
        <f t="shared" si="113"/>
        <v>19</v>
      </c>
      <c r="N173" s="32">
        <f t="shared" si="114"/>
        <v>4</v>
      </c>
      <c r="O173" s="32">
        <f t="shared" si="115"/>
        <v>1</v>
      </c>
      <c r="P173" s="32" t="str">
        <f>IF(OR($A173="",N($C173)&lt;=7),"",$G$6*$G$9^($M173-1)*IF(AND(MOD($M173,Reference!$B$99)=0,$M173&lt;=$G$5-2),Reference!$B$100,1))</f>
        <v/>
      </c>
      <c r="Q173" s="32" t="str">
        <f>IF($P173="","",IF(SUM($AK$169:$AK$175)=0,0,$P173*INDEX(Reference!$B$108:$B$114,$N173+1)/SUM($AK$169:$AK$175)))</f>
        <v/>
      </c>
      <c r="R173" s="32">
        <f t="shared" si="116"/>
        <v>180</v>
      </c>
      <c r="S173" s="32">
        <f t="shared" si="117"/>
        <v>150</v>
      </c>
      <c r="T173" s="32" t="str">
        <f>IF($A173="","",IF($C173=0,"Bullpen",IF(OR($C173=7,$C173=1,$C173=5),"Recovery/Easy Catch",IF($C173=6,"Compression/Pulldowns",IF(OR($C173=4,$C173=2),"Long Toss",IF($C173=3,"No Throw",IF($N173=2,"No Throw",IF($N173=6,IF($O173&lt;Reference!$B$104,"No Throw","Recovery/Easy Catch"),IF(OR($N173=0,$N173=4),"Recovery/Easy Catch",IF($N173=1,IF($R173&gt;75,"Long Toss","Recovery/Easy Catch"),IF($N173=3,IF($O173&lt;0.5,IF($S173&gt;75,"Long Toss","Recovery/Easy Catch"),"Compression/Pulldowns"),IF($S173&gt;75,"Long Toss","Recovery/Easy Catch"))))))))))))</f>
        <v/>
      </c>
      <c r="U173" s="32" t="str">
        <f t="shared" si="118"/>
        <v/>
      </c>
      <c r="V173" s="32" t="str">
        <f t="shared" si="119"/>
        <v/>
      </c>
      <c r="W173" s="32" t="str">
        <f t="shared" si="120"/>
        <v/>
      </c>
      <c r="X173" s="32">
        <f t="shared" si="121"/>
        <v>0</v>
      </c>
      <c r="Y173" s="32" t="str">
        <f t="shared" si="122"/>
        <v/>
      </c>
      <c r="Z173" s="32" t="str">
        <f t="shared" si="123"/>
        <v/>
      </c>
      <c r="AA173" s="32" t="str">
        <f t="shared" si="124"/>
        <v/>
      </c>
      <c r="AB173" s="32" t="str">
        <f>IF($A173="","",IF($T173="No Throw",0,IF($K173&lt;&gt;"",$K173,IF($AA173&lt;&gt;"",ROUND($AA173*$D$12*IF($C173=0,1,$G$10),0),MIN(IF($T173="Recovery/Easy Catch",Reference!$B$103,IF($T173="Long Toss",Reference!$B$106,Reference!$B$102)),MAX(Reference!$B$101,ROUND(MAX(0,$Q173-$AE173)/$AF173,0)))))))</f>
        <v/>
      </c>
      <c r="AC173" s="32">
        <f t="shared" si="125"/>
        <v>0</v>
      </c>
      <c r="AD173" s="32" t="b">
        <f t="shared" si="126"/>
        <v>1</v>
      </c>
      <c r="AE173" s="32">
        <f>IF($X173=0,0,$X173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173+$Z173)/2,0),Reference!$A$17:$B$20,2,TRUE()))</f>
        <v>0</v>
      </c>
      <c r="AF173" s="32">
        <f>IF(OR($A173="",$U173="",$T173="No Throw"),0,$AM173*VLOOKUP(MAX(($V173+$W173)/2,0),Reference!$A$17:$B$20,2,TRUE()))</f>
        <v>0</v>
      </c>
      <c r="AG173" s="32">
        <f>IF($AC173=0,0,$AC173*INDEX(Reference!$B$61:$B$62,MATCH("Bullpen",Reference!$A$61:$A$62,0))*VLOOKUP(MAX($D$5-($D$9+$E$9)/2,0),Reference!$A$17:$B$20,2,TRUE()))</f>
        <v>0</v>
      </c>
      <c r="AH173" s="32" t="e">
        <f t="shared" si="127"/>
        <v>#N/A</v>
      </c>
      <c r="AI173" s="32" t="e">
        <f>IF($A173="",NA(),Reference!$A$25)</f>
        <v>#N/A</v>
      </c>
      <c r="AJ173" s="32" t="e">
        <f t="shared" si="128"/>
        <v>#N/A</v>
      </c>
      <c r="AK173" s="32">
        <f>IF(OR($A173="",N($C173)&lt;=7,$T173="No Throw",$J173="x"),0,INDEX(Reference!$B$108:$B$114,$N173+1))</f>
        <v>0</v>
      </c>
      <c r="AL173" s="32">
        <f t="shared" si="129"/>
        <v>1</v>
      </c>
      <c r="AM173" s="32">
        <f>IF($U173="",0,IF($AL173&gt;1,((IF(1&lt;=$AL173,($AL173-1+3)*(INDEX(Reference!$B$6:$B$11,MIN(5,MATCH(MAX(Reference!$A$6,MIN(Reference!$A$11,MIN($U173,90))),Reference!$A$6:$A$11,1)))+(MAX(Reference!$A$6,MIN(Reference!$A$11,MIN($U173,90)))-INDEX(Reference!$A$6:$A$11,MIN(5,MATCH(MAX(Reference!$A$6,MIN(Reference!$A$11,MIN($U173,90))),Reference!$A$6:$A$11,1))))*(INDEX(Reference!$B$6:$B$11,MIN(5,MATCH(MAX(Reference!$A$6,MIN(Reference!$A$11,MIN($U173,90))),Reference!$A$6:$A$11,1))+1)-INDEX(Reference!$B$6:$B$11,MIN(5,MATCH(MAX(Reference!$A$6,MIN(Reference!$A$11,MIN($U173,90))),Reference!$A$6:$A$11,1))))/(INDEX(Reference!$A$6:$A$11,MIN(5,MATCH(MAX(Reference!$A$6,MIN(Reference!$A$11,MIN($U173,90))),Reference!$A$6:$A$11,1))+1)-INDEX(Reference!$A$6:$A$11,MIN(5,MATCH(MAX(Reference!$A$6,MIN(Reference!$A$11,MIN($U173,90))),Reference!$A$6:$A$11,1))))),0)+IF(2&lt;=$AL173,($AL173-2+3)*(INDEX(Reference!$B$6:$B$11,MIN(5,MATCH(MAX(Reference!$A$6,MIN(Reference!$A$11,MIN($U173,120))),Reference!$A$6:$A$11,1)))+(MAX(Reference!$A$6,MIN(Reference!$A$11,MIN($U173,120)))-INDEX(Reference!$A$6:$A$11,MIN(5,MATCH(MAX(Reference!$A$6,MIN(Reference!$A$11,MIN($U173,120))),Reference!$A$6:$A$11,1))))*(INDEX(Reference!$B$6:$B$11,MIN(5,MATCH(MAX(Reference!$A$6,MIN(Reference!$A$11,MIN($U173,120))),Reference!$A$6:$A$11,1))+1)-INDEX(Reference!$B$6:$B$11,MIN(5,MATCH(MAX(Reference!$A$6,MIN(Reference!$A$11,MIN($U173,120))),Reference!$A$6:$A$11,1))))/(INDEX(Reference!$A$6:$A$11,MIN(5,MATCH(MAX(Reference!$A$6,MIN(Reference!$A$11,MIN($U173,120))),Reference!$A$6:$A$11,1))+1)-INDEX(Reference!$A$6:$A$11,MIN(5,MATCH(MAX(Reference!$A$6,MIN(Reference!$A$11,MIN($U173,120))),Reference!$A$6:$A$11,1))))),0)+IF(3&lt;=$AL173,($AL173-3+3)*(INDEX(Reference!$B$6:$B$11,MIN(5,MATCH(MAX(Reference!$A$6,MIN(Reference!$A$11,MIN($U173,150))),Reference!$A$6:$A$11,1)))+(MAX(Reference!$A$6,MIN(Reference!$A$11,MIN($U173,150)))-INDEX(Reference!$A$6:$A$11,MIN(5,MATCH(MAX(Reference!$A$6,MIN(Reference!$A$11,MIN($U173,150))),Reference!$A$6:$A$11,1))))*(INDEX(Reference!$B$6:$B$11,MIN(5,MATCH(MAX(Reference!$A$6,MIN(Reference!$A$11,MIN($U173,150))),Reference!$A$6:$A$11,1))+1)-INDEX(Reference!$B$6:$B$11,MIN(5,MATCH(MAX(Reference!$A$6,MIN(Reference!$A$11,MIN($U173,150))),Reference!$A$6:$A$11,1))))/(INDEX(Reference!$A$6:$A$11,MIN(5,MATCH(MAX(Reference!$A$6,MIN(Reference!$A$11,MIN($U173,150))),Reference!$A$6:$A$11,1))+1)-INDEX(Reference!$A$6:$A$11,MIN(5,MATCH(MAX(Reference!$A$6,MIN(Reference!$A$11,MIN($U173,150))),Reference!$A$6:$A$11,1))))),0)+IF(4&lt;=$AL173,($AL173-4+3)*(INDEX(Reference!$B$6:$B$11,MIN(5,MATCH(MAX(Reference!$A$6,MIN(Reference!$A$11,MIN($U173,180))),Reference!$A$6:$A$11,1)))+(MAX(Reference!$A$6,MIN(Reference!$A$11,MIN($U173,180)))-INDEX(Reference!$A$6:$A$11,MIN(5,MATCH(MAX(Reference!$A$6,MIN(Reference!$A$11,MIN($U173,180))),Reference!$A$6:$A$11,1))))*(INDEX(Reference!$B$6:$B$11,MIN(5,MATCH(MAX(Reference!$A$6,MIN(Reference!$A$11,MIN($U173,180))),Reference!$A$6:$A$11,1))+1)-INDEX(Reference!$B$6:$B$11,MIN(5,MATCH(MAX(Reference!$A$6,MIN(Reference!$A$11,MIN($U173,180))),Reference!$A$6:$A$11,1))))/(INDEX(Reference!$A$6:$A$11,MIN(5,MATCH(MAX(Reference!$A$6,MIN(Reference!$A$11,MIN($U173,180))),Reference!$A$6:$A$11,1))+1)-INDEX(Reference!$A$6:$A$11,MIN(5,MATCH(MAX(Reference!$A$6,MIN(Reference!$A$11,MIN($U173,180))),Reference!$A$6:$A$11,1))))),0)+IF(5&lt;=$AL173,($AL173-5+3)*(INDEX(Reference!$B$6:$B$11,MIN(5,MATCH(MAX(Reference!$A$6,MIN(Reference!$A$11,MIN($U173,210))),Reference!$A$6:$A$11,1)))+(MAX(Reference!$A$6,MIN(Reference!$A$11,MIN($U173,210)))-INDEX(Reference!$A$6:$A$11,MIN(5,MATCH(MAX(Reference!$A$6,MIN(Reference!$A$11,MIN($U173,210))),Reference!$A$6:$A$11,1))))*(INDEX(Reference!$B$6:$B$11,MIN(5,MATCH(MAX(Reference!$A$6,MIN(Reference!$A$11,MIN($U173,210))),Reference!$A$6:$A$11,1))+1)-INDEX(Reference!$B$6:$B$11,MIN(5,MATCH(MAX(Reference!$A$6,MIN(Reference!$A$11,MIN($U173,210))),Reference!$A$6:$A$11,1))))/(INDEX(Reference!$A$6:$A$11,MIN(5,MATCH(MAX(Reference!$A$6,MIN(Reference!$A$11,MIN($U173,210))),Reference!$A$6:$A$11,1))+1)-INDEX(Reference!$A$6:$A$11,MIN(5,MATCH(MAX(Reference!$A$6,MIN(Reference!$A$11,MIN($U173,210))),Reference!$A$6:$A$11,1))))),0)+IF(6&lt;=$AL173,($AL173-6+3)*(INDEX(Reference!$B$6:$B$11,MIN(5,MATCH(MAX(Reference!$A$6,MIN(Reference!$A$11,MIN($U173,240))),Reference!$A$6:$A$11,1)))+(MAX(Reference!$A$6,MIN(Reference!$A$11,MIN($U173,240)))-INDEX(Reference!$A$6:$A$11,MIN(5,MATCH(MAX(Reference!$A$6,MIN(Reference!$A$11,MIN($U173,240))),Reference!$A$6:$A$11,1))))*(INDEX(Reference!$B$6:$B$11,MIN(5,MATCH(MAX(Reference!$A$6,MIN(Reference!$A$11,MIN($U173,240))),Reference!$A$6:$A$11,1))+1)-INDEX(Reference!$B$6:$B$11,MIN(5,MATCH(MAX(Reference!$A$6,MIN(Reference!$A$11,MIN($U173,240))),Reference!$A$6:$A$11,1))))/(INDEX(Reference!$A$6:$A$11,MIN(5,MATCH(MAX(Reference!$A$6,MIN(Reference!$A$11,MIN($U173,240))),Reference!$A$6:$A$11,1))+1)-INDEX(Reference!$A$6:$A$11,MIN(5,MATCH(MAX(Reference!$A$6,MIN(Reference!$A$11,MIN($U173,240))),Reference!$A$6:$A$11,1))))),0)+IF(7&lt;=$AL173,($AL173-7+3)*(INDEX(Reference!$B$6:$B$11,MIN(5,MATCH(MAX(Reference!$A$6,MIN(Reference!$A$11,MIN($U173,270))),Reference!$A$6:$A$11,1)))+(MAX(Reference!$A$6,MIN(Reference!$A$11,MIN($U173,270)))-INDEX(Reference!$A$6:$A$11,MIN(5,MATCH(MAX(Reference!$A$6,MIN(Reference!$A$11,MIN($U173,270))),Reference!$A$6:$A$11,1))))*(INDEX(Reference!$B$6:$B$11,MIN(5,MATCH(MAX(Reference!$A$6,MIN(Reference!$A$11,MIN($U173,270))),Reference!$A$6:$A$11,1))+1)-INDEX(Reference!$B$6:$B$11,MIN(5,MATCH(MAX(Reference!$A$6,MIN(Reference!$A$11,MIN($U173,270))),Reference!$A$6:$A$11,1))))/(INDEX(Reference!$A$6:$A$11,MIN(5,MATCH(MAX(Reference!$A$6,MIN(Reference!$A$11,MIN($U173,270))),Reference!$A$6:$A$11,1))+1)-INDEX(Reference!$A$6:$A$11,MIN(5,MATCH(MAX(Reference!$A$6,MIN(Reference!$A$11,MIN($U173,270))),Reference!$A$6:$A$11,1))))),0)+IF(8&lt;=$AL173,($AL173-8+3)*(INDEX(Reference!$B$6:$B$11,MIN(5,MATCH(MAX(Reference!$A$6,MIN(Reference!$A$11,MIN($U173,300))),Reference!$A$6:$A$11,1)))+(MAX(Reference!$A$6,MIN(Reference!$A$11,MIN($U173,300)))-INDEX(Reference!$A$6:$A$11,MIN(5,MATCH(MAX(Reference!$A$6,MIN(Reference!$A$11,MIN($U173,300))),Reference!$A$6:$A$11,1))))*(INDEX(Reference!$B$6:$B$11,MIN(5,MATCH(MAX(Reference!$A$6,MIN(Reference!$A$11,MIN($U173,300))),Reference!$A$6:$A$11,1))+1)-INDEX(Reference!$B$6:$B$11,MIN(5,MATCH(MAX(Reference!$A$6,MIN(Reference!$A$11,MIN($U173,300))),Reference!$A$6:$A$11,1))))/(INDEX(Reference!$A$6:$A$11,MIN(5,MATCH(MAX(Reference!$A$6,MIN(Reference!$A$11,MIN($U173,300))),Reference!$A$6:$A$11,1))+1)-INDEX(Reference!$A$6:$A$11,MIN(5,MATCH(MAX(Reference!$A$6,MIN(Reference!$A$11,MIN($U173,300))),Reference!$A$6:$A$11,1))))),0))/($AL173*($AL173+5)/2)),$AN173))</f>
        <v>0</v>
      </c>
      <c r="AN173" s="32">
        <f>IF($U173="",0,(INDEX(Reference!$B$6:$B$11,MIN(5,MATCH(MAX(Reference!$A$6,MIN(Reference!$A$11,$U173)),Reference!$A$6:$A$11,1)))+(MAX(Reference!$A$6,MIN(Reference!$A$11,$U173))-INDEX(Reference!$A$6:$A$11,MIN(5,MATCH(MAX(Reference!$A$6,MIN(Reference!$A$11,$U173)),Reference!$A$6:$A$11,1))))*(INDEX(Reference!$B$6:$B$11,MIN(5,MATCH(MAX(Reference!$A$6,MIN(Reference!$A$11,$U173)),Reference!$A$6:$A$11,1))+1)-INDEX(Reference!$B$6:$B$11,MIN(5,MATCH(MAX(Reference!$A$6,MIN(Reference!$A$11,$U173)),Reference!$A$6:$A$11,1))))/(INDEX(Reference!$A$6:$A$11,MIN(5,MATCH(MAX(Reference!$A$6,MIN(Reference!$A$11,$U173)),Reference!$A$6:$A$11,1))+1)-INDEX(Reference!$A$6:$A$11,MIN(5,MATCH(MAX(Reference!$A$6,MIN(Reference!$A$11,$U173)),Reference!$A$6:$A$11,1))))))</f>
        <v>0</v>
      </c>
      <c r="AO173" s="37"/>
      <c r="AP173" s="37"/>
      <c r="AQ173" s="37"/>
    </row>
    <row r="174" spans="1:43" x14ac:dyDescent="0.3">
      <c r="A174" s="48" t="str">
        <f t="shared" si="105"/>
        <v/>
      </c>
      <c r="B174" s="32" t="str">
        <f t="shared" si="106"/>
        <v/>
      </c>
      <c r="C174" s="32" t="str">
        <f t="shared" si="107"/>
        <v/>
      </c>
      <c r="D174" s="32" t="str">
        <f t="shared" si="108"/>
        <v/>
      </c>
      <c r="E174" s="32" t="str">
        <f t="shared" si="109"/>
        <v/>
      </c>
      <c r="F174" s="32" t="str">
        <f t="shared" si="110"/>
        <v/>
      </c>
      <c r="G174" s="47" t="str">
        <f t="shared" si="111"/>
        <v/>
      </c>
      <c r="H174" s="30" t="str">
        <f t="shared" si="112"/>
        <v/>
      </c>
      <c r="I174" s="46" t="str">
        <f>IF($A174="","",IF(AND($L174&lt;27,$K$12=0),"Building",IFERROR(((SUM($H$168:$H174)+$K$12*IF($L174&lt;6,SUMIFS('Throw Log'!$Q$5:$Q$300,'Throw Log'!$B$5:$B$300,$D$4,'Throw Log'!$A$5:$A$300,"&gt;="&amp;($D$6+$L174-6),'Throw Log'!$A$5:$A$300,"&lt;="&amp;($D$6-1)),0))/7)/((SUM($H$147:$H174)+$K$12*IF($L174&lt;27,SUMIFS('Throw Log'!$Q$5:$Q$300,'Throw Log'!$B$5:$B$300,$D$4,'Throw Log'!$A$5:$A$300,"&gt;="&amp;($D$6+$L174-27),'Throw Log'!$A$5:$A$300,"&lt;="&amp;($D$6-1)),0))/28),"")))</f>
        <v/>
      </c>
      <c r="J174" s="37"/>
      <c r="K174" s="37"/>
      <c r="L174" s="32">
        <v>131</v>
      </c>
      <c r="M174" s="32">
        <f t="shared" si="113"/>
        <v>19</v>
      </c>
      <c r="N174" s="32">
        <f t="shared" si="114"/>
        <v>5</v>
      </c>
      <c r="O174" s="32">
        <f t="shared" si="115"/>
        <v>1</v>
      </c>
      <c r="P174" s="32" t="str">
        <f>IF(OR($A174="",N($C174)&lt;=7),"",$G$6*$G$9^($M174-1)*IF(AND(MOD($M174,Reference!$B$99)=0,$M174&lt;=$G$5-2),Reference!$B$100,1))</f>
        <v/>
      </c>
      <c r="Q174" s="32" t="str">
        <f>IF($P174="","",IF(SUM($AK$169:$AK$175)=0,0,$P174*INDEX(Reference!$B$108:$B$114,$N174+1)/SUM($AK$169:$AK$175)))</f>
        <v/>
      </c>
      <c r="R174" s="32">
        <f t="shared" si="116"/>
        <v>180</v>
      </c>
      <c r="S174" s="32">
        <f t="shared" si="117"/>
        <v>150</v>
      </c>
      <c r="T174" s="32" t="str">
        <f>IF($A174="","",IF($C174=0,"Bullpen",IF(OR($C174=7,$C174=1,$C174=5),"Recovery/Easy Catch",IF($C174=6,"Compression/Pulldowns",IF(OR($C174=4,$C174=2),"Long Toss",IF($C174=3,"No Throw",IF($N174=2,"No Throw",IF($N174=6,IF($O174&lt;Reference!$B$104,"No Throw","Recovery/Easy Catch"),IF(OR($N174=0,$N174=4),"Recovery/Easy Catch",IF($N174=1,IF($R174&gt;75,"Long Toss","Recovery/Easy Catch"),IF($N174=3,IF($O174&lt;0.5,IF($S174&gt;75,"Long Toss","Recovery/Easy Catch"),"Compression/Pulldowns"),IF($S174&gt;75,"Long Toss","Recovery/Easy Catch"))))))))))))</f>
        <v/>
      </c>
      <c r="U174" s="32" t="str">
        <f t="shared" si="118"/>
        <v/>
      </c>
      <c r="V174" s="32" t="str">
        <f t="shared" si="119"/>
        <v/>
      </c>
      <c r="W174" s="32" t="str">
        <f t="shared" si="120"/>
        <v/>
      </c>
      <c r="X174" s="32">
        <f t="shared" si="121"/>
        <v>0</v>
      </c>
      <c r="Y174" s="32" t="str">
        <f t="shared" si="122"/>
        <v/>
      </c>
      <c r="Z174" s="32" t="str">
        <f t="shared" si="123"/>
        <v/>
      </c>
      <c r="AA174" s="32" t="str">
        <f t="shared" si="124"/>
        <v/>
      </c>
      <c r="AB174" s="32" t="str">
        <f>IF($A174="","",IF($T174="No Throw",0,IF($K174&lt;&gt;"",$K174,IF($AA174&lt;&gt;"",ROUND($AA174*$D$12*IF($C174=0,1,$G$10),0),MIN(IF($T174="Recovery/Easy Catch",Reference!$B$103,IF($T174="Long Toss",Reference!$B$106,Reference!$B$102)),MAX(Reference!$B$101,ROUND(MAX(0,$Q174-$AE174)/$AF174,0)))))))</f>
        <v/>
      </c>
      <c r="AC174" s="32">
        <f t="shared" si="125"/>
        <v>0</v>
      </c>
      <c r="AD174" s="32" t="b">
        <f t="shared" si="126"/>
        <v>1</v>
      </c>
      <c r="AE174" s="32">
        <f>IF($X174=0,0,$X174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174+$Z174)/2,0),Reference!$A$17:$B$20,2,TRUE()))</f>
        <v>0</v>
      </c>
      <c r="AF174" s="32">
        <f>IF(OR($A174="",$U174="",$T174="No Throw"),0,$AM174*VLOOKUP(MAX(($V174+$W174)/2,0),Reference!$A$17:$B$20,2,TRUE()))</f>
        <v>0</v>
      </c>
      <c r="AG174" s="32">
        <f>IF($AC174=0,0,$AC174*INDEX(Reference!$B$61:$B$62,MATCH("Bullpen",Reference!$A$61:$A$62,0))*VLOOKUP(MAX($D$5-($D$9+$E$9)/2,0),Reference!$A$17:$B$20,2,TRUE()))</f>
        <v>0</v>
      </c>
      <c r="AH174" s="32" t="e">
        <f t="shared" si="127"/>
        <v>#N/A</v>
      </c>
      <c r="AI174" s="32" t="e">
        <f>IF($A174="",NA(),Reference!$A$25)</f>
        <v>#N/A</v>
      </c>
      <c r="AJ174" s="32" t="e">
        <f t="shared" si="128"/>
        <v>#N/A</v>
      </c>
      <c r="AK174" s="32">
        <f>IF(OR($A174="",N($C174)&lt;=7,$T174="No Throw",$J174="x"),0,INDEX(Reference!$B$108:$B$114,$N174+1))</f>
        <v>0</v>
      </c>
      <c r="AL174" s="32">
        <f t="shared" si="129"/>
        <v>1</v>
      </c>
      <c r="AM174" s="32">
        <f>IF($U174="",0,IF($AL174&gt;1,((IF(1&lt;=$AL174,($AL174-1+3)*(INDEX(Reference!$B$6:$B$11,MIN(5,MATCH(MAX(Reference!$A$6,MIN(Reference!$A$11,MIN($U174,90))),Reference!$A$6:$A$11,1)))+(MAX(Reference!$A$6,MIN(Reference!$A$11,MIN($U174,90)))-INDEX(Reference!$A$6:$A$11,MIN(5,MATCH(MAX(Reference!$A$6,MIN(Reference!$A$11,MIN($U174,90))),Reference!$A$6:$A$11,1))))*(INDEX(Reference!$B$6:$B$11,MIN(5,MATCH(MAX(Reference!$A$6,MIN(Reference!$A$11,MIN($U174,90))),Reference!$A$6:$A$11,1))+1)-INDEX(Reference!$B$6:$B$11,MIN(5,MATCH(MAX(Reference!$A$6,MIN(Reference!$A$11,MIN($U174,90))),Reference!$A$6:$A$11,1))))/(INDEX(Reference!$A$6:$A$11,MIN(5,MATCH(MAX(Reference!$A$6,MIN(Reference!$A$11,MIN($U174,90))),Reference!$A$6:$A$11,1))+1)-INDEX(Reference!$A$6:$A$11,MIN(5,MATCH(MAX(Reference!$A$6,MIN(Reference!$A$11,MIN($U174,90))),Reference!$A$6:$A$11,1))))),0)+IF(2&lt;=$AL174,($AL174-2+3)*(INDEX(Reference!$B$6:$B$11,MIN(5,MATCH(MAX(Reference!$A$6,MIN(Reference!$A$11,MIN($U174,120))),Reference!$A$6:$A$11,1)))+(MAX(Reference!$A$6,MIN(Reference!$A$11,MIN($U174,120)))-INDEX(Reference!$A$6:$A$11,MIN(5,MATCH(MAX(Reference!$A$6,MIN(Reference!$A$11,MIN($U174,120))),Reference!$A$6:$A$11,1))))*(INDEX(Reference!$B$6:$B$11,MIN(5,MATCH(MAX(Reference!$A$6,MIN(Reference!$A$11,MIN($U174,120))),Reference!$A$6:$A$11,1))+1)-INDEX(Reference!$B$6:$B$11,MIN(5,MATCH(MAX(Reference!$A$6,MIN(Reference!$A$11,MIN($U174,120))),Reference!$A$6:$A$11,1))))/(INDEX(Reference!$A$6:$A$11,MIN(5,MATCH(MAX(Reference!$A$6,MIN(Reference!$A$11,MIN($U174,120))),Reference!$A$6:$A$11,1))+1)-INDEX(Reference!$A$6:$A$11,MIN(5,MATCH(MAX(Reference!$A$6,MIN(Reference!$A$11,MIN($U174,120))),Reference!$A$6:$A$11,1))))),0)+IF(3&lt;=$AL174,($AL174-3+3)*(INDEX(Reference!$B$6:$B$11,MIN(5,MATCH(MAX(Reference!$A$6,MIN(Reference!$A$11,MIN($U174,150))),Reference!$A$6:$A$11,1)))+(MAX(Reference!$A$6,MIN(Reference!$A$11,MIN($U174,150)))-INDEX(Reference!$A$6:$A$11,MIN(5,MATCH(MAX(Reference!$A$6,MIN(Reference!$A$11,MIN($U174,150))),Reference!$A$6:$A$11,1))))*(INDEX(Reference!$B$6:$B$11,MIN(5,MATCH(MAX(Reference!$A$6,MIN(Reference!$A$11,MIN($U174,150))),Reference!$A$6:$A$11,1))+1)-INDEX(Reference!$B$6:$B$11,MIN(5,MATCH(MAX(Reference!$A$6,MIN(Reference!$A$11,MIN($U174,150))),Reference!$A$6:$A$11,1))))/(INDEX(Reference!$A$6:$A$11,MIN(5,MATCH(MAX(Reference!$A$6,MIN(Reference!$A$11,MIN($U174,150))),Reference!$A$6:$A$11,1))+1)-INDEX(Reference!$A$6:$A$11,MIN(5,MATCH(MAX(Reference!$A$6,MIN(Reference!$A$11,MIN($U174,150))),Reference!$A$6:$A$11,1))))),0)+IF(4&lt;=$AL174,($AL174-4+3)*(INDEX(Reference!$B$6:$B$11,MIN(5,MATCH(MAX(Reference!$A$6,MIN(Reference!$A$11,MIN($U174,180))),Reference!$A$6:$A$11,1)))+(MAX(Reference!$A$6,MIN(Reference!$A$11,MIN($U174,180)))-INDEX(Reference!$A$6:$A$11,MIN(5,MATCH(MAX(Reference!$A$6,MIN(Reference!$A$11,MIN($U174,180))),Reference!$A$6:$A$11,1))))*(INDEX(Reference!$B$6:$B$11,MIN(5,MATCH(MAX(Reference!$A$6,MIN(Reference!$A$11,MIN($U174,180))),Reference!$A$6:$A$11,1))+1)-INDEX(Reference!$B$6:$B$11,MIN(5,MATCH(MAX(Reference!$A$6,MIN(Reference!$A$11,MIN($U174,180))),Reference!$A$6:$A$11,1))))/(INDEX(Reference!$A$6:$A$11,MIN(5,MATCH(MAX(Reference!$A$6,MIN(Reference!$A$11,MIN($U174,180))),Reference!$A$6:$A$11,1))+1)-INDEX(Reference!$A$6:$A$11,MIN(5,MATCH(MAX(Reference!$A$6,MIN(Reference!$A$11,MIN($U174,180))),Reference!$A$6:$A$11,1))))),0)+IF(5&lt;=$AL174,($AL174-5+3)*(INDEX(Reference!$B$6:$B$11,MIN(5,MATCH(MAX(Reference!$A$6,MIN(Reference!$A$11,MIN($U174,210))),Reference!$A$6:$A$11,1)))+(MAX(Reference!$A$6,MIN(Reference!$A$11,MIN($U174,210)))-INDEX(Reference!$A$6:$A$11,MIN(5,MATCH(MAX(Reference!$A$6,MIN(Reference!$A$11,MIN($U174,210))),Reference!$A$6:$A$11,1))))*(INDEX(Reference!$B$6:$B$11,MIN(5,MATCH(MAX(Reference!$A$6,MIN(Reference!$A$11,MIN($U174,210))),Reference!$A$6:$A$11,1))+1)-INDEX(Reference!$B$6:$B$11,MIN(5,MATCH(MAX(Reference!$A$6,MIN(Reference!$A$11,MIN($U174,210))),Reference!$A$6:$A$11,1))))/(INDEX(Reference!$A$6:$A$11,MIN(5,MATCH(MAX(Reference!$A$6,MIN(Reference!$A$11,MIN($U174,210))),Reference!$A$6:$A$11,1))+1)-INDEX(Reference!$A$6:$A$11,MIN(5,MATCH(MAX(Reference!$A$6,MIN(Reference!$A$11,MIN($U174,210))),Reference!$A$6:$A$11,1))))),0)+IF(6&lt;=$AL174,($AL174-6+3)*(INDEX(Reference!$B$6:$B$11,MIN(5,MATCH(MAX(Reference!$A$6,MIN(Reference!$A$11,MIN($U174,240))),Reference!$A$6:$A$11,1)))+(MAX(Reference!$A$6,MIN(Reference!$A$11,MIN($U174,240)))-INDEX(Reference!$A$6:$A$11,MIN(5,MATCH(MAX(Reference!$A$6,MIN(Reference!$A$11,MIN($U174,240))),Reference!$A$6:$A$11,1))))*(INDEX(Reference!$B$6:$B$11,MIN(5,MATCH(MAX(Reference!$A$6,MIN(Reference!$A$11,MIN($U174,240))),Reference!$A$6:$A$11,1))+1)-INDEX(Reference!$B$6:$B$11,MIN(5,MATCH(MAX(Reference!$A$6,MIN(Reference!$A$11,MIN($U174,240))),Reference!$A$6:$A$11,1))))/(INDEX(Reference!$A$6:$A$11,MIN(5,MATCH(MAX(Reference!$A$6,MIN(Reference!$A$11,MIN($U174,240))),Reference!$A$6:$A$11,1))+1)-INDEX(Reference!$A$6:$A$11,MIN(5,MATCH(MAX(Reference!$A$6,MIN(Reference!$A$11,MIN($U174,240))),Reference!$A$6:$A$11,1))))),0)+IF(7&lt;=$AL174,($AL174-7+3)*(INDEX(Reference!$B$6:$B$11,MIN(5,MATCH(MAX(Reference!$A$6,MIN(Reference!$A$11,MIN($U174,270))),Reference!$A$6:$A$11,1)))+(MAX(Reference!$A$6,MIN(Reference!$A$11,MIN($U174,270)))-INDEX(Reference!$A$6:$A$11,MIN(5,MATCH(MAX(Reference!$A$6,MIN(Reference!$A$11,MIN($U174,270))),Reference!$A$6:$A$11,1))))*(INDEX(Reference!$B$6:$B$11,MIN(5,MATCH(MAX(Reference!$A$6,MIN(Reference!$A$11,MIN($U174,270))),Reference!$A$6:$A$11,1))+1)-INDEX(Reference!$B$6:$B$11,MIN(5,MATCH(MAX(Reference!$A$6,MIN(Reference!$A$11,MIN($U174,270))),Reference!$A$6:$A$11,1))))/(INDEX(Reference!$A$6:$A$11,MIN(5,MATCH(MAX(Reference!$A$6,MIN(Reference!$A$11,MIN($U174,270))),Reference!$A$6:$A$11,1))+1)-INDEX(Reference!$A$6:$A$11,MIN(5,MATCH(MAX(Reference!$A$6,MIN(Reference!$A$11,MIN($U174,270))),Reference!$A$6:$A$11,1))))),0)+IF(8&lt;=$AL174,($AL174-8+3)*(INDEX(Reference!$B$6:$B$11,MIN(5,MATCH(MAX(Reference!$A$6,MIN(Reference!$A$11,MIN($U174,300))),Reference!$A$6:$A$11,1)))+(MAX(Reference!$A$6,MIN(Reference!$A$11,MIN($U174,300)))-INDEX(Reference!$A$6:$A$11,MIN(5,MATCH(MAX(Reference!$A$6,MIN(Reference!$A$11,MIN($U174,300))),Reference!$A$6:$A$11,1))))*(INDEX(Reference!$B$6:$B$11,MIN(5,MATCH(MAX(Reference!$A$6,MIN(Reference!$A$11,MIN($U174,300))),Reference!$A$6:$A$11,1))+1)-INDEX(Reference!$B$6:$B$11,MIN(5,MATCH(MAX(Reference!$A$6,MIN(Reference!$A$11,MIN($U174,300))),Reference!$A$6:$A$11,1))))/(INDEX(Reference!$A$6:$A$11,MIN(5,MATCH(MAX(Reference!$A$6,MIN(Reference!$A$11,MIN($U174,300))),Reference!$A$6:$A$11,1))+1)-INDEX(Reference!$A$6:$A$11,MIN(5,MATCH(MAX(Reference!$A$6,MIN(Reference!$A$11,MIN($U174,300))),Reference!$A$6:$A$11,1))))),0))/($AL174*($AL174+5)/2)),$AN174))</f>
        <v>0</v>
      </c>
      <c r="AN174" s="32">
        <f>IF($U174="",0,(INDEX(Reference!$B$6:$B$11,MIN(5,MATCH(MAX(Reference!$A$6,MIN(Reference!$A$11,$U174)),Reference!$A$6:$A$11,1)))+(MAX(Reference!$A$6,MIN(Reference!$A$11,$U174))-INDEX(Reference!$A$6:$A$11,MIN(5,MATCH(MAX(Reference!$A$6,MIN(Reference!$A$11,$U174)),Reference!$A$6:$A$11,1))))*(INDEX(Reference!$B$6:$B$11,MIN(5,MATCH(MAX(Reference!$A$6,MIN(Reference!$A$11,$U174)),Reference!$A$6:$A$11,1))+1)-INDEX(Reference!$B$6:$B$11,MIN(5,MATCH(MAX(Reference!$A$6,MIN(Reference!$A$11,$U174)),Reference!$A$6:$A$11,1))))/(INDEX(Reference!$A$6:$A$11,MIN(5,MATCH(MAX(Reference!$A$6,MIN(Reference!$A$11,$U174)),Reference!$A$6:$A$11,1))+1)-INDEX(Reference!$A$6:$A$11,MIN(5,MATCH(MAX(Reference!$A$6,MIN(Reference!$A$11,$U174)),Reference!$A$6:$A$11,1))))))</f>
        <v>0</v>
      </c>
      <c r="AO174" s="37"/>
      <c r="AP174" s="37"/>
      <c r="AQ174" s="37"/>
    </row>
    <row r="175" spans="1:43" x14ac:dyDescent="0.3">
      <c r="A175" s="48" t="str">
        <f t="shared" si="105"/>
        <v/>
      </c>
      <c r="B175" s="32" t="str">
        <f t="shared" si="106"/>
        <v/>
      </c>
      <c r="C175" s="32" t="str">
        <f t="shared" si="107"/>
        <v/>
      </c>
      <c r="D175" s="32" t="str">
        <f t="shared" si="108"/>
        <v/>
      </c>
      <c r="E175" s="32" t="str">
        <f t="shared" si="109"/>
        <v/>
      </c>
      <c r="F175" s="32" t="str">
        <f t="shared" si="110"/>
        <v/>
      </c>
      <c r="G175" s="47" t="str">
        <f t="shared" si="111"/>
        <v/>
      </c>
      <c r="H175" s="30" t="str">
        <f t="shared" si="112"/>
        <v/>
      </c>
      <c r="I175" s="46" t="str">
        <f>IF($A175="","",IF(AND($L175&lt;27,$K$12=0),"Building",IFERROR(((SUM($H$169:$H175)+$K$12*IF($L175&lt;6,SUMIFS('Throw Log'!$Q$5:$Q$300,'Throw Log'!$B$5:$B$300,$D$4,'Throw Log'!$A$5:$A$300,"&gt;="&amp;($D$6+$L175-6),'Throw Log'!$A$5:$A$300,"&lt;="&amp;($D$6-1)),0))/7)/((SUM($H$148:$H175)+$K$12*IF($L175&lt;27,SUMIFS('Throw Log'!$Q$5:$Q$300,'Throw Log'!$B$5:$B$300,$D$4,'Throw Log'!$A$5:$A$300,"&gt;="&amp;($D$6+$L175-27),'Throw Log'!$A$5:$A$300,"&lt;="&amp;($D$6-1)),0))/28),"")))</f>
        <v/>
      </c>
      <c r="J175" s="37"/>
      <c r="K175" s="37"/>
      <c r="L175" s="32">
        <v>132</v>
      </c>
      <c r="M175" s="32">
        <f t="shared" si="113"/>
        <v>19</v>
      </c>
      <c r="N175" s="32">
        <f t="shared" si="114"/>
        <v>6</v>
      </c>
      <c r="O175" s="32">
        <f t="shared" si="115"/>
        <v>1</v>
      </c>
      <c r="P175" s="32" t="str">
        <f>IF(OR($A175="",N($C175)&lt;=7),"",$G$6*$G$9^($M175-1)*IF(AND(MOD($M175,Reference!$B$99)=0,$M175&lt;=$G$5-2),Reference!$B$100,1))</f>
        <v/>
      </c>
      <c r="Q175" s="32" t="str">
        <f>IF($P175="","",IF(SUM($AK$169:$AK$175)=0,0,$P175*INDEX(Reference!$B$108:$B$114,$N175+1)/SUM($AK$169:$AK$175)))</f>
        <v/>
      </c>
      <c r="R175" s="32">
        <f t="shared" si="116"/>
        <v>180</v>
      </c>
      <c r="S175" s="32">
        <f t="shared" si="117"/>
        <v>150</v>
      </c>
      <c r="T175" s="32" t="str">
        <f>IF($A175="","",IF($C175=0,"Bullpen",IF(OR($C175=7,$C175=1,$C175=5),"Recovery/Easy Catch",IF($C175=6,"Compression/Pulldowns",IF(OR($C175=4,$C175=2),"Long Toss",IF($C175=3,"No Throw",IF($N175=2,"No Throw",IF($N175=6,IF($O175&lt;Reference!$B$104,"No Throw","Recovery/Easy Catch"),IF(OR($N175=0,$N175=4),"Recovery/Easy Catch",IF($N175=1,IF($R175&gt;75,"Long Toss","Recovery/Easy Catch"),IF($N175=3,IF($O175&lt;0.5,IF($S175&gt;75,"Long Toss","Recovery/Easy Catch"),"Compression/Pulldowns"),IF($S175&gt;75,"Long Toss","Recovery/Easy Catch"))))))))))))</f>
        <v/>
      </c>
      <c r="U175" s="32" t="str">
        <f t="shared" si="118"/>
        <v/>
      </c>
      <c r="V175" s="32" t="str">
        <f t="shared" si="119"/>
        <v/>
      </c>
      <c r="W175" s="32" t="str">
        <f t="shared" si="120"/>
        <v/>
      </c>
      <c r="X175" s="32">
        <f t="shared" si="121"/>
        <v>0</v>
      </c>
      <c r="Y175" s="32" t="str">
        <f t="shared" si="122"/>
        <v/>
      </c>
      <c r="Z175" s="32" t="str">
        <f t="shared" si="123"/>
        <v/>
      </c>
      <c r="AA175" s="32" t="str">
        <f t="shared" si="124"/>
        <v/>
      </c>
      <c r="AB175" s="32" t="str">
        <f>IF($A175="","",IF($T175="No Throw",0,IF($K175&lt;&gt;"",$K175,IF($AA175&lt;&gt;"",ROUND($AA175*$D$12*IF($C175=0,1,$G$10),0),MIN(IF($T175="Recovery/Easy Catch",Reference!$B$103,IF($T175="Long Toss",Reference!$B$106,Reference!$B$102)),MAX(Reference!$B$101,ROUND(MAX(0,$Q175-$AE175)/$AF175,0)))))))</f>
        <v/>
      </c>
      <c r="AC175" s="32">
        <f t="shared" si="125"/>
        <v>0</v>
      </c>
      <c r="AD175" s="32" t="b">
        <f t="shared" si="126"/>
        <v>1</v>
      </c>
      <c r="AE175" s="32">
        <f>IF($X175=0,0,$X175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175+$Z175)/2,0),Reference!$A$17:$B$20,2,TRUE()))</f>
        <v>0</v>
      </c>
      <c r="AF175" s="32">
        <f>IF(OR($A175="",$U175="",$T175="No Throw"),0,$AM175*VLOOKUP(MAX(($V175+$W175)/2,0),Reference!$A$17:$B$20,2,TRUE()))</f>
        <v>0</v>
      </c>
      <c r="AG175" s="32">
        <f>IF($AC175=0,0,$AC175*INDEX(Reference!$B$61:$B$62,MATCH("Bullpen",Reference!$A$61:$A$62,0))*VLOOKUP(MAX($D$5-($D$9+$E$9)/2,0),Reference!$A$17:$B$20,2,TRUE()))</f>
        <v>0</v>
      </c>
      <c r="AH175" s="32" t="e">
        <f t="shared" si="127"/>
        <v>#N/A</v>
      </c>
      <c r="AI175" s="32" t="e">
        <f>IF($A175="",NA(),Reference!$A$25)</f>
        <v>#N/A</v>
      </c>
      <c r="AJ175" s="32" t="e">
        <f t="shared" si="128"/>
        <v>#N/A</v>
      </c>
      <c r="AK175" s="32">
        <f>IF(OR($A175="",N($C175)&lt;=7,$T175="No Throw",$J175="x"),0,INDEX(Reference!$B$108:$B$114,$N175+1))</f>
        <v>0</v>
      </c>
      <c r="AL175" s="32">
        <f t="shared" si="129"/>
        <v>1</v>
      </c>
      <c r="AM175" s="32">
        <f>IF($U175="",0,IF($AL175&gt;1,((IF(1&lt;=$AL175,($AL175-1+3)*(INDEX(Reference!$B$6:$B$11,MIN(5,MATCH(MAX(Reference!$A$6,MIN(Reference!$A$11,MIN($U175,90))),Reference!$A$6:$A$11,1)))+(MAX(Reference!$A$6,MIN(Reference!$A$11,MIN($U175,90)))-INDEX(Reference!$A$6:$A$11,MIN(5,MATCH(MAX(Reference!$A$6,MIN(Reference!$A$11,MIN($U175,90))),Reference!$A$6:$A$11,1))))*(INDEX(Reference!$B$6:$B$11,MIN(5,MATCH(MAX(Reference!$A$6,MIN(Reference!$A$11,MIN($U175,90))),Reference!$A$6:$A$11,1))+1)-INDEX(Reference!$B$6:$B$11,MIN(5,MATCH(MAX(Reference!$A$6,MIN(Reference!$A$11,MIN($U175,90))),Reference!$A$6:$A$11,1))))/(INDEX(Reference!$A$6:$A$11,MIN(5,MATCH(MAX(Reference!$A$6,MIN(Reference!$A$11,MIN($U175,90))),Reference!$A$6:$A$11,1))+1)-INDEX(Reference!$A$6:$A$11,MIN(5,MATCH(MAX(Reference!$A$6,MIN(Reference!$A$11,MIN($U175,90))),Reference!$A$6:$A$11,1))))),0)+IF(2&lt;=$AL175,($AL175-2+3)*(INDEX(Reference!$B$6:$B$11,MIN(5,MATCH(MAX(Reference!$A$6,MIN(Reference!$A$11,MIN($U175,120))),Reference!$A$6:$A$11,1)))+(MAX(Reference!$A$6,MIN(Reference!$A$11,MIN($U175,120)))-INDEX(Reference!$A$6:$A$11,MIN(5,MATCH(MAX(Reference!$A$6,MIN(Reference!$A$11,MIN($U175,120))),Reference!$A$6:$A$11,1))))*(INDEX(Reference!$B$6:$B$11,MIN(5,MATCH(MAX(Reference!$A$6,MIN(Reference!$A$11,MIN($U175,120))),Reference!$A$6:$A$11,1))+1)-INDEX(Reference!$B$6:$B$11,MIN(5,MATCH(MAX(Reference!$A$6,MIN(Reference!$A$11,MIN($U175,120))),Reference!$A$6:$A$11,1))))/(INDEX(Reference!$A$6:$A$11,MIN(5,MATCH(MAX(Reference!$A$6,MIN(Reference!$A$11,MIN($U175,120))),Reference!$A$6:$A$11,1))+1)-INDEX(Reference!$A$6:$A$11,MIN(5,MATCH(MAX(Reference!$A$6,MIN(Reference!$A$11,MIN($U175,120))),Reference!$A$6:$A$11,1))))),0)+IF(3&lt;=$AL175,($AL175-3+3)*(INDEX(Reference!$B$6:$B$11,MIN(5,MATCH(MAX(Reference!$A$6,MIN(Reference!$A$11,MIN($U175,150))),Reference!$A$6:$A$11,1)))+(MAX(Reference!$A$6,MIN(Reference!$A$11,MIN($U175,150)))-INDEX(Reference!$A$6:$A$11,MIN(5,MATCH(MAX(Reference!$A$6,MIN(Reference!$A$11,MIN($U175,150))),Reference!$A$6:$A$11,1))))*(INDEX(Reference!$B$6:$B$11,MIN(5,MATCH(MAX(Reference!$A$6,MIN(Reference!$A$11,MIN($U175,150))),Reference!$A$6:$A$11,1))+1)-INDEX(Reference!$B$6:$B$11,MIN(5,MATCH(MAX(Reference!$A$6,MIN(Reference!$A$11,MIN($U175,150))),Reference!$A$6:$A$11,1))))/(INDEX(Reference!$A$6:$A$11,MIN(5,MATCH(MAX(Reference!$A$6,MIN(Reference!$A$11,MIN($U175,150))),Reference!$A$6:$A$11,1))+1)-INDEX(Reference!$A$6:$A$11,MIN(5,MATCH(MAX(Reference!$A$6,MIN(Reference!$A$11,MIN($U175,150))),Reference!$A$6:$A$11,1))))),0)+IF(4&lt;=$AL175,($AL175-4+3)*(INDEX(Reference!$B$6:$B$11,MIN(5,MATCH(MAX(Reference!$A$6,MIN(Reference!$A$11,MIN($U175,180))),Reference!$A$6:$A$11,1)))+(MAX(Reference!$A$6,MIN(Reference!$A$11,MIN($U175,180)))-INDEX(Reference!$A$6:$A$11,MIN(5,MATCH(MAX(Reference!$A$6,MIN(Reference!$A$11,MIN($U175,180))),Reference!$A$6:$A$11,1))))*(INDEX(Reference!$B$6:$B$11,MIN(5,MATCH(MAX(Reference!$A$6,MIN(Reference!$A$11,MIN($U175,180))),Reference!$A$6:$A$11,1))+1)-INDEX(Reference!$B$6:$B$11,MIN(5,MATCH(MAX(Reference!$A$6,MIN(Reference!$A$11,MIN($U175,180))),Reference!$A$6:$A$11,1))))/(INDEX(Reference!$A$6:$A$11,MIN(5,MATCH(MAX(Reference!$A$6,MIN(Reference!$A$11,MIN($U175,180))),Reference!$A$6:$A$11,1))+1)-INDEX(Reference!$A$6:$A$11,MIN(5,MATCH(MAX(Reference!$A$6,MIN(Reference!$A$11,MIN($U175,180))),Reference!$A$6:$A$11,1))))),0)+IF(5&lt;=$AL175,($AL175-5+3)*(INDEX(Reference!$B$6:$B$11,MIN(5,MATCH(MAX(Reference!$A$6,MIN(Reference!$A$11,MIN($U175,210))),Reference!$A$6:$A$11,1)))+(MAX(Reference!$A$6,MIN(Reference!$A$11,MIN($U175,210)))-INDEX(Reference!$A$6:$A$11,MIN(5,MATCH(MAX(Reference!$A$6,MIN(Reference!$A$11,MIN($U175,210))),Reference!$A$6:$A$11,1))))*(INDEX(Reference!$B$6:$B$11,MIN(5,MATCH(MAX(Reference!$A$6,MIN(Reference!$A$11,MIN($U175,210))),Reference!$A$6:$A$11,1))+1)-INDEX(Reference!$B$6:$B$11,MIN(5,MATCH(MAX(Reference!$A$6,MIN(Reference!$A$11,MIN($U175,210))),Reference!$A$6:$A$11,1))))/(INDEX(Reference!$A$6:$A$11,MIN(5,MATCH(MAX(Reference!$A$6,MIN(Reference!$A$11,MIN($U175,210))),Reference!$A$6:$A$11,1))+1)-INDEX(Reference!$A$6:$A$11,MIN(5,MATCH(MAX(Reference!$A$6,MIN(Reference!$A$11,MIN($U175,210))),Reference!$A$6:$A$11,1))))),0)+IF(6&lt;=$AL175,($AL175-6+3)*(INDEX(Reference!$B$6:$B$11,MIN(5,MATCH(MAX(Reference!$A$6,MIN(Reference!$A$11,MIN($U175,240))),Reference!$A$6:$A$11,1)))+(MAX(Reference!$A$6,MIN(Reference!$A$11,MIN($U175,240)))-INDEX(Reference!$A$6:$A$11,MIN(5,MATCH(MAX(Reference!$A$6,MIN(Reference!$A$11,MIN($U175,240))),Reference!$A$6:$A$11,1))))*(INDEX(Reference!$B$6:$B$11,MIN(5,MATCH(MAX(Reference!$A$6,MIN(Reference!$A$11,MIN($U175,240))),Reference!$A$6:$A$11,1))+1)-INDEX(Reference!$B$6:$B$11,MIN(5,MATCH(MAX(Reference!$A$6,MIN(Reference!$A$11,MIN($U175,240))),Reference!$A$6:$A$11,1))))/(INDEX(Reference!$A$6:$A$11,MIN(5,MATCH(MAX(Reference!$A$6,MIN(Reference!$A$11,MIN($U175,240))),Reference!$A$6:$A$11,1))+1)-INDEX(Reference!$A$6:$A$11,MIN(5,MATCH(MAX(Reference!$A$6,MIN(Reference!$A$11,MIN($U175,240))),Reference!$A$6:$A$11,1))))),0)+IF(7&lt;=$AL175,($AL175-7+3)*(INDEX(Reference!$B$6:$B$11,MIN(5,MATCH(MAX(Reference!$A$6,MIN(Reference!$A$11,MIN($U175,270))),Reference!$A$6:$A$11,1)))+(MAX(Reference!$A$6,MIN(Reference!$A$11,MIN($U175,270)))-INDEX(Reference!$A$6:$A$11,MIN(5,MATCH(MAX(Reference!$A$6,MIN(Reference!$A$11,MIN($U175,270))),Reference!$A$6:$A$11,1))))*(INDEX(Reference!$B$6:$B$11,MIN(5,MATCH(MAX(Reference!$A$6,MIN(Reference!$A$11,MIN($U175,270))),Reference!$A$6:$A$11,1))+1)-INDEX(Reference!$B$6:$B$11,MIN(5,MATCH(MAX(Reference!$A$6,MIN(Reference!$A$11,MIN($U175,270))),Reference!$A$6:$A$11,1))))/(INDEX(Reference!$A$6:$A$11,MIN(5,MATCH(MAX(Reference!$A$6,MIN(Reference!$A$11,MIN($U175,270))),Reference!$A$6:$A$11,1))+1)-INDEX(Reference!$A$6:$A$11,MIN(5,MATCH(MAX(Reference!$A$6,MIN(Reference!$A$11,MIN($U175,270))),Reference!$A$6:$A$11,1))))),0)+IF(8&lt;=$AL175,($AL175-8+3)*(INDEX(Reference!$B$6:$B$11,MIN(5,MATCH(MAX(Reference!$A$6,MIN(Reference!$A$11,MIN($U175,300))),Reference!$A$6:$A$11,1)))+(MAX(Reference!$A$6,MIN(Reference!$A$11,MIN($U175,300)))-INDEX(Reference!$A$6:$A$11,MIN(5,MATCH(MAX(Reference!$A$6,MIN(Reference!$A$11,MIN($U175,300))),Reference!$A$6:$A$11,1))))*(INDEX(Reference!$B$6:$B$11,MIN(5,MATCH(MAX(Reference!$A$6,MIN(Reference!$A$11,MIN($U175,300))),Reference!$A$6:$A$11,1))+1)-INDEX(Reference!$B$6:$B$11,MIN(5,MATCH(MAX(Reference!$A$6,MIN(Reference!$A$11,MIN($U175,300))),Reference!$A$6:$A$11,1))))/(INDEX(Reference!$A$6:$A$11,MIN(5,MATCH(MAX(Reference!$A$6,MIN(Reference!$A$11,MIN($U175,300))),Reference!$A$6:$A$11,1))+1)-INDEX(Reference!$A$6:$A$11,MIN(5,MATCH(MAX(Reference!$A$6,MIN(Reference!$A$11,MIN($U175,300))),Reference!$A$6:$A$11,1))))),0))/($AL175*($AL175+5)/2)),$AN175))</f>
        <v>0</v>
      </c>
      <c r="AN175" s="32">
        <f>IF($U175="",0,(INDEX(Reference!$B$6:$B$11,MIN(5,MATCH(MAX(Reference!$A$6,MIN(Reference!$A$11,$U175)),Reference!$A$6:$A$11,1)))+(MAX(Reference!$A$6,MIN(Reference!$A$11,$U175))-INDEX(Reference!$A$6:$A$11,MIN(5,MATCH(MAX(Reference!$A$6,MIN(Reference!$A$11,$U175)),Reference!$A$6:$A$11,1))))*(INDEX(Reference!$B$6:$B$11,MIN(5,MATCH(MAX(Reference!$A$6,MIN(Reference!$A$11,$U175)),Reference!$A$6:$A$11,1))+1)-INDEX(Reference!$B$6:$B$11,MIN(5,MATCH(MAX(Reference!$A$6,MIN(Reference!$A$11,$U175)),Reference!$A$6:$A$11,1))))/(INDEX(Reference!$A$6:$A$11,MIN(5,MATCH(MAX(Reference!$A$6,MIN(Reference!$A$11,$U175)),Reference!$A$6:$A$11,1))+1)-INDEX(Reference!$A$6:$A$11,MIN(5,MATCH(MAX(Reference!$A$6,MIN(Reference!$A$11,$U175)),Reference!$A$6:$A$11,1))))))</f>
        <v>0</v>
      </c>
      <c r="AO175" s="37"/>
      <c r="AP175" s="37"/>
      <c r="AQ175" s="37"/>
    </row>
    <row r="176" spans="1:43" x14ac:dyDescent="0.3">
      <c r="A176" s="48" t="str">
        <f t="shared" si="105"/>
        <v/>
      </c>
      <c r="B176" s="32" t="str">
        <f t="shared" si="106"/>
        <v/>
      </c>
      <c r="C176" s="32" t="str">
        <f t="shared" si="107"/>
        <v/>
      </c>
      <c r="D176" s="32" t="str">
        <f t="shared" si="108"/>
        <v/>
      </c>
      <c r="E176" s="32" t="str">
        <f t="shared" si="109"/>
        <v/>
      </c>
      <c r="F176" s="32" t="str">
        <f t="shared" si="110"/>
        <v/>
      </c>
      <c r="G176" s="47" t="str">
        <f t="shared" si="111"/>
        <v/>
      </c>
      <c r="H176" s="30" t="str">
        <f t="shared" si="112"/>
        <v/>
      </c>
      <c r="I176" s="46" t="str">
        <f>IF($A176="","",IF(AND($L176&lt;27,$K$12=0),"Building",IFERROR(((SUM($H$170:$H176)+$K$12*IF($L176&lt;6,SUMIFS('Throw Log'!$Q$5:$Q$300,'Throw Log'!$B$5:$B$300,$D$4,'Throw Log'!$A$5:$A$300,"&gt;="&amp;($D$6+$L176-6),'Throw Log'!$A$5:$A$300,"&lt;="&amp;($D$6-1)),0))/7)/((SUM($H$149:$H176)+$K$12*IF($L176&lt;27,SUMIFS('Throw Log'!$Q$5:$Q$300,'Throw Log'!$B$5:$B$300,$D$4,'Throw Log'!$A$5:$A$300,"&gt;="&amp;($D$6+$L176-27),'Throw Log'!$A$5:$A$300,"&lt;="&amp;($D$6-1)),0))/28),"")))</f>
        <v/>
      </c>
      <c r="J176" s="37"/>
      <c r="K176" s="37"/>
      <c r="L176" s="32">
        <v>133</v>
      </c>
      <c r="M176" s="32">
        <f t="shared" si="113"/>
        <v>20</v>
      </c>
      <c r="N176" s="32">
        <f t="shared" si="114"/>
        <v>0</v>
      </c>
      <c r="O176" s="32">
        <f t="shared" si="115"/>
        <v>1</v>
      </c>
      <c r="P176" s="32" t="str">
        <f>IF(OR($A176="",N($C176)&lt;=7),"",$G$6*$G$9^($M176-1)*IF(AND(MOD($M176,Reference!$B$99)=0,$M176&lt;=$G$5-2),Reference!$B$100,1))</f>
        <v/>
      </c>
      <c r="Q176" s="32" t="str">
        <f>IF($P176="","",IF(SUM($AK$176:$AK$182)=0,0,$P176*INDEX(Reference!$B$108:$B$114,$N176+1)/SUM($AK$176:$AK$182)))</f>
        <v/>
      </c>
      <c r="R176" s="32">
        <f t="shared" si="116"/>
        <v>180</v>
      </c>
      <c r="S176" s="32">
        <f t="shared" si="117"/>
        <v>150</v>
      </c>
      <c r="T176" s="32" t="str">
        <f>IF($A176="","",IF($C176=0,"Bullpen",IF(OR($C176=7,$C176=1,$C176=5),"Recovery/Easy Catch",IF($C176=6,"Compression/Pulldowns",IF(OR($C176=4,$C176=2),"Long Toss",IF($C176=3,"No Throw",IF($N176=2,"No Throw",IF($N176=6,IF($O176&lt;Reference!$B$104,"No Throw","Recovery/Easy Catch"),IF(OR($N176=0,$N176=4),"Recovery/Easy Catch",IF($N176=1,IF($R176&gt;75,"Long Toss","Recovery/Easy Catch"),IF($N176=3,IF($O176&lt;0.5,IF($S176&gt;75,"Long Toss","Recovery/Easy Catch"),"Compression/Pulldowns"),IF($S176&gt;75,"Long Toss","Recovery/Easy Catch"))))))))))))</f>
        <v/>
      </c>
      <c r="U176" s="32" t="str">
        <f t="shared" si="118"/>
        <v/>
      </c>
      <c r="V176" s="32" t="str">
        <f t="shared" si="119"/>
        <v/>
      </c>
      <c r="W176" s="32" t="str">
        <f t="shared" si="120"/>
        <v/>
      </c>
      <c r="X176" s="32">
        <f t="shared" si="121"/>
        <v>0</v>
      </c>
      <c r="Y176" s="32" t="str">
        <f t="shared" si="122"/>
        <v/>
      </c>
      <c r="Z176" s="32" t="str">
        <f t="shared" si="123"/>
        <v/>
      </c>
      <c r="AA176" s="32" t="str">
        <f t="shared" si="124"/>
        <v/>
      </c>
      <c r="AB176" s="32" t="str">
        <f>IF($A176="","",IF($T176="No Throw",0,IF($K176&lt;&gt;"",$K176,IF($AA176&lt;&gt;"",ROUND($AA176*$D$12*IF($C176=0,1,$G$10),0),MIN(IF($T176="Recovery/Easy Catch",Reference!$B$103,IF($T176="Long Toss",Reference!$B$106,Reference!$B$102)),MAX(Reference!$B$101,ROUND(MAX(0,$Q176-$AE176)/$AF176,0)))))))</f>
        <v/>
      </c>
      <c r="AC176" s="32">
        <f t="shared" si="125"/>
        <v>0</v>
      </c>
      <c r="AD176" s="32" t="b">
        <f t="shared" si="126"/>
        <v>1</v>
      </c>
      <c r="AE176" s="32">
        <f>IF($X176=0,0,$X176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176+$Z176)/2,0),Reference!$A$17:$B$20,2,TRUE()))</f>
        <v>0</v>
      </c>
      <c r="AF176" s="32">
        <f>IF(OR($A176="",$U176="",$T176="No Throw"),0,$AM176*VLOOKUP(MAX(($V176+$W176)/2,0),Reference!$A$17:$B$20,2,TRUE()))</f>
        <v>0</v>
      </c>
      <c r="AG176" s="32">
        <f>IF($AC176=0,0,$AC176*INDEX(Reference!$B$61:$B$62,MATCH("Bullpen",Reference!$A$61:$A$62,0))*VLOOKUP(MAX($D$5-($D$9+$E$9)/2,0),Reference!$A$17:$B$20,2,TRUE()))</f>
        <v>0</v>
      </c>
      <c r="AH176" s="32" t="e">
        <f t="shared" si="127"/>
        <v>#N/A</v>
      </c>
      <c r="AI176" s="32" t="e">
        <f>IF($A176="",NA(),Reference!$A$25)</f>
        <v>#N/A</v>
      </c>
      <c r="AJ176" s="32" t="e">
        <f t="shared" si="128"/>
        <v>#N/A</v>
      </c>
      <c r="AK176" s="32">
        <f>IF(OR($A176="",N($C176)&lt;=7,$T176="No Throw",$J176="x"),0,INDEX(Reference!$B$108:$B$114,$N176+1))</f>
        <v>0</v>
      </c>
      <c r="AL176" s="32">
        <f t="shared" si="129"/>
        <v>1</v>
      </c>
      <c r="AM176" s="32">
        <f>IF($U176="",0,IF($AL176&gt;1,((IF(1&lt;=$AL176,($AL176-1+3)*(INDEX(Reference!$B$6:$B$11,MIN(5,MATCH(MAX(Reference!$A$6,MIN(Reference!$A$11,MIN($U176,90))),Reference!$A$6:$A$11,1)))+(MAX(Reference!$A$6,MIN(Reference!$A$11,MIN($U176,90)))-INDEX(Reference!$A$6:$A$11,MIN(5,MATCH(MAX(Reference!$A$6,MIN(Reference!$A$11,MIN($U176,90))),Reference!$A$6:$A$11,1))))*(INDEX(Reference!$B$6:$B$11,MIN(5,MATCH(MAX(Reference!$A$6,MIN(Reference!$A$11,MIN($U176,90))),Reference!$A$6:$A$11,1))+1)-INDEX(Reference!$B$6:$B$11,MIN(5,MATCH(MAX(Reference!$A$6,MIN(Reference!$A$11,MIN($U176,90))),Reference!$A$6:$A$11,1))))/(INDEX(Reference!$A$6:$A$11,MIN(5,MATCH(MAX(Reference!$A$6,MIN(Reference!$A$11,MIN($U176,90))),Reference!$A$6:$A$11,1))+1)-INDEX(Reference!$A$6:$A$11,MIN(5,MATCH(MAX(Reference!$A$6,MIN(Reference!$A$11,MIN($U176,90))),Reference!$A$6:$A$11,1))))),0)+IF(2&lt;=$AL176,($AL176-2+3)*(INDEX(Reference!$B$6:$B$11,MIN(5,MATCH(MAX(Reference!$A$6,MIN(Reference!$A$11,MIN($U176,120))),Reference!$A$6:$A$11,1)))+(MAX(Reference!$A$6,MIN(Reference!$A$11,MIN($U176,120)))-INDEX(Reference!$A$6:$A$11,MIN(5,MATCH(MAX(Reference!$A$6,MIN(Reference!$A$11,MIN($U176,120))),Reference!$A$6:$A$11,1))))*(INDEX(Reference!$B$6:$B$11,MIN(5,MATCH(MAX(Reference!$A$6,MIN(Reference!$A$11,MIN($U176,120))),Reference!$A$6:$A$11,1))+1)-INDEX(Reference!$B$6:$B$11,MIN(5,MATCH(MAX(Reference!$A$6,MIN(Reference!$A$11,MIN($U176,120))),Reference!$A$6:$A$11,1))))/(INDEX(Reference!$A$6:$A$11,MIN(5,MATCH(MAX(Reference!$A$6,MIN(Reference!$A$11,MIN($U176,120))),Reference!$A$6:$A$11,1))+1)-INDEX(Reference!$A$6:$A$11,MIN(5,MATCH(MAX(Reference!$A$6,MIN(Reference!$A$11,MIN($U176,120))),Reference!$A$6:$A$11,1))))),0)+IF(3&lt;=$AL176,($AL176-3+3)*(INDEX(Reference!$B$6:$B$11,MIN(5,MATCH(MAX(Reference!$A$6,MIN(Reference!$A$11,MIN($U176,150))),Reference!$A$6:$A$11,1)))+(MAX(Reference!$A$6,MIN(Reference!$A$11,MIN($U176,150)))-INDEX(Reference!$A$6:$A$11,MIN(5,MATCH(MAX(Reference!$A$6,MIN(Reference!$A$11,MIN($U176,150))),Reference!$A$6:$A$11,1))))*(INDEX(Reference!$B$6:$B$11,MIN(5,MATCH(MAX(Reference!$A$6,MIN(Reference!$A$11,MIN($U176,150))),Reference!$A$6:$A$11,1))+1)-INDEX(Reference!$B$6:$B$11,MIN(5,MATCH(MAX(Reference!$A$6,MIN(Reference!$A$11,MIN($U176,150))),Reference!$A$6:$A$11,1))))/(INDEX(Reference!$A$6:$A$11,MIN(5,MATCH(MAX(Reference!$A$6,MIN(Reference!$A$11,MIN($U176,150))),Reference!$A$6:$A$11,1))+1)-INDEX(Reference!$A$6:$A$11,MIN(5,MATCH(MAX(Reference!$A$6,MIN(Reference!$A$11,MIN($U176,150))),Reference!$A$6:$A$11,1))))),0)+IF(4&lt;=$AL176,($AL176-4+3)*(INDEX(Reference!$B$6:$B$11,MIN(5,MATCH(MAX(Reference!$A$6,MIN(Reference!$A$11,MIN($U176,180))),Reference!$A$6:$A$11,1)))+(MAX(Reference!$A$6,MIN(Reference!$A$11,MIN($U176,180)))-INDEX(Reference!$A$6:$A$11,MIN(5,MATCH(MAX(Reference!$A$6,MIN(Reference!$A$11,MIN($U176,180))),Reference!$A$6:$A$11,1))))*(INDEX(Reference!$B$6:$B$11,MIN(5,MATCH(MAX(Reference!$A$6,MIN(Reference!$A$11,MIN($U176,180))),Reference!$A$6:$A$11,1))+1)-INDEX(Reference!$B$6:$B$11,MIN(5,MATCH(MAX(Reference!$A$6,MIN(Reference!$A$11,MIN($U176,180))),Reference!$A$6:$A$11,1))))/(INDEX(Reference!$A$6:$A$11,MIN(5,MATCH(MAX(Reference!$A$6,MIN(Reference!$A$11,MIN($U176,180))),Reference!$A$6:$A$11,1))+1)-INDEX(Reference!$A$6:$A$11,MIN(5,MATCH(MAX(Reference!$A$6,MIN(Reference!$A$11,MIN($U176,180))),Reference!$A$6:$A$11,1))))),0)+IF(5&lt;=$AL176,($AL176-5+3)*(INDEX(Reference!$B$6:$B$11,MIN(5,MATCH(MAX(Reference!$A$6,MIN(Reference!$A$11,MIN($U176,210))),Reference!$A$6:$A$11,1)))+(MAX(Reference!$A$6,MIN(Reference!$A$11,MIN($U176,210)))-INDEX(Reference!$A$6:$A$11,MIN(5,MATCH(MAX(Reference!$A$6,MIN(Reference!$A$11,MIN($U176,210))),Reference!$A$6:$A$11,1))))*(INDEX(Reference!$B$6:$B$11,MIN(5,MATCH(MAX(Reference!$A$6,MIN(Reference!$A$11,MIN($U176,210))),Reference!$A$6:$A$11,1))+1)-INDEX(Reference!$B$6:$B$11,MIN(5,MATCH(MAX(Reference!$A$6,MIN(Reference!$A$11,MIN($U176,210))),Reference!$A$6:$A$11,1))))/(INDEX(Reference!$A$6:$A$11,MIN(5,MATCH(MAX(Reference!$A$6,MIN(Reference!$A$11,MIN($U176,210))),Reference!$A$6:$A$11,1))+1)-INDEX(Reference!$A$6:$A$11,MIN(5,MATCH(MAX(Reference!$A$6,MIN(Reference!$A$11,MIN($U176,210))),Reference!$A$6:$A$11,1))))),0)+IF(6&lt;=$AL176,($AL176-6+3)*(INDEX(Reference!$B$6:$B$11,MIN(5,MATCH(MAX(Reference!$A$6,MIN(Reference!$A$11,MIN($U176,240))),Reference!$A$6:$A$11,1)))+(MAX(Reference!$A$6,MIN(Reference!$A$11,MIN($U176,240)))-INDEX(Reference!$A$6:$A$11,MIN(5,MATCH(MAX(Reference!$A$6,MIN(Reference!$A$11,MIN($U176,240))),Reference!$A$6:$A$11,1))))*(INDEX(Reference!$B$6:$B$11,MIN(5,MATCH(MAX(Reference!$A$6,MIN(Reference!$A$11,MIN($U176,240))),Reference!$A$6:$A$11,1))+1)-INDEX(Reference!$B$6:$B$11,MIN(5,MATCH(MAX(Reference!$A$6,MIN(Reference!$A$11,MIN($U176,240))),Reference!$A$6:$A$11,1))))/(INDEX(Reference!$A$6:$A$11,MIN(5,MATCH(MAX(Reference!$A$6,MIN(Reference!$A$11,MIN($U176,240))),Reference!$A$6:$A$11,1))+1)-INDEX(Reference!$A$6:$A$11,MIN(5,MATCH(MAX(Reference!$A$6,MIN(Reference!$A$11,MIN($U176,240))),Reference!$A$6:$A$11,1))))),0)+IF(7&lt;=$AL176,($AL176-7+3)*(INDEX(Reference!$B$6:$B$11,MIN(5,MATCH(MAX(Reference!$A$6,MIN(Reference!$A$11,MIN($U176,270))),Reference!$A$6:$A$11,1)))+(MAX(Reference!$A$6,MIN(Reference!$A$11,MIN($U176,270)))-INDEX(Reference!$A$6:$A$11,MIN(5,MATCH(MAX(Reference!$A$6,MIN(Reference!$A$11,MIN($U176,270))),Reference!$A$6:$A$11,1))))*(INDEX(Reference!$B$6:$B$11,MIN(5,MATCH(MAX(Reference!$A$6,MIN(Reference!$A$11,MIN($U176,270))),Reference!$A$6:$A$11,1))+1)-INDEX(Reference!$B$6:$B$11,MIN(5,MATCH(MAX(Reference!$A$6,MIN(Reference!$A$11,MIN($U176,270))),Reference!$A$6:$A$11,1))))/(INDEX(Reference!$A$6:$A$11,MIN(5,MATCH(MAX(Reference!$A$6,MIN(Reference!$A$11,MIN($U176,270))),Reference!$A$6:$A$11,1))+1)-INDEX(Reference!$A$6:$A$11,MIN(5,MATCH(MAX(Reference!$A$6,MIN(Reference!$A$11,MIN($U176,270))),Reference!$A$6:$A$11,1))))),0)+IF(8&lt;=$AL176,($AL176-8+3)*(INDEX(Reference!$B$6:$B$11,MIN(5,MATCH(MAX(Reference!$A$6,MIN(Reference!$A$11,MIN($U176,300))),Reference!$A$6:$A$11,1)))+(MAX(Reference!$A$6,MIN(Reference!$A$11,MIN($U176,300)))-INDEX(Reference!$A$6:$A$11,MIN(5,MATCH(MAX(Reference!$A$6,MIN(Reference!$A$11,MIN($U176,300))),Reference!$A$6:$A$11,1))))*(INDEX(Reference!$B$6:$B$11,MIN(5,MATCH(MAX(Reference!$A$6,MIN(Reference!$A$11,MIN($U176,300))),Reference!$A$6:$A$11,1))+1)-INDEX(Reference!$B$6:$B$11,MIN(5,MATCH(MAX(Reference!$A$6,MIN(Reference!$A$11,MIN($U176,300))),Reference!$A$6:$A$11,1))))/(INDEX(Reference!$A$6:$A$11,MIN(5,MATCH(MAX(Reference!$A$6,MIN(Reference!$A$11,MIN($U176,300))),Reference!$A$6:$A$11,1))+1)-INDEX(Reference!$A$6:$A$11,MIN(5,MATCH(MAX(Reference!$A$6,MIN(Reference!$A$11,MIN($U176,300))),Reference!$A$6:$A$11,1))))),0))/($AL176*($AL176+5)/2)),$AN176))</f>
        <v>0</v>
      </c>
      <c r="AN176" s="32">
        <f>IF($U176="",0,(INDEX(Reference!$B$6:$B$11,MIN(5,MATCH(MAX(Reference!$A$6,MIN(Reference!$A$11,$U176)),Reference!$A$6:$A$11,1)))+(MAX(Reference!$A$6,MIN(Reference!$A$11,$U176))-INDEX(Reference!$A$6:$A$11,MIN(5,MATCH(MAX(Reference!$A$6,MIN(Reference!$A$11,$U176)),Reference!$A$6:$A$11,1))))*(INDEX(Reference!$B$6:$B$11,MIN(5,MATCH(MAX(Reference!$A$6,MIN(Reference!$A$11,$U176)),Reference!$A$6:$A$11,1))+1)-INDEX(Reference!$B$6:$B$11,MIN(5,MATCH(MAX(Reference!$A$6,MIN(Reference!$A$11,$U176)),Reference!$A$6:$A$11,1))))/(INDEX(Reference!$A$6:$A$11,MIN(5,MATCH(MAX(Reference!$A$6,MIN(Reference!$A$11,$U176)),Reference!$A$6:$A$11,1))+1)-INDEX(Reference!$A$6:$A$11,MIN(5,MATCH(MAX(Reference!$A$6,MIN(Reference!$A$11,$U176)),Reference!$A$6:$A$11,1))))))</f>
        <v>0</v>
      </c>
      <c r="AO176" s="37"/>
      <c r="AP176" s="37"/>
      <c r="AQ176" s="37"/>
    </row>
    <row r="177" spans="1:43" x14ac:dyDescent="0.3">
      <c r="A177" s="48" t="str">
        <f t="shared" si="105"/>
        <v/>
      </c>
      <c r="B177" s="32" t="str">
        <f t="shared" si="106"/>
        <v/>
      </c>
      <c r="C177" s="32" t="str">
        <f t="shared" si="107"/>
        <v/>
      </c>
      <c r="D177" s="32" t="str">
        <f t="shared" si="108"/>
        <v/>
      </c>
      <c r="E177" s="32" t="str">
        <f t="shared" si="109"/>
        <v/>
      </c>
      <c r="F177" s="32" t="str">
        <f t="shared" si="110"/>
        <v/>
      </c>
      <c r="G177" s="47" t="str">
        <f t="shared" si="111"/>
        <v/>
      </c>
      <c r="H177" s="30" t="str">
        <f t="shared" si="112"/>
        <v/>
      </c>
      <c r="I177" s="46" t="str">
        <f>IF($A177="","",IF(AND($L177&lt;27,$K$12=0),"Building",IFERROR(((SUM($H$171:$H177)+$K$12*IF($L177&lt;6,SUMIFS('Throw Log'!$Q$5:$Q$300,'Throw Log'!$B$5:$B$300,$D$4,'Throw Log'!$A$5:$A$300,"&gt;="&amp;($D$6+$L177-6),'Throw Log'!$A$5:$A$300,"&lt;="&amp;($D$6-1)),0))/7)/((SUM($H$150:$H177)+$K$12*IF($L177&lt;27,SUMIFS('Throw Log'!$Q$5:$Q$300,'Throw Log'!$B$5:$B$300,$D$4,'Throw Log'!$A$5:$A$300,"&gt;="&amp;($D$6+$L177-27),'Throw Log'!$A$5:$A$300,"&lt;="&amp;($D$6-1)),0))/28),"")))</f>
        <v/>
      </c>
      <c r="J177" s="37"/>
      <c r="K177" s="37"/>
      <c r="L177" s="32">
        <v>134</v>
      </c>
      <c r="M177" s="32">
        <f t="shared" si="113"/>
        <v>20</v>
      </c>
      <c r="N177" s="32">
        <f t="shared" si="114"/>
        <v>1</v>
      </c>
      <c r="O177" s="32">
        <f t="shared" si="115"/>
        <v>1</v>
      </c>
      <c r="P177" s="32" t="str">
        <f>IF(OR($A177="",N($C177)&lt;=7),"",$G$6*$G$9^($M177-1)*IF(AND(MOD($M177,Reference!$B$99)=0,$M177&lt;=$G$5-2),Reference!$B$100,1))</f>
        <v/>
      </c>
      <c r="Q177" s="32" t="str">
        <f>IF($P177="","",IF(SUM($AK$176:$AK$182)=0,0,$P177*INDEX(Reference!$B$108:$B$114,$N177+1)/SUM($AK$176:$AK$182)))</f>
        <v/>
      </c>
      <c r="R177" s="32">
        <f t="shared" si="116"/>
        <v>180</v>
      </c>
      <c r="S177" s="32">
        <f t="shared" si="117"/>
        <v>150</v>
      </c>
      <c r="T177" s="32" t="str">
        <f>IF($A177="","",IF($C177=0,"Bullpen",IF(OR($C177=7,$C177=1,$C177=5),"Recovery/Easy Catch",IF($C177=6,"Compression/Pulldowns",IF(OR($C177=4,$C177=2),"Long Toss",IF($C177=3,"No Throw",IF($N177=2,"No Throw",IF($N177=6,IF($O177&lt;Reference!$B$104,"No Throw","Recovery/Easy Catch"),IF(OR($N177=0,$N177=4),"Recovery/Easy Catch",IF($N177=1,IF($R177&gt;75,"Long Toss","Recovery/Easy Catch"),IF($N177=3,IF($O177&lt;0.5,IF($S177&gt;75,"Long Toss","Recovery/Easy Catch"),"Compression/Pulldowns"),IF($S177&gt;75,"Long Toss","Recovery/Easy Catch"))))))))))))</f>
        <v/>
      </c>
      <c r="U177" s="32" t="str">
        <f t="shared" si="118"/>
        <v/>
      </c>
      <c r="V177" s="32" t="str">
        <f t="shared" si="119"/>
        <v/>
      </c>
      <c r="W177" s="32" t="str">
        <f t="shared" si="120"/>
        <v/>
      </c>
      <c r="X177" s="32">
        <f t="shared" si="121"/>
        <v>0</v>
      </c>
      <c r="Y177" s="32" t="str">
        <f t="shared" si="122"/>
        <v/>
      </c>
      <c r="Z177" s="32" t="str">
        <f t="shared" si="123"/>
        <v/>
      </c>
      <c r="AA177" s="32" t="str">
        <f t="shared" si="124"/>
        <v/>
      </c>
      <c r="AB177" s="32" t="str">
        <f>IF($A177="","",IF($T177="No Throw",0,IF($K177&lt;&gt;"",$K177,IF($AA177&lt;&gt;"",ROUND($AA177*$D$12*IF($C177=0,1,$G$10),0),MIN(IF($T177="Recovery/Easy Catch",Reference!$B$103,IF($T177="Long Toss",Reference!$B$106,Reference!$B$102)),MAX(Reference!$B$101,ROUND(MAX(0,$Q177-$AE177)/$AF177,0)))))))</f>
        <v/>
      </c>
      <c r="AC177" s="32">
        <f t="shared" si="125"/>
        <v>0</v>
      </c>
      <c r="AD177" s="32" t="b">
        <f t="shared" si="126"/>
        <v>1</v>
      </c>
      <c r="AE177" s="32">
        <f>IF($X177=0,0,$X177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177+$Z177)/2,0),Reference!$A$17:$B$20,2,TRUE()))</f>
        <v>0</v>
      </c>
      <c r="AF177" s="32">
        <f>IF(OR($A177="",$U177="",$T177="No Throw"),0,$AM177*VLOOKUP(MAX(($V177+$W177)/2,0),Reference!$A$17:$B$20,2,TRUE()))</f>
        <v>0</v>
      </c>
      <c r="AG177" s="32">
        <f>IF($AC177=0,0,$AC177*INDEX(Reference!$B$61:$B$62,MATCH("Bullpen",Reference!$A$61:$A$62,0))*VLOOKUP(MAX($D$5-($D$9+$E$9)/2,0),Reference!$A$17:$B$20,2,TRUE()))</f>
        <v>0</v>
      </c>
      <c r="AH177" s="32" t="e">
        <f t="shared" si="127"/>
        <v>#N/A</v>
      </c>
      <c r="AI177" s="32" t="e">
        <f>IF($A177="",NA(),Reference!$A$25)</f>
        <v>#N/A</v>
      </c>
      <c r="AJ177" s="32" t="e">
        <f t="shared" si="128"/>
        <v>#N/A</v>
      </c>
      <c r="AK177" s="32">
        <f>IF(OR($A177="",N($C177)&lt;=7,$T177="No Throw",$J177="x"),0,INDEX(Reference!$B$108:$B$114,$N177+1))</f>
        <v>0</v>
      </c>
      <c r="AL177" s="32">
        <f t="shared" si="129"/>
        <v>1</v>
      </c>
      <c r="AM177" s="32">
        <f>IF($U177="",0,IF($AL177&gt;1,((IF(1&lt;=$AL177,($AL177-1+3)*(INDEX(Reference!$B$6:$B$11,MIN(5,MATCH(MAX(Reference!$A$6,MIN(Reference!$A$11,MIN($U177,90))),Reference!$A$6:$A$11,1)))+(MAX(Reference!$A$6,MIN(Reference!$A$11,MIN($U177,90)))-INDEX(Reference!$A$6:$A$11,MIN(5,MATCH(MAX(Reference!$A$6,MIN(Reference!$A$11,MIN($U177,90))),Reference!$A$6:$A$11,1))))*(INDEX(Reference!$B$6:$B$11,MIN(5,MATCH(MAX(Reference!$A$6,MIN(Reference!$A$11,MIN($U177,90))),Reference!$A$6:$A$11,1))+1)-INDEX(Reference!$B$6:$B$11,MIN(5,MATCH(MAX(Reference!$A$6,MIN(Reference!$A$11,MIN($U177,90))),Reference!$A$6:$A$11,1))))/(INDEX(Reference!$A$6:$A$11,MIN(5,MATCH(MAX(Reference!$A$6,MIN(Reference!$A$11,MIN($U177,90))),Reference!$A$6:$A$11,1))+1)-INDEX(Reference!$A$6:$A$11,MIN(5,MATCH(MAX(Reference!$A$6,MIN(Reference!$A$11,MIN($U177,90))),Reference!$A$6:$A$11,1))))),0)+IF(2&lt;=$AL177,($AL177-2+3)*(INDEX(Reference!$B$6:$B$11,MIN(5,MATCH(MAX(Reference!$A$6,MIN(Reference!$A$11,MIN($U177,120))),Reference!$A$6:$A$11,1)))+(MAX(Reference!$A$6,MIN(Reference!$A$11,MIN($U177,120)))-INDEX(Reference!$A$6:$A$11,MIN(5,MATCH(MAX(Reference!$A$6,MIN(Reference!$A$11,MIN($U177,120))),Reference!$A$6:$A$11,1))))*(INDEX(Reference!$B$6:$B$11,MIN(5,MATCH(MAX(Reference!$A$6,MIN(Reference!$A$11,MIN($U177,120))),Reference!$A$6:$A$11,1))+1)-INDEX(Reference!$B$6:$B$11,MIN(5,MATCH(MAX(Reference!$A$6,MIN(Reference!$A$11,MIN($U177,120))),Reference!$A$6:$A$11,1))))/(INDEX(Reference!$A$6:$A$11,MIN(5,MATCH(MAX(Reference!$A$6,MIN(Reference!$A$11,MIN($U177,120))),Reference!$A$6:$A$11,1))+1)-INDEX(Reference!$A$6:$A$11,MIN(5,MATCH(MAX(Reference!$A$6,MIN(Reference!$A$11,MIN($U177,120))),Reference!$A$6:$A$11,1))))),0)+IF(3&lt;=$AL177,($AL177-3+3)*(INDEX(Reference!$B$6:$B$11,MIN(5,MATCH(MAX(Reference!$A$6,MIN(Reference!$A$11,MIN($U177,150))),Reference!$A$6:$A$11,1)))+(MAX(Reference!$A$6,MIN(Reference!$A$11,MIN($U177,150)))-INDEX(Reference!$A$6:$A$11,MIN(5,MATCH(MAX(Reference!$A$6,MIN(Reference!$A$11,MIN($U177,150))),Reference!$A$6:$A$11,1))))*(INDEX(Reference!$B$6:$B$11,MIN(5,MATCH(MAX(Reference!$A$6,MIN(Reference!$A$11,MIN($U177,150))),Reference!$A$6:$A$11,1))+1)-INDEX(Reference!$B$6:$B$11,MIN(5,MATCH(MAX(Reference!$A$6,MIN(Reference!$A$11,MIN($U177,150))),Reference!$A$6:$A$11,1))))/(INDEX(Reference!$A$6:$A$11,MIN(5,MATCH(MAX(Reference!$A$6,MIN(Reference!$A$11,MIN($U177,150))),Reference!$A$6:$A$11,1))+1)-INDEX(Reference!$A$6:$A$11,MIN(5,MATCH(MAX(Reference!$A$6,MIN(Reference!$A$11,MIN($U177,150))),Reference!$A$6:$A$11,1))))),0)+IF(4&lt;=$AL177,($AL177-4+3)*(INDEX(Reference!$B$6:$B$11,MIN(5,MATCH(MAX(Reference!$A$6,MIN(Reference!$A$11,MIN($U177,180))),Reference!$A$6:$A$11,1)))+(MAX(Reference!$A$6,MIN(Reference!$A$11,MIN($U177,180)))-INDEX(Reference!$A$6:$A$11,MIN(5,MATCH(MAX(Reference!$A$6,MIN(Reference!$A$11,MIN($U177,180))),Reference!$A$6:$A$11,1))))*(INDEX(Reference!$B$6:$B$11,MIN(5,MATCH(MAX(Reference!$A$6,MIN(Reference!$A$11,MIN($U177,180))),Reference!$A$6:$A$11,1))+1)-INDEX(Reference!$B$6:$B$11,MIN(5,MATCH(MAX(Reference!$A$6,MIN(Reference!$A$11,MIN($U177,180))),Reference!$A$6:$A$11,1))))/(INDEX(Reference!$A$6:$A$11,MIN(5,MATCH(MAX(Reference!$A$6,MIN(Reference!$A$11,MIN($U177,180))),Reference!$A$6:$A$11,1))+1)-INDEX(Reference!$A$6:$A$11,MIN(5,MATCH(MAX(Reference!$A$6,MIN(Reference!$A$11,MIN($U177,180))),Reference!$A$6:$A$11,1))))),0)+IF(5&lt;=$AL177,($AL177-5+3)*(INDEX(Reference!$B$6:$B$11,MIN(5,MATCH(MAX(Reference!$A$6,MIN(Reference!$A$11,MIN($U177,210))),Reference!$A$6:$A$11,1)))+(MAX(Reference!$A$6,MIN(Reference!$A$11,MIN($U177,210)))-INDEX(Reference!$A$6:$A$11,MIN(5,MATCH(MAX(Reference!$A$6,MIN(Reference!$A$11,MIN($U177,210))),Reference!$A$6:$A$11,1))))*(INDEX(Reference!$B$6:$B$11,MIN(5,MATCH(MAX(Reference!$A$6,MIN(Reference!$A$11,MIN($U177,210))),Reference!$A$6:$A$11,1))+1)-INDEX(Reference!$B$6:$B$11,MIN(5,MATCH(MAX(Reference!$A$6,MIN(Reference!$A$11,MIN($U177,210))),Reference!$A$6:$A$11,1))))/(INDEX(Reference!$A$6:$A$11,MIN(5,MATCH(MAX(Reference!$A$6,MIN(Reference!$A$11,MIN($U177,210))),Reference!$A$6:$A$11,1))+1)-INDEX(Reference!$A$6:$A$11,MIN(5,MATCH(MAX(Reference!$A$6,MIN(Reference!$A$11,MIN($U177,210))),Reference!$A$6:$A$11,1))))),0)+IF(6&lt;=$AL177,($AL177-6+3)*(INDEX(Reference!$B$6:$B$11,MIN(5,MATCH(MAX(Reference!$A$6,MIN(Reference!$A$11,MIN($U177,240))),Reference!$A$6:$A$11,1)))+(MAX(Reference!$A$6,MIN(Reference!$A$11,MIN($U177,240)))-INDEX(Reference!$A$6:$A$11,MIN(5,MATCH(MAX(Reference!$A$6,MIN(Reference!$A$11,MIN($U177,240))),Reference!$A$6:$A$11,1))))*(INDEX(Reference!$B$6:$B$11,MIN(5,MATCH(MAX(Reference!$A$6,MIN(Reference!$A$11,MIN($U177,240))),Reference!$A$6:$A$11,1))+1)-INDEX(Reference!$B$6:$B$11,MIN(5,MATCH(MAX(Reference!$A$6,MIN(Reference!$A$11,MIN($U177,240))),Reference!$A$6:$A$11,1))))/(INDEX(Reference!$A$6:$A$11,MIN(5,MATCH(MAX(Reference!$A$6,MIN(Reference!$A$11,MIN($U177,240))),Reference!$A$6:$A$11,1))+1)-INDEX(Reference!$A$6:$A$11,MIN(5,MATCH(MAX(Reference!$A$6,MIN(Reference!$A$11,MIN($U177,240))),Reference!$A$6:$A$11,1))))),0)+IF(7&lt;=$AL177,($AL177-7+3)*(INDEX(Reference!$B$6:$B$11,MIN(5,MATCH(MAX(Reference!$A$6,MIN(Reference!$A$11,MIN($U177,270))),Reference!$A$6:$A$11,1)))+(MAX(Reference!$A$6,MIN(Reference!$A$11,MIN($U177,270)))-INDEX(Reference!$A$6:$A$11,MIN(5,MATCH(MAX(Reference!$A$6,MIN(Reference!$A$11,MIN($U177,270))),Reference!$A$6:$A$11,1))))*(INDEX(Reference!$B$6:$B$11,MIN(5,MATCH(MAX(Reference!$A$6,MIN(Reference!$A$11,MIN($U177,270))),Reference!$A$6:$A$11,1))+1)-INDEX(Reference!$B$6:$B$11,MIN(5,MATCH(MAX(Reference!$A$6,MIN(Reference!$A$11,MIN($U177,270))),Reference!$A$6:$A$11,1))))/(INDEX(Reference!$A$6:$A$11,MIN(5,MATCH(MAX(Reference!$A$6,MIN(Reference!$A$11,MIN($U177,270))),Reference!$A$6:$A$11,1))+1)-INDEX(Reference!$A$6:$A$11,MIN(5,MATCH(MAX(Reference!$A$6,MIN(Reference!$A$11,MIN($U177,270))),Reference!$A$6:$A$11,1))))),0)+IF(8&lt;=$AL177,($AL177-8+3)*(INDEX(Reference!$B$6:$B$11,MIN(5,MATCH(MAX(Reference!$A$6,MIN(Reference!$A$11,MIN($U177,300))),Reference!$A$6:$A$11,1)))+(MAX(Reference!$A$6,MIN(Reference!$A$11,MIN($U177,300)))-INDEX(Reference!$A$6:$A$11,MIN(5,MATCH(MAX(Reference!$A$6,MIN(Reference!$A$11,MIN($U177,300))),Reference!$A$6:$A$11,1))))*(INDEX(Reference!$B$6:$B$11,MIN(5,MATCH(MAX(Reference!$A$6,MIN(Reference!$A$11,MIN($U177,300))),Reference!$A$6:$A$11,1))+1)-INDEX(Reference!$B$6:$B$11,MIN(5,MATCH(MAX(Reference!$A$6,MIN(Reference!$A$11,MIN($U177,300))),Reference!$A$6:$A$11,1))))/(INDEX(Reference!$A$6:$A$11,MIN(5,MATCH(MAX(Reference!$A$6,MIN(Reference!$A$11,MIN($U177,300))),Reference!$A$6:$A$11,1))+1)-INDEX(Reference!$A$6:$A$11,MIN(5,MATCH(MAX(Reference!$A$6,MIN(Reference!$A$11,MIN($U177,300))),Reference!$A$6:$A$11,1))))),0))/($AL177*($AL177+5)/2)),$AN177))</f>
        <v>0</v>
      </c>
      <c r="AN177" s="32">
        <f>IF($U177="",0,(INDEX(Reference!$B$6:$B$11,MIN(5,MATCH(MAX(Reference!$A$6,MIN(Reference!$A$11,$U177)),Reference!$A$6:$A$11,1)))+(MAX(Reference!$A$6,MIN(Reference!$A$11,$U177))-INDEX(Reference!$A$6:$A$11,MIN(5,MATCH(MAX(Reference!$A$6,MIN(Reference!$A$11,$U177)),Reference!$A$6:$A$11,1))))*(INDEX(Reference!$B$6:$B$11,MIN(5,MATCH(MAX(Reference!$A$6,MIN(Reference!$A$11,$U177)),Reference!$A$6:$A$11,1))+1)-INDEX(Reference!$B$6:$B$11,MIN(5,MATCH(MAX(Reference!$A$6,MIN(Reference!$A$11,$U177)),Reference!$A$6:$A$11,1))))/(INDEX(Reference!$A$6:$A$11,MIN(5,MATCH(MAX(Reference!$A$6,MIN(Reference!$A$11,$U177)),Reference!$A$6:$A$11,1))+1)-INDEX(Reference!$A$6:$A$11,MIN(5,MATCH(MAX(Reference!$A$6,MIN(Reference!$A$11,$U177)),Reference!$A$6:$A$11,1))))))</f>
        <v>0</v>
      </c>
      <c r="AO177" s="37"/>
      <c r="AP177" s="37"/>
      <c r="AQ177" s="37"/>
    </row>
    <row r="178" spans="1:43" x14ac:dyDescent="0.3">
      <c r="A178" s="48" t="str">
        <f t="shared" si="105"/>
        <v/>
      </c>
      <c r="B178" s="32" t="str">
        <f t="shared" si="106"/>
        <v/>
      </c>
      <c r="C178" s="32" t="str">
        <f t="shared" si="107"/>
        <v/>
      </c>
      <c r="D178" s="32" t="str">
        <f t="shared" si="108"/>
        <v/>
      </c>
      <c r="E178" s="32" t="str">
        <f t="shared" si="109"/>
        <v/>
      </c>
      <c r="F178" s="32" t="str">
        <f t="shared" si="110"/>
        <v/>
      </c>
      <c r="G178" s="47" t="str">
        <f t="shared" si="111"/>
        <v/>
      </c>
      <c r="H178" s="30" t="str">
        <f t="shared" si="112"/>
        <v/>
      </c>
      <c r="I178" s="46" t="str">
        <f>IF($A178="","",IF(AND($L178&lt;27,$K$12=0),"Building",IFERROR(((SUM($H$172:$H178)+$K$12*IF($L178&lt;6,SUMIFS('Throw Log'!$Q$5:$Q$300,'Throw Log'!$B$5:$B$300,$D$4,'Throw Log'!$A$5:$A$300,"&gt;="&amp;($D$6+$L178-6),'Throw Log'!$A$5:$A$300,"&lt;="&amp;($D$6-1)),0))/7)/((SUM($H$151:$H178)+$K$12*IF($L178&lt;27,SUMIFS('Throw Log'!$Q$5:$Q$300,'Throw Log'!$B$5:$B$300,$D$4,'Throw Log'!$A$5:$A$300,"&gt;="&amp;($D$6+$L178-27),'Throw Log'!$A$5:$A$300,"&lt;="&amp;($D$6-1)),0))/28),"")))</f>
        <v/>
      </c>
      <c r="J178" s="37"/>
      <c r="K178" s="37"/>
      <c r="L178" s="32">
        <v>135</v>
      </c>
      <c r="M178" s="32">
        <f t="shared" si="113"/>
        <v>20</v>
      </c>
      <c r="N178" s="32">
        <f t="shared" si="114"/>
        <v>2</v>
      </c>
      <c r="O178" s="32">
        <f t="shared" si="115"/>
        <v>1</v>
      </c>
      <c r="P178" s="32" t="str">
        <f>IF(OR($A178="",N($C178)&lt;=7),"",$G$6*$G$9^($M178-1)*IF(AND(MOD($M178,Reference!$B$99)=0,$M178&lt;=$G$5-2),Reference!$B$100,1))</f>
        <v/>
      </c>
      <c r="Q178" s="32" t="str">
        <f>IF($P178="","",IF(SUM($AK$176:$AK$182)=0,0,$P178*INDEX(Reference!$B$108:$B$114,$N178+1)/SUM($AK$176:$AK$182)))</f>
        <v/>
      </c>
      <c r="R178" s="32">
        <f t="shared" si="116"/>
        <v>180</v>
      </c>
      <c r="S178" s="32">
        <f t="shared" si="117"/>
        <v>150</v>
      </c>
      <c r="T178" s="32" t="str">
        <f>IF($A178="","",IF($C178=0,"Bullpen",IF(OR($C178=7,$C178=1,$C178=5),"Recovery/Easy Catch",IF($C178=6,"Compression/Pulldowns",IF(OR($C178=4,$C178=2),"Long Toss",IF($C178=3,"No Throw",IF($N178=2,"No Throw",IF($N178=6,IF($O178&lt;Reference!$B$104,"No Throw","Recovery/Easy Catch"),IF(OR($N178=0,$N178=4),"Recovery/Easy Catch",IF($N178=1,IF($R178&gt;75,"Long Toss","Recovery/Easy Catch"),IF($N178=3,IF($O178&lt;0.5,IF($S178&gt;75,"Long Toss","Recovery/Easy Catch"),"Compression/Pulldowns"),IF($S178&gt;75,"Long Toss","Recovery/Easy Catch"))))))))))))</f>
        <v/>
      </c>
      <c r="U178" s="32" t="str">
        <f t="shared" si="118"/>
        <v/>
      </c>
      <c r="V178" s="32" t="str">
        <f t="shared" si="119"/>
        <v/>
      </c>
      <c r="W178" s="32" t="str">
        <f t="shared" si="120"/>
        <v/>
      </c>
      <c r="X178" s="32">
        <f t="shared" si="121"/>
        <v>0</v>
      </c>
      <c r="Y178" s="32" t="str">
        <f t="shared" si="122"/>
        <v/>
      </c>
      <c r="Z178" s="32" t="str">
        <f t="shared" si="123"/>
        <v/>
      </c>
      <c r="AA178" s="32" t="str">
        <f t="shared" si="124"/>
        <v/>
      </c>
      <c r="AB178" s="32" t="str">
        <f>IF($A178="","",IF($T178="No Throw",0,IF($K178&lt;&gt;"",$K178,IF($AA178&lt;&gt;"",ROUND($AA178*$D$12*IF($C178=0,1,$G$10),0),MIN(IF($T178="Recovery/Easy Catch",Reference!$B$103,IF($T178="Long Toss",Reference!$B$106,Reference!$B$102)),MAX(Reference!$B$101,ROUND(MAX(0,$Q178-$AE178)/$AF178,0)))))))</f>
        <v/>
      </c>
      <c r="AC178" s="32">
        <f t="shared" si="125"/>
        <v>0</v>
      </c>
      <c r="AD178" s="32" t="b">
        <f t="shared" si="126"/>
        <v>1</v>
      </c>
      <c r="AE178" s="32">
        <f>IF($X178=0,0,$X178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178+$Z178)/2,0),Reference!$A$17:$B$20,2,TRUE()))</f>
        <v>0</v>
      </c>
      <c r="AF178" s="32">
        <f>IF(OR($A178="",$U178="",$T178="No Throw"),0,$AM178*VLOOKUP(MAX(($V178+$W178)/2,0),Reference!$A$17:$B$20,2,TRUE()))</f>
        <v>0</v>
      </c>
      <c r="AG178" s="32">
        <f>IF($AC178=0,0,$AC178*INDEX(Reference!$B$61:$B$62,MATCH("Bullpen",Reference!$A$61:$A$62,0))*VLOOKUP(MAX($D$5-($D$9+$E$9)/2,0),Reference!$A$17:$B$20,2,TRUE()))</f>
        <v>0</v>
      </c>
      <c r="AH178" s="32" t="e">
        <f t="shared" si="127"/>
        <v>#N/A</v>
      </c>
      <c r="AI178" s="32" t="e">
        <f>IF($A178="",NA(),Reference!$A$25)</f>
        <v>#N/A</v>
      </c>
      <c r="AJ178" s="32" t="e">
        <f t="shared" si="128"/>
        <v>#N/A</v>
      </c>
      <c r="AK178" s="32">
        <f>IF(OR($A178="",N($C178)&lt;=7,$T178="No Throw",$J178="x"),0,INDEX(Reference!$B$108:$B$114,$N178+1))</f>
        <v>0</v>
      </c>
      <c r="AL178" s="32">
        <f t="shared" si="129"/>
        <v>1</v>
      </c>
      <c r="AM178" s="32">
        <f>IF($U178="",0,IF($AL178&gt;1,((IF(1&lt;=$AL178,($AL178-1+3)*(INDEX(Reference!$B$6:$B$11,MIN(5,MATCH(MAX(Reference!$A$6,MIN(Reference!$A$11,MIN($U178,90))),Reference!$A$6:$A$11,1)))+(MAX(Reference!$A$6,MIN(Reference!$A$11,MIN($U178,90)))-INDEX(Reference!$A$6:$A$11,MIN(5,MATCH(MAX(Reference!$A$6,MIN(Reference!$A$11,MIN($U178,90))),Reference!$A$6:$A$11,1))))*(INDEX(Reference!$B$6:$B$11,MIN(5,MATCH(MAX(Reference!$A$6,MIN(Reference!$A$11,MIN($U178,90))),Reference!$A$6:$A$11,1))+1)-INDEX(Reference!$B$6:$B$11,MIN(5,MATCH(MAX(Reference!$A$6,MIN(Reference!$A$11,MIN($U178,90))),Reference!$A$6:$A$11,1))))/(INDEX(Reference!$A$6:$A$11,MIN(5,MATCH(MAX(Reference!$A$6,MIN(Reference!$A$11,MIN($U178,90))),Reference!$A$6:$A$11,1))+1)-INDEX(Reference!$A$6:$A$11,MIN(5,MATCH(MAX(Reference!$A$6,MIN(Reference!$A$11,MIN($U178,90))),Reference!$A$6:$A$11,1))))),0)+IF(2&lt;=$AL178,($AL178-2+3)*(INDEX(Reference!$B$6:$B$11,MIN(5,MATCH(MAX(Reference!$A$6,MIN(Reference!$A$11,MIN($U178,120))),Reference!$A$6:$A$11,1)))+(MAX(Reference!$A$6,MIN(Reference!$A$11,MIN($U178,120)))-INDEX(Reference!$A$6:$A$11,MIN(5,MATCH(MAX(Reference!$A$6,MIN(Reference!$A$11,MIN($U178,120))),Reference!$A$6:$A$11,1))))*(INDEX(Reference!$B$6:$B$11,MIN(5,MATCH(MAX(Reference!$A$6,MIN(Reference!$A$11,MIN($U178,120))),Reference!$A$6:$A$11,1))+1)-INDEX(Reference!$B$6:$B$11,MIN(5,MATCH(MAX(Reference!$A$6,MIN(Reference!$A$11,MIN($U178,120))),Reference!$A$6:$A$11,1))))/(INDEX(Reference!$A$6:$A$11,MIN(5,MATCH(MAX(Reference!$A$6,MIN(Reference!$A$11,MIN($U178,120))),Reference!$A$6:$A$11,1))+1)-INDEX(Reference!$A$6:$A$11,MIN(5,MATCH(MAX(Reference!$A$6,MIN(Reference!$A$11,MIN($U178,120))),Reference!$A$6:$A$11,1))))),0)+IF(3&lt;=$AL178,($AL178-3+3)*(INDEX(Reference!$B$6:$B$11,MIN(5,MATCH(MAX(Reference!$A$6,MIN(Reference!$A$11,MIN($U178,150))),Reference!$A$6:$A$11,1)))+(MAX(Reference!$A$6,MIN(Reference!$A$11,MIN($U178,150)))-INDEX(Reference!$A$6:$A$11,MIN(5,MATCH(MAX(Reference!$A$6,MIN(Reference!$A$11,MIN($U178,150))),Reference!$A$6:$A$11,1))))*(INDEX(Reference!$B$6:$B$11,MIN(5,MATCH(MAX(Reference!$A$6,MIN(Reference!$A$11,MIN($U178,150))),Reference!$A$6:$A$11,1))+1)-INDEX(Reference!$B$6:$B$11,MIN(5,MATCH(MAX(Reference!$A$6,MIN(Reference!$A$11,MIN($U178,150))),Reference!$A$6:$A$11,1))))/(INDEX(Reference!$A$6:$A$11,MIN(5,MATCH(MAX(Reference!$A$6,MIN(Reference!$A$11,MIN($U178,150))),Reference!$A$6:$A$11,1))+1)-INDEX(Reference!$A$6:$A$11,MIN(5,MATCH(MAX(Reference!$A$6,MIN(Reference!$A$11,MIN($U178,150))),Reference!$A$6:$A$11,1))))),0)+IF(4&lt;=$AL178,($AL178-4+3)*(INDEX(Reference!$B$6:$B$11,MIN(5,MATCH(MAX(Reference!$A$6,MIN(Reference!$A$11,MIN($U178,180))),Reference!$A$6:$A$11,1)))+(MAX(Reference!$A$6,MIN(Reference!$A$11,MIN($U178,180)))-INDEX(Reference!$A$6:$A$11,MIN(5,MATCH(MAX(Reference!$A$6,MIN(Reference!$A$11,MIN($U178,180))),Reference!$A$6:$A$11,1))))*(INDEX(Reference!$B$6:$B$11,MIN(5,MATCH(MAX(Reference!$A$6,MIN(Reference!$A$11,MIN($U178,180))),Reference!$A$6:$A$11,1))+1)-INDEX(Reference!$B$6:$B$11,MIN(5,MATCH(MAX(Reference!$A$6,MIN(Reference!$A$11,MIN($U178,180))),Reference!$A$6:$A$11,1))))/(INDEX(Reference!$A$6:$A$11,MIN(5,MATCH(MAX(Reference!$A$6,MIN(Reference!$A$11,MIN($U178,180))),Reference!$A$6:$A$11,1))+1)-INDEX(Reference!$A$6:$A$11,MIN(5,MATCH(MAX(Reference!$A$6,MIN(Reference!$A$11,MIN($U178,180))),Reference!$A$6:$A$11,1))))),0)+IF(5&lt;=$AL178,($AL178-5+3)*(INDEX(Reference!$B$6:$B$11,MIN(5,MATCH(MAX(Reference!$A$6,MIN(Reference!$A$11,MIN($U178,210))),Reference!$A$6:$A$11,1)))+(MAX(Reference!$A$6,MIN(Reference!$A$11,MIN($U178,210)))-INDEX(Reference!$A$6:$A$11,MIN(5,MATCH(MAX(Reference!$A$6,MIN(Reference!$A$11,MIN($U178,210))),Reference!$A$6:$A$11,1))))*(INDEX(Reference!$B$6:$B$11,MIN(5,MATCH(MAX(Reference!$A$6,MIN(Reference!$A$11,MIN($U178,210))),Reference!$A$6:$A$11,1))+1)-INDEX(Reference!$B$6:$B$11,MIN(5,MATCH(MAX(Reference!$A$6,MIN(Reference!$A$11,MIN($U178,210))),Reference!$A$6:$A$11,1))))/(INDEX(Reference!$A$6:$A$11,MIN(5,MATCH(MAX(Reference!$A$6,MIN(Reference!$A$11,MIN($U178,210))),Reference!$A$6:$A$11,1))+1)-INDEX(Reference!$A$6:$A$11,MIN(5,MATCH(MAX(Reference!$A$6,MIN(Reference!$A$11,MIN($U178,210))),Reference!$A$6:$A$11,1))))),0)+IF(6&lt;=$AL178,($AL178-6+3)*(INDEX(Reference!$B$6:$B$11,MIN(5,MATCH(MAX(Reference!$A$6,MIN(Reference!$A$11,MIN($U178,240))),Reference!$A$6:$A$11,1)))+(MAX(Reference!$A$6,MIN(Reference!$A$11,MIN($U178,240)))-INDEX(Reference!$A$6:$A$11,MIN(5,MATCH(MAX(Reference!$A$6,MIN(Reference!$A$11,MIN($U178,240))),Reference!$A$6:$A$11,1))))*(INDEX(Reference!$B$6:$B$11,MIN(5,MATCH(MAX(Reference!$A$6,MIN(Reference!$A$11,MIN($U178,240))),Reference!$A$6:$A$11,1))+1)-INDEX(Reference!$B$6:$B$11,MIN(5,MATCH(MAX(Reference!$A$6,MIN(Reference!$A$11,MIN($U178,240))),Reference!$A$6:$A$11,1))))/(INDEX(Reference!$A$6:$A$11,MIN(5,MATCH(MAX(Reference!$A$6,MIN(Reference!$A$11,MIN($U178,240))),Reference!$A$6:$A$11,1))+1)-INDEX(Reference!$A$6:$A$11,MIN(5,MATCH(MAX(Reference!$A$6,MIN(Reference!$A$11,MIN($U178,240))),Reference!$A$6:$A$11,1))))),0)+IF(7&lt;=$AL178,($AL178-7+3)*(INDEX(Reference!$B$6:$B$11,MIN(5,MATCH(MAX(Reference!$A$6,MIN(Reference!$A$11,MIN($U178,270))),Reference!$A$6:$A$11,1)))+(MAX(Reference!$A$6,MIN(Reference!$A$11,MIN($U178,270)))-INDEX(Reference!$A$6:$A$11,MIN(5,MATCH(MAX(Reference!$A$6,MIN(Reference!$A$11,MIN($U178,270))),Reference!$A$6:$A$11,1))))*(INDEX(Reference!$B$6:$B$11,MIN(5,MATCH(MAX(Reference!$A$6,MIN(Reference!$A$11,MIN($U178,270))),Reference!$A$6:$A$11,1))+1)-INDEX(Reference!$B$6:$B$11,MIN(5,MATCH(MAX(Reference!$A$6,MIN(Reference!$A$11,MIN($U178,270))),Reference!$A$6:$A$11,1))))/(INDEX(Reference!$A$6:$A$11,MIN(5,MATCH(MAX(Reference!$A$6,MIN(Reference!$A$11,MIN($U178,270))),Reference!$A$6:$A$11,1))+1)-INDEX(Reference!$A$6:$A$11,MIN(5,MATCH(MAX(Reference!$A$6,MIN(Reference!$A$11,MIN($U178,270))),Reference!$A$6:$A$11,1))))),0)+IF(8&lt;=$AL178,($AL178-8+3)*(INDEX(Reference!$B$6:$B$11,MIN(5,MATCH(MAX(Reference!$A$6,MIN(Reference!$A$11,MIN($U178,300))),Reference!$A$6:$A$11,1)))+(MAX(Reference!$A$6,MIN(Reference!$A$11,MIN($U178,300)))-INDEX(Reference!$A$6:$A$11,MIN(5,MATCH(MAX(Reference!$A$6,MIN(Reference!$A$11,MIN($U178,300))),Reference!$A$6:$A$11,1))))*(INDEX(Reference!$B$6:$B$11,MIN(5,MATCH(MAX(Reference!$A$6,MIN(Reference!$A$11,MIN($U178,300))),Reference!$A$6:$A$11,1))+1)-INDEX(Reference!$B$6:$B$11,MIN(5,MATCH(MAX(Reference!$A$6,MIN(Reference!$A$11,MIN($U178,300))),Reference!$A$6:$A$11,1))))/(INDEX(Reference!$A$6:$A$11,MIN(5,MATCH(MAX(Reference!$A$6,MIN(Reference!$A$11,MIN($U178,300))),Reference!$A$6:$A$11,1))+1)-INDEX(Reference!$A$6:$A$11,MIN(5,MATCH(MAX(Reference!$A$6,MIN(Reference!$A$11,MIN($U178,300))),Reference!$A$6:$A$11,1))))),0))/($AL178*($AL178+5)/2)),$AN178))</f>
        <v>0</v>
      </c>
      <c r="AN178" s="32">
        <f>IF($U178="",0,(INDEX(Reference!$B$6:$B$11,MIN(5,MATCH(MAX(Reference!$A$6,MIN(Reference!$A$11,$U178)),Reference!$A$6:$A$11,1)))+(MAX(Reference!$A$6,MIN(Reference!$A$11,$U178))-INDEX(Reference!$A$6:$A$11,MIN(5,MATCH(MAX(Reference!$A$6,MIN(Reference!$A$11,$U178)),Reference!$A$6:$A$11,1))))*(INDEX(Reference!$B$6:$B$11,MIN(5,MATCH(MAX(Reference!$A$6,MIN(Reference!$A$11,$U178)),Reference!$A$6:$A$11,1))+1)-INDEX(Reference!$B$6:$B$11,MIN(5,MATCH(MAX(Reference!$A$6,MIN(Reference!$A$11,$U178)),Reference!$A$6:$A$11,1))))/(INDEX(Reference!$A$6:$A$11,MIN(5,MATCH(MAX(Reference!$A$6,MIN(Reference!$A$11,$U178)),Reference!$A$6:$A$11,1))+1)-INDEX(Reference!$A$6:$A$11,MIN(5,MATCH(MAX(Reference!$A$6,MIN(Reference!$A$11,$U178)),Reference!$A$6:$A$11,1))))))</f>
        <v>0</v>
      </c>
      <c r="AO178" s="37"/>
      <c r="AP178" s="37"/>
      <c r="AQ178" s="37"/>
    </row>
    <row r="179" spans="1:43" x14ac:dyDescent="0.3">
      <c r="A179" s="48" t="str">
        <f t="shared" si="105"/>
        <v/>
      </c>
      <c r="B179" s="32" t="str">
        <f t="shared" si="106"/>
        <v/>
      </c>
      <c r="C179" s="32" t="str">
        <f t="shared" si="107"/>
        <v/>
      </c>
      <c r="D179" s="32" t="str">
        <f t="shared" si="108"/>
        <v/>
      </c>
      <c r="E179" s="32" t="str">
        <f t="shared" si="109"/>
        <v/>
      </c>
      <c r="F179" s="32" t="str">
        <f t="shared" si="110"/>
        <v/>
      </c>
      <c r="G179" s="47" t="str">
        <f t="shared" si="111"/>
        <v/>
      </c>
      <c r="H179" s="30" t="str">
        <f t="shared" si="112"/>
        <v/>
      </c>
      <c r="I179" s="46" t="str">
        <f>IF($A179="","",IF(AND($L179&lt;27,$K$12=0),"Building",IFERROR(((SUM($H$173:$H179)+$K$12*IF($L179&lt;6,SUMIFS('Throw Log'!$Q$5:$Q$300,'Throw Log'!$B$5:$B$300,$D$4,'Throw Log'!$A$5:$A$300,"&gt;="&amp;($D$6+$L179-6),'Throw Log'!$A$5:$A$300,"&lt;="&amp;($D$6-1)),0))/7)/((SUM($H$152:$H179)+$K$12*IF($L179&lt;27,SUMIFS('Throw Log'!$Q$5:$Q$300,'Throw Log'!$B$5:$B$300,$D$4,'Throw Log'!$A$5:$A$300,"&gt;="&amp;($D$6+$L179-27),'Throw Log'!$A$5:$A$300,"&lt;="&amp;($D$6-1)),0))/28),"")))</f>
        <v/>
      </c>
      <c r="J179" s="37"/>
      <c r="K179" s="37"/>
      <c r="L179" s="32">
        <v>136</v>
      </c>
      <c r="M179" s="32">
        <f t="shared" si="113"/>
        <v>20</v>
      </c>
      <c r="N179" s="32">
        <f t="shared" si="114"/>
        <v>3</v>
      </c>
      <c r="O179" s="32">
        <f t="shared" si="115"/>
        <v>1</v>
      </c>
      <c r="P179" s="32" t="str">
        <f>IF(OR($A179="",N($C179)&lt;=7),"",$G$6*$G$9^($M179-1)*IF(AND(MOD($M179,Reference!$B$99)=0,$M179&lt;=$G$5-2),Reference!$B$100,1))</f>
        <v/>
      </c>
      <c r="Q179" s="32" t="str">
        <f>IF($P179="","",IF(SUM($AK$176:$AK$182)=0,0,$P179*INDEX(Reference!$B$108:$B$114,$N179+1)/SUM($AK$176:$AK$182)))</f>
        <v/>
      </c>
      <c r="R179" s="32">
        <f t="shared" si="116"/>
        <v>180</v>
      </c>
      <c r="S179" s="32">
        <f t="shared" si="117"/>
        <v>150</v>
      </c>
      <c r="T179" s="32" t="str">
        <f>IF($A179="","",IF($C179=0,"Bullpen",IF(OR($C179=7,$C179=1,$C179=5),"Recovery/Easy Catch",IF($C179=6,"Compression/Pulldowns",IF(OR($C179=4,$C179=2),"Long Toss",IF($C179=3,"No Throw",IF($N179=2,"No Throw",IF($N179=6,IF($O179&lt;Reference!$B$104,"No Throw","Recovery/Easy Catch"),IF(OR($N179=0,$N179=4),"Recovery/Easy Catch",IF($N179=1,IF($R179&gt;75,"Long Toss","Recovery/Easy Catch"),IF($N179=3,IF($O179&lt;0.5,IF($S179&gt;75,"Long Toss","Recovery/Easy Catch"),"Compression/Pulldowns"),IF($S179&gt;75,"Long Toss","Recovery/Easy Catch"))))))))))))</f>
        <v/>
      </c>
      <c r="U179" s="32" t="str">
        <f t="shared" si="118"/>
        <v/>
      </c>
      <c r="V179" s="32" t="str">
        <f t="shared" si="119"/>
        <v/>
      </c>
      <c r="W179" s="32" t="str">
        <f t="shared" si="120"/>
        <v/>
      </c>
      <c r="X179" s="32">
        <f t="shared" si="121"/>
        <v>0</v>
      </c>
      <c r="Y179" s="32" t="str">
        <f t="shared" si="122"/>
        <v/>
      </c>
      <c r="Z179" s="32" t="str">
        <f t="shared" si="123"/>
        <v/>
      </c>
      <c r="AA179" s="32" t="str">
        <f t="shared" si="124"/>
        <v/>
      </c>
      <c r="AB179" s="32" t="str">
        <f>IF($A179="","",IF($T179="No Throw",0,IF($K179&lt;&gt;"",$K179,IF($AA179&lt;&gt;"",ROUND($AA179*$D$12*IF($C179=0,1,$G$10),0),MIN(IF($T179="Recovery/Easy Catch",Reference!$B$103,IF($T179="Long Toss",Reference!$B$106,Reference!$B$102)),MAX(Reference!$B$101,ROUND(MAX(0,$Q179-$AE179)/$AF179,0)))))))</f>
        <v/>
      </c>
      <c r="AC179" s="32">
        <f t="shared" si="125"/>
        <v>0</v>
      </c>
      <c r="AD179" s="32" t="b">
        <f t="shared" si="126"/>
        <v>1</v>
      </c>
      <c r="AE179" s="32">
        <f>IF($X179=0,0,$X179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179+$Z179)/2,0),Reference!$A$17:$B$20,2,TRUE()))</f>
        <v>0</v>
      </c>
      <c r="AF179" s="32">
        <f>IF(OR($A179="",$U179="",$T179="No Throw"),0,$AM179*VLOOKUP(MAX(($V179+$W179)/2,0),Reference!$A$17:$B$20,2,TRUE()))</f>
        <v>0</v>
      </c>
      <c r="AG179" s="32">
        <f>IF($AC179=0,0,$AC179*INDEX(Reference!$B$61:$B$62,MATCH("Bullpen",Reference!$A$61:$A$62,0))*VLOOKUP(MAX($D$5-($D$9+$E$9)/2,0),Reference!$A$17:$B$20,2,TRUE()))</f>
        <v>0</v>
      </c>
      <c r="AH179" s="32" t="e">
        <f t="shared" si="127"/>
        <v>#N/A</v>
      </c>
      <c r="AI179" s="32" t="e">
        <f>IF($A179="",NA(),Reference!$A$25)</f>
        <v>#N/A</v>
      </c>
      <c r="AJ179" s="32" t="e">
        <f t="shared" si="128"/>
        <v>#N/A</v>
      </c>
      <c r="AK179" s="32">
        <f>IF(OR($A179="",N($C179)&lt;=7,$T179="No Throw",$J179="x"),0,INDEX(Reference!$B$108:$B$114,$N179+1))</f>
        <v>0</v>
      </c>
      <c r="AL179" s="32">
        <f t="shared" si="129"/>
        <v>1</v>
      </c>
      <c r="AM179" s="32">
        <f>IF($U179="",0,IF($AL179&gt;1,((IF(1&lt;=$AL179,($AL179-1+3)*(INDEX(Reference!$B$6:$B$11,MIN(5,MATCH(MAX(Reference!$A$6,MIN(Reference!$A$11,MIN($U179,90))),Reference!$A$6:$A$11,1)))+(MAX(Reference!$A$6,MIN(Reference!$A$11,MIN($U179,90)))-INDEX(Reference!$A$6:$A$11,MIN(5,MATCH(MAX(Reference!$A$6,MIN(Reference!$A$11,MIN($U179,90))),Reference!$A$6:$A$11,1))))*(INDEX(Reference!$B$6:$B$11,MIN(5,MATCH(MAX(Reference!$A$6,MIN(Reference!$A$11,MIN($U179,90))),Reference!$A$6:$A$11,1))+1)-INDEX(Reference!$B$6:$B$11,MIN(5,MATCH(MAX(Reference!$A$6,MIN(Reference!$A$11,MIN($U179,90))),Reference!$A$6:$A$11,1))))/(INDEX(Reference!$A$6:$A$11,MIN(5,MATCH(MAX(Reference!$A$6,MIN(Reference!$A$11,MIN($U179,90))),Reference!$A$6:$A$11,1))+1)-INDEX(Reference!$A$6:$A$11,MIN(5,MATCH(MAX(Reference!$A$6,MIN(Reference!$A$11,MIN($U179,90))),Reference!$A$6:$A$11,1))))),0)+IF(2&lt;=$AL179,($AL179-2+3)*(INDEX(Reference!$B$6:$B$11,MIN(5,MATCH(MAX(Reference!$A$6,MIN(Reference!$A$11,MIN($U179,120))),Reference!$A$6:$A$11,1)))+(MAX(Reference!$A$6,MIN(Reference!$A$11,MIN($U179,120)))-INDEX(Reference!$A$6:$A$11,MIN(5,MATCH(MAX(Reference!$A$6,MIN(Reference!$A$11,MIN($U179,120))),Reference!$A$6:$A$11,1))))*(INDEX(Reference!$B$6:$B$11,MIN(5,MATCH(MAX(Reference!$A$6,MIN(Reference!$A$11,MIN($U179,120))),Reference!$A$6:$A$11,1))+1)-INDEX(Reference!$B$6:$B$11,MIN(5,MATCH(MAX(Reference!$A$6,MIN(Reference!$A$11,MIN($U179,120))),Reference!$A$6:$A$11,1))))/(INDEX(Reference!$A$6:$A$11,MIN(5,MATCH(MAX(Reference!$A$6,MIN(Reference!$A$11,MIN($U179,120))),Reference!$A$6:$A$11,1))+1)-INDEX(Reference!$A$6:$A$11,MIN(5,MATCH(MAX(Reference!$A$6,MIN(Reference!$A$11,MIN($U179,120))),Reference!$A$6:$A$11,1))))),0)+IF(3&lt;=$AL179,($AL179-3+3)*(INDEX(Reference!$B$6:$B$11,MIN(5,MATCH(MAX(Reference!$A$6,MIN(Reference!$A$11,MIN($U179,150))),Reference!$A$6:$A$11,1)))+(MAX(Reference!$A$6,MIN(Reference!$A$11,MIN($U179,150)))-INDEX(Reference!$A$6:$A$11,MIN(5,MATCH(MAX(Reference!$A$6,MIN(Reference!$A$11,MIN($U179,150))),Reference!$A$6:$A$11,1))))*(INDEX(Reference!$B$6:$B$11,MIN(5,MATCH(MAX(Reference!$A$6,MIN(Reference!$A$11,MIN($U179,150))),Reference!$A$6:$A$11,1))+1)-INDEX(Reference!$B$6:$B$11,MIN(5,MATCH(MAX(Reference!$A$6,MIN(Reference!$A$11,MIN($U179,150))),Reference!$A$6:$A$11,1))))/(INDEX(Reference!$A$6:$A$11,MIN(5,MATCH(MAX(Reference!$A$6,MIN(Reference!$A$11,MIN($U179,150))),Reference!$A$6:$A$11,1))+1)-INDEX(Reference!$A$6:$A$11,MIN(5,MATCH(MAX(Reference!$A$6,MIN(Reference!$A$11,MIN($U179,150))),Reference!$A$6:$A$11,1))))),0)+IF(4&lt;=$AL179,($AL179-4+3)*(INDEX(Reference!$B$6:$B$11,MIN(5,MATCH(MAX(Reference!$A$6,MIN(Reference!$A$11,MIN($U179,180))),Reference!$A$6:$A$11,1)))+(MAX(Reference!$A$6,MIN(Reference!$A$11,MIN($U179,180)))-INDEX(Reference!$A$6:$A$11,MIN(5,MATCH(MAX(Reference!$A$6,MIN(Reference!$A$11,MIN($U179,180))),Reference!$A$6:$A$11,1))))*(INDEX(Reference!$B$6:$B$11,MIN(5,MATCH(MAX(Reference!$A$6,MIN(Reference!$A$11,MIN($U179,180))),Reference!$A$6:$A$11,1))+1)-INDEX(Reference!$B$6:$B$11,MIN(5,MATCH(MAX(Reference!$A$6,MIN(Reference!$A$11,MIN($U179,180))),Reference!$A$6:$A$11,1))))/(INDEX(Reference!$A$6:$A$11,MIN(5,MATCH(MAX(Reference!$A$6,MIN(Reference!$A$11,MIN($U179,180))),Reference!$A$6:$A$11,1))+1)-INDEX(Reference!$A$6:$A$11,MIN(5,MATCH(MAX(Reference!$A$6,MIN(Reference!$A$11,MIN($U179,180))),Reference!$A$6:$A$11,1))))),0)+IF(5&lt;=$AL179,($AL179-5+3)*(INDEX(Reference!$B$6:$B$11,MIN(5,MATCH(MAX(Reference!$A$6,MIN(Reference!$A$11,MIN($U179,210))),Reference!$A$6:$A$11,1)))+(MAX(Reference!$A$6,MIN(Reference!$A$11,MIN($U179,210)))-INDEX(Reference!$A$6:$A$11,MIN(5,MATCH(MAX(Reference!$A$6,MIN(Reference!$A$11,MIN($U179,210))),Reference!$A$6:$A$11,1))))*(INDEX(Reference!$B$6:$B$11,MIN(5,MATCH(MAX(Reference!$A$6,MIN(Reference!$A$11,MIN($U179,210))),Reference!$A$6:$A$11,1))+1)-INDEX(Reference!$B$6:$B$11,MIN(5,MATCH(MAX(Reference!$A$6,MIN(Reference!$A$11,MIN($U179,210))),Reference!$A$6:$A$11,1))))/(INDEX(Reference!$A$6:$A$11,MIN(5,MATCH(MAX(Reference!$A$6,MIN(Reference!$A$11,MIN($U179,210))),Reference!$A$6:$A$11,1))+1)-INDEX(Reference!$A$6:$A$11,MIN(5,MATCH(MAX(Reference!$A$6,MIN(Reference!$A$11,MIN($U179,210))),Reference!$A$6:$A$11,1))))),0)+IF(6&lt;=$AL179,($AL179-6+3)*(INDEX(Reference!$B$6:$B$11,MIN(5,MATCH(MAX(Reference!$A$6,MIN(Reference!$A$11,MIN($U179,240))),Reference!$A$6:$A$11,1)))+(MAX(Reference!$A$6,MIN(Reference!$A$11,MIN($U179,240)))-INDEX(Reference!$A$6:$A$11,MIN(5,MATCH(MAX(Reference!$A$6,MIN(Reference!$A$11,MIN($U179,240))),Reference!$A$6:$A$11,1))))*(INDEX(Reference!$B$6:$B$11,MIN(5,MATCH(MAX(Reference!$A$6,MIN(Reference!$A$11,MIN($U179,240))),Reference!$A$6:$A$11,1))+1)-INDEX(Reference!$B$6:$B$11,MIN(5,MATCH(MAX(Reference!$A$6,MIN(Reference!$A$11,MIN($U179,240))),Reference!$A$6:$A$11,1))))/(INDEX(Reference!$A$6:$A$11,MIN(5,MATCH(MAX(Reference!$A$6,MIN(Reference!$A$11,MIN($U179,240))),Reference!$A$6:$A$11,1))+1)-INDEX(Reference!$A$6:$A$11,MIN(5,MATCH(MAX(Reference!$A$6,MIN(Reference!$A$11,MIN($U179,240))),Reference!$A$6:$A$11,1))))),0)+IF(7&lt;=$AL179,($AL179-7+3)*(INDEX(Reference!$B$6:$B$11,MIN(5,MATCH(MAX(Reference!$A$6,MIN(Reference!$A$11,MIN($U179,270))),Reference!$A$6:$A$11,1)))+(MAX(Reference!$A$6,MIN(Reference!$A$11,MIN($U179,270)))-INDEX(Reference!$A$6:$A$11,MIN(5,MATCH(MAX(Reference!$A$6,MIN(Reference!$A$11,MIN($U179,270))),Reference!$A$6:$A$11,1))))*(INDEX(Reference!$B$6:$B$11,MIN(5,MATCH(MAX(Reference!$A$6,MIN(Reference!$A$11,MIN($U179,270))),Reference!$A$6:$A$11,1))+1)-INDEX(Reference!$B$6:$B$11,MIN(5,MATCH(MAX(Reference!$A$6,MIN(Reference!$A$11,MIN($U179,270))),Reference!$A$6:$A$11,1))))/(INDEX(Reference!$A$6:$A$11,MIN(5,MATCH(MAX(Reference!$A$6,MIN(Reference!$A$11,MIN($U179,270))),Reference!$A$6:$A$11,1))+1)-INDEX(Reference!$A$6:$A$11,MIN(5,MATCH(MAX(Reference!$A$6,MIN(Reference!$A$11,MIN($U179,270))),Reference!$A$6:$A$11,1))))),0)+IF(8&lt;=$AL179,($AL179-8+3)*(INDEX(Reference!$B$6:$B$11,MIN(5,MATCH(MAX(Reference!$A$6,MIN(Reference!$A$11,MIN($U179,300))),Reference!$A$6:$A$11,1)))+(MAX(Reference!$A$6,MIN(Reference!$A$11,MIN($U179,300)))-INDEX(Reference!$A$6:$A$11,MIN(5,MATCH(MAX(Reference!$A$6,MIN(Reference!$A$11,MIN($U179,300))),Reference!$A$6:$A$11,1))))*(INDEX(Reference!$B$6:$B$11,MIN(5,MATCH(MAX(Reference!$A$6,MIN(Reference!$A$11,MIN($U179,300))),Reference!$A$6:$A$11,1))+1)-INDEX(Reference!$B$6:$B$11,MIN(5,MATCH(MAX(Reference!$A$6,MIN(Reference!$A$11,MIN($U179,300))),Reference!$A$6:$A$11,1))))/(INDEX(Reference!$A$6:$A$11,MIN(5,MATCH(MAX(Reference!$A$6,MIN(Reference!$A$11,MIN($U179,300))),Reference!$A$6:$A$11,1))+1)-INDEX(Reference!$A$6:$A$11,MIN(5,MATCH(MAX(Reference!$A$6,MIN(Reference!$A$11,MIN($U179,300))),Reference!$A$6:$A$11,1))))),0))/($AL179*($AL179+5)/2)),$AN179))</f>
        <v>0</v>
      </c>
      <c r="AN179" s="32">
        <f>IF($U179="",0,(INDEX(Reference!$B$6:$B$11,MIN(5,MATCH(MAX(Reference!$A$6,MIN(Reference!$A$11,$U179)),Reference!$A$6:$A$11,1)))+(MAX(Reference!$A$6,MIN(Reference!$A$11,$U179))-INDEX(Reference!$A$6:$A$11,MIN(5,MATCH(MAX(Reference!$A$6,MIN(Reference!$A$11,$U179)),Reference!$A$6:$A$11,1))))*(INDEX(Reference!$B$6:$B$11,MIN(5,MATCH(MAX(Reference!$A$6,MIN(Reference!$A$11,$U179)),Reference!$A$6:$A$11,1))+1)-INDEX(Reference!$B$6:$B$11,MIN(5,MATCH(MAX(Reference!$A$6,MIN(Reference!$A$11,$U179)),Reference!$A$6:$A$11,1))))/(INDEX(Reference!$A$6:$A$11,MIN(5,MATCH(MAX(Reference!$A$6,MIN(Reference!$A$11,$U179)),Reference!$A$6:$A$11,1))+1)-INDEX(Reference!$A$6:$A$11,MIN(5,MATCH(MAX(Reference!$A$6,MIN(Reference!$A$11,$U179)),Reference!$A$6:$A$11,1))))))</f>
        <v>0</v>
      </c>
      <c r="AO179" s="37"/>
      <c r="AP179" s="37"/>
      <c r="AQ179" s="37"/>
    </row>
    <row r="180" spans="1:43" x14ac:dyDescent="0.3">
      <c r="A180" s="48" t="str">
        <f t="shared" si="105"/>
        <v/>
      </c>
      <c r="B180" s="32" t="str">
        <f t="shared" si="106"/>
        <v/>
      </c>
      <c r="C180" s="32" t="str">
        <f t="shared" si="107"/>
        <v/>
      </c>
      <c r="D180" s="32" t="str">
        <f t="shared" si="108"/>
        <v/>
      </c>
      <c r="E180" s="32" t="str">
        <f t="shared" si="109"/>
        <v/>
      </c>
      <c r="F180" s="32" t="str">
        <f t="shared" si="110"/>
        <v/>
      </c>
      <c r="G180" s="47" t="str">
        <f t="shared" si="111"/>
        <v/>
      </c>
      <c r="H180" s="30" t="str">
        <f t="shared" si="112"/>
        <v/>
      </c>
      <c r="I180" s="46" t="str">
        <f>IF($A180="","",IF(AND($L180&lt;27,$K$12=0),"Building",IFERROR(((SUM($H$174:$H180)+$K$12*IF($L180&lt;6,SUMIFS('Throw Log'!$Q$5:$Q$300,'Throw Log'!$B$5:$B$300,$D$4,'Throw Log'!$A$5:$A$300,"&gt;="&amp;($D$6+$L180-6),'Throw Log'!$A$5:$A$300,"&lt;="&amp;($D$6-1)),0))/7)/((SUM($H$153:$H180)+$K$12*IF($L180&lt;27,SUMIFS('Throw Log'!$Q$5:$Q$300,'Throw Log'!$B$5:$B$300,$D$4,'Throw Log'!$A$5:$A$300,"&gt;="&amp;($D$6+$L180-27),'Throw Log'!$A$5:$A$300,"&lt;="&amp;($D$6-1)),0))/28),"")))</f>
        <v/>
      </c>
      <c r="J180" s="37"/>
      <c r="K180" s="37"/>
      <c r="L180" s="32">
        <v>137</v>
      </c>
      <c r="M180" s="32">
        <f t="shared" si="113"/>
        <v>20</v>
      </c>
      <c r="N180" s="32">
        <f t="shared" si="114"/>
        <v>4</v>
      </c>
      <c r="O180" s="32">
        <f t="shared" si="115"/>
        <v>1</v>
      </c>
      <c r="P180" s="32" t="str">
        <f>IF(OR($A180="",N($C180)&lt;=7),"",$G$6*$G$9^($M180-1)*IF(AND(MOD($M180,Reference!$B$99)=0,$M180&lt;=$G$5-2),Reference!$B$100,1))</f>
        <v/>
      </c>
      <c r="Q180" s="32" t="str">
        <f>IF($P180="","",IF(SUM($AK$176:$AK$182)=0,0,$P180*INDEX(Reference!$B$108:$B$114,$N180+1)/SUM($AK$176:$AK$182)))</f>
        <v/>
      </c>
      <c r="R180" s="32">
        <f t="shared" si="116"/>
        <v>180</v>
      </c>
      <c r="S180" s="32">
        <f t="shared" si="117"/>
        <v>150</v>
      </c>
      <c r="T180" s="32" t="str">
        <f>IF($A180="","",IF($C180=0,"Bullpen",IF(OR($C180=7,$C180=1,$C180=5),"Recovery/Easy Catch",IF($C180=6,"Compression/Pulldowns",IF(OR($C180=4,$C180=2),"Long Toss",IF($C180=3,"No Throw",IF($N180=2,"No Throw",IF($N180=6,IF($O180&lt;Reference!$B$104,"No Throw","Recovery/Easy Catch"),IF(OR($N180=0,$N180=4),"Recovery/Easy Catch",IF($N180=1,IF($R180&gt;75,"Long Toss","Recovery/Easy Catch"),IF($N180=3,IF($O180&lt;0.5,IF($S180&gt;75,"Long Toss","Recovery/Easy Catch"),"Compression/Pulldowns"),IF($S180&gt;75,"Long Toss","Recovery/Easy Catch"))))))))))))</f>
        <v/>
      </c>
      <c r="U180" s="32" t="str">
        <f t="shared" si="118"/>
        <v/>
      </c>
      <c r="V180" s="32" t="str">
        <f t="shared" si="119"/>
        <v/>
      </c>
      <c r="W180" s="32" t="str">
        <f t="shared" si="120"/>
        <v/>
      </c>
      <c r="X180" s="32">
        <f t="shared" si="121"/>
        <v>0</v>
      </c>
      <c r="Y180" s="32" t="str">
        <f t="shared" si="122"/>
        <v/>
      </c>
      <c r="Z180" s="32" t="str">
        <f t="shared" si="123"/>
        <v/>
      </c>
      <c r="AA180" s="32" t="str">
        <f t="shared" si="124"/>
        <v/>
      </c>
      <c r="AB180" s="32" t="str">
        <f>IF($A180="","",IF($T180="No Throw",0,IF($K180&lt;&gt;"",$K180,IF($AA180&lt;&gt;"",ROUND($AA180*$D$12*IF($C180=0,1,$G$10),0),MIN(IF($T180="Recovery/Easy Catch",Reference!$B$103,IF($T180="Long Toss",Reference!$B$106,Reference!$B$102)),MAX(Reference!$B$101,ROUND(MAX(0,$Q180-$AE180)/$AF180,0)))))))</f>
        <v/>
      </c>
      <c r="AC180" s="32">
        <f t="shared" si="125"/>
        <v>0</v>
      </c>
      <c r="AD180" s="32" t="b">
        <f t="shared" si="126"/>
        <v>1</v>
      </c>
      <c r="AE180" s="32">
        <f>IF($X180=0,0,$X180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180+$Z180)/2,0),Reference!$A$17:$B$20,2,TRUE()))</f>
        <v>0</v>
      </c>
      <c r="AF180" s="32">
        <f>IF(OR($A180="",$U180="",$T180="No Throw"),0,$AM180*VLOOKUP(MAX(($V180+$W180)/2,0),Reference!$A$17:$B$20,2,TRUE()))</f>
        <v>0</v>
      </c>
      <c r="AG180" s="32">
        <f>IF($AC180=0,0,$AC180*INDEX(Reference!$B$61:$B$62,MATCH("Bullpen",Reference!$A$61:$A$62,0))*VLOOKUP(MAX($D$5-($D$9+$E$9)/2,0),Reference!$A$17:$B$20,2,TRUE()))</f>
        <v>0</v>
      </c>
      <c r="AH180" s="32" t="e">
        <f t="shared" si="127"/>
        <v>#N/A</v>
      </c>
      <c r="AI180" s="32" t="e">
        <f>IF($A180="",NA(),Reference!$A$25)</f>
        <v>#N/A</v>
      </c>
      <c r="AJ180" s="32" t="e">
        <f t="shared" si="128"/>
        <v>#N/A</v>
      </c>
      <c r="AK180" s="32">
        <f>IF(OR($A180="",N($C180)&lt;=7,$T180="No Throw",$J180="x"),0,INDEX(Reference!$B$108:$B$114,$N180+1))</f>
        <v>0</v>
      </c>
      <c r="AL180" s="32">
        <f t="shared" si="129"/>
        <v>1</v>
      </c>
      <c r="AM180" s="32">
        <f>IF($U180="",0,IF($AL180&gt;1,((IF(1&lt;=$AL180,($AL180-1+3)*(INDEX(Reference!$B$6:$B$11,MIN(5,MATCH(MAX(Reference!$A$6,MIN(Reference!$A$11,MIN($U180,90))),Reference!$A$6:$A$11,1)))+(MAX(Reference!$A$6,MIN(Reference!$A$11,MIN($U180,90)))-INDEX(Reference!$A$6:$A$11,MIN(5,MATCH(MAX(Reference!$A$6,MIN(Reference!$A$11,MIN($U180,90))),Reference!$A$6:$A$11,1))))*(INDEX(Reference!$B$6:$B$11,MIN(5,MATCH(MAX(Reference!$A$6,MIN(Reference!$A$11,MIN($U180,90))),Reference!$A$6:$A$11,1))+1)-INDEX(Reference!$B$6:$B$11,MIN(5,MATCH(MAX(Reference!$A$6,MIN(Reference!$A$11,MIN($U180,90))),Reference!$A$6:$A$11,1))))/(INDEX(Reference!$A$6:$A$11,MIN(5,MATCH(MAX(Reference!$A$6,MIN(Reference!$A$11,MIN($U180,90))),Reference!$A$6:$A$11,1))+1)-INDEX(Reference!$A$6:$A$11,MIN(5,MATCH(MAX(Reference!$A$6,MIN(Reference!$A$11,MIN($U180,90))),Reference!$A$6:$A$11,1))))),0)+IF(2&lt;=$AL180,($AL180-2+3)*(INDEX(Reference!$B$6:$B$11,MIN(5,MATCH(MAX(Reference!$A$6,MIN(Reference!$A$11,MIN($U180,120))),Reference!$A$6:$A$11,1)))+(MAX(Reference!$A$6,MIN(Reference!$A$11,MIN($U180,120)))-INDEX(Reference!$A$6:$A$11,MIN(5,MATCH(MAX(Reference!$A$6,MIN(Reference!$A$11,MIN($U180,120))),Reference!$A$6:$A$11,1))))*(INDEX(Reference!$B$6:$B$11,MIN(5,MATCH(MAX(Reference!$A$6,MIN(Reference!$A$11,MIN($U180,120))),Reference!$A$6:$A$11,1))+1)-INDEX(Reference!$B$6:$B$11,MIN(5,MATCH(MAX(Reference!$A$6,MIN(Reference!$A$11,MIN($U180,120))),Reference!$A$6:$A$11,1))))/(INDEX(Reference!$A$6:$A$11,MIN(5,MATCH(MAX(Reference!$A$6,MIN(Reference!$A$11,MIN($U180,120))),Reference!$A$6:$A$11,1))+1)-INDEX(Reference!$A$6:$A$11,MIN(5,MATCH(MAX(Reference!$A$6,MIN(Reference!$A$11,MIN($U180,120))),Reference!$A$6:$A$11,1))))),0)+IF(3&lt;=$AL180,($AL180-3+3)*(INDEX(Reference!$B$6:$B$11,MIN(5,MATCH(MAX(Reference!$A$6,MIN(Reference!$A$11,MIN($U180,150))),Reference!$A$6:$A$11,1)))+(MAX(Reference!$A$6,MIN(Reference!$A$11,MIN($U180,150)))-INDEX(Reference!$A$6:$A$11,MIN(5,MATCH(MAX(Reference!$A$6,MIN(Reference!$A$11,MIN($U180,150))),Reference!$A$6:$A$11,1))))*(INDEX(Reference!$B$6:$B$11,MIN(5,MATCH(MAX(Reference!$A$6,MIN(Reference!$A$11,MIN($U180,150))),Reference!$A$6:$A$11,1))+1)-INDEX(Reference!$B$6:$B$11,MIN(5,MATCH(MAX(Reference!$A$6,MIN(Reference!$A$11,MIN($U180,150))),Reference!$A$6:$A$11,1))))/(INDEX(Reference!$A$6:$A$11,MIN(5,MATCH(MAX(Reference!$A$6,MIN(Reference!$A$11,MIN($U180,150))),Reference!$A$6:$A$11,1))+1)-INDEX(Reference!$A$6:$A$11,MIN(5,MATCH(MAX(Reference!$A$6,MIN(Reference!$A$11,MIN($U180,150))),Reference!$A$6:$A$11,1))))),0)+IF(4&lt;=$AL180,($AL180-4+3)*(INDEX(Reference!$B$6:$B$11,MIN(5,MATCH(MAX(Reference!$A$6,MIN(Reference!$A$11,MIN($U180,180))),Reference!$A$6:$A$11,1)))+(MAX(Reference!$A$6,MIN(Reference!$A$11,MIN($U180,180)))-INDEX(Reference!$A$6:$A$11,MIN(5,MATCH(MAX(Reference!$A$6,MIN(Reference!$A$11,MIN($U180,180))),Reference!$A$6:$A$11,1))))*(INDEX(Reference!$B$6:$B$11,MIN(5,MATCH(MAX(Reference!$A$6,MIN(Reference!$A$11,MIN($U180,180))),Reference!$A$6:$A$11,1))+1)-INDEX(Reference!$B$6:$B$11,MIN(5,MATCH(MAX(Reference!$A$6,MIN(Reference!$A$11,MIN($U180,180))),Reference!$A$6:$A$11,1))))/(INDEX(Reference!$A$6:$A$11,MIN(5,MATCH(MAX(Reference!$A$6,MIN(Reference!$A$11,MIN($U180,180))),Reference!$A$6:$A$11,1))+1)-INDEX(Reference!$A$6:$A$11,MIN(5,MATCH(MAX(Reference!$A$6,MIN(Reference!$A$11,MIN($U180,180))),Reference!$A$6:$A$11,1))))),0)+IF(5&lt;=$AL180,($AL180-5+3)*(INDEX(Reference!$B$6:$B$11,MIN(5,MATCH(MAX(Reference!$A$6,MIN(Reference!$A$11,MIN($U180,210))),Reference!$A$6:$A$11,1)))+(MAX(Reference!$A$6,MIN(Reference!$A$11,MIN($U180,210)))-INDEX(Reference!$A$6:$A$11,MIN(5,MATCH(MAX(Reference!$A$6,MIN(Reference!$A$11,MIN($U180,210))),Reference!$A$6:$A$11,1))))*(INDEX(Reference!$B$6:$B$11,MIN(5,MATCH(MAX(Reference!$A$6,MIN(Reference!$A$11,MIN($U180,210))),Reference!$A$6:$A$11,1))+1)-INDEX(Reference!$B$6:$B$11,MIN(5,MATCH(MAX(Reference!$A$6,MIN(Reference!$A$11,MIN($U180,210))),Reference!$A$6:$A$11,1))))/(INDEX(Reference!$A$6:$A$11,MIN(5,MATCH(MAX(Reference!$A$6,MIN(Reference!$A$11,MIN($U180,210))),Reference!$A$6:$A$11,1))+1)-INDEX(Reference!$A$6:$A$11,MIN(5,MATCH(MAX(Reference!$A$6,MIN(Reference!$A$11,MIN($U180,210))),Reference!$A$6:$A$11,1))))),0)+IF(6&lt;=$AL180,($AL180-6+3)*(INDEX(Reference!$B$6:$B$11,MIN(5,MATCH(MAX(Reference!$A$6,MIN(Reference!$A$11,MIN($U180,240))),Reference!$A$6:$A$11,1)))+(MAX(Reference!$A$6,MIN(Reference!$A$11,MIN($U180,240)))-INDEX(Reference!$A$6:$A$11,MIN(5,MATCH(MAX(Reference!$A$6,MIN(Reference!$A$11,MIN($U180,240))),Reference!$A$6:$A$11,1))))*(INDEX(Reference!$B$6:$B$11,MIN(5,MATCH(MAX(Reference!$A$6,MIN(Reference!$A$11,MIN($U180,240))),Reference!$A$6:$A$11,1))+1)-INDEX(Reference!$B$6:$B$11,MIN(5,MATCH(MAX(Reference!$A$6,MIN(Reference!$A$11,MIN($U180,240))),Reference!$A$6:$A$11,1))))/(INDEX(Reference!$A$6:$A$11,MIN(5,MATCH(MAX(Reference!$A$6,MIN(Reference!$A$11,MIN($U180,240))),Reference!$A$6:$A$11,1))+1)-INDEX(Reference!$A$6:$A$11,MIN(5,MATCH(MAX(Reference!$A$6,MIN(Reference!$A$11,MIN($U180,240))),Reference!$A$6:$A$11,1))))),0)+IF(7&lt;=$AL180,($AL180-7+3)*(INDEX(Reference!$B$6:$B$11,MIN(5,MATCH(MAX(Reference!$A$6,MIN(Reference!$A$11,MIN($U180,270))),Reference!$A$6:$A$11,1)))+(MAX(Reference!$A$6,MIN(Reference!$A$11,MIN($U180,270)))-INDEX(Reference!$A$6:$A$11,MIN(5,MATCH(MAX(Reference!$A$6,MIN(Reference!$A$11,MIN($U180,270))),Reference!$A$6:$A$11,1))))*(INDEX(Reference!$B$6:$B$11,MIN(5,MATCH(MAX(Reference!$A$6,MIN(Reference!$A$11,MIN($U180,270))),Reference!$A$6:$A$11,1))+1)-INDEX(Reference!$B$6:$B$11,MIN(5,MATCH(MAX(Reference!$A$6,MIN(Reference!$A$11,MIN($U180,270))),Reference!$A$6:$A$11,1))))/(INDEX(Reference!$A$6:$A$11,MIN(5,MATCH(MAX(Reference!$A$6,MIN(Reference!$A$11,MIN($U180,270))),Reference!$A$6:$A$11,1))+1)-INDEX(Reference!$A$6:$A$11,MIN(5,MATCH(MAX(Reference!$A$6,MIN(Reference!$A$11,MIN($U180,270))),Reference!$A$6:$A$11,1))))),0)+IF(8&lt;=$AL180,($AL180-8+3)*(INDEX(Reference!$B$6:$B$11,MIN(5,MATCH(MAX(Reference!$A$6,MIN(Reference!$A$11,MIN($U180,300))),Reference!$A$6:$A$11,1)))+(MAX(Reference!$A$6,MIN(Reference!$A$11,MIN($U180,300)))-INDEX(Reference!$A$6:$A$11,MIN(5,MATCH(MAX(Reference!$A$6,MIN(Reference!$A$11,MIN($U180,300))),Reference!$A$6:$A$11,1))))*(INDEX(Reference!$B$6:$B$11,MIN(5,MATCH(MAX(Reference!$A$6,MIN(Reference!$A$11,MIN($U180,300))),Reference!$A$6:$A$11,1))+1)-INDEX(Reference!$B$6:$B$11,MIN(5,MATCH(MAX(Reference!$A$6,MIN(Reference!$A$11,MIN($U180,300))),Reference!$A$6:$A$11,1))))/(INDEX(Reference!$A$6:$A$11,MIN(5,MATCH(MAX(Reference!$A$6,MIN(Reference!$A$11,MIN($U180,300))),Reference!$A$6:$A$11,1))+1)-INDEX(Reference!$A$6:$A$11,MIN(5,MATCH(MAX(Reference!$A$6,MIN(Reference!$A$11,MIN($U180,300))),Reference!$A$6:$A$11,1))))),0))/($AL180*($AL180+5)/2)),$AN180))</f>
        <v>0</v>
      </c>
      <c r="AN180" s="32">
        <f>IF($U180="",0,(INDEX(Reference!$B$6:$B$11,MIN(5,MATCH(MAX(Reference!$A$6,MIN(Reference!$A$11,$U180)),Reference!$A$6:$A$11,1)))+(MAX(Reference!$A$6,MIN(Reference!$A$11,$U180))-INDEX(Reference!$A$6:$A$11,MIN(5,MATCH(MAX(Reference!$A$6,MIN(Reference!$A$11,$U180)),Reference!$A$6:$A$11,1))))*(INDEX(Reference!$B$6:$B$11,MIN(5,MATCH(MAX(Reference!$A$6,MIN(Reference!$A$11,$U180)),Reference!$A$6:$A$11,1))+1)-INDEX(Reference!$B$6:$B$11,MIN(5,MATCH(MAX(Reference!$A$6,MIN(Reference!$A$11,$U180)),Reference!$A$6:$A$11,1))))/(INDEX(Reference!$A$6:$A$11,MIN(5,MATCH(MAX(Reference!$A$6,MIN(Reference!$A$11,$U180)),Reference!$A$6:$A$11,1))+1)-INDEX(Reference!$A$6:$A$11,MIN(5,MATCH(MAX(Reference!$A$6,MIN(Reference!$A$11,$U180)),Reference!$A$6:$A$11,1))))))</f>
        <v>0</v>
      </c>
      <c r="AO180" s="37"/>
      <c r="AP180" s="37"/>
      <c r="AQ180" s="37"/>
    </row>
    <row r="181" spans="1:43" x14ac:dyDescent="0.3">
      <c r="A181" s="48" t="str">
        <f t="shared" si="105"/>
        <v/>
      </c>
      <c r="B181" s="32" t="str">
        <f t="shared" si="106"/>
        <v/>
      </c>
      <c r="C181" s="32" t="str">
        <f t="shared" si="107"/>
        <v/>
      </c>
      <c r="D181" s="32" t="str">
        <f t="shared" si="108"/>
        <v/>
      </c>
      <c r="E181" s="32" t="str">
        <f t="shared" si="109"/>
        <v/>
      </c>
      <c r="F181" s="32" t="str">
        <f t="shared" si="110"/>
        <v/>
      </c>
      <c r="G181" s="47" t="str">
        <f t="shared" si="111"/>
        <v/>
      </c>
      <c r="H181" s="30" t="str">
        <f t="shared" si="112"/>
        <v/>
      </c>
      <c r="I181" s="46" t="str">
        <f>IF($A181="","",IF(AND($L181&lt;27,$K$12=0),"Building",IFERROR(((SUM($H$175:$H181)+$K$12*IF($L181&lt;6,SUMIFS('Throw Log'!$Q$5:$Q$300,'Throw Log'!$B$5:$B$300,$D$4,'Throw Log'!$A$5:$A$300,"&gt;="&amp;($D$6+$L181-6),'Throw Log'!$A$5:$A$300,"&lt;="&amp;($D$6-1)),0))/7)/((SUM($H$154:$H181)+$K$12*IF($L181&lt;27,SUMIFS('Throw Log'!$Q$5:$Q$300,'Throw Log'!$B$5:$B$300,$D$4,'Throw Log'!$A$5:$A$300,"&gt;="&amp;($D$6+$L181-27),'Throw Log'!$A$5:$A$300,"&lt;="&amp;($D$6-1)),0))/28),"")))</f>
        <v/>
      </c>
      <c r="J181" s="37"/>
      <c r="K181" s="37"/>
      <c r="L181" s="32">
        <v>138</v>
      </c>
      <c r="M181" s="32">
        <f t="shared" si="113"/>
        <v>20</v>
      </c>
      <c r="N181" s="32">
        <f t="shared" si="114"/>
        <v>5</v>
      </c>
      <c r="O181" s="32">
        <f t="shared" si="115"/>
        <v>1</v>
      </c>
      <c r="P181" s="32" t="str">
        <f>IF(OR($A181="",N($C181)&lt;=7),"",$G$6*$G$9^($M181-1)*IF(AND(MOD($M181,Reference!$B$99)=0,$M181&lt;=$G$5-2),Reference!$B$100,1))</f>
        <v/>
      </c>
      <c r="Q181" s="32" t="str">
        <f>IF($P181="","",IF(SUM($AK$176:$AK$182)=0,0,$P181*INDEX(Reference!$B$108:$B$114,$N181+1)/SUM($AK$176:$AK$182)))</f>
        <v/>
      </c>
      <c r="R181" s="32">
        <f t="shared" si="116"/>
        <v>180</v>
      </c>
      <c r="S181" s="32">
        <f t="shared" si="117"/>
        <v>150</v>
      </c>
      <c r="T181" s="32" t="str">
        <f>IF($A181="","",IF($C181=0,"Bullpen",IF(OR($C181=7,$C181=1,$C181=5),"Recovery/Easy Catch",IF($C181=6,"Compression/Pulldowns",IF(OR($C181=4,$C181=2),"Long Toss",IF($C181=3,"No Throw",IF($N181=2,"No Throw",IF($N181=6,IF($O181&lt;Reference!$B$104,"No Throw","Recovery/Easy Catch"),IF(OR($N181=0,$N181=4),"Recovery/Easy Catch",IF($N181=1,IF($R181&gt;75,"Long Toss","Recovery/Easy Catch"),IF($N181=3,IF($O181&lt;0.5,IF($S181&gt;75,"Long Toss","Recovery/Easy Catch"),"Compression/Pulldowns"),IF($S181&gt;75,"Long Toss","Recovery/Easy Catch"))))))))))))</f>
        <v/>
      </c>
      <c r="U181" s="32" t="str">
        <f t="shared" si="118"/>
        <v/>
      </c>
      <c r="V181" s="32" t="str">
        <f t="shared" si="119"/>
        <v/>
      </c>
      <c r="W181" s="32" t="str">
        <f t="shared" si="120"/>
        <v/>
      </c>
      <c r="X181" s="32">
        <f t="shared" si="121"/>
        <v>0</v>
      </c>
      <c r="Y181" s="32" t="str">
        <f t="shared" si="122"/>
        <v/>
      </c>
      <c r="Z181" s="32" t="str">
        <f t="shared" si="123"/>
        <v/>
      </c>
      <c r="AA181" s="32" t="str">
        <f t="shared" si="124"/>
        <v/>
      </c>
      <c r="AB181" s="32" t="str">
        <f>IF($A181="","",IF($T181="No Throw",0,IF($K181&lt;&gt;"",$K181,IF($AA181&lt;&gt;"",ROUND($AA181*$D$12*IF($C181=0,1,$G$10),0),MIN(IF($T181="Recovery/Easy Catch",Reference!$B$103,IF($T181="Long Toss",Reference!$B$106,Reference!$B$102)),MAX(Reference!$B$101,ROUND(MAX(0,$Q181-$AE181)/$AF181,0)))))))</f>
        <v/>
      </c>
      <c r="AC181" s="32">
        <f t="shared" si="125"/>
        <v>0</v>
      </c>
      <c r="AD181" s="32" t="b">
        <f t="shared" si="126"/>
        <v>1</v>
      </c>
      <c r="AE181" s="32">
        <f>IF($X181=0,0,$X181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181+$Z181)/2,0),Reference!$A$17:$B$20,2,TRUE()))</f>
        <v>0</v>
      </c>
      <c r="AF181" s="32">
        <f>IF(OR($A181="",$U181="",$T181="No Throw"),0,$AM181*VLOOKUP(MAX(($V181+$W181)/2,0),Reference!$A$17:$B$20,2,TRUE()))</f>
        <v>0</v>
      </c>
      <c r="AG181" s="32">
        <f>IF($AC181=0,0,$AC181*INDEX(Reference!$B$61:$B$62,MATCH("Bullpen",Reference!$A$61:$A$62,0))*VLOOKUP(MAX($D$5-($D$9+$E$9)/2,0),Reference!$A$17:$B$20,2,TRUE()))</f>
        <v>0</v>
      </c>
      <c r="AH181" s="32" t="e">
        <f t="shared" si="127"/>
        <v>#N/A</v>
      </c>
      <c r="AI181" s="32" t="e">
        <f>IF($A181="",NA(),Reference!$A$25)</f>
        <v>#N/A</v>
      </c>
      <c r="AJ181" s="32" t="e">
        <f t="shared" si="128"/>
        <v>#N/A</v>
      </c>
      <c r="AK181" s="32">
        <f>IF(OR($A181="",N($C181)&lt;=7,$T181="No Throw",$J181="x"),0,INDEX(Reference!$B$108:$B$114,$N181+1))</f>
        <v>0</v>
      </c>
      <c r="AL181" s="32">
        <f t="shared" si="129"/>
        <v>1</v>
      </c>
      <c r="AM181" s="32">
        <f>IF($U181="",0,IF($AL181&gt;1,((IF(1&lt;=$AL181,($AL181-1+3)*(INDEX(Reference!$B$6:$B$11,MIN(5,MATCH(MAX(Reference!$A$6,MIN(Reference!$A$11,MIN($U181,90))),Reference!$A$6:$A$11,1)))+(MAX(Reference!$A$6,MIN(Reference!$A$11,MIN($U181,90)))-INDEX(Reference!$A$6:$A$11,MIN(5,MATCH(MAX(Reference!$A$6,MIN(Reference!$A$11,MIN($U181,90))),Reference!$A$6:$A$11,1))))*(INDEX(Reference!$B$6:$B$11,MIN(5,MATCH(MAX(Reference!$A$6,MIN(Reference!$A$11,MIN($U181,90))),Reference!$A$6:$A$11,1))+1)-INDEX(Reference!$B$6:$B$11,MIN(5,MATCH(MAX(Reference!$A$6,MIN(Reference!$A$11,MIN($U181,90))),Reference!$A$6:$A$11,1))))/(INDEX(Reference!$A$6:$A$11,MIN(5,MATCH(MAX(Reference!$A$6,MIN(Reference!$A$11,MIN($U181,90))),Reference!$A$6:$A$11,1))+1)-INDEX(Reference!$A$6:$A$11,MIN(5,MATCH(MAX(Reference!$A$6,MIN(Reference!$A$11,MIN($U181,90))),Reference!$A$6:$A$11,1))))),0)+IF(2&lt;=$AL181,($AL181-2+3)*(INDEX(Reference!$B$6:$B$11,MIN(5,MATCH(MAX(Reference!$A$6,MIN(Reference!$A$11,MIN($U181,120))),Reference!$A$6:$A$11,1)))+(MAX(Reference!$A$6,MIN(Reference!$A$11,MIN($U181,120)))-INDEX(Reference!$A$6:$A$11,MIN(5,MATCH(MAX(Reference!$A$6,MIN(Reference!$A$11,MIN($U181,120))),Reference!$A$6:$A$11,1))))*(INDEX(Reference!$B$6:$B$11,MIN(5,MATCH(MAX(Reference!$A$6,MIN(Reference!$A$11,MIN($U181,120))),Reference!$A$6:$A$11,1))+1)-INDEX(Reference!$B$6:$B$11,MIN(5,MATCH(MAX(Reference!$A$6,MIN(Reference!$A$11,MIN($U181,120))),Reference!$A$6:$A$11,1))))/(INDEX(Reference!$A$6:$A$11,MIN(5,MATCH(MAX(Reference!$A$6,MIN(Reference!$A$11,MIN($U181,120))),Reference!$A$6:$A$11,1))+1)-INDEX(Reference!$A$6:$A$11,MIN(5,MATCH(MAX(Reference!$A$6,MIN(Reference!$A$11,MIN($U181,120))),Reference!$A$6:$A$11,1))))),0)+IF(3&lt;=$AL181,($AL181-3+3)*(INDEX(Reference!$B$6:$B$11,MIN(5,MATCH(MAX(Reference!$A$6,MIN(Reference!$A$11,MIN($U181,150))),Reference!$A$6:$A$11,1)))+(MAX(Reference!$A$6,MIN(Reference!$A$11,MIN($U181,150)))-INDEX(Reference!$A$6:$A$11,MIN(5,MATCH(MAX(Reference!$A$6,MIN(Reference!$A$11,MIN($U181,150))),Reference!$A$6:$A$11,1))))*(INDEX(Reference!$B$6:$B$11,MIN(5,MATCH(MAX(Reference!$A$6,MIN(Reference!$A$11,MIN($U181,150))),Reference!$A$6:$A$11,1))+1)-INDEX(Reference!$B$6:$B$11,MIN(5,MATCH(MAX(Reference!$A$6,MIN(Reference!$A$11,MIN($U181,150))),Reference!$A$6:$A$11,1))))/(INDEX(Reference!$A$6:$A$11,MIN(5,MATCH(MAX(Reference!$A$6,MIN(Reference!$A$11,MIN($U181,150))),Reference!$A$6:$A$11,1))+1)-INDEX(Reference!$A$6:$A$11,MIN(5,MATCH(MAX(Reference!$A$6,MIN(Reference!$A$11,MIN($U181,150))),Reference!$A$6:$A$11,1))))),0)+IF(4&lt;=$AL181,($AL181-4+3)*(INDEX(Reference!$B$6:$B$11,MIN(5,MATCH(MAX(Reference!$A$6,MIN(Reference!$A$11,MIN($U181,180))),Reference!$A$6:$A$11,1)))+(MAX(Reference!$A$6,MIN(Reference!$A$11,MIN($U181,180)))-INDEX(Reference!$A$6:$A$11,MIN(5,MATCH(MAX(Reference!$A$6,MIN(Reference!$A$11,MIN($U181,180))),Reference!$A$6:$A$11,1))))*(INDEX(Reference!$B$6:$B$11,MIN(5,MATCH(MAX(Reference!$A$6,MIN(Reference!$A$11,MIN($U181,180))),Reference!$A$6:$A$11,1))+1)-INDEX(Reference!$B$6:$B$11,MIN(5,MATCH(MAX(Reference!$A$6,MIN(Reference!$A$11,MIN($U181,180))),Reference!$A$6:$A$11,1))))/(INDEX(Reference!$A$6:$A$11,MIN(5,MATCH(MAX(Reference!$A$6,MIN(Reference!$A$11,MIN($U181,180))),Reference!$A$6:$A$11,1))+1)-INDEX(Reference!$A$6:$A$11,MIN(5,MATCH(MAX(Reference!$A$6,MIN(Reference!$A$11,MIN($U181,180))),Reference!$A$6:$A$11,1))))),0)+IF(5&lt;=$AL181,($AL181-5+3)*(INDEX(Reference!$B$6:$B$11,MIN(5,MATCH(MAX(Reference!$A$6,MIN(Reference!$A$11,MIN($U181,210))),Reference!$A$6:$A$11,1)))+(MAX(Reference!$A$6,MIN(Reference!$A$11,MIN($U181,210)))-INDEX(Reference!$A$6:$A$11,MIN(5,MATCH(MAX(Reference!$A$6,MIN(Reference!$A$11,MIN($U181,210))),Reference!$A$6:$A$11,1))))*(INDEX(Reference!$B$6:$B$11,MIN(5,MATCH(MAX(Reference!$A$6,MIN(Reference!$A$11,MIN($U181,210))),Reference!$A$6:$A$11,1))+1)-INDEX(Reference!$B$6:$B$11,MIN(5,MATCH(MAX(Reference!$A$6,MIN(Reference!$A$11,MIN($U181,210))),Reference!$A$6:$A$11,1))))/(INDEX(Reference!$A$6:$A$11,MIN(5,MATCH(MAX(Reference!$A$6,MIN(Reference!$A$11,MIN($U181,210))),Reference!$A$6:$A$11,1))+1)-INDEX(Reference!$A$6:$A$11,MIN(5,MATCH(MAX(Reference!$A$6,MIN(Reference!$A$11,MIN($U181,210))),Reference!$A$6:$A$11,1))))),0)+IF(6&lt;=$AL181,($AL181-6+3)*(INDEX(Reference!$B$6:$B$11,MIN(5,MATCH(MAX(Reference!$A$6,MIN(Reference!$A$11,MIN($U181,240))),Reference!$A$6:$A$11,1)))+(MAX(Reference!$A$6,MIN(Reference!$A$11,MIN($U181,240)))-INDEX(Reference!$A$6:$A$11,MIN(5,MATCH(MAX(Reference!$A$6,MIN(Reference!$A$11,MIN($U181,240))),Reference!$A$6:$A$11,1))))*(INDEX(Reference!$B$6:$B$11,MIN(5,MATCH(MAX(Reference!$A$6,MIN(Reference!$A$11,MIN($U181,240))),Reference!$A$6:$A$11,1))+1)-INDEX(Reference!$B$6:$B$11,MIN(5,MATCH(MAX(Reference!$A$6,MIN(Reference!$A$11,MIN($U181,240))),Reference!$A$6:$A$11,1))))/(INDEX(Reference!$A$6:$A$11,MIN(5,MATCH(MAX(Reference!$A$6,MIN(Reference!$A$11,MIN($U181,240))),Reference!$A$6:$A$11,1))+1)-INDEX(Reference!$A$6:$A$11,MIN(5,MATCH(MAX(Reference!$A$6,MIN(Reference!$A$11,MIN($U181,240))),Reference!$A$6:$A$11,1))))),0)+IF(7&lt;=$AL181,($AL181-7+3)*(INDEX(Reference!$B$6:$B$11,MIN(5,MATCH(MAX(Reference!$A$6,MIN(Reference!$A$11,MIN($U181,270))),Reference!$A$6:$A$11,1)))+(MAX(Reference!$A$6,MIN(Reference!$A$11,MIN($U181,270)))-INDEX(Reference!$A$6:$A$11,MIN(5,MATCH(MAX(Reference!$A$6,MIN(Reference!$A$11,MIN($U181,270))),Reference!$A$6:$A$11,1))))*(INDEX(Reference!$B$6:$B$11,MIN(5,MATCH(MAX(Reference!$A$6,MIN(Reference!$A$11,MIN($U181,270))),Reference!$A$6:$A$11,1))+1)-INDEX(Reference!$B$6:$B$11,MIN(5,MATCH(MAX(Reference!$A$6,MIN(Reference!$A$11,MIN($U181,270))),Reference!$A$6:$A$11,1))))/(INDEX(Reference!$A$6:$A$11,MIN(5,MATCH(MAX(Reference!$A$6,MIN(Reference!$A$11,MIN($U181,270))),Reference!$A$6:$A$11,1))+1)-INDEX(Reference!$A$6:$A$11,MIN(5,MATCH(MAX(Reference!$A$6,MIN(Reference!$A$11,MIN($U181,270))),Reference!$A$6:$A$11,1))))),0)+IF(8&lt;=$AL181,($AL181-8+3)*(INDEX(Reference!$B$6:$B$11,MIN(5,MATCH(MAX(Reference!$A$6,MIN(Reference!$A$11,MIN($U181,300))),Reference!$A$6:$A$11,1)))+(MAX(Reference!$A$6,MIN(Reference!$A$11,MIN($U181,300)))-INDEX(Reference!$A$6:$A$11,MIN(5,MATCH(MAX(Reference!$A$6,MIN(Reference!$A$11,MIN($U181,300))),Reference!$A$6:$A$11,1))))*(INDEX(Reference!$B$6:$B$11,MIN(5,MATCH(MAX(Reference!$A$6,MIN(Reference!$A$11,MIN($U181,300))),Reference!$A$6:$A$11,1))+1)-INDEX(Reference!$B$6:$B$11,MIN(5,MATCH(MAX(Reference!$A$6,MIN(Reference!$A$11,MIN($U181,300))),Reference!$A$6:$A$11,1))))/(INDEX(Reference!$A$6:$A$11,MIN(5,MATCH(MAX(Reference!$A$6,MIN(Reference!$A$11,MIN($U181,300))),Reference!$A$6:$A$11,1))+1)-INDEX(Reference!$A$6:$A$11,MIN(5,MATCH(MAX(Reference!$A$6,MIN(Reference!$A$11,MIN($U181,300))),Reference!$A$6:$A$11,1))))),0))/($AL181*($AL181+5)/2)),$AN181))</f>
        <v>0</v>
      </c>
      <c r="AN181" s="32">
        <f>IF($U181="",0,(INDEX(Reference!$B$6:$B$11,MIN(5,MATCH(MAX(Reference!$A$6,MIN(Reference!$A$11,$U181)),Reference!$A$6:$A$11,1)))+(MAX(Reference!$A$6,MIN(Reference!$A$11,$U181))-INDEX(Reference!$A$6:$A$11,MIN(5,MATCH(MAX(Reference!$A$6,MIN(Reference!$A$11,$U181)),Reference!$A$6:$A$11,1))))*(INDEX(Reference!$B$6:$B$11,MIN(5,MATCH(MAX(Reference!$A$6,MIN(Reference!$A$11,$U181)),Reference!$A$6:$A$11,1))+1)-INDEX(Reference!$B$6:$B$11,MIN(5,MATCH(MAX(Reference!$A$6,MIN(Reference!$A$11,$U181)),Reference!$A$6:$A$11,1))))/(INDEX(Reference!$A$6:$A$11,MIN(5,MATCH(MAX(Reference!$A$6,MIN(Reference!$A$11,$U181)),Reference!$A$6:$A$11,1))+1)-INDEX(Reference!$A$6:$A$11,MIN(5,MATCH(MAX(Reference!$A$6,MIN(Reference!$A$11,$U181)),Reference!$A$6:$A$11,1))))))</f>
        <v>0</v>
      </c>
      <c r="AO181" s="37"/>
      <c r="AP181" s="37"/>
      <c r="AQ181" s="37"/>
    </row>
    <row r="182" spans="1:43" x14ac:dyDescent="0.3">
      <c r="A182" s="48" t="str">
        <f t="shared" si="105"/>
        <v/>
      </c>
      <c r="B182" s="32" t="str">
        <f t="shared" si="106"/>
        <v/>
      </c>
      <c r="C182" s="32" t="str">
        <f t="shared" si="107"/>
        <v/>
      </c>
      <c r="D182" s="32" t="str">
        <f t="shared" si="108"/>
        <v/>
      </c>
      <c r="E182" s="32" t="str">
        <f t="shared" si="109"/>
        <v/>
      </c>
      <c r="F182" s="32" t="str">
        <f t="shared" si="110"/>
        <v/>
      </c>
      <c r="G182" s="47" t="str">
        <f t="shared" si="111"/>
        <v/>
      </c>
      <c r="H182" s="30" t="str">
        <f t="shared" si="112"/>
        <v/>
      </c>
      <c r="I182" s="46" t="str">
        <f>IF($A182="","",IF(AND($L182&lt;27,$K$12=0),"Building",IFERROR(((SUM($H$176:$H182)+$K$12*IF($L182&lt;6,SUMIFS('Throw Log'!$Q$5:$Q$300,'Throw Log'!$B$5:$B$300,$D$4,'Throw Log'!$A$5:$A$300,"&gt;="&amp;($D$6+$L182-6),'Throw Log'!$A$5:$A$300,"&lt;="&amp;($D$6-1)),0))/7)/((SUM($H$155:$H182)+$K$12*IF($L182&lt;27,SUMIFS('Throw Log'!$Q$5:$Q$300,'Throw Log'!$B$5:$B$300,$D$4,'Throw Log'!$A$5:$A$300,"&gt;="&amp;($D$6+$L182-27),'Throw Log'!$A$5:$A$300,"&lt;="&amp;($D$6-1)),0))/28),"")))</f>
        <v/>
      </c>
      <c r="J182" s="37"/>
      <c r="K182" s="37"/>
      <c r="L182" s="32">
        <v>139</v>
      </c>
      <c r="M182" s="32">
        <f t="shared" si="113"/>
        <v>20</v>
      </c>
      <c r="N182" s="32">
        <f t="shared" si="114"/>
        <v>6</v>
      </c>
      <c r="O182" s="32">
        <f t="shared" si="115"/>
        <v>1</v>
      </c>
      <c r="P182" s="32" t="str">
        <f>IF(OR($A182="",N($C182)&lt;=7),"",$G$6*$G$9^($M182-1)*IF(AND(MOD($M182,Reference!$B$99)=0,$M182&lt;=$G$5-2),Reference!$B$100,1))</f>
        <v/>
      </c>
      <c r="Q182" s="32" t="str">
        <f>IF($P182="","",IF(SUM($AK$176:$AK$182)=0,0,$P182*INDEX(Reference!$B$108:$B$114,$N182+1)/SUM($AK$176:$AK$182)))</f>
        <v/>
      </c>
      <c r="R182" s="32">
        <f t="shared" si="116"/>
        <v>180</v>
      </c>
      <c r="S182" s="32">
        <f t="shared" si="117"/>
        <v>150</v>
      </c>
      <c r="T182" s="32" t="str">
        <f>IF($A182="","",IF($C182=0,"Bullpen",IF(OR($C182=7,$C182=1,$C182=5),"Recovery/Easy Catch",IF($C182=6,"Compression/Pulldowns",IF(OR($C182=4,$C182=2),"Long Toss",IF($C182=3,"No Throw",IF($N182=2,"No Throw",IF($N182=6,IF($O182&lt;Reference!$B$104,"No Throw","Recovery/Easy Catch"),IF(OR($N182=0,$N182=4),"Recovery/Easy Catch",IF($N182=1,IF($R182&gt;75,"Long Toss","Recovery/Easy Catch"),IF($N182=3,IF($O182&lt;0.5,IF($S182&gt;75,"Long Toss","Recovery/Easy Catch"),"Compression/Pulldowns"),IF($S182&gt;75,"Long Toss","Recovery/Easy Catch"))))))))))))</f>
        <v/>
      </c>
      <c r="U182" s="32" t="str">
        <f t="shared" si="118"/>
        <v/>
      </c>
      <c r="V182" s="32" t="str">
        <f t="shared" si="119"/>
        <v/>
      </c>
      <c r="W182" s="32" t="str">
        <f t="shared" si="120"/>
        <v/>
      </c>
      <c r="X182" s="32">
        <f t="shared" si="121"/>
        <v>0</v>
      </c>
      <c r="Y182" s="32" t="str">
        <f t="shared" si="122"/>
        <v/>
      </c>
      <c r="Z182" s="32" t="str">
        <f t="shared" si="123"/>
        <v/>
      </c>
      <c r="AA182" s="32" t="str">
        <f t="shared" si="124"/>
        <v/>
      </c>
      <c r="AB182" s="32" t="str">
        <f>IF($A182="","",IF($T182="No Throw",0,IF($K182&lt;&gt;"",$K182,IF($AA182&lt;&gt;"",ROUND($AA182*$D$12*IF($C182=0,1,$G$10),0),MIN(IF($T182="Recovery/Easy Catch",Reference!$B$103,IF($T182="Long Toss",Reference!$B$106,Reference!$B$102)),MAX(Reference!$B$101,ROUND(MAX(0,$Q182-$AE182)/$AF182,0)))))))</f>
        <v/>
      </c>
      <c r="AC182" s="32">
        <f t="shared" si="125"/>
        <v>0</v>
      </c>
      <c r="AD182" s="32" t="b">
        <f t="shared" si="126"/>
        <v>1</v>
      </c>
      <c r="AE182" s="32">
        <f>IF($X182=0,0,$X182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182+$Z182)/2,0),Reference!$A$17:$B$20,2,TRUE()))</f>
        <v>0</v>
      </c>
      <c r="AF182" s="32">
        <f>IF(OR($A182="",$U182="",$T182="No Throw"),0,$AM182*VLOOKUP(MAX(($V182+$W182)/2,0),Reference!$A$17:$B$20,2,TRUE()))</f>
        <v>0</v>
      </c>
      <c r="AG182" s="32">
        <f>IF($AC182=0,0,$AC182*INDEX(Reference!$B$61:$B$62,MATCH("Bullpen",Reference!$A$61:$A$62,0))*VLOOKUP(MAX($D$5-($D$9+$E$9)/2,0),Reference!$A$17:$B$20,2,TRUE()))</f>
        <v>0</v>
      </c>
      <c r="AH182" s="32" t="e">
        <f t="shared" si="127"/>
        <v>#N/A</v>
      </c>
      <c r="AI182" s="32" t="e">
        <f>IF($A182="",NA(),Reference!$A$25)</f>
        <v>#N/A</v>
      </c>
      <c r="AJ182" s="32" t="e">
        <f t="shared" si="128"/>
        <v>#N/A</v>
      </c>
      <c r="AK182" s="32">
        <f>IF(OR($A182="",N($C182)&lt;=7,$T182="No Throw",$J182="x"),0,INDEX(Reference!$B$108:$B$114,$N182+1))</f>
        <v>0</v>
      </c>
      <c r="AL182" s="32">
        <f t="shared" si="129"/>
        <v>1</v>
      </c>
      <c r="AM182" s="32">
        <f>IF($U182="",0,IF($AL182&gt;1,((IF(1&lt;=$AL182,($AL182-1+3)*(INDEX(Reference!$B$6:$B$11,MIN(5,MATCH(MAX(Reference!$A$6,MIN(Reference!$A$11,MIN($U182,90))),Reference!$A$6:$A$11,1)))+(MAX(Reference!$A$6,MIN(Reference!$A$11,MIN($U182,90)))-INDEX(Reference!$A$6:$A$11,MIN(5,MATCH(MAX(Reference!$A$6,MIN(Reference!$A$11,MIN($U182,90))),Reference!$A$6:$A$11,1))))*(INDEX(Reference!$B$6:$B$11,MIN(5,MATCH(MAX(Reference!$A$6,MIN(Reference!$A$11,MIN($U182,90))),Reference!$A$6:$A$11,1))+1)-INDEX(Reference!$B$6:$B$11,MIN(5,MATCH(MAX(Reference!$A$6,MIN(Reference!$A$11,MIN($U182,90))),Reference!$A$6:$A$11,1))))/(INDEX(Reference!$A$6:$A$11,MIN(5,MATCH(MAX(Reference!$A$6,MIN(Reference!$A$11,MIN($U182,90))),Reference!$A$6:$A$11,1))+1)-INDEX(Reference!$A$6:$A$11,MIN(5,MATCH(MAX(Reference!$A$6,MIN(Reference!$A$11,MIN($U182,90))),Reference!$A$6:$A$11,1))))),0)+IF(2&lt;=$AL182,($AL182-2+3)*(INDEX(Reference!$B$6:$B$11,MIN(5,MATCH(MAX(Reference!$A$6,MIN(Reference!$A$11,MIN($U182,120))),Reference!$A$6:$A$11,1)))+(MAX(Reference!$A$6,MIN(Reference!$A$11,MIN($U182,120)))-INDEX(Reference!$A$6:$A$11,MIN(5,MATCH(MAX(Reference!$A$6,MIN(Reference!$A$11,MIN($U182,120))),Reference!$A$6:$A$11,1))))*(INDEX(Reference!$B$6:$B$11,MIN(5,MATCH(MAX(Reference!$A$6,MIN(Reference!$A$11,MIN($U182,120))),Reference!$A$6:$A$11,1))+1)-INDEX(Reference!$B$6:$B$11,MIN(5,MATCH(MAX(Reference!$A$6,MIN(Reference!$A$11,MIN($U182,120))),Reference!$A$6:$A$11,1))))/(INDEX(Reference!$A$6:$A$11,MIN(5,MATCH(MAX(Reference!$A$6,MIN(Reference!$A$11,MIN($U182,120))),Reference!$A$6:$A$11,1))+1)-INDEX(Reference!$A$6:$A$11,MIN(5,MATCH(MAX(Reference!$A$6,MIN(Reference!$A$11,MIN($U182,120))),Reference!$A$6:$A$11,1))))),0)+IF(3&lt;=$AL182,($AL182-3+3)*(INDEX(Reference!$B$6:$B$11,MIN(5,MATCH(MAX(Reference!$A$6,MIN(Reference!$A$11,MIN($U182,150))),Reference!$A$6:$A$11,1)))+(MAX(Reference!$A$6,MIN(Reference!$A$11,MIN($U182,150)))-INDEX(Reference!$A$6:$A$11,MIN(5,MATCH(MAX(Reference!$A$6,MIN(Reference!$A$11,MIN($U182,150))),Reference!$A$6:$A$11,1))))*(INDEX(Reference!$B$6:$B$11,MIN(5,MATCH(MAX(Reference!$A$6,MIN(Reference!$A$11,MIN($U182,150))),Reference!$A$6:$A$11,1))+1)-INDEX(Reference!$B$6:$B$11,MIN(5,MATCH(MAX(Reference!$A$6,MIN(Reference!$A$11,MIN($U182,150))),Reference!$A$6:$A$11,1))))/(INDEX(Reference!$A$6:$A$11,MIN(5,MATCH(MAX(Reference!$A$6,MIN(Reference!$A$11,MIN($U182,150))),Reference!$A$6:$A$11,1))+1)-INDEX(Reference!$A$6:$A$11,MIN(5,MATCH(MAX(Reference!$A$6,MIN(Reference!$A$11,MIN($U182,150))),Reference!$A$6:$A$11,1))))),0)+IF(4&lt;=$AL182,($AL182-4+3)*(INDEX(Reference!$B$6:$B$11,MIN(5,MATCH(MAX(Reference!$A$6,MIN(Reference!$A$11,MIN($U182,180))),Reference!$A$6:$A$11,1)))+(MAX(Reference!$A$6,MIN(Reference!$A$11,MIN($U182,180)))-INDEX(Reference!$A$6:$A$11,MIN(5,MATCH(MAX(Reference!$A$6,MIN(Reference!$A$11,MIN($U182,180))),Reference!$A$6:$A$11,1))))*(INDEX(Reference!$B$6:$B$11,MIN(5,MATCH(MAX(Reference!$A$6,MIN(Reference!$A$11,MIN($U182,180))),Reference!$A$6:$A$11,1))+1)-INDEX(Reference!$B$6:$B$11,MIN(5,MATCH(MAX(Reference!$A$6,MIN(Reference!$A$11,MIN($U182,180))),Reference!$A$6:$A$11,1))))/(INDEX(Reference!$A$6:$A$11,MIN(5,MATCH(MAX(Reference!$A$6,MIN(Reference!$A$11,MIN($U182,180))),Reference!$A$6:$A$11,1))+1)-INDEX(Reference!$A$6:$A$11,MIN(5,MATCH(MAX(Reference!$A$6,MIN(Reference!$A$11,MIN($U182,180))),Reference!$A$6:$A$11,1))))),0)+IF(5&lt;=$AL182,($AL182-5+3)*(INDEX(Reference!$B$6:$B$11,MIN(5,MATCH(MAX(Reference!$A$6,MIN(Reference!$A$11,MIN($U182,210))),Reference!$A$6:$A$11,1)))+(MAX(Reference!$A$6,MIN(Reference!$A$11,MIN($U182,210)))-INDEX(Reference!$A$6:$A$11,MIN(5,MATCH(MAX(Reference!$A$6,MIN(Reference!$A$11,MIN($U182,210))),Reference!$A$6:$A$11,1))))*(INDEX(Reference!$B$6:$B$11,MIN(5,MATCH(MAX(Reference!$A$6,MIN(Reference!$A$11,MIN($U182,210))),Reference!$A$6:$A$11,1))+1)-INDEX(Reference!$B$6:$B$11,MIN(5,MATCH(MAX(Reference!$A$6,MIN(Reference!$A$11,MIN($U182,210))),Reference!$A$6:$A$11,1))))/(INDEX(Reference!$A$6:$A$11,MIN(5,MATCH(MAX(Reference!$A$6,MIN(Reference!$A$11,MIN($U182,210))),Reference!$A$6:$A$11,1))+1)-INDEX(Reference!$A$6:$A$11,MIN(5,MATCH(MAX(Reference!$A$6,MIN(Reference!$A$11,MIN($U182,210))),Reference!$A$6:$A$11,1))))),0)+IF(6&lt;=$AL182,($AL182-6+3)*(INDEX(Reference!$B$6:$B$11,MIN(5,MATCH(MAX(Reference!$A$6,MIN(Reference!$A$11,MIN($U182,240))),Reference!$A$6:$A$11,1)))+(MAX(Reference!$A$6,MIN(Reference!$A$11,MIN($U182,240)))-INDEX(Reference!$A$6:$A$11,MIN(5,MATCH(MAX(Reference!$A$6,MIN(Reference!$A$11,MIN($U182,240))),Reference!$A$6:$A$11,1))))*(INDEX(Reference!$B$6:$B$11,MIN(5,MATCH(MAX(Reference!$A$6,MIN(Reference!$A$11,MIN($U182,240))),Reference!$A$6:$A$11,1))+1)-INDEX(Reference!$B$6:$B$11,MIN(5,MATCH(MAX(Reference!$A$6,MIN(Reference!$A$11,MIN($U182,240))),Reference!$A$6:$A$11,1))))/(INDEX(Reference!$A$6:$A$11,MIN(5,MATCH(MAX(Reference!$A$6,MIN(Reference!$A$11,MIN($U182,240))),Reference!$A$6:$A$11,1))+1)-INDEX(Reference!$A$6:$A$11,MIN(5,MATCH(MAX(Reference!$A$6,MIN(Reference!$A$11,MIN($U182,240))),Reference!$A$6:$A$11,1))))),0)+IF(7&lt;=$AL182,($AL182-7+3)*(INDEX(Reference!$B$6:$B$11,MIN(5,MATCH(MAX(Reference!$A$6,MIN(Reference!$A$11,MIN($U182,270))),Reference!$A$6:$A$11,1)))+(MAX(Reference!$A$6,MIN(Reference!$A$11,MIN($U182,270)))-INDEX(Reference!$A$6:$A$11,MIN(5,MATCH(MAX(Reference!$A$6,MIN(Reference!$A$11,MIN($U182,270))),Reference!$A$6:$A$11,1))))*(INDEX(Reference!$B$6:$B$11,MIN(5,MATCH(MAX(Reference!$A$6,MIN(Reference!$A$11,MIN($U182,270))),Reference!$A$6:$A$11,1))+1)-INDEX(Reference!$B$6:$B$11,MIN(5,MATCH(MAX(Reference!$A$6,MIN(Reference!$A$11,MIN($U182,270))),Reference!$A$6:$A$11,1))))/(INDEX(Reference!$A$6:$A$11,MIN(5,MATCH(MAX(Reference!$A$6,MIN(Reference!$A$11,MIN($U182,270))),Reference!$A$6:$A$11,1))+1)-INDEX(Reference!$A$6:$A$11,MIN(5,MATCH(MAX(Reference!$A$6,MIN(Reference!$A$11,MIN($U182,270))),Reference!$A$6:$A$11,1))))),0)+IF(8&lt;=$AL182,($AL182-8+3)*(INDEX(Reference!$B$6:$B$11,MIN(5,MATCH(MAX(Reference!$A$6,MIN(Reference!$A$11,MIN($U182,300))),Reference!$A$6:$A$11,1)))+(MAX(Reference!$A$6,MIN(Reference!$A$11,MIN($U182,300)))-INDEX(Reference!$A$6:$A$11,MIN(5,MATCH(MAX(Reference!$A$6,MIN(Reference!$A$11,MIN($U182,300))),Reference!$A$6:$A$11,1))))*(INDEX(Reference!$B$6:$B$11,MIN(5,MATCH(MAX(Reference!$A$6,MIN(Reference!$A$11,MIN($U182,300))),Reference!$A$6:$A$11,1))+1)-INDEX(Reference!$B$6:$B$11,MIN(5,MATCH(MAX(Reference!$A$6,MIN(Reference!$A$11,MIN($U182,300))),Reference!$A$6:$A$11,1))))/(INDEX(Reference!$A$6:$A$11,MIN(5,MATCH(MAX(Reference!$A$6,MIN(Reference!$A$11,MIN($U182,300))),Reference!$A$6:$A$11,1))+1)-INDEX(Reference!$A$6:$A$11,MIN(5,MATCH(MAX(Reference!$A$6,MIN(Reference!$A$11,MIN($U182,300))),Reference!$A$6:$A$11,1))))),0))/($AL182*($AL182+5)/2)),$AN182))</f>
        <v>0</v>
      </c>
      <c r="AN182" s="32">
        <f>IF($U182="",0,(INDEX(Reference!$B$6:$B$11,MIN(5,MATCH(MAX(Reference!$A$6,MIN(Reference!$A$11,$U182)),Reference!$A$6:$A$11,1)))+(MAX(Reference!$A$6,MIN(Reference!$A$11,$U182))-INDEX(Reference!$A$6:$A$11,MIN(5,MATCH(MAX(Reference!$A$6,MIN(Reference!$A$11,$U182)),Reference!$A$6:$A$11,1))))*(INDEX(Reference!$B$6:$B$11,MIN(5,MATCH(MAX(Reference!$A$6,MIN(Reference!$A$11,$U182)),Reference!$A$6:$A$11,1))+1)-INDEX(Reference!$B$6:$B$11,MIN(5,MATCH(MAX(Reference!$A$6,MIN(Reference!$A$11,$U182)),Reference!$A$6:$A$11,1))))/(INDEX(Reference!$A$6:$A$11,MIN(5,MATCH(MAX(Reference!$A$6,MIN(Reference!$A$11,$U182)),Reference!$A$6:$A$11,1))+1)-INDEX(Reference!$A$6:$A$11,MIN(5,MATCH(MAX(Reference!$A$6,MIN(Reference!$A$11,$U182)),Reference!$A$6:$A$11,1))))))</f>
        <v>0</v>
      </c>
      <c r="AO182" s="37"/>
      <c r="AP182" s="37"/>
      <c r="AQ182" s="37"/>
    </row>
    <row r="183" spans="1:43" x14ac:dyDescent="0.3">
      <c r="A183" s="48" t="str">
        <f t="shared" si="105"/>
        <v/>
      </c>
      <c r="B183" s="32" t="str">
        <f t="shared" si="106"/>
        <v/>
      </c>
      <c r="C183" s="32" t="str">
        <f t="shared" si="107"/>
        <v/>
      </c>
      <c r="D183" s="32" t="str">
        <f t="shared" si="108"/>
        <v/>
      </c>
      <c r="E183" s="32" t="str">
        <f t="shared" si="109"/>
        <v/>
      </c>
      <c r="F183" s="32" t="str">
        <f t="shared" si="110"/>
        <v/>
      </c>
      <c r="G183" s="47" t="str">
        <f t="shared" si="111"/>
        <v/>
      </c>
      <c r="H183" s="30" t="str">
        <f t="shared" si="112"/>
        <v/>
      </c>
      <c r="I183" s="46" t="str">
        <f>IF($A183="","",IF(AND($L183&lt;27,$K$12=0),"Building",IFERROR(((SUM($H$177:$H183)+$K$12*IF($L183&lt;6,SUMIFS('Throw Log'!$Q$5:$Q$300,'Throw Log'!$B$5:$B$300,$D$4,'Throw Log'!$A$5:$A$300,"&gt;="&amp;($D$6+$L183-6),'Throw Log'!$A$5:$A$300,"&lt;="&amp;($D$6-1)),0))/7)/((SUM($H$156:$H183)+$K$12*IF($L183&lt;27,SUMIFS('Throw Log'!$Q$5:$Q$300,'Throw Log'!$B$5:$B$300,$D$4,'Throw Log'!$A$5:$A$300,"&gt;="&amp;($D$6+$L183-27),'Throw Log'!$A$5:$A$300,"&lt;="&amp;($D$6-1)),0))/28),"")))</f>
        <v/>
      </c>
      <c r="J183" s="37"/>
      <c r="K183" s="37"/>
      <c r="L183" s="32">
        <v>140</v>
      </c>
      <c r="M183" s="32">
        <f t="shared" si="113"/>
        <v>21</v>
      </c>
      <c r="N183" s="32">
        <f t="shared" si="114"/>
        <v>0</v>
      </c>
      <c r="O183" s="32">
        <f t="shared" si="115"/>
        <v>1</v>
      </c>
      <c r="P183" s="32" t="str">
        <f>IF(OR($A183="",N($C183)&lt;=7),"",$G$6*$G$9^($M183-1)*IF(AND(MOD($M183,Reference!$B$99)=0,$M183&lt;=$G$5-2),Reference!$B$100,1))</f>
        <v/>
      </c>
      <c r="Q183" s="32" t="str">
        <f>IF($P183="","",IF(SUM($AK$183:$AK$189)=0,0,$P183*INDEX(Reference!$B$108:$B$114,$N183+1)/SUM($AK$183:$AK$189)))</f>
        <v/>
      </c>
      <c r="R183" s="32">
        <f t="shared" si="116"/>
        <v>180</v>
      </c>
      <c r="S183" s="32">
        <f t="shared" si="117"/>
        <v>150</v>
      </c>
      <c r="T183" s="32" t="str">
        <f>IF($A183="","",IF($C183=0,"Bullpen",IF(OR($C183=7,$C183=1,$C183=5),"Recovery/Easy Catch",IF($C183=6,"Compression/Pulldowns",IF(OR($C183=4,$C183=2),"Long Toss",IF($C183=3,"No Throw",IF($N183=2,"No Throw",IF($N183=6,IF($O183&lt;Reference!$B$104,"No Throw","Recovery/Easy Catch"),IF(OR($N183=0,$N183=4),"Recovery/Easy Catch",IF($N183=1,IF($R183&gt;75,"Long Toss","Recovery/Easy Catch"),IF($N183=3,IF($O183&lt;0.5,IF($S183&gt;75,"Long Toss","Recovery/Easy Catch"),"Compression/Pulldowns"),IF($S183&gt;75,"Long Toss","Recovery/Easy Catch"))))))))))))</f>
        <v/>
      </c>
      <c r="U183" s="32" t="str">
        <f t="shared" si="118"/>
        <v/>
      </c>
      <c r="V183" s="32" t="str">
        <f t="shared" si="119"/>
        <v/>
      </c>
      <c r="W183" s="32" t="str">
        <f t="shared" si="120"/>
        <v/>
      </c>
      <c r="X183" s="32">
        <f t="shared" si="121"/>
        <v>0</v>
      </c>
      <c r="Y183" s="32" t="str">
        <f t="shared" si="122"/>
        <v/>
      </c>
      <c r="Z183" s="32" t="str">
        <f t="shared" si="123"/>
        <v/>
      </c>
      <c r="AA183" s="32" t="str">
        <f t="shared" si="124"/>
        <v/>
      </c>
      <c r="AB183" s="32" t="str">
        <f>IF($A183="","",IF($T183="No Throw",0,IF($K183&lt;&gt;"",$K183,IF($AA183&lt;&gt;"",ROUND($AA183*$D$12*IF($C183=0,1,$G$10),0),MIN(IF($T183="Recovery/Easy Catch",Reference!$B$103,IF($T183="Long Toss",Reference!$B$106,Reference!$B$102)),MAX(Reference!$B$101,ROUND(MAX(0,$Q183-$AE183)/$AF183,0)))))))</f>
        <v/>
      </c>
      <c r="AC183" s="32">
        <f t="shared" si="125"/>
        <v>0</v>
      </c>
      <c r="AD183" s="32" t="b">
        <f t="shared" si="126"/>
        <v>1</v>
      </c>
      <c r="AE183" s="32">
        <f>IF($X183=0,0,$X183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183+$Z183)/2,0),Reference!$A$17:$B$20,2,TRUE()))</f>
        <v>0</v>
      </c>
      <c r="AF183" s="32">
        <f>IF(OR($A183="",$U183="",$T183="No Throw"),0,$AM183*VLOOKUP(MAX(($V183+$W183)/2,0),Reference!$A$17:$B$20,2,TRUE()))</f>
        <v>0</v>
      </c>
      <c r="AG183" s="32">
        <f>IF($AC183=0,0,$AC183*INDEX(Reference!$B$61:$B$62,MATCH("Bullpen",Reference!$A$61:$A$62,0))*VLOOKUP(MAX($D$5-($D$9+$E$9)/2,0),Reference!$A$17:$B$20,2,TRUE()))</f>
        <v>0</v>
      </c>
      <c r="AH183" s="32" t="e">
        <f t="shared" si="127"/>
        <v>#N/A</v>
      </c>
      <c r="AI183" s="32" t="e">
        <f>IF($A183="",NA(),Reference!$A$25)</f>
        <v>#N/A</v>
      </c>
      <c r="AJ183" s="32" t="e">
        <f t="shared" si="128"/>
        <v>#N/A</v>
      </c>
      <c r="AK183" s="32">
        <f>IF(OR($A183="",N($C183)&lt;=7,$T183="No Throw",$J183="x"),0,INDEX(Reference!$B$108:$B$114,$N183+1))</f>
        <v>0</v>
      </c>
      <c r="AL183" s="32">
        <f t="shared" si="129"/>
        <v>1</v>
      </c>
      <c r="AM183" s="32">
        <f>IF($U183="",0,IF($AL183&gt;1,((IF(1&lt;=$AL183,($AL183-1+3)*(INDEX(Reference!$B$6:$B$11,MIN(5,MATCH(MAX(Reference!$A$6,MIN(Reference!$A$11,MIN($U183,90))),Reference!$A$6:$A$11,1)))+(MAX(Reference!$A$6,MIN(Reference!$A$11,MIN($U183,90)))-INDEX(Reference!$A$6:$A$11,MIN(5,MATCH(MAX(Reference!$A$6,MIN(Reference!$A$11,MIN($U183,90))),Reference!$A$6:$A$11,1))))*(INDEX(Reference!$B$6:$B$11,MIN(5,MATCH(MAX(Reference!$A$6,MIN(Reference!$A$11,MIN($U183,90))),Reference!$A$6:$A$11,1))+1)-INDEX(Reference!$B$6:$B$11,MIN(5,MATCH(MAX(Reference!$A$6,MIN(Reference!$A$11,MIN($U183,90))),Reference!$A$6:$A$11,1))))/(INDEX(Reference!$A$6:$A$11,MIN(5,MATCH(MAX(Reference!$A$6,MIN(Reference!$A$11,MIN($U183,90))),Reference!$A$6:$A$11,1))+1)-INDEX(Reference!$A$6:$A$11,MIN(5,MATCH(MAX(Reference!$A$6,MIN(Reference!$A$11,MIN($U183,90))),Reference!$A$6:$A$11,1))))),0)+IF(2&lt;=$AL183,($AL183-2+3)*(INDEX(Reference!$B$6:$B$11,MIN(5,MATCH(MAX(Reference!$A$6,MIN(Reference!$A$11,MIN($U183,120))),Reference!$A$6:$A$11,1)))+(MAX(Reference!$A$6,MIN(Reference!$A$11,MIN($U183,120)))-INDEX(Reference!$A$6:$A$11,MIN(5,MATCH(MAX(Reference!$A$6,MIN(Reference!$A$11,MIN($U183,120))),Reference!$A$6:$A$11,1))))*(INDEX(Reference!$B$6:$B$11,MIN(5,MATCH(MAX(Reference!$A$6,MIN(Reference!$A$11,MIN($U183,120))),Reference!$A$6:$A$11,1))+1)-INDEX(Reference!$B$6:$B$11,MIN(5,MATCH(MAX(Reference!$A$6,MIN(Reference!$A$11,MIN($U183,120))),Reference!$A$6:$A$11,1))))/(INDEX(Reference!$A$6:$A$11,MIN(5,MATCH(MAX(Reference!$A$6,MIN(Reference!$A$11,MIN($U183,120))),Reference!$A$6:$A$11,1))+1)-INDEX(Reference!$A$6:$A$11,MIN(5,MATCH(MAX(Reference!$A$6,MIN(Reference!$A$11,MIN($U183,120))),Reference!$A$6:$A$11,1))))),0)+IF(3&lt;=$AL183,($AL183-3+3)*(INDEX(Reference!$B$6:$B$11,MIN(5,MATCH(MAX(Reference!$A$6,MIN(Reference!$A$11,MIN($U183,150))),Reference!$A$6:$A$11,1)))+(MAX(Reference!$A$6,MIN(Reference!$A$11,MIN($U183,150)))-INDEX(Reference!$A$6:$A$11,MIN(5,MATCH(MAX(Reference!$A$6,MIN(Reference!$A$11,MIN($U183,150))),Reference!$A$6:$A$11,1))))*(INDEX(Reference!$B$6:$B$11,MIN(5,MATCH(MAX(Reference!$A$6,MIN(Reference!$A$11,MIN($U183,150))),Reference!$A$6:$A$11,1))+1)-INDEX(Reference!$B$6:$B$11,MIN(5,MATCH(MAX(Reference!$A$6,MIN(Reference!$A$11,MIN($U183,150))),Reference!$A$6:$A$11,1))))/(INDEX(Reference!$A$6:$A$11,MIN(5,MATCH(MAX(Reference!$A$6,MIN(Reference!$A$11,MIN($U183,150))),Reference!$A$6:$A$11,1))+1)-INDEX(Reference!$A$6:$A$11,MIN(5,MATCH(MAX(Reference!$A$6,MIN(Reference!$A$11,MIN($U183,150))),Reference!$A$6:$A$11,1))))),0)+IF(4&lt;=$AL183,($AL183-4+3)*(INDEX(Reference!$B$6:$B$11,MIN(5,MATCH(MAX(Reference!$A$6,MIN(Reference!$A$11,MIN($U183,180))),Reference!$A$6:$A$11,1)))+(MAX(Reference!$A$6,MIN(Reference!$A$11,MIN($U183,180)))-INDEX(Reference!$A$6:$A$11,MIN(5,MATCH(MAX(Reference!$A$6,MIN(Reference!$A$11,MIN($U183,180))),Reference!$A$6:$A$11,1))))*(INDEX(Reference!$B$6:$B$11,MIN(5,MATCH(MAX(Reference!$A$6,MIN(Reference!$A$11,MIN($U183,180))),Reference!$A$6:$A$11,1))+1)-INDEX(Reference!$B$6:$B$11,MIN(5,MATCH(MAX(Reference!$A$6,MIN(Reference!$A$11,MIN($U183,180))),Reference!$A$6:$A$11,1))))/(INDEX(Reference!$A$6:$A$11,MIN(5,MATCH(MAX(Reference!$A$6,MIN(Reference!$A$11,MIN($U183,180))),Reference!$A$6:$A$11,1))+1)-INDEX(Reference!$A$6:$A$11,MIN(5,MATCH(MAX(Reference!$A$6,MIN(Reference!$A$11,MIN($U183,180))),Reference!$A$6:$A$11,1))))),0)+IF(5&lt;=$AL183,($AL183-5+3)*(INDEX(Reference!$B$6:$B$11,MIN(5,MATCH(MAX(Reference!$A$6,MIN(Reference!$A$11,MIN($U183,210))),Reference!$A$6:$A$11,1)))+(MAX(Reference!$A$6,MIN(Reference!$A$11,MIN($U183,210)))-INDEX(Reference!$A$6:$A$11,MIN(5,MATCH(MAX(Reference!$A$6,MIN(Reference!$A$11,MIN($U183,210))),Reference!$A$6:$A$11,1))))*(INDEX(Reference!$B$6:$B$11,MIN(5,MATCH(MAX(Reference!$A$6,MIN(Reference!$A$11,MIN($U183,210))),Reference!$A$6:$A$11,1))+1)-INDEX(Reference!$B$6:$B$11,MIN(5,MATCH(MAX(Reference!$A$6,MIN(Reference!$A$11,MIN($U183,210))),Reference!$A$6:$A$11,1))))/(INDEX(Reference!$A$6:$A$11,MIN(5,MATCH(MAX(Reference!$A$6,MIN(Reference!$A$11,MIN($U183,210))),Reference!$A$6:$A$11,1))+1)-INDEX(Reference!$A$6:$A$11,MIN(5,MATCH(MAX(Reference!$A$6,MIN(Reference!$A$11,MIN($U183,210))),Reference!$A$6:$A$11,1))))),0)+IF(6&lt;=$AL183,($AL183-6+3)*(INDEX(Reference!$B$6:$B$11,MIN(5,MATCH(MAX(Reference!$A$6,MIN(Reference!$A$11,MIN($U183,240))),Reference!$A$6:$A$11,1)))+(MAX(Reference!$A$6,MIN(Reference!$A$11,MIN($U183,240)))-INDEX(Reference!$A$6:$A$11,MIN(5,MATCH(MAX(Reference!$A$6,MIN(Reference!$A$11,MIN($U183,240))),Reference!$A$6:$A$11,1))))*(INDEX(Reference!$B$6:$B$11,MIN(5,MATCH(MAX(Reference!$A$6,MIN(Reference!$A$11,MIN($U183,240))),Reference!$A$6:$A$11,1))+1)-INDEX(Reference!$B$6:$B$11,MIN(5,MATCH(MAX(Reference!$A$6,MIN(Reference!$A$11,MIN($U183,240))),Reference!$A$6:$A$11,1))))/(INDEX(Reference!$A$6:$A$11,MIN(5,MATCH(MAX(Reference!$A$6,MIN(Reference!$A$11,MIN($U183,240))),Reference!$A$6:$A$11,1))+1)-INDEX(Reference!$A$6:$A$11,MIN(5,MATCH(MAX(Reference!$A$6,MIN(Reference!$A$11,MIN($U183,240))),Reference!$A$6:$A$11,1))))),0)+IF(7&lt;=$AL183,($AL183-7+3)*(INDEX(Reference!$B$6:$B$11,MIN(5,MATCH(MAX(Reference!$A$6,MIN(Reference!$A$11,MIN($U183,270))),Reference!$A$6:$A$11,1)))+(MAX(Reference!$A$6,MIN(Reference!$A$11,MIN($U183,270)))-INDEX(Reference!$A$6:$A$11,MIN(5,MATCH(MAX(Reference!$A$6,MIN(Reference!$A$11,MIN($U183,270))),Reference!$A$6:$A$11,1))))*(INDEX(Reference!$B$6:$B$11,MIN(5,MATCH(MAX(Reference!$A$6,MIN(Reference!$A$11,MIN($U183,270))),Reference!$A$6:$A$11,1))+1)-INDEX(Reference!$B$6:$B$11,MIN(5,MATCH(MAX(Reference!$A$6,MIN(Reference!$A$11,MIN($U183,270))),Reference!$A$6:$A$11,1))))/(INDEX(Reference!$A$6:$A$11,MIN(5,MATCH(MAX(Reference!$A$6,MIN(Reference!$A$11,MIN($U183,270))),Reference!$A$6:$A$11,1))+1)-INDEX(Reference!$A$6:$A$11,MIN(5,MATCH(MAX(Reference!$A$6,MIN(Reference!$A$11,MIN($U183,270))),Reference!$A$6:$A$11,1))))),0)+IF(8&lt;=$AL183,($AL183-8+3)*(INDEX(Reference!$B$6:$B$11,MIN(5,MATCH(MAX(Reference!$A$6,MIN(Reference!$A$11,MIN($U183,300))),Reference!$A$6:$A$11,1)))+(MAX(Reference!$A$6,MIN(Reference!$A$11,MIN($U183,300)))-INDEX(Reference!$A$6:$A$11,MIN(5,MATCH(MAX(Reference!$A$6,MIN(Reference!$A$11,MIN($U183,300))),Reference!$A$6:$A$11,1))))*(INDEX(Reference!$B$6:$B$11,MIN(5,MATCH(MAX(Reference!$A$6,MIN(Reference!$A$11,MIN($U183,300))),Reference!$A$6:$A$11,1))+1)-INDEX(Reference!$B$6:$B$11,MIN(5,MATCH(MAX(Reference!$A$6,MIN(Reference!$A$11,MIN($U183,300))),Reference!$A$6:$A$11,1))))/(INDEX(Reference!$A$6:$A$11,MIN(5,MATCH(MAX(Reference!$A$6,MIN(Reference!$A$11,MIN($U183,300))),Reference!$A$6:$A$11,1))+1)-INDEX(Reference!$A$6:$A$11,MIN(5,MATCH(MAX(Reference!$A$6,MIN(Reference!$A$11,MIN($U183,300))),Reference!$A$6:$A$11,1))))),0))/($AL183*($AL183+5)/2)),$AN183))</f>
        <v>0</v>
      </c>
      <c r="AN183" s="32">
        <f>IF($U183="",0,(INDEX(Reference!$B$6:$B$11,MIN(5,MATCH(MAX(Reference!$A$6,MIN(Reference!$A$11,$U183)),Reference!$A$6:$A$11,1)))+(MAX(Reference!$A$6,MIN(Reference!$A$11,$U183))-INDEX(Reference!$A$6:$A$11,MIN(5,MATCH(MAX(Reference!$A$6,MIN(Reference!$A$11,$U183)),Reference!$A$6:$A$11,1))))*(INDEX(Reference!$B$6:$B$11,MIN(5,MATCH(MAX(Reference!$A$6,MIN(Reference!$A$11,$U183)),Reference!$A$6:$A$11,1))+1)-INDEX(Reference!$B$6:$B$11,MIN(5,MATCH(MAX(Reference!$A$6,MIN(Reference!$A$11,$U183)),Reference!$A$6:$A$11,1))))/(INDEX(Reference!$A$6:$A$11,MIN(5,MATCH(MAX(Reference!$A$6,MIN(Reference!$A$11,$U183)),Reference!$A$6:$A$11,1))+1)-INDEX(Reference!$A$6:$A$11,MIN(5,MATCH(MAX(Reference!$A$6,MIN(Reference!$A$11,$U183)),Reference!$A$6:$A$11,1))))))</f>
        <v>0</v>
      </c>
      <c r="AO183" s="37"/>
      <c r="AP183" s="37"/>
      <c r="AQ183" s="37"/>
    </row>
  </sheetData>
  <mergeCells count="24">
    <mergeCell ref="A16:G16"/>
    <mergeCell ref="A17:G17"/>
    <mergeCell ref="A11:C11"/>
    <mergeCell ref="I11:J11"/>
    <mergeCell ref="A12:C12"/>
    <mergeCell ref="I12:J12"/>
    <mergeCell ref="A14:G15"/>
    <mergeCell ref="A9:C9"/>
    <mergeCell ref="I9:J9"/>
    <mergeCell ref="A10:C10"/>
    <mergeCell ref="D10:E10"/>
    <mergeCell ref="I10:J10"/>
    <mergeCell ref="A6:C6"/>
    <mergeCell ref="I6:J6"/>
    <mergeCell ref="A7:C7"/>
    <mergeCell ref="I7:J7"/>
    <mergeCell ref="A8:C8"/>
    <mergeCell ref="I8:J8"/>
    <mergeCell ref="A1:G1"/>
    <mergeCell ref="A2:G2"/>
    <mergeCell ref="A4:C4"/>
    <mergeCell ref="I4:K4"/>
    <mergeCell ref="A5:C5"/>
    <mergeCell ref="I5:J5"/>
  </mergeCells>
  <conditionalFormatting sqref="A43:K183">
    <cfRule type="expression" dxfId="41" priority="2">
      <formula>$F43="No Throw"</formula>
    </cfRule>
    <cfRule type="expression" dxfId="40" priority="3">
      <formula>AND($A43&lt;&gt;"",$C43=0)</formula>
    </cfRule>
  </conditionalFormatting>
  <conditionalFormatting sqref="F19:F39">
    <cfRule type="expression" dxfId="39" priority="8">
      <formula>AND(ISNUMBER(F19),F19&lt;0.8)</formula>
    </cfRule>
    <cfRule type="expression" dxfId="38" priority="9">
      <formula>AND(ISNUMBER(F19),F19&gt;=0.8,F19&lt;=1.3)</formula>
    </cfRule>
    <cfRule type="expression" dxfId="37" priority="10">
      <formula>AND(ISNUMBER(F19),F19&gt;1.3,F19&lt;=1.5)</formula>
    </cfRule>
    <cfRule type="expression" dxfId="36" priority="11">
      <formula>AND(ISNUMBER(F19),F19&gt;1.5)</formula>
    </cfRule>
  </conditionalFormatting>
  <conditionalFormatting sqref="G12:G13">
    <cfRule type="expression" dxfId="35" priority="12">
      <formula>AND(ISNUMBER(G12),G12&lt;0.8)</formula>
    </cfRule>
    <cfRule type="expression" dxfId="34" priority="13">
      <formula>AND(ISNUMBER(G12),G12&gt;=0.8,G12&lt;=1.3)</formula>
    </cfRule>
    <cfRule type="expression" dxfId="33" priority="14">
      <formula>AND(ISNUMBER(G12),G12&gt;1.3,G12&lt;=1.5)</formula>
    </cfRule>
    <cfRule type="expression" dxfId="32" priority="15">
      <formula>AND(ISNUMBER(G12),G12&gt;1.5)</formula>
    </cfRule>
  </conditionalFormatting>
  <conditionalFormatting sqref="I43:I183">
    <cfRule type="expression" dxfId="31" priority="4">
      <formula>AND(ISNUMBER(I43),I43&lt;0.8)</formula>
    </cfRule>
    <cfRule type="expression" dxfId="30" priority="5">
      <formula>AND(ISNUMBER(I43),I43&gt;=0.8,I43&lt;=1.3)</formula>
    </cfRule>
    <cfRule type="expression" dxfId="29" priority="6">
      <formula>AND(ISNUMBER(I43),I43&gt;1.3,I43&lt;=1.5)</formula>
    </cfRule>
    <cfRule type="expression" dxfId="28" priority="7">
      <formula>AND(ISNUMBER(I43),I43&gt;1.5)</formula>
    </cfRule>
  </conditionalFormatting>
  <dataValidations count="3">
    <dataValidation type="list" allowBlank="1" sqref="J43:J183" xr:uid="{00000000-0002-0000-0800-000002000000}">
      <formula1>"(none),x"</formula1>
      <formula2>0</formula2>
    </dataValidation>
    <dataValidation type="decimal" allowBlank="1" showErrorMessage="1" error="Distance in feet (30–400)." sqref="AO43:AO183" xr:uid="{00000000-0002-0000-0800-000003000000}">
      <formula1>30</formula1>
      <formula2>400</formula2>
    </dataValidation>
    <dataValidation type="decimal" allowBlank="1" showErrorMessage="1" error="Velo in mph (40–110)." sqref="AP43:AQ183" xr:uid="{00000000-0002-0000-0800-000004000000}">
      <formula1>40</formula1>
      <formula2>110</formula2>
    </dataValidation>
  </dataValidations>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2">
        <x14:dataValidation type="list" allowBlank="1" xr:uid="{00000000-0002-0000-0800-000000000000}">
          <x14:formula1>
            <xm:f>Roster!$A$5:$A$40</xm:f>
          </x14:formula1>
          <x14:formula2>
            <xm:f>0</xm:f>
          </x14:formula2>
          <xm:sqref>D4</xm:sqref>
        </x14:dataValidation>
        <x14:dataValidation type="list" xr:uid="{00000000-0002-0000-0800-000001000000}">
          <x14:formula1>
            <xm:f>Reference!$A$93:$A$96</xm:f>
          </x14:formula1>
          <x14:formula2>
            <xm:f>0</xm:f>
          </x14:formula2>
          <xm:sqref>D10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183"/>
  <sheetViews>
    <sheetView showGridLines="0" zoomScaleNormal="100" workbookViewId="0"/>
  </sheetViews>
  <sheetFormatPr defaultColWidth="8.6640625" defaultRowHeight="14.4" x14ac:dyDescent="0.3"/>
  <cols>
    <col min="1" max="1" width="11" customWidth="1"/>
    <col min="2" max="2" width="7" customWidth="1"/>
    <col min="3" max="3" width="9" customWidth="1"/>
    <col min="4" max="4" width="19" customWidth="1"/>
    <col min="5" max="5" width="17" customWidth="1"/>
    <col min="6" max="6" width="21" customWidth="1"/>
    <col min="7" max="7" width="64" customWidth="1"/>
    <col min="8" max="10" width="11" customWidth="1"/>
    <col min="11" max="11" width="22" customWidth="1"/>
    <col min="12" max="40" width="13" hidden="1" customWidth="1"/>
    <col min="41" max="43" width="11" customWidth="1"/>
  </cols>
  <sheetData>
    <row r="1" spans="1:11" ht="21" x14ac:dyDescent="0.4">
      <c r="A1" s="14" t="s">
        <v>277</v>
      </c>
      <c r="B1" s="14"/>
      <c r="C1" s="14"/>
      <c r="D1" s="14"/>
      <c r="E1" s="14"/>
      <c r="F1" s="14"/>
      <c r="G1" s="14"/>
    </row>
    <row r="2" spans="1:11" ht="103.5" customHeight="1" x14ac:dyDescent="0.3">
      <c r="A2" s="11" t="s">
        <v>278</v>
      </c>
      <c r="B2" s="11"/>
      <c r="C2" s="11"/>
      <c r="D2" s="11"/>
      <c r="E2" s="11"/>
      <c r="F2" s="11"/>
      <c r="G2" s="11"/>
    </row>
    <row r="4" spans="1:11" x14ac:dyDescent="0.3">
      <c r="A4" s="3" t="s">
        <v>151</v>
      </c>
      <c r="B4" s="3"/>
      <c r="C4" s="3"/>
      <c r="D4" s="37" t="s">
        <v>147</v>
      </c>
      <c r="F4" s="21" t="s">
        <v>279</v>
      </c>
      <c r="G4" s="49">
        <f>IFERROR($D$7-$D$6,"")</f>
        <v>84</v>
      </c>
      <c r="I4" s="2" t="s">
        <v>280</v>
      </c>
      <c r="J4" s="2"/>
      <c r="K4" s="2"/>
    </row>
    <row r="5" spans="1:11" x14ac:dyDescent="0.3">
      <c r="A5" s="3" t="s">
        <v>281</v>
      </c>
      <c r="B5" s="3"/>
      <c r="C5" s="3"/>
      <c r="D5" s="32">
        <f>IFERROR(INDEX(Roster!$D$5:$D$40,MATCH($D$4,Roster!$A$5:$A$40,0)),"")</f>
        <v>89</v>
      </c>
      <c r="F5" s="21" t="s">
        <v>282</v>
      </c>
      <c r="G5" s="49">
        <f>IFERROR(ROUNDUP(($G$4-7)/7,0),"")</f>
        <v>11</v>
      </c>
      <c r="I5" s="1" t="s">
        <v>283</v>
      </c>
      <c r="J5" s="1"/>
      <c r="K5" s="44" t="str">
        <f>IFERROR(IF(SUMPRODUCT(MAX(('Throw Log'!$B$5:$B$300=$D$4)*('Throw Log'!$A$5:$A$300&lt;$D$6)*ISNUMBER('Throw Log'!$Q$5:$Q$300)*('Throw Log'!$Q$5:$Q$300&gt;0)*'Throw Log'!$A$5:$A$300))=0,"none logged",$D$6-SUMPRODUCT(MAX(('Throw Log'!$B$5:$B$300=$D$4)*('Throw Log'!$A$5:$A$300&lt;$D$6)*ISNUMBER('Throw Log'!$Q$5:$Q$300)*('Throw Log'!$Q$5:$Q$300&gt;0)*'Throw Log'!$A$5:$A$300))),"")</f>
        <v>none logged</v>
      </c>
    </row>
    <row r="6" spans="1:11" x14ac:dyDescent="0.3">
      <c r="A6" s="3" t="s">
        <v>284</v>
      </c>
      <c r="B6" s="3"/>
      <c r="C6" s="3"/>
      <c r="D6" s="38">
        <v>46307</v>
      </c>
      <c r="F6" s="21" t="s">
        <v>285</v>
      </c>
      <c r="G6" s="49">
        <f>IFERROR(IF($K$12=1,MIN($G$8,$G$11/4),IF($D$10="Auto (from Throw Log)",Reference!$B$94,VLOOKUP($D$10,Reference!$A$93:$D$96,2,FALSE()))*$D$12),"")</f>
        <v>80</v>
      </c>
      <c r="I6" s="1" t="s">
        <v>286</v>
      </c>
      <c r="J6" s="1"/>
      <c r="K6" s="44">
        <f>IFERROR(SUMIFS('Throw Log'!$Q$5:$Q$300,'Throw Log'!$B$5:$B$300,$D$4,'Throw Log'!$A$5:$A$300,"&gt;="&amp;($D$6-7),'Throw Log'!$A$5:$A$300,"&lt;="&amp;($D$6-0-1)),0)</f>
        <v>0</v>
      </c>
    </row>
    <row r="7" spans="1:11" x14ac:dyDescent="0.3">
      <c r="A7" s="3" t="s">
        <v>287</v>
      </c>
      <c r="B7" s="3"/>
      <c r="C7" s="3"/>
      <c r="D7" s="38">
        <v>46391</v>
      </c>
      <c r="F7" s="21" t="s">
        <v>288</v>
      </c>
      <c r="G7" s="50">
        <f>IFERROR(IF($D$10="Auto (from Throw Log)",IF($K$12=1,MIN(0.55,MAX(0,($G$6-Reference!$B$94*$D$12)/MAX(1,$G$8-Reference!$B$94*$D$12)*0.55)),0),VLOOKUP($D$10,Reference!$A$93:$D$96,3,FALSE())),0)</f>
        <v>0</v>
      </c>
      <c r="I7" s="1" t="s">
        <v>289</v>
      </c>
      <c r="J7" s="1"/>
      <c r="K7" s="44">
        <f>IFERROR(SUMIFS('Throw Log'!$Q$5:$Q$300,'Throw Log'!$B$5:$B$300,$D$4,'Throw Log'!$A$5:$A$300,"&gt;="&amp;($D$6-14),'Throw Log'!$A$5:$A$300,"&lt;="&amp;($D$6-7-1)),0)</f>
        <v>0</v>
      </c>
    </row>
    <row r="8" spans="1:11" x14ac:dyDescent="0.3">
      <c r="A8" s="3" t="s">
        <v>290</v>
      </c>
      <c r="B8" s="3"/>
      <c r="C8" s="3"/>
      <c r="D8" s="51">
        <v>20</v>
      </c>
      <c r="F8" s="21" t="s">
        <v>291</v>
      </c>
      <c r="G8" s="49">
        <f>Reference!$B$97*$D$12</f>
        <v>260</v>
      </c>
      <c r="I8" s="1" t="s">
        <v>292</v>
      </c>
      <c r="J8" s="1"/>
      <c r="K8" s="44">
        <f>IFERROR(SUMIFS('Throw Log'!$Q$5:$Q$300,'Throw Log'!$B$5:$B$300,$D$4,'Throw Log'!$A$5:$A$300,"&gt;="&amp;($D$6-21),'Throw Log'!$A$5:$A$300,"&lt;="&amp;($D$6-14-1)),0)</f>
        <v>0</v>
      </c>
    </row>
    <row r="9" spans="1:11" x14ac:dyDescent="0.3">
      <c r="A9" s="3" t="s">
        <v>293</v>
      </c>
      <c r="B9" s="3"/>
      <c r="C9" s="3"/>
      <c r="D9" s="51">
        <v>84</v>
      </c>
      <c r="E9" s="37">
        <v>86</v>
      </c>
      <c r="F9" s="21" t="s">
        <v>294</v>
      </c>
      <c r="G9" s="52">
        <f>IFERROR(MIN(Reference!$B$98,MAX(1,($G$8/$G$6)^(1/MAX(1,$G$5-1)))),1)</f>
        <v>1.125092775800282</v>
      </c>
      <c r="I9" s="1" t="s">
        <v>295</v>
      </c>
      <c r="J9" s="1"/>
      <c r="K9" s="44">
        <f>IFERROR(SUMIFS('Throw Log'!$Q$5:$Q$300,'Throw Log'!$B$5:$B$300,$D$4,'Throw Log'!$A$5:$A$300,"&gt;="&amp;($D$6-28),'Throw Log'!$A$5:$A$300,"&lt;="&amp;($D$6-21-1)),0)</f>
        <v>0</v>
      </c>
    </row>
    <row r="10" spans="1:11" x14ac:dyDescent="0.3">
      <c r="A10" s="3" t="s">
        <v>99</v>
      </c>
      <c r="B10" s="3"/>
      <c r="C10" s="3"/>
      <c r="D10" s="7" t="s">
        <v>103</v>
      </c>
      <c r="E10" s="7"/>
      <c r="F10" s="21" t="s">
        <v>296</v>
      </c>
      <c r="G10" s="53">
        <f>IFERROR(MIN(1,$G$6*$G$9^($G$5-1)/$G$8),1)</f>
        <v>1</v>
      </c>
      <c r="I10" s="1" t="s">
        <v>297</v>
      </c>
      <c r="J10" s="1"/>
      <c r="K10" s="46" t="str">
        <f>IFERROR(IF(SUM($K$6:$K$9)=0,"—",($K$6/7)/(SUM($K$6:$K$9)/28)),"—")</f>
        <v>—</v>
      </c>
    </row>
    <row r="11" spans="1:11" x14ac:dyDescent="0.3">
      <c r="A11" s="3" t="s">
        <v>298</v>
      </c>
      <c r="B11" s="3"/>
      <c r="C11" s="3"/>
      <c r="D11" s="51">
        <v>180</v>
      </c>
      <c r="F11" s="21" t="s">
        <v>299</v>
      </c>
      <c r="G11" s="49">
        <f>IFERROR(SUMIFS('Throw Log'!$Q$5:$Q$300,'Throw Log'!$B$5:$B$300,$D$4,'Throw Log'!$A$5:$A$300,"&gt;="&amp;($D$6-28),'Throw Log'!$A$5:$A$300,"&lt;="&amp;($D$6-1)),0)</f>
        <v>0</v>
      </c>
      <c r="I11" s="1" t="s">
        <v>300</v>
      </c>
      <c r="J11" s="1"/>
      <c r="K11" s="32" t="str">
        <f>IF($K$12=1,"Continue from his load",IF($G$11&gt;0,"Restart (off too long)","Fresh start"))</f>
        <v>Fresh start</v>
      </c>
    </row>
    <row r="12" spans="1:11" x14ac:dyDescent="0.3">
      <c r="A12" s="3" t="s">
        <v>301</v>
      </c>
      <c r="B12" s="3"/>
      <c r="C12" s="3"/>
      <c r="D12" s="54">
        <v>1</v>
      </c>
      <c r="F12" s="21" t="s">
        <v>302</v>
      </c>
      <c r="G12" s="50">
        <f>IFERROR(INDEX($I$43:$I$183,$G$4+1),"")</f>
        <v>1.3197223370749587</v>
      </c>
      <c r="I12" s="1" t="s">
        <v>303</v>
      </c>
      <c r="J12" s="1"/>
      <c r="K12" s="55">
        <f>IF(AND(ISNUMBER($K$5),N($K$5)&lt;=Reference!$B$105,$G$11&gt;0),1,0)</f>
        <v>0</v>
      </c>
    </row>
    <row r="13" spans="1:11" x14ac:dyDescent="0.3">
      <c r="F13" s="21" t="s">
        <v>304</v>
      </c>
      <c r="G13" s="50">
        <f>IFERROR(MAX($I$43:$I$183),"")</f>
        <v>1.3197223370749587</v>
      </c>
    </row>
    <row r="14" spans="1:11" x14ac:dyDescent="0.3">
      <c r="A14" s="57" t="str">
        <f>IFERROR(IF($D$5="","Pick a player who is on the Roster (with his Avg Top Velo filled in).",IF($G$4&lt;IF($D$10="Auto (from Throw Log)",IF($K$12=1,Reference!$D$96,Reference!$D$94),VLOOKUP($D$10,Reference!$A$93:$D$96,4,FALSE())),"⚠ "&amp;$G$4&amp;" days is shorter than the recommended "&amp;IF($D$10="Auto (from Throw Log)",IF($K$12=1,Reference!$D$96,Reference!$D$94),VLOOKUP($D$10,Reference!$A$93:$D$96,4,FALSE()))&amp;" days for this starting point — expect ACWR spikes. Push the first pen back or change the Starting Point.",IF($G$4&gt;140,"⚠ The table covers 140 days max — move the start date later.",IF(COUNTIFS($I$43:$I$183,"&gt;1.3")&gt;0,"⚠ "&amp;COUNTIFS($I$43:$I$183,"&gt;1.3")&amp;" day(s) above 1.3 — see the ACWR column; use Make Off / Throws Override to smooth it out.",IF(COUNTIFS($I$43:$I$183,"&lt;0.8")&gt;0,"✓ No spikes above 1.3. "&amp;COUNTIFS($I$43:$I$183,"&lt;0.8")&amp;" day(s) read below 0.8 — that's him stepping down from a heavier recent load, not a risk.","✓ Every readable day sits in the 0.8–1.3 sweet spot, including the first pen."))))),"Fill in the start and first-bullpen dates.")</f>
        <v>⚠ 1 day(s) above 1.3 — see the ACWR column; use Make Off / Throws Override to smooth it out.</v>
      </c>
      <c r="B14" s="57"/>
      <c r="C14" s="57"/>
      <c r="D14" s="57"/>
      <c r="E14" s="57"/>
      <c r="F14" s="57"/>
      <c r="G14" s="57"/>
    </row>
    <row r="15" spans="1:11" x14ac:dyDescent="0.3">
      <c r="A15" s="57"/>
      <c r="B15" s="57"/>
      <c r="C15" s="57"/>
      <c r="D15" s="57"/>
      <c r="E15" s="57"/>
      <c r="F15" s="57"/>
      <c r="G15" s="57"/>
    </row>
    <row r="16" spans="1:11" x14ac:dyDescent="0.3">
      <c r="A16" s="13" t="str">
        <f>IFERROR("First pen at "&amp;$D$9&amp;"–"&amp;$E$9&amp;" mph = "&amp;ROUND($D$5-$E$9,0)&amp;"–"&amp;ROUND($D$5-$D$9,0)&amp;" mph below his avg"&amp;IF($D$5-$E$9&lt;4," — the top end is in his max-effort band; consider lowering the pen velo for him.","."),"")</f>
        <v>First pen at 84–86 mph = 3–5 mph below his avg — the top end is in his max-effort band; consider lowering the pen velo for him.</v>
      </c>
      <c r="B16" s="13"/>
      <c r="C16" s="13"/>
      <c r="D16" s="13"/>
      <c r="E16" s="13"/>
      <c r="F16" s="13"/>
      <c r="G16" s="13"/>
    </row>
    <row r="17" spans="1:7" x14ac:dyDescent="0.3">
      <c r="A17" s="13" t="str">
        <f>IF($K$12=1,"ℹ Built off his Throw Log: starts at his average week over the last 28 days ("&amp;ROUND($G$11/4,0)&amp;"/week)"&amp;IF($G$11/4&gt;$G$8," — capped at this plan's peak, a planned cut-back","")&amp;", and that history counts toward his ACWR from day 1.",IF($G$11&gt;0,"ℹ He's been off "&amp;$K$5&amp;" days, more than the "&amp;Reference!$B$105&amp;" his history can cover — his old workload will expire out of the 28-day window, so the plan treats this as a restart and the ACWR reads from day 28.","ℹ No throwing logged for him in the 28 days before the start date — fresh start, ACWR reads from day 28."))</f>
        <v>ℹ No throwing logged for him in the 28 days before the start date — fresh start, ACWR reads from day 28.</v>
      </c>
      <c r="B17" s="13"/>
      <c r="C17" s="13"/>
      <c r="D17" s="13"/>
      <c r="E17" s="13"/>
      <c r="F17" s="13"/>
      <c r="G17" s="13"/>
    </row>
    <row r="18" spans="1:7" ht="30" customHeight="1" x14ac:dyDescent="0.3">
      <c r="A18" s="19" t="s">
        <v>203</v>
      </c>
      <c r="B18" s="19" t="s">
        <v>305</v>
      </c>
      <c r="C18" s="19" t="s">
        <v>306</v>
      </c>
      <c r="D18" s="19" t="s">
        <v>205</v>
      </c>
      <c r="E18" s="19" t="s">
        <v>207</v>
      </c>
      <c r="F18" s="19" t="s">
        <v>307</v>
      </c>
    </row>
    <row r="19" spans="1:7" x14ac:dyDescent="0.3">
      <c r="A19" s="48">
        <f t="shared" ref="A19:A39" si="0">IFERROR(IF($D$6+7*(B19-1)&gt;$D$7,"",$D$6+7*(B19-1)),"")</f>
        <v>46307</v>
      </c>
      <c r="B19" s="32">
        <v>1</v>
      </c>
      <c r="C19" s="32">
        <f t="shared" ref="C19:C39" si="1">IF(A19="","",COUNTIFS($M$43:$M$183,B19,$H$43:$H$183,"&gt;0"))</f>
        <v>4</v>
      </c>
      <c r="D19" s="44">
        <f t="shared" ref="D19:D39" si="2">IF(A19="","",SUMIFS($H$43:$H$183,$M$43:$M$183,B19))</f>
        <v>66</v>
      </c>
      <c r="E19" s="45"/>
      <c r="F19" s="46" t="str">
        <f t="shared" ref="F19:F39" si="3">IF(A19="","",INDEX($I$43:$I$183,MIN(7*B19,$G$4+1)))</f>
        <v>Building</v>
      </c>
    </row>
    <row r="20" spans="1:7" x14ac:dyDescent="0.3">
      <c r="A20" s="48">
        <f t="shared" si="0"/>
        <v>46314</v>
      </c>
      <c r="B20" s="32">
        <v>2</v>
      </c>
      <c r="C20" s="32">
        <f t="shared" si="1"/>
        <v>5</v>
      </c>
      <c r="D20" s="44">
        <f t="shared" si="2"/>
        <v>85.350000000000009</v>
      </c>
      <c r="E20" s="45">
        <f t="shared" ref="E20:E39" si="4">IF(OR(A20="",D19="",D19=0),"",D20/D19-1)</f>
        <v>0.29318181818181821</v>
      </c>
      <c r="F20" s="46" t="str">
        <f t="shared" si="3"/>
        <v>Building</v>
      </c>
    </row>
    <row r="21" spans="1:7" x14ac:dyDescent="0.3">
      <c r="A21" s="48">
        <f t="shared" si="0"/>
        <v>46321</v>
      </c>
      <c r="B21" s="32">
        <v>3</v>
      </c>
      <c r="C21" s="32">
        <f t="shared" si="1"/>
        <v>5</v>
      </c>
      <c r="D21" s="44">
        <f t="shared" si="2"/>
        <v>103.5</v>
      </c>
      <c r="E21" s="45">
        <f t="shared" si="4"/>
        <v>0.21265377855887513</v>
      </c>
      <c r="F21" s="46" t="str">
        <f t="shared" si="3"/>
        <v>Building</v>
      </c>
    </row>
    <row r="22" spans="1:7" x14ac:dyDescent="0.3">
      <c r="A22" s="48">
        <f t="shared" si="0"/>
        <v>46328</v>
      </c>
      <c r="B22" s="32">
        <v>4</v>
      </c>
      <c r="C22" s="32">
        <f t="shared" si="1"/>
        <v>5</v>
      </c>
      <c r="D22" s="44">
        <f t="shared" si="2"/>
        <v>103.57714285714286</v>
      </c>
      <c r="E22" s="45">
        <f t="shared" si="4"/>
        <v>7.4534161490680262E-4</v>
      </c>
      <c r="F22" s="46">
        <f t="shared" si="3"/>
        <v>1.1559073571437113</v>
      </c>
    </row>
    <row r="23" spans="1:7" x14ac:dyDescent="0.3">
      <c r="A23" s="48">
        <f t="shared" si="0"/>
        <v>46335</v>
      </c>
      <c r="B23" s="32">
        <v>5</v>
      </c>
      <c r="C23" s="32">
        <f t="shared" si="1"/>
        <v>5</v>
      </c>
      <c r="D23" s="44">
        <f t="shared" si="2"/>
        <v>115.72285714285715</v>
      </c>
      <c r="E23" s="45">
        <f t="shared" si="4"/>
        <v>0.1172624958622972</v>
      </c>
      <c r="F23" s="46">
        <f t="shared" si="3"/>
        <v>1.1341208589279153</v>
      </c>
    </row>
    <row r="24" spans="1:7" x14ac:dyDescent="0.3">
      <c r="A24" s="48">
        <f t="shared" si="0"/>
        <v>46342</v>
      </c>
      <c r="B24" s="32">
        <v>6</v>
      </c>
      <c r="C24" s="32">
        <f t="shared" si="1"/>
        <v>5</v>
      </c>
      <c r="D24" s="44">
        <f t="shared" si="2"/>
        <v>136.4325</v>
      </c>
      <c r="E24" s="45">
        <f t="shared" si="4"/>
        <v>0.17895896600251837</v>
      </c>
      <c r="F24" s="46">
        <f t="shared" si="3"/>
        <v>1.1883523052048797</v>
      </c>
    </row>
    <row r="25" spans="1:7" x14ac:dyDescent="0.3">
      <c r="A25" s="48">
        <f t="shared" si="0"/>
        <v>46349</v>
      </c>
      <c r="B25" s="32">
        <v>7</v>
      </c>
      <c r="C25" s="32">
        <f t="shared" si="1"/>
        <v>6</v>
      </c>
      <c r="D25" s="44">
        <f t="shared" si="2"/>
        <v>145.38</v>
      </c>
      <c r="E25" s="45">
        <f t="shared" si="4"/>
        <v>6.5581881150019061E-2</v>
      </c>
      <c r="F25" s="46">
        <f t="shared" si="3"/>
        <v>1.1604579809922919</v>
      </c>
    </row>
    <row r="26" spans="1:7" x14ac:dyDescent="0.3">
      <c r="A26" s="48">
        <f t="shared" si="0"/>
        <v>46356</v>
      </c>
      <c r="B26" s="32">
        <v>8</v>
      </c>
      <c r="C26" s="32">
        <f t="shared" si="1"/>
        <v>6</v>
      </c>
      <c r="D26" s="44">
        <f t="shared" si="2"/>
        <v>165.61666666666665</v>
      </c>
      <c r="E26" s="45">
        <f t="shared" si="4"/>
        <v>0.13919842252487724</v>
      </c>
      <c r="F26" s="46">
        <f t="shared" si="3"/>
        <v>1.1763549426410909</v>
      </c>
    </row>
    <row r="27" spans="1:7" x14ac:dyDescent="0.3">
      <c r="A27" s="48">
        <f t="shared" si="0"/>
        <v>46363</v>
      </c>
      <c r="B27" s="32">
        <v>9</v>
      </c>
      <c r="C27" s="32">
        <f t="shared" si="1"/>
        <v>6</v>
      </c>
      <c r="D27" s="44">
        <f t="shared" si="2"/>
        <v>206.38833333333332</v>
      </c>
      <c r="E27" s="45">
        <f t="shared" si="4"/>
        <v>0.24618093992150558</v>
      </c>
      <c r="F27" s="46">
        <f t="shared" si="3"/>
        <v>1.2626663148865445</v>
      </c>
    </row>
    <row r="28" spans="1:7" x14ac:dyDescent="0.3">
      <c r="A28" s="48">
        <f t="shared" si="0"/>
        <v>46370</v>
      </c>
      <c r="B28" s="32">
        <v>10</v>
      </c>
      <c r="C28" s="32">
        <f t="shared" si="1"/>
        <v>6</v>
      </c>
      <c r="D28" s="44">
        <f t="shared" si="2"/>
        <v>211.185</v>
      </c>
      <c r="E28" s="45">
        <f t="shared" si="4"/>
        <v>2.3240977768446358E-2</v>
      </c>
      <c r="F28" s="46">
        <f t="shared" si="3"/>
        <v>1.1594493322535926</v>
      </c>
    </row>
    <row r="29" spans="1:7" x14ac:dyDescent="0.3">
      <c r="A29" s="48">
        <f t="shared" si="0"/>
        <v>46377</v>
      </c>
      <c r="B29" s="32">
        <v>11</v>
      </c>
      <c r="C29" s="32">
        <f t="shared" si="1"/>
        <v>6</v>
      </c>
      <c r="D29" s="44">
        <f t="shared" si="2"/>
        <v>223.28333333333333</v>
      </c>
      <c r="E29" s="45">
        <f t="shared" si="4"/>
        <v>5.7287843991445042E-2</v>
      </c>
      <c r="F29" s="46">
        <f t="shared" si="3"/>
        <v>1.1074555058650419</v>
      </c>
    </row>
    <row r="30" spans="1:7" x14ac:dyDescent="0.3">
      <c r="A30" s="48">
        <f t="shared" si="0"/>
        <v>46384</v>
      </c>
      <c r="B30" s="32">
        <v>12</v>
      </c>
      <c r="C30" s="32">
        <f t="shared" si="1"/>
        <v>6</v>
      </c>
      <c r="D30" s="44">
        <f t="shared" si="2"/>
        <v>225.72749999999999</v>
      </c>
      <c r="E30" s="45">
        <f t="shared" si="4"/>
        <v>1.0946480555348082E-2</v>
      </c>
      <c r="F30" s="46">
        <f t="shared" si="3"/>
        <v>1.0419184133874282</v>
      </c>
    </row>
    <row r="31" spans="1:7" x14ac:dyDescent="0.3">
      <c r="A31" s="48">
        <f t="shared" si="0"/>
        <v>46391</v>
      </c>
      <c r="B31" s="32">
        <v>13</v>
      </c>
      <c r="C31" s="32">
        <f t="shared" si="1"/>
        <v>1</v>
      </c>
      <c r="D31" s="44">
        <f t="shared" si="2"/>
        <v>109.5</v>
      </c>
      <c r="E31" s="45">
        <f t="shared" si="4"/>
        <v>-0.51490181745688934</v>
      </c>
      <c r="F31" s="46">
        <f t="shared" si="3"/>
        <v>1.3197223370749587</v>
      </c>
    </row>
    <row r="32" spans="1:7" x14ac:dyDescent="0.3">
      <c r="A32" s="48" t="str">
        <f t="shared" si="0"/>
        <v/>
      </c>
      <c r="B32" s="32">
        <v>14</v>
      </c>
      <c r="C32" s="32" t="str">
        <f t="shared" si="1"/>
        <v/>
      </c>
      <c r="D32" s="44" t="str">
        <f t="shared" si="2"/>
        <v/>
      </c>
      <c r="E32" s="45" t="str">
        <f t="shared" si="4"/>
        <v/>
      </c>
      <c r="F32" s="46" t="str">
        <f t="shared" si="3"/>
        <v/>
      </c>
    </row>
    <row r="33" spans="1:43" x14ac:dyDescent="0.3">
      <c r="A33" s="48" t="str">
        <f t="shared" si="0"/>
        <v/>
      </c>
      <c r="B33" s="32">
        <v>15</v>
      </c>
      <c r="C33" s="32" t="str">
        <f t="shared" si="1"/>
        <v/>
      </c>
      <c r="D33" s="44" t="str">
        <f t="shared" si="2"/>
        <v/>
      </c>
      <c r="E33" s="45" t="str">
        <f t="shared" si="4"/>
        <v/>
      </c>
      <c r="F33" s="46" t="str">
        <f t="shared" si="3"/>
        <v/>
      </c>
    </row>
    <row r="34" spans="1:43" x14ac:dyDescent="0.3">
      <c r="A34" s="48" t="str">
        <f t="shared" si="0"/>
        <v/>
      </c>
      <c r="B34" s="32">
        <v>16</v>
      </c>
      <c r="C34" s="32" t="str">
        <f t="shared" si="1"/>
        <v/>
      </c>
      <c r="D34" s="44" t="str">
        <f t="shared" si="2"/>
        <v/>
      </c>
      <c r="E34" s="45" t="str">
        <f t="shared" si="4"/>
        <v/>
      </c>
      <c r="F34" s="46" t="str">
        <f t="shared" si="3"/>
        <v/>
      </c>
    </row>
    <row r="35" spans="1:43" x14ac:dyDescent="0.3">
      <c r="A35" s="48" t="str">
        <f t="shared" si="0"/>
        <v/>
      </c>
      <c r="B35" s="32">
        <v>17</v>
      </c>
      <c r="C35" s="32" t="str">
        <f t="shared" si="1"/>
        <v/>
      </c>
      <c r="D35" s="44" t="str">
        <f t="shared" si="2"/>
        <v/>
      </c>
      <c r="E35" s="45" t="str">
        <f t="shared" si="4"/>
        <v/>
      </c>
      <c r="F35" s="46" t="str">
        <f t="shared" si="3"/>
        <v/>
      </c>
    </row>
    <row r="36" spans="1:43" x14ac:dyDescent="0.3">
      <c r="A36" s="48" t="str">
        <f t="shared" si="0"/>
        <v/>
      </c>
      <c r="B36" s="32">
        <v>18</v>
      </c>
      <c r="C36" s="32" t="str">
        <f t="shared" si="1"/>
        <v/>
      </c>
      <c r="D36" s="44" t="str">
        <f t="shared" si="2"/>
        <v/>
      </c>
      <c r="E36" s="45" t="str">
        <f t="shared" si="4"/>
        <v/>
      </c>
      <c r="F36" s="46" t="str">
        <f t="shared" si="3"/>
        <v/>
      </c>
    </row>
    <row r="37" spans="1:43" x14ac:dyDescent="0.3">
      <c r="A37" s="48" t="str">
        <f t="shared" si="0"/>
        <v/>
      </c>
      <c r="B37" s="32">
        <v>19</v>
      </c>
      <c r="C37" s="32" t="str">
        <f t="shared" si="1"/>
        <v/>
      </c>
      <c r="D37" s="44" t="str">
        <f t="shared" si="2"/>
        <v/>
      </c>
      <c r="E37" s="45" t="str">
        <f t="shared" si="4"/>
        <v/>
      </c>
      <c r="F37" s="46" t="str">
        <f t="shared" si="3"/>
        <v/>
      </c>
    </row>
    <row r="38" spans="1:43" x14ac:dyDescent="0.3">
      <c r="A38" s="48" t="str">
        <f t="shared" si="0"/>
        <v/>
      </c>
      <c r="B38" s="32">
        <v>20</v>
      </c>
      <c r="C38" s="32" t="str">
        <f t="shared" si="1"/>
        <v/>
      </c>
      <c r="D38" s="44" t="str">
        <f t="shared" si="2"/>
        <v/>
      </c>
      <c r="E38" s="45" t="str">
        <f t="shared" si="4"/>
        <v/>
      </c>
      <c r="F38" s="46" t="str">
        <f t="shared" si="3"/>
        <v/>
      </c>
    </row>
    <row r="39" spans="1:43" x14ac:dyDescent="0.3">
      <c r="A39" s="48" t="str">
        <f t="shared" si="0"/>
        <v/>
      </c>
      <c r="B39" s="32">
        <v>21</v>
      </c>
      <c r="C39" s="32" t="str">
        <f t="shared" si="1"/>
        <v/>
      </c>
      <c r="D39" s="44" t="str">
        <f t="shared" si="2"/>
        <v/>
      </c>
      <c r="E39" s="45" t="str">
        <f t="shared" si="4"/>
        <v/>
      </c>
      <c r="F39" s="46" t="str">
        <f t="shared" si="3"/>
        <v/>
      </c>
    </row>
    <row r="42" spans="1:43" ht="31.5" customHeight="1" x14ac:dyDescent="0.3">
      <c r="A42" s="19" t="s">
        <v>150</v>
      </c>
      <c r="B42" s="19" t="s">
        <v>258</v>
      </c>
      <c r="C42" s="19" t="s">
        <v>308</v>
      </c>
      <c r="D42" s="19" t="s">
        <v>309</v>
      </c>
      <c r="E42" s="19" t="s">
        <v>92</v>
      </c>
      <c r="F42" s="19" t="s">
        <v>58</v>
      </c>
      <c r="G42" s="19" t="s">
        <v>310</v>
      </c>
      <c r="H42" s="19" t="s">
        <v>311</v>
      </c>
      <c r="I42" s="19" t="s">
        <v>312</v>
      </c>
      <c r="J42" s="19" t="s">
        <v>313</v>
      </c>
      <c r="K42" s="19" t="s">
        <v>314</v>
      </c>
      <c r="L42" s="19" t="s">
        <v>315</v>
      </c>
      <c r="M42" s="19" t="s">
        <v>305</v>
      </c>
      <c r="N42" s="19" t="s">
        <v>316</v>
      </c>
      <c r="O42" s="19" t="s">
        <v>317</v>
      </c>
      <c r="P42" s="19" t="s">
        <v>318</v>
      </c>
      <c r="Q42" s="19" t="s">
        <v>319</v>
      </c>
      <c r="R42" s="19" t="s">
        <v>320</v>
      </c>
      <c r="S42" s="19" t="s">
        <v>321</v>
      </c>
      <c r="T42" s="19" t="s">
        <v>322</v>
      </c>
      <c r="U42" s="19" t="s">
        <v>323</v>
      </c>
      <c r="V42" s="19" t="s">
        <v>324</v>
      </c>
      <c r="W42" s="19" t="s">
        <v>325</v>
      </c>
      <c r="X42" s="19" t="s">
        <v>326</v>
      </c>
      <c r="Y42" s="19" t="s">
        <v>327</v>
      </c>
      <c r="Z42" s="19" t="s">
        <v>328</v>
      </c>
      <c r="AA42" s="19" t="s">
        <v>329</v>
      </c>
      <c r="AB42" s="19" t="s">
        <v>330</v>
      </c>
      <c r="AC42" s="19" t="s">
        <v>331</v>
      </c>
      <c r="AD42" s="19" t="s">
        <v>332</v>
      </c>
      <c r="AE42" s="19" t="s">
        <v>333</v>
      </c>
      <c r="AF42" s="19" t="s">
        <v>334</v>
      </c>
      <c r="AG42" s="19" t="s">
        <v>335</v>
      </c>
      <c r="AH42" s="19" t="s">
        <v>336</v>
      </c>
      <c r="AI42" s="19" t="s">
        <v>337</v>
      </c>
      <c r="AJ42" s="19" t="s">
        <v>338</v>
      </c>
      <c r="AK42" s="19" t="s">
        <v>339</v>
      </c>
      <c r="AL42" s="19" t="s">
        <v>340</v>
      </c>
      <c r="AM42" s="19" t="s">
        <v>341</v>
      </c>
      <c r="AN42" s="19" t="s">
        <v>342</v>
      </c>
      <c r="AO42" s="19" t="s">
        <v>343</v>
      </c>
      <c r="AP42" s="19" t="s">
        <v>344</v>
      </c>
      <c r="AQ42" s="19" t="s">
        <v>345</v>
      </c>
    </row>
    <row r="43" spans="1:43" x14ac:dyDescent="0.3">
      <c r="A43" s="48">
        <f t="shared" ref="A43:A74" si="5">IFERROR(IF($L43&gt;$G$4,"",$D$6+$L43),"")</f>
        <v>46307</v>
      </c>
      <c r="B43" s="32" t="str">
        <f t="shared" ref="B43:B74" si="6">IF($A43="","",TEXT($A43,"ddd"))</f>
        <v>Mon</v>
      </c>
      <c r="C43" s="32">
        <f t="shared" ref="C43:C74" si="7">IF($A43="","",$G$4-$L43)</f>
        <v>84</v>
      </c>
      <c r="D43" s="32" t="str">
        <f t="shared" ref="D43:D74" si="8">IF($A43="","",IF($C43=0,"First Bullpen",IF($C43&lt;=7,"Taper",IF($O43&lt;0.2,"Re-entry",IF($O43&lt;0.45,"Base",IF($O43&lt;0.65,"Extension","Flat Ground / Intent"))))))</f>
        <v>Re-entry</v>
      </c>
      <c r="E43" s="32" t="str">
        <f t="shared" ref="E43:E74" si="9">IF($A43="","",IF($AD43,"No Throw",IF($C43=0,"High Bullpen",IF($C43=6,"High Non-Bullpen",IF(OR($C43=4,$C43=2),"Medium",IF($T43="Recovery/Easy Catch","Low",IF($N43=1,IF($O43&lt;0.4,"Low",IF($O43&lt;0.7,"Medium","High Non-Bullpen")),IF($N43=3,IF($O43&lt;0.5,"Medium","High Non-Bullpen"),IF($O43&lt;0.62,"Medium","High Non-Bullpen")))))))))</f>
        <v>Low</v>
      </c>
      <c r="F43" s="32" t="str">
        <f t="shared" ref="F43:F74" si="10">IF($A43="","",IF($AD43,"No Throw",$T43))</f>
        <v>Recovery/Easy Catch</v>
      </c>
      <c r="G43" s="47" t="str">
        <f t="shared" ref="G43:G74" si="11">IF($A43="","",IF($AD43,"Off",IF($AL43&gt;1,"Long toss out to "&amp;$U43&amp;" ft — "&amp;$AB43&amp;" throws ("&amp;IF(1&lt;=$AL43,MIN($U43,90)&amp;"×"&amp;(ROUND($AB43*(1*($AL43+3)-1)/($AL43*($AL43+5)/2),0)-0),"")&amp;IF(2&lt;=$AL43," · "&amp;MIN($U43,120)&amp;"×"&amp;(ROUND($AB43*(2*($AL43+3)-3)/($AL43*($AL43+5)/2),0)-ROUND($AB43*(1*($AL43+3)-1)/($AL43*($AL43+5)/2),0)),"")&amp;IF(3&lt;=$AL43," · "&amp;MIN($U43,150)&amp;"×"&amp;(ROUND($AB43*(3*($AL43+3)-6)/($AL43*($AL43+5)/2),0)-ROUND($AB43*(2*($AL43+3)-3)/($AL43*($AL43+5)/2),0)),"")&amp;IF(4&lt;=$AL43," · "&amp;MIN($U43,180)&amp;"×"&amp;(ROUND($AB43*(4*($AL43+3)-10)/($AL43*($AL43+5)/2),0)-ROUND($AB43*(3*($AL43+3)-6)/($AL43*($AL43+5)/2),0)),"")&amp;IF(5&lt;=$AL43," · "&amp;MIN($U43,210)&amp;"×"&amp;(ROUND($AB43*(5*($AL43+3)-15)/($AL43*($AL43+5)/2),0)-ROUND($AB43*(4*($AL43+3)-10)/($AL43*($AL43+5)/2),0)),"")&amp;IF(6&lt;=$AL43," · "&amp;MIN($U43,240)&amp;"×"&amp;(ROUND($AB43*(6*($AL43+3)-21)/($AL43*($AL43+5)/2),0)-ROUND($AB43*(5*($AL43+3)-15)/($AL43*($AL43+5)/2),0)),"")&amp;IF(7&lt;=$AL43," · "&amp;MIN($U43,270)&amp;"×"&amp;(ROUND($AB43*(7*($AL43+3)-28)/($AL43*($AL43+5)/2),0)-ROUND($AB43*(6*($AL43+3)-21)/($AL43*($AL43+5)/2),0)),"")&amp;IF(8&lt;=$AL43," · "&amp;MIN($U43,300)&amp;"×"&amp;(ROUND($AB43*(8*($AL43+3)-36)/($AL43*($AL43+5)/2),0)-ROUND($AB43*(7*($AL43+3)-28)/($AL43*($AL43+5)/2),0)),"")&amp;")",$U43&amp;" ft × "&amp;$AB43)&amp;" @ "&amp;ROUND($D$5-$W43,0)&amp;"–"&amp;ROUND($D$5-$V43,0)&amp;" mph"&amp;IF($X43&gt;0,IF($Y43&lt;10," + flat ground at 60 ft × "," + 60 ft × ")&amp;$X43&amp;" @ "&amp;ROUND($D$5-$Z43,0)&amp;"–"&amp;ROUND($D$5-$Y43,0)&amp;" mph","")&amp;IF($AC43&gt;0," + MOUND × "&amp;$AC43&amp;" pitches @ "&amp;$D$9&amp;"–"&amp;$E$9&amp;" mph","")))</f>
        <v>60 ft × 25 @ 65–69 mph</v>
      </c>
      <c r="H43" s="30">
        <f t="shared" ref="H43:H74" si="12">IF($A43="","",IF($AD43,0,$AB43*$AF43+$AE43+$AG43))</f>
        <v>15</v>
      </c>
      <c r="I43" s="46" t="str">
        <f>IF($A43="","",IF(AND($L43&lt;27,$K$12=0),"Building",IFERROR(((SUM($H$43:$H43)+$K$12*IF($L43&lt;6,SUMIFS('Throw Log'!$Q$5:$Q$300,'Throw Log'!$B$5:$B$300,$D$4,'Throw Log'!$A$5:$A$300,"&gt;="&amp;($D$6+$L43-6),'Throw Log'!$A$5:$A$300,"&lt;="&amp;($D$6-1)),0))/7)/((SUM($H$43:$H43)+$K$12*IF($L43&lt;27,SUMIFS('Throw Log'!$Q$5:$Q$300,'Throw Log'!$B$5:$B$300,$D$4,'Throw Log'!$A$5:$A$300,"&gt;="&amp;($D$6+$L43-27),'Throw Log'!$A$5:$A$300,"&lt;="&amp;($D$6-1)),0))/28),"")))</f>
        <v>Building</v>
      </c>
      <c r="J43" s="37"/>
      <c r="K43" s="37">
        <v>25</v>
      </c>
      <c r="L43" s="32">
        <v>0</v>
      </c>
      <c r="M43" s="32">
        <f t="shared" ref="M43:M74" si="13">INT($L43/7)+1</f>
        <v>1</v>
      </c>
      <c r="N43" s="32">
        <f t="shared" ref="N43:N74" si="14">MOD($L43,7)</f>
        <v>0</v>
      </c>
      <c r="O43" s="32">
        <f t="shared" ref="O43:O74" si="15">MIN(1,$G$7+(1-$G$7)*$L43/MAX(1,N($G$4)-8))</f>
        <v>0</v>
      </c>
      <c r="P43" s="32">
        <f>IF(OR($A43="",N($C43)&lt;=7),"",$G$6*$G$9^($M43-1)*IF(AND(MOD($M43,Reference!$B$99)=0,$M43&lt;=$G$5-2),Reference!$B$100,1))</f>
        <v>80</v>
      </c>
      <c r="Q43" s="32">
        <f>IF($P43="","",IF(SUM($AK$43:$AK$49)=0,0,$P43*INDEX(Reference!$B$108:$B$114,$N43+1)/SUM($AK$43:$AK$49)))</f>
        <v>13.150684931506849</v>
      </c>
      <c r="R43" s="32">
        <f t="shared" ref="R43:R74" si="16">ROUND((60+($D$11-60)*MIN(1,$O43/0.75))/15,0)*15</f>
        <v>60</v>
      </c>
      <c r="S43" s="32">
        <f t="shared" ref="S43:S74" si="17">ROUND((60+($R43-60)*0.8)/15,0)*15</f>
        <v>60</v>
      </c>
      <c r="T43" s="32" t="str">
        <f>IF($A43="","",IF($C43=0,"Bullpen",IF(OR($C43=7,$C43=1,$C43=5),"Recovery/Easy Catch",IF($C43=6,"Compression/Pulldowns",IF(OR($C43=4,$C43=2),"Long Toss",IF($C43=3,"No Throw",IF($N43=2,"No Throw",IF($N43=6,IF($O43&lt;Reference!$B$104,"No Throw","Recovery/Easy Catch"),IF(OR($N43=0,$N43=4),"Recovery/Easy Catch",IF($N43=1,IF($R43&gt;75,"Long Toss","Recovery/Easy Catch"),IF($N43=3,IF($O43&lt;0.5,IF($S43&gt;75,"Long Toss","Recovery/Easy Catch"),"Compression/Pulldowns"),IF($S43&gt;75,"Long Toss","Recovery/Easy Catch"))))))))))))</f>
        <v>Recovery/Easy Catch</v>
      </c>
      <c r="U43" s="32">
        <f t="shared" ref="U43:U74" si="18">IF($A43="","",IF(N($AO43)&gt;0,$AO43,IF($C43=0,90,IF(OR($C43=7,$C43=1),75,IF($C43=6,90,IF($C43=5,60,IF($C43=4,MIN(150,ROUND(0.75*$D$11/15,0)*15),IF($C43=2,MIN(120,ROUND(0.67*$D$11/15,0)*15),IF($C43=3,"",IF($N43=2,"",IF($N43=6,60,IF($N43=0,IF($O43&lt;0.25,60,75),IF($N43=4,IF($O43&lt;0.5,60,75),IF($N43=1,$R43,IF($N43=3,IF($O43&lt;0.5,$S43,90),$S43)))))))))))))))</f>
        <v>60</v>
      </c>
      <c r="V43" s="32">
        <f t="shared" ref="V43:V74" si="19">IF($A43="","",IF(N($AQ43)&gt;0,$D$5-$AQ43,IF(N($AP43)&gt;0,$D$5-$AP43,IF($C43=0,10,IF(OR($C43=7,$C43=1),18,IF($C43=6,7,IF($C43=5,20,IF(OR($C43=4,$C43=2),10,IF($C43=3,"",IF($N43=2,"",IF($N43=6,20,IF($N43=0,IF($O43&lt;0.25,20,18),IF($N43=4,IF($O43&lt;0.5,20,18),IF($N43=1,IF($O43&lt;0.25,18,IF($O43&lt;0.5,13,10)),IF($N43=3,IF($O43&lt;0.5,IF($O43&lt;0.25,18,13),7),IF($O43&lt;0.25,18,IF($O43&lt;0.5,12,10)))))))))))))))))</f>
        <v>20</v>
      </c>
      <c r="W43" s="32">
        <f t="shared" ref="W43:W74" si="20">IF($A43="","",IF(N($AP43)&gt;0,$D$5-$AP43,IF(N($AQ43)&gt;0,$D$5-$AQ43,IF($C43=0,12,IF(OR($C43=7,$C43=1),22,IF($C43=6,9,IF($C43=5,24,IF(OR($C43=4,$C43=2),13,IF($C43=3,"",IF($N43=2,"",IF($N43=6,24,IF($N43=0,IF($O43&lt;0.25,24,22),IF($N43=4,IF($O43&lt;0.5,24,22),IF($N43=1,IF($O43&lt;0.25,22,IF($O43&lt;0.5,16,12)),IF($N43=3,IF($O43&lt;0.5,IF($O43&lt;0.25,22,16),9),IF($O43&lt;0.25,22,IF($O43&lt;0.5,15,13)))))))))))))))))</f>
        <v>24</v>
      </c>
      <c r="X43" s="32">
        <f t="shared" ref="X43:X74" si="21">IF($A43="",0,IF($C43=6,ROUND(25*$G$10,0),IF(OR($C43=4,$C43=2),ROUND(15*$G$10,0),IF($C43&lt;=7,0,IF($N43=1,IF($O43&lt;0.2,0,IF($O43&lt;0.5,10,15)),IF($N43=3,IF($O43&lt;0.5,IF($O43&lt;0.2,0,10),IF($O43&lt;0.62,15,IF($O43&lt;0.8,20,25))),IF($N43=5,IF($O43&lt;0.2,0,IF($O43&lt;0.62,12,IF($O43&lt;0.8,20,25))),0)))))))</f>
        <v>0</v>
      </c>
      <c r="Y43" s="32" t="str">
        <f t="shared" ref="Y43:Y74" si="22">IF($X43=0,"",IF($C43=6,$D$5-$E$9,IF(OR($C43=4,$C43=2),8,IF($N43=1,IF($O43&lt;0.5,14,10),IF($N43=3,IF($O43&lt;0.5,14,IF($O43&lt;0.62,10,7)),IF($N43=5,IF($O43&lt;0.5,14,IF($O43&lt;0.62,12,7)),""))))))</f>
        <v/>
      </c>
      <c r="Z43" s="32" t="str">
        <f t="shared" ref="Z43:Z74" si="23">IF($X43=0,"",IF($C43=6,$D$5-$D$9,IF(OR($C43=4,$C43=2),10,IF($N43=1,IF($O43&lt;0.5,18,12),IF($N43=3,IF($O43&lt;0.5,18,IF($O43&lt;0.62,12,9)),IF($N43=5,IF($O43&lt;0.5,18,IF($O43&lt;0.62,15,9)),""))))))</f>
        <v/>
      </c>
      <c r="AA43" s="32" t="str">
        <f t="shared" ref="AA43:AA74" si="24">IF($A43="","",IF($C43=0,25,IF(OR($C43=7,$C43=1,$C43=5),30,IF($C43=6,25,IF(OR($C43=4,$C43=2),IF($AM43=0,30,30*$AN43/$AM43),"")))))</f>
        <v/>
      </c>
      <c r="AB43" s="32">
        <f>IF($A43="","",IF($T43="No Throw",0,IF($K43&lt;&gt;"",$K43,IF($AA43&lt;&gt;"",ROUND($AA43*$D$12*IF($C43=0,1,$G$10),0),MIN(IF($T43="Recovery/Easy Catch",Reference!$B$103,IF($T43="Long Toss",Reference!$B$106,Reference!$B$102)),MAX(Reference!$B$101,ROUND(MAX(0,$Q43-$AE43)/$AF43,0)))))))</f>
        <v>25</v>
      </c>
      <c r="AC43" s="32">
        <f t="shared" ref="AC43:AC74" si="25">IF($A43="",0,IF($C43=0,$D$8,0))</f>
        <v>0</v>
      </c>
      <c r="AD43" s="32" t="b">
        <f t="shared" ref="AD43:AD74" si="26">IF($A43="",TRUE(),OR($J43="x",$T43="No Throw"))</f>
        <v>0</v>
      </c>
      <c r="AE43" s="32">
        <f>IF($X43=0,0,$X43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43+$Z43)/2,0),Reference!$A$17:$B$20,2,TRUE()))</f>
        <v>0</v>
      </c>
      <c r="AF43" s="32">
        <f>IF(OR($A43="",$U43="",$T43="No Throw"),0,$AM43*VLOOKUP(MAX(($V43+$W43)/2,0),Reference!$A$17:$B$20,2,TRUE()))</f>
        <v>0.6</v>
      </c>
      <c r="AG43" s="32">
        <f>IF($AC43=0,0,$AC43*INDEX(Reference!$B$61:$B$62,MATCH("Bullpen",Reference!$A$61:$A$62,0))*VLOOKUP(MAX($D$5-($D$9+$E$9)/2,0),Reference!$A$17:$B$20,2,TRUE()))</f>
        <v>0</v>
      </c>
      <c r="AH43" s="32" t="e">
        <f t="shared" ref="AH43:AH74" si="27">IF(OR($A43="",$L43&lt;27),NA(),$I43)</f>
        <v>#N/A</v>
      </c>
      <c r="AI43" s="32">
        <f>IF($A43="",NA(),Reference!$A$25)</f>
        <v>0.8</v>
      </c>
      <c r="AJ43" s="32">
        <f t="shared" ref="AJ43:AJ74" si="28">IF($A43="",NA(),1.3)</f>
        <v>1.3</v>
      </c>
      <c r="AK43" s="56">
        <f>IF(OR($A43="",N($C43)&lt;=7,$T43="No Throw",$J43="x"),0,INDEX(Reference!$B$108:$B$114,$N43+1))</f>
        <v>0.12</v>
      </c>
      <c r="AL43" s="32">
        <f t="shared" ref="AL43:AL74" si="29">IF($U43="",1,IF(AND($T43="Long Toss",N($U43)&gt;90),1+ROUNDUP(($U43-90)/30,0),1))</f>
        <v>1</v>
      </c>
      <c r="AM43" s="32">
        <f>IF($U43="",0,IF($AL43&gt;1,((IF(1&lt;=$AL43,($AL43-1+3)*(INDEX(Reference!$B$6:$B$11,MIN(5,MATCH(MAX(Reference!$A$6,MIN(Reference!$A$11,MIN($U43,90))),Reference!$A$6:$A$11,1)))+(MAX(Reference!$A$6,MIN(Reference!$A$11,MIN($U43,90)))-INDEX(Reference!$A$6:$A$11,MIN(5,MATCH(MAX(Reference!$A$6,MIN(Reference!$A$11,MIN($U43,90))),Reference!$A$6:$A$11,1))))*(INDEX(Reference!$B$6:$B$11,MIN(5,MATCH(MAX(Reference!$A$6,MIN(Reference!$A$11,MIN($U43,90))),Reference!$A$6:$A$11,1))+1)-INDEX(Reference!$B$6:$B$11,MIN(5,MATCH(MAX(Reference!$A$6,MIN(Reference!$A$11,MIN($U43,90))),Reference!$A$6:$A$11,1))))/(INDEX(Reference!$A$6:$A$11,MIN(5,MATCH(MAX(Reference!$A$6,MIN(Reference!$A$11,MIN($U43,90))),Reference!$A$6:$A$11,1))+1)-INDEX(Reference!$A$6:$A$11,MIN(5,MATCH(MAX(Reference!$A$6,MIN(Reference!$A$11,MIN($U43,90))),Reference!$A$6:$A$11,1))))),0)+IF(2&lt;=$AL43,($AL43-2+3)*(INDEX(Reference!$B$6:$B$11,MIN(5,MATCH(MAX(Reference!$A$6,MIN(Reference!$A$11,MIN($U43,120))),Reference!$A$6:$A$11,1)))+(MAX(Reference!$A$6,MIN(Reference!$A$11,MIN($U43,120)))-INDEX(Reference!$A$6:$A$11,MIN(5,MATCH(MAX(Reference!$A$6,MIN(Reference!$A$11,MIN($U43,120))),Reference!$A$6:$A$11,1))))*(INDEX(Reference!$B$6:$B$11,MIN(5,MATCH(MAX(Reference!$A$6,MIN(Reference!$A$11,MIN($U43,120))),Reference!$A$6:$A$11,1))+1)-INDEX(Reference!$B$6:$B$11,MIN(5,MATCH(MAX(Reference!$A$6,MIN(Reference!$A$11,MIN($U43,120))),Reference!$A$6:$A$11,1))))/(INDEX(Reference!$A$6:$A$11,MIN(5,MATCH(MAX(Reference!$A$6,MIN(Reference!$A$11,MIN($U43,120))),Reference!$A$6:$A$11,1))+1)-INDEX(Reference!$A$6:$A$11,MIN(5,MATCH(MAX(Reference!$A$6,MIN(Reference!$A$11,MIN($U43,120))),Reference!$A$6:$A$11,1))))),0)+IF(3&lt;=$AL43,($AL43-3+3)*(INDEX(Reference!$B$6:$B$11,MIN(5,MATCH(MAX(Reference!$A$6,MIN(Reference!$A$11,MIN($U43,150))),Reference!$A$6:$A$11,1)))+(MAX(Reference!$A$6,MIN(Reference!$A$11,MIN($U43,150)))-INDEX(Reference!$A$6:$A$11,MIN(5,MATCH(MAX(Reference!$A$6,MIN(Reference!$A$11,MIN($U43,150))),Reference!$A$6:$A$11,1))))*(INDEX(Reference!$B$6:$B$11,MIN(5,MATCH(MAX(Reference!$A$6,MIN(Reference!$A$11,MIN($U43,150))),Reference!$A$6:$A$11,1))+1)-INDEX(Reference!$B$6:$B$11,MIN(5,MATCH(MAX(Reference!$A$6,MIN(Reference!$A$11,MIN($U43,150))),Reference!$A$6:$A$11,1))))/(INDEX(Reference!$A$6:$A$11,MIN(5,MATCH(MAX(Reference!$A$6,MIN(Reference!$A$11,MIN($U43,150))),Reference!$A$6:$A$11,1))+1)-INDEX(Reference!$A$6:$A$11,MIN(5,MATCH(MAX(Reference!$A$6,MIN(Reference!$A$11,MIN($U43,150))),Reference!$A$6:$A$11,1))))),0)+IF(4&lt;=$AL43,($AL43-4+3)*(INDEX(Reference!$B$6:$B$11,MIN(5,MATCH(MAX(Reference!$A$6,MIN(Reference!$A$11,MIN($U43,180))),Reference!$A$6:$A$11,1)))+(MAX(Reference!$A$6,MIN(Reference!$A$11,MIN($U43,180)))-INDEX(Reference!$A$6:$A$11,MIN(5,MATCH(MAX(Reference!$A$6,MIN(Reference!$A$11,MIN($U43,180))),Reference!$A$6:$A$11,1))))*(INDEX(Reference!$B$6:$B$11,MIN(5,MATCH(MAX(Reference!$A$6,MIN(Reference!$A$11,MIN($U43,180))),Reference!$A$6:$A$11,1))+1)-INDEX(Reference!$B$6:$B$11,MIN(5,MATCH(MAX(Reference!$A$6,MIN(Reference!$A$11,MIN($U43,180))),Reference!$A$6:$A$11,1))))/(INDEX(Reference!$A$6:$A$11,MIN(5,MATCH(MAX(Reference!$A$6,MIN(Reference!$A$11,MIN($U43,180))),Reference!$A$6:$A$11,1))+1)-INDEX(Reference!$A$6:$A$11,MIN(5,MATCH(MAX(Reference!$A$6,MIN(Reference!$A$11,MIN($U43,180))),Reference!$A$6:$A$11,1))))),0)+IF(5&lt;=$AL43,($AL43-5+3)*(INDEX(Reference!$B$6:$B$11,MIN(5,MATCH(MAX(Reference!$A$6,MIN(Reference!$A$11,MIN($U43,210))),Reference!$A$6:$A$11,1)))+(MAX(Reference!$A$6,MIN(Reference!$A$11,MIN($U43,210)))-INDEX(Reference!$A$6:$A$11,MIN(5,MATCH(MAX(Reference!$A$6,MIN(Reference!$A$11,MIN($U43,210))),Reference!$A$6:$A$11,1))))*(INDEX(Reference!$B$6:$B$11,MIN(5,MATCH(MAX(Reference!$A$6,MIN(Reference!$A$11,MIN($U43,210))),Reference!$A$6:$A$11,1))+1)-INDEX(Reference!$B$6:$B$11,MIN(5,MATCH(MAX(Reference!$A$6,MIN(Reference!$A$11,MIN($U43,210))),Reference!$A$6:$A$11,1))))/(INDEX(Reference!$A$6:$A$11,MIN(5,MATCH(MAX(Reference!$A$6,MIN(Reference!$A$11,MIN($U43,210))),Reference!$A$6:$A$11,1))+1)-INDEX(Reference!$A$6:$A$11,MIN(5,MATCH(MAX(Reference!$A$6,MIN(Reference!$A$11,MIN($U43,210))),Reference!$A$6:$A$11,1))))),0)+IF(6&lt;=$AL43,($AL43-6+3)*(INDEX(Reference!$B$6:$B$11,MIN(5,MATCH(MAX(Reference!$A$6,MIN(Reference!$A$11,MIN($U43,240))),Reference!$A$6:$A$11,1)))+(MAX(Reference!$A$6,MIN(Reference!$A$11,MIN($U43,240)))-INDEX(Reference!$A$6:$A$11,MIN(5,MATCH(MAX(Reference!$A$6,MIN(Reference!$A$11,MIN($U43,240))),Reference!$A$6:$A$11,1))))*(INDEX(Reference!$B$6:$B$11,MIN(5,MATCH(MAX(Reference!$A$6,MIN(Reference!$A$11,MIN($U43,240))),Reference!$A$6:$A$11,1))+1)-INDEX(Reference!$B$6:$B$11,MIN(5,MATCH(MAX(Reference!$A$6,MIN(Reference!$A$11,MIN($U43,240))),Reference!$A$6:$A$11,1))))/(INDEX(Reference!$A$6:$A$11,MIN(5,MATCH(MAX(Reference!$A$6,MIN(Reference!$A$11,MIN($U43,240))),Reference!$A$6:$A$11,1))+1)-INDEX(Reference!$A$6:$A$11,MIN(5,MATCH(MAX(Reference!$A$6,MIN(Reference!$A$11,MIN($U43,240))),Reference!$A$6:$A$11,1))))),0)+IF(7&lt;=$AL43,($AL43-7+3)*(INDEX(Reference!$B$6:$B$11,MIN(5,MATCH(MAX(Reference!$A$6,MIN(Reference!$A$11,MIN($U43,270))),Reference!$A$6:$A$11,1)))+(MAX(Reference!$A$6,MIN(Reference!$A$11,MIN($U43,270)))-INDEX(Reference!$A$6:$A$11,MIN(5,MATCH(MAX(Reference!$A$6,MIN(Reference!$A$11,MIN($U43,270))),Reference!$A$6:$A$11,1))))*(INDEX(Reference!$B$6:$B$11,MIN(5,MATCH(MAX(Reference!$A$6,MIN(Reference!$A$11,MIN($U43,270))),Reference!$A$6:$A$11,1))+1)-INDEX(Reference!$B$6:$B$11,MIN(5,MATCH(MAX(Reference!$A$6,MIN(Reference!$A$11,MIN($U43,270))),Reference!$A$6:$A$11,1))))/(INDEX(Reference!$A$6:$A$11,MIN(5,MATCH(MAX(Reference!$A$6,MIN(Reference!$A$11,MIN($U43,270))),Reference!$A$6:$A$11,1))+1)-INDEX(Reference!$A$6:$A$11,MIN(5,MATCH(MAX(Reference!$A$6,MIN(Reference!$A$11,MIN($U43,270))),Reference!$A$6:$A$11,1))))),0)+IF(8&lt;=$AL43,($AL43-8+3)*(INDEX(Reference!$B$6:$B$11,MIN(5,MATCH(MAX(Reference!$A$6,MIN(Reference!$A$11,MIN($U43,300))),Reference!$A$6:$A$11,1)))+(MAX(Reference!$A$6,MIN(Reference!$A$11,MIN($U43,300)))-INDEX(Reference!$A$6:$A$11,MIN(5,MATCH(MAX(Reference!$A$6,MIN(Reference!$A$11,MIN($U43,300))),Reference!$A$6:$A$11,1))))*(INDEX(Reference!$B$6:$B$11,MIN(5,MATCH(MAX(Reference!$A$6,MIN(Reference!$A$11,MIN($U43,300))),Reference!$A$6:$A$11,1))+1)-INDEX(Reference!$B$6:$B$11,MIN(5,MATCH(MAX(Reference!$A$6,MIN(Reference!$A$11,MIN($U43,300))),Reference!$A$6:$A$11,1))))/(INDEX(Reference!$A$6:$A$11,MIN(5,MATCH(MAX(Reference!$A$6,MIN(Reference!$A$11,MIN($U43,300))),Reference!$A$6:$A$11,1))+1)-INDEX(Reference!$A$6:$A$11,MIN(5,MATCH(MAX(Reference!$A$6,MIN(Reference!$A$11,MIN($U43,300))),Reference!$A$6:$A$11,1))))),0))/($AL43*($AL43+5)/2)),$AN43))</f>
        <v>1</v>
      </c>
      <c r="AN43" s="32">
        <f>IF($U43="",0,(INDEX(Reference!$B$6:$B$11,MIN(5,MATCH(MAX(Reference!$A$6,MIN(Reference!$A$11,$U43)),Reference!$A$6:$A$11,1)))+(MAX(Reference!$A$6,MIN(Reference!$A$11,$U43))-INDEX(Reference!$A$6:$A$11,MIN(5,MATCH(MAX(Reference!$A$6,MIN(Reference!$A$11,$U43)),Reference!$A$6:$A$11,1))))*(INDEX(Reference!$B$6:$B$11,MIN(5,MATCH(MAX(Reference!$A$6,MIN(Reference!$A$11,$U43)),Reference!$A$6:$A$11,1))+1)-INDEX(Reference!$B$6:$B$11,MIN(5,MATCH(MAX(Reference!$A$6,MIN(Reference!$A$11,$U43)),Reference!$A$6:$A$11,1))))/(INDEX(Reference!$A$6:$A$11,MIN(5,MATCH(MAX(Reference!$A$6,MIN(Reference!$A$11,$U43)),Reference!$A$6:$A$11,1))+1)-INDEX(Reference!$A$6:$A$11,MIN(5,MATCH(MAX(Reference!$A$6,MIN(Reference!$A$11,$U43)),Reference!$A$6:$A$11,1))))))</f>
        <v>1</v>
      </c>
      <c r="AO43" s="37"/>
      <c r="AP43" s="37"/>
      <c r="AQ43" s="37"/>
    </row>
    <row r="44" spans="1:43" x14ac:dyDescent="0.3">
      <c r="A44" s="48">
        <f t="shared" si="5"/>
        <v>46308</v>
      </c>
      <c r="B44" s="32" t="str">
        <f t="shared" si="6"/>
        <v>Tue</v>
      </c>
      <c r="C44" s="32">
        <f t="shared" si="7"/>
        <v>83</v>
      </c>
      <c r="D44" s="32" t="str">
        <f t="shared" si="8"/>
        <v>Re-entry</v>
      </c>
      <c r="E44" s="32" t="str">
        <f t="shared" si="9"/>
        <v>Low</v>
      </c>
      <c r="F44" s="32" t="str">
        <f t="shared" si="10"/>
        <v>Recovery/Easy Catch</v>
      </c>
      <c r="G44" s="47" t="str">
        <f t="shared" si="11"/>
        <v>60 ft × 30 @ 67–71 mph</v>
      </c>
      <c r="H44" s="30">
        <f t="shared" si="12"/>
        <v>18</v>
      </c>
      <c r="I44" s="46" t="str">
        <f>IF($A44="","",IF(AND($L44&lt;27,$K$12=0),"Building",IFERROR(((SUM($H$43:$H44)+$K$12*IF($L44&lt;6,SUMIFS('Throw Log'!$Q$5:$Q$300,'Throw Log'!$B$5:$B$300,$D$4,'Throw Log'!$A$5:$A$300,"&gt;="&amp;($D$6+$L44-6),'Throw Log'!$A$5:$A$300,"&lt;="&amp;($D$6-1)),0))/7)/((SUM($H$43:$H44)+$K$12*IF($L44&lt;27,SUMIFS('Throw Log'!$Q$5:$Q$300,'Throw Log'!$B$5:$B$300,$D$4,'Throw Log'!$A$5:$A$300,"&gt;="&amp;($D$6+$L44-27),'Throw Log'!$A$5:$A$300,"&lt;="&amp;($D$6-1)),0))/28),"")))</f>
        <v>Building</v>
      </c>
      <c r="J44" s="37"/>
      <c r="K44" s="37">
        <v>30</v>
      </c>
      <c r="L44" s="32">
        <v>1</v>
      </c>
      <c r="M44" s="32">
        <f t="shared" si="13"/>
        <v>1</v>
      </c>
      <c r="N44" s="32">
        <f t="shared" si="14"/>
        <v>1</v>
      </c>
      <c r="O44" s="32">
        <f t="shared" si="15"/>
        <v>1.3157894736842105E-2</v>
      </c>
      <c r="P44" s="32">
        <f>IF(OR($A44="",N($C44)&lt;=7),"",$G$6*$G$9^($M44-1)*IF(AND(MOD($M44,Reference!$B$99)=0,$M44&lt;=$G$5-2),Reference!$B$100,1))</f>
        <v>80</v>
      </c>
      <c r="Q44" s="32">
        <f>IF($P44="","",IF(SUM($AK$43:$AK$49)=0,0,$P44*INDEX(Reference!$B$108:$B$114,$N44+1)/SUM($AK$43:$AK$49)))</f>
        <v>29.589041095890412</v>
      </c>
      <c r="R44" s="32">
        <f t="shared" si="16"/>
        <v>60</v>
      </c>
      <c r="S44" s="32">
        <f t="shared" si="17"/>
        <v>60</v>
      </c>
      <c r="T44" s="32" t="str">
        <f>IF($A44="","",IF($C44=0,"Bullpen",IF(OR($C44=7,$C44=1,$C44=5),"Recovery/Easy Catch",IF($C44=6,"Compression/Pulldowns",IF(OR($C44=4,$C44=2),"Long Toss",IF($C44=3,"No Throw",IF($N44=2,"No Throw",IF($N44=6,IF($O44&lt;Reference!$B$104,"No Throw","Recovery/Easy Catch"),IF(OR($N44=0,$N44=4),"Recovery/Easy Catch",IF($N44=1,IF($R44&gt;75,"Long Toss","Recovery/Easy Catch"),IF($N44=3,IF($O44&lt;0.5,IF($S44&gt;75,"Long Toss","Recovery/Easy Catch"),"Compression/Pulldowns"),IF($S44&gt;75,"Long Toss","Recovery/Easy Catch"))))))))))))</f>
        <v>Recovery/Easy Catch</v>
      </c>
      <c r="U44" s="32">
        <f t="shared" si="18"/>
        <v>60</v>
      </c>
      <c r="V44" s="32">
        <f t="shared" si="19"/>
        <v>18</v>
      </c>
      <c r="W44" s="32">
        <f t="shared" si="20"/>
        <v>22</v>
      </c>
      <c r="X44" s="32">
        <f t="shared" si="21"/>
        <v>0</v>
      </c>
      <c r="Y44" s="32" t="str">
        <f t="shared" si="22"/>
        <v/>
      </c>
      <c r="Z44" s="32" t="str">
        <f t="shared" si="23"/>
        <v/>
      </c>
      <c r="AA44" s="32" t="str">
        <f t="shared" si="24"/>
        <v/>
      </c>
      <c r="AB44" s="32">
        <f>IF($A44="","",IF($T44="No Throw",0,IF($K44&lt;&gt;"",$K44,IF($AA44&lt;&gt;"",ROUND($AA44*$D$12*IF($C44=0,1,$G$10),0),MIN(IF($T44="Recovery/Easy Catch",Reference!$B$103,IF($T44="Long Toss",Reference!$B$106,Reference!$B$102)),MAX(Reference!$B$101,ROUND(MAX(0,$Q44-$AE44)/$AF44,0)))))))</f>
        <v>30</v>
      </c>
      <c r="AC44" s="32">
        <f t="shared" si="25"/>
        <v>0</v>
      </c>
      <c r="AD44" s="32" t="b">
        <f t="shared" si="26"/>
        <v>0</v>
      </c>
      <c r="AE44" s="32">
        <f>IF($X44=0,0,$X44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44+$Z44)/2,0),Reference!$A$17:$B$20,2,TRUE()))</f>
        <v>0</v>
      </c>
      <c r="AF44" s="32">
        <f>IF(OR($A44="",$U44="",$T44="No Throw"),0,$AM44*VLOOKUP(MAX(($V44+$W44)/2,0),Reference!$A$17:$B$20,2,TRUE()))</f>
        <v>0.6</v>
      </c>
      <c r="AG44" s="32">
        <f>IF($AC44=0,0,$AC44*INDEX(Reference!$B$61:$B$62,MATCH("Bullpen",Reference!$A$61:$A$62,0))*VLOOKUP(MAX($D$5-($D$9+$E$9)/2,0),Reference!$A$17:$B$20,2,TRUE()))</f>
        <v>0</v>
      </c>
      <c r="AH44" s="32" t="e">
        <f t="shared" si="27"/>
        <v>#N/A</v>
      </c>
      <c r="AI44" s="32">
        <f>IF($A44="",NA(),Reference!$A$25)</f>
        <v>0.8</v>
      </c>
      <c r="AJ44" s="32">
        <f t="shared" si="28"/>
        <v>1.3</v>
      </c>
      <c r="AK44" s="56">
        <f>IF(OR($A44="",N($C44)&lt;=7,$T44="No Throw",$J44="x"),0,INDEX(Reference!$B$108:$B$114,$N44+1))</f>
        <v>0.27</v>
      </c>
      <c r="AL44" s="32">
        <f t="shared" si="29"/>
        <v>1</v>
      </c>
      <c r="AM44" s="32">
        <f>IF($U44="",0,IF($AL44&gt;1,((IF(1&lt;=$AL44,($AL44-1+3)*(INDEX(Reference!$B$6:$B$11,MIN(5,MATCH(MAX(Reference!$A$6,MIN(Reference!$A$11,MIN($U44,90))),Reference!$A$6:$A$11,1)))+(MAX(Reference!$A$6,MIN(Reference!$A$11,MIN($U44,90)))-INDEX(Reference!$A$6:$A$11,MIN(5,MATCH(MAX(Reference!$A$6,MIN(Reference!$A$11,MIN($U44,90))),Reference!$A$6:$A$11,1))))*(INDEX(Reference!$B$6:$B$11,MIN(5,MATCH(MAX(Reference!$A$6,MIN(Reference!$A$11,MIN($U44,90))),Reference!$A$6:$A$11,1))+1)-INDEX(Reference!$B$6:$B$11,MIN(5,MATCH(MAX(Reference!$A$6,MIN(Reference!$A$11,MIN($U44,90))),Reference!$A$6:$A$11,1))))/(INDEX(Reference!$A$6:$A$11,MIN(5,MATCH(MAX(Reference!$A$6,MIN(Reference!$A$11,MIN($U44,90))),Reference!$A$6:$A$11,1))+1)-INDEX(Reference!$A$6:$A$11,MIN(5,MATCH(MAX(Reference!$A$6,MIN(Reference!$A$11,MIN($U44,90))),Reference!$A$6:$A$11,1))))),0)+IF(2&lt;=$AL44,($AL44-2+3)*(INDEX(Reference!$B$6:$B$11,MIN(5,MATCH(MAX(Reference!$A$6,MIN(Reference!$A$11,MIN($U44,120))),Reference!$A$6:$A$11,1)))+(MAX(Reference!$A$6,MIN(Reference!$A$11,MIN($U44,120)))-INDEX(Reference!$A$6:$A$11,MIN(5,MATCH(MAX(Reference!$A$6,MIN(Reference!$A$11,MIN($U44,120))),Reference!$A$6:$A$11,1))))*(INDEX(Reference!$B$6:$B$11,MIN(5,MATCH(MAX(Reference!$A$6,MIN(Reference!$A$11,MIN($U44,120))),Reference!$A$6:$A$11,1))+1)-INDEX(Reference!$B$6:$B$11,MIN(5,MATCH(MAX(Reference!$A$6,MIN(Reference!$A$11,MIN($U44,120))),Reference!$A$6:$A$11,1))))/(INDEX(Reference!$A$6:$A$11,MIN(5,MATCH(MAX(Reference!$A$6,MIN(Reference!$A$11,MIN($U44,120))),Reference!$A$6:$A$11,1))+1)-INDEX(Reference!$A$6:$A$11,MIN(5,MATCH(MAX(Reference!$A$6,MIN(Reference!$A$11,MIN($U44,120))),Reference!$A$6:$A$11,1))))),0)+IF(3&lt;=$AL44,($AL44-3+3)*(INDEX(Reference!$B$6:$B$11,MIN(5,MATCH(MAX(Reference!$A$6,MIN(Reference!$A$11,MIN($U44,150))),Reference!$A$6:$A$11,1)))+(MAX(Reference!$A$6,MIN(Reference!$A$11,MIN($U44,150)))-INDEX(Reference!$A$6:$A$11,MIN(5,MATCH(MAX(Reference!$A$6,MIN(Reference!$A$11,MIN($U44,150))),Reference!$A$6:$A$11,1))))*(INDEX(Reference!$B$6:$B$11,MIN(5,MATCH(MAX(Reference!$A$6,MIN(Reference!$A$11,MIN($U44,150))),Reference!$A$6:$A$11,1))+1)-INDEX(Reference!$B$6:$B$11,MIN(5,MATCH(MAX(Reference!$A$6,MIN(Reference!$A$11,MIN($U44,150))),Reference!$A$6:$A$11,1))))/(INDEX(Reference!$A$6:$A$11,MIN(5,MATCH(MAX(Reference!$A$6,MIN(Reference!$A$11,MIN($U44,150))),Reference!$A$6:$A$11,1))+1)-INDEX(Reference!$A$6:$A$11,MIN(5,MATCH(MAX(Reference!$A$6,MIN(Reference!$A$11,MIN($U44,150))),Reference!$A$6:$A$11,1))))),0)+IF(4&lt;=$AL44,($AL44-4+3)*(INDEX(Reference!$B$6:$B$11,MIN(5,MATCH(MAX(Reference!$A$6,MIN(Reference!$A$11,MIN($U44,180))),Reference!$A$6:$A$11,1)))+(MAX(Reference!$A$6,MIN(Reference!$A$11,MIN($U44,180)))-INDEX(Reference!$A$6:$A$11,MIN(5,MATCH(MAX(Reference!$A$6,MIN(Reference!$A$11,MIN($U44,180))),Reference!$A$6:$A$11,1))))*(INDEX(Reference!$B$6:$B$11,MIN(5,MATCH(MAX(Reference!$A$6,MIN(Reference!$A$11,MIN($U44,180))),Reference!$A$6:$A$11,1))+1)-INDEX(Reference!$B$6:$B$11,MIN(5,MATCH(MAX(Reference!$A$6,MIN(Reference!$A$11,MIN($U44,180))),Reference!$A$6:$A$11,1))))/(INDEX(Reference!$A$6:$A$11,MIN(5,MATCH(MAX(Reference!$A$6,MIN(Reference!$A$11,MIN($U44,180))),Reference!$A$6:$A$11,1))+1)-INDEX(Reference!$A$6:$A$11,MIN(5,MATCH(MAX(Reference!$A$6,MIN(Reference!$A$11,MIN($U44,180))),Reference!$A$6:$A$11,1))))),0)+IF(5&lt;=$AL44,($AL44-5+3)*(INDEX(Reference!$B$6:$B$11,MIN(5,MATCH(MAX(Reference!$A$6,MIN(Reference!$A$11,MIN($U44,210))),Reference!$A$6:$A$11,1)))+(MAX(Reference!$A$6,MIN(Reference!$A$11,MIN($U44,210)))-INDEX(Reference!$A$6:$A$11,MIN(5,MATCH(MAX(Reference!$A$6,MIN(Reference!$A$11,MIN($U44,210))),Reference!$A$6:$A$11,1))))*(INDEX(Reference!$B$6:$B$11,MIN(5,MATCH(MAX(Reference!$A$6,MIN(Reference!$A$11,MIN($U44,210))),Reference!$A$6:$A$11,1))+1)-INDEX(Reference!$B$6:$B$11,MIN(5,MATCH(MAX(Reference!$A$6,MIN(Reference!$A$11,MIN($U44,210))),Reference!$A$6:$A$11,1))))/(INDEX(Reference!$A$6:$A$11,MIN(5,MATCH(MAX(Reference!$A$6,MIN(Reference!$A$11,MIN($U44,210))),Reference!$A$6:$A$11,1))+1)-INDEX(Reference!$A$6:$A$11,MIN(5,MATCH(MAX(Reference!$A$6,MIN(Reference!$A$11,MIN($U44,210))),Reference!$A$6:$A$11,1))))),0)+IF(6&lt;=$AL44,($AL44-6+3)*(INDEX(Reference!$B$6:$B$11,MIN(5,MATCH(MAX(Reference!$A$6,MIN(Reference!$A$11,MIN($U44,240))),Reference!$A$6:$A$11,1)))+(MAX(Reference!$A$6,MIN(Reference!$A$11,MIN($U44,240)))-INDEX(Reference!$A$6:$A$11,MIN(5,MATCH(MAX(Reference!$A$6,MIN(Reference!$A$11,MIN($U44,240))),Reference!$A$6:$A$11,1))))*(INDEX(Reference!$B$6:$B$11,MIN(5,MATCH(MAX(Reference!$A$6,MIN(Reference!$A$11,MIN($U44,240))),Reference!$A$6:$A$11,1))+1)-INDEX(Reference!$B$6:$B$11,MIN(5,MATCH(MAX(Reference!$A$6,MIN(Reference!$A$11,MIN($U44,240))),Reference!$A$6:$A$11,1))))/(INDEX(Reference!$A$6:$A$11,MIN(5,MATCH(MAX(Reference!$A$6,MIN(Reference!$A$11,MIN($U44,240))),Reference!$A$6:$A$11,1))+1)-INDEX(Reference!$A$6:$A$11,MIN(5,MATCH(MAX(Reference!$A$6,MIN(Reference!$A$11,MIN($U44,240))),Reference!$A$6:$A$11,1))))),0)+IF(7&lt;=$AL44,($AL44-7+3)*(INDEX(Reference!$B$6:$B$11,MIN(5,MATCH(MAX(Reference!$A$6,MIN(Reference!$A$11,MIN($U44,270))),Reference!$A$6:$A$11,1)))+(MAX(Reference!$A$6,MIN(Reference!$A$11,MIN($U44,270)))-INDEX(Reference!$A$6:$A$11,MIN(5,MATCH(MAX(Reference!$A$6,MIN(Reference!$A$11,MIN($U44,270))),Reference!$A$6:$A$11,1))))*(INDEX(Reference!$B$6:$B$11,MIN(5,MATCH(MAX(Reference!$A$6,MIN(Reference!$A$11,MIN($U44,270))),Reference!$A$6:$A$11,1))+1)-INDEX(Reference!$B$6:$B$11,MIN(5,MATCH(MAX(Reference!$A$6,MIN(Reference!$A$11,MIN($U44,270))),Reference!$A$6:$A$11,1))))/(INDEX(Reference!$A$6:$A$11,MIN(5,MATCH(MAX(Reference!$A$6,MIN(Reference!$A$11,MIN($U44,270))),Reference!$A$6:$A$11,1))+1)-INDEX(Reference!$A$6:$A$11,MIN(5,MATCH(MAX(Reference!$A$6,MIN(Reference!$A$11,MIN($U44,270))),Reference!$A$6:$A$11,1))))),0)+IF(8&lt;=$AL44,($AL44-8+3)*(INDEX(Reference!$B$6:$B$11,MIN(5,MATCH(MAX(Reference!$A$6,MIN(Reference!$A$11,MIN($U44,300))),Reference!$A$6:$A$11,1)))+(MAX(Reference!$A$6,MIN(Reference!$A$11,MIN($U44,300)))-INDEX(Reference!$A$6:$A$11,MIN(5,MATCH(MAX(Reference!$A$6,MIN(Reference!$A$11,MIN($U44,300))),Reference!$A$6:$A$11,1))))*(INDEX(Reference!$B$6:$B$11,MIN(5,MATCH(MAX(Reference!$A$6,MIN(Reference!$A$11,MIN($U44,300))),Reference!$A$6:$A$11,1))+1)-INDEX(Reference!$B$6:$B$11,MIN(5,MATCH(MAX(Reference!$A$6,MIN(Reference!$A$11,MIN($U44,300))),Reference!$A$6:$A$11,1))))/(INDEX(Reference!$A$6:$A$11,MIN(5,MATCH(MAX(Reference!$A$6,MIN(Reference!$A$11,MIN($U44,300))),Reference!$A$6:$A$11,1))+1)-INDEX(Reference!$A$6:$A$11,MIN(5,MATCH(MAX(Reference!$A$6,MIN(Reference!$A$11,MIN($U44,300))),Reference!$A$6:$A$11,1))))),0))/($AL44*($AL44+5)/2)),$AN44))</f>
        <v>1</v>
      </c>
      <c r="AN44" s="32">
        <f>IF($U44="",0,(INDEX(Reference!$B$6:$B$11,MIN(5,MATCH(MAX(Reference!$A$6,MIN(Reference!$A$11,$U44)),Reference!$A$6:$A$11,1)))+(MAX(Reference!$A$6,MIN(Reference!$A$11,$U44))-INDEX(Reference!$A$6:$A$11,MIN(5,MATCH(MAX(Reference!$A$6,MIN(Reference!$A$11,$U44)),Reference!$A$6:$A$11,1))))*(INDEX(Reference!$B$6:$B$11,MIN(5,MATCH(MAX(Reference!$A$6,MIN(Reference!$A$11,$U44)),Reference!$A$6:$A$11,1))+1)-INDEX(Reference!$B$6:$B$11,MIN(5,MATCH(MAX(Reference!$A$6,MIN(Reference!$A$11,$U44)),Reference!$A$6:$A$11,1))))/(INDEX(Reference!$A$6:$A$11,MIN(5,MATCH(MAX(Reference!$A$6,MIN(Reference!$A$11,$U44)),Reference!$A$6:$A$11,1))+1)-INDEX(Reference!$A$6:$A$11,MIN(5,MATCH(MAX(Reference!$A$6,MIN(Reference!$A$11,$U44)),Reference!$A$6:$A$11,1))))))</f>
        <v>1</v>
      </c>
      <c r="AO44" s="37"/>
      <c r="AP44" s="37"/>
      <c r="AQ44" s="37"/>
    </row>
    <row r="45" spans="1:43" x14ac:dyDescent="0.3">
      <c r="A45" s="48">
        <f t="shared" si="5"/>
        <v>46309</v>
      </c>
      <c r="B45" s="32" t="str">
        <f t="shared" si="6"/>
        <v>Wed</v>
      </c>
      <c r="C45" s="32">
        <f t="shared" si="7"/>
        <v>82</v>
      </c>
      <c r="D45" s="32" t="str">
        <f t="shared" si="8"/>
        <v>Re-entry</v>
      </c>
      <c r="E45" s="32" t="str">
        <f t="shared" si="9"/>
        <v>No Throw</v>
      </c>
      <c r="F45" s="32" t="str">
        <f t="shared" si="10"/>
        <v>No Throw</v>
      </c>
      <c r="G45" s="47" t="str">
        <f t="shared" si="11"/>
        <v>Off</v>
      </c>
      <c r="H45" s="30">
        <f t="shared" si="12"/>
        <v>0</v>
      </c>
      <c r="I45" s="46" t="str">
        <f>IF($A45="","",IF(AND($L45&lt;27,$K$12=0),"Building",IFERROR(((SUM($H$43:$H45)+$K$12*IF($L45&lt;6,SUMIFS('Throw Log'!$Q$5:$Q$300,'Throw Log'!$B$5:$B$300,$D$4,'Throw Log'!$A$5:$A$300,"&gt;="&amp;($D$6+$L45-6),'Throw Log'!$A$5:$A$300,"&lt;="&amp;($D$6-1)),0))/7)/((SUM($H$43:$H45)+$K$12*IF($L45&lt;27,SUMIFS('Throw Log'!$Q$5:$Q$300,'Throw Log'!$B$5:$B$300,$D$4,'Throw Log'!$A$5:$A$300,"&gt;="&amp;($D$6+$L45-27),'Throw Log'!$A$5:$A$300,"&lt;="&amp;($D$6-1)),0))/28),"")))</f>
        <v>Building</v>
      </c>
      <c r="J45" s="37"/>
      <c r="K45" s="37"/>
      <c r="L45" s="32">
        <v>2</v>
      </c>
      <c r="M45" s="32">
        <f t="shared" si="13"/>
        <v>1</v>
      </c>
      <c r="N45" s="32">
        <f t="shared" si="14"/>
        <v>2</v>
      </c>
      <c r="O45" s="32">
        <f t="shared" si="15"/>
        <v>2.6315789473684209E-2</v>
      </c>
      <c r="P45" s="32">
        <f>IF(OR($A45="",N($C45)&lt;=7),"",$G$6*$G$9^($M45-1)*IF(AND(MOD($M45,Reference!$B$99)=0,$M45&lt;=$G$5-2),Reference!$B$100,1))</f>
        <v>80</v>
      </c>
      <c r="Q45" s="32">
        <f>IF($P45="","",IF(SUM($AK$43:$AK$49)=0,0,$P45*INDEX(Reference!$B$108:$B$114,$N45+1)/SUM($AK$43:$AK$49)))</f>
        <v>0</v>
      </c>
      <c r="R45" s="32">
        <f t="shared" si="16"/>
        <v>60</v>
      </c>
      <c r="S45" s="32">
        <f t="shared" si="17"/>
        <v>60</v>
      </c>
      <c r="T45" s="32" t="str">
        <f>IF($A45="","",IF($C45=0,"Bullpen",IF(OR($C45=7,$C45=1,$C45=5),"Recovery/Easy Catch",IF($C45=6,"Compression/Pulldowns",IF(OR($C45=4,$C45=2),"Long Toss",IF($C45=3,"No Throw",IF($N45=2,"No Throw",IF($N45=6,IF($O45&lt;Reference!$B$104,"No Throw","Recovery/Easy Catch"),IF(OR($N45=0,$N45=4),"Recovery/Easy Catch",IF($N45=1,IF($R45&gt;75,"Long Toss","Recovery/Easy Catch"),IF($N45=3,IF($O45&lt;0.5,IF($S45&gt;75,"Long Toss","Recovery/Easy Catch"),"Compression/Pulldowns"),IF($S45&gt;75,"Long Toss","Recovery/Easy Catch"))))))))))))</f>
        <v>No Throw</v>
      </c>
      <c r="U45" s="32" t="str">
        <f t="shared" si="18"/>
        <v/>
      </c>
      <c r="V45" s="32" t="str">
        <f t="shared" si="19"/>
        <v/>
      </c>
      <c r="W45" s="32" t="str">
        <f t="shared" si="20"/>
        <v/>
      </c>
      <c r="X45" s="32">
        <f t="shared" si="21"/>
        <v>0</v>
      </c>
      <c r="Y45" s="32" t="str">
        <f t="shared" si="22"/>
        <v/>
      </c>
      <c r="Z45" s="32" t="str">
        <f t="shared" si="23"/>
        <v/>
      </c>
      <c r="AA45" s="32" t="str">
        <f t="shared" si="24"/>
        <v/>
      </c>
      <c r="AB45" s="32">
        <f>IF($A45="","",IF($T45="No Throw",0,IF($K45&lt;&gt;"",$K45,IF($AA45&lt;&gt;"",ROUND($AA45*$D$12*IF($C45=0,1,$G$10),0),MIN(IF($T45="Recovery/Easy Catch",Reference!$B$103,IF($T45="Long Toss",Reference!$B$106,Reference!$B$102)),MAX(Reference!$B$101,ROUND(MAX(0,$Q45-$AE45)/$AF45,0)))))))</f>
        <v>0</v>
      </c>
      <c r="AC45" s="32">
        <f t="shared" si="25"/>
        <v>0</v>
      </c>
      <c r="AD45" s="32" t="b">
        <f t="shared" si="26"/>
        <v>1</v>
      </c>
      <c r="AE45" s="32">
        <f>IF($X45=0,0,$X45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45+$Z45)/2,0),Reference!$A$17:$B$20,2,TRUE()))</f>
        <v>0</v>
      </c>
      <c r="AF45" s="32">
        <f>IF(OR($A45="",$U45="",$T45="No Throw"),0,$AM45*VLOOKUP(MAX(($V45+$W45)/2,0),Reference!$A$17:$B$20,2,TRUE()))</f>
        <v>0</v>
      </c>
      <c r="AG45" s="32">
        <f>IF($AC45=0,0,$AC45*INDEX(Reference!$B$61:$B$62,MATCH("Bullpen",Reference!$A$61:$A$62,0))*VLOOKUP(MAX($D$5-($D$9+$E$9)/2,0),Reference!$A$17:$B$20,2,TRUE()))</f>
        <v>0</v>
      </c>
      <c r="AH45" s="32" t="e">
        <f t="shared" si="27"/>
        <v>#N/A</v>
      </c>
      <c r="AI45" s="32">
        <f>IF($A45="",NA(),Reference!$A$25)</f>
        <v>0.8</v>
      </c>
      <c r="AJ45" s="32">
        <f t="shared" si="28"/>
        <v>1.3</v>
      </c>
      <c r="AK45" s="32">
        <f>IF(OR($A45="",N($C45)&lt;=7,$T45="No Throw",$J45="x"),0,INDEX(Reference!$B$108:$B$114,$N45+1))</f>
        <v>0</v>
      </c>
      <c r="AL45" s="32">
        <f t="shared" si="29"/>
        <v>1</v>
      </c>
      <c r="AM45" s="32">
        <f>IF($U45="",0,IF($AL45&gt;1,((IF(1&lt;=$AL45,($AL45-1+3)*(INDEX(Reference!$B$6:$B$11,MIN(5,MATCH(MAX(Reference!$A$6,MIN(Reference!$A$11,MIN($U45,90))),Reference!$A$6:$A$11,1)))+(MAX(Reference!$A$6,MIN(Reference!$A$11,MIN($U45,90)))-INDEX(Reference!$A$6:$A$11,MIN(5,MATCH(MAX(Reference!$A$6,MIN(Reference!$A$11,MIN($U45,90))),Reference!$A$6:$A$11,1))))*(INDEX(Reference!$B$6:$B$11,MIN(5,MATCH(MAX(Reference!$A$6,MIN(Reference!$A$11,MIN($U45,90))),Reference!$A$6:$A$11,1))+1)-INDEX(Reference!$B$6:$B$11,MIN(5,MATCH(MAX(Reference!$A$6,MIN(Reference!$A$11,MIN($U45,90))),Reference!$A$6:$A$11,1))))/(INDEX(Reference!$A$6:$A$11,MIN(5,MATCH(MAX(Reference!$A$6,MIN(Reference!$A$11,MIN($U45,90))),Reference!$A$6:$A$11,1))+1)-INDEX(Reference!$A$6:$A$11,MIN(5,MATCH(MAX(Reference!$A$6,MIN(Reference!$A$11,MIN($U45,90))),Reference!$A$6:$A$11,1))))),0)+IF(2&lt;=$AL45,($AL45-2+3)*(INDEX(Reference!$B$6:$B$11,MIN(5,MATCH(MAX(Reference!$A$6,MIN(Reference!$A$11,MIN($U45,120))),Reference!$A$6:$A$11,1)))+(MAX(Reference!$A$6,MIN(Reference!$A$11,MIN($U45,120)))-INDEX(Reference!$A$6:$A$11,MIN(5,MATCH(MAX(Reference!$A$6,MIN(Reference!$A$11,MIN($U45,120))),Reference!$A$6:$A$11,1))))*(INDEX(Reference!$B$6:$B$11,MIN(5,MATCH(MAX(Reference!$A$6,MIN(Reference!$A$11,MIN($U45,120))),Reference!$A$6:$A$11,1))+1)-INDEX(Reference!$B$6:$B$11,MIN(5,MATCH(MAX(Reference!$A$6,MIN(Reference!$A$11,MIN($U45,120))),Reference!$A$6:$A$11,1))))/(INDEX(Reference!$A$6:$A$11,MIN(5,MATCH(MAX(Reference!$A$6,MIN(Reference!$A$11,MIN($U45,120))),Reference!$A$6:$A$11,1))+1)-INDEX(Reference!$A$6:$A$11,MIN(5,MATCH(MAX(Reference!$A$6,MIN(Reference!$A$11,MIN($U45,120))),Reference!$A$6:$A$11,1))))),0)+IF(3&lt;=$AL45,($AL45-3+3)*(INDEX(Reference!$B$6:$B$11,MIN(5,MATCH(MAX(Reference!$A$6,MIN(Reference!$A$11,MIN($U45,150))),Reference!$A$6:$A$11,1)))+(MAX(Reference!$A$6,MIN(Reference!$A$11,MIN($U45,150)))-INDEX(Reference!$A$6:$A$11,MIN(5,MATCH(MAX(Reference!$A$6,MIN(Reference!$A$11,MIN($U45,150))),Reference!$A$6:$A$11,1))))*(INDEX(Reference!$B$6:$B$11,MIN(5,MATCH(MAX(Reference!$A$6,MIN(Reference!$A$11,MIN($U45,150))),Reference!$A$6:$A$11,1))+1)-INDEX(Reference!$B$6:$B$11,MIN(5,MATCH(MAX(Reference!$A$6,MIN(Reference!$A$11,MIN($U45,150))),Reference!$A$6:$A$11,1))))/(INDEX(Reference!$A$6:$A$11,MIN(5,MATCH(MAX(Reference!$A$6,MIN(Reference!$A$11,MIN($U45,150))),Reference!$A$6:$A$11,1))+1)-INDEX(Reference!$A$6:$A$11,MIN(5,MATCH(MAX(Reference!$A$6,MIN(Reference!$A$11,MIN($U45,150))),Reference!$A$6:$A$11,1))))),0)+IF(4&lt;=$AL45,($AL45-4+3)*(INDEX(Reference!$B$6:$B$11,MIN(5,MATCH(MAX(Reference!$A$6,MIN(Reference!$A$11,MIN($U45,180))),Reference!$A$6:$A$11,1)))+(MAX(Reference!$A$6,MIN(Reference!$A$11,MIN($U45,180)))-INDEX(Reference!$A$6:$A$11,MIN(5,MATCH(MAX(Reference!$A$6,MIN(Reference!$A$11,MIN($U45,180))),Reference!$A$6:$A$11,1))))*(INDEX(Reference!$B$6:$B$11,MIN(5,MATCH(MAX(Reference!$A$6,MIN(Reference!$A$11,MIN($U45,180))),Reference!$A$6:$A$11,1))+1)-INDEX(Reference!$B$6:$B$11,MIN(5,MATCH(MAX(Reference!$A$6,MIN(Reference!$A$11,MIN($U45,180))),Reference!$A$6:$A$11,1))))/(INDEX(Reference!$A$6:$A$11,MIN(5,MATCH(MAX(Reference!$A$6,MIN(Reference!$A$11,MIN($U45,180))),Reference!$A$6:$A$11,1))+1)-INDEX(Reference!$A$6:$A$11,MIN(5,MATCH(MAX(Reference!$A$6,MIN(Reference!$A$11,MIN($U45,180))),Reference!$A$6:$A$11,1))))),0)+IF(5&lt;=$AL45,($AL45-5+3)*(INDEX(Reference!$B$6:$B$11,MIN(5,MATCH(MAX(Reference!$A$6,MIN(Reference!$A$11,MIN($U45,210))),Reference!$A$6:$A$11,1)))+(MAX(Reference!$A$6,MIN(Reference!$A$11,MIN($U45,210)))-INDEX(Reference!$A$6:$A$11,MIN(5,MATCH(MAX(Reference!$A$6,MIN(Reference!$A$11,MIN($U45,210))),Reference!$A$6:$A$11,1))))*(INDEX(Reference!$B$6:$B$11,MIN(5,MATCH(MAX(Reference!$A$6,MIN(Reference!$A$11,MIN($U45,210))),Reference!$A$6:$A$11,1))+1)-INDEX(Reference!$B$6:$B$11,MIN(5,MATCH(MAX(Reference!$A$6,MIN(Reference!$A$11,MIN($U45,210))),Reference!$A$6:$A$11,1))))/(INDEX(Reference!$A$6:$A$11,MIN(5,MATCH(MAX(Reference!$A$6,MIN(Reference!$A$11,MIN($U45,210))),Reference!$A$6:$A$11,1))+1)-INDEX(Reference!$A$6:$A$11,MIN(5,MATCH(MAX(Reference!$A$6,MIN(Reference!$A$11,MIN($U45,210))),Reference!$A$6:$A$11,1))))),0)+IF(6&lt;=$AL45,($AL45-6+3)*(INDEX(Reference!$B$6:$B$11,MIN(5,MATCH(MAX(Reference!$A$6,MIN(Reference!$A$11,MIN($U45,240))),Reference!$A$6:$A$11,1)))+(MAX(Reference!$A$6,MIN(Reference!$A$11,MIN($U45,240)))-INDEX(Reference!$A$6:$A$11,MIN(5,MATCH(MAX(Reference!$A$6,MIN(Reference!$A$11,MIN($U45,240))),Reference!$A$6:$A$11,1))))*(INDEX(Reference!$B$6:$B$11,MIN(5,MATCH(MAX(Reference!$A$6,MIN(Reference!$A$11,MIN($U45,240))),Reference!$A$6:$A$11,1))+1)-INDEX(Reference!$B$6:$B$11,MIN(5,MATCH(MAX(Reference!$A$6,MIN(Reference!$A$11,MIN($U45,240))),Reference!$A$6:$A$11,1))))/(INDEX(Reference!$A$6:$A$11,MIN(5,MATCH(MAX(Reference!$A$6,MIN(Reference!$A$11,MIN($U45,240))),Reference!$A$6:$A$11,1))+1)-INDEX(Reference!$A$6:$A$11,MIN(5,MATCH(MAX(Reference!$A$6,MIN(Reference!$A$11,MIN($U45,240))),Reference!$A$6:$A$11,1))))),0)+IF(7&lt;=$AL45,($AL45-7+3)*(INDEX(Reference!$B$6:$B$11,MIN(5,MATCH(MAX(Reference!$A$6,MIN(Reference!$A$11,MIN($U45,270))),Reference!$A$6:$A$11,1)))+(MAX(Reference!$A$6,MIN(Reference!$A$11,MIN($U45,270)))-INDEX(Reference!$A$6:$A$11,MIN(5,MATCH(MAX(Reference!$A$6,MIN(Reference!$A$11,MIN($U45,270))),Reference!$A$6:$A$11,1))))*(INDEX(Reference!$B$6:$B$11,MIN(5,MATCH(MAX(Reference!$A$6,MIN(Reference!$A$11,MIN($U45,270))),Reference!$A$6:$A$11,1))+1)-INDEX(Reference!$B$6:$B$11,MIN(5,MATCH(MAX(Reference!$A$6,MIN(Reference!$A$11,MIN($U45,270))),Reference!$A$6:$A$11,1))))/(INDEX(Reference!$A$6:$A$11,MIN(5,MATCH(MAX(Reference!$A$6,MIN(Reference!$A$11,MIN($U45,270))),Reference!$A$6:$A$11,1))+1)-INDEX(Reference!$A$6:$A$11,MIN(5,MATCH(MAX(Reference!$A$6,MIN(Reference!$A$11,MIN($U45,270))),Reference!$A$6:$A$11,1))))),0)+IF(8&lt;=$AL45,($AL45-8+3)*(INDEX(Reference!$B$6:$B$11,MIN(5,MATCH(MAX(Reference!$A$6,MIN(Reference!$A$11,MIN($U45,300))),Reference!$A$6:$A$11,1)))+(MAX(Reference!$A$6,MIN(Reference!$A$11,MIN($U45,300)))-INDEX(Reference!$A$6:$A$11,MIN(5,MATCH(MAX(Reference!$A$6,MIN(Reference!$A$11,MIN($U45,300))),Reference!$A$6:$A$11,1))))*(INDEX(Reference!$B$6:$B$11,MIN(5,MATCH(MAX(Reference!$A$6,MIN(Reference!$A$11,MIN($U45,300))),Reference!$A$6:$A$11,1))+1)-INDEX(Reference!$B$6:$B$11,MIN(5,MATCH(MAX(Reference!$A$6,MIN(Reference!$A$11,MIN($U45,300))),Reference!$A$6:$A$11,1))))/(INDEX(Reference!$A$6:$A$11,MIN(5,MATCH(MAX(Reference!$A$6,MIN(Reference!$A$11,MIN($U45,300))),Reference!$A$6:$A$11,1))+1)-INDEX(Reference!$A$6:$A$11,MIN(5,MATCH(MAX(Reference!$A$6,MIN(Reference!$A$11,MIN($U45,300))),Reference!$A$6:$A$11,1))))),0))/($AL45*($AL45+5)/2)),$AN45))</f>
        <v>0</v>
      </c>
      <c r="AN45" s="32">
        <f>IF($U45="",0,(INDEX(Reference!$B$6:$B$11,MIN(5,MATCH(MAX(Reference!$A$6,MIN(Reference!$A$11,$U45)),Reference!$A$6:$A$11,1)))+(MAX(Reference!$A$6,MIN(Reference!$A$11,$U45))-INDEX(Reference!$A$6:$A$11,MIN(5,MATCH(MAX(Reference!$A$6,MIN(Reference!$A$11,$U45)),Reference!$A$6:$A$11,1))))*(INDEX(Reference!$B$6:$B$11,MIN(5,MATCH(MAX(Reference!$A$6,MIN(Reference!$A$11,$U45)),Reference!$A$6:$A$11,1))+1)-INDEX(Reference!$B$6:$B$11,MIN(5,MATCH(MAX(Reference!$A$6,MIN(Reference!$A$11,$U45)),Reference!$A$6:$A$11,1))))/(INDEX(Reference!$A$6:$A$11,MIN(5,MATCH(MAX(Reference!$A$6,MIN(Reference!$A$11,$U45)),Reference!$A$6:$A$11,1))+1)-INDEX(Reference!$A$6:$A$11,MIN(5,MATCH(MAX(Reference!$A$6,MIN(Reference!$A$11,$U45)),Reference!$A$6:$A$11,1))))))</f>
        <v>0</v>
      </c>
      <c r="AO45" s="37"/>
      <c r="AP45" s="37"/>
      <c r="AQ45" s="37"/>
    </row>
    <row r="46" spans="1:43" x14ac:dyDescent="0.3">
      <c r="A46" s="48">
        <f t="shared" si="5"/>
        <v>46310</v>
      </c>
      <c r="B46" s="32" t="str">
        <f t="shared" si="6"/>
        <v>Thu</v>
      </c>
      <c r="C46" s="32">
        <f t="shared" si="7"/>
        <v>81</v>
      </c>
      <c r="D46" s="32" t="str">
        <f t="shared" si="8"/>
        <v>Re-entry</v>
      </c>
      <c r="E46" s="32" t="str">
        <f t="shared" si="9"/>
        <v>Low</v>
      </c>
      <c r="F46" s="32" t="str">
        <f t="shared" si="10"/>
        <v>Recovery/Easy Catch</v>
      </c>
      <c r="G46" s="47" t="str">
        <f t="shared" si="11"/>
        <v>60 ft × 35 @ 67–71 mph</v>
      </c>
      <c r="H46" s="30">
        <f t="shared" si="12"/>
        <v>21</v>
      </c>
      <c r="I46" s="46" t="str">
        <f>IF($A46="","",IF(AND($L46&lt;27,$K$12=0),"Building",IFERROR(((SUM($H$43:$H46)+$K$12*IF($L46&lt;6,SUMIFS('Throw Log'!$Q$5:$Q$300,'Throw Log'!$B$5:$B$300,$D$4,'Throw Log'!$A$5:$A$300,"&gt;="&amp;($D$6+$L46-6),'Throw Log'!$A$5:$A$300,"&lt;="&amp;($D$6-1)),0))/7)/((SUM($H$43:$H46)+$K$12*IF($L46&lt;27,SUMIFS('Throw Log'!$Q$5:$Q$300,'Throw Log'!$B$5:$B$300,$D$4,'Throw Log'!$A$5:$A$300,"&gt;="&amp;($D$6+$L46-27),'Throw Log'!$A$5:$A$300,"&lt;="&amp;($D$6-1)),0))/28),"")))</f>
        <v>Building</v>
      </c>
      <c r="J46" s="37"/>
      <c r="K46" s="37"/>
      <c r="L46" s="32">
        <v>3</v>
      </c>
      <c r="M46" s="32">
        <f t="shared" si="13"/>
        <v>1</v>
      </c>
      <c r="N46" s="32">
        <f t="shared" si="14"/>
        <v>3</v>
      </c>
      <c r="O46" s="32">
        <f t="shared" si="15"/>
        <v>3.9473684210526314E-2</v>
      </c>
      <c r="P46" s="32">
        <f>IF(OR($A46="",N($C46)&lt;=7),"",$G$6*$G$9^($M46-1)*IF(AND(MOD($M46,Reference!$B$99)=0,$M46&lt;=$G$5-2),Reference!$B$100,1))</f>
        <v>80</v>
      </c>
      <c r="Q46" s="32">
        <f>IF($P46="","",IF(SUM($AK$43:$AK$49)=0,0,$P46*INDEX(Reference!$B$108:$B$114,$N46+1)/SUM($AK$43:$AK$49)))</f>
        <v>26.301369863013697</v>
      </c>
      <c r="R46" s="32">
        <f t="shared" si="16"/>
        <v>60</v>
      </c>
      <c r="S46" s="32">
        <f t="shared" si="17"/>
        <v>60</v>
      </c>
      <c r="T46" s="32" t="str">
        <f>IF($A46="","",IF($C46=0,"Bullpen",IF(OR($C46=7,$C46=1,$C46=5),"Recovery/Easy Catch",IF($C46=6,"Compression/Pulldowns",IF(OR($C46=4,$C46=2),"Long Toss",IF($C46=3,"No Throw",IF($N46=2,"No Throw",IF($N46=6,IF($O46&lt;Reference!$B$104,"No Throw","Recovery/Easy Catch"),IF(OR($N46=0,$N46=4),"Recovery/Easy Catch",IF($N46=1,IF($R46&gt;75,"Long Toss","Recovery/Easy Catch"),IF($N46=3,IF($O46&lt;0.5,IF($S46&gt;75,"Long Toss","Recovery/Easy Catch"),"Compression/Pulldowns"),IF($S46&gt;75,"Long Toss","Recovery/Easy Catch"))))))))))))</f>
        <v>Recovery/Easy Catch</v>
      </c>
      <c r="U46" s="32">
        <f t="shared" si="18"/>
        <v>60</v>
      </c>
      <c r="V46" s="32">
        <f t="shared" si="19"/>
        <v>18</v>
      </c>
      <c r="W46" s="32">
        <f t="shared" si="20"/>
        <v>22</v>
      </c>
      <c r="X46" s="32">
        <f t="shared" si="21"/>
        <v>0</v>
      </c>
      <c r="Y46" s="32" t="str">
        <f t="shared" si="22"/>
        <v/>
      </c>
      <c r="Z46" s="32" t="str">
        <f t="shared" si="23"/>
        <v/>
      </c>
      <c r="AA46" s="32" t="str">
        <f t="shared" si="24"/>
        <v/>
      </c>
      <c r="AB46" s="32">
        <f>IF($A46="","",IF($T46="No Throw",0,IF($K46&lt;&gt;"",$K46,IF($AA46&lt;&gt;"",ROUND($AA46*$D$12*IF($C46=0,1,$G$10),0),MIN(IF($T46="Recovery/Easy Catch",Reference!$B$103,IF($T46="Long Toss",Reference!$B$106,Reference!$B$102)),MAX(Reference!$B$101,ROUND(MAX(0,$Q46-$AE46)/$AF46,0)))))))</f>
        <v>35</v>
      </c>
      <c r="AC46" s="32">
        <f t="shared" si="25"/>
        <v>0</v>
      </c>
      <c r="AD46" s="32" t="b">
        <f t="shared" si="26"/>
        <v>0</v>
      </c>
      <c r="AE46" s="32">
        <f>IF($X46=0,0,$X46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46+$Z46)/2,0),Reference!$A$17:$B$20,2,TRUE()))</f>
        <v>0</v>
      </c>
      <c r="AF46" s="32">
        <f>IF(OR($A46="",$U46="",$T46="No Throw"),0,$AM46*VLOOKUP(MAX(($V46+$W46)/2,0),Reference!$A$17:$B$20,2,TRUE()))</f>
        <v>0.6</v>
      </c>
      <c r="AG46" s="32">
        <f>IF($AC46=0,0,$AC46*INDEX(Reference!$B$61:$B$62,MATCH("Bullpen",Reference!$A$61:$A$62,0))*VLOOKUP(MAX($D$5-($D$9+$E$9)/2,0),Reference!$A$17:$B$20,2,TRUE()))</f>
        <v>0</v>
      </c>
      <c r="AH46" s="32" t="e">
        <f t="shared" si="27"/>
        <v>#N/A</v>
      </c>
      <c r="AI46" s="32">
        <f>IF($A46="",NA(),Reference!$A$25)</f>
        <v>0.8</v>
      </c>
      <c r="AJ46" s="32">
        <f t="shared" si="28"/>
        <v>1.3</v>
      </c>
      <c r="AK46" s="56">
        <f>IF(OR($A46="",N($C46)&lt;=7,$T46="No Throw",$J46="x"),0,INDEX(Reference!$B$108:$B$114,$N46+1))</f>
        <v>0.24</v>
      </c>
      <c r="AL46" s="32">
        <f t="shared" si="29"/>
        <v>1</v>
      </c>
      <c r="AM46" s="32">
        <f>IF($U46="",0,IF($AL46&gt;1,((IF(1&lt;=$AL46,($AL46-1+3)*(INDEX(Reference!$B$6:$B$11,MIN(5,MATCH(MAX(Reference!$A$6,MIN(Reference!$A$11,MIN($U46,90))),Reference!$A$6:$A$11,1)))+(MAX(Reference!$A$6,MIN(Reference!$A$11,MIN($U46,90)))-INDEX(Reference!$A$6:$A$11,MIN(5,MATCH(MAX(Reference!$A$6,MIN(Reference!$A$11,MIN($U46,90))),Reference!$A$6:$A$11,1))))*(INDEX(Reference!$B$6:$B$11,MIN(5,MATCH(MAX(Reference!$A$6,MIN(Reference!$A$11,MIN($U46,90))),Reference!$A$6:$A$11,1))+1)-INDEX(Reference!$B$6:$B$11,MIN(5,MATCH(MAX(Reference!$A$6,MIN(Reference!$A$11,MIN($U46,90))),Reference!$A$6:$A$11,1))))/(INDEX(Reference!$A$6:$A$11,MIN(5,MATCH(MAX(Reference!$A$6,MIN(Reference!$A$11,MIN($U46,90))),Reference!$A$6:$A$11,1))+1)-INDEX(Reference!$A$6:$A$11,MIN(5,MATCH(MAX(Reference!$A$6,MIN(Reference!$A$11,MIN($U46,90))),Reference!$A$6:$A$11,1))))),0)+IF(2&lt;=$AL46,($AL46-2+3)*(INDEX(Reference!$B$6:$B$11,MIN(5,MATCH(MAX(Reference!$A$6,MIN(Reference!$A$11,MIN($U46,120))),Reference!$A$6:$A$11,1)))+(MAX(Reference!$A$6,MIN(Reference!$A$11,MIN($U46,120)))-INDEX(Reference!$A$6:$A$11,MIN(5,MATCH(MAX(Reference!$A$6,MIN(Reference!$A$11,MIN($U46,120))),Reference!$A$6:$A$11,1))))*(INDEX(Reference!$B$6:$B$11,MIN(5,MATCH(MAX(Reference!$A$6,MIN(Reference!$A$11,MIN($U46,120))),Reference!$A$6:$A$11,1))+1)-INDEX(Reference!$B$6:$B$11,MIN(5,MATCH(MAX(Reference!$A$6,MIN(Reference!$A$11,MIN($U46,120))),Reference!$A$6:$A$11,1))))/(INDEX(Reference!$A$6:$A$11,MIN(5,MATCH(MAX(Reference!$A$6,MIN(Reference!$A$11,MIN($U46,120))),Reference!$A$6:$A$11,1))+1)-INDEX(Reference!$A$6:$A$11,MIN(5,MATCH(MAX(Reference!$A$6,MIN(Reference!$A$11,MIN($U46,120))),Reference!$A$6:$A$11,1))))),0)+IF(3&lt;=$AL46,($AL46-3+3)*(INDEX(Reference!$B$6:$B$11,MIN(5,MATCH(MAX(Reference!$A$6,MIN(Reference!$A$11,MIN($U46,150))),Reference!$A$6:$A$11,1)))+(MAX(Reference!$A$6,MIN(Reference!$A$11,MIN($U46,150)))-INDEX(Reference!$A$6:$A$11,MIN(5,MATCH(MAX(Reference!$A$6,MIN(Reference!$A$11,MIN($U46,150))),Reference!$A$6:$A$11,1))))*(INDEX(Reference!$B$6:$B$11,MIN(5,MATCH(MAX(Reference!$A$6,MIN(Reference!$A$11,MIN($U46,150))),Reference!$A$6:$A$11,1))+1)-INDEX(Reference!$B$6:$B$11,MIN(5,MATCH(MAX(Reference!$A$6,MIN(Reference!$A$11,MIN($U46,150))),Reference!$A$6:$A$11,1))))/(INDEX(Reference!$A$6:$A$11,MIN(5,MATCH(MAX(Reference!$A$6,MIN(Reference!$A$11,MIN($U46,150))),Reference!$A$6:$A$11,1))+1)-INDEX(Reference!$A$6:$A$11,MIN(5,MATCH(MAX(Reference!$A$6,MIN(Reference!$A$11,MIN($U46,150))),Reference!$A$6:$A$11,1))))),0)+IF(4&lt;=$AL46,($AL46-4+3)*(INDEX(Reference!$B$6:$B$11,MIN(5,MATCH(MAX(Reference!$A$6,MIN(Reference!$A$11,MIN($U46,180))),Reference!$A$6:$A$11,1)))+(MAX(Reference!$A$6,MIN(Reference!$A$11,MIN($U46,180)))-INDEX(Reference!$A$6:$A$11,MIN(5,MATCH(MAX(Reference!$A$6,MIN(Reference!$A$11,MIN($U46,180))),Reference!$A$6:$A$11,1))))*(INDEX(Reference!$B$6:$B$11,MIN(5,MATCH(MAX(Reference!$A$6,MIN(Reference!$A$11,MIN($U46,180))),Reference!$A$6:$A$11,1))+1)-INDEX(Reference!$B$6:$B$11,MIN(5,MATCH(MAX(Reference!$A$6,MIN(Reference!$A$11,MIN($U46,180))),Reference!$A$6:$A$11,1))))/(INDEX(Reference!$A$6:$A$11,MIN(5,MATCH(MAX(Reference!$A$6,MIN(Reference!$A$11,MIN($U46,180))),Reference!$A$6:$A$11,1))+1)-INDEX(Reference!$A$6:$A$11,MIN(5,MATCH(MAX(Reference!$A$6,MIN(Reference!$A$11,MIN($U46,180))),Reference!$A$6:$A$11,1))))),0)+IF(5&lt;=$AL46,($AL46-5+3)*(INDEX(Reference!$B$6:$B$11,MIN(5,MATCH(MAX(Reference!$A$6,MIN(Reference!$A$11,MIN($U46,210))),Reference!$A$6:$A$11,1)))+(MAX(Reference!$A$6,MIN(Reference!$A$11,MIN($U46,210)))-INDEX(Reference!$A$6:$A$11,MIN(5,MATCH(MAX(Reference!$A$6,MIN(Reference!$A$11,MIN($U46,210))),Reference!$A$6:$A$11,1))))*(INDEX(Reference!$B$6:$B$11,MIN(5,MATCH(MAX(Reference!$A$6,MIN(Reference!$A$11,MIN($U46,210))),Reference!$A$6:$A$11,1))+1)-INDEX(Reference!$B$6:$B$11,MIN(5,MATCH(MAX(Reference!$A$6,MIN(Reference!$A$11,MIN($U46,210))),Reference!$A$6:$A$11,1))))/(INDEX(Reference!$A$6:$A$11,MIN(5,MATCH(MAX(Reference!$A$6,MIN(Reference!$A$11,MIN($U46,210))),Reference!$A$6:$A$11,1))+1)-INDEX(Reference!$A$6:$A$11,MIN(5,MATCH(MAX(Reference!$A$6,MIN(Reference!$A$11,MIN($U46,210))),Reference!$A$6:$A$11,1))))),0)+IF(6&lt;=$AL46,($AL46-6+3)*(INDEX(Reference!$B$6:$B$11,MIN(5,MATCH(MAX(Reference!$A$6,MIN(Reference!$A$11,MIN($U46,240))),Reference!$A$6:$A$11,1)))+(MAX(Reference!$A$6,MIN(Reference!$A$11,MIN($U46,240)))-INDEX(Reference!$A$6:$A$11,MIN(5,MATCH(MAX(Reference!$A$6,MIN(Reference!$A$11,MIN($U46,240))),Reference!$A$6:$A$11,1))))*(INDEX(Reference!$B$6:$B$11,MIN(5,MATCH(MAX(Reference!$A$6,MIN(Reference!$A$11,MIN($U46,240))),Reference!$A$6:$A$11,1))+1)-INDEX(Reference!$B$6:$B$11,MIN(5,MATCH(MAX(Reference!$A$6,MIN(Reference!$A$11,MIN($U46,240))),Reference!$A$6:$A$11,1))))/(INDEX(Reference!$A$6:$A$11,MIN(5,MATCH(MAX(Reference!$A$6,MIN(Reference!$A$11,MIN($U46,240))),Reference!$A$6:$A$11,1))+1)-INDEX(Reference!$A$6:$A$11,MIN(5,MATCH(MAX(Reference!$A$6,MIN(Reference!$A$11,MIN($U46,240))),Reference!$A$6:$A$11,1))))),0)+IF(7&lt;=$AL46,($AL46-7+3)*(INDEX(Reference!$B$6:$B$11,MIN(5,MATCH(MAX(Reference!$A$6,MIN(Reference!$A$11,MIN($U46,270))),Reference!$A$6:$A$11,1)))+(MAX(Reference!$A$6,MIN(Reference!$A$11,MIN($U46,270)))-INDEX(Reference!$A$6:$A$11,MIN(5,MATCH(MAX(Reference!$A$6,MIN(Reference!$A$11,MIN($U46,270))),Reference!$A$6:$A$11,1))))*(INDEX(Reference!$B$6:$B$11,MIN(5,MATCH(MAX(Reference!$A$6,MIN(Reference!$A$11,MIN($U46,270))),Reference!$A$6:$A$11,1))+1)-INDEX(Reference!$B$6:$B$11,MIN(5,MATCH(MAX(Reference!$A$6,MIN(Reference!$A$11,MIN($U46,270))),Reference!$A$6:$A$11,1))))/(INDEX(Reference!$A$6:$A$11,MIN(5,MATCH(MAX(Reference!$A$6,MIN(Reference!$A$11,MIN($U46,270))),Reference!$A$6:$A$11,1))+1)-INDEX(Reference!$A$6:$A$11,MIN(5,MATCH(MAX(Reference!$A$6,MIN(Reference!$A$11,MIN($U46,270))),Reference!$A$6:$A$11,1))))),0)+IF(8&lt;=$AL46,($AL46-8+3)*(INDEX(Reference!$B$6:$B$11,MIN(5,MATCH(MAX(Reference!$A$6,MIN(Reference!$A$11,MIN($U46,300))),Reference!$A$6:$A$11,1)))+(MAX(Reference!$A$6,MIN(Reference!$A$11,MIN($U46,300)))-INDEX(Reference!$A$6:$A$11,MIN(5,MATCH(MAX(Reference!$A$6,MIN(Reference!$A$11,MIN($U46,300))),Reference!$A$6:$A$11,1))))*(INDEX(Reference!$B$6:$B$11,MIN(5,MATCH(MAX(Reference!$A$6,MIN(Reference!$A$11,MIN($U46,300))),Reference!$A$6:$A$11,1))+1)-INDEX(Reference!$B$6:$B$11,MIN(5,MATCH(MAX(Reference!$A$6,MIN(Reference!$A$11,MIN($U46,300))),Reference!$A$6:$A$11,1))))/(INDEX(Reference!$A$6:$A$11,MIN(5,MATCH(MAX(Reference!$A$6,MIN(Reference!$A$11,MIN($U46,300))),Reference!$A$6:$A$11,1))+1)-INDEX(Reference!$A$6:$A$11,MIN(5,MATCH(MAX(Reference!$A$6,MIN(Reference!$A$11,MIN($U46,300))),Reference!$A$6:$A$11,1))))),0))/($AL46*($AL46+5)/2)),$AN46))</f>
        <v>1</v>
      </c>
      <c r="AN46" s="32">
        <f>IF($U46="",0,(INDEX(Reference!$B$6:$B$11,MIN(5,MATCH(MAX(Reference!$A$6,MIN(Reference!$A$11,$U46)),Reference!$A$6:$A$11,1)))+(MAX(Reference!$A$6,MIN(Reference!$A$11,$U46))-INDEX(Reference!$A$6:$A$11,MIN(5,MATCH(MAX(Reference!$A$6,MIN(Reference!$A$11,$U46)),Reference!$A$6:$A$11,1))))*(INDEX(Reference!$B$6:$B$11,MIN(5,MATCH(MAX(Reference!$A$6,MIN(Reference!$A$11,$U46)),Reference!$A$6:$A$11,1))+1)-INDEX(Reference!$B$6:$B$11,MIN(5,MATCH(MAX(Reference!$A$6,MIN(Reference!$A$11,$U46)),Reference!$A$6:$A$11,1))))/(INDEX(Reference!$A$6:$A$11,MIN(5,MATCH(MAX(Reference!$A$6,MIN(Reference!$A$11,$U46)),Reference!$A$6:$A$11,1))+1)-INDEX(Reference!$A$6:$A$11,MIN(5,MATCH(MAX(Reference!$A$6,MIN(Reference!$A$11,$U46)),Reference!$A$6:$A$11,1))))))</f>
        <v>1</v>
      </c>
      <c r="AO46" s="37"/>
      <c r="AP46" s="37"/>
      <c r="AQ46" s="37"/>
    </row>
    <row r="47" spans="1:43" x14ac:dyDescent="0.3">
      <c r="A47" s="48">
        <f t="shared" si="5"/>
        <v>46311</v>
      </c>
      <c r="B47" s="32" t="str">
        <f t="shared" si="6"/>
        <v>Fri</v>
      </c>
      <c r="C47" s="32">
        <f t="shared" si="7"/>
        <v>80</v>
      </c>
      <c r="D47" s="32" t="str">
        <f t="shared" si="8"/>
        <v>Re-entry</v>
      </c>
      <c r="E47" s="32" t="str">
        <f t="shared" si="9"/>
        <v>Low</v>
      </c>
      <c r="F47" s="32" t="str">
        <f t="shared" si="10"/>
        <v>Recovery/Easy Catch</v>
      </c>
      <c r="G47" s="47" t="str">
        <f t="shared" si="11"/>
        <v>60 ft × 20 @ 65–69 mph</v>
      </c>
      <c r="H47" s="30">
        <f t="shared" si="12"/>
        <v>12</v>
      </c>
      <c r="I47" s="46" t="str">
        <f>IF($A47="","",IF(AND($L47&lt;27,$K$12=0),"Building",IFERROR(((SUM($H$43:$H47)+$K$12*IF($L47&lt;6,SUMIFS('Throw Log'!$Q$5:$Q$300,'Throw Log'!$B$5:$B$300,$D$4,'Throw Log'!$A$5:$A$300,"&gt;="&amp;($D$6+$L47-6),'Throw Log'!$A$5:$A$300,"&lt;="&amp;($D$6-1)),0))/7)/((SUM($H$43:$H47)+$K$12*IF($L47&lt;27,SUMIFS('Throw Log'!$Q$5:$Q$300,'Throw Log'!$B$5:$B$300,$D$4,'Throw Log'!$A$5:$A$300,"&gt;="&amp;($D$6+$L47-27),'Throw Log'!$A$5:$A$300,"&lt;="&amp;($D$6-1)),0))/28),"")))</f>
        <v>Building</v>
      </c>
      <c r="J47" s="37"/>
      <c r="K47" s="37"/>
      <c r="L47" s="32">
        <v>4</v>
      </c>
      <c r="M47" s="32">
        <f t="shared" si="13"/>
        <v>1</v>
      </c>
      <c r="N47" s="32">
        <f t="shared" si="14"/>
        <v>4</v>
      </c>
      <c r="O47" s="32">
        <f t="shared" si="15"/>
        <v>5.2631578947368418E-2</v>
      </c>
      <c r="P47" s="32">
        <f>IF(OR($A47="",N($C47)&lt;=7),"",$G$6*$G$9^($M47-1)*IF(AND(MOD($M47,Reference!$B$99)=0,$M47&lt;=$G$5-2),Reference!$B$100,1))</f>
        <v>80</v>
      </c>
      <c r="Q47" s="32">
        <f>IF($P47="","",IF(SUM($AK$43:$AK$49)=0,0,$P47*INDEX(Reference!$B$108:$B$114,$N47+1)/SUM($AK$43:$AK$49)))</f>
        <v>10.95890410958904</v>
      </c>
      <c r="R47" s="32">
        <f t="shared" si="16"/>
        <v>75</v>
      </c>
      <c r="S47" s="32">
        <f t="shared" si="17"/>
        <v>75</v>
      </c>
      <c r="T47" s="32" t="str">
        <f>IF($A47="","",IF($C47=0,"Bullpen",IF(OR($C47=7,$C47=1,$C47=5),"Recovery/Easy Catch",IF($C47=6,"Compression/Pulldowns",IF(OR($C47=4,$C47=2),"Long Toss",IF($C47=3,"No Throw",IF($N47=2,"No Throw",IF($N47=6,IF($O47&lt;Reference!$B$104,"No Throw","Recovery/Easy Catch"),IF(OR($N47=0,$N47=4),"Recovery/Easy Catch",IF($N47=1,IF($R47&gt;75,"Long Toss","Recovery/Easy Catch"),IF($N47=3,IF($O47&lt;0.5,IF($S47&gt;75,"Long Toss","Recovery/Easy Catch"),"Compression/Pulldowns"),IF($S47&gt;75,"Long Toss","Recovery/Easy Catch"))))))))))))</f>
        <v>Recovery/Easy Catch</v>
      </c>
      <c r="U47" s="32">
        <f t="shared" si="18"/>
        <v>60</v>
      </c>
      <c r="V47" s="32">
        <f t="shared" si="19"/>
        <v>20</v>
      </c>
      <c r="W47" s="32">
        <f t="shared" si="20"/>
        <v>24</v>
      </c>
      <c r="X47" s="32">
        <f t="shared" si="21"/>
        <v>0</v>
      </c>
      <c r="Y47" s="32" t="str">
        <f t="shared" si="22"/>
        <v/>
      </c>
      <c r="Z47" s="32" t="str">
        <f t="shared" si="23"/>
        <v/>
      </c>
      <c r="AA47" s="32" t="str">
        <f t="shared" si="24"/>
        <v/>
      </c>
      <c r="AB47" s="32">
        <f>IF($A47="","",IF($T47="No Throw",0,IF($K47&lt;&gt;"",$K47,IF($AA47&lt;&gt;"",ROUND($AA47*$D$12*IF($C47=0,1,$G$10),0),MIN(IF($T47="Recovery/Easy Catch",Reference!$B$103,IF($T47="Long Toss",Reference!$B$106,Reference!$B$102)),MAX(Reference!$B$101,ROUND(MAX(0,$Q47-$AE47)/$AF47,0)))))))</f>
        <v>20</v>
      </c>
      <c r="AC47" s="32">
        <f t="shared" si="25"/>
        <v>0</v>
      </c>
      <c r="AD47" s="32" t="b">
        <f t="shared" si="26"/>
        <v>0</v>
      </c>
      <c r="AE47" s="32">
        <f>IF($X47=0,0,$X47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47+$Z47)/2,0),Reference!$A$17:$B$20,2,TRUE()))</f>
        <v>0</v>
      </c>
      <c r="AF47" s="32">
        <f>IF(OR($A47="",$U47="",$T47="No Throw"),0,$AM47*VLOOKUP(MAX(($V47+$W47)/2,0),Reference!$A$17:$B$20,2,TRUE()))</f>
        <v>0.6</v>
      </c>
      <c r="AG47" s="32">
        <f>IF($AC47=0,0,$AC47*INDEX(Reference!$B$61:$B$62,MATCH("Bullpen",Reference!$A$61:$A$62,0))*VLOOKUP(MAX($D$5-($D$9+$E$9)/2,0),Reference!$A$17:$B$20,2,TRUE()))</f>
        <v>0</v>
      </c>
      <c r="AH47" s="32" t="e">
        <f t="shared" si="27"/>
        <v>#N/A</v>
      </c>
      <c r="AI47" s="32">
        <f>IF($A47="",NA(),Reference!$A$25)</f>
        <v>0.8</v>
      </c>
      <c r="AJ47" s="32">
        <f t="shared" si="28"/>
        <v>1.3</v>
      </c>
      <c r="AK47" s="56">
        <f>IF(OR($A47="",N($C47)&lt;=7,$T47="No Throw",$J47="x"),0,INDEX(Reference!$B$108:$B$114,$N47+1))</f>
        <v>0.1</v>
      </c>
      <c r="AL47" s="32">
        <f t="shared" si="29"/>
        <v>1</v>
      </c>
      <c r="AM47" s="32">
        <f>IF($U47="",0,IF($AL47&gt;1,((IF(1&lt;=$AL47,($AL47-1+3)*(INDEX(Reference!$B$6:$B$11,MIN(5,MATCH(MAX(Reference!$A$6,MIN(Reference!$A$11,MIN($U47,90))),Reference!$A$6:$A$11,1)))+(MAX(Reference!$A$6,MIN(Reference!$A$11,MIN($U47,90)))-INDEX(Reference!$A$6:$A$11,MIN(5,MATCH(MAX(Reference!$A$6,MIN(Reference!$A$11,MIN($U47,90))),Reference!$A$6:$A$11,1))))*(INDEX(Reference!$B$6:$B$11,MIN(5,MATCH(MAX(Reference!$A$6,MIN(Reference!$A$11,MIN($U47,90))),Reference!$A$6:$A$11,1))+1)-INDEX(Reference!$B$6:$B$11,MIN(5,MATCH(MAX(Reference!$A$6,MIN(Reference!$A$11,MIN($U47,90))),Reference!$A$6:$A$11,1))))/(INDEX(Reference!$A$6:$A$11,MIN(5,MATCH(MAX(Reference!$A$6,MIN(Reference!$A$11,MIN($U47,90))),Reference!$A$6:$A$11,1))+1)-INDEX(Reference!$A$6:$A$11,MIN(5,MATCH(MAX(Reference!$A$6,MIN(Reference!$A$11,MIN($U47,90))),Reference!$A$6:$A$11,1))))),0)+IF(2&lt;=$AL47,($AL47-2+3)*(INDEX(Reference!$B$6:$B$11,MIN(5,MATCH(MAX(Reference!$A$6,MIN(Reference!$A$11,MIN($U47,120))),Reference!$A$6:$A$11,1)))+(MAX(Reference!$A$6,MIN(Reference!$A$11,MIN($U47,120)))-INDEX(Reference!$A$6:$A$11,MIN(5,MATCH(MAX(Reference!$A$6,MIN(Reference!$A$11,MIN($U47,120))),Reference!$A$6:$A$11,1))))*(INDEX(Reference!$B$6:$B$11,MIN(5,MATCH(MAX(Reference!$A$6,MIN(Reference!$A$11,MIN($U47,120))),Reference!$A$6:$A$11,1))+1)-INDEX(Reference!$B$6:$B$11,MIN(5,MATCH(MAX(Reference!$A$6,MIN(Reference!$A$11,MIN($U47,120))),Reference!$A$6:$A$11,1))))/(INDEX(Reference!$A$6:$A$11,MIN(5,MATCH(MAX(Reference!$A$6,MIN(Reference!$A$11,MIN($U47,120))),Reference!$A$6:$A$11,1))+1)-INDEX(Reference!$A$6:$A$11,MIN(5,MATCH(MAX(Reference!$A$6,MIN(Reference!$A$11,MIN($U47,120))),Reference!$A$6:$A$11,1))))),0)+IF(3&lt;=$AL47,($AL47-3+3)*(INDEX(Reference!$B$6:$B$11,MIN(5,MATCH(MAX(Reference!$A$6,MIN(Reference!$A$11,MIN($U47,150))),Reference!$A$6:$A$11,1)))+(MAX(Reference!$A$6,MIN(Reference!$A$11,MIN($U47,150)))-INDEX(Reference!$A$6:$A$11,MIN(5,MATCH(MAX(Reference!$A$6,MIN(Reference!$A$11,MIN($U47,150))),Reference!$A$6:$A$11,1))))*(INDEX(Reference!$B$6:$B$11,MIN(5,MATCH(MAX(Reference!$A$6,MIN(Reference!$A$11,MIN($U47,150))),Reference!$A$6:$A$11,1))+1)-INDEX(Reference!$B$6:$B$11,MIN(5,MATCH(MAX(Reference!$A$6,MIN(Reference!$A$11,MIN($U47,150))),Reference!$A$6:$A$11,1))))/(INDEX(Reference!$A$6:$A$11,MIN(5,MATCH(MAX(Reference!$A$6,MIN(Reference!$A$11,MIN($U47,150))),Reference!$A$6:$A$11,1))+1)-INDEX(Reference!$A$6:$A$11,MIN(5,MATCH(MAX(Reference!$A$6,MIN(Reference!$A$11,MIN($U47,150))),Reference!$A$6:$A$11,1))))),0)+IF(4&lt;=$AL47,($AL47-4+3)*(INDEX(Reference!$B$6:$B$11,MIN(5,MATCH(MAX(Reference!$A$6,MIN(Reference!$A$11,MIN($U47,180))),Reference!$A$6:$A$11,1)))+(MAX(Reference!$A$6,MIN(Reference!$A$11,MIN($U47,180)))-INDEX(Reference!$A$6:$A$11,MIN(5,MATCH(MAX(Reference!$A$6,MIN(Reference!$A$11,MIN($U47,180))),Reference!$A$6:$A$11,1))))*(INDEX(Reference!$B$6:$B$11,MIN(5,MATCH(MAX(Reference!$A$6,MIN(Reference!$A$11,MIN($U47,180))),Reference!$A$6:$A$11,1))+1)-INDEX(Reference!$B$6:$B$11,MIN(5,MATCH(MAX(Reference!$A$6,MIN(Reference!$A$11,MIN($U47,180))),Reference!$A$6:$A$11,1))))/(INDEX(Reference!$A$6:$A$11,MIN(5,MATCH(MAX(Reference!$A$6,MIN(Reference!$A$11,MIN($U47,180))),Reference!$A$6:$A$11,1))+1)-INDEX(Reference!$A$6:$A$11,MIN(5,MATCH(MAX(Reference!$A$6,MIN(Reference!$A$11,MIN($U47,180))),Reference!$A$6:$A$11,1))))),0)+IF(5&lt;=$AL47,($AL47-5+3)*(INDEX(Reference!$B$6:$B$11,MIN(5,MATCH(MAX(Reference!$A$6,MIN(Reference!$A$11,MIN($U47,210))),Reference!$A$6:$A$11,1)))+(MAX(Reference!$A$6,MIN(Reference!$A$11,MIN($U47,210)))-INDEX(Reference!$A$6:$A$11,MIN(5,MATCH(MAX(Reference!$A$6,MIN(Reference!$A$11,MIN($U47,210))),Reference!$A$6:$A$11,1))))*(INDEX(Reference!$B$6:$B$11,MIN(5,MATCH(MAX(Reference!$A$6,MIN(Reference!$A$11,MIN($U47,210))),Reference!$A$6:$A$11,1))+1)-INDEX(Reference!$B$6:$B$11,MIN(5,MATCH(MAX(Reference!$A$6,MIN(Reference!$A$11,MIN($U47,210))),Reference!$A$6:$A$11,1))))/(INDEX(Reference!$A$6:$A$11,MIN(5,MATCH(MAX(Reference!$A$6,MIN(Reference!$A$11,MIN($U47,210))),Reference!$A$6:$A$11,1))+1)-INDEX(Reference!$A$6:$A$11,MIN(5,MATCH(MAX(Reference!$A$6,MIN(Reference!$A$11,MIN($U47,210))),Reference!$A$6:$A$11,1))))),0)+IF(6&lt;=$AL47,($AL47-6+3)*(INDEX(Reference!$B$6:$B$11,MIN(5,MATCH(MAX(Reference!$A$6,MIN(Reference!$A$11,MIN($U47,240))),Reference!$A$6:$A$11,1)))+(MAX(Reference!$A$6,MIN(Reference!$A$11,MIN($U47,240)))-INDEX(Reference!$A$6:$A$11,MIN(5,MATCH(MAX(Reference!$A$6,MIN(Reference!$A$11,MIN($U47,240))),Reference!$A$6:$A$11,1))))*(INDEX(Reference!$B$6:$B$11,MIN(5,MATCH(MAX(Reference!$A$6,MIN(Reference!$A$11,MIN($U47,240))),Reference!$A$6:$A$11,1))+1)-INDEX(Reference!$B$6:$B$11,MIN(5,MATCH(MAX(Reference!$A$6,MIN(Reference!$A$11,MIN($U47,240))),Reference!$A$6:$A$11,1))))/(INDEX(Reference!$A$6:$A$11,MIN(5,MATCH(MAX(Reference!$A$6,MIN(Reference!$A$11,MIN($U47,240))),Reference!$A$6:$A$11,1))+1)-INDEX(Reference!$A$6:$A$11,MIN(5,MATCH(MAX(Reference!$A$6,MIN(Reference!$A$11,MIN($U47,240))),Reference!$A$6:$A$11,1))))),0)+IF(7&lt;=$AL47,($AL47-7+3)*(INDEX(Reference!$B$6:$B$11,MIN(5,MATCH(MAX(Reference!$A$6,MIN(Reference!$A$11,MIN($U47,270))),Reference!$A$6:$A$11,1)))+(MAX(Reference!$A$6,MIN(Reference!$A$11,MIN($U47,270)))-INDEX(Reference!$A$6:$A$11,MIN(5,MATCH(MAX(Reference!$A$6,MIN(Reference!$A$11,MIN($U47,270))),Reference!$A$6:$A$11,1))))*(INDEX(Reference!$B$6:$B$11,MIN(5,MATCH(MAX(Reference!$A$6,MIN(Reference!$A$11,MIN($U47,270))),Reference!$A$6:$A$11,1))+1)-INDEX(Reference!$B$6:$B$11,MIN(5,MATCH(MAX(Reference!$A$6,MIN(Reference!$A$11,MIN($U47,270))),Reference!$A$6:$A$11,1))))/(INDEX(Reference!$A$6:$A$11,MIN(5,MATCH(MAX(Reference!$A$6,MIN(Reference!$A$11,MIN($U47,270))),Reference!$A$6:$A$11,1))+1)-INDEX(Reference!$A$6:$A$11,MIN(5,MATCH(MAX(Reference!$A$6,MIN(Reference!$A$11,MIN($U47,270))),Reference!$A$6:$A$11,1))))),0)+IF(8&lt;=$AL47,($AL47-8+3)*(INDEX(Reference!$B$6:$B$11,MIN(5,MATCH(MAX(Reference!$A$6,MIN(Reference!$A$11,MIN($U47,300))),Reference!$A$6:$A$11,1)))+(MAX(Reference!$A$6,MIN(Reference!$A$11,MIN($U47,300)))-INDEX(Reference!$A$6:$A$11,MIN(5,MATCH(MAX(Reference!$A$6,MIN(Reference!$A$11,MIN($U47,300))),Reference!$A$6:$A$11,1))))*(INDEX(Reference!$B$6:$B$11,MIN(5,MATCH(MAX(Reference!$A$6,MIN(Reference!$A$11,MIN($U47,300))),Reference!$A$6:$A$11,1))+1)-INDEX(Reference!$B$6:$B$11,MIN(5,MATCH(MAX(Reference!$A$6,MIN(Reference!$A$11,MIN($U47,300))),Reference!$A$6:$A$11,1))))/(INDEX(Reference!$A$6:$A$11,MIN(5,MATCH(MAX(Reference!$A$6,MIN(Reference!$A$11,MIN($U47,300))),Reference!$A$6:$A$11,1))+1)-INDEX(Reference!$A$6:$A$11,MIN(5,MATCH(MAX(Reference!$A$6,MIN(Reference!$A$11,MIN($U47,300))),Reference!$A$6:$A$11,1))))),0))/($AL47*($AL47+5)/2)),$AN47))</f>
        <v>1</v>
      </c>
      <c r="AN47" s="32">
        <f>IF($U47="",0,(INDEX(Reference!$B$6:$B$11,MIN(5,MATCH(MAX(Reference!$A$6,MIN(Reference!$A$11,$U47)),Reference!$A$6:$A$11,1)))+(MAX(Reference!$A$6,MIN(Reference!$A$11,$U47))-INDEX(Reference!$A$6:$A$11,MIN(5,MATCH(MAX(Reference!$A$6,MIN(Reference!$A$11,$U47)),Reference!$A$6:$A$11,1))))*(INDEX(Reference!$B$6:$B$11,MIN(5,MATCH(MAX(Reference!$A$6,MIN(Reference!$A$11,$U47)),Reference!$A$6:$A$11,1))+1)-INDEX(Reference!$B$6:$B$11,MIN(5,MATCH(MAX(Reference!$A$6,MIN(Reference!$A$11,$U47)),Reference!$A$6:$A$11,1))))/(INDEX(Reference!$A$6:$A$11,MIN(5,MATCH(MAX(Reference!$A$6,MIN(Reference!$A$11,$U47)),Reference!$A$6:$A$11,1))+1)-INDEX(Reference!$A$6:$A$11,MIN(5,MATCH(MAX(Reference!$A$6,MIN(Reference!$A$11,$U47)),Reference!$A$6:$A$11,1))))))</f>
        <v>1</v>
      </c>
      <c r="AO47" s="37"/>
      <c r="AP47" s="37"/>
      <c r="AQ47" s="37"/>
    </row>
    <row r="48" spans="1:43" x14ac:dyDescent="0.3">
      <c r="A48" s="48">
        <f t="shared" si="5"/>
        <v>46312</v>
      </c>
      <c r="B48" s="32" t="str">
        <f t="shared" si="6"/>
        <v>Sat</v>
      </c>
      <c r="C48" s="32">
        <f t="shared" si="7"/>
        <v>79</v>
      </c>
      <c r="D48" s="32" t="str">
        <f t="shared" si="8"/>
        <v>Re-entry</v>
      </c>
      <c r="E48" s="32" t="str">
        <f t="shared" si="9"/>
        <v>No Throw</v>
      </c>
      <c r="F48" s="32" t="str">
        <f t="shared" si="10"/>
        <v>No Throw</v>
      </c>
      <c r="G48" s="47" t="str">
        <f t="shared" si="11"/>
        <v>Off</v>
      </c>
      <c r="H48" s="30">
        <f t="shared" si="12"/>
        <v>0</v>
      </c>
      <c r="I48" s="46" t="str">
        <f>IF($A48="","",IF(AND($L48&lt;27,$K$12=0),"Building",IFERROR(((SUM($H$43:$H48)+$K$12*IF($L48&lt;6,SUMIFS('Throw Log'!$Q$5:$Q$300,'Throw Log'!$B$5:$B$300,$D$4,'Throw Log'!$A$5:$A$300,"&gt;="&amp;($D$6+$L48-6),'Throw Log'!$A$5:$A$300,"&lt;="&amp;($D$6-1)),0))/7)/((SUM($H$43:$H48)+$K$12*IF($L48&lt;27,SUMIFS('Throw Log'!$Q$5:$Q$300,'Throw Log'!$B$5:$B$300,$D$4,'Throw Log'!$A$5:$A$300,"&gt;="&amp;($D$6+$L48-27),'Throw Log'!$A$5:$A$300,"&lt;="&amp;($D$6-1)),0))/28),"")))</f>
        <v>Building</v>
      </c>
      <c r="J48" s="37" t="s">
        <v>346</v>
      </c>
      <c r="K48" s="37"/>
      <c r="L48" s="32">
        <v>5</v>
      </c>
      <c r="M48" s="32">
        <f t="shared" si="13"/>
        <v>1</v>
      </c>
      <c r="N48" s="32">
        <f t="shared" si="14"/>
        <v>5</v>
      </c>
      <c r="O48" s="32">
        <f t="shared" si="15"/>
        <v>6.5789473684210523E-2</v>
      </c>
      <c r="P48" s="32">
        <f>IF(OR($A48="",N($C48)&lt;=7),"",$G$6*$G$9^($M48-1)*IF(AND(MOD($M48,Reference!$B$99)=0,$M48&lt;=$G$5-2),Reference!$B$100,1))</f>
        <v>80</v>
      </c>
      <c r="Q48" s="32">
        <f>IF($P48="","",IF(SUM($AK$43:$AK$49)=0,0,$P48*INDEX(Reference!$B$108:$B$114,$N48+1)/SUM($AK$43:$AK$49)))</f>
        <v>29.589041095890412</v>
      </c>
      <c r="R48" s="32">
        <f t="shared" si="16"/>
        <v>75</v>
      </c>
      <c r="S48" s="32">
        <f t="shared" si="17"/>
        <v>75</v>
      </c>
      <c r="T48" s="32" t="str">
        <f>IF($A48="","",IF($C48=0,"Bullpen",IF(OR($C48=7,$C48=1,$C48=5),"Recovery/Easy Catch",IF($C48=6,"Compression/Pulldowns",IF(OR($C48=4,$C48=2),"Long Toss",IF($C48=3,"No Throw",IF($N48=2,"No Throw",IF($N48=6,IF($O48&lt;Reference!$B$104,"No Throw","Recovery/Easy Catch"),IF(OR($N48=0,$N48=4),"Recovery/Easy Catch",IF($N48=1,IF($R48&gt;75,"Long Toss","Recovery/Easy Catch"),IF($N48=3,IF($O48&lt;0.5,IF($S48&gt;75,"Long Toss","Recovery/Easy Catch"),"Compression/Pulldowns"),IF($S48&gt;75,"Long Toss","Recovery/Easy Catch"))))))))))))</f>
        <v>Recovery/Easy Catch</v>
      </c>
      <c r="U48" s="32">
        <f t="shared" si="18"/>
        <v>75</v>
      </c>
      <c r="V48" s="32">
        <f t="shared" si="19"/>
        <v>18</v>
      </c>
      <c r="W48" s="32">
        <f t="shared" si="20"/>
        <v>22</v>
      </c>
      <c r="X48" s="32">
        <f t="shared" si="21"/>
        <v>0</v>
      </c>
      <c r="Y48" s="32" t="str">
        <f t="shared" si="22"/>
        <v/>
      </c>
      <c r="Z48" s="32" t="str">
        <f t="shared" si="23"/>
        <v/>
      </c>
      <c r="AA48" s="32" t="str">
        <f t="shared" si="24"/>
        <v/>
      </c>
      <c r="AB48" s="32">
        <f>IF($A48="","",IF($T48="No Throw",0,IF($K48&lt;&gt;"",$K48,IF($AA48&lt;&gt;"",ROUND($AA48*$D$12*IF($C48=0,1,$G$10),0),MIN(IF($T48="Recovery/Easy Catch",Reference!$B$103,IF($T48="Long Toss",Reference!$B$106,Reference!$B$102)),MAX(Reference!$B$101,ROUND(MAX(0,$Q48-$AE48)/$AF48,0)))))))</f>
        <v>35</v>
      </c>
      <c r="AC48" s="32">
        <f t="shared" si="25"/>
        <v>0</v>
      </c>
      <c r="AD48" s="32" t="b">
        <f t="shared" si="26"/>
        <v>1</v>
      </c>
      <c r="AE48" s="32">
        <f>IF($X48=0,0,$X48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48+$Z48)/2,0),Reference!$A$17:$B$20,2,TRUE()))</f>
        <v>0</v>
      </c>
      <c r="AF48" s="32">
        <f>IF(OR($A48="",$U48="",$T48="No Throw"),0,$AM48*VLOOKUP(MAX(($V48+$W48)/2,0),Reference!$A$17:$B$20,2,TRUE()))</f>
        <v>0.69</v>
      </c>
      <c r="AG48" s="32">
        <f>IF($AC48=0,0,$AC48*INDEX(Reference!$B$61:$B$62,MATCH("Bullpen",Reference!$A$61:$A$62,0))*VLOOKUP(MAX($D$5-($D$9+$E$9)/2,0),Reference!$A$17:$B$20,2,TRUE()))</f>
        <v>0</v>
      </c>
      <c r="AH48" s="32" t="e">
        <f t="shared" si="27"/>
        <v>#N/A</v>
      </c>
      <c r="AI48" s="32">
        <f>IF($A48="",NA(),Reference!$A$25)</f>
        <v>0.8</v>
      </c>
      <c r="AJ48" s="32">
        <f t="shared" si="28"/>
        <v>1.3</v>
      </c>
      <c r="AK48" s="32">
        <f>IF(OR($A48="",N($C48)&lt;=7,$T48="No Throw",$J48="x"),0,INDEX(Reference!$B$108:$B$114,$N48+1))</f>
        <v>0</v>
      </c>
      <c r="AL48" s="32">
        <f t="shared" si="29"/>
        <v>1</v>
      </c>
      <c r="AM48" s="32">
        <f>IF($U48="",0,IF($AL48&gt;1,((IF(1&lt;=$AL48,($AL48-1+3)*(INDEX(Reference!$B$6:$B$11,MIN(5,MATCH(MAX(Reference!$A$6,MIN(Reference!$A$11,MIN($U48,90))),Reference!$A$6:$A$11,1)))+(MAX(Reference!$A$6,MIN(Reference!$A$11,MIN($U48,90)))-INDEX(Reference!$A$6:$A$11,MIN(5,MATCH(MAX(Reference!$A$6,MIN(Reference!$A$11,MIN($U48,90))),Reference!$A$6:$A$11,1))))*(INDEX(Reference!$B$6:$B$11,MIN(5,MATCH(MAX(Reference!$A$6,MIN(Reference!$A$11,MIN($U48,90))),Reference!$A$6:$A$11,1))+1)-INDEX(Reference!$B$6:$B$11,MIN(5,MATCH(MAX(Reference!$A$6,MIN(Reference!$A$11,MIN($U48,90))),Reference!$A$6:$A$11,1))))/(INDEX(Reference!$A$6:$A$11,MIN(5,MATCH(MAX(Reference!$A$6,MIN(Reference!$A$11,MIN($U48,90))),Reference!$A$6:$A$11,1))+1)-INDEX(Reference!$A$6:$A$11,MIN(5,MATCH(MAX(Reference!$A$6,MIN(Reference!$A$11,MIN($U48,90))),Reference!$A$6:$A$11,1))))),0)+IF(2&lt;=$AL48,($AL48-2+3)*(INDEX(Reference!$B$6:$B$11,MIN(5,MATCH(MAX(Reference!$A$6,MIN(Reference!$A$11,MIN($U48,120))),Reference!$A$6:$A$11,1)))+(MAX(Reference!$A$6,MIN(Reference!$A$11,MIN($U48,120)))-INDEX(Reference!$A$6:$A$11,MIN(5,MATCH(MAX(Reference!$A$6,MIN(Reference!$A$11,MIN($U48,120))),Reference!$A$6:$A$11,1))))*(INDEX(Reference!$B$6:$B$11,MIN(5,MATCH(MAX(Reference!$A$6,MIN(Reference!$A$11,MIN($U48,120))),Reference!$A$6:$A$11,1))+1)-INDEX(Reference!$B$6:$B$11,MIN(5,MATCH(MAX(Reference!$A$6,MIN(Reference!$A$11,MIN($U48,120))),Reference!$A$6:$A$11,1))))/(INDEX(Reference!$A$6:$A$11,MIN(5,MATCH(MAX(Reference!$A$6,MIN(Reference!$A$11,MIN($U48,120))),Reference!$A$6:$A$11,1))+1)-INDEX(Reference!$A$6:$A$11,MIN(5,MATCH(MAX(Reference!$A$6,MIN(Reference!$A$11,MIN($U48,120))),Reference!$A$6:$A$11,1))))),0)+IF(3&lt;=$AL48,($AL48-3+3)*(INDEX(Reference!$B$6:$B$11,MIN(5,MATCH(MAX(Reference!$A$6,MIN(Reference!$A$11,MIN($U48,150))),Reference!$A$6:$A$11,1)))+(MAX(Reference!$A$6,MIN(Reference!$A$11,MIN($U48,150)))-INDEX(Reference!$A$6:$A$11,MIN(5,MATCH(MAX(Reference!$A$6,MIN(Reference!$A$11,MIN($U48,150))),Reference!$A$6:$A$11,1))))*(INDEX(Reference!$B$6:$B$11,MIN(5,MATCH(MAX(Reference!$A$6,MIN(Reference!$A$11,MIN($U48,150))),Reference!$A$6:$A$11,1))+1)-INDEX(Reference!$B$6:$B$11,MIN(5,MATCH(MAX(Reference!$A$6,MIN(Reference!$A$11,MIN($U48,150))),Reference!$A$6:$A$11,1))))/(INDEX(Reference!$A$6:$A$11,MIN(5,MATCH(MAX(Reference!$A$6,MIN(Reference!$A$11,MIN($U48,150))),Reference!$A$6:$A$11,1))+1)-INDEX(Reference!$A$6:$A$11,MIN(5,MATCH(MAX(Reference!$A$6,MIN(Reference!$A$11,MIN($U48,150))),Reference!$A$6:$A$11,1))))),0)+IF(4&lt;=$AL48,($AL48-4+3)*(INDEX(Reference!$B$6:$B$11,MIN(5,MATCH(MAX(Reference!$A$6,MIN(Reference!$A$11,MIN($U48,180))),Reference!$A$6:$A$11,1)))+(MAX(Reference!$A$6,MIN(Reference!$A$11,MIN($U48,180)))-INDEX(Reference!$A$6:$A$11,MIN(5,MATCH(MAX(Reference!$A$6,MIN(Reference!$A$11,MIN($U48,180))),Reference!$A$6:$A$11,1))))*(INDEX(Reference!$B$6:$B$11,MIN(5,MATCH(MAX(Reference!$A$6,MIN(Reference!$A$11,MIN($U48,180))),Reference!$A$6:$A$11,1))+1)-INDEX(Reference!$B$6:$B$11,MIN(5,MATCH(MAX(Reference!$A$6,MIN(Reference!$A$11,MIN($U48,180))),Reference!$A$6:$A$11,1))))/(INDEX(Reference!$A$6:$A$11,MIN(5,MATCH(MAX(Reference!$A$6,MIN(Reference!$A$11,MIN($U48,180))),Reference!$A$6:$A$11,1))+1)-INDEX(Reference!$A$6:$A$11,MIN(5,MATCH(MAX(Reference!$A$6,MIN(Reference!$A$11,MIN($U48,180))),Reference!$A$6:$A$11,1))))),0)+IF(5&lt;=$AL48,($AL48-5+3)*(INDEX(Reference!$B$6:$B$11,MIN(5,MATCH(MAX(Reference!$A$6,MIN(Reference!$A$11,MIN($U48,210))),Reference!$A$6:$A$11,1)))+(MAX(Reference!$A$6,MIN(Reference!$A$11,MIN($U48,210)))-INDEX(Reference!$A$6:$A$11,MIN(5,MATCH(MAX(Reference!$A$6,MIN(Reference!$A$11,MIN($U48,210))),Reference!$A$6:$A$11,1))))*(INDEX(Reference!$B$6:$B$11,MIN(5,MATCH(MAX(Reference!$A$6,MIN(Reference!$A$11,MIN($U48,210))),Reference!$A$6:$A$11,1))+1)-INDEX(Reference!$B$6:$B$11,MIN(5,MATCH(MAX(Reference!$A$6,MIN(Reference!$A$11,MIN($U48,210))),Reference!$A$6:$A$11,1))))/(INDEX(Reference!$A$6:$A$11,MIN(5,MATCH(MAX(Reference!$A$6,MIN(Reference!$A$11,MIN($U48,210))),Reference!$A$6:$A$11,1))+1)-INDEX(Reference!$A$6:$A$11,MIN(5,MATCH(MAX(Reference!$A$6,MIN(Reference!$A$11,MIN($U48,210))),Reference!$A$6:$A$11,1))))),0)+IF(6&lt;=$AL48,($AL48-6+3)*(INDEX(Reference!$B$6:$B$11,MIN(5,MATCH(MAX(Reference!$A$6,MIN(Reference!$A$11,MIN($U48,240))),Reference!$A$6:$A$11,1)))+(MAX(Reference!$A$6,MIN(Reference!$A$11,MIN($U48,240)))-INDEX(Reference!$A$6:$A$11,MIN(5,MATCH(MAX(Reference!$A$6,MIN(Reference!$A$11,MIN($U48,240))),Reference!$A$6:$A$11,1))))*(INDEX(Reference!$B$6:$B$11,MIN(5,MATCH(MAX(Reference!$A$6,MIN(Reference!$A$11,MIN($U48,240))),Reference!$A$6:$A$11,1))+1)-INDEX(Reference!$B$6:$B$11,MIN(5,MATCH(MAX(Reference!$A$6,MIN(Reference!$A$11,MIN($U48,240))),Reference!$A$6:$A$11,1))))/(INDEX(Reference!$A$6:$A$11,MIN(5,MATCH(MAX(Reference!$A$6,MIN(Reference!$A$11,MIN($U48,240))),Reference!$A$6:$A$11,1))+1)-INDEX(Reference!$A$6:$A$11,MIN(5,MATCH(MAX(Reference!$A$6,MIN(Reference!$A$11,MIN($U48,240))),Reference!$A$6:$A$11,1))))),0)+IF(7&lt;=$AL48,($AL48-7+3)*(INDEX(Reference!$B$6:$B$11,MIN(5,MATCH(MAX(Reference!$A$6,MIN(Reference!$A$11,MIN($U48,270))),Reference!$A$6:$A$11,1)))+(MAX(Reference!$A$6,MIN(Reference!$A$11,MIN($U48,270)))-INDEX(Reference!$A$6:$A$11,MIN(5,MATCH(MAX(Reference!$A$6,MIN(Reference!$A$11,MIN($U48,270))),Reference!$A$6:$A$11,1))))*(INDEX(Reference!$B$6:$B$11,MIN(5,MATCH(MAX(Reference!$A$6,MIN(Reference!$A$11,MIN($U48,270))),Reference!$A$6:$A$11,1))+1)-INDEX(Reference!$B$6:$B$11,MIN(5,MATCH(MAX(Reference!$A$6,MIN(Reference!$A$11,MIN($U48,270))),Reference!$A$6:$A$11,1))))/(INDEX(Reference!$A$6:$A$11,MIN(5,MATCH(MAX(Reference!$A$6,MIN(Reference!$A$11,MIN($U48,270))),Reference!$A$6:$A$11,1))+1)-INDEX(Reference!$A$6:$A$11,MIN(5,MATCH(MAX(Reference!$A$6,MIN(Reference!$A$11,MIN($U48,270))),Reference!$A$6:$A$11,1))))),0)+IF(8&lt;=$AL48,($AL48-8+3)*(INDEX(Reference!$B$6:$B$11,MIN(5,MATCH(MAX(Reference!$A$6,MIN(Reference!$A$11,MIN($U48,300))),Reference!$A$6:$A$11,1)))+(MAX(Reference!$A$6,MIN(Reference!$A$11,MIN($U48,300)))-INDEX(Reference!$A$6:$A$11,MIN(5,MATCH(MAX(Reference!$A$6,MIN(Reference!$A$11,MIN($U48,300))),Reference!$A$6:$A$11,1))))*(INDEX(Reference!$B$6:$B$11,MIN(5,MATCH(MAX(Reference!$A$6,MIN(Reference!$A$11,MIN($U48,300))),Reference!$A$6:$A$11,1))+1)-INDEX(Reference!$B$6:$B$11,MIN(5,MATCH(MAX(Reference!$A$6,MIN(Reference!$A$11,MIN($U48,300))),Reference!$A$6:$A$11,1))))/(INDEX(Reference!$A$6:$A$11,MIN(5,MATCH(MAX(Reference!$A$6,MIN(Reference!$A$11,MIN($U48,300))),Reference!$A$6:$A$11,1))+1)-INDEX(Reference!$A$6:$A$11,MIN(5,MATCH(MAX(Reference!$A$6,MIN(Reference!$A$11,MIN($U48,300))),Reference!$A$6:$A$11,1))))),0))/($AL48*($AL48+5)/2)),$AN48))</f>
        <v>1.1499999999999999</v>
      </c>
      <c r="AN48" s="32">
        <f>IF($U48="",0,(INDEX(Reference!$B$6:$B$11,MIN(5,MATCH(MAX(Reference!$A$6,MIN(Reference!$A$11,$U48)),Reference!$A$6:$A$11,1)))+(MAX(Reference!$A$6,MIN(Reference!$A$11,$U48))-INDEX(Reference!$A$6:$A$11,MIN(5,MATCH(MAX(Reference!$A$6,MIN(Reference!$A$11,$U48)),Reference!$A$6:$A$11,1))))*(INDEX(Reference!$B$6:$B$11,MIN(5,MATCH(MAX(Reference!$A$6,MIN(Reference!$A$11,$U48)),Reference!$A$6:$A$11,1))+1)-INDEX(Reference!$B$6:$B$11,MIN(5,MATCH(MAX(Reference!$A$6,MIN(Reference!$A$11,$U48)),Reference!$A$6:$A$11,1))))/(INDEX(Reference!$A$6:$A$11,MIN(5,MATCH(MAX(Reference!$A$6,MIN(Reference!$A$11,$U48)),Reference!$A$6:$A$11,1))+1)-INDEX(Reference!$A$6:$A$11,MIN(5,MATCH(MAX(Reference!$A$6,MIN(Reference!$A$11,$U48)),Reference!$A$6:$A$11,1))))))</f>
        <v>1.1499999999999999</v>
      </c>
      <c r="AO48" s="37"/>
      <c r="AP48" s="37"/>
      <c r="AQ48" s="37"/>
    </row>
    <row r="49" spans="1:43" x14ac:dyDescent="0.3">
      <c r="A49" s="48">
        <f t="shared" si="5"/>
        <v>46313</v>
      </c>
      <c r="B49" s="32" t="str">
        <f t="shared" si="6"/>
        <v>Sun</v>
      </c>
      <c r="C49" s="32">
        <f t="shared" si="7"/>
        <v>78</v>
      </c>
      <c r="D49" s="32" t="str">
        <f t="shared" si="8"/>
        <v>Re-entry</v>
      </c>
      <c r="E49" s="32" t="str">
        <f t="shared" si="9"/>
        <v>No Throw</v>
      </c>
      <c r="F49" s="32" t="str">
        <f t="shared" si="10"/>
        <v>No Throw</v>
      </c>
      <c r="G49" s="47" t="str">
        <f t="shared" si="11"/>
        <v>Off</v>
      </c>
      <c r="H49" s="30">
        <f t="shared" si="12"/>
        <v>0</v>
      </c>
      <c r="I49" s="46" t="str">
        <f>IF($A49="","",IF(AND($L49&lt;27,$K$12=0),"Building",IFERROR(((SUM($H$43:$H49)+$K$12*IF($L49&lt;6,SUMIFS('Throw Log'!$Q$5:$Q$300,'Throw Log'!$B$5:$B$300,$D$4,'Throw Log'!$A$5:$A$300,"&gt;="&amp;($D$6+$L49-6),'Throw Log'!$A$5:$A$300,"&lt;="&amp;($D$6-1)),0))/7)/((SUM($H$43:$H49)+$K$12*IF($L49&lt;27,SUMIFS('Throw Log'!$Q$5:$Q$300,'Throw Log'!$B$5:$B$300,$D$4,'Throw Log'!$A$5:$A$300,"&gt;="&amp;($D$6+$L49-27),'Throw Log'!$A$5:$A$300,"&lt;="&amp;($D$6-1)),0))/28),"")))</f>
        <v>Building</v>
      </c>
      <c r="J49" s="37"/>
      <c r="K49" s="37"/>
      <c r="L49" s="32">
        <v>6</v>
      </c>
      <c r="M49" s="32">
        <f t="shared" si="13"/>
        <v>1</v>
      </c>
      <c r="N49" s="32">
        <f t="shared" si="14"/>
        <v>6</v>
      </c>
      <c r="O49" s="32">
        <f t="shared" si="15"/>
        <v>7.8947368421052627E-2</v>
      </c>
      <c r="P49" s="32">
        <f>IF(OR($A49="",N($C49)&lt;=7),"",$G$6*$G$9^($M49-1)*IF(AND(MOD($M49,Reference!$B$99)=0,$M49&lt;=$G$5-2),Reference!$B$100,1))</f>
        <v>80</v>
      </c>
      <c r="Q49" s="32">
        <f>IF($P49="","",IF(SUM($AK$43:$AK$49)=0,0,$P49*INDEX(Reference!$B$108:$B$114,$N49+1)/SUM($AK$43:$AK$49)))</f>
        <v>7.6712328767123301</v>
      </c>
      <c r="R49" s="32">
        <f t="shared" si="16"/>
        <v>75</v>
      </c>
      <c r="S49" s="32">
        <f t="shared" si="17"/>
        <v>75</v>
      </c>
      <c r="T49" s="32" t="str">
        <f>IF($A49="","",IF($C49=0,"Bullpen",IF(OR($C49=7,$C49=1,$C49=5),"Recovery/Easy Catch",IF($C49=6,"Compression/Pulldowns",IF(OR($C49=4,$C49=2),"Long Toss",IF($C49=3,"No Throw",IF($N49=2,"No Throw",IF($N49=6,IF($O49&lt;Reference!$B$104,"No Throw","Recovery/Easy Catch"),IF(OR($N49=0,$N49=4),"Recovery/Easy Catch",IF($N49=1,IF($R49&gt;75,"Long Toss","Recovery/Easy Catch"),IF($N49=3,IF($O49&lt;0.5,IF($S49&gt;75,"Long Toss","Recovery/Easy Catch"),"Compression/Pulldowns"),IF($S49&gt;75,"Long Toss","Recovery/Easy Catch"))))))))))))</f>
        <v>No Throw</v>
      </c>
      <c r="U49" s="32">
        <f t="shared" si="18"/>
        <v>60</v>
      </c>
      <c r="V49" s="32">
        <f t="shared" si="19"/>
        <v>20</v>
      </c>
      <c r="W49" s="32">
        <f t="shared" si="20"/>
        <v>24</v>
      </c>
      <c r="X49" s="32">
        <f t="shared" si="21"/>
        <v>0</v>
      </c>
      <c r="Y49" s="32" t="str">
        <f t="shared" si="22"/>
        <v/>
      </c>
      <c r="Z49" s="32" t="str">
        <f t="shared" si="23"/>
        <v/>
      </c>
      <c r="AA49" s="32" t="str">
        <f t="shared" si="24"/>
        <v/>
      </c>
      <c r="AB49" s="32">
        <f>IF($A49="","",IF($T49="No Throw",0,IF($K49&lt;&gt;"",$K49,IF($AA49&lt;&gt;"",ROUND($AA49*$D$12*IF($C49=0,1,$G$10),0),MIN(IF($T49="Recovery/Easy Catch",Reference!$B$103,IF($T49="Long Toss",Reference!$B$106,Reference!$B$102)),MAX(Reference!$B$101,ROUND(MAX(0,$Q49-$AE49)/$AF49,0)))))))</f>
        <v>0</v>
      </c>
      <c r="AC49" s="32">
        <f t="shared" si="25"/>
        <v>0</v>
      </c>
      <c r="AD49" s="32" t="b">
        <f t="shared" si="26"/>
        <v>1</v>
      </c>
      <c r="AE49" s="32">
        <f>IF($X49=0,0,$X49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49+$Z49)/2,0),Reference!$A$17:$B$20,2,TRUE()))</f>
        <v>0</v>
      </c>
      <c r="AF49" s="32">
        <f>IF(OR($A49="",$U49="",$T49="No Throw"),0,$AM49*VLOOKUP(MAX(($V49+$W49)/2,0),Reference!$A$17:$B$20,2,TRUE()))</f>
        <v>0</v>
      </c>
      <c r="AG49" s="32">
        <f>IF($AC49=0,0,$AC49*INDEX(Reference!$B$61:$B$62,MATCH("Bullpen",Reference!$A$61:$A$62,0))*VLOOKUP(MAX($D$5-($D$9+$E$9)/2,0),Reference!$A$17:$B$20,2,TRUE()))</f>
        <v>0</v>
      </c>
      <c r="AH49" s="32" t="e">
        <f t="shared" si="27"/>
        <v>#N/A</v>
      </c>
      <c r="AI49" s="32">
        <f>IF($A49="",NA(),Reference!$A$25)</f>
        <v>0.8</v>
      </c>
      <c r="AJ49" s="32">
        <f t="shared" si="28"/>
        <v>1.3</v>
      </c>
      <c r="AK49" s="32">
        <f>IF(OR($A49="",N($C49)&lt;=7,$T49="No Throw",$J49="x"),0,INDEX(Reference!$B$108:$B$114,$N49+1))</f>
        <v>0</v>
      </c>
      <c r="AL49" s="32">
        <f t="shared" si="29"/>
        <v>1</v>
      </c>
      <c r="AM49" s="32">
        <f>IF($U49="",0,IF($AL49&gt;1,((IF(1&lt;=$AL49,($AL49-1+3)*(INDEX(Reference!$B$6:$B$11,MIN(5,MATCH(MAX(Reference!$A$6,MIN(Reference!$A$11,MIN($U49,90))),Reference!$A$6:$A$11,1)))+(MAX(Reference!$A$6,MIN(Reference!$A$11,MIN($U49,90)))-INDEX(Reference!$A$6:$A$11,MIN(5,MATCH(MAX(Reference!$A$6,MIN(Reference!$A$11,MIN($U49,90))),Reference!$A$6:$A$11,1))))*(INDEX(Reference!$B$6:$B$11,MIN(5,MATCH(MAX(Reference!$A$6,MIN(Reference!$A$11,MIN($U49,90))),Reference!$A$6:$A$11,1))+1)-INDEX(Reference!$B$6:$B$11,MIN(5,MATCH(MAX(Reference!$A$6,MIN(Reference!$A$11,MIN($U49,90))),Reference!$A$6:$A$11,1))))/(INDEX(Reference!$A$6:$A$11,MIN(5,MATCH(MAX(Reference!$A$6,MIN(Reference!$A$11,MIN($U49,90))),Reference!$A$6:$A$11,1))+1)-INDEX(Reference!$A$6:$A$11,MIN(5,MATCH(MAX(Reference!$A$6,MIN(Reference!$A$11,MIN($U49,90))),Reference!$A$6:$A$11,1))))),0)+IF(2&lt;=$AL49,($AL49-2+3)*(INDEX(Reference!$B$6:$B$11,MIN(5,MATCH(MAX(Reference!$A$6,MIN(Reference!$A$11,MIN($U49,120))),Reference!$A$6:$A$11,1)))+(MAX(Reference!$A$6,MIN(Reference!$A$11,MIN($U49,120)))-INDEX(Reference!$A$6:$A$11,MIN(5,MATCH(MAX(Reference!$A$6,MIN(Reference!$A$11,MIN($U49,120))),Reference!$A$6:$A$11,1))))*(INDEX(Reference!$B$6:$B$11,MIN(5,MATCH(MAX(Reference!$A$6,MIN(Reference!$A$11,MIN($U49,120))),Reference!$A$6:$A$11,1))+1)-INDEX(Reference!$B$6:$B$11,MIN(5,MATCH(MAX(Reference!$A$6,MIN(Reference!$A$11,MIN($U49,120))),Reference!$A$6:$A$11,1))))/(INDEX(Reference!$A$6:$A$11,MIN(5,MATCH(MAX(Reference!$A$6,MIN(Reference!$A$11,MIN($U49,120))),Reference!$A$6:$A$11,1))+1)-INDEX(Reference!$A$6:$A$11,MIN(5,MATCH(MAX(Reference!$A$6,MIN(Reference!$A$11,MIN($U49,120))),Reference!$A$6:$A$11,1))))),0)+IF(3&lt;=$AL49,($AL49-3+3)*(INDEX(Reference!$B$6:$B$11,MIN(5,MATCH(MAX(Reference!$A$6,MIN(Reference!$A$11,MIN($U49,150))),Reference!$A$6:$A$11,1)))+(MAX(Reference!$A$6,MIN(Reference!$A$11,MIN($U49,150)))-INDEX(Reference!$A$6:$A$11,MIN(5,MATCH(MAX(Reference!$A$6,MIN(Reference!$A$11,MIN($U49,150))),Reference!$A$6:$A$11,1))))*(INDEX(Reference!$B$6:$B$11,MIN(5,MATCH(MAX(Reference!$A$6,MIN(Reference!$A$11,MIN($U49,150))),Reference!$A$6:$A$11,1))+1)-INDEX(Reference!$B$6:$B$11,MIN(5,MATCH(MAX(Reference!$A$6,MIN(Reference!$A$11,MIN($U49,150))),Reference!$A$6:$A$11,1))))/(INDEX(Reference!$A$6:$A$11,MIN(5,MATCH(MAX(Reference!$A$6,MIN(Reference!$A$11,MIN($U49,150))),Reference!$A$6:$A$11,1))+1)-INDEX(Reference!$A$6:$A$11,MIN(5,MATCH(MAX(Reference!$A$6,MIN(Reference!$A$11,MIN($U49,150))),Reference!$A$6:$A$11,1))))),0)+IF(4&lt;=$AL49,($AL49-4+3)*(INDEX(Reference!$B$6:$B$11,MIN(5,MATCH(MAX(Reference!$A$6,MIN(Reference!$A$11,MIN($U49,180))),Reference!$A$6:$A$11,1)))+(MAX(Reference!$A$6,MIN(Reference!$A$11,MIN($U49,180)))-INDEX(Reference!$A$6:$A$11,MIN(5,MATCH(MAX(Reference!$A$6,MIN(Reference!$A$11,MIN($U49,180))),Reference!$A$6:$A$11,1))))*(INDEX(Reference!$B$6:$B$11,MIN(5,MATCH(MAX(Reference!$A$6,MIN(Reference!$A$11,MIN($U49,180))),Reference!$A$6:$A$11,1))+1)-INDEX(Reference!$B$6:$B$11,MIN(5,MATCH(MAX(Reference!$A$6,MIN(Reference!$A$11,MIN($U49,180))),Reference!$A$6:$A$11,1))))/(INDEX(Reference!$A$6:$A$11,MIN(5,MATCH(MAX(Reference!$A$6,MIN(Reference!$A$11,MIN($U49,180))),Reference!$A$6:$A$11,1))+1)-INDEX(Reference!$A$6:$A$11,MIN(5,MATCH(MAX(Reference!$A$6,MIN(Reference!$A$11,MIN($U49,180))),Reference!$A$6:$A$11,1))))),0)+IF(5&lt;=$AL49,($AL49-5+3)*(INDEX(Reference!$B$6:$B$11,MIN(5,MATCH(MAX(Reference!$A$6,MIN(Reference!$A$11,MIN($U49,210))),Reference!$A$6:$A$11,1)))+(MAX(Reference!$A$6,MIN(Reference!$A$11,MIN($U49,210)))-INDEX(Reference!$A$6:$A$11,MIN(5,MATCH(MAX(Reference!$A$6,MIN(Reference!$A$11,MIN($U49,210))),Reference!$A$6:$A$11,1))))*(INDEX(Reference!$B$6:$B$11,MIN(5,MATCH(MAX(Reference!$A$6,MIN(Reference!$A$11,MIN($U49,210))),Reference!$A$6:$A$11,1))+1)-INDEX(Reference!$B$6:$B$11,MIN(5,MATCH(MAX(Reference!$A$6,MIN(Reference!$A$11,MIN($U49,210))),Reference!$A$6:$A$11,1))))/(INDEX(Reference!$A$6:$A$11,MIN(5,MATCH(MAX(Reference!$A$6,MIN(Reference!$A$11,MIN($U49,210))),Reference!$A$6:$A$11,1))+1)-INDEX(Reference!$A$6:$A$11,MIN(5,MATCH(MAX(Reference!$A$6,MIN(Reference!$A$11,MIN($U49,210))),Reference!$A$6:$A$11,1))))),0)+IF(6&lt;=$AL49,($AL49-6+3)*(INDEX(Reference!$B$6:$B$11,MIN(5,MATCH(MAX(Reference!$A$6,MIN(Reference!$A$11,MIN($U49,240))),Reference!$A$6:$A$11,1)))+(MAX(Reference!$A$6,MIN(Reference!$A$11,MIN($U49,240)))-INDEX(Reference!$A$6:$A$11,MIN(5,MATCH(MAX(Reference!$A$6,MIN(Reference!$A$11,MIN($U49,240))),Reference!$A$6:$A$11,1))))*(INDEX(Reference!$B$6:$B$11,MIN(5,MATCH(MAX(Reference!$A$6,MIN(Reference!$A$11,MIN($U49,240))),Reference!$A$6:$A$11,1))+1)-INDEX(Reference!$B$6:$B$11,MIN(5,MATCH(MAX(Reference!$A$6,MIN(Reference!$A$11,MIN($U49,240))),Reference!$A$6:$A$11,1))))/(INDEX(Reference!$A$6:$A$11,MIN(5,MATCH(MAX(Reference!$A$6,MIN(Reference!$A$11,MIN($U49,240))),Reference!$A$6:$A$11,1))+1)-INDEX(Reference!$A$6:$A$11,MIN(5,MATCH(MAX(Reference!$A$6,MIN(Reference!$A$11,MIN($U49,240))),Reference!$A$6:$A$11,1))))),0)+IF(7&lt;=$AL49,($AL49-7+3)*(INDEX(Reference!$B$6:$B$11,MIN(5,MATCH(MAX(Reference!$A$6,MIN(Reference!$A$11,MIN($U49,270))),Reference!$A$6:$A$11,1)))+(MAX(Reference!$A$6,MIN(Reference!$A$11,MIN($U49,270)))-INDEX(Reference!$A$6:$A$11,MIN(5,MATCH(MAX(Reference!$A$6,MIN(Reference!$A$11,MIN($U49,270))),Reference!$A$6:$A$11,1))))*(INDEX(Reference!$B$6:$B$11,MIN(5,MATCH(MAX(Reference!$A$6,MIN(Reference!$A$11,MIN($U49,270))),Reference!$A$6:$A$11,1))+1)-INDEX(Reference!$B$6:$B$11,MIN(5,MATCH(MAX(Reference!$A$6,MIN(Reference!$A$11,MIN($U49,270))),Reference!$A$6:$A$11,1))))/(INDEX(Reference!$A$6:$A$11,MIN(5,MATCH(MAX(Reference!$A$6,MIN(Reference!$A$11,MIN($U49,270))),Reference!$A$6:$A$11,1))+1)-INDEX(Reference!$A$6:$A$11,MIN(5,MATCH(MAX(Reference!$A$6,MIN(Reference!$A$11,MIN($U49,270))),Reference!$A$6:$A$11,1))))),0)+IF(8&lt;=$AL49,($AL49-8+3)*(INDEX(Reference!$B$6:$B$11,MIN(5,MATCH(MAX(Reference!$A$6,MIN(Reference!$A$11,MIN($U49,300))),Reference!$A$6:$A$11,1)))+(MAX(Reference!$A$6,MIN(Reference!$A$11,MIN($U49,300)))-INDEX(Reference!$A$6:$A$11,MIN(5,MATCH(MAX(Reference!$A$6,MIN(Reference!$A$11,MIN($U49,300))),Reference!$A$6:$A$11,1))))*(INDEX(Reference!$B$6:$B$11,MIN(5,MATCH(MAX(Reference!$A$6,MIN(Reference!$A$11,MIN($U49,300))),Reference!$A$6:$A$11,1))+1)-INDEX(Reference!$B$6:$B$11,MIN(5,MATCH(MAX(Reference!$A$6,MIN(Reference!$A$11,MIN($U49,300))),Reference!$A$6:$A$11,1))))/(INDEX(Reference!$A$6:$A$11,MIN(5,MATCH(MAX(Reference!$A$6,MIN(Reference!$A$11,MIN($U49,300))),Reference!$A$6:$A$11,1))+1)-INDEX(Reference!$A$6:$A$11,MIN(5,MATCH(MAX(Reference!$A$6,MIN(Reference!$A$11,MIN($U49,300))),Reference!$A$6:$A$11,1))))),0))/($AL49*($AL49+5)/2)),$AN49))</f>
        <v>1</v>
      </c>
      <c r="AN49" s="32">
        <f>IF($U49="",0,(INDEX(Reference!$B$6:$B$11,MIN(5,MATCH(MAX(Reference!$A$6,MIN(Reference!$A$11,$U49)),Reference!$A$6:$A$11,1)))+(MAX(Reference!$A$6,MIN(Reference!$A$11,$U49))-INDEX(Reference!$A$6:$A$11,MIN(5,MATCH(MAX(Reference!$A$6,MIN(Reference!$A$11,$U49)),Reference!$A$6:$A$11,1))))*(INDEX(Reference!$B$6:$B$11,MIN(5,MATCH(MAX(Reference!$A$6,MIN(Reference!$A$11,$U49)),Reference!$A$6:$A$11,1))+1)-INDEX(Reference!$B$6:$B$11,MIN(5,MATCH(MAX(Reference!$A$6,MIN(Reference!$A$11,$U49)),Reference!$A$6:$A$11,1))))/(INDEX(Reference!$A$6:$A$11,MIN(5,MATCH(MAX(Reference!$A$6,MIN(Reference!$A$11,$U49)),Reference!$A$6:$A$11,1))+1)-INDEX(Reference!$A$6:$A$11,MIN(5,MATCH(MAX(Reference!$A$6,MIN(Reference!$A$11,$U49)),Reference!$A$6:$A$11,1))))))</f>
        <v>1</v>
      </c>
      <c r="AO49" s="37"/>
      <c r="AP49" s="37"/>
      <c r="AQ49" s="37"/>
    </row>
    <row r="50" spans="1:43" x14ac:dyDescent="0.3">
      <c r="A50" s="48">
        <f t="shared" si="5"/>
        <v>46314</v>
      </c>
      <c r="B50" s="32" t="str">
        <f t="shared" si="6"/>
        <v>Mon</v>
      </c>
      <c r="C50" s="32">
        <f t="shared" si="7"/>
        <v>77</v>
      </c>
      <c r="D50" s="32" t="str">
        <f t="shared" si="8"/>
        <v>Re-entry</v>
      </c>
      <c r="E50" s="32" t="str">
        <f t="shared" si="9"/>
        <v>Low</v>
      </c>
      <c r="F50" s="32" t="str">
        <f t="shared" si="10"/>
        <v>Recovery/Easy Catch</v>
      </c>
      <c r="G50" s="47" t="str">
        <f t="shared" si="11"/>
        <v>60 ft × 20 @ 65–69 mph</v>
      </c>
      <c r="H50" s="30">
        <f t="shared" si="12"/>
        <v>12</v>
      </c>
      <c r="I50" s="46" t="str">
        <f>IF($A50="","",IF(AND($L50&lt;27,$K$12=0),"Building",IFERROR(((SUM($H$44:$H50)+$K$12*IF($L50&lt;6,SUMIFS('Throw Log'!$Q$5:$Q$300,'Throw Log'!$B$5:$B$300,$D$4,'Throw Log'!$A$5:$A$300,"&gt;="&amp;($D$6+$L50-6),'Throw Log'!$A$5:$A$300,"&lt;="&amp;($D$6-1)),0))/7)/((SUM($H$43:$H50)+$K$12*IF($L50&lt;27,SUMIFS('Throw Log'!$Q$5:$Q$300,'Throw Log'!$B$5:$B$300,$D$4,'Throw Log'!$A$5:$A$300,"&gt;="&amp;($D$6+$L50-27),'Throw Log'!$A$5:$A$300,"&lt;="&amp;($D$6-1)),0))/28),"")))</f>
        <v>Building</v>
      </c>
      <c r="J50" s="37"/>
      <c r="K50" s="37"/>
      <c r="L50" s="32">
        <v>7</v>
      </c>
      <c r="M50" s="32">
        <f t="shared" si="13"/>
        <v>2</v>
      </c>
      <c r="N50" s="32">
        <f t="shared" si="14"/>
        <v>0</v>
      </c>
      <c r="O50" s="32">
        <f t="shared" si="15"/>
        <v>9.2105263157894732E-2</v>
      </c>
      <c r="P50" s="32">
        <f>IF(OR($A50="",N($C50)&lt;=7),"",$G$6*$G$9^($M50-1)*IF(AND(MOD($M50,Reference!$B$99)=0,$M50&lt;=$G$5-2),Reference!$B$100,1))</f>
        <v>90.007422064022563</v>
      </c>
      <c r="Q50" s="32">
        <f>IF($P50="","",IF(SUM($AK$50:$AK$56)=0,0,$P50*INDEX(Reference!$B$108:$B$114,$N50+1)/SUM($AK$50:$AK$56)))</f>
        <v>10.800890647682706</v>
      </c>
      <c r="R50" s="32">
        <f t="shared" si="16"/>
        <v>75</v>
      </c>
      <c r="S50" s="32">
        <f t="shared" si="17"/>
        <v>75</v>
      </c>
      <c r="T50" s="32" t="str">
        <f>IF($A50="","",IF($C50=0,"Bullpen",IF(OR($C50=7,$C50=1,$C50=5),"Recovery/Easy Catch",IF($C50=6,"Compression/Pulldowns",IF(OR($C50=4,$C50=2),"Long Toss",IF($C50=3,"No Throw",IF($N50=2,"No Throw",IF($N50=6,IF($O50&lt;Reference!$B$104,"No Throw","Recovery/Easy Catch"),IF(OR($N50=0,$N50=4),"Recovery/Easy Catch",IF($N50=1,IF($R50&gt;75,"Long Toss","Recovery/Easy Catch"),IF($N50=3,IF($O50&lt;0.5,IF($S50&gt;75,"Long Toss","Recovery/Easy Catch"),"Compression/Pulldowns"),IF($S50&gt;75,"Long Toss","Recovery/Easy Catch"))))))))))))</f>
        <v>Recovery/Easy Catch</v>
      </c>
      <c r="U50" s="32">
        <f t="shared" si="18"/>
        <v>60</v>
      </c>
      <c r="V50" s="32">
        <f t="shared" si="19"/>
        <v>20</v>
      </c>
      <c r="W50" s="32">
        <f t="shared" si="20"/>
        <v>24</v>
      </c>
      <c r="X50" s="32">
        <f t="shared" si="21"/>
        <v>0</v>
      </c>
      <c r="Y50" s="32" t="str">
        <f t="shared" si="22"/>
        <v/>
      </c>
      <c r="Z50" s="32" t="str">
        <f t="shared" si="23"/>
        <v/>
      </c>
      <c r="AA50" s="32" t="str">
        <f t="shared" si="24"/>
        <v/>
      </c>
      <c r="AB50" s="32">
        <f>IF($A50="","",IF($T50="No Throw",0,IF($K50&lt;&gt;"",$K50,IF($AA50&lt;&gt;"",ROUND($AA50*$D$12*IF($C50=0,1,$G$10),0),MIN(IF($T50="Recovery/Easy Catch",Reference!$B$103,IF($T50="Long Toss",Reference!$B$106,Reference!$B$102)),MAX(Reference!$B$101,ROUND(MAX(0,$Q50-$AE50)/$AF50,0)))))))</f>
        <v>20</v>
      </c>
      <c r="AC50" s="32">
        <f t="shared" si="25"/>
        <v>0</v>
      </c>
      <c r="AD50" s="32" t="b">
        <f t="shared" si="26"/>
        <v>0</v>
      </c>
      <c r="AE50" s="32">
        <f>IF($X50=0,0,$X50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50+$Z50)/2,0),Reference!$A$17:$B$20,2,TRUE()))</f>
        <v>0</v>
      </c>
      <c r="AF50" s="32">
        <f>IF(OR($A50="",$U50="",$T50="No Throw"),0,$AM50*VLOOKUP(MAX(($V50+$W50)/2,0),Reference!$A$17:$B$20,2,TRUE()))</f>
        <v>0.6</v>
      </c>
      <c r="AG50" s="32">
        <f>IF($AC50=0,0,$AC50*INDEX(Reference!$B$61:$B$62,MATCH("Bullpen",Reference!$A$61:$A$62,0))*VLOOKUP(MAX($D$5-($D$9+$E$9)/2,0),Reference!$A$17:$B$20,2,TRUE()))</f>
        <v>0</v>
      </c>
      <c r="AH50" s="32" t="e">
        <f t="shared" si="27"/>
        <v>#N/A</v>
      </c>
      <c r="AI50" s="32">
        <f>IF($A50="",NA(),Reference!$A$25)</f>
        <v>0.8</v>
      </c>
      <c r="AJ50" s="32">
        <f t="shared" si="28"/>
        <v>1.3</v>
      </c>
      <c r="AK50" s="56">
        <f>IF(OR($A50="",N($C50)&lt;=7,$T50="No Throw",$J50="x"),0,INDEX(Reference!$B$108:$B$114,$N50+1))</f>
        <v>0.12</v>
      </c>
      <c r="AL50" s="32">
        <f t="shared" si="29"/>
        <v>1</v>
      </c>
      <c r="AM50" s="32">
        <f>IF($U50="",0,IF($AL50&gt;1,((IF(1&lt;=$AL50,($AL50-1+3)*(INDEX(Reference!$B$6:$B$11,MIN(5,MATCH(MAX(Reference!$A$6,MIN(Reference!$A$11,MIN($U50,90))),Reference!$A$6:$A$11,1)))+(MAX(Reference!$A$6,MIN(Reference!$A$11,MIN($U50,90)))-INDEX(Reference!$A$6:$A$11,MIN(5,MATCH(MAX(Reference!$A$6,MIN(Reference!$A$11,MIN($U50,90))),Reference!$A$6:$A$11,1))))*(INDEX(Reference!$B$6:$B$11,MIN(5,MATCH(MAX(Reference!$A$6,MIN(Reference!$A$11,MIN($U50,90))),Reference!$A$6:$A$11,1))+1)-INDEX(Reference!$B$6:$B$11,MIN(5,MATCH(MAX(Reference!$A$6,MIN(Reference!$A$11,MIN($U50,90))),Reference!$A$6:$A$11,1))))/(INDEX(Reference!$A$6:$A$11,MIN(5,MATCH(MAX(Reference!$A$6,MIN(Reference!$A$11,MIN($U50,90))),Reference!$A$6:$A$11,1))+1)-INDEX(Reference!$A$6:$A$11,MIN(5,MATCH(MAX(Reference!$A$6,MIN(Reference!$A$11,MIN($U50,90))),Reference!$A$6:$A$11,1))))),0)+IF(2&lt;=$AL50,($AL50-2+3)*(INDEX(Reference!$B$6:$B$11,MIN(5,MATCH(MAX(Reference!$A$6,MIN(Reference!$A$11,MIN($U50,120))),Reference!$A$6:$A$11,1)))+(MAX(Reference!$A$6,MIN(Reference!$A$11,MIN($U50,120)))-INDEX(Reference!$A$6:$A$11,MIN(5,MATCH(MAX(Reference!$A$6,MIN(Reference!$A$11,MIN($U50,120))),Reference!$A$6:$A$11,1))))*(INDEX(Reference!$B$6:$B$11,MIN(5,MATCH(MAX(Reference!$A$6,MIN(Reference!$A$11,MIN($U50,120))),Reference!$A$6:$A$11,1))+1)-INDEX(Reference!$B$6:$B$11,MIN(5,MATCH(MAX(Reference!$A$6,MIN(Reference!$A$11,MIN($U50,120))),Reference!$A$6:$A$11,1))))/(INDEX(Reference!$A$6:$A$11,MIN(5,MATCH(MAX(Reference!$A$6,MIN(Reference!$A$11,MIN($U50,120))),Reference!$A$6:$A$11,1))+1)-INDEX(Reference!$A$6:$A$11,MIN(5,MATCH(MAX(Reference!$A$6,MIN(Reference!$A$11,MIN($U50,120))),Reference!$A$6:$A$11,1))))),0)+IF(3&lt;=$AL50,($AL50-3+3)*(INDEX(Reference!$B$6:$B$11,MIN(5,MATCH(MAX(Reference!$A$6,MIN(Reference!$A$11,MIN($U50,150))),Reference!$A$6:$A$11,1)))+(MAX(Reference!$A$6,MIN(Reference!$A$11,MIN($U50,150)))-INDEX(Reference!$A$6:$A$11,MIN(5,MATCH(MAX(Reference!$A$6,MIN(Reference!$A$11,MIN($U50,150))),Reference!$A$6:$A$11,1))))*(INDEX(Reference!$B$6:$B$11,MIN(5,MATCH(MAX(Reference!$A$6,MIN(Reference!$A$11,MIN($U50,150))),Reference!$A$6:$A$11,1))+1)-INDEX(Reference!$B$6:$B$11,MIN(5,MATCH(MAX(Reference!$A$6,MIN(Reference!$A$11,MIN($U50,150))),Reference!$A$6:$A$11,1))))/(INDEX(Reference!$A$6:$A$11,MIN(5,MATCH(MAX(Reference!$A$6,MIN(Reference!$A$11,MIN($U50,150))),Reference!$A$6:$A$11,1))+1)-INDEX(Reference!$A$6:$A$11,MIN(5,MATCH(MAX(Reference!$A$6,MIN(Reference!$A$11,MIN($U50,150))),Reference!$A$6:$A$11,1))))),0)+IF(4&lt;=$AL50,($AL50-4+3)*(INDEX(Reference!$B$6:$B$11,MIN(5,MATCH(MAX(Reference!$A$6,MIN(Reference!$A$11,MIN($U50,180))),Reference!$A$6:$A$11,1)))+(MAX(Reference!$A$6,MIN(Reference!$A$11,MIN($U50,180)))-INDEX(Reference!$A$6:$A$11,MIN(5,MATCH(MAX(Reference!$A$6,MIN(Reference!$A$11,MIN($U50,180))),Reference!$A$6:$A$11,1))))*(INDEX(Reference!$B$6:$B$11,MIN(5,MATCH(MAX(Reference!$A$6,MIN(Reference!$A$11,MIN($U50,180))),Reference!$A$6:$A$11,1))+1)-INDEX(Reference!$B$6:$B$11,MIN(5,MATCH(MAX(Reference!$A$6,MIN(Reference!$A$11,MIN($U50,180))),Reference!$A$6:$A$11,1))))/(INDEX(Reference!$A$6:$A$11,MIN(5,MATCH(MAX(Reference!$A$6,MIN(Reference!$A$11,MIN($U50,180))),Reference!$A$6:$A$11,1))+1)-INDEX(Reference!$A$6:$A$11,MIN(5,MATCH(MAX(Reference!$A$6,MIN(Reference!$A$11,MIN($U50,180))),Reference!$A$6:$A$11,1))))),0)+IF(5&lt;=$AL50,($AL50-5+3)*(INDEX(Reference!$B$6:$B$11,MIN(5,MATCH(MAX(Reference!$A$6,MIN(Reference!$A$11,MIN($U50,210))),Reference!$A$6:$A$11,1)))+(MAX(Reference!$A$6,MIN(Reference!$A$11,MIN($U50,210)))-INDEX(Reference!$A$6:$A$11,MIN(5,MATCH(MAX(Reference!$A$6,MIN(Reference!$A$11,MIN($U50,210))),Reference!$A$6:$A$11,1))))*(INDEX(Reference!$B$6:$B$11,MIN(5,MATCH(MAX(Reference!$A$6,MIN(Reference!$A$11,MIN($U50,210))),Reference!$A$6:$A$11,1))+1)-INDEX(Reference!$B$6:$B$11,MIN(5,MATCH(MAX(Reference!$A$6,MIN(Reference!$A$11,MIN($U50,210))),Reference!$A$6:$A$11,1))))/(INDEX(Reference!$A$6:$A$11,MIN(5,MATCH(MAX(Reference!$A$6,MIN(Reference!$A$11,MIN($U50,210))),Reference!$A$6:$A$11,1))+1)-INDEX(Reference!$A$6:$A$11,MIN(5,MATCH(MAX(Reference!$A$6,MIN(Reference!$A$11,MIN($U50,210))),Reference!$A$6:$A$11,1))))),0)+IF(6&lt;=$AL50,($AL50-6+3)*(INDEX(Reference!$B$6:$B$11,MIN(5,MATCH(MAX(Reference!$A$6,MIN(Reference!$A$11,MIN($U50,240))),Reference!$A$6:$A$11,1)))+(MAX(Reference!$A$6,MIN(Reference!$A$11,MIN($U50,240)))-INDEX(Reference!$A$6:$A$11,MIN(5,MATCH(MAX(Reference!$A$6,MIN(Reference!$A$11,MIN($U50,240))),Reference!$A$6:$A$11,1))))*(INDEX(Reference!$B$6:$B$11,MIN(5,MATCH(MAX(Reference!$A$6,MIN(Reference!$A$11,MIN($U50,240))),Reference!$A$6:$A$11,1))+1)-INDEX(Reference!$B$6:$B$11,MIN(5,MATCH(MAX(Reference!$A$6,MIN(Reference!$A$11,MIN($U50,240))),Reference!$A$6:$A$11,1))))/(INDEX(Reference!$A$6:$A$11,MIN(5,MATCH(MAX(Reference!$A$6,MIN(Reference!$A$11,MIN($U50,240))),Reference!$A$6:$A$11,1))+1)-INDEX(Reference!$A$6:$A$11,MIN(5,MATCH(MAX(Reference!$A$6,MIN(Reference!$A$11,MIN($U50,240))),Reference!$A$6:$A$11,1))))),0)+IF(7&lt;=$AL50,($AL50-7+3)*(INDEX(Reference!$B$6:$B$11,MIN(5,MATCH(MAX(Reference!$A$6,MIN(Reference!$A$11,MIN($U50,270))),Reference!$A$6:$A$11,1)))+(MAX(Reference!$A$6,MIN(Reference!$A$11,MIN($U50,270)))-INDEX(Reference!$A$6:$A$11,MIN(5,MATCH(MAX(Reference!$A$6,MIN(Reference!$A$11,MIN($U50,270))),Reference!$A$6:$A$11,1))))*(INDEX(Reference!$B$6:$B$11,MIN(5,MATCH(MAX(Reference!$A$6,MIN(Reference!$A$11,MIN($U50,270))),Reference!$A$6:$A$11,1))+1)-INDEX(Reference!$B$6:$B$11,MIN(5,MATCH(MAX(Reference!$A$6,MIN(Reference!$A$11,MIN($U50,270))),Reference!$A$6:$A$11,1))))/(INDEX(Reference!$A$6:$A$11,MIN(5,MATCH(MAX(Reference!$A$6,MIN(Reference!$A$11,MIN($U50,270))),Reference!$A$6:$A$11,1))+1)-INDEX(Reference!$A$6:$A$11,MIN(5,MATCH(MAX(Reference!$A$6,MIN(Reference!$A$11,MIN($U50,270))),Reference!$A$6:$A$11,1))))),0)+IF(8&lt;=$AL50,($AL50-8+3)*(INDEX(Reference!$B$6:$B$11,MIN(5,MATCH(MAX(Reference!$A$6,MIN(Reference!$A$11,MIN($U50,300))),Reference!$A$6:$A$11,1)))+(MAX(Reference!$A$6,MIN(Reference!$A$11,MIN($U50,300)))-INDEX(Reference!$A$6:$A$11,MIN(5,MATCH(MAX(Reference!$A$6,MIN(Reference!$A$11,MIN($U50,300))),Reference!$A$6:$A$11,1))))*(INDEX(Reference!$B$6:$B$11,MIN(5,MATCH(MAX(Reference!$A$6,MIN(Reference!$A$11,MIN($U50,300))),Reference!$A$6:$A$11,1))+1)-INDEX(Reference!$B$6:$B$11,MIN(5,MATCH(MAX(Reference!$A$6,MIN(Reference!$A$11,MIN($U50,300))),Reference!$A$6:$A$11,1))))/(INDEX(Reference!$A$6:$A$11,MIN(5,MATCH(MAX(Reference!$A$6,MIN(Reference!$A$11,MIN($U50,300))),Reference!$A$6:$A$11,1))+1)-INDEX(Reference!$A$6:$A$11,MIN(5,MATCH(MAX(Reference!$A$6,MIN(Reference!$A$11,MIN($U50,300))),Reference!$A$6:$A$11,1))))),0))/($AL50*($AL50+5)/2)),$AN50))</f>
        <v>1</v>
      </c>
      <c r="AN50" s="32">
        <f>IF($U50="",0,(INDEX(Reference!$B$6:$B$11,MIN(5,MATCH(MAX(Reference!$A$6,MIN(Reference!$A$11,$U50)),Reference!$A$6:$A$11,1)))+(MAX(Reference!$A$6,MIN(Reference!$A$11,$U50))-INDEX(Reference!$A$6:$A$11,MIN(5,MATCH(MAX(Reference!$A$6,MIN(Reference!$A$11,$U50)),Reference!$A$6:$A$11,1))))*(INDEX(Reference!$B$6:$B$11,MIN(5,MATCH(MAX(Reference!$A$6,MIN(Reference!$A$11,$U50)),Reference!$A$6:$A$11,1))+1)-INDEX(Reference!$B$6:$B$11,MIN(5,MATCH(MAX(Reference!$A$6,MIN(Reference!$A$11,$U50)),Reference!$A$6:$A$11,1))))/(INDEX(Reference!$A$6:$A$11,MIN(5,MATCH(MAX(Reference!$A$6,MIN(Reference!$A$11,$U50)),Reference!$A$6:$A$11,1))+1)-INDEX(Reference!$A$6:$A$11,MIN(5,MATCH(MAX(Reference!$A$6,MIN(Reference!$A$11,$U50)),Reference!$A$6:$A$11,1))))))</f>
        <v>1</v>
      </c>
      <c r="AO50" s="37"/>
      <c r="AP50" s="37"/>
      <c r="AQ50" s="37"/>
    </row>
    <row r="51" spans="1:43" x14ac:dyDescent="0.3">
      <c r="A51" s="48">
        <f t="shared" si="5"/>
        <v>46315</v>
      </c>
      <c r="B51" s="32" t="str">
        <f t="shared" si="6"/>
        <v>Tue</v>
      </c>
      <c r="C51" s="32">
        <f t="shared" si="7"/>
        <v>76</v>
      </c>
      <c r="D51" s="32" t="str">
        <f t="shared" si="8"/>
        <v>Re-entry</v>
      </c>
      <c r="E51" s="32" t="str">
        <f t="shared" si="9"/>
        <v>Low</v>
      </c>
      <c r="F51" s="32" t="str">
        <f t="shared" si="10"/>
        <v>Recovery/Easy Catch</v>
      </c>
      <c r="G51" s="47" t="str">
        <f t="shared" si="11"/>
        <v>75 ft × 30 @ 67–71 mph</v>
      </c>
      <c r="H51" s="30">
        <f t="shared" si="12"/>
        <v>20.7</v>
      </c>
      <c r="I51" s="46" t="str">
        <f>IF($A51="","",IF(AND($L51&lt;27,$K$12=0),"Building",IFERROR(((SUM($H$45:$H51)+$K$12*IF($L51&lt;6,SUMIFS('Throw Log'!$Q$5:$Q$300,'Throw Log'!$B$5:$B$300,$D$4,'Throw Log'!$A$5:$A$300,"&gt;="&amp;($D$6+$L51-6),'Throw Log'!$A$5:$A$300,"&lt;="&amp;($D$6-1)),0))/7)/((SUM($H$43:$H51)+$K$12*IF($L51&lt;27,SUMIFS('Throw Log'!$Q$5:$Q$300,'Throw Log'!$B$5:$B$300,$D$4,'Throw Log'!$A$5:$A$300,"&gt;="&amp;($D$6+$L51-27),'Throw Log'!$A$5:$A$300,"&lt;="&amp;($D$6-1)),0))/28),"")))</f>
        <v>Building</v>
      </c>
      <c r="J51" s="37"/>
      <c r="K51" s="37">
        <v>30</v>
      </c>
      <c r="L51" s="32">
        <v>8</v>
      </c>
      <c r="M51" s="32">
        <f t="shared" si="13"/>
        <v>2</v>
      </c>
      <c r="N51" s="32">
        <f t="shared" si="14"/>
        <v>1</v>
      </c>
      <c r="O51" s="32">
        <f t="shared" si="15"/>
        <v>0.10526315789473684</v>
      </c>
      <c r="P51" s="32">
        <f>IF(OR($A51="",N($C51)&lt;=7),"",$G$6*$G$9^($M51-1)*IF(AND(MOD($M51,Reference!$B$99)=0,$M51&lt;=$G$5-2),Reference!$B$100,1))</f>
        <v>90.007422064022563</v>
      </c>
      <c r="Q51" s="32">
        <f>IF($P51="","",IF(SUM($AK$50:$AK$56)=0,0,$P51*INDEX(Reference!$B$108:$B$114,$N51+1)/SUM($AK$50:$AK$56)))</f>
        <v>24.302003957286093</v>
      </c>
      <c r="R51" s="32">
        <f t="shared" si="16"/>
        <v>75</v>
      </c>
      <c r="S51" s="32">
        <f t="shared" si="17"/>
        <v>75</v>
      </c>
      <c r="T51" s="32" t="str">
        <f>IF($A51="","",IF($C51=0,"Bullpen",IF(OR($C51=7,$C51=1,$C51=5),"Recovery/Easy Catch",IF($C51=6,"Compression/Pulldowns",IF(OR($C51=4,$C51=2),"Long Toss",IF($C51=3,"No Throw",IF($N51=2,"No Throw",IF($N51=6,IF($O51&lt;Reference!$B$104,"No Throw","Recovery/Easy Catch"),IF(OR($N51=0,$N51=4),"Recovery/Easy Catch",IF($N51=1,IF($R51&gt;75,"Long Toss","Recovery/Easy Catch"),IF($N51=3,IF($O51&lt;0.5,IF($S51&gt;75,"Long Toss","Recovery/Easy Catch"),"Compression/Pulldowns"),IF($S51&gt;75,"Long Toss","Recovery/Easy Catch"))))))))))))</f>
        <v>Recovery/Easy Catch</v>
      </c>
      <c r="U51" s="32">
        <f t="shared" si="18"/>
        <v>75</v>
      </c>
      <c r="V51" s="32">
        <f t="shared" si="19"/>
        <v>18</v>
      </c>
      <c r="W51" s="32">
        <f t="shared" si="20"/>
        <v>22</v>
      </c>
      <c r="X51" s="32">
        <f t="shared" si="21"/>
        <v>0</v>
      </c>
      <c r="Y51" s="32" t="str">
        <f t="shared" si="22"/>
        <v/>
      </c>
      <c r="Z51" s="32" t="str">
        <f t="shared" si="23"/>
        <v/>
      </c>
      <c r="AA51" s="32" t="str">
        <f t="shared" si="24"/>
        <v/>
      </c>
      <c r="AB51" s="32">
        <f>IF($A51="","",IF($T51="No Throw",0,IF($K51&lt;&gt;"",$K51,IF($AA51&lt;&gt;"",ROUND($AA51*$D$12*IF($C51=0,1,$G$10),0),MIN(IF($T51="Recovery/Easy Catch",Reference!$B$103,IF($T51="Long Toss",Reference!$B$106,Reference!$B$102)),MAX(Reference!$B$101,ROUND(MAX(0,$Q51-$AE51)/$AF51,0)))))))</f>
        <v>30</v>
      </c>
      <c r="AC51" s="32">
        <f t="shared" si="25"/>
        <v>0</v>
      </c>
      <c r="AD51" s="32" t="b">
        <f t="shared" si="26"/>
        <v>0</v>
      </c>
      <c r="AE51" s="32">
        <f>IF($X51=0,0,$X51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51+$Z51)/2,0),Reference!$A$17:$B$20,2,TRUE()))</f>
        <v>0</v>
      </c>
      <c r="AF51" s="32">
        <f>IF(OR($A51="",$U51="",$T51="No Throw"),0,$AM51*VLOOKUP(MAX(($V51+$W51)/2,0),Reference!$A$17:$B$20,2,TRUE()))</f>
        <v>0.69</v>
      </c>
      <c r="AG51" s="32">
        <f>IF($AC51=0,0,$AC51*INDEX(Reference!$B$61:$B$62,MATCH("Bullpen",Reference!$A$61:$A$62,0))*VLOOKUP(MAX($D$5-($D$9+$E$9)/2,0),Reference!$A$17:$B$20,2,TRUE()))</f>
        <v>0</v>
      </c>
      <c r="AH51" s="32" t="e">
        <f t="shared" si="27"/>
        <v>#N/A</v>
      </c>
      <c r="AI51" s="32">
        <f>IF($A51="",NA(),Reference!$A$25)</f>
        <v>0.8</v>
      </c>
      <c r="AJ51" s="32">
        <f t="shared" si="28"/>
        <v>1.3</v>
      </c>
      <c r="AK51" s="56">
        <f>IF(OR($A51="",N($C51)&lt;=7,$T51="No Throw",$J51="x"),0,INDEX(Reference!$B$108:$B$114,$N51+1))</f>
        <v>0.27</v>
      </c>
      <c r="AL51" s="32">
        <f t="shared" si="29"/>
        <v>1</v>
      </c>
      <c r="AM51" s="32">
        <f>IF($U51="",0,IF($AL51&gt;1,((IF(1&lt;=$AL51,($AL51-1+3)*(INDEX(Reference!$B$6:$B$11,MIN(5,MATCH(MAX(Reference!$A$6,MIN(Reference!$A$11,MIN($U51,90))),Reference!$A$6:$A$11,1)))+(MAX(Reference!$A$6,MIN(Reference!$A$11,MIN($U51,90)))-INDEX(Reference!$A$6:$A$11,MIN(5,MATCH(MAX(Reference!$A$6,MIN(Reference!$A$11,MIN($U51,90))),Reference!$A$6:$A$11,1))))*(INDEX(Reference!$B$6:$B$11,MIN(5,MATCH(MAX(Reference!$A$6,MIN(Reference!$A$11,MIN($U51,90))),Reference!$A$6:$A$11,1))+1)-INDEX(Reference!$B$6:$B$11,MIN(5,MATCH(MAX(Reference!$A$6,MIN(Reference!$A$11,MIN($U51,90))),Reference!$A$6:$A$11,1))))/(INDEX(Reference!$A$6:$A$11,MIN(5,MATCH(MAX(Reference!$A$6,MIN(Reference!$A$11,MIN($U51,90))),Reference!$A$6:$A$11,1))+1)-INDEX(Reference!$A$6:$A$11,MIN(5,MATCH(MAX(Reference!$A$6,MIN(Reference!$A$11,MIN($U51,90))),Reference!$A$6:$A$11,1))))),0)+IF(2&lt;=$AL51,($AL51-2+3)*(INDEX(Reference!$B$6:$B$11,MIN(5,MATCH(MAX(Reference!$A$6,MIN(Reference!$A$11,MIN($U51,120))),Reference!$A$6:$A$11,1)))+(MAX(Reference!$A$6,MIN(Reference!$A$11,MIN($U51,120)))-INDEX(Reference!$A$6:$A$11,MIN(5,MATCH(MAX(Reference!$A$6,MIN(Reference!$A$11,MIN($U51,120))),Reference!$A$6:$A$11,1))))*(INDEX(Reference!$B$6:$B$11,MIN(5,MATCH(MAX(Reference!$A$6,MIN(Reference!$A$11,MIN($U51,120))),Reference!$A$6:$A$11,1))+1)-INDEX(Reference!$B$6:$B$11,MIN(5,MATCH(MAX(Reference!$A$6,MIN(Reference!$A$11,MIN($U51,120))),Reference!$A$6:$A$11,1))))/(INDEX(Reference!$A$6:$A$11,MIN(5,MATCH(MAX(Reference!$A$6,MIN(Reference!$A$11,MIN($U51,120))),Reference!$A$6:$A$11,1))+1)-INDEX(Reference!$A$6:$A$11,MIN(5,MATCH(MAX(Reference!$A$6,MIN(Reference!$A$11,MIN($U51,120))),Reference!$A$6:$A$11,1))))),0)+IF(3&lt;=$AL51,($AL51-3+3)*(INDEX(Reference!$B$6:$B$11,MIN(5,MATCH(MAX(Reference!$A$6,MIN(Reference!$A$11,MIN($U51,150))),Reference!$A$6:$A$11,1)))+(MAX(Reference!$A$6,MIN(Reference!$A$11,MIN($U51,150)))-INDEX(Reference!$A$6:$A$11,MIN(5,MATCH(MAX(Reference!$A$6,MIN(Reference!$A$11,MIN($U51,150))),Reference!$A$6:$A$11,1))))*(INDEX(Reference!$B$6:$B$11,MIN(5,MATCH(MAX(Reference!$A$6,MIN(Reference!$A$11,MIN($U51,150))),Reference!$A$6:$A$11,1))+1)-INDEX(Reference!$B$6:$B$11,MIN(5,MATCH(MAX(Reference!$A$6,MIN(Reference!$A$11,MIN($U51,150))),Reference!$A$6:$A$11,1))))/(INDEX(Reference!$A$6:$A$11,MIN(5,MATCH(MAX(Reference!$A$6,MIN(Reference!$A$11,MIN($U51,150))),Reference!$A$6:$A$11,1))+1)-INDEX(Reference!$A$6:$A$11,MIN(5,MATCH(MAX(Reference!$A$6,MIN(Reference!$A$11,MIN($U51,150))),Reference!$A$6:$A$11,1))))),0)+IF(4&lt;=$AL51,($AL51-4+3)*(INDEX(Reference!$B$6:$B$11,MIN(5,MATCH(MAX(Reference!$A$6,MIN(Reference!$A$11,MIN($U51,180))),Reference!$A$6:$A$11,1)))+(MAX(Reference!$A$6,MIN(Reference!$A$11,MIN($U51,180)))-INDEX(Reference!$A$6:$A$11,MIN(5,MATCH(MAX(Reference!$A$6,MIN(Reference!$A$11,MIN($U51,180))),Reference!$A$6:$A$11,1))))*(INDEX(Reference!$B$6:$B$11,MIN(5,MATCH(MAX(Reference!$A$6,MIN(Reference!$A$11,MIN($U51,180))),Reference!$A$6:$A$11,1))+1)-INDEX(Reference!$B$6:$B$11,MIN(5,MATCH(MAX(Reference!$A$6,MIN(Reference!$A$11,MIN($U51,180))),Reference!$A$6:$A$11,1))))/(INDEX(Reference!$A$6:$A$11,MIN(5,MATCH(MAX(Reference!$A$6,MIN(Reference!$A$11,MIN($U51,180))),Reference!$A$6:$A$11,1))+1)-INDEX(Reference!$A$6:$A$11,MIN(5,MATCH(MAX(Reference!$A$6,MIN(Reference!$A$11,MIN($U51,180))),Reference!$A$6:$A$11,1))))),0)+IF(5&lt;=$AL51,($AL51-5+3)*(INDEX(Reference!$B$6:$B$11,MIN(5,MATCH(MAX(Reference!$A$6,MIN(Reference!$A$11,MIN($U51,210))),Reference!$A$6:$A$11,1)))+(MAX(Reference!$A$6,MIN(Reference!$A$11,MIN($U51,210)))-INDEX(Reference!$A$6:$A$11,MIN(5,MATCH(MAX(Reference!$A$6,MIN(Reference!$A$11,MIN($U51,210))),Reference!$A$6:$A$11,1))))*(INDEX(Reference!$B$6:$B$11,MIN(5,MATCH(MAX(Reference!$A$6,MIN(Reference!$A$11,MIN($U51,210))),Reference!$A$6:$A$11,1))+1)-INDEX(Reference!$B$6:$B$11,MIN(5,MATCH(MAX(Reference!$A$6,MIN(Reference!$A$11,MIN($U51,210))),Reference!$A$6:$A$11,1))))/(INDEX(Reference!$A$6:$A$11,MIN(5,MATCH(MAX(Reference!$A$6,MIN(Reference!$A$11,MIN($U51,210))),Reference!$A$6:$A$11,1))+1)-INDEX(Reference!$A$6:$A$11,MIN(5,MATCH(MAX(Reference!$A$6,MIN(Reference!$A$11,MIN($U51,210))),Reference!$A$6:$A$11,1))))),0)+IF(6&lt;=$AL51,($AL51-6+3)*(INDEX(Reference!$B$6:$B$11,MIN(5,MATCH(MAX(Reference!$A$6,MIN(Reference!$A$11,MIN($U51,240))),Reference!$A$6:$A$11,1)))+(MAX(Reference!$A$6,MIN(Reference!$A$11,MIN($U51,240)))-INDEX(Reference!$A$6:$A$11,MIN(5,MATCH(MAX(Reference!$A$6,MIN(Reference!$A$11,MIN($U51,240))),Reference!$A$6:$A$11,1))))*(INDEX(Reference!$B$6:$B$11,MIN(5,MATCH(MAX(Reference!$A$6,MIN(Reference!$A$11,MIN($U51,240))),Reference!$A$6:$A$11,1))+1)-INDEX(Reference!$B$6:$B$11,MIN(5,MATCH(MAX(Reference!$A$6,MIN(Reference!$A$11,MIN($U51,240))),Reference!$A$6:$A$11,1))))/(INDEX(Reference!$A$6:$A$11,MIN(5,MATCH(MAX(Reference!$A$6,MIN(Reference!$A$11,MIN($U51,240))),Reference!$A$6:$A$11,1))+1)-INDEX(Reference!$A$6:$A$11,MIN(5,MATCH(MAX(Reference!$A$6,MIN(Reference!$A$11,MIN($U51,240))),Reference!$A$6:$A$11,1))))),0)+IF(7&lt;=$AL51,($AL51-7+3)*(INDEX(Reference!$B$6:$B$11,MIN(5,MATCH(MAX(Reference!$A$6,MIN(Reference!$A$11,MIN($U51,270))),Reference!$A$6:$A$11,1)))+(MAX(Reference!$A$6,MIN(Reference!$A$11,MIN($U51,270)))-INDEX(Reference!$A$6:$A$11,MIN(5,MATCH(MAX(Reference!$A$6,MIN(Reference!$A$11,MIN($U51,270))),Reference!$A$6:$A$11,1))))*(INDEX(Reference!$B$6:$B$11,MIN(5,MATCH(MAX(Reference!$A$6,MIN(Reference!$A$11,MIN($U51,270))),Reference!$A$6:$A$11,1))+1)-INDEX(Reference!$B$6:$B$11,MIN(5,MATCH(MAX(Reference!$A$6,MIN(Reference!$A$11,MIN($U51,270))),Reference!$A$6:$A$11,1))))/(INDEX(Reference!$A$6:$A$11,MIN(5,MATCH(MAX(Reference!$A$6,MIN(Reference!$A$11,MIN($U51,270))),Reference!$A$6:$A$11,1))+1)-INDEX(Reference!$A$6:$A$11,MIN(5,MATCH(MAX(Reference!$A$6,MIN(Reference!$A$11,MIN($U51,270))),Reference!$A$6:$A$11,1))))),0)+IF(8&lt;=$AL51,($AL51-8+3)*(INDEX(Reference!$B$6:$B$11,MIN(5,MATCH(MAX(Reference!$A$6,MIN(Reference!$A$11,MIN($U51,300))),Reference!$A$6:$A$11,1)))+(MAX(Reference!$A$6,MIN(Reference!$A$11,MIN($U51,300)))-INDEX(Reference!$A$6:$A$11,MIN(5,MATCH(MAX(Reference!$A$6,MIN(Reference!$A$11,MIN($U51,300))),Reference!$A$6:$A$11,1))))*(INDEX(Reference!$B$6:$B$11,MIN(5,MATCH(MAX(Reference!$A$6,MIN(Reference!$A$11,MIN($U51,300))),Reference!$A$6:$A$11,1))+1)-INDEX(Reference!$B$6:$B$11,MIN(5,MATCH(MAX(Reference!$A$6,MIN(Reference!$A$11,MIN($U51,300))),Reference!$A$6:$A$11,1))))/(INDEX(Reference!$A$6:$A$11,MIN(5,MATCH(MAX(Reference!$A$6,MIN(Reference!$A$11,MIN($U51,300))),Reference!$A$6:$A$11,1))+1)-INDEX(Reference!$A$6:$A$11,MIN(5,MATCH(MAX(Reference!$A$6,MIN(Reference!$A$11,MIN($U51,300))),Reference!$A$6:$A$11,1))))),0))/($AL51*($AL51+5)/2)),$AN51))</f>
        <v>1.1499999999999999</v>
      </c>
      <c r="AN51" s="32">
        <f>IF($U51="",0,(INDEX(Reference!$B$6:$B$11,MIN(5,MATCH(MAX(Reference!$A$6,MIN(Reference!$A$11,$U51)),Reference!$A$6:$A$11,1)))+(MAX(Reference!$A$6,MIN(Reference!$A$11,$U51))-INDEX(Reference!$A$6:$A$11,MIN(5,MATCH(MAX(Reference!$A$6,MIN(Reference!$A$11,$U51)),Reference!$A$6:$A$11,1))))*(INDEX(Reference!$B$6:$B$11,MIN(5,MATCH(MAX(Reference!$A$6,MIN(Reference!$A$11,$U51)),Reference!$A$6:$A$11,1))+1)-INDEX(Reference!$B$6:$B$11,MIN(5,MATCH(MAX(Reference!$A$6,MIN(Reference!$A$11,$U51)),Reference!$A$6:$A$11,1))))/(INDEX(Reference!$A$6:$A$11,MIN(5,MATCH(MAX(Reference!$A$6,MIN(Reference!$A$11,$U51)),Reference!$A$6:$A$11,1))+1)-INDEX(Reference!$A$6:$A$11,MIN(5,MATCH(MAX(Reference!$A$6,MIN(Reference!$A$11,$U51)),Reference!$A$6:$A$11,1))))))</f>
        <v>1.1499999999999999</v>
      </c>
      <c r="AO51" s="37"/>
      <c r="AP51" s="37"/>
      <c r="AQ51" s="37"/>
    </row>
    <row r="52" spans="1:43" x14ac:dyDescent="0.3">
      <c r="A52" s="48">
        <f t="shared" si="5"/>
        <v>46316</v>
      </c>
      <c r="B52" s="32" t="str">
        <f t="shared" si="6"/>
        <v>Wed</v>
      </c>
      <c r="C52" s="32">
        <f t="shared" si="7"/>
        <v>75</v>
      </c>
      <c r="D52" s="32" t="str">
        <f t="shared" si="8"/>
        <v>Re-entry</v>
      </c>
      <c r="E52" s="32" t="str">
        <f t="shared" si="9"/>
        <v>No Throw</v>
      </c>
      <c r="F52" s="32" t="str">
        <f t="shared" si="10"/>
        <v>No Throw</v>
      </c>
      <c r="G52" s="47" t="str">
        <f t="shared" si="11"/>
        <v>Off</v>
      </c>
      <c r="H52" s="30">
        <f t="shared" si="12"/>
        <v>0</v>
      </c>
      <c r="I52" s="46" t="str">
        <f>IF($A52="","",IF(AND($L52&lt;27,$K$12=0),"Building",IFERROR(((SUM($H$46:$H52)+$K$12*IF($L52&lt;6,SUMIFS('Throw Log'!$Q$5:$Q$300,'Throw Log'!$B$5:$B$300,$D$4,'Throw Log'!$A$5:$A$300,"&gt;="&amp;($D$6+$L52-6),'Throw Log'!$A$5:$A$300,"&lt;="&amp;($D$6-1)),0))/7)/((SUM($H$43:$H52)+$K$12*IF($L52&lt;27,SUMIFS('Throw Log'!$Q$5:$Q$300,'Throw Log'!$B$5:$B$300,$D$4,'Throw Log'!$A$5:$A$300,"&gt;="&amp;($D$6+$L52-27),'Throw Log'!$A$5:$A$300,"&lt;="&amp;($D$6-1)),0))/28),"")))</f>
        <v>Building</v>
      </c>
      <c r="J52" s="37"/>
      <c r="K52" s="37"/>
      <c r="L52" s="32">
        <v>9</v>
      </c>
      <c r="M52" s="32">
        <f t="shared" si="13"/>
        <v>2</v>
      </c>
      <c r="N52" s="32">
        <f t="shared" si="14"/>
        <v>2</v>
      </c>
      <c r="O52" s="32">
        <f t="shared" si="15"/>
        <v>0.11842105263157894</v>
      </c>
      <c r="P52" s="32">
        <f>IF(OR($A52="",N($C52)&lt;=7),"",$G$6*$G$9^($M52-1)*IF(AND(MOD($M52,Reference!$B$99)=0,$M52&lt;=$G$5-2),Reference!$B$100,1))</f>
        <v>90.007422064022563</v>
      </c>
      <c r="Q52" s="32">
        <f>IF($P52="","",IF(SUM($AK$50:$AK$56)=0,0,$P52*INDEX(Reference!$B$108:$B$114,$N52+1)/SUM($AK$50:$AK$56)))</f>
        <v>0</v>
      </c>
      <c r="R52" s="32">
        <f t="shared" si="16"/>
        <v>75</v>
      </c>
      <c r="S52" s="32">
        <f t="shared" si="17"/>
        <v>75</v>
      </c>
      <c r="T52" s="32" t="str">
        <f>IF($A52="","",IF($C52=0,"Bullpen",IF(OR($C52=7,$C52=1,$C52=5),"Recovery/Easy Catch",IF($C52=6,"Compression/Pulldowns",IF(OR($C52=4,$C52=2),"Long Toss",IF($C52=3,"No Throw",IF($N52=2,"No Throw",IF($N52=6,IF($O52&lt;Reference!$B$104,"No Throw","Recovery/Easy Catch"),IF(OR($N52=0,$N52=4),"Recovery/Easy Catch",IF($N52=1,IF($R52&gt;75,"Long Toss","Recovery/Easy Catch"),IF($N52=3,IF($O52&lt;0.5,IF($S52&gt;75,"Long Toss","Recovery/Easy Catch"),"Compression/Pulldowns"),IF($S52&gt;75,"Long Toss","Recovery/Easy Catch"))))))))))))</f>
        <v>No Throw</v>
      </c>
      <c r="U52" s="32" t="str">
        <f t="shared" si="18"/>
        <v/>
      </c>
      <c r="V52" s="32" t="str">
        <f t="shared" si="19"/>
        <v/>
      </c>
      <c r="W52" s="32" t="str">
        <f t="shared" si="20"/>
        <v/>
      </c>
      <c r="X52" s="32">
        <f t="shared" si="21"/>
        <v>0</v>
      </c>
      <c r="Y52" s="32" t="str">
        <f t="shared" si="22"/>
        <v/>
      </c>
      <c r="Z52" s="32" t="str">
        <f t="shared" si="23"/>
        <v/>
      </c>
      <c r="AA52" s="32" t="str">
        <f t="shared" si="24"/>
        <v/>
      </c>
      <c r="AB52" s="32">
        <f>IF($A52="","",IF($T52="No Throw",0,IF($K52&lt;&gt;"",$K52,IF($AA52&lt;&gt;"",ROUND($AA52*$D$12*IF($C52=0,1,$G$10),0),MIN(IF($T52="Recovery/Easy Catch",Reference!$B$103,IF($T52="Long Toss",Reference!$B$106,Reference!$B$102)),MAX(Reference!$B$101,ROUND(MAX(0,$Q52-$AE52)/$AF52,0)))))))</f>
        <v>0</v>
      </c>
      <c r="AC52" s="32">
        <f t="shared" si="25"/>
        <v>0</v>
      </c>
      <c r="AD52" s="32" t="b">
        <f t="shared" si="26"/>
        <v>1</v>
      </c>
      <c r="AE52" s="32">
        <f>IF($X52=0,0,$X52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52+$Z52)/2,0),Reference!$A$17:$B$20,2,TRUE()))</f>
        <v>0</v>
      </c>
      <c r="AF52" s="32">
        <f>IF(OR($A52="",$U52="",$T52="No Throw"),0,$AM52*VLOOKUP(MAX(($V52+$W52)/2,0),Reference!$A$17:$B$20,2,TRUE()))</f>
        <v>0</v>
      </c>
      <c r="AG52" s="32">
        <f>IF($AC52=0,0,$AC52*INDEX(Reference!$B$61:$B$62,MATCH("Bullpen",Reference!$A$61:$A$62,0))*VLOOKUP(MAX($D$5-($D$9+$E$9)/2,0),Reference!$A$17:$B$20,2,TRUE()))</f>
        <v>0</v>
      </c>
      <c r="AH52" s="32" t="e">
        <f t="shared" si="27"/>
        <v>#N/A</v>
      </c>
      <c r="AI52" s="32">
        <f>IF($A52="",NA(),Reference!$A$25)</f>
        <v>0.8</v>
      </c>
      <c r="AJ52" s="32">
        <f t="shared" si="28"/>
        <v>1.3</v>
      </c>
      <c r="AK52" s="32">
        <f>IF(OR($A52="",N($C52)&lt;=7,$T52="No Throw",$J52="x"),0,INDEX(Reference!$B$108:$B$114,$N52+1))</f>
        <v>0</v>
      </c>
      <c r="AL52" s="32">
        <f t="shared" si="29"/>
        <v>1</v>
      </c>
      <c r="AM52" s="32">
        <f>IF($U52="",0,IF($AL52&gt;1,((IF(1&lt;=$AL52,($AL52-1+3)*(INDEX(Reference!$B$6:$B$11,MIN(5,MATCH(MAX(Reference!$A$6,MIN(Reference!$A$11,MIN($U52,90))),Reference!$A$6:$A$11,1)))+(MAX(Reference!$A$6,MIN(Reference!$A$11,MIN($U52,90)))-INDEX(Reference!$A$6:$A$11,MIN(5,MATCH(MAX(Reference!$A$6,MIN(Reference!$A$11,MIN($U52,90))),Reference!$A$6:$A$11,1))))*(INDEX(Reference!$B$6:$B$11,MIN(5,MATCH(MAX(Reference!$A$6,MIN(Reference!$A$11,MIN($U52,90))),Reference!$A$6:$A$11,1))+1)-INDEX(Reference!$B$6:$B$11,MIN(5,MATCH(MAX(Reference!$A$6,MIN(Reference!$A$11,MIN($U52,90))),Reference!$A$6:$A$11,1))))/(INDEX(Reference!$A$6:$A$11,MIN(5,MATCH(MAX(Reference!$A$6,MIN(Reference!$A$11,MIN($U52,90))),Reference!$A$6:$A$11,1))+1)-INDEX(Reference!$A$6:$A$11,MIN(5,MATCH(MAX(Reference!$A$6,MIN(Reference!$A$11,MIN($U52,90))),Reference!$A$6:$A$11,1))))),0)+IF(2&lt;=$AL52,($AL52-2+3)*(INDEX(Reference!$B$6:$B$11,MIN(5,MATCH(MAX(Reference!$A$6,MIN(Reference!$A$11,MIN($U52,120))),Reference!$A$6:$A$11,1)))+(MAX(Reference!$A$6,MIN(Reference!$A$11,MIN($U52,120)))-INDEX(Reference!$A$6:$A$11,MIN(5,MATCH(MAX(Reference!$A$6,MIN(Reference!$A$11,MIN($U52,120))),Reference!$A$6:$A$11,1))))*(INDEX(Reference!$B$6:$B$11,MIN(5,MATCH(MAX(Reference!$A$6,MIN(Reference!$A$11,MIN($U52,120))),Reference!$A$6:$A$11,1))+1)-INDEX(Reference!$B$6:$B$11,MIN(5,MATCH(MAX(Reference!$A$6,MIN(Reference!$A$11,MIN($U52,120))),Reference!$A$6:$A$11,1))))/(INDEX(Reference!$A$6:$A$11,MIN(5,MATCH(MAX(Reference!$A$6,MIN(Reference!$A$11,MIN($U52,120))),Reference!$A$6:$A$11,1))+1)-INDEX(Reference!$A$6:$A$11,MIN(5,MATCH(MAX(Reference!$A$6,MIN(Reference!$A$11,MIN($U52,120))),Reference!$A$6:$A$11,1))))),0)+IF(3&lt;=$AL52,($AL52-3+3)*(INDEX(Reference!$B$6:$B$11,MIN(5,MATCH(MAX(Reference!$A$6,MIN(Reference!$A$11,MIN($U52,150))),Reference!$A$6:$A$11,1)))+(MAX(Reference!$A$6,MIN(Reference!$A$11,MIN($U52,150)))-INDEX(Reference!$A$6:$A$11,MIN(5,MATCH(MAX(Reference!$A$6,MIN(Reference!$A$11,MIN($U52,150))),Reference!$A$6:$A$11,1))))*(INDEX(Reference!$B$6:$B$11,MIN(5,MATCH(MAX(Reference!$A$6,MIN(Reference!$A$11,MIN($U52,150))),Reference!$A$6:$A$11,1))+1)-INDEX(Reference!$B$6:$B$11,MIN(5,MATCH(MAX(Reference!$A$6,MIN(Reference!$A$11,MIN($U52,150))),Reference!$A$6:$A$11,1))))/(INDEX(Reference!$A$6:$A$11,MIN(5,MATCH(MAX(Reference!$A$6,MIN(Reference!$A$11,MIN($U52,150))),Reference!$A$6:$A$11,1))+1)-INDEX(Reference!$A$6:$A$11,MIN(5,MATCH(MAX(Reference!$A$6,MIN(Reference!$A$11,MIN($U52,150))),Reference!$A$6:$A$11,1))))),0)+IF(4&lt;=$AL52,($AL52-4+3)*(INDEX(Reference!$B$6:$B$11,MIN(5,MATCH(MAX(Reference!$A$6,MIN(Reference!$A$11,MIN($U52,180))),Reference!$A$6:$A$11,1)))+(MAX(Reference!$A$6,MIN(Reference!$A$11,MIN($U52,180)))-INDEX(Reference!$A$6:$A$11,MIN(5,MATCH(MAX(Reference!$A$6,MIN(Reference!$A$11,MIN($U52,180))),Reference!$A$6:$A$11,1))))*(INDEX(Reference!$B$6:$B$11,MIN(5,MATCH(MAX(Reference!$A$6,MIN(Reference!$A$11,MIN($U52,180))),Reference!$A$6:$A$11,1))+1)-INDEX(Reference!$B$6:$B$11,MIN(5,MATCH(MAX(Reference!$A$6,MIN(Reference!$A$11,MIN($U52,180))),Reference!$A$6:$A$11,1))))/(INDEX(Reference!$A$6:$A$11,MIN(5,MATCH(MAX(Reference!$A$6,MIN(Reference!$A$11,MIN($U52,180))),Reference!$A$6:$A$11,1))+1)-INDEX(Reference!$A$6:$A$11,MIN(5,MATCH(MAX(Reference!$A$6,MIN(Reference!$A$11,MIN($U52,180))),Reference!$A$6:$A$11,1))))),0)+IF(5&lt;=$AL52,($AL52-5+3)*(INDEX(Reference!$B$6:$B$11,MIN(5,MATCH(MAX(Reference!$A$6,MIN(Reference!$A$11,MIN($U52,210))),Reference!$A$6:$A$11,1)))+(MAX(Reference!$A$6,MIN(Reference!$A$11,MIN($U52,210)))-INDEX(Reference!$A$6:$A$11,MIN(5,MATCH(MAX(Reference!$A$6,MIN(Reference!$A$11,MIN($U52,210))),Reference!$A$6:$A$11,1))))*(INDEX(Reference!$B$6:$B$11,MIN(5,MATCH(MAX(Reference!$A$6,MIN(Reference!$A$11,MIN($U52,210))),Reference!$A$6:$A$11,1))+1)-INDEX(Reference!$B$6:$B$11,MIN(5,MATCH(MAX(Reference!$A$6,MIN(Reference!$A$11,MIN($U52,210))),Reference!$A$6:$A$11,1))))/(INDEX(Reference!$A$6:$A$11,MIN(5,MATCH(MAX(Reference!$A$6,MIN(Reference!$A$11,MIN($U52,210))),Reference!$A$6:$A$11,1))+1)-INDEX(Reference!$A$6:$A$11,MIN(5,MATCH(MAX(Reference!$A$6,MIN(Reference!$A$11,MIN($U52,210))),Reference!$A$6:$A$11,1))))),0)+IF(6&lt;=$AL52,($AL52-6+3)*(INDEX(Reference!$B$6:$B$11,MIN(5,MATCH(MAX(Reference!$A$6,MIN(Reference!$A$11,MIN($U52,240))),Reference!$A$6:$A$11,1)))+(MAX(Reference!$A$6,MIN(Reference!$A$11,MIN($U52,240)))-INDEX(Reference!$A$6:$A$11,MIN(5,MATCH(MAX(Reference!$A$6,MIN(Reference!$A$11,MIN($U52,240))),Reference!$A$6:$A$11,1))))*(INDEX(Reference!$B$6:$B$11,MIN(5,MATCH(MAX(Reference!$A$6,MIN(Reference!$A$11,MIN($U52,240))),Reference!$A$6:$A$11,1))+1)-INDEX(Reference!$B$6:$B$11,MIN(5,MATCH(MAX(Reference!$A$6,MIN(Reference!$A$11,MIN($U52,240))),Reference!$A$6:$A$11,1))))/(INDEX(Reference!$A$6:$A$11,MIN(5,MATCH(MAX(Reference!$A$6,MIN(Reference!$A$11,MIN($U52,240))),Reference!$A$6:$A$11,1))+1)-INDEX(Reference!$A$6:$A$11,MIN(5,MATCH(MAX(Reference!$A$6,MIN(Reference!$A$11,MIN($U52,240))),Reference!$A$6:$A$11,1))))),0)+IF(7&lt;=$AL52,($AL52-7+3)*(INDEX(Reference!$B$6:$B$11,MIN(5,MATCH(MAX(Reference!$A$6,MIN(Reference!$A$11,MIN($U52,270))),Reference!$A$6:$A$11,1)))+(MAX(Reference!$A$6,MIN(Reference!$A$11,MIN($U52,270)))-INDEX(Reference!$A$6:$A$11,MIN(5,MATCH(MAX(Reference!$A$6,MIN(Reference!$A$11,MIN($U52,270))),Reference!$A$6:$A$11,1))))*(INDEX(Reference!$B$6:$B$11,MIN(5,MATCH(MAX(Reference!$A$6,MIN(Reference!$A$11,MIN($U52,270))),Reference!$A$6:$A$11,1))+1)-INDEX(Reference!$B$6:$B$11,MIN(5,MATCH(MAX(Reference!$A$6,MIN(Reference!$A$11,MIN($U52,270))),Reference!$A$6:$A$11,1))))/(INDEX(Reference!$A$6:$A$11,MIN(5,MATCH(MAX(Reference!$A$6,MIN(Reference!$A$11,MIN($U52,270))),Reference!$A$6:$A$11,1))+1)-INDEX(Reference!$A$6:$A$11,MIN(5,MATCH(MAX(Reference!$A$6,MIN(Reference!$A$11,MIN($U52,270))),Reference!$A$6:$A$11,1))))),0)+IF(8&lt;=$AL52,($AL52-8+3)*(INDEX(Reference!$B$6:$B$11,MIN(5,MATCH(MAX(Reference!$A$6,MIN(Reference!$A$11,MIN($U52,300))),Reference!$A$6:$A$11,1)))+(MAX(Reference!$A$6,MIN(Reference!$A$11,MIN($U52,300)))-INDEX(Reference!$A$6:$A$11,MIN(5,MATCH(MAX(Reference!$A$6,MIN(Reference!$A$11,MIN($U52,300))),Reference!$A$6:$A$11,1))))*(INDEX(Reference!$B$6:$B$11,MIN(5,MATCH(MAX(Reference!$A$6,MIN(Reference!$A$11,MIN($U52,300))),Reference!$A$6:$A$11,1))+1)-INDEX(Reference!$B$6:$B$11,MIN(5,MATCH(MAX(Reference!$A$6,MIN(Reference!$A$11,MIN($U52,300))),Reference!$A$6:$A$11,1))))/(INDEX(Reference!$A$6:$A$11,MIN(5,MATCH(MAX(Reference!$A$6,MIN(Reference!$A$11,MIN($U52,300))),Reference!$A$6:$A$11,1))+1)-INDEX(Reference!$A$6:$A$11,MIN(5,MATCH(MAX(Reference!$A$6,MIN(Reference!$A$11,MIN($U52,300))),Reference!$A$6:$A$11,1))))),0))/($AL52*($AL52+5)/2)),$AN52))</f>
        <v>0</v>
      </c>
      <c r="AN52" s="32">
        <f>IF($U52="",0,(INDEX(Reference!$B$6:$B$11,MIN(5,MATCH(MAX(Reference!$A$6,MIN(Reference!$A$11,$U52)),Reference!$A$6:$A$11,1)))+(MAX(Reference!$A$6,MIN(Reference!$A$11,$U52))-INDEX(Reference!$A$6:$A$11,MIN(5,MATCH(MAX(Reference!$A$6,MIN(Reference!$A$11,$U52)),Reference!$A$6:$A$11,1))))*(INDEX(Reference!$B$6:$B$11,MIN(5,MATCH(MAX(Reference!$A$6,MIN(Reference!$A$11,$U52)),Reference!$A$6:$A$11,1))+1)-INDEX(Reference!$B$6:$B$11,MIN(5,MATCH(MAX(Reference!$A$6,MIN(Reference!$A$11,$U52)),Reference!$A$6:$A$11,1))))/(INDEX(Reference!$A$6:$A$11,MIN(5,MATCH(MAX(Reference!$A$6,MIN(Reference!$A$11,$U52)),Reference!$A$6:$A$11,1))+1)-INDEX(Reference!$A$6:$A$11,MIN(5,MATCH(MAX(Reference!$A$6,MIN(Reference!$A$11,$U52)),Reference!$A$6:$A$11,1))))))</f>
        <v>0</v>
      </c>
      <c r="AO52" s="37"/>
      <c r="AP52" s="37"/>
      <c r="AQ52" s="37"/>
    </row>
    <row r="53" spans="1:43" x14ac:dyDescent="0.3">
      <c r="A53" s="48">
        <f t="shared" si="5"/>
        <v>46317</v>
      </c>
      <c r="B53" s="32" t="str">
        <f t="shared" si="6"/>
        <v>Thu</v>
      </c>
      <c r="C53" s="32">
        <f t="shared" si="7"/>
        <v>74</v>
      </c>
      <c r="D53" s="32" t="str">
        <f t="shared" si="8"/>
        <v>Re-entry</v>
      </c>
      <c r="E53" s="32" t="str">
        <f t="shared" si="9"/>
        <v>Low</v>
      </c>
      <c r="F53" s="32" t="str">
        <f t="shared" si="10"/>
        <v>Recovery/Easy Catch</v>
      </c>
      <c r="G53" s="47" t="str">
        <f t="shared" si="11"/>
        <v>75 ft × 25 @ 67–71 mph</v>
      </c>
      <c r="H53" s="30">
        <f t="shared" si="12"/>
        <v>17.25</v>
      </c>
      <c r="I53" s="46" t="str">
        <f>IF($A53="","",IF(AND($L53&lt;27,$K$12=0),"Building",IFERROR(((SUM($H$47:$H53)+$K$12*IF($L53&lt;6,SUMIFS('Throw Log'!$Q$5:$Q$300,'Throw Log'!$B$5:$B$300,$D$4,'Throw Log'!$A$5:$A$300,"&gt;="&amp;($D$6+$L53-6),'Throw Log'!$A$5:$A$300,"&lt;="&amp;($D$6-1)),0))/7)/((SUM($H$43:$H53)+$K$12*IF($L53&lt;27,SUMIFS('Throw Log'!$Q$5:$Q$300,'Throw Log'!$B$5:$B$300,$D$4,'Throw Log'!$A$5:$A$300,"&gt;="&amp;($D$6+$L53-27),'Throw Log'!$A$5:$A$300,"&lt;="&amp;($D$6-1)),0))/28),"")))</f>
        <v>Building</v>
      </c>
      <c r="J53" s="37"/>
      <c r="K53" s="37">
        <v>25</v>
      </c>
      <c r="L53" s="32">
        <v>10</v>
      </c>
      <c r="M53" s="32">
        <f t="shared" si="13"/>
        <v>2</v>
      </c>
      <c r="N53" s="32">
        <f t="shared" si="14"/>
        <v>3</v>
      </c>
      <c r="O53" s="32">
        <f t="shared" si="15"/>
        <v>0.13157894736842105</v>
      </c>
      <c r="P53" s="32">
        <f>IF(OR($A53="",N($C53)&lt;=7),"",$G$6*$G$9^($M53-1)*IF(AND(MOD($M53,Reference!$B$99)=0,$M53&lt;=$G$5-2),Reference!$B$100,1))</f>
        <v>90.007422064022563</v>
      </c>
      <c r="Q53" s="32">
        <f>IF($P53="","",IF(SUM($AK$50:$AK$56)=0,0,$P53*INDEX(Reference!$B$108:$B$114,$N53+1)/SUM($AK$50:$AK$56)))</f>
        <v>21.601781295365413</v>
      </c>
      <c r="R53" s="32">
        <f t="shared" si="16"/>
        <v>75</v>
      </c>
      <c r="S53" s="32">
        <f t="shared" si="17"/>
        <v>75</v>
      </c>
      <c r="T53" s="32" t="str">
        <f>IF($A53="","",IF($C53=0,"Bullpen",IF(OR($C53=7,$C53=1,$C53=5),"Recovery/Easy Catch",IF($C53=6,"Compression/Pulldowns",IF(OR($C53=4,$C53=2),"Long Toss",IF($C53=3,"No Throw",IF($N53=2,"No Throw",IF($N53=6,IF($O53&lt;Reference!$B$104,"No Throw","Recovery/Easy Catch"),IF(OR($N53=0,$N53=4),"Recovery/Easy Catch",IF($N53=1,IF($R53&gt;75,"Long Toss","Recovery/Easy Catch"),IF($N53=3,IF($O53&lt;0.5,IF($S53&gt;75,"Long Toss","Recovery/Easy Catch"),"Compression/Pulldowns"),IF($S53&gt;75,"Long Toss","Recovery/Easy Catch"))))))))))))</f>
        <v>Recovery/Easy Catch</v>
      </c>
      <c r="U53" s="32">
        <f t="shared" si="18"/>
        <v>75</v>
      </c>
      <c r="V53" s="32">
        <f t="shared" si="19"/>
        <v>18</v>
      </c>
      <c r="W53" s="32">
        <f t="shared" si="20"/>
        <v>22</v>
      </c>
      <c r="X53" s="32">
        <f t="shared" si="21"/>
        <v>0</v>
      </c>
      <c r="Y53" s="32" t="str">
        <f t="shared" si="22"/>
        <v/>
      </c>
      <c r="Z53" s="32" t="str">
        <f t="shared" si="23"/>
        <v/>
      </c>
      <c r="AA53" s="32" t="str">
        <f t="shared" si="24"/>
        <v/>
      </c>
      <c r="AB53" s="32">
        <f>IF($A53="","",IF($T53="No Throw",0,IF($K53&lt;&gt;"",$K53,IF($AA53&lt;&gt;"",ROUND($AA53*$D$12*IF($C53=0,1,$G$10),0),MIN(IF($T53="Recovery/Easy Catch",Reference!$B$103,IF($T53="Long Toss",Reference!$B$106,Reference!$B$102)),MAX(Reference!$B$101,ROUND(MAX(0,$Q53-$AE53)/$AF53,0)))))))</f>
        <v>25</v>
      </c>
      <c r="AC53" s="32">
        <f t="shared" si="25"/>
        <v>0</v>
      </c>
      <c r="AD53" s="32" t="b">
        <f t="shared" si="26"/>
        <v>0</v>
      </c>
      <c r="AE53" s="32">
        <f>IF($X53=0,0,$X53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53+$Z53)/2,0),Reference!$A$17:$B$20,2,TRUE()))</f>
        <v>0</v>
      </c>
      <c r="AF53" s="32">
        <f>IF(OR($A53="",$U53="",$T53="No Throw"),0,$AM53*VLOOKUP(MAX(($V53+$W53)/2,0),Reference!$A$17:$B$20,2,TRUE()))</f>
        <v>0.69</v>
      </c>
      <c r="AG53" s="32">
        <f>IF($AC53=0,0,$AC53*INDEX(Reference!$B$61:$B$62,MATCH("Bullpen",Reference!$A$61:$A$62,0))*VLOOKUP(MAX($D$5-($D$9+$E$9)/2,0),Reference!$A$17:$B$20,2,TRUE()))</f>
        <v>0</v>
      </c>
      <c r="AH53" s="32" t="e">
        <f t="shared" si="27"/>
        <v>#N/A</v>
      </c>
      <c r="AI53" s="32">
        <f>IF($A53="",NA(),Reference!$A$25)</f>
        <v>0.8</v>
      </c>
      <c r="AJ53" s="32">
        <f t="shared" si="28"/>
        <v>1.3</v>
      </c>
      <c r="AK53" s="56">
        <f>IF(OR($A53="",N($C53)&lt;=7,$T53="No Throw",$J53="x"),0,INDEX(Reference!$B$108:$B$114,$N53+1))</f>
        <v>0.24</v>
      </c>
      <c r="AL53" s="32">
        <f t="shared" si="29"/>
        <v>1</v>
      </c>
      <c r="AM53" s="32">
        <f>IF($U53="",0,IF($AL53&gt;1,((IF(1&lt;=$AL53,($AL53-1+3)*(INDEX(Reference!$B$6:$B$11,MIN(5,MATCH(MAX(Reference!$A$6,MIN(Reference!$A$11,MIN($U53,90))),Reference!$A$6:$A$11,1)))+(MAX(Reference!$A$6,MIN(Reference!$A$11,MIN($U53,90)))-INDEX(Reference!$A$6:$A$11,MIN(5,MATCH(MAX(Reference!$A$6,MIN(Reference!$A$11,MIN($U53,90))),Reference!$A$6:$A$11,1))))*(INDEX(Reference!$B$6:$B$11,MIN(5,MATCH(MAX(Reference!$A$6,MIN(Reference!$A$11,MIN($U53,90))),Reference!$A$6:$A$11,1))+1)-INDEX(Reference!$B$6:$B$11,MIN(5,MATCH(MAX(Reference!$A$6,MIN(Reference!$A$11,MIN($U53,90))),Reference!$A$6:$A$11,1))))/(INDEX(Reference!$A$6:$A$11,MIN(5,MATCH(MAX(Reference!$A$6,MIN(Reference!$A$11,MIN($U53,90))),Reference!$A$6:$A$11,1))+1)-INDEX(Reference!$A$6:$A$11,MIN(5,MATCH(MAX(Reference!$A$6,MIN(Reference!$A$11,MIN($U53,90))),Reference!$A$6:$A$11,1))))),0)+IF(2&lt;=$AL53,($AL53-2+3)*(INDEX(Reference!$B$6:$B$11,MIN(5,MATCH(MAX(Reference!$A$6,MIN(Reference!$A$11,MIN($U53,120))),Reference!$A$6:$A$11,1)))+(MAX(Reference!$A$6,MIN(Reference!$A$11,MIN($U53,120)))-INDEX(Reference!$A$6:$A$11,MIN(5,MATCH(MAX(Reference!$A$6,MIN(Reference!$A$11,MIN($U53,120))),Reference!$A$6:$A$11,1))))*(INDEX(Reference!$B$6:$B$11,MIN(5,MATCH(MAX(Reference!$A$6,MIN(Reference!$A$11,MIN($U53,120))),Reference!$A$6:$A$11,1))+1)-INDEX(Reference!$B$6:$B$11,MIN(5,MATCH(MAX(Reference!$A$6,MIN(Reference!$A$11,MIN($U53,120))),Reference!$A$6:$A$11,1))))/(INDEX(Reference!$A$6:$A$11,MIN(5,MATCH(MAX(Reference!$A$6,MIN(Reference!$A$11,MIN($U53,120))),Reference!$A$6:$A$11,1))+1)-INDEX(Reference!$A$6:$A$11,MIN(5,MATCH(MAX(Reference!$A$6,MIN(Reference!$A$11,MIN($U53,120))),Reference!$A$6:$A$11,1))))),0)+IF(3&lt;=$AL53,($AL53-3+3)*(INDEX(Reference!$B$6:$B$11,MIN(5,MATCH(MAX(Reference!$A$6,MIN(Reference!$A$11,MIN($U53,150))),Reference!$A$6:$A$11,1)))+(MAX(Reference!$A$6,MIN(Reference!$A$11,MIN($U53,150)))-INDEX(Reference!$A$6:$A$11,MIN(5,MATCH(MAX(Reference!$A$6,MIN(Reference!$A$11,MIN($U53,150))),Reference!$A$6:$A$11,1))))*(INDEX(Reference!$B$6:$B$11,MIN(5,MATCH(MAX(Reference!$A$6,MIN(Reference!$A$11,MIN($U53,150))),Reference!$A$6:$A$11,1))+1)-INDEX(Reference!$B$6:$B$11,MIN(5,MATCH(MAX(Reference!$A$6,MIN(Reference!$A$11,MIN($U53,150))),Reference!$A$6:$A$11,1))))/(INDEX(Reference!$A$6:$A$11,MIN(5,MATCH(MAX(Reference!$A$6,MIN(Reference!$A$11,MIN($U53,150))),Reference!$A$6:$A$11,1))+1)-INDEX(Reference!$A$6:$A$11,MIN(5,MATCH(MAX(Reference!$A$6,MIN(Reference!$A$11,MIN($U53,150))),Reference!$A$6:$A$11,1))))),0)+IF(4&lt;=$AL53,($AL53-4+3)*(INDEX(Reference!$B$6:$B$11,MIN(5,MATCH(MAX(Reference!$A$6,MIN(Reference!$A$11,MIN($U53,180))),Reference!$A$6:$A$11,1)))+(MAX(Reference!$A$6,MIN(Reference!$A$11,MIN($U53,180)))-INDEX(Reference!$A$6:$A$11,MIN(5,MATCH(MAX(Reference!$A$6,MIN(Reference!$A$11,MIN($U53,180))),Reference!$A$6:$A$11,1))))*(INDEX(Reference!$B$6:$B$11,MIN(5,MATCH(MAX(Reference!$A$6,MIN(Reference!$A$11,MIN($U53,180))),Reference!$A$6:$A$11,1))+1)-INDEX(Reference!$B$6:$B$11,MIN(5,MATCH(MAX(Reference!$A$6,MIN(Reference!$A$11,MIN($U53,180))),Reference!$A$6:$A$11,1))))/(INDEX(Reference!$A$6:$A$11,MIN(5,MATCH(MAX(Reference!$A$6,MIN(Reference!$A$11,MIN($U53,180))),Reference!$A$6:$A$11,1))+1)-INDEX(Reference!$A$6:$A$11,MIN(5,MATCH(MAX(Reference!$A$6,MIN(Reference!$A$11,MIN($U53,180))),Reference!$A$6:$A$11,1))))),0)+IF(5&lt;=$AL53,($AL53-5+3)*(INDEX(Reference!$B$6:$B$11,MIN(5,MATCH(MAX(Reference!$A$6,MIN(Reference!$A$11,MIN($U53,210))),Reference!$A$6:$A$11,1)))+(MAX(Reference!$A$6,MIN(Reference!$A$11,MIN($U53,210)))-INDEX(Reference!$A$6:$A$11,MIN(5,MATCH(MAX(Reference!$A$6,MIN(Reference!$A$11,MIN($U53,210))),Reference!$A$6:$A$11,1))))*(INDEX(Reference!$B$6:$B$11,MIN(5,MATCH(MAX(Reference!$A$6,MIN(Reference!$A$11,MIN($U53,210))),Reference!$A$6:$A$11,1))+1)-INDEX(Reference!$B$6:$B$11,MIN(5,MATCH(MAX(Reference!$A$6,MIN(Reference!$A$11,MIN($U53,210))),Reference!$A$6:$A$11,1))))/(INDEX(Reference!$A$6:$A$11,MIN(5,MATCH(MAX(Reference!$A$6,MIN(Reference!$A$11,MIN($U53,210))),Reference!$A$6:$A$11,1))+1)-INDEX(Reference!$A$6:$A$11,MIN(5,MATCH(MAX(Reference!$A$6,MIN(Reference!$A$11,MIN($U53,210))),Reference!$A$6:$A$11,1))))),0)+IF(6&lt;=$AL53,($AL53-6+3)*(INDEX(Reference!$B$6:$B$11,MIN(5,MATCH(MAX(Reference!$A$6,MIN(Reference!$A$11,MIN($U53,240))),Reference!$A$6:$A$11,1)))+(MAX(Reference!$A$6,MIN(Reference!$A$11,MIN($U53,240)))-INDEX(Reference!$A$6:$A$11,MIN(5,MATCH(MAX(Reference!$A$6,MIN(Reference!$A$11,MIN($U53,240))),Reference!$A$6:$A$11,1))))*(INDEX(Reference!$B$6:$B$11,MIN(5,MATCH(MAX(Reference!$A$6,MIN(Reference!$A$11,MIN($U53,240))),Reference!$A$6:$A$11,1))+1)-INDEX(Reference!$B$6:$B$11,MIN(5,MATCH(MAX(Reference!$A$6,MIN(Reference!$A$11,MIN($U53,240))),Reference!$A$6:$A$11,1))))/(INDEX(Reference!$A$6:$A$11,MIN(5,MATCH(MAX(Reference!$A$6,MIN(Reference!$A$11,MIN($U53,240))),Reference!$A$6:$A$11,1))+1)-INDEX(Reference!$A$6:$A$11,MIN(5,MATCH(MAX(Reference!$A$6,MIN(Reference!$A$11,MIN($U53,240))),Reference!$A$6:$A$11,1))))),0)+IF(7&lt;=$AL53,($AL53-7+3)*(INDEX(Reference!$B$6:$B$11,MIN(5,MATCH(MAX(Reference!$A$6,MIN(Reference!$A$11,MIN($U53,270))),Reference!$A$6:$A$11,1)))+(MAX(Reference!$A$6,MIN(Reference!$A$11,MIN($U53,270)))-INDEX(Reference!$A$6:$A$11,MIN(5,MATCH(MAX(Reference!$A$6,MIN(Reference!$A$11,MIN($U53,270))),Reference!$A$6:$A$11,1))))*(INDEX(Reference!$B$6:$B$11,MIN(5,MATCH(MAX(Reference!$A$6,MIN(Reference!$A$11,MIN($U53,270))),Reference!$A$6:$A$11,1))+1)-INDEX(Reference!$B$6:$B$11,MIN(5,MATCH(MAX(Reference!$A$6,MIN(Reference!$A$11,MIN($U53,270))),Reference!$A$6:$A$11,1))))/(INDEX(Reference!$A$6:$A$11,MIN(5,MATCH(MAX(Reference!$A$6,MIN(Reference!$A$11,MIN($U53,270))),Reference!$A$6:$A$11,1))+1)-INDEX(Reference!$A$6:$A$11,MIN(5,MATCH(MAX(Reference!$A$6,MIN(Reference!$A$11,MIN($U53,270))),Reference!$A$6:$A$11,1))))),0)+IF(8&lt;=$AL53,($AL53-8+3)*(INDEX(Reference!$B$6:$B$11,MIN(5,MATCH(MAX(Reference!$A$6,MIN(Reference!$A$11,MIN($U53,300))),Reference!$A$6:$A$11,1)))+(MAX(Reference!$A$6,MIN(Reference!$A$11,MIN($U53,300)))-INDEX(Reference!$A$6:$A$11,MIN(5,MATCH(MAX(Reference!$A$6,MIN(Reference!$A$11,MIN($U53,300))),Reference!$A$6:$A$11,1))))*(INDEX(Reference!$B$6:$B$11,MIN(5,MATCH(MAX(Reference!$A$6,MIN(Reference!$A$11,MIN($U53,300))),Reference!$A$6:$A$11,1))+1)-INDEX(Reference!$B$6:$B$11,MIN(5,MATCH(MAX(Reference!$A$6,MIN(Reference!$A$11,MIN($U53,300))),Reference!$A$6:$A$11,1))))/(INDEX(Reference!$A$6:$A$11,MIN(5,MATCH(MAX(Reference!$A$6,MIN(Reference!$A$11,MIN($U53,300))),Reference!$A$6:$A$11,1))+1)-INDEX(Reference!$A$6:$A$11,MIN(5,MATCH(MAX(Reference!$A$6,MIN(Reference!$A$11,MIN($U53,300))),Reference!$A$6:$A$11,1))))),0))/($AL53*($AL53+5)/2)),$AN53))</f>
        <v>1.1499999999999999</v>
      </c>
      <c r="AN53" s="32">
        <f>IF($U53="",0,(INDEX(Reference!$B$6:$B$11,MIN(5,MATCH(MAX(Reference!$A$6,MIN(Reference!$A$11,$U53)),Reference!$A$6:$A$11,1)))+(MAX(Reference!$A$6,MIN(Reference!$A$11,$U53))-INDEX(Reference!$A$6:$A$11,MIN(5,MATCH(MAX(Reference!$A$6,MIN(Reference!$A$11,$U53)),Reference!$A$6:$A$11,1))))*(INDEX(Reference!$B$6:$B$11,MIN(5,MATCH(MAX(Reference!$A$6,MIN(Reference!$A$11,$U53)),Reference!$A$6:$A$11,1))+1)-INDEX(Reference!$B$6:$B$11,MIN(5,MATCH(MAX(Reference!$A$6,MIN(Reference!$A$11,$U53)),Reference!$A$6:$A$11,1))))/(INDEX(Reference!$A$6:$A$11,MIN(5,MATCH(MAX(Reference!$A$6,MIN(Reference!$A$11,$U53)),Reference!$A$6:$A$11,1))+1)-INDEX(Reference!$A$6:$A$11,MIN(5,MATCH(MAX(Reference!$A$6,MIN(Reference!$A$11,$U53)),Reference!$A$6:$A$11,1))))))</f>
        <v>1.1499999999999999</v>
      </c>
      <c r="AO53" s="37"/>
      <c r="AP53" s="37"/>
      <c r="AQ53" s="37"/>
    </row>
    <row r="54" spans="1:43" x14ac:dyDescent="0.3">
      <c r="A54" s="48">
        <f t="shared" si="5"/>
        <v>46318</v>
      </c>
      <c r="B54" s="32" t="str">
        <f t="shared" si="6"/>
        <v>Fri</v>
      </c>
      <c r="C54" s="32">
        <f t="shared" si="7"/>
        <v>73</v>
      </c>
      <c r="D54" s="32" t="str">
        <f t="shared" si="8"/>
        <v>Re-entry</v>
      </c>
      <c r="E54" s="32" t="str">
        <f t="shared" si="9"/>
        <v>Low</v>
      </c>
      <c r="F54" s="32" t="str">
        <f t="shared" si="10"/>
        <v>Recovery/Easy Catch</v>
      </c>
      <c r="G54" s="47" t="str">
        <f t="shared" si="11"/>
        <v>60 ft × 20 @ 65–69 mph</v>
      </c>
      <c r="H54" s="30">
        <f t="shared" si="12"/>
        <v>12</v>
      </c>
      <c r="I54" s="46" t="str">
        <f>IF($A54="","",IF(AND($L54&lt;27,$K$12=0),"Building",IFERROR(((SUM($H$48:$H54)+$K$12*IF($L54&lt;6,SUMIFS('Throw Log'!$Q$5:$Q$300,'Throw Log'!$B$5:$B$300,$D$4,'Throw Log'!$A$5:$A$300,"&gt;="&amp;($D$6+$L54-6),'Throw Log'!$A$5:$A$300,"&lt;="&amp;($D$6-1)),0))/7)/((SUM($H$43:$H54)+$K$12*IF($L54&lt;27,SUMIFS('Throw Log'!$Q$5:$Q$300,'Throw Log'!$B$5:$B$300,$D$4,'Throw Log'!$A$5:$A$300,"&gt;="&amp;($D$6+$L54-27),'Throw Log'!$A$5:$A$300,"&lt;="&amp;($D$6-1)),0))/28),"")))</f>
        <v>Building</v>
      </c>
      <c r="J54" s="37"/>
      <c r="K54" s="37"/>
      <c r="L54" s="32">
        <v>11</v>
      </c>
      <c r="M54" s="32">
        <f t="shared" si="13"/>
        <v>2</v>
      </c>
      <c r="N54" s="32">
        <f t="shared" si="14"/>
        <v>4</v>
      </c>
      <c r="O54" s="32">
        <f t="shared" si="15"/>
        <v>0.14473684210526316</v>
      </c>
      <c r="P54" s="32">
        <f>IF(OR($A54="",N($C54)&lt;=7),"",$G$6*$G$9^($M54-1)*IF(AND(MOD($M54,Reference!$B$99)=0,$M54&lt;=$G$5-2),Reference!$B$100,1))</f>
        <v>90.007422064022563</v>
      </c>
      <c r="Q54" s="32">
        <f>IF($P54="","",IF(SUM($AK$50:$AK$56)=0,0,$P54*INDEX(Reference!$B$108:$B$114,$N54+1)/SUM($AK$50:$AK$56)))</f>
        <v>9.000742206402256</v>
      </c>
      <c r="R54" s="32">
        <f t="shared" si="16"/>
        <v>90</v>
      </c>
      <c r="S54" s="32">
        <f t="shared" si="17"/>
        <v>90</v>
      </c>
      <c r="T54" s="32" t="str">
        <f>IF($A54="","",IF($C54=0,"Bullpen",IF(OR($C54=7,$C54=1,$C54=5),"Recovery/Easy Catch",IF($C54=6,"Compression/Pulldowns",IF(OR($C54=4,$C54=2),"Long Toss",IF($C54=3,"No Throw",IF($N54=2,"No Throw",IF($N54=6,IF($O54&lt;Reference!$B$104,"No Throw","Recovery/Easy Catch"),IF(OR($N54=0,$N54=4),"Recovery/Easy Catch",IF($N54=1,IF($R54&gt;75,"Long Toss","Recovery/Easy Catch"),IF($N54=3,IF($O54&lt;0.5,IF($S54&gt;75,"Long Toss","Recovery/Easy Catch"),"Compression/Pulldowns"),IF($S54&gt;75,"Long Toss","Recovery/Easy Catch"))))))))))))</f>
        <v>Recovery/Easy Catch</v>
      </c>
      <c r="U54" s="32">
        <f t="shared" si="18"/>
        <v>60</v>
      </c>
      <c r="V54" s="32">
        <f t="shared" si="19"/>
        <v>20</v>
      </c>
      <c r="W54" s="32">
        <f t="shared" si="20"/>
        <v>24</v>
      </c>
      <c r="X54" s="32">
        <f t="shared" si="21"/>
        <v>0</v>
      </c>
      <c r="Y54" s="32" t="str">
        <f t="shared" si="22"/>
        <v/>
      </c>
      <c r="Z54" s="32" t="str">
        <f t="shared" si="23"/>
        <v/>
      </c>
      <c r="AA54" s="32" t="str">
        <f t="shared" si="24"/>
        <v/>
      </c>
      <c r="AB54" s="32">
        <f>IF($A54="","",IF($T54="No Throw",0,IF($K54&lt;&gt;"",$K54,IF($AA54&lt;&gt;"",ROUND($AA54*$D$12*IF($C54=0,1,$G$10),0),MIN(IF($T54="Recovery/Easy Catch",Reference!$B$103,IF($T54="Long Toss",Reference!$B$106,Reference!$B$102)),MAX(Reference!$B$101,ROUND(MAX(0,$Q54-$AE54)/$AF54,0)))))))</f>
        <v>20</v>
      </c>
      <c r="AC54" s="32">
        <f t="shared" si="25"/>
        <v>0</v>
      </c>
      <c r="AD54" s="32" t="b">
        <f t="shared" si="26"/>
        <v>0</v>
      </c>
      <c r="AE54" s="32">
        <f>IF($X54=0,0,$X54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54+$Z54)/2,0),Reference!$A$17:$B$20,2,TRUE()))</f>
        <v>0</v>
      </c>
      <c r="AF54" s="32">
        <f>IF(OR($A54="",$U54="",$T54="No Throw"),0,$AM54*VLOOKUP(MAX(($V54+$W54)/2,0),Reference!$A$17:$B$20,2,TRUE()))</f>
        <v>0.6</v>
      </c>
      <c r="AG54" s="32">
        <f>IF($AC54=0,0,$AC54*INDEX(Reference!$B$61:$B$62,MATCH("Bullpen",Reference!$A$61:$A$62,0))*VLOOKUP(MAX($D$5-($D$9+$E$9)/2,0),Reference!$A$17:$B$20,2,TRUE()))</f>
        <v>0</v>
      </c>
      <c r="AH54" s="32" t="e">
        <f t="shared" si="27"/>
        <v>#N/A</v>
      </c>
      <c r="AI54" s="32">
        <f>IF($A54="",NA(),Reference!$A$25)</f>
        <v>0.8</v>
      </c>
      <c r="AJ54" s="32">
        <f t="shared" si="28"/>
        <v>1.3</v>
      </c>
      <c r="AK54" s="56">
        <f>IF(OR($A54="",N($C54)&lt;=7,$T54="No Throw",$J54="x"),0,INDEX(Reference!$B$108:$B$114,$N54+1))</f>
        <v>0.1</v>
      </c>
      <c r="AL54" s="32">
        <f t="shared" si="29"/>
        <v>1</v>
      </c>
      <c r="AM54" s="32">
        <f>IF($U54="",0,IF($AL54&gt;1,((IF(1&lt;=$AL54,($AL54-1+3)*(INDEX(Reference!$B$6:$B$11,MIN(5,MATCH(MAX(Reference!$A$6,MIN(Reference!$A$11,MIN($U54,90))),Reference!$A$6:$A$11,1)))+(MAX(Reference!$A$6,MIN(Reference!$A$11,MIN($U54,90)))-INDEX(Reference!$A$6:$A$11,MIN(5,MATCH(MAX(Reference!$A$6,MIN(Reference!$A$11,MIN($U54,90))),Reference!$A$6:$A$11,1))))*(INDEX(Reference!$B$6:$B$11,MIN(5,MATCH(MAX(Reference!$A$6,MIN(Reference!$A$11,MIN($U54,90))),Reference!$A$6:$A$11,1))+1)-INDEX(Reference!$B$6:$B$11,MIN(5,MATCH(MAX(Reference!$A$6,MIN(Reference!$A$11,MIN($U54,90))),Reference!$A$6:$A$11,1))))/(INDEX(Reference!$A$6:$A$11,MIN(5,MATCH(MAX(Reference!$A$6,MIN(Reference!$A$11,MIN($U54,90))),Reference!$A$6:$A$11,1))+1)-INDEX(Reference!$A$6:$A$11,MIN(5,MATCH(MAX(Reference!$A$6,MIN(Reference!$A$11,MIN($U54,90))),Reference!$A$6:$A$11,1))))),0)+IF(2&lt;=$AL54,($AL54-2+3)*(INDEX(Reference!$B$6:$B$11,MIN(5,MATCH(MAX(Reference!$A$6,MIN(Reference!$A$11,MIN($U54,120))),Reference!$A$6:$A$11,1)))+(MAX(Reference!$A$6,MIN(Reference!$A$11,MIN($U54,120)))-INDEX(Reference!$A$6:$A$11,MIN(5,MATCH(MAX(Reference!$A$6,MIN(Reference!$A$11,MIN($U54,120))),Reference!$A$6:$A$11,1))))*(INDEX(Reference!$B$6:$B$11,MIN(5,MATCH(MAX(Reference!$A$6,MIN(Reference!$A$11,MIN($U54,120))),Reference!$A$6:$A$11,1))+1)-INDEX(Reference!$B$6:$B$11,MIN(5,MATCH(MAX(Reference!$A$6,MIN(Reference!$A$11,MIN($U54,120))),Reference!$A$6:$A$11,1))))/(INDEX(Reference!$A$6:$A$11,MIN(5,MATCH(MAX(Reference!$A$6,MIN(Reference!$A$11,MIN($U54,120))),Reference!$A$6:$A$11,1))+1)-INDEX(Reference!$A$6:$A$11,MIN(5,MATCH(MAX(Reference!$A$6,MIN(Reference!$A$11,MIN($U54,120))),Reference!$A$6:$A$11,1))))),0)+IF(3&lt;=$AL54,($AL54-3+3)*(INDEX(Reference!$B$6:$B$11,MIN(5,MATCH(MAX(Reference!$A$6,MIN(Reference!$A$11,MIN($U54,150))),Reference!$A$6:$A$11,1)))+(MAX(Reference!$A$6,MIN(Reference!$A$11,MIN($U54,150)))-INDEX(Reference!$A$6:$A$11,MIN(5,MATCH(MAX(Reference!$A$6,MIN(Reference!$A$11,MIN($U54,150))),Reference!$A$6:$A$11,1))))*(INDEX(Reference!$B$6:$B$11,MIN(5,MATCH(MAX(Reference!$A$6,MIN(Reference!$A$11,MIN($U54,150))),Reference!$A$6:$A$11,1))+1)-INDEX(Reference!$B$6:$B$11,MIN(5,MATCH(MAX(Reference!$A$6,MIN(Reference!$A$11,MIN($U54,150))),Reference!$A$6:$A$11,1))))/(INDEX(Reference!$A$6:$A$11,MIN(5,MATCH(MAX(Reference!$A$6,MIN(Reference!$A$11,MIN($U54,150))),Reference!$A$6:$A$11,1))+1)-INDEX(Reference!$A$6:$A$11,MIN(5,MATCH(MAX(Reference!$A$6,MIN(Reference!$A$11,MIN($U54,150))),Reference!$A$6:$A$11,1))))),0)+IF(4&lt;=$AL54,($AL54-4+3)*(INDEX(Reference!$B$6:$B$11,MIN(5,MATCH(MAX(Reference!$A$6,MIN(Reference!$A$11,MIN($U54,180))),Reference!$A$6:$A$11,1)))+(MAX(Reference!$A$6,MIN(Reference!$A$11,MIN($U54,180)))-INDEX(Reference!$A$6:$A$11,MIN(5,MATCH(MAX(Reference!$A$6,MIN(Reference!$A$11,MIN($U54,180))),Reference!$A$6:$A$11,1))))*(INDEX(Reference!$B$6:$B$11,MIN(5,MATCH(MAX(Reference!$A$6,MIN(Reference!$A$11,MIN($U54,180))),Reference!$A$6:$A$11,1))+1)-INDEX(Reference!$B$6:$B$11,MIN(5,MATCH(MAX(Reference!$A$6,MIN(Reference!$A$11,MIN($U54,180))),Reference!$A$6:$A$11,1))))/(INDEX(Reference!$A$6:$A$11,MIN(5,MATCH(MAX(Reference!$A$6,MIN(Reference!$A$11,MIN($U54,180))),Reference!$A$6:$A$11,1))+1)-INDEX(Reference!$A$6:$A$11,MIN(5,MATCH(MAX(Reference!$A$6,MIN(Reference!$A$11,MIN($U54,180))),Reference!$A$6:$A$11,1))))),0)+IF(5&lt;=$AL54,($AL54-5+3)*(INDEX(Reference!$B$6:$B$11,MIN(5,MATCH(MAX(Reference!$A$6,MIN(Reference!$A$11,MIN($U54,210))),Reference!$A$6:$A$11,1)))+(MAX(Reference!$A$6,MIN(Reference!$A$11,MIN($U54,210)))-INDEX(Reference!$A$6:$A$11,MIN(5,MATCH(MAX(Reference!$A$6,MIN(Reference!$A$11,MIN($U54,210))),Reference!$A$6:$A$11,1))))*(INDEX(Reference!$B$6:$B$11,MIN(5,MATCH(MAX(Reference!$A$6,MIN(Reference!$A$11,MIN($U54,210))),Reference!$A$6:$A$11,1))+1)-INDEX(Reference!$B$6:$B$11,MIN(5,MATCH(MAX(Reference!$A$6,MIN(Reference!$A$11,MIN($U54,210))),Reference!$A$6:$A$11,1))))/(INDEX(Reference!$A$6:$A$11,MIN(5,MATCH(MAX(Reference!$A$6,MIN(Reference!$A$11,MIN($U54,210))),Reference!$A$6:$A$11,1))+1)-INDEX(Reference!$A$6:$A$11,MIN(5,MATCH(MAX(Reference!$A$6,MIN(Reference!$A$11,MIN($U54,210))),Reference!$A$6:$A$11,1))))),0)+IF(6&lt;=$AL54,($AL54-6+3)*(INDEX(Reference!$B$6:$B$11,MIN(5,MATCH(MAX(Reference!$A$6,MIN(Reference!$A$11,MIN($U54,240))),Reference!$A$6:$A$11,1)))+(MAX(Reference!$A$6,MIN(Reference!$A$11,MIN($U54,240)))-INDEX(Reference!$A$6:$A$11,MIN(5,MATCH(MAX(Reference!$A$6,MIN(Reference!$A$11,MIN($U54,240))),Reference!$A$6:$A$11,1))))*(INDEX(Reference!$B$6:$B$11,MIN(5,MATCH(MAX(Reference!$A$6,MIN(Reference!$A$11,MIN($U54,240))),Reference!$A$6:$A$11,1))+1)-INDEX(Reference!$B$6:$B$11,MIN(5,MATCH(MAX(Reference!$A$6,MIN(Reference!$A$11,MIN($U54,240))),Reference!$A$6:$A$11,1))))/(INDEX(Reference!$A$6:$A$11,MIN(5,MATCH(MAX(Reference!$A$6,MIN(Reference!$A$11,MIN($U54,240))),Reference!$A$6:$A$11,1))+1)-INDEX(Reference!$A$6:$A$11,MIN(5,MATCH(MAX(Reference!$A$6,MIN(Reference!$A$11,MIN($U54,240))),Reference!$A$6:$A$11,1))))),0)+IF(7&lt;=$AL54,($AL54-7+3)*(INDEX(Reference!$B$6:$B$11,MIN(5,MATCH(MAX(Reference!$A$6,MIN(Reference!$A$11,MIN($U54,270))),Reference!$A$6:$A$11,1)))+(MAX(Reference!$A$6,MIN(Reference!$A$11,MIN($U54,270)))-INDEX(Reference!$A$6:$A$11,MIN(5,MATCH(MAX(Reference!$A$6,MIN(Reference!$A$11,MIN($U54,270))),Reference!$A$6:$A$11,1))))*(INDEX(Reference!$B$6:$B$11,MIN(5,MATCH(MAX(Reference!$A$6,MIN(Reference!$A$11,MIN($U54,270))),Reference!$A$6:$A$11,1))+1)-INDEX(Reference!$B$6:$B$11,MIN(5,MATCH(MAX(Reference!$A$6,MIN(Reference!$A$11,MIN($U54,270))),Reference!$A$6:$A$11,1))))/(INDEX(Reference!$A$6:$A$11,MIN(5,MATCH(MAX(Reference!$A$6,MIN(Reference!$A$11,MIN($U54,270))),Reference!$A$6:$A$11,1))+1)-INDEX(Reference!$A$6:$A$11,MIN(5,MATCH(MAX(Reference!$A$6,MIN(Reference!$A$11,MIN($U54,270))),Reference!$A$6:$A$11,1))))),0)+IF(8&lt;=$AL54,($AL54-8+3)*(INDEX(Reference!$B$6:$B$11,MIN(5,MATCH(MAX(Reference!$A$6,MIN(Reference!$A$11,MIN($U54,300))),Reference!$A$6:$A$11,1)))+(MAX(Reference!$A$6,MIN(Reference!$A$11,MIN($U54,300)))-INDEX(Reference!$A$6:$A$11,MIN(5,MATCH(MAX(Reference!$A$6,MIN(Reference!$A$11,MIN($U54,300))),Reference!$A$6:$A$11,1))))*(INDEX(Reference!$B$6:$B$11,MIN(5,MATCH(MAX(Reference!$A$6,MIN(Reference!$A$11,MIN($U54,300))),Reference!$A$6:$A$11,1))+1)-INDEX(Reference!$B$6:$B$11,MIN(5,MATCH(MAX(Reference!$A$6,MIN(Reference!$A$11,MIN($U54,300))),Reference!$A$6:$A$11,1))))/(INDEX(Reference!$A$6:$A$11,MIN(5,MATCH(MAX(Reference!$A$6,MIN(Reference!$A$11,MIN($U54,300))),Reference!$A$6:$A$11,1))+1)-INDEX(Reference!$A$6:$A$11,MIN(5,MATCH(MAX(Reference!$A$6,MIN(Reference!$A$11,MIN($U54,300))),Reference!$A$6:$A$11,1))))),0))/($AL54*($AL54+5)/2)),$AN54))</f>
        <v>1</v>
      </c>
      <c r="AN54" s="32">
        <f>IF($U54="",0,(INDEX(Reference!$B$6:$B$11,MIN(5,MATCH(MAX(Reference!$A$6,MIN(Reference!$A$11,$U54)),Reference!$A$6:$A$11,1)))+(MAX(Reference!$A$6,MIN(Reference!$A$11,$U54))-INDEX(Reference!$A$6:$A$11,MIN(5,MATCH(MAX(Reference!$A$6,MIN(Reference!$A$11,$U54)),Reference!$A$6:$A$11,1))))*(INDEX(Reference!$B$6:$B$11,MIN(5,MATCH(MAX(Reference!$A$6,MIN(Reference!$A$11,$U54)),Reference!$A$6:$A$11,1))+1)-INDEX(Reference!$B$6:$B$11,MIN(5,MATCH(MAX(Reference!$A$6,MIN(Reference!$A$11,$U54)),Reference!$A$6:$A$11,1))))/(INDEX(Reference!$A$6:$A$11,MIN(5,MATCH(MAX(Reference!$A$6,MIN(Reference!$A$11,$U54)),Reference!$A$6:$A$11,1))+1)-INDEX(Reference!$A$6:$A$11,MIN(5,MATCH(MAX(Reference!$A$6,MIN(Reference!$A$11,$U54)),Reference!$A$6:$A$11,1))))))</f>
        <v>1</v>
      </c>
      <c r="AO54" s="37"/>
      <c r="AP54" s="37"/>
      <c r="AQ54" s="37"/>
    </row>
    <row r="55" spans="1:43" x14ac:dyDescent="0.3">
      <c r="A55" s="48">
        <f t="shared" si="5"/>
        <v>46319</v>
      </c>
      <c r="B55" s="32" t="str">
        <f t="shared" si="6"/>
        <v>Sat</v>
      </c>
      <c r="C55" s="32">
        <f t="shared" si="7"/>
        <v>72</v>
      </c>
      <c r="D55" s="32" t="str">
        <f t="shared" si="8"/>
        <v>Re-entry</v>
      </c>
      <c r="E55" s="32" t="str">
        <f t="shared" si="9"/>
        <v>Medium</v>
      </c>
      <c r="F55" s="32" t="str">
        <f t="shared" si="10"/>
        <v>Long Toss</v>
      </c>
      <c r="G55" s="47" t="str">
        <f t="shared" si="11"/>
        <v>90 ft × 30 @ 67–71 mph</v>
      </c>
      <c r="H55" s="30">
        <f t="shared" si="12"/>
        <v>23.400000000000002</v>
      </c>
      <c r="I55" s="46" t="str">
        <f>IF($A55="","",IF(AND($L55&lt;27,$K$12=0),"Building",IFERROR(((SUM($H$49:$H55)+$K$12*IF($L55&lt;6,SUMIFS('Throw Log'!$Q$5:$Q$300,'Throw Log'!$B$5:$B$300,$D$4,'Throw Log'!$A$5:$A$300,"&gt;="&amp;($D$6+$L55-6),'Throw Log'!$A$5:$A$300,"&lt;="&amp;($D$6-1)),0))/7)/((SUM($H$43:$H55)+$K$12*IF($L55&lt;27,SUMIFS('Throw Log'!$Q$5:$Q$300,'Throw Log'!$B$5:$B$300,$D$4,'Throw Log'!$A$5:$A$300,"&gt;="&amp;($D$6+$L55-27),'Throw Log'!$A$5:$A$300,"&lt;="&amp;($D$6-1)),0))/28),"")))</f>
        <v>Building</v>
      </c>
      <c r="J55" s="37"/>
      <c r="K55" s="37">
        <v>30</v>
      </c>
      <c r="L55" s="32">
        <v>12</v>
      </c>
      <c r="M55" s="32">
        <f t="shared" si="13"/>
        <v>2</v>
      </c>
      <c r="N55" s="32">
        <f t="shared" si="14"/>
        <v>5</v>
      </c>
      <c r="O55" s="32">
        <f t="shared" si="15"/>
        <v>0.15789473684210525</v>
      </c>
      <c r="P55" s="32">
        <f>IF(OR($A55="",N($C55)&lt;=7),"",$G$6*$G$9^($M55-1)*IF(AND(MOD($M55,Reference!$B$99)=0,$M55&lt;=$G$5-2),Reference!$B$100,1))</f>
        <v>90.007422064022563</v>
      </c>
      <c r="Q55" s="32">
        <f>IF($P55="","",IF(SUM($AK$50:$AK$56)=0,0,$P55*INDEX(Reference!$B$108:$B$114,$N55+1)/SUM($AK$50:$AK$56)))</f>
        <v>24.302003957286093</v>
      </c>
      <c r="R55" s="32">
        <f t="shared" si="16"/>
        <v>90</v>
      </c>
      <c r="S55" s="32">
        <f t="shared" si="17"/>
        <v>90</v>
      </c>
      <c r="T55" s="32" t="str">
        <f>IF($A55="","",IF($C55=0,"Bullpen",IF(OR($C55=7,$C55=1,$C55=5),"Recovery/Easy Catch",IF($C55=6,"Compression/Pulldowns",IF(OR($C55=4,$C55=2),"Long Toss",IF($C55=3,"No Throw",IF($N55=2,"No Throw",IF($N55=6,IF($O55&lt;Reference!$B$104,"No Throw","Recovery/Easy Catch"),IF(OR($N55=0,$N55=4),"Recovery/Easy Catch",IF($N55=1,IF($R55&gt;75,"Long Toss","Recovery/Easy Catch"),IF($N55=3,IF($O55&lt;0.5,IF($S55&gt;75,"Long Toss","Recovery/Easy Catch"),"Compression/Pulldowns"),IF($S55&gt;75,"Long Toss","Recovery/Easy Catch"))))))))))))</f>
        <v>Long Toss</v>
      </c>
      <c r="U55" s="32">
        <f t="shared" si="18"/>
        <v>90</v>
      </c>
      <c r="V55" s="32">
        <f t="shared" si="19"/>
        <v>18</v>
      </c>
      <c r="W55" s="32">
        <f t="shared" si="20"/>
        <v>22</v>
      </c>
      <c r="X55" s="32">
        <f t="shared" si="21"/>
        <v>0</v>
      </c>
      <c r="Y55" s="32" t="str">
        <f t="shared" si="22"/>
        <v/>
      </c>
      <c r="Z55" s="32" t="str">
        <f t="shared" si="23"/>
        <v/>
      </c>
      <c r="AA55" s="32" t="str">
        <f t="shared" si="24"/>
        <v/>
      </c>
      <c r="AB55" s="32">
        <f>IF($A55="","",IF($T55="No Throw",0,IF($K55&lt;&gt;"",$K55,IF($AA55&lt;&gt;"",ROUND($AA55*$D$12*IF($C55=0,1,$G$10),0),MIN(IF($T55="Recovery/Easy Catch",Reference!$B$103,IF($T55="Long Toss",Reference!$B$106,Reference!$B$102)),MAX(Reference!$B$101,ROUND(MAX(0,$Q55-$AE55)/$AF55,0)))))))</f>
        <v>30</v>
      </c>
      <c r="AC55" s="32">
        <f t="shared" si="25"/>
        <v>0</v>
      </c>
      <c r="AD55" s="32" t="b">
        <f t="shared" si="26"/>
        <v>0</v>
      </c>
      <c r="AE55" s="32">
        <f>IF($X55=0,0,$X55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55+$Z55)/2,0),Reference!$A$17:$B$20,2,TRUE()))</f>
        <v>0</v>
      </c>
      <c r="AF55" s="32">
        <f>IF(OR($A55="",$U55="",$T55="No Throw"),0,$AM55*VLOOKUP(MAX(($V55+$W55)/2,0),Reference!$A$17:$B$20,2,TRUE()))</f>
        <v>0.78</v>
      </c>
      <c r="AG55" s="32">
        <f>IF($AC55=0,0,$AC55*INDEX(Reference!$B$61:$B$62,MATCH("Bullpen",Reference!$A$61:$A$62,0))*VLOOKUP(MAX($D$5-($D$9+$E$9)/2,0),Reference!$A$17:$B$20,2,TRUE()))</f>
        <v>0</v>
      </c>
      <c r="AH55" s="32" t="e">
        <f t="shared" si="27"/>
        <v>#N/A</v>
      </c>
      <c r="AI55" s="32">
        <f>IF($A55="",NA(),Reference!$A$25)</f>
        <v>0.8</v>
      </c>
      <c r="AJ55" s="32">
        <f t="shared" si="28"/>
        <v>1.3</v>
      </c>
      <c r="AK55" s="56">
        <f>IF(OR($A55="",N($C55)&lt;=7,$T55="No Throw",$J55="x"),0,INDEX(Reference!$B$108:$B$114,$N55+1))</f>
        <v>0.27</v>
      </c>
      <c r="AL55" s="32">
        <f t="shared" si="29"/>
        <v>1</v>
      </c>
      <c r="AM55" s="32">
        <f>IF($U55="",0,IF($AL55&gt;1,((IF(1&lt;=$AL55,($AL55-1+3)*(INDEX(Reference!$B$6:$B$11,MIN(5,MATCH(MAX(Reference!$A$6,MIN(Reference!$A$11,MIN($U55,90))),Reference!$A$6:$A$11,1)))+(MAX(Reference!$A$6,MIN(Reference!$A$11,MIN($U55,90)))-INDEX(Reference!$A$6:$A$11,MIN(5,MATCH(MAX(Reference!$A$6,MIN(Reference!$A$11,MIN($U55,90))),Reference!$A$6:$A$11,1))))*(INDEX(Reference!$B$6:$B$11,MIN(5,MATCH(MAX(Reference!$A$6,MIN(Reference!$A$11,MIN($U55,90))),Reference!$A$6:$A$11,1))+1)-INDEX(Reference!$B$6:$B$11,MIN(5,MATCH(MAX(Reference!$A$6,MIN(Reference!$A$11,MIN($U55,90))),Reference!$A$6:$A$11,1))))/(INDEX(Reference!$A$6:$A$11,MIN(5,MATCH(MAX(Reference!$A$6,MIN(Reference!$A$11,MIN($U55,90))),Reference!$A$6:$A$11,1))+1)-INDEX(Reference!$A$6:$A$11,MIN(5,MATCH(MAX(Reference!$A$6,MIN(Reference!$A$11,MIN($U55,90))),Reference!$A$6:$A$11,1))))),0)+IF(2&lt;=$AL55,($AL55-2+3)*(INDEX(Reference!$B$6:$B$11,MIN(5,MATCH(MAX(Reference!$A$6,MIN(Reference!$A$11,MIN($U55,120))),Reference!$A$6:$A$11,1)))+(MAX(Reference!$A$6,MIN(Reference!$A$11,MIN($U55,120)))-INDEX(Reference!$A$6:$A$11,MIN(5,MATCH(MAX(Reference!$A$6,MIN(Reference!$A$11,MIN($U55,120))),Reference!$A$6:$A$11,1))))*(INDEX(Reference!$B$6:$B$11,MIN(5,MATCH(MAX(Reference!$A$6,MIN(Reference!$A$11,MIN($U55,120))),Reference!$A$6:$A$11,1))+1)-INDEX(Reference!$B$6:$B$11,MIN(5,MATCH(MAX(Reference!$A$6,MIN(Reference!$A$11,MIN($U55,120))),Reference!$A$6:$A$11,1))))/(INDEX(Reference!$A$6:$A$11,MIN(5,MATCH(MAX(Reference!$A$6,MIN(Reference!$A$11,MIN($U55,120))),Reference!$A$6:$A$11,1))+1)-INDEX(Reference!$A$6:$A$11,MIN(5,MATCH(MAX(Reference!$A$6,MIN(Reference!$A$11,MIN($U55,120))),Reference!$A$6:$A$11,1))))),0)+IF(3&lt;=$AL55,($AL55-3+3)*(INDEX(Reference!$B$6:$B$11,MIN(5,MATCH(MAX(Reference!$A$6,MIN(Reference!$A$11,MIN($U55,150))),Reference!$A$6:$A$11,1)))+(MAX(Reference!$A$6,MIN(Reference!$A$11,MIN($U55,150)))-INDEX(Reference!$A$6:$A$11,MIN(5,MATCH(MAX(Reference!$A$6,MIN(Reference!$A$11,MIN($U55,150))),Reference!$A$6:$A$11,1))))*(INDEX(Reference!$B$6:$B$11,MIN(5,MATCH(MAX(Reference!$A$6,MIN(Reference!$A$11,MIN($U55,150))),Reference!$A$6:$A$11,1))+1)-INDEX(Reference!$B$6:$B$11,MIN(5,MATCH(MAX(Reference!$A$6,MIN(Reference!$A$11,MIN($U55,150))),Reference!$A$6:$A$11,1))))/(INDEX(Reference!$A$6:$A$11,MIN(5,MATCH(MAX(Reference!$A$6,MIN(Reference!$A$11,MIN($U55,150))),Reference!$A$6:$A$11,1))+1)-INDEX(Reference!$A$6:$A$11,MIN(5,MATCH(MAX(Reference!$A$6,MIN(Reference!$A$11,MIN($U55,150))),Reference!$A$6:$A$11,1))))),0)+IF(4&lt;=$AL55,($AL55-4+3)*(INDEX(Reference!$B$6:$B$11,MIN(5,MATCH(MAX(Reference!$A$6,MIN(Reference!$A$11,MIN($U55,180))),Reference!$A$6:$A$11,1)))+(MAX(Reference!$A$6,MIN(Reference!$A$11,MIN($U55,180)))-INDEX(Reference!$A$6:$A$11,MIN(5,MATCH(MAX(Reference!$A$6,MIN(Reference!$A$11,MIN($U55,180))),Reference!$A$6:$A$11,1))))*(INDEX(Reference!$B$6:$B$11,MIN(5,MATCH(MAX(Reference!$A$6,MIN(Reference!$A$11,MIN($U55,180))),Reference!$A$6:$A$11,1))+1)-INDEX(Reference!$B$6:$B$11,MIN(5,MATCH(MAX(Reference!$A$6,MIN(Reference!$A$11,MIN($U55,180))),Reference!$A$6:$A$11,1))))/(INDEX(Reference!$A$6:$A$11,MIN(5,MATCH(MAX(Reference!$A$6,MIN(Reference!$A$11,MIN($U55,180))),Reference!$A$6:$A$11,1))+1)-INDEX(Reference!$A$6:$A$11,MIN(5,MATCH(MAX(Reference!$A$6,MIN(Reference!$A$11,MIN($U55,180))),Reference!$A$6:$A$11,1))))),0)+IF(5&lt;=$AL55,($AL55-5+3)*(INDEX(Reference!$B$6:$B$11,MIN(5,MATCH(MAX(Reference!$A$6,MIN(Reference!$A$11,MIN($U55,210))),Reference!$A$6:$A$11,1)))+(MAX(Reference!$A$6,MIN(Reference!$A$11,MIN($U55,210)))-INDEX(Reference!$A$6:$A$11,MIN(5,MATCH(MAX(Reference!$A$6,MIN(Reference!$A$11,MIN($U55,210))),Reference!$A$6:$A$11,1))))*(INDEX(Reference!$B$6:$B$11,MIN(5,MATCH(MAX(Reference!$A$6,MIN(Reference!$A$11,MIN($U55,210))),Reference!$A$6:$A$11,1))+1)-INDEX(Reference!$B$6:$B$11,MIN(5,MATCH(MAX(Reference!$A$6,MIN(Reference!$A$11,MIN($U55,210))),Reference!$A$6:$A$11,1))))/(INDEX(Reference!$A$6:$A$11,MIN(5,MATCH(MAX(Reference!$A$6,MIN(Reference!$A$11,MIN($U55,210))),Reference!$A$6:$A$11,1))+1)-INDEX(Reference!$A$6:$A$11,MIN(5,MATCH(MAX(Reference!$A$6,MIN(Reference!$A$11,MIN($U55,210))),Reference!$A$6:$A$11,1))))),0)+IF(6&lt;=$AL55,($AL55-6+3)*(INDEX(Reference!$B$6:$B$11,MIN(5,MATCH(MAX(Reference!$A$6,MIN(Reference!$A$11,MIN($U55,240))),Reference!$A$6:$A$11,1)))+(MAX(Reference!$A$6,MIN(Reference!$A$11,MIN($U55,240)))-INDEX(Reference!$A$6:$A$11,MIN(5,MATCH(MAX(Reference!$A$6,MIN(Reference!$A$11,MIN($U55,240))),Reference!$A$6:$A$11,1))))*(INDEX(Reference!$B$6:$B$11,MIN(5,MATCH(MAX(Reference!$A$6,MIN(Reference!$A$11,MIN($U55,240))),Reference!$A$6:$A$11,1))+1)-INDEX(Reference!$B$6:$B$11,MIN(5,MATCH(MAX(Reference!$A$6,MIN(Reference!$A$11,MIN($U55,240))),Reference!$A$6:$A$11,1))))/(INDEX(Reference!$A$6:$A$11,MIN(5,MATCH(MAX(Reference!$A$6,MIN(Reference!$A$11,MIN($U55,240))),Reference!$A$6:$A$11,1))+1)-INDEX(Reference!$A$6:$A$11,MIN(5,MATCH(MAX(Reference!$A$6,MIN(Reference!$A$11,MIN($U55,240))),Reference!$A$6:$A$11,1))))),0)+IF(7&lt;=$AL55,($AL55-7+3)*(INDEX(Reference!$B$6:$B$11,MIN(5,MATCH(MAX(Reference!$A$6,MIN(Reference!$A$11,MIN($U55,270))),Reference!$A$6:$A$11,1)))+(MAX(Reference!$A$6,MIN(Reference!$A$11,MIN($U55,270)))-INDEX(Reference!$A$6:$A$11,MIN(5,MATCH(MAX(Reference!$A$6,MIN(Reference!$A$11,MIN($U55,270))),Reference!$A$6:$A$11,1))))*(INDEX(Reference!$B$6:$B$11,MIN(5,MATCH(MAX(Reference!$A$6,MIN(Reference!$A$11,MIN($U55,270))),Reference!$A$6:$A$11,1))+1)-INDEX(Reference!$B$6:$B$11,MIN(5,MATCH(MAX(Reference!$A$6,MIN(Reference!$A$11,MIN($U55,270))),Reference!$A$6:$A$11,1))))/(INDEX(Reference!$A$6:$A$11,MIN(5,MATCH(MAX(Reference!$A$6,MIN(Reference!$A$11,MIN($U55,270))),Reference!$A$6:$A$11,1))+1)-INDEX(Reference!$A$6:$A$11,MIN(5,MATCH(MAX(Reference!$A$6,MIN(Reference!$A$11,MIN($U55,270))),Reference!$A$6:$A$11,1))))),0)+IF(8&lt;=$AL55,($AL55-8+3)*(INDEX(Reference!$B$6:$B$11,MIN(5,MATCH(MAX(Reference!$A$6,MIN(Reference!$A$11,MIN($U55,300))),Reference!$A$6:$A$11,1)))+(MAX(Reference!$A$6,MIN(Reference!$A$11,MIN($U55,300)))-INDEX(Reference!$A$6:$A$11,MIN(5,MATCH(MAX(Reference!$A$6,MIN(Reference!$A$11,MIN($U55,300))),Reference!$A$6:$A$11,1))))*(INDEX(Reference!$B$6:$B$11,MIN(5,MATCH(MAX(Reference!$A$6,MIN(Reference!$A$11,MIN($U55,300))),Reference!$A$6:$A$11,1))+1)-INDEX(Reference!$B$6:$B$11,MIN(5,MATCH(MAX(Reference!$A$6,MIN(Reference!$A$11,MIN($U55,300))),Reference!$A$6:$A$11,1))))/(INDEX(Reference!$A$6:$A$11,MIN(5,MATCH(MAX(Reference!$A$6,MIN(Reference!$A$11,MIN($U55,300))),Reference!$A$6:$A$11,1))+1)-INDEX(Reference!$A$6:$A$11,MIN(5,MATCH(MAX(Reference!$A$6,MIN(Reference!$A$11,MIN($U55,300))),Reference!$A$6:$A$11,1))))),0))/($AL55*($AL55+5)/2)),$AN55))</f>
        <v>1.3</v>
      </c>
      <c r="AN55" s="32">
        <f>IF($U55="",0,(INDEX(Reference!$B$6:$B$11,MIN(5,MATCH(MAX(Reference!$A$6,MIN(Reference!$A$11,$U55)),Reference!$A$6:$A$11,1)))+(MAX(Reference!$A$6,MIN(Reference!$A$11,$U55))-INDEX(Reference!$A$6:$A$11,MIN(5,MATCH(MAX(Reference!$A$6,MIN(Reference!$A$11,$U55)),Reference!$A$6:$A$11,1))))*(INDEX(Reference!$B$6:$B$11,MIN(5,MATCH(MAX(Reference!$A$6,MIN(Reference!$A$11,$U55)),Reference!$A$6:$A$11,1))+1)-INDEX(Reference!$B$6:$B$11,MIN(5,MATCH(MAX(Reference!$A$6,MIN(Reference!$A$11,$U55)),Reference!$A$6:$A$11,1))))/(INDEX(Reference!$A$6:$A$11,MIN(5,MATCH(MAX(Reference!$A$6,MIN(Reference!$A$11,$U55)),Reference!$A$6:$A$11,1))+1)-INDEX(Reference!$A$6:$A$11,MIN(5,MATCH(MAX(Reference!$A$6,MIN(Reference!$A$11,$U55)),Reference!$A$6:$A$11,1))))))</f>
        <v>1.3</v>
      </c>
      <c r="AO55" s="37"/>
      <c r="AP55" s="37"/>
      <c r="AQ55" s="37"/>
    </row>
    <row r="56" spans="1:43" x14ac:dyDescent="0.3">
      <c r="A56" s="48">
        <f t="shared" si="5"/>
        <v>46320</v>
      </c>
      <c r="B56" s="32" t="str">
        <f t="shared" si="6"/>
        <v>Sun</v>
      </c>
      <c r="C56" s="32">
        <f t="shared" si="7"/>
        <v>71</v>
      </c>
      <c r="D56" s="32" t="str">
        <f t="shared" si="8"/>
        <v>Re-entry</v>
      </c>
      <c r="E56" s="32" t="str">
        <f t="shared" si="9"/>
        <v>No Throw</v>
      </c>
      <c r="F56" s="32" t="str">
        <f t="shared" si="10"/>
        <v>No Throw</v>
      </c>
      <c r="G56" s="47" t="str">
        <f t="shared" si="11"/>
        <v>Off</v>
      </c>
      <c r="H56" s="30">
        <f t="shared" si="12"/>
        <v>0</v>
      </c>
      <c r="I56" s="46" t="str">
        <f>IF($A56="","",IF(AND($L56&lt;27,$K$12=0),"Building",IFERROR(((SUM($H$50:$H56)+$K$12*IF($L56&lt;6,SUMIFS('Throw Log'!$Q$5:$Q$300,'Throw Log'!$B$5:$B$300,$D$4,'Throw Log'!$A$5:$A$300,"&gt;="&amp;($D$6+$L56-6),'Throw Log'!$A$5:$A$300,"&lt;="&amp;($D$6-1)),0))/7)/((SUM($H$43:$H56)+$K$12*IF($L56&lt;27,SUMIFS('Throw Log'!$Q$5:$Q$300,'Throw Log'!$B$5:$B$300,$D$4,'Throw Log'!$A$5:$A$300,"&gt;="&amp;($D$6+$L56-27),'Throw Log'!$A$5:$A$300,"&lt;="&amp;($D$6-1)),0))/28),"")))</f>
        <v>Building</v>
      </c>
      <c r="J56" s="37"/>
      <c r="K56" s="37"/>
      <c r="L56" s="32">
        <v>13</v>
      </c>
      <c r="M56" s="32">
        <f t="shared" si="13"/>
        <v>2</v>
      </c>
      <c r="N56" s="32">
        <f t="shared" si="14"/>
        <v>6</v>
      </c>
      <c r="O56" s="32">
        <f t="shared" si="15"/>
        <v>0.17105263157894737</v>
      </c>
      <c r="P56" s="32">
        <f>IF(OR($A56="",N($C56)&lt;=7),"",$G$6*$G$9^($M56-1)*IF(AND(MOD($M56,Reference!$B$99)=0,$M56&lt;=$G$5-2),Reference!$B$100,1))</f>
        <v>90.007422064022563</v>
      </c>
      <c r="Q56" s="32">
        <f>IF($P56="","",IF(SUM($AK$50:$AK$56)=0,0,$P56*INDEX(Reference!$B$108:$B$114,$N56+1)/SUM($AK$50:$AK$56)))</f>
        <v>6.3005195444815802</v>
      </c>
      <c r="R56" s="32">
        <f t="shared" si="16"/>
        <v>90</v>
      </c>
      <c r="S56" s="32">
        <f t="shared" si="17"/>
        <v>90</v>
      </c>
      <c r="T56" s="32" t="str">
        <f>IF($A56="","",IF($C56=0,"Bullpen",IF(OR($C56=7,$C56=1,$C56=5),"Recovery/Easy Catch",IF($C56=6,"Compression/Pulldowns",IF(OR($C56=4,$C56=2),"Long Toss",IF($C56=3,"No Throw",IF($N56=2,"No Throw",IF($N56=6,IF($O56&lt;Reference!$B$104,"No Throw","Recovery/Easy Catch"),IF(OR($N56=0,$N56=4),"Recovery/Easy Catch",IF($N56=1,IF($R56&gt;75,"Long Toss","Recovery/Easy Catch"),IF($N56=3,IF($O56&lt;0.5,IF($S56&gt;75,"Long Toss","Recovery/Easy Catch"),"Compression/Pulldowns"),IF($S56&gt;75,"Long Toss","Recovery/Easy Catch"))))))))))))</f>
        <v>No Throw</v>
      </c>
      <c r="U56" s="32">
        <f t="shared" si="18"/>
        <v>60</v>
      </c>
      <c r="V56" s="32">
        <f t="shared" si="19"/>
        <v>20</v>
      </c>
      <c r="W56" s="32">
        <f t="shared" si="20"/>
        <v>24</v>
      </c>
      <c r="X56" s="32">
        <f t="shared" si="21"/>
        <v>0</v>
      </c>
      <c r="Y56" s="32" t="str">
        <f t="shared" si="22"/>
        <v/>
      </c>
      <c r="Z56" s="32" t="str">
        <f t="shared" si="23"/>
        <v/>
      </c>
      <c r="AA56" s="32" t="str">
        <f t="shared" si="24"/>
        <v/>
      </c>
      <c r="AB56" s="32">
        <f>IF($A56="","",IF($T56="No Throw",0,IF($K56&lt;&gt;"",$K56,IF($AA56&lt;&gt;"",ROUND($AA56*$D$12*IF($C56=0,1,$G$10),0),MIN(IF($T56="Recovery/Easy Catch",Reference!$B$103,IF($T56="Long Toss",Reference!$B$106,Reference!$B$102)),MAX(Reference!$B$101,ROUND(MAX(0,$Q56-$AE56)/$AF56,0)))))))</f>
        <v>0</v>
      </c>
      <c r="AC56" s="32">
        <f t="shared" si="25"/>
        <v>0</v>
      </c>
      <c r="AD56" s="32" t="b">
        <f t="shared" si="26"/>
        <v>1</v>
      </c>
      <c r="AE56" s="32">
        <f>IF($X56=0,0,$X56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56+$Z56)/2,0),Reference!$A$17:$B$20,2,TRUE()))</f>
        <v>0</v>
      </c>
      <c r="AF56" s="32">
        <f>IF(OR($A56="",$U56="",$T56="No Throw"),0,$AM56*VLOOKUP(MAX(($V56+$W56)/2,0),Reference!$A$17:$B$20,2,TRUE()))</f>
        <v>0</v>
      </c>
      <c r="AG56" s="32">
        <f>IF($AC56=0,0,$AC56*INDEX(Reference!$B$61:$B$62,MATCH("Bullpen",Reference!$A$61:$A$62,0))*VLOOKUP(MAX($D$5-($D$9+$E$9)/2,0),Reference!$A$17:$B$20,2,TRUE()))</f>
        <v>0</v>
      </c>
      <c r="AH56" s="32" t="e">
        <f t="shared" si="27"/>
        <v>#N/A</v>
      </c>
      <c r="AI56" s="32">
        <f>IF($A56="",NA(),Reference!$A$25)</f>
        <v>0.8</v>
      </c>
      <c r="AJ56" s="32">
        <f t="shared" si="28"/>
        <v>1.3</v>
      </c>
      <c r="AK56" s="32">
        <f>IF(OR($A56="",N($C56)&lt;=7,$T56="No Throw",$J56="x"),0,INDEX(Reference!$B$108:$B$114,$N56+1))</f>
        <v>0</v>
      </c>
      <c r="AL56" s="32">
        <f t="shared" si="29"/>
        <v>1</v>
      </c>
      <c r="AM56" s="32">
        <f>IF($U56="",0,IF($AL56&gt;1,((IF(1&lt;=$AL56,($AL56-1+3)*(INDEX(Reference!$B$6:$B$11,MIN(5,MATCH(MAX(Reference!$A$6,MIN(Reference!$A$11,MIN($U56,90))),Reference!$A$6:$A$11,1)))+(MAX(Reference!$A$6,MIN(Reference!$A$11,MIN($U56,90)))-INDEX(Reference!$A$6:$A$11,MIN(5,MATCH(MAX(Reference!$A$6,MIN(Reference!$A$11,MIN($U56,90))),Reference!$A$6:$A$11,1))))*(INDEX(Reference!$B$6:$B$11,MIN(5,MATCH(MAX(Reference!$A$6,MIN(Reference!$A$11,MIN($U56,90))),Reference!$A$6:$A$11,1))+1)-INDEX(Reference!$B$6:$B$11,MIN(5,MATCH(MAX(Reference!$A$6,MIN(Reference!$A$11,MIN($U56,90))),Reference!$A$6:$A$11,1))))/(INDEX(Reference!$A$6:$A$11,MIN(5,MATCH(MAX(Reference!$A$6,MIN(Reference!$A$11,MIN($U56,90))),Reference!$A$6:$A$11,1))+1)-INDEX(Reference!$A$6:$A$11,MIN(5,MATCH(MAX(Reference!$A$6,MIN(Reference!$A$11,MIN($U56,90))),Reference!$A$6:$A$11,1))))),0)+IF(2&lt;=$AL56,($AL56-2+3)*(INDEX(Reference!$B$6:$B$11,MIN(5,MATCH(MAX(Reference!$A$6,MIN(Reference!$A$11,MIN($U56,120))),Reference!$A$6:$A$11,1)))+(MAX(Reference!$A$6,MIN(Reference!$A$11,MIN($U56,120)))-INDEX(Reference!$A$6:$A$11,MIN(5,MATCH(MAX(Reference!$A$6,MIN(Reference!$A$11,MIN($U56,120))),Reference!$A$6:$A$11,1))))*(INDEX(Reference!$B$6:$B$11,MIN(5,MATCH(MAX(Reference!$A$6,MIN(Reference!$A$11,MIN($U56,120))),Reference!$A$6:$A$11,1))+1)-INDEX(Reference!$B$6:$B$11,MIN(5,MATCH(MAX(Reference!$A$6,MIN(Reference!$A$11,MIN($U56,120))),Reference!$A$6:$A$11,1))))/(INDEX(Reference!$A$6:$A$11,MIN(5,MATCH(MAX(Reference!$A$6,MIN(Reference!$A$11,MIN($U56,120))),Reference!$A$6:$A$11,1))+1)-INDEX(Reference!$A$6:$A$11,MIN(5,MATCH(MAX(Reference!$A$6,MIN(Reference!$A$11,MIN($U56,120))),Reference!$A$6:$A$11,1))))),0)+IF(3&lt;=$AL56,($AL56-3+3)*(INDEX(Reference!$B$6:$B$11,MIN(5,MATCH(MAX(Reference!$A$6,MIN(Reference!$A$11,MIN($U56,150))),Reference!$A$6:$A$11,1)))+(MAX(Reference!$A$6,MIN(Reference!$A$11,MIN($U56,150)))-INDEX(Reference!$A$6:$A$11,MIN(5,MATCH(MAX(Reference!$A$6,MIN(Reference!$A$11,MIN($U56,150))),Reference!$A$6:$A$11,1))))*(INDEX(Reference!$B$6:$B$11,MIN(5,MATCH(MAX(Reference!$A$6,MIN(Reference!$A$11,MIN($U56,150))),Reference!$A$6:$A$11,1))+1)-INDEX(Reference!$B$6:$B$11,MIN(5,MATCH(MAX(Reference!$A$6,MIN(Reference!$A$11,MIN($U56,150))),Reference!$A$6:$A$11,1))))/(INDEX(Reference!$A$6:$A$11,MIN(5,MATCH(MAX(Reference!$A$6,MIN(Reference!$A$11,MIN($U56,150))),Reference!$A$6:$A$11,1))+1)-INDEX(Reference!$A$6:$A$11,MIN(5,MATCH(MAX(Reference!$A$6,MIN(Reference!$A$11,MIN($U56,150))),Reference!$A$6:$A$11,1))))),0)+IF(4&lt;=$AL56,($AL56-4+3)*(INDEX(Reference!$B$6:$B$11,MIN(5,MATCH(MAX(Reference!$A$6,MIN(Reference!$A$11,MIN($U56,180))),Reference!$A$6:$A$11,1)))+(MAX(Reference!$A$6,MIN(Reference!$A$11,MIN($U56,180)))-INDEX(Reference!$A$6:$A$11,MIN(5,MATCH(MAX(Reference!$A$6,MIN(Reference!$A$11,MIN($U56,180))),Reference!$A$6:$A$11,1))))*(INDEX(Reference!$B$6:$B$11,MIN(5,MATCH(MAX(Reference!$A$6,MIN(Reference!$A$11,MIN($U56,180))),Reference!$A$6:$A$11,1))+1)-INDEX(Reference!$B$6:$B$11,MIN(5,MATCH(MAX(Reference!$A$6,MIN(Reference!$A$11,MIN($U56,180))),Reference!$A$6:$A$11,1))))/(INDEX(Reference!$A$6:$A$11,MIN(5,MATCH(MAX(Reference!$A$6,MIN(Reference!$A$11,MIN($U56,180))),Reference!$A$6:$A$11,1))+1)-INDEX(Reference!$A$6:$A$11,MIN(5,MATCH(MAX(Reference!$A$6,MIN(Reference!$A$11,MIN($U56,180))),Reference!$A$6:$A$11,1))))),0)+IF(5&lt;=$AL56,($AL56-5+3)*(INDEX(Reference!$B$6:$B$11,MIN(5,MATCH(MAX(Reference!$A$6,MIN(Reference!$A$11,MIN($U56,210))),Reference!$A$6:$A$11,1)))+(MAX(Reference!$A$6,MIN(Reference!$A$11,MIN($U56,210)))-INDEX(Reference!$A$6:$A$11,MIN(5,MATCH(MAX(Reference!$A$6,MIN(Reference!$A$11,MIN($U56,210))),Reference!$A$6:$A$11,1))))*(INDEX(Reference!$B$6:$B$11,MIN(5,MATCH(MAX(Reference!$A$6,MIN(Reference!$A$11,MIN($U56,210))),Reference!$A$6:$A$11,1))+1)-INDEX(Reference!$B$6:$B$11,MIN(5,MATCH(MAX(Reference!$A$6,MIN(Reference!$A$11,MIN($U56,210))),Reference!$A$6:$A$11,1))))/(INDEX(Reference!$A$6:$A$11,MIN(5,MATCH(MAX(Reference!$A$6,MIN(Reference!$A$11,MIN($U56,210))),Reference!$A$6:$A$11,1))+1)-INDEX(Reference!$A$6:$A$11,MIN(5,MATCH(MAX(Reference!$A$6,MIN(Reference!$A$11,MIN($U56,210))),Reference!$A$6:$A$11,1))))),0)+IF(6&lt;=$AL56,($AL56-6+3)*(INDEX(Reference!$B$6:$B$11,MIN(5,MATCH(MAX(Reference!$A$6,MIN(Reference!$A$11,MIN($U56,240))),Reference!$A$6:$A$11,1)))+(MAX(Reference!$A$6,MIN(Reference!$A$11,MIN($U56,240)))-INDEX(Reference!$A$6:$A$11,MIN(5,MATCH(MAX(Reference!$A$6,MIN(Reference!$A$11,MIN($U56,240))),Reference!$A$6:$A$11,1))))*(INDEX(Reference!$B$6:$B$11,MIN(5,MATCH(MAX(Reference!$A$6,MIN(Reference!$A$11,MIN($U56,240))),Reference!$A$6:$A$11,1))+1)-INDEX(Reference!$B$6:$B$11,MIN(5,MATCH(MAX(Reference!$A$6,MIN(Reference!$A$11,MIN($U56,240))),Reference!$A$6:$A$11,1))))/(INDEX(Reference!$A$6:$A$11,MIN(5,MATCH(MAX(Reference!$A$6,MIN(Reference!$A$11,MIN($U56,240))),Reference!$A$6:$A$11,1))+1)-INDEX(Reference!$A$6:$A$11,MIN(5,MATCH(MAX(Reference!$A$6,MIN(Reference!$A$11,MIN($U56,240))),Reference!$A$6:$A$11,1))))),0)+IF(7&lt;=$AL56,($AL56-7+3)*(INDEX(Reference!$B$6:$B$11,MIN(5,MATCH(MAX(Reference!$A$6,MIN(Reference!$A$11,MIN($U56,270))),Reference!$A$6:$A$11,1)))+(MAX(Reference!$A$6,MIN(Reference!$A$11,MIN($U56,270)))-INDEX(Reference!$A$6:$A$11,MIN(5,MATCH(MAX(Reference!$A$6,MIN(Reference!$A$11,MIN($U56,270))),Reference!$A$6:$A$11,1))))*(INDEX(Reference!$B$6:$B$11,MIN(5,MATCH(MAX(Reference!$A$6,MIN(Reference!$A$11,MIN($U56,270))),Reference!$A$6:$A$11,1))+1)-INDEX(Reference!$B$6:$B$11,MIN(5,MATCH(MAX(Reference!$A$6,MIN(Reference!$A$11,MIN($U56,270))),Reference!$A$6:$A$11,1))))/(INDEX(Reference!$A$6:$A$11,MIN(5,MATCH(MAX(Reference!$A$6,MIN(Reference!$A$11,MIN($U56,270))),Reference!$A$6:$A$11,1))+1)-INDEX(Reference!$A$6:$A$11,MIN(5,MATCH(MAX(Reference!$A$6,MIN(Reference!$A$11,MIN($U56,270))),Reference!$A$6:$A$11,1))))),0)+IF(8&lt;=$AL56,($AL56-8+3)*(INDEX(Reference!$B$6:$B$11,MIN(5,MATCH(MAX(Reference!$A$6,MIN(Reference!$A$11,MIN($U56,300))),Reference!$A$6:$A$11,1)))+(MAX(Reference!$A$6,MIN(Reference!$A$11,MIN($U56,300)))-INDEX(Reference!$A$6:$A$11,MIN(5,MATCH(MAX(Reference!$A$6,MIN(Reference!$A$11,MIN($U56,300))),Reference!$A$6:$A$11,1))))*(INDEX(Reference!$B$6:$B$11,MIN(5,MATCH(MAX(Reference!$A$6,MIN(Reference!$A$11,MIN($U56,300))),Reference!$A$6:$A$11,1))+1)-INDEX(Reference!$B$6:$B$11,MIN(5,MATCH(MAX(Reference!$A$6,MIN(Reference!$A$11,MIN($U56,300))),Reference!$A$6:$A$11,1))))/(INDEX(Reference!$A$6:$A$11,MIN(5,MATCH(MAX(Reference!$A$6,MIN(Reference!$A$11,MIN($U56,300))),Reference!$A$6:$A$11,1))+1)-INDEX(Reference!$A$6:$A$11,MIN(5,MATCH(MAX(Reference!$A$6,MIN(Reference!$A$11,MIN($U56,300))),Reference!$A$6:$A$11,1))))),0))/($AL56*($AL56+5)/2)),$AN56))</f>
        <v>1</v>
      </c>
      <c r="AN56" s="32">
        <f>IF($U56="",0,(INDEX(Reference!$B$6:$B$11,MIN(5,MATCH(MAX(Reference!$A$6,MIN(Reference!$A$11,$U56)),Reference!$A$6:$A$11,1)))+(MAX(Reference!$A$6,MIN(Reference!$A$11,$U56))-INDEX(Reference!$A$6:$A$11,MIN(5,MATCH(MAX(Reference!$A$6,MIN(Reference!$A$11,$U56)),Reference!$A$6:$A$11,1))))*(INDEX(Reference!$B$6:$B$11,MIN(5,MATCH(MAX(Reference!$A$6,MIN(Reference!$A$11,$U56)),Reference!$A$6:$A$11,1))+1)-INDEX(Reference!$B$6:$B$11,MIN(5,MATCH(MAX(Reference!$A$6,MIN(Reference!$A$11,$U56)),Reference!$A$6:$A$11,1))))/(INDEX(Reference!$A$6:$A$11,MIN(5,MATCH(MAX(Reference!$A$6,MIN(Reference!$A$11,$U56)),Reference!$A$6:$A$11,1))+1)-INDEX(Reference!$A$6:$A$11,MIN(5,MATCH(MAX(Reference!$A$6,MIN(Reference!$A$11,$U56)),Reference!$A$6:$A$11,1))))))</f>
        <v>1</v>
      </c>
      <c r="AO56" s="37"/>
      <c r="AP56" s="37"/>
      <c r="AQ56" s="37"/>
    </row>
    <row r="57" spans="1:43" x14ac:dyDescent="0.3">
      <c r="A57" s="48">
        <f t="shared" si="5"/>
        <v>46321</v>
      </c>
      <c r="B57" s="32" t="str">
        <f t="shared" si="6"/>
        <v>Mon</v>
      </c>
      <c r="C57" s="32">
        <f t="shared" si="7"/>
        <v>70</v>
      </c>
      <c r="D57" s="32" t="str">
        <f t="shared" si="8"/>
        <v>Re-entry</v>
      </c>
      <c r="E57" s="32" t="str">
        <f t="shared" si="9"/>
        <v>Low</v>
      </c>
      <c r="F57" s="32" t="str">
        <f t="shared" si="10"/>
        <v>Recovery/Easy Catch</v>
      </c>
      <c r="G57" s="47" t="str">
        <f t="shared" si="11"/>
        <v>60 ft × 20 @ 65–69 mph</v>
      </c>
      <c r="H57" s="30">
        <f t="shared" si="12"/>
        <v>12</v>
      </c>
      <c r="I57" s="46" t="str">
        <f>IF($A57="","",IF(AND($L57&lt;27,$K$12=0),"Building",IFERROR(((SUM($H$51:$H57)+$K$12*IF($L57&lt;6,SUMIFS('Throw Log'!$Q$5:$Q$300,'Throw Log'!$B$5:$B$300,$D$4,'Throw Log'!$A$5:$A$300,"&gt;="&amp;($D$6+$L57-6),'Throw Log'!$A$5:$A$300,"&lt;="&amp;($D$6-1)),0))/7)/((SUM($H$43:$H57)+$K$12*IF($L57&lt;27,SUMIFS('Throw Log'!$Q$5:$Q$300,'Throw Log'!$B$5:$B$300,$D$4,'Throw Log'!$A$5:$A$300,"&gt;="&amp;($D$6+$L57-27),'Throw Log'!$A$5:$A$300,"&lt;="&amp;($D$6-1)),0))/28),"")))</f>
        <v>Building</v>
      </c>
      <c r="J57" s="37"/>
      <c r="K57" s="37"/>
      <c r="L57" s="32">
        <v>14</v>
      </c>
      <c r="M57" s="32">
        <f t="shared" si="13"/>
        <v>3</v>
      </c>
      <c r="N57" s="32">
        <f t="shared" si="14"/>
        <v>0</v>
      </c>
      <c r="O57" s="32">
        <f t="shared" si="15"/>
        <v>0.18421052631578946</v>
      </c>
      <c r="P57" s="32">
        <f>IF(OR($A57="",N($C57)&lt;=7),"",$G$6*$G$9^($M57-1)*IF(AND(MOD($M57,Reference!$B$99)=0,$M57&lt;=$G$5-2),Reference!$B$100,1))</f>
        <v>101.26670033263869</v>
      </c>
      <c r="Q57" s="32">
        <f>IF($P57="","",IF(SUM($AK$57:$AK$63)=0,0,$P57*INDEX(Reference!$B$108:$B$114,$N57+1)/SUM($AK$57:$AK$63)))</f>
        <v>12.152004039916642</v>
      </c>
      <c r="R57" s="32">
        <f t="shared" si="16"/>
        <v>90</v>
      </c>
      <c r="S57" s="32">
        <f t="shared" si="17"/>
        <v>90</v>
      </c>
      <c r="T57" s="32" t="str">
        <f>IF($A57="","",IF($C57=0,"Bullpen",IF(OR($C57=7,$C57=1,$C57=5),"Recovery/Easy Catch",IF($C57=6,"Compression/Pulldowns",IF(OR($C57=4,$C57=2),"Long Toss",IF($C57=3,"No Throw",IF($N57=2,"No Throw",IF($N57=6,IF($O57&lt;Reference!$B$104,"No Throw","Recovery/Easy Catch"),IF(OR($N57=0,$N57=4),"Recovery/Easy Catch",IF($N57=1,IF($R57&gt;75,"Long Toss","Recovery/Easy Catch"),IF($N57=3,IF($O57&lt;0.5,IF($S57&gt;75,"Long Toss","Recovery/Easy Catch"),"Compression/Pulldowns"),IF($S57&gt;75,"Long Toss","Recovery/Easy Catch"))))))))))))</f>
        <v>Recovery/Easy Catch</v>
      </c>
      <c r="U57" s="32">
        <f t="shared" si="18"/>
        <v>60</v>
      </c>
      <c r="V57" s="32">
        <f t="shared" si="19"/>
        <v>20</v>
      </c>
      <c r="W57" s="32">
        <f t="shared" si="20"/>
        <v>24</v>
      </c>
      <c r="X57" s="32">
        <f t="shared" si="21"/>
        <v>0</v>
      </c>
      <c r="Y57" s="32" t="str">
        <f t="shared" si="22"/>
        <v/>
      </c>
      <c r="Z57" s="32" t="str">
        <f t="shared" si="23"/>
        <v/>
      </c>
      <c r="AA57" s="32" t="str">
        <f t="shared" si="24"/>
        <v/>
      </c>
      <c r="AB57" s="32">
        <f>IF($A57="","",IF($T57="No Throw",0,IF($K57&lt;&gt;"",$K57,IF($AA57&lt;&gt;"",ROUND($AA57*$D$12*IF($C57=0,1,$G$10),0),MIN(IF($T57="Recovery/Easy Catch",Reference!$B$103,IF($T57="Long Toss",Reference!$B$106,Reference!$B$102)),MAX(Reference!$B$101,ROUND(MAX(0,$Q57-$AE57)/$AF57,0)))))))</f>
        <v>20</v>
      </c>
      <c r="AC57" s="32">
        <f t="shared" si="25"/>
        <v>0</v>
      </c>
      <c r="AD57" s="32" t="b">
        <f t="shared" si="26"/>
        <v>0</v>
      </c>
      <c r="AE57" s="32">
        <f>IF($X57=0,0,$X57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57+$Z57)/2,0),Reference!$A$17:$B$20,2,TRUE()))</f>
        <v>0</v>
      </c>
      <c r="AF57" s="32">
        <f>IF(OR($A57="",$U57="",$T57="No Throw"),0,$AM57*VLOOKUP(MAX(($V57+$W57)/2,0),Reference!$A$17:$B$20,2,TRUE()))</f>
        <v>0.6</v>
      </c>
      <c r="AG57" s="32">
        <f>IF($AC57=0,0,$AC57*INDEX(Reference!$B$61:$B$62,MATCH("Bullpen",Reference!$A$61:$A$62,0))*VLOOKUP(MAX($D$5-($D$9+$E$9)/2,0),Reference!$A$17:$B$20,2,TRUE()))</f>
        <v>0</v>
      </c>
      <c r="AH57" s="32" t="e">
        <f t="shared" si="27"/>
        <v>#N/A</v>
      </c>
      <c r="AI57" s="32">
        <f>IF($A57="",NA(),Reference!$A$25)</f>
        <v>0.8</v>
      </c>
      <c r="AJ57" s="32">
        <f t="shared" si="28"/>
        <v>1.3</v>
      </c>
      <c r="AK57" s="56">
        <f>IF(OR($A57="",N($C57)&lt;=7,$T57="No Throw",$J57="x"),0,INDEX(Reference!$B$108:$B$114,$N57+1))</f>
        <v>0.12</v>
      </c>
      <c r="AL57" s="32">
        <f t="shared" si="29"/>
        <v>1</v>
      </c>
      <c r="AM57" s="32">
        <f>IF($U57="",0,IF($AL57&gt;1,((IF(1&lt;=$AL57,($AL57-1+3)*(INDEX(Reference!$B$6:$B$11,MIN(5,MATCH(MAX(Reference!$A$6,MIN(Reference!$A$11,MIN($U57,90))),Reference!$A$6:$A$11,1)))+(MAX(Reference!$A$6,MIN(Reference!$A$11,MIN($U57,90)))-INDEX(Reference!$A$6:$A$11,MIN(5,MATCH(MAX(Reference!$A$6,MIN(Reference!$A$11,MIN($U57,90))),Reference!$A$6:$A$11,1))))*(INDEX(Reference!$B$6:$B$11,MIN(5,MATCH(MAX(Reference!$A$6,MIN(Reference!$A$11,MIN($U57,90))),Reference!$A$6:$A$11,1))+1)-INDEX(Reference!$B$6:$B$11,MIN(5,MATCH(MAX(Reference!$A$6,MIN(Reference!$A$11,MIN($U57,90))),Reference!$A$6:$A$11,1))))/(INDEX(Reference!$A$6:$A$11,MIN(5,MATCH(MAX(Reference!$A$6,MIN(Reference!$A$11,MIN($U57,90))),Reference!$A$6:$A$11,1))+1)-INDEX(Reference!$A$6:$A$11,MIN(5,MATCH(MAX(Reference!$A$6,MIN(Reference!$A$11,MIN($U57,90))),Reference!$A$6:$A$11,1))))),0)+IF(2&lt;=$AL57,($AL57-2+3)*(INDEX(Reference!$B$6:$B$11,MIN(5,MATCH(MAX(Reference!$A$6,MIN(Reference!$A$11,MIN($U57,120))),Reference!$A$6:$A$11,1)))+(MAX(Reference!$A$6,MIN(Reference!$A$11,MIN($U57,120)))-INDEX(Reference!$A$6:$A$11,MIN(5,MATCH(MAX(Reference!$A$6,MIN(Reference!$A$11,MIN($U57,120))),Reference!$A$6:$A$11,1))))*(INDEX(Reference!$B$6:$B$11,MIN(5,MATCH(MAX(Reference!$A$6,MIN(Reference!$A$11,MIN($U57,120))),Reference!$A$6:$A$11,1))+1)-INDEX(Reference!$B$6:$B$11,MIN(5,MATCH(MAX(Reference!$A$6,MIN(Reference!$A$11,MIN($U57,120))),Reference!$A$6:$A$11,1))))/(INDEX(Reference!$A$6:$A$11,MIN(5,MATCH(MAX(Reference!$A$6,MIN(Reference!$A$11,MIN($U57,120))),Reference!$A$6:$A$11,1))+1)-INDEX(Reference!$A$6:$A$11,MIN(5,MATCH(MAX(Reference!$A$6,MIN(Reference!$A$11,MIN($U57,120))),Reference!$A$6:$A$11,1))))),0)+IF(3&lt;=$AL57,($AL57-3+3)*(INDEX(Reference!$B$6:$B$11,MIN(5,MATCH(MAX(Reference!$A$6,MIN(Reference!$A$11,MIN($U57,150))),Reference!$A$6:$A$11,1)))+(MAX(Reference!$A$6,MIN(Reference!$A$11,MIN($U57,150)))-INDEX(Reference!$A$6:$A$11,MIN(5,MATCH(MAX(Reference!$A$6,MIN(Reference!$A$11,MIN($U57,150))),Reference!$A$6:$A$11,1))))*(INDEX(Reference!$B$6:$B$11,MIN(5,MATCH(MAX(Reference!$A$6,MIN(Reference!$A$11,MIN($U57,150))),Reference!$A$6:$A$11,1))+1)-INDEX(Reference!$B$6:$B$11,MIN(5,MATCH(MAX(Reference!$A$6,MIN(Reference!$A$11,MIN($U57,150))),Reference!$A$6:$A$11,1))))/(INDEX(Reference!$A$6:$A$11,MIN(5,MATCH(MAX(Reference!$A$6,MIN(Reference!$A$11,MIN($U57,150))),Reference!$A$6:$A$11,1))+1)-INDEX(Reference!$A$6:$A$11,MIN(5,MATCH(MAX(Reference!$A$6,MIN(Reference!$A$11,MIN($U57,150))),Reference!$A$6:$A$11,1))))),0)+IF(4&lt;=$AL57,($AL57-4+3)*(INDEX(Reference!$B$6:$B$11,MIN(5,MATCH(MAX(Reference!$A$6,MIN(Reference!$A$11,MIN($U57,180))),Reference!$A$6:$A$11,1)))+(MAX(Reference!$A$6,MIN(Reference!$A$11,MIN($U57,180)))-INDEX(Reference!$A$6:$A$11,MIN(5,MATCH(MAX(Reference!$A$6,MIN(Reference!$A$11,MIN($U57,180))),Reference!$A$6:$A$11,1))))*(INDEX(Reference!$B$6:$B$11,MIN(5,MATCH(MAX(Reference!$A$6,MIN(Reference!$A$11,MIN($U57,180))),Reference!$A$6:$A$11,1))+1)-INDEX(Reference!$B$6:$B$11,MIN(5,MATCH(MAX(Reference!$A$6,MIN(Reference!$A$11,MIN($U57,180))),Reference!$A$6:$A$11,1))))/(INDEX(Reference!$A$6:$A$11,MIN(5,MATCH(MAX(Reference!$A$6,MIN(Reference!$A$11,MIN($U57,180))),Reference!$A$6:$A$11,1))+1)-INDEX(Reference!$A$6:$A$11,MIN(5,MATCH(MAX(Reference!$A$6,MIN(Reference!$A$11,MIN($U57,180))),Reference!$A$6:$A$11,1))))),0)+IF(5&lt;=$AL57,($AL57-5+3)*(INDEX(Reference!$B$6:$B$11,MIN(5,MATCH(MAX(Reference!$A$6,MIN(Reference!$A$11,MIN($U57,210))),Reference!$A$6:$A$11,1)))+(MAX(Reference!$A$6,MIN(Reference!$A$11,MIN($U57,210)))-INDEX(Reference!$A$6:$A$11,MIN(5,MATCH(MAX(Reference!$A$6,MIN(Reference!$A$11,MIN($U57,210))),Reference!$A$6:$A$11,1))))*(INDEX(Reference!$B$6:$B$11,MIN(5,MATCH(MAX(Reference!$A$6,MIN(Reference!$A$11,MIN($U57,210))),Reference!$A$6:$A$11,1))+1)-INDEX(Reference!$B$6:$B$11,MIN(5,MATCH(MAX(Reference!$A$6,MIN(Reference!$A$11,MIN($U57,210))),Reference!$A$6:$A$11,1))))/(INDEX(Reference!$A$6:$A$11,MIN(5,MATCH(MAX(Reference!$A$6,MIN(Reference!$A$11,MIN($U57,210))),Reference!$A$6:$A$11,1))+1)-INDEX(Reference!$A$6:$A$11,MIN(5,MATCH(MAX(Reference!$A$6,MIN(Reference!$A$11,MIN($U57,210))),Reference!$A$6:$A$11,1))))),0)+IF(6&lt;=$AL57,($AL57-6+3)*(INDEX(Reference!$B$6:$B$11,MIN(5,MATCH(MAX(Reference!$A$6,MIN(Reference!$A$11,MIN($U57,240))),Reference!$A$6:$A$11,1)))+(MAX(Reference!$A$6,MIN(Reference!$A$11,MIN($U57,240)))-INDEX(Reference!$A$6:$A$11,MIN(5,MATCH(MAX(Reference!$A$6,MIN(Reference!$A$11,MIN($U57,240))),Reference!$A$6:$A$11,1))))*(INDEX(Reference!$B$6:$B$11,MIN(5,MATCH(MAX(Reference!$A$6,MIN(Reference!$A$11,MIN($U57,240))),Reference!$A$6:$A$11,1))+1)-INDEX(Reference!$B$6:$B$11,MIN(5,MATCH(MAX(Reference!$A$6,MIN(Reference!$A$11,MIN($U57,240))),Reference!$A$6:$A$11,1))))/(INDEX(Reference!$A$6:$A$11,MIN(5,MATCH(MAX(Reference!$A$6,MIN(Reference!$A$11,MIN($U57,240))),Reference!$A$6:$A$11,1))+1)-INDEX(Reference!$A$6:$A$11,MIN(5,MATCH(MAX(Reference!$A$6,MIN(Reference!$A$11,MIN($U57,240))),Reference!$A$6:$A$11,1))))),0)+IF(7&lt;=$AL57,($AL57-7+3)*(INDEX(Reference!$B$6:$B$11,MIN(5,MATCH(MAX(Reference!$A$6,MIN(Reference!$A$11,MIN($U57,270))),Reference!$A$6:$A$11,1)))+(MAX(Reference!$A$6,MIN(Reference!$A$11,MIN($U57,270)))-INDEX(Reference!$A$6:$A$11,MIN(5,MATCH(MAX(Reference!$A$6,MIN(Reference!$A$11,MIN($U57,270))),Reference!$A$6:$A$11,1))))*(INDEX(Reference!$B$6:$B$11,MIN(5,MATCH(MAX(Reference!$A$6,MIN(Reference!$A$11,MIN($U57,270))),Reference!$A$6:$A$11,1))+1)-INDEX(Reference!$B$6:$B$11,MIN(5,MATCH(MAX(Reference!$A$6,MIN(Reference!$A$11,MIN($U57,270))),Reference!$A$6:$A$11,1))))/(INDEX(Reference!$A$6:$A$11,MIN(5,MATCH(MAX(Reference!$A$6,MIN(Reference!$A$11,MIN($U57,270))),Reference!$A$6:$A$11,1))+1)-INDEX(Reference!$A$6:$A$11,MIN(5,MATCH(MAX(Reference!$A$6,MIN(Reference!$A$11,MIN($U57,270))),Reference!$A$6:$A$11,1))))),0)+IF(8&lt;=$AL57,($AL57-8+3)*(INDEX(Reference!$B$6:$B$11,MIN(5,MATCH(MAX(Reference!$A$6,MIN(Reference!$A$11,MIN($U57,300))),Reference!$A$6:$A$11,1)))+(MAX(Reference!$A$6,MIN(Reference!$A$11,MIN($U57,300)))-INDEX(Reference!$A$6:$A$11,MIN(5,MATCH(MAX(Reference!$A$6,MIN(Reference!$A$11,MIN($U57,300))),Reference!$A$6:$A$11,1))))*(INDEX(Reference!$B$6:$B$11,MIN(5,MATCH(MAX(Reference!$A$6,MIN(Reference!$A$11,MIN($U57,300))),Reference!$A$6:$A$11,1))+1)-INDEX(Reference!$B$6:$B$11,MIN(5,MATCH(MAX(Reference!$A$6,MIN(Reference!$A$11,MIN($U57,300))),Reference!$A$6:$A$11,1))))/(INDEX(Reference!$A$6:$A$11,MIN(5,MATCH(MAX(Reference!$A$6,MIN(Reference!$A$11,MIN($U57,300))),Reference!$A$6:$A$11,1))+1)-INDEX(Reference!$A$6:$A$11,MIN(5,MATCH(MAX(Reference!$A$6,MIN(Reference!$A$11,MIN($U57,300))),Reference!$A$6:$A$11,1))))),0))/($AL57*($AL57+5)/2)),$AN57))</f>
        <v>1</v>
      </c>
      <c r="AN57" s="32">
        <f>IF($U57="",0,(INDEX(Reference!$B$6:$B$11,MIN(5,MATCH(MAX(Reference!$A$6,MIN(Reference!$A$11,$U57)),Reference!$A$6:$A$11,1)))+(MAX(Reference!$A$6,MIN(Reference!$A$11,$U57))-INDEX(Reference!$A$6:$A$11,MIN(5,MATCH(MAX(Reference!$A$6,MIN(Reference!$A$11,$U57)),Reference!$A$6:$A$11,1))))*(INDEX(Reference!$B$6:$B$11,MIN(5,MATCH(MAX(Reference!$A$6,MIN(Reference!$A$11,$U57)),Reference!$A$6:$A$11,1))+1)-INDEX(Reference!$B$6:$B$11,MIN(5,MATCH(MAX(Reference!$A$6,MIN(Reference!$A$11,$U57)),Reference!$A$6:$A$11,1))))/(INDEX(Reference!$A$6:$A$11,MIN(5,MATCH(MAX(Reference!$A$6,MIN(Reference!$A$11,$U57)),Reference!$A$6:$A$11,1))+1)-INDEX(Reference!$A$6:$A$11,MIN(5,MATCH(MAX(Reference!$A$6,MIN(Reference!$A$11,$U57)),Reference!$A$6:$A$11,1))))))</f>
        <v>1</v>
      </c>
      <c r="AO57" s="37"/>
      <c r="AP57" s="37"/>
      <c r="AQ57" s="37"/>
    </row>
    <row r="58" spans="1:43" x14ac:dyDescent="0.3">
      <c r="A58" s="48">
        <f t="shared" si="5"/>
        <v>46322</v>
      </c>
      <c r="B58" s="32" t="str">
        <f t="shared" si="6"/>
        <v>Tue</v>
      </c>
      <c r="C58" s="32">
        <f t="shared" si="7"/>
        <v>69</v>
      </c>
      <c r="D58" s="32" t="str">
        <f t="shared" si="8"/>
        <v>Re-entry</v>
      </c>
      <c r="E58" s="32" t="str">
        <f t="shared" si="9"/>
        <v>Low</v>
      </c>
      <c r="F58" s="32" t="str">
        <f t="shared" si="10"/>
        <v>Long Toss</v>
      </c>
      <c r="G58" s="47" t="str">
        <f t="shared" si="11"/>
        <v>90 ft × 35 @ 67–71 mph</v>
      </c>
      <c r="H58" s="30">
        <f t="shared" si="12"/>
        <v>27.3</v>
      </c>
      <c r="I58" s="46" t="str">
        <f>IF($A58="","",IF(AND($L58&lt;27,$K$12=0),"Building",IFERROR(((SUM($H$52:$H58)+$K$12*IF($L58&lt;6,SUMIFS('Throw Log'!$Q$5:$Q$300,'Throw Log'!$B$5:$B$300,$D$4,'Throw Log'!$A$5:$A$300,"&gt;="&amp;($D$6+$L58-6),'Throw Log'!$A$5:$A$300,"&lt;="&amp;($D$6-1)),0))/7)/((SUM($H$43:$H58)+$K$12*IF($L58&lt;27,SUMIFS('Throw Log'!$Q$5:$Q$300,'Throw Log'!$B$5:$B$300,$D$4,'Throw Log'!$A$5:$A$300,"&gt;="&amp;($D$6+$L58-27),'Throw Log'!$A$5:$A$300,"&lt;="&amp;($D$6-1)),0))/28),"")))</f>
        <v>Building</v>
      </c>
      <c r="J58" s="37"/>
      <c r="K58" s="37"/>
      <c r="L58" s="32">
        <v>15</v>
      </c>
      <c r="M58" s="32">
        <f t="shared" si="13"/>
        <v>3</v>
      </c>
      <c r="N58" s="32">
        <f t="shared" si="14"/>
        <v>1</v>
      </c>
      <c r="O58" s="32">
        <f t="shared" si="15"/>
        <v>0.19736842105263158</v>
      </c>
      <c r="P58" s="32">
        <f>IF(OR($A58="",N($C58)&lt;=7),"",$G$6*$G$9^($M58-1)*IF(AND(MOD($M58,Reference!$B$99)=0,$M58&lt;=$G$5-2),Reference!$B$100,1))</f>
        <v>101.26670033263869</v>
      </c>
      <c r="Q58" s="32">
        <f>IF($P58="","",IF(SUM($AK$57:$AK$63)=0,0,$P58*INDEX(Reference!$B$108:$B$114,$N58+1)/SUM($AK$57:$AK$63)))</f>
        <v>27.34200908981245</v>
      </c>
      <c r="R58" s="32">
        <f t="shared" si="16"/>
        <v>90</v>
      </c>
      <c r="S58" s="32">
        <f t="shared" si="17"/>
        <v>90</v>
      </c>
      <c r="T58" s="32" t="str">
        <f>IF($A58="","",IF($C58=0,"Bullpen",IF(OR($C58=7,$C58=1,$C58=5),"Recovery/Easy Catch",IF($C58=6,"Compression/Pulldowns",IF(OR($C58=4,$C58=2),"Long Toss",IF($C58=3,"No Throw",IF($N58=2,"No Throw",IF($N58=6,IF($O58&lt;Reference!$B$104,"No Throw","Recovery/Easy Catch"),IF(OR($N58=0,$N58=4),"Recovery/Easy Catch",IF($N58=1,IF($R58&gt;75,"Long Toss","Recovery/Easy Catch"),IF($N58=3,IF($O58&lt;0.5,IF($S58&gt;75,"Long Toss","Recovery/Easy Catch"),"Compression/Pulldowns"),IF($S58&gt;75,"Long Toss","Recovery/Easy Catch"))))))))))))</f>
        <v>Long Toss</v>
      </c>
      <c r="U58" s="32">
        <f t="shared" si="18"/>
        <v>90</v>
      </c>
      <c r="V58" s="32">
        <f t="shared" si="19"/>
        <v>18</v>
      </c>
      <c r="W58" s="32">
        <f t="shared" si="20"/>
        <v>22</v>
      </c>
      <c r="X58" s="32">
        <f t="shared" si="21"/>
        <v>0</v>
      </c>
      <c r="Y58" s="32" t="str">
        <f t="shared" si="22"/>
        <v/>
      </c>
      <c r="Z58" s="32" t="str">
        <f t="shared" si="23"/>
        <v/>
      </c>
      <c r="AA58" s="32" t="str">
        <f t="shared" si="24"/>
        <v/>
      </c>
      <c r="AB58" s="32">
        <f>IF($A58="","",IF($T58="No Throw",0,IF($K58&lt;&gt;"",$K58,IF($AA58&lt;&gt;"",ROUND($AA58*$D$12*IF($C58=0,1,$G$10),0),MIN(IF($T58="Recovery/Easy Catch",Reference!$B$103,IF($T58="Long Toss",Reference!$B$106,Reference!$B$102)),MAX(Reference!$B$101,ROUND(MAX(0,$Q58-$AE58)/$AF58,0)))))))</f>
        <v>35</v>
      </c>
      <c r="AC58" s="32">
        <f t="shared" si="25"/>
        <v>0</v>
      </c>
      <c r="AD58" s="32" t="b">
        <f t="shared" si="26"/>
        <v>0</v>
      </c>
      <c r="AE58" s="32">
        <f>IF($X58=0,0,$X58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58+$Z58)/2,0),Reference!$A$17:$B$20,2,TRUE()))</f>
        <v>0</v>
      </c>
      <c r="AF58" s="32">
        <f>IF(OR($A58="",$U58="",$T58="No Throw"),0,$AM58*VLOOKUP(MAX(($V58+$W58)/2,0),Reference!$A$17:$B$20,2,TRUE()))</f>
        <v>0.78</v>
      </c>
      <c r="AG58" s="32">
        <f>IF($AC58=0,0,$AC58*INDEX(Reference!$B$61:$B$62,MATCH("Bullpen",Reference!$A$61:$A$62,0))*VLOOKUP(MAX($D$5-($D$9+$E$9)/2,0),Reference!$A$17:$B$20,2,TRUE()))</f>
        <v>0</v>
      </c>
      <c r="AH58" s="32" t="e">
        <f t="shared" si="27"/>
        <v>#N/A</v>
      </c>
      <c r="AI58" s="32">
        <f>IF($A58="",NA(),Reference!$A$25)</f>
        <v>0.8</v>
      </c>
      <c r="AJ58" s="32">
        <f t="shared" si="28"/>
        <v>1.3</v>
      </c>
      <c r="AK58" s="56">
        <f>IF(OR($A58="",N($C58)&lt;=7,$T58="No Throw",$J58="x"),0,INDEX(Reference!$B$108:$B$114,$N58+1))</f>
        <v>0.27</v>
      </c>
      <c r="AL58" s="32">
        <f t="shared" si="29"/>
        <v>1</v>
      </c>
      <c r="AM58" s="32">
        <f>IF($U58="",0,IF($AL58&gt;1,((IF(1&lt;=$AL58,($AL58-1+3)*(INDEX(Reference!$B$6:$B$11,MIN(5,MATCH(MAX(Reference!$A$6,MIN(Reference!$A$11,MIN($U58,90))),Reference!$A$6:$A$11,1)))+(MAX(Reference!$A$6,MIN(Reference!$A$11,MIN($U58,90)))-INDEX(Reference!$A$6:$A$11,MIN(5,MATCH(MAX(Reference!$A$6,MIN(Reference!$A$11,MIN($U58,90))),Reference!$A$6:$A$11,1))))*(INDEX(Reference!$B$6:$B$11,MIN(5,MATCH(MAX(Reference!$A$6,MIN(Reference!$A$11,MIN($U58,90))),Reference!$A$6:$A$11,1))+1)-INDEX(Reference!$B$6:$B$11,MIN(5,MATCH(MAX(Reference!$A$6,MIN(Reference!$A$11,MIN($U58,90))),Reference!$A$6:$A$11,1))))/(INDEX(Reference!$A$6:$A$11,MIN(5,MATCH(MAX(Reference!$A$6,MIN(Reference!$A$11,MIN($U58,90))),Reference!$A$6:$A$11,1))+1)-INDEX(Reference!$A$6:$A$11,MIN(5,MATCH(MAX(Reference!$A$6,MIN(Reference!$A$11,MIN($U58,90))),Reference!$A$6:$A$11,1))))),0)+IF(2&lt;=$AL58,($AL58-2+3)*(INDEX(Reference!$B$6:$B$11,MIN(5,MATCH(MAX(Reference!$A$6,MIN(Reference!$A$11,MIN($U58,120))),Reference!$A$6:$A$11,1)))+(MAX(Reference!$A$6,MIN(Reference!$A$11,MIN($U58,120)))-INDEX(Reference!$A$6:$A$11,MIN(5,MATCH(MAX(Reference!$A$6,MIN(Reference!$A$11,MIN($U58,120))),Reference!$A$6:$A$11,1))))*(INDEX(Reference!$B$6:$B$11,MIN(5,MATCH(MAX(Reference!$A$6,MIN(Reference!$A$11,MIN($U58,120))),Reference!$A$6:$A$11,1))+1)-INDEX(Reference!$B$6:$B$11,MIN(5,MATCH(MAX(Reference!$A$6,MIN(Reference!$A$11,MIN($U58,120))),Reference!$A$6:$A$11,1))))/(INDEX(Reference!$A$6:$A$11,MIN(5,MATCH(MAX(Reference!$A$6,MIN(Reference!$A$11,MIN($U58,120))),Reference!$A$6:$A$11,1))+1)-INDEX(Reference!$A$6:$A$11,MIN(5,MATCH(MAX(Reference!$A$6,MIN(Reference!$A$11,MIN($U58,120))),Reference!$A$6:$A$11,1))))),0)+IF(3&lt;=$AL58,($AL58-3+3)*(INDEX(Reference!$B$6:$B$11,MIN(5,MATCH(MAX(Reference!$A$6,MIN(Reference!$A$11,MIN($U58,150))),Reference!$A$6:$A$11,1)))+(MAX(Reference!$A$6,MIN(Reference!$A$11,MIN($U58,150)))-INDEX(Reference!$A$6:$A$11,MIN(5,MATCH(MAX(Reference!$A$6,MIN(Reference!$A$11,MIN($U58,150))),Reference!$A$6:$A$11,1))))*(INDEX(Reference!$B$6:$B$11,MIN(5,MATCH(MAX(Reference!$A$6,MIN(Reference!$A$11,MIN($U58,150))),Reference!$A$6:$A$11,1))+1)-INDEX(Reference!$B$6:$B$11,MIN(5,MATCH(MAX(Reference!$A$6,MIN(Reference!$A$11,MIN($U58,150))),Reference!$A$6:$A$11,1))))/(INDEX(Reference!$A$6:$A$11,MIN(5,MATCH(MAX(Reference!$A$6,MIN(Reference!$A$11,MIN($U58,150))),Reference!$A$6:$A$11,1))+1)-INDEX(Reference!$A$6:$A$11,MIN(5,MATCH(MAX(Reference!$A$6,MIN(Reference!$A$11,MIN($U58,150))),Reference!$A$6:$A$11,1))))),0)+IF(4&lt;=$AL58,($AL58-4+3)*(INDEX(Reference!$B$6:$B$11,MIN(5,MATCH(MAX(Reference!$A$6,MIN(Reference!$A$11,MIN($U58,180))),Reference!$A$6:$A$11,1)))+(MAX(Reference!$A$6,MIN(Reference!$A$11,MIN($U58,180)))-INDEX(Reference!$A$6:$A$11,MIN(5,MATCH(MAX(Reference!$A$6,MIN(Reference!$A$11,MIN($U58,180))),Reference!$A$6:$A$11,1))))*(INDEX(Reference!$B$6:$B$11,MIN(5,MATCH(MAX(Reference!$A$6,MIN(Reference!$A$11,MIN($U58,180))),Reference!$A$6:$A$11,1))+1)-INDEX(Reference!$B$6:$B$11,MIN(5,MATCH(MAX(Reference!$A$6,MIN(Reference!$A$11,MIN($U58,180))),Reference!$A$6:$A$11,1))))/(INDEX(Reference!$A$6:$A$11,MIN(5,MATCH(MAX(Reference!$A$6,MIN(Reference!$A$11,MIN($U58,180))),Reference!$A$6:$A$11,1))+1)-INDEX(Reference!$A$6:$A$11,MIN(5,MATCH(MAX(Reference!$A$6,MIN(Reference!$A$11,MIN($U58,180))),Reference!$A$6:$A$11,1))))),0)+IF(5&lt;=$AL58,($AL58-5+3)*(INDEX(Reference!$B$6:$B$11,MIN(5,MATCH(MAX(Reference!$A$6,MIN(Reference!$A$11,MIN($U58,210))),Reference!$A$6:$A$11,1)))+(MAX(Reference!$A$6,MIN(Reference!$A$11,MIN($U58,210)))-INDEX(Reference!$A$6:$A$11,MIN(5,MATCH(MAX(Reference!$A$6,MIN(Reference!$A$11,MIN($U58,210))),Reference!$A$6:$A$11,1))))*(INDEX(Reference!$B$6:$B$11,MIN(5,MATCH(MAX(Reference!$A$6,MIN(Reference!$A$11,MIN($U58,210))),Reference!$A$6:$A$11,1))+1)-INDEX(Reference!$B$6:$B$11,MIN(5,MATCH(MAX(Reference!$A$6,MIN(Reference!$A$11,MIN($U58,210))),Reference!$A$6:$A$11,1))))/(INDEX(Reference!$A$6:$A$11,MIN(5,MATCH(MAX(Reference!$A$6,MIN(Reference!$A$11,MIN($U58,210))),Reference!$A$6:$A$11,1))+1)-INDEX(Reference!$A$6:$A$11,MIN(5,MATCH(MAX(Reference!$A$6,MIN(Reference!$A$11,MIN($U58,210))),Reference!$A$6:$A$11,1))))),0)+IF(6&lt;=$AL58,($AL58-6+3)*(INDEX(Reference!$B$6:$B$11,MIN(5,MATCH(MAX(Reference!$A$6,MIN(Reference!$A$11,MIN($U58,240))),Reference!$A$6:$A$11,1)))+(MAX(Reference!$A$6,MIN(Reference!$A$11,MIN($U58,240)))-INDEX(Reference!$A$6:$A$11,MIN(5,MATCH(MAX(Reference!$A$6,MIN(Reference!$A$11,MIN($U58,240))),Reference!$A$6:$A$11,1))))*(INDEX(Reference!$B$6:$B$11,MIN(5,MATCH(MAX(Reference!$A$6,MIN(Reference!$A$11,MIN($U58,240))),Reference!$A$6:$A$11,1))+1)-INDEX(Reference!$B$6:$B$11,MIN(5,MATCH(MAX(Reference!$A$6,MIN(Reference!$A$11,MIN($U58,240))),Reference!$A$6:$A$11,1))))/(INDEX(Reference!$A$6:$A$11,MIN(5,MATCH(MAX(Reference!$A$6,MIN(Reference!$A$11,MIN($U58,240))),Reference!$A$6:$A$11,1))+1)-INDEX(Reference!$A$6:$A$11,MIN(5,MATCH(MAX(Reference!$A$6,MIN(Reference!$A$11,MIN($U58,240))),Reference!$A$6:$A$11,1))))),0)+IF(7&lt;=$AL58,($AL58-7+3)*(INDEX(Reference!$B$6:$B$11,MIN(5,MATCH(MAX(Reference!$A$6,MIN(Reference!$A$11,MIN($U58,270))),Reference!$A$6:$A$11,1)))+(MAX(Reference!$A$6,MIN(Reference!$A$11,MIN($U58,270)))-INDEX(Reference!$A$6:$A$11,MIN(5,MATCH(MAX(Reference!$A$6,MIN(Reference!$A$11,MIN($U58,270))),Reference!$A$6:$A$11,1))))*(INDEX(Reference!$B$6:$B$11,MIN(5,MATCH(MAX(Reference!$A$6,MIN(Reference!$A$11,MIN($U58,270))),Reference!$A$6:$A$11,1))+1)-INDEX(Reference!$B$6:$B$11,MIN(5,MATCH(MAX(Reference!$A$6,MIN(Reference!$A$11,MIN($U58,270))),Reference!$A$6:$A$11,1))))/(INDEX(Reference!$A$6:$A$11,MIN(5,MATCH(MAX(Reference!$A$6,MIN(Reference!$A$11,MIN($U58,270))),Reference!$A$6:$A$11,1))+1)-INDEX(Reference!$A$6:$A$11,MIN(5,MATCH(MAX(Reference!$A$6,MIN(Reference!$A$11,MIN($U58,270))),Reference!$A$6:$A$11,1))))),0)+IF(8&lt;=$AL58,($AL58-8+3)*(INDEX(Reference!$B$6:$B$11,MIN(5,MATCH(MAX(Reference!$A$6,MIN(Reference!$A$11,MIN($U58,300))),Reference!$A$6:$A$11,1)))+(MAX(Reference!$A$6,MIN(Reference!$A$11,MIN($U58,300)))-INDEX(Reference!$A$6:$A$11,MIN(5,MATCH(MAX(Reference!$A$6,MIN(Reference!$A$11,MIN($U58,300))),Reference!$A$6:$A$11,1))))*(INDEX(Reference!$B$6:$B$11,MIN(5,MATCH(MAX(Reference!$A$6,MIN(Reference!$A$11,MIN($U58,300))),Reference!$A$6:$A$11,1))+1)-INDEX(Reference!$B$6:$B$11,MIN(5,MATCH(MAX(Reference!$A$6,MIN(Reference!$A$11,MIN($U58,300))),Reference!$A$6:$A$11,1))))/(INDEX(Reference!$A$6:$A$11,MIN(5,MATCH(MAX(Reference!$A$6,MIN(Reference!$A$11,MIN($U58,300))),Reference!$A$6:$A$11,1))+1)-INDEX(Reference!$A$6:$A$11,MIN(5,MATCH(MAX(Reference!$A$6,MIN(Reference!$A$11,MIN($U58,300))),Reference!$A$6:$A$11,1))))),0))/($AL58*($AL58+5)/2)),$AN58))</f>
        <v>1.3</v>
      </c>
      <c r="AN58" s="32">
        <f>IF($U58="",0,(INDEX(Reference!$B$6:$B$11,MIN(5,MATCH(MAX(Reference!$A$6,MIN(Reference!$A$11,$U58)),Reference!$A$6:$A$11,1)))+(MAX(Reference!$A$6,MIN(Reference!$A$11,$U58))-INDEX(Reference!$A$6:$A$11,MIN(5,MATCH(MAX(Reference!$A$6,MIN(Reference!$A$11,$U58)),Reference!$A$6:$A$11,1))))*(INDEX(Reference!$B$6:$B$11,MIN(5,MATCH(MAX(Reference!$A$6,MIN(Reference!$A$11,$U58)),Reference!$A$6:$A$11,1))+1)-INDEX(Reference!$B$6:$B$11,MIN(5,MATCH(MAX(Reference!$A$6,MIN(Reference!$A$11,$U58)),Reference!$A$6:$A$11,1))))/(INDEX(Reference!$A$6:$A$11,MIN(5,MATCH(MAX(Reference!$A$6,MIN(Reference!$A$11,$U58)),Reference!$A$6:$A$11,1))+1)-INDEX(Reference!$A$6:$A$11,MIN(5,MATCH(MAX(Reference!$A$6,MIN(Reference!$A$11,$U58)),Reference!$A$6:$A$11,1))))))</f>
        <v>1.3</v>
      </c>
      <c r="AO58" s="37"/>
      <c r="AP58" s="37"/>
      <c r="AQ58" s="37"/>
    </row>
    <row r="59" spans="1:43" x14ac:dyDescent="0.3">
      <c r="A59" s="48">
        <f t="shared" si="5"/>
        <v>46323</v>
      </c>
      <c r="B59" s="32" t="str">
        <f t="shared" si="6"/>
        <v>Wed</v>
      </c>
      <c r="C59" s="32">
        <f t="shared" si="7"/>
        <v>68</v>
      </c>
      <c r="D59" s="32" t="str">
        <f t="shared" si="8"/>
        <v>Base</v>
      </c>
      <c r="E59" s="32" t="str">
        <f t="shared" si="9"/>
        <v>No Throw</v>
      </c>
      <c r="F59" s="32" t="str">
        <f t="shared" si="10"/>
        <v>No Throw</v>
      </c>
      <c r="G59" s="47" t="str">
        <f t="shared" si="11"/>
        <v>Off</v>
      </c>
      <c r="H59" s="30">
        <f t="shared" si="12"/>
        <v>0</v>
      </c>
      <c r="I59" s="46" t="str">
        <f>IF($A59="","",IF(AND($L59&lt;27,$K$12=0),"Building",IFERROR(((SUM($H$53:$H59)+$K$12*IF($L59&lt;6,SUMIFS('Throw Log'!$Q$5:$Q$300,'Throw Log'!$B$5:$B$300,$D$4,'Throw Log'!$A$5:$A$300,"&gt;="&amp;($D$6+$L59-6),'Throw Log'!$A$5:$A$300,"&lt;="&amp;($D$6-1)),0))/7)/((SUM($H$43:$H59)+$K$12*IF($L59&lt;27,SUMIFS('Throw Log'!$Q$5:$Q$300,'Throw Log'!$B$5:$B$300,$D$4,'Throw Log'!$A$5:$A$300,"&gt;="&amp;($D$6+$L59-27),'Throw Log'!$A$5:$A$300,"&lt;="&amp;($D$6-1)),0))/28),"")))</f>
        <v>Building</v>
      </c>
      <c r="J59" s="37"/>
      <c r="K59" s="37"/>
      <c r="L59" s="32">
        <v>16</v>
      </c>
      <c r="M59" s="32">
        <f t="shared" si="13"/>
        <v>3</v>
      </c>
      <c r="N59" s="32">
        <f t="shared" si="14"/>
        <v>2</v>
      </c>
      <c r="O59" s="32">
        <f t="shared" si="15"/>
        <v>0.21052631578947367</v>
      </c>
      <c r="P59" s="32">
        <f>IF(OR($A59="",N($C59)&lt;=7),"",$G$6*$G$9^($M59-1)*IF(AND(MOD($M59,Reference!$B$99)=0,$M59&lt;=$G$5-2),Reference!$B$100,1))</f>
        <v>101.26670033263869</v>
      </c>
      <c r="Q59" s="32">
        <f>IF($P59="","",IF(SUM($AK$57:$AK$63)=0,0,$P59*INDEX(Reference!$B$108:$B$114,$N59+1)/SUM($AK$57:$AK$63)))</f>
        <v>0</v>
      </c>
      <c r="R59" s="32">
        <f t="shared" si="16"/>
        <v>90</v>
      </c>
      <c r="S59" s="32">
        <f t="shared" si="17"/>
        <v>90</v>
      </c>
      <c r="T59" s="32" t="str">
        <f>IF($A59="","",IF($C59=0,"Bullpen",IF(OR($C59=7,$C59=1,$C59=5),"Recovery/Easy Catch",IF($C59=6,"Compression/Pulldowns",IF(OR($C59=4,$C59=2),"Long Toss",IF($C59=3,"No Throw",IF($N59=2,"No Throw",IF($N59=6,IF($O59&lt;Reference!$B$104,"No Throw","Recovery/Easy Catch"),IF(OR($N59=0,$N59=4),"Recovery/Easy Catch",IF($N59=1,IF($R59&gt;75,"Long Toss","Recovery/Easy Catch"),IF($N59=3,IF($O59&lt;0.5,IF($S59&gt;75,"Long Toss","Recovery/Easy Catch"),"Compression/Pulldowns"),IF($S59&gt;75,"Long Toss","Recovery/Easy Catch"))))))))))))</f>
        <v>No Throw</v>
      </c>
      <c r="U59" s="32" t="str">
        <f t="shared" si="18"/>
        <v/>
      </c>
      <c r="V59" s="32" t="str">
        <f t="shared" si="19"/>
        <v/>
      </c>
      <c r="W59" s="32" t="str">
        <f t="shared" si="20"/>
        <v/>
      </c>
      <c r="X59" s="32">
        <f t="shared" si="21"/>
        <v>0</v>
      </c>
      <c r="Y59" s="32" t="str">
        <f t="shared" si="22"/>
        <v/>
      </c>
      <c r="Z59" s="32" t="str">
        <f t="shared" si="23"/>
        <v/>
      </c>
      <c r="AA59" s="32" t="str">
        <f t="shared" si="24"/>
        <v/>
      </c>
      <c r="AB59" s="32">
        <f>IF($A59="","",IF($T59="No Throw",0,IF($K59&lt;&gt;"",$K59,IF($AA59&lt;&gt;"",ROUND($AA59*$D$12*IF($C59=0,1,$G$10),0),MIN(IF($T59="Recovery/Easy Catch",Reference!$B$103,IF($T59="Long Toss",Reference!$B$106,Reference!$B$102)),MAX(Reference!$B$101,ROUND(MAX(0,$Q59-$AE59)/$AF59,0)))))))</f>
        <v>0</v>
      </c>
      <c r="AC59" s="32">
        <f t="shared" si="25"/>
        <v>0</v>
      </c>
      <c r="AD59" s="32" t="b">
        <f t="shared" si="26"/>
        <v>1</v>
      </c>
      <c r="AE59" s="32">
        <f>IF($X59=0,0,$X59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59+$Z59)/2,0),Reference!$A$17:$B$20,2,TRUE()))</f>
        <v>0</v>
      </c>
      <c r="AF59" s="32">
        <f>IF(OR($A59="",$U59="",$T59="No Throw"),0,$AM59*VLOOKUP(MAX(($V59+$W59)/2,0),Reference!$A$17:$B$20,2,TRUE()))</f>
        <v>0</v>
      </c>
      <c r="AG59" s="32">
        <f>IF($AC59=0,0,$AC59*INDEX(Reference!$B$61:$B$62,MATCH("Bullpen",Reference!$A$61:$A$62,0))*VLOOKUP(MAX($D$5-($D$9+$E$9)/2,0),Reference!$A$17:$B$20,2,TRUE()))</f>
        <v>0</v>
      </c>
      <c r="AH59" s="32" t="e">
        <f t="shared" si="27"/>
        <v>#N/A</v>
      </c>
      <c r="AI59" s="32">
        <f>IF($A59="",NA(),Reference!$A$25)</f>
        <v>0.8</v>
      </c>
      <c r="AJ59" s="32">
        <f t="shared" si="28"/>
        <v>1.3</v>
      </c>
      <c r="AK59" s="32">
        <f>IF(OR($A59="",N($C59)&lt;=7,$T59="No Throw",$J59="x"),0,INDEX(Reference!$B$108:$B$114,$N59+1))</f>
        <v>0</v>
      </c>
      <c r="AL59" s="32">
        <f t="shared" si="29"/>
        <v>1</v>
      </c>
      <c r="AM59" s="32">
        <f>IF($U59="",0,IF($AL59&gt;1,((IF(1&lt;=$AL59,($AL59-1+3)*(INDEX(Reference!$B$6:$B$11,MIN(5,MATCH(MAX(Reference!$A$6,MIN(Reference!$A$11,MIN($U59,90))),Reference!$A$6:$A$11,1)))+(MAX(Reference!$A$6,MIN(Reference!$A$11,MIN($U59,90)))-INDEX(Reference!$A$6:$A$11,MIN(5,MATCH(MAX(Reference!$A$6,MIN(Reference!$A$11,MIN($U59,90))),Reference!$A$6:$A$11,1))))*(INDEX(Reference!$B$6:$B$11,MIN(5,MATCH(MAX(Reference!$A$6,MIN(Reference!$A$11,MIN($U59,90))),Reference!$A$6:$A$11,1))+1)-INDEX(Reference!$B$6:$B$11,MIN(5,MATCH(MAX(Reference!$A$6,MIN(Reference!$A$11,MIN($U59,90))),Reference!$A$6:$A$11,1))))/(INDEX(Reference!$A$6:$A$11,MIN(5,MATCH(MAX(Reference!$A$6,MIN(Reference!$A$11,MIN($U59,90))),Reference!$A$6:$A$11,1))+1)-INDEX(Reference!$A$6:$A$11,MIN(5,MATCH(MAX(Reference!$A$6,MIN(Reference!$A$11,MIN($U59,90))),Reference!$A$6:$A$11,1))))),0)+IF(2&lt;=$AL59,($AL59-2+3)*(INDEX(Reference!$B$6:$B$11,MIN(5,MATCH(MAX(Reference!$A$6,MIN(Reference!$A$11,MIN($U59,120))),Reference!$A$6:$A$11,1)))+(MAX(Reference!$A$6,MIN(Reference!$A$11,MIN($U59,120)))-INDEX(Reference!$A$6:$A$11,MIN(5,MATCH(MAX(Reference!$A$6,MIN(Reference!$A$11,MIN($U59,120))),Reference!$A$6:$A$11,1))))*(INDEX(Reference!$B$6:$B$11,MIN(5,MATCH(MAX(Reference!$A$6,MIN(Reference!$A$11,MIN($U59,120))),Reference!$A$6:$A$11,1))+1)-INDEX(Reference!$B$6:$B$11,MIN(5,MATCH(MAX(Reference!$A$6,MIN(Reference!$A$11,MIN($U59,120))),Reference!$A$6:$A$11,1))))/(INDEX(Reference!$A$6:$A$11,MIN(5,MATCH(MAX(Reference!$A$6,MIN(Reference!$A$11,MIN($U59,120))),Reference!$A$6:$A$11,1))+1)-INDEX(Reference!$A$6:$A$11,MIN(5,MATCH(MAX(Reference!$A$6,MIN(Reference!$A$11,MIN($U59,120))),Reference!$A$6:$A$11,1))))),0)+IF(3&lt;=$AL59,($AL59-3+3)*(INDEX(Reference!$B$6:$B$11,MIN(5,MATCH(MAX(Reference!$A$6,MIN(Reference!$A$11,MIN($U59,150))),Reference!$A$6:$A$11,1)))+(MAX(Reference!$A$6,MIN(Reference!$A$11,MIN($U59,150)))-INDEX(Reference!$A$6:$A$11,MIN(5,MATCH(MAX(Reference!$A$6,MIN(Reference!$A$11,MIN($U59,150))),Reference!$A$6:$A$11,1))))*(INDEX(Reference!$B$6:$B$11,MIN(5,MATCH(MAX(Reference!$A$6,MIN(Reference!$A$11,MIN($U59,150))),Reference!$A$6:$A$11,1))+1)-INDEX(Reference!$B$6:$B$11,MIN(5,MATCH(MAX(Reference!$A$6,MIN(Reference!$A$11,MIN($U59,150))),Reference!$A$6:$A$11,1))))/(INDEX(Reference!$A$6:$A$11,MIN(5,MATCH(MAX(Reference!$A$6,MIN(Reference!$A$11,MIN($U59,150))),Reference!$A$6:$A$11,1))+1)-INDEX(Reference!$A$6:$A$11,MIN(5,MATCH(MAX(Reference!$A$6,MIN(Reference!$A$11,MIN($U59,150))),Reference!$A$6:$A$11,1))))),0)+IF(4&lt;=$AL59,($AL59-4+3)*(INDEX(Reference!$B$6:$B$11,MIN(5,MATCH(MAX(Reference!$A$6,MIN(Reference!$A$11,MIN($U59,180))),Reference!$A$6:$A$11,1)))+(MAX(Reference!$A$6,MIN(Reference!$A$11,MIN($U59,180)))-INDEX(Reference!$A$6:$A$11,MIN(5,MATCH(MAX(Reference!$A$6,MIN(Reference!$A$11,MIN($U59,180))),Reference!$A$6:$A$11,1))))*(INDEX(Reference!$B$6:$B$11,MIN(5,MATCH(MAX(Reference!$A$6,MIN(Reference!$A$11,MIN($U59,180))),Reference!$A$6:$A$11,1))+1)-INDEX(Reference!$B$6:$B$11,MIN(5,MATCH(MAX(Reference!$A$6,MIN(Reference!$A$11,MIN($U59,180))),Reference!$A$6:$A$11,1))))/(INDEX(Reference!$A$6:$A$11,MIN(5,MATCH(MAX(Reference!$A$6,MIN(Reference!$A$11,MIN($U59,180))),Reference!$A$6:$A$11,1))+1)-INDEX(Reference!$A$6:$A$11,MIN(5,MATCH(MAX(Reference!$A$6,MIN(Reference!$A$11,MIN($U59,180))),Reference!$A$6:$A$11,1))))),0)+IF(5&lt;=$AL59,($AL59-5+3)*(INDEX(Reference!$B$6:$B$11,MIN(5,MATCH(MAX(Reference!$A$6,MIN(Reference!$A$11,MIN($U59,210))),Reference!$A$6:$A$11,1)))+(MAX(Reference!$A$6,MIN(Reference!$A$11,MIN($U59,210)))-INDEX(Reference!$A$6:$A$11,MIN(5,MATCH(MAX(Reference!$A$6,MIN(Reference!$A$11,MIN($U59,210))),Reference!$A$6:$A$11,1))))*(INDEX(Reference!$B$6:$B$11,MIN(5,MATCH(MAX(Reference!$A$6,MIN(Reference!$A$11,MIN($U59,210))),Reference!$A$6:$A$11,1))+1)-INDEX(Reference!$B$6:$B$11,MIN(5,MATCH(MAX(Reference!$A$6,MIN(Reference!$A$11,MIN($U59,210))),Reference!$A$6:$A$11,1))))/(INDEX(Reference!$A$6:$A$11,MIN(5,MATCH(MAX(Reference!$A$6,MIN(Reference!$A$11,MIN($U59,210))),Reference!$A$6:$A$11,1))+1)-INDEX(Reference!$A$6:$A$11,MIN(5,MATCH(MAX(Reference!$A$6,MIN(Reference!$A$11,MIN($U59,210))),Reference!$A$6:$A$11,1))))),0)+IF(6&lt;=$AL59,($AL59-6+3)*(INDEX(Reference!$B$6:$B$11,MIN(5,MATCH(MAX(Reference!$A$6,MIN(Reference!$A$11,MIN($U59,240))),Reference!$A$6:$A$11,1)))+(MAX(Reference!$A$6,MIN(Reference!$A$11,MIN($U59,240)))-INDEX(Reference!$A$6:$A$11,MIN(5,MATCH(MAX(Reference!$A$6,MIN(Reference!$A$11,MIN($U59,240))),Reference!$A$6:$A$11,1))))*(INDEX(Reference!$B$6:$B$11,MIN(5,MATCH(MAX(Reference!$A$6,MIN(Reference!$A$11,MIN($U59,240))),Reference!$A$6:$A$11,1))+1)-INDEX(Reference!$B$6:$B$11,MIN(5,MATCH(MAX(Reference!$A$6,MIN(Reference!$A$11,MIN($U59,240))),Reference!$A$6:$A$11,1))))/(INDEX(Reference!$A$6:$A$11,MIN(5,MATCH(MAX(Reference!$A$6,MIN(Reference!$A$11,MIN($U59,240))),Reference!$A$6:$A$11,1))+1)-INDEX(Reference!$A$6:$A$11,MIN(5,MATCH(MAX(Reference!$A$6,MIN(Reference!$A$11,MIN($U59,240))),Reference!$A$6:$A$11,1))))),0)+IF(7&lt;=$AL59,($AL59-7+3)*(INDEX(Reference!$B$6:$B$11,MIN(5,MATCH(MAX(Reference!$A$6,MIN(Reference!$A$11,MIN($U59,270))),Reference!$A$6:$A$11,1)))+(MAX(Reference!$A$6,MIN(Reference!$A$11,MIN($U59,270)))-INDEX(Reference!$A$6:$A$11,MIN(5,MATCH(MAX(Reference!$A$6,MIN(Reference!$A$11,MIN($U59,270))),Reference!$A$6:$A$11,1))))*(INDEX(Reference!$B$6:$B$11,MIN(5,MATCH(MAX(Reference!$A$6,MIN(Reference!$A$11,MIN($U59,270))),Reference!$A$6:$A$11,1))+1)-INDEX(Reference!$B$6:$B$11,MIN(5,MATCH(MAX(Reference!$A$6,MIN(Reference!$A$11,MIN($U59,270))),Reference!$A$6:$A$11,1))))/(INDEX(Reference!$A$6:$A$11,MIN(5,MATCH(MAX(Reference!$A$6,MIN(Reference!$A$11,MIN($U59,270))),Reference!$A$6:$A$11,1))+1)-INDEX(Reference!$A$6:$A$11,MIN(5,MATCH(MAX(Reference!$A$6,MIN(Reference!$A$11,MIN($U59,270))),Reference!$A$6:$A$11,1))))),0)+IF(8&lt;=$AL59,($AL59-8+3)*(INDEX(Reference!$B$6:$B$11,MIN(5,MATCH(MAX(Reference!$A$6,MIN(Reference!$A$11,MIN($U59,300))),Reference!$A$6:$A$11,1)))+(MAX(Reference!$A$6,MIN(Reference!$A$11,MIN($U59,300)))-INDEX(Reference!$A$6:$A$11,MIN(5,MATCH(MAX(Reference!$A$6,MIN(Reference!$A$11,MIN($U59,300))),Reference!$A$6:$A$11,1))))*(INDEX(Reference!$B$6:$B$11,MIN(5,MATCH(MAX(Reference!$A$6,MIN(Reference!$A$11,MIN($U59,300))),Reference!$A$6:$A$11,1))+1)-INDEX(Reference!$B$6:$B$11,MIN(5,MATCH(MAX(Reference!$A$6,MIN(Reference!$A$11,MIN($U59,300))),Reference!$A$6:$A$11,1))))/(INDEX(Reference!$A$6:$A$11,MIN(5,MATCH(MAX(Reference!$A$6,MIN(Reference!$A$11,MIN($U59,300))),Reference!$A$6:$A$11,1))+1)-INDEX(Reference!$A$6:$A$11,MIN(5,MATCH(MAX(Reference!$A$6,MIN(Reference!$A$11,MIN($U59,300))),Reference!$A$6:$A$11,1))))),0))/($AL59*($AL59+5)/2)),$AN59))</f>
        <v>0</v>
      </c>
      <c r="AN59" s="32">
        <f>IF($U59="",0,(INDEX(Reference!$B$6:$B$11,MIN(5,MATCH(MAX(Reference!$A$6,MIN(Reference!$A$11,$U59)),Reference!$A$6:$A$11,1)))+(MAX(Reference!$A$6,MIN(Reference!$A$11,$U59))-INDEX(Reference!$A$6:$A$11,MIN(5,MATCH(MAX(Reference!$A$6,MIN(Reference!$A$11,$U59)),Reference!$A$6:$A$11,1))))*(INDEX(Reference!$B$6:$B$11,MIN(5,MATCH(MAX(Reference!$A$6,MIN(Reference!$A$11,$U59)),Reference!$A$6:$A$11,1))+1)-INDEX(Reference!$B$6:$B$11,MIN(5,MATCH(MAX(Reference!$A$6,MIN(Reference!$A$11,$U59)),Reference!$A$6:$A$11,1))))/(INDEX(Reference!$A$6:$A$11,MIN(5,MATCH(MAX(Reference!$A$6,MIN(Reference!$A$11,$U59)),Reference!$A$6:$A$11,1))+1)-INDEX(Reference!$A$6:$A$11,MIN(5,MATCH(MAX(Reference!$A$6,MIN(Reference!$A$11,$U59)),Reference!$A$6:$A$11,1))))))</f>
        <v>0</v>
      </c>
      <c r="AO59" s="37"/>
      <c r="AP59" s="37"/>
      <c r="AQ59" s="37"/>
    </row>
    <row r="60" spans="1:43" x14ac:dyDescent="0.3">
      <c r="A60" s="48">
        <f t="shared" si="5"/>
        <v>46324</v>
      </c>
      <c r="B60" s="32" t="str">
        <f t="shared" si="6"/>
        <v>Thu</v>
      </c>
      <c r="C60" s="32">
        <f t="shared" si="7"/>
        <v>67</v>
      </c>
      <c r="D60" s="32" t="str">
        <f t="shared" si="8"/>
        <v>Base</v>
      </c>
      <c r="E60" s="32" t="str">
        <f t="shared" si="9"/>
        <v>Medium</v>
      </c>
      <c r="F60" s="32" t="str">
        <f t="shared" si="10"/>
        <v>Long Toss</v>
      </c>
      <c r="G60" s="47" t="str">
        <f t="shared" si="11"/>
        <v>90 ft × 25 @ 67–71 mph + 60 ft × 10 @ 71–75 mph</v>
      </c>
      <c r="H60" s="30">
        <f t="shared" si="12"/>
        <v>25.5</v>
      </c>
      <c r="I60" s="46" t="str">
        <f>IF($A60="","",IF(AND($L60&lt;27,$K$12=0),"Building",IFERROR(((SUM($H$54:$H60)+$K$12*IF($L60&lt;6,SUMIFS('Throw Log'!$Q$5:$Q$300,'Throw Log'!$B$5:$B$300,$D$4,'Throw Log'!$A$5:$A$300,"&gt;="&amp;($D$6+$L60-6),'Throw Log'!$A$5:$A$300,"&lt;="&amp;($D$6-1)),0))/7)/((SUM($H$43:$H60)+$K$12*IF($L60&lt;27,SUMIFS('Throw Log'!$Q$5:$Q$300,'Throw Log'!$B$5:$B$300,$D$4,'Throw Log'!$A$5:$A$300,"&gt;="&amp;($D$6+$L60-27),'Throw Log'!$A$5:$A$300,"&lt;="&amp;($D$6-1)),0))/28),"")))</f>
        <v>Building</v>
      </c>
      <c r="J60" s="37"/>
      <c r="K60" s="37">
        <v>25</v>
      </c>
      <c r="L60" s="32">
        <v>17</v>
      </c>
      <c r="M60" s="32">
        <f t="shared" si="13"/>
        <v>3</v>
      </c>
      <c r="N60" s="32">
        <f t="shared" si="14"/>
        <v>3</v>
      </c>
      <c r="O60" s="32">
        <f t="shared" si="15"/>
        <v>0.22368421052631579</v>
      </c>
      <c r="P60" s="32">
        <f>IF(OR($A60="",N($C60)&lt;=7),"",$G$6*$G$9^($M60-1)*IF(AND(MOD($M60,Reference!$B$99)=0,$M60&lt;=$G$5-2),Reference!$B$100,1))</f>
        <v>101.26670033263869</v>
      </c>
      <c r="Q60" s="32">
        <f>IF($P60="","",IF(SUM($AK$57:$AK$63)=0,0,$P60*INDEX(Reference!$B$108:$B$114,$N60+1)/SUM($AK$57:$AK$63)))</f>
        <v>24.304008079833284</v>
      </c>
      <c r="R60" s="32">
        <f t="shared" si="16"/>
        <v>90</v>
      </c>
      <c r="S60" s="32">
        <f t="shared" si="17"/>
        <v>90</v>
      </c>
      <c r="T60" s="32" t="str">
        <f>IF($A60="","",IF($C60=0,"Bullpen",IF(OR($C60=7,$C60=1,$C60=5),"Recovery/Easy Catch",IF($C60=6,"Compression/Pulldowns",IF(OR($C60=4,$C60=2),"Long Toss",IF($C60=3,"No Throw",IF($N60=2,"No Throw",IF($N60=6,IF($O60&lt;Reference!$B$104,"No Throw","Recovery/Easy Catch"),IF(OR($N60=0,$N60=4),"Recovery/Easy Catch",IF($N60=1,IF($R60&gt;75,"Long Toss","Recovery/Easy Catch"),IF($N60=3,IF($O60&lt;0.5,IF($S60&gt;75,"Long Toss","Recovery/Easy Catch"),"Compression/Pulldowns"),IF($S60&gt;75,"Long Toss","Recovery/Easy Catch"))))))))))))</f>
        <v>Long Toss</v>
      </c>
      <c r="U60" s="32">
        <f t="shared" si="18"/>
        <v>90</v>
      </c>
      <c r="V60" s="32">
        <f t="shared" si="19"/>
        <v>18</v>
      </c>
      <c r="W60" s="32">
        <f t="shared" si="20"/>
        <v>22</v>
      </c>
      <c r="X60" s="32">
        <f t="shared" si="21"/>
        <v>10</v>
      </c>
      <c r="Y60" s="32">
        <f t="shared" si="22"/>
        <v>14</v>
      </c>
      <c r="Z60" s="32">
        <f t="shared" si="23"/>
        <v>18</v>
      </c>
      <c r="AA60" s="32" t="str">
        <f t="shared" si="24"/>
        <v/>
      </c>
      <c r="AB60" s="32">
        <f>IF($A60="","",IF($T60="No Throw",0,IF($K60&lt;&gt;"",$K60,IF($AA60&lt;&gt;"",ROUND($AA60*$D$12*IF($C60=0,1,$G$10),0),MIN(IF($T60="Recovery/Easy Catch",Reference!$B$103,IF($T60="Long Toss",Reference!$B$106,Reference!$B$102)),MAX(Reference!$B$101,ROUND(MAX(0,$Q60-$AE60)/$AF60,0)))))))</f>
        <v>25</v>
      </c>
      <c r="AC60" s="32">
        <f t="shared" si="25"/>
        <v>0</v>
      </c>
      <c r="AD60" s="32" t="b">
        <f t="shared" si="26"/>
        <v>0</v>
      </c>
      <c r="AE60" s="32">
        <f>IF($X60=0,0,$X60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60+$Z60)/2,0),Reference!$A$17:$B$20,2,TRUE()))</f>
        <v>6</v>
      </c>
      <c r="AF60" s="32">
        <f>IF(OR($A60="",$U60="",$T60="No Throw"),0,$AM60*VLOOKUP(MAX(($V60+$W60)/2,0),Reference!$A$17:$B$20,2,TRUE()))</f>
        <v>0.78</v>
      </c>
      <c r="AG60" s="32">
        <f>IF($AC60=0,0,$AC60*INDEX(Reference!$B$61:$B$62,MATCH("Bullpen",Reference!$A$61:$A$62,0))*VLOOKUP(MAX($D$5-($D$9+$E$9)/2,0),Reference!$A$17:$B$20,2,TRUE()))</f>
        <v>0</v>
      </c>
      <c r="AH60" s="32" t="e">
        <f t="shared" si="27"/>
        <v>#N/A</v>
      </c>
      <c r="AI60" s="32">
        <f>IF($A60="",NA(),Reference!$A$25)</f>
        <v>0.8</v>
      </c>
      <c r="AJ60" s="32">
        <f t="shared" si="28"/>
        <v>1.3</v>
      </c>
      <c r="AK60" s="56">
        <f>IF(OR($A60="",N($C60)&lt;=7,$T60="No Throw",$J60="x"),0,INDEX(Reference!$B$108:$B$114,$N60+1))</f>
        <v>0.24</v>
      </c>
      <c r="AL60" s="32">
        <f t="shared" si="29"/>
        <v>1</v>
      </c>
      <c r="AM60" s="32">
        <f>IF($U60="",0,IF($AL60&gt;1,((IF(1&lt;=$AL60,($AL60-1+3)*(INDEX(Reference!$B$6:$B$11,MIN(5,MATCH(MAX(Reference!$A$6,MIN(Reference!$A$11,MIN($U60,90))),Reference!$A$6:$A$11,1)))+(MAX(Reference!$A$6,MIN(Reference!$A$11,MIN($U60,90)))-INDEX(Reference!$A$6:$A$11,MIN(5,MATCH(MAX(Reference!$A$6,MIN(Reference!$A$11,MIN($U60,90))),Reference!$A$6:$A$11,1))))*(INDEX(Reference!$B$6:$B$11,MIN(5,MATCH(MAX(Reference!$A$6,MIN(Reference!$A$11,MIN($U60,90))),Reference!$A$6:$A$11,1))+1)-INDEX(Reference!$B$6:$B$11,MIN(5,MATCH(MAX(Reference!$A$6,MIN(Reference!$A$11,MIN($U60,90))),Reference!$A$6:$A$11,1))))/(INDEX(Reference!$A$6:$A$11,MIN(5,MATCH(MAX(Reference!$A$6,MIN(Reference!$A$11,MIN($U60,90))),Reference!$A$6:$A$11,1))+1)-INDEX(Reference!$A$6:$A$11,MIN(5,MATCH(MAX(Reference!$A$6,MIN(Reference!$A$11,MIN($U60,90))),Reference!$A$6:$A$11,1))))),0)+IF(2&lt;=$AL60,($AL60-2+3)*(INDEX(Reference!$B$6:$B$11,MIN(5,MATCH(MAX(Reference!$A$6,MIN(Reference!$A$11,MIN($U60,120))),Reference!$A$6:$A$11,1)))+(MAX(Reference!$A$6,MIN(Reference!$A$11,MIN($U60,120)))-INDEX(Reference!$A$6:$A$11,MIN(5,MATCH(MAX(Reference!$A$6,MIN(Reference!$A$11,MIN($U60,120))),Reference!$A$6:$A$11,1))))*(INDEX(Reference!$B$6:$B$11,MIN(5,MATCH(MAX(Reference!$A$6,MIN(Reference!$A$11,MIN($U60,120))),Reference!$A$6:$A$11,1))+1)-INDEX(Reference!$B$6:$B$11,MIN(5,MATCH(MAX(Reference!$A$6,MIN(Reference!$A$11,MIN($U60,120))),Reference!$A$6:$A$11,1))))/(INDEX(Reference!$A$6:$A$11,MIN(5,MATCH(MAX(Reference!$A$6,MIN(Reference!$A$11,MIN($U60,120))),Reference!$A$6:$A$11,1))+1)-INDEX(Reference!$A$6:$A$11,MIN(5,MATCH(MAX(Reference!$A$6,MIN(Reference!$A$11,MIN($U60,120))),Reference!$A$6:$A$11,1))))),0)+IF(3&lt;=$AL60,($AL60-3+3)*(INDEX(Reference!$B$6:$B$11,MIN(5,MATCH(MAX(Reference!$A$6,MIN(Reference!$A$11,MIN($U60,150))),Reference!$A$6:$A$11,1)))+(MAX(Reference!$A$6,MIN(Reference!$A$11,MIN($U60,150)))-INDEX(Reference!$A$6:$A$11,MIN(5,MATCH(MAX(Reference!$A$6,MIN(Reference!$A$11,MIN($U60,150))),Reference!$A$6:$A$11,1))))*(INDEX(Reference!$B$6:$B$11,MIN(5,MATCH(MAX(Reference!$A$6,MIN(Reference!$A$11,MIN($U60,150))),Reference!$A$6:$A$11,1))+1)-INDEX(Reference!$B$6:$B$11,MIN(5,MATCH(MAX(Reference!$A$6,MIN(Reference!$A$11,MIN($U60,150))),Reference!$A$6:$A$11,1))))/(INDEX(Reference!$A$6:$A$11,MIN(5,MATCH(MAX(Reference!$A$6,MIN(Reference!$A$11,MIN($U60,150))),Reference!$A$6:$A$11,1))+1)-INDEX(Reference!$A$6:$A$11,MIN(5,MATCH(MAX(Reference!$A$6,MIN(Reference!$A$11,MIN($U60,150))),Reference!$A$6:$A$11,1))))),0)+IF(4&lt;=$AL60,($AL60-4+3)*(INDEX(Reference!$B$6:$B$11,MIN(5,MATCH(MAX(Reference!$A$6,MIN(Reference!$A$11,MIN($U60,180))),Reference!$A$6:$A$11,1)))+(MAX(Reference!$A$6,MIN(Reference!$A$11,MIN($U60,180)))-INDEX(Reference!$A$6:$A$11,MIN(5,MATCH(MAX(Reference!$A$6,MIN(Reference!$A$11,MIN($U60,180))),Reference!$A$6:$A$11,1))))*(INDEX(Reference!$B$6:$B$11,MIN(5,MATCH(MAX(Reference!$A$6,MIN(Reference!$A$11,MIN($U60,180))),Reference!$A$6:$A$11,1))+1)-INDEX(Reference!$B$6:$B$11,MIN(5,MATCH(MAX(Reference!$A$6,MIN(Reference!$A$11,MIN($U60,180))),Reference!$A$6:$A$11,1))))/(INDEX(Reference!$A$6:$A$11,MIN(5,MATCH(MAX(Reference!$A$6,MIN(Reference!$A$11,MIN($U60,180))),Reference!$A$6:$A$11,1))+1)-INDEX(Reference!$A$6:$A$11,MIN(5,MATCH(MAX(Reference!$A$6,MIN(Reference!$A$11,MIN($U60,180))),Reference!$A$6:$A$11,1))))),0)+IF(5&lt;=$AL60,($AL60-5+3)*(INDEX(Reference!$B$6:$B$11,MIN(5,MATCH(MAX(Reference!$A$6,MIN(Reference!$A$11,MIN($U60,210))),Reference!$A$6:$A$11,1)))+(MAX(Reference!$A$6,MIN(Reference!$A$11,MIN($U60,210)))-INDEX(Reference!$A$6:$A$11,MIN(5,MATCH(MAX(Reference!$A$6,MIN(Reference!$A$11,MIN($U60,210))),Reference!$A$6:$A$11,1))))*(INDEX(Reference!$B$6:$B$11,MIN(5,MATCH(MAX(Reference!$A$6,MIN(Reference!$A$11,MIN($U60,210))),Reference!$A$6:$A$11,1))+1)-INDEX(Reference!$B$6:$B$11,MIN(5,MATCH(MAX(Reference!$A$6,MIN(Reference!$A$11,MIN($U60,210))),Reference!$A$6:$A$11,1))))/(INDEX(Reference!$A$6:$A$11,MIN(5,MATCH(MAX(Reference!$A$6,MIN(Reference!$A$11,MIN($U60,210))),Reference!$A$6:$A$11,1))+1)-INDEX(Reference!$A$6:$A$11,MIN(5,MATCH(MAX(Reference!$A$6,MIN(Reference!$A$11,MIN($U60,210))),Reference!$A$6:$A$11,1))))),0)+IF(6&lt;=$AL60,($AL60-6+3)*(INDEX(Reference!$B$6:$B$11,MIN(5,MATCH(MAX(Reference!$A$6,MIN(Reference!$A$11,MIN($U60,240))),Reference!$A$6:$A$11,1)))+(MAX(Reference!$A$6,MIN(Reference!$A$11,MIN($U60,240)))-INDEX(Reference!$A$6:$A$11,MIN(5,MATCH(MAX(Reference!$A$6,MIN(Reference!$A$11,MIN($U60,240))),Reference!$A$6:$A$11,1))))*(INDEX(Reference!$B$6:$B$11,MIN(5,MATCH(MAX(Reference!$A$6,MIN(Reference!$A$11,MIN($U60,240))),Reference!$A$6:$A$11,1))+1)-INDEX(Reference!$B$6:$B$11,MIN(5,MATCH(MAX(Reference!$A$6,MIN(Reference!$A$11,MIN($U60,240))),Reference!$A$6:$A$11,1))))/(INDEX(Reference!$A$6:$A$11,MIN(5,MATCH(MAX(Reference!$A$6,MIN(Reference!$A$11,MIN($U60,240))),Reference!$A$6:$A$11,1))+1)-INDEX(Reference!$A$6:$A$11,MIN(5,MATCH(MAX(Reference!$A$6,MIN(Reference!$A$11,MIN($U60,240))),Reference!$A$6:$A$11,1))))),0)+IF(7&lt;=$AL60,($AL60-7+3)*(INDEX(Reference!$B$6:$B$11,MIN(5,MATCH(MAX(Reference!$A$6,MIN(Reference!$A$11,MIN($U60,270))),Reference!$A$6:$A$11,1)))+(MAX(Reference!$A$6,MIN(Reference!$A$11,MIN($U60,270)))-INDEX(Reference!$A$6:$A$11,MIN(5,MATCH(MAX(Reference!$A$6,MIN(Reference!$A$11,MIN($U60,270))),Reference!$A$6:$A$11,1))))*(INDEX(Reference!$B$6:$B$11,MIN(5,MATCH(MAX(Reference!$A$6,MIN(Reference!$A$11,MIN($U60,270))),Reference!$A$6:$A$11,1))+1)-INDEX(Reference!$B$6:$B$11,MIN(5,MATCH(MAX(Reference!$A$6,MIN(Reference!$A$11,MIN($U60,270))),Reference!$A$6:$A$11,1))))/(INDEX(Reference!$A$6:$A$11,MIN(5,MATCH(MAX(Reference!$A$6,MIN(Reference!$A$11,MIN($U60,270))),Reference!$A$6:$A$11,1))+1)-INDEX(Reference!$A$6:$A$11,MIN(5,MATCH(MAX(Reference!$A$6,MIN(Reference!$A$11,MIN($U60,270))),Reference!$A$6:$A$11,1))))),0)+IF(8&lt;=$AL60,($AL60-8+3)*(INDEX(Reference!$B$6:$B$11,MIN(5,MATCH(MAX(Reference!$A$6,MIN(Reference!$A$11,MIN($U60,300))),Reference!$A$6:$A$11,1)))+(MAX(Reference!$A$6,MIN(Reference!$A$11,MIN($U60,300)))-INDEX(Reference!$A$6:$A$11,MIN(5,MATCH(MAX(Reference!$A$6,MIN(Reference!$A$11,MIN($U60,300))),Reference!$A$6:$A$11,1))))*(INDEX(Reference!$B$6:$B$11,MIN(5,MATCH(MAX(Reference!$A$6,MIN(Reference!$A$11,MIN($U60,300))),Reference!$A$6:$A$11,1))+1)-INDEX(Reference!$B$6:$B$11,MIN(5,MATCH(MAX(Reference!$A$6,MIN(Reference!$A$11,MIN($U60,300))),Reference!$A$6:$A$11,1))))/(INDEX(Reference!$A$6:$A$11,MIN(5,MATCH(MAX(Reference!$A$6,MIN(Reference!$A$11,MIN($U60,300))),Reference!$A$6:$A$11,1))+1)-INDEX(Reference!$A$6:$A$11,MIN(5,MATCH(MAX(Reference!$A$6,MIN(Reference!$A$11,MIN($U60,300))),Reference!$A$6:$A$11,1))))),0))/($AL60*($AL60+5)/2)),$AN60))</f>
        <v>1.3</v>
      </c>
      <c r="AN60" s="32">
        <f>IF($U60="",0,(INDEX(Reference!$B$6:$B$11,MIN(5,MATCH(MAX(Reference!$A$6,MIN(Reference!$A$11,$U60)),Reference!$A$6:$A$11,1)))+(MAX(Reference!$A$6,MIN(Reference!$A$11,$U60))-INDEX(Reference!$A$6:$A$11,MIN(5,MATCH(MAX(Reference!$A$6,MIN(Reference!$A$11,$U60)),Reference!$A$6:$A$11,1))))*(INDEX(Reference!$B$6:$B$11,MIN(5,MATCH(MAX(Reference!$A$6,MIN(Reference!$A$11,$U60)),Reference!$A$6:$A$11,1))+1)-INDEX(Reference!$B$6:$B$11,MIN(5,MATCH(MAX(Reference!$A$6,MIN(Reference!$A$11,$U60)),Reference!$A$6:$A$11,1))))/(INDEX(Reference!$A$6:$A$11,MIN(5,MATCH(MAX(Reference!$A$6,MIN(Reference!$A$11,$U60)),Reference!$A$6:$A$11,1))+1)-INDEX(Reference!$A$6:$A$11,MIN(5,MATCH(MAX(Reference!$A$6,MIN(Reference!$A$11,$U60)),Reference!$A$6:$A$11,1))))))</f>
        <v>1.3</v>
      </c>
      <c r="AO60" s="37"/>
      <c r="AP60" s="37"/>
      <c r="AQ60" s="37"/>
    </row>
    <row r="61" spans="1:43" x14ac:dyDescent="0.3">
      <c r="A61" s="48">
        <f t="shared" si="5"/>
        <v>46325</v>
      </c>
      <c r="B61" s="32" t="str">
        <f t="shared" si="6"/>
        <v>Fri</v>
      </c>
      <c r="C61" s="32">
        <f t="shared" si="7"/>
        <v>66</v>
      </c>
      <c r="D61" s="32" t="str">
        <f t="shared" si="8"/>
        <v>Base</v>
      </c>
      <c r="E61" s="32" t="str">
        <f t="shared" si="9"/>
        <v>Low</v>
      </c>
      <c r="F61" s="32" t="str">
        <f t="shared" si="10"/>
        <v>Recovery/Easy Catch</v>
      </c>
      <c r="G61" s="47" t="str">
        <f t="shared" si="11"/>
        <v>60 ft × 20 @ 65–69 mph</v>
      </c>
      <c r="H61" s="30">
        <f t="shared" si="12"/>
        <v>12</v>
      </c>
      <c r="I61" s="46" t="str">
        <f>IF($A61="","",IF(AND($L61&lt;27,$K$12=0),"Building",IFERROR(((SUM($H$55:$H61)+$K$12*IF($L61&lt;6,SUMIFS('Throw Log'!$Q$5:$Q$300,'Throw Log'!$B$5:$B$300,$D$4,'Throw Log'!$A$5:$A$300,"&gt;="&amp;($D$6+$L61-6),'Throw Log'!$A$5:$A$300,"&lt;="&amp;($D$6-1)),0))/7)/((SUM($H$43:$H61)+$K$12*IF($L61&lt;27,SUMIFS('Throw Log'!$Q$5:$Q$300,'Throw Log'!$B$5:$B$300,$D$4,'Throw Log'!$A$5:$A$300,"&gt;="&amp;($D$6+$L61-27),'Throw Log'!$A$5:$A$300,"&lt;="&amp;($D$6-1)),0))/28),"")))</f>
        <v>Building</v>
      </c>
      <c r="J61" s="37"/>
      <c r="K61" s="37"/>
      <c r="L61" s="32">
        <v>18</v>
      </c>
      <c r="M61" s="32">
        <f t="shared" si="13"/>
        <v>3</v>
      </c>
      <c r="N61" s="32">
        <f t="shared" si="14"/>
        <v>4</v>
      </c>
      <c r="O61" s="32">
        <f t="shared" si="15"/>
        <v>0.23684210526315788</v>
      </c>
      <c r="P61" s="32">
        <f>IF(OR($A61="",N($C61)&lt;=7),"",$G$6*$G$9^($M61-1)*IF(AND(MOD($M61,Reference!$B$99)=0,$M61&lt;=$G$5-2),Reference!$B$100,1))</f>
        <v>101.26670033263869</v>
      </c>
      <c r="Q61" s="32">
        <f>IF($P61="","",IF(SUM($AK$57:$AK$63)=0,0,$P61*INDEX(Reference!$B$108:$B$114,$N61+1)/SUM($AK$57:$AK$63)))</f>
        <v>10.126670033263871</v>
      </c>
      <c r="R61" s="32">
        <f t="shared" si="16"/>
        <v>105</v>
      </c>
      <c r="S61" s="32">
        <f t="shared" si="17"/>
        <v>90</v>
      </c>
      <c r="T61" s="32" t="str">
        <f>IF($A61="","",IF($C61=0,"Bullpen",IF(OR($C61=7,$C61=1,$C61=5),"Recovery/Easy Catch",IF($C61=6,"Compression/Pulldowns",IF(OR($C61=4,$C61=2),"Long Toss",IF($C61=3,"No Throw",IF($N61=2,"No Throw",IF($N61=6,IF($O61&lt;Reference!$B$104,"No Throw","Recovery/Easy Catch"),IF(OR($N61=0,$N61=4),"Recovery/Easy Catch",IF($N61=1,IF($R61&gt;75,"Long Toss","Recovery/Easy Catch"),IF($N61=3,IF($O61&lt;0.5,IF($S61&gt;75,"Long Toss","Recovery/Easy Catch"),"Compression/Pulldowns"),IF($S61&gt;75,"Long Toss","Recovery/Easy Catch"))))))))))))</f>
        <v>Recovery/Easy Catch</v>
      </c>
      <c r="U61" s="32">
        <f t="shared" si="18"/>
        <v>60</v>
      </c>
      <c r="V61" s="32">
        <f t="shared" si="19"/>
        <v>20</v>
      </c>
      <c r="W61" s="32">
        <f t="shared" si="20"/>
        <v>24</v>
      </c>
      <c r="X61" s="32">
        <f t="shared" si="21"/>
        <v>0</v>
      </c>
      <c r="Y61" s="32" t="str">
        <f t="shared" si="22"/>
        <v/>
      </c>
      <c r="Z61" s="32" t="str">
        <f t="shared" si="23"/>
        <v/>
      </c>
      <c r="AA61" s="32" t="str">
        <f t="shared" si="24"/>
        <v/>
      </c>
      <c r="AB61" s="32">
        <f>IF($A61="","",IF($T61="No Throw",0,IF($K61&lt;&gt;"",$K61,IF($AA61&lt;&gt;"",ROUND($AA61*$D$12*IF($C61=0,1,$G$10),0),MIN(IF($T61="Recovery/Easy Catch",Reference!$B$103,IF($T61="Long Toss",Reference!$B$106,Reference!$B$102)),MAX(Reference!$B$101,ROUND(MAX(0,$Q61-$AE61)/$AF61,0)))))))</f>
        <v>20</v>
      </c>
      <c r="AC61" s="32">
        <f t="shared" si="25"/>
        <v>0</v>
      </c>
      <c r="AD61" s="32" t="b">
        <f t="shared" si="26"/>
        <v>0</v>
      </c>
      <c r="AE61" s="32">
        <f>IF($X61=0,0,$X61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61+$Z61)/2,0),Reference!$A$17:$B$20,2,TRUE()))</f>
        <v>0</v>
      </c>
      <c r="AF61" s="32">
        <f>IF(OR($A61="",$U61="",$T61="No Throw"),0,$AM61*VLOOKUP(MAX(($V61+$W61)/2,0),Reference!$A$17:$B$20,2,TRUE()))</f>
        <v>0.6</v>
      </c>
      <c r="AG61" s="32">
        <f>IF($AC61=0,0,$AC61*INDEX(Reference!$B$61:$B$62,MATCH("Bullpen",Reference!$A$61:$A$62,0))*VLOOKUP(MAX($D$5-($D$9+$E$9)/2,0),Reference!$A$17:$B$20,2,TRUE()))</f>
        <v>0</v>
      </c>
      <c r="AH61" s="32" t="e">
        <f t="shared" si="27"/>
        <v>#N/A</v>
      </c>
      <c r="AI61" s="32">
        <f>IF($A61="",NA(),Reference!$A$25)</f>
        <v>0.8</v>
      </c>
      <c r="AJ61" s="32">
        <f t="shared" si="28"/>
        <v>1.3</v>
      </c>
      <c r="AK61" s="56">
        <f>IF(OR($A61="",N($C61)&lt;=7,$T61="No Throw",$J61="x"),0,INDEX(Reference!$B$108:$B$114,$N61+1))</f>
        <v>0.1</v>
      </c>
      <c r="AL61" s="32">
        <f t="shared" si="29"/>
        <v>1</v>
      </c>
      <c r="AM61" s="32">
        <f>IF($U61="",0,IF($AL61&gt;1,((IF(1&lt;=$AL61,($AL61-1+3)*(INDEX(Reference!$B$6:$B$11,MIN(5,MATCH(MAX(Reference!$A$6,MIN(Reference!$A$11,MIN($U61,90))),Reference!$A$6:$A$11,1)))+(MAX(Reference!$A$6,MIN(Reference!$A$11,MIN($U61,90)))-INDEX(Reference!$A$6:$A$11,MIN(5,MATCH(MAX(Reference!$A$6,MIN(Reference!$A$11,MIN($U61,90))),Reference!$A$6:$A$11,1))))*(INDEX(Reference!$B$6:$B$11,MIN(5,MATCH(MAX(Reference!$A$6,MIN(Reference!$A$11,MIN($U61,90))),Reference!$A$6:$A$11,1))+1)-INDEX(Reference!$B$6:$B$11,MIN(5,MATCH(MAX(Reference!$A$6,MIN(Reference!$A$11,MIN($U61,90))),Reference!$A$6:$A$11,1))))/(INDEX(Reference!$A$6:$A$11,MIN(5,MATCH(MAX(Reference!$A$6,MIN(Reference!$A$11,MIN($U61,90))),Reference!$A$6:$A$11,1))+1)-INDEX(Reference!$A$6:$A$11,MIN(5,MATCH(MAX(Reference!$A$6,MIN(Reference!$A$11,MIN($U61,90))),Reference!$A$6:$A$11,1))))),0)+IF(2&lt;=$AL61,($AL61-2+3)*(INDEX(Reference!$B$6:$B$11,MIN(5,MATCH(MAX(Reference!$A$6,MIN(Reference!$A$11,MIN($U61,120))),Reference!$A$6:$A$11,1)))+(MAX(Reference!$A$6,MIN(Reference!$A$11,MIN($U61,120)))-INDEX(Reference!$A$6:$A$11,MIN(5,MATCH(MAX(Reference!$A$6,MIN(Reference!$A$11,MIN($U61,120))),Reference!$A$6:$A$11,1))))*(INDEX(Reference!$B$6:$B$11,MIN(5,MATCH(MAX(Reference!$A$6,MIN(Reference!$A$11,MIN($U61,120))),Reference!$A$6:$A$11,1))+1)-INDEX(Reference!$B$6:$B$11,MIN(5,MATCH(MAX(Reference!$A$6,MIN(Reference!$A$11,MIN($U61,120))),Reference!$A$6:$A$11,1))))/(INDEX(Reference!$A$6:$A$11,MIN(5,MATCH(MAX(Reference!$A$6,MIN(Reference!$A$11,MIN($U61,120))),Reference!$A$6:$A$11,1))+1)-INDEX(Reference!$A$6:$A$11,MIN(5,MATCH(MAX(Reference!$A$6,MIN(Reference!$A$11,MIN($U61,120))),Reference!$A$6:$A$11,1))))),0)+IF(3&lt;=$AL61,($AL61-3+3)*(INDEX(Reference!$B$6:$B$11,MIN(5,MATCH(MAX(Reference!$A$6,MIN(Reference!$A$11,MIN($U61,150))),Reference!$A$6:$A$11,1)))+(MAX(Reference!$A$6,MIN(Reference!$A$11,MIN($U61,150)))-INDEX(Reference!$A$6:$A$11,MIN(5,MATCH(MAX(Reference!$A$6,MIN(Reference!$A$11,MIN($U61,150))),Reference!$A$6:$A$11,1))))*(INDEX(Reference!$B$6:$B$11,MIN(5,MATCH(MAX(Reference!$A$6,MIN(Reference!$A$11,MIN($U61,150))),Reference!$A$6:$A$11,1))+1)-INDEX(Reference!$B$6:$B$11,MIN(5,MATCH(MAX(Reference!$A$6,MIN(Reference!$A$11,MIN($U61,150))),Reference!$A$6:$A$11,1))))/(INDEX(Reference!$A$6:$A$11,MIN(5,MATCH(MAX(Reference!$A$6,MIN(Reference!$A$11,MIN($U61,150))),Reference!$A$6:$A$11,1))+1)-INDEX(Reference!$A$6:$A$11,MIN(5,MATCH(MAX(Reference!$A$6,MIN(Reference!$A$11,MIN($U61,150))),Reference!$A$6:$A$11,1))))),0)+IF(4&lt;=$AL61,($AL61-4+3)*(INDEX(Reference!$B$6:$B$11,MIN(5,MATCH(MAX(Reference!$A$6,MIN(Reference!$A$11,MIN($U61,180))),Reference!$A$6:$A$11,1)))+(MAX(Reference!$A$6,MIN(Reference!$A$11,MIN($U61,180)))-INDEX(Reference!$A$6:$A$11,MIN(5,MATCH(MAX(Reference!$A$6,MIN(Reference!$A$11,MIN($U61,180))),Reference!$A$6:$A$11,1))))*(INDEX(Reference!$B$6:$B$11,MIN(5,MATCH(MAX(Reference!$A$6,MIN(Reference!$A$11,MIN($U61,180))),Reference!$A$6:$A$11,1))+1)-INDEX(Reference!$B$6:$B$11,MIN(5,MATCH(MAX(Reference!$A$6,MIN(Reference!$A$11,MIN($U61,180))),Reference!$A$6:$A$11,1))))/(INDEX(Reference!$A$6:$A$11,MIN(5,MATCH(MAX(Reference!$A$6,MIN(Reference!$A$11,MIN($U61,180))),Reference!$A$6:$A$11,1))+1)-INDEX(Reference!$A$6:$A$11,MIN(5,MATCH(MAX(Reference!$A$6,MIN(Reference!$A$11,MIN($U61,180))),Reference!$A$6:$A$11,1))))),0)+IF(5&lt;=$AL61,($AL61-5+3)*(INDEX(Reference!$B$6:$B$11,MIN(5,MATCH(MAX(Reference!$A$6,MIN(Reference!$A$11,MIN($U61,210))),Reference!$A$6:$A$11,1)))+(MAX(Reference!$A$6,MIN(Reference!$A$11,MIN($U61,210)))-INDEX(Reference!$A$6:$A$11,MIN(5,MATCH(MAX(Reference!$A$6,MIN(Reference!$A$11,MIN($U61,210))),Reference!$A$6:$A$11,1))))*(INDEX(Reference!$B$6:$B$11,MIN(5,MATCH(MAX(Reference!$A$6,MIN(Reference!$A$11,MIN($U61,210))),Reference!$A$6:$A$11,1))+1)-INDEX(Reference!$B$6:$B$11,MIN(5,MATCH(MAX(Reference!$A$6,MIN(Reference!$A$11,MIN($U61,210))),Reference!$A$6:$A$11,1))))/(INDEX(Reference!$A$6:$A$11,MIN(5,MATCH(MAX(Reference!$A$6,MIN(Reference!$A$11,MIN($U61,210))),Reference!$A$6:$A$11,1))+1)-INDEX(Reference!$A$6:$A$11,MIN(5,MATCH(MAX(Reference!$A$6,MIN(Reference!$A$11,MIN($U61,210))),Reference!$A$6:$A$11,1))))),0)+IF(6&lt;=$AL61,($AL61-6+3)*(INDEX(Reference!$B$6:$B$11,MIN(5,MATCH(MAX(Reference!$A$6,MIN(Reference!$A$11,MIN($U61,240))),Reference!$A$6:$A$11,1)))+(MAX(Reference!$A$6,MIN(Reference!$A$11,MIN($U61,240)))-INDEX(Reference!$A$6:$A$11,MIN(5,MATCH(MAX(Reference!$A$6,MIN(Reference!$A$11,MIN($U61,240))),Reference!$A$6:$A$11,1))))*(INDEX(Reference!$B$6:$B$11,MIN(5,MATCH(MAX(Reference!$A$6,MIN(Reference!$A$11,MIN($U61,240))),Reference!$A$6:$A$11,1))+1)-INDEX(Reference!$B$6:$B$11,MIN(5,MATCH(MAX(Reference!$A$6,MIN(Reference!$A$11,MIN($U61,240))),Reference!$A$6:$A$11,1))))/(INDEX(Reference!$A$6:$A$11,MIN(5,MATCH(MAX(Reference!$A$6,MIN(Reference!$A$11,MIN($U61,240))),Reference!$A$6:$A$11,1))+1)-INDEX(Reference!$A$6:$A$11,MIN(5,MATCH(MAX(Reference!$A$6,MIN(Reference!$A$11,MIN($U61,240))),Reference!$A$6:$A$11,1))))),0)+IF(7&lt;=$AL61,($AL61-7+3)*(INDEX(Reference!$B$6:$B$11,MIN(5,MATCH(MAX(Reference!$A$6,MIN(Reference!$A$11,MIN($U61,270))),Reference!$A$6:$A$11,1)))+(MAX(Reference!$A$6,MIN(Reference!$A$11,MIN($U61,270)))-INDEX(Reference!$A$6:$A$11,MIN(5,MATCH(MAX(Reference!$A$6,MIN(Reference!$A$11,MIN($U61,270))),Reference!$A$6:$A$11,1))))*(INDEX(Reference!$B$6:$B$11,MIN(5,MATCH(MAX(Reference!$A$6,MIN(Reference!$A$11,MIN($U61,270))),Reference!$A$6:$A$11,1))+1)-INDEX(Reference!$B$6:$B$11,MIN(5,MATCH(MAX(Reference!$A$6,MIN(Reference!$A$11,MIN($U61,270))),Reference!$A$6:$A$11,1))))/(INDEX(Reference!$A$6:$A$11,MIN(5,MATCH(MAX(Reference!$A$6,MIN(Reference!$A$11,MIN($U61,270))),Reference!$A$6:$A$11,1))+1)-INDEX(Reference!$A$6:$A$11,MIN(5,MATCH(MAX(Reference!$A$6,MIN(Reference!$A$11,MIN($U61,270))),Reference!$A$6:$A$11,1))))),0)+IF(8&lt;=$AL61,($AL61-8+3)*(INDEX(Reference!$B$6:$B$11,MIN(5,MATCH(MAX(Reference!$A$6,MIN(Reference!$A$11,MIN($U61,300))),Reference!$A$6:$A$11,1)))+(MAX(Reference!$A$6,MIN(Reference!$A$11,MIN($U61,300)))-INDEX(Reference!$A$6:$A$11,MIN(5,MATCH(MAX(Reference!$A$6,MIN(Reference!$A$11,MIN($U61,300))),Reference!$A$6:$A$11,1))))*(INDEX(Reference!$B$6:$B$11,MIN(5,MATCH(MAX(Reference!$A$6,MIN(Reference!$A$11,MIN($U61,300))),Reference!$A$6:$A$11,1))+1)-INDEX(Reference!$B$6:$B$11,MIN(5,MATCH(MAX(Reference!$A$6,MIN(Reference!$A$11,MIN($U61,300))),Reference!$A$6:$A$11,1))))/(INDEX(Reference!$A$6:$A$11,MIN(5,MATCH(MAX(Reference!$A$6,MIN(Reference!$A$11,MIN($U61,300))),Reference!$A$6:$A$11,1))+1)-INDEX(Reference!$A$6:$A$11,MIN(5,MATCH(MAX(Reference!$A$6,MIN(Reference!$A$11,MIN($U61,300))),Reference!$A$6:$A$11,1))))),0))/($AL61*($AL61+5)/2)),$AN61))</f>
        <v>1</v>
      </c>
      <c r="AN61" s="32">
        <f>IF($U61="",0,(INDEX(Reference!$B$6:$B$11,MIN(5,MATCH(MAX(Reference!$A$6,MIN(Reference!$A$11,$U61)),Reference!$A$6:$A$11,1)))+(MAX(Reference!$A$6,MIN(Reference!$A$11,$U61))-INDEX(Reference!$A$6:$A$11,MIN(5,MATCH(MAX(Reference!$A$6,MIN(Reference!$A$11,$U61)),Reference!$A$6:$A$11,1))))*(INDEX(Reference!$B$6:$B$11,MIN(5,MATCH(MAX(Reference!$A$6,MIN(Reference!$A$11,$U61)),Reference!$A$6:$A$11,1))+1)-INDEX(Reference!$B$6:$B$11,MIN(5,MATCH(MAX(Reference!$A$6,MIN(Reference!$A$11,$U61)),Reference!$A$6:$A$11,1))))/(INDEX(Reference!$A$6:$A$11,MIN(5,MATCH(MAX(Reference!$A$6,MIN(Reference!$A$11,$U61)),Reference!$A$6:$A$11,1))+1)-INDEX(Reference!$A$6:$A$11,MIN(5,MATCH(MAX(Reference!$A$6,MIN(Reference!$A$11,$U61)),Reference!$A$6:$A$11,1))))))</f>
        <v>1</v>
      </c>
      <c r="AO61" s="37"/>
      <c r="AP61" s="37"/>
      <c r="AQ61" s="37"/>
    </row>
    <row r="62" spans="1:43" x14ac:dyDescent="0.3">
      <c r="A62" s="48">
        <f t="shared" si="5"/>
        <v>46326</v>
      </c>
      <c r="B62" s="32" t="str">
        <f t="shared" si="6"/>
        <v>Sat</v>
      </c>
      <c r="C62" s="32">
        <f t="shared" si="7"/>
        <v>65</v>
      </c>
      <c r="D62" s="32" t="str">
        <f t="shared" si="8"/>
        <v>Base</v>
      </c>
      <c r="E62" s="32" t="str">
        <f t="shared" si="9"/>
        <v>Medium</v>
      </c>
      <c r="F62" s="32" t="str">
        <f t="shared" si="10"/>
        <v>Long Toss</v>
      </c>
      <c r="G62" s="47" t="str">
        <f t="shared" si="11"/>
        <v>90 ft × 25 @ 74–77 mph + 60 ft × 12 @ 71–75 mph</v>
      </c>
      <c r="H62" s="30">
        <f t="shared" si="12"/>
        <v>26.7</v>
      </c>
      <c r="I62" s="46" t="str">
        <f>IF($A62="","",IF(AND($L62&lt;27,$K$12=0),"Building",IFERROR(((SUM($H$56:$H62)+$K$12*IF($L62&lt;6,SUMIFS('Throw Log'!$Q$5:$Q$300,'Throw Log'!$B$5:$B$300,$D$4,'Throw Log'!$A$5:$A$300,"&gt;="&amp;($D$6+$L62-6),'Throw Log'!$A$5:$A$300,"&lt;="&amp;($D$6-1)),0))/7)/((SUM($H$43:$H62)+$K$12*IF($L62&lt;27,SUMIFS('Throw Log'!$Q$5:$Q$300,'Throw Log'!$B$5:$B$300,$D$4,'Throw Log'!$A$5:$A$300,"&gt;="&amp;($D$6+$L62-27),'Throw Log'!$A$5:$A$300,"&lt;="&amp;($D$6-1)),0))/28),"")))</f>
        <v>Building</v>
      </c>
      <c r="J62" s="37"/>
      <c r="K62" s="37">
        <v>25</v>
      </c>
      <c r="L62" s="32">
        <v>19</v>
      </c>
      <c r="M62" s="32">
        <f t="shared" si="13"/>
        <v>3</v>
      </c>
      <c r="N62" s="32">
        <f t="shared" si="14"/>
        <v>5</v>
      </c>
      <c r="O62" s="32">
        <f t="shared" si="15"/>
        <v>0.25</v>
      </c>
      <c r="P62" s="32">
        <f>IF(OR($A62="",N($C62)&lt;=7),"",$G$6*$G$9^($M62-1)*IF(AND(MOD($M62,Reference!$B$99)=0,$M62&lt;=$G$5-2),Reference!$B$100,1))</f>
        <v>101.26670033263869</v>
      </c>
      <c r="Q62" s="32">
        <f>IF($P62="","",IF(SUM($AK$57:$AK$63)=0,0,$P62*INDEX(Reference!$B$108:$B$114,$N62+1)/SUM($AK$57:$AK$63)))</f>
        <v>27.34200908981245</v>
      </c>
      <c r="R62" s="32">
        <f t="shared" si="16"/>
        <v>105</v>
      </c>
      <c r="S62" s="32">
        <f t="shared" si="17"/>
        <v>90</v>
      </c>
      <c r="T62" s="32" t="str">
        <f>IF($A62="","",IF($C62=0,"Bullpen",IF(OR($C62=7,$C62=1,$C62=5),"Recovery/Easy Catch",IF($C62=6,"Compression/Pulldowns",IF(OR($C62=4,$C62=2),"Long Toss",IF($C62=3,"No Throw",IF($N62=2,"No Throw",IF($N62=6,IF($O62&lt;Reference!$B$104,"No Throw","Recovery/Easy Catch"),IF(OR($N62=0,$N62=4),"Recovery/Easy Catch",IF($N62=1,IF($R62&gt;75,"Long Toss","Recovery/Easy Catch"),IF($N62=3,IF($O62&lt;0.5,IF($S62&gt;75,"Long Toss","Recovery/Easy Catch"),"Compression/Pulldowns"),IF($S62&gt;75,"Long Toss","Recovery/Easy Catch"))))))))))))</f>
        <v>Long Toss</v>
      </c>
      <c r="U62" s="32">
        <f t="shared" si="18"/>
        <v>90</v>
      </c>
      <c r="V62" s="32">
        <f t="shared" si="19"/>
        <v>12</v>
      </c>
      <c r="W62" s="32">
        <f t="shared" si="20"/>
        <v>15</v>
      </c>
      <c r="X62" s="32">
        <f t="shared" si="21"/>
        <v>12</v>
      </c>
      <c r="Y62" s="32">
        <f t="shared" si="22"/>
        <v>14</v>
      </c>
      <c r="Z62" s="32">
        <f t="shared" si="23"/>
        <v>18</v>
      </c>
      <c r="AA62" s="32" t="str">
        <f t="shared" si="24"/>
        <v/>
      </c>
      <c r="AB62" s="32">
        <f>IF($A62="","",IF($T62="No Throw",0,IF($K62&lt;&gt;"",$K62,IF($AA62&lt;&gt;"",ROUND($AA62*$D$12*IF($C62=0,1,$G$10),0),MIN(IF($T62="Recovery/Easy Catch",Reference!$B$103,IF($T62="Long Toss",Reference!$B$106,Reference!$B$102)),MAX(Reference!$B$101,ROUND(MAX(0,$Q62-$AE62)/$AF62,0)))))))</f>
        <v>25</v>
      </c>
      <c r="AC62" s="32">
        <f t="shared" si="25"/>
        <v>0</v>
      </c>
      <c r="AD62" s="32" t="b">
        <f t="shared" si="26"/>
        <v>0</v>
      </c>
      <c r="AE62" s="32">
        <f>IF($X62=0,0,$X62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62+$Z62)/2,0),Reference!$A$17:$B$20,2,TRUE()))</f>
        <v>7.1999999999999993</v>
      </c>
      <c r="AF62" s="32">
        <f>IF(OR($A62="",$U62="",$T62="No Throw"),0,$AM62*VLOOKUP(MAX(($V62+$W62)/2,0),Reference!$A$17:$B$20,2,TRUE()))</f>
        <v>0.78</v>
      </c>
      <c r="AG62" s="32">
        <f>IF($AC62=0,0,$AC62*INDEX(Reference!$B$61:$B$62,MATCH("Bullpen",Reference!$A$61:$A$62,0))*VLOOKUP(MAX($D$5-($D$9+$E$9)/2,0),Reference!$A$17:$B$20,2,TRUE()))</f>
        <v>0</v>
      </c>
      <c r="AH62" s="32" t="e">
        <f t="shared" si="27"/>
        <v>#N/A</v>
      </c>
      <c r="AI62" s="32">
        <f>IF($A62="",NA(),Reference!$A$25)</f>
        <v>0.8</v>
      </c>
      <c r="AJ62" s="32">
        <f t="shared" si="28"/>
        <v>1.3</v>
      </c>
      <c r="AK62" s="56">
        <f>IF(OR($A62="",N($C62)&lt;=7,$T62="No Throw",$J62="x"),0,INDEX(Reference!$B$108:$B$114,$N62+1))</f>
        <v>0.27</v>
      </c>
      <c r="AL62" s="32">
        <f t="shared" si="29"/>
        <v>1</v>
      </c>
      <c r="AM62" s="32">
        <f>IF($U62="",0,IF($AL62&gt;1,((IF(1&lt;=$AL62,($AL62-1+3)*(INDEX(Reference!$B$6:$B$11,MIN(5,MATCH(MAX(Reference!$A$6,MIN(Reference!$A$11,MIN($U62,90))),Reference!$A$6:$A$11,1)))+(MAX(Reference!$A$6,MIN(Reference!$A$11,MIN($U62,90)))-INDEX(Reference!$A$6:$A$11,MIN(5,MATCH(MAX(Reference!$A$6,MIN(Reference!$A$11,MIN($U62,90))),Reference!$A$6:$A$11,1))))*(INDEX(Reference!$B$6:$B$11,MIN(5,MATCH(MAX(Reference!$A$6,MIN(Reference!$A$11,MIN($U62,90))),Reference!$A$6:$A$11,1))+1)-INDEX(Reference!$B$6:$B$11,MIN(5,MATCH(MAX(Reference!$A$6,MIN(Reference!$A$11,MIN($U62,90))),Reference!$A$6:$A$11,1))))/(INDEX(Reference!$A$6:$A$11,MIN(5,MATCH(MAX(Reference!$A$6,MIN(Reference!$A$11,MIN($U62,90))),Reference!$A$6:$A$11,1))+1)-INDEX(Reference!$A$6:$A$11,MIN(5,MATCH(MAX(Reference!$A$6,MIN(Reference!$A$11,MIN($U62,90))),Reference!$A$6:$A$11,1))))),0)+IF(2&lt;=$AL62,($AL62-2+3)*(INDEX(Reference!$B$6:$B$11,MIN(5,MATCH(MAX(Reference!$A$6,MIN(Reference!$A$11,MIN($U62,120))),Reference!$A$6:$A$11,1)))+(MAX(Reference!$A$6,MIN(Reference!$A$11,MIN($U62,120)))-INDEX(Reference!$A$6:$A$11,MIN(5,MATCH(MAX(Reference!$A$6,MIN(Reference!$A$11,MIN($U62,120))),Reference!$A$6:$A$11,1))))*(INDEX(Reference!$B$6:$B$11,MIN(5,MATCH(MAX(Reference!$A$6,MIN(Reference!$A$11,MIN($U62,120))),Reference!$A$6:$A$11,1))+1)-INDEX(Reference!$B$6:$B$11,MIN(5,MATCH(MAX(Reference!$A$6,MIN(Reference!$A$11,MIN($U62,120))),Reference!$A$6:$A$11,1))))/(INDEX(Reference!$A$6:$A$11,MIN(5,MATCH(MAX(Reference!$A$6,MIN(Reference!$A$11,MIN($U62,120))),Reference!$A$6:$A$11,1))+1)-INDEX(Reference!$A$6:$A$11,MIN(5,MATCH(MAX(Reference!$A$6,MIN(Reference!$A$11,MIN($U62,120))),Reference!$A$6:$A$11,1))))),0)+IF(3&lt;=$AL62,($AL62-3+3)*(INDEX(Reference!$B$6:$B$11,MIN(5,MATCH(MAX(Reference!$A$6,MIN(Reference!$A$11,MIN($U62,150))),Reference!$A$6:$A$11,1)))+(MAX(Reference!$A$6,MIN(Reference!$A$11,MIN($U62,150)))-INDEX(Reference!$A$6:$A$11,MIN(5,MATCH(MAX(Reference!$A$6,MIN(Reference!$A$11,MIN($U62,150))),Reference!$A$6:$A$11,1))))*(INDEX(Reference!$B$6:$B$11,MIN(5,MATCH(MAX(Reference!$A$6,MIN(Reference!$A$11,MIN($U62,150))),Reference!$A$6:$A$11,1))+1)-INDEX(Reference!$B$6:$B$11,MIN(5,MATCH(MAX(Reference!$A$6,MIN(Reference!$A$11,MIN($U62,150))),Reference!$A$6:$A$11,1))))/(INDEX(Reference!$A$6:$A$11,MIN(5,MATCH(MAX(Reference!$A$6,MIN(Reference!$A$11,MIN($U62,150))),Reference!$A$6:$A$11,1))+1)-INDEX(Reference!$A$6:$A$11,MIN(5,MATCH(MAX(Reference!$A$6,MIN(Reference!$A$11,MIN($U62,150))),Reference!$A$6:$A$11,1))))),0)+IF(4&lt;=$AL62,($AL62-4+3)*(INDEX(Reference!$B$6:$B$11,MIN(5,MATCH(MAX(Reference!$A$6,MIN(Reference!$A$11,MIN($U62,180))),Reference!$A$6:$A$11,1)))+(MAX(Reference!$A$6,MIN(Reference!$A$11,MIN($U62,180)))-INDEX(Reference!$A$6:$A$11,MIN(5,MATCH(MAX(Reference!$A$6,MIN(Reference!$A$11,MIN($U62,180))),Reference!$A$6:$A$11,1))))*(INDEX(Reference!$B$6:$B$11,MIN(5,MATCH(MAX(Reference!$A$6,MIN(Reference!$A$11,MIN($U62,180))),Reference!$A$6:$A$11,1))+1)-INDEX(Reference!$B$6:$B$11,MIN(5,MATCH(MAX(Reference!$A$6,MIN(Reference!$A$11,MIN($U62,180))),Reference!$A$6:$A$11,1))))/(INDEX(Reference!$A$6:$A$11,MIN(5,MATCH(MAX(Reference!$A$6,MIN(Reference!$A$11,MIN($U62,180))),Reference!$A$6:$A$11,1))+1)-INDEX(Reference!$A$6:$A$11,MIN(5,MATCH(MAX(Reference!$A$6,MIN(Reference!$A$11,MIN($U62,180))),Reference!$A$6:$A$11,1))))),0)+IF(5&lt;=$AL62,($AL62-5+3)*(INDEX(Reference!$B$6:$B$11,MIN(5,MATCH(MAX(Reference!$A$6,MIN(Reference!$A$11,MIN($U62,210))),Reference!$A$6:$A$11,1)))+(MAX(Reference!$A$6,MIN(Reference!$A$11,MIN($U62,210)))-INDEX(Reference!$A$6:$A$11,MIN(5,MATCH(MAX(Reference!$A$6,MIN(Reference!$A$11,MIN($U62,210))),Reference!$A$6:$A$11,1))))*(INDEX(Reference!$B$6:$B$11,MIN(5,MATCH(MAX(Reference!$A$6,MIN(Reference!$A$11,MIN($U62,210))),Reference!$A$6:$A$11,1))+1)-INDEX(Reference!$B$6:$B$11,MIN(5,MATCH(MAX(Reference!$A$6,MIN(Reference!$A$11,MIN($U62,210))),Reference!$A$6:$A$11,1))))/(INDEX(Reference!$A$6:$A$11,MIN(5,MATCH(MAX(Reference!$A$6,MIN(Reference!$A$11,MIN($U62,210))),Reference!$A$6:$A$11,1))+1)-INDEX(Reference!$A$6:$A$11,MIN(5,MATCH(MAX(Reference!$A$6,MIN(Reference!$A$11,MIN($U62,210))),Reference!$A$6:$A$11,1))))),0)+IF(6&lt;=$AL62,($AL62-6+3)*(INDEX(Reference!$B$6:$B$11,MIN(5,MATCH(MAX(Reference!$A$6,MIN(Reference!$A$11,MIN($U62,240))),Reference!$A$6:$A$11,1)))+(MAX(Reference!$A$6,MIN(Reference!$A$11,MIN($U62,240)))-INDEX(Reference!$A$6:$A$11,MIN(5,MATCH(MAX(Reference!$A$6,MIN(Reference!$A$11,MIN($U62,240))),Reference!$A$6:$A$11,1))))*(INDEX(Reference!$B$6:$B$11,MIN(5,MATCH(MAX(Reference!$A$6,MIN(Reference!$A$11,MIN($U62,240))),Reference!$A$6:$A$11,1))+1)-INDEX(Reference!$B$6:$B$11,MIN(5,MATCH(MAX(Reference!$A$6,MIN(Reference!$A$11,MIN($U62,240))),Reference!$A$6:$A$11,1))))/(INDEX(Reference!$A$6:$A$11,MIN(5,MATCH(MAX(Reference!$A$6,MIN(Reference!$A$11,MIN($U62,240))),Reference!$A$6:$A$11,1))+1)-INDEX(Reference!$A$6:$A$11,MIN(5,MATCH(MAX(Reference!$A$6,MIN(Reference!$A$11,MIN($U62,240))),Reference!$A$6:$A$11,1))))),0)+IF(7&lt;=$AL62,($AL62-7+3)*(INDEX(Reference!$B$6:$B$11,MIN(5,MATCH(MAX(Reference!$A$6,MIN(Reference!$A$11,MIN($U62,270))),Reference!$A$6:$A$11,1)))+(MAX(Reference!$A$6,MIN(Reference!$A$11,MIN($U62,270)))-INDEX(Reference!$A$6:$A$11,MIN(5,MATCH(MAX(Reference!$A$6,MIN(Reference!$A$11,MIN($U62,270))),Reference!$A$6:$A$11,1))))*(INDEX(Reference!$B$6:$B$11,MIN(5,MATCH(MAX(Reference!$A$6,MIN(Reference!$A$11,MIN($U62,270))),Reference!$A$6:$A$11,1))+1)-INDEX(Reference!$B$6:$B$11,MIN(5,MATCH(MAX(Reference!$A$6,MIN(Reference!$A$11,MIN($U62,270))),Reference!$A$6:$A$11,1))))/(INDEX(Reference!$A$6:$A$11,MIN(5,MATCH(MAX(Reference!$A$6,MIN(Reference!$A$11,MIN($U62,270))),Reference!$A$6:$A$11,1))+1)-INDEX(Reference!$A$6:$A$11,MIN(5,MATCH(MAX(Reference!$A$6,MIN(Reference!$A$11,MIN($U62,270))),Reference!$A$6:$A$11,1))))),0)+IF(8&lt;=$AL62,($AL62-8+3)*(INDEX(Reference!$B$6:$B$11,MIN(5,MATCH(MAX(Reference!$A$6,MIN(Reference!$A$11,MIN($U62,300))),Reference!$A$6:$A$11,1)))+(MAX(Reference!$A$6,MIN(Reference!$A$11,MIN($U62,300)))-INDEX(Reference!$A$6:$A$11,MIN(5,MATCH(MAX(Reference!$A$6,MIN(Reference!$A$11,MIN($U62,300))),Reference!$A$6:$A$11,1))))*(INDEX(Reference!$B$6:$B$11,MIN(5,MATCH(MAX(Reference!$A$6,MIN(Reference!$A$11,MIN($U62,300))),Reference!$A$6:$A$11,1))+1)-INDEX(Reference!$B$6:$B$11,MIN(5,MATCH(MAX(Reference!$A$6,MIN(Reference!$A$11,MIN($U62,300))),Reference!$A$6:$A$11,1))))/(INDEX(Reference!$A$6:$A$11,MIN(5,MATCH(MAX(Reference!$A$6,MIN(Reference!$A$11,MIN($U62,300))),Reference!$A$6:$A$11,1))+1)-INDEX(Reference!$A$6:$A$11,MIN(5,MATCH(MAX(Reference!$A$6,MIN(Reference!$A$11,MIN($U62,300))),Reference!$A$6:$A$11,1))))),0))/($AL62*($AL62+5)/2)),$AN62))</f>
        <v>1.3</v>
      </c>
      <c r="AN62" s="32">
        <f>IF($U62="",0,(INDEX(Reference!$B$6:$B$11,MIN(5,MATCH(MAX(Reference!$A$6,MIN(Reference!$A$11,$U62)),Reference!$A$6:$A$11,1)))+(MAX(Reference!$A$6,MIN(Reference!$A$11,$U62))-INDEX(Reference!$A$6:$A$11,MIN(5,MATCH(MAX(Reference!$A$6,MIN(Reference!$A$11,$U62)),Reference!$A$6:$A$11,1))))*(INDEX(Reference!$B$6:$B$11,MIN(5,MATCH(MAX(Reference!$A$6,MIN(Reference!$A$11,$U62)),Reference!$A$6:$A$11,1))+1)-INDEX(Reference!$B$6:$B$11,MIN(5,MATCH(MAX(Reference!$A$6,MIN(Reference!$A$11,$U62)),Reference!$A$6:$A$11,1))))/(INDEX(Reference!$A$6:$A$11,MIN(5,MATCH(MAX(Reference!$A$6,MIN(Reference!$A$11,$U62)),Reference!$A$6:$A$11,1))+1)-INDEX(Reference!$A$6:$A$11,MIN(5,MATCH(MAX(Reference!$A$6,MIN(Reference!$A$11,$U62)),Reference!$A$6:$A$11,1))))))</f>
        <v>1.3</v>
      </c>
      <c r="AO62" s="37"/>
      <c r="AP62" s="37"/>
      <c r="AQ62" s="37"/>
    </row>
    <row r="63" spans="1:43" x14ac:dyDescent="0.3">
      <c r="A63" s="48">
        <f t="shared" si="5"/>
        <v>46327</v>
      </c>
      <c r="B63" s="32" t="str">
        <f t="shared" si="6"/>
        <v>Sun</v>
      </c>
      <c r="C63" s="32">
        <f t="shared" si="7"/>
        <v>64</v>
      </c>
      <c r="D63" s="32" t="str">
        <f t="shared" si="8"/>
        <v>Base</v>
      </c>
      <c r="E63" s="32" t="str">
        <f t="shared" si="9"/>
        <v>No Throw</v>
      </c>
      <c r="F63" s="32" t="str">
        <f t="shared" si="10"/>
        <v>No Throw</v>
      </c>
      <c r="G63" s="47" t="str">
        <f t="shared" si="11"/>
        <v>Off</v>
      </c>
      <c r="H63" s="30">
        <f t="shared" si="12"/>
        <v>0</v>
      </c>
      <c r="I63" s="46" t="str">
        <f>IF($A63="","",IF(AND($L63&lt;27,$K$12=0),"Building",IFERROR(((SUM($H$57:$H63)+$K$12*IF($L63&lt;6,SUMIFS('Throw Log'!$Q$5:$Q$300,'Throw Log'!$B$5:$B$300,$D$4,'Throw Log'!$A$5:$A$300,"&gt;="&amp;($D$6+$L63-6),'Throw Log'!$A$5:$A$300,"&lt;="&amp;($D$6-1)),0))/7)/((SUM($H$43:$H63)+$K$12*IF($L63&lt;27,SUMIFS('Throw Log'!$Q$5:$Q$300,'Throw Log'!$B$5:$B$300,$D$4,'Throw Log'!$A$5:$A$300,"&gt;="&amp;($D$6+$L63-27),'Throw Log'!$A$5:$A$300,"&lt;="&amp;($D$6-1)),0))/28),"")))</f>
        <v>Building</v>
      </c>
      <c r="J63" s="37"/>
      <c r="K63" s="37"/>
      <c r="L63" s="32">
        <v>20</v>
      </c>
      <c r="M63" s="32">
        <f t="shared" si="13"/>
        <v>3</v>
      </c>
      <c r="N63" s="32">
        <f t="shared" si="14"/>
        <v>6</v>
      </c>
      <c r="O63" s="32">
        <f t="shared" si="15"/>
        <v>0.26315789473684209</v>
      </c>
      <c r="P63" s="32">
        <f>IF(OR($A63="",N($C63)&lt;=7),"",$G$6*$G$9^($M63-1)*IF(AND(MOD($M63,Reference!$B$99)=0,$M63&lt;=$G$5-2),Reference!$B$100,1))</f>
        <v>101.26670033263869</v>
      </c>
      <c r="Q63" s="32">
        <f>IF($P63="","",IF(SUM($AK$57:$AK$63)=0,0,$P63*INDEX(Reference!$B$108:$B$114,$N63+1)/SUM($AK$57:$AK$63)))</f>
        <v>7.0886690232847087</v>
      </c>
      <c r="R63" s="32">
        <f t="shared" si="16"/>
        <v>105</v>
      </c>
      <c r="S63" s="32">
        <f t="shared" si="17"/>
        <v>90</v>
      </c>
      <c r="T63" s="32" t="str">
        <f>IF($A63="","",IF($C63=0,"Bullpen",IF(OR($C63=7,$C63=1,$C63=5),"Recovery/Easy Catch",IF($C63=6,"Compression/Pulldowns",IF(OR($C63=4,$C63=2),"Long Toss",IF($C63=3,"No Throw",IF($N63=2,"No Throw",IF($N63=6,IF($O63&lt;Reference!$B$104,"No Throw","Recovery/Easy Catch"),IF(OR($N63=0,$N63=4),"Recovery/Easy Catch",IF($N63=1,IF($R63&gt;75,"Long Toss","Recovery/Easy Catch"),IF($N63=3,IF($O63&lt;0.5,IF($S63&gt;75,"Long Toss","Recovery/Easy Catch"),"Compression/Pulldowns"),IF($S63&gt;75,"Long Toss","Recovery/Easy Catch"))))))))))))</f>
        <v>No Throw</v>
      </c>
      <c r="U63" s="32">
        <f t="shared" si="18"/>
        <v>60</v>
      </c>
      <c r="V63" s="32">
        <f t="shared" si="19"/>
        <v>20</v>
      </c>
      <c r="W63" s="32">
        <f t="shared" si="20"/>
        <v>24</v>
      </c>
      <c r="X63" s="32">
        <f t="shared" si="21"/>
        <v>0</v>
      </c>
      <c r="Y63" s="32" t="str">
        <f t="shared" si="22"/>
        <v/>
      </c>
      <c r="Z63" s="32" t="str">
        <f t="shared" si="23"/>
        <v/>
      </c>
      <c r="AA63" s="32" t="str">
        <f t="shared" si="24"/>
        <v/>
      </c>
      <c r="AB63" s="32">
        <f>IF($A63="","",IF($T63="No Throw",0,IF($K63&lt;&gt;"",$K63,IF($AA63&lt;&gt;"",ROUND($AA63*$D$12*IF($C63=0,1,$G$10),0),MIN(IF($T63="Recovery/Easy Catch",Reference!$B$103,IF($T63="Long Toss",Reference!$B$106,Reference!$B$102)),MAX(Reference!$B$101,ROUND(MAX(0,$Q63-$AE63)/$AF63,0)))))))</f>
        <v>0</v>
      </c>
      <c r="AC63" s="32">
        <f t="shared" si="25"/>
        <v>0</v>
      </c>
      <c r="AD63" s="32" t="b">
        <f t="shared" si="26"/>
        <v>1</v>
      </c>
      <c r="AE63" s="32">
        <f>IF($X63=0,0,$X63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63+$Z63)/2,0),Reference!$A$17:$B$20,2,TRUE()))</f>
        <v>0</v>
      </c>
      <c r="AF63" s="32">
        <f>IF(OR($A63="",$U63="",$T63="No Throw"),0,$AM63*VLOOKUP(MAX(($V63+$W63)/2,0),Reference!$A$17:$B$20,2,TRUE()))</f>
        <v>0</v>
      </c>
      <c r="AG63" s="32">
        <f>IF($AC63=0,0,$AC63*INDEX(Reference!$B$61:$B$62,MATCH("Bullpen",Reference!$A$61:$A$62,0))*VLOOKUP(MAX($D$5-($D$9+$E$9)/2,0),Reference!$A$17:$B$20,2,TRUE()))</f>
        <v>0</v>
      </c>
      <c r="AH63" s="32" t="e">
        <f t="shared" si="27"/>
        <v>#N/A</v>
      </c>
      <c r="AI63" s="32">
        <f>IF($A63="",NA(),Reference!$A$25)</f>
        <v>0.8</v>
      </c>
      <c r="AJ63" s="32">
        <f t="shared" si="28"/>
        <v>1.3</v>
      </c>
      <c r="AK63" s="32">
        <f>IF(OR($A63="",N($C63)&lt;=7,$T63="No Throw",$J63="x"),0,INDEX(Reference!$B$108:$B$114,$N63+1))</f>
        <v>0</v>
      </c>
      <c r="AL63" s="32">
        <f t="shared" si="29"/>
        <v>1</v>
      </c>
      <c r="AM63" s="32">
        <f>IF($U63="",0,IF($AL63&gt;1,((IF(1&lt;=$AL63,($AL63-1+3)*(INDEX(Reference!$B$6:$B$11,MIN(5,MATCH(MAX(Reference!$A$6,MIN(Reference!$A$11,MIN($U63,90))),Reference!$A$6:$A$11,1)))+(MAX(Reference!$A$6,MIN(Reference!$A$11,MIN($U63,90)))-INDEX(Reference!$A$6:$A$11,MIN(5,MATCH(MAX(Reference!$A$6,MIN(Reference!$A$11,MIN($U63,90))),Reference!$A$6:$A$11,1))))*(INDEX(Reference!$B$6:$B$11,MIN(5,MATCH(MAX(Reference!$A$6,MIN(Reference!$A$11,MIN($U63,90))),Reference!$A$6:$A$11,1))+1)-INDEX(Reference!$B$6:$B$11,MIN(5,MATCH(MAX(Reference!$A$6,MIN(Reference!$A$11,MIN($U63,90))),Reference!$A$6:$A$11,1))))/(INDEX(Reference!$A$6:$A$11,MIN(5,MATCH(MAX(Reference!$A$6,MIN(Reference!$A$11,MIN($U63,90))),Reference!$A$6:$A$11,1))+1)-INDEX(Reference!$A$6:$A$11,MIN(5,MATCH(MAX(Reference!$A$6,MIN(Reference!$A$11,MIN($U63,90))),Reference!$A$6:$A$11,1))))),0)+IF(2&lt;=$AL63,($AL63-2+3)*(INDEX(Reference!$B$6:$B$11,MIN(5,MATCH(MAX(Reference!$A$6,MIN(Reference!$A$11,MIN($U63,120))),Reference!$A$6:$A$11,1)))+(MAX(Reference!$A$6,MIN(Reference!$A$11,MIN($U63,120)))-INDEX(Reference!$A$6:$A$11,MIN(5,MATCH(MAX(Reference!$A$6,MIN(Reference!$A$11,MIN($U63,120))),Reference!$A$6:$A$11,1))))*(INDEX(Reference!$B$6:$B$11,MIN(5,MATCH(MAX(Reference!$A$6,MIN(Reference!$A$11,MIN($U63,120))),Reference!$A$6:$A$11,1))+1)-INDEX(Reference!$B$6:$B$11,MIN(5,MATCH(MAX(Reference!$A$6,MIN(Reference!$A$11,MIN($U63,120))),Reference!$A$6:$A$11,1))))/(INDEX(Reference!$A$6:$A$11,MIN(5,MATCH(MAX(Reference!$A$6,MIN(Reference!$A$11,MIN($U63,120))),Reference!$A$6:$A$11,1))+1)-INDEX(Reference!$A$6:$A$11,MIN(5,MATCH(MAX(Reference!$A$6,MIN(Reference!$A$11,MIN($U63,120))),Reference!$A$6:$A$11,1))))),0)+IF(3&lt;=$AL63,($AL63-3+3)*(INDEX(Reference!$B$6:$B$11,MIN(5,MATCH(MAX(Reference!$A$6,MIN(Reference!$A$11,MIN($U63,150))),Reference!$A$6:$A$11,1)))+(MAX(Reference!$A$6,MIN(Reference!$A$11,MIN($U63,150)))-INDEX(Reference!$A$6:$A$11,MIN(5,MATCH(MAX(Reference!$A$6,MIN(Reference!$A$11,MIN($U63,150))),Reference!$A$6:$A$11,1))))*(INDEX(Reference!$B$6:$B$11,MIN(5,MATCH(MAX(Reference!$A$6,MIN(Reference!$A$11,MIN($U63,150))),Reference!$A$6:$A$11,1))+1)-INDEX(Reference!$B$6:$B$11,MIN(5,MATCH(MAX(Reference!$A$6,MIN(Reference!$A$11,MIN($U63,150))),Reference!$A$6:$A$11,1))))/(INDEX(Reference!$A$6:$A$11,MIN(5,MATCH(MAX(Reference!$A$6,MIN(Reference!$A$11,MIN($U63,150))),Reference!$A$6:$A$11,1))+1)-INDEX(Reference!$A$6:$A$11,MIN(5,MATCH(MAX(Reference!$A$6,MIN(Reference!$A$11,MIN($U63,150))),Reference!$A$6:$A$11,1))))),0)+IF(4&lt;=$AL63,($AL63-4+3)*(INDEX(Reference!$B$6:$B$11,MIN(5,MATCH(MAX(Reference!$A$6,MIN(Reference!$A$11,MIN($U63,180))),Reference!$A$6:$A$11,1)))+(MAX(Reference!$A$6,MIN(Reference!$A$11,MIN($U63,180)))-INDEX(Reference!$A$6:$A$11,MIN(5,MATCH(MAX(Reference!$A$6,MIN(Reference!$A$11,MIN($U63,180))),Reference!$A$6:$A$11,1))))*(INDEX(Reference!$B$6:$B$11,MIN(5,MATCH(MAX(Reference!$A$6,MIN(Reference!$A$11,MIN($U63,180))),Reference!$A$6:$A$11,1))+1)-INDEX(Reference!$B$6:$B$11,MIN(5,MATCH(MAX(Reference!$A$6,MIN(Reference!$A$11,MIN($U63,180))),Reference!$A$6:$A$11,1))))/(INDEX(Reference!$A$6:$A$11,MIN(5,MATCH(MAX(Reference!$A$6,MIN(Reference!$A$11,MIN($U63,180))),Reference!$A$6:$A$11,1))+1)-INDEX(Reference!$A$6:$A$11,MIN(5,MATCH(MAX(Reference!$A$6,MIN(Reference!$A$11,MIN($U63,180))),Reference!$A$6:$A$11,1))))),0)+IF(5&lt;=$AL63,($AL63-5+3)*(INDEX(Reference!$B$6:$B$11,MIN(5,MATCH(MAX(Reference!$A$6,MIN(Reference!$A$11,MIN($U63,210))),Reference!$A$6:$A$11,1)))+(MAX(Reference!$A$6,MIN(Reference!$A$11,MIN($U63,210)))-INDEX(Reference!$A$6:$A$11,MIN(5,MATCH(MAX(Reference!$A$6,MIN(Reference!$A$11,MIN($U63,210))),Reference!$A$6:$A$11,1))))*(INDEX(Reference!$B$6:$B$11,MIN(5,MATCH(MAX(Reference!$A$6,MIN(Reference!$A$11,MIN($U63,210))),Reference!$A$6:$A$11,1))+1)-INDEX(Reference!$B$6:$B$11,MIN(5,MATCH(MAX(Reference!$A$6,MIN(Reference!$A$11,MIN($U63,210))),Reference!$A$6:$A$11,1))))/(INDEX(Reference!$A$6:$A$11,MIN(5,MATCH(MAX(Reference!$A$6,MIN(Reference!$A$11,MIN($U63,210))),Reference!$A$6:$A$11,1))+1)-INDEX(Reference!$A$6:$A$11,MIN(5,MATCH(MAX(Reference!$A$6,MIN(Reference!$A$11,MIN($U63,210))),Reference!$A$6:$A$11,1))))),0)+IF(6&lt;=$AL63,($AL63-6+3)*(INDEX(Reference!$B$6:$B$11,MIN(5,MATCH(MAX(Reference!$A$6,MIN(Reference!$A$11,MIN($U63,240))),Reference!$A$6:$A$11,1)))+(MAX(Reference!$A$6,MIN(Reference!$A$11,MIN($U63,240)))-INDEX(Reference!$A$6:$A$11,MIN(5,MATCH(MAX(Reference!$A$6,MIN(Reference!$A$11,MIN($U63,240))),Reference!$A$6:$A$11,1))))*(INDEX(Reference!$B$6:$B$11,MIN(5,MATCH(MAX(Reference!$A$6,MIN(Reference!$A$11,MIN($U63,240))),Reference!$A$6:$A$11,1))+1)-INDEX(Reference!$B$6:$B$11,MIN(5,MATCH(MAX(Reference!$A$6,MIN(Reference!$A$11,MIN($U63,240))),Reference!$A$6:$A$11,1))))/(INDEX(Reference!$A$6:$A$11,MIN(5,MATCH(MAX(Reference!$A$6,MIN(Reference!$A$11,MIN($U63,240))),Reference!$A$6:$A$11,1))+1)-INDEX(Reference!$A$6:$A$11,MIN(5,MATCH(MAX(Reference!$A$6,MIN(Reference!$A$11,MIN($U63,240))),Reference!$A$6:$A$11,1))))),0)+IF(7&lt;=$AL63,($AL63-7+3)*(INDEX(Reference!$B$6:$B$11,MIN(5,MATCH(MAX(Reference!$A$6,MIN(Reference!$A$11,MIN($U63,270))),Reference!$A$6:$A$11,1)))+(MAX(Reference!$A$6,MIN(Reference!$A$11,MIN($U63,270)))-INDEX(Reference!$A$6:$A$11,MIN(5,MATCH(MAX(Reference!$A$6,MIN(Reference!$A$11,MIN($U63,270))),Reference!$A$6:$A$11,1))))*(INDEX(Reference!$B$6:$B$11,MIN(5,MATCH(MAX(Reference!$A$6,MIN(Reference!$A$11,MIN($U63,270))),Reference!$A$6:$A$11,1))+1)-INDEX(Reference!$B$6:$B$11,MIN(5,MATCH(MAX(Reference!$A$6,MIN(Reference!$A$11,MIN($U63,270))),Reference!$A$6:$A$11,1))))/(INDEX(Reference!$A$6:$A$11,MIN(5,MATCH(MAX(Reference!$A$6,MIN(Reference!$A$11,MIN($U63,270))),Reference!$A$6:$A$11,1))+1)-INDEX(Reference!$A$6:$A$11,MIN(5,MATCH(MAX(Reference!$A$6,MIN(Reference!$A$11,MIN($U63,270))),Reference!$A$6:$A$11,1))))),0)+IF(8&lt;=$AL63,($AL63-8+3)*(INDEX(Reference!$B$6:$B$11,MIN(5,MATCH(MAX(Reference!$A$6,MIN(Reference!$A$11,MIN($U63,300))),Reference!$A$6:$A$11,1)))+(MAX(Reference!$A$6,MIN(Reference!$A$11,MIN($U63,300)))-INDEX(Reference!$A$6:$A$11,MIN(5,MATCH(MAX(Reference!$A$6,MIN(Reference!$A$11,MIN($U63,300))),Reference!$A$6:$A$11,1))))*(INDEX(Reference!$B$6:$B$11,MIN(5,MATCH(MAX(Reference!$A$6,MIN(Reference!$A$11,MIN($U63,300))),Reference!$A$6:$A$11,1))+1)-INDEX(Reference!$B$6:$B$11,MIN(5,MATCH(MAX(Reference!$A$6,MIN(Reference!$A$11,MIN($U63,300))),Reference!$A$6:$A$11,1))))/(INDEX(Reference!$A$6:$A$11,MIN(5,MATCH(MAX(Reference!$A$6,MIN(Reference!$A$11,MIN($U63,300))),Reference!$A$6:$A$11,1))+1)-INDEX(Reference!$A$6:$A$11,MIN(5,MATCH(MAX(Reference!$A$6,MIN(Reference!$A$11,MIN($U63,300))),Reference!$A$6:$A$11,1))))),0))/($AL63*($AL63+5)/2)),$AN63))</f>
        <v>1</v>
      </c>
      <c r="AN63" s="32">
        <f>IF($U63="",0,(INDEX(Reference!$B$6:$B$11,MIN(5,MATCH(MAX(Reference!$A$6,MIN(Reference!$A$11,$U63)),Reference!$A$6:$A$11,1)))+(MAX(Reference!$A$6,MIN(Reference!$A$11,$U63))-INDEX(Reference!$A$6:$A$11,MIN(5,MATCH(MAX(Reference!$A$6,MIN(Reference!$A$11,$U63)),Reference!$A$6:$A$11,1))))*(INDEX(Reference!$B$6:$B$11,MIN(5,MATCH(MAX(Reference!$A$6,MIN(Reference!$A$11,$U63)),Reference!$A$6:$A$11,1))+1)-INDEX(Reference!$B$6:$B$11,MIN(5,MATCH(MAX(Reference!$A$6,MIN(Reference!$A$11,$U63)),Reference!$A$6:$A$11,1))))/(INDEX(Reference!$A$6:$A$11,MIN(5,MATCH(MAX(Reference!$A$6,MIN(Reference!$A$11,$U63)),Reference!$A$6:$A$11,1))+1)-INDEX(Reference!$A$6:$A$11,MIN(5,MATCH(MAX(Reference!$A$6,MIN(Reference!$A$11,$U63)),Reference!$A$6:$A$11,1))))))</f>
        <v>1</v>
      </c>
      <c r="AO63" s="37"/>
      <c r="AP63" s="37"/>
      <c r="AQ63" s="37"/>
    </row>
    <row r="64" spans="1:43" x14ac:dyDescent="0.3">
      <c r="A64" s="48">
        <f t="shared" si="5"/>
        <v>46328</v>
      </c>
      <c r="B64" s="32" t="str">
        <f t="shared" si="6"/>
        <v>Mon</v>
      </c>
      <c r="C64" s="32">
        <f t="shared" si="7"/>
        <v>63</v>
      </c>
      <c r="D64" s="32" t="str">
        <f t="shared" si="8"/>
        <v>Base</v>
      </c>
      <c r="E64" s="32" t="str">
        <f t="shared" si="9"/>
        <v>Low</v>
      </c>
      <c r="F64" s="32" t="str">
        <f t="shared" si="10"/>
        <v>Recovery/Easy Catch</v>
      </c>
      <c r="G64" s="47" t="str">
        <f t="shared" si="11"/>
        <v>75 ft × 20 @ 67–71 mph</v>
      </c>
      <c r="H64" s="30">
        <f t="shared" si="12"/>
        <v>13.799999999999999</v>
      </c>
      <c r="I64" s="46" t="str">
        <f>IF($A64="","",IF(AND($L64&lt;27,$K$12=0),"Building",IFERROR(((SUM($H$58:$H64)+$K$12*IF($L64&lt;6,SUMIFS('Throw Log'!$Q$5:$Q$300,'Throw Log'!$B$5:$B$300,$D$4,'Throw Log'!$A$5:$A$300,"&gt;="&amp;($D$6+$L64-6),'Throw Log'!$A$5:$A$300,"&lt;="&amp;($D$6-1)),0))/7)/((SUM($H$43:$H64)+$K$12*IF($L64&lt;27,SUMIFS('Throw Log'!$Q$5:$Q$300,'Throw Log'!$B$5:$B$300,$D$4,'Throw Log'!$A$5:$A$300,"&gt;="&amp;($D$6+$L64-27),'Throw Log'!$A$5:$A$300,"&lt;="&amp;($D$6-1)),0))/28),"")))</f>
        <v>Building</v>
      </c>
      <c r="J64" s="37"/>
      <c r="K64" s="37"/>
      <c r="L64" s="32">
        <v>21</v>
      </c>
      <c r="M64" s="32">
        <f t="shared" si="13"/>
        <v>4</v>
      </c>
      <c r="N64" s="32">
        <f t="shared" si="14"/>
        <v>0</v>
      </c>
      <c r="O64" s="32">
        <f t="shared" si="15"/>
        <v>0.27631578947368424</v>
      </c>
      <c r="P64" s="32">
        <f>IF(OR($A64="",N($C64)&lt;=7),"",$G$6*$G$9^($M64-1)*IF(AND(MOD($M64,Reference!$B$99)=0,$M64&lt;=$G$5-2),Reference!$B$100,1))</f>
        <v>96.844268027376231</v>
      </c>
      <c r="Q64" s="32">
        <f>IF($P64="","",IF(SUM($AK$64:$AK$70)=0,0,$P64*INDEX(Reference!$B$108:$B$114,$N64+1)/SUM($AK$64:$AK$70)))</f>
        <v>11.621312163285147</v>
      </c>
      <c r="R64" s="32">
        <f t="shared" si="16"/>
        <v>105</v>
      </c>
      <c r="S64" s="32">
        <f t="shared" si="17"/>
        <v>90</v>
      </c>
      <c r="T64" s="32" t="str">
        <f>IF($A64="","",IF($C64=0,"Bullpen",IF(OR($C64=7,$C64=1,$C64=5),"Recovery/Easy Catch",IF($C64=6,"Compression/Pulldowns",IF(OR($C64=4,$C64=2),"Long Toss",IF($C64=3,"No Throw",IF($N64=2,"No Throw",IF($N64=6,IF($O64&lt;Reference!$B$104,"No Throw","Recovery/Easy Catch"),IF(OR($N64=0,$N64=4),"Recovery/Easy Catch",IF($N64=1,IF($R64&gt;75,"Long Toss","Recovery/Easy Catch"),IF($N64=3,IF($O64&lt;0.5,IF($S64&gt;75,"Long Toss","Recovery/Easy Catch"),"Compression/Pulldowns"),IF($S64&gt;75,"Long Toss","Recovery/Easy Catch"))))))))))))</f>
        <v>Recovery/Easy Catch</v>
      </c>
      <c r="U64" s="32">
        <f t="shared" si="18"/>
        <v>75</v>
      </c>
      <c r="V64" s="32">
        <f t="shared" si="19"/>
        <v>18</v>
      </c>
      <c r="W64" s="32">
        <f t="shared" si="20"/>
        <v>22</v>
      </c>
      <c r="X64" s="32">
        <f t="shared" si="21"/>
        <v>0</v>
      </c>
      <c r="Y64" s="32" t="str">
        <f t="shared" si="22"/>
        <v/>
      </c>
      <c r="Z64" s="32" t="str">
        <f t="shared" si="23"/>
        <v/>
      </c>
      <c r="AA64" s="32" t="str">
        <f t="shared" si="24"/>
        <v/>
      </c>
      <c r="AB64" s="32">
        <f>IF($A64="","",IF($T64="No Throw",0,IF($K64&lt;&gt;"",$K64,IF($AA64&lt;&gt;"",ROUND($AA64*$D$12*IF($C64=0,1,$G$10),0),MIN(IF($T64="Recovery/Easy Catch",Reference!$B$103,IF($T64="Long Toss",Reference!$B$106,Reference!$B$102)),MAX(Reference!$B$101,ROUND(MAX(0,$Q64-$AE64)/$AF64,0)))))))</f>
        <v>20</v>
      </c>
      <c r="AC64" s="32">
        <f t="shared" si="25"/>
        <v>0</v>
      </c>
      <c r="AD64" s="32" t="b">
        <f t="shared" si="26"/>
        <v>0</v>
      </c>
      <c r="AE64" s="32">
        <f>IF($X64=0,0,$X64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64+$Z64)/2,0),Reference!$A$17:$B$20,2,TRUE()))</f>
        <v>0</v>
      </c>
      <c r="AF64" s="32">
        <f>IF(OR($A64="",$U64="",$T64="No Throw"),0,$AM64*VLOOKUP(MAX(($V64+$W64)/2,0),Reference!$A$17:$B$20,2,TRUE()))</f>
        <v>0.69</v>
      </c>
      <c r="AG64" s="32">
        <f>IF($AC64=0,0,$AC64*INDEX(Reference!$B$61:$B$62,MATCH("Bullpen",Reference!$A$61:$A$62,0))*VLOOKUP(MAX($D$5-($D$9+$E$9)/2,0),Reference!$A$17:$B$20,2,TRUE()))</f>
        <v>0</v>
      </c>
      <c r="AH64" s="32" t="e">
        <f t="shared" si="27"/>
        <v>#N/A</v>
      </c>
      <c r="AI64" s="32">
        <f>IF($A64="",NA(),Reference!$A$25)</f>
        <v>0.8</v>
      </c>
      <c r="AJ64" s="32">
        <f t="shared" si="28"/>
        <v>1.3</v>
      </c>
      <c r="AK64" s="56">
        <f>IF(OR($A64="",N($C64)&lt;=7,$T64="No Throw",$J64="x"),0,INDEX(Reference!$B$108:$B$114,$N64+1))</f>
        <v>0.12</v>
      </c>
      <c r="AL64" s="32">
        <f t="shared" si="29"/>
        <v>1</v>
      </c>
      <c r="AM64" s="32">
        <f>IF($U64="",0,IF($AL64&gt;1,((IF(1&lt;=$AL64,($AL64-1+3)*(INDEX(Reference!$B$6:$B$11,MIN(5,MATCH(MAX(Reference!$A$6,MIN(Reference!$A$11,MIN($U64,90))),Reference!$A$6:$A$11,1)))+(MAX(Reference!$A$6,MIN(Reference!$A$11,MIN($U64,90)))-INDEX(Reference!$A$6:$A$11,MIN(5,MATCH(MAX(Reference!$A$6,MIN(Reference!$A$11,MIN($U64,90))),Reference!$A$6:$A$11,1))))*(INDEX(Reference!$B$6:$B$11,MIN(5,MATCH(MAX(Reference!$A$6,MIN(Reference!$A$11,MIN($U64,90))),Reference!$A$6:$A$11,1))+1)-INDEX(Reference!$B$6:$B$11,MIN(5,MATCH(MAX(Reference!$A$6,MIN(Reference!$A$11,MIN($U64,90))),Reference!$A$6:$A$11,1))))/(INDEX(Reference!$A$6:$A$11,MIN(5,MATCH(MAX(Reference!$A$6,MIN(Reference!$A$11,MIN($U64,90))),Reference!$A$6:$A$11,1))+1)-INDEX(Reference!$A$6:$A$11,MIN(5,MATCH(MAX(Reference!$A$6,MIN(Reference!$A$11,MIN($U64,90))),Reference!$A$6:$A$11,1))))),0)+IF(2&lt;=$AL64,($AL64-2+3)*(INDEX(Reference!$B$6:$B$11,MIN(5,MATCH(MAX(Reference!$A$6,MIN(Reference!$A$11,MIN($U64,120))),Reference!$A$6:$A$11,1)))+(MAX(Reference!$A$6,MIN(Reference!$A$11,MIN($U64,120)))-INDEX(Reference!$A$6:$A$11,MIN(5,MATCH(MAX(Reference!$A$6,MIN(Reference!$A$11,MIN($U64,120))),Reference!$A$6:$A$11,1))))*(INDEX(Reference!$B$6:$B$11,MIN(5,MATCH(MAX(Reference!$A$6,MIN(Reference!$A$11,MIN($U64,120))),Reference!$A$6:$A$11,1))+1)-INDEX(Reference!$B$6:$B$11,MIN(5,MATCH(MAX(Reference!$A$6,MIN(Reference!$A$11,MIN($U64,120))),Reference!$A$6:$A$11,1))))/(INDEX(Reference!$A$6:$A$11,MIN(5,MATCH(MAX(Reference!$A$6,MIN(Reference!$A$11,MIN($U64,120))),Reference!$A$6:$A$11,1))+1)-INDEX(Reference!$A$6:$A$11,MIN(5,MATCH(MAX(Reference!$A$6,MIN(Reference!$A$11,MIN($U64,120))),Reference!$A$6:$A$11,1))))),0)+IF(3&lt;=$AL64,($AL64-3+3)*(INDEX(Reference!$B$6:$B$11,MIN(5,MATCH(MAX(Reference!$A$6,MIN(Reference!$A$11,MIN($U64,150))),Reference!$A$6:$A$11,1)))+(MAX(Reference!$A$6,MIN(Reference!$A$11,MIN($U64,150)))-INDEX(Reference!$A$6:$A$11,MIN(5,MATCH(MAX(Reference!$A$6,MIN(Reference!$A$11,MIN($U64,150))),Reference!$A$6:$A$11,1))))*(INDEX(Reference!$B$6:$B$11,MIN(5,MATCH(MAX(Reference!$A$6,MIN(Reference!$A$11,MIN($U64,150))),Reference!$A$6:$A$11,1))+1)-INDEX(Reference!$B$6:$B$11,MIN(5,MATCH(MAX(Reference!$A$6,MIN(Reference!$A$11,MIN($U64,150))),Reference!$A$6:$A$11,1))))/(INDEX(Reference!$A$6:$A$11,MIN(5,MATCH(MAX(Reference!$A$6,MIN(Reference!$A$11,MIN($U64,150))),Reference!$A$6:$A$11,1))+1)-INDEX(Reference!$A$6:$A$11,MIN(5,MATCH(MAX(Reference!$A$6,MIN(Reference!$A$11,MIN($U64,150))),Reference!$A$6:$A$11,1))))),0)+IF(4&lt;=$AL64,($AL64-4+3)*(INDEX(Reference!$B$6:$B$11,MIN(5,MATCH(MAX(Reference!$A$6,MIN(Reference!$A$11,MIN($U64,180))),Reference!$A$6:$A$11,1)))+(MAX(Reference!$A$6,MIN(Reference!$A$11,MIN($U64,180)))-INDEX(Reference!$A$6:$A$11,MIN(5,MATCH(MAX(Reference!$A$6,MIN(Reference!$A$11,MIN($U64,180))),Reference!$A$6:$A$11,1))))*(INDEX(Reference!$B$6:$B$11,MIN(5,MATCH(MAX(Reference!$A$6,MIN(Reference!$A$11,MIN($U64,180))),Reference!$A$6:$A$11,1))+1)-INDEX(Reference!$B$6:$B$11,MIN(5,MATCH(MAX(Reference!$A$6,MIN(Reference!$A$11,MIN($U64,180))),Reference!$A$6:$A$11,1))))/(INDEX(Reference!$A$6:$A$11,MIN(5,MATCH(MAX(Reference!$A$6,MIN(Reference!$A$11,MIN($U64,180))),Reference!$A$6:$A$11,1))+1)-INDEX(Reference!$A$6:$A$11,MIN(5,MATCH(MAX(Reference!$A$6,MIN(Reference!$A$11,MIN($U64,180))),Reference!$A$6:$A$11,1))))),0)+IF(5&lt;=$AL64,($AL64-5+3)*(INDEX(Reference!$B$6:$B$11,MIN(5,MATCH(MAX(Reference!$A$6,MIN(Reference!$A$11,MIN($U64,210))),Reference!$A$6:$A$11,1)))+(MAX(Reference!$A$6,MIN(Reference!$A$11,MIN($U64,210)))-INDEX(Reference!$A$6:$A$11,MIN(5,MATCH(MAX(Reference!$A$6,MIN(Reference!$A$11,MIN($U64,210))),Reference!$A$6:$A$11,1))))*(INDEX(Reference!$B$6:$B$11,MIN(5,MATCH(MAX(Reference!$A$6,MIN(Reference!$A$11,MIN($U64,210))),Reference!$A$6:$A$11,1))+1)-INDEX(Reference!$B$6:$B$11,MIN(5,MATCH(MAX(Reference!$A$6,MIN(Reference!$A$11,MIN($U64,210))),Reference!$A$6:$A$11,1))))/(INDEX(Reference!$A$6:$A$11,MIN(5,MATCH(MAX(Reference!$A$6,MIN(Reference!$A$11,MIN($U64,210))),Reference!$A$6:$A$11,1))+1)-INDEX(Reference!$A$6:$A$11,MIN(5,MATCH(MAX(Reference!$A$6,MIN(Reference!$A$11,MIN($U64,210))),Reference!$A$6:$A$11,1))))),0)+IF(6&lt;=$AL64,($AL64-6+3)*(INDEX(Reference!$B$6:$B$11,MIN(5,MATCH(MAX(Reference!$A$6,MIN(Reference!$A$11,MIN($U64,240))),Reference!$A$6:$A$11,1)))+(MAX(Reference!$A$6,MIN(Reference!$A$11,MIN($U64,240)))-INDEX(Reference!$A$6:$A$11,MIN(5,MATCH(MAX(Reference!$A$6,MIN(Reference!$A$11,MIN($U64,240))),Reference!$A$6:$A$11,1))))*(INDEX(Reference!$B$6:$B$11,MIN(5,MATCH(MAX(Reference!$A$6,MIN(Reference!$A$11,MIN($U64,240))),Reference!$A$6:$A$11,1))+1)-INDEX(Reference!$B$6:$B$11,MIN(5,MATCH(MAX(Reference!$A$6,MIN(Reference!$A$11,MIN($U64,240))),Reference!$A$6:$A$11,1))))/(INDEX(Reference!$A$6:$A$11,MIN(5,MATCH(MAX(Reference!$A$6,MIN(Reference!$A$11,MIN($U64,240))),Reference!$A$6:$A$11,1))+1)-INDEX(Reference!$A$6:$A$11,MIN(5,MATCH(MAX(Reference!$A$6,MIN(Reference!$A$11,MIN($U64,240))),Reference!$A$6:$A$11,1))))),0)+IF(7&lt;=$AL64,($AL64-7+3)*(INDEX(Reference!$B$6:$B$11,MIN(5,MATCH(MAX(Reference!$A$6,MIN(Reference!$A$11,MIN($U64,270))),Reference!$A$6:$A$11,1)))+(MAX(Reference!$A$6,MIN(Reference!$A$11,MIN($U64,270)))-INDEX(Reference!$A$6:$A$11,MIN(5,MATCH(MAX(Reference!$A$6,MIN(Reference!$A$11,MIN($U64,270))),Reference!$A$6:$A$11,1))))*(INDEX(Reference!$B$6:$B$11,MIN(5,MATCH(MAX(Reference!$A$6,MIN(Reference!$A$11,MIN($U64,270))),Reference!$A$6:$A$11,1))+1)-INDEX(Reference!$B$6:$B$11,MIN(5,MATCH(MAX(Reference!$A$6,MIN(Reference!$A$11,MIN($U64,270))),Reference!$A$6:$A$11,1))))/(INDEX(Reference!$A$6:$A$11,MIN(5,MATCH(MAX(Reference!$A$6,MIN(Reference!$A$11,MIN($U64,270))),Reference!$A$6:$A$11,1))+1)-INDEX(Reference!$A$6:$A$11,MIN(5,MATCH(MAX(Reference!$A$6,MIN(Reference!$A$11,MIN($U64,270))),Reference!$A$6:$A$11,1))))),0)+IF(8&lt;=$AL64,($AL64-8+3)*(INDEX(Reference!$B$6:$B$11,MIN(5,MATCH(MAX(Reference!$A$6,MIN(Reference!$A$11,MIN($U64,300))),Reference!$A$6:$A$11,1)))+(MAX(Reference!$A$6,MIN(Reference!$A$11,MIN($U64,300)))-INDEX(Reference!$A$6:$A$11,MIN(5,MATCH(MAX(Reference!$A$6,MIN(Reference!$A$11,MIN($U64,300))),Reference!$A$6:$A$11,1))))*(INDEX(Reference!$B$6:$B$11,MIN(5,MATCH(MAX(Reference!$A$6,MIN(Reference!$A$11,MIN($U64,300))),Reference!$A$6:$A$11,1))+1)-INDEX(Reference!$B$6:$B$11,MIN(5,MATCH(MAX(Reference!$A$6,MIN(Reference!$A$11,MIN($U64,300))),Reference!$A$6:$A$11,1))))/(INDEX(Reference!$A$6:$A$11,MIN(5,MATCH(MAX(Reference!$A$6,MIN(Reference!$A$11,MIN($U64,300))),Reference!$A$6:$A$11,1))+1)-INDEX(Reference!$A$6:$A$11,MIN(5,MATCH(MAX(Reference!$A$6,MIN(Reference!$A$11,MIN($U64,300))),Reference!$A$6:$A$11,1))))),0))/($AL64*($AL64+5)/2)),$AN64))</f>
        <v>1.1499999999999999</v>
      </c>
      <c r="AN64" s="32">
        <f>IF($U64="",0,(INDEX(Reference!$B$6:$B$11,MIN(5,MATCH(MAX(Reference!$A$6,MIN(Reference!$A$11,$U64)),Reference!$A$6:$A$11,1)))+(MAX(Reference!$A$6,MIN(Reference!$A$11,$U64))-INDEX(Reference!$A$6:$A$11,MIN(5,MATCH(MAX(Reference!$A$6,MIN(Reference!$A$11,$U64)),Reference!$A$6:$A$11,1))))*(INDEX(Reference!$B$6:$B$11,MIN(5,MATCH(MAX(Reference!$A$6,MIN(Reference!$A$11,$U64)),Reference!$A$6:$A$11,1))+1)-INDEX(Reference!$B$6:$B$11,MIN(5,MATCH(MAX(Reference!$A$6,MIN(Reference!$A$11,$U64)),Reference!$A$6:$A$11,1))))/(INDEX(Reference!$A$6:$A$11,MIN(5,MATCH(MAX(Reference!$A$6,MIN(Reference!$A$11,$U64)),Reference!$A$6:$A$11,1))+1)-INDEX(Reference!$A$6:$A$11,MIN(5,MATCH(MAX(Reference!$A$6,MIN(Reference!$A$11,$U64)),Reference!$A$6:$A$11,1))))))</f>
        <v>1.1499999999999999</v>
      </c>
      <c r="AO64" s="37"/>
      <c r="AP64" s="37"/>
      <c r="AQ64" s="37"/>
    </row>
    <row r="65" spans="1:43" ht="26.4" x14ac:dyDescent="0.3">
      <c r="A65" s="48">
        <f t="shared" si="5"/>
        <v>46329</v>
      </c>
      <c r="B65" s="32" t="str">
        <f t="shared" si="6"/>
        <v>Tue</v>
      </c>
      <c r="C65" s="32">
        <f t="shared" si="7"/>
        <v>62</v>
      </c>
      <c r="D65" s="32" t="str">
        <f t="shared" si="8"/>
        <v>Base</v>
      </c>
      <c r="E65" s="32" t="str">
        <f t="shared" si="9"/>
        <v>Low</v>
      </c>
      <c r="F65" s="32" t="str">
        <f t="shared" si="10"/>
        <v>Long Toss</v>
      </c>
      <c r="G65" s="47" t="str">
        <f t="shared" si="11"/>
        <v>Long toss out to 105 ft — 24 throws (90×14 · 105×10) @ 73–76 mph + 60 ft × 10 @ 71–75 mph</v>
      </c>
      <c r="H65" s="30">
        <f t="shared" si="12"/>
        <v>25.954285714285714</v>
      </c>
      <c r="I65" s="46" t="str">
        <f>IF($A65="","",IF(AND($L65&lt;27,$K$12=0),"Building",IFERROR(((SUM($H$59:$H65)+$K$12*IF($L65&lt;6,SUMIFS('Throw Log'!$Q$5:$Q$300,'Throw Log'!$B$5:$B$300,$D$4,'Throw Log'!$A$5:$A$300,"&gt;="&amp;($D$6+$L65-6),'Throw Log'!$A$5:$A$300,"&lt;="&amp;($D$6-1)),0))/7)/((SUM($H$43:$H65)+$K$12*IF($L65&lt;27,SUMIFS('Throw Log'!$Q$5:$Q$300,'Throw Log'!$B$5:$B$300,$D$4,'Throw Log'!$A$5:$A$300,"&gt;="&amp;($D$6+$L65-27),'Throw Log'!$A$5:$A$300,"&lt;="&amp;($D$6-1)),0))/28),"")))</f>
        <v>Building</v>
      </c>
      <c r="J65" s="37"/>
      <c r="K65" s="37"/>
      <c r="L65" s="32">
        <v>22</v>
      </c>
      <c r="M65" s="32">
        <f t="shared" si="13"/>
        <v>4</v>
      </c>
      <c r="N65" s="32">
        <f t="shared" si="14"/>
        <v>1</v>
      </c>
      <c r="O65" s="32">
        <f t="shared" si="15"/>
        <v>0.28947368421052633</v>
      </c>
      <c r="P65" s="32">
        <f>IF(OR($A65="",N($C65)&lt;=7),"",$G$6*$G$9^($M65-1)*IF(AND(MOD($M65,Reference!$B$99)=0,$M65&lt;=$G$5-2),Reference!$B$100,1))</f>
        <v>96.844268027376231</v>
      </c>
      <c r="Q65" s="32">
        <f>IF($P65="","",IF(SUM($AK$64:$AK$70)=0,0,$P65*INDEX(Reference!$B$108:$B$114,$N65+1)/SUM($AK$64:$AK$70)))</f>
        <v>26.147952367391586</v>
      </c>
      <c r="R65" s="32">
        <f t="shared" si="16"/>
        <v>105</v>
      </c>
      <c r="S65" s="32">
        <f t="shared" si="17"/>
        <v>90</v>
      </c>
      <c r="T65" s="32" t="str">
        <f>IF($A65="","",IF($C65=0,"Bullpen",IF(OR($C65=7,$C65=1,$C65=5),"Recovery/Easy Catch",IF($C65=6,"Compression/Pulldowns",IF(OR($C65=4,$C65=2),"Long Toss",IF($C65=3,"No Throw",IF($N65=2,"No Throw",IF($N65=6,IF($O65&lt;Reference!$B$104,"No Throw","Recovery/Easy Catch"),IF(OR($N65=0,$N65=4),"Recovery/Easy Catch",IF($N65=1,IF($R65&gt;75,"Long Toss","Recovery/Easy Catch"),IF($N65=3,IF($O65&lt;0.5,IF($S65&gt;75,"Long Toss","Recovery/Easy Catch"),"Compression/Pulldowns"),IF($S65&gt;75,"Long Toss","Recovery/Easy Catch"))))))))))))</f>
        <v>Long Toss</v>
      </c>
      <c r="U65" s="32">
        <f t="shared" si="18"/>
        <v>105</v>
      </c>
      <c r="V65" s="32">
        <f t="shared" si="19"/>
        <v>13</v>
      </c>
      <c r="W65" s="32">
        <f t="shared" si="20"/>
        <v>16</v>
      </c>
      <c r="X65" s="32">
        <f t="shared" si="21"/>
        <v>10</v>
      </c>
      <c r="Y65" s="32">
        <f t="shared" si="22"/>
        <v>14</v>
      </c>
      <c r="Z65" s="32">
        <f t="shared" si="23"/>
        <v>18</v>
      </c>
      <c r="AA65" s="32" t="str">
        <f t="shared" si="24"/>
        <v/>
      </c>
      <c r="AB65" s="32">
        <f>IF($A65="","",IF($T65="No Throw",0,IF($K65&lt;&gt;"",$K65,IF($AA65&lt;&gt;"",ROUND($AA65*$D$12*IF($C65=0,1,$G$10),0),MIN(IF($T65="Recovery/Easy Catch",Reference!$B$103,IF($T65="Long Toss",Reference!$B$106,Reference!$B$102)),MAX(Reference!$B$101,ROUND(MAX(0,$Q65-$AE65)/$AF65,0)))))))</f>
        <v>24</v>
      </c>
      <c r="AC65" s="32">
        <f t="shared" si="25"/>
        <v>0</v>
      </c>
      <c r="AD65" s="32" t="b">
        <f t="shared" si="26"/>
        <v>0</v>
      </c>
      <c r="AE65" s="32">
        <f>IF($X65=0,0,$X65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65+$Z65)/2,0),Reference!$A$17:$B$20,2,TRUE()))</f>
        <v>6</v>
      </c>
      <c r="AF65" s="32">
        <f>IF(OR($A65="",$U65="",$T65="No Throw"),0,$AM65*VLOOKUP(MAX(($V65+$W65)/2,0),Reference!$A$17:$B$20,2,TRUE()))</f>
        <v>0.83142857142857141</v>
      </c>
      <c r="AG65" s="32">
        <f>IF($AC65=0,0,$AC65*INDEX(Reference!$B$61:$B$62,MATCH("Bullpen",Reference!$A$61:$A$62,0))*VLOOKUP(MAX($D$5-($D$9+$E$9)/2,0),Reference!$A$17:$B$20,2,TRUE()))</f>
        <v>0</v>
      </c>
      <c r="AH65" s="32" t="e">
        <f t="shared" si="27"/>
        <v>#N/A</v>
      </c>
      <c r="AI65" s="32">
        <f>IF($A65="",NA(),Reference!$A$25)</f>
        <v>0.8</v>
      </c>
      <c r="AJ65" s="32">
        <f t="shared" si="28"/>
        <v>1.3</v>
      </c>
      <c r="AK65" s="56">
        <f>IF(OR($A65="",N($C65)&lt;=7,$T65="No Throw",$J65="x"),0,INDEX(Reference!$B$108:$B$114,$N65+1))</f>
        <v>0.27</v>
      </c>
      <c r="AL65" s="32">
        <f t="shared" si="29"/>
        <v>2</v>
      </c>
      <c r="AM65" s="32">
        <f>IF($U65="",0,IF($AL65&gt;1,((IF(1&lt;=$AL65,($AL65-1+3)*(INDEX(Reference!$B$6:$B$11,MIN(5,MATCH(MAX(Reference!$A$6,MIN(Reference!$A$11,MIN($U65,90))),Reference!$A$6:$A$11,1)))+(MAX(Reference!$A$6,MIN(Reference!$A$11,MIN($U65,90)))-INDEX(Reference!$A$6:$A$11,MIN(5,MATCH(MAX(Reference!$A$6,MIN(Reference!$A$11,MIN($U65,90))),Reference!$A$6:$A$11,1))))*(INDEX(Reference!$B$6:$B$11,MIN(5,MATCH(MAX(Reference!$A$6,MIN(Reference!$A$11,MIN($U65,90))),Reference!$A$6:$A$11,1))+1)-INDEX(Reference!$B$6:$B$11,MIN(5,MATCH(MAX(Reference!$A$6,MIN(Reference!$A$11,MIN($U65,90))),Reference!$A$6:$A$11,1))))/(INDEX(Reference!$A$6:$A$11,MIN(5,MATCH(MAX(Reference!$A$6,MIN(Reference!$A$11,MIN($U65,90))),Reference!$A$6:$A$11,1))+1)-INDEX(Reference!$A$6:$A$11,MIN(5,MATCH(MAX(Reference!$A$6,MIN(Reference!$A$11,MIN($U65,90))),Reference!$A$6:$A$11,1))))),0)+IF(2&lt;=$AL65,($AL65-2+3)*(INDEX(Reference!$B$6:$B$11,MIN(5,MATCH(MAX(Reference!$A$6,MIN(Reference!$A$11,MIN($U65,120))),Reference!$A$6:$A$11,1)))+(MAX(Reference!$A$6,MIN(Reference!$A$11,MIN($U65,120)))-INDEX(Reference!$A$6:$A$11,MIN(5,MATCH(MAX(Reference!$A$6,MIN(Reference!$A$11,MIN($U65,120))),Reference!$A$6:$A$11,1))))*(INDEX(Reference!$B$6:$B$11,MIN(5,MATCH(MAX(Reference!$A$6,MIN(Reference!$A$11,MIN($U65,120))),Reference!$A$6:$A$11,1))+1)-INDEX(Reference!$B$6:$B$11,MIN(5,MATCH(MAX(Reference!$A$6,MIN(Reference!$A$11,MIN($U65,120))),Reference!$A$6:$A$11,1))))/(INDEX(Reference!$A$6:$A$11,MIN(5,MATCH(MAX(Reference!$A$6,MIN(Reference!$A$11,MIN($U65,120))),Reference!$A$6:$A$11,1))+1)-INDEX(Reference!$A$6:$A$11,MIN(5,MATCH(MAX(Reference!$A$6,MIN(Reference!$A$11,MIN($U65,120))),Reference!$A$6:$A$11,1))))),0)+IF(3&lt;=$AL65,($AL65-3+3)*(INDEX(Reference!$B$6:$B$11,MIN(5,MATCH(MAX(Reference!$A$6,MIN(Reference!$A$11,MIN($U65,150))),Reference!$A$6:$A$11,1)))+(MAX(Reference!$A$6,MIN(Reference!$A$11,MIN($U65,150)))-INDEX(Reference!$A$6:$A$11,MIN(5,MATCH(MAX(Reference!$A$6,MIN(Reference!$A$11,MIN($U65,150))),Reference!$A$6:$A$11,1))))*(INDEX(Reference!$B$6:$B$11,MIN(5,MATCH(MAX(Reference!$A$6,MIN(Reference!$A$11,MIN($U65,150))),Reference!$A$6:$A$11,1))+1)-INDEX(Reference!$B$6:$B$11,MIN(5,MATCH(MAX(Reference!$A$6,MIN(Reference!$A$11,MIN($U65,150))),Reference!$A$6:$A$11,1))))/(INDEX(Reference!$A$6:$A$11,MIN(5,MATCH(MAX(Reference!$A$6,MIN(Reference!$A$11,MIN($U65,150))),Reference!$A$6:$A$11,1))+1)-INDEX(Reference!$A$6:$A$11,MIN(5,MATCH(MAX(Reference!$A$6,MIN(Reference!$A$11,MIN($U65,150))),Reference!$A$6:$A$11,1))))),0)+IF(4&lt;=$AL65,($AL65-4+3)*(INDEX(Reference!$B$6:$B$11,MIN(5,MATCH(MAX(Reference!$A$6,MIN(Reference!$A$11,MIN($U65,180))),Reference!$A$6:$A$11,1)))+(MAX(Reference!$A$6,MIN(Reference!$A$11,MIN($U65,180)))-INDEX(Reference!$A$6:$A$11,MIN(5,MATCH(MAX(Reference!$A$6,MIN(Reference!$A$11,MIN($U65,180))),Reference!$A$6:$A$11,1))))*(INDEX(Reference!$B$6:$B$11,MIN(5,MATCH(MAX(Reference!$A$6,MIN(Reference!$A$11,MIN($U65,180))),Reference!$A$6:$A$11,1))+1)-INDEX(Reference!$B$6:$B$11,MIN(5,MATCH(MAX(Reference!$A$6,MIN(Reference!$A$11,MIN($U65,180))),Reference!$A$6:$A$11,1))))/(INDEX(Reference!$A$6:$A$11,MIN(5,MATCH(MAX(Reference!$A$6,MIN(Reference!$A$11,MIN($U65,180))),Reference!$A$6:$A$11,1))+1)-INDEX(Reference!$A$6:$A$11,MIN(5,MATCH(MAX(Reference!$A$6,MIN(Reference!$A$11,MIN($U65,180))),Reference!$A$6:$A$11,1))))),0)+IF(5&lt;=$AL65,($AL65-5+3)*(INDEX(Reference!$B$6:$B$11,MIN(5,MATCH(MAX(Reference!$A$6,MIN(Reference!$A$11,MIN($U65,210))),Reference!$A$6:$A$11,1)))+(MAX(Reference!$A$6,MIN(Reference!$A$11,MIN($U65,210)))-INDEX(Reference!$A$6:$A$11,MIN(5,MATCH(MAX(Reference!$A$6,MIN(Reference!$A$11,MIN($U65,210))),Reference!$A$6:$A$11,1))))*(INDEX(Reference!$B$6:$B$11,MIN(5,MATCH(MAX(Reference!$A$6,MIN(Reference!$A$11,MIN($U65,210))),Reference!$A$6:$A$11,1))+1)-INDEX(Reference!$B$6:$B$11,MIN(5,MATCH(MAX(Reference!$A$6,MIN(Reference!$A$11,MIN($U65,210))),Reference!$A$6:$A$11,1))))/(INDEX(Reference!$A$6:$A$11,MIN(5,MATCH(MAX(Reference!$A$6,MIN(Reference!$A$11,MIN($U65,210))),Reference!$A$6:$A$11,1))+1)-INDEX(Reference!$A$6:$A$11,MIN(5,MATCH(MAX(Reference!$A$6,MIN(Reference!$A$11,MIN($U65,210))),Reference!$A$6:$A$11,1))))),0)+IF(6&lt;=$AL65,($AL65-6+3)*(INDEX(Reference!$B$6:$B$11,MIN(5,MATCH(MAX(Reference!$A$6,MIN(Reference!$A$11,MIN($U65,240))),Reference!$A$6:$A$11,1)))+(MAX(Reference!$A$6,MIN(Reference!$A$11,MIN($U65,240)))-INDEX(Reference!$A$6:$A$11,MIN(5,MATCH(MAX(Reference!$A$6,MIN(Reference!$A$11,MIN($U65,240))),Reference!$A$6:$A$11,1))))*(INDEX(Reference!$B$6:$B$11,MIN(5,MATCH(MAX(Reference!$A$6,MIN(Reference!$A$11,MIN($U65,240))),Reference!$A$6:$A$11,1))+1)-INDEX(Reference!$B$6:$B$11,MIN(5,MATCH(MAX(Reference!$A$6,MIN(Reference!$A$11,MIN($U65,240))),Reference!$A$6:$A$11,1))))/(INDEX(Reference!$A$6:$A$11,MIN(5,MATCH(MAX(Reference!$A$6,MIN(Reference!$A$11,MIN($U65,240))),Reference!$A$6:$A$11,1))+1)-INDEX(Reference!$A$6:$A$11,MIN(5,MATCH(MAX(Reference!$A$6,MIN(Reference!$A$11,MIN($U65,240))),Reference!$A$6:$A$11,1))))),0)+IF(7&lt;=$AL65,($AL65-7+3)*(INDEX(Reference!$B$6:$B$11,MIN(5,MATCH(MAX(Reference!$A$6,MIN(Reference!$A$11,MIN($U65,270))),Reference!$A$6:$A$11,1)))+(MAX(Reference!$A$6,MIN(Reference!$A$11,MIN($U65,270)))-INDEX(Reference!$A$6:$A$11,MIN(5,MATCH(MAX(Reference!$A$6,MIN(Reference!$A$11,MIN($U65,270))),Reference!$A$6:$A$11,1))))*(INDEX(Reference!$B$6:$B$11,MIN(5,MATCH(MAX(Reference!$A$6,MIN(Reference!$A$11,MIN($U65,270))),Reference!$A$6:$A$11,1))+1)-INDEX(Reference!$B$6:$B$11,MIN(5,MATCH(MAX(Reference!$A$6,MIN(Reference!$A$11,MIN($U65,270))),Reference!$A$6:$A$11,1))))/(INDEX(Reference!$A$6:$A$11,MIN(5,MATCH(MAX(Reference!$A$6,MIN(Reference!$A$11,MIN($U65,270))),Reference!$A$6:$A$11,1))+1)-INDEX(Reference!$A$6:$A$11,MIN(5,MATCH(MAX(Reference!$A$6,MIN(Reference!$A$11,MIN($U65,270))),Reference!$A$6:$A$11,1))))),0)+IF(8&lt;=$AL65,($AL65-8+3)*(INDEX(Reference!$B$6:$B$11,MIN(5,MATCH(MAX(Reference!$A$6,MIN(Reference!$A$11,MIN($U65,300))),Reference!$A$6:$A$11,1)))+(MAX(Reference!$A$6,MIN(Reference!$A$11,MIN($U65,300)))-INDEX(Reference!$A$6:$A$11,MIN(5,MATCH(MAX(Reference!$A$6,MIN(Reference!$A$11,MIN($U65,300))),Reference!$A$6:$A$11,1))))*(INDEX(Reference!$B$6:$B$11,MIN(5,MATCH(MAX(Reference!$A$6,MIN(Reference!$A$11,MIN($U65,300))),Reference!$A$6:$A$11,1))+1)-INDEX(Reference!$B$6:$B$11,MIN(5,MATCH(MAX(Reference!$A$6,MIN(Reference!$A$11,MIN($U65,300))),Reference!$A$6:$A$11,1))))/(INDEX(Reference!$A$6:$A$11,MIN(5,MATCH(MAX(Reference!$A$6,MIN(Reference!$A$11,MIN($U65,300))),Reference!$A$6:$A$11,1))+1)-INDEX(Reference!$A$6:$A$11,MIN(5,MATCH(MAX(Reference!$A$6,MIN(Reference!$A$11,MIN($U65,300))),Reference!$A$6:$A$11,1))))),0))/($AL65*($AL65+5)/2)),$AN65))</f>
        <v>1.3857142857142857</v>
      </c>
      <c r="AN65" s="32">
        <f>IF($U65="",0,(INDEX(Reference!$B$6:$B$11,MIN(5,MATCH(MAX(Reference!$A$6,MIN(Reference!$A$11,$U65)),Reference!$A$6:$A$11,1)))+(MAX(Reference!$A$6,MIN(Reference!$A$11,$U65))-INDEX(Reference!$A$6:$A$11,MIN(5,MATCH(MAX(Reference!$A$6,MIN(Reference!$A$11,$U65)),Reference!$A$6:$A$11,1))))*(INDEX(Reference!$B$6:$B$11,MIN(5,MATCH(MAX(Reference!$A$6,MIN(Reference!$A$11,$U65)),Reference!$A$6:$A$11,1))+1)-INDEX(Reference!$B$6:$B$11,MIN(5,MATCH(MAX(Reference!$A$6,MIN(Reference!$A$11,$U65)),Reference!$A$6:$A$11,1))))/(INDEX(Reference!$A$6:$A$11,MIN(5,MATCH(MAX(Reference!$A$6,MIN(Reference!$A$11,$U65)),Reference!$A$6:$A$11,1))+1)-INDEX(Reference!$A$6:$A$11,MIN(5,MATCH(MAX(Reference!$A$6,MIN(Reference!$A$11,$U65)),Reference!$A$6:$A$11,1))))))</f>
        <v>1.5</v>
      </c>
      <c r="AO65" s="37"/>
      <c r="AP65" s="37"/>
      <c r="AQ65" s="37"/>
    </row>
    <row r="66" spans="1:43" x14ac:dyDescent="0.3">
      <c r="A66" s="48">
        <f t="shared" si="5"/>
        <v>46330</v>
      </c>
      <c r="B66" s="32" t="str">
        <f t="shared" si="6"/>
        <v>Wed</v>
      </c>
      <c r="C66" s="32">
        <f t="shared" si="7"/>
        <v>61</v>
      </c>
      <c r="D66" s="32" t="str">
        <f t="shared" si="8"/>
        <v>Base</v>
      </c>
      <c r="E66" s="32" t="str">
        <f t="shared" si="9"/>
        <v>No Throw</v>
      </c>
      <c r="F66" s="32" t="str">
        <f t="shared" si="10"/>
        <v>No Throw</v>
      </c>
      <c r="G66" s="47" t="str">
        <f t="shared" si="11"/>
        <v>Off</v>
      </c>
      <c r="H66" s="30">
        <f t="shared" si="12"/>
        <v>0</v>
      </c>
      <c r="I66" s="46" t="str">
        <f>IF($A66="","",IF(AND($L66&lt;27,$K$12=0),"Building",IFERROR(((SUM($H$60:$H66)+$K$12*IF($L66&lt;6,SUMIFS('Throw Log'!$Q$5:$Q$300,'Throw Log'!$B$5:$B$300,$D$4,'Throw Log'!$A$5:$A$300,"&gt;="&amp;($D$6+$L66-6),'Throw Log'!$A$5:$A$300,"&lt;="&amp;($D$6-1)),0))/7)/((SUM($H$43:$H66)+$K$12*IF($L66&lt;27,SUMIFS('Throw Log'!$Q$5:$Q$300,'Throw Log'!$B$5:$B$300,$D$4,'Throw Log'!$A$5:$A$300,"&gt;="&amp;($D$6+$L66-27),'Throw Log'!$A$5:$A$300,"&lt;="&amp;($D$6-1)),0))/28),"")))</f>
        <v>Building</v>
      </c>
      <c r="J66" s="37"/>
      <c r="K66" s="37"/>
      <c r="L66" s="32">
        <v>23</v>
      </c>
      <c r="M66" s="32">
        <f t="shared" si="13"/>
        <v>4</v>
      </c>
      <c r="N66" s="32">
        <f t="shared" si="14"/>
        <v>2</v>
      </c>
      <c r="O66" s="32">
        <f t="shared" si="15"/>
        <v>0.30263157894736842</v>
      </c>
      <c r="P66" s="32">
        <f>IF(OR($A66="",N($C66)&lt;=7),"",$G$6*$G$9^($M66-1)*IF(AND(MOD($M66,Reference!$B$99)=0,$M66&lt;=$G$5-2),Reference!$B$100,1))</f>
        <v>96.844268027376231</v>
      </c>
      <c r="Q66" s="32">
        <f>IF($P66="","",IF(SUM($AK$64:$AK$70)=0,0,$P66*INDEX(Reference!$B$108:$B$114,$N66+1)/SUM($AK$64:$AK$70)))</f>
        <v>0</v>
      </c>
      <c r="R66" s="32">
        <f t="shared" si="16"/>
        <v>105</v>
      </c>
      <c r="S66" s="32">
        <f t="shared" si="17"/>
        <v>90</v>
      </c>
      <c r="T66" s="32" t="str">
        <f>IF($A66="","",IF($C66=0,"Bullpen",IF(OR($C66=7,$C66=1,$C66=5),"Recovery/Easy Catch",IF($C66=6,"Compression/Pulldowns",IF(OR($C66=4,$C66=2),"Long Toss",IF($C66=3,"No Throw",IF($N66=2,"No Throw",IF($N66=6,IF($O66&lt;Reference!$B$104,"No Throw","Recovery/Easy Catch"),IF(OR($N66=0,$N66=4),"Recovery/Easy Catch",IF($N66=1,IF($R66&gt;75,"Long Toss","Recovery/Easy Catch"),IF($N66=3,IF($O66&lt;0.5,IF($S66&gt;75,"Long Toss","Recovery/Easy Catch"),"Compression/Pulldowns"),IF($S66&gt;75,"Long Toss","Recovery/Easy Catch"))))))))))))</f>
        <v>No Throw</v>
      </c>
      <c r="U66" s="32" t="str">
        <f t="shared" si="18"/>
        <v/>
      </c>
      <c r="V66" s="32" t="str">
        <f t="shared" si="19"/>
        <v/>
      </c>
      <c r="W66" s="32" t="str">
        <f t="shared" si="20"/>
        <v/>
      </c>
      <c r="X66" s="32">
        <f t="shared" si="21"/>
        <v>0</v>
      </c>
      <c r="Y66" s="32" t="str">
        <f t="shared" si="22"/>
        <v/>
      </c>
      <c r="Z66" s="32" t="str">
        <f t="shared" si="23"/>
        <v/>
      </c>
      <c r="AA66" s="32" t="str">
        <f t="shared" si="24"/>
        <v/>
      </c>
      <c r="AB66" s="32">
        <f>IF($A66="","",IF($T66="No Throw",0,IF($K66&lt;&gt;"",$K66,IF($AA66&lt;&gt;"",ROUND($AA66*$D$12*IF($C66=0,1,$G$10),0),MIN(IF($T66="Recovery/Easy Catch",Reference!$B$103,IF($T66="Long Toss",Reference!$B$106,Reference!$B$102)),MAX(Reference!$B$101,ROUND(MAX(0,$Q66-$AE66)/$AF66,0)))))))</f>
        <v>0</v>
      </c>
      <c r="AC66" s="32">
        <f t="shared" si="25"/>
        <v>0</v>
      </c>
      <c r="AD66" s="32" t="b">
        <f t="shared" si="26"/>
        <v>1</v>
      </c>
      <c r="AE66" s="32">
        <f>IF($X66=0,0,$X66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66+$Z66)/2,0),Reference!$A$17:$B$20,2,TRUE()))</f>
        <v>0</v>
      </c>
      <c r="AF66" s="32">
        <f>IF(OR($A66="",$U66="",$T66="No Throw"),0,$AM66*VLOOKUP(MAX(($V66+$W66)/2,0),Reference!$A$17:$B$20,2,TRUE()))</f>
        <v>0</v>
      </c>
      <c r="AG66" s="32">
        <f>IF($AC66=0,0,$AC66*INDEX(Reference!$B$61:$B$62,MATCH("Bullpen",Reference!$A$61:$A$62,0))*VLOOKUP(MAX($D$5-($D$9+$E$9)/2,0),Reference!$A$17:$B$20,2,TRUE()))</f>
        <v>0</v>
      </c>
      <c r="AH66" s="32" t="e">
        <f t="shared" si="27"/>
        <v>#N/A</v>
      </c>
      <c r="AI66" s="32">
        <f>IF($A66="",NA(),Reference!$A$25)</f>
        <v>0.8</v>
      </c>
      <c r="AJ66" s="32">
        <f t="shared" si="28"/>
        <v>1.3</v>
      </c>
      <c r="AK66" s="32">
        <f>IF(OR($A66="",N($C66)&lt;=7,$T66="No Throw",$J66="x"),0,INDEX(Reference!$B$108:$B$114,$N66+1))</f>
        <v>0</v>
      </c>
      <c r="AL66" s="32">
        <f t="shared" si="29"/>
        <v>1</v>
      </c>
      <c r="AM66" s="32">
        <f>IF($U66="",0,IF($AL66&gt;1,((IF(1&lt;=$AL66,($AL66-1+3)*(INDEX(Reference!$B$6:$B$11,MIN(5,MATCH(MAX(Reference!$A$6,MIN(Reference!$A$11,MIN($U66,90))),Reference!$A$6:$A$11,1)))+(MAX(Reference!$A$6,MIN(Reference!$A$11,MIN($U66,90)))-INDEX(Reference!$A$6:$A$11,MIN(5,MATCH(MAX(Reference!$A$6,MIN(Reference!$A$11,MIN($U66,90))),Reference!$A$6:$A$11,1))))*(INDEX(Reference!$B$6:$B$11,MIN(5,MATCH(MAX(Reference!$A$6,MIN(Reference!$A$11,MIN($U66,90))),Reference!$A$6:$A$11,1))+1)-INDEX(Reference!$B$6:$B$11,MIN(5,MATCH(MAX(Reference!$A$6,MIN(Reference!$A$11,MIN($U66,90))),Reference!$A$6:$A$11,1))))/(INDEX(Reference!$A$6:$A$11,MIN(5,MATCH(MAX(Reference!$A$6,MIN(Reference!$A$11,MIN($U66,90))),Reference!$A$6:$A$11,1))+1)-INDEX(Reference!$A$6:$A$11,MIN(5,MATCH(MAX(Reference!$A$6,MIN(Reference!$A$11,MIN($U66,90))),Reference!$A$6:$A$11,1))))),0)+IF(2&lt;=$AL66,($AL66-2+3)*(INDEX(Reference!$B$6:$B$11,MIN(5,MATCH(MAX(Reference!$A$6,MIN(Reference!$A$11,MIN($U66,120))),Reference!$A$6:$A$11,1)))+(MAX(Reference!$A$6,MIN(Reference!$A$11,MIN($U66,120)))-INDEX(Reference!$A$6:$A$11,MIN(5,MATCH(MAX(Reference!$A$6,MIN(Reference!$A$11,MIN($U66,120))),Reference!$A$6:$A$11,1))))*(INDEX(Reference!$B$6:$B$11,MIN(5,MATCH(MAX(Reference!$A$6,MIN(Reference!$A$11,MIN($U66,120))),Reference!$A$6:$A$11,1))+1)-INDEX(Reference!$B$6:$B$11,MIN(5,MATCH(MAX(Reference!$A$6,MIN(Reference!$A$11,MIN($U66,120))),Reference!$A$6:$A$11,1))))/(INDEX(Reference!$A$6:$A$11,MIN(5,MATCH(MAX(Reference!$A$6,MIN(Reference!$A$11,MIN($U66,120))),Reference!$A$6:$A$11,1))+1)-INDEX(Reference!$A$6:$A$11,MIN(5,MATCH(MAX(Reference!$A$6,MIN(Reference!$A$11,MIN($U66,120))),Reference!$A$6:$A$11,1))))),0)+IF(3&lt;=$AL66,($AL66-3+3)*(INDEX(Reference!$B$6:$B$11,MIN(5,MATCH(MAX(Reference!$A$6,MIN(Reference!$A$11,MIN($U66,150))),Reference!$A$6:$A$11,1)))+(MAX(Reference!$A$6,MIN(Reference!$A$11,MIN($U66,150)))-INDEX(Reference!$A$6:$A$11,MIN(5,MATCH(MAX(Reference!$A$6,MIN(Reference!$A$11,MIN($U66,150))),Reference!$A$6:$A$11,1))))*(INDEX(Reference!$B$6:$B$11,MIN(5,MATCH(MAX(Reference!$A$6,MIN(Reference!$A$11,MIN($U66,150))),Reference!$A$6:$A$11,1))+1)-INDEX(Reference!$B$6:$B$11,MIN(5,MATCH(MAX(Reference!$A$6,MIN(Reference!$A$11,MIN($U66,150))),Reference!$A$6:$A$11,1))))/(INDEX(Reference!$A$6:$A$11,MIN(5,MATCH(MAX(Reference!$A$6,MIN(Reference!$A$11,MIN($U66,150))),Reference!$A$6:$A$11,1))+1)-INDEX(Reference!$A$6:$A$11,MIN(5,MATCH(MAX(Reference!$A$6,MIN(Reference!$A$11,MIN($U66,150))),Reference!$A$6:$A$11,1))))),0)+IF(4&lt;=$AL66,($AL66-4+3)*(INDEX(Reference!$B$6:$B$11,MIN(5,MATCH(MAX(Reference!$A$6,MIN(Reference!$A$11,MIN($U66,180))),Reference!$A$6:$A$11,1)))+(MAX(Reference!$A$6,MIN(Reference!$A$11,MIN($U66,180)))-INDEX(Reference!$A$6:$A$11,MIN(5,MATCH(MAX(Reference!$A$6,MIN(Reference!$A$11,MIN($U66,180))),Reference!$A$6:$A$11,1))))*(INDEX(Reference!$B$6:$B$11,MIN(5,MATCH(MAX(Reference!$A$6,MIN(Reference!$A$11,MIN($U66,180))),Reference!$A$6:$A$11,1))+1)-INDEX(Reference!$B$6:$B$11,MIN(5,MATCH(MAX(Reference!$A$6,MIN(Reference!$A$11,MIN($U66,180))),Reference!$A$6:$A$11,1))))/(INDEX(Reference!$A$6:$A$11,MIN(5,MATCH(MAX(Reference!$A$6,MIN(Reference!$A$11,MIN($U66,180))),Reference!$A$6:$A$11,1))+1)-INDEX(Reference!$A$6:$A$11,MIN(5,MATCH(MAX(Reference!$A$6,MIN(Reference!$A$11,MIN($U66,180))),Reference!$A$6:$A$11,1))))),0)+IF(5&lt;=$AL66,($AL66-5+3)*(INDEX(Reference!$B$6:$B$11,MIN(5,MATCH(MAX(Reference!$A$6,MIN(Reference!$A$11,MIN($U66,210))),Reference!$A$6:$A$11,1)))+(MAX(Reference!$A$6,MIN(Reference!$A$11,MIN($U66,210)))-INDEX(Reference!$A$6:$A$11,MIN(5,MATCH(MAX(Reference!$A$6,MIN(Reference!$A$11,MIN($U66,210))),Reference!$A$6:$A$11,1))))*(INDEX(Reference!$B$6:$B$11,MIN(5,MATCH(MAX(Reference!$A$6,MIN(Reference!$A$11,MIN($U66,210))),Reference!$A$6:$A$11,1))+1)-INDEX(Reference!$B$6:$B$11,MIN(5,MATCH(MAX(Reference!$A$6,MIN(Reference!$A$11,MIN($U66,210))),Reference!$A$6:$A$11,1))))/(INDEX(Reference!$A$6:$A$11,MIN(5,MATCH(MAX(Reference!$A$6,MIN(Reference!$A$11,MIN($U66,210))),Reference!$A$6:$A$11,1))+1)-INDEX(Reference!$A$6:$A$11,MIN(5,MATCH(MAX(Reference!$A$6,MIN(Reference!$A$11,MIN($U66,210))),Reference!$A$6:$A$11,1))))),0)+IF(6&lt;=$AL66,($AL66-6+3)*(INDEX(Reference!$B$6:$B$11,MIN(5,MATCH(MAX(Reference!$A$6,MIN(Reference!$A$11,MIN($U66,240))),Reference!$A$6:$A$11,1)))+(MAX(Reference!$A$6,MIN(Reference!$A$11,MIN($U66,240)))-INDEX(Reference!$A$6:$A$11,MIN(5,MATCH(MAX(Reference!$A$6,MIN(Reference!$A$11,MIN($U66,240))),Reference!$A$6:$A$11,1))))*(INDEX(Reference!$B$6:$B$11,MIN(5,MATCH(MAX(Reference!$A$6,MIN(Reference!$A$11,MIN($U66,240))),Reference!$A$6:$A$11,1))+1)-INDEX(Reference!$B$6:$B$11,MIN(5,MATCH(MAX(Reference!$A$6,MIN(Reference!$A$11,MIN($U66,240))),Reference!$A$6:$A$11,1))))/(INDEX(Reference!$A$6:$A$11,MIN(5,MATCH(MAX(Reference!$A$6,MIN(Reference!$A$11,MIN($U66,240))),Reference!$A$6:$A$11,1))+1)-INDEX(Reference!$A$6:$A$11,MIN(5,MATCH(MAX(Reference!$A$6,MIN(Reference!$A$11,MIN($U66,240))),Reference!$A$6:$A$11,1))))),0)+IF(7&lt;=$AL66,($AL66-7+3)*(INDEX(Reference!$B$6:$B$11,MIN(5,MATCH(MAX(Reference!$A$6,MIN(Reference!$A$11,MIN($U66,270))),Reference!$A$6:$A$11,1)))+(MAX(Reference!$A$6,MIN(Reference!$A$11,MIN($U66,270)))-INDEX(Reference!$A$6:$A$11,MIN(5,MATCH(MAX(Reference!$A$6,MIN(Reference!$A$11,MIN($U66,270))),Reference!$A$6:$A$11,1))))*(INDEX(Reference!$B$6:$B$11,MIN(5,MATCH(MAX(Reference!$A$6,MIN(Reference!$A$11,MIN($U66,270))),Reference!$A$6:$A$11,1))+1)-INDEX(Reference!$B$6:$B$11,MIN(5,MATCH(MAX(Reference!$A$6,MIN(Reference!$A$11,MIN($U66,270))),Reference!$A$6:$A$11,1))))/(INDEX(Reference!$A$6:$A$11,MIN(5,MATCH(MAX(Reference!$A$6,MIN(Reference!$A$11,MIN($U66,270))),Reference!$A$6:$A$11,1))+1)-INDEX(Reference!$A$6:$A$11,MIN(5,MATCH(MAX(Reference!$A$6,MIN(Reference!$A$11,MIN($U66,270))),Reference!$A$6:$A$11,1))))),0)+IF(8&lt;=$AL66,($AL66-8+3)*(INDEX(Reference!$B$6:$B$11,MIN(5,MATCH(MAX(Reference!$A$6,MIN(Reference!$A$11,MIN($U66,300))),Reference!$A$6:$A$11,1)))+(MAX(Reference!$A$6,MIN(Reference!$A$11,MIN($U66,300)))-INDEX(Reference!$A$6:$A$11,MIN(5,MATCH(MAX(Reference!$A$6,MIN(Reference!$A$11,MIN($U66,300))),Reference!$A$6:$A$11,1))))*(INDEX(Reference!$B$6:$B$11,MIN(5,MATCH(MAX(Reference!$A$6,MIN(Reference!$A$11,MIN($U66,300))),Reference!$A$6:$A$11,1))+1)-INDEX(Reference!$B$6:$B$11,MIN(5,MATCH(MAX(Reference!$A$6,MIN(Reference!$A$11,MIN($U66,300))),Reference!$A$6:$A$11,1))))/(INDEX(Reference!$A$6:$A$11,MIN(5,MATCH(MAX(Reference!$A$6,MIN(Reference!$A$11,MIN($U66,300))),Reference!$A$6:$A$11,1))+1)-INDEX(Reference!$A$6:$A$11,MIN(5,MATCH(MAX(Reference!$A$6,MIN(Reference!$A$11,MIN($U66,300))),Reference!$A$6:$A$11,1))))),0))/($AL66*($AL66+5)/2)),$AN66))</f>
        <v>0</v>
      </c>
      <c r="AN66" s="32">
        <f>IF($U66="",0,(INDEX(Reference!$B$6:$B$11,MIN(5,MATCH(MAX(Reference!$A$6,MIN(Reference!$A$11,$U66)),Reference!$A$6:$A$11,1)))+(MAX(Reference!$A$6,MIN(Reference!$A$11,$U66))-INDEX(Reference!$A$6:$A$11,MIN(5,MATCH(MAX(Reference!$A$6,MIN(Reference!$A$11,$U66)),Reference!$A$6:$A$11,1))))*(INDEX(Reference!$B$6:$B$11,MIN(5,MATCH(MAX(Reference!$A$6,MIN(Reference!$A$11,$U66)),Reference!$A$6:$A$11,1))+1)-INDEX(Reference!$B$6:$B$11,MIN(5,MATCH(MAX(Reference!$A$6,MIN(Reference!$A$11,$U66)),Reference!$A$6:$A$11,1))))/(INDEX(Reference!$A$6:$A$11,MIN(5,MATCH(MAX(Reference!$A$6,MIN(Reference!$A$11,$U66)),Reference!$A$6:$A$11,1))+1)-INDEX(Reference!$A$6:$A$11,MIN(5,MATCH(MAX(Reference!$A$6,MIN(Reference!$A$11,$U66)),Reference!$A$6:$A$11,1))))))</f>
        <v>0</v>
      </c>
      <c r="AO66" s="37"/>
      <c r="AP66" s="37"/>
      <c r="AQ66" s="37"/>
    </row>
    <row r="67" spans="1:43" x14ac:dyDescent="0.3">
      <c r="A67" s="48">
        <f t="shared" si="5"/>
        <v>46331</v>
      </c>
      <c r="B67" s="32" t="str">
        <f t="shared" si="6"/>
        <v>Thu</v>
      </c>
      <c r="C67" s="32">
        <f t="shared" si="7"/>
        <v>60</v>
      </c>
      <c r="D67" s="32" t="str">
        <f t="shared" si="8"/>
        <v>Base</v>
      </c>
      <c r="E67" s="32" t="str">
        <f t="shared" si="9"/>
        <v>Medium</v>
      </c>
      <c r="F67" s="32" t="str">
        <f t="shared" si="10"/>
        <v>Long Toss</v>
      </c>
      <c r="G67" s="47" t="str">
        <f t="shared" si="11"/>
        <v>90 ft × 25 @ 73–76 mph + 60 ft × 10 @ 71–75 mph</v>
      </c>
      <c r="H67" s="30">
        <f t="shared" si="12"/>
        <v>25.5</v>
      </c>
      <c r="I67" s="46" t="str">
        <f>IF($A67="","",IF(AND($L67&lt;27,$K$12=0),"Building",IFERROR(((SUM($H$61:$H67)+$K$12*IF($L67&lt;6,SUMIFS('Throw Log'!$Q$5:$Q$300,'Throw Log'!$B$5:$B$300,$D$4,'Throw Log'!$A$5:$A$300,"&gt;="&amp;($D$6+$L67-6),'Throw Log'!$A$5:$A$300,"&lt;="&amp;($D$6-1)),0))/7)/((SUM($H$43:$H67)+$K$12*IF($L67&lt;27,SUMIFS('Throw Log'!$Q$5:$Q$300,'Throw Log'!$B$5:$B$300,$D$4,'Throw Log'!$A$5:$A$300,"&gt;="&amp;($D$6+$L67-27),'Throw Log'!$A$5:$A$300,"&lt;="&amp;($D$6-1)),0))/28),"")))</f>
        <v>Building</v>
      </c>
      <c r="J67" s="37"/>
      <c r="K67" s="37">
        <v>25</v>
      </c>
      <c r="L67" s="32">
        <v>24</v>
      </c>
      <c r="M67" s="32">
        <f t="shared" si="13"/>
        <v>4</v>
      </c>
      <c r="N67" s="32">
        <f t="shared" si="14"/>
        <v>3</v>
      </c>
      <c r="O67" s="32">
        <f t="shared" si="15"/>
        <v>0.31578947368421051</v>
      </c>
      <c r="P67" s="32">
        <f>IF(OR($A67="",N($C67)&lt;=7),"",$G$6*$G$9^($M67-1)*IF(AND(MOD($M67,Reference!$B$99)=0,$M67&lt;=$G$5-2),Reference!$B$100,1))</f>
        <v>96.844268027376231</v>
      </c>
      <c r="Q67" s="32">
        <f>IF($P67="","",IF(SUM($AK$64:$AK$70)=0,0,$P67*INDEX(Reference!$B$108:$B$114,$N67+1)/SUM($AK$64:$AK$70)))</f>
        <v>23.242624326570294</v>
      </c>
      <c r="R67" s="32">
        <f t="shared" si="16"/>
        <v>105</v>
      </c>
      <c r="S67" s="32">
        <f t="shared" si="17"/>
        <v>90</v>
      </c>
      <c r="T67" s="32" t="str">
        <f>IF($A67="","",IF($C67=0,"Bullpen",IF(OR($C67=7,$C67=1,$C67=5),"Recovery/Easy Catch",IF($C67=6,"Compression/Pulldowns",IF(OR($C67=4,$C67=2),"Long Toss",IF($C67=3,"No Throw",IF($N67=2,"No Throw",IF($N67=6,IF($O67&lt;Reference!$B$104,"No Throw","Recovery/Easy Catch"),IF(OR($N67=0,$N67=4),"Recovery/Easy Catch",IF($N67=1,IF($R67&gt;75,"Long Toss","Recovery/Easy Catch"),IF($N67=3,IF($O67&lt;0.5,IF($S67&gt;75,"Long Toss","Recovery/Easy Catch"),"Compression/Pulldowns"),IF($S67&gt;75,"Long Toss","Recovery/Easy Catch"))))))))))))</f>
        <v>Long Toss</v>
      </c>
      <c r="U67" s="32">
        <f t="shared" si="18"/>
        <v>90</v>
      </c>
      <c r="V67" s="32">
        <f t="shared" si="19"/>
        <v>13</v>
      </c>
      <c r="W67" s="32">
        <f t="shared" si="20"/>
        <v>16</v>
      </c>
      <c r="X67" s="32">
        <f t="shared" si="21"/>
        <v>10</v>
      </c>
      <c r="Y67" s="32">
        <f t="shared" si="22"/>
        <v>14</v>
      </c>
      <c r="Z67" s="32">
        <f t="shared" si="23"/>
        <v>18</v>
      </c>
      <c r="AA67" s="32" t="str">
        <f t="shared" si="24"/>
        <v/>
      </c>
      <c r="AB67" s="32">
        <f>IF($A67="","",IF($T67="No Throw",0,IF($K67&lt;&gt;"",$K67,IF($AA67&lt;&gt;"",ROUND($AA67*$D$12*IF($C67=0,1,$G$10),0),MIN(IF($T67="Recovery/Easy Catch",Reference!$B$103,IF($T67="Long Toss",Reference!$B$106,Reference!$B$102)),MAX(Reference!$B$101,ROUND(MAX(0,$Q67-$AE67)/$AF67,0)))))))</f>
        <v>25</v>
      </c>
      <c r="AC67" s="32">
        <f t="shared" si="25"/>
        <v>0</v>
      </c>
      <c r="AD67" s="32" t="b">
        <f t="shared" si="26"/>
        <v>0</v>
      </c>
      <c r="AE67" s="32">
        <f>IF($X67=0,0,$X67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67+$Z67)/2,0),Reference!$A$17:$B$20,2,TRUE()))</f>
        <v>6</v>
      </c>
      <c r="AF67" s="32">
        <f>IF(OR($A67="",$U67="",$T67="No Throw"),0,$AM67*VLOOKUP(MAX(($V67+$W67)/2,0),Reference!$A$17:$B$20,2,TRUE()))</f>
        <v>0.78</v>
      </c>
      <c r="AG67" s="32">
        <f>IF($AC67=0,0,$AC67*INDEX(Reference!$B$61:$B$62,MATCH("Bullpen",Reference!$A$61:$A$62,0))*VLOOKUP(MAX($D$5-($D$9+$E$9)/2,0),Reference!$A$17:$B$20,2,TRUE()))</f>
        <v>0</v>
      </c>
      <c r="AH67" s="32" t="e">
        <f t="shared" si="27"/>
        <v>#N/A</v>
      </c>
      <c r="AI67" s="32">
        <f>IF($A67="",NA(),Reference!$A$25)</f>
        <v>0.8</v>
      </c>
      <c r="AJ67" s="32">
        <f t="shared" si="28"/>
        <v>1.3</v>
      </c>
      <c r="AK67" s="56">
        <f>IF(OR($A67="",N($C67)&lt;=7,$T67="No Throw",$J67="x"),0,INDEX(Reference!$B$108:$B$114,$N67+1))</f>
        <v>0.24</v>
      </c>
      <c r="AL67" s="32">
        <f t="shared" si="29"/>
        <v>1</v>
      </c>
      <c r="AM67" s="32">
        <f>IF($U67="",0,IF($AL67&gt;1,((IF(1&lt;=$AL67,($AL67-1+3)*(INDEX(Reference!$B$6:$B$11,MIN(5,MATCH(MAX(Reference!$A$6,MIN(Reference!$A$11,MIN($U67,90))),Reference!$A$6:$A$11,1)))+(MAX(Reference!$A$6,MIN(Reference!$A$11,MIN($U67,90)))-INDEX(Reference!$A$6:$A$11,MIN(5,MATCH(MAX(Reference!$A$6,MIN(Reference!$A$11,MIN($U67,90))),Reference!$A$6:$A$11,1))))*(INDEX(Reference!$B$6:$B$11,MIN(5,MATCH(MAX(Reference!$A$6,MIN(Reference!$A$11,MIN($U67,90))),Reference!$A$6:$A$11,1))+1)-INDEX(Reference!$B$6:$B$11,MIN(5,MATCH(MAX(Reference!$A$6,MIN(Reference!$A$11,MIN($U67,90))),Reference!$A$6:$A$11,1))))/(INDEX(Reference!$A$6:$A$11,MIN(5,MATCH(MAX(Reference!$A$6,MIN(Reference!$A$11,MIN($U67,90))),Reference!$A$6:$A$11,1))+1)-INDEX(Reference!$A$6:$A$11,MIN(5,MATCH(MAX(Reference!$A$6,MIN(Reference!$A$11,MIN($U67,90))),Reference!$A$6:$A$11,1))))),0)+IF(2&lt;=$AL67,($AL67-2+3)*(INDEX(Reference!$B$6:$B$11,MIN(5,MATCH(MAX(Reference!$A$6,MIN(Reference!$A$11,MIN($U67,120))),Reference!$A$6:$A$11,1)))+(MAX(Reference!$A$6,MIN(Reference!$A$11,MIN($U67,120)))-INDEX(Reference!$A$6:$A$11,MIN(5,MATCH(MAX(Reference!$A$6,MIN(Reference!$A$11,MIN($U67,120))),Reference!$A$6:$A$11,1))))*(INDEX(Reference!$B$6:$B$11,MIN(5,MATCH(MAX(Reference!$A$6,MIN(Reference!$A$11,MIN($U67,120))),Reference!$A$6:$A$11,1))+1)-INDEX(Reference!$B$6:$B$11,MIN(5,MATCH(MAX(Reference!$A$6,MIN(Reference!$A$11,MIN($U67,120))),Reference!$A$6:$A$11,1))))/(INDEX(Reference!$A$6:$A$11,MIN(5,MATCH(MAX(Reference!$A$6,MIN(Reference!$A$11,MIN($U67,120))),Reference!$A$6:$A$11,1))+1)-INDEX(Reference!$A$6:$A$11,MIN(5,MATCH(MAX(Reference!$A$6,MIN(Reference!$A$11,MIN($U67,120))),Reference!$A$6:$A$11,1))))),0)+IF(3&lt;=$AL67,($AL67-3+3)*(INDEX(Reference!$B$6:$B$11,MIN(5,MATCH(MAX(Reference!$A$6,MIN(Reference!$A$11,MIN($U67,150))),Reference!$A$6:$A$11,1)))+(MAX(Reference!$A$6,MIN(Reference!$A$11,MIN($U67,150)))-INDEX(Reference!$A$6:$A$11,MIN(5,MATCH(MAX(Reference!$A$6,MIN(Reference!$A$11,MIN($U67,150))),Reference!$A$6:$A$11,1))))*(INDEX(Reference!$B$6:$B$11,MIN(5,MATCH(MAX(Reference!$A$6,MIN(Reference!$A$11,MIN($U67,150))),Reference!$A$6:$A$11,1))+1)-INDEX(Reference!$B$6:$B$11,MIN(5,MATCH(MAX(Reference!$A$6,MIN(Reference!$A$11,MIN($U67,150))),Reference!$A$6:$A$11,1))))/(INDEX(Reference!$A$6:$A$11,MIN(5,MATCH(MAX(Reference!$A$6,MIN(Reference!$A$11,MIN($U67,150))),Reference!$A$6:$A$11,1))+1)-INDEX(Reference!$A$6:$A$11,MIN(5,MATCH(MAX(Reference!$A$6,MIN(Reference!$A$11,MIN($U67,150))),Reference!$A$6:$A$11,1))))),0)+IF(4&lt;=$AL67,($AL67-4+3)*(INDEX(Reference!$B$6:$B$11,MIN(5,MATCH(MAX(Reference!$A$6,MIN(Reference!$A$11,MIN($U67,180))),Reference!$A$6:$A$11,1)))+(MAX(Reference!$A$6,MIN(Reference!$A$11,MIN($U67,180)))-INDEX(Reference!$A$6:$A$11,MIN(5,MATCH(MAX(Reference!$A$6,MIN(Reference!$A$11,MIN($U67,180))),Reference!$A$6:$A$11,1))))*(INDEX(Reference!$B$6:$B$11,MIN(5,MATCH(MAX(Reference!$A$6,MIN(Reference!$A$11,MIN($U67,180))),Reference!$A$6:$A$11,1))+1)-INDEX(Reference!$B$6:$B$11,MIN(5,MATCH(MAX(Reference!$A$6,MIN(Reference!$A$11,MIN($U67,180))),Reference!$A$6:$A$11,1))))/(INDEX(Reference!$A$6:$A$11,MIN(5,MATCH(MAX(Reference!$A$6,MIN(Reference!$A$11,MIN($U67,180))),Reference!$A$6:$A$11,1))+1)-INDEX(Reference!$A$6:$A$11,MIN(5,MATCH(MAX(Reference!$A$6,MIN(Reference!$A$11,MIN($U67,180))),Reference!$A$6:$A$11,1))))),0)+IF(5&lt;=$AL67,($AL67-5+3)*(INDEX(Reference!$B$6:$B$11,MIN(5,MATCH(MAX(Reference!$A$6,MIN(Reference!$A$11,MIN($U67,210))),Reference!$A$6:$A$11,1)))+(MAX(Reference!$A$6,MIN(Reference!$A$11,MIN($U67,210)))-INDEX(Reference!$A$6:$A$11,MIN(5,MATCH(MAX(Reference!$A$6,MIN(Reference!$A$11,MIN($U67,210))),Reference!$A$6:$A$11,1))))*(INDEX(Reference!$B$6:$B$11,MIN(5,MATCH(MAX(Reference!$A$6,MIN(Reference!$A$11,MIN($U67,210))),Reference!$A$6:$A$11,1))+1)-INDEX(Reference!$B$6:$B$11,MIN(5,MATCH(MAX(Reference!$A$6,MIN(Reference!$A$11,MIN($U67,210))),Reference!$A$6:$A$11,1))))/(INDEX(Reference!$A$6:$A$11,MIN(5,MATCH(MAX(Reference!$A$6,MIN(Reference!$A$11,MIN($U67,210))),Reference!$A$6:$A$11,1))+1)-INDEX(Reference!$A$6:$A$11,MIN(5,MATCH(MAX(Reference!$A$6,MIN(Reference!$A$11,MIN($U67,210))),Reference!$A$6:$A$11,1))))),0)+IF(6&lt;=$AL67,($AL67-6+3)*(INDEX(Reference!$B$6:$B$11,MIN(5,MATCH(MAX(Reference!$A$6,MIN(Reference!$A$11,MIN($U67,240))),Reference!$A$6:$A$11,1)))+(MAX(Reference!$A$6,MIN(Reference!$A$11,MIN($U67,240)))-INDEX(Reference!$A$6:$A$11,MIN(5,MATCH(MAX(Reference!$A$6,MIN(Reference!$A$11,MIN($U67,240))),Reference!$A$6:$A$11,1))))*(INDEX(Reference!$B$6:$B$11,MIN(5,MATCH(MAX(Reference!$A$6,MIN(Reference!$A$11,MIN($U67,240))),Reference!$A$6:$A$11,1))+1)-INDEX(Reference!$B$6:$B$11,MIN(5,MATCH(MAX(Reference!$A$6,MIN(Reference!$A$11,MIN($U67,240))),Reference!$A$6:$A$11,1))))/(INDEX(Reference!$A$6:$A$11,MIN(5,MATCH(MAX(Reference!$A$6,MIN(Reference!$A$11,MIN($U67,240))),Reference!$A$6:$A$11,1))+1)-INDEX(Reference!$A$6:$A$11,MIN(5,MATCH(MAX(Reference!$A$6,MIN(Reference!$A$11,MIN($U67,240))),Reference!$A$6:$A$11,1))))),0)+IF(7&lt;=$AL67,($AL67-7+3)*(INDEX(Reference!$B$6:$B$11,MIN(5,MATCH(MAX(Reference!$A$6,MIN(Reference!$A$11,MIN($U67,270))),Reference!$A$6:$A$11,1)))+(MAX(Reference!$A$6,MIN(Reference!$A$11,MIN($U67,270)))-INDEX(Reference!$A$6:$A$11,MIN(5,MATCH(MAX(Reference!$A$6,MIN(Reference!$A$11,MIN($U67,270))),Reference!$A$6:$A$11,1))))*(INDEX(Reference!$B$6:$B$11,MIN(5,MATCH(MAX(Reference!$A$6,MIN(Reference!$A$11,MIN($U67,270))),Reference!$A$6:$A$11,1))+1)-INDEX(Reference!$B$6:$B$11,MIN(5,MATCH(MAX(Reference!$A$6,MIN(Reference!$A$11,MIN($U67,270))),Reference!$A$6:$A$11,1))))/(INDEX(Reference!$A$6:$A$11,MIN(5,MATCH(MAX(Reference!$A$6,MIN(Reference!$A$11,MIN($U67,270))),Reference!$A$6:$A$11,1))+1)-INDEX(Reference!$A$6:$A$11,MIN(5,MATCH(MAX(Reference!$A$6,MIN(Reference!$A$11,MIN($U67,270))),Reference!$A$6:$A$11,1))))),0)+IF(8&lt;=$AL67,($AL67-8+3)*(INDEX(Reference!$B$6:$B$11,MIN(5,MATCH(MAX(Reference!$A$6,MIN(Reference!$A$11,MIN($U67,300))),Reference!$A$6:$A$11,1)))+(MAX(Reference!$A$6,MIN(Reference!$A$11,MIN($U67,300)))-INDEX(Reference!$A$6:$A$11,MIN(5,MATCH(MAX(Reference!$A$6,MIN(Reference!$A$11,MIN($U67,300))),Reference!$A$6:$A$11,1))))*(INDEX(Reference!$B$6:$B$11,MIN(5,MATCH(MAX(Reference!$A$6,MIN(Reference!$A$11,MIN($U67,300))),Reference!$A$6:$A$11,1))+1)-INDEX(Reference!$B$6:$B$11,MIN(5,MATCH(MAX(Reference!$A$6,MIN(Reference!$A$11,MIN($U67,300))),Reference!$A$6:$A$11,1))))/(INDEX(Reference!$A$6:$A$11,MIN(5,MATCH(MAX(Reference!$A$6,MIN(Reference!$A$11,MIN($U67,300))),Reference!$A$6:$A$11,1))+1)-INDEX(Reference!$A$6:$A$11,MIN(5,MATCH(MAX(Reference!$A$6,MIN(Reference!$A$11,MIN($U67,300))),Reference!$A$6:$A$11,1))))),0))/($AL67*($AL67+5)/2)),$AN67))</f>
        <v>1.3</v>
      </c>
      <c r="AN67" s="32">
        <f>IF($U67="",0,(INDEX(Reference!$B$6:$B$11,MIN(5,MATCH(MAX(Reference!$A$6,MIN(Reference!$A$11,$U67)),Reference!$A$6:$A$11,1)))+(MAX(Reference!$A$6,MIN(Reference!$A$11,$U67))-INDEX(Reference!$A$6:$A$11,MIN(5,MATCH(MAX(Reference!$A$6,MIN(Reference!$A$11,$U67)),Reference!$A$6:$A$11,1))))*(INDEX(Reference!$B$6:$B$11,MIN(5,MATCH(MAX(Reference!$A$6,MIN(Reference!$A$11,$U67)),Reference!$A$6:$A$11,1))+1)-INDEX(Reference!$B$6:$B$11,MIN(5,MATCH(MAX(Reference!$A$6,MIN(Reference!$A$11,$U67)),Reference!$A$6:$A$11,1))))/(INDEX(Reference!$A$6:$A$11,MIN(5,MATCH(MAX(Reference!$A$6,MIN(Reference!$A$11,$U67)),Reference!$A$6:$A$11,1))+1)-INDEX(Reference!$A$6:$A$11,MIN(5,MATCH(MAX(Reference!$A$6,MIN(Reference!$A$11,$U67)),Reference!$A$6:$A$11,1))))))</f>
        <v>1.3</v>
      </c>
      <c r="AO67" s="37"/>
      <c r="AP67" s="37"/>
      <c r="AQ67" s="37"/>
    </row>
    <row r="68" spans="1:43" x14ac:dyDescent="0.3">
      <c r="A68" s="48">
        <f t="shared" si="5"/>
        <v>46332</v>
      </c>
      <c r="B68" s="32" t="str">
        <f t="shared" si="6"/>
        <v>Fri</v>
      </c>
      <c r="C68" s="32">
        <f t="shared" si="7"/>
        <v>59</v>
      </c>
      <c r="D68" s="32" t="str">
        <f t="shared" si="8"/>
        <v>Base</v>
      </c>
      <c r="E68" s="32" t="str">
        <f t="shared" si="9"/>
        <v>Low</v>
      </c>
      <c r="F68" s="32" t="str">
        <f t="shared" si="10"/>
        <v>Recovery/Easy Catch</v>
      </c>
      <c r="G68" s="47" t="str">
        <f t="shared" si="11"/>
        <v>60 ft × 20 @ 65–69 mph</v>
      </c>
      <c r="H68" s="30">
        <f t="shared" si="12"/>
        <v>12</v>
      </c>
      <c r="I68" s="46" t="str">
        <f>IF($A68="","",IF(AND($L68&lt;27,$K$12=0),"Building",IFERROR(((SUM($H$62:$H68)+$K$12*IF($L68&lt;6,SUMIFS('Throw Log'!$Q$5:$Q$300,'Throw Log'!$B$5:$B$300,$D$4,'Throw Log'!$A$5:$A$300,"&gt;="&amp;($D$6+$L68-6),'Throw Log'!$A$5:$A$300,"&lt;="&amp;($D$6-1)),0))/7)/((SUM($H$43:$H68)+$K$12*IF($L68&lt;27,SUMIFS('Throw Log'!$Q$5:$Q$300,'Throw Log'!$B$5:$B$300,$D$4,'Throw Log'!$A$5:$A$300,"&gt;="&amp;($D$6+$L68-27),'Throw Log'!$A$5:$A$300,"&lt;="&amp;($D$6-1)),0))/28),"")))</f>
        <v>Building</v>
      </c>
      <c r="J68" s="37"/>
      <c r="K68" s="37"/>
      <c r="L68" s="32">
        <v>25</v>
      </c>
      <c r="M68" s="32">
        <f t="shared" si="13"/>
        <v>4</v>
      </c>
      <c r="N68" s="32">
        <f t="shared" si="14"/>
        <v>4</v>
      </c>
      <c r="O68" s="32">
        <f t="shared" si="15"/>
        <v>0.32894736842105265</v>
      </c>
      <c r="P68" s="32">
        <f>IF(OR($A68="",N($C68)&lt;=7),"",$G$6*$G$9^($M68-1)*IF(AND(MOD($M68,Reference!$B$99)=0,$M68&lt;=$G$5-2),Reference!$B$100,1))</f>
        <v>96.844268027376231</v>
      </c>
      <c r="Q68" s="32">
        <f>IF($P68="","",IF(SUM($AK$64:$AK$70)=0,0,$P68*INDEX(Reference!$B$108:$B$114,$N68+1)/SUM($AK$64:$AK$70)))</f>
        <v>9.6844268027376241</v>
      </c>
      <c r="R68" s="32">
        <f t="shared" si="16"/>
        <v>120</v>
      </c>
      <c r="S68" s="32">
        <f t="shared" si="17"/>
        <v>105</v>
      </c>
      <c r="T68" s="32" t="str">
        <f>IF($A68="","",IF($C68=0,"Bullpen",IF(OR($C68=7,$C68=1,$C68=5),"Recovery/Easy Catch",IF($C68=6,"Compression/Pulldowns",IF(OR($C68=4,$C68=2),"Long Toss",IF($C68=3,"No Throw",IF($N68=2,"No Throw",IF($N68=6,IF($O68&lt;Reference!$B$104,"No Throw","Recovery/Easy Catch"),IF(OR($N68=0,$N68=4),"Recovery/Easy Catch",IF($N68=1,IF($R68&gt;75,"Long Toss","Recovery/Easy Catch"),IF($N68=3,IF($O68&lt;0.5,IF($S68&gt;75,"Long Toss","Recovery/Easy Catch"),"Compression/Pulldowns"),IF($S68&gt;75,"Long Toss","Recovery/Easy Catch"))))))))))))</f>
        <v>Recovery/Easy Catch</v>
      </c>
      <c r="U68" s="32">
        <f t="shared" si="18"/>
        <v>60</v>
      </c>
      <c r="V68" s="32">
        <f t="shared" si="19"/>
        <v>20</v>
      </c>
      <c r="W68" s="32">
        <f t="shared" si="20"/>
        <v>24</v>
      </c>
      <c r="X68" s="32">
        <f t="shared" si="21"/>
        <v>0</v>
      </c>
      <c r="Y68" s="32" t="str">
        <f t="shared" si="22"/>
        <v/>
      </c>
      <c r="Z68" s="32" t="str">
        <f t="shared" si="23"/>
        <v/>
      </c>
      <c r="AA68" s="32" t="str">
        <f t="shared" si="24"/>
        <v/>
      </c>
      <c r="AB68" s="32">
        <f>IF($A68="","",IF($T68="No Throw",0,IF($K68&lt;&gt;"",$K68,IF($AA68&lt;&gt;"",ROUND($AA68*$D$12*IF($C68=0,1,$G$10),0),MIN(IF($T68="Recovery/Easy Catch",Reference!$B$103,IF($T68="Long Toss",Reference!$B$106,Reference!$B$102)),MAX(Reference!$B$101,ROUND(MAX(0,$Q68-$AE68)/$AF68,0)))))))</f>
        <v>20</v>
      </c>
      <c r="AC68" s="32">
        <f t="shared" si="25"/>
        <v>0</v>
      </c>
      <c r="AD68" s="32" t="b">
        <f t="shared" si="26"/>
        <v>0</v>
      </c>
      <c r="AE68" s="32">
        <f>IF($X68=0,0,$X68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68+$Z68)/2,0),Reference!$A$17:$B$20,2,TRUE()))</f>
        <v>0</v>
      </c>
      <c r="AF68" s="32">
        <f>IF(OR($A68="",$U68="",$T68="No Throw"),0,$AM68*VLOOKUP(MAX(($V68+$W68)/2,0),Reference!$A$17:$B$20,2,TRUE()))</f>
        <v>0.6</v>
      </c>
      <c r="AG68" s="32">
        <f>IF($AC68=0,0,$AC68*INDEX(Reference!$B$61:$B$62,MATCH("Bullpen",Reference!$A$61:$A$62,0))*VLOOKUP(MAX($D$5-($D$9+$E$9)/2,0),Reference!$A$17:$B$20,2,TRUE()))</f>
        <v>0</v>
      </c>
      <c r="AH68" s="32" t="e">
        <f t="shared" si="27"/>
        <v>#N/A</v>
      </c>
      <c r="AI68" s="32">
        <f>IF($A68="",NA(),Reference!$A$25)</f>
        <v>0.8</v>
      </c>
      <c r="AJ68" s="32">
        <f t="shared" si="28"/>
        <v>1.3</v>
      </c>
      <c r="AK68" s="56">
        <f>IF(OR($A68="",N($C68)&lt;=7,$T68="No Throw",$J68="x"),0,INDEX(Reference!$B$108:$B$114,$N68+1))</f>
        <v>0.1</v>
      </c>
      <c r="AL68" s="32">
        <f t="shared" si="29"/>
        <v>1</v>
      </c>
      <c r="AM68" s="32">
        <f>IF($U68="",0,IF($AL68&gt;1,((IF(1&lt;=$AL68,($AL68-1+3)*(INDEX(Reference!$B$6:$B$11,MIN(5,MATCH(MAX(Reference!$A$6,MIN(Reference!$A$11,MIN($U68,90))),Reference!$A$6:$A$11,1)))+(MAX(Reference!$A$6,MIN(Reference!$A$11,MIN($U68,90)))-INDEX(Reference!$A$6:$A$11,MIN(5,MATCH(MAX(Reference!$A$6,MIN(Reference!$A$11,MIN($U68,90))),Reference!$A$6:$A$11,1))))*(INDEX(Reference!$B$6:$B$11,MIN(5,MATCH(MAX(Reference!$A$6,MIN(Reference!$A$11,MIN($U68,90))),Reference!$A$6:$A$11,1))+1)-INDEX(Reference!$B$6:$B$11,MIN(5,MATCH(MAX(Reference!$A$6,MIN(Reference!$A$11,MIN($U68,90))),Reference!$A$6:$A$11,1))))/(INDEX(Reference!$A$6:$A$11,MIN(5,MATCH(MAX(Reference!$A$6,MIN(Reference!$A$11,MIN($U68,90))),Reference!$A$6:$A$11,1))+1)-INDEX(Reference!$A$6:$A$11,MIN(5,MATCH(MAX(Reference!$A$6,MIN(Reference!$A$11,MIN($U68,90))),Reference!$A$6:$A$11,1))))),0)+IF(2&lt;=$AL68,($AL68-2+3)*(INDEX(Reference!$B$6:$B$11,MIN(5,MATCH(MAX(Reference!$A$6,MIN(Reference!$A$11,MIN($U68,120))),Reference!$A$6:$A$11,1)))+(MAX(Reference!$A$6,MIN(Reference!$A$11,MIN($U68,120)))-INDEX(Reference!$A$6:$A$11,MIN(5,MATCH(MAX(Reference!$A$6,MIN(Reference!$A$11,MIN($U68,120))),Reference!$A$6:$A$11,1))))*(INDEX(Reference!$B$6:$B$11,MIN(5,MATCH(MAX(Reference!$A$6,MIN(Reference!$A$11,MIN($U68,120))),Reference!$A$6:$A$11,1))+1)-INDEX(Reference!$B$6:$B$11,MIN(5,MATCH(MAX(Reference!$A$6,MIN(Reference!$A$11,MIN($U68,120))),Reference!$A$6:$A$11,1))))/(INDEX(Reference!$A$6:$A$11,MIN(5,MATCH(MAX(Reference!$A$6,MIN(Reference!$A$11,MIN($U68,120))),Reference!$A$6:$A$11,1))+1)-INDEX(Reference!$A$6:$A$11,MIN(5,MATCH(MAX(Reference!$A$6,MIN(Reference!$A$11,MIN($U68,120))),Reference!$A$6:$A$11,1))))),0)+IF(3&lt;=$AL68,($AL68-3+3)*(INDEX(Reference!$B$6:$B$11,MIN(5,MATCH(MAX(Reference!$A$6,MIN(Reference!$A$11,MIN($U68,150))),Reference!$A$6:$A$11,1)))+(MAX(Reference!$A$6,MIN(Reference!$A$11,MIN($U68,150)))-INDEX(Reference!$A$6:$A$11,MIN(5,MATCH(MAX(Reference!$A$6,MIN(Reference!$A$11,MIN($U68,150))),Reference!$A$6:$A$11,1))))*(INDEX(Reference!$B$6:$B$11,MIN(5,MATCH(MAX(Reference!$A$6,MIN(Reference!$A$11,MIN($U68,150))),Reference!$A$6:$A$11,1))+1)-INDEX(Reference!$B$6:$B$11,MIN(5,MATCH(MAX(Reference!$A$6,MIN(Reference!$A$11,MIN($U68,150))),Reference!$A$6:$A$11,1))))/(INDEX(Reference!$A$6:$A$11,MIN(5,MATCH(MAX(Reference!$A$6,MIN(Reference!$A$11,MIN($U68,150))),Reference!$A$6:$A$11,1))+1)-INDEX(Reference!$A$6:$A$11,MIN(5,MATCH(MAX(Reference!$A$6,MIN(Reference!$A$11,MIN($U68,150))),Reference!$A$6:$A$11,1))))),0)+IF(4&lt;=$AL68,($AL68-4+3)*(INDEX(Reference!$B$6:$B$11,MIN(5,MATCH(MAX(Reference!$A$6,MIN(Reference!$A$11,MIN($U68,180))),Reference!$A$6:$A$11,1)))+(MAX(Reference!$A$6,MIN(Reference!$A$11,MIN($U68,180)))-INDEX(Reference!$A$6:$A$11,MIN(5,MATCH(MAX(Reference!$A$6,MIN(Reference!$A$11,MIN($U68,180))),Reference!$A$6:$A$11,1))))*(INDEX(Reference!$B$6:$B$11,MIN(5,MATCH(MAX(Reference!$A$6,MIN(Reference!$A$11,MIN($U68,180))),Reference!$A$6:$A$11,1))+1)-INDEX(Reference!$B$6:$B$11,MIN(5,MATCH(MAX(Reference!$A$6,MIN(Reference!$A$11,MIN($U68,180))),Reference!$A$6:$A$11,1))))/(INDEX(Reference!$A$6:$A$11,MIN(5,MATCH(MAX(Reference!$A$6,MIN(Reference!$A$11,MIN($U68,180))),Reference!$A$6:$A$11,1))+1)-INDEX(Reference!$A$6:$A$11,MIN(5,MATCH(MAX(Reference!$A$6,MIN(Reference!$A$11,MIN($U68,180))),Reference!$A$6:$A$11,1))))),0)+IF(5&lt;=$AL68,($AL68-5+3)*(INDEX(Reference!$B$6:$B$11,MIN(5,MATCH(MAX(Reference!$A$6,MIN(Reference!$A$11,MIN($U68,210))),Reference!$A$6:$A$11,1)))+(MAX(Reference!$A$6,MIN(Reference!$A$11,MIN($U68,210)))-INDEX(Reference!$A$6:$A$11,MIN(5,MATCH(MAX(Reference!$A$6,MIN(Reference!$A$11,MIN($U68,210))),Reference!$A$6:$A$11,1))))*(INDEX(Reference!$B$6:$B$11,MIN(5,MATCH(MAX(Reference!$A$6,MIN(Reference!$A$11,MIN($U68,210))),Reference!$A$6:$A$11,1))+1)-INDEX(Reference!$B$6:$B$11,MIN(5,MATCH(MAX(Reference!$A$6,MIN(Reference!$A$11,MIN($U68,210))),Reference!$A$6:$A$11,1))))/(INDEX(Reference!$A$6:$A$11,MIN(5,MATCH(MAX(Reference!$A$6,MIN(Reference!$A$11,MIN($U68,210))),Reference!$A$6:$A$11,1))+1)-INDEX(Reference!$A$6:$A$11,MIN(5,MATCH(MAX(Reference!$A$6,MIN(Reference!$A$11,MIN($U68,210))),Reference!$A$6:$A$11,1))))),0)+IF(6&lt;=$AL68,($AL68-6+3)*(INDEX(Reference!$B$6:$B$11,MIN(5,MATCH(MAX(Reference!$A$6,MIN(Reference!$A$11,MIN($U68,240))),Reference!$A$6:$A$11,1)))+(MAX(Reference!$A$6,MIN(Reference!$A$11,MIN($U68,240)))-INDEX(Reference!$A$6:$A$11,MIN(5,MATCH(MAX(Reference!$A$6,MIN(Reference!$A$11,MIN($U68,240))),Reference!$A$6:$A$11,1))))*(INDEX(Reference!$B$6:$B$11,MIN(5,MATCH(MAX(Reference!$A$6,MIN(Reference!$A$11,MIN($U68,240))),Reference!$A$6:$A$11,1))+1)-INDEX(Reference!$B$6:$B$11,MIN(5,MATCH(MAX(Reference!$A$6,MIN(Reference!$A$11,MIN($U68,240))),Reference!$A$6:$A$11,1))))/(INDEX(Reference!$A$6:$A$11,MIN(5,MATCH(MAX(Reference!$A$6,MIN(Reference!$A$11,MIN($U68,240))),Reference!$A$6:$A$11,1))+1)-INDEX(Reference!$A$6:$A$11,MIN(5,MATCH(MAX(Reference!$A$6,MIN(Reference!$A$11,MIN($U68,240))),Reference!$A$6:$A$11,1))))),0)+IF(7&lt;=$AL68,($AL68-7+3)*(INDEX(Reference!$B$6:$B$11,MIN(5,MATCH(MAX(Reference!$A$6,MIN(Reference!$A$11,MIN($U68,270))),Reference!$A$6:$A$11,1)))+(MAX(Reference!$A$6,MIN(Reference!$A$11,MIN($U68,270)))-INDEX(Reference!$A$6:$A$11,MIN(5,MATCH(MAX(Reference!$A$6,MIN(Reference!$A$11,MIN($U68,270))),Reference!$A$6:$A$11,1))))*(INDEX(Reference!$B$6:$B$11,MIN(5,MATCH(MAX(Reference!$A$6,MIN(Reference!$A$11,MIN($U68,270))),Reference!$A$6:$A$11,1))+1)-INDEX(Reference!$B$6:$B$11,MIN(5,MATCH(MAX(Reference!$A$6,MIN(Reference!$A$11,MIN($U68,270))),Reference!$A$6:$A$11,1))))/(INDEX(Reference!$A$6:$A$11,MIN(5,MATCH(MAX(Reference!$A$6,MIN(Reference!$A$11,MIN($U68,270))),Reference!$A$6:$A$11,1))+1)-INDEX(Reference!$A$6:$A$11,MIN(5,MATCH(MAX(Reference!$A$6,MIN(Reference!$A$11,MIN($U68,270))),Reference!$A$6:$A$11,1))))),0)+IF(8&lt;=$AL68,($AL68-8+3)*(INDEX(Reference!$B$6:$B$11,MIN(5,MATCH(MAX(Reference!$A$6,MIN(Reference!$A$11,MIN($U68,300))),Reference!$A$6:$A$11,1)))+(MAX(Reference!$A$6,MIN(Reference!$A$11,MIN($U68,300)))-INDEX(Reference!$A$6:$A$11,MIN(5,MATCH(MAX(Reference!$A$6,MIN(Reference!$A$11,MIN($U68,300))),Reference!$A$6:$A$11,1))))*(INDEX(Reference!$B$6:$B$11,MIN(5,MATCH(MAX(Reference!$A$6,MIN(Reference!$A$11,MIN($U68,300))),Reference!$A$6:$A$11,1))+1)-INDEX(Reference!$B$6:$B$11,MIN(5,MATCH(MAX(Reference!$A$6,MIN(Reference!$A$11,MIN($U68,300))),Reference!$A$6:$A$11,1))))/(INDEX(Reference!$A$6:$A$11,MIN(5,MATCH(MAX(Reference!$A$6,MIN(Reference!$A$11,MIN($U68,300))),Reference!$A$6:$A$11,1))+1)-INDEX(Reference!$A$6:$A$11,MIN(5,MATCH(MAX(Reference!$A$6,MIN(Reference!$A$11,MIN($U68,300))),Reference!$A$6:$A$11,1))))),0))/($AL68*($AL68+5)/2)),$AN68))</f>
        <v>1</v>
      </c>
      <c r="AN68" s="32">
        <f>IF($U68="",0,(INDEX(Reference!$B$6:$B$11,MIN(5,MATCH(MAX(Reference!$A$6,MIN(Reference!$A$11,$U68)),Reference!$A$6:$A$11,1)))+(MAX(Reference!$A$6,MIN(Reference!$A$11,$U68))-INDEX(Reference!$A$6:$A$11,MIN(5,MATCH(MAX(Reference!$A$6,MIN(Reference!$A$11,$U68)),Reference!$A$6:$A$11,1))))*(INDEX(Reference!$B$6:$B$11,MIN(5,MATCH(MAX(Reference!$A$6,MIN(Reference!$A$11,$U68)),Reference!$A$6:$A$11,1))+1)-INDEX(Reference!$B$6:$B$11,MIN(5,MATCH(MAX(Reference!$A$6,MIN(Reference!$A$11,$U68)),Reference!$A$6:$A$11,1))))/(INDEX(Reference!$A$6:$A$11,MIN(5,MATCH(MAX(Reference!$A$6,MIN(Reference!$A$11,$U68)),Reference!$A$6:$A$11,1))+1)-INDEX(Reference!$A$6:$A$11,MIN(5,MATCH(MAX(Reference!$A$6,MIN(Reference!$A$11,$U68)),Reference!$A$6:$A$11,1))))))</f>
        <v>1</v>
      </c>
      <c r="AO68" s="37"/>
      <c r="AP68" s="37"/>
      <c r="AQ68" s="37"/>
    </row>
    <row r="69" spans="1:43" ht="26.4" x14ac:dyDescent="0.3">
      <c r="A69" s="48">
        <f t="shared" si="5"/>
        <v>46333</v>
      </c>
      <c r="B69" s="32" t="str">
        <f t="shared" si="6"/>
        <v>Sat</v>
      </c>
      <c r="C69" s="32">
        <f t="shared" si="7"/>
        <v>58</v>
      </c>
      <c r="D69" s="32" t="str">
        <f t="shared" si="8"/>
        <v>Base</v>
      </c>
      <c r="E69" s="32" t="str">
        <f t="shared" si="9"/>
        <v>Medium</v>
      </c>
      <c r="F69" s="32" t="str">
        <f t="shared" si="10"/>
        <v>Long Toss</v>
      </c>
      <c r="G69" s="47" t="str">
        <f t="shared" si="11"/>
        <v>Long toss out to 105 ft — 23 throws (90×13 · 105×10) @ 74–77 mph + 60 ft × 12 @ 71–75 mph</v>
      </c>
      <c r="H69" s="30">
        <f t="shared" si="12"/>
        <v>26.322857142857142</v>
      </c>
      <c r="I69" s="46" t="str">
        <f>IF($A69="","",IF(AND($L69&lt;27,$K$12=0),"Building",IFERROR(((SUM($H$63:$H69)+$K$12*IF($L69&lt;6,SUMIFS('Throw Log'!$Q$5:$Q$300,'Throw Log'!$B$5:$B$300,$D$4,'Throw Log'!$A$5:$A$300,"&gt;="&amp;($D$6+$L69-6),'Throw Log'!$A$5:$A$300,"&lt;="&amp;($D$6-1)),0))/7)/((SUM($H$43:$H69)+$K$12*IF($L69&lt;27,SUMIFS('Throw Log'!$Q$5:$Q$300,'Throw Log'!$B$5:$B$300,$D$4,'Throw Log'!$A$5:$A$300,"&gt;="&amp;($D$6+$L69-27),'Throw Log'!$A$5:$A$300,"&lt;="&amp;($D$6-1)),0))/28),"")))</f>
        <v>Building</v>
      </c>
      <c r="J69" s="37"/>
      <c r="K69" s="37"/>
      <c r="L69" s="32">
        <v>26</v>
      </c>
      <c r="M69" s="32">
        <f t="shared" si="13"/>
        <v>4</v>
      </c>
      <c r="N69" s="32">
        <f t="shared" si="14"/>
        <v>5</v>
      </c>
      <c r="O69" s="32">
        <f t="shared" si="15"/>
        <v>0.34210526315789475</v>
      </c>
      <c r="P69" s="32">
        <f>IF(OR($A69="",N($C69)&lt;=7),"",$G$6*$G$9^($M69-1)*IF(AND(MOD($M69,Reference!$B$99)=0,$M69&lt;=$G$5-2),Reference!$B$100,1))</f>
        <v>96.844268027376231</v>
      </c>
      <c r="Q69" s="32">
        <f>IF($P69="","",IF(SUM($AK$64:$AK$70)=0,0,$P69*INDEX(Reference!$B$108:$B$114,$N69+1)/SUM($AK$64:$AK$70)))</f>
        <v>26.147952367391586</v>
      </c>
      <c r="R69" s="32">
        <f t="shared" si="16"/>
        <v>120</v>
      </c>
      <c r="S69" s="32">
        <f t="shared" si="17"/>
        <v>105</v>
      </c>
      <c r="T69" s="32" t="str">
        <f>IF($A69="","",IF($C69=0,"Bullpen",IF(OR($C69=7,$C69=1,$C69=5),"Recovery/Easy Catch",IF($C69=6,"Compression/Pulldowns",IF(OR($C69=4,$C69=2),"Long Toss",IF($C69=3,"No Throw",IF($N69=2,"No Throw",IF($N69=6,IF($O69&lt;Reference!$B$104,"No Throw","Recovery/Easy Catch"),IF(OR($N69=0,$N69=4),"Recovery/Easy Catch",IF($N69=1,IF($R69&gt;75,"Long Toss","Recovery/Easy Catch"),IF($N69=3,IF($O69&lt;0.5,IF($S69&gt;75,"Long Toss","Recovery/Easy Catch"),"Compression/Pulldowns"),IF($S69&gt;75,"Long Toss","Recovery/Easy Catch"))))))))))))</f>
        <v>Long Toss</v>
      </c>
      <c r="U69" s="32">
        <f t="shared" si="18"/>
        <v>105</v>
      </c>
      <c r="V69" s="32">
        <f t="shared" si="19"/>
        <v>12</v>
      </c>
      <c r="W69" s="32">
        <f t="shared" si="20"/>
        <v>15</v>
      </c>
      <c r="X69" s="32">
        <f t="shared" si="21"/>
        <v>12</v>
      </c>
      <c r="Y69" s="32">
        <f t="shared" si="22"/>
        <v>14</v>
      </c>
      <c r="Z69" s="32">
        <f t="shared" si="23"/>
        <v>18</v>
      </c>
      <c r="AA69" s="32" t="str">
        <f t="shared" si="24"/>
        <v/>
      </c>
      <c r="AB69" s="32">
        <f>IF($A69="","",IF($T69="No Throw",0,IF($K69&lt;&gt;"",$K69,IF($AA69&lt;&gt;"",ROUND($AA69*$D$12*IF($C69=0,1,$G$10),0),MIN(IF($T69="Recovery/Easy Catch",Reference!$B$103,IF($T69="Long Toss",Reference!$B$106,Reference!$B$102)),MAX(Reference!$B$101,ROUND(MAX(0,$Q69-$AE69)/$AF69,0)))))))</f>
        <v>23</v>
      </c>
      <c r="AC69" s="32">
        <f t="shared" si="25"/>
        <v>0</v>
      </c>
      <c r="AD69" s="32" t="b">
        <f t="shared" si="26"/>
        <v>0</v>
      </c>
      <c r="AE69" s="32">
        <f>IF($X69=0,0,$X69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69+$Z69)/2,0),Reference!$A$17:$B$20,2,TRUE()))</f>
        <v>7.1999999999999993</v>
      </c>
      <c r="AF69" s="32">
        <f>IF(OR($A69="",$U69="",$T69="No Throw"),0,$AM69*VLOOKUP(MAX(($V69+$W69)/2,0),Reference!$A$17:$B$20,2,TRUE()))</f>
        <v>0.83142857142857141</v>
      </c>
      <c r="AG69" s="32">
        <f>IF($AC69=0,0,$AC69*INDEX(Reference!$B$61:$B$62,MATCH("Bullpen",Reference!$A$61:$A$62,0))*VLOOKUP(MAX($D$5-($D$9+$E$9)/2,0),Reference!$A$17:$B$20,2,TRUE()))</f>
        <v>0</v>
      </c>
      <c r="AH69" s="32" t="e">
        <f t="shared" si="27"/>
        <v>#N/A</v>
      </c>
      <c r="AI69" s="32">
        <f>IF($A69="",NA(),Reference!$A$25)</f>
        <v>0.8</v>
      </c>
      <c r="AJ69" s="32">
        <f t="shared" si="28"/>
        <v>1.3</v>
      </c>
      <c r="AK69" s="56">
        <f>IF(OR($A69="",N($C69)&lt;=7,$T69="No Throw",$J69="x"),0,INDEX(Reference!$B$108:$B$114,$N69+1))</f>
        <v>0.27</v>
      </c>
      <c r="AL69" s="32">
        <f t="shared" si="29"/>
        <v>2</v>
      </c>
      <c r="AM69" s="32">
        <f>IF($U69="",0,IF($AL69&gt;1,((IF(1&lt;=$AL69,($AL69-1+3)*(INDEX(Reference!$B$6:$B$11,MIN(5,MATCH(MAX(Reference!$A$6,MIN(Reference!$A$11,MIN($U69,90))),Reference!$A$6:$A$11,1)))+(MAX(Reference!$A$6,MIN(Reference!$A$11,MIN($U69,90)))-INDEX(Reference!$A$6:$A$11,MIN(5,MATCH(MAX(Reference!$A$6,MIN(Reference!$A$11,MIN($U69,90))),Reference!$A$6:$A$11,1))))*(INDEX(Reference!$B$6:$B$11,MIN(5,MATCH(MAX(Reference!$A$6,MIN(Reference!$A$11,MIN($U69,90))),Reference!$A$6:$A$11,1))+1)-INDEX(Reference!$B$6:$B$11,MIN(5,MATCH(MAX(Reference!$A$6,MIN(Reference!$A$11,MIN($U69,90))),Reference!$A$6:$A$11,1))))/(INDEX(Reference!$A$6:$A$11,MIN(5,MATCH(MAX(Reference!$A$6,MIN(Reference!$A$11,MIN($U69,90))),Reference!$A$6:$A$11,1))+1)-INDEX(Reference!$A$6:$A$11,MIN(5,MATCH(MAX(Reference!$A$6,MIN(Reference!$A$11,MIN($U69,90))),Reference!$A$6:$A$11,1))))),0)+IF(2&lt;=$AL69,($AL69-2+3)*(INDEX(Reference!$B$6:$B$11,MIN(5,MATCH(MAX(Reference!$A$6,MIN(Reference!$A$11,MIN($U69,120))),Reference!$A$6:$A$11,1)))+(MAX(Reference!$A$6,MIN(Reference!$A$11,MIN($U69,120)))-INDEX(Reference!$A$6:$A$11,MIN(5,MATCH(MAX(Reference!$A$6,MIN(Reference!$A$11,MIN($U69,120))),Reference!$A$6:$A$11,1))))*(INDEX(Reference!$B$6:$B$11,MIN(5,MATCH(MAX(Reference!$A$6,MIN(Reference!$A$11,MIN($U69,120))),Reference!$A$6:$A$11,1))+1)-INDEX(Reference!$B$6:$B$11,MIN(5,MATCH(MAX(Reference!$A$6,MIN(Reference!$A$11,MIN($U69,120))),Reference!$A$6:$A$11,1))))/(INDEX(Reference!$A$6:$A$11,MIN(5,MATCH(MAX(Reference!$A$6,MIN(Reference!$A$11,MIN($U69,120))),Reference!$A$6:$A$11,1))+1)-INDEX(Reference!$A$6:$A$11,MIN(5,MATCH(MAX(Reference!$A$6,MIN(Reference!$A$11,MIN($U69,120))),Reference!$A$6:$A$11,1))))),0)+IF(3&lt;=$AL69,($AL69-3+3)*(INDEX(Reference!$B$6:$B$11,MIN(5,MATCH(MAX(Reference!$A$6,MIN(Reference!$A$11,MIN($U69,150))),Reference!$A$6:$A$11,1)))+(MAX(Reference!$A$6,MIN(Reference!$A$11,MIN($U69,150)))-INDEX(Reference!$A$6:$A$11,MIN(5,MATCH(MAX(Reference!$A$6,MIN(Reference!$A$11,MIN($U69,150))),Reference!$A$6:$A$11,1))))*(INDEX(Reference!$B$6:$B$11,MIN(5,MATCH(MAX(Reference!$A$6,MIN(Reference!$A$11,MIN($U69,150))),Reference!$A$6:$A$11,1))+1)-INDEX(Reference!$B$6:$B$11,MIN(5,MATCH(MAX(Reference!$A$6,MIN(Reference!$A$11,MIN($U69,150))),Reference!$A$6:$A$11,1))))/(INDEX(Reference!$A$6:$A$11,MIN(5,MATCH(MAX(Reference!$A$6,MIN(Reference!$A$11,MIN($U69,150))),Reference!$A$6:$A$11,1))+1)-INDEX(Reference!$A$6:$A$11,MIN(5,MATCH(MAX(Reference!$A$6,MIN(Reference!$A$11,MIN($U69,150))),Reference!$A$6:$A$11,1))))),0)+IF(4&lt;=$AL69,($AL69-4+3)*(INDEX(Reference!$B$6:$B$11,MIN(5,MATCH(MAX(Reference!$A$6,MIN(Reference!$A$11,MIN($U69,180))),Reference!$A$6:$A$11,1)))+(MAX(Reference!$A$6,MIN(Reference!$A$11,MIN($U69,180)))-INDEX(Reference!$A$6:$A$11,MIN(5,MATCH(MAX(Reference!$A$6,MIN(Reference!$A$11,MIN($U69,180))),Reference!$A$6:$A$11,1))))*(INDEX(Reference!$B$6:$B$11,MIN(5,MATCH(MAX(Reference!$A$6,MIN(Reference!$A$11,MIN($U69,180))),Reference!$A$6:$A$11,1))+1)-INDEX(Reference!$B$6:$B$11,MIN(5,MATCH(MAX(Reference!$A$6,MIN(Reference!$A$11,MIN($U69,180))),Reference!$A$6:$A$11,1))))/(INDEX(Reference!$A$6:$A$11,MIN(5,MATCH(MAX(Reference!$A$6,MIN(Reference!$A$11,MIN($U69,180))),Reference!$A$6:$A$11,1))+1)-INDEX(Reference!$A$6:$A$11,MIN(5,MATCH(MAX(Reference!$A$6,MIN(Reference!$A$11,MIN($U69,180))),Reference!$A$6:$A$11,1))))),0)+IF(5&lt;=$AL69,($AL69-5+3)*(INDEX(Reference!$B$6:$B$11,MIN(5,MATCH(MAX(Reference!$A$6,MIN(Reference!$A$11,MIN($U69,210))),Reference!$A$6:$A$11,1)))+(MAX(Reference!$A$6,MIN(Reference!$A$11,MIN($U69,210)))-INDEX(Reference!$A$6:$A$11,MIN(5,MATCH(MAX(Reference!$A$6,MIN(Reference!$A$11,MIN($U69,210))),Reference!$A$6:$A$11,1))))*(INDEX(Reference!$B$6:$B$11,MIN(5,MATCH(MAX(Reference!$A$6,MIN(Reference!$A$11,MIN($U69,210))),Reference!$A$6:$A$11,1))+1)-INDEX(Reference!$B$6:$B$11,MIN(5,MATCH(MAX(Reference!$A$6,MIN(Reference!$A$11,MIN($U69,210))),Reference!$A$6:$A$11,1))))/(INDEX(Reference!$A$6:$A$11,MIN(5,MATCH(MAX(Reference!$A$6,MIN(Reference!$A$11,MIN($U69,210))),Reference!$A$6:$A$11,1))+1)-INDEX(Reference!$A$6:$A$11,MIN(5,MATCH(MAX(Reference!$A$6,MIN(Reference!$A$11,MIN($U69,210))),Reference!$A$6:$A$11,1))))),0)+IF(6&lt;=$AL69,($AL69-6+3)*(INDEX(Reference!$B$6:$B$11,MIN(5,MATCH(MAX(Reference!$A$6,MIN(Reference!$A$11,MIN($U69,240))),Reference!$A$6:$A$11,1)))+(MAX(Reference!$A$6,MIN(Reference!$A$11,MIN($U69,240)))-INDEX(Reference!$A$6:$A$11,MIN(5,MATCH(MAX(Reference!$A$6,MIN(Reference!$A$11,MIN($U69,240))),Reference!$A$6:$A$11,1))))*(INDEX(Reference!$B$6:$B$11,MIN(5,MATCH(MAX(Reference!$A$6,MIN(Reference!$A$11,MIN($U69,240))),Reference!$A$6:$A$11,1))+1)-INDEX(Reference!$B$6:$B$11,MIN(5,MATCH(MAX(Reference!$A$6,MIN(Reference!$A$11,MIN($U69,240))),Reference!$A$6:$A$11,1))))/(INDEX(Reference!$A$6:$A$11,MIN(5,MATCH(MAX(Reference!$A$6,MIN(Reference!$A$11,MIN($U69,240))),Reference!$A$6:$A$11,1))+1)-INDEX(Reference!$A$6:$A$11,MIN(5,MATCH(MAX(Reference!$A$6,MIN(Reference!$A$11,MIN($U69,240))),Reference!$A$6:$A$11,1))))),0)+IF(7&lt;=$AL69,($AL69-7+3)*(INDEX(Reference!$B$6:$B$11,MIN(5,MATCH(MAX(Reference!$A$6,MIN(Reference!$A$11,MIN($U69,270))),Reference!$A$6:$A$11,1)))+(MAX(Reference!$A$6,MIN(Reference!$A$11,MIN($U69,270)))-INDEX(Reference!$A$6:$A$11,MIN(5,MATCH(MAX(Reference!$A$6,MIN(Reference!$A$11,MIN($U69,270))),Reference!$A$6:$A$11,1))))*(INDEX(Reference!$B$6:$B$11,MIN(5,MATCH(MAX(Reference!$A$6,MIN(Reference!$A$11,MIN($U69,270))),Reference!$A$6:$A$11,1))+1)-INDEX(Reference!$B$6:$B$11,MIN(5,MATCH(MAX(Reference!$A$6,MIN(Reference!$A$11,MIN($U69,270))),Reference!$A$6:$A$11,1))))/(INDEX(Reference!$A$6:$A$11,MIN(5,MATCH(MAX(Reference!$A$6,MIN(Reference!$A$11,MIN($U69,270))),Reference!$A$6:$A$11,1))+1)-INDEX(Reference!$A$6:$A$11,MIN(5,MATCH(MAX(Reference!$A$6,MIN(Reference!$A$11,MIN($U69,270))),Reference!$A$6:$A$11,1))))),0)+IF(8&lt;=$AL69,($AL69-8+3)*(INDEX(Reference!$B$6:$B$11,MIN(5,MATCH(MAX(Reference!$A$6,MIN(Reference!$A$11,MIN($U69,300))),Reference!$A$6:$A$11,1)))+(MAX(Reference!$A$6,MIN(Reference!$A$11,MIN($U69,300)))-INDEX(Reference!$A$6:$A$11,MIN(5,MATCH(MAX(Reference!$A$6,MIN(Reference!$A$11,MIN($U69,300))),Reference!$A$6:$A$11,1))))*(INDEX(Reference!$B$6:$B$11,MIN(5,MATCH(MAX(Reference!$A$6,MIN(Reference!$A$11,MIN($U69,300))),Reference!$A$6:$A$11,1))+1)-INDEX(Reference!$B$6:$B$11,MIN(5,MATCH(MAX(Reference!$A$6,MIN(Reference!$A$11,MIN($U69,300))),Reference!$A$6:$A$11,1))))/(INDEX(Reference!$A$6:$A$11,MIN(5,MATCH(MAX(Reference!$A$6,MIN(Reference!$A$11,MIN($U69,300))),Reference!$A$6:$A$11,1))+1)-INDEX(Reference!$A$6:$A$11,MIN(5,MATCH(MAX(Reference!$A$6,MIN(Reference!$A$11,MIN($U69,300))),Reference!$A$6:$A$11,1))))),0))/($AL69*($AL69+5)/2)),$AN69))</f>
        <v>1.3857142857142857</v>
      </c>
      <c r="AN69" s="32">
        <f>IF($U69="",0,(INDEX(Reference!$B$6:$B$11,MIN(5,MATCH(MAX(Reference!$A$6,MIN(Reference!$A$11,$U69)),Reference!$A$6:$A$11,1)))+(MAX(Reference!$A$6,MIN(Reference!$A$11,$U69))-INDEX(Reference!$A$6:$A$11,MIN(5,MATCH(MAX(Reference!$A$6,MIN(Reference!$A$11,$U69)),Reference!$A$6:$A$11,1))))*(INDEX(Reference!$B$6:$B$11,MIN(5,MATCH(MAX(Reference!$A$6,MIN(Reference!$A$11,$U69)),Reference!$A$6:$A$11,1))+1)-INDEX(Reference!$B$6:$B$11,MIN(5,MATCH(MAX(Reference!$A$6,MIN(Reference!$A$11,$U69)),Reference!$A$6:$A$11,1))))/(INDEX(Reference!$A$6:$A$11,MIN(5,MATCH(MAX(Reference!$A$6,MIN(Reference!$A$11,$U69)),Reference!$A$6:$A$11,1))+1)-INDEX(Reference!$A$6:$A$11,MIN(5,MATCH(MAX(Reference!$A$6,MIN(Reference!$A$11,$U69)),Reference!$A$6:$A$11,1))))))</f>
        <v>1.5</v>
      </c>
      <c r="AO69" s="37"/>
      <c r="AP69" s="37"/>
      <c r="AQ69" s="37"/>
    </row>
    <row r="70" spans="1:43" x14ac:dyDescent="0.3">
      <c r="A70" s="48">
        <f t="shared" si="5"/>
        <v>46334</v>
      </c>
      <c r="B70" s="32" t="str">
        <f t="shared" si="6"/>
        <v>Sun</v>
      </c>
      <c r="C70" s="32">
        <f t="shared" si="7"/>
        <v>57</v>
      </c>
      <c r="D70" s="32" t="str">
        <f t="shared" si="8"/>
        <v>Base</v>
      </c>
      <c r="E70" s="32" t="str">
        <f t="shared" si="9"/>
        <v>No Throw</v>
      </c>
      <c r="F70" s="32" t="str">
        <f t="shared" si="10"/>
        <v>No Throw</v>
      </c>
      <c r="G70" s="47" t="str">
        <f t="shared" si="11"/>
        <v>Off</v>
      </c>
      <c r="H70" s="30">
        <f t="shared" si="12"/>
        <v>0</v>
      </c>
      <c r="I70" s="46">
        <f>IF($A70="","",IF(AND($L70&lt;27,$K$12=0),"Building",IFERROR(((SUM($H$64:$H70)+$K$12*IF($L70&lt;6,SUMIFS('Throw Log'!$Q$5:$Q$300,'Throw Log'!$B$5:$B$300,$D$4,'Throw Log'!$A$5:$A$300,"&gt;="&amp;($D$6+$L70-6),'Throw Log'!$A$5:$A$300,"&lt;="&amp;($D$6-1)),0))/7)/((SUM($H$43:$H70)+$K$12*IF($L70&lt;27,SUMIFS('Throw Log'!$Q$5:$Q$300,'Throw Log'!$B$5:$B$300,$D$4,'Throw Log'!$A$5:$A$300,"&gt;="&amp;($D$6+$L70-27),'Throw Log'!$A$5:$A$300,"&lt;="&amp;($D$6-1)),0))/28),"")))</f>
        <v>1.1559073571437113</v>
      </c>
      <c r="J70" s="37"/>
      <c r="K70" s="37"/>
      <c r="L70" s="32">
        <v>27</v>
      </c>
      <c r="M70" s="32">
        <f t="shared" si="13"/>
        <v>4</v>
      </c>
      <c r="N70" s="32">
        <f t="shared" si="14"/>
        <v>6</v>
      </c>
      <c r="O70" s="32">
        <f t="shared" si="15"/>
        <v>0.35526315789473684</v>
      </c>
      <c r="P70" s="32">
        <f>IF(OR($A70="",N($C70)&lt;=7),"",$G$6*$G$9^($M70-1)*IF(AND(MOD($M70,Reference!$B$99)=0,$M70&lt;=$G$5-2),Reference!$B$100,1))</f>
        <v>96.844268027376231</v>
      </c>
      <c r="Q70" s="32">
        <f>IF($P70="","",IF(SUM($AK$64:$AK$70)=0,0,$P70*INDEX(Reference!$B$108:$B$114,$N70+1)/SUM($AK$64:$AK$70)))</f>
        <v>6.7790987619163365</v>
      </c>
      <c r="R70" s="32">
        <f t="shared" si="16"/>
        <v>120</v>
      </c>
      <c r="S70" s="32">
        <f t="shared" si="17"/>
        <v>105</v>
      </c>
      <c r="T70" s="32" t="str">
        <f>IF($A70="","",IF($C70=0,"Bullpen",IF(OR($C70=7,$C70=1,$C70=5),"Recovery/Easy Catch",IF($C70=6,"Compression/Pulldowns",IF(OR($C70=4,$C70=2),"Long Toss",IF($C70=3,"No Throw",IF($N70=2,"No Throw",IF($N70=6,IF($O70&lt;Reference!$B$104,"No Throw","Recovery/Easy Catch"),IF(OR($N70=0,$N70=4),"Recovery/Easy Catch",IF($N70=1,IF($R70&gt;75,"Long Toss","Recovery/Easy Catch"),IF($N70=3,IF($O70&lt;0.5,IF($S70&gt;75,"Long Toss","Recovery/Easy Catch"),"Compression/Pulldowns"),IF($S70&gt;75,"Long Toss","Recovery/Easy Catch"))))))))))))</f>
        <v>No Throw</v>
      </c>
      <c r="U70" s="32">
        <f t="shared" si="18"/>
        <v>60</v>
      </c>
      <c r="V70" s="32">
        <f t="shared" si="19"/>
        <v>20</v>
      </c>
      <c r="W70" s="32">
        <f t="shared" si="20"/>
        <v>24</v>
      </c>
      <c r="X70" s="32">
        <f t="shared" si="21"/>
        <v>0</v>
      </c>
      <c r="Y70" s="32" t="str">
        <f t="shared" si="22"/>
        <v/>
      </c>
      <c r="Z70" s="32" t="str">
        <f t="shared" si="23"/>
        <v/>
      </c>
      <c r="AA70" s="32" t="str">
        <f t="shared" si="24"/>
        <v/>
      </c>
      <c r="AB70" s="32">
        <f>IF($A70="","",IF($T70="No Throw",0,IF($K70&lt;&gt;"",$K70,IF($AA70&lt;&gt;"",ROUND($AA70*$D$12*IF($C70=0,1,$G$10),0),MIN(IF($T70="Recovery/Easy Catch",Reference!$B$103,IF($T70="Long Toss",Reference!$B$106,Reference!$B$102)),MAX(Reference!$B$101,ROUND(MAX(0,$Q70-$AE70)/$AF70,0)))))))</f>
        <v>0</v>
      </c>
      <c r="AC70" s="32">
        <f t="shared" si="25"/>
        <v>0</v>
      </c>
      <c r="AD70" s="32" t="b">
        <f t="shared" si="26"/>
        <v>1</v>
      </c>
      <c r="AE70" s="32">
        <f>IF($X70=0,0,$X70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70+$Z70)/2,0),Reference!$A$17:$B$20,2,TRUE()))</f>
        <v>0</v>
      </c>
      <c r="AF70" s="32">
        <f>IF(OR($A70="",$U70="",$T70="No Throw"),0,$AM70*VLOOKUP(MAX(($V70+$W70)/2,0),Reference!$A$17:$B$20,2,TRUE()))</f>
        <v>0</v>
      </c>
      <c r="AG70" s="32">
        <f>IF($AC70=0,0,$AC70*INDEX(Reference!$B$61:$B$62,MATCH("Bullpen",Reference!$A$61:$A$62,0))*VLOOKUP(MAX($D$5-($D$9+$E$9)/2,0),Reference!$A$17:$B$20,2,TRUE()))</f>
        <v>0</v>
      </c>
      <c r="AH70" s="46">
        <f t="shared" si="27"/>
        <v>1.1559073571437113</v>
      </c>
      <c r="AI70" s="32">
        <f>IF($A70="",NA(),Reference!$A$25)</f>
        <v>0.8</v>
      </c>
      <c r="AJ70" s="32">
        <f t="shared" si="28"/>
        <v>1.3</v>
      </c>
      <c r="AK70" s="32">
        <f>IF(OR($A70="",N($C70)&lt;=7,$T70="No Throw",$J70="x"),0,INDEX(Reference!$B$108:$B$114,$N70+1))</f>
        <v>0</v>
      </c>
      <c r="AL70" s="32">
        <f t="shared" si="29"/>
        <v>1</v>
      </c>
      <c r="AM70" s="32">
        <f>IF($U70="",0,IF($AL70&gt;1,((IF(1&lt;=$AL70,($AL70-1+3)*(INDEX(Reference!$B$6:$B$11,MIN(5,MATCH(MAX(Reference!$A$6,MIN(Reference!$A$11,MIN($U70,90))),Reference!$A$6:$A$11,1)))+(MAX(Reference!$A$6,MIN(Reference!$A$11,MIN($U70,90)))-INDEX(Reference!$A$6:$A$11,MIN(5,MATCH(MAX(Reference!$A$6,MIN(Reference!$A$11,MIN($U70,90))),Reference!$A$6:$A$11,1))))*(INDEX(Reference!$B$6:$B$11,MIN(5,MATCH(MAX(Reference!$A$6,MIN(Reference!$A$11,MIN($U70,90))),Reference!$A$6:$A$11,1))+1)-INDEX(Reference!$B$6:$B$11,MIN(5,MATCH(MAX(Reference!$A$6,MIN(Reference!$A$11,MIN($U70,90))),Reference!$A$6:$A$11,1))))/(INDEX(Reference!$A$6:$A$11,MIN(5,MATCH(MAX(Reference!$A$6,MIN(Reference!$A$11,MIN($U70,90))),Reference!$A$6:$A$11,1))+1)-INDEX(Reference!$A$6:$A$11,MIN(5,MATCH(MAX(Reference!$A$6,MIN(Reference!$A$11,MIN($U70,90))),Reference!$A$6:$A$11,1))))),0)+IF(2&lt;=$AL70,($AL70-2+3)*(INDEX(Reference!$B$6:$B$11,MIN(5,MATCH(MAX(Reference!$A$6,MIN(Reference!$A$11,MIN($U70,120))),Reference!$A$6:$A$11,1)))+(MAX(Reference!$A$6,MIN(Reference!$A$11,MIN($U70,120)))-INDEX(Reference!$A$6:$A$11,MIN(5,MATCH(MAX(Reference!$A$6,MIN(Reference!$A$11,MIN($U70,120))),Reference!$A$6:$A$11,1))))*(INDEX(Reference!$B$6:$B$11,MIN(5,MATCH(MAX(Reference!$A$6,MIN(Reference!$A$11,MIN($U70,120))),Reference!$A$6:$A$11,1))+1)-INDEX(Reference!$B$6:$B$11,MIN(5,MATCH(MAX(Reference!$A$6,MIN(Reference!$A$11,MIN($U70,120))),Reference!$A$6:$A$11,1))))/(INDEX(Reference!$A$6:$A$11,MIN(5,MATCH(MAX(Reference!$A$6,MIN(Reference!$A$11,MIN($U70,120))),Reference!$A$6:$A$11,1))+1)-INDEX(Reference!$A$6:$A$11,MIN(5,MATCH(MAX(Reference!$A$6,MIN(Reference!$A$11,MIN($U70,120))),Reference!$A$6:$A$11,1))))),0)+IF(3&lt;=$AL70,($AL70-3+3)*(INDEX(Reference!$B$6:$B$11,MIN(5,MATCH(MAX(Reference!$A$6,MIN(Reference!$A$11,MIN($U70,150))),Reference!$A$6:$A$11,1)))+(MAX(Reference!$A$6,MIN(Reference!$A$11,MIN($U70,150)))-INDEX(Reference!$A$6:$A$11,MIN(5,MATCH(MAX(Reference!$A$6,MIN(Reference!$A$11,MIN($U70,150))),Reference!$A$6:$A$11,1))))*(INDEX(Reference!$B$6:$B$11,MIN(5,MATCH(MAX(Reference!$A$6,MIN(Reference!$A$11,MIN($U70,150))),Reference!$A$6:$A$11,1))+1)-INDEX(Reference!$B$6:$B$11,MIN(5,MATCH(MAX(Reference!$A$6,MIN(Reference!$A$11,MIN($U70,150))),Reference!$A$6:$A$11,1))))/(INDEX(Reference!$A$6:$A$11,MIN(5,MATCH(MAX(Reference!$A$6,MIN(Reference!$A$11,MIN($U70,150))),Reference!$A$6:$A$11,1))+1)-INDEX(Reference!$A$6:$A$11,MIN(5,MATCH(MAX(Reference!$A$6,MIN(Reference!$A$11,MIN($U70,150))),Reference!$A$6:$A$11,1))))),0)+IF(4&lt;=$AL70,($AL70-4+3)*(INDEX(Reference!$B$6:$B$11,MIN(5,MATCH(MAX(Reference!$A$6,MIN(Reference!$A$11,MIN($U70,180))),Reference!$A$6:$A$11,1)))+(MAX(Reference!$A$6,MIN(Reference!$A$11,MIN($U70,180)))-INDEX(Reference!$A$6:$A$11,MIN(5,MATCH(MAX(Reference!$A$6,MIN(Reference!$A$11,MIN($U70,180))),Reference!$A$6:$A$11,1))))*(INDEX(Reference!$B$6:$B$11,MIN(5,MATCH(MAX(Reference!$A$6,MIN(Reference!$A$11,MIN($U70,180))),Reference!$A$6:$A$11,1))+1)-INDEX(Reference!$B$6:$B$11,MIN(5,MATCH(MAX(Reference!$A$6,MIN(Reference!$A$11,MIN($U70,180))),Reference!$A$6:$A$11,1))))/(INDEX(Reference!$A$6:$A$11,MIN(5,MATCH(MAX(Reference!$A$6,MIN(Reference!$A$11,MIN($U70,180))),Reference!$A$6:$A$11,1))+1)-INDEX(Reference!$A$6:$A$11,MIN(5,MATCH(MAX(Reference!$A$6,MIN(Reference!$A$11,MIN($U70,180))),Reference!$A$6:$A$11,1))))),0)+IF(5&lt;=$AL70,($AL70-5+3)*(INDEX(Reference!$B$6:$B$11,MIN(5,MATCH(MAX(Reference!$A$6,MIN(Reference!$A$11,MIN($U70,210))),Reference!$A$6:$A$11,1)))+(MAX(Reference!$A$6,MIN(Reference!$A$11,MIN($U70,210)))-INDEX(Reference!$A$6:$A$11,MIN(5,MATCH(MAX(Reference!$A$6,MIN(Reference!$A$11,MIN($U70,210))),Reference!$A$6:$A$11,1))))*(INDEX(Reference!$B$6:$B$11,MIN(5,MATCH(MAX(Reference!$A$6,MIN(Reference!$A$11,MIN($U70,210))),Reference!$A$6:$A$11,1))+1)-INDEX(Reference!$B$6:$B$11,MIN(5,MATCH(MAX(Reference!$A$6,MIN(Reference!$A$11,MIN($U70,210))),Reference!$A$6:$A$11,1))))/(INDEX(Reference!$A$6:$A$11,MIN(5,MATCH(MAX(Reference!$A$6,MIN(Reference!$A$11,MIN($U70,210))),Reference!$A$6:$A$11,1))+1)-INDEX(Reference!$A$6:$A$11,MIN(5,MATCH(MAX(Reference!$A$6,MIN(Reference!$A$11,MIN($U70,210))),Reference!$A$6:$A$11,1))))),0)+IF(6&lt;=$AL70,($AL70-6+3)*(INDEX(Reference!$B$6:$B$11,MIN(5,MATCH(MAX(Reference!$A$6,MIN(Reference!$A$11,MIN($U70,240))),Reference!$A$6:$A$11,1)))+(MAX(Reference!$A$6,MIN(Reference!$A$11,MIN($U70,240)))-INDEX(Reference!$A$6:$A$11,MIN(5,MATCH(MAX(Reference!$A$6,MIN(Reference!$A$11,MIN($U70,240))),Reference!$A$6:$A$11,1))))*(INDEX(Reference!$B$6:$B$11,MIN(5,MATCH(MAX(Reference!$A$6,MIN(Reference!$A$11,MIN($U70,240))),Reference!$A$6:$A$11,1))+1)-INDEX(Reference!$B$6:$B$11,MIN(5,MATCH(MAX(Reference!$A$6,MIN(Reference!$A$11,MIN($U70,240))),Reference!$A$6:$A$11,1))))/(INDEX(Reference!$A$6:$A$11,MIN(5,MATCH(MAX(Reference!$A$6,MIN(Reference!$A$11,MIN($U70,240))),Reference!$A$6:$A$11,1))+1)-INDEX(Reference!$A$6:$A$11,MIN(5,MATCH(MAX(Reference!$A$6,MIN(Reference!$A$11,MIN($U70,240))),Reference!$A$6:$A$11,1))))),0)+IF(7&lt;=$AL70,($AL70-7+3)*(INDEX(Reference!$B$6:$B$11,MIN(5,MATCH(MAX(Reference!$A$6,MIN(Reference!$A$11,MIN($U70,270))),Reference!$A$6:$A$11,1)))+(MAX(Reference!$A$6,MIN(Reference!$A$11,MIN($U70,270)))-INDEX(Reference!$A$6:$A$11,MIN(5,MATCH(MAX(Reference!$A$6,MIN(Reference!$A$11,MIN($U70,270))),Reference!$A$6:$A$11,1))))*(INDEX(Reference!$B$6:$B$11,MIN(5,MATCH(MAX(Reference!$A$6,MIN(Reference!$A$11,MIN($U70,270))),Reference!$A$6:$A$11,1))+1)-INDEX(Reference!$B$6:$B$11,MIN(5,MATCH(MAX(Reference!$A$6,MIN(Reference!$A$11,MIN($U70,270))),Reference!$A$6:$A$11,1))))/(INDEX(Reference!$A$6:$A$11,MIN(5,MATCH(MAX(Reference!$A$6,MIN(Reference!$A$11,MIN($U70,270))),Reference!$A$6:$A$11,1))+1)-INDEX(Reference!$A$6:$A$11,MIN(5,MATCH(MAX(Reference!$A$6,MIN(Reference!$A$11,MIN($U70,270))),Reference!$A$6:$A$11,1))))),0)+IF(8&lt;=$AL70,($AL70-8+3)*(INDEX(Reference!$B$6:$B$11,MIN(5,MATCH(MAX(Reference!$A$6,MIN(Reference!$A$11,MIN($U70,300))),Reference!$A$6:$A$11,1)))+(MAX(Reference!$A$6,MIN(Reference!$A$11,MIN($U70,300)))-INDEX(Reference!$A$6:$A$11,MIN(5,MATCH(MAX(Reference!$A$6,MIN(Reference!$A$11,MIN($U70,300))),Reference!$A$6:$A$11,1))))*(INDEX(Reference!$B$6:$B$11,MIN(5,MATCH(MAX(Reference!$A$6,MIN(Reference!$A$11,MIN($U70,300))),Reference!$A$6:$A$11,1))+1)-INDEX(Reference!$B$6:$B$11,MIN(5,MATCH(MAX(Reference!$A$6,MIN(Reference!$A$11,MIN($U70,300))),Reference!$A$6:$A$11,1))))/(INDEX(Reference!$A$6:$A$11,MIN(5,MATCH(MAX(Reference!$A$6,MIN(Reference!$A$11,MIN($U70,300))),Reference!$A$6:$A$11,1))+1)-INDEX(Reference!$A$6:$A$11,MIN(5,MATCH(MAX(Reference!$A$6,MIN(Reference!$A$11,MIN($U70,300))),Reference!$A$6:$A$11,1))))),0))/($AL70*($AL70+5)/2)),$AN70))</f>
        <v>1</v>
      </c>
      <c r="AN70" s="32">
        <f>IF($U70="",0,(INDEX(Reference!$B$6:$B$11,MIN(5,MATCH(MAX(Reference!$A$6,MIN(Reference!$A$11,$U70)),Reference!$A$6:$A$11,1)))+(MAX(Reference!$A$6,MIN(Reference!$A$11,$U70))-INDEX(Reference!$A$6:$A$11,MIN(5,MATCH(MAX(Reference!$A$6,MIN(Reference!$A$11,$U70)),Reference!$A$6:$A$11,1))))*(INDEX(Reference!$B$6:$B$11,MIN(5,MATCH(MAX(Reference!$A$6,MIN(Reference!$A$11,$U70)),Reference!$A$6:$A$11,1))+1)-INDEX(Reference!$B$6:$B$11,MIN(5,MATCH(MAX(Reference!$A$6,MIN(Reference!$A$11,$U70)),Reference!$A$6:$A$11,1))))/(INDEX(Reference!$A$6:$A$11,MIN(5,MATCH(MAX(Reference!$A$6,MIN(Reference!$A$11,$U70)),Reference!$A$6:$A$11,1))+1)-INDEX(Reference!$A$6:$A$11,MIN(5,MATCH(MAX(Reference!$A$6,MIN(Reference!$A$11,$U70)),Reference!$A$6:$A$11,1))))))</f>
        <v>1</v>
      </c>
      <c r="AO70" s="37"/>
      <c r="AP70" s="37"/>
      <c r="AQ70" s="37"/>
    </row>
    <row r="71" spans="1:43" x14ac:dyDescent="0.3">
      <c r="A71" s="48">
        <f t="shared" si="5"/>
        <v>46335</v>
      </c>
      <c r="B71" s="32" t="str">
        <f t="shared" si="6"/>
        <v>Mon</v>
      </c>
      <c r="C71" s="32">
        <f t="shared" si="7"/>
        <v>56</v>
      </c>
      <c r="D71" s="32" t="str">
        <f t="shared" si="8"/>
        <v>Base</v>
      </c>
      <c r="E71" s="32" t="str">
        <f t="shared" si="9"/>
        <v>Low</v>
      </c>
      <c r="F71" s="32" t="str">
        <f t="shared" si="10"/>
        <v>Recovery/Easy Catch</v>
      </c>
      <c r="G71" s="47" t="str">
        <f t="shared" si="11"/>
        <v>75 ft × 22 @ 67–71 mph</v>
      </c>
      <c r="H71" s="30">
        <f t="shared" si="12"/>
        <v>15.18</v>
      </c>
      <c r="I71" s="46">
        <f>IF($A71="","",IF(AND($L71&lt;27,$K$12=0),"Building",IFERROR(((SUM($H$65:$H71)+$K$12*IF($L71&lt;6,SUMIFS('Throw Log'!$Q$5:$Q$300,'Throw Log'!$B$5:$B$300,$D$4,'Throw Log'!$A$5:$A$300,"&gt;="&amp;($D$6+$L71-6),'Throw Log'!$A$5:$A$300,"&lt;="&amp;($D$6-1)),0))/7)/((SUM($H$44:$H71)+$K$12*IF($L71&lt;27,SUMIFS('Throw Log'!$Q$5:$Q$300,'Throw Log'!$B$5:$B$300,$D$4,'Throw Log'!$A$5:$A$300,"&gt;="&amp;($D$6+$L71-27),'Throw Log'!$A$5:$A$300,"&lt;="&amp;($D$6-1)),0))/28),"")))</f>
        <v>1.1707200478040036</v>
      </c>
      <c r="J71" s="37"/>
      <c r="K71" s="37"/>
      <c r="L71" s="32">
        <v>28</v>
      </c>
      <c r="M71" s="32">
        <f t="shared" si="13"/>
        <v>5</v>
      </c>
      <c r="N71" s="32">
        <f t="shared" si="14"/>
        <v>0</v>
      </c>
      <c r="O71" s="32">
        <f t="shared" si="15"/>
        <v>0.36842105263157893</v>
      </c>
      <c r="P71" s="32">
        <f>IF(OR($A71="",N($C71)&lt;=7),"",$G$6*$G$9^($M71-1)*IF(AND(MOD($M71,Reference!$B$99)=0,$M71&lt;=$G$5-2),Reference!$B$100,1))</f>
        <v>128.18680745325557</v>
      </c>
      <c r="Q71" s="32">
        <f>IF($P71="","",IF(SUM($AK$71:$AK$77)=0,0,$P71*INDEX(Reference!$B$108:$B$114,$N71+1)/SUM($AK$71:$AK$77)))</f>
        <v>15.382416894390667</v>
      </c>
      <c r="R71" s="32">
        <f t="shared" si="16"/>
        <v>120</v>
      </c>
      <c r="S71" s="32">
        <f t="shared" si="17"/>
        <v>105</v>
      </c>
      <c r="T71" s="32" t="str">
        <f>IF($A71="","",IF($C71=0,"Bullpen",IF(OR($C71=7,$C71=1,$C71=5),"Recovery/Easy Catch",IF($C71=6,"Compression/Pulldowns",IF(OR($C71=4,$C71=2),"Long Toss",IF($C71=3,"No Throw",IF($N71=2,"No Throw",IF($N71=6,IF($O71&lt;Reference!$B$104,"No Throw","Recovery/Easy Catch"),IF(OR($N71=0,$N71=4),"Recovery/Easy Catch",IF($N71=1,IF($R71&gt;75,"Long Toss","Recovery/Easy Catch"),IF($N71=3,IF($O71&lt;0.5,IF($S71&gt;75,"Long Toss","Recovery/Easy Catch"),"Compression/Pulldowns"),IF($S71&gt;75,"Long Toss","Recovery/Easy Catch"))))))))))))</f>
        <v>Recovery/Easy Catch</v>
      </c>
      <c r="U71" s="32">
        <f t="shared" si="18"/>
        <v>75</v>
      </c>
      <c r="V71" s="32">
        <f t="shared" si="19"/>
        <v>18</v>
      </c>
      <c r="W71" s="32">
        <f t="shared" si="20"/>
        <v>22</v>
      </c>
      <c r="X71" s="32">
        <f t="shared" si="21"/>
        <v>0</v>
      </c>
      <c r="Y71" s="32" t="str">
        <f t="shared" si="22"/>
        <v/>
      </c>
      <c r="Z71" s="32" t="str">
        <f t="shared" si="23"/>
        <v/>
      </c>
      <c r="AA71" s="32" t="str">
        <f t="shared" si="24"/>
        <v/>
      </c>
      <c r="AB71" s="32">
        <f>IF($A71="","",IF($T71="No Throw",0,IF($K71&lt;&gt;"",$K71,IF($AA71&lt;&gt;"",ROUND($AA71*$D$12*IF($C71=0,1,$G$10),0),MIN(IF($T71="Recovery/Easy Catch",Reference!$B$103,IF($T71="Long Toss",Reference!$B$106,Reference!$B$102)),MAX(Reference!$B$101,ROUND(MAX(0,$Q71-$AE71)/$AF71,0)))))))</f>
        <v>22</v>
      </c>
      <c r="AC71" s="32">
        <f t="shared" si="25"/>
        <v>0</v>
      </c>
      <c r="AD71" s="32" t="b">
        <f t="shared" si="26"/>
        <v>0</v>
      </c>
      <c r="AE71" s="32">
        <f>IF($X71=0,0,$X71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71+$Z71)/2,0),Reference!$A$17:$B$20,2,TRUE()))</f>
        <v>0</v>
      </c>
      <c r="AF71" s="32">
        <f>IF(OR($A71="",$U71="",$T71="No Throw"),0,$AM71*VLOOKUP(MAX(($V71+$W71)/2,0),Reference!$A$17:$B$20,2,TRUE()))</f>
        <v>0.69</v>
      </c>
      <c r="AG71" s="32">
        <f>IF($AC71=0,0,$AC71*INDEX(Reference!$B$61:$B$62,MATCH("Bullpen",Reference!$A$61:$A$62,0))*VLOOKUP(MAX($D$5-($D$9+$E$9)/2,0),Reference!$A$17:$B$20,2,TRUE()))</f>
        <v>0</v>
      </c>
      <c r="AH71" s="46">
        <f t="shared" si="27"/>
        <v>1.1707200478040036</v>
      </c>
      <c r="AI71" s="32">
        <f>IF($A71="",NA(),Reference!$A$25)</f>
        <v>0.8</v>
      </c>
      <c r="AJ71" s="32">
        <f t="shared" si="28"/>
        <v>1.3</v>
      </c>
      <c r="AK71" s="56">
        <f>IF(OR($A71="",N($C71)&lt;=7,$T71="No Throw",$J71="x"),0,INDEX(Reference!$B$108:$B$114,$N71+1))</f>
        <v>0.12</v>
      </c>
      <c r="AL71" s="32">
        <f t="shared" si="29"/>
        <v>1</v>
      </c>
      <c r="AM71" s="32">
        <f>IF($U71="",0,IF($AL71&gt;1,((IF(1&lt;=$AL71,($AL71-1+3)*(INDEX(Reference!$B$6:$B$11,MIN(5,MATCH(MAX(Reference!$A$6,MIN(Reference!$A$11,MIN($U71,90))),Reference!$A$6:$A$11,1)))+(MAX(Reference!$A$6,MIN(Reference!$A$11,MIN($U71,90)))-INDEX(Reference!$A$6:$A$11,MIN(5,MATCH(MAX(Reference!$A$6,MIN(Reference!$A$11,MIN($U71,90))),Reference!$A$6:$A$11,1))))*(INDEX(Reference!$B$6:$B$11,MIN(5,MATCH(MAX(Reference!$A$6,MIN(Reference!$A$11,MIN($U71,90))),Reference!$A$6:$A$11,1))+1)-INDEX(Reference!$B$6:$B$11,MIN(5,MATCH(MAX(Reference!$A$6,MIN(Reference!$A$11,MIN($U71,90))),Reference!$A$6:$A$11,1))))/(INDEX(Reference!$A$6:$A$11,MIN(5,MATCH(MAX(Reference!$A$6,MIN(Reference!$A$11,MIN($U71,90))),Reference!$A$6:$A$11,1))+1)-INDEX(Reference!$A$6:$A$11,MIN(5,MATCH(MAX(Reference!$A$6,MIN(Reference!$A$11,MIN($U71,90))),Reference!$A$6:$A$11,1))))),0)+IF(2&lt;=$AL71,($AL71-2+3)*(INDEX(Reference!$B$6:$B$11,MIN(5,MATCH(MAX(Reference!$A$6,MIN(Reference!$A$11,MIN($U71,120))),Reference!$A$6:$A$11,1)))+(MAX(Reference!$A$6,MIN(Reference!$A$11,MIN($U71,120)))-INDEX(Reference!$A$6:$A$11,MIN(5,MATCH(MAX(Reference!$A$6,MIN(Reference!$A$11,MIN($U71,120))),Reference!$A$6:$A$11,1))))*(INDEX(Reference!$B$6:$B$11,MIN(5,MATCH(MAX(Reference!$A$6,MIN(Reference!$A$11,MIN($U71,120))),Reference!$A$6:$A$11,1))+1)-INDEX(Reference!$B$6:$B$11,MIN(5,MATCH(MAX(Reference!$A$6,MIN(Reference!$A$11,MIN($U71,120))),Reference!$A$6:$A$11,1))))/(INDEX(Reference!$A$6:$A$11,MIN(5,MATCH(MAX(Reference!$A$6,MIN(Reference!$A$11,MIN($U71,120))),Reference!$A$6:$A$11,1))+1)-INDEX(Reference!$A$6:$A$11,MIN(5,MATCH(MAX(Reference!$A$6,MIN(Reference!$A$11,MIN($U71,120))),Reference!$A$6:$A$11,1))))),0)+IF(3&lt;=$AL71,($AL71-3+3)*(INDEX(Reference!$B$6:$B$11,MIN(5,MATCH(MAX(Reference!$A$6,MIN(Reference!$A$11,MIN($U71,150))),Reference!$A$6:$A$11,1)))+(MAX(Reference!$A$6,MIN(Reference!$A$11,MIN($U71,150)))-INDEX(Reference!$A$6:$A$11,MIN(5,MATCH(MAX(Reference!$A$6,MIN(Reference!$A$11,MIN($U71,150))),Reference!$A$6:$A$11,1))))*(INDEX(Reference!$B$6:$B$11,MIN(5,MATCH(MAX(Reference!$A$6,MIN(Reference!$A$11,MIN($U71,150))),Reference!$A$6:$A$11,1))+1)-INDEX(Reference!$B$6:$B$11,MIN(5,MATCH(MAX(Reference!$A$6,MIN(Reference!$A$11,MIN($U71,150))),Reference!$A$6:$A$11,1))))/(INDEX(Reference!$A$6:$A$11,MIN(5,MATCH(MAX(Reference!$A$6,MIN(Reference!$A$11,MIN($U71,150))),Reference!$A$6:$A$11,1))+1)-INDEX(Reference!$A$6:$A$11,MIN(5,MATCH(MAX(Reference!$A$6,MIN(Reference!$A$11,MIN($U71,150))),Reference!$A$6:$A$11,1))))),0)+IF(4&lt;=$AL71,($AL71-4+3)*(INDEX(Reference!$B$6:$B$11,MIN(5,MATCH(MAX(Reference!$A$6,MIN(Reference!$A$11,MIN($U71,180))),Reference!$A$6:$A$11,1)))+(MAX(Reference!$A$6,MIN(Reference!$A$11,MIN($U71,180)))-INDEX(Reference!$A$6:$A$11,MIN(5,MATCH(MAX(Reference!$A$6,MIN(Reference!$A$11,MIN($U71,180))),Reference!$A$6:$A$11,1))))*(INDEX(Reference!$B$6:$B$11,MIN(5,MATCH(MAX(Reference!$A$6,MIN(Reference!$A$11,MIN($U71,180))),Reference!$A$6:$A$11,1))+1)-INDEX(Reference!$B$6:$B$11,MIN(5,MATCH(MAX(Reference!$A$6,MIN(Reference!$A$11,MIN($U71,180))),Reference!$A$6:$A$11,1))))/(INDEX(Reference!$A$6:$A$11,MIN(5,MATCH(MAX(Reference!$A$6,MIN(Reference!$A$11,MIN($U71,180))),Reference!$A$6:$A$11,1))+1)-INDEX(Reference!$A$6:$A$11,MIN(5,MATCH(MAX(Reference!$A$6,MIN(Reference!$A$11,MIN($U71,180))),Reference!$A$6:$A$11,1))))),0)+IF(5&lt;=$AL71,($AL71-5+3)*(INDEX(Reference!$B$6:$B$11,MIN(5,MATCH(MAX(Reference!$A$6,MIN(Reference!$A$11,MIN($U71,210))),Reference!$A$6:$A$11,1)))+(MAX(Reference!$A$6,MIN(Reference!$A$11,MIN($U71,210)))-INDEX(Reference!$A$6:$A$11,MIN(5,MATCH(MAX(Reference!$A$6,MIN(Reference!$A$11,MIN($U71,210))),Reference!$A$6:$A$11,1))))*(INDEX(Reference!$B$6:$B$11,MIN(5,MATCH(MAX(Reference!$A$6,MIN(Reference!$A$11,MIN($U71,210))),Reference!$A$6:$A$11,1))+1)-INDEX(Reference!$B$6:$B$11,MIN(5,MATCH(MAX(Reference!$A$6,MIN(Reference!$A$11,MIN($U71,210))),Reference!$A$6:$A$11,1))))/(INDEX(Reference!$A$6:$A$11,MIN(5,MATCH(MAX(Reference!$A$6,MIN(Reference!$A$11,MIN($U71,210))),Reference!$A$6:$A$11,1))+1)-INDEX(Reference!$A$6:$A$11,MIN(5,MATCH(MAX(Reference!$A$6,MIN(Reference!$A$11,MIN($U71,210))),Reference!$A$6:$A$11,1))))),0)+IF(6&lt;=$AL71,($AL71-6+3)*(INDEX(Reference!$B$6:$B$11,MIN(5,MATCH(MAX(Reference!$A$6,MIN(Reference!$A$11,MIN($U71,240))),Reference!$A$6:$A$11,1)))+(MAX(Reference!$A$6,MIN(Reference!$A$11,MIN($U71,240)))-INDEX(Reference!$A$6:$A$11,MIN(5,MATCH(MAX(Reference!$A$6,MIN(Reference!$A$11,MIN($U71,240))),Reference!$A$6:$A$11,1))))*(INDEX(Reference!$B$6:$B$11,MIN(5,MATCH(MAX(Reference!$A$6,MIN(Reference!$A$11,MIN($U71,240))),Reference!$A$6:$A$11,1))+1)-INDEX(Reference!$B$6:$B$11,MIN(5,MATCH(MAX(Reference!$A$6,MIN(Reference!$A$11,MIN($U71,240))),Reference!$A$6:$A$11,1))))/(INDEX(Reference!$A$6:$A$11,MIN(5,MATCH(MAX(Reference!$A$6,MIN(Reference!$A$11,MIN($U71,240))),Reference!$A$6:$A$11,1))+1)-INDEX(Reference!$A$6:$A$11,MIN(5,MATCH(MAX(Reference!$A$6,MIN(Reference!$A$11,MIN($U71,240))),Reference!$A$6:$A$11,1))))),0)+IF(7&lt;=$AL71,($AL71-7+3)*(INDEX(Reference!$B$6:$B$11,MIN(5,MATCH(MAX(Reference!$A$6,MIN(Reference!$A$11,MIN($U71,270))),Reference!$A$6:$A$11,1)))+(MAX(Reference!$A$6,MIN(Reference!$A$11,MIN($U71,270)))-INDEX(Reference!$A$6:$A$11,MIN(5,MATCH(MAX(Reference!$A$6,MIN(Reference!$A$11,MIN($U71,270))),Reference!$A$6:$A$11,1))))*(INDEX(Reference!$B$6:$B$11,MIN(5,MATCH(MAX(Reference!$A$6,MIN(Reference!$A$11,MIN($U71,270))),Reference!$A$6:$A$11,1))+1)-INDEX(Reference!$B$6:$B$11,MIN(5,MATCH(MAX(Reference!$A$6,MIN(Reference!$A$11,MIN($U71,270))),Reference!$A$6:$A$11,1))))/(INDEX(Reference!$A$6:$A$11,MIN(5,MATCH(MAX(Reference!$A$6,MIN(Reference!$A$11,MIN($U71,270))),Reference!$A$6:$A$11,1))+1)-INDEX(Reference!$A$6:$A$11,MIN(5,MATCH(MAX(Reference!$A$6,MIN(Reference!$A$11,MIN($U71,270))),Reference!$A$6:$A$11,1))))),0)+IF(8&lt;=$AL71,($AL71-8+3)*(INDEX(Reference!$B$6:$B$11,MIN(5,MATCH(MAX(Reference!$A$6,MIN(Reference!$A$11,MIN($U71,300))),Reference!$A$6:$A$11,1)))+(MAX(Reference!$A$6,MIN(Reference!$A$11,MIN($U71,300)))-INDEX(Reference!$A$6:$A$11,MIN(5,MATCH(MAX(Reference!$A$6,MIN(Reference!$A$11,MIN($U71,300))),Reference!$A$6:$A$11,1))))*(INDEX(Reference!$B$6:$B$11,MIN(5,MATCH(MAX(Reference!$A$6,MIN(Reference!$A$11,MIN($U71,300))),Reference!$A$6:$A$11,1))+1)-INDEX(Reference!$B$6:$B$11,MIN(5,MATCH(MAX(Reference!$A$6,MIN(Reference!$A$11,MIN($U71,300))),Reference!$A$6:$A$11,1))))/(INDEX(Reference!$A$6:$A$11,MIN(5,MATCH(MAX(Reference!$A$6,MIN(Reference!$A$11,MIN($U71,300))),Reference!$A$6:$A$11,1))+1)-INDEX(Reference!$A$6:$A$11,MIN(5,MATCH(MAX(Reference!$A$6,MIN(Reference!$A$11,MIN($U71,300))),Reference!$A$6:$A$11,1))))),0))/($AL71*($AL71+5)/2)),$AN71))</f>
        <v>1.1499999999999999</v>
      </c>
      <c r="AN71" s="32">
        <f>IF($U71="",0,(INDEX(Reference!$B$6:$B$11,MIN(5,MATCH(MAX(Reference!$A$6,MIN(Reference!$A$11,$U71)),Reference!$A$6:$A$11,1)))+(MAX(Reference!$A$6,MIN(Reference!$A$11,$U71))-INDEX(Reference!$A$6:$A$11,MIN(5,MATCH(MAX(Reference!$A$6,MIN(Reference!$A$11,$U71)),Reference!$A$6:$A$11,1))))*(INDEX(Reference!$B$6:$B$11,MIN(5,MATCH(MAX(Reference!$A$6,MIN(Reference!$A$11,$U71)),Reference!$A$6:$A$11,1))+1)-INDEX(Reference!$B$6:$B$11,MIN(5,MATCH(MAX(Reference!$A$6,MIN(Reference!$A$11,$U71)),Reference!$A$6:$A$11,1))))/(INDEX(Reference!$A$6:$A$11,MIN(5,MATCH(MAX(Reference!$A$6,MIN(Reference!$A$11,$U71)),Reference!$A$6:$A$11,1))+1)-INDEX(Reference!$A$6:$A$11,MIN(5,MATCH(MAX(Reference!$A$6,MIN(Reference!$A$11,$U71)),Reference!$A$6:$A$11,1))))))</f>
        <v>1.1499999999999999</v>
      </c>
      <c r="AO71" s="37"/>
      <c r="AP71" s="37"/>
      <c r="AQ71" s="37"/>
    </row>
    <row r="72" spans="1:43" ht="26.4" x14ac:dyDescent="0.3">
      <c r="A72" s="48">
        <f t="shared" si="5"/>
        <v>46336</v>
      </c>
      <c r="B72" s="32" t="str">
        <f t="shared" si="6"/>
        <v>Tue</v>
      </c>
      <c r="C72" s="32">
        <f t="shared" si="7"/>
        <v>55</v>
      </c>
      <c r="D72" s="32" t="str">
        <f t="shared" si="8"/>
        <v>Base</v>
      </c>
      <c r="E72" s="32" t="str">
        <f t="shared" si="9"/>
        <v>Low</v>
      </c>
      <c r="F72" s="32" t="str">
        <f t="shared" si="10"/>
        <v>Long Toss</v>
      </c>
      <c r="G72" s="47" t="str">
        <f t="shared" si="11"/>
        <v>Long toss out to 120 ft — 30 throws (90×17 · 120×13) @ 73–76 mph + 60 ft × 10 @ 71–75 mph</v>
      </c>
      <c r="H72" s="30">
        <f t="shared" si="12"/>
        <v>32.485714285714288</v>
      </c>
      <c r="I72" s="46">
        <f>IF($A72="","",IF(AND($L72&lt;27,$K$12=0),"Building",IFERROR(((SUM($H$66:$H72)+$K$12*IF($L72&lt;6,SUMIFS('Throw Log'!$Q$5:$Q$300,'Throw Log'!$B$5:$B$300,$D$4,'Throw Log'!$A$5:$A$300,"&gt;="&amp;($D$6+$L72-6),'Throw Log'!$A$5:$A$300,"&lt;="&amp;($D$6-1)),0))/7)/((SUM($H$45:$H72)+$K$12*IF($L72&lt;27,SUMIFS('Throw Log'!$Q$5:$Q$300,'Throw Log'!$B$5:$B$300,$D$4,'Throw Log'!$A$5:$A$300,"&gt;="&amp;($D$6+$L72-27),'Throw Log'!$A$5:$A$300,"&lt;="&amp;($D$6-1)),0))/28),"")))</f>
        <v>1.1952903336970884</v>
      </c>
      <c r="J72" s="37"/>
      <c r="K72" s="37">
        <v>30</v>
      </c>
      <c r="L72" s="32">
        <v>29</v>
      </c>
      <c r="M72" s="32">
        <f t="shared" si="13"/>
        <v>5</v>
      </c>
      <c r="N72" s="32">
        <f t="shared" si="14"/>
        <v>1</v>
      </c>
      <c r="O72" s="32">
        <f t="shared" si="15"/>
        <v>0.38157894736842107</v>
      </c>
      <c r="P72" s="32">
        <f>IF(OR($A72="",N($C72)&lt;=7),"",$G$6*$G$9^($M72-1)*IF(AND(MOD($M72,Reference!$B$99)=0,$M72&lt;=$G$5-2),Reference!$B$100,1))</f>
        <v>128.18680745325557</v>
      </c>
      <c r="Q72" s="32">
        <f>IF($P72="","",IF(SUM($AK$71:$AK$77)=0,0,$P72*INDEX(Reference!$B$108:$B$114,$N72+1)/SUM($AK$71:$AK$77)))</f>
        <v>34.610438012379007</v>
      </c>
      <c r="R72" s="32">
        <f t="shared" si="16"/>
        <v>120</v>
      </c>
      <c r="S72" s="32">
        <f t="shared" si="17"/>
        <v>105</v>
      </c>
      <c r="T72" s="32" t="str">
        <f>IF($A72="","",IF($C72=0,"Bullpen",IF(OR($C72=7,$C72=1,$C72=5),"Recovery/Easy Catch",IF($C72=6,"Compression/Pulldowns",IF(OR($C72=4,$C72=2),"Long Toss",IF($C72=3,"No Throw",IF($N72=2,"No Throw",IF($N72=6,IF($O72&lt;Reference!$B$104,"No Throw","Recovery/Easy Catch"),IF(OR($N72=0,$N72=4),"Recovery/Easy Catch",IF($N72=1,IF($R72&gt;75,"Long Toss","Recovery/Easy Catch"),IF($N72=3,IF($O72&lt;0.5,IF($S72&gt;75,"Long Toss","Recovery/Easy Catch"),"Compression/Pulldowns"),IF($S72&gt;75,"Long Toss","Recovery/Easy Catch"))))))))))))</f>
        <v>Long Toss</v>
      </c>
      <c r="U72" s="32">
        <f t="shared" si="18"/>
        <v>120</v>
      </c>
      <c r="V72" s="32">
        <f t="shared" si="19"/>
        <v>13</v>
      </c>
      <c r="W72" s="32">
        <f t="shared" si="20"/>
        <v>16</v>
      </c>
      <c r="X72" s="32">
        <f t="shared" si="21"/>
        <v>10</v>
      </c>
      <c r="Y72" s="32">
        <f t="shared" si="22"/>
        <v>14</v>
      </c>
      <c r="Z72" s="32">
        <f t="shared" si="23"/>
        <v>18</v>
      </c>
      <c r="AA72" s="32" t="str">
        <f t="shared" si="24"/>
        <v/>
      </c>
      <c r="AB72" s="32">
        <f>IF($A72="","",IF($T72="No Throw",0,IF($K72&lt;&gt;"",$K72,IF($AA72&lt;&gt;"",ROUND($AA72*$D$12*IF($C72=0,1,$G$10),0),MIN(IF($T72="Recovery/Easy Catch",Reference!$B$103,IF($T72="Long Toss",Reference!$B$106,Reference!$B$102)),MAX(Reference!$B$101,ROUND(MAX(0,$Q72-$AE72)/$AF72,0)))))))</f>
        <v>30</v>
      </c>
      <c r="AC72" s="32">
        <f t="shared" si="25"/>
        <v>0</v>
      </c>
      <c r="AD72" s="32" t="b">
        <f t="shared" si="26"/>
        <v>0</v>
      </c>
      <c r="AE72" s="32">
        <f>IF($X72=0,0,$X72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72+$Z72)/2,0),Reference!$A$17:$B$20,2,TRUE()))</f>
        <v>6</v>
      </c>
      <c r="AF72" s="32">
        <f>IF(OR($A72="",$U72="",$T72="No Throw"),0,$AM72*VLOOKUP(MAX(($V72+$W72)/2,0),Reference!$A$17:$B$20,2,TRUE()))</f>
        <v>0.8828571428571429</v>
      </c>
      <c r="AG72" s="32">
        <f>IF($AC72=0,0,$AC72*INDEX(Reference!$B$61:$B$62,MATCH("Bullpen",Reference!$A$61:$A$62,0))*VLOOKUP(MAX($D$5-($D$9+$E$9)/2,0),Reference!$A$17:$B$20,2,TRUE()))</f>
        <v>0</v>
      </c>
      <c r="AH72" s="46">
        <f t="shared" si="27"/>
        <v>1.1952903336970884</v>
      </c>
      <c r="AI72" s="32">
        <f>IF($A72="",NA(),Reference!$A$25)</f>
        <v>0.8</v>
      </c>
      <c r="AJ72" s="32">
        <f t="shared" si="28"/>
        <v>1.3</v>
      </c>
      <c r="AK72" s="56">
        <f>IF(OR($A72="",N($C72)&lt;=7,$T72="No Throw",$J72="x"),0,INDEX(Reference!$B$108:$B$114,$N72+1))</f>
        <v>0.27</v>
      </c>
      <c r="AL72" s="32">
        <f t="shared" si="29"/>
        <v>2</v>
      </c>
      <c r="AM72" s="32">
        <f>IF($U72="",0,IF($AL72&gt;1,((IF(1&lt;=$AL72,($AL72-1+3)*(INDEX(Reference!$B$6:$B$11,MIN(5,MATCH(MAX(Reference!$A$6,MIN(Reference!$A$11,MIN($U72,90))),Reference!$A$6:$A$11,1)))+(MAX(Reference!$A$6,MIN(Reference!$A$11,MIN($U72,90)))-INDEX(Reference!$A$6:$A$11,MIN(5,MATCH(MAX(Reference!$A$6,MIN(Reference!$A$11,MIN($U72,90))),Reference!$A$6:$A$11,1))))*(INDEX(Reference!$B$6:$B$11,MIN(5,MATCH(MAX(Reference!$A$6,MIN(Reference!$A$11,MIN($U72,90))),Reference!$A$6:$A$11,1))+1)-INDEX(Reference!$B$6:$B$11,MIN(5,MATCH(MAX(Reference!$A$6,MIN(Reference!$A$11,MIN($U72,90))),Reference!$A$6:$A$11,1))))/(INDEX(Reference!$A$6:$A$11,MIN(5,MATCH(MAX(Reference!$A$6,MIN(Reference!$A$11,MIN($U72,90))),Reference!$A$6:$A$11,1))+1)-INDEX(Reference!$A$6:$A$11,MIN(5,MATCH(MAX(Reference!$A$6,MIN(Reference!$A$11,MIN($U72,90))),Reference!$A$6:$A$11,1))))),0)+IF(2&lt;=$AL72,($AL72-2+3)*(INDEX(Reference!$B$6:$B$11,MIN(5,MATCH(MAX(Reference!$A$6,MIN(Reference!$A$11,MIN($U72,120))),Reference!$A$6:$A$11,1)))+(MAX(Reference!$A$6,MIN(Reference!$A$11,MIN($U72,120)))-INDEX(Reference!$A$6:$A$11,MIN(5,MATCH(MAX(Reference!$A$6,MIN(Reference!$A$11,MIN($U72,120))),Reference!$A$6:$A$11,1))))*(INDEX(Reference!$B$6:$B$11,MIN(5,MATCH(MAX(Reference!$A$6,MIN(Reference!$A$11,MIN($U72,120))),Reference!$A$6:$A$11,1))+1)-INDEX(Reference!$B$6:$B$11,MIN(5,MATCH(MAX(Reference!$A$6,MIN(Reference!$A$11,MIN($U72,120))),Reference!$A$6:$A$11,1))))/(INDEX(Reference!$A$6:$A$11,MIN(5,MATCH(MAX(Reference!$A$6,MIN(Reference!$A$11,MIN($U72,120))),Reference!$A$6:$A$11,1))+1)-INDEX(Reference!$A$6:$A$11,MIN(5,MATCH(MAX(Reference!$A$6,MIN(Reference!$A$11,MIN($U72,120))),Reference!$A$6:$A$11,1))))),0)+IF(3&lt;=$AL72,($AL72-3+3)*(INDEX(Reference!$B$6:$B$11,MIN(5,MATCH(MAX(Reference!$A$6,MIN(Reference!$A$11,MIN($U72,150))),Reference!$A$6:$A$11,1)))+(MAX(Reference!$A$6,MIN(Reference!$A$11,MIN($U72,150)))-INDEX(Reference!$A$6:$A$11,MIN(5,MATCH(MAX(Reference!$A$6,MIN(Reference!$A$11,MIN($U72,150))),Reference!$A$6:$A$11,1))))*(INDEX(Reference!$B$6:$B$11,MIN(5,MATCH(MAX(Reference!$A$6,MIN(Reference!$A$11,MIN($U72,150))),Reference!$A$6:$A$11,1))+1)-INDEX(Reference!$B$6:$B$11,MIN(5,MATCH(MAX(Reference!$A$6,MIN(Reference!$A$11,MIN($U72,150))),Reference!$A$6:$A$11,1))))/(INDEX(Reference!$A$6:$A$11,MIN(5,MATCH(MAX(Reference!$A$6,MIN(Reference!$A$11,MIN($U72,150))),Reference!$A$6:$A$11,1))+1)-INDEX(Reference!$A$6:$A$11,MIN(5,MATCH(MAX(Reference!$A$6,MIN(Reference!$A$11,MIN($U72,150))),Reference!$A$6:$A$11,1))))),0)+IF(4&lt;=$AL72,($AL72-4+3)*(INDEX(Reference!$B$6:$B$11,MIN(5,MATCH(MAX(Reference!$A$6,MIN(Reference!$A$11,MIN($U72,180))),Reference!$A$6:$A$11,1)))+(MAX(Reference!$A$6,MIN(Reference!$A$11,MIN($U72,180)))-INDEX(Reference!$A$6:$A$11,MIN(5,MATCH(MAX(Reference!$A$6,MIN(Reference!$A$11,MIN($U72,180))),Reference!$A$6:$A$11,1))))*(INDEX(Reference!$B$6:$B$11,MIN(5,MATCH(MAX(Reference!$A$6,MIN(Reference!$A$11,MIN($U72,180))),Reference!$A$6:$A$11,1))+1)-INDEX(Reference!$B$6:$B$11,MIN(5,MATCH(MAX(Reference!$A$6,MIN(Reference!$A$11,MIN($U72,180))),Reference!$A$6:$A$11,1))))/(INDEX(Reference!$A$6:$A$11,MIN(5,MATCH(MAX(Reference!$A$6,MIN(Reference!$A$11,MIN($U72,180))),Reference!$A$6:$A$11,1))+1)-INDEX(Reference!$A$6:$A$11,MIN(5,MATCH(MAX(Reference!$A$6,MIN(Reference!$A$11,MIN($U72,180))),Reference!$A$6:$A$11,1))))),0)+IF(5&lt;=$AL72,($AL72-5+3)*(INDEX(Reference!$B$6:$B$11,MIN(5,MATCH(MAX(Reference!$A$6,MIN(Reference!$A$11,MIN($U72,210))),Reference!$A$6:$A$11,1)))+(MAX(Reference!$A$6,MIN(Reference!$A$11,MIN($U72,210)))-INDEX(Reference!$A$6:$A$11,MIN(5,MATCH(MAX(Reference!$A$6,MIN(Reference!$A$11,MIN($U72,210))),Reference!$A$6:$A$11,1))))*(INDEX(Reference!$B$6:$B$11,MIN(5,MATCH(MAX(Reference!$A$6,MIN(Reference!$A$11,MIN($U72,210))),Reference!$A$6:$A$11,1))+1)-INDEX(Reference!$B$6:$B$11,MIN(5,MATCH(MAX(Reference!$A$6,MIN(Reference!$A$11,MIN($U72,210))),Reference!$A$6:$A$11,1))))/(INDEX(Reference!$A$6:$A$11,MIN(5,MATCH(MAX(Reference!$A$6,MIN(Reference!$A$11,MIN($U72,210))),Reference!$A$6:$A$11,1))+1)-INDEX(Reference!$A$6:$A$11,MIN(5,MATCH(MAX(Reference!$A$6,MIN(Reference!$A$11,MIN($U72,210))),Reference!$A$6:$A$11,1))))),0)+IF(6&lt;=$AL72,($AL72-6+3)*(INDEX(Reference!$B$6:$B$11,MIN(5,MATCH(MAX(Reference!$A$6,MIN(Reference!$A$11,MIN($U72,240))),Reference!$A$6:$A$11,1)))+(MAX(Reference!$A$6,MIN(Reference!$A$11,MIN($U72,240)))-INDEX(Reference!$A$6:$A$11,MIN(5,MATCH(MAX(Reference!$A$6,MIN(Reference!$A$11,MIN($U72,240))),Reference!$A$6:$A$11,1))))*(INDEX(Reference!$B$6:$B$11,MIN(5,MATCH(MAX(Reference!$A$6,MIN(Reference!$A$11,MIN($U72,240))),Reference!$A$6:$A$11,1))+1)-INDEX(Reference!$B$6:$B$11,MIN(5,MATCH(MAX(Reference!$A$6,MIN(Reference!$A$11,MIN($U72,240))),Reference!$A$6:$A$11,1))))/(INDEX(Reference!$A$6:$A$11,MIN(5,MATCH(MAX(Reference!$A$6,MIN(Reference!$A$11,MIN($U72,240))),Reference!$A$6:$A$11,1))+1)-INDEX(Reference!$A$6:$A$11,MIN(5,MATCH(MAX(Reference!$A$6,MIN(Reference!$A$11,MIN($U72,240))),Reference!$A$6:$A$11,1))))),0)+IF(7&lt;=$AL72,($AL72-7+3)*(INDEX(Reference!$B$6:$B$11,MIN(5,MATCH(MAX(Reference!$A$6,MIN(Reference!$A$11,MIN($U72,270))),Reference!$A$6:$A$11,1)))+(MAX(Reference!$A$6,MIN(Reference!$A$11,MIN($U72,270)))-INDEX(Reference!$A$6:$A$11,MIN(5,MATCH(MAX(Reference!$A$6,MIN(Reference!$A$11,MIN($U72,270))),Reference!$A$6:$A$11,1))))*(INDEX(Reference!$B$6:$B$11,MIN(5,MATCH(MAX(Reference!$A$6,MIN(Reference!$A$11,MIN($U72,270))),Reference!$A$6:$A$11,1))+1)-INDEX(Reference!$B$6:$B$11,MIN(5,MATCH(MAX(Reference!$A$6,MIN(Reference!$A$11,MIN($U72,270))),Reference!$A$6:$A$11,1))))/(INDEX(Reference!$A$6:$A$11,MIN(5,MATCH(MAX(Reference!$A$6,MIN(Reference!$A$11,MIN($U72,270))),Reference!$A$6:$A$11,1))+1)-INDEX(Reference!$A$6:$A$11,MIN(5,MATCH(MAX(Reference!$A$6,MIN(Reference!$A$11,MIN($U72,270))),Reference!$A$6:$A$11,1))))),0)+IF(8&lt;=$AL72,($AL72-8+3)*(INDEX(Reference!$B$6:$B$11,MIN(5,MATCH(MAX(Reference!$A$6,MIN(Reference!$A$11,MIN($U72,300))),Reference!$A$6:$A$11,1)))+(MAX(Reference!$A$6,MIN(Reference!$A$11,MIN($U72,300)))-INDEX(Reference!$A$6:$A$11,MIN(5,MATCH(MAX(Reference!$A$6,MIN(Reference!$A$11,MIN($U72,300))),Reference!$A$6:$A$11,1))))*(INDEX(Reference!$B$6:$B$11,MIN(5,MATCH(MAX(Reference!$A$6,MIN(Reference!$A$11,MIN($U72,300))),Reference!$A$6:$A$11,1))+1)-INDEX(Reference!$B$6:$B$11,MIN(5,MATCH(MAX(Reference!$A$6,MIN(Reference!$A$11,MIN($U72,300))),Reference!$A$6:$A$11,1))))/(INDEX(Reference!$A$6:$A$11,MIN(5,MATCH(MAX(Reference!$A$6,MIN(Reference!$A$11,MIN($U72,300))),Reference!$A$6:$A$11,1))+1)-INDEX(Reference!$A$6:$A$11,MIN(5,MATCH(MAX(Reference!$A$6,MIN(Reference!$A$11,MIN($U72,300))),Reference!$A$6:$A$11,1))))),0))/($AL72*($AL72+5)/2)),$AN72))</f>
        <v>1.4714285714285715</v>
      </c>
      <c r="AN72" s="32">
        <f>IF($U72="",0,(INDEX(Reference!$B$6:$B$11,MIN(5,MATCH(MAX(Reference!$A$6,MIN(Reference!$A$11,$U72)),Reference!$A$6:$A$11,1)))+(MAX(Reference!$A$6,MIN(Reference!$A$11,$U72))-INDEX(Reference!$A$6:$A$11,MIN(5,MATCH(MAX(Reference!$A$6,MIN(Reference!$A$11,$U72)),Reference!$A$6:$A$11,1))))*(INDEX(Reference!$B$6:$B$11,MIN(5,MATCH(MAX(Reference!$A$6,MIN(Reference!$A$11,$U72)),Reference!$A$6:$A$11,1))+1)-INDEX(Reference!$B$6:$B$11,MIN(5,MATCH(MAX(Reference!$A$6,MIN(Reference!$A$11,$U72)),Reference!$A$6:$A$11,1))))/(INDEX(Reference!$A$6:$A$11,MIN(5,MATCH(MAX(Reference!$A$6,MIN(Reference!$A$11,$U72)),Reference!$A$6:$A$11,1))+1)-INDEX(Reference!$A$6:$A$11,MIN(5,MATCH(MAX(Reference!$A$6,MIN(Reference!$A$11,$U72)),Reference!$A$6:$A$11,1))))))</f>
        <v>1.7</v>
      </c>
      <c r="AO72" s="37"/>
      <c r="AP72" s="37"/>
      <c r="AQ72" s="37"/>
    </row>
    <row r="73" spans="1:43" x14ac:dyDescent="0.3">
      <c r="A73" s="48">
        <f t="shared" si="5"/>
        <v>46337</v>
      </c>
      <c r="B73" s="32" t="str">
        <f t="shared" si="6"/>
        <v>Wed</v>
      </c>
      <c r="C73" s="32">
        <f t="shared" si="7"/>
        <v>54</v>
      </c>
      <c r="D73" s="32" t="str">
        <f t="shared" si="8"/>
        <v>Base</v>
      </c>
      <c r="E73" s="32" t="str">
        <f t="shared" si="9"/>
        <v>No Throw</v>
      </c>
      <c r="F73" s="32" t="str">
        <f t="shared" si="10"/>
        <v>No Throw</v>
      </c>
      <c r="G73" s="47" t="str">
        <f t="shared" si="11"/>
        <v>Off</v>
      </c>
      <c r="H73" s="30">
        <f t="shared" si="12"/>
        <v>0</v>
      </c>
      <c r="I73" s="46">
        <f>IF($A73="","",IF(AND($L73&lt;27,$K$12=0),"Building",IFERROR(((SUM($H$67:$H73)+$K$12*IF($L73&lt;6,SUMIFS('Throw Log'!$Q$5:$Q$300,'Throw Log'!$B$5:$B$300,$D$4,'Throw Log'!$A$5:$A$300,"&gt;="&amp;($D$6+$L73-6),'Throw Log'!$A$5:$A$300,"&lt;="&amp;($D$6-1)),0))/7)/((SUM($H$46:$H73)+$K$12*IF($L73&lt;27,SUMIFS('Throw Log'!$Q$5:$Q$300,'Throw Log'!$B$5:$B$300,$D$4,'Throw Log'!$A$5:$A$300,"&gt;="&amp;($D$6+$L73-27),'Throw Log'!$A$5:$A$300,"&lt;="&amp;($D$6-1)),0))/28),"")))</f>
        <v>1.1952903336970884</v>
      </c>
      <c r="J73" s="37"/>
      <c r="K73" s="37"/>
      <c r="L73" s="32">
        <v>30</v>
      </c>
      <c r="M73" s="32">
        <f t="shared" si="13"/>
        <v>5</v>
      </c>
      <c r="N73" s="32">
        <f t="shared" si="14"/>
        <v>2</v>
      </c>
      <c r="O73" s="32">
        <f t="shared" si="15"/>
        <v>0.39473684210526316</v>
      </c>
      <c r="P73" s="32">
        <f>IF(OR($A73="",N($C73)&lt;=7),"",$G$6*$G$9^($M73-1)*IF(AND(MOD($M73,Reference!$B$99)=0,$M73&lt;=$G$5-2),Reference!$B$100,1))</f>
        <v>128.18680745325557</v>
      </c>
      <c r="Q73" s="32">
        <f>IF($P73="","",IF(SUM($AK$71:$AK$77)=0,0,$P73*INDEX(Reference!$B$108:$B$114,$N73+1)/SUM($AK$71:$AK$77)))</f>
        <v>0</v>
      </c>
      <c r="R73" s="32">
        <f t="shared" si="16"/>
        <v>120</v>
      </c>
      <c r="S73" s="32">
        <f t="shared" si="17"/>
        <v>105</v>
      </c>
      <c r="T73" s="32" t="str">
        <f>IF($A73="","",IF($C73=0,"Bullpen",IF(OR($C73=7,$C73=1,$C73=5),"Recovery/Easy Catch",IF($C73=6,"Compression/Pulldowns",IF(OR($C73=4,$C73=2),"Long Toss",IF($C73=3,"No Throw",IF($N73=2,"No Throw",IF($N73=6,IF($O73&lt;Reference!$B$104,"No Throw","Recovery/Easy Catch"),IF(OR($N73=0,$N73=4),"Recovery/Easy Catch",IF($N73=1,IF($R73&gt;75,"Long Toss","Recovery/Easy Catch"),IF($N73=3,IF($O73&lt;0.5,IF($S73&gt;75,"Long Toss","Recovery/Easy Catch"),"Compression/Pulldowns"),IF($S73&gt;75,"Long Toss","Recovery/Easy Catch"))))))))))))</f>
        <v>No Throw</v>
      </c>
      <c r="U73" s="32" t="str">
        <f t="shared" si="18"/>
        <v/>
      </c>
      <c r="V73" s="32" t="str">
        <f t="shared" si="19"/>
        <v/>
      </c>
      <c r="W73" s="32" t="str">
        <f t="shared" si="20"/>
        <v/>
      </c>
      <c r="X73" s="32">
        <f t="shared" si="21"/>
        <v>0</v>
      </c>
      <c r="Y73" s="32" t="str">
        <f t="shared" si="22"/>
        <v/>
      </c>
      <c r="Z73" s="32" t="str">
        <f t="shared" si="23"/>
        <v/>
      </c>
      <c r="AA73" s="32" t="str">
        <f t="shared" si="24"/>
        <v/>
      </c>
      <c r="AB73" s="32">
        <f>IF($A73="","",IF($T73="No Throw",0,IF($K73&lt;&gt;"",$K73,IF($AA73&lt;&gt;"",ROUND($AA73*$D$12*IF($C73=0,1,$G$10),0),MIN(IF($T73="Recovery/Easy Catch",Reference!$B$103,IF($T73="Long Toss",Reference!$B$106,Reference!$B$102)),MAX(Reference!$B$101,ROUND(MAX(0,$Q73-$AE73)/$AF73,0)))))))</f>
        <v>0</v>
      </c>
      <c r="AC73" s="32">
        <f t="shared" si="25"/>
        <v>0</v>
      </c>
      <c r="AD73" s="32" t="b">
        <f t="shared" si="26"/>
        <v>1</v>
      </c>
      <c r="AE73" s="32">
        <f>IF($X73=0,0,$X73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73+$Z73)/2,0),Reference!$A$17:$B$20,2,TRUE()))</f>
        <v>0</v>
      </c>
      <c r="AF73" s="32">
        <f>IF(OR($A73="",$U73="",$T73="No Throw"),0,$AM73*VLOOKUP(MAX(($V73+$W73)/2,0),Reference!$A$17:$B$20,2,TRUE()))</f>
        <v>0</v>
      </c>
      <c r="AG73" s="32">
        <f>IF($AC73=0,0,$AC73*INDEX(Reference!$B$61:$B$62,MATCH("Bullpen",Reference!$A$61:$A$62,0))*VLOOKUP(MAX($D$5-($D$9+$E$9)/2,0),Reference!$A$17:$B$20,2,TRUE()))</f>
        <v>0</v>
      </c>
      <c r="AH73" s="46">
        <f t="shared" si="27"/>
        <v>1.1952903336970884</v>
      </c>
      <c r="AI73" s="32">
        <f>IF($A73="",NA(),Reference!$A$25)</f>
        <v>0.8</v>
      </c>
      <c r="AJ73" s="32">
        <f t="shared" si="28"/>
        <v>1.3</v>
      </c>
      <c r="AK73" s="32">
        <f>IF(OR($A73="",N($C73)&lt;=7,$T73="No Throw",$J73="x"),0,INDEX(Reference!$B$108:$B$114,$N73+1))</f>
        <v>0</v>
      </c>
      <c r="AL73" s="32">
        <f t="shared" si="29"/>
        <v>1</v>
      </c>
      <c r="AM73" s="32">
        <f>IF($U73="",0,IF($AL73&gt;1,((IF(1&lt;=$AL73,($AL73-1+3)*(INDEX(Reference!$B$6:$B$11,MIN(5,MATCH(MAX(Reference!$A$6,MIN(Reference!$A$11,MIN($U73,90))),Reference!$A$6:$A$11,1)))+(MAX(Reference!$A$6,MIN(Reference!$A$11,MIN($U73,90)))-INDEX(Reference!$A$6:$A$11,MIN(5,MATCH(MAX(Reference!$A$6,MIN(Reference!$A$11,MIN($U73,90))),Reference!$A$6:$A$11,1))))*(INDEX(Reference!$B$6:$B$11,MIN(5,MATCH(MAX(Reference!$A$6,MIN(Reference!$A$11,MIN($U73,90))),Reference!$A$6:$A$11,1))+1)-INDEX(Reference!$B$6:$B$11,MIN(5,MATCH(MAX(Reference!$A$6,MIN(Reference!$A$11,MIN($U73,90))),Reference!$A$6:$A$11,1))))/(INDEX(Reference!$A$6:$A$11,MIN(5,MATCH(MAX(Reference!$A$6,MIN(Reference!$A$11,MIN($U73,90))),Reference!$A$6:$A$11,1))+1)-INDEX(Reference!$A$6:$A$11,MIN(5,MATCH(MAX(Reference!$A$6,MIN(Reference!$A$11,MIN($U73,90))),Reference!$A$6:$A$11,1))))),0)+IF(2&lt;=$AL73,($AL73-2+3)*(INDEX(Reference!$B$6:$B$11,MIN(5,MATCH(MAX(Reference!$A$6,MIN(Reference!$A$11,MIN($U73,120))),Reference!$A$6:$A$11,1)))+(MAX(Reference!$A$6,MIN(Reference!$A$11,MIN($U73,120)))-INDEX(Reference!$A$6:$A$11,MIN(5,MATCH(MAX(Reference!$A$6,MIN(Reference!$A$11,MIN($U73,120))),Reference!$A$6:$A$11,1))))*(INDEX(Reference!$B$6:$B$11,MIN(5,MATCH(MAX(Reference!$A$6,MIN(Reference!$A$11,MIN($U73,120))),Reference!$A$6:$A$11,1))+1)-INDEX(Reference!$B$6:$B$11,MIN(5,MATCH(MAX(Reference!$A$6,MIN(Reference!$A$11,MIN($U73,120))),Reference!$A$6:$A$11,1))))/(INDEX(Reference!$A$6:$A$11,MIN(5,MATCH(MAX(Reference!$A$6,MIN(Reference!$A$11,MIN($U73,120))),Reference!$A$6:$A$11,1))+1)-INDEX(Reference!$A$6:$A$11,MIN(5,MATCH(MAX(Reference!$A$6,MIN(Reference!$A$11,MIN($U73,120))),Reference!$A$6:$A$11,1))))),0)+IF(3&lt;=$AL73,($AL73-3+3)*(INDEX(Reference!$B$6:$B$11,MIN(5,MATCH(MAX(Reference!$A$6,MIN(Reference!$A$11,MIN($U73,150))),Reference!$A$6:$A$11,1)))+(MAX(Reference!$A$6,MIN(Reference!$A$11,MIN($U73,150)))-INDEX(Reference!$A$6:$A$11,MIN(5,MATCH(MAX(Reference!$A$6,MIN(Reference!$A$11,MIN($U73,150))),Reference!$A$6:$A$11,1))))*(INDEX(Reference!$B$6:$B$11,MIN(5,MATCH(MAX(Reference!$A$6,MIN(Reference!$A$11,MIN($U73,150))),Reference!$A$6:$A$11,1))+1)-INDEX(Reference!$B$6:$B$11,MIN(5,MATCH(MAX(Reference!$A$6,MIN(Reference!$A$11,MIN($U73,150))),Reference!$A$6:$A$11,1))))/(INDEX(Reference!$A$6:$A$11,MIN(5,MATCH(MAX(Reference!$A$6,MIN(Reference!$A$11,MIN($U73,150))),Reference!$A$6:$A$11,1))+1)-INDEX(Reference!$A$6:$A$11,MIN(5,MATCH(MAX(Reference!$A$6,MIN(Reference!$A$11,MIN($U73,150))),Reference!$A$6:$A$11,1))))),0)+IF(4&lt;=$AL73,($AL73-4+3)*(INDEX(Reference!$B$6:$B$11,MIN(5,MATCH(MAX(Reference!$A$6,MIN(Reference!$A$11,MIN($U73,180))),Reference!$A$6:$A$11,1)))+(MAX(Reference!$A$6,MIN(Reference!$A$11,MIN($U73,180)))-INDEX(Reference!$A$6:$A$11,MIN(5,MATCH(MAX(Reference!$A$6,MIN(Reference!$A$11,MIN($U73,180))),Reference!$A$6:$A$11,1))))*(INDEX(Reference!$B$6:$B$11,MIN(5,MATCH(MAX(Reference!$A$6,MIN(Reference!$A$11,MIN($U73,180))),Reference!$A$6:$A$11,1))+1)-INDEX(Reference!$B$6:$B$11,MIN(5,MATCH(MAX(Reference!$A$6,MIN(Reference!$A$11,MIN($U73,180))),Reference!$A$6:$A$11,1))))/(INDEX(Reference!$A$6:$A$11,MIN(5,MATCH(MAX(Reference!$A$6,MIN(Reference!$A$11,MIN($U73,180))),Reference!$A$6:$A$11,1))+1)-INDEX(Reference!$A$6:$A$11,MIN(5,MATCH(MAX(Reference!$A$6,MIN(Reference!$A$11,MIN($U73,180))),Reference!$A$6:$A$11,1))))),0)+IF(5&lt;=$AL73,($AL73-5+3)*(INDEX(Reference!$B$6:$B$11,MIN(5,MATCH(MAX(Reference!$A$6,MIN(Reference!$A$11,MIN($U73,210))),Reference!$A$6:$A$11,1)))+(MAX(Reference!$A$6,MIN(Reference!$A$11,MIN($U73,210)))-INDEX(Reference!$A$6:$A$11,MIN(5,MATCH(MAX(Reference!$A$6,MIN(Reference!$A$11,MIN($U73,210))),Reference!$A$6:$A$11,1))))*(INDEX(Reference!$B$6:$B$11,MIN(5,MATCH(MAX(Reference!$A$6,MIN(Reference!$A$11,MIN($U73,210))),Reference!$A$6:$A$11,1))+1)-INDEX(Reference!$B$6:$B$11,MIN(5,MATCH(MAX(Reference!$A$6,MIN(Reference!$A$11,MIN($U73,210))),Reference!$A$6:$A$11,1))))/(INDEX(Reference!$A$6:$A$11,MIN(5,MATCH(MAX(Reference!$A$6,MIN(Reference!$A$11,MIN($U73,210))),Reference!$A$6:$A$11,1))+1)-INDEX(Reference!$A$6:$A$11,MIN(5,MATCH(MAX(Reference!$A$6,MIN(Reference!$A$11,MIN($U73,210))),Reference!$A$6:$A$11,1))))),0)+IF(6&lt;=$AL73,($AL73-6+3)*(INDEX(Reference!$B$6:$B$11,MIN(5,MATCH(MAX(Reference!$A$6,MIN(Reference!$A$11,MIN($U73,240))),Reference!$A$6:$A$11,1)))+(MAX(Reference!$A$6,MIN(Reference!$A$11,MIN($U73,240)))-INDEX(Reference!$A$6:$A$11,MIN(5,MATCH(MAX(Reference!$A$6,MIN(Reference!$A$11,MIN($U73,240))),Reference!$A$6:$A$11,1))))*(INDEX(Reference!$B$6:$B$11,MIN(5,MATCH(MAX(Reference!$A$6,MIN(Reference!$A$11,MIN($U73,240))),Reference!$A$6:$A$11,1))+1)-INDEX(Reference!$B$6:$B$11,MIN(5,MATCH(MAX(Reference!$A$6,MIN(Reference!$A$11,MIN($U73,240))),Reference!$A$6:$A$11,1))))/(INDEX(Reference!$A$6:$A$11,MIN(5,MATCH(MAX(Reference!$A$6,MIN(Reference!$A$11,MIN($U73,240))),Reference!$A$6:$A$11,1))+1)-INDEX(Reference!$A$6:$A$11,MIN(5,MATCH(MAX(Reference!$A$6,MIN(Reference!$A$11,MIN($U73,240))),Reference!$A$6:$A$11,1))))),0)+IF(7&lt;=$AL73,($AL73-7+3)*(INDEX(Reference!$B$6:$B$11,MIN(5,MATCH(MAX(Reference!$A$6,MIN(Reference!$A$11,MIN($U73,270))),Reference!$A$6:$A$11,1)))+(MAX(Reference!$A$6,MIN(Reference!$A$11,MIN($U73,270)))-INDEX(Reference!$A$6:$A$11,MIN(5,MATCH(MAX(Reference!$A$6,MIN(Reference!$A$11,MIN($U73,270))),Reference!$A$6:$A$11,1))))*(INDEX(Reference!$B$6:$B$11,MIN(5,MATCH(MAX(Reference!$A$6,MIN(Reference!$A$11,MIN($U73,270))),Reference!$A$6:$A$11,1))+1)-INDEX(Reference!$B$6:$B$11,MIN(5,MATCH(MAX(Reference!$A$6,MIN(Reference!$A$11,MIN($U73,270))),Reference!$A$6:$A$11,1))))/(INDEX(Reference!$A$6:$A$11,MIN(5,MATCH(MAX(Reference!$A$6,MIN(Reference!$A$11,MIN($U73,270))),Reference!$A$6:$A$11,1))+1)-INDEX(Reference!$A$6:$A$11,MIN(5,MATCH(MAX(Reference!$A$6,MIN(Reference!$A$11,MIN($U73,270))),Reference!$A$6:$A$11,1))))),0)+IF(8&lt;=$AL73,($AL73-8+3)*(INDEX(Reference!$B$6:$B$11,MIN(5,MATCH(MAX(Reference!$A$6,MIN(Reference!$A$11,MIN($U73,300))),Reference!$A$6:$A$11,1)))+(MAX(Reference!$A$6,MIN(Reference!$A$11,MIN($U73,300)))-INDEX(Reference!$A$6:$A$11,MIN(5,MATCH(MAX(Reference!$A$6,MIN(Reference!$A$11,MIN($U73,300))),Reference!$A$6:$A$11,1))))*(INDEX(Reference!$B$6:$B$11,MIN(5,MATCH(MAX(Reference!$A$6,MIN(Reference!$A$11,MIN($U73,300))),Reference!$A$6:$A$11,1))+1)-INDEX(Reference!$B$6:$B$11,MIN(5,MATCH(MAX(Reference!$A$6,MIN(Reference!$A$11,MIN($U73,300))),Reference!$A$6:$A$11,1))))/(INDEX(Reference!$A$6:$A$11,MIN(5,MATCH(MAX(Reference!$A$6,MIN(Reference!$A$11,MIN($U73,300))),Reference!$A$6:$A$11,1))+1)-INDEX(Reference!$A$6:$A$11,MIN(5,MATCH(MAX(Reference!$A$6,MIN(Reference!$A$11,MIN($U73,300))),Reference!$A$6:$A$11,1))))),0))/($AL73*($AL73+5)/2)),$AN73))</f>
        <v>0</v>
      </c>
      <c r="AN73" s="32">
        <f>IF($U73="",0,(INDEX(Reference!$B$6:$B$11,MIN(5,MATCH(MAX(Reference!$A$6,MIN(Reference!$A$11,$U73)),Reference!$A$6:$A$11,1)))+(MAX(Reference!$A$6,MIN(Reference!$A$11,$U73))-INDEX(Reference!$A$6:$A$11,MIN(5,MATCH(MAX(Reference!$A$6,MIN(Reference!$A$11,$U73)),Reference!$A$6:$A$11,1))))*(INDEX(Reference!$B$6:$B$11,MIN(5,MATCH(MAX(Reference!$A$6,MIN(Reference!$A$11,$U73)),Reference!$A$6:$A$11,1))+1)-INDEX(Reference!$B$6:$B$11,MIN(5,MATCH(MAX(Reference!$A$6,MIN(Reference!$A$11,$U73)),Reference!$A$6:$A$11,1))))/(INDEX(Reference!$A$6:$A$11,MIN(5,MATCH(MAX(Reference!$A$6,MIN(Reference!$A$11,$U73)),Reference!$A$6:$A$11,1))+1)-INDEX(Reference!$A$6:$A$11,MIN(5,MATCH(MAX(Reference!$A$6,MIN(Reference!$A$11,$U73)),Reference!$A$6:$A$11,1))))))</f>
        <v>0</v>
      </c>
      <c r="AO73" s="37"/>
      <c r="AP73" s="37"/>
      <c r="AQ73" s="37"/>
    </row>
    <row r="74" spans="1:43" ht="26.4" x14ac:dyDescent="0.3">
      <c r="A74" s="48">
        <f t="shared" si="5"/>
        <v>46338</v>
      </c>
      <c r="B74" s="32" t="str">
        <f t="shared" si="6"/>
        <v>Thu</v>
      </c>
      <c r="C74" s="32">
        <f t="shared" si="7"/>
        <v>53</v>
      </c>
      <c r="D74" s="32" t="str">
        <f t="shared" si="8"/>
        <v>Base</v>
      </c>
      <c r="E74" s="32" t="str">
        <f t="shared" si="9"/>
        <v>Medium</v>
      </c>
      <c r="F74" s="32" t="str">
        <f t="shared" si="10"/>
        <v>Long Toss</v>
      </c>
      <c r="G74" s="47" t="str">
        <f t="shared" si="11"/>
        <v>Long toss out to 105 ft — 25 throws (90×14 · 105×11) @ 73–76 mph + 60 ft × 10 @ 71–75 mph</v>
      </c>
      <c r="H74" s="30">
        <f t="shared" si="12"/>
        <v>26.785714285714285</v>
      </c>
      <c r="I74" s="46">
        <f>IF($A74="","",IF(AND($L74&lt;27,$K$12=0),"Building",IFERROR(((SUM($H$68:$H74)+$K$12*IF($L74&lt;6,SUMIFS('Throw Log'!$Q$5:$Q$300,'Throw Log'!$B$5:$B$300,$D$4,'Throw Log'!$A$5:$A$300,"&gt;="&amp;($D$6+$L74-6),'Throw Log'!$A$5:$A$300,"&lt;="&amp;($D$6-1)),0))/7)/((SUM($H$47:$H74)+$K$12*IF($L74&lt;27,SUMIFS('Throw Log'!$Q$5:$Q$300,'Throw Log'!$B$5:$B$300,$D$4,'Throw Log'!$A$5:$A$300,"&gt;="&amp;($D$6+$L74-27),'Throw Log'!$A$5:$A$300,"&lt;="&amp;($D$6-1)),0))/28),"")))</f>
        <v>1.1906113907584415</v>
      </c>
      <c r="J74" s="37"/>
      <c r="K74" s="37">
        <v>25</v>
      </c>
      <c r="L74" s="32">
        <v>31</v>
      </c>
      <c r="M74" s="32">
        <f t="shared" si="13"/>
        <v>5</v>
      </c>
      <c r="N74" s="32">
        <f t="shared" si="14"/>
        <v>3</v>
      </c>
      <c r="O74" s="32">
        <f t="shared" si="15"/>
        <v>0.40789473684210525</v>
      </c>
      <c r="P74" s="32">
        <f>IF(OR($A74="",N($C74)&lt;=7),"",$G$6*$G$9^($M74-1)*IF(AND(MOD($M74,Reference!$B$99)=0,$M74&lt;=$G$5-2),Reference!$B$100,1))</f>
        <v>128.18680745325557</v>
      </c>
      <c r="Q74" s="32">
        <f>IF($P74="","",IF(SUM($AK$71:$AK$77)=0,0,$P74*INDEX(Reference!$B$108:$B$114,$N74+1)/SUM($AK$71:$AK$77)))</f>
        <v>30.764833788781335</v>
      </c>
      <c r="R74" s="32">
        <f t="shared" si="16"/>
        <v>120</v>
      </c>
      <c r="S74" s="32">
        <f t="shared" si="17"/>
        <v>105</v>
      </c>
      <c r="T74" s="32" t="str">
        <f>IF($A74="","",IF($C74=0,"Bullpen",IF(OR($C74=7,$C74=1,$C74=5),"Recovery/Easy Catch",IF($C74=6,"Compression/Pulldowns",IF(OR($C74=4,$C74=2),"Long Toss",IF($C74=3,"No Throw",IF($N74=2,"No Throw",IF($N74=6,IF($O74&lt;Reference!$B$104,"No Throw","Recovery/Easy Catch"),IF(OR($N74=0,$N74=4),"Recovery/Easy Catch",IF($N74=1,IF($R74&gt;75,"Long Toss","Recovery/Easy Catch"),IF($N74=3,IF($O74&lt;0.5,IF($S74&gt;75,"Long Toss","Recovery/Easy Catch"),"Compression/Pulldowns"),IF($S74&gt;75,"Long Toss","Recovery/Easy Catch"))))))))))))</f>
        <v>Long Toss</v>
      </c>
      <c r="U74" s="32">
        <f t="shared" si="18"/>
        <v>105</v>
      </c>
      <c r="V74" s="32">
        <f t="shared" si="19"/>
        <v>13</v>
      </c>
      <c r="W74" s="32">
        <f t="shared" si="20"/>
        <v>16</v>
      </c>
      <c r="X74" s="32">
        <f t="shared" si="21"/>
        <v>10</v>
      </c>
      <c r="Y74" s="32">
        <f t="shared" si="22"/>
        <v>14</v>
      </c>
      <c r="Z74" s="32">
        <f t="shared" si="23"/>
        <v>18</v>
      </c>
      <c r="AA74" s="32" t="str">
        <f t="shared" si="24"/>
        <v/>
      </c>
      <c r="AB74" s="32">
        <f>IF($A74="","",IF($T74="No Throw",0,IF($K74&lt;&gt;"",$K74,IF($AA74&lt;&gt;"",ROUND($AA74*$D$12*IF($C74=0,1,$G$10),0),MIN(IF($T74="Recovery/Easy Catch",Reference!$B$103,IF($T74="Long Toss",Reference!$B$106,Reference!$B$102)),MAX(Reference!$B$101,ROUND(MAX(0,$Q74-$AE74)/$AF74,0)))))))</f>
        <v>25</v>
      </c>
      <c r="AC74" s="32">
        <f t="shared" si="25"/>
        <v>0</v>
      </c>
      <c r="AD74" s="32" t="b">
        <f t="shared" si="26"/>
        <v>0</v>
      </c>
      <c r="AE74" s="32">
        <f>IF($X74=0,0,$X74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74+$Z74)/2,0),Reference!$A$17:$B$20,2,TRUE()))</f>
        <v>6</v>
      </c>
      <c r="AF74" s="32">
        <f>IF(OR($A74="",$U74="",$T74="No Throw"),0,$AM74*VLOOKUP(MAX(($V74+$W74)/2,0),Reference!$A$17:$B$20,2,TRUE()))</f>
        <v>0.83142857142857141</v>
      </c>
      <c r="AG74" s="32">
        <f>IF($AC74=0,0,$AC74*INDEX(Reference!$B$61:$B$62,MATCH("Bullpen",Reference!$A$61:$A$62,0))*VLOOKUP(MAX($D$5-($D$9+$E$9)/2,0),Reference!$A$17:$B$20,2,TRUE()))</f>
        <v>0</v>
      </c>
      <c r="AH74" s="46">
        <f t="shared" si="27"/>
        <v>1.1906113907584415</v>
      </c>
      <c r="AI74" s="32">
        <f>IF($A74="",NA(),Reference!$A$25)</f>
        <v>0.8</v>
      </c>
      <c r="AJ74" s="32">
        <f t="shared" si="28"/>
        <v>1.3</v>
      </c>
      <c r="AK74" s="56">
        <f>IF(OR($A74="",N($C74)&lt;=7,$T74="No Throw",$J74="x"),0,INDEX(Reference!$B$108:$B$114,$N74+1))</f>
        <v>0.24</v>
      </c>
      <c r="AL74" s="32">
        <f t="shared" si="29"/>
        <v>2</v>
      </c>
      <c r="AM74" s="32">
        <f>IF($U74="",0,IF($AL74&gt;1,((IF(1&lt;=$AL74,($AL74-1+3)*(INDEX(Reference!$B$6:$B$11,MIN(5,MATCH(MAX(Reference!$A$6,MIN(Reference!$A$11,MIN($U74,90))),Reference!$A$6:$A$11,1)))+(MAX(Reference!$A$6,MIN(Reference!$A$11,MIN($U74,90)))-INDEX(Reference!$A$6:$A$11,MIN(5,MATCH(MAX(Reference!$A$6,MIN(Reference!$A$11,MIN($U74,90))),Reference!$A$6:$A$11,1))))*(INDEX(Reference!$B$6:$B$11,MIN(5,MATCH(MAX(Reference!$A$6,MIN(Reference!$A$11,MIN($U74,90))),Reference!$A$6:$A$11,1))+1)-INDEX(Reference!$B$6:$B$11,MIN(5,MATCH(MAX(Reference!$A$6,MIN(Reference!$A$11,MIN($U74,90))),Reference!$A$6:$A$11,1))))/(INDEX(Reference!$A$6:$A$11,MIN(5,MATCH(MAX(Reference!$A$6,MIN(Reference!$A$11,MIN($U74,90))),Reference!$A$6:$A$11,1))+1)-INDEX(Reference!$A$6:$A$11,MIN(5,MATCH(MAX(Reference!$A$6,MIN(Reference!$A$11,MIN($U74,90))),Reference!$A$6:$A$11,1))))),0)+IF(2&lt;=$AL74,($AL74-2+3)*(INDEX(Reference!$B$6:$B$11,MIN(5,MATCH(MAX(Reference!$A$6,MIN(Reference!$A$11,MIN($U74,120))),Reference!$A$6:$A$11,1)))+(MAX(Reference!$A$6,MIN(Reference!$A$11,MIN($U74,120)))-INDEX(Reference!$A$6:$A$11,MIN(5,MATCH(MAX(Reference!$A$6,MIN(Reference!$A$11,MIN($U74,120))),Reference!$A$6:$A$11,1))))*(INDEX(Reference!$B$6:$B$11,MIN(5,MATCH(MAX(Reference!$A$6,MIN(Reference!$A$11,MIN($U74,120))),Reference!$A$6:$A$11,1))+1)-INDEX(Reference!$B$6:$B$11,MIN(5,MATCH(MAX(Reference!$A$6,MIN(Reference!$A$11,MIN($U74,120))),Reference!$A$6:$A$11,1))))/(INDEX(Reference!$A$6:$A$11,MIN(5,MATCH(MAX(Reference!$A$6,MIN(Reference!$A$11,MIN($U74,120))),Reference!$A$6:$A$11,1))+1)-INDEX(Reference!$A$6:$A$11,MIN(5,MATCH(MAX(Reference!$A$6,MIN(Reference!$A$11,MIN($U74,120))),Reference!$A$6:$A$11,1))))),0)+IF(3&lt;=$AL74,($AL74-3+3)*(INDEX(Reference!$B$6:$B$11,MIN(5,MATCH(MAX(Reference!$A$6,MIN(Reference!$A$11,MIN($U74,150))),Reference!$A$6:$A$11,1)))+(MAX(Reference!$A$6,MIN(Reference!$A$11,MIN($U74,150)))-INDEX(Reference!$A$6:$A$11,MIN(5,MATCH(MAX(Reference!$A$6,MIN(Reference!$A$11,MIN($U74,150))),Reference!$A$6:$A$11,1))))*(INDEX(Reference!$B$6:$B$11,MIN(5,MATCH(MAX(Reference!$A$6,MIN(Reference!$A$11,MIN($U74,150))),Reference!$A$6:$A$11,1))+1)-INDEX(Reference!$B$6:$B$11,MIN(5,MATCH(MAX(Reference!$A$6,MIN(Reference!$A$11,MIN($U74,150))),Reference!$A$6:$A$11,1))))/(INDEX(Reference!$A$6:$A$11,MIN(5,MATCH(MAX(Reference!$A$6,MIN(Reference!$A$11,MIN($U74,150))),Reference!$A$6:$A$11,1))+1)-INDEX(Reference!$A$6:$A$11,MIN(5,MATCH(MAX(Reference!$A$6,MIN(Reference!$A$11,MIN($U74,150))),Reference!$A$6:$A$11,1))))),0)+IF(4&lt;=$AL74,($AL74-4+3)*(INDEX(Reference!$B$6:$B$11,MIN(5,MATCH(MAX(Reference!$A$6,MIN(Reference!$A$11,MIN($U74,180))),Reference!$A$6:$A$11,1)))+(MAX(Reference!$A$6,MIN(Reference!$A$11,MIN($U74,180)))-INDEX(Reference!$A$6:$A$11,MIN(5,MATCH(MAX(Reference!$A$6,MIN(Reference!$A$11,MIN($U74,180))),Reference!$A$6:$A$11,1))))*(INDEX(Reference!$B$6:$B$11,MIN(5,MATCH(MAX(Reference!$A$6,MIN(Reference!$A$11,MIN($U74,180))),Reference!$A$6:$A$11,1))+1)-INDEX(Reference!$B$6:$B$11,MIN(5,MATCH(MAX(Reference!$A$6,MIN(Reference!$A$11,MIN($U74,180))),Reference!$A$6:$A$11,1))))/(INDEX(Reference!$A$6:$A$11,MIN(5,MATCH(MAX(Reference!$A$6,MIN(Reference!$A$11,MIN($U74,180))),Reference!$A$6:$A$11,1))+1)-INDEX(Reference!$A$6:$A$11,MIN(5,MATCH(MAX(Reference!$A$6,MIN(Reference!$A$11,MIN($U74,180))),Reference!$A$6:$A$11,1))))),0)+IF(5&lt;=$AL74,($AL74-5+3)*(INDEX(Reference!$B$6:$B$11,MIN(5,MATCH(MAX(Reference!$A$6,MIN(Reference!$A$11,MIN($U74,210))),Reference!$A$6:$A$11,1)))+(MAX(Reference!$A$6,MIN(Reference!$A$11,MIN($U74,210)))-INDEX(Reference!$A$6:$A$11,MIN(5,MATCH(MAX(Reference!$A$6,MIN(Reference!$A$11,MIN($U74,210))),Reference!$A$6:$A$11,1))))*(INDEX(Reference!$B$6:$B$11,MIN(5,MATCH(MAX(Reference!$A$6,MIN(Reference!$A$11,MIN($U74,210))),Reference!$A$6:$A$11,1))+1)-INDEX(Reference!$B$6:$B$11,MIN(5,MATCH(MAX(Reference!$A$6,MIN(Reference!$A$11,MIN($U74,210))),Reference!$A$6:$A$11,1))))/(INDEX(Reference!$A$6:$A$11,MIN(5,MATCH(MAX(Reference!$A$6,MIN(Reference!$A$11,MIN($U74,210))),Reference!$A$6:$A$11,1))+1)-INDEX(Reference!$A$6:$A$11,MIN(5,MATCH(MAX(Reference!$A$6,MIN(Reference!$A$11,MIN($U74,210))),Reference!$A$6:$A$11,1))))),0)+IF(6&lt;=$AL74,($AL74-6+3)*(INDEX(Reference!$B$6:$B$11,MIN(5,MATCH(MAX(Reference!$A$6,MIN(Reference!$A$11,MIN($U74,240))),Reference!$A$6:$A$11,1)))+(MAX(Reference!$A$6,MIN(Reference!$A$11,MIN($U74,240)))-INDEX(Reference!$A$6:$A$11,MIN(5,MATCH(MAX(Reference!$A$6,MIN(Reference!$A$11,MIN($U74,240))),Reference!$A$6:$A$11,1))))*(INDEX(Reference!$B$6:$B$11,MIN(5,MATCH(MAX(Reference!$A$6,MIN(Reference!$A$11,MIN($U74,240))),Reference!$A$6:$A$11,1))+1)-INDEX(Reference!$B$6:$B$11,MIN(5,MATCH(MAX(Reference!$A$6,MIN(Reference!$A$11,MIN($U74,240))),Reference!$A$6:$A$11,1))))/(INDEX(Reference!$A$6:$A$11,MIN(5,MATCH(MAX(Reference!$A$6,MIN(Reference!$A$11,MIN($U74,240))),Reference!$A$6:$A$11,1))+1)-INDEX(Reference!$A$6:$A$11,MIN(5,MATCH(MAX(Reference!$A$6,MIN(Reference!$A$11,MIN($U74,240))),Reference!$A$6:$A$11,1))))),0)+IF(7&lt;=$AL74,($AL74-7+3)*(INDEX(Reference!$B$6:$B$11,MIN(5,MATCH(MAX(Reference!$A$6,MIN(Reference!$A$11,MIN($U74,270))),Reference!$A$6:$A$11,1)))+(MAX(Reference!$A$6,MIN(Reference!$A$11,MIN($U74,270)))-INDEX(Reference!$A$6:$A$11,MIN(5,MATCH(MAX(Reference!$A$6,MIN(Reference!$A$11,MIN($U74,270))),Reference!$A$6:$A$11,1))))*(INDEX(Reference!$B$6:$B$11,MIN(5,MATCH(MAX(Reference!$A$6,MIN(Reference!$A$11,MIN($U74,270))),Reference!$A$6:$A$11,1))+1)-INDEX(Reference!$B$6:$B$11,MIN(5,MATCH(MAX(Reference!$A$6,MIN(Reference!$A$11,MIN($U74,270))),Reference!$A$6:$A$11,1))))/(INDEX(Reference!$A$6:$A$11,MIN(5,MATCH(MAX(Reference!$A$6,MIN(Reference!$A$11,MIN($U74,270))),Reference!$A$6:$A$11,1))+1)-INDEX(Reference!$A$6:$A$11,MIN(5,MATCH(MAX(Reference!$A$6,MIN(Reference!$A$11,MIN($U74,270))),Reference!$A$6:$A$11,1))))),0)+IF(8&lt;=$AL74,($AL74-8+3)*(INDEX(Reference!$B$6:$B$11,MIN(5,MATCH(MAX(Reference!$A$6,MIN(Reference!$A$11,MIN($U74,300))),Reference!$A$6:$A$11,1)))+(MAX(Reference!$A$6,MIN(Reference!$A$11,MIN($U74,300)))-INDEX(Reference!$A$6:$A$11,MIN(5,MATCH(MAX(Reference!$A$6,MIN(Reference!$A$11,MIN($U74,300))),Reference!$A$6:$A$11,1))))*(INDEX(Reference!$B$6:$B$11,MIN(5,MATCH(MAX(Reference!$A$6,MIN(Reference!$A$11,MIN($U74,300))),Reference!$A$6:$A$11,1))+1)-INDEX(Reference!$B$6:$B$11,MIN(5,MATCH(MAX(Reference!$A$6,MIN(Reference!$A$11,MIN($U74,300))),Reference!$A$6:$A$11,1))))/(INDEX(Reference!$A$6:$A$11,MIN(5,MATCH(MAX(Reference!$A$6,MIN(Reference!$A$11,MIN($U74,300))),Reference!$A$6:$A$11,1))+1)-INDEX(Reference!$A$6:$A$11,MIN(5,MATCH(MAX(Reference!$A$6,MIN(Reference!$A$11,MIN($U74,300))),Reference!$A$6:$A$11,1))))),0))/($AL74*($AL74+5)/2)),$AN74))</f>
        <v>1.3857142857142857</v>
      </c>
      <c r="AN74" s="32">
        <f>IF($U74="",0,(INDEX(Reference!$B$6:$B$11,MIN(5,MATCH(MAX(Reference!$A$6,MIN(Reference!$A$11,$U74)),Reference!$A$6:$A$11,1)))+(MAX(Reference!$A$6,MIN(Reference!$A$11,$U74))-INDEX(Reference!$A$6:$A$11,MIN(5,MATCH(MAX(Reference!$A$6,MIN(Reference!$A$11,$U74)),Reference!$A$6:$A$11,1))))*(INDEX(Reference!$B$6:$B$11,MIN(5,MATCH(MAX(Reference!$A$6,MIN(Reference!$A$11,$U74)),Reference!$A$6:$A$11,1))+1)-INDEX(Reference!$B$6:$B$11,MIN(5,MATCH(MAX(Reference!$A$6,MIN(Reference!$A$11,$U74)),Reference!$A$6:$A$11,1))))/(INDEX(Reference!$A$6:$A$11,MIN(5,MATCH(MAX(Reference!$A$6,MIN(Reference!$A$11,$U74)),Reference!$A$6:$A$11,1))+1)-INDEX(Reference!$A$6:$A$11,MIN(5,MATCH(MAX(Reference!$A$6,MIN(Reference!$A$11,$U74)),Reference!$A$6:$A$11,1))))))</f>
        <v>1.5</v>
      </c>
      <c r="AO74" s="37"/>
      <c r="AP74" s="37"/>
      <c r="AQ74" s="37"/>
    </row>
    <row r="75" spans="1:43" x14ac:dyDescent="0.3">
      <c r="A75" s="48">
        <f t="shared" ref="A75:A106" si="30">IFERROR(IF($L75&gt;$G$4,"",$D$6+$L75),"")</f>
        <v>46339</v>
      </c>
      <c r="B75" s="32" t="str">
        <f t="shared" ref="B75:B106" si="31">IF($A75="","",TEXT($A75,"ddd"))</f>
        <v>Fri</v>
      </c>
      <c r="C75" s="32">
        <f t="shared" ref="C75:C106" si="32">IF($A75="","",$G$4-$L75)</f>
        <v>52</v>
      </c>
      <c r="D75" s="32" t="str">
        <f t="shared" ref="D75:D106" si="33">IF($A75="","",IF($C75=0,"First Bullpen",IF($C75&lt;=7,"Taper",IF($O75&lt;0.2,"Re-entry",IF($O75&lt;0.45,"Base",IF($O75&lt;0.65,"Extension","Flat Ground / Intent"))))))</f>
        <v>Base</v>
      </c>
      <c r="E75" s="32" t="str">
        <f t="shared" ref="E75:E106" si="34">IF($A75="","",IF($AD75,"No Throw",IF($C75=0,"High Bullpen",IF($C75=6,"High Non-Bullpen",IF(OR($C75=4,$C75=2),"Medium",IF($T75="Recovery/Easy Catch","Low",IF($N75=1,IF($O75&lt;0.4,"Low",IF($O75&lt;0.7,"Medium","High Non-Bullpen")),IF($N75=3,IF($O75&lt;0.5,"Medium","High Non-Bullpen"),IF($O75&lt;0.62,"Medium","High Non-Bullpen")))))))))</f>
        <v>Low</v>
      </c>
      <c r="F75" s="32" t="str">
        <f t="shared" ref="F75:F106" si="35">IF($A75="","",IF($AD75,"No Throw",$T75))</f>
        <v>Recovery/Easy Catch</v>
      </c>
      <c r="G75" s="47" t="str">
        <f t="shared" ref="G75:G106" si="36">IF($A75="","",IF($AD75,"Off",IF($AL75&gt;1,"Long toss out to "&amp;$U75&amp;" ft — "&amp;$AB75&amp;" throws ("&amp;IF(1&lt;=$AL75,MIN($U75,90)&amp;"×"&amp;(ROUND($AB75*(1*($AL75+3)-1)/($AL75*($AL75+5)/2),0)-0),"")&amp;IF(2&lt;=$AL75," · "&amp;MIN($U75,120)&amp;"×"&amp;(ROUND($AB75*(2*($AL75+3)-3)/($AL75*($AL75+5)/2),0)-ROUND($AB75*(1*($AL75+3)-1)/($AL75*($AL75+5)/2),0)),"")&amp;IF(3&lt;=$AL75," · "&amp;MIN($U75,150)&amp;"×"&amp;(ROUND($AB75*(3*($AL75+3)-6)/($AL75*($AL75+5)/2),0)-ROUND($AB75*(2*($AL75+3)-3)/($AL75*($AL75+5)/2),0)),"")&amp;IF(4&lt;=$AL75," · "&amp;MIN($U75,180)&amp;"×"&amp;(ROUND($AB75*(4*($AL75+3)-10)/($AL75*($AL75+5)/2),0)-ROUND($AB75*(3*($AL75+3)-6)/($AL75*($AL75+5)/2),0)),"")&amp;IF(5&lt;=$AL75," · "&amp;MIN($U75,210)&amp;"×"&amp;(ROUND($AB75*(5*($AL75+3)-15)/($AL75*($AL75+5)/2),0)-ROUND($AB75*(4*($AL75+3)-10)/($AL75*($AL75+5)/2),0)),"")&amp;IF(6&lt;=$AL75," · "&amp;MIN($U75,240)&amp;"×"&amp;(ROUND($AB75*(6*($AL75+3)-21)/($AL75*($AL75+5)/2),0)-ROUND($AB75*(5*($AL75+3)-15)/($AL75*($AL75+5)/2),0)),"")&amp;IF(7&lt;=$AL75," · "&amp;MIN($U75,270)&amp;"×"&amp;(ROUND($AB75*(7*($AL75+3)-28)/($AL75*($AL75+5)/2),0)-ROUND($AB75*(6*($AL75+3)-21)/($AL75*($AL75+5)/2),0)),"")&amp;IF(8&lt;=$AL75," · "&amp;MIN($U75,300)&amp;"×"&amp;(ROUND($AB75*(8*($AL75+3)-36)/($AL75*($AL75+5)/2),0)-ROUND($AB75*(7*($AL75+3)-28)/($AL75*($AL75+5)/2),0)),"")&amp;")",$U75&amp;" ft × "&amp;$AB75)&amp;" @ "&amp;ROUND($D$5-$W75,0)&amp;"–"&amp;ROUND($D$5-$V75,0)&amp;" mph"&amp;IF($X75&gt;0,IF($Y75&lt;10," + flat ground at 60 ft × "," + 60 ft × ")&amp;$X75&amp;" @ "&amp;ROUND($D$5-$Z75,0)&amp;"–"&amp;ROUND($D$5-$Y75,0)&amp;" mph","")&amp;IF($AC75&gt;0," + MOUND × "&amp;$AC75&amp;" pitches @ "&amp;$D$9&amp;"–"&amp;$E$9&amp;" mph","")))</f>
        <v>60 ft × 20 @ 65–69 mph</v>
      </c>
      <c r="H75" s="30">
        <f t="shared" ref="H75:H106" si="37">IF($A75="","",IF($AD75,0,$AB75*$AF75+$AE75+$AG75))</f>
        <v>12</v>
      </c>
      <c r="I75" s="46">
        <f>IF($A75="","",IF(AND($L75&lt;27,$K$12=0),"Building",IFERROR(((SUM($H$69:$H75)+$K$12*IF($L75&lt;6,SUMIFS('Throw Log'!$Q$5:$Q$300,'Throw Log'!$B$5:$B$300,$D$4,'Throw Log'!$A$5:$A$300,"&gt;="&amp;($D$6+$L75-6),'Throw Log'!$A$5:$A$300,"&lt;="&amp;($D$6-1)),0))/7)/((SUM($H$48:$H75)+$K$12*IF($L75&lt;27,SUMIFS('Throw Log'!$Q$5:$Q$300,'Throw Log'!$B$5:$B$300,$D$4,'Throw Log'!$A$5:$A$300,"&gt;="&amp;($D$6+$L75-27),'Throw Log'!$A$5:$A$300,"&lt;="&amp;($D$6-1)),0))/28),"")))</f>
        <v>1.1906113907584412</v>
      </c>
      <c r="J75" s="37"/>
      <c r="K75" s="37">
        <v>20</v>
      </c>
      <c r="L75" s="32">
        <v>32</v>
      </c>
      <c r="M75" s="32">
        <f t="shared" ref="M75:M106" si="38">INT($L75/7)+1</f>
        <v>5</v>
      </c>
      <c r="N75" s="32">
        <f t="shared" ref="N75:N106" si="39">MOD($L75,7)</f>
        <v>4</v>
      </c>
      <c r="O75" s="32">
        <f t="shared" ref="O75:O106" si="40">MIN(1,$G$7+(1-$G$7)*$L75/MAX(1,N($G$4)-8))</f>
        <v>0.42105263157894735</v>
      </c>
      <c r="P75" s="32">
        <f>IF(OR($A75="",N($C75)&lt;=7),"",$G$6*$G$9^($M75-1)*IF(AND(MOD($M75,Reference!$B$99)=0,$M75&lt;=$G$5-2),Reference!$B$100,1))</f>
        <v>128.18680745325557</v>
      </c>
      <c r="Q75" s="32">
        <f>IF($P75="","",IF(SUM($AK$71:$AK$77)=0,0,$P75*INDEX(Reference!$B$108:$B$114,$N75+1)/SUM($AK$71:$AK$77)))</f>
        <v>12.818680745325558</v>
      </c>
      <c r="R75" s="32">
        <f t="shared" ref="R75:R106" si="41">ROUND((60+($D$11-60)*MIN(1,$O75/0.75))/15,0)*15</f>
        <v>120</v>
      </c>
      <c r="S75" s="32">
        <f t="shared" ref="S75:S106" si="42">ROUND((60+($R75-60)*0.8)/15,0)*15</f>
        <v>105</v>
      </c>
      <c r="T75" s="32" t="str">
        <f>IF($A75="","",IF($C75=0,"Bullpen",IF(OR($C75=7,$C75=1,$C75=5),"Recovery/Easy Catch",IF($C75=6,"Compression/Pulldowns",IF(OR($C75=4,$C75=2),"Long Toss",IF($C75=3,"No Throw",IF($N75=2,"No Throw",IF($N75=6,IF($O75&lt;Reference!$B$104,"No Throw","Recovery/Easy Catch"),IF(OR($N75=0,$N75=4),"Recovery/Easy Catch",IF($N75=1,IF($R75&gt;75,"Long Toss","Recovery/Easy Catch"),IF($N75=3,IF($O75&lt;0.5,IF($S75&gt;75,"Long Toss","Recovery/Easy Catch"),"Compression/Pulldowns"),IF($S75&gt;75,"Long Toss","Recovery/Easy Catch"))))))))))))</f>
        <v>Recovery/Easy Catch</v>
      </c>
      <c r="U75" s="32">
        <f t="shared" ref="U75:U106" si="43">IF($A75="","",IF(N($AO75)&gt;0,$AO75,IF($C75=0,90,IF(OR($C75=7,$C75=1),75,IF($C75=6,90,IF($C75=5,60,IF($C75=4,MIN(150,ROUND(0.75*$D$11/15,0)*15),IF($C75=2,MIN(120,ROUND(0.67*$D$11/15,0)*15),IF($C75=3,"",IF($N75=2,"",IF($N75=6,60,IF($N75=0,IF($O75&lt;0.25,60,75),IF($N75=4,IF($O75&lt;0.5,60,75),IF($N75=1,$R75,IF($N75=3,IF($O75&lt;0.5,$S75,90),$S75)))))))))))))))</f>
        <v>60</v>
      </c>
      <c r="V75" s="32">
        <f t="shared" ref="V75:V106" si="44">IF($A75="","",IF(N($AQ75)&gt;0,$D$5-$AQ75,IF(N($AP75)&gt;0,$D$5-$AP75,IF($C75=0,10,IF(OR($C75=7,$C75=1),18,IF($C75=6,7,IF($C75=5,20,IF(OR($C75=4,$C75=2),10,IF($C75=3,"",IF($N75=2,"",IF($N75=6,20,IF($N75=0,IF($O75&lt;0.25,20,18),IF($N75=4,IF($O75&lt;0.5,20,18),IF($N75=1,IF($O75&lt;0.25,18,IF($O75&lt;0.5,13,10)),IF($N75=3,IF($O75&lt;0.5,IF($O75&lt;0.25,18,13),7),IF($O75&lt;0.25,18,IF($O75&lt;0.5,12,10)))))))))))))))))</f>
        <v>20</v>
      </c>
      <c r="W75" s="32">
        <f t="shared" ref="W75:W106" si="45">IF($A75="","",IF(N($AP75)&gt;0,$D$5-$AP75,IF(N($AQ75)&gt;0,$D$5-$AQ75,IF($C75=0,12,IF(OR($C75=7,$C75=1),22,IF($C75=6,9,IF($C75=5,24,IF(OR($C75=4,$C75=2),13,IF($C75=3,"",IF($N75=2,"",IF($N75=6,24,IF($N75=0,IF($O75&lt;0.25,24,22),IF($N75=4,IF($O75&lt;0.5,24,22),IF($N75=1,IF($O75&lt;0.25,22,IF($O75&lt;0.5,16,12)),IF($N75=3,IF($O75&lt;0.5,IF($O75&lt;0.25,22,16),9),IF($O75&lt;0.25,22,IF($O75&lt;0.5,15,13)))))))))))))))))</f>
        <v>24</v>
      </c>
      <c r="X75" s="32">
        <f t="shared" ref="X75:X106" si="46">IF($A75="",0,IF($C75=6,ROUND(25*$G$10,0),IF(OR($C75=4,$C75=2),ROUND(15*$G$10,0),IF($C75&lt;=7,0,IF($N75=1,IF($O75&lt;0.2,0,IF($O75&lt;0.5,10,15)),IF($N75=3,IF($O75&lt;0.5,IF($O75&lt;0.2,0,10),IF($O75&lt;0.62,15,IF($O75&lt;0.8,20,25))),IF($N75=5,IF($O75&lt;0.2,0,IF($O75&lt;0.62,12,IF($O75&lt;0.8,20,25))),0)))))))</f>
        <v>0</v>
      </c>
      <c r="Y75" s="32" t="str">
        <f t="shared" ref="Y75:Y106" si="47">IF($X75=0,"",IF($C75=6,$D$5-$E$9,IF(OR($C75=4,$C75=2),8,IF($N75=1,IF($O75&lt;0.5,14,10),IF($N75=3,IF($O75&lt;0.5,14,IF($O75&lt;0.62,10,7)),IF($N75=5,IF($O75&lt;0.5,14,IF($O75&lt;0.62,12,7)),""))))))</f>
        <v/>
      </c>
      <c r="Z75" s="32" t="str">
        <f t="shared" ref="Z75:Z106" si="48">IF($X75=0,"",IF($C75=6,$D$5-$D$9,IF(OR($C75=4,$C75=2),10,IF($N75=1,IF($O75&lt;0.5,18,12),IF($N75=3,IF($O75&lt;0.5,18,IF($O75&lt;0.62,12,9)),IF($N75=5,IF($O75&lt;0.5,18,IF($O75&lt;0.62,15,9)),""))))))</f>
        <v/>
      </c>
      <c r="AA75" s="32" t="str">
        <f t="shared" ref="AA75:AA106" si="49">IF($A75="","",IF($C75=0,25,IF(OR($C75=7,$C75=1,$C75=5),30,IF($C75=6,25,IF(OR($C75=4,$C75=2),IF($AM75=0,30,30*$AN75/$AM75),"")))))</f>
        <v/>
      </c>
      <c r="AB75" s="32">
        <f>IF($A75="","",IF($T75="No Throw",0,IF($K75&lt;&gt;"",$K75,IF($AA75&lt;&gt;"",ROUND($AA75*$D$12*IF($C75=0,1,$G$10),0),MIN(IF($T75="Recovery/Easy Catch",Reference!$B$103,IF($T75="Long Toss",Reference!$B$106,Reference!$B$102)),MAX(Reference!$B$101,ROUND(MAX(0,$Q75-$AE75)/$AF75,0)))))))</f>
        <v>20</v>
      </c>
      <c r="AC75" s="32">
        <f t="shared" ref="AC75:AC106" si="50">IF($A75="",0,IF($C75=0,$D$8,0))</f>
        <v>0</v>
      </c>
      <c r="AD75" s="32" t="b">
        <f t="shared" ref="AD75:AD106" si="51">IF($A75="",TRUE(),OR($J75="x",$T75="No Throw"))</f>
        <v>0</v>
      </c>
      <c r="AE75" s="32">
        <f>IF($X75=0,0,$X75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75+$Z75)/2,0),Reference!$A$17:$B$20,2,TRUE()))</f>
        <v>0</v>
      </c>
      <c r="AF75" s="32">
        <f>IF(OR($A75="",$U75="",$T75="No Throw"),0,$AM75*VLOOKUP(MAX(($V75+$W75)/2,0),Reference!$A$17:$B$20,2,TRUE()))</f>
        <v>0.6</v>
      </c>
      <c r="AG75" s="32">
        <f>IF($AC75=0,0,$AC75*INDEX(Reference!$B$61:$B$62,MATCH("Bullpen",Reference!$A$61:$A$62,0))*VLOOKUP(MAX($D$5-($D$9+$E$9)/2,0),Reference!$A$17:$B$20,2,TRUE()))</f>
        <v>0</v>
      </c>
      <c r="AH75" s="46">
        <f t="shared" ref="AH75:AH106" si="52">IF(OR($A75="",$L75&lt;27),NA(),$I75)</f>
        <v>1.1906113907584412</v>
      </c>
      <c r="AI75" s="32">
        <f>IF($A75="",NA(),Reference!$A$25)</f>
        <v>0.8</v>
      </c>
      <c r="AJ75" s="32">
        <f t="shared" ref="AJ75:AJ106" si="53">IF($A75="",NA(),1.3)</f>
        <v>1.3</v>
      </c>
      <c r="AK75" s="56">
        <f>IF(OR($A75="",N($C75)&lt;=7,$T75="No Throw",$J75="x"),0,INDEX(Reference!$B$108:$B$114,$N75+1))</f>
        <v>0.1</v>
      </c>
      <c r="AL75" s="32">
        <f t="shared" ref="AL75:AL106" si="54">IF($U75="",1,IF(AND($T75="Long Toss",N($U75)&gt;90),1+ROUNDUP(($U75-90)/30,0),1))</f>
        <v>1</v>
      </c>
      <c r="AM75" s="32">
        <f>IF($U75="",0,IF($AL75&gt;1,((IF(1&lt;=$AL75,($AL75-1+3)*(INDEX(Reference!$B$6:$B$11,MIN(5,MATCH(MAX(Reference!$A$6,MIN(Reference!$A$11,MIN($U75,90))),Reference!$A$6:$A$11,1)))+(MAX(Reference!$A$6,MIN(Reference!$A$11,MIN($U75,90)))-INDEX(Reference!$A$6:$A$11,MIN(5,MATCH(MAX(Reference!$A$6,MIN(Reference!$A$11,MIN($U75,90))),Reference!$A$6:$A$11,1))))*(INDEX(Reference!$B$6:$B$11,MIN(5,MATCH(MAX(Reference!$A$6,MIN(Reference!$A$11,MIN($U75,90))),Reference!$A$6:$A$11,1))+1)-INDEX(Reference!$B$6:$B$11,MIN(5,MATCH(MAX(Reference!$A$6,MIN(Reference!$A$11,MIN($U75,90))),Reference!$A$6:$A$11,1))))/(INDEX(Reference!$A$6:$A$11,MIN(5,MATCH(MAX(Reference!$A$6,MIN(Reference!$A$11,MIN($U75,90))),Reference!$A$6:$A$11,1))+1)-INDEX(Reference!$A$6:$A$11,MIN(5,MATCH(MAX(Reference!$A$6,MIN(Reference!$A$11,MIN($U75,90))),Reference!$A$6:$A$11,1))))),0)+IF(2&lt;=$AL75,($AL75-2+3)*(INDEX(Reference!$B$6:$B$11,MIN(5,MATCH(MAX(Reference!$A$6,MIN(Reference!$A$11,MIN($U75,120))),Reference!$A$6:$A$11,1)))+(MAX(Reference!$A$6,MIN(Reference!$A$11,MIN($U75,120)))-INDEX(Reference!$A$6:$A$11,MIN(5,MATCH(MAX(Reference!$A$6,MIN(Reference!$A$11,MIN($U75,120))),Reference!$A$6:$A$11,1))))*(INDEX(Reference!$B$6:$B$11,MIN(5,MATCH(MAX(Reference!$A$6,MIN(Reference!$A$11,MIN($U75,120))),Reference!$A$6:$A$11,1))+1)-INDEX(Reference!$B$6:$B$11,MIN(5,MATCH(MAX(Reference!$A$6,MIN(Reference!$A$11,MIN($U75,120))),Reference!$A$6:$A$11,1))))/(INDEX(Reference!$A$6:$A$11,MIN(5,MATCH(MAX(Reference!$A$6,MIN(Reference!$A$11,MIN($U75,120))),Reference!$A$6:$A$11,1))+1)-INDEX(Reference!$A$6:$A$11,MIN(5,MATCH(MAX(Reference!$A$6,MIN(Reference!$A$11,MIN($U75,120))),Reference!$A$6:$A$11,1))))),0)+IF(3&lt;=$AL75,($AL75-3+3)*(INDEX(Reference!$B$6:$B$11,MIN(5,MATCH(MAX(Reference!$A$6,MIN(Reference!$A$11,MIN($U75,150))),Reference!$A$6:$A$11,1)))+(MAX(Reference!$A$6,MIN(Reference!$A$11,MIN($U75,150)))-INDEX(Reference!$A$6:$A$11,MIN(5,MATCH(MAX(Reference!$A$6,MIN(Reference!$A$11,MIN($U75,150))),Reference!$A$6:$A$11,1))))*(INDEX(Reference!$B$6:$B$11,MIN(5,MATCH(MAX(Reference!$A$6,MIN(Reference!$A$11,MIN($U75,150))),Reference!$A$6:$A$11,1))+1)-INDEX(Reference!$B$6:$B$11,MIN(5,MATCH(MAX(Reference!$A$6,MIN(Reference!$A$11,MIN($U75,150))),Reference!$A$6:$A$11,1))))/(INDEX(Reference!$A$6:$A$11,MIN(5,MATCH(MAX(Reference!$A$6,MIN(Reference!$A$11,MIN($U75,150))),Reference!$A$6:$A$11,1))+1)-INDEX(Reference!$A$6:$A$11,MIN(5,MATCH(MAX(Reference!$A$6,MIN(Reference!$A$11,MIN($U75,150))),Reference!$A$6:$A$11,1))))),0)+IF(4&lt;=$AL75,($AL75-4+3)*(INDEX(Reference!$B$6:$B$11,MIN(5,MATCH(MAX(Reference!$A$6,MIN(Reference!$A$11,MIN($U75,180))),Reference!$A$6:$A$11,1)))+(MAX(Reference!$A$6,MIN(Reference!$A$11,MIN($U75,180)))-INDEX(Reference!$A$6:$A$11,MIN(5,MATCH(MAX(Reference!$A$6,MIN(Reference!$A$11,MIN($U75,180))),Reference!$A$6:$A$11,1))))*(INDEX(Reference!$B$6:$B$11,MIN(5,MATCH(MAX(Reference!$A$6,MIN(Reference!$A$11,MIN($U75,180))),Reference!$A$6:$A$11,1))+1)-INDEX(Reference!$B$6:$B$11,MIN(5,MATCH(MAX(Reference!$A$6,MIN(Reference!$A$11,MIN($U75,180))),Reference!$A$6:$A$11,1))))/(INDEX(Reference!$A$6:$A$11,MIN(5,MATCH(MAX(Reference!$A$6,MIN(Reference!$A$11,MIN($U75,180))),Reference!$A$6:$A$11,1))+1)-INDEX(Reference!$A$6:$A$11,MIN(5,MATCH(MAX(Reference!$A$6,MIN(Reference!$A$11,MIN($U75,180))),Reference!$A$6:$A$11,1))))),0)+IF(5&lt;=$AL75,($AL75-5+3)*(INDEX(Reference!$B$6:$B$11,MIN(5,MATCH(MAX(Reference!$A$6,MIN(Reference!$A$11,MIN($U75,210))),Reference!$A$6:$A$11,1)))+(MAX(Reference!$A$6,MIN(Reference!$A$11,MIN($U75,210)))-INDEX(Reference!$A$6:$A$11,MIN(5,MATCH(MAX(Reference!$A$6,MIN(Reference!$A$11,MIN($U75,210))),Reference!$A$6:$A$11,1))))*(INDEX(Reference!$B$6:$B$11,MIN(5,MATCH(MAX(Reference!$A$6,MIN(Reference!$A$11,MIN($U75,210))),Reference!$A$6:$A$11,1))+1)-INDEX(Reference!$B$6:$B$11,MIN(5,MATCH(MAX(Reference!$A$6,MIN(Reference!$A$11,MIN($U75,210))),Reference!$A$6:$A$11,1))))/(INDEX(Reference!$A$6:$A$11,MIN(5,MATCH(MAX(Reference!$A$6,MIN(Reference!$A$11,MIN($U75,210))),Reference!$A$6:$A$11,1))+1)-INDEX(Reference!$A$6:$A$11,MIN(5,MATCH(MAX(Reference!$A$6,MIN(Reference!$A$11,MIN($U75,210))),Reference!$A$6:$A$11,1))))),0)+IF(6&lt;=$AL75,($AL75-6+3)*(INDEX(Reference!$B$6:$B$11,MIN(5,MATCH(MAX(Reference!$A$6,MIN(Reference!$A$11,MIN($U75,240))),Reference!$A$6:$A$11,1)))+(MAX(Reference!$A$6,MIN(Reference!$A$11,MIN($U75,240)))-INDEX(Reference!$A$6:$A$11,MIN(5,MATCH(MAX(Reference!$A$6,MIN(Reference!$A$11,MIN($U75,240))),Reference!$A$6:$A$11,1))))*(INDEX(Reference!$B$6:$B$11,MIN(5,MATCH(MAX(Reference!$A$6,MIN(Reference!$A$11,MIN($U75,240))),Reference!$A$6:$A$11,1))+1)-INDEX(Reference!$B$6:$B$11,MIN(5,MATCH(MAX(Reference!$A$6,MIN(Reference!$A$11,MIN($U75,240))),Reference!$A$6:$A$11,1))))/(INDEX(Reference!$A$6:$A$11,MIN(5,MATCH(MAX(Reference!$A$6,MIN(Reference!$A$11,MIN($U75,240))),Reference!$A$6:$A$11,1))+1)-INDEX(Reference!$A$6:$A$11,MIN(5,MATCH(MAX(Reference!$A$6,MIN(Reference!$A$11,MIN($U75,240))),Reference!$A$6:$A$11,1))))),0)+IF(7&lt;=$AL75,($AL75-7+3)*(INDEX(Reference!$B$6:$B$11,MIN(5,MATCH(MAX(Reference!$A$6,MIN(Reference!$A$11,MIN($U75,270))),Reference!$A$6:$A$11,1)))+(MAX(Reference!$A$6,MIN(Reference!$A$11,MIN($U75,270)))-INDEX(Reference!$A$6:$A$11,MIN(5,MATCH(MAX(Reference!$A$6,MIN(Reference!$A$11,MIN($U75,270))),Reference!$A$6:$A$11,1))))*(INDEX(Reference!$B$6:$B$11,MIN(5,MATCH(MAX(Reference!$A$6,MIN(Reference!$A$11,MIN($U75,270))),Reference!$A$6:$A$11,1))+1)-INDEX(Reference!$B$6:$B$11,MIN(5,MATCH(MAX(Reference!$A$6,MIN(Reference!$A$11,MIN($U75,270))),Reference!$A$6:$A$11,1))))/(INDEX(Reference!$A$6:$A$11,MIN(5,MATCH(MAX(Reference!$A$6,MIN(Reference!$A$11,MIN($U75,270))),Reference!$A$6:$A$11,1))+1)-INDEX(Reference!$A$6:$A$11,MIN(5,MATCH(MAX(Reference!$A$6,MIN(Reference!$A$11,MIN($U75,270))),Reference!$A$6:$A$11,1))))),0)+IF(8&lt;=$AL75,($AL75-8+3)*(INDEX(Reference!$B$6:$B$11,MIN(5,MATCH(MAX(Reference!$A$6,MIN(Reference!$A$11,MIN($U75,300))),Reference!$A$6:$A$11,1)))+(MAX(Reference!$A$6,MIN(Reference!$A$11,MIN($U75,300)))-INDEX(Reference!$A$6:$A$11,MIN(5,MATCH(MAX(Reference!$A$6,MIN(Reference!$A$11,MIN($U75,300))),Reference!$A$6:$A$11,1))))*(INDEX(Reference!$B$6:$B$11,MIN(5,MATCH(MAX(Reference!$A$6,MIN(Reference!$A$11,MIN($U75,300))),Reference!$A$6:$A$11,1))+1)-INDEX(Reference!$B$6:$B$11,MIN(5,MATCH(MAX(Reference!$A$6,MIN(Reference!$A$11,MIN($U75,300))),Reference!$A$6:$A$11,1))))/(INDEX(Reference!$A$6:$A$11,MIN(5,MATCH(MAX(Reference!$A$6,MIN(Reference!$A$11,MIN($U75,300))),Reference!$A$6:$A$11,1))+1)-INDEX(Reference!$A$6:$A$11,MIN(5,MATCH(MAX(Reference!$A$6,MIN(Reference!$A$11,MIN($U75,300))),Reference!$A$6:$A$11,1))))),0))/($AL75*($AL75+5)/2)),$AN75))</f>
        <v>1</v>
      </c>
      <c r="AN75" s="32">
        <f>IF($U75="",0,(INDEX(Reference!$B$6:$B$11,MIN(5,MATCH(MAX(Reference!$A$6,MIN(Reference!$A$11,$U75)),Reference!$A$6:$A$11,1)))+(MAX(Reference!$A$6,MIN(Reference!$A$11,$U75))-INDEX(Reference!$A$6:$A$11,MIN(5,MATCH(MAX(Reference!$A$6,MIN(Reference!$A$11,$U75)),Reference!$A$6:$A$11,1))))*(INDEX(Reference!$B$6:$B$11,MIN(5,MATCH(MAX(Reference!$A$6,MIN(Reference!$A$11,$U75)),Reference!$A$6:$A$11,1))+1)-INDEX(Reference!$B$6:$B$11,MIN(5,MATCH(MAX(Reference!$A$6,MIN(Reference!$A$11,$U75)),Reference!$A$6:$A$11,1))))/(INDEX(Reference!$A$6:$A$11,MIN(5,MATCH(MAX(Reference!$A$6,MIN(Reference!$A$11,$U75)),Reference!$A$6:$A$11,1))+1)-INDEX(Reference!$A$6:$A$11,MIN(5,MATCH(MAX(Reference!$A$6,MIN(Reference!$A$11,$U75)),Reference!$A$6:$A$11,1))))))</f>
        <v>1</v>
      </c>
      <c r="AO75" s="37"/>
      <c r="AP75" s="37"/>
      <c r="AQ75" s="37"/>
    </row>
    <row r="76" spans="1:43" ht="26.4" x14ac:dyDescent="0.3">
      <c r="A76" s="48">
        <f t="shared" si="30"/>
        <v>46340</v>
      </c>
      <c r="B76" s="32" t="str">
        <f t="shared" si="31"/>
        <v>Sat</v>
      </c>
      <c r="C76" s="32">
        <f t="shared" si="32"/>
        <v>51</v>
      </c>
      <c r="D76" s="32" t="str">
        <f t="shared" si="33"/>
        <v>Base</v>
      </c>
      <c r="E76" s="32" t="str">
        <f t="shared" si="34"/>
        <v>Medium</v>
      </c>
      <c r="F76" s="32" t="str">
        <f t="shared" si="35"/>
        <v>Long Toss</v>
      </c>
      <c r="G76" s="47" t="str">
        <f t="shared" si="36"/>
        <v>Long toss out to 120 ft — 25 throws (90×14 · 120×11) @ 74–77 mph + 60 ft × 12 @ 71–75 mph</v>
      </c>
      <c r="H76" s="30">
        <f t="shared" si="37"/>
        <v>29.271428571428572</v>
      </c>
      <c r="I76" s="46">
        <f>IF($A76="","",IF(AND($L76&lt;27,$K$12=0),"Building",IFERROR(((SUM($H$70:$H76)+$K$12*IF($L76&lt;6,SUMIFS('Throw Log'!$Q$5:$Q$300,'Throw Log'!$B$5:$B$300,$D$4,'Throw Log'!$A$5:$A$300,"&gt;="&amp;($D$6+$L76-6),'Throw Log'!$A$5:$A$300,"&lt;="&amp;($D$6-1)),0))/7)/((SUM($H$49:$H76)+$K$12*IF($L76&lt;27,SUMIFS('Throw Log'!$Q$5:$Q$300,'Throw Log'!$B$5:$B$300,$D$4,'Throw Log'!$A$5:$A$300,"&gt;="&amp;($D$6+$L76-27),'Throw Log'!$A$5:$A$300,"&lt;="&amp;($D$6-1)),0))/28),"")))</f>
        <v>1.1341208589279153</v>
      </c>
      <c r="J76" s="37"/>
      <c r="K76" s="37">
        <v>25</v>
      </c>
      <c r="L76" s="32">
        <v>33</v>
      </c>
      <c r="M76" s="32">
        <f t="shared" si="38"/>
        <v>5</v>
      </c>
      <c r="N76" s="32">
        <f t="shared" si="39"/>
        <v>5</v>
      </c>
      <c r="O76" s="32">
        <f t="shared" si="40"/>
        <v>0.43421052631578949</v>
      </c>
      <c r="P76" s="32">
        <f>IF(OR($A76="",N($C76)&lt;=7),"",$G$6*$G$9^($M76-1)*IF(AND(MOD($M76,Reference!$B$99)=0,$M76&lt;=$G$5-2),Reference!$B$100,1))</f>
        <v>128.18680745325557</v>
      </c>
      <c r="Q76" s="32">
        <f>IF($P76="","",IF(SUM($AK$71:$AK$77)=0,0,$P76*INDEX(Reference!$B$108:$B$114,$N76+1)/SUM($AK$71:$AK$77)))</f>
        <v>34.610438012379007</v>
      </c>
      <c r="R76" s="32">
        <f t="shared" si="41"/>
        <v>135</v>
      </c>
      <c r="S76" s="32">
        <f t="shared" si="42"/>
        <v>120</v>
      </c>
      <c r="T76" s="32" t="str">
        <f>IF($A76="","",IF($C76=0,"Bullpen",IF(OR($C76=7,$C76=1,$C76=5),"Recovery/Easy Catch",IF($C76=6,"Compression/Pulldowns",IF(OR($C76=4,$C76=2),"Long Toss",IF($C76=3,"No Throw",IF($N76=2,"No Throw",IF($N76=6,IF($O76&lt;Reference!$B$104,"No Throw","Recovery/Easy Catch"),IF(OR($N76=0,$N76=4),"Recovery/Easy Catch",IF($N76=1,IF($R76&gt;75,"Long Toss","Recovery/Easy Catch"),IF($N76=3,IF($O76&lt;0.5,IF($S76&gt;75,"Long Toss","Recovery/Easy Catch"),"Compression/Pulldowns"),IF($S76&gt;75,"Long Toss","Recovery/Easy Catch"))))))))))))</f>
        <v>Long Toss</v>
      </c>
      <c r="U76" s="32">
        <f t="shared" si="43"/>
        <v>120</v>
      </c>
      <c r="V76" s="32">
        <f t="shared" si="44"/>
        <v>12</v>
      </c>
      <c r="W76" s="32">
        <f t="shared" si="45"/>
        <v>15</v>
      </c>
      <c r="X76" s="32">
        <f t="shared" si="46"/>
        <v>12</v>
      </c>
      <c r="Y76" s="32">
        <f t="shared" si="47"/>
        <v>14</v>
      </c>
      <c r="Z76" s="32">
        <f t="shared" si="48"/>
        <v>18</v>
      </c>
      <c r="AA76" s="32" t="str">
        <f t="shared" si="49"/>
        <v/>
      </c>
      <c r="AB76" s="32">
        <f>IF($A76="","",IF($T76="No Throw",0,IF($K76&lt;&gt;"",$K76,IF($AA76&lt;&gt;"",ROUND($AA76*$D$12*IF($C76=0,1,$G$10),0),MIN(IF($T76="Recovery/Easy Catch",Reference!$B$103,IF($T76="Long Toss",Reference!$B$106,Reference!$B$102)),MAX(Reference!$B$101,ROUND(MAX(0,$Q76-$AE76)/$AF76,0)))))))</f>
        <v>25</v>
      </c>
      <c r="AC76" s="32">
        <f t="shared" si="50"/>
        <v>0</v>
      </c>
      <c r="AD76" s="32" t="b">
        <f t="shared" si="51"/>
        <v>0</v>
      </c>
      <c r="AE76" s="32">
        <f>IF($X76=0,0,$X76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76+$Z76)/2,0),Reference!$A$17:$B$20,2,TRUE()))</f>
        <v>7.1999999999999993</v>
      </c>
      <c r="AF76" s="32">
        <f>IF(OR($A76="",$U76="",$T76="No Throw"),0,$AM76*VLOOKUP(MAX(($V76+$W76)/2,0),Reference!$A$17:$B$20,2,TRUE()))</f>
        <v>0.8828571428571429</v>
      </c>
      <c r="AG76" s="32">
        <f>IF($AC76=0,0,$AC76*INDEX(Reference!$B$61:$B$62,MATCH("Bullpen",Reference!$A$61:$A$62,0))*VLOOKUP(MAX($D$5-($D$9+$E$9)/2,0),Reference!$A$17:$B$20,2,TRUE()))</f>
        <v>0</v>
      </c>
      <c r="AH76" s="46">
        <f t="shared" si="52"/>
        <v>1.1341208589279153</v>
      </c>
      <c r="AI76" s="32">
        <f>IF($A76="",NA(),Reference!$A$25)</f>
        <v>0.8</v>
      </c>
      <c r="AJ76" s="32">
        <f t="shared" si="53"/>
        <v>1.3</v>
      </c>
      <c r="AK76" s="56">
        <f>IF(OR($A76="",N($C76)&lt;=7,$T76="No Throw",$J76="x"),0,INDEX(Reference!$B$108:$B$114,$N76+1))</f>
        <v>0.27</v>
      </c>
      <c r="AL76" s="32">
        <f t="shared" si="54"/>
        <v>2</v>
      </c>
      <c r="AM76" s="32">
        <f>IF($U76="",0,IF($AL76&gt;1,((IF(1&lt;=$AL76,($AL76-1+3)*(INDEX(Reference!$B$6:$B$11,MIN(5,MATCH(MAX(Reference!$A$6,MIN(Reference!$A$11,MIN($U76,90))),Reference!$A$6:$A$11,1)))+(MAX(Reference!$A$6,MIN(Reference!$A$11,MIN($U76,90)))-INDEX(Reference!$A$6:$A$11,MIN(5,MATCH(MAX(Reference!$A$6,MIN(Reference!$A$11,MIN($U76,90))),Reference!$A$6:$A$11,1))))*(INDEX(Reference!$B$6:$B$11,MIN(5,MATCH(MAX(Reference!$A$6,MIN(Reference!$A$11,MIN($U76,90))),Reference!$A$6:$A$11,1))+1)-INDEX(Reference!$B$6:$B$11,MIN(5,MATCH(MAX(Reference!$A$6,MIN(Reference!$A$11,MIN($U76,90))),Reference!$A$6:$A$11,1))))/(INDEX(Reference!$A$6:$A$11,MIN(5,MATCH(MAX(Reference!$A$6,MIN(Reference!$A$11,MIN($U76,90))),Reference!$A$6:$A$11,1))+1)-INDEX(Reference!$A$6:$A$11,MIN(5,MATCH(MAX(Reference!$A$6,MIN(Reference!$A$11,MIN($U76,90))),Reference!$A$6:$A$11,1))))),0)+IF(2&lt;=$AL76,($AL76-2+3)*(INDEX(Reference!$B$6:$B$11,MIN(5,MATCH(MAX(Reference!$A$6,MIN(Reference!$A$11,MIN($U76,120))),Reference!$A$6:$A$11,1)))+(MAX(Reference!$A$6,MIN(Reference!$A$11,MIN($U76,120)))-INDEX(Reference!$A$6:$A$11,MIN(5,MATCH(MAX(Reference!$A$6,MIN(Reference!$A$11,MIN($U76,120))),Reference!$A$6:$A$11,1))))*(INDEX(Reference!$B$6:$B$11,MIN(5,MATCH(MAX(Reference!$A$6,MIN(Reference!$A$11,MIN($U76,120))),Reference!$A$6:$A$11,1))+1)-INDEX(Reference!$B$6:$B$11,MIN(5,MATCH(MAX(Reference!$A$6,MIN(Reference!$A$11,MIN($U76,120))),Reference!$A$6:$A$11,1))))/(INDEX(Reference!$A$6:$A$11,MIN(5,MATCH(MAX(Reference!$A$6,MIN(Reference!$A$11,MIN($U76,120))),Reference!$A$6:$A$11,1))+1)-INDEX(Reference!$A$6:$A$11,MIN(5,MATCH(MAX(Reference!$A$6,MIN(Reference!$A$11,MIN($U76,120))),Reference!$A$6:$A$11,1))))),0)+IF(3&lt;=$AL76,($AL76-3+3)*(INDEX(Reference!$B$6:$B$11,MIN(5,MATCH(MAX(Reference!$A$6,MIN(Reference!$A$11,MIN($U76,150))),Reference!$A$6:$A$11,1)))+(MAX(Reference!$A$6,MIN(Reference!$A$11,MIN($U76,150)))-INDEX(Reference!$A$6:$A$11,MIN(5,MATCH(MAX(Reference!$A$6,MIN(Reference!$A$11,MIN($U76,150))),Reference!$A$6:$A$11,1))))*(INDEX(Reference!$B$6:$B$11,MIN(5,MATCH(MAX(Reference!$A$6,MIN(Reference!$A$11,MIN($U76,150))),Reference!$A$6:$A$11,1))+1)-INDEX(Reference!$B$6:$B$11,MIN(5,MATCH(MAX(Reference!$A$6,MIN(Reference!$A$11,MIN($U76,150))),Reference!$A$6:$A$11,1))))/(INDEX(Reference!$A$6:$A$11,MIN(5,MATCH(MAX(Reference!$A$6,MIN(Reference!$A$11,MIN($U76,150))),Reference!$A$6:$A$11,1))+1)-INDEX(Reference!$A$6:$A$11,MIN(5,MATCH(MAX(Reference!$A$6,MIN(Reference!$A$11,MIN($U76,150))),Reference!$A$6:$A$11,1))))),0)+IF(4&lt;=$AL76,($AL76-4+3)*(INDEX(Reference!$B$6:$B$11,MIN(5,MATCH(MAX(Reference!$A$6,MIN(Reference!$A$11,MIN($U76,180))),Reference!$A$6:$A$11,1)))+(MAX(Reference!$A$6,MIN(Reference!$A$11,MIN($U76,180)))-INDEX(Reference!$A$6:$A$11,MIN(5,MATCH(MAX(Reference!$A$6,MIN(Reference!$A$11,MIN($U76,180))),Reference!$A$6:$A$11,1))))*(INDEX(Reference!$B$6:$B$11,MIN(5,MATCH(MAX(Reference!$A$6,MIN(Reference!$A$11,MIN($U76,180))),Reference!$A$6:$A$11,1))+1)-INDEX(Reference!$B$6:$B$11,MIN(5,MATCH(MAX(Reference!$A$6,MIN(Reference!$A$11,MIN($U76,180))),Reference!$A$6:$A$11,1))))/(INDEX(Reference!$A$6:$A$11,MIN(5,MATCH(MAX(Reference!$A$6,MIN(Reference!$A$11,MIN($U76,180))),Reference!$A$6:$A$11,1))+1)-INDEX(Reference!$A$6:$A$11,MIN(5,MATCH(MAX(Reference!$A$6,MIN(Reference!$A$11,MIN($U76,180))),Reference!$A$6:$A$11,1))))),0)+IF(5&lt;=$AL76,($AL76-5+3)*(INDEX(Reference!$B$6:$B$11,MIN(5,MATCH(MAX(Reference!$A$6,MIN(Reference!$A$11,MIN($U76,210))),Reference!$A$6:$A$11,1)))+(MAX(Reference!$A$6,MIN(Reference!$A$11,MIN($U76,210)))-INDEX(Reference!$A$6:$A$11,MIN(5,MATCH(MAX(Reference!$A$6,MIN(Reference!$A$11,MIN($U76,210))),Reference!$A$6:$A$11,1))))*(INDEX(Reference!$B$6:$B$11,MIN(5,MATCH(MAX(Reference!$A$6,MIN(Reference!$A$11,MIN($U76,210))),Reference!$A$6:$A$11,1))+1)-INDEX(Reference!$B$6:$B$11,MIN(5,MATCH(MAX(Reference!$A$6,MIN(Reference!$A$11,MIN($U76,210))),Reference!$A$6:$A$11,1))))/(INDEX(Reference!$A$6:$A$11,MIN(5,MATCH(MAX(Reference!$A$6,MIN(Reference!$A$11,MIN($U76,210))),Reference!$A$6:$A$11,1))+1)-INDEX(Reference!$A$6:$A$11,MIN(5,MATCH(MAX(Reference!$A$6,MIN(Reference!$A$11,MIN($U76,210))),Reference!$A$6:$A$11,1))))),0)+IF(6&lt;=$AL76,($AL76-6+3)*(INDEX(Reference!$B$6:$B$11,MIN(5,MATCH(MAX(Reference!$A$6,MIN(Reference!$A$11,MIN($U76,240))),Reference!$A$6:$A$11,1)))+(MAX(Reference!$A$6,MIN(Reference!$A$11,MIN($U76,240)))-INDEX(Reference!$A$6:$A$11,MIN(5,MATCH(MAX(Reference!$A$6,MIN(Reference!$A$11,MIN($U76,240))),Reference!$A$6:$A$11,1))))*(INDEX(Reference!$B$6:$B$11,MIN(5,MATCH(MAX(Reference!$A$6,MIN(Reference!$A$11,MIN($U76,240))),Reference!$A$6:$A$11,1))+1)-INDEX(Reference!$B$6:$B$11,MIN(5,MATCH(MAX(Reference!$A$6,MIN(Reference!$A$11,MIN($U76,240))),Reference!$A$6:$A$11,1))))/(INDEX(Reference!$A$6:$A$11,MIN(5,MATCH(MAX(Reference!$A$6,MIN(Reference!$A$11,MIN($U76,240))),Reference!$A$6:$A$11,1))+1)-INDEX(Reference!$A$6:$A$11,MIN(5,MATCH(MAX(Reference!$A$6,MIN(Reference!$A$11,MIN($U76,240))),Reference!$A$6:$A$11,1))))),0)+IF(7&lt;=$AL76,($AL76-7+3)*(INDEX(Reference!$B$6:$B$11,MIN(5,MATCH(MAX(Reference!$A$6,MIN(Reference!$A$11,MIN($U76,270))),Reference!$A$6:$A$11,1)))+(MAX(Reference!$A$6,MIN(Reference!$A$11,MIN($U76,270)))-INDEX(Reference!$A$6:$A$11,MIN(5,MATCH(MAX(Reference!$A$6,MIN(Reference!$A$11,MIN($U76,270))),Reference!$A$6:$A$11,1))))*(INDEX(Reference!$B$6:$B$11,MIN(5,MATCH(MAX(Reference!$A$6,MIN(Reference!$A$11,MIN($U76,270))),Reference!$A$6:$A$11,1))+1)-INDEX(Reference!$B$6:$B$11,MIN(5,MATCH(MAX(Reference!$A$6,MIN(Reference!$A$11,MIN($U76,270))),Reference!$A$6:$A$11,1))))/(INDEX(Reference!$A$6:$A$11,MIN(5,MATCH(MAX(Reference!$A$6,MIN(Reference!$A$11,MIN($U76,270))),Reference!$A$6:$A$11,1))+1)-INDEX(Reference!$A$6:$A$11,MIN(5,MATCH(MAX(Reference!$A$6,MIN(Reference!$A$11,MIN($U76,270))),Reference!$A$6:$A$11,1))))),0)+IF(8&lt;=$AL76,($AL76-8+3)*(INDEX(Reference!$B$6:$B$11,MIN(5,MATCH(MAX(Reference!$A$6,MIN(Reference!$A$11,MIN($U76,300))),Reference!$A$6:$A$11,1)))+(MAX(Reference!$A$6,MIN(Reference!$A$11,MIN($U76,300)))-INDEX(Reference!$A$6:$A$11,MIN(5,MATCH(MAX(Reference!$A$6,MIN(Reference!$A$11,MIN($U76,300))),Reference!$A$6:$A$11,1))))*(INDEX(Reference!$B$6:$B$11,MIN(5,MATCH(MAX(Reference!$A$6,MIN(Reference!$A$11,MIN($U76,300))),Reference!$A$6:$A$11,1))+1)-INDEX(Reference!$B$6:$B$11,MIN(5,MATCH(MAX(Reference!$A$6,MIN(Reference!$A$11,MIN($U76,300))),Reference!$A$6:$A$11,1))))/(INDEX(Reference!$A$6:$A$11,MIN(5,MATCH(MAX(Reference!$A$6,MIN(Reference!$A$11,MIN($U76,300))),Reference!$A$6:$A$11,1))+1)-INDEX(Reference!$A$6:$A$11,MIN(5,MATCH(MAX(Reference!$A$6,MIN(Reference!$A$11,MIN($U76,300))),Reference!$A$6:$A$11,1))))),0))/($AL76*($AL76+5)/2)),$AN76))</f>
        <v>1.4714285714285715</v>
      </c>
      <c r="AN76" s="32">
        <f>IF($U76="",0,(INDEX(Reference!$B$6:$B$11,MIN(5,MATCH(MAX(Reference!$A$6,MIN(Reference!$A$11,$U76)),Reference!$A$6:$A$11,1)))+(MAX(Reference!$A$6,MIN(Reference!$A$11,$U76))-INDEX(Reference!$A$6:$A$11,MIN(5,MATCH(MAX(Reference!$A$6,MIN(Reference!$A$11,$U76)),Reference!$A$6:$A$11,1))))*(INDEX(Reference!$B$6:$B$11,MIN(5,MATCH(MAX(Reference!$A$6,MIN(Reference!$A$11,$U76)),Reference!$A$6:$A$11,1))+1)-INDEX(Reference!$B$6:$B$11,MIN(5,MATCH(MAX(Reference!$A$6,MIN(Reference!$A$11,$U76)),Reference!$A$6:$A$11,1))))/(INDEX(Reference!$A$6:$A$11,MIN(5,MATCH(MAX(Reference!$A$6,MIN(Reference!$A$11,$U76)),Reference!$A$6:$A$11,1))+1)-INDEX(Reference!$A$6:$A$11,MIN(5,MATCH(MAX(Reference!$A$6,MIN(Reference!$A$11,$U76)),Reference!$A$6:$A$11,1))))))</f>
        <v>1.7</v>
      </c>
      <c r="AO76" s="37"/>
      <c r="AP76" s="37"/>
      <c r="AQ76" s="37"/>
    </row>
    <row r="77" spans="1:43" x14ac:dyDescent="0.3">
      <c r="A77" s="48">
        <f t="shared" si="30"/>
        <v>46341</v>
      </c>
      <c r="B77" s="32" t="str">
        <f t="shared" si="31"/>
        <v>Sun</v>
      </c>
      <c r="C77" s="32">
        <f t="shared" si="32"/>
        <v>50</v>
      </c>
      <c r="D77" s="32" t="str">
        <f t="shared" si="33"/>
        <v>Base</v>
      </c>
      <c r="E77" s="32" t="str">
        <f t="shared" si="34"/>
        <v>No Throw</v>
      </c>
      <c r="F77" s="32" t="str">
        <f t="shared" si="35"/>
        <v>No Throw</v>
      </c>
      <c r="G77" s="47" t="str">
        <f t="shared" si="36"/>
        <v>Off</v>
      </c>
      <c r="H77" s="30">
        <f t="shared" si="37"/>
        <v>0</v>
      </c>
      <c r="I77" s="46">
        <f>IF($A77="","",IF(AND($L77&lt;27,$K$12=0),"Building",IFERROR(((SUM($H$71:$H77)+$K$12*IF($L77&lt;6,SUMIFS('Throw Log'!$Q$5:$Q$300,'Throw Log'!$B$5:$B$300,$D$4,'Throw Log'!$A$5:$A$300,"&gt;="&amp;($D$6+$L77-6),'Throw Log'!$A$5:$A$300,"&lt;="&amp;($D$6-1)),0))/7)/((SUM($H$50:$H77)+$K$12*IF($L77&lt;27,SUMIFS('Throw Log'!$Q$5:$Q$300,'Throw Log'!$B$5:$B$300,$D$4,'Throw Log'!$A$5:$A$300,"&gt;="&amp;($D$6+$L77-27),'Throw Log'!$A$5:$A$300,"&lt;="&amp;($D$6-1)),0))/28),"")))</f>
        <v>1.1341208589279153</v>
      </c>
      <c r="J77" s="37"/>
      <c r="K77" s="37"/>
      <c r="L77" s="32">
        <v>34</v>
      </c>
      <c r="M77" s="32">
        <f t="shared" si="38"/>
        <v>5</v>
      </c>
      <c r="N77" s="32">
        <f t="shared" si="39"/>
        <v>6</v>
      </c>
      <c r="O77" s="32">
        <f t="shared" si="40"/>
        <v>0.44736842105263158</v>
      </c>
      <c r="P77" s="32">
        <f>IF(OR($A77="",N($C77)&lt;=7),"",$G$6*$G$9^($M77-1)*IF(AND(MOD($M77,Reference!$B$99)=0,$M77&lt;=$G$5-2),Reference!$B$100,1))</f>
        <v>128.18680745325557</v>
      </c>
      <c r="Q77" s="32">
        <f>IF($P77="","",IF(SUM($AK$71:$AK$77)=0,0,$P77*INDEX(Reference!$B$108:$B$114,$N77+1)/SUM($AK$71:$AK$77)))</f>
        <v>8.9730765217278901</v>
      </c>
      <c r="R77" s="32">
        <f t="shared" si="41"/>
        <v>135</v>
      </c>
      <c r="S77" s="32">
        <f t="shared" si="42"/>
        <v>120</v>
      </c>
      <c r="T77" s="32" t="str">
        <f>IF($A77="","",IF($C77=0,"Bullpen",IF(OR($C77=7,$C77=1,$C77=5),"Recovery/Easy Catch",IF($C77=6,"Compression/Pulldowns",IF(OR($C77=4,$C77=2),"Long Toss",IF($C77=3,"No Throw",IF($N77=2,"No Throw",IF($N77=6,IF($O77&lt;Reference!$B$104,"No Throw","Recovery/Easy Catch"),IF(OR($N77=0,$N77=4),"Recovery/Easy Catch",IF($N77=1,IF($R77&gt;75,"Long Toss","Recovery/Easy Catch"),IF($N77=3,IF($O77&lt;0.5,IF($S77&gt;75,"Long Toss","Recovery/Easy Catch"),"Compression/Pulldowns"),IF($S77&gt;75,"Long Toss","Recovery/Easy Catch"))))))))))))</f>
        <v>No Throw</v>
      </c>
      <c r="U77" s="32">
        <f t="shared" si="43"/>
        <v>60</v>
      </c>
      <c r="V77" s="32">
        <f t="shared" si="44"/>
        <v>20</v>
      </c>
      <c r="W77" s="32">
        <f t="shared" si="45"/>
        <v>24</v>
      </c>
      <c r="X77" s="32">
        <f t="shared" si="46"/>
        <v>0</v>
      </c>
      <c r="Y77" s="32" t="str">
        <f t="shared" si="47"/>
        <v/>
      </c>
      <c r="Z77" s="32" t="str">
        <f t="shared" si="48"/>
        <v/>
      </c>
      <c r="AA77" s="32" t="str">
        <f t="shared" si="49"/>
        <v/>
      </c>
      <c r="AB77" s="32">
        <f>IF($A77="","",IF($T77="No Throw",0,IF($K77&lt;&gt;"",$K77,IF($AA77&lt;&gt;"",ROUND($AA77*$D$12*IF($C77=0,1,$G$10),0),MIN(IF($T77="Recovery/Easy Catch",Reference!$B$103,IF($T77="Long Toss",Reference!$B$106,Reference!$B$102)),MAX(Reference!$B$101,ROUND(MAX(0,$Q77-$AE77)/$AF77,0)))))))</f>
        <v>0</v>
      </c>
      <c r="AC77" s="32">
        <f t="shared" si="50"/>
        <v>0</v>
      </c>
      <c r="AD77" s="32" t="b">
        <f t="shared" si="51"/>
        <v>1</v>
      </c>
      <c r="AE77" s="32">
        <f>IF($X77=0,0,$X77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77+$Z77)/2,0),Reference!$A$17:$B$20,2,TRUE()))</f>
        <v>0</v>
      </c>
      <c r="AF77" s="32">
        <f>IF(OR($A77="",$U77="",$T77="No Throw"),0,$AM77*VLOOKUP(MAX(($V77+$W77)/2,0),Reference!$A$17:$B$20,2,TRUE()))</f>
        <v>0</v>
      </c>
      <c r="AG77" s="32">
        <f>IF($AC77=0,0,$AC77*INDEX(Reference!$B$61:$B$62,MATCH("Bullpen",Reference!$A$61:$A$62,0))*VLOOKUP(MAX($D$5-($D$9+$E$9)/2,0),Reference!$A$17:$B$20,2,TRUE()))</f>
        <v>0</v>
      </c>
      <c r="AH77" s="46">
        <f t="shared" si="52"/>
        <v>1.1341208589279153</v>
      </c>
      <c r="AI77" s="32">
        <f>IF($A77="",NA(),Reference!$A$25)</f>
        <v>0.8</v>
      </c>
      <c r="AJ77" s="32">
        <f t="shared" si="53"/>
        <v>1.3</v>
      </c>
      <c r="AK77" s="32">
        <f>IF(OR($A77="",N($C77)&lt;=7,$T77="No Throw",$J77="x"),0,INDEX(Reference!$B$108:$B$114,$N77+1))</f>
        <v>0</v>
      </c>
      <c r="AL77" s="32">
        <f t="shared" si="54"/>
        <v>1</v>
      </c>
      <c r="AM77" s="32">
        <f>IF($U77="",0,IF($AL77&gt;1,((IF(1&lt;=$AL77,($AL77-1+3)*(INDEX(Reference!$B$6:$B$11,MIN(5,MATCH(MAX(Reference!$A$6,MIN(Reference!$A$11,MIN($U77,90))),Reference!$A$6:$A$11,1)))+(MAX(Reference!$A$6,MIN(Reference!$A$11,MIN($U77,90)))-INDEX(Reference!$A$6:$A$11,MIN(5,MATCH(MAX(Reference!$A$6,MIN(Reference!$A$11,MIN($U77,90))),Reference!$A$6:$A$11,1))))*(INDEX(Reference!$B$6:$B$11,MIN(5,MATCH(MAX(Reference!$A$6,MIN(Reference!$A$11,MIN($U77,90))),Reference!$A$6:$A$11,1))+1)-INDEX(Reference!$B$6:$B$11,MIN(5,MATCH(MAX(Reference!$A$6,MIN(Reference!$A$11,MIN($U77,90))),Reference!$A$6:$A$11,1))))/(INDEX(Reference!$A$6:$A$11,MIN(5,MATCH(MAX(Reference!$A$6,MIN(Reference!$A$11,MIN($U77,90))),Reference!$A$6:$A$11,1))+1)-INDEX(Reference!$A$6:$A$11,MIN(5,MATCH(MAX(Reference!$A$6,MIN(Reference!$A$11,MIN($U77,90))),Reference!$A$6:$A$11,1))))),0)+IF(2&lt;=$AL77,($AL77-2+3)*(INDEX(Reference!$B$6:$B$11,MIN(5,MATCH(MAX(Reference!$A$6,MIN(Reference!$A$11,MIN($U77,120))),Reference!$A$6:$A$11,1)))+(MAX(Reference!$A$6,MIN(Reference!$A$11,MIN($U77,120)))-INDEX(Reference!$A$6:$A$11,MIN(5,MATCH(MAX(Reference!$A$6,MIN(Reference!$A$11,MIN($U77,120))),Reference!$A$6:$A$11,1))))*(INDEX(Reference!$B$6:$B$11,MIN(5,MATCH(MAX(Reference!$A$6,MIN(Reference!$A$11,MIN($U77,120))),Reference!$A$6:$A$11,1))+1)-INDEX(Reference!$B$6:$B$11,MIN(5,MATCH(MAX(Reference!$A$6,MIN(Reference!$A$11,MIN($U77,120))),Reference!$A$6:$A$11,1))))/(INDEX(Reference!$A$6:$A$11,MIN(5,MATCH(MAX(Reference!$A$6,MIN(Reference!$A$11,MIN($U77,120))),Reference!$A$6:$A$11,1))+1)-INDEX(Reference!$A$6:$A$11,MIN(5,MATCH(MAX(Reference!$A$6,MIN(Reference!$A$11,MIN($U77,120))),Reference!$A$6:$A$11,1))))),0)+IF(3&lt;=$AL77,($AL77-3+3)*(INDEX(Reference!$B$6:$B$11,MIN(5,MATCH(MAX(Reference!$A$6,MIN(Reference!$A$11,MIN($U77,150))),Reference!$A$6:$A$11,1)))+(MAX(Reference!$A$6,MIN(Reference!$A$11,MIN($U77,150)))-INDEX(Reference!$A$6:$A$11,MIN(5,MATCH(MAX(Reference!$A$6,MIN(Reference!$A$11,MIN($U77,150))),Reference!$A$6:$A$11,1))))*(INDEX(Reference!$B$6:$B$11,MIN(5,MATCH(MAX(Reference!$A$6,MIN(Reference!$A$11,MIN($U77,150))),Reference!$A$6:$A$11,1))+1)-INDEX(Reference!$B$6:$B$11,MIN(5,MATCH(MAX(Reference!$A$6,MIN(Reference!$A$11,MIN($U77,150))),Reference!$A$6:$A$11,1))))/(INDEX(Reference!$A$6:$A$11,MIN(5,MATCH(MAX(Reference!$A$6,MIN(Reference!$A$11,MIN($U77,150))),Reference!$A$6:$A$11,1))+1)-INDEX(Reference!$A$6:$A$11,MIN(5,MATCH(MAX(Reference!$A$6,MIN(Reference!$A$11,MIN($U77,150))),Reference!$A$6:$A$11,1))))),0)+IF(4&lt;=$AL77,($AL77-4+3)*(INDEX(Reference!$B$6:$B$11,MIN(5,MATCH(MAX(Reference!$A$6,MIN(Reference!$A$11,MIN($U77,180))),Reference!$A$6:$A$11,1)))+(MAX(Reference!$A$6,MIN(Reference!$A$11,MIN($U77,180)))-INDEX(Reference!$A$6:$A$11,MIN(5,MATCH(MAX(Reference!$A$6,MIN(Reference!$A$11,MIN($U77,180))),Reference!$A$6:$A$11,1))))*(INDEX(Reference!$B$6:$B$11,MIN(5,MATCH(MAX(Reference!$A$6,MIN(Reference!$A$11,MIN($U77,180))),Reference!$A$6:$A$11,1))+1)-INDEX(Reference!$B$6:$B$11,MIN(5,MATCH(MAX(Reference!$A$6,MIN(Reference!$A$11,MIN($U77,180))),Reference!$A$6:$A$11,1))))/(INDEX(Reference!$A$6:$A$11,MIN(5,MATCH(MAX(Reference!$A$6,MIN(Reference!$A$11,MIN($U77,180))),Reference!$A$6:$A$11,1))+1)-INDEX(Reference!$A$6:$A$11,MIN(5,MATCH(MAX(Reference!$A$6,MIN(Reference!$A$11,MIN($U77,180))),Reference!$A$6:$A$11,1))))),0)+IF(5&lt;=$AL77,($AL77-5+3)*(INDEX(Reference!$B$6:$B$11,MIN(5,MATCH(MAX(Reference!$A$6,MIN(Reference!$A$11,MIN($U77,210))),Reference!$A$6:$A$11,1)))+(MAX(Reference!$A$6,MIN(Reference!$A$11,MIN($U77,210)))-INDEX(Reference!$A$6:$A$11,MIN(5,MATCH(MAX(Reference!$A$6,MIN(Reference!$A$11,MIN($U77,210))),Reference!$A$6:$A$11,1))))*(INDEX(Reference!$B$6:$B$11,MIN(5,MATCH(MAX(Reference!$A$6,MIN(Reference!$A$11,MIN($U77,210))),Reference!$A$6:$A$11,1))+1)-INDEX(Reference!$B$6:$B$11,MIN(5,MATCH(MAX(Reference!$A$6,MIN(Reference!$A$11,MIN($U77,210))),Reference!$A$6:$A$11,1))))/(INDEX(Reference!$A$6:$A$11,MIN(5,MATCH(MAX(Reference!$A$6,MIN(Reference!$A$11,MIN($U77,210))),Reference!$A$6:$A$11,1))+1)-INDEX(Reference!$A$6:$A$11,MIN(5,MATCH(MAX(Reference!$A$6,MIN(Reference!$A$11,MIN($U77,210))),Reference!$A$6:$A$11,1))))),0)+IF(6&lt;=$AL77,($AL77-6+3)*(INDEX(Reference!$B$6:$B$11,MIN(5,MATCH(MAX(Reference!$A$6,MIN(Reference!$A$11,MIN($U77,240))),Reference!$A$6:$A$11,1)))+(MAX(Reference!$A$6,MIN(Reference!$A$11,MIN($U77,240)))-INDEX(Reference!$A$6:$A$11,MIN(5,MATCH(MAX(Reference!$A$6,MIN(Reference!$A$11,MIN($U77,240))),Reference!$A$6:$A$11,1))))*(INDEX(Reference!$B$6:$B$11,MIN(5,MATCH(MAX(Reference!$A$6,MIN(Reference!$A$11,MIN($U77,240))),Reference!$A$6:$A$11,1))+1)-INDEX(Reference!$B$6:$B$11,MIN(5,MATCH(MAX(Reference!$A$6,MIN(Reference!$A$11,MIN($U77,240))),Reference!$A$6:$A$11,1))))/(INDEX(Reference!$A$6:$A$11,MIN(5,MATCH(MAX(Reference!$A$6,MIN(Reference!$A$11,MIN($U77,240))),Reference!$A$6:$A$11,1))+1)-INDEX(Reference!$A$6:$A$11,MIN(5,MATCH(MAX(Reference!$A$6,MIN(Reference!$A$11,MIN($U77,240))),Reference!$A$6:$A$11,1))))),0)+IF(7&lt;=$AL77,($AL77-7+3)*(INDEX(Reference!$B$6:$B$11,MIN(5,MATCH(MAX(Reference!$A$6,MIN(Reference!$A$11,MIN($U77,270))),Reference!$A$6:$A$11,1)))+(MAX(Reference!$A$6,MIN(Reference!$A$11,MIN($U77,270)))-INDEX(Reference!$A$6:$A$11,MIN(5,MATCH(MAX(Reference!$A$6,MIN(Reference!$A$11,MIN($U77,270))),Reference!$A$6:$A$11,1))))*(INDEX(Reference!$B$6:$B$11,MIN(5,MATCH(MAX(Reference!$A$6,MIN(Reference!$A$11,MIN($U77,270))),Reference!$A$6:$A$11,1))+1)-INDEX(Reference!$B$6:$B$11,MIN(5,MATCH(MAX(Reference!$A$6,MIN(Reference!$A$11,MIN($U77,270))),Reference!$A$6:$A$11,1))))/(INDEX(Reference!$A$6:$A$11,MIN(5,MATCH(MAX(Reference!$A$6,MIN(Reference!$A$11,MIN($U77,270))),Reference!$A$6:$A$11,1))+1)-INDEX(Reference!$A$6:$A$11,MIN(5,MATCH(MAX(Reference!$A$6,MIN(Reference!$A$11,MIN($U77,270))),Reference!$A$6:$A$11,1))))),0)+IF(8&lt;=$AL77,($AL77-8+3)*(INDEX(Reference!$B$6:$B$11,MIN(5,MATCH(MAX(Reference!$A$6,MIN(Reference!$A$11,MIN($U77,300))),Reference!$A$6:$A$11,1)))+(MAX(Reference!$A$6,MIN(Reference!$A$11,MIN($U77,300)))-INDEX(Reference!$A$6:$A$11,MIN(5,MATCH(MAX(Reference!$A$6,MIN(Reference!$A$11,MIN($U77,300))),Reference!$A$6:$A$11,1))))*(INDEX(Reference!$B$6:$B$11,MIN(5,MATCH(MAX(Reference!$A$6,MIN(Reference!$A$11,MIN($U77,300))),Reference!$A$6:$A$11,1))+1)-INDEX(Reference!$B$6:$B$11,MIN(5,MATCH(MAX(Reference!$A$6,MIN(Reference!$A$11,MIN($U77,300))),Reference!$A$6:$A$11,1))))/(INDEX(Reference!$A$6:$A$11,MIN(5,MATCH(MAX(Reference!$A$6,MIN(Reference!$A$11,MIN($U77,300))),Reference!$A$6:$A$11,1))+1)-INDEX(Reference!$A$6:$A$11,MIN(5,MATCH(MAX(Reference!$A$6,MIN(Reference!$A$11,MIN($U77,300))),Reference!$A$6:$A$11,1))))),0))/($AL77*($AL77+5)/2)),$AN77))</f>
        <v>1</v>
      </c>
      <c r="AN77" s="32">
        <f>IF($U77="",0,(INDEX(Reference!$B$6:$B$11,MIN(5,MATCH(MAX(Reference!$A$6,MIN(Reference!$A$11,$U77)),Reference!$A$6:$A$11,1)))+(MAX(Reference!$A$6,MIN(Reference!$A$11,$U77))-INDEX(Reference!$A$6:$A$11,MIN(5,MATCH(MAX(Reference!$A$6,MIN(Reference!$A$11,$U77)),Reference!$A$6:$A$11,1))))*(INDEX(Reference!$B$6:$B$11,MIN(5,MATCH(MAX(Reference!$A$6,MIN(Reference!$A$11,$U77)),Reference!$A$6:$A$11,1))+1)-INDEX(Reference!$B$6:$B$11,MIN(5,MATCH(MAX(Reference!$A$6,MIN(Reference!$A$11,$U77)),Reference!$A$6:$A$11,1))))/(INDEX(Reference!$A$6:$A$11,MIN(5,MATCH(MAX(Reference!$A$6,MIN(Reference!$A$11,$U77)),Reference!$A$6:$A$11,1))+1)-INDEX(Reference!$A$6:$A$11,MIN(5,MATCH(MAX(Reference!$A$6,MIN(Reference!$A$11,$U77)),Reference!$A$6:$A$11,1))))))</f>
        <v>1</v>
      </c>
      <c r="AO77" s="37"/>
      <c r="AP77" s="37"/>
      <c r="AQ77" s="37"/>
    </row>
    <row r="78" spans="1:43" x14ac:dyDescent="0.3">
      <c r="A78" s="48">
        <f t="shared" si="30"/>
        <v>46342</v>
      </c>
      <c r="B78" s="32" t="str">
        <f t="shared" si="31"/>
        <v>Mon</v>
      </c>
      <c r="C78" s="32">
        <f t="shared" si="32"/>
        <v>49</v>
      </c>
      <c r="D78" s="32" t="str">
        <f t="shared" si="33"/>
        <v>Extension</v>
      </c>
      <c r="E78" s="32" t="str">
        <f t="shared" si="34"/>
        <v>Low</v>
      </c>
      <c r="F78" s="32" t="str">
        <f t="shared" si="35"/>
        <v>Recovery/Easy Catch</v>
      </c>
      <c r="G78" s="47" t="str">
        <f t="shared" si="36"/>
        <v>75 ft × 25 @ 67–71 mph</v>
      </c>
      <c r="H78" s="30">
        <f t="shared" si="37"/>
        <v>17.25</v>
      </c>
      <c r="I78" s="46">
        <f>IF($A78="","",IF(AND($L78&lt;27,$K$12=0),"Building",IFERROR(((SUM($H$72:$H78)+$K$12*IF($L78&lt;6,SUMIFS('Throw Log'!$Q$5:$Q$300,'Throw Log'!$B$5:$B$300,$D$4,'Throw Log'!$A$5:$A$300,"&gt;="&amp;($D$6+$L78-6),'Throw Log'!$A$5:$A$300,"&lt;="&amp;($D$6-1)),0))/7)/((SUM($H$51:$H78)+$K$12*IF($L78&lt;27,SUMIFS('Throw Log'!$Q$5:$Q$300,'Throw Log'!$B$5:$B$300,$D$4,'Throw Log'!$A$5:$A$300,"&gt;="&amp;($D$6+$L78-27),'Throw Log'!$A$5:$A$300,"&lt;="&amp;($D$6-1)),0))/28),"")))</f>
        <v>1.1397470454074228</v>
      </c>
      <c r="J78" s="37"/>
      <c r="K78" s="37">
        <v>25</v>
      </c>
      <c r="L78" s="32">
        <v>35</v>
      </c>
      <c r="M78" s="32">
        <f t="shared" si="38"/>
        <v>6</v>
      </c>
      <c r="N78" s="32">
        <f t="shared" si="39"/>
        <v>0</v>
      </c>
      <c r="O78" s="32">
        <f t="shared" si="40"/>
        <v>0.46052631578947367</v>
      </c>
      <c r="P78" s="32">
        <f>IF(OR($A78="",N($C78)&lt;=7),"",$G$6*$G$9^($M78-1)*IF(AND(MOD($M78,Reference!$B$99)=0,$M78&lt;=$G$5-2),Reference!$B$100,1))</f>
        <v>144.22205101855957</v>
      </c>
      <c r="Q78" s="32">
        <f>IF($P78="","",IF(SUM($AK$78:$AK$84)=0,0,$P78*INDEX(Reference!$B$108:$B$114,$N78+1)/SUM($AK$78:$AK$84)))</f>
        <v>17.306646122227146</v>
      </c>
      <c r="R78" s="32">
        <f t="shared" si="41"/>
        <v>135</v>
      </c>
      <c r="S78" s="32">
        <f t="shared" si="42"/>
        <v>120</v>
      </c>
      <c r="T78" s="32" t="str">
        <f>IF($A78="","",IF($C78=0,"Bullpen",IF(OR($C78=7,$C78=1,$C78=5),"Recovery/Easy Catch",IF($C78=6,"Compression/Pulldowns",IF(OR($C78=4,$C78=2),"Long Toss",IF($C78=3,"No Throw",IF($N78=2,"No Throw",IF($N78=6,IF($O78&lt;Reference!$B$104,"No Throw","Recovery/Easy Catch"),IF(OR($N78=0,$N78=4),"Recovery/Easy Catch",IF($N78=1,IF($R78&gt;75,"Long Toss","Recovery/Easy Catch"),IF($N78=3,IF($O78&lt;0.5,IF($S78&gt;75,"Long Toss","Recovery/Easy Catch"),"Compression/Pulldowns"),IF($S78&gt;75,"Long Toss","Recovery/Easy Catch"))))))))))))</f>
        <v>Recovery/Easy Catch</v>
      </c>
      <c r="U78" s="32">
        <f t="shared" si="43"/>
        <v>75</v>
      </c>
      <c r="V78" s="32">
        <f t="shared" si="44"/>
        <v>18</v>
      </c>
      <c r="W78" s="32">
        <f t="shared" si="45"/>
        <v>22</v>
      </c>
      <c r="X78" s="32">
        <f t="shared" si="46"/>
        <v>0</v>
      </c>
      <c r="Y78" s="32" t="str">
        <f t="shared" si="47"/>
        <v/>
      </c>
      <c r="Z78" s="32" t="str">
        <f t="shared" si="48"/>
        <v/>
      </c>
      <c r="AA78" s="32" t="str">
        <f t="shared" si="49"/>
        <v/>
      </c>
      <c r="AB78" s="32">
        <f>IF($A78="","",IF($T78="No Throw",0,IF($K78&lt;&gt;"",$K78,IF($AA78&lt;&gt;"",ROUND($AA78*$D$12*IF($C78=0,1,$G$10),0),MIN(IF($T78="Recovery/Easy Catch",Reference!$B$103,IF($T78="Long Toss",Reference!$B$106,Reference!$B$102)),MAX(Reference!$B$101,ROUND(MAX(0,$Q78-$AE78)/$AF78,0)))))))</f>
        <v>25</v>
      </c>
      <c r="AC78" s="32">
        <f t="shared" si="50"/>
        <v>0</v>
      </c>
      <c r="AD78" s="32" t="b">
        <f t="shared" si="51"/>
        <v>0</v>
      </c>
      <c r="AE78" s="32">
        <f>IF($X78=0,0,$X78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78+$Z78)/2,0),Reference!$A$17:$B$20,2,TRUE()))</f>
        <v>0</v>
      </c>
      <c r="AF78" s="32">
        <f>IF(OR($A78="",$U78="",$T78="No Throw"),0,$AM78*VLOOKUP(MAX(($V78+$W78)/2,0),Reference!$A$17:$B$20,2,TRUE()))</f>
        <v>0.69</v>
      </c>
      <c r="AG78" s="32">
        <f>IF($AC78=0,0,$AC78*INDEX(Reference!$B$61:$B$62,MATCH("Bullpen",Reference!$A$61:$A$62,0))*VLOOKUP(MAX($D$5-($D$9+$E$9)/2,0),Reference!$A$17:$B$20,2,TRUE()))</f>
        <v>0</v>
      </c>
      <c r="AH78" s="46">
        <f t="shared" si="52"/>
        <v>1.1397470454074228</v>
      </c>
      <c r="AI78" s="32">
        <f>IF($A78="",NA(),Reference!$A$25)</f>
        <v>0.8</v>
      </c>
      <c r="AJ78" s="32">
        <f t="shared" si="53"/>
        <v>1.3</v>
      </c>
      <c r="AK78" s="56">
        <f>IF(OR($A78="",N($C78)&lt;=7,$T78="No Throw",$J78="x"),0,INDEX(Reference!$B$108:$B$114,$N78+1))</f>
        <v>0.12</v>
      </c>
      <c r="AL78" s="32">
        <f t="shared" si="54"/>
        <v>1</v>
      </c>
      <c r="AM78" s="32">
        <f>IF($U78="",0,IF($AL78&gt;1,((IF(1&lt;=$AL78,($AL78-1+3)*(INDEX(Reference!$B$6:$B$11,MIN(5,MATCH(MAX(Reference!$A$6,MIN(Reference!$A$11,MIN($U78,90))),Reference!$A$6:$A$11,1)))+(MAX(Reference!$A$6,MIN(Reference!$A$11,MIN($U78,90)))-INDEX(Reference!$A$6:$A$11,MIN(5,MATCH(MAX(Reference!$A$6,MIN(Reference!$A$11,MIN($U78,90))),Reference!$A$6:$A$11,1))))*(INDEX(Reference!$B$6:$B$11,MIN(5,MATCH(MAX(Reference!$A$6,MIN(Reference!$A$11,MIN($U78,90))),Reference!$A$6:$A$11,1))+1)-INDEX(Reference!$B$6:$B$11,MIN(5,MATCH(MAX(Reference!$A$6,MIN(Reference!$A$11,MIN($U78,90))),Reference!$A$6:$A$11,1))))/(INDEX(Reference!$A$6:$A$11,MIN(5,MATCH(MAX(Reference!$A$6,MIN(Reference!$A$11,MIN($U78,90))),Reference!$A$6:$A$11,1))+1)-INDEX(Reference!$A$6:$A$11,MIN(5,MATCH(MAX(Reference!$A$6,MIN(Reference!$A$11,MIN($U78,90))),Reference!$A$6:$A$11,1))))),0)+IF(2&lt;=$AL78,($AL78-2+3)*(INDEX(Reference!$B$6:$B$11,MIN(5,MATCH(MAX(Reference!$A$6,MIN(Reference!$A$11,MIN($U78,120))),Reference!$A$6:$A$11,1)))+(MAX(Reference!$A$6,MIN(Reference!$A$11,MIN($U78,120)))-INDEX(Reference!$A$6:$A$11,MIN(5,MATCH(MAX(Reference!$A$6,MIN(Reference!$A$11,MIN($U78,120))),Reference!$A$6:$A$11,1))))*(INDEX(Reference!$B$6:$B$11,MIN(5,MATCH(MAX(Reference!$A$6,MIN(Reference!$A$11,MIN($U78,120))),Reference!$A$6:$A$11,1))+1)-INDEX(Reference!$B$6:$B$11,MIN(5,MATCH(MAX(Reference!$A$6,MIN(Reference!$A$11,MIN($U78,120))),Reference!$A$6:$A$11,1))))/(INDEX(Reference!$A$6:$A$11,MIN(5,MATCH(MAX(Reference!$A$6,MIN(Reference!$A$11,MIN($U78,120))),Reference!$A$6:$A$11,1))+1)-INDEX(Reference!$A$6:$A$11,MIN(5,MATCH(MAX(Reference!$A$6,MIN(Reference!$A$11,MIN($U78,120))),Reference!$A$6:$A$11,1))))),0)+IF(3&lt;=$AL78,($AL78-3+3)*(INDEX(Reference!$B$6:$B$11,MIN(5,MATCH(MAX(Reference!$A$6,MIN(Reference!$A$11,MIN($U78,150))),Reference!$A$6:$A$11,1)))+(MAX(Reference!$A$6,MIN(Reference!$A$11,MIN($U78,150)))-INDEX(Reference!$A$6:$A$11,MIN(5,MATCH(MAX(Reference!$A$6,MIN(Reference!$A$11,MIN($U78,150))),Reference!$A$6:$A$11,1))))*(INDEX(Reference!$B$6:$B$11,MIN(5,MATCH(MAX(Reference!$A$6,MIN(Reference!$A$11,MIN($U78,150))),Reference!$A$6:$A$11,1))+1)-INDEX(Reference!$B$6:$B$11,MIN(5,MATCH(MAX(Reference!$A$6,MIN(Reference!$A$11,MIN($U78,150))),Reference!$A$6:$A$11,1))))/(INDEX(Reference!$A$6:$A$11,MIN(5,MATCH(MAX(Reference!$A$6,MIN(Reference!$A$11,MIN($U78,150))),Reference!$A$6:$A$11,1))+1)-INDEX(Reference!$A$6:$A$11,MIN(5,MATCH(MAX(Reference!$A$6,MIN(Reference!$A$11,MIN($U78,150))),Reference!$A$6:$A$11,1))))),0)+IF(4&lt;=$AL78,($AL78-4+3)*(INDEX(Reference!$B$6:$B$11,MIN(5,MATCH(MAX(Reference!$A$6,MIN(Reference!$A$11,MIN($U78,180))),Reference!$A$6:$A$11,1)))+(MAX(Reference!$A$6,MIN(Reference!$A$11,MIN($U78,180)))-INDEX(Reference!$A$6:$A$11,MIN(5,MATCH(MAX(Reference!$A$6,MIN(Reference!$A$11,MIN($U78,180))),Reference!$A$6:$A$11,1))))*(INDEX(Reference!$B$6:$B$11,MIN(5,MATCH(MAX(Reference!$A$6,MIN(Reference!$A$11,MIN($U78,180))),Reference!$A$6:$A$11,1))+1)-INDEX(Reference!$B$6:$B$11,MIN(5,MATCH(MAX(Reference!$A$6,MIN(Reference!$A$11,MIN($U78,180))),Reference!$A$6:$A$11,1))))/(INDEX(Reference!$A$6:$A$11,MIN(5,MATCH(MAX(Reference!$A$6,MIN(Reference!$A$11,MIN($U78,180))),Reference!$A$6:$A$11,1))+1)-INDEX(Reference!$A$6:$A$11,MIN(5,MATCH(MAX(Reference!$A$6,MIN(Reference!$A$11,MIN($U78,180))),Reference!$A$6:$A$11,1))))),0)+IF(5&lt;=$AL78,($AL78-5+3)*(INDEX(Reference!$B$6:$B$11,MIN(5,MATCH(MAX(Reference!$A$6,MIN(Reference!$A$11,MIN($U78,210))),Reference!$A$6:$A$11,1)))+(MAX(Reference!$A$6,MIN(Reference!$A$11,MIN($U78,210)))-INDEX(Reference!$A$6:$A$11,MIN(5,MATCH(MAX(Reference!$A$6,MIN(Reference!$A$11,MIN($U78,210))),Reference!$A$6:$A$11,1))))*(INDEX(Reference!$B$6:$B$11,MIN(5,MATCH(MAX(Reference!$A$6,MIN(Reference!$A$11,MIN($U78,210))),Reference!$A$6:$A$11,1))+1)-INDEX(Reference!$B$6:$B$11,MIN(5,MATCH(MAX(Reference!$A$6,MIN(Reference!$A$11,MIN($U78,210))),Reference!$A$6:$A$11,1))))/(INDEX(Reference!$A$6:$A$11,MIN(5,MATCH(MAX(Reference!$A$6,MIN(Reference!$A$11,MIN($U78,210))),Reference!$A$6:$A$11,1))+1)-INDEX(Reference!$A$6:$A$11,MIN(5,MATCH(MAX(Reference!$A$6,MIN(Reference!$A$11,MIN($U78,210))),Reference!$A$6:$A$11,1))))),0)+IF(6&lt;=$AL78,($AL78-6+3)*(INDEX(Reference!$B$6:$B$11,MIN(5,MATCH(MAX(Reference!$A$6,MIN(Reference!$A$11,MIN($U78,240))),Reference!$A$6:$A$11,1)))+(MAX(Reference!$A$6,MIN(Reference!$A$11,MIN($U78,240)))-INDEX(Reference!$A$6:$A$11,MIN(5,MATCH(MAX(Reference!$A$6,MIN(Reference!$A$11,MIN($U78,240))),Reference!$A$6:$A$11,1))))*(INDEX(Reference!$B$6:$B$11,MIN(5,MATCH(MAX(Reference!$A$6,MIN(Reference!$A$11,MIN($U78,240))),Reference!$A$6:$A$11,1))+1)-INDEX(Reference!$B$6:$B$11,MIN(5,MATCH(MAX(Reference!$A$6,MIN(Reference!$A$11,MIN($U78,240))),Reference!$A$6:$A$11,1))))/(INDEX(Reference!$A$6:$A$11,MIN(5,MATCH(MAX(Reference!$A$6,MIN(Reference!$A$11,MIN($U78,240))),Reference!$A$6:$A$11,1))+1)-INDEX(Reference!$A$6:$A$11,MIN(5,MATCH(MAX(Reference!$A$6,MIN(Reference!$A$11,MIN($U78,240))),Reference!$A$6:$A$11,1))))),0)+IF(7&lt;=$AL78,($AL78-7+3)*(INDEX(Reference!$B$6:$B$11,MIN(5,MATCH(MAX(Reference!$A$6,MIN(Reference!$A$11,MIN($U78,270))),Reference!$A$6:$A$11,1)))+(MAX(Reference!$A$6,MIN(Reference!$A$11,MIN($U78,270)))-INDEX(Reference!$A$6:$A$11,MIN(5,MATCH(MAX(Reference!$A$6,MIN(Reference!$A$11,MIN($U78,270))),Reference!$A$6:$A$11,1))))*(INDEX(Reference!$B$6:$B$11,MIN(5,MATCH(MAX(Reference!$A$6,MIN(Reference!$A$11,MIN($U78,270))),Reference!$A$6:$A$11,1))+1)-INDEX(Reference!$B$6:$B$11,MIN(5,MATCH(MAX(Reference!$A$6,MIN(Reference!$A$11,MIN($U78,270))),Reference!$A$6:$A$11,1))))/(INDEX(Reference!$A$6:$A$11,MIN(5,MATCH(MAX(Reference!$A$6,MIN(Reference!$A$11,MIN($U78,270))),Reference!$A$6:$A$11,1))+1)-INDEX(Reference!$A$6:$A$11,MIN(5,MATCH(MAX(Reference!$A$6,MIN(Reference!$A$11,MIN($U78,270))),Reference!$A$6:$A$11,1))))),0)+IF(8&lt;=$AL78,($AL78-8+3)*(INDEX(Reference!$B$6:$B$11,MIN(5,MATCH(MAX(Reference!$A$6,MIN(Reference!$A$11,MIN($U78,300))),Reference!$A$6:$A$11,1)))+(MAX(Reference!$A$6,MIN(Reference!$A$11,MIN($U78,300)))-INDEX(Reference!$A$6:$A$11,MIN(5,MATCH(MAX(Reference!$A$6,MIN(Reference!$A$11,MIN($U78,300))),Reference!$A$6:$A$11,1))))*(INDEX(Reference!$B$6:$B$11,MIN(5,MATCH(MAX(Reference!$A$6,MIN(Reference!$A$11,MIN($U78,300))),Reference!$A$6:$A$11,1))+1)-INDEX(Reference!$B$6:$B$11,MIN(5,MATCH(MAX(Reference!$A$6,MIN(Reference!$A$11,MIN($U78,300))),Reference!$A$6:$A$11,1))))/(INDEX(Reference!$A$6:$A$11,MIN(5,MATCH(MAX(Reference!$A$6,MIN(Reference!$A$11,MIN($U78,300))),Reference!$A$6:$A$11,1))+1)-INDEX(Reference!$A$6:$A$11,MIN(5,MATCH(MAX(Reference!$A$6,MIN(Reference!$A$11,MIN($U78,300))),Reference!$A$6:$A$11,1))))),0))/($AL78*($AL78+5)/2)),$AN78))</f>
        <v>1.1499999999999999</v>
      </c>
      <c r="AN78" s="32">
        <f>IF($U78="",0,(INDEX(Reference!$B$6:$B$11,MIN(5,MATCH(MAX(Reference!$A$6,MIN(Reference!$A$11,$U78)),Reference!$A$6:$A$11,1)))+(MAX(Reference!$A$6,MIN(Reference!$A$11,$U78))-INDEX(Reference!$A$6:$A$11,MIN(5,MATCH(MAX(Reference!$A$6,MIN(Reference!$A$11,$U78)),Reference!$A$6:$A$11,1))))*(INDEX(Reference!$B$6:$B$11,MIN(5,MATCH(MAX(Reference!$A$6,MIN(Reference!$A$11,$U78)),Reference!$A$6:$A$11,1))+1)-INDEX(Reference!$B$6:$B$11,MIN(5,MATCH(MAX(Reference!$A$6,MIN(Reference!$A$11,$U78)),Reference!$A$6:$A$11,1))))/(INDEX(Reference!$A$6:$A$11,MIN(5,MATCH(MAX(Reference!$A$6,MIN(Reference!$A$11,$U78)),Reference!$A$6:$A$11,1))+1)-INDEX(Reference!$A$6:$A$11,MIN(5,MATCH(MAX(Reference!$A$6,MIN(Reference!$A$11,$U78)),Reference!$A$6:$A$11,1))))))</f>
        <v>1.1499999999999999</v>
      </c>
      <c r="AO78" s="37"/>
      <c r="AP78" s="37"/>
      <c r="AQ78" s="37"/>
    </row>
    <row r="79" spans="1:43" ht="26.4" x14ac:dyDescent="0.3">
      <c r="A79" s="48">
        <f t="shared" si="30"/>
        <v>46343</v>
      </c>
      <c r="B79" s="32" t="str">
        <f t="shared" si="31"/>
        <v>Tue</v>
      </c>
      <c r="C79" s="32">
        <f t="shared" si="32"/>
        <v>48</v>
      </c>
      <c r="D79" s="32" t="str">
        <f t="shared" si="33"/>
        <v>Extension</v>
      </c>
      <c r="E79" s="32" t="str">
        <f t="shared" si="34"/>
        <v>Medium</v>
      </c>
      <c r="F79" s="32" t="str">
        <f t="shared" si="35"/>
        <v>Long Toss</v>
      </c>
      <c r="G79" s="47" t="str">
        <f t="shared" si="36"/>
        <v>Long toss out to 135 ft — 34 throws (90×14 · 120×12 · 135×8) @ 73–76 mph + 60 ft × 10 @ 71–75 mph</v>
      </c>
      <c r="H79" s="30">
        <f t="shared" si="37"/>
        <v>38.555</v>
      </c>
      <c r="I79" s="46">
        <f>IF($A79="","",IF(AND($L79&lt;27,$K$12=0),"Building",IFERROR(((SUM($H$73:$H79)+$K$12*IF($L79&lt;6,SUMIFS('Throw Log'!$Q$5:$Q$300,'Throw Log'!$B$5:$B$300,$D$4,'Throw Log'!$A$5:$A$300,"&gt;="&amp;($D$6+$L79-6),'Throw Log'!$A$5:$A$300,"&lt;="&amp;($D$6-1)),0))/7)/((SUM($H$52:$H79)+$K$12*IF($L79&lt;27,SUMIFS('Throw Log'!$Q$5:$Q$300,'Throw Log'!$B$5:$B$300,$D$4,'Throw Log'!$A$5:$A$300,"&gt;="&amp;($D$6+$L79-27),'Throw Log'!$A$5:$A$300,"&lt;="&amp;($D$6-1)),0))/28),"")))</f>
        <v>1.1488529325539913</v>
      </c>
      <c r="J79" s="37"/>
      <c r="K79" s="37"/>
      <c r="L79" s="32">
        <v>36</v>
      </c>
      <c r="M79" s="32">
        <f t="shared" si="38"/>
        <v>6</v>
      </c>
      <c r="N79" s="32">
        <f t="shared" si="39"/>
        <v>1</v>
      </c>
      <c r="O79" s="32">
        <f t="shared" si="40"/>
        <v>0.47368421052631576</v>
      </c>
      <c r="P79" s="32">
        <f>IF(OR($A79="",N($C79)&lt;=7),"",$G$6*$G$9^($M79-1)*IF(AND(MOD($M79,Reference!$B$99)=0,$M79&lt;=$G$5-2),Reference!$B$100,1))</f>
        <v>144.22205101855957</v>
      </c>
      <c r="Q79" s="32">
        <f>IF($P79="","",IF(SUM($AK$78:$AK$84)=0,0,$P79*INDEX(Reference!$B$108:$B$114,$N79+1)/SUM($AK$78:$AK$84)))</f>
        <v>38.939953775011084</v>
      </c>
      <c r="R79" s="32">
        <f t="shared" si="41"/>
        <v>135</v>
      </c>
      <c r="S79" s="32">
        <f t="shared" si="42"/>
        <v>120</v>
      </c>
      <c r="T79" s="32" t="str">
        <f>IF($A79="","",IF($C79=0,"Bullpen",IF(OR($C79=7,$C79=1,$C79=5),"Recovery/Easy Catch",IF($C79=6,"Compression/Pulldowns",IF(OR($C79=4,$C79=2),"Long Toss",IF($C79=3,"No Throw",IF($N79=2,"No Throw",IF($N79=6,IF($O79&lt;Reference!$B$104,"No Throw","Recovery/Easy Catch"),IF(OR($N79=0,$N79=4),"Recovery/Easy Catch",IF($N79=1,IF($R79&gt;75,"Long Toss","Recovery/Easy Catch"),IF($N79=3,IF($O79&lt;0.5,IF($S79&gt;75,"Long Toss","Recovery/Easy Catch"),"Compression/Pulldowns"),IF($S79&gt;75,"Long Toss","Recovery/Easy Catch"))))))))))))</f>
        <v>Long Toss</v>
      </c>
      <c r="U79" s="32">
        <f t="shared" si="43"/>
        <v>135</v>
      </c>
      <c r="V79" s="32">
        <f t="shared" si="44"/>
        <v>13</v>
      </c>
      <c r="W79" s="32">
        <f t="shared" si="45"/>
        <v>16</v>
      </c>
      <c r="X79" s="32">
        <f t="shared" si="46"/>
        <v>10</v>
      </c>
      <c r="Y79" s="32">
        <f t="shared" si="47"/>
        <v>14</v>
      </c>
      <c r="Z79" s="32">
        <f t="shared" si="48"/>
        <v>18</v>
      </c>
      <c r="AA79" s="32" t="str">
        <f t="shared" si="49"/>
        <v/>
      </c>
      <c r="AB79" s="32">
        <f>IF($A79="","",IF($T79="No Throw",0,IF($K79&lt;&gt;"",$K79,IF($AA79&lt;&gt;"",ROUND($AA79*$D$12*IF($C79=0,1,$G$10),0),MIN(IF($T79="Recovery/Easy Catch",Reference!$B$103,IF($T79="Long Toss",Reference!$B$106,Reference!$B$102)),MAX(Reference!$B$101,ROUND(MAX(0,$Q79-$AE79)/$AF79,0)))))))</f>
        <v>34</v>
      </c>
      <c r="AC79" s="32">
        <f t="shared" si="50"/>
        <v>0</v>
      </c>
      <c r="AD79" s="32" t="b">
        <f t="shared" si="51"/>
        <v>0</v>
      </c>
      <c r="AE79" s="32">
        <f>IF($X79=0,0,$X79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79+$Z79)/2,0),Reference!$A$17:$B$20,2,TRUE()))</f>
        <v>6</v>
      </c>
      <c r="AF79" s="32">
        <f>IF(OR($A79="",$U79="",$T79="No Throw"),0,$AM79*VLOOKUP(MAX(($V79+$W79)/2,0),Reference!$A$17:$B$20,2,TRUE()))</f>
        <v>0.95750000000000002</v>
      </c>
      <c r="AG79" s="32">
        <f>IF($AC79=0,0,$AC79*INDEX(Reference!$B$61:$B$62,MATCH("Bullpen",Reference!$A$61:$A$62,0))*VLOOKUP(MAX($D$5-($D$9+$E$9)/2,0),Reference!$A$17:$B$20,2,TRUE()))</f>
        <v>0</v>
      </c>
      <c r="AH79" s="46">
        <f t="shared" si="52"/>
        <v>1.1488529325539913</v>
      </c>
      <c r="AI79" s="32">
        <f>IF($A79="",NA(),Reference!$A$25)</f>
        <v>0.8</v>
      </c>
      <c r="AJ79" s="32">
        <f t="shared" si="53"/>
        <v>1.3</v>
      </c>
      <c r="AK79" s="56">
        <f>IF(OR($A79="",N($C79)&lt;=7,$T79="No Throw",$J79="x"),0,INDEX(Reference!$B$108:$B$114,$N79+1))</f>
        <v>0.27</v>
      </c>
      <c r="AL79" s="32">
        <f t="shared" si="54"/>
        <v>3</v>
      </c>
      <c r="AM79" s="32">
        <f>IF($U79="",0,IF($AL79&gt;1,((IF(1&lt;=$AL79,($AL79-1+3)*(INDEX(Reference!$B$6:$B$11,MIN(5,MATCH(MAX(Reference!$A$6,MIN(Reference!$A$11,MIN($U79,90))),Reference!$A$6:$A$11,1)))+(MAX(Reference!$A$6,MIN(Reference!$A$11,MIN($U79,90)))-INDEX(Reference!$A$6:$A$11,MIN(5,MATCH(MAX(Reference!$A$6,MIN(Reference!$A$11,MIN($U79,90))),Reference!$A$6:$A$11,1))))*(INDEX(Reference!$B$6:$B$11,MIN(5,MATCH(MAX(Reference!$A$6,MIN(Reference!$A$11,MIN($U79,90))),Reference!$A$6:$A$11,1))+1)-INDEX(Reference!$B$6:$B$11,MIN(5,MATCH(MAX(Reference!$A$6,MIN(Reference!$A$11,MIN($U79,90))),Reference!$A$6:$A$11,1))))/(INDEX(Reference!$A$6:$A$11,MIN(5,MATCH(MAX(Reference!$A$6,MIN(Reference!$A$11,MIN($U79,90))),Reference!$A$6:$A$11,1))+1)-INDEX(Reference!$A$6:$A$11,MIN(5,MATCH(MAX(Reference!$A$6,MIN(Reference!$A$11,MIN($U79,90))),Reference!$A$6:$A$11,1))))),0)+IF(2&lt;=$AL79,($AL79-2+3)*(INDEX(Reference!$B$6:$B$11,MIN(5,MATCH(MAX(Reference!$A$6,MIN(Reference!$A$11,MIN($U79,120))),Reference!$A$6:$A$11,1)))+(MAX(Reference!$A$6,MIN(Reference!$A$11,MIN($U79,120)))-INDEX(Reference!$A$6:$A$11,MIN(5,MATCH(MAX(Reference!$A$6,MIN(Reference!$A$11,MIN($U79,120))),Reference!$A$6:$A$11,1))))*(INDEX(Reference!$B$6:$B$11,MIN(5,MATCH(MAX(Reference!$A$6,MIN(Reference!$A$11,MIN($U79,120))),Reference!$A$6:$A$11,1))+1)-INDEX(Reference!$B$6:$B$11,MIN(5,MATCH(MAX(Reference!$A$6,MIN(Reference!$A$11,MIN($U79,120))),Reference!$A$6:$A$11,1))))/(INDEX(Reference!$A$6:$A$11,MIN(5,MATCH(MAX(Reference!$A$6,MIN(Reference!$A$11,MIN($U79,120))),Reference!$A$6:$A$11,1))+1)-INDEX(Reference!$A$6:$A$11,MIN(5,MATCH(MAX(Reference!$A$6,MIN(Reference!$A$11,MIN($U79,120))),Reference!$A$6:$A$11,1))))),0)+IF(3&lt;=$AL79,($AL79-3+3)*(INDEX(Reference!$B$6:$B$11,MIN(5,MATCH(MAX(Reference!$A$6,MIN(Reference!$A$11,MIN($U79,150))),Reference!$A$6:$A$11,1)))+(MAX(Reference!$A$6,MIN(Reference!$A$11,MIN($U79,150)))-INDEX(Reference!$A$6:$A$11,MIN(5,MATCH(MAX(Reference!$A$6,MIN(Reference!$A$11,MIN($U79,150))),Reference!$A$6:$A$11,1))))*(INDEX(Reference!$B$6:$B$11,MIN(5,MATCH(MAX(Reference!$A$6,MIN(Reference!$A$11,MIN($U79,150))),Reference!$A$6:$A$11,1))+1)-INDEX(Reference!$B$6:$B$11,MIN(5,MATCH(MAX(Reference!$A$6,MIN(Reference!$A$11,MIN($U79,150))),Reference!$A$6:$A$11,1))))/(INDEX(Reference!$A$6:$A$11,MIN(5,MATCH(MAX(Reference!$A$6,MIN(Reference!$A$11,MIN($U79,150))),Reference!$A$6:$A$11,1))+1)-INDEX(Reference!$A$6:$A$11,MIN(5,MATCH(MAX(Reference!$A$6,MIN(Reference!$A$11,MIN($U79,150))),Reference!$A$6:$A$11,1))))),0)+IF(4&lt;=$AL79,($AL79-4+3)*(INDEX(Reference!$B$6:$B$11,MIN(5,MATCH(MAX(Reference!$A$6,MIN(Reference!$A$11,MIN($U79,180))),Reference!$A$6:$A$11,1)))+(MAX(Reference!$A$6,MIN(Reference!$A$11,MIN($U79,180)))-INDEX(Reference!$A$6:$A$11,MIN(5,MATCH(MAX(Reference!$A$6,MIN(Reference!$A$11,MIN($U79,180))),Reference!$A$6:$A$11,1))))*(INDEX(Reference!$B$6:$B$11,MIN(5,MATCH(MAX(Reference!$A$6,MIN(Reference!$A$11,MIN($U79,180))),Reference!$A$6:$A$11,1))+1)-INDEX(Reference!$B$6:$B$11,MIN(5,MATCH(MAX(Reference!$A$6,MIN(Reference!$A$11,MIN($U79,180))),Reference!$A$6:$A$11,1))))/(INDEX(Reference!$A$6:$A$11,MIN(5,MATCH(MAX(Reference!$A$6,MIN(Reference!$A$11,MIN($U79,180))),Reference!$A$6:$A$11,1))+1)-INDEX(Reference!$A$6:$A$11,MIN(5,MATCH(MAX(Reference!$A$6,MIN(Reference!$A$11,MIN($U79,180))),Reference!$A$6:$A$11,1))))),0)+IF(5&lt;=$AL79,($AL79-5+3)*(INDEX(Reference!$B$6:$B$11,MIN(5,MATCH(MAX(Reference!$A$6,MIN(Reference!$A$11,MIN($U79,210))),Reference!$A$6:$A$11,1)))+(MAX(Reference!$A$6,MIN(Reference!$A$11,MIN($U79,210)))-INDEX(Reference!$A$6:$A$11,MIN(5,MATCH(MAX(Reference!$A$6,MIN(Reference!$A$11,MIN($U79,210))),Reference!$A$6:$A$11,1))))*(INDEX(Reference!$B$6:$B$11,MIN(5,MATCH(MAX(Reference!$A$6,MIN(Reference!$A$11,MIN($U79,210))),Reference!$A$6:$A$11,1))+1)-INDEX(Reference!$B$6:$B$11,MIN(5,MATCH(MAX(Reference!$A$6,MIN(Reference!$A$11,MIN($U79,210))),Reference!$A$6:$A$11,1))))/(INDEX(Reference!$A$6:$A$11,MIN(5,MATCH(MAX(Reference!$A$6,MIN(Reference!$A$11,MIN($U79,210))),Reference!$A$6:$A$11,1))+1)-INDEX(Reference!$A$6:$A$11,MIN(5,MATCH(MAX(Reference!$A$6,MIN(Reference!$A$11,MIN($U79,210))),Reference!$A$6:$A$11,1))))),0)+IF(6&lt;=$AL79,($AL79-6+3)*(INDEX(Reference!$B$6:$B$11,MIN(5,MATCH(MAX(Reference!$A$6,MIN(Reference!$A$11,MIN($U79,240))),Reference!$A$6:$A$11,1)))+(MAX(Reference!$A$6,MIN(Reference!$A$11,MIN($U79,240)))-INDEX(Reference!$A$6:$A$11,MIN(5,MATCH(MAX(Reference!$A$6,MIN(Reference!$A$11,MIN($U79,240))),Reference!$A$6:$A$11,1))))*(INDEX(Reference!$B$6:$B$11,MIN(5,MATCH(MAX(Reference!$A$6,MIN(Reference!$A$11,MIN($U79,240))),Reference!$A$6:$A$11,1))+1)-INDEX(Reference!$B$6:$B$11,MIN(5,MATCH(MAX(Reference!$A$6,MIN(Reference!$A$11,MIN($U79,240))),Reference!$A$6:$A$11,1))))/(INDEX(Reference!$A$6:$A$11,MIN(5,MATCH(MAX(Reference!$A$6,MIN(Reference!$A$11,MIN($U79,240))),Reference!$A$6:$A$11,1))+1)-INDEX(Reference!$A$6:$A$11,MIN(5,MATCH(MAX(Reference!$A$6,MIN(Reference!$A$11,MIN($U79,240))),Reference!$A$6:$A$11,1))))),0)+IF(7&lt;=$AL79,($AL79-7+3)*(INDEX(Reference!$B$6:$B$11,MIN(5,MATCH(MAX(Reference!$A$6,MIN(Reference!$A$11,MIN($U79,270))),Reference!$A$6:$A$11,1)))+(MAX(Reference!$A$6,MIN(Reference!$A$11,MIN($U79,270)))-INDEX(Reference!$A$6:$A$11,MIN(5,MATCH(MAX(Reference!$A$6,MIN(Reference!$A$11,MIN($U79,270))),Reference!$A$6:$A$11,1))))*(INDEX(Reference!$B$6:$B$11,MIN(5,MATCH(MAX(Reference!$A$6,MIN(Reference!$A$11,MIN($U79,270))),Reference!$A$6:$A$11,1))+1)-INDEX(Reference!$B$6:$B$11,MIN(5,MATCH(MAX(Reference!$A$6,MIN(Reference!$A$11,MIN($U79,270))),Reference!$A$6:$A$11,1))))/(INDEX(Reference!$A$6:$A$11,MIN(5,MATCH(MAX(Reference!$A$6,MIN(Reference!$A$11,MIN($U79,270))),Reference!$A$6:$A$11,1))+1)-INDEX(Reference!$A$6:$A$11,MIN(5,MATCH(MAX(Reference!$A$6,MIN(Reference!$A$11,MIN($U79,270))),Reference!$A$6:$A$11,1))))),0)+IF(8&lt;=$AL79,($AL79-8+3)*(INDEX(Reference!$B$6:$B$11,MIN(5,MATCH(MAX(Reference!$A$6,MIN(Reference!$A$11,MIN($U79,300))),Reference!$A$6:$A$11,1)))+(MAX(Reference!$A$6,MIN(Reference!$A$11,MIN($U79,300)))-INDEX(Reference!$A$6:$A$11,MIN(5,MATCH(MAX(Reference!$A$6,MIN(Reference!$A$11,MIN($U79,300))),Reference!$A$6:$A$11,1))))*(INDEX(Reference!$B$6:$B$11,MIN(5,MATCH(MAX(Reference!$A$6,MIN(Reference!$A$11,MIN($U79,300))),Reference!$A$6:$A$11,1))+1)-INDEX(Reference!$B$6:$B$11,MIN(5,MATCH(MAX(Reference!$A$6,MIN(Reference!$A$11,MIN($U79,300))),Reference!$A$6:$A$11,1))))/(INDEX(Reference!$A$6:$A$11,MIN(5,MATCH(MAX(Reference!$A$6,MIN(Reference!$A$11,MIN($U79,300))),Reference!$A$6:$A$11,1))+1)-INDEX(Reference!$A$6:$A$11,MIN(5,MATCH(MAX(Reference!$A$6,MIN(Reference!$A$11,MIN($U79,300))),Reference!$A$6:$A$11,1))))),0))/($AL79*($AL79+5)/2)),$AN79))</f>
        <v>1.5958333333333334</v>
      </c>
      <c r="AN79" s="32">
        <f>IF($U79="",0,(INDEX(Reference!$B$6:$B$11,MIN(5,MATCH(MAX(Reference!$A$6,MIN(Reference!$A$11,$U79)),Reference!$A$6:$A$11,1)))+(MAX(Reference!$A$6,MIN(Reference!$A$11,$U79))-INDEX(Reference!$A$6:$A$11,MIN(5,MATCH(MAX(Reference!$A$6,MIN(Reference!$A$11,$U79)),Reference!$A$6:$A$11,1))))*(INDEX(Reference!$B$6:$B$11,MIN(5,MATCH(MAX(Reference!$A$6,MIN(Reference!$A$11,$U79)),Reference!$A$6:$A$11,1))+1)-INDEX(Reference!$B$6:$B$11,MIN(5,MATCH(MAX(Reference!$A$6,MIN(Reference!$A$11,$U79)),Reference!$A$6:$A$11,1))))/(INDEX(Reference!$A$6:$A$11,MIN(5,MATCH(MAX(Reference!$A$6,MIN(Reference!$A$11,$U79)),Reference!$A$6:$A$11,1))+1)-INDEX(Reference!$A$6:$A$11,MIN(5,MATCH(MAX(Reference!$A$6,MIN(Reference!$A$11,$U79)),Reference!$A$6:$A$11,1))))))</f>
        <v>1.9500000000000002</v>
      </c>
      <c r="AO79" s="37"/>
      <c r="AP79" s="37"/>
      <c r="AQ79" s="37"/>
    </row>
    <row r="80" spans="1:43" x14ac:dyDescent="0.3">
      <c r="A80" s="48">
        <f t="shared" si="30"/>
        <v>46344</v>
      </c>
      <c r="B80" s="32" t="str">
        <f t="shared" si="31"/>
        <v>Wed</v>
      </c>
      <c r="C80" s="32">
        <f t="shared" si="32"/>
        <v>47</v>
      </c>
      <c r="D80" s="32" t="str">
        <f t="shared" si="33"/>
        <v>Extension</v>
      </c>
      <c r="E80" s="32" t="str">
        <f t="shared" si="34"/>
        <v>No Throw</v>
      </c>
      <c r="F80" s="32" t="str">
        <f t="shared" si="35"/>
        <v>No Throw</v>
      </c>
      <c r="G80" s="47" t="str">
        <f t="shared" si="36"/>
        <v>Off</v>
      </c>
      <c r="H80" s="30">
        <f t="shared" si="37"/>
        <v>0</v>
      </c>
      <c r="I80" s="46">
        <f>IF($A80="","",IF(AND($L80&lt;27,$K$12=0),"Building",IFERROR(((SUM($H$74:$H80)+$K$12*IF($L80&lt;6,SUMIFS('Throw Log'!$Q$5:$Q$300,'Throw Log'!$B$5:$B$300,$D$4,'Throw Log'!$A$5:$A$300,"&gt;="&amp;($D$6+$L80-6),'Throw Log'!$A$5:$A$300,"&lt;="&amp;($D$6-1)),0))/7)/((SUM($H$53:$H80)+$K$12*IF($L80&lt;27,SUMIFS('Throw Log'!$Q$5:$Q$300,'Throw Log'!$B$5:$B$300,$D$4,'Throw Log'!$A$5:$A$300,"&gt;="&amp;($D$6+$L80-27),'Throw Log'!$A$5:$A$300,"&lt;="&amp;($D$6-1)),0))/28),"")))</f>
        <v>1.1488529325539913</v>
      </c>
      <c r="J80" s="37"/>
      <c r="K80" s="37"/>
      <c r="L80" s="32">
        <v>37</v>
      </c>
      <c r="M80" s="32">
        <f t="shared" si="38"/>
        <v>6</v>
      </c>
      <c r="N80" s="32">
        <f t="shared" si="39"/>
        <v>2</v>
      </c>
      <c r="O80" s="32">
        <f t="shared" si="40"/>
        <v>0.48684210526315791</v>
      </c>
      <c r="P80" s="32">
        <f>IF(OR($A80="",N($C80)&lt;=7),"",$G$6*$G$9^($M80-1)*IF(AND(MOD($M80,Reference!$B$99)=0,$M80&lt;=$G$5-2),Reference!$B$100,1))</f>
        <v>144.22205101855957</v>
      </c>
      <c r="Q80" s="32">
        <f>IF($P80="","",IF(SUM($AK$78:$AK$84)=0,0,$P80*INDEX(Reference!$B$108:$B$114,$N80+1)/SUM($AK$78:$AK$84)))</f>
        <v>0</v>
      </c>
      <c r="R80" s="32">
        <f t="shared" si="41"/>
        <v>135</v>
      </c>
      <c r="S80" s="32">
        <f t="shared" si="42"/>
        <v>120</v>
      </c>
      <c r="T80" s="32" t="str">
        <f>IF($A80="","",IF($C80=0,"Bullpen",IF(OR($C80=7,$C80=1,$C80=5),"Recovery/Easy Catch",IF($C80=6,"Compression/Pulldowns",IF(OR($C80=4,$C80=2),"Long Toss",IF($C80=3,"No Throw",IF($N80=2,"No Throw",IF($N80=6,IF($O80&lt;Reference!$B$104,"No Throw","Recovery/Easy Catch"),IF(OR($N80=0,$N80=4),"Recovery/Easy Catch",IF($N80=1,IF($R80&gt;75,"Long Toss","Recovery/Easy Catch"),IF($N80=3,IF($O80&lt;0.5,IF($S80&gt;75,"Long Toss","Recovery/Easy Catch"),"Compression/Pulldowns"),IF($S80&gt;75,"Long Toss","Recovery/Easy Catch"))))))))))))</f>
        <v>No Throw</v>
      </c>
      <c r="U80" s="32" t="str">
        <f t="shared" si="43"/>
        <v/>
      </c>
      <c r="V80" s="32" t="str">
        <f t="shared" si="44"/>
        <v/>
      </c>
      <c r="W80" s="32" t="str">
        <f t="shared" si="45"/>
        <v/>
      </c>
      <c r="X80" s="32">
        <f t="shared" si="46"/>
        <v>0</v>
      </c>
      <c r="Y80" s="32" t="str">
        <f t="shared" si="47"/>
        <v/>
      </c>
      <c r="Z80" s="32" t="str">
        <f t="shared" si="48"/>
        <v/>
      </c>
      <c r="AA80" s="32" t="str">
        <f t="shared" si="49"/>
        <v/>
      </c>
      <c r="AB80" s="32">
        <f>IF($A80="","",IF($T80="No Throw",0,IF($K80&lt;&gt;"",$K80,IF($AA80&lt;&gt;"",ROUND($AA80*$D$12*IF($C80=0,1,$G$10),0),MIN(IF($T80="Recovery/Easy Catch",Reference!$B$103,IF($T80="Long Toss",Reference!$B$106,Reference!$B$102)),MAX(Reference!$B$101,ROUND(MAX(0,$Q80-$AE80)/$AF80,0)))))))</f>
        <v>0</v>
      </c>
      <c r="AC80" s="32">
        <f t="shared" si="50"/>
        <v>0</v>
      </c>
      <c r="AD80" s="32" t="b">
        <f t="shared" si="51"/>
        <v>1</v>
      </c>
      <c r="AE80" s="32">
        <f>IF($X80=0,0,$X80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80+$Z80)/2,0),Reference!$A$17:$B$20,2,TRUE()))</f>
        <v>0</v>
      </c>
      <c r="AF80" s="32">
        <f>IF(OR($A80="",$U80="",$T80="No Throw"),0,$AM80*VLOOKUP(MAX(($V80+$W80)/2,0),Reference!$A$17:$B$20,2,TRUE()))</f>
        <v>0</v>
      </c>
      <c r="AG80" s="32">
        <f>IF($AC80=0,0,$AC80*INDEX(Reference!$B$61:$B$62,MATCH("Bullpen",Reference!$A$61:$A$62,0))*VLOOKUP(MAX($D$5-($D$9+$E$9)/2,0),Reference!$A$17:$B$20,2,TRUE()))</f>
        <v>0</v>
      </c>
      <c r="AH80" s="46">
        <f t="shared" si="52"/>
        <v>1.1488529325539913</v>
      </c>
      <c r="AI80" s="32">
        <f>IF($A80="",NA(),Reference!$A$25)</f>
        <v>0.8</v>
      </c>
      <c r="AJ80" s="32">
        <f t="shared" si="53"/>
        <v>1.3</v>
      </c>
      <c r="AK80" s="32">
        <f>IF(OR($A80="",N($C80)&lt;=7,$T80="No Throw",$J80="x"),0,INDEX(Reference!$B$108:$B$114,$N80+1))</f>
        <v>0</v>
      </c>
      <c r="AL80" s="32">
        <f t="shared" si="54"/>
        <v>1</v>
      </c>
      <c r="AM80" s="32">
        <f>IF($U80="",0,IF($AL80&gt;1,((IF(1&lt;=$AL80,($AL80-1+3)*(INDEX(Reference!$B$6:$B$11,MIN(5,MATCH(MAX(Reference!$A$6,MIN(Reference!$A$11,MIN($U80,90))),Reference!$A$6:$A$11,1)))+(MAX(Reference!$A$6,MIN(Reference!$A$11,MIN($U80,90)))-INDEX(Reference!$A$6:$A$11,MIN(5,MATCH(MAX(Reference!$A$6,MIN(Reference!$A$11,MIN($U80,90))),Reference!$A$6:$A$11,1))))*(INDEX(Reference!$B$6:$B$11,MIN(5,MATCH(MAX(Reference!$A$6,MIN(Reference!$A$11,MIN($U80,90))),Reference!$A$6:$A$11,1))+1)-INDEX(Reference!$B$6:$B$11,MIN(5,MATCH(MAX(Reference!$A$6,MIN(Reference!$A$11,MIN($U80,90))),Reference!$A$6:$A$11,1))))/(INDEX(Reference!$A$6:$A$11,MIN(5,MATCH(MAX(Reference!$A$6,MIN(Reference!$A$11,MIN($U80,90))),Reference!$A$6:$A$11,1))+1)-INDEX(Reference!$A$6:$A$11,MIN(5,MATCH(MAX(Reference!$A$6,MIN(Reference!$A$11,MIN($U80,90))),Reference!$A$6:$A$11,1))))),0)+IF(2&lt;=$AL80,($AL80-2+3)*(INDEX(Reference!$B$6:$B$11,MIN(5,MATCH(MAX(Reference!$A$6,MIN(Reference!$A$11,MIN($U80,120))),Reference!$A$6:$A$11,1)))+(MAX(Reference!$A$6,MIN(Reference!$A$11,MIN($U80,120)))-INDEX(Reference!$A$6:$A$11,MIN(5,MATCH(MAX(Reference!$A$6,MIN(Reference!$A$11,MIN($U80,120))),Reference!$A$6:$A$11,1))))*(INDEX(Reference!$B$6:$B$11,MIN(5,MATCH(MAX(Reference!$A$6,MIN(Reference!$A$11,MIN($U80,120))),Reference!$A$6:$A$11,1))+1)-INDEX(Reference!$B$6:$B$11,MIN(5,MATCH(MAX(Reference!$A$6,MIN(Reference!$A$11,MIN($U80,120))),Reference!$A$6:$A$11,1))))/(INDEX(Reference!$A$6:$A$11,MIN(5,MATCH(MAX(Reference!$A$6,MIN(Reference!$A$11,MIN($U80,120))),Reference!$A$6:$A$11,1))+1)-INDEX(Reference!$A$6:$A$11,MIN(5,MATCH(MAX(Reference!$A$6,MIN(Reference!$A$11,MIN($U80,120))),Reference!$A$6:$A$11,1))))),0)+IF(3&lt;=$AL80,($AL80-3+3)*(INDEX(Reference!$B$6:$B$11,MIN(5,MATCH(MAX(Reference!$A$6,MIN(Reference!$A$11,MIN($U80,150))),Reference!$A$6:$A$11,1)))+(MAX(Reference!$A$6,MIN(Reference!$A$11,MIN($U80,150)))-INDEX(Reference!$A$6:$A$11,MIN(5,MATCH(MAX(Reference!$A$6,MIN(Reference!$A$11,MIN($U80,150))),Reference!$A$6:$A$11,1))))*(INDEX(Reference!$B$6:$B$11,MIN(5,MATCH(MAX(Reference!$A$6,MIN(Reference!$A$11,MIN($U80,150))),Reference!$A$6:$A$11,1))+1)-INDEX(Reference!$B$6:$B$11,MIN(5,MATCH(MAX(Reference!$A$6,MIN(Reference!$A$11,MIN($U80,150))),Reference!$A$6:$A$11,1))))/(INDEX(Reference!$A$6:$A$11,MIN(5,MATCH(MAX(Reference!$A$6,MIN(Reference!$A$11,MIN($U80,150))),Reference!$A$6:$A$11,1))+1)-INDEX(Reference!$A$6:$A$11,MIN(5,MATCH(MAX(Reference!$A$6,MIN(Reference!$A$11,MIN($U80,150))),Reference!$A$6:$A$11,1))))),0)+IF(4&lt;=$AL80,($AL80-4+3)*(INDEX(Reference!$B$6:$B$11,MIN(5,MATCH(MAX(Reference!$A$6,MIN(Reference!$A$11,MIN($U80,180))),Reference!$A$6:$A$11,1)))+(MAX(Reference!$A$6,MIN(Reference!$A$11,MIN($U80,180)))-INDEX(Reference!$A$6:$A$11,MIN(5,MATCH(MAX(Reference!$A$6,MIN(Reference!$A$11,MIN($U80,180))),Reference!$A$6:$A$11,1))))*(INDEX(Reference!$B$6:$B$11,MIN(5,MATCH(MAX(Reference!$A$6,MIN(Reference!$A$11,MIN($U80,180))),Reference!$A$6:$A$11,1))+1)-INDEX(Reference!$B$6:$B$11,MIN(5,MATCH(MAX(Reference!$A$6,MIN(Reference!$A$11,MIN($U80,180))),Reference!$A$6:$A$11,1))))/(INDEX(Reference!$A$6:$A$11,MIN(5,MATCH(MAX(Reference!$A$6,MIN(Reference!$A$11,MIN($U80,180))),Reference!$A$6:$A$11,1))+1)-INDEX(Reference!$A$6:$A$11,MIN(5,MATCH(MAX(Reference!$A$6,MIN(Reference!$A$11,MIN($U80,180))),Reference!$A$6:$A$11,1))))),0)+IF(5&lt;=$AL80,($AL80-5+3)*(INDEX(Reference!$B$6:$B$11,MIN(5,MATCH(MAX(Reference!$A$6,MIN(Reference!$A$11,MIN($U80,210))),Reference!$A$6:$A$11,1)))+(MAX(Reference!$A$6,MIN(Reference!$A$11,MIN($U80,210)))-INDEX(Reference!$A$6:$A$11,MIN(5,MATCH(MAX(Reference!$A$6,MIN(Reference!$A$11,MIN($U80,210))),Reference!$A$6:$A$11,1))))*(INDEX(Reference!$B$6:$B$11,MIN(5,MATCH(MAX(Reference!$A$6,MIN(Reference!$A$11,MIN($U80,210))),Reference!$A$6:$A$11,1))+1)-INDEX(Reference!$B$6:$B$11,MIN(5,MATCH(MAX(Reference!$A$6,MIN(Reference!$A$11,MIN($U80,210))),Reference!$A$6:$A$11,1))))/(INDEX(Reference!$A$6:$A$11,MIN(5,MATCH(MAX(Reference!$A$6,MIN(Reference!$A$11,MIN($U80,210))),Reference!$A$6:$A$11,1))+1)-INDEX(Reference!$A$6:$A$11,MIN(5,MATCH(MAX(Reference!$A$6,MIN(Reference!$A$11,MIN($U80,210))),Reference!$A$6:$A$11,1))))),0)+IF(6&lt;=$AL80,($AL80-6+3)*(INDEX(Reference!$B$6:$B$11,MIN(5,MATCH(MAX(Reference!$A$6,MIN(Reference!$A$11,MIN($U80,240))),Reference!$A$6:$A$11,1)))+(MAX(Reference!$A$6,MIN(Reference!$A$11,MIN($U80,240)))-INDEX(Reference!$A$6:$A$11,MIN(5,MATCH(MAX(Reference!$A$6,MIN(Reference!$A$11,MIN($U80,240))),Reference!$A$6:$A$11,1))))*(INDEX(Reference!$B$6:$B$11,MIN(5,MATCH(MAX(Reference!$A$6,MIN(Reference!$A$11,MIN($U80,240))),Reference!$A$6:$A$11,1))+1)-INDEX(Reference!$B$6:$B$11,MIN(5,MATCH(MAX(Reference!$A$6,MIN(Reference!$A$11,MIN($U80,240))),Reference!$A$6:$A$11,1))))/(INDEX(Reference!$A$6:$A$11,MIN(5,MATCH(MAX(Reference!$A$6,MIN(Reference!$A$11,MIN($U80,240))),Reference!$A$6:$A$11,1))+1)-INDEX(Reference!$A$6:$A$11,MIN(5,MATCH(MAX(Reference!$A$6,MIN(Reference!$A$11,MIN($U80,240))),Reference!$A$6:$A$11,1))))),0)+IF(7&lt;=$AL80,($AL80-7+3)*(INDEX(Reference!$B$6:$B$11,MIN(5,MATCH(MAX(Reference!$A$6,MIN(Reference!$A$11,MIN($U80,270))),Reference!$A$6:$A$11,1)))+(MAX(Reference!$A$6,MIN(Reference!$A$11,MIN($U80,270)))-INDEX(Reference!$A$6:$A$11,MIN(5,MATCH(MAX(Reference!$A$6,MIN(Reference!$A$11,MIN($U80,270))),Reference!$A$6:$A$11,1))))*(INDEX(Reference!$B$6:$B$11,MIN(5,MATCH(MAX(Reference!$A$6,MIN(Reference!$A$11,MIN($U80,270))),Reference!$A$6:$A$11,1))+1)-INDEX(Reference!$B$6:$B$11,MIN(5,MATCH(MAX(Reference!$A$6,MIN(Reference!$A$11,MIN($U80,270))),Reference!$A$6:$A$11,1))))/(INDEX(Reference!$A$6:$A$11,MIN(5,MATCH(MAX(Reference!$A$6,MIN(Reference!$A$11,MIN($U80,270))),Reference!$A$6:$A$11,1))+1)-INDEX(Reference!$A$6:$A$11,MIN(5,MATCH(MAX(Reference!$A$6,MIN(Reference!$A$11,MIN($U80,270))),Reference!$A$6:$A$11,1))))),0)+IF(8&lt;=$AL80,($AL80-8+3)*(INDEX(Reference!$B$6:$B$11,MIN(5,MATCH(MAX(Reference!$A$6,MIN(Reference!$A$11,MIN($U80,300))),Reference!$A$6:$A$11,1)))+(MAX(Reference!$A$6,MIN(Reference!$A$11,MIN($U80,300)))-INDEX(Reference!$A$6:$A$11,MIN(5,MATCH(MAX(Reference!$A$6,MIN(Reference!$A$11,MIN($U80,300))),Reference!$A$6:$A$11,1))))*(INDEX(Reference!$B$6:$B$11,MIN(5,MATCH(MAX(Reference!$A$6,MIN(Reference!$A$11,MIN($U80,300))),Reference!$A$6:$A$11,1))+1)-INDEX(Reference!$B$6:$B$11,MIN(5,MATCH(MAX(Reference!$A$6,MIN(Reference!$A$11,MIN($U80,300))),Reference!$A$6:$A$11,1))))/(INDEX(Reference!$A$6:$A$11,MIN(5,MATCH(MAX(Reference!$A$6,MIN(Reference!$A$11,MIN($U80,300))),Reference!$A$6:$A$11,1))+1)-INDEX(Reference!$A$6:$A$11,MIN(5,MATCH(MAX(Reference!$A$6,MIN(Reference!$A$11,MIN($U80,300))),Reference!$A$6:$A$11,1))))),0))/($AL80*($AL80+5)/2)),$AN80))</f>
        <v>0</v>
      </c>
      <c r="AN80" s="32">
        <f>IF($U80="",0,(INDEX(Reference!$B$6:$B$11,MIN(5,MATCH(MAX(Reference!$A$6,MIN(Reference!$A$11,$U80)),Reference!$A$6:$A$11,1)))+(MAX(Reference!$A$6,MIN(Reference!$A$11,$U80))-INDEX(Reference!$A$6:$A$11,MIN(5,MATCH(MAX(Reference!$A$6,MIN(Reference!$A$11,$U80)),Reference!$A$6:$A$11,1))))*(INDEX(Reference!$B$6:$B$11,MIN(5,MATCH(MAX(Reference!$A$6,MIN(Reference!$A$11,$U80)),Reference!$A$6:$A$11,1))+1)-INDEX(Reference!$B$6:$B$11,MIN(5,MATCH(MAX(Reference!$A$6,MIN(Reference!$A$11,$U80)),Reference!$A$6:$A$11,1))))/(INDEX(Reference!$A$6:$A$11,MIN(5,MATCH(MAX(Reference!$A$6,MIN(Reference!$A$11,$U80)),Reference!$A$6:$A$11,1))+1)-INDEX(Reference!$A$6:$A$11,MIN(5,MATCH(MAX(Reference!$A$6,MIN(Reference!$A$11,$U80)),Reference!$A$6:$A$11,1))))))</f>
        <v>0</v>
      </c>
      <c r="AO80" s="37"/>
      <c r="AP80" s="37"/>
      <c r="AQ80" s="37"/>
    </row>
    <row r="81" spans="1:43" x14ac:dyDescent="0.3">
      <c r="A81" s="48">
        <f t="shared" si="30"/>
        <v>46345</v>
      </c>
      <c r="B81" s="32" t="str">
        <f t="shared" si="31"/>
        <v>Thu</v>
      </c>
      <c r="C81" s="32">
        <f t="shared" si="32"/>
        <v>46</v>
      </c>
      <c r="D81" s="32" t="str">
        <f t="shared" si="33"/>
        <v>Extension</v>
      </c>
      <c r="E81" s="32" t="str">
        <f t="shared" si="34"/>
        <v>High Non-Bullpen</v>
      </c>
      <c r="F81" s="32" t="str">
        <f t="shared" si="35"/>
        <v>Compression/Pulldowns</v>
      </c>
      <c r="G81" s="47" t="str">
        <f t="shared" si="36"/>
        <v>90 ft × 20 @ 80–82 mph + 60 ft × 15 @ 77–79 mph</v>
      </c>
      <c r="H81" s="30">
        <f t="shared" si="37"/>
        <v>35</v>
      </c>
      <c r="I81" s="46">
        <f>IF($A81="","",IF(AND($L81&lt;27,$K$12=0),"Building",IFERROR(((SUM($H$75:$H81)+$K$12*IF($L81&lt;6,SUMIFS('Throw Log'!$Q$5:$Q$300,'Throw Log'!$B$5:$B$300,$D$4,'Throw Log'!$A$5:$A$300,"&gt;="&amp;($D$6+$L81-6),'Throw Log'!$A$5:$A$300,"&lt;="&amp;($D$6-1)),0))/7)/((SUM($H$54:$H81)+$K$12*IF($L81&lt;27,SUMIFS('Throw Log'!$Q$5:$Q$300,'Throw Log'!$B$5:$B$300,$D$4,'Throw Log'!$A$5:$A$300,"&gt;="&amp;($D$6+$L81-27),'Throw Log'!$A$5:$A$300,"&lt;="&amp;($D$6-1)),0))/28),"")))</f>
        <v>1.1766143234166977</v>
      </c>
      <c r="J81" s="37"/>
      <c r="K81" s="37"/>
      <c r="L81" s="32">
        <v>38</v>
      </c>
      <c r="M81" s="32">
        <f t="shared" si="38"/>
        <v>6</v>
      </c>
      <c r="N81" s="32">
        <f t="shared" si="39"/>
        <v>3</v>
      </c>
      <c r="O81" s="32">
        <f t="shared" si="40"/>
        <v>0.5</v>
      </c>
      <c r="P81" s="32">
        <f>IF(OR($A81="",N($C81)&lt;=7),"",$G$6*$G$9^($M81-1)*IF(AND(MOD($M81,Reference!$B$99)=0,$M81&lt;=$G$5-2),Reference!$B$100,1))</f>
        <v>144.22205101855957</v>
      </c>
      <c r="Q81" s="32">
        <f>IF($P81="","",IF(SUM($AK$78:$AK$84)=0,0,$P81*INDEX(Reference!$B$108:$B$114,$N81+1)/SUM($AK$78:$AK$84)))</f>
        <v>34.613292244454293</v>
      </c>
      <c r="R81" s="32">
        <f t="shared" si="41"/>
        <v>135</v>
      </c>
      <c r="S81" s="32">
        <f t="shared" si="42"/>
        <v>120</v>
      </c>
      <c r="T81" s="32" t="str">
        <f>IF($A81="","",IF($C81=0,"Bullpen",IF(OR($C81=7,$C81=1,$C81=5),"Recovery/Easy Catch",IF($C81=6,"Compression/Pulldowns",IF(OR($C81=4,$C81=2),"Long Toss",IF($C81=3,"No Throw",IF($N81=2,"No Throw",IF($N81=6,IF($O81&lt;Reference!$B$104,"No Throw","Recovery/Easy Catch"),IF(OR($N81=0,$N81=4),"Recovery/Easy Catch",IF($N81=1,IF($R81&gt;75,"Long Toss","Recovery/Easy Catch"),IF($N81=3,IF($O81&lt;0.5,IF($S81&gt;75,"Long Toss","Recovery/Easy Catch"),"Compression/Pulldowns"),IF($S81&gt;75,"Long Toss","Recovery/Easy Catch"))))))))))))</f>
        <v>Compression/Pulldowns</v>
      </c>
      <c r="U81" s="32">
        <f t="shared" si="43"/>
        <v>90</v>
      </c>
      <c r="V81" s="32">
        <f t="shared" si="44"/>
        <v>7</v>
      </c>
      <c r="W81" s="32">
        <f t="shared" si="45"/>
        <v>9</v>
      </c>
      <c r="X81" s="32">
        <f t="shared" si="46"/>
        <v>15</v>
      </c>
      <c r="Y81" s="32">
        <f t="shared" si="47"/>
        <v>10</v>
      </c>
      <c r="Z81" s="32">
        <f t="shared" si="48"/>
        <v>12</v>
      </c>
      <c r="AA81" s="32" t="str">
        <f t="shared" si="49"/>
        <v/>
      </c>
      <c r="AB81" s="32">
        <f>IF($A81="","",IF($T81="No Throw",0,IF($K81&lt;&gt;"",$K81,IF($AA81&lt;&gt;"",ROUND($AA81*$D$12*IF($C81=0,1,$G$10),0),MIN(IF($T81="Recovery/Easy Catch",Reference!$B$103,IF($T81="Long Toss",Reference!$B$106,Reference!$B$102)),MAX(Reference!$B$101,ROUND(MAX(0,$Q81-$AE81)/$AF81,0)))))))</f>
        <v>20</v>
      </c>
      <c r="AC81" s="32">
        <f t="shared" si="50"/>
        <v>0</v>
      </c>
      <c r="AD81" s="32" t="b">
        <f t="shared" si="51"/>
        <v>0</v>
      </c>
      <c r="AE81" s="32">
        <f>IF($X81=0,0,$X81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81+$Z81)/2,0),Reference!$A$17:$B$20,2,TRUE()))</f>
        <v>9</v>
      </c>
      <c r="AF81" s="32">
        <f>IF(OR($A81="",$U81="",$T81="No Throw"),0,$AM81*VLOOKUP(MAX(($V81+$W81)/2,0),Reference!$A$17:$B$20,2,TRUE()))</f>
        <v>1.3</v>
      </c>
      <c r="AG81" s="32">
        <f>IF($AC81=0,0,$AC81*INDEX(Reference!$B$61:$B$62,MATCH("Bullpen",Reference!$A$61:$A$62,0))*VLOOKUP(MAX($D$5-($D$9+$E$9)/2,0),Reference!$A$17:$B$20,2,TRUE()))</f>
        <v>0</v>
      </c>
      <c r="AH81" s="46">
        <f t="shared" si="52"/>
        <v>1.1766143234166977</v>
      </c>
      <c r="AI81" s="32">
        <f>IF($A81="",NA(),Reference!$A$25)</f>
        <v>0.8</v>
      </c>
      <c r="AJ81" s="32">
        <f t="shared" si="53"/>
        <v>1.3</v>
      </c>
      <c r="AK81" s="56">
        <f>IF(OR($A81="",N($C81)&lt;=7,$T81="No Throw",$J81="x"),0,INDEX(Reference!$B$108:$B$114,$N81+1))</f>
        <v>0.24</v>
      </c>
      <c r="AL81" s="32">
        <f t="shared" si="54"/>
        <v>1</v>
      </c>
      <c r="AM81" s="32">
        <f>IF($U81="",0,IF($AL81&gt;1,((IF(1&lt;=$AL81,($AL81-1+3)*(INDEX(Reference!$B$6:$B$11,MIN(5,MATCH(MAX(Reference!$A$6,MIN(Reference!$A$11,MIN($U81,90))),Reference!$A$6:$A$11,1)))+(MAX(Reference!$A$6,MIN(Reference!$A$11,MIN($U81,90)))-INDEX(Reference!$A$6:$A$11,MIN(5,MATCH(MAX(Reference!$A$6,MIN(Reference!$A$11,MIN($U81,90))),Reference!$A$6:$A$11,1))))*(INDEX(Reference!$B$6:$B$11,MIN(5,MATCH(MAX(Reference!$A$6,MIN(Reference!$A$11,MIN($U81,90))),Reference!$A$6:$A$11,1))+1)-INDEX(Reference!$B$6:$B$11,MIN(5,MATCH(MAX(Reference!$A$6,MIN(Reference!$A$11,MIN($U81,90))),Reference!$A$6:$A$11,1))))/(INDEX(Reference!$A$6:$A$11,MIN(5,MATCH(MAX(Reference!$A$6,MIN(Reference!$A$11,MIN($U81,90))),Reference!$A$6:$A$11,1))+1)-INDEX(Reference!$A$6:$A$11,MIN(5,MATCH(MAX(Reference!$A$6,MIN(Reference!$A$11,MIN($U81,90))),Reference!$A$6:$A$11,1))))),0)+IF(2&lt;=$AL81,($AL81-2+3)*(INDEX(Reference!$B$6:$B$11,MIN(5,MATCH(MAX(Reference!$A$6,MIN(Reference!$A$11,MIN($U81,120))),Reference!$A$6:$A$11,1)))+(MAX(Reference!$A$6,MIN(Reference!$A$11,MIN($U81,120)))-INDEX(Reference!$A$6:$A$11,MIN(5,MATCH(MAX(Reference!$A$6,MIN(Reference!$A$11,MIN($U81,120))),Reference!$A$6:$A$11,1))))*(INDEX(Reference!$B$6:$B$11,MIN(5,MATCH(MAX(Reference!$A$6,MIN(Reference!$A$11,MIN($U81,120))),Reference!$A$6:$A$11,1))+1)-INDEX(Reference!$B$6:$B$11,MIN(5,MATCH(MAX(Reference!$A$6,MIN(Reference!$A$11,MIN($U81,120))),Reference!$A$6:$A$11,1))))/(INDEX(Reference!$A$6:$A$11,MIN(5,MATCH(MAX(Reference!$A$6,MIN(Reference!$A$11,MIN($U81,120))),Reference!$A$6:$A$11,1))+1)-INDEX(Reference!$A$6:$A$11,MIN(5,MATCH(MAX(Reference!$A$6,MIN(Reference!$A$11,MIN($U81,120))),Reference!$A$6:$A$11,1))))),0)+IF(3&lt;=$AL81,($AL81-3+3)*(INDEX(Reference!$B$6:$B$11,MIN(5,MATCH(MAX(Reference!$A$6,MIN(Reference!$A$11,MIN($U81,150))),Reference!$A$6:$A$11,1)))+(MAX(Reference!$A$6,MIN(Reference!$A$11,MIN($U81,150)))-INDEX(Reference!$A$6:$A$11,MIN(5,MATCH(MAX(Reference!$A$6,MIN(Reference!$A$11,MIN($U81,150))),Reference!$A$6:$A$11,1))))*(INDEX(Reference!$B$6:$B$11,MIN(5,MATCH(MAX(Reference!$A$6,MIN(Reference!$A$11,MIN($U81,150))),Reference!$A$6:$A$11,1))+1)-INDEX(Reference!$B$6:$B$11,MIN(5,MATCH(MAX(Reference!$A$6,MIN(Reference!$A$11,MIN($U81,150))),Reference!$A$6:$A$11,1))))/(INDEX(Reference!$A$6:$A$11,MIN(5,MATCH(MAX(Reference!$A$6,MIN(Reference!$A$11,MIN($U81,150))),Reference!$A$6:$A$11,1))+1)-INDEX(Reference!$A$6:$A$11,MIN(5,MATCH(MAX(Reference!$A$6,MIN(Reference!$A$11,MIN($U81,150))),Reference!$A$6:$A$11,1))))),0)+IF(4&lt;=$AL81,($AL81-4+3)*(INDEX(Reference!$B$6:$B$11,MIN(5,MATCH(MAX(Reference!$A$6,MIN(Reference!$A$11,MIN($U81,180))),Reference!$A$6:$A$11,1)))+(MAX(Reference!$A$6,MIN(Reference!$A$11,MIN($U81,180)))-INDEX(Reference!$A$6:$A$11,MIN(5,MATCH(MAX(Reference!$A$6,MIN(Reference!$A$11,MIN($U81,180))),Reference!$A$6:$A$11,1))))*(INDEX(Reference!$B$6:$B$11,MIN(5,MATCH(MAX(Reference!$A$6,MIN(Reference!$A$11,MIN($U81,180))),Reference!$A$6:$A$11,1))+1)-INDEX(Reference!$B$6:$B$11,MIN(5,MATCH(MAX(Reference!$A$6,MIN(Reference!$A$11,MIN($U81,180))),Reference!$A$6:$A$11,1))))/(INDEX(Reference!$A$6:$A$11,MIN(5,MATCH(MAX(Reference!$A$6,MIN(Reference!$A$11,MIN($U81,180))),Reference!$A$6:$A$11,1))+1)-INDEX(Reference!$A$6:$A$11,MIN(5,MATCH(MAX(Reference!$A$6,MIN(Reference!$A$11,MIN($U81,180))),Reference!$A$6:$A$11,1))))),0)+IF(5&lt;=$AL81,($AL81-5+3)*(INDEX(Reference!$B$6:$B$11,MIN(5,MATCH(MAX(Reference!$A$6,MIN(Reference!$A$11,MIN($U81,210))),Reference!$A$6:$A$11,1)))+(MAX(Reference!$A$6,MIN(Reference!$A$11,MIN($U81,210)))-INDEX(Reference!$A$6:$A$11,MIN(5,MATCH(MAX(Reference!$A$6,MIN(Reference!$A$11,MIN($U81,210))),Reference!$A$6:$A$11,1))))*(INDEX(Reference!$B$6:$B$11,MIN(5,MATCH(MAX(Reference!$A$6,MIN(Reference!$A$11,MIN($U81,210))),Reference!$A$6:$A$11,1))+1)-INDEX(Reference!$B$6:$B$11,MIN(5,MATCH(MAX(Reference!$A$6,MIN(Reference!$A$11,MIN($U81,210))),Reference!$A$6:$A$11,1))))/(INDEX(Reference!$A$6:$A$11,MIN(5,MATCH(MAX(Reference!$A$6,MIN(Reference!$A$11,MIN($U81,210))),Reference!$A$6:$A$11,1))+1)-INDEX(Reference!$A$6:$A$11,MIN(5,MATCH(MAX(Reference!$A$6,MIN(Reference!$A$11,MIN($U81,210))),Reference!$A$6:$A$11,1))))),0)+IF(6&lt;=$AL81,($AL81-6+3)*(INDEX(Reference!$B$6:$B$11,MIN(5,MATCH(MAX(Reference!$A$6,MIN(Reference!$A$11,MIN($U81,240))),Reference!$A$6:$A$11,1)))+(MAX(Reference!$A$6,MIN(Reference!$A$11,MIN($U81,240)))-INDEX(Reference!$A$6:$A$11,MIN(5,MATCH(MAX(Reference!$A$6,MIN(Reference!$A$11,MIN($U81,240))),Reference!$A$6:$A$11,1))))*(INDEX(Reference!$B$6:$B$11,MIN(5,MATCH(MAX(Reference!$A$6,MIN(Reference!$A$11,MIN($U81,240))),Reference!$A$6:$A$11,1))+1)-INDEX(Reference!$B$6:$B$11,MIN(5,MATCH(MAX(Reference!$A$6,MIN(Reference!$A$11,MIN($U81,240))),Reference!$A$6:$A$11,1))))/(INDEX(Reference!$A$6:$A$11,MIN(5,MATCH(MAX(Reference!$A$6,MIN(Reference!$A$11,MIN($U81,240))),Reference!$A$6:$A$11,1))+1)-INDEX(Reference!$A$6:$A$11,MIN(5,MATCH(MAX(Reference!$A$6,MIN(Reference!$A$11,MIN($U81,240))),Reference!$A$6:$A$11,1))))),0)+IF(7&lt;=$AL81,($AL81-7+3)*(INDEX(Reference!$B$6:$B$11,MIN(5,MATCH(MAX(Reference!$A$6,MIN(Reference!$A$11,MIN($U81,270))),Reference!$A$6:$A$11,1)))+(MAX(Reference!$A$6,MIN(Reference!$A$11,MIN($U81,270)))-INDEX(Reference!$A$6:$A$11,MIN(5,MATCH(MAX(Reference!$A$6,MIN(Reference!$A$11,MIN($U81,270))),Reference!$A$6:$A$11,1))))*(INDEX(Reference!$B$6:$B$11,MIN(5,MATCH(MAX(Reference!$A$6,MIN(Reference!$A$11,MIN($U81,270))),Reference!$A$6:$A$11,1))+1)-INDEX(Reference!$B$6:$B$11,MIN(5,MATCH(MAX(Reference!$A$6,MIN(Reference!$A$11,MIN($U81,270))),Reference!$A$6:$A$11,1))))/(INDEX(Reference!$A$6:$A$11,MIN(5,MATCH(MAX(Reference!$A$6,MIN(Reference!$A$11,MIN($U81,270))),Reference!$A$6:$A$11,1))+1)-INDEX(Reference!$A$6:$A$11,MIN(5,MATCH(MAX(Reference!$A$6,MIN(Reference!$A$11,MIN($U81,270))),Reference!$A$6:$A$11,1))))),0)+IF(8&lt;=$AL81,($AL81-8+3)*(INDEX(Reference!$B$6:$B$11,MIN(5,MATCH(MAX(Reference!$A$6,MIN(Reference!$A$11,MIN($U81,300))),Reference!$A$6:$A$11,1)))+(MAX(Reference!$A$6,MIN(Reference!$A$11,MIN($U81,300)))-INDEX(Reference!$A$6:$A$11,MIN(5,MATCH(MAX(Reference!$A$6,MIN(Reference!$A$11,MIN($U81,300))),Reference!$A$6:$A$11,1))))*(INDEX(Reference!$B$6:$B$11,MIN(5,MATCH(MAX(Reference!$A$6,MIN(Reference!$A$11,MIN($U81,300))),Reference!$A$6:$A$11,1))+1)-INDEX(Reference!$B$6:$B$11,MIN(5,MATCH(MAX(Reference!$A$6,MIN(Reference!$A$11,MIN($U81,300))),Reference!$A$6:$A$11,1))))/(INDEX(Reference!$A$6:$A$11,MIN(5,MATCH(MAX(Reference!$A$6,MIN(Reference!$A$11,MIN($U81,300))),Reference!$A$6:$A$11,1))+1)-INDEX(Reference!$A$6:$A$11,MIN(5,MATCH(MAX(Reference!$A$6,MIN(Reference!$A$11,MIN($U81,300))),Reference!$A$6:$A$11,1))))),0))/($AL81*($AL81+5)/2)),$AN81))</f>
        <v>1.3</v>
      </c>
      <c r="AN81" s="32">
        <f>IF($U81="",0,(INDEX(Reference!$B$6:$B$11,MIN(5,MATCH(MAX(Reference!$A$6,MIN(Reference!$A$11,$U81)),Reference!$A$6:$A$11,1)))+(MAX(Reference!$A$6,MIN(Reference!$A$11,$U81))-INDEX(Reference!$A$6:$A$11,MIN(5,MATCH(MAX(Reference!$A$6,MIN(Reference!$A$11,$U81)),Reference!$A$6:$A$11,1))))*(INDEX(Reference!$B$6:$B$11,MIN(5,MATCH(MAX(Reference!$A$6,MIN(Reference!$A$11,$U81)),Reference!$A$6:$A$11,1))+1)-INDEX(Reference!$B$6:$B$11,MIN(5,MATCH(MAX(Reference!$A$6,MIN(Reference!$A$11,$U81)),Reference!$A$6:$A$11,1))))/(INDEX(Reference!$A$6:$A$11,MIN(5,MATCH(MAX(Reference!$A$6,MIN(Reference!$A$11,$U81)),Reference!$A$6:$A$11,1))+1)-INDEX(Reference!$A$6:$A$11,MIN(5,MATCH(MAX(Reference!$A$6,MIN(Reference!$A$11,$U81)),Reference!$A$6:$A$11,1))))))</f>
        <v>1.3</v>
      </c>
      <c r="AO81" s="37"/>
      <c r="AP81" s="37"/>
      <c r="AQ81" s="37"/>
    </row>
    <row r="82" spans="1:43" x14ac:dyDescent="0.3">
      <c r="A82" s="48">
        <f t="shared" si="30"/>
        <v>46346</v>
      </c>
      <c r="B82" s="32" t="str">
        <f t="shared" si="31"/>
        <v>Fri</v>
      </c>
      <c r="C82" s="32">
        <f t="shared" si="32"/>
        <v>45</v>
      </c>
      <c r="D82" s="32" t="str">
        <f t="shared" si="33"/>
        <v>Extension</v>
      </c>
      <c r="E82" s="32" t="str">
        <f t="shared" si="34"/>
        <v>Low</v>
      </c>
      <c r="F82" s="32" t="str">
        <f t="shared" si="35"/>
        <v>Recovery/Easy Catch</v>
      </c>
      <c r="G82" s="47" t="str">
        <f t="shared" si="36"/>
        <v>75 ft × 21 @ 67–71 mph</v>
      </c>
      <c r="H82" s="30">
        <f t="shared" si="37"/>
        <v>14.489999999999998</v>
      </c>
      <c r="I82" s="46">
        <f>IF($A82="","",IF(AND($L82&lt;27,$K$12=0),"Building",IFERROR(((SUM($H$76:$H82)+$K$12*IF($L82&lt;6,SUMIFS('Throw Log'!$Q$5:$Q$300,'Throw Log'!$B$5:$B$300,$D$4,'Throw Log'!$A$5:$A$300,"&gt;="&amp;($D$6+$L82-6),'Throw Log'!$A$5:$A$300,"&lt;="&amp;($D$6-1)),0))/7)/((SUM($H$55:$H82)+$K$12*IF($L82&lt;27,SUMIFS('Throw Log'!$Q$5:$Q$300,'Throw Log'!$B$5:$B$300,$D$4,'Throw Log'!$A$5:$A$300,"&gt;="&amp;($D$6+$L82-27),'Throw Log'!$A$5:$A$300,"&lt;="&amp;($D$6-1)),0))/28),"")))</f>
        <v>1.1921853271591365</v>
      </c>
      <c r="J82" s="37"/>
      <c r="K82" s="37"/>
      <c r="L82" s="32">
        <v>39</v>
      </c>
      <c r="M82" s="32">
        <f t="shared" si="38"/>
        <v>6</v>
      </c>
      <c r="N82" s="32">
        <f t="shared" si="39"/>
        <v>4</v>
      </c>
      <c r="O82" s="32">
        <f t="shared" si="40"/>
        <v>0.51315789473684215</v>
      </c>
      <c r="P82" s="32">
        <f>IF(OR($A82="",N($C82)&lt;=7),"",$G$6*$G$9^($M82-1)*IF(AND(MOD($M82,Reference!$B$99)=0,$M82&lt;=$G$5-2),Reference!$B$100,1))</f>
        <v>144.22205101855957</v>
      </c>
      <c r="Q82" s="32">
        <f>IF($P82="","",IF(SUM($AK$78:$AK$84)=0,0,$P82*INDEX(Reference!$B$108:$B$114,$N82+1)/SUM($AK$78:$AK$84)))</f>
        <v>14.422205101855958</v>
      </c>
      <c r="R82" s="32">
        <f t="shared" si="41"/>
        <v>135</v>
      </c>
      <c r="S82" s="32">
        <f t="shared" si="42"/>
        <v>120</v>
      </c>
      <c r="T82" s="32" t="str">
        <f>IF($A82="","",IF($C82=0,"Bullpen",IF(OR($C82=7,$C82=1,$C82=5),"Recovery/Easy Catch",IF($C82=6,"Compression/Pulldowns",IF(OR($C82=4,$C82=2),"Long Toss",IF($C82=3,"No Throw",IF($N82=2,"No Throw",IF($N82=6,IF($O82&lt;Reference!$B$104,"No Throw","Recovery/Easy Catch"),IF(OR($N82=0,$N82=4),"Recovery/Easy Catch",IF($N82=1,IF($R82&gt;75,"Long Toss","Recovery/Easy Catch"),IF($N82=3,IF($O82&lt;0.5,IF($S82&gt;75,"Long Toss","Recovery/Easy Catch"),"Compression/Pulldowns"),IF($S82&gt;75,"Long Toss","Recovery/Easy Catch"))))))))))))</f>
        <v>Recovery/Easy Catch</v>
      </c>
      <c r="U82" s="32">
        <f t="shared" si="43"/>
        <v>75</v>
      </c>
      <c r="V82" s="32">
        <f t="shared" si="44"/>
        <v>18</v>
      </c>
      <c r="W82" s="32">
        <f t="shared" si="45"/>
        <v>22</v>
      </c>
      <c r="X82" s="32">
        <f t="shared" si="46"/>
        <v>0</v>
      </c>
      <c r="Y82" s="32" t="str">
        <f t="shared" si="47"/>
        <v/>
      </c>
      <c r="Z82" s="32" t="str">
        <f t="shared" si="48"/>
        <v/>
      </c>
      <c r="AA82" s="32" t="str">
        <f t="shared" si="49"/>
        <v/>
      </c>
      <c r="AB82" s="32">
        <f>IF($A82="","",IF($T82="No Throw",0,IF($K82&lt;&gt;"",$K82,IF($AA82&lt;&gt;"",ROUND($AA82*$D$12*IF($C82=0,1,$G$10),0),MIN(IF($T82="Recovery/Easy Catch",Reference!$B$103,IF($T82="Long Toss",Reference!$B$106,Reference!$B$102)),MAX(Reference!$B$101,ROUND(MAX(0,$Q82-$AE82)/$AF82,0)))))))</f>
        <v>21</v>
      </c>
      <c r="AC82" s="32">
        <f t="shared" si="50"/>
        <v>0</v>
      </c>
      <c r="AD82" s="32" t="b">
        <f t="shared" si="51"/>
        <v>0</v>
      </c>
      <c r="AE82" s="32">
        <f>IF($X82=0,0,$X82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82+$Z82)/2,0),Reference!$A$17:$B$20,2,TRUE()))</f>
        <v>0</v>
      </c>
      <c r="AF82" s="32">
        <f>IF(OR($A82="",$U82="",$T82="No Throw"),0,$AM82*VLOOKUP(MAX(($V82+$W82)/2,0),Reference!$A$17:$B$20,2,TRUE()))</f>
        <v>0.69</v>
      </c>
      <c r="AG82" s="32">
        <f>IF($AC82=0,0,$AC82*INDEX(Reference!$B$61:$B$62,MATCH("Bullpen",Reference!$A$61:$A$62,0))*VLOOKUP(MAX($D$5-($D$9+$E$9)/2,0),Reference!$A$17:$B$20,2,TRUE()))</f>
        <v>0</v>
      </c>
      <c r="AH82" s="46">
        <f t="shared" si="52"/>
        <v>1.1921853271591365</v>
      </c>
      <c r="AI82" s="32">
        <f>IF($A82="",NA(),Reference!$A$25)</f>
        <v>0.8</v>
      </c>
      <c r="AJ82" s="32">
        <f t="shared" si="53"/>
        <v>1.3</v>
      </c>
      <c r="AK82" s="56">
        <f>IF(OR($A82="",N($C82)&lt;=7,$T82="No Throw",$J82="x"),0,INDEX(Reference!$B$108:$B$114,$N82+1))</f>
        <v>0.1</v>
      </c>
      <c r="AL82" s="32">
        <f t="shared" si="54"/>
        <v>1</v>
      </c>
      <c r="AM82" s="32">
        <f>IF($U82="",0,IF($AL82&gt;1,((IF(1&lt;=$AL82,($AL82-1+3)*(INDEX(Reference!$B$6:$B$11,MIN(5,MATCH(MAX(Reference!$A$6,MIN(Reference!$A$11,MIN($U82,90))),Reference!$A$6:$A$11,1)))+(MAX(Reference!$A$6,MIN(Reference!$A$11,MIN($U82,90)))-INDEX(Reference!$A$6:$A$11,MIN(5,MATCH(MAX(Reference!$A$6,MIN(Reference!$A$11,MIN($U82,90))),Reference!$A$6:$A$11,1))))*(INDEX(Reference!$B$6:$B$11,MIN(5,MATCH(MAX(Reference!$A$6,MIN(Reference!$A$11,MIN($U82,90))),Reference!$A$6:$A$11,1))+1)-INDEX(Reference!$B$6:$B$11,MIN(5,MATCH(MAX(Reference!$A$6,MIN(Reference!$A$11,MIN($U82,90))),Reference!$A$6:$A$11,1))))/(INDEX(Reference!$A$6:$A$11,MIN(5,MATCH(MAX(Reference!$A$6,MIN(Reference!$A$11,MIN($U82,90))),Reference!$A$6:$A$11,1))+1)-INDEX(Reference!$A$6:$A$11,MIN(5,MATCH(MAX(Reference!$A$6,MIN(Reference!$A$11,MIN($U82,90))),Reference!$A$6:$A$11,1))))),0)+IF(2&lt;=$AL82,($AL82-2+3)*(INDEX(Reference!$B$6:$B$11,MIN(5,MATCH(MAX(Reference!$A$6,MIN(Reference!$A$11,MIN($U82,120))),Reference!$A$6:$A$11,1)))+(MAX(Reference!$A$6,MIN(Reference!$A$11,MIN($U82,120)))-INDEX(Reference!$A$6:$A$11,MIN(5,MATCH(MAX(Reference!$A$6,MIN(Reference!$A$11,MIN($U82,120))),Reference!$A$6:$A$11,1))))*(INDEX(Reference!$B$6:$B$11,MIN(5,MATCH(MAX(Reference!$A$6,MIN(Reference!$A$11,MIN($U82,120))),Reference!$A$6:$A$11,1))+1)-INDEX(Reference!$B$6:$B$11,MIN(5,MATCH(MAX(Reference!$A$6,MIN(Reference!$A$11,MIN($U82,120))),Reference!$A$6:$A$11,1))))/(INDEX(Reference!$A$6:$A$11,MIN(5,MATCH(MAX(Reference!$A$6,MIN(Reference!$A$11,MIN($U82,120))),Reference!$A$6:$A$11,1))+1)-INDEX(Reference!$A$6:$A$11,MIN(5,MATCH(MAX(Reference!$A$6,MIN(Reference!$A$11,MIN($U82,120))),Reference!$A$6:$A$11,1))))),0)+IF(3&lt;=$AL82,($AL82-3+3)*(INDEX(Reference!$B$6:$B$11,MIN(5,MATCH(MAX(Reference!$A$6,MIN(Reference!$A$11,MIN($U82,150))),Reference!$A$6:$A$11,1)))+(MAX(Reference!$A$6,MIN(Reference!$A$11,MIN($U82,150)))-INDEX(Reference!$A$6:$A$11,MIN(5,MATCH(MAX(Reference!$A$6,MIN(Reference!$A$11,MIN($U82,150))),Reference!$A$6:$A$11,1))))*(INDEX(Reference!$B$6:$B$11,MIN(5,MATCH(MAX(Reference!$A$6,MIN(Reference!$A$11,MIN($U82,150))),Reference!$A$6:$A$11,1))+1)-INDEX(Reference!$B$6:$B$11,MIN(5,MATCH(MAX(Reference!$A$6,MIN(Reference!$A$11,MIN($U82,150))),Reference!$A$6:$A$11,1))))/(INDEX(Reference!$A$6:$A$11,MIN(5,MATCH(MAX(Reference!$A$6,MIN(Reference!$A$11,MIN($U82,150))),Reference!$A$6:$A$11,1))+1)-INDEX(Reference!$A$6:$A$11,MIN(5,MATCH(MAX(Reference!$A$6,MIN(Reference!$A$11,MIN($U82,150))),Reference!$A$6:$A$11,1))))),0)+IF(4&lt;=$AL82,($AL82-4+3)*(INDEX(Reference!$B$6:$B$11,MIN(5,MATCH(MAX(Reference!$A$6,MIN(Reference!$A$11,MIN($U82,180))),Reference!$A$6:$A$11,1)))+(MAX(Reference!$A$6,MIN(Reference!$A$11,MIN($U82,180)))-INDEX(Reference!$A$6:$A$11,MIN(5,MATCH(MAX(Reference!$A$6,MIN(Reference!$A$11,MIN($U82,180))),Reference!$A$6:$A$11,1))))*(INDEX(Reference!$B$6:$B$11,MIN(5,MATCH(MAX(Reference!$A$6,MIN(Reference!$A$11,MIN($U82,180))),Reference!$A$6:$A$11,1))+1)-INDEX(Reference!$B$6:$B$11,MIN(5,MATCH(MAX(Reference!$A$6,MIN(Reference!$A$11,MIN($U82,180))),Reference!$A$6:$A$11,1))))/(INDEX(Reference!$A$6:$A$11,MIN(5,MATCH(MAX(Reference!$A$6,MIN(Reference!$A$11,MIN($U82,180))),Reference!$A$6:$A$11,1))+1)-INDEX(Reference!$A$6:$A$11,MIN(5,MATCH(MAX(Reference!$A$6,MIN(Reference!$A$11,MIN($U82,180))),Reference!$A$6:$A$11,1))))),0)+IF(5&lt;=$AL82,($AL82-5+3)*(INDEX(Reference!$B$6:$B$11,MIN(5,MATCH(MAX(Reference!$A$6,MIN(Reference!$A$11,MIN($U82,210))),Reference!$A$6:$A$11,1)))+(MAX(Reference!$A$6,MIN(Reference!$A$11,MIN($U82,210)))-INDEX(Reference!$A$6:$A$11,MIN(5,MATCH(MAX(Reference!$A$6,MIN(Reference!$A$11,MIN($U82,210))),Reference!$A$6:$A$11,1))))*(INDEX(Reference!$B$6:$B$11,MIN(5,MATCH(MAX(Reference!$A$6,MIN(Reference!$A$11,MIN($U82,210))),Reference!$A$6:$A$11,1))+1)-INDEX(Reference!$B$6:$B$11,MIN(5,MATCH(MAX(Reference!$A$6,MIN(Reference!$A$11,MIN($U82,210))),Reference!$A$6:$A$11,1))))/(INDEX(Reference!$A$6:$A$11,MIN(5,MATCH(MAX(Reference!$A$6,MIN(Reference!$A$11,MIN($U82,210))),Reference!$A$6:$A$11,1))+1)-INDEX(Reference!$A$6:$A$11,MIN(5,MATCH(MAX(Reference!$A$6,MIN(Reference!$A$11,MIN($U82,210))),Reference!$A$6:$A$11,1))))),0)+IF(6&lt;=$AL82,($AL82-6+3)*(INDEX(Reference!$B$6:$B$11,MIN(5,MATCH(MAX(Reference!$A$6,MIN(Reference!$A$11,MIN($U82,240))),Reference!$A$6:$A$11,1)))+(MAX(Reference!$A$6,MIN(Reference!$A$11,MIN($U82,240)))-INDEX(Reference!$A$6:$A$11,MIN(5,MATCH(MAX(Reference!$A$6,MIN(Reference!$A$11,MIN($U82,240))),Reference!$A$6:$A$11,1))))*(INDEX(Reference!$B$6:$B$11,MIN(5,MATCH(MAX(Reference!$A$6,MIN(Reference!$A$11,MIN($U82,240))),Reference!$A$6:$A$11,1))+1)-INDEX(Reference!$B$6:$B$11,MIN(5,MATCH(MAX(Reference!$A$6,MIN(Reference!$A$11,MIN($U82,240))),Reference!$A$6:$A$11,1))))/(INDEX(Reference!$A$6:$A$11,MIN(5,MATCH(MAX(Reference!$A$6,MIN(Reference!$A$11,MIN($U82,240))),Reference!$A$6:$A$11,1))+1)-INDEX(Reference!$A$6:$A$11,MIN(5,MATCH(MAX(Reference!$A$6,MIN(Reference!$A$11,MIN($U82,240))),Reference!$A$6:$A$11,1))))),0)+IF(7&lt;=$AL82,($AL82-7+3)*(INDEX(Reference!$B$6:$B$11,MIN(5,MATCH(MAX(Reference!$A$6,MIN(Reference!$A$11,MIN($U82,270))),Reference!$A$6:$A$11,1)))+(MAX(Reference!$A$6,MIN(Reference!$A$11,MIN($U82,270)))-INDEX(Reference!$A$6:$A$11,MIN(5,MATCH(MAX(Reference!$A$6,MIN(Reference!$A$11,MIN($U82,270))),Reference!$A$6:$A$11,1))))*(INDEX(Reference!$B$6:$B$11,MIN(5,MATCH(MAX(Reference!$A$6,MIN(Reference!$A$11,MIN($U82,270))),Reference!$A$6:$A$11,1))+1)-INDEX(Reference!$B$6:$B$11,MIN(5,MATCH(MAX(Reference!$A$6,MIN(Reference!$A$11,MIN($U82,270))),Reference!$A$6:$A$11,1))))/(INDEX(Reference!$A$6:$A$11,MIN(5,MATCH(MAX(Reference!$A$6,MIN(Reference!$A$11,MIN($U82,270))),Reference!$A$6:$A$11,1))+1)-INDEX(Reference!$A$6:$A$11,MIN(5,MATCH(MAX(Reference!$A$6,MIN(Reference!$A$11,MIN($U82,270))),Reference!$A$6:$A$11,1))))),0)+IF(8&lt;=$AL82,($AL82-8+3)*(INDEX(Reference!$B$6:$B$11,MIN(5,MATCH(MAX(Reference!$A$6,MIN(Reference!$A$11,MIN($U82,300))),Reference!$A$6:$A$11,1)))+(MAX(Reference!$A$6,MIN(Reference!$A$11,MIN($U82,300)))-INDEX(Reference!$A$6:$A$11,MIN(5,MATCH(MAX(Reference!$A$6,MIN(Reference!$A$11,MIN($U82,300))),Reference!$A$6:$A$11,1))))*(INDEX(Reference!$B$6:$B$11,MIN(5,MATCH(MAX(Reference!$A$6,MIN(Reference!$A$11,MIN($U82,300))),Reference!$A$6:$A$11,1))+1)-INDEX(Reference!$B$6:$B$11,MIN(5,MATCH(MAX(Reference!$A$6,MIN(Reference!$A$11,MIN($U82,300))),Reference!$A$6:$A$11,1))))/(INDEX(Reference!$A$6:$A$11,MIN(5,MATCH(MAX(Reference!$A$6,MIN(Reference!$A$11,MIN($U82,300))),Reference!$A$6:$A$11,1))+1)-INDEX(Reference!$A$6:$A$11,MIN(5,MATCH(MAX(Reference!$A$6,MIN(Reference!$A$11,MIN($U82,300))),Reference!$A$6:$A$11,1))))),0))/($AL82*($AL82+5)/2)),$AN82))</f>
        <v>1.1499999999999999</v>
      </c>
      <c r="AN82" s="32">
        <f>IF($U82="",0,(INDEX(Reference!$B$6:$B$11,MIN(5,MATCH(MAX(Reference!$A$6,MIN(Reference!$A$11,$U82)),Reference!$A$6:$A$11,1)))+(MAX(Reference!$A$6,MIN(Reference!$A$11,$U82))-INDEX(Reference!$A$6:$A$11,MIN(5,MATCH(MAX(Reference!$A$6,MIN(Reference!$A$11,$U82)),Reference!$A$6:$A$11,1))))*(INDEX(Reference!$B$6:$B$11,MIN(5,MATCH(MAX(Reference!$A$6,MIN(Reference!$A$11,$U82)),Reference!$A$6:$A$11,1))+1)-INDEX(Reference!$B$6:$B$11,MIN(5,MATCH(MAX(Reference!$A$6,MIN(Reference!$A$11,$U82)),Reference!$A$6:$A$11,1))))/(INDEX(Reference!$A$6:$A$11,MIN(5,MATCH(MAX(Reference!$A$6,MIN(Reference!$A$11,$U82)),Reference!$A$6:$A$11,1))+1)-INDEX(Reference!$A$6:$A$11,MIN(5,MATCH(MAX(Reference!$A$6,MIN(Reference!$A$11,$U82)),Reference!$A$6:$A$11,1))))))</f>
        <v>1.1499999999999999</v>
      </c>
      <c r="AO82" s="37"/>
      <c r="AP82" s="37"/>
      <c r="AQ82" s="37"/>
    </row>
    <row r="83" spans="1:43" ht="26.4" x14ac:dyDescent="0.3">
      <c r="A83" s="48">
        <f t="shared" si="30"/>
        <v>46347</v>
      </c>
      <c r="B83" s="32" t="str">
        <f t="shared" si="31"/>
        <v>Sat</v>
      </c>
      <c r="C83" s="32">
        <f t="shared" si="32"/>
        <v>44</v>
      </c>
      <c r="D83" s="32" t="str">
        <f t="shared" si="33"/>
        <v>Extension</v>
      </c>
      <c r="E83" s="32" t="str">
        <f t="shared" si="34"/>
        <v>Medium</v>
      </c>
      <c r="F83" s="32" t="str">
        <f t="shared" si="35"/>
        <v>Long Toss</v>
      </c>
      <c r="G83" s="47" t="str">
        <f t="shared" si="36"/>
        <v>Long toss out to 135 ft — 25 throws (90×10 · 120×9 · 135×6) @ 76–79 mph + 60 ft × 12 @ 74–77 mph</v>
      </c>
      <c r="H83" s="30">
        <f t="shared" si="37"/>
        <v>31.137499999999999</v>
      </c>
      <c r="I83" s="46">
        <f>IF($A83="","",IF(AND($L83&lt;27,$K$12=0),"Building",IFERROR(((SUM($H$77:$H83)+$K$12*IF($L83&lt;6,SUMIFS('Throw Log'!$Q$5:$Q$300,'Throw Log'!$B$5:$B$300,$D$4,'Throw Log'!$A$5:$A$300,"&gt;="&amp;($D$6+$L83-6),'Throw Log'!$A$5:$A$300,"&lt;="&amp;($D$6-1)),0))/7)/((SUM($H$56:$H83)+$K$12*IF($L83&lt;27,SUMIFS('Throw Log'!$Q$5:$Q$300,'Throw Log'!$B$5:$B$300,$D$4,'Throw Log'!$A$5:$A$300,"&gt;="&amp;($D$6+$L83-27),'Throw Log'!$A$5:$A$300,"&lt;="&amp;($D$6-1)),0))/28),"")))</f>
        <v>1.1883523052048797</v>
      </c>
      <c r="J83" s="37"/>
      <c r="K83" s="37">
        <v>25</v>
      </c>
      <c r="L83" s="32">
        <v>40</v>
      </c>
      <c r="M83" s="32">
        <f t="shared" si="38"/>
        <v>6</v>
      </c>
      <c r="N83" s="32">
        <f t="shared" si="39"/>
        <v>5</v>
      </c>
      <c r="O83" s="32">
        <f t="shared" si="40"/>
        <v>0.52631578947368418</v>
      </c>
      <c r="P83" s="32">
        <f>IF(OR($A83="",N($C83)&lt;=7),"",$G$6*$G$9^($M83-1)*IF(AND(MOD($M83,Reference!$B$99)=0,$M83&lt;=$G$5-2),Reference!$B$100,1))</f>
        <v>144.22205101855957</v>
      </c>
      <c r="Q83" s="32">
        <f>IF($P83="","",IF(SUM($AK$78:$AK$84)=0,0,$P83*INDEX(Reference!$B$108:$B$114,$N83+1)/SUM($AK$78:$AK$84)))</f>
        <v>38.939953775011084</v>
      </c>
      <c r="R83" s="32">
        <f t="shared" si="41"/>
        <v>150</v>
      </c>
      <c r="S83" s="32">
        <f t="shared" si="42"/>
        <v>135</v>
      </c>
      <c r="T83" s="32" t="str">
        <f>IF($A83="","",IF($C83=0,"Bullpen",IF(OR($C83=7,$C83=1,$C83=5),"Recovery/Easy Catch",IF($C83=6,"Compression/Pulldowns",IF(OR($C83=4,$C83=2),"Long Toss",IF($C83=3,"No Throw",IF($N83=2,"No Throw",IF($N83=6,IF($O83&lt;Reference!$B$104,"No Throw","Recovery/Easy Catch"),IF(OR($N83=0,$N83=4),"Recovery/Easy Catch",IF($N83=1,IF($R83&gt;75,"Long Toss","Recovery/Easy Catch"),IF($N83=3,IF($O83&lt;0.5,IF($S83&gt;75,"Long Toss","Recovery/Easy Catch"),"Compression/Pulldowns"),IF($S83&gt;75,"Long Toss","Recovery/Easy Catch"))))))))))))</f>
        <v>Long Toss</v>
      </c>
      <c r="U83" s="32">
        <f t="shared" si="43"/>
        <v>135</v>
      </c>
      <c r="V83" s="32">
        <f t="shared" si="44"/>
        <v>10</v>
      </c>
      <c r="W83" s="32">
        <f t="shared" si="45"/>
        <v>13</v>
      </c>
      <c r="X83" s="32">
        <f t="shared" si="46"/>
        <v>12</v>
      </c>
      <c r="Y83" s="32">
        <f t="shared" si="47"/>
        <v>12</v>
      </c>
      <c r="Z83" s="32">
        <f t="shared" si="48"/>
        <v>15</v>
      </c>
      <c r="AA83" s="32" t="str">
        <f t="shared" si="49"/>
        <v/>
      </c>
      <c r="AB83" s="32">
        <f>IF($A83="","",IF($T83="No Throw",0,IF($K83&lt;&gt;"",$K83,IF($AA83&lt;&gt;"",ROUND($AA83*$D$12*IF($C83=0,1,$G$10),0),MIN(IF($T83="Recovery/Easy Catch",Reference!$B$103,IF($T83="Long Toss",Reference!$B$106,Reference!$B$102)),MAX(Reference!$B$101,ROUND(MAX(0,$Q83-$AE83)/$AF83,0)))))))</f>
        <v>25</v>
      </c>
      <c r="AC83" s="32">
        <f t="shared" si="50"/>
        <v>0</v>
      </c>
      <c r="AD83" s="32" t="b">
        <f t="shared" si="51"/>
        <v>0</v>
      </c>
      <c r="AE83" s="32">
        <f>IF($X83=0,0,$X83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83+$Z83)/2,0),Reference!$A$17:$B$20,2,TRUE()))</f>
        <v>7.1999999999999993</v>
      </c>
      <c r="AF83" s="32">
        <f>IF(OR($A83="",$U83="",$T83="No Throw"),0,$AM83*VLOOKUP(MAX(($V83+$W83)/2,0),Reference!$A$17:$B$20,2,TRUE()))</f>
        <v>0.95750000000000002</v>
      </c>
      <c r="AG83" s="32">
        <f>IF($AC83=0,0,$AC83*INDEX(Reference!$B$61:$B$62,MATCH("Bullpen",Reference!$A$61:$A$62,0))*VLOOKUP(MAX($D$5-($D$9+$E$9)/2,0),Reference!$A$17:$B$20,2,TRUE()))</f>
        <v>0</v>
      </c>
      <c r="AH83" s="46">
        <f t="shared" si="52"/>
        <v>1.1883523052048797</v>
      </c>
      <c r="AI83" s="32">
        <f>IF($A83="",NA(),Reference!$A$25)</f>
        <v>0.8</v>
      </c>
      <c r="AJ83" s="32">
        <f t="shared" si="53"/>
        <v>1.3</v>
      </c>
      <c r="AK83" s="56">
        <f>IF(OR($A83="",N($C83)&lt;=7,$T83="No Throw",$J83="x"),0,INDEX(Reference!$B$108:$B$114,$N83+1))</f>
        <v>0.27</v>
      </c>
      <c r="AL83" s="32">
        <f t="shared" si="54"/>
        <v>3</v>
      </c>
      <c r="AM83" s="32">
        <f>IF($U83="",0,IF($AL83&gt;1,((IF(1&lt;=$AL83,($AL83-1+3)*(INDEX(Reference!$B$6:$B$11,MIN(5,MATCH(MAX(Reference!$A$6,MIN(Reference!$A$11,MIN($U83,90))),Reference!$A$6:$A$11,1)))+(MAX(Reference!$A$6,MIN(Reference!$A$11,MIN($U83,90)))-INDEX(Reference!$A$6:$A$11,MIN(5,MATCH(MAX(Reference!$A$6,MIN(Reference!$A$11,MIN($U83,90))),Reference!$A$6:$A$11,1))))*(INDEX(Reference!$B$6:$B$11,MIN(5,MATCH(MAX(Reference!$A$6,MIN(Reference!$A$11,MIN($U83,90))),Reference!$A$6:$A$11,1))+1)-INDEX(Reference!$B$6:$B$11,MIN(5,MATCH(MAX(Reference!$A$6,MIN(Reference!$A$11,MIN($U83,90))),Reference!$A$6:$A$11,1))))/(INDEX(Reference!$A$6:$A$11,MIN(5,MATCH(MAX(Reference!$A$6,MIN(Reference!$A$11,MIN($U83,90))),Reference!$A$6:$A$11,1))+1)-INDEX(Reference!$A$6:$A$11,MIN(5,MATCH(MAX(Reference!$A$6,MIN(Reference!$A$11,MIN($U83,90))),Reference!$A$6:$A$11,1))))),0)+IF(2&lt;=$AL83,($AL83-2+3)*(INDEX(Reference!$B$6:$B$11,MIN(5,MATCH(MAX(Reference!$A$6,MIN(Reference!$A$11,MIN($U83,120))),Reference!$A$6:$A$11,1)))+(MAX(Reference!$A$6,MIN(Reference!$A$11,MIN($U83,120)))-INDEX(Reference!$A$6:$A$11,MIN(5,MATCH(MAX(Reference!$A$6,MIN(Reference!$A$11,MIN($U83,120))),Reference!$A$6:$A$11,1))))*(INDEX(Reference!$B$6:$B$11,MIN(5,MATCH(MAX(Reference!$A$6,MIN(Reference!$A$11,MIN($U83,120))),Reference!$A$6:$A$11,1))+1)-INDEX(Reference!$B$6:$B$11,MIN(5,MATCH(MAX(Reference!$A$6,MIN(Reference!$A$11,MIN($U83,120))),Reference!$A$6:$A$11,1))))/(INDEX(Reference!$A$6:$A$11,MIN(5,MATCH(MAX(Reference!$A$6,MIN(Reference!$A$11,MIN($U83,120))),Reference!$A$6:$A$11,1))+1)-INDEX(Reference!$A$6:$A$11,MIN(5,MATCH(MAX(Reference!$A$6,MIN(Reference!$A$11,MIN($U83,120))),Reference!$A$6:$A$11,1))))),0)+IF(3&lt;=$AL83,($AL83-3+3)*(INDEX(Reference!$B$6:$B$11,MIN(5,MATCH(MAX(Reference!$A$6,MIN(Reference!$A$11,MIN($U83,150))),Reference!$A$6:$A$11,1)))+(MAX(Reference!$A$6,MIN(Reference!$A$11,MIN($U83,150)))-INDEX(Reference!$A$6:$A$11,MIN(5,MATCH(MAX(Reference!$A$6,MIN(Reference!$A$11,MIN($U83,150))),Reference!$A$6:$A$11,1))))*(INDEX(Reference!$B$6:$B$11,MIN(5,MATCH(MAX(Reference!$A$6,MIN(Reference!$A$11,MIN($U83,150))),Reference!$A$6:$A$11,1))+1)-INDEX(Reference!$B$6:$B$11,MIN(5,MATCH(MAX(Reference!$A$6,MIN(Reference!$A$11,MIN($U83,150))),Reference!$A$6:$A$11,1))))/(INDEX(Reference!$A$6:$A$11,MIN(5,MATCH(MAX(Reference!$A$6,MIN(Reference!$A$11,MIN($U83,150))),Reference!$A$6:$A$11,1))+1)-INDEX(Reference!$A$6:$A$11,MIN(5,MATCH(MAX(Reference!$A$6,MIN(Reference!$A$11,MIN($U83,150))),Reference!$A$6:$A$11,1))))),0)+IF(4&lt;=$AL83,($AL83-4+3)*(INDEX(Reference!$B$6:$B$11,MIN(5,MATCH(MAX(Reference!$A$6,MIN(Reference!$A$11,MIN($U83,180))),Reference!$A$6:$A$11,1)))+(MAX(Reference!$A$6,MIN(Reference!$A$11,MIN($U83,180)))-INDEX(Reference!$A$6:$A$11,MIN(5,MATCH(MAX(Reference!$A$6,MIN(Reference!$A$11,MIN($U83,180))),Reference!$A$6:$A$11,1))))*(INDEX(Reference!$B$6:$B$11,MIN(5,MATCH(MAX(Reference!$A$6,MIN(Reference!$A$11,MIN($U83,180))),Reference!$A$6:$A$11,1))+1)-INDEX(Reference!$B$6:$B$11,MIN(5,MATCH(MAX(Reference!$A$6,MIN(Reference!$A$11,MIN($U83,180))),Reference!$A$6:$A$11,1))))/(INDEX(Reference!$A$6:$A$11,MIN(5,MATCH(MAX(Reference!$A$6,MIN(Reference!$A$11,MIN($U83,180))),Reference!$A$6:$A$11,1))+1)-INDEX(Reference!$A$6:$A$11,MIN(5,MATCH(MAX(Reference!$A$6,MIN(Reference!$A$11,MIN($U83,180))),Reference!$A$6:$A$11,1))))),0)+IF(5&lt;=$AL83,($AL83-5+3)*(INDEX(Reference!$B$6:$B$11,MIN(5,MATCH(MAX(Reference!$A$6,MIN(Reference!$A$11,MIN($U83,210))),Reference!$A$6:$A$11,1)))+(MAX(Reference!$A$6,MIN(Reference!$A$11,MIN($U83,210)))-INDEX(Reference!$A$6:$A$11,MIN(5,MATCH(MAX(Reference!$A$6,MIN(Reference!$A$11,MIN($U83,210))),Reference!$A$6:$A$11,1))))*(INDEX(Reference!$B$6:$B$11,MIN(5,MATCH(MAX(Reference!$A$6,MIN(Reference!$A$11,MIN($U83,210))),Reference!$A$6:$A$11,1))+1)-INDEX(Reference!$B$6:$B$11,MIN(5,MATCH(MAX(Reference!$A$6,MIN(Reference!$A$11,MIN($U83,210))),Reference!$A$6:$A$11,1))))/(INDEX(Reference!$A$6:$A$11,MIN(5,MATCH(MAX(Reference!$A$6,MIN(Reference!$A$11,MIN($U83,210))),Reference!$A$6:$A$11,1))+1)-INDEX(Reference!$A$6:$A$11,MIN(5,MATCH(MAX(Reference!$A$6,MIN(Reference!$A$11,MIN($U83,210))),Reference!$A$6:$A$11,1))))),0)+IF(6&lt;=$AL83,($AL83-6+3)*(INDEX(Reference!$B$6:$B$11,MIN(5,MATCH(MAX(Reference!$A$6,MIN(Reference!$A$11,MIN($U83,240))),Reference!$A$6:$A$11,1)))+(MAX(Reference!$A$6,MIN(Reference!$A$11,MIN($U83,240)))-INDEX(Reference!$A$6:$A$11,MIN(5,MATCH(MAX(Reference!$A$6,MIN(Reference!$A$11,MIN($U83,240))),Reference!$A$6:$A$11,1))))*(INDEX(Reference!$B$6:$B$11,MIN(5,MATCH(MAX(Reference!$A$6,MIN(Reference!$A$11,MIN($U83,240))),Reference!$A$6:$A$11,1))+1)-INDEX(Reference!$B$6:$B$11,MIN(5,MATCH(MAX(Reference!$A$6,MIN(Reference!$A$11,MIN($U83,240))),Reference!$A$6:$A$11,1))))/(INDEX(Reference!$A$6:$A$11,MIN(5,MATCH(MAX(Reference!$A$6,MIN(Reference!$A$11,MIN($U83,240))),Reference!$A$6:$A$11,1))+1)-INDEX(Reference!$A$6:$A$11,MIN(5,MATCH(MAX(Reference!$A$6,MIN(Reference!$A$11,MIN($U83,240))),Reference!$A$6:$A$11,1))))),0)+IF(7&lt;=$AL83,($AL83-7+3)*(INDEX(Reference!$B$6:$B$11,MIN(5,MATCH(MAX(Reference!$A$6,MIN(Reference!$A$11,MIN($U83,270))),Reference!$A$6:$A$11,1)))+(MAX(Reference!$A$6,MIN(Reference!$A$11,MIN($U83,270)))-INDEX(Reference!$A$6:$A$11,MIN(5,MATCH(MAX(Reference!$A$6,MIN(Reference!$A$11,MIN($U83,270))),Reference!$A$6:$A$11,1))))*(INDEX(Reference!$B$6:$B$11,MIN(5,MATCH(MAX(Reference!$A$6,MIN(Reference!$A$11,MIN($U83,270))),Reference!$A$6:$A$11,1))+1)-INDEX(Reference!$B$6:$B$11,MIN(5,MATCH(MAX(Reference!$A$6,MIN(Reference!$A$11,MIN($U83,270))),Reference!$A$6:$A$11,1))))/(INDEX(Reference!$A$6:$A$11,MIN(5,MATCH(MAX(Reference!$A$6,MIN(Reference!$A$11,MIN($U83,270))),Reference!$A$6:$A$11,1))+1)-INDEX(Reference!$A$6:$A$11,MIN(5,MATCH(MAX(Reference!$A$6,MIN(Reference!$A$11,MIN($U83,270))),Reference!$A$6:$A$11,1))))),0)+IF(8&lt;=$AL83,($AL83-8+3)*(INDEX(Reference!$B$6:$B$11,MIN(5,MATCH(MAX(Reference!$A$6,MIN(Reference!$A$11,MIN($U83,300))),Reference!$A$6:$A$11,1)))+(MAX(Reference!$A$6,MIN(Reference!$A$11,MIN($U83,300)))-INDEX(Reference!$A$6:$A$11,MIN(5,MATCH(MAX(Reference!$A$6,MIN(Reference!$A$11,MIN($U83,300))),Reference!$A$6:$A$11,1))))*(INDEX(Reference!$B$6:$B$11,MIN(5,MATCH(MAX(Reference!$A$6,MIN(Reference!$A$11,MIN($U83,300))),Reference!$A$6:$A$11,1))+1)-INDEX(Reference!$B$6:$B$11,MIN(5,MATCH(MAX(Reference!$A$6,MIN(Reference!$A$11,MIN($U83,300))),Reference!$A$6:$A$11,1))))/(INDEX(Reference!$A$6:$A$11,MIN(5,MATCH(MAX(Reference!$A$6,MIN(Reference!$A$11,MIN($U83,300))),Reference!$A$6:$A$11,1))+1)-INDEX(Reference!$A$6:$A$11,MIN(5,MATCH(MAX(Reference!$A$6,MIN(Reference!$A$11,MIN($U83,300))),Reference!$A$6:$A$11,1))))),0))/($AL83*($AL83+5)/2)),$AN83))</f>
        <v>1.5958333333333334</v>
      </c>
      <c r="AN83" s="32">
        <f>IF($U83="",0,(INDEX(Reference!$B$6:$B$11,MIN(5,MATCH(MAX(Reference!$A$6,MIN(Reference!$A$11,$U83)),Reference!$A$6:$A$11,1)))+(MAX(Reference!$A$6,MIN(Reference!$A$11,$U83))-INDEX(Reference!$A$6:$A$11,MIN(5,MATCH(MAX(Reference!$A$6,MIN(Reference!$A$11,$U83)),Reference!$A$6:$A$11,1))))*(INDEX(Reference!$B$6:$B$11,MIN(5,MATCH(MAX(Reference!$A$6,MIN(Reference!$A$11,$U83)),Reference!$A$6:$A$11,1))+1)-INDEX(Reference!$B$6:$B$11,MIN(5,MATCH(MAX(Reference!$A$6,MIN(Reference!$A$11,$U83)),Reference!$A$6:$A$11,1))))/(INDEX(Reference!$A$6:$A$11,MIN(5,MATCH(MAX(Reference!$A$6,MIN(Reference!$A$11,$U83)),Reference!$A$6:$A$11,1))+1)-INDEX(Reference!$A$6:$A$11,MIN(5,MATCH(MAX(Reference!$A$6,MIN(Reference!$A$11,$U83)),Reference!$A$6:$A$11,1))))))</f>
        <v>1.9500000000000002</v>
      </c>
      <c r="AO83" s="37"/>
      <c r="AP83" s="37"/>
      <c r="AQ83" s="37"/>
    </row>
    <row r="84" spans="1:43" x14ac:dyDescent="0.3">
      <c r="A84" s="48">
        <f t="shared" si="30"/>
        <v>46348</v>
      </c>
      <c r="B84" s="32" t="str">
        <f t="shared" si="31"/>
        <v>Sun</v>
      </c>
      <c r="C84" s="32">
        <f t="shared" si="32"/>
        <v>43</v>
      </c>
      <c r="D84" s="32" t="str">
        <f t="shared" si="33"/>
        <v>Extension</v>
      </c>
      <c r="E84" s="32" t="str">
        <f t="shared" si="34"/>
        <v>No Throw</v>
      </c>
      <c r="F84" s="32" t="str">
        <f t="shared" si="35"/>
        <v>No Throw</v>
      </c>
      <c r="G84" s="47" t="str">
        <f t="shared" si="36"/>
        <v>Off</v>
      </c>
      <c r="H84" s="30">
        <f t="shared" si="37"/>
        <v>0</v>
      </c>
      <c r="I84" s="46">
        <f>IF($A84="","",IF(AND($L84&lt;27,$K$12=0),"Building",IFERROR(((SUM($H$78:$H84)+$K$12*IF($L84&lt;6,SUMIFS('Throw Log'!$Q$5:$Q$300,'Throw Log'!$B$5:$B$300,$D$4,'Throw Log'!$A$5:$A$300,"&gt;="&amp;($D$6+$L84-6),'Throw Log'!$A$5:$A$300,"&lt;="&amp;($D$6-1)),0))/7)/((SUM($H$57:$H84)+$K$12*IF($L84&lt;27,SUMIFS('Throw Log'!$Q$5:$Q$300,'Throw Log'!$B$5:$B$300,$D$4,'Throw Log'!$A$5:$A$300,"&gt;="&amp;($D$6+$L84-27),'Throw Log'!$A$5:$A$300,"&lt;="&amp;($D$6-1)),0))/28),"")))</f>
        <v>1.1883523052048797</v>
      </c>
      <c r="J84" s="37"/>
      <c r="K84" s="37"/>
      <c r="L84" s="32">
        <v>41</v>
      </c>
      <c r="M84" s="32">
        <f t="shared" si="38"/>
        <v>6</v>
      </c>
      <c r="N84" s="32">
        <f t="shared" si="39"/>
        <v>6</v>
      </c>
      <c r="O84" s="32">
        <f t="shared" si="40"/>
        <v>0.53947368421052633</v>
      </c>
      <c r="P84" s="32">
        <f>IF(OR($A84="",N($C84)&lt;=7),"",$G$6*$G$9^($M84-1)*IF(AND(MOD($M84,Reference!$B$99)=0,$M84&lt;=$G$5-2),Reference!$B$100,1))</f>
        <v>144.22205101855957</v>
      </c>
      <c r="Q84" s="32">
        <f>IF($P84="","",IF(SUM($AK$78:$AK$84)=0,0,$P84*INDEX(Reference!$B$108:$B$114,$N84+1)/SUM($AK$78:$AK$84)))</f>
        <v>10.095543571299171</v>
      </c>
      <c r="R84" s="32">
        <f t="shared" si="41"/>
        <v>150</v>
      </c>
      <c r="S84" s="32">
        <f t="shared" si="42"/>
        <v>135</v>
      </c>
      <c r="T84" s="32" t="str">
        <f>IF($A84="","",IF($C84=0,"Bullpen",IF(OR($C84=7,$C84=1,$C84=5),"Recovery/Easy Catch",IF($C84=6,"Compression/Pulldowns",IF(OR($C84=4,$C84=2),"Long Toss",IF($C84=3,"No Throw",IF($N84=2,"No Throw",IF($N84=6,IF($O84&lt;Reference!$B$104,"No Throw","Recovery/Easy Catch"),IF(OR($N84=0,$N84=4),"Recovery/Easy Catch",IF($N84=1,IF($R84&gt;75,"Long Toss","Recovery/Easy Catch"),IF($N84=3,IF($O84&lt;0.5,IF($S84&gt;75,"Long Toss","Recovery/Easy Catch"),"Compression/Pulldowns"),IF($S84&gt;75,"Long Toss","Recovery/Easy Catch"))))))))))))</f>
        <v>No Throw</v>
      </c>
      <c r="U84" s="32">
        <f t="shared" si="43"/>
        <v>60</v>
      </c>
      <c r="V84" s="32">
        <f t="shared" si="44"/>
        <v>20</v>
      </c>
      <c r="W84" s="32">
        <f t="shared" si="45"/>
        <v>24</v>
      </c>
      <c r="X84" s="32">
        <f t="shared" si="46"/>
        <v>0</v>
      </c>
      <c r="Y84" s="32" t="str">
        <f t="shared" si="47"/>
        <v/>
      </c>
      <c r="Z84" s="32" t="str">
        <f t="shared" si="48"/>
        <v/>
      </c>
      <c r="AA84" s="32" t="str">
        <f t="shared" si="49"/>
        <v/>
      </c>
      <c r="AB84" s="32">
        <f>IF($A84="","",IF($T84="No Throw",0,IF($K84&lt;&gt;"",$K84,IF($AA84&lt;&gt;"",ROUND($AA84*$D$12*IF($C84=0,1,$G$10),0),MIN(IF($T84="Recovery/Easy Catch",Reference!$B$103,IF($T84="Long Toss",Reference!$B$106,Reference!$B$102)),MAX(Reference!$B$101,ROUND(MAX(0,$Q84-$AE84)/$AF84,0)))))))</f>
        <v>0</v>
      </c>
      <c r="AC84" s="32">
        <f t="shared" si="50"/>
        <v>0</v>
      </c>
      <c r="AD84" s="32" t="b">
        <f t="shared" si="51"/>
        <v>1</v>
      </c>
      <c r="AE84" s="32">
        <f>IF($X84=0,0,$X84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84+$Z84)/2,0),Reference!$A$17:$B$20,2,TRUE()))</f>
        <v>0</v>
      </c>
      <c r="AF84" s="32">
        <f>IF(OR($A84="",$U84="",$T84="No Throw"),0,$AM84*VLOOKUP(MAX(($V84+$W84)/2,0),Reference!$A$17:$B$20,2,TRUE()))</f>
        <v>0</v>
      </c>
      <c r="AG84" s="32">
        <f>IF($AC84=0,0,$AC84*INDEX(Reference!$B$61:$B$62,MATCH("Bullpen",Reference!$A$61:$A$62,0))*VLOOKUP(MAX($D$5-($D$9+$E$9)/2,0),Reference!$A$17:$B$20,2,TRUE()))</f>
        <v>0</v>
      </c>
      <c r="AH84" s="46">
        <f t="shared" si="52"/>
        <v>1.1883523052048797</v>
      </c>
      <c r="AI84" s="32">
        <f>IF($A84="",NA(),Reference!$A$25)</f>
        <v>0.8</v>
      </c>
      <c r="AJ84" s="32">
        <f t="shared" si="53"/>
        <v>1.3</v>
      </c>
      <c r="AK84" s="32">
        <f>IF(OR($A84="",N($C84)&lt;=7,$T84="No Throw",$J84="x"),0,INDEX(Reference!$B$108:$B$114,$N84+1))</f>
        <v>0</v>
      </c>
      <c r="AL84" s="32">
        <f t="shared" si="54"/>
        <v>1</v>
      </c>
      <c r="AM84" s="32">
        <f>IF($U84="",0,IF($AL84&gt;1,((IF(1&lt;=$AL84,($AL84-1+3)*(INDEX(Reference!$B$6:$B$11,MIN(5,MATCH(MAX(Reference!$A$6,MIN(Reference!$A$11,MIN($U84,90))),Reference!$A$6:$A$11,1)))+(MAX(Reference!$A$6,MIN(Reference!$A$11,MIN($U84,90)))-INDEX(Reference!$A$6:$A$11,MIN(5,MATCH(MAX(Reference!$A$6,MIN(Reference!$A$11,MIN($U84,90))),Reference!$A$6:$A$11,1))))*(INDEX(Reference!$B$6:$B$11,MIN(5,MATCH(MAX(Reference!$A$6,MIN(Reference!$A$11,MIN($U84,90))),Reference!$A$6:$A$11,1))+1)-INDEX(Reference!$B$6:$B$11,MIN(5,MATCH(MAX(Reference!$A$6,MIN(Reference!$A$11,MIN($U84,90))),Reference!$A$6:$A$11,1))))/(INDEX(Reference!$A$6:$A$11,MIN(5,MATCH(MAX(Reference!$A$6,MIN(Reference!$A$11,MIN($U84,90))),Reference!$A$6:$A$11,1))+1)-INDEX(Reference!$A$6:$A$11,MIN(5,MATCH(MAX(Reference!$A$6,MIN(Reference!$A$11,MIN($U84,90))),Reference!$A$6:$A$11,1))))),0)+IF(2&lt;=$AL84,($AL84-2+3)*(INDEX(Reference!$B$6:$B$11,MIN(5,MATCH(MAX(Reference!$A$6,MIN(Reference!$A$11,MIN($U84,120))),Reference!$A$6:$A$11,1)))+(MAX(Reference!$A$6,MIN(Reference!$A$11,MIN($U84,120)))-INDEX(Reference!$A$6:$A$11,MIN(5,MATCH(MAX(Reference!$A$6,MIN(Reference!$A$11,MIN($U84,120))),Reference!$A$6:$A$11,1))))*(INDEX(Reference!$B$6:$B$11,MIN(5,MATCH(MAX(Reference!$A$6,MIN(Reference!$A$11,MIN($U84,120))),Reference!$A$6:$A$11,1))+1)-INDEX(Reference!$B$6:$B$11,MIN(5,MATCH(MAX(Reference!$A$6,MIN(Reference!$A$11,MIN($U84,120))),Reference!$A$6:$A$11,1))))/(INDEX(Reference!$A$6:$A$11,MIN(5,MATCH(MAX(Reference!$A$6,MIN(Reference!$A$11,MIN($U84,120))),Reference!$A$6:$A$11,1))+1)-INDEX(Reference!$A$6:$A$11,MIN(5,MATCH(MAX(Reference!$A$6,MIN(Reference!$A$11,MIN($U84,120))),Reference!$A$6:$A$11,1))))),0)+IF(3&lt;=$AL84,($AL84-3+3)*(INDEX(Reference!$B$6:$B$11,MIN(5,MATCH(MAX(Reference!$A$6,MIN(Reference!$A$11,MIN($U84,150))),Reference!$A$6:$A$11,1)))+(MAX(Reference!$A$6,MIN(Reference!$A$11,MIN($U84,150)))-INDEX(Reference!$A$6:$A$11,MIN(5,MATCH(MAX(Reference!$A$6,MIN(Reference!$A$11,MIN($U84,150))),Reference!$A$6:$A$11,1))))*(INDEX(Reference!$B$6:$B$11,MIN(5,MATCH(MAX(Reference!$A$6,MIN(Reference!$A$11,MIN($U84,150))),Reference!$A$6:$A$11,1))+1)-INDEX(Reference!$B$6:$B$11,MIN(5,MATCH(MAX(Reference!$A$6,MIN(Reference!$A$11,MIN($U84,150))),Reference!$A$6:$A$11,1))))/(INDEX(Reference!$A$6:$A$11,MIN(5,MATCH(MAX(Reference!$A$6,MIN(Reference!$A$11,MIN($U84,150))),Reference!$A$6:$A$11,1))+1)-INDEX(Reference!$A$6:$A$11,MIN(5,MATCH(MAX(Reference!$A$6,MIN(Reference!$A$11,MIN($U84,150))),Reference!$A$6:$A$11,1))))),0)+IF(4&lt;=$AL84,($AL84-4+3)*(INDEX(Reference!$B$6:$B$11,MIN(5,MATCH(MAX(Reference!$A$6,MIN(Reference!$A$11,MIN($U84,180))),Reference!$A$6:$A$11,1)))+(MAX(Reference!$A$6,MIN(Reference!$A$11,MIN($U84,180)))-INDEX(Reference!$A$6:$A$11,MIN(5,MATCH(MAX(Reference!$A$6,MIN(Reference!$A$11,MIN($U84,180))),Reference!$A$6:$A$11,1))))*(INDEX(Reference!$B$6:$B$11,MIN(5,MATCH(MAX(Reference!$A$6,MIN(Reference!$A$11,MIN($U84,180))),Reference!$A$6:$A$11,1))+1)-INDEX(Reference!$B$6:$B$11,MIN(5,MATCH(MAX(Reference!$A$6,MIN(Reference!$A$11,MIN($U84,180))),Reference!$A$6:$A$11,1))))/(INDEX(Reference!$A$6:$A$11,MIN(5,MATCH(MAX(Reference!$A$6,MIN(Reference!$A$11,MIN($U84,180))),Reference!$A$6:$A$11,1))+1)-INDEX(Reference!$A$6:$A$11,MIN(5,MATCH(MAX(Reference!$A$6,MIN(Reference!$A$11,MIN($U84,180))),Reference!$A$6:$A$11,1))))),0)+IF(5&lt;=$AL84,($AL84-5+3)*(INDEX(Reference!$B$6:$B$11,MIN(5,MATCH(MAX(Reference!$A$6,MIN(Reference!$A$11,MIN($U84,210))),Reference!$A$6:$A$11,1)))+(MAX(Reference!$A$6,MIN(Reference!$A$11,MIN($U84,210)))-INDEX(Reference!$A$6:$A$11,MIN(5,MATCH(MAX(Reference!$A$6,MIN(Reference!$A$11,MIN($U84,210))),Reference!$A$6:$A$11,1))))*(INDEX(Reference!$B$6:$B$11,MIN(5,MATCH(MAX(Reference!$A$6,MIN(Reference!$A$11,MIN($U84,210))),Reference!$A$6:$A$11,1))+1)-INDEX(Reference!$B$6:$B$11,MIN(5,MATCH(MAX(Reference!$A$6,MIN(Reference!$A$11,MIN($U84,210))),Reference!$A$6:$A$11,1))))/(INDEX(Reference!$A$6:$A$11,MIN(5,MATCH(MAX(Reference!$A$6,MIN(Reference!$A$11,MIN($U84,210))),Reference!$A$6:$A$11,1))+1)-INDEX(Reference!$A$6:$A$11,MIN(5,MATCH(MAX(Reference!$A$6,MIN(Reference!$A$11,MIN($U84,210))),Reference!$A$6:$A$11,1))))),0)+IF(6&lt;=$AL84,($AL84-6+3)*(INDEX(Reference!$B$6:$B$11,MIN(5,MATCH(MAX(Reference!$A$6,MIN(Reference!$A$11,MIN($U84,240))),Reference!$A$6:$A$11,1)))+(MAX(Reference!$A$6,MIN(Reference!$A$11,MIN($U84,240)))-INDEX(Reference!$A$6:$A$11,MIN(5,MATCH(MAX(Reference!$A$6,MIN(Reference!$A$11,MIN($U84,240))),Reference!$A$6:$A$11,1))))*(INDEX(Reference!$B$6:$B$11,MIN(5,MATCH(MAX(Reference!$A$6,MIN(Reference!$A$11,MIN($U84,240))),Reference!$A$6:$A$11,1))+1)-INDEX(Reference!$B$6:$B$11,MIN(5,MATCH(MAX(Reference!$A$6,MIN(Reference!$A$11,MIN($U84,240))),Reference!$A$6:$A$11,1))))/(INDEX(Reference!$A$6:$A$11,MIN(5,MATCH(MAX(Reference!$A$6,MIN(Reference!$A$11,MIN($U84,240))),Reference!$A$6:$A$11,1))+1)-INDEX(Reference!$A$6:$A$11,MIN(5,MATCH(MAX(Reference!$A$6,MIN(Reference!$A$11,MIN($U84,240))),Reference!$A$6:$A$11,1))))),0)+IF(7&lt;=$AL84,($AL84-7+3)*(INDEX(Reference!$B$6:$B$11,MIN(5,MATCH(MAX(Reference!$A$6,MIN(Reference!$A$11,MIN($U84,270))),Reference!$A$6:$A$11,1)))+(MAX(Reference!$A$6,MIN(Reference!$A$11,MIN($U84,270)))-INDEX(Reference!$A$6:$A$11,MIN(5,MATCH(MAX(Reference!$A$6,MIN(Reference!$A$11,MIN($U84,270))),Reference!$A$6:$A$11,1))))*(INDEX(Reference!$B$6:$B$11,MIN(5,MATCH(MAX(Reference!$A$6,MIN(Reference!$A$11,MIN($U84,270))),Reference!$A$6:$A$11,1))+1)-INDEX(Reference!$B$6:$B$11,MIN(5,MATCH(MAX(Reference!$A$6,MIN(Reference!$A$11,MIN($U84,270))),Reference!$A$6:$A$11,1))))/(INDEX(Reference!$A$6:$A$11,MIN(5,MATCH(MAX(Reference!$A$6,MIN(Reference!$A$11,MIN($U84,270))),Reference!$A$6:$A$11,1))+1)-INDEX(Reference!$A$6:$A$11,MIN(5,MATCH(MAX(Reference!$A$6,MIN(Reference!$A$11,MIN($U84,270))),Reference!$A$6:$A$11,1))))),0)+IF(8&lt;=$AL84,($AL84-8+3)*(INDEX(Reference!$B$6:$B$11,MIN(5,MATCH(MAX(Reference!$A$6,MIN(Reference!$A$11,MIN($U84,300))),Reference!$A$6:$A$11,1)))+(MAX(Reference!$A$6,MIN(Reference!$A$11,MIN($U84,300)))-INDEX(Reference!$A$6:$A$11,MIN(5,MATCH(MAX(Reference!$A$6,MIN(Reference!$A$11,MIN($U84,300))),Reference!$A$6:$A$11,1))))*(INDEX(Reference!$B$6:$B$11,MIN(5,MATCH(MAX(Reference!$A$6,MIN(Reference!$A$11,MIN($U84,300))),Reference!$A$6:$A$11,1))+1)-INDEX(Reference!$B$6:$B$11,MIN(5,MATCH(MAX(Reference!$A$6,MIN(Reference!$A$11,MIN($U84,300))),Reference!$A$6:$A$11,1))))/(INDEX(Reference!$A$6:$A$11,MIN(5,MATCH(MAX(Reference!$A$6,MIN(Reference!$A$11,MIN($U84,300))),Reference!$A$6:$A$11,1))+1)-INDEX(Reference!$A$6:$A$11,MIN(5,MATCH(MAX(Reference!$A$6,MIN(Reference!$A$11,MIN($U84,300))),Reference!$A$6:$A$11,1))))),0))/($AL84*($AL84+5)/2)),$AN84))</f>
        <v>1</v>
      </c>
      <c r="AN84" s="32">
        <f>IF($U84="",0,(INDEX(Reference!$B$6:$B$11,MIN(5,MATCH(MAX(Reference!$A$6,MIN(Reference!$A$11,$U84)),Reference!$A$6:$A$11,1)))+(MAX(Reference!$A$6,MIN(Reference!$A$11,$U84))-INDEX(Reference!$A$6:$A$11,MIN(5,MATCH(MAX(Reference!$A$6,MIN(Reference!$A$11,$U84)),Reference!$A$6:$A$11,1))))*(INDEX(Reference!$B$6:$B$11,MIN(5,MATCH(MAX(Reference!$A$6,MIN(Reference!$A$11,$U84)),Reference!$A$6:$A$11,1))+1)-INDEX(Reference!$B$6:$B$11,MIN(5,MATCH(MAX(Reference!$A$6,MIN(Reference!$A$11,$U84)),Reference!$A$6:$A$11,1))))/(INDEX(Reference!$A$6:$A$11,MIN(5,MATCH(MAX(Reference!$A$6,MIN(Reference!$A$11,$U84)),Reference!$A$6:$A$11,1))+1)-INDEX(Reference!$A$6:$A$11,MIN(5,MATCH(MAX(Reference!$A$6,MIN(Reference!$A$11,$U84)),Reference!$A$6:$A$11,1))))))</f>
        <v>1</v>
      </c>
      <c r="AO84" s="37"/>
      <c r="AP84" s="37"/>
      <c r="AQ84" s="37"/>
    </row>
    <row r="85" spans="1:43" x14ac:dyDescent="0.3">
      <c r="A85" s="48">
        <f t="shared" si="30"/>
        <v>46349</v>
      </c>
      <c r="B85" s="32" t="str">
        <f t="shared" si="31"/>
        <v>Mon</v>
      </c>
      <c r="C85" s="32">
        <f t="shared" si="32"/>
        <v>42</v>
      </c>
      <c r="D85" s="32" t="str">
        <f t="shared" si="33"/>
        <v>Extension</v>
      </c>
      <c r="E85" s="32" t="str">
        <f t="shared" si="34"/>
        <v>Low</v>
      </c>
      <c r="F85" s="32" t="str">
        <f t="shared" si="35"/>
        <v>Recovery/Easy Catch</v>
      </c>
      <c r="G85" s="47" t="str">
        <f t="shared" si="36"/>
        <v>75 ft × 25 @ 67–71 mph</v>
      </c>
      <c r="H85" s="30">
        <f t="shared" si="37"/>
        <v>17.25</v>
      </c>
      <c r="I85" s="46">
        <f>IF($A85="","",IF(AND($L85&lt;27,$K$12=0),"Building",IFERROR(((SUM($H$79:$H85)+$K$12*IF($L85&lt;6,SUMIFS('Throw Log'!$Q$5:$Q$300,'Throw Log'!$B$5:$B$300,$D$4,'Throw Log'!$A$5:$A$300,"&gt;="&amp;($D$6+$L85-6),'Throw Log'!$A$5:$A$300,"&lt;="&amp;($D$6-1)),0))/7)/((SUM($H$58:$H85)+$K$12*IF($L85&lt;27,SUMIFS('Throw Log'!$Q$5:$Q$300,'Throw Log'!$B$5:$B$300,$D$4,'Throw Log'!$A$5:$A$300,"&gt;="&amp;($D$6+$L85-27),'Throw Log'!$A$5:$A$300,"&lt;="&amp;($D$6-1)),0))/28),"")))</f>
        <v>1.174920476013628</v>
      </c>
      <c r="J85" s="37"/>
      <c r="K85" s="37">
        <v>25</v>
      </c>
      <c r="L85" s="32">
        <v>42</v>
      </c>
      <c r="M85" s="32">
        <f t="shared" si="38"/>
        <v>7</v>
      </c>
      <c r="N85" s="32">
        <f t="shared" si="39"/>
        <v>0</v>
      </c>
      <c r="O85" s="32">
        <f t="shared" si="40"/>
        <v>0.55263157894736847</v>
      </c>
      <c r="P85" s="32">
        <f>IF(OR($A85="",N($C85)&lt;=7),"",$G$6*$G$9^($M85-1)*IF(AND(MOD($M85,Reference!$B$99)=0,$M85&lt;=$G$5-2),Reference!$B$100,1))</f>
        <v>162.26318771208111</v>
      </c>
      <c r="Q85" s="32">
        <f>IF($P85="","",IF(SUM($AK$85:$AK$91)=0,0,$P85*INDEX(Reference!$B$108:$B$114,$N85+1)/SUM($AK$85:$AK$91)))</f>
        <v>18.197740677990403</v>
      </c>
      <c r="R85" s="32">
        <f t="shared" si="41"/>
        <v>150</v>
      </c>
      <c r="S85" s="32">
        <f t="shared" si="42"/>
        <v>135</v>
      </c>
      <c r="T85" s="32" t="str">
        <f>IF($A85="","",IF($C85=0,"Bullpen",IF(OR($C85=7,$C85=1,$C85=5),"Recovery/Easy Catch",IF($C85=6,"Compression/Pulldowns",IF(OR($C85=4,$C85=2),"Long Toss",IF($C85=3,"No Throw",IF($N85=2,"No Throw",IF($N85=6,IF($O85&lt;Reference!$B$104,"No Throw","Recovery/Easy Catch"),IF(OR($N85=0,$N85=4),"Recovery/Easy Catch",IF($N85=1,IF($R85&gt;75,"Long Toss","Recovery/Easy Catch"),IF($N85=3,IF($O85&lt;0.5,IF($S85&gt;75,"Long Toss","Recovery/Easy Catch"),"Compression/Pulldowns"),IF($S85&gt;75,"Long Toss","Recovery/Easy Catch"))))))))))))</f>
        <v>Recovery/Easy Catch</v>
      </c>
      <c r="U85" s="32">
        <f t="shared" si="43"/>
        <v>75</v>
      </c>
      <c r="V85" s="32">
        <f t="shared" si="44"/>
        <v>18</v>
      </c>
      <c r="W85" s="32">
        <f t="shared" si="45"/>
        <v>22</v>
      </c>
      <c r="X85" s="32">
        <f t="shared" si="46"/>
        <v>0</v>
      </c>
      <c r="Y85" s="32" t="str">
        <f t="shared" si="47"/>
        <v/>
      </c>
      <c r="Z85" s="32" t="str">
        <f t="shared" si="48"/>
        <v/>
      </c>
      <c r="AA85" s="32" t="str">
        <f t="shared" si="49"/>
        <v/>
      </c>
      <c r="AB85" s="32">
        <f>IF($A85="","",IF($T85="No Throw",0,IF($K85&lt;&gt;"",$K85,IF($AA85&lt;&gt;"",ROUND($AA85*$D$12*IF($C85=0,1,$G$10),0),MIN(IF($T85="Recovery/Easy Catch",Reference!$B$103,IF($T85="Long Toss",Reference!$B$106,Reference!$B$102)),MAX(Reference!$B$101,ROUND(MAX(0,$Q85-$AE85)/$AF85,0)))))))</f>
        <v>25</v>
      </c>
      <c r="AC85" s="32">
        <f t="shared" si="50"/>
        <v>0</v>
      </c>
      <c r="AD85" s="32" t="b">
        <f t="shared" si="51"/>
        <v>0</v>
      </c>
      <c r="AE85" s="32">
        <f>IF($X85=0,0,$X85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85+$Z85)/2,0),Reference!$A$17:$B$20,2,TRUE()))</f>
        <v>0</v>
      </c>
      <c r="AF85" s="32">
        <f>IF(OR($A85="",$U85="",$T85="No Throw"),0,$AM85*VLOOKUP(MAX(($V85+$W85)/2,0),Reference!$A$17:$B$20,2,TRUE()))</f>
        <v>0.69</v>
      </c>
      <c r="AG85" s="32">
        <f>IF($AC85=0,0,$AC85*INDEX(Reference!$B$61:$B$62,MATCH("Bullpen",Reference!$A$61:$A$62,0))*VLOOKUP(MAX($D$5-($D$9+$E$9)/2,0),Reference!$A$17:$B$20,2,TRUE()))</f>
        <v>0</v>
      </c>
      <c r="AH85" s="46">
        <f t="shared" si="52"/>
        <v>1.174920476013628</v>
      </c>
      <c r="AI85" s="32">
        <f>IF($A85="",NA(),Reference!$A$25)</f>
        <v>0.8</v>
      </c>
      <c r="AJ85" s="32">
        <f t="shared" si="53"/>
        <v>1.3</v>
      </c>
      <c r="AK85" s="56">
        <f>IF(OR($A85="",N($C85)&lt;=7,$T85="No Throw",$J85="x"),0,INDEX(Reference!$B$108:$B$114,$N85+1))</f>
        <v>0.12</v>
      </c>
      <c r="AL85" s="32">
        <f t="shared" si="54"/>
        <v>1</v>
      </c>
      <c r="AM85" s="32">
        <f>IF($U85="",0,IF($AL85&gt;1,((IF(1&lt;=$AL85,($AL85-1+3)*(INDEX(Reference!$B$6:$B$11,MIN(5,MATCH(MAX(Reference!$A$6,MIN(Reference!$A$11,MIN($U85,90))),Reference!$A$6:$A$11,1)))+(MAX(Reference!$A$6,MIN(Reference!$A$11,MIN($U85,90)))-INDEX(Reference!$A$6:$A$11,MIN(5,MATCH(MAX(Reference!$A$6,MIN(Reference!$A$11,MIN($U85,90))),Reference!$A$6:$A$11,1))))*(INDEX(Reference!$B$6:$B$11,MIN(5,MATCH(MAX(Reference!$A$6,MIN(Reference!$A$11,MIN($U85,90))),Reference!$A$6:$A$11,1))+1)-INDEX(Reference!$B$6:$B$11,MIN(5,MATCH(MAX(Reference!$A$6,MIN(Reference!$A$11,MIN($U85,90))),Reference!$A$6:$A$11,1))))/(INDEX(Reference!$A$6:$A$11,MIN(5,MATCH(MAX(Reference!$A$6,MIN(Reference!$A$11,MIN($U85,90))),Reference!$A$6:$A$11,1))+1)-INDEX(Reference!$A$6:$A$11,MIN(5,MATCH(MAX(Reference!$A$6,MIN(Reference!$A$11,MIN($U85,90))),Reference!$A$6:$A$11,1))))),0)+IF(2&lt;=$AL85,($AL85-2+3)*(INDEX(Reference!$B$6:$B$11,MIN(5,MATCH(MAX(Reference!$A$6,MIN(Reference!$A$11,MIN($U85,120))),Reference!$A$6:$A$11,1)))+(MAX(Reference!$A$6,MIN(Reference!$A$11,MIN($U85,120)))-INDEX(Reference!$A$6:$A$11,MIN(5,MATCH(MAX(Reference!$A$6,MIN(Reference!$A$11,MIN($U85,120))),Reference!$A$6:$A$11,1))))*(INDEX(Reference!$B$6:$B$11,MIN(5,MATCH(MAX(Reference!$A$6,MIN(Reference!$A$11,MIN($U85,120))),Reference!$A$6:$A$11,1))+1)-INDEX(Reference!$B$6:$B$11,MIN(5,MATCH(MAX(Reference!$A$6,MIN(Reference!$A$11,MIN($U85,120))),Reference!$A$6:$A$11,1))))/(INDEX(Reference!$A$6:$A$11,MIN(5,MATCH(MAX(Reference!$A$6,MIN(Reference!$A$11,MIN($U85,120))),Reference!$A$6:$A$11,1))+1)-INDEX(Reference!$A$6:$A$11,MIN(5,MATCH(MAX(Reference!$A$6,MIN(Reference!$A$11,MIN($U85,120))),Reference!$A$6:$A$11,1))))),0)+IF(3&lt;=$AL85,($AL85-3+3)*(INDEX(Reference!$B$6:$B$11,MIN(5,MATCH(MAX(Reference!$A$6,MIN(Reference!$A$11,MIN($U85,150))),Reference!$A$6:$A$11,1)))+(MAX(Reference!$A$6,MIN(Reference!$A$11,MIN($U85,150)))-INDEX(Reference!$A$6:$A$11,MIN(5,MATCH(MAX(Reference!$A$6,MIN(Reference!$A$11,MIN($U85,150))),Reference!$A$6:$A$11,1))))*(INDEX(Reference!$B$6:$B$11,MIN(5,MATCH(MAX(Reference!$A$6,MIN(Reference!$A$11,MIN($U85,150))),Reference!$A$6:$A$11,1))+1)-INDEX(Reference!$B$6:$B$11,MIN(5,MATCH(MAX(Reference!$A$6,MIN(Reference!$A$11,MIN($U85,150))),Reference!$A$6:$A$11,1))))/(INDEX(Reference!$A$6:$A$11,MIN(5,MATCH(MAX(Reference!$A$6,MIN(Reference!$A$11,MIN($U85,150))),Reference!$A$6:$A$11,1))+1)-INDEX(Reference!$A$6:$A$11,MIN(5,MATCH(MAX(Reference!$A$6,MIN(Reference!$A$11,MIN($U85,150))),Reference!$A$6:$A$11,1))))),0)+IF(4&lt;=$AL85,($AL85-4+3)*(INDEX(Reference!$B$6:$B$11,MIN(5,MATCH(MAX(Reference!$A$6,MIN(Reference!$A$11,MIN($U85,180))),Reference!$A$6:$A$11,1)))+(MAX(Reference!$A$6,MIN(Reference!$A$11,MIN($U85,180)))-INDEX(Reference!$A$6:$A$11,MIN(5,MATCH(MAX(Reference!$A$6,MIN(Reference!$A$11,MIN($U85,180))),Reference!$A$6:$A$11,1))))*(INDEX(Reference!$B$6:$B$11,MIN(5,MATCH(MAX(Reference!$A$6,MIN(Reference!$A$11,MIN($U85,180))),Reference!$A$6:$A$11,1))+1)-INDEX(Reference!$B$6:$B$11,MIN(5,MATCH(MAX(Reference!$A$6,MIN(Reference!$A$11,MIN($U85,180))),Reference!$A$6:$A$11,1))))/(INDEX(Reference!$A$6:$A$11,MIN(5,MATCH(MAX(Reference!$A$6,MIN(Reference!$A$11,MIN($U85,180))),Reference!$A$6:$A$11,1))+1)-INDEX(Reference!$A$6:$A$11,MIN(5,MATCH(MAX(Reference!$A$6,MIN(Reference!$A$11,MIN($U85,180))),Reference!$A$6:$A$11,1))))),0)+IF(5&lt;=$AL85,($AL85-5+3)*(INDEX(Reference!$B$6:$B$11,MIN(5,MATCH(MAX(Reference!$A$6,MIN(Reference!$A$11,MIN($U85,210))),Reference!$A$6:$A$11,1)))+(MAX(Reference!$A$6,MIN(Reference!$A$11,MIN($U85,210)))-INDEX(Reference!$A$6:$A$11,MIN(5,MATCH(MAX(Reference!$A$6,MIN(Reference!$A$11,MIN($U85,210))),Reference!$A$6:$A$11,1))))*(INDEX(Reference!$B$6:$B$11,MIN(5,MATCH(MAX(Reference!$A$6,MIN(Reference!$A$11,MIN($U85,210))),Reference!$A$6:$A$11,1))+1)-INDEX(Reference!$B$6:$B$11,MIN(5,MATCH(MAX(Reference!$A$6,MIN(Reference!$A$11,MIN($U85,210))),Reference!$A$6:$A$11,1))))/(INDEX(Reference!$A$6:$A$11,MIN(5,MATCH(MAX(Reference!$A$6,MIN(Reference!$A$11,MIN($U85,210))),Reference!$A$6:$A$11,1))+1)-INDEX(Reference!$A$6:$A$11,MIN(5,MATCH(MAX(Reference!$A$6,MIN(Reference!$A$11,MIN($U85,210))),Reference!$A$6:$A$11,1))))),0)+IF(6&lt;=$AL85,($AL85-6+3)*(INDEX(Reference!$B$6:$B$11,MIN(5,MATCH(MAX(Reference!$A$6,MIN(Reference!$A$11,MIN($U85,240))),Reference!$A$6:$A$11,1)))+(MAX(Reference!$A$6,MIN(Reference!$A$11,MIN($U85,240)))-INDEX(Reference!$A$6:$A$11,MIN(5,MATCH(MAX(Reference!$A$6,MIN(Reference!$A$11,MIN($U85,240))),Reference!$A$6:$A$11,1))))*(INDEX(Reference!$B$6:$B$11,MIN(5,MATCH(MAX(Reference!$A$6,MIN(Reference!$A$11,MIN($U85,240))),Reference!$A$6:$A$11,1))+1)-INDEX(Reference!$B$6:$B$11,MIN(5,MATCH(MAX(Reference!$A$6,MIN(Reference!$A$11,MIN($U85,240))),Reference!$A$6:$A$11,1))))/(INDEX(Reference!$A$6:$A$11,MIN(5,MATCH(MAX(Reference!$A$6,MIN(Reference!$A$11,MIN($U85,240))),Reference!$A$6:$A$11,1))+1)-INDEX(Reference!$A$6:$A$11,MIN(5,MATCH(MAX(Reference!$A$6,MIN(Reference!$A$11,MIN($U85,240))),Reference!$A$6:$A$11,1))))),0)+IF(7&lt;=$AL85,($AL85-7+3)*(INDEX(Reference!$B$6:$B$11,MIN(5,MATCH(MAX(Reference!$A$6,MIN(Reference!$A$11,MIN($U85,270))),Reference!$A$6:$A$11,1)))+(MAX(Reference!$A$6,MIN(Reference!$A$11,MIN($U85,270)))-INDEX(Reference!$A$6:$A$11,MIN(5,MATCH(MAX(Reference!$A$6,MIN(Reference!$A$11,MIN($U85,270))),Reference!$A$6:$A$11,1))))*(INDEX(Reference!$B$6:$B$11,MIN(5,MATCH(MAX(Reference!$A$6,MIN(Reference!$A$11,MIN($U85,270))),Reference!$A$6:$A$11,1))+1)-INDEX(Reference!$B$6:$B$11,MIN(5,MATCH(MAX(Reference!$A$6,MIN(Reference!$A$11,MIN($U85,270))),Reference!$A$6:$A$11,1))))/(INDEX(Reference!$A$6:$A$11,MIN(5,MATCH(MAX(Reference!$A$6,MIN(Reference!$A$11,MIN($U85,270))),Reference!$A$6:$A$11,1))+1)-INDEX(Reference!$A$6:$A$11,MIN(5,MATCH(MAX(Reference!$A$6,MIN(Reference!$A$11,MIN($U85,270))),Reference!$A$6:$A$11,1))))),0)+IF(8&lt;=$AL85,($AL85-8+3)*(INDEX(Reference!$B$6:$B$11,MIN(5,MATCH(MAX(Reference!$A$6,MIN(Reference!$A$11,MIN($U85,300))),Reference!$A$6:$A$11,1)))+(MAX(Reference!$A$6,MIN(Reference!$A$11,MIN($U85,300)))-INDEX(Reference!$A$6:$A$11,MIN(5,MATCH(MAX(Reference!$A$6,MIN(Reference!$A$11,MIN($U85,300))),Reference!$A$6:$A$11,1))))*(INDEX(Reference!$B$6:$B$11,MIN(5,MATCH(MAX(Reference!$A$6,MIN(Reference!$A$11,MIN($U85,300))),Reference!$A$6:$A$11,1))+1)-INDEX(Reference!$B$6:$B$11,MIN(5,MATCH(MAX(Reference!$A$6,MIN(Reference!$A$11,MIN($U85,300))),Reference!$A$6:$A$11,1))))/(INDEX(Reference!$A$6:$A$11,MIN(5,MATCH(MAX(Reference!$A$6,MIN(Reference!$A$11,MIN($U85,300))),Reference!$A$6:$A$11,1))+1)-INDEX(Reference!$A$6:$A$11,MIN(5,MATCH(MAX(Reference!$A$6,MIN(Reference!$A$11,MIN($U85,300))),Reference!$A$6:$A$11,1))))),0))/($AL85*($AL85+5)/2)),$AN85))</f>
        <v>1.1499999999999999</v>
      </c>
      <c r="AN85" s="32">
        <f>IF($U85="",0,(INDEX(Reference!$B$6:$B$11,MIN(5,MATCH(MAX(Reference!$A$6,MIN(Reference!$A$11,$U85)),Reference!$A$6:$A$11,1)))+(MAX(Reference!$A$6,MIN(Reference!$A$11,$U85))-INDEX(Reference!$A$6:$A$11,MIN(5,MATCH(MAX(Reference!$A$6,MIN(Reference!$A$11,$U85)),Reference!$A$6:$A$11,1))))*(INDEX(Reference!$B$6:$B$11,MIN(5,MATCH(MAX(Reference!$A$6,MIN(Reference!$A$11,$U85)),Reference!$A$6:$A$11,1))+1)-INDEX(Reference!$B$6:$B$11,MIN(5,MATCH(MAX(Reference!$A$6,MIN(Reference!$A$11,$U85)),Reference!$A$6:$A$11,1))))/(INDEX(Reference!$A$6:$A$11,MIN(5,MATCH(MAX(Reference!$A$6,MIN(Reference!$A$11,$U85)),Reference!$A$6:$A$11,1))+1)-INDEX(Reference!$A$6:$A$11,MIN(5,MATCH(MAX(Reference!$A$6,MIN(Reference!$A$11,$U85)),Reference!$A$6:$A$11,1))))))</f>
        <v>1.1499999999999999</v>
      </c>
      <c r="AO85" s="37"/>
      <c r="AP85" s="37"/>
      <c r="AQ85" s="37"/>
    </row>
    <row r="86" spans="1:43" ht="26.4" x14ac:dyDescent="0.3">
      <c r="A86" s="48">
        <f t="shared" si="30"/>
        <v>46350</v>
      </c>
      <c r="B86" s="32" t="str">
        <f t="shared" si="31"/>
        <v>Tue</v>
      </c>
      <c r="C86" s="32">
        <f t="shared" si="32"/>
        <v>41</v>
      </c>
      <c r="D86" s="32" t="str">
        <f t="shared" si="33"/>
        <v>Extension</v>
      </c>
      <c r="E86" s="32" t="str">
        <f t="shared" si="34"/>
        <v>Medium</v>
      </c>
      <c r="F86" s="32" t="str">
        <f t="shared" si="35"/>
        <v>Long Toss</v>
      </c>
      <c r="G86" s="47" t="str">
        <f t="shared" si="36"/>
        <v>Long toss out to 150 ft — 25 throws (90×10 · 120×9 · 150×6) @ 77–79 mph + 60 ft × 15 @ 77–79 mph</v>
      </c>
      <c r="H86" s="30">
        <f t="shared" si="37"/>
        <v>33.875</v>
      </c>
      <c r="I86" s="46">
        <f>IF($A86="","",IF(AND($L86&lt;27,$K$12=0),"Building",IFERROR(((SUM($H$80:$H86)+$K$12*IF($L86&lt;6,SUMIFS('Throw Log'!$Q$5:$Q$300,'Throw Log'!$B$5:$B$300,$D$4,'Throw Log'!$A$5:$A$300,"&gt;="&amp;($D$6+$L86-6),'Throw Log'!$A$5:$A$300,"&lt;="&amp;($D$6-1)),0))/7)/((SUM($H$59:$H86)+$K$12*IF($L86&lt;27,SUMIFS('Throw Log'!$Q$5:$Q$300,'Throw Log'!$B$5:$B$300,$D$4,'Throw Log'!$A$5:$A$300,"&gt;="&amp;($D$6+$L86-27),'Throw Log'!$A$5:$A$300,"&lt;="&amp;($D$6-1)),0))/28),"")))</f>
        <v>1.1187806159545279</v>
      </c>
      <c r="J86" s="37"/>
      <c r="K86" s="37">
        <v>25</v>
      </c>
      <c r="L86" s="32">
        <v>43</v>
      </c>
      <c r="M86" s="32">
        <f t="shared" si="38"/>
        <v>7</v>
      </c>
      <c r="N86" s="32">
        <f t="shared" si="39"/>
        <v>1</v>
      </c>
      <c r="O86" s="32">
        <f t="shared" si="40"/>
        <v>0.56578947368421051</v>
      </c>
      <c r="P86" s="32">
        <f>IF(OR($A86="",N($C86)&lt;=7),"",$G$6*$G$9^($M86-1)*IF(AND(MOD($M86,Reference!$B$99)=0,$M86&lt;=$G$5-2),Reference!$B$100,1))</f>
        <v>162.26318771208111</v>
      </c>
      <c r="Q86" s="32">
        <f>IF($P86="","",IF(SUM($AK$85:$AK$91)=0,0,$P86*INDEX(Reference!$B$108:$B$114,$N86+1)/SUM($AK$85:$AK$91)))</f>
        <v>40.944916525478412</v>
      </c>
      <c r="R86" s="32">
        <f t="shared" si="41"/>
        <v>150</v>
      </c>
      <c r="S86" s="32">
        <f t="shared" si="42"/>
        <v>135</v>
      </c>
      <c r="T86" s="32" t="str">
        <f>IF($A86="","",IF($C86=0,"Bullpen",IF(OR($C86=7,$C86=1,$C86=5),"Recovery/Easy Catch",IF($C86=6,"Compression/Pulldowns",IF(OR($C86=4,$C86=2),"Long Toss",IF($C86=3,"No Throw",IF($N86=2,"No Throw",IF($N86=6,IF($O86&lt;Reference!$B$104,"No Throw","Recovery/Easy Catch"),IF(OR($N86=0,$N86=4),"Recovery/Easy Catch",IF($N86=1,IF($R86&gt;75,"Long Toss","Recovery/Easy Catch"),IF($N86=3,IF($O86&lt;0.5,IF($S86&gt;75,"Long Toss","Recovery/Easy Catch"),"Compression/Pulldowns"),IF($S86&gt;75,"Long Toss","Recovery/Easy Catch"))))))))))))</f>
        <v>Long Toss</v>
      </c>
      <c r="U86" s="32">
        <f t="shared" si="43"/>
        <v>150</v>
      </c>
      <c r="V86" s="32">
        <f t="shared" si="44"/>
        <v>10</v>
      </c>
      <c r="W86" s="32">
        <f t="shared" si="45"/>
        <v>12</v>
      </c>
      <c r="X86" s="32">
        <f t="shared" si="46"/>
        <v>15</v>
      </c>
      <c r="Y86" s="32">
        <f t="shared" si="47"/>
        <v>10</v>
      </c>
      <c r="Z86" s="32">
        <f t="shared" si="48"/>
        <v>12</v>
      </c>
      <c r="AA86" s="32" t="str">
        <f t="shared" si="49"/>
        <v/>
      </c>
      <c r="AB86" s="32">
        <f>IF($A86="","",IF($T86="No Throw",0,IF($K86&lt;&gt;"",$K86,IF($AA86&lt;&gt;"",ROUND($AA86*$D$12*IF($C86=0,1,$G$10),0),MIN(IF($T86="Recovery/Easy Catch",Reference!$B$103,IF($T86="Long Toss",Reference!$B$106,Reference!$B$102)),MAX(Reference!$B$101,ROUND(MAX(0,$Q86-$AE86)/$AF86,0)))))))</f>
        <v>25</v>
      </c>
      <c r="AC86" s="32">
        <f t="shared" si="50"/>
        <v>0</v>
      </c>
      <c r="AD86" s="32" t="b">
        <f t="shared" si="51"/>
        <v>0</v>
      </c>
      <c r="AE86" s="32">
        <f>IF($X86=0,0,$X86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86+$Z86)/2,0),Reference!$A$17:$B$20,2,TRUE()))</f>
        <v>9</v>
      </c>
      <c r="AF86" s="32">
        <f>IF(OR($A86="",$U86="",$T86="No Throw"),0,$AM86*VLOOKUP(MAX(($V86+$W86)/2,0),Reference!$A$17:$B$20,2,TRUE()))</f>
        <v>0.995</v>
      </c>
      <c r="AG86" s="32">
        <f>IF($AC86=0,0,$AC86*INDEX(Reference!$B$61:$B$62,MATCH("Bullpen",Reference!$A$61:$A$62,0))*VLOOKUP(MAX($D$5-($D$9+$E$9)/2,0),Reference!$A$17:$B$20,2,TRUE()))</f>
        <v>0</v>
      </c>
      <c r="AH86" s="46">
        <f t="shared" si="52"/>
        <v>1.1187806159545279</v>
      </c>
      <c r="AI86" s="32">
        <f>IF($A86="",NA(),Reference!$A$25)</f>
        <v>0.8</v>
      </c>
      <c r="AJ86" s="32">
        <f t="shared" si="53"/>
        <v>1.3</v>
      </c>
      <c r="AK86" s="56">
        <f>IF(OR($A86="",N($C86)&lt;=7,$T86="No Throw",$J86="x"),0,INDEX(Reference!$B$108:$B$114,$N86+1))</f>
        <v>0.27</v>
      </c>
      <c r="AL86" s="32">
        <f t="shared" si="54"/>
        <v>3</v>
      </c>
      <c r="AM86" s="32">
        <f>IF($U86="",0,IF($AL86&gt;1,((IF(1&lt;=$AL86,($AL86-1+3)*(INDEX(Reference!$B$6:$B$11,MIN(5,MATCH(MAX(Reference!$A$6,MIN(Reference!$A$11,MIN($U86,90))),Reference!$A$6:$A$11,1)))+(MAX(Reference!$A$6,MIN(Reference!$A$11,MIN($U86,90)))-INDEX(Reference!$A$6:$A$11,MIN(5,MATCH(MAX(Reference!$A$6,MIN(Reference!$A$11,MIN($U86,90))),Reference!$A$6:$A$11,1))))*(INDEX(Reference!$B$6:$B$11,MIN(5,MATCH(MAX(Reference!$A$6,MIN(Reference!$A$11,MIN($U86,90))),Reference!$A$6:$A$11,1))+1)-INDEX(Reference!$B$6:$B$11,MIN(5,MATCH(MAX(Reference!$A$6,MIN(Reference!$A$11,MIN($U86,90))),Reference!$A$6:$A$11,1))))/(INDEX(Reference!$A$6:$A$11,MIN(5,MATCH(MAX(Reference!$A$6,MIN(Reference!$A$11,MIN($U86,90))),Reference!$A$6:$A$11,1))+1)-INDEX(Reference!$A$6:$A$11,MIN(5,MATCH(MAX(Reference!$A$6,MIN(Reference!$A$11,MIN($U86,90))),Reference!$A$6:$A$11,1))))),0)+IF(2&lt;=$AL86,($AL86-2+3)*(INDEX(Reference!$B$6:$B$11,MIN(5,MATCH(MAX(Reference!$A$6,MIN(Reference!$A$11,MIN($U86,120))),Reference!$A$6:$A$11,1)))+(MAX(Reference!$A$6,MIN(Reference!$A$11,MIN($U86,120)))-INDEX(Reference!$A$6:$A$11,MIN(5,MATCH(MAX(Reference!$A$6,MIN(Reference!$A$11,MIN($U86,120))),Reference!$A$6:$A$11,1))))*(INDEX(Reference!$B$6:$B$11,MIN(5,MATCH(MAX(Reference!$A$6,MIN(Reference!$A$11,MIN($U86,120))),Reference!$A$6:$A$11,1))+1)-INDEX(Reference!$B$6:$B$11,MIN(5,MATCH(MAX(Reference!$A$6,MIN(Reference!$A$11,MIN($U86,120))),Reference!$A$6:$A$11,1))))/(INDEX(Reference!$A$6:$A$11,MIN(5,MATCH(MAX(Reference!$A$6,MIN(Reference!$A$11,MIN($U86,120))),Reference!$A$6:$A$11,1))+1)-INDEX(Reference!$A$6:$A$11,MIN(5,MATCH(MAX(Reference!$A$6,MIN(Reference!$A$11,MIN($U86,120))),Reference!$A$6:$A$11,1))))),0)+IF(3&lt;=$AL86,($AL86-3+3)*(INDEX(Reference!$B$6:$B$11,MIN(5,MATCH(MAX(Reference!$A$6,MIN(Reference!$A$11,MIN($U86,150))),Reference!$A$6:$A$11,1)))+(MAX(Reference!$A$6,MIN(Reference!$A$11,MIN($U86,150)))-INDEX(Reference!$A$6:$A$11,MIN(5,MATCH(MAX(Reference!$A$6,MIN(Reference!$A$11,MIN($U86,150))),Reference!$A$6:$A$11,1))))*(INDEX(Reference!$B$6:$B$11,MIN(5,MATCH(MAX(Reference!$A$6,MIN(Reference!$A$11,MIN($U86,150))),Reference!$A$6:$A$11,1))+1)-INDEX(Reference!$B$6:$B$11,MIN(5,MATCH(MAX(Reference!$A$6,MIN(Reference!$A$11,MIN($U86,150))),Reference!$A$6:$A$11,1))))/(INDEX(Reference!$A$6:$A$11,MIN(5,MATCH(MAX(Reference!$A$6,MIN(Reference!$A$11,MIN($U86,150))),Reference!$A$6:$A$11,1))+1)-INDEX(Reference!$A$6:$A$11,MIN(5,MATCH(MAX(Reference!$A$6,MIN(Reference!$A$11,MIN($U86,150))),Reference!$A$6:$A$11,1))))),0)+IF(4&lt;=$AL86,($AL86-4+3)*(INDEX(Reference!$B$6:$B$11,MIN(5,MATCH(MAX(Reference!$A$6,MIN(Reference!$A$11,MIN($U86,180))),Reference!$A$6:$A$11,1)))+(MAX(Reference!$A$6,MIN(Reference!$A$11,MIN($U86,180)))-INDEX(Reference!$A$6:$A$11,MIN(5,MATCH(MAX(Reference!$A$6,MIN(Reference!$A$11,MIN($U86,180))),Reference!$A$6:$A$11,1))))*(INDEX(Reference!$B$6:$B$11,MIN(5,MATCH(MAX(Reference!$A$6,MIN(Reference!$A$11,MIN($U86,180))),Reference!$A$6:$A$11,1))+1)-INDEX(Reference!$B$6:$B$11,MIN(5,MATCH(MAX(Reference!$A$6,MIN(Reference!$A$11,MIN($U86,180))),Reference!$A$6:$A$11,1))))/(INDEX(Reference!$A$6:$A$11,MIN(5,MATCH(MAX(Reference!$A$6,MIN(Reference!$A$11,MIN($U86,180))),Reference!$A$6:$A$11,1))+1)-INDEX(Reference!$A$6:$A$11,MIN(5,MATCH(MAX(Reference!$A$6,MIN(Reference!$A$11,MIN($U86,180))),Reference!$A$6:$A$11,1))))),0)+IF(5&lt;=$AL86,($AL86-5+3)*(INDEX(Reference!$B$6:$B$11,MIN(5,MATCH(MAX(Reference!$A$6,MIN(Reference!$A$11,MIN($U86,210))),Reference!$A$6:$A$11,1)))+(MAX(Reference!$A$6,MIN(Reference!$A$11,MIN($U86,210)))-INDEX(Reference!$A$6:$A$11,MIN(5,MATCH(MAX(Reference!$A$6,MIN(Reference!$A$11,MIN($U86,210))),Reference!$A$6:$A$11,1))))*(INDEX(Reference!$B$6:$B$11,MIN(5,MATCH(MAX(Reference!$A$6,MIN(Reference!$A$11,MIN($U86,210))),Reference!$A$6:$A$11,1))+1)-INDEX(Reference!$B$6:$B$11,MIN(5,MATCH(MAX(Reference!$A$6,MIN(Reference!$A$11,MIN($U86,210))),Reference!$A$6:$A$11,1))))/(INDEX(Reference!$A$6:$A$11,MIN(5,MATCH(MAX(Reference!$A$6,MIN(Reference!$A$11,MIN($U86,210))),Reference!$A$6:$A$11,1))+1)-INDEX(Reference!$A$6:$A$11,MIN(5,MATCH(MAX(Reference!$A$6,MIN(Reference!$A$11,MIN($U86,210))),Reference!$A$6:$A$11,1))))),0)+IF(6&lt;=$AL86,($AL86-6+3)*(INDEX(Reference!$B$6:$B$11,MIN(5,MATCH(MAX(Reference!$A$6,MIN(Reference!$A$11,MIN($U86,240))),Reference!$A$6:$A$11,1)))+(MAX(Reference!$A$6,MIN(Reference!$A$11,MIN($U86,240)))-INDEX(Reference!$A$6:$A$11,MIN(5,MATCH(MAX(Reference!$A$6,MIN(Reference!$A$11,MIN($U86,240))),Reference!$A$6:$A$11,1))))*(INDEX(Reference!$B$6:$B$11,MIN(5,MATCH(MAX(Reference!$A$6,MIN(Reference!$A$11,MIN($U86,240))),Reference!$A$6:$A$11,1))+1)-INDEX(Reference!$B$6:$B$11,MIN(5,MATCH(MAX(Reference!$A$6,MIN(Reference!$A$11,MIN($U86,240))),Reference!$A$6:$A$11,1))))/(INDEX(Reference!$A$6:$A$11,MIN(5,MATCH(MAX(Reference!$A$6,MIN(Reference!$A$11,MIN($U86,240))),Reference!$A$6:$A$11,1))+1)-INDEX(Reference!$A$6:$A$11,MIN(5,MATCH(MAX(Reference!$A$6,MIN(Reference!$A$11,MIN($U86,240))),Reference!$A$6:$A$11,1))))),0)+IF(7&lt;=$AL86,($AL86-7+3)*(INDEX(Reference!$B$6:$B$11,MIN(5,MATCH(MAX(Reference!$A$6,MIN(Reference!$A$11,MIN($U86,270))),Reference!$A$6:$A$11,1)))+(MAX(Reference!$A$6,MIN(Reference!$A$11,MIN($U86,270)))-INDEX(Reference!$A$6:$A$11,MIN(5,MATCH(MAX(Reference!$A$6,MIN(Reference!$A$11,MIN($U86,270))),Reference!$A$6:$A$11,1))))*(INDEX(Reference!$B$6:$B$11,MIN(5,MATCH(MAX(Reference!$A$6,MIN(Reference!$A$11,MIN($U86,270))),Reference!$A$6:$A$11,1))+1)-INDEX(Reference!$B$6:$B$11,MIN(5,MATCH(MAX(Reference!$A$6,MIN(Reference!$A$11,MIN($U86,270))),Reference!$A$6:$A$11,1))))/(INDEX(Reference!$A$6:$A$11,MIN(5,MATCH(MAX(Reference!$A$6,MIN(Reference!$A$11,MIN($U86,270))),Reference!$A$6:$A$11,1))+1)-INDEX(Reference!$A$6:$A$11,MIN(5,MATCH(MAX(Reference!$A$6,MIN(Reference!$A$11,MIN($U86,270))),Reference!$A$6:$A$11,1))))),0)+IF(8&lt;=$AL86,($AL86-8+3)*(INDEX(Reference!$B$6:$B$11,MIN(5,MATCH(MAX(Reference!$A$6,MIN(Reference!$A$11,MIN($U86,300))),Reference!$A$6:$A$11,1)))+(MAX(Reference!$A$6,MIN(Reference!$A$11,MIN($U86,300)))-INDEX(Reference!$A$6:$A$11,MIN(5,MATCH(MAX(Reference!$A$6,MIN(Reference!$A$11,MIN($U86,300))),Reference!$A$6:$A$11,1))))*(INDEX(Reference!$B$6:$B$11,MIN(5,MATCH(MAX(Reference!$A$6,MIN(Reference!$A$11,MIN($U86,300))),Reference!$A$6:$A$11,1))+1)-INDEX(Reference!$B$6:$B$11,MIN(5,MATCH(MAX(Reference!$A$6,MIN(Reference!$A$11,MIN($U86,300))),Reference!$A$6:$A$11,1))))/(INDEX(Reference!$A$6:$A$11,MIN(5,MATCH(MAX(Reference!$A$6,MIN(Reference!$A$11,MIN($U86,300))),Reference!$A$6:$A$11,1))+1)-INDEX(Reference!$A$6:$A$11,MIN(5,MATCH(MAX(Reference!$A$6,MIN(Reference!$A$11,MIN($U86,300))),Reference!$A$6:$A$11,1))))),0))/($AL86*($AL86+5)/2)),$AN86))</f>
        <v>1.6583333333333334</v>
      </c>
      <c r="AN86" s="32">
        <f>IF($U86="",0,(INDEX(Reference!$B$6:$B$11,MIN(5,MATCH(MAX(Reference!$A$6,MIN(Reference!$A$11,$U86)),Reference!$A$6:$A$11,1)))+(MAX(Reference!$A$6,MIN(Reference!$A$11,$U86))-INDEX(Reference!$A$6:$A$11,MIN(5,MATCH(MAX(Reference!$A$6,MIN(Reference!$A$11,$U86)),Reference!$A$6:$A$11,1))))*(INDEX(Reference!$B$6:$B$11,MIN(5,MATCH(MAX(Reference!$A$6,MIN(Reference!$A$11,$U86)),Reference!$A$6:$A$11,1))+1)-INDEX(Reference!$B$6:$B$11,MIN(5,MATCH(MAX(Reference!$A$6,MIN(Reference!$A$11,$U86)),Reference!$A$6:$A$11,1))))/(INDEX(Reference!$A$6:$A$11,MIN(5,MATCH(MAX(Reference!$A$6,MIN(Reference!$A$11,$U86)),Reference!$A$6:$A$11,1))+1)-INDEX(Reference!$A$6:$A$11,MIN(5,MATCH(MAX(Reference!$A$6,MIN(Reference!$A$11,$U86)),Reference!$A$6:$A$11,1))))))</f>
        <v>2.2000000000000002</v>
      </c>
      <c r="AO86" s="37"/>
      <c r="AP86" s="37"/>
      <c r="AQ86" s="37"/>
    </row>
    <row r="87" spans="1:43" x14ac:dyDescent="0.3">
      <c r="A87" s="48">
        <f t="shared" si="30"/>
        <v>46351</v>
      </c>
      <c r="B87" s="32" t="str">
        <f t="shared" si="31"/>
        <v>Wed</v>
      </c>
      <c r="C87" s="32">
        <f t="shared" si="32"/>
        <v>40</v>
      </c>
      <c r="D87" s="32" t="str">
        <f t="shared" si="33"/>
        <v>Extension</v>
      </c>
      <c r="E87" s="32" t="str">
        <f t="shared" si="34"/>
        <v>No Throw</v>
      </c>
      <c r="F87" s="32" t="str">
        <f t="shared" si="35"/>
        <v>No Throw</v>
      </c>
      <c r="G87" s="47" t="str">
        <f t="shared" si="36"/>
        <v>Off</v>
      </c>
      <c r="H87" s="30">
        <f t="shared" si="37"/>
        <v>0</v>
      </c>
      <c r="I87" s="46">
        <f>IF($A87="","",IF(AND($L87&lt;27,$K$12=0),"Building",IFERROR(((SUM($H$81:$H87)+$K$12*IF($L87&lt;6,SUMIFS('Throw Log'!$Q$5:$Q$300,'Throw Log'!$B$5:$B$300,$D$4,'Throw Log'!$A$5:$A$300,"&gt;="&amp;($D$6+$L87-6),'Throw Log'!$A$5:$A$300,"&lt;="&amp;($D$6-1)),0))/7)/((SUM($H$60:$H87)+$K$12*IF($L87&lt;27,SUMIFS('Throw Log'!$Q$5:$Q$300,'Throw Log'!$B$5:$B$300,$D$4,'Throw Log'!$A$5:$A$300,"&gt;="&amp;($D$6+$L87-27),'Throw Log'!$A$5:$A$300,"&lt;="&amp;($D$6-1)),0))/28),"")))</f>
        <v>1.1187806159545279</v>
      </c>
      <c r="J87" s="37"/>
      <c r="K87" s="37"/>
      <c r="L87" s="32">
        <v>44</v>
      </c>
      <c r="M87" s="32">
        <f t="shared" si="38"/>
        <v>7</v>
      </c>
      <c r="N87" s="32">
        <f t="shared" si="39"/>
        <v>2</v>
      </c>
      <c r="O87" s="32">
        <f t="shared" si="40"/>
        <v>0.57894736842105265</v>
      </c>
      <c r="P87" s="32">
        <f>IF(OR($A87="",N($C87)&lt;=7),"",$G$6*$G$9^($M87-1)*IF(AND(MOD($M87,Reference!$B$99)=0,$M87&lt;=$G$5-2),Reference!$B$100,1))</f>
        <v>162.26318771208111</v>
      </c>
      <c r="Q87" s="32">
        <f>IF($P87="","",IF(SUM($AK$85:$AK$91)=0,0,$P87*INDEX(Reference!$B$108:$B$114,$N87+1)/SUM($AK$85:$AK$91)))</f>
        <v>0</v>
      </c>
      <c r="R87" s="32">
        <f t="shared" si="41"/>
        <v>150</v>
      </c>
      <c r="S87" s="32">
        <f t="shared" si="42"/>
        <v>135</v>
      </c>
      <c r="T87" s="32" t="str">
        <f>IF($A87="","",IF($C87=0,"Bullpen",IF(OR($C87=7,$C87=1,$C87=5),"Recovery/Easy Catch",IF($C87=6,"Compression/Pulldowns",IF(OR($C87=4,$C87=2),"Long Toss",IF($C87=3,"No Throw",IF($N87=2,"No Throw",IF($N87=6,IF($O87&lt;Reference!$B$104,"No Throw","Recovery/Easy Catch"),IF(OR($N87=0,$N87=4),"Recovery/Easy Catch",IF($N87=1,IF($R87&gt;75,"Long Toss","Recovery/Easy Catch"),IF($N87=3,IF($O87&lt;0.5,IF($S87&gt;75,"Long Toss","Recovery/Easy Catch"),"Compression/Pulldowns"),IF($S87&gt;75,"Long Toss","Recovery/Easy Catch"))))))))))))</f>
        <v>No Throw</v>
      </c>
      <c r="U87" s="32" t="str">
        <f t="shared" si="43"/>
        <v/>
      </c>
      <c r="V87" s="32" t="str">
        <f t="shared" si="44"/>
        <v/>
      </c>
      <c r="W87" s="32" t="str">
        <f t="shared" si="45"/>
        <v/>
      </c>
      <c r="X87" s="32">
        <f t="shared" si="46"/>
        <v>0</v>
      </c>
      <c r="Y87" s="32" t="str">
        <f t="shared" si="47"/>
        <v/>
      </c>
      <c r="Z87" s="32" t="str">
        <f t="shared" si="48"/>
        <v/>
      </c>
      <c r="AA87" s="32" t="str">
        <f t="shared" si="49"/>
        <v/>
      </c>
      <c r="AB87" s="32">
        <f>IF($A87="","",IF($T87="No Throw",0,IF($K87&lt;&gt;"",$K87,IF($AA87&lt;&gt;"",ROUND($AA87*$D$12*IF($C87=0,1,$G$10),0),MIN(IF($T87="Recovery/Easy Catch",Reference!$B$103,IF($T87="Long Toss",Reference!$B$106,Reference!$B$102)),MAX(Reference!$B$101,ROUND(MAX(0,$Q87-$AE87)/$AF87,0)))))))</f>
        <v>0</v>
      </c>
      <c r="AC87" s="32">
        <f t="shared" si="50"/>
        <v>0</v>
      </c>
      <c r="AD87" s="32" t="b">
        <f t="shared" si="51"/>
        <v>1</v>
      </c>
      <c r="AE87" s="32">
        <f>IF($X87=0,0,$X87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87+$Z87)/2,0),Reference!$A$17:$B$20,2,TRUE()))</f>
        <v>0</v>
      </c>
      <c r="AF87" s="32">
        <f>IF(OR($A87="",$U87="",$T87="No Throw"),0,$AM87*VLOOKUP(MAX(($V87+$W87)/2,0),Reference!$A$17:$B$20,2,TRUE()))</f>
        <v>0</v>
      </c>
      <c r="AG87" s="32">
        <f>IF($AC87=0,0,$AC87*INDEX(Reference!$B$61:$B$62,MATCH("Bullpen",Reference!$A$61:$A$62,0))*VLOOKUP(MAX($D$5-($D$9+$E$9)/2,0),Reference!$A$17:$B$20,2,TRUE()))</f>
        <v>0</v>
      </c>
      <c r="AH87" s="46">
        <f t="shared" si="52"/>
        <v>1.1187806159545279</v>
      </c>
      <c r="AI87" s="32">
        <f>IF($A87="",NA(),Reference!$A$25)</f>
        <v>0.8</v>
      </c>
      <c r="AJ87" s="32">
        <f t="shared" si="53"/>
        <v>1.3</v>
      </c>
      <c r="AK87" s="32">
        <f>IF(OR($A87="",N($C87)&lt;=7,$T87="No Throw",$J87="x"),0,INDEX(Reference!$B$108:$B$114,$N87+1))</f>
        <v>0</v>
      </c>
      <c r="AL87" s="32">
        <f t="shared" si="54"/>
        <v>1</v>
      </c>
      <c r="AM87" s="32">
        <f>IF($U87="",0,IF($AL87&gt;1,((IF(1&lt;=$AL87,($AL87-1+3)*(INDEX(Reference!$B$6:$B$11,MIN(5,MATCH(MAX(Reference!$A$6,MIN(Reference!$A$11,MIN($U87,90))),Reference!$A$6:$A$11,1)))+(MAX(Reference!$A$6,MIN(Reference!$A$11,MIN($U87,90)))-INDEX(Reference!$A$6:$A$11,MIN(5,MATCH(MAX(Reference!$A$6,MIN(Reference!$A$11,MIN($U87,90))),Reference!$A$6:$A$11,1))))*(INDEX(Reference!$B$6:$B$11,MIN(5,MATCH(MAX(Reference!$A$6,MIN(Reference!$A$11,MIN($U87,90))),Reference!$A$6:$A$11,1))+1)-INDEX(Reference!$B$6:$B$11,MIN(5,MATCH(MAX(Reference!$A$6,MIN(Reference!$A$11,MIN($U87,90))),Reference!$A$6:$A$11,1))))/(INDEX(Reference!$A$6:$A$11,MIN(5,MATCH(MAX(Reference!$A$6,MIN(Reference!$A$11,MIN($U87,90))),Reference!$A$6:$A$11,1))+1)-INDEX(Reference!$A$6:$A$11,MIN(5,MATCH(MAX(Reference!$A$6,MIN(Reference!$A$11,MIN($U87,90))),Reference!$A$6:$A$11,1))))),0)+IF(2&lt;=$AL87,($AL87-2+3)*(INDEX(Reference!$B$6:$B$11,MIN(5,MATCH(MAX(Reference!$A$6,MIN(Reference!$A$11,MIN($U87,120))),Reference!$A$6:$A$11,1)))+(MAX(Reference!$A$6,MIN(Reference!$A$11,MIN($U87,120)))-INDEX(Reference!$A$6:$A$11,MIN(5,MATCH(MAX(Reference!$A$6,MIN(Reference!$A$11,MIN($U87,120))),Reference!$A$6:$A$11,1))))*(INDEX(Reference!$B$6:$B$11,MIN(5,MATCH(MAX(Reference!$A$6,MIN(Reference!$A$11,MIN($U87,120))),Reference!$A$6:$A$11,1))+1)-INDEX(Reference!$B$6:$B$11,MIN(5,MATCH(MAX(Reference!$A$6,MIN(Reference!$A$11,MIN($U87,120))),Reference!$A$6:$A$11,1))))/(INDEX(Reference!$A$6:$A$11,MIN(5,MATCH(MAX(Reference!$A$6,MIN(Reference!$A$11,MIN($U87,120))),Reference!$A$6:$A$11,1))+1)-INDEX(Reference!$A$6:$A$11,MIN(5,MATCH(MAX(Reference!$A$6,MIN(Reference!$A$11,MIN($U87,120))),Reference!$A$6:$A$11,1))))),0)+IF(3&lt;=$AL87,($AL87-3+3)*(INDEX(Reference!$B$6:$B$11,MIN(5,MATCH(MAX(Reference!$A$6,MIN(Reference!$A$11,MIN($U87,150))),Reference!$A$6:$A$11,1)))+(MAX(Reference!$A$6,MIN(Reference!$A$11,MIN($U87,150)))-INDEX(Reference!$A$6:$A$11,MIN(5,MATCH(MAX(Reference!$A$6,MIN(Reference!$A$11,MIN($U87,150))),Reference!$A$6:$A$11,1))))*(INDEX(Reference!$B$6:$B$11,MIN(5,MATCH(MAX(Reference!$A$6,MIN(Reference!$A$11,MIN($U87,150))),Reference!$A$6:$A$11,1))+1)-INDEX(Reference!$B$6:$B$11,MIN(5,MATCH(MAX(Reference!$A$6,MIN(Reference!$A$11,MIN($U87,150))),Reference!$A$6:$A$11,1))))/(INDEX(Reference!$A$6:$A$11,MIN(5,MATCH(MAX(Reference!$A$6,MIN(Reference!$A$11,MIN($U87,150))),Reference!$A$6:$A$11,1))+1)-INDEX(Reference!$A$6:$A$11,MIN(5,MATCH(MAX(Reference!$A$6,MIN(Reference!$A$11,MIN($U87,150))),Reference!$A$6:$A$11,1))))),0)+IF(4&lt;=$AL87,($AL87-4+3)*(INDEX(Reference!$B$6:$B$11,MIN(5,MATCH(MAX(Reference!$A$6,MIN(Reference!$A$11,MIN($U87,180))),Reference!$A$6:$A$11,1)))+(MAX(Reference!$A$6,MIN(Reference!$A$11,MIN($U87,180)))-INDEX(Reference!$A$6:$A$11,MIN(5,MATCH(MAX(Reference!$A$6,MIN(Reference!$A$11,MIN($U87,180))),Reference!$A$6:$A$11,1))))*(INDEX(Reference!$B$6:$B$11,MIN(5,MATCH(MAX(Reference!$A$6,MIN(Reference!$A$11,MIN($U87,180))),Reference!$A$6:$A$11,1))+1)-INDEX(Reference!$B$6:$B$11,MIN(5,MATCH(MAX(Reference!$A$6,MIN(Reference!$A$11,MIN($U87,180))),Reference!$A$6:$A$11,1))))/(INDEX(Reference!$A$6:$A$11,MIN(5,MATCH(MAX(Reference!$A$6,MIN(Reference!$A$11,MIN($U87,180))),Reference!$A$6:$A$11,1))+1)-INDEX(Reference!$A$6:$A$11,MIN(5,MATCH(MAX(Reference!$A$6,MIN(Reference!$A$11,MIN($U87,180))),Reference!$A$6:$A$11,1))))),0)+IF(5&lt;=$AL87,($AL87-5+3)*(INDEX(Reference!$B$6:$B$11,MIN(5,MATCH(MAX(Reference!$A$6,MIN(Reference!$A$11,MIN($U87,210))),Reference!$A$6:$A$11,1)))+(MAX(Reference!$A$6,MIN(Reference!$A$11,MIN($U87,210)))-INDEX(Reference!$A$6:$A$11,MIN(5,MATCH(MAX(Reference!$A$6,MIN(Reference!$A$11,MIN($U87,210))),Reference!$A$6:$A$11,1))))*(INDEX(Reference!$B$6:$B$11,MIN(5,MATCH(MAX(Reference!$A$6,MIN(Reference!$A$11,MIN($U87,210))),Reference!$A$6:$A$11,1))+1)-INDEX(Reference!$B$6:$B$11,MIN(5,MATCH(MAX(Reference!$A$6,MIN(Reference!$A$11,MIN($U87,210))),Reference!$A$6:$A$11,1))))/(INDEX(Reference!$A$6:$A$11,MIN(5,MATCH(MAX(Reference!$A$6,MIN(Reference!$A$11,MIN($U87,210))),Reference!$A$6:$A$11,1))+1)-INDEX(Reference!$A$6:$A$11,MIN(5,MATCH(MAX(Reference!$A$6,MIN(Reference!$A$11,MIN($U87,210))),Reference!$A$6:$A$11,1))))),0)+IF(6&lt;=$AL87,($AL87-6+3)*(INDEX(Reference!$B$6:$B$11,MIN(5,MATCH(MAX(Reference!$A$6,MIN(Reference!$A$11,MIN($U87,240))),Reference!$A$6:$A$11,1)))+(MAX(Reference!$A$6,MIN(Reference!$A$11,MIN($U87,240)))-INDEX(Reference!$A$6:$A$11,MIN(5,MATCH(MAX(Reference!$A$6,MIN(Reference!$A$11,MIN($U87,240))),Reference!$A$6:$A$11,1))))*(INDEX(Reference!$B$6:$B$11,MIN(5,MATCH(MAX(Reference!$A$6,MIN(Reference!$A$11,MIN($U87,240))),Reference!$A$6:$A$11,1))+1)-INDEX(Reference!$B$6:$B$11,MIN(5,MATCH(MAX(Reference!$A$6,MIN(Reference!$A$11,MIN($U87,240))),Reference!$A$6:$A$11,1))))/(INDEX(Reference!$A$6:$A$11,MIN(5,MATCH(MAX(Reference!$A$6,MIN(Reference!$A$11,MIN($U87,240))),Reference!$A$6:$A$11,1))+1)-INDEX(Reference!$A$6:$A$11,MIN(5,MATCH(MAX(Reference!$A$6,MIN(Reference!$A$11,MIN($U87,240))),Reference!$A$6:$A$11,1))))),0)+IF(7&lt;=$AL87,($AL87-7+3)*(INDEX(Reference!$B$6:$B$11,MIN(5,MATCH(MAX(Reference!$A$6,MIN(Reference!$A$11,MIN($U87,270))),Reference!$A$6:$A$11,1)))+(MAX(Reference!$A$6,MIN(Reference!$A$11,MIN($U87,270)))-INDEX(Reference!$A$6:$A$11,MIN(5,MATCH(MAX(Reference!$A$6,MIN(Reference!$A$11,MIN($U87,270))),Reference!$A$6:$A$11,1))))*(INDEX(Reference!$B$6:$B$11,MIN(5,MATCH(MAX(Reference!$A$6,MIN(Reference!$A$11,MIN($U87,270))),Reference!$A$6:$A$11,1))+1)-INDEX(Reference!$B$6:$B$11,MIN(5,MATCH(MAX(Reference!$A$6,MIN(Reference!$A$11,MIN($U87,270))),Reference!$A$6:$A$11,1))))/(INDEX(Reference!$A$6:$A$11,MIN(5,MATCH(MAX(Reference!$A$6,MIN(Reference!$A$11,MIN($U87,270))),Reference!$A$6:$A$11,1))+1)-INDEX(Reference!$A$6:$A$11,MIN(5,MATCH(MAX(Reference!$A$6,MIN(Reference!$A$11,MIN($U87,270))),Reference!$A$6:$A$11,1))))),0)+IF(8&lt;=$AL87,($AL87-8+3)*(INDEX(Reference!$B$6:$B$11,MIN(5,MATCH(MAX(Reference!$A$6,MIN(Reference!$A$11,MIN($U87,300))),Reference!$A$6:$A$11,1)))+(MAX(Reference!$A$6,MIN(Reference!$A$11,MIN($U87,300)))-INDEX(Reference!$A$6:$A$11,MIN(5,MATCH(MAX(Reference!$A$6,MIN(Reference!$A$11,MIN($U87,300))),Reference!$A$6:$A$11,1))))*(INDEX(Reference!$B$6:$B$11,MIN(5,MATCH(MAX(Reference!$A$6,MIN(Reference!$A$11,MIN($U87,300))),Reference!$A$6:$A$11,1))+1)-INDEX(Reference!$B$6:$B$11,MIN(5,MATCH(MAX(Reference!$A$6,MIN(Reference!$A$11,MIN($U87,300))),Reference!$A$6:$A$11,1))))/(INDEX(Reference!$A$6:$A$11,MIN(5,MATCH(MAX(Reference!$A$6,MIN(Reference!$A$11,MIN($U87,300))),Reference!$A$6:$A$11,1))+1)-INDEX(Reference!$A$6:$A$11,MIN(5,MATCH(MAX(Reference!$A$6,MIN(Reference!$A$11,MIN($U87,300))),Reference!$A$6:$A$11,1))))),0))/($AL87*($AL87+5)/2)),$AN87))</f>
        <v>0</v>
      </c>
      <c r="AN87" s="32">
        <f>IF($U87="",0,(INDEX(Reference!$B$6:$B$11,MIN(5,MATCH(MAX(Reference!$A$6,MIN(Reference!$A$11,$U87)),Reference!$A$6:$A$11,1)))+(MAX(Reference!$A$6,MIN(Reference!$A$11,$U87))-INDEX(Reference!$A$6:$A$11,MIN(5,MATCH(MAX(Reference!$A$6,MIN(Reference!$A$11,$U87)),Reference!$A$6:$A$11,1))))*(INDEX(Reference!$B$6:$B$11,MIN(5,MATCH(MAX(Reference!$A$6,MIN(Reference!$A$11,$U87)),Reference!$A$6:$A$11,1))+1)-INDEX(Reference!$B$6:$B$11,MIN(5,MATCH(MAX(Reference!$A$6,MIN(Reference!$A$11,$U87)),Reference!$A$6:$A$11,1))))/(INDEX(Reference!$A$6:$A$11,MIN(5,MATCH(MAX(Reference!$A$6,MIN(Reference!$A$11,$U87)),Reference!$A$6:$A$11,1))+1)-INDEX(Reference!$A$6:$A$11,MIN(5,MATCH(MAX(Reference!$A$6,MIN(Reference!$A$11,$U87)),Reference!$A$6:$A$11,1))))))</f>
        <v>0</v>
      </c>
      <c r="AO87" s="37"/>
      <c r="AP87" s="37"/>
      <c r="AQ87" s="37"/>
    </row>
    <row r="88" spans="1:43" x14ac:dyDescent="0.3">
      <c r="A88" s="48">
        <f t="shared" si="30"/>
        <v>46352</v>
      </c>
      <c r="B88" s="32" t="str">
        <f t="shared" si="31"/>
        <v>Thu</v>
      </c>
      <c r="C88" s="32">
        <f t="shared" si="32"/>
        <v>39</v>
      </c>
      <c r="D88" s="32" t="str">
        <f t="shared" si="33"/>
        <v>Extension</v>
      </c>
      <c r="E88" s="32" t="str">
        <f t="shared" si="34"/>
        <v>High Non-Bullpen</v>
      </c>
      <c r="F88" s="32" t="str">
        <f t="shared" si="35"/>
        <v>Compression/Pulldowns</v>
      </c>
      <c r="G88" s="47" t="str">
        <f t="shared" si="36"/>
        <v>90 ft × 20 @ 80–82 mph + 60 ft × 15 @ 77–79 mph</v>
      </c>
      <c r="H88" s="30">
        <f t="shared" si="37"/>
        <v>35</v>
      </c>
      <c r="I88" s="46">
        <f>IF($A88="","",IF(AND($L88&lt;27,$K$12=0),"Building",IFERROR(((SUM($H$82:$H88)+$K$12*IF($L88&lt;6,SUMIFS('Throw Log'!$Q$5:$Q$300,'Throw Log'!$B$5:$B$300,$D$4,'Throw Log'!$A$5:$A$300,"&gt;="&amp;($D$6+$L88-6),'Throw Log'!$A$5:$A$300,"&lt;="&amp;($D$6-1)),0))/7)/((SUM($H$61:$H88)+$K$12*IF($L88&lt;27,SUMIFS('Throw Log'!$Q$5:$Q$300,'Throw Log'!$B$5:$B$300,$D$4,'Throw Log'!$A$5:$A$300,"&gt;="&amp;($D$6+$L88-27),'Throw Log'!$A$5:$A$300,"&lt;="&amp;($D$6-1)),0))/28),"")))</f>
        <v>1.0966637707246272</v>
      </c>
      <c r="J88" s="37"/>
      <c r="K88" s="37">
        <v>20</v>
      </c>
      <c r="L88" s="32">
        <v>45</v>
      </c>
      <c r="M88" s="32">
        <f t="shared" si="38"/>
        <v>7</v>
      </c>
      <c r="N88" s="32">
        <f t="shared" si="39"/>
        <v>3</v>
      </c>
      <c r="O88" s="32">
        <f t="shared" si="40"/>
        <v>0.59210526315789469</v>
      </c>
      <c r="P88" s="32">
        <f>IF(OR($A88="",N($C88)&lt;=7),"",$G$6*$G$9^($M88-1)*IF(AND(MOD($M88,Reference!$B$99)=0,$M88&lt;=$G$5-2),Reference!$B$100,1))</f>
        <v>162.26318771208111</v>
      </c>
      <c r="Q88" s="32">
        <f>IF($P88="","",IF(SUM($AK$85:$AK$91)=0,0,$P88*INDEX(Reference!$B$108:$B$114,$N88+1)/SUM($AK$85:$AK$91)))</f>
        <v>36.395481355980806</v>
      </c>
      <c r="R88" s="32">
        <f t="shared" si="41"/>
        <v>150</v>
      </c>
      <c r="S88" s="32">
        <f t="shared" si="42"/>
        <v>135</v>
      </c>
      <c r="T88" s="32" t="str">
        <f>IF($A88="","",IF($C88=0,"Bullpen",IF(OR($C88=7,$C88=1,$C88=5),"Recovery/Easy Catch",IF($C88=6,"Compression/Pulldowns",IF(OR($C88=4,$C88=2),"Long Toss",IF($C88=3,"No Throw",IF($N88=2,"No Throw",IF($N88=6,IF($O88&lt;Reference!$B$104,"No Throw","Recovery/Easy Catch"),IF(OR($N88=0,$N88=4),"Recovery/Easy Catch",IF($N88=1,IF($R88&gt;75,"Long Toss","Recovery/Easy Catch"),IF($N88=3,IF($O88&lt;0.5,IF($S88&gt;75,"Long Toss","Recovery/Easy Catch"),"Compression/Pulldowns"),IF($S88&gt;75,"Long Toss","Recovery/Easy Catch"))))))))))))</f>
        <v>Compression/Pulldowns</v>
      </c>
      <c r="U88" s="32">
        <f t="shared" si="43"/>
        <v>90</v>
      </c>
      <c r="V88" s="32">
        <f t="shared" si="44"/>
        <v>7</v>
      </c>
      <c r="W88" s="32">
        <f t="shared" si="45"/>
        <v>9</v>
      </c>
      <c r="X88" s="32">
        <f t="shared" si="46"/>
        <v>15</v>
      </c>
      <c r="Y88" s="32">
        <f t="shared" si="47"/>
        <v>10</v>
      </c>
      <c r="Z88" s="32">
        <f t="shared" si="48"/>
        <v>12</v>
      </c>
      <c r="AA88" s="32" t="str">
        <f t="shared" si="49"/>
        <v/>
      </c>
      <c r="AB88" s="32">
        <f>IF($A88="","",IF($T88="No Throw",0,IF($K88&lt;&gt;"",$K88,IF($AA88&lt;&gt;"",ROUND($AA88*$D$12*IF($C88=0,1,$G$10),0),MIN(IF($T88="Recovery/Easy Catch",Reference!$B$103,IF($T88="Long Toss",Reference!$B$106,Reference!$B$102)),MAX(Reference!$B$101,ROUND(MAX(0,$Q88-$AE88)/$AF88,0)))))))</f>
        <v>20</v>
      </c>
      <c r="AC88" s="32">
        <f t="shared" si="50"/>
        <v>0</v>
      </c>
      <c r="AD88" s="32" t="b">
        <f t="shared" si="51"/>
        <v>0</v>
      </c>
      <c r="AE88" s="32">
        <f>IF($X88=0,0,$X88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88+$Z88)/2,0),Reference!$A$17:$B$20,2,TRUE()))</f>
        <v>9</v>
      </c>
      <c r="AF88" s="32">
        <f>IF(OR($A88="",$U88="",$T88="No Throw"),0,$AM88*VLOOKUP(MAX(($V88+$W88)/2,0),Reference!$A$17:$B$20,2,TRUE()))</f>
        <v>1.3</v>
      </c>
      <c r="AG88" s="32">
        <f>IF($AC88=0,0,$AC88*INDEX(Reference!$B$61:$B$62,MATCH("Bullpen",Reference!$A$61:$A$62,0))*VLOOKUP(MAX($D$5-($D$9+$E$9)/2,0),Reference!$A$17:$B$20,2,TRUE()))</f>
        <v>0</v>
      </c>
      <c r="AH88" s="46">
        <f t="shared" si="52"/>
        <v>1.0966637707246272</v>
      </c>
      <c r="AI88" s="32">
        <f>IF($A88="",NA(),Reference!$A$25)</f>
        <v>0.8</v>
      </c>
      <c r="AJ88" s="32">
        <f t="shared" si="53"/>
        <v>1.3</v>
      </c>
      <c r="AK88" s="56">
        <f>IF(OR($A88="",N($C88)&lt;=7,$T88="No Throw",$J88="x"),0,INDEX(Reference!$B$108:$B$114,$N88+1))</f>
        <v>0.24</v>
      </c>
      <c r="AL88" s="32">
        <f t="shared" si="54"/>
        <v>1</v>
      </c>
      <c r="AM88" s="32">
        <f>IF($U88="",0,IF($AL88&gt;1,((IF(1&lt;=$AL88,($AL88-1+3)*(INDEX(Reference!$B$6:$B$11,MIN(5,MATCH(MAX(Reference!$A$6,MIN(Reference!$A$11,MIN($U88,90))),Reference!$A$6:$A$11,1)))+(MAX(Reference!$A$6,MIN(Reference!$A$11,MIN($U88,90)))-INDEX(Reference!$A$6:$A$11,MIN(5,MATCH(MAX(Reference!$A$6,MIN(Reference!$A$11,MIN($U88,90))),Reference!$A$6:$A$11,1))))*(INDEX(Reference!$B$6:$B$11,MIN(5,MATCH(MAX(Reference!$A$6,MIN(Reference!$A$11,MIN($U88,90))),Reference!$A$6:$A$11,1))+1)-INDEX(Reference!$B$6:$B$11,MIN(5,MATCH(MAX(Reference!$A$6,MIN(Reference!$A$11,MIN($U88,90))),Reference!$A$6:$A$11,1))))/(INDEX(Reference!$A$6:$A$11,MIN(5,MATCH(MAX(Reference!$A$6,MIN(Reference!$A$11,MIN($U88,90))),Reference!$A$6:$A$11,1))+1)-INDEX(Reference!$A$6:$A$11,MIN(5,MATCH(MAX(Reference!$A$6,MIN(Reference!$A$11,MIN($U88,90))),Reference!$A$6:$A$11,1))))),0)+IF(2&lt;=$AL88,($AL88-2+3)*(INDEX(Reference!$B$6:$B$11,MIN(5,MATCH(MAX(Reference!$A$6,MIN(Reference!$A$11,MIN($U88,120))),Reference!$A$6:$A$11,1)))+(MAX(Reference!$A$6,MIN(Reference!$A$11,MIN($U88,120)))-INDEX(Reference!$A$6:$A$11,MIN(5,MATCH(MAX(Reference!$A$6,MIN(Reference!$A$11,MIN($U88,120))),Reference!$A$6:$A$11,1))))*(INDEX(Reference!$B$6:$B$11,MIN(5,MATCH(MAX(Reference!$A$6,MIN(Reference!$A$11,MIN($U88,120))),Reference!$A$6:$A$11,1))+1)-INDEX(Reference!$B$6:$B$11,MIN(5,MATCH(MAX(Reference!$A$6,MIN(Reference!$A$11,MIN($U88,120))),Reference!$A$6:$A$11,1))))/(INDEX(Reference!$A$6:$A$11,MIN(5,MATCH(MAX(Reference!$A$6,MIN(Reference!$A$11,MIN($U88,120))),Reference!$A$6:$A$11,1))+1)-INDEX(Reference!$A$6:$A$11,MIN(5,MATCH(MAX(Reference!$A$6,MIN(Reference!$A$11,MIN($U88,120))),Reference!$A$6:$A$11,1))))),0)+IF(3&lt;=$AL88,($AL88-3+3)*(INDEX(Reference!$B$6:$B$11,MIN(5,MATCH(MAX(Reference!$A$6,MIN(Reference!$A$11,MIN($U88,150))),Reference!$A$6:$A$11,1)))+(MAX(Reference!$A$6,MIN(Reference!$A$11,MIN($U88,150)))-INDEX(Reference!$A$6:$A$11,MIN(5,MATCH(MAX(Reference!$A$6,MIN(Reference!$A$11,MIN($U88,150))),Reference!$A$6:$A$11,1))))*(INDEX(Reference!$B$6:$B$11,MIN(5,MATCH(MAX(Reference!$A$6,MIN(Reference!$A$11,MIN($U88,150))),Reference!$A$6:$A$11,1))+1)-INDEX(Reference!$B$6:$B$11,MIN(5,MATCH(MAX(Reference!$A$6,MIN(Reference!$A$11,MIN($U88,150))),Reference!$A$6:$A$11,1))))/(INDEX(Reference!$A$6:$A$11,MIN(5,MATCH(MAX(Reference!$A$6,MIN(Reference!$A$11,MIN($U88,150))),Reference!$A$6:$A$11,1))+1)-INDEX(Reference!$A$6:$A$11,MIN(5,MATCH(MAX(Reference!$A$6,MIN(Reference!$A$11,MIN($U88,150))),Reference!$A$6:$A$11,1))))),0)+IF(4&lt;=$AL88,($AL88-4+3)*(INDEX(Reference!$B$6:$B$11,MIN(5,MATCH(MAX(Reference!$A$6,MIN(Reference!$A$11,MIN($U88,180))),Reference!$A$6:$A$11,1)))+(MAX(Reference!$A$6,MIN(Reference!$A$11,MIN($U88,180)))-INDEX(Reference!$A$6:$A$11,MIN(5,MATCH(MAX(Reference!$A$6,MIN(Reference!$A$11,MIN($U88,180))),Reference!$A$6:$A$11,1))))*(INDEX(Reference!$B$6:$B$11,MIN(5,MATCH(MAX(Reference!$A$6,MIN(Reference!$A$11,MIN($U88,180))),Reference!$A$6:$A$11,1))+1)-INDEX(Reference!$B$6:$B$11,MIN(5,MATCH(MAX(Reference!$A$6,MIN(Reference!$A$11,MIN($U88,180))),Reference!$A$6:$A$11,1))))/(INDEX(Reference!$A$6:$A$11,MIN(5,MATCH(MAX(Reference!$A$6,MIN(Reference!$A$11,MIN($U88,180))),Reference!$A$6:$A$11,1))+1)-INDEX(Reference!$A$6:$A$11,MIN(5,MATCH(MAX(Reference!$A$6,MIN(Reference!$A$11,MIN($U88,180))),Reference!$A$6:$A$11,1))))),0)+IF(5&lt;=$AL88,($AL88-5+3)*(INDEX(Reference!$B$6:$B$11,MIN(5,MATCH(MAX(Reference!$A$6,MIN(Reference!$A$11,MIN($U88,210))),Reference!$A$6:$A$11,1)))+(MAX(Reference!$A$6,MIN(Reference!$A$11,MIN($U88,210)))-INDEX(Reference!$A$6:$A$11,MIN(5,MATCH(MAX(Reference!$A$6,MIN(Reference!$A$11,MIN($U88,210))),Reference!$A$6:$A$11,1))))*(INDEX(Reference!$B$6:$B$11,MIN(5,MATCH(MAX(Reference!$A$6,MIN(Reference!$A$11,MIN($U88,210))),Reference!$A$6:$A$11,1))+1)-INDEX(Reference!$B$6:$B$11,MIN(5,MATCH(MAX(Reference!$A$6,MIN(Reference!$A$11,MIN($U88,210))),Reference!$A$6:$A$11,1))))/(INDEX(Reference!$A$6:$A$11,MIN(5,MATCH(MAX(Reference!$A$6,MIN(Reference!$A$11,MIN($U88,210))),Reference!$A$6:$A$11,1))+1)-INDEX(Reference!$A$6:$A$11,MIN(5,MATCH(MAX(Reference!$A$6,MIN(Reference!$A$11,MIN($U88,210))),Reference!$A$6:$A$11,1))))),0)+IF(6&lt;=$AL88,($AL88-6+3)*(INDEX(Reference!$B$6:$B$11,MIN(5,MATCH(MAX(Reference!$A$6,MIN(Reference!$A$11,MIN($U88,240))),Reference!$A$6:$A$11,1)))+(MAX(Reference!$A$6,MIN(Reference!$A$11,MIN($U88,240)))-INDEX(Reference!$A$6:$A$11,MIN(5,MATCH(MAX(Reference!$A$6,MIN(Reference!$A$11,MIN($U88,240))),Reference!$A$6:$A$11,1))))*(INDEX(Reference!$B$6:$B$11,MIN(5,MATCH(MAX(Reference!$A$6,MIN(Reference!$A$11,MIN($U88,240))),Reference!$A$6:$A$11,1))+1)-INDEX(Reference!$B$6:$B$11,MIN(5,MATCH(MAX(Reference!$A$6,MIN(Reference!$A$11,MIN($U88,240))),Reference!$A$6:$A$11,1))))/(INDEX(Reference!$A$6:$A$11,MIN(5,MATCH(MAX(Reference!$A$6,MIN(Reference!$A$11,MIN($U88,240))),Reference!$A$6:$A$11,1))+1)-INDEX(Reference!$A$6:$A$11,MIN(5,MATCH(MAX(Reference!$A$6,MIN(Reference!$A$11,MIN($U88,240))),Reference!$A$6:$A$11,1))))),0)+IF(7&lt;=$AL88,($AL88-7+3)*(INDEX(Reference!$B$6:$B$11,MIN(5,MATCH(MAX(Reference!$A$6,MIN(Reference!$A$11,MIN($U88,270))),Reference!$A$6:$A$11,1)))+(MAX(Reference!$A$6,MIN(Reference!$A$11,MIN($U88,270)))-INDEX(Reference!$A$6:$A$11,MIN(5,MATCH(MAX(Reference!$A$6,MIN(Reference!$A$11,MIN($U88,270))),Reference!$A$6:$A$11,1))))*(INDEX(Reference!$B$6:$B$11,MIN(5,MATCH(MAX(Reference!$A$6,MIN(Reference!$A$11,MIN($U88,270))),Reference!$A$6:$A$11,1))+1)-INDEX(Reference!$B$6:$B$11,MIN(5,MATCH(MAX(Reference!$A$6,MIN(Reference!$A$11,MIN($U88,270))),Reference!$A$6:$A$11,1))))/(INDEX(Reference!$A$6:$A$11,MIN(5,MATCH(MAX(Reference!$A$6,MIN(Reference!$A$11,MIN($U88,270))),Reference!$A$6:$A$11,1))+1)-INDEX(Reference!$A$6:$A$11,MIN(5,MATCH(MAX(Reference!$A$6,MIN(Reference!$A$11,MIN($U88,270))),Reference!$A$6:$A$11,1))))),0)+IF(8&lt;=$AL88,($AL88-8+3)*(INDEX(Reference!$B$6:$B$11,MIN(5,MATCH(MAX(Reference!$A$6,MIN(Reference!$A$11,MIN($U88,300))),Reference!$A$6:$A$11,1)))+(MAX(Reference!$A$6,MIN(Reference!$A$11,MIN($U88,300)))-INDEX(Reference!$A$6:$A$11,MIN(5,MATCH(MAX(Reference!$A$6,MIN(Reference!$A$11,MIN($U88,300))),Reference!$A$6:$A$11,1))))*(INDEX(Reference!$B$6:$B$11,MIN(5,MATCH(MAX(Reference!$A$6,MIN(Reference!$A$11,MIN($U88,300))),Reference!$A$6:$A$11,1))+1)-INDEX(Reference!$B$6:$B$11,MIN(5,MATCH(MAX(Reference!$A$6,MIN(Reference!$A$11,MIN($U88,300))),Reference!$A$6:$A$11,1))))/(INDEX(Reference!$A$6:$A$11,MIN(5,MATCH(MAX(Reference!$A$6,MIN(Reference!$A$11,MIN($U88,300))),Reference!$A$6:$A$11,1))+1)-INDEX(Reference!$A$6:$A$11,MIN(5,MATCH(MAX(Reference!$A$6,MIN(Reference!$A$11,MIN($U88,300))),Reference!$A$6:$A$11,1))))),0))/($AL88*($AL88+5)/2)),$AN88))</f>
        <v>1.3</v>
      </c>
      <c r="AN88" s="32">
        <f>IF($U88="",0,(INDEX(Reference!$B$6:$B$11,MIN(5,MATCH(MAX(Reference!$A$6,MIN(Reference!$A$11,$U88)),Reference!$A$6:$A$11,1)))+(MAX(Reference!$A$6,MIN(Reference!$A$11,$U88))-INDEX(Reference!$A$6:$A$11,MIN(5,MATCH(MAX(Reference!$A$6,MIN(Reference!$A$11,$U88)),Reference!$A$6:$A$11,1))))*(INDEX(Reference!$B$6:$B$11,MIN(5,MATCH(MAX(Reference!$A$6,MIN(Reference!$A$11,$U88)),Reference!$A$6:$A$11,1))+1)-INDEX(Reference!$B$6:$B$11,MIN(5,MATCH(MAX(Reference!$A$6,MIN(Reference!$A$11,$U88)),Reference!$A$6:$A$11,1))))/(INDEX(Reference!$A$6:$A$11,MIN(5,MATCH(MAX(Reference!$A$6,MIN(Reference!$A$11,$U88)),Reference!$A$6:$A$11,1))+1)-INDEX(Reference!$A$6:$A$11,MIN(5,MATCH(MAX(Reference!$A$6,MIN(Reference!$A$11,$U88)),Reference!$A$6:$A$11,1))))))</f>
        <v>1.3</v>
      </c>
      <c r="AO88" s="37"/>
      <c r="AP88" s="37"/>
      <c r="AQ88" s="37"/>
    </row>
    <row r="89" spans="1:43" x14ac:dyDescent="0.3">
      <c r="A89" s="48">
        <f t="shared" si="30"/>
        <v>46353</v>
      </c>
      <c r="B89" s="32" t="str">
        <f t="shared" si="31"/>
        <v>Fri</v>
      </c>
      <c r="C89" s="32">
        <f t="shared" si="32"/>
        <v>38</v>
      </c>
      <c r="D89" s="32" t="str">
        <f t="shared" si="33"/>
        <v>Extension</v>
      </c>
      <c r="E89" s="32" t="str">
        <f t="shared" si="34"/>
        <v>Low</v>
      </c>
      <c r="F89" s="32" t="str">
        <f t="shared" si="35"/>
        <v>Recovery/Easy Catch</v>
      </c>
      <c r="G89" s="47" t="str">
        <f t="shared" si="36"/>
        <v>75 ft × 22 @ 67–71 mph</v>
      </c>
      <c r="H89" s="30">
        <f t="shared" si="37"/>
        <v>15.18</v>
      </c>
      <c r="I89" s="46">
        <f>IF($A89="","",IF(AND($L89&lt;27,$K$12=0),"Building",IFERROR(((SUM($H$83:$H89)+$K$12*IF($L89&lt;6,SUMIFS('Throw Log'!$Q$5:$Q$300,'Throw Log'!$B$5:$B$300,$D$4,'Throw Log'!$A$5:$A$300,"&gt;="&amp;($D$6+$L89-6),'Throw Log'!$A$5:$A$300,"&lt;="&amp;($D$6-1)),0))/7)/((SUM($H$62:$H89)+$K$12*IF($L89&lt;27,SUMIFS('Throw Log'!$Q$5:$Q$300,'Throw Log'!$B$5:$B$300,$D$4,'Throw Log'!$A$5:$A$300,"&gt;="&amp;($D$6+$L89-27),'Throw Log'!$A$5:$A$300,"&lt;="&amp;($D$6-1)),0))/28),"")))</f>
        <v>1.0951600816558567</v>
      </c>
      <c r="J89" s="37"/>
      <c r="K89" s="37"/>
      <c r="L89" s="32">
        <v>46</v>
      </c>
      <c r="M89" s="32">
        <f t="shared" si="38"/>
        <v>7</v>
      </c>
      <c r="N89" s="32">
        <f t="shared" si="39"/>
        <v>4</v>
      </c>
      <c r="O89" s="32">
        <f t="shared" si="40"/>
        <v>0.60526315789473684</v>
      </c>
      <c r="P89" s="32">
        <f>IF(OR($A89="",N($C89)&lt;=7),"",$G$6*$G$9^($M89-1)*IF(AND(MOD($M89,Reference!$B$99)=0,$M89&lt;=$G$5-2),Reference!$B$100,1))</f>
        <v>162.26318771208111</v>
      </c>
      <c r="Q89" s="32">
        <f>IF($P89="","",IF(SUM($AK$85:$AK$91)=0,0,$P89*INDEX(Reference!$B$108:$B$114,$N89+1)/SUM($AK$85:$AK$91)))</f>
        <v>15.164783898325336</v>
      </c>
      <c r="R89" s="32">
        <f t="shared" si="41"/>
        <v>150</v>
      </c>
      <c r="S89" s="32">
        <f t="shared" si="42"/>
        <v>135</v>
      </c>
      <c r="T89" s="32" t="str">
        <f>IF($A89="","",IF($C89=0,"Bullpen",IF(OR($C89=7,$C89=1,$C89=5),"Recovery/Easy Catch",IF($C89=6,"Compression/Pulldowns",IF(OR($C89=4,$C89=2),"Long Toss",IF($C89=3,"No Throw",IF($N89=2,"No Throw",IF($N89=6,IF($O89&lt;Reference!$B$104,"No Throw","Recovery/Easy Catch"),IF(OR($N89=0,$N89=4),"Recovery/Easy Catch",IF($N89=1,IF($R89&gt;75,"Long Toss","Recovery/Easy Catch"),IF($N89=3,IF($O89&lt;0.5,IF($S89&gt;75,"Long Toss","Recovery/Easy Catch"),"Compression/Pulldowns"),IF($S89&gt;75,"Long Toss","Recovery/Easy Catch"))))))))))))</f>
        <v>Recovery/Easy Catch</v>
      </c>
      <c r="U89" s="32">
        <f t="shared" si="43"/>
        <v>75</v>
      </c>
      <c r="V89" s="32">
        <f t="shared" si="44"/>
        <v>18</v>
      </c>
      <c r="W89" s="32">
        <f t="shared" si="45"/>
        <v>22</v>
      </c>
      <c r="X89" s="32">
        <f t="shared" si="46"/>
        <v>0</v>
      </c>
      <c r="Y89" s="32" t="str">
        <f t="shared" si="47"/>
        <v/>
      </c>
      <c r="Z89" s="32" t="str">
        <f t="shared" si="48"/>
        <v/>
      </c>
      <c r="AA89" s="32" t="str">
        <f t="shared" si="49"/>
        <v/>
      </c>
      <c r="AB89" s="32">
        <f>IF($A89="","",IF($T89="No Throw",0,IF($K89&lt;&gt;"",$K89,IF($AA89&lt;&gt;"",ROUND($AA89*$D$12*IF($C89=0,1,$G$10),0),MIN(IF($T89="Recovery/Easy Catch",Reference!$B$103,IF($T89="Long Toss",Reference!$B$106,Reference!$B$102)),MAX(Reference!$B$101,ROUND(MAX(0,$Q89-$AE89)/$AF89,0)))))))</f>
        <v>22</v>
      </c>
      <c r="AC89" s="32">
        <f t="shared" si="50"/>
        <v>0</v>
      </c>
      <c r="AD89" s="32" t="b">
        <f t="shared" si="51"/>
        <v>0</v>
      </c>
      <c r="AE89" s="32">
        <f>IF($X89=0,0,$X89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89+$Z89)/2,0),Reference!$A$17:$B$20,2,TRUE()))</f>
        <v>0</v>
      </c>
      <c r="AF89" s="32">
        <f>IF(OR($A89="",$U89="",$T89="No Throw"),0,$AM89*VLOOKUP(MAX(($V89+$W89)/2,0),Reference!$A$17:$B$20,2,TRUE()))</f>
        <v>0.69</v>
      </c>
      <c r="AG89" s="32">
        <f>IF($AC89=0,0,$AC89*INDEX(Reference!$B$61:$B$62,MATCH("Bullpen",Reference!$A$61:$A$62,0))*VLOOKUP(MAX($D$5-($D$9+$E$9)/2,0),Reference!$A$17:$B$20,2,TRUE()))</f>
        <v>0</v>
      </c>
      <c r="AH89" s="46">
        <f t="shared" si="52"/>
        <v>1.0951600816558567</v>
      </c>
      <c r="AI89" s="32">
        <f>IF($A89="",NA(),Reference!$A$25)</f>
        <v>0.8</v>
      </c>
      <c r="AJ89" s="32">
        <f t="shared" si="53"/>
        <v>1.3</v>
      </c>
      <c r="AK89" s="56">
        <f>IF(OR($A89="",N($C89)&lt;=7,$T89="No Throw",$J89="x"),0,INDEX(Reference!$B$108:$B$114,$N89+1))</f>
        <v>0.1</v>
      </c>
      <c r="AL89" s="32">
        <f t="shared" si="54"/>
        <v>1</v>
      </c>
      <c r="AM89" s="32">
        <f>IF($U89="",0,IF($AL89&gt;1,((IF(1&lt;=$AL89,($AL89-1+3)*(INDEX(Reference!$B$6:$B$11,MIN(5,MATCH(MAX(Reference!$A$6,MIN(Reference!$A$11,MIN($U89,90))),Reference!$A$6:$A$11,1)))+(MAX(Reference!$A$6,MIN(Reference!$A$11,MIN($U89,90)))-INDEX(Reference!$A$6:$A$11,MIN(5,MATCH(MAX(Reference!$A$6,MIN(Reference!$A$11,MIN($U89,90))),Reference!$A$6:$A$11,1))))*(INDEX(Reference!$B$6:$B$11,MIN(5,MATCH(MAX(Reference!$A$6,MIN(Reference!$A$11,MIN($U89,90))),Reference!$A$6:$A$11,1))+1)-INDEX(Reference!$B$6:$B$11,MIN(5,MATCH(MAX(Reference!$A$6,MIN(Reference!$A$11,MIN($U89,90))),Reference!$A$6:$A$11,1))))/(INDEX(Reference!$A$6:$A$11,MIN(5,MATCH(MAX(Reference!$A$6,MIN(Reference!$A$11,MIN($U89,90))),Reference!$A$6:$A$11,1))+1)-INDEX(Reference!$A$6:$A$11,MIN(5,MATCH(MAX(Reference!$A$6,MIN(Reference!$A$11,MIN($U89,90))),Reference!$A$6:$A$11,1))))),0)+IF(2&lt;=$AL89,($AL89-2+3)*(INDEX(Reference!$B$6:$B$11,MIN(5,MATCH(MAX(Reference!$A$6,MIN(Reference!$A$11,MIN($U89,120))),Reference!$A$6:$A$11,1)))+(MAX(Reference!$A$6,MIN(Reference!$A$11,MIN($U89,120)))-INDEX(Reference!$A$6:$A$11,MIN(5,MATCH(MAX(Reference!$A$6,MIN(Reference!$A$11,MIN($U89,120))),Reference!$A$6:$A$11,1))))*(INDEX(Reference!$B$6:$B$11,MIN(5,MATCH(MAX(Reference!$A$6,MIN(Reference!$A$11,MIN($U89,120))),Reference!$A$6:$A$11,1))+1)-INDEX(Reference!$B$6:$B$11,MIN(5,MATCH(MAX(Reference!$A$6,MIN(Reference!$A$11,MIN($U89,120))),Reference!$A$6:$A$11,1))))/(INDEX(Reference!$A$6:$A$11,MIN(5,MATCH(MAX(Reference!$A$6,MIN(Reference!$A$11,MIN($U89,120))),Reference!$A$6:$A$11,1))+1)-INDEX(Reference!$A$6:$A$11,MIN(5,MATCH(MAX(Reference!$A$6,MIN(Reference!$A$11,MIN($U89,120))),Reference!$A$6:$A$11,1))))),0)+IF(3&lt;=$AL89,($AL89-3+3)*(INDEX(Reference!$B$6:$B$11,MIN(5,MATCH(MAX(Reference!$A$6,MIN(Reference!$A$11,MIN($U89,150))),Reference!$A$6:$A$11,1)))+(MAX(Reference!$A$6,MIN(Reference!$A$11,MIN($U89,150)))-INDEX(Reference!$A$6:$A$11,MIN(5,MATCH(MAX(Reference!$A$6,MIN(Reference!$A$11,MIN($U89,150))),Reference!$A$6:$A$11,1))))*(INDEX(Reference!$B$6:$B$11,MIN(5,MATCH(MAX(Reference!$A$6,MIN(Reference!$A$11,MIN($U89,150))),Reference!$A$6:$A$11,1))+1)-INDEX(Reference!$B$6:$B$11,MIN(5,MATCH(MAX(Reference!$A$6,MIN(Reference!$A$11,MIN($U89,150))),Reference!$A$6:$A$11,1))))/(INDEX(Reference!$A$6:$A$11,MIN(5,MATCH(MAX(Reference!$A$6,MIN(Reference!$A$11,MIN($U89,150))),Reference!$A$6:$A$11,1))+1)-INDEX(Reference!$A$6:$A$11,MIN(5,MATCH(MAX(Reference!$A$6,MIN(Reference!$A$11,MIN($U89,150))),Reference!$A$6:$A$11,1))))),0)+IF(4&lt;=$AL89,($AL89-4+3)*(INDEX(Reference!$B$6:$B$11,MIN(5,MATCH(MAX(Reference!$A$6,MIN(Reference!$A$11,MIN($U89,180))),Reference!$A$6:$A$11,1)))+(MAX(Reference!$A$6,MIN(Reference!$A$11,MIN($U89,180)))-INDEX(Reference!$A$6:$A$11,MIN(5,MATCH(MAX(Reference!$A$6,MIN(Reference!$A$11,MIN($U89,180))),Reference!$A$6:$A$11,1))))*(INDEX(Reference!$B$6:$B$11,MIN(5,MATCH(MAX(Reference!$A$6,MIN(Reference!$A$11,MIN($U89,180))),Reference!$A$6:$A$11,1))+1)-INDEX(Reference!$B$6:$B$11,MIN(5,MATCH(MAX(Reference!$A$6,MIN(Reference!$A$11,MIN($U89,180))),Reference!$A$6:$A$11,1))))/(INDEX(Reference!$A$6:$A$11,MIN(5,MATCH(MAX(Reference!$A$6,MIN(Reference!$A$11,MIN($U89,180))),Reference!$A$6:$A$11,1))+1)-INDEX(Reference!$A$6:$A$11,MIN(5,MATCH(MAX(Reference!$A$6,MIN(Reference!$A$11,MIN($U89,180))),Reference!$A$6:$A$11,1))))),0)+IF(5&lt;=$AL89,($AL89-5+3)*(INDEX(Reference!$B$6:$B$11,MIN(5,MATCH(MAX(Reference!$A$6,MIN(Reference!$A$11,MIN($U89,210))),Reference!$A$6:$A$11,1)))+(MAX(Reference!$A$6,MIN(Reference!$A$11,MIN($U89,210)))-INDEX(Reference!$A$6:$A$11,MIN(5,MATCH(MAX(Reference!$A$6,MIN(Reference!$A$11,MIN($U89,210))),Reference!$A$6:$A$11,1))))*(INDEX(Reference!$B$6:$B$11,MIN(5,MATCH(MAX(Reference!$A$6,MIN(Reference!$A$11,MIN($U89,210))),Reference!$A$6:$A$11,1))+1)-INDEX(Reference!$B$6:$B$11,MIN(5,MATCH(MAX(Reference!$A$6,MIN(Reference!$A$11,MIN($U89,210))),Reference!$A$6:$A$11,1))))/(INDEX(Reference!$A$6:$A$11,MIN(5,MATCH(MAX(Reference!$A$6,MIN(Reference!$A$11,MIN($U89,210))),Reference!$A$6:$A$11,1))+1)-INDEX(Reference!$A$6:$A$11,MIN(5,MATCH(MAX(Reference!$A$6,MIN(Reference!$A$11,MIN($U89,210))),Reference!$A$6:$A$11,1))))),0)+IF(6&lt;=$AL89,($AL89-6+3)*(INDEX(Reference!$B$6:$B$11,MIN(5,MATCH(MAX(Reference!$A$6,MIN(Reference!$A$11,MIN($U89,240))),Reference!$A$6:$A$11,1)))+(MAX(Reference!$A$6,MIN(Reference!$A$11,MIN($U89,240)))-INDEX(Reference!$A$6:$A$11,MIN(5,MATCH(MAX(Reference!$A$6,MIN(Reference!$A$11,MIN($U89,240))),Reference!$A$6:$A$11,1))))*(INDEX(Reference!$B$6:$B$11,MIN(5,MATCH(MAX(Reference!$A$6,MIN(Reference!$A$11,MIN($U89,240))),Reference!$A$6:$A$11,1))+1)-INDEX(Reference!$B$6:$B$11,MIN(5,MATCH(MAX(Reference!$A$6,MIN(Reference!$A$11,MIN($U89,240))),Reference!$A$6:$A$11,1))))/(INDEX(Reference!$A$6:$A$11,MIN(5,MATCH(MAX(Reference!$A$6,MIN(Reference!$A$11,MIN($U89,240))),Reference!$A$6:$A$11,1))+1)-INDEX(Reference!$A$6:$A$11,MIN(5,MATCH(MAX(Reference!$A$6,MIN(Reference!$A$11,MIN($U89,240))),Reference!$A$6:$A$11,1))))),0)+IF(7&lt;=$AL89,($AL89-7+3)*(INDEX(Reference!$B$6:$B$11,MIN(5,MATCH(MAX(Reference!$A$6,MIN(Reference!$A$11,MIN($U89,270))),Reference!$A$6:$A$11,1)))+(MAX(Reference!$A$6,MIN(Reference!$A$11,MIN($U89,270)))-INDEX(Reference!$A$6:$A$11,MIN(5,MATCH(MAX(Reference!$A$6,MIN(Reference!$A$11,MIN($U89,270))),Reference!$A$6:$A$11,1))))*(INDEX(Reference!$B$6:$B$11,MIN(5,MATCH(MAX(Reference!$A$6,MIN(Reference!$A$11,MIN($U89,270))),Reference!$A$6:$A$11,1))+1)-INDEX(Reference!$B$6:$B$11,MIN(5,MATCH(MAX(Reference!$A$6,MIN(Reference!$A$11,MIN($U89,270))),Reference!$A$6:$A$11,1))))/(INDEX(Reference!$A$6:$A$11,MIN(5,MATCH(MAX(Reference!$A$6,MIN(Reference!$A$11,MIN($U89,270))),Reference!$A$6:$A$11,1))+1)-INDEX(Reference!$A$6:$A$11,MIN(5,MATCH(MAX(Reference!$A$6,MIN(Reference!$A$11,MIN($U89,270))),Reference!$A$6:$A$11,1))))),0)+IF(8&lt;=$AL89,($AL89-8+3)*(INDEX(Reference!$B$6:$B$11,MIN(5,MATCH(MAX(Reference!$A$6,MIN(Reference!$A$11,MIN($U89,300))),Reference!$A$6:$A$11,1)))+(MAX(Reference!$A$6,MIN(Reference!$A$11,MIN($U89,300)))-INDEX(Reference!$A$6:$A$11,MIN(5,MATCH(MAX(Reference!$A$6,MIN(Reference!$A$11,MIN($U89,300))),Reference!$A$6:$A$11,1))))*(INDEX(Reference!$B$6:$B$11,MIN(5,MATCH(MAX(Reference!$A$6,MIN(Reference!$A$11,MIN($U89,300))),Reference!$A$6:$A$11,1))+1)-INDEX(Reference!$B$6:$B$11,MIN(5,MATCH(MAX(Reference!$A$6,MIN(Reference!$A$11,MIN($U89,300))),Reference!$A$6:$A$11,1))))/(INDEX(Reference!$A$6:$A$11,MIN(5,MATCH(MAX(Reference!$A$6,MIN(Reference!$A$11,MIN($U89,300))),Reference!$A$6:$A$11,1))+1)-INDEX(Reference!$A$6:$A$11,MIN(5,MATCH(MAX(Reference!$A$6,MIN(Reference!$A$11,MIN($U89,300))),Reference!$A$6:$A$11,1))))),0))/($AL89*($AL89+5)/2)),$AN89))</f>
        <v>1.1499999999999999</v>
      </c>
      <c r="AN89" s="32">
        <f>IF($U89="",0,(INDEX(Reference!$B$6:$B$11,MIN(5,MATCH(MAX(Reference!$A$6,MIN(Reference!$A$11,$U89)),Reference!$A$6:$A$11,1)))+(MAX(Reference!$A$6,MIN(Reference!$A$11,$U89))-INDEX(Reference!$A$6:$A$11,MIN(5,MATCH(MAX(Reference!$A$6,MIN(Reference!$A$11,$U89)),Reference!$A$6:$A$11,1))))*(INDEX(Reference!$B$6:$B$11,MIN(5,MATCH(MAX(Reference!$A$6,MIN(Reference!$A$11,$U89)),Reference!$A$6:$A$11,1))+1)-INDEX(Reference!$B$6:$B$11,MIN(5,MATCH(MAX(Reference!$A$6,MIN(Reference!$A$11,$U89)),Reference!$A$6:$A$11,1))))/(INDEX(Reference!$A$6:$A$11,MIN(5,MATCH(MAX(Reference!$A$6,MIN(Reference!$A$11,$U89)),Reference!$A$6:$A$11,1))+1)-INDEX(Reference!$A$6:$A$11,MIN(5,MATCH(MAX(Reference!$A$6,MIN(Reference!$A$11,$U89)),Reference!$A$6:$A$11,1))))))</f>
        <v>1.1499999999999999</v>
      </c>
      <c r="AO89" s="37"/>
      <c r="AP89" s="37"/>
      <c r="AQ89" s="37"/>
    </row>
    <row r="90" spans="1:43" ht="26.4" x14ac:dyDescent="0.3">
      <c r="A90" s="48">
        <f t="shared" si="30"/>
        <v>46354</v>
      </c>
      <c r="B90" s="32" t="str">
        <f t="shared" si="31"/>
        <v>Sat</v>
      </c>
      <c r="C90" s="32">
        <f t="shared" si="32"/>
        <v>37</v>
      </c>
      <c r="D90" s="32" t="str">
        <f t="shared" si="33"/>
        <v>Extension</v>
      </c>
      <c r="E90" s="32" t="str">
        <f t="shared" si="34"/>
        <v>Medium</v>
      </c>
      <c r="F90" s="32" t="str">
        <f t="shared" si="35"/>
        <v>Long Toss</v>
      </c>
      <c r="G90" s="47" t="str">
        <f t="shared" si="36"/>
        <v>Long toss out to 150 ft — 25 throws (90×10 · 120×9 · 150×6) @ 76–79 mph + 60 ft × 12 @ 74–77 mph</v>
      </c>
      <c r="H90" s="30">
        <f t="shared" si="37"/>
        <v>32.075000000000003</v>
      </c>
      <c r="I90" s="46">
        <f>IF($A90="","",IF(AND($L90&lt;27,$K$12=0),"Building",IFERROR(((SUM($H$84:$H90)+$K$12*IF($L90&lt;6,SUMIFS('Throw Log'!$Q$5:$Q$300,'Throw Log'!$B$5:$B$300,$D$4,'Throw Log'!$A$5:$A$300,"&gt;="&amp;($D$6+$L90-6),'Throw Log'!$A$5:$A$300,"&lt;="&amp;($D$6-1)),0))/7)/((SUM($H$63:$H90)+$K$12*IF($L90&lt;27,SUMIFS('Throw Log'!$Q$5:$Q$300,'Throw Log'!$B$5:$B$300,$D$4,'Throw Log'!$A$5:$A$300,"&gt;="&amp;($D$6+$L90-27),'Throw Log'!$A$5:$A$300,"&lt;="&amp;($D$6-1)),0))/28),"")))</f>
        <v>1.0907919957065093</v>
      </c>
      <c r="J90" s="37"/>
      <c r="K90" s="37">
        <v>25</v>
      </c>
      <c r="L90" s="32">
        <v>47</v>
      </c>
      <c r="M90" s="32">
        <f t="shared" si="38"/>
        <v>7</v>
      </c>
      <c r="N90" s="32">
        <f t="shared" si="39"/>
        <v>5</v>
      </c>
      <c r="O90" s="32">
        <f t="shared" si="40"/>
        <v>0.61842105263157898</v>
      </c>
      <c r="P90" s="32">
        <f>IF(OR($A90="",N($C90)&lt;=7),"",$G$6*$G$9^($M90-1)*IF(AND(MOD($M90,Reference!$B$99)=0,$M90&lt;=$G$5-2),Reference!$B$100,1))</f>
        <v>162.26318771208111</v>
      </c>
      <c r="Q90" s="32">
        <f>IF($P90="","",IF(SUM($AK$85:$AK$91)=0,0,$P90*INDEX(Reference!$B$108:$B$114,$N90+1)/SUM($AK$85:$AK$91)))</f>
        <v>40.944916525478412</v>
      </c>
      <c r="R90" s="32">
        <f t="shared" si="41"/>
        <v>165</v>
      </c>
      <c r="S90" s="32">
        <f t="shared" si="42"/>
        <v>150</v>
      </c>
      <c r="T90" s="32" t="str">
        <f>IF($A90="","",IF($C90=0,"Bullpen",IF(OR($C90=7,$C90=1,$C90=5),"Recovery/Easy Catch",IF($C90=6,"Compression/Pulldowns",IF(OR($C90=4,$C90=2),"Long Toss",IF($C90=3,"No Throw",IF($N90=2,"No Throw",IF($N90=6,IF($O90&lt;Reference!$B$104,"No Throw","Recovery/Easy Catch"),IF(OR($N90=0,$N90=4),"Recovery/Easy Catch",IF($N90=1,IF($R90&gt;75,"Long Toss","Recovery/Easy Catch"),IF($N90=3,IF($O90&lt;0.5,IF($S90&gt;75,"Long Toss","Recovery/Easy Catch"),"Compression/Pulldowns"),IF($S90&gt;75,"Long Toss","Recovery/Easy Catch"))))))))))))</f>
        <v>Long Toss</v>
      </c>
      <c r="U90" s="32">
        <f t="shared" si="43"/>
        <v>150</v>
      </c>
      <c r="V90" s="32">
        <f t="shared" si="44"/>
        <v>10</v>
      </c>
      <c r="W90" s="32">
        <f t="shared" si="45"/>
        <v>13</v>
      </c>
      <c r="X90" s="32">
        <f t="shared" si="46"/>
        <v>12</v>
      </c>
      <c r="Y90" s="32">
        <f t="shared" si="47"/>
        <v>12</v>
      </c>
      <c r="Z90" s="32">
        <f t="shared" si="48"/>
        <v>15</v>
      </c>
      <c r="AA90" s="32" t="str">
        <f t="shared" si="49"/>
        <v/>
      </c>
      <c r="AB90" s="32">
        <f>IF($A90="","",IF($T90="No Throw",0,IF($K90&lt;&gt;"",$K90,IF($AA90&lt;&gt;"",ROUND($AA90*$D$12*IF($C90=0,1,$G$10),0),MIN(IF($T90="Recovery/Easy Catch",Reference!$B$103,IF($T90="Long Toss",Reference!$B$106,Reference!$B$102)),MAX(Reference!$B$101,ROUND(MAX(0,$Q90-$AE90)/$AF90,0)))))))</f>
        <v>25</v>
      </c>
      <c r="AC90" s="32">
        <f t="shared" si="50"/>
        <v>0</v>
      </c>
      <c r="AD90" s="32" t="b">
        <f t="shared" si="51"/>
        <v>0</v>
      </c>
      <c r="AE90" s="32">
        <f>IF($X90=0,0,$X90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90+$Z90)/2,0),Reference!$A$17:$B$20,2,TRUE()))</f>
        <v>7.1999999999999993</v>
      </c>
      <c r="AF90" s="32">
        <f>IF(OR($A90="",$U90="",$T90="No Throw"),0,$AM90*VLOOKUP(MAX(($V90+$W90)/2,0),Reference!$A$17:$B$20,2,TRUE()))</f>
        <v>0.995</v>
      </c>
      <c r="AG90" s="32">
        <f>IF($AC90=0,0,$AC90*INDEX(Reference!$B$61:$B$62,MATCH("Bullpen",Reference!$A$61:$A$62,0))*VLOOKUP(MAX($D$5-($D$9+$E$9)/2,0),Reference!$A$17:$B$20,2,TRUE()))</f>
        <v>0</v>
      </c>
      <c r="AH90" s="46">
        <f t="shared" si="52"/>
        <v>1.0907919957065093</v>
      </c>
      <c r="AI90" s="32">
        <f>IF($A90="",NA(),Reference!$A$25)</f>
        <v>0.8</v>
      </c>
      <c r="AJ90" s="32">
        <f t="shared" si="53"/>
        <v>1.3</v>
      </c>
      <c r="AK90" s="56">
        <f>IF(OR($A90="",N($C90)&lt;=7,$T90="No Throw",$J90="x"),0,INDEX(Reference!$B$108:$B$114,$N90+1))</f>
        <v>0.27</v>
      </c>
      <c r="AL90" s="32">
        <f t="shared" si="54"/>
        <v>3</v>
      </c>
      <c r="AM90" s="32">
        <f>IF($U90="",0,IF($AL90&gt;1,((IF(1&lt;=$AL90,($AL90-1+3)*(INDEX(Reference!$B$6:$B$11,MIN(5,MATCH(MAX(Reference!$A$6,MIN(Reference!$A$11,MIN($U90,90))),Reference!$A$6:$A$11,1)))+(MAX(Reference!$A$6,MIN(Reference!$A$11,MIN($U90,90)))-INDEX(Reference!$A$6:$A$11,MIN(5,MATCH(MAX(Reference!$A$6,MIN(Reference!$A$11,MIN($U90,90))),Reference!$A$6:$A$11,1))))*(INDEX(Reference!$B$6:$B$11,MIN(5,MATCH(MAX(Reference!$A$6,MIN(Reference!$A$11,MIN($U90,90))),Reference!$A$6:$A$11,1))+1)-INDEX(Reference!$B$6:$B$11,MIN(5,MATCH(MAX(Reference!$A$6,MIN(Reference!$A$11,MIN($U90,90))),Reference!$A$6:$A$11,1))))/(INDEX(Reference!$A$6:$A$11,MIN(5,MATCH(MAX(Reference!$A$6,MIN(Reference!$A$11,MIN($U90,90))),Reference!$A$6:$A$11,1))+1)-INDEX(Reference!$A$6:$A$11,MIN(5,MATCH(MAX(Reference!$A$6,MIN(Reference!$A$11,MIN($U90,90))),Reference!$A$6:$A$11,1))))),0)+IF(2&lt;=$AL90,($AL90-2+3)*(INDEX(Reference!$B$6:$B$11,MIN(5,MATCH(MAX(Reference!$A$6,MIN(Reference!$A$11,MIN($U90,120))),Reference!$A$6:$A$11,1)))+(MAX(Reference!$A$6,MIN(Reference!$A$11,MIN($U90,120)))-INDEX(Reference!$A$6:$A$11,MIN(5,MATCH(MAX(Reference!$A$6,MIN(Reference!$A$11,MIN($U90,120))),Reference!$A$6:$A$11,1))))*(INDEX(Reference!$B$6:$B$11,MIN(5,MATCH(MAX(Reference!$A$6,MIN(Reference!$A$11,MIN($U90,120))),Reference!$A$6:$A$11,1))+1)-INDEX(Reference!$B$6:$B$11,MIN(5,MATCH(MAX(Reference!$A$6,MIN(Reference!$A$11,MIN($U90,120))),Reference!$A$6:$A$11,1))))/(INDEX(Reference!$A$6:$A$11,MIN(5,MATCH(MAX(Reference!$A$6,MIN(Reference!$A$11,MIN($U90,120))),Reference!$A$6:$A$11,1))+1)-INDEX(Reference!$A$6:$A$11,MIN(5,MATCH(MAX(Reference!$A$6,MIN(Reference!$A$11,MIN($U90,120))),Reference!$A$6:$A$11,1))))),0)+IF(3&lt;=$AL90,($AL90-3+3)*(INDEX(Reference!$B$6:$B$11,MIN(5,MATCH(MAX(Reference!$A$6,MIN(Reference!$A$11,MIN($U90,150))),Reference!$A$6:$A$11,1)))+(MAX(Reference!$A$6,MIN(Reference!$A$11,MIN($U90,150)))-INDEX(Reference!$A$6:$A$11,MIN(5,MATCH(MAX(Reference!$A$6,MIN(Reference!$A$11,MIN($U90,150))),Reference!$A$6:$A$11,1))))*(INDEX(Reference!$B$6:$B$11,MIN(5,MATCH(MAX(Reference!$A$6,MIN(Reference!$A$11,MIN($U90,150))),Reference!$A$6:$A$11,1))+1)-INDEX(Reference!$B$6:$B$11,MIN(5,MATCH(MAX(Reference!$A$6,MIN(Reference!$A$11,MIN($U90,150))),Reference!$A$6:$A$11,1))))/(INDEX(Reference!$A$6:$A$11,MIN(5,MATCH(MAX(Reference!$A$6,MIN(Reference!$A$11,MIN($U90,150))),Reference!$A$6:$A$11,1))+1)-INDEX(Reference!$A$6:$A$11,MIN(5,MATCH(MAX(Reference!$A$6,MIN(Reference!$A$11,MIN($U90,150))),Reference!$A$6:$A$11,1))))),0)+IF(4&lt;=$AL90,($AL90-4+3)*(INDEX(Reference!$B$6:$B$11,MIN(5,MATCH(MAX(Reference!$A$6,MIN(Reference!$A$11,MIN($U90,180))),Reference!$A$6:$A$11,1)))+(MAX(Reference!$A$6,MIN(Reference!$A$11,MIN($U90,180)))-INDEX(Reference!$A$6:$A$11,MIN(5,MATCH(MAX(Reference!$A$6,MIN(Reference!$A$11,MIN($U90,180))),Reference!$A$6:$A$11,1))))*(INDEX(Reference!$B$6:$B$11,MIN(5,MATCH(MAX(Reference!$A$6,MIN(Reference!$A$11,MIN($U90,180))),Reference!$A$6:$A$11,1))+1)-INDEX(Reference!$B$6:$B$11,MIN(5,MATCH(MAX(Reference!$A$6,MIN(Reference!$A$11,MIN($U90,180))),Reference!$A$6:$A$11,1))))/(INDEX(Reference!$A$6:$A$11,MIN(5,MATCH(MAX(Reference!$A$6,MIN(Reference!$A$11,MIN($U90,180))),Reference!$A$6:$A$11,1))+1)-INDEX(Reference!$A$6:$A$11,MIN(5,MATCH(MAX(Reference!$A$6,MIN(Reference!$A$11,MIN($U90,180))),Reference!$A$6:$A$11,1))))),0)+IF(5&lt;=$AL90,($AL90-5+3)*(INDEX(Reference!$B$6:$B$11,MIN(5,MATCH(MAX(Reference!$A$6,MIN(Reference!$A$11,MIN($U90,210))),Reference!$A$6:$A$11,1)))+(MAX(Reference!$A$6,MIN(Reference!$A$11,MIN($U90,210)))-INDEX(Reference!$A$6:$A$11,MIN(5,MATCH(MAX(Reference!$A$6,MIN(Reference!$A$11,MIN($U90,210))),Reference!$A$6:$A$11,1))))*(INDEX(Reference!$B$6:$B$11,MIN(5,MATCH(MAX(Reference!$A$6,MIN(Reference!$A$11,MIN($U90,210))),Reference!$A$6:$A$11,1))+1)-INDEX(Reference!$B$6:$B$11,MIN(5,MATCH(MAX(Reference!$A$6,MIN(Reference!$A$11,MIN($U90,210))),Reference!$A$6:$A$11,1))))/(INDEX(Reference!$A$6:$A$11,MIN(5,MATCH(MAX(Reference!$A$6,MIN(Reference!$A$11,MIN($U90,210))),Reference!$A$6:$A$11,1))+1)-INDEX(Reference!$A$6:$A$11,MIN(5,MATCH(MAX(Reference!$A$6,MIN(Reference!$A$11,MIN($U90,210))),Reference!$A$6:$A$11,1))))),0)+IF(6&lt;=$AL90,($AL90-6+3)*(INDEX(Reference!$B$6:$B$11,MIN(5,MATCH(MAX(Reference!$A$6,MIN(Reference!$A$11,MIN($U90,240))),Reference!$A$6:$A$11,1)))+(MAX(Reference!$A$6,MIN(Reference!$A$11,MIN($U90,240)))-INDEX(Reference!$A$6:$A$11,MIN(5,MATCH(MAX(Reference!$A$6,MIN(Reference!$A$11,MIN($U90,240))),Reference!$A$6:$A$11,1))))*(INDEX(Reference!$B$6:$B$11,MIN(5,MATCH(MAX(Reference!$A$6,MIN(Reference!$A$11,MIN($U90,240))),Reference!$A$6:$A$11,1))+1)-INDEX(Reference!$B$6:$B$11,MIN(5,MATCH(MAX(Reference!$A$6,MIN(Reference!$A$11,MIN($U90,240))),Reference!$A$6:$A$11,1))))/(INDEX(Reference!$A$6:$A$11,MIN(5,MATCH(MAX(Reference!$A$6,MIN(Reference!$A$11,MIN($U90,240))),Reference!$A$6:$A$11,1))+1)-INDEX(Reference!$A$6:$A$11,MIN(5,MATCH(MAX(Reference!$A$6,MIN(Reference!$A$11,MIN($U90,240))),Reference!$A$6:$A$11,1))))),0)+IF(7&lt;=$AL90,($AL90-7+3)*(INDEX(Reference!$B$6:$B$11,MIN(5,MATCH(MAX(Reference!$A$6,MIN(Reference!$A$11,MIN($U90,270))),Reference!$A$6:$A$11,1)))+(MAX(Reference!$A$6,MIN(Reference!$A$11,MIN($U90,270)))-INDEX(Reference!$A$6:$A$11,MIN(5,MATCH(MAX(Reference!$A$6,MIN(Reference!$A$11,MIN($U90,270))),Reference!$A$6:$A$11,1))))*(INDEX(Reference!$B$6:$B$11,MIN(5,MATCH(MAX(Reference!$A$6,MIN(Reference!$A$11,MIN($U90,270))),Reference!$A$6:$A$11,1))+1)-INDEX(Reference!$B$6:$B$11,MIN(5,MATCH(MAX(Reference!$A$6,MIN(Reference!$A$11,MIN($U90,270))),Reference!$A$6:$A$11,1))))/(INDEX(Reference!$A$6:$A$11,MIN(5,MATCH(MAX(Reference!$A$6,MIN(Reference!$A$11,MIN($U90,270))),Reference!$A$6:$A$11,1))+1)-INDEX(Reference!$A$6:$A$11,MIN(5,MATCH(MAX(Reference!$A$6,MIN(Reference!$A$11,MIN($U90,270))),Reference!$A$6:$A$11,1))))),0)+IF(8&lt;=$AL90,($AL90-8+3)*(INDEX(Reference!$B$6:$B$11,MIN(5,MATCH(MAX(Reference!$A$6,MIN(Reference!$A$11,MIN($U90,300))),Reference!$A$6:$A$11,1)))+(MAX(Reference!$A$6,MIN(Reference!$A$11,MIN($U90,300)))-INDEX(Reference!$A$6:$A$11,MIN(5,MATCH(MAX(Reference!$A$6,MIN(Reference!$A$11,MIN($U90,300))),Reference!$A$6:$A$11,1))))*(INDEX(Reference!$B$6:$B$11,MIN(5,MATCH(MAX(Reference!$A$6,MIN(Reference!$A$11,MIN($U90,300))),Reference!$A$6:$A$11,1))+1)-INDEX(Reference!$B$6:$B$11,MIN(5,MATCH(MAX(Reference!$A$6,MIN(Reference!$A$11,MIN($U90,300))),Reference!$A$6:$A$11,1))))/(INDEX(Reference!$A$6:$A$11,MIN(5,MATCH(MAX(Reference!$A$6,MIN(Reference!$A$11,MIN($U90,300))),Reference!$A$6:$A$11,1))+1)-INDEX(Reference!$A$6:$A$11,MIN(5,MATCH(MAX(Reference!$A$6,MIN(Reference!$A$11,MIN($U90,300))),Reference!$A$6:$A$11,1))))),0))/($AL90*($AL90+5)/2)),$AN90))</f>
        <v>1.6583333333333334</v>
      </c>
      <c r="AN90" s="32">
        <f>IF($U90="",0,(INDEX(Reference!$B$6:$B$11,MIN(5,MATCH(MAX(Reference!$A$6,MIN(Reference!$A$11,$U90)),Reference!$A$6:$A$11,1)))+(MAX(Reference!$A$6,MIN(Reference!$A$11,$U90))-INDEX(Reference!$A$6:$A$11,MIN(5,MATCH(MAX(Reference!$A$6,MIN(Reference!$A$11,$U90)),Reference!$A$6:$A$11,1))))*(INDEX(Reference!$B$6:$B$11,MIN(5,MATCH(MAX(Reference!$A$6,MIN(Reference!$A$11,$U90)),Reference!$A$6:$A$11,1))+1)-INDEX(Reference!$B$6:$B$11,MIN(5,MATCH(MAX(Reference!$A$6,MIN(Reference!$A$11,$U90)),Reference!$A$6:$A$11,1))))/(INDEX(Reference!$A$6:$A$11,MIN(5,MATCH(MAX(Reference!$A$6,MIN(Reference!$A$11,$U90)),Reference!$A$6:$A$11,1))+1)-INDEX(Reference!$A$6:$A$11,MIN(5,MATCH(MAX(Reference!$A$6,MIN(Reference!$A$11,$U90)),Reference!$A$6:$A$11,1))))))</f>
        <v>2.2000000000000002</v>
      </c>
      <c r="AO90" s="37"/>
      <c r="AP90" s="37"/>
      <c r="AQ90" s="37"/>
    </row>
    <row r="91" spans="1:43" x14ac:dyDescent="0.3">
      <c r="A91" s="48">
        <f t="shared" si="30"/>
        <v>46355</v>
      </c>
      <c r="B91" s="32" t="str">
        <f t="shared" si="31"/>
        <v>Sun</v>
      </c>
      <c r="C91" s="32">
        <f t="shared" si="32"/>
        <v>36</v>
      </c>
      <c r="D91" s="32" t="str">
        <f t="shared" si="33"/>
        <v>Extension</v>
      </c>
      <c r="E91" s="32" t="str">
        <f t="shared" si="34"/>
        <v>Low</v>
      </c>
      <c r="F91" s="32" t="str">
        <f t="shared" si="35"/>
        <v>Recovery/Easy Catch</v>
      </c>
      <c r="G91" s="47" t="str">
        <f t="shared" si="36"/>
        <v>60 ft × 20 @ 65–69 mph</v>
      </c>
      <c r="H91" s="30">
        <f t="shared" si="37"/>
        <v>12</v>
      </c>
      <c r="I91" s="46">
        <f>IF($A91="","",IF(AND($L91&lt;27,$K$12=0),"Building",IFERROR(((SUM($H$85:$H91)+$K$12*IF($L91&lt;6,SUMIFS('Throw Log'!$Q$5:$Q$300,'Throw Log'!$B$5:$B$300,$D$4,'Throw Log'!$A$5:$A$300,"&gt;="&amp;($D$6+$L91-6),'Throw Log'!$A$5:$A$300,"&lt;="&amp;($D$6-1)),0))/7)/((SUM($H$64:$H91)+$K$12*IF($L91&lt;27,SUMIFS('Throw Log'!$Q$5:$Q$300,'Throw Log'!$B$5:$B$300,$D$4,'Throw Log'!$A$5:$A$300,"&gt;="&amp;($D$6+$L91-27),'Throw Log'!$A$5:$A$300,"&lt;="&amp;($D$6-1)),0))/28),"")))</f>
        <v>1.1604579809922919</v>
      </c>
      <c r="J91" s="37"/>
      <c r="K91" s="37"/>
      <c r="L91" s="32">
        <v>48</v>
      </c>
      <c r="M91" s="32">
        <f t="shared" si="38"/>
        <v>7</v>
      </c>
      <c r="N91" s="32">
        <f t="shared" si="39"/>
        <v>6</v>
      </c>
      <c r="O91" s="32">
        <f t="shared" si="40"/>
        <v>0.63157894736842102</v>
      </c>
      <c r="P91" s="32">
        <f>IF(OR($A91="",N($C91)&lt;=7),"",$G$6*$G$9^($M91-1)*IF(AND(MOD($M91,Reference!$B$99)=0,$M91&lt;=$G$5-2),Reference!$B$100,1))</f>
        <v>162.26318771208111</v>
      </c>
      <c r="Q91" s="32">
        <f>IF($P91="","",IF(SUM($AK$85:$AK$91)=0,0,$P91*INDEX(Reference!$B$108:$B$114,$N91+1)/SUM($AK$85:$AK$91)))</f>
        <v>10.615348728827737</v>
      </c>
      <c r="R91" s="32">
        <f t="shared" si="41"/>
        <v>165</v>
      </c>
      <c r="S91" s="32">
        <f t="shared" si="42"/>
        <v>150</v>
      </c>
      <c r="T91" s="32" t="str">
        <f>IF($A91="","",IF($C91=0,"Bullpen",IF(OR($C91=7,$C91=1,$C91=5),"Recovery/Easy Catch",IF($C91=6,"Compression/Pulldowns",IF(OR($C91=4,$C91=2),"Long Toss",IF($C91=3,"No Throw",IF($N91=2,"No Throw",IF($N91=6,IF($O91&lt;Reference!$B$104,"No Throw","Recovery/Easy Catch"),IF(OR($N91=0,$N91=4),"Recovery/Easy Catch",IF($N91=1,IF($R91&gt;75,"Long Toss","Recovery/Easy Catch"),IF($N91=3,IF($O91&lt;0.5,IF($S91&gt;75,"Long Toss","Recovery/Easy Catch"),"Compression/Pulldowns"),IF($S91&gt;75,"Long Toss","Recovery/Easy Catch"))))))))))))</f>
        <v>Recovery/Easy Catch</v>
      </c>
      <c r="U91" s="32">
        <f t="shared" si="43"/>
        <v>60</v>
      </c>
      <c r="V91" s="32">
        <f t="shared" si="44"/>
        <v>20</v>
      </c>
      <c r="W91" s="32">
        <f t="shared" si="45"/>
        <v>24</v>
      </c>
      <c r="X91" s="32">
        <f t="shared" si="46"/>
        <v>0</v>
      </c>
      <c r="Y91" s="32" t="str">
        <f t="shared" si="47"/>
        <v/>
      </c>
      <c r="Z91" s="32" t="str">
        <f t="shared" si="48"/>
        <v/>
      </c>
      <c r="AA91" s="32" t="str">
        <f t="shared" si="49"/>
        <v/>
      </c>
      <c r="AB91" s="32">
        <f>IF($A91="","",IF($T91="No Throw",0,IF($K91&lt;&gt;"",$K91,IF($AA91&lt;&gt;"",ROUND($AA91*$D$12*IF($C91=0,1,$G$10),0),MIN(IF($T91="Recovery/Easy Catch",Reference!$B$103,IF($T91="Long Toss",Reference!$B$106,Reference!$B$102)),MAX(Reference!$B$101,ROUND(MAX(0,$Q91-$AE91)/$AF91,0)))))))</f>
        <v>20</v>
      </c>
      <c r="AC91" s="32">
        <f t="shared" si="50"/>
        <v>0</v>
      </c>
      <c r="AD91" s="32" t="b">
        <f t="shared" si="51"/>
        <v>0</v>
      </c>
      <c r="AE91" s="32">
        <f>IF($X91=0,0,$X91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91+$Z91)/2,0),Reference!$A$17:$B$20,2,TRUE()))</f>
        <v>0</v>
      </c>
      <c r="AF91" s="32">
        <f>IF(OR($A91="",$U91="",$T91="No Throw"),0,$AM91*VLOOKUP(MAX(($V91+$W91)/2,0),Reference!$A$17:$B$20,2,TRUE()))</f>
        <v>0.6</v>
      </c>
      <c r="AG91" s="32">
        <f>IF($AC91=0,0,$AC91*INDEX(Reference!$B$61:$B$62,MATCH("Bullpen",Reference!$A$61:$A$62,0))*VLOOKUP(MAX($D$5-($D$9+$E$9)/2,0),Reference!$A$17:$B$20,2,TRUE()))</f>
        <v>0</v>
      </c>
      <c r="AH91" s="46">
        <f t="shared" si="52"/>
        <v>1.1604579809922919</v>
      </c>
      <c r="AI91" s="32">
        <f>IF($A91="",NA(),Reference!$A$25)</f>
        <v>0.8</v>
      </c>
      <c r="AJ91" s="32">
        <f t="shared" si="53"/>
        <v>1.3</v>
      </c>
      <c r="AK91" s="56">
        <f>IF(OR($A91="",N($C91)&lt;=7,$T91="No Throw",$J91="x"),0,INDEX(Reference!$B$108:$B$114,$N91+1))</f>
        <v>7.0000000000000007E-2</v>
      </c>
      <c r="AL91" s="32">
        <f t="shared" si="54"/>
        <v>1</v>
      </c>
      <c r="AM91" s="32">
        <f>IF($U91="",0,IF($AL91&gt;1,((IF(1&lt;=$AL91,($AL91-1+3)*(INDEX(Reference!$B$6:$B$11,MIN(5,MATCH(MAX(Reference!$A$6,MIN(Reference!$A$11,MIN($U91,90))),Reference!$A$6:$A$11,1)))+(MAX(Reference!$A$6,MIN(Reference!$A$11,MIN($U91,90)))-INDEX(Reference!$A$6:$A$11,MIN(5,MATCH(MAX(Reference!$A$6,MIN(Reference!$A$11,MIN($U91,90))),Reference!$A$6:$A$11,1))))*(INDEX(Reference!$B$6:$B$11,MIN(5,MATCH(MAX(Reference!$A$6,MIN(Reference!$A$11,MIN($U91,90))),Reference!$A$6:$A$11,1))+1)-INDEX(Reference!$B$6:$B$11,MIN(5,MATCH(MAX(Reference!$A$6,MIN(Reference!$A$11,MIN($U91,90))),Reference!$A$6:$A$11,1))))/(INDEX(Reference!$A$6:$A$11,MIN(5,MATCH(MAX(Reference!$A$6,MIN(Reference!$A$11,MIN($U91,90))),Reference!$A$6:$A$11,1))+1)-INDEX(Reference!$A$6:$A$11,MIN(5,MATCH(MAX(Reference!$A$6,MIN(Reference!$A$11,MIN($U91,90))),Reference!$A$6:$A$11,1))))),0)+IF(2&lt;=$AL91,($AL91-2+3)*(INDEX(Reference!$B$6:$B$11,MIN(5,MATCH(MAX(Reference!$A$6,MIN(Reference!$A$11,MIN($U91,120))),Reference!$A$6:$A$11,1)))+(MAX(Reference!$A$6,MIN(Reference!$A$11,MIN($U91,120)))-INDEX(Reference!$A$6:$A$11,MIN(5,MATCH(MAX(Reference!$A$6,MIN(Reference!$A$11,MIN($U91,120))),Reference!$A$6:$A$11,1))))*(INDEX(Reference!$B$6:$B$11,MIN(5,MATCH(MAX(Reference!$A$6,MIN(Reference!$A$11,MIN($U91,120))),Reference!$A$6:$A$11,1))+1)-INDEX(Reference!$B$6:$B$11,MIN(5,MATCH(MAX(Reference!$A$6,MIN(Reference!$A$11,MIN($U91,120))),Reference!$A$6:$A$11,1))))/(INDEX(Reference!$A$6:$A$11,MIN(5,MATCH(MAX(Reference!$A$6,MIN(Reference!$A$11,MIN($U91,120))),Reference!$A$6:$A$11,1))+1)-INDEX(Reference!$A$6:$A$11,MIN(5,MATCH(MAX(Reference!$A$6,MIN(Reference!$A$11,MIN($U91,120))),Reference!$A$6:$A$11,1))))),0)+IF(3&lt;=$AL91,($AL91-3+3)*(INDEX(Reference!$B$6:$B$11,MIN(5,MATCH(MAX(Reference!$A$6,MIN(Reference!$A$11,MIN($U91,150))),Reference!$A$6:$A$11,1)))+(MAX(Reference!$A$6,MIN(Reference!$A$11,MIN($U91,150)))-INDEX(Reference!$A$6:$A$11,MIN(5,MATCH(MAX(Reference!$A$6,MIN(Reference!$A$11,MIN($U91,150))),Reference!$A$6:$A$11,1))))*(INDEX(Reference!$B$6:$B$11,MIN(5,MATCH(MAX(Reference!$A$6,MIN(Reference!$A$11,MIN($U91,150))),Reference!$A$6:$A$11,1))+1)-INDEX(Reference!$B$6:$B$11,MIN(5,MATCH(MAX(Reference!$A$6,MIN(Reference!$A$11,MIN($U91,150))),Reference!$A$6:$A$11,1))))/(INDEX(Reference!$A$6:$A$11,MIN(5,MATCH(MAX(Reference!$A$6,MIN(Reference!$A$11,MIN($U91,150))),Reference!$A$6:$A$11,1))+1)-INDEX(Reference!$A$6:$A$11,MIN(5,MATCH(MAX(Reference!$A$6,MIN(Reference!$A$11,MIN($U91,150))),Reference!$A$6:$A$11,1))))),0)+IF(4&lt;=$AL91,($AL91-4+3)*(INDEX(Reference!$B$6:$B$11,MIN(5,MATCH(MAX(Reference!$A$6,MIN(Reference!$A$11,MIN($U91,180))),Reference!$A$6:$A$11,1)))+(MAX(Reference!$A$6,MIN(Reference!$A$11,MIN($U91,180)))-INDEX(Reference!$A$6:$A$11,MIN(5,MATCH(MAX(Reference!$A$6,MIN(Reference!$A$11,MIN($U91,180))),Reference!$A$6:$A$11,1))))*(INDEX(Reference!$B$6:$B$11,MIN(5,MATCH(MAX(Reference!$A$6,MIN(Reference!$A$11,MIN($U91,180))),Reference!$A$6:$A$11,1))+1)-INDEX(Reference!$B$6:$B$11,MIN(5,MATCH(MAX(Reference!$A$6,MIN(Reference!$A$11,MIN($U91,180))),Reference!$A$6:$A$11,1))))/(INDEX(Reference!$A$6:$A$11,MIN(5,MATCH(MAX(Reference!$A$6,MIN(Reference!$A$11,MIN($U91,180))),Reference!$A$6:$A$11,1))+1)-INDEX(Reference!$A$6:$A$11,MIN(5,MATCH(MAX(Reference!$A$6,MIN(Reference!$A$11,MIN($U91,180))),Reference!$A$6:$A$11,1))))),0)+IF(5&lt;=$AL91,($AL91-5+3)*(INDEX(Reference!$B$6:$B$11,MIN(5,MATCH(MAX(Reference!$A$6,MIN(Reference!$A$11,MIN($U91,210))),Reference!$A$6:$A$11,1)))+(MAX(Reference!$A$6,MIN(Reference!$A$11,MIN($U91,210)))-INDEX(Reference!$A$6:$A$11,MIN(5,MATCH(MAX(Reference!$A$6,MIN(Reference!$A$11,MIN($U91,210))),Reference!$A$6:$A$11,1))))*(INDEX(Reference!$B$6:$B$11,MIN(5,MATCH(MAX(Reference!$A$6,MIN(Reference!$A$11,MIN($U91,210))),Reference!$A$6:$A$11,1))+1)-INDEX(Reference!$B$6:$B$11,MIN(5,MATCH(MAX(Reference!$A$6,MIN(Reference!$A$11,MIN($U91,210))),Reference!$A$6:$A$11,1))))/(INDEX(Reference!$A$6:$A$11,MIN(5,MATCH(MAX(Reference!$A$6,MIN(Reference!$A$11,MIN($U91,210))),Reference!$A$6:$A$11,1))+1)-INDEX(Reference!$A$6:$A$11,MIN(5,MATCH(MAX(Reference!$A$6,MIN(Reference!$A$11,MIN($U91,210))),Reference!$A$6:$A$11,1))))),0)+IF(6&lt;=$AL91,($AL91-6+3)*(INDEX(Reference!$B$6:$B$11,MIN(5,MATCH(MAX(Reference!$A$6,MIN(Reference!$A$11,MIN($U91,240))),Reference!$A$6:$A$11,1)))+(MAX(Reference!$A$6,MIN(Reference!$A$11,MIN($U91,240)))-INDEX(Reference!$A$6:$A$11,MIN(5,MATCH(MAX(Reference!$A$6,MIN(Reference!$A$11,MIN($U91,240))),Reference!$A$6:$A$11,1))))*(INDEX(Reference!$B$6:$B$11,MIN(5,MATCH(MAX(Reference!$A$6,MIN(Reference!$A$11,MIN($U91,240))),Reference!$A$6:$A$11,1))+1)-INDEX(Reference!$B$6:$B$11,MIN(5,MATCH(MAX(Reference!$A$6,MIN(Reference!$A$11,MIN($U91,240))),Reference!$A$6:$A$11,1))))/(INDEX(Reference!$A$6:$A$11,MIN(5,MATCH(MAX(Reference!$A$6,MIN(Reference!$A$11,MIN($U91,240))),Reference!$A$6:$A$11,1))+1)-INDEX(Reference!$A$6:$A$11,MIN(5,MATCH(MAX(Reference!$A$6,MIN(Reference!$A$11,MIN($U91,240))),Reference!$A$6:$A$11,1))))),0)+IF(7&lt;=$AL91,($AL91-7+3)*(INDEX(Reference!$B$6:$B$11,MIN(5,MATCH(MAX(Reference!$A$6,MIN(Reference!$A$11,MIN($U91,270))),Reference!$A$6:$A$11,1)))+(MAX(Reference!$A$6,MIN(Reference!$A$11,MIN($U91,270)))-INDEX(Reference!$A$6:$A$11,MIN(5,MATCH(MAX(Reference!$A$6,MIN(Reference!$A$11,MIN($U91,270))),Reference!$A$6:$A$11,1))))*(INDEX(Reference!$B$6:$B$11,MIN(5,MATCH(MAX(Reference!$A$6,MIN(Reference!$A$11,MIN($U91,270))),Reference!$A$6:$A$11,1))+1)-INDEX(Reference!$B$6:$B$11,MIN(5,MATCH(MAX(Reference!$A$6,MIN(Reference!$A$11,MIN($U91,270))),Reference!$A$6:$A$11,1))))/(INDEX(Reference!$A$6:$A$11,MIN(5,MATCH(MAX(Reference!$A$6,MIN(Reference!$A$11,MIN($U91,270))),Reference!$A$6:$A$11,1))+1)-INDEX(Reference!$A$6:$A$11,MIN(5,MATCH(MAX(Reference!$A$6,MIN(Reference!$A$11,MIN($U91,270))),Reference!$A$6:$A$11,1))))),0)+IF(8&lt;=$AL91,($AL91-8+3)*(INDEX(Reference!$B$6:$B$11,MIN(5,MATCH(MAX(Reference!$A$6,MIN(Reference!$A$11,MIN($U91,300))),Reference!$A$6:$A$11,1)))+(MAX(Reference!$A$6,MIN(Reference!$A$11,MIN($U91,300)))-INDEX(Reference!$A$6:$A$11,MIN(5,MATCH(MAX(Reference!$A$6,MIN(Reference!$A$11,MIN($U91,300))),Reference!$A$6:$A$11,1))))*(INDEX(Reference!$B$6:$B$11,MIN(5,MATCH(MAX(Reference!$A$6,MIN(Reference!$A$11,MIN($U91,300))),Reference!$A$6:$A$11,1))+1)-INDEX(Reference!$B$6:$B$11,MIN(5,MATCH(MAX(Reference!$A$6,MIN(Reference!$A$11,MIN($U91,300))),Reference!$A$6:$A$11,1))))/(INDEX(Reference!$A$6:$A$11,MIN(5,MATCH(MAX(Reference!$A$6,MIN(Reference!$A$11,MIN($U91,300))),Reference!$A$6:$A$11,1))+1)-INDEX(Reference!$A$6:$A$11,MIN(5,MATCH(MAX(Reference!$A$6,MIN(Reference!$A$11,MIN($U91,300))),Reference!$A$6:$A$11,1))))),0))/($AL91*($AL91+5)/2)),$AN91))</f>
        <v>1</v>
      </c>
      <c r="AN91" s="32">
        <f>IF($U91="",0,(INDEX(Reference!$B$6:$B$11,MIN(5,MATCH(MAX(Reference!$A$6,MIN(Reference!$A$11,$U91)),Reference!$A$6:$A$11,1)))+(MAX(Reference!$A$6,MIN(Reference!$A$11,$U91))-INDEX(Reference!$A$6:$A$11,MIN(5,MATCH(MAX(Reference!$A$6,MIN(Reference!$A$11,$U91)),Reference!$A$6:$A$11,1))))*(INDEX(Reference!$B$6:$B$11,MIN(5,MATCH(MAX(Reference!$A$6,MIN(Reference!$A$11,$U91)),Reference!$A$6:$A$11,1))+1)-INDEX(Reference!$B$6:$B$11,MIN(5,MATCH(MAX(Reference!$A$6,MIN(Reference!$A$11,$U91)),Reference!$A$6:$A$11,1))))/(INDEX(Reference!$A$6:$A$11,MIN(5,MATCH(MAX(Reference!$A$6,MIN(Reference!$A$11,$U91)),Reference!$A$6:$A$11,1))+1)-INDEX(Reference!$A$6:$A$11,MIN(5,MATCH(MAX(Reference!$A$6,MIN(Reference!$A$11,$U91)),Reference!$A$6:$A$11,1))))))</f>
        <v>1</v>
      </c>
      <c r="AO91" s="37"/>
      <c r="AP91" s="37"/>
      <c r="AQ91" s="37"/>
    </row>
    <row r="92" spans="1:43" x14ac:dyDescent="0.3">
      <c r="A92" s="48">
        <f t="shared" si="30"/>
        <v>46356</v>
      </c>
      <c r="B92" s="32" t="str">
        <f t="shared" si="31"/>
        <v>Mon</v>
      </c>
      <c r="C92" s="32">
        <f t="shared" si="32"/>
        <v>35</v>
      </c>
      <c r="D92" s="32" t="str">
        <f t="shared" si="33"/>
        <v>Extension</v>
      </c>
      <c r="E92" s="32" t="str">
        <f t="shared" si="34"/>
        <v>Low</v>
      </c>
      <c r="F92" s="32" t="str">
        <f t="shared" si="35"/>
        <v>Recovery/Easy Catch</v>
      </c>
      <c r="G92" s="47" t="str">
        <f t="shared" si="36"/>
        <v>75 ft × 20 @ 67–71 mph</v>
      </c>
      <c r="H92" s="30">
        <f t="shared" si="37"/>
        <v>13.799999999999999</v>
      </c>
      <c r="I92" s="46">
        <f>IF($A92="","",IF(AND($L92&lt;27,$K$12=0),"Building",IFERROR(((SUM($H$86:$H92)+$K$12*IF($L92&lt;6,SUMIFS('Throw Log'!$Q$5:$Q$300,'Throw Log'!$B$5:$B$300,$D$4,'Throw Log'!$A$5:$A$300,"&gt;="&amp;($D$6+$L92-6),'Throw Log'!$A$5:$A$300,"&lt;="&amp;($D$6-1)),0))/7)/((SUM($H$65:$H92)+$K$12*IF($L92&lt;27,SUMIFS('Throw Log'!$Q$5:$Q$300,'Throw Log'!$B$5:$B$300,$D$4,'Throw Log'!$A$5:$A$300,"&gt;="&amp;($D$6+$L92-27),'Throw Log'!$A$5:$A$300,"&lt;="&amp;($D$6-1)),0))/28),"")))</f>
        <v>1.1329192546583851</v>
      </c>
      <c r="J92" s="37"/>
      <c r="K92" s="37">
        <v>20</v>
      </c>
      <c r="L92" s="32">
        <v>49</v>
      </c>
      <c r="M92" s="32">
        <f t="shared" si="38"/>
        <v>8</v>
      </c>
      <c r="N92" s="32">
        <f t="shared" si="39"/>
        <v>0</v>
      </c>
      <c r="O92" s="32">
        <f t="shared" si="40"/>
        <v>0.64473684210526316</v>
      </c>
      <c r="P92" s="32">
        <f>IF(OR($A92="",N($C92)&lt;=7),"",$G$6*$G$9^($M92-1)*IF(AND(MOD($M92,Reference!$B$99)=0,$M92&lt;=$G$5-2),Reference!$B$100,1))</f>
        <v>155.17696923220939</v>
      </c>
      <c r="Q92" s="32">
        <f>IF($P92="","",IF(SUM($AK$92:$AK$98)=0,0,$P92*INDEX(Reference!$B$108:$B$114,$N92+1)/SUM($AK$92:$AK$98)))</f>
        <v>17.403024586789837</v>
      </c>
      <c r="R92" s="32">
        <f t="shared" si="41"/>
        <v>165</v>
      </c>
      <c r="S92" s="32">
        <f t="shared" si="42"/>
        <v>150</v>
      </c>
      <c r="T92" s="32" t="str">
        <f>IF($A92="","",IF($C92=0,"Bullpen",IF(OR($C92=7,$C92=1,$C92=5),"Recovery/Easy Catch",IF($C92=6,"Compression/Pulldowns",IF(OR($C92=4,$C92=2),"Long Toss",IF($C92=3,"No Throw",IF($N92=2,"No Throw",IF($N92=6,IF($O92&lt;Reference!$B$104,"No Throw","Recovery/Easy Catch"),IF(OR($N92=0,$N92=4),"Recovery/Easy Catch",IF($N92=1,IF($R92&gt;75,"Long Toss","Recovery/Easy Catch"),IF($N92=3,IF($O92&lt;0.5,IF($S92&gt;75,"Long Toss","Recovery/Easy Catch"),"Compression/Pulldowns"),IF($S92&gt;75,"Long Toss","Recovery/Easy Catch"))))))))))))</f>
        <v>Recovery/Easy Catch</v>
      </c>
      <c r="U92" s="32">
        <f t="shared" si="43"/>
        <v>75</v>
      </c>
      <c r="V92" s="32">
        <f t="shared" si="44"/>
        <v>18</v>
      </c>
      <c r="W92" s="32">
        <f t="shared" si="45"/>
        <v>22</v>
      </c>
      <c r="X92" s="32">
        <f t="shared" si="46"/>
        <v>0</v>
      </c>
      <c r="Y92" s="32" t="str">
        <f t="shared" si="47"/>
        <v/>
      </c>
      <c r="Z92" s="32" t="str">
        <f t="shared" si="48"/>
        <v/>
      </c>
      <c r="AA92" s="32" t="str">
        <f t="shared" si="49"/>
        <v/>
      </c>
      <c r="AB92" s="32">
        <f>IF($A92="","",IF($T92="No Throw",0,IF($K92&lt;&gt;"",$K92,IF($AA92&lt;&gt;"",ROUND($AA92*$D$12*IF($C92=0,1,$G$10),0),MIN(IF($T92="Recovery/Easy Catch",Reference!$B$103,IF($T92="Long Toss",Reference!$B$106,Reference!$B$102)),MAX(Reference!$B$101,ROUND(MAX(0,$Q92-$AE92)/$AF92,0)))))))</f>
        <v>20</v>
      </c>
      <c r="AC92" s="32">
        <f t="shared" si="50"/>
        <v>0</v>
      </c>
      <c r="AD92" s="32" t="b">
        <f t="shared" si="51"/>
        <v>0</v>
      </c>
      <c r="AE92" s="32">
        <f>IF($X92=0,0,$X92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92+$Z92)/2,0),Reference!$A$17:$B$20,2,TRUE()))</f>
        <v>0</v>
      </c>
      <c r="AF92" s="32">
        <f>IF(OR($A92="",$U92="",$T92="No Throw"),0,$AM92*VLOOKUP(MAX(($V92+$W92)/2,0),Reference!$A$17:$B$20,2,TRUE()))</f>
        <v>0.69</v>
      </c>
      <c r="AG92" s="32">
        <f>IF($AC92=0,0,$AC92*INDEX(Reference!$B$61:$B$62,MATCH("Bullpen",Reference!$A$61:$A$62,0))*VLOOKUP(MAX($D$5-($D$9+$E$9)/2,0),Reference!$A$17:$B$20,2,TRUE()))</f>
        <v>0</v>
      </c>
      <c r="AH92" s="46">
        <f t="shared" si="52"/>
        <v>1.1329192546583851</v>
      </c>
      <c r="AI92" s="32">
        <f>IF($A92="",NA(),Reference!$A$25)</f>
        <v>0.8</v>
      </c>
      <c r="AJ92" s="32">
        <f t="shared" si="53"/>
        <v>1.3</v>
      </c>
      <c r="AK92" s="56">
        <f>IF(OR($A92="",N($C92)&lt;=7,$T92="No Throw",$J92="x"),0,INDEX(Reference!$B$108:$B$114,$N92+1))</f>
        <v>0.12</v>
      </c>
      <c r="AL92" s="32">
        <f t="shared" si="54"/>
        <v>1</v>
      </c>
      <c r="AM92" s="32">
        <f>IF($U92="",0,IF($AL92&gt;1,((IF(1&lt;=$AL92,($AL92-1+3)*(INDEX(Reference!$B$6:$B$11,MIN(5,MATCH(MAX(Reference!$A$6,MIN(Reference!$A$11,MIN($U92,90))),Reference!$A$6:$A$11,1)))+(MAX(Reference!$A$6,MIN(Reference!$A$11,MIN($U92,90)))-INDEX(Reference!$A$6:$A$11,MIN(5,MATCH(MAX(Reference!$A$6,MIN(Reference!$A$11,MIN($U92,90))),Reference!$A$6:$A$11,1))))*(INDEX(Reference!$B$6:$B$11,MIN(5,MATCH(MAX(Reference!$A$6,MIN(Reference!$A$11,MIN($U92,90))),Reference!$A$6:$A$11,1))+1)-INDEX(Reference!$B$6:$B$11,MIN(5,MATCH(MAX(Reference!$A$6,MIN(Reference!$A$11,MIN($U92,90))),Reference!$A$6:$A$11,1))))/(INDEX(Reference!$A$6:$A$11,MIN(5,MATCH(MAX(Reference!$A$6,MIN(Reference!$A$11,MIN($U92,90))),Reference!$A$6:$A$11,1))+1)-INDEX(Reference!$A$6:$A$11,MIN(5,MATCH(MAX(Reference!$A$6,MIN(Reference!$A$11,MIN($U92,90))),Reference!$A$6:$A$11,1))))),0)+IF(2&lt;=$AL92,($AL92-2+3)*(INDEX(Reference!$B$6:$B$11,MIN(5,MATCH(MAX(Reference!$A$6,MIN(Reference!$A$11,MIN($U92,120))),Reference!$A$6:$A$11,1)))+(MAX(Reference!$A$6,MIN(Reference!$A$11,MIN($U92,120)))-INDEX(Reference!$A$6:$A$11,MIN(5,MATCH(MAX(Reference!$A$6,MIN(Reference!$A$11,MIN($U92,120))),Reference!$A$6:$A$11,1))))*(INDEX(Reference!$B$6:$B$11,MIN(5,MATCH(MAX(Reference!$A$6,MIN(Reference!$A$11,MIN($U92,120))),Reference!$A$6:$A$11,1))+1)-INDEX(Reference!$B$6:$B$11,MIN(5,MATCH(MAX(Reference!$A$6,MIN(Reference!$A$11,MIN($U92,120))),Reference!$A$6:$A$11,1))))/(INDEX(Reference!$A$6:$A$11,MIN(5,MATCH(MAX(Reference!$A$6,MIN(Reference!$A$11,MIN($U92,120))),Reference!$A$6:$A$11,1))+1)-INDEX(Reference!$A$6:$A$11,MIN(5,MATCH(MAX(Reference!$A$6,MIN(Reference!$A$11,MIN($U92,120))),Reference!$A$6:$A$11,1))))),0)+IF(3&lt;=$AL92,($AL92-3+3)*(INDEX(Reference!$B$6:$B$11,MIN(5,MATCH(MAX(Reference!$A$6,MIN(Reference!$A$11,MIN($U92,150))),Reference!$A$6:$A$11,1)))+(MAX(Reference!$A$6,MIN(Reference!$A$11,MIN($U92,150)))-INDEX(Reference!$A$6:$A$11,MIN(5,MATCH(MAX(Reference!$A$6,MIN(Reference!$A$11,MIN($U92,150))),Reference!$A$6:$A$11,1))))*(INDEX(Reference!$B$6:$B$11,MIN(5,MATCH(MAX(Reference!$A$6,MIN(Reference!$A$11,MIN($U92,150))),Reference!$A$6:$A$11,1))+1)-INDEX(Reference!$B$6:$B$11,MIN(5,MATCH(MAX(Reference!$A$6,MIN(Reference!$A$11,MIN($U92,150))),Reference!$A$6:$A$11,1))))/(INDEX(Reference!$A$6:$A$11,MIN(5,MATCH(MAX(Reference!$A$6,MIN(Reference!$A$11,MIN($U92,150))),Reference!$A$6:$A$11,1))+1)-INDEX(Reference!$A$6:$A$11,MIN(5,MATCH(MAX(Reference!$A$6,MIN(Reference!$A$11,MIN($U92,150))),Reference!$A$6:$A$11,1))))),0)+IF(4&lt;=$AL92,($AL92-4+3)*(INDEX(Reference!$B$6:$B$11,MIN(5,MATCH(MAX(Reference!$A$6,MIN(Reference!$A$11,MIN($U92,180))),Reference!$A$6:$A$11,1)))+(MAX(Reference!$A$6,MIN(Reference!$A$11,MIN($U92,180)))-INDEX(Reference!$A$6:$A$11,MIN(5,MATCH(MAX(Reference!$A$6,MIN(Reference!$A$11,MIN($U92,180))),Reference!$A$6:$A$11,1))))*(INDEX(Reference!$B$6:$B$11,MIN(5,MATCH(MAX(Reference!$A$6,MIN(Reference!$A$11,MIN($U92,180))),Reference!$A$6:$A$11,1))+1)-INDEX(Reference!$B$6:$B$11,MIN(5,MATCH(MAX(Reference!$A$6,MIN(Reference!$A$11,MIN($U92,180))),Reference!$A$6:$A$11,1))))/(INDEX(Reference!$A$6:$A$11,MIN(5,MATCH(MAX(Reference!$A$6,MIN(Reference!$A$11,MIN($U92,180))),Reference!$A$6:$A$11,1))+1)-INDEX(Reference!$A$6:$A$11,MIN(5,MATCH(MAX(Reference!$A$6,MIN(Reference!$A$11,MIN($U92,180))),Reference!$A$6:$A$11,1))))),0)+IF(5&lt;=$AL92,($AL92-5+3)*(INDEX(Reference!$B$6:$B$11,MIN(5,MATCH(MAX(Reference!$A$6,MIN(Reference!$A$11,MIN($U92,210))),Reference!$A$6:$A$11,1)))+(MAX(Reference!$A$6,MIN(Reference!$A$11,MIN($U92,210)))-INDEX(Reference!$A$6:$A$11,MIN(5,MATCH(MAX(Reference!$A$6,MIN(Reference!$A$11,MIN($U92,210))),Reference!$A$6:$A$11,1))))*(INDEX(Reference!$B$6:$B$11,MIN(5,MATCH(MAX(Reference!$A$6,MIN(Reference!$A$11,MIN($U92,210))),Reference!$A$6:$A$11,1))+1)-INDEX(Reference!$B$6:$B$11,MIN(5,MATCH(MAX(Reference!$A$6,MIN(Reference!$A$11,MIN($U92,210))),Reference!$A$6:$A$11,1))))/(INDEX(Reference!$A$6:$A$11,MIN(5,MATCH(MAX(Reference!$A$6,MIN(Reference!$A$11,MIN($U92,210))),Reference!$A$6:$A$11,1))+1)-INDEX(Reference!$A$6:$A$11,MIN(5,MATCH(MAX(Reference!$A$6,MIN(Reference!$A$11,MIN($U92,210))),Reference!$A$6:$A$11,1))))),0)+IF(6&lt;=$AL92,($AL92-6+3)*(INDEX(Reference!$B$6:$B$11,MIN(5,MATCH(MAX(Reference!$A$6,MIN(Reference!$A$11,MIN($U92,240))),Reference!$A$6:$A$11,1)))+(MAX(Reference!$A$6,MIN(Reference!$A$11,MIN($U92,240)))-INDEX(Reference!$A$6:$A$11,MIN(5,MATCH(MAX(Reference!$A$6,MIN(Reference!$A$11,MIN($U92,240))),Reference!$A$6:$A$11,1))))*(INDEX(Reference!$B$6:$B$11,MIN(5,MATCH(MAX(Reference!$A$6,MIN(Reference!$A$11,MIN($U92,240))),Reference!$A$6:$A$11,1))+1)-INDEX(Reference!$B$6:$B$11,MIN(5,MATCH(MAX(Reference!$A$6,MIN(Reference!$A$11,MIN($U92,240))),Reference!$A$6:$A$11,1))))/(INDEX(Reference!$A$6:$A$11,MIN(5,MATCH(MAX(Reference!$A$6,MIN(Reference!$A$11,MIN($U92,240))),Reference!$A$6:$A$11,1))+1)-INDEX(Reference!$A$6:$A$11,MIN(5,MATCH(MAX(Reference!$A$6,MIN(Reference!$A$11,MIN($U92,240))),Reference!$A$6:$A$11,1))))),0)+IF(7&lt;=$AL92,($AL92-7+3)*(INDEX(Reference!$B$6:$B$11,MIN(5,MATCH(MAX(Reference!$A$6,MIN(Reference!$A$11,MIN($U92,270))),Reference!$A$6:$A$11,1)))+(MAX(Reference!$A$6,MIN(Reference!$A$11,MIN($U92,270)))-INDEX(Reference!$A$6:$A$11,MIN(5,MATCH(MAX(Reference!$A$6,MIN(Reference!$A$11,MIN($U92,270))),Reference!$A$6:$A$11,1))))*(INDEX(Reference!$B$6:$B$11,MIN(5,MATCH(MAX(Reference!$A$6,MIN(Reference!$A$11,MIN($U92,270))),Reference!$A$6:$A$11,1))+1)-INDEX(Reference!$B$6:$B$11,MIN(5,MATCH(MAX(Reference!$A$6,MIN(Reference!$A$11,MIN($U92,270))),Reference!$A$6:$A$11,1))))/(INDEX(Reference!$A$6:$A$11,MIN(5,MATCH(MAX(Reference!$A$6,MIN(Reference!$A$11,MIN($U92,270))),Reference!$A$6:$A$11,1))+1)-INDEX(Reference!$A$6:$A$11,MIN(5,MATCH(MAX(Reference!$A$6,MIN(Reference!$A$11,MIN($U92,270))),Reference!$A$6:$A$11,1))))),0)+IF(8&lt;=$AL92,($AL92-8+3)*(INDEX(Reference!$B$6:$B$11,MIN(5,MATCH(MAX(Reference!$A$6,MIN(Reference!$A$11,MIN($U92,300))),Reference!$A$6:$A$11,1)))+(MAX(Reference!$A$6,MIN(Reference!$A$11,MIN($U92,300)))-INDEX(Reference!$A$6:$A$11,MIN(5,MATCH(MAX(Reference!$A$6,MIN(Reference!$A$11,MIN($U92,300))),Reference!$A$6:$A$11,1))))*(INDEX(Reference!$B$6:$B$11,MIN(5,MATCH(MAX(Reference!$A$6,MIN(Reference!$A$11,MIN($U92,300))),Reference!$A$6:$A$11,1))+1)-INDEX(Reference!$B$6:$B$11,MIN(5,MATCH(MAX(Reference!$A$6,MIN(Reference!$A$11,MIN($U92,300))),Reference!$A$6:$A$11,1))))/(INDEX(Reference!$A$6:$A$11,MIN(5,MATCH(MAX(Reference!$A$6,MIN(Reference!$A$11,MIN($U92,300))),Reference!$A$6:$A$11,1))+1)-INDEX(Reference!$A$6:$A$11,MIN(5,MATCH(MAX(Reference!$A$6,MIN(Reference!$A$11,MIN($U92,300))),Reference!$A$6:$A$11,1))))),0))/($AL92*($AL92+5)/2)),$AN92))</f>
        <v>1.1499999999999999</v>
      </c>
      <c r="AN92" s="32">
        <f>IF($U92="",0,(INDEX(Reference!$B$6:$B$11,MIN(5,MATCH(MAX(Reference!$A$6,MIN(Reference!$A$11,$U92)),Reference!$A$6:$A$11,1)))+(MAX(Reference!$A$6,MIN(Reference!$A$11,$U92))-INDEX(Reference!$A$6:$A$11,MIN(5,MATCH(MAX(Reference!$A$6,MIN(Reference!$A$11,$U92)),Reference!$A$6:$A$11,1))))*(INDEX(Reference!$B$6:$B$11,MIN(5,MATCH(MAX(Reference!$A$6,MIN(Reference!$A$11,$U92)),Reference!$A$6:$A$11,1))+1)-INDEX(Reference!$B$6:$B$11,MIN(5,MATCH(MAX(Reference!$A$6,MIN(Reference!$A$11,$U92)),Reference!$A$6:$A$11,1))))/(INDEX(Reference!$A$6:$A$11,MIN(5,MATCH(MAX(Reference!$A$6,MIN(Reference!$A$11,$U92)),Reference!$A$6:$A$11,1))+1)-INDEX(Reference!$A$6:$A$11,MIN(5,MATCH(MAX(Reference!$A$6,MIN(Reference!$A$11,$U92)),Reference!$A$6:$A$11,1))))))</f>
        <v>1.1499999999999999</v>
      </c>
      <c r="AO92" s="37"/>
      <c r="AP92" s="37"/>
      <c r="AQ92" s="37"/>
    </row>
    <row r="93" spans="1:43" ht="26.4" x14ac:dyDescent="0.3">
      <c r="A93" s="48">
        <f t="shared" si="30"/>
        <v>46357</v>
      </c>
      <c r="B93" s="32" t="str">
        <f t="shared" si="31"/>
        <v>Tue</v>
      </c>
      <c r="C93" s="32">
        <f t="shared" si="32"/>
        <v>34</v>
      </c>
      <c r="D93" s="32" t="str">
        <f t="shared" si="33"/>
        <v>Flat Ground / Intent</v>
      </c>
      <c r="E93" s="32" t="str">
        <f t="shared" si="34"/>
        <v>Medium</v>
      </c>
      <c r="F93" s="32" t="str">
        <f t="shared" si="35"/>
        <v>Long Toss</v>
      </c>
      <c r="G93" s="47" t="str">
        <f t="shared" si="36"/>
        <v>Long toss out to 165 ft — 28 throws (90×9 · 120×8 · 150×6 · 165×5) @ 77–79 mph + 60 ft × 15 @ 77–79 mph</v>
      </c>
      <c r="H93" s="30">
        <f t="shared" si="37"/>
        <v>39.426666666666662</v>
      </c>
      <c r="I93" s="46">
        <f>IF($A93="","",IF(AND($L93&lt;27,$K$12=0),"Building",IFERROR(((SUM($H$87:$H93)+$K$12*IF($L93&lt;6,SUMIFS('Throw Log'!$Q$5:$Q$300,'Throw Log'!$B$5:$B$300,$D$4,'Throw Log'!$A$5:$A$300,"&gt;="&amp;($D$6+$L93-6),'Throw Log'!$A$5:$A$300,"&lt;="&amp;($D$6-1)),0))/7)/((SUM($H$66:$H93)+$K$12*IF($L93&lt;27,SUMIFS('Throw Log'!$Q$5:$Q$300,'Throw Log'!$B$5:$B$300,$D$4,'Throw Log'!$A$5:$A$300,"&gt;="&amp;($D$6+$L93-27),'Throw Log'!$A$5:$A$300,"&lt;="&amp;($D$6-1)),0))/28),"")))</f>
        <v>1.1464127464740999</v>
      </c>
      <c r="J93" s="37"/>
      <c r="K93" s="37"/>
      <c r="L93" s="32">
        <v>50</v>
      </c>
      <c r="M93" s="32">
        <f t="shared" si="38"/>
        <v>8</v>
      </c>
      <c r="N93" s="32">
        <f t="shared" si="39"/>
        <v>1</v>
      </c>
      <c r="O93" s="32">
        <f t="shared" si="40"/>
        <v>0.65789473684210531</v>
      </c>
      <c r="P93" s="32">
        <f>IF(OR($A93="",N($C93)&lt;=7),"",$G$6*$G$9^($M93-1)*IF(AND(MOD($M93,Reference!$B$99)=0,$M93&lt;=$G$5-2),Reference!$B$100,1))</f>
        <v>155.17696923220939</v>
      </c>
      <c r="Q93" s="32">
        <f>IF($P93="","",IF(SUM($AK$92:$AK$98)=0,0,$P93*INDEX(Reference!$B$108:$B$114,$N93+1)/SUM($AK$92:$AK$98)))</f>
        <v>39.156805320277137</v>
      </c>
      <c r="R93" s="32">
        <f t="shared" si="41"/>
        <v>165</v>
      </c>
      <c r="S93" s="32">
        <f t="shared" si="42"/>
        <v>150</v>
      </c>
      <c r="T93" s="32" t="str">
        <f>IF($A93="","",IF($C93=0,"Bullpen",IF(OR($C93=7,$C93=1,$C93=5),"Recovery/Easy Catch",IF($C93=6,"Compression/Pulldowns",IF(OR($C93=4,$C93=2),"Long Toss",IF($C93=3,"No Throw",IF($N93=2,"No Throw",IF($N93=6,IF($O93&lt;Reference!$B$104,"No Throw","Recovery/Easy Catch"),IF(OR($N93=0,$N93=4),"Recovery/Easy Catch",IF($N93=1,IF($R93&gt;75,"Long Toss","Recovery/Easy Catch"),IF($N93=3,IF($O93&lt;0.5,IF($S93&gt;75,"Long Toss","Recovery/Easy Catch"),"Compression/Pulldowns"),IF($S93&gt;75,"Long Toss","Recovery/Easy Catch"))))))))))))</f>
        <v>Long Toss</v>
      </c>
      <c r="U93" s="32">
        <f t="shared" si="43"/>
        <v>165</v>
      </c>
      <c r="V93" s="32">
        <f t="shared" si="44"/>
        <v>10</v>
      </c>
      <c r="W93" s="32">
        <f t="shared" si="45"/>
        <v>12</v>
      </c>
      <c r="X93" s="32">
        <f t="shared" si="46"/>
        <v>15</v>
      </c>
      <c r="Y93" s="32">
        <f t="shared" si="47"/>
        <v>10</v>
      </c>
      <c r="Z93" s="32">
        <f t="shared" si="48"/>
        <v>12</v>
      </c>
      <c r="AA93" s="32" t="str">
        <f t="shared" si="49"/>
        <v/>
      </c>
      <c r="AB93" s="32">
        <f>IF($A93="","",IF($T93="No Throw",0,IF($K93&lt;&gt;"",$K93,IF($AA93&lt;&gt;"",ROUND($AA93*$D$12*IF($C93=0,1,$G$10),0),MIN(IF($T93="Recovery/Easy Catch",Reference!$B$103,IF($T93="Long Toss",Reference!$B$106,Reference!$B$102)),MAX(Reference!$B$101,ROUND(MAX(0,$Q93-$AE93)/$AF93,0)))))))</f>
        <v>28</v>
      </c>
      <c r="AC93" s="32">
        <f t="shared" si="50"/>
        <v>0</v>
      </c>
      <c r="AD93" s="32" t="b">
        <f t="shared" si="51"/>
        <v>0</v>
      </c>
      <c r="AE93" s="32">
        <f>IF($X93=0,0,$X93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93+$Z93)/2,0),Reference!$A$17:$B$20,2,TRUE()))</f>
        <v>9</v>
      </c>
      <c r="AF93" s="32">
        <f>IF(OR($A93="",$U93="",$T93="No Throw"),0,$AM93*VLOOKUP(MAX(($V93+$W93)/2,0),Reference!$A$17:$B$20,2,TRUE()))</f>
        <v>1.0866666666666667</v>
      </c>
      <c r="AG93" s="32">
        <f>IF($AC93=0,0,$AC93*INDEX(Reference!$B$61:$B$62,MATCH("Bullpen",Reference!$A$61:$A$62,0))*VLOOKUP(MAX($D$5-($D$9+$E$9)/2,0),Reference!$A$17:$B$20,2,TRUE()))</f>
        <v>0</v>
      </c>
      <c r="AH93" s="46">
        <f t="shared" si="52"/>
        <v>1.1464127464740999</v>
      </c>
      <c r="AI93" s="32">
        <f>IF($A93="",NA(),Reference!$A$25)</f>
        <v>0.8</v>
      </c>
      <c r="AJ93" s="32">
        <f t="shared" si="53"/>
        <v>1.3</v>
      </c>
      <c r="AK93" s="56">
        <f>IF(OR($A93="",N($C93)&lt;=7,$T93="No Throw",$J93="x"),0,INDEX(Reference!$B$108:$B$114,$N93+1))</f>
        <v>0.27</v>
      </c>
      <c r="AL93" s="32">
        <f t="shared" si="54"/>
        <v>4</v>
      </c>
      <c r="AM93" s="32">
        <f>IF($U93="",0,IF($AL93&gt;1,((IF(1&lt;=$AL93,($AL93-1+3)*(INDEX(Reference!$B$6:$B$11,MIN(5,MATCH(MAX(Reference!$A$6,MIN(Reference!$A$11,MIN($U93,90))),Reference!$A$6:$A$11,1)))+(MAX(Reference!$A$6,MIN(Reference!$A$11,MIN($U93,90)))-INDEX(Reference!$A$6:$A$11,MIN(5,MATCH(MAX(Reference!$A$6,MIN(Reference!$A$11,MIN($U93,90))),Reference!$A$6:$A$11,1))))*(INDEX(Reference!$B$6:$B$11,MIN(5,MATCH(MAX(Reference!$A$6,MIN(Reference!$A$11,MIN($U93,90))),Reference!$A$6:$A$11,1))+1)-INDEX(Reference!$B$6:$B$11,MIN(5,MATCH(MAX(Reference!$A$6,MIN(Reference!$A$11,MIN($U93,90))),Reference!$A$6:$A$11,1))))/(INDEX(Reference!$A$6:$A$11,MIN(5,MATCH(MAX(Reference!$A$6,MIN(Reference!$A$11,MIN($U93,90))),Reference!$A$6:$A$11,1))+1)-INDEX(Reference!$A$6:$A$11,MIN(5,MATCH(MAX(Reference!$A$6,MIN(Reference!$A$11,MIN($U93,90))),Reference!$A$6:$A$11,1))))),0)+IF(2&lt;=$AL93,($AL93-2+3)*(INDEX(Reference!$B$6:$B$11,MIN(5,MATCH(MAX(Reference!$A$6,MIN(Reference!$A$11,MIN($U93,120))),Reference!$A$6:$A$11,1)))+(MAX(Reference!$A$6,MIN(Reference!$A$11,MIN($U93,120)))-INDEX(Reference!$A$6:$A$11,MIN(5,MATCH(MAX(Reference!$A$6,MIN(Reference!$A$11,MIN($U93,120))),Reference!$A$6:$A$11,1))))*(INDEX(Reference!$B$6:$B$11,MIN(5,MATCH(MAX(Reference!$A$6,MIN(Reference!$A$11,MIN($U93,120))),Reference!$A$6:$A$11,1))+1)-INDEX(Reference!$B$6:$B$11,MIN(5,MATCH(MAX(Reference!$A$6,MIN(Reference!$A$11,MIN($U93,120))),Reference!$A$6:$A$11,1))))/(INDEX(Reference!$A$6:$A$11,MIN(5,MATCH(MAX(Reference!$A$6,MIN(Reference!$A$11,MIN($U93,120))),Reference!$A$6:$A$11,1))+1)-INDEX(Reference!$A$6:$A$11,MIN(5,MATCH(MAX(Reference!$A$6,MIN(Reference!$A$11,MIN($U93,120))),Reference!$A$6:$A$11,1))))),0)+IF(3&lt;=$AL93,($AL93-3+3)*(INDEX(Reference!$B$6:$B$11,MIN(5,MATCH(MAX(Reference!$A$6,MIN(Reference!$A$11,MIN($U93,150))),Reference!$A$6:$A$11,1)))+(MAX(Reference!$A$6,MIN(Reference!$A$11,MIN($U93,150)))-INDEX(Reference!$A$6:$A$11,MIN(5,MATCH(MAX(Reference!$A$6,MIN(Reference!$A$11,MIN($U93,150))),Reference!$A$6:$A$11,1))))*(INDEX(Reference!$B$6:$B$11,MIN(5,MATCH(MAX(Reference!$A$6,MIN(Reference!$A$11,MIN($U93,150))),Reference!$A$6:$A$11,1))+1)-INDEX(Reference!$B$6:$B$11,MIN(5,MATCH(MAX(Reference!$A$6,MIN(Reference!$A$11,MIN($U93,150))),Reference!$A$6:$A$11,1))))/(INDEX(Reference!$A$6:$A$11,MIN(5,MATCH(MAX(Reference!$A$6,MIN(Reference!$A$11,MIN($U93,150))),Reference!$A$6:$A$11,1))+1)-INDEX(Reference!$A$6:$A$11,MIN(5,MATCH(MAX(Reference!$A$6,MIN(Reference!$A$11,MIN($U93,150))),Reference!$A$6:$A$11,1))))),0)+IF(4&lt;=$AL93,($AL93-4+3)*(INDEX(Reference!$B$6:$B$11,MIN(5,MATCH(MAX(Reference!$A$6,MIN(Reference!$A$11,MIN($U93,180))),Reference!$A$6:$A$11,1)))+(MAX(Reference!$A$6,MIN(Reference!$A$11,MIN($U93,180)))-INDEX(Reference!$A$6:$A$11,MIN(5,MATCH(MAX(Reference!$A$6,MIN(Reference!$A$11,MIN($U93,180))),Reference!$A$6:$A$11,1))))*(INDEX(Reference!$B$6:$B$11,MIN(5,MATCH(MAX(Reference!$A$6,MIN(Reference!$A$11,MIN($U93,180))),Reference!$A$6:$A$11,1))+1)-INDEX(Reference!$B$6:$B$11,MIN(5,MATCH(MAX(Reference!$A$6,MIN(Reference!$A$11,MIN($U93,180))),Reference!$A$6:$A$11,1))))/(INDEX(Reference!$A$6:$A$11,MIN(5,MATCH(MAX(Reference!$A$6,MIN(Reference!$A$11,MIN($U93,180))),Reference!$A$6:$A$11,1))+1)-INDEX(Reference!$A$6:$A$11,MIN(5,MATCH(MAX(Reference!$A$6,MIN(Reference!$A$11,MIN($U93,180))),Reference!$A$6:$A$11,1))))),0)+IF(5&lt;=$AL93,($AL93-5+3)*(INDEX(Reference!$B$6:$B$11,MIN(5,MATCH(MAX(Reference!$A$6,MIN(Reference!$A$11,MIN($U93,210))),Reference!$A$6:$A$11,1)))+(MAX(Reference!$A$6,MIN(Reference!$A$11,MIN($U93,210)))-INDEX(Reference!$A$6:$A$11,MIN(5,MATCH(MAX(Reference!$A$6,MIN(Reference!$A$11,MIN($U93,210))),Reference!$A$6:$A$11,1))))*(INDEX(Reference!$B$6:$B$11,MIN(5,MATCH(MAX(Reference!$A$6,MIN(Reference!$A$11,MIN($U93,210))),Reference!$A$6:$A$11,1))+1)-INDEX(Reference!$B$6:$B$11,MIN(5,MATCH(MAX(Reference!$A$6,MIN(Reference!$A$11,MIN($U93,210))),Reference!$A$6:$A$11,1))))/(INDEX(Reference!$A$6:$A$11,MIN(5,MATCH(MAX(Reference!$A$6,MIN(Reference!$A$11,MIN($U93,210))),Reference!$A$6:$A$11,1))+1)-INDEX(Reference!$A$6:$A$11,MIN(5,MATCH(MAX(Reference!$A$6,MIN(Reference!$A$11,MIN($U93,210))),Reference!$A$6:$A$11,1))))),0)+IF(6&lt;=$AL93,($AL93-6+3)*(INDEX(Reference!$B$6:$B$11,MIN(5,MATCH(MAX(Reference!$A$6,MIN(Reference!$A$11,MIN($U93,240))),Reference!$A$6:$A$11,1)))+(MAX(Reference!$A$6,MIN(Reference!$A$11,MIN($U93,240)))-INDEX(Reference!$A$6:$A$11,MIN(5,MATCH(MAX(Reference!$A$6,MIN(Reference!$A$11,MIN($U93,240))),Reference!$A$6:$A$11,1))))*(INDEX(Reference!$B$6:$B$11,MIN(5,MATCH(MAX(Reference!$A$6,MIN(Reference!$A$11,MIN($U93,240))),Reference!$A$6:$A$11,1))+1)-INDEX(Reference!$B$6:$B$11,MIN(5,MATCH(MAX(Reference!$A$6,MIN(Reference!$A$11,MIN($U93,240))),Reference!$A$6:$A$11,1))))/(INDEX(Reference!$A$6:$A$11,MIN(5,MATCH(MAX(Reference!$A$6,MIN(Reference!$A$11,MIN($U93,240))),Reference!$A$6:$A$11,1))+1)-INDEX(Reference!$A$6:$A$11,MIN(5,MATCH(MAX(Reference!$A$6,MIN(Reference!$A$11,MIN($U93,240))),Reference!$A$6:$A$11,1))))),0)+IF(7&lt;=$AL93,($AL93-7+3)*(INDEX(Reference!$B$6:$B$11,MIN(5,MATCH(MAX(Reference!$A$6,MIN(Reference!$A$11,MIN($U93,270))),Reference!$A$6:$A$11,1)))+(MAX(Reference!$A$6,MIN(Reference!$A$11,MIN($U93,270)))-INDEX(Reference!$A$6:$A$11,MIN(5,MATCH(MAX(Reference!$A$6,MIN(Reference!$A$11,MIN($U93,270))),Reference!$A$6:$A$11,1))))*(INDEX(Reference!$B$6:$B$11,MIN(5,MATCH(MAX(Reference!$A$6,MIN(Reference!$A$11,MIN($U93,270))),Reference!$A$6:$A$11,1))+1)-INDEX(Reference!$B$6:$B$11,MIN(5,MATCH(MAX(Reference!$A$6,MIN(Reference!$A$11,MIN($U93,270))),Reference!$A$6:$A$11,1))))/(INDEX(Reference!$A$6:$A$11,MIN(5,MATCH(MAX(Reference!$A$6,MIN(Reference!$A$11,MIN($U93,270))),Reference!$A$6:$A$11,1))+1)-INDEX(Reference!$A$6:$A$11,MIN(5,MATCH(MAX(Reference!$A$6,MIN(Reference!$A$11,MIN($U93,270))),Reference!$A$6:$A$11,1))))),0)+IF(8&lt;=$AL93,($AL93-8+3)*(INDEX(Reference!$B$6:$B$11,MIN(5,MATCH(MAX(Reference!$A$6,MIN(Reference!$A$11,MIN($U93,300))),Reference!$A$6:$A$11,1)))+(MAX(Reference!$A$6,MIN(Reference!$A$11,MIN($U93,300)))-INDEX(Reference!$A$6:$A$11,MIN(5,MATCH(MAX(Reference!$A$6,MIN(Reference!$A$11,MIN($U93,300))),Reference!$A$6:$A$11,1))))*(INDEX(Reference!$B$6:$B$11,MIN(5,MATCH(MAX(Reference!$A$6,MIN(Reference!$A$11,MIN($U93,300))),Reference!$A$6:$A$11,1))+1)-INDEX(Reference!$B$6:$B$11,MIN(5,MATCH(MAX(Reference!$A$6,MIN(Reference!$A$11,MIN($U93,300))),Reference!$A$6:$A$11,1))))/(INDEX(Reference!$A$6:$A$11,MIN(5,MATCH(MAX(Reference!$A$6,MIN(Reference!$A$11,MIN($U93,300))),Reference!$A$6:$A$11,1))+1)-INDEX(Reference!$A$6:$A$11,MIN(5,MATCH(MAX(Reference!$A$6,MIN(Reference!$A$11,MIN($U93,300))),Reference!$A$6:$A$11,1))))),0))/($AL93*($AL93+5)/2)),$AN93))</f>
        <v>1.8111111111111111</v>
      </c>
      <c r="AN93" s="32">
        <f>IF($U93="",0,(INDEX(Reference!$B$6:$B$11,MIN(5,MATCH(MAX(Reference!$A$6,MIN(Reference!$A$11,$U93)),Reference!$A$6:$A$11,1)))+(MAX(Reference!$A$6,MIN(Reference!$A$11,$U93))-INDEX(Reference!$A$6:$A$11,MIN(5,MATCH(MAX(Reference!$A$6,MIN(Reference!$A$11,$U93)),Reference!$A$6:$A$11,1))))*(INDEX(Reference!$B$6:$B$11,MIN(5,MATCH(MAX(Reference!$A$6,MIN(Reference!$A$11,$U93)),Reference!$A$6:$A$11,1))+1)-INDEX(Reference!$B$6:$B$11,MIN(5,MATCH(MAX(Reference!$A$6,MIN(Reference!$A$11,$U93)),Reference!$A$6:$A$11,1))))/(INDEX(Reference!$A$6:$A$11,MIN(5,MATCH(MAX(Reference!$A$6,MIN(Reference!$A$11,$U93)),Reference!$A$6:$A$11,1))+1)-INDEX(Reference!$A$6:$A$11,MIN(5,MATCH(MAX(Reference!$A$6,MIN(Reference!$A$11,$U93)),Reference!$A$6:$A$11,1))))))</f>
        <v>2.5</v>
      </c>
      <c r="AO93" s="37"/>
      <c r="AP93" s="37"/>
      <c r="AQ93" s="37"/>
    </row>
    <row r="94" spans="1:43" x14ac:dyDescent="0.3">
      <c r="A94" s="48">
        <f t="shared" si="30"/>
        <v>46358</v>
      </c>
      <c r="B94" s="32" t="str">
        <f t="shared" si="31"/>
        <v>Wed</v>
      </c>
      <c r="C94" s="32">
        <f t="shared" si="32"/>
        <v>33</v>
      </c>
      <c r="D94" s="32" t="str">
        <f t="shared" si="33"/>
        <v>Flat Ground / Intent</v>
      </c>
      <c r="E94" s="32" t="str">
        <f t="shared" si="34"/>
        <v>No Throw</v>
      </c>
      <c r="F94" s="32" t="str">
        <f t="shared" si="35"/>
        <v>No Throw</v>
      </c>
      <c r="G94" s="47" t="str">
        <f t="shared" si="36"/>
        <v>Off</v>
      </c>
      <c r="H94" s="30">
        <f t="shared" si="37"/>
        <v>0</v>
      </c>
      <c r="I94" s="46">
        <f>IF($A94="","",IF(AND($L94&lt;27,$K$12=0),"Building",IFERROR(((SUM($H$88:$H94)+$K$12*IF($L94&lt;6,SUMIFS('Throw Log'!$Q$5:$Q$300,'Throw Log'!$B$5:$B$300,$D$4,'Throw Log'!$A$5:$A$300,"&gt;="&amp;($D$6+$L94-6),'Throw Log'!$A$5:$A$300,"&lt;="&amp;($D$6-1)),0))/7)/((SUM($H$67:$H94)+$K$12*IF($L94&lt;27,SUMIFS('Throw Log'!$Q$5:$Q$300,'Throw Log'!$B$5:$B$300,$D$4,'Throw Log'!$A$5:$A$300,"&gt;="&amp;($D$6+$L94-27),'Throw Log'!$A$5:$A$300,"&lt;="&amp;($D$6-1)),0))/28),"")))</f>
        <v>1.1464127464740999</v>
      </c>
      <c r="J94" s="37"/>
      <c r="K94" s="37"/>
      <c r="L94" s="32">
        <v>51</v>
      </c>
      <c r="M94" s="32">
        <f t="shared" si="38"/>
        <v>8</v>
      </c>
      <c r="N94" s="32">
        <f t="shared" si="39"/>
        <v>2</v>
      </c>
      <c r="O94" s="32">
        <f t="shared" si="40"/>
        <v>0.67105263157894735</v>
      </c>
      <c r="P94" s="32">
        <f>IF(OR($A94="",N($C94)&lt;=7),"",$G$6*$G$9^($M94-1)*IF(AND(MOD($M94,Reference!$B$99)=0,$M94&lt;=$G$5-2),Reference!$B$100,1))</f>
        <v>155.17696923220939</v>
      </c>
      <c r="Q94" s="32">
        <f>IF($P94="","",IF(SUM($AK$92:$AK$98)=0,0,$P94*INDEX(Reference!$B$108:$B$114,$N94+1)/SUM($AK$92:$AK$98)))</f>
        <v>0</v>
      </c>
      <c r="R94" s="32">
        <f t="shared" si="41"/>
        <v>165</v>
      </c>
      <c r="S94" s="32">
        <f t="shared" si="42"/>
        <v>150</v>
      </c>
      <c r="T94" s="32" t="str">
        <f>IF($A94="","",IF($C94=0,"Bullpen",IF(OR($C94=7,$C94=1,$C94=5),"Recovery/Easy Catch",IF($C94=6,"Compression/Pulldowns",IF(OR($C94=4,$C94=2),"Long Toss",IF($C94=3,"No Throw",IF($N94=2,"No Throw",IF($N94=6,IF($O94&lt;Reference!$B$104,"No Throw","Recovery/Easy Catch"),IF(OR($N94=0,$N94=4),"Recovery/Easy Catch",IF($N94=1,IF($R94&gt;75,"Long Toss","Recovery/Easy Catch"),IF($N94=3,IF($O94&lt;0.5,IF($S94&gt;75,"Long Toss","Recovery/Easy Catch"),"Compression/Pulldowns"),IF($S94&gt;75,"Long Toss","Recovery/Easy Catch"))))))))))))</f>
        <v>No Throw</v>
      </c>
      <c r="U94" s="32" t="str">
        <f t="shared" si="43"/>
        <v/>
      </c>
      <c r="V94" s="32" t="str">
        <f t="shared" si="44"/>
        <v/>
      </c>
      <c r="W94" s="32" t="str">
        <f t="shared" si="45"/>
        <v/>
      </c>
      <c r="X94" s="32">
        <f t="shared" si="46"/>
        <v>0</v>
      </c>
      <c r="Y94" s="32" t="str">
        <f t="shared" si="47"/>
        <v/>
      </c>
      <c r="Z94" s="32" t="str">
        <f t="shared" si="48"/>
        <v/>
      </c>
      <c r="AA94" s="32" t="str">
        <f t="shared" si="49"/>
        <v/>
      </c>
      <c r="AB94" s="32">
        <f>IF($A94="","",IF($T94="No Throw",0,IF($K94&lt;&gt;"",$K94,IF($AA94&lt;&gt;"",ROUND($AA94*$D$12*IF($C94=0,1,$G$10),0),MIN(IF($T94="Recovery/Easy Catch",Reference!$B$103,IF($T94="Long Toss",Reference!$B$106,Reference!$B$102)),MAX(Reference!$B$101,ROUND(MAX(0,$Q94-$AE94)/$AF94,0)))))))</f>
        <v>0</v>
      </c>
      <c r="AC94" s="32">
        <f t="shared" si="50"/>
        <v>0</v>
      </c>
      <c r="AD94" s="32" t="b">
        <f t="shared" si="51"/>
        <v>1</v>
      </c>
      <c r="AE94" s="32">
        <f>IF($X94=0,0,$X94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94+$Z94)/2,0),Reference!$A$17:$B$20,2,TRUE()))</f>
        <v>0</v>
      </c>
      <c r="AF94" s="32">
        <f>IF(OR($A94="",$U94="",$T94="No Throw"),0,$AM94*VLOOKUP(MAX(($V94+$W94)/2,0),Reference!$A$17:$B$20,2,TRUE()))</f>
        <v>0</v>
      </c>
      <c r="AG94" s="32">
        <f>IF($AC94=0,0,$AC94*INDEX(Reference!$B$61:$B$62,MATCH("Bullpen",Reference!$A$61:$A$62,0))*VLOOKUP(MAX($D$5-($D$9+$E$9)/2,0),Reference!$A$17:$B$20,2,TRUE()))</f>
        <v>0</v>
      </c>
      <c r="AH94" s="46">
        <f t="shared" si="52"/>
        <v>1.1464127464740999</v>
      </c>
      <c r="AI94" s="32">
        <f>IF($A94="",NA(),Reference!$A$25)</f>
        <v>0.8</v>
      </c>
      <c r="AJ94" s="32">
        <f t="shared" si="53"/>
        <v>1.3</v>
      </c>
      <c r="AK94" s="32">
        <f>IF(OR($A94="",N($C94)&lt;=7,$T94="No Throw",$J94="x"),0,INDEX(Reference!$B$108:$B$114,$N94+1))</f>
        <v>0</v>
      </c>
      <c r="AL94" s="32">
        <f t="shared" si="54"/>
        <v>1</v>
      </c>
      <c r="AM94" s="32">
        <f>IF($U94="",0,IF($AL94&gt;1,((IF(1&lt;=$AL94,($AL94-1+3)*(INDEX(Reference!$B$6:$B$11,MIN(5,MATCH(MAX(Reference!$A$6,MIN(Reference!$A$11,MIN($U94,90))),Reference!$A$6:$A$11,1)))+(MAX(Reference!$A$6,MIN(Reference!$A$11,MIN($U94,90)))-INDEX(Reference!$A$6:$A$11,MIN(5,MATCH(MAX(Reference!$A$6,MIN(Reference!$A$11,MIN($U94,90))),Reference!$A$6:$A$11,1))))*(INDEX(Reference!$B$6:$B$11,MIN(5,MATCH(MAX(Reference!$A$6,MIN(Reference!$A$11,MIN($U94,90))),Reference!$A$6:$A$11,1))+1)-INDEX(Reference!$B$6:$B$11,MIN(5,MATCH(MAX(Reference!$A$6,MIN(Reference!$A$11,MIN($U94,90))),Reference!$A$6:$A$11,1))))/(INDEX(Reference!$A$6:$A$11,MIN(5,MATCH(MAX(Reference!$A$6,MIN(Reference!$A$11,MIN($U94,90))),Reference!$A$6:$A$11,1))+1)-INDEX(Reference!$A$6:$A$11,MIN(5,MATCH(MAX(Reference!$A$6,MIN(Reference!$A$11,MIN($U94,90))),Reference!$A$6:$A$11,1))))),0)+IF(2&lt;=$AL94,($AL94-2+3)*(INDEX(Reference!$B$6:$B$11,MIN(5,MATCH(MAX(Reference!$A$6,MIN(Reference!$A$11,MIN($U94,120))),Reference!$A$6:$A$11,1)))+(MAX(Reference!$A$6,MIN(Reference!$A$11,MIN($U94,120)))-INDEX(Reference!$A$6:$A$11,MIN(5,MATCH(MAX(Reference!$A$6,MIN(Reference!$A$11,MIN($U94,120))),Reference!$A$6:$A$11,1))))*(INDEX(Reference!$B$6:$B$11,MIN(5,MATCH(MAX(Reference!$A$6,MIN(Reference!$A$11,MIN($U94,120))),Reference!$A$6:$A$11,1))+1)-INDEX(Reference!$B$6:$B$11,MIN(5,MATCH(MAX(Reference!$A$6,MIN(Reference!$A$11,MIN($U94,120))),Reference!$A$6:$A$11,1))))/(INDEX(Reference!$A$6:$A$11,MIN(5,MATCH(MAX(Reference!$A$6,MIN(Reference!$A$11,MIN($U94,120))),Reference!$A$6:$A$11,1))+1)-INDEX(Reference!$A$6:$A$11,MIN(5,MATCH(MAX(Reference!$A$6,MIN(Reference!$A$11,MIN($U94,120))),Reference!$A$6:$A$11,1))))),0)+IF(3&lt;=$AL94,($AL94-3+3)*(INDEX(Reference!$B$6:$B$11,MIN(5,MATCH(MAX(Reference!$A$6,MIN(Reference!$A$11,MIN($U94,150))),Reference!$A$6:$A$11,1)))+(MAX(Reference!$A$6,MIN(Reference!$A$11,MIN($U94,150)))-INDEX(Reference!$A$6:$A$11,MIN(5,MATCH(MAX(Reference!$A$6,MIN(Reference!$A$11,MIN($U94,150))),Reference!$A$6:$A$11,1))))*(INDEX(Reference!$B$6:$B$11,MIN(5,MATCH(MAX(Reference!$A$6,MIN(Reference!$A$11,MIN($U94,150))),Reference!$A$6:$A$11,1))+1)-INDEX(Reference!$B$6:$B$11,MIN(5,MATCH(MAX(Reference!$A$6,MIN(Reference!$A$11,MIN($U94,150))),Reference!$A$6:$A$11,1))))/(INDEX(Reference!$A$6:$A$11,MIN(5,MATCH(MAX(Reference!$A$6,MIN(Reference!$A$11,MIN($U94,150))),Reference!$A$6:$A$11,1))+1)-INDEX(Reference!$A$6:$A$11,MIN(5,MATCH(MAX(Reference!$A$6,MIN(Reference!$A$11,MIN($U94,150))),Reference!$A$6:$A$11,1))))),0)+IF(4&lt;=$AL94,($AL94-4+3)*(INDEX(Reference!$B$6:$B$11,MIN(5,MATCH(MAX(Reference!$A$6,MIN(Reference!$A$11,MIN($U94,180))),Reference!$A$6:$A$11,1)))+(MAX(Reference!$A$6,MIN(Reference!$A$11,MIN($U94,180)))-INDEX(Reference!$A$6:$A$11,MIN(5,MATCH(MAX(Reference!$A$6,MIN(Reference!$A$11,MIN($U94,180))),Reference!$A$6:$A$11,1))))*(INDEX(Reference!$B$6:$B$11,MIN(5,MATCH(MAX(Reference!$A$6,MIN(Reference!$A$11,MIN($U94,180))),Reference!$A$6:$A$11,1))+1)-INDEX(Reference!$B$6:$B$11,MIN(5,MATCH(MAX(Reference!$A$6,MIN(Reference!$A$11,MIN($U94,180))),Reference!$A$6:$A$11,1))))/(INDEX(Reference!$A$6:$A$11,MIN(5,MATCH(MAX(Reference!$A$6,MIN(Reference!$A$11,MIN($U94,180))),Reference!$A$6:$A$11,1))+1)-INDEX(Reference!$A$6:$A$11,MIN(5,MATCH(MAX(Reference!$A$6,MIN(Reference!$A$11,MIN($U94,180))),Reference!$A$6:$A$11,1))))),0)+IF(5&lt;=$AL94,($AL94-5+3)*(INDEX(Reference!$B$6:$B$11,MIN(5,MATCH(MAX(Reference!$A$6,MIN(Reference!$A$11,MIN($U94,210))),Reference!$A$6:$A$11,1)))+(MAX(Reference!$A$6,MIN(Reference!$A$11,MIN($U94,210)))-INDEX(Reference!$A$6:$A$11,MIN(5,MATCH(MAX(Reference!$A$6,MIN(Reference!$A$11,MIN($U94,210))),Reference!$A$6:$A$11,1))))*(INDEX(Reference!$B$6:$B$11,MIN(5,MATCH(MAX(Reference!$A$6,MIN(Reference!$A$11,MIN($U94,210))),Reference!$A$6:$A$11,1))+1)-INDEX(Reference!$B$6:$B$11,MIN(5,MATCH(MAX(Reference!$A$6,MIN(Reference!$A$11,MIN($U94,210))),Reference!$A$6:$A$11,1))))/(INDEX(Reference!$A$6:$A$11,MIN(5,MATCH(MAX(Reference!$A$6,MIN(Reference!$A$11,MIN($U94,210))),Reference!$A$6:$A$11,1))+1)-INDEX(Reference!$A$6:$A$11,MIN(5,MATCH(MAX(Reference!$A$6,MIN(Reference!$A$11,MIN($U94,210))),Reference!$A$6:$A$11,1))))),0)+IF(6&lt;=$AL94,($AL94-6+3)*(INDEX(Reference!$B$6:$B$11,MIN(5,MATCH(MAX(Reference!$A$6,MIN(Reference!$A$11,MIN($U94,240))),Reference!$A$6:$A$11,1)))+(MAX(Reference!$A$6,MIN(Reference!$A$11,MIN($U94,240)))-INDEX(Reference!$A$6:$A$11,MIN(5,MATCH(MAX(Reference!$A$6,MIN(Reference!$A$11,MIN($U94,240))),Reference!$A$6:$A$11,1))))*(INDEX(Reference!$B$6:$B$11,MIN(5,MATCH(MAX(Reference!$A$6,MIN(Reference!$A$11,MIN($U94,240))),Reference!$A$6:$A$11,1))+1)-INDEX(Reference!$B$6:$B$11,MIN(5,MATCH(MAX(Reference!$A$6,MIN(Reference!$A$11,MIN($U94,240))),Reference!$A$6:$A$11,1))))/(INDEX(Reference!$A$6:$A$11,MIN(5,MATCH(MAX(Reference!$A$6,MIN(Reference!$A$11,MIN($U94,240))),Reference!$A$6:$A$11,1))+1)-INDEX(Reference!$A$6:$A$11,MIN(5,MATCH(MAX(Reference!$A$6,MIN(Reference!$A$11,MIN($U94,240))),Reference!$A$6:$A$11,1))))),0)+IF(7&lt;=$AL94,($AL94-7+3)*(INDEX(Reference!$B$6:$B$11,MIN(5,MATCH(MAX(Reference!$A$6,MIN(Reference!$A$11,MIN($U94,270))),Reference!$A$6:$A$11,1)))+(MAX(Reference!$A$6,MIN(Reference!$A$11,MIN($U94,270)))-INDEX(Reference!$A$6:$A$11,MIN(5,MATCH(MAX(Reference!$A$6,MIN(Reference!$A$11,MIN($U94,270))),Reference!$A$6:$A$11,1))))*(INDEX(Reference!$B$6:$B$11,MIN(5,MATCH(MAX(Reference!$A$6,MIN(Reference!$A$11,MIN($U94,270))),Reference!$A$6:$A$11,1))+1)-INDEX(Reference!$B$6:$B$11,MIN(5,MATCH(MAX(Reference!$A$6,MIN(Reference!$A$11,MIN($U94,270))),Reference!$A$6:$A$11,1))))/(INDEX(Reference!$A$6:$A$11,MIN(5,MATCH(MAX(Reference!$A$6,MIN(Reference!$A$11,MIN($U94,270))),Reference!$A$6:$A$11,1))+1)-INDEX(Reference!$A$6:$A$11,MIN(5,MATCH(MAX(Reference!$A$6,MIN(Reference!$A$11,MIN($U94,270))),Reference!$A$6:$A$11,1))))),0)+IF(8&lt;=$AL94,($AL94-8+3)*(INDEX(Reference!$B$6:$B$11,MIN(5,MATCH(MAX(Reference!$A$6,MIN(Reference!$A$11,MIN($U94,300))),Reference!$A$6:$A$11,1)))+(MAX(Reference!$A$6,MIN(Reference!$A$11,MIN($U94,300)))-INDEX(Reference!$A$6:$A$11,MIN(5,MATCH(MAX(Reference!$A$6,MIN(Reference!$A$11,MIN($U94,300))),Reference!$A$6:$A$11,1))))*(INDEX(Reference!$B$6:$B$11,MIN(5,MATCH(MAX(Reference!$A$6,MIN(Reference!$A$11,MIN($U94,300))),Reference!$A$6:$A$11,1))+1)-INDEX(Reference!$B$6:$B$11,MIN(5,MATCH(MAX(Reference!$A$6,MIN(Reference!$A$11,MIN($U94,300))),Reference!$A$6:$A$11,1))))/(INDEX(Reference!$A$6:$A$11,MIN(5,MATCH(MAX(Reference!$A$6,MIN(Reference!$A$11,MIN($U94,300))),Reference!$A$6:$A$11,1))+1)-INDEX(Reference!$A$6:$A$11,MIN(5,MATCH(MAX(Reference!$A$6,MIN(Reference!$A$11,MIN($U94,300))),Reference!$A$6:$A$11,1))))),0))/($AL94*($AL94+5)/2)),$AN94))</f>
        <v>0</v>
      </c>
      <c r="AN94" s="32">
        <f>IF($U94="",0,(INDEX(Reference!$B$6:$B$11,MIN(5,MATCH(MAX(Reference!$A$6,MIN(Reference!$A$11,$U94)),Reference!$A$6:$A$11,1)))+(MAX(Reference!$A$6,MIN(Reference!$A$11,$U94))-INDEX(Reference!$A$6:$A$11,MIN(5,MATCH(MAX(Reference!$A$6,MIN(Reference!$A$11,$U94)),Reference!$A$6:$A$11,1))))*(INDEX(Reference!$B$6:$B$11,MIN(5,MATCH(MAX(Reference!$A$6,MIN(Reference!$A$11,$U94)),Reference!$A$6:$A$11,1))+1)-INDEX(Reference!$B$6:$B$11,MIN(5,MATCH(MAX(Reference!$A$6,MIN(Reference!$A$11,$U94)),Reference!$A$6:$A$11,1))))/(INDEX(Reference!$A$6:$A$11,MIN(5,MATCH(MAX(Reference!$A$6,MIN(Reference!$A$11,$U94)),Reference!$A$6:$A$11,1))+1)-INDEX(Reference!$A$6:$A$11,MIN(5,MATCH(MAX(Reference!$A$6,MIN(Reference!$A$11,$U94)),Reference!$A$6:$A$11,1))))))</f>
        <v>0</v>
      </c>
      <c r="AO94" s="37"/>
      <c r="AP94" s="37"/>
      <c r="AQ94" s="37"/>
    </row>
    <row r="95" spans="1:43" x14ac:dyDescent="0.3">
      <c r="A95" s="48">
        <f t="shared" si="30"/>
        <v>46359</v>
      </c>
      <c r="B95" s="32" t="str">
        <f t="shared" si="31"/>
        <v>Thu</v>
      </c>
      <c r="C95" s="32">
        <f t="shared" si="32"/>
        <v>32</v>
      </c>
      <c r="D95" s="32" t="str">
        <f t="shared" si="33"/>
        <v>Flat Ground / Intent</v>
      </c>
      <c r="E95" s="32" t="str">
        <f t="shared" si="34"/>
        <v>High Non-Bullpen</v>
      </c>
      <c r="F95" s="32" t="str">
        <f t="shared" si="35"/>
        <v>Compression/Pulldowns</v>
      </c>
      <c r="G95" s="47" t="str">
        <f t="shared" si="36"/>
        <v>90 ft × 20 @ 80–82 mph + flat ground at 60 ft × 20 @ 80–82 mph</v>
      </c>
      <c r="H95" s="30">
        <f t="shared" si="37"/>
        <v>46</v>
      </c>
      <c r="I95" s="46">
        <f>IF($A95="","",IF(AND($L95&lt;27,$K$12=0),"Building",IFERROR(((SUM($H$89:$H95)+$K$12*IF($L95&lt;6,SUMIFS('Throw Log'!$Q$5:$Q$300,'Throw Log'!$B$5:$B$300,$D$4,'Throw Log'!$A$5:$A$300,"&gt;="&amp;($D$6+$L95-6),'Throw Log'!$A$5:$A$300,"&lt;="&amp;($D$6-1)),0))/7)/((SUM($H$68:$H95)+$K$12*IF($L95&lt;27,SUMIFS('Throw Log'!$Q$5:$Q$300,'Throw Log'!$B$5:$B$300,$D$4,'Throw Log'!$A$5:$A$300,"&gt;="&amp;($D$6+$L95-27),'Throw Log'!$A$5:$A$300,"&lt;="&amp;($D$6-1)),0))/28),"")))</f>
        <v>1.1847216941326399</v>
      </c>
      <c r="J95" s="37"/>
      <c r="K95" s="37"/>
      <c r="L95" s="32">
        <v>52</v>
      </c>
      <c r="M95" s="32">
        <f t="shared" si="38"/>
        <v>8</v>
      </c>
      <c r="N95" s="32">
        <f t="shared" si="39"/>
        <v>3</v>
      </c>
      <c r="O95" s="32">
        <f t="shared" si="40"/>
        <v>0.68421052631578949</v>
      </c>
      <c r="P95" s="32">
        <f>IF(OR($A95="",N($C95)&lt;=7),"",$G$6*$G$9^($M95-1)*IF(AND(MOD($M95,Reference!$B$99)=0,$M95&lt;=$G$5-2),Reference!$B$100,1))</f>
        <v>155.17696923220939</v>
      </c>
      <c r="Q95" s="32">
        <f>IF($P95="","",IF(SUM($AK$92:$AK$98)=0,0,$P95*INDEX(Reference!$B$108:$B$114,$N95+1)/SUM($AK$92:$AK$98)))</f>
        <v>34.806049173579673</v>
      </c>
      <c r="R95" s="32">
        <f t="shared" si="41"/>
        <v>165</v>
      </c>
      <c r="S95" s="32">
        <f t="shared" si="42"/>
        <v>150</v>
      </c>
      <c r="T95" s="32" t="str">
        <f>IF($A95="","",IF($C95=0,"Bullpen",IF(OR($C95=7,$C95=1,$C95=5),"Recovery/Easy Catch",IF($C95=6,"Compression/Pulldowns",IF(OR($C95=4,$C95=2),"Long Toss",IF($C95=3,"No Throw",IF($N95=2,"No Throw",IF($N95=6,IF($O95&lt;Reference!$B$104,"No Throw","Recovery/Easy Catch"),IF(OR($N95=0,$N95=4),"Recovery/Easy Catch",IF($N95=1,IF($R95&gt;75,"Long Toss","Recovery/Easy Catch"),IF($N95=3,IF($O95&lt;0.5,IF($S95&gt;75,"Long Toss","Recovery/Easy Catch"),"Compression/Pulldowns"),IF($S95&gt;75,"Long Toss","Recovery/Easy Catch"))))))))))))</f>
        <v>Compression/Pulldowns</v>
      </c>
      <c r="U95" s="32">
        <f t="shared" si="43"/>
        <v>90</v>
      </c>
      <c r="V95" s="32">
        <f t="shared" si="44"/>
        <v>7</v>
      </c>
      <c r="W95" s="32">
        <f t="shared" si="45"/>
        <v>9</v>
      </c>
      <c r="X95" s="32">
        <f t="shared" si="46"/>
        <v>20</v>
      </c>
      <c r="Y95" s="32">
        <f t="shared" si="47"/>
        <v>7</v>
      </c>
      <c r="Z95" s="32">
        <f t="shared" si="48"/>
        <v>9</v>
      </c>
      <c r="AA95" s="32" t="str">
        <f t="shared" si="49"/>
        <v/>
      </c>
      <c r="AB95" s="32">
        <f>IF($A95="","",IF($T95="No Throw",0,IF($K95&lt;&gt;"",$K95,IF($AA95&lt;&gt;"",ROUND($AA95*$D$12*IF($C95=0,1,$G$10),0),MIN(IF($T95="Recovery/Easy Catch",Reference!$B$103,IF($T95="Long Toss",Reference!$B$106,Reference!$B$102)),MAX(Reference!$B$101,ROUND(MAX(0,$Q95-$AE95)/$AF95,0)))))))</f>
        <v>20</v>
      </c>
      <c r="AC95" s="32">
        <f t="shared" si="50"/>
        <v>0</v>
      </c>
      <c r="AD95" s="32" t="b">
        <f t="shared" si="51"/>
        <v>0</v>
      </c>
      <c r="AE95" s="32">
        <f>IF($X95=0,0,$X95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95+$Z95)/2,0),Reference!$A$17:$B$20,2,TRUE()))</f>
        <v>20</v>
      </c>
      <c r="AF95" s="32">
        <f>IF(OR($A95="",$U95="",$T95="No Throw"),0,$AM95*VLOOKUP(MAX(($V95+$W95)/2,0),Reference!$A$17:$B$20,2,TRUE()))</f>
        <v>1.3</v>
      </c>
      <c r="AG95" s="32">
        <f>IF($AC95=0,0,$AC95*INDEX(Reference!$B$61:$B$62,MATCH("Bullpen",Reference!$A$61:$A$62,0))*VLOOKUP(MAX($D$5-($D$9+$E$9)/2,0),Reference!$A$17:$B$20,2,TRUE()))</f>
        <v>0</v>
      </c>
      <c r="AH95" s="46">
        <f t="shared" si="52"/>
        <v>1.1847216941326399</v>
      </c>
      <c r="AI95" s="32">
        <f>IF($A95="",NA(),Reference!$A$25)</f>
        <v>0.8</v>
      </c>
      <c r="AJ95" s="32">
        <f t="shared" si="53"/>
        <v>1.3</v>
      </c>
      <c r="AK95" s="56">
        <f>IF(OR($A95="",N($C95)&lt;=7,$T95="No Throw",$J95="x"),0,INDEX(Reference!$B$108:$B$114,$N95+1))</f>
        <v>0.24</v>
      </c>
      <c r="AL95" s="32">
        <f t="shared" si="54"/>
        <v>1</v>
      </c>
      <c r="AM95" s="32">
        <f>IF($U95="",0,IF($AL95&gt;1,((IF(1&lt;=$AL95,($AL95-1+3)*(INDEX(Reference!$B$6:$B$11,MIN(5,MATCH(MAX(Reference!$A$6,MIN(Reference!$A$11,MIN($U95,90))),Reference!$A$6:$A$11,1)))+(MAX(Reference!$A$6,MIN(Reference!$A$11,MIN($U95,90)))-INDEX(Reference!$A$6:$A$11,MIN(5,MATCH(MAX(Reference!$A$6,MIN(Reference!$A$11,MIN($U95,90))),Reference!$A$6:$A$11,1))))*(INDEX(Reference!$B$6:$B$11,MIN(5,MATCH(MAX(Reference!$A$6,MIN(Reference!$A$11,MIN($U95,90))),Reference!$A$6:$A$11,1))+1)-INDEX(Reference!$B$6:$B$11,MIN(5,MATCH(MAX(Reference!$A$6,MIN(Reference!$A$11,MIN($U95,90))),Reference!$A$6:$A$11,1))))/(INDEX(Reference!$A$6:$A$11,MIN(5,MATCH(MAX(Reference!$A$6,MIN(Reference!$A$11,MIN($U95,90))),Reference!$A$6:$A$11,1))+1)-INDEX(Reference!$A$6:$A$11,MIN(5,MATCH(MAX(Reference!$A$6,MIN(Reference!$A$11,MIN($U95,90))),Reference!$A$6:$A$11,1))))),0)+IF(2&lt;=$AL95,($AL95-2+3)*(INDEX(Reference!$B$6:$B$11,MIN(5,MATCH(MAX(Reference!$A$6,MIN(Reference!$A$11,MIN($U95,120))),Reference!$A$6:$A$11,1)))+(MAX(Reference!$A$6,MIN(Reference!$A$11,MIN($U95,120)))-INDEX(Reference!$A$6:$A$11,MIN(5,MATCH(MAX(Reference!$A$6,MIN(Reference!$A$11,MIN($U95,120))),Reference!$A$6:$A$11,1))))*(INDEX(Reference!$B$6:$B$11,MIN(5,MATCH(MAX(Reference!$A$6,MIN(Reference!$A$11,MIN($U95,120))),Reference!$A$6:$A$11,1))+1)-INDEX(Reference!$B$6:$B$11,MIN(5,MATCH(MAX(Reference!$A$6,MIN(Reference!$A$11,MIN($U95,120))),Reference!$A$6:$A$11,1))))/(INDEX(Reference!$A$6:$A$11,MIN(5,MATCH(MAX(Reference!$A$6,MIN(Reference!$A$11,MIN($U95,120))),Reference!$A$6:$A$11,1))+1)-INDEX(Reference!$A$6:$A$11,MIN(5,MATCH(MAX(Reference!$A$6,MIN(Reference!$A$11,MIN($U95,120))),Reference!$A$6:$A$11,1))))),0)+IF(3&lt;=$AL95,($AL95-3+3)*(INDEX(Reference!$B$6:$B$11,MIN(5,MATCH(MAX(Reference!$A$6,MIN(Reference!$A$11,MIN($U95,150))),Reference!$A$6:$A$11,1)))+(MAX(Reference!$A$6,MIN(Reference!$A$11,MIN($U95,150)))-INDEX(Reference!$A$6:$A$11,MIN(5,MATCH(MAX(Reference!$A$6,MIN(Reference!$A$11,MIN($U95,150))),Reference!$A$6:$A$11,1))))*(INDEX(Reference!$B$6:$B$11,MIN(5,MATCH(MAX(Reference!$A$6,MIN(Reference!$A$11,MIN($U95,150))),Reference!$A$6:$A$11,1))+1)-INDEX(Reference!$B$6:$B$11,MIN(5,MATCH(MAX(Reference!$A$6,MIN(Reference!$A$11,MIN($U95,150))),Reference!$A$6:$A$11,1))))/(INDEX(Reference!$A$6:$A$11,MIN(5,MATCH(MAX(Reference!$A$6,MIN(Reference!$A$11,MIN($U95,150))),Reference!$A$6:$A$11,1))+1)-INDEX(Reference!$A$6:$A$11,MIN(5,MATCH(MAX(Reference!$A$6,MIN(Reference!$A$11,MIN($U95,150))),Reference!$A$6:$A$11,1))))),0)+IF(4&lt;=$AL95,($AL95-4+3)*(INDEX(Reference!$B$6:$B$11,MIN(5,MATCH(MAX(Reference!$A$6,MIN(Reference!$A$11,MIN($U95,180))),Reference!$A$6:$A$11,1)))+(MAX(Reference!$A$6,MIN(Reference!$A$11,MIN($U95,180)))-INDEX(Reference!$A$6:$A$11,MIN(5,MATCH(MAX(Reference!$A$6,MIN(Reference!$A$11,MIN($U95,180))),Reference!$A$6:$A$11,1))))*(INDEX(Reference!$B$6:$B$11,MIN(5,MATCH(MAX(Reference!$A$6,MIN(Reference!$A$11,MIN($U95,180))),Reference!$A$6:$A$11,1))+1)-INDEX(Reference!$B$6:$B$11,MIN(5,MATCH(MAX(Reference!$A$6,MIN(Reference!$A$11,MIN($U95,180))),Reference!$A$6:$A$11,1))))/(INDEX(Reference!$A$6:$A$11,MIN(5,MATCH(MAX(Reference!$A$6,MIN(Reference!$A$11,MIN($U95,180))),Reference!$A$6:$A$11,1))+1)-INDEX(Reference!$A$6:$A$11,MIN(5,MATCH(MAX(Reference!$A$6,MIN(Reference!$A$11,MIN($U95,180))),Reference!$A$6:$A$11,1))))),0)+IF(5&lt;=$AL95,($AL95-5+3)*(INDEX(Reference!$B$6:$B$11,MIN(5,MATCH(MAX(Reference!$A$6,MIN(Reference!$A$11,MIN($U95,210))),Reference!$A$6:$A$11,1)))+(MAX(Reference!$A$6,MIN(Reference!$A$11,MIN($U95,210)))-INDEX(Reference!$A$6:$A$11,MIN(5,MATCH(MAX(Reference!$A$6,MIN(Reference!$A$11,MIN($U95,210))),Reference!$A$6:$A$11,1))))*(INDEX(Reference!$B$6:$B$11,MIN(5,MATCH(MAX(Reference!$A$6,MIN(Reference!$A$11,MIN($U95,210))),Reference!$A$6:$A$11,1))+1)-INDEX(Reference!$B$6:$B$11,MIN(5,MATCH(MAX(Reference!$A$6,MIN(Reference!$A$11,MIN($U95,210))),Reference!$A$6:$A$11,1))))/(INDEX(Reference!$A$6:$A$11,MIN(5,MATCH(MAX(Reference!$A$6,MIN(Reference!$A$11,MIN($U95,210))),Reference!$A$6:$A$11,1))+1)-INDEX(Reference!$A$6:$A$11,MIN(5,MATCH(MAX(Reference!$A$6,MIN(Reference!$A$11,MIN($U95,210))),Reference!$A$6:$A$11,1))))),0)+IF(6&lt;=$AL95,($AL95-6+3)*(INDEX(Reference!$B$6:$B$11,MIN(5,MATCH(MAX(Reference!$A$6,MIN(Reference!$A$11,MIN($U95,240))),Reference!$A$6:$A$11,1)))+(MAX(Reference!$A$6,MIN(Reference!$A$11,MIN($U95,240)))-INDEX(Reference!$A$6:$A$11,MIN(5,MATCH(MAX(Reference!$A$6,MIN(Reference!$A$11,MIN($U95,240))),Reference!$A$6:$A$11,1))))*(INDEX(Reference!$B$6:$B$11,MIN(5,MATCH(MAX(Reference!$A$6,MIN(Reference!$A$11,MIN($U95,240))),Reference!$A$6:$A$11,1))+1)-INDEX(Reference!$B$6:$B$11,MIN(5,MATCH(MAX(Reference!$A$6,MIN(Reference!$A$11,MIN($U95,240))),Reference!$A$6:$A$11,1))))/(INDEX(Reference!$A$6:$A$11,MIN(5,MATCH(MAX(Reference!$A$6,MIN(Reference!$A$11,MIN($U95,240))),Reference!$A$6:$A$11,1))+1)-INDEX(Reference!$A$6:$A$11,MIN(5,MATCH(MAX(Reference!$A$6,MIN(Reference!$A$11,MIN($U95,240))),Reference!$A$6:$A$11,1))))),0)+IF(7&lt;=$AL95,($AL95-7+3)*(INDEX(Reference!$B$6:$B$11,MIN(5,MATCH(MAX(Reference!$A$6,MIN(Reference!$A$11,MIN($U95,270))),Reference!$A$6:$A$11,1)))+(MAX(Reference!$A$6,MIN(Reference!$A$11,MIN($U95,270)))-INDEX(Reference!$A$6:$A$11,MIN(5,MATCH(MAX(Reference!$A$6,MIN(Reference!$A$11,MIN($U95,270))),Reference!$A$6:$A$11,1))))*(INDEX(Reference!$B$6:$B$11,MIN(5,MATCH(MAX(Reference!$A$6,MIN(Reference!$A$11,MIN($U95,270))),Reference!$A$6:$A$11,1))+1)-INDEX(Reference!$B$6:$B$11,MIN(5,MATCH(MAX(Reference!$A$6,MIN(Reference!$A$11,MIN($U95,270))),Reference!$A$6:$A$11,1))))/(INDEX(Reference!$A$6:$A$11,MIN(5,MATCH(MAX(Reference!$A$6,MIN(Reference!$A$11,MIN($U95,270))),Reference!$A$6:$A$11,1))+1)-INDEX(Reference!$A$6:$A$11,MIN(5,MATCH(MAX(Reference!$A$6,MIN(Reference!$A$11,MIN($U95,270))),Reference!$A$6:$A$11,1))))),0)+IF(8&lt;=$AL95,($AL95-8+3)*(INDEX(Reference!$B$6:$B$11,MIN(5,MATCH(MAX(Reference!$A$6,MIN(Reference!$A$11,MIN($U95,300))),Reference!$A$6:$A$11,1)))+(MAX(Reference!$A$6,MIN(Reference!$A$11,MIN($U95,300)))-INDEX(Reference!$A$6:$A$11,MIN(5,MATCH(MAX(Reference!$A$6,MIN(Reference!$A$11,MIN($U95,300))),Reference!$A$6:$A$11,1))))*(INDEX(Reference!$B$6:$B$11,MIN(5,MATCH(MAX(Reference!$A$6,MIN(Reference!$A$11,MIN($U95,300))),Reference!$A$6:$A$11,1))+1)-INDEX(Reference!$B$6:$B$11,MIN(5,MATCH(MAX(Reference!$A$6,MIN(Reference!$A$11,MIN($U95,300))),Reference!$A$6:$A$11,1))))/(INDEX(Reference!$A$6:$A$11,MIN(5,MATCH(MAX(Reference!$A$6,MIN(Reference!$A$11,MIN($U95,300))),Reference!$A$6:$A$11,1))+1)-INDEX(Reference!$A$6:$A$11,MIN(5,MATCH(MAX(Reference!$A$6,MIN(Reference!$A$11,MIN($U95,300))),Reference!$A$6:$A$11,1))))),0))/($AL95*($AL95+5)/2)),$AN95))</f>
        <v>1.3</v>
      </c>
      <c r="AN95" s="32">
        <f>IF($U95="",0,(INDEX(Reference!$B$6:$B$11,MIN(5,MATCH(MAX(Reference!$A$6,MIN(Reference!$A$11,$U95)),Reference!$A$6:$A$11,1)))+(MAX(Reference!$A$6,MIN(Reference!$A$11,$U95))-INDEX(Reference!$A$6:$A$11,MIN(5,MATCH(MAX(Reference!$A$6,MIN(Reference!$A$11,$U95)),Reference!$A$6:$A$11,1))))*(INDEX(Reference!$B$6:$B$11,MIN(5,MATCH(MAX(Reference!$A$6,MIN(Reference!$A$11,$U95)),Reference!$A$6:$A$11,1))+1)-INDEX(Reference!$B$6:$B$11,MIN(5,MATCH(MAX(Reference!$A$6,MIN(Reference!$A$11,$U95)),Reference!$A$6:$A$11,1))))/(INDEX(Reference!$A$6:$A$11,MIN(5,MATCH(MAX(Reference!$A$6,MIN(Reference!$A$11,$U95)),Reference!$A$6:$A$11,1))+1)-INDEX(Reference!$A$6:$A$11,MIN(5,MATCH(MAX(Reference!$A$6,MIN(Reference!$A$11,$U95)),Reference!$A$6:$A$11,1))))))</f>
        <v>1.3</v>
      </c>
      <c r="AO95" s="37"/>
      <c r="AP95" s="37"/>
      <c r="AQ95" s="37"/>
    </row>
    <row r="96" spans="1:43" x14ac:dyDescent="0.3">
      <c r="A96" s="48">
        <f t="shared" si="30"/>
        <v>46360</v>
      </c>
      <c r="B96" s="32" t="str">
        <f t="shared" si="31"/>
        <v>Fri</v>
      </c>
      <c r="C96" s="32">
        <f t="shared" si="32"/>
        <v>31</v>
      </c>
      <c r="D96" s="32" t="str">
        <f t="shared" si="33"/>
        <v>Flat Ground / Intent</v>
      </c>
      <c r="E96" s="32" t="str">
        <f t="shared" si="34"/>
        <v>Low</v>
      </c>
      <c r="F96" s="32" t="str">
        <f t="shared" si="35"/>
        <v>Recovery/Easy Catch</v>
      </c>
      <c r="G96" s="47" t="str">
        <f t="shared" si="36"/>
        <v>75 ft × 21 @ 67–71 mph</v>
      </c>
      <c r="H96" s="30">
        <f t="shared" si="37"/>
        <v>14.489999999999998</v>
      </c>
      <c r="I96" s="46">
        <f>IF($A96="","",IF(AND($L96&lt;27,$K$12=0),"Building",IFERROR(((SUM($H$90:$H96)+$K$12*IF($L96&lt;6,SUMIFS('Throw Log'!$Q$5:$Q$300,'Throw Log'!$B$5:$B$300,$D$4,'Throw Log'!$A$5:$A$300,"&gt;="&amp;($D$6+$L96-6),'Throw Log'!$A$5:$A$300,"&lt;="&amp;($D$6-1)),0))/7)/((SUM($H$69:$H96)+$K$12*IF($L96&lt;27,SUMIFS('Throw Log'!$Q$5:$Q$300,'Throw Log'!$B$5:$B$300,$D$4,'Throw Log'!$A$5:$A$300,"&gt;="&amp;($D$6+$L96-27),'Throw Log'!$A$5:$A$300,"&lt;="&amp;($D$6-1)),0))/28),"")))</f>
        <v>1.1740999980290676</v>
      </c>
      <c r="J96" s="37"/>
      <c r="K96" s="37"/>
      <c r="L96" s="32">
        <v>53</v>
      </c>
      <c r="M96" s="32">
        <f t="shared" si="38"/>
        <v>8</v>
      </c>
      <c r="N96" s="32">
        <f t="shared" si="39"/>
        <v>4</v>
      </c>
      <c r="O96" s="32">
        <f t="shared" si="40"/>
        <v>0.69736842105263153</v>
      </c>
      <c r="P96" s="32">
        <f>IF(OR($A96="",N($C96)&lt;=7),"",$G$6*$G$9^($M96-1)*IF(AND(MOD($M96,Reference!$B$99)=0,$M96&lt;=$G$5-2),Reference!$B$100,1))</f>
        <v>155.17696923220939</v>
      </c>
      <c r="Q96" s="32">
        <f>IF($P96="","",IF(SUM($AK$92:$AK$98)=0,0,$P96*INDEX(Reference!$B$108:$B$114,$N96+1)/SUM($AK$92:$AK$98)))</f>
        <v>14.50252048899153</v>
      </c>
      <c r="R96" s="32">
        <f t="shared" si="41"/>
        <v>165</v>
      </c>
      <c r="S96" s="32">
        <f t="shared" si="42"/>
        <v>150</v>
      </c>
      <c r="T96" s="32" t="str">
        <f>IF($A96="","",IF($C96=0,"Bullpen",IF(OR($C96=7,$C96=1,$C96=5),"Recovery/Easy Catch",IF($C96=6,"Compression/Pulldowns",IF(OR($C96=4,$C96=2),"Long Toss",IF($C96=3,"No Throw",IF($N96=2,"No Throw",IF($N96=6,IF($O96&lt;Reference!$B$104,"No Throw","Recovery/Easy Catch"),IF(OR($N96=0,$N96=4),"Recovery/Easy Catch",IF($N96=1,IF($R96&gt;75,"Long Toss","Recovery/Easy Catch"),IF($N96=3,IF($O96&lt;0.5,IF($S96&gt;75,"Long Toss","Recovery/Easy Catch"),"Compression/Pulldowns"),IF($S96&gt;75,"Long Toss","Recovery/Easy Catch"))))))))))))</f>
        <v>Recovery/Easy Catch</v>
      </c>
      <c r="U96" s="32">
        <f t="shared" si="43"/>
        <v>75</v>
      </c>
      <c r="V96" s="32">
        <f t="shared" si="44"/>
        <v>18</v>
      </c>
      <c r="W96" s="32">
        <f t="shared" si="45"/>
        <v>22</v>
      </c>
      <c r="X96" s="32">
        <f t="shared" si="46"/>
        <v>0</v>
      </c>
      <c r="Y96" s="32" t="str">
        <f t="shared" si="47"/>
        <v/>
      </c>
      <c r="Z96" s="32" t="str">
        <f t="shared" si="48"/>
        <v/>
      </c>
      <c r="AA96" s="32" t="str">
        <f t="shared" si="49"/>
        <v/>
      </c>
      <c r="AB96" s="32">
        <f>IF($A96="","",IF($T96="No Throw",0,IF($K96&lt;&gt;"",$K96,IF($AA96&lt;&gt;"",ROUND($AA96*$D$12*IF($C96=0,1,$G$10),0),MIN(IF($T96="Recovery/Easy Catch",Reference!$B$103,IF($T96="Long Toss",Reference!$B$106,Reference!$B$102)),MAX(Reference!$B$101,ROUND(MAX(0,$Q96-$AE96)/$AF96,0)))))))</f>
        <v>21</v>
      </c>
      <c r="AC96" s="32">
        <f t="shared" si="50"/>
        <v>0</v>
      </c>
      <c r="AD96" s="32" t="b">
        <f t="shared" si="51"/>
        <v>0</v>
      </c>
      <c r="AE96" s="32">
        <f>IF($X96=0,0,$X96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96+$Z96)/2,0),Reference!$A$17:$B$20,2,TRUE()))</f>
        <v>0</v>
      </c>
      <c r="AF96" s="32">
        <f>IF(OR($A96="",$U96="",$T96="No Throw"),0,$AM96*VLOOKUP(MAX(($V96+$W96)/2,0),Reference!$A$17:$B$20,2,TRUE()))</f>
        <v>0.69</v>
      </c>
      <c r="AG96" s="32">
        <f>IF($AC96=0,0,$AC96*INDEX(Reference!$B$61:$B$62,MATCH("Bullpen",Reference!$A$61:$A$62,0))*VLOOKUP(MAX($D$5-($D$9+$E$9)/2,0),Reference!$A$17:$B$20,2,TRUE()))</f>
        <v>0</v>
      </c>
      <c r="AH96" s="46">
        <f t="shared" si="52"/>
        <v>1.1740999980290676</v>
      </c>
      <c r="AI96" s="32">
        <f>IF($A96="",NA(),Reference!$A$25)</f>
        <v>0.8</v>
      </c>
      <c r="AJ96" s="32">
        <f t="shared" si="53"/>
        <v>1.3</v>
      </c>
      <c r="AK96" s="56">
        <f>IF(OR($A96="",N($C96)&lt;=7,$T96="No Throw",$J96="x"),0,INDEX(Reference!$B$108:$B$114,$N96+1))</f>
        <v>0.1</v>
      </c>
      <c r="AL96" s="32">
        <f t="shared" si="54"/>
        <v>1</v>
      </c>
      <c r="AM96" s="32">
        <f>IF($U96="",0,IF($AL96&gt;1,((IF(1&lt;=$AL96,($AL96-1+3)*(INDEX(Reference!$B$6:$B$11,MIN(5,MATCH(MAX(Reference!$A$6,MIN(Reference!$A$11,MIN($U96,90))),Reference!$A$6:$A$11,1)))+(MAX(Reference!$A$6,MIN(Reference!$A$11,MIN($U96,90)))-INDEX(Reference!$A$6:$A$11,MIN(5,MATCH(MAX(Reference!$A$6,MIN(Reference!$A$11,MIN($U96,90))),Reference!$A$6:$A$11,1))))*(INDEX(Reference!$B$6:$B$11,MIN(5,MATCH(MAX(Reference!$A$6,MIN(Reference!$A$11,MIN($U96,90))),Reference!$A$6:$A$11,1))+1)-INDEX(Reference!$B$6:$B$11,MIN(5,MATCH(MAX(Reference!$A$6,MIN(Reference!$A$11,MIN($U96,90))),Reference!$A$6:$A$11,1))))/(INDEX(Reference!$A$6:$A$11,MIN(5,MATCH(MAX(Reference!$A$6,MIN(Reference!$A$11,MIN($U96,90))),Reference!$A$6:$A$11,1))+1)-INDEX(Reference!$A$6:$A$11,MIN(5,MATCH(MAX(Reference!$A$6,MIN(Reference!$A$11,MIN($U96,90))),Reference!$A$6:$A$11,1))))),0)+IF(2&lt;=$AL96,($AL96-2+3)*(INDEX(Reference!$B$6:$B$11,MIN(5,MATCH(MAX(Reference!$A$6,MIN(Reference!$A$11,MIN($U96,120))),Reference!$A$6:$A$11,1)))+(MAX(Reference!$A$6,MIN(Reference!$A$11,MIN($U96,120)))-INDEX(Reference!$A$6:$A$11,MIN(5,MATCH(MAX(Reference!$A$6,MIN(Reference!$A$11,MIN($U96,120))),Reference!$A$6:$A$11,1))))*(INDEX(Reference!$B$6:$B$11,MIN(5,MATCH(MAX(Reference!$A$6,MIN(Reference!$A$11,MIN($U96,120))),Reference!$A$6:$A$11,1))+1)-INDEX(Reference!$B$6:$B$11,MIN(5,MATCH(MAX(Reference!$A$6,MIN(Reference!$A$11,MIN($U96,120))),Reference!$A$6:$A$11,1))))/(INDEX(Reference!$A$6:$A$11,MIN(5,MATCH(MAX(Reference!$A$6,MIN(Reference!$A$11,MIN($U96,120))),Reference!$A$6:$A$11,1))+1)-INDEX(Reference!$A$6:$A$11,MIN(5,MATCH(MAX(Reference!$A$6,MIN(Reference!$A$11,MIN($U96,120))),Reference!$A$6:$A$11,1))))),0)+IF(3&lt;=$AL96,($AL96-3+3)*(INDEX(Reference!$B$6:$B$11,MIN(5,MATCH(MAX(Reference!$A$6,MIN(Reference!$A$11,MIN($U96,150))),Reference!$A$6:$A$11,1)))+(MAX(Reference!$A$6,MIN(Reference!$A$11,MIN($U96,150)))-INDEX(Reference!$A$6:$A$11,MIN(5,MATCH(MAX(Reference!$A$6,MIN(Reference!$A$11,MIN($U96,150))),Reference!$A$6:$A$11,1))))*(INDEX(Reference!$B$6:$B$11,MIN(5,MATCH(MAX(Reference!$A$6,MIN(Reference!$A$11,MIN($U96,150))),Reference!$A$6:$A$11,1))+1)-INDEX(Reference!$B$6:$B$11,MIN(5,MATCH(MAX(Reference!$A$6,MIN(Reference!$A$11,MIN($U96,150))),Reference!$A$6:$A$11,1))))/(INDEX(Reference!$A$6:$A$11,MIN(5,MATCH(MAX(Reference!$A$6,MIN(Reference!$A$11,MIN($U96,150))),Reference!$A$6:$A$11,1))+1)-INDEX(Reference!$A$6:$A$11,MIN(5,MATCH(MAX(Reference!$A$6,MIN(Reference!$A$11,MIN($U96,150))),Reference!$A$6:$A$11,1))))),0)+IF(4&lt;=$AL96,($AL96-4+3)*(INDEX(Reference!$B$6:$B$11,MIN(5,MATCH(MAX(Reference!$A$6,MIN(Reference!$A$11,MIN($U96,180))),Reference!$A$6:$A$11,1)))+(MAX(Reference!$A$6,MIN(Reference!$A$11,MIN($U96,180)))-INDEX(Reference!$A$6:$A$11,MIN(5,MATCH(MAX(Reference!$A$6,MIN(Reference!$A$11,MIN($U96,180))),Reference!$A$6:$A$11,1))))*(INDEX(Reference!$B$6:$B$11,MIN(5,MATCH(MAX(Reference!$A$6,MIN(Reference!$A$11,MIN($U96,180))),Reference!$A$6:$A$11,1))+1)-INDEX(Reference!$B$6:$B$11,MIN(5,MATCH(MAX(Reference!$A$6,MIN(Reference!$A$11,MIN($U96,180))),Reference!$A$6:$A$11,1))))/(INDEX(Reference!$A$6:$A$11,MIN(5,MATCH(MAX(Reference!$A$6,MIN(Reference!$A$11,MIN($U96,180))),Reference!$A$6:$A$11,1))+1)-INDEX(Reference!$A$6:$A$11,MIN(5,MATCH(MAX(Reference!$A$6,MIN(Reference!$A$11,MIN($U96,180))),Reference!$A$6:$A$11,1))))),0)+IF(5&lt;=$AL96,($AL96-5+3)*(INDEX(Reference!$B$6:$B$11,MIN(5,MATCH(MAX(Reference!$A$6,MIN(Reference!$A$11,MIN($U96,210))),Reference!$A$6:$A$11,1)))+(MAX(Reference!$A$6,MIN(Reference!$A$11,MIN($U96,210)))-INDEX(Reference!$A$6:$A$11,MIN(5,MATCH(MAX(Reference!$A$6,MIN(Reference!$A$11,MIN($U96,210))),Reference!$A$6:$A$11,1))))*(INDEX(Reference!$B$6:$B$11,MIN(5,MATCH(MAX(Reference!$A$6,MIN(Reference!$A$11,MIN($U96,210))),Reference!$A$6:$A$11,1))+1)-INDEX(Reference!$B$6:$B$11,MIN(5,MATCH(MAX(Reference!$A$6,MIN(Reference!$A$11,MIN($U96,210))),Reference!$A$6:$A$11,1))))/(INDEX(Reference!$A$6:$A$11,MIN(5,MATCH(MAX(Reference!$A$6,MIN(Reference!$A$11,MIN($U96,210))),Reference!$A$6:$A$11,1))+1)-INDEX(Reference!$A$6:$A$11,MIN(5,MATCH(MAX(Reference!$A$6,MIN(Reference!$A$11,MIN($U96,210))),Reference!$A$6:$A$11,1))))),0)+IF(6&lt;=$AL96,($AL96-6+3)*(INDEX(Reference!$B$6:$B$11,MIN(5,MATCH(MAX(Reference!$A$6,MIN(Reference!$A$11,MIN($U96,240))),Reference!$A$6:$A$11,1)))+(MAX(Reference!$A$6,MIN(Reference!$A$11,MIN($U96,240)))-INDEX(Reference!$A$6:$A$11,MIN(5,MATCH(MAX(Reference!$A$6,MIN(Reference!$A$11,MIN($U96,240))),Reference!$A$6:$A$11,1))))*(INDEX(Reference!$B$6:$B$11,MIN(5,MATCH(MAX(Reference!$A$6,MIN(Reference!$A$11,MIN($U96,240))),Reference!$A$6:$A$11,1))+1)-INDEX(Reference!$B$6:$B$11,MIN(5,MATCH(MAX(Reference!$A$6,MIN(Reference!$A$11,MIN($U96,240))),Reference!$A$6:$A$11,1))))/(INDEX(Reference!$A$6:$A$11,MIN(5,MATCH(MAX(Reference!$A$6,MIN(Reference!$A$11,MIN($U96,240))),Reference!$A$6:$A$11,1))+1)-INDEX(Reference!$A$6:$A$11,MIN(5,MATCH(MAX(Reference!$A$6,MIN(Reference!$A$11,MIN($U96,240))),Reference!$A$6:$A$11,1))))),0)+IF(7&lt;=$AL96,($AL96-7+3)*(INDEX(Reference!$B$6:$B$11,MIN(5,MATCH(MAX(Reference!$A$6,MIN(Reference!$A$11,MIN($U96,270))),Reference!$A$6:$A$11,1)))+(MAX(Reference!$A$6,MIN(Reference!$A$11,MIN($U96,270)))-INDEX(Reference!$A$6:$A$11,MIN(5,MATCH(MAX(Reference!$A$6,MIN(Reference!$A$11,MIN($U96,270))),Reference!$A$6:$A$11,1))))*(INDEX(Reference!$B$6:$B$11,MIN(5,MATCH(MAX(Reference!$A$6,MIN(Reference!$A$11,MIN($U96,270))),Reference!$A$6:$A$11,1))+1)-INDEX(Reference!$B$6:$B$11,MIN(5,MATCH(MAX(Reference!$A$6,MIN(Reference!$A$11,MIN($U96,270))),Reference!$A$6:$A$11,1))))/(INDEX(Reference!$A$6:$A$11,MIN(5,MATCH(MAX(Reference!$A$6,MIN(Reference!$A$11,MIN($U96,270))),Reference!$A$6:$A$11,1))+1)-INDEX(Reference!$A$6:$A$11,MIN(5,MATCH(MAX(Reference!$A$6,MIN(Reference!$A$11,MIN($U96,270))),Reference!$A$6:$A$11,1))))),0)+IF(8&lt;=$AL96,($AL96-8+3)*(INDEX(Reference!$B$6:$B$11,MIN(5,MATCH(MAX(Reference!$A$6,MIN(Reference!$A$11,MIN($U96,300))),Reference!$A$6:$A$11,1)))+(MAX(Reference!$A$6,MIN(Reference!$A$11,MIN($U96,300)))-INDEX(Reference!$A$6:$A$11,MIN(5,MATCH(MAX(Reference!$A$6,MIN(Reference!$A$11,MIN($U96,300))),Reference!$A$6:$A$11,1))))*(INDEX(Reference!$B$6:$B$11,MIN(5,MATCH(MAX(Reference!$A$6,MIN(Reference!$A$11,MIN($U96,300))),Reference!$A$6:$A$11,1))+1)-INDEX(Reference!$B$6:$B$11,MIN(5,MATCH(MAX(Reference!$A$6,MIN(Reference!$A$11,MIN($U96,300))),Reference!$A$6:$A$11,1))))/(INDEX(Reference!$A$6:$A$11,MIN(5,MATCH(MAX(Reference!$A$6,MIN(Reference!$A$11,MIN($U96,300))),Reference!$A$6:$A$11,1))+1)-INDEX(Reference!$A$6:$A$11,MIN(5,MATCH(MAX(Reference!$A$6,MIN(Reference!$A$11,MIN($U96,300))),Reference!$A$6:$A$11,1))))),0))/($AL96*($AL96+5)/2)),$AN96))</f>
        <v>1.1499999999999999</v>
      </c>
      <c r="AN96" s="32">
        <f>IF($U96="",0,(INDEX(Reference!$B$6:$B$11,MIN(5,MATCH(MAX(Reference!$A$6,MIN(Reference!$A$11,$U96)),Reference!$A$6:$A$11,1)))+(MAX(Reference!$A$6,MIN(Reference!$A$11,$U96))-INDEX(Reference!$A$6:$A$11,MIN(5,MATCH(MAX(Reference!$A$6,MIN(Reference!$A$11,$U96)),Reference!$A$6:$A$11,1))))*(INDEX(Reference!$B$6:$B$11,MIN(5,MATCH(MAX(Reference!$A$6,MIN(Reference!$A$11,$U96)),Reference!$A$6:$A$11,1))+1)-INDEX(Reference!$B$6:$B$11,MIN(5,MATCH(MAX(Reference!$A$6,MIN(Reference!$A$11,$U96)),Reference!$A$6:$A$11,1))))/(INDEX(Reference!$A$6:$A$11,MIN(5,MATCH(MAX(Reference!$A$6,MIN(Reference!$A$11,$U96)),Reference!$A$6:$A$11,1))+1)-INDEX(Reference!$A$6:$A$11,MIN(5,MATCH(MAX(Reference!$A$6,MIN(Reference!$A$11,$U96)),Reference!$A$6:$A$11,1))))))</f>
        <v>1.1499999999999999</v>
      </c>
      <c r="AO96" s="37"/>
      <c r="AP96" s="37"/>
      <c r="AQ96" s="37"/>
    </row>
    <row r="97" spans="1:43" ht="26.4" x14ac:dyDescent="0.3">
      <c r="A97" s="48">
        <f t="shared" si="30"/>
        <v>46361</v>
      </c>
      <c r="B97" s="32" t="str">
        <f t="shared" si="31"/>
        <v>Sat</v>
      </c>
      <c r="C97" s="32">
        <f t="shared" si="32"/>
        <v>30</v>
      </c>
      <c r="D97" s="32" t="str">
        <f t="shared" si="33"/>
        <v>Flat Ground / Intent</v>
      </c>
      <c r="E97" s="32" t="str">
        <f t="shared" si="34"/>
        <v>High Non-Bullpen</v>
      </c>
      <c r="F97" s="32" t="str">
        <f t="shared" si="35"/>
        <v>Long Toss</v>
      </c>
      <c r="G97" s="47" t="str">
        <f t="shared" si="36"/>
        <v>Long toss out to 150 ft — 20 throws (90×8 · 120×7 · 150×5) @ 76–79 mph + flat ground at 60 ft × 20 @ 80–82 mph</v>
      </c>
      <c r="H97" s="30">
        <f t="shared" si="37"/>
        <v>39.9</v>
      </c>
      <c r="I97" s="46">
        <f>IF($A97="","",IF(AND($L97&lt;27,$K$12=0),"Building",IFERROR(((SUM($H$91:$H97)+$K$12*IF($L97&lt;6,SUMIFS('Throw Log'!$Q$5:$Q$300,'Throw Log'!$B$5:$B$300,$D$4,'Throw Log'!$A$5:$A$300,"&gt;="&amp;($D$6+$L97-6),'Throw Log'!$A$5:$A$300,"&lt;="&amp;($D$6-1)),0))/7)/((SUM($H$70:$H97)+$K$12*IF($L97&lt;27,SUMIFS('Throw Log'!$Q$5:$Q$300,'Throw Log'!$B$5:$B$300,$D$4,'Throw Log'!$A$5:$A$300,"&gt;="&amp;($D$6+$L97-27),'Throw Log'!$A$5:$A$300,"&lt;="&amp;($D$6-1)),0))/28),"")))</f>
        <v>1.2019672214713897</v>
      </c>
      <c r="J97" s="37"/>
      <c r="K97" s="37"/>
      <c r="L97" s="32">
        <v>54</v>
      </c>
      <c r="M97" s="32">
        <f t="shared" si="38"/>
        <v>8</v>
      </c>
      <c r="N97" s="32">
        <f t="shared" si="39"/>
        <v>5</v>
      </c>
      <c r="O97" s="32">
        <f t="shared" si="40"/>
        <v>0.71052631578947367</v>
      </c>
      <c r="P97" s="32">
        <f>IF(OR($A97="",N($C97)&lt;=7),"",$G$6*$G$9^($M97-1)*IF(AND(MOD($M97,Reference!$B$99)=0,$M97&lt;=$G$5-2),Reference!$B$100,1))</f>
        <v>155.17696923220939</v>
      </c>
      <c r="Q97" s="32">
        <f>IF($P97="","",IF(SUM($AK$92:$AK$98)=0,0,$P97*INDEX(Reference!$B$108:$B$114,$N97+1)/SUM($AK$92:$AK$98)))</f>
        <v>39.156805320277137</v>
      </c>
      <c r="R97" s="32">
        <f t="shared" si="41"/>
        <v>180</v>
      </c>
      <c r="S97" s="32">
        <f t="shared" si="42"/>
        <v>150</v>
      </c>
      <c r="T97" s="32" t="str">
        <f>IF($A97="","",IF($C97=0,"Bullpen",IF(OR($C97=7,$C97=1,$C97=5),"Recovery/Easy Catch",IF($C97=6,"Compression/Pulldowns",IF(OR($C97=4,$C97=2),"Long Toss",IF($C97=3,"No Throw",IF($N97=2,"No Throw",IF($N97=6,IF($O97&lt;Reference!$B$104,"No Throw","Recovery/Easy Catch"),IF(OR($N97=0,$N97=4),"Recovery/Easy Catch",IF($N97=1,IF($R97&gt;75,"Long Toss","Recovery/Easy Catch"),IF($N97=3,IF($O97&lt;0.5,IF($S97&gt;75,"Long Toss","Recovery/Easy Catch"),"Compression/Pulldowns"),IF($S97&gt;75,"Long Toss","Recovery/Easy Catch"))))))))))))</f>
        <v>Long Toss</v>
      </c>
      <c r="U97" s="32">
        <f t="shared" si="43"/>
        <v>150</v>
      </c>
      <c r="V97" s="32">
        <f t="shared" si="44"/>
        <v>10</v>
      </c>
      <c r="W97" s="32">
        <f t="shared" si="45"/>
        <v>13</v>
      </c>
      <c r="X97" s="32">
        <f t="shared" si="46"/>
        <v>20</v>
      </c>
      <c r="Y97" s="32">
        <f t="shared" si="47"/>
        <v>7</v>
      </c>
      <c r="Z97" s="32">
        <f t="shared" si="48"/>
        <v>9</v>
      </c>
      <c r="AA97" s="32" t="str">
        <f t="shared" si="49"/>
        <v/>
      </c>
      <c r="AB97" s="32">
        <f>IF($A97="","",IF($T97="No Throw",0,IF($K97&lt;&gt;"",$K97,IF($AA97&lt;&gt;"",ROUND($AA97*$D$12*IF($C97=0,1,$G$10),0),MIN(IF($T97="Recovery/Easy Catch",Reference!$B$103,IF($T97="Long Toss",Reference!$B$106,Reference!$B$102)),MAX(Reference!$B$101,ROUND(MAX(0,$Q97-$AE97)/$AF97,0)))))))</f>
        <v>20</v>
      </c>
      <c r="AC97" s="32">
        <f t="shared" si="50"/>
        <v>0</v>
      </c>
      <c r="AD97" s="32" t="b">
        <f t="shared" si="51"/>
        <v>0</v>
      </c>
      <c r="AE97" s="32">
        <f>IF($X97=0,0,$X97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97+$Z97)/2,0),Reference!$A$17:$B$20,2,TRUE()))</f>
        <v>20</v>
      </c>
      <c r="AF97" s="32">
        <f>IF(OR($A97="",$U97="",$T97="No Throw"),0,$AM97*VLOOKUP(MAX(($V97+$W97)/2,0),Reference!$A$17:$B$20,2,TRUE()))</f>
        <v>0.995</v>
      </c>
      <c r="AG97" s="32">
        <f>IF($AC97=0,0,$AC97*INDEX(Reference!$B$61:$B$62,MATCH("Bullpen",Reference!$A$61:$A$62,0))*VLOOKUP(MAX($D$5-($D$9+$E$9)/2,0),Reference!$A$17:$B$20,2,TRUE()))</f>
        <v>0</v>
      </c>
      <c r="AH97" s="46">
        <f t="shared" si="52"/>
        <v>1.2019672214713897</v>
      </c>
      <c r="AI97" s="32">
        <f>IF($A97="",NA(),Reference!$A$25)</f>
        <v>0.8</v>
      </c>
      <c r="AJ97" s="32">
        <f t="shared" si="53"/>
        <v>1.3</v>
      </c>
      <c r="AK97" s="56">
        <f>IF(OR($A97="",N($C97)&lt;=7,$T97="No Throw",$J97="x"),0,INDEX(Reference!$B$108:$B$114,$N97+1))</f>
        <v>0.27</v>
      </c>
      <c r="AL97" s="32">
        <f t="shared" si="54"/>
        <v>3</v>
      </c>
      <c r="AM97" s="32">
        <f>IF($U97="",0,IF($AL97&gt;1,((IF(1&lt;=$AL97,($AL97-1+3)*(INDEX(Reference!$B$6:$B$11,MIN(5,MATCH(MAX(Reference!$A$6,MIN(Reference!$A$11,MIN($U97,90))),Reference!$A$6:$A$11,1)))+(MAX(Reference!$A$6,MIN(Reference!$A$11,MIN($U97,90)))-INDEX(Reference!$A$6:$A$11,MIN(5,MATCH(MAX(Reference!$A$6,MIN(Reference!$A$11,MIN($U97,90))),Reference!$A$6:$A$11,1))))*(INDEX(Reference!$B$6:$B$11,MIN(5,MATCH(MAX(Reference!$A$6,MIN(Reference!$A$11,MIN($U97,90))),Reference!$A$6:$A$11,1))+1)-INDEX(Reference!$B$6:$B$11,MIN(5,MATCH(MAX(Reference!$A$6,MIN(Reference!$A$11,MIN($U97,90))),Reference!$A$6:$A$11,1))))/(INDEX(Reference!$A$6:$A$11,MIN(5,MATCH(MAX(Reference!$A$6,MIN(Reference!$A$11,MIN($U97,90))),Reference!$A$6:$A$11,1))+1)-INDEX(Reference!$A$6:$A$11,MIN(5,MATCH(MAX(Reference!$A$6,MIN(Reference!$A$11,MIN($U97,90))),Reference!$A$6:$A$11,1))))),0)+IF(2&lt;=$AL97,($AL97-2+3)*(INDEX(Reference!$B$6:$B$11,MIN(5,MATCH(MAX(Reference!$A$6,MIN(Reference!$A$11,MIN($U97,120))),Reference!$A$6:$A$11,1)))+(MAX(Reference!$A$6,MIN(Reference!$A$11,MIN($U97,120)))-INDEX(Reference!$A$6:$A$11,MIN(5,MATCH(MAX(Reference!$A$6,MIN(Reference!$A$11,MIN($U97,120))),Reference!$A$6:$A$11,1))))*(INDEX(Reference!$B$6:$B$11,MIN(5,MATCH(MAX(Reference!$A$6,MIN(Reference!$A$11,MIN($U97,120))),Reference!$A$6:$A$11,1))+1)-INDEX(Reference!$B$6:$B$11,MIN(5,MATCH(MAX(Reference!$A$6,MIN(Reference!$A$11,MIN($U97,120))),Reference!$A$6:$A$11,1))))/(INDEX(Reference!$A$6:$A$11,MIN(5,MATCH(MAX(Reference!$A$6,MIN(Reference!$A$11,MIN($U97,120))),Reference!$A$6:$A$11,1))+1)-INDEX(Reference!$A$6:$A$11,MIN(5,MATCH(MAX(Reference!$A$6,MIN(Reference!$A$11,MIN($U97,120))),Reference!$A$6:$A$11,1))))),0)+IF(3&lt;=$AL97,($AL97-3+3)*(INDEX(Reference!$B$6:$B$11,MIN(5,MATCH(MAX(Reference!$A$6,MIN(Reference!$A$11,MIN($U97,150))),Reference!$A$6:$A$11,1)))+(MAX(Reference!$A$6,MIN(Reference!$A$11,MIN($U97,150)))-INDEX(Reference!$A$6:$A$11,MIN(5,MATCH(MAX(Reference!$A$6,MIN(Reference!$A$11,MIN($U97,150))),Reference!$A$6:$A$11,1))))*(INDEX(Reference!$B$6:$B$11,MIN(5,MATCH(MAX(Reference!$A$6,MIN(Reference!$A$11,MIN($U97,150))),Reference!$A$6:$A$11,1))+1)-INDEX(Reference!$B$6:$B$11,MIN(5,MATCH(MAX(Reference!$A$6,MIN(Reference!$A$11,MIN($U97,150))),Reference!$A$6:$A$11,1))))/(INDEX(Reference!$A$6:$A$11,MIN(5,MATCH(MAX(Reference!$A$6,MIN(Reference!$A$11,MIN($U97,150))),Reference!$A$6:$A$11,1))+1)-INDEX(Reference!$A$6:$A$11,MIN(5,MATCH(MAX(Reference!$A$6,MIN(Reference!$A$11,MIN($U97,150))),Reference!$A$6:$A$11,1))))),0)+IF(4&lt;=$AL97,($AL97-4+3)*(INDEX(Reference!$B$6:$B$11,MIN(5,MATCH(MAX(Reference!$A$6,MIN(Reference!$A$11,MIN($U97,180))),Reference!$A$6:$A$11,1)))+(MAX(Reference!$A$6,MIN(Reference!$A$11,MIN($U97,180)))-INDEX(Reference!$A$6:$A$11,MIN(5,MATCH(MAX(Reference!$A$6,MIN(Reference!$A$11,MIN($U97,180))),Reference!$A$6:$A$11,1))))*(INDEX(Reference!$B$6:$B$11,MIN(5,MATCH(MAX(Reference!$A$6,MIN(Reference!$A$11,MIN($U97,180))),Reference!$A$6:$A$11,1))+1)-INDEX(Reference!$B$6:$B$11,MIN(5,MATCH(MAX(Reference!$A$6,MIN(Reference!$A$11,MIN($U97,180))),Reference!$A$6:$A$11,1))))/(INDEX(Reference!$A$6:$A$11,MIN(5,MATCH(MAX(Reference!$A$6,MIN(Reference!$A$11,MIN($U97,180))),Reference!$A$6:$A$11,1))+1)-INDEX(Reference!$A$6:$A$11,MIN(5,MATCH(MAX(Reference!$A$6,MIN(Reference!$A$11,MIN($U97,180))),Reference!$A$6:$A$11,1))))),0)+IF(5&lt;=$AL97,($AL97-5+3)*(INDEX(Reference!$B$6:$B$11,MIN(5,MATCH(MAX(Reference!$A$6,MIN(Reference!$A$11,MIN($U97,210))),Reference!$A$6:$A$11,1)))+(MAX(Reference!$A$6,MIN(Reference!$A$11,MIN($U97,210)))-INDEX(Reference!$A$6:$A$11,MIN(5,MATCH(MAX(Reference!$A$6,MIN(Reference!$A$11,MIN($U97,210))),Reference!$A$6:$A$11,1))))*(INDEX(Reference!$B$6:$B$11,MIN(5,MATCH(MAX(Reference!$A$6,MIN(Reference!$A$11,MIN($U97,210))),Reference!$A$6:$A$11,1))+1)-INDEX(Reference!$B$6:$B$11,MIN(5,MATCH(MAX(Reference!$A$6,MIN(Reference!$A$11,MIN($U97,210))),Reference!$A$6:$A$11,1))))/(INDEX(Reference!$A$6:$A$11,MIN(5,MATCH(MAX(Reference!$A$6,MIN(Reference!$A$11,MIN($U97,210))),Reference!$A$6:$A$11,1))+1)-INDEX(Reference!$A$6:$A$11,MIN(5,MATCH(MAX(Reference!$A$6,MIN(Reference!$A$11,MIN($U97,210))),Reference!$A$6:$A$11,1))))),0)+IF(6&lt;=$AL97,($AL97-6+3)*(INDEX(Reference!$B$6:$B$11,MIN(5,MATCH(MAX(Reference!$A$6,MIN(Reference!$A$11,MIN($U97,240))),Reference!$A$6:$A$11,1)))+(MAX(Reference!$A$6,MIN(Reference!$A$11,MIN($U97,240)))-INDEX(Reference!$A$6:$A$11,MIN(5,MATCH(MAX(Reference!$A$6,MIN(Reference!$A$11,MIN($U97,240))),Reference!$A$6:$A$11,1))))*(INDEX(Reference!$B$6:$B$11,MIN(5,MATCH(MAX(Reference!$A$6,MIN(Reference!$A$11,MIN($U97,240))),Reference!$A$6:$A$11,1))+1)-INDEX(Reference!$B$6:$B$11,MIN(5,MATCH(MAX(Reference!$A$6,MIN(Reference!$A$11,MIN($U97,240))),Reference!$A$6:$A$11,1))))/(INDEX(Reference!$A$6:$A$11,MIN(5,MATCH(MAX(Reference!$A$6,MIN(Reference!$A$11,MIN($U97,240))),Reference!$A$6:$A$11,1))+1)-INDEX(Reference!$A$6:$A$11,MIN(5,MATCH(MAX(Reference!$A$6,MIN(Reference!$A$11,MIN($U97,240))),Reference!$A$6:$A$11,1))))),0)+IF(7&lt;=$AL97,($AL97-7+3)*(INDEX(Reference!$B$6:$B$11,MIN(5,MATCH(MAX(Reference!$A$6,MIN(Reference!$A$11,MIN($U97,270))),Reference!$A$6:$A$11,1)))+(MAX(Reference!$A$6,MIN(Reference!$A$11,MIN($U97,270)))-INDEX(Reference!$A$6:$A$11,MIN(5,MATCH(MAX(Reference!$A$6,MIN(Reference!$A$11,MIN($U97,270))),Reference!$A$6:$A$11,1))))*(INDEX(Reference!$B$6:$B$11,MIN(5,MATCH(MAX(Reference!$A$6,MIN(Reference!$A$11,MIN($U97,270))),Reference!$A$6:$A$11,1))+1)-INDEX(Reference!$B$6:$B$11,MIN(5,MATCH(MAX(Reference!$A$6,MIN(Reference!$A$11,MIN($U97,270))),Reference!$A$6:$A$11,1))))/(INDEX(Reference!$A$6:$A$11,MIN(5,MATCH(MAX(Reference!$A$6,MIN(Reference!$A$11,MIN($U97,270))),Reference!$A$6:$A$11,1))+1)-INDEX(Reference!$A$6:$A$11,MIN(5,MATCH(MAX(Reference!$A$6,MIN(Reference!$A$11,MIN($U97,270))),Reference!$A$6:$A$11,1))))),0)+IF(8&lt;=$AL97,($AL97-8+3)*(INDEX(Reference!$B$6:$B$11,MIN(5,MATCH(MAX(Reference!$A$6,MIN(Reference!$A$11,MIN($U97,300))),Reference!$A$6:$A$11,1)))+(MAX(Reference!$A$6,MIN(Reference!$A$11,MIN($U97,300)))-INDEX(Reference!$A$6:$A$11,MIN(5,MATCH(MAX(Reference!$A$6,MIN(Reference!$A$11,MIN($U97,300))),Reference!$A$6:$A$11,1))))*(INDEX(Reference!$B$6:$B$11,MIN(5,MATCH(MAX(Reference!$A$6,MIN(Reference!$A$11,MIN($U97,300))),Reference!$A$6:$A$11,1))+1)-INDEX(Reference!$B$6:$B$11,MIN(5,MATCH(MAX(Reference!$A$6,MIN(Reference!$A$11,MIN($U97,300))),Reference!$A$6:$A$11,1))))/(INDEX(Reference!$A$6:$A$11,MIN(5,MATCH(MAX(Reference!$A$6,MIN(Reference!$A$11,MIN($U97,300))),Reference!$A$6:$A$11,1))+1)-INDEX(Reference!$A$6:$A$11,MIN(5,MATCH(MAX(Reference!$A$6,MIN(Reference!$A$11,MIN($U97,300))),Reference!$A$6:$A$11,1))))),0))/($AL97*($AL97+5)/2)),$AN97))</f>
        <v>1.6583333333333334</v>
      </c>
      <c r="AN97" s="32">
        <f>IF($U97="",0,(INDEX(Reference!$B$6:$B$11,MIN(5,MATCH(MAX(Reference!$A$6,MIN(Reference!$A$11,$U97)),Reference!$A$6:$A$11,1)))+(MAX(Reference!$A$6,MIN(Reference!$A$11,$U97))-INDEX(Reference!$A$6:$A$11,MIN(5,MATCH(MAX(Reference!$A$6,MIN(Reference!$A$11,$U97)),Reference!$A$6:$A$11,1))))*(INDEX(Reference!$B$6:$B$11,MIN(5,MATCH(MAX(Reference!$A$6,MIN(Reference!$A$11,$U97)),Reference!$A$6:$A$11,1))+1)-INDEX(Reference!$B$6:$B$11,MIN(5,MATCH(MAX(Reference!$A$6,MIN(Reference!$A$11,$U97)),Reference!$A$6:$A$11,1))))/(INDEX(Reference!$A$6:$A$11,MIN(5,MATCH(MAX(Reference!$A$6,MIN(Reference!$A$11,$U97)),Reference!$A$6:$A$11,1))+1)-INDEX(Reference!$A$6:$A$11,MIN(5,MATCH(MAX(Reference!$A$6,MIN(Reference!$A$11,$U97)),Reference!$A$6:$A$11,1))))))</f>
        <v>2.2000000000000002</v>
      </c>
      <c r="AO97" s="37"/>
      <c r="AP97" s="37"/>
      <c r="AQ97" s="37"/>
    </row>
    <row r="98" spans="1:43" x14ac:dyDescent="0.3">
      <c r="A98" s="48">
        <f t="shared" si="30"/>
        <v>46362</v>
      </c>
      <c r="B98" s="32" t="str">
        <f t="shared" si="31"/>
        <v>Sun</v>
      </c>
      <c r="C98" s="32">
        <f t="shared" si="32"/>
        <v>29</v>
      </c>
      <c r="D98" s="32" t="str">
        <f t="shared" si="33"/>
        <v>Flat Ground / Intent</v>
      </c>
      <c r="E98" s="32" t="str">
        <f t="shared" si="34"/>
        <v>Low</v>
      </c>
      <c r="F98" s="32" t="str">
        <f t="shared" si="35"/>
        <v>Recovery/Easy Catch</v>
      </c>
      <c r="G98" s="47" t="str">
        <f t="shared" si="36"/>
        <v>60 ft × 20 @ 65–69 mph</v>
      </c>
      <c r="H98" s="30">
        <f t="shared" si="37"/>
        <v>12</v>
      </c>
      <c r="I98" s="46">
        <f>IF($A98="","",IF(AND($L98&lt;27,$K$12=0),"Building",IFERROR(((SUM($H$92:$H98)+$K$12*IF($L98&lt;6,SUMIFS('Throw Log'!$Q$5:$Q$300,'Throw Log'!$B$5:$B$300,$D$4,'Throw Log'!$A$5:$A$300,"&gt;="&amp;($D$6+$L98-6),'Throw Log'!$A$5:$A$300,"&lt;="&amp;($D$6-1)),0))/7)/((SUM($H$71:$H98)+$K$12*IF($L98&lt;27,SUMIFS('Throw Log'!$Q$5:$Q$300,'Throw Log'!$B$5:$B$300,$D$4,'Throw Log'!$A$5:$A$300,"&gt;="&amp;($D$6+$L98-27),'Throw Log'!$A$5:$A$300,"&lt;="&amp;($D$6-1)),0))/28),"")))</f>
        <v>1.1763549426410909</v>
      </c>
      <c r="J98" s="37"/>
      <c r="K98" s="37"/>
      <c r="L98" s="32">
        <v>55</v>
      </c>
      <c r="M98" s="32">
        <f t="shared" si="38"/>
        <v>8</v>
      </c>
      <c r="N98" s="32">
        <f t="shared" si="39"/>
        <v>6</v>
      </c>
      <c r="O98" s="32">
        <f t="shared" si="40"/>
        <v>0.72368421052631582</v>
      </c>
      <c r="P98" s="32">
        <f>IF(OR($A98="",N($C98)&lt;=7),"",$G$6*$G$9^($M98-1)*IF(AND(MOD($M98,Reference!$B$99)=0,$M98&lt;=$G$5-2),Reference!$B$100,1))</f>
        <v>155.17696923220939</v>
      </c>
      <c r="Q98" s="32">
        <f>IF($P98="","",IF(SUM($AK$92:$AK$98)=0,0,$P98*INDEX(Reference!$B$108:$B$114,$N98+1)/SUM($AK$92:$AK$98)))</f>
        <v>10.151764342294072</v>
      </c>
      <c r="R98" s="32">
        <f t="shared" si="41"/>
        <v>180</v>
      </c>
      <c r="S98" s="32">
        <f t="shared" si="42"/>
        <v>150</v>
      </c>
      <c r="T98" s="32" t="str">
        <f>IF($A98="","",IF($C98=0,"Bullpen",IF(OR($C98=7,$C98=1,$C98=5),"Recovery/Easy Catch",IF($C98=6,"Compression/Pulldowns",IF(OR($C98=4,$C98=2),"Long Toss",IF($C98=3,"No Throw",IF($N98=2,"No Throw",IF($N98=6,IF($O98&lt;Reference!$B$104,"No Throw","Recovery/Easy Catch"),IF(OR($N98=0,$N98=4),"Recovery/Easy Catch",IF($N98=1,IF($R98&gt;75,"Long Toss","Recovery/Easy Catch"),IF($N98=3,IF($O98&lt;0.5,IF($S98&gt;75,"Long Toss","Recovery/Easy Catch"),"Compression/Pulldowns"),IF($S98&gt;75,"Long Toss","Recovery/Easy Catch"))))))))))))</f>
        <v>Recovery/Easy Catch</v>
      </c>
      <c r="U98" s="32">
        <f t="shared" si="43"/>
        <v>60</v>
      </c>
      <c r="V98" s="32">
        <f t="shared" si="44"/>
        <v>20</v>
      </c>
      <c r="W98" s="32">
        <f t="shared" si="45"/>
        <v>24</v>
      </c>
      <c r="X98" s="32">
        <f t="shared" si="46"/>
        <v>0</v>
      </c>
      <c r="Y98" s="32" t="str">
        <f t="shared" si="47"/>
        <v/>
      </c>
      <c r="Z98" s="32" t="str">
        <f t="shared" si="48"/>
        <v/>
      </c>
      <c r="AA98" s="32" t="str">
        <f t="shared" si="49"/>
        <v/>
      </c>
      <c r="AB98" s="32">
        <f>IF($A98="","",IF($T98="No Throw",0,IF($K98&lt;&gt;"",$K98,IF($AA98&lt;&gt;"",ROUND($AA98*$D$12*IF($C98=0,1,$G$10),0),MIN(IF($T98="Recovery/Easy Catch",Reference!$B$103,IF($T98="Long Toss",Reference!$B$106,Reference!$B$102)),MAX(Reference!$B$101,ROUND(MAX(0,$Q98-$AE98)/$AF98,0)))))))</f>
        <v>20</v>
      </c>
      <c r="AC98" s="32">
        <f t="shared" si="50"/>
        <v>0</v>
      </c>
      <c r="AD98" s="32" t="b">
        <f t="shared" si="51"/>
        <v>0</v>
      </c>
      <c r="AE98" s="32">
        <f>IF($X98=0,0,$X98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98+$Z98)/2,0),Reference!$A$17:$B$20,2,TRUE()))</f>
        <v>0</v>
      </c>
      <c r="AF98" s="32">
        <f>IF(OR($A98="",$U98="",$T98="No Throw"),0,$AM98*VLOOKUP(MAX(($V98+$W98)/2,0),Reference!$A$17:$B$20,2,TRUE()))</f>
        <v>0.6</v>
      </c>
      <c r="AG98" s="32">
        <f>IF($AC98=0,0,$AC98*INDEX(Reference!$B$61:$B$62,MATCH("Bullpen",Reference!$A$61:$A$62,0))*VLOOKUP(MAX($D$5-($D$9+$E$9)/2,0),Reference!$A$17:$B$20,2,TRUE()))</f>
        <v>0</v>
      </c>
      <c r="AH98" s="46">
        <f t="shared" si="52"/>
        <v>1.1763549426410909</v>
      </c>
      <c r="AI98" s="32">
        <f>IF($A98="",NA(),Reference!$A$25)</f>
        <v>0.8</v>
      </c>
      <c r="AJ98" s="32">
        <f t="shared" si="53"/>
        <v>1.3</v>
      </c>
      <c r="AK98" s="56">
        <f>IF(OR($A98="",N($C98)&lt;=7,$T98="No Throw",$J98="x"),0,INDEX(Reference!$B$108:$B$114,$N98+1))</f>
        <v>7.0000000000000007E-2</v>
      </c>
      <c r="AL98" s="32">
        <f t="shared" si="54"/>
        <v>1</v>
      </c>
      <c r="AM98" s="32">
        <f>IF($U98="",0,IF($AL98&gt;1,((IF(1&lt;=$AL98,($AL98-1+3)*(INDEX(Reference!$B$6:$B$11,MIN(5,MATCH(MAX(Reference!$A$6,MIN(Reference!$A$11,MIN($U98,90))),Reference!$A$6:$A$11,1)))+(MAX(Reference!$A$6,MIN(Reference!$A$11,MIN($U98,90)))-INDEX(Reference!$A$6:$A$11,MIN(5,MATCH(MAX(Reference!$A$6,MIN(Reference!$A$11,MIN($U98,90))),Reference!$A$6:$A$11,1))))*(INDEX(Reference!$B$6:$B$11,MIN(5,MATCH(MAX(Reference!$A$6,MIN(Reference!$A$11,MIN($U98,90))),Reference!$A$6:$A$11,1))+1)-INDEX(Reference!$B$6:$B$11,MIN(5,MATCH(MAX(Reference!$A$6,MIN(Reference!$A$11,MIN($U98,90))),Reference!$A$6:$A$11,1))))/(INDEX(Reference!$A$6:$A$11,MIN(5,MATCH(MAX(Reference!$A$6,MIN(Reference!$A$11,MIN($U98,90))),Reference!$A$6:$A$11,1))+1)-INDEX(Reference!$A$6:$A$11,MIN(5,MATCH(MAX(Reference!$A$6,MIN(Reference!$A$11,MIN($U98,90))),Reference!$A$6:$A$11,1))))),0)+IF(2&lt;=$AL98,($AL98-2+3)*(INDEX(Reference!$B$6:$B$11,MIN(5,MATCH(MAX(Reference!$A$6,MIN(Reference!$A$11,MIN($U98,120))),Reference!$A$6:$A$11,1)))+(MAX(Reference!$A$6,MIN(Reference!$A$11,MIN($U98,120)))-INDEX(Reference!$A$6:$A$11,MIN(5,MATCH(MAX(Reference!$A$6,MIN(Reference!$A$11,MIN($U98,120))),Reference!$A$6:$A$11,1))))*(INDEX(Reference!$B$6:$B$11,MIN(5,MATCH(MAX(Reference!$A$6,MIN(Reference!$A$11,MIN($U98,120))),Reference!$A$6:$A$11,1))+1)-INDEX(Reference!$B$6:$B$11,MIN(5,MATCH(MAX(Reference!$A$6,MIN(Reference!$A$11,MIN($U98,120))),Reference!$A$6:$A$11,1))))/(INDEX(Reference!$A$6:$A$11,MIN(5,MATCH(MAX(Reference!$A$6,MIN(Reference!$A$11,MIN($U98,120))),Reference!$A$6:$A$11,1))+1)-INDEX(Reference!$A$6:$A$11,MIN(5,MATCH(MAX(Reference!$A$6,MIN(Reference!$A$11,MIN($U98,120))),Reference!$A$6:$A$11,1))))),0)+IF(3&lt;=$AL98,($AL98-3+3)*(INDEX(Reference!$B$6:$B$11,MIN(5,MATCH(MAX(Reference!$A$6,MIN(Reference!$A$11,MIN($U98,150))),Reference!$A$6:$A$11,1)))+(MAX(Reference!$A$6,MIN(Reference!$A$11,MIN($U98,150)))-INDEX(Reference!$A$6:$A$11,MIN(5,MATCH(MAX(Reference!$A$6,MIN(Reference!$A$11,MIN($U98,150))),Reference!$A$6:$A$11,1))))*(INDEX(Reference!$B$6:$B$11,MIN(5,MATCH(MAX(Reference!$A$6,MIN(Reference!$A$11,MIN($U98,150))),Reference!$A$6:$A$11,1))+1)-INDEX(Reference!$B$6:$B$11,MIN(5,MATCH(MAX(Reference!$A$6,MIN(Reference!$A$11,MIN($U98,150))),Reference!$A$6:$A$11,1))))/(INDEX(Reference!$A$6:$A$11,MIN(5,MATCH(MAX(Reference!$A$6,MIN(Reference!$A$11,MIN($U98,150))),Reference!$A$6:$A$11,1))+1)-INDEX(Reference!$A$6:$A$11,MIN(5,MATCH(MAX(Reference!$A$6,MIN(Reference!$A$11,MIN($U98,150))),Reference!$A$6:$A$11,1))))),0)+IF(4&lt;=$AL98,($AL98-4+3)*(INDEX(Reference!$B$6:$B$11,MIN(5,MATCH(MAX(Reference!$A$6,MIN(Reference!$A$11,MIN($U98,180))),Reference!$A$6:$A$11,1)))+(MAX(Reference!$A$6,MIN(Reference!$A$11,MIN($U98,180)))-INDEX(Reference!$A$6:$A$11,MIN(5,MATCH(MAX(Reference!$A$6,MIN(Reference!$A$11,MIN($U98,180))),Reference!$A$6:$A$11,1))))*(INDEX(Reference!$B$6:$B$11,MIN(5,MATCH(MAX(Reference!$A$6,MIN(Reference!$A$11,MIN($U98,180))),Reference!$A$6:$A$11,1))+1)-INDEX(Reference!$B$6:$B$11,MIN(5,MATCH(MAX(Reference!$A$6,MIN(Reference!$A$11,MIN($U98,180))),Reference!$A$6:$A$11,1))))/(INDEX(Reference!$A$6:$A$11,MIN(5,MATCH(MAX(Reference!$A$6,MIN(Reference!$A$11,MIN($U98,180))),Reference!$A$6:$A$11,1))+1)-INDEX(Reference!$A$6:$A$11,MIN(5,MATCH(MAX(Reference!$A$6,MIN(Reference!$A$11,MIN($U98,180))),Reference!$A$6:$A$11,1))))),0)+IF(5&lt;=$AL98,($AL98-5+3)*(INDEX(Reference!$B$6:$B$11,MIN(5,MATCH(MAX(Reference!$A$6,MIN(Reference!$A$11,MIN($U98,210))),Reference!$A$6:$A$11,1)))+(MAX(Reference!$A$6,MIN(Reference!$A$11,MIN($U98,210)))-INDEX(Reference!$A$6:$A$11,MIN(5,MATCH(MAX(Reference!$A$6,MIN(Reference!$A$11,MIN($U98,210))),Reference!$A$6:$A$11,1))))*(INDEX(Reference!$B$6:$B$11,MIN(5,MATCH(MAX(Reference!$A$6,MIN(Reference!$A$11,MIN($U98,210))),Reference!$A$6:$A$11,1))+1)-INDEX(Reference!$B$6:$B$11,MIN(5,MATCH(MAX(Reference!$A$6,MIN(Reference!$A$11,MIN($U98,210))),Reference!$A$6:$A$11,1))))/(INDEX(Reference!$A$6:$A$11,MIN(5,MATCH(MAX(Reference!$A$6,MIN(Reference!$A$11,MIN($U98,210))),Reference!$A$6:$A$11,1))+1)-INDEX(Reference!$A$6:$A$11,MIN(5,MATCH(MAX(Reference!$A$6,MIN(Reference!$A$11,MIN($U98,210))),Reference!$A$6:$A$11,1))))),0)+IF(6&lt;=$AL98,($AL98-6+3)*(INDEX(Reference!$B$6:$B$11,MIN(5,MATCH(MAX(Reference!$A$6,MIN(Reference!$A$11,MIN($U98,240))),Reference!$A$6:$A$11,1)))+(MAX(Reference!$A$6,MIN(Reference!$A$11,MIN($U98,240)))-INDEX(Reference!$A$6:$A$11,MIN(5,MATCH(MAX(Reference!$A$6,MIN(Reference!$A$11,MIN($U98,240))),Reference!$A$6:$A$11,1))))*(INDEX(Reference!$B$6:$B$11,MIN(5,MATCH(MAX(Reference!$A$6,MIN(Reference!$A$11,MIN($U98,240))),Reference!$A$6:$A$11,1))+1)-INDEX(Reference!$B$6:$B$11,MIN(5,MATCH(MAX(Reference!$A$6,MIN(Reference!$A$11,MIN($U98,240))),Reference!$A$6:$A$11,1))))/(INDEX(Reference!$A$6:$A$11,MIN(5,MATCH(MAX(Reference!$A$6,MIN(Reference!$A$11,MIN($U98,240))),Reference!$A$6:$A$11,1))+1)-INDEX(Reference!$A$6:$A$11,MIN(5,MATCH(MAX(Reference!$A$6,MIN(Reference!$A$11,MIN($U98,240))),Reference!$A$6:$A$11,1))))),0)+IF(7&lt;=$AL98,($AL98-7+3)*(INDEX(Reference!$B$6:$B$11,MIN(5,MATCH(MAX(Reference!$A$6,MIN(Reference!$A$11,MIN($U98,270))),Reference!$A$6:$A$11,1)))+(MAX(Reference!$A$6,MIN(Reference!$A$11,MIN($U98,270)))-INDEX(Reference!$A$6:$A$11,MIN(5,MATCH(MAX(Reference!$A$6,MIN(Reference!$A$11,MIN($U98,270))),Reference!$A$6:$A$11,1))))*(INDEX(Reference!$B$6:$B$11,MIN(5,MATCH(MAX(Reference!$A$6,MIN(Reference!$A$11,MIN($U98,270))),Reference!$A$6:$A$11,1))+1)-INDEX(Reference!$B$6:$B$11,MIN(5,MATCH(MAX(Reference!$A$6,MIN(Reference!$A$11,MIN($U98,270))),Reference!$A$6:$A$11,1))))/(INDEX(Reference!$A$6:$A$11,MIN(5,MATCH(MAX(Reference!$A$6,MIN(Reference!$A$11,MIN($U98,270))),Reference!$A$6:$A$11,1))+1)-INDEX(Reference!$A$6:$A$11,MIN(5,MATCH(MAX(Reference!$A$6,MIN(Reference!$A$11,MIN($U98,270))),Reference!$A$6:$A$11,1))))),0)+IF(8&lt;=$AL98,($AL98-8+3)*(INDEX(Reference!$B$6:$B$11,MIN(5,MATCH(MAX(Reference!$A$6,MIN(Reference!$A$11,MIN($U98,300))),Reference!$A$6:$A$11,1)))+(MAX(Reference!$A$6,MIN(Reference!$A$11,MIN($U98,300)))-INDEX(Reference!$A$6:$A$11,MIN(5,MATCH(MAX(Reference!$A$6,MIN(Reference!$A$11,MIN($U98,300))),Reference!$A$6:$A$11,1))))*(INDEX(Reference!$B$6:$B$11,MIN(5,MATCH(MAX(Reference!$A$6,MIN(Reference!$A$11,MIN($U98,300))),Reference!$A$6:$A$11,1))+1)-INDEX(Reference!$B$6:$B$11,MIN(5,MATCH(MAX(Reference!$A$6,MIN(Reference!$A$11,MIN($U98,300))),Reference!$A$6:$A$11,1))))/(INDEX(Reference!$A$6:$A$11,MIN(5,MATCH(MAX(Reference!$A$6,MIN(Reference!$A$11,MIN($U98,300))),Reference!$A$6:$A$11,1))+1)-INDEX(Reference!$A$6:$A$11,MIN(5,MATCH(MAX(Reference!$A$6,MIN(Reference!$A$11,MIN($U98,300))),Reference!$A$6:$A$11,1))))),0))/($AL98*($AL98+5)/2)),$AN98))</f>
        <v>1</v>
      </c>
      <c r="AN98" s="32">
        <f>IF($U98="",0,(INDEX(Reference!$B$6:$B$11,MIN(5,MATCH(MAX(Reference!$A$6,MIN(Reference!$A$11,$U98)),Reference!$A$6:$A$11,1)))+(MAX(Reference!$A$6,MIN(Reference!$A$11,$U98))-INDEX(Reference!$A$6:$A$11,MIN(5,MATCH(MAX(Reference!$A$6,MIN(Reference!$A$11,$U98)),Reference!$A$6:$A$11,1))))*(INDEX(Reference!$B$6:$B$11,MIN(5,MATCH(MAX(Reference!$A$6,MIN(Reference!$A$11,$U98)),Reference!$A$6:$A$11,1))+1)-INDEX(Reference!$B$6:$B$11,MIN(5,MATCH(MAX(Reference!$A$6,MIN(Reference!$A$11,$U98)),Reference!$A$6:$A$11,1))))/(INDEX(Reference!$A$6:$A$11,MIN(5,MATCH(MAX(Reference!$A$6,MIN(Reference!$A$11,$U98)),Reference!$A$6:$A$11,1))+1)-INDEX(Reference!$A$6:$A$11,MIN(5,MATCH(MAX(Reference!$A$6,MIN(Reference!$A$11,$U98)),Reference!$A$6:$A$11,1))))))</f>
        <v>1</v>
      </c>
      <c r="AO98" s="37"/>
      <c r="AP98" s="37"/>
      <c r="AQ98" s="37"/>
    </row>
    <row r="99" spans="1:43" x14ac:dyDescent="0.3">
      <c r="A99" s="48">
        <f t="shared" si="30"/>
        <v>46363</v>
      </c>
      <c r="B99" s="32" t="str">
        <f t="shared" si="31"/>
        <v>Mon</v>
      </c>
      <c r="C99" s="32">
        <f t="shared" si="32"/>
        <v>28</v>
      </c>
      <c r="D99" s="32" t="str">
        <f t="shared" si="33"/>
        <v>Flat Ground / Intent</v>
      </c>
      <c r="E99" s="32" t="str">
        <f t="shared" si="34"/>
        <v>Low</v>
      </c>
      <c r="F99" s="32" t="str">
        <f t="shared" si="35"/>
        <v>Recovery/Easy Catch</v>
      </c>
      <c r="G99" s="47" t="str">
        <f t="shared" si="36"/>
        <v>75 ft × 33 @ 67–71 mph</v>
      </c>
      <c r="H99" s="30">
        <f t="shared" si="37"/>
        <v>22.77</v>
      </c>
      <c r="I99" s="46">
        <f>IF($A99="","",IF(AND($L99&lt;27,$K$12=0),"Building",IFERROR(((SUM($H$93:$H99)+$K$12*IF($L99&lt;6,SUMIFS('Throw Log'!$Q$5:$Q$300,'Throw Log'!$B$5:$B$300,$D$4,'Throw Log'!$A$5:$A$300,"&gt;="&amp;($D$6+$L99-6),'Throw Log'!$A$5:$A$300,"&lt;="&amp;($D$6-1)),0))/7)/((SUM($H$72:$H99)+$K$12*IF($L99&lt;27,SUMIFS('Throw Log'!$Q$5:$Q$300,'Throw Log'!$B$5:$B$300,$D$4,'Throw Log'!$A$5:$A$300,"&gt;="&amp;($D$6+$L99-27),'Throw Log'!$A$5:$A$300,"&lt;="&amp;($D$6-1)),0))/28),"")))</f>
        <v>1.2235767431411864</v>
      </c>
      <c r="J99" s="37"/>
      <c r="K99" s="37"/>
      <c r="L99" s="32">
        <v>56</v>
      </c>
      <c r="M99" s="32">
        <f t="shared" si="38"/>
        <v>9</v>
      </c>
      <c r="N99" s="32">
        <f t="shared" si="39"/>
        <v>0</v>
      </c>
      <c r="O99" s="32">
        <f t="shared" si="40"/>
        <v>0.73684210526315785</v>
      </c>
      <c r="P99" s="32">
        <f>IF(OR($A99="",N($C99)&lt;=7),"",$G$6*$G$9^($M99-1)*IF(AND(MOD($M99,Reference!$B$99)=0,$M99&lt;=$G$5-2),Reference!$B$100,1))</f>
        <v>205.39822006322521</v>
      </c>
      <c r="Q99" s="32">
        <f>IF($P99="","",IF(SUM($AK$99:$AK$105)=0,0,$P99*INDEX(Reference!$B$108:$B$114,$N99+1)/SUM($AK$99:$AK$105)))</f>
        <v>23.035314399614041</v>
      </c>
      <c r="R99" s="32">
        <f t="shared" si="41"/>
        <v>180</v>
      </c>
      <c r="S99" s="32">
        <f t="shared" si="42"/>
        <v>150</v>
      </c>
      <c r="T99" s="32" t="str">
        <f>IF($A99="","",IF($C99=0,"Bullpen",IF(OR($C99=7,$C99=1,$C99=5),"Recovery/Easy Catch",IF($C99=6,"Compression/Pulldowns",IF(OR($C99=4,$C99=2),"Long Toss",IF($C99=3,"No Throw",IF($N99=2,"No Throw",IF($N99=6,IF($O99&lt;Reference!$B$104,"No Throw","Recovery/Easy Catch"),IF(OR($N99=0,$N99=4),"Recovery/Easy Catch",IF($N99=1,IF($R99&gt;75,"Long Toss","Recovery/Easy Catch"),IF($N99=3,IF($O99&lt;0.5,IF($S99&gt;75,"Long Toss","Recovery/Easy Catch"),"Compression/Pulldowns"),IF($S99&gt;75,"Long Toss","Recovery/Easy Catch"))))))))))))</f>
        <v>Recovery/Easy Catch</v>
      </c>
      <c r="U99" s="32">
        <f t="shared" si="43"/>
        <v>75</v>
      </c>
      <c r="V99" s="32">
        <f t="shared" si="44"/>
        <v>18</v>
      </c>
      <c r="W99" s="32">
        <f t="shared" si="45"/>
        <v>22</v>
      </c>
      <c r="X99" s="32">
        <f t="shared" si="46"/>
        <v>0</v>
      </c>
      <c r="Y99" s="32" t="str">
        <f t="shared" si="47"/>
        <v/>
      </c>
      <c r="Z99" s="32" t="str">
        <f t="shared" si="48"/>
        <v/>
      </c>
      <c r="AA99" s="32" t="str">
        <f t="shared" si="49"/>
        <v/>
      </c>
      <c r="AB99" s="32">
        <f>IF($A99="","",IF($T99="No Throw",0,IF($K99&lt;&gt;"",$K99,IF($AA99&lt;&gt;"",ROUND($AA99*$D$12*IF($C99=0,1,$G$10),0),MIN(IF($T99="Recovery/Easy Catch",Reference!$B$103,IF($T99="Long Toss",Reference!$B$106,Reference!$B$102)),MAX(Reference!$B$101,ROUND(MAX(0,$Q99-$AE99)/$AF99,0)))))))</f>
        <v>33</v>
      </c>
      <c r="AC99" s="32">
        <f t="shared" si="50"/>
        <v>0</v>
      </c>
      <c r="AD99" s="32" t="b">
        <f t="shared" si="51"/>
        <v>0</v>
      </c>
      <c r="AE99" s="32">
        <f>IF($X99=0,0,$X99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99+$Z99)/2,0),Reference!$A$17:$B$20,2,TRUE()))</f>
        <v>0</v>
      </c>
      <c r="AF99" s="32">
        <f>IF(OR($A99="",$U99="",$T99="No Throw"),0,$AM99*VLOOKUP(MAX(($V99+$W99)/2,0),Reference!$A$17:$B$20,2,TRUE()))</f>
        <v>0.69</v>
      </c>
      <c r="AG99" s="32">
        <f>IF($AC99=0,0,$AC99*INDEX(Reference!$B$61:$B$62,MATCH("Bullpen",Reference!$A$61:$A$62,0))*VLOOKUP(MAX($D$5-($D$9+$E$9)/2,0),Reference!$A$17:$B$20,2,TRUE()))</f>
        <v>0</v>
      </c>
      <c r="AH99" s="46">
        <f t="shared" si="52"/>
        <v>1.2235767431411864</v>
      </c>
      <c r="AI99" s="32">
        <f>IF($A99="",NA(),Reference!$A$25)</f>
        <v>0.8</v>
      </c>
      <c r="AJ99" s="32">
        <f t="shared" si="53"/>
        <v>1.3</v>
      </c>
      <c r="AK99" s="56">
        <f>IF(OR($A99="",N($C99)&lt;=7,$T99="No Throw",$J99="x"),0,INDEX(Reference!$B$108:$B$114,$N99+1))</f>
        <v>0.12</v>
      </c>
      <c r="AL99" s="32">
        <f t="shared" si="54"/>
        <v>1</v>
      </c>
      <c r="AM99" s="32">
        <f>IF($U99="",0,IF($AL99&gt;1,((IF(1&lt;=$AL99,($AL99-1+3)*(INDEX(Reference!$B$6:$B$11,MIN(5,MATCH(MAX(Reference!$A$6,MIN(Reference!$A$11,MIN($U99,90))),Reference!$A$6:$A$11,1)))+(MAX(Reference!$A$6,MIN(Reference!$A$11,MIN($U99,90)))-INDEX(Reference!$A$6:$A$11,MIN(5,MATCH(MAX(Reference!$A$6,MIN(Reference!$A$11,MIN($U99,90))),Reference!$A$6:$A$11,1))))*(INDEX(Reference!$B$6:$B$11,MIN(5,MATCH(MAX(Reference!$A$6,MIN(Reference!$A$11,MIN($U99,90))),Reference!$A$6:$A$11,1))+1)-INDEX(Reference!$B$6:$B$11,MIN(5,MATCH(MAX(Reference!$A$6,MIN(Reference!$A$11,MIN($U99,90))),Reference!$A$6:$A$11,1))))/(INDEX(Reference!$A$6:$A$11,MIN(5,MATCH(MAX(Reference!$A$6,MIN(Reference!$A$11,MIN($U99,90))),Reference!$A$6:$A$11,1))+1)-INDEX(Reference!$A$6:$A$11,MIN(5,MATCH(MAX(Reference!$A$6,MIN(Reference!$A$11,MIN($U99,90))),Reference!$A$6:$A$11,1))))),0)+IF(2&lt;=$AL99,($AL99-2+3)*(INDEX(Reference!$B$6:$B$11,MIN(5,MATCH(MAX(Reference!$A$6,MIN(Reference!$A$11,MIN($U99,120))),Reference!$A$6:$A$11,1)))+(MAX(Reference!$A$6,MIN(Reference!$A$11,MIN($U99,120)))-INDEX(Reference!$A$6:$A$11,MIN(5,MATCH(MAX(Reference!$A$6,MIN(Reference!$A$11,MIN($U99,120))),Reference!$A$6:$A$11,1))))*(INDEX(Reference!$B$6:$B$11,MIN(5,MATCH(MAX(Reference!$A$6,MIN(Reference!$A$11,MIN($U99,120))),Reference!$A$6:$A$11,1))+1)-INDEX(Reference!$B$6:$B$11,MIN(5,MATCH(MAX(Reference!$A$6,MIN(Reference!$A$11,MIN($U99,120))),Reference!$A$6:$A$11,1))))/(INDEX(Reference!$A$6:$A$11,MIN(5,MATCH(MAX(Reference!$A$6,MIN(Reference!$A$11,MIN($U99,120))),Reference!$A$6:$A$11,1))+1)-INDEX(Reference!$A$6:$A$11,MIN(5,MATCH(MAX(Reference!$A$6,MIN(Reference!$A$11,MIN($U99,120))),Reference!$A$6:$A$11,1))))),0)+IF(3&lt;=$AL99,($AL99-3+3)*(INDEX(Reference!$B$6:$B$11,MIN(5,MATCH(MAX(Reference!$A$6,MIN(Reference!$A$11,MIN($U99,150))),Reference!$A$6:$A$11,1)))+(MAX(Reference!$A$6,MIN(Reference!$A$11,MIN($U99,150)))-INDEX(Reference!$A$6:$A$11,MIN(5,MATCH(MAX(Reference!$A$6,MIN(Reference!$A$11,MIN($U99,150))),Reference!$A$6:$A$11,1))))*(INDEX(Reference!$B$6:$B$11,MIN(5,MATCH(MAX(Reference!$A$6,MIN(Reference!$A$11,MIN($U99,150))),Reference!$A$6:$A$11,1))+1)-INDEX(Reference!$B$6:$B$11,MIN(5,MATCH(MAX(Reference!$A$6,MIN(Reference!$A$11,MIN($U99,150))),Reference!$A$6:$A$11,1))))/(INDEX(Reference!$A$6:$A$11,MIN(5,MATCH(MAX(Reference!$A$6,MIN(Reference!$A$11,MIN($U99,150))),Reference!$A$6:$A$11,1))+1)-INDEX(Reference!$A$6:$A$11,MIN(5,MATCH(MAX(Reference!$A$6,MIN(Reference!$A$11,MIN($U99,150))),Reference!$A$6:$A$11,1))))),0)+IF(4&lt;=$AL99,($AL99-4+3)*(INDEX(Reference!$B$6:$B$11,MIN(5,MATCH(MAX(Reference!$A$6,MIN(Reference!$A$11,MIN($U99,180))),Reference!$A$6:$A$11,1)))+(MAX(Reference!$A$6,MIN(Reference!$A$11,MIN($U99,180)))-INDEX(Reference!$A$6:$A$11,MIN(5,MATCH(MAX(Reference!$A$6,MIN(Reference!$A$11,MIN($U99,180))),Reference!$A$6:$A$11,1))))*(INDEX(Reference!$B$6:$B$11,MIN(5,MATCH(MAX(Reference!$A$6,MIN(Reference!$A$11,MIN($U99,180))),Reference!$A$6:$A$11,1))+1)-INDEX(Reference!$B$6:$B$11,MIN(5,MATCH(MAX(Reference!$A$6,MIN(Reference!$A$11,MIN($U99,180))),Reference!$A$6:$A$11,1))))/(INDEX(Reference!$A$6:$A$11,MIN(5,MATCH(MAX(Reference!$A$6,MIN(Reference!$A$11,MIN($U99,180))),Reference!$A$6:$A$11,1))+1)-INDEX(Reference!$A$6:$A$11,MIN(5,MATCH(MAX(Reference!$A$6,MIN(Reference!$A$11,MIN($U99,180))),Reference!$A$6:$A$11,1))))),0)+IF(5&lt;=$AL99,($AL99-5+3)*(INDEX(Reference!$B$6:$B$11,MIN(5,MATCH(MAX(Reference!$A$6,MIN(Reference!$A$11,MIN($U99,210))),Reference!$A$6:$A$11,1)))+(MAX(Reference!$A$6,MIN(Reference!$A$11,MIN($U99,210)))-INDEX(Reference!$A$6:$A$11,MIN(5,MATCH(MAX(Reference!$A$6,MIN(Reference!$A$11,MIN($U99,210))),Reference!$A$6:$A$11,1))))*(INDEX(Reference!$B$6:$B$11,MIN(5,MATCH(MAX(Reference!$A$6,MIN(Reference!$A$11,MIN($U99,210))),Reference!$A$6:$A$11,1))+1)-INDEX(Reference!$B$6:$B$11,MIN(5,MATCH(MAX(Reference!$A$6,MIN(Reference!$A$11,MIN($U99,210))),Reference!$A$6:$A$11,1))))/(INDEX(Reference!$A$6:$A$11,MIN(5,MATCH(MAX(Reference!$A$6,MIN(Reference!$A$11,MIN($U99,210))),Reference!$A$6:$A$11,1))+1)-INDEX(Reference!$A$6:$A$11,MIN(5,MATCH(MAX(Reference!$A$6,MIN(Reference!$A$11,MIN($U99,210))),Reference!$A$6:$A$11,1))))),0)+IF(6&lt;=$AL99,($AL99-6+3)*(INDEX(Reference!$B$6:$B$11,MIN(5,MATCH(MAX(Reference!$A$6,MIN(Reference!$A$11,MIN($U99,240))),Reference!$A$6:$A$11,1)))+(MAX(Reference!$A$6,MIN(Reference!$A$11,MIN($U99,240)))-INDEX(Reference!$A$6:$A$11,MIN(5,MATCH(MAX(Reference!$A$6,MIN(Reference!$A$11,MIN($U99,240))),Reference!$A$6:$A$11,1))))*(INDEX(Reference!$B$6:$B$11,MIN(5,MATCH(MAX(Reference!$A$6,MIN(Reference!$A$11,MIN($U99,240))),Reference!$A$6:$A$11,1))+1)-INDEX(Reference!$B$6:$B$11,MIN(5,MATCH(MAX(Reference!$A$6,MIN(Reference!$A$11,MIN($U99,240))),Reference!$A$6:$A$11,1))))/(INDEX(Reference!$A$6:$A$11,MIN(5,MATCH(MAX(Reference!$A$6,MIN(Reference!$A$11,MIN($U99,240))),Reference!$A$6:$A$11,1))+1)-INDEX(Reference!$A$6:$A$11,MIN(5,MATCH(MAX(Reference!$A$6,MIN(Reference!$A$11,MIN($U99,240))),Reference!$A$6:$A$11,1))))),0)+IF(7&lt;=$AL99,($AL99-7+3)*(INDEX(Reference!$B$6:$B$11,MIN(5,MATCH(MAX(Reference!$A$6,MIN(Reference!$A$11,MIN($U99,270))),Reference!$A$6:$A$11,1)))+(MAX(Reference!$A$6,MIN(Reference!$A$11,MIN($U99,270)))-INDEX(Reference!$A$6:$A$11,MIN(5,MATCH(MAX(Reference!$A$6,MIN(Reference!$A$11,MIN($U99,270))),Reference!$A$6:$A$11,1))))*(INDEX(Reference!$B$6:$B$11,MIN(5,MATCH(MAX(Reference!$A$6,MIN(Reference!$A$11,MIN($U99,270))),Reference!$A$6:$A$11,1))+1)-INDEX(Reference!$B$6:$B$11,MIN(5,MATCH(MAX(Reference!$A$6,MIN(Reference!$A$11,MIN($U99,270))),Reference!$A$6:$A$11,1))))/(INDEX(Reference!$A$6:$A$11,MIN(5,MATCH(MAX(Reference!$A$6,MIN(Reference!$A$11,MIN($U99,270))),Reference!$A$6:$A$11,1))+1)-INDEX(Reference!$A$6:$A$11,MIN(5,MATCH(MAX(Reference!$A$6,MIN(Reference!$A$11,MIN($U99,270))),Reference!$A$6:$A$11,1))))),0)+IF(8&lt;=$AL99,($AL99-8+3)*(INDEX(Reference!$B$6:$B$11,MIN(5,MATCH(MAX(Reference!$A$6,MIN(Reference!$A$11,MIN($U99,300))),Reference!$A$6:$A$11,1)))+(MAX(Reference!$A$6,MIN(Reference!$A$11,MIN($U99,300)))-INDEX(Reference!$A$6:$A$11,MIN(5,MATCH(MAX(Reference!$A$6,MIN(Reference!$A$11,MIN($U99,300))),Reference!$A$6:$A$11,1))))*(INDEX(Reference!$B$6:$B$11,MIN(5,MATCH(MAX(Reference!$A$6,MIN(Reference!$A$11,MIN($U99,300))),Reference!$A$6:$A$11,1))+1)-INDEX(Reference!$B$6:$B$11,MIN(5,MATCH(MAX(Reference!$A$6,MIN(Reference!$A$11,MIN($U99,300))),Reference!$A$6:$A$11,1))))/(INDEX(Reference!$A$6:$A$11,MIN(5,MATCH(MAX(Reference!$A$6,MIN(Reference!$A$11,MIN($U99,300))),Reference!$A$6:$A$11,1))+1)-INDEX(Reference!$A$6:$A$11,MIN(5,MATCH(MAX(Reference!$A$6,MIN(Reference!$A$11,MIN($U99,300))),Reference!$A$6:$A$11,1))))),0))/($AL99*($AL99+5)/2)),$AN99))</f>
        <v>1.1499999999999999</v>
      </c>
      <c r="AN99" s="32">
        <f>IF($U99="",0,(INDEX(Reference!$B$6:$B$11,MIN(5,MATCH(MAX(Reference!$A$6,MIN(Reference!$A$11,$U99)),Reference!$A$6:$A$11,1)))+(MAX(Reference!$A$6,MIN(Reference!$A$11,$U99))-INDEX(Reference!$A$6:$A$11,MIN(5,MATCH(MAX(Reference!$A$6,MIN(Reference!$A$11,$U99)),Reference!$A$6:$A$11,1))))*(INDEX(Reference!$B$6:$B$11,MIN(5,MATCH(MAX(Reference!$A$6,MIN(Reference!$A$11,$U99)),Reference!$A$6:$A$11,1))+1)-INDEX(Reference!$B$6:$B$11,MIN(5,MATCH(MAX(Reference!$A$6,MIN(Reference!$A$11,$U99)),Reference!$A$6:$A$11,1))))/(INDEX(Reference!$A$6:$A$11,MIN(5,MATCH(MAX(Reference!$A$6,MIN(Reference!$A$11,$U99)),Reference!$A$6:$A$11,1))+1)-INDEX(Reference!$A$6:$A$11,MIN(5,MATCH(MAX(Reference!$A$6,MIN(Reference!$A$11,$U99)),Reference!$A$6:$A$11,1))))))</f>
        <v>1.1499999999999999</v>
      </c>
      <c r="AO99" s="37"/>
      <c r="AP99" s="37"/>
      <c r="AQ99" s="37"/>
    </row>
    <row r="100" spans="1:43" ht="26.4" x14ac:dyDescent="0.3">
      <c r="A100" s="48">
        <f t="shared" si="30"/>
        <v>46364</v>
      </c>
      <c r="B100" s="32" t="str">
        <f t="shared" si="31"/>
        <v>Tue</v>
      </c>
      <c r="C100" s="32">
        <f t="shared" si="32"/>
        <v>27</v>
      </c>
      <c r="D100" s="32" t="str">
        <f t="shared" si="33"/>
        <v>Flat Ground / Intent</v>
      </c>
      <c r="E100" s="32" t="str">
        <f t="shared" si="34"/>
        <v>High Non-Bullpen</v>
      </c>
      <c r="F100" s="32" t="str">
        <f t="shared" si="35"/>
        <v>Long Toss</v>
      </c>
      <c r="G100" s="47" t="str">
        <f t="shared" si="36"/>
        <v>Long toss out to 180 ft — 38 throws (90×13 · 120×10 · 150×9 · 180×6) @ 77–79 mph + 60 ft × 15 @ 77–79 mph</v>
      </c>
      <c r="H100" s="30">
        <f t="shared" si="37"/>
        <v>51.433333333333337</v>
      </c>
      <c r="I100" s="46">
        <f>IF($A100="","",IF(AND($L100&lt;27,$K$12=0),"Building",IFERROR(((SUM($H$94:$H100)+$K$12*IF($L100&lt;6,SUMIFS('Throw Log'!$Q$5:$Q$300,'Throw Log'!$B$5:$B$300,$D$4,'Throw Log'!$A$5:$A$300,"&gt;="&amp;($D$6+$L100-6),'Throw Log'!$A$5:$A$300,"&lt;="&amp;($D$6-1)),0))/7)/((SUM($H$73:$H100)+$K$12*IF($L100&lt;27,SUMIFS('Throw Log'!$Q$5:$Q$300,'Throw Log'!$B$5:$B$300,$D$4,'Throw Log'!$A$5:$A$300,"&gt;="&amp;($D$6+$L100-27),'Throw Log'!$A$5:$A$300,"&lt;="&amp;($D$6-1)),0))/28),"")))</f>
        <v>1.2657053458104375</v>
      </c>
      <c r="J100" s="37"/>
      <c r="K100" s="37"/>
      <c r="L100" s="32">
        <v>57</v>
      </c>
      <c r="M100" s="32">
        <f t="shared" si="38"/>
        <v>9</v>
      </c>
      <c r="N100" s="32">
        <f t="shared" si="39"/>
        <v>1</v>
      </c>
      <c r="O100" s="32">
        <f t="shared" si="40"/>
        <v>0.75</v>
      </c>
      <c r="P100" s="32">
        <f>IF(OR($A100="",N($C100)&lt;=7),"",$G$6*$G$9^($M100-1)*IF(AND(MOD($M100,Reference!$B$99)=0,$M100&lt;=$G$5-2),Reference!$B$100,1))</f>
        <v>205.39822006322521</v>
      </c>
      <c r="Q100" s="32">
        <f>IF($P100="","",IF(SUM($AK$99:$AK$105)=0,0,$P100*INDEX(Reference!$B$108:$B$114,$N100+1)/SUM($AK$99:$AK$105)))</f>
        <v>51.829457399131599</v>
      </c>
      <c r="R100" s="32">
        <f t="shared" si="41"/>
        <v>180</v>
      </c>
      <c r="S100" s="32">
        <f t="shared" si="42"/>
        <v>150</v>
      </c>
      <c r="T100" s="32" t="str">
        <f>IF($A100="","",IF($C100=0,"Bullpen",IF(OR($C100=7,$C100=1,$C100=5),"Recovery/Easy Catch",IF($C100=6,"Compression/Pulldowns",IF(OR($C100=4,$C100=2),"Long Toss",IF($C100=3,"No Throw",IF($N100=2,"No Throw",IF($N100=6,IF($O100&lt;Reference!$B$104,"No Throw","Recovery/Easy Catch"),IF(OR($N100=0,$N100=4),"Recovery/Easy Catch",IF($N100=1,IF($R100&gt;75,"Long Toss","Recovery/Easy Catch"),IF($N100=3,IF($O100&lt;0.5,IF($S100&gt;75,"Long Toss","Recovery/Easy Catch"),"Compression/Pulldowns"),IF($S100&gt;75,"Long Toss","Recovery/Easy Catch"))))))))))))</f>
        <v>Long Toss</v>
      </c>
      <c r="U100" s="32">
        <f t="shared" si="43"/>
        <v>180</v>
      </c>
      <c r="V100" s="32">
        <f t="shared" si="44"/>
        <v>10</v>
      </c>
      <c r="W100" s="32">
        <f t="shared" si="45"/>
        <v>12</v>
      </c>
      <c r="X100" s="32">
        <f t="shared" si="46"/>
        <v>15</v>
      </c>
      <c r="Y100" s="32">
        <f t="shared" si="47"/>
        <v>10</v>
      </c>
      <c r="Z100" s="32">
        <f t="shared" si="48"/>
        <v>12</v>
      </c>
      <c r="AA100" s="32" t="str">
        <f t="shared" si="49"/>
        <v/>
      </c>
      <c r="AB100" s="32">
        <f>IF($A100="","",IF($T100="No Throw",0,IF($K100&lt;&gt;"",$K100,IF($AA100&lt;&gt;"",ROUND($AA100*$D$12*IF($C100=0,1,$G$10),0),MIN(IF($T100="Recovery/Easy Catch",Reference!$B$103,IF($T100="Long Toss",Reference!$B$106,Reference!$B$102)),MAX(Reference!$B$101,ROUND(MAX(0,$Q100-$AE100)/$AF100,0)))))))</f>
        <v>38</v>
      </c>
      <c r="AC100" s="32">
        <f t="shared" si="50"/>
        <v>0</v>
      </c>
      <c r="AD100" s="32" t="b">
        <f t="shared" si="51"/>
        <v>0</v>
      </c>
      <c r="AE100" s="32">
        <f>IF($X100=0,0,$X100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100+$Z100)/2,0),Reference!$A$17:$B$20,2,TRUE()))</f>
        <v>9</v>
      </c>
      <c r="AF100" s="32">
        <f>IF(OR($A100="",$U100="",$T100="No Throw"),0,$AM100*VLOOKUP(MAX(($V100+$W100)/2,0),Reference!$A$17:$B$20,2,TRUE()))</f>
        <v>1.1166666666666667</v>
      </c>
      <c r="AG100" s="32">
        <f>IF($AC100=0,0,$AC100*INDEX(Reference!$B$61:$B$62,MATCH("Bullpen",Reference!$A$61:$A$62,0))*VLOOKUP(MAX($D$5-($D$9+$E$9)/2,0),Reference!$A$17:$B$20,2,TRUE()))</f>
        <v>0</v>
      </c>
      <c r="AH100" s="46">
        <f t="shared" si="52"/>
        <v>1.2657053458104375</v>
      </c>
      <c r="AI100" s="32">
        <f>IF($A100="",NA(),Reference!$A$25)</f>
        <v>0.8</v>
      </c>
      <c r="AJ100" s="32">
        <f t="shared" si="53"/>
        <v>1.3</v>
      </c>
      <c r="AK100" s="56">
        <f>IF(OR($A100="",N($C100)&lt;=7,$T100="No Throw",$J100="x"),0,INDEX(Reference!$B$108:$B$114,$N100+1))</f>
        <v>0.27</v>
      </c>
      <c r="AL100" s="32">
        <f t="shared" si="54"/>
        <v>4</v>
      </c>
      <c r="AM100" s="32">
        <f>IF($U100="",0,IF($AL100&gt;1,((IF(1&lt;=$AL100,($AL100-1+3)*(INDEX(Reference!$B$6:$B$11,MIN(5,MATCH(MAX(Reference!$A$6,MIN(Reference!$A$11,MIN($U100,90))),Reference!$A$6:$A$11,1)))+(MAX(Reference!$A$6,MIN(Reference!$A$11,MIN($U100,90)))-INDEX(Reference!$A$6:$A$11,MIN(5,MATCH(MAX(Reference!$A$6,MIN(Reference!$A$11,MIN($U100,90))),Reference!$A$6:$A$11,1))))*(INDEX(Reference!$B$6:$B$11,MIN(5,MATCH(MAX(Reference!$A$6,MIN(Reference!$A$11,MIN($U100,90))),Reference!$A$6:$A$11,1))+1)-INDEX(Reference!$B$6:$B$11,MIN(5,MATCH(MAX(Reference!$A$6,MIN(Reference!$A$11,MIN($U100,90))),Reference!$A$6:$A$11,1))))/(INDEX(Reference!$A$6:$A$11,MIN(5,MATCH(MAX(Reference!$A$6,MIN(Reference!$A$11,MIN($U100,90))),Reference!$A$6:$A$11,1))+1)-INDEX(Reference!$A$6:$A$11,MIN(5,MATCH(MAX(Reference!$A$6,MIN(Reference!$A$11,MIN($U100,90))),Reference!$A$6:$A$11,1))))),0)+IF(2&lt;=$AL100,($AL100-2+3)*(INDEX(Reference!$B$6:$B$11,MIN(5,MATCH(MAX(Reference!$A$6,MIN(Reference!$A$11,MIN($U100,120))),Reference!$A$6:$A$11,1)))+(MAX(Reference!$A$6,MIN(Reference!$A$11,MIN($U100,120)))-INDEX(Reference!$A$6:$A$11,MIN(5,MATCH(MAX(Reference!$A$6,MIN(Reference!$A$11,MIN($U100,120))),Reference!$A$6:$A$11,1))))*(INDEX(Reference!$B$6:$B$11,MIN(5,MATCH(MAX(Reference!$A$6,MIN(Reference!$A$11,MIN($U100,120))),Reference!$A$6:$A$11,1))+1)-INDEX(Reference!$B$6:$B$11,MIN(5,MATCH(MAX(Reference!$A$6,MIN(Reference!$A$11,MIN($U100,120))),Reference!$A$6:$A$11,1))))/(INDEX(Reference!$A$6:$A$11,MIN(5,MATCH(MAX(Reference!$A$6,MIN(Reference!$A$11,MIN($U100,120))),Reference!$A$6:$A$11,1))+1)-INDEX(Reference!$A$6:$A$11,MIN(5,MATCH(MAX(Reference!$A$6,MIN(Reference!$A$11,MIN($U100,120))),Reference!$A$6:$A$11,1))))),0)+IF(3&lt;=$AL100,($AL100-3+3)*(INDEX(Reference!$B$6:$B$11,MIN(5,MATCH(MAX(Reference!$A$6,MIN(Reference!$A$11,MIN($U100,150))),Reference!$A$6:$A$11,1)))+(MAX(Reference!$A$6,MIN(Reference!$A$11,MIN($U100,150)))-INDEX(Reference!$A$6:$A$11,MIN(5,MATCH(MAX(Reference!$A$6,MIN(Reference!$A$11,MIN($U100,150))),Reference!$A$6:$A$11,1))))*(INDEX(Reference!$B$6:$B$11,MIN(5,MATCH(MAX(Reference!$A$6,MIN(Reference!$A$11,MIN($U100,150))),Reference!$A$6:$A$11,1))+1)-INDEX(Reference!$B$6:$B$11,MIN(5,MATCH(MAX(Reference!$A$6,MIN(Reference!$A$11,MIN($U100,150))),Reference!$A$6:$A$11,1))))/(INDEX(Reference!$A$6:$A$11,MIN(5,MATCH(MAX(Reference!$A$6,MIN(Reference!$A$11,MIN($U100,150))),Reference!$A$6:$A$11,1))+1)-INDEX(Reference!$A$6:$A$11,MIN(5,MATCH(MAX(Reference!$A$6,MIN(Reference!$A$11,MIN($U100,150))),Reference!$A$6:$A$11,1))))),0)+IF(4&lt;=$AL100,($AL100-4+3)*(INDEX(Reference!$B$6:$B$11,MIN(5,MATCH(MAX(Reference!$A$6,MIN(Reference!$A$11,MIN($U100,180))),Reference!$A$6:$A$11,1)))+(MAX(Reference!$A$6,MIN(Reference!$A$11,MIN($U100,180)))-INDEX(Reference!$A$6:$A$11,MIN(5,MATCH(MAX(Reference!$A$6,MIN(Reference!$A$11,MIN($U100,180))),Reference!$A$6:$A$11,1))))*(INDEX(Reference!$B$6:$B$11,MIN(5,MATCH(MAX(Reference!$A$6,MIN(Reference!$A$11,MIN($U100,180))),Reference!$A$6:$A$11,1))+1)-INDEX(Reference!$B$6:$B$11,MIN(5,MATCH(MAX(Reference!$A$6,MIN(Reference!$A$11,MIN($U100,180))),Reference!$A$6:$A$11,1))))/(INDEX(Reference!$A$6:$A$11,MIN(5,MATCH(MAX(Reference!$A$6,MIN(Reference!$A$11,MIN($U100,180))),Reference!$A$6:$A$11,1))+1)-INDEX(Reference!$A$6:$A$11,MIN(5,MATCH(MAX(Reference!$A$6,MIN(Reference!$A$11,MIN($U100,180))),Reference!$A$6:$A$11,1))))),0)+IF(5&lt;=$AL100,($AL100-5+3)*(INDEX(Reference!$B$6:$B$11,MIN(5,MATCH(MAX(Reference!$A$6,MIN(Reference!$A$11,MIN($U100,210))),Reference!$A$6:$A$11,1)))+(MAX(Reference!$A$6,MIN(Reference!$A$11,MIN($U100,210)))-INDEX(Reference!$A$6:$A$11,MIN(5,MATCH(MAX(Reference!$A$6,MIN(Reference!$A$11,MIN($U100,210))),Reference!$A$6:$A$11,1))))*(INDEX(Reference!$B$6:$B$11,MIN(5,MATCH(MAX(Reference!$A$6,MIN(Reference!$A$11,MIN($U100,210))),Reference!$A$6:$A$11,1))+1)-INDEX(Reference!$B$6:$B$11,MIN(5,MATCH(MAX(Reference!$A$6,MIN(Reference!$A$11,MIN($U100,210))),Reference!$A$6:$A$11,1))))/(INDEX(Reference!$A$6:$A$11,MIN(5,MATCH(MAX(Reference!$A$6,MIN(Reference!$A$11,MIN($U100,210))),Reference!$A$6:$A$11,1))+1)-INDEX(Reference!$A$6:$A$11,MIN(5,MATCH(MAX(Reference!$A$6,MIN(Reference!$A$11,MIN($U100,210))),Reference!$A$6:$A$11,1))))),0)+IF(6&lt;=$AL100,($AL100-6+3)*(INDEX(Reference!$B$6:$B$11,MIN(5,MATCH(MAX(Reference!$A$6,MIN(Reference!$A$11,MIN($U100,240))),Reference!$A$6:$A$11,1)))+(MAX(Reference!$A$6,MIN(Reference!$A$11,MIN($U100,240)))-INDEX(Reference!$A$6:$A$11,MIN(5,MATCH(MAX(Reference!$A$6,MIN(Reference!$A$11,MIN($U100,240))),Reference!$A$6:$A$11,1))))*(INDEX(Reference!$B$6:$B$11,MIN(5,MATCH(MAX(Reference!$A$6,MIN(Reference!$A$11,MIN($U100,240))),Reference!$A$6:$A$11,1))+1)-INDEX(Reference!$B$6:$B$11,MIN(5,MATCH(MAX(Reference!$A$6,MIN(Reference!$A$11,MIN($U100,240))),Reference!$A$6:$A$11,1))))/(INDEX(Reference!$A$6:$A$11,MIN(5,MATCH(MAX(Reference!$A$6,MIN(Reference!$A$11,MIN($U100,240))),Reference!$A$6:$A$11,1))+1)-INDEX(Reference!$A$6:$A$11,MIN(5,MATCH(MAX(Reference!$A$6,MIN(Reference!$A$11,MIN($U100,240))),Reference!$A$6:$A$11,1))))),0)+IF(7&lt;=$AL100,($AL100-7+3)*(INDEX(Reference!$B$6:$B$11,MIN(5,MATCH(MAX(Reference!$A$6,MIN(Reference!$A$11,MIN($U100,270))),Reference!$A$6:$A$11,1)))+(MAX(Reference!$A$6,MIN(Reference!$A$11,MIN($U100,270)))-INDEX(Reference!$A$6:$A$11,MIN(5,MATCH(MAX(Reference!$A$6,MIN(Reference!$A$11,MIN($U100,270))),Reference!$A$6:$A$11,1))))*(INDEX(Reference!$B$6:$B$11,MIN(5,MATCH(MAX(Reference!$A$6,MIN(Reference!$A$11,MIN($U100,270))),Reference!$A$6:$A$11,1))+1)-INDEX(Reference!$B$6:$B$11,MIN(5,MATCH(MAX(Reference!$A$6,MIN(Reference!$A$11,MIN($U100,270))),Reference!$A$6:$A$11,1))))/(INDEX(Reference!$A$6:$A$11,MIN(5,MATCH(MAX(Reference!$A$6,MIN(Reference!$A$11,MIN($U100,270))),Reference!$A$6:$A$11,1))+1)-INDEX(Reference!$A$6:$A$11,MIN(5,MATCH(MAX(Reference!$A$6,MIN(Reference!$A$11,MIN($U100,270))),Reference!$A$6:$A$11,1))))),0)+IF(8&lt;=$AL100,($AL100-8+3)*(INDEX(Reference!$B$6:$B$11,MIN(5,MATCH(MAX(Reference!$A$6,MIN(Reference!$A$11,MIN($U100,300))),Reference!$A$6:$A$11,1)))+(MAX(Reference!$A$6,MIN(Reference!$A$11,MIN($U100,300)))-INDEX(Reference!$A$6:$A$11,MIN(5,MATCH(MAX(Reference!$A$6,MIN(Reference!$A$11,MIN($U100,300))),Reference!$A$6:$A$11,1))))*(INDEX(Reference!$B$6:$B$11,MIN(5,MATCH(MAX(Reference!$A$6,MIN(Reference!$A$11,MIN($U100,300))),Reference!$A$6:$A$11,1))+1)-INDEX(Reference!$B$6:$B$11,MIN(5,MATCH(MAX(Reference!$A$6,MIN(Reference!$A$11,MIN($U100,300))),Reference!$A$6:$A$11,1))))/(INDEX(Reference!$A$6:$A$11,MIN(5,MATCH(MAX(Reference!$A$6,MIN(Reference!$A$11,MIN($U100,300))),Reference!$A$6:$A$11,1))+1)-INDEX(Reference!$A$6:$A$11,MIN(5,MATCH(MAX(Reference!$A$6,MIN(Reference!$A$11,MIN($U100,300))),Reference!$A$6:$A$11,1))))),0))/($AL100*($AL100+5)/2)),$AN100))</f>
        <v>1.8611111111111112</v>
      </c>
      <c r="AN100" s="32">
        <f>IF($U100="",0,(INDEX(Reference!$B$6:$B$11,MIN(5,MATCH(MAX(Reference!$A$6,MIN(Reference!$A$11,$U100)),Reference!$A$6:$A$11,1)))+(MAX(Reference!$A$6,MIN(Reference!$A$11,$U100))-INDEX(Reference!$A$6:$A$11,MIN(5,MATCH(MAX(Reference!$A$6,MIN(Reference!$A$11,$U100)),Reference!$A$6:$A$11,1))))*(INDEX(Reference!$B$6:$B$11,MIN(5,MATCH(MAX(Reference!$A$6,MIN(Reference!$A$11,$U100)),Reference!$A$6:$A$11,1))+1)-INDEX(Reference!$B$6:$B$11,MIN(5,MATCH(MAX(Reference!$A$6,MIN(Reference!$A$11,$U100)),Reference!$A$6:$A$11,1))))/(INDEX(Reference!$A$6:$A$11,MIN(5,MATCH(MAX(Reference!$A$6,MIN(Reference!$A$11,$U100)),Reference!$A$6:$A$11,1))+1)-INDEX(Reference!$A$6:$A$11,MIN(5,MATCH(MAX(Reference!$A$6,MIN(Reference!$A$11,$U100)),Reference!$A$6:$A$11,1))))))</f>
        <v>2.8</v>
      </c>
      <c r="AO100" s="37"/>
      <c r="AP100" s="37"/>
      <c r="AQ100" s="37"/>
    </row>
    <row r="101" spans="1:43" x14ac:dyDescent="0.3">
      <c r="A101" s="48">
        <f t="shared" si="30"/>
        <v>46365</v>
      </c>
      <c r="B101" s="32" t="str">
        <f t="shared" si="31"/>
        <v>Wed</v>
      </c>
      <c r="C101" s="32">
        <f t="shared" si="32"/>
        <v>26</v>
      </c>
      <c r="D101" s="32" t="str">
        <f t="shared" si="33"/>
        <v>Flat Ground / Intent</v>
      </c>
      <c r="E101" s="32" t="str">
        <f t="shared" si="34"/>
        <v>No Throw</v>
      </c>
      <c r="F101" s="32" t="str">
        <f t="shared" si="35"/>
        <v>No Throw</v>
      </c>
      <c r="G101" s="47" t="str">
        <f t="shared" si="36"/>
        <v>Off</v>
      </c>
      <c r="H101" s="30">
        <f t="shared" si="37"/>
        <v>0</v>
      </c>
      <c r="I101" s="46">
        <f>IF($A101="","",IF(AND($L101&lt;27,$K$12=0),"Building",IFERROR(((SUM($H$95:$H101)+$K$12*IF($L101&lt;6,SUMIFS('Throw Log'!$Q$5:$Q$300,'Throw Log'!$B$5:$B$300,$D$4,'Throw Log'!$A$5:$A$300,"&gt;="&amp;($D$6+$L101-6),'Throw Log'!$A$5:$A$300,"&lt;="&amp;($D$6-1)),0))/7)/((SUM($H$74:$H101)+$K$12*IF($L101&lt;27,SUMIFS('Throw Log'!$Q$5:$Q$300,'Throw Log'!$B$5:$B$300,$D$4,'Throw Log'!$A$5:$A$300,"&gt;="&amp;($D$6+$L101-27),'Throw Log'!$A$5:$A$300,"&lt;="&amp;($D$6-1)),0))/28),"")))</f>
        <v>1.2657053458104375</v>
      </c>
      <c r="J101" s="37"/>
      <c r="K101" s="37"/>
      <c r="L101" s="32">
        <v>58</v>
      </c>
      <c r="M101" s="32">
        <f t="shared" si="38"/>
        <v>9</v>
      </c>
      <c r="N101" s="32">
        <f t="shared" si="39"/>
        <v>2</v>
      </c>
      <c r="O101" s="32">
        <f t="shared" si="40"/>
        <v>0.76315789473684215</v>
      </c>
      <c r="P101" s="32">
        <f>IF(OR($A101="",N($C101)&lt;=7),"",$G$6*$G$9^($M101-1)*IF(AND(MOD($M101,Reference!$B$99)=0,$M101&lt;=$G$5-2),Reference!$B$100,1))</f>
        <v>205.39822006322521</v>
      </c>
      <c r="Q101" s="32">
        <f>IF($P101="","",IF(SUM($AK$99:$AK$105)=0,0,$P101*INDEX(Reference!$B$108:$B$114,$N101+1)/SUM($AK$99:$AK$105)))</f>
        <v>0</v>
      </c>
      <c r="R101" s="32">
        <f t="shared" si="41"/>
        <v>180</v>
      </c>
      <c r="S101" s="32">
        <f t="shared" si="42"/>
        <v>150</v>
      </c>
      <c r="T101" s="32" t="str">
        <f>IF($A101="","",IF($C101=0,"Bullpen",IF(OR($C101=7,$C101=1,$C101=5),"Recovery/Easy Catch",IF($C101=6,"Compression/Pulldowns",IF(OR($C101=4,$C101=2),"Long Toss",IF($C101=3,"No Throw",IF($N101=2,"No Throw",IF($N101=6,IF($O101&lt;Reference!$B$104,"No Throw","Recovery/Easy Catch"),IF(OR($N101=0,$N101=4),"Recovery/Easy Catch",IF($N101=1,IF($R101&gt;75,"Long Toss","Recovery/Easy Catch"),IF($N101=3,IF($O101&lt;0.5,IF($S101&gt;75,"Long Toss","Recovery/Easy Catch"),"Compression/Pulldowns"),IF($S101&gt;75,"Long Toss","Recovery/Easy Catch"))))))))))))</f>
        <v>No Throw</v>
      </c>
      <c r="U101" s="32" t="str">
        <f t="shared" si="43"/>
        <v/>
      </c>
      <c r="V101" s="32" t="str">
        <f t="shared" si="44"/>
        <v/>
      </c>
      <c r="W101" s="32" t="str">
        <f t="shared" si="45"/>
        <v/>
      </c>
      <c r="X101" s="32">
        <f t="shared" si="46"/>
        <v>0</v>
      </c>
      <c r="Y101" s="32" t="str">
        <f t="shared" si="47"/>
        <v/>
      </c>
      <c r="Z101" s="32" t="str">
        <f t="shared" si="48"/>
        <v/>
      </c>
      <c r="AA101" s="32" t="str">
        <f t="shared" si="49"/>
        <v/>
      </c>
      <c r="AB101" s="32">
        <f>IF($A101="","",IF($T101="No Throw",0,IF($K101&lt;&gt;"",$K101,IF($AA101&lt;&gt;"",ROUND($AA101*$D$12*IF($C101=0,1,$G$10),0),MIN(IF($T101="Recovery/Easy Catch",Reference!$B$103,IF($T101="Long Toss",Reference!$B$106,Reference!$B$102)),MAX(Reference!$B$101,ROUND(MAX(0,$Q101-$AE101)/$AF101,0)))))))</f>
        <v>0</v>
      </c>
      <c r="AC101" s="32">
        <f t="shared" si="50"/>
        <v>0</v>
      </c>
      <c r="AD101" s="32" t="b">
        <f t="shared" si="51"/>
        <v>1</v>
      </c>
      <c r="AE101" s="32">
        <f>IF($X101=0,0,$X101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101+$Z101)/2,0),Reference!$A$17:$B$20,2,TRUE()))</f>
        <v>0</v>
      </c>
      <c r="AF101" s="32">
        <f>IF(OR($A101="",$U101="",$T101="No Throw"),0,$AM101*VLOOKUP(MAX(($V101+$W101)/2,0),Reference!$A$17:$B$20,2,TRUE()))</f>
        <v>0</v>
      </c>
      <c r="AG101" s="32">
        <f>IF($AC101=0,0,$AC101*INDEX(Reference!$B$61:$B$62,MATCH("Bullpen",Reference!$A$61:$A$62,0))*VLOOKUP(MAX($D$5-($D$9+$E$9)/2,0),Reference!$A$17:$B$20,2,TRUE()))</f>
        <v>0</v>
      </c>
      <c r="AH101" s="46">
        <f t="shared" si="52"/>
        <v>1.2657053458104375</v>
      </c>
      <c r="AI101" s="32">
        <f>IF($A101="",NA(),Reference!$A$25)</f>
        <v>0.8</v>
      </c>
      <c r="AJ101" s="32">
        <f t="shared" si="53"/>
        <v>1.3</v>
      </c>
      <c r="AK101" s="32">
        <f>IF(OR($A101="",N($C101)&lt;=7,$T101="No Throw",$J101="x"),0,INDEX(Reference!$B$108:$B$114,$N101+1))</f>
        <v>0</v>
      </c>
      <c r="AL101" s="32">
        <f t="shared" si="54"/>
        <v>1</v>
      </c>
      <c r="AM101" s="32">
        <f>IF($U101="",0,IF($AL101&gt;1,((IF(1&lt;=$AL101,($AL101-1+3)*(INDEX(Reference!$B$6:$B$11,MIN(5,MATCH(MAX(Reference!$A$6,MIN(Reference!$A$11,MIN($U101,90))),Reference!$A$6:$A$11,1)))+(MAX(Reference!$A$6,MIN(Reference!$A$11,MIN($U101,90)))-INDEX(Reference!$A$6:$A$11,MIN(5,MATCH(MAX(Reference!$A$6,MIN(Reference!$A$11,MIN($U101,90))),Reference!$A$6:$A$11,1))))*(INDEX(Reference!$B$6:$B$11,MIN(5,MATCH(MAX(Reference!$A$6,MIN(Reference!$A$11,MIN($U101,90))),Reference!$A$6:$A$11,1))+1)-INDEX(Reference!$B$6:$B$11,MIN(5,MATCH(MAX(Reference!$A$6,MIN(Reference!$A$11,MIN($U101,90))),Reference!$A$6:$A$11,1))))/(INDEX(Reference!$A$6:$A$11,MIN(5,MATCH(MAX(Reference!$A$6,MIN(Reference!$A$11,MIN($U101,90))),Reference!$A$6:$A$11,1))+1)-INDEX(Reference!$A$6:$A$11,MIN(5,MATCH(MAX(Reference!$A$6,MIN(Reference!$A$11,MIN($U101,90))),Reference!$A$6:$A$11,1))))),0)+IF(2&lt;=$AL101,($AL101-2+3)*(INDEX(Reference!$B$6:$B$11,MIN(5,MATCH(MAX(Reference!$A$6,MIN(Reference!$A$11,MIN($U101,120))),Reference!$A$6:$A$11,1)))+(MAX(Reference!$A$6,MIN(Reference!$A$11,MIN($U101,120)))-INDEX(Reference!$A$6:$A$11,MIN(5,MATCH(MAX(Reference!$A$6,MIN(Reference!$A$11,MIN($U101,120))),Reference!$A$6:$A$11,1))))*(INDEX(Reference!$B$6:$B$11,MIN(5,MATCH(MAX(Reference!$A$6,MIN(Reference!$A$11,MIN($U101,120))),Reference!$A$6:$A$11,1))+1)-INDEX(Reference!$B$6:$B$11,MIN(5,MATCH(MAX(Reference!$A$6,MIN(Reference!$A$11,MIN($U101,120))),Reference!$A$6:$A$11,1))))/(INDEX(Reference!$A$6:$A$11,MIN(5,MATCH(MAX(Reference!$A$6,MIN(Reference!$A$11,MIN($U101,120))),Reference!$A$6:$A$11,1))+1)-INDEX(Reference!$A$6:$A$11,MIN(5,MATCH(MAX(Reference!$A$6,MIN(Reference!$A$11,MIN($U101,120))),Reference!$A$6:$A$11,1))))),0)+IF(3&lt;=$AL101,($AL101-3+3)*(INDEX(Reference!$B$6:$B$11,MIN(5,MATCH(MAX(Reference!$A$6,MIN(Reference!$A$11,MIN($U101,150))),Reference!$A$6:$A$11,1)))+(MAX(Reference!$A$6,MIN(Reference!$A$11,MIN($U101,150)))-INDEX(Reference!$A$6:$A$11,MIN(5,MATCH(MAX(Reference!$A$6,MIN(Reference!$A$11,MIN($U101,150))),Reference!$A$6:$A$11,1))))*(INDEX(Reference!$B$6:$B$11,MIN(5,MATCH(MAX(Reference!$A$6,MIN(Reference!$A$11,MIN($U101,150))),Reference!$A$6:$A$11,1))+1)-INDEX(Reference!$B$6:$B$11,MIN(5,MATCH(MAX(Reference!$A$6,MIN(Reference!$A$11,MIN($U101,150))),Reference!$A$6:$A$11,1))))/(INDEX(Reference!$A$6:$A$11,MIN(5,MATCH(MAX(Reference!$A$6,MIN(Reference!$A$11,MIN($U101,150))),Reference!$A$6:$A$11,1))+1)-INDEX(Reference!$A$6:$A$11,MIN(5,MATCH(MAX(Reference!$A$6,MIN(Reference!$A$11,MIN($U101,150))),Reference!$A$6:$A$11,1))))),0)+IF(4&lt;=$AL101,($AL101-4+3)*(INDEX(Reference!$B$6:$B$11,MIN(5,MATCH(MAX(Reference!$A$6,MIN(Reference!$A$11,MIN($U101,180))),Reference!$A$6:$A$11,1)))+(MAX(Reference!$A$6,MIN(Reference!$A$11,MIN($U101,180)))-INDEX(Reference!$A$6:$A$11,MIN(5,MATCH(MAX(Reference!$A$6,MIN(Reference!$A$11,MIN($U101,180))),Reference!$A$6:$A$11,1))))*(INDEX(Reference!$B$6:$B$11,MIN(5,MATCH(MAX(Reference!$A$6,MIN(Reference!$A$11,MIN($U101,180))),Reference!$A$6:$A$11,1))+1)-INDEX(Reference!$B$6:$B$11,MIN(5,MATCH(MAX(Reference!$A$6,MIN(Reference!$A$11,MIN($U101,180))),Reference!$A$6:$A$11,1))))/(INDEX(Reference!$A$6:$A$11,MIN(5,MATCH(MAX(Reference!$A$6,MIN(Reference!$A$11,MIN($U101,180))),Reference!$A$6:$A$11,1))+1)-INDEX(Reference!$A$6:$A$11,MIN(5,MATCH(MAX(Reference!$A$6,MIN(Reference!$A$11,MIN($U101,180))),Reference!$A$6:$A$11,1))))),0)+IF(5&lt;=$AL101,($AL101-5+3)*(INDEX(Reference!$B$6:$B$11,MIN(5,MATCH(MAX(Reference!$A$6,MIN(Reference!$A$11,MIN($U101,210))),Reference!$A$6:$A$11,1)))+(MAX(Reference!$A$6,MIN(Reference!$A$11,MIN($U101,210)))-INDEX(Reference!$A$6:$A$11,MIN(5,MATCH(MAX(Reference!$A$6,MIN(Reference!$A$11,MIN($U101,210))),Reference!$A$6:$A$11,1))))*(INDEX(Reference!$B$6:$B$11,MIN(5,MATCH(MAX(Reference!$A$6,MIN(Reference!$A$11,MIN($U101,210))),Reference!$A$6:$A$11,1))+1)-INDEX(Reference!$B$6:$B$11,MIN(5,MATCH(MAX(Reference!$A$6,MIN(Reference!$A$11,MIN($U101,210))),Reference!$A$6:$A$11,1))))/(INDEX(Reference!$A$6:$A$11,MIN(5,MATCH(MAX(Reference!$A$6,MIN(Reference!$A$11,MIN($U101,210))),Reference!$A$6:$A$11,1))+1)-INDEX(Reference!$A$6:$A$11,MIN(5,MATCH(MAX(Reference!$A$6,MIN(Reference!$A$11,MIN($U101,210))),Reference!$A$6:$A$11,1))))),0)+IF(6&lt;=$AL101,($AL101-6+3)*(INDEX(Reference!$B$6:$B$11,MIN(5,MATCH(MAX(Reference!$A$6,MIN(Reference!$A$11,MIN($U101,240))),Reference!$A$6:$A$11,1)))+(MAX(Reference!$A$6,MIN(Reference!$A$11,MIN($U101,240)))-INDEX(Reference!$A$6:$A$11,MIN(5,MATCH(MAX(Reference!$A$6,MIN(Reference!$A$11,MIN($U101,240))),Reference!$A$6:$A$11,1))))*(INDEX(Reference!$B$6:$B$11,MIN(5,MATCH(MAX(Reference!$A$6,MIN(Reference!$A$11,MIN($U101,240))),Reference!$A$6:$A$11,1))+1)-INDEX(Reference!$B$6:$B$11,MIN(5,MATCH(MAX(Reference!$A$6,MIN(Reference!$A$11,MIN($U101,240))),Reference!$A$6:$A$11,1))))/(INDEX(Reference!$A$6:$A$11,MIN(5,MATCH(MAX(Reference!$A$6,MIN(Reference!$A$11,MIN($U101,240))),Reference!$A$6:$A$11,1))+1)-INDEX(Reference!$A$6:$A$11,MIN(5,MATCH(MAX(Reference!$A$6,MIN(Reference!$A$11,MIN($U101,240))),Reference!$A$6:$A$11,1))))),0)+IF(7&lt;=$AL101,($AL101-7+3)*(INDEX(Reference!$B$6:$B$11,MIN(5,MATCH(MAX(Reference!$A$6,MIN(Reference!$A$11,MIN($U101,270))),Reference!$A$6:$A$11,1)))+(MAX(Reference!$A$6,MIN(Reference!$A$11,MIN($U101,270)))-INDEX(Reference!$A$6:$A$11,MIN(5,MATCH(MAX(Reference!$A$6,MIN(Reference!$A$11,MIN($U101,270))),Reference!$A$6:$A$11,1))))*(INDEX(Reference!$B$6:$B$11,MIN(5,MATCH(MAX(Reference!$A$6,MIN(Reference!$A$11,MIN($U101,270))),Reference!$A$6:$A$11,1))+1)-INDEX(Reference!$B$6:$B$11,MIN(5,MATCH(MAX(Reference!$A$6,MIN(Reference!$A$11,MIN($U101,270))),Reference!$A$6:$A$11,1))))/(INDEX(Reference!$A$6:$A$11,MIN(5,MATCH(MAX(Reference!$A$6,MIN(Reference!$A$11,MIN($U101,270))),Reference!$A$6:$A$11,1))+1)-INDEX(Reference!$A$6:$A$11,MIN(5,MATCH(MAX(Reference!$A$6,MIN(Reference!$A$11,MIN($U101,270))),Reference!$A$6:$A$11,1))))),0)+IF(8&lt;=$AL101,($AL101-8+3)*(INDEX(Reference!$B$6:$B$11,MIN(5,MATCH(MAX(Reference!$A$6,MIN(Reference!$A$11,MIN($U101,300))),Reference!$A$6:$A$11,1)))+(MAX(Reference!$A$6,MIN(Reference!$A$11,MIN($U101,300)))-INDEX(Reference!$A$6:$A$11,MIN(5,MATCH(MAX(Reference!$A$6,MIN(Reference!$A$11,MIN($U101,300))),Reference!$A$6:$A$11,1))))*(INDEX(Reference!$B$6:$B$11,MIN(5,MATCH(MAX(Reference!$A$6,MIN(Reference!$A$11,MIN($U101,300))),Reference!$A$6:$A$11,1))+1)-INDEX(Reference!$B$6:$B$11,MIN(5,MATCH(MAX(Reference!$A$6,MIN(Reference!$A$11,MIN($U101,300))),Reference!$A$6:$A$11,1))))/(INDEX(Reference!$A$6:$A$11,MIN(5,MATCH(MAX(Reference!$A$6,MIN(Reference!$A$11,MIN($U101,300))),Reference!$A$6:$A$11,1))+1)-INDEX(Reference!$A$6:$A$11,MIN(5,MATCH(MAX(Reference!$A$6,MIN(Reference!$A$11,MIN($U101,300))),Reference!$A$6:$A$11,1))))),0))/($AL101*($AL101+5)/2)),$AN101))</f>
        <v>0</v>
      </c>
      <c r="AN101" s="32">
        <f>IF($U101="",0,(INDEX(Reference!$B$6:$B$11,MIN(5,MATCH(MAX(Reference!$A$6,MIN(Reference!$A$11,$U101)),Reference!$A$6:$A$11,1)))+(MAX(Reference!$A$6,MIN(Reference!$A$11,$U101))-INDEX(Reference!$A$6:$A$11,MIN(5,MATCH(MAX(Reference!$A$6,MIN(Reference!$A$11,$U101)),Reference!$A$6:$A$11,1))))*(INDEX(Reference!$B$6:$B$11,MIN(5,MATCH(MAX(Reference!$A$6,MIN(Reference!$A$11,$U101)),Reference!$A$6:$A$11,1))+1)-INDEX(Reference!$B$6:$B$11,MIN(5,MATCH(MAX(Reference!$A$6,MIN(Reference!$A$11,$U101)),Reference!$A$6:$A$11,1))))/(INDEX(Reference!$A$6:$A$11,MIN(5,MATCH(MAX(Reference!$A$6,MIN(Reference!$A$11,$U101)),Reference!$A$6:$A$11,1))+1)-INDEX(Reference!$A$6:$A$11,MIN(5,MATCH(MAX(Reference!$A$6,MIN(Reference!$A$11,$U101)),Reference!$A$6:$A$11,1))))))</f>
        <v>0</v>
      </c>
      <c r="AO101" s="37"/>
      <c r="AP101" s="37"/>
      <c r="AQ101" s="37"/>
    </row>
    <row r="102" spans="1:43" x14ac:dyDescent="0.3">
      <c r="A102" s="48">
        <f t="shared" si="30"/>
        <v>46366</v>
      </c>
      <c r="B102" s="32" t="str">
        <f t="shared" si="31"/>
        <v>Thu</v>
      </c>
      <c r="C102" s="32">
        <f t="shared" si="32"/>
        <v>25</v>
      </c>
      <c r="D102" s="32" t="str">
        <f t="shared" si="33"/>
        <v>Flat Ground / Intent</v>
      </c>
      <c r="E102" s="32" t="str">
        <f t="shared" si="34"/>
        <v>High Non-Bullpen</v>
      </c>
      <c r="F102" s="32" t="str">
        <f t="shared" si="35"/>
        <v>Compression/Pulldowns</v>
      </c>
      <c r="G102" s="47" t="str">
        <f t="shared" si="36"/>
        <v>90 ft × 20 @ 80–82 mph + flat ground at 60 ft × 20 @ 80–82 mph</v>
      </c>
      <c r="H102" s="30">
        <f t="shared" si="37"/>
        <v>46</v>
      </c>
      <c r="I102" s="46">
        <f>IF($A102="","",IF(AND($L102&lt;27,$K$12=0),"Building",IFERROR(((SUM($H$96:$H102)+$K$12*IF($L102&lt;6,SUMIFS('Throw Log'!$Q$5:$Q$300,'Throw Log'!$B$5:$B$300,$D$4,'Throw Log'!$A$5:$A$300,"&gt;="&amp;($D$6+$L102-6),'Throw Log'!$A$5:$A$300,"&lt;="&amp;($D$6-1)),0))/7)/((SUM($H$75:$H102)+$K$12*IF($L102&lt;27,SUMIFS('Throw Log'!$Q$5:$Q$300,'Throw Log'!$B$5:$B$300,$D$4,'Throw Log'!$A$5:$A$300,"&gt;="&amp;($D$6+$L102-27),'Throw Log'!$A$5:$A$300,"&lt;="&amp;($D$6-1)),0))/28),"")))</f>
        <v>1.2257653437783307</v>
      </c>
      <c r="J102" s="37"/>
      <c r="K102" s="37"/>
      <c r="L102" s="32">
        <v>59</v>
      </c>
      <c r="M102" s="32">
        <f t="shared" si="38"/>
        <v>9</v>
      </c>
      <c r="N102" s="32">
        <f t="shared" si="39"/>
        <v>3</v>
      </c>
      <c r="O102" s="32">
        <f t="shared" si="40"/>
        <v>0.77631578947368418</v>
      </c>
      <c r="P102" s="32">
        <f>IF(OR($A102="",N($C102)&lt;=7),"",$G$6*$G$9^($M102-1)*IF(AND(MOD($M102,Reference!$B$99)=0,$M102&lt;=$G$5-2),Reference!$B$100,1))</f>
        <v>205.39822006322521</v>
      </c>
      <c r="Q102" s="32">
        <f>IF($P102="","",IF(SUM($AK$99:$AK$105)=0,0,$P102*INDEX(Reference!$B$108:$B$114,$N102+1)/SUM($AK$99:$AK$105)))</f>
        <v>46.070628799228082</v>
      </c>
      <c r="R102" s="32">
        <f t="shared" si="41"/>
        <v>180</v>
      </c>
      <c r="S102" s="32">
        <f t="shared" si="42"/>
        <v>150</v>
      </c>
      <c r="T102" s="32" t="str">
        <f>IF($A102="","",IF($C102=0,"Bullpen",IF(OR($C102=7,$C102=1,$C102=5),"Recovery/Easy Catch",IF($C102=6,"Compression/Pulldowns",IF(OR($C102=4,$C102=2),"Long Toss",IF($C102=3,"No Throw",IF($N102=2,"No Throw",IF($N102=6,IF($O102&lt;Reference!$B$104,"No Throw","Recovery/Easy Catch"),IF(OR($N102=0,$N102=4),"Recovery/Easy Catch",IF($N102=1,IF($R102&gt;75,"Long Toss","Recovery/Easy Catch"),IF($N102=3,IF($O102&lt;0.5,IF($S102&gt;75,"Long Toss","Recovery/Easy Catch"),"Compression/Pulldowns"),IF($S102&gt;75,"Long Toss","Recovery/Easy Catch"))))))))))))</f>
        <v>Compression/Pulldowns</v>
      </c>
      <c r="U102" s="32">
        <f t="shared" si="43"/>
        <v>90</v>
      </c>
      <c r="V102" s="32">
        <f t="shared" si="44"/>
        <v>7</v>
      </c>
      <c r="W102" s="32">
        <f t="shared" si="45"/>
        <v>9</v>
      </c>
      <c r="X102" s="32">
        <f t="shared" si="46"/>
        <v>20</v>
      </c>
      <c r="Y102" s="32">
        <f t="shared" si="47"/>
        <v>7</v>
      </c>
      <c r="Z102" s="32">
        <f t="shared" si="48"/>
        <v>9</v>
      </c>
      <c r="AA102" s="32" t="str">
        <f t="shared" si="49"/>
        <v/>
      </c>
      <c r="AB102" s="32">
        <f>IF($A102="","",IF($T102="No Throw",0,IF($K102&lt;&gt;"",$K102,IF($AA102&lt;&gt;"",ROUND($AA102*$D$12*IF($C102=0,1,$G$10),0),MIN(IF($T102="Recovery/Easy Catch",Reference!$B$103,IF($T102="Long Toss",Reference!$B$106,Reference!$B$102)),MAX(Reference!$B$101,ROUND(MAX(0,$Q102-$AE102)/$AF102,0)))))))</f>
        <v>20</v>
      </c>
      <c r="AC102" s="32">
        <f t="shared" si="50"/>
        <v>0</v>
      </c>
      <c r="AD102" s="32" t="b">
        <f t="shared" si="51"/>
        <v>0</v>
      </c>
      <c r="AE102" s="32">
        <f>IF($X102=0,0,$X102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102+$Z102)/2,0),Reference!$A$17:$B$20,2,TRUE()))</f>
        <v>20</v>
      </c>
      <c r="AF102" s="32">
        <f>IF(OR($A102="",$U102="",$T102="No Throw"),0,$AM102*VLOOKUP(MAX(($V102+$W102)/2,0),Reference!$A$17:$B$20,2,TRUE()))</f>
        <v>1.3</v>
      </c>
      <c r="AG102" s="32">
        <f>IF($AC102=0,0,$AC102*INDEX(Reference!$B$61:$B$62,MATCH("Bullpen",Reference!$A$61:$A$62,0))*VLOOKUP(MAX($D$5-($D$9+$E$9)/2,0),Reference!$A$17:$B$20,2,TRUE()))</f>
        <v>0</v>
      </c>
      <c r="AH102" s="46">
        <f t="shared" si="52"/>
        <v>1.2257653437783307</v>
      </c>
      <c r="AI102" s="32">
        <f>IF($A102="",NA(),Reference!$A$25)</f>
        <v>0.8</v>
      </c>
      <c r="AJ102" s="32">
        <f t="shared" si="53"/>
        <v>1.3</v>
      </c>
      <c r="AK102" s="56">
        <f>IF(OR($A102="",N($C102)&lt;=7,$T102="No Throw",$J102="x"),0,INDEX(Reference!$B$108:$B$114,$N102+1))</f>
        <v>0.24</v>
      </c>
      <c r="AL102" s="32">
        <f t="shared" si="54"/>
        <v>1</v>
      </c>
      <c r="AM102" s="32">
        <f>IF($U102="",0,IF($AL102&gt;1,((IF(1&lt;=$AL102,($AL102-1+3)*(INDEX(Reference!$B$6:$B$11,MIN(5,MATCH(MAX(Reference!$A$6,MIN(Reference!$A$11,MIN($U102,90))),Reference!$A$6:$A$11,1)))+(MAX(Reference!$A$6,MIN(Reference!$A$11,MIN($U102,90)))-INDEX(Reference!$A$6:$A$11,MIN(5,MATCH(MAX(Reference!$A$6,MIN(Reference!$A$11,MIN($U102,90))),Reference!$A$6:$A$11,1))))*(INDEX(Reference!$B$6:$B$11,MIN(5,MATCH(MAX(Reference!$A$6,MIN(Reference!$A$11,MIN($U102,90))),Reference!$A$6:$A$11,1))+1)-INDEX(Reference!$B$6:$B$11,MIN(5,MATCH(MAX(Reference!$A$6,MIN(Reference!$A$11,MIN($U102,90))),Reference!$A$6:$A$11,1))))/(INDEX(Reference!$A$6:$A$11,MIN(5,MATCH(MAX(Reference!$A$6,MIN(Reference!$A$11,MIN($U102,90))),Reference!$A$6:$A$11,1))+1)-INDEX(Reference!$A$6:$A$11,MIN(5,MATCH(MAX(Reference!$A$6,MIN(Reference!$A$11,MIN($U102,90))),Reference!$A$6:$A$11,1))))),0)+IF(2&lt;=$AL102,($AL102-2+3)*(INDEX(Reference!$B$6:$B$11,MIN(5,MATCH(MAX(Reference!$A$6,MIN(Reference!$A$11,MIN($U102,120))),Reference!$A$6:$A$11,1)))+(MAX(Reference!$A$6,MIN(Reference!$A$11,MIN($U102,120)))-INDEX(Reference!$A$6:$A$11,MIN(5,MATCH(MAX(Reference!$A$6,MIN(Reference!$A$11,MIN($U102,120))),Reference!$A$6:$A$11,1))))*(INDEX(Reference!$B$6:$B$11,MIN(5,MATCH(MAX(Reference!$A$6,MIN(Reference!$A$11,MIN($U102,120))),Reference!$A$6:$A$11,1))+1)-INDEX(Reference!$B$6:$B$11,MIN(5,MATCH(MAX(Reference!$A$6,MIN(Reference!$A$11,MIN($U102,120))),Reference!$A$6:$A$11,1))))/(INDEX(Reference!$A$6:$A$11,MIN(5,MATCH(MAX(Reference!$A$6,MIN(Reference!$A$11,MIN($U102,120))),Reference!$A$6:$A$11,1))+1)-INDEX(Reference!$A$6:$A$11,MIN(5,MATCH(MAX(Reference!$A$6,MIN(Reference!$A$11,MIN($U102,120))),Reference!$A$6:$A$11,1))))),0)+IF(3&lt;=$AL102,($AL102-3+3)*(INDEX(Reference!$B$6:$B$11,MIN(5,MATCH(MAX(Reference!$A$6,MIN(Reference!$A$11,MIN($U102,150))),Reference!$A$6:$A$11,1)))+(MAX(Reference!$A$6,MIN(Reference!$A$11,MIN($U102,150)))-INDEX(Reference!$A$6:$A$11,MIN(5,MATCH(MAX(Reference!$A$6,MIN(Reference!$A$11,MIN($U102,150))),Reference!$A$6:$A$11,1))))*(INDEX(Reference!$B$6:$B$11,MIN(5,MATCH(MAX(Reference!$A$6,MIN(Reference!$A$11,MIN($U102,150))),Reference!$A$6:$A$11,1))+1)-INDEX(Reference!$B$6:$B$11,MIN(5,MATCH(MAX(Reference!$A$6,MIN(Reference!$A$11,MIN($U102,150))),Reference!$A$6:$A$11,1))))/(INDEX(Reference!$A$6:$A$11,MIN(5,MATCH(MAX(Reference!$A$6,MIN(Reference!$A$11,MIN($U102,150))),Reference!$A$6:$A$11,1))+1)-INDEX(Reference!$A$6:$A$11,MIN(5,MATCH(MAX(Reference!$A$6,MIN(Reference!$A$11,MIN($U102,150))),Reference!$A$6:$A$11,1))))),0)+IF(4&lt;=$AL102,($AL102-4+3)*(INDEX(Reference!$B$6:$B$11,MIN(5,MATCH(MAX(Reference!$A$6,MIN(Reference!$A$11,MIN($U102,180))),Reference!$A$6:$A$11,1)))+(MAX(Reference!$A$6,MIN(Reference!$A$11,MIN($U102,180)))-INDEX(Reference!$A$6:$A$11,MIN(5,MATCH(MAX(Reference!$A$6,MIN(Reference!$A$11,MIN($U102,180))),Reference!$A$6:$A$11,1))))*(INDEX(Reference!$B$6:$B$11,MIN(5,MATCH(MAX(Reference!$A$6,MIN(Reference!$A$11,MIN($U102,180))),Reference!$A$6:$A$11,1))+1)-INDEX(Reference!$B$6:$B$11,MIN(5,MATCH(MAX(Reference!$A$6,MIN(Reference!$A$11,MIN($U102,180))),Reference!$A$6:$A$11,1))))/(INDEX(Reference!$A$6:$A$11,MIN(5,MATCH(MAX(Reference!$A$6,MIN(Reference!$A$11,MIN($U102,180))),Reference!$A$6:$A$11,1))+1)-INDEX(Reference!$A$6:$A$11,MIN(5,MATCH(MAX(Reference!$A$6,MIN(Reference!$A$11,MIN($U102,180))),Reference!$A$6:$A$11,1))))),0)+IF(5&lt;=$AL102,($AL102-5+3)*(INDEX(Reference!$B$6:$B$11,MIN(5,MATCH(MAX(Reference!$A$6,MIN(Reference!$A$11,MIN($U102,210))),Reference!$A$6:$A$11,1)))+(MAX(Reference!$A$6,MIN(Reference!$A$11,MIN($U102,210)))-INDEX(Reference!$A$6:$A$11,MIN(5,MATCH(MAX(Reference!$A$6,MIN(Reference!$A$11,MIN($U102,210))),Reference!$A$6:$A$11,1))))*(INDEX(Reference!$B$6:$B$11,MIN(5,MATCH(MAX(Reference!$A$6,MIN(Reference!$A$11,MIN($U102,210))),Reference!$A$6:$A$11,1))+1)-INDEX(Reference!$B$6:$B$11,MIN(5,MATCH(MAX(Reference!$A$6,MIN(Reference!$A$11,MIN($U102,210))),Reference!$A$6:$A$11,1))))/(INDEX(Reference!$A$6:$A$11,MIN(5,MATCH(MAX(Reference!$A$6,MIN(Reference!$A$11,MIN($U102,210))),Reference!$A$6:$A$11,1))+1)-INDEX(Reference!$A$6:$A$11,MIN(5,MATCH(MAX(Reference!$A$6,MIN(Reference!$A$11,MIN($U102,210))),Reference!$A$6:$A$11,1))))),0)+IF(6&lt;=$AL102,($AL102-6+3)*(INDEX(Reference!$B$6:$B$11,MIN(5,MATCH(MAX(Reference!$A$6,MIN(Reference!$A$11,MIN($U102,240))),Reference!$A$6:$A$11,1)))+(MAX(Reference!$A$6,MIN(Reference!$A$11,MIN($U102,240)))-INDEX(Reference!$A$6:$A$11,MIN(5,MATCH(MAX(Reference!$A$6,MIN(Reference!$A$11,MIN($U102,240))),Reference!$A$6:$A$11,1))))*(INDEX(Reference!$B$6:$B$11,MIN(5,MATCH(MAX(Reference!$A$6,MIN(Reference!$A$11,MIN($U102,240))),Reference!$A$6:$A$11,1))+1)-INDEX(Reference!$B$6:$B$11,MIN(5,MATCH(MAX(Reference!$A$6,MIN(Reference!$A$11,MIN($U102,240))),Reference!$A$6:$A$11,1))))/(INDEX(Reference!$A$6:$A$11,MIN(5,MATCH(MAX(Reference!$A$6,MIN(Reference!$A$11,MIN($U102,240))),Reference!$A$6:$A$11,1))+1)-INDEX(Reference!$A$6:$A$11,MIN(5,MATCH(MAX(Reference!$A$6,MIN(Reference!$A$11,MIN($U102,240))),Reference!$A$6:$A$11,1))))),0)+IF(7&lt;=$AL102,($AL102-7+3)*(INDEX(Reference!$B$6:$B$11,MIN(5,MATCH(MAX(Reference!$A$6,MIN(Reference!$A$11,MIN($U102,270))),Reference!$A$6:$A$11,1)))+(MAX(Reference!$A$6,MIN(Reference!$A$11,MIN($U102,270)))-INDEX(Reference!$A$6:$A$11,MIN(5,MATCH(MAX(Reference!$A$6,MIN(Reference!$A$11,MIN($U102,270))),Reference!$A$6:$A$11,1))))*(INDEX(Reference!$B$6:$B$11,MIN(5,MATCH(MAX(Reference!$A$6,MIN(Reference!$A$11,MIN($U102,270))),Reference!$A$6:$A$11,1))+1)-INDEX(Reference!$B$6:$B$11,MIN(5,MATCH(MAX(Reference!$A$6,MIN(Reference!$A$11,MIN($U102,270))),Reference!$A$6:$A$11,1))))/(INDEX(Reference!$A$6:$A$11,MIN(5,MATCH(MAX(Reference!$A$6,MIN(Reference!$A$11,MIN($U102,270))),Reference!$A$6:$A$11,1))+1)-INDEX(Reference!$A$6:$A$11,MIN(5,MATCH(MAX(Reference!$A$6,MIN(Reference!$A$11,MIN($U102,270))),Reference!$A$6:$A$11,1))))),0)+IF(8&lt;=$AL102,($AL102-8+3)*(INDEX(Reference!$B$6:$B$11,MIN(5,MATCH(MAX(Reference!$A$6,MIN(Reference!$A$11,MIN($U102,300))),Reference!$A$6:$A$11,1)))+(MAX(Reference!$A$6,MIN(Reference!$A$11,MIN($U102,300)))-INDEX(Reference!$A$6:$A$11,MIN(5,MATCH(MAX(Reference!$A$6,MIN(Reference!$A$11,MIN($U102,300))),Reference!$A$6:$A$11,1))))*(INDEX(Reference!$B$6:$B$11,MIN(5,MATCH(MAX(Reference!$A$6,MIN(Reference!$A$11,MIN($U102,300))),Reference!$A$6:$A$11,1))+1)-INDEX(Reference!$B$6:$B$11,MIN(5,MATCH(MAX(Reference!$A$6,MIN(Reference!$A$11,MIN($U102,300))),Reference!$A$6:$A$11,1))))/(INDEX(Reference!$A$6:$A$11,MIN(5,MATCH(MAX(Reference!$A$6,MIN(Reference!$A$11,MIN($U102,300))),Reference!$A$6:$A$11,1))+1)-INDEX(Reference!$A$6:$A$11,MIN(5,MATCH(MAX(Reference!$A$6,MIN(Reference!$A$11,MIN($U102,300))),Reference!$A$6:$A$11,1))))),0))/($AL102*($AL102+5)/2)),$AN102))</f>
        <v>1.3</v>
      </c>
      <c r="AN102" s="32">
        <f>IF($U102="",0,(INDEX(Reference!$B$6:$B$11,MIN(5,MATCH(MAX(Reference!$A$6,MIN(Reference!$A$11,$U102)),Reference!$A$6:$A$11,1)))+(MAX(Reference!$A$6,MIN(Reference!$A$11,$U102))-INDEX(Reference!$A$6:$A$11,MIN(5,MATCH(MAX(Reference!$A$6,MIN(Reference!$A$11,$U102)),Reference!$A$6:$A$11,1))))*(INDEX(Reference!$B$6:$B$11,MIN(5,MATCH(MAX(Reference!$A$6,MIN(Reference!$A$11,$U102)),Reference!$A$6:$A$11,1))+1)-INDEX(Reference!$B$6:$B$11,MIN(5,MATCH(MAX(Reference!$A$6,MIN(Reference!$A$11,$U102)),Reference!$A$6:$A$11,1))))/(INDEX(Reference!$A$6:$A$11,MIN(5,MATCH(MAX(Reference!$A$6,MIN(Reference!$A$11,$U102)),Reference!$A$6:$A$11,1))+1)-INDEX(Reference!$A$6:$A$11,MIN(5,MATCH(MAX(Reference!$A$6,MIN(Reference!$A$11,$U102)),Reference!$A$6:$A$11,1))))))</f>
        <v>1.3</v>
      </c>
      <c r="AO102" s="37"/>
      <c r="AP102" s="37"/>
      <c r="AQ102" s="37"/>
    </row>
    <row r="103" spans="1:43" x14ac:dyDescent="0.3">
      <c r="A103" s="48">
        <f t="shared" si="30"/>
        <v>46367</v>
      </c>
      <c r="B103" s="32" t="str">
        <f t="shared" si="31"/>
        <v>Fri</v>
      </c>
      <c r="C103" s="32">
        <f t="shared" si="32"/>
        <v>24</v>
      </c>
      <c r="D103" s="32" t="str">
        <f t="shared" si="33"/>
        <v>Flat Ground / Intent</v>
      </c>
      <c r="E103" s="32" t="str">
        <f t="shared" si="34"/>
        <v>Low</v>
      </c>
      <c r="F103" s="32" t="str">
        <f t="shared" si="35"/>
        <v>Recovery/Easy Catch</v>
      </c>
      <c r="G103" s="47" t="str">
        <f t="shared" si="36"/>
        <v>75 ft × 28 @ 67–71 mph</v>
      </c>
      <c r="H103" s="30">
        <f t="shared" si="37"/>
        <v>19.32</v>
      </c>
      <c r="I103" s="46">
        <f>IF($A103="","",IF(AND($L103&lt;27,$K$12=0),"Building",IFERROR(((SUM($H$97:$H103)+$K$12*IF($L103&lt;6,SUMIFS('Throw Log'!$Q$5:$Q$300,'Throw Log'!$B$5:$B$300,$D$4,'Throw Log'!$A$5:$A$300,"&gt;="&amp;($D$6+$L103-6),'Throw Log'!$A$5:$A$300,"&lt;="&amp;($D$6-1)),0))/7)/((SUM($H$76:$H103)+$K$12*IF($L103&lt;27,SUMIFS('Throw Log'!$Q$5:$Q$300,'Throw Log'!$B$5:$B$300,$D$4,'Throw Log'!$A$5:$A$300,"&gt;="&amp;($D$6+$L103-27),'Throw Log'!$A$5:$A$300,"&lt;="&amp;($D$6-1)),0))/28),"")))</f>
        <v>1.2425569631942317</v>
      </c>
      <c r="J103" s="37"/>
      <c r="K103" s="37"/>
      <c r="L103" s="32">
        <v>60</v>
      </c>
      <c r="M103" s="32">
        <f t="shared" si="38"/>
        <v>9</v>
      </c>
      <c r="N103" s="32">
        <f t="shared" si="39"/>
        <v>4</v>
      </c>
      <c r="O103" s="32">
        <f t="shared" si="40"/>
        <v>0.78947368421052633</v>
      </c>
      <c r="P103" s="32">
        <f>IF(OR($A103="",N($C103)&lt;=7),"",$G$6*$G$9^($M103-1)*IF(AND(MOD($M103,Reference!$B$99)=0,$M103&lt;=$G$5-2),Reference!$B$100,1))</f>
        <v>205.39822006322521</v>
      </c>
      <c r="Q103" s="32">
        <f>IF($P103="","",IF(SUM($AK$99:$AK$105)=0,0,$P103*INDEX(Reference!$B$108:$B$114,$N103+1)/SUM($AK$99:$AK$105)))</f>
        <v>19.196095333011705</v>
      </c>
      <c r="R103" s="32">
        <f t="shared" si="41"/>
        <v>180</v>
      </c>
      <c r="S103" s="32">
        <f t="shared" si="42"/>
        <v>150</v>
      </c>
      <c r="T103" s="32" t="str">
        <f>IF($A103="","",IF($C103=0,"Bullpen",IF(OR($C103=7,$C103=1,$C103=5),"Recovery/Easy Catch",IF($C103=6,"Compression/Pulldowns",IF(OR($C103=4,$C103=2),"Long Toss",IF($C103=3,"No Throw",IF($N103=2,"No Throw",IF($N103=6,IF($O103&lt;Reference!$B$104,"No Throw","Recovery/Easy Catch"),IF(OR($N103=0,$N103=4),"Recovery/Easy Catch",IF($N103=1,IF($R103&gt;75,"Long Toss","Recovery/Easy Catch"),IF($N103=3,IF($O103&lt;0.5,IF($S103&gt;75,"Long Toss","Recovery/Easy Catch"),"Compression/Pulldowns"),IF($S103&gt;75,"Long Toss","Recovery/Easy Catch"))))))))))))</f>
        <v>Recovery/Easy Catch</v>
      </c>
      <c r="U103" s="32">
        <f t="shared" si="43"/>
        <v>75</v>
      </c>
      <c r="V103" s="32">
        <f t="shared" si="44"/>
        <v>18</v>
      </c>
      <c r="W103" s="32">
        <f t="shared" si="45"/>
        <v>22</v>
      </c>
      <c r="X103" s="32">
        <f t="shared" si="46"/>
        <v>0</v>
      </c>
      <c r="Y103" s="32" t="str">
        <f t="shared" si="47"/>
        <v/>
      </c>
      <c r="Z103" s="32" t="str">
        <f t="shared" si="48"/>
        <v/>
      </c>
      <c r="AA103" s="32" t="str">
        <f t="shared" si="49"/>
        <v/>
      </c>
      <c r="AB103" s="32">
        <f>IF($A103="","",IF($T103="No Throw",0,IF($K103&lt;&gt;"",$K103,IF($AA103&lt;&gt;"",ROUND($AA103*$D$12*IF($C103=0,1,$G$10),0),MIN(IF($T103="Recovery/Easy Catch",Reference!$B$103,IF($T103="Long Toss",Reference!$B$106,Reference!$B$102)),MAX(Reference!$B$101,ROUND(MAX(0,$Q103-$AE103)/$AF103,0)))))))</f>
        <v>28</v>
      </c>
      <c r="AC103" s="32">
        <f t="shared" si="50"/>
        <v>0</v>
      </c>
      <c r="AD103" s="32" t="b">
        <f t="shared" si="51"/>
        <v>0</v>
      </c>
      <c r="AE103" s="32">
        <f>IF($X103=0,0,$X103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103+$Z103)/2,0),Reference!$A$17:$B$20,2,TRUE()))</f>
        <v>0</v>
      </c>
      <c r="AF103" s="32">
        <f>IF(OR($A103="",$U103="",$T103="No Throw"),0,$AM103*VLOOKUP(MAX(($V103+$W103)/2,0),Reference!$A$17:$B$20,2,TRUE()))</f>
        <v>0.69</v>
      </c>
      <c r="AG103" s="32">
        <f>IF($AC103=0,0,$AC103*INDEX(Reference!$B$61:$B$62,MATCH("Bullpen",Reference!$A$61:$A$62,0))*VLOOKUP(MAX($D$5-($D$9+$E$9)/2,0),Reference!$A$17:$B$20,2,TRUE()))</f>
        <v>0</v>
      </c>
      <c r="AH103" s="46">
        <f t="shared" si="52"/>
        <v>1.2425569631942317</v>
      </c>
      <c r="AI103" s="32">
        <f>IF($A103="",NA(),Reference!$A$25)</f>
        <v>0.8</v>
      </c>
      <c r="AJ103" s="32">
        <f t="shared" si="53"/>
        <v>1.3</v>
      </c>
      <c r="AK103" s="56">
        <f>IF(OR($A103="",N($C103)&lt;=7,$T103="No Throw",$J103="x"),0,INDEX(Reference!$B$108:$B$114,$N103+1))</f>
        <v>0.1</v>
      </c>
      <c r="AL103" s="32">
        <f t="shared" si="54"/>
        <v>1</v>
      </c>
      <c r="AM103" s="32">
        <f>IF($U103="",0,IF($AL103&gt;1,((IF(1&lt;=$AL103,($AL103-1+3)*(INDEX(Reference!$B$6:$B$11,MIN(5,MATCH(MAX(Reference!$A$6,MIN(Reference!$A$11,MIN($U103,90))),Reference!$A$6:$A$11,1)))+(MAX(Reference!$A$6,MIN(Reference!$A$11,MIN($U103,90)))-INDEX(Reference!$A$6:$A$11,MIN(5,MATCH(MAX(Reference!$A$6,MIN(Reference!$A$11,MIN($U103,90))),Reference!$A$6:$A$11,1))))*(INDEX(Reference!$B$6:$B$11,MIN(5,MATCH(MAX(Reference!$A$6,MIN(Reference!$A$11,MIN($U103,90))),Reference!$A$6:$A$11,1))+1)-INDEX(Reference!$B$6:$B$11,MIN(5,MATCH(MAX(Reference!$A$6,MIN(Reference!$A$11,MIN($U103,90))),Reference!$A$6:$A$11,1))))/(INDEX(Reference!$A$6:$A$11,MIN(5,MATCH(MAX(Reference!$A$6,MIN(Reference!$A$11,MIN($U103,90))),Reference!$A$6:$A$11,1))+1)-INDEX(Reference!$A$6:$A$11,MIN(5,MATCH(MAX(Reference!$A$6,MIN(Reference!$A$11,MIN($U103,90))),Reference!$A$6:$A$11,1))))),0)+IF(2&lt;=$AL103,($AL103-2+3)*(INDEX(Reference!$B$6:$B$11,MIN(5,MATCH(MAX(Reference!$A$6,MIN(Reference!$A$11,MIN($U103,120))),Reference!$A$6:$A$11,1)))+(MAX(Reference!$A$6,MIN(Reference!$A$11,MIN($U103,120)))-INDEX(Reference!$A$6:$A$11,MIN(5,MATCH(MAX(Reference!$A$6,MIN(Reference!$A$11,MIN($U103,120))),Reference!$A$6:$A$11,1))))*(INDEX(Reference!$B$6:$B$11,MIN(5,MATCH(MAX(Reference!$A$6,MIN(Reference!$A$11,MIN($U103,120))),Reference!$A$6:$A$11,1))+1)-INDEX(Reference!$B$6:$B$11,MIN(5,MATCH(MAX(Reference!$A$6,MIN(Reference!$A$11,MIN($U103,120))),Reference!$A$6:$A$11,1))))/(INDEX(Reference!$A$6:$A$11,MIN(5,MATCH(MAX(Reference!$A$6,MIN(Reference!$A$11,MIN($U103,120))),Reference!$A$6:$A$11,1))+1)-INDEX(Reference!$A$6:$A$11,MIN(5,MATCH(MAX(Reference!$A$6,MIN(Reference!$A$11,MIN($U103,120))),Reference!$A$6:$A$11,1))))),0)+IF(3&lt;=$AL103,($AL103-3+3)*(INDEX(Reference!$B$6:$B$11,MIN(5,MATCH(MAX(Reference!$A$6,MIN(Reference!$A$11,MIN($U103,150))),Reference!$A$6:$A$11,1)))+(MAX(Reference!$A$6,MIN(Reference!$A$11,MIN($U103,150)))-INDEX(Reference!$A$6:$A$11,MIN(5,MATCH(MAX(Reference!$A$6,MIN(Reference!$A$11,MIN($U103,150))),Reference!$A$6:$A$11,1))))*(INDEX(Reference!$B$6:$B$11,MIN(5,MATCH(MAX(Reference!$A$6,MIN(Reference!$A$11,MIN($U103,150))),Reference!$A$6:$A$11,1))+1)-INDEX(Reference!$B$6:$B$11,MIN(5,MATCH(MAX(Reference!$A$6,MIN(Reference!$A$11,MIN($U103,150))),Reference!$A$6:$A$11,1))))/(INDEX(Reference!$A$6:$A$11,MIN(5,MATCH(MAX(Reference!$A$6,MIN(Reference!$A$11,MIN($U103,150))),Reference!$A$6:$A$11,1))+1)-INDEX(Reference!$A$6:$A$11,MIN(5,MATCH(MAX(Reference!$A$6,MIN(Reference!$A$11,MIN($U103,150))),Reference!$A$6:$A$11,1))))),0)+IF(4&lt;=$AL103,($AL103-4+3)*(INDEX(Reference!$B$6:$B$11,MIN(5,MATCH(MAX(Reference!$A$6,MIN(Reference!$A$11,MIN($U103,180))),Reference!$A$6:$A$11,1)))+(MAX(Reference!$A$6,MIN(Reference!$A$11,MIN($U103,180)))-INDEX(Reference!$A$6:$A$11,MIN(5,MATCH(MAX(Reference!$A$6,MIN(Reference!$A$11,MIN($U103,180))),Reference!$A$6:$A$11,1))))*(INDEX(Reference!$B$6:$B$11,MIN(5,MATCH(MAX(Reference!$A$6,MIN(Reference!$A$11,MIN($U103,180))),Reference!$A$6:$A$11,1))+1)-INDEX(Reference!$B$6:$B$11,MIN(5,MATCH(MAX(Reference!$A$6,MIN(Reference!$A$11,MIN($U103,180))),Reference!$A$6:$A$11,1))))/(INDEX(Reference!$A$6:$A$11,MIN(5,MATCH(MAX(Reference!$A$6,MIN(Reference!$A$11,MIN($U103,180))),Reference!$A$6:$A$11,1))+1)-INDEX(Reference!$A$6:$A$11,MIN(5,MATCH(MAX(Reference!$A$6,MIN(Reference!$A$11,MIN($U103,180))),Reference!$A$6:$A$11,1))))),0)+IF(5&lt;=$AL103,($AL103-5+3)*(INDEX(Reference!$B$6:$B$11,MIN(5,MATCH(MAX(Reference!$A$6,MIN(Reference!$A$11,MIN($U103,210))),Reference!$A$6:$A$11,1)))+(MAX(Reference!$A$6,MIN(Reference!$A$11,MIN($U103,210)))-INDEX(Reference!$A$6:$A$11,MIN(5,MATCH(MAX(Reference!$A$6,MIN(Reference!$A$11,MIN($U103,210))),Reference!$A$6:$A$11,1))))*(INDEX(Reference!$B$6:$B$11,MIN(5,MATCH(MAX(Reference!$A$6,MIN(Reference!$A$11,MIN($U103,210))),Reference!$A$6:$A$11,1))+1)-INDEX(Reference!$B$6:$B$11,MIN(5,MATCH(MAX(Reference!$A$6,MIN(Reference!$A$11,MIN($U103,210))),Reference!$A$6:$A$11,1))))/(INDEX(Reference!$A$6:$A$11,MIN(5,MATCH(MAX(Reference!$A$6,MIN(Reference!$A$11,MIN($U103,210))),Reference!$A$6:$A$11,1))+1)-INDEX(Reference!$A$6:$A$11,MIN(5,MATCH(MAX(Reference!$A$6,MIN(Reference!$A$11,MIN($U103,210))),Reference!$A$6:$A$11,1))))),0)+IF(6&lt;=$AL103,($AL103-6+3)*(INDEX(Reference!$B$6:$B$11,MIN(5,MATCH(MAX(Reference!$A$6,MIN(Reference!$A$11,MIN($U103,240))),Reference!$A$6:$A$11,1)))+(MAX(Reference!$A$6,MIN(Reference!$A$11,MIN($U103,240)))-INDEX(Reference!$A$6:$A$11,MIN(5,MATCH(MAX(Reference!$A$6,MIN(Reference!$A$11,MIN($U103,240))),Reference!$A$6:$A$11,1))))*(INDEX(Reference!$B$6:$B$11,MIN(5,MATCH(MAX(Reference!$A$6,MIN(Reference!$A$11,MIN($U103,240))),Reference!$A$6:$A$11,1))+1)-INDEX(Reference!$B$6:$B$11,MIN(5,MATCH(MAX(Reference!$A$6,MIN(Reference!$A$11,MIN($U103,240))),Reference!$A$6:$A$11,1))))/(INDEX(Reference!$A$6:$A$11,MIN(5,MATCH(MAX(Reference!$A$6,MIN(Reference!$A$11,MIN($U103,240))),Reference!$A$6:$A$11,1))+1)-INDEX(Reference!$A$6:$A$11,MIN(5,MATCH(MAX(Reference!$A$6,MIN(Reference!$A$11,MIN($U103,240))),Reference!$A$6:$A$11,1))))),0)+IF(7&lt;=$AL103,($AL103-7+3)*(INDEX(Reference!$B$6:$B$11,MIN(5,MATCH(MAX(Reference!$A$6,MIN(Reference!$A$11,MIN($U103,270))),Reference!$A$6:$A$11,1)))+(MAX(Reference!$A$6,MIN(Reference!$A$11,MIN($U103,270)))-INDEX(Reference!$A$6:$A$11,MIN(5,MATCH(MAX(Reference!$A$6,MIN(Reference!$A$11,MIN($U103,270))),Reference!$A$6:$A$11,1))))*(INDEX(Reference!$B$6:$B$11,MIN(5,MATCH(MAX(Reference!$A$6,MIN(Reference!$A$11,MIN($U103,270))),Reference!$A$6:$A$11,1))+1)-INDEX(Reference!$B$6:$B$11,MIN(5,MATCH(MAX(Reference!$A$6,MIN(Reference!$A$11,MIN($U103,270))),Reference!$A$6:$A$11,1))))/(INDEX(Reference!$A$6:$A$11,MIN(5,MATCH(MAX(Reference!$A$6,MIN(Reference!$A$11,MIN($U103,270))),Reference!$A$6:$A$11,1))+1)-INDEX(Reference!$A$6:$A$11,MIN(5,MATCH(MAX(Reference!$A$6,MIN(Reference!$A$11,MIN($U103,270))),Reference!$A$6:$A$11,1))))),0)+IF(8&lt;=$AL103,($AL103-8+3)*(INDEX(Reference!$B$6:$B$11,MIN(5,MATCH(MAX(Reference!$A$6,MIN(Reference!$A$11,MIN($U103,300))),Reference!$A$6:$A$11,1)))+(MAX(Reference!$A$6,MIN(Reference!$A$11,MIN($U103,300)))-INDEX(Reference!$A$6:$A$11,MIN(5,MATCH(MAX(Reference!$A$6,MIN(Reference!$A$11,MIN($U103,300))),Reference!$A$6:$A$11,1))))*(INDEX(Reference!$B$6:$B$11,MIN(5,MATCH(MAX(Reference!$A$6,MIN(Reference!$A$11,MIN($U103,300))),Reference!$A$6:$A$11,1))+1)-INDEX(Reference!$B$6:$B$11,MIN(5,MATCH(MAX(Reference!$A$6,MIN(Reference!$A$11,MIN($U103,300))),Reference!$A$6:$A$11,1))))/(INDEX(Reference!$A$6:$A$11,MIN(5,MATCH(MAX(Reference!$A$6,MIN(Reference!$A$11,MIN($U103,300))),Reference!$A$6:$A$11,1))+1)-INDEX(Reference!$A$6:$A$11,MIN(5,MATCH(MAX(Reference!$A$6,MIN(Reference!$A$11,MIN($U103,300))),Reference!$A$6:$A$11,1))))),0))/($AL103*($AL103+5)/2)),$AN103))</f>
        <v>1.1499999999999999</v>
      </c>
      <c r="AN103" s="32">
        <f>IF($U103="",0,(INDEX(Reference!$B$6:$B$11,MIN(5,MATCH(MAX(Reference!$A$6,MIN(Reference!$A$11,$U103)),Reference!$A$6:$A$11,1)))+(MAX(Reference!$A$6,MIN(Reference!$A$11,$U103))-INDEX(Reference!$A$6:$A$11,MIN(5,MATCH(MAX(Reference!$A$6,MIN(Reference!$A$11,$U103)),Reference!$A$6:$A$11,1))))*(INDEX(Reference!$B$6:$B$11,MIN(5,MATCH(MAX(Reference!$A$6,MIN(Reference!$A$11,$U103)),Reference!$A$6:$A$11,1))+1)-INDEX(Reference!$B$6:$B$11,MIN(5,MATCH(MAX(Reference!$A$6,MIN(Reference!$A$11,$U103)),Reference!$A$6:$A$11,1))))/(INDEX(Reference!$A$6:$A$11,MIN(5,MATCH(MAX(Reference!$A$6,MIN(Reference!$A$11,$U103)),Reference!$A$6:$A$11,1))+1)-INDEX(Reference!$A$6:$A$11,MIN(5,MATCH(MAX(Reference!$A$6,MIN(Reference!$A$11,$U103)),Reference!$A$6:$A$11,1))))))</f>
        <v>1.1499999999999999</v>
      </c>
      <c r="AO103" s="37"/>
      <c r="AP103" s="37"/>
      <c r="AQ103" s="37"/>
    </row>
    <row r="104" spans="1:43" ht="26.4" x14ac:dyDescent="0.3">
      <c r="A104" s="48">
        <f t="shared" si="30"/>
        <v>46368</v>
      </c>
      <c r="B104" s="32" t="str">
        <f t="shared" si="31"/>
        <v>Sat</v>
      </c>
      <c r="C104" s="32">
        <f t="shared" si="32"/>
        <v>23</v>
      </c>
      <c r="D104" s="32" t="str">
        <f t="shared" si="33"/>
        <v>Flat Ground / Intent</v>
      </c>
      <c r="E104" s="32" t="str">
        <f t="shared" si="34"/>
        <v>High Non-Bullpen</v>
      </c>
      <c r="F104" s="32" t="str">
        <f t="shared" si="35"/>
        <v>Long Toss</v>
      </c>
      <c r="G104" s="47" t="str">
        <f t="shared" si="36"/>
        <v>Long toss out to 150 ft — 27 throws (90×11 · 120×9 · 150×7) @ 76–79 mph + flat ground at 60 ft × 25 @ 80–82 mph</v>
      </c>
      <c r="H104" s="30">
        <f t="shared" si="37"/>
        <v>51.864999999999995</v>
      </c>
      <c r="I104" s="46">
        <f>IF($A104="","",IF(AND($L104&lt;27,$K$12=0),"Building",IFERROR(((SUM($H$98:$H104)+$K$12*IF($L104&lt;6,SUMIFS('Throw Log'!$Q$5:$Q$300,'Throw Log'!$B$5:$B$300,$D$4,'Throw Log'!$A$5:$A$300,"&gt;="&amp;($D$6+$L104-6),'Throw Log'!$A$5:$A$300,"&lt;="&amp;($D$6-1)),0))/7)/((SUM($H$77:$H104)+$K$12*IF($L104&lt;27,SUMIFS('Throw Log'!$Q$5:$Q$300,'Throw Log'!$B$5:$B$300,$D$4,'Throw Log'!$A$5:$A$300,"&gt;="&amp;($D$6+$L104-27),'Throw Log'!$A$5:$A$300,"&lt;="&amp;($D$6-1)),0))/28),"")))</f>
        <v>1.2735301292361798</v>
      </c>
      <c r="J104" s="37"/>
      <c r="K104" s="37"/>
      <c r="L104" s="32">
        <v>61</v>
      </c>
      <c r="M104" s="32">
        <f t="shared" si="38"/>
        <v>9</v>
      </c>
      <c r="N104" s="32">
        <f t="shared" si="39"/>
        <v>5</v>
      </c>
      <c r="O104" s="32">
        <f t="shared" si="40"/>
        <v>0.80263157894736847</v>
      </c>
      <c r="P104" s="32">
        <f>IF(OR($A104="",N($C104)&lt;=7),"",$G$6*$G$9^($M104-1)*IF(AND(MOD($M104,Reference!$B$99)=0,$M104&lt;=$G$5-2),Reference!$B$100,1))</f>
        <v>205.39822006322521</v>
      </c>
      <c r="Q104" s="32">
        <f>IF($P104="","",IF(SUM($AK$99:$AK$105)=0,0,$P104*INDEX(Reference!$B$108:$B$114,$N104+1)/SUM($AK$99:$AK$105)))</f>
        <v>51.829457399131599</v>
      </c>
      <c r="R104" s="32">
        <f t="shared" si="41"/>
        <v>180</v>
      </c>
      <c r="S104" s="32">
        <f t="shared" si="42"/>
        <v>150</v>
      </c>
      <c r="T104" s="32" t="str">
        <f>IF($A104="","",IF($C104=0,"Bullpen",IF(OR($C104=7,$C104=1,$C104=5),"Recovery/Easy Catch",IF($C104=6,"Compression/Pulldowns",IF(OR($C104=4,$C104=2),"Long Toss",IF($C104=3,"No Throw",IF($N104=2,"No Throw",IF($N104=6,IF($O104&lt;Reference!$B$104,"No Throw","Recovery/Easy Catch"),IF(OR($N104=0,$N104=4),"Recovery/Easy Catch",IF($N104=1,IF($R104&gt;75,"Long Toss","Recovery/Easy Catch"),IF($N104=3,IF($O104&lt;0.5,IF($S104&gt;75,"Long Toss","Recovery/Easy Catch"),"Compression/Pulldowns"),IF($S104&gt;75,"Long Toss","Recovery/Easy Catch"))))))))))))</f>
        <v>Long Toss</v>
      </c>
      <c r="U104" s="32">
        <f t="shared" si="43"/>
        <v>150</v>
      </c>
      <c r="V104" s="32">
        <f t="shared" si="44"/>
        <v>10</v>
      </c>
      <c r="W104" s="32">
        <f t="shared" si="45"/>
        <v>13</v>
      </c>
      <c r="X104" s="32">
        <f t="shared" si="46"/>
        <v>25</v>
      </c>
      <c r="Y104" s="32">
        <f t="shared" si="47"/>
        <v>7</v>
      </c>
      <c r="Z104" s="32">
        <f t="shared" si="48"/>
        <v>9</v>
      </c>
      <c r="AA104" s="32" t="str">
        <f t="shared" si="49"/>
        <v/>
      </c>
      <c r="AB104" s="32">
        <f>IF($A104="","",IF($T104="No Throw",0,IF($K104&lt;&gt;"",$K104,IF($AA104&lt;&gt;"",ROUND($AA104*$D$12*IF($C104=0,1,$G$10),0),MIN(IF($T104="Recovery/Easy Catch",Reference!$B$103,IF($T104="Long Toss",Reference!$B$106,Reference!$B$102)),MAX(Reference!$B$101,ROUND(MAX(0,$Q104-$AE104)/$AF104,0)))))))</f>
        <v>27</v>
      </c>
      <c r="AC104" s="32">
        <f t="shared" si="50"/>
        <v>0</v>
      </c>
      <c r="AD104" s="32" t="b">
        <f t="shared" si="51"/>
        <v>0</v>
      </c>
      <c r="AE104" s="32">
        <f>IF($X104=0,0,$X104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104+$Z104)/2,0),Reference!$A$17:$B$20,2,TRUE()))</f>
        <v>25</v>
      </c>
      <c r="AF104" s="32">
        <f>IF(OR($A104="",$U104="",$T104="No Throw"),0,$AM104*VLOOKUP(MAX(($V104+$W104)/2,0),Reference!$A$17:$B$20,2,TRUE()))</f>
        <v>0.995</v>
      </c>
      <c r="AG104" s="32">
        <f>IF($AC104=0,0,$AC104*INDEX(Reference!$B$61:$B$62,MATCH("Bullpen",Reference!$A$61:$A$62,0))*VLOOKUP(MAX($D$5-($D$9+$E$9)/2,0),Reference!$A$17:$B$20,2,TRUE()))</f>
        <v>0</v>
      </c>
      <c r="AH104" s="46">
        <f t="shared" si="52"/>
        <v>1.2735301292361798</v>
      </c>
      <c r="AI104" s="32">
        <f>IF($A104="",NA(),Reference!$A$25)</f>
        <v>0.8</v>
      </c>
      <c r="AJ104" s="32">
        <f t="shared" si="53"/>
        <v>1.3</v>
      </c>
      <c r="AK104" s="56">
        <f>IF(OR($A104="",N($C104)&lt;=7,$T104="No Throw",$J104="x"),0,INDEX(Reference!$B$108:$B$114,$N104+1))</f>
        <v>0.27</v>
      </c>
      <c r="AL104" s="32">
        <f t="shared" si="54"/>
        <v>3</v>
      </c>
      <c r="AM104" s="32">
        <f>IF($U104="",0,IF($AL104&gt;1,((IF(1&lt;=$AL104,($AL104-1+3)*(INDEX(Reference!$B$6:$B$11,MIN(5,MATCH(MAX(Reference!$A$6,MIN(Reference!$A$11,MIN($U104,90))),Reference!$A$6:$A$11,1)))+(MAX(Reference!$A$6,MIN(Reference!$A$11,MIN($U104,90)))-INDEX(Reference!$A$6:$A$11,MIN(5,MATCH(MAX(Reference!$A$6,MIN(Reference!$A$11,MIN($U104,90))),Reference!$A$6:$A$11,1))))*(INDEX(Reference!$B$6:$B$11,MIN(5,MATCH(MAX(Reference!$A$6,MIN(Reference!$A$11,MIN($U104,90))),Reference!$A$6:$A$11,1))+1)-INDEX(Reference!$B$6:$B$11,MIN(5,MATCH(MAX(Reference!$A$6,MIN(Reference!$A$11,MIN($U104,90))),Reference!$A$6:$A$11,1))))/(INDEX(Reference!$A$6:$A$11,MIN(5,MATCH(MAX(Reference!$A$6,MIN(Reference!$A$11,MIN($U104,90))),Reference!$A$6:$A$11,1))+1)-INDEX(Reference!$A$6:$A$11,MIN(5,MATCH(MAX(Reference!$A$6,MIN(Reference!$A$11,MIN($U104,90))),Reference!$A$6:$A$11,1))))),0)+IF(2&lt;=$AL104,($AL104-2+3)*(INDEX(Reference!$B$6:$B$11,MIN(5,MATCH(MAX(Reference!$A$6,MIN(Reference!$A$11,MIN($U104,120))),Reference!$A$6:$A$11,1)))+(MAX(Reference!$A$6,MIN(Reference!$A$11,MIN($U104,120)))-INDEX(Reference!$A$6:$A$11,MIN(5,MATCH(MAX(Reference!$A$6,MIN(Reference!$A$11,MIN($U104,120))),Reference!$A$6:$A$11,1))))*(INDEX(Reference!$B$6:$B$11,MIN(5,MATCH(MAX(Reference!$A$6,MIN(Reference!$A$11,MIN($U104,120))),Reference!$A$6:$A$11,1))+1)-INDEX(Reference!$B$6:$B$11,MIN(5,MATCH(MAX(Reference!$A$6,MIN(Reference!$A$11,MIN($U104,120))),Reference!$A$6:$A$11,1))))/(INDEX(Reference!$A$6:$A$11,MIN(5,MATCH(MAX(Reference!$A$6,MIN(Reference!$A$11,MIN($U104,120))),Reference!$A$6:$A$11,1))+1)-INDEX(Reference!$A$6:$A$11,MIN(5,MATCH(MAX(Reference!$A$6,MIN(Reference!$A$11,MIN($U104,120))),Reference!$A$6:$A$11,1))))),0)+IF(3&lt;=$AL104,($AL104-3+3)*(INDEX(Reference!$B$6:$B$11,MIN(5,MATCH(MAX(Reference!$A$6,MIN(Reference!$A$11,MIN($U104,150))),Reference!$A$6:$A$11,1)))+(MAX(Reference!$A$6,MIN(Reference!$A$11,MIN($U104,150)))-INDEX(Reference!$A$6:$A$11,MIN(5,MATCH(MAX(Reference!$A$6,MIN(Reference!$A$11,MIN($U104,150))),Reference!$A$6:$A$11,1))))*(INDEX(Reference!$B$6:$B$11,MIN(5,MATCH(MAX(Reference!$A$6,MIN(Reference!$A$11,MIN($U104,150))),Reference!$A$6:$A$11,1))+1)-INDEX(Reference!$B$6:$B$11,MIN(5,MATCH(MAX(Reference!$A$6,MIN(Reference!$A$11,MIN($U104,150))),Reference!$A$6:$A$11,1))))/(INDEX(Reference!$A$6:$A$11,MIN(5,MATCH(MAX(Reference!$A$6,MIN(Reference!$A$11,MIN($U104,150))),Reference!$A$6:$A$11,1))+1)-INDEX(Reference!$A$6:$A$11,MIN(5,MATCH(MAX(Reference!$A$6,MIN(Reference!$A$11,MIN($U104,150))),Reference!$A$6:$A$11,1))))),0)+IF(4&lt;=$AL104,($AL104-4+3)*(INDEX(Reference!$B$6:$B$11,MIN(5,MATCH(MAX(Reference!$A$6,MIN(Reference!$A$11,MIN($U104,180))),Reference!$A$6:$A$11,1)))+(MAX(Reference!$A$6,MIN(Reference!$A$11,MIN($U104,180)))-INDEX(Reference!$A$6:$A$11,MIN(5,MATCH(MAX(Reference!$A$6,MIN(Reference!$A$11,MIN($U104,180))),Reference!$A$6:$A$11,1))))*(INDEX(Reference!$B$6:$B$11,MIN(5,MATCH(MAX(Reference!$A$6,MIN(Reference!$A$11,MIN($U104,180))),Reference!$A$6:$A$11,1))+1)-INDEX(Reference!$B$6:$B$11,MIN(5,MATCH(MAX(Reference!$A$6,MIN(Reference!$A$11,MIN($U104,180))),Reference!$A$6:$A$11,1))))/(INDEX(Reference!$A$6:$A$11,MIN(5,MATCH(MAX(Reference!$A$6,MIN(Reference!$A$11,MIN($U104,180))),Reference!$A$6:$A$11,1))+1)-INDEX(Reference!$A$6:$A$11,MIN(5,MATCH(MAX(Reference!$A$6,MIN(Reference!$A$11,MIN($U104,180))),Reference!$A$6:$A$11,1))))),0)+IF(5&lt;=$AL104,($AL104-5+3)*(INDEX(Reference!$B$6:$B$11,MIN(5,MATCH(MAX(Reference!$A$6,MIN(Reference!$A$11,MIN($U104,210))),Reference!$A$6:$A$11,1)))+(MAX(Reference!$A$6,MIN(Reference!$A$11,MIN($U104,210)))-INDEX(Reference!$A$6:$A$11,MIN(5,MATCH(MAX(Reference!$A$6,MIN(Reference!$A$11,MIN($U104,210))),Reference!$A$6:$A$11,1))))*(INDEX(Reference!$B$6:$B$11,MIN(5,MATCH(MAX(Reference!$A$6,MIN(Reference!$A$11,MIN($U104,210))),Reference!$A$6:$A$11,1))+1)-INDEX(Reference!$B$6:$B$11,MIN(5,MATCH(MAX(Reference!$A$6,MIN(Reference!$A$11,MIN($U104,210))),Reference!$A$6:$A$11,1))))/(INDEX(Reference!$A$6:$A$11,MIN(5,MATCH(MAX(Reference!$A$6,MIN(Reference!$A$11,MIN($U104,210))),Reference!$A$6:$A$11,1))+1)-INDEX(Reference!$A$6:$A$11,MIN(5,MATCH(MAX(Reference!$A$6,MIN(Reference!$A$11,MIN($U104,210))),Reference!$A$6:$A$11,1))))),0)+IF(6&lt;=$AL104,($AL104-6+3)*(INDEX(Reference!$B$6:$B$11,MIN(5,MATCH(MAX(Reference!$A$6,MIN(Reference!$A$11,MIN($U104,240))),Reference!$A$6:$A$11,1)))+(MAX(Reference!$A$6,MIN(Reference!$A$11,MIN($U104,240)))-INDEX(Reference!$A$6:$A$11,MIN(5,MATCH(MAX(Reference!$A$6,MIN(Reference!$A$11,MIN($U104,240))),Reference!$A$6:$A$11,1))))*(INDEX(Reference!$B$6:$B$11,MIN(5,MATCH(MAX(Reference!$A$6,MIN(Reference!$A$11,MIN($U104,240))),Reference!$A$6:$A$11,1))+1)-INDEX(Reference!$B$6:$B$11,MIN(5,MATCH(MAX(Reference!$A$6,MIN(Reference!$A$11,MIN($U104,240))),Reference!$A$6:$A$11,1))))/(INDEX(Reference!$A$6:$A$11,MIN(5,MATCH(MAX(Reference!$A$6,MIN(Reference!$A$11,MIN($U104,240))),Reference!$A$6:$A$11,1))+1)-INDEX(Reference!$A$6:$A$11,MIN(5,MATCH(MAX(Reference!$A$6,MIN(Reference!$A$11,MIN($U104,240))),Reference!$A$6:$A$11,1))))),0)+IF(7&lt;=$AL104,($AL104-7+3)*(INDEX(Reference!$B$6:$B$11,MIN(5,MATCH(MAX(Reference!$A$6,MIN(Reference!$A$11,MIN($U104,270))),Reference!$A$6:$A$11,1)))+(MAX(Reference!$A$6,MIN(Reference!$A$11,MIN($U104,270)))-INDEX(Reference!$A$6:$A$11,MIN(5,MATCH(MAX(Reference!$A$6,MIN(Reference!$A$11,MIN($U104,270))),Reference!$A$6:$A$11,1))))*(INDEX(Reference!$B$6:$B$11,MIN(5,MATCH(MAX(Reference!$A$6,MIN(Reference!$A$11,MIN($U104,270))),Reference!$A$6:$A$11,1))+1)-INDEX(Reference!$B$6:$B$11,MIN(5,MATCH(MAX(Reference!$A$6,MIN(Reference!$A$11,MIN($U104,270))),Reference!$A$6:$A$11,1))))/(INDEX(Reference!$A$6:$A$11,MIN(5,MATCH(MAX(Reference!$A$6,MIN(Reference!$A$11,MIN($U104,270))),Reference!$A$6:$A$11,1))+1)-INDEX(Reference!$A$6:$A$11,MIN(5,MATCH(MAX(Reference!$A$6,MIN(Reference!$A$11,MIN($U104,270))),Reference!$A$6:$A$11,1))))),0)+IF(8&lt;=$AL104,($AL104-8+3)*(INDEX(Reference!$B$6:$B$11,MIN(5,MATCH(MAX(Reference!$A$6,MIN(Reference!$A$11,MIN($U104,300))),Reference!$A$6:$A$11,1)))+(MAX(Reference!$A$6,MIN(Reference!$A$11,MIN($U104,300)))-INDEX(Reference!$A$6:$A$11,MIN(5,MATCH(MAX(Reference!$A$6,MIN(Reference!$A$11,MIN($U104,300))),Reference!$A$6:$A$11,1))))*(INDEX(Reference!$B$6:$B$11,MIN(5,MATCH(MAX(Reference!$A$6,MIN(Reference!$A$11,MIN($U104,300))),Reference!$A$6:$A$11,1))+1)-INDEX(Reference!$B$6:$B$11,MIN(5,MATCH(MAX(Reference!$A$6,MIN(Reference!$A$11,MIN($U104,300))),Reference!$A$6:$A$11,1))))/(INDEX(Reference!$A$6:$A$11,MIN(5,MATCH(MAX(Reference!$A$6,MIN(Reference!$A$11,MIN($U104,300))),Reference!$A$6:$A$11,1))+1)-INDEX(Reference!$A$6:$A$11,MIN(5,MATCH(MAX(Reference!$A$6,MIN(Reference!$A$11,MIN($U104,300))),Reference!$A$6:$A$11,1))))),0))/($AL104*($AL104+5)/2)),$AN104))</f>
        <v>1.6583333333333334</v>
      </c>
      <c r="AN104" s="32">
        <f>IF($U104="",0,(INDEX(Reference!$B$6:$B$11,MIN(5,MATCH(MAX(Reference!$A$6,MIN(Reference!$A$11,$U104)),Reference!$A$6:$A$11,1)))+(MAX(Reference!$A$6,MIN(Reference!$A$11,$U104))-INDEX(Reference!$A$6:$A$11,MIN(5,MATCH(MAX(Reference!$A$6,MIN(Reference!$A$11,$U104)),Reference!$A$6:$A$11,1))))*(INDEX(Reference!$B$6:$B$11,MIN(5,MATCH(MAX(Reference!$A$6,MIN(Reference!$A$11,$U104)),Reference!$A$6:$A$11,1))+1)-INDEX(Reference!$B$6:$B$11,MIN(5,MATCH(MAX(Reference!$A$6,MIN(Reference!$A$11,$U104)),Reference!$A$6:$A$11,1))))/(INDEX(Reference!$A$6:$A$11,MIN(5,MATCH(MAX(Reference!$A$6,MIN(Reference!$A$11,$U104)),Reference!$A$6:$A$11,1))+1)-INDEX(Reference!$A$6:$A$11,MIN(5,MATCH(MAX(Reference!$A$6,MIN(Reference!$A$11,$U104)),Reference!$A$6:$A$11,1))))))</f>
        <v>2.2000000000000002</v>
      </c>
      <c r="AO104" s="37"/>
      <c r="AP104" s="37"/>
      <c r="AQ104" s="37"/>
    </row>
    <row r="105" spans="1:43" x14ac:dyDescent="0.3">
      <c r="A105" s="48">
        <f t="shared" si="30"/>
        <v>46369</v>
      </c>
      <c r="B105" s="32" t="str">
        <f t="shared" si="31"/>
        <v>Sun</v>
      </c>
      <c r="C105" s="32">
        <f t="shared" si="32"/>
        <v>22</v>
      </c>
      <c r="D105" s="32" t="str">
        <f t="shared" si="33"/>
        <v>Flat Ground / Intent</v>
      </c>
      <c r="E105" s="32" t="str">
        <f t="shared" si="34"/>
        <v>Low</v>
      </c>
      <c r="F105" s="32" t="str">
        <f t="shared" si="35"/>
        <v>Recovery/Easy Catch</v>
      </c>
      <c r="G105" s="47" t="str">
        <f t="shared" si="36"/>
        <v>60 ft × 25 @ 65–69 mph</v>
      </c>
      <c r="H105" s="30">
        <f t="shared" si="37"/>
        <v>15</v>
      </c>
      <c r="I105" s="46">
        <f>IF($A105="","",IF(AND($L105&lt;27,$K$12=0),"Building",IFERROR(((SUM($H$99:$H105)+$K$12*IF($L105&lt;6,SUMIFS('Throw Log'!$Q$5:$Q$300,'Throw Log'!$B$5:$B$300,$D$4,'Throw Log'!$A$5:$A$300,"&gt;="&amp;($D$6+$L105-6),'Throw Log'!$A$5:$A$300,"&lt;="&amp;($D$6-1)),0))/7)/((SUM($H$78:$H105)+$K$12*IF($L105&lt;27,SUMIFS('Throw Log'!$Q$5:$Q$300,'Throw Log'!$B$5:$B$300,$D$4,'Throw Log'!$A$5:$A$300,"&gt;="&amp;($D$6+$L105-27),'Throw Log'!$A$5:$A$300,"&lt;="&amp;($D$6-1)),0))/28),"")))</f>
        <v>1.2626663148865445</v>
      </c>
      <c r="J105" s="37"/>
      <c r="K105" s="37">
        <v>25</v>
      </c>
      <c r="L105" s="32">
        <v>62</v>
      </c>
      <c r="M105" s="32">
        <f t="shared" si="38"/>
        <v>9</v>
      </c>
      <c r="N105" s="32">
        <f t="shared" si="39"/>
        <v>6</v>
      </c>
      <c r="O105" s="32">
        <f t="shared" si="40"/>
        <v>0.81578947368421051</v>
      </c>
      <c r="P105" s="32">
        <f>IF(OR($A105="",N($C105)&lt;=7),"",$G$6*$G$9^($M105-1)*IF(AND(MOD($M105,Reference!$B$99)=0,$M105&lt;=$G$5-2),Reference!$B$100,1))</f>
        <v>205.39822006322521</v>
      </c>
      <c r="Q105" s="32">
        <f>IF($P105="","",IF(SUM($AK$99:$AK$105)=0,0,$P105*INDEX(Reference!$B$108:$B$114,$N105+1)/SUM($AK$99:$AK$105)))</f>
        <v>13.43726673310819</v>
      </c>
      <c r="R105" s="32">
        <f t="shared" si="41"/>
        <v>180</v>
      </c>
      <c r="S105" s="32">
        <f t="shared" si="42"/>
        <v>150</v>
      </c>
      <c r="T105" s="32" t="str">
        <f>IF($A105="","",IF($C105=0,"Bullpen",IF(OR($C105=7,$C105=1,$C105=5),"Recovery/Easy Catch",IF($C105=6,"Compression/Pulldowns",IF(OR($C105=4,$C105=2),"Long Toss",IF($C105=3,"No Throw",IF($N105=2,"No Throw",IF($N105=6,IF($O105&lt;Reference!$B$104,"No Throw","Recovery/Easy Catch"),IF(OR($N105=0,$N105=4),"Recovery/Easy Catch",IF($N105=1,IF($R105&gt;75,"Long Toss","Recovery/Easy Catch"),IF($N105=3,IF($O105&lt;0.5,IF($S105&gt;75,"Long Toss","Recovery/Easy Catch"),"Compression/Pulldowns"),IF($S105&gt;75,"Long Toss","Recovery/Easy Catch"))))))))))))</f>
        <v>Recovery/Easy Catch</v>
      </c>
      <c r="U105" s="32">
        <f t="shared" si="43"/>
        <v>60</v>
      </c>
      <c r="V105" s="32">
        <f t="shared" si="44"/>
        <v>20</v>
      </c>
      <c r="W105" s="32">
        <f t="shared" si="45"/>
        <v>24</v>
      </c>
      <c r="X105" s="32">
        <f t="shared" si="46"/>
        <v>0</v>
      </c>
      <c r="Y105" s="32" t="str">
        <f t="shared" si="47"/>
        <v/>
      </c>
      <c r="Z105" s="32" t="str">
        <f t="shared" si="48"/>
        <v/>
      </c>
      <c r="AA105" s="32" t="str">
        <f t="shared" si="49"/>
        <v/>
      </c>
      <c r="AB105" s="32">
        <f>IF($A105="","",IF($T105="No Throw",0,IF($K105&lt;&gt;"",$K105,IF($AA105&lt;&gt;"",ROUND($AA105*$D$12*IF($C105=0,1,$G$10),0),MIN(IF($T105="Recovery/Easy Catch",Reference!$B$103,IF($T105="Long Toss",Reference!$B$106,Reference!$B$102)),MAX(Reference!$B$101,ROUND(MAX(0,$Q105-$AE105)/$AF105,0)))))))</f>
        <v>25</v>
      </c>
      <c r="AC105" s="32">
        <f t="shared" si="50"/>
        <v>0</v>
      </c>
      <c r="AD105" s="32" t="b">
        <f t="shared" si="51"/>
        <v>0</v>
      </c>
      <c r="AE105" s="32">
        <f>IF($X105=0,0,$X105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105+$Z105)/2,0),Reference!$A$17:$B$20,2,TRUE()))</f>
        <v>0</v>
      </c>
      <c r="AF105" s="32">
        <f>IF(OR($A105="",$U105="",$T105="No Throw"),0,$AM105*VLOOKUP(MAX(($V105+$W105)/2,0),Reference!$A$17:$B$20,2,TRUE()))</f>
        <v>0.6</v>
      </c>
      <c r="AG105" s="32">
        <f>IF($AC105=0,0,$AC105*INDEX(Reference!$B$61:$B$62,MATCH("Bullpen",Reference!$A$61:$A$62,0))*VLOOKUP(MAX($D$5-($D$9+$E$9)/2,0),Reference!$A$17:$B$20,2,TRUE()))</f>
        <v>0</v>
      </c>
      <c r="AH105" s="46">
        <f t="shared" si="52"/>
        <v>1.2626663148865445</v>
      </c>
      <c r="AI105" s="32">
        <f>IF($A105="",NA(),Reference!$A$25)</f>
        <v>0.8</v>
      </c>
      <c r="AJ105" s="32">
        <f t="shared" si="53"/>
        <v>1.3</v>
      </c>
      <c r="AK105" s="56">
        <f>IF(OR($A105="",N($C105)&lt;=7,$T105="No Throw",$J105="x"),0,INDEX(Reference!$B$108:$B$114,$N105+1))</f>
        <v>7.0000000000000007E-2</v>
      </c>
      <c r="AL105" s="32">
        <f t="shared" si="54"/>
        <v>1</v>
      </c>
      <c r="AM105" s="32">
        <f>IF($U105="",0,IF($AL105&gt;1,((IF(1&lt;=$AL105,($AL105-1+3)*(INDEX(Reference!$B$6:$B$11,MIN(5,MATCH(MAX(Reference!$A$6,MIN(Reference!$A$11,MIN($U105,90))),Reference!$A$6:$A$11,1)))+(MAX(Reference!$A$6,MIN(Reference!$A$11,MIN($U105,90)))-INDEX(Reference!$A$6:$A$11,MIN(5,MATCH(MAX(Reference!$A$6,MIN(Reference!$A$11,MIN($U105,90))),Reference!$A$6:$A$11,1))))*(INDEX(Reference!$B$6:$B$11,MIN(5,MATCH(MAX(Reference!$A$6,MIN(Reference!$A$11,MIN($U105,90))),Reference!$A$6:$A$11,1))+1)-INDEX(Reference!$B$6:$B$11,MIN(5,MATCH(MAX(Reference!$A$6,MIN(Reference!$A$11,MIN($U105,90))),Reference!$A$6:$A$11,1))))/(INDEX(Reference!$A$6:$A$11,MIN(5,MATCH(MAX(Reference!$A$6,MIN(Reference!$A$11,MIN($U105,90))),Reference!$A$6:$A$11,1))+1)-INDEX(Reference!$A$6:$A$11,MIN(5,MATCH(MAX(Reference!$A$6,MIN(Reference!$A$11,MIN($U105,90))),Reference!$A$6:$A$11,1))))),0)+IF(2&lt;=$AL105,($AL105-2+3)*(INDEX(Reference!$B$6:$B$11,MIN(5,MATCH(MAX(Reference!$A$6,MIN(Reference!$A$11,MIN($U105,120))),Reference!$A$6:$A$11,1)))+(MAX(Reference!$A$6,MIN(Reference!$A$11,MIN($U105,120)))-INDEX(Reference!$A$6:$A$11,MIN(5,MATCH(MAX(Reference!$A$6,MIN(Reference!$A$11,MIN($U105,120))),Reference!$A$6:$A$11,1))))*(INDEX(Reference!$B$6:$B$11,MIN(5,MATCH(MAX(Reference!$A$6,MIN(Reference!$A$11,MIN($U105,120))),Reference!$A$6:$A$11,1))+1)-INDEX(Reference!$B$6:$B$11,MIN(5,MATCH(MAX(Reference!$A$6,MIN(Reference!$A$11,MIN($U105,120))),Reference!$A$6:$A$11,1))))/(INDEX(Reference!$A$6:$A$11,MIN(5,MATCH(MAX(Reference!$A$6,MIN(Reference!$A$11,MIN($U105,120))),Reference!$A$6:$A$11,1))+1)-INDEX(Reference!$A$6:$A$11,MIN(5,MATCH(MAX(Reference!$A$6,MIN(Reference!$A$11,MIN($U105,120))),Reference!$A$6:$A$11,1))))),0)+IF(3&lt;=$AL105,($AL105-3+3)*(INDEX(Reference!$B$6:$B$11,MIN(5,MATCH(MAX(Reference!$A$6,MIN(Reference!$A$11,MIN($U105,150))),Reference!$A$6:$A$11,1)))+(MAX(Reference!$A$6,MIN(Reference!$A$11,MIN($U105,150)))-INDEX(Reference!$A$6:$A$11,MIN(5,MATCH(MAX(Reference!$A$6,MIN(Reference!$A$11,MIN($U105,150))),Reference!$A$6:$A$11,1))))*(INDEX(Reference!$B$6:$B$11,MIN(5,MATCH(MAX(Reference!$A$6,MIN(Reference!$A$11,MIN($U105,150))),Reference!$A$6:$A$11,1))+1)-INDEX(Reference!$B$6:$B$11,MIN(5,MATCH(MAX(Reference!$A$6,MIN(Reference!$A$11,MIN($U105,150))),Reference!$A$6:$A$11,1))))/(INDEX(Reference!$A$6:$A$11,MIN(5,MATCH(MAX(Reference!$A$6,MIN(Reference!$A$11,MIN($U105,150))),Reference!$A$6:$A$11,1))+1)-INDEX(Reference!$A$6:$A$11,MIN(5,MATCH(MAX(Reference!$A$6,MIN(Reference!$A$11,MIN($U105,150))),Reference!$A$6:$A$11,1))))),0)+IF(4&lt;=$AL105,($AL105-4+3)*(INDEX(Reference!$B$6:$B$11,MIN(5,MATCH(MAX(Reference!$A$6,MIN(Reference!$A$11,MIN($U105,180))),Reference!$A$6:$A$11,1)))+(MAX(Reference!$A$6,MIN(Reference!$A$11,MIN($U105,180)))-INDEX(Reference!$A$6:$A$11,MIN(5,MATCH(MAX(Reference!$A$6,MIN(Reference!$A$11,MIN($U105,180))),Reference!$A$6:$A$11,1))))*(INDEX(Reference!$B$6:$B$11,MIN(5,MATCH(MAX(Reference!$A$6,MIN(Reference!$A$11,MIN($U105,180))),Reference!$A$6:$A$11,1))+1)-INDEX(Reference!$B$6:$B$11,MIN(5,MATCH(MAX(Reference!$A$6,MIN(Reference!$A$11,MIN($U105,180))),Reference!$A$6:$A$11,1))))/(INDEX(Reference!$A$6:$A$11,MIN(5,MATCH(MAX(Reference!$A$6,MIN(Reference!$A$11,MIN($U105,180))),Reference!$A$6:$A$11,1))+1)-INDEX(Reference!$A$6:$A$11,MIN(5,MATCH(MAX(Reference!$A$6,MIN(Reference!$A$11,MIN($U105,180))),Reference!$A$6:$A$11,1))))),0)+IF(5&lt;=$AL105,($AL105-5+3)*(INDEX(Reference!$B$6:$B$11,MIN(5,MATCH(MAX(Reference!$A$6,MIN(Reference!$A$11,MIN($U105,210))),Reference!$A$6:$A$11,1)))+(MAX(Reference!$A$6,MIN(Reference!$A$11,MIN($U105,210)))-INDEX(Reference!$A$6:$A$11,MIN(5,MATCH(MAX(Reference!$A$6,MIN(Reference!$A$11,MIN($U105,210))),Reference!$A$6:$A$11,1))))*(INDEX(Reference!$B$6:$B$11,MIN(5,MATCH(MAX(Reference!$A$6,MIN(Reference!$A$11,MIN($U105,210))),Reference!$A$6:$A$11,1))+1)-INDEX(Reference!$B$6:$B$11,MIN(5,MATCH(MAX(Reference!$A$6,MIN(Reference!$A$11,MIN($U105,210))),Reference!$A$6:$A$11,1))))/(INDEX(Reference!$A$6:$A$11,MIN(5,MATCH(MAX(Reference!$A$6,MIN(Reference!$A$11,MIN($U105,210))),Reference!$A$6:$A$11,1))+1)-INDEX(Reference!$A$6:$A$11,MIN(5,MATCH(MAX(Reference!$A$6,MIN(Reference!$A$11,MIN($U105,210))),Reference!$A$6:$A$11,1))))),0)+IF(6&lt;=$AL105,($AL105-6+3)*(INDEX(Reference!$B$6:$B$11,MIN(5,MATCH(MAX(Reference!$A$6,MIN(Reference!$A$11,MIN($U105,240))),Reference!$A$6:$A$11,1)))+(MAX(Reference!$A$6,MIN(Reference!$A$11,MIN($U105,240)))-INDEX(Reference!$A$6:$A$11,MIN(5,MATCH(MAX(Reference!$A$6,MIN(Reference!$A$11,MIN($U105,240))),Reference!$A$6:$A$11,1))))*(INDEX(Reference!$B$6:$B$11,MIN(5,MATCH(MAX(Reference!$A$6,MIN(Reference!$A$11,MIN($U105,240))),Reference!$A$6:$A$11,1))+1)-INDEX(Reference!$B$6:$B$11,MIN(5,MATCH(MAX(Reference!$A$6,MIN(Reference!$A$11,MIN($U105,240))),Reference!$A$6:$A$11,1))))/(INDEX(Reference!$A$6:$A$11,MIN(5,MATCH(MAX(Reference!$A$6,MIN(Reference!$A$11,MIN($U105,240))),Reference!$A$6:$A$11,1))+1)-INDEX(Reference!$A$6:$A$11,MIN(5,MATCH(MAX(Reference!$A$6,MIN(Reference!$A$11,MIN($U105,240))),Reference!$A$6:$A$11,1))))),0)+IF(7&lt;=$AL105,($AL105-7+3)*(INDEX(Reference!$B$6:$B$11,MIN(5,MATCH(MAX(Reference!$A$6,MIN(Reference!$A$11,MIN($U105,270))),Reference!$A$6:$A$11,1)))+(MAX(Reference!$A$6,MIN(Reference!$A$11,MIN($U105,270)))-INDEX(Reference!$A$6:$A$11,MIN(5,MATCH(MAX(Reference!$A$6,MIN(Reference!$A$11,MIN($U105,270))),Reference!$A$6:$A$11,1))))*(INDEX(Reference!$B$6:$B$11,MIN(5,MATCH(MAX(Reference!$A$6,MIN(Reference!$A$11,MIN($U105,270))),Reference!$A$6:$A$11,1))+1)-INDEX(Reference!$B$6:$B$11,MIN(5,MATCH(MAX(Reference!$A$6,MIN(Reference!$A$11,MIN($U105,270))),Reference!$A$6:$A$11,1))))/(INDEX(Reference!$A$6:$A$11,MIN(5,MATCH(MAX(Reference!$A$6,MIN(Reference!$A$11,MIN($U105,270))),Reference!$A$6:$A$11,1))+1)-INDEX(Reference!$A$6:$A$11,MIN(5,MATCH(MAX(Reference!$A$6,MIN(Reference!$A$11,MIN($U105,270))),Reference!$A$6:$A$11,1))))),0)+IF(8&lt;=$AL105,($AL105-8+3)*(INDEX(Reference!$B$6:$B$11,MIN(5,MATCH(MAX(Reference!$A$6,MIN(Reference!$A$11,MIN($U105,300))),Reference!$A$6:$A$11,1)))+(MAX(Reference!$A$6,MIN(Reference!$A$11,MIN($U105,300)))-INDEX(Reference!$A$6:$A$11,MIN(5,MATCH(MAX(Reference!$A$6,MIN(Reference!$A$11,MIN($U105,300))),Reference!$A$6:$A$11,1))))*(INDEX(Reference!$B$6:$B$11,MIN(5,MATCH(MAX(Reference!$A$6,MIN(Reference!$A$11,MIN($U105,300))),Reference!$A$6:$A$11,1))+1)-INDEX(Reference!$B$6:$B$11,MIN(5,MATCH(MAX(Reference!$A$6,MIN(Reference!$A$11,MIN($U105,300))),Reference!$A$6:$A$11,1))))/(INDEX(Reference!$A$6:$A$11,MIN(5,MATCH(MAX(Reference!$A$6,MIN(Reference!$A$11,MIN($U105,300))),Reference!$A$6:$A$11,1))+1)-INDEX(Reference!$A$6:$A$11,MIN(5,MATCH(MAX(Reference!$A$6,MIN(Reference!$A$11,MIN($U105,300))),Reference!$A$6:$A$11,1))))),0))/($AL105*($AL105+5)/2)),$AN105))</f>
        <v>1</v>
      </c>
      <c r="AN105" s="32">
        <f>IF($U105="",0,(INDEX(Reference!$B$6:$B$11,MIN(5,MATCH(MAX(Reference!$A$6,MIN(Reference!$A$11,$U105)),Reference!$A$6:$A$11,1)))+(MAX(Reference!$A$6,MIN(Reference!$A$11,$U105))-INDEX(Reference!$A$6:$A$11,MIN(5,MATCH(MAX(Reference!$A$6,MIN(Reference!$A$11,$U105)),Reference!$A$6:$A$11,1))))*(INDEX(Reference!$B$6:$B$11,MIN(5,MATCH(MAX(Reference!$A$6,MIN(Reference!$A$11,$U105)),Reference!$A$6:$A$11,1))+1)-INDEX(Reference!$B$6:$B$11,MIN(5,MATCH(MAX(Reference!$A$6,MIN(Reference!$A$11,$U105)),Reference!$A$6:$A$11,1))))/(INDEX(Reference!$A$6:$A$11,MIN(5,MATCH(MAX(Reference!$A$6,MIN(Reference!$A$11,$U105)),Reference!$A$6:$A$11,1))+1)-INDEX(Reference!$A$6:$A$11,MIN(5,MATCH(MAX(Reference!$A$6,MIN(Reference!$A$11,$U105)),Reference!$A$6:$A$11,1))))))</f>
        <v>1</v>
      </c>
      <c r="AO105" s="37"/>
      <c r="AP105" s="37"/>
      <c r="AQ105" s="37"/>
    </row>
    <row r="106" spans="1:43" x14ac:dyDescent="0.3">
      <c r="A106" s="48">
        <f t="shared" si="30"/>
        <v>46370</v>
      </c>
      <c r="B106" s="32" t="str">
        <f t="shared" si="31"/>
        <v>Mon</v>
      </c>
      <c r="C106" s="32">
        <f t="shared" si="32"/>
        <v>21</v>
      </c>
      <c r="D106" s="32" t="str">
        <f t="shared" si="33"/>
        <v>Flat Ground / Intent</v>
      </c>
      <c r="E106" s="32" t="str">
        <f t="shared" si="34"/>
        <v>Low</v>
      </c>
      <c r="F106" s="32" t="str">
        <f t="shared" si="35"/>
        <v>Recovery/Easy Catch</v>
      </c>
      <c r="G106" s="47" t="str">
        <f t="shared" si="36"/>
        <v>75 ft × 35 @ 67–71 mph</v>
      </c>
      <c r="H106" s="30">
        <f t="shared" si="37"/>
        <v>24.15</v>
      </c>
      <c r="I106" s="46">
        <f>IF($A106="","",IF(AND($L106&lt;27,$K$12=0),"Building",IFERROR(((SUM($H$100:$H106)+$K$12*IF($L106&lt;6,SUMIFS('Throw Log'!$Q$5:$Q$300,'Throw Log'!$B$5:$B$300,$D$4,'Throw Log'!$A$5:$A$300,"&gt;="&amp;($D$6+$L106-6),'Throw Log'!$A$5:$A$300,"&lt;="&amp;($D$6-1)),0))/7)/((SUM($H$79:$H106)+$K$12*IF($L106&lt;27,SUMIFS('Throw Log'!$Q$5:$Q$300,'Throw Log'!$B$5:$B$300,$D$4,'Throw Log'!$A$5:$A$300,"&gt;="&amp;($D$6+$L106-27),'Throw Log'!$A$5:$A$300,"&lt;="&amp;($D$6-1)),0))/28),"")))</f>
        <v>1.2578346015253621</v>
      </c>
      <c r="J106" s="37"/>
      <c r="K106" s="37">
        <v>35</v>
      </c>
      <c r="L106" s="32">
        <v>63</v>
      </c>
      <c r="M106" s="32">
        <f t="shared" si="38"/>
        <v>10</v>
      </c>
      <c r="N106" s="32">
        <f t="shared" si="39"/>
        <v>0</v>
      </c>
      <c r="O106" s="32">
        <f t="shared" si="40"/>
        <v>0.82894736842105265</v>
      </c>
      <c r="P106" s="32">
        <f>IF(OR($A106="",N($C106)&lt;=7),"",$G$6*$G$9^($M106-1)*IF(AND(MOD($M106,Reference!$B$99)=0,$M106&lt;=$G$5-2),Reference!$B$100,1))</f>
        <v>231.09205355537119</v>
      </c>
      <c r="Q106" s="32">
        <f>IF($P106="","",IF(SUM($AK$106:$AK$112)=0,0,$P106*INDEX(Reference!$B$108:$B$114,$N106+1)/SUM($AK$106:$AK$112)))</f>
        <v>25.916865819293964</v>
      </c>
      <c r="R106" s="32">
        <f t="shared" si="41"/>
        <v>180</v>
      </c>
      <c r="S106" s="32">
        <f t="shared" si="42"/>
        <v>150</v>
      </c>
      <c r="T106" s="32" t="str">
        <f>IF($A106="","",IF($C106=0,"Bullpen",IF(OR($C106=7,$C106=1,$C106=5),"Recovery/Easy Catch",IF($C106=6,"Compression/Pulldowns",IF(OR($C106=4,$C106=2),"Long Toss",IF($C106=3,"No Throw",IF($N106=2,"No Throw",IF($N106=6,IF($O106&lt;Reference!$B$104,"No Throw","Recovery/Easy Catch"),IF(OR($N106=0,$N106=4),"Recovery/Easy Catch",IF($N106=1,IF($R106&gt;75,"Long Toss","Recovery/Easy Catch"),IF($N106=3,IF($O106&lt;0.5,IF($S106&gt;75,"Long Toss","Recovery/Easy Catch"),"Compression/Pulldowns"),IF($S106&gt;75,"Long Toss","Recovery/Easy Catch"))))))))))))</f>
        <v>Recovery/Easy Catch</v>
      </c>
      <c r="U106" s="32">
        <f t="shared" si="43"/>
        <v>75</v>
      </c>
      <c r="V106" s="32">
        <f t="shared" si="44"/>
        <v>18</v>
      </c>
      <c r="W106" s="32">
        <f t="shared" si="45"/>
        <v>22</v>
      </c>
      <c r="X106" s="32">
        <f t="shared" si="46"/>
        <v>0</v>
      </c>
      <c r="Y106" s="32" t="str">
        <f t="shared" si="47"/>
        <v/>
      </c>
      <c r="Z106" s="32" t="str">
        <f t="shared" si="48"/>
        <v/>
      </c>
      <c r="AA106" s="32" t="str">
        <f t="shared" si="49"/>
        <v/>
      </c>
      <c r="AB106" s="32">
        <f>IF($A106="","",IF($T106="No Throw",0,IF($K106&lt;&gt;"",$K106,IF($AA106&lt;&gt;"",ROUND($AA106*$D$12*IF($C106=0,1,$G$10),0),MIN(IF($T106="Recovery/Easy Catch",Reference!$B$103,IF($T106="Long Toss",Reference!$B$106,Reference!$B$102)),MAX(Reference!$B$101,ROUND(MAX(0,$Q106-$AE106)/$AF106,0)))))))</f>
        <v>35</v>
      </c>
      <c r="AC106" s="32">
        <f t="shared" si="50"/>
        <v>0</v>
      </c>
      <c r="AD106" s="32" t="b">
        <f t="shared" si="51"/>
        <v>0</v>
      </c>
      <c r="AE106" s="32">
        <f>IF($X106=0,0,$X106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106+$Z106)/2,0),Reference!$A$17:$B$20,2,TRUE()))</f>
        <v>0</v>
      </c>
      <c r="AF106" s="32">
        <f>IF(OR($A106="",$U106="",$T106="No Throw"),0,$AM106*VLOOKUP(MAX(($V106+$W106)/2,0),Reference!$A$17:$B$20,2,TRUE()))</f>
        <v>0.69</v>
      </c>
      <c r="AG106" s="32">
        <f>IF($AC106=0,0,$AC106*INDEX(Reference!$B$61:$B$62,MATCH("Bullpen",Reference!$A$61:$A$62,0))*VLOOKUP(MAX($D$5-($D$9+$E$9)/2,0),Reference!$A$17:$B$20,2,TRUE()))</f>
        <v>0</v>
      </c>
      <c r="AH106" s="46">
        <f t="shared" si="52"/>
        <v>1.2578346015253621</v>
      </c>
      <c r="AI106" s="32">
        <f>IF($A106="",NA(),Reference!$A$25)</f>
        <v>0.8</v>
      </c>
      <c r="AJ106" s="32">
        <f t="shared" si="53"/>
        <v>1.3</v>
      </c>
      <c r="AK106" s="56">
        <f>IF(OR($A106="",N($C106)&lt;=7,$T106="No Throw",$J106="x"),0,INDEX(Reference!$B$108:$B$114,$N106+1))</f>
        <v>0.12</v>
      </c>
      <c r="AL106" s="32">
        <f t="shared" si="54"/>
        <v>1</v>
      </c>
      <c r="AM106" s="32">
        <f>IF($U106="",0,IF($AL106&gt;1,((IF(1&lt;=$AL106,($AL106-1+3)*(INDEX(Reference!$B$6:$B$11,MIN(5,MATCH(MAX(Reference!$A$6,MIN(Reference!$A$11,MIN($U106,90))),Reference!$A$6:$A$11,1)))+(MAX(Reference!$A$6,MIN(Reference!$A$11,MIN($U106,90)))-INDEX(Reference!$A$6:$A$11,MIN(5,MATCH(MAX(Reference!$A$6,MIN(Reference!$A$11,MIN($U106,90))),Reference!$A$6:$A$11,1))))*(INDEX(Reference!$B$6:$B$11,MIN(5,MATCH(MAX(Reference!$A$6,MIN(Reference!$A$11,MIN($U106,90))),Reference!$A$6:$A$11,1))+1)-INDEX(Reference!$B$6:$B$11,MIN(5,MATCH(MAX(Reference!$A$6,MIN(Reference!$A$11,MIN($U106,90))),Reference!$A$6:$A$11,1))))/(INDEX(Reference!$A$6:$A$11,MIN(5,MATCH(MAX(Reference!$A$6,MIN(Reference!$A$11,MIN($U106,90))),Reference!$A$6:$A$11,1))+1)-INDEX(Reference!$A$6:$A$11,MIN(5,MATCH(MAX(Reference!$A$6,MIN(Reference!$A$11,MIN($U106,90))),Reference!$A$6:$A$11,1))))),0)+IF(2&lt;=$AL106,($AL106-2+3)*(INDEX(Reference!$B$6:$B$11,MIN(5,MATCH(MAX(Reference!$A$6,MIN(Reference!$A$11,MIN($U106,120))),Reference!$A$6:$A$11,1)))+(MAX(Reference!$A$6,MIN(Reference!$A$11,MIN($U106,120)))-INDEX(Reference!$A$6:$A$11,MIN(5,MATCH(MAX(Reference!$A$6,MIN(Reference!$A$11,MIN($U106,120))),Reference!$A$6:$A$11,1))))*(INDEX(Reference!$B$6:$B$11,MIN(5,MATCH(MAX(Reference!$A$6,MIN(Reference!$A$11,MIN($U106,120))),Reference!$A$6:$A$11,1))+1)-INDEX(Reference!$B$6:$B$11,MIN(5,MATCH(MAX(Reference!$A$6,MIN(Reference!$A$11,MIN($U106,120))),Reference!$A$6:$A$11,1))))/(INDEX(Reference!$A$6:$A$11,MIN(5,MATCH(MAX(Reference!$A$6,MIN(Reference!$A$11,MIN($U106,120))),Reference!$A$6:$A$11,1))+1)-INDEX(Reference!$A$6:$A$11,MIN(5,MATCH(MAX(Reference!$A$6,MIN(Reference!$A$11,MIN($U106,120))),Reference!$A$6:$A$11,1))))),0)+IF(3&lt;=$AL106,($AL106-3+3)*(INDEX(Reference!$B$6:$B$11,MIN(5,MATCH(MAX(Reference!$A$6,MIN(Reference!$A$11,MIN($U106,150))),Reference!$A$6:$A$11,1)))+(MAX(Reference!$A$6,MIN(Reference!$A$11,MIN($U106,150)))-INDEX(Reference!$A$6:$A$11,MIN(5,MATCH(MAX(Reference!$A$6,MIN(Reference!$A$11,MIN($U106,150))),Reference!$A$6:$A$11,1))))*(INDEX(Reference!$B$6:$B$11,MIN(5,MATCH(MAX(Reference!$A$6,MIN(Reference!$A$11,MIN($U106,150))),Reference!$A$6:$A$11,1))+1)-INDEX(Reference!$B$6:$B$11,MIN(5,MATCH(MAX(Reference!$A$6,MIN(Reference!$A$11,MIN($U106,150))),Reference!$A$6:$A$11,1))))/(INDEX(Reference!$A$6:$A$11,MIN(5,MATCH(MAX(Reference!$A$6,MIN(Reference!$A$11,MIN($U106,150))),Reference!$A$6:$A$11,1))+1)-INDEX(Reference!$A$6:$A$11,MIN(5,MATCH(MAX(Reference!$A$6,MIN(Reference!$A$11,MIN($U106,150))),Reference!$A$6:$A$11,1))))),0)+IF(4&lt;=$AL106,($AL106-4+3)*(INDEX(Reference!$B$6:$B$11,MIN(5,MATCH(MAX(Reference!$A$6,MIN(Reference!$A$11,MIN($U106,180))),Reference!$A$6:$A$11,1)))+(MAX(Reference!$A$6,MIN(Reference!$A$11,MIN($U106,180)))-INDEX(Reference!$A$6:$A$11,MIN(5,MATCH(MAX(Reference!$A$6,MIN(Reference!$A$11,MIN($U106,180))),Reference!$A$6:$A$11,1))))*(INDEX(Reference!$B$6:$B$11,MIN(5,MATCH(MAX(Reference!$A$6,MIN(Reference!$A$11,MIN($U106,180))),Reference!$A$6:$A$11,1))+1)-INDEX(Reference!$B$6:$B$11,MIN(5,MATCH(MAX(Reference!$A$6,MIN(Reference!$A$11,MIN($U106,180))),Reference!$A$6:$A$11,1))))/(INDEX(Reference!$A$6:$A$11,MIN(5,MATCH(MAX(Reference!$A$6,MIN(Reference!$A$11,MIN($U106,180))),Reference!$A$6:$A$11,1))+1)-INDEX(Reference!$A$6:$A$11,MIN(5,MATCH(MAX(Reference!$A$6,MIN(Reference!$A$11,MIN($U106,180))),Reference!$A$6:$A$11,1))))),0)+IF(5&lt;=$AL106,($AL106-5+3)*(INDEX(Reference!$B$6:$B$11,MIN(5,MATCH(MAX(Reference!$A$6,MIN(Reference!$A$11,MIN($U106,210))),Reference!$A$6:$A$11,1)))+(MAX(Reference!$A$6,MIN(Reference!$A$11,MIN($U106,210)))-INDEX(Reference!$A$6:$A$11,MIN(5,MATCH(MAX(Reference!$A$6,MIN(Reference!$A$11,MIN($U106,210))),Reference!$A$6:$A$11,1))))*(INDEX(Reference!$B$6:$B$11,MIN(5,MATCH(MAX(Reference!$A$6,MIN(Reference!$A$11,MIN($U106,210))),Reference!$A$6:$A$11,1))+1)-INDEX(Reference!$B$6:$B$11,MIN(5,MATCH(MAX(Reference!$A$6,MIN(Reference!$A$11,MIN($U106,210))),Reference!$A$6:$A$11,1))))/(INDEX(Reference!$A$6:$A$11,MIN(5,MATCH(MAX(Reference!$A$6,MIN(Reference!$A$11,MIN($U106,210))),Reference!$A$6:$A$11,1))+1)-INDEX(Reference!$A$6:$A$11,MIN(5,MATCH(MAX(Reference!$A$6,MIN(Reference!$A$11,MIN($U106,210))),Reference!$A$6:$A$11,1))))),0)+IF(6&lt;=$AL106,($AL106-6+3)*(INDEX(Reference!$B$6:$B$11,MIN(5,MATCH(MAX(Reference!$A$6,MIN(Reference!$A$11,MIN($U106,240))),Reference!$A$6:$A$11,1)))+(MAX(Reference!$A$6,MIN(Reference!$A$11,MIN($U106,240)))-INDEX(Reference!$A$6:$A$11,MIN(5,MATCH(MAX(Reference!$A$6,MIN(Reference!$A$11,MIN($U106,240))),Reference!$A$6:$A$11,1))))*(INDEX(Reference!$B$6:$B$11,MIN(5,MATCH(MAX(Reference!$A$6,MIN(Reference!$A$11,MIN($U106,240))),Reference!$A$6:$A$11,1))+1)-INDEX(Reference!$B$6:$B$11,MIN(5,MATCH(MAX(Reference!$A$6,MIN(Reference!$A$11,MIN($U106,240))),Reference!$A$6:$A$11,1))))/(INDEX(Reference!$A$6:$A$11,MIN(5,MATCH(MAX(Reference!$A$6,MIN(Reference!$A$11,MIN($U106,240))),Reference!$A$6:$A$11,1))+1)-INDEX(Reference!$A$6:$A$11,MIN(5,MATCH(MAX(Reference!$A$6,MIN(Reference!$A$11,MIN($U106,240))),Reference!$A$6:$A$11,1))))),0)+IF(7&lt;=$AL106,($AL106-7+3)*(INDEX(Reference!$B$6:$B$11,MIN(5,MATCH(MAX(Reference!$A$6,MIN(Reference!$A$11,MIN($U106,270))),Reference!$A$6:$A$11,1)))+(MAX(Reference!$A$6,MIN(Reference!$A$11,MIN($U106,270)))-INDEX(Reference!$A$6:$A$11,MIN(5,MATCH(MAX(Reference!$A$6,MIN(Reference!$A$11,MIN($U106,270))),Reference!$A$6:$A$11,1))))*(INDEX(Reference!$B$6:$B$11,MIN(5,MATCH(MAX(Reference!$A$6,MIN(Reference!$A$11,MIN($U106,270))),Reference!$A$6:$A$11,1))+1)-INDEX(Reference!$B$6:$B$11,MIN(5,MATCH(MAX(Reference!$A$6,MIN(Reference!$A$11,MIN($U106,270))),Reference!$A$6:$A$11,1))))/(INDEX(Reference!$A$6:$A$11,MIN(5,MATCH(MAX(Reference!$A$6,MIN(Reference!$A$11,MIN($U106,270))),Reference!$A$6:$A$11,1))+1)-INDEX(Reference!$A$6:$A$11,MIN(5,MATCH(MAX(Reference!$A$6,MIN(Reference!$A$11,MIN($U106,270))),Reference!$A$6:$A$11,1))))),0)+IF(8&lt;=$AL106,($AL106-8+3)*(INDEX(Reference!$B$6:$B$11,MIN(5,MATCH(MAX(Reference!$A$6,MIN(Reference!$A$11,MIN($U106,300))),Reference!$A$6:$A$11,1)))+(MAX(Reference!$A$6,MIN(Reference!$A$11,MIN($U106,300)))-INDEX(Reference!$A$6:$A$11,MIN(5,MATCH(MAX(Reference!$A$6,MIN(Reference!$A$11,MIN($U106,300))),Reference!$A$6:$A$11,1))))*(INDEX(Reference!$B$6:$B$11,MIN(5,MATCH(MAX(Reference!$A$6,MIN(Reference!$A$11,MIN($U106,300))),Reference!$A$6:$A$11,1))+1)-INDEX(Reference!$B$6:$B$11,MIN(5,MATCH(MAX(Reference!$A$6,MIN(Reference!$A$11,MIN($U106,300))),Reference!$A$6:$A$11,1))))/(INDEX(Reference!$A$6:$A$11,MIN(5,MATCH(MAX(Reference!$A$6,MIN(Reference!$A$11,MIN($U106,300))),Reference!$A$6:$A$11,1))+1)-INDEX(Reference!$A$6:$A$11,MIN(5,MATCH(MAX(Reference!$A$6,MIN(Reference!$A$11,MIN($U106,300))),Reference!$A$6:$A$11,1))))),0))/($AL106*($AL106+5)/2)),$AN106))</f>
        <v>1.1499999999999999</v>
      </c>
      <c r="AN106" s="32">
        <f>IF($U106="",0,(INDEX(Reference!$B$6:$B$11,MIN(5,MATCH(MAX(Reference!$A$6,MIN(Reference!$A$11,$U106)),Reference!$A$6:$A$11,1)))+(MAX(Reference!$A$6,MIN(Reference!$A$11,$U106))-INDEX(Reference!$A$6:$A$11,MIN(5,MATCH(MAX(Reference!$A$6,MIN(Reference!$A$11,$U106)),Reference!$A$6:$A$11,1))))*(INDEX(Reference!$B$6:$B$11,MIN(5,MATCH(MAX(Reference!$A$6,MIN(Reference!$A$11,$U106)),Reference!$A$6:$A$11,1))+1)-INDEX(Reference!$B$6:$B$11,MIN(5,MATCH(MAX(Reference!$A$6,MIN(Reference!$A$11,$U106)),Reference!$A$6:$A$11,1))))/(INDEX(Reference!$A$6:$A$11,MIN(5,MATCH(MAX(Reference!$A$6,MIN(Reference!$A$11,$U106)),Reference!$A$6:$A$11,1))+1)-INDEX(Reference!$A$6:$A$11,MIN(5,MATCH(MAX(Reference!$A$6,MIN(Reference!$A$11,$U106)),Reference!$A$6:$A$11,1))))))</f>
        <v>1.1499999999999999</v>
      </c>
      <c r="AO106" s="37"/>
      <c r="AP106" s="37"/>
      <c r="AQ106" s="37"/>
    </row>
    <row r="107" spans="1:43" ht="26.4" x14ac:dyDescent="0.3">
      <c r="A107" s="48">
        <f t="shared" ref="A107:A138" si="55">IFERROR(IF($L107&gt;$G$4,"",$D$6+$L107),"")</f>
        <v>46371</v>
      </c>
      <c r="B107" s="32" t="str">
        <f t="shared" ref="B107:B138" si="56">IF($A107="","",TEXT($A107,"ddd"))</f>
        <v>Tue</v>
      </c>
      <c r="C107" s="32">
        <f t="shared" ref="C107:C138" si="57">IF($A107="","",$G$4-$L107)</f>
        <v>20</v>
      </c>
      <c r="D107" s="32" t="str">
        <f t="shared" ref="D107:D138" si="58">IF($A107="","",IF($C107=0,"First Bullpen",IF($C107&lt;=7,"Taper",IF($O107&lt;0.2,"Re-entry",IF($O107&lt;0.45,"Base",IF($O107&lt;0.65,"Extension","Flat Ground / Intent"))))))</f>
        <v>Flat Ground / Intent</v>
      </c>
      <c r="E107" s="32" t="str">
        <f t="shared" ref="E107:E138" si="59">IF($A107="","",IF($AD107,"No Throw",IF($C107=0,"High Bullpen",IF($C107=6,"High Non-Bullpen",IF(OR($C107=4,$C107=2),"Medium",IF($T107="Recovery/Easy Catch","Low",IF($N107=1,IF($O107&lt;0.4,"Low",IF($O107&lt;0.7,"Medium","High Non-Bullpen")),IF($N107=3,IF($O107&lt;0.5,"Medium","High Non-Bullpen"),IF($O107&lt;0.62,"Medium","High Non-Bullpen")))))))))</f>
        <v>High Non-Bullpen</v>
      </c>
      <c r="F107" s="32" t="str">
        <f t="shared" ref="F107:F138" si="60">IF($A107="","",IF($AD107,"No Throw",$T107))</f>
        <v>Long Toss</v>
      </c>
      <c r="G107" s="47" t="str">
        <f t="shared" ref="G107:G138" si="61">IF($A107="","",IF($AD107,"Off",IF($AL107&gt;1,"Long toss out to "&amp;$U107&amp;" ft — "&amp;$AB107&amp;" throws ("&amp;IF(1&lt;=$AL107,MIN($U107,90)&amp;"×"&amp;(ROUND($AB107*(1*($AL107+3)-1)/($AL107*($AL107+5)/2),0)-0),"")&amp;IF(2&lt;=$AL107," · "&amp;MIN($U107,120)&amp;"×"&amp;(ROUND($AB107*(2*($AL107+3)-3)/($AL107*($AL107+5)/2),0)-ROUND($AB107*(1*($AL107+3)-1)/($AL107*($AL107+5)/2),0)),"")&amp;IF(3&lt;=$AL107," · "&amp;MIN($U107,150)&amp;"×"&amp;(ROUND($AB107*(3*($AL107+3)-6)/($AL107*($AL107+5)/2),0)-ROUND($AB107*(2*($AL107+3)-3)/($AL107*($AL107+5)/2),0)),"")&amp;IF(4&lt;=$AL107," · "&amp;MIN($U107,180)&amp;"×"&amp;(ROUND($AB107*(4*($AL107+3)-10)/($AL107*($AL107+5)/2),0)-ROUND($AB107*(3*($AL107+3)-6)/($AL107*($AL107+5)/2),0)),"")&amp;IF(5&lt;=$AL107," · "&amp;MIN($U107,210)&amp;"×"&amp;(ROUND($AB107*(5*($AL107+3)-15)/($AL107*($AL107+5)/2),0)-ROUND($AB107*(4*($AL107+3)-10)/($AL107*($AL107+5)/2),0)),"")&amp;IF(6&lt;=$AL107," · "&amp;MIN($U107,240)&amp;"×"&amp;(ROUND($AB107*(6*($AL107+3)-21)/($AL107*($AL107+5)/2),0)-ROUND($AB107*(5*($AL107+3)-15)/($AL107*($AL107+5)/2),0)),"")&amp;IF(7&lt;=$AL107," · "&amp;MIN($U107,270)&amp;"×"&amp;(ROUND($AB107*(7*($AL107+3)-28)/($AL107*($AL107+5)/2),0)-ROUND($AB107*(6*($AL107+3)-21)/($AL107*($AL107+5)/2),0)),"")&amp;IF(8&lt;=$AL107," · "&amp;MIN($U107,300)&amp;"×"&amp;(ROUND($AB107*(8*($AL107+3)-36)/($AL107*($AL107+5)/2),0)-ROUND($AB107*(7*($AL107+3)-28)/($AL107*($AL107+5)/2),0)),"")&amp;")",$U107&amp;" ft × "&amp;$AB107)&amp;" @ "&amp;ROUND($D$5-$W107,0)&amp;"–"&amp;ROUND($D$5-$V107,0)&amp;" mph"&amp;IF($X107&gt;0,IF($Y107&lt;10," + flat ground at 60 ft × "," + 60 ft × ")&amp;$X107&amp;" @ "&amp;ROUND($D$5-$Z107,0)&amp;"–"&amp;ROUND($D$5-$Y107,0)&amp;" mph","")&amp;IF($AC107&gt;0," + MOUND × "&amp;$AC107&amp;" pitches @ "&amp;$D$9&amp;"–"&amp;$E$9&amp;" mph","")))</f>
        <v>Long toss out to 180 ft — 30 throws (90×10 · 120×8 · 150×7 · 180×5) @ 77–79 mph + 60 ft × 15 @ 77–79 mph</v>
      </c>
      <c r="H107" s="30">
        <f t="shared" ref="H107:H138" si="62">IF($A107="","",IF($AD107,0,$AB107*$AF107+$AE107+$AG107))</f>
        <v>42.5</v>
      </c>
      <c r="I107" s="46">
        <f>IF($A107="","",IF(AND($L107&lt;27,$K$12=0),"Building",IFERROR(((SUM($H$101:$H107)+$K$12*IF($L107&lt;6,SUMIFS('Throw Log'!$Q$5:$Q$300,'Throw Log'!$B$5:$B$300,$D$4,'Throw Log'!$A$5:$A$300,"&gt;="&amp;($D$6+$L107-6),'Throw Log'!$A$5:$A$300,"&lt;="&amp;($D$6-1)),0))/7)/((SUM($H$80:$H107)+$K$12*IF($L107&lt;27,SUMIFS('Throw Log'!$Q$5:$Q$300,'Throw Log'!$B$5:$B$300,$D$4,'Throw Log'!$A$5:$A$300,"&gt;="&amp;($D$6+$L107-27),'Throw Log'!$A$5:$A$300,"&lt;="&amp;($D$6-1)),0))/28),"")))</f>
        <v>1.1966073006977225</v>
      </c>
      <c r="J107" s="37"/>
      <c r="K107" s="37">
        <v>30</v>
      </c>
      <c r="L107" s="32">
        <v>64</v>
      </c>
      <c r="M107" s="32">
        <f t="shared" ref="M107:M138" si="63">INT($L107/7)+1</f>
        <v>10</v>
      </c>
      <c r="N107" s="32">
        <f t="shared" ref="N107:N138" si="64">MOD($L107,7)</f>
        <v>1</v>
      </c>
      <c r="O107" s="32">
        <f t="shared" ref="O107:O138" si="65">MIN(1,$G$7+(1-$G$7)*$L107/MAX(1,N($G$4)-8))</f>
        <v>0.84210526315789469</v>
      </c>
      <c r="P107" s="32">
        <f>IF(OR($A107="",N($C107)&lt;=7),"",$G$6*$G$9^($M107-1)*IF(AND(MOD($M107,Reference!$B$99)=0,$M107&lt;=$G$5-2),Reference!$B$100,1))</f>
        <v>231.09205355537119</v>
      </c>
      <c r="Q107" s="32">
        <f>IF($P107="","",IF(SUM($AK$106:$AK$112)=0,0,$P107*INDEX(Reference!$B$108:$B$114,$N107+1)/SUM($AK$106:$AK$112)))</f>
        <v>58.312948093411421</v>
      </c>
      <c r="R107" s="32">
        <f t="shared" ref="R107:R138" si="66">ROUND((60+($D$11-60)*MIN(1,$O107/0.75))/15,0)*15</f>
        <v>180</v>
      </c>
      <c r="S107" s="32">
        <f t="shared" ref="S107:S138" si="67">ROUND((60+($R107-60)*0.8)/15,0)*15</f>
        <v>150</v>
      </c>
      <c r="T107" s="32" t="str">
        <f>IF($A107="","",IF($C107=0,"Bullpen",IF(OR($C107=7,$C107=1,$C107=5),"Recovery/Easy Catch",IF($C107=6,"Compression/Pulldowns",IF(OR($C107=4,$C107=2),"Long Toss",IF($C107=3,"No Throw",IF($N107=2,"No Throw",IF($N107=6,IF($O107&lt;Reference!$B$104,"No Throw","Recovery/Easy Catch"),IF(OR($N107=0,$N107=4),"Recovery/Easy Catch",IF($N107=1,IF($R107&gt;75,"Long Toss","Recovery/Easy Catch"),IF($N107=3,IF($O107&lt;0.5,IF($S107&gt;75,"Long Toss","Recovery/Easy Catch"),"Compression/Pulldowns"),IF($S107&gt;75,"Long Toss","Recovery/Easy Catch"))))))))))))</f>
        <v>Long Toss</v>
      </c>
      <c r="U107" s="32">
        <f t="shared" ref="U107:U138" si="68">IF($A107="","",IF(N($AO107)&gt;0,$AO107,IF($C107=0,90,IF(OR($C107=7,$C107=1),75,IF($C107=6,90,IF($C107=5,60,IF($C107=4,MIN(150,ROUND(0.75*$D$11/15,0)*15),IF($C107=2,MIN(120,ROUND(0.67*$D$11/15,0)*15),IF($C107=3,"",IF($N107=2,"",IF($N107=6,60,IF($N107=0,IF($O107&lt;0.25,60,75),IF($N107=4,IF($O107&lt;0.5,60,75),IF($N107=1,$R107,IF($N107=3,IF($O107&lt;0.5,$S107,90),$S107)))))))))))))))</f>
        <v>180</v>
      </c>
      <c r="V107" s="32">
        <f t="shared" ref="V107:V138" si="69">IF($A107="","",IF(N($AQ107)&gt;0,$D$5-$AQ107,IF(N($AP107)&gt;0,$D$5-$AP107,IF($C107=0,10,IF(OR($C107=7,$C107=1),18,IF($C107=6,7,IF($C107=5,20,IF(OR($C107=4,$C107=2),10,IF($C107=3,"",IF($N107=2,"",IF($N107=6,20,IF($N107=0,IF($O107&lt;0.25,20,18),IF($N107=4,IF($O107&lt;0.5,20,18),IF($N107=1,IF($O107&lt;0.25,18,IF($O107&lt;0.5,13,10)),IF($N107=3,IF($O107&lt;0.5,IF($O107&lt;0.25,18,13),7),IF($O107&lt;0.25,18,IF($O107&lt;0.5,12,10)))))))))))))))))</f>
        <v>10</v>
      </c>
      <c r="W107" s="32">
        <f t="shared" ref="W107:W138" si="70">IF($A107="","",IF(N($AP107)&gt;0,$D$5-$AP107,IF(N($AQ107)&gt;0,$D$5-$AQ107,IF($C107=0,12,IF(OR($C107=7,$C107=1),22,IF($C107=6,9,IF($C107=5,24,IF(OR($C107=4,$C107=2),13,IF($C107=3,"",IF($N107=2,"",IF($N107=6,24,IF($N107=0,IF($O107&lt;0.25,24,22),IF($N107=4,IF($O107&lt;0.5,24,22),IF($N107=1,IF($O107&lt;0.25,22,IF($O107&lt;0.5,16,12)),IF($N107=3,IF($O107&lt;0.5,IF($O107&lt;0.25,22,16),9),IF($O107&lt;0.25,22,IF($O107&lt;0.5,15,13)))))))))))))))))</f>
        <v>12</v>
      </c>
      <c r="X107" s="32">
        <f t="shared" ref="X107:X138" si="71">IF($A107="",0,IF($C107=6,ROUND(25*$G$10,0),IF(OR($C107=4,$C107=2),ROUND(15*$G$10,0),IF($C107&lt;=7,0,IF($N107=1,IF($O107&lt;0.2,0,IF($O107&lt;0.5,10,15)),IF($N107=3,IF($O107&lt;0.5,IF($O107&lt;0.2,0,10),IF($O107&lt;0.62,15,IF($O107&lt;0.8,20,25))),IF($N107=5,IF($O107&lt;0.2,0,IF($O107&lt;0.62,12,IF($O107&lt;0.8,20,25))),0)))))))</f>
        <v>15</v>
      </c>
      <c r="Y107" s="32">
        <f t="shared" ref="Y107:Y138" si="72">IF($X107=0,"",IF($C107=6,$D$5-$E$9,IF(OR($C107=4,$C107=2),8,IF($N107=1,IF($O107&lt;0.5,14,10),IF($N107=3,IF($O107&lt;0.5,14,IF($O107&lt;0.62,10,7)),IF($N107=5,IF($O107&lt;0.5,14,IF($O107&lt;0.62,12,7)),""))))))</f>
        <v>10</v>
      </c>
      <c r="Z107" s="32">
        <f t="shared" ref="Z107:Z138" si="73">IF($X107=0,"",IF($C107=6,$D$5-$D$9,IF(OR($C107=4,$C107=2),10,IF($N107=1,IF($O107&lt;0.5,18,12),IF($N107=3,IF($O107&lt;0.5,18,IF($O107&lt;0.62,12,9)),IF($N107=5,IF($O107&lt;0.5,18,IF($O107&lt;0.62,15,9)),""))))))</f>
        <v>12</v>
      </c>
      <c r="AA107" s="32" t="str">
        <f t="shared" ref="AA107:AA138" si="74">IF($A107="","",IF($C107=0,25,IF(OR($C107=7,$C107=1,$C107=5),30,IF($C107=6,25,IF(OR($C107=4,$C107=2),IF($AM107=0,30,30*$AN107/$AM107),"")))))</f>
        <v/>
      </c>
      <c r="AB107" s="32">
        <f>IF($A107="","",IF($T107="No Throw",0,IF($K107&lt;&gt;"",$K107,IF($AA107&lt;&gt;"",ROUND($AA107*$D$12*IF($C107=0,1,$G$10),0),MIN(IF($T107="Recovery/Easy Catch",Reference!$B$103,IF($T107="Long Toss",Reference!$B$106,Reference!$B$102)),MAX(Reference!$B$101,ROUND(MAX(0,$Q107-$AE107)/$AF107,0)))))))</f>
        <v>30</v>
      </c>
      <c r="AC107" s="32">
        <f t="shared" ref="AC107:AC138" si="75">IF($A107="",0,IF($C107=0,$D$8,0))</f>
        <v>0</v>
      </c>
      <c r="AD107" s="32" t="b">
        <f t="shared" ref="AD107:AD138" si="76">IF($A107="",TRUE(),OR($J107="x",$T107="No Throw"))</f>
        <v>0</v>
      </c>
      <c r="AE107" s="32">
        <f>IF($X107=0,0,$X107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107+$Z107)/2,0),Reference!$A$17:$B$20,2,TRUE()))</f>
        <v>9</v>
      </c>
      <c r="AF107" s="32">
        <f>IF(OR($A107="",$U107="",$T107="No Throw"),0,$AM107*VLOOKUP(MAX(($V107+$W107)/2,0),Reference!$A$17:$B$20,2,TRUE()))</f>
        <v>1.1166666666666667</v>
      </c>
      <c r="AG107" s="32">
        <f>IF($AC107=0,0,$AC107*INDEX(Reference!$B$61:$B$62,MATCH("Bullpen",Reference!$A$61:$A$62,0))*VLOOKUP(MAX($D$5-($D$9+$E$9)/2,0),Reference!$A$17:$B$20,2,TRUE()))</f>
        <v>0</v>
      </c>
      <c r="AH107" s="46">
        <f t="shared" ref="AH107:AH138" si="77">IF(OR($A107="",$L107&lt;27),NA(),$I107)</f>
        <v>1.1966073006977225</v>
      </c>
      <c r="AI107" s="32">
        <f>IF($A107="",NA(),Reference!$A$25)</f>
        <v>0.8</v>
      </c>
      <c r="AJ107" s="32">
        <f t="shared" ref="AJ107:AJ138" si="78">IF($A107="",NA(),1.3)</f>
        <v>1.3</v>
      </c>
      <c r="AK107" s="56">
        <f>IF(OR($A107="",N($C107)&lt;=7,$T107="No Throw",$J107="x"),0,INDEX(Reference!$B$108:$B$114,$N107+1))</f>
        <v>0.27</v>
      </c>
      <c r="AL107" s="32">
        <f t="shared" ref="AL107:AL138" si="79">IF($U107="",1,IF(AND($T107="Long Toss",N($U107)&gt;90),1+ROUNDUP(($U107-90)/30,0),1))</f>
        <v>4</v>
      </c>
      <c r="AM107" s="32">
        <f>IF($U107="",0,IF($AL107&gt;1,((IF(1&lt;=$AL107,($AL107-1+3)*(INDEX(Reference!$B$6:$B$11,MIN(5,MATCH(MAX(Reference!$A$6,MIN(Reference!$A$11,MIN($U107,90))),Reference!$A$6:$A$11,1)))+(MAX(Reference!$A$6,MIN(Reference!$A$11,MIN($U107,90)))-INDEX(Reference!$A$6:$A$11,MIN(5,MATCH(MAX(Reference!$A$6,MIN(Reference!$A$11,MIN($U107,90))),Reference!$A$6:$A$11,1))))*(INDEX(Reference!$B$6:$B$11,MIN(5,MATCH(MAX(Reference!$A$6,MIN(Reference!$A$11,MIN($U107,90))),Reference!$A$6:$A$11,1))+1)-INDEX(Reference!$B$6:$B$11,MIN(5,MATCH(MAX(Reference!$A$6,MIN(Reference!$A$11,MIN($U107,90))),Reference!$A$6:$A$11,1))))/(INDEX(Reference!$A$6:$A$11,MIN(5,MATCH(MAX(Reference!$A$6,MIN(Reference!$A$11,MIN($U107,90))),Reference!$A$6:$A$11,1))+1)-INDEX(Reference!$A$6:$A$11,MIN(5,MATCH(MAX(Reference!$A$6,MIN(Reference!$A$11,MIN($U107,90))),Reference!$A$6:$A$11,1))))),0)+IF(2&lt;=$AL107,($AL107-2+3)*(INDEX(Reference!$B$6:$B$11,MIN(5,MATCH(MAX(Reference!$A$6,MIN(Reference!$A$11,MIN($U107,120))),Reference!$A$6:$A$11,1)))+(MAX(Reference!$A$6,MIN(Reference!$A$11,MIN($U107,120)))-INDEX(Reference!$A$6:$A$11,MIN(5,MATCH(MAX(Reference!$A$6,MIN(Reference!$A$11,MIN($U107,120))),Reference!$A$6:$A$11,1))))*(INDEX(Reference!$B$6:$B$11,MIN(5,MATCH(MAX(Reference!$A$6,MIN(Reference!$A$11,MIN($U107,120))),Reference!$A$6:$A$11,1))+1)-INDEX(Reference!$B$6:$B$11,MIN(5,MATCH(MAX(Reference!$A$6,MIN(Reference!$A$11,MIN($U107,120))),Reference!$A$6:$A$11,1))))/(INDEX(Reference!$A$6:$A$11,MIN(5,MATCH(MAX(Reference!$A$6,MIN(Reference!$A$11,MIN($U107,120))),Reference!$A$6:$A$11,1))+1)-INDEX(Reference!$A$6:$A$11,MIN(5,MATCH(MAX(Reference!$A$6,MIN(Reference!$A$11,MIN($U107,120))),Reference!$A$6:$A$11,1))))),0)+IF(3&lt;=$AL107,($AL107-3+3)*(INDEX(Reference!$B$6:$B$11,MIN(5,MATCH(MAX(Reference!$A$6,MIN(Reference!$A$11,MIN($U107,150))),Reference!$A$6:$A$11,1)))+(MAX(Reference!$A$6,MIN(Reference!$A$11,MIN($U107,150)))-INDEX(Reference!$A$6:$A$11,MIN(5,MATCH(MAX(Reference!$A$6,MIN(Reference!$A$11,MIN($U107,150))),Reference!$A$6:$A$11,1))))*(INDEX(Reference!$B$6:$B$11,MIN(5,MATCH(MAX(Reference!$A$6,MIN(Reference!$A$11,MIN($U107,150))),Reference!$A$6:$A$11,1))+1)-INDEX(Reference!$B$6:$B$11,MIN(5,MATCH(MAX(Reference!$A$6,MIN(Reference!$A$11,MIN($U107,150))),Reference!$A$6:$A$11,1))))/(INDEX(Reference!$A$6:$A$11,MIN(5,MATCH(MAX(Reference!$A$6,MIN(Reference!$A$11,MIN($U107,150))),Reference!$A$6:$A$11,1))+1)-INDEX(Reference!$A$6:$A$11,MIN(5,MATCH(MAX(Reference!$A$6,MIN(Reference!$A$11,MIN($U107,150))),Reference!$A$6:$A$11,1))))),0)+IF(4&lt;=$AL107,($AL107-4+3)*(INDEX(Reference!$B$6:$B$11,MIN(5,MATCH(MAX(Reference!$A$6,MIN(Reference!$A$11,MIN($U107,180))),Reference!$A$6:$A$11,1)))+(MAX(Reference!$A$6,MIN(Reference!$A$11,MIN($U107,180)))-INDEX(Reference!$A$6:$A$11,MIN(5,MATCH(MAX(Reference!$A$6,MIN(Reference!$A$11,MIN($U107,180))),Reference!$A$6:$A$11,1))))*(INDEX(Reference!$B$6:$B$11,MIN(5,MATCH(MAX(Reference!$A$6,MIN(Reference!$A$11,MIN($U107,180))),Reference!$A$6:$A$11,1))+1)-INDEX(Reference!$B$6:$B$11,MIN(5,MATCH(MAX(Reference!$A$6,MIN(Reference!$A$11,MIN($U107,180))),Reference!$A$6:$A$11,1))))/(INDEX(Reference!$A$6:$A$11,MIN(5,MATCH(MAX(Reference!$A$6,MIN(Reference!$A$11,MIN($U107,180))),Reference!$A$6:$A$11,1))+1)-INDEX(Reference!$A$6:$A$11,MIN(5,MATCH(MAX(Reference!$A$6,MIN(Reference!$A$11,MIN($U107,180))),Reference!$A$6:$A$11,1))))),0)+IF(5&lt;=$AL107,($AL107-5+3)*(INDEX(Reference!$B$6:$B$11,MIN(5,MATCH(MAX(Reference!$A$6,MIN(Reference!$A$11,MIN($U107,210))),Reference!$A$6:$A$11,1)))+(MAX(Reference!$A$6,MIN(Reference!$A$11,MIN($U107,210)))-INDEX(Reference!$A$6:$A$11,MIN(5,MATCH(MAX(Reference!$A$6,MIN(Reference!$A$11,MIN($U107,210))),Reference!$A$6:$A$11,1))))*(INDEX(Reference!$B$6:$B$11,MIN(5,MATCH(MAX(Reference!$A$6,MIN(Reference!$A$11,MIN($U107,210))),Reference!$A$6:$A$11,1))+1)-INDEX(Reference!$B$6:$B$11,MIN(5,MATCH(MAX(Reference!$A$6,MIN(Reference!$A$11,MIN($U107,210))),Reference!$A$6:$A$11,1))))/(INDEX(Reference!$A$6:$A$11,MIN(5,MATCH(MAX(Reference!$A$6,MIN(Reference!$A$11,MIN($U107,210))),Reference!$A$6:$A$11,1))+1)-INDEX(Reference!$A$6:$A$11,MIN(5,MATCH(MAX(Reference!$A$6,MIN(Reference!$A$11,MIN($U107,210))),Reference!$A$6:$A$11,1))))),0)+IF(6&lt;=$AL107,($AL107-6+3)*(INDEX(Reference!$B$6:$B$11,MIN(5,MATCH(MAX(Reference!$A$6,MIN(Reference!$A$11,MIN($U107,240))),Reference!$A$6:$A$11,1)))+(MAX(Reference!$A$6,MIN(Reference!$A$11,MIN($U107,240)))-INDEX(Reference!$A$6:$A$11,MIN(5,MATCH(MAX(Reference!$A$6,MIN(Reference!$A$11,MIN($U107,240))),Reference!$A$6:$A$11,1))))*(INDEX(Reference!$B$6:$B$11,MIN(5,MATCH(MAX(Reference!$A$6,MIN(Reference!$A$11,MIN($U107,240))),Reference!$A$6:$A$11,1))+1)-INDEX(Reference!$B$6:$B$11,MIN(5,MATCH(MAX(Reference!$A$6,MIN(Reference!$A$11,MIN($U107,240))),Reference!$A$6:$A$11,1))))/(INDEX(Reference!$A$6:$A$11,MIN(5,MATCH(MAX(Reference!$A$6,MIN(Reference!$A$11,MIN($U107,240))),Reference!$A$6:$A$11,1))+1)-INDEX(Reference!$A$6:$A$11,MIN(5,MATCH(MAX(Reference!$A$6,MIN(Reference!$A$11,MIN($U107,240))),Reference!$A$6:$A$11,1))))),0)+IF(7&lt;=$AL107,($AL107-7+3)*(INDEX(Reference!$B$6:$B$11,MIN(5,MATCH(MAX(Reference!$A$6,MIN(Reference!$A$11,MIN($U107,270))),Reference!$A$6:$A$11,1)))+(MAX(Reference!$A$6,MIN(Reference!$A$11,MIN($U107,270)))-INDEX(Reference!$A$6:$A$11,MIN(5,MATCH(MAX(Reference!$A$6,MIN(Reference!$A$11,MIN($U107,270))),Reference!$A$6:$A$11,1))))*(INDEX(Reference!$B$6:$B$11,MIN(5,MATCH(MAX(Reference!$A$6,MIN(Reference!$A$11,MIN($U107,270))),Reference!$A$6:$A$11,1))+1)-INDEX(Reference!$B$6:$B$11,MIN(5,MATCH(MAX(Reference!$A$6,MIN(Reference!$A$11,MIN($U107,270))),Reference!$A$6:$A$11,1))))/(INDEX(Reference!$A$6:$A$11,MIN(5,MATCH(MAX(Reference!$A$6,MIN(Reference!$A$11,MIN($U107,270))),Reference!$A$6:$A$11,1))+1)-INDEX(Reference!$A$6:$A$11,MIN(5,MATCH(MAX(Reference!$A$6,MIN(Reference!$A$11,MIN($U107,270))),Reference!$A$6:$A$11,1))))),0)+IF(8&lt;=$AL107,($AL107-8+3)*(INDEX(Reference!$B$6:$B$11,MIN(5,MATCH(MAX(Reference!$A$6,MIN(Reference!$A$11,MIN($U107,300))),Reference!$A$6:$A$11,1)))+(MAX(Reference!$A$6,MIN(Reference!$A$11,MIN($U107,300)))-INDEX(Reference!$A$6:$A$11,MIN(5,MATCH(MAX(Reference!$A$6,MIN(Reference!$A$11,MIN($U107,300))),Reference!$A$6:$A$11,1))))*(INDEX(Reference!$B$6:$B$11,MIN(5,MATCH(MAX(Reference!$A$6,MIN(Reference!$A$11,MIN($U107,300))),Reference!$A$6:$A$11,1))+1)-INDEX(Reference!$B$6:$B$11,MIN(5,MATCH(MAX(Reference!$A$6,MIN(Reference!$A$11,MIN($U107,300))),Reference!$A$6:$A$11,1))))/(INDEX(Reference!$A$6:$A$11,MIN(5,MATCH(MAX(Reference!$A$6,MIN(Reference!$A$11,MIN($U107,300))),Reference!$A$6:$A$11,1))+1)-INDEX(Reference!$A$6:$A$11,MIN(5,MATCH(MAX(Reference!$A$6,MIN(Reference!$A$11,MIN($U107,300))),Reference!$A$6:$A$11,1))))),0))/($AL107*($AL107+5)/2)),$AN107))</f>
        <v>1.8611111111111112</v>
      </c>
      <c r="AN107" s="32">
        <f>IF($U107="",0,(INDEX(Reference!$B$6:$B$11,MIN(5,MATCH(MAX(Reference!$A$6,MIN(Reference!$A$11,$U107)),Reference!$A$6:$A$11,1)))+(MAX(Reference!$A$6,MIN(Reference!$A$11,$U107))-INDEX(Reference!$A$6:$A$11,MIN(5,MATCH(MAX(Reference!$A$6,MIN(Reference!$A$11,$U107)),Reference!$A$6:$A$11,1))))*(INDEX(Reference!$B$6:$B$11,MIN(5,MATCH(MAX(Reference!$A$6,MIN(Reference!$A$11,$U107)),Reference!$A$6:$A$11,1))+1)-INDEX(Reference!$B$6:$B$11,MIN(5,MATCH(MAX(Reference!$A$6,MIN(Reference!$A$11,$U107)),Reference!$A$6:$A$11,1))))/(INDEX(Reference!$A$6:$A$11,MIN(5,MATCH(MAX(Reference!$A$6,MIN(Reference!$A$11,$U107)),Reference!$A$6:$A$11,1))+1)-INDEX(Reference!$A$6:$A$11,MIN(5,MATCH(MAX(Reference!$A$6,MIN(Reference!$A$11,$U107)),Reference!$A$6:$A$11,1))))))</f>
        <v>2.8</v>
      </c>
      <c r="AO107" s="37"/>
      <c r="AP107" s="37"/>
      <c r="AQ107" s="37"/>
    </row>
    <row r="108" spans="1:43" x14ac:dyDescent="0.3">
      <c r="A108" s="48">
        <f t="shared" si="55"/>
        <v>46372</v>
      </c>
      <c r="B108" s="32" t="str">
        <f t="shared" si="56"/>
        <v>Wed</v>
      </c>
      <c r="C108" s="32">
        <f t="shared" si="57"/>
        <v>19</v>
      </c>
      <c r="D108" s="32" t="str">
        <f t="shared" si="58"/>
        <v>Flat Ground / Intent</v>
      </c>
      <c r="E108" s="32" t="str">
        <f t="shared" si="59"/>
        <v>No Throw</v>
      </c>
      <c r="F108" s="32" t="str">
        <f t="shared" si="60"/>
        <v>No Throw</v>
      </c>
      <c r="G108" s="47" t="str">
        <f t="shared" si="61"/>
        <v>Off</v>
      </c>
      <c r="H108" s="30">
        <f t="shared" si="62"/>
        <v>0</v>
      </c>
      <c r="I108" s="46">
        <f>IF($A108="","",IF(AND($L108&lt;27,$K$12=0),"Building",IFERROR(((SUM($H$102:$H108)+$K$12*IF($L108&lt;6,SUMIFS('Throw Log'!$Q$5:$Q$300,'Throw Log'!$B$5:$B$300,$D$4,'Throw Log'!$A$5:$A$300,"&gt;="&amp;($D$6+$L108-6),'Throw Log'!$A$5:$A$300,"&lt;="&amp;($D$6-1)),0))/7)/((SUM($H$81:$H108)+$K$12*IF($L108&lt;27,SUMIFS('Throw Log'!$Q$5:$Q$300,'Throw Log'!$B$5:$B$300,$D$4,'Throw Log'!$A$5:$A$300,"&gt;="&amp;($D$6+$L108-27),'Throw Log'!$A$5:$A$300,"&lt;="&amp;($D$6-1)),0))/28),"")))</f>
        <v>1.1966073006977225</v>
      </c>
      <c r="J108" s="37"/>
      <c r="K108" s="37"/>
      <c r="L108" s="32">
        <v>65</v>
      </c>
      <c r="M108" s="32">
        <f t="shared" si="63"/>
        <v>10</v>
      </c>
      <c r="N108" s="32">
        <f t="shared" si="64"/>
        <v>2</v>
      </c>
      <c r="O108" s="32">
        <f t="shared" si="65"/>
        <v>0.85526315789473684</v>
      </c>
      <c r="P108" s="32">
        <f>IF(OR($A108="",N($C108)&lt;=7),"",$G$6*$G$9^($M108-1)*IF(AND(MOD($M108,Reference!$B$99)=0,$M108&lt;=$G$5-2),Reference!$B$100,1))</f>
        <v>231.09205355537119</v>
      </c>
      <c r="Q108" s="32">
        <f>IF($P108="","",IF(SUM($AK$106:$AK$112)=0,0,$P108*INDEX(Reference!$B$108:$B$114,$N108+1)/SUM($AK$106:$AK$112)))</f>
        <v>0</v>
      </c>
      <c r="R108" s="32">
        <f t="shared" si="66"/>
        <v>180</v>
      </c>
      <c r="S108" s="32">
        <f t="shared" si="67"/>
        <v>150</v>
      </c>
      <c r="T108" s="32" t="str">
        <f>IF($A108="","",IF($C108=0,"Bullpen",IF(OR($C108=7,$C108=1,$C108=5),"Recovery/Easy Catch",IF($C108=6,"Compression/Pulldowns",IF(OR($C108=4,$C108=2),"Long Toss",IF($C108=3,"No Throw",IF($N108=2,"No Throw",IF($N108=6,IF($O108&lt;Reference!$B$104,"No Throw","Recovery/Easy Catch"),IF(OR($N108=0,$N108=4),"Recovery/Easy Catch",IF($N108=1,IF($R108&gt;75,"Long Toss","Recovery/Easy Catch"),IF($N108=3,IF($O108&lt;0.5,IF($S108&gt;75,"Long Toss","Recovery/Easy Catch"),"Compression/Pulldowns"),IF($S108&gt;75,"Long Toss","Recovery/Easy Catch"))))))))))))</f>
        <v>No Throw</v>
      </c>
      <c r="U108" s="32" t="str">
        <f t="shared" si="68"/>
        <v/>
      </c>
      <c r="V108" s="32" t="str">
        <f t="shared" si="69"/>
        <v/>
      </c>
      <c r="W108" s="32" t="str">
        <f t="shared" si="70"/>
        <v/>
      </c>
      <c r="X108" s="32">
        <f t="shared" si="71"/>
        <v>0</v>
      </c>
      <c r="Y108" s="32" t="str">
        <f t="shared" si="72"/>
        <v/>
      </c>
      <c r="Z108" s="32" t="str">
        <f t="shared" si="73"/>
        <v/>
      </c>
      <c r="AA108" s="32" t="str">
        <f t="shared" si="74"/>
        <v/>
      </c>
      <c r="AB108" s="32">
        <f>IF($A108="","",IF($T108="No Throw",0,IF($K108&lt;&gt;"",$K108,IF($AA108&lt;&gt;"",ROUND($AA108*$D$12*IF($C108=0,1,$G$10),0),MIN(IF($T108="Recovery/Easy Catch",Reference!$B$103,IF($T108="Long Toss",Reference!$B$106,Reference!$B$102)),MAX(Reference!$B$101,ROUND(MAX(0,$Q108-$AE108)/$AF108,0)))))))</f>
        <v>0</v>
      </c>
      <c r="AC108" s="32">
        <f t="shared" si="75"/>
        <v>0</v>
      </c>
      <c r="AD108" s="32" t="b">
        <f t="shared" si="76"/>
        <v>1</v>
      </c>
      <c r="AE108" s="32">
        <f>IF($X108=0,0,$X108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108+$Z108)/2,0),Reference!$A$17:$B$20,2,TRUE()))</f>
        <v>0</v>
      </c>
      <c r="AF108" s="32">
        <f>IF(OR($A108="",$U108="",$T108="No Throw"),0,$AM108*VLOOKUP(MAX(($V108+$W108)/2,0),Reference!$A$17:$B$20,2,TRUE()))</f>
        <v>0</v>
      </c>
      <c r="AG108" s="32">
        <f>IF($AC108=0,0,$AC108*INDEX(Reference!$B$61:$B$62,MATCH("Bullpen",Reference!$A$61:$A$62,0))*VLOOKUP(MAX($D$5-($D$9+$E$9)/2,0),Reference!$A$17:$B$20,2,TRUE()))</f>
        <v>0</v>
      </c>
      <c r="AH108" s="46">
        <f t="shared" si="77"/>
        <v>1.1966073006977225</v>
      </c>
      <c r="AI108" s="32">
        <f>IF($A108="",NA(),Reference!$A$25)</f>
        <v>0.8</v>
      </c>
      <c r="AJ108" s="32">
        <f t="shared" si="78"/>
        <v>1.3</v>
      </c>
      <c r="AK108" s="32">
        <f>IF(OR($A108="",N($C108)&lt;=7,$T108="No Throw",$J108="x"),0,INDEX(Reference!$B$108:$B$114,$N108+1))</f>
        <v>0</v>
      </c>
      <c r="AL108" s="32">
        <f t="shared" si="79"/>
        <v>1</v>
      </c>
      <c r="AM108" s="32">
        <f>IF($U108="",0,IF($AL108&gt;1,((IF(1&lt;=$AL108,($AL108-1+3)*(INDEX(Reference!$B$6:$B$11,MIN(5,MATCH(MAX(Reference!$A$6,MIN(Reference!$A$11,MIN($U108,90))),Reference!$A$6:$A$11,1)))+(MAX(Reference!$A$6,MIN(Reference!$A$11,MIN($U108,90)))-INDEX(Reference!$A$6:$A$11,MIN(5,MATCH(MAX(Reference!$A$6,MIN(Reference!$A$11,MIN($U108,90))),Reference!$A$6:$A$11,1))))*(INDEX(Reference!$B$6:$B$11,MIN(5,MATCH(MAX(Reference!$A$6,MIN(Reference!$A$11,MIN($U108,90))),Reference!$A$6:$A$11,1))+1)-INDEX(Reference!$B$6:$B$11,MIN(5,MATCH(MAX(Reference!$A$6,MIN(Reference!$A$11,MIN($U108,90))),Reference!$A$6:$A$11,1))))/(INDEX(Reference!$A$6:$A$11,MIN(5,MATCH(MAX(Reference!$A$6,MIN(Reference!$A$11,MIN($U108,90))),Reference!$A$6:$A$11,1))+1)-INDEX(Reference!$A$6:$A$11,MIN(5,MATCH(MAX(Reference!$A$6,MIN(Reference!$A$11,MIN($U108,90))),Reference!$A$6:$A$11,1))))),0)+IF(2&lt;=$AL108,($AL108-2+3)*(INDEX(Reference!$B$6:$B$11,MIN(5,MATCH(MAX(Reference!$A$6,MIN(Reference!$A$11,MIN($U108,120))),Reference!$A$6:$A$11,1)))+(MAX(Reference!$A$6,MIN(Reference!$A$11,MIN($U108,120)))-INDEX(Reference!$A$6:$A$11,MIN(5,MATCH(MAX(Reference!$A$6,MIN(Reference!$A$11,MIN($U108,120))),Reference!$A$6:$A$11,1))))*(INDEX(Reference!$B$6:$B$11,MIN(5,MATCH(MAX(Reference!$A$6,MIN(Reference!$A$11,MIN($U108,120))),Reference!$A$6:$A$11,1))+1)-INDEX(Reference!$B$6:$B$11,MIN(5,MATCH(MAX(Reference!$A$6,MIN(Reference!$A$11,MIN($U108,120))),Reference!$A$6:$A$11,1))))/(INDEX(Reference!$A$6:$A$11,MIN(5,MATCH(MAX(Reference!$A$6,MIN(Reference!$A$11,MIN($U108,120))),Reference!$A$6:$A$11,1))+1)-INDEX(Reference!$A$6:$A$11,MIN(5,MATCH(MAX(Reference!$A$6,MIN(Reference!$A$11,MIN($U108,120))),Reference!$A$6:$A$11,1))))),0)+IF(3&lt;=$AL108,($AL108-3+3)*(INDEX(Reference!$B$6:$B$11,MIN(5,MATCH(MAX(Reference!$A$6,MIN(Reference!$A$11,MIN($U108,150))),Reference!$A$6:$A$11,1)))+(MAX(Reference!$A$6,MIN(Reference!$A$11,MIN($U108,150)))-INDEX(Reference!$A$6:$A$11,MIN(5,MATCH(MAX(Reference!$A$6,MIN(Reference!$A$11,MIN($U108,150))),Reference!$A$6:$A$11,1))))*(INDEX(Reference!$B$6:$B$11,MIN(5,MATCH(MAX(Reference!$A$6,MIN(Reference!$A$11,MIN($U108,150))),Reference!$A$6:$A$11,1))+1)-INDEX(Reference!$B$6:$B$11,MIN(5,MATCH(MAX(Reference!$A$6,MIN(Reference!$A$11,MIN($U108,150))),Reference!$A$6:$A$11,1))))/(INDEX(Reference!$A$6:$A$11,MIN(5,MATCH(MAX(Reference!$A$6,MIN(Reference!$A$11,MIN($U108,150))),Reference!$A$6:$A$11,1))+1)-INDEX(Reference!$A$6:$A$11,MIN(5,MATCH(MAX(Reference!$A$6,MIN(Reference!$A$11,MIN($U108,150))),Reference!$A$6:$A$11,1))))),0)+IF(4&lt;=$AL108,($AL108-4+3)*(INDEX(Reference!$B$6:$B$11,MIN(5,MATCH(MAX(Reference!$A$6,MIN(Reference!$A$11,MIN($U108,180))),Reference!$A$6:$A$11,1)))+(MAX(Reference!$A$6,MIN(Reference!$A$11,MIN($U108,180)))-INDEX(Reference!$A$6:$A$11,MIN(5,MATCH(MAX(Reference!$A$6,MIN(Reference!$A$11,MIN($U108,180))),Reference!$A$6:$A$11,1))))*(INDEX(Reference!$B$6:$B$11,MIN(5,MATCH(MAX(Reference!$A$6,MIN(Reference!$A$11,MIN($U108,180))),Reference!$A$6:$A$11,1))+1)-INDEX(Reference!$B$6:$B$11,MIN(5,MATCH(MAX(Reference!$A$6,MIN(Reference!$A$11,MIN($U108,180))),Reference!$A$6:$A$11,1))))/(INDEX(Reference!$A$6:$A$11,MIN(5,MATCH(MAX(Reference!$A$6,MIN(Reference!$A$11,MIN($U108,180))),Reference!$A$6:$A$11,1))+1)-INDEX(Reference!$A$6:$A$11,MIN(5,MATCH(MAX(Reference!$A$6,MIN(Reference!$A$11,MIN($U108,180))),Reference!$A$6:$A$11,1))))),0)+IF(5&lt;=$AL108,($AL108-5+3)*(INDEX(Reference!$B$6:$B$11,MIN(5,MATCH(MAX(Reference!$A$6,MIN(Reference!$A$11,MIN($U108,210))),Reference!$A$6:$A$11,1)))+(MAX(Reference!$A$6,MIN(Reference!$A$11,MIN($U108,210)))-INDEX(Reference!$A$6:$A$11,MIN(5,MATCH(MAX(Reference!$A$6,MIN(Reference!$A$11,MIN($U108,210))),Reference!$A$6:$A$11,1))))*(INDEX(Reference!$B$6:$B$11,MIN(5,MATCH(MAX(Reference!$A$6,MIN(Reference!$A$11,MIN($U108,210))),Reference!$A$6:$A$11,1))+1)-INDEX(Reference!$B$6:$B$11,MIN(5,MATCH(MAX(Reference!$A$6,MIN(Reference!$A$11,MIN($U108,210))),Reference!$A$6:$A$11,1))))/(INDEX(Reference!$A$6:$A$11,MIN(5,MATCH(MAX(Reference!$A$6,MIN(Reference!$A$11,MIN($U108,210))),Reference!$A$6:$A$11,1))+1)-INDEX(Reference!$A$6:$A$11,MIN(5,MATCH(MAX(Reference!$A$6,MIN(Reference!$A$11,MIN($U108,210))),Reference!$A$6:$A$11,1))))),0)+IF(6&lt;=$AL108,($AL108-6+3)*(INDEX(Reference!$B$6:$B$11,MIN(5,MATCH(MAX(Reference!$A$6,MIN(Reference!$A$11,MIN($U108,240))),Reference!$A$6:$A$11,1)))+(MAX(Reference!$A$6,MIN(Reference!$A$11,MIN($U108,240)))-INDEX(Reference!$A$6:$A$11,MIN(5,MATCH(MAX(Reference!$A$6,MIN(Reference!$A$11,MIN($U108,240))),Reference!$A$6:$A$11,1))))*(INDEX(Reference!$B$6:$B$11,MIN(5,MATCH(MAX(Reference!$A$6,MIN(Reference!$A$11,MIN($U108,240))),Reference!$A$6:$A$11,1))+1)-INDEX(Reference!$B$6:$B$11,MIN(5,MATCH(MAX(Reference!$A$6,MIN(Reference!$A$11,MIN($U108,240))),Reference!$A$6:$A$11,1))))/(INDEX(Reference!$A$6:$A$11,MIN(5,MATCH(MAX(Reference!$A$6,MIN(Reference!$A$11,MIN($U108,240))),Reference!$A$6:$A$11,1))+1)-INDEX(Reference!$A$6:$A$11,MIN(5,MATCH(MAX(Reference!$A$6,MIN(Reference!$A$11,MIN($U108,240))),Reference!$A$6:$A$11,1))))),0)+IF(7&lt;=$AL108,($AL108-7+3)*(INDEX(Reference!$B$6:$B$11,MIN(5,MATCH(MAX(Reference!$A$6,MIN(Reference!$A$11,MIN($U108,270))),Reference!$A$6:$A$11,1)))+(MAX(Reference!$A$6,MIN(Reference!$A$11,MIN($U108,270)))-INDEX(Reference!$A$6:$A$11,MIN(5,MATCH(MAX(Reference!$A$6,MIN(Reference!$A$11,MIN($U108,270))),Reference!$A$6:$A$11,1))))*(INDEX(Reference!$B$6:$B$11,MIN(5,MATCH(MAX(Reference!$A$6,MIN(Reference!$A$11,MIN($U108,270))),Reference!$A$6:$A$11,1))+1)-INDEX(Reference!$B$6:$B$11,MIN(5,MATCH(MAX(Reference!$A$6,MIN(Reference!$A$11,MIN($U108,270))),Reference!$A$6:$A$11,1))))/(INDEX(Reference!$A$6:$A$11,MIN(5,MATCH(MAX(Reference!$A$6,MIN(Reference!$A$11,MIN($U108,270))),Reference!$A$6:$A$11,1))+1)-INDEX(Reference!$A$6:$A$11,MIN(5,MATCH(MAX(Reference!$A$6,MIN(Reference!$A$11,MIN($U108,270))),Reference!$A$6:$A$11,1))))),0)+IF(8&lt;=$AL108,($AL108-8+3)*(INDEX(Reference!$B$6:$B$11,MIN(5,MATCH(MAX(Reference!$A$6,MIN(Reference!$A$11,MIN($U108,300))),Reference!$A$6:$A$11,1)))+(MAX(Reference!$A$6,MIN(Reference!$A$11,MIN($U108,300)))-INDEX(Reference!$A$6:$A$11,MIN(5,MATCH(MAX(Reference!$A$6,MIN(Reference!$A$11,MIN($U108,300))),Reference!$A$6:$A$11,1))))*(INDEX(Reference!$B$6:$B$11,MIN(5,MATCH(MAX(Reference!$A$6,MIN(Reference!$A$11,MIN($U108,300))),Reference!$A$6:$A$11,1))+1)-INDEX(Reference!$B$6:$B$11,MIN(5,MATCH(MAX(Reference!$A$6,MIN(Reference!$A$11,MIN($U108,300))),Reference!$A$6:$A$11,1))))/(INDEX(Reference!$A$6:$A$11,MIN(5,MATCH(MAX(Reference!$A$6,MIN(Reference!$A$11,MIN($U108,300))),Reference!$A$6:$A$11,1))+1)-INDEX(Reference!$A$6:$A$11,MIN(5,MATCH(MAX(Reference!$A$6,MIN(Reference!$A$11,MIN($U108,300))),Reference!$A$6:$A$11,1))))),0))/($AL108*($AL108+5)/2)),$AN108))</f>
        <v>0</v>
      </c>
      <c r="AN108" s="32">
        <f>IF($U108="",0,(INDEX(Reference!$B$6:$B$11,MIN(5,MATCH(MAX(Reference!$A$6,MIN(Reference!$A$11,$U108)),Reference!$A$6:$A$11,1)))+(MAX(Reference!$A$6,MIN(Reference!$A$11,$U108))-INDEX(Reference!$A$6:$A$11,MIN(5,MATCH(MAX(Reference!$A$6,MIN(Reference!$A$11,$U108)),Reference!$A$6:$A$11,1))))*(INDEX(Reference!$B$6:$B$11,MIN(5,MATCH(MAX(Reference!$A$6,MIN(Reference!$A$11,$U108)),Reference!$A$6:$A$11,1))+1)-INDEX(Reference!$B$6:$B$11,MIN(5,MATCH(MAX(Reference!$A$6,MIN(Reference!$A$11,$U108)),Reference!$A$6:$A$11,1))))/(INDEX(Reference!$A$6:$A$11,MIN(5,MATCH(MAX(Reference!$A$6,MIN(Reference!$A$11,$U108)),Reference!$A$6:$A$11,1))+1)-INDEX(Reference!$A$6:$A$11,MIN(5,MATCH(MAX(Reference!$A$6,MIN(Reference!$A$11,$U108)),Reference!$A$6:$A$11,1))))))</f>
        <v>0</v>
      </c>
      <c r="AO108" s="37"/>
      <c r="AP108" s="37"/>
      <c r="AQ108" s="37"/>
    </row>
    <row r="109" spans="1:43" x14ac:dyDescent="0.3">
      <c r="A109" s="48">
        <f t="shared" si="55"/>
        <v>46373</v>
      </c>
      <c r="B109" s="32" t="str">
        <f t="shared" si="56"/>
        <v>Thu</v>
      </c>
      <c r="C109" s="32">
        <f t="shared" si="57"/>
        <v>18</v>
      </c>
      <c r="D109" s="32" t="str">
        <f t="shared" si="58"/>
        <v>Flat Ground / Intent</v>
      </c>
      <c r="E109" s="32" t="str">
        <f t="shared" si="59"/>
        <v>High Non-Bullpen</v>
      </c>
      <c r="F109" s="32" t="str">
        <f t="shared" si="60"/>
        <v>Compression/Pulldowns</v>
      </c>
      <c r="G109" s="47" t="str">
        <f t="shared" si="61"/>
        <v>90 ft × 20 @ 80–82 mph + flat ground at 60 ft × 25 @ 80–82 mph</v>
      </c>
      <c r="H109" s="30">
        <f t="shared" si="62"/>
        <v>51</v>
      </c>
      <c r="I109" s="46">
        <f>IF($A109="","",IF(AND($L109&lt;27,$K$12=0),"Building",IFERROR(((SUM($H$103:$H109)+$K$12*IF($L109&lt;6,SUMIFS('Throw Log'!$Q$5:$Q$300,'Throw Log'!$B$5:$B$300,$D$4,'Throw Log'!$A$5:$A$300,"&gt;="&amp;($D$6+$L109-6),'Throw Log'!$A$5:$A$300,"&lt;="&amp;($D$6-1)),0))/7)/((SUM($H$82:$H109)+$K$12*IF($L109&lt;27,SUMIFS('Throw Log'!$Q$5:$Q$300,'Throw Log'!$B$5:$B$300,$D$4,'Throw Log'!$A$5:$A$300,"&gt;="&amp;($D$6+$L109-27),'Throw Log'!$A$5:$A$300,"&lt;="&amp;($D$6-1)),0))/28),"")))</f>
        <v>1.1978623767285552</v>
      </c>
      <c r="J109" s="37"/>
      <c r="K109" s="37">
        <v>20</v>
      </c>
      <c r="L109" s="32">
        <v>66</v>
      </c>
      <c r="M109" s="32">
        <f t="shared" si="63"/>
        <v>10</v>
      </c>
      <c r="N109" s="32">
        <f t="shared" si="64"/>
        <v>3</v>
      </c>
      <c r="O109" s="32">
        <f t="shared" si="65"/>
        <v>0.86842105263157898</v>
      </c>
      <c r="P109" s="32">
        <f>IF(OR($A109="",N($C109)&lt;=7),"",$G$6*$G$9^($M109-1)*IF(AND(MOD($M109,Reference!$B$99)=0,$M109&lt;=$G$5-2),Reference!$B$100,1))</f>
        <v>231.09205355537119</v>
      </c>
      <c r="Q109" s="32">
        <f>IF($P109="","",IF(SUM($AK$106:$AK$112)=0,0,$P109*INDEX(Reference!$B$108:$B$114,$N109+1)/SUM($AK$106:$AK$112)))</f>
        <v>51.833731638587928</v>
      </c>
      <c r="R109" s="32">
        <f t="shared" si="66"/>
        <v>180</v>
      </c>
      <c r="S109" s="32">
        <f t="shared" si="67"/>
        <v>150</v>
      </c>
      <c r="T109" s="32" t="str">
        <f>IF($A109="","",IF($C109=0,"Bullpen",IF(OR($C109=7,$C109=1,$C109=5),"Recovery/Easy Catch",IF($C109=6,"Compression/Pulldowns",IF(OR($C109=4,$C109=2),"Long Toss",IF($C109=3,"No Throw",IF($N109=2,"No Throw",IF($N109=6,IF($O109&lt;Reference!$B$104,"No Throw","Recovery/Easy Catch"),IF(OR($N109=0,$N109=4),"Recovery/Easy Catch",IF($N109=1,IF($R109&gt;75,"Long Toss","Recovery/Easy Catch"),IF($N109=3,IF($O109&lt;0.5,IF($S109&gt;75,"Long Toss","Recovery/Easy Catch"),"Compression/Pulldowns"),IF($S109&gt;75,"Long Toss","Recovery/Easy Catch"))))))))))))</f>
        <v>Compression/Pulldowns</v>
      </c>
      <c r="U109" s="32">
        <f t="shared" si="68"/>
        <v>90</v>
      </c>
      <c r="V109" s="32">
        <f t="shared" si="69"/>
        <v>7</v>
      </c>
      <c r="W109" s="32">
        <f t="shared" si="70"/>
        <v>9</v>
      </c>
      <c r="X109" s="32">
        <f t="shared" si="71"/>
        <v>25</v>
      </c>
      <c r="Y109" s="32">
        <f t="shared" si="72"/>
        <v>7</v>
      </c>
      <c r="Z109" s="32">
        <f t="shared" si="73"/>
        <v>9</v>
      </c>
      <c r="AA109" s="32" t="str">
        <f t="shared" si="74"/>
        <v/>
      </c>
      <c r="AB109" s="32">
        <f>IF($A109="","",IF($T109="No Throw",0,IF($K109&lt;&gt;"",$K109,IF($AA109&lt;&gt;"",ROUND($AA109*$D$12*IF($C109=0,1,$G$10),0),MIN(IF($T109="Recovery/Easy Catch",Reference!$B$103,IF($T109="Long Toss",Reference!$B$106,Reference!$B$102)),MAX(Reference!$B$101,ROUND(MAX(0,$Q109-$AE109)/$AF109,0)))))))</f>
        <v>20</v>
      </c>
      <c r="AC109" s="32">
        <f t="shared" si="75"/>
        <v>0</v>
      </c>
      <c r="AD109" s="32" t="b">
        <f t="shared" si="76"/>
        <v>0</v>
      </c>
      <c r="AE109" s="32">
        <f>IF($X109=0,0,$X109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109+$Z109)/2,0),Reference!$A$17:$B$20,2,TRUE()))</f>
        <v>25</v>
      </c>
      <c r="AF109" s="32">
        <f>IF(OR($A109="",$U109="",$T109="No Throw"),0,$AM109*VLOOKUP(MAX(($V109+$W109)/2,0),Reference!$A$17:$B$20,2,TRUE()))</f>
        <v>1.3</v>
      </c>
      <c r="AG109" s="32">
        <f>IF($AC109=0,0,$AC109*INDEX(Reference!$B$61:$B$62,MATCH("Bullpen",Reference!$A$61:$A$62,0))*VLOOKUP(MAX($D$5-($D$9+$E$9)/2,0),Reference!$A$17:$B$20,2,TRUE()))</f>
        <v>0</v>
      </c>
      <c r="AH109" s="46">
        <f t="shared" si="77"/>
        <v>1.1978623767285552</v>
      </c>
      <c r="AI109" s="32">
        <f>IF($A109="",NA(),Reference!$A$25)</f>
        <v>0.8</v>
      </c>
      <c r="AJ109" s="32">
        <f t="shared" si="78"/>
        <v>1.3</v>
      </c>
      <c r="AK109" s="56">
        <f>IF(OR($A109="",N($C109)&lt;=7,$T109="No Throw",$J109="x"),0,INDEX(Reference!$B$108:$B$114,$N109+1))</f>
        <v>0.24</v>
      </c>
      <c r="AL109" s="32">
        <f t="shared" si="79"/>
        <v>1</v>
      </c>
      <c r="AM109" s="32">
        <f>IF($U109="",0,IF($AL109&gt;1,((IF(1&lt;=$AL109,($AL109-1+3)*(INDEX(Reference!$B$6:$B$11,MIN(5,MATCH(MAX(Reference!$A$6,MIN(Reference!$A$11,MIN($U109,90))),Reference!$A$6:$A$11,1)))+(MAX(Reference!$A$6,MIN(Reference!$A$11,MIN($U109,90)))-INDEX(Reference!$A$6:$A$11,MIN(5,MATCH(MAX(Reference!$A$6,MIN(Reference!$A$11,MIN($U109,90))),Reference!$A$6:$A$11,1))))*(INDEX(Reference!$B$6:$B$11,MIN(5,MATCH(MAX(Reference!$A$6,MIN(Reference!$A$11,MIN($U109,90))),Reference!$A$6:$A$11,1))+1)-INDEX(Reference!$B$6:$B$11,MIN(5,MATCH(MAX(Reference!$A$6,MIN(Reference!$A$11,MIN($U109,90))),Reference!$A$6:$A$11,1))))/(INDEX(Reference!$A$6:$A$11,MIN(5,MATCH(MAX(Reference!$A$6,MIN(Reference!$A$11,MIN($U109,90))),Reference!$A$6:$A$11,1))+1)-INDEX(Reference!$A$6:$A$11,MIN(5,MATCH(MAX(Reference!$A$6,MIN(Reference!$A$11,MIN($U109,90))),Reference!$A$6:$A$11,1))))),0)+IF(2&lt;=$AL109,($AL109-2+3)*(INDEX(Reference!$B$6:$B$11,MIN(5,MATCH(MAX(Reference!$A$6,MIN(Reference!$A$11,MIN($U109,120))),Reference!$A$6:$A$11,1)))+(MAX(Reference!$A$6,MIN(Reference!$A$11,MIN($U109,120)))-INDEX(Reference!$A$6:$A$11,MIN(5,MATCH(MAX(Reference!$A$6,MIN(Reference!$A$11,MIN($U109,120))),Reference!$A$6:$A$11,1))))*(INDEX(Reference!$B$6:$B$11,MIN(5,MATCH(MAX(Reference!$A$6,MIN(Reference!$A$11,MIN($U109,120))),Reference!$A$6:$A$11,1))+1)-INDEX(Reference!$B$6:$B$11,MIN(5,MATCH(MAX(Reference!$A$6,MIN(Reference!$A$11,MIN($U109,120))),Reference!$A$6:$A$11,1))))/(INDEX(Reference!$A$6:$A$11,MIN(5,MATCH(MAX(Reference!$A$6,MIN(Reference!$A$11,MIN($U109,120))),Reference!$A$6:$A$11,1))+1)-INDEX(Reference!$A$6:$A$11,MIN(5,MATCH(MAX(Reference!$A$6,MIN(Reference!$A$11,MIN($U109,120))),Reference!$A$6:$A$11,1))))),0)+IF(3&lt;=$AL109,($AL109-3+3)*(INDEX(Reference!$B$6:$B$11,MIN(5,MATCH(MAX(Reference!$A$6,MIN(Reference!$A$11,MIN($U109,150))),Reference!$A$6:$A$11,1)))+(MAX(Reference!$A$6,MIN(Reference!$A$11,MIN($U109,150)))-INDEX(Reference!$A$6:$A$11,MIN(5,MATCH(MAX(Reference!$A$6,MIN(Reference!$A$11,MIN($U109,150))),Reference!$A$6:$A$11,1))))*(INDEX(Reference!$B$6:$B$11,MIN(5,MATCH(MAX(Reference!$A$6,MIN(Reference!$A$11,MIN($U109,150))),Reference!$A$6:$A$11,1))+1)-INDEX(Reference!$B$6:$B$11,MIN(5,MATCH(MAX(Reference!$A$6,MIN(Reference!$A$11,MIN($U109,150))),Reference!$A$6:$A$11,1))))/(INDEX(Reference!$A$6:$A$11,MIN(5,MATCH(MAX(Reference!$A$6,MIN(Reference!$A$11,MIN($U109,150))),Reference!$A$6:$A$11,1))+1)-INDEX(Reference!$A$6:$A$11,MIN(5,MATCH(MAX(Reference!$A$6,MIN(Reference!$A$11,MIN($U109,150))),Reference!$A$6:$A$11,1))))),0)+IF(4&lt;=$AL109,($AL109-4+3)*(INDEX(Reference!$B$6:$B$11,MIN(5,MATCH(MAX(Reference!$A$6,MIN(Reference!$A$11,MIN($U109,180))),Reference!$A$6:$A$11,1)))+(MAX(Reference!$A$6,MIN(Reference!$A$11,MIN($U109,180)))-INDEX(Reference!$A$6:$A$11,MIN(5,MATCH(MAX(Reference!$A$6,MIN(Reference!$A$11,MIN($U109,180))),Reference!$A$6:$A$11,1))))*(INDEX(Reference!$B$6:$B$11,MIN(5,MATCH(MAX(Reference!$A$6,MIN(Reference!$A$11,MIN($U109,180))),Reference!$A$6:$A$11,1))+1)-INDEX(Reference!$B$6:$B$11,MIN(5,MATCH(MAX(Reference!$A$6,MIN(Reference!$A$11,MIN($U109,180))),Reference!$A$6:$A$11,1))))/(INDEX(Reference!$A$6:$A$11,MIN(5,MATCH(MAX(Reference!$A$6,MIN(Reference!$A$11,MIN($U109,180))),Reference!$A$6:$A$11,1))+1)-INDEX(Reference!$A$6:$A$11,MIN(5,MATCH(MAX(Reference!$A$6,MIN(Reference!$A$11,MIN($U109,180))),Reference!$A$6:$A$11,1))))),0)+IF(5&lt;=$AL109,($AL109-5+3)*(INDEX(Reference!$B$6:$B$11,MIN(5,MATCH(MAX(Reference!$A$6,MIN(Reference!$A$11,MIN($U109,210))),Reference!$A$6:$A$11,1)))+(MAX(Reference!$A$6,MIN(Reference!$A$11,MIN($U109,210)))-INDEX(Reference!$A$6:$A$11,MIN(5,MATCH(MAX(Reference!$A$6,MIN(Reference!$A$11,MIN($U109,210))),Reference!$A$6:$A$11,1))))*(INDEX(Reference!$B$6:$B$11,MIN(5,MATCH(MAX(Reference!$A$6,MIN(Reference!$A$11,MIN($U109,210))),Reference!$A$6:$A$11,1))+1)-INDEX(Reference!$B$6:$B$11,MIN(5,MATCH(MAX(Reference!$A$6,MIN(Reference!$A$11,MIN($U109,210))),Reference!$A$6:$A$11,1))))/(INDEX(Reference!$A$6:$A$11,MIN(5,MATCH(MAX(Reference!$A$6,MIN(Reference!$A$11,MIN($U109,210))),Reference!$A$6:$A$11,1))+1)-INDEX(Reference!$A$6:$A$11,MIN(5,MATCH(MAX(Reference!$A$6,MIN(Reference!$A$11,MIN($U109,210))),Reference!$A$6:$A$11,1))))),0)+IF(6&lt;=$AL109,($AL109-6+3)*(INDEX(Reference!$B$6:$B$11,MIN(5,MATCH(MAX(Reference!$A$6,MIN(Reference!$A$11,MIN($U109,240))),Reference!$A$6:$A$11,1)))+(MAX(Reference!$A$6,MIN(Reference!$A$11,MIN($U109,240)))-INDEX(Reference!$A$6:$A$11,MIN(5,MATCH(MAX(Reference!$A$6,MIN(Reference!$A$11,MIN($U109,240))),Reference!$A$6:$A$11,1))))*(INDEX(Reference!$B$6:$B$11,MIN(5,MATCH(MAX(Reference!$A$6,MIN(Reference!$A$11,MIN($U109,240))),Reference!$A$6:$A$11,1))+1)-INDEX(Reference!$B$6:$B$11,MIN(5,MATCH(MAX(Reference!$A$6,MIN(Reference!$A$11,MIN($U109,240))),Reference!$A$6:$A$11,1))))/(INDEX(Reference!$A$6:$A$11,MIN(5,MATCH(MAX(Reference!$A$6,MIN(Reference!$A$11,MIN($U109,240))),Reference!$A$6:$A$11,1))+1)-INDEX(Reference!$A$6:$A$11,MIN(5,MATCH(MAX(Reference!$A$6,MIN(Reference!$A$11,MIN($U109,240))),Reference!$A$6:$A$11,1))))),0)+IF(7&lt;=$AL109,($AL109-7+3)*(INDEX(Reference!$B$6:$B$11,MIN(5,MATCH(MAX(Reference!$A$6,MIN(Reference!$A$11,MIN($U109,270))),Reference!$A$6:$A$11,1)))+(MAX(Reference!$A$6,MIN(Reference!$A$11,MIN($U109,270)))-INDEX(Reference!$A$6:$A$11,MIN(5,MATCH(MAX(Reference!$A$6,MIN(Reference!$A$11,MIN($U109,270))),Reference!$A$6:$A$11,1))))*(INDEX(Reference!$B$6:$B$11,MIN(5,MATCH(MAX(Reference!$A$6,MIN(Reference!$A$11,MIN($U109,270))),Reference!$A$6:$A$11,1))+1)-INDEX(Reference!$B$6:$B$11,MIN(5,MATCH(MAX(Reference!$A$6,MIN(Reference!$A$11,MIN($U109,270))),Reference!$A$6:$A$11,1))))/(INDEX(Reference!$A$6:$A$11,MIN(5,MATCH(MAX(Reference!$A$6,MIN(Reference!$A$11,MIN($U109,270))),Reference!$A$6:$A$11,1))+1)-INDEX(Reference!$A$6:$A$11,MIN(5,MATCH(MAX(Reference!$A$6,MIN(Reference!$A$11,MIN($U109,270))),Reference!$A$6:$A$11,1))))),0)+IF(8&lt;=$AL109,($AL109-8+3)*(INDEX(Reference!$B$6:$B$11,MIN(5,MATCH(MAX(Reference!$A$6,MIN(Reference!$A$11,MIN($U109,300))),Reference!$A$6:$A$11,1)))+(MAX(Reference!$A$6,MIN(Reference!$A$11,MIN($U109,300)))-INDEX(Reference!$A$6:$A$11,MIN(5,MATCH(MAX(Reference!$A$6,MIN(Reference!$A$11,MIN($U109,300))),Reference!$A$6:$A$11,1))))*(INDEX(Reference!$B$6:$B$11,MIN(5,MATCH(MAX(Reference!$A$6,MIN(Reference!$A$11,MIN($U109,300))),Reference!$A$6:$A$11,1))+1)-INDEX(Reference!$B$6:$B$11,MIN(5,MATCH(MAX(Reference!$A$6,MIN(Reference!$A$11,MIN($U109,300))),Reference!$A$6:$A$11,1))))/(INDEX(Reference!$A$6:$A$11,MIN(5,MATCH(MAX(Reference!$A$6,MIN(Reference!$A$11,MIN($U109,300))),Reference!$A$6:$A$11,1))+1)-INDEX(Reference!$A$6:$A$11,MIN(5,MATCH(MAX(Reference!$A$6,MIN(Reference!$A$11,MIN($U109,300))),Reference!$A$6:$A$11,1))))),0))/($AL109*($AL109+5)/2)),$AN109))</f>
        <v>1.3</v>
      </c>
      <c r="AN109" s="32">
        <f>IF($U109="",0,(INDEX(Reference!$B$6:$B$11,MIN(5,MATCH(MAX(Reference!$A$6,MIN(Reference!$A$11,$U109)),Reference!$A$6:$A$11,1)))+(MAX(Reference!$A$6,MIN(Reference!$A$11,$U109))-INDEX(Reference!$A$6:$A$11,MIN(5,MATCH(MAX(Reference!$A$6,MIN(Reference!$A$11,$U109)),Reference!$A$6:$A$11,1))))*(INDEX(Reference!$B$6:$B$11,MIN(5,MATCH(MAX(Reference!$A$6,MIN(Reference!$A$11,$U109)),Reference!$A$6:$A$11,1))+1)-INDEX(Reference!$B$6:$B$11,MIN(5,MATCH(MAX(Reference!$A$6,MIN(Reference!$A$11,$U109)),Reference!$A$6:$A$11,1))))/(INDEX(Reference!$A$6:$A$11,MIN(5,MATCH(MAX(Reference!$A$6,MIN(Reference!$A$11,$U109)),Reference!$A$6:$A$11,1))+1)-INDEX(Reference!$A$6:$A$11,MIN(5,MATCH(MAX(Reference!$A$6,MIN(Reference!$A$11,$U109)),Reference!$A$6:$A$11,1))))))</f>
        <v>1.3</v>
      </c>
      <c r="AO109" s="37"/>
      <c r="AP109" s="37"/>
      <c r="AQ109" s="37"/>
    </row>
    <row r="110" spans="1:43" x14ac:dyDescent="0.3">
      <c r="A110" s="48">
        <f t="shared" si="55"/>
        <v>46374</v>
      </c>
      <c r="B110" s="32" t="str">
        <f t="shared" si="56"/>
        <v>Fri</v>
      </c>
      <c r="C110" s="32">
        <f t="shared" si="57"/>
        <v>17</v>
      </c>
      <c r="D110" s="32" t="str">
        <f t="shared" si="58"/>
        <v>Flat Ground / Intent</v>
      </c>
      <c r="E110" s="32" t="str">
        <f t="shared" si="59"/>
        <v>Low</v>
      </c>
      <c r="F110" s="32" t="str">
        <f t="shared" si="60"/>
        <v>Recovery/Easy Catch</v>
      </c>
      <c r="G110" s="47" t="str">
        <f t="shared" si="61"/>
        <v>75 ft × 30 @ 67–71 mph</v>
      </c>
      <c r="H110" s="30">
        <f t="shared" si="62"/>
        <v>20.7</v>
      </c>
      <c r="I110" s="46">
        <f>IF($A110="","",IF(AND($L110&lt;27,$K$12=0),"Building",IFERROR(((SUM($H$104:$H110)+$K$12*IF($L110&lt;6,SUMIFS('Throw Log'!$Q$5:$Q$300,'Throw Log'!$B$5:$B$300,$D$4,'Throw Log'!$A$5:$A$300,"&gt;="&amp;($D$6+$L110-6),'Throw Log'!$A$5:$A$300,"&lt;="&amp;($D$6-1)),0))/7)/((SUM($H$83:$H110)+$K$12*IF($L110&lt;27,SUMIFS('Throw Log'!$Q$5:$Q$300,'Throw Log'!$B$5:$B$300,$D$4,'Throw Log'!$A$5:$A$300,"&gt;="&amp;($D$6+$L110-27),'Throw Log'!$A$5:$A$300,"&lt;="&amp;($D$6-1)),0))/28),"")))</f>
        <v>1.195068953845146</v>
      </c>
      <c r="J110" s="37"/>
      <c r="K110" s="37">
        <v>30</v>
      </c>
      <c r="L110" s="32">
        <v>67</v>
      </c>
      <c r="M110" s="32">
        <f t="shared" si="63"/>
        <v>10</v>
      </c>
      <c r="N110" s="32">
        <f t="shared" si="64"/>
        <v>4</v>
      </c>
      <c r="O110" s="32">
        <f t="shared" si="65"/>
        <v>0.88157894736842102</v>
      </c>
      <c r="P110" s="32">
        <f>IF(OR($A110="",N($C110)&lt;=7),"",$G$6*$G$9^($M110-1)*IF(AND(MOD($M110,Reference!$B$99)=0,$M110&lt;=$G$5-2),Reference!$B$100,1))</f>
        <v>231.09205355537119</v>
      </c>
      <c r="Q110" s="32">
        <f>IF($P110="","",IF(SUM($AK$106:$AK$112)=0,0,$P110*INDEX(Reference!$B$108:$B$114,$N110+1)/SUM($AK$106:$AK$112)))</f>
        <v>21.597388182744972</v>
      </c>
      <c r="R110" s="32">
        <f t="shared" si="66"/>
        <v>180</v>
      </c>
      <c r="S110" s="32">
        <f t="shared" si="67"/>
        <v>150</v>
      </c>
      <c r="T110" s="32" t="str">
        <f>IF($A110="","",IF($C110=0,"Bullpen",IF(OR($C110=7,$C110=1,$C110=5),"Recovery/Easy Catch",IF($C110=6,"Compression/Pulldowns",IF(OR($C110=4,$C110=2),"Long Toss",IF($C110=3,"No Throw",IF($N110=2,"No Throw",IF($N110=6,IF($O110&lt;Reference!$B$104,"No Throw","Recovery/Easy Catch"),IF(OR($N110=0,$N110=4),"Recovery/Easy Catch",IF($N110=1,IF($R110&gt;75,"Long Toss","Recovery/Easy Catch"),IF($N110=3,IF($O110&lt;0.5,IF($S110&gt;75,"Long Toss","Recovery/Easy Catch"),"Compression/Pulldowns"),IF($S110&gt;75,"Long Toss","Recovery/Easy Catch"))))))))))))</f>
        <v>Recovery/Easy Catch</v>
      </c>
      <c r="U110" s="32">
        <f t="shared" si="68"/>
        <v>75</v>
      </c>
      <c r="V110" s="32">
        <f t="shared" si="69"/>
        <v>18</v>
      </c>
      <c r="W110" s="32">
        <f t="shared" si="70"/>
        <v>22</v>
      </c>
      <c r="X110" s="32">
        <f t="shared" si="71"/>
        <v>0</v>
      </c>
      <c r="Y110" s="32" t="str">
        <f t="shared" si="72"/>
        <v/>
      </c>
      <c r="Z110" s="32" t="str">
        <f t="shared" si="73"/>
        <v/>
      </c>
      <c r="AA110" s="32" t="str">
        <f t="shared" si="74"/>
        <v/>
      </c>
      <c r="AB110" s="32">
        <f>IF($A110="","",IF($T110="No Throw",0,IF($K110&lt;&gt;"",$K110,IF($AA110&lt;&gt;"",ROUND($AA110*$D$12*IF($C110=0,1,$G$10),0),MIN(IF($T110="Recovery/Easy Catch",Reference!$B$103,IF($T110="Long Toss",Reference!$B$106,Reference!$B$102)),MAX(Reference!$B$101,ROUND(MAX(0,$Q110-$AE110)/$AF110,0)))))))</f>
        <v>30</v>
      </c>
      <c r="AC110" s="32">
        <f t="shared" si="75"/>
        <v>0</v>
      </c>
      <c r="AD110" s="32" t="b">
        <f t="shared" si="76"/>
        <v>0</v>
      </c>
      <c r="AE110" s="32">
        <f>IF($X110=0,0,$X110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110+$Z110)/2,0),Reference!$A$17:$B$20,2,TRUE()))</f>
        <v>0</v>
      </c>
      <c r="AF110" s="32">
        <f>IF(OR($A110="",$U110="",$T110="No Throw"),0,$AM110*VLOOKUP(MAX(($V110+$W110)/2,0),Reference!$A$17:$B$20,2,TRUE()))</f>
        <v>0.69</v>
      </c>
      <c r="AG110" s="32">
        <f>IF($AC110=0,0,$AC110*INDEX(Reference!$B$61:$B$62,MATCH("Bullpen",Reference!$A$61:$A$62,0))*VLOOKUP(MAX($D$5-($D$9+$E$9)/2,0),Reference!$A$17:$B$20,2,TRUE()))</f>
        <v>0</v>
      </c>
      <c r="AH110" s="46">
        <f t="shared" si="77"/>
        <v>1.195068953845146</v>
      </c>
      <c r="AI110" s="32">
        <f>IF($A110="",NA(),Reference!$A$25)</f>
        <v>0.8</v>
      </c>
      <c r="AJ110" s="32">
        <f t="shared" si="78"/>
        <v>1.3</v>
      </c>
      <c r="AK110" s="56">
        <f>IF(OR($A110="",N($C110)&lt;=7,$T110="No Throw",$J110="x"),0,INDEX(Reference!$B$108:$B$114,$N110+1))</f>
        <v>0.1</v>
      </c>
      <c r="AL110" s="32">
        <f t="shared" si="79"/>
        <v>1</v>
      </c>
      <c r="AM110" s="32">
        <f>IF($U110="",0,IF($AL110&gt;1,((IF(1&lt;=$AL110,($AL110-1+3)*(INDEX(Reference!$B$6:$B$11,MIN(5,MATCH(MAX(Reference!$A$6,MIN(Reference!$A$11,MIN($U110,90))),Reference!$A$6:$A$11,1)))+(MAX(Reference!$A$6,MIN(Reference!$A$11,MIN($U110,90)))-INDEX(Reference!$A$6:$A$11,MIN(5,MATCH(MAX(Reference!$A$6,MIN(Reference!$A$11,MIN($U110,90))),Reference!$A$6:$A$11,1))))*(INDEX(Reference!$B$6:$B$11,MIN(5,MATCH(MAX(Reference!$A$6,MIN(Reference!$A$11,MIN($U110,90))),Reference!$A$6:$A$11,1))+1)-INDEX(Reference!$B$6:$B$11,MIN(5,MATCH(MAX(Reference!$A$6,MIN(Reference!$A$11,MIN($U110,90))),Reference!$A$6:$A$11,1))))/(INDEX(Reference!$A$6:$A$11,MIN(5,MATCH(MAX(Reference!$A$6,MIN(Reference!$A$11,MIN($U110,90))),Reference!$A$6:$A$11,1))+1)-INDEX(Reference!$A$6:$A$11,MIN(5,MATCH(MAX(Reference!$A$6,MIN(Reference!$A$11,MIN($U110,90))),Reference!$A$6:$A$11,1))))),0)+IF(2&lt;=$AL110,($AL110-2+3)*(INDEX(Reference!$B$6:$B$11,MIN(5,MATCH(MAX(Reference!$A$6,MIN(Reference!$A$11,MIN($U110,120))),Reference!$A$6:$A$11,1)))+(MAX(Reference!$A$6,MIN(Reference!$A$11,MIN($U110,120)))-INDEX(Reference!$A$6:$A$11,MIN(5,MATCH(MAX(Reference!$A$6,MIN(Reference!$A$11,MIN($U110,120))),Reference!$A$6:$A$11,1))))*(INDEX(Reference!$B$6:$B$11,MIN(5,MATCH(MAX(Reference!$A$6,MIN(Reference!$A$11,MIN($U110,120))),Reference!$A$6:$A$11,1))+1)-INDEX(Reference!$B$6:$B$11,MIN(5,MATCH(MAX(Reference!$A$6,MIN(Reference!$A$11,MIN($U110,120))),Reference!$A$6:$A$11,1))))/(INDEX(Reference!$A$6:$A$11,MIN(5,MATCH(MAX(Reference!$A$6,MIN(Reference!$A$11,MIN($U110,120))),Reference!$A$6:$A$11,1))+1)-INDEX(Reference!$A$6:$A$11,MIN(5,MATCH(MAX(Reference!$A$6,MIN(Reference!$A$11,MIN($U110,120))),Reference!$A$6:$A$11,1))))),0)+IF(3&lt;=$AL110,($AL110-3+3)*(INDEX(Reference!$B$6:$B$11,MIN(5,MATCH(MAX(Reference!$A$6,MIN(Reference!$A$11,MIN($U110,150))),Reference!$A$6:$A$11,1)))+(MAX(Reference!$A$6,MIN(Reference!$A$11,MIN($U110,150)))-INDEX(Reference!$A$6:$A$11,MIN(5,MATCH(MAX(Reference!$A$6,MIN(Reference!$A$11,MIN($U110,150))),Reference!$A$6:$A$11,1))))*(INDEX(Reference!$B$6:$B$11,MIN(5,MATCH(MAX(Reference!$A$6,MIN(Reference!$A$11,MIN($U110,150))),Reference!$A$6:$A$11,1))+1)-INDEX(Reference!$B$6:$B$11,MIN(5,MATCH(MAX(Reference!$A$6,MIN(Reference!$A$11,MIN($U110,150))),Reference!$A$6:$A$11,1))))/(INDEX(Reference!$A$6:$A$11,MIN(5,MATCH(MAX(Reference!$A$6,MIN(Reference!$A$11,MIN($U110,150))),Reference!$A$6:$A$11,1))+1)-INDEX(Reference!$A$6:$A$11,MIN(5,MATCH(MAX(Reference!$A$6,MIN(Reference!$A$11,MIN($U110,150))),Reference!$A$6:$A$11,1))))),0)+IF(4&lt;=$AL110,($AL110-4+3)*(INDEX(Reference!$B$6:$B$11,MIN(5,MATCH(MAX(Reference!$A$6,MIN(Reference!$A$11,MIN($U110,180))),Reference!$A$6:$A$11,1)))+(MAX(Reference!$A$6,MIN(Reference!$A$11,MIN($U110,180)))-INDEX(Reference!$A$6:$A$11,MIN(5,MATCH(MAX(Reference!$A$6,MIN(Reference!$A$11,MIN($U110,180))),Reference!$A$6:$A$11,1))))*(INDEX(Reference!$B$6:$B$11,MIN(5,MATCH(MAX(Reference!$A$6,MIN(Reference!$A$11,MIN($U110,180))),Reference!$A$6:$A$11,1))+1)-INDEX(Reference!$B$6:$B$11,MIN(5,MATCH(MAX(Reference!$A$6,MIN(Reference!$A$11,MIN($U110,180))),Reference!$A$6:$A$11,1))))/(INDEX(Reference!$A$6:$A$11,MIN(5,MATCH(MAX(Reference!$A$6,MIN(Reference!$A$11,MIN($U110,180))),Reference!$A$6:$A$11,1))+1)-INDEX(Reference!$A$6:$A$11,MIN(5,MATCH(MAX(Reference!$A$6,MIN(Reference!$A$11,MIN($U110,180))),Reference!$A$6:$A$11,1))))),0)+IF(5&lt;=$AL110,($AL110-5+3)*(INDEX(Reference!$B$6:$B$11,MIN(5,MATCH(MAX(Reference!$A$6,MIN(Reference!$A$11,MIN($U110,210))),Reference!$A$6:$A$11,1)))+(MAX(Reference!$A$6,MIN(Reference!$A$11,MIN($U110,210)))-INDEX(Reference!$A$6:$A$11,MIN(5,MATCH(MAX(Reference!$A$6,MIN(Reference!$A$11,MIN($U110,210))),Reference!$A$6:$A$11,1))))*(INDEX(Reference!$B$6:$B$11,MIN(5,MATCH(MAX(Reference!$A$6,MIN(Reference!$A$11,MIN($U110,210))),Reference!$A$6:$A$11,1))+1)-INDEX(Reference!$B$6:$B$11,MIN(5,MATCH(MAX(Reference!$A$6,MIN(Reference!$A$11,MIN($U110,210))),Reference!$A$6:$A$11,1))))/(INDEX(Reference!$A$6:$A$11,MIN(5,MATCH(MAX(Reference!$A$6,MIN(Reference!$A$11,MIN($U110,210))),Reference!$A$6:$A$11,1))+1)-INDEX(Reference!$A$6:$A$11,MIN(5,MATCH(MAX(Reference!$A$6,MIN(Reference!$A$11,MIN($U110,210))),Reference!$A$6:$A$11,1))))),0)+IF(6&lt;=$AL110,($AL110-6+3)*(INDEX(Reference!$B$6:$B$11,MIN(5,MATCH(MAX(Reference!$A$6,MIN(Reference!$A$11,MIN($U110,240))),Reference!$A$6:$A$11,1)))+(MAX(Reference!$A$6,MIN(Reference!$A$11,MIN($U110,240)))-INDEX(Reference!$A$6:$A$11,MIN(5,MATCH(MAX(Reference!$A$6,MIN(Reference!$A$11,MIN($U110,240))),Reference!$A$6:$A$11,1))))*(INDEX(Reference!$B$6:$B$11,MIN(5,MATCH(MAX(Reference!$A$6,MIN(Reference!$A$11,MIN($U110,240))),Reference!$A$6:$A$11,1))+1)-INDEX(Reference!$B$6:$B$11,MIN(5,MATCH(MAX(Reference!$A$6,MIN(Reference!$A$11,MIN($U110,240))),Reference!$A$6:$A$11,1))))/(INDEX(Reference!$A$6:$A$11,MIN(5,MATCH(MAX(Reference!$A$6,MIN(Reference!$A$11,MIN($U110,240))),Reference!$A$6:$A$11,1))+1)-INDEX(Reference!$A$6:$A$11,MIN(5,MATCH(MAX(Reference!$A$6,MIN(Reference!$A$11,MIN($U110,240))),Reference!$A$6:$A$11,1))))),0)+IF(7&lt;=$AL110,($AL110-7+3)*(INDEX(Reference!$B$6:$B$11,MIN(5,MATCH(MAX(Reference!$A$6,MIN(Reference!$A$11,MIN($U110,270))),Reference!$A$6:$A$11,1)))+(MAX(Reference!$A$6,MIN(Reference!$A$11,MIN($U110,270)))-INDEX(Reference!$A$6:$A$11,MIN(5,MATCH(MAX(Reference!$A$6,MIN(Reference!$A$11,MIN($U110,270))),Reference!$A$6:$A$11,1))))*(INDEX(Reference!$B$6:$B$11,MIN(5,MATCH(MAX(Reference!$A$6,MIN(Reference!$A$11,MIN($U110,270))),Reference!$A$6:$A$11,1))+1)-INDEX(Reference!$B$6:$B$11,MIN(5,MATCH(MAX(Reference!$A$6,MIN(Reference!$A$11,MIN($U110,270))),Reference!$A$6:$A$11,1))))/(INDEX(Reference!$A$6:$A$11,MIN(5,MATCH(MAX(Reference!$A$6,MIN(Reference!$A$11,MIN($U110,270))),Reference!$A$6:$A$11,1))+1)-INDEX(Reference!$A$6:$A$11,MIN(5,MATCH(MAX(Reference!$A$6,MIN(Reference!$A$11,MIN($U110,270))),Reference!$A$6:$A$11,1))))),0)+IF(8&lt;=$AL110,($AL110-8+3)*(INDEX(Reference!$B$6:$B$11,MIN(5,MATCH(MAX(Reference!$A$6,MIN(Reference!$A$11,MIN($U110,300))),Reference!$A$6:$A$11,1)))+(MAX(Reference!$A$6,MIN(Reference!$A$11,MIN($U110,300)))-INDEX(Reference!$A$6:$A$11,MIN(5,MATCH(MAX(Reference!$A$6,MIN(Reference!$A$11,MIN($U110,300))),Reference!$A$6:$A$11,1))))*(INDEX(Reference!$B$6:$B$11,MIN(5,MATCH(MAX(Reference!$A$6,MIN(Reference!$A$11,MIN($U110,300))),Reference!$A$6:$A$11,1))+1)-INDEX(Reference!$B$6:$B$11,MIN(5,MATCH(MAX(Reference!$A$6,MIN(Reference!$A$11,MIN($U110,300))),Reference!$A$6:$A$11,1))))/(INDEX(Reference!$A$6:$A$11,MIN(5,MATCH(MAX(Reference!$A$6,MIN(Reference!$A$11,MIN($U110,300))),Reference!$A$6:$A$11,1))+1)-INDEX(Reference!$A$6:$A$11,MIN(5,MATCH(MAX(Reference!$A$6,MIN(Reference!$A$11,MIN($U110,300))),Reference!$A$6:$A$11,1))))),0))/($AL110*($AL110+5)/2)),$AN110))</f>
        <v>1.1499999999999999</v>
      </c>
      <c r="AN110" s="32">
        <f>IF($U110="",0,(INDEX(Reference!$B$6:$B$11,MIN(5,MATCH(MAX(Reference!$A$6,MIN(Reference!$A$11,$U110)),Reference!$A$6:$A$11,1)))+(MAX(Reference!$A$6,MIN(Reference!$A$11,$U110))-INDEX(Reference!$A$6:$A$11,MIN(5,MATCH(MAX(Reference!$A$6,MIN(Reference!$A$11,$U110)),Reference!$A$6:$A$11,1))))*(INDEX(Reference!$B$6:$B$11,MIN(5,MATCH(MAX(Reference!$A$6,MIN(Reference!$A$11,$U110)),Reference!$A$6:$A$11,1))+1)-INDEX(Reference!$B$6:$B$11,MIN(5,MATCH(MAX(Reference!$A$6,MIN(Reference!$A$11,$U110)),Reference!$A$6:$A$11,1))))/(INDEX(Reference!$A$6:$A$11,MIN(5,MATCH(MAX(Reference!$A$6,MIN(Reference!$A$11,$U110)),Reference!$A$6:$A$11,1))+1)-INDEX(Reference!$A$6:$A$11,MIN(5,MATCH(MAX(Reference!$A$6,MIN(Reference!$A$11,$U110)),Reference!$A$6:$A$11,1))))))</f>
        <v>1.1499999999999999</v>
      </c>
      <c r="AO110" s="37"/>
      <c r="AP110" s="37"/>
      <c r="AQ110" s="37"/>
    </row>
    <row r="111" spans="1:43" ht="26.4" x14ac:dyDescent="0.3">
      <c r="A111" s="48">
        <f t="shared" si="55"/>
        <v>46375</v>
      </c>
      <c r="B111" s="32" t="str">
        <f t="shared" si="56"/>
        <v>Sat</v>
      </c>
      <c r="C111" s="32">
        <f t="shared" si="57"/>
        <v>16</v>
      </c>
      <c r="D111" s="32" t="str">
        <f t="shared" si="58"/>
        <v>Flat Ground / Intent</v>
      </c>
      <c r="E111" s="32" t="str">
        <f t="shared" si="59"/>
        <v>High Non-Bullpen</v>
      </c>
      <c r="F111" s="32" t="str">
        <f t="shared" si="60"/>
        <v>Long Toss</v>
      </c>
      <c r="G111" s="47" t="str">
        <f t="shared" si="61"/>
        <v>Long toss out to 150 ft — 33 throws (90×14 · 120×11 · 150×8) @ 76–79 mph + flat ground at 60 ft × 25 @ 80–82 mph</v>
      </c>
      <c r="H111" s="30">
        <f t="shared" si="62"/>
        <v>57.835000000000001</v>
      </c>
      <c r="I111" s="46">
        <f>IF($A111="","",IF(AND($L111&lt;27,$K$12=0),"Building",IFERROR(((SUM($H$105:$H111)+$K$12*IF($L111&lt;6,SUMIFS('Throw Log'!$Q$5:$Q$300,'Throw Log'!$B$5:$B$300,$D$4,'Throw Log'!$A$5:$A$300,"&gt;="&amp;($D$6+$L111-6),'Throw Log'!$A$5:$A$300,"&lt;="&amp;($D$6-1)),0))/7)/((SUM($H$84:$H111)+$K$12*IF($L111&lt;27,SUMIFS('Throw Log'!$Q$5:$Q$300,'Throw Log'!$B$5:$B$300,$D$4,'Throw Log'!$A$5:$A$300,"&gt;="&amp;($D$6+$L111-27),'Throw Log'!$A$5:$A$300,"&lt;="&amp;($D$6-1)),0))/28),"")))</f>
        <v>1.1838221898342138</v>
      </c>
      <c r="J111" s="37"/>
      <c r="K111" s="37"/>
      <c r="L111" s="32">
        <v>68</v>
      </c>
      <c r="M111" s="32">
        <f t="shared" si="63"/>
        <v>10</v>
      </c>
      <c r="N111" s="32">
        <f t="shared" si="64"/>
        <v>5</v>
      </c>
      <c r="O111" s="32">
        <f t="shared" si="65"/>
        <v>0.89473684210526316</v>
      </c>
      <c r="P111" s="32">
        <f>IF(OR($A111="",N($C111)&lt;=7),"",$G$6*$G$9^($M111-1)*IF(AND(MOD($M111,Reference!$B$99)=0,$M111&lt;=$G$5-2),Reference!$B$100,1))</f>
        <v>231.09205355537119</v>
      </c>
      <c r="Q111" s="32">
        <f>IF($P111="","",IF(SUM($AK$106:$AK$112)=0,0,$P111*INDEX(Reference!$B$108:$B$114,$N111+1)/SUM($AK$106:$AK$112)))</f>
        <v>58.312948093411421</v>
      </c>
      <c r="R111" s="32">
        <f t="shared" si="66"/>
        <v>180</v>
      </c>
      <c r="S111" s="32">
        <f t="shared" si="67"/>
        <v>150</v>
      </c>
      <c r="T111" s="32" t="str">
        <f>IF($A111="","",IF($C111=0,"Bullpen",IF(OR($C111=7,$C111=1,$C111=5),"Recovery/Easy Catch",IF($C111=6,"Compression/Pulldowns",IF(OR($C111=4,$C111=2),"Long Toss",IF($C111=3,"No Throw",IF($N111=2,"No Throw",IF($N111=6,IF($O111&lt;Reference!$B$104,"No Throw","Recovery/Easy Catch"),IF(OR($N111=0,$N111=4),"Recovery/Easy Catch",IF($N111=1,IF($R111&gt;75,"Long Toss","Recovery/Easy Catch"),IF($N111=3,IF($O111&lt;0.5,IF($S111&gt;75,"Long Toss","Recovery/Easy Catch"),"Compression/Pulldowns"),IF($S111&gt;75,"Long Toss","Recovery/Easy Catch"))))))))))))</f>
        <v>Long Toss</v>
      </c>
      <c r="U111" s="32">
        <f t="shared" si="68"/>
        <v>150</v>
      </c>
      <c r="V111" s="32">
        <f t="shared" si="69"/>
        <v>10</v>
      </c>
      <c r="W111" s="32">
        <f t="shared" si="70"/>
        <v>13</v>
      </c>
      <c r="X111" s="32">
        <f t="shared" si="71"/>
        <v>25</v>
      </c>
      <c r="Y111" s="32">
        <f t="shared" si="72"/>
        <v>7</v>
      </c>
      <c r="Z111" s="32">
        <f t="shared" si="73"/>
        <v>9</v>
      </c>
      <c r="AA111" s="32" t="str">
        <f t="shared" si="74"/>
        <v/>
      </c>
      <c r="AB111" s="32">
        <f>IF($A111="","",IF($T111="No Throw",0,IF($K111&lt;&gt;"",$K111,IF($AA111&lt;&gt;"",ROUND($AA111*$D$12*IF($C111=0,1,$G$10),0),MIN(IF($T111="Recovery/Easy Catch",Reference!$B$103,IF($T111="Long Toss",Reference!$B$106,Reference!$B$102)),MAX(Reference!$B$101,ROUND(MAX(0,$Q111-$AE111)/$AF111,0)))))))</f>
        <v>33</v>
      </c>
      <c r="AC111" s="32">
        <f t="shared" si="75"/>
        <v>0</v>
      </c>
      <c r="AD111" s="32" t="b">
        <f t="shared" si="76"/>
        <v>0</v>
      </c>
      <c r="AE111" s="32">
        <f>IF($X111=0,0,$X111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111+$Z111)/2,0),Reference!$A$17:$B$20,2,TRUE()))</f>
        <v>25</v>
      </c>
      <c r="AF111" s="32">
        <f>IF(OR($A111="",$U111="",$T111="No Throw"),0,$AM111*VLOOKUP(MAX(($V111+$W111)/2,0),Reference!$A$17:$B$20,2,TRUE()))</f>
        <v>0.995</v>
      </c>
      <c r="AG111" s="32">
        <f>IF($AC111=0,0,$AC111*INDEX(Reference!$B$61:$B$62,MATCH("Bullpen",Reference!$A$61:$A$62,0))*VLOOKUP(MAX($D$5-($D$9+$E$9)/2,0),Reference!$A$17:$B$20,2,TRUE()))</f>
        <v>0</v>
      </c>
      <c r="AH111" s="46">
        <f t="shared" si="77"/>
        <v>1.1838221898342138</v>
      </c>
      <c r="AI111" s="32">
        <f>IF($A111="",NA(),Reference!$A$25)</f>
        <v>0.8</v>
      </c>
      <c r="AJ111" s="32">
        <f t="shared" si="78"/>
        <v>1.3</v>
      </c>
      <c r="AK111" s="56">
        <f>IF(OR($A111="",N($C111)&lt;=7,$T111="No Throw",$J111="x"),0,INDEX(Reference!$B$108:$B$114,$N111+1))</f>
        <v>0.27</v>
      </c>
      <c r="AL111" s="32">
        <f t="shared" si="79"/>
        <v>3</v>
      </c>
      <c r="AM111" s="32">
        <f>IF($U111="",0,IF($AL111&gt;1,((IF(1&lt;=$AL111,($AL111-1+3)*(INDEX(Reference!$B$6:$B$11,MIN(5,MATCH(MAX(Reference!$A$6,MIN(Reference!$A$11,MIN($U111,90))),Reference!$A$6:$A$11,1)))+(MAX(Reference!$A$6,MIN(Reference!$A$11,MIN($U111,90)))-INDEX(Reference!$A$6:$A$11,MIN(5,MATCH(MAX(Reference!$A$6,MIN(Reference!$A$11,MIN($U111,90))),Reference!$A$6:$A$11,1))))*(INDEX(Reference!$B$6:$B$11,MIN(5,MATCH(MAX(Reference!$A$6,MIN(Reference!$A$11,MIN($U111,90))),Reference!$A$6:$A$11,1))+1)-INDEX(Reference!$B$6:$B$11,MIN(5,MATCH(MAX(Reference!$A$6,MIN(Reference!$A$11,MIN($U111,90))),Reference!$A$6:$A$11,1))))/(INDEX(Reference!$A$6:$A$11,MIN(5,MATCH(MAX(Reference!$A$6,MIN(Reference!$A$11,MIN($U111,90))),Reference!$A$6:$A$11,1))+1)-INDEX(Reference!$A$6:$A$11,MIN(5,MATCH(MAX(Reference!$A$6,MIN(Reference!$A$11,MIN($U111,90))),Reference!$A$6:$A$11,1))))),0)+IF(2&lt;=$AL111,($AL111-2+3)*(INDEX(Reference!$B$6:$B$11,MIN(5,MATCH(MAX(Reference!$A$6,MIN(Reference!$A$11,MIN($U111,120))),Reference!$A$6:$A$11,1)))+(MAX(Reference!$A$6,MIN(Reference!$A$11,MIN($U111,120)))-INDEX(Reference!$A$6:$A$11,MIN(5,MATCH(MAX(Reference!$A$6,MIN(Reference!$A$11,MIN($U111,120))),Reference!$A$6:$A$11,1))))*(INDEX(Reference!$B$6:$B$11,MIN(5,MATCH(MAX(Reference!$A$6,MIN(Reference!$A$11,MIN($U111,120))),Reference!$A$6:$A$11,1))+1)-INDEX(Reference!$B$6:$B$11,MIN(5,MATCH(MAX(Reference!$A$6,MIN(Reference!$A$11,MIN($U111,120))),Reference!$A$6:$A$11,1))))/(INDEX(Reference!$A$6:$A$11,MIN(5,MATCH(MAX(Reference!$A$6,MIN(Reference!$A$11,MIN($U111,120))),Reference!$A$6:$A$11,1))+1)-INDEX(Reference!$A$6:$A$11,MIN(5,MATCH(MAX(Reference!$A$6,MIN(Reference!$A$11,MIN($U111,120))),Reference!$A$6:$A$11,1))))),0)+IF(3&lt;=$AL111,($AL111-3+3)*(INDEX(Reference!$B$6:$B$11,MIN(5,MATCH(MAX(Reference!$A$6,MIN(Reference!$A$11,MIN($U111,150))),Reference!$A$6:$A$11,1)))+(MAX(Reference!$A$6,MIN(Reference!$A$11,MIN($U111,150)))-INDEX(Reference!$A$6:$A$11,MIN(5,MATCH(MAX(Reference!$A$6,MIN(Reference!$A$11,MIN($U111,150))),Reference!$A$6:$A$11,1))))*(INDEX(Reference!$B$6:$B$11,MIN(5,MATCH(MAX(Reference!$A$6,MIN(Reference!$A$11,MIN($U111,150))),Reference!$A$6:$A$11,1))+1)-INDEX(Reference!$B$6:$B$11,MIN(5,MATCH(MAX(Reference!$A$6,MIN(Reference!$A$11,MIN($U111,150))),Reference!$A$6:$A$11,1))))/(INDEX(Reference!$A$6:$A$11,MIN(5,MATCH(MAX(Reference!$A$6,MIN(Reference!$A$11,MIN($U111,150))),Reference!$A$6:$A$11,1))+1)-INDEX(Reference!$A$6:$A$11,MIN(5,MATCH(MAX(Reference!$A$6,MIN(Reference!$A$11,MIN($U111,150))),Reference!$A$6:$A$11,1))))),0)+IF(4&lt;=$AL111,($AL111-4+3)*(INDEX(Reference!$B$6:$B$11,MIN(5,MATCH(MAX(Reference!$A$6,MIN(Reference!$A$11,MIN($U111,180))),Reference!$A$6:$A$11,1)))+(MAX(Reference!$A$6,MIN(Reference!$A$11,MIN($U111,180)))-INDEX(Reference!$A$6:$A$11,MIN(5,MATCH(MAX(Reference!$A$6,MIN(Reference!$A$11,MIN($U111,180))),Reference!$A$6:$A$11,1))))*(INDEX(Reference!$B$6:$B$11,MIN(5,MATCH(MAX(Reference!$A$6,MIN(Reference!$A$11,MIN($U111,180))),Reference!$A$6:$A$11,1))+1)-INDEX(Reference!$B$6:$B$11,MIN(5,MATCH(MAX(Reference!$A$6,MIN(Reference!$A$11,MIN($U111,180))),Reference!$A$6:$A$11,1))))/(INDEX(Reference!$A$6:$A$11,MIN(5,MATCH(MAX(Reference!$A$6,MIN(Reference!$A$11,MIN($U111,180))),Reference!$A$6:$A$11,1))+1)-INDEX(Reference!$A$6:$A$11,MIN(5,MATCH(MAX(Reference!$A$6,MIN(Reference!$A$11,MIN($U111,180))),Reference!$A$6:$A$11,1))))),0)+IF(5&lt;=$AL111,($AL111-5+3)*(INDEX(Reference!$B$6:$B$11,MIN(5,MATCH(MAX(Reference!$A$6,MIN(Reference!$A$11,MIN($U111,210))),Reference!$A$6:$A$11,1)))+(MAX(Reference!$A$6,MIN(Reference!$A$11,MIN($U111,210)))-INDEX(Reference!$A$6:$A$11,MIN(5,MATCH(MAX(Reference!$A$6,MIN(Reference!$A$11,MIN($U111,210))),Reference!$A$6:$A$11,1))))*(INDEX(Reference!$B$6:$B$11,MIN(5,MATCH(MAX(Reference!$A$6,MIN(Reference!$A$11,MIN($U111,210))),Reference!$A$6:$A$11,1))+1)-INDEX(Reference!$B$6:$B$11,MIN(5,MATCH(MAX(Reference!$A$6,MIN(Reference!$A$11,MIN($U111,210))),Reference!$A$6:$A$11,1))))/(INDEX(Reference!$A$6:$A$11,MIN(5,MATCH(MAX(Reference!$A$6,MIN(Reference!$A$11,MIN($U111,210))),Reference!$A$6:$A$11,1))+1)-INDEX(Reference!$A$6:$A$11,MIN(5,MATCH(MAX(Reference!$A$6,MIN(Reference!$A$11,MIN($U111,210))),Reference!$A$6:$A$11,1))))),0)+IF(6&lt;=$AL111,($AL111-6+3)*(INDEX(Reference!$B$6:$B$11,MIN(5,MATCH(MAX(Reference!$A$6,MIN(Reference!$A$11,MIN($U111,240))),Reference!$A$6:$A$11,1)))+(MAX(Reference!$A$6,MIN(Reference!$A$11,MIN($U111,240)))-INDEX(Reference!$A$6:$A$11,MIN(5,MATCH(MAX(Reference!$A$6,MIN(Reference!$A$11,MIN($U111,240))),Reference!$A$6:$A$11,1))))*(INDEX(Reference!$B$6:$B$11,MIN(5,MATCH(MAX(Reference!$A$6,MIN(Reference!$A$11,MIN($U111,240))),Reference!$A$6:$A$11,1))+1)-INDEX(Reference!$B$6:$B$11,MIN(5,MATCH(MAX(Reference!$A$6,MIN(Reference!$A$11,MIN($U111,240))),Reference!$A$6:$A$11,1))))/(INDEX(Reference!$A$6:$A$11,MIN(5,MATCH(MAX(Reference!$A$6,MIN(Reference!$A$11,MIN($U111,240))),Reference!$A$6:$A$11,1))+1)-INDEX(Reference!$A$6:$A$11,MIN(5,MATCH(MAX(Reference!$A$6,MIN(Reference!$A$11,MIN($U111,240))),Reference!$A$6:$A$11,1))))),0)+IF(7&lt;=$AL111,($AL111-7+3)*(INDEX(Reference!$B$6:$B$11,MIN(5,MATCH(MAX(Reference!$A$6,MIN(Reference!$A$11,MIN($U111,270))),Reference!$A$6:$A$11,1)))+(MAX(Reference!$A$6,MIN(Reference!$A$11,MIN($U111,270)))-INDEX(Reference!$A$6:$A$11,MIN(5,MATCH(MAX(Reference!$A$6,MIN(Reference!$A$11,MIN($U111,270))),Reference!$A$6:$A$11,1))))*(INDEX(Reference!$B$6:$B$11,MIN(5,MATCH(MAX(Reference!$A$6,MIN(Reference!$A$11,MIN($U111,270))),Reference!$A$6:$A$11,1))+1)-INDEX(Reference!$B$6:$B$11,MIN(5,MATCH(MAX(Reference!$A$6,MIN(Reference!$A$11,MIN($U111,270))),Reference!$A$6:$A$11,1))))/(INDEX(Reference!$A$6:$A$11,MIN(5,MATCH(MAX(Reference!$A$6,MIN(Reference!$A$11,MIN($U111,270))),Reference!$A$6:$A$11,1))+1)-INDEX(Reference!$A$6:$A$11,MIN(5,MATCH(MAX(Reference!$A$6,MIN(Reference!$A$11,MIN($U111,270))),Reference!$A$6:$A$11,1))))),0)+IF(8&lt;=$AL111,($AL111-8+3)*(INDEX(Reference!$B$6:$B$11,MIN(5,MATCH(MAX(Reference!$A$6,MIN(Reference!$A$11,MIN($U111,300))),Reference!$A$6:$A$11,1)))+(MAX(Reference!$A$6,MIN(Reference!$A$11,MIN($U111,300)))-INDEX(Reference!$A$6:$A$11,MIN(5,MATCH(MAX(Reference!$A$6,MIN(Reference!$A$11,MIN($U111,300))),Reference!$A$6:$A$11,1))))*(INDEX(Reference!$B$6:$B$11,MIN(5,MATCH(MAX(Reference!$A$6,MIN(Reference!$A$11,MIN($U111,300))),Reference!$A$6:$A$11,1))+1)-INDEX(Reference!$B$6:$B$11,MIN(5,MATCH(MAX(Reference!$A$6,MIN(Reference!$A$11,MIN($U111,300))),Reference!$A$6:$A$11,1))))/(INDEX(Reference!$A$6:$A$11,MIN(5,MATCH(MAX(Reference!$A$6,MIN(Reference!$A$11,MIN($U111,300))),Reference!$A$6:$A$11,1))+1)-INDEX(Reference!$A$6:$A$11,MIN(5,MATCH(MAX(Reference!$A$6,MIN(Reference!$A$11,MIN($U111,300))),Reference!$A$6:$A$11,1))))),0))/($AL111*($AL111+5)/2)),$AN111))</f>
        <v>1.6583333333333334</v>
      </c>
      <c r="AN111" s="32">
        <f>IF($U111="",0,(INDEX(Reference!$B$6:$B$11,MIN(5,MATCH(MAX(Reference!$A$6,MIN(Reference!$A$11,$U111)),Reference!$A$6:$A$11,1)))+(MAX(Reference!$A$6,MIN(Reference!$A$11,$U111))-INDEX(Reference!$A$6:$A$11,MIN(5,MATCH(MAX(Reference!$A$6,MIN(Reference!$A$11,$U111)),Reference!$A$6:$A$11,1))))*(INDEX(Reference!$B$6:$B$11,MIN(5,MATCH(MAX(Reference!$A$6,MIN(Reference!$A$11,$U111)),Reference!$A$6:$A$11,1))+1)-INDEX(Reference!$B$6:$B$11,MIN(5,MATCH(MAX(Reference!$A$6,MIN(Reference!$A$11,$U111)),Reference!$A$6:$A$11,1))))/(INDEX(Reference!$A$6:$A$11,MIN(5,MATCH(MAX(Reference!$A$6,MIN(Reference!$A$11,$U111)),Reference!$A$6:$A$11,1))+1)-INDEX(Reference!$A$6:$A$11,MIN(5,MATCH(MAX(Reference!$A$6,MIN(Reference!$A$11,$U111)),Reference!$A$6:$A$11,1))))))</f>
        <v>2.2000000000000002</v>
      </c>
      <c r="AO111" s="37"/>
      <c r="AP111" s="37"/>
      <c r="AQ111" s="37"/>
    </row>
    <row r="112" spans="1:43" x14ac:dyDescent="0.3">
      <c r="A112" s="48">
        <f t="shared" si="55"/>
        <v>46376</v>
      </c>
      <c r="B112" s="32" t="str">
        <f t="shared" si="56"/>
        <v>Sun</v>
      </c>
      <c r="C112" s="32">
        <f t="shared" si="57"/>
        <v>15</v>
      </c>
      <c r="D112" s="32" t="str">
        <f t="shared" si="58"/>
        <v>Flat Ground / Intent</v>
      </c>
      <c r="E112" s="32" t="str">
        <f t="shared" si="59"/>
        <v>Low</v>
      </c>
      <c r="F112" s="32" t="str">
        <f t="shared" si="60"/>
        <v>Recovery/Easy Catch</v>
      </c>
      <c r="G112" s="47" t="str">
        <f t="shared" si="61"/>
        <v>60 ft × 25 @ 65–69 mph</v>
      </c>
      <c r="H112" s="30">
        <f t="shared" si="62"/>
        <v>15</v>
      </c>
      <c r="I112" s="46">
        <f>IF($A112="","",IF(AND($L112&lt;27,$K$12=0),"Building",IFERROR(((SUM($H$106:$H112)+$K$12*IF($L112&lt;6,SUMIFS('Throw Log'!$Q$5:$Q$300,'Throw Log'!$B$5:$B$300,$D$4,'Throw Log'!$A$5:$A$300,"&gt;="&amp;($D$6+$L112-6),'Throw Log'!$A$5:$A$300,"&lt;="&amp;($D$6-1)),0))/7)/((SUM($H$85:$H112)+$K$12*IF($L112&lt;27,SUMIFS('Throw Log'!$Q$5:$Q$300,'Throw Log'!$B$5:$B$300,$D$4,'Throw Log'!$A$5:$A$300,"&gt;="&amp;($D$6+$L112-27),'Throw Log'!$A$5:$A$300,"&lt;="&amp;($D$6-1)),0))/28),"")))</f>
        <v>1.1594493322535926</v>
      </c>
      <c r="J112" s="37"/>
      <c r="K112" s="37"/>
      <c r="L112" s="32">
        <v>69</v>
      </c>
      <c r="M112" s="32">
        <f t="shared" si="63"/>
        <v>10</v>
      </c>
      <c r="N112" s="32">
        <f t="shared" si="64"/>
        <v>6</v>
      </c>
      <c r="O112" s="32">
        <f t="shared" si="65"/>
        <v>0.90789473684210531</v>
      </c>
      <c r="P112" s="32">
        <f>IF(OR($A112="",N($C112)&lt;=7),"",$G$6*$G$9^($M112-1)*IF(AND(MOD($M112,Reference!$B$99)=0,$M112&lt;=$G$5-2),Reference!$B$100,1))</f>
        <v>231.09205355537119</v>
      </c>
      <c r="Q112" s="32">
        <f>IF($P112="","",IF(SUM($AK$106:$AK$112)=0,0,$P112*INDEX(Reference!$B$108:$B$114,$N112+1)/SUM($AK$106:$AK$112)))</f>
        <v>15.118171727921482</v>
      </c>
      <c r="R112" s="32">
        <f t="shared" si="66"/>
        <v>180</v>
      </c>
      <c r="S112" s="32">
        <f t="shared" si="67"/>
        <v>150</v>
      </c>
      <c r="T112" s="32" t="str">
        <f>IF($A112="","",IF($C112=0,"Bullpen",IF(OR($C112=7,$C112=1,$C112=5),"Recovery/Easy Catch",IF($C112=6,"Compression/Pulldowns",IF(OR($C112=4,$C112=2),"Long Toss",IF($C112=3,"No Throw",IF($N112=2,"No Throw",IF($N112=6,IF($O112&lt;Reference!$B$104,"No Throw","Recovery/Easy Catch"),IF(OR($N112=0,$N112=4),"Recovery/Easy Catch",IF($N112=1,IF($R112&gt;75,"Long Toss","Recovery/Easy Catch"),IF($N112=3,IF($O112&lt;0.5,IF($S112&gt;75,"Long Toss","Recovery/Easy Catch"),"Compression/Pulldowns"),IF($S112&gt;75,"Long Toss","Recovery/Easy Catch"))))))))))))</f>
        <v>Recovery/Easy Catch</v>
      </c>
      <c r="U112" s="32">
        <f t="shared" si="68"/>
        <v>60</v>
      </c>
      <c r="V112" s="32">
        <f t="shared" si="69"/>
        <v>20</v>
      </c>
      <c r="W112" s="32">
        <f t="shared" si="70"/>
        <v>24</v>
      </c>
      <c r="X112" s="32">
        <f t="shared" si="71"/>
        <v>0</v>
      </c>
      <c r="Y112" s="32" t="str">
        <f t="shared" si="72"/>
        <v/>
      </c>
      <c r="Z112" s="32" t="str">
        <f t="shared" si="73"/>
        <v/>
      </c>
      <c r="AA112" s="32" t="str">
        <f t="shared" si="74"/>
        <v/>
      </c>
      <c r="AB112" s="32">
        <f>IF($A112="","",IF($T112="No Throw",0,IF($K112&lt;&gt;"",$K112,IF($AA112&lt;&gt;"",ROUND($AA112*$D$12*IF($C112=0,1,$G$10),0),MIN(IF($T112="Recovery/Easy Catch",Reference!$B$103,IF($T112="Long Toss",Reference!$B$106,Reference!$B$102)),MAX(Reference!$B$101,ROUND(MAX(0,$Q112-$AE112)/$AF112,0)))))))</f>
        <v>25</v>
      </c>
      <c r="AC112" s="32">
        <f t="shared" si="75"/>
        <v>0</v>
      </c>
      <c r="AD112" s="32" t="b">
        <f t="shared" si="76"/>
        <v>0</v>
      </c>
      <c r="AE112" s="32">
        <f>IF($X112=0,0,$X112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112+$Z112)/2,0),Reference!$A$17:$B$20,2,TRUE()))</f>
        <v>0</v>
      </c>
      <c r="AF112" s="32">
        <f>IF(OR($A112="",$U112="",$T112="No Throw"),0,$AM112*VLOOKUP(MAX(($V112+$W112)/2,0),Reference!$A$17:$B$20,2,TRUE()))</f>
        <v>0.6</v>
      </c>
      <c r="AG112" s="32">
        <f>IF($AC112=0,0,$AC112*INDEX(Reference!$B$61:$B$62,MATCH("Bullpen",Reference!$A$61:$A$62,0))*VLOOKUP(MAX($D$5-($D$9+$E$9)/2,0),Reference!$A$17:$B$20,2,TRUE()))</f>
        <v>0</v>
      </c>
      <c r="AH112" s="46">
        <f t="shared" si="77"/>
        <v>1.1594493322535926</v>
      </c>
      <c r="AI112" s="32">
        <f>IF($A112="",NA(),Reference!$A$25)</f>
        <v>0.8</v>
      </c>
      <c r="AJ112" s="32">
        <f t="shared" si="78"/>
        <v>1.3</v>
      </c>
      <c r="AK112" s="56">
        <f>IF(OR($A112="",N($C112)&lt;=7,$T112="No Throw",$J112="x"),0,INDEX(Reference!$B$108:$B$114,$N112+1))</f>
        <v>7.0000000000000007E-2</v>
      </c>
      <c r="AL112" s="32">
        <f t="shared" si="79"/>
        <v>1</v>
      </c>
      <c r="AM112" s="32">
        <f>IF($U112="",0,IF($AL112&gt;1,((IF(1&lt;=$AL112,($AL112-1+3)*(INDEX(Reference!$B$6:$B$11,MIN(5,MATCH(MAX(Reference!$A$6,MIN(Reference!$A$11,MIN($U112,90))),Reference!$A$6:$A$11,1)))+(MAX(Reference!$A$6,MIN(Reference!$A$11,MIN($U112,90)))-INDEX(Reference!$A$6:$A$11,MIN(5,MATCH(MAX(Reference!$A$6,MIN(Reference!$A$11,MIN($U112,90))),Reference!$A$6:$A$11,1))))*(INDEX(Reference!$B$6:$B$11,MIN(5,MATCH(MAX(Reference!$A$6,MIN(Reference!$A$11,MIN($U112,90))),Reference!$A$6:$A$11,1))+1)-INDEX(Reference!$B$6:$B$11,MIN(5,MATCH(MAX(Reference!$A$6,MIN(Reference!$A$11,MIN($U112,90))),Reference!$A$6:$A$11,1))))/(INDEX(Reference!$A$6:$A$11,MIN(5,MATCH(MAX(Reference!$A$6,MIN(Reference!$A$11,MIN($U112,90))),Reference!$A$6:$A$11,1))+1)-INDEX(Reference!$A$6:$A$11,MIN(5,MATCH(MAX(Reference!$A$6,MIN(Reference!$A$11,MIN($U112,90))),Reference!$A$6:$A$11,1))))),0)+IF(2&lt;=$AL112,($AL112-2+3)*(INDEX(Reference!$B$6:$B$11,MIN(5,MATCH(MAX(Reference!$A$6,MIN(Reference!$A$11,MIN($U112,120))),Reference!$A$6:$A$11,1)))+(MAX(Reference!$A$6,MIN(Reference!$A$11,MIN($U112,120)))-INDEX(Reference!$A$6:$A$11,MIN(5,MATCH(MAX(Reference!$A$6,MIN(Reference!$A$11,MIN($U112,120))),Reference!$A$6:$A$11,1))))*(INDEX(Reference!$B$6:$B$11,MIN(5,MATCH(MAX(Reference!$A$6,MIN(Reference!$A$11,MIN($U112,120))),Reference!$A$6:$A$11,1))+1)-INDEX(Reference!$B$6:$B$11,MIN(5,MATCH(MAX(Reference!$A$6,MIN(Reference!$A$11,MIN($U112,120))),Reference!$A$6:$A$11,1))))/(INDEX(Reference!$A$6:$A$11,MIN(5,MATCH(MAX(Reference!$A$6,MIN(Reference!$A$11,MIN($U112,120))),Reference!$A$6:$A$11,1))+1)-INDEX(Reference!$A$6:$A$11,MIN(5,MATCH(MAX(Reference!$A$6,MIN(Reference!$A$11,MIN($U112,120))),Reference!$A$6:$A$11,1))))),0)+IF(3&lt;=$AL112,($AL112-3+3)*(INDEX(Reference!$B$6:$B$11,MIN(5,MATCH(MAX(Reference!$A$6,MIN(Reference!$A$11,MIN($U112,150))),Reference!$A$6:$A$11,1)))+(MAX(Reference!$A$6,MIN(Reference!$A$11,MIN($U112,150)))-INDEX(Reference!$A$6:$A$11,MIN(5,MATCH(MAX(Reference!$A$6,MIN(Reference!$A$11,MIN($U112,150))),Reference!$A$6:$A$11,1))))*(INDEX(Reference!$B$6:$B$11,MIN(5,MATCH(MAX(Reference!$A$6,MIN(Reference!$A$11,MIN($U112,150))),Reference!$A$6:$A$11,1))+1)-INDEX(Reference!$B$6:$B$11,MIN(5,MATCH(MAX(Reference!$A$6,MIN(Reference!$A$11,MIN($U112,150))),Reference!$A$6:$A$11,1))))/(INDEX(Reference!$A$6:$A$11,MIN(5,MATCH(MAX(Reference!$A$6,MIN(Reference!$A$11,MIN($U112,150))),Reference!$A$6:$A$11,1))+1)-INDEX(Reference!$A$6:$A$11,MIN(5,MATCH(MAX(Reference!$A$6,MIN(Reference!$A$11,MIN($U112,150))),Reference!$A$6:$A$11,1))))),0)+IF(4&lt;=$AL112,($AL112-4+3)*(INDEX(Reference!$B$6:$B$11,MIN(5,MATCH(MAX(Reference!$A$6,MIN(Reference!$A$11,MIN($U112,180))),Reference!$A$6:$A$11,1)))+(MAX(Reference!$A$6,MIN(Reference!$A$11,MIN($U112,180)))-INDEX(Reference!$A$6:$A$11,MIN(5,MATCH(MAX(Reference!$A$6,MIN(Reference!$A$11,MIN($U112,180))),Reference!$A$6:$A$11,1))))*(INDEX(Reference!$B$6:$B$11,MIN(5,MATCH(MAX(Reference!$A$6,MIN(Reference!$A$11,MIN($U112,180))),Reference!$A$6:$A$11,1))+1)-INDEX(Reference!$B$6:$B$11,MIN(5,MATCH(MAX(Reference!$A$6,MIN(Reference!$A$11,MIN($U112,180))),Reference!$A$6:$A$11,1))))/(INDEX(Reference!$A$6:$A$11,MIN(5,MATCH(MAX(Reference!$A$6,MIN(Reference!$A$11,MIN($U112,180))),Reference!$A$6:$A$11,1))+1)-INDEX(Reference!$A$6:$A$11,MIN(5,MATCH(MAX(Reference!$A$6,MIN(Reference!$A$11,MIN($U112,180))),Reference!$A$6:$A$11,1))))),0)+IF(5&lt;=$AL112,($AL112-5+3)*(INDEX(Reference!$B$6:$B$11,MIN(5,MATCH(MAX(Reference!$A$6,MIN(Reference!$A$11,MIN($U112,210))),Reference!$A$6:$A$11,1)))+(MAX(Reference!$A$6,MIN(Reference!$A$11,MIN($U112,210)))-INDEX(Reference!$A$6:$A$11,MIN(5,MATCH(MAX(Reference!$A$6,MIN(Reference!$A$11,MIN($U112,210))),Reference!$A$6:$A$11,1))))*(INDEX(Reference!$B$6:$B$11,MIN(5,MATCH(MAX(Reference!$A$6,MIN(Reference!$A$11,MIN($U112,210))),Reference!$A$6:$A$11,1))+1)-INDEX(Reference!$B$6:$B$11,MIN(5,MATCH(MAX(Reference!$A$6,MIN(Reference!$A$11,MIN($U112,210))),Reference!$A$6:$A$11,1))))/(INDEX(Reference!$A$6:$A$11,MIN(5,MATCH(MAX(Reference!$A$6,MIN(Reference!$A$11,MIN($U112,210))),Reference!$A$6:$A$11,1))+1)-INDEX(Reference!$A$6:$A$11,MIN(5,MATCH(MAX(Reference!$A$6,MIN(Reference!$A$11,MIN($U112,210))),Reference!$A$6:$A$11,1))))),0)+IF(6&lt;=$AL112,($AL112-6+3)*(INDEX(Reference!$B$6:$B$11,MIN(5,MATCH(MAX(Reference!$A$6,MIN(Reference!$A$11,MIN($U112,240))),Reference!$A$6:$A$11,1)))+(MAX(Reference!$A$6,MIN(Reference!$A$11,MIN($U112,240)))-INDEX(Reference!$A$6:$A$11,MIN(5,MATCH(MAX(Reference!$A$6,MIN(Reference!$A$11,MIN($U112,240))),Reference!$A$6:$A$11,1))))*(INDEX(Reference!$B$6:$B$11,MIN(5,MATCH(MAX(Reference!$A$6,MIN(Reference!$A$11,MIN($U112,240))),Reference!$A$6:$A$11,1))+1)-INDEX(Reference!$B$6:$B$11,MIN(5,MATCH(MAX(Reference!$A$6,MIN(Reference!$A$11,MIN($U112,240))),Reference!$A$6:$A$11,1))))/(INDEX(Reference!$A$6:$A$11,MIN(5,MATCH(MAX(Reference!$A$6,MIN(Reference!$A$11,MIN($U112,240))),Reference!$A$6:$A$11,1))+1)-INDEX(Reference!$A$6:$A$11,MIN(5,MATCH(MAX(Reference!$A$6,MIN(Reference!$A$11,MIN($U112,240))),Reference!$A$6:$A$11,1))))),0)+IF(7&lt;=$AL112,($AL112-7+3)*(INDEX(Reference!$B$6:$B$11,MIN(5,MATCH(MAX(Reference!$A$6,MIN(Reference!$A$11,MIN($U112,270))),Reference!$A$6:$A$11,1)))+(MAX(Reference!$A$6,MIN(Reference!$A$11,MIN($U112,270)))-INDEX(Reference!$A$6:$A$11,MIN(5,MATCH(MAX(Reference!$A$6,MIN(Reference!$A$11,MIN($U112,270))),Reference!$A$6:$A$11,1))))*(INDEX(Reference!$B$6:$B$11,MIN(5,MATCH(MAX(Reference!$A$6,MIN(Reference!$A$11,MIN($U112,270))),Reference!$A$6:$A$11,1))+1)-INDEX(Reference!$B$6:$B$11,MIN(5,MATCH(MAX(Reference!$A$6,MIN(Reference!$A$11,MIN($U112,270))),Reference!$A$6:$A$11,1))))/(INDEX(Reference!$A$6:$A$11,MIN(5,MATCH(MAX(Reference!$A$6,MIN(Reference!$A$11,MIN($U112,270))),Reference!$A$6:$A$11,1))+1)-INDEX(Reference!$A$6:$A$11,MIN(5,MATCH(MAX(Reference!$A$6,MIN(Reference!$A$11,MIN($U112,270))),Reference!$A$6:$A$11,1))))),0)+IF(8&lt;=$AL112,($AL112-8+3)*(INDEX(Reference!$B$6:$B$11,MIN(5,MATCH(MAX(Reference!$A$6,MIN(Reference!$A$11,MIN($U112,300))),Reference!$A$6:$A$11,1)))+(MAX(Reference!$A$6,MIN(Reference!$A$11,MIN($U112,300)))-INDEX(Reference!$A$6:$A$11,MIN(5,MATCH(MAX(Reference!$A$6,MIN(Reference!$A$11,MIN($U112,300))),Reference!$A$6:$A$11,1))))*(INDEX(Reference!$B$6:$B$11,MIN(5,MATCH(MAX(Reference!$A$6,MIN(Reference!$A$11,MIN($U112,300))),Reference!$A$6:$A$11,1))+1)-INDEX(Reference!$B$6:$B$11,MIN(5,MATCH(MAX(Reference!$A$6,MIN(Reference!$A$11,MIN($U112,300))),Reference!$A$6:$A$11,1))))/(INDEX(Reference!$A$6:$A$11,MIN(5,MATCH(MAX(Reference!$A$6,MIN(Reference!$A$11,MIN($U112,300))),Reference!$A$6:$A$11,1))+1)-INDEX(Reference!$A$6:$A$11,MIN(5,MATCH(MAX(Reference!$A$6,MIN(Reference!$A$11,MIN($U112,300))),Reference!$A$6:$A$11,1))))),0))/($AL112*($AL112+5)/2)),$AN112))</f>
        <v>1</v>
      </c>
      <c r="AN112" s="32">
        <f>IF($U112="",0,(INDEX(Reference!$B$6:$B$11,MIN(5,MATCH(MAX(Reference!$A$6,MIN(Reference!$A$11,$U112)),Reference!$A$6:$A$11,1)))+(MAX(Reference!$A$6,MIN(Reference!$A$11,$U112))-INDEX(Reference!$A$6:$A$11,MIN(5,MATCH(MAX(Reference!$A$6,MIN(Reference!$A$11,$U112)),Reference!$A$6:$A$11,1))))*(INDEX(Reference!$B$6:$B$11,MIN(5,MATCH(MAX(Reference!$A$6,MIN(Reference!$A$11,$U112)),Reference!$A$6:$A$11,1))+1)-INDEX(Reference!$B$6:$B$11,MIN(5,MATCH(MAX(Reference!$A$6,MIN(Reference!$A$11,$U112)),Reference!$A$6:$A$11,1))))/(INDEX(Reference!$A$6:$A$11,MIN(5,MATCH(MAX(Reference!$A$6,MIN(Reference!$A$11,$U112)),Reference!$A$6:$A$11,1))+1)-INDEX(Reference!$A$6:$A$11,MIN(5,MATCH(MAX(Reference!$A$6,MIN(Reference!$A$11,$U112)),Reference!$A$6:$A$11,1))))))</f>
        <v>1</v>
      </c>
      <c r="AO112" s="37"/>
      <c r="AP112" s="37"/>
      <c r="AQ112" s="37"/>
    </row>
    <row r="113" spans="1:43" x14ac:dyDescent="0.3">
      <c r="A113" s="48">
        <f t="shared" si="55"/>
        <v>46377</v>
      </c>
      <c r="B113" s="32" t="str">
        <f t="shared" si="56"/>
        <v>Mon</v>
      </c>
      <c r="C113" s="32">
        <f t="shared" si="57"/>
        <v>14</v>
      </c>
      <c r="D113" s="32" t="str">
        <f t="shared" si="58"/>
        <v>Flat Ground / Intent</v>
      </c>
      <c r="E113" s="32" t="str">
        <f t="shared" si="59"/>
        <v>Low</v>
      </c>
      <c r="F113" s="32" t="str">
        <f t="shared" si="60"/>
        <v>Recovery/Easy Catch</v>
      </c>
      <c r="G113" s="47" t="str">
        <f t="shared" si="61"/>
        <v>75 ft × 35 @ 67–71 mph</v>
      </c>
      <c r="H113" s="30">
        <f t="shared" si="62"/>
        <v>24.15</v>
      </c>
      <c r="I113" s="46">
        <f>IF($A113="","",IF(AND($L113&lt;27,$K$12=0),"Building",IFERROR(((SUM($H$107:$H113)+$K$12*IF($L113&lt;6,SUMIFS('Throw Log'!$Q$5:$Q$300,'Throw Log'!$B$5:$B$300,$D$4,'Throw Log'!$A$5:$A$300,"&gt;="&amp;($D$6+$L113-6),'Throw Log'!$A$5:$A$300,"&lt;="&amp;($D$6-1)),0))/7)/((SUM($H$86:$H113)+$K$12*IF($L113&lt;27,SUMIFS('Throw Log'!$Q$5:$Q$300,'Throw Log'!$B$5:$B$300,$D$4,'Throw Log'!$A$5:$A$300,"&gt;="&amp;($D$6+$L113-27),'Throw Log'!$A$5:$A$300,"&lt;="&amp;($D$6-1)),0))/28),"")))</f>
        <v>1.1485716616585313</v>
      </c>
      <c r="J113" s="37"/>
      <c r="K113" s="37"/>
      <c r="L113" s="32">
        <v>70</v>
      </c>
      <c r="M113" s="32">
        <f t="shared" si="63"/>
        <v>11</v>
      </c>
      <c r="N113" s="32">
        <f t="shared" si="64"/>
        <v>0</v>
      </c>
      <c r="O113" s="32">
        <f t="shared" si="65"/>
        <v>0.92105263157894735</v>
      </c>
      <c r="P113" s="32">
        <f>IF(OR($A113="",N($C113)&lt;=7),"",$G$6*$G$9^($M113-1)*IF(AND(MOD($M113,Reference!$B$99)=0,$M113&lt;=$G$5-2),Reference!$B$100,1))</f>
        <v>260.00000000000006</v>
      </c>
      <c r="Q113" s="32">
        <f>IF($P113="","",IF(SUM($AK$113:$AK$119)=0,0,$P113*INDEX(Reference!$B$108:$B$114,$N113+1)/SUM($AK$113:$AK$119)))</f>
        <v>29.158878504672902</v>
      </c>
      <c r="R113" s="32">
        <f t="shared" si="66"/>
        <v>180</v>
      </c>
      <c r="S113" s="32">
        <f t="shared" si="67"/>
        <v>150</v>
      </c>
      <c r="T113" s="32" t="str">
        <f>IF($A113="","",IF($C113=0,"Bullpen",IF(OR($C113=7,$C113=1,$C113=5),"Recovery/Easy Catch",IF($C113=6,"Compression/Pulldowns",IF(OR($C113=4,$C113=2),"Long Toss",IF($C113=3,"No Throw",IF($N113=2,"No Throw",IF($N113=6,IF($O113&lt;Reference!$B$104,"No Throw","Recovery/Easy Catch"),IF(OR($N113=0,$N113=4),"Recovery/Easy Catch",IF($N113=1,IF($R113&gt;75,"Long Toss","Recovery/Easy Catch"),IF($N113=3,IF($O113&lt;0.5,IF($S113&gt;75,"Long Toss","Recovery/Easy Catch"),"Compression/Pulldowns"),IF($S113&gt;75,"Long Toss","Recovery/Easy Catch"))))))))))))</f>
        <v>Recovery/Easy Catch</v>
      </c>
      <c r="U113" s="32">
        <f t="shared" si="68"/>
        <v>75</v>
      </c>
      <c r="V113" s="32">
        <f t="shared" si="69"/>
        <v>18</v>
      </c>
      <c r="W113" s="32">
        <f t="shared" si="70"/>
        <v>22</v>
      </c>
      <c r="X113" s="32">
        <f t="shared" si="71"/>
        <v>0</v>
      </c>
      <c r="Y113" s="32" t="str">
        <f t="shared" si="72"/>
        <v/>
      </c>
      <c r="Z113" s="32" t="str">
        <f t="shared" si="73"/>
        <v/>
      </c>
      <c r="AA113" s="32" t="str">
        <f t="shared" si="74"/>
        <v/>
      </c>
      <c r="AB113" s="32">
        <f>IF($A113="","",IF($T113="No Throw",0,IF($K113&lt;&gt;"",$K113,IF($AA113&lt;&gt;"",ROUND($AA113*$D$12*IF($C113=0,1,$G$10),0),MIN(IF($T113="Recovery/Easy Catch",Reference!$B$103,IF($T113="Long Toss",Reference!$B$106,Reference!$B$102)),MAX(Reference!$B$101,ROUND(MAX(0,$Q113-$AE113)/$AF113,0)))))))</f>
        <v>35</v>
      </c>
      <c r="AC113" s="32">
        <f t="shared" si="75"/>
        <v>0</v>
      </c>
      <c r="AD113" s="32" t="b">
        <f t="shared" si="76"/>
        <v>0</v>
      </c>
      <c r="AE113" s="32">
        <f>IF($X113=0,0,$X113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113+$Z113)/2,0),Reference!$A$17:$B$20,2,TRUE()))</f>
        <v>0</v>
      </c>
      <c r="AF113" s="32">
        <f>IF(OR($A113="",$U113="",$T113="No Throw"),0,$AM113*VLOOKUP(MAX(($V113+$W113)/2,0),Reference!$A$17:$B$20,2,TRUE()))</f>
        <v>0.69</v>
      </c>
      <c r="AG113" s="32">
        <f>IF($AC113=0,0,$AC113*INDEX(Reference!$B$61:$B$62,MATCH("Bullpen",Reference!$A$61:$A$62,0))*VLOOKUP(MAX($D$5-($D$9+$E$9)/2,0),Reference!$A$17:$B$20,2,TRUE()))</f>
        <v>0</v>
      </c>
      <c r="AH113" s="46">
        <f t="shared" si="77"/>
        <v>1.1485716616585313</v>
      </c>
      <c r="AI113" s="32">
        <f>IF($A113="",NA(),Reference!$A$25)</f>
        <v>0.8</v>
      </c>
      <c r="AJ113" s="32">
        <f t="shared" si="78"/>
        <v>1.3</v>
      </c>
      <c r="AK113" s="56">
        <f>IF(OR($A113="",N($C113)&lt;=7,$T113="No Throw",$J113="x"),0,INDEX(Reference!$B$108:$B$114,$N113+1))</f>
        <v>0.12</v>
      </c>
      <c r="AL113" s="32">
        <f t="shared" si="79"/>
        <v>1</v>
      </c>
      <c r="AM113" s="32">
        <f>IF($U113="",0,IF($AL113&gt;1,((IF(1&lt;=$AL113,($AL113-1+3)*(INDEX(Reference!$B$6:$B$11,MIN(5,MATCH(MAX(Reference!$A$6,MIN(Reference!$A$11,MIN($U113,90))),Reference!$A$6:$A$11,1)))+(MAX(Reference!$A$6,MIN(Reference!$A$11,MIN($U113,90)))-INDEX(Reference!$A$6:$A$11,MIN(5,MATCH(MAX(Reference!$A$6,MIN(Reference!$A$11,MIN($U113,90))),Reference!$A$6:$A$11,1))))*(INDEX(Reference!$B$6:$B$11,MIN(5,MATCH(MAX(Reference!$A$6,MIN(Reference!$A$11,MIN($U113,90))),Reference!$A$6:$A$11,1))+1)-INDEX(Reference!$B$6:$B$11,MIN(5,MATCH(MAX(Reference!$A$6,MIN(Reference!$A$11,MIN($U113,90))),Reference!$A$6:$A$11,1))))/(INDEX(Reference!$A$6:$A$11,MIN(5,MATCH(MAX(Reference!$A$6,MIN(Reference!$A$11,MIN($U113,90))),Reference!$A$6:$A$11,1))+1)-INDEX(Reference!$A$6:$A$11,MIN(5,MATCH(MAX(Reference!$A$6,MIN(Reference!$A$11,MIN($U113,90))),Reference!$A$6:$A$11,1))))),0)+IF(2&lt;=$AL113,($AL113-2+3)*(INDEX(Reference!$B$6:$B$11,MIN(5,MATCH(MAX(Reference!$A$6,MIN(Reference!$A$11,MIN($U113,120))),Reference!$A$6:$A$11,1)))+(MAX(Reference!$A$6,MIN(Reference!$A$11,MIN($U113,120)))-INDEX(Reference!$A$6:$A$11,MIN(5,MATCH(MAX(Reference!$A$6,MIN(Reference!$A$11,MIN($U113,120))),Reference!$A$6:$A$11,1))))*(INDEX(Reference!$B$6:$B$11,MIN(5,MATCH(MAX(Reference!$A$6,MIN(Reference!$A$11,MIN($U113,120))),Reference!$A$6:$A$11,1))+1)-INDEX(Reference!$B$6:$B$11,MIN(5,MATCH(MAX(Reference!$A$6,MIN(Reference!$A$11,MIN($U113,120))),Reference!$A$6:$A$11,1))))/(INDEX(Reference!$A$6:$A$11,MIN(5,MATCH(MAX(Reference!$A$6,MIN(Reference!$A$11,MIN($U113,120))),Reference!$A$6:$A$11,1))+1)-INDEX(Reference!$A$6:$A$11,MIN(5,MATCH(MAX(Reference!$A$6,MIN(Reference!$A$11,MIN($U113,120))),Reference!$A$6:$A$11,1))))),0)+IF(3&lt;=$AL113,($AL113-3+3)*(INDEX(Reference!$B$6:$B$11,MIN(5,MATCH(MAX(Reference!$A$6,MIN(Reference!$A$11,MIN($U113,150))),Reference!$A$6:$A$11,1)))+(MAX(Reference!$A$6,MIN(Reference!$A$11,MIN($U113,150)))-INDEX(Reference!$A$6:$A$11,MIN(5,MATCH(MAX(Reference!$A$6,MIN(Reference!$A$11,MIN($U113,150))),Reference!$A$6:$A$11,1))))*(INDEX(Reference!$B$6:$B$11,MIN(5,MATCH(MAX(Reference!$A$6,MIN(Reference!$A$11,MIN($U113,150))),Reference!$A$6:$A$11,1))+1)-INDEX(Reference!$B$6:$B$11,MIN(5,MATCH(MAX(Reference!$A$6,MIN(Reference!$A$11,MIN($U113,150))),Reference!$A$6:$A$11,1))))/(INDEX(Reference!$A$6:$A$11,MIN(5,MATCH(MAX(Reference!$A$6,MIN(Reference!$A$11,MIN($U113,150))),Reference!$A$6:$A$11,1))+1)-INDEX(Reference!$A$6:$A$11,MIN(5,MATCH(MAX(Reference!$A$6,MIN(Reference!$A$11,MIN($U113,150))),Reference!$A$6:$A$11,1))))),0)+IF(4&lt;=$AL113,($AL113-4+3)*(INDEX(Reference!$B$6:$B$11,MIN(5,MATCH(MAX(Reference!$A$6,MIN(Reference!$A$11,MIN($U113,180))),Reference!$A$6:$A$11,1)))+(MAX(Reference!$A$6,MIN(Reference!$A$11,MIN($U113,180)))-INDEX(Reference!$A$6:$A$11,MIN(5,MATCH(MAX(Reference!$A$6,MIN(Reference!$A$11,MIN($U113,180))),Reference!$A$6:$A$11,1))))*(INDEX(Reference!$B$6:$B$11,MIN(5,MATCH(MAX(Reference!$A$6,MIN(Reference!$A$11,MIN($U113,180))),Reference!$A$6:$A$11,1))+1)-INDEX(Reference!$B$6:$B$11,MIN(5,MATCH(MAX(Reference!$A$6,MIN(Reference!$A$11,MIN($U113,180))),Reference!$A$6:$A$11,1))))/(INDEX(Reference!$A$6:$A$11,MIN(5,MATCH(MAX(Reference!$A$6,MIN(Reference!$A$11,MIN($U113,180))),Reference!$A$6:$A$11,1))+1)-INDEX(Reference!$A$6:$A$11,MIN(5,MATCH(MAX(Reference!$A$6,MIN(Reference!$A$11,MIN($U113,180))),Reference!$A$6:$A$11,1))))),0)+IF(5&lt;=$AL113,($AL113-5+3)*(INDEX(Reference!$B$6:$B$11,MIN(5,MATCH(MAX(Reference!$A$6,MIN(Reference!$A$11,MIN($U113,210))),Reference!$A$6:$A$11,1)))+(MAX(Reference!$A$6,MIN(Reference!$A$11,MIN($U113,210)))-INDEX(Reference!$A$6:$A$11,MIN(5,MATCH(MAX(Reference!$A$6,MIN(Reference!$A$11,MIN($U113,210))),Reference!$A$6:$A$11,1))))*(INDEX(Reference!$B$6:$B$11,MIN(5,MATCH(MAX(Reference!$A$6,MIN(Reference!$A$11,MIN($U113,210))),Reference!$A$6:$A$11,1))+1)-INDEX(Reference!$B$6:$B$11,MIN(5,MATCH(MAX(Reference!$A$6,MIN(Reference!$A$11,MIN($U113,210))),Reference!$A$6:$A$11,1))))/(INDEX(Reference!$A$6:$A$11,MIN(5,MATCH(MAX(Reference!$A$6,MIN(Reference!$A$11,MIN($U113,210))),Reference!$A$6:$A$11,1))+1)-INDEX(Reference!$A$6:$A$11,MIN(5,MATCH(MAX(Reference!$A$6,MIN(Reference!$A$11,MIN($U113,210))),Reference!$A$6:$A$11,1))))),0)+IF(6&lt;=$AL113,($AL113-6+3)*(INDEX(Reference!$B$6:$B$11,MIN(5,MATCH(MAX(Reference!$A$6,MIN(Reference!$A$11,MIN($U113,240))),Reference!$A$6:$A$11,1)))+(MAX(Reference!$A$6,MIN(Reference!$A$11,MIN($U113,240)))-INDEX(Reference!$A$6:$A$11,MIN(5,MATCH(MAX(Reference!$A$6,MIN(Reference!$A$11,MIN($U113,240))),Reference!$A$6:$A$11,1))))*(INDEX(Reference!$B$6:$B$11,MIN(5,MATCH(MAX(Reference!$A$6,MIN(Reference!$A$11,MIN($U113,240))),Reference!$A$6:$A$11,1))+1)-INDEX(Reference!$B$6:$B$11,MIN(5,MATCH(MAX(Reference!$A$6,MIN(Reference!$A$11,MIN($U113,240))),Reference!$A$6:$A$11,1))))/(INDEX(Reference!$A$6:$A$11,MIN(5,MATCH(MAX(Reference!$A$6,MIN(Reference!$A$11,MIN($U113,240))),Reference!$A$6:$A$11,1))+1)-INDEX(Reference!$A$6:$A$11,MIN(5,MATCH(MAX(Reference!$A$6,MIN(Reference!$A$11,MIN($U113,240))),Reference!$A$6:$A$11,1))))),0)+IF(7&lt;=$AL113,($AL113-7+3)*(INDEX(Reference!$B$6:$B$11,MIN(5,MATCH(MAX(Reference!$A$6,MIN(Reference!$A$11,MIN($U113,270))),Reference!$A$6:$A$11,1)))+(MAX(Reference!$A$6,MIN(Reference!$A$11,MIN($U113,270)))-INDEX(Reference!$A$6:$A$11,MIN(5,MATCH(MAX(Reference!$A$6,MIN(Reference!$A$11,MIN($U113,270))),Reference!$A$6:$A$11,1))))*(INDEX(Reference!$B$6:$B$11,MIN(5,MATCH(MAX(Reference!$A$6,MIN(Reference!$A$11,MIN($U113,270))),Reference!$A$6:$A$11,1))+1)-INDEX(Reference!$B$6:$B$11,MIN(5,MATCH(MAX(Reference!$A$6,MIN(Reference!$A$11,MIN($U113,270))),Reference!$A$6:$A$11,1))))/(INDEX(Reference!$A$6:$A$11,MIN(5,MATCH(MAX(Reference!$A$6,MIN(Reference!$A$11,MIN($U113,270))),Reference!$A$6:$A$11,1))+1)-INDEX(Reference!$A$6:$A$11,MIN(5,MATCH(MAX(Reference!$A$6,MIN(Reference!$A$11,MIN($U113,270))),Reference!$A$6:$A$11,1))))),0)+IF(8&lt;=$AL113,($AL113-8+3)*(INDEX(Reference!$B$6:$B$11,MIN(5,MATCH(MAX(Reference!$A$6,MIN(Reference!$A$11,MIN($U113,300))),Reference!$A$6:$A$11,1)))+(MAX(Reference!$A$6,MIN(Reference!$A$11,MIN($U113,300)))-INDEX(Reference!$A$6:$A$11,MIN(5,MATCH(MAX(Reference!$A$6,MIN(Reference!$A$11,MIN($U113,300))),Reference!$A$6:$A$11,1))))*(INDEX(Reference!$B$6:$B$11,MIN(5,MATCH(MAX(Reference!$A$6,MIN(Reference!$A$11,MIN($U113,300))),Reference!$A$6:$A$11,1))+1)-INDEX(Reference!$B$6:$B$11,MIN(5,MATCH(MAX(Reference!$A$6,MIN(Reference!$A$11,MIN($U113,300))),Reference!$A$6:$A$11,1))))/(INDEX(Reference!$A$6:$A$11,MIN(5,MATCH(MAX(Reference!$A$6,MIN(Reference!$A$11,MIN($U113,300))),Reference!$A$6:$A$11,1))+1)-INDEX(Reference!$A$6:$A$11,MIN(5,MATCH(MAX(Reference!$A$6,MIN(Reference!$A$11,MIN($U113,300))),Reference!$A$6:$A$11,1))))),0))/($AL113*($AL113+5)/2)),$AN113))</f>
        <v>1.1499999999999999</v>
      </c>
      <c r="AN113" s="32">
        <f>IF($U113="",0,(INDEX(Reference!$B$6:$B$11,MIN(5,MATCH(MAX(Reference!$A$6,MIN(Reference!$A$11,$U113)),Reference!$A$6:$A$11,1)))+(MAX(Reference!$A$6,MIN(Reference!$A$11,$U113))-INDEX(Reference!$A$6:$A$11,MIN(5,MATCH(MAX(Reference!$A$6,MIN(Reference!$A$11,$U113)),Reference!$A$6:$A$11,1))))*(INDEX(Reference!$B$6:$B$11,MIN(5,MATCH(MAX(Reference!$A$6,MIN(Reference!$A$11,$U113)),Reference!$A$6:$A$11,1))+1)-INDEX(Reference!$B$6:$B$11,MIN(5,MATCH(MAX(Reference!$A$6,MIN(Reference!$A$11,$U113)),Reference!$A$6:$A$11,1))))/(INDEX(Reference!$A$6:$A$11,MIN(5,MATCH(MAX(Reference!$A$6,MIN(Reference!$A$11,$U113)),Reference!$A$6:$A$11,1))+1)-INDEX(Reference!$A$6:$A$11,MIN(5,MATCH(MAX(Reference!$A$6,MIN(Reference!$A$11,$U113)),Reference!$A$6:$A$11,1))))))</f>
        <v>1.1499999999999999</v>
      </c>
      <c r="AO113" s="37"/>
      <c r="AP113" s="37"/>
      <c r="AQ113" s="37"/>
    </row>
    <row r="114" spans="1:43" ht="26.4" x14ac:dyDescent="0.3">
      <c r="A114" s="48">
        <f t="shared" si="55"/>
        <v>46378</v>
      </c>
      <c r="B114" s="32" t="str">
        <f t="shared" si="56"/>
        <v>Tue</v>
      </c>
      <c r="C114" s="32">
        <f t="shared" si="57"/>
        <v>13</v>
      </c>
      <c r="D114" s="32" t="str">
        <f t="shared" si="58"/>
        <v>Flat Ground / Intent</v>
      </c>
      <c r="E114" s="32" t="str">
        <f t="shared" si="59"/>
        <v>High Non-Bullpen</v>
      </c>
      <c r="F114" s="32" t="str">
        <f t="shared" si="60"/>
        <v>Long Toss</v>
      </c>
      <c r="G114" s="47" t="str">
        <f t="shared" si="61"/>
        <v>Long toss out to 180 ft — 35 throws (90×12 · 120×9 · 150×8 · 180×6) @ 77–79 mph + 60 ft × 15 @ 77–79 mph</v>
      </c>
      <c r="H114" s="30">
        <f t="shared" si="62"/>
        <v>48.083333333333336</v>
      </c>
      <c r="I114" s="46">
        <f>IF($A114="","",IF(AND($L114&lt;27,$K$12=0),"Building",IFERROR(((SUM($H$108:$H114)+$K$12*IF($L114&lt;6,SUMIFS('Throw Log'!$Q$5:$Q$300,'Throw Log'!$B$5:$B$300,$D$4,'Throw Log'!$A$5:$A$300,"&gt;="&amp;($D$6+$L114-6),'Throw Log'!$A$5:$A$300,"&lt;="&amp;($D$6-1)),0))/7)/((SUM($H$87:$H114)+$K$12*IF($L114&lt;27,SUMIFS('Throw Log'!$Q$5:$Q$300,'Throw Log'!$B$5:$B$300,$D$4,'Throw Log'!$A$5:$A$300,"&gt;="&amp;($D$6+$L114-27),'Throw Log'!$A$5:$A$300,"&lt;="&amp;($D$6-1)),0))/28),"")))</f>
        <v>1.1565938280195729</v>
      </c>
      <c r="J114" s="37"/>
      <c r="K114" s="37">
        <v>35</v>
      </c>
      <c r="L114" s="32">
        <v>71</v>
      </c>
      <c r="M114" s="32">
        <f t="shared" si="63"/>
        <v>11</v>
      </c>
      <c r="N114" s="32">
        <f t="shared" si="64"/>
        <v>1</v>
      </c>
      <c r="O114" s="32">
        <f t="shared" si="65"/>
        <v>0.93421052631578949</v>
      </c>
      <c r="P114" s="32">
        <f>IF(OR($A114="",N($C114)&lt;=7),"",$G$6*$G$9^($M114-1)*IF(AND(MOD($M114,Reference!$B$99)=0,$M114&lt;=$G$5-2),Reference!$B$100,1))</f>
        <v>260.00000000000006</v>
      </c>
      <c r="Q114" s="32">
        <f>IF($P114="","",IF(SUM($AK$113:$AK$119)=0,0,$P114*INDEX(Reference!$B$108:$B$114,$N114+1)/SUM($AK$113:$AK$119)))</f>
        <v>65.607476635514033</v>
      </c>
      <c r="R114" s="32">
        <f t="shared" si="66"/>
        <v>180</v>
      </c>
      <c r="S114" s="32">
        <f t="shared" si="67"/>
        <v>150</v>
      </c>
      <c r="T114" s="32" t="str">
        <f>IF($A114="","",IF($C114=0,"Bullpen",IF(OR($C114=7,$C114=1,$C114=5),"Recovery/Easy Catch",IF($C114=6,"Compression/Pulldowns",IF(OR($C114=4,$C114=2),"Long Toss",IF($C114=3,"No Throw",IF($N114=2,"No Throw",IF($N114=6,IF($O114&lt;Reference!$B$104,"No Throw","Recovery/Easy Catch"),IF(OR($N114=0,$N114=4),"Recovery/Easy Catch",IF($N114=1,IF($R114&gt;75,"Long Toss","Recovery/Easy Catch"),IF($N114=3,IF($O114&lt;0.5,IF($S114&gt;75,"Long Toss","Recovery/Easy Catch"),"Compression/Pulldowns"),IF($S114&gt;75,"Long Toss","Recovery/Easy Catch"))))))))))))</f>
        <v>Long Toss</v>
      </c>
      <c r="U114" s="32">
        <f t="shared" si="68"/>
        <v>180</v>
      </c>
      <c r="V114" s="32">
        <f t="shared" si="69"/>
        <v>10</v>
      </c>
      <c r="W114" s="32">
        <f t="shared" si="70"/>
        <v>12</v>
      </c>
      <c r="X114" s="32">
        <f t="shared" si="71"/>
        <v>15</v>
      </c>
      <c r="Y114" s="32">
        <f t="shared" si="72"/>
        <v>10</v>
      </c>
      <c r="Z114" s="32">
        <f t="shared" si="73"/>
        <v>12</v>
      </c>
      <c r="AA114" s="32" t="str">
        <f t="shared" si="74"/>
        <v/>
      </c>
      <c r="AB114" s="32">
        <f>IF($A114="","",IF($T114="No Throw",0,IF($K114&lt;&gt;"",$K114,IF($AA114&lt;&gt;"",ROUND($AA114*$D$12*IF($C114=0,1,$G$10),0),MIN(IF($T114="Recovery/Easy Catch",Reference!$B$103,IF($T114="Long Toss",Reference!$B$106,Reference!$B$102)),MAX(Reference!$B$101,ROUND(MAX(0,$Q114-$AE114)/$AF114,0)))))))</f>
        <v>35</v>
      </c>
      <c r="AC114" s="32">
        <f t="shared" si="75"/>
        <v>0</v>
      </c>
      <c r="AD114" s="32" t="b">
        <f t="shared" si="76"/>
        <v>0</v>
      </c>
      <c r="AE114" s="32">
        <f>IF($X114=0,0,$X114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114+$Z114)/2,0),Reference!$A$17:$B$20,2,TRUE()))</f>
        <v>9</v>
      </c>
      <c r="AF114" s="32">
        <f>IF(OR($A114="",$U114="",$T114="No Throw"),0,$AM114*VLOOKUP(MAX(($V114+$W114)/2,0),Reference!$A$17:$B$20,2,TRUE()))</f>
        <v>1.1166666666666667</v>
      </c>
      <c r="AG114" s="32">
        <f>IF($AC114=0,0,$AC114*INDEX(Reference!$B$61:$B$62,MATCH("Bullpen",Reference!$A$61:$A$62,0))*VLOOKUP(MAX($D$5-($D$9+$E$9)/2,0),Reference!$A$17:$B$20,2,TRUE()))</f>
        <v>0</v>
      </c>
      <c r="AH114" s="46">
        <f t="shared" si="77"/>
        <v>1.1565938280195729</v>
      </c>
      <c r="AI114" s="32">
        <f>IF($A114="",NA(),Reference!$A$25)</f>
        <v>0.8</v>
      </c>
      <c r="AJ114" s="32">
        <f t="shared" si="78"/>
        <v>1.3</v>
      </c>
      <c r="AK114" s="56">
        <f>IF(OR($A114="",N($C114)&lt;=7,$T114="No Throw",$J114="x"),0,INDEX(Reference!$B$108:$B$114,$N114+1))</f>
        <v>0.27</v>
      </c>
      <c r="AL114" s="32">
        <f t="shared" si="79"/>
        <v>4</v>
      </c>
      <c r="AM114" s="32">
        <f>IF($U114="",0,IF($AL114&gt;1,((IF(1&lt;=$AL114,($AL114-1+3)*(INDEX(Reference!$B$6:$B$11,MIN(5,MATCH(MAX(Reference!$A$6,MIN(Reference!$A$11,MIN($U114,90))),Reference!$A$6:$A$11,1)))+(MAX(Reference!$A$6,MIN(Reference!$A$11,MIN($U114,90)))-INDEX(Reference!$A$6:$A$11,MIN(5,MATCH(MAX(Reference!$A$6,MIN(Reference!$A$11,MIN($U114,90))),Reference!$A$6:$A$11,1))))*(INDEX(Reference!$B$6:$B$11,MIN(5,MATCH(MAX(Reference!$A$6,MIN(Reference!$A$11,MIN($U114,90))),Reference!$A$6:$A$11,1))+1)-INDEX(Reference!$B$6:$B$11,MIN(5,MATCH(MAX(Reference!$A$6,MIN(Reference!$A$11,MIN($U114,90))),Reference!$A$6:$A$11,1))))/(INDEX(Reference!$A$6:$A$11,MIN(5,MATCH(MAX(Reference!$A$6,MIN(Reference!$A$11,MIN($U114,90))),Reference!$A$6:$A$11,1))+1)-INDEX(Reference!$A$6:$A$11,MIN(5,MATCH(MAX(Reference!$A$6,MIN(Reference!$A$11,MIN($U114,90))),Reference!$A$6:$A$11,1))))),0)+IF(2&lt;=$AL114,($AL114-2+3)*(INDEX(Reference!$B$6:$B$11,MIN(5,MATCH(MAX(Reference!$A$6,MIN(Reference!$A$11,MIN($U114,120))),Reference!$A$6:$A$11,1)))+(MAX(Reference!$A$6,MIN(Reference!$A$11,MIN($U114,120)))-INDEX(Reference!$A$6:$A$11,MIN(5,MATCH(MAX(Reference!$A$6,MIN(Reference!$A$11,MIN($U114,120))),Reference!$A$6:$A$11,1))))*(INDEX(Reference!$B$6:$B$11,MIN(5,MATCH(MAX(Reference!$A$6,MIN(Reference!$A$11,MIN($U114,120))),Reference!$A$6:$A$11,1))+1)-INDEX(Reference!$B$6:$B$11,MIN(5,MATCH(MAX(Reference!$A$6,MIN(Reference!$A$11,MIN($U114,120))),Reference!$A$6:$A$11,1))))/(INDEX(Reference!$A$6:$A$11,MIN(5,MATCH(MAX(Reference!$A$6,MIN(Reference!$A$11,MIN($U114,120))),Reference!$A$6:$A$11,1))+1)-INDEX(Reference!$A$6:$A$11,MIN(5,MATCH(MAX(Reference!$A$6,MIN(Reference!$A$11,MIN($U114,120))),Reference!$A$6:$A$11,1))))),0)+IF(3&lt;=$AL114,($AL114-3+3)*(INDEX(Reference!$B$6:$B$11,MIN(5,MATCH(MAX(Reference!$A$6,MIN(Reference!$A$11,MIN($U114,150))),Reference!$A$6:$A$11,1)))+(MAX(Reference!$A$6,MIN(Reference!$A$11,MIN($U114,150)))-INDEX(Reference!$A$6:$A$11,MIN(5,MATCH(MAX(Reference!$A$6,MIN(Reference!$A$11,MIN($U114,150))),Reference!$A$6:$A$11,1))))*(INDEX(Reference!$B$6:$B$11,MIN(5,MATCH(MAX(Reference!$A$6,MIN(Reference!$A$11,MIN($U114,150))),Reference!$A$6:$A$11,1))+1)-INDEX(Reference!$B$6:$B$11,MIN(5,MATCH(MAX(Reference!$A$6,MIN(Reference!$A$11,MIN($U114,150))),Reference!$A$6:$A$11,1))))/(INDEX(Reference!$A$6:$A$11,MIN(5,MATCH(MAX(Reference!$A$6,MIN(Reference!$A$11,MIN($U114,150))),Reference!$A$6:$A$11,1))+1)-INDEX(Reference!$A$6:$A$11,MIN(5,MATCH(MAX(Reference!$A$6,MIN(Reference!$A$11,MIN($U114,150))),Reference!$A$6:$A$11,1))))),0)+IF(4&lt;=$AL114,($AL114-4+3)*(INDEX(Reference!$B$6:$B$11,MIN(5,MATCH(MAX(Reference!$A$6,MIN(Reference!$A$11,MIN($U114,180))),Reference!$A$6:$A$11,1)))+(MAX(Reference!$A$6,MIN(Reference!$A$11,MIN($U114,180)))-INDEX(Reference!$A$6:$A$11,MIN(5,MATCH(MAX(Reference!$A$6,MIN(Reference!$A$11,MIN($U114,180))),Reference!$A$6:$A$11,1))))*(INDEX(Reference!$B$6:$B$11,MIN(5,MATCH(MAX(Reference!$A$6,MIN(Reference!$A$11,MIN($U114,180))),Reference!$A$6:$A$11,1))+1)-INDEX(Reference!$B$6:$B$11,MIN(5,MATCH(MAX(Reference!$A$6,MIN(Reference!$A$11,MIN($U114,180))),Reference!$A$6:$A$11,1))))/(INDEX(Reference!$A$6:$A$11,MIN(5,MATCH(MAX(Reference!$A$6,MIN(Reference!$A$11,MIN($U114,180))),Reference!$A$6:$A$11,1))+1)-INDEX(Reference!$A$6:$A$11,MIN(5,MATCH(MAX(Reference!$A$6,MIN(Reference!$A$11,MIN($U114,180))),Reference!$A$6:$A$11,1))))),0)+IF(5&lt;=$AL114,($AL114-5+3)*(INDEX(Reference!$B$6:$B$11,MIN(5,MATCH(MAX(Reference!$A$6,MIN(Reference!$A$11,MIN($U114,210))),Reference!$A$6:$A$11,1)))+(MAX(Reference!$A$6,MIN(Reference!$A$11,MIN($U114,210)))-INDEX(Reference!$A$6:$A$11,MIN(5,MATCH(MAX(Reference!$A$6,MIN(Reference!$A$11,MIN($U114,210))),Reference!$A$6:$A$11,1))))*(INDEX(Reference!$B$6:$B$11,MIN(5,MATCH(MAX(Reference!$A$6,MIN(Reference!$A$11,MIN($U114,210))),Reference!$A$6:$A$11,1))+1)-INDEX(Reference!$B$6:$B$11,MIN(5,MATCH(MAX(Reference!$A$6,MIN(Reference!$A$11,MIN($U114,210))),Reference!$A$6:$A$11,1))))/(INDEX(Reference!$A$6:$A$11,MIN(5,MATCH(MAX(Reference!$A$6,MIN(Reference!$A$11,MIN($U114,210))),Reference!$A$6:$A$11,1))+1)-INDEX(Reference!$A$6:$A$11,MIN(5,MATCH(MAX(Reference!$A$6,MIN(Reference!$A$11,MIN($U114,210))),Reference!$A$6:$A$11,1))))),0)+IF(6&lt;=$AL114,($AL114-6+3)*(INDEX(Reference!$B$6:$B$11,MIN(5,MATCH(MAX(Reference!$A$6,MIN(Reference!$A$11,MIN($U114,240))),Reference!$A$6:$A$11,1)))+(MAX(Reference!$A$6,MIN(Reference!$A$11,MIN($U114,240)))-INDEX(Reference!$A$6:$A$11,MIN(5,MATCH(MAX(Reference!$A$6,MIN(Reference!$A$11,MIN($U114,240))),Reference!$A$6:$A$11,1))))*(INDEX(Reference!$B$6:$B$11,MIN(5,MATCH(MAX(Reference!$A$6,MIN(Reference!$A$11,MIN($U114,240))),Reference!$A$6:$A$11,1))+1)-INDEX(Reference!$B$6:$B$11,MIN(5,MATCH(MAX(Reference!$A$6,MIN(Reference!$A$11,MIN($U114,240))),Reference!$A$6:$A$11,1))))/(INDEX(Reference!$A$6:$A$11,MIN(5,MATCH(MAX(Reference!$A$6,MIN(Reference!$A$11,MIN($U114,240))),Reference!$A$6:$A$11,1))+1)-INDEX(Reference!$A$6:$A$11,MIN(5,MATCH(MAX(Reference!$A$6,MIN(Reference!$A$11,MIN($U114,240))),Reference!$A$6:$A$11,1))))),0)+IF(7&lt;=$AL114,($AL114-7+3)*(INDEX(Reference!$B$6:$B$11,MIN(5,MATCH(MAX(Reference!$A$6,MIN(Reference!$A$11,MIN($U114,270))),Reference!$A$6:$A$11,1)))+(MAX(Reference!$A$6,MIN(Reference!$A$11,MIN($U114,270)))-INDEX(Reference!$A$6:$A$11,MIN(5,MATCH(MAX(Reference!$A$6,MIN(Reference!$A$11,MIN($U114,270))),Reference!$A$6:$A$11,1))))*(INDEX(Reference!$B$6:$B$11,MIN(5,MATCH(MAX(Reference!$A$6,MIN(Reference!$A$11,MIN($U114,270))),Reference!$A$6:$A$11,1))+1)-INDEX(Reference!$B$6:$B$11,MIN(5,MATCH(MAX(Reference!$A$6,MIN(Reference!$A$11,MIN($U114,270))),Reference!$A$6:$A$11,1))))/(INDEX(Reference!$A$6:$A$11,MIN(5,MATCH(MAX(Reference!$A$6,MIN(Reference!$A$11,MIN($U114,270))),Reference!$A$6:$A$11,1))+1)-INDEX(Reference!$A$6:$A$11,MIN(5,MATCH(MAX(Reference!$A$6,MIN(Reference!$A$11,MIN($U114,270))),Reference!$A$6:$A$11,1))))),0)+IF(8&lt;=$AL114,($AL114-8+3)*(INDEX(Reference!$B$6:$B$11,MIN(5,MATCH(MAX(Reference!$A$6,MIN(Reference!$A$11,MIN($U114,300))),Reference!$A$6:$A$11,1)))+(MAX(Reference!$A$6,MIN(Reference!$A$11,MIN($U114,300)))-INDEX(Reference!$A$6:$A$11,MIN(5,MATCH(MAX(Reference!$A$6,MIN(Reference!$A$11,MIN($U114,300))),Reference!$A$6:$A$11,1))))*(INDEX(Reference!$B$6:$B$11,MIN(5,MATCH(MAX(Reference!$A$6,MIN(Reference!$A$11,MIN($U114,300))),Reference!$A$6:$A$11,1))+1)-INDEX(Reference!$B$6:$B$11,MIN(5,MATCH(MAX(Reference!$A$6,MIN(Reference!$A$11,MIN($U114,300))),Reference!$A$6:$A$11,1))))/(INDEX(Reference!$A$6:$A$11,MIN(5,MATCH(MAX(Reference!$A$6,MIN(Reference!$A$11,MIN($U114,300))),Reference!$A$6:$A$11,1))+1)-INDEX(Reference!$A$6:$A$11,MIN(5,MATCH(MAX(Reference!$A$6,MIN(Reference!$A$11,MIN($U114,300))),Reference!$A$6:$A$11,1))))),0))/($AL114*($AL114+5)/2)),$AN114))</f>
        <v>1.8611111111111112</v>
      </c>
      <c r="AN114" s="32">
        <f>IF($U114="",0,(INDEX(Reference!$B$6:$B$11,MIN(5,MATCH(MAX(Reference!$A$6,MIN(Reference!$A$11,$U114)),Reference!$A$6:$A$11,1)))+(MAX(Reference!$A$6,MIN(Reference!$A$11,$U114))-INDEX(Reference!$A$6:$A$11,MIN(5,MATCH(MAX(Reference!$A$6,MIN(Reference!$A$11,$U114)),Reference!$A$6:$A$11,1))))*(INDEX(Reference!$B$6:$B$11,MIN(5,MATCH(MAX(Reference!$A$6,MIN(Reference!$A$11,$U114)),Reference!$A$6:$A$11,1))+1)-INDEX(Reference!$B$6:$B$11,MIN(5,MATCH(MAX(Reference!$A$6,MIN(Reference!$A$11,$U114)),Reference!$A$6:$A$11,1))))/(INDEX(Reference!$A$6:$A$11,MIN(5,MATCH(MAX(Reference!$A$6,MIN(Reference!$A$11,$U114)),Reference!$A$6:$A$11,1))+1)-INDEX(Reference!$A$6:$A$11,MIN(5,MATCH(MAX(Reference!$A$6,MIN(Reference!$A$11,$U114)),Reference!$A$6:$A$11,1))))))</f>
        <v>2.8</v>
      </c>
      <c r="AO114" s="37"/>
      <c r="AP114" s="37"/>
      <c r="AQ114" s="37"/>
    </row>
    <row r="115" spans="1:43" x14ac:dyDescent="0.3">
      <c r="A115" s="48">
        <f t="shared" si="55"/>
        <v>46379</v>
      </c>
      <c r="B115" s="32" t="str">
        <f t="shared" si="56"/>
        <v>Wed</v>
      </c>
      <c r="C115" s="32">
        <f t="shared" si="57"/>
        <v>12</v>
      </c>
      <c r="D115" s="32" t="str">
        <f t="shared" si="58"/>
        <v>Flat Ground / Intent</v>
      </c>
      <c r="E115" s="32" t="str">
        <f t="shared" si="59"/>
        <v>No Throw</v>
      </c>
      <c r="F115" s="32" t="str">
        <f t="shared" si="60"/>
        <v>No Throw</v>
      </c>
      <c r="G115" s="47" t="str">
        <f t="shared" si="61"/>
        <v>Off</v>
      </c>
      <c r="H115" s="30">
        <f t="shared" si="62"/>
        <v>0</v>
      </c>
      <c r="I115" s="46">
        <f>IF($A115="","",IF(AND($L115&lt;27,$K$12=0),"Building",IFERROR(((SUM($H$109:$H115)+$K$12*IF($L115&lt;6,SUMIFS('Throw Log'!$Q$5:$Q$300,'Throw Log'!$B$5:$B$300,$D$4,'Throw Log'!$A$5:$A$300,"&gt;="&amp;($D$6+$L115-6),'Throw Log'!$A$5:$A$300,"&lt;="&amp;($D$6-1)),0))/7)/((SUM($H$88:$H115)+$K$12*IF($L115&lt;27,SUMIFS('Throw Log'!$Q$5:$Q$300,'Throw Log'!$B$5:$B$300,$D$4,'Throw Log'!$A$5:$A$300,"&gt;="&amp;($D$6+$L115-27),'Throw Log'!$A$5:$A$300,"&lt;="&amp;($D$6-1)),0))/28),"")))</f>
        <v>1.1565938280195729</v>
      </c>
      <c r="J115" s="37"/>
      <c r="K115" s="37"/>
      <c r="L115" s="32">
        <v>72</v>
      </c>
      <c r="M115" s="32">
        <f t="shared" si="63"/>
        <v>11</v>
      </c>
      <c r="N115" s="32">
        <f t="shared" si="64"/>
        <v>2</v>
      </c>
      <c r="O115" s="32">
        <f t="shared" si="65"/>
        <v>0.94736842105263153</v>
      </c>
      <c r="P115" s="32">
        <f>IF(OR($A115="",N($C115)&lt;=7),"",$G$6*$G$9^($M115-1)*IF(AND(MOD($M115,Reference!$B$99)=0,$M115&lt;=$G$5-2),Reference!$B$100,1))</f>
        <v>260.00000000000006</v>
      </c>
      <c r="Q115" s="32">
        <f>IF($P115="","",IF(SUM($AK$113:$AK$119)=0,0,$P115*INDEX(Reference!$B$108:$B$114,$N115+1)/SUM($AK$113:$AK$119)))</f>
        <v>0</v>
      </c>
      <c r="R115" s="32">
        <f t="shared" si="66"/>
        <v>180</v>
      </c>
      <c r="S115" s="32">
        <f t="shared" si="67"/>
        <v>150</v>
      </c>
      <c r="T115" s="32" t="str">
        <f>IF($A115="","",IF($C115=0,"Bullpen",IF(OR($C115=7,$C115=1,$C115=5),"Recovery/Easy Catch",IF($C115=6,"Compression/Pulldowns",IF(OR($C115=4,$C115=2),"Long Toss",IF($C115=3,"No Throw",IF($N115=2,"No Throw",IF($N115=6,IF($O115&lt;Reference!$B$104,"No Throw","Recovery/Easy Catch"),IF(OR($N115=0,$N115=4),"Recovery/Easy Catch",IF($N115=1,IF($R115&gt;75,"Long Toss","Recovery/Easy Catch"),IF($N115=3,IF($O115&lt;0.5,IF($S115&gt;75,"Long Toss","Recovery/Easy Catch"),"Compression/Pulldowns"),IF($S115&gt;75,"Long Toss","Recovery/Easy Catch"))))))))))))</f>
        <v>No Throw</v>
      </c>
      <c r="U115" s="32" t="str">
        <f t="shared" si="68"/>
        <v/>
      </c>
      <c r="V115" s="32" t="str">
        <f t="shared" si="69"/>
        <v/>
      </c>
      <c r="W115" s="32" t="str">
        <f t="shared" si="70"/>
        <v/>
      </c>
      <c r="X115" s="32">
        <f t="shared" si="71"/>
        <v>0</v>
      </c>
      <c r="Y115" s="32" t="str">
        <f t="shared" si="72"/>
        <v/>
      </c>
      <c r="Z115" s="32" t="str">
        <f t="shared" si="73"/>
        <v/>
      </c>
      <c r="AA115" s="32" t="str">
        <f t="shared" si="74"/>
        <v/>
      </c>
      <c r="AB115" s="32">
        <f>IF($A115="","",IF($T115="No Throw",0,IF($K115&lt;&gt;"",$K115,IF($AA115&lt;&gt;"",ROUND($AA115*$D$12*IF($C115=0,1,$G$10),0),MIN(IF($T115="Recovery/Easy Catch",Reference!$B$103,IF($T115="Long Toss",Reference!$B$106,Reference!$B$102)),MAX(Reference!$B$101,ROUND(MAX(0,$Q115-$AE115)/$AF115,0)))))))</f>
        <v>0</v>
      </c>
      <c r="AC115" s="32">
        <f t="shared" si="75"/>
        <v>0</v>
      </c>
      <c r="AD115" s="32" t="b">
        <f t="shared" si="76"/>
        <v>1</v>
      </c>
      <c r="AE115" s="32">
        <f>IF($X115=0,0,$X115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115+$Z115)/2,0),Reference!$A$17:$B$20,2,TRUE()))</f>
        <v>0</v>
      </c>
      <c r="AF115" s="32">
        <f>IF(OR($A115="",$U115="",$T115="No Throw"),0,$AM115*VLOOKUP(MAX(($V115+$W115)/2,0),Reference!$A$17:$B$20,2,TRUE()))</f>
        <v>0</v>
      </c>
      <c r="AG115" s="32">
        <f>IF($AC115=0,0,$AC115*INDEX(Reference!$B$61:$B$62,MATCH("Bullpen",Reference!$A$61:$A$62,0))*VLOOKUP(MAX($D$5-($D$9+$E$9)/2,0),Reference!$A$17:$B$20,2,TRUE()))</f>
        <v>0</v>
      </c>
      <c r="AH115" s="46">
        <f t="shared" si="77"/>
        <v>1.1565938280195729</v>
      </c>
      <c r="AI115" s="32">
        <f>IF($A115="",NA(),Reference!$A$25)</f>
        <v>0.8</v>
      </c>
      <c r="AJ115" s="32">
        <f t="shared" si="78"/>
        <v>1.3</v>
      </c>
      <c r="AK115" s="32">
        <f>IF(OR($A115="",N($C115)&lt;=7,$T115="No Throw",$J115="x"),0,INDEX(Reference!$B$108:$B$114,$N115+1))</f>
        <v>0</v>
      </c>
      <c r="AL115" s="32">
        <f t="shared" si="79"/>
        <v>1</v>
      </c>
      <c r="AM115" s="32">
        <f>IF($U115="",0,IF($AL115&gt;1,((IF(1&lt;=$AL115,($AL115-1+3)*(INDEX(Reference!$B$6:$B$11,MIN(5,MATCH(MAX(Reference!$A$6,MIN(Reference!$A$11,MIN($U115,90))),Reference!$A$6:$A$11,1)))+(MAX(Reference!$A$6,MIN(Reference!$A$11,MIN($U115,90)))-INDEX(Reference!$A$6:$A$11,MIN(5,MATCH(MAX(Reference!$A$6,MIN(Reference!$A$11,MIN($U115,90))),Reference!$A$6:$A$11,1))))*(INDEX(Reference!$B$6:$B$11,MIN(5,MATCH(MAX(Reference!$A$6,MIN(Reference!$A$11,MIN($U115,90))),Reference!$A$6:$A$11,1))+1)-INDEX(Reference!$B$6:$B$11,MIN(5,MATCH(MAX(Reference!$A$6,MIN(Reference!$A$11,MIN($U115,90))),Reference!$A$6:$A$11,1))))/(INDEX(Reference!$A$6:$A$11,MIN(5,MATCH(MAX(Reference!$A$6,MIN(Reference!$A$11,MIN($U115,90))),Reference!$A$6:$A$11,1))+1)-INDEX(Reference!$A$6:$A$11,MIN(5,MATCH(MAX(Reference!$A$6,MIN(Reference!$A$11,MIN($U115,90))),Reference!$A$6:$A$11,1))))),0)+IF(2&lt;=$AL115,($AL115-2+3)*(INDEX(Reference!$B$6:$B$11,MIN(5,MATCH(MAX(Reference!$A$6,MIN(Reference!$A$11,MIN($U115,120))),Reference!$A$6:$A$11,1)))+(MAX(Reference!$A$6,MIN(Reference!$A$11,MIN($U115,120)))-INDEX(Reference!$A$6:$A$11,MIN(5,MATCH(MAX(Reference!$A$6,MIN(Reference!$A$11,MIN($U115,120))),Reference!$A$6:$A$11,1))))*(INDEX(Reference!$B$6:$B$11,MIN(5,MATCH(MAX(Reference!$A$6,MIN(Reference!$A$11,MIN($U115,120))),Reference!$A$6:$A$11,1))+1)-INDEX(Reference!$B$6:$B$11,MIN(5,MATCH(MAX(Reference!$A$6,MIN(Reference!$A$11,MIN($U115,120))),Reference!$A$6:$A$11,1))))/(INDEX(Reference!$A$6:$A$11,MIN(5,MATCH(MAX(Reference!$A$6,MIN(Reference!$A$11,MIN($U115,120))),Reference!$A$6:$A$11,1))+1)-INDEX(Reference!$A$6:$A$11,MIN(5,MATCH(MAX(Reference!$A$6,MIN(Reference!$A$11,MIN($U115,120))),Reference!$A$6:$A$11,1))))),0)+IF(3&lt;=$AL115,($AL115-3+3)*(INDEX(Reference!$B$6:$B$11,MIN(5,MATCH(MAX(Reference!$A$6,MIN(Reference!$A$11,MIN($U115,150))),Reference!$A$6:$A$11,1)))+(MAX(Reference!$A$6,MIN(Reference!$A$11,MIN($U115,150)))-INDEX(Reference!$A$6:$A$11,MIN(5,MATCH(MAX(Reference!$A$6,MIN(Reference!$A$11,MIN($U115,150))),Reference!$A$6:$A$11,1))))*(INDEX(Reference!$B$6:$B$11,MIN(5,MATCH(MAX(Reference!$A$6,MIN(Reference!$A$11,MIN($U115,150))),Reference!$A$6:$A$11,1))+1)-INDEX(Reference!$B$6:$B$11,MIN(5,MATCH(MAX(Reference!$A$6,MIN(Reference!$A$11,MIN($U115,150))),Reference!$A$6:$A$11,1))))/(INDEX(Reference!$A$6:$A$11,MIN(5,MATCH(MAX(Reference!$A$6,MIN(Reference!$A$11,MIN($U115,150))),Reference!$A$6:$A$11,1))+1)-INDEX(Reference!$A$6:$A$11,MIN(5,MATCH(MAX(Reference!$A$6,MIN(Reference!$A$11,MIN($U115,150))),Reference!$A$6:$A$11,1))))),0)+IF(4&lt;=$AL115,($AL115-4+3)*(INDEX(Reference!$B$6:$B$11,MIN(5,MATCH(MAX(Reference!$A$6,MIN(Reference!$A$11,MIN($U115,180))),Reference!$A$6:$A$11,1)))+(MAX(Reference!$A$6,MIN(Reference!$A$11,MIN($U115,180)))-INDEX(Reference!$A$6:$A$11,MIN(5,MATCH(MAX(Reference!$A$6,MIN(Reference!$A$11,MIN($U115,180))),Reference!$A$6:$A$11,1))))*(INDEX(Reference!$B$6:$B$11,MIN(5,MATCH(MAX(Reference!$A$6,MIN(Reference!$A$11,MIN($U115,180))),Reference!$A$6:$A$11,1))+1)-INDEX(Reference!$B$6:$B$11,MIN(5,MATCH(MAX(Reference!$A$6,MIN(Reference!$A$11,MIN($U115,180))),Reference!$A$6:$A$11,1))))/(INDEX(Reference!$A$6:$A$11,MIN(5,MATCH(MAX(Reference!$A$6,MIN(Reference!$A$11,MIN($U115,180))),Reference!$A$6:$A$11,1))+1)-INDEX(Reference!$A$6:$A$11,MIN(5,MATCH(MAX(Reference!$A$6,MIN(Reference!$A$11,MIN($U115,180))),Reference!$A$6:$A$11,1))))),0)+IF(5&lt;=$AL115,($AL115-5+3)*(INDEX(Reference!$B$6:$B$11,MIN(5,MATCH(MAX(Reference!$A$6,MIN(Reference!$A$11,MIN($U115,210))),Reference!$A$6:$A$11,1)))+(MAX(Reference!$A$6,MIN(Reference!$A$11,MIN($U115,210)))-INDEX(Reference!$A$6:$A$11,MIN(5,MATCH(MAX(Reference!$A$6,MIN(Reference!$A$11,MIN($U115,210))),Reference!$A$6:$A$11,1))))*(INDEX(Reference!$B$6:$B$11,MIN(5,MATCH(MAX(Reference!$A$6,MIN(Reference!$A$11,MIN($U115,210))),Reference!$A$6:$A$11,1))+1)-INDEX(Reference!$B$6:$B$11,MIN(5,MATCH(MAX(Reference!$A$6,MIN(Reference!$A$11,MIN($U115,210))),Reference!$A$6:$A$11,1))))/(INDEX(Reference!$A$6:$A$11,MIN(5,MATCH(MAX(Reference!$A$6,MIN(Reference!$A$11,MIN($U115,210))),Reference!$A$6:$A$11,1))+1)-INDEX(Reference!$A$6:$A$11,MIN(5,MATCH(MAX(Reference!$A$6,MIN(Reference!$A$11,MIN($U115,210))),Reference!$A$6:$A$11,1))))),0)+IF(6&lt;=$AL115,($AL115-6+3)*(INDEX(Reference!$B$6:$B$11,MIN(5,MATCH(MAX(Reference!$A$6,MIN(Reference!$A$11,MIN($U115,240))),Reference!$A$6:$A$11,1)))+(MAX(Reference!$A$6,MIN(Reference!$A$11,MIN($U115,240)))-INDEX(Reference!$A$6:$A$11,MIN(5,MATCH(MAX(Reference!$A$6,MIN(Reference!$A$11,MIN($U115,240))),Reference!$A$6:$A$11,1))))*(INDEX(Reference!$B$6:$B$11,MIN(5,MATCH(MAX(Reference!$A$6,MIN(Reference!$A$11,MIN($U115,240))),Reference!$A$6:$A$11,1))+1)-INDEX(Reference!$B$6:$B$11,MIN(5,MATCH(MAX(Reference!$A$6,MIN(Reference!$A$11,MIN($U115,240))),Reference!$A$6:$A$11,1))))/(INDEX(Reference!$A$6:$A$11,MIN(5,MATCH(MAX(Reference!$A$6,MIN(Reference!$A$11,MIN($U115,240))),Reference!$A$6:$A$11,1))+1)-INDEX(Reference!$A$6:$A$11,MIN(5,MATCH(MAX(Reference!$A$6,MIN(Reference!$A$11,MIN($U115,240))),Reference!$A$6:$A$11,1))))),0)+IF(7&lt;=$AL115,($AL115-7+3)*(INDEX(Reference!$B$6:$B$11,MIN(5,MATCH(MAX(Reference!$A$6,MIN(Reference!$A$11,MIN($U115,270))),Reference!$A$6:$A$11,1)))+(MAX(Reference!$A$6,MIN(Reference!$A$11,MIN($U115,270)))-INDEX(Reference!$A$6:$A$11,MIN(5,MATCH(MAX(Reference!$A$6,MIN(Reference!$A$11,MIN($U115,270))),Reference!$A$6:$A$11,1))))*(INDEX(Reference!$B$6:$B$11,MIN(5,MATCH(MAX(Reference!$A$6,MIN(Reference!$A$11,MIN($U115,270))),Reference!$A$6:$A$11,1))+1)-INDEX(Reference!$B$6:$B$11,MIN(5,MATCH(MAX(Reference!$A$6,MIN(Reference!$A$11,MIN($U115,270))),Reference!$A$6:$A$11,1))))/(INDEX(Reference!$A$6:$A$11,MIN(5,MATCH(MAX(Reference!$A$6,MIN(Reference!$A$11,MIN($U115,270))),Reference!$A$6:$A$11,1))+1)-INDEX(Reference!$A$6:$A$11,MIN(5,MATCH(MAX(Reference!$A$6,MIN(Reference!$A$11,MIN($U115,270))),Reference!$A$6:$A$11,1))))),0)+IF(8&lt;=$AL115,($AL115-8+3)*(INDEX(Reference!$B$6:$B$11,MIN(5,MATCH(MAX(Reference!$A$6,MIN(Reference!$A$11,MIN($U115,300))),Reference!$A$6:$A$11,1)))+(MAX(Reference!$A$6,MIN(Reference!$A$11,MIN($U115,300)))-INDEX(Reference!$A$6:$A$11,MIN(5,MATCH(MAX(Reference!$A$6,MIN(Reference!$A$11,MIN($U115,300))),Reference!$A$6:$A$11,1))))*(INDEX(Reference!$B$6:$B$11,MIN(5,MATCH(MAX(Reference!$A$6,MIN(Reference!$A$11,MIN($U115,300))),Reference!$A$6:$A$11,1))+1)-INDEX(Reference!$B$6:$B$11,MIN(5,MATCH(MAX(Reference!$A$6,MIN(Reference!$A$11,MIN($U115,300))),Reference!$A$6:$A$11,1))))/(INDEX(Reference!$A$6:$A$11,MIN(5,MATCH(MAX(Reference!$A$6,MIN(Reference!$A$11,MIN($U115,300))),Reference!$A$6:$A$11,1))+1)-INDEX(Reference!$A$6:$A$11,MIN(5,MATCH(MAX(Reference!$A$6,MIN(Reference!$A$11,MIN($U115,300))),Reference!$A$6:$A$11,1))))),0))/($AL115*($AL115+5)/2)),$AN115))</f>
        <v>0</v>
      </c>
      <c r="AN115" s="32">
        <f>IF($U115="",0,(INDEX(Reference!$B$6:$B$11,MIN(5,MATCH(MAX(Reference!$A$6,MIN(Reference!$A$11,$U115)),Reference!$A$6:$A$11,1)))+(MAX(Reference!$A$6,MIN(Reference!$A$11,$U115))-INDEX(Reference!$A$6:$A$11,MIN(5,MATCH(MAX(Reference!$A$6,MIN(Reference!$A$11,$U115)),Reference!$A$6:$A$11,1))))*(INDEX(Reference!$B$6:$B$11,MIN(5,MATCH(MAX(Reference!$A$6,MIN(Reference!$A$11,$U115)),Reference!$A$6:$A$11,1))+1)-INDEX(Reference!$B$6:$B$11,MIN(5,MATCH(MAX(Reference!$A$6,MIN(Reference!$A$11,$U115)),Reference!$A$6:$A$11,1))))/(INDEX(Reference!$A$6:$A$11,MIN(5,MATCH(MAX(Reference!$A$6,MIN(Reference!$A$11,$U115)),Reference!$A$6:$A$11,1))+1)-INDEX(Reference!$A$6:$A$11,MIN(5,MATCH(MAX(Reference!$A$6,MIN(Reference!$A$11,$U115)),Reference!$A$6:$A$11,1))))))</f>
        <v>0</v>
      </c>
      <c r="AO115" s="37"/>
      <c r="AP115" s="37"/>
      <c r="AQ115" s="37"/>
    </row>
    <row r="116" spans="1:43" x14ac:dyDescent="0.3">
      <c r="A116" s="48">
        <f t="shared" si="55"/>
        <v>46380</v>
      </c>
      <c r="B116" s="32" t="str">
        <f t="shared" si="56"/>
        <v>Thu</v>
      </c>
      <c r="C116" s="32">
        <f t="shared" si="57"/>
        <v>11</v>
      </c>
      <c r="D116" s="32" t="str">
        <f t="shared" si="58"/>
        <v>Flat Ground / Intent</v>
      </c>
      <c r="E116" s="32" t="str">
        <f t="shared" si="59"/>
        <v>High Non-Bullpen</v>
      </c>
      <c r="F116" s="32" t="str">
        <f t="shared" si="60"/>
        <v>Compression/Pulldowns</v>
      </c>
      <c r="G116" s="47" t="str">
        <f t="shared" si="61"/>
        <v>90 ft × 25 @ 80–82 mph + flat ground at 60 ft × 25 @ 80–82 mph</v>
      </c>
      <c r="H116" s="30">
        <f t="shared" si="62"/>
        <v>57.5</v>
      </c>
      <c r="I116" s="46">
        <f>IF($A116="","",IF(AND($L116&lt;27,$K$12=0),"Building",IFERROR(((SUM($H$110:$H116)+$K$12*IF($L116&lt;6,SUMIFS('Throw Log'!$Q$5:$Q$300,'Throw Log'!$B$5:$B$300,$D$4,'Throw Log'!$A$5:$A$300,"&gt;="&amp;($D$6+$L116-6),'Throw Log'!$A$5:$A$300,"&lt;="&amp;($D$6-1)),0))/7)/((SUM($H$89:$H116)+$K$12*IF($L116&lt;27,SUMIFS('Throw Log'!$Q$5:$Q$300,'Throw Log'!$B$5:$B$300,$D$4,'Throw Log'!$A$5:$A$300,"&gt;="&amp;($D$6+$L116-27),'Throw Log'!$A$5:$A$300,"&lt;="&amp;($D$6-1)),0))/28),"")))</f>
        <v>1.1565635744765348</v>
      </c>
      <c r="J116" s="37"/>
      <c r="K116" s="37">
        <v>25</v>
      </c>
      <c r="L116" s="32">
        <v>73</v>
      </c>
      <c r="M116" s="32">
        <f t="shared" si="63"/>
        <v>11</v>
      </c>
      <c r="N116" s="32">
        <f t="shared" si="64"/>
        <v>3</v>
      </c>
      <c r="O116" s="32">
        <f t="shared" si="65"/>
        <v>0.96052631578947367</v>
      </c>
      <c r="P116" s="32">
        <f>IF(OR($A116="",N($C116)&lt;=7),"",$G$6*$G$9^($M116-1)*IF(AND(MOD($M116,Reference!$B$99)=0,$M116&lt;=$G$5-2),Reference!$B$100,1))</f>
        <v>260.00000000000006</v>
      </c>
      <c r="Q116" s="32">
        <f>IF($P116="","",IF(SUM($AK$113:$AK$119)=0,0,$P116*INDEX(Reference!$B$108:$B$114,$N116+1)/SUM($AK$113:$AK$119)))</f>
        <v>58.317757009345804</v>
      </c>
      <c r="R116" s="32">
        <f t="shared" si="66"/>
        <v>180</v>
      </c>
      <c r="S116" s="32">
        <f t="shared" si="67"/>
        <v>150</v>
      </c>
      <c r="T116" s="32" t="str">
        <f>IF($A116="","",IF($C116=0,"Bullpen",IF(OR($C116=7,$C116=1,$C116=5),"Recovery/Easy Catch",IF($C116=6,"Compression/Pulldowns",IF(OR($C116=4,$C116=2),"Long Toss",IF($C116=3,"No Throw",IF($N116=2,"No Throw",IF($N116=6,IF($O116&lt;Reference!$B$104,"No Throw","Recovery/Easy Catch"),IF(OR($N116=0,$N116=4),"Recovery/Easy Catch",IF($N116=1,IF($R116&gt;75,"Long Toss","Recovery/Easy Catch"),IF($N116=3,IF($O116&lt;0.5,IF($S116&gt;75,"Long Toss","Recovery/Easy Catch"),"Compression/Pulldowns"),IF($S116&gt;75,"Long Toss","Recovery/Easy Catch"))))))))))))</f>
        <v>Compression/Pulldowns</v>
      </c>
      <c r="U116" s="32">
        <f t="shared" si="68"/>
        <v>90</v>
      </c>
      <c r="V116" s="32">
        <f t="shared" si="69"/>
        <v>7</v>
      </c>
      <c r="W116" s="32">
        <f t="shared" si="70"/>
        <v>9</v>
      </c>
      <c r="X116" s="32">
        <f t="shared" si="71"/>
        <v>25</v>
      </c>
      <c r="Y116" s="32">
        <f t="shared" si="72"/>
        <v>7</v>
      </c>
      <c r="Z116" s="32">
        <f t="shared" si="73"/>
        <v>9</v>
      </c>
      <c r="AA116" s="32" t="str">
        <f t="shared" si="74"/>
        <v/>
      </c>
      <c r="AB116" s="32">
        <f>IF($A116="","",IF($T116="No Throw",0,IF($K116&lt;&gt;"",$K116,IF($AA116&lt;&gt;"",ROUND($AA116*$D$12*IF($C116=0,1,$G$10),0),MIN(IF($T116="Recovery/Easy Catch",Reference!$B$103,IF($T116="Long Toss",Reference!$B$106,Reference!$B$102)),MAX(Reference!$B$101,ROUND(MAX(0,$Q116-$AE116)/$AF116,0)))))))</f>
        <v>25</v>
      </c>
      <c r="AC116" s="32">
        <f t="shared" si="75"/>
        <v>0</v>
      </c>
      <c r="AD116" s="32" t="b">
        <f t="shared" si="76"/>
        <v>0</v>
      </c>
      <c r="AE116" s="32">
        <f>IF($X116=0,0,$X116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116+$Z116)/2,0),Reference!$A$17:$B$20,2,TRUE()))</f>
        <v>25</v>
      </c>
      <c r="AF116" s="32">
        <f>IF(OR($A116="",$U116="",$T116="No Throw"),0,$AM116*VLOOKUP(MAX(($V116+$W116)/2,0),Reference!$A$17:$B$20,2,TRUE()))</f>
        <v>1.3</v>
      </c>
      <c r="AG116" s="32">
        <f>IF($AC116=0,0,$AC116*INDEX(Reference!$B$61:$B$62,MATCH("Bullpen",Reference!$A$61:$A$62,0))*VLOOKUP(MAX($D$5-($D$9+$E$9)/2,0),Reference!$A$17:$B$20,2,TRUE()))</f>
        <v>0</v>
      </c>
      <c r="AH116" s="46">
        <f t="shared" si="77"/>
        <v>1.1565635744765348</v>
      </c>
      <c r="AI116" s="32">
        <f>IF($A116="",NA(),Reference!$A$25)</f>
        <v>0.8</v>
      </c>
      <c r="AJ116" s="32">
        <f t="shared" si="78"/>
        <v>1.3</v>
      </c>
      <c r="AK116" s="56">
        <f>IF(OR($A116="",N($C116)&lt;=7,$T116="No Throw",$J116="x"),0,INDEX(Reference!$B$108:$B$114,$N116+1))</f>
        <v>0.24</v>
      </c>
      <c r="AL116" s="32">
        <f t="shared" si="79"/>
        <v>1</v>
      </c>
      <c r="AM116" s="32">
        <f>IF($U116="",0,IF($AL116&gt;1,((IF(1&lt;=$AL116,($AL116-1+3)*(INDEX(Reference!$B$6:$B$11,MIN(5,MATCH(MAX(Reference!$A$6,MIN(Reference!$A$11,MIN($U116,90))),Reference!$A$6:$A$11,1)))+(MAX(Reference!$A$6,MIN(Reference!$A$11,MIN($U116,90)))-INDEX(Reference!$A$6:$A$11,MIN(5,MATCH(MAX(Reference!$A$6,MIN(Reference!$A$11,MIN($U116,90))),Reference!$A$6:$A$11,1))))*(INDEX(Reference!$B$6:$B$11,MIN(5,MATCH(MAX(Reference!$A$6,MIN(Reference!$A$11,MIN($U116,90))),Reference!$A$6:$A$11,1))+1)-INDEX(Reference!$B$6:$B$11,MIN(5,MATCH(MAX(Reference!$A$6,MIN(Reference!$A$11,MIN($U116,90))),Reference!$A$6:$A$11,1))))/(INDEX(Reference!$A$6:$A$11,MIN(5,MATCH(MAX(Reference!$A$6,MIN(Reference!$A$11,MIN($U116,90))),Reference!$A$6:$A$11,1))+1)-INDEX(Reference!$A$6:$A$11,MIN(5,MATCH(MAX(Reference!$A$6,MIN(Reference!$A$11,MIN($U116,90))),Reference!$A$6:$A$11,1))))),0)+IF(2&lt;=$AL116,($AL116-2+3)*(INDEX(Reference!$B$6:$B$11,MIN(5,MATCH(MAX(Reference!$A$6,MIN(Reference!$A$11,MIN($U116,120))),Reference!$A$6:$A$11,1)))+(MAX(Reference!$A$6,MIN(Reference!$A$11,MIN($U116,120)))-INDEX(Reference!$A$6:$A$11,MIN(5,MATCH(MAX(Reference!$A$6,MIN(Reference!$A$11,MIN($U116,120))),Reference!$A$6:$A$11,1))))*(INDEX(Reference!$B$6:$B$11,MIN(5,MATCH(MAX(Reference!$A$6,MIN(Reference!$A$11,MIN($U116,120))),Reference!$A$6:$A$11,1))+1)-INDEX(Reference!$B$6:$B$11,MIN(5,MATCH(MAX(Reference!$A$6,MIN(Reference!$A$11,MIN($U116,120))),Reference!$A$6:$A$11,1))))/(INDEX(Reference!$A$6:$A$11,MIN(5,MATCH(MAX(Reference!$A$6,MIN(Reference!$A$11,MIN($U116,120))),Reference!$A$6:$A$11,1))+1)-INDEX(Reference!$A$6:$A$11,MIN(5,MATCH(MAX(Reference!$A$6,MIN(Reference!$A$11,MIN($U116,120))),Reference!$A$6:$A$11,1))))),0)+IF(3&lt;=$AL116,($AL116-3+3)*(INDEX(Reference!$B$6:$B$11,MIN(5,MATCH(MAX(Reference!$A$6,MIN(Reference!$A$11,MIN($U116,150))),Reference!$A$6:$A$11,1)))+(MAX(Reference!$A$6,MIN(Reference!$A$11,MIN($U116,150)))-INDEX(Reference!$A$6:$A$11,MIN(5,MATCH(MAX(Reference!$A$6,MIN(Reference!$A$11,MIN($U116,150))),Reference!$A$6:$A$11,1))))*(INDEX(Reference!$B$6:$B$11,MIN(5,MATCH(MAX(Reference!$A$6,MIN(Reference!$A$11,MIN($U116,150))),Reference!$A$6:$A$11,1))+1)-INDEX(Reference!$B$6:$B$11,MIN(5,MATCH(MAX(Reference!$A$6,MIN(Reference!$A$11,MIN($U116,150))),Reference!$A$6:$A$11,1))))/(INDEX(Reference!$A$6:$A$11,MIN(5,MATCH(MAX(Reference!$A$6,MIN(Reference!$A$11,MIN($U116,150))),Reference!$A$6:$A$11,1))+1)-INDEX(Reference!$A$6:$A$11,MIN(5,MATCH(MAX(Reference!$A$6,MIN(Reference!$A$11,MIN($U116,150))),Reference!$A$6:$A$11,1))))),0)+IF(4&lt;=$AL116,($AL116-4+3)*(INDEX(Reference!$B$6:$B$11,MIN(5,MATCH(MAX(Reference!$A$6,MIN(Reference!$A$11,MIN($U116,180))),Reference!$A$6:$A$11,1)))+(MAX(Reference!$A$6,MIN(Reference!$A$11,MIN($U116,180)))-INDEX(Reference!$A$6:$A$11,MIN(5,MATCH(MAX(Reference!$A$6,MIN(Reference!$A$11,MIN($U116,180))),Reference!$A$6:$A$11,1))))*(INDEX(Reference!$B$6:$B$11,MIN(5,MATCH(MAX(Reference!$A$6,MIN(Reference!$A$11,MIN($U116,180))),Reference!$A$6:$A$11,1))+1)-INDEX(Reference!$B$6:$B$11,MIN(5,MATCH(MAX(Reference!$A$6,MIN(Reference!$A$11,MIN($U116,180))),Reference!$A$6:$A$11,1))))/(INDEX(Reference!$A$6:$A$11,MIN(5,MATCH(MAX(Reference!$A$6,MIN(Reference!$A$11,MIN($U116,180))),Reference!$A$6:$A$11,1))+1)-INDEX(Reference!$A$6:$A$11,MIN(5,MATCH(MAX(Reference!$A$6,MIN(Reference!$A$11,MIN($U116,180))),Reference!$A$6:$A$11,1))))),0)+IF(5&lt;=$AL116,($AL116-5+3)*(INDEX(Reference!$B$6:$B$11,MIN(5,MATCH(MAX(Reference!$A$6,MIN(Reference!$A$11,MIN($U116,210))),Reference!$A$6:$A$11,1)))+(MAX(Reference!$A$6,MIN(Reference!$A$11,MIN($U116,210)))-INDEX(Reference!$A$6:$A$11,MIN(5,MATCH(MAX(Reference!$A$6,MIN(Reference!$A$11,MIN($U116,210))),Reference!$A$6:$A$11,1))))*(INDEX(Reference!$B$6:$B$11,MIN(5,MATCH(MAX(Reference!$A$6,MIN(Reference!$A$11,MIN($U116,210))),Reference!$A$6:$A$11,1))+1)-INDEX(Reference!$B$6:$B$11,MIN(5,MATCH(MAX(Reference!$A$6,MIN(Reference!$A$11,MIN($U116,210))),Reference!$A$6:$A$11,1))))/(INDEX(Reference!$A$6:$A$11,MIN(5,MATCH(MAX(Reference!$A$6,MIN(Reference!$A$11,MIN($U116,210))),Reference!$A$6:$A$11,1))+1)-INDEX(Reference!$A$6:$A$11,MIN(5,MATCH(MAX(Reference!$A$6,MIN(Reference!$A$11,MIN($U116,210))),Reference!$A$6:$A$11,1))))),0)+IF(6&lt;=$AL116,($AL116-6+3)*(INDEX(Reference!$B$6:$B$11,MIN(5,MATCH(MAX(Reference!$A$6,MIN(Reference!$A$11,MIN($U116,240))),Reference!$A$6:$A$11,1)))+(MAX(Reference!$A$6,MIN(Reference!$A$11,MIN($U116,240)))-INDEX(Reference!$A$6:$A$11,MIN(5,MATCH(MAX(Reference!$A$6,MIN(Reference!$A$11,MIN($U116,240))),Reference!$A$6:$A$11,1))))*(INDEX(Reference!$B$6:$B$11,MIN(5,MATCH(MAX(Reference!$A$6,MIN(Reference!$A$11,MIN($U116,240))),Reference!$A$6:$A$11,1))+1)-INDEX(Reference!$B$6:$B$11,MIN(5,MATCH(MAX(Reference!$A$6,MIN(Reference!$A$11,MIN($U116,240))),Reference!$A$6:$A$11,1))))/(INDEX(Reference!$A$6:$A$11,MIN(5,MATCH(MAX(Reference!$A$6,MIN(Reference!$A$11,MIN($U116,240))),Reference!$A$6:$A$11,1))+1)-INDEX(Reference!$A$6:$A$11,MIN(5,MATCH(MAX(Reference!$A$6,MIN(Reference!$A$11,MIN($U116,240))),Reference!$A$6:$A$11,1))))),0)+IF(7&lt;=$AL116,($AL116-7+3)*(INDEX(Reference!$B$6:$B$11,MIN(5,MATCH(MAX(Reference!$A$6,MIN(Reference!$A$11,MIN($U116,270))),Reference!$A$6:$A$11,1)))+(MAX(Reference!$A$6,MIN(Reference!$A$11,MIN($U116,270)))-INDEX(Reference!$A$6:$A$11,MIN(5,MATCH(MAX(Reference!$A$6,MIN(Reference!$A$11,MIN($U116,270))),Reference!$A$6:$A$11,1))))*(INDEX(Reference!$B$6:$B$11,MIN(5,MATCH(MAX(Reference!$A$6,MIN(Reference!$A$11,MIN($U116,270))),Reference!$A$6:$A$11,1))+1)-INDEX(Reference!$B$6:$B$11,MIN(5,MATCH(MAX(Reference!$A$6,MIN(Reference!$A$11,MIN($U116,270))),Reference!$A$6:$A$11,1))))/(INDEX(Reference!$A$6:$A$11,MIN(5,MATCH(MAX(Reference!$A$6,MIN(Reference!$A$11,MIN($U116,270))),Reference!$A$6:$A$11,1))+1)-INDEX(Reference!$A$6:$A$11,MIN(5,MATCH(MAX(Reference!$A$6,MIN(Reference!$A$11,MIN($U116,270))),Reference!$A$6:$A$11,1))))),0)+IF(8&lt;=$AL116,($AL116-8+3)*(INDEX(Reference!$B$6:$B$11,MIN(5,MATCH(MAX(Reference!$A$6,MIN(Reference!$A$11,MIN($U116,300))),Reference!$A$6:$A$11,1)))+(MAX(Reference!$A$6,MIN(Reference!$A$11,MIN($U116,300)))-INDEX(Reference!$A$6:$A$11,MIN(5,MATCH(MAX(Reference!$A$6,MIN(Reference!$A$11,MIN($U116,300))),Reference!$A$6:$A$11,1))))*(INDEX(Reference!$B$6:$B$11,MIN(5,MATCH(MAX(Reference!$A$6,MIN(Reference!$A$11,MIN($U116,300))),Reference!$A$6:$A$11,1))+1)-INDEX(Reference!$B$6:$B$11,MIN(5,MATCH(MAX(Reference!$A$6,MIN(Reference!$A$11,MIN($U116,300))),Reference!$A$6:$A$11,1))))/(INDEX(Reference!$A$6:$A$11,MIN(5,MATCH(MAX(Reference!$A$6,MIN(Reference!$A$11,MIN($U116,300))),Reference!$A$6:$A$11,1))+1)-INDEX(Reference!$A$6:$A$11,MIN(5,MATCH(MAX(Reference!$A$6,MIN(Reference!$A$11,MIN($U116,300))),Reference!$A$6:$A$11,1))))),0))/($AL116*($AL116+5)/2)),$AN116))</f>
        <v>1.3</v>
      </c>
      <c r="AN116" s="32">
        <f>IF($U116="",0,(INDEX(Reference!$B$6:$B$11,MIN(5,MATCH(MAX(Reference!$A$6,MIN(Reference!$A$11,$U116)),Reference!$A$6:$A$11,1)))+(MAX(Reference!$A$6,MIN(Reference!$A$11,$U116))-INDEX(Reference!$A$6:$A$11,MIN(5,MATCH(MAX(Reference!$A$6,MIN(Reference!$A$11,$U116)),Reference!$A$6:$A$11,1))))*(INDEX(Reference!$B$6:$B$11,MIN(5,MATCH(MAX(Reference!$A$6,MIN(Reference!$A$11,$U116)),Reference!$A$6:$A$11,1))+1)-INDEX(Reference!$B$6:$B$11,MIN(5,MATCH(MAX(Reference!$A$6,MIN(Reference!$A$11,$U116)),Reference!$A$6:$A$11,1))))/(INDEX(Reference!$A$6:$A$11,MIN(5,MATCH(MAX(Reference!$A$6,MIN(Reference!$A$11,$U116)),Reference!$A$6:$A$11,1))+1)-INDEX(Reference!$A$6:$A$11,MIN(5,MATCH(MAX(Reference!$A$6,MIN(Reference!$A$11,$U116)),Reference!$A$6:$A$11,1))))))</f>
        <v>1.3</v>
      </c>
      <c r="AO116" s="37"/>
      <c r="AP116" s="37"/>
      <c r="AQ116" s="37"/>
    </row>
    <row r="117" spans="1:43" x14ac:dyDescent="0.3">
      <c r="A117" s="48">
        <f t="shared" si="55"/>
        <v>46381</v>
      </c>
      <c r="B117" s="32" t="str">
        <f t="shared" si="56"/>
        <v>Fri</v>
      </c>
      <c r="C117" s="32">
        <f t="shared" si="57"/>
        <v>10</v>
      </c>
      <c r="D117" s="32" t="str">
        <f t="shared" si="58"/>
        <v>Flat Ground / Intent</v>
      </c>
      <c r="E117" s="32" t="str">
        <f t="shared" si="59"/>
        <v>Low</v>
      </c>
      <c r="F117" s="32" t="str">
        <f t="shared" si="60"/>
        <v>Recovery/Easy Catch</v>
      </c>
      <c r="G117" s="47" t="str">
        <f t="shared" si="61"/>
        <v>75 ft × 30 @ 67–71 mph</v>
      </c>
      <c r="H117" s="30">
        <f t="shared" si="62"/>
        <v>20.7</v>
      </c>
      <c r="I117" s="46">
        <f>IF($A117="","",IF(AND($L117&lt;27,$K$12=0),"Building",IFERROR(((SUM($H$111:$H117)+$K$12*IF($L117&lt;6,SUMIFS('Throw Log'!$Q$5:$Q$300,'Throw Log'!$B$5:$B$300,$D$4,'Throw Log'!$A$5:$A$300,"&gt;="&amp;($D$6+$L117-6),'Throw Log'!$A$5:$A$300,"&lt;="&amp;($D$6-1)),0))/7)/((SUM($H$90:$H117)+$K$12*IF($L117&lt;27,SUMIFS('Throw Log'!$Q$5:$Q$300,'Throw Log'!$B$5:$B$300,$D$4,'Throw Log'!$A$5:$A$300,"&gt;="&amp;($D$6+$L117-27),'Throw Log'!$A$5:$A$300,"&lt;="&amp;($D$6-1)),0))/28),"")))</f>
        <v>1.1483544390605609</v>
      </c>
      <c r="J117" s="37"/>
      <c r="K117" s="37">
        <v>30</v>
      </c>
      <c r="L117" s="32">
        <v>74</v>
      </c>
      <c r="M117" s="32">
        <f t="shared" si="63"/>
        <v>11</v>
      </c>
      <c r="N117" s="32">
        <f t="shared" si="64"/>
        <v>4</v>
      </c>
      <c r="O117" s="32">
        <f t="shared" si="65"/>
        <v>0.97368421052631582</v>
      </c>
      <c r="P117" s="32">
        <f>IF(OR($A117="",N($C117)&lt;=7),"",$G$6*$G$9^($M117-1)*IF(AND(MOD($M117,Reference!$B$99)=0,$M117&lt;=$G$5-2),Reference!$B$100,1))</f>
        <v>260.00000000000006</v>
      </c>
      <c r="Q117" s="32">
        <f>IF($P117="","",IF(SUM($AK$113:$AK$119)=0,0,$P117*INDEX(Reference!$B$108:$B$114,$N117+1)/SUM($AK$113:$AK$119)))</f>
        <v>24.299065420560751</v>
      </c>
      <c r="R117" s="32">
        <f t="shared" si="66"/>
        <v>180</v>
      </c>
      <c r="S117" s="32">
        <f t="shared" si="67"/>
        <v>150</v>
      </c>
      <c r="T117" s="32" t="str">
        <f>IF($A117="","",IF($C117=0,"Bullpen",IF(OR($C117=7,$C117=1,$C117=5),"Recovery/Easy Catch",IF($C117=6,"Compression/Pulldowns",IF(OR($C117=4,$C117=2),"Long Toss",IF($C117=3,"No Throw",IF($N117=2,"No Throw",IF($N117=6,IF($O117&lt;Reference!$B$104,"No Throw","Recovery/Easy Catch"),IF(OR($N117=0,$N117=4),"Recovery/Easy Catch",IF($N117=1,IF($R117&gt;75,"Long Toss","Recovery/Easy Catch"),IF($N117=3,IF($O117&lt;0.5,IF($S117&gt;75,"Long Toss","Recovery/Easy Catch"),"Compression/Pulldowns"),IF($S117&gt;75,"Long Toss","Recovery/Easy Catch"))))))))))))</f>
        <v>Recovery/Easy Catch</v>
      </c>
      <c r="U117" s="32">
        <f t="shared" si="68"/>
        <v>75</v>
      </c>
      <c r="V117" s="32">
        <f t="shared" si="69"/>
        <v>18</v>
      </c>
      <c r="W117" s="32">
        <f t="shared" si="70"/>
        <v>22</v>
      </c>
      <c r="X117" s="32">
        <f t="shared" si="71"/>
        <v>0</v>
      </c>
      <c r="Y117" s="32" t="str">
        <f t="shared" si="72"/>
        <v/>
      </c>
      <c r="Z117" s="32" t="str">
        <f t="shared" si="73"/>
        <v/>
      </c>
      <c r="AA117" s="32" t="str">
        <f t="shared" si="74"/>
        <v/>
      </c>
      <c r="AB117" s="32">
        <f>IF($A117="","",IF($T117="No Throw",0,IF($K117&lt;&gt;"",$K117,IF($AA117&lt;&gt;"",ROUND($AA117*$D$12*IF($C117=0,1,$G$10),0),MIN(IF($T117="Recovery/Easy Catch",Reference!$B$103,IF($T117="Long Toss",Reference!$B$106,Reference!$B$102)),MAX(Reference!$B$101,ROUND(MAX(0,$Q117-$AE117)/$AF117,0)))))))</f>
        <v>30</v>
      </c>
      <c r="AC117" s="32">
        <f t="shared" si="75"/>
        <v>0</v>
      </c>
      <c r="AD117" s="32" t="b">
        <f t="shared" si="76"/>
        <v>0</v>
      </c>
      <c r="AE117" s="32">
        <f>IF($X117=0,0,$X117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117+$Z117)/2,0),Reference!$A$17:$B$20,2,TRUE()))</f>
        <v>0</v>
      </c>
      <c r="AF117" s="32">
        <f>IF(OR($A117="",$U117="",$T117="No Throw"),0,$AM117*VLOOKUP(MAX(($V117+$W117)/2,0),Reference!$A$17:$B$20,2,TRUE()))</f>
        <v>0.69</v>
      </c>
      <c r="AG117" s="32">
        <f>IF($AC117=0,0,$AC117*INDEX(Reference!$B$61:$B$62,MATCH("Bullpen",Reference!$A$61:$A$62,0))*VLOOKUP(MAX($D$5-($D$9+$E$9)/2,0),Reference!$A$17:$B$20,2,TRUE()))</f>
        <v>0</v>
      </c>
      <c r="AH117" s="46">
        <f t="shared" si="77"/>
        <v>1.1483544390605609</v>
      </c>
      <c r="AI117" s="32">
        <f>IF($A117="",NA(),Reference!$A$25)</f>
        <v>0.8</v>
      </c>
      <c r="AJ117" s="32">
        <f t="shared" si="78"/>
        <v>1.3</v>
      </c>
      <c r="AK117" s="56">
        <f>IF(OR($A117="",N($C117)&lt;=7,$T117="No Throw",$J117="x"),0,INDEX(Reference!$B$108:$B$114,$N117+1))</f>
        <v>0.1</v>
      </c>
      <c r="AL117" s="32">
        <f t="shared" si="79"/>
        <v>1</v>
      </c>
      <c r="AM117" s="32">
        <f>IF($U117="",0,IF($AL117&gt;1,((IF(1&lt;=$AL117,($AL117-1+3)*(INDEX(Reference!$B$6:$B$11,MIN(5,MATCH(MAX(Reference!$A$6,MIN(Reference!$A$11,MIN($U117,90))),Reference!$A$6:$A$11,1)))+(MAX(Reference!$A$6,MIN(Reference!$A$11,MIN($U117,90)))-INDEX(Reference!$A$6:$A$11,MIN(5,MATCH(MAX(Reference!$A$6,MIN(Reference!$A$11,MIN($U117,90))),Reference!$A$6:$A$11,1))))*(INDEX(Reference!$B$6:$B$11,MIN(5,MATCH(MAX(Reference!$A$6,MIN(Reference!$A$11,MIN($U117,90))),Reference!$A$6:$A$11,1))+1)-INDEX(Reference!$B$6:$B$11,MIN(5,MATCH(MAX(Reference!$A$6,MIN(Reference!$A$11,MIN($U117,90))),Reference!$A$6:$A$11,1))))/(INDEX(Reference!$A$6:$A$11,MIN(5,MATCH(MAX(Reference!$A$6,MIN(Reference!$A$11,MIN($U117,90))),Reference!$A$6:$A$11,1))+1)-INDEX(Reference!$A$6:$A$11,MIN(5,MATCH(MAX(Reference!$A$6,MIN(Reference!$A$11,MIN($U117,90))),Reference!$A$6:$A$11,1))))),0)+IF(2&lt;=$AL117,($AL117-2+3)*(INDEX(Reference!$B$6:$B$11,MIN(5,MATCH(MAX(Reference!$A$6,MIN(Reference!$A$11,MIN($U117,120))),Reference!$A$6:$A$11,1)))+(MAX(Reference!$A$6,MIN(Reference!$A$11,MIN($U117,120)))-INDEX(Reference!$A$6:$A$11,MIN(5,MATCH(MAX(Reference!$A$6,MIN(Reference!$A$11,MIN($U117,120))),Reference!$A$6:$A$11,1))))*(INDEX(Reference!$B$6:$B$11,MIN(5,MATCH(MAX(Reference!$A$6,MIN(Reference!$A$11,MIN($U117,120))),Reference!$A$6:$A$11,1))+1)-INDEX(Reference!$B$6:$B$11,MIN(5,MATCH(MAX(Reference!$A$6,MIN(Reference!$A$11,MIN($U117,120))),Reference!$A$6:$A$11,1))))/(INDEX(Reference!$A$6:$A$11,MIN(5,MATCH(MAX(Reference!$A$6,MIN(Reference!$A$11,MIN($U117,120))),Reference!$A$6:$A$11,1))+1)-INDEX(Reference!$A$6:$A$11,MIN(5,MATCH(MAX(Reference!$A$6,MIN(Reference!$A$11,MIN($U117,120))),Reference!$A$6:$A$11,1))))),0)+IF(3&lt;=$AL117,($AL117-3+3)*(INDEX(Reference!$B$6:$B$11,MIN(5,MATCH(MAX(Reference!$A$6,MIN(Reference!$A$11,MIN($U117,150))),Reference!$A$6:$A$11,1)))+(MAX(Reference!$A$6,MIN(Reference!$A$11,MIN($U117,150)))-INDEX(Reference!$A$6:$A$11,MIN(5,MATCH(MAX(Reference!$A$6,MIN(Reference!$A$11,MIN($U117,150))),Reference!$A$6:$A$11,1))))*(INDEX(Reference!$B$6:$B$11,MIN(5,MATCH(MAX(Reference!$A$6,MIN(Reference!$A$11,MIN($U117,150))),Reference!$A$6:$A$11,1))+1)-INDEX(Reference!$B$6:$B$11,MIN(5,MATCH(MAX(Reference!$A$6,MIN(Reference!$A$11,MIN($U117,150))),Reference!$A$6:$A$11,1))))/(INDEX(Reference!$A$6:$A$11,MIN(5,MATCH(MAX(Reference!$A$6,MIN(Reference!$A$11,MIN($U117,150))),Reference!$A$6:$A$11,1))+1)-INDEX(Reference!$A$6:$A$11,MIN(5,MATCH(MAX(Reference!$A$6,MIN(Reference!$A$11,MIN($U117,150))),Reference!$A$6:$A$11,1))))),0)+IF(4&lt;=$AL117,($AL117-4+3)*(INDEX(Reference!$B$6:$B$11,MIN(5,MATCH(MAX(Reference!$A$6,MIN(Reference!$A$11,MIN($U117,180))),Reference!$A$6:$A$11,1)))+(MAX(Reference!$A$6,MIN(Reference!$A$11,MIN($U117,180)))-INDEX(Reference!$A$6:$A$11,MIN(5,MATCH(MAX(Reference!$A$6,MIN(Reference!$A$11,MIN($U117,180))),Reference!$A$6:$A$11,1))))*(INDEX(Reference!$B$6:$B$11,MIN(5,MATCH(MAX(Reference!$A$6,MIN(Reference!$A$11,MIN($U117,180))),Reference!$A$6:$A$11,1))+1)-INDEX(Reference!$B$6:$B$11,MIN(5,MATCH(MAX(Reference!$A$6,MIN(Reference!$A$11,MIN($U117,180))),Reference!$A$6:$A$11,1))))/(INDEX(Reference!$A$6:$A$11,MIN(5,MATCH(MAX(Reference!$A$6,MIN(Reference!$A$11,MIN($U117,180))),Reference!$A$6:$A$11,1))+1)-INDEX(Reference!$A$6:$A$11,MIN(5,MATCH(MAX(Reference!$A$6,MIN(Reference!$A$11,MIN($U117,180))),Reference!$A$6:$A$11,1))))),0)+IF(5&lt;=$AL117,($AL117-5+3)*(INDEX(Reference!$B$6:$B$11,MIN(5,MATCH(MAX(Reference!$A$6,MIN(Reference!$A$11,MIN($U117,210))),Reference!$A$6:$A$11,1)))+(MAX(Reference!$A$6,MIN(Reference!$A$11,MIN($U117,210)))-INDEX(Reference!$A$6:$A$11,MIN(5,MATCH(MAX(Reference!$A$6,MIN(Reference!$A$11,MIN($U117,210))),Reference!$A$6:$A$11,1))))*(INDEX(Reference!$B$6:$B$11,MIN(5,MATCH(MAX(Reference!$A$6,MIN(Reference!$A$11,MIN($U117,210))),Reference!$A$6:$A$11,1))+1)-INDEX(Reference!$B$6:$B$11,MIN(5,MATCH(MAX(Reference!$A$6,MIN(Reference!$A$11,MIN($U117,210))),Reference!$A$6:$A$11,1))))/(INDEX(Reference!$A$6:$A$11,MIN(5,MATCH(MAX(Reference!$A$6,MIN(Reference!$A$11,MIN($U117,210))),Reference!$A$6:$A$11,1))+1)-INDEX(Reference!$A$6:$A$11,MIN(5,MATCH(MAX(Reference!$A$6,MIN(Reference!$A$11,MIN($U117,210))),Reference!$A$6:$A$11,1))))),0)+IF(6&lt;=$AL117,($AL117-6+3)*(INDEX(Reference!$B$6:$B$11,MIN(5,MATCH(MAX(Reference!$A$6,MIN(Reference!$A$11,MIN($U117,240))),Reference!$A$6:$A$11,1)))+(MAX(Reference!$A$6,MIN(Reference!$A$11,MIN($U117,240)))-INDEX(Reference!$A$6:$A$11,MIN(5,MATCH(MAX(Reference!$A$6,MIN(Reference!$A$11,MIN($U117,240))),Reference!$A$6:$A$11,1))))*(INDEX(Reference!$B$6:$B$11,MIN(5,MATCH(MAX(Reference!$A$6,MIN(Reference!$A$11,MIN($U117,240))),Reference!$A$6:$A$11,1))+1)-INDEX(Reference!$B$6:$B$11,MIN(5,MATCH(MAX(Reference!$A$6,MIN(Reference!$A$11,MIN($U117,240))),Reference!$A$6:$A$11,1))))/(INDEX(Reference!$A$6:$A$11,MIN(5,MATCH(MAX(Reference!$A$6,MIN(Reference!$A$11,MIN($U117,240))),Reference!$A$6:$A$11,1))+1)-INDEX(Reference!$A$6:$A$11,MIN(5,MATCH(MAX(Reference!$A$6,MIN(Reference!$A$11,MIN($U117,240))),Reference!$A$6:$A$11,1))))),0)+IF(7&lt;=$AL117,($AL117-7+3)*(INDEX(Reference!$B$6:$B$11,MIN(5,MATCH(MAX(Reference!$A$6,MIN(Reference!$A$11,MIN($U117,270))),Reference!$A$6:$A$11,1)))+(MAX(Reference!$A$6,MIN(Reference!$A$11,MIN($U117,270)))-INDEX(Reference!$A$6:$A$11,MIN(5,MATCH(MAX(Reference!$A$6,MIN(Reference!$A$11,MIN($U117,270))),Reference!$A$6:$A$11,1))))*(INDEX(Reference!$B$6:$B$11,MIN(5,MATCH(MAX(Reference!$A$6,MIN(Reference!$A$11,MIN($U117,270))),Reference!$A$6:$A$11,1))+1)-INDEX(Reference!$B$6:$B$11,MIN(5,MATCH(MAX(Reference!$A$6,MIN(Reference!$A$11,MIN($U117,270))),Reference!$A$6:$A$11,1))))/(INDEX(Reference!$A$6:$A$11,MIN(5,MATCH(MAX(Reference!$A$6,MIN(Reference!$A$11,MIN($U117,270))),Reference!$A$6:$A$11,1))+1)-INDEX(Reference!$A$6:$A$11,MIN(5,MATCH(MAX(Reference!$A$6,MIN(Reference!$A$11,MIN($U117,270))),Reference!$A$6:$A$11,1))))),0)+IF(8&lt;=$AL117,($AL117-8+3)*(INDEX(Reference!$B$6:$B$11,MIN(5,MATCH(MAX(Reference!$A$6,MIN(Reference!$A$11,MIN($U117,300))),Reference!$A$6:$A$11,1)))+(MAX(Reference!$A$6,MIN(Reference!$A$11,MIN($U117,300)))-INDEX(Reference!$A$6:$A$11,MIN(5,MATCH(MAX(Reference!$A$6,MIN(Reference!$A$11,MIN($U117,300))),Reference!$A$6:$A$11,1))))*(INDEX(Reference!$B$6:$B$11,MIN(5,MATCH(MAX(Reference!$A$6,MIN(Reference!$A$11,MIN($U117,300))),Reference!$A$6:$A$11,1))+1)-INDEX(Reference!$B$6:$B$11,MIN(5,MATCH(MAX(Reference!$A$6,MIN(Reference!$A$11,MIN($U117,300))),Reference!$A$6:$A$11,1))))/(INDEX(Reference!$A$6:$A$11,MIN(5,MATCH(MAX(Reference!$A$6,MIN(Reference!$A$11,MIN($U117,300))),Reference!$A$6:$A$11,1))+1)-INDEX(Reference!$A$6:$A$11,MIN(5,MATCH(MAX(Reference!$A$6,MIN(Reference!$A$11,MIN($U117,300))),Reference!$A$6:$A$11,1))))),0))/($AL117*($AL117+5)/2)),$AN117))</f>
        <v>1.1499999999999999</v>
      </c>
      <c r="AN117" s="32">
        <f>IF($U117="",0,(INDEX(Reference!$B$6:$B$11,MIN(5,MATCH(MAX(Reference!$A$6,MIN(Reference!$A$11,$U117)),Reference!$A$6:$A$11,1)))+(MAX(Reference!$A$6,MIN(Reference!$A$11,$U117))-INDEX(Reference!$A$6:$A$11,MIN(5,MATCH(MAX(Reference!$A$6,MIN(Reference!$A$11,$U117)),Reference!$A$6:$A$11,1))))*(INDEX(Reference!$B$6:$B$11,MIN(5,MATCH(MAX(Reference!$A$6,MIN(Reference!$A$11,$U117)),Reference!$A$6:$A$11,1))+1)-INDEX(Reference!$B$6:$B$11,MIN(5,MATCH(MAX(Reference!$A$6,MIN(Reference!$A$11,$U117)),Reference!$A$6:$A$11,1))))/(INDEX(Reference!$A$6:$A$11,MIN(5,MATCH(MAX(Reference!$A$6,MIN(Reference!$A$11,$U117)),Reference!$A$6:$A$11,1))+1)-INDEX(Reference!$A$6:$A$11,MIN(5,MATCH(MAX(Reference!$A$6,MIN(Reference!$A$11,$U117)),Reference!$A$6:$A$11,1))))))</f>
        <v>1.1499999999999999</v>
      </c>
      <c r="AO117" s="37"/>
      <c r="AP117" s="37"/>
      <c r="AQ117" s="37"/>
    </row>
    <row r="118" spans="1:43" ht="26.4" x14ac:dyDescent="0.3">
      <c r="A118" s="48">
        <f t="shared" si="55"/>
        <v>46382</v>
      </c>
      <c r="B118" s="32" t="str">
        <f t="shared" si="56"/>
        <v>Sat</v>
      </c>
      <c r="C118" s="32">
        <f t="shared" si="57"/>
        <v>9</v>
      </c>
      <c r="D118" s="32" t="str">
        <f t="shared" si="58"/>
        <v>Flat Ground / Intent</v>
      </c>
      <c r="E118" s="32" t="str">
        <f t="shared" si="59"/>
        <v>High Non-Bullpen</v>
      </c>
      <c r="F118" s="32" t="str">
        <f t="shared" si="60"/>
        <v>Long Toss</v>
      </c>
      <c r="G118" s="47" t="str">
        <f t="shared" si="61"/>
        <v>Long toss out to 150 ft — 30 throws (90×13 · 120×10 · 150×7) @ 76–79 mph + flat ground at 60 ft × 25 @ 80–82 mph</v>
      </c>
      <c r="H118" s="30">
        <f t="shared" si="62"/>
        <v>54.85</v>
      </c>
      <c r="I118" s="46">
        <f>IF($A118="","",IF(AND($L118&lt;27,$K$12=0),"Building",IFERROR(((SUM($H$112:$H118)+$K$12*IF($L118&lt;6,SUMIFS('Throw Log'!$Q$5:$Q$300,'Throw Log'!$B$5:$B$300,$D$4,'Throw Log'!$A$5:$A$300,"&gt;="&amp;($D$6+$L118-6),'Throw Log'!$A$5:$A$300,"&lt;="&amp;($D$6-1)),0))/7)/((SUM($H$91:$H118)+$K$12*IF($L118&lt;27,SUMIFS('Throw Log'!$Q$5:$Q$300,'Throw Log'!$B$5:$B$300,$D$4,'Throw Log'!$A$5:$A$300,"&gt;="&amp;($D$6+$L118-27),'Throw Log'!$A$5:$A$300,"&lt;="&amp;($D$6-1)),0))/28),"")))</f>
        <v>1.1007653804832138</v>
      </c>
      <c r="J118" s="37"/>
      <c r="K118" s="37">
        <v>30</v>
      </c>
      <c r="L118" s="32">
        <v>75</v>
      </c>
      <c r="M118" s="32">
        <f t="shared" si="63"/>
        <v>11</v>
      </c>
      <c r="N118" s="32">
        <f t="shared" si="64"/>
        <v>5</v>
      </c>
      <c r="O118" s="32">
        <f t="shared" si="65"/>
        <v>0.98684210526315785</v>
      </c>
      <c r="P118" s="32">
        <f>IF(OR($A118="",N($C118)&lt;=7),"",$G$6*$G$9^($M118-1)*IF(AND(MOD($M118,Reference!$B$99)=0,$M118&lt;=$G$5-2),Reference!$B$100,1))</f>
        <v>260.00000000000006</v>
      </c>
      <c r="Q118" s="32">
        <f>IF($P118="","",IF(SUM($AK$113:$AK$119)=0,0,$P118*INDEX(Reference!$B$108:$B$114,$N118+1)/SUM($AK$113:$AK$119)))</f>
        <v>65.607476635514033</v>
      </c>
      <c r="R118" s="32">
        <f t="shared" si="66"/>
        <v>180</v>
      </c>
      <c r="S118" s="32">
        <f t="shared" si="67"/>
        <v>150</v>
      </c>
      <c r="T118" s="32" t="str">
        <f>IF($A118="","",IF($C118=0,"Bullpen",IF(OR($C118=7,$C118=1,$C118=5),"Recovery/Easy Catch",IF($C118=6,"Compression/Pulldowns",IF(OR($C118=4,$C118=2),"Long Toss",IF($C118=3,"No Throw",IF($N118=2,"No Throw",IF($N118=6,IF($O118&lt;Reference!$B$104,"No Throw","Recovery/Easy Catch"),IF(OR($N118=0,$N118=4),"Recovery/Easy Catch",IF($N118=1,IF($R118&gt;75,"Long Toss","Recovery/Easy Catch"),IF($N118=3,IF($O118&lt;0.5,IF($S118&gt;75,"Long Toss","Recovery/Easy Catch"),"Compression/Pulldowns"),IF($S118&gt;75,"Long Toss","Recovery/Easy Catch"))))))))))))</f>
        <v>Long Toss</v>
      </c>
      <c r="U118" s="32">
        <f t="shared" si="68"/>
        <v>150</v>
      </c>
      <c r="V118" s="32">
        <f t="shared" si="69"/>
        <v>10</v>
      </c>
      <c r="W118" s="32">
        <f t="shared" si="70"/>
        <v>13</v>
      </c>
      <c r="X118" s="32">
        <f t="shared" si="71"/>
        <v>25</v>
      </c>
      <c r="Y118" s="32">
        <f t="shared" si="72"/>
        <v>7</v>
      </c>
      <c r="Z118" s="32">
        <f t="shared" si="73"/>
        <v>9</v>
      </c>
      <c r="AA118" s="32" t="str">
        <f t="shared" si="74"/>
        <v/>
      </c>
      <c r="AB118" s="32">
        <f>IF($A118="","",IF($T118="No Throw",0,IF($K118&lt;&gt;"",$K118,IF($AA118&lt;&gt;"",ROUND($AA118*$D$12*IF($C118=0,1,$G$10),0),MIN(IF($T118="Recovery/Easy Catch",Reference!$B$103,IF($T118="Long Toss",Reference!$B$106,Reference!$B$102)),MAX(Reference!$B$101,ROUND(MAX(0,$Q118-$AE118)/$AF118,0)))))))</f>
        <v>30</v>
      </c>
      <c r="AC118" s="32">
        <f t="shared" si="75"/>
        <v>0</v>
      </c>
      <c r="AD118" s="32" t="b">
        <f t="shared" si="76"/>
        <v>0</v>
      </c>
      <c r="AE118" s="32">
        <f>IF($X118=0,0,$X118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118+$Z118)/2,0),Reference!$A$17:$B$20,2,TRUE()))</f>
        <v>25</v>
      </c>
      <c r="AF118" s="32">
        <f>IF(OR($A118="",$U118="",$T118="No Throw"),0,$AM118*VLOOKUP(MAX(($V118+$W118)/2,0),Reference!$A$17:$B$20,2,TRUE()))</f>
        <v>0.995</v>
      </c>
      <c r="AG118" s="32">
        <f>IF($AC118=0,0,$AC118*INDEX(Reference!$B$61:$B$62,MATCH("Bullpen",Reference!$A$61:$A$62,0))*VLOOKUP(MAX($D$5-($D$9+$E$9)/2,0),Reference!$A$17:$B$20,2,TRUE()))</f>
        <v>0</v>
      </c>
      <c r="AH118" s="46">
        <f t="shared" si="77"/>
        <v>1.1007653804832138</v>
      </c>
      <c r="AI118" s="32">
        <f>IF($A118="",NA(),Reference!$A$25)</f>
        <v>0.8</v>
      </c>
      <c r="AJ118" s="32">
        <f t="shared" si="78"/>
        <v>1.3</v>
      </c>
      <c r="AK118" s="56">
        <f>IF(OR($A118="",N($C118)&lt;=7,$T118="No Throw",$J118="x"),0,INDEX(Reference!$B$108:$B$114,$N118+1))</f>
        <v>0.27</v>
      </c>
      <c r="AL118" s="32">
        <f t="shared" si="79"/>
        <v>3</v>
      </c>
      <c r="AM118" s="32">
        <f>IF($U118="",0,IF($AL118&gt;1,((IF(1&lt;=$AL118,($AL118-1+3)*(INDEX(Reference!$B$6:$B$11,MIN(5,MATCH(MAX(Reference!$A$6,MIN(Reference!$A$11,MIN($U118,90))),Reference!$A$6:$A$11,1)))+(MAX(Reference!$A$6,MIN(Reference!$A$11,MIN($U118,90)))-INDEX(Reference!$A$6:$A$11,MIN(5,MATCH(MAX(Reference!$A$6,MIN(Reference!$A$11,MIN($U118,90))),Reference!$A$6:$A$11,1))))*(INDEX(Reference!$B$6:$B$11,MIN(5,MATCH(MAX(Reference!$A$6,MIN(Reference!$A$11,MIN($U118,90))),Reference!$A$6:$A$11,1))+1)-INDEX(Reference!$B$6:$B$11,MIN(5,MATCH(MAX(Reference!$A$6,MIN(Reference!$A$11,MIN($U118,90))),Reference!$A$6:$A$11,1))))/(INDEX(Reference!$A$6:$A$11,MIN(5,MATCH(MAX(Reference!$A$6,MIN(Reference!$A$11,MIN($U118,90))),Reference!$A$6:$A$11,1))+1)-INDEX(Reference!$A$6:$A$11,MIN(5,MATCH(MAX(Reference!$A$6,MIN(Reference!$A$11,MIN($U118,90))),Reference!$A$6:$A$11,1))))),0)+IF(2&lt;=$AL118,($AL118-2+3)*(INDEX(Reference!$B$6:$B$11,MIN(5,MATCH(MAX(Reference!$A$6,MIN(Reference!$A$11,MIN($U118,120))),Reference!$A$6:$A$11,1)))+(MAX(Reference!$A$6,MIN(Reference!$A$11,MIN($U118,120)))-INDEX(Reference!$A$6:$A$11,MIN(5,MATCH(MAX(Reference!$A$6,MIN(Reference!$A$11,MIN($U118,120))),Reference!$A$6:$A$11,1))))*(INDEX(Reference!$B$6:$B$11,MIN(5,MATCH(MAX(Reference!$A$6,MIN(Reference!$A$11,MIN($U118,120))),Reference!$A$6:$A$11,1))+1)-INDEX(Reference!$B$6:$B$11,MIN(5,MATCH(MAX(Reference!$A$6,MIN(Reference!$A$11,MIN($U118,120))),Reference!$A$6:$A$11,1))))/(INDEX(Reference!$A$6:$A$11,MIN(5,MATCH(MAX(Reference!$A$6,MIN(Reference!$A$11,MIN($U118,120))),Reference!$A$6:$A$11,1))+1)-INDEX(Reference!$A$6:$A$11,MIN(5,MATCH(MAX(Reference!$A$6,MIN(Reference!$A$11,MIN($U118,120))),Reference!$A$6:$A$11,1))))),0)+IF(3&lt;=$AL118,($AL118-3+3)*(INDEX(Reference!$B$6:$B$11,MIN(5,MATCH(MAX(Reference!$A$6,MIN(Reference!$A$11,MIN($U118,150))),Reference!$A$6:$A$11,1)))+(MAX(Reference!$A$6,MIN(Reference!$A$11,MIN($U118,150)))-INDEX(Reference!$A$6:$A$11,MIN(5,MATCH(MAX(Reference!$A$6,MIN(Reference!$A$11,MIN($U118,150))),Reference!$A$6:$A$11,1))))*(INDEX(Reference!$B$6:$B$11,MIN(5,MATCH(MAX(Reference!$A$6,MIN(Reference!$A$11,MIN($U118,150))),Reference!$A$6:$A$11,1))+1)-INDEX(Reference!$B$6:$B$11,MIN(5,MATCH(MAX(Reference!$A$6,MIN(Reference!$A$11,MIN($U118,150))),Reference!$A$6:$A$11,1))))/(INDEX(Reference!$A$6:$A$11,MIN(5,MATCH(MAX(Reference!$A$6,MIN(Reference!$A$11,MIN($U118,150))),Reference!$A$6:$A$11,1))+1)-INDEX(Reference!$A$6:$A$11,MIN(5,MATCH(MAX(Reference!$A$6,MIN(Reference!$A$11,MIN($U118,150))),Reference!$A$6:$A$11,1))))),0)+IF(4&lt;=$AL118,($AL118-4+3)*(INDEX(Reference!$B$6:$B$11,MIN(5,MATCH(MAX(Reference!$A$6,MIN(Reference!$A$11,MIN($U118,180))),Reference!$A$6:$A$11,1)))+(MAX(Reference!$A$6,MIN(Reference!$A$11,MIN($U118,180)))-INDEX(Reference!$A$6:$A$11,MIN(5,MATCH(MAX(Reference!$A$6,MIN(Reference!$A$11,MIN($U118,180))),Reference!$A$6:$A$11,1))))*(INDEX(Reference!$B$6:$B$11,MIN(5,MATCH(MAX(Reference!$A$6,MIN(Reference!$A$11,MIN($U118,180))),Reference!$A$6:$A$11,1))+1)-INDEX(Reference!$B$6:$B$11,MIN(5,MATCH(MAX(Reference!$A$6,MIN(Reference!$A$11,MIN($U118,180))),Reference!$A$6:$A$11,1))))/(INDEX(Reference!$A$6:$A$11,MIN(5,MATCH(MAX(Reference!$A$6,MIN(Reference!$A$11,MIN($U118,180))),Reference!$A$6:$A$11,1))+1)-INDEX(Reference!$A$6:$A$11,MIN(5,MATCH(MAX(Reference!$A$6,MIN(Reference!$A$11,MIN($U118,180))),Reference!$A$6:$A$11,1))))),0)+IF(5&lt;=$AL118,($AL118-5+3)*(INDEX(Reference!$B$6:$B$11,MIN(5,MATCH(MAX(Reference!$A$6,MIN(Reference!$A$11,MIN($U118,210))),Reference!$A$6:$A$11,1)))+(MAX(Reference!$A$6,MIN(Reference!$A$11,MIN($U118,210)))-INDEX(Reference!$A$6:$A$11,MIN(5,MATCH(MAX(Reference!$A$6,MIN(Reference!$A$11,MIN($U118,210))),Reference!$A$6:$A$11,1))))*(INDEX(Reference!$B$6:$B$11,MIN(5,MATCH(MAX(Reference!$A$6,MIN(Reference!$A$11,MIN($U118,210))),Reference!$A$6:$A$11,1))+1)-INDEX(Reference!$B$6:$B$11,MIN(5,MATCH(MAX(Reference!$A$6,MIN(Reference!$A$11,MIN($U118,210))),Reference!$A$6:$A$11,1))))/(INDEX(Reference!$A$6:$A$11,MIN(5,MATCH(MAX(Reference!$A$6,MIN(Reference!$A$11,MIN($U118,210))),Reference!$A$6:$A$11,1))+1)-INDEX(Reference!$A$6:$A$11,MIN(5,MATCH(MAX(Reference!$A$6,MIN(Reference!$A$11,MIN($U118,210))),Reference!$A$6:$A$11,1))))),0)+IF(6&lt;=$AL118,($AL118-6+3)*(INDEX(Reference!$B$6:$B$11,MIN(5,MATCH(MAX(Reference!$A$6,MIN(Reference!$A$11,MIN($U118,240))),Reference!$A$6:$A$11,1)))+(MAX(Reference!$A$6,MIN(Reference!$A$11,MIN($U118,240)))-INDEX(Reference!$A$6:$A$11,MIN(5,MATCH(MAX(Reference!$A$6,MIN(Reference!$A$11,MIN($U118,240))),Reference!$A$6:$A$11,1))))*(INDEX(Reference!$B$6:$B$11,MIN(5,MATCH(MAX(Reference!$A$6,MIN(Reference!$A$11,MIN($U118,240))),Reference!$A$6:$A$11,1))+1)-INDEX(Reference!$B$6:$B$11,MIN(5,MATCH(MAX(Reference!$A$6,MIN(Reference!$A$11,MIN($U118,240))),Reference!$A$6:$A$11,1))))/(INDEX(Reference!$A$6:$A$11,MIN(5,MATCH(MAX(Reference!$A$6,MIN(Reference!$A$11,MIN($U118,240))),Reference!$A$6:$A$11,1))+1)-INDEX(Reference!$A$6:$A$11,MIN(5,MATCH(MAX(Reference!$A$6,MIN(Reference!$A$11,MIN($U118,240))),Reference!$A$6:$A$11,1))))),0)+IF(7&lt;=$AL118,($AL118-7+3)*(INDEX(Reference!$B$6:$B$11,MIN(5,MATCH(MAX(Reference!$A$6,MIN(Reference!$A$11,MIN($U118,270))),Reference!$A$6:$A$11,1)))+(MAX(Reference!$A$6,MIN(Reference!$A$11,MIN($U118,270)))-INDEX(Reference!$A$6:$A$11,MIN(5,MATCH(MAX(Reference!$A$6,MIN(Reference!$A$11,MIN($U118,270))),Reference!$A$6:$A$11,1))))*(INDEX(Reference!$B$6:$B$11,MIN(5,MATCH(MAX(Reference!$A$6,MIN(Reference!$A$11,MIN($U118,270))),Reference!$A$6:$A$11,1))+1)-INDEX(Reference!$B$6:$B$11,MIN(5,MATCH(MAX(Reference!$A$6,MIN(Reference!$A$11,MIN($U118,270))),Reference!$A$6:$A$11,1))))/(INDEX(Reference!$A$6:$A$11,MIN(5,MATCH(MAX(Reference!$A$6,MIN(Reference!$A$11,MIN($U118,270))),Reference!$A$6:$A$11,1))+1)-INDEX(Reference!$A$6:$A$11,MIN(5,MATCH(MAX(Reference!$A$6,MIN(Reference!$A$11,MIN($U118,270))),Reference!$A$6:$A$11,1))))),0)+IF(8&lt;=$AL118,($AL118-8+3)*(INDEX(Reference!$B$6:$B$11,MIN(5,MATCH(MAX(Reference!$A$6,MIN(Reference!$A$11,MIN($U118,300))),Reference!$A$6:$A$11,1)))+(MAX(Reference!$A$6,MIN(Reference!$A$11,MIN($U118,300)))-INDEX(Reference!$A$6:$A$11,MIN(5,MATCH(MAX(Reference!$A$6,MIN(Reference!$A$11,MIN($U118,300))),Reference!$A$6:$A$11,1))))*(INDEX(Reference!$B$6:$B$11,MIN(5,MATCH(MAX(Reference!$A$6,MIN(Reference!$A$11,MIN($U118,300))),Reference!$A$6:$A$11,1))+1)-INDEX(Reference!$B$6:$B$11,MIN(5,MATCH(MAX(Reference!$A$6,MIN(Reference!$A$11,MIN($U118,300))),Reference!$A$6:$A$11,1))))/(INDEX(Reference!$A$6:$A$11,MIN(5,MATCH(MAX(Reference!$A$6,MIN(Reference!$A$11,MIN($U118,300))),Reference!$A$6:$A$11,1))+1)-INDEX(Reference!$A$6:$A$11,MIN(5,MATCH(MAX(Reference!$A$6,MIN(Reference!$A$11,MIN($U118,300))),Reference!$A$6:$A$11,1))))),0))/($AL118*($AL118+5)/2)),$AN118))</f>
        <v>1.6583333333333334</v>
      </c>
      <c r="AN118" s="32">
        <f>IF($U118="",0,(INDEX(Reference!$B$6:$B$11,MIN(5,MATCH(MAX(Reference!$A$6,MIN(Reference!$A$11,$U118)),Reference!$A$6:$A$11,1)))+(MAX(Reference!$A$6,MIN(Reference!$A$11,$U118))-INDEX(Reference!$A$6:$A$11,MIN(5,MATCH(MAX(Reference!$A$6,MIN(Reference!$A$11,$U118)),Reference!$A$6:$A$11,1))))*(INDEX(Reference!$B$6:$B$11,MIN(5,MATCH(MAX(Reference!$A$6,MIN(Reference!$A$11,$U118)),Reference!$A$6:$A$11,1))+1)-INDEX(Reference!$B$6:$B$11,MIN(5,MATCH(MAX(Reference!$A$6,MIN(Reference!$A$11,$U118)),Reference!$A$6:$A$11,1))))/(INDEX(Reference!$A$6:$A$11,MIN(5,MATCH(MAX(Reference!$A$6,MIN(Reference!$A$11,$U118)),Reference!$A$6:$A$11,1))+1)-INDEX(Reference!$A$6:$A$11,MIN(5,MATCH(MAX(Reference!$A$6,MIN(Reference!$A$11,$U118)),Reference!$A$6:$A$11,1))))))</f>
        <v>2.2000000000000002</v>
      </c>
      <c r="AO118" s="37"/>
      <c r="AP118" s="37"/>
      <c r="AQ118" s="37"/>
    </row>
    <row r="119" spans="1:43" x14ac:dyDescent="0.3">
      <c r="A119" s="48">
        <f t="shared" si="55"/>
        <v>46383</v>
      </c>
      <c r="B119" s="32" t="str">
        <f t="shared" si="56"/>
        <v>Sun</v>
      </c>
      <c r="C119" s="32">
        <f t="shared" si="57"/>
        <v>8</v>
      </c>
      <c r="D119" s="32" t="str">
        <f t="shared" si="58"/>
        <v>Flat Ground / Intent</v>
      </c>
      <c r="E119" s="32" t="str">
        <f t="shared" si="59"/>
        <v>Low</v>
      </c>
      <c r="F119" s="32" t="str">
        <f t="shared" si="60"/>
        <v>Recovery/Easy Catch</v>
      </c>
      <c r="G119" s="47" t="str">
        <f t="shared" si="61"/>
        <v>60 ft × 30 @ 65–69 mph</v>
      </c>
      <c r="H119" s="30">
        <f t="shared" si="62"/>
        <v>18</v>
      </c>
      <c r="I119" s="46">
        <f>IF($A119="","",IF(AND($L119&lt;27,$K$12=0),"Building",IFERROR(((SUM($H$113:$H119)+$K$12*IF($L119&lt;6,SUMIFS('Throw Log'!$Q$5:$Q$300,'Throw Log'!$B$5:$B$300,$D$4,'Throw Log'!$A$5:$A$300,"&gt;="&amp;($D$6+$L119-6),'Throw Log'!$A$5:$A$300,"&lt;="&amp;($D$6-1)),0))/7)/((SUM($H$92:$H119)+$K$12*IF($L119&lt;27,SUMIFS('Throw Log'!$Q$5:$Q$300,'Throw Log'!$B$5:$B$300,$D$4,'Throw Log'!$A$5:$A$300,"&gt;="&amp;($D$6+$L119-27),'Throw Log'!$A$5:$A$300,"&lt;="&amp;($D$6-1)),0))/28),"")))</f>
        <v>1.1074555058650419</v>
      </c>
      <c r="J119" s="37"/>
      <c r="K119" s="37">
        <v>30</v>
      </c>
      <c r="L119" s="32">
        <v>76</v>
      </c>
      <c r="M119" s="32">
        <f t="shared" si="63"/>
        <v>11</v>
      </c>
      <c r="N119" s="32">
        <f t="shared" si="64"/>
        <v>6</v>
      </c>
      <c r="O119" s="32">
        <f t="shared" si="65"/>
        <v>1</v>
      </c>
      <c r="P119" s="32">
        <f>IF(OR($A119="",N($C119)&lt;=7),"",$G$6*$G$9^($M119-1)*IF(AND(MOD($M119,Reference!$B$99)=0,$M119&lt;=$G$5-2),Reference!$B$100,1))</f>
        <v>260.00000000000006</v>
      </c>
      <c r="Q119" s="32">
        <f>IF($P119="","",IF(SUM($AK$113:$AK$119)=0,0,$P119*INDEX(Reference!$B$108:$B$114,$N119+1)/SUM($AK$113:$AK$119)))</f>
        <v>17.009345794392527</v>
      </c>
      <c r="R119" s="32">
        <f t="shared" si="66"/>
        <v>180</v>
      </c>
      <c r="S119" s="32">
        <f t="shared" si="67"/>
        <v>150</v>
      </c>
      <c r="T119" s="32" t="str">
        <f>IF($A119="","",IF($C119=0,"Bullpen",IF(OR($C119=7,$C119=1,$C119=5),"Recovery/Easy Catch",IF($C119=6,"Compression/Pulldowns",IF(OR($C119=4,$C119=2),"Long Toss",IF($C119=3,"No Throw",IF($N119=2,"No Throw",IF($N119=6,IF($O119&lt;Reference!$B$104,"No Throw","Recovery/Easy Catch"),IF(OR($N119=0,$N119=4),"Recovery/Easy Catch",IF($N119=1,IF($R119&gt;75,"Long Toss","Recovery/Easy Catch"),IF($N119=3,IF($O119&lt;0.5,IF($S119&gt;75,"Long Toss","Recovery/Easy Catch"),"Compression/Pulldowns"),IF($S119&gt;75,"Long Toss","Recovery/Easy Catch"))))))))))))</f>
        <v>Recovery/Easy Catch</v>
      </c>
      <c r="U119" s="32">
        <f t="shared" si="68"/>
        <v>60</v>
      </c>
      <c r="V119" s="32">
        <f t="shared" si="69"/>
        <v>20</v>
      </c>
      <c r="W119" s="32">
        <f t="shared" si="70"/>
        <v>24</v>
      </c>
      <c r="X119" s="32">
        <f t="shared" si="71"/>
        <v>0</v>
      </c>
      <c r="Y119" s="32" t="str">
        <f t="shared" si="72"/>
        <v/>
      </c>
      <c r="Z119" s="32" t="str">
        <f t="shared" si="73"/>
        <v/>
      </c>
      <c r="AA119" s="32" t="str">
        <f t="shared" si="74"/>
        <v/>
      </c>
      <c r="AB119" s="32">
        <f>IF($A119="","",IF($T119="No Throw",0,IF($K119&lt;&gt;"",$K119,IF($AA119&lt;&gt;"",ROUND($AA119*$D$12*IF($C119=0,1,$G$10),0),MIN(IF($T119="Recovery/Easy Catch",Reference!$B$103,IF($T119="Long Toss",Reference!$B$106,Reference!$B$102)),MAX(Reference!$B$101,ROUND(MAX(0,$Q119-$AE119)/$AF119,0)))))))</f>
        <v>30</v>
      </c>
      <c r="AC119" s="32">
        <f t="shared" si="75"/>
        <v>0</v>
      </c>
      <c r="AD119" s="32" t="b">
        <f t="shared" si="76"/>
        <v>0</v>
      </c>
      <c r="AE119" s="32">
        <f>IF($X119=0,0,$X119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119+$Z119)/2,0),Reference!$A$17:$B$20,2,TRUE()))</f>
        <v>0</v>
      </c>
      <c r="AF119" s="32">
        <f>IF(OR($A119="",$U119="",$T119="No Throw"),0,$AM119*VLOOKUP(MAX(($V119+$W119)/2,0),Reference!$A$17:$B$20,2,TRUE()))</f>
        <v>0.6</v>
      </c>
      <c r="AG119" s="32">
        <f>IF($AC119=0,0,$AC119*INDEX(Reference!$B$61:$B$62,MATCH("Bullpen",Reference!$A$61:$A$62,0))*VLOOKUP(MAX($D$5-($D$9+$E$9)/2,0),Reference!$A$17:$B$20,2,TRUE()))</f>
        <v>0</v>
      </c>
      <c r="AH119" s="46">
        <f t="shared" si="77"/>
        <v>1.1074555058650419</v>
      </c>
      <c r="AI119" s="32">
        <f>IF($A119="",NA(),Reference!$A$25)</f>
        <v>0.8</v>
      </c>
      <c r="AJ119" s="32">
        <f t="shared" si="78"/>
        <v>1.3</v>
      </c>
      <c r="AK119" s="56">
        <f>IF(OR($A119="",N($C119)&lt;=7,$T119="No Throw",$J119="x"),0,INDEX(Reference!$B$108:$B$114,$N119+1))</f>
        <v>7.0000000000000007E-2</v>
      </c>
      <c r="AL119" s="32">
        <f t="shared" si="79"/>
        <v>1</v>
      </c>
      <c r="AM119" s="32">
        <f>IF($U119="",0,IF($AL119&gt;1,((IF(1&lt;=$AL119,($AL119-1+3)*(INDEX(Reference!$B$6:$B$11,MIN(5,MATCH(MAX(Reference!$A$6,MIN(Reference!$A$11,MIN($U119,90))),Reference!$A$6:$A$11,1)))+(MAX(Reference!$A$6,MIN(Reference!$A$11,MIN($U119,90)))-INDEX(Reference!$A$6:$A$11,MIN(5,MATCH(MAX(Reference!$A$6,MIN(Reference!$A$11,MIN($U119,90))),Reference!$A$6:$A$11,1))))*(INDEX(Reference!$B$6:$B$11,MIN(5,MATCH(MAX(Reference!$A$6,MIN(Reference!$A$11,MIN($U119,90))),Reference!$A$6:$A$11,1))+1)-INDEX(Reference!$B$6:$B$11,MIN(5,MATCH(MAX(Reference!$A$6,MIN(Reference!$A$11,MIN($U119,90))),Reference!$A$6:$A$11,1))))/(INDEX(Reference!$A$6:$A$11,MIN(5,MATCH(MAX(Reference!$A$6,MIN(Reference!$A$11,MIN($U119,90))),Reference!$A$6:$A$11,1))+1)-INDEX(Reference!$A$6:$A$11,MIN(5,MATCH(MAX(Reference!$A$6,MIN(Reference!$A$11,MIN($U119,90))),Reference!$A$6:$A$11,1))))),0)+IF(2&lt;=$AL119,($AL119-2+3)*(INDEX(Reference!$B$6:$B$11,MIN(5,MATCH(MAX(Reference!$A$6,MIN(Reference!$A$11,MIN($U119,120))),Reference!$A$6:$A$11,1)))+(MAX(Reference!$A$6,MIN(Reference!$A$11,MIN($U119,120)))-INDEX(Reference!$A$6:$A$11,MIN(5,MATCH(MAX(Reference!$A$6,MIN(Reference!$A$11,MIN($U119,120))),Reference!$A$6:$A$11,1))))*(INDEX(Reference!$B$6:$B$11,MIN(5,MATCH(MAX(Reference!$A$6,MIN(Reference!$A$11,MIN($U119,120))),Reference!$A$6:$A$11,1))+1)-INDEX(Reference!$B$6:$B$11,MIN(5,MATCH(MAX(Reference!$A$6,MIN(Reference!$A$11,MIN($U119,120))),Reference!$A$6:$A$11,1))))/(INDEX(Reference!$A$6:$A$11,MIN(5,MATCH(MAX(Reference!$A$6,MIN(Reference!$A$11,MIN($U119,120))),Reference!$A$6:$A$11,1))+1)-INDEX(Reference!$A$6:$A$11,MIN(5,MATCH(MAX(Reference!$A$6,MIN(Reference!$A$11,MIN($U119,120))),Reference!$A$6:$A$11,1))))),0)+IF(3&lt;=$AL119,($AL119-3+3)*(INDEX(Reference!$B$6:$B$11,MIN(5,MATCH(MAX(Reference!$A$6,MIN(Reference!$A$11,MIN($U119,150))),Reference!$A$6:$A$11,1)))+(MAX(Reference!$A$6,MIN(Reference!$A$11,MIN($U119,150)))-INDEX(Reference!$A$6:$A$11,MIN(5,MATCH(MAX(Reference!$A$6,MIN(Reference!$A$11,MIN($U119,150))),Reference!$A$6:$A$11,1))))*(INDEX(Reference!$B$6:$B$11,MIN(5,MATCH(MAX(Reference!$A$6,MIN(Reference!$A$11,MIN($U119,150))),Reference!$A$6:$A$11,1))+1)-INDEX(Reference!$B$6:$B$11,MIN(5,MATCH(MAX(Reference!$A$6,MIN(Reference!$A$11,MIN($U119,150))),Reference!$A$6:$A$11,1))))/(INDEX(Reference!$A$6:$A$11,MIN(5,MATCH(MAX(Reference!$A$6,MIN(Reference!$A$11,MIN($U119,150))),Reference!$A$6:$A$11,1))+1)-INDEX(Reference!$A$6:$A$11,MIN(5,MATCH(MAX(Reference!$A$6,MIN(Reference!$A$11,MIN($U119,150))),Reference!$A$6:$A$11,1))))),0)+IF(4&lt;=$AL119,($AL119-4+3)*(INDEX(Reference!$B$6:$B$11,MIN(5,MATCH(MAX(Reference!$A$6,MIN(Reference!$A$11,MIN($U119,180))),Reference!$A$6:$A$11,1)))+(MAX(Reference!$A$6,MIN(Reference!$A$11,MIN($U119,180)))-INDEX(Reference!$A$6:$A$11,MIN(5,MATCH(MAX(Reference!$A$6,MIN(Reference!$A$11,MIN($U119,180))),Reference!$A$6:$A$11,1))))*(INDEX(Reference!$B$6:$B$11,MIN(5,MATCH(MAX(Reference!$A$6,MIN(Reference!$A$11,MIN($U119,180))),Reference!$A$6:$A$11,1))+1)-INDEX(Reference!$B$6:$B$11,MIN(5,MATCH(MAX(Reference!$A$6,MIN(Reference!$A$11,MIN($U119,180))),Reference!$A$6:$A$11,1))))/(INDEX(Reference!$A$6:$A$11,MIN(5,MATCH(MAX(Reference!$A$6,MIN(Reference!$A$11,MIN($U119,180))),Reference!$A$6:$A$11,1))+1)-INDEX(Reference!$A$6:$A$11,MIN(5,MATCH(MAX(Reference!$A$6,MIN(Reference!$A$11,MIN($U119,180))),Reference!$A$6:$A$11,1))))),0)+IF(5&lt;=$AL119,($AL119-5+3)*(INDEX(Reference!$B$6:$B$11,MIN(5,MATCH(MAX(Reference!$A$6,MIN(Reference!$A$11,MIN($U119,210))),Reference!$A$6:$A$11,1)))+(MAX(Reference!$A$6,MIN(Reference!$A$11,MIN($U119,210)))-INDEX(Reference!$A$6:$A$11,MIN(5,MATCH(MAX(Reference!$A$6,MIN(Reference!$A$11,MIN($U119,210))),Reference!$A$6:$A$11,1))))*(INDEX(Reference!$B$6:$B$11,MIN(5,MATCH(MAX(Reference!$A$6,MIN(Reference!$A$11,MIN($U119,210))),Reference!$A$6:$A$11,1))+1)-INDEX(Reference!$B$6:$B$11,MIN(5,MATCH(MAX(Reference!$A$6,MIN(Reference!$A$11,MIN($U119,210))),Reference!$A$6:$A$11,1))))/(INDEX(Reference!$A$6:$A$11,MIN(5,MATCH(MAX(Reference!$A$6,MIN(Reference!$A$11,MIN($U119,210))),Reference!$A$6:$A$11,1))+1)-INDEX(Reference!$A$6:$A$11,MIN(5,MATCH(MAX(Reference!$A$6,MIN(Reference!$A$11,MIN($U119,210))),Reference!$A$6:$A$11,1))))),0)+IF(6&lt;=$AL119,($AL119-6+3)*(INDEX(Reference!$B$6:$B$11,MIN(5,MATCH(MAX(Reference!$A$6,MIN(Reference!$A$11,MIN($U119,240))),Reference!$A$6:$A$11,1)))+(MAX(Reference!$A$6,MIN(Reference!$A$11,MIN($U119,240)))-INDEX(Reference!$A$6:$A$11,MIN(5,MATCH(MAX(Reference!$A$6,MIN(Reference!$A$11,MIN($U119,240))),Reference!$A$6:$A$11,1))))*(INDEX(Reference!$B$6:$B$11,MIN(5,MATCH(MAX(Reference!$A$6,MIN(Reference!$A$11,MIN($U119,240))),Reference!$A$6:$A$11,1))+1)-INDEX(Reference!$B$6:$B$11,MIN(5,MATCH(MAX(Reference!$A$6,MIN(Reference!$A$11,MIN($U119,240))),Reference!$A$6:$A$11,1))))/(INDEX(Reference!$A$6:$A$11,MIN(5,MATCH(MAX(Reference!$A$6,MIN(Reference!$A$11,MIN($U119,240))),Reference!$A$6:$A$11,1))+1)-INDEX(Reference!$A$6:$A$11,MIN(5,MATCH(MAX(Reference!$A$6,MIN(Reference!$A$11,MIN($U119,240))),Reference!$A$6:$A$11,1))))),0)+IF(7&lt;=$AL119,($AL119-7+3)*(INDEX(Reference!$B$6:$B$11,MIN(5,MATCH(MAX(Reference!$A$6,MIN(Reference!$A$11,MIN($U119,270))),Reference!$A$6:$A$11,1)))+(MAX(Reference!$A$6,MIN(Reference!$A$11,MIN($U119,270)))-INDEX(Reference!$A$6:$A$11,MIN(5,MATCH(MAX(Reference!$A$6,MIN(Reference!$A$11,MIN($U119,270))),Reference!$A$6:$A$11,1))))*(INDEX(Reference!$B$6:$B$11,MIN(5,MATCH(MAX(Reference!$A$6,MIN(Reference!$A$11,MIN($U119,270))),Reference!$A$6:$A$11,1))+1)-INDEX(Reference!$B$6:$B$11,MIN(5,MATCH(MAX(Reference!$A$6,MIN(Reference!$A$11,MIN($U119,270))),Reference!$A$6:$A$11,1))))/(INDEX(Reference!$A$6:$A$11,MIN(5,MATCH(MAX(Reference!$A$6,MIN(Reference!$A$11,MIN($U119,270))),Reference!$A$6:$A$11,1))+1)-INDEX(Reference!$A$6:$A$11,MIN(5,MATCH(MAX(Reference!$A$6,MIN(Reference!$A$11,MIN($U119,270))),Reference!$A$6:$A$11,1))))),0)+IF(8&lt;=$AL119,($AL119-8+3)*(INDEX(Reference!$B$6:$B$11,MIN(5,MATCH(MAX(Reference!$A$6,MIN(Reference!$A$11,MIN($U119,300))),Reference!$A$6:$A$11,1)))+(MAX(Reference!$A$6,MIN(Reference!$A$11,MIN($U119,300)))-INDEX(Reference!$A$6:$A$11,MIN(5,MATCH(MAX(Reference!$A$6,MIN(Reference!$A$11,MIN($U119,300))),Reference!$A$6:$A$11,1))))*(INDEX(Reference!$B$6:$B$11,MIN(5,MATCH(MAX(Reference!$A$6,MIN(Reference!$A$11,MIN($U119,300))),Reference!$A$6:$A$11,1))+1)-INDEX(Reference!$B$6:$B$11,MIN(5,MATCH(MAX(Reference!$A$6,MIN(Reference!$A$11,MIN($U119,300))),Reference!$A$6:$A$11,1))))/(INDEX(Reference!$A$6:$A$11,MIN(5,MATCH(MAX(Reference!$A$6,MIN(Reference!$A$11,MIN($U119,300))),Reference!$A$6:$A$11,1))+1)-INDEX(Reference!$A$6:$A$11,MIN(5,MATCH(MAX(Reference!$A$6,MIN(Reference!$A$11,MIN($U119,300))),Reference!$A$6:$A$11,1))))),0))/($AL119*($AL119+5)/2)),$AN119))</f>
        <v>1</v>
      </c>
      <c r="AN119" s="32">
        <f>IF($U119="",0,(INDEX(Reference!$B$6:$B$11,MIN(5,MATCH(MAX(Reference!$A$6,MIN(Reference!$A$11,$U119)),Reference!$A$6:$A$11,1)))+(MAX(Reference!$A$6,MIN(Reference!$A$11,$U119))-INDEX(Reference!$A$6:$A$11,MIN(5,MATCH(MAX(Reference!$A$6,MIN(Reference!$A$11,$U119)),Reference!$A$6:$A$11,1))))*(INDEX(Reference!$B$6:$B$11,MIN(5,MATCH(MAX(Reference!$A$6,MIN(Reference!$A$11,$U119)),Reference!$A$6:$A$11,1))+1)-INDEX(Reference!$B$6:$B$11,MIN(5,MATCH(MAX(Reference!$A$6,MIN(Reference!$A$11,$U119)),Reference!$A$6:$A$11,1))))/(INDEX(Reference!$A$6:$A$11,MIN(5,MATCH(MAX(Reference!$A$6,MIN(Reference!$A$11,$U119)),Reference!$A$6:$A$11,1))+1)-INDEX(Reference!$A$6:$A$11,MIN(5,MATCH(MAX(Reference!$A$6,MIN(Reference!$A$11,$U119)),Reference!$A$6:$A$11,1))))))</f>
        <v>1</v>
      </c>
      <c r="AO119" s="37"/>
      <c r="AP119" s="37"/>
      <c r="AQ119" s="37"/>
    </row>
    <row r="120" spans="1:43" x14ac:dyDescent="0.3">
      <c r="A120" s="48">
        <f t="shared" si="55"/>
        <v>46384</v>
      </c>
      <c r="B120" s="32" t="str">
        <f t="shared" si="56"/>
        <v>Mon</v>
      </c>
      <c r="C120" s="32">
        <f t="shared" si="57"/>
        <v>7</v>
      </c>
      <c r="D120" s="32" t="str">
        <f t="shared" si="58"/>
        <v>Taper</v>
      </c>
      <c r="E120" s="32" t="str">
        <f t="shared" si="59"/>
        <v>Low</v>
      </c>
      <c r="F120" s="32" t="str">
        <f t="shared" si="60"/>
        <v>Recovery/Easy Catch</v>
      </c>
      <c r="G120" s="47" t="str">
        <f t="shared" si="61"/>
        <v>75 ft × 30 @ 67–71 mph</v>
      </c>
      <c r="H120" s="30">
        <f t="shared" si="62"/>
        <v>20.7</v>
      </c>
      <c r="I120" s="46">
        <f>IF($A120="","",IF(AND($L120&lt;27,$K$12=0),"Building",IFERROR(((SUM($H$114:$H120)+$K$12*IF($L120&lt;6,SUMIFS('Throw Log'!$Q$5:$Q$300,'Throw Log'!$B$5:$B$300,$D$4,'Throw Log'!$A$5:$A$300,"&gt;="&amp;($D$6+$L120-6),'Throw Log'!$A$5:$A$300,"&lt;="&amp;($D$6-1)),0))/7)/((SUM($H$93:$H120)+$K$12*IF($L120&lt;27,SUMIFS('Throw Log'!$Q$5:$Q$300,'Throw Log'!$B$5:$B$300,$D$4,'Throw Log'!$A$5:$A$300,"&gt;="&amp;($D$6+$L120-27),'Throw Log'!$A$5:$A$300,"&lt;="&amp;($D$6-1)),0))/28),"")))</f>
        <v>1.0810943724079143</v>
      </c>
      <c r="J120" s="37"/>
      <c r="K120" s="37"/>
      <c r="L120" s="32">
        <v>77</v>
      </c>
      <c r="M120" s="32">
        <f t="shared" si="63"/>
        <v>12</v>
      </c>
      <c r="N120" s="32">
        <f t="shared" si="64"/>
        <v>0</v>
      </c>
      <c r="O120" s="32">
        <f t="shared" si="65"/>
        <v>1</v>
      </c>
      <c r="P120" s="32" t="str">
        <f>IF(OR($A120="",N($C120)&lt;=7),"",$G$6*$G$9^($M120-1)*IF(AND(MOD($M120,Reference!$B$99)=0,$M120&lt;=$G$5-2),Reference!$B$100,1))</f>
        <v/>
      </c>
      <c r="Q120" s="32" t="str">
        <f>IF($P120="","",IF(SUM($AK$120:$AK$126)=0,0,$P120*INDEX(Reference!$B$108:$B$114,$N120+1)/SUM($AK$120:$AK$126)))</f>
        <v/>
      </c>
      <c r="R120" s="32">
        <f t="shared" si="66"/>
        <v>180</v>
      </c>
      <c r="S120" s="32">
        <f t="shared" si="67"/>
        <v>150</v>
      </c>
      <c r="T120" s="32" t="str">
        <f>IF($A120="","",IF($C120=0,"Bullpen",IF(OR($C120=7,$C120=1,$C120=5),"Recovery/Easy Catch",IF($C120=6,"Compression/Pulldowns",IF(OR($C120=4,$C120=2),"Long Toss",IF($C120=3,"No Throw",IF($N120=2,"No Throw",IF($N120=6,IF($O120&lt;Reference!$B$104,"No Throw","Recovery/Easy Catch"),IF(OR($N120=0,$N120=4),"Recovery/Easy Catch",IF($N120=1,IF($R120&gt;75,"Long Toss","Recovery/Easy Catch"),IF($N120=3,IF($O120&lt;0.5,IF($S120&gt;75,"Long Toss","Recovery/Easy Catch"),"Compression/Pulldowns"),IF($S120&gt;75,"Long Toss","Recovery/Easy Catch"))))))))))))</f>
        <v>Recovery/Easy Catch</v>
      </c>
      <c r="U120" s="32">
        <f t="shared" si="68"/>
        <v>75</v>
      </c>
      <c r="V120" s="32">
        <f t="shared" si="69"/>
        <v>18</v>
      </c>
      <c r="W120" s="32">
        <f t="shared" si="70"/>
        <v>22</v>
      </c>
      <c r="X120" s="32">
        <f t="shared" si="71"/>
        <v>0</v>
      </c>
      <c r="Y120" s="32" t="str">
        <f t="shared" si="72"/>
        <v/>
      </c>
      <c r="Z120" s="32" t="str">
        <f t="shared" si="73"/>
        <v/>
      </c>
      <c r="AA120" s="32">
        <f t="shared" si="74"/>
        <v>30</v>
      </c>
      <c r="AB120" s="32">
        <f>IF($A120="","",IF($T120="No Throw",0,IF($K120&lt;&gt;"",$K120,IF($AA120&lt;&gt;"",ROUND($AA120*$D$12*IF($C120=0,1,$G$10),0),MIN(IF($T120="Recovery/Easy Catch",Reference!$B$103,IF($T120="Long Toss",Reference!$B$106,Reference!$B$102)),MAX(Reference!$B$101,ROUND(MAX(0,$Q120-$AE120)/$AF120,0)))))))</f>
        <v>30</v>
      </c>
      <c r="AC120" s="32">
        <f t="shared" si="75"/>
        <v>0</v>
      </c>
      <c r="AD120" s="32" t="b">
        <f t="shared" si="76"/>
        <v>0</v>
      </c>
      <c r="AE120" s="32">
        <f>IF($X120=0,0,$X120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120+$Z120)/2,0),Reference!$A$17:$B$20,2,TRUE()))</f>
        <v>0</v>
      </c>
      <c r="AF120" s="32">
        <f>IF(OR($A120="",$U120="",$T120="No Throw"),0,$AM120*VLOOKUP(MAX(($V120+$W120)/2,0),Reference!$A$17:$B$20,2,TRUE()))</f>
        <v>0.69</v>
      </c>
      <c r="AG120" s="32">
        <f>IF($AC120=0,0,$AC120*INDEX(Reference!$B$61:$B$62,MATCH("Bullpen",Reference!$A$61:$A$62,0))*VLOOKUP(MAX($D$5-($D$9+$E$9)/2,0),Reference!$A$17:$B$20,2,TRUE()))</f>
        <v>0</v>
      </c>
      <c r="AH120" s="46">
        <f t="shared" si="77"/>
        <v>1.0810943724079143</v>
      </c>
      <c r="AI120" s="32">
        <f>IF($A120="",NA(),Reference!$A$25)</f>
        <v>0.8</v>
      </c>
      <c r="AJ120" s="32">
        <f t="shared" si="78"/>
        <v>1.3</v>
      </c>
      <c r="AK120" s="32">
        <f>IF(OR($A120="",N($C120)&lt;=7,$T120="No Throw",$J120="x"),0,INDEX(Reference!$B$108:$B$114,$N120+1))</f>
        <v>0</v>
      </c>
      <c r="AL120" s="32">
        <f t="shared" si="79"/>
        <v>1</v>
      </c>
      <c r="AM120" s="32">
        <f>IF($U120="",0,IF($AL120&gt;1,((IF(1&lt;=$AL120,($AL120-1+3)*(INDEX(Reference!$B$6:$B$11,MIN(5,MATCH(MAX(Reference!$A$6,MIN(Reference!$A$11,MIN($U120,90))),Reference!$A$6:$A$11,1)))+(MAX(Reference!$A$6,MIN(Reference!$A$11,MIN($U120,90)))-INDEX(Reference!$A$6:$A$11,MIN(5,MATCH(MAX(Reference!$A$6,MIN(Reference!$A$11,MIN($U120,90))),Reference!$A$6:$A$11,1))))*(INDEX(Reference!$B$6:$B$11,MIN(5,MATCH(MAX(Reference!$A$6,MIN(Reference!$A$11,MIN($U120,90))),Reference!$A$6:$A$11,1))+1)-INDEX(Reference!$B$6:$B$11,MIN(5,MATCH(MAX(Reference!$A$6,MIN(Reference!$A$11,MIN($U120,90))),Reference!$A$6:$A$11,1))))/(INDEX(Reference!$A$6:$A$11,MIN(5,MATCH(MAX(Reference!$A$6,MIN(Reference!$A$11,MIN($U120,90))),Reference!$A$6:$A$11,1))+1)-INDEX(Reference!$A$6:$A$11,MIN(5,MATCH(MAX(Reference!$A$6,MIN(Reference!$A$11,MIN($U120,90))),Reference!$A$6:$A$11,1))))),0)+IF(2&lt;=$AL120,($AL120-2+3)*(INDEX(Reference!$B$6:$B$11,MIN(5,MATCH(MAX(Reference!$A$6,MIN(Reference!$A$11,MIN($U120,120))),Reference!$A$6:$A$11,1)))+(MAX(Reference!$A$6,MIN(Reference!$A$11,MIN($U120,120)))-INDEX(Reference!$A$6:$A$11,MIN(5,MATCH(MAX(Reference!$A$6,MIN(Reference!$A$11,MIN($U120,120))),Reference!$A$6:$A$11,1))))*(INDEX(Reference!$B$6:$B$11,MIN(5,MATCH(MAX(Reference!$A$6,MIN(Reference!$A$11,MIN($U120,120))),Reference!$A$6:$A$11,1))+1)-INDEX(Reference!$B$6:$B$11,MIN(5,MATCH(MAX(Reference!$A$6,MIN(Reference!$A$11,MIN($U120,120))),Reference!$A$6:$A$11,1))))/(INDEX(Reference!$A$6:$A$11,MIN(5,MATCH(MAX(Reference!$A$6,MIN(Reference!$A$11,MIN($U120,120))),Reference!$A$6:$A$11,1))+1)-INDEX(Reference!$A$6:$A$11,MIN(5,MATCH(MAX(Reference!$A$6,MIN(Reference!$A$11,MIN($U120,120))),Reference!$A$6:$A$11,1))))),0)+IF(3&lt;=$AL120,($AL120-3+3)*(INDEX(Reference!$B$6:$B$11,MIN(5,MATCH(MAX(Reference!$A$6,MIN(Reference!$A$11,MIN($U120,150))),Reference!$A$6:$A$11,1)))+(MAX(Reference!$A$6,MIN(Reference!$A$11,MIN($U120,150)))-INDEX(Reference!$A$6:$A$11,MIN(5,MATCH(MAX(Reference!$A$6,MIN(Reference!$A$11,MIN($U120,150))),Reference!$A$6:$A$11,1))))*(INDEX(Reference!$B$6:$B$11,MIN(5,MATCH(MAX(Reference!$A$6,MIN(Reference!$A$11,MIN($U120,150))),Reference!$A$6:$A$11,1))+1)-INDEX(Reference!$B$6:$B$11,MIN(5,MATCH(MAX(Reference!$A$6,MIN(Reference!$A$11,MIN($U120,150))),Reference!$A$6:$A$11,1))))/(INDEX(Reference!$A$6:$A$11,MIN(5,MATCH(MAX(Reference!$A$6,MIN(Reference!$A$11,MIN($U120,150))),Reference!$A$6:$A$11,1))+1)-INDEX(Reference!$A$6:$A$11,MIN(5,MATCH(MAX(Reference!$A$6,MIN(Reference!$A$11,MIN($U120,150))),Reference!$A$6:$A$11,1))))),0)+IF(4&lt;=$AL120,($AL120-4+3)*(INDEX(Reference!$B$6:$B$11,MIN(5,MATCH(MAX(Reference!$A$6,MIN(Reference!$A$11,MIN($U120,180))),Reference!$A$6:$A$11,1)))+(MAX(Reference!$A$6,MIN(Reference!$A$11,MIN($U120,180)))-INDEX(Reference!$A$6:$A$11,MIN(5,MATCH(MAX(Reference!$A$6,MIN(Reference!$A$11,MIN($U120,180))),Reference!$A$6:$A$11,1))))*(INDEX(Reference!$B$6:$B$11,MIN(5,MATCH(MAX(Reference!$A$6,MIN(Reference!$A$11,MIN($U120,180))),Reference!$A$6:$A$11,1))+1)-INDEX(Reference!$B$6:$B$11,MIN(5,MATCH(MAX(Reference!$A$6,MIN(Reference!$A$11,MIN($U120,180))),Reference!$A$6:$A$11,1))))/(INDEX(Reference!$A$6:$A$11,MIN(5,MATCH(MAX(Reference!$A$6,MIN(Reference!$A$11,MIN($U120,180))),Reference!$A$6:$A$11,1))+1)-INDEX(Reference!$A$6:$A$11,MIN(5,MATCH(MAX(Reference!$A$6,MIN(Reference!$A$11,MIN($U120,180))),Reference!$A$6:$A$11,1))))),0)+IF(5&lt;=$AL120,($AL120-5+3)*(INDEX(Reference!$B$6:$B$11,MIN(5,MATCH(MAX(Reference!$A$6,MIN(Reference!$A$11,MIN($U120,210))),Reference!$A$6:$A$11,1)))+(MAX(Reference!$A$6,MIN(Reference!$A$11,MIN($U120,210)))-INDEX(Reference!$A$6:$A$11,MIN(5,MATCH(MAX(Reference!$A$6,MIN(Reference!$A$11,MIN($U120,210))),Reference!$A$6:$A$11,1))))*(INDEX(Reference!$B$6:$B$11,MIN(5,MATCH(MAX(Reference!$A$6,MIN(Reference!$A$11,MIN($U120,210))),Reference!$A$6:$A$11,1))+1)-INDEX(Reference!$B$6:$B$11,MIN(5,MATCH(MAX(Reference!$A$6,MIN(Reference!$A$11,MIN($U120,210))),Reference!$A$6:$A$11,1))))/(INDEX(Reference!$A$6:$A$11,MIN(5,MATCH(MAX(Reference!$A$6,MIN(Reference!$A$11,MIN($U120,210))),Reference!$A$6:$A$11,1))+1)-INDEX(Reference!$A$6:$A$11,MIN(5,MATCH(MAX(Reference!$A$6,MIN(Reference!$A$11,MIN($U120,210))),Reference!$A$6:$A$11,1))))),0)+IF(6&lt;=$AL120,($AL120-6+3)*(INDEX(Reference!$B$6:$B$11,MIN(5,MATCH(MAX(Reference!$A$6,MIN(Reference!$A$11,MIN($U120,240))),Reference!$A$6:$A$11,1)))+(MAX(Reference!$A$6,MIN(Reference!$A$11,MIN($U120,240)))-INDEX(Reference!$A$6:$A$11,MIN(5,MATCH(MAX(Reference!$A$6,MIN(Reference!$A$11,MIN($U120,240))),Reference!$A$6:$A$11,1))))*(INDEX(Reference!$B$6:$B$11,MIN(5,MATCH(MAX(Reference!$A$6,MIN(Reference!$A$11,MIN($U120,240))),Reference!$A$6:$A$11,1))+1)-INDEX(Reference!$B$6:$B$11,MIN(5,MATCH(MAX(Reference!$A$6,MIN(Reference!$A$11,MIN($U120,240))),Reference!$A$6:$A$11,1))))/(INDEX(Reference!$A$6:$A$11,MIN(5,MATCH(MAX(Reference!$A$6,MIN(Reference!$A$11,MIN($U120,240))),Reference!$A$6:$A$11,1))+1)-INDEX(Reference!$A$6:$A$11,MIN(5,MATCH(MAX(Reference!$A$6,MIN(Reference!$A$11,MIN($U120,240))),Reference!$A$6:$A$11,1))))),0)+IF(7&lt;=$AL120,($AL120-7+3)*(INDEX(Reference!$B$6:$B$11,MIN(5,MATCH(MAX(Reference!$A$6,MIN(Reference!$A$11,MIN($U120,270))),Reference!$A$6:$A$11,1)))+(MAX(Reference!$A$6,MIN(Reference!$A$11,MIN($U120,270)))-INDEX(Reference!$A$6:$A$11,MIN(5,MATCH(MAX(Reference!$A$6,MIN(Reference!$A$11,MIN($U120,270))),Reference!$A$6:$A$11,1))))*(INDEX(Reference!$B$6:$B$11,MIN(5,MATCH(MAX(Reference!$A$6,MIN(Reference!$A$11,MIN($U120,270))),Reference!$A$6:$A$11,1))+1)-INDEX(Reference!$B$6:$B$11,MIN(5,MATCH(MAX(Reference!$A$6,MIN(Reference!$A$11,MIN($U120,270))),Reference!$A$6:$A$11,1))))/(INDEX(Reference!$A$6:$A$11,MIN(5,MATCH(MAX(Reference!$A$6,MIN(Reference!$A$11,MIN($U120,270))),Reference!$A$6:$A$11,1))+1)-INDEX(Reference!$A$6:$A$11,MIN(5,MATCH(MAX(Reference!$A$6,MIN(Reference!$A$11,MIN($U120,270))),Reference!$A$6:$A$11,1))))),0)+IF(8&lt;=$AL120,($AL120-8+3)*(INDEX(Reference!$B$6:$B$11,MIN(5,MATCH(MAX(Reference!$A$6,MIN(Reference!$A$11,MIN($U120,300))),Reference!$A$6:$A$11,1)))+(MAX(Reference!$A$6,MIN(Reference!$A$11,MIN($U120,300)))-INDEX(Reference!$A$6:$A$11,MIN(5,MATCH(MAX(Reference!$A$6,MIN(Reference!$A$11,MIN($U120,300))),Reference!$A$6:$A$11,1))))*(INDEX(Reference!$B$6:$B$11,MIN(5,MATCH(MAX(Reference!$A$6,MIN(Reference!$A$11,MIN($U120,300))),Reference!$A$6:$A$11,1))+1)-INDEX(Reference!$B$6:$B$11,MIN(5,MATCH(MAX(Reference!$A$6,MIN(Reference!$A$11,MIN($U120,300))),Reference!$A$6:$A$11,1))))/(INDEX(Reference!$A$6:$A$11,MIN(5,MATCH(MAX(Reference!$A$6,MIN(Reference!$A$11,MIN($U120,300))),Reference!$A$6:$A$11,1))+1)-INDEX(Reference!$A$6:$A$11,MIN(5,MATCH(MAX(Reference!$A$6,MIN(Reference!$A$11,MIN($U120,300))),Reference!$A$6:$A$11,1))))),0))/($AL120*($AL120+5)/2)),$AN120))</f>
        <v>1.1499999999999999</v>
      </c>
      <c r="AN120" s="32">
        <f>IF($U120="",0,(INDEX(Reference!$B$6:$B$11,MIN(5,MATCH(MAX(Reference!$A$6,MIN(Reference!$A$11,$U120)),Reference!$A$6:$A$11,1)))+(MAX(Reference!$A$6,MIN(Reference!$A$11,$U120))-INDEX(Reference!$A$6:$A$11,MIN(5,MATCH(MAX(Reference!$A$6,MIN(Reference!$A$11,$U120)),Reference!$A$6:$A$11,1))))*(INDEX(Reference!$B$6:$B$11,MIN(5,MATCH(MAX(Reference!$A$6,MIN(Reference!$A$11,$U120)),Reference!$A$6:$A$11,1))+1)-INDEX(Reference!$B$6:$B$11,MIN(5,MATCH(MAX(Reference!$A$6,MIN(Reference!$A$11,$U120)),Reference!$A$6:$A$11,1))))/(INDEX(Reference!$A$6:$A$11,MIN(5,MATCH(MAX(Reference!$A$6,MIN(Reference!$A$11,$U120)),Reference!$A$6:$A$11,1))+1)-INDEX(Reference!$A$6:$A$11,MIN(5,MATCH(MAX(Reference!$A$6,MIN(Reference!$A$11,$U120)),Reference!$A$6:$A$11,1))))))</f>
        <v>1.1499999999999999</v>
      </c>
      <c r="AO120" s="37"/>
      <c r="AP120" s="37"/>
      <c r="AQ120" s="37"/>
    </row>
    <row r="121" spans="1:43" x14ac:dyDescent="0.3">
      <c r="A121" s="48">
        <f t="shared" si="55"/>
        <v>46385</v>
      </c>
      <c r="B121" s="32" t="str">
        <f t="shared" si="56"/>
        <v>Tue</v>
      </c>
      <c r="C121" s="32">
        <f t="shared" si="57"/>
        <v>6</v>
      </c>
      <c r="D121" s="32" t="str">
        <f t="shared" si="58"/>
        <v>Taper</v>
      </c>
      <c r="E121" s="32" t="str">
        <f t="shared" si="59"/>
        <v>High Non-Bullpen</v>
      </c>
      <c r="F121" s="32" t="str">
        <f t="shared" si="60"/>
        <v>Compression/Pulldowns</v>
      </c>
      <c r="G121" s="47" t="str">
        <f t="shared" si="61"/>
        <v>90 ft × 25 @ 80–82 mph + flat ground at 60 ft × 25 @ 84–86 mph</v>
      </c>
      <c r="H121" s="30">
        <f t="shared" si="62"/>
        <v>70</v>
      </c>
      <c r="I121" s="46">
        <f>IF($A121="","",IF(AND($L121&lt;27,$K$12=0),"Building",IFERROR(((SUM($H$115:$H121)+$K$12*IF($L121&lt;6,SUMIFS('Throw Log'!$Q$5:$Q$300,'Throw Log'!$B$5:$B$300,$D$4,'Throw Log'!$A$5:$A$300,"&gt;="&amp;($D$6+$L121-6),'Throw Log'!$A$5:$A$300,"&lt;="&amp;($D$6-1)),0))/7)/((SUM($H$94:$H121)+$K$12*IF($L121&lt;27,SUMIFS('Throw Log'!$Q$5:$Q$300,'Throw Log'!$B$5:$B$300,$D$4,'Throw Log'!$A$5:$A$300,"&gt;="&amp;($D$6+$L121-27),'Throw Log'!$A$5:$A$300,"&lt;="&amp;($D$6-1)),0))/28),"")))</f>
        <v>1.1458070020222446</v>
      </c>
      <c r="J121" s="37"/>
      <c r="K121" s="37"/>
      <c r="L121" s="32">
        <v>78</v>
      </c>
      <c r="M121" s="32">
        <f t="shared" si="63"/>
        <v>12</v>
      </c>
      <c r="N121" s="32">
        <f t="shared" si="64"/>
        <v>1</v>
      </c>
      <c r="O121" s="32">
        <f t="shared" si="65"/>
        <v>1</v>
      </c>
      <c r="P121" s="32" t="str">
        <f>IF(OR($A121="",N($C121)&lt;=7),"",$G$6*$G$9^($M121-1)*IF(AND(MOD($M121,Reference!$B$99)=0,$M121&lt;=$G$5-2),Reference!$B$100,1))</f>
        <v/>
      </c>
      <c r="Q121" s="32" t="str">
        <f>IF($P121="","",IF(SUM($AK$120:$AK$126)=0,0,$P121*INDEX(Reference!$B$108:$B$114,$N121+1)/SUM($AK$120:$AK$126)))</f>
        <v/>
      </c>
      <c r="R121" s="32">
        <f t="shared" si="66"/>
        <v>180</v>
      </c>
      <c r="S121" s="32">
        <f t="shared" si="67"/>
        <v>150</v>
      </c>
      <c r="T121" s="32" t="str">
        <f>IF($A121="","",IF($C121=0,"Bullpen",IF(OR($C121=7,$C121=1,$C121=5),"Recovery/Easy Catch",IF($C121=6,"Compression/Pulldowns",IF(OR($C121=4,$C121=2),"Long Toss",IF($C121=3,"No Throw",IF($N121=2,"No Throw",IF($N121=6,IF($O121&lt;Reference!$B$104,"No Throw","Recovery/Easy Catch"),IF(OR($N121=0,$N121=4),"Recovery/Easy Catch",IF($N121=1,IF($R121&gt;75,"Long Toss","Recovery/Easy Catch"),IF($N121=3,IF($O121&lt;0.5,IF($S121&gt;75,"Long Toss","Recovery/Easy Catch"),"Compression/Pulldowns"),IF($S121&gt;75,"Long Toss","Recovery/Easy Catch"))))))))))))</f>
        <v>Compression/Pulldowns</v>
      </c>
      <c r="U121" s="32">
        <f t="shared" si="68"/>
        <v>90</v>
      </c>
      <c r="V121" s="32">
        <f t="shared" si="69"/>
        <v>7</v>
      </c>
      <c r="W121" s="32">
        <f t="shared" si="70"/>
        <v>9</v>
      </c>
      <c r="X121" s="32">
        <f t="shared" si="71"/>
        <v>25</v>
      </c>
      <c r="Y121" s="32">
        <f t="shared" si="72"/>
        <v>3</v>
      </c>
      <c r="Z121" s="32">
        <f t="shared" si="73"/>
        <v>5</v>
      </c>
      <c r="AA121" s="32">
        <f t="shared" si="74"/>
        <v>25</v>
      </c>
      <c r="AB121" s="32">
        <f>IF($A121="","",IF($T121="No Throw",0,IF($K121&lt;&gt;"",$K121,IF($AA121&lt;&gt;"",ROUND($AA121*$D$12*IF($C121=0,1,$G$10),0),MIN(IF($T121="Recovery/Easy Catch",Reference!$B$103,IF($T121="Long Toss",Reference!$B$106,Reference!$B$102)),MAX(Reference!$B$101,ROUND(MAX(0,$Q121-$AE121)/$AF121,0)))))))</f>
        <v>25</v>
      </c>
      <c r="AC121" s="32">
        <f t="shared" si="75"/>
        <v>0</v>
      </c>
      <c r="AD121" s="32" t="b">
        <f t="shared" si="76"/>
        <v>0</v>
      </c>
      <c r="AE121" s="32">
        <f>IF($X121=0,0,$X121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121+$Z121)/2,0),Reference!$A$17:$B$20,2,TRUE()))</f>
        <v>37.5</v>
      </c>
      <c r="AF121" s="32">
        <f>IF(OR($A121="",$U121="",$T121="No Throw"),0,$AM121*VLOOKUP(MAX(($V121+$W121)/2,0),Reference!$A$17:$B$20,2,TRUE()))</f>
        <v>1.3</v>
      </c>
      <c r="AG121" s="32">
        <f>IF($AC121=0,0,$AC121*INDEX(Reference!$B$61:$B$62,MATCH("Bullpen",Reference!$A$61:$A$62,0))*VLOOKUP(MAX($D$5-($D$9+$E$9)/2,0),Reference!$A$17:$B$20,2,TRUE()))</f>
        <v>0</v>
      </c>
      <c r="AH121" s="46">
        <f t="shared" si="77"/>
        <v>1.1458070020222446</v>
      </c>
      <c r="AI121" s="32">
        <f>IF($A121="",NA(),Reference!$A$25)</f>
        <v>0.8</v>
      </c>
      <c r="AJ121" s="32">
        <f t="shared" si="78"/>
        <v>1.3</v>
      </c>
      <c r="AK121" s="32">
        <f>IF(OR($A121="",N($C121)&lt;=7,$T121="No Throw",$J121="x"),0,INDEX(Reference!$B$108:$B$114,$N121+1))</f>
        <v>0</v>
      </c>
      <c r="AL121" s="32">
        <f t="shared" si="79"/>
        <v>1</v>
      </c>
      <c r="AM121" s="32">
        <f>IF($U121="",0,IF($AL121&gt;1,((IF(1&lt;=$AL121,($AL121-1+3)*(INDEX(Reference!$B$6:$B$11,MIN(5,MATCH(MAX(Reference!$A$6,MIN(Reference!$A$11,MIN($U121,90))),Reference!$A$6:$A$11,1)))+(MAX(Reference!$A$6,MIN(Reference!$A$11,MIN($U121,90)))-INDEX(Reference!$A$6:$A$11,MIN(5,MATCH(MAX(Reference!$A$6,MIN(Reference!$A$11,MIN($U121,90))),Reference!$A$6:$A$11,1))))*(INDEX(Reference!$B$6:$B$11,MIN(5,MATCH(MAX(Reference!$A$6,MIN(Reference!$A$11,MIN($U121,90))),Reference!$A$6:$A$11,1))+1)-INDEX(Reference!$B$6:$B$11,MIN(5,MATCH(MAX(Reference!$A$6,MIN(Reference!$A$11,MIN($U121,90))),Reference!$A$6:$A$11,1))))/(INDEX(Reference!$A$6:$A$11,MIN(5,MATCH(MAX(Reference!$A$6,MIN(Reference!$A$11,MIN($U121,90))),Reference!$A$6:$A$11,1))+1)-INDEX(Reference!$A$6:$A$11,MIN(5,MATCH(MAX(Reference!$A$6,MIN(Reference!$A$11,MIN($U121,90))),Reference!$A$6:$A$11,1))))),0)+IF(2&lt;=$AL121,($AL121-2+3)*(INDEX(Reference!$B$6:$B$11,MIN(5,MATCH(MAX(Reference!$A$6,MIN(Reference!$A$11,MIN($U121,120))),Reference!$A$6:$A$11,1)))+(MAX(Reference!$A$6,MIN(Reference!$A$11,MIN($U121,120)))-INDEX(Reference!$A$6:$A$11,MIN(5,MATCH(MAX(Reference!$A$6,MIN(Reference!$A$11,MIN($U121,120))),Reference!$A$6:$A$11,1))))*(INDEX(Reference!$B$6:$B$11,MIN(5,MATCH(MAX(Reference!$A$6,MIN(Reference!$A$11,MIN($U121,120))),Reference!$A$6:$A$11,1))+1)-INDEX(Reference!$B$6:$B$11,MIN(5,MATCH(MAX(Reference!$A$6,MIN(Reference!$A$11,MIN($U121,120))),Reference!$A$6:$A$11,1))))/(INDEX(Reference!$A$6:$A$11,MIN(5,MATCH(MAX(Reference!$A$6,MIN(Reference!$A$11,MIN($U121,120))),Reference!$A$6:$A$11,1))+1)-INDEX(Reference!$A$6:$A$11,MIN(5,MATCH(MAX(Reference!$A$6,MIN(Reference!$A$11,MIN($U121,120))),Reference!$A$6:$A$11,1))))),0)+IF(3&lt;=$AL121,($AL121-3+3)*(INDEX(Reference!$B$6:$B$11,MIN(5,MATCH(MAX(Reference!$A$6,MIN(Reference!$A$11,MIN($U121,150))),Reference!$A$6:$A$11,1)))+(MAX(Reference!$A$6,MIN(Reference!$A$11,MIN($U121,150)))-INDEX(Reference!$A$6:$A$11,MIN(5,MATCH(MAX(Reference!$A$6,MIN(Reference!$A$11,MIN($U121,150))),Reference!$A$6:$A$11,1))))*(INDEX(Reference!$B$6:$B$11,MIN(5,MATCH(MAX(Reference!$A$6,MIN(Reference!$A$11,MIN($U121,150))),Reference!$A$6:$A$11,1))+1)-INDEX(Reference!$B$6:$B$11,MIN(5,MATCH(MAX(Reference!$A$6,MIN(Reference!$A$11,MIN($U121,150))),Reference!$A$6:$A$11,1))))/(INDEX(Reference!$A$6:$A$11,MIN(5,MATCH(MAX(Reference!$A$6,MIN(Reference!$A$11,MIN($U121,150))),Reference!$A$6:$A$11,1))+1)-INDEX(Reference!$A$6:$A$11,MIN(5,MATCH(MAX(Reference!$A$6,MIN(Reference!$A$11,MIN($U121,150))),Reference!$A$6:$A$11,1))))),0)+IF(4&lt;=$AL121,($AL121-4+3)*(INDEX(Reference!$B$6:$B$11,MIN(5,MATCH(MAX(Reference!$A$6,MIN(Reference!$A$11,MIN($U121,180))),Reference!$A$6:$A$11,1)))+(MAX(Reference!$A$6,MIN(Reference!$A$11,MIN($U121,180)))-INDEX(Reference!$A$6:$A$11,MIN(5,MATCH(MAX(Reference!$A$6,MIN(Reference!$A$11,MIN($U121,180))),Reference!$A$6:$A$11,1))))*(INDEX(Reference!$B$6:$B$11,MIN(5,MATCH(MAX(Reference!$A$6,MIN(Reference!$A$11,MIN($U121,180))),Reference!$A$6:$A$11,1))+1)-INDEX(Reference!$B$6:$B$11,MIN(5,MATCH(MAX(Reference!$A$6,MIN(Reference!$A$11,MIN($U121,180))),Reference!$A$6:$A$11,1))))/(INDEX(Reference!$A$6:$A$11,MIN(5,MATCH(MAX(Reference!$A$6,MIN(Reference!$A$11,MIN($U121,180))),Reference!$A$6:$A$11,1))+1)-INDEX(Reference!$A$6:$A$11,MIN(5,MATCH(MAX(Reference!$A$6,MIN(Reference!$A$11,MIN($U121,180))),Reference!$A$6:$A$11,1))))),0)+IF(5&lt;=$AL121,($AL121-5+3)*(INDEX(Reference!$B$6:$B$11,MIN(5,MATCH(MAX(Reference!$A$6,MIN(Reference!$A$11,MIN($U121,210))),Reference!$A$6:$A$11,1)))+(MAX(Reference!$A$6,MIN(Reference!$A$11,MIN($U121,210)))-INDEX(Reference!$A$6:$A$11,MIN(5,MATCH(MAX(Reference!$A$6,MIN(Reference!$A$11,MIN($U121,210))),Reference!$A$6:$A$11,1))))*(INDEX(Reference!$B$6:$B$11,MIN(5,MATCH(MAX(Reference!$A$6,MIN(Reference!$A$11,MIN($U121,210))),Reference!$A$6:$A$11,1))+1)-INDEX(Reference!$B$6:$B$11,MIN(5,MATCH(MAX(Reference!$A$6,MIN(Reference!$A$11,MIN($U121,210))),Reference!$A$6:$A$11,1))))/(INDEX(Reference!$A$6:$A$11,MIN(5,MATCH(MAX(Reference!$A$6,MIN(Reference!$A$11,MIN($U121,210))),Reference!$A$6:$A$11,1))+1)-INDEX(Reference!$A$6:$A$11,MIN(5,MATCH(MAX(Reference!$A$6,MIN(Reference!$A$11,MIN($U121,210))),Reference!$A$6:$A$11,1))))),0)+IF(6&lt;=$AL121,($AL121-6+3)*(INDEX(Reference!$B$6:$B$11,MIN(5,MATCH(MAX(Reference!$A$6,MIN(Reference!$A$11,MIN($U121,240))),Reference!$A$6:$A$11,1)))+(MAX(Reference!$A$6,MIN(Reference!$A$11,MIN($U121,240)))-INDEX(Reference!$A$6:$A$11,MIN(5,MATCH(MAX(Reference!$A$6,MIN(Reference!$A$11,MIN($U121,240))),Reference!$A$6:$A$11,1))))*(INDEX(Reference!$B$6:$B$11,MIN(5,MATCH(MAX(Reference!$A$6,MIN(Reference!$A$11,MIN($U121,240))),Reference!$A$6:$A$11,1))+1)-INDEX(Reference!$B$6:$B$11,MIN(5,MATCH(MAX(Reference!$A$6,MIN(Reference!$A$11,MIN($U121,240))),Reference!$A$6:$A$11,1))))/(INDEX(Reference!$A$6:$A$11,MIN(5,MATCH(MAX(Reference!$A$6,MIN(Reference!$A$11,MIN($U121,240))),Reference!$A$6:$A$11,1))+1)-INDEX(Reference!$A$6:$A$11,MIN(5,MATCH(MAX(Reference!$A$6,MIN(Reference!$A$11,MIN($U121,240))),Reference!$A$6:$A$11,1))))),0)+IF(7&lt;=$AL121,($AL121-7+3)*(INDEX(Reference!$B$6:$B$11,MIN(5,MATCH(MAX(Reference!$A$6,MIN(Reference!$A$11,MIN($U121,270))),Reference!$A$6:$A$11,1)))+(MAX(Reference!$A$6,MIN(Reference!$A$11,MIN($U121,270)))-INDEX(Reference!$A$6:$A$11,MIN(5,MATCH(MAX(Reference!$A$6,MIN(Reference!$A$11,MIN($U121,270))),Reference!$A$6:$A$11,1))))*(INDEX(Reference!$B$6:$B$11,MIN(5,MATCH(MAX(Reference!$A$6,MIN(Reference!$A$11,MIN($U121,270))),Reference!$A$6:$A$11,1))+1)-INDEX(Reference!$B$6:$B$11,MIN(5,MATCH(MAX(Reference!$A$6,MIN(Reference!$A$11,MIN($U121,270))),Reference!$A$6:$A$11,1))))/(INDEX(Reference!$A$6:$A$11,MIN(5,MATCH(MAX(Reference!$A$6,MIN(Reference!$A$11,MIN($U121,270))),Reference!$A$6:$A$11,1))+1)-INDEX(Reference!$A$6:$A$11,MIN(5,MATCH(MAX(Reference!$A$6,MIN(Reference!$A$11,MIN($U121,270))),Reference!$A$6:$A$11,1))))),0)+IF(8&lt;=$AL121,($AL121-8+3)*(INDEX(Reference!$B$6:$B$11,MIN(5,MATCH(MAX(Reference!$A$6,MIN(Reference!$A$11,MIN($U121,300))),Reference!$A$6:$A$11,1)))+(MAX(Reference!$A$6,MIN(Reference!$A$11,MIN($U121,300)))-INDEX(Reference!$A$6:$A$11,MIN(5,MATCH(MAX(Reference!$A$6,MIN(Reference!$A$11,MIN($U121,300))),Reference!$A$6:$A$11,1))))*(INDEX(Reference!$B$6:$B$11,MIN(5,MATCH(MAX(Reference!$A$6,MIN(Reference!$A$11,MIN($U121,300))),Reference!$A$6:$A$11,1))+1)-INDEX(Reference!$B$6:$B$11,MIN(5,MATCH(MAX(Reference!$A$6,MIN(Reference!$A$11,MIN($U121,300))),Reference!$A$6:$A$11,1))))/(INDEX(Reference!$A$6:$A$11,MIN(5,MATCH(MAX(Reference!$A$6,MIN(Reference!$A$11,MIN($U121,300))),Reference!$A$6:$A$11,1))+1)-INDEX(Reference!$A$6:$A$11,MIN(5,MATCH(MAX(Reference!$A$6,MIN(Reference!$A$11,MIN($U121,300))),Reference!$A$6:$A$11,1))))),0))/($AL121*($AL121+5)/2)),$AN121))</f>
        <v>1.3</v>
      </c>
      <c r="AN121" s="32">
        <f>IF($U121="",0,(INDEX(Reference!$B$6:$B$11,MIN(5,MATCH(MAX(Reference!$A$6,MIN(Reference!$A$11,$U121)),Reference!$A$6:$A$11,1)))+(MAX(Reference!$A$6,MIN(Reference!$A$11,$U121))-INDEX(Reference!$A$6:$A$11,MIN(5,MATCH(MAX(Reference!$A$6,MIN(Reference!$A$11,$U121)),Reference!$A$6:$A$11,1))))*(INDEX(Reference!$B$6:$B$11,MIN(5,MATCH(MAX(Reference!$A$6,MIN(Reference!$A$11,$U121)),Reference!$A$6:$A$11,1))+1)-INDEX(Reference!$B$6:$B$11,MIN(5,MATCH(MAX(Reference!$A$6,MIN(Reference!$A$11,$U121)),Reference!$A$6:$A$11,1))))/(INDEX(Reference!$A$6:$A$11,MIN(5,MATCH(MAX(Reference!$A$6,MIN(Reference!$A$11,$U121)),Reference!$A$6:$A$11,1))+1)-INDEX(Reference!$A$6:$A$11,MIN(5,MATCH(MAX(Reference!$A$6,MIN(Reference!$A$11,$U121)),Reference!$A$6:$A$11,1))))))</f>
        <v>1.3</v>
      </c>
      <c r="AO121" s="37"/>
      <c r="AP121" s="37"/>
      <c r="AQ121" s="37"/>
    </row>
    <row r="122" spans="1:43" x14ac:dyDescent="0.3">
      <c r="A122" s="48">
        <f t="shared" si="55"/>
        <v>46386</v>
      </c>
      <c r="B122" s="32" t="str">
        <f t="shared" si="56"/>
        <v>Wed</v>
      </c>
      <c r="C122" s="32">
        <f t="shared" si="57"/>
        <v>5</v>
      </c>
      <c r="D122" s="32" t="str">
        <f t="shared" si="58"/>
        <v>Taper</v>
      </c>
      <c r="E122" s="32" t="str">
        <f t="shared" si="59"/>
        <v>Low</v>
      </c>
      <c r="F122" s="32" t="str">
        <f t="shared" si="60"/>
        <v>Recovery/Easy Catch</v>
      </c>
      <c r="G122" s="47" t="str">
        <f t="shared" si="61"/>
        <v>60 ft × 30 @ 65–69 mph</v>
      </c>
      <c r="H122" s="30">
        <f t="shared" si="62"/>
        <v>18</v>
      </c>
      <c r="I122" s="46">
        <f>IF($A122="","",IF(AND($L122&lt;27,$K$12=0),"Building",IFERROR(((SUM($H$116:$H122)+$K$12*IF($L122&lt;6,SUMIFS('Throw Log'!$Q$5:$Q$300,'Throw Log'!$B$5:$B$300,$D$4,'Throw Log'!$A$5:$A$300,"&gt;="&amp;($D$6+$L122-6),'Throw Log'!$A$5:$A$300,"&lt;="&amp;($D$6-1)),0))/7)/((SUM($H$95:$H122)+$K$12*IF($L122&lt;27,SUMIFS('Throw Log'!$Q$5:$Q$300,'Throw Log'!$B$5:$B$300,$D$4,'Throw Log'!$A$5:$A$300,"&gt;="&amp;($D$6+$L122-27),'Throw Log'!$A$5:$A$300,"&lt;="&amp;($D$6-1)),0))/28),"")))</f>
        <v>1.2054110076416171</v>
      </c>
      <c r="J122" s="37"/>
      <c r="K122" s="37"/>
      <c r="L122" s="32">
        <v>79</v>
      </c>
      <c r="M122" s="32">
        <f t="shared" si="63"/>
        <v>12</v>
      </c>
      <c r="N122" s="32">
        <f t="shared" si="64"/>
        <v>2</v>
      </c>
      <c r="O122" s="32">
        <f t="shared" si="65"/>
        <v>1</v>
      </c>
      <c r="P122" s="32" t="str">
        <f>IF(OR($A122="",N($C122)&lt;=7),"",$G$6*$G$9^($M122-1)*IF(AND(MOD($M122,Reference!$B$99)=0,$M122&lt;=$G$5-2),Reference!$B$100,1))</f>
        <v/>
      </c>
      <c r="Q122" s="32" t="str">
        <f>IF($P122="","",IF(SUM($AK$120:$AK$126)=0,0,$P122*INDEX(Reference!$B$108:$B$114,$N122+1)/SUM($AK$120:$AK$126)))</f>
        <v/>
      </c>
      <c r="R122" s="32">
        <f t="shared" si="66"/>
        <v>180</v>
      </c>
      <c r="S122" s="32">
        <f t="shared" si="67"/>
        <v>150</v>
      </c>
      <c r="T122" s="32" t="str">
        <f>IF($A122="","",IF($C122=0,"Bullpen",IF(OR($C122=7,$C122=1,$C122=5),"Recovery/Easy Catch",IF($C122=6,"Compression/Pulldowns",IF(OR($C122=4,$C122=2),"Long Toss",IF($C122=3,"No Throw",IF($N122=2,"No Throw",IF($N122=6,IF($O122&lt;Reference!$B$104,"No Throw","Recovery/Easy Catch"),IF(OR($N122=0,$N122=4),"Recovery/Easy Catch",IF($N122=1,IF($R122&gt;75,"Long Toss","Recovery/Easy Catch"),IF($N122=3,IF($O122&lt;0.5,IF($S122&gt;75,"Long Toss","Recovery/Easy Catch"),"Compression/Pulldowns"),IF($S122&gt;75,"Long Toss","Recovery/Easy Catch"))))))))))))</f>
        <v>Recovery/Easy Catch</v>
      </c>
      <c r="U122" s="32">
        <f t="shared" si="68"/>
        <v>60</v>
      </c>
      <c r="V122" s="32">
        <f t="shared" si="69"/>
        <v>20</v>
      </c>
      <c r="W122" s="32">
        <f t="shared" si="70"/>
        <v>24</v>
      </c>
      <c r="X122" s="32">
        <f t="shared" si="71"/>
        <v>0</v>
      </c>
      <c r="Y122" s="32" t="str">
        <f t="shared" si="72"/>
        <v/>
      </c>
      <c r="Z122" s="32" t="str">
        <f t="shared" si="73"/>
        <v/>
      </c>
      <c r="AA122" s="32">
        <f t="shared" si="74"/>
        <v>30</v>
      </c>
      <c r="AB122" s="32">
        <f>IF($A122="","",IF($T122="No Throw",0,IF($K122&lt;&gt;"",$K122,IF($AA122&lt;&gt;"",ROUND($AA122*$D$12*IF($C122=0,1,$G$10),0),MIN(IF($T122="Recovery/Easy Catch",Reference!$B$103,IF($T122="Long Toss",Reference!$B$106,Reference!$B$102)),MAX(Reference!$B$101,ROUND(MAX(0,$Q122-$AE122)/$AF122,0)))))))</f>
        <v>30</v>
      </c>
      <c r="AC122" s="32">
        <f t="shared" si="75"/>
        <v>0</v>
      </c>
      <c r="AD122" s="32" t="b">
        <f t="shared" si="76"/>
        <v>0</v>
      </c>
      <c r="AE122" s="32">
        <f>IF($X122=0,0,$X122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122+$Z122)/2,0),Reference!$A$17:$B$20,2,TRUE()))</f>
        <v>0</v>
      </c>
      <c r="AF122" s="32">
        <f>IF(OR($A122="",$U122="",$T122="No Throw"),0,$AM122*VLOOKUP(MAX(($V122+$W122)/2,0),Reference!$A$17:$B$20,2,TRUE()))</f>
        <v>0.6</v>
      </c>
      <c r="AG122" s="32">
        <f>IF($AC122=0,0,$AC122*INDEX(Reference!$B$61:$B$62,MATCH("Bullpen",Reference!$A$61:$A$62,0))*VLOOKUP(MAX($D$5-($D$9+$E$9)/2,0),Reference!$A$17:$B$20,2,TRUE()))</f>
        <v>0</v>
      </c>
      <c r="AH122" s="46">
        <f t="shared" si="77"/>
        <v>1.2054110076416171</v>
      </c>
      <c r="AI122" s="32">
        <f>IF($A122="",NA(),Reference!$A$25)</f>
        <v>0.8</v>
      </c>
      <c r="AJ122" s="32">
        <f t="shared" si="78"/>
        <v>1.3</v>
      </c>
      <c r="AK122" s="32">
        <f>IF(OR($A122="",N($C122)&lt;=7,$T122="No Throw",$J122="x"),0,INDEX(Reference!$B$108:$B$114,$N122+1))</f>
        <v>0</v>
      </c>
      <c r="AL122" s="32">
        <f t="shared" si="79"/>
        <v>1</v>
      </c>
      <c r="AM122" s="32">
        <f>IF($U122="",0,IF($AL122&gt;1,((IF(1&lt;=$AL122,($AL122-1+3)*(INDEX(Reference!$B$6:$B$11,MIN(5,MATCH(MAX(Reference!$A$6,MIN(Reference!$A$11,MIN($U122,90))),Reference!$A$6:$A$11,1)))+(MAX(Reference!$A$6,MIN(Reference!$A$11,MIN($U122,90)))-INDEX(Reference!$A$6:$A$11,MIN(5,MATCH(MAX(Reference!$A$6,MIN(Reference!$A$11,MIN($U122,90))),Reference!$A$6:$A$11,1))))*(INDEX(Reference!$B$6:$B$11,MIN(5,MATCH(MAX(Reference!$A$6,MIN(Reference!$A$11,MIN($U122,90))),Reference!$A$6:$A$11,1))+1)-INDEX(Reference!$B$6:$B$11,MIN(5,MATCH(MAX(Reference!$A$6,MIN(Reference!$A$11,MIN($U122,90))),Reference!$A$6:$A$11,1))))/(INDEX(Reference!$A$6:$A$11,MIN(5,MATCH(MAX(Reference!$A$6,MIN(Reference!$A$11,MIN($U122,90))),Reference!$A$6:$A$11,1))+1)-INDEX(Reference!$A$6:$A$11,MIN(5,MATCH(MAX(Reference!$A$6,MIN(Reference!$A$11,MIN($U122,90))),Reference!$A$6:$A$11,1))))),0)+IF(2&lt;=$AL122,($AL122-2+3)*(INDEX(Reference!$B$6:$B$11,MIN(5,MATCH(MAX(Reference!$A$6,MIN(Reference!$A$11,MIN($U122,120))),Reference!$A$6:$A$11,1)))+(MAX(Reference!$A$6,MIN(Reference!$A$11,MIN($U122,120)))-INDEX(Reference!$A$6:$A$11,MIN(5,MATCH(MAX(Reference!$A$6,MIN(Reference!$A$11,MIN($U122,120))),Reference!$A$6:$A$11,1))))*(INDEX(Reference!$B$6:$B$11,MIN(5,MATCH(MAX(Reference!$A$6,MIN(Reference!$A$11,MIN($U122,120))),Reference!$A$6:$A$11,1))+1)-INDEX(Reference!$B$6:$B$11,MIN(5,MATCH(MAX(Reference!$A$6,MIN(Reference!$A$11,MIN($U122,120))),Reference!$A$6:$A$11,1))))/(INDEX(Reference!$A$6:$A$11,MIN(5,MATCH(MAX(Reference!$A$6,MIN(Reference!$A$11,MIN($U122,120))),Reference!$A$6:$A$11,1))+1)-INDEX(Reference!$A$6:$A$11,MIN(5,MATCH(MAX(Reference!$A$6,MIN(Reference!$A$11,MIN($U122,120))),Reference!$A$6:$A$11,1))))),0)+IF(3&lt;=$AL122,($AL122-3+3)*(INDEX(Reference!$B$6:$B$11,MIN(5,MATCH(MAX(Reference!$A$6,MIN(Reference!$A$11,MIN($U122,150))),Reference!$A$6:$A$11,1)))+(MAX(Reference!$A$6,MIN(Reference!$A$11,MIN($U122,150)))-INDEX(Reference!$A$6:$A$11,MIN(5,MATCH(MAX(Reference!$A$6,MIN(Reference!$A$11,MIN($U122,150))),Reference!$A$6:$A$11,1))))*(INDEX(Reference!$B$6:$B$11,MIN(5,MATCH(MAX(Reference!$A$6,MIN(Reference!$A$11,MIN($U122,150))),Reference!$A$6:$A$11,1))+1)-INDEX(Reference!$B$6:$B$11,MIN(5,MATCH(MAX(Reference!$A$6,MIN(Reference!$A$11,MIN($U122,150))),Reference!$A$6:$A$11,1))))/(INDEX(Reference!$A$6:$A$11,MIN(5,MATCH(MAX(Reference!$A$6,MIN(Reference!$A$11,MIN($U122,150))),Reference!$A$6:$A$11,1))+1)-INDEX(Reference!$A$6:$A$11,MIN(5,MATCH(MAX(Reference!$A$6,MIN(Reference!$A$11,MIN($U122,150))),Reference!$A$6:$A$11,1))))),0)+IF(4&lt;=$AL122,($AL122-4+3)*(INDEX(Reference!$B$6:$B$11,MIN(5,MATCH(MAX(Reference!$A$6,MIN(Reference!$A$11,MIN($U122,180))),Reference!$A$6:$A$11,1)))+(MAX(Reference!$A$6,MIN(Reference!$A$11,MIN($U122,180)))-INDEX(Reference!$A$6:$A$11,MIN(5,MATCH(MAX(Reference!$A$6,MIN(Reference!$A$11,MIN($U122,180))),Reference!$A$6:$A$11,1))))*(INDEX(Reference!$B$6:$B$11,MIN(5,MATCH(MAX(Reference!$A$6,MIN(Reference!$A$11,MIN($U122,180))),Reference!$A$6:$A$11,1))+1)-INDEX(Reference!$B$6:$B$11,MIN(5,MATCH(MAX(Reference!$A$6,MIN(Reference!$A$11,MIN($U122,180))),Reference!$A$6:$A$11,1))))/(INDEX(Reference!$A$6:$A$11,MIN(5,MATCH(MAX(Reference!$A$6,MIN(Reference!$A$11,MIN($U122,180))),Reference!$A$6:$A$11,1))+1)-INDEX(Reference!$A$6:$A$11,MIN(5,MATCH(MAX(Reference!$A$6,MIN(Reference!$A$11,MIN($U122,180))),Reference!$A$6:$A$11,1))))),0)+IF(5&lt;=$AL122,($AL122-5+3)*(INDEX(Reference!$B$6:$B$11,MIN(5,MATCH(MAX(Reference!$A$6,MIN(Reference!$A$11,MIN($U122,210))),Reference!$A$6:$A$11,1)))+(MAX(Reference!$A$6,MIN(Reference!$A$11,MIN($U122,210)))-INDEX(Reference!$A$6:$A$11,MIN(5,MATCH(MAX(Reference!$A$6,MIN(Reference!$A$11,MIN($U122,210))),Reference!$A$6:$A$11,1))))*(INDEX(Reference!$B$6:$B$11,MIN(5,MATCH(MAX(Reference!$A$6,MIN(Reference!$A$11,MIN($U122,210))),Reference!$A$6:$A$11,1))+1)-INDEX(Reference!$B$6:$B$11,MIN(5,MATCH(MAX(Reference!$A$6,MIN(Reference!$A$11,MIN($U122,210))),Reference!$A$6:$A$11,1))))/(INDEX(Reference!$A$6:$A$11,MIN(5,MATCH(MAX(Reference!$A$6,MIN(Reference!$A$11,MIN($U122,210))),Reference!$A$6:$A$11,1))+1)-INDEX(Reference!$A$6:$A$11,MIN(5,MATCH(MAX(Reference!$A$6,MIN(Reference!$A$11,MIN($U122,210))),Reference!$A$6:$A$11,1))))),0)+IF(6&lt;=$AL122,($AL122-6+3)*(INDEX(Reference!$B$6:$B$11,MIN(5,MATCH(MAX(Reference!$A$6,MIN(Reference!$A$11,MIN($U122,240))),Reference!$A$6:$A$11,1)))+(MAX(Reference!$A$6,MIN(Reference!$A$11,MIN($U122,240)))-INDEX(Reference!$A$6:$A$11,MIN(5,MATCH(MAX(Reference!$A$6,MIN(Reference!$A$11,MIN($U122,240))),Reference!$A$6:$A$11,1))))*(INDEX(Reference!$B$6:$B$11,MIN(5,MATCH(MAX(Reference!$A$6,MIN(Reference!$A$11,MIN($U122,240))),Reference!$A$6:$A$11,1))+1)-INDEX(Reference!$B$6:$B$11,MIN(5,MATCH(MAX(Reference!$A$6,MIN(Reference!$A$11,MIN($U122,240))),Reference!$A$6:$A$11,1))))/(INDEX(Reference!$A$6:$A$11,MIN(5,MATCH(MAX(Reference!$A$6,MIN(Reference!$A$11,MIN($U122,240))),Reference!$A$6:$A$11,1))+1)-INDEX(Reference!$A$6:$A$11,MIN(5,MATCH(MAX(Reference!$A$6,MIN(Reference!$A$11,MIN($U122,240))),Reference!$A$6:$A$11,1))))),0)+IF(7&lt;=$AL122,($AL122-7+3)*(INDEX(Reference!$B$6:$B$11,MIN(5,MATCH(MAX(Reference!$A$6,MIN(Reference!$A$11,MIN($U122,270))),Reference!$A$6:$A$11,1)))+(MAX(Reference!$A$6,MIN(Reference!$A$11,MIN($U122,270)))-INDEX(Reference!$A$6:$A$11,MIN(5,MATCH(MAX(Reference!$A$6,MIN(Reference!$A$11,MIN($U122,270))),Reference!$A$6:$A$11,1))))*(INDEX(Reference!$B$6:$B$11,MIN(5,MATCH(MAX(Reference!$A$6,MIN(Reference!$A$11,MIN($U122,270))),Reference!$A$6:$A$11,1))+1)-INDEX(Reference!$B$6:$B$11,MIN(5,MATCH(MAX(Reference!$A$6,MIN(Reference!$A$11,MIN($U122,270))),Reference!$A$6:$A$11,1))))/(INDEX(Reference!$A$6:$A$11,MIN(5,MATCH(MAX(Reference!$A$6,MIN(Reference!$A$11,MIN($U122,270))),Reference!$A$6:$A$11,1))+1)-INDEX(Reference!$A$6:$A$11,MIN(5,MATCH(MAX(Reference!$A$6,MIN(Reference!$A$11,MIN($U122,270))),Reference!$A$6:$A$11,1))))),0)+IF(8&lt;=$AL122,($AL122-8+3)*(INDEX(Reference!$B$6:$B$11,MIN(5,MATCH(MAX(Reference!$A$6,MIN(Reference!$A$11,MIN($U122,300))),Reference!$A$6:$A$11,1)))+(MAX(Reference!$A$6,MIN(Reference!$A$11,MIN($U122,300)))-INDEX(Reference!$A$6:$A$11,MIN(5,MATCH(MAX(Reference!$A$6,MIN(Reference!$A$11,MIN($U122,300))),Reference!$A$6:$A$11,1))))*(INDEX(Reference!$B$6:$B$11,MIN(5,MATCH(MAX(Reference!$A$6,MIN(Reference!$A$11,MIN($U122,300))),Reference!$A$6:$A$11,1))+1)-INDEX(Reference!$B$6:$B$11,MIN(5,MATCH(MAX(Reference!$A$6,MIN(Reference!$A$11,MIN($U122,300))),Reference!$A$6:$A$11,1))))/(INDEX(Reference!$A$6:$A$11,MIN(5,MATCH(MAX(Reference!$A$6,MIN(Reference!$A$11,MIN($U122,300))),Reference!$A$6:$A$11,1))+1)-INDEX(Reference!$A$6:$A$11,MIN(5,MATCH(MAX(Reference!$A$6,MIN(Reference!$A$11,MIN($U122,300))),Reference!$A$6:$A$11,1))))),0))/($AL122*($AL122+5)/2)),$AN122))</f>
        <v>1</v>
      </c>
      <c r="AN122" s="32">
        <f>IF($U122="",0,(INDEX(Reference!$B$6:$B$11,MIN(5,MATCH(MAX(Reference!$A$6,MIN(Reference!$A$11,$U122)),Reference!$A$6:$A$11,1)))+(MAX(Reference!$A$6,MIN(Reference!$A$11,$U122))-INDEX(Reference!$A$6:$A$11,MIN(5,MATCH(MAX(Reference!$A$6,MIN(Reference!$A$11,$U122)),Reference!$A$6:$A$11,1))))*(INDEX(Reference!$B$6:$B$11,MIN(5,MATCH(MAX(Reference!$A$6,MIN(Reference!$A$11,$U122)),Reference!$A$6:$A$11,1))+1)-INDEX(Reference!$B$6:$B$11,MIN(5,MATCH(MAX(Reference!$A$6,MIN(Reference!$A$11,$U122)),Reference!$A$6:$A$11,1))))/(INDEX(Reference!$A$6:$A$11,MIN(5,MATCH(MAX(Reference!$A$6,MIN(Reference!$A$11,$U122)),Reference!$A$6:$A$11,1))+1)-INDEX(Reference!$A$6:$A$11,MIN(5,MATCH(MAX(Reference!$A$6,MIN(Reference!$A$11,$U122)),Reference!$A$6:$A$11,1))))))</f>
        <v>1</v>
      </c>
      <c r="AO122" s="37"/>
      <c r="AP122" s="37"/>
      <c r="AQ122" s="37"/>
    </row>
    <row r="123" spans="1:43" ht="26.4" x14ac:dyDescent="0.3">
      <c r="A123" s="48">
        <f t="shared" si="55"/>
        <v>46387</v>
      </c>
      <c r="B123" s="32" t="str">
        <f t="shared" si="56"/>
        <v>Thu</v>
      </c>
      <c r="C123" s="32">
        <f t="shared" si="57"/>
        <v>4</v>
      </c>
      <c r="D123" s="32" t="str">
        <f t="shared" si="58"/>
        <v>Taper</v>
      </c>
      <c r="E123" s="32" t="str">
        <f t="shared" si="59"/>
        <v>Medium</v>
      </c>
      <c r="F123" s="32" t="str">
        <f t="shared" si="60"/>
        <v>Long Toss</v>
      </c>
      <c r="G123" s="47" t="str">
        <f t="shared" si="61"/>
        <v>Long toss out to 135 ft — 37 throws (90×15 · 120×13 · 135×9) @ 76–79 mph + flat ground at 60 ft × 15 @ 79–81 mph</v>
      </c>
      <c r="H123" s="30">
        <f t="shared" si="62"/>
        <v>50.427500000000002</v>
      </c>
      <c r="I123" s="46">
        <f>IF($A123="","",IF(AND($L123&lt;27,$K$12=0),"Building",IFERROR(((SUM($H$117:$H123)+$K$12*IF($L123&lt;6,SUMIFS('Throw Log'!$Q$5:$Q$300,'Throw Log'!$B$5:$B$300,$D$4,'Throw Log'!$A$5:$A$300,"&gt;="&amp;($D$6+$L123-6),'Throw Log'!$A$5:$A$300,"&lt;="&amp;($D$6-1)),0))/7)/((SUM($H$96:$H123)+$K$12*IF($L123&lt;27,SUMIFS('Throw Log'!$Q$5:$Q$300,'Throw Log'!$B$5:$B$300,$D$4,'Throw Log'!$A$5:$A$300,"&gt;="&amp;($D$6+$L123-27),'Throw Log'!$A$5:$A$300,"&lt;="&amp;($D$6-1)),0))/28),"")))</f>
        <v>1.1665975728346778</v>
      </c>
      <c r="J123" s="37"/>
      <c r="K123" s="37"/>
      <c r="L123" s="32">
        <v>80</v>
      </c>
      <c r="M123" s="32">
        <f t="shared" si="63"/>
        <v>12</v>
      </c>
      <c r="N123" s="32">
        <f t="shared" si="64"/>
        <v>3</v>
      </c>
      <c r="O123" s="32">
        <f t="shared" si="65"/>
        <v>1</v>
      </c>
      <c r="P123" s="32" t="str">
        <f>IF(OR($A123="",N($C123)&lt;=7),"",$G$6*$G$9^($M123-1)*IF(AND(MOD($M123,Reference!$B$99)=0,$M123&lt;=$G$5-2),Reference!$B$100,1))</f>
        <v/>
      </c>
      <c r="Q123" s="32" t="str">
        <f>IF($P123="","",IF(SUM($AK$120:$AK$126)=0,0,$P123*INDEX(Reference!$B$108:$B$114,$N123+1)/SUM($AK$120:$AK$126)))</f>
        <v/>
      </c>
      <c r="R123" s="32">
        <f t="shared" si="66"/>
        <v>180</v>
      </c>
      <c r="S123" s="32">
        <f t="shared" si="67"/>
        <v>150</v>
      </c>
      <c r="T123" s="32" t="str">
        <f>IF($A123="","",IF($C123=0,"Bullpen",IF(OR($C123=7,$C123=1,$C123=5),"Recovery/Easy Catch",IF($C123=6,"Compression/Pulldowns",IF(OR($C123=4,$C123=2),"Long Toss",IF($C123=3,"No Throw",IF($N123=2,"No Throw",IF($N123=6,IF($O123&lt;Reference!$B$104,"No Throw","Recovery/Easy Catch"),IF(OR($N123=0,$N123=4),"Recovery/Easy Catch",IF($N123=1,IF($R123&gt;75,"Long Toss","Recovery/Easy Catch"),IF($N123=3,IF($O123&lt;0.5,IF($S123&gt;75,"Long Toss","Recovery/Easy Catch"),"Compression/Pulldowns"),IF($S123&gt;75,"Long Toss","Recovery/Easy Catch"))))))))))))</f>
        <v>Long Toss</v>
      </c>
      <c r="U123" s="32">
        <f t="shared" si="68"/>
        <v>135</v>
      </c>
      <c r="V123" s="32">
        <f t="shared" si="69"/>
        <v>10</v>
      </c>
      <c r="W123" s="32">
        <f t="shared" si="70"/>
        <v>13</v>
      </c>
      <c r="X123" s="32">
        <f t="shared" si="71"/>
        <v>15</v>
      </c>
      <c r="Y123" s="32">
        <f t="shared" si="72"/>
        <v>8</v>
      </c>
      <c r="Z123" s="32">
        <f t="shared" si="73"/>
        <v>10</v>
      </c>
      <c r="AA123" s="32">
        <f t="shared" si="74"/>
        <v>36.6579634464752</v>
      </c>
      <c r="AB123" s="32">
        <f>IF($A123="","",IF($T123="No Throw",0,IF($K123&lt;&gt;"",$K123,IF($AA123&lt;&gt;"",ROUND($AA123*$D$12*IF($C123=0,1,$G$10),0),MIN(IF($T123="Recovery/Easy Catch",Reference!$B$103,IF($T123="Long Toss",Reference!$B$106,Reference!$B$102)),MAX(Reference!$B$101,ROUND(MAX(0,$Q123-$AE123)/$AF123,0)))))))</f>
        <v>37</v>
      </c>
      <c r="AC123" s="32">
        <f t="shared" si="75"/>
        <v>0</v>
      </c>
      <c r="AD123" s="32" t="b">
        <f t="shared" si="76"/>
        <v>0</v>
      </c>
      <c r="AE123" s="32">
        <f>IF($X123=0,0,$X123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123+$Z123)/2,0),Reference!$A$17:$B$20,2,TRUE()))</f>
        <v>15</v>
      </c>
      <c r="AF123" s="32">
        <f>IF(OR($A123="",$U123="",$T123="No Throw"),0,$AM123*VLOOKUP(MAX(($V123+$W123)/2,0),Reference!$A$17:$B$20,2,TRUE()))</f>
        <v>0.95750000000000002</v>
      </c>
      <c r="AG123" s="32">
        <f>IF($AC123=0,0,$AC123*INDEX(Reference!$B$61:$B$62,MATCH("Bullpen",Reference!$A$61:$A$62,0))*VLOOKUP(MAX($D$5-($D$9+$E$9)/2,0),Reference!$A$17:$B$20,2,TRUE()))</f>
        <v>0</v>
      </c>
      <c r="AH123" s="46">
        <f t="shared" si="77"/>
        <v>1.1665975728346778</v>
      </c>
      <c r="AI123" s="32">
        <f>IF($A123="",NA(),Reference!$A$25)</f>
        <v>0.8</v>
      </c>
      <c r="AJ123" s="32">
        <f t="shared" si="78"/>
        <v>1.3</v>
      </c>
      <c r="AK123" s="32">
        <f>IF(OR($A123="",N($C123)&lt;=7,$T123="No Throw",$J123="x"),0,INDEX(Reference!$B$108:$B$114,$N123+1))</f>
        <v>0</v>
      </c>
      <c r="AL123" s="32">
        <f t="shared" si="79"/>
        <v>3</v>
      </c>
      <c r="AM123" s="32">
        <f>IF($U123="",0,IF($AL123&gt;1,((IF(1&lt;=$AL123,($AL123-1+3)*(INDEX(Reference!$B$6:$B$11,MIN(5,MATCH(MAX(Reference!$A$6,MIN(Reference!$A$11,MIN($U123,90))),Reference!$A$6:$A$11,1)))+(MAX(Reference!$A$6,MIN(Reference!$A$11,MIN($U123,90)))-INDEX(Reference!$A$6:$A$11,MIN(5,MATCH(MAX(Reference!$A$6,MIN(Reference!$A$11,MIN($U123,90))),Reference!$A$6:$A$11,1))))*(INDEX(Reference!$B$6:$B$11,MIN(5,MATCH(MAX(Reference!$A$6,MIN(Reference!$A$11,MIN($U123,90))),Reference!$A$6:$A$11,1))+1)-INDEX(Reference!$B$6:$B$11,MIN(5,MATCH(MAX(Reference!$A$6,MIN(Reference!$A$11,MIN($U123,90))),Reference!$A$6:$A$11,1))))/(INDEX(Reference!$A$6:$A$11,MIN(5,MATCH(MAX(Reference!$A$6,MIN(Reference!$A$11,MIN($U123,90))),Reference!$A$6:$A$11,1))+1)-INDEX(Reference!$A$6:$A$11,MIN(5,MATCH(MAX(Reference!$A$6,MIN(Reference!$A$11,MIN($U123,90))),Reference!$A$6:$A$11,1))))),0)+IF(2&lt;=$AL123,($AL123-2+3)*(INDEX(Reference!$B$6:$B$11,MIN(5,MATCH(MAX(Reference!$A$6,MIN(Reference!$A$11,MIN($U123,120))),Reference!$A$6:$A$11,1)))+(MAX(Reference!$A$6,MIN(Reference!$A$11,MIN($U123,120)))-INDEX(Reference!$A$6:$A$11,MIN(5,MATCH(MAX(Reference!$A$6,MIN(Reference!$A$11,MIN($U123,120))),Reference!$A$6:$A$11,1))))*(INDEX(Reference!$B$6:$B$11,MIN(5,MATCH(MAX(Reference!$A$6,MIN(Reference!$A$11,MIN($U123,120))),Reference!$A$6:$A$11,1))+1)-INDEX(Reference!$B$6:$B$11,MIN(5,MATCH(MAX(Reference!$A$6,MIN(Reference!$A$11,MIN($U123,120))),Reference!$A$6:$A$11,1))))/(INDEX(Reference!$A$6:$A$11,MIN(5,MATCH(MAX(Reference!$A$6,MIN(Reference!$A$11,MIN($U123,120))),Reference!$A$6:$A$11,1))+1)-INDEX(Reference!$A$6:$A$11,MIN(5,MATCH(MAX(Reference!$A$6,MIN(Reference!$A$11,MIN($U123,120))),Reference!$A$6:$A$11,1))))),0)+IF(3&lt;=$AL123,($AL123-3+3)*(INDEX(Reference!$B$6:$B$11,MIN(5,MATCH(MAX(Reference!$A$6,MIN(Reference!$A$11,MIN($U123,150))),Reference!$A$6:$A$11,1)))+(MAX(Reference!$A$6,MIN(Reference!$A$11,MIN($U123,150)))-INDEX(Reference!$A$6:$A$11,MIN(5,MATCH(MAX(Reference!$A$6,MIN(Reference!$A$11,MIN($U123,150))),Reference!$A$6:$A$11,1))))*(INDEX(Reference!$B$6:$B$11,MIN(5,MATCH(MAX(Reference!$A$6,MIN(Reference!$A$11,MIN($U123,150))),Reference!$A$6:$A$11,1))+1)-INDEX(Reference!$B$6:$B$11,MIN(5,MATCH(MAX(Reference!$A$6,MIN(Reference!$A$11,MIN($U123,150))),Reference!$A$6:$A$11,1))))/(INDEX(Reference!$A$6:$A$11,MIN(5,MATCH(MAX(Reference!$A$6,MIN(Reference!$A$11,MIN($U123,150))),Reference!$A$6:$A$11,1))+1)-INDEX(Reference!$A$6:$A$11,MIN(5,MATCH(MAX(Reference!$A$6,MIN(Reference!$A$11,MIN($U123,150))),Reference!$A$6:$A$11,1))))),0)+IF(4&lt;=$AL123,($AL123-4+3)*(INDEX(Reference!$B$6:$B$11,MIN(5,MATCH(MAX(Reference!$A$6,MIN(Reference!$A$11,MIN($U123,180))),Reference!$A$6:$A$11,1)))+(MAX(Reference!$A$6,MIN(Reference!$A$11,MIN($U123,180)))-INDEX(Reference!$A$6:$A$11,MIN(5,MATCH(MAX(Reference!$A$6,MIN(Reference!$A$11,MIN($U123,180))),Reference!$A$6:$A$11,1))))*(INDEX(Reference!$B$6:$B$11,MIN(5,MATCH(MAX(Reference!$A$6,MIN(Reference!$A$11,MIN($U123,180))),Reference!$A$6:$A$11,1))+1)-INDEX(Reference!$B$6:$B$11,MIN(5,MATCH(MAX(Reference!$A$6,MIN(Reference!$A$11,MIN($U123,180))),Reference!$A$6:$A$11,1))))/(INDEX(Reference!$A$6:$A$11,MIN(5,MATCH(MAX(Reference!$A$6,MIN(Reference!$A$11,MIN($U123,180))),Reference!$A$6:$A$11,1))+1)-INDEX(Reference!$A$6:$A$11,MIN(5,MATCH(MAX(Reference!$A$6,MIN(Reference!$A$11,MIN($U123,180))),Reference!$A$6:$A$11,1))))),0)+IF(5&lt;=$AL123,($AL123-5+3)*(INDEX(Reference!$B$6:$B$11,MIN(5,MATCH(MAX(Reference!$A$6,MIN(Reference!$A$11,MIN($U123,210))),Reference!$A$6:$A$11,1)))+(MAX(Reference!$A$6,MIN(Reference!$A$11,MIN($U123,210)))-INDEX(Reference!$A$6:$A$11,MIN(5,MATCH(MAX(Reference!$A$6,MIN(Reference!$A$11,MIN($U123,210))),Reference!$A$6:$A$11,1))))*(INDEX(Reference!$B$6:$B$11,MIN(5,MATCH(MAX(Reference!$A$6,MIN(Reference!$A$11,MIN($U123,210))),Reference!$A$6:$A$11,1))+1)-INDEX(Reference!$B$6:$B$11,MIN(5,MATCH(MAX(Reference!$A$6,MIN(Reference!$A$11,MIN($U123,210))),Reference!$A$6:$A$11,1))))/(INDEX(Reference!$A$6:$A$11,MIN(5,MATCH(MAX(Reference!$A$6,MIN(Reference!$A$11,MIN($U123,210))),Reference!$A$6:$A$11,1))+1)-INDEX(Reference!$A$6:$A$11,MIN(5,MATCH(MAX(Reference!$A$6,MIN(Reference!$A$11,MIN($U123,210))),Reference!$A$6:$A$11,1))))),0)+IF(6&lt;=$AL123,($AL123-6+3)*(INDEX(Reference!$B$6:$B$11,MIN(5,MATCH(MAX(Reference!$A$6,MIN(Reference!$A$11,MIN($U123,240))),Reference!$A$6:$A$11,1)))+(MAX(Reference!$A$6,MIN(Reference!$A$11,MIN($U123,240)))-INDEX(Reference!$A$6:$A$11,MIN(5,MATCH(MAX(Reference!$A$6,MIN(Reference!$A$11,MIN($U123,240))),Reference!$A$6:$A$11,1))))*(INDEX(Reference!$B$6:$B$11,MIN(5,MATCH(MAX(Reference!$A$6,MIN(Reference!$A$11,MIN($U123,240))),Reference!$A$6:$A$11,1))+1)-INDEX(Reference!$B$6:$B$11,MIN(5,MATCH(MAX(Reference!$A$6,MIN(Reference!$A$11,MIN($U123,240))),Reference!$A$6:$A$11,1))))/(INDEX(Reference!$A$6:$A$11,MIN(5,MATCH(MAX(Reference!$A$6,MIN(Reference!$A$11,MIN($U123,240))),Reference!$A$6:$A$11,1))+1)-INDEX(Reference!$A$6:$A$11,MIN(5,MATCH(MAX(Reference!$A$6,MIN(Reference!$A$11,MIN($U123,240))),Reference!$A$6:$A$11,1))))),0)+IF(7&lt;=$AL123,($AL123-7+3)*(INDEX(Reference!$B$6:$B$11,MIN(5,MATCH(MAX(Reference!$A$6,MIN(Reference!$A$11,MIN($U123,270))),Reference!$A$6:$A$11,1)))+(MAX(Reference!$A$6,MIN(Reference!$A$11,MIN($U123,270)))-INDEX(Reference!$A$6:$A$11,MIN(5,MATCH(MAX(Reference!$A$6,MIN(Reference!$A$11,MIN($U123,270))),Reference!$A$6:$A$11,1))))*(INDEX(Reference!$B$6:$B$11,MIN(5,MATCH(MAX(Reference!$A$6,MIN(Reference!$A$11,MIN($U123,270))),Reference!$A$6:$A$11,1))+1)-INDEX(Reference!$B$6:$B$11,MIN(5,MATCH(MAX(Reference!$A$6,MIN(Reference!$A$11,MIN($U123,270))),Reference!$A$6:$A$11,1))))/(INDEX(Reference!$A$6:$A$11,MIN(5,MATCH(MAX(Reference!$A$6,MIN(Reference!$A$11,MIN($U123,270))),Reference!$A$6:$A$11,1))+1)-INDEX(Reference!$A$6:$A$11,MIN(5,MATCH(MAX(Reference!$A$6,MIN(Reference!$A$11,MIN($U123,270))),Reference!$A$6:$A$11,1))))),0)+IF(8&lt;=$AL123,($AL123-8+3)*(INDEX(Reference!$B$6:$B$11,MIN(5,MATCH(MAX(Reference!$A$6,MIN(Reference!$A$11,MIN($U123,300))),Reference!$A$6:$A$11,1)))+(MAX(Reference!$A$6,MIN(Reference!$A$11,MIN($U123,300)))-INDEX(Reference!$A$6:$A$11,MIN(5,MATCH(MAX(Reference!$A$6,MIN(Reference!$A$11,MIN($U123,300))),Reference!$A$6:$A$11,1))))*(INDEX(Reference!$B$6:$B$11,MIN(5,MATCH(MAX(Reference!$A$6,MIN(Reference!$A$11,MIN($U123,300))),Reference!$A$6:$A$11,1))+1)-INDEX(Reference!$B$6:$B$11,MIN(5,MATCH(MAX(Reference!$A$6,MIN(Reference!$A$11,MIN($U123,300))),Reference!$A$6:$A$11,1))))/(INDEX(Reference!$A$6:$A$11,MIN(5,MATCH(MAX(Reference!$A$6,MIN(Reference!$A$11,MIN($U123,300))),Reference!$A$6:$A$11,1))+1)-INDEX(Reference!$A$6:$A$11,MIN(5,MATCH(MAX(Reference!$A$6,MIN(Reference!$A$11,MIN($U123,300))),Reference!$A$6:$A$11,1))))),0))/($AL123*($AL123+5)/2)),$AN123))</f>
        <v>1.5958333333333334</v>
      </c>
      <c r="AN123" s="32">
        <f>IF($U123="",0,(INDEX(Reference!$B$6:$B$11,MIN(5,MATCH(MAX(Reference!$A$6,MIN(Reference!$A$11,$U123)),Reference!$A$6:$A$11,1)))+(MAX(Reference!$A$6,MIN(Reference!$A$11,$U123))-INDEX(Reference!$A$6:$A$11,MIN(5,MATCH(MAX(Reference!$A$6,MIN(Reference!$A$11,$U123)),Reference!$A$6:$A$11,1))))*(INDEX(Reference!$B$6:$B$11,MIN(5,MATCH(MAX(Reference!$A$6,MIN(Reference!$A$11,$U123)),Reference!$A$6:$A$11,1))+1)-INDEX(Reference!$B$6:$B$11,MIN(5,MATCH(MAX(Reference!$A$6,MIN(Reference!$A$11,$U123)),Reference!$A$6:$A$11,1))))/(INDEX(Reference!$A$6:$A$11,MIN(5,MATCH(MAX(Reference!$A$6,MIN(Reference!$A$11,$U123)),Reference!$A$6:$A$11,1))+1)-INDEX(Reference!$A$6:$A$11,MIN(5,MATCH(MAX(Reference!$A$6,MIN(Reference!$A$11,$U123)),Reference!$A$6:$A$11,1))))))</f>
        <v>1.9500000000000002</v>
      </c>
      <c r="AO123" s="37"/>
      <c r="AP123" s="37"/>
      <c r="AQ123" s="37"/>
    </row>
    <row r="124" spans="1:43" x14ac:dyDescent="0.3">
      <c r="A124" s="48">
        <f t="shared" si="55"/>
        <v>46388</v>
      </c>
      <c r="B124" s="32" t="str">
        <f t="shared" si="56"/>
        <v>Fri</v>
      </c>
      <c r="C124" s="32">
        <f t="shared" si="57"/>
        <v>3</v>
      </c>
      <c r="D124" s="32" t="str">
        <f t="shared" si="58"/>
        <v>Taper</v>
      </c>
      <c r="E124" s="32" t="str">
        <f t="shared" si="59"/>
        <v>No Throw</v>
      </c>
      <c r="F124" s="32" t="str">
        <f t="shared" si="60"/>
        <v>No Throw</v>
      </c>
      <c r="G124" s="47" t="str">
        <f t="shared" si="61"/>
        <v>Off</v>
      </c>
      <c r="H124" s="30">
        <f t="shared" si="62"/>
        <v>0</v>
      </c>
      <c r="I124" s="46">
        <f>IF($A124="","",IF(AND($L124&lt;27,$K$12=0),"Building",IFERROR(((SUM($H$118:$H124)+$K$12*IF($L124&lt;6,SUMIFS('Throw Log'!$Q$5:$Q$300,'Throw Log'!$B$5:$B$300,$D$4,'Throw Log'!$A$5:$A$300,"&gt;="&amp;($D$6+$L124-6),'Throw Log'!$A$5:$A$300,"&lt;="&amp;($D$6-1)),0))/7)/((SUM($H$97:$H124)+$K$12*IF($L124&lt;27,SUMIFS('Throw Log'!$Q$5:$Q$300,'Throw Log'!$B$5:$B$300,$D$4,'Throw Log'!$A$5:$A$300,"&gt;="&amp;($D$6+$L124-27),'Throw Log'!$A$5:$A$300,"&lt;="&amp;($D$6-1)),0))/28),"")))</f>
        <v>1.0892443319269736</v>
      </c>
      <c r="J124" s="37"/>
      <c r="K124" s="37"/>
      <c r="L124" s="32">
        <v>81</v>
      </c>
      <c r="M124" s="32">
        <f t="shared" si="63"/>
        <v>12</v>
      </c>
      <c r="N124" s="32">
        <f t="shared" si="64"/>
        <v>4</v>
      </c>
      <c r="O124" s="32">
        <f t="shared" si="65"/>
        <v>1</v>
      </c>
      <c r="P124" s="32" t="str">
        <f>IF(OR($A124="",N($C124)&lt;=7),"",$G$6*$G$9^($M124-1)*IF(AND(MOD($M124,Reference!$B$99)=0,$M124&lt;=$G$5-2),Reference!$B$100,1))</f>
        <v/>
      </c>
      <c r="Q124" s="32" t="str">
        <f>IF($P124="","",IF(SUM($AK$120:$AK$126)=0,0,$P124*INDEX(Reference!$B$108:$B$114,$N124+1)/SUM($AK$120:$AK$126)))</f>
        <v/>
      </c>
      <c r="R124" s="32">
        <f t="shared" si="66"/>
        <v>180</v>
      </c>
      <c r="S124" s="32">
        <f t="shared" si="67"/>
        <v>150</v>
      </c>
      <c r="T124" s="32" t="str">
        <f>IF($A124="","",IF($C124=0,"Bullpen",IF(OR($C124=7,$C124=1,$C124=5),"Recovery/Easy Catch",IF($C124=6,"Compression/Pulldowns",IF(OR($C124=4,$C124=2),"Long Toss",IF($C124=3,"No Throw",IF($N124=2,"No Throw",IF($N124=6,IF($O124&lt;Reference!$B$104,"No Throw","Recovery/Easy Catch"),IF(OR($N124=0,$N124=4),"Recovery/Easy Catch",IF($N124=1,IF($R124&gt;75,"Long Toss","Recovery/Easy Catch"),IF($N124=3,IF($O124&lt;0.5,IF($S124&gt;75,"Long Toss","Recovery/Easy Catch"),"Compression/Pulldowns"),IF($S124&gt;75,"Long Toss","Recovery/Easy Catch"))))))))))))</f>
        <v>No Throw</v>
      </c>
      <c r="U124" s="32" t="str">
        <f t="shared" si="68"/>
        <v/>
      </c>
      <c r="V124" s="32" t="str">
        <f t="shared" si="69"/>
        <v/>
      </c>
      <c r="W124" s="32" t="str">
        <f t="shared" si="70"/>
        <v/>
      </c>
      <c r="X124" s="32">
        <f t="shared" si="71"/>
        <v>0</v>
      </c>
      <c r="Y124" s="32" t="str">
        <f t="shared" si="72"/>
        <v/>
      </c>
      <c r="Z124" s="32" t="str">
        <f t="shared" si="73"/>
        <v/>
      </c>
      <c r="AA124" s="32" t="str">
        <f t="shared" si="74"/>
        <v/>
      </c>
      <c r="AB124" s="32">
        <f>IF($A124="","",IF($T124="No Throw",0,IF($K124&lt;&gt;"",$K124,IF($AA124&lt;&gt;"",ROUND($AA124*$D$12*IF($C124=0,1,$G$10),0),MIN(IF($T124="Recovery/Easy Catch",Reference!$B$103,IF($T124="Long Toss",Reference!$B$106,Reference!$B$102)),MAX(Reference!$B$101,ROUND(MAX(0,$Q124-$AE124)/$AF124,0)))))))</f>
        <v>0</v>
      </c>
      <c r="AC124" s="32">
        <f t="shared" si="75"/>
        <v>0</v>
      </c>
      <c r="AD124" s="32" t="b">
        <f t="shared" si="76"/>
        <v>1</v>
      </c>
      <c r="AE124" s="32">
        <f>IF($X124=0,0,$X124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124+$Z124)/2,0),Reference!$A$17:$B$20,2,TRUE()))</f>
        <v>0</v>
      </c>
      <c r="AF124" s="32">
        <f>IF(OR($A124="",$U124="",$T124="No Throw"),0,$AM124*VLOOKUP(MAX(($V124+$W124)/2,0),Reference!$A$17:$B$20,2,TRUE()))</f>
        <v>0</v>
      </c>
      <c r="AG124" s="32">
        <f>IF($AC124=0,0,$AC124*INDEX(Reference!$B$61:$B$62,MATCH("Bullpen",Reference!$A$61:$A$62,0))*VLOOKUP(MAX($D$5-($D$9+$E$9)/2,0),Reference!$A$17:$B$20,2,TRUE()))</f>
        <v>0</v>
      </c>
      <c r="AH124" s="46">
        <f t="shared" si="77"/>
        <v>1.0892443319269736</v>
      </c>
      <c r="AI124" s="32">
        <f>IF($A124="",NA(),Reference!$A$25)</f>
        <v>0.8</v>
      </c>
      <c r="AJ124" s="32">
        <f t="shared" si="78"/>
        <v>1.3</v>
      </c>
      <c r="AK124" s="32">
        <f>IF(OR($A124="",N($C124)&lt;=7,$T124="No Throw",$J124="x"),0,INDEX(Reference!$B$108:$B$114,$N124+1))</f>
        <v>0</v>
      </c>
      <c r="AL124" s="32">
        <f t="shared" si="79"/>
        <v>1</v>
      </c>
      <c r="AM124" s="32">
        <f>IF($U124="",0,IF($AL124&gt;1,((IF(1&lt;=$AL124,($AL124-1+3)*(INDEX(Reference!$B$6:$B$11,MIN(5,MATCH(MAX(Reference!$A$6,MIN(Reference!$A$11,MIN($U124,90))),Reference!$A$6:$A$11,1)))+(MAX(Reference!$A$6,MIN(Reference!$A$11,MIN($U124,90)))-INDEX(Reference!$A$6:$A$11,MIN(5,MATCH(MAX(Reference!$A$6,MIN(Reference!$A$11,MIN($U124,90))),Reference!$A$6:$A$11,1))))*(INDEX(Reference!$B$6:$B$11,MIN(5,MATCH(MAX(Reference!$A$6,MIN(Reference!$A$11,MIN($U124,90))),Reference!$A$6:$A$11,1))+1)-INDEX(Reference!$B$6:$B$11,MIN(5,MATCH(MAX(Reference!$A$6,MIN(Reference!$A$11,MIN($U124,90))),Reference!$A$6:$A$11,1))))/(INDEX(Reference!$A$6:$A$11,MIN(5,MATCH(MAX(Reference!$A$6,MIN(Reference!$A$11,MIN($U124,90))),Reference!$A$6:$A$11,1))+1)-INDEX(Reference!$A$6:$A$11,MIN(5,MATCH(MAX(Reference!$A$6,MIN(Reference!$A$11,MIN($U124,90))),Reference!$A$6:$A$11,1))))),0)+IF(2&lt;=$AL124,($AL124-2+3)*(INDEX(Reference!$B$6:$B$11,MIN(5,MATCH(MAX(Reference!$A$6,MIN(Reference!$A$11,MIN($U124,120))),Reference!$A$6:$A$11,1)))+(MAX(Reference!$A$6,MIN(Reference!$A$11,MIN($U124,120)))-INDEX(Reference!$A$6:$A$11,MIN(5,MATCH(MAX(Reference!$A$6,MIN(Reference!$A$11,MIN($U124,120))),Reference!$A$6:$A$11,1))))*(INDEX(Reference!$B$6:$B$11,MIN(5,MATCH(MAX(Reference!$A$6,MIN(Reference!$A$11,MIN($U124,120))),Reference!$A$6:$A$11,1))+1)-INDEX(Reference!$B$6:$B$11,MIN(5,MATCH(MAX(Reference!$A$6,MIN(Reference!$A$11,MIN($U124,120))),Reference!$A$6:$A$11,1))))/(INDEX(Reference!$A$6:$A$11,MIN(5,MATCH(MAX(Reference!$A$6,MIN(Reference!$A$11,MIN($U124,120))),Reference!$A$6:$A$11,1))+1)-INDEX(Reference!$A$6:$A$11,MIN(5,MATCH(MAX(Reference!$A$6,MIN(Reference!$A$11,MIN($U124,120))),Reference!$A$6:$A$11,1))))),0)+IF(3&lt;=$AL124,($AL124-3+3)*(INDEX(Reference!$B$6:$B$11,MIN(5,MATCH(MAX(Reference!$A$6,MIN(Reference!$A$11,MIN($U124,150))),Reference!$A$6:$A$11,1)))+(MAX(Reference!$A$6,MIN(Reference!$A$11,MIN($U124,150)))-INDEX(Reference!$A$6:$A$11,MIN(5,MATCH(MAX(Reference!$A$6,MIN(Reference!$A$11,MIN($U124,150))),Reference!$A$6:$A$11,1))))*(INDEX(Reference!$B$6:$B$11,MIN(5,MATCH(MAX(Reference!$A$6,MIN(Reference!$A$11,MIN($U124,150))),Reference!$A$6:$A$11,1))+1)-INDEX(Reference!$B$6:$B$11,MIN(5,MATCH(MAX(Reference!$A$6,MIN(Reference!$A$11,MIN($U124,150))),Reference!$A$6:$A$11,1))))/(INDEX(Reference!$A$6:$A$11,MIN(5,MATCH(MAX(Reference!$A$6,MIN(Reference!$A$11,MIN($U124,150))),Reference!$A$6:$A$11,1))+1)-INDEX(Reference!$A$6:$A$11,MIN(5,MATCH(MAX(Reference!$A$6,MIN(Reference!$A$11,MIN($U124,150))),Reference!$A$6:$A$11,1))))),0)+IF(4&lt;=$AL124,($AL124-4+3)*(INDEX(Reference!$B$6:$B$11,MIN(5,MATCH(MAX(Reference!$A$6,MIN(Reference!$A$11,MIN($U124,180))),Reference!$A$6:$A$11,1)))+(MAX(Reference!$A$6,MIN(Reference!$A$11,MIN($U124,180)))-INDEX(Reference!$A$6:$A$11,MIN(5,MATCH(MAX(Reference!$A$6,MIN(Reference!$A$11,MIN($U124,180))),Reference!$A$6:$A$11,1))))*(INDEX(Reference!$B$6:$B$11,MIN(5,MATCH(MAX(Reference!$A$6,MIN(Reference!$A$11,MIN($U124,180))),Reference!$A$6:$A$11,1))+1)-INDEX(Reference!$B$6:$B$11,MIN(5,MATCH(MAX(Reference!$A$6,MIN(Reference!$A$11,MIN($U124,180))),Reference!$A$6:$A$11,1))))/(INDEX(Reference!$A$6:$A$11,MIN(5,MATCH(MAX(Reference!$A$6,MIN(Reference!$A$11,MIN($U124,180))),Reference!$A$6:$A$11,1))+1)-INDEX(Reference!$A$6:$A$11,MIN(5,MATCH(MAX(Reference!$A$6,MIN(Reference!$A$11,MIN($U124,180))),Reference!$A$6:$A$11,1))))),0)+IF(5&lt;=$AL124,($AL124-5+3)*(INDEX(Reference!$B$6:$B$11,MIN(5,MATCH(MAX(Reference!$A$6,MIN(Reference!$A$11,MIN($U124,210))),Reference!$A$6:$A$11,1)))+(MAX(Reference!$A$6,MIN(Reference!$A$11,MIN($U124,210)))-INDEX(Reference!$A$6:$A$11,MIN(5,MATCH(MAX(Reference!$A$6,MIN(Reference!$A$11,MIN($U124,210))),Reference!$A$6:$A$11,1))))*(INDEX(Reference!$B$6:$B$11,MIN(5,MATCH(MAX(Reference!$A$6,MIN(Reference!$A$11,MIN($U124,210))),Reference!$A$6:$A$11,1))+1)-INDEX(Reference!$B$6:$B$11,MIN(5,MATCH(MAX(Reference!$A$6,MIN(Reference!$A$11,MIN($U124,210))),Reference!$A$6:$A$11,1))))/(INDEX(Reference!$A$6:$A$11,MIN(5,MATCH(MAX(Reference!$A$6,MIN(Reference!$A$11,MIN($U124,210))),Reference!$A$6:$A$11,1))+1)-INDEX(Reference!$A$6:$A$11,MIN(5,MATCH(MAX(Reference!$A$6,MIN(Reference!$A$11,MIN($U124,210))),Reference!$A$6:$A$11,1))))),0)+IF(6&lt;=$AL124,($AL124-6+3)*(INDEX(Reference!$B$6:$B$11,MIN(5,MATCH(MAX(Reference!$A$6,MIN(Reference!$A$11,MIN($U124,240))),Reference!$A$6:$A$11,1)))+(MAX(Reference!$A$6,MIN(Reference!$A$11,MIN($U124,240)))-INDEX(Reference!$A$6:$A$11,MIN(5,MATCH(MAX(Reference!$A$6,MIN(Reference!$A$11,MIN($U124,240))),Reference!$A$6:$A$11,1))))*(INDEX(Reference!$B$6:$B$11,MIN(5,MATCH(MAX(Reference!$A$6,MIN(Reference!$A$11,MIN($U124,240))),Reference!$A$6:$A$11,1))+1)-INDEX(Reference!$B$6:$B$11,MIN(5,MATCH(MAX(Reference!$A$6,MIN(Reference!$A$11,MIN($U124,240))),Reference!$A$6:$A$11,1))))/(INDEX(Reference!$A$6:$A$11,MIN(5,MATCH(MAX(Reference!$A$6,MIN(Reference!$A$11,MIN($U124,240))),Reference!$A$6:$A$11,1))+1)-INDEX(Reference!$A$6:$A$11,MIN(5,MATCH(MAX(Reference!$A$6,MIN(Reference!$A$11,MIN($U124,240))),Reference!$A$6:$A$11,1))))),0)+IF(7&lt;=$AL124,($AL124-7+3)*(INDEX(Reference!$B$6:$B$11,MIN(5,MATCH(MAX(Reference!$A$6,MIN(Reference!$A$11,MIN($U124,270))),Reference!$A$6:$A$11,1)))+(MAX(Reference!$A$6,MIN(Reference!$A$11,MIN($U124,270)))-INDEX(Reference!$A$6:$A$11,MIN(5,MATCH(MAX(Reference!$A$6,MIN(Reference!$A$11,MIN($U124,270))),Reference!$A$6:$A$11,1))))*(INDEX(Reference!$B$6:$B$11,MIN(5,MATCH(MAX(Reference!$A$6,MIN(Reference!$A$11,MIN($U124,270))),Reference!$A$6:$A$11,1))+1)-INDEX(Reference!$B$6:$B$11,MIN(5,MATCH(MAX(Reference!$A$6,MIN(Reference!$A$11,MIN($U124,270))),Reference!$A$6:$A$11,1))))/(INDEX(Reference!$A$6:$A$11,MIN(5,MATCH(MAX(Reference!$A$6,MIN(Reference!$A$11,MIN($U124,270))),Reference!$A$6:$A$11,1))+1)-INDEX(Reference!$A$6:$A$11,MIN(5,MATCH(MAX(Reference!$A$6,MIN(Reference!$A$11,MIN($U124,270))),Reference!$A$6:$A$11,1))))),0)+IF(8&lt;=$AL124,($AL124-8+3)*(INDEX(Reference!$B$6:$B$11,MIN(5,MATCH(MAX(Reference!$A$6,MIN(Reference!$A$11,MIN($U124,300))),Reference!$A$6:$A$11,1)))+(MAX(Reference!$A$6,MIN(Reference!$A$11,MIN($U124,300)))-INDEX(Reference!$A$6:$A$11,MIN(5,MATCH(MAX(Reference!$A$6,MIN(Reference!$A$11,MIN($U124,300))),Reference!$A$6:$A$11,1))))*(INDEX(Reference!$B$6:$B$11,MIN(5,MATCH(MAX(Reference!$A$6,MIN(Reference!$A$11,MIN($U124,300))),Reference!$A$6:$A$11,1))+1)-INDEX(Reference!$B$6:$B$11,MIN(5,MATCH(MAX(Reference!$A$6,MIN(Reference!$A$11,MIN($U124,300))),Reference!$A$6:$A$11,1))))/(INDEX(Reference!$A$6:$A$11,MIN(5,MATCH(MAX(Reference!$A$6,MIN(Reference!$A$11,MIN($U124,300))),Reference!$A$6:$A$11,1))+1)-INDEX(Reference!$A$6:$A$11,MIN(5,MATCH(MAX(Reference!$A$6,MIN(Reference!$A$11,MIN($U124,300))),Reference!$A$6:$A$11,1))))),0))/($AL124*($AL124+5)/2)),$AN124))</f>
        <v>0</v>
      </c>
      <c r="AN124" s="32">
        <f>IF($U124="",0,(INDEX(Reference!$B$6:$B$11,MIN(5,MATCH(MAX(Reference!$A$6,MIN(Reference!$A$11,$U124)),Reference!$A$6:$A$11,1)))+(MAX(Reference!$A$6,MIN(Reference!$A$11,$U124))-INDEX(Reference!$A$6:$A$11,MIN(5,MATCH(MAX(Reference!$A$6,MIN(Reference!$A$11,$U124)),Reference!$A$6:$A$11,1))))*(INDEX(Reference!$B$6:$B$11,MIN(5,MATCH(MAX(Reference!$A$6,MIN(Reference!$A$11,$U124)),Reference!$A$6:$A$11,1))+1)-INDEX(Reference!$B$6:$B$11,MIN(5,MATCH(MAX(Reference!$A$6,MIN(Reference!$A$11,$U124)),Reference!$A$6:$A$11,1))))/(INDEX(Reference!$A$6:$A$11,MIN(5,MATCH(MAX(Reference!$A$6,MIN(Reference!$A$11,$U124)),Reference!$A$6:$A$11,1))+1)-INDEX(Reference!$A$6:$A$11,MIN(5,MATCH(MAX(Reference!$A$6,MIN(Reference!$A$11,$U124)),Reference!$A$6:$A$11,1))))))</f>
        <v>0</v>
      </c>
      <c r="AO124" s="37"/>
      <c r="AP124" s="37"/>
      <c r="AQ124" s="37"/>
    </row>
    <row r="125" spans="1:43" ht="26.4" x14ac:dyDescent="0.3">
      <c r="A125" s="48">
        <f t="shared" si="55"/>
        <v>46389</v>
      </c>
      <c r="B125" s="32" t="str">
        <f t="shared" si="56"/>
        <v>Sat</v>
      </c>
      <c r="C125" s="32">
        <f t="shared" si="57"/>
        <v>2</v>
      </c>
      <c r="D125" s="32" t="str">
        <f t="shared" si="58"/>
        <v>Taper</v>
      </c>
      <c r="E125" s="32" t="str">
        <f t="shared" si="59"/>
        <v>Medium</v>
      </c>
      <c r="F125" s="32" t="str">
        <f t="shared" si="60"/>
        <v>Long Toss</v>
      </c>
      <c r="G125" s="47" t="str">
        <f t="shared" si="61"/>
        <v>Long toss out to 120 ft — 35 throws (90×20 · 120×15) @ 76–79 mph + flat ground at 60 ft × 15 @ 79–81 mph</v>
      </c>
      <c r="H125" s="30">
        <f t="shared" si="62"/>
        <v>45.900000000000006</v>
      </c>
      <c r="I125" s="46">
        <f>IF($A125="","",IF(AND($L125&lt;27,$K$12=0),"Building",IFERROR(((SUM($H$119:$H125)+$K$12*IF($L125&lt;6,SUMIFS('Throw Log'!$Q$5:$Q$300,'Throw Log'!$B$5:$B$300,$D$4,'Throw Log'!$A$5:$A$300,"&gt;="&amp;($D$6+$L125-6),'Throw Log'!$A$5:$A$300,"&lt;="&amp;($D$6-1)),0))/7)/((SUM($H$98:$H125)+$K$12*IF($L125&lt;27,SUMIFS('Throw Log'!$Q$5:$Q$300,'Throw Log'!$B$5:$B$300,$D$4,'Throw Log'!$A$5:$A$300,"&gt;="&amp;($D$6+$L125-27),'Throw Log'!$A$5:$A$300,"&lt;="&amp;($D$6-1)),0))/28),"")))</f>
        <v>1.0398956347059285</v>
      </c>
      <c r="J125" s="37"/>
      <c r="K125" s="37"/>
      <c r="L125" s="32">
        <v>82</v>
      </c>
      <c r="M125" s="32">
        <f t="shared" si="63"/>
        <v>12</v>
      </c>
      <c r="N125" s="32">
        <f t="shared" si="64"/>
        <v>5</v>
      </c>
      <c r="O125" s="32">
        <f t="shared" si="65"/>
        <v>1</v>
      </c>
      <c r="P125" s="32" t="str">
        <f>IF(OR($A125="",N($C125)&lt;=7),"",$G$6*$G$9^($M125-1)*IF(AND(MOD($M125,Reference!$B$99)=0,$M125&lt;=$G$5-2),Reference!$B$100,1))</f>
        <v/>
      </c>
      <c r="Q125" s="32" t="str">
        <f>IF($P125="","",IF(SUM($AK$120:$AK$126)=0,0,$P125*INDEX(Reference!$B$108:$B$114,$N125+1)/SUM($AK$120:$AK$126)))</f>
        <v/>
      </c>
      <c r="R125" s="32">
        <f t="shared" si="66"/>
        <v>180</v>
      </c>
      <c r="S125" s="32">
        <f t="shared" si="67"/>
        <v>150</v>
      </c>
      <c r="T125" s="32" t="str">
        <f>IF($A125="","",IF($C125=0,"Bullpen",IF(OR($C125=7,$C125=1,$C125=5),"Recovery/Easy Catch",IF($C125=6,"Compression/Pulldowns",IF(OR($C125=4,$C125=2),"Long Toss",IF($C125=3,"No Throw",IF($N125=2,"No Throw",IF($N125=6,IF($O125&lt;Reference!$B$104,"No Throw","Recovery/Easy Catch"),IF(OR($N125=0,$N125=4),"Recovery/Easy Catch",IF($N125=1,IF($R125&gt;75,"Long Toss","Recovery/Easy Catch"),IF($N125=3,IF($O125&lt;0.5,IF($S125&gt;75,"Long Toss","Recovery/Easy Catch"),"Compression/Pulldowns"),IF($S125&gt;75,"Long Toss","Recovery/Easy Catch"))))))))))))</f>
        <v>Long Toss</v>
      </c>
      <c r="U125" s="32">
        <f t="shared" si="68"/>
        <v>120</v>
      </c>
      <c r="V125" s="32">
        <f t="shared" si="69"/>
        <v>10</v>
      </c>
      <c r="W125" s="32">
        <f t="shared" si="70"/>
        <v>13</v>
      </c>
      <c r="X125" s="32">
        <f t="shared" si="71"/>
        <v>15</v>
      </c>
      <c r="Y125" s="32">
        <f t="shared" si="72"/>
        <v>8</v>
      </c>
      <c r="Z125" s="32">
        <f t="shared" si="73"/>
        <v>10</v>
      </c>
      <c r="AA125" s="32">
        <f t="shared" si="74"/>
        <v>34.660194174757279</v>
      </c>
      <c r="AB125" s="32">
        <f>IF($A125="","",IF($T125="No Throw",0,IF($K125&lt;&gt;"",$K125,IF($AA125&lt;&gt;"",ROUND($AA125*$D$12*IF($C125=0,1,$G$10),0),MIN(IF($T125="Recovery/Easy Catch",Reference!$B$103,IF($T125="Long Toss",Reference!$B$106,Reference!$B$102)),MAX(Reference!$B$101,ROUND(MAX(0,$Q125-$AE125)/$AF125,0)))))))</f>
        <v>35</v>
      </c>
      <c r="AC125" s="32">
        <f t="shared" si="75"/>
        <v>0</v>
      </c>
      <c r="AD125" s="32" t="b">
        <f t="shared" si="76"/>
        <v>0</v>
      </c>
      <c r="AE125" s="32">
        <f>IF($X125=0,0,$X125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125+$Z125)/2,0),Reference!$A$17:$B$20,2,TRUE()))</f>
        <v>15</v>
      </c>
      <c r="AF125" s="32">
        <f>IF(OR($A125="",$U125="",$T125="No Throw"),0,$AM125*VLOOKUP(MAX(($V125+$W125)/2,0),Reference!$A$17:$B$20,2,TRUE()))</f>
        <v>0.8828571428571429</v>
      </c>
      <c r="AG125" s="32">
        <f>IF($AC125=0,0,$AC125*INDEX(Reference!$B$61:$B$62,MATCH("Bullpen",Reference!$A$61:$A$62,0))*VLOOKUP(MAX($D$5-($D$9+$E$9)/2,0),Reference!$A$17:$B$20,2,TRUE()))</f>
        <v>0</v>
      </c>
      <c r="AH125" s="46">
        <f t="shared" si="77"/>
        <v>1.0398956347059285</v>
      </c>
      <c r="AI125" s="32">
        <f>IF($A125="",NA(),Reference!$A$25)</f>
        <v>0.8</v>
      </c>
      <c r="AJ125" s="32">
        <f t="shared" si="78"/>
        <v>1.3</v>
      </c>
      <c r="AK125" s="32">
        <f>IF(OR($A125="",N($C125)&lt;=7,$T125="No Throw",$J125="x"),0,INDEX(Reference!$B$108:$B$114,$N125+1))</f>
        <v>0</v>
      </c>
      <c r="AL125" s="32">
        <f t="shared" si="79"/>
        <v>2</v>
      </c>
      <c r="AM125" s="32">
        <f>IF($U125="",0,IF($AL125&gt;1,((IF(1&lt;=$AL125,($AL125-1+3)*(INDEX(Reference!$B$6:$B$11,MIN(5,MATCH(MAX(Reference!$A$6,MIN(Reference!$A$11,MIN($U125,90))),Reference!$A$6:$A$11,1)))+(MAX(Reference!$A$6,MIN(Reference!$A$11,MIN($U125,90)))-INDEX(Reference!$A$6:$A$11,MIN(5,MATCH(MAX(Reference!$A$6,MIN(Reference!$A$11,MIN($U125,90))),Reference!$A$6:$A$11,1))))*(INDEX(Reference!$B$6:$B$11,MIN(5,MATCH(MAX(Reference!$A$6,MIN(Reference!$A$11,MIN($U125,90))),Reference!$A$6:$A$11,1))+1)-INDEX(Reference!$B$6:$B$11,MIN(5,MATCH(MAX(Reference!$A$6,MIN(Reference!$A$11,MIN($U125,90))),Reference!$A$6:$A$11,1))))/(INDEX(Reference!$A$6:$A$11,MIN(5,MATCH(MAX(Reference!$A$6,MIN(Reference!$A$11,MIN($U125,90))),Reference!$A$6:$A$11,1))+1)-INDEX(Reference!$A$6:$A$11,MIN(5,MATCH(MAX(Reference!$A$6,MIN(Reference!$A$11,MIN($U125,90))),Reference!$A$6:$A$11,1))))),0)+IF(2&lt;=$AL125,($AL125-2+3)*(INDEX(Reference!$B$6:$B$11,MIN(5,MATCH(MAX(Reference!$A$6,MIN(Reference!$A$11,MIN($U125,120))),Reference!$A$6:$A$11,1)))+(MAX(Reference!$A$6,MIN(Reference!$A$11,MIN($U125,120)))-INDEX(Reference!$A$6:$A$11,MIN(5,MATCH(MAX(Reference!$A$6,MIN(Reference!$A$11,MIN($U125,120))),Reference!$A$6:$A$11,1))))*(INDEX(Reference!$B$6:$B$11,MIN(5,MATCH(MAX(Reference!$A$6,MIN(Reference!$A$11,MIN($U125,120))),Reference!$A$6:$A$11,1))+1)-INDEX(Reference!$B$6:$B$11,MIN(5,MATCH(MAX(Reference!$A$6,MIN(Reference!$A$11,MIN($U125,120))),Reference!$A$6:$A$11,1))))/(INDEX(Reference!$A$6:$A$11,MIN(5,MATCH(MAX(Reference!$A$6,MIN(Reference!$A$11,MIN($U125,120))),Reference!$A$6:$A$11,1))+1)-INDEX(Reference!$A$6:$A$11,MIN(5,MATCH(MAX(Reference!$A$6,MIN(Reference!$A$11,MIN($U125,120))),Reference!$A$6:$A$11,1))))),0)+IF(3&lt;=$AL125,($AL125-3+3)*(INDEX(Reference!$B$6:$B$11,MIN(5,MATCH(MAX(Reference!$A$6,MIN(Reference!$A$11,MIN($U125,150))),Reference!$A$6:$A$11,1)))+(MAX(Reference!$A$6,MIN(Reference!$A$11,MIN($U125,150)))-INDEX(Reference!$A$6:$A$11,MIN(5,MATCH(MAX(Reference!$A$6,MIN(Reference!$A$11,MIN($U125,150))),Reference!$A$6:$A$11,1))))*(INDEX(Reference!$B$6:$B$11,MIN(5,MATCH(MAX(Reference!$A$6,MIN(Reference!$A$11,MIN($U125,150))),Reference!$A$6:$A$11,1))+1)-INDEX(Reference!$B$6:$B$11,MIN(5,MATCH(MAX(Reference!$A$6,MIN(Reference!$A$11,MIN($U125,150))),Reference!$A$6:$A$11,1))))/(INDEX(Reference!$A$6:$A$11,MIN(5,MATCH(MAX(Reference!$A$6,MIN(Reference!$A$11,MIN($U125,150))),Reference!$A$6:$A$11,1))+1)-INDEX(Reference!$A$6:$A$11,MIN(5,MATCH(MAX(Reference!$A$6,MIN(Reference!$A$11,MIN($U125,150))),Reference!$A$6:$A$11,1))))),0)+IF(4&lt;=$AL125,($AL125-4+3)*(INDEX(Reference!$B$6:$B$11,MIN(5,MATCH(MAX(Reference!$A$6,MIN(Reference!$A$11,MIN($U125,180))),Reference!$A$6:$A$11,1)))+(MAX(Reference!$A$6,MIN(Reference!$A$11,MIN($U125,180)))-INDEX(Reference!$A$6:$A$11,MIN(5,MATCH(MAX(Reference!$A$6,MIN(Reference!$A$11,MIN($U125,180))),Reference!$A$6:$A$11,1))))*(INDEX(Reference!$B$6:$B$11,MIN(5,MATCH(MAX(Reference!$A$6,MIN(Reference!$A$11,MIN($U125,180))),Reference!$A$6:$A$11,1))+1)-INDEX(Reference!$B$6:$B$11,MIN(5,MATCH(MAX(Reference!$A$6,MIN(Reference!$A$11,MIN($U125,180))),Reference!$A$6:$A$11,1))))/(INDEX(Reference!$A$6:$A$11,MIN(5,MATCH(MAX(Reference!$A$6,MIN(Reference!$A$11,MIN($U125,180))),Reference!$A$6:$A$11,1))+1)-INDEX(Reference!$A$6:$A$11,MIN(5,MATCH(MAX(Reference!$A$6,MIN(Reference!$A$11,MIN($U125,180))),Reference!$A$6:$A$11,1))))),0)+IF(5&lt;=$AL125,($AL125-5+3)*(INDEX(Reference!$B$6:$B$11,MIN(5,MATCH(MAX(Reference!$A$6,MIN(Reference!$A$11,MIN($U125,210))),Reference!$A$6:$A$11,1)))+(MAX(Reference!$A$6,MIN(Reference!$A$11,MIN($U125,210)))-INDEX(Reference!$A$6:$A$11,MIN(5,MATCH(MAX(Reference!$A$6,MIN(Reference!$A$11,MIN($U125,210))),Reference!$A$6:$A$11,1))))*(INDEX(Reference!$B$6:$B$11,MIN(5,MATCH(MAX(Reference!$A$6,MIN(Reference!$A$11,MIN($U125,210))),Reference!$A$6:$A$11,1))+1)-INDEX(Reference!$B$6:$B$11,MIN(5,MATCH(MAX(Reference!$A$6,MIN(Reference!$A$11,MIN($U125,210))),Reference!$A$6:$A$11,1))))/(INDEX(Reference!$A$6:$A$11,MIN(5,MATCH(MAX(Reference!$A$6,MIN(Reference!$A$11,MIN($U125,210))),Reference!$A$6:$A$11,1))+1)-INDEX(Reference!$A$6:$A$11,MIN(5,MATCH(MAX(Reference!$A$6,MIN(Reference!$A$11,MIN($U125,210))),Reference!$A$6:$A$11,1))))),0)+IF(6&lt;=$AL125,($AL125-6+3)*(INDEX(Reference!$B$6:$B$11,MIN(5,MATCH(MAX(Reference!$A$6,MIN(Reference!$A$11,MIN($U125,240))),Reference!$A$6:$A$11,1)))+(MAX(Reference!$A$6,MIN(Reference!$A$11,MIN($U125,240)))-INDEX(Reference!$A$6:$A$11,MIN(5,MATCH(MAX(Reference!$A$6,MIN(Reference!$A$11,MIN($U125,240))),Reference!$A$6:$A$11,1))))*(INDEX(Reference!$B$6:$B$11,MIN(5,MATCH(MAX(Reference!$A$6,MIN(Reference!$A$11,MIN($U125,240))),Reference!$A$6:$A$11,1))+1)-INDEX(Reference!$B$6:$B$11,MIN(5,MATCH(MAX(Reference!$A$6,MIN(Reference!$A$11,MIN($U125,240))),Reference!$A$6:$A$11,1))))/(INDEX(Reference!$A$6:$A$11,MIN(5,MATCH(MAX(Reference!$A$6,MIN(Reference!$A$11,MIN($U125,240))),Reference!$A$6:$A$11,1))+1)-INDEX(Reference!$A$6:$A$11,MIN(5,MATCH(MAX(Reference!$A$6,MIN(Reference!$A$11,MIN($U125,240))),Reference!$A$6:$A$11,1))))),0)+IF(7&lt;=$AL125,($AL125-7+3)*(INDEX(Reference!$B$6:$B$11,MIN(5,MATCH(MAX(Reference!$A$6,MIN(Reference!$A$11,MIN($U125,270))),Reference!$A$6:$A$11,1)))+(MAX(Reference!$A$6,MIN(Reference!$A$11,MIN($U125,270)))-INDEX(Reference!$A$6:$A$11,MIN(5,MATCH(MAX(Reference!$A$6,MIN(Reference!$A$11,MIN($U125,270))),Reference!$A$6:$A$11,1))))*(INDEX(Reference!$B$6:$B$11,MIN(5,MATCH(MAX(Reference!$A$6,MIN(Reference!$A$11,MIN($U125,270))),Reference!$A$6:$A$11,1))+1)-INDEX(Reference!$B$6:$B$11,MIN(5,MATCH(MAX(Reference!$A$6,MIN(Reference!$A$11,MIN($U125,270))),Reference!$A$6:$A$11,1))))/(INDEX(Reference!$A$6:$A$11,MIN(5,MATCH(MAX(Reference!$A$6,MIN(Reference!$A$11,MIN($U125,270))),Reference!$A$6:$A$11,1))+1)-INDEX(Reference!$A$6:$A$11,MIN(5,MATCH(MAX(Reference!$A$6,MIN(Reference!$A$11,MIN($U125,270))),Reference!$A$6:$A$11,1))))),0)+IF(8&lt;=$AL125,($AL125-8+3)*(INDEX(Reference!$B$6:$B$11,MIN(5,MATCH(MAX(Reference!$A$6,MIN(Reference!$A$11,MIN($U125,300))),Reference!$A$6:$A$11,1)))+(MAX(Reference!$A$6,MIN(Reference!$A$11,MIN($U125,300)))-INDEX(Reference!$A$6:$A$11,MIN(5,MATCH(MAX(Reference!$A$6,MIN(Reference!$A$11,MIN($U125,300))),Reference!$A$6:$A$11,1))))*(INDEX(Reference!$B$6:$B$11,MIN(5,MATCH(MAX(Reference!$A$6,MIN(Reference!$A$11,MIN($U125,300))),Reference!$A$6:$A$11,1))+1)-INDEX(Reference!$B$6:$B$11,MIN(5,MATCH(MAX(Reference!$A$6,MIN(Reference!$A$11,MIN($U125,300))),Reference!$A$6:$A$11,1))))/(INDEX(Reference!$A$6:$A$11,MIN(5,MATCH(MAX(Reference!$A$6,MIN(Reference!$A$11,MIN($U125,300))),Reference!$A$6:$A$11,1))+1)-INDEX(Reference!$A$6:$A$11,MIN(5,MATCH(MAX(Reference!$A$6,MIN(Reference!$A$11,MIN($U125,300))),Reference!$A$6:$A$11,1))))),0))/($AL125*($AL125+5)/2)),$AN125))</f>
        <v>1.4714285714285715</v>
      </c>
      <c r="AN125" s="32">
        <f>IF($U125="",0,(INDEX(Reference!$B$6:$B$11,MIN(5,MATCH(MAX(Reference!$A$6,MIN(Reference!$A$11,$U125)),Reference!$A$6:$A$11,1)))+(MAX(Reference!$A$6,MIN(Reference!$A$11,$U125))-INDEX(Reference!$A$6:$A$11,MIN(5,MATCH(MAX(Reference!$A$6,MIN(Reference!$A$11,$U125)),Reference!$A$6:$A$11,1))))*(INDEX(Reference!$B$6:$B$11,MIN(5,MATCH(MAX(Reference!$A$6,MIN(Reference!$A$11,$U125)),Reference!$A$6:$A$11,1))+1)-INDEX(Reference!$B$6:$B$11,MIN(5,MATCH(MAX(Reference!$A$6,MIN(Reference!$A$11,$U125)),Reference!$A$6:$A$11,1))))/(INDEX(Reference!$A$6:$A$11,MIN(5,MATCH(MAX(Reference!$A$6,MIN(Reference!$A$11,$U125)),Reference!$A$6:$A$11,1))+1)-INDEX(Reference!$A$6:$A$11,MIN(5,MATCH(MAX(Reference!$A$6,MIN(Reference!$A$11,$U125)),Reference!$A$6:$A$11,1))))))</f>
        <v>1.7</v>
      </c>
      <c r="AO125" s="37"/>
      <c r="AP125" s="37"/>
      <c r="AQ125" s="37"/>
    </row>
    <row r="126" spans="1:43" x14ac:dyDescent="0.3">
      <c r="A126" s="48">
        <f t="shared" si="55"/>
        <v>46390</v>
      </c>
      <c r="B126" s="32" t="str">
        <f t="shared" si="56"/>
        <v>Sun</v>
      </c>
      <c r="C126" s="32">
        <f t="shared" si="57"/>
        <v>1</v>
      </c>
      <c r="D126" s="32" t="str">
        <f t="shared" si="58"/>
        <v>Taper</v>
      </c>
      <c r="E126" s="32" t="str">
        <f t="shared" si="59"/>
        <v>Low</v>
      </c>
      <c r="F126" s="32" t="str">
        <f t="shared" si="60"/>
        <v>Recovery/Easy Catch</v>
      </c>
      <c r="G126" s="47" t="str">
        <f t="shared" si="61"/>
        <v>75 ft × 30 @ 67–71 mph</v>
      </c>
      <c r="H126" s="30">
        <f t="shared" si="62"/>
        <v>20.7</v>
      </c>
      <c r="I126" s="46">
        <f>IF($A126="","",IF(AND($L126&lt;27,$K$12=0),"Building",IFERROR(((SUM($H$120:$H126)+$K$12*IF($L126&lt;6,SUMIFS('Throw Log'!$Q$5:$Q$300,'Throw Log'!$B$5:$B$300,$D$4,'Throw Log'!$A$5:$A$300,"&gt;="&amp;($D$6+$L126-6),'Throw Log'!$A$5:$A$300,"&lt;="&amp;($D$6-1)),0))/7)/((SUM($H$99:$H126)+$K$12*IF($L126&lt;27,SUMIFS('Throw Log'!$Q$5:$Q$300,'Throw Log'!$B$5:$B$300,$D$4,'Throw Log'!$A$5:$A$300,"&gt;="&amp;($D$6+$L126-27),'Throw Log'!$A$5:$A$300,"&lt;="&amp;($D$6-1)),0))/28),"")))</f>
        <v>1.0419184133874282</v>
      </c>
      <c r="J126" s="37"/>
      <c r="K126" s="37"/>
      <c r="L126" s="32">
        <v>83</v>
      </c>
      <c r="M126" s="32">
        <f t="shared" si="63"/>
        <v>12</v>
      </c>
      <c r="N126" s="32">
        <f t="shared" si="64"/>
        <v>6</v>
      </c>
      <c r="O126" s="32">
        <f t="shared" si="65"/>
        <v>1</v>
      </c>
      <c r="P126" s="32" t="str">
        <f>IF(OR($A126="",N($C126)&lt;=7),"",$G$6*$G$9^($M126-1)*IF(AND(MOD($M126,Reference!$B$99)=0,$M126&lt;=$G$5-2),Reference!$B$100,1))</f>
        <v/>
      </c>
      <c r="Q126" s="32" t="str">
        <f>IF($P126="","",IF(SUM($AK$120:$AK$126)=0,0,$P126*INDEX(Reference!$B$108:$B$114,$N126+1)/SUM($AK$120:$AK$126)))</f>
        <v/>
      </c>
      <c r="R126" s="32">
        <f t="shared" si="66"/>
        <v>180</v>
      </c>
      <c r="S126" s="32">
        <f t="shared" si="67"/>
        <v>150</v>
      </c>
      <c r="T126" s="32" t="str">
        <f>IF($A126="","",IF($C126=0,"Bullpen",IF(OR($C126=7,$C126=1,$C126=5),"Recovery/Easy Catch",IF($C126=6,"Compression/Pulldowns",IF(OR($C126=4,$C126=2),"Long Toss",IF($C126=3,"No Throw",IF($N126=2,"No Throw",IF($N126=6,IF($O126&lt;Reference!$B$104,"No Throw","Recovery/Easy Catch"),IF(OR($N126=0,$N126=4),"Recovery/Easy Catch",IF($N126=1,IF($R126&gt;75,"Long Toss","Recovery/Easy Catch"),IF($N126=3,IF($O126&lt;0.5,IF($S126&gt;75,"Long Toss","Recovery/Easy Catch"),"Compression/Pulldowns"),IF($S126&gt;75,"Long Toss","Recovery/Easy Catch"))))))))))))</f>
        <v>Recovery/Easy Catch</v>
      </c>
      <c r="U126" s="32">
        <f t="shared" si="68"/>
        <v>75</v>
      </c>
      <c r="V126" s="32">
        <f t="shared" si="69"/>
        <v>18</v>
      </c>
      <c r="W126" s="32">
        <f t="shared" si="70"/>
        <v>22</v>
      </c>
      <c r="X126" s="32">
        <f t="shared" si="71"/>
        <v>0</v>
      </c>
      <c r="Y126" s="32" t="str">
        <f t="shared" si="72"/>
        <v/>
      </c>
      <c r="Z126" s="32" t="str">
        <f t="shared" si="73"/>
        <v/>
      </c>
      <c r="AA126" s="32">
        <f t="shared" si="74"/>
        <v>30</v>
      </c>
      <c r="AB126" s="32">
        <f>IF($A126="","",IF($T126="No Throw",0,IF($K126&lt;&gt;"",$K126,IF($AA126&lt;&gt;"",ROUND($AA126*$D$12*IF($C126=0,1,$G$10),0),MIN(IF($T126="Recovery/Easy Catch",Reference!$B$103,IF($T126="Long Toss",Reference!$B$106,Reference!$B$102)),MAX(Reference!$B$101,ROUND(MAX(0,$Q126-$AE126)/$AF126,0)))))))</f>
        <v>30</v>
      </c>
      <c r="AC126" s="32">
        <f t="shared" si="75"/>
        <v>0</v>
      </c>
      <c r="AD126" s="32" t="b">
        <f t="shared" si="76"/>
        <v>0</v>
      </c>
      <c r="AE126" s="32">
        <f>IF($X126=0,0,$X126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126+$Z126)/2,0),Reference!$A$17:$B$20,2,TRUE()))</f>
        <v>0</v>
      </c>
      <c r="AF126" s="32">
        <f>IF(OR($A126="",$U126="",$T126="No Throw"),0,$AM126*VLOOKUP(MAX(($V126+$W126)/2,0),Reference!$A$17:$B$20,2,TRUE()))</f>
        <v>0.69</v>
      </c>
      <c r="AG126" s="32">
        <f>IF($AC126=0,0,$AC126*INDEX(Reference!$B$61:$B$62,MATCH("Bullpen",Reference!$A$61:$A$62,0))*VLOOKUP(MAX($D$5-($D$9+$E$9)/2,0),Reference!$A$17:$B$20,2,TRUE()))</f>
        <v>0</v>
      </c>
      <c r="AH126" s="46">
        <f t="shared" si="77"/>
        <v>1.0419184133874282</v>
      </c>
      <c r="AI126" s="32">
        <f>IF($A126="",NA(),Reference!$A$25)</f>
        <v>0.8</v>
      </c>
      <c r="AJ126" s="32">
        <f t="shared" si="78"/>
        <v>1.3</v>
      </c>
      <c r="AK126" s="32">
        <f>IF(OR($A126="",N($C126)&lt;=7,$T126="No Throw",$J126="x"),0,INDEX(Reference!$B$108:$B$114,$N126+1))</f>
        <v>0</v>
      </c>
      <c r="AL126" s="32">
        <f t="shared" si="79"/>
        <v>1</v>
      </c>
      <c r="AM126" s="32">
        <f>IF($U126="",0,IF($AL126&gt;1,((IF(1&lt;=$AL126,($AL126-1+3)*(INDEX(Reference!$B$6:$B$11,MIN(5,MATCH(MAX(Reference!$A$6,MIN(Reference!$A$11,MIN($U126,90))),Reference!$A$6:$A$11,1)))+(MAX(Reference!$A$6,MIN(Reference!$A$11,MIN($U126,90)))-INDEX(Reference!$A$6:$A$11,MIN(5,MATCH(MAX(Reference!$A$6,MIN(Reference!$A$11,MIN($U126,90))),Reference!$A$6:$A$11,1))))*(INDEX(Reference!$B$6:$B$11,MIN(5,MATCH(MAX(Reference!$A$6,MIN(Reference!$A$11,MIN($U126,90))),Reference!$A$6:$A$11,1))+1)-INDEX(Reference!$B$6:$B$11,MIN(5,MATCH(MAX(Reference!$A$6,MIN(Reference!$A$11,MIN($U126,90))),Reference!$A$6:$A$11,1))))/(INDEX(Reference!$A$6:$A$11,MIN(5,MATCH(MAX(Reference!$A$6,MIN(Reference!$A$11,MIN($U126,90))),Reference!$A$6:$A$11,1))+1)-INDEX(Reference!$A$6:$A$11,MIN(5,MATCH(MAX(Reference!$A$6,MIN(Reference!$A$11,MIN($U126,90))),Reference!$A$6:$A$11,1))))),0)+IF(2&lt;=$AL126,($AL126-2+3)*(INDEX(Reference!$B$6:$B$11,MIN(5,MATCH(MAX(Reference!$A$6,MIN(Reference!$A$11,MIN($U126,120))),Reference!$A$6:$A$11,1)))+(MAX(Reference!$A$6,MIN(Reference!$A$11,MIN($U126,120)))-INDEX(Reference!$A$6:$A$11,MIN(5,MATCH(MAX(Reference!$A$6,MIN(Reference!$A$11,MIN($U126,120))),Reference!$A$6:$A$11,1))))*(INDEX(Reference!$B$6:$B$11,MIN(5,MATCH(MAX(Reference!$A$6,MIN(Reference!$A$11,MIN($U126,120))),Reference!$A$6:$A$11,1))+1)-INDEX(Reference!$B$6:$B$11,MIN(5,MATCH(MAX(Reference!$A$6,MIN(Reference!$A$11,MIN($U126,120))),Reference!$A$6:$A$11,1))))/(INDEX(Reference!$A$6:$A$11,MIN(5,MATCH(MAX(Reference!$A$6,MIN(Reference!$A$11,MIN($U126,120))),Reference!$A$6:$A$11,1))+1)-INDEX(Reference!$A$6:$A$11,MIN(5,MATCH(MAX(Reference!$A$6,MIN(Reference!$A$11,MIN($U126,120))),Reference!$A$6:$A$11,1))))),0)+IF(3&lt;=$AL126,($AL126-3+3)*(INDEX(Reference!$B$6:$B$11,MIN(5,MATCH(MAX(Reference!$A$6,MIN(Reference!$A$11,MIN($U126,150))),Reference!$A$6:$A$11,1)))+(MAX(Reference!$A$6,MIN(Reference!$A$11,MIN($U126,150)))-INDEX(Reference!$A$6:$A$11,MIN(5,MATCH(MAX(Reference!$A$6,MIN(Reference!$A$11,MIN($U126,150))),Reference!$A$6:$A$11,1))))*(INDEX(Reference!$B$6:$B$11,MIN(5,MATCH(MAX(Reference!$A$6,MIN(Reference!$A$11,MIN($U126,150))),Reference!$A$6:$A$11,1))+1)-INDEX(Reference!$B$6:$B$11,MIN(5,MATCH(MAX(Reference!$A$6,MIN(Reference!$A$11,MIN($U126,150))),Reference!$A$6:$A$11,1))))/(INDEX(Reference!$A$6:$A$11,MIN(5,MATCH(MAX(Reference!$A$6,MIN(Reference!$A$11,MIN($U126,150))),Reference!$A$6:$A$11,1))+1)-INDEX(Reference!$A$6:$A$11,MIN(5,MATCH(MAX(Reference!$A$6,MIN(Reference!$A$11,MIN($U126,150))),Reference!$A$6:$A$11,1))))),0)+IF(4&lt;=$AL126,($AL126-4+3)*(INDEX(Reference!$B$6:$B$11,MIN(5,MATCH(MAX(Reference!$A$6,MIN(Reference!$A$11,MIN($U126,180))),Reference!$A$6:$A$11,1)))+(MAX(Reference!$A$6,MIN(Reference!$A$11,MIN($U126,180)))-INDEX(Reference!$A$6:$A$11,MIN(5,MATCH(MAX(Reference!$A$6,MIN(Reference!$A$11,MIN($U126,180))),Reference!$A$6:$A$11,1))))*(INDEX(Reference!$B$6:$B$11,MIN(5,MATCH(MAX(Reference!$A$6,MIN(Reference!$A$11,MIN($U126,180))),Reference!$A$6:$A$11,1))+1)-INDEX(Reference!$B$6:$B$11,MIN(5,MATCH(MAX(Reference!$A$6,MIN(Reference!$A$11,MIN($U126,180))),Reference!$A$6:$A$11,1))))/(INDEX(Reference!$A$6:$A$11,MIN(5,MATCH(MAX(Reference!$A$6,MIN(Reference!$A$11,MIN($U126,180))),Reference!$A$6:$A$11,1))+1)-INDEX(Reference!$A$6:$A$11,MIN(5,MATCH(MAX(Reference!$A$6,MIN(Reference!$A$11,MIN($U126,180))),Reference!$A$6:$A$11,1))))),0)+IF(5&lt;=$AL126,($AL126-5+3)*(INDEX(Reference!$B$6:$B$11,MIN(5,MATCH(MAX(Reference!$A$6,MIN(Reference!$A$11,MIN($U126,210))),Reference!$A$6:$A$11,1)))+(MAX(Reference!$A$6,MIN(Reference!$A$11,MIN($U126,210)))-INDEX(Reference!$A$6:$A$11,MIN(5,MATCH(MAX(Reference!$A$6,MIN(Reference!$A$11,MIN($U126,210))),Reference!$A$6:$A$11,1))))*(INDEX(Reference!$B$6:$B$11,MIN(5,MATCH(MAX(Reference!$A$6,MIN(Reference!$A$11,MIN($U126,210))),Reference!$A$6:$A$11,1))+1)-INDEX(Reference!$B$6:$B$11,MIN(5,MATCH(MAX(Reference!$A$6,MIN(Reference!$A$11,MIN($U126,210))),Reference!$A$6:$A$11,1))))/(INDEX(Reference!$A$6:$A$11,MIN(5,MATCH(MAX(Reference!$A$6,MIN(Reference!$A$11,MIN($U126,210))),Reference!$A$6:$A$11,1))+1)-INDEX(Reference!$A$6:$A$11,MIN(5,MATCH(MAX(Reference!$A$6,MIN(Reference!$A$11,MIN($U126,210))),Reference!$A$6:$A$11,1))))),0)+IF(6&lt;=$AL126,($AL126-6+3)*(INDEX(Reference!$B$6:$B$11,MIN(5,MATCH(MAX(Reference!$A$6,MIN(Reference!$A$11,MIN($U126,240))),Reference!$A$6:$A$11,1)))+(MAX(Reference!$A$6,MIN(Reference!$A$11,MIN($U126,240)))-INDEX(Reference!$A$6:$A$11,MIN(5,MATCH(MAX(Reference!$A$6,MIN(Reference!$A$11,MIN($U126,240))),Reference!$A$6:$A$11,1))))*(INDEX(Reference!$B$6:$B$11,MIN(5,MATCH(MAX(Reference!$A$6,MIN(Reference!$A$11,MIN($U126,240))),Reference!$A$6:$A$11,1))+1)-INDEX(Reference!$B$6:$B$11,MIN(5,MATCH(MAX(Reference!$A$6,MIN(Reference!$A$11,MIN($U126,240))),Reference!$A$6:$A$11,1))))/(INDEX(Reference!$A$6:$A$11,MIN(5,MATCH(MAX(Reference!$A$6,MIN(Reference!$A$11,MIN($U126,240))),Reference!$A$6:$A$11,1))+1)-INDEX(Reference!$A$6:$A$11,MIN(5,MATCH(MAX(Reference!$A$6,MIN(Reference!$A$11,MIN($U126,240))),Reference!$A$6:$A$11,1))))),0)+IF(7&lt;=$AL126,($AL126-7+3)*(INDEX(Reference!$B$6:$B$11,MIN(5,MATCH(MAX(Reference!$A$6,MIN(Reference!$A$11,MIN($U126,270))),Reference!$A$6:$A$11,1)))+(MAX(Reference!$A$6,MIN(Reference!$A$11,MIN($U126,270)))-INDEX(Reference!$A$6:$A$11,MIN(5,MATCH(MAX(Reference!$A$6,MIN(Reference!$A$11,MIN($U126,270))),Reference!$A$6:$A$11,1))))*(INDEX(Reference!$B$6:$B$11,MIN(5,MATCH(MAX(Reference!$A$6,MIN(Reference!$A$11,MIN($U126,270))),Reference!$A$6:$A$11,1))+1)-INDEX(Reference!$B$6:$B$11,MIN(5,MATCH(MAX(Reference!$A$6,MIN(Reference!$A$11,MIN($U126,270))),Reference!$A$6:$A$11,1))))/(INDEX(Reference!$A$6:$A$11,MIN(5,MATCH(MAX(Reference!$A$6,MIN(Reference!$A$11,MIN($U126,270))),Reference!$A$6:$A$11,1))+1)-INDEX(Reference!$A$6:$A$11,MIN(5,MATCH(MAX(Reference!$A$6,MIN(Reference!$A$11,MIN($U126,270))),Reference!$A$6:$A$11,1))))),0)+IF(8&lt;=$AL126,($AL126-8+3)*(INDEX(Reference!$B$6:$B$11,MIN(5,MATCH(MAX(Reference!$A$6,MIN(Reference!$A$11,MIN($U126,300))),Reference!$A$6:$A$11,1)))+(MAX(Reference!$A$6,MIN(Reference!$A$11,MIN($U126,300)))-INDEX(Reference!$A$6:$A$11,MIN(5,MATCH(MAX(Reference!$A$6,MIN(Reference!$A$11,MIN($U126,300))),Reference!$A$6:$A$11,1))))*(INDEX(Reference!$B$6:$B$11,MIN(5,MATCH(MAX(Reference!$A$6,MIN(Reference!$A$11,MIN($U126,300))),Reference!$A$6:$A$11,1))+1)-INDEX(Reference!$B$6:$B$11,MIN(5,MATCH(MAX(Reference!$A$6,MIN(Reference!$A$11,MIN($U126,300))),Reference!$A$6:$A$11,1))))/(INDEX(Reference!$A$6:$A$11,MIN(5,MATCH(MAX(Reference!$A$6,MIN(Reference!$A$11,MIN($U126,300))),Reference!$A$6:$A$11,1))+1)-INDEX(Reference!$A$6:$A$11,MIN(5,MATCH(MAX(Reference!$A$6,MIN(Reference!$A$11,MIN($U126,300))),Reference!$A$6:$A$11,1))))),0))/($AL126*($AL126+5)/2)),$AN126))</f>
        <v>1.1499999999999999</v>
      </c>
      <c r="AN126" s="32">
        <f>IF($U126="",0,(INDEX(Reference!$B$6:$B$11,MIN(5,MATCH(MAX(Reference!$A$6,MIN(Reference!$A$11,$U126)),Reference!$A$6:$A$11,1)))+(MAX(Reference!$A$6,MIN(Reference!$A$11,$U126))-INDEX(Reference!$A$6:$A$11,MIN(5,MATCH(MAX(Reference!$A$6,MIN(Reference!$A$11,$U126)),Reference!$A$6:$A$11,1))))*(INDEX(Reference!$B$6:$B$11,MIN(5,MATCH(MAX(Reference!$A$6,MIN(Reference!$A$11,$U126)),Reference!$A$6:$A$11,1))+1)-INDEX(Reference!$B$6:$B$11,MIN(5,MATCH(MAX(Reference!$A$6,MIN(Reference!$A$11,$U126)),Reference!$A$6:$A$11,1))))/(INDEX(Reference!$A$6:$A$11,MIN(5,MATCH(MAX(Reference!$A$6,MIN(Reference!$A$11,$U126)),Reference!$A$6:$A$11,1))+1)-INDEX(Reference!$A$6:$A$11,MIN(5,MATCH(MAX(Reference!$A$6,MIN(Reference!$A$11,$U126)),Reference!$A$6:$A$11,1))))))</f>
        <v>1.1499999999999999</v>
      </c>
      <c r="AO126" s="37"/>
      <c r="AP126" s="37"/>
      <c r="AQ126" s="37"/>
    </row>
    <row r="127" spans="1:43" x14ac:dyDescent="0.3">
      <c r="A127" s="48">
        <f t="shared" si="55"/>
        <v>46391</v>
      </c>
      <c r="B127" s="32" t="str">
        <f t="shared" si="56"/>
        <v>Mon</v>
      </c>
      <c r="C127" s="32">
        <f t="shared" si="57"/>
        <v>0</v>
      </c>
      <c r="D127" s="32" t="str">
        <f t="shared" si="58"/>
        <v>First Bullpen</v>
      </c>
      <c r="E127" s="32" t="str">
        <f t="shared" si="59"/>
        <v>High Bullpen</v>
      </c>
      <c r="F127" s="32" t="str">
        <f t="shared" si="60"/>
        <v>Bullpen</v>
      </c>
      <c r="G127" s="47" t="str">
        <f t="shared" si="61"/>
        <v>90 ft × 25 @ 77–79 mph + MOUND × 20 pitches @ 84–86 mph</v>
      </c>
      <c r="H127" s="30">
        <f t="shared" si="62"/>
        <v>109.5</v>
      </c>
      <c r="I127" s="46">
        <f>IF($A127="","",IF(AND($L127&lt;27,$K$12=0),"Building",IFERROR(((SUM($H$121:$H127)+$K$12*IF($L127&lt;6,SUMIFS('Throw Log'!$Q$5:$Q$300,'Throw Log'!$B$5:$B$300,$D$4,'Throw Log'!$A$5:$A$300,"&gt;="&amp;($D$6+$L127-6),'Throw Log'!$A$5:$A$300,"&lt;="&amp;($D$6-1)),0))/7)/((SUM($H$100:$H127)+$K$12*IF($L127&lt;27,SUMIFS('Throw Log'!$Q$5:$Q$300,'Throw Log'!$B$5:$B$300,$D$4,'Throw Log'!$A$5:$A$300,"&gt;="&amp;($D$6+$L127-27),'Throw Log'!$A$5:$A$300,"&lt;="&amp;($D$6-1)),0))/28),"")))</f>
        <v>1.3197223370749587</v>
      </c>
      <c r="J127" s="37"/>
      <c r="K127" s="37"/>
      <c r="L127" s="32">
        <v>84</v>
      </c>
      <c r="M127" s="32">
        <f t="shared" si="63"/>
        <v>13</v>
      </c>
      <c r="N127" s="32">
        <f t="shared" si="64"/>
        <v>0</v>
      </c>
      <c r="O127" s="32">
        <f t="shared" si="65"/>
        <v>1</v>
      </c>
      <c r="P127" s="32" t="str">
        <f>IF(OR($A127="",N($C127)&lt;=7),"",$G$6*$G$9^($M127-1)*IF(AND(MOD($M127,Reference!$B$99)=0,$M127&lt;=$G$5-2),Reference!$B$100,1))</f>
        <v/>
      </c>
      <c r="Q127" s="32" t="str">
        <f>IF($P127="","",IF(SUM($AK$127:$AK$133)=0,0,$P127*INDEX(Reference!$B$108:$B$114,$N127+1)/SUM($AK$127:$AK$133)))</f>
        <v/>
      </c>
      <c r="R127" s="32">
        <f t="shared" si="66"/>
        <v>180</v>
      </c>
      <c r="S127" s="32">
        <f t="shared" si="67"/>
        <v>150</v>
      </c>
      <c r="T127" s="32" t="str">
        <f>IF($A127="","",IF($C127=0,"Bullpen",IF(OR($C127=7,$C127=1,$C127=5),"Recovery/Easy Catch",IF($C127=6,"Compression/Pulldowns",IF(OR($C127=4,$C127=2),"Long Toss",IF($C127=3,"No Throw",IF($N127=2,"No Throw",IF($N127=6,IF($O127&lt;Reference!$B$104,"No Throw","Recovery/Easy Catch"),IF(OR($N127=0,$N127=4),"Recovery/Easy Catch",IF($N127=1,IF($R127&gt;75,"Long Toss","Recovery/Easy Catch"),IF($N127=3,IF($O127&lt;0.5,IF($S127&gt;75,"Long Toss","Recovery/Easy Catch"),"Compression/Pulldowns"),IF($S127&gt;75,"Long Toss","Recovery/Easy Catch"))))))))))))</f>
        <v>Bullpen</v>
      </c>
      <c r="U127" s="32">
        <f t="shared" si="68"/>
        <v>90</v>
      </c>
      <c r="V127" s="32">
        <f t="shared" si="69"/>
        <v>10</v>
      </c>
      <c r="W127" s="32">
        <f t="shared" si="70"/>
        <v>12</v>
      </c>
      <c r="X127" s="32">
        <f t="shared" si="71"/>
        <v>0</v>
      </c>
      <c r="Y127" s="32" t="str">
        <f t="shared" si="72"/>
        <v/>
      </c>
      <c r="Z127" s="32" t="str">
        <f t="shared" si="73"/>
        <v/>
      </c>
      <c r="AA127" s="32">
        <f t="shared" si="74"/>
        <v>25</v>
      </c>
      <c r="AB127" s="32">
        <f>IF($A127="","",IF($T127="No Throw",0,IF($K127&lt;&gt;"",$K127,IF($AA127&lt;&gt;"",ROUND($AA127*$D$12*IF($C127=0,1,$G$10),0),MIN(IF($T127="Recovery/Easy Catch",Reference!$B$103,IF($T127="Long Toss",Reference!$B$106,Reference!$B$102)),MAX(Reference!$B$101,ROUND(MAX(0,$Q127-$AE127)/$AF127,0)))))))</f>
        <v>25</v>
      </c>
      <c r="AC127" s="44">
        <f t="shared" si="75"/>
        <v>20</v>
      </c>
      <c r="AD127" s="32" t="b">
        <f t="shared" si="76"/>
        <v>0</v>
      </c>
      <c r="AE127" s="32">
        <f>IF($X127=0,0,$X127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127+$Z127)/2,0),Reference!$A$17:$B$20,2,TRUE()))</f>
        <v>0</v>
      </c>
      <c r="AF127" s="32">
        <f>IF(OR($A127="",$U127="",$T127="No Throw"),0,$AM127*VLOOKUP(MAX(($V127+$W127)/2,0),Reference!$A$17:$B$20,2,TRUE()))</f>
        <v>0.78</v>
      </c>
      <c r="AG127" s="32">
        <f>IF($AC127=0,0,$AC127*INDEX(Reference!$B$61:$B$62,MATCH("Bullpen",Reference!$A$61:$A$62,0))*VLOOKUP(MAX($D$5-($D$9+$E$9)/2,0),Reference!$A$17:$B$20,2,TRUE()))</f>
        <v>90</v>
      </c>
      <c r="AH127" s="46">
        <f t="shared" si="77"/>
        <v>1.3197223370749587</v>
      </c>
      <c r="AI127" s="32">
        <f>IF($A127="",NA(),Reference!$A$25)</f>
        <v>0.8</v>
      </c>
      <c r="AJ127" s="32">
        <f t="shared" si="78"/>
        <v>1.3</v>
      </c>
      <c r="AK127" s="32">
        <f>IF(OR($A127="",N($C127)&lt;=7,$T127="No Throw",$J127="x"),0,INDEX(Reference!$B$108:$B$114,$N127+1))</f>
        <v>0</v>
      </c>
      <c r="AL127" s="32">
        <f t="shared" si="79"/>
        <v>1</v>
      </c>
      <c r="AM127" s="32">
        <f>IF($U127="",0,IF($AL127&gt;1,((IF(1&lt;=$AL127,($AL127-1+3)*(INDEX(Reference!$B$6:$B$11,MIN(5,MATCH(MAX(Reference!$A$6,MIN(Reference!$A$11,MIN($U127,90))),Reference!$A$6:$A$11,1)))+(MAX(Reference!$A$6,MIN(Reference!$A$11,MIN($U127,90)))-INDEX(Reference!$A$6:$A$11,MIN(5,MATCH(MAX(Reference!$A$6,MIN(Reference!$A$11,MIN($U127,90))),Reference!$A$6:$A$11,1))))*(INDEX(Reference!$B$6:$B$11,MIN(5,MATCH(MAX(Reference!$A$6,MIN(Reference!$A$11,MIN($U127,90))),Reference!$A$6:$A$11,1))+1)-INDEX(Reference!$B$6:$B$11,MIN(5,MATCH(MAX(Reference!$A$6,MIN(Reference!$A$11,MIN($U127,90))),Reference!$A$6:$A$11,1))))/(INDEX(Reference!$A$6:$A$11,MIN(5,MATCH(MAX(Reference!$A$6,MIN(Reference!$A$11,MIN($U127,90))),Reference!$A$6:$A$11,1))+1)-INDEX(Reference!$A$6:$A$11,MIN(5,MATCH(MAX(Reference!$A$6,MIN(Reference!$A$11,MIN($U127,90))),Reference!$A$6:$A$11,1))))),0)+IF(2&lt;=$AL127,($AL127-2+3)*(INDEX(Reference!$B$6:$B$11,MIN(5,MATCH(MAX(Reference!$A$6,MIN(Reference!$A$11,MIN($U127,120))),Reference!$A$6:$A$11,1)))+(MAX(Reference!$A$6,MIN(Reference!$A$11,MIN($U127,120)))-INDEX(Reference!$A$6:$A$11,MIN(5,MATCH(MAX(Reference!$A$6,MIN(Reference!$A$11,MIN($U127,120))),Reference!$A$6:$A$11,1))))*(INDEX(Reference!$B$6:$B$11,MIN(5,MATCH(MAX(Reference!$A$6,MIN(Reference!$A$11,MIN($U127,120))),Reference!$A$6:$A$11,1))+1)-INDEX(Reference!$B$6:$B$11,MIN(5,MATCH(MAX(Reference!$A$6,MIN(Reference!$A$11,MIN($U127,120))),Reference!$A$6:$A$11,1))))/(INDEX(Reference!$A$6:$A$11,MIN(5,MATCH(MAX(Reference!$A$6,MIN(Reference!$A$11,MIN($U127,120))),Reference!$A$6:$A$11,1))+1)-INDEX(Reference!$A$6:$A$11,MIN(5,MATCH(MAX(Reference!$A$6,MIN(Reference!$A$11,MIN($U127,120))),Reference!$A$6:$A$11,1))))),0)+IF(3&lt;=$AL127,($AL127-3+3)*(INDEX(Reference!$B$6:$B$11,MIN(5,MATCH(MAX(Reference!$A$6,MIN(Reference!$A$11,MIN($U127,150))),Reference!$A$6:$A$11,1)))+(MAX(Reference!$A$6,MIN(Reference!$A$11,MIN($U127,150)))-INDEX(Reference!$A$6:$A$11,MIN(5,MATCH(MAX(Reference!$A$6,MIN(Reference!$A$11,MIN($U127,150))),Reference!$A$6:$A$11,1))))*(INDEX(Reference!$B$6:$B$11,MIN(5,MATCH(MAX(Reference!$A$6,MIN(Reference!$A$11,MIN($U127,150))),Reference!$A$6:$A$11,1))+1)-INDEX(Reference!$B$6:$B$11,MIN(5,MATCH(MAX(Reference!$A$6,MIN(Reference!$A$11,MIN($U127,150))),Reference!$A$6:$A$11,1))))/(INDEX(Reference!$A$6:$A$11,MIN(5,MATCH(MAX(Reference!$A$6,MIN(Reference!$A$11,MIN($U127,150))),Reference!$A$6:$A$11,1))+1)-INDEX(Reference!$A$6:$A$11,MIN(5,MATCH(MAX(Reference!$A$6,MIN(Reference!$A$11,MIN($U127,150))),Reference!$A$6:$A$11,1))))),0)+IF(4&lt;=$AL127,($AL127-4+3)*(INDEX(Reference!$B$6:$B$11,MIN(5,MATCH(MAX(Reference!$A$6,MIN(Reference!$A$11,MIN($U127,180))),Reference!$A$6:$A$11,1)))+(MAX(Reference!$A$6,MIN(Reference!$A$11,MIN($U127,180)))-INDEX(Reference!$A$6:$A$11,MIN(5,MATCH(MAX(Reference!$A$6,MIN(Reference!$A$11,MIN($U127,180))),Reference!$A$6:$A$11,1))))*(INDEX(Reference!$B$6:$B$11,MIN(5,MATCH(MAX(Reference!$A$6,MIN(Reference!$A$11,MIN($U127,180))),Reference!$A$6:$A$11,1))+1)-INDEX(Reference!$B$6:$B$11,MIN(5,MATCH(MAX(Reference!$A$6,MIN(Reference!$A$11,MIN($U127,180))),Reference!$A$6:$A$11,1))))/(INDEX(Reference!$A$6:$A$11,MIN(5,MATCH(MAX(Reference!$A$6,MIN(Reference!$A$11,MIN($U127,180))),Reference!$A$6:$A$11,1))+1)-INDEX(Reference!$A$6:$A$11,MIN(5,MATCH(MAX(Reference!$A$6,MIN(Reference!$A$11,MIN($U127,180))),Reference!$A$6:$A$11,1))))),0)+IF(5&lt;=$AL127,($AL127-5+3)*(INDEX(Reference!$B$6:$B$11,MIN(5,MATCH(MAX(Reference!$A$6,MIN(Reference!$A$11,MIN($U127,210))),Reference!$A$6:$A$11,1)))+(MAX(Reference!$A$6,MIN(Reference!$A$11,MIN($U127,210)))-INDEX(Reference!$A$6:$A$11,MIN(5,MATCH(MAX(Reference!$A$6,MIN(Reference!$A$11,MIN($U127,210))),Reference!$A$6:$A$11,1))))*(INDEX(Reference!$B$6:$B$11,MIN(5,MATCH(MAX(Reference!$A$6,MIN(Reference!$A$11,MIN($U127,210))),Reference!$A$6:$A$11,1))+1)-INDEX(Reference!$B$6:$B$11,MIN(5,MATCH(MAX(Reference!$A$6,MIN(Reference!$A$11,MIN($U127,210))),Reference!$A$6:$A$11,1))))/(INDEX(Reference!$A$6:$A$11,MIN(5,MATCH(MAX(Reference!$A$6,MIN(Reference!$A$11,MIN($U127,210))),Reference!$A$6:$A$11,1))+1)-INDEX(Reference!$A$6:$A$11,MIN(5,MATCH(MAX(Reference!$A$6,MIN(Reference!$A$11,MIN($U127,210))),Reference!$A$6:$A$11,1))))),0)+IF(6&lt;=$AL127,($AL127-6+3)*(INDEX(Reference!$B$6:$B$11,MIN(5,MATCH(MAX(Reference!$A$6,MIN(Reference!$A$11,MIN($U127,240))),Reference!$A$6:$A$11,1)))+(MAX(Reference!$A$6,MIN(Reference!$A$11,MIN($U127,240)))-INDEX(Reference!$A$6:$A$11,MIN(5,MATCH(MAX(Reference!$A$6,MIN(Reference!$A$11,MIN($U127,240))),Reference!$A$6:$A$11,1))))*(INDEX(Reference!$B$6:$B$11,MIN(5,MATCH(MAX(Reference!$A$6,MIN(Reference!$A$11,MIN($U127,240))),Reference!$A$6:$A$11,1))+1)-INDEX(Reference!$B$6:$B$11,MIN(5,MATCH(MAX(Reference!$A$6,MIN(Reference!$A$11,MIN($U127,240))),Reference!$A$6:$A$11,1))))/(INDEX(Reference!$A$6:$A$11,MIN(5,MATCH(MAX(Reference!$A$6,MIN(Reference!$A$11,MIN($U127,240))),Reference!$A$6:$A$11,1))+1)-INDEX(Reference!$A$6:$A$11,MIN(5,MATCH(MAX(Reference!$A$6,MIN(Reference!$A$11,MIN($U127,240))),Reference!$A$6:$A$11,1))))),0)+IF(7&lt;=$AL127,($AL127-7+3)*(INDEX(Reference!$B$6:$B$11,MIN(5,MATCH(MAX(Reference!$A$6,MIN(Reference!$A$11,MIN($U127,270))),Reference!$A$6:$A$11,1)))+(MAX(Reference!$A$6,MIN(Reference!$A$11,MIN($U127,270)))-INDEX(Reference!$A$6:$A$11,MIN(5,MATCH(MAX(Reference!$A$6,MIN(Reference!$A$11,MIN($U127,270))),Reference!$A$6:$A$11,1))))*(INDEX(Reference!$B$6:$B$11,MIN(5,MATCH(MAX(Reference!$A$6,MIN(Reference!$A$11,MIN($U127,270))),Reference!$A$6:$A$11,1))+1)-INDEX(Reference!$B$6:$B$11,MIN(5,MATCH(MAX(Reference!$A$6,MIN(Reference!$A$11,MIN($U127,270))),Reference!$A$6:$A$11,1))))/(INDEX(Reference!$A$6:$A$11,MIN(5,MATCH(MAX(Reference!$A$6,MIN(Reference!$A$11,MIN($U127,270))),Reference!$A$6:$A$11,1))+1)-INDEX(Reference!$A$6:$A$11,MIN(5,MATCH(MAX(Reference!$A$6,MIN(Reference!$A$11,MIN($U127,270))),Reference!$A$6:$A$11,1))))),0)+IF(8&lt;=$AL127,($AL127-8+3)*(INDEX(Reference!$B$6:$B$11,MIN(5,MATCH(MAX(Reference!$A$6,MIN(Reference!$A$11,MIN($U127,300))),Reference!$A$6:$A$11,1)))+(MAX(Reference!$A$6,MIN(Reference!$A$11,MIN($U127,300)))-INDEX(Reference!$A$6:$A$11,MIN(5,MATCH(MAX(Reference!$A$6,MIN(Reference!$A$11,MIN($U127,300))),Reference!$A$6:$A$11,1))))*(INDEX(Reference!$B$6:$B$11,MIN(5,MATCH(MAX(Reference!$A$6,MIN(Reference!$A$11,MIN($U127,300))),Reference!$A$6:$A$11,1))+1)-INDEX(Reference!$B$6:$B$11,MIN(5,MATCH(MAX(Reference!$A$6,MIN(Reference!$A$11,MIN($U127,300))),Reference!$A$6:$A$11,1))))/(INDEX(Reference!$A$6:$A$11,MIN(5,MATCH(MAX(Reference!$A$6,MIN(Reference!$A$11,MIN($U127,300))),Reference!$A$6:$A$11,1))+1)-INDEX(Reference!$A$6:$A$11,MIN(5,MATCH(MAX(Reference!$A$6,MIN(Reference!$A$11,MIN($U127,300))),Reference!$A$6:$A$11,1))))),0))/($AL127*($AL127+5)/2)),$AN127))</f>
        <v>1.3</v>
      </c>
      <c r="AN127" s="32">
        <f>IF($U127="",0,(INDEX(Reference!$B$6:$B$11,MIN(5,MATCH(MAX(Reference!$A$6,MIN(Reference!$A$11,$U127)),Reference!$A$6:$A$11,1)))+(MAX(Reference!$A$6,MIN(Reference!$A$11,$U127))-INDEX(Reference!$A$6:$A$11,MIN(5,MATCH(MAX(Reference!$A$6,MIN(Reference!$A$11,$U127)),Reference!$A$6:$A$11,1))))*(INDEX(Reference!$B$6:$B$11,MIN(5,MATCH(MAX(Reference!$A$6,MIN(Reference!$A$11,$U127)),Reference!$A$6:$A$11,1))+1)-INDEX(Reference!$B$6:$B$11,MIN(5,MATCH(MAX(Reference!$A$6,MIN(Reference!$A$11,$U127)),Reference!$A$6:$A$11,1))))/(INDEX(Reference!$A$6:$A$11,MIN(5,MATCH(MAX(Reference!$A$6,MIN(Reference!$A$11,$U127)),Reference!$A$6:$A$11,1))+1)-INDEX(Reference!$A$6:$A$11,MIN(5,MATCH(MAX(Reference!$A$6,MIN(Reference!$A$11,$U127)),Reference!$A$6:$A$11,1))))))</f>
        <v>1.3</v>
      </c>
      <c r="AO127" s="37"/>
      <c r="AP127" s="37"/>
      <c r="AQ127" s="37"/>
    </row>
    <row r="128" spans="1:43" x14ac:dyDescent="0.3">
      <c r="A128" s="48" t="str">
        <f t="shared" si="55"/>
        <v/>
      </c>
      <c r="B128" s="32" t="str">
        <f t="shared" si="56"/>
        <v/>
      </c>
      <c r="C128" s="32" t="str">
        <f t="shared" si="57"/>
        <v/>
      </c>
      <c r="D128" s="32" t="str">
        <f t="shared" si="58"/>
        <v/>
      </c>
      <c r="E128" s="32" t="str">
        <f t="shared" si="59"/>
        <v/>
      </c>
      <c r="F128" s="32" t="str">
        <f t="shared" si="60"/>
        <v/>
      </c>
      <c r="G128" s="47" t="str">
        <f t="shared" si="61"/>
        <v/>
      </c>
      <c r="H128" s="30" t="str">
        <f t="shared" si="62"/>
        <v/>
      </c>
      <c r="I128" s="46" t="str">
        <f>IF($A128="","",IF(AND($L128&lt;27,$K$12=0),"Building",IFERROR(((SUM($H$122:$H128)+$K$12*IF($L128&lt;6,SUMIFS('Throw Log'!$Q$5:$Q$300,'Throw Log'!$B$5:$B$300,$D$4,'Throw Log'!$A$5:$A$300,"&gt;="&amp;($D$6+$L128-6),'Throw Log'!$A$5:$A$300,"&lt;="&amp;($D$6-1)),0))/7)/((SUM($H$101:$H128)+$K$12*IF($L128&lt;27,SUMIFS('Throw Log'!$Q$5:$Q$300,'Throw Log'!$B$5:$B$300,$D$4,'Throw Log'!$A$5:$A$300,"&gt;="&amp;($D$6+$L128-27),'Throw Log'!$A$5:$A$300,"&lt;="&amp;($D$6-1)),0))/28),"")))</f>
        <v/>
      </c>
      <c r="J128" s="37"/>
      <c r="K128" s="37"/>
      <c r="L128" s="32">
        <v>85</v>
      </c>
      <c r="M128" s="32">
        <f t="shared" si="63"/>
        <v>13</v>
      </c>
      <c r="N128" s="32">
        <f t="shared" si="64"/>
        <v>1</v>
      </c>
      <c r="O128" s="32">
        <f t="shared" si="65"/>
        <v>1</v>
      </c>
      <c r="P128" s="32" t="str">
        <f>IF(OR($A128="",N($C128)&lt;=7),"",$G$6*$G$9^($M128-1)*IF(AND(MOD($M128,Reference!$B$99)=0,$M128&lt;=$G$5-2),Reference!$B$100,1))</f>
        <v/>
      </c>
      <c r="Q128" s="32" t="str">
        <f>IF($P128="","",IF(SUM($AK$127:$AK$133)=0,0,$P128*INDEX(Reference!$B$108:$B$114,$N128+1)/SUM($AK$127:$AK$133)))</f>
        <v/>
      </c>
      <c r="R128" s="32">
        <f t="shared" si="66"/>
        <v>180</v>
      </c>
      <c r="S128" s="32">
        <f t="shared" si="67"/>
        <v>150</v>
      </c>
      <c r="T128" s="32" t="str">
        <f>IF($A128="","",IF($C128=0,"Bullpen",IF(OR($C128=7,$C128=1,$C128=5),"Recovery/Easy Catch",IF($C128=6,"Compression/Pulldowns",IF(OR($C128=4,$C128=2),"Long Toss",IF($C128=3,"No Throw",IF($N128=2,"No Throw",IF($N128=6,IF($O128&lt;Reference!$B$104,"No Throw","Recovery/Easy Catch"),IF(OR($N128=0,$N128=4),"Recovery/Easy Catch",IF($N128=1,IF($R128&gt;75,"Long Toss","Recovery/Easy Catch"),IF($N128=3,IF($O128&lt;0.5,IF($S128&gt;75,"Long Toss","Recovery/Easy Catch"),"Compression/Pulldowns"),IF($S128&gt;75,"Long Toss","Recovery/Easy Catch"))))))))))))</f>
        <v/>
      </c>
      <c r="U128" s="32" t="str">
        <f t="shared" si="68"/>
        <v/>
      </c>
      <c r="V128" s="32" t="str">
        <f t="shared" si="69"/>
        <v/>
      </c>
      <c r="W128" s="32" t="str">
        <f t="shared" si="70"/>
        <v/>
      </c>
      <c r="X128" s="32">
        <f t="shared" si="71"/>
        <v>0</v>
      </c>
      <c r="Y128" s="32" t="str">
        <f t="shared" si="72"/>
        <v/>
      </c>
      <c r="Z128" s="32" t="str">
        <f t="shared" si="73"/>
        <v/>
      </c>
      <c r="AA128" s="32" t="str">
        <f t="shared" si="74"/>
        <v/>
      </c>
      <c r="AB128" s="32" t="str">
        <f>IF($A128="","",IF($T128="No Throw",0,IF($K128&lt;&gt;"",$K128,IF($AA128&lt;&gt;"",ROUND($AA128*$D$12*IF($C128=0,1,$G$10),0),MIN(IF($T128="Recovery/Easy Catch",Reference!$B$103,IF($T128="Long Toss",Reference!$B$106,Reference!$B$102)),MAX(Reference!$B$101,ROUND(MAX(0,$Q128-$AE128)/$AF128,0)))))))</f>
        <v/>
      </c>
      <c r="AC128" s="32">
        <f t="shared" si="75"/>
        <v>0</v>
      </c>
      <c r="AD128" s="32" t="b">
        <f t="shared" si="76"/>
        <v>1</v>
      </c>
      <c r="AE128" s="32">
        <f>IF($X128=0,0,$X128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128+$Z128)/2,0),Reference!$A$17:$B$20,2,TRUE()))</f>
        <v>0</v>
      </c>
      <c r="AF128" s="32">
        <f>IF(OR($A128="",$U128="",$T128="No Throw"),0,$AM128*VLOOKUP(MAX(($V128+$W128)/2,0),Reference!$A$17:$B$20,2,TRUE()))</f>
        <v>0</v>
      </c>
      <c r="AG128" s="32">
        <f>IF($AC128=0,0,$AC128*INDEX(Reference!$B$61:$B$62,MATCH("Bullpen",Reference!$A$61:$A$62,0))*VLOOKUP(MAX($D$5-($D$9+$E$9)/2,0),Reference!$A$17:$B$20,2,TRUE()))</f>
        <v>0</v>
      </c>
      <c r="AH128" s="32" t="e">
        <f t="shared" si="77"/>
        <v>#N/A</v>
      </c>
      <c r="AI128" s="32" t="e">
        <f>IF($A128="",NA(),Reference!$A$25)</f>
        <v>#N/A</v>
      </c>
      <c r="AJ128" s="32" t="e">
        <f t="shared" si="78"/>
        <v>#N/A</v>
      </c>
      <c r="AK128" s="32">
        <f>IF(OR($A128="",N($C128)&lt;=7,$T128="No Throw",$J128="x"),0,INDEX(Reference!$B$108:$B$114,$N128+1))</f>
        <v>0</v>
      </c>
      <c r="AL128" s="32">
        <f t="shared" si="79"/>
        <v>1</v>
      </c>
      <c r="AM128" s="32">
        <f>IF($U128="",0,IF($AL128&gt;1,((IF(1&lt;=$AL128,($AL128-1+3)*(INDEX(Reference!$B$6:$B$11,MIN(5,MATCH(MAX(Reference!$A$6,MIN(Reference!$A$11,MIN($U128,90))),Reference!$A$6:$A$11,1)))+(MAX(Reference!$A$6,MIN(Reference!$A$11,MIN($U128,90)))-INDEX(Reference!$A$6:$A$11,MIN(5,MATCH(MAX(Reference!$A$6,MIN(Reference!$A$11,MIN($U128,90))),Reference!$A$6:$A$11,1))))*(INDEX(Reference!$B$6:$B$11,MIN(5,MATCH(MAX(Reference!$A$6,MIN(Reference!$A$11,MIN($U128,90))),Reference!$A$6:$A$11,1))+1)-INDEX(Reference!$B$6:$B$11,MIN(5,MATCH(MAX(Reference!$A$6,MIN(Reference!$A$11,MIN($U128,90))),Reference!$A$6:$A$11,1))))/(INDEX(Reference!$A$6:$A$11,MIN(5,MATCH(MAX(Reference!$A$6,MIN(Reference!$A$11,MIN($U128,90))),Reference!$A$6:$A$11,1))+1)-INDEX(Reference!$A$6:$A$11,MIN(5,MATCH(MAX(Reference!$A$6,MIN(Reference!$A$11,MIN($U128,90))),Reference!$A$6:$A$11,1))))),0)+IF(2&lt;=$AL128,($AL128-2+3)*(INDEX(Reference!$B$6:$B$11,MIN(5,MATCH(MAX(Reference!$A$6,MIN(Reference!$A$11,MIN($U128,120))),Reference!$A$6:$A$11,1)))+(MAX(Reference!$A$6,MIN(Reference!$A$11,MIN($U128,120)))-INDEX(Reference!$A$6:$A$11,MIN(5,MATCH(MAX(Reference!$A$6,MIN(Reference!$A$11,MIN($U128,120))),Reference!$A$6:$A$11,1))))*(INDEX(Reference!$B$6:$B$11,MIN(5,MATCH(MAX(Reference!$A$6,MIN(Reference!$A$11,MIN($U128,120))),Reference!$A$6:$A$11,1))+1)-INDEX(Reference!$B$6:$B$11,MIN(5,MATCH(MAX(Reference!$A$6,MIN(Reference!$A$11,MIN($U128,120))),Reference!$A$6:$A$11,1))))/(INDEX(Reference!$A$6:$A$11,MIN(5,MATCH(MAX(Reference!$A$6,MIN(Reference!$A$11,MIN($U128,120))),Reference!$A$6:$A$11,1))+1)-INDEX(Reference!$A$6:$A$11,MIN(5,MATCH(MAX(Reference!$A$6,MIN(Reference!$A$11,MIN($U128,120))),Reference!$A$6:$A$11,1))))),0)+IF(3&lt;=$AL128,($AL128-3+3)*(INDEX(Reference!$B$6:$B$11,MIN(5,MATCH(MAX(Reference!$A$6,MIN(Reference!$A$11,MIN($U128,150))),Reference!$A$6:$A$11,1)))+(MAX(Reference!$A$6,MIN(Reference!$A$11,MIN($U128,150)))-INDEX(Reference!$A$6:$A$11,MIN(5,MATCH(MAX(Reference!$A$6,MIN(Reference!$A$11,MIN($U128,150))),Reference!$A$6:$A$11,1))))*(INDEX(Reference!$B$6:$B$11,MIN(5,MATCH(MAX(Reference!$A$6,MIN(Reference!$A$11,MIN($U128,150))),Reference!$A$6:$A$11,1))+1)-INDEX(Reference!$B$6:$B$11,MIN(5,MATCH(MAX(Reference!$A$6,MIN(Reference!$A$11,MIN($U128,150))),Reference!$A$6:$A$11,1))))/(INDEX(Reference!$A$6:$A$11,MIN(5,MATCH(MAX(Reference!$A$6,MIN(Reference!$A$11,MIN($U128,150))),Reference!$A$6:$A$11,1))+1)-INDEX(Reference!$A$6:$A$11,MIN(5,MATCH(MAX(Reference!$A$6,MIN(Reference!$A$11,MIN($U128,150))),Reference!$A$6:$A$11,1))))),0)+IF(4&lt;=$AL128,($AL128-4+3)*(INDEX(Reference!$B$6:$B$11,MIN(5,MATCH(MAX(Reference!$A$6,MIN(Reference!$A$11,MIN($U128,180))),Reference!$A$6:$A$11,1)))+(MAX(Reference!$A$6,MIN(Reference!$A$11,MIN($U128,180)))-INDEX(Reference!$A$6:$A$11,MIN(5,MATCH(MAX(Reference!$A$6,MIN(Reference!$A$11,MIN($U128,180))),Reference!$A$6:$A$11,1))))*(INDEX(Reference!$B$6:$B$11,MIN(5,MATCH(MAX(Reference!$A$6,MIN(Reference!$A$11,MIN($U128,180))),Reference!$A$6:$A$11,1))+1)-INDEX(Reference!$B$6:$B$11,MIN(5,MATCH(MAX(Reference!$A$6,MIN(Reference!$A$11,MIN($U128,180))),Reference!$A$6:$A$11,1))))/(INDEX(Reference!$A$6:$A$11,MIN(5,MATCH(MAX(Reference!$A$6,MIN(Reference!$A$11,MIN($U128,180))),Reference!$A$6:$A$11,1))+1)-INDEX(Reference!$A$6:$A$11,MIN(5,MATCH(MAX(Reference!$A$6,MIN(Reference!$A$11,MIN($U128,180))),Reference!$A$6:$A$11,1))))),0)+IF(5&lt;=$AL128,($AL128-5+3)*(INDEX(Reference!$B$6:$B$11,MIN(5,MATCH(MAX(Reference!$A$6,MIN(Reference!$A$11,MIN($U128,210))),Reference!$A$6:$A$11,1)))+(MAX(Reference!$A$6,MIN(Reference!$A$11,MIN($U128,210)))-INDEX(Reference!$A$6:$A$11,MIN(5,MATCH(MAX(Reference!$A$6,MIN(Reference!$A$11,MIN($U128,210))),Reference!$A$6:$A$11,1))))*(INDEX(Reference!$B$6:$B$11,MIN(5,MATCH(MAX(Reference!$A$6,MIN(Reference!$A$11,MIN($U128,210))),Reference!$A$6:$A$11,1))+1)-INDEX(Reference!$B$6:$B$11,MIN(5,MATCH(MAX(Reference!$A$6,MIN(Reference!$A$11,MIN($U128,210))),Reference!$A$6:$A$11,1))))/(INDEX(Reference!$A$6:$A$11,MIN(5,MATCH(MAX(Reference!$A$6,MIN(Reference!$A$11,MIN($U128,210))),Reference!$A$6:$A$11,1))+1)-INDEX(Reference!$A$6:$A$11,MIN(5,MATCH(MAX(Reference!$A$6,MIN(Reference!$A$11,MIN($U128,210))),Reference!$A$6:$A$11,1))))),0)+IF(6&lt;=$AL128,($AL128-6+3)*(INDEX(Reference!$B$6:$B$11,MIN(5,MATCH(MAX(Reference!$A$6,MIN(Reference!$A$11,MIN($U128,240))),Reference!$A$6:$A$11,1)))+(MAX(Reference!$A$6,MIN(Reference!$A$11,MIN($U128,240)))-INDEX(Reference!$A$6:$A$11,MIN(5,MATCH(MAX(Reference!$A$6,MIN(Reference!$A$11,MIN($U128,240))),Reference!$A$6:$A$11,1))))*(INDEX(Reference!$B$6:$B$11,MIN(5,MATCH(MAX(Reference!$A$6,MIN(Reference!$A$11,MIN($U128,240))),Reference!$A$6:$A$11,1))+1)-INDEX(Reference!$B$6:$B$11,MIN(5,MATCH(MAX(Reference!$A$6,MIN(Reference!$A$11,MIN($U128,240))),Reference!$A$6:$A$11,1))))/(INDEX(Reference!$A$6:$A$11,MIN(5,MATCH(MAX(Reference!$A$6,MIN(Reference!$A$11,MIN($U128,240))),Reference!$A$6:$A$11,1))+1)-INDEX(Reference!$A$6:$A$11,MIN(5,MATCH(MAX(Reference!$A$6,MIN(Reference!$A$11,MIN($U128,240))),Reference!$A$6:$A$11,1))))),0)+IF(7&lt;=$AL128,($AL128-7+3)*(INDEX(Reference!$B$6:$B$11,MIN(5,MATCH(MAX(Reference!$A$6,MIN(Reference!$A$11,MIN($U128,270))),Reference!$A$6:$A$11,1)))+(MAX(Reference!$A$6,MIN(Reference!$A$11,MIN($U128,270)))-INDEX(Reference!$A$6:$A$11,MIN(5,MATCH(MAX(Reference!$A$6,MIN(Reference!$A$11,MIN($U128,270))),Reference!$A$6:$A$11,1))))*(INDEX(Reference!$B$6:$B$11,MIN(5,MATCH(MAX(Reference!$A$6,MIN(Reference!$A$11,MIN($U128,270))),Reference!$A$6:$A$11,1))+1)-INDEX(Reference!$B$6:$B$11,MIN(5,MATCH(MAX(Reference!$A$6,MIN(Reference!$A$11,MIN($U128,270))),Reference!$A$6:$A$11,1))))/(INDEX(Reference!$A$6:$A$11,MIN(5,MATCH(MAX(Reference!$A$6,MIN(Reference!$A$11,MIN($U128,270))),Reference!$A$6:$A$11,1))+1)-INDEX(Reference!$A$6:$A$11,MIN(5,MATCH(MAX(Reference!$A$6,MIN(Reference!$A$11,MIN($U128,270))),Reference!$A$6:$A$11,1))))),0)+IF(8&lt;=$AL128,($AL128-8+3)*(INDEX(Reference!$B$6:$B$11,MIN(5,MATCH(MAX(Reference!$A$6,MIN(Reference!$A$11,MIN($U128,300))),Reference!$A$6:$A$11,1)))+(MAX(Reference!$A$6,MIN(Reference!$A$11,MIN($U128,300)))-INDEX(Reference!$A$6:$A$11,MIN(5,MATCH(MAX(Reference!$A$6,MIN(Reference!$A$11,MIN($U128,300))),Reference!$A$6:$A$11,1))))*(INDEX(Reference!$B$6:$B$11,MIN(5,MATCH(MAX(Reference!$A$6,MIN(Reference!$A$11,MIN($U128,300))),Reference!$A$6:$A$11,1))+1)-INDEX(Reference!$B$6:$B$11,MIN(5,MATCH(MAX(Reference!$A$6,MIN(Reference!$A$11,MIN($U128,300))),Reference!$A$6:$A$11,1))))/(INDEX(Reference!$A$6:$A$11,MIN(5,MATCH(MAX(Reference!$A$6,MIN(Reference!$A$11,MIN($U128,300))),Reference!$A$6:$A$11,1))+1)-INDEX(Reference!$A$6:$A$11,MIN(5,MATCH(MAX(Reference!$A$6,MIN(Reference!$A$11,MIN($U128,300))),Reference!$A$6:$A$11,1))))),0))/($AL128*($AL128+5)/2)),$AN128))</f>
        <v>0</v>
      </c>
      <c r="AN128" s="32">
        <f>IF($U128="",0,(INDEX(Reference!$B$6:$B$11,MIN(5,MATCH(MAX(Reference!$A$6,MIN(Reference!$A$11,$U128)),Reference!$A$6:$A$11,1)))+(MAX(Reference!$A$6,MIN(Reference!$A$11,$U128))-INDEX(Reference!$A$6:$A$11,MIN(5,MATCH(MAX(Reference!$A$6,MIN(Reference!$A$11,$U128)),Reference!$A$6:$A$11,1))))*(INDEX(Reference!$B$6:$B$11,MIN(5,MATCH(MAX(Reference!$A$6,MIN(Reference!$A$11,$U128)),Reference!$A$6:$A$11,1))+1)-INDEX(Reference!$B$6:$B$11,MIN(5,MATCH(MAX(Reference!$A$6,MIN(Reference!$A$11,$U128)),Reference!$A$6:$A$11,1))))/(INDEX(Reference!$A$6:$A$11,MIN(5,MATCH(MAX(Reference!$A$6,MIN(Reference!$A$11,$U128)),Reference!$A$6:$A$11,1))+1)-INDEX(Reference!$A$6:$A$11,MIN(5,MATCH(MAX(Reference!$A$6,MIN(Reference!$A$11,$U128)),Reference!$A$6:$A$11,1))))))</f>
        <v>0</v>
      </c>
      <c r="AO128" s="37"/>
      <c r="AP128" s="37"/>
      <c r="AQ128" s="37"/>
    </row>
    <row r="129" spans="1:43" x14ac:dyDescent="0.3">
      <c r="A129" s="48" t="str">
        <f t="shared" si="55"/>
        <v/>
      </c>
      <c r="B129" s="32" t="str">
        <f t="shared" si="56"/>
        <v/>
      </c>
      <c r="C129" s="32" t="str">
        <f t="shared" si="57"/>
        <v/>
      </c>
      <c r="D129" s="32" t="str">
        <f t="shared" si="58"/>
        <v/>
      </c>
      <c r="E129" s="32" t="str">
        <f t="shared" si="59"/>
        <v/>
      </c>
      <c r="F129" s="32" t="str">
        <f t="shared" si="60"/>
        <v/>
      </c>
      <c r="G129" s="47" t="str">
        <f t="shared" si="61"/>
        <v/>
      </c>
      <c r="H129" s="30" t="str">
        <f t="shared" si="62"/>
        <v/>
      </c>
      <c r="I129" s="46" t="str">
        <f>IF($A129="","",IF(AND($L129&lt;27,$K$12=0),"Building",IFERROR(((SUM($H$123:$H129)+$K$12*IF($L129&lt;6,SUMIFS('Throw Log'!$Q$5:$Q$300,'Throw Log'!$B$5:$B$300,$D$4,'Throw Log'!$A$5:$A$300,"&gt;="&amp;($D$6+$L129-6),'Throw Log'!$A$5:$A$300,"&lt;="&amp;($D$6-1)),0))/7)/((SUM($H$102:$H129)+$K$12*IF($L129&lt;27,SUMIFS('Throw Log'!$Q$5:$Q$300,'Throw Log'!$B$5:$B$300,$D$4,'Throw Log'!$A$5:$A$300,"&gt;="&amp;($D$6+$L129-27),'Throw Log'!$A$5:$A$300,"&lt;="&amp;($D$6-1)),0))/28),"")))</f>
        <v/>
      </c>
      <c r="J129" s="37"/>
      <c r="K129" s="37"/>
      <c r="L129" s="32">
        <v>86</v>
      </c>
      <c r="M129" s="32">
        <f t="shared" si="63"/>
        <v>13</v>
      </c>
      <c r="N129" s="32">
        <f t="shared" si="64"/>
        <v>2</v>
      </c>
      <c r="O129" s="32">
        <f t="shared" si="65"/>
        <v>1</v>
      </c>
      <c r="P129" s="32" t="str">
        <f>IF(OR($A129="",N($C129)&lt;=7),"",$G$6*$G$9^($M129-1)*IF(AND(MOD($M129,Reference!$B$99)=0,$M129&lt;=$G$5-2),Reference!$B$100,1))</f>
        <v/>
      </c>
      <c r="Q129" s="32" t="str">
        <f>IF($P129="","",IF(SUM($AK$127:$AK$133)=0,0,$P129*INDEX(Reference!$B$108:$B$114,$N129+1)/SUM($AK$127:$AK$133)))</f>
        <v/>
      </c>
      <c r="R129" s="32">
        <f t="shared" si="66"/>
        <v>180</v>
      </c>
      <c r="S129" s="32">
        <f t="shared" si="67"/>
        <v>150</v>
      </c>
      <c r="T129" s="32" t="str">
        <f>IF($A129="","",IF($C129=0,"Bullpen",IF(OR($C129=7,$C129=1,$C129=5),"Recovery/Easy Catch",IF($C129=6,"Compression/Pulldowns",IF(OR($C129=4,$C129=2),"Long Toss",IF($C129=3,"No Throw",IF($N129=2,"No Throw",IF($N129=6,IF($O129&lt;Reference!$B$104,"No Throw","Recovery/Easy Catch"),IF(OR($N129=0,$N129=4),"Recovery/Easy Catch",IF($N129=1,IF($R129&gt;75,"Long Toss","Recovery/Easy Catch"),IF($N129=3,IF($O129&lt;0.5,IF($S129&gt;75,"Long Toss","Recovery/Easy Catch"),"Compression/Pulldowns"),IF($S129&gt;75,"Long Toss","Recovery/Easy Catch"))))))))))))</f>
        <v/>
      </c>
      <c r="U129" s="32" t="str">
        <f t="shared" si="68"/>
        <v/>
      </c>
      <c r="V129" s="32" t="str">
        <f t="shared" si="69"/>
        <v/>
      </c>
      <c r="W129" s="32" t="str">
        <f t="shared" si="70"/>
        <v/>
      </c>
      <c r="X129" s="32">
        <f t="shared" si="71"/>
        <v>0</v>
      </c>
      <c r="Y129" s="32" t="str">
        <f t="shared" si="72"/>
        <v/>
      </c>
      <c r="Z129" s="32" t="str">
        <f t="shared" si="73"/>
        <v/>
      </c>
      <c r="AA129" s="32" t="str">
        <f t="shared" si="74"/>
        <v/>
      </c>
      <c r="AB129" s="32" t="str">
        <f>IF($A129="","",IF($T129="No Throw",0,IF($K129&lt;&gt;"",$K129,IF($AA129&lt;&gt;"",ROUND($AA129*$D$12*IF($C129=0,1,$G$10),0),MIN(IF($T129="Recovery/Easy Catch",Reference!$B$103,IF($T129="Long Toss",Reference!$B$106,Reference!$B$102)),MAX(Reference!$B$101,ROUND(MAX(0,$Q129-$AE129)/$AF129,0)))))))</f>
        <v/>
      </c>
      <c r="AC129" s="32">
        <f t="shared" si="75"/>
        <v>0</v>
      </c>
      <c r="AD129" s="32" t="b">
        <f t="shared" si="76"/>
        <v>1</v>
      </c>
      <c r="AE129" s="32">
        <f>IF($X129=0,0,$X129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129+$Z129)/2,0),Reference!$A$17:$B$20,2,TRUE()))</f>
        <v>0</v>
      </c>
      <c r="AF129" s="32">
        <f>IF(OR($A129="",$U129="",$T129="No Throw"),0,$AM129*VLOOKUP(MAX(($V129+$W129)/2,0),Reference!$A$17:$B$20,2,TRUE()))</f>
        <v>0</v>
      </c>
      <c r="AG129" s="32">
        <f>IF($AC129=0,0,$AC129*INDEX(Reference!$B$61:$B$62,MATCH("Bullpen",Reference!$A$61:$A$62,0))*VLOOKUP(MAX($D$5-($D$9+$E$9)/2,0),Reference!$A$17:$B$20,2,TRUE()))</f>
        <v>0</v>
      </c>
      <c r="AH129" s="32" t="e">
        <f t="shared" si="77"/>
        <v>#N/A</v>
      </c>
      <c r="AI129" s="32" t="e">
        <f>IF($A129="",NA(),Reference!$A$25)</f>
        <v>#N/A</v>
      </c>
      <c r="AJ129" s="32" t="e">
        <f t="shared" si="78"/>
        <v>#N/A</v>
      </c>
      <c r="AK129" s="32">
        <f>IF(OR($A129="",N($C129)&lt;=7,$T129="No Throw",$J129="x"),0,INDEX(Reference!$B$108:$B$114,$N129+1))</f>
        <v>0</v>
      </c>
      <c r="AL129" s="32">
        <f t="shared" si="79"/>
        <v>1</v>
      </c>
      <c r="AM129" s="32">
        <f>IF($U129="",0,IF($AL129&gt;1,((IF(1&lt;=$AL129,($AL129-1+3)*(INDEX(Reference!$B$6:$B$11,MIN(5,MATCH(MAX(Reference!$A$6,MIN(Reference!$A$11,MIN($U129,90))),Reference!$A$6:$A$11,1)))+(MAX(Reference!$A$6,MIN(Reference!$A$11,MIN($U129,90)))-INDEX(Reference!$A$6:$A$11,MIN(5,MATCH(MAX(Reference!$A$6,MIN(Reference!$A$11,MIN($U129,90))),Reference!$A$6:$A$11,1))))*(INDEX(Reference!$B$6:$B$11,MIN(5,MATCH(MAX(Reference!$A$6,MIN(Reference!$A$11,MIN($U129,90))),Reference!$A$6:$A$11,1))+1)-INDEX(Reference!$B$6:$B$11,MIN(5,MATCH(MAX(Reference!$A$6,MIN(Reference!$A$11,MIN($U129,90))),Reference!$A$6:$A$11,1))))/(INDEX(Reference!$A$6:$A$11,MIN(5,MATCH(MAX(Reference!$A$6,MIN(Reference!$A$11,MIN($U129,90))),Reference!$A$6:$A$11,1))+1)-INDEX(Reference!$A$6:$A$11,MIN(5,MATCH(MAX(Reference!$A$6,MIN(Reference!$A$11,MIN($U129,90))),Reference!$A$6:$A$11,1))))),0)+IF(2&lt;=$AL129,($AL129-2+3)*(INDEX(Reference!$B$6:$B$11,MIN(5,MATCH(MAX(Reference!$A$6,MIN(Reference!$A$11,MIN($U129,120))),Reference!$A$6:$A$11,1)))+(MAX(Reference!$A$6,MIN(Reference!$A$11,MIN($U129,120)))-INDEX(Reference!$A$6:$A$11,MIN(5,MATCH(MAX(Reference!$A$6,MIN(Reference!$A$11,MIN($U129,120))),Reference!$A$6:$A$11,1))))*(INDEX(Reference!$B$6:$B$11,MIN(5,MATCH(MAX(Reference!$A$6,MIN(Reference!$A$11,MIN($U129,120))),Reference!$A$6:$A$11,1))+1)-INDEX(Reference!$B$6:$B$11,MIN(5,MATCH(MAX(Reference!$A$6,MIN(Reference!$A$11,MIN($U129,120))),Reference!$A$6:$A$11,1))))/(INDEX(Reference!$A$6:$A$11,MIN(5,MATCH(MAX(Reference!$A$6,MIN(Reference!$A$11,MIN($U129,120))),Reference!$A$6:$A$11,1))+1)-INDEX(Reference!$A$6:$A$11,MIN(5,MATCH(MAX(Reference!$A$6,MIN(Reference!$A$11,MIN($U129,120))),Reference!$A$6:$A$11,1))))),0)+IF(3&lt;=$AL129,($AL129-3+3)*(INDEX(Reference!$B$6:$B$11,MIN(5,MATCH(MAX(Reference!$A$6,MIN(Reference!$A$11,MIN($U129,150))),Reference!$A$6:$A$11,1)))+(MAX(Reference!$A$6,MIN(Reference!$A$11,MIN($U129,150)))-INDEX(Reference!$A$6:$A$11,MIN(5,MATCH(MAX(Reference!$A$6,MIN(Reference!$A$11,MIN($U129,150))),Reference!$A$6:$A$11,1))))*(INDEX(Reference!$B$6:$B$11,MIN(5,MATCH(MAX(Reference!$A$6,MIN(Reference!$A$11,MIN($U129,150))),Reference!$A$6:$A$11,1))+1)-INDEX(Reference!$B$6:$B$11,MIN(5,MATCH(MAX(Reference!$A$6,MIN(Reference!$A$11,MIN($U129,150))),Reference!$A$6:$A$11,1))))/(INDEX(Reference!$A$6:$A$11,MIN(5,MATCH(MAX(Reference!$A$6,MIN(Reference!$A$11,MIN($U129,150))),Reference!$A$6:$A$11,1))+1)-INDEX(Reference!$A$6:$A$11,MIN(5,MATCH(MAX(Reference!$A$6,MIN(Reference!$A$11,MIN($U129,150))),Reference!$A$6:$A$11,1))))),0)+IF(4&lt;=$AL129,($AL129-4+3)*(INDEX(Reference!$B$6:$B$11,MIN(5,MATCH(MAX(Reference!$A$6,MIN(Reference!$A$11,MIN($U129,180))),Reference!$A$6:$A$11,1)))+(MAX(Reference!$A$6,MIN(Reference!$A$11,MIN($U129,180)))-INDEX(Reference!$A$6:$A$11,MIN(5,MATCH(MAX(Reference!$A$6,MIN(Reference!$A$11,MIN($U129,180))),Reference!$A$6:$A$11,1))))*(INDEX(Reference!$B$6:$B$11,MIN(5,MATCH(MAX(Reference!$A$6,MIN(Reference!$A$11,MIN($U129,180))),Reference!$A$6:$A$11,1))+1)-INDEX(Reference!$B$6:$B$11,MIN(5,MATCH(MAX(Reference!$A$6,MIN(Reference!$A$11,MIN($U129,180))),Reference!$A$6:$A$11,1))))/(INDEX(Reference!$A$6:$A$11,MIN(5,MATCH(MAX(Reference!$A$6,MIN(Reference!$A$11,MIN($U129,180))),Reference!$A$6:$A$11,1))+1)-INDEX(Reference!$A$6:$A$11,MIN(5,MATCH(MAX(Reference!$A$6,MIN(Reference!$A$11,MIN($U129,180))),Reference!$A$6:$A$11,1))))),0)+IF(5&lt;=$AL129,($AL129-5+3)*(INDEX(Reference!$B$6:$B$11,MIN(5,MATCH(MAX(Reference!$A$6,MIN(Reference!$A$11,MIN($U129,210))),Reference!$A$6:$A$11,1)))+(MAX(Reference!$A$6,MIN(Reference!$A$11,MIN($U129,210)))-INDEX(Reference!$A$6:$A$11,MIN(5,MATCH(MAX(Reference!$A$6,MIN(Reference!$A$11,MIN($U129,210))),Reference!$A$6:$A$11,1))))*(INDEX(Reference!$B$6:$B$11,MIN(5,MATCH(MAX(Reference!$A$6,MIN(Reference!$A$11,MIN($U129,210))),Reference!$A$6:$A$11,1))+1)-INDEX(Reference!$B$6:$B$11,MIN(5,MATCH(MAX(Reference!$A$6,MIN(Reference!$A$11,MIN($U129,210))),Reference!$A$6:$A$11,1))))/(INDEX(Reference!$A$6:$A$11,MIN(5,MATCH(MAX(Reference!$A$6,MIN(Reference!$A$11,MIN($U129,210))),Reference!$A$6:$A$11,1))+1)-INDEX(Reference!$A$6:$A$11,MIN(5,MATCH(MAX(Reference!$A$6,MIN(Reference!$A$11,MIN($U129,210))),Reference!$A$6:$A$11,1))))),0)+IF(6&lt;=$AL129,($AL129-6+3)*(INDEX(Reference!$B$6:$B$11,MIN(5,MATCH(MAX(Reference!$A$6,MIN(Reference!$A$11,MIN($U129,240))),Reference!$A$6:$A$11,1)))+(MAX(Reference!$A$6,MIN(Reference!$A$11,MIN($U129,240)))-INDEX(Reference!$A$6:$A$11,MIN(5,MATCH(MAX(Reference!$A$6,MIN(Reference!$A$11,MIN($U129,240))),Reference!$A$6:$A$11,1))))*(INDEX(Reference!$B$6:$B$11,MIN(5,MATCH(MAX(Reference!$A$6,MIN(Reference!$A$11,MIN($U129,240))),Reference!$A$6:$A$11,1))+1)-INDEX(Reference!$B$6:$B$11,MIN(5,MATCH(MAX(Reference!$A$6,MIN(Reference!$A$11,MIN($U129,240))),Reference!$A$6:$A$11,1))))/(INDEX(Reference!$A$6:$A$11,MIN(5,MATCH(MAX(Reference!$A$6,MIN(Reference!$A$11,MIN($U129,240))),Reference!$A$6:$A$11,1))+1)-INDEX(Reference!$A$6:$A$11,MIN(5,MATCH(MAX(Reference!$A$6,MIN(Reference!$A$11,MIN($U129,240))),Reference!$A$6:$A$11,1))))),0)+IF(7&lt;=$AL129,($AL129-7+3)*(INDEX(Reference!$B$6:$B$11,MIN(5,MATCH(MAX(Reference!$A$6,MIN(Reference!$A$11,MIN($U129,270))),Reference!$A$6:$A$11,1)))+(MAX(Reference!$A$6,MIN(Reference!$A$11,MIN($U129,270)))-INDEX(Reference!$A$6:$A$11,MIN(5,MATCH(MAX(Reference!$A$6,MIN(Reference!$A$11,MIN($U129,270))),Reference!$A$6:$A$11,1))))*(INDEX(Reference!$B$6:$B$11,MIN(5,MATCH(MAX(Reference!$A$6,MIN(Reference!$A$11,MIN($U129,270))),Reference!$A$6:$A$11,1))+1)-INDEX(Reference!$B$6:$B$11,MIN(5,MATCH(MAX(Reference!$A$6,MIN(Reference!$A$11,MIN($U129,270))),Reference!$A$6:$A$11,1))))/(INDEX(Reference!$A$6:$A$11,MIN(5,MATCH(MAX(Reference!$A$6,MIN(Reference!$A$11,MIN($U129,270))),Reference!$A$6:$A$11,1))+1)-INDEX(Reference!$A$6:$A$11,MIN(5,MATCH(MAX(Reference!$A$6,MIN(Reference!$A$11,MIN($U129,270))),Reference!$A$6:$A$11,1))))),0)+IF(8&lt;=$AL129,($AL129-8+3)*(INDEX(Reference!$B$6:$B$11,MIN(5,MATCH(MAX(Reference!$A$6,MIN(Reference!$A$11,MIN($U129,300))),Reference!$A$6:$A$11,1)))+(MAX(Reference!$A$6,MIN(Reference!$A$11,MIN($U129,300)))-INDEX(Reference!$A$6:$A$11,MIN(5,MATCH(MAX(Reference!$A$6,MIN(Reference!$A$11,MIN($U129,300))),Reference!$A$6:$A$11,1))))*(INDEX(Reference!$B$6:$B$11,MIN(5,MATCH(MAX(Reference!$A$6,MIN(Reference!$A$11,MIN($U129,300))),Reference!$A$6:$A$11,1))+1)-INDEX(Reference!$B$6:$B$11,MIN(5,MATCH(MAX(Reference!$A$6,MIN(Reference!$A$11,MIN($U129,300))),Reference!$A$6:$A$11,1))))/(INDEX(Reference!$A$6:$A$11,MIN(5,MATCH(MAX(Reference!$A$6,MIN(Reference!$A$11,MIN($U129,300))),Reference!$A$6:$A$11,1))+1)-INDEX(Reference!$A$6:$A$11,MIN(5,MATCH(MAX(Reference!$A$6,MIN(Reference!$A$11,MIN($U129,300))),Reference!$A$6:$A$11,1))))),0))/($AL129*($AL129+5)/2)),$AN129))</f>
        <v>0</v>
      </c>
      <c r="AN129" s="32">
        <f>IF($U129="",0,(INDEX(Reference!$B$6:$B$11,MIN(5,MATCH(MAX(Reference!$A$6,MIN(Reference!$A$11,$U129)),Reference!$A$6:$A$11,1)))+(MAX(Reference!$A$6,MIN(Reference!$A$11,$U129))-INDEX(Reference!$A$6:$A$11,MIN(5,MATCH(MAX(Reference!$A$6,MIN(Reference!$A$11,$U129)),Reference!$A$6:$A$11,1))))*(INDEX(Reference!$B$6:$B$11,MIN(5,MATCH(MAX(Reference!$A$6,MIN(Reference!$A$11,$U129)),Reference!$A$6:$A$11,1))+1)-INDEX(Reference!$B$6:$B$11,MIN(5,MATCH(MAX(Reference!$A$6,MIN(Reference!$A$11,$U129)),Reference!$A$6:$A$11,1))))/(INDEX(Reference!$A$6:$A$11,MIN(5,MATCH(MAX(Reference!$A$6,MIN(Reference!$A$11,$U129)),Reference!$A$6:$A$11,1))+1)-INDEX(Reference!$A$6:$A$11,MIN(5,MATCH(MAX(Reference!$A$6,MIN(Reference!$A$11,$U129)),Reference!$A$6:$A$11,1))))))</f>
        <v>0</v>
      </c>
      <c r="AO129" s="37"/>
      <c r="AP129" s="37"/>
      <c r="AQ129" s="37"/>
    </row>
    <row r="130" spans="1:43" x14ac:dyDescent="0.3">
      <c r="A130" s="48" t="str">
        <f t="shared" si="55"/>
        <v/>
      </c>
      <c r="B130" s="32" t="str">
        <f t="shared" si="56"/>
        <v/>
      </c>
      <c r="C130" s="32" t="str">
        <f t="shared" si="57"/>
        <v/>
      </c>
      <c r="D130" s="32" t="str">
        <f t="shared" si="58"/>
        <v/>
      </c>
      <c r="E130" s="32" t="str">
        <f t="shared" si="59"/>
        <v/>
      </c>
      <c r="F130" s="32" t="str">
        <f t="shared" si="60"/>
        <v/>
      </c>
      <c r="G130" s="47" t="str">
        <f t="shared" si="61"/>
        <v/>
      </c>
      <c r="H130" s="30" t="str">
        <f t="shared" si="62"/>
        <v/>
      </c>
      <c r="I130" s="46" t="str">
        <f>IF($A130="","",IF(AND($L130&lt;27,$K$12=0),"Building",IFERROR(((SUM($H$124:$H130)+$K$12*IF($L130&lt;6,SUMIFS('Throw Log'!$Q$5:$Q$300,'Throw Log'!$B$5:$B$300,$D$4,'Throw Log'!$A$5:$A$300,"&gt;="&amp;($D$6+$L130-6),'Throw Log'!$A$5:$A$300,"&lt;="&amp;($D$6-1)),0))/7)/((SUM($H$103:$H130)+$K$12*IF($L130&lt;27,SUMIFS('Throw Log'!$Q$5:$Q$300,'Throw Log'!$B$5:$B$300,$D$4,'Throw Log'!$A$5:$A$300,"&gt;="&amp;($D$6+$L130-27),'Throw Log'!$A$5:$A$300,"&lt;="&amp;($D$6-1)),0))/28),"")))</f>
        <v/>
      </c>
      <c r="J130" s="37"/>
      <c r="K130" s="37"/>
      <c r="L130" s="32">
        <v>87</v>
      </c>
      <c r="M130" s="32">
        <f t="shared" si="63"/>
        <v>13</v>
      </c>
      <c r="N130" s="32">
        <f t="shared" si="64"/>
        <v>3</v>
      </c>
      <c r="O130" s="32">
        <f t="shared" si="65"/>
        <v>1</v>
      </c>
      <c r="P130" s="32" t="str">
        <f>IF(OR($A130="",N($C130)&lt;=7),"",$G$6*$G$9^($M130-1)*IF(AND(MOD($M130,Reference!$B$99)=0,$M130&lt;=$G$5-2),Reference!$B$100,1))</f>
        <v/>
      </c>
      <c r="Q130" s="32" t="str">
        <f>IF($P130="","",IF(SUM($AK$127:$AK$133)=0,0,$P130*INDEX(Reference!$B$108:$B$114,$N130+1)/SUM($AK$127:$AK$133)))</f>
        <v/>
      </c>
      <c r="R130" s="32">
        <f t="shared" si="66"/>
        <v>180</v>
      </c>
      <c r="S130" s="32">
        <f t="shared" si="67"/>
        <v>150</v>
      </c>
      <c r="T130" s="32" t="str">
        <f>IF($A130="","",IF($C130=0,"Bullpen",IF(OR($C130=7,$C130=1,$C130=5),"Recovery/Easy Catch",IF($C130=6,"Compression/Pulldowns",IF(OR($C130=4,$C130=2),"Long Toss",IF($C130=3,"No Throw",IF($N130=2,"No Throw",IF($N130=6,IF($O130&lt;Reference!$B$104,"No Throw","Recovery/Easy Catch"),IF(OR($N130=0,$N130=4),"Recovery/Easy Catch",IF($N130=1,IF($R130&gt;75,"Long Toss","Recovery/Easy Catch"),IF($N130=3,IF($O130&lt;0.5,IF($S130&gt;75,"Long Toss","Recovery/Easy Catch"),"Compression/Pulldowns"),IF($S130&gt;75,"Long Toss","Recovery/Easy Catch"))))))))))))</f>
        <v/>
      </c>
      <c r="U130" s="32" t="str">
        <f t="shared" si="68"/>
        <v/>
      </c>
      <c r="V130" s="32" t="str">
        <f t="shared" si="69"/>
        <v/>
      </c>
      <c r="W130" s="32" t="str">
        <f t="shared" si="70"/>
        <v/>
      </c>
      <c r="X130" s="32">
        <f t="shared" si="71"/>
        <v>0</v>
      </c>
      <c r="Y130" s="32" t="str">
        <f t="shared" si="72"/>
        <v/>
      </c>
      <c r="Z130" s="32" t="str">
        <f t="shared" si="73"/>
        <v/>
      </c>
      <c r="AA130" s="32" t="str">
        <f t="shared" si="74"/>
        <v/>
      </c>
      <c r="AB130" s="32" t="str">
        <f>IF($A130="","",IF($T130="No Throw",0,IF($K130&lt;&gt;"",$K130,IF($AA130&lt;&gt;"",ROUND($AA130*$D$12*IF($C130=0,1,$G$10),0),MIN(IF($T130="Recovery/Easy Catch",Reference!$B$103,IF($T130="Long Toss",Reference!$B$106,Reference!$B$102)),MAX(Reference!$B$101,ROUND(MAX(0,$Q130-$AE130)/$AF130,0)))))))</f>
        <v/>
      </c>
      <c r="AC130" s="32">
        <f t="shared" si="75"/>
        <v>0</v>
      </c>
      <c r="AD130" s="32" t="b">
        <f t="shared" si="76"/>
        <v>1</v>
      </c>
      <c r="AE130" s="32">
        <f>IF($X130=0,0,$X130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130+$Z130)/2,0),Reference!$A$17:$B$20,2,TRUE()))</f>
        <v>0</v>
      </c>
      <c r="AF130" s="32">
        <f>IF(OR($A130="",$U130="",$T130="No Throw"),0,$AM130*VLOOKUP(MAX(($V130+$W130)/2,0),Reference!$A$17:$B$20,2,TRUE()))</f>
        <v>0</v>
      </c>
      <c r="AG130" s="32">
        <f>IF($AC130=0,0,$AC130*INDEX(Reference!$B$61:$B$62,MATCH("Bullpen",Reference!$A$61:$A$62,0))*VLOOKUP(MAX($D$5-($D$9+$E$9)/2,0),Reference!$A$17:$B$20,2,TRUE()))</f>
        <v>0</v>
      </c>
      <c r="AH130" s="32" t="e">
        <f t="shared" si="77"/>
        <v>#N/A</v>
      </c>
      <c r="AI130" s="32" t="e">
        <f>IF($A130="",NA(),Reference!$A$25)</f>
        <v>#N/A</v>
      </c>
      <c r="AJ130" s="32" t="e">
        <f t="shared" si="78"/>
        <v>#N/A</v>
      </c>
      <c r="AK130" s="32">
        <f>IF(OR($A130="",N($C130)&lt;=7,$T130="No Throw",$J130="x"),0,INDEX(Reference!$B$108:$B$114,$N130+1))</f>
        <v>0</v>
      </c>
      <c r="AL130" s="32">
        <f t="shared" si="79"/>
        <v>1</v>
      </c>
      <c r="AM130" s="32">
        <f>IF($U130="",0,IF($AL130&gt;1,((IF(1&lt;=$AL130,($AL130-1+3)*(INDEX(Reference!$B$6:$B$11,MIN(5,MATCH(MAX(Reference!$A$6,MIN(Reference!$A$11,MIN($U130,90))),Reference!$A$6:$A$11,1)))+(MAX(Reference!$A$6,MIN(Reference!$A$11,MIN($U130,90)))-INDEX(Reference!$A$6:$A$11,MIN(5,MATCH(MAX(Reference!$A$6,MIN(Reference!$A$11,MIN($U130,90))),Reference!$A$6:$A$11,1))))*(INDEX(Reference!$B$6:$B$11,MIN(5,MATCH(MAX(Reference!$A$6,MIN(Reference!$A$11,MIN($U130,90))),Reference!$A$6:$A$11,1))+1)-INDEX(Reference!$B$6:$B$11,MIN(5,MATCH(MAX(Reference!$A$6,MIN(Reference!$A$11,MIN($U130,90))),Reference!$A$6:$A$11,1))))/(INDEX(Reference!$A$6:$A$11,MIN(5,MATCH(MAX(Reference!$A$6,MIN(Reference!$A$11,MIN($U130,90))),Reference!$A$6:$A$11,1))+1)-INDEX(Reference!$A$6:$A$11,MIN(5,MATCH(MAX(Reference!$A$6,MIN(Reference!$A$11,MIN($U130,90))),Reference!$A$6:$A$11,1))))),0)+IF(2&lt;=$AL130,($AL130-2+3)*(INDEX(Reference!$B$6:$B$11,MIN(5,MATCH(MAX(Reference!$A$6,MIN(Reference!$A$11,MIN($U130,120))),Reference!$A$6:$A$11,1)))+(MAX(Reference!$A$6,MIN(Reference!$A$11,MIN($U130,120)))-INDEX(Reference!$A$6:$A$11,MIN(5,MATCH(MAX(Reference!$A$6,MIN(Reference!$A$11,MIN($U130,120))),Reference!$A$6:$A$11,1))))*(INDEX(Reference!$B$6:$B$11,MIN(5,MATCH(MAX(Reference!$A$6,MIN(Reference!$A$11,MIN($U130,120))),Reference!$A$6:$A$11,1))+1)-INDEX(Reference!$B$6:$B$11,MIN(5,MATCH(MAX(Reference!$A$6,MIN(Reference!$A$11,MIN($U130,120))),Reference!$A$6:$A$11,1))))/(INDEX(Reference!$A$6:$A$11,MIN(5,MATCH(MAX(Reference!$A$6,MIN(Reference!$A$11,MIN($U130,120))),Reference!$A$6:$A$11,1))+1)-INDEX(Reference!$A$6:$A$11,MIN(5,MATCH(MAX(Reference!$A$6,MIN(Reference!$A$11,MIN($U130,120))),Reference!$A$6:$A$11,1))))),0)+IF(3&lt;=$AL130,($AL130-3+3)*(INDEX(Reference!$B$6:$B$11,MIN(5,MATCH(MAX(Reference!$A$6,MIN(Reference!$A$11,MIN($U130,150))),Reference!$A$6:$A$11,1)))+(MAX(Reference!$A$6,MIN(Reference!$A$11,MIN($U130,150)))-INDEX(Reference!$A$6:$A$11,MIN(5,MATCH(MAX(Reference!$A$6,MIN(Reference!$A$11,MIN($U130,150))),Reference!$A$6:$A$11,1))))*(INDEX(Reference!$B$6:$B$11,MIN(5,MATCH(MAX(Reference!$A$6,MIN(Reference!$A$11,MIN($U130,150))),Reference!$A$6:$A$11,1))+1)-INDEX(Reference!$B$6:$B$11,MIN(5,MATCH(MAX(Reference!$A$6,MIN(Reference!$A$11,MIN($U130,150))),Reference!$A$6:$A$11,1))))/(INDEX(Reference!$A$6:$A$11,MIN(5,MATCH(MAX(Reference!$A$6,MIN(Reference!$A$11,MIN($U130,150))),Reference!$A$6:$A$11,1))+1)-INDEX(Reference!$A$6:$A$11,MIN(5,MATCH(MAX(Reference!$A$6,MIN(Reference!$A$11,MIN($U130,150))),Reference!$A$6:$A$11,1))))),0)+IF(4&lt;=$AL130,($AL130-4+3)*(INDEX(Reference!$B$6:$B$11,MIN(5,MATCH(MAX(Reference!$A$6,MIN(Reference!$A$11,MIN($U130,180))),Reference!$A$6:$A$11,1)))+(MAX(Reference!$A$6,MIN(Reference!$A$11,MIN($U130,180)))-INDEX(Reference!$A$6:$A$11,MIN(5,MATCH(MAX(Reference!$A$6,MIN(Reference!$A$11,MIN($U130,180))),Reference!$A$6:$A$11,1))))*(INDEX(Reference!$B$6:$B$11,MIN(5,MATCH(MAX(Reference!$A$6,MIN(Reference!$A$11,MIN($U130,180))),Reference!$A$6:$A$11,1))+1)-INDEX(Reference!$B$6:$B$11,MIN(5,MATCH(MAX(Reference!$A$6,MIN(Reference!$A$11,MIN($U130,180))),Reference!$A$6:$A$11,1))))/(INDEX(Reference!$A$6:$A$11,MIN(5,MATCH(MAX(Reference!$A$6,MIN(Reference!$A$11,MIN($U130,180))),Reference!$A$6:$A$11,1))+1)-INDEX(Reference!$A$6:$A$11,MIN(5,MATCH(MAX(Reference!$A$6,MIN(Reference!$A$11,MIN($U130,180))),Reference!$A$6:$A$11,1))))),0)+IF(5&lt;=$AL130,($AL130-5+3)*(INDEX(Reference!$B$6:$B$11,MIN(5,MATCH(MAX(Reference!$A$6,MIN(Reference!$A$11,MIN($U130,210))),Reference!$A$6:$A$11,1)))+(MAX(Reference!$A$6,MIN(Reference!$A$11,MIN($U130,210)))-INDEX(Reference!$A$6:$A$11,MIN(5,MATCH(MAX(Reference!$A$6,MIN(Reference!$A$11,MIN($U130,210))),Reference!$A$6:$A$11,1))))*(INDEX(Reference!$B$6:$B$11,MIN(5,MATCH(MAX(Reference!$A$6,MIN(Reference!$A$11,MIN($U130,210))),Reference!$A$6:$A$11,1))+1)-INDEX(Reference!$B$6:$B$11,MIN(5,MATCH(MAX(Reference!$A$6,MIN(Reference!$A$11,MIN($U130,210))),Reference!$A$6:$A$11,1))))/(INDEX(Reference!$A$6:$A$11,MIN(5,MATCH(MAX(Reference!$A$6,MIN(Reference!$A$11,MIN($U130,210))),Reference!$A$6:$A$11,1))+1)-INDEX(Reference!$A$6:$A$11,MIN(5,MATCH(MAX(Reference!$A$6,MIN(Reference!$A$11,MIN($U130,210))),Reference!$A$6:$A$11,1))))),0)+IF(6&lt;=$AL130,($AL130-6+3)*(INDEX(Reference!$B$6:$B$11,MIN(5,MATCH(MAX(Reference!$A$6,MIN(Reference!$A$11,MIN($U130,240))),Reference!$A$6:$A$11,1)))+(MAX(Reference!$A$6,MIN(Reference!$A$11,MIN($U130,240)))-INDEX(Reference!$A$6:$A$11,MIN(5,MATCH(MAX(Reference!$A$6,MIN(Reference!$A$11,MIN($U130,240))),Reference!$A$6:$A$11,1))))*(INDEX(Reference!$B$6:$B$11,MIN(5,MATCH(MAX(Reference!$A$6,MIN(Reference!$A$11,MIN($U130,240))),Reference!$A$6:$A$11,1))+1)-INDEX(Reference!$B$6:$B$11,MIN(5,MATCH(MAX(Reference!$A$6,MIN(Reference!$A$11,MIN($U130,240))),Reference!$A$6:$A$11,1))))/(INDEX(Reference!$A$6:$A$11,MIN(5,MATCH(MAX(Reference!$A$6,MIN(Reference!$A$11,MIN($U130,240))),Reference!$A$6:$A$11,1))+1)-INDEX(Reference!$A$6:$A$11,MIN(5,MATCH(MAX(Reference!$A$6,MIN(Reference!$A$11,MIN($U130,240))),Reference!$A$6:$A$11,1))))),0)+IF(7&lt;=$AL130,($AL130-7+3)*(INDEX(Reference!$B$6:$B$11,MIN(5,MATCH(MAX(Reference!$A$6,MIN(Reference!$A$11,MIN($U130,270))),Reference!$A$6:$A$11,1)))+(MAX(Reference!$A$6,MIN(Reference!$A$11,MIN($U130,270)))-INDEX(Reference!$A$6:$A$11,MIN(5,MATCH(MAX(Reference!$A$6,MIN(Reference!$A$11,MIN($U130,270))),Reference!$A$6:$A$11,1))))*(INDEX(Reference!$B$6:$B$11,MIN(5,MATCH(MAX(Reference!$A$6,MIN(Reference!$A$11,MIN($U130,270))),Reference!$A$6:$A$11,1))+1)-INDEX(Reference!$B$6:$B$11,MIN(5,MATCH(MAX(Reference!$A$6,MIN(Reference!$A$11,MIN($U130,270))),Reference!$A$6:$A$11,1))))/(INDEX(Reference!$A$6:$A$11,MIN(5,MATCH(MAX(Reference!$A$6,MIN(Reference!$A$11,MIN($U130,270))),Reference!$A$6:$A$11,1))+1)-INDEX(Reference!$A$6:$A$11,MIN(5,MATCH(MAX(Reference!$A$6,MIN(Reference!$A$11,MIN($U130,270))),Reference!$A$6:$A$11,1))))),0)+IF(8&lt;=$AL130,($AL130-8+3)*(INDEX(Reference!$B$6:$B$11,MIN(5,MATCH(MAX(Reference!$A$6,MIN(Reference!$A$11,MIN($U130,300))),Reference!$A$6:$A$11,1)))+(MAX(Reference!$A$6,MIN(Reference!$A$11,MIN($U130,300)))-INDEX(Reference!$A$6:$A$11,MIN(5,MATCH(MAX(Reference!$A$6,MIN(Reference!$A$11,MIN($U130,300))),Reference!$A$6:$A$11,1))))*(INDEX(Reference!$B$6:$B$11,MIN(5,MATCH(MAX(Reference!$A$6,MIN(Reference!$A$11,MIN($U130,300))),Reference!$A$6:$A$11,1))+1)-INDEX(Reference!$B$6:$B$11,MIN(5,MATCH(MAX(Reference!$A$6,MIN(Reference!$A$11,MIN($U130,300))),Reference!$A$6:$A$11,1))))/(INDEX(Reference!$A$6:$A$11,MIN(5,MATCH(MAX(Reference!$A$6,MIN(Reference!$A$11,MIN($U130,300))),Reference!$A$6:$A$11,1))+1)-INDEX(Reference!$A$6:$A$11,MIN(5,MATCH(MAX(Reference!$A$6,MIN(Reference!$A$11,MIN($U130,300))),Reference!$A$6:$A$11,1))))),0))/($AL130*($AL130+5)/2)),$AN130))</f>
        <v>0</v>
      </c>
      <c r="AN130" s="32">
        <f>IF($U130="",0,(INDEX(Reference!$B$6:$B$11,MIN(5,MATCH(MAX(Reference!$A$6,MIN(Reference!$A$11,$U130)),Reference!$A$6:$A$11,1)))+(MAX(Reference!$A$6,MIN(Reference!$A$11,$U130))-INDEX(Reference!$A$6:$A$11,MIN(5,MATCH(MAX(Reference!$A$6,MIN(Reference!$A$11,$U130)),Reference!$A$6:$A$11,1))))*(INDEX(Reference!$B$6:$B$11,MIN(5,MATCH(MAX(Reference!$A$6,MIN(Reference!$A$11,$U130)),Reference!$A$6:$A$11,1))+1)-INDEX(Reference!$B$6:$B$11,MIN(5,MATCH(MAX(Reference!$A$6,MIN(Reference!$A$11,$U130)),Reference!$A$6:$A$11,1))))/(INDEX(Reference!$A$6:$A$11,MIN(5,MATCH(MAX(Reference!$A$6,MIN(Reference!$A$11,$U130)),Reference!$A$6:$A$11,1))+1)-INDEX(Reference!$A$6:$A$11,MIN(5,MATCH(MAX(Reference!$A$6,MIN(Reference!$A$11,$U130)),Reference!$A$6:$A$11,1))))))</f>
        <v>0</v>
      </c>
      <c r="AO130" s="37"/>
      <c r="AP130" s="37"/>
      <c r="AQ130" s="37"/>
    </row>
    <row r="131" spans="1:43" x14ac:dyDescent="0.3">
      <c r="A131" s="48" t="str">
        <f t="shared" si="55"/>
        <v/>
      </c>
      <c r="B131" s="32" t="str">
        <f t="shared" si="56"/>
        <v/>
      </c>
      <c r="C131" s="32" t="str">
        <f t="shared" si="57"/>
        <v/>
      </c>
      <c r="D131" s="32" t="str">
        <f t="shared" si="58"/>
        <v/>
      </c>
      <c r="E131" s="32" t="str">
        <f t="shared" si="59"/>
        <v/>
      </c>
      <c r="F131" s="32" t="str">
        <f t="shared" si="60"/>
        <v/>
      </c>
      <c r="G131" s="47" t="str">
        <f t="shared" si="61"/>
        <v/>
      </c>
      <c r="H131" s="30" t="str">
        <f t="shared" si="62"/>
        <v/>
      </c>
      <c r="I131" s="46" t="str">
        <f>IF($A131="","",IF(AND($L131&lt;27,$K$12=0),"Building",IFERROR(((SUM($H$125:$H131)+$K$12*IF($L131&lt;6,SUMIFS('Throw Log'!$Q$5:$Q$300,'Throw Log'!$B$5:$B$300,$D$4,'Throw Log'!$A$5:$A$300,"&gt;="&amp;($D$6+$L131-6),'Throw Log'!$A$5:$A$300,"&lt;="&amp;($D$6-1)),0))/7)/((SUM($H$104:$H131)+$K$12*IF($L131&lt;27,SUMIFS('Throw Log'!$Q$5:$Q$300,'Throw Log'!$B$5:$B$300,$D$4,'Throw Log'!$A$5:$A$300,"&gt;="&amp;($D$6+$L131-27),'Throw Log'!$A$5:$A$300,"&lt;="&amp;($D$6-1)),0))/28),"")))</f>
        <v/>
      </c>
      <c r="J131" s="37"/>
      <c r="K131" s="37"/>
      <c r="L131" s="32">
        <v>88</v>
      </c>
      <c r="M131" s="32">
        <f t="shared" si="63"/>
        <v>13</v>
      </c>
      <c r="N131" s="32">
        <f t="shared" si="64"/>
        <v>4</v>
      </c>
      <c r="O131" s="32">
        <f t="shared" si="65"/>
        <v>1</v>
      </c>
      <c r="P131" s="32" t="str">
        <f>IF(OR($A131="",N($C131)&lt;=7),"",$G$6*$G$9^($M131-1)*IF(AND(MOD($M131,Reference!$B$99)=0,$M131&lt;=$G$5-2),Reference!$B$100,1))</f>
        <v/>
      </c>
      <c r="Q131" s="32" t="str">
        <f>IF($P131="","",IF(SUM($AK$127:$AK$133)=0,0,$P131*INDEX(Reference!$B$108:$B$114,$N131+1)/SUM($AK$127:$AK$133)))</f>
        <v/>
      </c>
      <c r="R131" s="32">
        <f t="shared" si="66"/>
        <v>180</v>
      </c>
      <c r="S131" s="32">
        <f t="shared" si="67"/>
        <v>150</v>
      </c>
      <c r="T131" s="32" t="str">
        <f>IF($A131="","",IF($C131=0,"Bullpen",IF(OR($C131=7,$C131=1,$C131=5),"Recovery/Easy Catch",IF($C131=6,"Compression/Pulldowns",IF(OR($C131=4,$C131=2),"Long Toss",IF($C131=3,"No Throw",IF($N131=2,"No Throw",IF($N131=6,IF($O131&lt;Reference!$B$104,"No Throw","Recovery/Easy Catch"),IF(OR($N131=0,$N131=4),"Recovery/Easy Catch",IF($N131=1,IF($R131&gt;75,"Long Toss","Recovery/Easy Catch"),IF($N131=3,IF($O131&lt;0.5,IF($S131&gt;75,"Long Toss","Recovery/Easy Catch"),"Compression/Pulldowns"),IF($S131&gt;75,"Long Toss","Recovery/Easy Catch"))))))))))))</f>
        <v/>
      </c>
      <c r="U131" s="32" t="str">
        <f t="shared" si="68"/>
        <v/>
      </c>
      <c r="V131" s="32" t="str">
        <f t="shared" si="69"/>
        <v/>
      </c>
      <c r="W131" s="32" t="str">
        <f t="shared" si="70"/>
        <v/>
      </c>
      <c r="X131" s="32">
        <f t="shared" si="71"/>
        <v>0</v>
      </c>
      <c r="Y131" s="32" t="str">
        <f t="shared" si="72"/>
        <v/>
      </c>
      <c r="Z131" s="32" t="str">
        <f t="shared" si="73"/>
        <v/>
      </c>
      <c r="AA131" s="32" t="str">
        <f t="shared" si="74"/>
        <v/>
      </c>
      <c r="AB131" s="32" t="str">
        <f>IF($A131="","",IF($T131="No Throw",0,IF($K131&lt;&gt;"",$K131,IF($AA131&lt;&gt;"",ROUND($AA131*$D$12*IF($C131=0,1,$G$10),0),MIN(IF($T131="Recovery/Easy Catch",Reference!$B$103,IF($T131="Long Toss",Reference!$B$106,Reference!$B$102)),MAX(Reference!$B$101,ROUND(MAX(0,$Q131-$AE131)/$AF131,0)))))))</f>
        <v/>
      </c>
      <c r="AC131" s="32">
        <f t="shared" si="75"/>
        <v>0</v>
      </c>
      <c r="AD131" s="32" t="b">
        <f t="shared" si="76"/>
        <v>1</v>
      </c>
      <c r="AE131" s="32">
        <f>IF($X131=0,0,$X131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131+$Z131)/2,0),Reference!$A$17:$B$20,2,TRUE()))</f>
        <v>0</v>
      </c>
      <c r="AF131" s="32">
        <f>IF(OR($A131="",$U131="",$T131="No Throw"),0,$AM131*VLOOKUP(MAX(($V131+$W131)/2,0),Reference!$A$17:$B$20,2,TRUE()))</f>
        <v>0</v>
      </c>
      <c r="AG131" s="32">
        <f>IF($AC131=0,0,$AC131*INDEX(Reference!$B$61:$B$62,MATCH("Bullpen",Reference!$A$61:$A$62,0))*VLOOKUP(MAX($D$5-($D$9+$E$9)/2,0),Reference!$A$17:$B$20,2,TRUE()))</f>
        <v>0</v>
      </c>
      <c r="AH131" s="32" t="e">
        <f t="shared" si="77"/>
        <v>#N/A</v>
      </c>
      <c r="AI131" s="32" t="e">
        <f>IF($A131="",NA(),Reference!$A$25)</f>
        <v>#N/A</v>
      </c>
      <c r="AJ131" s="32" t="e">
        <f t="shared" si="78"/>
        <v>#N/A</v>
      </c>
      <c r="AK131" s="32">
        <f>IF(OR($A131="",N($C131)&lt;=7,$T131="No Throw",$J131="x"),0,INDEX(Reference!$B$108:$B$114,$N131+1))</f>
        <v>0</v>
      </c>
      <c r="AL131" s="32">
        <f t="shared" si="79"/>
        <v>1</v>
      </c>
      <c r="AM131" s="32">
        <f>IF($U131="",0,IF($AL131&gt;1,((IF(1&lt;=$AL131,($AL131-1+3)*(INDEX(Reference!$B$6:$B$11,MIN(5,MATCH(MAX(Reference!$A$6,MIN(Reference!$A$11,MIN($U131,90))),Reference!$A$6:$A$11,1)))+(MAX(Reference!$A$6,MIN(Reference!$A$11,MIN($U131,90)))-INDEX(Reference!$A$6:$A$11,MIN(5,MATCH(MAX(Reference!$A$6,MIN(Reference!$A$11,MIN($U131,90))),Reference!$A$6:$A$11,1))))*(INDEX(Reference!$B$6:$B$11,MIN(5,MATCH(MAX(Reference!$A$6,MIN(Reference!$A$11,MIN($U131,90))),Reference!$A$6:$A$11,1))+1)-INDEX(Reference!$B$6:$B$11,MIN(5,MATCH(MAX(Reference!$A$6,MIN(Reference!$A$11,MIN($U131,90))),Reference!$A$6:$A$11,1))))/(INDEX(Reference!$A$6:$A$11,MIN(5,MATCH(MAX(Reference!$A$6,MIN(Reference!$A$11,MIN($U131,90))),Reference!$A$6:$A$11,1))+1)-INDEX(Reference!$A$6:$A$11,MIN(5,MATCH(MAX(Reference!$A$6,MIN(Reference!$A$11,MIN($U131,90))),Reference!$A$6:$A$11,1))))),0)+IF(2&lt;=$AL131,($AL131-2+3)*(INDEX(Reference!$B$6:$B$11,MIN(5,MATCH(MAX(Reference!$A$6,MIN(Reference!$A$11,MIN($U131,120))),Reference!$A$6:$A$11,1)))+(MAX(Reference!$A$6,MIN(Reference!$A$11,MIN($U131,120)))-INDEX(Reference!$A$6:$A$11,MIN(5,MATCH(MAX(Reference!$A$6,MIN(Reference!$A$11,MIN($U131,120))),Reference!$A$6:$A$11,1))))*(INDEX(Reference!$B$6:$B$11,MIN(5,MATCH(MAX(Reference!$A$6,MIN(Reference!$A$11,MIN($U131,120))),Reference!$A$6:$A$11,1))+1)-INDEX(Reference!$B$6:$B$11,MIN(5,MATCH(MAX(Reference!$A$6,MIN(Reference!$A$11,MIN($U131,120))),Reference!$A$6:$A$11,1))))/(INDEX(Reference!$A$6:$A$11,MIN(5,MATCH(MAX(Reference!$A$6,MIN(Reference!$A$11,MIN($U131,120))),Reference!$A$6:$A$11,1))+1)-INDEX(Reference!$A$6:$A$11,MIN(5,MATCH(MAX(Reference!$A$6,MIN(Reference!$A$11,MIN($U131,120))),Reference!$A$6:$A$11,1))))),0)+IF(3&lt;=$AL131,($AL131-3+3)*(INDEX(Reference!$B$6:$B$11,MIN(5,MATCH(MAX(Reference!$A$6,MIN(Reference!$A$11,MIN($U131,150))),Reference!$A$6:$A$11,1)))+(MAX(Reference!$A$6,MIN(Reference!$A$11,MIN($U131,150)))-INDEX(Reference!$A$6:$A$11,MIN(5,MATCH(MAX(Reference!$A$6,MIN(Reference!$A$11,MIN($U131,150))),Reference!$A$6:$A$11,1))))*(INDEX(Reference!$B$6:$B$11,MIN(5,MATCH(MAX(Reference!$A$6,MIN(Reference!$A$11,MIN($U131,150))),Reference!$A$6:$A$11,1))+1)-INDEX(Reference!$B$6:$B$11,MIN(5,MATCH(MAX(Reference!$A$6,MIN(Reference!$A$11,MIN($U131,150))),Reference!$A$6:$A$11,1))))/(INDEX(Reference!$A$6:$A$11,MIN(5,MATCH(MAX(Reference!$A$6,MIN(Reference!$A$11,MIN($U131,150))),Reference!$A$6:$A$11,1))+1)-INDEX(Reference!$A$6:$A$11,MIN(5,MATCH(MAX(Reference!$A$6,MIN(Reference!$A$11,MIN($U131,150))),Reference!$A$6:$A$11,1))))),0)+IF(4&lt;=$AL131,($AL131-4+3)*(INDEX(Reference!$B$6:$B$11,MIN(5,MATCH(MAX(Reference!$A$6,MIN(Reference!$A$11,MIN($U131,180))),Reference!$A$6:$A$11,1)))+(MAX(Reference!$A$6,MIN(Reference!$A$11,MIN($U131,180)))-INDEX(Reference!$A$6:$A$11,MIN(5,MATCH(MAX(Reference!$A$6,MIN(Reference!$A$11,MIN($U131,180))),Reference!$A$6:$A$11,1))))*(INDEX(Reference!$B$6:$B$11,MIN(5,MATCH(MAX(Reference!$A$6,MIN(Reference!$A$11,MIN($U131,180))),Reference!$A$6:$A$11,1))+1)-INDEX(Reference!$B$6:$B$11,MIN(5,MATCH(MAX(Reference!$A$6,MIN(Reference!$A$11,MIN($U131,180))),Reference!$A$6:$A$11,1))))/(INDEX(Reference!$A$6:$A$11,MIN(5,MATCH(MAX(Reference!$A$6,MIN(Reference!$A$11,MIN($U131,180))),Reference!$A$6:$A$11,1))+1)-INDEX(Reference!$A$6:$A$11,MIN(5,MATCH(MAX(Reference!$A$6,MIN(Reference!$A$11,MIN($U131,180))),Reference!$A$6:$A$11,1))))),0)+IF(5&lt;=$AL131,($AL131-5+3)*(INDEX(Reference!$B$6:$B$11,MIN(5,MATCH(MAX(Reference!$A$6,MIN(Reference!$A$11,MIN($U131,210))),Reference!$A$6:$A$11,1)))+(MAX(Reference!$A$6,MIN(Reference!$A$11,MIN($U131,210)))-INDEX(Reference!$A$6:$A$11,MIN(5,MATCH(MAX(Reference!$A$6,MIN(Reference!$A$11,MIN($U131,210))),Reference!$A$6:$A$11,1))))*(INDEX(Reference!$B$6:$B$11,MIN(5,MATCH(MAX(Reference!$A$6,MIN(Reference!$A$11,MIN($U131,210))),Reference!$A$6:$A$11,1))+1)-INDEX(Reference!$B$6:$B$11,MIN(5,MATCH(MAX(Reference!$A$6,MIN(Reference!$A$11,MIN($U131,210))),Reference!$A$6:$A$11,1))))/(INDEX(Reference!$A$6:$A$11,MIN(5,MATCH(MAX(Reference!$A$6,MIN(Reference!$A$11,MIN($U131,210))),Reference!$A$6:$A$11,1))+1)-INDEX(Reference!$A$6:$A$11,MIN(5,MATCH(MAX(Reference!$A$6,MIN(Reference!$A$11,MIN($U131,210))),Reference!$A$6:$A$11,1))))),0)+IF(6&lt;=$AL131,($AL131-6+3)*(INDEX(Reference!$B$6:$B$11,MIN(5,MATCH(MAX(Reference!$A$6,MIN(Reference!$A$11,MIN($U131,240))),Reference!$A$6:$A$11,1)))+(MAX(Reference!$A$6,MIN(Reference!$A$11,MIN($U131,240)))-INDEX(Reference!$A$6:$A$11,MIN(5,MATCH(MAX(Reference!$A$6,MIN(Reference!$A$11,MIN($U131,240))),Reference!$A$6:$A$11,1))))*(INDEX(Reference!$B$6:$B$11,MIN(5,MATCH(MAX(Reference!$A$6,MIN(Reference!$A$11,MIN($U131,240))),Reference!$A$6:$A$11,1))+1)-INDEX(Reference!$B$6:$B$11,MIN(5,MATCH(MAX(Reference!$A$6,MIN(Reference!$A$11,MIN($U131,240))),Reference!$A$6:$A$11,1))))/(INDEX(Reference!$A$6:$A$11,MIN(5,MATCH(MAX(Reference!$A$6,MIN(Reference!$A$11,MIN($U131,240))),Reference!$A$6:$A$11,1))+1)-INDEX(Reference!$A$6:$A$11,MIN(5,MATCH(MAX(Reference!$A$6,MIN(Reference!$A$11,MIN($U131,240))),Reference!$A$6:$A$11,1))))),0)+IF(7&lt;=$AL131,($AL131-7+3)*(INDEX(Reference!$B$6:$B$11,MIN(5,MATCH(MAX(Reference!$A$6,MIN(Reference!$A$11,MIN($U131,270))),Reference!$A$6:$A$11,1)))+(MAX(Reference!$A$6,MIN(Reference!$A$11,MIN($U131,270)))-INDEX(Reference!$A$6:$A$11,MIN(5,MATCH(MAX(Reference!$A$6,MIN(Reference!$A$11,MIN($U131,270))),Reference!$A$6:$A$11,1))))*(INDEX(Reference!$B$6:$B$11,MIN(5,MATCH(MAX(Reference!$A$6,MIN(Reference!$A$11,MIN($U131,270))),Reference!$A$6:$A$11,1))+1)-INDEX(Reference!$B$6:$B$11,MIN(5,MATCH(MAX(Reference!$A$6,MIN(Reference!$A$11,MIN($U131,270))),Reference!$A$6:$A$11,1))))/(INDEX(Reference!$A$6:$A$11,MIN(5,MATCH(MAX(Reference!$A$6,MIN(Reference!$A$11,MIN($U131,270))),Reference!$A$6:$A$11,1))+1)-INDEX(Reference!$A$6:$A$11,MIN(5,MATCH(MAX(Reference!$A$6,MIN(Reference!$A$11,MIN($U131,270))),Reference!$A$6:$A$11,1))))),0)+IF(8&lt;=$AL131,($AL131-8+3)*(INDEX(Reference!$B$6:$B$11,MIN(5,MATCH(MAX(Reference!$A$6,MIN(Reference!$A$11,MIN($U131,300))),Reference!$A$6:$A$11,1)))+(MAX(Reference!$A$6,MIN(Reference!$A$11,MIN($U131,300)))-INDEX(Reference!$A$6:$A$11,MIN(5,MATCH(MAX(Reference!$A$6,MIN(Reference!$A$11,MIN($U131,300))),Reference!$A$6:$A$11,1))))*(INDEX(Reference!$B$6:$B$11,MIN(5,MATCH(MAX(Reference!$A$6,MIN(Reference!$A$11,MIN($U131,300))),Reference!$A$6:$A$11,1))+1)-INDEX(Reference!$B$6:$B$11,MIN(5,MATCH(MAX(Reference!$A$6,MIN(Reference!$A$11,MIN($U131,300))),Reference!$A$6:$A$11,1))))/(INDEX(Reference!$A$6:$A$11,MIN(5,MATCH(MAX(Reference!$A$6,MIN(Reference!$A$11,MIN($U131,300))),Reference!$A$6:$A$11,1))+1)-INDEX(Reference!$A$6:$A$11,MIN(5,MATCH(MAX(Reference!$A$6,MIN(Reference!$A$11,MIN($U131,300))),Reference!$A$6:$A$11,1))))),0))/($AL131*($AL131+5)/2)),$AN131))</f>
        <v>0</v>
      </c>
      <c r="AN131" s="32">
        <f>IF($U131="",0,(INDEX(Reference!$B$6:$B$11,MIN(5,MATCH(MAX(Reference!$A$6,MIN(Reference!$A$11,$U131)),Reference!$A$6:$A$11,1)))+(MAX(Reference!$A$6,MIN(Reference!$A$11,$U131))-INDEX(Reference!$A$6:$A$11,MIN(5,MATCH(MAX(Reference!$A$6,MIN(Reference!$A$11,$U131)),Reference!$A$6:$A$11,1))))*(INDEX(Reference!$B$6:$B$11,MIN(5,MATCH(MAX(Reference!$A$6,MIN(Reference!$A$11,$U131)),Reference!$A$6:$A$11,1))+1)-INDEX(Reference!$B$6:$B$11,MIN(5,MATCH(MAX(Reference!$A$6,MIN(Reference!$A$11,$U131)),Reference!$A$6:$A$11,1))))/(INDEX(Reference!$A$6:$A$11,MIN(5,MATCH(MAX(Reference!$A$6,MIN(Reference!$A$11,$U131)),Reference!$A$6:$A$11,1))+1)-INDEX(Reference!$A$6:$A$11,MIN(5,MATCH(MAX(Reference!$A$6,MIN(Reference!$A$11,$U131)),Reference!$A$6:$A$11,1))))))</f>
        <v>0</v>
      </c>
      <c r="AO131" s="37"/>
      <c r="AP131" s="37"/>
      <c r="AQ131" s="37"/>
    </row>
    <row r="132" spans="1:43" x14ac:dyDescent="0.3">
      <c r="A132" s="48" t="str">
        <f t="shared" si="55"/>
        <v/>
      </c>
      <c r="B132" s="32" t="str">
        <f t="shared" si="56"/>
        <v/>
      </c>
      <c r="C132" s="32" t="str">
        <f t="shared" si="57"/>
        <v/>
      </c>
      <c r="D132" s="32" t="str">
        <f t="shared" si="58"/>
        <v/>
      </c>
      <c r="E132" s="32" t="str">
        <f t="shared" si="59"/>
        <v/>
      </c>
      <c r="F132" s="32" t="str">
        <f t="shared" si="60"/>
        <v/>
      </c>
      <c r="G132" s="47" t="str">
        <f t="shared" si="61"/>
        <v/>
      </c>
      <c r="H132" s="30" t="str">
        <f t="shared" si="62"/>
        <v/>
      </c>
      <c r="I132" s="46" t="str">
        <f>IF($A132="","",IF(AND($L132&lt;27,$K$12=0),"Building",IFERROR(((SUM($H$126:$H132)+$K$12*IF($L132&lt;6,SUMIFS('Throw Log'!$Q$5:$Q$300,'Throw Log'!$B$5:$B$300,$D$4,'Throw Log'!$A$5:$A$300,"&gt;="&amp;($D$6+$L132-6),'Throw Log'!$A$5:$A$300,"&lt;="&amp;($D$6-1)),0))/7)/((SUM($H$105:$H132)+$K$12*IF($L132&lt;27,SUMIFS('Throw Log'!$Q$5:$Q$300,'Throw Log'!$B$5:$B$300,$D$4,'Throw Log'!$A$5:$A$300,"&gt;="&amp;($D$6+$L132-27),'Throw Log'!$A$5:$A$300,"&lt;="&amp;($D$6-1)),0))/28),"")))</f>
        <v/>
      </c>
      <c r="J132" s="37"/>
      <c r="K132" s="37"/>
      <c r="L132" s="32">
        <v>89</v>
      </c>
      <c r="M132" s="32">
        <f t="shared" si="63"/>
        <v>13</v>
      </c>
      <c r="N132" s="32">
        <f t="shared" si="64"/>
        <v>5</v>
      </c>
      <c r="O132" s="32">
        <f t="shared" si="65"/>
        <v>1</v>
      </c>
      <c r="P132" s="32" t="str">
        <f>IF(OR($A132="",N($C132)&lt;=7),"",$G$6*$G$9^($M132-1)*IF(AND(MOD($M132,Reference!$B$99)=0,$M132&lt;=$G$5-2),Reference!$B$100,1))</f>
        <v/>
      </c>
      <c r="Q132" s="32" t="str">
        <f>IF($P132="","",IF(SUM($AK$127:$AK$133)=0,0,$P132*INDEX(Reference!$B$108:$B$114,$N132+1)/SUM($AK$127:$AK$133)))</f>
        <v/>
      </c>
      <c r="R132" s="32">
        <f t="shared" si="66"/>
        <v>180</v>
      </c>
      <c r="S132" s="32">
        <f t="shared" si="67"/>
        <v>150</v>
      </c>
      <c r="T132" s="32" t="str">
        <f>IF($A132="","",IF($C132=0,"Bullpen",IF(OR($C132=7,$C132=1,$C132=5),"Recovery/Easy Catch",IF($C132=6,"Compression/Pulldowns",IF(OR($C132=4,$C132=2),"Long Toss",IF($C132=3,"No Throw",IF($N132=2,"No Throw",IF($N132=6,IF($O132&lt;Reference!$B$104,"No Throw","Recovery/Easy Catch"),IF(OR($N132=0,$N132=4),"Recovery/Easy Catch",IF($N132=1,IF($R132&gt;75,"Long Toss","Recovery/Easy Catch"),IF($N132=3,IF($O132&lt;0.5,IF($S132&gt;75,"Long Toss","Recovery/Easy Catch"),"Compression/Pulldowns"),IF($S132&gt;75,"Long Toss","Recovery/Easy Catch"))))))))))))</f>
        <v/>
      </c>
      <c r="U132" s="32" t="str">
        <f t="shared" si="68"/>
        <v/>
      </c>
      <c r="V132" s="32" t="str">
        <f t="shared" si="69"/>
        <v/>
      </c>
      <c r="W132" s="32" t="str">
        <f t="shared" si="70"/>
        <v/>
      </c>
      <c r="X132" s="32">
        <f t="shared" si="71"/>
        <v>0</v>
      </c>
      <c r="Y132" s="32" t="str">
        <f t="shared" si="72"/>
        <v/>
      </c>
      <c r="Z132" s="32" t="str">
        <f t="shared" si="73"/>
        <v/>
      </c>
      <c r="AA132" s="32" t="str">
        <f t="shared" si="74"/>
        <v/>
      </c>
      <c r="AB132" s="32" t="str">
        <f>IF($A132="","",IF($T132="No Throw",0,IF($K132&lt;&gt;"",$K132,IF($AA132&lt;&gt;"",ROUND($AA132*$D$12*IF($C132=0,1,$G$10),0),MIN(IF($T132="Recovery/Easy Catch",Reference!$B$103,IF($T132="Long Toss",Reference!$B$106,Reference!$B$102)),MAX(Reference!$B$101,ROUND(MAX(0,$Q132-$AE132)/$AF132,0)))))))</f>
        <v/>
      </c>
      <c r="AC132" s="32">
        <f t="shared" si="75"/>
        <v>0</v>
      </c>
      <c r="AD132" s="32" t="b">
        <f t="shared" si="76"/>
        <v>1</v>
      </c>
      <c r="AE132" s="32">
        <f>IF($X132=0,0,$X132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132+$Z132)/2,0),Reference!$A$17:$B$20,2,TRUE()))</f>
        <v>0</v>
      </c>
      <c r="AF132" s="32">
        <f>IF(OR($A132="",$U132="",$T132="No Throw"),0,$AM132*VLOOKUP(MAX(($V132+$W132)/2,0),Reference!$A$17:$B$20,2,TRUE()))</f>
        <v>0</v>
      </c>
      <c r="AG132" s="32">
        <f>IF($AC132=0,0,$AC132*INDEX(Reference!$B$61:$B$62,MATCH("Bullpen",Reference!$A$61:$A$62,0))*VLOOKUP(MAX($D$5-($D$9+$E$9)/2,0),Reference!$A$17:$B$20,2,TRUE()))</f>
        <v>0</v>
      </c>
      <c r="AH132" s="32" t="e">
        <f t="shared" si="77"/>
        <v>#N/A</v>
      </c>
      <c r="AI132" s="32" t="e">
        <f>IF($A132="",NA(),Reference!$A$25)</f>
        <v>#N/A</v>
      </c>
      <c r="AJ132" s="32" t="e">
        <f t="shared" si="78"/>
        <v>#N/A</v>
      </c>
      <c r="AK132" s="32">
        <f>IF(OR($A132="",N($C132)&lt;=7,$T132="No Throw",$J132="x"),0,INDEX(Reference!$B$108:$B$114,$N132+1))</f>
        <v>0</v>
      </c>
      <c r="AL132" s="32">
        <f t="shared" si="79"/>
        <v>1</v>
      </c>
      <c r="AM132" s="32">
        <f>IF($U132="",0,IF($AL132&gt;1,((IF(1&lt;=$AL132,($AL132-1+3)*(INDEX(Reference!$B$6:$B$11,MIN(5,MATCH(MAX(Reference!$A$6,MIN(Reference!$A$11,MIN($U132,90))),Reference!$A$6:$A$11,1)))+(MAX(Reference!$A$6,MIN(Reference!$A$11,MIN($U132,90)))-INDEX(Reference!$A$6:$A$11,MIN(5,MATCH(MAX(Reference!$A$6,MIN(Reference!$A$11,MIN($U132,90))),Reference!$A$6:$A$11,1))))*(INDEX(Reference!$B$6:$B$11,MIN(5,MATCH(MAX(Reference!$A$6,MIN(Reference!$A$11,MIN($U132,90))),Reference!$A$6:$A$11,1))+1)-INDEX(Reference!$B$6:$B$11,MIN(5,MATCH(MAX(Reference!$A$6,MIN(Reference!$A$11,MIN($U132,90))),Reference!$A$6:$A$11,1))))/(INDEX(Reference!$A$6:$A$11,MIN(5,MATCH(MAX(Reference!$A$6,MIN(Reference!$A$11,MIN($U132,90))),Reference!$A$6:$A$11,1))+1)-INDEX(Reference!$A$6:$A$11,MIN(5,MATCH(MAX(Reference!$A$6,MIN(Reference!$A$11,MIN($U132,90))),Reference!$A$6:$A$11,1))))),0)+IF(2&lt;=$AL132,($AL132-2+3)*(INDEX(Reference!$B$6:$B$11,MIN(5,MATCH(MAX(Reference!$A$6,MIN(Reference!$A$11,MIN($U132,120))),Reference!$A$6:$A$11,1)))+(MAX(Reference!$A$6,MIN(Reference!$A$11,MIN($U132,120)))-INDEX(Reference!$A$6:$A$11,MIN(5,MATCH(MAX(Reference!$A$6,MIN(Reference!$A$11,MIN($U132,120))),Reference!$A$6:$A$11,1))))*(INDEX(Reference!$B$6:$B$11,MIN(5,MATCH(MAX(Reference!$A$6,MIN(Reference!$A$11,MIN($U132,120))),Reference!$A$6:$A$11,1))+1)-INDEX(Reference!$B$6:$B$11,MIN(5,MATCH(MAX(Reference!$A$6,MIN(Reference!$A$11,MIN($U132,120))),Reference!$A$6:$A$11,1))))/(INDEX(Reference!$A$6:$A$11,MIN(5,MATCH(MAX(Reference!$A$6,MIN(Reference!$A$11,MIN($U132,120))),Reference!$A$6:$A$11,1))+1)-INDEX(Reference!$A$6:$A$11,MIN(5,MATCH(MAX(Reference!$A$6,MIN(Reference!$A$11,MIN($U132,120))),Reference!$A$6:$A$11,1))))),0)+IF(3&lt;=$AL132,($AL132-3+3)*(INDEX(Reference!$B$6:$B$11,MIN(5,MATCH(MAX(Reference!$A$6,MIN(Reference!$A$11,MIN($U132,150))),Reference!$A$6:$A$11,1)))+(MAX(Reference!$A$6,MIN(Reference!$A$11,MIN($U132,150)))-INDEX(Reference!$A$6:$A$11,MIN(5,MATCH(MAX(Reference!$A$6,MIN(Reference!$A$11,MIN($U132,150))),Reference!$A$6:$A$11,1))))*(INDEX(Reference!$B$6:$B$11,MIN(5,MATCH(MAX(Reference!$A$6,MIN(Reference!$A$11,MIN($U132,150))),Reference!$A$6:$A$11,1))+1)-INDEX(Reference!$B$6:$B$11,MIN(5,MATCH(MAX(Reference!$A$6,MIN(Reference!$A$11,MIN($U132,150))),Reference!$A$6:$A$11,1))))/(INDEX(Reference!$A$6:$A$11,MIN(5,MATCH(MAX(Reference!$A$6,MIN(Reference!$A$11,MIN($U132,150))),Reference!$A$6:$A$11,1))+1)-INDEX(Reference!$A$6:$A$11,MIN(5,MATCH(MAX(Reference!$A$6,MIN(Reference!$A$11,MIN($U132,150))),Reference!$A$6:$A$11,1))))),0)+IF(4&lt;=$AL132,($AL132-4+3)*(INDEX(Reference!$B$6:$B$11,MIN(5,MATCH(MAX(Reference!$A$6,MIN(Reference!$A$11,MIN($U132,180))),Reference!$A$6:$A$11,1)))+(MAX(Reference!$A$6,MIN(Reference!$A$11,MIN($U132,180)))-INDEX(Reference!$A$6:$A$11,MIN(5,MATCH(MAX(Reference!$A$6,MIN(Reference!$A$11,MIN($U132,180))),Reference!$A$6:$A$11,1))))*(INDEX(Reference!$B$6:$B$11,MIN(5,MATCH(MAX(Reference!$A$6,MIN(Reference!$A$11,MIN($U132,180))),Reference!$A$6:$A$11,1))+1)-INDEX(Reference!$B$6:$B$11,MIN(5,MATCH(MAX(Reference!$A$6,MIN(Reference!$A$11,MIN($U132,180))),Reference!$A$6:$A$11,1))))/(INDEX(Reference!$A$6:$A$11,MIN(5,MATCH(MAX(Reference!$A$6,MIN(Reference!$A$11,MIN($U132,180))),Reference!$A$6:$A$11,1))+1)-INDEX(Reference!$A$6:$A$11,MIN(5,MATCH(MAX(Reference!$A$6,MIN(Reference!$A$11,MIN($U132,180))),Reference!$A$6:$A$11,1))))),0)+IF(5&lt;=$AL132,($AL132-5+3)*(INDEX(Reference!$B$6:$B$11,MIN(5,MATCH(MAX(Reference!$A$6,MIN(Reference!$A$11,MIN($U132,210))),Reference!$A$6:$A$11,1)))+(MAX(Reference!$A$6,MIN(Reference!$A$11,MIN($U132,210)))-INDEX(Reference!$A$6:$A$11,MIN(5,MATCH(MAX(Reference!$A$6,MIN(Reference!$A$11,MIN($U132,210))),Reference!$A$6:$A$11,1))))*(INDEX(Reference!$B$6:$B$11,MIN(5,MATCH(MAX(Reference!$A$6,MIN(Reference!$A$11,MIN($U132,210))),Reference!$A$6:$A$11,1))+1)-INDEX(Reference!$B$6:$B$11,MIN(5,MATCH(MAX(Reference!$A$6,MIN(Reference!$A$11,MIN($U132,210))),Reference!$A$6:$A$11,1))))/(INDEX(Reference!$A$6:$A$11,MIN(5,MATCH(MAX(Reference!$A$6,MIN(Reference!$A$11,MIN($U132,210))),Reference!$A$6:$A$11,1))+1)-INDEX(Reference!$A$6:$A$11,MIN(5,MATCH(MAX(Reference!$A$6,MIN(Reference!$A$11,MIN($U132,210))),Reference!$A$6:$A$11,1))))),0)+IF(6&lt;=$AL132,($AL132-6+3)*(INDEX(Reference!$B$6:$B$11,MIN(5,MATCH(MAX(Reference!$A$6,MIN(Reference!$A$11,MIN($U132,240))),Reference!$A$6:$A$11,1)))+(MAX(Reference!$A$6,MIN(Reference!$A$11,MIN($U132,240)))-INDEX(Reference!$A$6:$A$11,MIN(5,MATCH(MAX(Reference!$A$6,MIN(Reference!$A$11,MIN($U132,240))),Reference!$A$6:$A$11,1))))*(INDEX(Reference!$B$6:$B$11,MIN(5,MATCH(MAX(Reference!$A$6,MIN(Reference!$A$11,MIN($U132,240))),Reference!$A$6:$A$11,1))+1)-INDEX(Reference!$B$6:$B$11,MIN(5,MATCH(MAX(Reference!$A$6,MIN(Reference!$A$11,MIN($U132,240))),Reference!$A$6:$A$11,1))))/(INDEX(Reference!$A$6:$A$11,MIN(5,MATCH(MAX(Reference!$A$6,MIN(Reference!$A$11,MIN($U132,240))),Reference!$A$6:$A$11,1))+1)-INDEX(Reference!$A$6:$A$11,MIN(5,MATCH(MAX(Reference!$A$6,MIN(Reference!$A$11,MIN($U132,240))),Reference!$A$6:$A$11,1))))),0)+IF(7&lt;=$AL132,($AL132-7+3)*(INDEX(Reference!$B$6:$B$11,MIN(5,MATCH(MAX(Reference!$A$6,MIN(Reference!$A$11,MIN($U132,270))),Reference!$A$6:$A$11,1)))+(MAX(Reference!$A$6,MIN(Reference!$A$11,MIN($U132,270)))-INDEX(Reference!$A$6:$A$11,MIN(5,MATCH(MAX(Reference!$A$6,MIN(Reference!$A$11,MIN($U132,270))),Reference!$A$6:$A$11,1))))*(INDEX(Reference!$B$6:$B$11,MIN(5,MATCH(MAX(Reference!$A$6,MIN(Reference!$A$11,MIN($U132,270))),Reference!$A$6:$A$11,1))+1)-INDEX(Reference!$B$6:$B$11,MIN(5,MATCH(MAX(Reference!$A$6,MIN(Reference!$A$11,MIN($U132,270))),Reference!$A$6:$A$11,1))))/(INDEX(Reference!$A$6:$A$11,MIN(5,MATCH(MAX(Reference!$A$6,MIN(Reference!$A$11,MIN($U132,270))),Reference!$A$6:$A$11,1))+1)-INDEX(Reference!$A$6:$A$11,MIN(5,MATCH(MAX(Reference!$A$6,MIN(Reference!$A$11,MIN($U132,270))),Reference!$A$6:$A$11,1))))),0)+IF(8&lt;=$AL132,($AL132-8+3)*(INDEX(Reference!$B$6:$B$11,MIN(5,MATCH(MAX(Reference!$A$6,MIN(Reference!$A$11,MIN($U132,300))),Reference!$A$6:$A$11,1)))+(MAX(Reference!$A$6,MIN(Reference!$A$11,MIN($U132,300)))-INDEX(Reference!$A$6:$A$11,MIN(5,MATCH(MAX(Reference!$A$6,MIN(Reference!$A$11,MIN($U132,300))),Reference!$A$6:$A$11,1))))*(INDEX(Reference!$B$6:$B$11,MIN(5,MATCH(MAX(Reference!$A$6,MIN(Reference!$A$11,MIN($U132,300))),Reference!$A$6:$A$11,1))+1)-INDEX(Reference!$B$6:$B$11,MIN(5,MATCH(MAX(Reference!$A$6,MIN(Reference!$A$11,MIN($U132,300))),Reference!$A$6:$A$11,1))))/(INDEX(Reference!$A$6:$A$11,MIN(5,MATCH(MAX(Reference!$A$6,MIN(Reference!$A$11,MIN($U132,300))),Reference!$A$6:$A$11,1))+1)-INDEX(Reference!$A$6:$A$11,MIN(5,MATCH(MAX(Reference!$A$6,MIN(Reference!$A$11,MIN($U132,300))),Reference!$A$6:$A$11,1))))),0))/($AL132*($AL132+5)/2)),$AN132))</f>
        <v>0</v>
      </c>
      <c r="AN132" s="32">
        <f>IF($U132="",0,(INDEX(Reference!$B$6:$B$11,MIN(5,MATCH(MAX(Reference!$A$6,MIN(Reference!$A$11,$U132)),Reference!$A$6:$A$11,1)))+(MAX(Reference!$A$6,MIN(Reference!$A$11,$U132))-INDEX(Reference!$A$6:$A$11,MIN(5,MATCH(MAX(Reference!$A$6,MIN(Reference!$A$11,$U132)),Reference!$A$6:$A$11,1))))*(INDEX(Reference!$B$6:$B$11,MIN(5,MATCH(MAX(Reference!$A$6,MIN(Reference!$A$11,$U132)),Reference!$A$6:$A$11,1))+1)-INDEX(Reference!$B$6:$B$11,MIN(5,MATCH(MAX(Reference!$A$6,MIN(Reference!$A$11,$U132)),Reference!$A$6:$A$11,1))))/(INDEX(Reference!$A$6:$A$11,MIN(5,MATCH(MAX(Reference!$A$6,MIN(Reference!$A$11,$U132)),Reference!$A$6:$A$11,1))+1)-INDEX(Reference!$A$6:$A$11,MIN(5,MATCH(MAX(Reference!$A$6,MIN(Reference!$A$11,$U132)),Reference!$A$6:$A$11,1))))))</f>
        <v>0</v>
      </c>
      <c r="AO132" s="37"/>
      <c r="AP132" s="37"/>
      <c r="AQ132" s="37"/>
    </row>
    <row r="133" spans="1:43" x14ac:dyDescent="0.3">
      <c r="A133" s="48" t="str">
        <f t="shared" si="55"/>
        <v/>
      </c>
      <c r="B133" s="32" t="str">
        <f t="shared" si="56"/>
        <v/>
      </c>
      <c r="C133" s="32" t="str">
        <f t="shared" si="57"/>
        <v/>
      </c>
      <c r="D133" s="32" t="str">
        <f t="shared" si="58"/>
        <v/>
      </c>
      <c r="E133" s="32" t="str">
        <f t="shared" si="59"/>
        <v/>
      </c>
      <c r="F133" s="32" t="str">
        <f t="shared" si="60"/>
        <v/>
      </c>
      <c r="G133" s="47" t="str">
        <f t="shared" si="61"/>
        <v/>
      </c>
      <c r="H133" s="30" t="str">
        <f t="shared" si="62"/>
        <v/>
      </c>
      <c r="I133" s="46" t="str">
        <f>IF($A133="","",IF(AND($L133&lt;27,$K$12=0),"Building",IFERROR(((SUM($H$127:$H133)+$K$12*IF($L133&lt;6,SUMIFS('Throw Log'!$Q$5:$Q$300,'Throw Log'!$B$5:$B$300,$D$4,'Throw Log'!$A$5:$A$300,"&gt;="&amp;($D$6+$L133-6),'Throw Log'!$A$5:$A$300,"&lt;="&amp;($D$6-1)),0))/7)/((SUM($H$106:$H133)+$K$12*IF($L133&lt;27,SUMIFS('Throw Log'!$Q$5:$Q$300,'Throw Log'!$B$5:$B$300,$D$4,'Throw Log'!$A$5:$A$300,"&gt;="&amp;($D$6+$L133-27),'Throw Log'!$A$5:$A$300,"&lt;="&amp;($D$6-1)),0))/28),"")))</f>
        <v/>
      </c>
      <c r="J133" s="37"/>
      <c r="K133" s="37"/>
      <c r="L133" s="32">
        <v>90</v>
      </c>
      <c r="M133" s="32">
        <f t="shared" si="63"/>
        <v>13</v>
      </c>
      <c r="N133" s="32">
        <f t="shared" si="64"/>
        <v>6</v>
      </c>
      <c r="O133" s="32">
        <f t="shared" si="65"/>
        <v>1</v>
      </c>
      <c r="P133" s="32" t="str">
        <f>IF(OR($A133="",N($C133)&lt;=7),"",$G$6*$G$9^($M133-1)*IF(AND(MOD($M133,Reference!$B$99)=0,$M133&lt;=$G$5-2),Reference!$B$100,1))</f>
        <v/>
      </c>
      <c r="Q133" s="32" t="str">
        <f>IF($P133="","",IF(SUM($AK$127:$AK$133)=0,0,$P133*INDEX(Reference!$B$108:$B$114,$N133+1)/SUM($AK$127:$AK$133)))</f>
        <v/>
      </c>
      <c r="R133" s="32">
        <f t="shared" si="66"/>
        <v>180</v>
      </c>
      <c r="S133" s="32">
        <f t="shared" si="67"/>
        <v>150</v>
      </c>
      <c r="T133" s="32" t="str">
        <f>IF($A133="","",IF($C133=0,"Bullpen",IF(OR($C133=7,$C133=1,$C133=5),"Recovery/Easy Catch",IF($C133=6,"Compression/Pulldowns",IF(OR($C133=4,$C133=2),"Long Toss",IF($C133=3,"No Throw",IF($N133=2,"No Throw",IF($N133=6,IF($O133&lt;Reference!$B$104,"No Throw","Recovery/Easy Catch"),IF(OR($N133=0,$N133=4),"Recovery/Easy Catch",IF($N133=1,IF($R133&gt;75,"Long Toss","Recovery/Easy Catch"),IF($N133=3,IF($O133&lt;0.5,IF($S133&gt;75,"Long Toss","Recovery/Easy Catch"),"Compression/Pulldowns"),IF($S133&gt;75,"Long Toss","Recovery/Easy Catch"))))))))))))</f>
        <v/>
      </c>
      <c r="U133" s="32" t="str">
        <f t="shared" si="68"/>
        <v/>
      </c>
      <c r="V133" s="32" t="str">
        <f t="shared" si="69"/>
        <v/>
      </c>
      <c r="W133" s="32" t="str">
        <f t="shared" si="70"/>
        <v/>
      </c>
      <c r="X133" s="32">
        <f t="shared" si="71"/>
        <v>0</v>
      </c>
      <c r="Y133" s="32" t="str">
        <f t="shared" si="72"/>
        <v/>
      </c>
      <c r="Z133" s="32" t="str">
        <f t="shared" si="73"/>
        <v/>
      </c>
      <c r="AA133" s="32" t="str">
        <f t="shared" si="74"/>
        <v/>
      </c>
      <c r="AB133" s="32" t="str">
        <f>IF($A133="","",IF($T133="No Throw",0,IF($K133&lt;&gt;"",$K133,IF($AA133&lt;&gt;"",ROUND($AA133*$D$12*IF($C133=0,1,$G$10),0),MIN(IF($T133="Recovery/Easy Catch",Reference!$B$103,IF($T133="Long Toss",Reference!$B$106,Reference!$B$102)),MAX(Reference!$B$101,ROUND(MAX(0,$Q133-$AE133)/$AF133,0)))))))</f>
        <v/>
      </c>
      <c r="AC133" s="32">
        <f t="shared" si="75"/>
        <v>0</v>
      </c>
      <c r="AD133" s="32" t="b">
        <f t="shared" si="76"/>
        <v>1</v>
      </c>
      <c r="AE133" s="32">
        <f>IF($X133=0,0,$X133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133+$Z133)/2,0),Reference!$A$17:$B$20,2,TRUE()))</f>
        <v>0</v>
      </c>
      <c r="AF133" s="32">
        <f>IF(OR($A133="",$U133="",$T133="No Throw"),0,$AM133*VLOOKUP(MAX(($V133+$W133)/2,0),Reference!$A$17:$B$20,2,TRUE()))</f>
        <v>0</v>
      </c>
      <c r="AG133" s="32">
        <f>IF($AC133=0,0,$AC133*INDEX(Reference!$B$61:$B$62,MATCH("Bullpen",Reference!$A$61:$A$62,0))*VLOOKUP(MAX($D$5-($D$9+$E$9)/2,0),Reference!$A$17:$B$20,2,TRUE()))</f>
        <v>0</v>
      </c>
      <c r="AH133" s="32" t="e">
        <f t="shared" si="77"/>
        <v>#N/A</v>
      </c>
      <c r="AI133" s="32" t="e">
        <f>IF($A133="",NA(),Reference!$A$25)</f>
        <v>#N/A</v>
      </c>
      <c r="AJ133" s="32" t="e">
        <f t="shared" si="78"/>
        <v>#N/A</v>
      </c>
      <c r="AK133" s="32">
        <f>IF(OR($A133="",N($C133)&lt;=7,$T133="No Throw",$J133="x"),0,INDEX(Reference!$B$108:$B$114,$N133+1))</f>
        <v>0</v>
      </c>
      <c r="AL133" s="32">
        <f t="shared" si="79"/>
        <v>1</v>
      </c>
      <c r="AM133" s="32">
        <f>IF($U133="",0,IF($AL133&gt;1,((IF(1&lt;=$AL133,($AL133-1+3)*(INDEX(Reference!$B$6:$B$11,MIN(5,MATCH(MAX(Reference!$A$6,MIN(Reference!$A$11,MIN($U133,90))),Reference!$A$6:$A$11,1)))+(MAX(Reference!$A$6,MIN(Reference!$A$11,MIN($U133,90)))-INDEX(Reference!$A$6:$A$11,MIN(5,MATCH(MAX(Reference!$A$6,MIN(Reference!$A$11,MIN($U133,90))),Reference!$A$6:$A$11,1))))*(INDEX(Reference!$B$6:$B$11,MIN(5,MATCH(MAX(Reference!$A$6,MIN(Reference!$A$11,MIN($U133,90))),Reference!$A$6:$A$11,1))+1)-INDEX(Reference!$B$6:$B$11,MIN(5,MATCH(MAX(Reference!$A$6,MIN(Reference!$A$11,MIN($U133,90))),Reference!$A$6:$A$11,1))))/(INDEX(Reference!$A$6:$A$11,MIN(5,MATCH(MAX(Reference!$A$6,MIN(Reference!$A$11,MIN($U133,90))),Reference!$A$6:$A$11,1))+1)-INDEX(Reference!$A$6:$A$11,MIN(5,MATCH(MAX(Reference!$A$6,MIN(Reference!$A$11,MIN($U133,90))),Reference!$A$6:$A$11,1))))),0)+IF(2&lt;=$AL133,($AL133-2+3)*(INDEX(Reference!$B$6:$B$11,MIN(5,MATCH(MAX(Reference!$A$6,MIN(Reference!$A$11,MIN($U133,120))),Reference!$A$6:$A$11,1)))+(MAX(Reference!$A$6,MIN(Reference!$A$11,MIN($U133,120)))-INDEX(Reference!$A$6:$A$11,MIN(5,MATCH(MAX(Reference!$A$6,MIN(Reference!$A$11,MIN($U133,120))),Reference!$A$6:$A$11,1))))*(INDEX(Reference!$B$6:$B$11,MIN(5,MATCH(MAX(Reference!$A$6,MIN(Reference!$A$11,MIN($U133,120))),Reference!$A$6:$A$11,1))+1)-INDEX(Reference!$B$6:$B$11,MIN(5,MATCH(MAX(Reference!$A$6,MIN(Reference!$A$11,MIN($U133,120))),Reference!$A$6:$A$11,1))))/(INDEX(Reference!$A$6:$A$11,MIN(5,MATCH(MAX(Reference!$A$6,MIN(Reference!$A$11,MIN($U133,120))),Reference!$A$6:$A$11,1))+1)-INDEX(Reference!$A$6:$A$11,MIN(5,MATCH(MAX(Reference!$A$6,MIN(Reference!$A$11,MIN($U133,120))),Reference!$A$6:$A$11,1))))),0)+IF(3&lt;=$AL133,($AL133-3+3)*(INDEX(Reference!$B$6:$B$11,MIN(5,MATCH(MAX(Reference!$A$6,MIN(Reference!$A$11,MIN($U133,150))),Reference!$A$6:$A$11,1)))+(MAX(Reference!$A$6,MIN(Reference!$A$11,MIN($U133,150)))-INDEX(Reference!$A$6:$A$11,MIN(5,MATCH(MAX(Reference!$A$6,MIN(Reference!$A$11,MIN($U133,150))),Reference!$A$6:$A$11,1))))*(INDEX(Reference!$B$6:$B$11,MIN(5,MATCH(MAX(Reference!$A$6,MIN(Reference!$A$11,MIN($U133,150))),Reference!$A$6:$A$11,1))+1)-INDEX(Reference!$B$6:$B$11,MIN(5,MATCH(MAX(Reference!$A$6,MIN(Reference!$A$11,MIN($U133,150))),Reference!$A$6:$A$11,1))))/(INDEX(Reference!$A$6:$A$11,MIN(5,MATCH(MAX(Reference!$A$6,MIN(Reference!$A$11,MIN($U133,150))),Reference!$A$6:$A$11,1))+1)-INDEX(Reference!$A$6:$A$11,MIN(5,MATCH(MAX(Reference!$A$6,MIN(Reference!$A$11,MIN($U133,150))),Reference!$A$6:$A$11,1))))),0)+IF(4&lt;=$AL133,($AL133-4+3)*(INDEX(Reference!$B$6:$B$11,MIN(5,MATCH(MAX(Reference!$A$6,MIN(Reference!$A$11,MIN($U133,180))),Reference!$A$6:$A$11,1)))+(MAX(Reference!$A$6,MIN(Reference!$A$11,MIN($U133,180)))-INDEX(Reference!$A$6:$A$11,MIN(5,MATCH(MAX(Reference!$A$6,MIN(Reference!$A$11,MIN($U133,180))),Reference!$A$6:$A$11,1))))*(INDEX(Reference!$B$6:$B$11,MIN(5,MATCH(MAX(Reference!$A$6,MIN(Reference!$A$11,MIN($U133,180))),Reference!$A$6:$A$11,1))+1)-INDEX(Reference!$B$6:$B$11,MIN(5,MATCH(MAX(Reference!$A$6,MIN(Reference!$A$11,MIN($U133,180))),Reference!$A$6:$A$11,1))))/(INDEX(Reference!$A$6:$A$11,MIN(5,MATCH(MAX(Reference!$A$6,MIN(Reference!$A$11,MIN($U133,180))),Reference!$A$6:$A$11,1))+1)-INDEX(Reference!$A$6:$A$11,MIN(5,MATCH(MAX(Reference!$A$6,MIN(Reference!$A$11,MIN($U133,180))),Reference!$A$6:$A$11,1))))),0)+IF(5&lt;=$AL133,($AL133-5+3)*(INDEX(Reference!$B$6:$B$11,MIN(5,MATCH(MAX(Reference!$A$6,MIN(Reference!$A$11,MIN($U133,210))),Reference!$A$6:$A$11,1)))+(MAX(Reference!$A$6,MIN(Reference!$A$11,MIN($U133,210)))-INDEX(Reference!$A$6:$A$11,MIN(5,MATCH(MAX(Reference!$A$6,MIN(Reference!$A$11,MIN($U133,210))),Reference!$A$6:$A$11,1))))*(INDEX(Reference!$B$6:$B$11,MIN(5,MATCH(MAX(Reference!$A$6,MIN(Reference!$A$11,MIN($U133,210))),Reference!$A$6:$A$11,1))+1)-INDEX(Reference!$B$6:$B$11,MIN(5,MATCH(MAX(Reference!$A$6,MIN(Reference!$A$11,MIN($U133,210))),Reference!$A$6:$A$11,1))))/(INDEX(Reference!$A$6:$A$11,MIN(5,MATCH(MAX(Reference!$A$6,MIN(Reference!$A$11,MIN($U133,210))),Reference!$A$6:$A$11,1))+1)-INDEX(Reference!$A$6:$A$11,MIN(5,MATCH(MAX(Reference!$A$6,MIN(Reference!$A$11,MIN($U133,210))),Reference!$A$6:$A$11,1))))),0)+IF(6&lt;=$AL133,($AL133-6+3)*(INDEX(Reference!$B$6:$B$11,MIN(5,MATCH(MAX(Reference!$A$6,MIN(Reference!$A$11,MIN($U133,240))),Reference!$A$6:$A$11,1)))+(MAX(Reference!$A$6,MIN(Reference!$A$11,MIN($U133,240)))-INDEX(Reference!$A$6:$A$11,MIN(5,MATCH(MAX(Reference!$A$6,MIN(Reference!$A$11,MIN($U133,240))),Reference!$A$6:$A$11,1))))*(INDEX(Reference!$B$6:$B$11,MIN(5,MATCH(MAX(Reference!$A$6,MIN(Reference!$A$11,MIN($U133,240))),Reference!$A$6:$A$11,1))+1)-INDEX(Reference!$B$6:$B$11,MIN(5,MATCH(MAX(Reference!$A$6,MIN(Reference!$A$11,MIN($U133,240))),Reference!$A$6:$A$11,1))))/(INDEX(Reference!$A$6:$A$11,MIN(5,MATCH(MAX(Reference!$A$6,MIN(Reference!$A$11,MIN($U133,240))),Reference!$A$6:$A$11,1))+1)-INDEX(Reference!$A$6:$A$11,MIN(5,MATCH(MAX(Reference!$A$6,MIN(Reference!$A$11,MIN($U133,240))),Reference!$A$6:$A$11,1))))),0)+IF(7&lt;=$AL133,($AL133-7+3)*(INDEX(Reference!$B$6:$B$11,MIN(5,MATCH(MAX(Reference!$A$6,MIN(Reference!$A$11,MIN($U133,270))),Reference!$A$6:$A$11,1)))+(MAX(Reference!$A$6,MIN(Reference!$A$11,MIN($U133,270)))-INDEX(Reference!$A$6:$A$11,MIN(5,MATCH(MAX(Reference!$A$6,MIN(Reference!$A$11,MIN($U133,270))),Reference!$A$6:$A$11,1))))*(INDEX(Reference!$B$6:$B$11,MIN(5,MATCH(MAX(Reference!$A$6,MIN(Reference!$A$11,MIN($U133,270))),Reference!$A$6:$A$11,1))+1)-INDEX(Reference!$B$6:$B$11,MIN(5,MATCH(MAX(Reference!$A$6,MIN(Reference!$A$11,MIN($U133,270))),Reference!$A$6:$A$11,1))))/(INDEX(Reference!$A$6:$A$11,MIN(5,MATCH(MAX(Reference!$A$6,MIN(Reference!$A$11,MIN($U133,270))),Reference!$A$6:$A$11,1))+1)-INDEX(Reference!$A$6:$A$11,MIN(5,MATCH(MAX(Reference!$A$6,MIN(Reference!$A$11,MIN($U133,270))),Reference!$A$6:$A$11,1))))),0)+IF(8&lt;=$AL133,($AL133-8+3)*(INDEX(Reference!$B$6:$B$11,MIN(5,MATCH(MAX(Reference!$A$6,MIN(Reference!$A$11,MIN($U133,300))),Reference!$A$6:$A$11,1)))+(MAX(Reference!$A$6,MIN(Reference!$A$11,MIN($U133,300)))-INDEX(Reference!$A$6:$A$11,MIN(5,MATCH(MAX(Reference!$A$6,MIN(Reference!$A$11,MIN($U133,300))),Reference!$A$6:$A$11,1))))*(INDEX(Reference!$B$6:$B$11,MIN(5,MATCH(MAX(Reference!$A$6,MIN(Reference!$A$11,MIN($U133,300))),Reference!$A$6:$A$11,1))+1)-INDEX(Reference!$B$6:$B$11,MIN(5,MATCH(MAX(Reference!$A$6,MIN(Reference!$A$11,MIN($U133,300))),Reference!$A$6:$A$11,1))))/(INDEX(Reference!$A$6:$A$11,MIN(5,MATCH(MAX(Reference!$A$6,MIN(Reference!$A$11,MIN($U133,300))),Reference!$A$6:$A$11,1))+1)-INDEX(Reference!$A$6:$A$11,MIN(5,MATCH(MAX(Reference!$A$6,MIN(Reference!$A$11,MIN($U133,300))),Reference!$A$6:$A$11,1))))),0))/($AL133*($AL133+5)/2)),$AN133))</f>
        <v>0</v>
      </c>
      <c r="AN133" s="32">
        <f>IF($U133="",0,(INDEX(Reference!$B$6:$B$11,MIN(5,MATCH(MAX(Reference!$A$6,MIN(Reference!$A$11,$U133)),Reference!$A$6:$A$11,1)))+(MAX(Reference!$A$6,MIN(Reference!$A$11,$U133))-INDEX(Reference!$A$6:$A$11,MIN(5,MATCH(MAX(Reference!$A$6,MIN(Reference!$A$11,$U133)),Reference!$A$6:$A$11,1))))*(INDEX(Reference!$B$6:$B$11,MIN(5,MATCH(MAX(Reference!$A$6,MIN(Reference!$A$11,$U133)),Reference!$A$6:$A$11,1))+1)-INDEX(Reference!$B$6:$B$11,MIN(5,MATCH(MAX(Reference!$A$6,MIN(Reference!$A$11,$U133)),Reference!$A$6:$A$11,1))))/(INDEX(Reference!$A$6:$A$11,MIN(5,MATCH(MAX(Reference!$A$6,MIN(Reference!$A$11,$U133)),Reference!$A$6:$A$11,1))+1)-INDEX(Reference!$A$6:$A$11,MIN(5,MATCH(MAX(Reference!$A$6,MIN(Reference!$A$11,$U133)),Reference!$A$6:$A$11,1))))))</f>
        <v>0</v>
      </c>
      <c r="AO133" s="37"/>
      <c r="AP133" s="37"/>
      <c r="AQ133" s="37"/>
    </row>
    <row r="134" spans="1:43" x14ac:dyDescent="0.3">
      <c r="A134" s="48" t="str">
        <f t="shared" si="55"/>
        <v/>
      </c>
      <c r="B134" s="32" t="str">
        <f t="shared" si="56"/>
        <v/>
      </c>
      <c r="C134" s="32" t="str">
        <f t="shared" si="57"/>
        <v/>
      </c>
      <c r="D134" s="32" t="str">
        <f t="shared" si="58"/>
        <v/>
      </c>
      <c r="E134" s="32" t="str">
        <f t="shared" si="59"/>
        <v/>
      </c>
      <c r="F134" s="32" t="str">
        <f t="shared" si="60"/>
        <v/>
      </c>
      <c r="G134" s="47" t="str">
        <f t="shared" si="61"/>
        <v/>
      </c>
      <c r="H134" s="30" t="str">
        <f t="shared" si="62"/>
        <v/>
      </c>
      <c r="I134" s="46" t="str">
        <f>IF($A134="","",IF(AND($L134&lt;27,$K$12=0),"Building",IFERROR(((SUM($H$128:$H134)+$K$12*IF($L134&lt;6,SUMIFS('Throw Log'!$Q$5:$Q$300,'Throw Log'!$B$5:$B$300,$D$4,'Throw Log'!$A$5:$A$300,"&gt;="&amp;($D$6+$L134-6),'Throw Log'!$A$5:$A$300,"&lt;="&amp;($D$6-1)),0))/7)/((SUM($H$107:$H134)+$K$12*IF($L134&lt;27,SUMIFS('Throw Log'!$Q$5:$Q$300,'Throw Log'!$B$5:$B$300,$D$4,'Throw Log'!$A$5:$A$300,"&gt;="&amp;($D$6+$L134-27),'Throw Log'!$A$5:$A$300,"&lt;="&amp;($D$6-1)),0))/28),"")))</f>
        <v/>
      </c>
      <c r="J134" s="37"/>
      <c r="K134" s="37"/>
      <c r="L134" s="32">
        <v>91</v>
      </c>
      <c r="M134" s="32">
        <f t="shared" si="63"/>
        <v>14</v>
      </c>
      <c r="N134" s="32">
        <f t="shared" si="64"/>
        <v>0</v>
      </c>
      <c r="O134" s="32">
        <f t="shared" si="65"/>
        <v>1</v>
      </c>
      <c r="P134" s="32" t="str">
        <f>IF(OR($A134="",N($C134)&lt;=7),"",$G$6*$G$9^($M134-1)*IF(AND(MOD($M134,Reference!$B$99)=0,$M134&lt;=$G$5-2),Reference!$B$100,1))</f>
        <v/>
      </c>
      <c r="Q134" s="32" t="str">
        <f>IF($P134="","",IF(SUM($AK$134:$AK$140)=0,0,$P134*INDEX(Reference!$B$108:$B$114,$N134+1)/SUM($AK$134:$AK$140)))</f>
        <v/>
      </c>
      <c r="R134" s="32">
        <f t="shared" si="66"/>
        <v>180</v>
      </c>
      <c r="S134" s="32">
        <f t="shared" si="67"/>
        <v>150</v>
      </c>
      <c r="T134" s="32" t="str">
        <f>IF($A134="","",IF($C134=0,"Bullpen",IF(OR($C134=7,$C134=1,$C134=5),"Recovery/Easy Catch",IF($C134=6,"Compression/Pulldowns",IF(OR($C134=4,$C134=2),"Long Toss",IF($C134=3,"No Throw",IF($N134=2,"No Throw",IF($N134=6,IF($O134&lt;Reference!$B$104,"No Throw","Recovery/Easy Catch"),IF(OR($N134=0,$N134=4),"Recovery/Easy Catch",IF($N134=1,IF($R134&gt;75,"Long Toss","Recovery/Easy Catch"),IF($N134=3,IF($O134&lt;0.5,IF($S134&gt;75,"Long Toss","Recovery/Easy Catch"),"Compression/Pulldowns"),IF($S134&gt;75,"Long Toss","Recovery/Easy Catch"))))))))))))</f>
        <v/>
      </c>
      <c r="U134" s="32" t="str">
        <f t="shared" si="68"/>
        <v/>
      </c>
      <c r="V134" s="32" t="str">
        <f t="shared" si="69"/>
        <v/>
      </c>
      <c r="W134" s="32" t="str">
        <f t="shared" si="70"/>
        <v/>
      </c>
      <c r="X134" s="32">
        <f t="shared" si="71"/>
        <v>0</v>
      </c>
      <c r="Y134" s="32" t="str">
        <f t="shared" si="72"/>
        <v/>
      </c>
      <c r="Z134" s="32" t="str">
        <f t="shared" si="73"/>
        <v/>
      </c>
      <c r="AA134" s="32" t="str">
        <f t="shared" si="74"/>
        <v/>
      </c>
      <c r="AB134" s="32" t="str">
        <f>IF($A134="","",IF($T134="No Throw",0,IF($K134&lt;&gt;"",$K134,IF($AA134&lt;&gt;"",ROUND($AA134*$D$12*IF($C134=0,1,$G$10),0),MIN(IF($T134="Recovery/Easy Catch",Reference!$B$103,IF($T134="Long Toss",Reference!$B$106,Reference!$B$102)),MAX(Reference!$B$101,ROUND(MAX(0,$Q134-$AE134)/$AF134,0)))))))</f>
        <v/>
      </c>
      <c r="AC134" s="32">
        <f t="shared" si="75"/>
        <v>0</v>
      </c>
      <c r="AD134" s="32" t="b">
        <f t="shared" si="76"/>
        <v>1</v>
      </c>
      <c r="AE134" s="32">
        <f>IF($X134=0,0,$X134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134+$Z134)/2,0),Reference!$A$17:$B$20,2,TRUE()))</f>
        <v>0</v>
      </c>
      <c r="AF134" s="32">
        <f>IF(OR($A134="",$U134="",$T134="No Throw"),0,$AM134*VLOOKUP(MAX(($V134+$W134)/2,0),Reference!$A$17:$B$20,2,TRUE()))</f>
        <v>0</v>
      </c>
      <c r="AG134" s="32">
        <f>IF($AC134=0,0,$AC134*INDEX(Reference!$B$61:$B$62,MATCH("Bullpen",Reference!$A$61:$A$62,0))*VLOOKUP(MAX($D$5-($D$9+$E$9)/2,0),Reference!$A$17:$B$20,2,TRUE()))</f>
        <v>0</v>
      </c>
      <c r="AH134" s="32" t="e">
        <f t="shared" si="77"/>
        <v>#N/A</v>
      </c>
      <c r="AI134" s="32" t="e">
        <f>IF($A134="",NA(),Reference!$A$25)</f>
        <v>#N/A</v>
      </c>
      <c r="AJ134" s="32" t="e">
        <f t="shared" si="78"/>
        <v>#N/A</v>
      </c>
      <c r="AK134" s="32">
        <f>IF(OR($A134="",N($C134)&lt;=7,$T134="No Throw",$J134="x"),0,INDEX(Reference!$B$108:$B$114,$N134+1))</f>
        <v>0</v>
      </c>
      <c r="AL134" s="32">
        <f t="shared" si="79"/>
        <v>1</v>
      </c>
      <c r="AM134" s="32">
        <f>IF($U134="",0,IF($AL134&gt;1,((IF(1&lt;=$AL134,($AL134-1+3)*(INDEX(Reference!$B$6:$B$11,MIN(5,MATCH(MAX(Reference!$A$6,MIN(Reference!$A$11,MIN($U134,90))),Reference!$A$6:$A$11,1)))+(MAX(Reference!$A$6,MIN(Reference!$A$11,MIN($U134,90)))-INDEX(Reference!$A$6:$A$11,MIN(5,MATCH(MAX(Reference!$A$6,MIN(Reference!$A$11,MIN($U134,90))),Reference!$A$6:$A$11,1))))*(INDEX(Reference!$B$6:$B$11,MIN(5,MATCH(MAX(Reference!$A$6,MIN(Reference!$A$11,MIN($U134,90))),Reference!$A$6:$A$11,1))+1)-INDEX(Reference!$B$6:$B$11,MIN(5,MATCH(MAX(Reference!$A$6,MIN(Reference!$A$11,MIN($U134,90))),Reference!$A$6:$A$11,1))))/(INDEX(Reference!$A$6:$A$11,MIN(5,MATCH(MAX(Reference!$A$6,MIN(Reference!$A$11,MIN($U134,90))),Reference!$A$6:$A$11,1))+1)-INDEX(Reference!$A$6:$A$11,MIN(5,MATCH(MAX(Reference!$A$6,MIN(Reference!$A$11,MIN($U134,90))),Reference!$A$6:$A$11,1))))),0)+IF(2&lt;=$AL134,($AL134-2+3)*(INDEX(Reference!$B$6:$B$11,MIN(5,MATCH(MAX(Reference!$A$6,MIN(Reference!$A$11,MIN($U134,120))),Reference!$A$6:$A$11,1)))+(MAX(Reference!$A$6,MIN(Reference!$A$11,MIN($U134,120)))-INDEX(Reference!$A$6:$A$11,MIN(5,MATCH(MAX(Reference!$A$6,MIN(Reference!$A$11,MIN($U134,120))),Reference!$A$6:$A$11,1))))*(INDEX(Reference!$B$6:$B$11,MIN(5,MATCH(MAX(Reference!$A$6,MIN(Reference!$A$11,MIN($U134,120))),Reference!$A$6:$A$11,1))+1)-INDEX(Reference!$B$6:$B$11,MIN(5,MATCH(MAX(Reference!$A$6,MIN(Reference!$A$11,MIN($U134,120))),Reference!$A$6:$A$11,1))))/(INDEX(Reference!$A$6:$A$11,MIN(5,MATCH(MAX(Reference!$A$6,MIN(Reference!$A$11,MIN($U134,120))),Reference!$A$6:$A$11,1))+1)-INDEX(Reference!$A$6:$A$11,MIN(5,MATCH(MAX(Reference!$A$6,MIN(Reference!$A$11,MIN($U134,120))),Reference!$A$6:$A$11,1))))),0)+IF(3&lt;=$AL134,($AL134-3+3)*(INDEX(Reference!$B$6:$B$11,MIN(5,MATCH(MAX(Reference!$A$6,MIN(Reference!$A$11,MIN($U134,150))),Reference!$A$6:$A$11,1)))+(MAX(Reference!$A$6,MIN(Reference!$A$11,MIN($U134,150)))-INDEX(Reference!$A$6:$A$11,MIN(5,MATCH(MAX(Reference!$A$6,MIN(Reference!$A$11,MIN($U134,150))),Reference!$A$6:$A$11,1))))*(INDEX(Reference!$B$6:$B$11,MIN(5,MATCH(MAX(Reference!$A$6,MIN(Reference!$A$11,MIN($U134,150))),Reference!$A$6:$A$11,1))+1)-INDEX(Reference!$B$6:$B$11,MIN(5,MATCH(MAX(Reference!$A$6,MIN(Reference!$A$11,MIN($U134,150))),Reference!$A$6:$A$11,1))))/(INDEX(Reference!$A$6:$A$11,MIN(5,MATCH(MAX(Reference!$A$6,MIN(Reference!$A$11,MIN($U134,150))),Reference!$A$6:$A$11,1))+1)-INDEX(Reference!$A$6:$A$11,MIN(5,MATCH(MAX(Reference!$A$6,MIN(Reference!$A$11,MIN($U134,150))),Reference!$A$6:$A$11,1))))),0)+IF(4&lt;=$AL134,($AL134-4+3)*(INDEX(Reference!$B$6:$B$11,MIN(5,MATCH(MAX(Reference!$A$6,MIN(Reference!$A$11,MIN($U134,180))),Reference!$A$6:$A$11,1)))+(MAX(Reference!$A$6,MIN(Reference!$A$11,MIN($U134,180)))-INDEX(Reference!$A$6:$A$11,MIN(5,MATCH(MAX(Reference!$A$6,MIN(Reference!$A$11,MIN($U134,180))),Reference!$A$6:$A$11,1))))*(INDEX(Reference!$B$6:$B$11,MIN(5,MATCH(MAX(Reference!$A$6,MIN(Reference!$A$11,MIN($U134,180))),Reference!$A$6:$A$11,1))+1)-INDEX(Reference!$B$6:$B$11,MIN(5,MATCH(MAX(Reference!$A$6,MIN(Reference!$A$11,MIN($U134,180))),Reference!$A$6:$A$11,1))))/(INDEX(Reference!$A$6:$A$11,MIN(5,MATCH(MAX(Reference!$A$6,MIN(Reference!$A$11,MIN($U134,180))),Reference!$A$6:$A$11,1))+1)-INDEX(Reference!$A$6:$A$11,MIN(5,MATCH(MAX(Reference!$A$6,MIN(Reference!$A$11,MIN($U134,180))),Reference!$A$6:$A$11,1))))),0)+IF(5&lt;=$AL134,($AL134-5+3)*(INDEX(Reference!$B$6:$B$11,MIN(5,MATCH(MAX(Reference!$A$6,MIN(Reference!$A$11,MIN($U134,210))),Reference!$A$6:$A$11,1)))+(MAX(Reference!$A$6,MIN(Reference!$A$11,MIN($U134,210)))-INDEX(Reference!$A$6:$A$11,MIN(5,MATCH(MAX(Reference!$A$6,MIN(Reference!$A$11,MIN($U134,210))),Reference!$A$6:$A$11,1))))*(INDEX(Reference!$B$6:$B$11,MIN(5,MATCH(MAX(Reference!$A$6,MIN(Reference!$A$11,MIN($U134,210))),Reference!$A$6:$A$11,1))+1)-INDEX(Reference!$B$6:$B$11,MIN(5,MATCH(MAX(Reference!$A$6,MIN(Reference!$A$11,MIN($U134,210))),Reference!$A$6:$A$11,1))))/(INDEX(Reference!$A$6:$A$11,MIN(5,MATCH(MAX(Reference!$A$6,MIN(Reference!$A$11,MIN($U134,210))),Reference!$A$6:$A$11,1))+1)-INDEX(Reference!$A$6:$A$11,MIN(5,MATCH(MAX(Reference!$A$6,MIN(Reference!$A$11,MIN($U134,210))),Reference!$A$6:$A$11,1))))),0)+IF(6&lt;=$AL134,($AL134-6+3)*(INDEX(Reference!$B$6:$B$11,MIN(5,MATCH(MAX(Reference!$A$6,MIN(Reference!$A$11,MIN($U134,240))),Reference!$A$6:$A$11,1)))+(MAX(Reference!$A$6,MIN(Reference!$A$11,MIN($U134,240)))-INDEX(Reference!$A$6:$A$11,MIN(5,MATCH(MAX(Reference!$A$6,MIN(Reference!$A$11,MIN($U134,240))),Reference!$A$6:$A$11,1))))*(INDEX(Reference!$B$6:$B$11,MIN(5,MATCH(MAX(Reference!$A$6,MIN(Reference!$A$11,MIN($U134,240))),Reference!$A$6:$A$11,1))+1)-INDEX(Reference!$B$6:$B$11,MIN(5,MATCH(MAX(Reference!$A$6,MIN(Reference!$A$11,MIN($U134,240))),Reference!$A$6:$A$11,1))))/(INDEX(Reference!$A$6:$A$11,MIN(5,MATCH(MAX(Reference!$A$6,MIN(Reference!$A$11,MIN($U134,240))),Reference!$A$6:$A$11,1))+1)-INDEX(Reference!$A$6:$A$11,MIN(5,MATCH(MAX(Reference!$A$6,MIN(Reference!$A$11,MIN($U134,240))),Reference!$A$6:$A$11,1))))),0)+IF(7&lt;=$AL134,($AL134-7+3)*(INDEX(Reference!$B$6:$B$11,MIN(5,MATCH(MAX(Reference!$A$6,MIN(Reference!$A$11,MIN($U134,270))),Reference!$A$6:$A$11,1)))+(MAX(Reference!$A$6,MIN(Reference!$A$11,MIN($U134,270)))-INDEX(Reference!$A$6:$A$11,MIN(5,MATCH(MAX(Reference!$A$6,MIN(Reference!$A$11,MIN($U134,270))),Reference!$A$6:$A$11,1))))*(INDEX(Reference!$B$6:$B$11,MIN(5,MATCH(MAX(Reference!$A$6,MIN(Reference!$A$11,MIN($U134,270))),Reference!$A$6:$A$11,1))+1)-INDEX(Reference!$B$6:$B$11,MIN(5,MATCH(MAX(Reference!$A$6,MIN(Reference!$A$11,MIN($U134,270))),Reference!$A$6:$A$11,1))))/(INDEX(Reference!$A$6:$A$11,MIN(5,MATCH(MAX(Reference!$A$6,MIN(Reference!$A$11,MIN($U134,270))),Reference!$A$6:$A$11,1))+1)-INDEX(Reference!$A$6:$A$11,MIN(5,MATCH(MAX(Reference!$A$6,MIN(Reference!$A$11,MIN($U134,270))),Reference!$A$6:$A$11,1))))),0)+IF(8&lt;=$AL134,($AL134-8+3)*(INDEX(Reference!$B$6:$B$11,MIN(5,MATCH(MAX(Reference!$A$6,MIN(Reference!$A$11,MIN($U134,300))),Reference!$A$6:$A$11,1)))+(MAX(Reference!$A$6,MIN(Reference!$A$11,MIN($U134,300)))-INDEX(Reference!$A$6:$A$11,MIN(5,MATCH(MAX(Reference!$A$6,MIN(Reference!$A$11,MIN($U134,300))),Reference!$A$6:$A$11,1))))*(INDEX(Reference!$B$6:$B$11,MIN(5,MATCH(MAX(Reference!$A$6,MIN(Reference!$A$11,MIN($U134,300))),Reference!$A$6:$A$11,1))+1)-INDEX(Reference!$B$6:$B$11,MIN(5,MATCH(MAX(Reference!$A$6,MIN(Reference!$A$11,MIN($U134,300))),Reference!$A$6:$A$11,1))))/(INDEX(Reference!$A$6:$A$11,MIN(5,MATCH(MAX(Reference!$A$6,MIN(Reference!$A$11,MIN($U134,300))),Reference!$A$6:$A$11,1))+1)-INDEX(Reference!$A$6:$A$11,MIN(5,MATCH(MAX(Reference!$A$6,MIN(Reference!$A$11,MIN($U134,300))),Reference!$A$6:$A$11,1))))),0))/($AL134*($AL134+5)/2)),$AN134))</f>
        <v>0</v>
      </c>
      <c r="AN134" s="32">
        <f>IF($U134="",0,(INDEX(Reference!$B$6:$B$11,MIN(5,MATCH(MAX(Reference!$A$6,MIN(Reference!$A$11,$U134)),Reference!$A$6:$A$11,1)))+(MAX(Reference!$A$6,MIN(Reference!$A$11,$U134))-INDEX(Reference!$A$6:$A$11,MIN(5,MATCH(MAX(Reference!$A$6,MIN(Reference!$A$11,$U134)),Reference!$A$6:$A$11,1))))*(INDEX(Reference!$B$6:$B$11,MIN(5,MATCH(MAX(Reference!$A$6,MIN(Reference!$A$11,$U134)),Reference!$A$6:$A$11,1))+1)-INDEX(Reference!$B$6:$B$11,MIN(5,MATCH(MAX(Reference!$A$6,MIN(Reference!$A$11,$U134)),Reference!$A$6:$A$11,1))))/(INDEX(Reference!$A$6:$A$11,MIN(5,MATCH(MAX(Reference!$A$6,MIN(Reference!$A$11,$U134)),Reference!$A$6:$A$11,1))+1)-INDEX(Reference!$A$6:$A$11,MIN(5,MATCH(MAX(Reference!$A$6,MIN(Reference!$A$11,$U134)),Reference!$A$6:$A$11,1))))))</f>
        <v>0</v>
      </c>
      <c r="AO134" s="37"/>
      <c r="AP134" s="37"/>
      <c r="AQ134" s="37"/>
    </row>
    <row r="135" spans="1:43" x14ac:dyDescent="0.3">
      <c r="A135" s="48" t="str">
        <f t="shared" si="55"/>
        <v/>
      </c>
      <c r="B135" s="32" t="str">
        <f t="shared" si="56"/>
        <v/>
      </c>
      <c r="C135" s="32" t="str">
        <f t="shared" si="57"/>
        <v/>
      </c>
      <c r="D135" s="32" t="str">
        <f t="shared" si="58"/>
        <v/>
      </c>
      <c r="E135" s="32" t="str">
        <f t="shared" si="59"/>
        <v/>
      </c>
      <c r="F135" s="32" t="str">
        <f t="shared" si="60"/>
        <v/>
      </c>
      <c r="G135" s="47" t="str">
        <f t="shared" si="61"/>
        <v/>
      </c>
      <c r="H135" s="30" t="str">
        <f t="shared" si="62"/>
        <v/>
      </c>
      <c r="I135" s="46" t="str">
        <f>IF($A135="","",IF(AND($L135&lt;27,$K$12=0),"Building",IFERROR(((SUM($H$129:$H135)+$K$12*IF($L135&lt;6,SUMIFS('Throw Log'!$Q$5:$Q$300,'Throw Log'!$B$5:$B$300,$D$4,'Throw Log'!$A$5:$A$300,"&gt;="&amp;($D$6+$L135-6),'Throw Log'!$A$5:$A$300,"&lt;="&amp;($D$6-1)),0))/7)/((SUM($H$108:$H135)+$K$12*IF($L135&lt;27,SUMIFS('Throw Log'!$Q$5:$Q$300,'Throw Log'!$B$5:$B$300,$D$4,'Throw Log'!$A$5:$A$300,"&gt;="&amp;($D$6+$L135-27),'Throw Log'!$A$5:$A$300,"&lt;="&amp;($D$6-1)),0))/28),"")))</f>
        <v/>
      </c>
      <c r="J135" s="37"/>
      <c r="K135" s="37"/>
      <c r="L135" s="32">
        <v>92</v>
      </c>
      <c r="M135" s="32">
        <f t="shared" si="63"/>
        <v>14</v>
      </c>
      <c r="N135" s="32">
        <f t="shared" si="64"/>
        <v>1</v>
      </c>
      <c r="O135" s="32">
        <f t="shared" si="65"/>
        <v>1</v>
      </c>
      <c r="P135" s="32" t="str">
        <f>IF(OR($A135="",N($C135)&lt;=7),"",$G$6*$G$9^($M135-1)*IF(AND(MOD($M135,Reference!$B$99)=0,$M135&lt;=$G$5-2),Reference!$B$100,1))</f>
        <v/>
      </c>
      <c r="Q135" s="32" t="str">
        <f>IF($P135="","",IF(SUM($AK$134:$AK$140)=0,0,$P135*INDEX(Reference!$B$108:$B$114,$N135+1)/SUM($AK$134:$AK$140)))</f>
        <v/>
      </c>
      <c r="R135" s="32">
        <f t="shared" si="66"/>
        <v>180</v>
      </c>
      <c r="S135" s="32">
        <f t="shared" si="67"/>
        <v>150</v>
      </c>
      <c r="T135" s="32" t="str">
        <f>IF($A135="","",IF($C135=0,"Bullpen",IF(OR($C135=7,$C135=1,$C135=5),"Recovery/Easy Catch",IF($C135=6,"Compression/Pulldowns",IF(OR($C135=4,$C135=2),"Long Toss",IF($C135=3,"No Throw",IF($N135=2,"No Throw",IF($N135=6,IF($O135&lt;Reference!$B$104,"No Throw","Recovery/Easy Catch"),IF(OR($N135=0,$N135=4),"Recovery/Easy Catch",IF($N135=1,IF($R135&gt;75,"Long Toss","Recovery/Easy Catch"),IF($N135=3,IF($O135&lt;0.5,IF($S135&gt;75,"Long Toss","Recovery/Easy Catch"),"Compression/Pulldowns"),IF($S135&gt;75,"Long Toss","Recovery/Easy Catch"))))))))))))</f>
        <v/>
      </c>
      <c r="U135" s="32" t="str">
        <f t="shared" si="68"/>
        <v/>
      </c>
      <c r="V135" s="32" t="str">
        <f t="shared" si="69"/>
        <v/>
      </c>
      <c r="W135" s="32" t="str">
        <f t="shared" si="70"/>
        <v/>
      </c>
      <c r="X135" s="32">
        <f t="shared" si="71"/>
        <v>0</v>
      </c>
      <c r="Y135" s="32" t="str">
        <f t="shared" si="72"/>
        <v/>
      </c>
      <c r="Z135" s="32" t="str">
        <f t="shared" si="73"/>
        <v/>
      </c>
      <c r="AA135" s="32" t="str">
        <f t="shared" si="74"/>
        <v/>
      </c>
      <c r="AB135" s="32" t="str">
        <f>IF($A135="","",IF($T135="No Throw",0,IF($K135&lt;&gt;"",$K135,IF($AA135&lt;&gt;"",ROUND($AA135*$D$12*IF($C135=0,1,$G$10),0),MIN(IF($T135="Recovery/Easy Catch",Reference!$B$103,IF($T135="Long Toss",Reference!$B$106,Reference!$B$102)),MAX(Reference!$B$101,ROUND(MAX(0,$Q135-$AE135)/$AF135,0)))))))</f>
        <v/>
      </c>
      <c r="AC135" s="32">
        <f t="shared" si="75"/>
        <v>0</v>
      </c>
      <c r="AD135" s="32" t="b">
        <f t="shared" si="76"/>
        <v>1</v>
      </c>
      <c r="AE135" s="32">
        <f>IF($X135=0,0,$X135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135+$Z135)/2,0),Reference!$A$17:$B$20,2,TRUE()))</f>
        <v>0</v>
      </c>
      <c r="AF135" s="32">
        <f>IF(OR($A135="",$U135="",$T135="No Throw"),0,$AM135*VLOOKUP(MAX(($V135+$W135)/2,0),Reference!$A$17:$B$20,2,TRUE()))</f>
        <v>0</v>
      </c>
      <c r="AG135" s="32">
        <f>IF($AC135=0,0,$AC135*INDEX(Reference!$B$61:$B$62,MATCH("Bullpen",Reference!$A$61:$A$62,0))*VLOOKUP(MAX($D$5-($D$9+$E$9)/2,0),Reference!$A$17:$B$20,2,TRUE()))</f>
        <v>0</v>
      </c>
      <c r="AH135" s="32" t="e">
        <f t="shared" si="77"/>
        <v>#N/A</v>
      </c>
      <c r="AI135" s="32" t="e">
        <f>IF($A135="",NA(),Reference!$A$25)</f>
        <v>#N/A</v>
      </c>
      <c r="AJ135" s="32" t="e">
        <f t="shared" si="78"/>
        <v>#N/A</v>
      </c>
      <c r="AK135" s="32">
        <f>IF(OR($A135="",N($C135)&lt;=7,$T135="No Throw",$J135="x"),0,INDEX(Reference!$B$108:$B$114,$N135+1))</f>
        <v>0</v>
      </c>
      <c r="AL135" s="32">
        <f t="shared" si="79"/>
        <v>1</v>
      </c>
      <c r="AM135" s="32">
        <f>IF($U135="",0,IF($AL135&gt;1,((IF(1&lt;=$AL135,($AL135-1+3)*(INDEX(Reference!$B$6:$B$11,MIN(5,MATCH(MAX(Reference!$A$6,MIN(Reference!$A$11,MIN($U135,90))),Reference!$A$6:$A$11,1)))+(MAX(Reference!$A$6,MIN(Reference!$A$11,MIN($U135,90)))-INDEX(Reference!$A$6:$A$11,MIN(5,MATCH(MAX(Reference!$A$6,MIN(Reference!$A$11,MIN($U135,90))),Reference!$A$6:$A$11,1))))*(INDEX(Reference!$B$6:$B$11,MIN(5,MATCH(MAX(Reference!$A$6,MIN(Reference!$A$11,MIN($U135,90))),Reference!$A$6:$A$11,1))+1)-INDEX(Reference!$B$6:$B$11,MIN(5,MATCH(MAX(Reference!$A$6,MIN(Reference!$A$11,MIN($U135,90))),Reference!$A$6:$A$11,1))))/(INDEX(Reference!$A$6:$A$11,MIN(5,MATCH(MAX(Reference!$A$6,MIN(Reference!$A$11,MIN($U135,90))),Reference!$A$6:$A$11,1))+1)-INDEX(Reference!$A$6:$A$11,MIN(5,MATCH(MAX(Reference!$A$6,MIN(Reference!$A$11,MIN($U135,90))),Reference!$A$6:$A$11,1))))),0)+IF(2&lt;=$AL135,($AL135-2+3)*(INDEX(Reference!$B$6:$B$11,MIN(5,MATCH(MAX(Reference!$A$6,MIN(Reference!$A$11,MIN($U135,120))),Reference!$A$6:$A$11,1)))+(MAX(Reference!$A$6,MIN(Reference!$A$11,MIN($U135,120)))-INDEX(Reference!$A$6:$A$11,MIN(5,MATCH(MAX(Reference!$A$6,MIN(Reference!$A$11,MIN($U135,120))),Reference!$A$6:$A$11,1))))*(INDEX(Reference!$B$6:$B$11,MIN(5,MATCH(MAX(Reference!$A$6,MIN(Reference!$A$11,MIN($U135,120))),Reference!$A$6:$A$11,1))+1)-INDEX(Reference!$B$6:$B$11,MIN(5,MATCH(MAX(Reference!$A$6,MIN(Reference!$A$11,MIN($U135,120))),Reference!$A$6:$A$11,1))))/(INDEX(Reference!$A$6:$A$11,MIN(5,MATCH(MAX(Reference!$A$6,MIN(Reference!$A$11,MIN($U135,120))),Reference!$A$6:$A$11,1))+1)-INDEX(Reference!$A$6:$A$11,MIN(5,MATCH(MAX(Reference!$A$6,MIN(Reference!$A$11,MIN($U135,120))),Reference!$A$6:$A$11,1))))),0)+IF(3&lt;=$AL135,($AL135-3+3)*(INDEX(Reference!$B$6:$B$11,MIN(5,MATCH(MAX(Reference!$A$6,MIN(Reference!$A$11,MIN($U135,150))),Reference!$A$6:$A$11,1)))+(MAX(Reference!$A$6,MIN(Reference!$A$11,MIN($U135,150)))-INDEX(Reference!$A$6:$A$11,MIN(5,MATCH(MAX(Reference!$A$6,MIN(Reference!$A$11,MIN($U135,150))),Reference!$A$6:$A$11,1))))*(INDEX(Reference!$B$6:$B$11,MIN(5,MATCH(MAX(Reference!$A$6,MIN(Reference!$A$11,MIN($U135,150))),Reference!$A$6:$A$11,1))+1)-INDEX(Reference!$B$6:$B$11,MIN(5,MATCH(MAX(Reference!$A$6,MIN(Reference!$A$11,MIN($U135,150))),Reference!$A$6:$A$11,1))))/(INDEX(Reference!$A$6:$A$11,MIN(5,MATCH(MAX(Reference!$A$6,MIN(Reference!$A$11,MIN($U135,150))),Reference!$A$6:$A$11,1))+1)-INDEX(Reference!$A$6:$A$11,MIN(5,MATCH(MAX(Reference!$A$6,MIN(Reference!$A$11,MIN($U135,150))),Reference!$A$6:$A$11,1))))),0)+IF(4&lt;=$AL135,($AL135-4+3)*(INDEX(Reference!$B$6:$B$11,MIN(5,MATCH(MAX(Reference!$A$6,MIN(Reference!$A$11,MIN($U135,180))),Reference!$A$6:$A$11,1)))+(MAX(Reference!$A$6,MIN(Reference!$A$11,MIN($U135,180)))-INDEX(Reference!$A$6:$A$11,MIN(5,MATCH(MAX(Reference!$A$6,MIN(Reference!$A$11,MIN($U135,180))),Reference!$A$6:$A$11,1))))*(INDEX(Reference!$B$6:$B$11,MIN(5,MATCH(MAX(Reference!$A$6,MIN(Reference!$A$11,MIN($U135,180))),Reference!$A$6:$A$11,1))+1)-INDEX(Reference!$B$6:$B$11,MIN(5,MATCH(MAX(Reference!$A$6,MIN(Reference!$A$11,MIN($U135,180))),Reference!$A$6:$A$11,1))))/(INDEX(Reference!$A$6:$A$11,MIN(5,MATCH(MAX(Reference!$A$6,MIN(Reference!$A$11,MIN($U135,180))),Reference!$A$6:$A$11,1))+1)-INDEX(Reference!$A$6:$A$11,MIN(5,MATCH(MAX(Reference!$A$6,MIN(Reference!$A$11,MIN($U135,180))),Reference!$A$6:$A$11,1))))),0)+IF(5&lt;=$AL135,($AL135-5+3)*(INDEX(Reference!$B$6:$B$11,MIN(5,MATCH(MAX(Reference!$A$6,MIN(Reference!$A$11,MIN($U135,210))),Reference!$A$6:$A$11,1)))+(MAX(Reference!$A$6,MIN(Reference!$A$11,MIN($U135,210)))-INDEX(Reference!$A$6:$A$11,MIN(5,MATCH(MAX(Reference!$A$6,MIN(Reference!$A$11,MIN($U135,210))),Reference!$A$6:$A$11,1))))*(INDEX(Reference!$B$6:$B$11,MIN(5,MATCH(MAX(Reference!$A$6,MIN(Reference!$A$11,MIN($U135,210))),Reference!$A$6:$A$11,1))+1)-INDEX(Reference!$B$6:$B$11,MIN(5,MATCH(MAX(Reference!$A$6,MIN(Reference!$A$11,MIN($U135,210))),Reference!$A$6:$A$11,1))))/(INDEX(Reference!$A$6:$A$11,MIN(5,MATCH(MAX(Reference!$A$6,MIN(Reference!$A$11,MIN($U135,210))),Reference!$A$6:$A$11,1))+1)-INDEX(Reference!$A$6:$A$11,MIN(5,MATCH(MAX(Reference!$A$6,MIN(Reference!$A$11,MIN($U135,210))),Reference!$A$6:$A$11,1))))),0)+IF(6&lt;=$AL135,($AL135-6+3)*(INDEX(Reference!$B$6:$B$11,MIN(5,MATCH(MAX(Reference!$A$6,MIN(Reference!$A$11,MIN($U135,240))),Reference!$A$6:$A$11,1)))+(MAX(Reference!$A$6,MIN(Reference!$A$11,MIN($U135,240)))-INDEX(Reference!$A$6:$A$11,MIN(5,MATCH(MAX(Reference!$A$6,MIN(Reference!$A$11,MIN($U135,240))),Reference!$A$6:$A$11,1))))*(INDEX(Reference!$B$6:$B$11,MIN(5,MATCH(MAX(Reference!$A$6,MIN(Reference!$A$11,MIN($U135,240))),Reference!$A$6:$A$11,1))+1)-INDEX(Reference!$B$6:$B$11,MIN(5,MATCH(MAX(Reference!$A$6,MIN(Reference!$A$11,MIN($U135,240))),Reference!$A$6:$A$11,1))))/(INDEX(Reference!$A$6:$A$11,MIN(5,MATCH(MAX(Reference!$A$6,MIN(Reference!$A$11,MIN($U135,240))),Reference!$A$6:$A$11,1))+1)-INDEX(Reference!$A$6:$A$11,MIN(5,MATCH(MAX(Reference!$A$6,MIN(Reference!$A$11,MIN($U135,240))),Reference!$A$6:$A$11,1))))),0)+IF(7&lt;=$AL135,($AL135-7+3)*(INDEX(Reference!$B$6:$B$11,MIN(5,MATCH(MAX(Reference!$A$6,MIN(Reference!$A$11,MIN($U135,270))),Reference!$A$6:$A$11,1)))+(MAX(Reference!$A$6,MIN(Reference!$A$11,MIN($U135,270)))-INDEX(Reference!$A$6:$A$11,MIN(5,MATCH(MAX(Reference!$A$6,MIN(Reference!$A$11,MIN($U135,270))),Reference!$A$6:$A$11,1))))*(INDEX(Reference!$B$6:$B$11,MIN(5,MATCH(MAX(Reference!$A$6,MIN(Reference!$A$11,MIN($U135,270))),Reference!$A$6:$A$11,1))+1)-INDEX(Reference!$B$6:$B$11,MIN(5,MATCH(MAX(Reference!$A$6,MIN(Reference!$A$11,MIN($U135,270))),Reference!$A$6:$A$11,1))))/(INDEX(Reference!$A$6:$A$11,MIN(5,MATCH(MAX(Reference!$A$6,MIN(Reference!$A$11,MIN($U135,270))),Reference!$A$6:$A$11,1))+1)-INDEX(Reference!$A$6:$A$11,MIN(5,MATCH(MAX(Reference!$A$6,MIN(Reference!$A$11,MIN($U135,270))),Reference!$A$6:$A$11,1))))),0)+IF(8&lt;=$AL135,($AL135-8+3)*(INDEX(Reference!$B$6:$B$11,MIN(5,MATCH(MAX(Reference!$A$6,MIN(Reference!$A$11,MIN($U135,300))),Reference!$A$6:$A$11,1)))+(MAX(Reference!$A$6,MIN(Reference!$A$11,MIN($U135,300)))-INDEX(Reference!$A$6:$A$11,MIN(5,MATCH(MAX(Reference!$A$6,MIN(Reference!$A$11,MIN($U135,300))),Reference!$A$6:$A$11,1))))*(INDEX(Reference!$B$6:$B$11,MIN(5,MATCH(MAX(Reference!$A$6,MIN(Reference!$A$11,MIN($U135,300))),Reference!$A$6:$A$11,1))+1)-INDEX(Reference!$B$6:$B$11,MIN(5,MATCH(MAX(Reference!$A$6,MIN(Reference!$A$11,MIN($U135,300))),Reference!$A$6:$A$11,1))))/(INDEX(Reference!$A$6:$A$11,MIN(5,MATCH(MAX(Reference!$A$6,MIN(Reference!$A$11,MIN($U135,300))),Reference!$A$6:$A$11,1))+1)-INDEX(Reference!$A$6:$A$11,MIN(5,MATCH(MAX(Reference!$A$6,MIN(Reference!$A$11,MIN($U135,300))),Reference!$A$6:$A$11,1))))),0))/($AL135*($AL135+5)/2)),$AN135))</f>
        <v>0</v>
      </c>
      <c r="AN135" s="32">
        <f>IF($U135="",0,(INDEX(Reference!$B$6:$B$11,MIN(5,MATCH(MAX(Reference!$A$6,MIN(Reference!$A$11,$U135)),Reference!$A$6:$A$11,1)))+(MAX(Reference!$A$6,MIN(Reference!$A$11,$U135))-INDEX(Reference!$A$6:$A$11,MIN(5,MATCH(MAX(Reference!$A$6,MIN(Reference!$A$11,$U135)),Reference!$A$6:$A$11,1))))*(INDEX(Reference!$B$6:$B$11,MIN(5,MATCH(MAX(Reference!$A$6,MIN(Reference!$A$11,$U135)),Reference!$A$6:$A$11,1))+1)-INDEX(Reference!$B$6:$B$11,MIN(5,MATCH(MAX(Reference!$A$6,MIN(Reference!$A$11,$U135)),Reference!$A$6:$A$11,1))))/(INDEX(Reference!$A$6:$A$11,MIN(5,MATCH(MAX(Reference!$A$6,MIN(Reference!$A$11,$U135)),Reference!$A$6:$A$11,1))+1)-INDEX(Reference!$A$6:$A$11,MIN(5,MATCH(MAX(Reference!$A$6,MIN(Reference!$A$11,$U135)),Reference!$A$6:$A$11,1))))))</f>
        <v>0</v>
      </c>
      <c r="AO135" s="37"/>
      <c r="AP135" s="37"/>
      <c r="AQ135" s="37"/>
    </row>
    <row r="136" spans="1:43" x14ac:dyDescent="0.3">
      <c r="A136" s="48" t="str">
        <f t="shared" si="55"/>
        <v/>
      </c>
      <c r="B136" s="32" t="str">
        <f t="shared" si="56"/>
        <v/>
      </c>
      <c r="C136" s="32" t="str">
        <f t="shared" si="57"/>
        <v/>
      </c>
      <c r="D136" s="32" t="str">
        <f t="shared" si="58"/>
        <v/>
      </c>
      <c r="E136" s="32" t="str">
        <f t="shared" si="59"/>
        <v/>
      </c>
      <c r="F136" s="32" t="str">
        <f t="shared" si="60"/>
        <v/>
      </c>
      <c r="G136" s="47" t="str">
        <f t="shared" si="61"/>
        <v/>
      </c>
      <c r="H136" s="30" t="str">
        <f t="shared" si="62"/>
        <v/>
      </c>
      <c r="I136" s="46" t="str">
        <f>IF($A136="","",IF(AND($L136&lt;27,$K$12=0),"Building",IFERROR(((SUM($H$130:$H136)+$K$12*IF($L136&lt;6,SUMIFS('Throw Log'!$Q$5:$Q$300,'Throw Log'!$B$5:$B$300,$D$4,'Throw Log'!$A$5:$A$300,"&gt;="&amp;($D$6+$L136-6),'Throw Log'!$A$5:$A$300,"&lt;="&amp;($D$6-1)),0))/7)/((SUM($H$109:$H136)+$K$12*IF($L136&lt;27,SUMIFS('Throw Log'!$Q$5:$Q$300,'Throw Log'!$B$5:$B$300,$D$4,'Throw Log'!$A$5:$A$300,"&gt;="&amp;($D$6+$L136-27),'Throw Log'!$A$5:$A$300,"&lt;="&amp;($D$6-1)),0))/28),"")))</f>
        <v/>
      </c>
      <c r="J136" s="37"/>
      <c r="K136" s="37"/>
      <c r="L136" s="32">
        <v>93</v>
      </c>
      <c r="M136" s="32">
        <f t="shared" si="63"/>
        <v>14</v>
      </c>
      <c r="N136" s="32">
        <f t="shared" si="64"/>
        <v>2</v>
      </c>
      <c r="O136" s="32">
        <f t="shared" si="65"/>
        <v>1</v>
      </c>
      <c r="P136" s="32" t="str">
        <f>IF(OR($A136="",N($C136)&lt;=7),"",$G$6*$G$9^($M136-1)*IF(AND(MOD($M136,Reference!$B$99)=0,$M136&lt;=$G$5-2),Reference!$B$100,1))</f>
        <v/>
      </c>
      <c r="Q136" s="32" t="str">
        <f>IF($P136="","",IF(SUM($AK$134:$AK$140)=0,0,$P136*INDEX(Reference!$B$108:$B$114,$N136+1)/SUM($AK$134:$AK$140)))</f>
        <v/>
      </c>
      <c r="R136" s="32">
        <f t="shared" si="66"/>
        <v>180</v>
      </c>
      <c r="S136" s="32">
        <f t="shared" si="67"/>
        <v>150</v>
      </c>
      <c r="T136" s="32" t="str">
        <f>IF($A136="","",IF($C136=0,"Bullpen",IF(OR($C136=7,$C136=1,$C136=5),"Recovery/Easy Catch",IF($C136=6,"Compression/Pulldowns",IF(OR($C136=4,$C136=2),"Long Toss",IF($C136=3,"No Throw",IF($N136=2,"No Throw",IF($N136=6,IF($O136&lt;Reference!$B$104,"No Throw","Recovery/Easy Catch"),IF(OR($N136=0,$N136=4),"Recovery/Easy Catch",IF($N136=1,IF($R136&gt;75,"Long Toss","Recovery/Easy Catch"),IF($N136=3,IF($O136&lt;0.5,IF($S136&gt;75,"Long Toss","Recovery/Easy Catch"),"Compression/Pulldowns"),IF($S136&gt;75,"Long Toss","Recovery/Easy Catch"))))))))))))</f>
        <v/>
      </c>
      <c r="U136" s="32" t="str">
        <f t="shared" si="68"/>
        <v/>
      </c>
      <c r="V136" s="32" t="str">
        <f t="shared" si="69"/>
        <v/>
      </c>
      <c r="W136" s="32" t="str">
        <f t="shared" si="70"/>
        <v/>
      </c>
      <c r="X136" s="32">
        <f t="shared" si="71"/>
        <v>0</v>
      </c>
      <c r="Y136" s="32" t="str">
        <f t="shared" si="72"/>
        <v/>
      </c>
      <c r="Z136" s="32" t="str">
        <f t="shared" si="73"/>
        <v/>
      </c>
      <c r="AA136" s="32" t="str">
        <f t="shared" si="74"/>
        <v/>
      </c>
      <c r="AB136" s="32" t="str">
        <f>IF($A136="","",IF($T136="No Throw",0,IF($K136&lt;&gt;"",$K136,IF($AA136&lt;&gt;"",ROUND($AA136*$D$12*IF($C136=0,1,$G$10),0),MIN(IF($T136="Recovery/Easy Catch",Reference!$B$103,IF($T136="Long Toss",Reference!$B$106,Reference!$B$102)),MAX(Reference!$B$101,ROUND(MAX(0,$Q136-$AE136)/$AF136,0)))))))</f>
        <v/>
      </c>
      <c r="AC136" s="32">
        <f t="shared" si="75"/>
        <v>0</v>
      </c>
      <c r="AD136" s="32" t="b">
        <f t="shared" si="76"/>
        <v>1</v>
      </c>
      <c r="AE136" s="32">
        <f>IF($X136=0,0,$X136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136+$Z136)/2,0),Reference!$A$17:$B$20,2,TRUE()))</f>
        <v>0</v>
      </c>
      <c r="AF136" s="32">
        <f>IF(OR($A136="",$U136="",$T136="No Throw"),0,$AM136*VLOOKUP(MAX(($V136+$W136)/2,0),Reference!$A$17:$B$20,2,TRUE()))</f>
        <v>0</v>
      </c>
      <c r="AG136" s="32">
        <f>IF($AC136=0,0,$AC136*INDEX(Reference!$B$61:$B$62,MATCH("Bullpen",Reference!$A$61:$A$62,0))*VLOOKUP(MAX($D$5-($D$9+$E$9)/2,0),Reference!$A$17:$B$20,2,TRUE()))</f>
        <v>0</v>
      </c>
      <c r="AH136" s="32" t="e">
        <f t="shared" si="77"/>
        <v>#N/A</v>
      </c>
      <c r="AI136" s="32" t="e">
        <f>IF($A136="",NA(),Reference!$A$25)</f>
        <v>#N/A</v>
      </c>
      <c r="AJ136" s="32" t="e">
        <f t="shared" si="78"/>
        <v>#N/A</v>
      </c>
      <c r="AK136" s="32">
        <f>IF(OR($A136="",N($C136)&lt;=7,$T136="No Throw",$J136="x"),0,INDEX(Reference!$B$108:$B$114,$N136+1))</f>
        <v>0</v>
      </c>
      <c r="AL136" s="32">
        <f t="shared" si="79"/>
        <v>1</v>
      </c>
      <c r="AM136" s="32">
        <f>IF($U136="",0,IF($AL136&gt;1,((IF(1&lt;=$AL136,($AL136-1+3)*(INDEX(Reference!$B$6:$B$11,MIN(5,MATCH(MAX(Reference!$A$6,MIN(Reference!$A$11,MIN($U136,90))),Reference!$A$6:$A$11,1)))+(MAX(Reference!$A$6,MIN(Reference!$A$11,MIN($U136,90)))-INDEX(Reference!$A$6:$A$11,MIN(5,MATCH(MAX(Reference!$A$6,MIN(Reference!$A$11,MIN($U136,90))),Reference!$A$6:$A$11,1))))*(INDEX(Reference!$B$6:$B$11,MIN(5,MATCH(MAX(Reference!$A$6,MIN(Reference!$A$11,MIN($U136,90))),Reference!$A$6:$A$11,1))+1)-INDEX(Reference!$B$6:$B$11,MIN(5,MATCH(MAX(Reference!$A$6,MIN(Reference!$A$11,MIN($U136,90))),Reference!$A$6:$A$11,1))))/(INDEX(Reference!$A$6:$A$11,MIN(5,MATCH(MAX(Reference!$A$6,MIN(Reference!$A$11,MIN($U136,90))),Reference!$A$6:$A$11,1))+1)-INDEX(Reference!$A$6:$A$11,MIN(5,MATCH(MAX(Reference!$A$6,MIN(Reference!$A$11,MIN($U136,90))),Reference!$A$6:$A$11,1))))),0)+IF(2&lt;=$AL136,($AL136-2+3)*(INDEX(Reference!$B$6:$B$11,MIN(5,MATCH(MAX(Reference!$A$6,MIN(Reference!$A$11,MIN($U136,120))),Reference!$A$6:$A$11,1)))+(MAX(Reference!$A$6,MIN(Reference!$A$11,MIN($U136,120)))-INDEX(Reference!$A$6:$A$11,MIN(5,MATCH(MAX(Reference!$A$6,MIN(Reference!$A$11,MIN($U136,120))),Reference!$A$6:$A$11,1))))*(INDEX(Reference!$B$6:$B$11,MIN(5,MATCH(MAX(Reference!$A$6,MIN(Reference!$A$11,MIN($U136,120))),Reference!$A$6:$A$11,1))+1)-INDEX(Reference!$B$6:$B$11,MIN(5,MATCH(MAX(Reference!$A$6,MIN(Reference!$A$11,MIN($U136,120))),Reference!$A$6:$A$11,1))))/(INDEX(Reference!$A$6:$A$11,MIN(5,MATCH(MAX(Reference!$A$6,MIN(Reference!$A$11,MIN($U136,120))),Reference!$A$6:$A$11,1))+1)-INDEX(Reference!$A$6:$A$11,MIN(5,MATCH(MAX(Reference!$A$6,MIN(Reference!$A$11,MIN($U136,120))),Reference!$A$6:$A$11,1))))),0)+IF(3&lt;=$AL136,($AL136-3+3)*(INDEX(Reference!$B$6:$B$11,MIN(5,MATCH(MAX(Reference!$A$6,MIN(Reference!$A$11,MIN($U136,150))),Reference!$A$6:$A$11,1)))+(MAX(Reference!$A$6,MIN(Reference!$A$11,MIN($U136,150)))-INDEX(Reference!$A$6:$A$11,MIN(5,MATCH(MAX(Reference!$A$6,MIN(Reference!$A$11,MIN($U136,150))),Reference!$A$6:$A$11,1))))*(INDEX(Reference!$B$6:$B$11,MIN(5,MATCH(MAX(Reference!$A$6,MIN(Reference!$A$11,MIN($U136,150))),Reference!$A$6:$A$11,1))+1)-INDEX(Reference!$B$6:$B$11,MIN(5,MATCH(MAX(Reference!$A$6,MIN(Reference!$A$11,MIN($U136,150))),Reference!$A$6:$A$11,1))))/(INDEX(Reference!$A$6:$A$11,MIN(5,MATCH(MAX(Reference!$A$6,MIN(Reference!$A$11,MIN($U136,150))),Reference!$A$6:$A$11,1))+1)-INDEX(Reference!$A$6:$A$11,MIN(5,MATCH(MAX(Reference!$A$6,MIN(Reference!$A$11,MIN($U136,150))),Reference!$A$6:$A$11,1))))),0)+IF(4&lt;=$AL136,($AL136-4+3)*(INDEX(Reference!$B$6:$B$11,MIN(5,MATCH(MAX(Reference!$A$6,MIN(Reference!$A$11,MIN($U136,180))),Reference!$A$6:$A$11,1)))+(MAX(Reference!$A$6,MIN(Reference!$A$11,MIN($U136,180)))-INDEX(Reference!$A$6:$A$11,MIN(5,MATCH(MAX(Reference!$A$6,MIN(Reference!$A$11,MIN($U136,180))),Reference!$A$6:$A$11,1))))*(INDEX(Reference!$B$6:$B$11,MIN(5,MATCH(MAX(Reference!$A$6,MIN(Reference!$A$11,MIN($U136,180))),Reference!$A$6:$A$11,1))+1)-INDEX(Reference!$B$6:$B$11,MIN(5,MATCH(MAX(Reference!$A$6,MIN(Reference!$A$11,MIN($U136,180))),Reference!$A$6:$A$11,1))))/(INDEX(Reference!$A$6:$A$11,MIN(5,MATCH(MAX(Reference!$A$6,MIN(Reference!$A$11,MIN($U136,180))),Reference!$A$6:$A$11,1))+1)-INDEX(Reference!$A$6:$A$11,MIN(5,MATCH(MAX(Reference!$A$6,MIN(Reference!$A$11,MIN($U136,180))),Reference!$A$6:$A$11,1))))),0)+IF(5&lt;=$AL136,($AL136-5+3)*(INDEX(Reference!$B$6:$B$11,MIN(5,MATCH(MAX(Reference!$A$6,MIN(Reference!$A$11,MIN($U136,210))),Reference!$A$6:$A$11,1)))+(MAX(Reference!$A$6,MIN(Reference!$A$11,MIN($U136,210)))-INDEX(Reference!$A$6:$A$11,MIN(5,MATCH(MAX(Reference!$A$6,MIN(Reference!$A$11,MIN($U136,210))),Reference!$A$6:$A$11,1))))*(INDEX(Reference!$B$6:$B$11,MIN(5,MATCH(MAX(Reference!$A$6,MIN(Reference!$A$11,MIN($U136,210))),Reference!$A$6:$A$11,1))+1)-INDEX(Reference!$B$6:$B$11,MIN(5,MATCH(MAX(Reference!$A$6,MIN(Reference!$A$11,MIN($U136,210))),Reference!$A$6:$A$11,1))))/(INDEX(Reference!$A$6:$A$11,MIN(5,MATCH(MAX(Reference!$A$6,MIN(Reference!$A$11,MIN($U136,210))),Reference!$A$6:$A$11,1))+1)-INDEX(Reference!$A$6:$A$11,MIN(5,MATCH(MAX(Reference!$A$6,MIN(Reference!$A$11,MIN($U136,210))),Reference!$A$6:$A$11,1))))),0)+IF(6&lt;=$AL136,($AL136-6+3)*(INDEX(Reference!$B$6:$B$11,MIN(5,MATCH(MAX(Reference!$A$6,MIN(Reference!$A$11,MIN($U136,240))),Reference!$A$6:$A$11,1)))+(MAX(Reference!$A$6,MIN(Reference!$A$11,MIN($U136,240)))-INDEX(Reference!$A$6:$A$11,MIN(5,MATCH(MAX(Reference!$A$6,MIN(Reference!$A$11,MIN($U136,240))),Reference!$A$6:$A$11,1))))*(INDEX(Reference!$B$6:$B$11,MIN(5,MATCH(MAX(Reference!$A$6,MIN(Reference!$A$11,MIN($U136,240))),Reference!$A$6:$A$11,1))+1)-INDEX(Reference!$B$6:$B$11,MIN(5,MATCH(MAX(Reference!$A$6,MIN(Reference!$A$11,MIN($U136,240))),Reference!$A$6:$A$11,1))))/(INDEX(Reference!$A$6:$A$11,MIN(5,MATCH(MAX(Reference!$A$6,MIN(Reference!$A$11,MIN($U136,240))),Reference!$A$6:$A$11,1))+1)-INDEX(Reference!$A$6:$A$11,MIN(5,MATCH(MAX(Reference!$A$6,MIN(Reference!$A$11,MIN($U136,240))),Reference!$A$6:$A$11,1))))),0)+IF(7&lt;=$AL136,($AL136-7+3)*(INDEX(Reference!$B$6:$B$11,MIN(5,MATCH(MAX(Reference!$A$6,MIN(Reference!$A$11,MIN($U136,270))),Reference!$A$6:$A$11,1)))+(MAX(Reference!$A$6,MIN(Reference!$A$11,MIN($U136,270)))-INDEX(Reference!$A$6:$A$11,MIN(5,MATCH(MAX(Reference!$A$6,MIN(Reference!$A$11,MIN($U136,270))),Reference!$A$6:$A$11,1))))*(INDEX(Reference!$B$6:$B$11,MIN(5,MATCH(MAX(Reference!$A$6,MIN(Reference!$A$11,MIN($U136,270))),Reference!$A$6:$A$11,1))+1)-INDEX(Reference!$B$6:$B$11,MIN(5,MATCH(MAX(Reference!$A$6,MIN(Reference!$A$11,MIN($U136,270))),Reference!$A$6:$A$11,1))))/(INDEX(Reference!$A$6:$A$11,MIN(5,MATCH(MAX(Reference!$A$6,MIN(Reference!$A$11,MIN($U136,270))),Reference!$A$6:$A$11,1))+1)-INDEX(Reference!$A$6:$A$11,MIN(5,MATCH(MAX(Reference!$A$6,MIN(Reference!$A$11,MIN($U136,270))),Reference!$A$6:$A$11,1))))),0)+IF(8&lt;=$AL136,($AL136-8+3)*(INDEX(Reference!$B$6:$B$11,MIN(5,MATCH(MAX(Reference!$A$6,MIN(Reference!$A$11,MIN($U136,300))),Reference!$A$6:$A$11,1)))+(MAX(Reference!$A$6,MIN(Reference!$A$11,MIN($U136,300)))-INDEX(Reference!$A$6:$A$11,MIN(5,MATCH(MAX(Reference!$A$6,MIN(Reference!$A$11,MIN($U136,300))),Reference!$A$6:$A$11,1))))*(INDEX(Reference!$B$6:$B$11,MIN(5,MATCH(MAX(Reference!$A$6,MIN(Reference!$A$11,MIN($U136,300))),Reference!$A$6:$A$11,1))+1)-INDEX(Reference!$B$6:$B$11,MIN(5,MATCH(MAX(Reference!$A$6,MIN(Reference!$A$11,MIN($U136,300))),Reference!$A$6:$A$11,1))))/(INDEX(Reference!$A$6:$A$11,MIN(5,MATCH(MAX(Reference!$A$6,MIN(Reference!$A$11,MIN($U136,300))),Reference!$A$6:$A$11,1))+1)-INDEX(Reference!$A$6:$A$11,MIN(5,MATCH(MAX(Reference!$A$6,MIN(Reference!$A$11,MIN($U136,300))),Reference!$A$6:$A$11,1))))),0))/($AL136*($AL136+5)/2)),$AN136))</f>
        <v>0</v>
      </c>
      <c r="AN136" s="32">
        <f>IF($U136="",0,(INDEX(Reference!$B$6:$B$11,MIN(5,MATCH(MAX(Reference!$A$6,MIN(Reference!$A$11,$U136)),Reference!$A$6:$A$11,1)))+(MAX(Reference!$A$6,MIN(Reference!$A$11,$U136))-INDEX(Reference!$A$6:$A$11,MIN(5,MATCH(MAX(Reference!$A$6,MIN(Reference!$A$11,$U136)),Reference!$A$6:$A$11,1))))*(INDEX(Reference!$B$6:$B$11,MIN(5,MATCH(MAX(Reference!$A$6,MIN(Reference!$A$11,$U136)),Reference!$A$6:$A$11,1))+1)-INDEX(Reference!$B$6:$B$11,MIN(5,MATCH(MAX(Reference!$A$6,MIN(Reference!$A$11,$U136)),Reference!$A$6:$A$11,1))))/(INDEX(Reference!$A$6:$A$11,MIN(5,MATCH(MAX(Reference!$A$6,MIN(Reference!$A$11,$U136)),Reference!$A$6:$A$11,1))+1)-INDEX(Reference!$A$6:$A$11,MIN(5,MATCH(MAX(Reference!$A$6,MIN(Reference!$A$11,$U136)),Reference!$A$6:$A$11,1))))))</f>
        <v>0</v>
      </c>
      <c r="AO136" s="37"/>
      <c r="AP136" s="37"/>
      <c r="AQ136" s="37"/>
    </row>
    <row r="137" spans="1:43" x14ac:dyDescent="0.3">
      <c r="A137" s="48" t="str">
        <f t="shared" si="55"/>
        <v/>
      </c>
      <c r="B137" s="32" t="str">
        <f t="shared" si="56"/>
        <v/>
      </c>
      <c r="C137" s="32" t="str">
        <f t="shared" si="57"/>
        <v/>
      </c>
      <c r="D137" s="32" t="str">
        <f t="shared" si="58"/>
        <v/>
      </c>
      <c r="E137" s="32" t="str">
        <f t="shared" si="59"/>
        <v/>
      </c>
      <c r="F137" s="32" t="str">
        <f t="shared" si="60"/>
        <v/>
      </c>
      <c r="G137" s="47" t="str">
        <f t="shared" si="61"/>
        <v/>
      </c>
      <c r="H137" s="30" t="str">
        <f t="shared" si="62"/>
        <v/>
      </c>
      <c r="I137" s="46" t="str">
        <f>IF($A137="","",IF(AND($L137&lt;27,$K$12=0),"Building",IFERROR(((SUM($H$131:$H137)+$K$12*IF($L137&lt;6,SUMIFS('Throw Log'!$Q$5:$Q$300,'Throw Log'!$B$5:$B$300,$D$4,'Throw Log'!$A$5:$A$300,"&gt;="&amp;($D$6+$L137-6),'Throw Log'!$A$5:$A$300,"&lt;="&amp;($D$6-1)),0))/7)/((SUM($H$110:$H137)+$K$12*IF($L137&lt;27,SUMIFS('Throw Log'!$Q$5:$Q$300,'Throw Log'!$B$5:$B$300,$D$4,'Throw Log'!$A$5:$A$300,"&gt;="&amp;($D$6+$L137-27),'Throw Log'!$A$5:$A$300,"&lt;="&amp;($D$6-1)),0))/28),"")))</f>
        <v/>
      </c>
      <c r="J137" s="37"/>
      <c r="K137" s="37"/>
      <c r="L137" s="32">
        <v>94</v>
      </c>
      <c r="M137" s="32">
        <f t="shared" si="63"/>
        <v>14</v>
      </c>
      <c r="N137" s="32">
        <f t="shared" si="64"/>
        <v>3</v>
      </c>
      <c r="O137" s="32">
        <f t="shared" si="65"/>
        <v>1</v>
      </c>
      <c r="P137" s="32" t="str">
        <f>IF(OR($A137="",N($C137)&lt;=7),"",$G$6*$G$9^($M137-1)*IF(AND(MOD($M137,Reference!$B$99)=0,$M137&lt;=$G$5-2),Reference!$B$100,1))</f>
        <v/>
      </c>
      <c r="Q137" s="32" t="str">
        <f>IF($P137="","",IF(SUM($AK$134:$AK$140)=0,0,$P137*INDEX(Reference!$B$108:$B$114,$N137+1)/SUM($AK$134:$AK$140)))</f>
        <v/>
      </c>
      <c r="R137" s="32">
        <f t="shared" si="66"/>
        <v>180</v>
      </c>
      <c r="S137" s="32">
        <f t="shared" si="67"/>
        <v>150</v>
      </c>
      <c r="T137" s="32" t="str">
        <f>IF($A137="","",IF($C137=0,"Bullpen",IF(OR($C137=7,$C137=1,$C137=5),"Recovery/Easy Catch",IF($C137=6,"Compression/Pulldowns",IF(OR($C137=4,$C137=2),"Long Toss",IF($C137=3,"No Throw",IF($N137=2,"No Throw",IF($N137=6,IF($O137&lt;Reference!$B$104,"No Throw","Recovery/Easy Catch"),IF(OR($N137=0,$N137=4),"Recovery/Easy Catch",IF($N137=1,IF($R137&gt;75,"Long Toss","Recovery/Easy Catch"),IF($N137=3,IF($O137&lt;0.5,IF($S137&gt;75,"Long Toss","Recovery/Easy Catch"),"Compression/Pulldowns"),IF($S137&gt;75,"Long Toss","Recovery/Easy Catch"))))))))))))</f>
        <v/>
      </c>
      <c r="U137" s="32" t="str">
        <f t="shared" si="68"/>
        <v/>
      </c>
      <c r="V137" s="32" t="str">
        <f t="shared" si="69"/>
        <v/>
      </c>
      <c r="W137" s="32" t="str">
        <f t="shared" si="70"/>
        <v/>
      </c>
      <c r="X137" s="32">
        <f t="shared" si="71"/>
        <v>0</v>
      </c>
      <c r="Y137" s="32" t="str">
        <f t="shared" si="72"/>
        <v/>
      </c>
      <c r="Z137" s="32" t="str">
        <f t="shared" si="73"/>
        <v/>
      </c>
      <c r="AA137" s="32" t="str">
        <f t="shared" si="74"/>
        <v/>
      </c>
      <c r="AB137" s="32" t="str">
        <f>IF($A137="","",IF($T137="No Throw",0,IF($K137&lt;&gt;"",$K137,IF($AA137&lt;&gt;"",ROUND($AA137*$D$12*IF($C137=0,1,$G$10),0),MIN(IF($T137="Recovery/Easy Catch",Reference!$B$103,IF($T137="Long Toss",Reference!$B$106,Reference!$B$102)),MAX(Reference!$B$101,ROUND(MAX(0,$Q137-$AE137)/$AF137,0)))))))</f>
        <v/>
      </c>
      <c r="AC137" s="32">
        <f t="shared" si="75"/>
        <v>0</v>
      </c>
      <c r="AD137" s="32" t="b">
        <f t="shared" si="76"/>
        <v>1</v>
      </c>
      <c r="AE137" s="32">
        <f>IF($X137=0,0,$X137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137+$Z137)/2,0),Reference!$A$17:$B$20,2,TRUE()))</f>
        <v>0</v>
      </c>
      <c r="AF137" s="32">
        <f>IF(OR($A137="",$U137="",$T137="No Throw"),0,$AM137*VLOOKUP(MAX(($V137+$W137)/2,0),Reference!$A$17:$B$20,2,TRUE()))</f>
        <v>0</v>
      </c>
      <c r="AG137" s="32">
        <f>IF($AC137=0,0,$AC137*INDEX(Reference!$B$61:$B$62,MATCH("Bullpen",Reference!$A$61:$A$62,0))*VLOOKUP(MAX($D$5-($D$9+$E$9)/2,0),Reference!$A$17:$B$20,2,TRUE()))</f>
        <v>0</v>
      </c>
      <c r="AH137" s="32" t="e">
        <f t="shared" si="77"/>
        <v>#N/A</v>
      </c>
      <c r="AI137" s="32" t="e">
        <f>IF($A137="",NA(),Reference!$A$25)</f>
        <v>#N/A</v>
      </c>
      <c r="AJ137" s="32" t="e">
        <f t="shared" si="78"/>
        <v>#N/A</v>
      </c>
      <c r="AK137" s="32">
        <f>IF(OR($A137="",N($C137)&lt;=7,$T137="No Throw",$J137="x"),0,INDEX(Reference!$B$108:$B$114,$N137+1))</f>
        <v>0</v>
      </c>
      <c r="AL137" s="32">
        <f t="shared" si="79"/>
        <v>1</v>
      </c>
      <c r="AM137" s="32">
        <f>IF($U137="",0,IF($AL137&gt;1,((IF(1&lt;=$AL137,($AL137-1+3)*(INDEX(Reference!$B$6:$B$11,MIN(5,MATCH(MAX(Reference!$A$6,MIN(Reference!$A$11,MIN($U137,90))),Reference!$A$6:$A$11,1)))+(MAX(Reference!$A$6,MIN(Reference!$A$11,MIN($U137,90)))-INDEX(Reference!$A$6:$A$11,MIN(5,MATCH(MAX(Reference!$A$6,MIN(Reference!$A$11,MIN($U137,90))),Reference!$A$6:$A$11,1))))*(INDEX(Reference!$B$6:$B$11,MIN(5,MATCH(MAX(Reference!$A$6,MIN(Reference!$A$11,MIN($U137,90))),Reference!$A$6:$A$11,1))+1)-INDEX(Reference!$B$6:$B$11,MIN(5,MATCH(MAX(Reference!$A$6,MIN(Reference!$A$11,MIN($U137,90))),Reference!$A$6:$A$11,1))))/(INDEX(Reference!$A$6:$A$11,MIN(5,MATCH(MAX(Reference!$A$6,MIN(Reference!$A$11,MIN($U137,90))),Reference!$A$6:$A$11,1))+1)-INDEX(Reference!$A$6:$A$11,MIN(5,MATCH(MAX(Reference!$A$6,MIN(Reference!$A$11,MIN($U137,90))),Reference!$A$6:$A$11,1))))),0)+IF(2&lt;=$AL137,($AL137-2+3)*(INDEX(Reference!$B$6:$B$11,MIN(5,MATCH(MAX(Reference!$A$6,MIN(Reference!$A$11,MIN($U137,120))),Reference!$A$6:$A$11,1)))+(MAX(Reference!$A$6,MIN(Reference!$A$11,MIN($U137,120)))-INDEX(Reference!$A$6:$A$11,MIN(5,MATCH(MAX(Reference!$A$6,MIN(Reference!$A$11,MIN($U137,120))),Reference!$A$6:$A$11,1))))*(INDEX(Reference!$B$6:$B$11,MIN(5,MATCH(MAX(Reference!$A$6,MIN(Reference!$A$11,MIN($U137,120))),Reference!$A$6:$A$11,1))+1)-INDEX(Reference!$B$6:$B$11,MIN(5,MATCH(MAX(Reference!$A$6,MIN(Reference!$A$11,MIN($U137,120))),Reference!$A$6:$A$11,1))))/(INDEX(Reference!$A$6:$A$11,MIN(5,MATCH(MAX(Reference!$A$6,MIN(Reference!$A$11,MIN($U137,120))),Reference!$A$6:$A$11,1))+1)-INDEX(Reference!$A$6:$A$11,MIN(5,MATCH(MAX(Reference!$A$6,MIN(Reference!$A$11,MIN($U137,120))),Reference!$A$6:$A$11,1))))),0)+IF(3&lt;=$AL137,($AL137-3+3)*(INDEX(Reference!$B$6:$B$11,MIN(5,MATCH(MAX(Reference!$A$6,MIN(Reference!$A$11,MIN($U137,150))),Reference!$A$6:$A$11,1)))+(MAX(Reference!$A$6,MIN(Reference!$A$11,MIN($U137,150)))-INDEX(Reference!$A$6:$A$11,MIN(5,MATCH(MAX(Reference!$A$6,MIN(Reference!$A$11,MIN($U137,150))),Reference!$A$6:$A$11,1))))*(INDEX(Reference!$B$6:$B$11,MIN(5,MATCH(MAX(Reference!$A$6,MIN(Reference!$A$11,MIN($U137,150))),Reference!$A$6:$A$11,1))+1)-INDEX(Reference!$B$6:$B$11,MIN(5,MATCH(MAX(Reference!$A$6,MIN(Reference!$A$11,MIN($U137,150))),Reference!$A$6:$A$11,1))))/(INDEX(Reference!$A$6:$A$11,MIN(5,MATCH(MAX(Reference!$A$6,MIN(Reference!$A$11,MIN($U137,150))),Reference!$A$6:$A$11,1))+1)-INDEX(Reference!$A$6:$A$11,MIN(5,MATCH(MAX(Reference!$A$6,MIN(Reference!$A$11,MIN($U137,150))),Reference!$A$6:$A$11,1))))),0)+IF(4&lt;=$AL137,($AL137-4+3)*(INDEX(Reference!$B$6:$B$11,MIN(5,MATCH(MAX(Reference!$A$6,MIN(Reference!$A$11,MIN($U137,180))),Reference!$A$6:$A$11,1)))+(MAX(Reference!$A$6,MIN(Reference!$A$11,MIN($U137,180)))-INDEX(Reference!$A$6:$A$11,MIN(5,MATCH(MAX(Reference!$A$6,MIN(Reference!$A$11,MIN($U137,180))),Reference!$A$6:$A$11,1))))*(INDEX(Reference!$B$6:$B$11,MIN(5,MATCH(MAX(Reference!$A$6,MIN(Reference!$A$11,MIN($U137,180))),Reference!$A$6:$A$11,1))+1)-INDEX(Reference!$B$6:$B$11,MIN(5,MATCH(MAX(Reference!$A$6,MIN(Reference!$A$11,MIN($U137,180))),Reference!$A$6:$A$11,1))))/(INDEX(Reference!$A$6:$A$11,MIN(5,MATCH(MAX(Reference!$A$6,MIN(Reference!$A$11,MIN($U137,180))),Reference!$A$6:$A$11,1))+1)-INDEX(Reference!$A$6:$A$11,MIN(5,MATCH(MAX(Reference!$A$6,MIN(Reference!$A$11,MIN($U137,180))),Reference!$A$6:$A$11,1))))),0)+IF(5&lt;=$AL137,($AL137-5+3)*(INDEX(Reference!$B$6:$B$11,MIN(5,MATCH(MAX(Reference!$A$6,MIN(Reference!$A$11,MIN($U137,210))),Reference!$A$6:$A$11,1)))+(MAX(Reference!$A$6,MIN(Reference!$A$11,MIN($U137,210)))-INDEX(Reference!$A$6:$A$11,MIN(5,MATCH(MAX(Reference!$A$6,MIN(Reference!$A$11,MIN($U137,210))),Reference!$A$6:$A$11,1))))*(INDEX(Reference!$B$6:$B$11,MIN(5,MATCH(MAX(Reference!$A$6,MIN(Reference!$A$11,MIN($U137,210))),Reference!$A$6:$A$11,1))+1)-INDEX(Reference!$B$6:$B$11,MIN(5,MATCH(MAX(Reference!$A$6,MIN(Reference!$A$11,MIN($U137,210))),Reference!$A$6:$A$11,1))))/(INDEX(Reference!$A$6:$A$11,MIN(5,MATCH(MAX(Reference!$A$6,MIN(Reference!$A$11,MIN($U137,210))),Reference!$A$6:$A$11,1))+1)-INDEX(Reference!$A$6:$A$11,MIN(5,MATCH(MAX(Reference!$A$6,MIN(Reference!$A$11,MIN($U137,210))),Reference!$A$6:$A$11,1))))),0)+IF(6&lt;=$AL137,($AL137-6+3)*(INDEX(Reference!$B$6:$B$11,MIN(5,MATCH(MAX(Reference!$A$6,MIN(Reference!$A$11,MIN($U137,240))),Reference!$A$6:$A$11,1)))+(MAX(Reference!$A$6,MIN(Reference!$A$11,MIN($U137,240)))-INDEX(Reference!$A$6:$A$11,MIN(5,MATCH(MAX(Reference!$A$6,MIN(Reference!$A$11,MIN($U137,240))),Reference!$A$6:$A$11,1))))*(INDEX(Reference!$B$6:$B$11,MIN(5,MATCH(MAX(Reference!$A$6,MIN(Reference!$A$11,MIN($U137,240))),Reference!$A$6:$A$11,1))+1)-INDEX(Reference!$B$6:$B$11,MIN(5,MATCH(MAX(Reference!$A$6,MIN(Reference!$A$11,MIN($U137,240))),Reference!$A$6:$A$11,1))))/(INDEX(Reference!$A$6:$A$11,MIN(5,MATCH(MAX(Reference!$A$6,MIN(Reference!$A$11,MIN($U137,240))),Reference!$A$6:$A$11,1))+1)-INDEX(Reference!$A$6:$A$11,MIN(5,MATCH(MAX(Reference!$A$6,MIN(Reference!$A$11,MIN($U137,240))),Reference!$A$6:$A$11,1))))),0)+IF(7&lt;=$AL137,($AL137-7+3)*(INDEX(Reference!$B$6:$B$11,MIN(5,MATCH(MAX(Reference!$A$6,MIN(Reference!$A$11,MIN($U137,270))),Reference!$A$6:$A$11,1)))+(MAX(Reference!$A$6,MIN(Reference!$A$11,MIN($U137,270)))-INDEX(Reference!$A$6:$A$11,MIN(5,MATCH(MAX(Reference!$A$6,MIN(Reference!$A$11,MIN($U137,270))),Reference!$A$6:$A$11,1))))*(INDEX(Reference!$B$6:$B$11,MIN(5,MATCH(MAX(Reference!$A$6,MIN(Reference!$A$11,MIN($U137,270))),Reference!$A$6:$A$11,1))+1)-INDEX(Reference!$B$6:$B$11,MIN(5,MATCH(MAX(Reference!$A$6,MIN(Reference!$A$11,MIN($U137,270))),Reference!$A$6:$A$11,1))))/(INDEX(Reference!$A$6:$A$11,MIN(5,MATCH(MAX(Reference!$A$6,MIN(Reference!$A$11,MIN($U137,270))),Reference!$A$6:$A$11,1))+1)-INDEX(Reference!$A$6:$A$11,MIN(5,MATCH(MAX(Reference!$A$6,MIN(Reference!$A$11,MIN($U137,270))),Reference!$A$6:$A$11,1))))),0)+IF(8&lt;=$AL137,($AL137-8+3)*(INDEX(Reference!$B$6:$B$11,MIN(5,MATCH(MAX(Reference!$A$6,MIN(Reference!$A$11,MIN($U137,300))),Reference!$A$6:$A$11,1)))+(MAX(Reference!$A$6,MIN(Reference!$A$11,MIN($U137,300)))-INDEX(Reference!$A$6:$A$11,MIN(5,MATCH(MAX(Reference!$A$6,MIN(Reference!$A$11,MIN($U137,300))),Reference!$A$6:$A$11,1))))*(INDEX(Reference!$B$6:$B$11,MIN(5,MATCH(MAX(Reference!$A$6,MIN(Reference!$A$11,MIN($U137,300))),Reference!$A$6:$A$11,1))+1)-INDEX(Reference!$B$6:$B$11,MIN(5,MATCH(MAX(Reference!$A$6,MIN(Reference!$A$11,MIN($U137,300))),Reference!$A$6:$A$11,1))))/(INDEX(Reference!$A$6:$A$11,MIN(5,MATCH(MAX(Reference!$A$6,MIN(Reference!$A$11,MIN($U137,300))),Reference!$A$6:$A$11,1))+1)-INDEX(Reference!$A$6:$A$11,MIN(5,MATCH(MAX(Reference!$A$6,MIN(Reference!$A$11,MIN($U137,300))),Reference!$A$6:$A$11,1))))),0))/($AL137*($AL137+5)/2)),$AN137))</f>
        <v>0</v>
      </c>
      <c r="AN137" s="32">
        <f>IF($U137="",0,(INDEX(Reference!$B$6:$B$11,MIN(5,MATCH(MAX(Reference!$A$6,MIN(Reference!$A$11,$U137)),Reference!$A$6:$A$11,1)))+(MAX(Reference!$A$6,MIN(Reference!$A$11,$U137))-INDEX(Reference!$A$6:$A$11,MIN(5,MATCH(MAX(Reference!$A$6,MIN(Reference!$A$11,$U137)),Reference!$A$6:$A$11,1))))*(INDEX(Reference!$B$6:$B$11,MIN(5,MATCH(MAX(Reference!$A$6,MIN(Reference!$A$11,$U137)),Reference!$A$6:$A$11,1))+1)-INDEX(Reference!$B$6:$B$11,MIN(5,MATCH(MAX(Reference!$A$6,MIN(Reference!$A$11,$U137)),Reference!$A$6:$A$11,1))))/(INDEX(Reference!$A$6:$A$11,MIN(5,MATCH(MAX(Reference!$A$6,MIN(Reference!$A$11,$U137)),Reference!$A$6:$A$11,1))+1)-INDEX(Reference!$A$6:$A$11,MIN(5,MATCH(MAX(Reference!$A$6,MIN(Reference!$A$11,$U137)),Reference!$A$6:$A$11,1))))))</f>
        <v>0</v>
      </c>
      <c r="AO137" s="37"/>
      <c r="AP137" s="37"/>
      <c r="AQ137" s="37"/>
    </row>
    <row r="138" spans="1:43" x14ac:dyDescent="0.3">
      <c r="A138" s="48" t="str">
        <f t="shared" si="55"/>
        <v/>
      </c>
      <c r="B138" s="32" t="str">
        <f t="shared" si="56"/>
        <v/>
      </c>
      <c r="C138" s="32" t="str">
        <f t="shared" si="57"/>
        <v/>
      </c>
      <c r="D138" s="32" t="str">
        <f t="shared" si="58"/>
        <v/>
      </c>
      <c r="E138" s="32" t="str">
        <f t="shared" si="59"/>
        <v/>
      </c>
      <c r="F138" s="32" t="str">
        <f t="shared" si="60"/>
        <v/>
      </c>
      <c r="G138" s="47" t="str">
        <f t="shared" si="61"/>
        <v/>
      </c>
      <c r="H138" s="30" t="str">
        <f t="shared" si="62"/>
        <v/>
      </c>
      <c r="I138" s="46" t="str">
        <f>IF($A138="","",IF(AND($L138&lt;27,$K$12=0),"Building",IFERROR(((SUM($H$132:$H138)+$K$12*IF($L138&lt;6,SUMIFS('Throw Log'!$Q$5:$Q$300,'Throw Log'!$B$5:$B$300,$D$4,'Throw Log'!$A$5:$A$300,"&gt;="&amp;($D$6+$L138-6),'Throw Log'!$A$5:$A$300,"&lt;="&amp;($D$6-1)),0))/7)/((SUM($H$111:$H138)+$K$12*IF($L138&lt;27,SUMIFS('Throw Log'!$Q$5:$Q$300,'Throw Log'!$B$5:$B$300,$D$4,'Throw Log'!$A$5:$A$300,"&gt;="&amp;($D$6+$L138-27),'Throw Log'!$A$5:$A$300,"&lt;="&amp;($D$6-1)),0))/28),"")))</f>
        <v/>
      </c>
      <c r="J138" s="37"/>
      <c r="K138" s="37"/>
      <c r="L138" s="32">
        <v>95</v>
      </c>
      <c r="M138" s="32">
        <f t="shared" si="63"/>
        <v>14</v>
      </c>
      <c r="N138" s="32">
        <f t="shared" si="64"/>
        <v>4</v>
      </c>
      <c r="O138" s="32">
        <f t="shared" si="65"/>
        <v>1</v>
      </c>
      <c r="P138" s="32" t="str">
        <f>IF(OR($A138="",N($C138)&lt;=7),"",$G$6*$G$9^($M138-1)*IF(AND(MOD($M138,Reference!$B$99)=0,$M138&lt;=$G$5-2),Reference!$B$100,1))</f>
        <v/>
      </c>
      <c r="Q138" s="32" t="str">
        <f>IF($P138="","",IF(SUM($AK$134:$AK$140)=0,0,$P138*INDEX(Reference!$B$108:$B$114,$N138+1)/SUM($AK$134:$AK$140)))</f>
        <v/>
      </c>
      <c r="R138" s="32">
        <f t="shared" si="66"/>
        <v>180</v>
      </c>
      <c r="S138" s="32">
        <f t="shared" si="67"/>
        <v>150</v>
      </c>
      <c r="T138" s="32" t="str">
        <f>IF($A138="","",IF($C138=0,"Bullpen",IF(OR($C138=7,$C138=1,$C138=5),"Recovery/Easy Catch",IF($C138=6,"Compression/Pulldowns",IF(OR($C138=4,$C138=2),"Long Toss",IF($C138=3,"No Throw",IF($N138=2,"No Throw",IF($N138=6,IF($O138&lt;Reference!$B$104,"No Throw","Recovery/Easy Catch"),IF(OR($N138=0,$N138=4),"Recovery/Easy Catch",IF($N138=1,IF($R138&gt;75,"Long Toss","Recovery/Easy Catch"),IF($N138=3,IF($O138&lt;0.5,IF($S138&gt;75,"Long Toss","Recovery/Easy Catch"),"Compression/Pulldowns"),IF($S138&gt;75,"Long Toss","Recovery/Easy Catch"))))))))))))</f>
        <v/>
      </c>
      <c r="U138" s="32" t="str">
        <f t="shared" si="68"/>
        <v/>
      </c>
      <c r="V138" s="32" t="str">
        <f t="shared" si="69"/>
        <v/>
      </c>
      <c r="W138" s="32" t="str">
        <f t="shared" si="70"/>
        <v/>
      </c>
      <c r="X138" s="32">
        <f t="shared" si="71"/>
        <v>0</v>
      </c>
      <c r="Y138" s="32" t="str">
        <f t="shared" si="72"/>
        <v/>
      </c>
      <c r="Z138" s="32" t="str">
        <f t="shared" si="73"/>
        <v/>
      </c>
      <c r="AA138" s="32" t="str">
        <f t="shared" si="74"/>
        <v/>
      </c>
      <c r="AB138" s="32" t="str">
        <f>IF($A138="","",IF($T138="No Throw",0,IF($K138&lt;&gt;"",$K138,IF($AA138&lt;&gt;"",ROUND($AA138*$D$12*IF($C138=0,1,$G$10),0),MIN(IF($T138="Recovery/Easy Catch",Reference!$B$103,IF($T138="Long Toss",Reference!$B$106,Reference!$B$102)),MAX(Reference!$B$101,ROUND(MAX(0,$Q138-$AE138)/$AF138,0)))))))</f>
        <v/>
      </c>
      <c r="AC138" s="32">
        <f t="shared" si="75"/>
        <v>0</v>
      </c>
      <c r="AD138" s="32" t="b">
        <f t="shared" si="76"/>
        <v>1</v>
      </c>
      <c r="AE138" s="32">
        <f>IF($X138=0,0,$X138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138+$Z138)/2,0),Reference!$A$17:$B$20,2,TRUE()))</f>
        <v>0</v>
      </c>
      <c r="AF138" s="32">
        <f>IF(OR($A138="",$U138="",$T138="No Throw"),0,$AM138*VLOOKUP(MAX(($V138+$W138)/2,0),Reference!$A$17:$B$20,2,TRUE()))</f>
        <v>0</v>
      </c>
      <c r="AG138" s="32">
        <f>IF($AC138=0,0,$AC138*INDEX(Reference!$B$61:$B$62,MATCH("Bullpen",Reference!$A$61:$A$62,0))*VLOOKUP(MAX($D$5-($D$9+$E$9)/2,0),Reference!$A$17:$B$20,2,TRUE()))</f>
        <v>0</v>
      </c>
      <c r="AH138" s="32" t="e">
        <f t="shared" si="77"/>
        <v>#N/A</v>
      </c>
      <c r="AI138" s="32" t="e">
        <f>IF($A138="",NA(),Reference!$A$25)</f>
        <v>#N/A</v>
      </c>
      <c r="AJ138" s="32" t="e">
        <f t="shared" si="78"/>
        <v>#N/A</v>
      </c>
      <c r="AK138" s="32">
        <f>IF(OR($A138="",N($C138)&lt;=7,$T138="No Throw",$J138="x"),0,INDEX(Reference!$B$108:$B$114,$N138+1))</f>
        <v>0</v>
      </c>
      <c r="AL138" s="32">
        <f t="shared" si="79"/>
        <v>1</v>
      </c>
      <c r="AM138" s="32">
        <f>IF($U138="",0,IF($AL138&gt;1,((IF(1&lt;=$AL138,($AL138-1+3)*(INDEX(Reference!$B$6:$B$11,MIN(5,MATCH(MAX(Reference!$A$6,MIN(Reference!$A$11,MIN($U138,90))),Reference!$A$6:$A$11,1)))+(MAX(Reference!$A$6,MIN(Reference!$A$11,MIN($U138,90)))-INDEX(Reference!$A$6:$A$11,MIN(5,MATCH(MAX(Reference!$A$6,MIN(Reference!$A$11,MIN($U138,90))),Reference!$A$6:$A$11,1))))*(INDEX(Reference!$B$6:$B$11,MIN(5,MATCH(MAX(Reference!$A$6,MIN(Reference!$A$11,MIN($U138,90))),Reference!$A$6:$A$11,1))+1)-INDEX(Reference!$B$6:$B$11,MIN(5,MATCH(MAX(Reference!$A$6,MIN(Reference!$A$11,MIN($U138,90))),Reference!$A$6:$A$11,1))))/(INDEX(Reference!$A$6:$A$11,MIN(5,MATCH(MAX(Reference!$A$6,MIN(Reference!$A$11,MIN($U138,90))),Reference!$A$6:$A$11,1))+1)-INDEX(Reference!$A$6:$A$11,MIN(5,MATCH(MAX(Reference!$A$6,MIN(Reference!$A$11,MIN($U138,90))),Reference!$A$6:$A$11,1))))),0)+IF(2&lt;=$AL138,($AL138-2+3)*(INDEX(Reference!$B$6:$B$11,MIN(5,MATCH(MAX(Reference!$A$6,MIN(Reference!$A$11,MIN($U138,120))),Reference!$A$6:$A$11,1)))+(MAX(Reference!$A$6,MIN(Reference!$A$11,MIN($U138,120)))-INDEX(Reference!$A$6:$A$11,MIN(5,MATCH(MAX(Reference!$A$6,MIN(Reference!$A$11,MIN($U138,120))),Reference!$A$6:$A$11,1))))*(INDEX(Reference!$B$6:$B$11,MIN(5,MATCH(MAX(Reference!$A$6,MIN(Reference!$A$11,MIN($U138,120))),Reference!$A$6:$A$11,1))+1)-INDEX(Reference!$B$6:$B$11,MIN(5,MATCH(MAX(Reference!$A$6,MIN(Reference!$A$11,MIN($U138,120))),Reference!$A$6:$A$11,1))))/(INDEX(Reference!$A$6:$A$11,MIN(5,MATCH(MAX(Reference!$A$6,MIN(Reference!$A$11,MIN($U138,120))),Reference!$A$6:$A$11,1))+1)-INDEX(Reference!$A$6:$A$11,MIN(5,MATCH(MAX(Reference!$A$6,MIN(Reference!$A$11,MIN($U138,120))),Reference!$A$6:$A$11,1))))),0)+IF(3&lt;=$AL138,($AL138-3+3)*(INDEX(Reference!$B$6:$B$11,MIN(5,MATCH(MAX(Reference!$A$6,MIN(Reference!$A$11,MIN($U138,150))),Reference!$A$6:$A$11,1)))+(MAX(Reference!$A$6,MIN(Reference!$A$11,MIN($U138,150)))-INDEX(Reference!$A$6:$A$11,MIN(5,MATCH(MAX(Reference!$A$6,MIN(Reference!$A$11,MIN($U138,150))),Reference!$A$6:$A$11,1))))*(INDEX(Reference!$B$6:$B$11,MIN(5,MATCH(MAX(Reference!$A$6,MIN(Reference!$A$11,MIN($U138,150))),Reference!$A$6:$A$11,1))+1)-INDEX(Reference!$B$6:$B$11,MIN(5,MATCH(MAX(Reference!$A$6,MIN(Reference!$A$11,MIN($U138,150))),Reference!$A$6:$A$11,1))))/(INDEX(Reference!$A$6:$A$11,MIN(5,MATCH(MAX(Reference!$A$6,MIN(Reference!$A$11,MIN($U138,150))),Reference!$A$6:$A$11,1))+1)-INDEX(Reference!$A$6:$A$11,MIN(5,MATCH(MAX(Reference!$A$6,MIN(Reference!$A$11,MIN($U138,150))),Reference!$A$6:$A$11,1))))),0)+IF(4&lt;=$AL138,($AL138-4+3)*(INDEX(Reference!$B$6:$B$11,MIN(5,MATCH(MAX(Reference!$A$6,MIN(Reference!$A$11,MIN($U138,180))),Reference!$A$6:$A$11,1)))+(MAX(Reference!$A$6,MIN(Reference!$A$11,MIN($U138,180)))-INDEX(Reference!$A$6:$A$11,MIN(5,MATCH(MAX(Reference!$A$6,MIN(Reference!$A$11,MIN($U138,180))),Reference!$A$6:$A$11,1))))*(INDEX(Reference!$B$6:$B$11,MIN(5,MATCH(MAX(Reference!$A$6,MIN(Reference!$A$11,MIN($U138,180))),Reference!$A$6:$A$11,1))+1)-INDEX(Reference!$B$6:$B$11,MIN(5,MATCH(MAX(Reference!$A$6,MIN(Reference!$A$11,MIN($U138,180))),Reference!$A$6:$A$11,1))))/(INDEX(Reference!$A$6:$A$11,MIN(5,MATCH(MAX(Reference!$A$6,MIN(Reference!$A$11,MIN($U138,180))),Reference!$A$6:$A$11,1))+1)-INDEX(Reference!$A$6:$A$11,MIN(5,MATCH(MAX(Reference!$A$6,MIN(Reference!$A$11,MIN($U138,180))),Reference!$A$6:$A$11,1))))),0)+IF(5&lt;=$AL138,($AL138-5+3)*(INDEX(Reference!$B$6:$B$11,MIN(5,MATCH(MAX(Reference!$A$6,MIN(Reference!$A$11,MIN($U138,210))),Reference!$A$6:$A$11,1)))+(MAX(Reference!$A$6,MIN(Reference!$A$11,MIN($U138,210)))-INDEX(Reference!$A$6:$A$11,MIN(5,MATCH(MAX(Reference!$A$6,MIN(Reference!$A$11,MIN($U138,210))),Reference!$A$6:$A$11,1))))*(INDEX(Reference!$B$6:$B$11,MIN(5,MATCH(MAX(Reference!$A$6,MIN(Reference!$A$11,MIN($U138,210))),Reference!$A$6:$A$11,1))+1)-INDEX(Reference!$B$6:$B$11,MIN(5,MATCH(MAX(Reference!$A$6,MIN(Reference!$A$11,MIN($U138,210))),Reference!$A$6:$A$11,1))))/(INDEX(Reference!$A$6:$A$11,MIN(5,MATCH(MAX(Reference!$A$6,MIN(Reference!$A$11,MIN($U138,210))),Reference!$A$6:$A$11,1))+1)-INDEX(Reference!$A$6:$A$11,MIN(5,MATCH(MAX(Reference!$A$6,MIN(Reference!$A$11,MIN($U138,210))),Reference!$A$6:$A$11,1))))),0)+IF(6&lt;=$AL138,($AL138-6+3)*(INDEX(Reference!$B$6:$B$11,MIN(5,MATCH(MAX(Reference!$A$6,MIN(Reference!$A$11,MIN($U138,240))),Reference!$A$6:$A$11,1)))+(MAX(Reference!$A$6,MIN(Reference!$A$11,MIN($U138,240)))-INDEX(Reference!$A$6:$A$11,MIN(5,MATCH(MAX(Reference!$A$6,MIN(Reference!$A$11,MIN($U138,240))),Reference!$A$6:$A$11,1))))*(INDEX(Reference!$B$6:$B$11,MIN(5,MATCH(MAX(Reference!$A$6,MIN(Reference!$A$11,MIN($U138,240))),Reference!$A$6:$A$11,1))+1)-INDEX(Reference!$B$6:$B$11,MIN(5,MATCH(MAX(Reference!$A$6,MIN(Reference!$A$11,MIN($U138,240))),Reference!$A$6:$A$11,1))))/(INDEX(Reference!$A$6:$A$11,MIN(5,MATCH(MAX(Reference!$A$6,MIN(Reference!$A$11,MIN($U138,240))),Reference!$A$6:$A$11,1))+1)-INDEX(Reference!$A$6:$A$11,MIN(5,MATCH(MAX(Reference!$A$6,MIN(Reference!$A$11,MIN($U138,240))),Reference!$A$6:$A$11,1))))),0)+IF(7&lt;=$AL138,($AL138-7+3)*(INDEX(Reference!$B$6:$B$11,MIN(5,MATCH(MAX(Reference!$A$6,MIN(Reference!$A$11,MIN($U138,270))),Reference!$A$6:$A$11,1)))+(MAX(Reference!$A$6,MIN(Reference!$A$11,MIN($U138,270)))-INDEX(Reference!$A$6:$A$11,MIN(5,MATCH(MAX(Reference!$A$6,MIN(Reference!$A$11,MIN($U138,270))),Reference!$A$6:$A$11,1))))*(INDEX(Reference!$B$6:$B$11,MIN(5,MATCH(MAX(Reference!$A$6,MIN(Reference!$A$11,MIN($U138,270))),Reference!$A$6:$A$11,1))+1)-INDEX(Reference!$B$6:$B$11,MIN(5,MATCH(MAX(Reference!$A$6,MIN(Reference!$A$11,MIN($U138,270))),Reference!$A$6:$A$11,1))))/(INDEX(Reference!$A$6:$A$11,MIN(5,MATCH(MAX(Reference!$A$6,MIN(Reference!$A$11,MIN($U138,270))),Reference!$A$6:$A$11,1))+1)-INDEX(Reference!$A$6:$A$11,MIN(5,MATCH(MAX(Reference!$A$6,MIN(Reference!$A$11,MIN($U138,270))),Reference!$A$6:$A$11,1))))),0)+IF(8&lt;=$AL138,($AL138-8+3)*(INDEX(Reference!$B$6:$B$11,MIN(5,MATCH(MAX(Reference!$A$6,MIN(Reference!$A$11,MIN($U138,300))),Reference!$A$6:$A$11,1)))+(MAX(Reference!$A$6,MIN(Reference!$A$11,MIN($U138,300)))-INDEX(Reference!$A$6:$A$11,MIN(5,MATCH(MAX(Reference!$A$6,MIN(Reference!$A$11,MIN($U138,300))),Reference!$A$6:$A$11,1))))*(INDEX(Reference!$B$6:$B$11,MIN(5,MATCH(MAX(Reference!$A$6,MIN(Reference!$A$11,MIN($U138,300))),Reference!$A$6:$A$11,1))+1)-INDEX(Reference!$B$6:$B$11,MIN(5,MATCH(MAX(Reference!$A$6,MIN(Reference!$A$11,MIN($U138,300))),Reference!$A$6:$A$11,1))))/(INDEX(Reference!$A$6:$A$11,MIN(5,MATCH(MAX(Reference!$A$6,MIN(Reference!$A$11,MIN($U138,300))),Reference!$A$6:$A$11,1))+1)-INDEX(Reference!$A$6:$A$11,MIN(5,MATCH(MAX(Reference!$A$6,MIN(Reference!$A$11,MIN($U138,300))),Reference!$A$6:$A$11,1))))),0))/($AL138*($AL138+5)/2)),$AN138))</f>
        <v>0</v>
      </c>
      <c r="AN138" s="32">
        <f>IF($U138="",0,(INDEX(Reference!$B$6:$B$11,MIN(5,MATCH(MAX(Reference!$A$6,MIN(Reference!$A$11,$U138)),Reference!$A$6:$A$11,1)))+(MAX(Reference!$A$6,MIN(Reference!$A$11,$U138))-INDEX(Reference!$A$6:$A$11,MIN(5,MATCH(MAX(Reference!$A$6,MIN(Reference!$A$11,$U138)),Reference!$A$6:$A$11,1))))*(INDEX(Reference!$B$6:$B$11,MIN(5,MATCH(MAX(Reference!$A$6,MIN(Reference!$A$11,$U138)),Reference!$A$6:$A$11,1))+1)-INDEX(Reference!$B$6:$B$11,MIN(5,MATCH(MAX(Reference!$A$6,MIN(Reference!$A$11,$U138)),Reference!$A$6:$A$11,1))))/(INDEX(Reference!$A$6:$A$11,MIN(5,MATCH(MAX(Reference!$A$6,MIN(Reference!$A$11,$U138)),Reference!$A$6:$A$11,1))+1)-INDEX(Reference!$A$6:$A$11,MIN(5,MATCH(MAX(Reference!$A$6,MIN(Reference!$A$11,$U138)),Reference!$A$6:$A$11,1))))))</f>
        <v>0</v>
      </c>
      <c r="AO138" s="37"/>
      <c r="AP138" s="37"/>
      <c r="AQ138" s="37"/>
    </row>
    <row r="139" spans="1:43" x14ac:dyDescent="0.3">
      <c r="A139" s="48" t="str">
        <f t="shared" ref="A139:A170" si="80">IFERROR(IF($L139&gt;$G$4,"",$D$6+$L139),"")</f>
        <v/>
      </c>
      <c r="B139" s="32" t="str">
        <f t="shared" ref="B139:B170" si="81">IF($A139="","",TEXT($A139,"ddd"))</f>
        <v/>
      </c>
      <c r="C139" s="32" t="str">
        <f t="shared" ref="C139:C170" si="82">IF($A139="","",$G$4-$L139)</f>
        <v/>
      </c>
      <c r="D139" s="32" t="str">
        <f t="shared" ref="D139:D170" si="83">IF($A139="","",IF($C139=0,"First Bullpen",IF($C139&lt;=7,"Taper",IF($O139&lt;0.2,"Re-entry",IF($O139&lt;0.45,"Base",IF($O139&lt;0.65,"Extension","Flat Ground / Intent"))))))</f>
        <v/>
      </c>
      <c r="E139" s="32" t="str">
        <f t="shared" ref="E139:E170" si="84">IF($A139="","",IF($AD139,"No Throw",IF($C139=0,"High Bullpen",IF($C139=6,"High Non-Bullpen",IF(OR($C139=4,$C139=2),"Medium",IF($T139="Recovery/Easy Catch","Low",IF($N139=1,IF($O139&lt;0.4,"Low",IF($O139&lt;0.7,"Medium","High Non-Bullpen")),IF($N139=3,IF($O139&lt;0.5,"Medium","High Non-Bullpen"),IF($O139&lt;0.62,"Medium","High Non-Bullpen")))))))))</f>
        <v/>
      </c>
      <c r="F139" s="32" t="str">
        <f t="shared" ref="F139:F170" si="85">IF($A139="","",IF($AD139,"No Throw",$T139))</f>
        <v/>
      </c>
      <c r="G139" s="47" t="str">
        <f t="shared" ref="G139:G170" si="86">IF($A139="","",IF($AD139,"Off",IF($AL139&gt;1,"Long toss out to "&amp;$U139&amp;" ft — "&amp;$AB139&amp;" throws ("&amp;IF(1&lt;=$AL139,MIN($U139,90)&amp;"×"&amp;(ROUND($AB139*(1*($AL139+3)-1)/($AL139*($AL139+5)/2),0)-0),"")&amp;IF(2&lt;=$AL139," · "&amp;MIN($U139,120)&amp;"×"&amp;(ROUND($AB139*(2*($AL139+3)-3)/($AL139*($AL139+5)/2),0)-ROUND($AB139*(1*($AL139+3)-1)/($AL139*($AL139+5)/2),0)),"")&amp;IF(3&lt;=$AL139," · "&amp;MIN($U139,150)&amp;"×"&amp;(ROUND($AB139*(3*($AL139+3)-6)/($AL139*($AL139+5)/2),0)-ROUND($AB139*(2*($AL139+3)-3)/($AL139*($AL139+5)/2),0)),"")&amp;IF(4&lt;=$AL139," · "&amp;MIN($U139,180)&amp;"×"&amp;(ROUND($AB139*(4*($AL139+3)-10)/($AL139*($AL139+5)/2),0)-ROUND($AB139*(3*($AL139+3)-6)/($AL139*($AL139+5)/2),0)),"")&amp;IF(5&lt;=$AL139," · "&amp;MIN($U139,210)&amp;"×"&amp;(ROUND($AB139*(5*($AL139+3)-15)/($AL139*($AL139+5)/2),0)-ROUND($AB139*(4*($AL139+3)-10)/($AL139*($AL139+5)/2),0)),"")&amp;IF(6&lt;=$AL139," · "&amp;MIN($U139,240)&amp;"×"&amp;(ROUND($AB139*(6*($AL139+3)-21)/($AL139*($AL139+5)/2),0)-ROUND($AB139*(5*($AL139+3)-15)/($AL139*($AL139+5)/2),0)),"")&amp;IF(7&lt;=$AL139," · "&amp;MIN($U139,270)&amp;"×"&amp;(ROUND($AB139*(7*($AL139+3)-28)/($AL139*($AL139+5)/2),0)-ROUND($AB139*(6*($AL139+3)-21)/($AL139*($AL139+5)/2),0)),"")&amp;IF(8&lt;=$AL139," · "&amp;MIN($U139,300)&amp;"×"&amp;(ROUND($AB139*(8*($AL139+3)-36)/($AL139*($AL139+5)/2),0)-ROUND($AB139*(7*($AL139+3)-28)/($AL139*($AL139+5)/2),0)),"")&amp;")",$U139&amp;" ft × "&amp;$AB139)&amp;" @ "&amp;ROUND($D$5-$W139,0)&amp;"–"&amp;ROUND($D$5-$V139,0)&amp;" mph"&amp;IF($X139&gt;0,IF($Y139&lt;10," + flat ground at 60 ft × "," + 60 ft × ")&amp;$X139&amp;" @ "&amp;ROUND($D$5-$Z139,0)&amp;"–"&amp;ROUND($D$5-$Y139,0)&amp;" mph","")&amp;IF($AC139&gt;0," + MOUND × "&amp;$AC139&amp;" pitches @ "&amp;$D$9&amp;"–"&amp;$E$9&amp;" mph","")))</f>
        <v/>
      </c>
      <c r="H139" s="30" t="str">
        <f t="shared" ref="H139:H170" si="87">IF($A139="","",IF($AD139,0,$AB139*$AF139+$AE139+$AG139))</f>
        <v/>
      </c>
      <c r="I139" s="46" t="str">
        <f>IF($A139="","",IF(AND($L139&lt;27,$K$12=0),"Building",IFERROR(((SUM($H$133:$H139)+$K$12*IF($L139&lt;6,SUMIFS('Throw Log'!$Q$5:$Q$300,'Throw Log'!$B$5:$B$300,$D$4,'Throw Log'!$A$5:$A$300,"&gt;="&amp;($D$6+$L139-6),'Throw Log'!$A$5:$A$300,"&lt;="&amp;($D$6-1)),0))/7)/((SUM($H$112:$H139)+$K$12*IF($L139&lt;27,SUMIFS('Throw Log'!$Q$5:$Q$300,'Throw Log'!$B$5:$B$300,$D$4,'Throw Log'!$A$5:$A$300,"&gt;="&amp;($D$6+$L139-27),'Throw Log'!$A$5:$A$300,"&lt;="&amp;($D$6-1)),0))/28),"")))</f>
        <v/>
      </c>
      <c r="J139" s="37"/>
      <c r="K139" s="37"/>
      <c r="L139" s="32">
        <v>96</v>
      </c>
      <c r="M139" s="32">
        <f t="shared" ref="M139:M170" si="88">INT($L139/7)+1</f>
        <v>14</v>
      </c>
      <c r="N139" s="32">
        <f t="shared" ref="N139:N170" si="89">MOD($L139,7)</f>
        <v>5</v>
      </c>
      <c r="O139" s="32">
        <f t="shared" ref="O139:O170" si="90">MIN(1,$G$7+(1-$G$7)*$L139/MAX(1,N($G$4)-8))</f>
        <v>1</v>
      </c>
      <c r="P139" s="32" t="str">
        <f>IF(OR($A139="",N($C139)&lt;=7),"",$G$6*$G$9^($M139-1)*IF(AND(MOD($M139,Reference!$B$99)=0,$M139&lt;=$G$5-2),Reference!$B$100,1))</f>
        <v/>
      </c>
      <c r="Q139" s="32" t="str">
        <f>IF($P139="","",IF(SUM($AK$134:$AK$140)=0,0,$P139*INDEX(Reference!$B$108:$B$114,$N139+1)/SUM($AK$134:$AK$140)))</f>
        <v/>
      </c>
      <c r="R139" s="32">
        <f t="shared" ref="R139:R170" si="91">ROUND((60+($D$11-60)*MIN(1,$O139/0.75))/15,0)*15</f>
        <v>180</v>
      </c>
      <c r="S139" s="32">
        <f t="shared" ref="S139:S170" si="92">ROUND((60+($R139-60)*0.8)/15,0)*15</f>
        <v>150</v>
      </c>
      <c r="T139" s="32" t="str">
        <f>IF($A139="","",IF($C139=0,"Bullpen",IF(OR($C139=7,$C139=1,$C139=5),"Recovery/Easy Catch",IF($C139=6,"Compression/Pulldowns",IF(OR($C139=4,$C139=2),"Long Toss",IF($C139=3,"No Throw",IF($N139=2,"No Throw",IF($N139=6,IF($O139&lt;Reference!$B$104,"No Throw","Recovery/Easy Catch"),IF(OR($N139=0,$N139=4),"Recovery/Easy Catch",IF($N139=1,IF($R139&gt;75,"Long Toss","Recovery/Easy Catch"),IF($N139=3,IF($O139&lt;0.5,IF($S139&gt;75,"Long Toss","Recovery/Easy Catch"),"Compression/Pulldowns"),IF($S139&gt;75,"Long Toss","Recovery/Easy Catch"))))))))))))</f>
        <v/>
      </c>
      <c r="U139" s="32" t="str">
        <f t="shared" ref="U139:U170" si="93">IF($A139="","",IF(N($AO139)&gt;0,$AO139,IF($C139=0,90,IF(OR($C139=7,$C139=1),75,IF($C139=6,90,IF($C139=5,60,IF($C139=4,MIN(150,ROUND(0.75*$D$11/15,0)*15),IF($C139=2,MIN(120,ROUND(0.67*$D$11/15,0)*15),IF($C139=3,"",IF($N139=2,"",IF($N139=6,60,IF($N139=0,IF($O139&lt;0.25,60,75),IF($N139=4,IF($O139&lt;0.5,60,75),IF($N139=1,$R139,IF($N139=3,IF($O139&lt;0.5,$S139,90),$S139)))))))))))))))</f>
        <v/>
      </c>
      <c r="V139" s="32" t="str">
        <f t="shared" ref="V139:V170" si="94">IF($A139="","",IF(N($AQ139)&gt;0,$D$5-$AQ139,IF(N($AP139)&gt;0,$D$5-$AP139,IF($C139=0,10,IF(OR($C139=7,$C139=1),18,IF($C139=6,7,IF($C139=5,20,IF(OR($C139=4,$C139=2),10,IF($C139=3,"",IF($N139=2,"",IF($N139=6,20,IF($N139=0,IF($O139&lt;0.25,20,18),IF($N139=4,IF($O139&lt;0.5,20,18),IF($N139=1,IF($O139&lt;0.25,18,IF($O139&lt;0.5,13,10)),IF($N139=3,IF($O139&lt;0.5,IF($O139&lt;0.25,18,13),7),IF($O139&lt;0.25,18,IF($O139&lt;0.5,12,10)))))))))))))))))</f>
        <v/>
      </c>
      <c r="W139" s="32" t="str">
        <f t="shared" ref="W139:W170" si="95">IF($A139="","",IF(N($AP139)&gt;0,$D$5-$AP139,IF(N($AQ139)&gt;0,$D$5-$AQ139,IF($C139=0,12,IF(OR($C139=7,$C139=1),22,IF($C139=6,9,IF($C139=5,24,IF(OR($C139=4,$C139=2),13,IF($C139=3,"",IF($N139=2,"",IF($N139=6,24,IF($N139=0,IF($O139&lt;0.25,24,22),IF($N139=4,IF($O139&lt;0.5,24,22),IF($N139=1,IF($O139&lt;0.25,22,IF($O139&lt;0.5,16,12)),IF($N139=3,IF($O139&lt;0.5,IF($O139&lt;0.25,22,16),9),IF($O139&lt;0.25,22,IF($O139&lt;0.5,15,13)))))))))))))))))</f>
        <v/>
      </c>
      <c r="X139" s="32">
        <f t="shared" ref="X139:X170" si="96">IF($A139="",0,IF($C139=6,ROUND(25*$G$10,0),IF(OR($C139=4,$C139=2),ROUND(15*$G$10,0),IF($C139&lt;=7,0,IF($N139=1,IF($O139&lt;0.2,0,IF($O139&lt;0.5,10,15)),IF($N139=3,IF($O139&lt;0.5,IF($O139&lt;0.2,0,10),IF($O139&lt;0.62,15,IF($O139&lt;0.8,20,25))),IF($N139=5,IF($O139&lt;0.2,0,IF($O139&lt;0.62,12,IF($O139&lt;0.8,20,25))),0)))))))</f>
        <v>0</v>
      </c>
      <c r="Y139" s="32" t="str">
        <f t="shared" ref="Y139:Y170" si="97">IF($X139=0,"",IF($C139=6,$D$5-$E$9,IF(OR($C139=4,$C139=2),8,IF($N139=1,IF($O139&lt;0.5,14,10),IF($N139=3,IF($O139&lt;0.5,14,IF($O139&lt;0.62,10,7)),IF($N139=5,IF($O139&lt;0.5,14,IF($O139&lt;0.62,12,7)),""))))))</f>
        <v/>
      </c>
      <c r="Z139" s="32" t="str">
        <f t="shared" ref="Z139:Z170" si="98">IF($X139=0,"",IF($C139=6,$D$5-$D$9,IF(OR($C139=4,$C139=2),10,IF($N139=1,IF($O139&lt;0.5,18,12),IF($N139=3,IF($O139&lt;0.5,18,IF($O139&lt;0.62,12,9)),IF($N139=5,IF($O139&lt;0.5,18,IF($O139&lt;0.62,15,9)),""))))))</f>
        <v/>
      </c>
      <c r="AA139" s="32" t="str">
        <f t="shared" ref="AA139:AA170" si="99">IF($A139="","",IF($C139=0,25,IF(OR($C139=7,$C139=1,$C139=5),30,IF($C139=6,25,IF(OR($C139=4,$C139=2),IF($AM139=0,30,30*$AN139/$AM139),"")))))</f>
        <v/>
      </c>
      <c r="AB139" s="32" t="str">
        <f>IF($A139="","",IF($T139="No Throw",0,IF($K139&lt;&gt;"",$K139,IF($AA139&lt;&gt;"",ROUND($AA139*$D$12*IF($C139=0,1,$G$10),0),MIN(IF($T139="Recovery/Easy Catch",Reference!$B$103,IF($T139="Long Toss",Reference!$B$106,Reference!$B$102)),MAX(Reference!$B$101,ROUND(MAX(0,$Q139-$AE139)/$AF139,0)))))))</f>
        <v/>
      </c>
      <c r="AC139" s="32">
        <f t="shared" ref="AC139:AC170" si="100">IF($A139="",0,IF($C139=0,$D$8,0))</f>
        <v>0</v>
      </c>
      <c r="AD139" s="32" t="b">
        <f t="shared" ref="AD139:AD170" si="101">IF($A139="",TRUE(),OR($J139="x",$T139="No Throw"))</f>
        <v>1</v>
      </c>
      <c r="AE139" s="32">
        <f>IF($X139=0,0,$X139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139+$Z139)/2,0),Reference!$A$17:$B$20,2,TRUE()))</f>
        <v>0</v>
      </c>
      <c r="AF139" s="32">
        <f>IF(OR($A139="",$U139="",$T139="No Throw"),0,$AM139*VLOOKUP(MAX(($V139+$W139)/2,0),Reference!$A$17:$B$20,2,TRUE()))</f>
        <v>0</v>
      </c>
      <c r="AG139" s="32">
        <f>IF($AC139=0,0,$AC139*INDEX(Reference!$B$61:$B$62,MATCH("Bullpen",Reference!$A$61:$A$62,0))*VLOOKUP(MAX($D$5-($D$9+$E$9)/2,0),Reference!$A$17:$B$20,2,TRUE()))</f>
        <v>0</v>
      </c>
      <c r="AH139" s="32" t="e">
        <f t="shared" ref="AH139:AH170" si="102">IF(OR($A139="",$L139&lt;27),NA(),$I139)</f>
        <v>#N/A</v>
      </c>
      <c r="AI139" s="32" t="e">
        <f>IF($A139="",NA(),Reference!$A$25)</f>
        <v>#N/A</v>
      </c>
      <c r="AJ139" s="32" t="e">
        <f t="shared" ref="AJ139:AJ170" si="103">IF($A139="",NA(),1.3)</f>
        <v>#N/A</v>
      </c>
      <c r="AK139" s="32">
        <f>IF(OR($A139="",N($C139)&lt;=7,$T139="No Throw",$J139="x"),0,INDEX(Reference!$B$108:$B$114,$N139+1))</f>
        <v>0</v>
      </c>
      <c r="AL139" s="32">
        <f t="shared" ref="AL139:AL170" si="104">IF($U139="",1,IF(AND($T139="Long Toss",N($U139)&gt;90),1+ROUNDUP(($U139-90)/30,0),1))</f>
        <v>1</v>
      </c>
      <c r="AM139" s="32">
        <f>IF($U139="",0,IF($AL139&gt;1,((IF(1&lt;=$AL139,($AL139-1+3)*(INDEX(Reference!$B$6:$B$11,MIN(5,MATCH(MAX(Reference!$A$6,MIN(Reference!$A$11,MIN($U139,90))),Reference!$A$6:$A$11,1)))+(MAX(Reference!$A$6,MIN(Reference!$A$11,MIN($U139,90)))-INDEX(Reference!$A$6:$A$11,MIN(5,MATCH(MAX(Reference!$A$6,MIN(Reference!$A$11,MIN($U139,90))),Reference!$A$6:$A$11,1))))*(INDEX(Reference!$B$6:$B$11,MIN(5,MATCH(MAX(Reference!$A$6,MIN(Reference!$A$11,MIN($U139,90))),Reference!$A$6:$A$11,1))+1)-INDEX(Reference!$B$6:$B$11,MIN(5,MATCH(MAX(Reference!$A$6,MIN(Reference!$A$11,MIN($U139,90))),Reference!$A$6:$A$11,1))))/(INDEX(Reference!$A$6:$A$11,MIN(5,MATCH(MAX(Reference!$A$6,MIN(Reference!$A$11,MIN($U139,90))),Reference!$A$6:$A$11,1))+1)-INDEX(Reference!$A$6:$A$11,MIN(5,MATCH(MAX(Reference!$A$6,MIN(Reference!$A$11,MIN($U139,90))),Reference!$A$6:$A$11,1))))),0)+IF(2&lt;=$AL139,($AL139-2+3)*(INDEX(Reference!$B$6:$B$11,MIN(5,MATCH(MAX(Reference!$A$6,MIN(Reference!$A$11,MIN($U139,120))),Reference!$A$6:$A$11,1)))+(MAX(Reference!$A$6,MIN(Reference!$A$11,MIN($U139,120)))-INDEX(Reference!$A$6:$A$11,MIN(5,MATCH(MAX(Reference!$A$6,MIN(Reference!$A$11,MIN($U139,120))),Reference!$A$6:$A$11,1))))*(INDEX(Reference!$B$6:$B$11,MIN(5,MATCH(MAX(Reference!$A$6,MIN(Reference!$A$11,MIN($U139,120))),Reference!$A$6:$A$11,1))+1)-INDEX(Reference!$B$6:$B$11,MIN(5,MATCH(MAX(Reference!$A$6,MIN(Reference!$A$11,MIN($U139,120))),Reference!$A$6:$A$11,1))))/(INDEX(Reference!$A$6:$A$11,MIN(5,MATCH(MAX(Reference!$A$6,MIN(Reference!$A$11,MIN($U139,120))),Reference!$A$6:$A$11,1))+1)-INDEX(Reference!$A$6:$A$11,MIN(5,MATCH(MAX(Reference!$A$6,MIN(Reference!$A$11,MIN($U139,120))),Reference!$A$6:$A$11,1))))),0)+IF(3&lt;=$AL139,($AL139-3+3)*(INDEX(Reference!$B$6:$B$11,MIN(5,MATCH(MAX(Reference!$A$6,MIN(Reference!$A$11,MIN($U139,150))),Reference!$A$6:$A$11,1)))+(MAX(Reference!$A$6,MIN(Reference!$A$11,MIN($U139,150)))-INDEX(Reference!$A$6:$A$11,MIN(5,MATCH(MAX(Reference!$A$6,MIN(Reference!$A$11,MIN($U139,150))),Reference!$A$6:$A$11,1))))*(INDEX(Reference!$B$6:$B$11,MIN(5,MATCH(MAX(Reference!$A$6,MIN(Reference!$A$11,MIN($U139,150))),Reference!$A$6:$A$11,1))+1)-INDEX(Reference!$B$6:$B$11,MIN(5,MATCH(MAX(Reference!$A$6,MIN(Reference!$A$11,MIN($U139,150))),Reference!$A$6:$A$11,1))))/(INDEX(Reference!$A$6:$A$11,MIN(5,MATCH(MAX(Reference!$A$6,MIN(Reference!$A$11,MIN($U139,150))),Reference!$A$6:$A$11,1))+1)-INDEX(Reference!$A$6:$A$11,MIN(5,MATCH(MAX(Reference!$A$6,MIN(Reference!$A$11,MIN($U139,150))),Reference!$A$6:$A$11,1))))),0)+IF(4&lt;=$AL139,($AL139-4+3)*(INDEX(Reference!$B$6:$B$11,MIN(5,MATCH(MAX(Reference!$A$6,MIN(Reference!$A$11,MIN($U139,180))),Reference!$A$6:$A$11,1)))+(MAX(Reference!$A$6,MIN(Reference!$A$11,MIN($U139,180)))-INDEX(Reference!$A$6:$A$11,MIN(5,MATCH(MAX(Reference!$A$6,MIN(Reference!$A$11,MIN($U139,180))),Reference!$A$6:$A$11,1))))*(INDEX(Reference!$B$6:$B$11,MIN(5,MATCH(MAX(Reference!$A$6,MIN(Reference!$A$11,MIN($U139,180))),Reference!$A$6:$A$11,1))+1)-INDEX(Reference!$B$6:$B$11,MIN(5,MATCH(MAX(Reference!$A$6,MIN(Reference!$A$11,MIN($U139,180))),Reference!$A$6:$A$11,1))))/(INDEX(Reference!$A$6:$A$11,MIN(5,MATCH(MAX(Reference!$A$6,MIN(Reference!$A$11,MIN($U139,180))),Reference!$A$6:$A$11,1))+1)-INDEX(Reference!$A$6:$A$11,MIN(5,MATCH(MAX(Reference!$A$6,MIN(Reference!$A$11,MIN($U139,180))),Reference!$A$6:$A$11,1))))),0)+IF(5&lt;=$AL139,($AL139-5+3)*(INDEX(Reference!$B$6:$B$11,MIN(5,MATCH(MAX(Reference!$A$6,MIN(Reference!$A$11,MIN($U139,210))),Reference!$A$6:$A$11,1)))+(MAX(Reference!$A$6,MIN(Reference!$A$11,MIN($U139,210)))-INDEX(Reference!$A$6:$A$11,MIN(5,MATCH(MAX(Reference!$A$6,MIN(Reference!$A$11,MIN($U139,210))),Reference!$A$6:$A$11,1))))*(INDEX(Reference!$B$6:$B$11,MIN(5,MATCH(MAX(Reference!$A$6,MIN(Reference!$A$11,MIN($U139,210))),Reference!$A$6:$A$11,1))+1)-INDEX(Reference!$B$6:$B$11,MIN(5,MATCH(MAX(Reference!$A$6,MIN(Reference!$A$11,MIN($U139,210))),Reference!$A$6:$A$11,1))))/(INDEX(Reference!$A$6:$A$11,MIN(5,MATCH(MAX(Reference!$A$6,MIN(Reference!$A$11,MIN($U139,210))),Reference!$A$6:$A$11,1))+1)-INDEX(Reference!$A$6:$A$11,MIN(5,MATCH(MAX(Reference!$A$6,MIN(Reference!$A$11,MIN($U139,210))),Reference!$A$6:$A$11,1))))),0)+IF(6&lt;=$AL139,($AL139-6+3)*(INDEX(Reference!$B$6:$B$11,MIN(5,MATCH(MAX(Reference!$A$6,MIN(Reference!$A$11,MIN($U139,240))),Reference!$A$6:$A$11,1)))+(MAX(Reference!$A$6,MIN(Reference!$A$11,MIN($U139,240)))-INDEX(Reference!$A$6:$A$11,MIN(5,MATCH(MAX(Reference!$A$6,MIN(Reference!$A$11,MIN($U139,240))),Reference!$A$6:$A$11,1))))*(INDEX(Reference!$B$6:$B$11,MIN(5,MATCH(MAX(Reference!$A$6,MIN(Reference!$A$11,MIN($U139,240))),Reference!$A$6:$A$11,1))+1)-INDEX(Reference!$B$6:$B$11,MIN(5,MATCH(MAX(Reference!$A$6,MIN(Reference!$A$11,MIN($U139,240))),Reference!$A$6:$A$11,1))))/(INDEX(Reference!$A$6:$A$11,MIN(5,MATCH(MAX(Reference!$A$6,MIN(Reference!$A$11,MIN($U139,240))),Reference!$A$6:$A$11,1))+1)-INDEX(Reference!$A$6:$A$11,MIN(5,MATCH(MAX(Reference!$A$6,MIN(Reference!$A$11,MIN($U139,240))),Reference!$A$6:$A$11,1))))),0)+IF(7&lt;=$AL139,($AL139-7+3)*(INDEX(Reference!$B$6:$B$11,MIN(5,MATCH(MAX(Reference!$A$6,MIN(Reference!$A$11,MIN($U139,270))),Reference!$A$6:$A$11,1)))+(MAX(Reference!$A$6,MIN(Reference!$A$11,MIN($U139,270)))-INDEX(Reference!$A$6:$A$11,MIN(5,MATCH(MAX(Reference!$A$6,MIN(Reference!$A$11,MIN($U139,270))),Reference!$A$6:$A$11,1))))*(INDEX(Reference!$B$6:$B$11,MIN(5,MATCH(MAX(Reference!$A$6,MIN(Reference!$A$11,MIN($U139,270))),Reference!$A$6:$A$11,1))+1)-INDEX(Reference!$B$6:$B$11,MIN(5,MATCH(MAX(Reference!$A$6,MIN(Reference!$A$11,MIN($U139,270))),Reference!$A$6:$A$11,1))))/(INDEX(Reference!$A$6:$A$11,MIN(5,MATCH(MAX(Reference!$A$6,MIN(Reference!$A$11,MIN($U139,270))),Reference!$A$6:$A$11,1))+1)-INDEX(Reference!$A$6:$A$11,MIN(5,MATCH(MAX(Reference!$A$6,MIN(Reference!$A$11,MIN($U139,270))),Reference!$A$6:$A$11,1))))),0)+IF(8&lt;=$AL139,($AL139-8+3)*(INDEX(Reference!$B$6:$B$11,MIN(5,MATCH(MAX(Reference!$A$6,MIN(Reference!$A$11,MIN($U139,300))),Reference!$A$6:$A$11,1)))+(MAX(Reference!$A$6,MIN(Reference!$A$11,MIN($U139,300)))-INDEX(Reference!$A$6:$A$11,MIN(5,MATCH(MAX(Reference!$A$6,MIN(Reference!$A$11,MIN($U139,300))),Reference!$A$6:$A$11,1))))*(INDEX(Reference!$B$6:$B$11,MIN(5,MATCH(MAX(Reference!$A$6,MIN(Reference!$A$11,MIN($U139,300))),Reference!$A$6:$A$11,1))+1)-INDEX(Reference!$B$6:$B$11,MIN(5,MATCH(MAX(Reference!$A$6,MIN(Reference!$A$11,MIN($U139,300))),Reference!$A$6:$A$11,1))))/(INDEX(Reference!$A$6:$A$11,MIN(5,MATCH(MAX(Reference!$A$6,MIN(Reference!$A$11,MIN($U139,300))),Reference!$A$6:$A$11,1))+1)-INDEX(Reference!$A$6:$A$11,MIN(5,MATCH(MAX(Reference!$A$6,MIN(Reference!$A$11,MIN($U139,300))),Reference!$A$6:$A$11,1))))),0))/($AL139*($AL139+5)/2)),$AN139))</f>
        <v>0</v>
      </c>
      <c r="AN139" s="32">
        <f>IF($U139="",0,(INDEX(Reference!$B$6:$B$11,MIN(5,MATCH(MAX(Reference!$A$6,MIN(Reference!$A$11,$U139)),Reference!$A$6:$A$11,1)))+(MAX(Reference!$A$6,MIN(Reference!$A$11,$U139))-INDEX(Reference!$A$6:$A$11,MIN(5,MATCH(MAX(Reference!$A$6,MIN(Reference!$A$11,$U139)),Reference!$A$6:$A$11,1))))*(INDEX(Reference!$B$6:$B$11,MIN(5,MATCH(MAX(Reference!$A$6,MIN(Reference!$A$11,$U139)),Reference!$A$6:$A$11,1))+1)-INDEX(Reference!$B$6:$B$11,MIN(5,MATCH(MAX(Reference!$A$6,MIN(Reference!$A$11,$U139)),Reference!$A$6:$A$11,1))))/(INDEX(Reference!$A$6:$A$11,MIN(5,MATCH(MAX(Reference!$A$6,MIN(Reference!$A$11,$U139)),Reference!$A$6:$A$11,1))+1)-INDEX(Reference!$A$6:$A$11,MIN(5,MATCH(MAX(Reference!$A$6,MIN(Reference!$A$11,$U139)),Reference!$A$6:$A$11,1))))))</f>
        <v>0</v>
      </c>
      <c r="AO139" s="37"/>
      <c r="AP139" s="37"/>
      <c r="AQ139" s="37"/>
    </row>
    <row r="140" spans="1:43" x14ac:dyDescent="0.3">
      <c r="A140" s="48" t="str">
        <f t="shared" si="80"/>
        <v/>
      </c>
      <c r="B140" s="32" t="str">
        <f t="shared" si="81"/>
        <v/>
      </c>
      <c r="C140" s="32" t="str">
        <f t="shared" si="82"/>
        <v/>
      </c>
      <c r="D140" s="32" t="str">
        <f t="shared" si="83"/>
        <v/>
      </c>
      <c r="E140" s="32" t="str">
        <f t="shared" si="84"/>
        <v/>
      </c>
      <c r="F140" s="32" t="str">
        <f t="shared" si="85"/>
        <v/>
      </c>
      <c r="G140" s="47" t="str">
        <f t="shared" si="86"/>
        <v/>
      </c>
      <c r="H140" s="30" t="str">
        <f t="shared" si="87"/>
        <v/>
      </c>
      <c r="I140" s="46" t="str">
        <f>IF($A140="","",IF(AND($L140&lt;27,$K$12=0),"Building",IFERROR(((SUM($H$134:$H140)+$K$12*IF($L140&lt;6,SUMIFS('Throw Log'!$Q$5:$Q$300,'Throw Log'!$B$5:$B$300,$D$4,'Throw Log'!$A$5:$A$300,"&gt;="&amp;($D$6+$L140-6),'Throw Log'!$A$5:$A$300,"&lt;="&amp;($D$6-1)),0))/7)/((SUM($H$113:$H140)+$K$12*IF($L140&lt;27,SUMIFS('Throw Log'!$Q$5:$Q$300,'Throw Log'!$B$5:$B$300,$D$4,'Throw Log'!$A$5:$A$300,"&gt;="&amp;($D$6+$L140-27),'Throw Log'!$A$5:$A$300,"&lt;="&amp;($D$6-1)),0))/28),"")))</f>
        <v/>
      </c>
      <c r="J140" s="37"/>
      <c r="K140" s="37"/>
      <c r="L140" s="32">
        <v>97</v>
      </c>
      <c r="M140" s="32">
        <f t="shared" si="88"/>
        <v>14</v>
      </c>
      <c r="N140" s="32">
        <f t="shared" si="89"/>
        <v>6</v>
      </c>
      <c r="O140" s="32">
        <f t="shared" si="90"/>
        <v>1</v>
      </c>
      <c r="P140" s="32" t="str">
        <f>IF(OR($A140="",N($C140)&lt;=7),"",$G$6*$G$9^($M140-1)*IF(AND(MOD($M140,Reference!$B$99)=0,$M140&lt;=$G$5-2),Reference!$B$100,1))</f>
        <v/>
      </c>
      <c r="Q140" s="32" t="str">
        <f>IF($P140="","",IF(SUM($AK$134:$AK$140)=0,0,$P140*INDEX(Reference!$B$108:$B$114,$N140+1)/SUM($AK$134:$AK$140)))</f>
        <v/>
      </c>
      <c r="R140" s="32">
        <f t="shared" si="91"/>
        <v>180</v>
      </c>
      <c r="S140" s="32">
        <f t="shared" si="92"/>
        <v>150</v>
      </c>
      <c r="T140" s="32" t="str">
        <f>IF($A140="","",IF($C140=0,"Bullpen",IF(OR($C140=7,$C140=1,$C140=5),"Recovery/Easy Catch",IF($C140=6,"Compression/Pulldowns",IF(OR($C140=4,$C140=2),"Long Toss",IF($C140=3,"No Throw",IF($N140=2,"No Throw",IF($N140=6,IF($O140&lt;Reference!$B$104,"No Throw","Recovery/Easy Catch"),IF(OR($N140=0,$N140=4),"Recovery/Easy Catch",IF($N140=1,IF($R140&gt;75,"Long Toss","Recovery/Easy Catch"),IF($N140=3,IF($O140&lt;0.5,IF($S140&gt;75,"Long Toss","Recovery/Easy Catch"),"Compression/Pulldowns"),IF($S140&gt;75,"Long Toss","Recovery/Easy Catch"))))))))))))</f>
        <v/>
      </c>
      <c r="U140" s="32" t="str">
        <f t="shared" si="93"/>
        <v/>
      </c>
      <c r="V140" s="32" t="str">
        <f t="shared" si="94"/>
        <v/>
      </c>
      <c r="W140" s="32" t="str">
        <f t="shared" si="95"/>
        <v/>
      </c>
      <c r="X140" s="32">
        <f t="shared" si="96"/>
        <v>0</v>
      </c>
      <c r="Y140" s="32" t="str">
        <f t="shared" si="97"/>
        <v/>
      </c>
      <c r="Z140" s="32" t="str">
        <f t="shared" si="98"/>
        <v/>
      </c>
      <c r="AA140" s="32" t="str">
        <f t="shared" si="99"/>
        <v/>
      </c>
      <c r="AB140" s="32" t="str">
        <f>IF($A140="","",IF($T140="No Throw",0,IF($K140&lt;&gt;"",$K140,IF($AA140&lt;&gt;"",ROUND($AA140*$D$12*IF($C140=0,1,$G$10),0),MIN(IF($T140="Recovery/Easy Catch",Reference!$B$103,IF($T140="Long Toss",Reference!$B$106,Reference!$B$102)),MAX(Reference!$B$101,ROUND(MAX(0,$Q140-$AE140)/$AF140,0)))))))</f>
        <v/>
      </c>
      <c r="AC140" s="32">
        <f t="shared" si="100"/>
        <v>0</v>
      </c>
      <c r="AD140" s="32" t="b">
        <f t="shared" si="101"/>
        <v>1</v>
      </c>
      <c r="AE140" s="32">
        <f>IF($X140=0,0,$X140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140+$Z140)/2,0),Reference!$A$17:$B$20,2,TRUE()))</f>
        <v>0</v>
      </c>
      <c r="AF140" s="32">
        <f>IF(OR($A140="",$U140="",$T140="No Throw"),0,$AM140*VLOOKUP(MAX(($V140+$W140)/2,0),Reference!$A$17:$B$20,2,TRUE()))</f>
        <v>0</v>
      </c>
      <c r="AG140" s="32">
        <f>IF($AC140=0,0,$AC140*INDEX(Reference!$B$61:$B$62,MATCH("Bullpen",Reference!$A$61:$A$62,0))*VLOOKUP(MAX($D$5-($D$9+$E$9)/2,0),Reference!$A$17:$B$20,2,TRUE()))</f>
        <v>0</v>
      </c>
      <c r="AH140" s="32" t="e">
        <f t="shared" si="102"/>
        <v>#N/A</v>
      </c>
      <c r="AI140" s="32" t="e">
        <f>IF($A140="",NA(),Reference!$A$25)</f>
        <v>#N/A</v>
      </c>
      <c r="AJ140" s="32" t="e">
        <f t="shared" si="103"/>
        <v>#N/A</v>
      </c>
      <c r="AK140" s="32">
        <f>IF(OR($A140="",N($C140)&lt;=7,$T140="No Throw",$J140="x"),0,INDEX(Reference!$B$108:$B$114,$N140+1))</f>
        <v>0</v>
      </c>
      <c r="AL140" s="32">
        <f t="shared" si="104"/>
        <v>1</v>
      </c>
      <c r="AM140" s="32">
        <f>IF($U140="",0,IF($AL140&gt;1,((IF(1&lt;=$AL140,($AL140-1+3)*(INDEX(Reference!$B$6:$B$11,MIN(5,MATCH(MAX(Reference!$A$6,MIN(Reference!$A$11,MIN($U140,90))),Reference!$A$6:$A$11,1)))+(MAX(Reference!$A$6,MIN(Reference!$A$11,MIN($U140,90)))-INDEX(Reference!$A$6:$A$11,MIN(5,MATCH(MAX(Reference!$A$6,MIN(Reference!$A$11,MIN($U140,90))),Reference!$A$6:$A$11,1))))*(INDEX(Reference!$B$6:$B$11,MIN(5,MATCH(MAX(Reference!$A$6,MIN(Reference!$A$11,MIN($U140,90))),Reference!$A$6:$A$11,1))+1)-INDEX(Reference!$B$6:$B$11,MIN(5,MATCH(MAX(Reference!$A$6,MIN(Reference!$A$11,MIN($U140,90))),Reference!$A$6:$A$11,1))))/(INDEX(Reference!$A$6:$A$11,MIN(5,MATCH(MAX(Reference!$A$6,MIN(Reference!$A$11,MIN($U140,90))),Reference!$A$6:$A$11,1))+1)-INDEX(Reference!$A$6:$A$11,MIN(5,MATCH(MAX(Reference!$A$6,MIN(Reference!$A$11,MIN($U140,90))),Reference!$A$6:$A$11,1))))),0)+IF(2&lt;=$AL140,($AL140-2+3)*(INDEX(Reference!$B$6:$B$11,MIN(5,MATCH(MAX(Reference!$A$6,MIN(Reference!$A$11,MIN($U140,120))),Reference!$A$6:$A$11,1)))+(MAX(Reference!$A$6,MIN(Reference!$A$11,MIN($U140,120)))-INDEX(Reference!$A$6:$A$11,MIN(5,MATCH(MAX(Reference!$A$6,MIN(Reference!$A$11,MIN($U140,120))),Reference!$A$6:$A$11,1))))*(INDEX(Reference!$B$6:$B$11,MIN(5,MATCH(MAX(Reference!$A$6,MIN(Reference!$A$11,MIN($U140,120))),Reference!$A$6:$A$11,1))+1)-INDEX(Reference!$B$6:$B$11,MIN(5,MATCH(MAX(Reference!$A$6,MIN(Reference!$A$11,MIN($U140,120))),Reference!$A$6:$A$11,1))))/(INDEX(Reference!$A$6:$A$11,MIN(5,MATCH(MAX(Reference!$A$6,MIN(Reference!$A$11,MIN($U140,120))),Reference!$A$6:$A$11,1))+1)-INDEX(Reference!$A$6:$A$11,MIN(5,MATCH(MAX(Reference!$A$6,MIN(Reference!$A$11,MIN($U140,120))),Reference!$A$6:$A$11,1))))),0)+IF(3&lt;=$AL140,($AL140-3+3)*(INDEX(Reference!$B$6:$B$11,MIN(5,MATCH(MAX(Reference!$A$6,MIN(Reference!$A$11,MIN($U140,150))),Reference!$A$6:$A$11,1)))+(MAX(Reference!$A$6,MIN(Reference!$A$11,MIN($U140,150)))-INDEX(Reference!$A$6:$A$11,MIN(5,MATCH(MAX(Reference!$A$6,MIN(Reference!$A$11,MIN($U140,150))),Reference!$A$6:$A$11,1))))*(INDEX(Reference!$B$6:$B$11,MIN(5,MATCH(MAX(Reference!$A$6,MIN(Reference!$A$11,MIN($U140,150))),Reference!$A$6:$A$11,1))+1)-INDEX(Reference!$B$6:$B$11,MIN(5,MATCH(MAX(Reference!$A$6,MIN(Reference!$A$11,MIN($U140,150))),Reference!$A$6:$A$11,1))))/(INDEX(Reference!$A$6:$A$11,MIN(5,MATCH(MAX(Reference!$A$6,MIN(Reference!$A$11,MIN($U140,150))),Reference!$A$6:$A$11,1))+1)-INDEX(Reference!$A$6:$A$11,MIN(5,MATCH(MAX(Reference!$A$6,MIN(Reference!$A$11,MIN($U140,150))),Reference!$A$6:$A$11,1))))),0)+IF(4&lt;=$AL140,($AL140-4+3)*(INDEX(Reference!$B$6:$B$11,MIN(5,MATCH(MAX(Reference!$A$6,MIN(Reference!$A$11,MIN($U140,180))),Reference!$A$6:$A$11,1)))+(MAX(Reference!$A$6,MIN(Reference!$A$11,MIN($U140,180)))-INDEX(Reference!$A$6:$A$11,MIN(5,MATCH(MAX(Reference!$A$6,MIN(Reference!$A$11,MIN($U140,180))),Reference!$A$6:$A$11,1))))*(INDEX(Reference!$B$6:$B$11,MIN(5,MATCH(MAX(Reference!$A$6,MIN(Reference!$A$11,MIN($U140,180))),Reference!$A$6:$A$11,1))+1)-INDEX(Reference!$B$6:$B$11,MIN(5,MATCH(MAX(Reference!$A$6,MIN(Reference!$A$11,MIN($U140,180))),Reference!$A$6:$A$11,1))))/(INDEX(Reference!$A$6:$A$11,MIN(5,MATCH(MAX(Reference!$A$6,MIN(Reference!$A$11,MIN($U140,180))),Reference!$A$6:$A$11,1))+1)-INDEX(Reference!$A$6:$A$11,MIN(5,MATCH(MAX(Reference!$A$6,MIN(Reference!$A$11,MIN($U140,180))),Reference!$A$6:$A$11,1))))),0)+IF(5&lt;=$AL140,($AL140-5+3)*(INDEX(Reference!$B$6:$B$11,MIN(5,MATCH(MAX(Reference!$A$6,MIN(Reference!$A$11,MIN($U140,210))),Reference!$A$6:$A$11,1)))+(MAX(Reference!$A$6,MIN(Reference!$A$11,MIN($U140,210)))-INDEX(Reference!$A$6:$A$11,MIN(5,MATCH(MAX(Reference!$A$6,MIN(Reference!$A$11,MIN($U140,210))),Reference!$A$6:$A$11,1))))*(INDEX(Reference!$B$6:$B$11,MIN(5,MATCH(MAX(Reference!$A$6,MIN(Reference!$A$11,MIN($U140,210))),Reference!$A$6:$A$11,1))+1)-INDEX(Reference!$B$6:$B$11,MIN(5,MATCH(MAX(Reference!$A$6,MIN(Reference!$A$11,MIN($U140,210))),Reference!$A$6:$A$11,1))))/(INDEX(Reference!$A$6:$A$11,MIN(5,MATCH(MAX(Reference!$A$6,MIN(Reference!$A$11,MIN($U140,210))),Reference!$A$6:$A$11,1))+1)-INDEX(Reference!$A$6:$A$11,MIN(5,MATCH(MAX(Reference!$A$6,MIN(Reference!$A$11,MIN($U140,210))),Reference!$A$6:$A$11,1))))),0)+IF(6&lt;=$AL140,($AL140-6+3)*(INDEX(Reference!$B$6:$B$11,MIN(5,MATCH(MAX(Reference!$A$6,MIN(Reference!$A$11,MIN($U140,240))),Reference!$A$6:$A$11,1)))+(MAX(Reference!$A$6,MIN(Reference!$A$11,MIN($U140,240)))-INDEX(Reference!$A$6:$A$11,MIN(5,MATCH(MAX(Reference!$A$6,MIN(Reference!$A$11,MIN($U140,240))),Reference!$A$6:$A$11,1))))*(INDEX(Reference!$B$6:$B$11,MIN(5,MATCH(MAX(Reference!$A$6,MIN(Reference!$A$11,MIN($U140,240))),Reference!$A$6:$A$11,1))+1)-INDEX(Reference!$B$6:$B$11,MIN(5,MATCH(MAX(Reference!$A$6,MIN(Reference!$A$11,MIN($U140,240))),Reference!$A$6:$A$11,1))))/(INDEX(Reference!$A$6:$A$11,MIN(5,MATCH(MAX(Reference!$A$6,MIN(Reference!$A$11,MIN($U140,240))),Reference!$A$6:$A$11,1))+1)-INDEX(Reference!$A$6:$A$11,MIN(5,MATCH(MAX(Reference!$A$6,MIN(Reference!$A$11,MIN($U140,240))),Reference!$A$6:$A$11,1))))),0)+IF(7&lt;=$AL140,($AL140-7+3)*(INDEX(Reference!$B$6:$B$11,MIN(5,MATCH(MAX(Reference!$A$6,MIN(Reference!$A$11,MIN($U140,270))),Reference!$A$6:$A$11,1)))+(MAX(Reference!$A$6,MIN(Reference!$A$11,MIN($U140,270)))-INDEX(Reference!$A$6:$A$11,MIN(5,MATCH(MAX(Reference!$A$6,MIN(Reference!$A$11,MIN($U140,270))),Reference!$A$6:$A$11,1))))*(INDEX(Reference!$B$6:$B$11,MIN(5,MATCH(MAX(Reference!$A$6,MIN(Reference!$A$11,MIN($U140,270))),Reference!$A$6:$A$11,1))+1)-INDEX(Reference!$B$6:$B$11,MIN(5,MATCH(MAX(Reference!$A$6,MIN(Reference!$A$11,MIN($U140,270))),Reference!$A$6:$A$11,1))))/(INDEX(Reference!$A$6:$A$11,MIN(5,MATCH(MAX(Reference!$A$6,MIN(Reference!$A$11,MIN($U140,270))),Reference!$A$6:$A$11,1))+1)-INDEX(Reference!$A$6:$A$11,MIN(5,MATCH(MAX(Reference!$A$6,MIN(Reference!$A$11,MIN($U140,270))),Reference!$A$6:$A$11,1))))),0)+IF(8&lt;=$AL140,($AL140-8+3)*(INDEX(Reference!$B$6:$B$11,MIN(5,MATCH(MAX(Reference!$A$6,MIN(Reference!$A$11,MIN($U140,300))),Reference!$A$6:$A$11,1)))+(MAX(Reference!$A$6,MIN(Reference!$A$11,MIN($U140,300)))-INDEX(Reference!$A$6:$A$11,MIN(5,MATCH(MAX(Reference!$A$6,MIN(Reference!$A$11,MIN($U140,300))),Reference!$A$6:$A$11,1))))*(INDEX(Reference!$B$6:$B$11,MIN(5,MATCH(MAX(Reference!$A$6,MIN(Reference!$A$11,MIN($U140,300))),Reference!$A$6:$A$11,1))+1)-INDEX(Reference!$B$6:$B$11,MIN(5,MATCH(MAX(Reference!$A$6,MIN(Reference!$A$11,MIN($U140,300))),Reference!$A$6:$A$11,1))))/(INDEX(Reference!$A$6:$A$11,MIN(5,MATCH(MAX(Reference!$A$6,MIN(Reference!$A$11,MIN($U140,300))),Reference!$A$6:$A$11,1))+1)-INDEX(Reference!$A$6:$A$11,MIN(5,MATCH(MAX(Reference!$A$6,MIN(Reference!$A$11,MIN($U140,300))),Reference!$A$6:$A$11,1))))),0))/($AL140*($AL140+5)/2)),$AN140))</f>
        <v>0</v>
      </c>
      <c r="AN140" s="32">
        <f>IF($U140="",0,(INDEX(Reference!$B$6:$B$11,MIN(5,MATCH(MAX(Reference!$A$6,MIN(Reference!$A$11,$U140)),Reference!$A$6:$A$11,1)))+(MAX(Reference!$A$6,MIN(Reference!$A$11,$U140))-INDEX(Reference!$A$6:$A$11,MIN(5,MATCH(MAX(Reference!$A$6,MIN(Reference!$A$11,$U140)),Reference!$A$6:$A$11,1))))*(INDEX(Reference!$B$6:$B$11,MIN(5,MATCH(MAX(Reference!$A$6,MIN(Reference!$A$11,$U140)),Reference!$A$6:$A$11,1))+1)-INDEX(Reference!$B$6:$B$11,MIN(5,MATCH(MAX(Reference!$A$6,MIN(Reference!$A$11,$U140)),Reference!$A$6:$A$11,1))))/(INDEX(Reference!$A$6:$A$11,MIN(5,MATCH(MAX(Reference!$A$6,MIN(Reference!$A$11,$U140)),Reference!$A$6:$A$11,1))+1)-INDEX(Reference!$A$6:$A$11,MIN(5,MATCH(MAX(Reference!$A$6,MIN(Reference!$A$11,$U140)),Reference!$A$6:$A$11,1))))))</f>
        <v>0</v>
      </c>
      <c r="AO140" s="37"/>
      <c r="AP140" s="37"/>
      <c r="AQ140" s="37"/>
    </row>
    <row r="141" spans="1:43" x14ac:dyDescent="0.3">
      <c r="A141" s="48" t="str">
        <f t="shared" si="80"/>
        <v/>
      </c>
      <c r="B141" s="32" t="str">
        <f t="shared" si="81"/>
        <v/>
      </c>
      <c r="C141" s="32" t="str">
        <f t="shared" si="82"/>
        <v/>
      </c>
      <c r="D141" s="32" t="str">
        <f t="shared" si="83"/>
        <v/>
      </c>
      <c r="E141" s="32" t="str">
        <f t="shared" si="84"/>
        <v/>
      </c>
      <c r="F141" s="32" t="str">
        <f t="shared" si="85"/>
        <v/>
      </c>
      <c r="G141" s="47" t="str">
        <f t="shared" si="86"/>
        <v/>
      </c>
      <c r="H141" s="30" t="str">
        <f t="shared" si="87"/>
        <v/>
      </c>
      <c r="I141" s="46" t="str">
        <f>IF($A141="","",IF(AND($L141&lt;27,$K$12=0),"Building",IFERROR(((SUM($H$135:$H141)+$K$12*IF($L141&lt;6,SUMIFS('Throw Log'!$Q$5:$Q$300,'Throw Log'!$B$5:$B$300,$D$4,'Throw Log'!$A$5:$A$300,"&gt;="&amp;($D$6+$L141-6),'Throw Log'!$A$5:$A$300,"&lt;="&amp;($D$6-1)),0))/7)/((SUM($H$114:$H141)+$K$12*IF($L141&lt;27,SUMIFS('Throw Log'!$Q$5:$Q$300,'Throw Log'!$B$5:$B$300,$D$4,'Throw Log'!$A$5:$A$300,"&gt;="&amp;($D$6+$L141-27),'Throw Log'!$A$5:$A$300,"&lt;="&amp;($D$6-1)),0))/28),"")))</f>
        <v/>
      </c>
      <c r="J141" s="37"/>
      <c r="K141" s="37"/>
      <c r="L141" s="32">
        <v>98</v>
      </c>
      <c r="M141" s="32">
        <f t="shared" si="88"/>
        <v>15</v>
      </c>
      <c r="N141" s="32">
        <f t="shared" si="89"/>
        <v>0</v>
      </c>
      <c r="O141" s="32">
        <f t="shared" si="90"/>
        <v>1</v>
      </c>
      <c r="P141" s="32" t="str">
        <f>IF(OR($A141="",N($C141)&lt;=7),"",$G$6*$G$9^($M141-1)*IF(AND(MOD($M141,Reference!$B$99)=0,$M141&lt;=$G$5-2),Reference!$B$100,1))</f>
        <v/>
      </c>
      <c r="Q141" s="32" t="str">
        <f>IF($P141="","",IF(SUM($AK$141:$AK$147)=0,0,$P141*INDEX(Reference!$B$108:$B$114,$N141+1)/SUM($AK$141:$AK$147)))</f>
        <v/>
      </c>
      <c r="R141" s="32">
        <f t="shared" si="91"/>
        <v>180</v>
      </c>
      <c r="S141" s="32">
        <f t="shared" si="92"/>
        <v>150</v>
      </c>
      <c r="T141" s="32" t="str">
        <f>IF($A141="","",IF($C141=0,"Bullpen",IF(OR($C141=7,$C141=1,$C141=5),"Recovery/Easy Catch",IF($C141=6,"Compression/Pulldowns",IF(OR($C141=4,$C141=2),"Long Toss",IF($C141=3,"No Throw",IF($N141=2,"No Throw",IF($N141=6,IF($O141&lt;Reference!$B$104,"No Throw","Recovery/Easy Catch"),IF(OR($N141=0,$N141=4),"Recovery/Easy Catch",IF($N141=1,IF($R141&gt;75,"Long Toss","Recovery/Easy Catch"),IF($N141=3,IF($O141&lt;0.5,IF($S141&gt;75,"Long Toss","Recovery/Easy Catch"),"Compression/Pulldowns"),IF($S141&gt;75,"Long Toss","Recovery/Easy Catch"))))))))))))</f>
        <v/>
      </c>
      <c r="U141" s="32" t="str">
        <f t="shared" si="93"/>
        <v/>
      </c>
      <c r="V141" s="32" t="str">
        <f t="shared" si="94"/>
        <v/>
      </c>
      <c r="W141" s="32" t="str">
        <f t="shared" si="95"/>
        <v/>
      </c>
      <c r="X141" s="32">
        <f t="shared" si="96"/>
        <v>0</v>
      </c>
      <c r="Y141" s="32" t="str">
        <f t="shared" si="97"/>
        <v/>
      </c>
      <c r="Z141" s="32" t="str">
        <f t="shared" si="98"/>
        <v/>
      </c>
      <c r="AA141" s="32" t="str">
        <f t="shared" si="99"/>
        <v/>
      </c>
      <c r="AB141" s="32" t="str">
        <f>IF($A141="","",IF($T141="No Throw",0,IF($K141&lt;&gt;"",$K141,IF($AA141&lt;&gt;"",ROUND($AA141*$D$12*IF($C141=0,1,$G$10),0),MIN(IF($T141="Recovery/Easy Catch",Reference!$B$103,IF($T141="Long Toss",Reference!$B$106,Reference!$B$102)),MAX(Reference!$B$101,ROUND(MAX(0,$Q141-$AE141)/$AF141,0)))))))</f>
        <v/>
      </c>
      <c r="AC141" s="32">
        <f t="shared" si="100"/>
        <v>0</v>
      </c>
      <c r="AD141" s="32" t="b">
        <f t="shared" si="101"/>
        <v>1</v>
      </c>
      <c r="AE141" s="32">
        <f>IF($X141=0,0,$X141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141+$Z141)/2,0),Reference!$A$17:$B$20,2,TRUE()))</f>
        <v>0</v>
      </c>
      <c r="AF141" s="32">
        <f>IF(OR($A141="",$U141="",$T141="No Throw"),0,$AM141*VLOOKUP(MAX(($V141+$W141)/2,0),Reference!$A$17:$B$20,2,TRUE()))</f>
        <v>0</v>
      </c>
      <c r="AG141" s="32">
        <f>IF($AC141=0,0,$AC141*INDEX(Reference!$B$61:$B$62,MATCH("Bullpen",Reference!$A$61:$A$62,0))*VLOOKUP(MAX($D$5-($D$9+$E$9)/2,0),Reference!$A$17:$B$20,2,TRUE()))</f>
        <v>0</v>
      </c>
      <c r="AH141" s="32" t="e">
        <f t="shared" si="102"/>
        <v>#N/A</v>
      </c>
      <c r="AI141" s="32" t="e">
        <f>IF($A141="",NA(),Reference!$A$25)</f>
        <v>#N/A</v>
      </c>
      <c r="AJ141" s="32" t="e">
        <f t="shared" si="103"/>
        <v>#N/A</v>
      </c>
      <c r="AK141" s="32">
        <f>IF(OR($A141="",N($C141)&lt;=7,$T141="No Throw",$J141="x"),0,INDEX(Reference!$B$108:$B$114,$N141+1))</f>
        <v>0</v>
      </c>
      <c r="AL141" s="32">
        <f t="shared" si="104"/>
        <v>1</v>
      </c>
      <c r="AM141" s="32">
        <f>IF($U141="",0,IF($AL141&gt;1,((IF(1&lt;=$AL141,($AL141-1+3)*(INDEX(Reference!$B$6:$B$11,MIN(5,MATCH(MAX(Reference!$A$6,MIN(Reference!$A$11,MIN($U141,90))),Reference!$A$6:$A$11,1)))+(MAX(Reference!$A$6,MIN(Reference!$A$11,MIN($U141,90)))-INDEX(Reference!$A$6:$A$11,MIN(5,MATCH(MAX(Reference!$A$6,MIN(Reference!$A$11,MIN($U141,90))),Reference!$A$6:$A$11,1))))*(INDEX(Reference!$B$6:$B$11,MIN(5,MATCH(MAX(Reference!$A$6,MIN(Reference!$A$11,MIN($U141,90))),Reference!$A$6:$A$11,1))+1)-INDEX(Reference!$B$6:$B$11,MIN(5,MATCH(MAX(Reference!$A$6,MIN(Reference!$A$11,MIN($U141,90))),Reference!$A$6:$A$11,1))))/(INDEX(Reference!$A$6:$A$11,MIN(5,MATCH(MAX(Reference!$A$6,MIN(Reference!$A$11,MIN($U141,90))),Reference!$A$6:$A$11,1))+1)-INDEX(Reference!$A$6:$A$11,MIN(5,MATCH(MAX(Reference!$A$6,MIN(Reference!$A$11,MIN($U141,90))),Reference!$A$6:$A$11,1))))),0)+IF(2&lt;=$AL141,($AL141-2+3)*(INDEX(Reference!$B$6:$B$11,MIN(5,MATCH(MAX(Reference!$A$6,MIN(Reference!$A$11,MIN($U141,120))),Reference!$A$6:$A$11,1)))+(MAX(Reference!$A$6,MIN(Reference!$A$11,MIN($U141,120)))-INDEX(Reference!$A$6:$A$11,MIN(5,MATCH(MAX(Reference!$A$6,MIN(Reference!$A$11,MIN($U141,120))),Reference!$A$6:$A$11,1))))*(INDEX(Reference!$B$6:$B$11,MIN(5,MATCH(MAX(Reference!$A$6,MIN(Reference!$A$11,MIN($U141,120))),Reference!$A$6:$A$11,1))+1)-INDEX(Reference!$B$6:$B$11,MIN(5,MATCH(MAX(Reference!$A$6,MIN(Reference!$A$11,MIN($U141,120))),Reference!$A$6:$A$11,1))))/(INDEX(Reference!$A$6:$A$11,MIN(5,MATCH(MAX(Reference!$A$6,MIN(Reference!$A$11,MIN($U141,120))),Reference!$A$6:$A$11,1))+1)-INDEX(Reference!$A$6:$A$11,MIN(5,MATCH(MAX(Reference!$A$6,MIN(Reference!$A$11,MIN($U141,120))),Reference!$A$6:$A$11,1))))),0)+IF(3&lt;=$AL141,($AL141-3+3)*(INDEX(Reference!$B$6:$B$11,MIN(5,MATCH(MAX(Reference!$A$6,MIN(Reference!$A$11,MIN($U141,150))),Reference!$A$6:$A$11,1)))+(MAX(Reference!$A$6,MIN(Reference!$A$11,MIN($U141,150)))-INDEX(Reference!$A$6:$A$11,MIN(5,MATCH(MAX(Reference!$A$6,MIN(Reference!$A$11,MIN($U141,150))),Reference!$A$6:$A$11,1))))*(INDEX(Reference!$B$6:$B$11,MIN(5,MATCH(MAX(Reference!$A$6,MIN(Reference!$A$11,MIN($U141,150))),Reference!$A$6:$A$11,1))+1)-INDEX(Reference!$B$6:$B$11,MIN(5,MATCH(MAX(Reference!$A$6,MIN(Reference!$A$11,MIN($U141,150))),Reference!$A$6:$A$11,1))))/(INDEX(Reference!$A$6:$A$11,MIN(5,MATCH(MAX(Reference!$A$6,MIN(Reference!$A$11,MIN($U141,150))),Reference!$A$6:$A$11,1))+1)-INDEX(Reference!$A$6:$A$11,MIN(5,MATCH(MAX(Reference!$A$6,MIN(Reference!$A$11,MIN($U141,150))),Reference!$A$6:$A$11,1))))),0)+IF(4&lt;=$AL141,($AL141-4+3)*(INDEX(Reference!$B$6:$B$11,MIN(5,MATCH(MAX(Reference!$A$6,MIN(Reference!$A$11,MIN($U141,180))),Reference!$A$6:$A$11,1)))+(MAX(Reference!$A$6,MIN(Reference!$A$11,MIN($U141,180)))-INDEX(Reference!$A$6:$A$11,MIN(5,MATCH(MAX(Reference!$A$6,MIN(Reference!$A$11,MIN($U141,180))),Reference!$A$6:$A$11,1))))*(INDEX(Reference!$B$6:$B$11,MIN(5,MATCH(MAX(Reference!$A$6,MIN(Reference!$A$11,MIN($U141,180))),Reference!$A$6:$A$11,1))+1)-INDEX(Reference!$B$6:$B$11,MIN(5,MATCH(MAX(Reference!$A$6,MIN(Reference!$A$11,MIN($U141,180))),Reference!$A$6:$A$11,1))))/(INDEX(Reference!$A$6:$A$11,MIN(5,MATCH(MAX(Reference!$A$6,MIN(Reference!$A$11,MIN($U141,180))),Reference!$A$6:$A$11,1))+1)-INDEX(Reference!$A$6:$A$11,MIN(5,MATCH(MAX(Reference!$A$6,MIN(Reference!$A$11,MIN($U141,180))),Reference!$A$6:$A$11,1))))),0)+IF(5&lt;=$AL141,($AL141-5+3)*(INDEX(Reference!$B$6:$B$11,MIN(5,MATCH(MAX(Reference!$A$6,MIN(Reference!$A$11,MIN($U141,210))),Reference!$A$6:$A$11,1)))+(MAX(Reference!$A$6,MIN(Reference!$A$11,MIN($U141,210)))-INDEX(Reference!$A$6:$A$11,MIN(5,MATCH(MAX(Reference!$A$6,MIN(Reference!$A$11,MIN($U141,210))),Reference!$A$6:$A$11,1))))*(INDEX(Reference!$B$6:$B$11,MIN(5,MATCH(MAX(Reference!$A$6,MIN(Reference!$A$11,MIN($U141,210))),Reference!$A$6:$A$11,1))+1)-INDEX(Reference!$B$6:$B$11,MIN(5,MATCH(MAX(Reference!$A$6,MIN(Reference!$A$11,MIN($U141,210))),Reference!$A$6:$A$11,1))))/(INDEX(Reference!$A$6:$A$11,MIN(5,MATCH(MAX(Reference!$A$6,MIN(Reference!$A$11,MIN($U141,210))),Reference!$A$6:$A$11,1))+1)-INDEX(Reference!$A$6:$A$11,MIN(5,MATCH(MAX(Reference!$A$6,MIN(Reference!$A$11,MIN($U141,210))),Reference!$A$6:$A$11,1))))),0)+IF(6&lt;=$AL141,($AL141-6+3)*(INDEX(Reference!$B$6:$B$11,MIN(5,MATCH(MAX(Reference!$A$6,MIN(Reference!$A$11,MIN($U141,240))),Reference!$A$6:$A$11,1)))+(MAX(Reference!$A$6,MIN(Reference!$A$11,MIN($U141,240)))-INDEX(Reference!$A$6:$A$11,MIN(5,MATCH(MAX(Reference!$A$6,MIN(Reference!$A$11,MIN($U141,240))),Reference!$A$6:$A$11,1))))*(INDEX(Reference!$B$6:$B$11,MIN(5,MATCH(MAX(Reference!$A$6,MIN(Reference!$A$11,MIN($U141,240))),Reference!$A$6:$A$11,1))+1)-INDEX(Reference!$B$6:$B$11,MIN(5,MATCH(MAX(Reference!$A$6,MIN(Reference!$A$11,MIN($U141,240))),Reference!$A$6:$A$11,1))))/(INDEX(Reference!$A$6:$A$11,MIN(5,MATCH(MAX(Reference!$A$6,MIN(Reference!$A$11,MIN($U141,240))),Reference!$A$6:$A$11,1))+1)-INDEX(Reference!$A$6:$A$11,MIN(5,MATCH(MAX(Reference!$A$6,MIN(Reference!$A$11,MIN($U141,240))),Reference!$A$6:$A$11,1))))),0)+IF(7&lt;=$AL141,($AL141-7+3)*(INDEX(Reference!$B$6:$B$11,MIN(5,MATCH(MAX(Reference!$A$6,MIN(Reference!$A$11,MIN($U141,270))),Reference!$A$6:$A$11,1)))+(MAX(Reference!$A$6,MIN(Reference!$A$11,MIN($U141,270)))-INDEX(Reference!$A$6:$A$11,MIN(5,MATCH(MAX(Reference!$A$6,MIN(Reference!$A$11,MIN($U141,270))),Reference!$A$6:$A$11,1))))*(INDEX(Reference!$B$6:$B$11,MIN(5,MATCH(MAX(Reference!$A$6,MIN(Reference!$A$11,MIN($U141,270))),Reference!$A$6:$A$11,1))+1)-INDEX(Reference!$B$6:$B$11,MIN(5,MATCH(MAX(Reference!$A$6,MIN(Reference!$A$11,MIN($U141,270))),Reference!$A$6:$A$11,1))))/(INDEX(Reference!$A$6:$A$11,MIN(5,MATCH(MAX(Reference!$A$6,MIN(Reference!$A$11,MIN($U141,270))),Reference!$A$6:$A$11,1))+1)-INDEX(Reference!$A$6:$A$11,MIN(5,MATCH(MAX(Reference!$A$6,MIN(Reference!$A$11,MIN($U141,270))),Reference!$A$6:$A$11,1))))),0)+IF(8&lt;=$AL141,($AL141-8+3)*(INDEX(Reference!$B$6:$B$11,MIN(5,MATCH(MAX(Reference!$A$6,MIN(Reference!$A$11,MIN($U141,300))),Reference!$A$6:$A$11,1)))+(MAX(Reference!$A$6,MIN(Reference!$A$11,MIN($U141,300)))-INDEX(Reference!$A$6:$A$11,MIN(5,MATCH(MAX(Reference!$A$6,MIN(Reference!$A$11,MIN($U141,300))),Reference!$A$6:$A$11,1))))*(INDEX(Reference!$B$6:$B$11,MIN(5,MATCH(MAX(Reference!$A$6,MIN(Reference!$A$11,MIN($U141,300))),Reference!$A$6:$A$11,1))+1)-INDEX(Reference!$B$6:$B$11,MIN(5,MATCH(MAX(Reference!$A$6,MIN(Reference!$A$11,MIN($U141,300))),Reference!$A$6:$A$11,1))))/(INDEX(Reference!$A$6:$A$11,MIN(5,MATCH(MAX(Reference!$A$6,MIN(Reference!$A$11,MIN($U141,300))),Reference!$A$6:$A$11,1))+1)-INDEX(Reference!$A$6:$A$11,MIN(5,MATCH(MAX(Reference!$A$6,MIN(Reference!$A$11,MIN($U141,300))),Reference!$A$6:$A$11,1))))),0))/($AL141*($AL141+5)/2)),$AN141))</f>
        <v>0</v>
      </c>
      <c r="AN141" s="32">
        <f>IF($U141="",0,(INDEX(Reference!$B$6:$B$11,MIN(5,MATCH(MAX(Reference!$A$6,MIN(Reference!$A$11,$U141)),Reference!$A$6:$A$11,1)))+(MAX(Reference!$A$6,MIN(Reference!$A$11,$U141))-INDEX(Reference!$A$6:$A$11,MIN(5,MATCH(MAX(Reference!$A$6,MIN(Reference!$A$11,$U141)),Reference!$A$6:$A$11,1))))*(INDEX(Reference!$B$6:$B$11,MIN(5,MATCH(MAX(Reference!$A$6,MIN(Reference!$A$11,$U141)),Reference!$A$6:$A$11,1))+1)-INDEX(Reference!$B$6:$B$11,MIN(5,MATCH(MAX(Reference!$A$6,MIN(Reference!$A$11,$U141)),Reference!$A$6:$A$11,1))))/(INDEX(Reference!$A$6:$A$11,MIN(5,MATCH(MAX(Reference!$A$6,MIN(Reference!$A$11,$U141)),Reference!$A$6:$A$11,1))+1)-INDEX(Reference!$A$6:$A$11,MIN(5,MATCH(MAX(Reference!$A$6,MIN(Reference!$A$11,$U141)),Reference!$A$6:$A$11,1))))))</f>
        <v>0</v>
      </c>
      <c r="AO141" s="37"/>
      <c r="AP141" s="37"/>
      <c r="AQ141" s="37"/>
    </row>
    <row r="142" spans="1:43" x14ac:dyDescent="0.3">
      <c r="A142" s="48" t="str">
        <f t="shared" si="80"/>
        <v/>
      </c>
      <c r="B142" s="32" t="str">
        <f t="shared" si="81"/>
        <v/>
      </c>
      <c r="C142" s="32" t="str">
        <f t="shared" si="82"/>
        <v/>
      </c>
      <c r="D142" s="32" t="str">
        <f t="shared" si="83"/>
        <v/>
      </c>
      <c r="E142" s="32" t="str">
        <f t="shared" si="84"/>
        <v/>
      </c>
      <c r="F142" s="32" t="str">
        <f t="shared" si="85"/>
        <v/>
      </c>
      <c r="G142" s="47" t="str">
        <f t="shared" si="86"/>
        <v/>
      </c>
      <c r="H142" s="30" t="str">
        <f t="shared" si="87"/>
        <v/>
      </c>
      <c r="I142" s="46" t="str">
        <f>IF($A142="","",IF(AND($L142&lt;27,$K$12=0),"Building",IFERROR(((SUM($H$136:$H142)+$K$12*IF($L142&lt;6,SUMIFS('Throw Log'!$Q$5:$Q$300,'Throw Log'!$B$5:$B$300,$D$4,'Throw Log'!$A$5:$A$300,"&gt;="&amp;($D$6+$L142-6),'Throw Log'!$A$5:$A$300,"&lt;="&amp;($D$6-1)),0))/7)/((SUM($H$115:$H142)+$K$12*IF($L142&lt;27,SUMIFS('Throw Log'!$Q$5:$Q$300,'Throw Log'!$B$5:$B$300,$D$4,'Throw Log'!$A$5:$A$300,"&gt;="&amp;($D$6+$L142-27),'Throw Log'!$A$5:$A$300,"&lt;="&amp;($D$6-1)),0))/28),"")))</f>
        <v/>
      </c>
      <c r="J142" s="37"/>
      <c r="K142" s="37"/>
      <c r="L142" s="32">
        <v>99</v>
      </c>
      <c r="M142" s="32">
        <f t="shared" si="88"/>
        <v>15</v>
      </c>
      <c r="N142" s="32">
        <f t="shared" si="89"/>
        <v>1</v>
      </c>
      <c r="O142" s="32">
        <f t="shared" si="90"/>
        <v>1</v>
      </c>
      <c r="P142" s="32" t="str">
        <f>IF(OR($A142="",N($C142)&lt;=7),"",$G$6*$G$9^($M142-1)*IF(AND(MOD($M142,Reference!$B$99)=0,$M142&lt;=$G$5-2),Reference!$B$100,1))</f>
        <v/>
      </c>
      <c r="Q142" s="32" t="str">
        <f>IF($P142="","",IF(SUM($AK$141:$AK$147)=0,0,$P142*INDEX(Reference!$B$108:$B$114,$N142+1)/SUM($AK$141:$AK$147)))</f>
        <v/>
      </c>
      <c r="R142" s="32">
        <f t="shared" si="91"/>
        <v>180</v>
      </c>
      <c r="S142" s="32">
        <f t="shared" si="92"/>
        <v>150</v>
      </c>
      <c r="T142" s="32" t="str">
        <f>IF($A142="","",IF($C142=0,"Bullpen",IF(OR($C142=7,$C142=1,$C142=5),"Recovery/Easy Catch",IF($C142=6,"Compression/Pulldowns",IF(OR($C142=4,$C142=2),"Long Toss",IF($C142=3,"No Throw",IF($N142=2,"No Throw",IF($N142=6,IF($O142&lt;Reference!$B$104,"No Throw","Recovery/Easy Catch"),IF(OR($N142=0,$N142=4),"Recovery/Easy Catch",IF($N142=1,IF($R142&gt;75,"Long Toss","Recovery/Easy Catch"),IF($N142=3,IF($O142&lt;0.5,IF($S142&gt;75,"Long Toss","Recovery/Easy Catch"),"Compression/Pulldowns"),IF($S142&gt;75,"Long Toss","Recovery/Easy Catch"))))))))))))</f>
        <v/>
      </c>
      <c r="U142" s="32" t="str">
        <f t="shared" si="93"/>
        <v/>
      </c>
      <c r="V142" s="32" t="str">
        <f t="shared" si="94"/>
        <v/>
      </c>
      <c r="W142" s="32" t="str">
        <f t="shared" si="95"/>
        <v/>
      </c>
      <c r="X142" s="32">
        <f t="shared" si="96"/>
        <v>0</v>
      </c>
      <c r="Y142" s="32" t="str">
        <f t="shared" si="97"/>
        <v/>
      </c>
      <c r="Z142" s="32" t="str">
        <f t="shared" si="98"/>
        <v/>
      </c>
      <c r="AA142" s="32" t="str">
        <f t="shared" si="99"/>
        <v/>
      </c>
      <c r="AB142" s="32" t="str">
        <f>IF($A142="","",IF($T142="No Throw",0,IF($K142&lt;&gt;"",$K142,IF($AA142&lt;&gt;"",ROUND($AA142*$D$12*IF($C142=0,1,$G$10),0),MIN(IF($T142="Recovery/Easy Catch",Reference!$B$103,IF($T142="Long Toss",Reference!$B$106,Reference!$B$102)),MAX(Reference!$B$101,ROUND(MAX(0,$Q142-$AE142)/$AF142,0)))))))</f>
        <v/>
      </c>
      <c r="AC142" s="32">
        <f t="shared" si="100"/>
        <v>0</v>
      </c>
      <c r="AD142" s="32" t="b">
        <f t="shared" si="101"/>
        <v>1</v>
      </c>
      <c r="AE142" s="32">
        <f>IF($X142=0,0,$X142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142+$Z142)/2,0),Reference!$A$17:$B$20,2,TRUE()))</f>
        <v>0</v>
      </c>
      <c r="AF142" s="32">
        <f>IF(OR($A142="",$U142="",$T142="No Throw"),0,$AM142*VLOOKUP(MAX(($V142+$W142)/2,0),Reference!$A$17:$B$20,2,TRUE()))</f>
        <v>0</v>
      </c>
      <c r="AG142" s="32">
        <f>IF($AC142=0,0,$AC142*INDEX(Reference!$B$61:$B$62,MATCH("Bullpen",Reference!$A$61:$A$62,0))*VLOOKUP(MAX($D$5-($D$9+$E$9)/2,0),Reference!$A$17:$B$20,2,TRUE()))</f>
        <v>0</v>
      </c>
      <c r="AH142" s="32" t="e">
        <f t="shared" si="102"/>
        <v>#N/A</v>
      </c>
      <c r="AI142" s="32" t="e">
        <f>IF($A142="",NA(),Reference!$A$25)</f>
        <v>#N/A</v>
      </c>
      <c r="AJ142" s="32" t="e">
        <f t="shared" si="103"/>
        <v>#N/A</v>
      </c>
      <c r="AK142" s="32">
        <f>IF(OR($A142="",N($C142)&lt;=7,$T142="No Throw",$J142="x"),0,INDEX(Reference!$B$108:$B$114,$N142+1))</f>
        <v>0</v>
      </c>
      <c r="AL142" s="32">
        <f t="shared" si="104"/>
        <v>1</v>
      </c>
      <c r="AM142" s="32">
        <f>IF($U142="",0,IF($AL142&gt;1,((IF(1&lt;=$AL142,($AL142-1+3)*(INDEX(Reference!$B$6:$B$11,MIN(5,MATCH(MAX(Reference!$A$6,MIN(Reference!$A$11,MIN($U142,90))),Reference!$A$6:$A$11,1)))+(MAX(Reference!$A$6,MIN(Reference!$A$11,MIN($U142,90)))-INDEX(Reference!$A$6:$A$11,MIN(5,MATCH(MAX(Reference!$A$6,MIN(Reference!$A$11,MIN($U142,90))),Reference!$A$6:$A$11,1))))*(INDEX(Reference!$B$6:$B$11,MIN(5,MATCH(MAX(Reference!$A$6,MIN(Reference!$A$11,MIN($U142,90))),Reference!$A$6:$A$11,1))+1)-INDEX(Reference!$B$6:$B$11,MIN(5,MATCH(MAX(Reference!$A$6,MIN(Reference!$A$11,MIN($U142,90))),Reference!$A$6:$A$11,1))))/(INDEX(Reference!$A$6:$A$11,MIN(5,MATCH(MAX(Reference!$A$6,MIN(Reference!$A$11,MIN($U142,90))),Reference!$A$6:$A$11,1))+1)-INDEX(Reference!$A$6:$A$11,MIN(5,MATCH(MAX(Reference!$A$6,MIN(Reference!$A$11,MIN($U142,90))),Reference!$A$6:$A$11,1))))),0)+IF(2&lt;=$AL142,($AL142-2+3)*(INDEX(Reference!$B$6:$B$11,MIN(5,MATCH(MAX(Reference!$A$6,MIN(Reference!$A$11,MIN($U142,120))),Reference!$A$6:$A$11,1)))+(MAX(Reference!$A$6,MIN(Reference!$A$11,MIN($U142,120)))-INDEX(Reference!$A$6:$A$11,MIN(5,MATCH(MAX(Reference!$A$6,MIN(Reference!$A$11,MIN($U142,120))),Reference!$A$6:$A$11,1))))*(INDEX(Reference!$B$6:$B$11,MIN(5,MATCH(MAX(Reference!$A$6,MIN(Reference!$A$11,MIN($U142,120))),Reference!$A$6:$A$11,1))+1)-INDEX(Reference!$B$6:$B$11,MIN(5,MATCH(MAX(Reference!$A$6,MIN(Reference!$A$11,MIN($U142,120))),Reference!$A$6:$A$11,1))))/(INDEX(Reference!$A$6:$A$11,MIN(5,MATCH(MAX(Reference!$A$6,MIN(Reference!$A$11,MIN($U142,120))),Reference!$A$6:$A$11,1))+1)-INDEX(Reference!$A$6:$A$11,MIN(5,MATCH(MAX(Reference!$A$6,MIN(Reference!$A$11,MIN($U142,120))),Reference!$A$6:$A$11,1))))),0)+IF(3&lt;=$AL142,($AL142-3+3)*(INDEX(Reference!$B$6:$B$11,MIN(5,MATCH(MAX(Reference!$A$6,MIN(Reference!$A$11,MIN($U142,150))),Reference!$A$6:$A$11,1)))+(MAX(Reference!$A$6,MIN(Reference!$A$11,MIN($U142,150)))-INDEX(Reference!$A$6:$A$11,MIN(5,MATCH(MAX(Reference!$A$6,MIN(Reference!$A$11,MIN($U142,150))),Reference!$A$6:$A$11,1))))*(INDEX(Reference!$B$6:$B$11,MIN(5,MATCH(MAX(Reference!$A$6,MIN(Reference!$A$11,MIN($U142,150))),Reference!$A$6:$A$11,1))+1)-INDEX(Reference!$B$6:$B$11,MIN(5,MATCH(MAX(Reference!$A$6,MIN(Reference!$A$11,MIN($U142,150))),Reference!$A$6:$A$11,1))))/(INDEX(Reference!$A$6:$A$11,MIN(5,MATCH(MAX(Reference!$A$6,MIN(Reference!$A$11,MIN($U142,150))),Reference!$A$6:$A$11,1))+1)-INDEX(Reference!$A$6:$A$11,MIN(5,MATCH(MAX(Reference!$A$6,MIN(Reference!$A$11,MIN($U142,150))),Reference!$A$6:$A$11,1))))),0)+IF(4&lt;=$AL142,($AL142-4+3)*(INDEX(Reference!$B$6:$B$11,MIN(5,MATCH(MAX(Reference!$A$6,MIN(Reference!$A$11,MIN($U142,180))),Reference!$A$6:$A$11,1)))+(MAX(Reference!$A$6,MIN(Reference!$A$11,MIN($U142,180)))-INDEX(Reference!$A$6:$A$11,MIN(5,MATCH(MAX(Reference!$A$6,MIN(Reference!$A$11,MIN($U142,180))),Reference!$A$6:$A$11,1))))*(INDEX(Reference!$B$6:$B$11,MIN(5,MATCH(MAX(Reference!$A$6,MIN(Reference!$A$11,MIN($U142,180))),Reference!$A$6:$A$11,1))+1)-INDEX(Reference!$B$6:$B$11,MIN(5,MATCH(MAX(Reference!$A$6,MIN(Reference!$A$11,MIN($U142,180))),Reference!$A$6:$A$11,1))))/(INDEX(Reference!$A$6:$A$11,MIN(5,MATCH(MAX(Reference!$A$6,MIN(Reference!$A$11,MIN($U142,180))),Reference!$A$6:$A$11,1))+1)-INDEX(Reference!$A$6:$A$11,MIN(5,MATCH(MAX(Reference!$A$6,MIN(Reference!$A$11,MIN($U142,180))),Reference!$A$6:$A$11,1))))),0)+IF(5&lt;=$AL142,($AL142-5+3)*(INDEX(Reference!$B$6:$B$11,MIN(5,MATCH(MAX(Reference!$A$6,MIN(Reference!$A$11,MIN($U142,210))),Reference!$A$6:$A$11,1)))+(MAX(Reference!$A$6,MIN(Reference!$A$11,MIN($U142,210)))-INDEX(Reference!$A$6:$A$11,MIN(5,MATCH(MAX(Reference!$A$6,MIN(Reference!$A$11,MIN($U142,210))),Reference!$A$6:$A$11,1))))*(INDEX(Reference!$B$6:$B$11,MIN(5,MATCH(MAX(Reference!$A$6,MIN(Reference!$A$11,MIN($U142,210))),Reference!$A$6:$A$11,1))+1)-INDEX(Reference!$B$6:$B$11,MIN(5,MATCH(MAX(Reference!$A$6,MIN(Reference!$A$11,MIN($U142,210))),Reference!$A$6:$A$11,1))))/(INDEX(Reference!$A$6:$A$11,MIN(5,MATCH(MAX(Reference!$A$6,MIN(Reference!$A$11,MIN($U142,210))),Reference!$A$6:$A$11,1))+1)-INDEX(Reference!$A$6:$A$11,MIN(5,MATCH(MAX(Reference!$A$6,MIN(Reference!$A$11,MIN($U142,210))),Reference!$A$6:$A$11,1))))),0)+IF(6&lt;=$AL142,($AL142-6+3)*(INDEX(Reference!$B$6:$B$11,MIN(5,MATCH(MAX(Reference!$A$6,MIN(Reference!$A$11,MIN($U142,240))),Reference!$A$6:$A$11,1)))+(MAX(Reference!$A$6,MIN(Reference!$A$11,MIN($U142,240)))-INDEX(Reference!$A$6:$A$11,MIN(5,MATCH(MAX(Reference!$A$6,MIN(Reference!$A$11,MIN($U142,240))),Reference!$A$6:$A$11,1))))*(INDEX(Reference!$B$6:$B$11,MIN(5,MATCH(MAX(Reference!$A$6,MIN(Reference!$A$11,MIN($U142,240))),Reference!$A$6:$A$11,1))+1)-INDEX(Reference!$B$6:$B$11,MIN(5,MATCH(MAX(Reference!$A$6,MIN(Reference!$A$11,MIN($U142,240))),Reference!$A$6:$A$11,1))))/(INDEX(Reference!$A$6:$A$11,MIN(5,MATCH(MAX(Reference!$A$6,MIN(Reference!$A$11,MIN($U142,240))),Reference!$A$6:$A$11,1))+1)-INDEX(Reference!$A$6:$A$11,MIN(5,MATCH(MAX(Reference!$A$6,MIN(Reference!$A$11,MIN($U142,240))),Reference!$A$6:$A$11,1))))),0)+IF(7&lt;=$AL142,($AL142-7+3)*(INDEX(Reference!$B$6:$B$11,MIN(5,MATCH(MAX(Reference!$A$6,MIN(Reference!$A$11,MIN($U142,270))),Reference!$A$6:$A$11,1)))+(MAX(Reference!$A$6,MIN(Reference!$A$11,MIN($U142,270)))-INDEX(Reference!$A$6:$A$11,MIN(5,MATCH(MAX(Reference!$A$6,MIN(Reference!$A$11,MIN($U142,270))),Reference!$A$6:$A$11,1))))*(INDEX(Reference!$B$6:$B$11,MIN(5,MATCH(MAX(Reference!$A$6,MIN(Reference!$A$11,MIN($U142,270))),Reference!$A$6:$A$11,1))+1)-INDEX(Reference!$B$6:$B$11,MIN(5,MATCH(MAX(Reference!$A$6,MIN(Reference!$A$11,MIN($U142,270))),Reference!$A$6:$A$11,1))))/(INDEX(Reference!$A$6:$A$11,MIN(5,MATCH(MAX(Reference!$A$6,MIN(Reference!$A$11,MIN($U142,270))),Reference!$A$6:$A$11,1))+1)-INDEX(Reference!$A$6:$A$11,MIN(5,MATCH(MAX(Reference!$A$6,MIN(Reference!$A$11,MIN($U142,270))),Reference!$A$6:$A$11,1))))),0)+IF(8&lt;=$AL142,($AL142-8+3)*(INDEX(Reference!$B$6:$B$11,MIN(5,MATCH(MAX(Reference!$A$6,MIN(Reference!$A$11,MIN($U142,300))),Reference!$A$6:$A$11,1)))+(MAX(Reference!$A$6,MIN(Reference!$A$11,MIN($U142,300)))-INDEX(Reference!$A$6:$A$11,MIN(5,MATCH(MAX(Reference!$A$6,MIN(Reference!$A$11,MIN($U142,300))),Reference!$A$6:$A$11,1))))*(INDEX(Reference!$B$6:$B$11,MIN(5,MATCH(MAX(Reference!$A$6,MIN(Reference!$A$11,MIN($U142,300))),Reference!$A$6:$A$11,1))+1)-INDEX(Reference!$B$6:$B$11,MIN(5,MATCH(MAX(Reference!$A$6,MIN(Reference!$A$11,MIN($U142,300))),Reference!$A$6:$A$11,1))))/(INDEX(Reference!$A$6:$A$11,MIN(5,MATCH(MAX(Reference!$A$6,MIN(Reference!$A$11,MIN($U142,300))),Reference!$A$6:$A$11,1))+1)-INDEX(Reference!$A$6:$A$11,MIN(5,MATCH(MAX(Reference!$A$6,MIN(Reference!$A$11,MIN($U142,300))),Reference!$A$6:$A$11,1))))),0))/($AL142*($AL142+5)/2)),$AN142))</f>
        <v>0</v>
      </c>
      <c r="AN142" s="32">
        <f>IF($U142="",0,(INDEX(Reference!$B$6:$B$11,MIN(5,MATCH(MAX(Reference!$A$6,MIN(Reference!$A$11,$U142)),Reference!$A$6:$A$11,1)))+(MAX(Reference!$A$6,MIN(Reference!$A$11,$U142))-INDEX(Reference!$A$6:$A$11,MIN(5,MATCH(MAX(Reference!$A$6,MIN(Reference!$A$11,$U142)),Reference!$A$6:$A$11,1))))*(INDEX(Reference!$B$6:$B$11,MIN(5,MATCH(MAX(Reference!$A$6,MIN(Reference!$A$11,$U142)),Reference!$A$6:$A$11,1))+1)-INDEX(Reference!$B$6:$B$11,MIN(5,MATCH(MAX(Reference!$A$6,MIN(Reference!$A$11,$U142)),Reference!$A$6:$A$11,1))))/(INDEX(Reference!$A$6:$A$11,MIN(5,MATCH(MAX(Reference!$A$6,MIN(Reference!$A$11,$U142)),Reference!$A$6:$A$11,1))+1)-INDEX(Reference!$A$6:$A$11,MIN(5,MATCH(MAX(Reference!$A$6,MIN(Reference!$A$11,$U142)),Reference!$A$6:$A$11,1))))))</f>
        <v>0</v>
      </c>
      <c r="AO142" s="37"/>
      <c r="AP142" s="37"/>
      <c r="AQ142" s="37"/>
    </row>
    <row r="143" spans="1:43" x14ac:dyDescent="0.3">
      <c r="A143" s="48" t="str">
        <f t="shared" si="80"/>
        <v/>
      </c>
      <c r="B143" s="32" t="str">
        <f t="shared" si="81"/>
        <v/>
      </c>
      <c r="C143" s="32" t="str">
        <f t="shared" si="82"/>
        <v/>
      </c>
      <c r="D143" s="32" t="str">
        <f t="shared" si="83"/>
        <v/>
      </c>
      <c r="E143" s="32" t="str">
        <f t="shared" si="84"/>
        <v/>
      </c>
      <c r="F143" s="32" t="str">
        <f t="shared" si="85"/>
        <v/>
      </c>
      <c r="G143" s="47" t="str">
        <f t="shared" si="86"/>
        <v/>
      </c>
      <c r="H143" s="30" t="str">
        <f t="shared" si="87"/>
        <v/>
      </c>
      <c r="I143" s="46" t="str">
        <f>IF($A143="","",IF(AND($L143&lt;27,$K$12=0),"Building",IFERROR(((SUM($H$137:$H143)+$K$12*IF($L143&lt;6,SUMIFS('Throw Log'!$Q$5:$Q$300,'Throw Log'!$B$5:$B$300,$D$4,'Throw Log'!$A$5:$A$300,"&gt;="&amp;($D$6+$L143-6),'Throw Log'!$A$5:$A$300,"&lt;="&amp;($D$6-1)),0))/7)/((SUM($H$116:$H143)+$K$12*IF($L143&lt;27,SUMIFS('Throw Log'!$Q$5:$Q$300,'Throw Log'!$B$5:$B$300,$D$4,'Throw Log'!$A$5:$A$300,"&gt;="&amp;($D$6+$L143-27),'Throw Log'!$A$5:$A$300,"&lt;="&amp;($D$6-1)),0))/28),"")))</f>
        <v/>
      </c>
      <c r="J143" s="37"/>
      <c r="K143" s="37"/>
      <c r="L143" s="32">
        <v>100</v>
      </c>
      <c r="M143" s="32">
        <f t="shared" si="88"/>
        <v>15</v>
      </c>
      <c r="N143" s="32">
        <f t="shared" si="89"/>
        <v>2</v>
      </c>
      <c r="O143" s="32">
        <f t="shared" si="90"/>
        <v>1</v>
      </c>
      <c r="P143" s="32" t="str">
        <f>IF(OR($A143="",N($C143)&lt;=7),"",$G$6*$G$9^($M143-1)*IF(AND(MOD($M143,Reference!$B$99)=0,$M143&lt;=$G$5-2),Reference!$B$100,1))</f>
        <v/>
      </c>
      <c r="Q143" s="32" t="str">
        <f>IF($P143="","",IF(SUM($AK$141:$AK$147)=0,0,$P143*INDEX(Reference!$B$108:$B$114,$N143+1)/SUM($AK$141:$AK$147)))</f>
        <v/>
      </c>
      <c r="R143" s="32">
        <f t="shared" si="91"/>
        <v>180</v>
      </c>
      <c r="S143" s="32">
        <f t="shared" si="92"/>
        <v>150</v>
      </c>
      <c r="T143" s="32" t="str">
        <f>IF($A143="","",IF($C143=0,"Bullpen",IF(OR($C143=7,$C143=1,$C143=5),"Recovery/Easy Catch",IF($C143=6,"Compression/Pulldowns",IF(OR($C143=4,$C143=2),"Long Toss",IF($C143=3,"No Throw",IF($N143=2,"No Throw",IF($N143=6,IF($O143&lt;Reference!$B$104,"No Throw","Recovery/Easy Catch"),IF(OR($N143=0,$N143=4),"Recovery/Easy Catch",IF($N143=1,IF($R143&gt;75,"Long Toss","Recovery/Easy Catch"),IF($N143=3,IF($O143&lt;0.5,IF($S143&gt;75,"Long Toss","Recovery/Easy Catch"),"Compression/Pulldowns"),IF($S143&gt;75,"Long Toss","Recovery/Easy Catch"))))))))))))</f>
        <v/>
      </c>
      <c r="U143" s="32" t="str">
        <f t="shared" si="93"/>
        <v/>
      </c>
      <c r="V143" s="32" t="str">
        <f t="shared" si="94"/>
        <v/>
      </c>
      <c r="W143" s="32" t="str">
        <f t="shared" si="95"/>
        <v/>
      </c>
      <c r="X143" s="32">
        <f t="shared" si="96"/>
        <v>0</v>
      </c>
      <c r="Y143" s="32" t="str">
        <f t="shared" si="97"/>
        <v/>
      </c>
      <c r="Z143" s="32" t="str">
        <f t="shared" si="98"/>
        <v/>
      </c>
      <c r="AA143" s="32" t="str">
        <f t="shared" si="99"/>
        <v/>
      </c>
      <c r="AB143" s="32" t="str">
        <f>IF($A143="","",IF($T143="No Throw",0,IF($K143&lt;&gt;"",$K143,IF($AA143&lt;&gt;"",ROUND($AA143*$D$12*IF($C143=0,1,$G$10),0),MIN(IF($T143="Recovery/Easy Catch",Reference!$B$103,IF($T143="Long Toss",Reference!$B$106,Reference!$B$102)),MAX(Reference!$B$101,ROUND(MAX(0,$Q143-$AE143)/$AF143,0)))))))</f>
        <v/>
      </c>
      <c r="AC143" s="32">
        <f t="shared" si="100"/>
        <v>0</v>
      </c>
      <c r="AD143" s="32" t="b">
        <f t="shared" si="101"/>
        <v>1</v>
      </c>
      <c r="AE143" s="32">
        <f>IF($X143=0,0,$X143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143+$Z143)/2,0),Reference!$A$17:$B$20,2,TRUE()))</f>
        <v>0</v>
      </c>
      <c r="AF143" s="32">
        <f>IF(OR($A143="",$U143="",$T143="No Throw"),0,$AM143*VLOOKUP(MAX(($V143+$W143)/2,0),Reference!$A$17:$B$20,2,TRUE()))</f>
        <v>0</v>
      </c>
      <c r="AG143" s="32">
        <f>IF($AC143=0,0,$AC143*INDEX(Reference!$B$61:$B$62,MATCH("Bullpen",Reference!$A$61:$A$62,0))*VLOOKUP(MAX($D$5-($D$9+$E$9)/2,0),Reference!$A$17:$B$20,2,TRUE()))</f>
        <v>0</v>
      </c>
      <c r="AH143" s="32" t="e">
        <f t="shared" si="102"/>
        <v>#N/A</v>
      </c>
      <c r="AI143" s="32" t="e">
        <f>IF($A143="",NA(),Reference!$A$25)</f>
        <v>#N/A</v>
      </c>
      <c r="AJ143" s="32" t="e">
        <f t="shared" si="103"/>
        <v>#N/A</v>
      </c>
      <c r="AK143" s="32">
        <f>IF(OR($A143="",N($C143)&lt;=7,$T143="No Throw",$J143="x"),0,INDEX(Reference!$B$108:$B$114,$N143+1))</f>
        <v>0</v>
      </c>
      <c r="AL143" s="32">
        <f t="shared" si="104"/>
        <v>1</v>
      </c>
      <c r="AM143" s="32">
        <f>IF($U143="",0,IF($AL143&gt;1,((IF(1&lt;=$AL143,($AL143-1+3)*(INDEX(Reference!$B$6:$B$11,MIN(5,MATCH(MAX(Reference!$A$6,MIN(Reference!$A$11,MIN($U143,90))),Reference!$A$6:$A$11,1)))+(MAX(Reference!$A$6,MIN(Reference!$A$11,MIN($U143,90)))-INDEX(Reference!$A$6:$A$11,MIN(5,MATCH(MAX(Reference!$A$6,MIN(Reference!$A$11,MIN($U143,90))),Reference!$A$6:$A$11,1))))*(INDEX(Reference!$B$6:$B$11,MIN(5,MATCH(MAX(Reference!$A$6,MIN(Reference!$A$11,MIN($U143,90))),Reference!$A$6:$A$11,1))+1)-INDEX(Reference!$B$6:$B$11,MIN(5,MATCH(MAX(Reference!$A$6,MIN(Reference!$A$11,MIN($U143,90))),Reference!$A$6:$A$11,1))))/(INDEX(Reference!$A$6:$A$11,MIN(5,MATCH(MAX(Reference!$A$6,MIN(Reference!$A$11,MIN($U143,90))),Reference!$A$6:$A$11,1))+1)-INDEX(Reference!$A$6:$A$11,MIN(5,MATCH(MAX(Reference!$A$6,MIN(Reference!$A$11,MIN($U143,90))),Reference!$A$6:$A$11,1))))),0)+IF(2&lt;=$AL143,($AL143-2+3)*(INDEX(Reference!$B$6:$B$11,MIN(5,MATCH(MAX(Reference!$A$6,MIN(Reference!$A$11,MIN($U143,120))),Reference!$A$6:$A$11,1)))+(MAX(Reference!$A$6,MIN(Reference!$A$11,MIN($U143,120)))-INDEX(Reference!$A$6:$A$11,MIN(5,MATCH(MAX(Reference!$A$6,MIN(Reference!$A$11,MIN($U143,120))),Reference!$A$6:$A$11,1))))*(INDEX(Reference!$B$6:$B$11,MIN(5,MATCH(MAX(Reference!$A$6,MIN(Reference!$A$11,MIN($U143,120))),Reference!$A$6:$A$11,1))+1)-INDEX(Reference!$B$6:$B$11,MIN(5,MATCH(MAX(Reference!$A$6,MIN(Reference!$A$11,MIN($U143,120))),Reference!$A$6:$A$11,1))))/(INDEX(Reference!$A$6:$A$11,MIN(5,MATCH(MAX(Reference!$A$6,MIN(Reference!$A$11,MIN($U143,120))),Reference!$A$6:$A$11,1))+1)-INDEX(Reference!$A$6:$A$11,MIN(5,MATCH(MAX(Reference!$A$6,MIN(Reference!$A$11,MIN($U143,120))),Reference!$A$6:$A$11,1))))),0)+IF(3&lt;=$AL143,($AL143-3+3)*(INDEX(Reference!$B$6:$B$11,MIN(5,MATCH(MAX(Reference!$A$6,MIN(Reference!$A$11,MIN($U143,150))),Reference!$A$6:$A$11,1)))+(MAX(Reference!$A$6,MIN(Reference!$A$11,MIN($U143,150)))-INDEX(Reference!$A$6:$A$11,MIN(5,MATCH(MAX(Reference!$A$6,MIN(Reference!$A$11,MIN($U143,150))),Reference!$A$6:$A$11,1))))*(INDEX(Reference!$B$6:$B$11,MIN(5,MATCH(MAX(Reference!$A$6,MIN(Reference!$A$11,MIN($U143,150))),Reference!$A$6:$A$11,1))+1)-INDEX(Reference!$B$6:$B$11,MIN(5,MATCH(MAX(Reference!$A$6,MIN(Reference!$A$11,MIN($U143,150))),Reference!$A$6:$A$11,1))))/(INDEX(Reference!$A$6:$A$11,MIN(5,MATCH(MAX(Reference!$A$6,MIN(Reference!$A$11,MIN($U143,150))),Reference!$A$6:$A$11,1))+1)-INDEX(Reference!$A$6:$A$11,MIN(5,MATCH(MAX(Reference!$A$6,MIN(Reference!$A$11,MIN($U143,150))),Reference!$A$6:$A$11,1))))),0)+IF(4&lt;=$AL143,($AL143-4+3)*(INDEX(Reference!$B$6:$B$11,MIN(5,MATCH(MAX(Reference!$A$6,MIN(Reference!$A$11,MIN($U143,180))),Reference!$A$6:$A$11,1)))+(MAX(Reference!$A$6,MIN(Reference!$A$11,MIN($U143,180)))-INDEX(Reference!$A$6:$A$11,MIN(5,MATCH(MAX(Reference!$A$6,MIN(Reference!$A$11,MIN($U143,180))),Reference!$A$6:$A$11,1))))*(INDEX(Reference!$B$6:$B$11,MIN(5,MATCH(MAX(Reference!$A$6,MIN(Reference!$A$11,MIN($U143,180))),Reference!$A$6:$A$11,1))+1)-INDEX(Reference!$B$6:$B$11,MIN(5,MATCH(MAX(Reference!$A$6,MIN(Reference!$A$11,MIN($U143,180))),Reference!$A$6:$A$11,1))))/(INDEX(Reference!$A$6:$A$11,MIN(5,MATCH(MAX(Reference!$A$6,MIN(Reference!$A$11,MIN($U143,180))),Reference!$A$6:$A$11,1))+1)-INDEX(Reference!$A$6:$A$11,MIN(5,MATCH(MAX(Reference!$A$6,MIN(Reference!$A$11,MIN($U143,180))),Reference!$A$6:$A$11,1))))),0)+IF(5&lt;=$AL143,($AL143-5+3)*(INDEX(Reference!$B$6:$B$11,MIN(5,MATCH(MAX(Reference!$A$6,MIN(Reference!$A$11,MIN($U143,210))),Reference!$A$6:$A$11,1)))+(MAX(Reference!$A$6,MIN(Reference!$A$11,MIN($U143,210)))-INDEX(Reference!$A$6:$A$11,MIN(5,MATCH(MAX(Reference!$A$6,MIN(Reference!$A$11,MIN($U143,210))),Reference!$A$6:$A$11,1))))*(INDEX(Reference!$B$6:$B$11,MIN(5,MATCH(MAX(Reference!$A$6,MIN(Reference!$A$11,MIN($U143,210))),Reference!$A$6:$A$11,1))+1)-INDEX(Reference!$B$6:$B$11,MIN(5,MATCH(MAX(Reference!$A$6,MIN(Reference!$A$11,MIN($U143,210))),Reference!$A$6:$A$11,1))))/(INDEX(Reference!$A$6:$A$11,MIN(5,MATCH(MAX(Reference!$A$6,MIN(Reference!$A$11,MIN($U143,210))),Reference!$A$6:$A$11,1))+1)-INDEX(Reference!$A$6:$A$11,MIN(5,MATCH(MAX(Reference!$A$6,MIN(Reference!$A$11,MIN($U143,210))),Reference!$A$6:$A$11,1))))),0)+IF(6&lt;=$AL143,($AL143-6+3)*(INDEX(Reference!$B$6:$B$11,MIN(5,MATCH(MAX(Reference!$A$6,MIN(Reference!$A$11,MIN($U143,240))),Reference!$A$6:$A$11,1)))+(MAX(Reference!$A$6,MIN(Reference!$A$11,MIN($U143,240)))-INDEX(Reference!$A$6:$A$11,MIN(5,MATCH(MAX(Reference!$A$6,MIN(Reference!$A$11,MIN($U143,240))),Reference!$A$6:$A$11,1))))*(INDEX(Reference!$B$6:$B$11,MIN(5,MATCH(MAX(Reference!$A$6,MIN(Reference!$A$11,MIN($U143,240))),Reference!$A$6:$A$11,1))+1)-INDEX(Reference!$B$6:$B$11,MIN(5,MATCH(MAX(Reference!$A$6,MIN(Reference!$A$11,MIN($U143,240))),Reference!$A$6:$A$11,1))))/(INDEX(Reference!$A$6:$A$11,MIN(5,MATCH(MAX(Reference!$A$6,MIN(Reference!$A$11,MIN($U143,240))),Reference!$A$6:$A$11,1))+1)-INDEX(Reference!$A$6:$A$11,MIN(5,MATCH(MAX(Reference!$A$6,MIN(Reference!$A$11,MIN($U143,240))),Reference!$A$6:$A$11,1))))),0)+IF(7&lt;=$AL143,($AL143-7+3)*(INDEX(Reference!$B$6:$B$11,MIN(5,MATCH(MAX(Reference!$A$6,MIN(Reference!$A$11,MIN($U143,270))),Reference!$A$6:$A$11,1)))+(MAX(Reference!$A$6,MIN(Reference!$A$11,MIN($U143,270)))-INDEX(Reference!$A$6:$A$11,MIN(5,MATCH(MAX(Reference!$A$6,MIN(Reference!$A$11,MIN($U143,270))),Reference!$A$6:$A$11,1))))*(INDEX(Reference!$B$6:$B$11,MIN(5,MATCH(MAX(Reference!$A$6,MIN(Reference!$A$11,MIN($U143,270))),Reference!$A$6:$A$11,1))+1)-INDEX(Reference!$B$6:$B$11,MIN(5,MATCH(MAX(Reference!$A$6,MIN(Reference!$A$11,MIN($U143,270))),Reference!$A$6:$A$11,1))))/(INDEX(Reference!$A$6:$A$11,MIN(5,MATCH(MAX(Reference!$A$6,MIN(Reference!$A$11,MIN($U143,270))),Reference!$A$6:$A$11,1))+1)-INDEX(Reference!$A$6:$A$11,MIN(5,MATCH(MAX(Reference!$A$6,MIN(Reference!$A$11,MIN($U143,270))),Reference!$A$6:$A$11,1))))),0)+IF(8&lt;=$AL143,($AL143-8+3)*(INDEX(Reference!$B$6:$B$11,MIN(5,MATCH(MAX(Reference!$A$6,MIN(Reference!$A$11,MIN($U143,300))),Reference!$A$6:$A$11,1)))+(MAX(Reference!$A$6,MIN(Reference!$A$11,MIN($U143,300)))-INDEX(Reference!$A$6:$A$11,MIN(5,MATCH(MAX(Reference!$A$6,MIN(Reference!$A$11,MIN($U143,300))),Reference!$A$6:$A$11,1))))*(INDEX(Reference!$B$6:$B$11,MIN(5,MATCH(MAX(Reference!$A$6,MIN(Reference!$A$11,MIN($U143,300))),Reference!$A$6:$A$11,1))+1)-INDEX(Reference!$B$6:$B$11,MIN(5,MATCH(MAX(Reference!$A$6,MIN(Reference!$A$11,MIN($U143,300))),Reference!$A$6:$A$11,1))))/(INDEX(Reference!$A$6:$A$11,MIN(5,MATCH(MAX(Reference!$A$6,MIN(Reference!$A$11,MIN($U143,300))),Reference!$A$6:$A$11,1))+1)-INDEX(Reference!$A$6:$A$11,MIN(5,MATCH(MAX(Reference!$A$6,MIN(Reference!$A$11,MIN($U143,300))),Reference!$A$6:$A$11,1))))),0))/($AL143*($AL143+5)/2)),$AN143))</f>
        <v>0</v>
      </c>
      <c r="AN143" s="32">
        <f>IF($U143="",0,(INDEX(Reference!$B$6:$B$11,MIN(5,MATCH(MAX(Reference!$A$6,MIN(Reference!$A$11,$U143)),Reference!$A$6:$A$11,1)))+(MAX(Reference!$A$6,MIN(Reference!$A$11,$U143))-INDEX(Reference!$A$6:$A$11,MIN(5,MATCH(MAX(Reference!$A$6,MIN(Reference!$A$11,$U143)),Reference!$A$6:$A$11,1))))*(INDEX(Reference!$B$6:$B$11,MIN(5,MATCH(MAX(Reference!$A$6,MIN(Reference!$A$11,$U143)),Reference!$A$6:$A$11,1))+1)-INDEX(Reference!$B$6:$B$11,MIN(5,MATCH(MAX(Reference!$A$6,MIN(Reference!$A$11,$U143)),Reference!$A$6:$A$11,1))))/(INDEX(Reference!$A$6:$A$11,MIN(5,MATCH(MAX(Reference!$A$6,MIN(Reference!$A$11,$U143)),Reference!$A$6:$A$11,1))+1)-INDEX(Reference!$A$6:$A$11,MIN(5,MATCH(MAX(Reference!$A$6,MIN(Reference!$A$11,$U143)),Reference!$A$6:$A$11,1))))))</f>
        <v>0</v>
      </c>
      <c r="AO143" s="37"/>
      <c r="AP143" s="37"/>
      <c r="AQ143" s="37"/>
    </row>
    <row r="144" spans="1:43" x14ac:dyDescent="0.3">
      <c r="A144" s="48" t="str">
        <f t="shared" si="80"/>
        <v/>
      </c>
      <c r="B144" s="32" t="str">
        <f t="shared" si="81"/>
        <v/>
      </c>
      <c r="C144" s="32" t="str">
        <f t="shared" si="82"/>
        <v/>
      </c>
      <c r="D144" s="32" t="str">
        <f t="shared" si="83"/>
        <v/>
      </c>
      <c r="E144" s="32" t="str">
        <f t="shared" si="84"/>
        <v/>
      </c>
      <c r="F144" s="32" t="str">
        <f t="shared" si="85"/>
        <v/>
      </c>
      <c r="G144" s="47" t="str">
        <f t="shared" si="86"/>
        <v/>
      </c>
      <c r="H144" s="30" t="str">
        <f t="shared" si="87"/>
        <v/>
      </c>
      <c r="I144" s="46" t="str">
        <f>IF($A144="","",IF(AND($L144&lt;27,$K$12=0),"Building",IFERROR(((SUM($H$138:$H144)+$K$12*IF($L144&lt;6,SUMIFS('Throw Log'!$Q$5:$Q$300,'Throw Log'!$B$5:$B$300,$D$4,'Throw Log'!$A$5:$A$300,"&gt;="&amp;($D$6+$L144-6),'Throw Log'!$A$5:$A$300,"&lt;="&amp;($D$6-1)),0))/7)/((SUM($H$117:$H144)+$K$12*IF($L144&lt;27,SUMIFS('Throw Log'!$Q$5:$Q$300,'Throw Log'!$B$5:$B$300,$D$4,'Throw Log'!$A$5:$A$300,"&gt;="&amp;($D$6+$L144-27),'Throw Log'!$A$5:$A$300,"&lt;="&amp;($D$6-1)),0))/28),"")))</f>
        <v/>
      </c>
      <c r="J144" s="37"/>
      <c r="K144" s="37"/>
      <c r="L144" s="32">
        <v>101</v>
      </c>
      <c r="M144" s="32">
        <f t="shared" si="88"/>
        <v>15</v>
      </c>
      <c r="N144" s="32">
        <f t="shared" si="89"/>
        <v>3</v>
      </c>
      <c r="O144" s="32">
        <f t="shared" si="90"/>
        <v>1</v>
      </c>
      <c r="P144" s="32" t="str">
        <f>IF(OR($A144="",N($C144)&lt;=7),"",$G$6*$G$9^($M144-1)*IF(AND(MOD($M144,Reference!$B$99)=0,$M144&lt;=$G$5-2),Reference!$B$100,1))</f>
        <v/>
      </c>
      <c r="Q144" s="32" t="str">
        <f>IF($P144="","",IF(SUM($AK$141:$AK$147)=0,0,$P144*INDEX(Reference!$B$108:$B$114,$N144+1)/SUM($AK$141:$AK$147)))</f>
        <v/>
      </c>
      <c r="R144" s="32">
        <f t="shared" si="91"/>
        <v>180</v>
      </c>
      <c r="S144" s="32">
        <f t="shared" si="92"/>
        <v>150</v>
      </c>
      <c r="T144" s="32" t="str">
        <f>IF($A144="","",IF($C144=0,"Bullpen",IF(OR($C144=7,$C144=1,$C144=5),"Recovery/Easy Catch",IF($C144=6,"Compression/Pulldowns",IF(OR($C144=4,$C144=2),"Long Toss",IF($C144=3,"No Throw",IF($N144=2,"No Throw",IF($N144=6,IF($O144&lt;Reference!$B$104,"No Throw","Recovery/Easy Catch"),IF(OR($N144=0,$N144=4),"Recovery/Easy Catch",IF($N144=1,IF($R144&gt;75,"Long Toss","Recovery/Easy Catch"),IF($N144=3,IF($O144&lt;0.5,IF($S144&gt;75,"Long Toss","Recovery/Easy Catch"),"Compression/Pulldowns"),IF($S144&gt;75,"Long Toss","Recovery/Easy Catch"))))))))))))</f>
        <v/>
      </c>
      <c r="U144" s="32" t="str">
        <f t="shared" si="93"/>
        <v/>
      </c>
      <c r="V144" s="32" t="str">
        <f t="shared" si="94"/>
        <v/>
      </c>
      <c r="W144" s="32" t="str">
        <f t="shared" si="95"/>
        <v/>
      </c>
      <c r="X144" s="32">
        <f t="shared" si="96"/>
        <v>0</v>
      </c>
      <c r="Y144" s="32" t="str">
        <f t="shared" si="97"/>
        <v/>
      </c>
      <c r="Z144" s="32" t="str">
        <f t="shared" si="98"/>
        <v/>
      </c>
      <c r="AA144" s="32" t="str">
        <f t="shared" si="99"/>
        <v/>
      </c>
      <c r="AB144" s="32" t="str">
        <f>IF($A144="","",IF($T144="No Throw",0,IF($K144&lt;&gt;"",$K144,IF($AA144&lt;&gt;"",ROUND($AA144*$D$12*IF($C144=0,1,$G$10),0),MIN(IF($T144="Recovery/Easy Catch",Reference!$B$103,IF($T144="Long Toss",Reference!$B$106,Reference!$B$102)),MAX(Reference!$B$101,ROUND(MAX(0,$Q144-$AE144)/$AF144,0)))))))</f>
        <v/>
      </c>
      <c r="AC144" s="32">
        <f t="shared" si="100"/>
        <v>0</v>
      </c>
      <c r="AD144" s="32" t="b">
        <f t="shared" si="101"/>
        <v>1</v>
      </c>
      <c r="AE144" s="32">
        <f>IF($X144=0,0,$X144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144+$Z144)/2,0),Reference!$A$17:$B$20,2,TRUE()))</f>
        <v>0</v>
      </c>
      <c r="AF144" s="32">
        <f>IF(OR($A144="",$U144="",$T144="No Throw"),0,$AM144*VLOOKUP(MAX(($V144+$W144)/2,0),Reference!$A$17:$B$20,2,TRUE()))</f>
        <v>0</v>
      </c>
      <c r="AG144" s="32">
        <f>IF($AC144=0,0,$AC144*INDEX(Reference!$B$61:$B$62,MATCH("Bullpen",Reference!$A$61:$A$62,0))*VLOOKUP(MAX($D$5-($D$9+$E$9)/2,0),Reference!$A$17:$B$20,2,TRUE()))</f>
        <v>0</v>
      </c>
      <c r="AH144" s="32" t="e">
        <f t="shared" si="102"/>
        <v>#N/A</v>
      </c>
      <c r="AI144" s="32" t="e">
        <f>IF($A144="",NA(),Reference!$A$25)</f>
        <v>#N/A</v>
      </c>
      <c r="AJ144" s="32" t="e">
        <f t="shared" si="103"/>
        <v>#N/A</v>
      </c>
      <c r="AK144" s="32">
        <f>IF(OR($A144="",N($C144)&lt;=7,$T144="No Throw",$J144="x"),0,INDEX(Reference!$B$108:$B$114,$N144+1))</f>
        <v>0</v>
      </c>
      <c r="AL144" s="32">
        <f t="shared" si="104"/>
        <v>1</v>
      </c>
      <c r="AM144" s="32">
        <f>IF($U144="",0,IF($AL144&gt;1,((IF(1&lt;=$AL144,($AL144-1+3)*(INDEX(Reference!$B$6:$B$11,MIN(5,MATCH(MAX(Reference!$A$6,MIN(Reference!$A$11,MIN($U144,90))),Reference!$A$6:$A$11,1)))+(MAX(Reference!$A$6,MIN(Reference!$A$11,MIN($U144,90)))-INDEX(Reference!$A$6:$A$11,MIN(5,MATCH(MAX(Reference!$A$6,MIN(Reference!$A$11,MIN($U144,90))),Reference!$A$6:$A$11,1))))*(INDEX(Reference!$B$6:$B$11,MIN(5,MATCH(MAX(Reference!$A$6,MIN(Reference!$A$11,MIN($U144,90))),Reference!$A$6:$A$11,1))+1)-INDEX(Reference!$B$6:$B$11,MIN(5,MATCH(MAX(Reference!$A$6,MIN(Reference!$A$11,MIN($U144,90))),Reference!$A$6:$A$11,1))))/(INDEX(Reference!$A$6:$A$11,MIN(5,MATCH(MAX(Reference!$A$6,MIN(Reference!$A$11,MIN($U144,90))),Reference!$A$6:$A$11,1))+1)-INDEX(Reference!$A$6:$A$11,MIN(5,MATCH(MAX(Reference!$A$6,MIN(Reference!$A$11,MIN($U144,90))),Reference!$A$6:$A$11,1))))),0)+IF(2&lt;=$AL144,($AL144-2+3)*(INDEX(Reference!$B$6:$B$11,MIN(5,MATCH(MAX(Reference!$A$6,MIN(Reference!$A$11,MIN($U144,120))),Reference!$A$6:$A$11,1)))+(MAX(Reference!$A$6,MIN(Reference!$A$11,MIN($U144,120)))-INDEX(Reference!$A$6:$A$11,MIN(5,MATCH(MAX(Reference!$A$6,MIN(Reference!$A$11,MIN($U144,120))),Reference!$A$6:$A$11,1))))*(INDEX(Reference!$B$6:$B$11,MIN(5,MATCH(MAX(Reference!$A$6,MIN(Reference!$A$11,MIN($U144,120))),Reference!$A$6:$A$11,1))+1)-INDEX(Reference!$B$6:$B$11,MIN(5,MATCH(MAX(Reference!$A$6,MIN(Reference!$A$11,MIN($U144,120))),Reference!$A$6:$A$11,1))))/(INDEX(Reference!$A$6:$A$11,MIN(5,MATCH(MAX(Reference!$A$6,MIN(Reference!$A$11,MIN($U144,120))),Reference!$A$6:$A$11,1))+1)-INDEX(Reference!$A$6:$A$11,MIN(5,MATCH(MAX(Reference!$A$6,MIN(Reference!$A$11,MIN($U144,120))),Reference!$A$6:$A$11,1))))),0)+IF(3&lt;=$AL144,($AL144-3+3)*(INDEX(Reference!$B$6:$B$11,MIN(5,MATCH(MAX(Reference!$A$6,MIN(Reference!$A$11,MIN($U144,150))),Reference!$A$6:$A$11,1)))+(MAX(Reference!$A$6,MIN(Reference!$A$11,MIN($U144,150)))-INDEX(Reference!$A$6:$A$11,MIN(5,MATCH(MAX(Reference!$A$6,MIN(Reference!$A$11,MIN($U144,150))),Reference!$A$6:$A$11,1))))*(INDEX(Reference!$B$6:$B$11,MIN(5,MATCH(MAX(Reference!$A$6,MIN(Reference!$A$11,MIN($U144,150))),Reference!$A$6:$A$11,1))+1)-INDEX(Reference!$B$6:$B$11,MIN(5,MATCH(MAX(Reference!$A$6,MIN(Reference!$A$11,MIN($U144,150))),Reference!$A$6:$A$11,1))))/(INDEX(Reference!$A$6:$A$11,MIN(5,MATCH(MAX(Reference!$A$6,MIN(Reference!$A$11,MIN($U144,150))),Reference!$A$6:$A$11,1))+1)-INDEX(Reference!$A$6:$A$11,MIN(5,MATCH(MAX(Reference!$A$6,MIN(Reference!$A$11,MIN($U144,150))),Reference!$A$6:$A$11,1))))),0)+IF(4&lt;=$AL144,($AL144-4+3)*(INDEX(Reference!$B$6:$B$11,MIN(5,MATCH(MAX(Reference!$A$6,MIN(Reference!$A$11,MIN($U144,180))),Reference!$A$6:$A$11,1)))+(MAX(Reference!$A$6,MIN(Reference!$A$11,MIN($U144,180)))-INDEX(Reference!$A$6:$A$11,MIN(5,MATCH(MAX(Reference!$A$6,MIN(Reference!$A$11,MIN($U144,180))),Reference!$A$6:$A$11,1))))*(INDEX(Reference!$B$6:$B$11,MIN(5,MATCH(MAX(Reference!$A$6,MIN(Reference!$A$11,MIN($U144,180))),Reference!$A$6:$A$11,1))+1)-INDEX(Reference!$B$6:$B$11,MIN(5,MATCH(MAX(Reference!$A$6,MIN(Reference!$A$11,MIN($U144,180))),Reference!$A$6:$A$11,1))))/(INDEX(Reference!$A$6:$A$11,MIN(5,MATCH(MAX(Reference!$A$6,MIN(Reference!$A$11,MIN($U144,180))),Reference!$A$6:$A$11,1))+1)-INDEX(Reference!$A$6:$A$11,MIN(5,MATCH(MAX(Reference!$A$6,MIN(Reference!$A$11,MIN($U144,180))),Reference!$A$6:$A$11,1))))),0)+IF(5&lt;=$AL144,($AL144-5+3)*(INDEX(Reference!$B$6:$B$11,MIN(5,MATCH(MAX(Reference!$A$6,MIN(Reference!$A$11,MIN($U144,210))),Reference!$A$6:$A$11,1)))+(MAX(Reference!$A$6,MIN(Reference!$A$11,MIN($U144,210)))-INDEX(Reference!$A$6:$A$11,MIN(5,MATCH(MAX(Reference!$A$6,MIN(Reference!$A$11,MIN($U144,210))),Reference!$A$6:$A$11,1))))*(INDEX(Reference!$B$6:$B$11,MIN(5,MATCH(MAX(Reference!$A$6,MIN(Reference!$A$11,MIN($U144,210))),Reference!$A$6:$A$11,1))+1)-INDEX(Reference!$B$6:$B$11,MIN(5,MATCH(MAX(Reference!$A$6,MIN(Reference!$A$11,MIN($U144,210))),Reference!$A$6:$A$11,1))))/(INDEX(Reference!$A$6:$A$11,MIN(5,MATCH(MAX(Reference!$A$6,MIN(Reference!$A$11,MIN($U144,210))),Reference!$A$6:$A$11,1))+1)-INDEX(Reference!$A$6:$A$11,MIN(5,MATCH(MAX(Reference!$A$6,MIN(Reference!$A$11,MIN($U144,210))),Reference!$A$6:$A$11,1))))),0)+IF(6&lt;=$AL144,($AL144-6+3)*(INDEX(Reference!$B$6:$B$11,MIN(5,MATCH(MAX(Reference!$A$6,MIN(Reference!$A$11,MIN($U144,240))),Reference!$A$6:$A$11,1)))+(MAX(Reference!$A$6,MIN(Reference!$A$11,MIN($U144,240)))-INDEX(Reference!$A$6:$A$11,MIN(5,MATCH(MAX(Reference!$A$6,MIN(Reference!$A$11,MIN($U144,240))),Reference!$A$6:$A$11,1))))*(INDEX(Reference!$B$6:$B$11,MIN(5,MATCH(MAX(Reference!$A$6,MIN(Reference!$A$11,MIN($U144,240))),Reference!$A$6:$A$11,1))+1)-INDEX(Reference!$B$6:$B$11,MIN(5,MATCH(MAX(Reference!$A$6,MIN(Reference!$A$11,MIN($U144,240))),Reference!$A$6:$A$11,1))))/(INDEX(Reference!$A$6:$A$11,MIN(5,MATCH(MAX(Reference!$A$6,MIN(Reference!$A$11,MIN($U144,240))),Reference!$A$6:$A$11,1))+1)-INDEX(Reference!$A$6:$A$11,MIN(5,MATCH(MAX(Reference!$A$6,MIN(Reference!$A$11,MIN($U144,240))),Reference!$A$6:$A$11,1))))),0)+IF(7&lt;=$AL144,($AL144-7+3)*(INDEX(Reference!$B$6:$B$11,MIN(5,MATCH(MAX(Reference!$A$6,MIN(Reference!$A$11,MIN($U144,270))),Reference!$A$6:$A$11,1)))+(MAX(Reference!$A$6,MIN(Reference!$A$11,MIN($U144,270)))-INDEX(Reference!$A$6:$A$11,MIN(5,MATCH(MAX(Reference!$A$6,MIN(Reference!$A$11,MIN($U144,270))),Reference!$A$6:$A$11,1))))*(INDEX(Reference!$B$6:$B$11,MIN(5,MATCH(MAX(Reference!$A$6,MIN(Reference!$A$11,MIN($U144,270))),Reference!$A$6:$A$11,1))+1)-INDEX(Reference!$B$6:$B$11,MIN(5,MATCH(MAX(Reference!$A$6,MIN(Reference!$A$11,MIN($U144,270))),Reference!$A$6:$A$11,1))))/(INDEX(Reference!$A$6:$A$11,MIN(5,MATCH(MAX(Reference!$A$6,MIN(Reference!$A$11,MIN($U144,270))),Reference!$A$6:$A$11,1))+1)-INDEX(Reference!$A$6:$A$11,MIN(5,MATCH(MAX(Reference!$A$6,MIN(Reference!$A$11,MIN($U144,270))),Reference!$A$6:$A$11,1))))),0)+IF(8&lt;=$AL144,($AL144-8+3)*(INDEX(Reference!$B$6:$B$11,MIN(5,MATCH(MAX(Reference!$A$6,MIN(Reference!$A$11,MIN($U144,300))),Reference!$A$6:$A$11,1)))+(MAX(Reference!$A$6,MIN(Reference!$A$11,MIN($U144,300)))-INDEX(Reference!$A$6:$A$11,MIN(5,MATCH(MAX(Reference!$A$6,MIN(Reference!$A$11,MIN($U144,300))),Reference!$A$6:$A$11,1))))*(INDEX(Reference!$B$6:$B$11,MIN(5,MATCH(MAX(Reference!$A$6,MIN(Reference!$A$11,MIN($U144,300))),Reference!$A$6:$A$11,1))+1)-INDEX(Reference!$B$6:$B$11,MIN(5,MATCH(MAX(Reference!$A$6,MIN(Reference!$A$11,MIN($U144,300))),Reference!$A$6:$A$11,1))))/(INDEX(Reference!$A$6:$A$11,MIN(5,MATCH(MAX(Reference!$A$6,MIN(Reference!$A$11,MIN($U144,300))),Reference!$A$6:$A$11,1))+1)-INDEX(Reference!$A$6:$A$11,MIN(5,MATCH(MAX(Reference!$A$6,MIN(Reference!$A$11,MIN($U144,300))),Reference!$A$6:$A$11,1))))),0))/($AL144*($AL144+5)/2)),$AN144))</f>
        <v>0</v>
      </c>
      <c r="AN144" s="32">
        <f>IF($U144="",0,(INDEX(Reference!$B$6:$B$11,MIN(5,MATCH(MAX(Reference!$A$6,MIN(Reference!$A$11,$U144)),Reference!$A$6:$A$11,1)))+(MAX(Reference!$A$6,MIN(Reference!$A$11,$U144))-INDEX(Reference!$A$6:$A$11,MIN(5,MATCH(MAX(Reference!$A$6,MIN(Reference!$A$11,$U144)),Reference!$A$6:$A$11,1))))*(INDEX(Reference!$B$6:$B$11,MIN(5,MATCH(MAX(Reference!$A$6,MIN(Reference!$A$11,$U144)),Reference!$A$6:$A$11,1))+1)-INDEX(Reference!$B$6:$B$11,MIN(5,MATCH(MAX(Reference!$A$6,MIN(Reference!$A$11,$U144)),Reference!$A$6:$A$11,1))))/(INDEX(Reference!$A$6:$A$11,MIN(5,MATCH(MAX(Reference!$A$6,MIN(Reference!$A$11,$U144)),Reference!$A$6:$A$11,1))+1)-INDEX(Reference!$A$6:$A$11,MIN(5,MATCH(MAX(Reference!$A$6,MIN(Reference!$A$11,$U144)),Reference!$A$6:$A$11,1))))))</f>
        <v>0</v>
      </c>
      <c r="AO144" s="37"/>
      <c r="AP144" s="37"/>
      <c r="AQ144" s="37"/>
    </row>
    <row r="145" spans="1:43" x14ac:dyDescent="0.3">
      <c r="A145" s="48" t="str">
        <f t="shared" si="80"/>
        <v/>
      </c>
      <c r="B145" s="32" t="str">
        <f t="shared" si="81"/>
        <v/>
      </c>
      <c r="C145" s="32" t="str">
        <f t="shared" si="82"/>
        <v/>
      </c>
      <c r="D145" s="32" t="str">
        <f t="shared" si="83"/>
        <v/>
      </c>
      <c r="E145" s="32" t="str">
        <f t="shared" si="84"/>
        <v/>
      </c>
      <c r="F145" s="32" t="str">
        <f t="shared" si="85"/>
        <v/>
      </c>
      <c r="G145" s="47" t="str">
        <f t="shared" si="86"/>
        <v/>
      </c>
      <c r="H145" s="30" t="str">
        <f t="shared" si="87"/>
        <v/>
      </c>
      <c r="I145" s="46" t="str">
        <f>IF($A145="","",IF(AND($L145&lt;27,$K$12=0),"Building",IFERROR(((SUM($H$139:$H145)+$K$12*IF($L145&lt;6,SUMIFS('Throw Log'!$Q$5:$Q$300,'Throw Log'!$B$5:$B$300,$D$4,'Throw Log'!$A$5:$A$300,"&gt;="&amp;($D$6+$L145-6),'Throw Log'!$A$5:$A$300,"&lt;="&amp;($D$6-1)),0))/7)/((SUM($H$118:$H145)+$K$12*IF($L145&lt;27,SUMIFS('Throw Log'!$Q$5:$Q$300,'Throw Log'!$B$5:$B$300,$D$4,'Throw Log'!$A$5:$A$300,"&gt;="&amp;($D$6+$L145-27),'Throw Log'!$A$5:$A$300,"&lt;="&amp;($D$6-1)),0))/28),"")))</f>
        <v/>
      </c>
      <c r="J145" s="37"/>
      <c r="K145" s="37"/>
      <c r="L145" s="32">
        <v>102</v>
      </c>
      <c r="M145" s="32">
        <f t="shared" si="88"/>
        <v>15</v>
      </c>
      <c r="N145" s="32">
        <f t="shared" si="89"/>
        <v>4</v>
      </c>
      <c r="O145" s="32">
        <f t="shared" si="90"/>
        <v>1</v>
      </c>
      <c r="P145" s="32" t="str">
        <f>IF(OR($A145="",N($C145)&lt;=7),"",$G$6*$G$9^($M145-1)*IF(AND(MOD($M145,Reference!$B$99)=0,$M145&lt;=$G$5-2),Reference!$B$100,1))</f>
        <v/>
      </c>
      <c r="Q145" s="32" t="str">
        <f>IF($P145="","",IF(SUM($AK$141:$AK$147)=0,0,$P145*INDEX(Reference!$B$108:$B$114,$N145+1)/SUM($AK$141:$AK$147)))</f>
        <v/>
      </c>
      <c r="R145" s="32">
        <f t="shared" si="91"/>
        <v>180</v>
      </c>
      <c r="S145" s="32">
        <f t="shared" si="92"/>
        <v>150</v>
      </c>
      <c r="T145" s="32" t="str">
        <f>IF($A145="","",IF($C145=0,"Bullpen",IF(OR($C145=7,$C145=1,$C145=5),"Recovery/Easy Catch",IF($C145=6,"Compression/Pulldowns",IF(OR($C145=4,$C145=2),"Long Toss",IF($C145=3,"No Throw",IF($N145=2,"No Throw",IF($N145=6,IF($O145&lt;Reference!$B$104,"No Throw","Recovery/Easy Catch"),IF(OR($N145=0,$N145=4),"Recovery/Easy Catch",IF($N145=1,IF($R145&gt;75,"Long Toss","Recovery/Easy Catch"),IF($N145=3,IF($O145&lt;0.5,IF($S145&gt;75,"Long Toss","Recovery/Easy Catch"),"Compression/Pulldowns"),IF($S145&gt;75,"Long Toss","Recovery/Easy Catch"))))))))))))</f>
        <v/>
      </c>
      <c r="U145" s="32" t="str">
        <f t="shared" si="93"/>
        <v/>
      </c>
      <c r="V145" s="32" t="str">
        <f t="shared" si="94"/>
        <v/>
      </c>
      <c r="W145" s="32" t="str">
        <f t="shared" si="95"/>
        <v/>
      </c>
      <c r="X145" s="32">
        <f t="shared" si="96"/>
        <v>0</v>
      </c>
      <c r="Y145" s="32" t="str">
        <f t="shared" si="97"/>
        <v/>
      </c>
      <c r="Z145" s="32" t="str">
        <f t="shared" si="98"/>
        <v/>
      </c>
      <c r="AA145" s="32" t="str">
        <f t="shared" si="99"/>
        <v/>
      </c>
      <c r="AB145" s="32" t="str">
        <f>IF($A145="","",IF($T145="No Throw",0,IF($K145&lt;&gt;"",$K145,IF($AA145&lt;&gt;"",ROUND($AA145*$D$12*IF($C145=0,1,$G$10),0),MIN(IF($T145="Recovery/Easy Catch",Reference!$B$103,IF($T145="Long Toss",Reference!$B$106,Reference!$B$102)),MAX(Reference!$B$101,ROUND(MAX(0,$Q145-$AE145)/$AF145,0)))))))</f>
        <v/>
      </c>
      <c r="AC145" s="32">
        <f t="shared" si="100"/>
        <v>0</v>
      </c>
      <c r="AD145" s="32" t="b">
        <f t="shared" si="101"/>
        <v>1</v>
      </c>
      <c r="AE145" s="32">
        <f>IF($X145=0,0,$X145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145+$Z145)/2,0),Reference!$A$17:$B$20,2,TRUE()))</f>
        <v>0</v>
      </c>
      <c r="AF145" s="32">
        <f>IF(OR($A145="",$U145="",$T145="No Throw"),0,$AM145*VLOOKUP(MAX(($V145+$W145)/2,0),Reference!$A$17:$B$20,2,TRUE()))</f>
        <v>0</v>
      </c>
      <c r="AG145" s="32">
        <f>IF($AC145=0,0,$AC145*INDEX(Reference!$B$61:$B$62,MATCH("Bullpen",Reference!$A$61:$A$62,0))*VLOOKUP(MAX($D$5-($D$9+$E$9)/2,0),Reference!$A$17:$B$20,2,TRUE()))</f>
        <v>0</v>
      </c>
      <c r="AH145" s="32" t="e">
        <f t="shared" si="102"/>
        <v>#N/A</v>
      </c>
      <c r="AI145" s="32" t="e">
        <f>IF($A145="",NA(),Reference!$A$25)</f>
        <v>#N/A</v>
      </c>
      <c r="AJ145" s="32" t="e">
        <f t="shared" si="103"/>
        <v>#N/A</v>
      </c>
      <c r="AK145" s="32">
        <f>IF(OR($A145="",N($C145)&lt;=7,$T145="No Throw",$J145="x"),0,INDEX(Reference!$B$108:$B$114,$N145+1))</f>
        <v>0</v>
      </c>
      <c r="AL145" s="32">
        <f t="shared" si="104"/>
        <v>1</v>
      </c>
      <c r="AM145" s="32">
        <f>IF($U145="",0,IF($AL145&gt;1,((IF(1&lt;=$AL145,($AL145-1+3)*(INDEX(Reference!$B$6:$B$11,MIN(5,MATCH(MAX(Reference!$A$6,MIN(Reference!$A$11,MIN($U145,90))),Reference!$A$6:$A$11,1)))+(MAX(Reference!$A$6,MIN(Reference!$A$11,MIN($U145,90)))-INDEX(Reference!$A$6:$A$11,MIN(5,MATCH(MAX(Reference!$A$6,MIN(Reference!$A$11,MIN($U145,90))),Reference!$A$6:$A$11,1))))*(INDEX(Reference!$B$6:$B$11,MIN(5,MATCH(MAX(Reference!$A$6,MIN(Reference!$A$11,MIN($U145,90))),Reference!$A$6:$A$11,1))+1)-INDEX(Reference!$B$6:$B$11,MIN(5,MATCH(MAX(Reference!$A$6,MIN(Reference!$A$11,MIN($U145,90))),Reference!$A$6:$A$11,1))))/(INDEX(Reference!$A$6:$A$11,MIN(5,MATCH(MAX(Reference!$A$6,MIN(Reference!$A$11,MIN($U145,90))),Reference!$A$6:$A$11,1))+1)-INDEX(Reference!$A$6:$A$11,MIN(5,MATCH(MAX(Reference!$A$6,MIN(Reference!$A$11,MIN($U145,90))),Reference!$A$6:$A$11,1))))),0)+IF(2&lt;=$AL145,($AL145-2+3)*(INDEX(Reference!$B$6:$B$11,MIN(5,MATCH(MAX(Reference!$A$6,MIN(Reference!$A$11,MIN($U145,120))),Reference!$A$6:$A$11,1)))+(MAX(Reference!$A$6,MIN(Reference!$A$11,MIN($U145,120)))-INDEX(Reference!$A$6:$A$11,MIN(5,MATCH(MAX(Reference!$A$6,MIN(Reference!$A$11,MIN($U145,120))),Reference!$A$6:$A$11,1))))*(INDEX(Reference!$B$6:$B$11,MIN(5,MATCH(MAX(Reference!$A$6,MIN(Reference!$A$11,MIN($U145,120))),Reference!$A$6:$A$11,1))+1)-INDEX(Reference!$B$6:$B$11,MIN(5,MATCH(MAX(Reference!$A$6,MIN(Reference!$A$11,MIN($U145,120))),Reference!$A$6:$A$11,1))))/(INDEX(Reference!$A$6:$A$11,MIN(5,MATCH(MAX(Reference!$A$6,MIN(Reference!$A$11,MIN($U145,120))),Reference!$A$6:$A$11,1))+1)-INDEX(Reference!$A$6:$A$11,MIN(5,MATCH(MAX(Reference!$A$6,MIN(Reference!$A$11,MIN($U145,120))),Reference!$A$6:$A$11,1))))),0)+IF(3&lt;=$AL145,($AL145-3+3)*(INDEX(Reference!$B$6:$B$11,MIN(5,MATCH(MAX(Reference!$A$6,MIN(Reference!$A$11,MIN($U145,150))),Reference!$A$6:$A$11,1)))+(MAX(Reference!$A$6,MIN(Reference!$A$11,MIN($U145,150)))-INDEX(Reference!$A$6:$A$11,MIN(5,MATCH(MAX(Reference!$A$6,MIN(Reference!$A$11,MIN($U145,150))),Reference!$A$6:$A$11,1))))*(INDEX(Reference!$B$6:$B$11,MIN(5,MATCH(MAX(Reference!$A$6,MIN(Reference!$A$11,MIN($U145,150))),Reference!$A$6:$A$11,1))+1)-INDEX(Reference!$B$6:$B$11,MIN(5,MATCH(MAX(Reference!$A$6,MIN(Reference!$A$11,MIN($U145,150))),Reference!$A$6:$A$11,1))))/(INDEX(Reference!$A$6:$A$11,MIN(5,MATCH(MAX(Reference!$A$6,MIN(Reference!$A$11,MIN($U145,150))),Reference!$A$6:$A$11,1))+1)-INDEX(Reference!$A$6:$A$11,MIN(5,MATCH(MAX(Reference!$A$6,MIN(Reference!$A$11,MIN($U145,150))),Reference!$A$6:$A$11,1))))),0)+IF(4&lt;=$AL145,($AL145-4+3)*(INDEX(Reference!$B$6:$B$11,MIN(5,MATCH(MAX(Reference!$A$6,MIN(Reference!$A$11,MIN($U145,180))),Reference!$A$6:$A$11,1)))+(MAX(Reference!$A$6,MIN(Reference!$A$11,MIN($U145,180)))-INDEX(Reference!$A$6:$A$11,MIN(5,MATCH(MAX(Reference!$A$6,MIN(Reference!$A$11,MIN($U145,180))),Reference!$A$6:$A$11,1))))*(INDEX(Reference!$B$6:$B$11,MIN(5,MATCH(MAX(Reference!$A$6,MIN(Reference!$A$11,MIN($U145,180))),Reference!$A$6:$A$11,1))+1)-INDEX(Reference!$B$6:$B$11,MIN(5,MATCH(MAX(Reference!$A$6,MIN(Reference!$A$11,MIN($U145,180))),Reference!$A$6:$A$11,1))))/(INDEX(Reference!$A$6:$A$11,MIN(5,MATCH(MAX(Reference!$A$6,MIN(Reference!$A$11,MIN($U145,180))),Reference!$A$6:$A$11,1))+1)-INDEX(Reference!$A$6:$A$11,MIN(5,MATCH(MAX(Reference!$A$6,MIN(Reference!$A$11,MIN($U145,180))),Reference!$A$6:$A$11,1))))),0)+IF(5&lt;=$AL145,($AL145-5+3)*(INDEX(Reference!$B$6:$B$11,MIN(5,MATCH(MAX(Reference!$A$6,MIN(Reference!$A$11,MIN($U145,210))),Reference!$A$6:$A$11,1)))+(MAX(Reference!$A$6,MIN(Reference!$A$11,MIN($U145,210)))-INDEX(Reference!$A$6:$A$11,MIN(5,MATCH(MAX(Reference!$A$6,MIN(Reference!$A$11,MIN($U145,210))),Reference!$A$6:$A$11,1))))*(INDEX(Reference!$B$6:$B$11,MIN(5,MATCH(MAX(Reference!$A$6,MIN(Reference!$A$11,MIN($U145,210))),Reference!$A$6:$A$11,1))+1)-INDEX(Reference!$B$6:$B$11,MIN(5,MATCH(MAX(Reference!$A$6,MIN(Reference!$A$11,MIN($U145,210))),Reference!$A$6:$A$11,1))))/(INDEX(Reference!$A$6:$A$11,MIN(5,MATCH(MAX(Reference!$A$6,MIN(Reference!$A$11,MIN($U145,210))),Reference!$A$6:$A$11,1))+1)-INDEX(Reference!$A$6:$A$11,MIN(5,MATCH(MAX(Reference!$A$6,MIN(Reference!$A$11,MIN($U145,210))),Reference!$A$6:$A$11,1))))),0)+IF(6&lt;=$AL145,($AL145-6+3)*(INDEX(Reference!$B$6:$B$11,MIN(5,MATCH(MAX(Reference!$A$6,MIN(Reference!$A$11,MIN($U145,240))),Reference!$A$6:$A$11,1)))+(MAX(Reference!$A$6,MIN(Reference!$A$11,MIN($U145,240)))-INDEX(Reference!$A$6:$A$11,MIN(5,MATCH(MAX(Reference!$A$6,MIN(Reference!$A$11,MIN($U145,240))),Reference!$A$6:$A$11,1))))*(INDEX(Reference!$B$6:$B$11,MIN(5,MATCH(MAX(Reference!$A$6,MIN(Reference!$A$11,MIN($U145,240))),Reference!$A$6:$A$11,1))+1)-INDEX(Reference!$B$6:$B$11,MIN(5,MATCH(MAX(Reference!$A$6,MIN(Reference!$A$11,MIN($U145,240))),Reference!$A$6:$A$11,1))))/(INDEX(Reference!$A$6:$A$11,MIN(5,MATCH(MAX(Reference!$A$6,MIN(Reference!$A$11,MIN($U145,240))),Reference!$A$6:$A$11,1))+1)-INDEX(Reference!$A$6:$A$11,MIN(5,MATCH(MAX(Reference!$A$6,MIN(Reference!$A$11,MIN($U145,240))),Reference!$A$6:$A$11,1))))),0)+IF(7&lt;=$AL145,($AL145-7+3)*(INDEX(Reference!$B$6:$B$11,MIN(5,MATCH(MAX(Reference!$A$6,MIN(Reference!$A$11,MIN($U145,270))),Reference!$A$6:$A$11,1)))+(MAX(Reference!$A$6,MIN(Reference!$A$11,MIN($U145,270)))-INDEX(Reference!$A$6:$A$11,MIN(5,MATCH(MAX(Reference!$A$6,MIN(Reference!$A$11,MIN($U145,270))),Reference!$A$6:$A$11,1))))*(INDEX(Reference!$B$6:$B$11,MIN(5,MATCH(MAX(Reference!$A$6,MIN(Reference!$A$11,MIN($U145,270))),Reference!$A$6:$A$11,1))+1)-INDEX(Reference!$B$6:$B$11,MIN(5,MATCH(MAX(Reference!$A$6,MIN(Reference!$A$11,MIN($U145,270))),Reference!$A$6:$A$11,1))))/(INDEX(Reference!$A$6:$A$11,MIN(5,MATCH(MAX(Reference!$A$6,MIN(Reference!$A$11,MIN($U145,270))),Reference!$A$6:$A$11,1))+1)-INDEX(Reference!$A$6:$A$11,MIN(5,MATCH(MAX(Reference!$A$6,MIN(Reference!$A$11,MIN($U145,270))),Reference!$A$6:$A$11,1))))),0)+IF(8&lt;=$AL145,($AL145-8+3)*(INDEX(Reference!$B$6:$B$11,MIN(5,MATCH(MAX(Reference!$A$6,MIN(Reference!$A$11,MIN($U145,300))),Reference!$A$6:$A$11,1)))+(MAX(Reference!$A$6,MIN(Reference!$A$11,MIN($U145,300)))-INDEX(Reference!$A$6:$A$11,MIN(5,MATCH(MAX(Reference!$A$6,MIN(Reference!$A$11,MIN($U145,300))),Reference!$A$6:$A$11,1))))*(INDEX(Reference!$B$6:$B$11,MIN(5,MATCH(MAX(Reference!$A$6,MIN(Reference!$A$11,MIN($U145,300))),Reference!$A$6:$A$11,1))+1)-INDEX(Reference!$B$6:$B$11,MIN(5,MATCH(MAX(Reference!$A$6,MIN(Reference!$A$11,MIN($U145,300))),Reference!$A$6:$A$11,1))))/(INDEX(Reference!$A$6:$A$11,MIN(5,MATCH(MAX(Reference!$A$6,MIN(Reference!$A$11,MIN($U145,300))),Reference!$A$6:$A$11,1))+1)-INDEX(Reference!$A$6:$A$11,MIN(5,MATCH(MAX(Reference!$A$6,MIN(Reference!$A$11,MIN($U145,300))),Reference!$A$6:$A$11,1))))),0))/($AL145*($AL145+5)/2)),$AN145))</f>
        <v>0</v>
      </c>
      <c r="AN145" s="32">
        <f>IF($U145="",0,(INDEX(Reference!$B$6:$B$11,MIN(5,MATCH(MAX(Reference!$A$6,MIN(Reference!$A$11,$U145)),Reference!$A$6:$A$11,1)))+(MAX(Reference!$A$6,MIN(Reference!$A$11,$U145))-INDEX(Reference!$A$6:$A$11,MIN(5,MATCH(MAX(Reference!$A$6,MIN(Reference!$A$11,$U145)),Reference!$A$6:$A$11,1))))*(INDEX(Reference!$B$6:$B$11,MIN(5,MATCH(MAX(Reference!$A$6,MIN(Reference!$A$11,$U145)),Reference!$A$6:$A$11,1))+1)-INDEX(Reference!$B$6:$B$11,MIN(5,MATCH(MAX(Reference!$A$6,MIN(Reference!$A$11,$U145)),Reference!$A$6:$A$11,1))))/(INDEX(Reference!$A$6:$A$11,MIN(5,MATCH(MAX(Reference!$A$6,MIN(Reference!$A$11,$U145)),Reference!$A$6:$A$11,1))+1)-INDEX(Reference!$A$6:$A$11,MIN(5,MATCH(MAX(Reference!$A$6,MIN(Reference!$A$11,$U145)),Reference!$A$6:$A$11,1))))))</f>
        <v>0</v>
      </c>
      <c r="AO145" s="37"/>
      <c r="AP145" s="37"/>
      <c r="AQ145" s="37"/>
    </row>
    <row r="146" spans="1:43" x14ac:dyDescent="0.3">
      <c r="A146" s="48" t="str">
        <f t="shared" si="80"/>
        <v/>
      </c>
      <c r="B146" s="32" t="str">
        <f t="shared" si="81"/>
        <v/>
      </c>
      <c r="C146" s="32" t="str">
        <f t="shared" si="82"/>
        <v/>
      </c>
      <c r="D146" s="32" t="str">
        <f t="shared" si="83"/>
        <v/>
      </c>
      <c r="E146" s="32" t="str">
        <f t="shared" si="84"/>
        <v/>
      </c>
      <c r="F146" s="32" t="str">
        <f t="shared" si="85"/>
        <v/>
      </c>
      <c r="G146" s="47" t="str">
        <f t="shared" si="86"/>
        <v/>
      </c>
      <c r="H146" s="30" t="str">
        <f t="shared" si="87"/>
        <v/>
      </c>
      <c r="I146" s="46" t="str">
        <f>IF($A146="","",IF(AND($L146&lt;27,$K$12=0),"Building",IFERROR(((SUM($H$140:$H146)+$K$12*IF($L146&lt;6,SUMIFS('Throw Log'!$Q$5:$Q$300,'Throw Log'!$B$5:$B$300,$D$4,'Throw Log'!$A$5:$A$300,"&gt;="&amp;($D$6+$L146-6),'Throw Log'!$A$5:$A$300,"&lt;="&amp;($D$6-1)),0))/7)/((SUM($H$119:$H146)+$K$12*IF($L146&lt;27,SUMIFS('Throw Log'!$Q$5:$Q$300,'Throw Log'!$B$5:$B$300,$D$4,'Throw Log'!$A$5:$A$300,"&gt;="&amp;($D$6+$L146-27),'Throw Log'!$A$5:$A$300,"&lt;="&amp;($D$6-1)),0))/28),"")))</f>
        <v/>
      </c>
      <c r="J146" s="37"/>
      <c r="K146" s="37"/>
      <c r="L146" s="32">
        <v>103</v>
      </c>
      <c r="M146" s="32">
        <f t="shared" si="88"/>
        <v>15</v>
      </c>
      <c r="N146" s="32">
        <f t="shared" si="89"/>
        <v>5</v>
      </c>
      <c r="O146" s="32">
        <f t="shared" si="90"/>
        <v>1</v>
      </c>
      <c r="P146" s="32" t="str">
        <f>IF(OR($A146="",N($C146)&lt;=7),"",$G$6*$G$9^($M146-1)*IF(AND(MOD($M146,Reference!$B$99)=0,$M146&lt;=$G$5-2),Reference!$B$100,1))</f>
        <v/>
      </c>
      <c r="Q146" s="32" t="str">
        <f>IF($P146="","",IF(SUM($AK$141:$AK$147)=0,0,$P146*INDEX(Reference!$B$108:$B$114,$N146+1)/SUM($AK$141:$AK$147)))</f>
        <v/>
      </c>
      <c r="R146" s="32">
        <f t="shared" si="91"/>
        <v>180</v>
      </c>
      <c r="S146" s="32">
        <f t="shared" si="92"/>
        <v>150</v>
      </c>
      <c r="T146" s="32" t="str">
        <f>IF($A146="","",IF($C146=0,"Bullpen",IF(OR($C146=7,$C146=1,$C146=5),"Recovery/Easy Catch",IF($C146=6,"Compression/Pulldowns",IF(OR($C146=4,$C146=2),"Long Toss",IF($C146=3,"No Throw",IF($N146=2,"No Throw",IF($N146=6,IF($O146&lt;Reference!$B$104,"No Throw","Recovery/Easy Catch"),IF(OR($N146=0,$N146=4),"Recovery/Easy Catch",IF($N146=1,IF($R146&gt;75,"Long Toss","Recovery/Easy Catch"),IF($N146=3,IF($O146&lt;0.5,IF($S146&gt;75,"Long Toss","Recovery/Easy Catch"),"Compression/Pulldowns"),IF($S146&gt;75,"Long Toss","Recovery/Easy Catch"))))))))))))</f>
        <v/>
      </c>
      <c r="U146" s="32" t="str">
        <f t="shared" si="93"/>
        <v/>
      </c>
      <c r="V146" s="32" t="str">
        <f t="shared" si="94"/>
        <v/>
      </c>
      <c r="W146" s="32" t="str">
        <f t="shared" si="95"/>
        <v/>
      </c>
      <c r="X146" s="32">
        <f t="shared" si="96"/>
        <v>0</v>
      </c>
      <c r="Y146" s="32" t="str">
        <f t="shared" si="97"/>
        <v/>
      </c>
      <c r="Z146" s="32" t="str">
        <f t="shared" si="98"/>
        <v/>
      </c>
      <c r="AA146" s="32" t="str">
        <f t="shared" si="99"/>
        <v/>
      </c>
      <c r="AB146" s="32" t="str">
        <f>IF($A146="","",IF($T146="No Throw",0,IF($K146&lt;&gt;"",$K146,IF($AA146&lt;&gt;"",ROUND($AA146*$D$12*IF($C146=0,1,$G$10),0),MIN(IF($T146="Recovery/Easy Catch",Reference!$B$103,IF($T146="Long Toss",Reference!$B$106,Reference!$B$102)),MAX(Reference!$B$101,ROUND(MAX(0,$Q146-$AE146)/$AF146,0)))))))</f>
        <v/>
      </c>
      <c r="AC146" s="32">
        <f t="shared" si="100"/>
        <v>0</v>
      </c>
      <c r="AD146" s="32" t="b">
        <f t="shared" si="101"/>
        <v>1</v>
      </c>
      <c r="AE146" s="32">
        <f>IF($X146=0,0,$X146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146+$Z146)/2,0),Reference!$A$17:$B$20,2,TRUE()))</f>
        <v>0</v>
      </c>
      <c r="AF146" s="32">
        <f>IF(OR($A146="",$U146="",$T146="No Throw"),0,$AM146*VLOOKUP(MAX(($V146+$W146)/2,0),Reference!$A$17:$B$20,2,TRUE()))</f>
        <v>0</v>
      </c>
      <c r="AG146" s="32">
        <f>IF($AC146=0,0,$AC146*INDEX(Reference!$B$61:$B$62,MATCH("Bullpen",Reference!$A$61:$A$62,0))*VLOOKUP(MAX($D$5-($D$9+$E$9)/2,0),Reference!$A$17:$B$20,2,TRUE()))</f>
        <v>0</v>
      </c>
      <c r="AH146" s="32" t="e">
        <f t="shared" si="102"/>
        <v>#N/A</v>
      </c>
      <c r="AI146" s="32" t="e">
        <f>IF($A146="",NA(),Reference!$A$25)</f>
        <v>#N/A</v>
      </c>
      <c r="AJ146" s="32" t="e">
        <f t="shared" si="103"/>
        <v>#N/A</v>
      </c>
      <c r="AK146" s="32">
        <f>IF(OR($A146="",N($C146)&lt;=7,$T146="No Throw",$J146="x"),0,INDEX(Reference!$B$108:$B$114,$N146+1))</f>
        <v>0</v>
      </c>
      <c r="AL146" s="32">
        <f t="shared" si="104"/>
        <v>1</v>
      </c>
      <c r="AM146" s="32">
        <f>IF($U146="",0,IF($AL146&gt;1,((IF(1&lt;=$AL146,($AL146-1+3)*(INDEX(Reference!$B$6:$B$11,MIN(5,MATCH(MAX(Reference!$A$6,MIN(Reference!$A$11,MIN($U146,90))),Reference!$A$6:$A$11,1)))+(MAX(Reference!$A$6,MIN(Reference!$A$11,MIN($U146,90)))-INDEX(Reference!$A$6:$A$11,MIN(5,MATCH(MAX(Reference!$A$6,MIN(Reference!$A$11,MIN($U146,90))),Reference!$A$6:$A$11,1))))*(INDEX(Reference!$B$6:$B$11,MIN(5,MATCH(MAX(Reference!$A$6,MIN(Reference!$A$11,MIN($U146,90))),Reference!$A$6:$A$11,1))+1)-INDEX(Reference!$B$6:$B$11,MIN(5,MATCH(MAX(Reference!$A$6,MIN(Reference!$A$11,MIN($U146,90))),Reference!$A$6:$A$11,1))))/(INDEX(Reference!$A$6:$A$11,MIN(5,MATCH(MAX(Reference!$A$6,MIN(Reference!$A$11,MIN($U146,90))),Reference!$A$6:$A$11,1))+1)-INDEX(Reference!$A$6:$A$11,MIN(5,MATCH(MAX(Reference!$A$6,MIN(Reference!$A$11,MIN($U146,90))),Reference!$A$6:$A$11,1))))),0)+IF(2&lt;=$AL146,($AL146-2+3)*(INDEX(Reference!$B$6:$B$11,MIN(5,MATCH(MAX(Reference!$A$6,MIN(Reference!$A$11,MIN($U146,120))),Reference!$A$6:$A$11,1)))+(MAX(Reference!$A$6,MIN(Reference!$A$11,MIN($U146,120)))-INDEX(Reference!$A$6:$A$11,MIN(5,MATCH(MAX(Reference!$A$6,MIN(Reference!$A$11,MIN($U146,120))),Reference!$A$6:$A$11,1))))*(INDEX(Reference!$B$6:$B$11,MIN(5,MATCH(MAX(Reference!$A$6,MIN(Reference!$A$11,MIN($U146,120))),Reference!$A$6:$A$11,1))+1)-INDEX(Reference!$B$6:$B$11,MIN(5,MATCH(MAX(Reference!$A$6,MIN(Reference!$A$11,MIN($U146,120))),Reference!$A$6:$A$11,1))))/(INDEX(Reference!$A$6:$A$11,MIN(5,MATCH(MAX(Reference!$A$6,MIN(Reference!$A$11,MIN($U146,120))),Reference!$A$6:$A$11,1))+1)-INDEX(Reference!$A$6:$A$11,MIN(5,MATCH(MAX(Reference!$A$6,MIN(Reference!$A$11,MIN($U146,120))),Reference!$A$6:$A$11,1))))),0)+IF(3&lt;=$AL146,($AL146-3+3)*(INDEX(Reference!$B$6:$B$11,MIN(5,MATCH(MAX(Reference!$A$6,MIN(Reference!$A$11,MIN($U146,150))),Reference!$A$6:$A$11,1)))+(MAX(Reference!$A$6,MIN(Reference!$A$11,MIN($U146,150)))-INDEX(Reference!$A$6:$A$11,MIN(5,MATCH(MAX(Reference!$A$6,MIN(Reference!$A$11,MIN($U146,150))),Reference!$A$6:$A$11,1))))*(INDEX(Reference!$B$6:$B$11,MIN(5,MATCH(MAX(Reference!$A$6,MIN(Reference!$A$11,MIN($U146,150))),Reference!$A$6:$A$11,1))+1)-INDEX(Reference!$B$6:$B$11,MIN(5,MATCH(MAX(Reference!$A$6,MIN(Reference!$A$11,MIN($U146,150))),Reference!$A$6:$A$11,1))))/(INDEX(Reference!$A$6:$A$11,MIN(5,MATCH(MAX(Reference!$A$6,MIN(Reference!$A$11,MIN($U146,150))),Reference!$A$6:$A$11,1))+1)-INDEX(Reference!$A$6:$A$11,MIN(5,MATCH(MAX(Reference!$A$6,MIN(Reference!$A$11,MIN($U146,150))),Reference!$A$6:$A$11,1))))),0)+IF(4&lt;=$AL146,($AL146-4+3)*(INDEX(Reference!$B$6:$B$11,MIN(5,MATCH(MAX(Reference!$A$6,MIN(Reference!$A$11,MIN($U146,180))),Reference!$A$6:$A$11,1)))+(MAX(Reference!$A$6,MIN(Reference!$A$11,MIN($U146,180)))-INDEX(Reference!$A$6:$A$11,MIN(5,MATCH(MAX(Reference!$A$6,MIN(Reference!$A$11,MIN($U146,180))),Reference!$A$6:$A$11,1))))*(INDEX(Reference!$B$6:$B$11,MIN(5,MATCH(MAX(Reference!$A$6,MIN(Reference!$A$11,MIN($U146,180))),Reference!$A$6:$A$11,1))+1)-INDEX(Reference!$B$6:$B$11,MIN(5,MATCH(MAX(Reference!$A$6,MIN(Reference!$A$11,MIN($U146,180))),Reference!$A$6:$A$11,1))))/(INDEX(Reference!$A$6:$A$11,MIN(5,MATCH(MAX(Reference!$A$6,MIN(Reference!$A$11,MIN($U146,180))),Reference!$A$6:$A$11,1))+1)-INDEX(Reference!$A$6:$A$11,MIN(5,MATCH(MAX(Reference!$A$6,MIN(Reference!$A$11,MIN($U146,180))),Reference!$A$6:$A$11,1))))),0)+IF(5&lt;=$AL146,($AL146-5+3)*(INDEX(Reference!$B$6:$B$11,MIN(5,MATCH(MAX(Reference!$A$6,MIN(Reference!$A$11,MIN($U146,210))),Reference!$A$6:$A$11,1)))+(MAX(Reference!$A$6,MIN(Reference!$A$11,MIN($U146,210)))-INDEX(Reference!$A$6:$A$11,MIN(5,MATCH(MAX(Reference!$A$6,MIN(Reference!$A$11,MIN($U146,210))),Reference!$A$6:$A$11,1))))*(INDEX(Reference!$B$6:$B$11,MIN(5,MATCH(MAX(Reference!$A$6,MIN(Reference!$A$11,MIN($U146,210))),Reference!$A$6:$A$11,1))+1)-INDEX(Reference!$B$6:$B$11,MIN(5,MATCH(MAX(Reference!$A$6,MIN(Reference!$A$11,MIN($U146,210))),Reference!$A$6:$A$11,1))))/(INDEX(Reference!$A$6:$A$11,MIN(5,MATCH(MAX(Reference!$A$6,MIN(Reference!$A$11,MIN($U146,210))),Reference!$A$6:$A$11,1))+1)-INDEX(Reference!$A$6:$A$11,MIN(5,MATCH(MAX(Reference!$A$6,MIN(Reference!$A$11,MIN($U146,210))),Reference!$A$6:$A$11,1))))),0)+IF(6&lt;=$AL146,($AL146-6+3)*(INDEX(Reference!$B$6:$B$11,MIN(5,MATCH(MAX(Reference!$A$6,MIN(Reference!$A$11,MIN($U146,240))),Reference!$A$6:$A$11,1)))+(MAX(Reference!$A$6,MIN(Reference!$A$11,MIN($U146,240)))-INDEX(Reference!$A$6:$A$11,MIN(5,MATCH(MAX(Reference!$A$6,MIN(Reference!$A$11,MIN($U146,240))),Reference!$A$6:$A$11,1))))*(INDEX(Reference!$B$6:$B$11,MIN(5,MATCH(MAX(Reference!$A$6,MIN(Reference!$A$11,MIN($U146,240))),Reference!$A$6:$A$11,1))+1)-INDEX(Reference!$B$6:$B$11,MIN(5,MATCH(MAX(Reference!$A$6,MIN(Reference!$A$11,MIN($U146,240))),Reference!$A$6:$A$11,1))))/(INDEX(Reference!$A$6:$A$11,MIN(5,MATCH(MAX(Reference!$A$6,MIN(Reference!$A$11,MIN($U146,240))),Reference!$A$6:$A$11,1))+1)-INDEX(Reference!$A$6:$A$11,MIN(5,MATCH(MAX(Reference!$A$6,MIN(Reference!$A$11,MIN($U146,240))),Reference!$A$6:$A$11,1))))),0)+IF(7&lt;=$AL146,($AL146-7+3)*(INDEX(Reference!$B$6:$B$11,MIN(5,MATCH(MAX(Reference!$A$6,MIN(Reference!$A$11,MIN($U146,270))),Reference!$A$6:$A$11,1)))+(MAX(Reference!$A$6,MIN(Reference!$A$11,MIN($U146,270)))-INDEX(Reference!$A$6:$A$11,MIN(5,MATCH(MAX(Reference!$A$6,MIN(Reference!$A$11,MIN($U146,270))),Reference!$A$6:$A$11,1))))*(INDEX(Reference!$B$6:$B$11,MIN(5,MATCH(MAX(Reference!$A$6,MIN(Reference!$A$11,MIN($U146,270))),Reference!$A$6:$A$11,1))+1)-INDEX(Reference!$B$6:$B$11,MIN(5,MATCH(MAX(Reference!$A$6,MIN(Reference!$A$11,MIN($U146,270))),Reference!$A$6:$A$11,1))))/(INDEX(Reference!$A$6:$A$11,MIN(5,MATCH(MAX(Reference!$A$6,MIN(Reference!$A$11,MIN($U146,270))),Reference!$A$6:$A$11,1))+1)-INDEX(Reference!$A$6:$A$11,MIN(5,MATCH(MAX(Reference!$A$6,MIN(Reference!$A$11,MIN($U146,270))),Reference!$A$6:$A$11,1))))),0)+IF(8&lt;=$AL146,($AL146-8+3)*(INDEX(Reference!$B$6:$B$11,MIN(5,MATCH(MAX(Reference!$A$6,MIN(Reference!$A$11,MIN($U146,300))),Reference!$A$6:$A$11,1)))+(MAX(Reference!$A$6,MIN(Reference!$A$11,MIN($U146,300)))-INDEX(Reference!$A$6:$A$11,MIN(5,MATCH(MAX(Reference!$A$6,MIN(Reference!$A$11,MIN($U146,300))),Reference!$A$6:$A$11,1))))*(INDEX(Reference!$B$6:$B$11,MIN(5,MATCH(MAX(Reference!$A$6,MIN(Reference!$A$11,MIN($U146,300))),Reference!$A$6:$A$11,1))+1)-INDEX(Reference!$B$6:$B$11,MIN(5,MATCH(MAX(Reference!$A$6,MIN(Reference!$A$11,MIN($U146,300))),Reference!$A$6:$A$11,1))))/(INDEX(Reference!$A$6:$A$11,MIN(5,MATCH(MAX(Reference!$A$6,MIN(Reference!$A$11,MIN($U146,300))),Reference!$A$6:$A$11,1))+1)-INDEX(Reference!$A$6:$A$11,MIN(5,MATCH(MAX(Reference!$A$6,MIN(Reference!$A$11,MIN($U146,300))),Reference!$A$6:$A$11,1))))),0))/($AL146*($AL146+5)/2)),$AN146))</f>
        <v>0</v>
      </c>
      <c r="AN146" s="32">
        <f>IF($U146="",0,(INDEX(Reference!$B$6:$B$11,MIN(5,MATCH(MAX(Reference!$A$6,MIN(Reference!$A$11,$U146)),Reference!$A$6:$A$11,1)))+(MAX(Reference!$A$6,MIN(Reference!$A$11,$U146))-INDEX(Reference!$A$6:$A$11,MIN(5,MATCH(MAX(Reference!$A$6,MIN(Reference!$A$11,$U146)),Reference!$A$6:$A$11,1))))*(INDEX(Reference!$B$6:$B$11,MIN(5,MATCH(MAX(Reference!$A$6,MIN(Reference!$A$11,$U146)),Reference!$A$6:$A$11,1))+1)-INDEX(Reference!$B$6:$B$11,MIN(5,MATCH(MAX(Reference!$A$6,MIN(Reference!$A$11,$U146)),Reference!$A$6:$A$11,1))))/(INDEX(Reference!$A$6:$A$11,MIN(5,MATCH(MAX(Reference!$A$6,MIN(Reference!$A$11,$U146)),Reference!$A$6:$A$11,1))+1)-INDEX(Reference!$A$6:$A$11,MIN(5,MATCH(MAX(Reference!$A$6,MIN(Reference!$A$11,$U146)),Reference!$A$6:$A$11,1))))))</f>
        <v>0</v>
      </c>
      <c r="AO146" s="37"/>
      <c r="AP146" s="37"/>
      <c r="AQ146" s="37"/>
    </row>
    <row r="147" spans="1:43" x14ac:dyDescent="0.3">
      <c r="A147" s="48" t="str">
        <f t="shared" si="80"/>
        <v/>
      </c>
      <c r="B147" s="32" t="str">
        <f t="shared" si="81"/>
        <v/>
      </c>
      <c r="C147" s="32" t="str">
        <f t="shared" si="82"/>
        <v/>
      </c>
      <c r="D147" s="32" t="str">
        <f t="shared" si="83"/>
        <v/>
      </c>
      <c r="E147" s="32" t="str">
        <f t="shared" si="84"/>
        <v/>
      </c>
      <c r="F147" s="32" t="str">
        <f t="shared" si="85"/>
        <v/>
      </c>
      <c r="G147" s="47" t="str">
        <f t="shared" si="86"/>
        <v/>
      </c>
      <c r="H147" s="30" t="str">
        <f t="shared" si="87"/>
        <v/>
      </c>
      <c r="I147" s="46" t="str">
        <f>IF($A147="","",IF(AND($L147&lt;27,$K$12=0),"Building",IFERROR(((SUM($H$141:$H147)+$K$12*IF($L147&lt;6,SUMIFS('Throw Log'!$Q$5:$Q$300,'Throw Log'!$B$5:$B$300,$D$4,'Throw Log'!$A$5:$A$300,"&gt;="&amp;($D$6+$L147-6),'Throw Log'!$A$5:$A$300,"&lt;="&amp;($D$6-1)),0))/7)/((SUM($H$120:$H147)+$K$12*IF($L147&lt;27,SUMIFS('Throw Log'!$Q$5:$Q$300,'Throw Log'!$B$5:$B$300,$D$4,'Throw Log'!$A$5:$A$300,"&gt;="&amp;($D$6+$L147-27),'Throw Log'!$A$5:$A$300,"&lt;="&amp;($D$6-1)),0))/28),"")))</f>
        <v/>
      </c>
      <c r="J147" s="37"/>
      <c r="K147" s="37"/>
      <c r="L147" s="32">
        <v>104</v>
      </c>
      <c r="M147" s="32">
        <f t="shared" si="88"/>
        <v>15</v>
      </c>
      <c r="N147" s="32">
        <f t="shared" si="89"/>
        <v>6</v>
      </c>
      <c r="O147" s="32">
        <f t="shared" si="90"/>
        <v>1</v>
      </c>
      <c r="P147" s="32" t="str">
        <f>IF(OR($A147="",N($C147)&lt;=7),"",$G$6*$G$9^($M147-1)*IF(AND(MOD($M147,Reference!$B$99)=0,$M147&lt;=$G$5-2),Reference!$B$100,1))</f>
        <v/>
      </c>
      <c r="Q147" s="32" t="str">
        <f>IF($P147="","",IF(SUM($AK$141:$AK$147)=0,0,$P147*INDEX(Reference!$B$108:$B$114,$N147+1)/SUM($AK$141:$AK$147)))</f>
        <v/>
      </c>
      <c r="R147" s="32">
        <f t="shared" si="91"/>
        <v>180</v>
      </c>
      <c r="S147" s="32">
        <f t="shared" si="92"/>
        <v>150</v>
      </c>
      <c r="T147" s="32" t="str">
        <f>IF($A147="","",IF($C147=0,"Bullpen",IF(OR($C147=7,$C147=1,$C147=5),"Recovery/Easy Catch",IF($C147=6,"Compression/Pulldowns",IF(OR($C147=4,$C147=2),"Long Toss",IF($C147=3,"No Throw",IF($N147=2,"No Throw",IF($N147=6,IF($O147&lt;Reference!$B$104,"No Throw","Recovery/Easy Catch"),IF(OR($N147=0,$N147=4),"Recovery/Easy Catch",IF($N147=1,IF($R147&gt;75,"Long Toss","Recovery/Easy Catch"),IF($N147=3,IF($O147&lt;0.5,IF($S147&gt;75,"Long Toss","Recovery/Easy Catch"),"Compression/Pulldowns"),IF($S147&gt;75,"Long Toss","Recovery/Easy Catch"))))))))))))</f>
        <v/>
      </c>
      <c r="U147" s="32" t="str">
        <f t="shared" si="93"/>
        <v/>
      </c>
      <c r="V147" s="32" t="str">
        <f t="shared" si="94"/>
        <v/>
      </c>
      <c r="W147" s="32" t="str">
        <f t="shared" si="95"/>
        <v/>
      </c>
      <c r="X147" s="32">
        <f t="shared" si="96"/>
        <v>0</v>
      </c>
      <c r="Y147" s="32" t="str">
        <f t="shared" si="97"/>
        <v/>
      </c>
      <c r="Z147" s="32" t="str">
        <f t="shared" si="98"/>
        <v/>
      </c>
      <c r="AA147" s="32" t="str">
        <f t="shared" si="99"/>
        <v/>
      </c>
      <c r="AB147" s="32" t="str">
        <f>IF($A147="","",IF($T147="No Throw",0,IF($K147&lt;&gt;"",$K147,IF($AA147&lt;&gt;"",ROUND($AA147*$D$12*IF($C147=0,1,$G$10),0),MIN(IF($T147="Recovery/Easy Catch",Reference!$B$103,IF($T147="Long Toss",Reference!$B$106,Reference!$B$102)),MAX(Reference!$B$101,ROUND(MAX(0,$Q147-$AE147)/$AF147,0)))))))</f>
        <v/>
      </c>
      <c r="AC147" s="32">
        <f t="shared" si="100"/>
        <v>0</v>
      </c>
      <c r="AD147" s="32" t="b">
        <f t="shared" si="101"/>
        <v>1</v>
      </c>
      <c r="AE147" s="32">
        <f>IF($X147=0,0,$X147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147+$Z147)/2,0),Reference!$A$17:$B$20,2,TRUE()))</f>
        <v>0</v>
      </c>
      <c r="AF147" s="32">
        <f>IF(OR($A147="",$U147="",$T147="No Throw"),0,$AM147*VLOOKUP(MAX(($V147+$W147)/2,0),Reference!$A$17:$B$20,2,TRUE()))</f>
        <v>0</v>
      </c>
      <c r="AG147" s="32">
        <f>IF($AC147=0,0,$AC147*INDEX(Reference!$B$61:$B$62,MATCH("Bullpen",Reference!$A$61:$A$62,0))*VLOOKUP(MAX($D$5-($D$9+$E$9)/2,0),Reference!$A$17:$B$20,2,TRUE()))</f>
        <v>0</v>
      </c>
      <c r="AH147" s="32" t="e">
        <f t="shared" si="102"/>
        <v>#N/A</v>
      </c>
      <c r="AI147" s="32" t="e">
        <f>IF($A147="",NA(),Reference!$A$25)</f>
        <v>#N/A</v>
      </c>
      <c r="AJ147" s="32" t="e">
        <f t="shared" si="103"/>
        <v>#N/A</v>
      </c>
      <c r="AK147" s="32">
        <f>IF(OR($A147="",N($C147)&lt;=7,$T147="No Throw",$J147="x"),0,INDEX(Reference!$B$108:$B$114,$N147+1))</f>
        <v>0</v>
      </c>
      <c r="AL147" s="32">
        <f t="shared" si="104"/>
        <v>1</v>
      </c>
      <c r="AM147" s="32">
        <f>IF($U147="",0,IF($AL147&gt;1,((IF(1&lt;=$AL147,($AL147-1+3)*(INDEX(Reference!$B$6:$B$11,MIN(5,MATCH(MAX(Reference!$A$6,MIN(Reference!$A$11,MIN($U147,90))),Reference!$A$6:$A$11,1)))+(MAX(Reference!$A$6,MIN(Reference!$A$11,MIN($U147,90)))-INDEX(Reference!$A$6:$A$11,MIN(5,MATCH(MAX(Reference!$A$6,MIN(Reference!$A$11,MIN($U147,90))),Reference!$A$6:$A$11,1))))*(INDEX(Reference!$B$6:$B$11,MIN(5,MATCH(MAX(Reference!$A$6,MIN(Reference!$A$11,MIN($U147,90))),Reference!$A$6:$A$11,1))+1)-INDEX(Reference!$B$6:$B$11,MIN(5,MATCH(MAX(Reference!$A$6,MIN(Reference!$A$11,MIN($U147,90))),Reference!$A$6:$A$11,1))))/(INDEX(Reference!$A$6:$A$11,MIN(5,MATCH(MAX(Reference!$A$6,MIN(Reference!$A$11,MIN($U147,90))),Reference!$A$6:$A$11,1))+1)-INDEX(Reference!$A$6:$A$11,MIN(5,MATCH(MAX(Reference!$A$6,MIN(Reference!$A$11,MIN($U147,90))),Reference!$A$6:$A$11,1))))),0)+IF(2&lt;=$AL147,($AL147-2+3)*(INDEX(Reference!$B$6:$B$11,MIN(5,MATCH(MAX(Reference!$A$6,MIN(Reference!$A$11,MIN($U147,120))),Reference!$A$6:$A$11,1)))+(MAX(Reference!$A$6,MIN(Reference!$A$11,MIN($U147,120)))-INDEX(Reference!$A$6:$A$11,MIN(5,MATCH(MAX(Reference!$A$6,MIN(Reference!$A$11,MIN($U147,120))),Reference!$A$6:$A$11,1))))*(INDEX(Reference!$B$6:$B$11,MIN(5,MATCH(MAX(Reference!$A$6,MIN(Reference!$A$11,MIN($U147,120))),Reference!$A$6:$A$11,1))+1)-INDEX(Reference!$B$6:$B$11,MIN(5,MATCH(MAX(Reference!$A$6,MIN(Reference!$A$11,MIN($U147,120))),Reference!$A$6:$A$11,1))))/(INDEX(Reference!$A$6:$A$11,MIN(5,MATCH(MAX(Reference!$A$6,MIN(Reference!$A$11,MIN($U147,120))),Reference!$A$6:$A$11,1))+1)-INDEX(Reference!$A$6:$A$11,MIN(5,MATCH(MAX(Reference!$A$6,MIN(Reference!$A$11,MIN($U147,120))),Reference!$A$6:$A$11,1))))),0)+IF(3&lt;=$AL147,($AL147-3+3)*(INDEX(Reference!$B$6:$B$11,MIN(5,MATCH(MAX(Reference!$A$6,MIN(Reference!$A$11,MIN($U147,150))),Reference!$A$6:$A$11,1)))+(MAX(Reference!$A$6,MIN(Reference!$A$11,MIN($U147,150)))-INDEX(Reference!$A$6:$A$11,MIN(5,MATCH(MAX(Reference!$A$6,MIN(Reference!$A$11,MIN($U147,150))),Reference!$A$6:$A$11,1))))*(INDEX(Reference!$B$6:$B$11,MIN(5,MATCH(MAX(Reference!$A$6,MIN(Reference!$A$11,MIN($U147,150))),Reference!$A$6:$A$11,1))+1)-INDEX(Reference!$B$6:$B$11,MIN(5,MATCH(MAX(Reference!$A$6,MIN(Reference!$A$11,MIN($U147,150))),Reference!$A$6:$A$11,1))))/(INDEX(Reference!$A$6:$A$11,MIN(5,MATCH(MAX(Reference!$A$6,MIN(Reference!$A$11,MIN($U147,150))),Reference!$A$6:$A$11,1))+1)-INDEX(Reference!$A$6:$A$11,MIN(5,MATCH(MAX(Reference!$A$6,MIN(Reference!$A$11,MIN($U147,150))),Reference!$A$6:$A$11,1))))),0)+IF(4&lt;=$AL147,($AL147-4+3)*(INDEX(Reference!$B$6:$B$11,MIN(5,MATCH(MAX(Reference!$A$6,MIN(Reference!$A$11,MIN($U147,180))),Reference!$A$6:$A$11,1)))+(MAX(Reference!$A$6,MIN(Reference!$A$11,MIN($U147,180)))-INDEX(Reference!$A$6:$A$11,MIN(5,MATCH(MAX(Reference!$A$6,MIN(Reference!$A$11,MIN($U147,180))),Reference!$A$6:$A$11,1))))*(INDEX(Reference!$B$6:$B$11,MIN(5,MATCH(MAX(Reference!$A$6,MIN(Reference!$A$11,MIN($U147,180))),Reference!$A$6:$A$11,1))+1)-INDEX(Reference!$B$6:$B$11,MIN(5,MATCH(MAX(Reference!$A$6,MIN(Reference!$A$11,MIN($U147,180))),Reference!$A$6:$A$11,1))))/(INDEX(Reference!$A$6:$A$11,MIN(5,MATCH(MAX(Reference!$A$6,MIN(Reference!$A$11,MIN($U147,180))),Reference!$A$6:$A$11,1))+1)-INDEX(Reference!$A$6:$A$11,MIN(5,MATCH(MAX(Reference!$A$6,MIN(Reference!$A$11,MIN($U147,180))),Reference!$A$6:$A$11,1))))),0)+IF(5&lt;=$AL147,($AL147-5+3)*(INDEX(Reference!$B$6:$B$11,MIN(5,MATCH(MAX(Reference!$A$6,MIN(Reference!$A$11,MIN($U147,210))),Reference!$A$6:$A$11,1)))+(MAX(Reference!$A$6,MIN(Reference!$A$11,MIN($U147,210)))-INDEX(Reference!$A$6:$A$11,MIN(5,MATCH(MAX(Reference!$A$6,MIN(Reference!$A$11,MIN($U147,210))),Reference!$A$6:$A$11,1))))*(INDEX(Reference!$B$6:$B$11,MIN(5,MATCH(MAX(Reference!$A$6,MIN(Reference!$A$11,MIN($U147,210))),Reference!$A$6:$A$11,1))+1)-INDEX(Reference!$B$6:$B$11,MIN(5,MATCH(MAX(Reference!$A$6,MIN(Reference!$A$11,MIN($U147,210))),Reference!$A$6:$A$11,1))))/(INDEX(Reference!$A$6:$A$11,MIN(5,MATCH(MAX(Reference!$A$6,MIN(Reference!$A$11,MIN($U147,210))),Reference!$A$6:$A$11,1))+1)-INDEX(Reference!$A$6:$A$11,MIN(5,MATCH(MAX(Reference!$A$6,MIN(Reference!$A$11,MIN($U147,210))),Reference!$A$6:$A$11,1))))),0)+IF(6&lt;=$AL147,($AL147-6+3)*(INDEX(Reference!$B$6:$B$11,MIN(5,MATCH(MAX(Reference!$A$6,MIN(Reference!$A$11,MIN($U147,240))),Reference!$A$6:$A$11,1)))+(MAX(Reference!$A$6,MIN(Reference!$A$11,MIN($U147,240)))-INDEX(Reference!$A$6:$A$11,MIN(5,MATCH(MAX(Reference!$A$6,MIN(Reference!$A$11,MIN($U147,240))),Reference!$A$6:$A$11,1))))*(INDEX(Reference!$B$6:$B$11,MIN(5,MATCH(MAX(Reference!$A$6,MIN(Reference!$A$11,MIN($U147,240))),Reference!$A$6:$A$11,1))+1)-INDEX(Reference!$B$6:$B$11,MIN(5,MATCH(MAX(Reference!$A$6,MIN(Reference!$A$11,MIN($U147,240))),Reference!$A$6:$A$11,1))))/(INDEX(Reference!$A$6:$A$11,MIN(5,MATCH(MAX(Reference!$A$6,MIN(Reference!$A$11,MIN($U147,240))),Reference!$A$6:$A$11,1))+1)-INDEX(Reference!$A$6:$A$11,MIN(5,MATCH(MAX(Reference!$A$6,MIN(Reference!$A$11,MIN($U147,240))),Reference!$A$6:$A$11,1))))),0)+IF(7&lt;=$AL147,($AL147-7+3)*(INDEX(Reference!$B$6:$B$11,MIN(5,MATCH(MAX(Reference!$A$6,MIN(Reference!$A$11,MIN($U147,270))),Reference!$A$6:$A$11,1)))+(MAX(Reference!$A$6,MIN(Reference!$A$11,MIN($U147,270)))-INDEX(Reference!$A$6:$A$11,MIN(5,MATCH(MAX(Reference!$A$6,MIN(Reference!$A$11,MIN($U147,270))),Reference!$A$6:$A$11,1))))*(INDEX(Reference!$B$6:$B$11,MIN(5,MATCH(MAX(Reference!$A$6,MIN(Reference!$A$11,MIN($U147,270))),Reference!$A$6:$A$11,1))+1)-INDEX(Reference!$B$6:$B$11,MIN(5,MATCH(MAX(Reference!$A$6,MIN(Reference!$A$11,MIN($U147,270))),Reference!$A$6:$A$11,1))))/(INDEX(Reference!$A$6:$A$11,MIN(5,MATCH(MAX(Reference!$A$6,MIN(Reference!$A$11,MIN($U147,270))),Reference!$A$6:$A$11,1))+1)-INDEX(Reference!$A$6:$A$11,MIN(5,MATCH(MAX(Reference!$A$6,MIN(Reference!$A$11,MIN($U147,270))),Reference!$A$6:$A$11,1))))),0)+IF(8&lt;=$AL147,($AL147-8+3)*(INDEX(Reference!$B$6:$B$11,MIN(5,MATCH(MAX(Reference!$A$6,MIN(Reference!$A$11,MIN($U147,300))),Reference!$A$6:$A$11,1)))+(MAX(Reference!$A$6,MIN(Reference!$A$11,MIN($U147,300)))-INDEX(Reference!$A$6:$A$11,MIN(5,MATCH(MAX(Reference!$A$6,MIN(Reference!$A$11,MIN($U147,300))),Reference!$A$6:$A$11,1))))*(INDEX(Reference!$B$6:$B$11,MIN(5,MATCH(MAX(Reference!$A$6,MIN(Reference!$A$11,MIN($U147,300))),Reference!$A$6:$A$11,1))+1)-INDEX(Reference!$B$6:$B$11,MIN(5,MATCH(MAX(Reference!$A$6,MIN(Reference!$A$11,MIN($U147,300))),Reference!$A$6:$A$11,1))))/(INDEX(Reference!$A$6:$A$11,MIN(5,MATCH(MAX(Reference!$A$6,MIN(Reference!$A$11,MIN($U147,300))),Reference!$A$6:$A$11,1))+1)-INDEX(Reference!$A$6:$A$11,MIN(5,MATCH(MAX(Reference!$A$6,MIN(Reference!$A$11,MIN($U147,300))),Reference!$A$6:$A$11,1))))),0))/($AL147*($AL147+5)/2)),$AN147))</f>
        <v>0</v>
      </c>
      <c r="AN147" s="32">
        <f>IF($U147="",0,(INDEX(Reference!$B$6:$B$11,MIN(5,MATCH(MAX(Reference!$A$6,MIN(Reference!$A$11,$U147)),Reference!$A$6:$A$11,1)))+(MAX(Reference!$A$6,MIN(Reference!$A$11,$U147))-INDEX(Reference!$A$6:$A$11,MIN(5,MATCH(MAX(Reference!$A$6,MIN(Reference!$A$11,$U147)),Reference!$A$6:$A$11,1))))*(INDEX(Reference!$B$6:$B$11,MIN(5,MATCH(MAX(Reference!$A$6,MIN(Reference!$A$11,$U147)),Reference!$A$6:$A$11,1))+1)-INDEX(Reference!$B$6:$B$11,MIN(5,MATCH(MAX(Reference!$A$6,MIN(Reference!$A$11,$U147)),Reference!$A$6:$A$11,1))))/(INDEX(Reference!$A$6:$A$11,MIN(5,MATCH(MAX(Reference!$A$6,MIN(Reference!$A$11,$U147)),Reference!$A$6:$A$11,1))+1)-INDEX(Reference!$A$6:$A$11,MIN(5,MATCH(MAX(Reference!$A$6,MIN(Reference!$A$11,$U147)),Reference!$A$6:$A$11,1))))))</f>
        <v>0</v>
      </c>
      <c r="AO147" s="37"/>
      <c r="AP147" s="37"/>
      <c r="AQ147" s="37"/>
    </row>
    <row r="148" spans="1:43" x14ac:dyDescent="0.3">
      <c r="A148" s="48" t="str">
        <f t="shared" si="80"/>
        <v/>
      </c>
      <c r="B148" s="32" t="str">
        <f t="shared" si="81"/>
        <v/>
      </c>
      <c r="C148" s="32" t="str">
        <f t="shared" si="82"/>
        <v/>
      </c>
      <c r="D148" s="32" t="str">
        <f t="shared" si="83"/>
        <v/>
      </c>
      <c r="E148" s="32" t="str">
        <f t="shared" si="84"/>
        <v/>
      </c>
      <c r="F148" s="32" t="str">
        <f t="shared" si="85"/>
        <v/>
      </c>
      <c r="G148" s="47" t="str">
        <f t="shared" si="86"/>
        <v/>
      </c>
      <c r="H148" s="30" t="str">
        <f t="shared" si="87"/>
        <v/>
      </c>
      <c r="I148" s="46" t="str">
        <f>IF($A148="","",IF(AND($L148&lt;27,$K$12=0),"Building",IFERROR(((SUM($H$142:$H148)+$K$12*IF($L148&lt;6,SUMIFS('Throw Log'!$Q$5:$Q$300,'Throw Log'!$B$5:$B$300,$D$4,'Throw Log'!$A$5:$A$300,"&gt;="&amp;($D$6+$L148-6),'Throw Log'!$A$5:$A$300,"&lt;="&amp;($D$6-1)),0))/7)/((SUM($H$121:$H148)+$K$12*IF($L148&lt;27,SUMIFS('Throw Log'!$Q$5:$Q$300,'Throw Log'!$B$5:$B$300,$D$4,'Throw Log'!$A$5:$A$300,"&gt;="&amp;($D$6+$L148-27),'Throw Log'!$A$5:$A$300,"&lt;="&amp;($D$6-1)),0))/28),"")))</f>
        <v/>
      </c>
      <c r="J148" s="37"/>
      <c r="K148" s="37"/>
      <c r="L148" s="32">
        <v>105</v>
      </c>
      <c r="M148" s="32">
        <f t="shared" si="88"/>
        <v>16</v>
      </c>
      <c r="N148" s="32">
        <f t="shared" si="89"/>
        <v>0</v>
      </c>
      <c r="O148" s="32">
        <f t="shared" si="90"/>
        <v>1</v>
      </c>
      <c r="P148" s="32" t="str">
        <f>IF(OR($A148="",N($C148)&lt;=7),"",$G$6*$G$9^($M148-1)*IF(AND(MOD($M148,Reference!$B$99)=0,$M148&lt;=$G$5-2),Reference!$B$100,1))</f>
        <v/>
      </c>
      <c r="Q148" s="32" t="str">
        <f>IF($P148="","",IF(SUM($AK$148:$AK$154)=0,0,$P148*INDEX(Reference!$B$108:$B$114,$N148+1)/SUM($AK$148:$AK$154)))</f>
        <v/>
      </c>
      <c r="R148" s="32">
        <f t="shared" si="91"/>
        <v>180</v>
      </c>
      <c r="S148" s="32">
        <f t="shared" si="92"/>
        <v>150</v>
      </c>
      <c r="T148" s="32" t="str">
        <f>IF($A148="","",IF($C148=0,"Bullpen",IF(OR($C148=7,$C148=1,$C148=5),"Recovery/Easy Catch",IF($C148=6,"Compression/Pulldowns",IF(OR($C148=4,$C148=2),"Long Toss",IF($C148=3,"No Throw",IF($N148=2,"No Throw",IF($N148=6,IF($O148&lt;Reference!$B$104,"No Throw","Recovery/Easy Catch"),IF(OR($N148=0,$N148=4),"Recovery/Easy Catch",IF($N148=1,IF($R148&gt;75,"Long Toss","Recovery/Easy Catch"),IF($N148=3,IF($O148&lt;0.5,IF($S148&gt;75,"Long Toss","Recovery/Easy Catch"),"Compression/Pulldowns"),IF($S148&gt;75,"Long Toss","Recovery/Easy Catch"))))))))))))</f>
        <v/>
      </c>
      <c r="U148" s="32" t="str">
        <f t="shared" si="93"/>
        <v/>
      </c>
      <c r="V148" s="32" t="str">
        <f t="shared" si="94"/>
        <v/>
      </c>
      <c r="W148" s="32" t="str">
        <f t="shared" si="95"/>
        <v/>
      </c>
      <c r="X148" s="32">
        <f t="shared" si="96"/>
        <v>0</v>
      </c>
      <c r="Y148" s="32" t="str">
        <f t="shared" si="97"/>
        <v/>
      </c>
      <c r="Z148" s="32" t="str">
        <f t="shared" si="98"/>
        <v/>
      </c>
      <c r="AA148" s="32" t="str">
        <f t="shared" si="99"/>
        <v/>
      </c>
      <c r="AB148" s="32" t="str">
        <f>IF($A148="","",IF($T148="No Throw",0,IF($K148&lt;&gt;"",$K148,IF($AA148&lt;&gt;"",ROUND($AA148*$D$12*IF($C148=0,1,$G$10),0),MIN(IF($T148="Recovery/Easy Catch",Reference!$B$103,IF($T148="Long Toss",Reference!$B$106,Reference!$B$102)),MAX(Reference!$B$101,ROUND(MAX(0,$Q148-$AE148)/$AF148,0)))))))</f>
        <v/>
      </c>
      <c r="AC148" s="32">
        <f t="shared" si="100"/>
        <v>0</v>
      </c>
      <c r="AD148" s="32" t="b">
        <f t="shared" si="101"/>
        <v>1</v>
      </c>
      <c r="AE148" s="32">
        <f>IF($X148=0,0,$X148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148+$Z148)/2,0),Reference!$A$17:$B$20,2,TRUE()))</f>
        <v>0</v>
      </c>
      <c r="AF148" s="32">
        <f>IF(OR($A148="",$U148="",$T148="No Throw"),0,$AM148*VLOOKUP(MAX(($V148+$W148)/2,0),Reference!$A$17:$B$20,2,TRUE()))</f>
        <v>0</v>
      </c>
      <c r="AG148" s="32">
        <f>IF($AC148=0,0,$AC148*INDEX(Reference!$B$61:$B$62,MATCH("Bullpen",Reference!$A$61:$A$62,0))*VLOOKUP(MAX($D$5-($D$9+$E$9)/2,0),Reference!$A$17:$B$20,2,TRUE()))</f>
        <v>0</v>
      </c>
      <c r="AH148" s="32" t="e">
        <f t="shared" si="102"/>
        <v>#N/A</v>
      </c>
      <c r="AI148" s="32" t="e">
        <f>IF($A148="",NA(),Reference!$A$25)</f>
        <v>#N/A</v>
      </c>
      <c r="AJ148" s="32" t="e">
        <f t="shared" si="103"/>
        <v>#N/A</v>
      </c>
      <c r="AK148" s="32">
        <f>IF(OR($A148="",N($C148)&lt;=7,$T148="No Throw",$J148="x"),0,INDEX(Reference!$B$108:$B$114,$N148+1))</f>
        <v>0</v>
      </c>
      <c r="AL148" s="32">
        <f t="shared" si="104"/>
        <v>1</v>
      </c>
      <c r="AM148" s="32">
        <f>IF($U148="",0,IF($AL148&gt;1,((IF(1&lt;=$AL148,($AL148-1+3)*(INDEX(Reference!$B$6:$B$11,MIN(5,MATCH(MAX(Reference!$A$6,MIN(Reference!$A$11,MIN($U148,90))),Reference!$A$6:$A$11,1)))+(MAX(Reference!$A$6,MIN(Reference!$A$11,MIN($U148,90)))-INDEX(Reference!$A$6:$A$11,MIN(5,MATCH(MAX(Reference!$A$6,MIN(Reference!$A$11,MIN($U148,90))),Reference!$A$6:$A$11,1))))*(INDEX(Reference!$B$6:$B$11,MIN(5,MATCH(MAX(Reference!$A$6,MIN(Reference!$A$11,MIN($U148,90))),Reference!$A$6:$A$11,1))+1)-INDEX(Reference!$B$6:$B$11,MIN(5,MATCH(MAX(Reference!$A$6,MIN(Reference!$A$11,MIN($U148,90))),Reference!$A$6:$A$11,1))))/(INDEX(Reference!$A$6:$A$11,MIN(5,MATCH(MAX(Reference!$A$6,MIN(Reference!$A$11,MIN($U148,90))),Reference!$A$6:$A$11,1))+1)-INDEX(Reference!$A$6:$A$11,MIN(5,MATCH(MAX(Reference!$A$6,MIN(Reference!$A$11,MIN($U148,90))),Reference!$A$6:$A$11,1))))),0)+IF(2&lt;=$AL148,($AL148-2+3)*(INDEX(Reference!$B$6:$B$11,MIN(5,MATCH(MAX(Reference!$A$6,MIN(Reference!$A$11,MIN($U148,120))),Reference!$A$6:$A$11,1)))+(MAX(Reference!$A$6,MIN(Reference!$A$11,MIN($U148,120)))-INDEX(Reference!$A$6:$A$11,MIN(5,MATCH(MAX(Reference!$A$6,MIN(Reference!$A$11,MIN($U148,120))),Reference!$A$6:$A$11,1))))*(INDEX(Reference!$B$6:$B$11,MIN(5,MATCH(MAX(Reference!$A$6,MIN(Reference!$A$11,MIN($U148,120))),Reference!$A$6:$A$11,1))+1)-INDEX(Reference!$B$6:$B$11,MIN(5,MATCH(MAX(Reference!$A$6,MIN(Reference!$A$11,MIN($U148,120))),Reference!$A$6:$A$11,1))))/(INDEX(Reference!$A$6:$A$11,MIN(5,MATCH(MAX(Reference!$A$6,MIN(Reference!$A$11,MIN($U148,120))),Reference!$A$6:$A$11,1))+1)-INDEX(Reference!$A$6:$A$11,MIN(5,MATCH(MAX(Reference!$A$6,MIN(Reference!$A$11,MIN($U148,120))),Reference!$A$6:$A$11,1))))),0)+IF(3&lt;=$AL148,($AL148-3+3)*(INDEX(Reference!$B$6:$B$11,MIN(5,MATCH(MAX(Reference!$A$6,MIN(Reference!$A$11,MIN($U148,150))),Reference!$A$6:$A$11,1)))+(MAX(Reference!$A$6,MIN(Reference!$A$11,MIN($U148,150)))-INDEX(Reference!$A$6:$A$11,MIN(5,MATCH(MAX(Reference!$A$6,MIN(Reference!$A$11,MIN($U148,150))),Reference!$A$6:$A$11,1))))*(INDEX(Reference!$B$6:$B$11,MIN(5,MATCH(MAX(Reference!$A$6,MIN(Reference!$A$11,MIN($U148,150))),Reference!$A$6:$A$11,1))+1)-INDEX(Reference!$B$6:$B$11,MIN(5,MATCH(MAX(Reference!$A$6,MIN(Reference!$A$11,MIN($U148,150))),Reference!$A$6:$A$11,1))))/(INDEX(Reference!$A$6:$A$11,MIN(5,MATCH(MAX(Reference!$A$6,MIN(Reference!$A$11,MIN($U148,150))),Reference!$A$6:$A$11,1))+1)-INDEX(Reference!$A$6:$A$11,MIN(5,MATCH(MAX(Reference!$A$6,MIN(Reference!$A$11,MIN($U148,150))),Reference!$A$6:$A$11,1))))),0)+IF(4&lt;=$AL148,($AL148-4+3)*(INDEX(Reference!$B$6:$B$11,MIN(5,MATCH(MAX(Reference!$A$6,MIN(Reference!$A$11,MIN($U148,180))),Reference!$A$6:$A$11,1)))+(MAX(Reference!$A$6,MIN(Reference!$A$11,MIN($U148,180)))-INDEX(Reference!$A$6:$A$11,MIN(5,MATCH(MAX(Reference!$A$6,MIN(Reference!$A$11,MIN($U148,180))),Reference!$A$6:$A$11,1))))*(INDEX(Reference!$B$6:$B$11,MIN(5,MATCH(MAX(Reference!$A$6,MIN(Reference!$A$11,MIN($U148,180))),Reference!$A$6:$A$11,1))+1)-INDEX(Reference!$B$6:$B$11,MIN(5,MATCH(MAX(Reference!$A$6,MIN(Reference!$A$11,MIN($U148,180))),Reference!$A$6:$A$11,1))))/(INDEX(Reference!$A$6:$A$11,MIN(5,MATCH(MAX(Reference!$A$6,MIN(Reference!$A$11,MIN($U148,180))),Reference!$A$6:$A$11,1))+1)-INDEX(Reference!$A$6:$A$11,MIN(5,MATCH(MAX(Reference!$A$6,MIN(Reference!$A$11,MIN($U148,180))),Reference!$A$6:$A$11,1))))),0)+IF(5&lt;=$AL148,($AL148-5+3)*(INDEX(Reference!$B$6:$B$11,MIN(5,MATCH(MAX(Reference!$A$6,MIN(Reference!$A$11,MIN($U148,210))),Reference!$A$6:$A$11,1)))+(MAX(Reference!$A$6,MIN(Reference!$A$11,MIN($U148,210)))-INDEX(Reference!$A$6:$A$11,MIN(5,MATCH(MAX(Reference!$A$6,MIN(Reference!$A$11,MIN($U148,210))),Reference!$A$6:$A$11,1))))*(INDEX(Reference!$B$6:$B$11,MIN(5,MATCH(MAX(Reference!$A$6,MIN(Reference!$A$11,MIN($U148,210))),Reference!$A$6:$A$11,1))+1)-INDEX(Reference!$B$6:$B$11,MIN(5,MATCH(MAX(Reference!$A$6,MIN(Reference!$A$11,MIN($U148,210))),Reference!$A$6:$A$11,1))))/(INDEX(Reference!$A$6:$A$11,MIN(5,MATCH(MAX(Reference!$A$6,MIN(Reference!$A$11,MIN($U148,210))),Reference!$A$6:$A$11,1))+1)-INDEX(Reference!$A$6:$A$11,MIN(5,MATCH(MAX(Reference!$A$6,MIN(Reference!$A$11,MIN($U148,210))),Reference!$A$6:$A$11,1))))),0)+IF(6&lt;=$AL148,($AL148-6+3)*(INDEX(Reference!$B$6:$B$11,MIN(5,MATCH(MAX(Reference!$A$6,MIN(Reference!$A$11,MIN($U148,240))),Reference!$A$6:$A$11,1)))+(MAX(Reference!$A$6,MIN(Reference!$A$11,MIN($U148,240)))-INDEX(Reference!$A$6:$A$11,MIN(5,MATCH(MAX(Reference!$A$6,MIN(Reference!$A$11,MIN($U148,240))),Reference!$A$6:$A$11,1))))*(INDEX(Reference!$B$6:$B$11,MIN(5,MATCH(MAX(Reference!$A$6,MIN(Reference!$A$11,MIN($U148,240))),Reference!$A$6:$A$11,1))+1)-INDEX(Reference!$B$6:$B$11,MIN(5,MATCH(MAX(Reference!$A$6,MIN(Reference!$A$11,MIN($U148,240))),Reference!$A$6:$A$11,1))))/(INDEX(Reference!$A$6:$A$11,MIN(5,MATCH(MAX(Reference!$A$6,MIN(Reference!$A$11,MIN($U148,240))),Reference!$A$6:$A$11,1))+1)-INDEX(Reference!$A$6:$A$11,MIN(5,MATCH(MAX(Reference!$A$6,MIN(Reference!$A$11,MIN($U148,240))),Reference!$A$6:$A$11,1))))),0)+IF(7&lt;=$AL148,($AL148-7+3)*(INDEX(Reference!$B$6:$B$11,MIN(5,MATCH(MAX(Reference!$A$6,MIN(Reference!$A$11,MIN($U148,270))),Reference!$A$6:$A$11,1)))+(MAX(Reference!$A$6,MIN(Reference!$A$11,MIN($U148,270)))-INDEX(Reference!$A$6:$A$11,MIN(5,MATCH(MAX(Reference!$A$6,MIN(Reference!$A$11,MIN($U148,270))),Reference!$A$6:$A$11,1))))*(INDEX(Reference!$B$6:$B$11,MIN(5,MATCH(MAX(Reference!$A$6,MIN(Reference!$A$11,MIN($U148,270))),Reference!$A$6:$A$11,1))+1)-INDEX(Reference!$B$6:$B$11,MIN(5,MATCH(MAX(Reference!$A$6,MIN(Reference!$A$11,MIN($U148,270))),Reference!$A$6:$A$11,1))))/(INDEX(Reference!$A$6:$A$11,MIN(5,MATCH(MAX(Reference!$A$6,MIN(Reference!$A$11,MIN($U148,270))),Reference!$A$6:$A$11,1))+1)-INDEX(Reference!$A$6:$A$11,MIN(5,MATCH(MAX(Reference!$A$6,MIN(Reference!$A$11,MIN($U148,270))),Reference!$A$6:$A$11,1))))),0)+IF(8&lt;=$AL148,($AL148-8+3)*(INDEX(Reference!$B$6:$B$11,MIN(5,MATCH(MAX(Reference!$A$6,MIN(Reference!$A$11,MIN($U148,300))),Reference!$A$6:$A$11,1)))+(MAX(Reference!$A$6,MIN(Reference!$A$11,MIN($U148,300)))-INDEX(Reference!$A$6:$A$11,MIN(5,MATCH(MAX(Reference!$A$6,MIN(Reference!$A$11,MIN($U148,300))),Reference!$A$6:$A$11,1))))*(INDEX(Reference!$B$6:$B$11,MIN(5,MATCH(MAX(Reference!$A$6,MIN(Reference!$A$11,MIN($U148,300))),Reference!$A$6:$A$11,1))+1)-INDEX(Reference!$B$6:$B$11,MIN(5,MATCH(MAX(Reference!$A$6,MIN(Reference!$A$11,MIN($U148,300))),Reference!$A$6:$A$11,1))))/(INDEX(Reference!$A$6:$A$11,MIN(5,MATCH(MAX(Reference!$A$6,MIN(Reference!$A$11,MIN($U148,300))),Reference!$A$6:$A$11,1))+1)-INDEX(Reference!$A$6:$A$11,MIN(5,MATCH(MAX(Reference!$A$6,MIN(Reference!$A$11,MIN($U148,300))),Reference!$A$6:$A$11,1))))),0))/($AL148*($AL148+5)/2)),$AN148))</f>
        <v>0</v>
      </c>
      <c r="AN148" s="32">
        <f>IF($U148="",0,(INDEX(Reference!$B$6:$B$11,MIN(5,MATCH(MAX(Reference!$A$6,MIN(Reference!$A$11,$U148)),Reference!$A$6:$A$11,1)))+(MAX(Reference!$A$6,MIN(Reference!$A$11,$U148))-INDEX(Reference!$A$6:$A$11,MIN(5,MATCH(MAX(Reference!$A$6,MIN(Reference!$A$11,$U148)),Reference!$A$6:$A$11,1))))*(INDEX(Reference!$B$6:$B$11,MIN(5,MATCH(MAX(Reference!$A$6,MIN(Reference!$A$11,$U148)),Reference!$A$6:$A$11,1))+1)-INDEX(Reference!$B$6:$B$11,MIN(5,MATCH(MAX(Reference!$A$6,MIN(Reference!$A$11,$U148)),Reference!$A$6:$A$11,1))))/(INDEX(Reference!$A$6:$A$11,MIN(5,MATCH(MAX(Reference!$A$6,MIN(Reference!$A$11,$U148)),Reference!$A$6:$A$11,1))+1)-INDEX(Reference!$A$6:$A$11,MIN(5,MATCH(MAX(Reference!$A$6,MIN(Reference!$A$11,$U148)),Reference!$A$6:$A$11,1))))))</f>
        <v>0</v>
      </c>
      <c r="AO148" s="37"/>
      <c r="AP148" s="37"/>
      <c r="AQ148" s="37"/>
    </row>
    <row r="149" spans="1:43" x14ac:dyDescent="0.3">
      <c r="A149" s="48" t="str">
        <f t="shared" si="80"/>
        <v/>
      </c>
      <c r="B149" s="32" t="str">
        <f t="shared" si="81"/>
        <v/>
      </c>
      <c r="C149" s="32" t="str">
        <f t="shared" si="82"/>
        <v/>
      </c>
      <c r="D149" s="32" t="str">
        <f t="shared" si="83"/>
        <v/>
      </c>
      <c r="E149" s="32" t="str">
        <f t="shared" si="84"/>
        <v/>
      </c>
      <c r="F149" s="32" t="str">
        <f t="shared" si="85"/>
        <v/>
      </c>
      <c r="G149" s="47" t="str">
        <f t="shared" si="86"/>
        <v/>
      </c>
      <c r="H149" s="30" t="str">
        <f t="shared" si="87"/>
        <v/>
      </c>
      <c r="I149" s="46" t="str">
        <f>IF($A149="","",IF(AND($L149&lt;27,$K$12=0),"Building",IFERROR(((SUM($H$143:$H149)+$K$12*IF($L149&lt;6,SUMIFS('Throw Log'!$Q$5:$Q$300,'Throw Log'!$B$5:$B$300,$D$4,'Throw Log'!$A$5:$A$300,"&gt;="&amp;($D$6+$L149-6),'Throw Log'!$A$5:$A$300,"&lt;="&amp;($D$6-1)),0))/7)/((SUM($H$122:$H149)+$K$12*IF($L149&lt;27,SUMIFS('Throw Log'!$Q$5:$Q$300,'Throw Log'!$B$5:$B$300,$D$4,'Throw Log'!$A$5:$A$300,"&gt;="&amp;($D$6+$L149-27),'Throw Log'!$A$5:$A$300,"&lt;="&amp;($D$6-1)),0))/28),"")))</f>
        <v/>
      </c>
      <c r="J149" s="37"/>
      <c r="K149" s="37"/>
      <c r="L149" s="32">
        <v>106</v>
      </c>
      <c r="M149" s="32">
        <f t="shared" si="88"/>
        <v>16</v>
      </c>
      <c r="N149" s="32">
        <f t="shared" si="89"/>
        <v>1</v>
      </c>
      <c r="O149" s="32">
        <f t="shared" si="90"/>
        <v>1</v>
      </c>
      <c r="P149" s="32" t="str">
        <f>IF(OR($A149="",N($C149)&lt;=7),"",$G$6*$G$9^($M149-1)*IF(AND(MOD($M149,Reference!$B$99)=0,$M149&lt;=$G$5-2),Reference!$B$100,1))</f>
        <v/>
      </c>
      <c r="Q149" s="32" t="str">
        <f>IF($P149="","",IF(SUM($AK$148:$AK$154)=0,0,$P149*INDEX(Reference!$B$108:$B$114,$N149+1)/SUM($AK$148:$AK$154)))</f>
        <v/>
      </c>
      <c r="R149" s="32">
        <f t="shared" si="91"/>
        <v>180</v>
      </c>
      <c r="S149" s="32">
        <f t="shared" si="92"/>
        <v>150</v>
      </c>
      <c r="T149" s="32" t="str">
        <f>IF($A149="","",IF($C149=0,"Bullpen",IF(OR($C149=7,$C149=1,$C149=5),"Recovery/Easy Catch",IF($C149=6,"Compression/Pulldowns",IF(OR($C149=4,$C149=2),"Long Toss",IF($C149=3,"No Throw",IF($N149=2,"No Throw",IF($N149=6,IF($O149&lt;Reference!$B$104,"No Throw","Recovery/Easy Catch"),IF(OR($N149=0,$N149=4),"Recovery/Easy Catch",IF($N149=1,IF($R149&gt;75,"Long Toss","Recovery/Easy Catch"),IF($N149=3,IF($O149&lt;0.5,IF($S149&gt;75,"Long Toss","Recovery/Easy Catch"),"Compression/Pulldowns"),IF($S149&gt;75,"Long Toss","Recovery/Easy Catch"))))))))))))</f>
        <v/>
      </c>
      <c r="U149" s="32" t="str">
        <f t="shared" si="93"/>
        <v/>
      </c>
      <c r="V149" s="32" t="str">
        <f t="shared" si="94"/>
        <v/>
      </c>
      <c r="W149" s="32" t="str">
        <f t="shared" si="95"/>
        <v/>
      </c>
      <c r="X149" s="32">
        <f t="shared" si="96"/>
        <v>0</v>
      </c>
      <c r="Y149" s="32" t="str">
        <f t="shared" si="97"/>
        <v/>
      </c>
      <c r="Z149" s="32" t="str">
        <f t="shared" si="98"/>
        <v/>
      </c>
      <c r="AA149" s="32" t="str">
        <f t="shared" si="99"/>
        <v/>
      </c>
      <c r="AB149" s="32" t="str">
        <f>IF($A149="","",IF($T149="No Throw",0,IF($K149&lt;&gt;"",$K149,IF($AA149&lt;&gt;"",ROUND($AA149*$D$12*IF($C149=0,1,$G$10),0),MIN(IF($T149="Recovery/Easy Catch",Reference!$B$103,IF($T149="Long Toss",Reference!$B$106,Reference!$B$102)),MAX(Reference!$B$101,ROUND(MAX(0,$Q149-$AE149)/$AF149,0)))))))</f>
        <v/>
      </c>
      <c r="AC149" s="32">
        <f t="shared" si="100"/>
        <v>0</v>
      </c>
      <c r="AD149" s="32" t="b">
        <f t="shared" si="101"/>
        <v>1</v>
      </c>
      <c r="AE149" s="32">
        <f>IF($X149=0,0,$X149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149+$Z149)/2,0),Reference!$A$17:$B$20,2,TRUE()))</f>
        <v>0</v>
      </c>
      <c r="AF149" s="32">
        <f>IF(OR($A149="",$U149="",$T149="No Throw"),0,$AM149*VLOOKUP(MAX(($V149+$W149)/2,0),Reference!$A$17:$B$20,2,TRUE()))</f>
        <v>0</v>
      </c>
      <c r="AG149" s="32">
        <f>IF($AC149=0,0,$AC149*INDEX(Reference!$B$61:$B$62,MATCH("Bullpen",Reference!$A$61:$A$62,0))*VLOOKUP(MAX($D$5-($D$9+$E$9)/2,0),Reference!$A$17:$B$20,2,TRUE()))</f>
        <v>0</v>
      </c>
      <c r="AH149" s="32" t="e">
        <f t="shared" si="102"/>
        <v>#N/A</v>
      </c>
      <c r="AI149" s="32" t="e">
        <f>IF($A149="",NA(),Reference!$A$25)</f>
        <v>#N/A</v>
      </c>
      <c r="AJ149" s="32" t="e">
        <f t="shared" si="103"/>
        <v>#N/A</v>
      </c>
      <c r="AK149" s="32">
        <f>IF(OR($A149="",N($C149)&lt;=7,$T149="No Throw",$J149="x"),0,INDEX(Reference!$B$108:$B$114,$N149+1))</f>
        <v>0</v>
      </c>
      <c r="AL149" s="32">
        <f t="shared" si="104"/>
        <v>1</v>
      </c>
      <c r="AM149" s="32">
        <f>IF($U149="",0,IF($AL149&gt;1,((IF(1&lt;=$AL149,($AL149-1+3)*(INDEX(Reference!$B$6:$B$11,MIN(5,MATCH(MAX(Reference!$A$6,MIN(Reference!$A$11,MIN($U149,90))),Reference!$A$6:$A$11,1)))+(MAX(Reference!$A$6,MIN(Reference!$A$11,MIN($U149,90)))-INDEX(Reference!$A$6:$A$11,MIN(5,MATCH(MAX(Reference!$A$6,MIN(Reference!$A$11,MIN($U149,90))),Reference!$A$6:$A$11,1))))*(INDEX(Reference!$B$6:$B$11,MIN(5,MATCH(MAX(Reference!$A$6,MIN(Reference!$A$11,MIN($U149,90))),Reference!$A$6:$A$11,1))+1)-INDEX(Reference!$B$6:$B$11,MIN(5,MATCH(MAX(Reference!$A$6,MIN(Reference!$A$11,MIN($U149,90))),Reference!$A$6:$A$11,1))))/(INDEX(Reference!$A$6:$A$11,MIN(5,MATCH(MAX(Reference!$A$6,MIN(Reference!$A$11,MIN($U149,90))),Reference!$A$6:$A$11,1))+1)-INDEX(Reference!$A$6:$A$11,MIN(5,MATCH(MAX(Reference!$A$6,MIN(Reference!$A$11,MIN($U149,90))),Reference!$A$6:$A$11,1))))),0)+IF(2&lt;=$AL149,($AL149-2+3)*(INDEX(Reference!$B$6:$B$11,MIN(5,MATCH(MAX(Reference!$A$6,MIN(Reference!$A$11,MIN($U149,120))),Reference!$A$6:$A$11,1)))+(MAX(Reference!$A$6,MIN(Reference!$A$11,MIN($U149,120)))-INDEX(Reference!$A$6:$A$11,MIN(5,MATCH(MAX(Reference!$A$6,MIN(Reference!$A$11,MIN($U149,120))),Reference!$A$6:$A$11,1))))*(INDEX(Reference!$B$6:$B$11,MIN(5,MATCH(MAX(Reference!$A$6,MIN(Reference!$A$11,MIN($U149,120))),Reference!$A$6:$A$11,1))+1)-INDEX(Reference!$B$6:$B$11,MIN(5,MATCH(MAX(Reference!$A$6,MIN(Reference!$A$11,MIN($U149,120))),Reference!$A$6:$A$11,1))))/(INDEX(Reference!$A$6:$A$11,MIN(5,MATCH(MAX(Reference!$A$6,MIN(Reference!$A$11,MIN($U149,120))),Reference!$A$6:$A$11,1))+1)-INDEX(Reference!$A$6:$A$11,MIN(5,MATCH(MAX(Reference!$A$6,MIN(Reference!$A$11,MIN($U149,120))),Reference!$A$6:$A$11,1))))),0)+IF(3&lt;=$AL149,($AL149-3+3)*(INDEX(Reference!$B$6:$B$11,MIN(5,MATCH(MAX(Reference!$A$6,MIN(Reference!$A$11,MIN($U149,150))),Reference!$A$6:$A$11,1)))+(MAX(Reference!$A$6,MIN(Reference!$A$11,MIN($U149,150)))-INDEX(Reference!$A$6:$A$11,MIN(5,MATCH(MAX(Reference!$A$6,MIN(Reference!$A$11,MIN($U149,150))),Reference!$A$6:$A$11,1))))*(INDEX(Reference!$B$6:$B$11,MIN(5,MATCH(MAX(Reference!$A$6,MIN(Reference!$A$11,MIN($U149,150))),Reference!$A$6:$A$11,1))+1)-INDEX(Reference!$B$6:$B$11,MIN(5,MATCH(MAX(Reference!$A$6,MIN(Reference!$A$11,MIN($U149,150))),Reference!$A$6:$A$11,1))))/(INDEX(Reference!$A$6:$A$11,MIN(5,MATCH(MAX(Reference!$A$6,MIN(Reference!$A$11,MIN($U149,150))),Reference!$A$6:$A$11,1))+1)-INDEX(Reference!$A$6:$A$11,MIN(5,MATCH(MAX(Reference!$A$6,MIN(Reference!$A$11,MIN($U149,150))),Reference!$A$6:$A$11,1))))),0)+IF(4&lt;=$AL149,($AL149-4+3)*(INDEX(Reference!$B$6:$B$11,MIN(5,MATCH(MAX(Reference!$A$6,MIN(Reference!$A$11,MIN($U149,180))),Reference!$A$6:$A$11,1)))+(MAX(Reference!$A$6,MIN(Reference!$A$11,MIN($U149,180)))-INDEX(Reference!$A$6:$A$11,MIN(5,MATCH(MAX(Reference!$A$6,MIN(Reference!$A$11,MIN($U149,180))),Reference!$A$6:$A$11,1))))*(INDEX(Reference!$B$6:$B$11,MIN(5,MATCH(MAX(Reference!$A$6,MIN(Reference!$A$11,MIN($U149,180))),Reference!$A$6:$A$11,1))+1)-INDEX(Reference!$B$6:$B$11,MIN(5,MATCH(MAX(Reference!$A$6,MIN(Reference!$A$11,MIN($U149,180))),Reference!$A$6:$A$11,1))))/(INDEX(Reference!$A$6:$A$11,MIN(5,MATCH(MAX(Reference!$A$6,MIN(Reference!$A$11,MIN($U149,180))),Reference!$A$6:$A$11,1))+1)-INDEX(Reference!$A$6:$A$11,MIN(5,MATCH(MAX(Reference!$A$6,MIN(Reference!$A$11,MIN($U149,180))),Reference!$A$6:$A$11,1))))),0)+IF(5&lt;=$AL149,($AL149-5+3)*(INDEX(Reference!$B$6:$B$11,MIN(5,MATCH(MAX(Reference!$A$6,MIN(Reference!$A$11,MIN($U149,210))),Reference!$A$6:$A$11,1)))+(MAX(Reference!$A$6,MIN(Reference!$A$11,MIN($U149,210)))-INDEX(Reference!$A$6:$A$11,MIN(5,MATCH(MAX(Reference!$A$6,MIN(Reference!$A$11,MIN($U149,210))),Reference!$A$6:$A$11,1))))*(INDEX(Reference!$B$6:$B$11,MIN(5,MATCH(MAX(Reference!$A$6,MIN(Reference!$A$11,MIN($U149,210))),Reference!$A$6:$A$11,1))+1)-INDEX(Reference!$B$6:$B$11,MIN(5,MATCH(MAX(Reference!$A$6,MIN(Reference!$A$11,MIN($U149,210))),Reference!$A$6:$A$11,1))))/(INDEX(Reference!$A$6:$A$11,MIN(5,MATCH(MAX(Reference!$A$6,MIN(Reference!$A$11,MIN($U149,210))),Reference!$A$6:$A$11,1))+1)-INDEX(Reference!$A$6:$A$11,MIN(5,MATCH(MAX(Reference!$A$6,MIN(Reference!$A$11,MIN($U149,210))),Reference!$A$6:$A$11,1))))),0)+IF(6&lt;=$AL149,($AL149-6+3)*(INDEX(Reference!$B$6:$B$11,MIN(5,MATCH(MAX(Reference!$A$6,MIN(Reference!$A$11,MIN($U149,240))),Reference!$A$6:$A$11,1)))+(MAX(Reference!$A$6,MIN(Reference!$A$11,MIN($U149,240)))-INDEX(Reference!$A$6:$A$11,MIN(5,MATCH(MAX(Reference!$A$6,MIN(Reference!$A$11,MIN($U149,240))),Reference!$A$6:$A$11,1))))*(INDEX(Reference!$B$6:$B$11,MIN(5,MATCH(MAX(Reference!$A$6,MIN(Reference!$A$11,MIN($U149,240))),Reference!$A$6:$A$11,1))+1)-INDEX(Reference!$B$6:$B$11,MIN(5,MATCH(MAX(Reference!$A$6,MIN(Reference!$A$11,MIN($U149,240))),Reference!$A$6:$A$11,1))))/(INDEX(Reference!$A$6:$A$11,MIN(5,MATCH(MAX(Reference!$A$6,MIN(Reference!$A$11,MIN($U149,240))),Reference!$A$6:$A$11,1))+1)-INDEX(Reference!$A$6:$A$11,MIN(5,MATCH(MAX(Reference!$A$6,MIN(Reference!$A$11,MIN($U149,240))),Reference!$A$6:$A$11,1))))),0)+IF(7&lt;=$AL149,($AL149-7+3)*(INDEX(Reference!$B$6:$B$11,MIN(5,MATCH(MAX(Reference!$A$6,MIN(Reference!$A$11,MIN($U149,270))),Reference!$A$6:$A$11,1)))+(MAX(Reference!$A$6,MIN(Reference!$A$11,MIN($U149,270)))-INDEX(Reference!$A$6:$A$11,MIN(5,MATCH(MAX(Reference!$A$6,MIN(Reference!$A$11,MIN($U149,270))),Reference!$A$6:$A$11,1))))*(INDEX(Reference!$B$6:$B$11,MIN(5,MATCH(MAX(Reference!$A$6,MIN(Reference!$A$11,MIN($U149,270))),Reference!$A$6:$A$11,1))+1)-INDEX(Reference!$B$6:$B$11,MIN(5,MATCH(MAX(Reference!$A$6,MIN(Reference!$A$11,MIN($U149,270))),Reference!$A$6:$A$11,1))))/(INDEX(Reference!$A$6:$A$11,MIN(5,MATCH(MAX(Reference!$A$6,MIN(Reference!$A$11,MIN($U149,270))),Reference!$A$6:$A$11,1))+1)-INDEX(Reference!$A$6:$A$11,MIN(5,MATCH(MAX(Reference!$A$6,MIN(Reference!$A$11,MIN($U149,270))),Reference!$A$6:$A$11,1))))),0)+IF(8&lt;=$AL149,($AL149-8+3)*(INDEX(Reference!$B$6:$B$11,MIN(5,MATCH(MAX(Reference!$A$6,MIN(Reference!$A$11,MIN($U149,300))),Reference!$A$6:$A$11,1)))+(MAX(Reference!$A$6,MIN(Reference!$A$11,MIN($U149,300)))-INDEX(Reference!$A$6:$A$11,MIN(5,MATCH(MAX(Reference!$A$6,MIN(Reference!$A$11,MIN($U149,300))),Reference!$A$6:$A$11,1))))*(INDEX(Reference!$B$6:$B$11,MIN(5,MATCH(MAX(Reference!$A$6,MIN(Reference!$A$11,MIN($U149,300))),Reference!$A$6:$A$11,1))+1)-INDEX(Reference!$B$6:$B$11,MIN(5,MATCH(MAX(Reference!$A$6,MIN(Reference!$A$11,MIN($U149,300))),Reference!$A$6:$A$11,1))))/(INDEX(Reference!$A$6:$A$11,MIN(5,MATCH(MAX(Reference!$A$6,MIN(Reference!$A$11,MIN($U149,300))),Reference!$A$6:$A$11,1))+1)-INDEX(Reference!$A$6:$A$11,MIN(5,MATCH(MAX(Reference!$A$6,MIN(Reference!$A$11,MIN($U149,300))),Reference!$A$6:$A$11,1))))),0))/($AL149*($AL149+5)/2)),$AN149))</f>
        <v>0</v>
      </c>
      <c r="AN149" s="32">
        <f>IF($U149="",0,(INDEX(Reference!$B$6:$B$11,MIN(5,MATCH(MAX(Reference!$A$6,MIN(Reference!$A$11,$U149)),Reference!$A$6:$A$11,1)))+(MAX(Reference!$A$6,MIN(Reference!$A$11,$U149))-INDEX(Reference!$A$6:$A$11,MIN(5,MATCH(MAX(Reference!$A$6,MIN(Reference!$A$11,$U149)),Reference!$A$6:$A$11,1))))*(INDEX(Reference!$B$6:$B$11,MIN(5,MATCH(MAX(Reference!$A$6,MIN(Reference!$A$11,$U149)),Reference!$A$6:$A$11,1))+1)-INDEX(Reference!$B$6:$B$11,MIN(5,MATCH(MAX(Reference!$A$6,MIN(Reference!$A$11,$U149)),Reference!$A$6:$A$11,1))))/(INDEX(Reference!$A$6:$A$11,MIN(5,MATCH(MAX(Reference!$A$6,MIN(Reference!$A$11,$U149)),Reference!$A$6:$A$11,1))+1)-INDEX(Reference!$A$6:$A$11,MIN(5,MATCH(MAX(Reference!$A$6,MIN(Reference!$A$11,$U149)),Reference!$A$6:$A$11,1))))))</f>
        <v>0</v>
      </c>
      <c r="AO149" s="37"/>
      <c r="AP149" s="37"/>
      <c r="AQ149" s="37"/>
    </row>
    <row r="150" spans="1:43" x14ac:dyDescent="0.3">
      <c r="A150" s="48" t="str">
        <f t="shared" si="80"/>
        <v/>
      </c>
      <c r="B150" s="32" t="str">
        <f t="shared" si="81"/>
        <v/>
      </c>
      <c r="C150" s="32" t="str">
        <f t="shared" si="82"/>
        <v/>
      </c>
      <c r="D150" s="32" t="str">
        <f t="shared" si="83"/>
        <v/>
      </c>
      <c r="E150" s="32" t="str">
        <f t="shared" si="84"/>
        <v/>
      </c>
      <c r="F150" s="32" t="str">
        <f t="shared" si="85"/>
        <v/>
      </c>
      <c r="G150" s="47" t="str">
        <f t="shared" si="86"/>
        <v/>
      </c>
      <c r="H150" s="30" t="str">
        <f t="shared" si="87"/>
        <v/>
      </c>
      <c r="I150" s="46" t="str">
        <f>IF($A150="","",IF(AND($L150&lt;27,$K$12=0),"Building",IFERROR(((SUM($H$144:$H150)+$K$12*IF($L150&lt;6,SUMIFS('Throw Log'!$Q$5:$Q$300,'Throw Log'!$B$5:$B$300,$D$4,'Throw Log'!$A$5:$A$300,"&gt;="&amp;($D$6+$L150-6),'Throw Log'!$A$5:$A$300,"&lt;="&amp;($D$6-1)),0))/7)/((SUM($H$123:$H150)+$K$12*IF($L150&lt;27,SUMIFS('Throw Log'!$Q$5:$Q$300,'Throw Log'!$B$5:$B$300,$D$4,'Throw Log'!$A$5:$A$300,"&gt;="&amp;($D$6+$L150-27),'Throw Log'!$A$5:$A$300,"&lt;="&amp;($D$6-1)),0))/28),"")))</f>
        <v/>
      </c>
      <c r="J150" s="37"/>
      <c r="K150" s="37"/>
      <c r="L150" s="32">
        <v>107</v>
      </c>
      <c r="M150" s="32">
        <f t="shared" si="88"/>
        <v>16</v>
      </c>
      <c r="N150" s="32">
        <f t="shared" si="89"/>
        <v>2</v>
      </c>
      <c r="O150" s="32">
        <f t="shared" si="90"/>
        <v>1</v>
      </c>
      <c r="P150" s="32" t="str">
        <f>IF(OR($A150="",N($C150)&lt;=7),"",$G$6*$G$9^($M150-1)*IF(AND(MOD($M150,Reference!$B$99)=0,$M150&lt;=$G$5-2),Reference!$B$100,1))</f>
        <v/>
      </c>
      <c r="Q150" s="32" t="str">
        <f>IF($P150="","",IF(SUM($AK$148:$AK$154)=0,0,$P150*INDEX(Reference!$B$108:$B$114,$N150+1)/SUM($AK$148:$AK$154)))</f>
        <v/>
      </c>
      <c r="R150" s="32">
        <f t="shared" si="91"/>
        <v>180</v>
      </c>
      <c r="S150" s="32">
        <f t="shared" si="92"/>
        <v>150</v>
      </c>
      <c r="T150" s="32" t="str">
        <f>IF($A150="","",IF($C150=0,"Bullpen",IF(OR($C150=7,$C150=1,$C150=5),"Recovery/Easy Catch",IF($C150=6,"Compression/Pulldowns",IF(OR($C150=4,$C150=2),"Long Toss",IF($C150=3,"No Throw",IF($N150=2,"No Throw",IF($N150=6,IF($O150&lt;Reference!$B$104,"No Throw","Recovery/Easy Catch"),IF(OR($N150=0,$N150=4),"Recovery/Easy Catch",IF($N150=1,IF($R150&gt;75,"Long Toss","Recovery/Easy Catch"),IF($N150=3,IF($O150&lt;0.5,IF($S150&gt;75,"Long Toss","Recovery/Easy Catch"),"Compression/Pulldowns"),IF($S150&gt;75,"Long Toss","Recovery/Easy Catch"))))))))))))</f>
        <v/>
      </c>
      <c r="U150" s="32" t="str">
        <f t="shared" si="93"/>
        <v/>
      </c>
      <c r="V150" s="32" t="str">
        <f t="shared" si="94"/>
        <v/>
      </c>
      <c r="W150" s="32" t="str">
        <f t="shared" si="95"/>
        <v/>
      </c>
      <c r="X150" s="32">
        <f t="shared" si="96"/>
        <v>0</v>
      </c>
      <c r="Y150" s="32" t="str">
        <f t="shared" si="97"/>
        <v/>
      </c>
      <c r="Z150" s="32" t="str">
        <f t="shared" si="98"/>
        <v/>
      </c>
      <c r="AA150" s="32" t="str">
        <f t="shared" si="99"/>
        <v/>
      </c>
      <c r="AB150" s="32" t="str">
        <f>IF($A150="","",IF($T150="No Throw",0,IF($K150&lt;&gt;"",$K150,IF($AA150&lt;&gt;"",ROUND($AA150*$D$12*IF($C150=0,1,$G$10),0),MIN(IF($T150="Recovery/Easy Catch",Reference!$B$103,IF($T150="Long Toss",Reference!$B$106,Reference!$B$102)),MAX(Reference!$B$101,ROUND(MAX(0,$Q150-$AE150)/$AF150,0)))))))</f>
        <v/>
      </c>
      <c r="AC150" s="32">
        <f t="shared" si="100"/>
        <v>0</v>
      </c>
      <c r="AD150" s="32" t="b">
        <f t="shared" si="101"/>
        <v>1</v>
      </c>
      <c r="AE150" s="32">
        <f>IF($X150=0,0,$X150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150+$Z150)/2,0),Reference!$A$17:$B$20,2,TRUE()))</f>
        <v>0</v>
      </c>
      <c r="AF150" s="32">
        <f>IF(OR($A150="",$U150="",$T150="No Throw"),0,$AM150*VLOOKUP(MAX(($V150+$W150)/2,0),Reference!$A$17:$B$20,2,TRUE()))</f>
        <v>0</v>
      </c>
      <c r="AG150" s="32">
        <f>IF($AC150=0,0,$AC150*INDEX(Reference!$B$61:$B$62,MATCH("Bullpen",Reference!$A$61:$A$62,0))*VLOOKUP(MAX($D$5-($D$9+$E$9)/2,0),Reference!$A$17:$B$20,2,TRUE()))</f>
        <v>0</v>
      </c>
      <c r="AH150" s="32" t="e">
        <f t="shared" si="102"/>
        <v>#N/A</v>
      </c>
      <c r="AI150" s="32" t="e">
        <f>IF($A150="",NA(),Reference!$A$25)</f>
        <v>#N/A</v>
      </c>
      <c r="AJ150" s="32" t="e">
        <f t="shared" si="103"/>
        <v>#N/A</v>
      </c>
      <c r="AK150" s="32">
        <f>IF(OR($A150="",N($C150)&lt;=7,$T150="No Throw",$J150="x"),0,INDEX(Reference!$B$108:$B$114,$N150+1))</f>
        <v>0</v>
      </c>
      <c r="AL150" s="32">
        <f t="shared" si="104"/>
        <v>1</v>
      </c>
      <c r="AM150" s="32">
        <f>IF($U150="",0,IF($AL150&gt;1,((IF(1&lt;=$AL150,($AL150-1+3)*(INDEX(Reference!$B$6:$B$11,MIN(5,MATCH(MAX(Reference!$A$6,MIN(Reference!$A$11,MIN($U150,90))),Reference!$A$6:$A$11,1)))+(MAX(Reference!$A$6,MIN(Reference!$A$11,MIN($U150,90)))-INDEX(Reference!$A$6:$A$11,MIN(5,MATCH(MAX(Reference!$A$6,MIN(Reference!$A$11,MIN($U150,90))),Reference!$A$6:$A$11,1))))*(INDEX(Reference!$B$6:$B$11,MIN(5,MATCH(MAX(Reference!$A$6,MIN(Reference!$A$11,MIN($U150,90))),Reference!$A$6:$A$11,1))+1)-INDEX(Reference!$B$6:$B$11,MIN(5,MATCH(MAX(Reference!$A$6,MIN(Reference!$A$11,MIN($U150,90))),Reference!$A$6:$A$11,1))))/(INDEX(Reference!$A$6:$A$11,MIN(5,MATCH(MAX(Reference!$A$6,MIN(Reference!$A$11,MIN($U150,90))),Reference!$A$6:$A$11,1))+1)-INDEX(Reference!$A$6:$A$11,MIN(5,MATCH(MAX(Reference!$A$6,MIN(Reference!$A$11,MIN($U150,90))),Reference!$A$6:$A$11,1))))),0)+IF(2&lt;=$AL150,($AL150-2+3)*(INDEX(Reference!$B$6:$B$11,MIN(5,MATCH(MAX(Reference!$A$6,MIN(Reference!$A$11,MIN($U150,120))),Reference!$A$6:$A$11,1)))+(MAX(Reference!$A$6,MIN(Reference!$A$11,MIN($U150,120)))-INDEX(Reference!$A$6:$A$11,MIN(5,MATCH(MAX(Reference!$A$6,MIN(Reference!$A$11,MIN($U150,120))),Reference!$A$6:$A$11,1))))*(INDEX(Reference!$B$6:$B$11,MIN(5,MATCH(MAX(Reference!$A$6,MIN(Reference!$A$11,MIN($U150,120))),Reference!$A$6:$A$11,1))+1)-INDEX(Reference!$B$6:$B$11,MIN(5,MATCH(MAX(Reference!$A$6,MIN(Reference!$A$11,MIN($U150,120))),Reference!$A$6:$A$11,1))))/(INDEX(Reference!$A$6:$A$11,MIN(5,MATCH(MAX(Reference!$A$6,MIN(Reference!$A$11,MIN($U150,120))),Reference!$A$6:$A$11,1))+1)-INDEX(Reference!$A$6:$A$11,MIN(5,MATCH(MAX(Reference!$A$6,MIN(Reference!$A$11,MIN($U150,120))),Reference!$A$6:$A$11,1))))),0)+IF(3&lt;=$AL150,($AL150-3+3)*(INDEX(Reference!$B$6:$B$11,MIN(5,MATCH(MAX(Reference!$A$6,MIN(Reference!$A$11,MIN($U150,150))),Reference!$A$6:$A$11,1)))+(MAX(Reference!$A$6,MIN(Reference!$A$11,MIN($U150,150)))-INDEX(Reference!$A$6:$A$11,MIN(5,MATCH(MAX(Reference!$A$6,MIN(Reference!$A$11,MIN($U150,150))),Reference!$A$6:$A$11,1))))*(INDEX(Reference!$B$6:$B$11,MIN(5,MATCH(MAX(Reference!$A$6,MIN(Reference!$A$11,MIN($U150,150))),Reference!$A$6:$A$11,1))+1)-INDEX(Reference!$B$6:$B$11,MIN(5,MATCH(MAX(Reference!$A$6,MIN(Reference!$A$11,MIN($U150,150))),Reference!$A$6:$A$11,1))))/(INDEX(Reference!$A$6:$A$11,MIN(5,MATCH(MAX(Reference!$A$6,MIN(Reference!$A$11,MIN($U150,150))),Reference!$A$6:$A$11,1))+1)-INDEX(Reference!$A$6:$A$11,MIN(5,MATCH(MAX(Reference!$A$6,MIN(Reference!$A$11,MIN($U150,150))),Reference!$A$6:$A$11,1))))),0)+IF(4&lt;=$AL150,($AL150-4+3)*(INDEX(Reference!$B$6:$B$11,MIN(5,MATCH(MAX(Reference!$A$6,MIN(Reference!$A$11,MIN($U150,180))),Reference!$A$6:$A$11,1)))+(MAX(Reference!$A$6,MIN(Reference!$A$11,MIN($U150,180)))-INDEX(Reference!$A$6:$A$11,MIN(5,MATCH(MAX(Reference!$A$6,MIN(Reference!$A$11,MIN($U150,180))),Reference!$A$6:$A$11,1))))*(INDEX(Reference!$B$6:$B$11,MIN(5,MATCH(MAX(Reference!$A$6,MIN(Reference!$A$11,MIN($U150,180))),Reference!$A$6:$A$11,1))+1)-INDEX(Reference!$B$6:$B$11,MIN(5,MATCH(MAX(Reference!$A$6,MIN(Reference!$A$11,MIN($U150,180))),Reference!$A$6:$A$11,1))))/(INDEX(Reference!$A$6:$A$11,MIN(5,MATCH(MAX(Reference!$A$6,MIN(Reference!$A$11,MIN($U150,180))),Reference!$A$6:$A$11,1))+1)-INDEX(Reference!$A$6:$A$11,MIN(5,MATCH(MAX(Reference!$A$6,MIN(Reference!$A$11,MIN($U150,180))),Reference!$A$6:$A$11,1))))),0)+IF(5&lt;=$AL150,($AL150-5+3)*(INDEX(Reference!$B$6:$B$11,MIN(5,MATCH(MAX(Reference!$A$6,MIN(Reference!$A$11,MIN($U150,210))),Reference!$A$6:$A$11,1)))+(MAX(Reference!$A$6,MIN(Reference!$A$11,MIN($U150,210)))-INDEX(Reference!$A$6:$A$11,MIN(5,MATCH(MAX(Reference!$A$6,MIN(Reference!$A$11,MIN($U150,210))),Reference!$A$6:$A$11,1))))*(INDEX(Reference!$B$6:$B$11,MIN(5,MATCH(MAX(Reference!$A$6,MIN(Reference!$A$11,MIN($U150,210))),Reference!$A$6:$A$11,1))+1)-INDEX(Reference!$B$6:$B$11,MIN(5,MATCH(MAX(Reference!$A$6,MIN(Reference!$A$11,MIN($U150,210))),Reference!$A$6:$A$11,1))))/(INDEX(Reference!$A$6:$A$11,MIN(5,MATCH(MAX(Reference!$A$6,MIN(Reference!$A$11,MIN($U150,210))),Reference!$A$6:$A$11,1))+1)-INDEX(Reference!$A$6:$A$11,MIN(5,MATCH(MAX(Reference!$A$6,MIN(Reference!$A$11,MIN($U150,210))),Reference!$A$6:$A$11,1))))),0)+IF(6&lt;=$AL150,($AL150-6+3)*(INDEX(Reference!$B$6:$B$11,MIN(5,MATCH(MAX(Reference!$A$6,MIN(Reference!$A$11,MIN($U150,240))),Reference!$A$6:$A$11,1)))+(MAX(Reference!$A$6,MIN(Reference!$A$11,MIN($U150,240)))-INDEX(Reference!$A$6:$A$11,MIN(5,MATCH(MAX(Reference!$A$6,MIN(Reference!$A$11,MIN($U150,240))),Reference!$A$6:$A$11,1))))*(INDEX(Reference!$B$6:$B$11,MIN(5,MATCH(MAX(Reference!$A$6,MIN(Reference!$A$11,MIN($U150,240))),Reference!$A$6:$A$11,1))+1)-INDEX(Reference!$B$6:$B$11,MIN(5,MATCH(MAX(Reference!$A$6,MIN(Reference!$A$11,MIN($U150,240))),Reference!$A$6:$A$11,1))))/(INDEX(Reference!$A$6:$A$11,MIN(5,MATCH(MAX(Reference!$A$6,MIN(Reference!$A$11,MIN($U150,240))),Reference!$A$6:$A$11,1))+1)-INDEX(Reference!$A$6:$A$11,MIN(5,MATCH(MAX(Reference!$A$6,MIN(Reference!$A$11,MIN($U150,240))),Reference!$A$6:$A$11,1))))),0)+IF(7&lt;=$AL150,($AL150-7+3)*(INDEX(Reference!$B$6:$B$11,MIN(5,MATCH(MAX(Reference!$A$6,MIN(Reference!$A$11,MIN($U150,270))),Reference!$A$6:$A$11,1)))+(MAX(Reference!$A$6,MIN(Reference!$A$11,MIN($U150,270)))-INDEX(Reference!$A$6:$A$11,MIN(5,MATCH(MAX(Reference!$A$6,MIN(Reference!$A$11,MIN($U150,270))),Reference!$A$6:$A$11,1))))*(INDEX(Reference!$B$6:$B$11,MIN(5,MATCH(MAX(Reference!$A$6,MIN(Reference!$A$11,MIN($U150,270))),Reference!$A$6:$A$11,1))+1)-INDEX(Reference!$B$6:$B$11,MIN(5,MATCH(MAX(Reference!$A$6,MIN(Reference!$A$11,MIN($U150,270))),Reference!$A$6:$A$11,1))))/(INDEX(Reference!$A$6:$A$11,MIN(5,MATCH(MAX(Reference!$A$6,MIN(Reference!$A$11,MIN($U150,270))),Reference!$A$6:$A$11,1))+1)-INDEX(Reference!$A$6:$A$11,MIN(5,MATCH(MAX(Reference!$A$6,MIN(Reference!$A$11,MIN($U150,270))),Reference!$A$6:$A$11,1))))),0)+IF(8&lt;=$AL150,($AL150-8+3)*(INDEX(Reference!$B$6:$B$11,MIN(5,MATCH(MAX(Reference!$A$6,MIN(Reference!$A$11,MIN($U150,300))),Reference!$A$6:$A$11,1)))+(MAX(Reference!$A$6,MIN(Reference!$A$11,MIN($U150,300)))-INDEX(Reference!$A$6:$A$11,MIN(5,MATCH(MAX(Reference!$A$6,MIN(Reference!$A$11,MIN($U150,300))),Reference!$A$6:$A$11,1))))*(INDEX(Reference!$B$6:$B$11,MIN(5,MATCH(MAX(Reference!$A$6,MIN(Reference!$A$11,MIN($U150,300))),Reference!$A$6:$A$11,1))+1)-INDEX(Reference!$B$6:$B$11,MIN(5,MATCH(MAX(Reference!$A$6,MIN(Reference!$A$11,MIN($U150,300))),Reference!$A$6:$A$11,1))))/(INDEX(Reference!$A$6:$A$11,MIN(5,MATCH(MAX(Reference!$A$6,MIN(Reference!$A$11,MIN($U150,300))),Reference!$A$6:$A$11,1))+1)-INDEX(Reference!$A$6:$A$11,MIN(5,MATCH(MAX(Reference!$A$6,MIN(Reference!$A$11,MIN($U150,300))),Reference!$A$6:$A$11,1))))),0))/($AL150*($AL150+5)/2)),$AN150))</f>
        <v>0</v>
      </c>
      <c r="AN150" s="32">
        <f>IF($U150="",0,(INDEX(Reference!$B$6:$B$11,MIN(5,MATCH(MAX(Reference!$A$6,MIN(Reference!$A$11,$U150)),Reference!$A$6:$A$11,1)))+(MAX(Reference!$A$6,MIN(Reference!$A$11,$U150))-INDEX(Reference!$A$6:$A$11,MIN(5,MATCH(MAX(Reference!$A$6,MIN(Reference!$A$11,$U150)),Reference!$A$6:$A$11,1))))*(INDEX(Reference!$B$6:$B$11,MIN(5,MATCH(MAX(Reference!$A$6,MIN(Reference!$A$11,$U150)),Reference!$A$6:$A$11,1))+1)-INDEX(Reference!$B$6:$B$11,MIN(5,MATCH(MAX(Reference!$A$6,MIN(Reference!$A$11,$U150)),Reference!$A$6:$A$11,1))))/(INDEX(Reference!$A$6:$A$11,MIN(5,MATCH(MAX(Reference!$A$6,MIN(Reference!$A$11,$U150)),Reference!$A$6:$A$11,1))+1)-INDEX(Reference!$A$6:$A$11,MIN(5,MATCH(MAX(Reference!$A$6,MIN(Reference!$A$11,$U150)),Reference!$A$6:$A$11,1))))))</f>
        <v>0</v>
      </c>
      <c r="AO150" s="37"/>
      <c r="AP150" s="37"/>
      <c r="AQ150" s="37"/>
    </row>
    <row r="151" spans="1:43" x14ac:dyDescent="0.3">
      <c r="A151" s="48" t="str">
        <f t="shared" si="80"/>
        <v/>
      </c>
      <c r="B151" s="32" t="str">
        <f t="shared" si="81"/>
        <v/>
      </c>
      <c r="C151" s="32" t="str">
        <f t="shared" si="82"/>
        <v/>
      </c>
      <c r="D151" s="32" t="str">
        <f t="shared" si="83"/>
        <v/>
      </c>
      <c r="E151" s="32" t="str">
        <f t="shared" si="84"/>
        <v/>
      </c>
      <c r="F151" s="32" t="str">
        <f t="shared" si="85"/>
        <v/>
      </c>
      <c r="G151" s="47" t="str">
        <f t="shared" si="86"/>
        <v/>
      </c>
      <c r="H151" s="30" t="str">
        <f t="shared" si="87"/>
        <v/>
      </c>
      <c r="I151" s="46" t="str">
        <f>IF($A151="","",IF(AND($L151&lt;27,$K$12=0),"Building",IFERROR(((SUM($H$145:$H151)+$K$12*IF($L151&lt;6,SUMIFS('Throw Log'!$Q$5:$Q$300,'Throw Log'!$B$5:$B$300,$D$4,'Throw Log'!$A$5:$A$300,"&gt;="&amp;($D$6+$L151-6),'Throw Log'!$A$5:$A$300,"&lt;="&amp;($D$6-1)),0))/7)/((SUM($H$124:$H151)+$K$12*IF($L151&lt;27,SUMIFS('Throw Log'!$Q$5:$Q$300,'Throw Log'!$B$5:$B$300,$D$4,'Throw Log'!$A$5:$A$300,"&gt;="&amp;($D$6+$L151-27),'Throw Log'!$A$5:$A$300,"&lt;="&amp;($D$6-1)),0))/28),"")))</f>
        <v/>
      </c>
      <c r="J151" s="37"/>
      <c r="K151" s="37"/>
      <c r="L151" s="32">
        <v>108</v>
      </c>
      <c r="M151" s="32">
        <f t="shared" si="88"/>
        <v>16</v>
      </c>
      <c r="N151" s="32">
        <f t="shared" si="89"/>
        <v>3</v>
      </c>
      <c r="O151" s="32">
        <f t="shared" si="90"/>
        <v>1</v>
      </c>
      <c r="P151" s="32" t="str">
        <f>IF(OR($A151="",N($C151)&lt;=7),"",$G$6*$G$9^($M151-1)*IF(AND(MOD($M151,Reference!$B$99)=0,$M151&lt;=$G$5-2),Reference!$B$100,1))</f>
        <v/>
      </c>
      <c r="Q151" s="32" t="str">
        <f>IF($P151="","",IF(SUM($AK$148:$AK$154)=0,0,$P151*INDEX(Reference!$B$108:$B$114,$N151+1)/SUM($AK$148:$AK$154)))</f>
        <v/>
      </c>
      <c r="R151" s="32">
        <f t="shared" si="91"/>
        <v>180</v>
      </c>
      <c r="S151" s="32">
        <f t="shared" si="92"/>
        <v>150</v>
      </c>
      <c r="T151" s="32" t="str">
        <f>IF($A151="","",IF($C151=0,"Bullpen",IF(OR($C151=7,$C151=1,$C151=5),"Recovery/Easy Catch",IF($C151=6,"Compression/Pulldowns",IF(OR($C151=4,$C151=2),"Long Toss",IF($C151=3,"No Throw",IF($N151=2,"No Throw",IF($N151=6,IF($O151&lt;Reference!$B$104,"No Throw","Recovery/Easy Catch"),IF(OR($N151=0,$N151=4),"Recovery/Easy Catch",IF($N151=1,IF($R151&gt;75,"Long Toss","Recovery/Easy Catch"),IF($N151=3,IF($O151&lt;0.5,IF($S151&gt;75,"Long Toss","Recovery/Easy Catch"),"Compression/Pulldowns"),IF($S151&gt;75,"Long Toss","Recovery/Easy Catch"))))))))))))</f>
        <v/>
      </c>
      <c r="U151" s="32" t="str">
        <f t="shared" si="93"/>
        <v/>
      </c>
      <c r="V151" s="32" t="str">
        <f t="shared" si="94"/>
        <v/>
      </c>
      <c r="W151" s="32" t="str">
        <f t="shared" si="95"/>
        <v/>
      </c>
      <c r="X151" s="32">
        <f t="shared" si="96"/>
        <v>0</v>
      </c>
      <c r="Y151" s="32" t="str">
        <f t="shared" si="97"/>
        <v/>
      </c>
      <c r="Z151" s="32" t="str">
        <f t="shared" si="98"/>
        <v/>
      </c>
      <c r="AA151" s="32" t="str">
        <f t="shared" si="99"/>
        <v/>
      </c>
      <c r="AB151" s="32" t="str">
        <f>IF($A151="","",IF($T151="No Throw",0,IF($K151&lt;&gt;"",$K151,IF($AA151&lt;&gt;"",ROUND($AA151*$D$12*IF($C151=0,1,$G$10),0),MIN(IF($T151="Recovery/Easy Catch",Reference!$B$103,IF($T151="Long Toss",Reference!$B$106,Reference!$B$102)),MAX(Reference!$B$101,ROUND(MAX(0,$Q151-$AE151)/$AF151,0)))))))</f>
        <v/>
      </c>
      <c r="AC151" s="32">
        <f t="shared" si="100"/>
        <v>0</v>
      </c>
      <c r="AD151" s="32" t="b">
        <f t="shared" si="101"/>
        <v>1</v>
      </c>
      <c r="AE151" s="32">
        <f>IF($X151=0,0,$X151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151+$Z151)/2,0),Reference!$A$17:$B$20,2,TRUE()))</f>
        <v>0</v>
      </c>
      <c r="AF151" s="32">
        <f>IF(OR($A151="",$U151="",$T151="No Throw"),0,$AM151*VLOOKUP(MAX(($V151+$W151)/2,0),Reference!$A$17:$B$20,2,TRUE()))</f>
        <v>0</v>
      </c>
      <c r="AG151" s="32">
        <f>IF($AC151=0,0,$AC151*INDEX(Reference!$B$61:$B$62,MATCH("Bullpen",Reference!$A$61:$A$62,0))*VLOOKUP(MAX($D$5-($D$9+$E$9)/2,0),Reference!$A$17:$B$20,2,TRUE()))</f>
        <v>0</v>
      </c>
      <c r="AH151" s="32" t="e">
        <f t="shared" si="102"/>
        <v>#N/A</v>
      </c>
      <c r="AI151" s="32" t="e">
        <f>IF($A151="",NA(),Reference!$A$25)</f>
        <v>#N/A</v>
      </c>
      <c r="AJ151" s="32" t="e">
        <f t="shared" si="103"/>
        <v>#N/A</v>
      </c>
      <c r="AK151" s="32">
        <f>IF(OR($A151="",N($C151)&lt;=7,$T151="No Throw",$J151="x"),0,INDEX(Reference!$B$108:$B$114,$N151+1))</f>
        <v>0</v>
      </c>
      <c r="AL151" s="32">
        <f t="shared" si="104"/>
        <v>1</v>
      </c>
      <c r="AM151" s="32">
        <f>IF($U151="",0,IF($AL151&gt;1,((IF(1&lt;=$AL151,($AL151-1+3)*(INDEX(Reference!$B$6:$B$11,MIN(5,MATCH(MAX(Reference!$A$6,MIN(Reference!$A$11,MIN($U151,90))),Reference!$A$6:$A$11,1)))+(MAX(Reference!$A$6,MIN(Reference!$A$11,MIN($U151,90)))-INDEX(Reference!$A$6:$A$11,MIN(5,MATCH(MAX(Reference!$A$6,MIN(Reference!$A$11,MIN($U151,90))),Reference!$A$6:$A$11,1))))*(INDEX(Reference!$B$6:$B$11,MIN(5,MATCH(MAX(Reference!$A$6,MIN(Reference!$A$11,MIN($U151,90))),Reference!$A$6:$A$11,1))+1)-INDEX(Reference!$B$6:$B$11,MIN(5,MATCH(MAX(Reference!$A$6,MIN(Reference!$A$11,MIN($U151,90))),Reference!$A$6:$A$11,1))))/(INDEX(Reference!$A$6:$A$11,MIN(5,MATCH(MAX(Reference!$A$6,MIN(Reference!$A$11,MIN($U151,90))),Reference!$A$6:$A$11,1))+1)-INDEX(Reference!$A$6:$A$11,MIN(5,MATCH(MAX(Reference!$A$6,MIN(Reference!$A$11,MIN($U151,90))),Reference!$A$6:$A$11,1))))),0)+IF(2&lt;=$AL151,($AL151-2+3)*(INDEX(Reference!$B$6:$B$11,MIN(5,MATCH(MAX(Reference!$A$6,MIN(Reference!$A$11,MIN($U151,120))),Reference!$A$6:$A$11,1)))+(MAX(Reference!$A$6,MIN(Reference!$A$11,MIN($U151,120)))-INDEX(Reference!$A$6:$A$11,MIN(5,MATCH(MAX(Reference!$A$6,MIN(Reference!$A$11,MIN($U151,120))),Reference!$A$6:$A$11,1))))*(INDEX(Reference!$B$6:$B$11,MIN(5,MATCH(MAX(Reference!$A$6,MIN(Reference!$A$11,MIN($U151,120))),Reference!$A$6:$A$11,1))+1)-INDEX(Reference!$B$6:$B$11,MIN(5,MATCH(MAX(Reference!$A$6,MIN(Reference!$A$11,MIN($U151,120))),Reference!$A$6:$A$11,1))))/(INDEX(Reference!$A$6:$A$11,MIN(5,MATCH(MAX(Reference!$A$6,MIN(Reference!$A$11,MIN($U151,120))),Reference!$A$6:$A$11,1))+1)-INDEX(Reference!$A$6:$A$11,MIN(5,MATCH(MAX(Reference!$A$6,MIN(Reference!$A$11,MIN($U151,120))),Reference!$A$6:$A$11,1))))),0)+IF(3&lt;=$AL151,($AL151-3+3)*(INDEX(Reference!$B$6:$B$11,MIN(5,MATCH(MAX(Reference!$A$6,MIN(Reference!$A$11,MIN($U151,150))),Reference!$A$6:$A$11,1)))+(MAX(Reference!$A$6,MIN(Reference!$A$11,MIN($U151,150)))-INDEX(Reference!$A$6:$A$11,MIN(5,MATCH(MAX(Reference!$A$6,MIN(Reference!$A$11,MIN($U151,150))),Reference!$A$6:$A$11,1))))*(INDEX(Reference!$B$6:$B$11,MIN(5,MATCH(MAX(Reference!$A$6,MIN(Reference!$A$11,MIN($U151,150))),Reference!$A$6:$A$11,1))+1)-INDEX(Reference!$B$6:$B$11,MIN(5,MATCH(MAX(Reference!$A$6,MIN(Reference!$A$11,MIN($U151,150))),Reference!$A$6:$A$11,1))))/(INDEX(Reference!$A$6:$A$11,MIN(5,MATCH(MAX(Reference!$A$6,MIN(Reference!$A$11,MIN($U151,150))),Reference!$A$6:$A$11,1))+1)-INDEX(Reference!$A$6:$A$11,MIN(5,MATCH(MAX(Reference!$A$6,MIN(Reference!$A$11,MIN($U151,150))),Reference!$A$6:$A$11,1))))),0)+IF(4&lt;=$AL151,($AL151-4+3)*(INDEX(Reference!$B$6:$B$11,MIN(5,MATCH(MAX(Reference!$A$6,MIN(Reference!$A$11,MIN($U151,180))),Reference!$A$6:$A$11,1)))+(MAX(Reference!$A$6,MIN(Reference!$A$11,MIN($U151,180)))-INDEX(Reference!$A$6:$A$11,MIN(5,MATCH(MAX(Reference!$A$6,MIN(Reference!$A$11,MIN($U151,180))),Reference!$A$6:$A$11,1))))*(INDEX(Reference!$B$6:$B$11,MIN(5,MATCH(MAX(Reference!$A$6,MIN(Reference!$A$11,MIN($U151,180))),Reference!$A$6:$A$11,1))+1)-INDEX(Reference!$B$6:$B$11,MIN(5,MATCH(MAX(Reference!$A$6,MIN(Reference!$A$11,MIN($U151,180))),Reference!$A$6:$A$11,1))))/(INDEX(Reference!$A$6:$A$11,MIN(5,MATCH(MAX(Reference!$A$6,MIN(Reference!$A$11,MIN($U151,180))),Reference!$A$6:$A$11,1))+1)-INDEX(Reference!$A$6:$A$11,MIN(5,MATCH(MAX(Reference!$A$6,MIN(Reference!$A$11,MIN($U151,180))),Reference!$A$6:$A$11,1))))),0)+IF(5&lt;=$AL151,($AL151-5+3)*(INDEX(Reference!$B$6:$B$11,MIN(5,MATCH(MAX(Reference!$A$6,MIN(Reference!$A$11,MIN($U151,210))),Reference!$A$6:$A$11,1)))+(MAX(Reference!$A$6,MIN(Reference!$A$11,MIN($U151,210)))-INDEX(Reference!$A$6:$A$11,MIN(5,MATCH(MAX(Reference!$A$6,MIN(Reference!$A$11,MIN($U151,210))),Reference!$A$6:$A$11,1))))*(INDEX(Reference!$B$6:$B$11,MIN(5,MATCH(MAX(Reference!$A$6,MIN(Reference!$A$11,MIN($U151,210))),Reference!$A$6:$A$11,1))+1)-INDEX(Reference!$B$6:$B$11,MIN(5,MATCH(MAX(Reference!$A$6,MIN(Reference!$A$11,MIN($U151,210))),Reference!$A$6:$A$11,1))))/(INDEX(Reference!$A$6:$A$11,MIN(5,MATCH(MAX(Reference!$A$6,MIN(Reference!$A$11,MIN($U151,210))),Reference!$A$6:$A$11,1))+1)-INDEX(Reference!$A$6:$A$11,MIN(5,MATCH(MAX(Reference!$A$6,MIN(Reference!$A$11,MIN($U151,210))),Reference!$A$6:$A$11,1))))),0)+IF(6&lt;=$AL151,($AL151-6+3)*(INDEX(Reference!$B$6:$B$11,MIN(5,MATCH(MAX(Reference!$A$6,MIN(Reference!$A$11,MIN($U151,240))),Reference!$A$6:$A$11,1)))+(MAX(Reference!$A$6,MIN(Reference!$A$11,MIN($U151,240)))-INDEX(Reference!$A$6:$A$11,MIN(5,MATCH(MAX(Reference!$A$6,MIN(Reference!$A$11,MIN($U151,240))),Reference!$A$6:$A$11,1))))*(INDEX(Reference!$B$6:$B$11,MIN(5,MATCH(MAX(Reference!$A$6,MIN(Reference!$A$11,MIN($U151,240))),Reference!$A$6:$A$11,1))+1)-INDEX(Reference!$B$6:$B$11,MIN(5,MATCH(MAX(Reference!$A$6,MIN(Reference!$A$11,MIN($U151,240))),Reference!$A$6:$A$11,1))))/(INDEX(Reference!$A$6:$A$11,MIN(5,MATCH(MAX(Reference!$A$6,MIN(Reference!$A$11,MIN($U151,240))),Reference!$A$6:$A$11,1))+1)-INDEX(Reference!$A$6:$A$11,MIN(5,MATCH(MAX(Reference!$A$6,MIN(Reference!$A$11,MIN($U151,240))),Reference!$A$6:$A$11,1))))),0)+IF(7&lt;=$AL151,($AL151-7+3)*(INDEX(Reference!$B$6:$B$11,MIN(5,MATCH(MAX(Reference!$A$6,MIN(Reference!$A$11,MIN($U151,270))),Reference!$A$6:$A$11,1)))+(MAX(Reference!$A$6,MIN(Reference!$A$11,MIN($U151,270)))-INDEX(Reference!$A$6:$A$11,MIN(5,MATCH(MAX(Reference!$A$6,MIN(Reference!$A$11,MIN($U151,270))),Reference!$A$6:$A$11,1))))*(INDEX(Reference!$B$6:$B$11,MIN(5,MATCH(MAX(Reference!$A$6,MIN(Reference!$A$11,MIN($U151,270))),Reference!$A$6:$A$11,1))+1)-INDEX(Reference!$B$6:$B$11,MIN(5,MATCH(MAX(Reference!$A$6,MIN(Reference!$A$11,MIN($U151,270))),Reference!$A$6:$A$11,1))))/(INDEX(Reference!$A$6:$A$11,MIN(5,MATCH(MAX(Reference!$A$6,MIN(Reference!$A$11,MIN($U151,270))),Reference!$A$6:$A$11,1))+1)-INDEX(Reference!$A$6:$A$11,MIN(5,MATCH(MAX(Reference!$A$6,MIN(Reference!$A$11,MIN($U151,270))),Reference!$A$6:$A$11,1))))),0)+IF(8&lt;=$AL151,($AL151-8+3)*(INDEX(Reference!$B$6:$B$11,MIN(5,MATCH(MAX(Reference!$A$6,MIN(Reference!$A$11,MIN($U151,300))),Reference!$A$6:$A$11,1)))+(MAX(Reference!$A$6,MIN(Reference!$A$11,MIN($U151,300)))-INDEX(Reference!$A$6:$A$11,MIN(5,MATCH(MAX(Reference!$A$6,MIN(Reference!$A$11,MIN($U151,300))),Reference!$A$6:$A$11,1))))*(INDEX(Reference!$B$6:$B$11,MIN(5,MATCH(MAX(Reference!$A$6,MIN(Reference!$A$11,MIN($U151,300))),Reference!$A$6:$A$11,1))+1)-INDEX(Reference!$B$6:$B$11,MIN(5,MATCH(MAX(Reference!$A$6,MIN(Reference!$A$11,MIN($U151,300))),Reference!$A$6:$A$11,1))))/(INDEX(Reference!$A$6:$A$11,MIN(5,MATCH(MAX(Reference!$A$6,MIN(Reference!$A$11,MIN($U151,300))),Reference!$A$6:$A$11,1))+1)-INDEX(Reference!$A$6:$A$11,MIN(5,MATCH(MAX(Reference!$A$6,MIN(Reference!$A$11,MIN($U151,300))),Reference!$A$6:$A$11,1))))),0))/($AL151*($AL151+5)/2)),$AN151))</f>
        <v>0</v>
      </c>
      <c r="AN151" s="32">
        <f>IF($U151="",0,(INDEX(Reference!$B$6:$B$11,MIN(5,MATCH(MAX(Reference!$A$6,MIN(Reference!$A$11,$U151)),Reference!$A$6:$A$11,1)))+(MAX(Reference!$A$6,MIN(Reference!$A$11,$U151))-INDEX(Reference!$A$6:$A$11,MIN(5,MATCH(MAX(Reference!$A$6,MIN(Reference!$A$11,$U151)),Reference!$A$6:$A$11,1))))*(INDEX(Reference!$B$6:$B$11,MIN(5,MATCH(MAX(Reference!$A$6,MIN(Reference!$A$11,$U151)),Reference!$A$6:$A$11,1))+1)-INDEX(Reference!$B$6:$B$11,MIN(5,MATCH(MAX(Reference!$A$6,MIN(Reference!$A$11,$U151)),Reference!$A$6:$A$11,1))))/(INDEX(Reference!$A$6:$A$11,MIN(5,MATCH(MAX(Reference!$A$6,MIN(Reference!$A$11,$U151)),Reference!$A$6:$A$11,1))+1)-INDEX(Reference!$A$6:$A$11,MIN(5,MATCH(MAX(Reference!$A$6,MIN(Reference!$A$11,$U151)),Reference!$A$6:$A$11,1))))))</f>
        <v>0</v>
      </c>
      <c r="AO151" s="37"/>
      <c r="AP151" s="37"/>
      <c r="AQ151" s="37"/>
    </row>
    <row r="152" spans="1:43" x14ac:dyDescent="0.3">
      <c r="A152" s="48" t="str">
        <f t="shared" si="80"/>
        <v/>
      </c>
      <c r="B152" s="32" t="str">
        <f t="shared" si="81"/>
        <v/>
      </c>
      <c r="C152" s="32" t="str">
        <f t="shared" si="82"/>
        <v/>
      </c>
      <c r="D152" s="32" t="str">
        <f t="shared" si="83"/>
        <v/>
      </c>
      <c r="E152" s="32" t="str">
        <f t="shared" si="84"/>
        <v/>
      </c>
      <c r="F152" s="32" t="str">
        <f t="shared" si="85"/>
        <v/>
      </c>
      <c r="G152" s="47" t="str">
        <f t="shared" si="86"/>
        <v/>
      </c>
      <c r="H152" s="30" t="str">
        <f t="shared" si="87"/>
        <v/>
      </c>
      <c r="I152" s="46" t="str">
        <f>IF($A152="","",IF(AND($L152&lt;27,$K$12=0),"Building",IFERROR(((SUM($H$146:$H152)+$K$12*IF($L152&lt;6,SUMIFS('Throw Log'!$Q$5:$Q$300,'Throw Log'!$B$5:$B$300,$D$4,'Throw Log'!$A$5:$A$300,"&gt;="&amp;($D$6+$L152-6),'Throw Log'!$A$5:$A$300,"&lt;="&amp;($D$6-1)),0))/7)/((SUM($H$125:$H152)+$K$12*IF($L152&lt;27,SUMIFS('Throw Log'!$Q$5:$Q$300,'Throw Log'!$B$5:$B$300,$D$4,'Throw Log'!$A$5:$A$300,"&gt;="&amp;($D$6+$L152-27),'Throw Log'!$A$5:$A$300,"&lt;="&amp;($D$6-1)),0))/28),"")))</f>
        <v/>
      </c>
      <c r="J152" s="37"/>
      <c r="K152" s="37"/>
      <c r="L152" s="32">
        <v>109</v>
      </c>
      <c r="M152" s="32">
        <f t="shared" si="88"/>
        <v>16</v>
      </c>
      <c r="N152" s="32">
        <f t="shared" si="89"/>
        <v>4</v>
      </c>
      <c r="O152" s="32">
        <f t="shared" si="90"/>
        <v>1</v>
      </c>
      <c r="P152" s="32" t="str">
        <f>IF(OR($A152="",N($C152)&lt;=7),"",$G$6*$G$9^($M152-1)*IF(AND(MOD($M152,Reference!$B$99)=0,$M152&lt;=$G$5-2),Reference!$B$100,1))</f>
        <v/>
      </c>
      <c r="Q152" s="32" t="str">
        <f>IF($P152="","",IF(SUM($AK$148:$AK$154)=0,0,$P152*INDEX(Reference!$B$108:$B$114,$N152+1)/SUM($AK$148:$AK$154)))</f>
        <v/>
      </c>
      <c r="R152" s="32">
        <f t="shared" si="91"/>
        <v>180</v>
      </c>
      <c r="S152" s="32">
        <f t="shared" si="92"/>
        <v>150</v>
      </c>
      <c r="T152" s="32" t="str">
        <f>IF($A152="","",IF($C152=0,"Bullpen",IF(OR($C152=7,$C152=1,$C152=5),"Recovery/Easy Catch",IF($C152=6,"Compression/Pulldowns",IF(OR($C152=4,$C152=2),"Long Toss",IF($C152=3,"No Throw",IF($N152=2,"No Throw",IF($N152=6,IF($O152&lt;Reference!$B$104,"No Throw","Recovery/Easy Catch"),IF(OR($N152=0,$N152=4),"Recovery/Easy Catch",IF($N152=1,IF($R152&gt;75,"Long Toss","Recovery/Easy Catch"),IF($N152=3,IF($O152&lt;0.5,IF($S152&gt;75,"Long Toss","Recovery/Easy Catch"),"Compression/Pulldowns"),IF($S152&gt;75,"Long Toss","Recovery/Easy Catch"))))))))))))</f>
        <v/>
      </c>
      <c r="U152" s="32" t="str">
        <f t="shared" si="93"/>
        <v/>
      </c>
      <c r="V152" s="32" t="str">
        <f t="shared" si="94"/>
        <v/>
      </c>
      <c r="W152" s="32" t="str">
        <f t="shared" si="95"/>
        <v/>
      </c>
      <c r="X152" s="32">
        <f t="shared" si="96"/>
        <v>0</v>
      </c>
      <c r="Y152" s="32" t="str">
        <f t="shared" si="97"/>
        <v/>
      </c>
      <c r="Z152" s="32" t="str">
        <f t="shared" si="98"/>
        <v/>
      </c>
      <c r="AA152" s="32" t="str">
        <f t="shared" si="99"/>
        <v/>
      </c>
      <c r="AB152" s="32" t="str">
        <f>IF($A152="","",IF($T152="No Throw",0,IF($K152&lt;&gt;"",$K152,IF($AA152&lt;&gt;"",ROUND($AA152*$D$12*IF($C152=0,1,$G$10),0),MIN(IF($T152="Recovery/Easy Catch",Reference!$B$103,IF($T152="Long Toss",Reference!$B$106,Reference!$B$102)),MAX(Reference!$B$101,ROUND(MAX(0,$Q152-$AE152)/$AF152,0)))))))</f>
        <v/>
      </c>
      <c r="AC152" s="32">
        <f t="shared" si="100"/>
        <v>0</v>
      </c>
      <c r="AD152" s="32" t="b">
        <f t="shared" si="101"/>
        <v>1</v>
      </c>
      <c r="AE152" s="32">
        <f>IF($X152=0,0,$X152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152+$Z152)/2,0),Reference!$A$17:$B$20,2,TRUE()))</f>
        <v>0</v>
      </c>
      <c r="AF152" s="32">
        <f>IF(OR($A152="",$U152="",$T152="No Throw"),0,$AM152*VLOOKUP(MAX(($V152+$W152)/2,0),Reference!$A$17:$B$20,2,TRUE()))</f>
        <v>0</v>
      </c>
      <c r="AG152" s="32">
        <f>IF($AC152=0,0,$AC152*INDEX(Reference!$B$61:$B$62,MATCH("Bullpen",Reference!$A$61:$A$62,0))*VLOOKUP(MAX($D$5-($D$9+$E$9)/2,0),Reference!$A$17:$B$20,2,TRUE()))</f>
        <v>0</v>
      </c>
      <c r="AH152" s="32" t="e">
        <f t="shared" si="102"/>
        <v>#N/A</v>
      </c>
      <c r="AI152" s="32" t="e">
        <f>IF($A152="",NA(),Reference!$A$25)</f>
        <v>#N/A</v>
      </c>
      <c r="AJ152" s="32" t="e">
        <f t="shared" si="103"/>
        <v>#N/A</v>
      </c>
      <c r="AK152" s="32">
        <f>IF(OR($A152="",N($C152)&lt;=7,$T152="No Throw",$J152="x"),0,INDEX(Reference!$B$108:$B$114,$N152+1))</f>
        <v>0</v>
      </c>
      <c r="AL152" s="32">
        <f t="shared" si="104"/>
        <v>1</v>
      </c>
      <c r="AM152" s="32">
        <f>IF($U152="",0,IF($AL152&gt;1,((IF(1&lt;=$AL152,($AL152-1+3)*(INDEX(Reference!$B$6:$B$11,MIN(5,MATCH(MAX(Reference!$A$6,MIN(Reference!$A$11,MIN($U152,90))),Reference!$A$6:$A$11,1)))+(MAX(Reference!$A$6,MIN(Reference!$A$11,MIN($U152,90)))-INDEX(Reference!$A$6:$A$11,MIN(5,MATCH(MAX(Reference!$A$6,MIN(Reference!$A$11,MIN($U152,90))),Reference!$A$6:$A$11,1))))*(INDEX(Reference!$B$6:$B$11,MIN(5,MATCH(MAX(Reference!$A$6,MIN(Reference!$A$11,MIN($U152,90))),Reference!$A$6:$A$11,1))+1)-INDEX(Reference!$B$6:$B$11,MIN(5,MATCH(MAX(Reference!$A$6,MIN(Reference!$A$11,MIN($U152,90))),Reference!$A$6:$A$11,1))))/(INDEX(Reference!$A$6:$A$11,MIN(5,MATCH(MAX(Reference!$A$6,MIN(Reference!$A$11,MIN($U152,90))),Reference!$A$6:$A$11,1))+1)-INDEX(Reference!$A$6:$A$11,MIN(5,MATCH(MAX(Reference!$A$6,MIN(Reference!$A$11,MIN($U152,90))),Reference!$A$6:$A$11,1))))),0)+IF(2&lt;=$AL152,($AL152-2+3)*(INDEX(Reference!$B$6:$B$11,MIN(5,MATCH(MAX(Reference!$A$6,MIN(Reference!$A$11,MIN($U152,120))),Reference!$A$6:$A$11,1)))+(MAX(Reference!$A$6,MIN(Reference!$A$11,MIN($U152,120)))-INDEX(Reference!$A$6:$A$11,MIN(5,MATCH(MAX(Reference!$A$6,MIN(Reference!$A$11,MIN($U152,120))),Reference!$A$6:$A$11,1))))*(INDEX(Reference!$B$6:$B$11,MIN(5,MATCH(MAX(Reference!$A$6,MIN(Reference!$A$11,MIN($U152,120))),Reference!$A$6:$A$11,1))+1)-INDEX(Reference!$B$6:$B$11,MIN(5,MATCH(MAX(Reference!$A$6,MIN(Reference!$A$11,MIN($U152,120))),Reference!$A$6:$A$11,1))))/(INDEX(Reference!$A$6:$A$11,MIN(5,MATCH(MAX(Reference!$A$6,MIN(Reference!$A$11,MIN($U152,120))),Reference!$A$6:$A$11,1))+1)-INDEX(Reference!$A$6:$A$11,MIN(5,MATCH(MAX(Reference!$A$6,MIN(Reference!$A$11,MIN($U152,120))),Reference!$A$6:$A$11,1))))),0)+IF(3&lt;=$AL152,($AL152-3+3)*(INDEX(Reference!$B$6:$B$11,MIN(5,MATCH(MAX(Reference!$A$6,MIN(Reference!$A$11,MIN($U152,150))),Reference!$A$6:$A$11,1)))+(MAX(Reference!$A$6,MIN(Reference!$A$11,MIN($U152,150)))-INDEX(Reference!$A$6:$A$11,MIN(5,MATCH(MAX(Reference!$A$6,MIN(Reference!$A$11,MIN($U152,150))),Reference!$A$6:$A$11,1))))*(INDEX(Reference!$B$6:$B$11,MIN(5,MATCH(MAX(Reference!$A$6,MIN(Reference!$A$11,MIN($U152,150))),Reference!$A$6:$A$11,1))+1)-INDEX(Reference!$B$6:$B$11,MIN(5,MATCH(MAX(Reference!$A$6,MIN(Reference!$A$11,MIN($U152,150))),Reference!$A$6:$A$11,1))))/(INDEX(Reference!$A$6:$A$11,MIN(5,MATCH(MAX(Reference!$A$6,MIN(Reference!$A$11,MIN($U152,150))),Reference!$A$6:$A$11,1))+1)-INDEX(Reference!$A$6:$A$11,MIN(5,MATCH(MAX(Reference!$A$6,MIN(Reference!$A$11,MIN($U152,150))),Reference!$A$6:$A$11,1))))),0)+IF(4&lt;=$AL152,($AL152-4+3)*(INDEX(Reference!$B$6:$B$11,MIN(5,MATCH(MAX(Reference!$A$6,MIN(Reference!$A$11,MIN($U152,180))),Reference!$A$6:$A$11,1)))+(MAX(Reference!$A$6,MIN(Reference!$A$11,MIN($U152,180)))-INDEX(Reference!$A$6:$A$11,MIN(5,MATCH(MAX(Reference!$A$6,MIN(Reference!$A$11,MIN($U152,180))),Reference!$A$6:$A$11,1))))*(INDEX(Reference!$B$6:$B$11,MIN(5,MATCH(MAX(Reference!$A$6,MIN(Reference!$A$11,MIN($U152,180))),Reference!$A$6:$A$11,1))+1)-INDEX(Reference!$B$6:$B$11,MIN(5,MATCH(MAX(Reference!$A$6,MIN(Reference!$A$11,MIN($U152,180))),Reference!$A$6:$A$11,1))))/(INDEX(Reference!$A$6:$A$11,MIN(5,MATCH(MAX(Reference!$A$6,MIN(Reference!$A$11,MIN($U152,180))),Reference!$A$6:$A$11,1))+1)-INDEX(Reference!$A$6:$A$11,MIN(5,MATCH(MAX(Reference!$A$6,MIN(Reference!$A$11,MIN($U152,180))),Reference!$A$6:$A$11,1))))),0)+IF(5&lt;=$AL152,($AL152-5+3)*(INDEX(Reference!$B$6:$B$11,MIN(5,MATCH(MAX(Reference!$A$6,MIN(Reference!$A$11,MIN($U152,210))),Reference!$A$6:$A$11,1)))+(MAX(Reference!$A$6,MIN(Reference!$A$11,MIN($U152,210)))-INDEX(Reference!$A$6:$A$11,MIN(5,MATCH(MAX(Reference!$A$6,MIN(Reference!$A$11,MIN($U152,210))),Reference!$A$6:$A$11,1))))*(INDEX(Reference!$B$6:$B$11,MIN(5,MATCH(MAX(Reference!$A$6,MIN(Reference!$A$11,MIN($U152,210))),Reference!$A$6:$A$11,1))+1)-INDEX(Reference!$B$6:$B$11,MIN(5,MATCH(MAX(Reference!$A$6,MIN(Reference!$A$11,MIN($U152,210))),Reference!$A$6:$A$11,1))))/(INDEX(Reference!$A$6:$A$11,MIN(5,MATCH(MAX(Reference!$A$6,MIN(Reference!$A$11,MIN($U152,210))),Reference!$A$6:$A$11,1))+1)-INDEX(Reference!$A$6:$A$11,MIN(5,MATCH(MAX(Reference!$A$6,MIN(Reference!$A$11,MIN($U152,210))),Reference!$A$6:$A$11,1))))),0)+IF(6&lt;=$AL152,($AL152-6+3)*(INDEX(Reference!$B$6:$B$11,MIN(5,MATCH(MAX(Reference!$A$6,MIN(Reference!$A$11,MIN($U152,240))),Reference!$A$6:$A$11,1)))+(MAX(Reference!$A$6,MIN(Reference!$A$11,MIN($U152,240)))-INDEX(Reference!$A$6:$A$11,MIN(5,MATCH(MAX(Reference!$A$6,MIN(Reference!$A$11,MIN($U152,240))),Reference!$A$6:$A$11,1))))*(INDEX(Reference!$B$6:$B$11,MIN(5,MATCH(MAX(Reference!$A$6,MIN(Reference!$A$11,MIN($U152,240))),Reference!$A$6:$A$11,1))+1)-INDEX(Reference!$B$6:$B$11,MIN(5,MATCH(MAX(Reference!$A$6,MIN(Reference!$A$11,MIN($U152,240))),Reference!$A$6:$A$11,1))))/(INDEX(Reference!$A$6:$A$11,MIN(5,MATCH(MAX(Reference!$A$6,MIN(Reference!$A$11,MIN($U152,240))),Reference!$A$6:$A$11,1))+1)-INDEX(Reference!$A$6:$A$11,MIN(5,MATCH(MAX(Reference!$A$6,MIN(Reference!$A$11,MIN($U152,240))),Reference!$A$6:$A$11,1))))),0)+IF(7&lt;=$AL152,($AL152-7+3)*(INDEX(Reference!$B$6:$B$11,MIN(5,MATCH(MAX(Reference!$A$6,MIN(Reference!$A$11,MIN($U152,270))),Reference!$A$6:$A$11,1)))+(MAX(Reference!$A$6,MIN(Reference!$A$11,MIN($U152,270)))-INDEX(Reference!$A$6:$A$11,MIN(5,MATCH(MAX(Reference!$A$6,MIN(Reference!$A$11,MIN($U152,270))),Reference!$A$6:$A$11,1))))*(INDEX(Reference!$B$6:$B$11,MIN(5,MATCH(MAX(Reference!$A$6,MIN(Reference!$A$11,MIN($U152,270))),Reference!$A$6:$A$11,1))+1)-INDEX(Reference!$B$6:$B$11,MIN(5,MATCH(MAX(Reference!$A$6,MIN(Reference!$A$11,MIN($U152,270))),Reference!$A$6:$A$11,1))))/(INDEX(Reference!$A$6:$A$11,MIN(5,MATCH(MAX(Reference!$A$6,MIN(Reference!$A$11,MIN($U152,270))),Reference!$A$6:$A$11,1))+1)-INDEX(Reference!$A$6:$A$11,MIN(5,MATCH(MAX(Reference!$A$6,MIN(Reference!$A$11,MIN($U152,270))),Reference!$A$6:$A$11,1))))),0)+IF(8&lt;=$AL152,($AL152-8+3)*(INDEX(Reference!$B$6:$B$11,MIN(5,MATCH(MAX(Reference!$A$6,MIN(Reference!$A$11,MIN($U152,300))),Reference!$A$6:$A$11,1)))+(MAX(Reference!$A$6,MIN(Reference!$A$11,MIN($U152,300)))-INDEX(Reference!$A$6:$A$11,MIN(5,MATCH(MAX(Reference!$A$6,MIN(Reference!$A$11,MIN($U152,300))),Reference!$A$6:$A$11,1))))*(INDEX(Reference!$B$6:$B$11,MIN(5,MATCH(MAX(Reference!$A$6,MIN(Reference!$A$11,MIN($U152,300))),Reference!$A$6:$A$11,1))+1)-INDEX(Reference!$B$6:$B$11,MIN(5,MATCH(MAX(Reference!$A$6,MIN(Reference!$A$11,MIN($U152,300))),Reference!$A$6:$A$11,1))))/(INDEX(Reference!$A$6:$A$11,MIN(5,MATCH(MAX(Reference!$A$6,MIN(Reference!$A$11,MIN($U152,300))),Reference!$A$6:$A$11,1))+1)-INDEX(Reference!$A$6:$A$11,MIN(5,MATCH(MAX(Reference!$A$6,MIN(Reference!$A$11,MIN($U152,300))),Reference!$A$6:$A$11,1))))),0))/($AL152*($AL152+5)/2)),$AN152))</f>
        <v>0</v>
      </c>
      <c r="AN152" s="32">
        <f>IF($U152="",0,(INDEX(Reference!$B$6:$B$11,MIN(5,MATCH(MAX(Reference!$A$6,MIN(Reference!$A$11,$U152)),Reference!$A$6:$A$11,1)))+(MAX(Reference!$A$6,MIN(Reference!$A$11,$U152))-INDEX(Reference!$A$6:$A$11,MIN(5,MATCH(MAX(Reference!$A$6,MIN(Reference!$A$11,$U152)),Reference!$A$6:$A$11,1))))*(INDEX(Reference!$B$6:$B$11,MIN(5,MATCH(MAX(Reference!$A$6,MIN(Reference!$A$11,$U152)),Reference!$A$6:$A$11,1))+1)-INDEX(Reference!$B$6:$B$11,MIN(5,MATCH(MAX(Reference!$A$6,MIN(Reference!$A$11,$U152)),Reference!$A$6:$A$11,1))))/(INDEX(Reference!$A$6:$A$11,MIN(5,MATCH(MAX(Reference!$A$6,MIN(Reference!$A$11,$U152)),Reference!$A$6:$A$11,1))+1)-INDEX(Reference!$A$6:$A$11,MIN(5,MATCH(MAX(Reference!$A$6,MIN(Reference!$A$11,$U152)),Reference!$A$6:$A$11,1))))))</f>
        <v>0</v>
      </c>
      <c r="AO152" s="37"/>
      <c r="AP152" s="37"/>
      <c r="AQ152" s="37"/>
    </row>
    <row r="153" spans="1:43" x14ac:dyDescent="0.3">
      <c r="A153" s="48" t="str">
        <f t="shared" si="80"/>
        <v/>
      </c>
      <c r="B153" s="32" t="str">
        <f t="shared" si="81"/>
        <v/>
      </c>
      <c r="C153" s="32" t="str">
        <f t="shared" si="82"/>
        <v/>
      </c>
      <c r="D153" s="32" t="str">
        <f t="shared" si="83"/>
        <v/>
      </c>
      <c r="E153" s="32" t="str">
        <f t="shared" si="84"/>
        <v/>
      </c>
      <c r="F153" s="32" t="str">
        <f t="shared" si="85"/>
        <v/>
      </c>
      <c r="G153" s="47" t="str">
        <f t="shared" si="86"/>
        <v/>
      </c>
      <c r="H153" s="30" t="str">
        <f t="shared" si="87"/>
        <v/>
      </c>
      <c r="I153" s="46" t="str">
        <f>IF($A153="","",IF(AND($L153&lt;27,$K$12=0),"Building",IFERROR(((SUM($H$147:$H153)+$K$12*IF($L153&lt;6,SUMIFS('Throw Log'!$Q$5:$Q$300,'Throw Log'!$B$5:$B$300,$D$4,'Throw Log'!$A$5:$A$300,"&gt;="&amp;($D$6+$L153-6),'Throw Log'!$A$5:$A$300,"&lt;="&amp;($D$6-1)),0))/7)/((SUM($H$126:$H153)+$K$12*IF($L153&lt;27,SUMIFS('Throw Log'!$Q$5:$Q$300,'Throw Log'!$B$5:$B$300,$D$4,'Throw Log'!$A$5:$A$300,"&gt;="&amp;($D$6+$L153-27),'Throw Log'!$A$5:$A$300,"&lt;="&amp;($D$6-1)),0))/28),"")))</f>
        <v/>
      </c>
      <c r="J153" s="37"/>
      <c r="K153" s="37"/>
      <c r="L153" s="32">
        <v>110</v>
      </c>
      <c r="M153" s="32">
        <f t="shared" si="88"/>
        <v>16</v>
      </c>
      <c r="N153" s="32">
        <f t="shared" si="89"/>
        <v>5</v>
      </c>
      <c r="O153" s="32">
        <f t="shared" si="90"/>
        <v>1</v>
      </c>
      <c r="P153" s="32" t="str">
        <f>IF(OR($A153="",N($C153)&lt;=7),"",$G$6*$G$9^($M153-1)*IF(AND(MOD($M153,Reference!$B$99)=0,$M153&lt;=$G$5-2),Reference!$B$100,1))</f>
        <v/>
      </c>
      <c r="Q153" s="32" t="str">
        <f>IF($P153="","",IF(SUM($AK$148:$AK$154)=0,0,$P153*INDEX(Reference!$B$108:$B$114,$N153+1)/SUM($AK$148:$AK$154)))</f>
        <v/>
      </c>
      <c r="R153" s="32">
        <f t="shared" si="91"/>
        <v>180</v>
      </c>
      <c r="S153" s="32">
        <f t="shared" si="92"/>
        <v>150</v>
      </c>
      <c r="T153" s="32" t="str">
        <f>IF($A153="","",IF($C153=0,"Bullpen",IF(OR($C153=7,$C153=1,$C153=5),"Recovery/Easy Catch",IF($C153=6,"Compression/Pulldowns",IF(OR($C153=4,$C153=2),"Long Toss",IF($C153=3,"No Throw",IF($N153=2,"No Throw",IF($N153=6,IF($O153&lt;Reference!$B$104,"No Throw","Recovery/Easy Catch"),IF(OR($N153=0,$N153=4),"Recovery/Easy Catch",IF($N153=1,IF($R153&gt;75,"Long Toss","Recovery/Easy Catch"),IF($N153=3,IF($O153&lt;0.5,IF($S153&gt;75,"Long Toss","Recovery/Easy Catch"),"Compression/Pulldowns"),IF($S153&gt;75,"Long Toss","Recovery/Easy Catch"))))))))))))</f>
        <v/>
      </c>
      <c r="U153" s="32" t="str">
        <f t="shared" si="93"/>
        <v/>
      </c>
      <c r="V153" s="32" t="str">
        <f t="shared" si="94"/>
        <v/>
      </c>
      <c r="W153" s="32" t="str">
        <f t="shared" si="95"/>
        <v/>
      </c>
      <c r="X153" s="32">
        <f t="shared" si="96"/>
        <v>0</v>
      </c>
      <c r="Y153" s="32" t="str">
        <f t="shared" si="97"/>
        <v/>
      </c>
      <c r="Z153" s="32" t="str">
        <f t="shared" si="98"/>
        <v/>
      </c>
      <c r="AA153" s="32" t="str">
        <f t="shared" si="99"/>
        <v/>
      </c>
      <c r="AB153" s="32" t="str">
        <f>IF($A153="","",IF($T153="No Throw",0,IF($K153&lt;&gt;"",$K153,IF($AA153&lt;&gt;"",ROUND($AA153*$D$12*IF($C153=0,1,$G$10),0),MIN(IF($T153="Recovery/Easy Catch",Reference!$B$103,IF($T153="Long Toss",Reference!$B$106,Reference!$B$102)),MAX(Reference!$B$101,ROUND(MAX(0,$Q153-$AE153)/$AF153,0)))))))</f>
        <v/>
      </c>
      <c r="AC153" s="32">
        <f t="shared" si="100"/>
        <v>0</v>
      </c>
      <c r="AD153" s="32" t="b">
        <f t="shared" si="101"/>
        <v>1</v>
      </c>
      <c r="AE153" s="32">
        <f>IF($X153=0,0,$X153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153+$Z153)/2,0),Reference!$A$17:$B$20,2,TRUE()))</f>
        <v>0</v>
      </c>
      <c r="AF153" s="32">
        <f>IF(OR($A153="",$U153="",$T153="No Throw"),0,$AM153*VLOOKUP(MAX(($V153+$W153)/2,0),Reference!$A$17:$B$20,2,TRUE()))</f>
        <v>0</v>
      </c>
      <c r="AG153" s="32">
        <f>IF($AC153=0,0,$AC153*INDEX(Reference!$B$61:$B$62,MATCH("Bullpen",Reference!$A$61:$A$62,0))*VLOOKUP(MAX($D$5-($D$9+$E$9)/2,0),Reference!$A$17:$B$20,2,TRUE()))</f>
        <v>0</v>
      </c>
      <c r="AH153" s="32" t="e">
        <f t="shared" si="102"/>
        <v>#N/A</v>
      </c>
      <c r="AI153" s="32" t="e">
        <f>IF($A153="",NA(),Reference!$A$25)</f>
        <v>#N/A</v>
      </c>
      <c r="AJ153" s="32" t="e">
        <f t="shared" si="103"/>
        <v>#N/A</v>
      </c>
      <c r="AK153" s="32">
        <f>IF(OR($A153="",N($C153)&lt;=7,$T153="No Throw",$J153="x"),0,INDEX(Reference!$B$108:$B$114,$N153+1))</f>
        <v>0</v>
      </c>
      <c r="AL153" s="32">
        <f t="shared" si="104"/>
        <v>1</v>
      </c>
      <c r="AM153" s="32">
        <f>IF($U153="",0,IF($AL153&gt;1,((IF(1&lt;=$AL153,($AL153-1+3)*(INDEX(Reference!$B$6:$B$11,MIN(5,MATCH(MAX(Reference!$A$6,MIN(Reference!$A$11,MIN($U153,90))),Reference!$A$6:$A$11,1)))+(MAX(Reference!$A$6,MIN(Reference!$A$11,MIN($U153,90)))-INDEX(Reference!$A$6:$A$11,MIN(5,MATCH(MAX(Reference!$A$6,MIN(Reference!$A$11,MIN($U153,90))),Reference!$A$6:$A$11,1))))*(INDEX(Reference!$B$6:$B$11,MIN(5,MATCH(MAX(Reference!$A$6,MIN(Reference!$A$11,MIN($U153,90))),Reference!$A$6:$A$11,1))+1)-INDEX(Reference!$B$6:$B$11,MIN(5,MATCH(MAX(Reference!$A$6,MIN(Reference!$A$11,MIN($U153,90))),Reference!$A$6:$A$11,1))))/(INDEX(Reference!$A$6:$A$11,MIN(5,MATCH(MAX(Reference!$A$6,MIN(Reference!$A$11,MIN($U153,90))),Reference!$A$6:$A$11,1))+1)-INDEX(Reference!$A$6:$A$11,MIN(5,MATCH(MAX(Reference!$A$6,MIN(Reference!$A$11,MIN($U153,90))),Reference!$A$6:$A$11,1))))),0)+IF(2&lt;=$AL153,($AL153-2+3)*(INDEX(Reference!$B$6:$B$11,MIN(5,MATCH(MAX(Reference!$A$6,MIN(Reference!$A$11,MIN($U153,120))),Reference!$A$6:$A$11,1)))+(MAX(Reference!$A$6,MIN(Reference!$A$11,MIN($U153,120)))-INDEX(Reference!$A$6:$A$11,MIN(5,MATCH(MAX(Reference!$A$6,MIN(Reference!$A$11,MIN($U153,120))),Reference!$A$6:$A$11,1))))*(INDEX(Reference!$B$6:$B$11,MIN(5,MATCH(MAX(Reference!$A$6,MIN(Reference!$A$11,MIN($U153,120))),Reference!$A$6:$A$11,1))+1)-INDEX(Reference!$B$6:$B$11,MIN(5,MATCH(MAX(Reference!$A$6,MIN(Reference!$A$11,MIN($U153,120))),Reference!$A$6:$A$11,1))))/(INDEX(Reference!$A$6:$A$11,MIN(5,MATCH(MAX(Reference!$A$6,MIN(Reference!$A$11,MIN($U153,120))),Reference!$A$6:$A$11,1))+1)-INDEX(Reference!$A$6:$A$11,MIN(5,MATCH(MAX(Reference!$A$6,MIN(Reference!$A$11,MIN($U153,120))),Reference!$A$6:$A$11,1))))),0)+IF(3&lt;=$AL153,($AL153-3+3)*(INDEX(Reference!$B$6:$B$11,MIN(5,MATCH(MAX(Reference!$A$6,MIN(Reference!$A$11,MIN($U153,150))),Reference!$A$6:$A$11,1)))+(MAX(Reference!$A$6,MIN(Reference!$A$11,MIN($U153,150)))-INDEX(Reference!$A$6:$A$11,MIN(5,MATCH(MAX(Reference!$A$6,MIN(Reference!$A$11,MIN($U153,150))),Reference!$A$6:$A$11,1))))*(INDEX(Reference!$B$6:$B$11,MIN(5,MATCH(MAX(Reference!$A$6,MIN(Reference!$A$11,MIN($U153,150))),Reference!$A$6:$A$11,1))+1)-INDEX(Reference!$B$6:$B$11,MIN(5,MATCH(MAX(Reference!$A$6,MIN(Reference!$A$11,MIN($U153,150))),Reference!$A$6:$A$11,1))))/(INDEX(Reference!$A$6:$A$11,MIN(5,MATCH(MAX(Reference!$A$6,MIN(Reference!$A$11,MIN($U153,150))),Reference!$A$6:$A$11,1))+1)-INDEX(Reference!$A$6:$A$11,MIN(5,MATCH(MAX(Reference!$A$6,MIN(Reference!$A$11,MIN($U153,150))),Reference!$A$6:$A$11,1))))),0)+IF(4&lt;=$AL153,($AL153-4+3)*(INDEX(Reference!$B$6:$B$11,MIN(5,MATCH(MAX(Reference!$A$6,MIN(Reference!$A$11,MIN($U153,180))),Reference!$A$6:$A$11,1)))+(MAX(Reference!$A$6,MIN(Reference!$A$11,MIN($U153,180)))-INDEX(Reference!$A$6:$A$11,MIN(5,MATCH(MAX(Reference!$A$6,MIN(Reference!$A$11,MIN($U153,180))),Reference!$A$6:$A$11,1))))*(INDEX(Reference!$B$6:$B$11,MIN(5,MATCH(MAX(Reference!$A$6,MIN(Reference!$A$11,MIN($U153,180))),Reference!$A$6:$A$11,1))+1)-INDEX(Reference!$B$6:$B$11,MIN(5,MATCH(MAX(Reference!$A$6,MIN(Reference!$A$11,MIN($U153,180))),Reference!$A$6:$A$11,1))))/(INDEX(Reference!$A$6:$A$11,MIN(5,MATCH(MAX(Reference!$A$6,MIN(Reference!$A$11,MIN($U153,180))),Reference!$A$6:$A$11,1))+1)-INDEX(Reference!$A$6:$A$11,MIN(5,MATCH(MAX(Reference!$A$6,MIN(Reference!$A$11,MIN($U153,180))),Reference!$A$6:$A$11,1))))),0)+IF(5&lt;=$AL153,($AL153-5+3)*(INDEX(Reference!$B$6:$B$11,MIN(5,MATCH(MAX(Reference!$A$6,MIN(Reference!$A$11,MIN($U153,210))),Reference!$A$6:$A$11,1)))+(MAX(Reference!$A$6,MIN(Reference!$A$11,MIN($U153,210)))-INDEX(Reference!$A$6:$A$11,MIN(5,MATCH(MAX(Reference!$A$6,MIN(Reference!$A$11,MIN($U153,210))),Reference!$A$6:$A$11,1))))*(INDEX(Reference!$B$6:$B$11,MIN(5,MATCH(MAX(Reference!$A$6,MIN(Reference!$A$11,MIN($U153,210))),Reference!$A$6:$A$11,1))+1)-INDEX(Reference!$B$6:$B$11,MIN(5,MATCH(MAX(Reference!$A$6,MIN(Reference!$A$11,MIN($U153,210))),Reference!$A$6:$A$11,1))))/(INDEX(Reference!$A$6:$A$11,MIN(5,MATCH(MAX(Reference!$A$6,MIN(Reference!$A$11,MIN($U153,210))),Reference!$A$6:$A$11,1))+1)-INDEX(Reference!$A$6:$A$11,MIN(5,MATCH(MAX(Reference!$A$6,MIN(Reference!$A$11,MIN($U153,210))),Reference!$A$6:$A$11,1))))),0)+IF(6&lt;=$AL153,($AL153-6+3)*(INDEX(Reference!$B$6:$B$11,MIN(5,MATCH(MAX(Reference!$A$6,MIN(Reference!$A$11,MIN($U153,240))),Reference!$A$6:$A$11,1)))+(MAX(Reference!$A$6,MIN(Reference!$A$11,MIN($U153,240)))-INDEX(Reference!$A$6:$A$11,MIN(5,MATCH(MAX(Reference!$A$6,MIN(Reference!$A$11,MIN($U153,240))),Reference!$A$6:$A$11,1))))*(INDEX(Reference!$B$6:$B$11,MIN(5,MATCH(MAX(Reference!$A$6,MIN(Reference!$A$11,MIN($U153,240))),Reference!$A$6:$A$11,1))+1)-INDEX(Reference!$B$6:$B$11,MIN(5,MATCH(MAX(Reference!$A$6,MIN(Reference!$A$11,MIN($U153,240))),Reference!$A$6:$A$11,1))))/(INDEX(Reference!$A$6:$A$11,MIN(5,MATCH(MAX(Reference!$A$6,MIN(Reference!$A$11,MIN($U153,240))),Reference!$A$6:$A$11,1))+1)-INDEX(Reference!$A$6:$A$11,MIN(5,MATCH(MAX(Reference!$A$6,MIN(Reference!$A$11,MIN($U153,240))),Reference!$A$6:$A$11,1))))),0)+IF(7&lt;=$AL153,($AL153-7+3)*(INDEX(Reference!$B$6:$B$11,MIN(5,MATCH(MAX(Reference!$A$6,MIN(Reference!$A$11,MIN($U153,270))),Reference!$A$6:$A$11,1)))+(MAX(Reference!$A$6,MIN(Reference!$A$11,MIN($U153,270)))-INDEX(Reference!$A$6:$A$11,MIN(5,MATCH(MAX(Reference!$A$6,MIN(Reference!$A$11,MIN($U153,270))),Reference!$A$6:$A$11,1))))*(INDEX(Reference!$B$6:$B$11,MIN(5,MATCH(MAX(Reference!$A$6,MIN(Reference!$A$11,MIN($U153,270))),Reference!$A$6:$A$11,1))+1)-INDEX(Reference!$B$6:$B$11,MIN(5,MATCH(MAX(Reference!$A$6,MIN(Reference!$A$11,MIN($U153,270))),Reference!$A$6:$A$11,1))))/(INDEX(Reference!$A$6:$A$11,MIN(5,MATCH(MAX(Reference!$A$6,MIN(Reference!$A$11,MIN($U153,270))),Reference!$A$6:$A$11,1))+1)-INDEX(Reference!$A$6:$A$11,MIN(5,MATCH(MAX(Reference!$A$6,MIN(Reference!$A$11,MIN($U153,270))),Reference!$A$6:$A$11,1))))),0)+IF(8&lt;=$AL153,($AL153-8+3)*(INDEX(Reference!$B$6:$B$11,MIN(5,MATCH(MAX(Reference!$A$6,MIN(Reference!$A$11,MIN($U153,300))),Reference!$A$6:$A$11,1)))+(MAX(Reference!$A$6,MIN(Reference!$A$11,MIN($U153,300)))-INDEX(Reference!$A$6:$A$11,MIN(5,MATCH(MAX(Reference!$A$6,MIN(Reference!$A$11,MIN($U153,300))),Reference!$A$6:$A$11,1))))*(INDEX(Reference!$B$6:$B$11,MIN(5,MATCH(MAX(Reference!$A$6,MIN(Reference!$A$11,MIN($U153,300))),Reference!$A$6:$A$11,1))+1)-INDEX(Reference!$B$6:$B$11,MIN(5,MATCH(MAX(Reference!$A$6,MIN(Reference!$A$11,MIN($U153,300))),Reference!$A$6:$A$11,1))))/(INDEX(Reference!$A$6:$A$11,MIN(5,MATCH(MAX(Reference!$A$6,MIN(Reference!$A$11,MIN($U153,300))),Reference!$A$6:$A$11,1))+1)-INDEX(Reference!$A$6:$A$11,MIN(5,MATCH(MAX(Reference!$A$6,MIN(Reference!$A$11,MIN($U153,300))),Reference!$A$6:$A$11,1))))),0))/($AL153*($AL153+5)/2)),$AN153))</f>
        <v>0</v>
      </c>
      <c r="AN153" s="32">
        <f>IF($U153="",0,(INDEX(Reference!$B$6:$B$11,MIN(5,MATCH(MAX(Reference!$A$6,MIN(Reference!$A$11,$U153)),Reference!$A$6:$A$11,1)))+(MAX(Reference!$A$6,MIN(Reference!$A$11,$U153))-INDEX(Reference!$A$6:$A$11,MIN(5,MATCH(MAX(Reference!$A$6,MIN(Reference!$A$11,$U153)),Reference!$A$6:$A$11,1))))*(INDEX(Reference!$B$6:$B$11,MIN(5,MATCH(MAX(Reference!$A$6,MIN(Reference!$A$11,$U153)),Reference!$A$6:$A$11,1))+1)-INDEX(Reference!$B$6:$B$11,MIN(5,MATCH(MAX(Reference!$A$6,MIN(Reference!$A$11,$U153)),Reference!$A$6:$A$11,1))))/(INDEX(Reference!$A$6:$A$11,MIN(5,MATCH(MAX(Reference!$A$6,MIN(Reference!$A$11,$U153)),Reference!$A$6:$A$11,1))+1)-INDEX(Reference!$A$6:$A$11,MIN(5,MATCH(MAX(Reference!$A$6,MIN(Reference!$A$11,$U153)),Reference!$A$6:$A$11,1))))))</f>
        <v>0</v>
      </c>
      <c r="AO153" s="37"/>
      <c r="AP153" s="37"/>
      <c r="AQ153" s="37"/>
    </row>
    <row r="154" spans="1:43" x14ac:dyDescent="0.3">
      <c r="A154" s="48" t="str">
        <f t="shared" si="80"/>
        <v/>
      </c>
      <c r="B154" s="32" t="str">
        <f t="shared" si="81"/>
        <v/>
      </c>
      <c r="C154" s="32" t="str">
        <f t="shared" si="82"/>
        <v/>
      </c>
      <c r="D154" s="32" t="str">
        <f t="shared" si="83"/>
        <v/>
      </c>
      <c r="E154" s="32" t="str">
        <f t="shared" si="84"/>
        <v/>
      </c>
      <c r="F154" s="32" t="str">
        <f t="shared" si="85"/>
        <v/>
      </c>
      <c r="G154" s="47" t="str">
        <f t="shared" si="86"/>
        <v/>
      </c>
      <c r="H154" s="30" t="str">
        <f t="shared" si="87"/>
        <v/>
      </c>
      <c r="I154" s="46" t="str">
        <f>IF($A154="","",IF(AND($L154&lt;27,$K$12=0),"Building",IFERROR(((SUM($H$148:$H154)+$K$12*IF($L154&lt;6,SUMIFS('Throw Log'!$Q$5:$Q$300,'Throw Log'!$B$5:$B$300,$D$4,'Throw Log'!$A$5:$A$300,"&gt;="&amp;($D$6+$L154-6),'Throw Log'!$A$5:$A$300,"&lt;="&amp;($D$6-1)),0))/7)/((SUM($H$127:$H154)+$K$12*IF($L154&lt;27,SUMIFS('Throw Log'!$Q$5:$Q$300,'Throw Log'!$B$5:$B$300,$D$4,'Throw Log'!$A$5:$A$300,"&gt;="&amp;($D$6+$L154-27),'Throw Log'!$A$5:$A$300,"&lt;="&amp;($D$6-1)),0))/28),"")))</f>
        <v/>
      </c>
      <c r="J154" s="37"/>
      <c r="K154" s="37"/>
      <c r="L154" s="32">
        <v>111</v>
      </c>
      <c r="M154" s="32">
        <f t="shared" si="88"/>
        <v>16</v>
      </c>
      <c r="N154" s="32">
        <f t="shared" si="89"/>
        <v>6</v>
      </c>
      <c r="O154" s="32">
        <f t="shared" si="90"/>
        <v>1</v>
      </c>
      <c r="P154" s="32" t="str">
        <f>IF(OR($A154="",N($C154)&lt;=7),"",$G$6*$G$9^($M154-1)*IF(AND(MOD($M154,Reference!$B$99)=0,$M154&lt;=$G$5-2),Reference!$B$100,1))</f>
        <v/>
      </c>
      <c r="Q154" s="32" t="str">
        <f>IF($P154="","",IF(SUM($AK$148:$AK$154)=0,0,$P154*INDEX(Reference!$B$108:$B$114,$N154+1)/SUM($AK$148:$AK$154)))</f>
        <v/>
      </c>
      <c r="R154" s="32">
        <f t="shared" si="91"/>
        <v>180</v>
      </c>
      <c r="S154" s="32">
        <f t="shared" si="92"/>
        <v>150</v>
      </c>
      <c r="T154" s="32" t="str">
        <f>IF($A154="","",IF($C154=0,"Bullpen",IF(OR($C154=7,$C154=1,$C154=5),"Recovery/Easy Catch",IF($C154=6,"Compression/Pulldowns",IF(OR($C154=4,$C154=2),"Long Toss",IF($C154=3,"No Throw",IF($N154=2,"No Throw",IF($N154=6,IF($O154&lt;Reference!$B$104,"No Throw","Recovery/Easy Catch"),IF(OR($N154=0,$N154=4),"Recovery/Easy Catch",IF($N154=1,IF($R154&gt;75,"Long Toss","Recovery/Easy Catch"),IF($N154=3,IF($O154&lt;0.5,IF($S154&gt;75,"Long Toss","Recovery/Easy Catch"),"Compression/Pulldowns"),IF($S154&gt;75,"Long Toss","Recovery/Easy Catch"))))))))))))</f>
        <v/>
      </c>
      <c r="U154" s="32" t="str">
        <f t="shared" si="93"/>
        <v/>
      </c>
      <c r="V154" s="32" t="str">
        <f t="shared" si="94"/>
        <v/>
      </c>
      <c r="W154" s="32" t="str">
        <f t="shared" si="95"/>
        <v/>
      </c>
      <c r="X154" s="32">
        <f t="shared" si="96"/>
        <v>0</v>
      </c>
      <c r="Y154" s="32" t="str">
        <f t="shared" si="97"/>
        <v/>
      </c>
      <c r="Z154" s="32" t="str">
        <f t="shared" si="98"/>
        <v/>
      </c>
      <c r="AA154" s="32" t="str">
        <f t="shared" si="99"/>
        <v/>
      </c>
      <c r="AB154" s="32" t="str">
        <f>IF($A154="","",IF($T154="No Throw",0,IF($K154&lt;&gt;"",$K154,IF($AA154&lt;&gt;"",ROUND($AA154*$D$12*IF($C154=0,1,$G$10),0),MIN(IF($T154="Recovery/Easy Catch",Reference!$B$103,IF($T154="Long Toss",Reference!$B$106,Reference!$B$102)),MAX(Reference!$B$101,ROUND(MAX(0,$Q154-$AE154)/$AF154,0)))))))</f>
        <v/>
      </c>
      <c r="AC154" s="32">
        <f t="shared" si="100"/>
        <v>0</v>
      </c>
      <c r="AD154" s="32" t="b">
        <f t="shared" si="101"/>
        <v>1</v>
      </c>
      <c r="AE154" s="32">
        <f>IF($X154=0,0,$X154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154+$Z154)/2,0),Reference!$A$17:$B$20,2,TRUE()))</f>
        <v>0</v>
      </c>
      <c r="AF154" s="32">
        <f>IF(OR($A154="",$U154="",$T154="No Throw"),0,$AM154*VLOOKUP(MAX(($V154+$W154)/2,0),Reference!$A$17:$B$20,2,TRUE()))</f>
        <v>0</v>
      </c>
      <c r="AG154" s="32">
        <f>IF($AC154=0,0,$AC154*INDEX(Reference!$B$61:$B$62,MATCH("Bullpen",Reference!$A$61:$A$62,0))*VLOOKUP(MAX($D$5-($D$9+$E$9)/2,0),Reference!$A$17:$B$20,2,TRUE()))</f>
        <v>0</v>
      </c>
      <c r="AH154" s="32" t="e">
        <f t="shared" si="102"/>
        <v>#N/A</v>
      </c>
      <c r="AI154" s="32" t="e">
        <f>IF($A154="",NA(),Reference!$A$25)</f>
        <v>#N/A</v>
      </c>
      <c r="AJ154" s="32" t="e">
        <f t="shared" si="103"/>
        <v>#N/A</v>
      </c>
      <c r="AK154" s="32">
        <f>IF(OR($A154="",N($C154)&lt;=7,$T154="No Throw",$J154="x"),0,INDEX(Reference!$B$108:$B$114,$N154+1))</f>
        <v>0</v>
      </c>
      <c r="AL154" s="32">
        <f t="shared" si="104"/>
        <v>1</v>
      </c>
      <c r="AM154" s="32">
        <f>IF($U154="",0,IF($AL154&gt;1,((IF(1&lt;=$AL154,($AL154-1+3)*(INDEX(Reference!$B$6:$B$11,MIN(5,MATCH(MAX(Reference!$A$6,MIN(Reference!$A$11,MIN($U154,90))),Reference!$A$6:$A$11,1)))+(MAX(Reference!$A$6,MIN(Reference!$A$11,MIN($U154,90)))-INDEX(Reference!$A$6:$A$11,MIN(5,MATCH(MAX(Reference!$A$6,MIN(Reference!$A$11,MIN($U154,90))),Reference!$A$6:$A$11,1))))*(INDEX(Reference!$B$6:$B$11,MIN(5,MATCH(MAX(Reference!$A$6,MIN(Reference!$A$11,MIN($U154,90))),Reference!$A$6:$A$11,1))+1)-INDEX(Reference!$B$6:$B$11,MIN(5,MATCH(MAX(Reference!$A$6,MIN(Reference!$A$11,MIN($U154,90))),Reference!$A$6:$A$11,1))))/(INDEX(Reference!$A$6:$A$11,MIN(5,MATCH(MAX(Reference!$A$6,MIN(Reference!$A$11,MIN($U154,90))),Reference!$A$6:$A$11,1))+1)-INDEX(Reference!$A$6:$A$11,MIN(5,MATCH(MAX(Reference!$A$6,MIN(Reference!$A$11,MIN($U154,90))),Reference!$A$6:$A$11,1))))),0)+IF(2&lt;=$AL154,($AL154-2+3)*(INDEX(Reference!$B$6:$B$11,MIN(5,MATCH(MAX(Reference!$A$6,MIN(Reference!$A$11,MIN($U154,120))),Reference!$A$6:$A$11,1)))+(MAX(Reference!$A$6,MIN(Reference!$A$11,MIN($U154,120)))-INDEX(Reference!$A$6:$A$11,MIN(5,MATCH(MAX(Reference!$A$6,MIN(Reference!$A$11,MIN($U154,120))),Reference!$A$6:$A$11,1))))*(INDEX(Reference!$B$6:$B$11,MIN(5,MATCH(MAX(Reference!$A$6,MIN(Reference!$A$11,MIN($U154,120))),Reference!$A$6:$A$11,1))+1)-INDEX(Reference!$B$6:$B$11,MIN(5,MATCH(MAX(Reference!$A$6,MIN(Reference!$A$11,MIN($U154,120))),Reference!$A$6:$A$11,1))))/(INDEX(Reference!$A$6:$A$11,MIN(5,MATCH(MAX(Reference!$A$6,MIN(Reference!$A$11,MIN($U154,120))),Reference!$A$6:$A$11,1))+1)-INDEX(Reference!$A$6:$A$11,MIN(5,MATCH(MAX(Reference!$A$6,MIN(Reference!$A$11,MIN($U154,120))),Reference!$A$6:$A$11,1))))),0)+IF(3&lt;=$AL154,($AL154-3+3)*(INDEX(Reference!$B$6:$B$11,MIN(5,MATCH(MAX(Reference!$A$6,MIN(Reference!$A$11,MIN($U154,150))),Reference!$A$6:$A$11,1)))+(MAX(Reference!$A$6,MIN(Reference!$A$11,MIN($U154,150)))-INDEX(Reference!$A$6:$A$11,MIN(5,MATCH(MAX(Reference!$A$6,MIN(Reference!$A$11,MIN($U154,150))),Reference!$A$6:$A$11,1))))*(INDEX(Reference!$B$6:$B$11,MIN(5,MATCH(MAX(Reference!$A$6,MIN(Reference!$A$11,MIN($U154,150))),Reference!$A$6:$A$11,1))+1)-INDEX(Reference!$B$6:$B$11,MIN(5,MATCH(MAX(Reference!$A$6,MIN(Reference!$A$11,MIN($U154,150))),Reference!$A$6:$A$11,1))))/(INDEX(Reference!$A$6:$A$11,MIN(5,MATCH(MAX(Reference!$A$6,MIN(Reference!$A$11,MIN($U154,150))),Reference!$A$6:$A$11,1))+1)-INDEX(Reference!$A$6:$A$11,MIN(5,MATCH(MAX(Reference!$A$6,MIN(Reference!$A$11,MIN($U154,150))),Reference!$A$6:$A$11,1))))),0)+IF(4&lt;=$AL154,($AL154-4+3)*(INDEX(Reference!$B$6:$B$11,MIN(5,MATCH(MAX(Reference!$A$6,MIN(Reference!$A$11,MIN($U154,180))),Reference!$A$6:$A$11,1)))+(MAX(Reference!$A$6,MIN(Reference!$A$11,MIN($U154,180)))-INDEX(Reference!$A$6:$A$11,MIN(5,MATCH(MAX(Reference!$A$6,MIN(Reference!$A$11,MIN($U154,180))),Reference!$A$6:$A$11,1))))*(INDEX(Reference!$B$6:$B$11,MIN(5,MATCH(MAX(Reference!$A$6,MIN(Reference!$A$11,MIN($U154,180))),Reference!$A$6:$A$11,1))+1)-INDEX(Reference!$B$6:$B$11,MIN(5,MATCH(MAX(Reference!$A$6,MIN(Reference!$A$11,MIN($U154,180))),Reference!$A$6:$A$11,1))))/(INDEX(Reference!$A$6:$A$11,MIN(5,MATCH(MAX(Reference!$A$6,MIN(Reference!$A$11,MIN($U154,180))),Reference!$A$6:$A$11,1))+1)-INDEX(Reference!$A$6:$A$11,MIN(5,MATCH(MAX(Reference!$A$6,MIN(Reference!$A$11,MIN($U154,180))),Reference!$A$6:$A$11,1))))),0)+IF(5&lt;=$AL154,($AL154-5+3)*(INDEX(Reference!$B$6:$B$11,MIN(5,MATCH(MAX(Reference!$A$6,MIN(Reference!$A$11,MIN($U154,210))),Reference!$A$6:$A$11,1)))+(MAX(Reference!$A$6,MIN(Reference!$A$11,MIN($U154,210)))-INDEX(Reference!$A$6:$A$11,MIN(5,MATCH(MAX(Reference!$A$6,MIN(Reference!$A$11,MIN($U154,210))),Reference!$A$6:$A$11,1))))*(INDEX(Reference!$B$6:$B$11,MIN(5,MATCH(MAX(Reference!$A$6,MIN(Reference!$A$11,MIN($U154,210))),Reference!$A$6:$A$11,1))+1)-INDEX(Reference!$B$6:$B$11,MIN(5,MATCH(MAX(Reference!$A$6,MIN(Reference!$A$11,MIN($U154,210))),Reference!$A$6:$A$11,1))))/(INDEX(Reference!$A$6:$A$11,MIN(5,MATCH(MAX(Reference!$A$6,MIN(Reference!$A$11,MIN($U154,210))),Reference!$A$6:$A$11,1))+1)-INDEX(Reference!$A$6:$A$11,MIN(5,MATCH(MAX(Reference!$A$6,MIN(Reference!$A$11,MIN($U154,210))),Reference!$A$6:$A$11,1))))),0)+IF(6&lt;=$AL154,($AL154-6+3)*(INDEX(Reference!$B$6:$B$11,MIN(5,MATCH(MAX(Reference!$A$6,MIN(Reference!$A$11,MIN($U154,240))),Reference!$A$6:$A$11,1)))+(MAX(Reference!$A$6,MIN(Reference!$A$11,MIN($U154,240)))-INDEX(Reference!$A$6:$A$11,MIN(5,MATCH(MAX(Reference!$A$6,MIN(Reference!$A$11,MIN($U154,240))),Reference!$A$6:$A$11,1))))*(INDEX(Reference!$B$6:$B$11,MIN(5,MATCH(MAX(Reference!$A$6,MIN(Reference!$A$11,MIN($U154,240))),Reference!$A$6:$A$11,1))+1)-INDEX(Reference!$B$6:$B$11,MIN(5,MATCH(MAX(Reference!$A$6,MIN(Reference!$A$11,MIN($U154,240))),Reference!$A$6:$A$11,1))))/(INDEX(Reference!$A$6:$A$11,MIN(5,MATCH(MAX(Reference!$A$6,MIN(Reference!$A$11,MIN($U154,240))),Reference!$A$6:$A$11,1))+1)-INDEX(Reference!$A$6:$A$11,MIN(5,MATCH(MAX(Reference!$A$6,MIN(Reference!$A$11,MIN($U154,240))),Reference!$A$6:$A$11,1))))),0)+IF(7&lt;=$AL154,($AL154-7+3)*(INDEX(Reference!$B$6:$B$11,MIN(5,MATCH(MAX(Reference!$A$6,MIN(Reference!$A$11,MIN($U154,270))),Reference!$A$6:$A$11,1)))+(MAX(Reference!$A$6,MIN(Reference!$A$11,MIN($U154,270)))-INDEX(Reference!$A$6:$A$11,MIN(5,MATCH(MAX(Reference!$A$6,MIN(Reference!$A$11,MIN($U154,270))),Reference!$A$6:$A$11,1))))*(INDEX(Reference!$B$6:$B$11,MIN(5,MATCH(MAX(Reference!$A$6,MIN(Reference!$A$11,MIN($U154,270))),Reference!$A$6:$A$11,1))+1)-INDEX(Reference!$B$6:$B$11,MIN(5,MATCH(MAX(Reference!$A$6,MIN(Reference!$A$11,MIN($U154,270))),Reference!$A$6:$A$11,1))))/(INDEX(Reference!$A$6:$A$11,MIN(5,MATCH(MAX(Reference!$A$6,MIN(Reference!$A$11,MIN($U154,270))),Reference!$A$6:$A$11,1))+1)-INDEX(Reference!$A$6:$A$11,MIN(5,MATCH(MAX(Reference!$A$6,MIN(Reference!$A$11,MIN($U154,270))),Reference!$A$6:$A$11,1))))),0)+IF(8&lt;=$AL154,($AL154-8+3)*(INDEX(Reference!$B$6:$B$11,MIN(5,MATCH(MAX(Reference!$A$6,MIN(Reference!$A$11,MIN($U154,300))),Reference!$A$6:$A$11,1)))+(MAX(Reference!$A$6,MIN(Reference!$A$11,MIN($U154,300)))-INDEX(Reference!$A$6:$A$11,MIN(5,MATCH(MAX(Reference!$A$6,MIN(Reference!$A$11,MIN($U154,300))),Reference!$A$6:$A$11,1))))*(INDEX(Reference!$B$6:$B$11,MIN(5,MATCH(MAX(Reference!$A$6,MIN(Reference!$A$11,MIN($U154,300))),Reference!$A$6:$A$11,1))+1)-INDEX(Reference!$B$6:$B$11,MIN(5,MATCH(MAX(Reference!$A$6,MIN(Reference!$A$11,MIN($U154,300))),Reference!$A$6:$A$11,1))))/(INDEX(Reference!$A$6:$A$11,MIN(5,MATCH(MAX(Reference!$A$6,MIN(Reference!$A$11,MIN($U154,300))),Reference!$A$6:$A$11,1))+1)-INDEX(Reference!$A$6:$A$11,MIN(5,MATCH(MAX(Reference!$A$6,MIN(Reference!$A$11,MIN($U154,300))),Reference!$A$6:$A$11,1))))),0))/($AL154*($AL154+5)/2)),$AN154))</f>
        <v>0</v>
      </c>
      <c r="AN154" s="32">
        <f>IF($U154="",0,(INDEX(Reference!$B$6:$B$11,MIN(5,MATCH(MAX(Reference!$A$6,MIN(Reference!$A$11,$U154)),Reference!$A$6:$A$11,1)))+(MAX(Reference!$A$6,MIN(Reference!$A$11,$U154))-INDEX(Reference!$A$6:$A$11,MIN(5,MATCH(MAX(Reference!$A$6,MIN(Reference!$A$11,$U154)),Reference!$A$6:$A$11,1))))*(INDEX(Reference!$B$6:$B$11,MIN(5,MATCH(MAX(Reference!$A$6,MIN(Reference!$A$11,$U154)),Reference!$A$6:$A$11,1))+1)-INDEX(Reference!$B$6:$B$11,MIN(5,MATCH(MAX(Reference!$A$6,MIN(Reference!$A$11,$U154)),Reference!$A$6:$A$11,1))))/(INDEX(Reference!$A$6:$A$11,MIN(5,MATCH(MAX(Reference!$A$6,MIN(Reference!$A$11,$U154)),Reference!$A$6:$A$11,1))+1)-INDEX(Reference!$A$6:$A$11,MIN(5,MATCH(MAX(Reference!$A$6,MIN(Reference!$A$11,$U154)),Reference!$A$6:$A$11,1))))))</f>
        <v>0</v>
      </c>
      <c r="AO154" s="37"/>
      <c r="AP154" s="37"/>
      <c r="AQ154" s="37"/>
    </row>
    <row r="155" spans="1:43" x14ac:dyDescent="0.3">
      <c r="A155" s="48" t="str">
        <f t="shared" si="80"/>
        <v/>
      </c>
      <c r="B155" s="32" t="str">
        <f t="shared" si="81"/>
        <v/>
      </c>
      <c r="C155" s="32" t="str">
        <f t="shared" si="82"/>
        <v/>
      </c>
      <c r="D155" s="32" t="str">
        <f t="shared" si="83"/>
        <v/>
      </c>
      <c r="E155" s="32" t="str">
        <f t="shared" si="84"/>
        <v/>
      </c>
      <c r="F155" s="32" t="str">
        <f t="shared" si="85"/>
        <v/>
      </c>
      <c r="G155" s="47" t="str">
        <f t="shared" si="86"/>
        <v/>
      </c>
      <c r="H155" s="30" t="str">
        <f t="shared" si="87"/>
        <v/>
      </c>
      <c r="I155" s="46" t="str">
        <f>IF($A155="","",IF(AND($L155&lt;27,$K$12=0),"Building",IFERROR(((SUM($H$149:$H155)+$K$12*IF($L155&lt;6,SUMIFS('Throw Log'!$Q$5:$Q$300,'Throw Log'!$B$5:$B$300,$D$4,'Throw Log'!$A$5:$A$300,"&gt;="&amp;($D$6+$L155-6),'Throw Log'!$A$5:$A$300,"&lt;="&amp;($D$6-1)),0))/7)/((SUM($H$128:$H155)+$K$12*IF($L155&lt;27,SUMIFS('Throw Log'!$Q$5:$Q$300,'Throw Log'!$B$5:$B$300,$D$4,'Throw Log'!$A$5:$A$300,"&gt;="&amp;($D$6+$L155-27),'Throw Log'!$A$5:$A$300,"&lt;="&amp;($D$6-1)),0))/28),"")))</f>
        <v/>
      </c>
      <c r="J155" s="37"/>
      <c r="K155" s="37"/>
      <c r="L155" s="32">
        <v>112</v>
      </c>
      <c r="M155" s="32">
        <f t="shared" si="88"/>
        <v>17</v>
      </c>
      <c r="N155" s="32">
        <f t="shared" si="89"/>
        <v>0</v>
      </c>
      <c r="O155" s="32">
        <f t="shared" si="90"/>
        <v>1</v>
      </c>
      <c r="P155" s="32" t="str">
        <f>IF(OR($A155="",N($C155)&lt;=7),"",$G$6*$G$9^($M155-1)*IF(AND(MOD($M155,Reference!$B$99)=0,$M155&lt;=$G$5-2),Reference!$B$100,1))</f>
        <v/>
      </c>
      <c r="Q155" s="32" t="str">
        <f>IF($P155="","",IF(SUM($AK$155:$AK$161)=0,0,$P155*INDEX(Reference!$B$108:$B$114,$N155+1)/SUM($AK$155:$AK$161)))</f>
        <v/>
      </c>
      <c r="R155" s="32">
        <f t="shared" si="91"/>
        <v>180</v>
      </c>
      <c r="S155" s="32">
        <f t="shared" si="92"/>
        <v>150</v>
      </c>
      <c r="T155" s="32" t="str">
        <f>IF($A155="","",IF($C155=0,"Bullpen",IF(OR($C155=7,$C155=1,$C155=5),"Recovery/Easy Catch",IF($C155=6,"Compression/Pulldowns",IF(OR($C155=4,$C155=2),"Long Toss",IF($C155=3,"No Throw",IF($N155=2,"No Throw",IF($N155=6,IF($O155&lt;Reference!$B$104,"No Throw","Recovery/Easy Catch"),IF(OR($N155=0,$N155=4),"Recovery/Easy Catch",IF($N155=1,IF($R155&gt;75,"Long Toss","Recovery/Easy Catch"),IF($N155=3,IF($O155&lt;0.5,IF($S155&gt;75,"Long Toss","Recovery/Easy Catch"),"Compression/Pulldowns"),IF($S155&gt;75,"Long Toss","Recovery/Easy Catch"))))))))))))</f>
        <v/>
      </c>
      <c r="U155" s="32" t="str">
        <f t="shared" si="93"/>
        <v/>
      </c>
      <c r="V155" s="32" t="str">
        <f t="shared" si="94"/>
        <v/>
      </c>
      <c r="W155" s="32" t="str">
        <f t="shared" si="95"/>
        <v/>
      </c>
      <c r="X155" s="32">
        <f t="shared" si="96"/>
        <v>0</v>
      </c>
      <c r="Y155" s="32" t="str">
        <f t="shared" si="97"/>
        <v/>
      </c>
      <c r="Z155" s="32" t="str">
        <f t="shared" si="98"/>
        <v/>
      </c>
      <c r="AA155" s="32" t="str">
        <f t="shared" si="99"/>
        <v/>
      </c>
      <c r="AB155" s="32" t="str">
        <f>IF($A155="","",IF($T155="No Throw",0,IF($K155&lt;&gt;"",$K155,IF($AA155&lt;&gt;"",ROUND($AA155*$D$12*IF($C155=0,1,$G$10),0),MIN(IF($T155="Recovery/Easy Catch",Reference!$B$103,IF($T155="Long Toss",Reference!$B$106,Reference!$B$102)),MAX(Reference!$B$101,ROUND(MAX(0,$Q155-$AE155)/$AF155,0)))))))</f>
        <v/>
      </c>
      <c r="AC155" s="32">
        <f t="shared" si="100"/>
        <v>0</v>
      </c>
      <c r="AD155" s="32" t="b">
        <f t="shared" si="101"/>
        <v>1</v>
      </c>
      <c r="AE155" s="32">
        <f>IF($X155=0,0,$X155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155+$Z155)/2,0),Reference!$A$17:$B$20,2,TRUE()))</f>
        <v>0</v>
      </c>
      <c r="AF155" s="32">
        <f>IF(OR($A155="",$U155="",$T155="No Throw"),0,$AM155*VLOOKUP(MAX(($V155+$W155)/2,0),Reference!$A$17:$B$20,2,TRUE()))</f>
        <v>0</v>
      </c>
      <c r="AG155" s="32">
        <f>IF($AC155=0,0,$AC155*INDEX(Reference!$B$61:$B$62,MATCH("Bullpen",Reference!$A$61:$A$62,0))*VLOOKUP(MAX($D$5-($D$9+$E$9)/2,0),Reference!$A$17:$B$20,2,TRUE()))</f>
        <v>0</v>
      </c>
      <c r="AH155" s="32" t="e">
        <f t="shared" si="102"/>
        <v>#N/A</v>
      </c>
      <c r="AI155" s="32" t="e">
        <f>IF($A155="",NA(),Reference!$A$25)</f>
        <v>#N/A</v>
      </c>
      <c r="AJ155" s="32" t="e">
        <f t="shared" si="103"/>
        <v>#N/A</v>
      </c>
      <c r="AK155" s="32">
        <f>IF(OR($A155="",N($C155)&lt;=7,$T155="No Throw",$J155="x"),0,INDEX(Reference!$B$108:$B$114,$N155+1))</f>
        <v>0</v>
      </c>
      <c r="AL155" s="32">
        <f t="shared" si="104"/>
        <v>1</v>
      </c>
      <c r="AM155" s="32">
        <f>IF($U155="",0,IF($AL155&gt;1,((IF(1&lt;=$AL155,($AL155-1+3)*(INDEX(Reference!$B$6:$B$11,MIN(5,MATCH(MAX(Reference!$A$6,MIN(Reference!$A$11,MIN($U155,90))),Reference!$A$6:$A$11,1)))+(MAX(Reference!$A$6,MIN(Reference!$A$11,MIN($U155,90)))-INDEX(Reference!$A$6:$A$11,MIN(5,MATCH(MAX(Reference!$A$6,MIN(Reference!$A$11,MIN($U155,90))),Reference!$A$6:$A$11,1))))*(INDEX(Reference!$B$6:$B$11,MIN(5,MATCH(MAX(Reference!$A$6,MIN(Reference!$A$11,MIN($U155,90))),Reference!$A$6:$A$11,1))+1)-INDEX(Reference!$B$6:$B$11,MIN(5,MATCH(MAX(Reference!$A$6,MIN(Reference!$A$11,MIN($U155,90))),Reference!$A$6:$A$11,1))))/(INDEX(Reference!$A$6:$A$11,MIN(5,MATCH(MAX(Reference!$A$6,MIN(Reference!$A$11,MIN($U155,90))),Reference!$A$6:$A$11,1))+1)-INDEX(Reference!$A$6:$A$11,MIN(5,MATCH(MAX(Reference!$A$6,MIN(Reference!$A$11,MIN($U155,90))),Reference!$A$6:$A$11,1))))),0)+IF(2&lt;=$AL155,($AL155-2+3)*(INDEX(Reference!$B$6:$B$11,MIN(5,MATCH(MAX(Reference!$A$6,MIN(Reference!$A$11,MIN($U155,120))),Reference!$A$6:$A$11,1)))+(MAX(Reference!$A$6,MIN(Reference!$A$11,MIN($U155,120)))-INDEX(Reference!$A$6:$A$11,MIN(5,MATCH(MAX(Reference!$A$6,MIN(Reference!$A$11,MIN($U155,120))),Reference!$A$6:$A$11,1))))*(INDEX(Reference!$B$6:$B$11,MIN(5,MATCH(MAX(Reference!$A$6,MIN(Reference!$A$11,MIN($U155,120))),Reference!$A$6:$A$11,1))+1)-INDEX(Reference!$B$6:$B$11,MIN(5,MATCH(MAX(Reference!$A$6,MIN(Reference!$A$11,MIN($U155,120))),Reference!$A$6:$A$11,1))))/(INDEX(Reference!$A$6:$A$11,MIN(5,MATCH(MAX(Reference!$A$6,MIN(Reference!$A$11,MIN($U155,120))),Reference!$A$6:$A$11,1))+1)-INDEX(Reference!$A$6:$A$11,MIN(5,MATCH(MAX(Reference!$A$6,MIN(Reference!$A$11,MIN($U155,120))),Reference!$A$6:$A$11,1))))),0)+IF(3&lt;=$AL155,($AL155-3+3)*(INDEX(Reference!$B$6:$B$11,MIN(5,MATCH(MAX(Reference!$A$6,MIN(Reference!$A$11,MIN($U155,150))),Reference!$A$6:$A$11,1)))+(MAX(Reference!$A$6,MIN(Reference!$A$11,MIN($U155,150)))-INDEX(Reference!$A$6:$A$11,MIN(5,MATCH(MAX(Reference!$A$6,MIN(Reference!$A$11,MIN($U155,150))),Reference!$A$6:$A$11,1))))*(INDEX(Reference!$B$6:$B$11,MIN(5,MATCH(MAX(Reference!$A$6,MIN(Reference!$A$11,MIN($U155,150))),Reference!$A$6:$A$11,1))+1)-INDEX(Reference!$B$6:$B$11,MIN(5,MATCH(MAX(Reference!$A$6,MIN(Reference!$A$11,MIN($U155,150))),Reference!$A$6:$A$11,1))))/(INDEX(Reference!$A$6:$A$11,MIN(5,MATCH(MAX(Reference!$A$6,MIN(Reference!$A$11,MIN($U155,150))),Reference!$A$6:$A$11,1))+1)-INDEX(Reference!$A$6:$A$11,MIN(5,MATCH(MAX(Reference!$A$6,MIN(Reference!$A$11,MIN($U155,150))),Reference!$A$6:$A$11,1))))),0)+IF(4&lt;=$AL155,($AL155-4+3)*(INDEX(Reference!$B$6:$B$11,MIN(5,MATCH(MAX(Reference!$A$6,MIN(Reference!$A$11,MIN($U155,180))),Reference!$A$6:$A$11,1)))+(MAX(Reference!$A$6,MIN(Reference!$A$11,MIN($U155,180)))-INDEX(Reference!$A$6:$A$11,MIN(5,MATCH(MAX(Reference!$A$6,MIN(Reference!$A$11,MIN($U155,180))),Reference!$A$6:$A$11,1))))*(INDEX(Reference!$B$6:$B$11,MIN(5,MATCH(MAX(Reference!$A$6,MIN(Reference!$A$11,MIN($U155,180))),Reference!$A$6:$A$11,1))+1)-INDEX(Reference!$B$6:$B$11,MIN(5,MATCH(MAX(Reference!$A$6,MIN(Reference!$A$11,MIN($U155,180))),Reference!$A$6:$A$11,1))))/(INDEX(Reference!$A$6:$A$11,MIN(5,MATCH(MAX(Reference!$A$6,MIN(Reference!$A$11,MIN($U155,180))),Reference!$A$6:$A$11,1))+1)-INDEX(Reference!$A$6:$A$11,MIN(5,MATCH(MAX(Reference!$A$6,MIN(Reference!$A$11,MIN($U155,180))),Reference!$A$6:$A$11,1))))),0)+IF(5&lt;=$AL155,($AL155-5+3)*(INDEX(Reference!$B$6:$B$11,MIN(5,MATCH(MAX(Reference!$A$6,MIN(Reference!$A$11,MIN($U155,210))),Reference!$A$6:$A$11,1)))+(MAX(Reference!$A$6,MIN(Reference!$A$11,MIN($U155,210)))-INDEX(Reference!$A$6:$A$11,MIN(5,MATCH(MAX(Reference!$A$6,MIN(Reference!$A$11,MIN($U155,210))),Reference!$A$6:$A$11,1))))*(INDEX(Reference!$B$6:$B$11,MIN(5,MATCH(MAX(Reference!$A$6,MIN(Reference!$A$11,MIN($U155,210))),Reference!$A$6:$A$11,1))+1)-INDEX(Reference!$B$6:$B$11,MIN(5,MATCH(MAX(Reference!$A$6,MIN(Reference!$A$11,MIN($U155,210))),Reference!$A$6:$A$11,1))))/(INDEX(Reference!$A$6:$A$11,MIN(5,MATCH(MAX(Reference!$A$6,MIN(Reference!$A$11,MIN($U155,210))),Reference!$A$6:$A$11,1))+1)-INDEX(Reference!$A$6:$A$11,MIN(5,MATCH(MAX(Reference!$A$6,MIN(Reference!$A$11,MIN($U155,210))),Reference!$A$6:$A$11,1))))),0)+IF(6&lt;=$AL155,($AL155-6+3)*(INDEX(Reference!$B$6:$B$11,MIN(5,MATCH(MAX(Reference!$A$6,MIN(Reference!$A$11,MIN($U155,240))),Reference!$A$6:$A$11,1)))+(MAX(Reference!$A$6,MIN(Reference!$A$11,MIN($U155,240)))-INDEX(Reference!$A$6:$A$11,MIN(5,MATCH(MAX(Reference!$A$6,MIN(Reference!$A$11,MIN($U155,240))),Reference!$A$6:$A$11,1))))*(INDEX(Reference!$B$6:$B$11,MIN(5,MATCH(MAX(Reference!$A$6,MIN(Reference!$A$11,MIN($U155,240))),Reference!$A$6:$A$11,1))+1)-INDEX(Reference!$B$6:$B$11,MIN(5,MATCH(MAX(Reference!$A$6,MIN(Reference!$A$11,MIN($U155,240))),Reference!$A$6:$A$11,1))))/(INDEX(Reference!$A$6:$A$11,MIN(5,MATCH(MAX(Reference!$A$6,MIN(Reference!$A$11,MIN($U155,240))),Reference!$A$6:$A$11,1))+1)-INDEX(Reference!$A$6:$A$11,MIN(5,MATCH(MAX(Reference!$A$6,MIN(Reference!$A$11,MIN($U155,240))),Reference!$A$6:$A$11,1))))),0)+IF(7&lt;=$AL155,($AL155-7+3)*(INDEX(Reference!$B$6:$B$11,MIN(5,MATCH(MAX(Reference!$A$6,MIN(Reference!$A$11,MIN($U155,270))),Reference!$A$6:$A$11,1)))+(MAX(Reference!$A$6,MIN(Reference!$A$11,MIN($U155,270)))-INDEX(Reference!$A$6:$A$11,MIN(5,MATCH(MAX(Reference!$A$6,MIN(Reference!$A$11,MIN($U155,270))),Reference!$A$6:$A$11,1))))*(INDEX(Reference!$B$6:$B$11,MIN(5,MATCH(MAX(Reference!$A$6,MIN(Reference!$A$11,MIN($U155,270))),Reference!$A$6:$A$11,1))+1)-INDEX(Reference!$B$6:$B$11,MIN(5,MATCH(MAX(Reference!$A$6,MIN(Reference!$A$11,MIN($U155,270))),Reference!$A$6:$A$11,1))))/(INDEX(Reference!$A$6:$A$11,MIN(5,MATCH(MAX(Reference!$A$6,MIN(Reference!$A$11,MIN($U155,270))),Reference!$A$6:$A$11,1))+1)-INDEX(Reference!$A$6:$A$11,MIN(5,MATCH(MAX(Reference!$A$6,MIN(Reference!$A$11,MIN($U155,270))),Reference!$A$6:$A$11,1))))),0)+IF(8&lt;=$AL155,($AL155-8+3)*(INDEX(Reference!$B$6:$B$11,MIN(5,MATCH(MAX(Reference!$A$6,MIN(Reference!$A$11,MIN($U155,300))),Reference!$A$6:$A$11,1)))+(MAX(Reference!$A$6,MIN(Reference!$A$11,MIN($U155,300)))-INDEX(Reference!$A$6:$A$11,MIN(5,MATCH(MAX(Reference!$A$6,MIN(Reference!$A$11,MIN($U155,300))),Reference!$A$6:$A$11,1))))*(INDEX(Reference!$B$6:$B$11,MIN(5,MATCH(MAX(Reference!$A$6,MIN(Reference!$A$11,MIN($U155,300))),Reference!$A$6:$A$11,1))+1)-INDEX(Reference!$B$6:$B$11,MIN(5,MATCH(MAX(Reference!$A$6,MIN(Reference!$A$11,MIN($U155,300))),Reference!$A$6:$A$11,1))))/(INDEX(Reference!$A$6:$A$11,MIN(5,MATCH(MAX(Reference!$A$6,MIN(Reference!$A$11,MIN($U155,300))),Reference!$A$6:$A$11,1))+1)-INDEX(Reference!$A$6:$A$11,MIN(5,MATCH(MAX(Reference!$A$6,MIN(Reference!$A$11,MIN($U155,300))),Reference!$A$6:$A$11,1))))),0))/($AL155*($AL155+5)/2)),$AN155))</f>
        <v>0</v>
      </c>
      <c r="AN155" s="32">
        <f>IF($U155="",0,(INDEX(Reference!$B$6:$B$11,MIN(5,MATCH(MAX(Reference!$A$6,MIN(Reference!$A$11,$U155)),Reference!$A$6:$A$11,1)))+(MAX(Reference!$A$6,MIN(Reference!$A$11,$U155))-INDEX(Reference!$A$6:$A$11,MIN(5,MATCH(MAX(Reference!$A$6,MIN(Reference!$A$11,$U155)),Reference!$A$6:$A$11,1))))*(INDEX(Reference!$B$6:$B$11,MIN(5,MATCH(MAX(Reference!$A$6,MIN(Reference!$A$11,$U155)),Reference!$A$6:$A$11,1))+1)-INDEX(Reference!$B$6:$B$11,MIN(5,MATCH(MAX(Reference!$A$6,MIN(Reference!$A$11,$U155)),Reference!$A$6:$A$11,1))))/(INDEX(Reference!$A$6:$A$11,MIN(5,MATCH(MAX(Reference!$A$6,MIN(Reference!$A$11,$U155)),Reference!$A$6:$A$11,1))+1)-INDEX(Reference!$A$6:$A$11,MIN(5,MATCH(MAX(Reference!$A$6,MIN(Reference!$A$11,$U155)),Reference!$A$6:$A$11,1))))))</f>
        <v>0</v>
      </c>
      <c r="AO155" s="37"/>
      <c r="AP155" s="37"/>
      <c r="AQ155" s="37"/>
    </row>
    <row r="156" spans="1:43" x14ac:dyDescent="0.3">
      <c r="A156" s="48" t="str">
        <f t="shared" si="80"/>
        <v/>
      </c>
      <c r="B156" s="32" t="str">
        <f t="shared" si="81"/>
        <v/>
      </c>
      <c r="C156" s="32" t="str">
        <f t="shared" si="82"/>
        <v/>
      </c>
      <c r="D156" s="32" t="str">
        <f t="shared" si="83"/>
        <v/>
      </c>
      <c r="E156" s="32" t="str">
        <f t="shared" si="84"/>
        <v/>
      </c>
      <c r="F156" s="32" t="str">
        <f t="shared" si="85"/>
        <v/>
      </c>
      <c r="G156" s="47" t="str">
        <f t="shared" si="86"/>
        <v/>
      </c>
      <c r="H156" s="30" t="str">
        <f t="shared" si="87"/>
        <v/>
      </c>
      <c r="I156" s="46" t="str">
        <f>IF($A156="","",IF(AND($L156&lt;27,$K$12=0),"Building",IFERROR(((SUM($H$150:$H156)+$K$12*IF($L156&lt;6,SUMIFS('Throw Log'!$Q$5:$Q$300,'Throw Log'!$B$5:$B$300,$D$4,'Throw Log'!$A$5:$A$300,"&gt;="&amp;($D$6+$L156-6),'Throw Log'!$A$5:$A$300,"&lt;="&amp;($D$6-1)),0))/7)/((SUM($H$129:$H156)+$K$12*IF($L156&lt;27,SUMIFS('Throw Log'!$Q$5:$Q$300,'Throw Log'!$B$5:$B$300,$D$4,'Throw Log'!$A$5:$A$300,"&gt;="&amp;($D$6+$L156-27),'Throw Log'!$A$5:$A$300,"&lt;="&amp;($D$6-1)),0))/28),"")))</f>
        <v/>
      </c>
      <c r="J156" s="37"/>
      <c r="K156" s="37"/>
      <c r="L156" s="32">
        <v>113</v>
      </c>
      <c r="M156" s="32">
        <f t="shared" si="88"/>
        <v>17</v>
      </c>
      <c r="N156" s="32">
        <f t="shared" si="89"/>
        <v>1</v>
      </c>
      <c r="O156" s="32">
        <f t="shared" si="90"/>
        <v>1</v>
      </c>
      <c r="P156" s="32" t="str">
        <f>IF(OR($A156="",N($C156)&lt;=7),"",$G$6*$G$9^($M156-1)*IF(AND(MOD($M156,Reference!$B$99)=0,$M156&lt;=$G$5-2),Reference!$B$100,1))</f>
        <v/>
      </c>
      <c r="Q156" s="32" t="str">
        <f>IF($P156="","",IF(SUM($AK$155:$AK$161)=0,0,$P156*INDEX(Reference!$B$108:$B$114,$N156+1)/SUM($AK$155:$AK$161)))</f>
        <v/>
      </c>
      <c r="R156" s="32">
        <f t="shared" si="91"/>
        <v>180</v>
      </c>
      <c r="S156" s="32">
        <f t="shared" si="92"/>
        <v>150</v>
      </c>
      <c r="T156" s="32" t="str">
        <f>IF($A156="","",IF($C156=0,"Bullpen",IF(OR($C156=7,$C156=1,$C156=5),"Recovery/Easy Catch",IF($C156=6,"Compression/Pulldowns",IF(OR($C156=4,$C156=2),"Long Toss",IF($C156=3,"No Throw",IF($N156=2,"No Throw",IF($N156=6,IF($O156&lt;Reference!$B$104,"No Throw","Recovery/Easy Catch"),IF(OR($N156=0,$N156=4),"Recovery/Easy Catch",IF($N156=1,IF($R156&gt;75,"Long Toss","Recovery/Easy Catch"),IF($N156=3,IF($O156&lt;0.5,IF($S156&gt;75,"Long Toss","Recovery/Easy Catch"),"Compression/Pulldowns"),IF($S156&gt;75,"Long Toss","Recovery/Easy Catch"))))))))))))</f>
        <v/>
      </c>
      <c r="U156" s="32" t="str">
        <f t="shared" si="93"/>
        <v/>
      </c>
      <c r="V156" s="32" t="str">
        <f t="shared" si="94"/>
        <v/>
      </c>
      <c r="W156" s="32" t="str">
        <f t="shared" si="95"/>
        <v/>
      </c>
      <c r="X156" s="32">
        <f t="shared" si="96"/>
        <v>0</v>
      </c>
      <c r="Y156" s="32" t="str">
        <f t="shared" si="97"/>
        <v/>
      </c>
      <c r="Z156" s="32" t="str">
        <f t="shared" si="98"/>
        <v/>
      </c>
      <c r="AA156" s="32" t="str">
        <f t="shared" si="99"/>
        <v/>
      </c>
      <c r="AB156" s="32" t="str">
        <f>IF($A156="","",IF($T156="No Throw",0,IF($K156&lt;&gt;"",$K156,IF($AA156&lt;&gt;"",ROUND($AA156*$D$12*IF($C156=0,1,$G$10),0),MIN(IF($T156="Recovery/Easy Catch",Reference!$B$103,IF($T156="Long Toss",Reference!$B$106,Reference!$B$102)),MAX(Reference!$B$101,ROUND(MAX(0,$Q156-$AE156)/$AF156,0)))))))</f>
        <v/>
      </c>
      <c r="AC156" s="32">
        <f t="shared" si="100"/>
        <v>0</v>
      </c>
      <c r="AD156" s="32" t="b">
        <f t="shared" si="101"/>
        <v>1</v>
      </c>
      <c r="AE156" s="32">
        <f>IF($X156=0,0,$X156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156+$Z156)/2,0),Reference!$A$17:$B$20,2,TRUE()))</f>
        <v>0</v>
      </c>
      <c r="AF156" s="32">
        <f>IF(OR($A156="",$U156="",$T156="No Throw"),0,$AM156*VLOOKUP(MAX(($V156+$W156)/2,0),Reference!$A$17:$B$20,2,TRUE()))</f>
        <v>0</v>
      </c>
      <c r="AG156" s="32">
        <f>IF($AC156=0,0,$AC156*INDEX(Reference!$B$61:$B$62,MATCH("Bullpen",Reference!$A$61:$A$62,0))*VLOOKUP(MAX($D$5-($D$9+$E$9)/2,0),Reference!$A$17:$B$20,2,TRUE()))</f>
        <v>0</v>
      </c>
      <c r="AH156" s="32" t="e">
        <f t="shared" si="102"/>
        <v>#N/A</v>
      </c>
      <c r="AI156" s="32" t="e">
        <f>IF($A156="",NA(),Reference!$A$25)</f>
        <v>#N/A</v>
      </c>
      <c r="AJ156" s="32" t="e">
        <f t="shared" si="103"/>
        <v>#N/A</v>
      </c>
      <c r="AK156" s="32">
        <f>IF(OR($A156="",N($C156)&lt;=7,$T156="No Throw",$J156="x"),0,INDEX(Reference!$B$108:$B$114,$N156+1))</f>
        <v>0</v>
      </c>
      <c r="AL156" s="32">
        <f t="shared" si="104"/>
        <v>1</v>
      </c>
      <c r="AM156" s="32">
        <f>IF($U156="",0,IF($AL156&gt;1,((IF(1&lt;=$AL156,($AL156-1+3)*(INDEX(Reference!$B$6:$B$11,MIN(5,MATCH(MAX(Reference!$A$6,MIN(Reference!$A$11,MIN($U156,90))),Reference!$A$6:$A$11,1)))+(MAX(Reference!$A$6,MIN(Reference!$A$11,MIN($U156,90)))-INDEX(Reference!$A$6:$A$11,MIN(5,MATCH(MAX(Reference!$A$6,MIN(Reference!$A$11,MIN($U156,90))),Reference!$A$6:$A$11,1))))*(INDEX(Reference!$B$6:$B$11,MIN(5,MATCH(MAX(Reference!$A$6,MIN(Reference!$A$11,MIN($U156,90))),Reference!$A$6:$A$11,1))+1)-INDEX(Reference!$B$6:$B$11,MIN(5,MATCH(MAX(Reference!$A$6,MIN(Reference!$A$11,MIN($U156,90))),Reference!$A$6:$A$11,1))))/(INDEX(Reference!$A$6:$A$11,MIN(5,MATCH(MAX(Reference!$A$6,MIN(Reference!$A$11,MIN($U156,90))),Reference!$A$6:$A$11,1))+1)-INDEX(Reference!$A$6:$A$11,MIN(5,MATCH(MAX(Reference!$A$6,MIN(Reference!$A$11,MIN($U156,90))),Reference!$A$6:$A$11,1))))),0)+IF(2&lt;=$AL156,($AL156-2+3)*(INDEX(Reference!$B$6:$B$11,MIN(5,MATCH(MAX(Reference!$A$6,MIN(Reference!$A$11,MIN($U156,120))),Reference!$A$6:$A$11,1)))+(MAX(Reference!$A$6,MIN(Reference!$A$11,MIN($U156,120)))-INDEX(Reference!$A$6:$A$11,MIN(5,MATCH(MAX(Reference!$A$6,MIN(Reference!$A$11,MIN($U156,120))),Reference!$A$6:$A$11,1))))*(INDEX(Reference!$B$6:$B$11,MIN(5,MATCH(MAX(Reference!$A$6,MIN(Reference!$A$11,MIN($U156,120))),Reference!$A$6:$A$11,1))+1)-INDEX(Reference!$B$6:$B$11,MIN(5,MATCH(MAX(Reference!$A$6,MIN(Reference!$A$11,MIN($U156,120))),Reference!$A$6:$A$11,1))))/(INDEX(Reference!$A$6:$A$11,MIN(5,MATCH(MAX(Reference!$A$6,MIN(Reference!$A$11,MIN($U156,120))),Reference!$A$6:$A$11,1))+1)-INDEX(Reference!$A$6:$A$11,MIN(5,MATCH(MAX(Reference!$A$6,MIN(Reference!$A$11,MIN($U156,120))),Reference!$A$6:$A$11,1))))),0)+IF(3&lt;=$AL156,($AL156-3+3)*(INDEX(Reference!$B$6:$B$11,MIN(5,MATCH(MAX(Reference!$A$6,MIN(Reference!$A$11,MIN($U156,150))),Reference!$A$6:$A$11,1)))+(MAX(Reference!$A$6,MIN(Reference!$A$11,MIN($U156,150)))-INDEX(Reference!$A$6:$A$11,MIN(5,MATCH(MAX(Reference!$A$6,MIN(Reference!$A$11,MIN($U156,150))),Reference!$A$6:$A$11,1))))*(INDEX(Reference!$B$6:$B$11,MIN(5,MATCH(MAX(Reference!$A$6,MIN(Reference!$A$11,MIN($U156,150))),Reference!$A$6:$A$11,1))+1)-INDEX(Reference!$B$6:$B$11,MIN(5,MATCH(MAX(Reference!$A$6,MIN(Reference!$A$11,MIN($U156,150))),Reference!$A$6:$A$11,1))))/(INDEX(Reference!$A$6:$A$11,MIN(5,MATCH(MAX(Reference!$A$6,MIN(Reference!$A$11,MIN($U156,150))),Reference!$A$6:$A$11,1))+1)-INDEX(Reference!$A$6:$A$11,MIN(5,MATCH(MAX(Reference!$A$6,MIN(Reference!$A$11,MIN($U156,150))),Reference!$A$6:$A$11,1))))),0)+IF(4&lt;=$AL156,($AL156-4+3)*(INDEX(Reference!$B$6:$B$11,MIN(5,MATCH(MAX(Reference!$A$6,MIN(Reference!$A$11,MIN($U156,180))),Reference!$A$6:$A$11,1)))+(MAX(Reference!$A$6,MIN(Reference!$A$11,MIN($U156,180)))-INDEX(Reference!$A$6:$A$11,MIN(5,MATCH(MAX(Reference!$A$6,MIN(Reference!$A$11,MIN($U156,180))),Reference!$A$6:$A$11,1))))*(INDEX(Reference!$B$6:$B$11,MIN(5,MATCH(MAX(Reference!$A$6,MIN(Reference!$A$11,MIN($U156,180))),Reference!$A$6:$A$11,1))+1)-INDEX(Reference!$B$6:$B$11,MIN(5,MATCH(MAX(Reference!$A$6,MIN(Reference!$A$11,MIN($U156,180))),Reference!$A$6:$A$11,1))))/(INDEX(Reference!$A$6:$A$11,MIN(5,MATCH(MAX(Reference!$A$6,MIN(Reference!$A$11,MIN($U156,180))),Reference!$A$6:$A$11,1))+1)-INDEX(Reference!$A$6:$A$11,MIN(5,MATCH(MAX(Reference!$A$6,MIN(Reference!$A$11,MIN($U156,180))),Reference!$A$6:$A$11,1))))),0)+IF(5&lt;=$AL156,($AL156-5+3)*(INDEX(Reference!$B$6:$B$11,MIN(5,MATCH(MAX(Reference!$A$6,MIN(Reference!$A$11,MIN($U156,210))),Reference!$A$6:$A$11,1)))+(MAX(Reference!$A$6,MIN(Reference!$A$11,MIN($U156,210)))-INDEX(Reference!$A$6:$A$11,MIN(5,MATCH(MAX(Reference!$A$6,MIN(Reference!$A$11,MIN($U156,210))),Reference!$A$6:$A$11,1))))*(INDEX(Reference!$B$6:$B$11,MIN(5,MATCH(MAX(Reference!$A$6,MIN(Reference!$A$11,MIN($U156,210))),Reference!$A$6:$A$11,1))+1)-INDEX(Reference!$B$6:$B$11,MIN(5,MATCH(MAX(Reference!$A$6,MIN(Reference!$A$11,MIN($U156,210))),Reference!$A$6:$A$11,1))))/(INDEX(Reference!$A$6:$A$11,MIN(5,MATCH(MAX(Reference!$A$6,MIN(Reference!$A$11,MIN($U156,210))),Reference!$A$6:$A$11,1))+1)-INDEX(Reference!$A$6:$A$11,MIN(5,MATCH(MAX(Reference!$A$6,MIN(Reference!$A$11,MIN($U156,210))),Reference!$A$6:$A$11,1))))),0)+IF(6&lt;=$AL156,($AL156-6+3)*(INDEX(Reference!$B$6:$B$11,MIN(5,MATCH(MAX(Reference!$A$6,MIN(Reference!$A$11,MIN($U156,240))),Reference!$A$6:$A$11,1)))+(MAX(Reference!$A$6,MIN(Reference!$A$11,MIN($U156,240)))-INDEX(Reference!$A$6:$A$11,MIN(5,MATCH(MAX(Reference!$A$6,MIN(Reference!$A$11,MIN($U156,240))),Reference!$A$6:$A$11,1))))*(INDEX(Reference!$B$6:$B$11,MIN(5,MATCH(MAX(Reference!$A$6,MIN(Reference!$A$11,MIN($U156,240))),Reference!$A$6:$A$11,1))+1)-INDEX(Reference!$B$6:$B$11,MIN(5,MATCH(MAX(Reference!$A$6,MIN(Reference!$A$11,MIN($U156,240))),Reference!$A$6:$A$11,1))))/(INDEX(Reference!$A$6:$A$11,MIN(5,MATCH(MAX(Reference!$A$6,MIN(Reference!$A$11,MIN($U156,240))),Reference!$A$6:$A$11,1))+1)-INDEX(Reference!$A$6:$A$11,MIN(5,MATCH(MAX(Reference!$A$6,MIN(Reference!$A$11,MIN($U156,240))),Reference!$A$6:$A$11,1))))),0)+IF(7&lt;=$AL156,($AL156-7+3)*(INDEX(Reference!$B$6:$B$11,MIN(5,MATCH(MAX(Reference!$A$6,MIN(Reference!$A$11,MIN($U156,270))),Reference!$A$6:$A$11,1)))+(MAX(Reference!$A$6,MIN(Reference!$A$11,MIN($U156,270)))-INDEX(Reference!$A$6:$A$11,MIN(5,MATCH(MAX(Reference!$A$6,MIN(Reference!$A$11,MIN($U156,270))),Reference!$A$6:$A$11,1))))*(INDEX(Reference!$B$6:$B$11,MIN(5,MATCH(MAX(Reference!$A$6,MIN(Reference!$A$11,MIN($U156,270))),Reference!$A$6:$A$11,1))+1)-INDEX(Reference!$B$6:$B$11,MIN(5,MATCH(MAX(Reference!$A$6,MIN(Reference!$A$11,MIN($U156,270))),Reference!$A$6:$A$11,1))))/(INDEX(Reference!$A$6:$A$11,MIN(5,MATCH(MAX(Reference!$A$6,MIN(Reference!$A$11,MIN($U156,270))),Reference!$A$6:$A$11,1))+1)-INDEX(Reference!$A$6:$A$11,MIN(5,MATCH(MAX(Reference!$A$6,MIN(Reference!$A$11,MIN($U156,270))),Reference!$A$6:$A$11,1))))),0)+IF(8&lt;=$AL156,($AL156-8+3)*(INDEX(Reference!$B$6:$B$11,MIN(5,MATCH(MAX(Reference!$A$6,MIN(Reference!$A$11,MIN($U156,300))),Reference!$A$6:$A$11,1)))+(MAX(Reference!$A$6,MIN(Reference!$A$11,MIN($U156,300)))-INDEX(Reference!$A$6:$A$11,MIN(5,MATCH(MAX(Reference!$A$6,MIN(Reference!$A$11,MIN($U156,300))),Reference!$A$6:$A$11,1))))*(INDEX(Reference!$B$6:$B$11,MIN(5,MATCH(MAX(Reference!$A$6,MIN(Reference!$A$11,MIN($U156,300))),Reference!$A$6:$A$11,1))+1)-INDEX(Reference!$B$6:$B$11,MIN(5,MATCH(MAX(Reference!$A$6,MIN(Reference!$A$11,MIN($U156,300))),Reference!$A$6:$A$11,1))))/(INDEX(Reference!$A$6:$A$11,MIN(5,MATCH(MAX(Reference!$A$6,MIN(Reference!$A$11,MIN($U156,300))),Reference!$A$6:$A$11,1))+1)-INDEX(Reference!$A$6:$A$11,MIN(5,MATCH(MAX(Reference!$A$6,MIN(Reference!$A$11,MIN($U156,300))),Reference!$A$6:$A$11,1))))),0))/($AL156*($AL156+5)/2)),$AN156))</f>
        <v>0</v>
      </c>
      <c r="AN156" s="32">
        <f>IF($U156="",0,(INDEX(Reference!$B$6:$B$11,MIN(5,MATCH(MAX(Reference!$A$6,MIN(Reference!$A$11,$U156)),Reference!$A$6:$A$11,1)))+(MAX(Reference!$A$6,MIN(Reference!$A$11,$U156))-INDEX(Reference!$A$6:$A$11,MIN(5,MATCH(MAX(Reference!$A$6,MIN(Reference!$A$11,$U156)),Reference!$A$6:$A$11,1))))*(INDEX(Reference!$B$6:$B$11,MIN(5,MATCH(MAX(Reference!$A$6,MIN(Reference!$A$11,$U156)),Reference!$A$6:$A$11,1))+1)-INDEX(Reference!$B$6:$B$11,MIN(5,MATCH(MAX(Reference!$A$6,MIN(Reference!$A$11,$U156)),Reference!$A$6:$A$11,1))))/(INDEX(Reference!$A$6:$A$11,MIN(5,MATCH(MAX(Reference!$A$6,MIN(Reference!$A$11,$U156)),Reference!$A$6:$A$11,1))+1)-INDEX(Reference!$A$6:$A$11,MIN(5,MATCH(MAX(Reference!$A$6,MIN(Reference!$A$11,$U156)),Reference!$A$6:$A$11,1))))))</f>
        <v>0</v>
      </c>
      <c r="AO156" s="37"/>
      <c r="AP156" s="37"/>
      <c r="AQ156" s="37"/>
    </row>
    <row r="157" spans="1:43" x14ac:dyDescent="0.3">
      <c r="A157" s="48" t="str">
        <f t="shared" si="80"/>
        <v/>
      </c>
      <c r="B157" s="32" t="str">
        <f t="shared" si="81"/>
        <v/>
      </c>
      <c r="C157" s="32" t="str">
        <f t="shared" si="82"/>
        <v/>
      </c>
      <c r="D157" s="32" t="str">
        <f t="shared" si="83"/>
        <v/>
      </c>
      <c r="E157" s="32" t="str">
        <f t="shared" si="84"/>
        <v/>
      </c>
      <c r="F157" s="32" t="str">
        <f t="shared" si="85"/>
        <v/>
      </c>
      <c r="G157" s="47" t="str">
        <f t="shared" si="86"/>
        <v/>
      </c>
      <c r="H157" s="30" t="str">
        <f t="shared" si="87"/>
        <v/>
      </c>
      <c r="I157" s="46" t="str">
        <f>IF($A157="","",IF(AND($L157&lt;27,$K$12=0),"Building",IFERROR(((SUM($H$151:$H157)+$K$12*IF($L157&lt;6,SUMIFS('Throw Log'!$Q$5:$Q$300,'Throw Log'!$B$5:$B$300,$D$4,'Throw Log'!$A$5:$A$300,"&gt;="&amp;($D$6+$L157-6),'Throw Log'!$A$5:$A$300,"&lt;="&amp;($D$6-1)),0))/7)/((SUM($H$130:$H157)+$K$12*IF($L157&lt;27,SUMIFS('Throw Log'!$Q$5:$Q$300,'Throw Log'!$B$5:$B$300,$D$4,'Throw Log'!$A$5:$A$300,"&gt;="&amp;($D$6+$L157-27),'Throw Log'!$A$5:$A$300,"&lt;="&amp;($D$6-1)),0))/28),"")))</f>
        <v/>
      </c>
      <c r="J157" s="37"/>
      <c r="K157" s="37"/>
      <c r="L157" s="32">
        <v>114</v>
      </c>
      <c r="M157" s="32">
        <f t="shared" si="88"/>
        <v>17</v>
      </c>
      <c r="N157" s="32">
        <f t="shared" si="89"/>
        <v>2</v>
      </c>
      <c r="O157" s="32">
        <f t="shared" si="90"/>
        <v>1</v>
      </c>
      <c r="P157" s="32" t="str">
        <f>IF(OR($A157="",N($C157)&lt;=7),"",$G$6*$G$9^($M157-1)*IF(AND(MOD($M157,Reference!$B$99)=0,$M157&lt;=$G$5-2),Reference!$B$100,1))</f>
        <v/>
      </c>
      <c r="Q157" s="32" t="str">
        <f>IF($P157="","",IF(SUM($AK$155:$AK$161)=0,0,$P157*INDEX(Reference!$B$108:$B$114,$N157+1)/SUM($AK$155:$AK$161)))</f>
        <v/>
      </c>
      <c r="R157" s="32">
        <f t="shared" si="91"/>
        <v>180</v>
      </c>
      <c r="S157" s="32">
        <f t="shared" si="92"/>
        <v>150</v>
      </c>
      <c r="T157" s="32" t="str">
        <f>IF($A157="","",IF($C157=0,"Bullpen",IF(OR($C157=7,$C157=1,$C157=5),"Recovery/Easy Catch",IF($C157=6,"Compression/Pulldowns",IF(OR($C157=4,$C157=2),"Long Toss",IF($C157=3,"No Throw",IF($N157=2,"No Throw",IF($N157=6,IF($O157&lt;Reference!$B$104,"No Throw","Recovery/Easy Catch"),IF(OR($N157=0,$N157=4),"Recovery/Easy Catch",IF($N157=1,IF($R157&gt;75,"Long Toss","Recovery/Easy Catch"),IF($N157=3,IF($O157&lt;0.5,IF($S157&gt;75,"Long Toss","Recovery/Easy Catch"),"Compression/Pulldowns"),IF($S157&gt;75,"Long Toss","Recovery/Easy Catch"))))))))))))</f>
        <v/>
      </c>
      <c r="U157" s="32" t="str">
        <f t="shared" si="93"/>
        <v/>
      </c>
      <c r="V157" s="32" t="str">
        <f t="shared" si="94"/>
        <v/>
      </c>
      <c r="W157" s="32" t="str">
        <f t="shared" si="95"/>
        <v/>
      </c>
      <c r="X157" s="32">
        <f t="shared" si="96"/>
        <v>0</v>
      </c>
      <c r="Y157" s="32" t="str">
        <f t="shared" si="97"/>
        <v/>
      </c>
      <c r="Z157" s="32" t="str">
        <f t="shared" si="98"/>
        <v/>
      </c>
      <c r="AA157" s="32" t="str">
        <f t="shared" si="99"/>
        <v/>
      </c>
      <c r="AB157" s="32" t="str">
        <f>IF($A157="","",IF($T157="No Throw",0,IF($K157&lt;&gt;"",$K157,IF($AA157&lt;&gt;"",ROUND($AA157*$D$12*IF($C157=0,1,$G$10),0),MIN(IF($T157="Recovery/Easy Catch",Reference!$B$103,IF($T157="Long Toss",Reference!$B$106,Reference!$B$102)),MAX(Reference!$B$101,ROUND(MAX(0,$Q157-$AE157)/$AF157,0)))))))</f>
        <v/>
      </c>
      <c r="AC157" s="32">
        <f t="shared" si="100"/>
        <v>0</v>
      </c>
      <c r="AD157" s="32" t="b">
        <f t="shared" si="101"/>
        <v>1</v>
      </c>
      <c r="AE157" s="32">
        <f>IF($X157=0,0,$X157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157+$Z157)/2,0),Reference!$A$17:$B$20,2,TRUE()))</f>
        <v>0</v>
      </c>
      <c r="AF157" s="32">
        <f>IF(OR($A157="",$U157="",$T157="No Throw"),0,$AM157*VLOOKUP(MAX(($V157+$W157)/2,0),Reference!$A$17:$B$20,2,TRUE()))</f>
        <v>0</v>
      </c>
      <c r="AG157" s="32">
        <f>IF($AC157=0,0,$AC157*INDEX(Reference!$B$61:$B$62,MATCH("Bullpen",Reference!$A$61:$A$62,0))*VLOOKUP(MAX($D$5-($D$9+$E$9)/2,0),Reference!$A$17:$B$20,2,TRUE()))</f>
        <v>0</v>
      </c>
      <c r="AH157" s="32" t="e">
        <f t="shared" si="102"/>
        <v>#N/A</v>
      </c>
      <c r="AI157" s="32" t="e">
        <f>IF($A157="",NA(),Reference!$A$25)</f>
        <v>#N/A</v>
      </c>
      <c r="AJ157" s="32" t="e">
        <f t="shared" si="103"/>
        <v>#N/A</v>
      </c>
      <c r="AK157" s="32">
        <f>IF(OR($A157="",N($C157)&lt;=7,$T157="No Throw",$J157="x"),0,INDEX(Reference!$B$108:$B$114,$N157+1))</f>
        <v>0</v>
      </c>
      <c r="AL157" s="32">
        <f t="shared" si="104"/>
        <v>1</v>
      </c>
      <c r="AM157" s="32">
        <f>IF($U157="",0,IF($AL157&gt;1,((IF(1&lt;=$AL157,($AL157-1+3)*(INDEX(Reference!$B$6:$B$11,MIN(5,MATCH(MAX(Reference!$A$6,MIN(Reference!$A$11,MIN($U157,90))),Reference!$A$6:$A$11,1)))+(MAX(Reference!$A$6,MIN(Reference!$A$11,MIN($U157,90)))-INDEX(Reference!$A$6:$A$11,MIN(5,MATCH(MAX(Reference!$A$6,MIN(Reference!$A$11,MIN($U157,90))),Reference!$A$6:$A$11,1))))*(INDEX(Reference!$B$6:$B$11,MIN(5,MATCH(MAX(Reference!$A$6,MIN(Reference!$A$11,MIN($U157,90))),Reference!$A$6:$A$11,1))+1)-INDEX(Reference!$B$6:$B$11,MIN(5,MATCH(MAX(Reference!$A$6,MIN(Reference!$A$11,MIN($U157,90))),Reference!$A$6:$A$11,1))))/(INDEX(Reference!$A$6:$A$11,MIN(5,MATCH(MAX(Reference!$A$6,MIN(Reference!$A$11,MIN($U157,90))),Reference!$A$6:$A$11,1))+1)-INDEX(Reference!$A$6:$A$11,MIN(5,MATCH(MAX(Reference!$A$6,MIN(Reference!$A$11,MIN($U157,90))),Reference!$A$6:$A$11,1))))),0)+IF(2&lt;=$AL157,($AL157-2+3)*(INDEX(Reference!$B$6:$B$11,MIN(5,MATCH(MAX(Reference!$A$6,MIN(Reference!$A$11,MIN($U157,120))),Reference!$A$6:$A$11,1)))+(MAX(Reference!$A$6,MIN(Reference!$A$11,MIN($U157,120)))-INDEX(Reference!$A$6:$A$11,MIN(5,MATCH(MAX(Reference!$A$6,MIN(Reference!$A$11,MIN($U157,120))),Reference!$A$6:$A$11,1))))*(INDEX(Reference!$B$6:$B$11,MIN(5,MATCH(MAX(Reference!$A$6,MIN(Reference!$A$11,MIN($U157,120))),Reference!$A$6:$A$11,1))+1)-INDEX(Reference!$B$6:$B$11,MIN(5,MATCH(MAX(Reference!$A$6,MIN(Reference!$A$11,MIN($U157,120))),Reference!$A$6:$A$11,1))))/(INDEX(Reference!$A$6:$A$11,MIN(5,MATCH(MAX(Reference!$A$6,MIN(Reference!$A$11,MIN($U157,120))),Reference!$A$6:$A$11,1))+1)-INDEX(Reference!$A$6:$A$11,MIN(5,MATCH(MAX(Reference!$A$6,MIN(Reference!$A$11,MIN($U157,120))),Reference!$A$6:$A$11,1))))),0)+IF(3&lt;=$AL157,($AL157-3+3)*(INDEX(Reference!$B$6:$B$11,MIN(5,MATCH(MAX(Reference!$A$6,MIN(Reference!$A$11,MIN($U157,150))),Reference!$A$6:$A$11,1)))+(MAX(Reference!$A$6,MIN(Reference!$A$11,MIN($U157,150)))-INDEX(Reference!$A$6:$A$11,MIN(5,MATCH(MAX(Reference!$A$6,MIN(Reference!$A$11,MIN($U157,150))),Reference!$A$6:$A$11,1))))*(INDEX(Reference!$B$6:$B$11,MIN(5,MATCH(MAX(Reference!$A$6,MIN(Reference!$A$11,MIN($U157,150))),Reference!$A$6:$A$11,1))+1)-INDEX(Reference!$B$6:$B$11,MIN(5,MATCH(MAX(Reference!$A$6,MIN(Reference!$A$11,MIN($U157,150))),Reference!$A$6:$A$11,1))))/(INDEX(Reference!$A$6:$A$11,MIN(5,MATCH(MAX(Reference!$A$6,MIN(Reference!$A$11,MIN($U157,150))),Reference!$A$6:$A$11,1))+1)-INDEX(Reference!$A$6:$A$11,MIN(5,MATCH(MAX(Reference!$A$6,MIN(Reference!$A$11,MIN($U157,150))),Reference!$A$6:$A$11,1))))),0)+IF(4&lt;=$AL157,($AL157-4+3)*(INDEX(Reference!$B$6:$B$11,MIN(5,MATCH(MAX(Reference!$A$6,MIN(Reference!$A$11,MIN($U157,180))),Reference!$A$6:$A$11,1)))+(MAX(Reference!$A$6,MIN(Reference!$A$11,MIN($U157,180)))-INDEX(Reference!$A$6:$A$11,MIN(5,MATCH(MAX(Reference!$A$6,MIN(Reference!$A$11,MIN($U157,180))),Reference!$A$6:$A$11,1))))*(INDEX(Reference!$B$6:$B$11,MIN(5,MATCH(MAX(Reference!$A$6,MIN(Reference!$A$11,MIN($U157,180))),Reference!$A$6:$A$11,1))+1)-INDEX(Reference!$B$6:$B$11,MIN(5,MATCH(MAX(Reference!$A$6,MIN(Reference!$A$11,MIN($U157,180))),Reference!$A$6:$A$11,1))))/(INDEX(Reference!$A$6:$A$11,MIN(5,MATCH(MAX(Reference!$A$6,MIN(Reference!$A$11,MIN($U157,180))),Reference!$A$6:$A$11,1))+1)-INDEX(Reference!$A$6:$A$11,MIN(5,MATCH(MAX(Reference!$A$6,MIN(Reference!$A$11,MIN($U157,180))),Reference!$A$6:$A$11,1))))),0)+IF(5&lt;=$AL157,($AL157-5+3)*(INDEX(Reference!$B$6:$B$11,MIN(5,MATCH(MAX(Reference!$A$6,MIN(Reference!$A$11,MIN($U157,210))),Reference!$A$6:$A$11,1)))+(MAX(Reference!$A$6,MIN(Reference!$A$11,MIN($U157,210)))-INDEX(Reference!$A$6:$A$11,MIN(5,MATCH(MAX(Reference!$A$6,MIN(Reference!$A$11,MIN($U157,210))),Reference!$A$6:$A$11,1))))*(INDEX(Reference!$B$6:$B$11,MIN(5,MATCH(MAX(Reference!$A$6,MIN(Reference!$A$11,MIN($U157,210))),Reference!$A$6:$A$11,1))+1)-INDEX(Reference!$B$6:$B$11,MIN(5,MATCH(MAX(Reference!$A$6,MIN(Reference!$A$11,MIN($U157,210))),Reference!$A$6:$A$11,1))))/(INDEX(Reference!$A$6:$A$11,MIN(5,MATCH(MAX(Reference!$A$6,MIN(Reference!$A$11,MIN($U157,210))),Reference!$A$6:$A$11,1))+1)-INDEX(Reference!$A$6:$A$11,MIN(5,MATCH(MAX(Reference!$A$6,MIN(Reference!$A$11,MIN($U157,210))),Reference!$A$6:$A$11,1))))),0)+IF(6&lt;=$AL157,($AL157-6+3)*(INDEX(Reference!$B$6:$B$11,MIN(5,MATCH(MAX(Reference!$A$6,MIN(Reference!$A$11,MIN($U157,240))),Reference!$A$6:$A$11,1)))+(MAX(Reference!$A$6,MIN(Reference!$A$11,MIN($U157,240)))-INDEX(Reference!$A$6:$A$11,MIN(5,MATCH(MAX(Reference!$A$6,MIN(Reference!$A$11,MIN($U157,240))),Reference!$A$6:$A$11,1))))*(INDEX(Reference!$B$6:$B$11,MIN(5,MATCH(MAX(Reference!$A$6,MIN(Reference!$A$11,MIN($U157,240))),Reference!$A$6:$A$11,1))+1)-INDEX(Reference!$B$6:$B$11,MIN(5,MATCH(MAX(Reference!$A$6,MIN(Reference!$A$11,MIN($U157,240))),Reference!$A$6:$A$11,1))))/(INDEX(Reference!$A$6:$A$11,MIN(5,MATCH(MAX(Reference!$A$6,MIN(Reference!$A$11,MIN($U157,240))),Reference!$A$6:$A$11,1))+1)-INDEX(Reference!$A$6:$A$11,MIN(5,MATCH(MAX(Reference!$A$6,MIN(Reference!$A$11,MIN($U157,240))),Reference!$A$6:$A$11,1))))),0)+IF(7&lt;=$AL157,($AL157-7+3)*(INDEX(Reference!$B$6:$B$11,MIN(5,MATCH(MAX(Reference!$A$6,MIN(Reference!$A$11,MIN($U157,270))),Reference!$A$6:$A$11,1)))+(MAX(Reference!$A$6,MIN(Reference!$A$11,MIN($U157,270)))-INDEX(Reference!$A$6:$A$11,MIN(5,MATCH(MAX(Reference!$A$6,MIN(Reference!$A$11,MIN($U157,270))),Reference!$A$6:$A$11,1))))*(INDEX(Reference!$B$6:$B$11,MIN(5,MATCH(MAX(Reference!$A$6,MIN(Reference!$A$11,MIN($U157,270))),Reference!$A$6:$A$11,1))+1)-INDEX(Reference!$B$6:$B$11,MIN(5,MATCH(MAX(Reference!$A$6,MIN(Reference!$A$11,MIN($U157,270))),Reference!$A$6:$A$11,1))))/(INDEX(Reference!$A$6:$A$11,MIN(5,MATCH(MAX(Reference!$A$6,MIN(Reference!$A$11,MIN($U157,270))),Reference!$A$6:$A$11,1))+1)-INDEX(Reference!$A$6:$A$11,MIN(5,MATCH(MAX(Reference!$A$6,MIN(Reference!$A$11,MIN($U157,270))),Reference!$A$6:$A$11,1))))),0)+IF(8&lt;=$AL157,($AL157-8+3)*(INDEX(Reference!$B$6:$B$11,MIN(5,MATCH(MAX(Reference!$A$6,MIN(Reference!$A$11,MIN($U157,300))),Reference!$A$6:$A$11,1)))+(MAX(Reference!$A$6,MIN(Reference!$A$11,MIN($U157,300)))-INDEX(Reference!$A$6:$A$11,MIN(5,MATCH(MAX(Reference!$A$6,MIN(Reference!$A$11,MIN($U157,300))),Reference!$A$6:$A$11,1))))*(INDEX(Reference!$B$6:$B$11,MIN(5,MATCH(MAX(Reference!$A$6,MIN(Reference!$A$11,MIN($U157,300))),Reference!$A$6:$A$11,1))+1)-INDEX(Reference!$B$6:$B$11,MIN(5,MATCH(MAX(Reference!$A$6,MIN(Reference!$A$11,MIN($U157,300))),Reference!$A$6:$A$11,1))))/(INDEX(Reference!$A$6:$A$11,MIN(5,MATCH(MAX(Reference!$A$6,MIN(Reference!$A$11,MIN($U157,300))),Reference!$A$6:$A$11,1))+1)-INDEX(Reference!$A$6:$A$11,MIN(5,MATCH(MAX(Reference!$A$6,MIN(Reference!$A$11,MIN($U157,300))),Reference!$A$6:$A$11,1))))),0))/($AL157*($AL157+5)/2)),$AN157))</f>
        <v>0</v>
      </c>
      <c r="AN157" s="32">
        <f>IF($U157="",0,(INDEX(Reference!$B$6:$B$11,MIN(5,MATCH(MAX(Reference!$A$6,MIN(Reference!$A$11,$U157)),Reference!$A$6:$A$11,1)))+(MAX(Reference!$A$6,MIN(Reference!$A$11,$U157))-INDEX(Reference!$A$6:$A$11,MIN(5,MATCH(MAX(Reference!$A$6,MIN(Reference!$A$11,$U157)),Reference!$A$6:$A$11,1))))*(INDEX(Reference!$B$6:$B$11,MIN(5,MATCH(MAX(Reference!$A$6,MIN(Reference!$A$11,$U157)),Reference!$A$6:$A$11,1))+1)-INDEX(Reference!$B$6:$B$11,MIN(5,MATCH(MAX(Reference!$A$6,MIN(Reference!$A$11,$U157)),Reference!$A$6:$A$11,1))))/(INDEX(Reference!$A$6:$A$11,MIN(5,MATCH(MAX(Reference!$A$6,MIN(Reference!$A$11,$U157)),Reference!$A$6:$A$11,1))+1)-INDEX(Reference!$A$6:$A$11,MIN(5,MATCH(MAX(Reference!$A$6,MIN(Reference!$A$11,$U157)),Reference!$A$6:$A$11,1))))))</f>
        <v>0</v>
      </c>
      <c r="AO157" s="37"/>
      <c r="AP157" s="37"/>
      <c r="AQ157" s="37"/>
    </row>
    <row r="158" spans="1:43" x14ac:dyDescent="0.3">
      <c r="A158" s="48" t="str">
        <f t="shared" si="80"/>
        <v/>
      </c>
      <c r="B158" s="32" t="str">
        <f t="shared" si="81"/>
        <v/>
      </c>
      <c r="C158" s="32" t="str">
        <f t="shared" si="82"/>
        <v/>
      </c>
      <c r="D158" s="32" t="str">
        <f t="shared" si="83"/>
        <v/>
      </c>
      <c r="E158" s="32" t="str">
        <f t="shared" si="84"/>
        <v/>
      </c>
      <c r="F158" s="32" t="str">
        <f t="shared" si="85"/>
        <v/>
      </c>
      <c r="G158" s="47" t="str">
        <f t="shared" si="86"/>
        <v/>
      </c>
      <c r="H158" s="30" t="str">
        <f t="shared" si="87"/>
        <v/>
      </c>
      <c r="I158" s="46" t="str">
        <f>IF($A158="","",IF(AND($L158&lt;27,$K$12=0),"Building",IFERROR(((SUM($H$152:$H158)+$K$12*IF($L158&lt;6,SUMIFS('Throw Log'!$Q$5:$Q$300,'Throw Log'!$B$5:$B$300,$D$4,'Throw Log'!$A$5:$A$300,"&gt;="&amp;($D$6+$L158-6),'Throw Log'!$A$5:$A$300,"&lt;="&amp;($D$6-1)),0))/7)/((SUM($H$131:$H158)+$K$12*IF($L158&lt;27,SUMIFS('Throw Log'!$Q$5:$Q$300,'Throw Log'!$B$5:$B$300,$D$4,'Throw Log'!$A$5:$A$300,"&gt;="&amp;($D$6+$L158-27),'Throw Log'!$A$5:$A$300,"&lt;="&amp;($D$6-1)),0))/28),"")))</f>
        <v/>
      </c>
      <c r="J158" s="37"/>
      <c r="K158" s="37"/>
      <c r="L158" s="32">
        <v>115</v>
      </c>
      <c r="M158" s="32">
        <f t="shared" si="88"/>
        <v>17</v>
      </c>
      <c r="N158" s="32">
        <f t="shared" si="89"/>
        <v>3</v>
      </c>
      <c r="O158" s="32">
        <f t="shared" si="90"/>
        <v>1</v>
      </c>
      <c r="P158" s="32" t="str">
        <f>IF(OR($A158="",N($C158)&lt;=7),"",$G$6*$G$9^($M158-1)*IF(AND(MOD($M158,Reference!$B$99)=0,$M158&lt;=$G$5-2),Reference!$B$100,1))</f>
        <v/>
      </c>
      <c r="Q158" s="32" t="str">
        <f>IF($P158="","",IF(SUM($AK$155:$AK$161)=0,0,$P158*INDEX(Reference!$B$108:$B$114,$N158+1)/SUM($AK$155:$AK$161)))</f>
        <v/>
      </c>
      <c r="R158" s="32">
        <f t="shared" si="91"/>
        <v>180</v>
      </c>
      <c r="S158" s="32">
        <f t="shared" si="92"/>
        <v>150</v>
      </c>
      <c r="T158" s="32" t="str">
        <f>IF($A158="","",IF($C158=0,"Bullpen",IF(OR($C158=7,$C158=1,$C158=5),"Recovery/Easy Catch",IF($C158=6,"Compression/Pulldowns",IF(OR($C158=4,$C158=2),"Long Toss",IF($C158=3,"No Throw",IF($N158=2,"No Throw",IF($N158=6,IF($O158&lt;Reference!$B$104,"No Throw","Recovery/Easy Catch"),IF(OR($N158=0,$N158=4),"Recovery/Easy Catch",IF($N158=1,IF($R158&gt;75,"Long Toss","Recovery/Easy Catch"),IF($N158=3,IF($O158&lt;0.5,IF($S158&gt;75,"Long Toss","Recovery/Easy Catch"),"Compression/Pulldowns"),IF($S158&gt;75,"Long Toss","Recovery/Easy Catch"))))))))))))</f>
        <v/>
      </c>
      <c r="U158" s="32" t="str">
        <f t="shared" si="93"/>
        <v/>
      </c>
      <c r="V158" s="32" t="str">
        <f t="shared" si="94"/>
        <v/>
      </c>
      <c r="W158" s="32" t="str">
        <f t="shared" si="95"/>
        <v/>
      </c>
      <c r="X158" s="32">
        <f t="shared" si="96"/>
        <v>0</v>
      </c>
      <c r="Y158" s="32" t="str">
        <f t="shared" si="97"/>
        <v/>
      </c>
      <c r="Z158" s="32" t="str">
        <f t="shared" si="98"/>
        <v/>
      </c>
      <c r="AA158" s="32" t="str">
        <f t="shared" si="99"/>
        <v/>
      </c>
      <c r="AB158" s="32" t="str">
        <f>IF($A158="","",IF($T158="No Throw",0,IF($K158&lt;&gt;"",$K158,IF($AA158&lt;&gt;"",ROUND($AA158*$D$12*IF($C158=0,1,$G$10),0),MIN(IF($T158="Recovery/Easy Catch",Reference!$B$103,IF($T158="Long Toss",Reference!$B$106,Reference!$B$102)),MAX(Reference!$B$101,ROUND(MAX(0,$Q158-$AE158)/$AF158,0)))))))</f>
        <v/>
      </c>
      <c r="AC158" s="32">
        <f t="shared" si="100"/>
        <v>0</v>
      </c>
      <c r="AD158" s="32" t="b">
        <f t="shared" si="101"/>
        <v>1</v>
      </c>
      <c r="AE158" s="32">
        <f>IF($X158=0,0,$X158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158+$Z158)/2,0),Reference!$A$17:$B$20,2,TRUE()))</f>
        <v>0</v>
      </c>
      <c r="AF158" s="32">
        <f>IF(OR($A158="",$U158="",$T158="No Throw"),0,$AM158*VLOOKUP(MAX(($V158+$W158)/2,0),Reference!$A$17:$B$20,2,TRUE()))</f>
        <v>0</v>
      </c>
      <c r="AG158" s="32">
        <f>IF($AC158=0,0,$AC158*INDEX(Reference!$B$61:$B$62,MATCH("Bullpen",Reference!$A$61:$A$62,0))*VLOOKUP(MAX($D$5-($D$9+$E$9)/2,0),Reference!$A$17:$B$20,2,TRUE()))</f>
        <v>0</v>
      </c>
      <c r="AH158" s="32" t="e">
        <f t="shared" si="102"/>
        <v>#N/A</v>
      </c>
      <c r="AI158" s="32" t="e">
        <f>IF($A158="",NA(),Reference!$A$25)</f>
        <v>#N/A</v>
      </c>
      <c r="AJ158" s="32" t="e">
        <f t="shared" si="103"/>
        <v>#N/A</v>
      </c>
      <c r="AK158" s="32">
        <f>IF(OR($A158="",N($C158)&lt;=7,$T158="No Throw",$J158="x"),0,INDEX(Reference!$B$108:$B$114,$N158+1))</f>
        <v>0</v>
      </c>
      <c r="AL158" s="32">
        <f t="shared" si="104"/>
        <v>1</v>
      </c>
      <c r="AM158" s="32">
        <f>IF($U158="",0,IF($AL158&gt;1,((IF(1&lt;=$AL158,($AL158-1+3)*(INDEX(Reference!$B$6:$B$11,MIN(5,MATCH(MAX(Reference!$A$6,MIN(Reference!$A$11,MIN($U158,90))),Reference!$A$6:$A$11,1)))+(MAX(Reference!$A$6,MIN(Reference!$A$11,MIN($U158,90)))-INDEX(Reference!$A$6:$A$11,MIN(5,MATCH(MAX(Reference!$A$6,MIN(Reference!$A$11,MIN($U158,90))),Reference!$A$6:$A$11,1))))*(INDEX(Reference!$B$6:$B$11,MIN(5,MATCH(MAX(Reference!$A$6,MIN(Reference!$A$11,MIN($U158,90))),Reference!$A$6:$A$11,1))+1)-INDEX(Reference!$B$6:$B$11,MIN(5,MATCH(MAX(Reference!$A$6,MIN(Reference!$A$11,MIN($U158,90))),Reference!$A$6:$A$11,1))))/(INDEX(Reference!$A$6:$A$11,MIN(5,MATCH(MAX(Reference!$A$6,MIN(Reference!$A$11,MIN($U158,90))),Reference!$A$6:$A$11,1))+1)-INDEX(Reference!$A$6:$A$11,MIN(5,MATCH(MAX(Reference!$A$6,MIN(Reference!$A$11,MIN($U158,90))),Reference!$A$6:$A$11,1))))),0)+IF(2&lt;=$AL158,($AL158-2+3)*(INDEX(Reference!$B$6:$B$11,MIN(5,MATCH(MAX(Reference!$A$6,MIN(Reference!$A$11,MIN($U158,120))),Reference!$A$6:$A$11,1)))+(MAX(Reference!$A$6,MIN(Reference!$A$11,MIN($U158,120)))-INDEX(Reference!$A$6:$A$11,MIN(5,MATCH(MAX(Reference!$A$6,MIN(Reference!$A$11,MIN($U158,120))),Reference!$A$6:$A$11,1))))*(INDEX(Reference!$B$6:$B$11,MIN(5,MATCH(MAX(Reference!$A$6,MIN(Reference!$A$11,MIN($U158,120))),Reference!$A$6:$A$11,1))+1)-INDEX(Reference!$B$6:$B$11,MIN(5,MATCH(MAX(Reference!$A$6,MIN(Reference!$A$11,MIN($U158,120))),Reference!$A$6:$A$11,1))))/(INDEX(Reference!$A$6:$A$11,MIN(5,MATCH(MAX(Reference!$A$6,MIN(Reference!$A$11,MIN($U158,120))),Reference!$A$6:$A$11,1))+1)-INDEX(Reference!$A$6:$A$11,MIN(5,MATCH(MAX(Reference!$A$6,MIN(Reference!$A$11,MIN($U158,120))),Reference!$A$6:$A$11,1))))),0)+IF(3&lt;=$AL158,($AL158-3+3)*(INDEX(Reference!$B$6:$B$11,MIN(5,MATCH(MAX(Reference!$A$6,MIN(Reference!$A$11,MIN($U158,150))),Reference!$A$6:$A$11,1)))+(MAX(Reference!$A$6,MIN(Reference!$A$11,MIN($U158,150)))-INDEX(Reference!$A$6:$A$11,MIN(5,MATCH(MAX(Reference!$A$6,MIN(Reference!$A$11,MIN($U158,150))),Reference!$A$6:$A$11,1))))*(INDEX(Reference!$B$6:$B$11,MIN(5,MATCH(MAX(Reference!$A$6,MIN(Reference!$A$11,MIN($U158,150))),Reference!$A$6:$A$11,1))+1)-INDEX(Reference!$B$6:$B$11,MIN(5,MATCH(MAX(Reference!$A$6,MIN(Reference!$A$11,MIN($U158,150))),Reference!$A$6:$A$11,1))))/(INDEX(Reference!$A$6:$A$11,MIN(5,MATCH(MAX(Reference!$A$6,MIN(Reference!$A$11,MIN($U158,150))),Reference!$A$6:$A$11,1))+1)-INDEX(Reference!$A$6:$A$11,MIN(5,MATCH(MAX(Reference!$A$6,MIN(Reference!$A$11,MIN($U158,150))),Reference!$A$6:$A$11,1))))),0)+IF(4&lt;=$AL158,($AL158-4+3)*(INDEX(Reference!$B$6:$B$11,MIN(5,MATCH(MAX(Reference!$A$6,MIN(Reference!$A$11,MIN($U158,180))),Reference!$A$6:$A$11,1)))+(MAX(Reference!$A$6,MIN(Reference!$A$11,MIN($U158,180)))-INDEX(Reference!$A$6:$A$11,MIN(5,MATCH(MAX(Reference!$A$6,MIN(Reference!$A$11,MIN($U158,180))),Reference!$A$6:$A$11,1))))*(INDEX(Reference!$B$6:$B$11,MIN(5,MATCH(MAX(Reference!$A$6,MIN(Reference!$A$11,MIN($U158,180))),Reference!$A$6:$A$11,1))+1)-INDEX(Reference!$B$6:$B$11,MIN(5,MATCH(MAX(Reference!$A$6,MIN(Reference!$A$11,MIN($U158,180))),Reference!$A$6:$A$11,1))))/(INDEX(Reference!$A$6:$A$11,MIN(5,MATCH(MAX(Reference!$A$6,MIN(Reference!$A$11,MIN($U158,180))),Reference!$A$6:$A$11,1))+1)-INDEX(Reference!$A$6:$A$11,MIN(5,MATCH(MAX(Reference!$A$6,MIN(Reference!$A$11,MIN($U158,180))),Reference!$A$6:$A$11,1))))),0)+IF(5&lt;=$AL158,($AL158-5+3)*(INDEX(Reference!$B$6:$B$11,MIN(5,MATCH(MAX(Reference!$A$6,MIN(Reference!$A$11,MIN($U158,210))),Reference!$A$6:$A$11,1)))+(MAX(Reference!$A$6,MIN(Reference!$A$11,MIN($U158,210)))-INDEX(Reference!$A$6:$A$11,MIN(5,MATCH(MAX(Reference!$A$6,MIN(Reference!$A$11,MIN($U158,210))),Reference!$A$6:$A$11,1))))*(INDEX(Reference!$B$6:$B$11,MIN(5,MATCH(MAX(Reference!$A$6,MIN(Reference!$A$11,MIN($U158,210))),Reference!$A$6:$A$11,1))+1)-INDEX(Reference!$B$6:$B$11,MIN(5,MATCH(MAX(Reference!$A$6,MIN(Reference!$A$11,MIN($U158,210))),Reference!$A$6:$A$11,1))))/(INDEX(Reference!$A$6:$A$11,MIN(5,MATCH(MAX(Reference!$A$6,MIN(Reference!$A$11,MIN($U158,210))),Reference!$A$6:$A$11,1))+1)-INDEX(Reference!$A$6:$A$11,MIN(5,MATCH(MAX(Reference!$A$6,MIN(Reference!$A$11,MIN($U158,210))),Reference!$A$6:$A$11,1))))),0)+IF(6&lt;=$AL158,($AL158-6+3)*(INDEX(Reference!$B$6:$B$11,MIN(5,MATCH(MAX(Reference!$A$6,MIN(Reference!$A$11,MIN($U158,240))),Reference!$A$6:$A$11,1)))+(MAX(Reference!$A$6,MIN(Reference!$A$11,MIN($U158,240)))-INDEX(Reference!$A$6:$A$11,MIN(5,MATCH(MAX(Reference!$A$6,MIN(Reference!$A$11,MIN($U158,240))),Reference!$A$6:$A$11,1))))*(INDEX(Reference!$B$6:$B$11,MIN(5,MATCH(MAX(Reference!$A$6,MIN(Reference!$A$11,MIN($U158,240))),Reference!$A$6:$A$11,1))+1)-INDEX(Reference!$B$6:$B$11,MIN(5,MATCH(MAX(Reference!$A$6,MIN(Reference!$A$11,MIN($U158,240))),Reference!$A$6:$A$11,1))))/(INDEX(Reference!$A$6:$A$11,MIN(5,MATCH(MAX(Reference!$A$6,MIN(Reference!$A$11,MIN($U158,240))),Reference!$A$6:$A$11,1))+1)-INDEX(Reference!$A$6:$A$11,MIN(5,MATCH(MAX(Reference!$A$6,MIN(Reference!$A$11,MIN($U158,240))),Reference!$A$6:$A$11,1))))),0)+IF(7&lt;=$AL158,($AL158-7+3)*(INDEX(Reference!$B$6:$B$11,MIN(5,MATCH(MAX(Reference!$A$6,MIN(Reference!$A$11,MIN($U158,270))),Reference!$A$6:$A$11,1)))+(MAX(Reference!$A$6,MIN(Reference!$A$11,MIN($U158,270)))-INDEX(Reference!$A$6:$A$11,MIN(5,MATCH(MAX(Reference!$A$6,MIN(Reference!$A$11,MIN($U158,270))),Reference!$A$6:$A$11,1))))*(INDEX(Reference!$B$6:$B$11,MIN(5,MATCH(MAX(Reference!$A$6,MIN(Reference!$A$11,MIN($U158,270))),Reference!$A$6:$A$11,1))+1)-INDEX(Reference!$B$6:$B$11,MIN(5,MATCH(MAX(Reference!$A$6,MIN(Reference!$A$11,MIN($U158,270))),Reference!$A$6:$A$11,1))))/(INDEX(Reference!$A$6:$A$11,MIN(5,MATCH(MAX(Reference!$A$6,MIN(Reference!$A$11,MIN($U158,270))),Reference!$A$6:$A$11,1))+1)-INDEX(Reference!$A$6:$A$11,MIN(5,MATCH(MAX(Reference!$A$6,MIN(Reference!$A$11,MIN($U158,270))),Reference!$A$6:$A$11,1))))),0)+IF(8&lt;=$AL158,($AL158-8+3)*(INDEX(Reference!$B$6:$B$11,MIN(5,MATCH(MAX(Reference!$A$6,MIN(Reference!$A$11,MIN($U158,300))),Reference!$A$6:$A$11,1)))+(MAX(Reference!$A$6,MIN(Reference!$A$11,MIN($U158,300)))-INDEX(Reference!$A$6:$A$11,MIN(5,MATCH(MAX(Reference!$A$6,MIN(Reference!$A$11,MIN($U158,300))),Reference!$A$6:$A$11,1))))*(INDEX(Reference!$B$6:$B$11,MIN(5,MATCH(MAX(Reference!$A$6,MIN(Reference!$A$11,MIN($U158,300))),Reference!$A$6:$A$11,1))+1)-INDEX(Reference!$B$6:$B$11,MIN(5,MATCH(MAX(Reference!$A$6,MIN(Reference!$A$11,MIN($U158,300))),Reference!$A$6:$A$11,1))))/(INDEX(Reference!$A$6:$A$11,MIN(5,MATCH(MAX(Reference!$A$6,MIN(Reference!$A$11,MIN($U158,300))),Reference!$A$6:$A$11,1))+1)-INDEX(Reference!$A$6:$A$11,MIN(5,MATCH(MAX(Reference!$A$6,MIN(Reference!$A$11,MIN($U158,300))),Reference!$A$6:$A$11,1))))),0))/($AL158*($AL158+5)/2)),$AN158))</f>
        <v>0</v>
      </c>
      <c r="AN158" s="32">
        <f>IF($U158="",0,(INDEX(Reference!$B$6:$B$11,MIN(5,MATCH(MAX(Reference!$A$6,MIN(Reference!$A$11,$U158)),Reference!$A$6:$A$11,1)))+(MAX(Reference!$A$6,MIN(Reference!$A$11,$U158))-INDEX(Reference!$A$6:$A$11,MIN(5,MATCH(MAX(Reference!$A$6,MIN(Reference!$A$11,$U158)),Reference!$A$6:$A$11,1))))*(INDEX(Reference!$B$6:$B$11,MIN(5,MATCH(MAX(Reference!$A$6,MIN(Reference!$A$11,$U158)),Reference!$A$6:$A$11,1))+1)-INDEX(Reference!$B$6:$B$11,MIN(5,MATCH(MAX(Reference!$A$6,MIN(Reference!$A$11,$U158)),Reference!$A$6:$A$11,1))))/(INDEX(Reference!$A$6:$A$11,MIN(5,MATCH(MAX(Reference!$A$6,MIN(Reference!$A$11,$U158)),Reference!$A$6:$A$11,1))+1)-INDEX(Reference!$A$6:$A$11,MIN(5,MATCH(MAX(Reference!$A$6,MIN(Reference!$A$11,$U158)),Reference!$A$6:$A$11,1))))))</f>
        <v>0</v>
      </c>
      <c r="AO158" s="37"/>
      <c r="AP158" s="37"/>
      <c r="AQ158" s="37"/>
    </row>
    <row r="159" spans="1:43" x14ac:dyDescent="0.3">
      <c r="A159" s="48" t="str">
        <f t="shared" si="80"/>
        <v/>
      </c>
      <c r="B159" s="32" t="str">
        <f t="shared" si="81"/>
        <v/>
      </c>
      <c r="C159" s="32" t="str">
        <f t="shared" si="82"/>
        <v/>
      </c>
      <c r="D159" s="32" t="str">
        <f t="shared" si="83"/>
        <v/>
      </c>
      <c r="E159" s="32" t="str">
        <f t="shared" si="84"/>
        <v/>
      </c>
      <c r="F159" s="32" t="str">
        <f t="shared" si="85"/>
        <v/>
      </c>
      <c r="G159" s="47" t="str">
        <f t="shared" si="86"/>
        <v/>
      </c>
      <c r="H159" s="30" t="str">
        <f t="shared" si="87"/>
        <v/>
      </c>
      <c r="I159" s="46" t="str">
        <f>IF($A159="","",IF(AND($L159&lt;27,$K$12=0),"Building",IFERROR(((SUM($H$153:$H159)+$K$12*IF($L159&lt;6,SUMIFS('Throw Log'!$Q$5:$Q$300,'Throw Log'!$B$5:$B$300,$D$4,'Throw Log'!$A$5:$A$300,"&gt;="&amp;($D$6+$L159-6),'Throw Log'!$A$5:$A$300,"&lt;="&amp;($D$6-1)),0))/7)/((SUM($H$132:$H159)+$K$12*IF($L159&lt;27,SUMIFS('Throw Log'!$Q$5:$Q$300,'Throw Log'!$B$5:$B$300,$D$4,'Throw Log'!$A$5:$A$300,"&gt;="&amp;($D$6+$L159-27),'Throw Log'!$A$5:$A$300,"&lt;="&amp;($D$6-1)),0))/28),"")))</f>
        <v/>
      </c>
      <c r="J159" s="37"/>
      <c r="K159" s="37"/>
      <c r="L159" s="32">
        <v>116</v>
      </c>
      <c r="M159" s="32">
        <f t="shared" si="88"/>
        <v>17</v>
      </c>
      <c r="N159" s="32">
        <f t="shared" si="89"/>
        <v>4</v>
      </c>
      <c r="O159" s="32">
        <f t="shared" si="90"/>
        <v>1</v>
      </c>
      <c r="P159" s="32" t="str">
        <f>IF(OR($A159="",N($C159)&lt;=7),"",$G$6*$G$9^($M159-1)*IF(AND(MOD($M159,Reference!$B$99)=0,$M159&lt;=$G$5-2),Reference!$B$100,1))</f>
        <v/>
      </c>
      <c r="Q159" s="32" t="str">
        <f>IF($P159="","",IF(SUM($AK$155:$AK$161)=0,0,$P159*INDEX(Reference!$B$108:$B$114,$N159+1)/SUM($AK$155:$AK$161)))</f>
        <v/>
      </c>
      <c r="R159" s="32">
        <f t="shared" si="91"/>
        <v>180</v>
      </c>
      <c r="S159" s="32">
        <f t="shared" si="92"/>
        <v>150</v>
      </c>
      <c r="T159" s="32" t="str">
        <f>IF($A159="","",IF($C159=0,"Bullpen",IF(OR($C159=7,$C159=1,$C159=5),"Recovery/Easy Catch",IF($C159=6,"Compression/Pulldowns",IF(OR($C159=4,$C159=2),"Long Toss",IF($C159=3,"No Throw",IF($N159=2,"No Throw",IF($N159=6,IF($O159&lt;Reference!$B$104,"No Throw","Recovery/Easy Catch"),IF(OR($N159=0,$N159=4),"Recovery/Easy Catch",IF($N159=1,IF($R159&gt;75,"Long Toss","Recovery/Easy Catch"),IF($N159=3,IF($O159&lt;0.5,IF($S159&gt;75,"Long Toss","Recovery/Easy Catch"),"Compression/Pulldowns"),IF($S159&gt;75,"Long Toss","Recovery/Easy Catch"))))))))))))</f>
        <v/>
      </c>
      <c r="U159" s="32" t="str">
        <f t="shared" si="93"/>
        <v/>
      </c>
      <c r="V159" s="32" t="str">
        <f t="shared" si="94"/>
        <v/>
      </c>
      <c r="W159" s="32" t="str">
        <f t="shared" si="95"/>
        <v/>
      </c>
      <c r="X159" s="32">
        <f t="shared" si="96"/>
        <v>0</v>
      </c>
      <c r="Y159" s="32" t="str">
        <f t="shared" si="97"/>
        <v/>
      </c>
      <c r="Z159" s="32" t="str">
        <f t="shared" si="98"/>
        <v/>
      </c>
      <c r="AA159" s="32" t="str">
        <f t="shared" si="99"/>
        <v/>
      </c>
      <c r="AB159" s="32" t="str">
        <f>IF($A159="","",IF($T159="No Throw",0,IF($K159&lt;&gt;"",$K159,IF($AA159&lt;&gt;"",ROUND($AA159*$D$12*IF($C159=0,1,$G$10),0),MIN(IF($T159="Recovery/Easy Catch",Reference!$B$103,IF($T159="Long Toss",Reference!$B$106,Reference!$B$102)),MAX(Reference!$B$101,ROUND(MAX(0,$Q159-$AE159)/$AF159,0)))))))</f>
        <v/>
      </c>
      <c r="AC159" s="32">
        <f t="shared" si="100"/>
        <v>0</v>
      </c>
      <c r="AD159" s="32" t="b">
        <f t="shared" si="101"/>
        <v>1</v>
      </c>
      <c r="AE159" s="32">
        <f>IF($X159=0,0,$X159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159+$Z159)/2,0),Reference!$A$17:$B$20,2,TRUE()))</f>
        <v>0</v>
      </c>
      <c r="AF159" s="32">
        <f>IF(OR($A159="",$U159="",$T159="No Throw"),0,$AM159*VLOOKUP(MAX(($V159+$W159)/2,0),Reference!$A$17:$B$20,2,TRUE()))</f>
        <v>0</v>
      </c>
      <c r="AG159" s="32">
        <f>IF($AC159=0,0,$AC159*INDEX(Reference!$B$61:$B$62,MATCH("Bullpen",Reference!$A$61:$A$62,0))*VLOOKUP(MAX($D$5-($D$9+$E$9)/2,0),Reference!$A$17:$B$20,2,TRUE()))</f>
        <v>0</v>
      </c>
      <c r="AH159" s="32" t="e">
        <f t="shared" si="102"/>
        <v>#N/A</v>
      </c>
      <c r="AI159" s="32" t="e">
        <f>IF($A159="",NA(),Reference!$A$25)</f>
        <v>#N/A</v>
      </c>
      <c r="AJ159" s="32" t="e">
        <f t="shared" si="103"/>
        <v>#N/A</v>
      </c>
      <c r="AK159" s="32">
        <f>IF(OR($A159="",N($C159)&lt;=7,$T159="No Throw",$J159="x"),0,INDEX(Reference!$B$108:$B$114,$N159+1))</f>
        <v>0</v>
      </c>
      <c r="AL159" s="32">
        <f t="shared" si="104"/>
        <v>1</v>
      </c>
      <c r="AM159" s="32">
        <f>IF($U159="",0,IF($AL159&gt;1,((IF(1&lt;=$AL159,($AL159-1+3)*(INDEX(Reference!$B$6:$B$11,MIN(5,MATCH(MAX(Reference!$A$6,MIN(Reference!$A$11,MIN($U159,90))),Reference!$A$6:$A$11,1)))+(MAX(Reference!$A$6,MIN(Reference!$A$11,MIN($U159,90)))-INDEX(Reference!$A$6:$A$11,MIN(5,MATCH(MAX(Reference!$A$6,MIN(Reference!$A$11,MIN($U159,90))),Reference!$A$6:$A$11,1))))*(INDEX(Reference!$B$6:$B$11,MIN(5,MATCH(MAX(Reference!$A$6,MIN(Reference!$A$11,MIN($U159,90))),Reference!$A$6:$A$11,1))+1)-INDEX(Reference!$B$6:$B$11,MIN(5,MATCH(MAX(Reference!$A$6,MIN(Reference!$A$11,MIN($U159,90))),Reference!$A$6:$A$11,1))))/(INDEX(Reference!$A$6:$A$11,MIN(5,MATCH(MAX(Reference!$A$6,MIN(Reference!$A$11,MIN($U159,90))),Reference!$A$6:$A$11,1))+1)-INDEX(Reference!$A$6:$A$11,MIN(5,MATCH(MAX(Reference!$A$6,MIN(Reference!$A$11,MIN($U159,90))),Reference!$A$6:$A$11,1))))),0)+IF(2&lt;=$AL159,($AL159-2+3)*(INDEX(Reference!$B$6:$B$11,MIN(5,MATCH(MAX(Reference!$A$6,MIN(Reference!$A$11,MIN($U159,120))),Reference!$A$6:$A$11,1)))+(MAX(Reference!$A$6,MIN(Reference!$A$11,MIN($U159,120)))-INDEX(Reference!$A$6:$A$11,MIN(5,MATCH(MAX(Reference!$A$6,MIN(Reference!$A$11,MIN($U159,120))),Reference!$A$6:$A$11,1))))*(INDEX(Reference!$B$6:$B$11,MIN(5,MATCH(MAX(Reference!$A$6,MIN(Reference!$A$11,MIN($U159,120))),Reference!$A$6:$A$11,1))+1)-INDEX(Reference!$B$6:$B$11,MIN(5,MATCH(MAX(Reference!$A$6,MIN(Reference!$A$11,MIN($U159,120))),Reference!$A$6:$A$11,1))))/(INDEX(Reference!$A$6:$A$11,MIN(5,MATCH(MAX(Reference!$A$6,MIN(Reference!$A$11,MIN($U159,120))),Reference!$A$6:$A$11,1))+1)-INDEX(Reference!$A$6:$A$11,MIN(5,MATCH(MAX(Reference!$A$6,MIN(Reference!$A$11,MIN($U159,120))),Reference!$A$6:$A$11,1))))),0)+IF(3&lt;=$AL159,($AL159-3+3)*(INDEX(Reference!$B$6:$B$11,MIN(5,MATCH(MAX(Reference!$A$6,MIN(Reference!$A$11,MIN($U159,150))),Reference!$A$6:$A$11,1)))+(MAX(Reference!$A$6,MIN(Reference!$A$11,MIN($U159,150)))-INDEX(Reference!$A$6:$A$11,MIN(5,MATCH(MAX(Reference!$A$6,MIN(Reference!$A$11,MIN($U159,150))),Reference!$A$6:$A$11,1))))*(INDEX(Reference!$B$6:$B$11,MIN(5,MATCH(MAX(Reference!$A$6,MIN(Reference!$A$11,MIN($U159,150))),Reference!$A$6:$A$11,1))+1)-INDEX(Reference!$B$6:$B$11,MIN(5,MATCH(MAX(Reference!$A$6,MIN(Reference!$A$11,MIN($U159,150))),Reference!$A$6:$A$11,1))))/(INDEX(Reference!$A$6:$A$11,MIN(5,MATCH(MAX(Reference!$A$6,MIN(Reference!$A$11,MIN($U159,150))),Reference!$A$6:$A$11,1))+1)-INDEX(Reference!$A$6:$A$11,MIN(5,MATCH(MAX(Reference!$A$6,MIN(Reference!$A$11,MIN($U159,150))),Reference!$A$6:$A$11,1))))),0)+IF(4&lt;=$AL159,($AL159-4+3)*(INDEX(Reference!$B$6:$B$11,MIN(5,MATCH(MAX(Reference!$A$6,MIN(Reference!$A$11,MIN($U159,180))),Reference!$A$6:$A$11,1)))+(MAX(Reference!$A$6,MIN(Reference!$A$11,MIN($U159,180)))-INDEX(Reference!$A$6:$A$11,MIN(5,MATCH(MAX(Reference!$A$6,MIN(Reference!$A$11,MIN($U159,180))),Reference!$A$6:$A$11,1))))*(INDEX(Reference!$B$6:$B$11,MIN(5,MATCH(MAX(Reference!$A$6,MIN(Reference!$A$11,MIN($U159,180))),Reference!$A$6:$A$11,1))+1)-INDEX(Reference!$B$6:$B$11,MIN(5,MATCH(MAX(Reference!$A$6,MIN(Reference!$A$11,MIN($U159,180))),Reference!$A$6:$A$11,1))))/(INDEX(Reference!$A$6:$A$11,MIN(5,MATCH(MAX(Reference!$A$6,MIN(Reference!$A$11,MIN($U159,180))),Reference!$A$6:$A$11,1))+1)-INDEX(Reference!$A$6:$A$11,MIN(5,MATCH(MAX(Reference!$A$6,MIN(Reference!$A$11,MIN($U159,180))),Reference!$A$6:$A$11,1))))),0)+IF(5&lt;=$AL159,($AL159-5+3)*(INDEX(Reference!$B$6:$B$11,MIN(5,MATCH(MAX(Reference!$A$6,MIN(Reference!$A$11,MIN($U159,210))),Reference!$A$6:$A$11,1)))+(MAX(Reference!$A$6,MIN(Reference!$A$11,MIN($U159,210)))-INDEX(Reference!$A$6:$A$11,MIN(5,MATCH(MAX(Reference!$A$6,MIN(Reference!$A$11,MIN($U159,210))),Reference!$A$6:$A$11,1))))*(INDEX(Reference!$B$6:$B$11,MIN(5,MATCH(MAX(Reference!$A$6,MIN(Reference!$A$11,MIN($U159,210))),Reference!$A$6:$A$11,1))+1)-INDEX(Reference!$B$6:$B$11,MIN(5,MATCH(MAX(Reference!$A$6,MIN(Reference!$A$11,MIN($U159,210))),Reference!$A$6:$A$11,1))))/(INDEX(Reference!$A$6:$A$11,MIN(5,MATCH(MAX(Reference!$A$6,MIN(Reference!$A$11,MIN($U159,210))),Reference!$A$6:$A$11,1))+1)-INDEX(Reference!$A$6:$A$11,MIN(5,MATCH(MAX(Reference!$A$6,MIN(Reference!$A$11,MIN($U159,210))),Reference!$A$6:$A$11,1))))),0)+IF(6&lt;=$AL159,($AL159-6+3)*(INDEX(Reference!$B$6:$B$11,MIN(5,MATCH(MAX(Reference!$A$6,MIN(Reference!$A$11,MIN($U159,240))),Reference!$A$6:$A$11,1)))+(MAX(Reference!$A$6,MIN(Reference!$A$11,MIN($U159,240)))-INDEX(Reference!$A$6:$A$11,MIN(5,MATCH(MAX(Reference!$A$6,MIN(Reference!$A$11,MIN($U159,240))),Reference!$A$6:$A$11,1))))*(INDEX(Reference!$B$6:$B$11,MIN(5,MATCH(MAX(Reference!$A$6,MIN(Reference!$A$11,MIN($U159,240))),Reference!$A$6:$A$11,1))+1)-INDEX(Reference!$B$6:$B$11,MIN(5,MATCH(MAX(Reference!$A$6,MIN(Reference!$A$11,MIN($U159,240))),Reference!$A$6:$A$11,1))))/(INDEX(Reference!$A$6:$A$11,MIN(5,MATCH(MAX(Reference!$A$6,MIN(Reference!$A$11,MIN($U159,240))),Reference!$A$6:$A$11,1))+1)-INDEX(Reference!$A$6:$A$11,MIN(5,MATCH(MAX(Reference!$A$6,MIN(Reference!$A$11,MIN($U159,240))),Reference!$A$6:$A$11,1))))),0)+IF(7&lt;=$AL159,($AL159-7+3)*(INDEX(Reference!$B$6:$B$11,MIN(5,MATCH(MAX(Reference!$A$6,MIN(Reference!$A$11,MIN($U159,270))),Reference!$A$6:$A$11,1)))+(MAX(Reference!$A$6,MIN(Reference!$A$11,MIN($U159,270)))-INDEX(Reference!$A$6:$A$11,MIN(5,MATCH(MAX(Reference!$A$6,MIN(Reference!$A$11,MIN($U159,270))),Reference!$A$6:$A$11,1))))*(INDEX(Reference!$B$6:$B$11,MIN(5,MATCH(MAX(Reference!$A$6,MIN(Reference!$A$11,MIN($U159,270))),Reference!$A$6:$A$11,1))+1)-INDEX(Reference!$B$6:$B$11,MIN(5,MATCH(MAX(Reference!$A$6,MIN(Reference!$A$11,MIN($U159,270))),Reference!$A$6:$A$11,1))))/(INDEX(Reference!$A$6:$A$11,MIN(5,MATCH(MAX(Reference!$A$6,MIN(Reference!$A$11,MIN($U159,270))),Reference!$A$6:$A$11,1))+1)-INDEX(Reference!$A$6:$A$11,MIN(5,MATCH(MAX(Reference!$A$6,MIN(Reference!$A$11,MIN($U159,270))),Reference!$A$6:$A$11,1))))),0)+IF(8&lt;=$AL159,($AL159-8+3)*(INDEX(Reference!$B$6:$B$11,MIN(5,MATCH(MAX(Reference!$A$6,MIN(Reference!$A$11,MIN($U159,300))),Reference!$A$6:$A$11,1)))+(MAX(Reference!$A$6,MIN(Reference!$A$11,MIN($U159,300)))-INDEX(Reference!$A$6:$A$11,MIN(5,MATCH(MAX(Reference!$A$6,MIN(Reference!$A$11,MIN($U159,300))),Reference!$A$6:$A$11,1))))*(INDEX(Reference!$B$6:$B$11,MIN(5,MATCH(MAX(Reference!$A$6,MIN(Reference!$A$11,MIN($U159,300))),Reference!$A$6:$A$11,1))+1)-INDEX(Reference!$B$6:$B$11,MIN(5,MATCH(MAX(Reference!$A$6,MIN(Reference!$A$11,MIN($U159,300))),Reference!$A$6:$A$11,1))))/(INDEX(Reference!$A$6:$A$11,MIN(5,MATCH(MAX(Reference!$A$6,MIN(Reference!$A$11,MIN($U159,300))),Reference!$A$6:$A$11,1))+1)-INDEX(Reference!$A$6:$A$11,MIN(5,MATCH(MAX(Reference!$A$6,MIN(Reference!$A$11,MIN($U159,300))),Reference!$A$6:$A$11,1))))),0))/($AL159*($AL159+5)/2)),$AN159))</f>
        <v>0</v>
      </c>
      <c r="AN159" s="32">
        <f>IF($U159="",0,(INDEX(Reference!$B$6:$B$11,MIN(5,MATCH(MAX(Reference!$A$6,MIN(Reference!$A$11,$U159)),Reference!$A$6:$A$11,1)))+(MAX(Reference!$A$6,MIN(Reference!$A$11,$U159))-INDEX(Reference!$A$6:$A$11,MIN(5,MATCH(MAX(Reference!$A$6,MIN(Reference!$A$11,$U159)),Reference!$A$6:$A$11,1))))*(INDEX(Reference!$B$6:$B$11,MIN(5,MATCH(MAX(Reference!$A$6,MIN(Reference!$A$11,$U159)),Reference!$A$6:$A$11,1))+1)-INDEX(Reference!$B$6:$B$11,MIN(5,MATCH(MAX(Reference!$A$6,MIN(Reference!$A$11,$U159)),Reference!$A$6:$A$11,1))))/(INDEX(Reference!$A$6:$A$11,MIN(5,MATCH(MAX(Reference!$A$6,MIN(Reference!$A$11,$U159)),Reference!$A$6:$A$11,1))+1)-INDEX(Reference!$A$6:$A$11,MIN(5,MATCH(MAX(Reference!$A$6,MIN(Reference!$A$11,$U159)),Reference!$A$6:$A$11,1))))))</f>
        <v>0</v>
      </c>
      <c r="AO159" s="37"/>
      <c r="AP159" s="37"/>
      <c r="AQ159" s="37"/>
    </row>
    <row r="160" spans="1:43" x14ac:dyDescent="0.3">
      <c r="A160" s="48" t="str">
        <f t="shared" si="80"/>
        <v/>
      </c>
      <c r="B160" s="32" t="str">
        <f t="shared" si="81"/>
        <v/>
      </c>
      <c r="C160" s="32" t="str">
        <f t="shared" si="82"/>
        <v/>
      </c>
      <c r="D160" s="32" t="str">
        <f t="shared" si="83"/>
        <v/>
      </c>
      <c r="E160" s="32" t="str">
        <f t="shared" si="84"/>
        <v/>
      </c>
      <c r="F160" s="32" t="str">
        <f t="shared" si="85"/>
        <v/>
      </c>
      <c r="G160" s="47" t="str">
        <f t="shared" si="86"/>
        <v/>
      </c>
      <c r="H160" s="30" t="str">
        <f t="shared" si="87"/>
        <v/>
      </c>
      <c r="I160" s="46" t="str">
        <f>IF($A160="","",IF(AND($L160&lt;27,$K$12=0),"Building",IFERROR(((SUM($H$154:$H160)+$K$12*IF($L160&lt;6,SUMIFS('Throw Log'!$Q$5:$Q$300,'Throw Log'!$B$5:$B$300,$D$4,'Throw Log'!$A$5:$A$300,"&gt;="&amp;($D$6+$L160-6),'Throw Log'!$A$5:$A$300,"&lt;="&amp;($D$6-1)),0))/7)/((SUM($H$133:$H160)+$K$12*IF($L160&lt;27,SUMIFS('Throw Log'!$Q$5:$Q$300,'Throw Log'!$B$5:$B$300,$D$4,'Throw Log'!$A$5:$A$300,"&gt;="&amp;($D$6+$L160-27),'Throw Log'!$A$5:$A$300,"&lt;="&amp;($D$6-1)),0))/28),"")))</f>
        <v/>
      </c>
      <c r="J160" s="37"/>
      <c r="K160" s="37"/>
      <c r="L160" s="32">
        <v>117</v>
      </c>
      <c r="M160" s="32">
        <f t="shared" si="88"/>
        <v>17</v>
      </c>
      <c r="N160" s="32">
        <f t="shared" si="89"/>
        <v>5</v>
      </c>
      <c r="O160" s="32">
        <f t="shared" si="90"/>
        <v>1</v>
      </c>
      <c r="P160" s="32" t="str">
        <f>IF(OR($A160="",N($C160)&lt;=7),"",$G$6*$G$9^($M160-1)*IF(AND(MOD($M160,Reference!$B$99)=0,$M160&lt;=$G$5-2),Reference!$B$100,1))</f>
        <v/>
      </c>
      <c r="Q160" s="32" t="str">
        <f>IF($P160="","",IF(SUM($AK$155:$AK$161)=0,0,$P160*INDEX(Reference!$B$108:$B$114,$N160+1)/SUM($AK$155:$AK$161)))</f>
        <v/>
      </c>
      <c r="R160" s="32">
        <f t="shared" si="91"/>
        <v>180</v>
      </c>
      <c r="S160" s="32">
        <f t="shared" si="92"/>
        <v>150</v>
      </c>
      <c r="T160" s="32" t="str">
        <f>IF($A160="","",IF($C160=0,"Bullpen",IF(OR($C160=7,$C160=1,$C160=5),"Recovery/Easy Catch",IF($C160=6,"Compression/Pulldowns",IF(OR($C160=4,$C160=2),"Long Toss",IF($C160=3,"No Throw",IF($N160=2,"No Throw",IF($N160=6,IF($O160&lt;Reference!$B$104,"No Throw","Recovery/Easy Catch"),IF(OR($N160=0,$N160=4),"Recovery/Easy Catch",IF($N160=1,IF($R160&gt;75,"Long Toss","Recovery/Easy Catch"),IF($N160=3,IF($O160&lt;0.5,IF($S160&gt;75,"Long Toss","Recovery/Easy Catch"),"Compression/Pulldowns"),IF($S160&gt;75,"Long Toss","Recovery/Easy Catch"))))))))))))</f>
        <v/>
      </c>
      <c r="U160" s="32" t="str">
        <f t="shared" si="93"/>
        <v/>
      </c>
      <c r="V160" s="32" t="str">
        <f t="shared" si="94"/>
        <v/>
      </c>
      <c r="W160" s="32" t="str">
        <f t="shared" si="95"/>
        <v/>
      </c>
      <c r="X160" s="32">
        <f t="shared" si="96"/>
        <v>0</v>
      </c>
      <c r="Y160" s="32" t="str">
        <f t="shared" si="97"/>
        <v/>
      </c>
      <c r="Z160" s="32" t="str">
        <f t="shared" si="98"/>
        <v/>
      </c>
      <c r="AA160" s="32" t="str">
        <f t="shared" si="99"/>
        <v/>
      </c>
      <c r="AB160" s="32" t="str">
        <f>IF($A160="","",IF($T160="No Throw",0,IF($K160&lt;&gt;"",$K160,IF($AA160&lt;&gt;"",ROUND($AA160*$D$12*IF($C160=0,1,$G$10),0),MIN(IF($T160="Recovery/Easy Catch",Reference!$B$103,IF($T160="Long Toss",Reference!$B$106,Reference!$B$102)),MAX(Reference!$B$101,ROUND(MAX(0,$Q160-$AE160)/$AF160,0)))))))</f>
        <v/>
      </c>
      <c r="AC160" s="32">
        <f t="shared" si="100"/>
        <v>0</v>
      </c>
      <c r="AD160" s="32" t="b">
        <f t="shared" si="101"/>
        <v>1</v>
      </c>
      <c r="AE160" s="32">
        <f>IF($X160=0,0,$X160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160+$Z160)/2,0),Reference!$A$17:$B$20,2,TRUE()))</f>
        <v>0</v>
      </c>
      <c r="AF160" s="32">
        <f>IF(OR($A160="",$U160="",$T160="No Throw"),0,$AM160*VLOOKUP(MAX(($V160+$W160)/2,0),Reference!$A$17:$B$20,2,TRUE()))</f>
        <v>0</v>
      </c>
      <c r="AG160" s="32">
        <f>IF($AC160=0,0,$AC160*INDEX(Reference!$B$61:$B$62,MATCH("Bullpen",Reference!$A$61:$A$62,0))*VLOOKUP(MAX($D$5-($D$9+$E$9)/2,0),Reference!$A$17:$B$20,2,TRUE()))</f>
        <v>0</v>
      </c>
      <c r="AH160" s="32" t="e">
        <f t="shared" si="102"/>
        <v>#N/A</v>
      </c>
      <c r="AI160" s="32" t="e">
        <f>IF($A160="",NA(),Reference!$A$25)</f>
        <v>#N/A</v>
      </c>
      <c r="AJ160" s="32" t="e">
        <f t="shared" si="103"/>
        <v>#N/A</v>
      </c>
      <c r="AK160" s="32">
        <f>IF(OR($A160="",N($C160)&lt;=7,$T160="No Throw",$J160="x"),0,INDEX(Reference!$B$108:$B$114,$N160+1))</f>
        <v>0</v>
      </c>
      <c r="AL160" s="32">
        <f t="shared" si="104"/>
        <v>1</v>
      </c>
      <c r="AM160" s="32">
        <f>IF($U160="",0,IF($AL160&gt;1,((IF(1&lt;=$AL160,($AL160-1+3)*(INDEX(Reference!$B$6:$B$11,MIN(5,MATCH(MAX(Reference!$A$6,MIN(Reference!$A$11,MIN($U160,90))),Reference!$A$6:$A$11,1)))+(MAX(Reference!$A$6,MIN(Reference!$A$11,MIN($U160,90)))-INDEX(Reference!$A$6:$A$11,MIN(5,MATCH(MAX(Reference!$A$6,MIN(Reference!$A$11,MIN($U160,90))),Reference!$A$6:$A$11,1))))*(INDEX(Reference!$B$6:$B$11,MIN(5,MATCH(MAX(Reference!$A$6,MIN(Reference!$A$11,MIN($U160,90))),Reference!$A$6:$A$11,1))+1)-INDEX(Reference!$B$6:$B$11,MIN(5,MATCH(MAX(Reference!$A$6,MIN(Reference!$A$11,MIN($U160,90))),Reference!$A$6:$A$11,1))))/(INDEX(Reference!$A$6:$A$11,MIN(5,MATCH(MAX(Reference!$A$6,MIN(Reference!$A$11,MIN($U160,90))),Reference!$A$6:$A$11,1))+1)-INDEX(Reference!$A$6:$A$11,MIN(5,MATCH(MAX(Reference!$A$6,MIN(Reference!$A$11,MIN($U160,90))),Reference!$A$6:$A$11,1))))),0)+IF(2&lt;=$AL160,($AL160-2+3)*(INDEX(Reference!$B$6:$B$11,MIN(5,MATCH(MAX(Reference!$A$6,MIN(Reference!$A$11,MIN($U160,120))),Reference!$A$6:$A$11,1)))+(MAX(Reference!$A$6,MIN(Reference!$A$11,MIN($U160,120)))-INDEX(Reference!$A$6:$A$11,MIN(5,MATCH(MAX(Reference!$A$6,MIN(Reference!$A$11,MIN($U160,120))),Reference!$A$6:$A$11,1))))*(INDEX(Reference!$B$6:$B$11,MIN(5,MATCH(MAX(Reference!$A$6,MIN(Reference!$A$11,MIN($U160,120))),Reference!$A$6:$A$11,1))+1)-INDEX(Reference!$B$6:$B$11,MIN(5,MATCH(MAX(Reference!$A$6,MIN(Reference!$A$11,MIN($U160,120))),Reference!$A$6:$A$11,1))))/(INDEX(Reference!$A$6:$A$11,MIN(5,MATCH(MAX(Reference!$A$6,MIN(Reference!$A$11,MIN($U160,120))),Reference!$A$6:$A$11,1))+1)-INDEX(Reference!$A$6:$A$11,MIN(5,MATCH(MAX(Reference!$A$6,MIN(Reference!$A$11,MIN($U160,120))),Reference!$A$6:$A$11,1))))),0)+IF(3&lt;=$AL160,($AL160-3+3)*(INDEX(Reference!$B$6:$B$11,MIN(5,MATCH(MAX(Reference!$A$6,MIN(Reference!$A$11,MIN($U160,150))),Reference!$A$6:$A$11,1)))+(MAX(Reference!$A$6,MIN(Reference!$A$11,MIN($U160,150)))-INDEX(Reference!$A$6:$A$11,MIN(5,MATCH(MAX(Reference!$A$6,MIN(Reference!$A$11,MIN($U160,150))),Reference!$A$6:$A$11,1))))*(INDEX(Reference!$B$6:$B$11,MIN(5,MATCH(MAX(Reference!$A$6,MIN(Reference!$A$11,MIN($U160,150))),Reference!$A$6:$A$11,1))+1)-INDEX(Reference!$B$6:$B$11,MIN(5,MATCH(MAX(Reference!$A$6,MIN(Reference!$A$11,MIN($U160,150))),Reference!$A$6:$A$11,1))))/(INDEX(Reference!$A$6:$A$11,MIN(5,MATCH(MAX(Reference!$A$6,MIN(Reference!$A$11,MIN($U160,150))),Reference!$A$6:$A$11,1))+1)-INDEX(Reference!$A$6:$A$11,MIN(5,MATCH(MAX(Reference!$A$6,MIN(Reference!$A$11,MIN($U160,150))),Reference!$A$6:$A$11,1))))),0)+IF(4&lt;=$AL160,($AL160-4+3)*(INDEX(Reference!$B$6:$B$11,MIN(5,MATCH(MAX(Reference!$A$6,MIN(Reference!$A$11,MIN($U160,180))),Reference!$A$6:$A$11,1)))+(MAX(Reference!$A$6,MIN(Reference!$A$11,MIN($U160,180)))-INDEX(Reference!$A$6:$A$11,MIN(5,MATCH(MAX(Reference!$A$6,MIN(Reference!$A$11,MIN($U160,180))),Reference!$A$6:$A$11,1))))*(INDEX(Reference!$B$6:$B$11,MIN(5,MATCH(MAX(Reference!$A$6,MIN(Reference!$A$11,MIN($U160,180))),Reference!$A$6:$A$11,1))+1)-INDEX(Reference!$B$6:$B$11,MIN(5,MATCH(MAX(Reference!$A$6,MIN(Reference!$A$11,MIN($U160,180))),Reference!$A$6:$A$11,1))))/(INDEX(Reference!$A$6:$A$11,MIN(5,MATCH(MAX(Reference!$A$6,MIN(Reference!$A$11,MIN($U160,180))),Reference!$A$6:$A$11,1))+1)-INDEX(Reference!$A$6:$A$11,MIN(5,MATCH(MAX(Reference!$A$6,MIN(Reference!$A$11,MIN($U160,180))),Reference!$A$6:$A$11,1))))),0)+IF(5&lt;=$AL160,($AL160-5+3)*(INDEX(Reference!$B$6:$B$11,MIN(5,MATCH(MAX(Reference!$A$6,MIN(Reference!$A$11,MIN($U160,210))),Reference!$A$6:$A$11,1)))+(MAX(Reference!$A$6,MIN(Reference!$A$11,MIN($U160,210)))-INDEX(Reference!$A$6:$A$11,MIN(5,MATCH(MAX(Reference!$A$6,MIN(Reference!$A$11,MIN($U160,210))),Reference!$A$6:$A$11,1))))*(INDEX(Reference!$B$6:$B$11,MIN(5,MATCH(MAX(Reference!$A$6,MIN(Reference!$A$11,MIN($U160,210))),Reference!$A$6:$A$11,1))+1)-INDEX(Reference!$B$6:$B$11,MIN(5,MATCH(MAX(Reference!$A$6,MIN(Reference!$A$11,MIN($U160,210))),Reference!$A$6:$A$11,1))))/(INDEX(Reference!$A$6:$A$11,MIN(5,MATCH(MAX(Reference!$A$6,MIN(Reference!$A$11,MIN($U160,210))),Reference!$A$6:$A$11,1))+1)-INDEX(Reference!$A$6:$A$11,MIN(5,MATCH(MAX(Reference!$A$6,MIN(Reference!$A$11,MIN($U160,210))),Reference!$A$6:$A$11,1))))),0)+IF(6&lt;=$AL160,($AL160-6+3)*(INDEX(Reference!$B$6:$B$11,MIN(5,MATCH(MAX(Reference!$A$6,MIN(Reference!$A$11,MIN($U160,240))),Reference!$A$6:$A$11,1)))+(MAX(Reference!$A$6,MIN(Reference!$A$11,MIN($U160,240)))-INDEX(Reference!$A$6:$A$11,MIN(5,MATCH(MAX(Reference!$A$6,MIN(Reference!$A$11,MIN($U160,240))),Reference!$A$6:$A$11,1))))*(INDEX(Reference!$B$6:$B$11,MIN(5,MATCH(MAX(Reference!$A$6,MIN(Reference!$A$11,MIN($U160,240))),Reference!$A$6:$A$11,1))+1)-INDEX(Reference!$B$6:$B$11,MIN(5,MATCH(MAX(Reference!$A$6,MIN(Reference!$A$11,MIN($U160,240))),Reference!$A$6:$A$11,1))))/(INDEX(Reference!$A$6:$A$11,MIN(5,MATCH(MAX(Reference!$A$6,MIN(Reference!$A$11,MIN($U160,240))),Reference!$A$6:$A$11,1))+1)-INDEX(Reference!$A$6:$A$11,MIN(5,MATCH(MAX(Reference!$A$6,MIN(Reference!$A$11,MIN($U160,240))),Reference!$A$6:$A$11,1))))),0)+IF(7&lt;=$AL160,($AL160-7+3)*(INDEX(Reference!$B$6:$B$11,MIN(5,MATCH(MAX(Reference!$A$6,MIN(Reference!$A$11,MIN($U160,270))),Reference!$A$6:$A$11,1)))+(MAX(Reference!$A$6,MIN(Reference!$A$11,MIN($U160,270)))-INDEX(Reference!$A$6:$A$11,MIN(5,MATCH(MAX(Reference!$A$6,MIN(Reference!$A$11,MIN($U160,270))),Reference!$A$6:$A$11,1))))*(INDEX(Reference!$B$6:$B$11,MIN(5,MATCH(MAX(Reference!$A$6,MIN(Reference!$A$11,MIN($U160,270))),Reference!$A$6:$A$11,1))+1)-INDEX(Reference!$B$6:$B$11,MIN(5,MATCH(MAX(Reference!$A$6,MIN(Reference!$A$11,MIN($U160,270))),Reference!$A$6:$A$11,1))))/(INDEX(Reference!$A$6:$A$11,MIN(5,MATCH(MAX(Reference!$A$6,MIN(Reference!$A$11,MIN($U160,270))),Reference!$A$6:$A$11,1))+1)-INDEX(Reference!$A$6:$A$11,MIN(5,MATCH(MAX(Reference!$A$6,MIN(Reference!$A$11,MIN($U160,270))),Reference!$A$6:$A$11,1))))),0)+IF(8&lt;=$AL160,($AL160-8+3)*(INDEX(Reference!$B$6:$B$11,MIN(5,MATCH(MAX(Reference!$A$6,MIN(Reference!$A$11,MIN($U160,300))),Reference!$A$6:$A$11,1)))+(MAX(Reference!$A$6,MIN(Reference!$A$11,MIN($U160,300)))-INDEX(Reference!$A$6:$A$11,MIN(5,MATCH(MAX(Reference!$A$6,MIN(Reference!$A$11,MIN($U160,300))),Reference!$A$6:$A$11,1))))*(INDEX(Reference!$B$6:$B$11,MIN(5,MATCH(MAX(Reference!$A$6,MIN(Reference!$A$11,MIN($U160,300))),Reference!$A$6:$A$11,1))+1)-INDEX(Reference!$B$6:$B$11,MIN(5,MATCH(MAX(Reference!$A$6,MIN(Reference!$A$11,MIN($U160,300))),Reference!$A$6:$A$11,1))))/(INDEX(Reference!$A$6:$A$11,MIN(5,MATCH(MAX(Reference!$A$6,MIN(Reference!$A$11,MIN($U160,300))),Reference!$A$6:$A$11,1))+1)-INDEX(Reference!$A$6:$A$11,MIN(5,MATCH(MAX(Reference!$A$6,MIN(Reference!$A$11,MIN($U160,300))),Reference!$A$6:$A$11,1))))),0))/($AL160*($AL160+5)/2)),$AN160))</f>
        <v>0</v>
      </c>
      <c r="AN160" s="32">
        <f>IF($U160="",0,(INDEX(Reference!$B$6:$B$11,MIN(5,MATCH(MAX(Reference!$A$6,MIN(Reference!$A$11,$U160)),Reference!$A$6:$A$11,1)))+(MAX(Reference!$A$6,MIN(Reference!$A$11,$U160))-INDEX(Reference!$A$6:$A$11,MIN(5,MATCH(MAX(Reference!$A$6,MIN(Reference!$A$11,$U160)),Reference!$A$6:$A$11,1))))*(INDEX(Reference!$B$6:$B$11,MIN(5,MATCH(MAX(Reference!$A$6,MIN(Reference!$A$11,$U160)),Reference!$A$6:$A$11,1))+1)-INDEX(Reference!$B$6:$B$11,MIN(5,MATCH(MAX(Reference!$A$6,MIN(Reference!$A$11,$U160)),Reference!$A$6:$A$11,1))))/(INDEX(Reference!$A$6:$A$11,MIN(5,MATCH(MAX(Reference!$A$6,MIN(Reference!$A$11,$U160)),Reference!$A$6:$A$11,1))+1)-INDEX(Reference!$A$6:$A$11,MIN(5,MATCH(MAX(Reference!$A$6,MIN(Reference!$A$11,$U160)),Reference!$A$6:$A$11,1))))))</f>
        <v>0</v>
      </c>
      <c r="AO160" s="37"/>
      <c r="AP160" s="37"/>
      <c r="AQ160" s="37"/>
    </row>
    <row r="161" spans="1:43" x14ac:dyDescent="0.3">
      <c r="A161" s="48" t="str">
        <f t="shared" si="80"/>
        <v/>
      </c>
      <c r="B161" s="32" t="str">
        <f t="shared" si="81"/>
        <v/>
      </c>
      <c r="C161" s="32" t="str">
        <f t="shared" si="82"/>
        <v/>
      </c>
      <c r="D161" s="32" t="str">
        <f t="shared" si="83"/>
        <v/>
      </c>
      <c r="E161" s="32" t="str">
        <f t="shared" si="84"/>
        <v/>
      </c>
      <c r="F161" s="32" t="str">
        <f t="shared" si="85"/>
        <v/>
      </c>
      <c r="G161" s="47" t="str">
        <f t="shared" si="86"/>
        <v/>
      </c>
      <c r="H161" s="30" t="str">
        <f t="shared" si="87"/>
        <v/>
      </c>
      <c r="I161" s="46" t="str">
        <f>IF($A161="","",IF(AND($L161&lt;27,$K$12=0),"Building",IFERROR(((SUM($H$155:$H161)+$K$12*IF($L161&lt;6,SUMIFS('Throw Log'!$Q$5:$Q$300,'Throw Log'!$B$5:$B$300,$D$4,'Throw Log'!$A$5:$A$300,"&gt;="&amp;($D$6+$L161-6),'Throw Log'!$A$5:$A$300,"&lt;="&amp;($D$6-1)),0))/7)/((SUM($H$134:$H161)+$K$12*IF($L161&lt;27,SUMIFS('Throw Log'!$Q$5:$Q$300,'Throw Log'!$B$5:$B$300,$D$4,'Throw Log'!$A$5:$A$300,"&gt;="&amp;($D$6+$L161-27),'Throw Log'!$A$5:$A$300,"&lt;="&amp;($D$6-1)),0))/28),"")))</f>
        <v/>
      </c>
      <c r="J161" s="37"/>
      <c r="K161" s="37"/>
      <c r="L161" s="32">
        <v>118</v>
      </c>
      <c r="M161" s="32">
        <f t="shared" si="88"/>
        <v>17</v>
      </c>
      <c r="N161" s="32">
        <f t="shared" si="89"/>
        <v>6</v>
      </c>
      <c r="O161" s="32">
        <f t="shared" si="90"/>
        <v>1</v>
      </c>
      <c r="P161" s="32" t="str">
        <f>IF(OR($A161="",N($C161)&lt;=7),"",$G$6*$G$9^($M161-1)*IF(AND(MOD($M161,Reference!$B$99)=0,$M161&lt;=$G$5-2),Reference!$B$100,1))</f>
        <v/>
      </c>
      <c r="Q161" s="32" t="str">
        <f>IF($P161="","",IF(SUM($AK$155:$AK$161)=0,0,$P161*INDEX(Reference!$B$108:$B$114,$N161+1)/SUM($AK$155:$AK$161)))</f>
        <v/>
      </c>
      <c r="R161" s="32">
        <f t="shared" si="91"/>
        <v>180</v>
      </c>
      <c r="S161" s="32">
        <f t="shared" si="92"/>
        <v>150</v>
      </c>
      <c r="T161" s="32" t="str">
        <f>IF($A161="","",IF($C161=0,"Bullpen",IF(OR($C161=7,$C161=1,$C161=5),"Recovery/Easy Catch",IF($C161=6,"Compression/Pulldowns",IF(OR($C161=4,$C161=2),"Long Toss",IF($C161=3,"No Throw",IF($N161=2,"No Throw",IF($N161=6,IF($O161&lt;Reference!$B$104,"No Throw","Recovery/Easy Catch"),IF(OR($N161=0,$N161=4),"Recovery/Easy Catch",IF($N161=1,IF($R161&gt;75,"Long Toss","Recovery/Easy Catch"),IF($N161=3,IF($O161&lt;0.5,IF($S161&gt;75,"Long Toss","Recovery/Easy Catch"),"Compression/Pulldowns"),IF($S161&gt;75,"Long Toss","Recovery/Easy Catch"))))))))))))</f>
        <v/>
      </c>
      <c r="U161" s="32" t="str">
        <f t="shared" si="93"/>
        <v/>
      </c>
      <c r="V161" s="32" t="str">
        <f t="shared" si="94"/>
        <v/>
      </c>
      <c r="W161" s="32" t="str">
        <f t="shared" si="95"/>
        <v/>
      </c>
      <c r="X161" s="32">
        <f t="shared" si="96"/>
        <v>0</v>
      </c>
      <c r="Y161" s="32" t="str">
        <f t="shared" si="97"/>
        <v/>
      </c>
      <c r="Z161" s="32" t="str">
        <f t="shared" si="98"/>
        <v/>
      </c>
      <c r="AA161" s="32" t="str">
        <f t="shared" si="99"/>
        <v/>
      </c>
      <c r="AB161" s="32" t="str">
        <f>IF($A161="","",IF($T161="No Throw",0,IF($K161&lt;&gt;"",$K161,IF($AA161&lt;&gt;"",ROUND($AA161*$D$12*IF($C161=0,1,$G$10),0),MIN(IF($T161="Recovery/Easy Catch",Reference!$B$103,IF($T161="Long Toss",Reference!$B$106,Reference!$B$102)),MAX(Reference!$B$101,ROUND(MAX(0,$Q161-$AE161)/$AF161,0)))))))</f>
        <v/>
      </c>
      <c r="AC161" s="32">
        <f t="shared" si="100"/>
        <v>0</v>
      </c>
      <c r="AD161" s="32" t="b">
        <f t="shared" si="101"/>
        <v>1</v>
      </c>
      <c r="AE161" s="32">
        <f>IF($X161=0,0,$X161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161+$Z161)/2,0),Reference!$A$17:$B$20,2,TRUE()))</f>
        <v>0</v>
      </c>
      <c r="AF161" s="32">
        <f>IF(OR($A161="",$U161="",$T161="No Throw"),0,$AM161*VLOOKUP(MAX(($V161+$W161)/2,0),Reference!$A$17:$B$20,2,TRUE()))</f>
        <v>0</v>
      </c>
      <c r="AG161" s="32">
        <f>IF($AC161=0,0,$AC161*INDEX(Reference!$B$61:$B$62,MATCH("Bullpen",Reference!$A$61:$A$62,0))*VLOOKUP(MAX($D$5-($D$9+$E$9)/2,0),Reference!$A$17:$B$20,2,TRUE()))</f>
        <v>0</v>
      </c>
      <c r="AH161" s="32" t="e">
        <f t="shared" si="102"/>
        <v>#N/A</v>
      </c>
      <c r="AI161" s="32" t="e">
        <f>IF($A161="",NA(),Reference!$A$25)</f>
        <v>#N/A</v>
      </c>
      <c r="AJ161" s="32" t="e">
        <f t="shared" si="103"/>
        <v>#N/A</v>
      </c>
      <c r="AK161" s="32">
        <f>IF(OR($A161="",N($C161)&lt;=7,$T161="No Throw",$J161="x"),0,INDEX(Reference!$B$108:$B$114,$N161+1))</f>
        <v>0</v>
      </c>
      <c r="AL161" s="32">
        <f t="shared" si="104"/>
        <v>1</v>
      </c>
      <c r="AM161" s="32">
        <f>IF($U161="",0,IF($AL161&gt;1,((IF(1&lt;=$AL161,($AL161-1+3)*(INDEX(Reference!$B$6:$B$11,MIN(5,MATCH(MAX(Reference!$A$6,MIN(Reference!$A$11,MIN($U161,90))),Reference!$A$6:$A$11,1)))+(MAX(Reference!$A$6,MIN(Reference!$A$11,MIN($U161,90)))-INDEX(Reference!$A$6:$A$11,MIN(5,MATCH(MAX(Reference!$A$6,MIN(Reference!$A$11,MIN($U161,90))),Reference!$A$6:$A$11,1))))*(INDEX(Reference!$B$6:$B$11,MIN(5,MATCH(MAX(Reference!$A$6,MIN(Reference!$A$11,MIN($U161,90))),Reference!$A$6:$A$11,1))+1)-INDEX(Reference!$B$6:$B$11,MIN(5,MATCH(MAX(Reference!$A$6,MIN(Reference!$A$11,MIN($U161,90))),Reference!$A$6:$A$11,1))))/(INDEX(Reference!$A$6:$A$11,MIN(5,MATCH(MAX(Reference!$A$6,MIN(Reference!$A$11,MIN($U161,90))),Reference!$A$6:$A$11,1))+1)-INDEX(Reference!$A$6:$A$11,MIN(5,MATCH(MAX(Reference!$A$6,MIN(Reference!$A$11,MIN($U161,90))),Reference!$A$6:$A$11,1))))),0)+IF(2&lt;=$AL161,($AL161-2+3)*(INDEX(Reference!$B$6:$B$11,MIN(5,MATCH(MAX(Reference!$A$6,MIN(Reference!$A$11,MIN($U161,120))),Reference!$A$6:$A$11,1)))+(MAX(Reference!$A$6,MIN(Reference!$A$11,MIN($U161,120)))-INDEX(Reference!$A$6:$A$11,MIN(5,MATCH(MAX(Reference!$A$6,MIN(Reference!$A$11,MIN($U161,120))),Reference!$A$6:$A$11,1))))*(INDEX(Reference!$B$6:$B$11,MIN(5,MATCH(MAX(Reference!$A$6,MIN(Reference!$A$11,MIN($U161,120))),Reference!$A$6:$A$11,1))+1)-INDEX(Reference!$B$6:$B$11,MIN(5,MATCH(MAX(Reference!$A$6,MIN(Reference!$A$11,MIN($U161,120))),Reference!$A$6:$A$11,1))))/(INDEX(Reference!$A$6:$A$11,MIN(5,MATCH(MAX(Reference!$A$6,MIN(Reference!$A$11,MIN($U161,120))),Reference!$A$6:$A$11,1))+1)-INDEX(Reference!$A$6:$A$11,MIN(5,MATCH(MAX(Reference!$A$6,MIN(Reference!$A$11,MIN($U161,120))),Reference!$A$6:$A$11,1))))),0)+IF(3&lt;=$AL161,($AL161-3+3)*(INDEX(Reference!$B$6:$B$11,MIN(5,MATCH(MAX(Reference!$A$6,MIN(Reference!$A$11,MIN($U161,150))),Reference!$A$6:$A$11,1)))+(MAX(Reference!$A$6,MIN(Reference!$A$11,MIN($U161,150)))-INDEX(Reference!$A$6:$A$11,MIN(5,MATCH(MAX(Reference!$A$6,MIN(Reference!$A$11,MIN($U161,150))),Reference!$A$6:$A$11,1))))*(INDEX(Reference!$B$6:$B$11,MIN(5,MATCH(MAX(Reference!$A$6,MIN(Reference!$A$11,MIN($U161,150))),Reference!$A$6:$A$11,1))+1)-INDEX(Reference!$B$6:$B$11,MIN(5,MATCH(MAX(Reference!$A$6,MIN(Reference!$A$11,MIN($U161,150))),Reference!$A$6:$A$11,1))))/(INDEX(Reference!$A$6:$A$11,MIN(5,MATCH(MAX(Reference!$A$6,MIN(Reference!$A$11,MIN($U161,150))),Reference!$A$6:$A$11,1))+1)-INDEX(Reference!$A$6:$A$11,MIN(5,MATCH(MAX(Reference!$A$6,MIN(Reference!$A$11,MIN($U161,150))),Reference!$A$6:$A$11,1))))),0)+IF(4&lt;=$AL161,($AL161-4+3)*(INDEX(Reference!$B$6:$B$11,MIN(5,MATCH(MAX(Reference!$A$6,MIN(Reference!$A$11,MIN($U161,180))),Reference!$A$6:$A$11,1)))+(MAX(Reference!$A$6,MIN(Reference!$A$11,MIN($U161,180)))-INDEX(Reference!$A$6:$A$11,MIN(5,MATCH(MAX(Reference!$A$6,MIN(Reference!$A$11,MIN($U161,180))),Reference!$A$6:$A$11,1))))*(INDEX(Reference!$B$6:$B$11,MIN(5,MATCH(MAX(Reference!$A$6,MIN(Reference!$A$11,MIN($U161,180))),Reference!$A$6:$A$11,1))+1)-INDEX(Reference!$B$6:$B$11,MIN(5,MATCH(MAX(Reference!$A$6,MIN(Reference!$A$11,MIN($U161,180))),Reference!$A$6:$A$11,1))))/(INDEX(Reference!$A$6:$A$11,MIN(5,MATCH(MAX(Reference!$A$6,MIN(Reference!$A$11,MIN($U161,180))),Reference!$A$6:$A$11,1))+1)-INDEX(Reference!$A$6:$A$11,MIN(5,MATCH(MAX(Reference!$A$6,MIN(Reference!$A$11,MIN($U161,180))),Reference!$A$6:$A$11,1))))),0)+IF(5&lt;=$AL161,($AL161-5+3)*(INDEX(Reference!$B$6:$B$11,MIN(5,MATCH(MAX(Reference!$A$6,MIN(Reference!$A$11,MIN($U161,210))),Reference!$A$6:$A$11,1)))+(MAX(Reference!$A$6,MIN(Reference!$A$11,MIN($U161,210)))-INDEX(Reference!$A$6:$A$11,MIN(5,MATCH(MAX(Reference!$A$6,MIN(Reference!$A$11,MIN($U161,210))),Reference!$A$6:$A$11,1))))*(INDEX(Reference!$B$6:$B$11,MIN(5,MATCH(MAX(Reference!$A$6,MIN(Reference!$A$11,MIN($U161,210))),Reference!$A$6:$A$11,1))+1)-INDEX(Reference!$B$6:$B$11,MIN(5,MATCH(MAX(Reference!$A$6,MIN(Reference!$A$11,MIN($U161,210))),Reference!$A$6:$A$11,1))))/(INDEX(Reference!$A$6:$A$11,MIN(5,MATCH(MAX(Reference!$A$6,MIN(Reference!$A$11,MIN($U161,210))),Reference!$A$6:$A$11,1))+1)-INDEX(Reference!$A$6:$A$11,MIN(5,MATCH(MAX(Reference!$A$6,MIN(Reference!$A$11,MIN($U161,210))),Reference!$A$6:$A$11,1))))),0)+IF(6&lt;=$AL161,($AL161-6+3)*(INDEX(Reference!$B$6:$B$11,MIN(5,MATCH(MAX(Reference!$A$6,MIN(Reference!$A$11,MIN($U161,240))),Reference!$A$6:$A$11,1)))+(MAX(Reference!$A$6,MIN(Reference!$A$11,MIN($U161,240)))-INDEX(Reference!$A$6:$A$11,MIN(5,MATCH(MAX(Reference!$A$6,MIN(Reference!$A$11,MIN($U161,240))),Reference!$A$6:$A$11,1))))*(INDEX(Reference!$B$6:$B$11,MIN(5,MATCH(MAX(Reference!$A$6,MIN(Reference!$A$11,MIN($U161,240))),Reference!$A$6:$A$11,1))+1)-INDEX(Reference!$B$6:$B$11,MIN(5,MATCH(MAX(Reference!$A$6,MIN(Reference!$A$11,MIN($U161,240))),Reference!$A$6:$A$11,1))))/(INDEX(Reference!$A$6:$A$11,MIN(5,MATCH(MAX(Reference!$A$6,MIN(Reference!$A$11,MIN($U161,240))),Reference!$A$6:$A$11,1))+1)-INDEX(Reference!$A$6:$A$11,MIN(5,MATCH(MAX(Reference!$A$6,MIN(Reference!$A$11,MIN($U161,240))),Reference!$A$6:$A$11,1))))),0)+IF(7&lt;=$AL161,($AL161-7+3)*(INDEX(Reference!$B$6:$B$11,MIN(5,MATCH(MAX(Reference!$A$6,MIN(Reference!$A$11,MIN($U161,270))),Reference!$A$6:$A$11,1)))+(MAX(Reference!$A$6,MIN(Reference!$A$11,MIN($U161,270)))-INDEX(Reference!$A$6:$A$11,MIN(5,MATCH(MAX(Reference!$A$6,MIN(Reference!$A$11,MIN($U161,270))),Reference!$A$6:$A$11,1))))*(INDEX(Reference!$B$6:$B$11,MIN(5,MATCH(MAX(Reference!$A$6,MIN(Reference!$A$11,MIN($U161,270))),Reference!$A$6:$A$11,1))+1)-INDEX(Reference!$B$6:$B$11,MIN(5,MATCH(MAX(Reference!$A$6,MIN(Reference!$A$11,MIN($U161,270))),Reference!$A$6:$A$11,1))))/(INDEX(Reference!$A$6:$A$11,MIN(5,MATCH(MAX(Reference!$A$6,MIN(Reference!$A$11,MIN($U161,270))),Reference!$A$6:$A$11,1))+1)-INDEX(Reference!$A$6:$A$11,MIN(5,MATCH(MAX(Reference!$A$6,MIN(Reference!$A$11,MIN($U161,270))),Reference!$A$6:$A$11,1))))),0)+IF(8&lt;=$AL161,($AL161-8+3)*(INDEX(Reference!$B$6:$B$11,MIN(5,MATCH(MAX(Reference!$A$6,MIN(Reference!$A$11,MIN($U161,300))),Reference!$A$6:$A$11,1)))+(MAX(Reference!$A$6,MIN(Reference!$A$11,MIN($U161,300)))-INDEX(Reference!$A$6:$A$11,MIN(5,MATCH(MAX(Reference!$A$6,MIN(Reference!$A$11,MIN($U161,300))),Reference!$A$6:$A$11,1))))*(INDEX(Reference!$B$6:$B$11,MIN(5,MATCH(MAX(Reference!$A$6,MIN(Reference!$A$11,MIN($U161,300))),Reference!$A$6:$A$11,1))+1)-INDEX(Reference!$B$6:$B$11,MIN(5,MATCH(MAX(Reference!$A$6,MIN(Reference!$A$11,MIN($U161,300))),Reference!$A$6:$A$11,1))))/(INDEX(Reference!$A$6:$A$11,MIN(5,MATCH(MAX(Reference!$A$6,MIN(Reference!$A$11,MIN($U161,300))),Reference!$A$6:$A$11,1))+1)-INDEX(Reference!$A$6:$A$11,MIN(5,MATCH(MAX(Reference!$A$6,MIN(Reference!$A$11,MIN($U161,300))),Reference!$A$6:$A$11,1))))),0))/($AL161*($AL161+5)/2)),$AN161))</f>
        <v>0</v>
      </c>
      <c r="AN161" s="32">
        <f>IF($U161="",0,(INDEX(Reference!$B$6:$B$11,MIN(5,MATCH(MAX(Reference!$A$6,MIN(Reference!$A$11,$U161)),Reference!$A$6:$A$11,1)))+(MAX(Reference!$A$6,MIN(Reference!$A$11,$U161))-INDEX(Reference!$A$6:$A$11,MIN(5,MATCH(MAX(Reference!$A$6,MIN(Reference!$A$11,$U161)),Reference!$A$6:$A$11,1))))*(INDEX(Reference!$B$6:$B$11,MIN(5,MATCH(MAX(Reference!$A$6,MIN(Reference!$A$11,$U161)),Reference!$A$6:$A$11,1))+1)-INDEX(Reference!$B$6:$B$11,MIN(5,MATCH(MAX(Reference!$A$6,MIN(Reference!$A$11,$U161)),Reference!$A$6:$A$11,1))))/(INDEX(Reference!$A$6:$A$11,MIN(5,MATCH(MAX(Reference!$A$6,MIN(Reference!$A$11,$U161)),Reference!$A$6:$A$11,1))+1)-INDEX(Reference!$A$6:$A$11,MIN(5,MATCH(MAX(Reference!$A$6,MIN(Reference!$A$11,$U161)),Reference!$A$6:$A$11,1))))))</f>
        <v>0</v>
      </c>
      <c r="AO161" s="37"/>
      <c r="AP161" s="37"/>
      <c r="AQ161" s="37"/>
    </row>
    <row r="162" spans="1:43" x14ac:dyDescent="0.3">
      <c r="A162" s="48" t="str">
        <f t="shared" si="80"/>
        <v/>
      </c>
      <c r="B162" s="32" t="str">
        <f t="shared" si="81"/>
        <v/>
      </c>
      <c r="C162" s="32" t="str">
        <f t="shared" si="82"/>
        <v/>
      </c>
      <c r="D162" s="32" t="str">
        <f t="shared" si="83"/>
        <v/>
      </c>
      <c r="E162" s="32" t="str">
        <f t="shared" si="84"/>
        <v/>
      </c>
      <c r="F162" s="32" t="str">
        <f t="shared" si="85"/>
        <v/>
      </c>
      <c r="G162" s="47" t="str">
        <f t="shared" si="86"/>
        <v/>
      </c>
      <c r="H162" s="30" t="str">
        <f t="shared" si="87"/>
        <v/>
      </c>
      <c r="I162" s="46" t="str">
        <f>IF($A162="","",IF(AND($L162&lt;27,$K$12=0),"Building",IFERROR(((SUM($H$156:$H162)+$K$12*IF($L162&lt;6,SUMIFS('Throw Log'!$Q$5:$Q$300,'Throw Log'!$B$5:$B$300,$D$4,'Throw Log'!$A$5:$A$300,"&gt;="&amp;($D$6+$L162-6),'Throw Log'!$A$5:$A$300,"&lt;="&amp;($D$6-1)),0))/7)/((SUM($H$135:$H162)+$K$12*IF($L162&lt;27,SUMIFS('Throw Log'!$Q$5:$Q$300,'Throw Log'!$B$5:$B$300,$D$4,'Throw Log'!$A$5:$A$300,"&gt;="&amp;($D$6+$L162-27),'Throw Log'!$A$5:$A$300,"&lt;="&amp;($D$6-1)),0))/28),"")))</f>
        <v/>
      </c>
      <c r="J162" s="37"/>
      <c r="K162" s="37"/>
      <c r="L162" s="32">
        <v>119</v>
      </c>
      <c r="M162" s="32">
        <f t="shared" si="88"/>
        <v>18</v>
      </c>
      <c r="N162" s="32">
        <f t="shared" si="89"/>
        <v>0</v>
      </c>
      <c r="O162" s="32">
        <f t="shared" si="90"/>
        <v>1</v>
      </c>
      <c r="P162" s="32" t="str">
        <f>IF(OR($A162="",N($C162)&lt;=7),"",$G$6*$G$9^($M162-1)*IF(AND(MOD($M162,Reference!$B$99)=0,$M162&lt;=$G$5-2),Reference!$B$100,1))</f>
        <v/>
      </c>
      <c r="Q162" s="32" t="str">
        <f>IF($P162="","",IF(SUM($AK$162:$AK$168)=0,0,$P162*INDEX(Reference!$B$108:$B$114,$N162+1)/SUM($AK$162:$AK$168)))</f>
        <v/>
      </c>
      <c r="R162" s="32">
        <f t="shared" si="91"/>
        <v>180</v>
      </c>
      <c r="S162" s="32">
        <f t="shared" si="92"/>
        <v>150</v>
      </c>
      <c r="T162" s="32" t="str">
        <f>IF($A162="","",IF($C162=0,"Bullpen",IF(OR($C162=7,$C162=1,$C162=5),"Recovery/Easy Catch",IF($C162=6,"Compression/Pulldowns",IF(OR($C162=4,$C162=2),"Long Toss",IF($C162=3,"No Throw",IF($N162=2,"No Throw",IF($N162=6,IF($O162&lt;Reference!$B$104,"No Throw","Recovery/Easy Catch"),IF(OR($N162=0,$N162=4),"Recovery/Easy Catch",IF($N162=1,IF($R162&gt;75,"Long Toss","Recovery/Easy Catch"),IF($N162=3,IF($O162&lt;0.5,IF($S162&gt;75,"Long Toss","Recovery/Easy Catch"),"Compression/Pulldowns"),IF($S162&gt;75,"Long Toss","Recovery/Easy Catch"))))))))))))</f>
        <v/>
      </c>
      <c r="U162" s="32" t="str">
        <f t="shared" si="93"/>
        <v/>
      </c>
      <c r="V162" s="32" t="str">
        <f t="shared" si="94"/>
        <v/>
      </c>
      <c r="W162" s="32" t="str">
        <f t="shared" si="95"/>
        <v/>
      </c>
      <c r="X162" s="32">
        <f t="shared" si="96"/>
        <v>0</v>
      </c>
      <c r="Y162" s="32" t="str">
        <f t="shared" si="97"/>
        <v/>
      </c>
      <c r="Z162" s="32" t="str">
        <f t="shared" si="98"/>
        <v/>
      </c>
      <c r="AA162" s="32" t="str">
        <f t="shared" si="99"/>
        <v/>
      </c>
      <c r="AB162" s="32" t="str">
        <f>IF($A162="","",IF($T162="No Throw",0,IF($K162&lt;&gt;"",$K162,IF($AA162&lt;&gt;"",ROUND($AA162*$D$12*IF($C162=0,1,$G$10),0),MIN(IF($T162="Recovery/Easy Catch",Reference!$B$103,IF($T162="Long Toss",Reference!$B$106,Reference!$B$102)),MAX(Reference!$B$101,ROUND(MAX(0,$Q162-$AE162)/$AF162,0)))))))</f>
        <v/>
      </c>
      <c r="AC162" s="32">
        <f t="shared" si="100"/>
        <v>0</v>
      </c>
      <c r="AD162" s="32" t="b">
        <f t="shared" si="101"/>
        <v>1</v>
      </c>
      <c r="AE162" s="32">
        <f>IF($X162=0,0,$X162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162+$Z162)/2,0),Reference!$A$17:$B$20,2,TRUE()))</f>
        <v>0</v>
      </c>
      <c r="AF162" s="32">
        <f>IF(OR($A162="",$U162="",$T162="No Throw"),0,$AM162*VLOOKUP(MAX(($V162+$W162)/2,0),Reference!$A$17:$B$20,2,TRUE()))</f>
        <v>0</v>
      </c>
      <c r="AG162" s="32">
        <f>IF($AC162=0,0,$AC162*INDEX(Reference!$B$61:$B$62,MATCH("Bullpen",Reference!$A$61:$A$62,0))*VLOOKUP(MAX($D$5-($D$9+$E$9)/2,0),Reference!$A$17:$B$20,2,TRUE()))</f>
        <v>0</v>
      </c>
      <c r="AH162" s="32" t="e">
        <f t="shared" si="102"/>
        <v>#N/A</v>
      </c>
      <c r="AI162" s="32" t="e">
        <f>IF($A162="",NA(),Reference!$A$25)</f>
        <v>#N/A</v>
      </c>
      <c r="AJ162" s="32" t="e">
        <f t="shared" si="103"/>
        <v>#N/A</v>
      </c>
      <c r="AK162" s="32">
        <f>IF(OR($A162="",N($C162)&lt;=7,$T162="No Throw",$J162="x"),0,INDEX(Reference!$B$108:$B$114,$N162+1))</f>
        <v>0</v>
      </c>
      <c r="AL162" s="32">
        <f t="shared" si="104"/>
        <v>1</v>
      </c>
      <c r="AM162" s="32">
        <f>IF($U162="",0,IF($AL162&gt;1,((IF(1&lt;=$AL162,($AL162-1+3)*(INDEX(Reference!$B$6:$B$11,MIN(5,MATCH(MAX(Reference!$A$6,MIN(Reference!$A$11,MIN($U162,90))),Reference!$A$6:$A$11,1)))+(MAX(Reference!$A$6,MIN(Reference!$A$11,MIN($U162,90)))-INDEX(Reference!$A$6:$A$11,MIN(5,MATCH(MAX(Reference!$A$6,MIN(Reference!$A$11,MIN($U162,90))),Reference!$A$6:$A$11,1))))*(INDEX(Reference!$B$6:$B$11,MIN(5,MATCH(MAX(Reference!$A$6,MIN(Reference!$A$11,MIN($U162,90))),Reference!$A$6:$A$11,1))+1)-INDEX(Reference!$B$6:$B$11,MIN(5,MATCH(MAX(Reference!$A$6,MIN(Reference!$A$11,MIN($U162,90))),Reference!$A$6:$A$11,1))))/(INDEX(Reference!$A$6:$A$11,MIN(5,MATCH(MAX(Reference!$A$6,MIN(Reference!$A$11,MIN($U162,90))),Reference!$A$6:$A$11,1))+1)-INDEX(Reference!$A$6:$A$11,MIN(5,MATCH(MAX(Reference!$A$6,MIN(Reference!$A$11,MIN($U162,90))),Reference!$A$6:$A$11,1))))),0)+IF(2&lt;=$AL162,($AL162-2+3)*(INDEX(Reference!$B$6:$B$11,MIN(5,MATCH(MAX(Reference!$A$6,MIN(Reference!$A$11,MIN($U162,120))),Reference!$A$6:$A$11,1)))+(MAX(Reference!$A$6,MIN(Reference!$A$11,MIN($U162,120)))-INDEX(Reference!$A$6:$A$11,MIN(5,MATCH(MAX(Reference!$A$6,MIN(Reference!$A$11,MIN($U162,120))),Reference!$A$6:$A$11,1))))*(INDEX(Reference!$B$6:$B$11,MIN(5,MATCH(MAX(Reference!$A$6,MIN(Reference!$A$11,MIN($U162,120))),Reference!$A$6:$A$11,1))+1)-INDEX(Reference!$B$6:$B$11,MIN(5,MATCH(MAX(Reference!$A$6,MIN(Reference!$A$11,MIN($U162,120))),Reference!$A$6:$A$11,1))))/(INDEX(Reference!$A$6:$A$11,MIN(5,MATCH(MAX(Reference!$A$6,MIN(Reference!$A$11,MIN($U162,120))),Reference!$A$6:$A$11,1))+1)-INDEX(Reference!$A$6:$A$11,MIN(5,MATCH(MAX(Reference!$A$6,MIN(Reference!$A$11,MIN($U162,120))),Reference!$A$6:$A$11,1))))),0)+IF(3&lt;=$AL162,($AL162-3+3)*(INDEX(Reference!$B$6:$B$11,MIN(5,MATCH(MAX(Reference!$A$6,MIN(Reference!$A$11,MIN($U162,150))),Reference!$A$6:$A$11,1)))+(MAX(Reference!$A$6,MIN(Reference!$A$11,MIN($U162,150)))-INDEX(Reference!$A$6:$A$11,MIN(5,MATCH(MAX(Reference!$A$6,MIN(Reference!$A$11,MIN($U162,150))),Reference!$A$6:$A$11,1))))*(INDEX(Reference!$B$6:$B$11,MIN(5,MATCH(MAX(Reference!$A$6,MIN(Reference!$A$11,MIN($U162,150))),Reference!$A$6:$A$11,1))+1)-INDEX(Reference!$B$6:$B$11,MIN(5,MATCH(MAX(Reference!$A$6,MIN(Reference!$A$11,MIN($U162,150))),Reference!$A$6:$A$11,1))))/(INDEX(Reference!$A$6:$A$11,MIN(5,MATCH(MAX(Reference!$A$6,MIN(Reference!$A$11,MIN($U162,150))),Reference!$A$6:$A$11,1))+1)-INDEX(Reference!$A$6:$A$11,MIN(5,MATCH(MAX(Reference!$A$6,MIN(Reference!$A$11,MIN($U162,150))),Reference!$A$6:$A$11,1))))),0)+IF(4&lt;=$AL162,($AL162-4+3)*(INDEX(Reference!$B$6:$B$11,MIN(5,MATCH(MAX(Reference!$A$6,MIN(Reference!$A$11,MIN($U162,180))),Reference!$A$6:$A$11,1)))+(MAX(Reference!$A$6,MIN(Reference!$A$11,MIN($U162,180)))-INDEX(Reference!$A$6:$A$11,MIN(5,MATCH(MAX(Reference!$A$6,MIN(Reference!$A$11,MIN($U162,180))),Reference!$A$6:$A$11,1))))*(INDEX(Reference!$B$6:$B$11,MIN(5,MATCH(MAX(Reference!$A$6,MIN(Reference!$A$11,MIN($U162,180))),Reference!$A$6:$A$11,1))+1)-INDEX(Reference!$B$6:$B$11,MIN(5,MATCH(MAX(Reference!$A$6,MIN(Reference!$A$11,MIN($U162,180))),Reference!$A$6:$A$11,1))))/(INDEX(Reference!$A$6:$A$11,MIN(5,MATCH(MAX(Reference!$A$6,MIN(Reference!$A$11,MIN($U162,180))),Reference!$A$6:$A$11,1))+1)-INDEX(Reference!$A$6:$A$11,MIN(5,MATCH(MAX(Reference!$A$6,MIN(Reference!$A$11,MIN($U162,180))),Reference!$A$6:$A$11,1))))),0)+IF(5&lt;=$AL162,($AL162-5+3)*(INDEX(Reference!$B$6:$B$11,MIN(5,MATCH(MAX(Reference!$A$6,MIN(Reference!$A$11,MIN($U162,210))),Reference!$A$6:$A$11,1)))+(MAX(Reference!$A$6,MIN(Reference!$A$11,MIN($U162,210)))-INDEX(Reference!$A$6:$A$11,MIN(5,MATCH(MAX(Reference!$A$6,MIN(Reference!$A$11,MIN($U162,210))),Reference!$A$6:$A$11,1))))*(INDEX(Reference!$B$6:$B$11,MIN(5,MATCH(MAX(Reference!$A$6,MIN(Reference!$A$11,MIN($U162,210))),Reference!$A$6:$A$11,1))+1)-INDEX(Reference!$B$6:$B$11,MIN(5,MATCH(MAX(Reference!$A$6,MIN(Reference!$A$11,MIN($U162,210))),Reference!$A$6:$A$11,1))))/(INDEX(Reference!$A$6:$A$11,MIN(5,MATCH(MAX(Reference!$A$6,MIN(Reference!$A$11,MIN($U162,210))),Reference!$A$6:$A$11,1))+1)-INDEX(Reference!$A$6:$A$11,MIN(5,MATCH(MAX(Reference!$A$6,MIN(Reference!$A$11,MIN($U162,210))),Reference!$A$6:$A$11,1))))),0)+IF(6&lt;=$AL162,($AL162-6+3)*(INDEX(Reference!$B$6:$B$11,MIN(5,MATCH(MAX(Reference!$A$6,MIN(Reference!$A$11,MIN($U162,240))),Reference!$A$6:$A$11,1)))+(MAX(Reference!$A$6,MIN(Reference!$A$11,MIN($U162,240)))-INDEX(Reference!$A$6:$A$11,MIN(5,MATCH(MAX(Reference!$A$6,MIN(Reference!$A$11,MIN($U162,240))),Reference!$A$6:$A$11,1))))*(INDEX(Reference!$B$6:$B$11,MIN(5,MATCH(MAX(Reference!$A$6,MIN(Reference!$A$11,MIN($U162,240))),Reference!$A$6:$A$11,1))+1)-INDEX(Reference!$B$6:$B$11,MIN(5,MATCH(MAX(Reference!$A$6,MIN(Reference!$A$11,MIN($U162,240))),Reference!$A$6:$A$11,1))))/(INDEX(Reference!$A$6:$A$11,MIN(5,MATCH(MAX(Reference!$A$6,MIN(Reference!$A$11,MIN($U162,240))),Reference!$A$6:$A$11,1))+1)-INDEX(Reference!$A$6:$A$11,MIN(5,MATCH(MAX(Reference!$A$6,MIN(Reference!$A$11,MIN($U162,240))),Reference!$A$6:$A$11,1))))),0)+IF(7&lt;=$AL162,($AL162-7+3)*(INDEX(Reference!$B$6:$B$11,MIN(5,MATCH(MAX(Reference!$A$6,MIN(Reference!$A$11,MIN($U162,270))),Reference!$A$6:$A$11,1)))+(MAX(Reference!$A$6,MIN(Reference!$A$11,MIN($U162,270)))-INDEX(Reference!$A$6:$A$11,MIN(5,MATCH(MAX(Reference!$A$6,MIN(Reference!$A$11,MIN($U162,270))),Reference!$A$6:$A$11,1))))*(INDEX(Reference!$B$6:$B$11,MIN(5,MATCH(MAX(Reference!$A$6,MIN(Reference!$A$11,MIN($U162,270))),Reference!$A$6:$A$11,1))+1)-INDEX(Reference!$B$6:$B$11,MIN(5,MATCH(MAX(Reference!$A$6,MIN(Reference!$A$11,MIN($U162,270))),Reference!$A$6:$A$11,1))))/(INDEX(Reference!$A$6:$A$11,MIN(5,MATCH(MAX(Reference!$A$6,MIN(Reference!$A$11,MIN($U162,270))),Reference!$A$6:$A$11,1))+1)-INDEX(Reference!$A$6:$A$11,MIN(5,MATCH(MAX(Reference!$A$6,MIN(Reference!$A$11,MIN($U162,270))),Reference!$A$6:$A$11,1))))),0)+IF(8&lt;=$AL162,($AL162-8+3)*(INDEX(Reference!$B$6:$B$11,MIN(5,MATCH(MAX(Reference!$A$6,MIN(Reference!$A$11,MIN($U162,300))),Reference!$A$6:$A$11,1)))+(MAX(Reference!$A$6,MIN(Reference!$A$11,MIN($U162,300)))-INDEX(Reference!$A$6:$A$11,MIN(5,MATCH(MAX(Reference!$A$6,MIN(Reference!$A$11,MIN($U162,300))),Reference!$A$6:$A$11,1))))*(INDEX(Reference!$B$6:$B$11,MIN(5,MATCH(MAX(Reference!$A$6,MIN(Reference!$A$11,MIN($U162,300))),Reference!$A$6:$A$11,1))+1)-INDEX(Reference!$B$6:$B$11,MIN(5,MATCH(MAX(Reference!$A$6,MIN(Reference!$A$11,MIN($U162,300))),Reference!$A$6:$A$11,1))))/(INDEX(Reference!$A$6:$A$11,MIN(5,MATCH(MAX(Reference!$A$6,MIN(Reference!$A$11,MIN($U162,300))),Reference!$A$6:$A$11,1))+1)-INDEX(Reference!$A$6:$A$11,MIN(5,MATCH(MAX(Reference!$A$6,MIN(Reference!$A$11,MIN($U162,300))),Reference!$A$6:$A$11,1))))),0))/($AL162*($AL162+5)/2)),$AN162))</f>
        <v>0</v>
      </c>
      <c r="AN162" s="32">
        <f>IF($U162="",0,(INDEX(Reference!$B$6:$B$11,MIN(5,MATCH(MAX(Reference!$A$6,MIN(Reference!$A$11,$U162)),Reference!$A$6:$A$11,1)))+(MAX(Reference!$A$6,MIN(Reference!$A$11,$U162))-INDEX(Reference!$A$6:$A$11,MIN(5,MATCH(MAX(Reference!$A$6,MIN(Reference!$A$11,$U162)),Reference!$A$6:$A$11,1))))*(INDEX(Reference!$B$6:$B$11,MIN(5,MATCH(MAX(Reference!$A$6,MIN(Reference!$A$11,$U162)),Reference!$A$6:$A$11,1))+1)-INDEX(Reference!$B$6:$B$11,MIN(5,MATCH(MAX(Reference!$A$6,MIN(Reference!$A$11,$U162)),Reference!$A$6:$A$11,1))))/(INDEX(Reference!$A$6:$A$11,MIN(5,MATCH(MAX(Reference!$A$6,MIN(Reference!$A$11,$U162)),Reference!$A$6:$A$11,1))+1)-INDEX(Reference!$A$6:$A$11,MIN(5,MATCH(MAX(Reference!$A$6,MIN(Reference!$A$11,$U162)),Reference!$A$6:$A$11,1))))))</f>
        <v>0</v>
      </c>
      <c r="AO162" s="37"/>
      <c r="AP162" s="37"/>
      <c r="AQ162" s="37"/>
    </row>
    <row r="163" spans="1:43" x14ac:dyDescent="0.3">
      <c r="A163" s="48" t="str">
        <f t="shared" si="80"/>
        <v/>
      </c>
      <c r="B163" s="32" t="str">
        <f t="shared" si="81"/>
        <v/>
      </c>
      <c r="C163" s="32" t="str">
        <f t="shared" si="82"/>
        <v/>
      </c>
      <c r="D163" s="32" t="str">
        <f t="shared" si="83"/>
        <v/>
      </c>
      <c r="E163" s="32" t="str">
        <f t="shared" si="84"/>
        <v/>
      </c>
      <c r="F163" s="32" t="str">
        <f t="shared" si="85"/>
        <v/>
      </c>
      <c r="G163" s="47" t="str">
        <f t="shared" si="86"/>
        <v/>
      </c>
      <c r="H163" s="30" t="str">
        <f t="shared" si="87"/>
        <v/>
      </c>
      <c r="I163" s="46" t="str">
        <f>IF($A163="","",IF(AND($L163&lt;27,$K$12=0),"Building",IFERROR(((SUM($H$157:$H163)+$K$12*IF($L163&lt;6,SUMIFS('Throw Log'!$Q$5:$Q$300,'Throw Log'!$B$5:$B$300,$D$4,'Throw Log'!$A$5:$A$300,"&gt;="&amp;($D$6+$L163-6),'Throw Log'!$A$5:$A$300,"&lt;="&amp;($D$6-1)),0))/7)/((SUM($H$136:$H163)+$K$12*IF($L163&lt;27,SUMIFS('Throw Log'!$Q$5:$Q$300,'Throw Log'!$B$5:$B$300,$D$4,'Throw Log'!$A$5:$A$300,"&gt;="&amp;($D$6+$L163-27),'Throw Log'!$A$5:$A$300,"&lt;="&amp;($D$6-1)),0))/28),"")))</f>
        <v/>
      </c>
      <c r="J163" s="37"/>
      <c r="K163" s="37"/>
      <c r="L163" s="32">
        <v>120</v>
      </c>
      <c r="M163" s="32">
        <f t="shared" si="88"/>
        <v>18</v>
      </c>
      <c r="N163" s="32">
        <f t="shared" si="89"/>
        <v>1</v>
      </c>
      <c r="O163" s="32">
        <f t="shared" si="90"/>
        <v>1</v>
      </c>
      <c r="P163" s="32" t="str">
        <f>IF(OR($A163="",N($C163)&lt;=7),"",$G$6*$G$9^($M163-1)*IF(AND(MOD($M163,Reference!$B$99)=0,$M163&lt;=$G$5-2),Reference!$B$100,1))</f>
        <v/>
      </c>
      <c r="Q163" s="32" t="str">
        <f>IF($P163="","",IF(SUM($AK$162:$AK$168)=0,0,$P163*INDEX(Reference!$B$108:$B$114,$N163+1)/SUM($AK$162:$AK$168)))</f>
        <v/>
      </c>
      <c r="R163" s="32">
        <f t="shared" si="91"/>
        <v>180</v>
      </c>
      <c r="S163" s="32">
        <f t="shared" si="92"/>
        <v>150</v>
      </c>
      <c r="T163" s="32" t="str">
        <f>IF($A163="","",IF($C163=0,"Bullpen",IF(OR($C163=7,$C163=1,$C163=5),"Recovery/Easy Catch",IF($C163=6,"Compression/Pulldowns",IF(OR($C163=4,$C163=2),"Long Toss",IF($C163=3,"No Throw",IF($N163=2,"No Throw",IF($N163=6,IF($O163&lt;Reference!$B$104,"No Throw","Recovery/Easy Catch"),IF(OR($N163=0,$N163=4),"Recovery/Easy Catch",IF($N163=1,IF($R163&gt;75,"Long Toss","Recovery/Easy Catch"),IF($N163=3,IF($O163&lt;0.5,IF($S163&gt;75,"Long Toss","Recovery/Easy Catch"),"Compression/Pulldowns"),IF($S163&gt;75,"Long Toss","Recovery/Easy Catch"))))))))))))</f>
        <v/>
      </c>
      <c r="U163" s="32" t="str">
        <f t="shared" si="93"/>
        <v/>
      </c>
      <c r="V163" s="32" t="str">
        <f t="shared" si="94"/>
        <v/>
      </c>
      <c r="W163" s="32" t="str">
        <f t="shared" si="95"/>
        <v/>
      </c>
      <c r="X163" s="32">
        <f t="shared" si="96"/>
        <v>0</v>
      </c>
      <c r="Y163" s="32" t="str">
        <f t="shared" si="97"/>
        <v/>
      </c>
      <c r="Z163" s="32" t="str">
        <f t="shared" si="98"/>
        <v/>
      </c>
      <c r="AA163" s="32" t="str">
        <f t="shared" si="99"/>
        <v/>
      </c>
      <c r="AB163" s="32" t="str">
        <f>IF($A163="","",IF($T163="No Throw",0,IF($K163&lt;&gt;"",$K163,IF($AA163&lt;&gt;"",ROUND($AA163*$D$12*IF($C163=0,1,$G$10),0),MIN(IF($T163="Recovery/Easy Catch",Reference!$B$103,IF($T163="Long Toss",Reference!$B$106,Reference!$B$102)),MAX(Reference!$B$101,ROUND(MAX(0,$Q163-$AE163)/$AF163,0)))))))</f>
        <v/>
      </c>
      <c r="AC163" s="32">
        <f t="shared" si="100"/>
        <v>0</v>
      </c>
      <c r="AD163" s="32" t="b">
        <f t="shared" si="101"/>
        <v>1</v>
      </c>
      <c r="AE163" s="32">
        <f>IF($X163=0,0,$X163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163+$Z163)/2,0),Reference!$A$17:$B$20,2,TRUE()))</f>
        <v>0</v>
      </c>
      <c r="AF163" s="32">
        <f>IF(OR($A163="",$U163="",$T163="No Throw"),0,$AM163*VLOOKUP(MAX(($V163+$W163)/2,0),Reference!$A$17:$B$20,2,TRUE()))</f>
        <v>0</v>
      </c>
      <c r="AG163" s="32">
        <f>IF($AC163=0,0,$AC163*INDEX(Reference!$B$61:$B$62,MATCH("Bullpen",Reference!$A$61:$A$62,0))*VLOOKUP(MAX($D$5-($D$9+$E$9)/2,0),Reference!$A$17:$B$20,2,TRUE()))</f>
        <v>0</v>
      </c>
      <c r="AH163" s="32" t="e">
        <f t="shared" si="102"/>
        <v>#N/A</v>
      </c>
      <c r="AI163" s="32" t="e">
        <f>IF($A163="",NA(),Reference!$A$25)</f>
        <v>#N/A</v>
      </c>
      <c r="AJ163" s="32" t="e">
        <f t="shared" si="103"/>
        <v>#N/A</v>
      </c>
      <c r="AK163" s="32">
        <f>IF(OR($A163="",N($C163)&lt;=7,$T163="No Throw",$J163="x"),0,INDEX(Reference!$B$108:$B$114,$N163+1))</f>
        <v>0</v>
      </c>
      <c r="AL163" s="32">
        <f t="shared" si="104"/>
        <v>1</v>
      </c>
      <c r="AM163" s="32">
        <f>IF($U163="",0,IF($AL163&gt;1,((IF(1&lt;=$AL163,($AL163-1+3)*(INDEX(Reference!$B$6:$B$11,MIN(5,MATCH(MAX(Reference!$A$6,MIN(Reference!$A$11,MIN($U163,90))),Reference!$A$6:$A$11,1)))+(MAX(Reference!$A$6,MIN(Reference!$A$11,MIN($U163,90)))-INDEX(Reference!$A$6:$A$11,MIN(5,MATCH(MAX(Reference!$A$6,MIN(Reference!$A$11,MIN($U163,90))),Reference!$A$6:$A$11,1))))*(INDEX(Reference!$B$6:$B$11,MIN(5,MATCH(MAX(Reference!$A$6,MIN(Reference!$A$11,MIN($U163,90))),Reference!$A$6:$A$11,1))+1)-INDEX(Reference!$B$6:$B$11,MIN(5,MATCH(MAX(Reference!$A$6,MIN(Reference!$A$11,MIN($U163,90))),Reference!$A$6:$A$11,1))))/(INDEX(Reference!$A$6:$A$11,MIN(5,MATCH(MAX(Reference!$A$6,MIN(Reference!$A$11,MIN($U163,90))),Reference!$A$6:$A$11,1))+1)-INDEX(Reference!$A$6:$A$11,MIN(5,MATCH(MAX(Reference!$A$6,MIN(Reference!$A$11,MIN($U163,90))),Reference!$A$6:$A$11,1))))),0)+IF(2&lt;=$AL163,($AL163-2+3)*(INDEX(Reference!$B$6:$B$11,MIN(5,MATCH(MAX(Reference!$A$6,MIN(Reference!$A$11,MIN($U163,120))),Reference!$A$6:$A$11,1)))+(MAX(Reference!$A$6,MIN(Reference!$A$11,MIN($U163,120)))-INDEX(Reference!$A$6:$A$11,MIN(5,MATCH(MAX(Reference!$A$6,MIN(Reference!$A$11,MIN($U163,120))),Reference!$A$6:$A$11,1))))*(INDEX(Reference!$B$6:$B$11,MIN(5,MATCH(MAX(Reference!$A$6,MIN(Reference!$A$11,MIN($U163,120))),Reference!$A$6:$A$11,1))+1)-INDEX(Reference!$B$6:$B$11,MIN(5,MATCH(MAX(Reference!$A$6,MIN(Reference!$A$11,MIN($U163,120))),Reference!$A$6:$A$11,1))))/(INDEX(Reference!$A$6:$A$11,MIN(5,MATCH(MAX(Reference!$A$6,MIN(Reference!$A$11,MIN($U163,120))),Reference!$A$6:$A$11,1))+1)-INDEX(Reference!$A$6:$A$11,MIN(5,MATCH(MAX(Reference!$A$6,MIN(Reference!$A$11,MIN($U163,120))),Reference!$A$6:$A$11,1))))),0)+IF(3&lt;=$AL163,($AL163-3+3)*(INDEX(Reference!$B$6:$B$11,MIN(5,MATCH(MAX(Reference!$A$6,MIN(Reference!$A$11,MIN($U163,150))),Reference!$A$6:$A$11,1)))+(MAX(Reference!$A$6,MIN(Reference!$A$11,MIN($U163,150)))-INDEX(Reference!$A$6:$A$11,MIN(5,MATCH(MAX(Reference!$A$6,MIN(Reference!$A$11,MIN($U163,150))),Reference!$A$6:$A$11,1))))*(INDEX(Reference!$B$6:$B$11,MIN(5,MATCH(MAX(Reference!$A$6,MIN(Reference!$A$11,MIN($U163,150))),Reference!$A$6:$A$11,1))+1)-INDEX(Reference!$B$6:$B$11,MIN(5,MATCH(MAX(Reference!$A$6,MIN(Reference!$A$11,MIN($U163,150))),Reference!$A$6:$A$11,1))))/(INDEX(Reference!$A$6:$A$11,MIN(5,MATCH(MAX(Reference!$A$6,MIN(Reference!$A$11,MIN($U163,150))),Reference!$A$6:$A$11,1))+1)-INDEX(Reference!$A$6:$A$11,MIN(5,MATCH(MAX(Reference!$A$6,MIN(Reference!$A$11,MIN($U163,150))),Reference!$A$6:$A$11,1))))),0)+IF(4&lt;=$AL163,($AL163-4+3)*(INDEX(Reference!$B$6:$B$11,MIN(5,MATCH(MAX(Reference!$A$6,MIN(Reference!$A$11,MIN($U163,180))),Reference!$A$6:$A$11,1)))+(MAX(Reference!$A$6,MIN(Reference!$A$11,MIN($U163,180)))-INDEX(Reference!$A$6:$A$11,MIN(5,MATCH(MAX(Reference!$A$6,MIN(Reference!$A$11,MIN($U163,180))),Reference!$A$6:$A$11,1))))*(INDEX(Reference!$B$6:$B$11,MIN(5,MATCH(MAX(Reference!$A$6,MIN(Reference!$A$11,MIN($U163,180))),Reference!$A$6:$A$11,1))+1)-INDEX(Reference!$B$6:$B$11,MIN(5,MATCH(MAX(Reference!$A$6,MIN(Reference!$A$11,MIN($U163,180))),Reference!$A$6:$A$11,1))))/(INDEX(Reference!$A$6:$A$11,MIN(5,MATCH(MAX(Reference!$A$6,MIN(Reference!$A$11,MIN($U163,180))),Reference!$A$6:$A$11,1))+1)-INDEX(Reference!$A$6:$A$11,MIN(5,MATCH(MAX(Reference!$A$6,MIN(Reference!$A$11,MIN($U163,180))),Reference!$A$6:$A$11,1))))),0)+IF(5&lt;=$AL163,($AL163-5+3)*(INDEX(Reference!$B$6:$B$11,MIN(5,MATCH(MAX(Reference!$A$6,MIN(Reference!$A$11,MIN($U163,210))),Reference!$A$6:$A$11,1)))+(MAX(Reference!$A$6,MIN(Reference!$A$11,MIN($U163,210)))-INDEX(Reference!$A$6:$A$11,MIN(5,MATCH(MAX(Reference!$A$6,MIN(Reference!$A$11,MIN($U163,210))),Reference!$A$6:$A$11,1))))*(INDEX(Reference!$B$6:$B$11,MIN(5,MATCH(MAX(Reference!$A$6,MIN(Reference!$A$11,MIN($U163,210))),Reference!$A$6:$A$11,1))+1)-INDEX(Reference!$B$6:$B$11,MIN(5,MATCH(MAX(Reference!$A$6,MIN(Reference!$A$11,MIN($U163,210))),Reference!$A$6:$A$11,1))))/(INDEX(Reference!$A$6:$A$11,MIN(5,MATCH(MAX(Reference!$A$6,MIN(Reference!$A$11,MIN($U163,210))),Reference!$A$6:$A$11,1))+1)-INDEX(Reference!$A$6:$A$11,MIN(5,MATCH(MAX(Reference!$A$6,MIN(Reference!$A$11,MIN($U163,210))),Reference!$A$6:$A$11,1))))),0)+IF(6&lt;=$AL163,($AL163-6+3)*(INDEX(Reference!$B$6:$B$11,MIN(5,MATCH(MAX(Reference!$A$6,MIN(Reference!$A$11,MIN($U163,240))),Reference!$A$6:$A$11,1)))+(MAX(Reference!$A$6,MIN(Reference!$A$11,MIN($U163,240)))-INDEX(Reference!$A$6:$A$11,MIN(5,MATCH(MAX(Reference!$A$6,MIN(Reference!$A$11,MIN($U163,240))),Reference!$A$6:$A$11,1))))*(INDEX(Reference!$B$6:$B$11,MIN(5,MATCH(MAX(Reference!$A$6,MIN(Reference!$A$11,MIN($U163,240))),Reference!$A$6:$A$11,1))+1)-INDEX(Reference!$B$6:$B$11,MIN(5,MATCH(MAX(Reference!$A$6,MIN(Reference!$A$11,MIN($U163,240))),Reference!$A$6:$A$11,1))))/(INDEX(Reference!$A$6:$A$11,MIN(5,MATCH(MAX(Reference!$A$6,MIN(Reference!$A$11,MIN($U163,240))),Reference!$A$6:$A$11,1))+1)-INDEX(Reference!$A$6:$A$11,MIN(5,MATCH(MAX(Reference!$A$6,MIN(Reference!$A$11,MIN($U163,240))),Reference!$A$6:$A$11,1))))),0)+IF(7&lt;=$AL163,($AL163-7+3)*(INDEX(Reference!$B$6:$B$11,MIN(5,MATCH(MAX(Reference!$A$6,MIN(Reference!$A$11,MIN($U163,270))),Reference!$A$6:$A$11,1)))+(MAX(Reference!$A$6,MIN(Reference!$A$11,MIN($U163,270)))-INDEX(Reference!$A$6:$A$11,MIN(5,MATCH(MAX(Reference!$A$6,MIN(Reference!$A$11,MIN($U163,270))),Reference!$A$6:$A$11,1))))*(INDEX(Reference!$B$6:$B$11,MIN(5,MATCH(MAX(Reference!$A$6,MIN(Reference!$A$11,MIN($U163,270))),Reference!$A$6:$A$11,1))+1)-INDEX(Reference!$B$6:$B$11,MIN(5,MATCH(MAX(Reference!$A$6,MIN(Reference!$A$11,MIN($U163,270))),Reference!$A$6:$A$11,1))))/(INDEX(Reference!$A$6:$A$11,MIN(5,MATCH(MAX(Reference!$A$6,MIN(Reference!$A$11,MIN($U163,270))),Reference!$A$6:$A$11,1))+1)-INDEX(Reference!$A$6:$A$11,MIN(5,MATCH(MAX(Reference!$A$6,MIN(Reference!$A$11,MIN($U163,270))),Reference!$A$6:$A$11,1))))),0)+IF(8&lt;=$AL163,($AL163-8+3)*(INDEX(Reference!$B$6:$B$11,MIN(5,MATCH(MAX(Reference!$A$6,MIN(Reference!$A$11,MIN($U163,300))),Reference!$A$6:$A$11,1)))+(MAX(Reference!$A$6,MIN(Reference!$A$11,MIN($U163,300)))-INDEX(Reference!$A$6:$A$11,MIN(5,MATCH(MAX(Reference!$A$6,MIN(Reference!$A$11,MIN($U163,300))),Reference!$A$6:$A$11,1))))*(INDEX(Reference!$B$6:$B$11,MIN(5,MATCH(MAX(Reference!$A$6,MIN(Reference!$A$11,MIN($U163,300))),Reference!$A$6:$A$11,1))+1)-INDEX(Reference!$B$6:$B$11,MIN(5,MATCH(MAX(Reference!$A$6,MIN(Reference!$A$11,MIN($U163,300))),Reference!$A$6:$A$11,1))))/(INDEX(Reference!$A$6:$A$11,MIN(5,MATCH(MAX(Reference!$A$6,MIN(Reference!$A$11,MIN($U163,300))),Reference!$A$6:$A$11,1))+1)-INDEX(Reference!$A$6:$A$11,MIN(5,MATCH(MAX(Reference!$A$6,MIN(Reference!$A$11,MIN($U163,300))),Reference!$A$6:$A$11,1))))),0))/($AL163*($AL163+5)/2)),$AN163))</f>
        <v>0</v>
      </c>
      <c r="AN163" s="32">
        <f>IF($U163="",0,(INDEX(Reference!$B$6:$B$11,MIN(5,MATCH(MAX(Reference!$A$6,MIN(Reference!$A$11,$U163)),Reference!$A$6:$A$11,1)))+(MAX(Reference!$A$6,MIN(Reference!$A$11,$U163))-INDEX(Reference!$A$6:$A$11,MIN(5,MATCH(MAX(Reference!$A$6,MIN(Reference!$A$11,$U163)),Reference!$A$6:$A$11,1))))*(INDEX(Reference!$B$6:$B$11,MIN(5,MATCH(MAX(Reference!$A$6,MIN(Reference!$A$11,$U163)),Reference!$A$6:$A$11,1))+1)-INDEX(Reference!$B$6:$B$11,MIN(5,MATCH(MAX(Reference!$A$6,MIN(Reference!$A$11,$U163)),Reference!$A$6:$A$11,1))))/(INDEX(Reference!$A$6:$A$11,MIN(5,MATCH(MAX(Reference!$A$6,MIN(Reference!$A$11,$U163)),Reference!$A$6:$A$11,1))+1)-INDEX(Reference!$A$6:$A$11,MIN(5,MATCH(MAX(Reference!$A$6,MIN(Reference!$A$11,$U163)),Reference!$A$6:$A$11,1))))))</f>
        <v>0</v>
      </c>
      <c r="AO163" s="37"/>
      <c r="AP163" s="37"/>
      <c r="AQ163" s="37"/>
    </row>
    <row r="164" spans="1:43" x14ac:dyDescent="0.3">
      <c r="A164" s="48" t="str">
        <f t="shared" si="80"/>
        <v/>
      </c>
      <c r="B164" s="32" t="str">
        <f t="shared" si="81"/>
        <v/>
      </c>
      <c r="C164" s="32" t="str">
        <f t="shared" si="82"/>
        <v/>
      </c>
      <c r="D164" s="32" t="str">
        <f t="shared" si="83"/>
        <v/>
      </c>
      <c r="E164" s="32" t="str">
        <f t="shared" si="84"/>
        <v/>
      </c>
      <c r="F164" s="32" t="str">
        <f t="shared" si="85"/>
        <v/>
      </c>
      <c r="G164" s="47" t="str">
        <f t="shared" si="86"/>
        <v/>
      </c>
      <c r="H164" s="30" t="str">
        <f t="shared" si="87"/>
        <v/>
      </c>
      <c r="I164" s="46" t="str">
        <f>IF($A164="","",IF(AND($L164&lt;27,$K$12=0),"Building",IFERROR(((SUM($H$158:$H164)+$K$12*IF($L164&lt;6,SUMIFS('Throw Log'!$Q$5:$Q$300,'Throw Log'!$B$5:$B$300,$D$4,'Throw Log'!$A$5:$A$300,"&gt;="&amp;($D$6+$L164-6),'Throw Log'!$A$5:$A$300,"&lt;="&amp;($D$6-1)),0))/7)/((SUM($H$137:$H164)+$K$12*IF($L164&lt;27,SUMIFS('Throw Log'!$Q$5:$Q$300,'Throw Log'!$B$5:$B$300,$D$4,'Throw Log'!$A$5:$A$300,"&gt;="&amp;($D$6+$L164-27),'Throw Log'!$A$5:$A$300,"&lt;="&amp;($D$6-1)),0))/28),"")))</f>
        <v/>
      </c>
      <c r="J164" s="37"/>
      <c r="K164" s="37"/>
      <c r="L164" s="32">
        <v>121</v>
      </c>
      <c r="M164" s="32">
        <f t="shared" si="88"/>
        <v>18</v>
      </c>
      <c r="N164" s="32">
        <f t="shared" si="89"/>
        <v>2</v>
      </c>
      <c r="O164" s="32">
        <f t="shared" si="90"/>
        <v>1</v>
      </c>
      <c r="P164" s="32" t="str">
        <f>IF(OR($A164="",N($C164)&lt;=7),"",$G$6*$G$9^($M164-1)*IF(AND(MOD($M164,Reference!$B$99)=0,$M164&lt;=$G$5-2),Reference!$B$100,1))</f>
        <v/>
      </c>
      <c r="Q164" s="32" t="str">
        <f>IF($P164="","",IF(SUM($AK$162:$AK$168)=0,0,$P164*INDEX(Reference!$B$108:$B$114,$N164+1)/SUM($AK$162:$AK$168)))</f>
        <v/>
      </c>
      <c r="R164" s="32">
        <f t="shared" si="91"/>
        <v>180</v>
      </c>
      <c r="S164" s="32">
        <f t="shared" si="92"/>
        <v>150</v>
      </c>
      <c r="T164" s="32" t="str">
        <f>IF($A164="","",IF($C164=0,"Bullpen",IF(OR($C164=7,$C164=1,$C164=5),"Recovery/Easy Catch",IF($C164=6,"Compression/Pulldowns",IF(OR($C164=4,$C164=2),"Long Toss",IF($C164=3,"No Throw",IF($N164=2,"No Throw",IF($N164=6,IF($O164&lt;Reference!$B$104,"No Throw","Recovery/Easy Catch"),IF(OR($N164=0,$N164=4),"Recovery/Easy Catch",IF($N164=1,IF($R164&gt;75,"Long Toss","Recovery/Easy Catch"),IF($N164=3,IF($O164&lt;0.5,IF($S164&gt;75,"Long Toss","Recovery/Easy Catch"),"Compression/Pulldowns"),IF($S164&gt;75,"Long Toss","Recovery/Easy Catch"))))))))))))</f>
        <v/>
      </c>
      <c r="U164" s="32" t="str">
        <f t="shared" si="93"/>
        <v/>
      </c>
      <c r="V164" s="32" t="str">
        <f t="shared" si="94"/>
        <v/>
      </c>
      <c r="W164" s="32" t="str">
        <f t="shared" si="95"/>
        <v/>
      </c>
      <c r="X164" s="32">
        <f t="shared" si="96"/>
        <v>0</v>
      </c>
      <c r="Y164" s="32" t="str">
        <f t="shared" si="97"/>
        <v/>
      </c>
      <c r="Z164" s="32" t="str">
        <f t="shared" si="98"/>
        <v/>
      </c>
      <c r="AA164" s="32" t="str">
        <f t="shared" si="99"/>
        <v/>
      </c>
      <c r="AB164" s="32" t="str">
        <f>IF($A164="","",IF($T164="No Throw",0,IF($K164&lt;&gt;"",$K164,IF($AA164&lt;&gt;"",ROUND($AA164*$D$12*IF($C164=0,1,$G$10),0),MIN(IF($T164="Recovery/Easy Catch",Reference!$B$103,IF($T164="Long Toss",Reference!$B$106,Reference!$B$102)),MAX(Reference!$B$101,ROUND(MAX(0,$Q164-$AE164)/$AF164,0)))))))</f>
        <v/>
      </c>
      <c r="AC164" s="32">
        <f t="shared" si="100"/>
        <v>0</v>
      </c>
      <c r="AD164" s="32" t="b">
        <f t="shared" si="101"/>
        <v>1</v>
      </c>
      <c r="AE164" s="32">
        <f>IF($X164=0,0,$X164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164+$Z164)/2,0),Reference!$A$17:$B$20,2,TRUE()))</f>
        <v>0</v>
      </c>
      <c r="AF164" s="32">
        <f>IF(OR($A164="",$U164="",$T164="No Throw"),0,$AM164*VLOOKUP(MAX(($V164+$W164)/2,0),Reference!$A$17:$B$20,2,TRUE()))</f>
        <v>0</v>
      </c>
      <c r="AG164" s="32">
        <f>IF($AC164=0,0,$AC164*INDEX(Reference!$B$61:$B$62,MATCH("Bullpen",Reference!$A$61:$A$62,0))*VLOOKUP(MAX($D$5-($D$9+$E$9)/2,0),Reference!$A$17:$B$20,2,TRUE()))</f>
        <v>0</v>
      </c>
      <c r="AH164" s="32" t="e">
        <f t="shared" si="102"/>
        <v>#N/A</v>
      </c>
      <c r="AI164" s="32" t="e">
        <f>IF($A164="",NA(),Reference!$A$25)</f>
        <v>#N/A</v>
      </c>
      <c r="AJ164" s="32" t="e">
        <f t="shared" si="103"/>
        <v>#N/A</v>
      </c>
      <c r="AK164" s="32">
        <f>IF(OR($A164="",N($C164)&lt;=7,$T164="No Throw",$J164="x"),0,INDEX(Reference!$B$108:$B$114,$N164+1))</f>
        <v>0</v>
      </c>
      <c r="AL164" s="32">
        <f t="shared" si="104"/>
        <v>1</v>
      </c>
      <c r="AM164" s="32">
        <f>IF($U164="",0,IF($AL164&gt;1,((IF(1&lt;=$AL164,($AL164-1+3)*(INDEX(Reference!$B$6:$B$11,MIN(5,MATCH(MAX(Reference!$A$6,MIN(Reference!$A$11,MIN($U164,90))),Reference!$A$6:$A$11,1)))+(MAX(Reference!$A$6,MIN(Reference!$A$11,MIN($U164,90)))-INDEX(Reference!$A$6:$A$11,MIN(5,MATCH(MAX(Reference!$A$6,MIN(Reference!$A$11,MIN($U164,90))),Reference!$A$6:$A$11,1))))*(INDEX(Reference!$B$6:$B$11,MIN(5,MATCH(MAX(Reference!$A$6,MIN(Reference!$A$11,MIN($U164,90))),Reference!$A$6:$A$11,1))+1)-INDEX(Reference!$B$6:$B$11,MIN(5,MATCH(MAX(Reference!$A$6,MIN(Reference!$A$11,MIN($U164,90))),Reference!$A$6:$A$11,1))))/(INDEX(Reference!$A$6:$A$11,MIN(5,MATCH(MAX(Reference!$A$6,MIN(Reference!$A$11,MIN($U164,90))),Reference!$A$6:$A$11,1))+1)-INDEX(Reference!$A$6:$A$11,MIN(5,MATCH(MAX(Reference!$A$6,MIN(Reference!$A$11,MIN($U164,90))),Reference!$A$6:$A$11,1))))),0)+IF(2&lt;=$AL164,($AL164-2+3)*(INDEX(Reference!$B$6:$B$11,MIN(5,MATCH(MAX(Reference!$A$6,MIN(Reference!$A$11,MIN($U164,120))),Reference!$A$6:$A$11,1)))+(MAX(Reference!$A$6,MIN(Reference!$A$11,MIN($U164,120)))-INDEX(Reference!$A$6:$A$11,MIN(5,MATCH(MAX(Reference!$A$6,MIN(Reference!$A$11,MIN($U164,120))),Reference!$A$6:$A$11,1))))*(INDEX(Reference!$B$6:$B$11,MIN(5,MATCH(MAX(Reference!$A$6,MIN(Reference!$A$11,MIN($U164,120))),Reference!$A$6:$A$11,1))+1)-INDEX(Reference!$B$6:$B$11,MIN(5,MATCH(MAX(Reference!$A$6,MIN(Reference!$A$11,MIN($U164,120))),Reference!$A$6:$A$11,1))))/(INDEX(Reference!$A$6:$A$11,MIN(5,MATCH(MAX(Reference!$A$6,MIN(Reference!$A$11,MIN($U164,120))),Reference!$A$6:$A$11,1))+1)-INDEX(Reference!$A$6:$A$11,MIN(5,MATCH(MAX(Reference!$A$6,MIN(Reference!$A$11,MIN($U164,120))),Reference!$A$6:$A$11,1))))),0)+IF(3&lt;=$AL164,($AL164-3+3)*(INDEX(Reference!$B$6:$B$11,MIN(5,MATCH(MAX(Reference!$A$6,MIN(Reference!$A$11,MIN($U164,150))),Reference!$A$6:$A$11,1)))+(MAX(Reference!$A$6,MIN(Reference!$A$11,MIN($U164,150)))-INDEX(Reference!$A$6:$A$11,MIN(5,MATCH(MAX(Reference!$A$6,MIN(Reference!$A$11,MIN($U164,150))),Reference!$A$6:$A$11,1))))*(INDEX(Reference!$B$6:$B$11,MIN(5,MATCH(MAX(Reference!$A$6,MIN(Reference!$A$11,MIN($U164,150))),Reference!$A$6:$A$11,1))+1)-INDEX(Reference!$B$6:$B$11,MIN(5,MATCH(MAX(Reference!$A$6,MIN(Reference!$A$11,MIN($U164,150))),Reference!$A$6:$A$11,1))))/(INDEX(Reference!$A$6:$A$11,MIN(5,MATCH(MAX(Reference!$A$6,MIN(Reference!$A$11,MIN($U164,150))),Reference!$A$6:$A$11,1))+1)-INDEX(Reference!$A$6:$A$11,MIN(5,MATCH(MAX(Reference!$A$6,MIN(Reference!$A$11,MIN($U164,150))),Reference!$A$6:$A$11,1))))),0)+IF(4&lt;=$AL164,($AL164-4+3)*(INDEX(Reference!$B$6:$B$11,MIN(5,MATCH(MAX(Reference!$A$6,MIN(Reference!$A$11,MIN($U164,180))),Reference!$A$6:$A$11,1)))+(MAX(Reference!$A$6,MIN(Reference!$A$11,MIN($U164,180)))-INDEX(Reference!$A$6:$A$11,MIN(5,MATCH(MAX(Reference!$A$6,MIN(Reference!$A$11,MIN($U164,180))),Reference!$A$6:$A$11,1))))*(INDEX(Reference!$B$6:$B$11,MIN(5,MATCH(MAX(Reference!$A$6,MIN(Reference!$A$11,MIN($U164,180))),Reference!$A$6:$A$11,1))+1)-INDEX(Reference!$B$6:$B$11,MIN(5,MATCH(MAX(Reference!$A$6,MIN(Reference!$A$11,MIN($U164,180))),Reference!$A$6:$A$11,1))))/(INDEX(Reference!$A$6:$A$11,MIN(5,MATCH(MAX(Reference!$A$6,MIN(Reference!$A$11,MIN($U164,180))),Reference!$A$6:$A$11,1))+1)-INDEX(Reference!$A$6:$A$11,MIN(5,MATCH(MAX(Reference!$A$6,MIN(Reference!$A$11,MIN($U164,180))),Reference!$A$6:$A$11,1))))),0)+IF(5&lt;=$AL164,($AL164-5+3)*(INDEX(Reference!$B$6:$B$11,MIN(5,MATCH(MAX(Reference!$A$6,MIN(Reference!$A$11,MIN($U164,210))),Reference!$A$6:$A$11,1)))+(MAX(Reference!$A$6,MIN(Reference!$A$11,MIN($U164,210)))-INDEX(Reference!$A$6:$A$11,MIN(5,MATCH(MAX(Reference!$A$6,MIN(Reference!$A$11,MIN($U164,210))),Reference!$A$6:$A$11,1))))*(INDEX(Reference!$B$6:$B$11,MIN(5,MATCH(MAX(Reference!$A$6,MIN(Reference!$A$11,MIN($U164,210))),Reference!$A$6:$A$11,1))+1)-INDEX(Reference!$B$6:$B$11,MIN(5,MATCH(MAX(Reference!$A$6,MIN(Reference!$A$11,MIN($U164,210))),Reference!$A$6:$A$11,1))))/(INDEX(Reference!$A$6:$A$11,MIN(5,MATCH(MAX(Reference!$A$6,MIN(Reference!$A$11,MIN($U164,210))),Reference!$A$6:$A$11,1))+1)-INDEX(Reference!$A$6:$A$11,MIN(5,MATCH(MAX(Reference!$A$6,MIN(Reference!$A$11,MIN($U164,210))),Reference!$A$6:$A$11,1))))),0)+IF(6&lt;=$AL164,($AL164-6+3)*(INDEX(Reference!$B$6:$B$11,MIN(5,MATCH(MAX(Reference!$A$6,MIN(Reference!$A$11,MIN($U164,240))),Reference!$A$6:$A$11,1)))+(MAX(Reference!$A$6,MIN(Reference!$A$11,MIN($U164,240)))-INDEX(Reference!$A$6:$A$11,MIN(5,MATCH(MAX(Reference!$A$6,MIN(Reference!$A$11,MIN($U164,240))),Reference!$A$6:$A$11,1))))*(INDEX(Reference!$B$6:$B$11,MIN(5,MATCH(MAX(Reference!$A$6,MIN(Reference!$A$11,MIN($U164,240))),Reference!$A$6:$A$11,1))+1)-INDEX(Reference!$B$6:$B$11,MIN(5,MATCH(MAX(Reference!$A$6,MIN(Reference!$A$11,MIN($U164,240))),Reference!$A$6:$A$11,1))))/(INDEX(Reference!$A$6:$A$11,MIN(5,MATCH(MAX(Reference!$A$6,MIN(Reference!$A$11,MIN($U164,240))),Reference!$A$6:$A$11,1))+1)-INDEX(Reference!$A$6:$A$11,MIN(5,MATCH(MAX(Reference!$A$6,MIN(Reference!$A$11,MIN($U164,240))),Reference!$A$6:$A$11,1))))),0)+IF(7&lt;=$AL164,($AL164-7+3)*(INDEX(Reference!$B$6:$B$11,MIN(5,MATCH(MAX(Reference!$A$6,MIN(Reference!$A$11,MIN($U164,270))),Reference!$A$6:$A$11,1)))+(MAX(Reference!$A$6,MIN(Reference!$A$11,MIN($U164,270)))-INDEX(Reference!$A$6:$A$11,MIN(5,MATCH(MAX(Reference!$A$6,MIN(Reference!$A$11,MIN($U164,270))),Reference!$A$6:$A$11,1))))*(INDEX(Reference!$B$6:$B$11,MIN(5,MATCH(MAX(Reference!$A$6,MIN(Reference!$A$11,MIN($U164,270))),Reference!$A$6:$A$11,1))+1)-INDEX(Reference!$B$6:$B$11,MIN(5,MATCH(MAX(Reference!$A$6,MIN(Reference!$A$11,MIN($U164,270))),Reference!$A$6:$A$11,1))))/(INDEX(Reference!$A$6:$A$11,MIN(5,MATCH(MAX(Reference!$A$6,MIN(Reference!$A$11,MIN($U164,270))),Reference!$A$6:$A$11,1))+1)-INDEX(Reference!$A$6:$A$11,MIN(5,MATCH(MAX(Reference!$A$6,MIN(Reference!$A$11,MIN($U164,270))),Reference!$A$6:$A$11,1))))),0)+IF(8&lt;=$AL164,($AL164-8+3)*(INDEX(Reference!$B$6:$B$11,MIN(5,MATCH(MAX(Reference!$A$6,MIN(Reference!$A$11,MIN($U164,300))),Reference!$A$6:$A$11,1)))+(MAX(Reference!$A$6,MIN(Reference!$A$11,MIN($U164,300)))-INDEX(Reference!$A$6:$A$11,MIN(5,MATCH(MAX(Reference!$A$6,MIN(Reference!$A$11,MIN($U164,300))),Reference!$A$6:$A$11,1))))*(INDEX(Reference!$B$6:$B$11,MIN(5,MATCH(MAX(Reference!$A$6,MIN(Reference!$A$11,MIN($U164,300))),Reference!$A$6:$A$11,1))+1)-INDEX(Reference!$B$6:$B$11,MIN(5,MATCH(MAX(Reference!$A$6,MIN(Reference!$A$11,MIN($U164,300))),Reference!$A$6:$A$11,1))))/(INDEX(Reference!$A$6:$A$11,MIN(5,MATCH(MAX(Reference!$A$6,MIN(Reference!$A$11,MIN($U164,300))),Reference!$A$6:$A$11,1))+1)-INDEX(Reference!$A$6:$A$11,MIN(5,MATCH(MAX(Reference!$A$6,MIN(Reference!$A$11,MIN($U164,300))),Reference!$A$6:$A$11,1))))),0))/($AL164*($AL164+5)/2)),$AN164))</f>
        <v>0</v>
      </c>
      <c r="AN164" s="32">
        <f>IF($U164="",0,(INDEX(Reference!$B$6:$B$11,MIN(5,MATCH(MAX(Reference!$A$6,MIN(Reference!$A$11,$U164)),Reference!$A$6:$A$11,1)))+(MAX(Reference!$A$6,MIN(Reference!$A$11,$U164))-INDEX(Reference!$A$6:$A$11,MIN(5,MATCH(MAX(Reference!$A$6,MIN(Reference!$A$11,$U164)),Reference!$A$6:$A$11,1))))*(INDEX(Reference!$B$6:$B$11,MIN(5,MATCH(MAX(Reference!$A$6,MIN(Reference!$A$11,$U164)),Reference!$A$6:$A$11,1))+1)-INDEX(Reference!$B$6:$B$11,MIN(5,MATCH(MAX(Reference!$A$6,MIN(Reference!$A$11,$U164)),Reference!$A$6:$A$11,1))))/(INDEX(Reference!$A$6:$A$11,MIN(5,MATCH(MAX(Reference!$A$6,MIN(Reference!$A$11,$U164)),Reference!$A$6:$A$11,1))+1)-INDEX(Reference!$A$6:$A$11,MIN(5,MATCH(MAX(Reference!$A$6,MIN(Reference!$A$11,$U164)),Reference!$A$6:$A$11,1))))))</f>
        <v>0</v>
      </c>
      <c r="AO164" s="37"/>
      <c r="AP164" s="37"/>
      <c r="AQ164" s="37"/>
    </row>
    <row r="165" spans="1:43" x14ac:dyDescent="0.3">
      <c r="A165" s="48" t="str">
        <f t="shared" si="80"/>
        <v/>
      </c>
      <c r="B165" s="32" t="str">
        <f t="shared" si="81"/>
        <v/>
      </c>
      <c r="C165" s="32" t="str">
        <f t="shared" si="82"/>
        <v/>
      </c>
      <c r="D165" s="32" t="str">
        <f t="shared" si="83"/>
        <v/>
      </c>
      <c r="E165" s="32" t="str">
        <f t="shared" si="84"/>
        <v/>
      </c>
      <c r="F165" s="32" t="str">
        <f t="shared" si="85"/>
        <v/>
      </c>
      <c r="G165" s="47" t="str">
        <f t="shared" si="86"/>
        <v/>
      </c>
      <c r="H165" s="30" t="str">
        <f t="shared" si="87"/>
        <v/>
      </c>
      <c r="I165" s="46" t="str">
        <f>IF($A165="","",IF(AND($L165&lt;27,$K$12=0),"Building",IFERROR(((SUM($H$159:$H165)+$K$12*IF($L165&lt;6,SUMIFS('Throw Log'!$Q$5:$Q$300,'Throw Log'!$B$5:$B$300,$D$4,'Throw Log'!$A$5:$A$300,"&gt;="&amp;($D$6+$L165-6),'Throw Log'!$A$5:$A$300,"&lt;="&amp;($D$6-1)),0))/7)/((SUM($H$138:$H165)+$K$12*IF($L165&lt;27,SUMIFS('Throw Log'!$Q$5:$Q$300,'Throw Log'!$B$5:$B$300,$D$4,'Throw Log'!$A$5:$A$300,"&gt;="&amp;($D$6+$L165-27),'Throw Log'!$A$5:$A$300,"&lt;="&amp;($D$6-1)),0))/28),"")))</f>
        <v/>
      </c>
      <c r="J165" s="37"/>
      <c r="K165" s="37"/>
      <c r="L165" s="32">
        <v>122</v>
      </c>
      <c r="M165" s="32">
        <f t="shared" si="88"/>
        <v>18</v>
      </c>
      <c r="N165" s="32">
        <f t="shared" si="89"/>
        <v>3</v>
      </c>
      <c r="O165" s="32">
        <f t="shared" si="90"/>
        <v>1</v>
      </c>
      <c r="P165" s="32" t="str">
        <f>IF(OR($A165="",N($C165)&lt;=7),"",$G$6*$G$9^($M165-1)*IF(AND(MOD($M165,Reference!$B$99)=0,$M165&lt;=$G$5-2),Reference!$B$100,1))</f>
        <v/>
      </c>
      <c r="Q165" s="32" t="str">
        <f>IF($P165="","",IF(SUM($AK$162:$AK$168)=0,0,$P165*INDEX(Reference!$B$108:$B$114,$N165+1)/SUM($AK$162:$AK$168)))</f>
        <v/>
      </c>
      <c r="R165" s="32">
        <f t="shared" si="91"/>
        <v>180</v>
      </c>
      <c r="S165" s="32">
        <f t="shared" si="92"/>
        <v>150</v>
      </c>
      <c r="T165" s="32" t="str">
        <f>IF($A165="","",IF($C165=0,"Bullpen",IF(OR($C165=7,$C165=1,$C165=5),"Recovery/Easy Catch",IF($C165=6,"Compression/Pulldowns",IF(OR($C165=4,$C165=2),"Long Toss",IF($C165=3,"No Throw",IF($N165=2,"No Throw",IF($N165=6,IF($O165&lt;Reference!$B$104,"No Throw","Recovery/Easy Catch"),IF(OR($N165=0,$N165=4),"Recovery/Easy Catch",IF($N165=1,IF($R165&gt;75,"Long Toss","Recovery/Easy Catch"),IF($N165=3,IF($O165&lt;0.5,IF($S165&gt;75,"Long Toss","Recovery/Easy Catch"),"Compression/Pulldowns"),IF($S165&gt;75,"Long Toss","Recovery/Easy Catch"))))))))))))</f>
        <v/>
      </c>
      <c r="U165" s="32" t="str">
        <f t="shared" si="93"/>
        <v/>
      </c>
      <c r="V165" s="32" t="str">
        <f t="shared" si="94"/>
        <v/>
      </c>
      <c r="W165" s="32" t="str">
        <f t="shared" si="95"/>
        <v/>
      </c>
      <c r="X165" s="32">
        <f t="shared" si="96"/>
        <v>0</v>
      </c>
      <c r="Y165" s="32" t="str">
        <f t="shared" si="97"/>
        <v/>
      </c>
      <c r="Z165" s="32" t="str">
        <f t="shared" si="98"/>
        <v/>
      </c>
      <c r="AA165" s="32" t="str">
        <f t="shared" si="99"/>
        <v/>
      </c>
      <c r="AB165" s="32" t="str">
        <f>IF($A165="","",IF($T165="No Throw",0,IF($K165&lt;&gt;"",$K165,IF($AA165&lt;&gt;"",ROUND($AA165*$D$12*IF($C165=0,1,$G$10),0),MIN(IF($T165="Recovery/Easy Catch",Reference!$B$103,IF($T165="Long Toss",Reference!$B$106,Reference!$B$102)),MAX(Reference!$B$101,ROUND(MAX(0,$Q165-$AE165)/$AF165,0)))))))</f>
        <v/>
      </c>
      <c r="AC165" s="32">
        <f t="shared" si="100"/>
        <v>0</v>
      </c>
      <c r="AD165" s="32" t="b">
        <f t="shared" si="101"/>
        <v>1</v>
      </c>
      <c r="AE165" s="32">
        <f>IF($X165=0,0,$X165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165+$Z165)/2,0),Reference!$A$17:$B$20,2,TRUE()))</f>
        <v>0</v>
      </c>
      <c r="AF165" s="32">
        <f>IF(OR($A165="",$U165="",$T165="No Throw"),0,$AM165*VLOOKUP(MAX(($V165+$W165)/2,0),Reference!$A$17:$B$20,2,TRUE()))</f>
        <v>0</v>
      </c>
      <c r="AG165" s="32">
        <f>IF($AC165=0,0,$AC165*INDEX(Reference!$B$61:$B$62,MATCH("Bullpen",Reference!$A$61:$A$62,0))*VLOOKUP(MAX($D$5-($D$9+$E$9)/2,0),Reference!$A$17:$B$20,2,TRUE()))</f>
        <v>0</v>
      </c>
      <c r="AH165" s="32" t="e">
        <f t="shared" si="102"/>
        <v>#N/A</v>
      </c>
      <c r="AI165" s="32" t="e">
        <f>IF($A165="",NA(),Reference!$A$25)</f>
        <v>#N/A</v>
      </c>
      <c r="AJ165" s="32" t="e">
        <f t="shared" si="103"/>
        <v>#N/A</v>
      </c>
      <c r="AK165" s="32">
        <f>IF(OR($A165="",N($C165)&lt;=7,$T165="No Throw",$J165="x"),0,INDEX(Reference!$B$108:$B$114,$N165+1))</f>
        <v>0</v>
      </c>
      <c r="AL165" s="32">
        <f t="shared" si="104"/>
        <v>1</v>
      </c>
      <c r="AM165" s="32">
        <f>IF($U165="",0,IF($AL165&gt;1,((IF(1&lt;=$AL165,($AL165-1+3)*(INDEX(Reference!$B$6:$B$11,MIN(5,MATCH(MAX(Reference!$A$6,MIN(Reference!$A$11,MIN($U165,90))),Reference!$A$6:$A$11,1)))+(MAX(Reference!$A$6,MIN(Reference!$A$11,MIN($U165,90)))-INDEX(Reference!$A$6:$A$11,MIN(5,MATCH(MAX(Reference!$A$6,MIN(Reference!$A$11,MIN($U165,90))),Reference!$A$6:$A$11,1))))*(INDEX(Reference!$B$6:$B$11,MIN(5,MATCH(MAX(Reference!$A$6,MIN(Reference!$A$11,MIN($U165,90))),Reference!$A$6:$A$11,1))+1)-INDEX(Reference!$B$6:$B$11,MIN(5,MATCH(MAX(Reference!$A$6,MIN(Reference!$A$11,MIN($U165,90))),Reference!$A$6:$A$11,1))))/(INDEX(Reference!$A$6:$A$11,MIN(5,MATCH(MAX(Reference!$A$6,MIN(Reference!$A$11,MIN($U165,90))),Reference!$A$6:$A$11,1))+1)-INDEX(Reference!$A$6:$A$11,MIN(5,MATCH(MAX(Reference!$A$6,MIN(Reference!$A$11,MIN($U165,90))),Reference!$A$6:$A$11,1))))),0)+IF(2&lt;=$AL165,($AL165-2+3)*(INDEX(Reference!$B$6:$B$11,MIN(5,MATCH(MAX(Reference!$A$6,MIN(Reference!$A$11,MIN($U165,120))),Reference!$A$6:$A$11,1)))+(MAX(Reference!$A$6,MIN(Reference!$A$11,MIN($U165,120)))-INDEX(Reference!$A$6:$A$11,MIN(5,MATCH(MAX(Reference!$A$6,MIN(Reference!$A$11,MIN($U165,120))),Reference!$A$6:$A$11,1))))*(INDEX(Reference!$B$6:$B$11,MIN(5,MATCH(MAX(Reference!$A$6,MIN(Reference!$A$11,MIN($U165,120))),Reference!$A$6:$A$11,1))+1)-INDEX(Reference!$B$6:$B$11,MIN(5,MATCH(MAX(Reference!$A$6,MIN(Reference!$A$11,MIN($U165,120))),Reference!$A$6:$A$11,1))))/(INDEX(Reference!$A$6:$A$11,MIN(5,MATCH(MAX(Reference!$A$6,MIN(Reference!$A$11,MIN($U165,120))),Reference!$A$6:$A$11,1))+1)-INDEX(Reference!$A$6:$A$11,MIN(5,MATCH(MAX(Reference!$A$6,MIN(Reference!$A$11,MIN($U165,120))),Reference!$A$6:$A$11,1))))),0)+IF(3&lt;=$AL165,($AL165-3+3)*(INDEX(Reference!$B$6:$B$11,MIN(5,MATCH(MAX(Reference!$A$6,MIN(Reference!$A$11,MIN($U165,150))),Reference!$A$6:$A$11,1)))+(MAX(Reference!$A$6,MIN(Reference!$A$11,MIN($U165,150)))-INDEX(Reference!$A$6:$A$11,MIN(5,MATCH(MAX(Reference!$A$6,MIN(Reference!$A$11,MIN($U165,150))),Reference!$A$6:$A$11,1))))*(INDEX(Reference!$B$6:$B$11,MIN(5,MATCH(MAX(Reference!$A$6,MIN(Reference!$A$11,MIN($U165,150))),Reference!$A$6:$A$11,1))+1)-INDEX(Reference!$B$6:$B$11,MIN(5,MATCH(MAX(Reference!$A$6,MIN(Reference!$A$11,MIN($U165,150))),Reference!$A$6:$A$11,1))))/(INDEX(Reference!$A$6:$A$11,MIN(5,MATCH(MAX(Reference!$A$6,MIN(Reference!$A$11,MIN($U165,150))),Reference!$A$6:$A$11,1))+1)-INDEX(Reference!$A$6:$A$11,MIN(5,MATCH(MAX(Reference!$A$6,MIN(Reference!$A$11,MIN($U165,150))),Reference!$A$6:$A$11,1))))),0)+IF(4&lt;=$AL165,($AL165-4+3)*(INDEX(Reference!$B$6:$B$11,MIN(5,MATCH(MAX(Reference!$A$6,MIN(Reference!$A$11,MIN($U165,180))),Reference!$A$6:$A$11,1)))+(MAX(Reference!$A$6,MIN(Reference!$A$11,MIN($U165,180)))-INDEX(Reference!$A$6:$A$11,MIN(5,MATCH(MAX(Reference!$A$6,MIN(Reference!$A$11,MIN($U165,180))),Reference!$A$6:$A$11,1))))*(INDEX(Reference!$B$6:$B$11,MIN(5,MATCH(MAX(Reference!$A$6,MIN(Reference!$A$11,MIN($U165,180))),Reference!$A$6:$A$11,1))+1)-INDEX(Reference!$B$6:$B$11,MIN(5,MATCH(MAX(Reference!$A$6,MIN(Reference!$A$11,MIN($U165,180))),Reference!$A$6:$A$11,1))))/(INDEX(Reference!$A$6:$A$11,MIN(5,MATCH(MAX(Reference!$A$6,MIN(Reference!$A$11,MIN($U165,180))),Reference!$A$6:$A$11,1))+1)-INDEX(Reference!$A$6:$A$11,MIN(5,MATCH(MAX(Reference!$A$6,MIN(Reference!$A$11,MIN($U165,180))),Reference!$A$6:$A$11,1))))),0)+IF(5&lt;=$AL165,($AL165-5+3)*(INDEX(Reference!$B$6:$B$11,MIN(5,MATCH(MAX(Reference!$A$6,MIN(Reference!$A$11,MIN($U165,210))),Reference!$A$6:$A$11,1)))+(MAX(Reference!$A$6,MIN(Reference!$A$11,MIN($U165,210)))-INDEX(Reference!$A$6:$A$11,MIN(5,MATCH(MAX(Reference!$A$6,MIN(Reference!$A$11,MIN($U165,210))),Reference!$A$6:$A$11,1))))*(INDEX(Reference!$B$6:$B$11,MIN(5,MATCH(MAX(Reference!$A$6,MIN(Reference!$A$11,MIN($U165,210))),Reference!$A$6:$A$11,1))+1)-INDEX(Reference!$B$6:$B$11,MIN(5,MATCH(MAX(Reference!$A$6,MIN(Reference!$A$11,MIN($U165,210))),Reference!$A$6:$A$11,1))))/(INDEX(Reference!$A$6:$A$11,MIN(5,MATCH(MAX(Reference!$A$6,MIN(Reference!$A$11,MIN($U165,210))),Reference!$A$6:$A$11,1))+1)-INDEX(Reference!$A$6:$A$11,MIN(5,MATCH(MAX(Reference!$A$6,MIN(Reference!$A$11,MIN($U165,210))),Reference!$A$6:$A$11,1))))),0)+IF(6&lt;=$AL165,($AL165-6+3)*(INDEX(Reference!$B$6:$B$11,MIN(5,MATCH(MAX(Reference!$A$6,MIN(Reference!$A$11,MIN($U165,240))),Reference!$A$6:$A$11,1)))+(MAX(Reference!$A$6,MIN(Reference!$A$11,MIN($U165,240)))-INDEX(Reference!$A$6:$A$11,MIN(5,MATCH(MAX(Reference!$A$6,MIN(Reference!$A$11,MIN($U165,240))),Reference!$A$6:$A$11,1))))*(INDEX(Reference!$B$6:$B$11,MIN(5,MATCH(MAX(Reference!$A$6,MIN(Reference!$A$11,MIN($U165,240))),Reference!$A$6:$A$11,1))+1)-INDEX(Reference!$B$6:$B$11,MIN(5,MATCH(MAX(Reference!$A$6,MIN(Reference!$A$11,MIN($U165,240))),Reference!$A$6:$A$11,1))))/(INDEX(Reference!$A$6:$A$11,MIN(5,MATCH(MAX(Reference!$A$6,MIN(Reference!$A$11,MIN($U165,240))),Reference!$A$6:$A$11,1))+1)-INDEX(Reference!$A$6:$A$11,MIN(5,MATCH(MAX(Reference!$A$6,MIN(Reference!$A$11,MIN($U165,240))),Reference!$A$6:$A$11,1))))),0)+IF(7&lt;=$AL165,($AL165-7+3)*(INDEX(Reference!$B$6:$B$11,MIN(5,MATCH(MAX(Reference!$A$6,MIN(Reference!$A$11,MIN($U165,270))),Reference!$A$6:$A$11,1)))+(MAX(Reference!$A$6,MIN(Reference!$A$11,MIN($U165,270)))-INDEX(Reference!$A$6:$A$11,MIN(5,MATCH(MAX(Reference!$A$6,MIN(Reference!$A$11,MIN($U165,270))),Reference!$A$6:$A$11,1))))*(INDEX(Reference!$B$6:$B$11,MIN(5,MATCH(MAX(Reference!$A$6,MIN(Reference!$A$11,MIN($U165,270))),Reference!$A$6:$A$11,1))+1)-INDEX(Reference!$B$6:$B$11,MIN(5,MATCH(MAX(Reference!$A$6,MIN(Reference!$A$11,MIN($U165,270))),Reference!$A$6:$A$11,1))))/(INDEX(Reference!$A$6:$A$11,MIN(5,MATCH(MAX(Reference!$A$6,MIN(Reference!$A$11,MIN($U165,270))),Reference!$A$6:$A$11,1))+1)-INDEX(Reference!$A$6:$A$11,MIN(5,MATCH(MAX(Reference!$A$6,MIN(Reference!$A$11,MIN($U165,270))),Reference!$A$6:$A$11,1))))),0)+IF(8&lt;=$AL165,($AL165-8+3)*(INDEX(Reference!$B$6:$B$11,MIN(5,MATCH(MAX(Reference!$A$6,MIN(Reference!$A$11,MIN($U165,300))),Reference!$A$6:$A$11,1)))+(MAX(Reference!$A$6,MIN(Reference!$A$11,MIN($U165,300)))-INDEX(Reference!$A$6:$A$11,MIN(5,MATCH(MAX(Reference!$A$6,MIN(Reference!$A$11,MIN($U165,300))),Reference!$A$6:$A$11,1))))*(INDEX(Reference!$B$6:$B$11,MIN(5,MATCH(MAX(Reference!$A$6,MIN(Reference!$A$11,MIN($U165,300))),Reference!$A$6:$A$11,1))+1)-INDEX(Reference!$B$6:$B$11,MIN(5,MATCH(MAX(Reference!$A$6,MIN(Reference!$A$11,MIN($U165,300))),Reference!$A$6:$A$11,1))))/(INDEX(Reference!$A$6:$A$11,MIN(5,MATCH(MAX(Reference!$A$6,MIN(Reference!$A$11,MIN($U165,300))),Reference!$A$6:$A$11,1))+1)-INDEX(Reference!$A$6:$A$11,MIN(5,MATCH(MAX(Reference!$A$6,MIN(Reference!$A$11,MIN($U165,300))),Reference!$A$6:$A$11,1))))),0))/($AL165*($AL165+5)/2)),$AN165))</f>
        <v>0</v>
      </c>
      <c r="AN165" s="32">
        <f>IF($U165="",0,(INDEX(Reference!$B$6:$B$11,MIN(5,MATCH(MAX(Reference!$A$6,MIN(Reference!$A$11,$U165)),Reference!$A$6:$A$11,1)))+(MAX(Reference!$A$6,MIN(Reference!$A$11,$U165))-INDEX(Reference!$A$6:$A$11,MIN(5,MATCH(MAX(Reference!$A$6,MIN(Reference!$A$11,$U165)),Reference!$A$6:$A$11,1))))*(INDEX(Reference!$B$6:$B$11,MIN(5,MATCH(MAX(Reference!$A$6,MIN(Reference!$A$11,$U165)),Reference!$A$6:$A$11,1))+1)-INDEX(Reference!$B$6:$B$11,MIN(5,MATCH(MAX(Reference!$A$6,MIN(Reference!$A$11,$U165)),Reference!$A$6:$A$11,1))))/(INDEX(Reference!$A$6:$A$11,MIN(5,MATCH(MAX(Reference!$A$6,MIN(Reference!$A$11,$U165)),Reference!$A$6:$A$11,1))+1)-INDEX(Reference!$A$6:$A$11,MIN(5,MATCH(MAX(Reference!$A$6,MIN(Reference!$A$11,$U165)),Reference!$A$6:$A$11,1))))))</f>
        <v>0</v>
      </c>
      <c r="AO165" s="37"/>
      <c r="AP165" s="37"/>
      <c r="AQ165" s="37"/>
    </row>
    <row r="166" spans="1:43" x14ac:dyDescent="0.3">
      <c r="A166" s="48" t="str">
        <f t="shared" si="80"/>
        <v/>
      </c>
      <c r="B166" s="32" t="str">
        <f t="shared" si="81"/>
        <v/>
      </c>
      <c r="C166" s="32" t="str">
        <f t="shared" si="82"/>
        <v/>
      </c>
      <c r="D166" s="32" t="str">
        <f t="shared" si="83"/>
        <v/>
      </c>
      <c r="E166" s="32" t="str">
        <f t="shared" si="84"/>
        <v/>
      </c>
      <c r="F166" s="32" t="str">
        <f t="shared" si="85"/>
        <v/>
      </c>
      <c r="G166" s="47" t="str">
        <f t="shared" si="86"/>
        <v/>
      </c>
      <c r="H166" s="30" t="str">
        <f t="shared" si="87"/>
        <v/>
      </c>
      <c r="I166" s="46" t="str">
        <f>IF($A166="","",IF(AND($L166&lt;27,$K$12=0),"Building",IFERROR(((SUM($H$160:$H166)+$K$12*IF($L166&lt;6,SUMIFS('Throw Log'!$Q$5:$Q$300,'Throw Log'!$B$5:$B$300,$D$4,'Throw Log'!$A$5:$A$300,"&gt;="&amp;($D$6+$L166-6),'Throw Log'!$A$5:$A$300,"&lt;="&amp;($D$6-1)),0))/7)/((SUM($H$139:$H166)+$K$12*IF($L166&lt;27,SUMIFS('Throw Log'!$Q$5:$Q$300,'Throw Log'!$B$5:$B$300,$D$4,'Throw Log'!$A$5:$A$300,"&gt;="&amp;($D$6+$L166-27),'Throw Log'!$A$5:$A$300,"&lt;="&amp;($D$6-1)),0))/28),"")))</f>
        <v/>
      </c>
      <c r="J166" s="37"/>
      <c r="K166" s="37"/>
      <c r="L166" s="32">
        <v>123</v>
      </c>
      <c r="M166" s="32">
        <f t="shared" si="88"/>
        <v>18</v>
      </c>
      <c r="N166" s="32">
        <f t="shared" si="89"/>
        <v>4</v>
      </c>
      <c r="O166" s="32">
        <f t="shared" si="90"/>
        <v>1</v>
      </c>
      <c r="P166" s="32" t="str">
        <f>IF(OR($A166="",N($C166)&lt;=7),"",$G$6*$G$9^($M166-1)*IF(AND(MOD($M166,Reference!$B$99)=0,$M166&lt;=$G$5-2),Reference!$B$100,1))</f>
        <v/>
      </c>
      <c r="Q166" s="32" t="str">
        <f>IF($P166="","",IF(SUM($AK$162:$AK$168)=0,0,$P166*INDEX(Reference!$B$108:$B$114,$N166+1)/SUM($AK$162:$AK$168)))</f>
        <v/>
      </c>
      <c r="R166" s="32">
        <f t="shared" si="91"/>
        <v>180</v>
      </c>
      <c r="S166" s="32">
        <f t="shared" si="92"/>
        <v>150</v>
      </c>
      <c r="T166" s="32" t="str">
        <f>IF($A166="","",IF($C166=0,"Bullpen",IF(OR($C166=7,$C166=1,$C166=5),"Recovery/Easy Catch",IF($C166=6,"Compression/Pulldowns",IF(OR($C166=4,$C166=2),"Long Toss",IF($C166=3,"No Throw",IF($N166=2,"No Throw",IF($N166=6,IF($O166&lt;Reference!$B$104,"No Throw","Recovery/Easy Catch"),IF(OR($N166=0,$N166=4),"Recovery/Easy Catch",IF($N166=1,IF($R166&gt;75,"Long Toss","Recovery/Easy Catch"),IF($N166=3,IF($O166&lt;0.5,IF($S166&gt;75,"Long Toss","Recovery/Easy Catch"),"Compression/Pulldowns"),IF($S166&gt;75,"Long Toss","Recovery/Easy Catch"))))))))))))</f>
        <v/>
      </c>
      <c r="U166" s="32" t="str">
        <f t="shared" si="93"/>
        <v/>
      </c>
      <c r="V166" s="32" t="str">
        <f t="shared" si="94"/>
        <v/>
      </c>
      <c r="W166" s="32" t="str">
        <f t="shared" si="95"/>
        <v/>
      </c>
      <c r="X166" s="32">
        <f t="shared" si="96"/>
        <v>0</v>
      </c>
      <c r="Y166" s="32" t="str">
        <f t="shared" si="97"/>
        <v/>
      </c>
      <c r="Z166" s="32" t="str">
        <f t="shared" si="98"/>
        <v/>
      </c>
      <c r="AA166" s="32" t="str">
        <f t="shared" si="99"/>
        <v/>
      </c>
      <c r="AB166" s="32" t="str">
        <f>IF($A166="","",IF($T166="No Throw",0,IF($K166&lt;&gt;"",$K166,IF($AA166&lt;&gt;"",ROUND($AA166*$D$12*IF($C166=0,1,$G$10),0),MIN(IF($T166="Recovery/Easy Catch",Reference!$B$103,IF($T166="Long Toss",Reference!$B$106,Reference!$B$102)),MAX(Reference!$B$101,ROUND(MAX(0,$Q166-$AE166)/$AF166,0)))))))</f>
        <v/>
      </c>
      <c r="AC166" s="32">
        <f t="shared" si="100"/>
        <v>0</v>
      </c>
      <c r="AD166" s="32" t="b">
        <f t="shared" si="101"/>
        <v>1</v>
      </c>
      <c r="AE166" s="32">
        <f>IF($X166=0,0,$X166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166+$Z166)/2,0),Reference!$A$17:$B$20,2,TRUE()))</f>
        <v>0</v>
      </c>
      <c r="AF166" s="32">
        <f>IF(OR($A166="",$U166="",$T166="No Throw"),0,$AM166*VLOOKUP(MAX(($V166+$W166)/2,0),Reference!$A$17:$B$20,2,TRUE()))</f>
        <v>0</v>
      </c>
      <c r="AG166" s="32">
        <f>IF($AC166=0,0,$AC166*INDEX(Reference!$B$61:$B$62,MATCH("Bullpen",Reference!$A$61:$A$62,0))*VLOOKUP(MAX($D$5-($D$9+$E$9)/2,0),Reference!$A$17:$B$20,2,TRUE()))</f>
        <v>0</v>
      </c>
      <c r="AH166" s="32" t="e">
        <f t="shared" si="102"/>
        <v>#N/A</v>
      </c>
      <c r="AI166" s="32" t="e">
        <f>IF($A166="",NA(),Reference!$A$25)</f>
        <v>#N/A</v>
      </c>
      <c r="AJ166" s="32" t="e">
        <f t="shared" si="103"/>
        <v>#N/A</v>
      </c>
      <c r="AK166" s="32">
        <f>IF(OR($A166="",N($C166)&lt;=7,$T166="No Throw",$J166="x"),0,INDEX(Reference!$B$108:$B$114,$N166+1))</f>
        <v>0</v>
      </c>
      <c r="AL166" s="32">
        <f t="shared" si="104"/>
        <v>1</v>
      </c>
      <c r="AM166" s="32">
        <f>IF($U166="",0,IF($AL166&gt;1,((IF(1&lt;=$AL166,($AL166-1+3)*(INDEX(Reference!$B$6:$B$11,MIN(5,MATCH(MAX(Reference!$A$6,MIN(Reference!$A$11,MIN($U166,90))),Reference!$A$6:$A$11,1)))+(MAX(Reference!$A$6,MIN(Reference!$A$11,MIN($U166,90)))-INDEX(Reference!$A$6:$A$11,MIN(5,MATCH(MAX(Reference!$A$6,MIN(Reference!$A$11,MIN($U166,90))),Reference!$A$6:$A$11,1))))*(INDEX(Reference!$B$6:$B$11,MIN(5,MATCH(MAX(Reference!$A$6,MIN(Reference!$A$11,MIN($U166,90))),Reference!$A$6:$A$11,1))+1)-INDEX(Reference!$B$6:$B$11,MIN(5,MATCH(MAX(Reference!$A$6,MIN(Reference!$A$11,MIN($U166,90))),Reference!$A$6:$A$11,1))))/(INDEX(Reference!$A$6:$A$11,MIN(5,MATCH(MAX(Reference!$A$6,MIN(Reference!$A$11,MIN($U166,90))),Reference!$A$6:$A$11,1))+1)-INDEX(Reference!$A$6:$A$11,MIN(5,MATCH(MAX(Reference!$A$6,MIN(Reference!$A$11,MIN($U166,90))),Reference!$A$6:$A$11,1))))),0)+IF(2&lt;=$AL166,($AL166-2+3)*(INDEX(Reference!$B$6:$B$11,MIN(5,MATCH(MAX(Reference!$A$6,MIN(Reference!$A$11,MIN($U166,120))),Reference!$A$6:$A$11,1)))+(MAX(Reference!$A$6,MIN(Reference!$A$11,MIN($U166,120)))-INDEX(Reference!$A$6:$A$11,MIN(5,MATCH(MAX(Reference!$A$6,MIN(Reference!$A$11,MIN($U166,120))),Reference!$A$6:$A$11,1))))*(INDEX(Reference!$B$6:$B$11,MIN(5,MATCH(MAX(Reference!$A$6,MIN(Reference!$A$11,MIN($U166,120))),Reference!$A$6:$A$11,1))+1)-INDEX(Reference!$B$6:$B$11,MIN(5,MATCH(MAX(Reference!$A$6,MIN(Reference!$A$11,MIN($U166,120))),Reference!$A$6:$A$11,1))))/(INDEX(Reference!$A$6:$A$11,MIN(5,MATCH(MAX(Reference!$A$6,MIN(Reference!$A$11,MIN($U166,120))),Reference!$A$6:$A$11,1))+1)-INDEX(Reference!$A$6:$A$11,MIN(5,MATCH(MAX(Reference!$A$6,MIN(Reference!$A$11,MIN($U166,120))),Reference!$A$6:$A$11,1))))),0)+IF(3&lt;=$AL166,($AL166-3+3)*(INDEX(Reference!$B$6:$B$11,MIN(5,MATCH(MAX(Reference!$A$6,MIN(Reference!$A$11,MIN($U166,150))),Reference!$A$6:$A$11,1)))+(MAX(Reference!$A$6,MIN(Reference!$A$11,MIN($U166,150)))-INDEX(Reference!$A$6:$A$11,MIN(5,MATCH(MAX(Reference!$A$6,MIN(Reference!$A$11,MIN($U166,150))),Reference!$A$6:$A$11,1))))*(INDEX(Reference!$B$6:$B$11,MIN(5,MATCH(MAX(Reference!$A$6,MIN(Reference!$A$11,MIN($U166,150))),Reference!$A$6:$A$11,1))+1)-INDEX(Reference!$B$6:$B$11,MIN(5,MATCH(MAX(Reference!$A$6,MIN(Reference!$A$11,MIN($U166,150))),Reference!$A$6:$A$11,1))))/(INDEX(Reference!$A$6:$A$11,MIN(5,MATCH(MAX(Reference!$A$6,MIN(Reference!$A$11,MIN($U166,150))),Reference!$A$6:$A$11,1))+1)-INDEX(Reference!$A$6:$A$11,MIN(5,MATCH(MAX(Reference!$A$6,MIN(Reference!$A$11,MIN($U166,150))),Reference!$A$6:$A$11,1))))),0)+IF(4&lt;=$AL166,($AL166-4+3)*(INDEX(Reference!$B$6:$B$11,MIN(5,MATCH(MAX(Reference!$A$6,MIN(Reference!$A$11,MIN($U166,180))),Reference!$A$6:$A$11,1)))+(MAX(Reference!$A$6,MIN(Reference!$A$11,MIN($U166,180)))-INDEX(Reference!$A$6:$A$11,MIN(5,MATCH(MAX(Reference!$A$6,MIN(Reference!$A$11,MIN($U166,180))),Reference!$A$6:$A$11,1))))*(INDEX(Reference!$B$6:$B$11,MIN(5,MATCH(MAX(Reference!$A$6,MIN(Reference!$A$11,MIN($U166,180))),Reference!$A$6:$A$11,1))+1)-INDEX(Reference!$B$6:$B$11,MIN(5,MATCH(MAX(Reference!$A$6,MIN(Reference!$A$11,MIN($U166,180))),Reference!$A$6:$A$11,1))))/(INDEX(Reference!$A$6:$A$11,MIN(5,MATCH(MAX(Reference!$A$6,MIN(Reference!$A$11,MIN($U166,180))),Reference!$A$6:$A$11,1))+1)-INDEX(Reference!$A$6:$A$11,MIN(5,MATCH(MAX(Reference!$A$6,MIN(Reference!$A$11,MIN($U166,180))),Reference!$A$6:$A$11,1))))),0)+IF(5&lt;=$AL166,($AL166-5+3)*(INDEX(Reference!$B$6:$B$11,MIN(5,MATCH(MAX(Reference!$A$6,MIN(Reference!$A$11,MIN($U166,210))),Reference!$A$6:$A$11,1)))+(MAX(Reference!$A$6,MIN(Reference!$A$11,MIN($U166,210)))-INDEX(Reference!$A$6:$A$11,MIN(5,MATCH(MAX(Reference!$A$6,MIN(Reference!$A$11,MIN($U166,210))),Reference!$A$6:$A$11,1))))*(INDEX(Reference!$B$6:$B$11,MIN(5,MATCH(MAX(Reference!$A$6,MIN(Reference!$A$11,MIN($U166,210))),Reference!$A$6:$A$11,1))+1)-INDEX(Reference!$B$6:$B$11,MIN(5,MATCH(MAX(Reference!$A$6,MIN(Reference!$A$11,MIN($U166,210))),Reference!$A$6:$A$11,1))))/(INDEX(Reference!$A$6:$A$11,MIN(5,MATCH(MAX(Reference!$A$6,MIN(Reference!$A$11,MIN($U166,210))),Reference!$A$6:$A$11,1))+1)-INDEX(Reference!$A$6:$A$11,MIN(5,MATCH(MAX(Reference!$A$6,MIN(Reference!$A$11,MIN($U166,210))),Reference!$A$6:$A$11,1))))),0)+IF(6&lt;=$AL166,($AL166-6+3)*(INDEX(Reference!$B$6:$B$11,MIN(5,MATCH(MAX(Reference!$A$6,MIN(Reference!$A$11,MIN($U166,240))),Reference!$A$6:$A$11,1)))+(MAX(Reference!$A$6,MIN(Reference!$A$11,MIN($U166,240)))-INDEX(Reference!$A$6:$A$11,MIN(5,MATCH(MAX(Reference!$A$6,MIN(Reference!$A$11,MIN($U166,240))),Reference!$A$6:$A$11,1))))*(INDEX(Reference!$B$6:$B$11,MIN(5,MATCH(MAX(Reference!$A$6,MIN(Reference!$A$11,MIN($U166,240))),Reference!$A$6:$A$11,1))+1)-INDEX(Reference!$B$6:$B$11,MIN(5,MATCH(MAX(Reference!$A$6,MIN(Reference!$A$11,MIN($U166,240))),Reference!$A$6:$A$11,1))))/(INDEX(Reference!$A$6:$A$11,MIN(5,MATCH(MAX(Reference!$A$6,MIN(Reference!$A$11,MIN($U166,240))),Reference!$A$6:$A$11,1))+1)-INDEX(Reference!$A$6:$A$11,MIN(5,MATCH(MAX(Reference!$A$6,MIN(Reference!$A$11,MIN($U166,240))),Reference!$A$6:$A$11,1))))),0)+IF(7&lt;=$AL166,($AL166-7+3)*(INDEX(Reference!$B$6:$B$11,MIN(5,MATCH(MAX(Reference!$A$6,MIN(Reference!$A$11,MIN($U166,270))),Reference!$A$6:$A$11,1)))+(MAX(Reference!$A$6,MIN(Reference!$A$11,MIN($U166,270)))-INDEX(Reference!$A$6:$A$11,MIN(5,MATCH(MAX(Reference!$A$6,MIN(Reference!$A$11,MIN($U166,270))),Reference!$A$6:$A$11,1))))*(INDEX(Reference!$B$6:$B$11,MIN(5,MATCH(MAX(Reference!$A$6,MIN(Reference!$A$11,MIN($U166,270))),Reference!$A$6:$A$11,1))+1)-INDEX(Reference!$B$6:$B$11,MIN(5,MATCH(MAX(Reference!$A$6,MIN(Reference!$A$11,MIN($U166,270))),Reference!$A$6:$A$11,1))))/(INDEX(Reference!$A$6:$A$11,MIN(5,MATCH(MAX(Reference!$A$6,MIN(Reference!$A$11,MIN($U166,270))),Reference!$A$6:$A$11,1))+1)-INDEX(Reference!$A$6:$A$11,MIN(5,MATCH(MAX(Reference!$A$6,MIN(Reference!$A$11,MIN($U166,270))),Reference!$A$6:$A$11,1))))),0)+IF(8&lt;=$AL166,($AL166-8+3)*(INDEX(Reference!$B$6:$B$11,MIN(5,MATCH(MAX(Reference!$A$6,MIN(Reference!$A$11,MIN($U166,300))),Reference!$A$6:$A$11,1)))+(MAX(Reference!$A$6,MIN(Reference!$A$11,MIN($U166,300)))-INDEX(Reference!$A$6:$A$11,MIN(5,MATCH(MAX(Reference!$A$6,MIN(Reference!$A$11,MIN($U166,300))),Reference!$A$6:$A$11,1))))*(INDEX(Reference!$B$6:$B$11,MIN(5,MATCH(MAX(Reference!$A$6,MIN(Reference!$A$11,MIN($U166,300))),Reference!$A$6:$A$11,1))+1)-INDEX(Reference!$B$6:$B$11,MIN(5,MATCH(MAX(Reference!$A$6,MIN(Reference!$A$11,MIN($U166,300))),Reference!$A$6:$A$11,1))))/(INDEX(Reference!$A$6:$A$11,MIN(5,MATCH(MAX(Reference!$A$6,MIN(Reference!$A$11,MIN($U166,300))),Reference!$A$6:$A$11,1))+1)-INDEX(Reference!$A$6:$A$11,MIN(5,MATCH(MAX(Reference!$A$6,MIN(Reference!$A$11,MIN($U166,300))),Reference!$A$6:$A$11,1))))),0))/($AL166*($AL166+5)/2)),$AN166))</f>
        <v>0</v>
      </c>
      <c r="AN166" s="32">
        <f>IF($U166="",0,(INDEX(Reference!$B$6:$B$11,MIN(5,MATCH(MAX(Reference!$A$6,MIN(Reference!$A$11,$U166)),Reference!$A$6:$A$11,1)))+(MAX(Reference!$A$6,MIN(Reference!$A$11,$U166))-INDEX(Reference!$A$6:$A$11,MIN(5,MATCH(MAX(Reference!$A$6,MIN(Reference!$A$11,$U166)),Reference!$A$6:$A$11,1))))*(INDEX(Reference!$B$6:$B$11,MIN(5,MATCH(MAX(Reference!$A$6,MIN(Reference!$A$11,$U166)),Reference!$A$6:$A$11,1))+1)-INDEX(Reference!$B$6:$B$11,MIN(5,MATCH(MAX(Reference!$A$6,MIN(Reference!$A$11,$U166)),Reference!$A$6:$A$11,1))))/(INDEX(Reference!$A$6:$A$11,MIN(5,MATCH(MAX(Reference!$A$6,MIN(Reference!$A$11,$U166)),Reference!$A$6:$A$11,1))+1)-INDEX(Reference!$A$6:$A$11,MIN(5,MATCH(MAX(Reference!$A$6,MIN(Reference!$A$11,$U166)),Reference!$A$6:$A$11,1))))))</f>
        <v>0</v>
      </c>
      <c r="AO166" s="37"/>
      <c r="AP166" s="37"/>
      <c r="AQ166" s="37"/>
    </row>
    <row r="167" spans="1:43" x14ac:dyDescent="0.3">
      <c r="A167" s="48" t="str">
        <f t="shared" si="80"/>
        <v/>
      </c>
      <c r="B167" s="32" t="str">
        <f t="shared" si="81"/>
        <v/>
      </c>
      <c r="C167" s="32" t="str">
        <f t="shared" si="82"/>
        <v/>
      </c>
      <c r="D167" s="32" t="str">
        <f t="shared" si="83"/>
        <v/>
      </c>
      <c r="E167" s="32" t="str">
        <f t="shared" si="84"/>
        <v/>
      </c>
      <c r="F167" s="32" t="str">
        <f t="shared" si="85"/>
        <v/>
      </c>
      <c r="G167" s="47" t="str">
        <f t="shared" si="86"/>
        <v/>
      </c>
      <c r="H167" s="30" t="str">
        <f t="shared" si="87"/>
        <v/>
      </c>
      <c r="I167" s="46" t="str">
        <f>IF($A167="","",IF(AND($L167&lt;27,$K$12=0),"Building",IFERROR(((SUM($H$161:$H167)+$K$12*IF($L167&lt;6,SUMIFS('Throw Log'!$Q$5:$Q$300,'Throw Log'!$B$5:$B$300,$D$4,'Throw Log'!$A$5:$A$300,"&gt;="&amp;($D$6+$L167-6),'Throw Log'!$A$5:$A$300,"&lt;="&amp;($D$6-1)),0))/7)/((SUM($H$140:$H167)+$K$12*IF($L167&lt;27,SUMIFS('Throw Log'!$Q$5:$Q$300,'Throw Log'!$B$5:$B$300,$D$4,'Throw Log'!$A$5:$A$300,"&gt;="&amp;($D$6+$L167-27),'Throw Log'!$A$5:$A$300,"&lt;="&amp;($D$6-1)),0))/28),"")))</f>
        <v/>
      </c>
      <c r="J167" s="37"/>
      <c r="K167" s="37"/>
      <c r="L167" s="32">
        <v>124</v>
      </c>
      <c r="M167" s="32">
        <f t="shared" si="88"/>
        <v>18</v>
      </c>
      <c r="N167" s="32">
        <f t="shared" si="89"/>
        <v>5</v>
      </c>
      <c r="O167" s="32">
        <f t="shared" si="90"/>
        <v>1</v>
      </c>
      <c r="P167" s="32" t="str">
        <f>IF(OR($A167="",N($C167)&lt;=7),"",$G$6*$G$9^($M167-1)*IF(AND(MOD($M167,Reference!$B$99)=0,$M167&lt;=$G$5-2),Reference!$B$100,1))</f>
        <v/>
      </c>
      <c r="Q167" s="32" t="str">
        <f>IF($P167="","",IF(SUM($AK$162:$AK$168)=0,0,$P167*INDEX(Reference!$B$108:$B$114,$N167+1)/SUM($AK$162:$AK$168)))</f>
        <v/>
      </c>
      <c r="R167" s="32">
        <f t="shared" si="91"/>
        <v>180</v>
      </c>
      <c r="S167" s="32">
        <f t="shared" si="92"/>
        <v>150</v>
      </c>
      <c r="T167" s="32" t="str">
        <f>IF($A167="","",IF($C167=0,"Bullpen",IF(OR($C167=7,$C167=1,$C167=5),"Recovery/Easy Catch",IF($C167=6,"Compression/Pulldowns",IF(OR($C167=4,$C167=2),"Long Toss",IF($C167=3,"No Throw",IF($N167=2,"No Throw",IF($N167=6,IF($O167&lt;Reference!$B$104,"No Throw","Recovery/Easy Catch"),IF(OR($N167=0,$N167=4),"Recovery/Easy Catch",IF($N167=1,IF($R167&gt;75,"Long Toss","Recovery/Easy Catch"),IF($N167=3,IF($O167&lt;0.5,IF($S167&gt;75,"Long Toss","Recovery/Easy Catch"),"Compression/Pulldowns"),IF($S167&gt;75,"Long Toss","Recovery/Easy Catch"))))))))))))</f>
        <v/>
      </c>
      <c r="U167" s="32" t="str">
        <f t="shared" si="93"/>
        <v/>
      </c>
      <c r="V167" s="32" t="str">
        <f t="shared" si="94"/>
        <v/>
      </c>
      <c r="W167" s="32" t="str">
        <f t="shared" si="95"/>
        <v/>
      </c>
      <c r="X167" s="32">
        <f t="shared" si="96"/>
        <v>0</v>
      </c>
      <c r="Y167" s="32" t="str">
        <f t="shared" si="97"/>
        <v/>
      </c>
      <c r="Z167" s="32" t="str">
        <f t="shared" si="98"/>
        <v/>
      </c>
      <c r="AA167" s="32" t="str">
        <f t="shared" si="99"/>
        <v/>
      </c>
      <c r="AB167" s="32" t="str">
        <f>IF($A167="","",IF($T167="No Throw",0,IF($K167&lt;&gt;"",$K167,IF($AA167&lt;&gt;"",ROUND($AA167*$D$12*IF($C167=0,1,$G$10),0),MIN(IF($T167="Recovery/Easy Catch",Reference!$B$103,IF($T167="Long Toss",Reference!$B$106,Reference!$B$102)),MAX(Reference!$B$101,ROUND(MAX(0,$Q167-$AE167)/$AF167,0)))))))</f>
        <v/>
      </c>
      <c r="AC167" s="32">
        <f t="shared" si="100"/>
        <v>0</v>
      </c>
      <c r="AD167" s="32" t="b">
        <f t="shared" si="101"/>
        <v>1</v>
      </c>
      <c r="AE167" s="32">
        <f>IF($X167=0,0,$X167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167+$Z167)/2,0),Reference!$A$17:$B$20,2,TRUE()))</f>
        <v>0</v>
      </c>
      <c r="AF167" s="32">
        <f>IF(OR($A167="",$U167="",$T167="No Throw"),0,$AM167*VLOOKUP(MAX(($V167+$W167)/2,0),Reference!$A$17:$B$20,2,TRUE()))</f>
        <v>0</v>
      </c>
      <c r="AG167" s="32">
        <f>IF($AC167=0,0,$AC167*INDEX(Reference!$B$61:$B$62,MATCH("Bullpen",Reference!$A$61:$A$62,0))*VLOOKUP(MAX($D$5-($D$9+$E$9)/2,0),Reference!$A$17:$B$20,2,TRUE()))</f>
        <v>0</v>
      </c>
      <c r="AH167" s="32" t="e">
        <f t="shared" si="102"/>
        <v>#N/A</v>
      </c>
      <c r="AI167" s="32" t="e">
        <f>IF($A167="",NA(),Reference!$A$25)</f>
        <v>#N/A</v>
      </c>
      <c r="AJ167" s="32" t="e">
        <f t="shared" si="103"/>
        <v>#N/A</v>
      </c>
      <c r="AK167" s="32">
        <f>IF(OR($A167="",N($C167)&lt;=7,$T167="No Throw",$J167="x"),0,INDEX(Reference!$B$108:$B$114,$N167+1))</f>
        <v>0</v>
      </c>
      <c r="AL167" s="32">
        <f t="shared" si="104"/>
        <v>1</v>
      </c>
      <c r="AM167" s="32">
        <f>IF($U167="",0,IF($AL167&gt;1,((IF(1&lt;=$AL167,($AL167-1+3)*(INDEX(Reference!$B$6:$B$11,MIN(5,MATCH(MAX(Reference!$A$6,MIN(Reference!$A$11,MIN($U167,90))),Reference!$A$6:$A$11,1)))+(MAX(Reference!$A$6,MIN(Reference!$A$11,MIN($U167,90)))-INDEX(Reference!$A$6:$A$11,MIN(5,MATCH(MAX(Reference!$A$6,MIN(Reference!$A$11,MIN($U167,90))),Reference!$A$6:$A$11,1))))*(INDEX(Reference!$B$6:$B$11,MIN(5,MATCH(MAX(Reference!$A$6,MIN(Reference!$A$11,MIN($U167,90))),Reference!$A$6:$A$11,1))+1)-INDEX(Reference!$B$6:$B$11,MIN(5,MATCH(MAX(Reference!$A$6,MIN(Reference!$A$11,MIN($U167,90))),Reference!$A$6:$A$11,1))))/(INDEX(Reference!$A$6:$A$11,MIN(5,MATCH(MAX(Reference!$A$6,MIN(Reference!$A$11,MIN($U167,90))),Reference!$A$6:$A$11,1))+1)-INDEX(Reference!$A$6:$A$11,MIN(5,MATCH(MAX(Reference!$A$6,MIN(Reference!$A$11,MIN($U167,90))),Reference!$A$6:$A$11,1))))),0)+IF(2&lt;=$AL167,($AL167-2+3)*(INDEX(Reference!$B$6:$B$11,MIN(5,MATCH(MAX(Reference!$A$6,MIN(Reference!$A$11,MIN($U167,120))),Reference!$A$6:$A$11,1)))+(MAX(Reference!$A$6,MIN(Reference!$A$11,MIN($U167,120)))-INDEX(Reference!$A$6:$A$11,MIN(5,MATCH(MAX(Reference!$A$6,MIN(Reference!$A$11,MIN($U167,120))),Reference!$A$6:$A$11,1))))*(INDEX(Reference!$B$6:$B$11,MIN(5,MATCH(MAX(Reference!$A$6,MIN(Reference!$A$11,MIN($U167,120))),Reference!$A$6:$A$11,1))+1)-INDEX(Reference!$B$6:$B$11,MIN(5,MATCH(MAX(Reference!$A$6,MIN(Reference!$A$11,MIN($U167,120))),Reference!$A$6:$A$11,1))))/(INDEX(Reference!$A$6:$A$11,MIN(5,MATCH(MAX(Reference!$A$6,MIN(Reference!$A$11,MIN($U167,120))),Reference!$A$6:$A$11,1))+1)-INDEX(Reference!$A$6:$A$11,MIN(5,MATCH(MAX(Reference!$A$6,MIN(Reference!$A$11,MIN($U167,120))),Reference!$A$6:$A$11,1))))),0)+IF(3&lt;=$AL167,($AL167-3+3)*(INDEX(Reference!$B$6:$B$11,MIN(5,MATCH(MAX(Reference!$A$6,MIN(Reference!$A$11,MIN($U167,150))),Reference!$A$6:$A$11,1)))+(MAX(Reference!$A$6,MIN(Reference!$A$11,MIN($U167,150)))-INDEX(Reference!$A$6:$A$11,MIN(5,MATCH(MAX(Reference!$A$6,MIN(Reference!$A$11,MIN($U167,150))),Reference!$A$6:$A$11,1))))*(INDEX(Reference!$B$6:$B$11,MIN(5,MATCH(MAX(Reference!$A$6,MIN(Reference!$A$11,MIN($U167,150))),Reference!$A$6:$A$11,1))+1)-INDEX(Reference!$B$6:$B$11,MIN(5,MATCH(MAX(Reference!$A$6,MIN(Reference!$A$11,MIN($U167,150))),Reference!$A$6:$A$11,1))))/(INDEX(Reference!$A$6:$A$11,MIN(5,MATCH(MAX(Reference!$A$6,MIN(Reference!$A$11,MIN($U167,150))),Reference!$A$6:$A$11,1))+1)-INDEX(Reference!$A$6:$A$11,MIN(5,MATCH(MAX(Reference!$A$6,MIN(Reference!$A$11,MIN($U167,150))),Reference!$A$6:$A$11,1))))),0)+IF(4&lt;=$AL167,($AL167-4+3)*(INDEX(Reference!$B$6:$B$11,MIN(5,MATCH(MAX(Reference!$A$6,MIN(Reference!$A$11,MIN($U167,180))),Reference!$A$6:$A$11,1)))+(MAX(Reference!$A$6,MIN(Reference!$A$11,MIN($U167,180)))-INDEX(Reference!$A$6:$A$11,MIN(5,MATCH(MAX(Reference!$A$6,MIN(Reference!$A$11,MIN($U167,180))),Reference!$A$6:$A$11,1))))*(INDEX(Reference!$B$6:$B$11,MIN(5,MATCH(MAX(Reference!$A$6,MIN(Reference!$A$11,MIN($U167,180))),Reference!$A$6:$A$11,1))+1)-INDEX(Reference!$B$6:$B$11,MIN(5,MATCH(MAX(Reference!$A$6,MIN(Reference!$A$11,MIN($U167,180))),Reference!$A$6:$A$11,1))))/(INDEX(Reference!$A$6:$A$11,MIN(5,MATCH(MAX(Reference!$A$6,MIN(Reference!$A$11,MIN($U167,180))),Reference!$A$6:$A$11,1))+1)-INDEX(Reference!$A$6:$A$11,MIN(5,MATCH(MAX(Reference!$A$6,MIN(Reference!$A$11,MIN($U167,180))),Reference!$A$6:$A$11,1))))),0)+IF(5&lt;=$AL167,($AL167-5+3)*(INDEX(Reference!$B$6:$B$11,MIN(5,MATCH(MAX(Reference!$A$6,MIN(Reference!$A$11,MIN($U167,210))),Reference!$A$6:$A$11,1)))+(MAX(Reference!$A$6,MIN(Reference!$A$11,MIN($U167,210)))-INDEX(Reference!$A$6:$A$11,MIN(5,MATCH(MAX(Reference!$A$6,MIN(Reference!$A$11,MIN($U167,210))),Reference!$A$6:$A$11,1))))*(INDEX(Reference!$B$6:$B$11,MIN(5,MATCH(MAX(Reference!$A$6,MIN(Reference!$A$11,MIN($U167,210))),Reference!$A$6:$A$11,1))+1)-INDEX(Reference!$B$6:$B$11,MIN(5,MATCH(MAX(Reference!$A$6,MIN(Reference!$A$11,MIN($U167,210))),Reference!$A$6:$A$11,1))))/(INDEX(Reference!$A$6:$A$11,MIN(5,MATCH(MAX(Reference!$A$6,MIN(Reference!$A$11,MIN($U167,210))),Reference!$A$6:$A$11,1))+1)-INDEX(Reference!$A$6:$A$11,MIN(5,MATCH(MAX(Reference!$A$6,MIN(Reference!$A$11,MIN($U167,210))),Reference!$A$6:$A$11,1))))),0)+IF(6&lt;=$AL167,($AL167-6+3)*(INDEX(Reference!$B$6:$B$11,MIN(5,MATCH(MAX(Reference!$A$6,MIN(Reference!$A$11,MIN($U167,240))),Reference!$A$6:$A$11,1)))+(MAX(Reference!$A$6,MIN(Reference!$A$11,MIN($U167,240)))-INDEX(Reference!$A$6:$A$11,MIN(5,MATCH(MAX(Reference!$A$6,MIN(Reference!$A$11,MIN($U167,240))),Reference!$A$6:$A$11,1))))*(INDEX(Reference!$B$6:$B$11,MIN(5,MATCH(MAX(Reference!$A$6,MIN(Reference!$A$11,MIN($U167,240))),Reference!$A$6:$A$11,1))+1)-INDEX(Reference!$B$6:$B$11,MIN(5,MATCH(MAX(Reference!$A$6,MIN(Reference!$A$11,MIN($U167,240))),Reference!$A$6:$A$11,1))))/(INDEX(Reference!$A$6:$A$11,MIN(5,MATCH(MAX(Reference!$A$6,MIN(Reference!$A$11,MIN($U167,240))),Reference!$A$6:$A$11,1))+1)-INDEX(Reference!$A$6:$A$11,MIN(5,MATCH(MAX(Reference!$A$6,MIN(Reference!$A$11,MIN($U167,240))),Reference!$A$6:$A$11,1))))),0)+IF(7&lt;=$AL167,($AL167-7+3)*(INDEX(Reference!$B$6:$B$11,MIN(5,MATCH(MAX(Reference!$A$6,MIN(Reference!$A$11,MIN($U167,270))),Reference!$A$6:$A$11,1)))+(MAX(Reference!$A$6,MIN(Reference!$A$11,MIN($U167,270)))-INDEX(Reference!$A$6:$A$11,MIN(5,MATCH(MAX(Reference!$A$6,MIN(Reference!$A$11,MIN($U167,270))),Reference!$A$6:$A$11,1))))*(INDEX(Reference!$B$6:$B$11,MIN(5,MATCH(MAX(Reference!$A$6,MIN(Reference!$A$11,MIN($U167,270))),Reference!$A$6:$A$11,1))+1)-INDEX(Reference!$B$6:$B$11,MIN(5,MATCH(MAX(Reference!$A$6,MIN(Reference!$A$11,MIN($U167,270))),Reference!$A$6:$A$11,1))))/(INDEX(Reference!$A$6:$A$11,MIN(5,MATCH(MAX(Reference!$A$6,MIN(Reference!$A$11,MIN($U167,270))),Reference!$A$6:$A$11,1))+1)-INDEX(Reference!$A$6:$A$11,MIN(5,MATCH(MAX(Reference!$A$6,MIN(Reference!$A$11,MIN($U167,270))),Reference!$A$6:$A$11,1))))),0)+IF(8&lt;=$AL167,($AL167-8+3)*(INDEX(Reference!$B$6:$B$11,MIN(5,MATCH(MAX(Reference!$A$6,MIN(Reference!$A$11,MIN($U167,300))),Reference!$A$6:$A$11,1)))+(MAX(Reference!$A$6,MIN(Reference!$A$11,MIN($U167,300)))-INDEX(Reference!$A$6:$A$11,MIN(5,MATCH(MAX(Reference!$A$6,MIN(Reference!$A$11,MIN($U167,300))),Reference!$A$6:$A$11,1))))*(INDEX(Reference!$B$6:$B$11,MIN(5,MATCH(MAX(Reference!$A$6,MIN(Reference!$A$11,MIN($U167,300))),Reference!$A$6:$A$11,1))+1)-INDEX(Reference!$B$6:$B$11,MIN(5,MATCH(MAX(Reference!$A$6,MIN(Reference!$A$11,MIN($U167,300))),Reference!$A$6:$A$11,1))))/(INDEX(Reference!$A$6:$A$11,MIN(5,MATCH(MAX(Reference!$A$6,MIN(Reference!$A$11,MIN($U167,300))),Reference!$A$6:$A$11,1))+1)-INDEX(Reference!$A$6:$A$11,MIN(5,MATCH(MAX(Reference!$A$6,MIN(Reference!$A$11,MIN($U167,300))),Reference!$A$6:$A$11,1))))),0))/($AL167*($AL167+5)/2)),$AN167))</f>
        <v>0</v>
      </c>
      <c r="AN167" s="32">
        <f>IF($U167="",0,(INDEX(Reference!$B$6:$B$11,MIN(5,MATCH(MAX(Reference!$A$6,MIN(Reference!$A$11,$U167)),Reference!$A$6:$A$11,1)))+(MAX(Reference!$A$6,MIN(Reference!$A$11,$U167))-INDEX(Reference!$A$6:$A$11,MIN(5,MATCH(MAX(Reference!$A$6,MIN(Reference!$A$11,$U167)),Reference!$A$6:$A$11,1))))*(INDEX(Reference!$B$6:$B$11,MIN(5,MATCH(MAX(Reference!$A$6,MIN(Reference!$A$11,$U167)),Reference!$A$6:$A$11,1))+1)-INDEX(Reference!$B$6:$B$11,MIN(5,MATCH(MAX(Reference!$A$6,MIN(Reference!$A$11,$U167)),Reference!$A$6:$A$11,1))))/(INDEX(Reference!$A$6:$A$11,MIN(5,MATCH(MAX(Reference!$A$6,MIN(Reference!$A$11,$U167)),Reference!$A$6:$A$11,1))+1)-INDEX(Reference!$A$6:$A$11,MIN(5,MATCH(MAX(Reference!$A$6,MIN(Reference!$A$11,$U167)),Reference!$A$6:$A$11,1))))))</f>
        <v>0</v>
      </c>
      <c r="AO167" s="37"/>
      <c r="AP167" s="37"/>
      <c r="AQ167" s="37"/>
    </row>
    <row r="168" spans="1:43" x14ac:dyDescent="0.3">
      <c r="A168" s="48" t="str">
        <f t="shared" si="80"/>
        <v/>
      </c>
      <c r="B168" s="32" t="str">
        <f t="shared" si="81"/>
        <v/>
      </c>
      <c r="C168" s="32" t="str">
        <f t="shared" si="82"/>
        <v/>
      </c>
      <c r="D168" s="32" t="str">
        <f t="shared" si="83"/>
        <v/>
      </c>
      <c r="E168" s="32" t="str">
        <f t="shared" si="84"/>
        <v/>
      </c>
      <c r="F168" s="32" t="str">
        <f t="shared" si="85"/>
        <v/>
      </c>
      <c r="G168" s="47" t="str">
        <f t="shared" si="86"/>
        <v/>
      </c>
      <c r="H168" s="30" t="str">
        <f t="shared" si="87"/>
        <v/>
      </c>
      <c r="I168" s="46" t="str">
        <f>IF($A168="","",IF(AND($L168&lt;27,$K$12=0),"Building",IFERROR(((SUM($H$162:$H168)+$K$12*IF($L168&lt;6,SUMIFS('Throw Log'!$Q$5:$Q$300,'Throw Log'!$B$5:$B$300,$D$4,'Throw Log'!$A$5:$A$300,"&gt;="&amp;($D$6+$L168-6),'Throw Log'!$A$5:$A$300,"&lt;="&amp;($D$6-1)),0))/7)/((SUM($H$141:$H168)+$K$12*IF($L168&lt;27,SUMIFS('Throw Log'!$Q$5:$Q$300,'Throw Log'!$B$5:$B$300,$D$4,'Throw Log'!$A$5:$A$300,"&gt;="&amp;($D$6+$L168-27),'Throw Log'!$A$5:$A$300,"&lt;="&amp;($D$6-1)),0))/28),"")))</f>
        <v/>
      </c>
      <c r="J168" s="37"/>
      <c r="K168" s="37"/>
      <c r="L168" s="32">
        <v>125</v>
      </c>
      <c r="M168" s="32">
        <f t="shared" si="88"/>
        <v>18</v>
      </c>
      <c r="N168" s="32">
        <f t="shared" si="89"/>
        <v>6</v>
      </c>
      <c r="O168" s="32">
        <f t="shared" si="90"/>
        <v>1</v>
      </c>
      <c r="P168" s="32" t="str">
        <f>IF(OR($A168="",N($C168)&lt;=7),"",$G$6*$G$9^($M168-1)*IF(AND(MOD($M168,Reference!$B$99)=0,$M168&lt;=$G$5-2),Reference!$B$100,1))</f>
        <v/>
      </c>
      <c r="Q168" s="32" t="str">
        <f>IF($P168="","",IF(SUM($AK$162:$AK$168)=0,0,$P168*INDEX(Reference!$B$108:$B$114,$N168+1)/SUM($AK$162:$AK$168)))</f>
        <v/>
      </c>
      <c r="R168" s="32">
        <f t="shared" si="91"/>
        <v>180</v>
      </c>
      <c r="S168" s="32">
        <f t="shared" si="92"/>
        <v>150</v>
      </c>
      <c r="T168" s="32" t="str">
        <f>IF($A168="","",IF($C168=0,"Bullpen",IF(OR($C168=7,$C168=1,$C168=5),"Recovery/Easy Catch",IF($C168=6,"Compression/Pulldowns",IF(OR($C168=4,$C168=2),"Long Toss",IF($C168=3,"No Throw",IF($N168=2,"No Throw",IF($N168=6,IF($O168&lt;Reference!$B$104,"No Throw","Recovery/Easy Catch"),IF(OR($N168=0,$N168=4),"Recovery/Easy Catch",IF($N168=1,IF($R168&gt;75,"Long Toss","Recovery/Easy Catch"),IF($N168=3,IF($O168&lt;0.5,IF($S168&gt;75,"Long Toss","Recovery/Easy Catch"),"Compression/Pulldowns"),IF($S168&gt;75,"Long Toss","Recovery/Easy Catch"))))))))))))</f>
        <v/>
      </c>
      <c r="U168" s="32" t="str">
        <f t="shared" si="93"/>
        <v/>
      </c>
      <c r="V168" s="32" t="str">
        <f t="shared" si="94"/>
        <v/>
      </c>
      <c r="W168" s="32" t="str">
        <f t="shared" si="95"/>
        <v/>
      </c>
      <c r="X168" s="32">
        <f t="shared" si="96"/>
        <v>0</v>
      </c>
      <c r="Y168" s="32" t="str">
        <f t="shared" si="97"/>
        <v/>
      </c>
      <c r="Z168" s="32" t="str">
        <f t="shared" si="98"/>
        <v/>
      </c>
      <c r="AA168" s="32" t="str">
        <f t="shared" si="99"/>
        <v/>
      </c>
      <c r="AB168" s="32" t="str">
        <f>IF($A168="","",IF($T168="No Throw",0,IF($K168&lt;&gt;"",$K168,IF($AA168&lt;&gt;"",ROUND($AA168*$D$12*IF($C168=0,1,$G$10),0),MIN(IF($T168="Recovery/Easy Catch",Reference!$B$103,IF($T168="Long Toss",Reference!$B$106,Reference!$B$102)),MAX(Reference!$B$101,ROUND(MAX(0,$Q168-$AE168)/$AF168,0)))))))</f>
        <v/>
      </c>
      <c r="AC168" s="32">
        <f t="shared" si="100"/>
        <v>0</v>
      </c>
      <c r="AD168" s="32" t="b">
        <f t="shared" si="101"/>
        <v>1</v>
      </c>
      <c r="AE168" s="32">
        <f>IF($X168=0,0,$X168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168+$Z168)/2,0),Reference!$A$17:$B$20,2,TRUE()))</f>
        <v>0</v>
      </c>
      <c r="AF168" s="32">
        <f>IF(OR($A168="",$U168="",$T168="No Throw"),0,$AM168*VLOOKUP(MAX(($V168+$W168)/2,0),Reference!$A$17:$B$20,2,TRUE()))</f>
        <v>0</v>
      </c>
      <c r="AG168" s="32">
        <f>IF($AC168=0,0,$AC168*INDEX(Reference!$B$61:$B$62,MATCH("Bullpen",Reference!$A$61:$A$62,0))*VLOOKUP(MAX($D$5-($D$9+$E$9)/2,0),Reference!$A$17:$B$20,2,TRUE()))</f>
        <v>0</v>
      </c>
      <c r="AH168" s="32" t="e">
        <f t="shared" si="102"/>
        <v>#N/A</v>
      </c>
      <c r="AI168" s="32" t="e">
        <f>IF($A168="",NA(),Reference!$A$25)</f>
        <v>#N/A</v>
      </c>
      <c r="AJ168" s="32" t="e">
        <f t="shared" si="103"/>
        <v>#N/A</v>
      </c>
      <c r="AK168" s="32">
        <f>IF(OR($A168="",N($C168)&lt;=7,$T168="No Throw",$J168="x"),0,INDEX(Reference!$B$108:$B$114,$N168+1))</f>
        <v>0</v>
      </c>
      <c r="AL168" s="32">
        <f t="shared" si="104"/>
        <v>1</v>
      </c>
      <c r="AM168" s="32">
        <f>IF($U168="",0,IF($AL168&gt;1,((IF(1&lt;=$AL168,($AL168-1+3)*(INDEX(Reference!$B$6:$B$11,MIN(5,MATCH(MAX(Reference!$A$6,MIN(Reference!$A$11,MIN($U168,90))),Reference!$A$6:$A$11,1)))+(MAX(Reference!$A$6,MIN(Reference!$A$11,MIN($U168,90)))-INDEX(Reference!$A$6:$A$11,MIN(5,MATCH(MAX(Reference!$A$6,MIN(Reference!$A$11,MIN($U168,90))),Reference!$A$6:$A$11,1))))*(INDEX(Reference!$B$6:$B$11,MIN(5,MATCH(MAX(Reference!$A$6,MIN(Reference!$A$11,MIN($U168,90))),Reference!$A$6:$A$11,1))+1)-INDEX(Reference!$B$6:$B$11,MIN(5,MATCH(MAX(Reference!$A$6,MIN(Reference!$A$11,MIN($U168,90))),Reference!$A$6:$A$11,1))))/(INDEX(Reference!$A$6:$A$11,MIN(5,MATCH(MAX(Reference!$A$6,MIN(Reference!$A$11,MIN($U168,90))),Reference!$A$6:$A$11,1))+1)-INDEX(Reference!$A$6:$A$11,MIN(5,MATCH(MAX(Reference!$A$6,MIN(Reference!$A$11,MIN($U168,90))),Reference!$A$6:$A$11,1))))),0)+IF(2&lt;=$AL168,($AL168-2+3)*(INDEX(Reference!$B$6:$B$11,MIN(5,MATCH(MAX(Reference!$A$6,MIN(Reference!$A$11,MIN($U168,120))),Reference!$A$6:$A$11,1)))+(MAX(Reference!$A$6,MIN(Reference!$A$11,MIN($U168,120)))-INDEX(Reference!$A$6:$A$11,MIN(5,MATCH(MAX(Reference!$A$6,MIN(Reference!$A$11,MIN($U168,120))),Reference!$A$6:$A$11,1))))*(INDEX(Reference!$B$6:$B$11,MIN(5,MATCH(MAX(Reference!$A$6,MIN(Reference!$A$11,MIN($U168,120))),Reference!$A$6:$A$11,1))+1)-INDEX(Reference!$B$6:$B$11,MIN(5,MATCH(MAX(Reference!$A$6,MIN(Reference!$A$11,MIN($U168,120))),Reference!$A$6:$A$11,1))))/(INDEX(Reference!$A$6:$A$11,MIN(5,MATCH(MAX(Reference!$A$6,MIN(Reference!$A$11,MIN($U168,120))),Reference!$A$6:$A$11,1))+1)-INDEX(Reference!$A$6:$A$11,MIN(5,MATCH(MAX(Reference!$A$6,MIN(Reference!$A$11,MIN($U168,120))),Reference!$A$6:$A$11,1))))),0)+IF(3&lt;=$AL168,($AL168-3+3)*(INDEX(Reference!$B$6:$B$11,MIN(5,MATCH(MAX(Reference!$A$6,MIN(Reference!$A$11,MIN($U168,150))),Reference!$A$6:$A$11,1)))+(MAX(Reference!$A$6,MIN(Reference!$A$11,MIN($U168,150)))-INDEX(Reference!$A$6:$A$11,MIN(5,MATCH(MAX(Reference!$A$6,MIN(Reference!$A$11,MIN($U168,150))),Reference!$A$6:$A$11,1))))*(INDEX(Reference!$B$6:$B$11,MIN(5,MATCH(MAX(Reference!$A$6,MIN(Reference!$A$11,MIN($U168,150))),Reference!$A$6:$A$11,1))+1)-INDEX(Reference!$B$6:$B$11,MIN(5,MATCH(MAX(Reference!$A$6,MIN(Reference!$A$11,MIN($U168,150))),Reference!$A$6:$A$11,1))))/(INDEX(Reference!$A$6:$A$11,MIN(5,MATCH(MAX(Reference!$A$6,MIN(Reference!$A$11,MIN($U168,150))),Reference!$A$6:$A$11,1))+1)-INDEX(Reference!$A$6:$A$11,MIN(5,MATCH(MAX(Reference!$A$6,MIN(Reference!$A$11,MIN($U168,150))),Reference!$A$6:$A$11,1))))),0)+IF(4&lt;=$AL168,($AL168-4+3)*(INDEX(Reference!$B$6:$B$11,MIN(5,MATCH(MAX(Reference!$A$6,MIN(Reference!$A$11,MIN($U168,180))),Reference!$A$6:$A$11,1)))+(MAX(Reference!$A$6,MIN(Reference!$A$11,MIN($U168,180)))-INDEX(Reference!$A$6:$A$11,MIN(5,MATCH(MAX(Reference!$A$6,MIN(Reference!$A$11,MIN($U168,180))),Reference!$A$6:$A$11,1))))*(INDEX(Reference!$B$6:$B$11,MIN(5,MATCH(MAX(Reference!$A$6,MIN(Reference!$A$11,MIN($U168,180))),Reference!$A$6:$A$11,1))+1)-INDEX(Reference!$B$6:$B$11,MIN(5,MATCH(MAX(Reference!$A$6,MIN(Reference!$A$11,MIN($U168,180))),Reference!$A$6:$A$11,1))))/(INDEX(Reference!$A$6:$A$11,MIN(5,MATCH(MAX(Reference!$A$6,MIN(Reference!$A$11,MIN($U168,180))),Reference!$A$6:$A$11,1))+1)-INDEX(Reference!$A$6:$A$11,MIN(5,MATCH(MAX(Reference!$A$6,MIN(Reference!$A$11,MIN($U168,180))),Reference!$A$6:$A$11,1))))),0)+IF(5&lt;=$AL168,($AL168-5+3)*(INDEX(Reference!$B$6:$B$11,MIN(5,MATCH(MAX(Reference!$A$6,MIN(Reference!$A$11,MIN($U168,210))),Reference!$A$6:$A$11,1)))+(MAX(Reference!$A$6,MIN(Reference!$A$11,MIN($U168,210)))-INDEX(Reference!$A$6:$A$11,MIN(5,MATCH(MAX(Reference!$A$6,MIN(Reference!$A$11,MIN($U168,210))),Reference!$A$6:$A$11,1))))*(INDEX(Reference!$B$6:$B$11,MIN(5,MATCH(MAX(Reference!$A$6,MIN(Reference!$A$11,MIN($U168,210))),Reference!$A$6:$A$11,1))+1)-INDEX(Reference!$B$6:$B$11,MIN(5,MATCH(MAX(Reference!$A$6,MIN(Reference!$A$11,MIN($U168,210))),Reference!$A$6:$A$11,1))))/(INDEX(Reference!$A$6:$A$11,MIN(5,MATCH(MAX(Reference!$A$6,MIN(Reference!$A$11,MIN($U168,210))),Reference!$A$6:$A$11,1))+1)-INDEX(Reference!$A$6:$A$11,MIN(5,MATCH(MAX(Reference!$A$6,MIN(Reference!$A$11,MIN($U168,210))),Reference!$A$6:$A$11,1))))),0)+IF(6&lt;=$AL168,($AL168-6+3)*(INDEX(Reference!$B$6:$B$11,MIN(5,MATCH(MAX(Reference!$A$6,MIN(Reference!$A$11,MIN($U168,240))),Reference!$A$6:$A$11,1)))+(MAX(Reference!$A$6,MIN(Reference!$A$11,MIN($U168,240)))-INDEX(Reference!$A$6:$A$11,MIN(5,MATCH(MAX(Reference!$A$6,MIN(Reference!$A$11,MIN($U168,240))),Reference!$A$6:$A$11,1))))*(INDEX(Reference!$B$6:$B$11,MIN(5,MATCH(MAX(Reference!$A$6,MIN(Reference!$A$11,MIN($U168,240))),Reference!$A$6:$A$11,1))+1)-INDEX(Reference!$B$6:$B$11,MIN(5,MATCH(MAX(Reference!$A$6,MIN(Reference!$A$11,MIN($U168,240))),Reference!$A$6:$A$11,1))))/(INDEX(Reference!$A$6:$A$11,MIN(5,MATCH(MAX(Reference!$A$6,MIN(Reference!$A$11,MIN($U168,240))),Reference!$A$6:$A$11,1))+1)-INDEX(Reference!$A$6:$A$11,MIN(5,MATCH(MAX(Reference!$A$6,MIN(Reference!$A$11,MIN($U168,240))),Reference!$A$6:$A$11,1))))),0)+IF(7&lt;=$AL168,($AL168-7+3)*(INDEX(Reference!$B$6:$B$11,MIN(5,MATCH(MAX(Reference!$A$6,MIN(Reference!$A$11,MIN($U168,270))),Reference!$A$6:$A$11,1)))+(MAX(Reference!$A$6,MIN(Reference!$A$11,MIN($U168,270)))-INDEX(Reference!$A$6:$A$11,MIN(5,MATCH(MAX(Reference!$A$6,MIN(Reference!$A$11,MIN($U168,270))),Reference!$A$6:$A$11,1))))*(INDEX(Reference!$B$6:$B$11,MIN(5,MATCH(MAX(Reference!$A$6,MIN(Reference!$A$11,MIN($U168,270))),Reference!$A$6:$A$11,1))+1)-INDEX(Reference!$B$6:$B$11,MIN(5,MATCH(MAX(Reference!$A$6,MIN(Reference!$A$11,MIN($U168,270))),Reference!$A$6:$A$11,1))))/(INDEX(Reference!$A$6:$A$11,MIN(5,MATCH(MAX(Reference!$A$6,MIN(Reference!$A$11,MIN($U168,270))),Reference!$A$6:$A$11,1))+1)-INDEX(Reference!$A$6:$A$11,MIN(5,MATCH(MAX(Reference!$A$6,MIN(Reference!$A$11,MIN($U168,270))),Reference!$A$6:$A$11,1))))),0)+IF(8&lt;=$AL168,($AL168-8+3)*(INDEX(Reference!$B$6:$B$11,MIN(5,MATCH(MAX(Reference!$A$6,MIN(Reference!$A$11,MIN($U168,300))),Reference!$A$6:$A$11,1)))+(MAX(Reference!$A$6,MIN(Reference!$A$11,MIN($U168,300)))-INDEX(Reference!$A$6:$A$11,MIN(5,MATCH(MAX(Reference!$A$6,MIN(Reference!$A$11,MIN($U168,300))),Reference!$A$6:$A$11,1))))*(INDEX(Reference!$B$6:$B$11,MIN(5,MATCH(MAX(Reference!$A$6,MIN(Reference!$A$11,MIN($U168,300))),Reference!$A$6:$A$11,1))+1)-INDEX(Reference!$B$6:$B$11,MIN(5,MATCH(MAX(Reference!$A$6,MIN(Reference!$A$11,MIN($U168,300))),Reference!$A$6:$A$11,1))))/(INDEX(Reference!$A$6:$A$11,MIN(5,MATCH(MAX(Reference!$A$6,MIN(Reference!$A$11,MIN($U168,300))),Reference!$A$6:$A$11,1))+1)-INDEX(Reference!$A$6:$A$11,MIN(5,MATCH(MAX(Reference!$A$6,MIN(Reference!$A$11,MIN($U168,300))),Reference!$A$6:$A$11,1))))),0))/($AL168*($AL168+5)/2)),$AN168))</f>
        <v>0</v>
      </c>
      <c r="AN168" s="32">
        <f>IF($U168="",0,(INDEX(Reference!$B$6:$B$11,MIN(5,MATCH(MAX(Reference!$A$6,MIN(Reference!$A$11,$U168)),Reference!$A$6:$A$11,1)))+(MAX(Reference!$A$6,MIN(Reference!$A$11,$U168))-INDEX(Reference!$A$6:$A$11,MIN(5,MATCH(MAX(Reference!$A$6,MIN(Reference!$A$11,$U168)),Reference!$A$6:$A$11,1))))*(INDEX(Reference!$B$6:$B$11,MIN(5,MATCH(MAX(Reference!$A$6,MIN(Reference!$A$11,$U168)),Reference!$A$6:$A$11,1))+1)-INDEX(Reference!$B$6:$B$11,MIN(5,MATCH(MAX(Reference!$A$6,MIN(Reference!$A$11,$U168)),Reference!$A$6:$A$11,1))))/(INDEX(Reference!$A$6:$A$11,MIN(5,MATCH(MAX(Reference!$A$6,MIN(Reference!$A$11,$U168)),Reference!$A$6:$A$11,1))+1)-INDEX(Reference!$A$6:$A$11,MIN(5,MATCH(MAX(Reference!$A$6,MIN(Reference!$A$11,$U168)),Reference!$A$6:$A$11,1))))))</f>
        <v>0</v>
      </c>
      <c r="AO168" s="37"/>
      <c r="AP168" s="37"/>
      <c r="AQ168" s="37"/>
    </row>
    <row r="169" spans="1:43" x14ac:dyDescent="0.3">
      <c r="A169" s="48" t="str">
        <f t="shared" si="80"/>
        <v/>
      </c>
      <c r="B169" s="32" t="str">
        <f t="shared" si="81"/>
        <v/>
      </c>
      <c r="C169" s="32" t="str">
        <f t="shared" si="82"/>
        <v/>
      </c>
      <c r="D169" s="32" t="str">
        <f t="shared" si="83"/>
        <v/>
      </c>
      <c r="E169" s="32" t="str">
        <f t="shared" si="84"/>
        <v/>
      </c>
      <c r="F169" s="32" t="str">
        <f t="shared" si="85"/>
        <v/>
      </c>
      <c r="G169" s="47" t="str">
        <f t="shared" si="86"/>
        <v/>
      </c>
      <c r="H169" s="30" t="str">
        <f t="shared" si="87"/>
        <v/>
      </c>
      <c r="I169" s="46" t="str">
        <f>IF($A169="","",IF(AND($L169&lt;27,$K$12=0),"Building",IFERROR(((SUM($H$163:$H169)+$K$12*IF($L169&lt;6,SUMIFS('Throw Log'!$Q$5:$Q$300,'Throw Log'!$B$5:$B$300,$D$4,'Throw Log'!$A$5:$A$300,"&gt;="&amp;($D$6+$L169-6),'Throw Log'!$A$5:$A$300,"&lt;="&amp;($D$6-1)),0))/7)/((SUM($H$142:$H169)+$K$12*IF($L169&lt;27,SUMIFS('Throw Log'!$Q$5:$Q$300,'Throw Log'!$B$5:$B$300,$D$4,'Throw Log'!$A$5:$A$300,"&gt;="&amp;($D$6+$L169-27),'Throw Log'!$A$5:$A$300,"&lt;="&amp;($D$6-1)),0))/28),"")))</f>
        <v/>
      </c>
      <c r="J169" s="37"/>
      <c r="K169" s="37"/>
      <c r="L169" s="32">
        <v>126</v>
      </c>
      <c r="M169" s="32">
        <f t="shared" si="88"/>
        <v>19</v>
      </c>
      <c r="N169" s="32">
        <f t="shared" si="89"/>
        <v>0</v>
      </c>
      <c r="O169" s="32">
        <f t="shared" si="90"/>
        <v>1</v>
      </c>
      <c r="P169" s="32" t="str">
        <f>IF(OR($A169="",N($C169)&lt;=7),"",$G$6*$G$9^($M169-1)*IF(AND(MOD($M169,Reference!$B$99)=0,$M169&lt;=$G$5-2),Reference!$B$100,1))</f>
        <v/>
      </c>
      <c r="Q169" s="32" t="str">
        <f>IF($P169="","",IF(SUM($AK$169:$AK$175)=0,0,$P169*INDEX(Reference!$B$108:$B$114,$N169+1)/SUM($AK$169:$AK$175)))</f>
        <v/>
      </c>
      <c r="R169" s="32">
        <f t="shared" si="91"/>
        <v>180</v>
      </c>
      <c r="S169" s="32">
        <f t="shared" si="92"/>
        <v>150</v>
      </c>
      <c r="T169" s="32" t="str">
        <f>IF($A169="","",IF($C169=0,"Bullpen",IF(OR($C169=7,$C169=1,$C169=5),"Recovery/Easy Catch",IF($C169=6,"Compression/Pulldowns",IF(OR($C169=4,$C169=2),"Long Toss",IF($C169=3,"No Throw",IF($N169=2,"No Throw",IF($N169=6,IF($O169&lt;Reference!$B$104,"No Throw","Recovery/Easy Catch"),IF(OR($N169=0,$N169=4),"Recovery/Easy Catch",IF($N169=1,IF($R169&gt;75,"Long Toss","Recovery/Easy Catch"),IF($N169=3,IF($O169&lt;0.5,IF($S169&gt;75,"Long Toss","Recovery/Easy Catch"),"Compression/Pulldowns"),IF($S169&gt;75,"Long Toss","Recovery/Easy Catch"))))))))))))</f>
        <v/>
      </c>
      <c r="U169" s="32" t="str">
        <f t="shared" si="93"/>
        <v/>
      </c>
      <c r="V169" s="32" t="str">
        <f t="shared" si="94"/>
        <v/>
      </c>
      <c r="W169" s="32" t="str">
        <f t="shared" si="95"/>
        <v/>
      </c>
      <c r="X169" s="32">
        <f t="shared" si="96"/>
        <v>0</v>
      </c>
      <c r="Y169" s="32" t="str">
        <f t="shared" si="97"/>
        <v/>
      </c>
      <c r="Z169" s="32" t="str">
        <f t="shared" si="98"/>
        <v/>
      </c>
      <c r="AA169" s="32" t="str">
        <f t="shared" si="99"/>
        <v/>
      </c>
      <c r="AB169" s="32" t="str">
        <f>IF($A169="","",IF($T169="No Throw",0,IF($K169&lt;&gt;"",$K169,IF($AA169&lt;&gt;"",ROUND($AA169*$D$12*IF($C169=0,1,$G$10),0),MIN(IF($T169="Recovery/Easy Catch",Reference!$B$103,IF($T169="Long Toss",Reference!$B$106,Reference!$B$102)),MAX(Reference!$B$101,ROUND(MAX(0,$Q169-$AE169)/$AF169,0)))))))</f>
        <v/>
      </c>
      <c r="AC169" s="32">
        <f t="shared" si="100"/>
        <v>0</v>
      </c>
      <c r="AD169" s="32" t="b">
        <f t="shared" si="101"/>
        <v>1</v>
      </c>
      <c r="AE169" s="32">
        <f>IF($X169=0,0,$X169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169+$Z169)/2,0),Reference!$A$17:$B$20,2,TRUE()))</f>
        <v>0</v>
      </c>
      <c r="AF169" s="32">
        <f>IF(OR($A169="",$U169="",$T169="No Throw"),0,$AM169*VLOOKUP(MAX(($V169+$W169)/2,0),Reference!$A$17:$B$20,2,TRUE()))</f>
        <v>0</v>
      </c>
      <c r="AG169" s="32">
        <f>IF($AC169=0,0,$AC169*INDEX(Reference!$B$61:$B$62,MATCH("Bullpen",Reference!$A$61:$A$62,0))*VLOOKUP(MAX($D$5-($D$9+$E$9)/2,0),Reference!$A$17:$B$20,2,TRUE()))</f>
        <v>0</v>
      </c>
      <c r="AH169" s="32" t="e">
        <f t="shared" si="102"/>
        <v>#N/A</v>
      </c>
      <c r="AI169" s="32" t="e">
        <f>IF($A169="",NA(),Reference!$A$25)</f>
        <v>#N/A</v>
      </c>
      <c r="AJ169" s="32" t="e">
        <f t="shared" si="103"/>
        <v>#N/A</v>
      </c>
      <c r="AK169" s="32">
        <f>IF(OR($A169="",N($C169)&lt;=7,$T169="No Throw",$J169="x"),0,INDEX(Reference!$B$108:$B$114,$N169+1))</f>
        <v>0</v>
      </c>
      <c r="AL169" s="32">
        <f t="shared" si="104"/>
        <v>1</v>
      </c>
      <c r="AM169" s="32">
        <f>IF($U169="",0,IF($AL169&gt;1,((IF(1&lt;=$AL169,($AL169-1+3)*(INDEX(Reference!$B$6:$B$11,MIN(5,MATCH(MAX(Reference!$A$6,MIN(Reference!$A$11,MIN($U169,90))),Reference!$A$6:$A$11,1)))+(MAX(Reference!$A$6,MIN(Reference!$A$11,MIN($U169,90)))-INDEX(Reference!$A$6:$A$11,MIN(5,MATCH(MAX(Reference!$A$6,MIN(Reference!$A$11,MIN($U169,90))),Reference!$A$6:$A$11,1))))*(INDEX(Reference!$B$6:$B$11,MIN(5,MATCH(MAX(Reference!$A$6,MIN(Reference!$A$11,MIN($U169,90))),Reference!$A$6:$A$11,1))+1)-INDEX(Reference!$B$6:$B$11,MIN(5,MATCH(MAX(Reference!$A$6,MIN(Reference!$A$11,MIN($U169,90))),Reference!$A$6:$A$11,1))))/(INDEX(Reference!$A$6:$A$11,MIN(5,MATCH(MAX(Reference!$A$6,MIN(Reference!$A$11,MIN($U169,90))),Reference!$A$6:$A$11,1))+1)-INDEX(Reference!$A$6:$A$11,MIN(5,MATCH(MAX(Reference!$A$6,MIN(Reference!$A$11,MIN($U169,90))),Reference!$A$6:$A$11,1))))),0)+IF(2&lt;=$AL169,($AL169-2+3)*(INDEX(Reference!$B$6:$B$11,MIN(5,MATCH(MAX(Reference!$A$6,MIN(Reference!$A$11,MIN($U169,120))),Reference!$A$6:$A$11,1)))+(MAX(Reference!$A$6,MIN(Reference!$A$11,MIN($U169,120)))-INDEX(Reference!$A$6:$A$11,MIN(5,MATCH(MAX(Reference!$A$6,MIN(Reference!$A$11,MIN($U169,120))),Reference!$A$6:$A$11,1))))*(INDEX(Reference!$B$6:$B$11,MIN(5,MATCH(MAX(Reference!$A$6,MIN(Reference!$A$11,MIN($U169,120))),Reference!$A$6:$A$11,1))+1)-INDEX(Reference!$B$6:$B$11,MIN(5,MATCH(MAX(Reference!$A$6,MIN(Reference!$A$11,MIN($U169,120))),Reference!$A$6:$A$11,1))))/(INDEX(Reference!$A$6:$A$11,MIN(5,MATCH(MAX(Reference!$A$6,MIN(Reference!$A$11,MIN($U169,120))),Reference!$A$6:$A$11,1))+1)-INDEX(Reference!$A$6:$A$11,MIN(5,MATCH(MAX(Reference!$A$6,MIN(Reference!$A$11,MIN($U169,120))),Reference!$A$6:$A$11,1))))),0)+IF(3&lt;=$AL169,($AL169-3+3)*(INDEX(Reference!$B$6:$B$11,MIN(5,MATCH(MAX(Reference!$A$6,MIN(Reference!$A$11,MIN($U169,150))),Reference!$A$6:$A$11,1)))+(MAX(Reference!$A$6,MIN(Reference!$A$11,MIN($U169,150)))-INDEX(Reference!$A$6:$A$11,MIN(5,MATCH(MAX(Reference!$A$6,MIN(Reference!$A$11,MIN($U169,150))),Reference!$A$6:$A$11,1))))*(INDEX(Reference!$B$6:$B$11,MIN(5,MATCH(MAX(Reference!$A$6,MIN(Reference!$A$11,MIN($U169,150))),Reference!$A$6:$A$11,1))+1)-INDEX(Reference!$B$6:$B$11,MIN(5,MATCH(MAX(Reference!$A$6,MIN(Reference!$A$11,MIN($U169,150))),Reference!$A$6:$A$11,1))))/(INDEX(Reference!$A$6:$A$11,MIN(5,MATCH(MAX(Reference!$A$6,MIN(Reference!$A$11,MIN($U169,150))),Reference!$A$6:$A$11,1))+1)-INDEX(Reference!$A$6:$A$11,MIN(5,MATCH(MAX(Reference!$A$6,MIN(Reference!$A$11,MIN($U169,150))),Reference!$A$6:$A$11,1))))),0)+IF(4&lt;=$AL169,($AL169-4+3)*(INDEX(Reference!$B$6:$B$11,MIN(5,MATCH(MAX(Reference!$A$6,MIN(Reference!$A$11,MIN($U169,180))),Reference!$A$6:$A$11,1)))+(MAX(Reference!$A$6,MIN(Reference!$A$11,MIN($U169,180)))-INDEX(Reference!$A$6:$A$11,MIN(5,MATCH(MAX(Reference!$A$6,MIN(Reference!$A$11,MIN($U169,180))),Reference!$A$6:$A$11,1))))*(INDEX(Reference!$B$6:$B$11,MIN(5,MATCH(MAX(Reference!$A$6,MIN(Reference!$A$11,MIN($U169,180))),Reference!$A$6:$A$11,1))+1)-INDEX(Reference!$B$6:$B$11,MIN(5,MATCH(MAX(Reference!$A$6,MIN(Reference!$A$11,MIN($U169,180))),Reference!$A$6:$A$11,1))))/(INDEX(Reference!$A$6:$A$11,MIN(5,MATCH(MAX(Reference!$A$6,MIN(Reference!$A$11,MIN($U169,180))),Reference!$A$6:$A$11,1))+1)-INDEX(Reference!$A$6:$A$11,MIN(5,MATCH(MAX(Reference!$A$6,MIN(Reference!$A$11,MIN($U169,180))),Reference!$A$6:$A$11,1))))),0)+IF(5&lt;=$AL169,($AL169-5+3)*(INDEX(Reference!$B$6:$B$11,MIN(5,MATCH(MAX(Reference!$A$6,MIN(Reference!$A$11,MIN($U169,210))),Reference!$A$6:$A$11,1)))+(MAX(Reference!$A$6,MIN(Reference!$A$11,MIN($U169,210)))-INDEX(Reference!$A$6:$A$11,MIN(5,MATCH(MAX(Reference!$A$6,MIN(Reference!$A$11,MIN($U169,210))),Reference!$A$6:$A$11,1))))*(INDEX(Reference!$B$6:$B$11,MIN(5,MATCH(MAX(Reference!$A$6,MIN(Reference!$A$11,MIN($U169,210))),Reference!$A$6:$A$11,1))+1)-INDEX(Reference!$B$6:$B$11,MIN(5,MATCH(MAX(Reference!$A$6,MIN(Reference!$A$11,MIN($U169,210))),Reference!$A$6:$A$11,1))))/(INDEX(Reference!$A$6:$A$11,MIN(5,MATCH(MAX(Reference!$A$6,MIN(Reference!$A$11,MIN($U169,210))),Reference!$A$6:$A$11,1))+1)-INDEX(Reference!$A$6:$A$11,MIN(5,MATCH(MAX(Reference!$A$6,MIN(Reference!$A$11,MIN($U169,210))),Reference!$A$6:$A$11,1))))),0)+IF(6&lt;=$AL169,($AL169-6+3)*(INDEX(Reference!$B$6:$B$11,MIN(5,MATCH(MAX(Reference!$A$6,MIN(Reference!$A$11,MIN($U169,240))),Reference!$A$6:$A$11,1)))+(MAX(Reference!$A$6,MIN(Reference!$A$11,MIN($U169,240)))-INDEX(Reference!$A$6:$A$11,MIN(5,MATCH(MAX(Reference!$A$6,MIN(Reference!$A$11,MIN($U169,240))),Reference!$A$6:$A$11,1))))*(INDEX(Reference!$B$6:$B$11,MIN(5,MATCH(MAX(Reference!$A$6,MIN(Reference!$A$11,MIN($U169,240))),Reference!$A$6:$A$11,1))+1)-INDEX(Reference!$B$6:$B$11,MIN(5,MATCH(MAX(Reference!$A$6,MIN(Reference!$A$11,MIN($U169,240))),Reference!$A$6:$A$11,1))))/(INDEX(Reference!$A$6:$A$11,MIN(5,MATCH(MAX(Reference!$A$6,MIN(Reference!$A$11,MIN($U169,240))),Reference!$A$6:$A$11,1))+1)-INDEX(Reference!$A$6:$A$11,MIN(5,MATCH(MAX(Reference!$A$6,MIN(Reference!$A$11,MIN($U169,240))),Reference!$A$6:$A$11,1))))),0)+IF(7&lt;=$AL169,($AL169-7+3)*(INDEX(Reference!$B$6:$B$11,MIN(5,MATCH(MAX(Reference!$A$6,MIN(Reference!$A$11,MIN($U169,270))),Reference!$A$6:$A$11,1)))+(MAX(Reference!$A$6,MIN(Reference!$A$11,MIN($U169,270)))-INDEX(Reference!$A$6:$A$11,MIN(5,MATCH(MAX(Reference!$A$6,MIN(Reference!$A$11,MIN($U169,270))),Reference!$A$6:$A$11,1))))*(INDEX(Reference!$B$6:$B$11,MIN(5,MATCH(MAX(Reference!$A$6,MIN(Reference!$A$11,MIN($U169,270))),Reference!$A$6:$A$11,1))+1)-INDEX(Reference!$B$6:$B$11,MIN(5,MATCH(MAX(Reference!$A$6,MIN(Reference!$A$11,MIN($U169,270))),Reference!$A$6:$A$11,1))))/(INDEX(Reference!$A$6:$A$11,MIN(5,MATCH(MAX(Reference!$A$6,MIN(Reference!$A$11,MIN($U169,270))),Reference!$A$6:$A$11,1))+1)-INDEX(Reference!$A$6:$A$11,MIN(5,MATCH(MAX(Reference!$A$6,MIN(Reference!$A$11,MIN($U169,270))),Reference!$A$6:$A$11,1))))),0)+IF(8&lt;=$AL169,($AL169-8+3)*(INDEX(Reference!$B$6:$B$11,MIN(5,MATCH(MAX(Reference!$A$6,MIN(Reference!$A$11,MIN($U169,300))),Reference!$A$6:$A$11,1)))+(MAX(Reference!$A$6,MIN(Reference!$A$11,MIN($U169,300)))-INDEX(Reference!$A$6:$A$11,MIN(5,MATCH(MAX(Reference!$A$6,MIN(Reference!$A$11,MIN($U169,300))),Reference!$A$6:$A$11,1))))*(INDEX(Reference!$B$6:$B$11,MIN(5,MATCH(MAX(Reference!$A$6,MIN(Reference!$A$11,MIN($U169,300))),Reference!$A$6:$A$11,1))+1)-INDEX(Reference!$B$6:$B$11,MIN(5,MATCH(MAX(Reference!$A$6,MIN(Reference!$A$11,MIN($U169,300))),Reference!$A$6:$A$11,1))))/(INDEX(Reference!$A$6:$A$11,MIN(5,MATCH(MAX(Reference!$A$6,MIN(Reference!$A$11,MIN($U169,300))),Reference!$A$6:$A$11,1))+1)-INDEX(Reference!$A$6:$A$11,MIN(5,MATCH(MAX(Reference!$A$6,MIN(Reference!$A$11,MIN($U169,300))),Reference!$A$6:$A$11,1))))),0))/($AL169*($AL169+5)/2)),$AN169))</f>
        <v>0</v>
      </c>
      <c r="AN169" s="32">
        <f>IF($U169="",0,(INDEX(Reference!$B$6:$B$11,MIN(5,MATCH(MAX(Reference!$A$6,MIN(Reference!$A$11,$U169)),Reference!$A$6:$A$11,1)))+(MAX(Reference!$A$6,MIN(Reference!$A$11,$U169))-INDEX(Reference!$A$6:$A$11,MIN(5,MATCH(MAX(Reference!$A$6,MIN(Reference!$A$11,$U169)),Reference!$A$6:$A$11,1))))*(INDEX(Reference!$B$6:$B$11,MIN(5,MATCH(MAX(Reference!$A$6,MIN(Reference!$A$11,$U169)),Reference!$A$6:$A$11,1))+1)-INDEX(Reference!$B$6:$B$11,MIN(5,MATCH(MAX(Reference!$A$6,MIN(Reference!$A$11,$U169)),Reference!$A$6:$A$11,1))))/(INDEX(Reference!$A$6:$A$11,MIN(5,MATCH(MAX(Reference!$A$6,MIN(Reference!$A$11,$U169)),Reference!$A$6:$A$11,1))+1)-INDEX(Reference!$A$6:$A$11,MIN(5,MATCH(MAX(Reference!$A$6,MIN(Reference!$A$11,$U169)),Reference!$A$6:$A$11,1))))))</f>
        <v>0</v>
      </c>
      <c r="AO169" s="37"/>
      <c r="AP169" s="37"/>
      <c r="AQ169" s="37"/>
    </row>
    <row r="170" spans="1:43" x14ac:dyDescent="0.3">
      <c r="A170" s="48" t="str">
        <f t="shared" si="80"/>
        <v/>
      </c>
      <c r="B170" s="32" t="str">
        <f t="shared" si="81"/>
        <v/>
      </c>
      <c r="C170" s="32" t="str">
        <f t="shared" si="82"/>
        <v/>
      </c>
      <c r="D170" s="32" t="str">
        <f t="shared" si="83"/>
        <v/>
      </c>
      <c r="E170" s="32" t="str">
        <f t="shared" si="84"/>
        <v/>
      </c>
      <c r="F170" s="32" t="str">
        <f t="shared" si="85"/>
        <v/>
      </c>
      <c r="G170" s="47" t="str">
        <f t="shared" si="86"/>
        <v/>
      </c>
      <c r="H170" s="30" t="str">
        <f t="shared" si="87"/>
        <v/>
      </c>
      <c r="I170" s="46" t="str">
        <f>IF($A170="","",IF(AND($L170&lt;27,$K$12=0),"Building",IFERROR(((SUM($H$164:$H170)+$K$12*IF($L170&lt;6,SUMIFS('Throw Log'!$Q$5:$Q$300,'Throw Log'!$B$5:$B$300,$D$4,'Throw Log'!$A$5:$A$300,"&gt;="&amp;($D$6+$L170-6),'Throw Log'!$A$5:$A$300,"&lt;="&amp;($D$6-1)),0))/7)/((SUM($H$143:$H170)+$K$12*IF($L170&lt;27,SUMIFS('Throw Log'!$Q$5:$Q$300,'Throw Log'!$B$5:$B$300,$D$4,'Throw Log'!$A$5:$A$300,"&gt;="&amp;($D$6+$L170-27),'Throw Log'!$A$5:$A$300,"&lt;="&amp;($D$6-1)),0))/28),"")))</f>
        <v/>
      </c>
      <c r="J170" s="37"/>
      <c r="K170" s="37"/>
      <c r="L170" s="32">
        <v>127</v>
      </c>
      <c r="M170" s="32">
        <f t="shared" si="88"/>
        <v>19</v>
      </c>
      <c r="N170" s="32">
        <f t="shared" si="89"/>
        <v>1</v>
      </c>
      <c r="O170" s="32">
        <f t="shared" si="90"/>
        <v>1</v>
      </c>
      <c r="P170" s="32" t="str">
        <f>IF(OR($A170="",N($C170)&lt;=7),"",$G$6*$G$9^($M170-1)*IF(AND(MOD($M170,Reference!$B$99)=0,$M170&lt;=$G$5-2),Reference!$B$100,1))</f>
        <v/>
      </c>
      <c r="Q170" s="32" t="str">
        <f>IF($P170="","",IF(SUM($AK$169:$AK$175)=0,0,$P170*INDEX(Reference!$B$108:$B$114,$N170+1)/SUM($AK$169:$AK$175)))</f>
        <v/>
      </c>
      <c r="R170" s="32">
        <f t="shared" si="91"/>
        <v>180</v>
      </c>
      <c r="S170" s="32">
        <f t="shared" si="92"/>
        <v>150</v>
      </c>
      <c r="T170" s="32" t="str">
        <f>IF($A170="","",IF($C170=0,"Bullpen",IF(OR($C170=7,$C170=1,$C170=5),"Recovery/Easy Catch",IF($C170=6,"Compression/Pulldowns",IF(OR($C170=4,$C170=2),"Long Toss",IF($C170=3,"No Throw",IF($N170=2,"No Throw",IF($N170=6,IF($O170&lt;Reference!$B$104,"No Throw","Recovery/Easy Catch"),IF(OR($N170=0,$N170=4),"Recovery/Easy Catch",IF($N170=1,IF($R170&gt;75,"Long Toss","Recovery/Easy Catch"),IF($N170=3,IF($O170&lt;0.5,IF($S170&gt;75,"Long Toss","Recovery/Easy Catch"),"Compression/Pulldowns"),IF($S170&gt;75,"Long Toss","Recovery/Easy Catch"))))))))))))</f>
        <v/>
      </c>
      <c r="U170" s="32" t="str">
        <f t="shared" si="93"/>
        <v/>
      </c>
      <c r="V170" s="32" t="str">
        <f t="shared" si="94"/>
        <v/>
      </c>
      <c r="W170" s="32" t="str">
        <f t="shared" si="95"/>
        <v/>
      </c>
      <c r="X170" s="32">
        <f t="shared" si="96"/>
        <v>0</v>
      </c>
      <c r="Y170" s="32" t="str">
        <f t="shared" si="97"/>
        <v/>
      </c>
      <c r="Z170" s="32" t="str">
        <f t="shared" si="98"/>
        <v/>
      </c>
      <c r="AA170" s="32" t="str">
        <f t="shared" si="99"/>
        <v/>
      </c>
      <c r="AB170" s="32" t="str">
        <f>IF($A170="","",IF($T170="No Throw",0,IF($K170&lt;&gt;"",$K170,IF($AA170&lt;&gt;"",ROUND($AA170*$D$12*IF($C170=0,1,$G$10),0),MIN(IF($T170="Recovery/Easy Catch",Reference!$B$103,IF($T170="Long Toss",Reference!$B$106,Reference!$B$102)),MAX(Reference!$B$101,ROUND(MAX(0,$Q170-$AE170)/$AF170,0)))))))</f>
        <v/>
      </c>
      <c r="AC170" s="32">
        <f t="shared" si="100"/>
        <v>0</v>
      </c>
      <c r="AD170" s="32" t="b">
        <f t="shared" si="101"/>
        <v>1</v>
      </c>
      <c r="AE170" s="32">
        <f>IF($X170=0,0,$X170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170+$Z170)/2,0),Reference!$A$17:$B$20,2,TRUE()))</f>
        <v>0</v>
      </c>
      <c r="AF170" s="32">
        <f>IF(OR($A170="",$U170="",$T170="No Throw"),0,$AM170*VLOOKUP(MAX(($V170+$W170)/2,0),Reference!$A$17:$B$20,2,TRUE()))</f>
        <v>0</v>
      </c>
      <c r="AG170" s="32">
        <f>IF($AC170=0,0,$AC170*INDEX(Reference!$B$61:$B$62,MATCH("Bullpen",Reference!$A$61:$A$62,0))*VLOOKUP(MAX($D$5-($D$9+$E$9)/2,0),Reference!$A$17:$B$20,2,TRUE()))</f>
        <v>0</v>
      </c>
      <c r="AH170" s="32" t="e">
        <f t="shared" si="102"/>
        <v>#N/A</v>
      </c>
      <c r="AI170" s="32" t="e">
        <f>IF($A170="",NA(),Reference!$A$25)</f>
        <v>#N/A</v>
      </c>
      <c r="AJ170" s="32" t="e">
        <f t="shared" si="103"/>
        <v>#N/A</v>
      </c>
      <c r="AK170" s="32">
        <f>IF(OR($A170="",N($C170)&lt;=7,$T170="No Throw",$J170="x"),0,INDEX(Reference!$B$108:$B$114,$N170+1))</f>
        <v>0</v>
      </c>
      <c r="AL170" s="32">
        <f t="shared" si="104"/>
        <v>1</v>
      </c>
      <c r="AM170" s="32">
        <f>IF($U170="",0,IF($AL170&gt;1,((IF(1&lt;=$AL170,($AL170-1+3)*(INDEX(Reference!$B$6:$B$11,MIN(5,MATCH(MAX(Reference!$A$6,MIN(Reference!$A$11,MIN($U170,90))),Reference!$A$6:$A$11,1)))+(MAX(Reference!$A$6,MIN(Reference!$A$11,MIN($U170,90)))-INDEX(Reference!$A$6:$A$11,MIN(5,MATCH(MAX(Reference!$A$6,MIN(Reference!$A$11,MIN($U170,90))),Reference!$A$6:$A$11,1))))*(INDEX(Reference!$B$6:$B$11,MIN(5,MATCH(MAX(Reference!$A$6,MIN(Reference!$A$11,MIN($U170,90))),Reference!$A$6:$A$11,1))+1)-INDEX(Reference!$B$6:$B$11,MIN(5,MATCH(MAX(Reference!$A$6,MIN(Reference!$A$11,MIN($U170,90))),Reference!$A$6:$A$11,1))))/(INDEX(Reference!$A$6:$A$11,MIN(5,MATCH(MAX(Reference!$A$6,MIN(Reference!$A$11,MIN($U170,90))),Reference!$A$6:$A$11,1))+1)-INDEX(Reference!$A$6:$A$11,MIN(5,MATCH(MAX(Reference!$A$6,MIN(Reference!$A$11,MIN($U170,90))),Reference!$A$6:$A$11,1))))),0)+IF(2&lt;=$AL170,($AL170-2+3)*(INDEX(Reference!$B$6:$B$11,MIN(5,MATCH(MAX(Reference!$A$6,MIN(Reference!$A$11,MIN($U170,120))),Reference!$A$6:$A$11,1)))+(MAX(Reference!$A$6,MIN(Reference!$A$11,MIN($U170,120)))-INDEX(Reference!$A$6:$A$11,MIN(5,MATCH(MAX(Reference!$A$6,MIN(Reference!$A$11,MIN($U170,120))),Reference!$A$6:$A$11,1))))*(INDEX(Reference!$B$6:$B$11,MIN(5,MATCH(MAX(Reference!$A$6,MIN(Reference!$A$11,MIN($U170,120))),Reference!$A$6:$A$11,1))+1)-INDEX(Reference!$B$6:$B$11,MIN(5,MATCH(MAX(Reference!$A$6,MIN(Reference!$A$11,MIN($U170,120))),Reference!$A$6:$A$11,1))))/(INDEX(Reference!$A$6:$A$11,MIN(5,MATCH(MAX(Reference!$A$6,MIN(Reference!$A$11,MIN($U170,120))),Reference!$A$6:$A$11,1))+1)-INDEX(Reference!$A$6:$A$11,MIN(5,MATCH(MAX(Reference!$A$6,MIN(Reference!$A$11,MIN($U170,120))),Reference!$A$6:$A$11,1))))),0)+IF(3&lt;=$AL170,($AL170-3+3)*(INDEX(Reference!$B$6:$B$11,MIN(5,MATCH(MAX(Reference!$A$6,MIN(Reference!$A$11,MIN($U170,150))),Reference!$A$6:$A$11,1)))+(MAX(Reference!$A$6,MIN(Reference!$A$11,MIN($U170,150)))-INDEX(Reference!$A$6:$A$11,MIN(5,MATCH(MAX(Reference!$A$6,MIN(Reference!$A$11,MIN($U170,150))),Reference!$A$6:$A$11,1))))*(INDEX(Reference!$B$6:$B$11,MIN(5,MATCH(MAX(Reference!$A$6,MIN(Reference!$A$11,MIN($U170,150))),Reference!$A$6:$A$11,1))+1)-INDEX(Reference!$B$6:$B$11,MIN(5,MATCH(MAX(Reference!$A$6,MIN(Reference!$A$11,MIN($U170,150))),Reference!$A$6:$A$11,1))))/(INDEX(Reference!$A$6:$A$11,MIN(5,MATCH(MAX(Reference!$A$6,MIN(Reference!$A$11,MIN($U170,150))),Reference!$A$6:$A$11,1))+1)-INDEX(Reference!$A$6:$A$11,MIN(5,MATCH(MAX(Reference!$A$6,MIN(Reference!$A$11,MIN($U170,150))),Reference!$A$6:$A$11,1))))),0)+IF(4&lt;=$AL170,($AL170-4+3)*(INDEX(Reference!$B$6:$B$11,MIN(5,MATCH(MAX(Reference!$A$6,MIN(Reference!$A$11,MIN($U170,180))),Reference!$A$6:$A$11,1)))+(MAX(Reference!$A$6,MIN(Reference!$A$11,MIN($U170,180)))-INDEX(Reference!$A$6:$A$11,MIN(5,MATCH(MAX(Reference!$A$6,MIN(Reference!$A$11,MIN($U170,180))),Reference!$A$6:$A$11,1))))*(INDEX(Reference!$B$6:$B$11,MIN(5,MATCH(MAX(Reference!$A$6,MIN(Reference!$A$11,MIN($U170,180))),Reference!$A$6:$A$11,1))+1)-INDEX(Reference!$B$6:$B$11,MIN(5,MATCH(MAX(Reference!$A$6,MIN(Reference!$A$11,MIN($U170,180))),Reference!$A$6:$A$11,1))))/(INDEX(Reference!$A$6:$A$11,MIN(5,MATCH(MAX(Reference!$A$6,MIN(Reference!$A$11,MIN($U170,180))),Reference!$A$6:$A$11,1))+1)-INDEX(Reference!$A$6:$A$11,MIN(5,MATCH(MAX(Reference!$A$6,MIN(Reference!$A$11,MIN($U170,180))),Reference!$A$6:$A$11,1))))),0)+IF(5&lt;=$AL170,($AL170-5+3)*(INDEX(Reference!$B$6:$B$11,MIN(5,MATCH(MAX(Reference!$A$6,MIN(Reference!$A$11,MIN($U170,210))),Reference!$A$6:$A$11,1)))+(MAX(Reference!$A$6,MIN(Reference!$A$11,MIN($U170,210)))-INDEX(Reference!$A$6:$A$11,MIN(5,MATCH(MAX(Reference!$A$6,MIN(Reference!$A$11,MIN($U170,210))),Reference!$A$6:$A$11,1))))*(INDEX(Reference!$B$6:$B$11,MIN(5,MATCH(MAX(Reference!$A$6,MIN(Reference!$A$11,MIN($U170,210))),Reference!$A$6:$A$11,1))+1)-INDEX(Reference!$B$6:$B$11,MIN(5,MATCH(MAX(Reference!$A$6,MIN(Reference!$A$11,MIN($U170,210))),Reference!$A$6:$A$11,1))))/(INDEX(Reference!$A$6:$A$11,MIN(5,MATCH(MAX(Reference!$A$6,MIN(Reference!$A$11,MIN($U170,210))),Reference!$A$6:$A$11,1))+1)-INDEX(Reference!$A$6:$A$11,MIN(5,MATCH(MAX(Reference!$A$6,MIN(Reference!$A$11,MIN($U170,210))),Reference!$A$6:$A$11,1))))),0)+IF(6&lt;=$AL170,($AL170-6+3)*(INDEX(Reference!$B$6:$B$11,MIN(5,MATCH(MAX(Reference!$A$6,MIN(Reference!$A$11,MIN($U170,240))),Reference!$A$6:$A$11,1)))+(MAX(Reference!$A$6,MIN(Reference!$A$11,MIN($U170,240)))-INDEX(Reference!$A$6:$A$11,MIN(5,MATCH(MAX(Reference!$A$6,MIN(Reference!$A$11,MIN($U170,240))),Reference!$A$6:$A$11,1))))*(INDEX(Reference!$B$6:$B$11,MIN(5,MATCH(MAX(Reference!$A$6,MIN(Reference!$A$11,MIN($U170,240))),Reference!$A$6:$A$11,1))+1)-INDEX(Reference!$B$6:$B$11,MIN(5,MATCH(MAX(Reference!$A$6,MIN(Reference!$A$11,MIN($U170,240))),Reference!$A$6:$A$11,1))))/(INDEX(Reference!$A$6:$A$11,MIN(5,MATCH(MAX(Reference!$A$6,MIN(Reference!$A$11,MIN($U170,240))),Reference!$A$6:$A$11,1))+1)-INDEX(Reference!$A$6:$A$11,MIN(5,MATCH(MAX(Reference!$A$6,MIN(Reference!$A$11,MIN($U170,240))),Reference!$A$6:$A$11,1))))),0)+IF(7&lt;=$AL170,($AL170-7+3)*(INDEX(Reference!$B$6:$B$11,MIN(5,MATCH(MAX(Reference!$A$6,MIN(Reference!$A$11,MIN($U170,270))),Reference!$A$6:$A$11,1)))+(MAX(Reference!$A$6,MIN(Reference!$A$11,MIN($U170,270)))-INDEX(Reference!$A$6:$A$11,MIN(5,MATCH(MAX(Reference!$A$6,MIN(Reference!$A$11,MIN($U170,270))),Reference!$A$6:$A$11,1))))*(INDEX(Reference!$B$6:$B$11,MIN(5,MATCH(MAX(Reference!$A$6,MIN(Reference!$A$11,MIN($U170,270))),Reference!$A$6:$A$11,1))+1)-INDEX(Reference!$B$6:$B$11,MIN(5,MATCH(MAX(Reference!$A$6,MIN(Reference!$A$11,MIN($U170,270))),Reference!$A$6:$A$11,1))))/(INDEX(Reference!$A$6:$A$11,MIN(5,MATCH(MAX(Reference!$A$6,MIN(Reference!$A$11,MIN($U170,270))),Reference!$A$6:$A$11,1))+1)-INDEX(Reference!$A$6:$A$11,MIN(5,MATCH(MAX(Reference!$A$6,MIN(Reference!$A$11,MIN($U170,270))),Reference!$A$6:$A$11,1))))),0)+IF(8&lt;=$AL170,($AL170-8+3)*(INDEX(Reference!$B$6:$B$11,MIN(5,MATCH(MAX(Reference!$A$6,MIN(Reference!$A$11,MIN($U170,300))),Reference!$A$6:$A$11,1)))+(MAX(Reference!$A$6,MIN(Reference!$A$11,MIN($U170,300)))-INDEX(Reference!$A$6:$A$11,MIN(5,MATCH(MAX(Reference!$A$6,MIN(Reference!$A$11,MIN($U170,300))),Reference!$A$6:$A$11,1))))*(INDEX(Reference!$B$6:$B$11,MIN(5,MATCH(MAX(Reference!$A$6,MIN(Reference!$A$11,MIN($U170,300))),Reference!$A$6:$A$11,1))+1)-INDEX(Reference!$B$6:$B$11,MIN(5,MATCH(MAX(Reference!$A$6,MIN(Reference!$A$11,MIN($U170,300))),Reference!$A$6:$A$11,1))))/(INDEX(Reference!$A$6:$A$11,MIN(5,MATCH(MAX(Reference!$A$6,MIN(Reference!$A$11,MIN($U170,300))),Reference!$A$6:$A$11,1))+1)-INDEX(Reference!$A$6:$A$11,MIN(5,MATCH(MAX(Reference!$A$6,MIN(Reference!$A$11,MIN($U170,300))),Reference!$A$6:$A$11,1))))),0))/($AL170*($AL170+5)/2)),$AN170))</f>
        <v>0</v>
      </c>
      <c r="AN170" s="32">
        <f>IF($U170="",0,(INDEX(Reference!$B$6:$B$11,MIN(5,MATCH(MAX(Reference!$A$6,MIN(Reference!$A$11,$U170)),Reference!$A$6:$A$11,1)))+(MAX(Reference!$A$6,MIN(Reference!$A$11,$U170))-INDEX(Reference!$A$6:$A$11,MIN(5,MATCH(MAX(Reference!$A$6,MIN(Reference!$A$11,$U170)),Reference!$A$6:$A$11,1))))*(INDEX(Reference!$B$6:$B$11,MIN(5,MATCH(MAX(Reference!$A$6,MIN(Reference!$A$11,$U170)),Reference!$A$6:$A$11,1))+1)-INDEX(Reference!$B$6:$B$11,MIN(5,MATCH(MAX(Reference!$A$6,MIN(Reference!$A$11,$U170)),Reference!$A$6:$A$11,1))))/(INDEX(Reference!$A$6:$A$11,MIN(5,MATCH(MAX(Reference!$A$6,MIN(Reference!$A$11,$U170)),Reference!$A$6:$A$11,1))+1)-INDEX(Reference!$A$6:$A$11,MIN(5,MATCH(MAX(Reference!$A$6,MIN(Reference!$A$11,$U170)),Reference!$A$6:$A$11,1))))))</f>
        <v>0</v>
      </c>
      <c r="AO170" s="37"/>
      <c r="AP170" s="37"/>
      <c r="AQ170" s="37"/>
    </row>
    <row r="171" spans="1:43" x14ac:dyDescent="0.3">
      <c r="A171" s="48" t="str">
        <f t="shared" ref="A171:A183" si="105">IFERROR(IF($L171&gt;$G$4,"",$D$6+$L171),"")</f>
        <v/>
      </c>
      <c r="B171" s="32" t="str">
        <f t="shared" ref="B171:B183" si="106">IF($A171="","",TEXT($A171,"ddd"))</f>
        <v/>
      </c>
      <c r="C171" s="32" t="str">
        <f t="shared" ref="C171:C183" si="107">IF($A171="","",$G$4-$L171)</f>
        <v/>
      </c>
      <c r="D171" s="32" t="str">
        <f t="shared" ref="D171:D183" si="108">IF($A171="","",IF($C171=0,"First Bullpen",IF($C171&lt;=7,"Taper",IF($O171&lt;0.2,"Re-entry",IF($O171&lt;0.45,"Base",IF($O171&lt;0.65,"Extension","Flat Ground / Intent"))))))</f>
        <v/>
      </c>
      <c r="E171" s="32" t="str">
        <f t="shared" ref="E171:E183" si="109">IF($A171="","",IF($AD171,"No Throw",IF($C171=0,"High Bullpen",IF($C171=6,"High Non-Bullpen",IF(OR($C171=4,$C171=2),"Medium",IF($T171="Recovery/Easy Catch","Low",IF($N171=1,IF($O171&lt;0.4,"Low",IF($O171&lt;0.7,"Medium","High Non-Bullpen")),IF($N171=3,IF($O171&lt;0.5,"Medium","High Non-Bullpen"),IF($O171&lt;0.62,"Medium","High Non-Bullpen")))))))))</f>
        <v/>
      </c>
      <c r="F171" s="32" t="str">
        <f t="shared" ref="F171:F183" si="110">IF($A171="","",IF($AD171,"No Throw",$T171))</f>
        <v/>
      </c>
      <c r="G171" s="47" t="str">
        <f t="shared" ref="G171:G183" si="111">IF($A171="","",IF($AD171,"Off",IF($AL171&gt;1,"Long toss out to "&amp;$U171&amp;" ft — "&amp;$AB171&amp;" throws ("&amp;IF(1&lt;=$AL171,MIN($U171,90)&amp;"×"&amp;(ROUND($AB171*(1*($AL171+3)-1)/($AL171*($AL171+5)/2),0)-0),"")&amp;IF(2&lt;=$AL171," · "&amp;MIN($U171,120)&amp;"×"&amp;(ROUND($AB171*(2*($AL171+3)-3)/($AL171*($AL171+5)/2),0)-ROUND($AB171*(1*($AL171+3)-1)/($AL171*($AL171+5)/2),0)),"")&amp;IF(3&lt;=$AL171," · "&amp;MIN($U171,150)&amp;"×"&amp;(ROUND($AB171*(3*($AL171+3)-6)/($AL171*($AL171+5)/2),0)-ROUND($AB171*(2*($AL171+3)-3)/($AL171*($AL171+5)/2),0)),"")&amp;IF(4&lt;=$AL171," · "&amp;MIN($U171,180)&amp;"×"&amp;(ROUND($AB171*(4*($AL171+3)-10)/($AL171*($AL171+5)/2),0)-ROUND($AB171*(3*($AL171+3)-6)/($AL171*($AL171+5)/2),0)),"")&amp;IF(5&lt;=$AL171," · "&amp;MIN($U171,210)&amp;"×"&amp;(ROUND($AB171*(5*($AL171+3)-15)/($AL171*($AL171+5)/2),0)-ROUND($AB171*(4*($AL171+3)-10)/($AL171*($AL171+5)/2),0)),"")&amp;IF(6&lt;=$AL171," · "&amp;MIN($U171,240)&amp;"×"&amp;(ROUND($AB171*(6*($AL171+3)-21)/($AL171*($AL171+5)/2),0)-ROUND($AB171*(5*($AL171+3)-15)/($AL171*($AL171+5)/2),0)),"")&amp;IF(7&lt;=$AL171," · "&amp;MIN($U171,270)&amp;"×"&amp;(ROUND($AB171*(7*($AL171+3)-28)/($AL171*($AL171+5)/2),0)-ROUND($AB171*(6*($AL171+3)-21)/($AL171*($AL171+5)/2),0)),"")&amp;IF(8&lt;=$AL171," · "&amp;MIN($U171,300)&amp;"×"&amp;(ROUND($AB171*(8*($AL171+3)-36)/($AL171*($AL171+5)/2),0)-ROUND($AB171*(7*($AL171+3)-28)/($AL171*($AL171+5)/2),0)),"")&amp;")",$U171&amp;" ft × "&amp;$AB171)&amp;" @ "&amp;ROUND($D$5-$W171,0)&amp;"–"&amp;ROUND($D$5-$V171,0)&amp;" mph"&amp;IF($X171&gt;0,IF($Y171&lt;10," + flat ground at 60 ft × "," + 60 ft × ")&amp;$X171&amp;" @ "&amp;ROUND($D$5-$Z171,0)&amp;"–"&amp;ROUND($D$5-$Y171,0)&amp;" mph","")&amp;IF($AC171&gt;0," + MOUND × "&amp;$AC171&amp;" pitches @ "&amp;$D$9&amp;"–"&amp;$E$9&amp;" mph","")))</f>
        <v/>
      </c>
      <c r="H171" s="30" t="str">
        <f t="shared" ref="H171:H183" si="112">IF($A171="","",IF($AD171,0,$AB171*$AF171+$AE171+$AG171))</f>
        <v/>
      </c>
      <c r="I171" s="46" t="str">
        <f>IF($A171="","",IF(AND($L171&lt;27,$K$12=0),"Building",IFERROR(((SUM($H$165:$H171)+$K$12*IF($L171&lt;6,SUMIFS('Throw Log'!$Q$5:$Q$300,'Throw Log'!$B$5:$B$300,$D$4,'Throw Log'!$A$5:$A$300,"&gt;="&amp;($D$6+$L171-6),'Throw Log'!$A$5:$A$300,"&lt;="&amp;($D$6-1)),0))/7)/((SUM($H$144:$H171)+$K$12*IF($L171&lt;27,SUMIFS('Throw Log'!$Q$5:$Q$300,'Throw Log'!$B$5:$B$300,$D$4,'Throw Log'!$A$5:$A$300,"&gt;="&amp;($D$6+$L171-27),'Throw Log'!$A$5:$A$300,"&lt;="&amp;($D$6-1)),0))/28),"")))</f>
        <v/>
      </c>
      <c r="J171" s="37"/>
      <c r="K171" s="37"/>
      <c r="L171" s="32">
        <v>128</v>
      </c>
      <c r="M171" s="32">
        <f t="shared" ref="M171:M183" si="113">INT($L171/7)+1</f>
        <v>19</v>
      </c>
      <c r="N171" s="32">
        <f t="shared" ref="N171:N183" si="114">MOD($L171,7)</f>
        <v>2</v>
      </c>
      <c r="O171" s="32">
        <f t="shared" ref="O171:O183" si="115">MIN(1,$G$7+(1-$G$7)*$L171/MAX(1,N($G$4)-8))</f>
        <v>1</v>
      </c>
      <c r="P171" s="32" t="str">
        <f>IF(OR($A171="",N($C171)&lt;=7),"",$G$6*$G$9^($M171-1)*IF(AND(MOD($M171,Reference!$B$99)=0,$M171&lt;=$G$5-2),Reference!$B$100,1))</f>
        <v/>
      </c>
      <c r="Q171" s="32" t="str">
        <f>IF($P171="","",IF(SUM($AK$169:$AK$175)=0,0,$P171*INDEX(Reference!$B$108:$B$114,$N171+1)/SUM($AK$169:$AK$175)))</f>
        <v/>
      </c>
      <c r="R171" s="32">
        <f t="shared" ref="R171:R183" si="116">ROUND((60+($D$11-60)*MIN(1,$O171/0.75))/15,0)*15</f>
        <v>180</v>
      </c>
      <c r="S171" s="32">
        <f t="shared" ref="S171:S183" si="117">ROUND((60+($R171-60)*0.8)/15,0)*15</f>
        <v>150</v>
      </c>
      <c r="T171" s="32" t="str">
        <f>IF($A171="","",IF($C171=0,"Bullpen",IF(OR($C171=7,$C171=1,$C171=5),"Recovery/Easy Catch",IF($C171=6,"Compression/Pulldowns",IF(OR($C171=4,$C171=2),"Long Toss",IF($C171=3,"No Throw",IF($N171=2,"No Throw",IF($N171=6,IF($O171&lt;Reference!$B$104,"No Throw","Recovery/Easy Catch"),IF(OR($N171=0,$N171=4),"Recovery/Easy Catch",IF($N171=1,IF($R171&gt;75,"Long Toss","Recovery/Easy Catch"),IF($N171=3,IF($O171&lt;0.5,IF($S171&gt;75,"Long Toss","Recovery/Easy Catch"),"Compression/Pulldowns"),IF($S171&gt;75,"Long Toss","Recovery/Easy Catch"))))))))))))</f>
        <v/>
      </c>
      <c r="U171" s="32" t="str">
        <f t="shared" ref="U171:U183" si="118">IF($A171="","",IF(N($AO171)&gt;0,$AO171,IF($C171=0,90,IF(OR($C171=7,$C171=1),75,IF($C171=6,90,IF($C171=5,60,IF($C171=4,MIN(150,ROUND(0.75*$D$11/15,0)*15),IF($C171=2,MIN(120,ROUND(0.67*$D$11/15,0)*15),IF($C171=3,"",IF($N171=2,"",IF($N171=6,60,IF($N171=0,IF($O171&lt;0.25,60,75),IF($N171=4,IF($O171&lt;0.5,60,75),IF($N171=1,$R171,IF($N171=3,IF($O171&lt;0.5,$S171,90),$S171)))))))))))))))</f>
        <v/>
      </c>
      <c r="V171" s="32" t="str">
        <f t="shared" ref="V171:V183" si="119">IF($A171="","",IF(N($AQ171)&gt;0,$D$5-$AQ171,IF(N($AP171)&gt;0,$D$5-$AP171,IF($C171=0,10,IF(OR($C171=7,$C171=1),18,IF($C171=6,7,IF($C171=5,20,IF(OR($C171=4,$C171=2),10,IF($C171=3,"",IF($N171=2,"",IF($N171=6,20,IF($N171=0,IF($O171&lt;0.25,20,18),IF($N171=4,IF($O171&lt;0.5,20,18),IF($N171=1,IF($O171&lt;0.25,18,IF($O171&lt;0.5,13,10)),IF($N171=3,IF($O171&lt;0.5,IF($O171&lt;0.25,18,13),7),IF($O171&lt;0.25,18,IF($O171&lt;0.5,12,10)))))))))))))))))</f>
        <v/>
      </c>
      <c r="W171" s="32" t="str">
        <f t="shared" ref="W171:W183" si="120">IF($A171="","",IF(N($AP171)&gt;0,$D$5-$AP171,IF(N($AQ171)&gt;0,$D$5-$AQ171,IF($C171=0,12,IF(OR($C171=7,$C171=1),22,IF($C171=6,9,IF($C171=5,24,IF(OR($C171=4,$C171=2),13,IF($C171=3,"",IF($N171=2,"",IF($N171=6,24,IF($N171=0,IF($O171&lt;0.25,24,22),IF($N171=4,IF($O171&lt;0.5,24,22),IF($N171=1,IF($O171&lt;0.25,22,IF($O171&lt;0.5,16,12)),IF($N171=3,IF($O171&lt;0.5,IF($O171&lt;0.25,22,16),9),IF($O171&lt;0.25,22,IF($O171&lt;0.5,15,13)))))))))))))))))</f>
        <v/>
      </c>
      <c r="X171" s="32">
        <f t="shared" ref="X171:X183" si="121">IF($A171="",0,IF($C171=6,ROUND(25*$G$10,0),IF(OR($C171=4,$C171=2),ROUND(15*$G$10,0),IF($C171&lt;=7,0,IF($N171=1,IF($O171&lt;0.2,0,IF($O171&lt;0.5,10,15)),IF($N171=3,IF($O171&lt;0.5,IF($O171&lt;0.2,0,10),IF($O171&lt;0.62,15,IF($O171&lt;0.8,20,25))),IF($N171=5,IF($O171&lt;0.2,0,IF($O171&lt;0.62,12,IF($O171&lt;0.8,20,25))),0)))))))</f>
        <v>0</v>
      </c>
      <c r="Y171" s="32" t="str">
        <f t="shared" ref="Y171:Y183" si="122">IF($X171=0,"",IF($C171=6,$D$5-$E$9,IF(OR($C171=4,$C171=2),8,IF($N171=1,IF($O171&lt;0.5,14,10),IF($N171=3,IF($O171&lt;0.5,14,IF($O171&lt;0.62,10,7)),IF($N171=5,IF($O171&lt;0.5,14,IF($O171&lt;0.62,12,7)),""))))))</f>
        <v/>
      </c>
      <c r="Z171" s="32" t="str">
        <f t="shared" ref="Z171:Z183" si="123">IF($X171=0,"",IF($C171=6,$D$5-$D$9,IF(OR($C171=4,$C171=2),10,IF($N171=1,IF($O171&lt;0.5,18,12),IF($N171=3,IF($O171&lt;0.5,18,IF($O171&lt;0.62,12,9)),IF($N171=5,IF($O171&lt;0.5,18,IF($O171&lt;0.62,15,9)),""))))))</f>
        <v/>
      </c>
      <c r="AA171" s="32" t="str">
        <f t="shared" ref="AA171:AA183" si="124">IF($A171="","",IF($C171=0,25,IF(OR($C171=7,$C171=1,$C171=5),30,IF($C171=6,25,IF(OR($C171=4,$C171=2),IF($AM171=0,30,30*$AN171/$AM171),"")))))</f>
        <v/>
      </c>
      <c r="AB171" s="32" t="str">
        <f>IF($A171="","",IF($T171="No Throw",0,IF($K171&lt;&gt;"",$K171,IF($AA171&lt;&gt;"",ROUND($AA171*$D$12*IF($C171=0,1,$G$10),0),MIN(IF($T171="Recovery/Easy Catch",Reference!$B$103,IF($T171="Long Toss",Reference!$B$106,Reference!$B$102)),MAX(Reference!$B$101,ROUND(MAX(0,$Q171-$AE171)/$AF171,0)))))))</f>
        <v/>
      </c>
      <c r="AC171" s="32">
        <f t="shared" ref="AC171:AC183" si="125">IF($A171="",0,IF($C171=0,$D$8,0))</f>
        <v>0</v>
      </c>
      <c r="AD171" s="32" t="b">
        <f t="shared" ref="AD171:AD183" si="126">IF($A171="",TRUE(),OR($J171="x",$T171="No Throw"))</f>
        <v>1</v>
      </c>
      <c r="AE171" s="32">
        <f>IF($X171=0,0,$X171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171+$Z171)/2,0),Reference!$A$17:$B$20,2,TRUE()))</f>
        <v>0</v>
      </c>
      <c r="AF171" s="32">
        <f>IF(OR($A171="",$U171="",$T171="No Throw"),0,$AM171*VLOOKUP(MAX(($V171+$W171)/2,0),Reference!$A$17:$B$20,2,TRUE()))</f>
        <v>0</v>
      </c>
      <c r="AG171" s="32">
        <f>IF($AC171=0,0,$AC171*INDEX(Reference!$B$61:$B$62,MATCH("Bullpen",Reference!$A$61:$A$62,0))*VLOOKUP(MAX($D$5-($D$9+$E$9)/2,0),Reference!$A$17:$B$20,2,TRUE()))</f>
        <v>0</v>
      </c>
      <c r="AH171" s="32" t="e">
        <f t="shared" ref="AH171:AH183" si="127">IF(OR($A171="",$L171&lt;27),NA(),$I171)</f>
        <v>#N/A</v>
      </c>
      <c r="AI171" s="32" t="e">
        <f>IF($A171="",NA(),Reference!$A$25)</f>
        <v>#N/A</v>
      </c>
      <c r="AJ171" s="32" t="e">
        <f t="shared" ref="AJ171:AJ183" si="128">IF($A171="",NA(),1.3)</f>
        <v>#N/A</v>
      </c>
      <c r="AK171" s="32">
        <f>IF(OR($A171="",N($C171)&lt;=7,$T171="No Throw",$J171="x"),0,INDEX(Reference!$B$108:$B$114,$N171+1))</f>
        <v>0</v>
      </c>
      <c r="AL171" s="32">
        <f t="shared" ref="AL171:AL183" si="129">IF($U171="",1,IF(AND($T171="Long Toss",N($U171)&gt;90),1+ROUNDUP(($U171-90)/30,0),1))</f>
        <v>1</v>
      </c>
      <c r="AM171" s="32">
        <f>IF($U171="",0,IF($AL171&gt;1,((IF(1&lt;=$AL171,($AL171-1+3)*(INDEX(Reference!$B$6:$B$11,MIN(5,MATCH(MAX(Reference!$A$6,MIN(Reference!$A$11,MIN($U171,90))),Reference!$A$6:$A$11,1)))+(MAX(Reference!$A$6,MIN(Reference!$A$11,MIN($U171,90)))-INDEX(Reference!$A$6:$A$11,MIN(5,MATCH(MAX(Reference!$A$6,MIN(Reference!$A$11,MIN($U171,90))),Reference!$A$6:$A$11,1))))*(INDEX(Reference!$B$6:$B$11,MIN(5,MATCH(MAX(Reference!$A$6,MIN(Reference!$A$11,MIN($U171,90))),Reference!$A$6:$A$11,1))+1)-INDEX(Reference!$B$6:$B$11,MIN(5,MATCH(MAX(Reference!$A$6,MIN(Reference!$A$11,MIN($U171,90))),Reference!$A$6:$A$11,1))))/(INDEX(Reference!$A$6:$A$11,MIN(5,MATCH(MAX(Reference!$A$6,MIN(Reference!$A$11,MIN($U171,90))),Reference!$A$6:$A$11,1))+1)-INDEX(Reference!$A$6:$A$11,MIN(5,MATCH(MAX(Reference!$A$6,MIN(Reference!$A$11,MIN($U171,90))),Reference!$A$6:$A$11,1))))),0)+IF(2&lt;=$AL171,($AL171-2+3)*(INDEX(Reference!$B$6:$B$11,MIN(5,MATCH(MAX(Reference!$A$6,MIN(Reference!$A$11,MIN($U171,120))),Reference!$A$6:$A$11,1)))+(MAX(Reference!$A$6,MIN(Reference!$A$11,MIN($U171,120)))-INDEX(Reference!$A$6:$A$11,MIN(5,MATCH(MAX(Reference!$A$6,MIN(Reference!$A$11,MIN($U171,120))),Reference!$A$6:$A$11,1))))*(INDEX(Reference!$B$6:$B$11,MIN(5,MATCH(MAX(Reference!$A$6,MIN(Reference!$A$11,MIN($U171,120))),Reference!$A$6:$A$11,1))+1)-INDEX(Reference!$B$6:$B$11,MIN(5,MATCH(MAX(Reference!$A$6,MIN(Reference!$A$11,MIN($U171,120))),Reference!$A$6:$A$11,1))))/(INDEX(Reference!$A$6:$A$11,MIN(5,MATCH(MAX(Reference!$A$6,MIN(Reference!$A$11,MIN($U171,120))),Reference!$A$6:$A$11,1))+1)-INDEX(Reference!$A$6:$A$11,MIN(5,MATCH(MAX(Reference!$A$6,MIN(Reference!$A$11,MIN($U171,120))),Reference!$A$6:$A$11,1))))),0)+IF(3&lt;=$AL171,($AL171-3+3)*(INDEX(Reference!$B$6:$B$11,MIN(5,MATCH(MAX(Reference!$A$6,MIN(Reference!$A$11,MIN($U171,150))),Reference!$A$6:$A$11,1)))+(MAX(Reference!$A$6,MIN(Reference!$A$11,MIN($U171,150)))-INDEX(Reference!$A$6:$A$11,MIN(5,MATCH(MAX(Reference!$A$6,MIN(Reference!$A$11,MIN($U171,150))),Reference!$A$6:$A$11,1))))*(INDEX(Reference!$B$6:$B$11,MIN(5,MATCH(MAX(Reference!$A$6,MIN(Reference!$A$11,MIN($U171,150))),Reference!$A$6:$A$11,1))+1)-INDEX(Reference!$B$6:$B$11,MIN(5,MATCH(MAX(Reference!$A$6,MIN(Reference!$A$11,MIN($U171,150))),Reference!$A$6:$A$11,1))))/(INDEX(Reference!$A$6:$A$11,MIN(5,MATCH(MAX(Reference!$A$6,MIN(Reference!$A$11,MIN($U171,150))),Reference!$A$6:$A$11,1))+1)-INDEX(Reference!$A$6:$A$11,MIN(5,MATCH(MAX(Reference!$A$6,MIN(Reference!$A$11,MIN($U171,150))),Reference!$A$6:$A$11,1))))),0)+IF(4&lt;=$AL171,($AL171-4+3)*(INDEX(Reference!$B$6:$B$11,MIN(5,MATCH(MAX(Reference!$A$6,MIN(Reference!$A$11,MIN($U171,180))),Reference!$A$6:$A$11,1)))+(MAX(Reference!$A$6,MIN(Reference!$A$11,MIN($U171,180)))-INDEX(Reference!$A$6:$A$11,MIN(5,MATCH(MAX(Reference!$A$6,MIN(Reference!$A$11,MIN($U171,180))),Reference!$A$6:$A$11,1))))*(INDEX(Reference!$B$6:$B$11,MIN(5,MATCH(MAX(Reference!$A$6,MIN(Reference!$A$11,MIN($U171,180))),Reference!$A$6:$A$11,1))+1)-INDEX(Reference!$B$6:$B$11,MIN(5,MATCH(MAX(Reference!$A$6,MIN(Reference!$A$11,MIN($U171,180))),Reference!$A$6:$A$11,1))))/(INDEX(Reference!$A$6:$A$11,MIN(5,MATCH(MAX(Reference!$A$6,MIN(Reference!$A$11,MIN($U171,180))),Reference!$A$6:$A$11,1))+1)-INDEX(Reference!$A$6:$A$11,MIN(5,MATCH(MAX(Reference!$A$6,MIN(Reference!$A$11,MIN($U171,180))),Reference!$A$6:$A$11,1))))),0)+IF(5&lt;=$AL171,($AL171-5+3)*(INDEX(Reference!$B$6:$B$11,MIN(5,MATCH(MAX(Reference!$A$6,MIN(Reference!$A$11,MIN($U171,210))),Reference!$A$6:$A$11,1)))+(MAX(Reference!$A$6,MIN(Reference!$A$11,MIN($U171,210)))-INDEX(Reference!$A$6:$A$11,MIN(5,MATCH(MAX(Reference!$A$6,MIN(Reference!$A$11,MIN($U171,210))),Reference!$A$6:$A$11,1))))*(INDEX(Reference!$B$6:$B$11,MIN(5,MATCH(MAX(Reference!$A$6,MIN(Reference!$A$11,MIN($U171,210))),Reference!$A$6:$A$11,1))+1)-INDEX(Reference!$B$6:$B$11,MIN(5,MATCH(MAX(Reference!$A$6,MIN(Reference!$A$11,MIN($U171,210))),Reference!$A$6:$A$11,1))))/(INDEX(Reference!$A$6:$A$11,MIN(5,MATCH(MAX(Reference!$A$6,MIN(Reference!$A$11,MIN($U171,210))),Reference!$A$6:$A$11,1))+1)-INDEX(Reference!$A$6:$A$11,MIN(5,MATCH(MAX(Reference!$A$6,MIN(Reference!$A$11,MIN($U171,210))),Reference!$A$6:$A$11,1))))),0)+IF(6&lt;=$AL171,($AL171-6+3)*(INDEX(Reference!$B$6:$B$11,MIN(5,MATCH(MAX(Reference!$A$6,MIN(Reference!$A$11,MIN($U171,240))),Reference!$A$6:$A$11,1)))+(MAX(Reference!$A$6,MIN(Reference!$A$11,MIN($U171,240)))-INDEX(Reference!$A$6:$A$11,MIN(5,MATCH(MAX(Reference!$A$6,MIN(Reference!$A$11,MIN($U171,240))),Reference!$A$6:$A$11,1))))*(INDEX(Reference!$B$6:$B$11,MIN(5,MATCH(MAX(Reference!$A$6,MIN(Reference!$A$11,MIN($U171,240))),Reference!$A$6:$A$11,1))+1)-INDEX(Reference!$B$6:$B$11,MIN(5,MATCH(MAX(Reference!$A$6,MIN(Reference!$A$11,MIN($U171,240))),Reference!$A$6:$A$11,1))))/(INDEX(Reference!$A$6:$A$11,MIN(5,MATCH(MAX(Reference!$A$6,MIN(Reference!$A$11,MIN($U171,240))),Reference!$A$6:$A$11,1))+1)-INDEX(Reference!$A$6:$A$11,MIN(5,MATCH(MAX(Reference!$A$6,MIN(Reference!$A$11,MIN($U171,240))),Reference!$A$6:$A$11,1))))),0)+IF(7&lt;=$AL171,($AL171-7+3)*(INDEX(Reference!$B$6:$B$11,MIN(5,MATCH(MAX(Reference!$A$6,MIN(Reference!$A$11,MIN($U171,270))),Reference!$A$6:$A$11,1)))+(MAX(Reference!$A$6,MIN(Reference!$A$11,MIN($U171,270)))-INDEX(Reference!$A$6:$A$11,MIN(5,MATCH(MAX(Reference!$A$6,MIN(Reference!$A$11,MIN($U171,270))),Reference!$A$6:$A$11,1))))*(INDEX(Reference!$B$6:$B$11,MIN(5,MATCH(MAX(Reference!$A$6,MIN(Reference!$A$11,MIN($U171,270))),Reference!$A$6:$A$11,1))+1)-INDEX(Reference!$B$6:$B$11,MIN(5,MATCH(MAX(Reference!$A$6,MIN(Reference!$A$11,MIN($U171,270))),Reference!$A$6:$A$11,1))))/(INDEX(Reference!$A$6:$A$11,MIN(5,MATCH(MAX(Reference!$A$6,MIN(Reference!$A$11,MIN($U171,270))),Reference!$A$6:$A$11,1))+1)-INDEX(Reference!$A$6:$A$11,MIN(5,MATCH(MAX(Reference!$A$6,MIN(Reference!$A$11,MIN($U171,270))),Reference!$A$6:$A$11,1))))),0)+IF(8&lt;=$AL171,($AL171-8+3)*(INDEX(Reference!$B$6:$B$11,MIN(5,MATCH(MAX(Reference!$A$6,MIN(Reference!$A$11,MIN($U171,300))),Reference!$A$6:$A$11,1)))+(MAX(Reference!$A$6,MIN(Reference!$A$11,MIN($U171,300)))-INDEX(Reference!$A$6:$A$11,MIN(5,MATCH(MAX(Reference!$A$6,MIN(Reference!$A$11,MIN($U171,300))),Reference!$A$6:$A$11,1))))*(INDEX(Reference!$B$6:$B$11,MIN(5,MATCH(MAX(Reference!$A$6,MIN(Reference!$A$11,MIN($U171,300))),Reference!$A$6:$A$11,1))+1)-INDEX(Reference!$B$6:$B$11,MIN(5,MATCH(MAX(Reference!$A$6,MIN(Reference!$A$11,MIN($U171,300))),Reference!$A$6:$A$11,1))))/(INDEX(Reference!$A$6:$A$11,MIN(5,MATCH(MAX(Reference!$A$6,MIN(Reference!$A$11,MIN($U171,300))),Reference!$A$6:$A$11,1))+1)-INDEX(Reference!$A$6:$A$11,MIN(5,MATCH(MAX(Reference!$A$6,MIN(Reference!$A$11,MIN($U171,300))),Reference!$A$6:$A$11,1))))),0))/($AL171*($AL171+5)/2)),$AN171))</f>
        <v>0</v>
      </c>
      <c r="AN171" s="32">
        <f>IF($U171="",0,(INDEX(Reference!$B$6:$B$11,MIN(5,MATCH(MAX(Reference!$A$6,MIN(Reference!$A$11,$U171)),Reference!$A$6:$A$11,1)))+(MAX(Reference!$A$6,MIN(Reference!$A$11,$U171))-INDEX(Reference!$A$6:$A$11,MIN(5,MATCH(MAX(Reference!$A$6,MIN(Reference!$A$11,$U171)),Reference!$A$6:$A$11,1))))*(INDEX(Reference!$B$6:$B$11,MIN(5,MATCH(MAX(Reference!$A$6,MIN(Reference!$A$11,$U171)),Reference!$A$6:$A$11,1))+1)-INDEX(Reference!$B$6:$B$11,MIN(5,MATCH(MAX(Reference!$A$6,MIN(Reference!$A$11,$U171)),Reference!$A$6:$A$11,1))))/(INDEX(Reference!$A$6:$A$11,MIN(5,MATCH(MAX(Reference!$A$6,MIN(Reference!$A$11,$U171)),Reference!$A$6:$A$11,1))+1)-INDEX(Reference!$A$6:$A$11,MIN(5,MATCH(MAX(Reference!$A$6,MIN(Reference!$A$11,$U171)),Reference!$A$6:$A$11,1))))))</f>
        <v>0</v>
      </c>
      <c r="AO171" s="37"/>
      <c r="AP171" s="37"/>
      <c r="AQ171" s="37"/>
    </row>
    <row r="172" spans="1:43" x14ac:dyDescent="0.3">
      <c r="A172" s="48" t="str">
        <f t="shared" si="105"/>
        <v/>
      </c>
      <c r="B172" s="32" t="str">
        <f t="shared" si="106"/>
        <v/>
      </c>
      <c r="C172" s="32" t="str">
        <f t="shared" si="107"/>
        <v/>
      </c>
      <c r="D172" s="32" t="str">
        <f t="shared" si="108"/>
        <v/>
      </c>
      <c r="E172" s="32" t="str">
        <f t="shared" si="109"/>
        <v/>
      </c>
      <c r="F172" s="32" t="str">
        <f t="shared" si="110"/>
        <v/>
      </c>
      <c r="G172" s="47" t="str">
        <f t="shared" si="111"/>
        <v/>
      </c>
      <c r="H172" s="30" t="str">
        <f t="shared" si="112"/>
        <v/>
      </c>
      <c r="I172" s="46" t="str">
        <f>IF($A172="","",IF(AND($L172&lt;27,$K$12=0),"Building",IFERROR(((SUM($H$166:$H172)+$K$12*IF($L172&lt;6,SUMIFS('Throw Log'!$Q$5:$Q$300,'Throw Log'!$B$5:$B$300,$D$4,'Throw Log'!$A$5:$A$300,"&gt;="&amp;($D$6+$L172-6),'Throw Log'!$A$5:$A$300,"&lt;="&amp;($D$6-1)),0))/7)/((SUM($H$145:$H172)+$K$12*IF($L172&lt;27,SUMIFS('Throw Log'!$Q$5:$Q$300,'Throw Log'!$B$5:$B$300,$D$4,'Throw Log'!$A$5:$A$300,"&gt;="&amp;($D$6+$L172-27),'Throw Log'!$A$5:$A$300,"&lt;="&amp;($D$6-1)),0))/28),"")))</f>
        <v/>
      </c>
      <c r="J172" s="37"/>
      <c r="K172" s="37"/>
      <c r="L172" s="32">
        <v>129</v>
      </c>
      <c r="M172" s="32">
        <f t="shared" si="113"/>
        <v>19</v>
      </c>
      <c r="N172" s="32">
        <f t="shared" si="114"/>
        <v>3</v>
      </c>
      <c r="O172" s="32">
        <f t="shared" si="115"/>
        <v>1</v>
      </c>
      <c r="P172" s="32" t="str">
        <f>IF(OR($A172="",N($C172)&lt;=7),"",$G$6*$G$9^($M172-1)*IF(AND(MOD($M172,Reference!$B$99)=0,$M172&lt;=$G$5-2),Reference!$B$100,1))</f>
        <v/>
      </c>
      <c r="Q172" s="32" t="str">
        <f>IF($P172="","",IF(SUM($AK$169:$AK$175)=0,0,$P172*INDEX(Reference!$B$108:$B$114,$N172+1)/SUM($AK$169:$AK$175)))</f>
        <v/>
      </c>
      <c r="R172" s="32">
        <f t="shared" si="116"/>
        <v>180</v>
      </c>
      <c r="S172" s="32">
        <f t="shared" si="117"/>
        <v>150</v>
      </c>
      <c r="T172" s="32" t="str">
        <f>IF($A172="","",IF($C172=0,"Bullpen",IF(OR($C172=7,$C172=1,$C172=5),"Recovery/Easy Catch",IF($C172=6,"Compression/Pulldowns",IF(OR($C172=4,$C172=2),"Long Toss",IF($C172=3,"No Throw",IF($N172=2,"No Throw",IF($N172=6,IF($O172&lt;Reference!$B$104,"No Throw","Recovery/Easy Catch"),IF(OR($N172=0,$N172=4),"Recovery/Easy Catch",IF($N172=1,IF($R172&gt;75,"Long Toss","Recovery/Easy Catch"),IF($N172=3,IF($O172&lt;0.5,IF($S172&gt;75,"Long Toss","Recovery/Easy Catch"),"Compression/Pulldowns"),IF($S172&gt;75,"Long Toss","Recovery/Easy Catch"))))))))))))</f>
        <v/>
      </c>
      <c r="U172" s="32" t="str">
        <f t="shared" si="118"/>
        <v/>
      </c>
      <c r="V172" s="32" t="str">
        <f t="shared" si="119"/>
        <v/>
      </c>
      <c r="W172" s="32" t="str">
        <f t="shared" si="120"/>
        <v/>
      </c>
      <c r="X172" s="32">
        <f t="shared" si="121"/>
        <v>0</v>
      </c>
      <c r="Y172" s="32" t="str">
        <f t="shared" si="122"/>
        <v/>
      </c>
      <c r="Z172" s="32" t="str">
        <f t="shared" si="123"/>
        <v/>
      </c>
      <c r="AA172" s="32" t="str">
        <f t="shared" si="124"/>
        <v/>
      </c>
      <c r="AB172" s="32" t="str">
        <f>IF($A172="","",IF($T172="No Throw",0,IF($K172&lt;&gt;"",$K172,IF($AA172&lt;&gt;"",ROUND($AA172*$D$12*IF($C172=0,1,$G$10),0),MIN(IF($T172="Recovery/Easy Catch",Reference!$B$103,IF($T172="Long Toss",Reference!$B$106,Reference!$B$102)),MAX(Reference!$B$101,ROUND(MAX(0,$Q172-$AE172)/$AF172,0)))))))</f>
        <v/>
      </c>
      <c r="AC172" s="32">
        <f t="shared" si="125"/>
        <v>0</v>
      </c>
      <c r="AD172" s="32" t="b">
        <f t="shared" si="126"/>
        <v>1</v>
      </c>
      <c r="AE172" s="32">
        <f>IF($X172=0,0,$X172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172+$Z172)/2,0),Reference!$A$17:$B$20,2,TRUE()))</f>
        <v>0</v>
      </c>
      <c r="AF172" s="32">
        <f>IF(OR($A172="",$U172="",$T172="No Throw"),0,$AM172*VLOOKUP(MAX(($V172+$W172)/2,0),Reference!$A$17:$B$20,2,TRUE()))</f>
        <v>0</v>
      </c>
      <c r="AG172" s="32">
        <f>IF($AC172=0,0,$AC172*INDEX(Reference!$B$61:$B$62,MATCH("Bullpen",Reference!$A$61:$A$62,0))*VLOOKUP(MAX($D$5-($D$9+$E$9)/2,0),Reference!$A$17:$B$20,2,TRUE()))</f>
        <v>0</v>
      </c>
      <c r="AH172" s="32" t="e">
        <f t="shared" si="127"/>
        <v>#N/A</v>
      </c>
      <c r="AI172" s="32" t="e">
        <f>IF($A172="",NA(),Reference!$A$25)</f>
        <v>#N/A</v>
      </c>
      <c r="AJ172" s="32" t="e">
        <f t="shared" si="128"/>
        <v>#N/A</v>
      </c>
      <c r="AK172" s="32">
        <f>IF(OR($A172="",N($C172)&lt;=7,$T172="No Throw",$J172="x"),0,INDEX(Reference!$B$108:$B$114,$N172+1))</f>
        <v>0</v>
      </c>
      <c r="AL172" s="32">
        <f t="shared" si="129"/>
        <v>1</v>
      </c>
      <c r="AM172" s="32">
        <f>IF($U172="",0,IF($AL172&gt;1,((IF(1&lt;=$AL172,($AL172-1+3)*(INDEX(Reference!$B$6:$B$11,MIN(5,MATCH(MAX(Reference!$A$6,MIN(Reference!$A$11,MIN($U172,90))),Reference!$A$6:$A$11,1)))+(MAX(Reference!$A$6,MIN(Reference!$A$11,MIN($U172,90)))-INDEX(Reference!$A$6:$A$11,MIN(5,MATCH(MAX(Reference!$A$6,MIN(Reference!$A$11,MIN($U172,90))),Reference!$A$6:$A$11,1))))*(INDEX(Reference!$B$6:$B$11,MIN(5,MATCH(MAX(Reference!$A$6,MIN(Reference!$A$11,MIN($U172,90))),Reference!$A$6:$A$11,1))+1)-INDEX(Reference!$B$6:$B$11,MIN(5,MATCH(MAX(Reference!$A$6,MIN(Reference!$A$11,MIN($U172,90))),Reference!$A$6:$A$11,1))))/(INDEX(Reference!$A$6:$A$11,MIN(5,MATCH(MAX(Reference!$A$6,MIN(Reference!$A$11,MIN($U172,90))),Reference!$A$6:$A$11,1))+1)-INDEX(Reference!$A$6:$A$11,MIN(5,MATCH(MAX(Reference!$A$6,MIN(Reference!$A$11,MIN($U172,90))),Reference!$A$6:$A$11,1))))),0)+IF(2&lt;=$AL172,($AL172-2+3)*(INDEX(Reference!$B$6:$B$11,MIN(5,MATCH(MAX(Reference!$A$6,MIN(Reference!$A$11,MIN($U172,120))),Reference!$A$6:$A$11,1)))+(MAX(Reference!$A$6,MIN(Reference!$A$11,MIN($U172,120)))-INDEX(Reference!$A$6:$A$11,MIN(5,MATCH(MAX(Reference!$A$6,MIN(Reference!$A$11,MIN($U172,120))),Reference!$A$6:$A$11,1))))*(INDEX(Reference!$B$6:$B$11,MIN(5,MATCH(MAX(Reference!$A$6,MIN(Reference!$A$11,MIN($U172,120))),Reference!$A$6:$A$11,1))+1)-INDEX(Reference!$B$6:$B$11,MIN(5,MATCH(MAX(Reference!$A$6,MIN(Reference!$A$11,MIN($U172,120))),Reference!$A$6:$A$11,1))))/(INDEX(Reference!$A$6:$A$11,MIN(5,MATCH(MAX(Reference!$A$6,MIN(Reference!$A$11,MIN($U172,120))),Reference!$A$6:$A$11,1))+1)-INDEX(Reference!$A$6:$A$11,MIN(5,MATCH(MAX(Reference!$A$6,MIN(Reference!$A$11,MIN($U172,120))),Reference!$A$6:$A$11,1))))),0)+IF(3&lt;=$AL172,($AL172-3+3)*(INDEX(Reference!$B$6:$B$11,MIN(5,MATCH(MAX(Reference!$A$6,MIN(Reference!$A$11,MIN($U172,150))),Reference!$A$6:$A$11,1)))+(MAX(Reference!$A$6,MIN(Reference!$A$11,MIN($U172,150)))-INDEX(Reference!$A$6:$A$11,MIN(5,MATCH(MAX(Reference!$A$6,MIN(Reference!$A$11,MIN($U172,150))),Reference!$A$6:$A$11,1))))*(INDEX(Reference!$B$6:$B$11,MIN(5,MATCH(MAX(Reference!$A$6,MIN(Reference!$A$11,MIN($U172,150))),Reference!$A$6:$A$11,1))+1)-INDEX(Reference!$B$6:$B$11,MIN(5,MATCH(MAX(Reference!$A$6,MIN(Reference!$A$11,MIN($U172,150))),Reference!$A$6:$A$11,1))))/(INDEX(Reference!$A$6:$A$11,MIN(5,MATCH(MAX(Reference!$A$6,MIN(Reference!$A$11,MIN($U172,150))),Reference!$A$6:$A$11,1))+1)-INDEX(Reference!$A$6:$A$11,MIN(5,MATCH(MAX(Reference!$A$6,MIN(Reference!$A$11,MIN($U172,150))),Reference!$A$6:$A$11,1))))),0)+IF(4&lt;=$AL172,($AL172-4+3)*(INDEX(Reference!$B$6:$B$11,MIN(5,MATCH(MAX(Reference!$A$6,MIN(Reference!$A$11,MIN($U172,180))),Reference!$A$6:$A$11,1)))+(MAX(Reference!$A$6,MIN(Reference!$A$11,MIN($U172,180)))-INDEX(Reference!$A$6:$A$11,MIN(5,MATCH(MAX(Reference!$A$6,MIN(Reference!$A$11,MIN($U172,180))),Reference!$A$6:$A$11,1))))*(INDEX(Reference!$B$6:$B$11,MIN(5,MATCH(MAX(Reference!$A$6,MIN(Reference!$A$11,MIN($U172,180))),Reference!$A$6:$A$11,1))+1)-INDEX(Reference!$B$6:$B$11,MIN(5,MATCH(MAX(Reference!$A$6,MIN(Reference!$A$11,MIN($U172,180))),Reference!$A$6:$A$11,1))))/(INDEX(Reference!$A$6:$A$11,MIN(5,MATCH(MAX(Reference!$A$6,MIN(Reference!$A$11,MIN($U172,180))),Reference!$A$6:$A$11,1))+1)-INDEX(Reference!$A$6:$A$11,MIN(5,MATCH(MAX(Reference!$A$6,MIN(Reference!$A$11,MIN($U172,180))),Reference!$A$6:$A$11,1))))),0)+IF(5&lt;=$AL172,($AL172-5+3)*(INDEX(Reference!$B$6:$B$11,MIN(5,MATCH(MAX(Reference!$A$6,MIN(Reference!$A$11,MIN($U172,210))),Reference!$A$6:$A$11,1)))+(MAX(Reference!$A$6,MIN(Reference!$A$11,MIN($U172,210)))-INDEX(Reference!$A$6:$A$11,MIN(5,MATCH(MAX(Reference!$A$6,MIN(Reference!$A$11,MIN($U172,210))),Reference!$A$6:$A$11,1))))*(INDEX(Reference!$B$6:$B$11,MIN(5,MATCH(MAX(Reference!$A$6,MIN(Reference!$A$11,MIN($U172,210))),Reference!$A$6:$A$11,1))+1)-INDEX(Reference!$B$6:$B$11,MIN(5,MATCH(MAX(Reference!$A$6,MIN(Reference!$A$11,MIN($U172,210))),Reference!$A$6:$A$11,1))))/(INDEX(Reference!$A$6:$A$11,MIN(5,MATCH(MAX(Reference!$A$6,MIN(Reference!$A$11,MIN($U172,210))),Reference!$A$6:$A$11,1))+1)-INDEX(Reference!$A$6:$A$11,MIN(5,MATCH(MAX(Reference!$A$6,MIN(Reference!$A$11,MIN($U172,210))),Reference!$A$6:$A$11,1))))),0)+IF(6&lt;=$AL172,($AL172-6+3)*(INDEX(Reference!$B$6:$B$11,MIN(5,MATCH(MAX(Reference!$A$6,MIN(Reference!$A$11,MIN($U172,240))),Reference!$A$6:$A$11,1)))+(MAX(Reference!$A$6,MIN(Reference!$A$11,MIN($U172,240)))-INDEX(Reference!$A$6:$A$11,MIN(5,MATCH(MAX(Reference!$A$6,MIN(Reference!$A$11,MIN($U172,240))),Reference!$A$6:$A$11,1))))*(INDEX(Reference!$B$6:$B$11,MIN(5,MATCH(MAX(Reference!$A$6,MIN(Reference!$A$11,MIN($U172,240))),Reference!$A$6:$A$11,1))+1)-INDEX(Reference!$B$6:$B$11,MIN(5,MATCH(MAX(Reference!$A$6,MIN(Reference!$A$11,MIN($U172,240))),Reference!$A$6:$A$11,1))))/(INDEX(Reference!$A$6:$A$11,MIN(5,MATCH(MAX(Reference!$A$6,MIN(Reference!$A$11,MIN($U172,240))),Reference!$A$6:$A$11,1))+1)-INDEX(Reference!$A$6:$A$11,MIN(5,MATCH(MAX(Reference!$A$6,MIN(Reference!$A$11,MIN($U172,240))),Reference!$A$6:$A$11,1))))),0)+IF(7&lt;=$AL172,($AL172-7+3)*(INDEX(Reference!$B$6:$B$11,MIN(5,MATCH(MAX(Reference!$A$6,MIN(Reference!$A$11,MIN($U172,270))),Reference!$A$6:$A$11,1)))+(MAX(Reference!$A$6,MIN(Reference!$A$11,MIN($U172,270)))-INDEX(Reference!$A$6:$A$11,MIN(5,MATCH(MAX(Reference!$A$6,MIN(Reference!$A$11,MIN($U172,270))),Reference!$A$6:$A$11,1))))*(INDEX(Reference!$B$6:$B$11,MIN(5,MATCH(MAX(Reference!$A$6,MIN(Reference!$A$11,MIN($U172,270))),Reference!$A$6:$A$11,1))+1)-INDEX(Reference!$B$6:$B$11,MIN(5,MATCH(MAX(Reference!$A$6,MIN(Reference!$A$11,MIN($U172,270))),Reference!$A$6:$A$11,1))))/(INDEX(Reference!$A$6:$A$11,MIN(5,MATCH(MAX(Reference!$A$6,MIN(Reference!$A$11,MIN($U172,270))),Reference!$A$6:$A$11,1))+1)-INDEX(Reference!$A$6:$A$11,MIN(5,MATCH(MAX(Reference!$A$6,MIN(Reference!$A$11,MIN($U172,270))),Reference!$A$6:$A$11,1))))),0)+IF(8&lt;=$AL172,($AL172-8+3)*(INDEX(Reference!$B$6:$B$11,MIN(5,MATCH(MAX(Reference!$A$6,MIN(Reference!$A$11,MIN($U172,300))),Reference!$A$6:$A$11,1)))+(MAX(Reference!$A$6,MIN(Reference!$A$11,MIN($U172,300)))-INDEX(Reference!$A$6:$A$11,MIN(5,MATCH(MAX(Reference!$A$6,MIN(Reference!$A$11,MIN($U172,300))),Reference!$A$6:$A$11,1))))*(INDEX(Reference!$B$6:$B$11,MIN(5,MATCH(MAX(Reference!$A$6,MIN(Reference!$A$11,MIN($U172,300))),Reference!$A$6:$A$11,1))+1)-INDEX(Reference!$B$6:$B$11,MIN(5,MATCH(MAX(Reference!$A$6,MIN(Reference!$A$11,MIN($U172,300))),Reference!$A$6:$A$11,1))))/(INDEX(Reference!$A$6:$A$11,MIN(5,MATCH(MAX(Reference!$A$6,MIN(Reference!$A$11,MIN($U172,300))),Reference!$A$6:$A$11,1))+1)-INDEX(Reference!$A$6:$A$11,MIN(5,MATCH(MAX(Reference!$A$6,MIN(Reference!$A$11,MIN($U172,300))),Reference!$A$6:$A$11,1))))),0))/($AL172*($AL172+5)/2)),$AN172))</f>
        <v>0</v>
      </c>
      <c r="AN172" s="32">
        <f>IF($U172="",0,(INDEX(Reference!$B$6:$B$11,MIN(5,MATCH(MAX(Reference!$A$6,MIN(Reference!$A$11,$U172)),Reference!$A$6:$A$11,1)))+(MAX(Reference!$A$6,MIN(Reference!$A$11,$U172))-INDEX(Reference!$A$6:$A$11,MIN(5,MATCH(MAX(Reference!$A$6,MIN(Reference!$A$11,$U172)),Reference!$A$6:$A$11,1))))*(INDEX(Reference!$B$6:$B$11,MIN(5,MATCH(MAX(Reference!$A$6,MIN(Reference!$A$11,$U172)),Reference!$A$6:$A$11,1))+1)-INDEX(Reference!$B$6:$B$11,MIN(5,MATCH(MAX(Reference!$A$6,MIN(Reference!$A$11,$U172)),Reference!$A$6:$A$11,1))))/(INDEX(Reference!$A$6:$A$11,MIN(5,MATCH(MAX(Reference!$A$6,MIN(Reference!$A$11,$U172)),Reference!$A$6:$A$11,1))+1)-INDEX(Reference!$A$6:$A$11,MIN(5,MATCH(MAX(Reference!$A$6,MIN(Reference!$A$11,$U172)),Reference!$A$6:$A$11,1))))))</f>
        <v>0</v>
      </c>
      <c r="AO172" s="37"/>
      <c r="AP172" s="37"/>
      <c r="AQ172" s="37"/>
    </row>
    <row r="173" spans="1:43" x14ac:dyDescent="0.3">
      <c r="A173" s="48" t="str">
        <f t="shared" si="105"/>
        <v/>
      </c>
      <c r="B173" s="32" t="str">
        <f t="shared" si="106"/>
        <v/>
      </c>
      <c r="C173" s="32" t="str">
        <f t="shared" si="107"/>
        <v/>
      </c>
      <c r="D173" s="32" t="str">
        <f t="shared" si="108"/>
        <v/>
      </c>
      <c r="E173" s="32" t="str">
        <f t="shared" si="109"/>
        <v/>
      </c>
      <c r="F173" s="32" t="str">
        <f t="shared" si="110"/>
        <v/>
      </c>
      <c r="G173" s="47" t="str">
        <f t="shared" si="111"/>
        <v/>
      </c>
      <c r="H173" s="30" t="str">
        <f t="shared" si="112"/>
        <v/>
      </c>
      <c r="I173" s="46" t="str">
        <f>IF($A173="","",IF(AND($L173&lt;27,$K$12=0),"Building",IFERROR(((SUM($H$167:$H173)+$K$12*IF($L173&lt;6,SUMIFS('Throw Log'!$Q$5:$Q$300,'Throw Log'!$B$5:$B$300,$D$4,'Throw Log'!$A$5:$A$300,"&gt;="&amp;($D$6+$L173-6),'Throw Log'!$A$5:$A$300,"&lt;="&amp;($D$6-1)),0))/7)/((SUM($H$146:$H173)+$K$12*IF($L173&lt;27,SUMIFS('Throw Log'!$Q$5:$Q$300,'Throw Log'!$B$5:$B$300,$D$4,'Throw Log'!$A$5:$A$300,"&gt;="&amp;($D$6+$L173-27),'Throw Log'!$A$5:$A$300,"&lt;="&amp;($D$6-1)),0))/28),"")))</f>
        <v/>
      </c>
      <c r="J173" s="37"/>
      <c r="K173" s="37"/>
      <c r="L173" s="32">
        <v>130</v>
      </c>
      <c r="M173" s="32">
        <f t="shared" si="113"/>
        <v>19</v>
      </c>
      <c r="N173" s="32">
        <f t="shared" si="114"/>
        <v>4</v>
      </c>
      <c r="O173" s="32">
        <f t="shared" si="115"/>
        <v>1</v>
      </c>
      <c r="P173" s="32" t="str">
        <f>IF(OR($A173="",N($C173)&lt;=7),"",$G$6*$G$9^($M173-1)*IF(AND(MOD($M173,Reference!$B$99)=0,$M173&lt;=$G$5-2),Reference!$B$100,1))</f>
        <v/>
      </c>
      <c r="Q173" s="32" t="str">
        <f>IF($P173="","",IF(SUM($AK$169:$AK$175)=0,0,$P173*INDEX(Reference!$B$108:$B$114,$N173+1)/SUM($AK$169:$AK$175)))</f>
        <v/>
      </c>
      <c r="R173" s="32">
        <f t="shared" si="116"/>
        <v>180</v>
      </c>
      <c r="S173" s="32">
        <f t="shared" si="117"/>
        <v>150</v>
      </c>
      <c r="T173" s="32" t="str">
        <f>IF($A173="","",IF($C173=0,"Bullpen",IF(OR($C173=7,$C173=1,$C173=5),"Recovery/Easy Catch",IF($C173=6,"Compression/Pulldowns",IF(OR($C173=4,$C173=2),"Long Toss",IF($C173=3,"No Throw",IF($N173=2,"No Throw",IF($N173=6,IF($O173&lt;Reference!$B$104,"No Throw","Recovery/Easy Catch"),IF(OR($N173=0,$N173=4),"Recovery/Easy Catch",IF($N173=1,IF($R173&gt;75,"Long Toss","Recovery/Easy Catch"),IF($N173=3,IF($O173&lt;0.5,IF($S173&gt;75,"Long Toss","Recovery/Easy Catch"),"Compression/Pulldowns"),IF($S173&gt;75,"Long Toss","Recovery/Easy Catch"))))))))))))</f>
        <v/>
      </c>
      <c r="U173" s="32" t="str">
        <f t="shared" si="118"/>
        <v/>
      </c>
      <c r="V173" s="32" t="str">
        <f t="shared" si="119"/>
        <v/>
      </c>
      <c r="W173" s="32" t="str">
        <f t="shared" si="120"/>
        <v/>
      </c>
      <c r="X173" s="32">
        <f t="shared" si="121"/>
        <v>0</v>
      </c>
      <c r="Y173" s="32" t="str">
        <f t="shared" si="122"/>
        <v/>
      </c>
      <c r="Z173" s="32" t="str">
        <f t="shared" si="123"/>
        <v/>
      </c>
      <c r="AA173" s="32" t="str">
        <f t="shared" si="124"/>
        <v/>
      </c>
      <c r="AB173" s="32" t="str">
        <f>IF($A173="","",IF($T173="No Throw",0,IF($K173&lt;&gt;"",$K173,IF($AA173&lt;&gt;"",ROUND($AA173*$D$12*IF($C173=0,1,$G$10),0),MIN(IF($T173="Recovery/Easy Catch",Reference!$B$103,IF($T173="Long Toss",Reference!$B$106,Reference!$B$102)),MAX(Reference!$B$101,ROUND(MAX(0,$Q173-$AE173)/$AF173,0)))))))</f>
        <v/>
      </c>
      <c r="AC173" s="32">
        <f t="shared" si="125"/>
        <v>0</v>
      </c>
      <c r="AD173" s="32" t="b">
        <f t="shared" si="126"/>
        <v>1</v>
      </c>
      <c r="AE173" s="32">
        <f>IF($X173=0,0,$X173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173+$Z173)/2,0),Reference!$A$17:$B$20,2,TRUE()))</f>
        <v>0</v>
      </c>
      <c r="AF173" s="32">
        <f>IF(OR($A173="",$U173="",$T173="No Throw"),0,$AM173*VLOOKUP(MAX(($V173+$W173)/2,0),Reference!$A$17:$B$20,2,TRUE()))</f>
        <v>0</v>
      </c>
      <c r="AG173" s="32">
        <f>IF($AC173=0,0,$AC173*INDEX(Reference!$B$61:$B$62,MATCH("Bullpen",Reference!$A$61:$A$62,0))*VLOOKUP(MAX($D$5-($D$9+$E$9)/2,0),Reference!$A$17:$B$20,2,TRUE()))</f>
        <v>0</v>
      </c>
      <c r="AH173" s="32" t="e">
        <f t="shared" si="127"/>
        <v>#N/A</v>
      </c>
      <c r="AI173" s="32" t="e">
        <f>IF($A173="",NA(),Reference!$A$25)</f>
        <v>#N/A</v>
      </c>
      <c r="AJ173" s="32" t="e">
        <f t="shared" si="128"/>
        <v>#N/A</v>
      </c>
      <c r="AK173" s="32">
        <f>IF(OR($A173="",N($C173)&lt;=7,$T173="No Throw",$J173="x"),0,INDEX(Reference!$B$108:$B$114,$N173+1))</f>
        <v>0</v>
      </c>
      <c r="AL173" s="32">
        <f t="shared" si="129"/>
        <v>1</v>
      </c>
      <c r="AM173" s="32">
        <f>IF($U173="",0,IF($AL173&gt;1,((IF(1&lt;=$AL173,($AL173-1+3)*(INDEX(Reference!$B$6:$B$11,MIN(5,MATCH(MAX(Reference!$A$6,MIN(Reference!$A$11,MIN($U173,90))),Reference!$A$6:$A$11,1)))+(MAX(Reference!$A$6,MIN(Reference!$A$11,MIN($U173,90)))-INDEX(Reference!$A$6:$A$11,MIN(5,MATCH(MAX(Reference!$A$6,MIN(Reference!$A$11,MIN($U173,90))),Reference!$A$6:$A$11,1))))*(INDEX(Reference!$B$6:$B$11,MIN(5,MATCH(MAX(Reference!$A$6,MIN(Reference!$A$11,MIN($U173,90))),Reference!$A$6:$A$11,1))+1)-INDEX(Reference!$B$6:$B$11,MIN(5,MATCH(MAX(Reference!$A$6,MIN(Reference!$A$11,MIN($U173,90))),Reference!$A$6:$A$11,1))))/(INDEX(Reference!$A$6:$A$11,MIN(5,MATCH(MAX(Reference!$A$6,MIN(Reference!$A$11,MIN($U173,90))),Reference!$A$6:$A$11,1))+1)-INDEX(Reference!$A$6:$A$11,MIN(5,MATCH(MAX(Reference!$A$6,MIN(Reference!$A$11,MIN($U173,90))),Reference!$A$6:$A$11,1))))),0)+IF(2&lt;=$AL173,($AL173-2+3)*(INDEX(Reference!$B$6:$B$11,MIN(5,MATCH(MAX(Reference!$A$6,MIN(Reference!$A$11,MIN($U173,120))),Reference!$A$6:$A$11,1)))+(MAX(Reference!$A$6,MIN(Reference!$A$11,MIN($U173,120)))-INDEX(Reference!$A$6:$A$11,MIN(5,MATCH(MAX(Reference!$A$6,MIN(Reference!$A$11,MIN($U173,120))),Reference!$A$6:$A$11,1))))*(INDEX(Reference!$B$6:$B$11,MIN(5,MATCH(MAX(Reference!$A$6,MIN(Reference!$A$11,MIN($U173,120))),Reference!$A$6:$A$11,1))+1)-INDEX(Reference!$B$6:$B$11,MIN(5,MATCH(MAX(Reference!$A$6,MIN(Reference!$A$11,MIN($U173,120))),Reference!$A$6:$A$11,1))))/(INDEX(Reference!$A$6:$A$11,MIN(5,MATCH(MAX(Reference!$A$6,MIN(Reference!$A$11,MIN($U173,120))),Reference!$A$6:$A$11,1))+1)-INDEX(Reference!$A$6:$A$11,MIN(5,MATCH(MAX(Reference!$A$6,MIN(Reference!$A$11,MIN($U173,120))),Reference!$A$6:$A$11,1))))),0)+IF(3&lt;=$AL173,($AL173-3+3)*(INDEX(Reference!$B$6:$B$11,MIN(5,MATCH(MAX(Reference!$A$6,MIN(Reference!$A$11,MIN($U173,150))),Reference!$A$6:$A$11,1)))+(MAX(Reference!$A$6,MIN(Reference!$A$11,MIN($U173,150)))-INDEX(Reference!$A$6:$A$11,MIN(5,MATCH(MAX(Reference!$A$6,MIN(Reference!$A$11,MIN($U173,150))),Reference!$A$6:$A$11,1))))*(INDEX(Reference!$B$6:$B$11,MIN(5,MATCH(MAX(Reference!$A$6,MIN(Reference!$A$11,MIN($U173,150))),Reference!$A$6:$A$11,1))+1)-INDEX(Reference!$B$6:$B$11,MIN(5,MATCH(MAX(Reference!$A$6,MIN(Reference!$A$11,MIN($U173,150))),Reference!$A$6:$A$11,1))))/(INDEX(Reference!$A$6:$A$11,MIN(5,MATCH(MAX(Reference!$A$6,MIN(Reference!$A$11,MIN($U173,150))),Reference!$A$6:$A$11,1))+1)-INDEX(Reference!$A$6:$A$11,MIN(5,MATCH(MAX(Reference!$A$6,MIN(Reference!$A$11,MIN($U173,150))),Reference!$A$6:$A$11,1))))),0)+IF(4&lt;=$AL173,($AL173-4+3)*(INDEX(Reference!$B$6:$B$11,MIN(5,MATCH(MAX(Reference!$A$6,MIN(Reference!$A$11,MIN($U173,180))),Reference!$A$6:$A$11,1)))+(MAX(Reference!$A$6,MIN(Reference!$A$11,MIN($U173,180)))-INDEX(Reference!$A$6:$A$11,MIN(5,MATCH(MAX(Reference!$A$6,MIN(Reference!$A$11,MIN($U173,180))),Reference!$A$6:$A$11,1))))*(INDEX(Reference!$B$6:$B$11,MIN(5,MATCH(MAX(Reference!$A$6,MIN(Reference!$A$11,MIN($U173,180))),Reference!$A$6:$A$11,1))+1)-INDEX(Reference!$B$6:$B$11,MIN(5,MATCH(MAX(Reference!$A$6,MIN(Reference!$A$11,MIN($U173,180))),Reference!$A$6:$A$11,1))))/(INDEX(Reference!$A$6:$A$11,MIN(5,MATCH(MAX(Reference!$A$6,MIN(Reference!$A$11,MIN($U173,180))),Reference!$A$6:$A$11,1))+1)-INDEX(Reference!$A$6:$A$11,MIN(5,MATCH(MAX(Reference!$A$6,MIN(Reference!$A$11,MIN($U173,180))),Reference!$A$6:$A$11,1))))),0)+IF(5&lt;=$AL173,($AL173-5+3)*(INDEX(Reference!$B$6:$B$11,MIN(5,MATCH(MAX(Reference!$A$6,MIN(Reference!$A$11,MIN($U173,210))),Reference!$A$6:$A$11,1)))+(MAX(Reference!$A$6,MIN(Reference!$A$11,MIN($U173,210)))-INDEX(Reference!$A$6:$A$11,MIN(5,MATCH(MAX(Reference!$A$6,MIN(Reference!$A$11,MIN($U173,210))),Reference!$A$6:$A$11,1))))*(INDEX(Reference!$B$6:$B$11,MIN(5,MATCH(MAX(Reference!$A$6,MIN(Reference!$A$11,MIN($U173,210))),Reference!$A$6:$A$11,1))+1)-INDEX(Reference!$B$6:$B$11,MIN(5,MATCH(MAX(Reference!$A$6,MIN(Reference!$A$11,MIN($U173,210))),Reference!$A$6:$A$11,1))))/(INDEX(Reference!$A$6:$A$11,MIN(5,MATCH(MAX(Reference!$A$6,MIN(Reference!$A$11,MIN($U173,210))),Reference!$A$6:$A$11,1))+1)-INDEX(Reference!$A$6:$A$11,MIN(5,MATCH(MAX(Reference!$A$6,MIN(Reference!$A$11,MIN($U173,210))),Reference!$A$6:$A$11,1))))),0)+IF(6&lt;=$AL173,($AL173-6+3)*(INDEX(Reference!$B$6:$B$11,MIN(5,MATCH(MAX(Reference!$A$6,MIN(Reference!$A$11,MIN($U173,240))),Reference!$A$6:$A$11,1)))+(MAX(Reference!$A$6,MIN(Reference!$A$11,MIN($U173,240)))-INDEX(Reference!$A$6:$A$11,MIN(5,MATCH(MAX(Reference!$A$6,MIN(Reference!$A$11,MIN($U173,240))),Reference!$A$6:$A$11,1))))*(INDEX(Reference!$B$6:$B$11,MIN(5,MATCH(MAX(Reference!$A$6,MIN(Reference!$A$11,MIN($U173,240))),Reference!$A$6:$A$11,1))+1)-INDEX(Reference!$B$6:$B$11,MIN(5,MATCH(MAX(Reference!$A$6,MIN(Reference!$A$11,MIN($U173,240))),Reference!$A$6:$A$11,1))))/(INDEX(Reference!$A$6:$A$11,MIN(5,MATCH(MAX(Reference!$A$6,MIN(Reference!$A$11,MIN($U173,240))),Reference!$A$6:$A$11,1))+1)-INDEX(Reference!$A$6:$A$11,MIN(5,MATCH(MAX(Reference!$A$6,MIN(Reference!$A$11,MIN($U173,240))),Reference!$A$6:$A$11,1))))),0)+IF(7&lt;=$AL173,($AL173-7+3)*(INDEX(Reference!$B$6:$B$11,MIN(5,MATCH(MAX(Reference!$A$6,MIN(Reference!$A$11,MIN($U173,270))),Reference!$A$6:$A$11,1)))+(MAX(Reference!$A$6,MIN(Reference!$A$11,MIN($U173,270)))-INDEX(Reference!$A$6:$A$11,MIN(5,MATCH(MAX(Reference!$A$6,MIN(Reference!$A$11,MIN($U173,270))),Reference!$A$6:$A$11,1))))*(INDEX(Reference!$B$6:$B$11,MIN(5,MATCH(MAX(Reference!$A$6,MIN(Reference!$A$11,MIN($U173,270))),Reference!$A$6:$A$11,1))+1)-INDEX(Reference!$B$6:$B$11,MIN(5,MATCH(MAX(Reference!$A$6,MIN(Reference!$A$11,MIN($U173,270))),Reference!$A$6:$A$11,1))))/(INDEX(Reference!$A$6:$A$11,MIN(5,MATCH(MAX(Reference!$A$6,MIN(Reference!$A$11,MIN($U173,270))),Reference!$A$6:$A$11,1))+1)-INDEX(Reference!$A$6:$A$11,MIN(5,MATCH(MAX(Reference!$A$6,MIN(Reference!$A$11,MIN($U173,270))),Reference!$A$6:$A$11,1))))),0)+IF(8&lt;=$AL173,($AL173-8+3)*(INDEX(Reference!$B$6:$B$11,MIN(5,MATCH(MAX(Reference!$A$6,MIN(Reference!$A$11,MIN($U173,300))),Reference!$A$6:$A$11,1)))+(MAX(Reference!$A$6,MIN(Reference!$A$11,MIN($U173,300)))-INDEX(Reference!$A$6:$A$11,MIN(5,MATCH(MAX(Reference!$A$6,MIN(Reference!$A$11,MIN($U173,300))),Reference!$A$6:$A$11,1))))*(INDEX(Reference!$B$6:$B$11,MIN(5,MATCH(MAX(Reference!$A$6,MIN(Reference!$A$11,MIN($U173,300))),Reference!$A$6:$A$11,1))+1)-INDEX(Reference!$B$6:$B$11,MIN(5,MATCH(MAX(Reference!$A$6,MIN(Reference!$A$11,MIN($U173,300))),Reference!$A$6:$A$11,1))))/(INDEX(Reference!$A$6:$A$11,MIN(5,MATCH(MAX(Reference!$A$6,MIN(Reference!$A$11,MIN($U173,300))),Reference!$A$6:$A$11,1))+1)-INDEX(Reference!$A$6:$A$11,MIN(5,MATCH(MAX(Reference!$A$6,MIN(Reference!$A$11,MIN($U173,300))),Reference!$A$6:$A$11,1))))),0))/($AL173*($AL173+5)/2)),$AN173))</f>
        <v>0</v>
      </c>
      <c r="AN173" s="32">
        <f>IF($U173="",0,(INDEX(Reference!$B$6:$B$11,MIN(5,MATCH(MAX(Reference!$A$6,MIN(Reference!$A$11,$U173)),Reference!$A$6:$A$11,1)))+(MAX(Reference!$A$6,MIN(Reference!$A$11,$U173))-INDEX(Reference!$A$6:$A$11,MIN(5,MATCH(MAX(Reference!$A$6,MIN(Reference!$A$11,$U173)),Reference!$A$6:$A$11,1))))*(INDEX(Reference!$B$6:$B$11,MIN(5,MATCH(MAX(Reference!$A$6,MIN(Reference!$A$11,$U173)),Reference!$A$6:$A$11,1))+1)-INDEX(Reference!$B$6:$B$11,MIN(5,MATCH(MAX(Reference!$A$6,MIN(Reference!$A$11,$U173)),Reference!$A$6:$A$11,1))))/(INDEX(Reference!$A$6:$A$11,MIN(5,MATCH(MAX(Reference!$A$6,MIN(Reference!$A$11,$U173)),Reference!$A$6:$A$11,1))+1)-INDEX(Reference!$A$6:$A$11,MIN(5,MATCH(MAX(Reference!$A$6,MIN(Reference!$A$11,$U173)),Reference!$A$6:$A$11,1))))))</f>
        <v>0</v>
      </c>
      <c r="AO173" s="37"/>
      <c r="AP173" s="37"/>
      <c r="AQ173" s="37"/>
    </row>
    <row r="174" spans="1:43" x14ac:dyDescent="0.3">
      <c r="A174" s="48" t="str">
        <f t="shared" si="105"/>
        <v/>
      </c>
      <c r="B174" s="32" t="str">
        <f t="shared" si="106"/>
        <v/>
      </c>
      <c r="C174" s="32" t="str">
        <f t="shared" si="107"/>
        <v/>
      </c>
      <c r="D174" s="32" t="str">
        <f t="shared" si="108"/>
        <v/>
      </c>
      <c r="E174" s="32" t="str">
        <f t="shared" si="109"/>
        <v/>
      </c>
      <c r="F174" s="32" t="str">
        <f t="shared" si="110"/>
        <v/>
      </c>
      <c r="G174" s="47" t="str">
        <f t="shared" si="111"/>
        <v/>
      </c>
      <c r="H174" s="30" t="str">
        <f t="shared" si="112"/>
        <v/>
      </c>
      <c r="I174" s="46" t="str">
        <f>IF($A174="","",IF(AND($L174&lt;27,$K$12=0),"Building",IFERROR(((SUM($H$168:$H174)+$K$12*IF($L174&lt;6,SUMIFS('Throw Log'!$Q$5:$Q$300,'Throw Log'!$B$5:$B$300,$D$4,'Throw Log'!$A$5:$A$300,"&gt;="&amp;($D$6+$L174-6),'Throw Log'!$A$5:$A$300,"&lt;="&amp;($D$6-1)),0))/7)/((SUM($H$147:$H174)+$K$12*IF($L174&lt;27,SUMIFS('Throw Log'!$Q$5:$Q$300,'Throw Log'!$B$5:$B$300,$D$4,'Throw Log'!$A$5:$A$300,"&gt;="&amp;($D$6+$L174-27),'Throw Log'!$A$5:$A$300,"&lt;="&amp;($D$6-1)),0))/28),"")))</f>
        <v/>
      </c>
      <c r="J174" s="37"/>
      <c r="K174" s="37"/>
      <c r="L174" s="32">
        <v>131</v>
      </c>
      <c r="M174" s="32">
        <f t="shared" si="113"/>
        <v>19</v>
      </c>
      <c r="N174" s="32">
        <f t="shared" si="114"/>
        <v>5</v>
      </c>
      <c r="O174" s="32">
        <f t="shared" si="115"/>
        <v>1</v>
      </c>
      <c r="P174" s="32" t="str">
        <f>IF(OR($A174="",N($C174)&lt;=7),"",$G$6*$G$9^($M174-1)*IF(AND(MOD($M174,Reference!$B$99)=0,$M174&lt;=$G$5-2),Reference!$B$100,1))</f>
        <v/>
      </c>
      <c r="Q174" s="32" t="str">
        <f>IF($P174="","",IF(SUM($AK$169:$AK$175)=0,0,$P174*INDEX(Reference!$B$108:$B$114,$N174+1)/SUM($AK$169:$AK$175)))</f>
        <v/>
      </c>
      <c r="R174" s="32">
        <f t="shared" si="116"/>
        <v>180</v>
      </c>
      <c r="S174" s="32">
        <f t="shared" si="117"/>
        <v>150</v>
      </c>
      <c r="T174" s="32" t="str">
        <f>IF($A174="","",IF($C174=0,"Bullpen",IF(OR($C174=7,$C174=1,$C174=5),"Recovery/Easy Catch",IF($C174=6,"Compression/Pulldowns",IF(OR($C174=4,$C174=2),"Long Toss",IF($C174=3,"No Throw",IF($N174=2,"No Throw",IF($N174=6,IF($O174&lt;Reference!$B$104,"No Throw","Recovery/Easy Catch"),IF(OR($N174=0,$N174=4),"Recovery/Easy Catch",IF($N174=1,IF($R174&gt;75,"Long Toss","Recovery/Easy Catch"),IF($N174=3,IF($O174&lt;0.5,IF($S174&gt;75,"Long Toss","Recovery/Easy Catch"),"Compression/Pulldowns"),IF($S174&gt;75,"Long Toss","Recovery/Easy Catch"))))))))))))</f>
        <v/>
      </c>
      <c r="U174" s="32" t="str">
        <f t="shared" si="118"/>
        <v/>
      </c>
      <c r="V174" s="32" t="str">
        <f t="shared" si="119"/>
        <v/>
      </c>
      <c r="W174" s="32" t="str">
        <f t="shared" si="120"/>
        <v/>
      </c>
      <c r="X174" s="32">
        <f t="shared" si="121"/>
        <v>0</v>
      </c>
      <c r="Y174" s="32" t="str">
        <f t="shared" si="122"/>
        <v/>
      </c>
      <c r="Z174" s="32" t="str">
        <f t="shared" si="123"/>
        <v/>
      </c>
      <c r="AA174" s="32" t="str">
        <f t="shared" si="124"/>
        <v/>
      </c>
      <c r="AB174" s="32" t="str">
        <f>IF($A174="","",IF($T174="No Throw",0,IF($K174&lt;&gt;"",$K174,IF($AA174&lt;&gt;"",ROUND($AA174*$D$12*IF($C174=0,1,$G$10),0),MIN(IF($T174="Recovery/Easy Catch",Reference!$B$103,IF($T174="Long Toss",Reference!$B$106,Reference!$B$102)),MAX(Reference!$B$101,ROUND(MAX(0,$Q174-$AE174)/$AF174,0)))))))</f>
        <v/>
      </c>
      <c r="AC174" s="32">
        <f t="shared" si="125"/>
        <v>0</v>
      </c>
      <c r="AD174" s="32" t="b">
        <f t="shared" si="126"/>
        <v>1</v>
      </c>
      <c r="AE174" s="32">
        <f>IF($X174=0,0,$X174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174+$Z174)/2,0),Reference!$A$17:$B$20,2,TRUE()))</f>
        <v>0</v>
      </c>
      <c r="AF174" s="32">
        <f>IF(OR($A174="",$U174="",$T174="No Throw"),0,$AM174*VLOOKUP(MAX(($V174+$W174)/2,0),Reference!$A$17:$B$20,2,TRUE()))</f>
        <v>0</v>
      </c>
      <c r="AG174" s="32">
        <f>IF($AC174=0,0,$AC174*INDEX(Reference!$B$61:$B$62,MATCH("Bullpen",Reference!$A$61:$A$62,0))*VLOOKUP(MAX($D$5-($D$9+$E$9)/2,0),Reference!$A$17:$B$20,2,TRUE()))</f>
        <v>0</v>
      </c>
      <c r="AH174" s="32" t="e">
        <f t="shared" si="127"/>
        <v>#N/A</v>
      </c>
      <c r="AI174" s="32" t="e">
        <f>IF($A174="",NA(),Reference!$A$25)</f>
        <v>#N/A</v>
      </c>
      <c r="AJ174" s="32" t="e">
        <f t="shared" si="128"/>
        <v>#N/A</v>
      </c>
      <c r="AK174" s="32">
        <f>IF(OR($A174="",N($C174)&lt;=7,$T174="No Throw",$J174="x"),0,INDEX(Reference!$B$108:$B$114,$N174+1))</f>
        <v>0</v>
      </c>
      <c r="AL174" s="32">
        <f t="shared" si="129"/>
        <v>1</v>
      </c>
      <c r="AM174" s="32">
        <f>IF($U174="",0,IF($AL174&gt;1,((IF(1&lt;=$AL174,($AL174-1+3)*(INDEX(Reference!$B$6:$B$11,MIN(5,MATCH(MAX(Reference!$A$6,MIN(Reference!$A$11,MIN($U174,90))),Reference!$A$6:$A$11,1)))+(MAX(Reference!$A$6,MIN(Reference!$A$11,MIN($U174,90)))-INDEX(Reference!$A$6:$A$11,MIN(5,MATCH(MAX(Reference!$A$6,MIN(Reference!$A$11,MIN($U174,90))),Reference!$A$6:$A$11,1))))*(INDEX(Reference!$B$6:$B$11,MIN(5,MATCH(MAX(Reference!$A$6,MIN(Reference!$A$11,MIN($U174,90))),Reference!$A$6:$A$11,1))+1)-INDEX(Reference!$B$6:$B$11,MIN(5,MATCH(MAX(Reference!$A$6,MIN(Reference!$A$11,MIN($U174,90))),Reference!$A$6:$A$11,1))))/(INDEX(Reference!$A$6:$A$11,MIN(5,MATCH(MAX(Reference!$A$6,MIN(Reference!$A$11,MIN($U174,90))),Reference!$A$6:$A$11,1))+1)-INDEX(Reference!$A$6:$A$11,MIN(5,MATCH(MAX(Reference!$A$6,MIN(Reference!$A$11,MIN($U174,90))),Reference!$A$6:$A$11,1))))),0)+IF(2&lt;=$AL174,($AL174-2+3)*(INDEX(Reference!$B$6:$B$11,MIN(5,MATCH(MAX(Reference!$A$6,MIN(Reference!$A$11,MIN($U174,120))),Reference!$A$6:$A$11,1)))+(MAX(Reference!$A$6,MIN(Reference!$A$11,MIN($U174,120)))-INDEX(Reference!$A$6:$A$11,MIN(5,MATCH(MAX(Reference!$A$6,MIN(Reference!$A$11,MIN($U174,120))),Reference!$A$6:$A$11,1))))*(INDEX(Reference!$B$6:$B$11,MIN(5,MATCH(MAX(Reference!$A$6,MIN(Reference!$A$11,MIN($U174,120))),Reference!$A$6:$A$11,1))+1)-INDEX(Reference!$B$6:$B$11,MIN(5,MATCH(MAX(Reference!$A$6,MIN(Reference!$A$11,MIN($U174,120))),Reference!$A$6:$A$11,1))))/(INDEX(Reference!$A$6:$A$11,MIN(5,MATCH(MAX(Reference!$A$6,MIN(Reference!$A$11,MIN($U174,120))),Reference!$A$6:$A$11,1))+1)-INDEX(Reference!$A$6:$A$11,MIN(5,MATCH(MAX(Reference!$A$6,MIN(Reference!$A$11,MIN($U174,120))),Reference!$A$6:$A$11,1))))),0)+IF(3&lt;=$AL174,($AL174-3+3)*(INDEX(Reference!$B$6:$B$11,MIN(5,MATCH(MAX(Reference!$A$6,MIN(Reference!$A$11,MIN($U174,150))),Reference!$A$6:$A$11,1)))+(MAX(Reference!$A$6,MIN(Reference!$A$11,MIN($U174,150)))-INDEX(Reference!$A$6:$A$11,MIN(5,MATCH(MAX(Reference!$A$6,MIN(Reference!$A$11,MIN($U174,150))),Reference!$A$6:$A$11,1))))*(INDEX(Reference!$B$6:$B$11,MIN(5,MATCH(MAX(Reference!$A$6,MIN(Reference!$A$11,MIN($U174,150))),Reference!$A$6:$A$11,1))+1)-INDEX(Reference!$B$6:$B$11,MIN(5,MATCH(MAX(Reference!$A$6,MIN(Reference!$A$11,MIN($U174,150))),Reference!$A$6:$A$11,1))))/(INDEX(Reference!$A$6:$A$11,MIN(5,MATCH(MAX(Reference!$A$6,MIN(Reference!$A$11,MIN($U174,150))),Reference!$A$6:$A$11,1))+1)-INDEX(Reference!$A$6:$A$11,MIN(5,MATCH(MAX(Reference!$A$6,MIN(Reference!$A$11,MIN($U174,150))),Reference!$A$6:$A$11,1))))),0)+IF(4&lt;=$AL174,($AL174-4+3)*(INDEX(Reference!$B$6:$B$11,MIN(5,MATCH(MAX(Reference!$A$6,MIN(Reference!$A$11,MIN($U174,180))),Reference!$A$6:$A$11,1)))+(MAX(Reference!$A$6,MIN(Reference!$A$11,MIN($U174,180)))-INDEX(Reference!$A$6:$A$11,MIN(5,MATCH(MAX(Reference!$A$6,MIN(Reference!$A$11,MIN($U174,180))),Reference!$A$6:$A$11,1))))*(INDEX(Reference!$B$6:$B$11,MIN(5,MATCH(MAX(Reference!$A$6,MIN(Reference!$A$11,MIN($U174,180))),Reference!$A$6:$A$11,1))+1)-INDEX(Reference!$B$6:$B$11,MIN(5,MATCH(MAX(Reference!$A$6,MIN(Reference!$A$11,MIN($U174,180))),Reference!$A$6:$A$11,1))))/(INDEX(Reference!$A$6:$A$11,MIN(5,MATCH(MAX(Reference!$A$6,MIN(Reference!$A$11,MIN($U174,180))),Reference!$A$6:$A$11,1))+1)-INDEX(Reference!$A$6:$A$11,MIN(5,MATCH(MAX(Reference!$A$6,MIN(Reference!$A$11,MIN($U174,180))),Reference!$A$6:$A$11,1))))),0)+IF(5&lt;=$AL174,($AL174-5+3)*(INDEX(Reference!$B$6:$B$11,MIN(5,MATCH(MAX(Reference!$A$6,MIN(Reference!$A$11,MIN($U174,210))),Reference!$A$6:$A$11,1)))+(MAX(Reference!$A$6,MIN(Reference!$A$11,MIN($U174,210)))-INDEX(Reference!$A$6:$A$11,MIN(5,MATCH(MAX(Reference!$A$6,MIN(Reference!$A$11,MIN($U174,210))),Reference!$A$6:$A$11,1))))*(INDEX(Reference!$B$6:$B$11,MIN(5,MATCH(MAX(Reference!$A$6,MIN(Reference!$A$11,MIN($U174,210))),Reference!$A$6:$A$11,1))+1)-INDEX(Reference!$B$6:$B$11,MIN(5,MATCH(MAX(Reference!$A$6,MIN(Reference!$A$11,MIN($U174,210))),Reference!$A$6:$A$11,1))))/(INDEX(Reference!$A$6:$A$11,MIN(5,MATCH(MAX(Reference!$A$6,MIN(Reference!$A$11,MIN($U174,210))),Reference!$A$6:$A$11,1))+1)-INDEX(Reference!$A$6:$A$11,MIN(5,MATCH(MAX(Reference!$A$6,MIN(Reference!$A$11,MIN($U174,210))),Reference!$A$6:$A$11,1))))),0)+IF(6&lt;=$AL174,($AL174-6+3)*(INDEX(Reference!$B$6:$B$11,MIN(5,MATCH(MAX(Reference!$A$6,MIN(Reference!$A$11,MIN($U174,240))),Reference!$A$6:$A$11,1)))+(MAX(Reference!$A$6,MIN(Reference!$A$11,MIN($U174,240)))-INDEX(Reference!$A$6:$A$11,MIN(5,MATCH(MAX(Reference!$A$6,MIN(Reference!$A$11,MIN($U174,240))),Reference!$A$6:$A$11,1))))*(INDEX(Reference!$B$6:$B$11,MIN(5,MATCH(MAX(Reference!$A$6,MIN(Reference!$A$11,MIN($U174,240))),Reference!$A$6:$A$11,1))+1)-INDEX(Reference!$B$6:$B$11,MIN(5,MATCH(MAX(Reference!$A$6,MIN(Reference!$A$11,MIN($U174,240))),Reference!$A$6:$A$11,1))))/(INDEX(Reference!$A$6:$A$11,MIN(5,MATCH(MAX(Reference!$A$6,MIN(Reference!$A$11,MIN($U174,240))),Reference!$A$6:$A$11,1))+1)-INDEX(Reference!$A$6:$A$11,MIN(5,MATCH(MAX(Reference!$A$6,MIN(Reference!$A$11,MIN($U174,240))),Reference!$A$6:$A$11,1))))),0)+IF(7&lt;=$AL174,($AL174-7+3)*(INDEX(Reference!$B$6:$B$11,MIN(5,MATCH(MAX(Reference!$A$6,MIN(Reference!$A$11,MIN($U174,270))),Reference!$A$6:$A$11,1)))+(MAX(Reference!$A$6,MIN(Reference!$A$11,MIN($U174,270)))-INDEX(Reference!$A$6:$A$11,MIN(5,MATCH(MAX(Reference!$A$6,MIN(Reference!$A$11,MIN($U174,270))),Reference!$A$6:$A$11,1))))*(INDEX(Reference!$B$6:$B$11,MIN(5,MATCH(MAX(Reference!$A$6,MIN(Reference!$A$11,MIN($U174,270))),Reference!$A$6:$A$11,1))+1)-INDEX(Reference!$B$6:$B$11,MIN(5,MATCH(MAX(Reference!$A$6,MIN(Reference!$A$11,MIN($U174,270))),Reference!$A$6:$A$11,1))))/(INDEX(Reference!$A$6:$A$11,MIN(5,MATCH(MAX(Reference!$A$6,MIN(Reference!$A$11,MIN($U174,270))),Reference!$A$6:$A$11,1))+1)-INDEX(Reference!$A$6:$A$11,MIN(5,MATCH(MAX(Reference!$A$6,MIN(Reference!$A$11,MIN($U174,270))),Reference!$A$6:$A$11,1))))),0)+IF(8&lt;=$AL174,($AL174-8+3)*(INDEX(Reference!$B$6:$B$11,MIN(5,MATCH(MAX(Reference!$A$6,MIN(Reference!$A$11,MIN($U174,300))),Reference!$A$6:$A$11,1)))+(MAX(Reference!$A$6,MIN(Reference!$A$11,MIN($U174,300)))-INDEX(Reference!$A$6:$A$11,MIN(5,MATCH(MAX(Reference!$A$6,MIN(Reference!$A$11,MIN($U174,300))),Reference!$A$6:$A$11,1))))*(INDEX(Reference!$B$6:$B$11,MIN(5,MATCH(MAX(Reference!$A$6,MIN(Reference!$A$11,MIN($U174,300))),Reference!$A$6:$A$11,1))+1)-INDEX(Reference!$B$6:$B$11,MIN(5,MATCH(MAX(Reference!$A$6,MIN(Reference!$A$11,MIN($U174,300))),Reference!$A$6:$A$11,1))))/(INDEX(Reference!$A$6:$A$11,MIN(5,MATCH(MAX(Reference!$A$6,MIN(Reference!$A$11,MIN($U174,300))),Reference!$A$6:$A$11,1))+1)-INDEX(Reference!$A$6:$A$11,MIN(5,MATCH(MAX(Reference!$A$6,MIN(Reference!$A$11,MIN($U174,300))),Reference!$A$6:$A$11,1))))),0))/($AL174*($AL174+5)/2)),$AN174))</f>
        <v>0</v>
      </c>
      <c r="AN174" s="32">
        <f>IF($U174="",0,(INDEX(Reference!$B$6:$B$11,MIN(5,MATCH(MAX(Reference!$A$6,MIN(Reference!$A$11,$U174)),Reference!$A$6:$A$11,1)))+(MAX(Reference!$A$6,MIN(Reference!$A$11,$U174))-INDEX(Reference!$A$6:$A$11,MIN(5,MATCH(MAX(Reference!$A$6,MIN(Reference!$A$11,$U174)),Reference!$A$6:$A$11,1))))*(INDEX(Reference!$B$6:$B$11,MIN(5,MATCH(MAX(Reference!$A$6,MIN(Reference!$A$11,$U174)),Reference!$A$6:$A$11,1))+1)-INDEX(Reference!$B$6:$B$11,MIN(5,MATCH(MAX(Reference!$A$6,MIN(Reference!$A$11,$U174)),Reference!$A$6:$A$11,1))))/(INDEX(Reference!$A$6:$A$11,MIN(5,MATCH(MAX(Reference!$A$6,MIN(Reference!$A$11,$U174)),Reference!$A$6:$A$11,1))+1)-INDEX(Reference!$A$6:$A$11,MIN(5,MATCH(MAX(Reference!$A$6,MIN(Reference!$A$11,$U174)),Reference!$A$6:$A$11,1))))))</f>
        <v>0</v>
      </c>
      <c r="AO174" s="37"/>
      <c r="AP174" s="37"/>
      <c r="AQ174" s="37"/>
    </row>
    <row r="175" spans="1:43" x14ac:dyDescent="0.3">
      <c r="A175" s="48" t="str">
        <f t="shared" si="105"/>
        <v/>
      </c>
      <c r="B175" s="32" t="str">
        <f t="shared" si="106"/>
        <v/>
      </c>
      <c r="C175" s="32" t="str">
        <f t="shared" si="107"/>
        <v/>
      </c>
      <c r="D175" s="32" t="str">
        <f t="shared" si="108"/>
        <v/>
      </c>
      <c r="E175" s="32" t="str">
        <f t="shared" si="109"/>
        <v/>
      </c>
      <c r="F175" s="32" t="str">
        <f t="shared" si="110"/>
        <v/>
      </c>
      <c r="G175" s="47" t="str">
        <f t="shared" si="111"/>
        <v/>
      </c>
      <c r="H175" s="30" t="str">
        <f t="shared" si="112"/>
        <v/>
      </c>
      <c r="I175" s="46" t="str">
        <f>IF($A175="","",IF(AND($L175&lt;27,$K$12=0),"Building",IFERROR(((SUM($H$169:$H175)+$K$12*IF($L175&lt;6,SUMIFS('Throw Log'!$Q$5:$Q$300,'Throw Log'!$B$5:$B$300,$D$4,'Throw Log'!$A$5:$A$300,"&gt;="&amp;($D$6+$L175-6),'Throw Log'!$A$5:$A$300,"&lt;="&amp;($D$6-1)),0))/7)/((SUM($H$148:$H175)+$K$12*IF($L175&lt;27,SUMIFS('Throw Log'!$Q$5:$Q$300,'Throw Log'!$B$5:$B$300,$D$4,'Throw Log'!$A$5:$A$300,"&gt;="&amp;($D$6+$L175-27),'Throw Log'!$A$5:$A$300,"&lt;="&amp;($D$6-1)),0))/28),"")))</f>
        <v/>
      </c>
      <c r="J175" s="37"/>
      <c r="K175" s="37"/>
      <c r="L175" s="32">
        <v>132</v>
      </c>
      <c r="M175" s="32">
        <f t="shared" si="113"/>
        <v>19</v>
      </c>
      <c r="N175" s="32">
        <f t="shared" si="114"/>
        <v>6</v>
      </c>
      <c r="O175" s="32">
        <f t="shared" si="115"/>
        <v>1</v>
      </c>
      <c r="P175" s="32" t="str">
        <f>IF(OR($A175="",N($C175)&lt;=7),"",$G$6*$G$9^($M175-1)*IF(AND(MOD($M175,Reference!$B$99)=0,$M175&lt;=$G$5-2),Reference!$B$100,1))</f>
        <v/>
      </c>
      <c r="Q175" s="32" t="str">
        <f>IF($P175="","",IF(SUM($AK$169:$AK$175)=0,0,$P175*INDEX(Reference!$B$108:$B$114,$N175+1)/SUM($AK$169:$AK$175)))</f>
        <v/>
      </c>
      <c r="R175" s="32">
        <f t="shared" si="116"/>
        <v>180</v>
      </c>
      <c r="S175" s="32">
        <f t="shared" si="117"/>
        <v>150</v>
      </c>
      <c r="T175" s="32" t="str">
        <f>IF($A175="","",IF($C175=0,"Bullpen",IF(OR($C175=7,$C175=1,$C175=5),"Recovery/Easy Catch",IF($C175=6,"Compression/Pulldowns",IF(OR($C175=4,$C175=2),"Long Toss",IF($C175=3,"No Throw",IF($N175=2,"No Throw",IF($N175=6,IF($O175&lt;Reference!$B$104,"No Throw","Recovery/Easy Catch"),IF(OR($N175=0,$N175=4),"Recovery/Easy Catch",IF($N175=1,IF($R175&gt;75,"Long Toss","Recovery/Easy Catch"),IF($N175=3,IF($O175&lt;0.5,IF($S175&gt;75,"Long Toss","Recovery/Easy Catch"),"Compression/Pulldowns"),IF($S175&gt;75,"Long Toss","Recovery/Easy Catch"))))))))))))</f>
        <v/>
      </c>
      <c r="U175" s="32" t="str">
        <f t="shared" si="118"/>
        <v/>
      </c>
      <c r="V175" s="32" t="str">
        <f t="shared" si="119"/>
        <v/>
      </c>
      <c r="W175" s="32" t="str">
        <f t="shared" si="120"/>
        <v/>
      </c>
      <c r="X175" s="32">
        <f t="shared" si="121"/>
        <v>0</v>
      </c>
      <c r="Y175" s="32" t="str">
        <f t="shared" si="122"/>
        <v/>
      </c>
      <c r="Z175" s="32" t="str">
        <f t="shared" si="123"/>
        <v/>
      </c>
      <c r="AA175" s="32" t="str">
        <f t="shared" si="124"/>
        <v/>
      </c>
      <c r="AB175" s="32" t="str">
        <f>IF($A175="","",IF($T175="No Throw",0,IF($K175&lt;&gt;"",$K175,IF($AA175&lt;&gt;"",ROUND($AA175*$D$12*IF($C175=0,1,$G$10),0),MIN(IF($T175="Recovery/Easy Catch",Reference!$B$103,IF($T175="Long Toss",Reference!$B$106,Reference!$B$102)),MAX(Reference!$B$101,ROUND(MAX(0,$Q175-$AE175)/$AF175,0)))))))</f>
        <v/>
      </c>
      <c r="AC175" s="32">
        <f t="shared" si="125"/>
        <v>0</v>
      </c>
      <c r="AD175" s="32" t="b">
        <f t="shared" si="126"/>
        <v>1</v>
      </c>
      <c r="AE175" s="32">
        <f>IF($X175=0,0,$X175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175+$Z175)/2,0),Reference!$A$17:$B$20,2,TRUE()))</f>
        <v>0</v>
      </c>
      <c r="AF175" s="32">
        <f>IF(OR($A175="",$U175="",$T175="No Throw"),0,$AM175*VLOOKUP(MAX(($V175+$W175)/2,0),Reference!$A$17:$B$20,2,TRUE()))</f>
        <v>0</v>
      </c>
      <c r="AG175" s="32">
        <f>IF($AC175=0,0,$AC175*INDEX(Reference!$B$61:$B$62,MATCH("Bullpen",Reference!$A$61:$A$62,0))*VLOOKUP(MAX($D$5-($D$9+$E$9)/2,0),Reference!$A$17:$B$20,2,TRUE()))</f>
        <v>0</v>
      </c>
      <c r="AH175" s="32" t="e">
        <f t="shared" si="127"/>
        <v>#N/A</v>
      </c>
      <c r="AI175" s="32" t="e">
        <f>IF($A175="",NA(),Reference!$A$25)</f>
        <v>#N/A</v>
      </c>
      <c r="AJ175" s="32" t="e">
        <f t="shared" si="128"/>
        <v>#N/A</v>
      </c>
      <c r="AK175" s="32">
        <f>IF(OR($A175="",N($C175)&lt;=7,$T175="No Throw",$J175="x"),0,INDEX(Reference!$B$108:$B$114,$N175+1))</f>
        <v>0</v>
      </c>
      <c r="AL175" s="32">
        <f t="shared" si="129"/>
        <v>1</v>
      </c>
      <c r="AM175" s="32">
        <f>IF($U175="",0,IF($AL175&gt;1,((IF(1&lt;=$AL175,($AL175-1+3)*(INDEX(Reference!$B$6:$B$11,MIN(5,MATCH(MAX(Reference!$A$6,MIN(Reference!$A$11,MIN($U175,90))),Reference!$A$6:$A$11,1)))+(MAX(Reference!$A$6,MIN(Reference!$A$11,MIN($U175,90)))-INDEX(Reference!$A$6:$A$11,MIN(5,MATCH(MAX(Reference!$A$6,MIN(Reference!$A$11,MIN($U175,90))),Reference!$A$6:$A$11,1))))*(INDEX(Reference!$B$6:$B$11,MIN(5,MATCH(MAX(Reference!$A$6,MIN(Reference!$A$11,MIN($U175,90))),Reference!$A$6:$A$11,1))+1)-INDEX(Reference!$B$6:$B$11,MIN(5,MATCH(MAX(Reference!$A$6,MIN(Reference!$A$11,MIN($U175,90))),Reference!$A$6:$A$11,1))))/(INDEX(Reference!$A$6:$A$11,MIN(5,MATCH(MAX(Reference!$A$6,MIN(Reference!$A$11,MIN($U175,90))),Reference!$A$6:$A$11,1))+1)-INDEX(Reference!$A$6:$A$11,MIN(5,MATCH(MAX(Reference!$A$6,MIN(Reference!$A$11,MIN($U175,90))),Reference!$A$6:$A$11,1))))),0)+IF(2&lt;=$AL175,($AL175-2+3)*(INDEX(Reference!$B$6:$B$11,MIN(5,MATCH(MAX(Reference!$A$6,MIN(Reference!$A$11,MIN($U175,120))),Reference!$A$6:$A$11,1)))+(MAX(Reference!$A$6,MIN(Reference!$A$11,MIN($U175,120)))-INDEX(Reference!$A$6:$A$11,MIN(5,MATCH(MAX(Reference!$A$6,MIN(Reference!$A$11,MIN($U175,120))),Reference!$A$6:$A$11,1))))*(INDEX(Reference!$B$6:$B$11,MIN(5,MATCH(MAX(Reference!$A$6,MIN(Reference!$A$11,MIN($U175,120))),Reference!$A$6:$A$11,1))+1)-INDEX(Reference!$B$6:$B$11,MIN(5,MATCH(MAX(Reference!$A$6,MIN(Reference!$A$11,MIN($U175,120))),Reference!$A$6:$A$11,1))))/(INDEX(Reference!$A$6:$A$11,MIN(5,MATCH(MAX(Reference!$A$6,MIN(Reference!$A$11,MIN($U175,120))),Reference!$A$6:$A$11,1))+1)-INDEX(Reference!$A$6:$A$11,MIN(5,MATCH(MAX(Reference!$A$6,MIN(Reference!$A$11,MIN($U175,120))),Reference!$A$6:$A$11,1))))),0)+IF(3&lt;=$AL175,($AL175-3+3)*(INDEX(Reference!$B$6:$B$11,MIN(5,MATCH(MAX(Reference!$A$6,MIN(Reference!$A$11,MIN($U175,150))),Reference!$A$6:$A$11,1)))+(MAX(Reference!$A$6,MIN(Reference!$A$11,MIN($U175,150)))-INDEX(Reference!$A$6:$A$11,MIN(5,MATCH(MAX(Reference!$A$6,MIN(Reference!$A$11,MIN($U175,150))),Reference!$A$6:$A$11,1))))*(INDEX(Reference!$B$6:$B$11,MIN(5,MATCH(MAX(Reference!$A$6,MIN(Reference!$A$11,MIN($U175,150))),Reference!$A$6:$A$11,1))+1)-INDEX(Reference!$B$6:$B$11,MIN(5,MATCH(MAX(Reference!$A$6,MIN(Reference!$A$11,MIN($U175,150))),Reference!$A$6:$A$11,1))))/(INDEX(Reference!$A$6:$A$11,MIN(5,MATCH(MAX(Reference!$A$6,MIN(Reference!$A$11,MIN($U175,150))),Reference!$A$6:$A$11,1))+1)-INDEX(Reference!$A$6:$A$11,MIN(5,MATCH(MAX(Reference!$A$6,MIN(Reference!$A$11,MIN($U175,150))),Reference!$A$6:$A$11,1))))),0)+IF(4&lt;=$AL175,($AL175-4+3)*(INDEX(Reference!$B$6:$B$11,MIN(5,MATCH(MAX(Reference!$A$6,MIN(Reference!$A$11,MIN($U175,180))),Reference!$A$6:$A$11,1)))+(MAX(Reference!$A$6,MIN(Reference!$A$11,MIN($U175,180)))-INDEX(Reference!$A$6:$A$11,MIN(5,MATCH(MAX(Reference!$A$6,MIN(Reference!$A$11,MIN($U175,180))),Reference!$A$6:$A$11,1))))*(INDEX(Reference!$B$6:$B$11,MIN(5,MATCH(MAX(Reference!$A$6,MIN(Reference!$A$11,MIN($U175,180))),Reference!$A$6:$A$11,1))+1)-INDEX(Reference!$B$6:$B$11,MIN(5,MATCH(MAX(Reference!$A$6,MIN(Reference!$A$11,MIN($U175,180))),Reference!$A$6:$A$11,1))))/(INDEX(Reference!$A$6:$A$11,MIN(5,MATCH(MAX(Reference!$A$6,MIN(Reference!$A$11,MIN($U175,180))),Reference!$A$6:$A$11,1))+1)-INDEX(Reference!$A$6:$A$11,MIN(5,MATCH(MAX(Reference!$A$6,MIN(Reference!$A$11,MIN($U175,180))),Reference!$A$6:$A$11,1))))),0)+IF(5&lt;=$AL175,($AL175-5+3)*(INDEX(Reference!$B$6:$B$11,MIN(5,MATCH(MAX(Reference!$A$6,MIN(Reference!$A$11,MIN($U175,210))),Reference!$A$6:$A$11,1)))+(MAX(Reference!$A$6,MIN(Reference!$A$11,MIN($U175,210)))-INDEX(Reference!$A$6:$A$11,MIN(5,MATCH(MAX(Reference!$A$6,MIN(Reference!$A$11,MIN($U175,210))),Reference!$A$6:$A$11,1))))*(INDEX(Reference!$B$6:$B$11,MIN(5,MATCH(MAX(Reference!$A$6,MIN(Reference!$A$11,MIN($U175,210))),Reference!$A$6:$A$11,1))+1)-INDEX(Reference!$B$6:$B$11,MIN(5,MATCH(MAX(Reference!$A$6,MIN(Reference!$A$11,MIN($U175,210))),Reference!$A$6:$A$11,1))))/(INDEX(Reference!$A$6:$A$11,MIN(5,MATCH(MAX(Reference!$A$6,MIN(Reference!$A$11,MIN($U175,210))),Reference!$A$6:$A$11,1))+1)-INDEX(Reference!$A$6:$A$11,MIN(5,MATCH(MAX(Reference!$A$6,MIN(Reference!$A$11,MIN($U175,210))),Reference!$A$6:$A$11,1))))),0)+IF(6&lt;=$AL175,($AL175-6+3)*(INDEX(Reference!$B$6:$B$11,MIN(5,MATCH(MAX(Reference!$A$6,MIN(Reference!$A$11,MIN($U175,240))),Reference!$A$6:$A$11,1)))+(MAX(Reference!$A$6,MIN(Reference!$A$11,MIN($U175,240)))-INDEX(Reference!$A$6:$A$11,MIN(5,MATCH(MAX(Reference!$A$6,MIN(Reference!$A$11,MIN($U175,240))),Reference!$A$6:$A$11,1))))*(INDEX(Reference!$B$6:$B$11,MIN(5,MATCH(MAX(Reference!$A$6,MIN(Reference!$A$11,MIN($U175,240))),Reference!$A$6:$A$11,1))+1)-INDEX(Reference!$B$6:$B$11,MIN(5,MATCH(MAX(Reference!$A$6,MIN(Reference!$A$11,MIN($U175,240))),Reference!$A$6:$A$11,1))))/(INDEX(Reference!$A$6:$A$11,MIN(5,MATCH(MAX(Reference!$A$6,MIN(Reference!$A$11,MIN($U175,240))),Reference!$A$6:$A$11,1))+1)-INDEX(Reference!$A$6:$A$11,MIN(5,MATCH(MAX(Reference!$A$6,MIN(Reference!$A$11,MIN($U175,240))),Reference!$A$6:$A$11,1))))),0)+IF(7&lt;=$AL175,($AL175-7+3)*(INDEX(Reference!$B$6:$B$11,MIN(5,MATCH(MAX(Reference!$A$6,MIN(Reference!$A$11,MIN($U175,270))),Reference!$A$6:$A$11,1)))+(MAX(Reference!$A$6,MIN(Reference!$A$11,MIN($U175,270)))-INDEX(Reference!$A$6:$A$11,MIN(5,MATCH(MAX(Reference!$A$6,MIN(Reference!$A$11,MIN($U175,270))),Reference!$A$6:$A$11,1))))*(INDEX(Reference!$B$6:$B$11,MIN(5,MATCH(MAX(Reference!$A$6,MIN(Reference!$A$11,MIN($U175,270))),Reference!$A$6:$A$11,1))+1)-INDEX(Reference!$B$6:$B$11,MIN(5,MATCH(MAX(Reference!$A$6,MIN(Reference!$A$11,MIN($U175,270))),Reference!$A$6:$A$11,1))))/(INDEX(Reference!$A$6:$A$11,MIN(5,MATCH(MAX(Reference!$A$6,MIN(Reference!$A$11,MIN($U175,270))),Reference!$A$6:$A$11,1))+1)-INDEX(Reference!$A$6:$A$11,MIN(5,MATCH(MAX(Reference!$A$6,MIN(Reference!$A$11,MIN($U175,270))),Reference!$A$6:$A$11,1))))),0)+IF(8&lt;=$AL175,($AL175-8+3)*(INDEX(Reference!$B$6:$B$11,MIN(5,MATCH(MAX(Reference!$A$6,MIN(Reference!$A$11,MIN($U175,300))),Reference!$A$6:$A$11,1)))+(MAX(Reference!$A$6,MIN(Reference!$A$11,MIN($U175,300)))-INDEX(Reference!$A$6:$A$11,MIN(5,MATCH(MAX(Reference!$A$6,MIN(Reference!$A$11,MIN($U175,300))),Reference!$A$6:$A$11,1))))*(INDEX(Reference!$B$6:$B$11,MIN(5,MATCH(MAX(Reference!$A$6,MIN(Reference!$A$11,MIN($U175,300))),Reference!$A$6:$A$11,1))+1)-INDEX(Reference!$B$6:$B$11,MIN(5,MATCH(MAX(Reference!$A$6,MIN(Reference!$A$11,MIN($U175,300))),Reference!$A$6:$A$11,1))))/(INDEX(Reference!$A$6:$A$11,MIN(5,MATCH(MAX(Reference!$A$6,MIN(Reference!$A$11,MIN($U175,300))),Reference!$A$6:$A$11,1))+1)-INDEX(Reference!$A$6:$A$11,MIN(5,MATCH(MAX(Reference!$A$6,MIN(Reference!$A$11,MIN($U175,300))),Reference!$A$6:$A$11,1))))),0))/($AL175*($AL175+5)/2)),$AN175))</f>
        <v>0</v>
      </c>
      <c r="AN175" s="32">
        <f>IF($U175="",0,(INDEX(Reference!$B$6:$B$11,MIN(5,MATCH(MAX(Reference!$A$6,MIN(Reference!$A$11,$U175)),Reference!$A$6:$A$11,1)))+(MAX(Reference!$A$6,MIN(Reference!$A$11,$U175))-INDEX(Reference!$A$6:$A$11,MIN(5,MATCH(MAX(Reference!$A$6,MIN(Reference!$A$11,$U175)),Reference!$A$6:$A$11,1))))*(INDEX(Reference!$B$6:$B$11,MIN(5,MATCH(MAX(Reference!$A$6,MIN(Reference!$A$11,$U175)),Reference!$A$6:$A$11,1))+1)-INDEX(Reference!$B$6:$B$11,MIN(5,MATCH(MAX(Reference!$A$6,MIN(Reference!$A$11,$U175)),Reference!$A$6:$A$11,1))))/(INDEX(Reference!$A$6:$A$11,MIN(5,MATCH(MAX(Reference!$A$6,MIN(Reference!$A$11,$U175)),Reference!$A$6:$A$11,1))+1)-INDEX(Reference!$A$6:$A$11,MIN(5,MATCH(MAX(Reference!$A$6,MIN(Reference!$A$11,$U175)),Reference!$A$6:$A$11,1))))))</f>
        <v>0</v>
      </c>
      <c r="AO175" s="37"/>
      <c r="AP175" s="37"/>
      <c r="AQ175" s="37"/>
    </row>
    <row r="176" spans="1:43" x14ac:dyDescent="0.3">
      <c r="A176" s="48" t="str">
        <f t="shared" si="105"/>
        <v/>
      </c>
      <c r="B176" s="32" t="str">
        <f t="shared" si="106"/>
        <v/>
      </c>
      <c r="C176" s="32" t="str">
        <f t="shared" si="107"/>
        <v/>
      </c>
      <c r="D176" s="32" t="str">
        <f t="shared" si="108"/>
        <v/>
      </c>
      <c r="E176" s="32" t="str">
        <f t="shared" si="109"/>
        <v/>
      </c>
      <c r="F176" s="32" t="str">
        <f t="shared" si="110"/>
        <v/>
      </c>
      <c r="G176" s="47" t="str">
        <f t="shared" si="111"/>
        <v/>
      </c>
      <c r="H176" s="30" t="str">
        <f t="shared" si="112"/>
        <v/>
      </c>
      <c r="I176" s="46" t="str">
        <f>IF($A176="","",IF(AND($L176&lt;27,$K$12=0),"Building",IFERROR(((SUM($H$170:$H176)+$K$12*IF($L176&lt;6,SUMIFS('Throw Log'!$Q$5:$Q$300,'Throw Log'!$B$5:$B$300,$D$4,'Throw Log'!$A$5:$A$300,"&gt;="&amp;($D$6+$L176-6),'Throw Log'!$A$5:$A$300,"&lt;="&amp;($D$6-1)),0))/7)/((SUM($H$149:$H176)+$K$12*IF($L176&lt;27,SUMIFS('Throw Log'!$Q$5:$Q$300,'Throw Log'!$B$5:$B$300,$D$4,'Throw Log'!$A$5:$A$300,"&gt;="&amp;($D$6+$L176-27),'Throw Log'!$A$5:$A$300,"&lt;="&amp;($D$6-1)),0))/28),"")))</f>
        <v/>
      </c>
      <c r="J176" s="37"/>
      <c r="K176" s="37"/>
      <c r="L176" s="32">
        <v>133</v>
      </c>
      <c r="M176" s="32">
        <f t="shared" si="113"/>
        <v>20</v>
      </c>
      <c r="N176" s="32">
        <f t="shared" si="114"/>
        <v>0</v>
      </c>
      <c r="O176" s="32">
        <f t="shared" si="115"/>
        <v>1</v>
      </c>
      <c r="P176" s="32" t="str">
        <f>IF(OR($A176="",N($C176)&lt;=7),"",$G$6*$G$9^($M176-1)*IF(AND(MOD($M176,Reference!$B$99)=0,$M176&lt;=$G$5-2),Reference!$B$100,1))</f>
        <v/>
      </c>
      <c r="Q176" s="32" t="str">
        <f>IF($P176="","",IF(SUM($AK$176:$AK$182)=0,0,$P176*INDEX(Reference!$B$108:$B$114,$N176+1)/SUM($AK$176:$AK$182)))</f>
        <v/>
      </c>
      <c r="R176" s="32">
        <f t="shared" si="116"/>
        <v>180</v>
      </c>
      <c r="S176" s="32">
        <f t="shared" si="117"/>
        <v>150</v>
      </c>
      <c r="T176" s="32" t="str">
        <f>IF($A176="","",IF($C176=0,"Bullpen",IF(OR($C176=7,$C176=1,$C176=5),"Recovery/Easy Catch",IF($C176=6,"Compression/Pulldowns",IF(OR($C176=4,$C176=2),"Long Toss",IF($C176=3,"No Throw",IF($N176=2,"No Throw",IF($N176=6,IF($O176&lt;Reference!$B$104,"No Throw","Recovery/Easy Catch"),IF(OR($N176=0,$N176=4),"Recovery/Easy Catch",IF($N176=1,IF($R176&gt;75,"Long Toss","Recovery/Easy Catch"),IF($N176=3,IF($O176&lt;0.5,IF($S176&gt;75,"Long Toss","Recovery/Easy Catch"),"Compression/Pulldowns"),IF($S176&gt;75,"Long Toss","Recovery/Easy Catch"))))))))))))</f>
        <v/>
      </c>
      <c r="U176" s="32" t="str">
        <f t="shared" si="118"/>
        <v/>
      </c>
      <c r="V176" s="32" t="str">
        <f t="shared" si="119"/>
        <v/>
      </c>
      <c r="W176" s="32" t="str">
        <f t="shared" si="120"/>
        <v/>
      </c>
      <c r="X176" s="32">
        <f t="shared" si="121"/>
        <v>0</v>
      </c>
      <c r="Y176" s="32" t="str">
        <f t="shared" si="122"/>
        <v/>
      </c>
      <c r="Z176" s="32" t="str">
        <f t="shared" si="123"/>
        <v/>
      </c>
      <c r="AA176" s="32" t="str">
        <f t="shared" si="124"/>
        <v/>
      </c>
      <c r="AB176" s="32" t="str">
        <f>IF($A176="","",IF($T176="No Throw",0,IF($K176&lt;&gt;"",$K176,IF($AA176&lt;&gt;"",ROUND($AA176*$D$12*IF($C176=0,1,$G$10),0),MIN(IF($T176="Recovery/Easy Catch",Reference!$B$103,IF($T176="Long Toss",Reference!$B$106,Reference!$B$102)),MAX(Reference!$B$101,ROUND(MAX(0,$Q176-$AE176)/$AF176,0)))))))</f>
        <v/>
      </c>
      <c r="AC176" s="32">
        <f t="shared" si="125"/>
        <v>0</v>
      </c>
      <c r="AD176" s="32" t="b">
        <f t="shared" si="126"/>
        <v>1</v>
      </c>
      <c r="AE176" s="32">
        <f>IF($X176=0,0,$X176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176+$Z176)/2,0),Reference!$A$17:$B$20,2,TRUE()))</f>
        <v>0</v>
      </c>
      <c r="AF176" s="32">
        <f>IF(OR($A176="",$U176="",$T176="No Throw"),0,$AM176*VLOOKUP(MAX(($V176+$W176)/2,0),Reference!$A$17:$B$20,2,TRUE()))</f>
        <v>0</v>
      </c>
      <c r="AG176" s="32">
        <f>IF($AC176=0,0,$AC176*INDEX(Reference!$B$61:$B$62,MATCH("Bullpen",Reference!$A$61:$A$62,0))*VLOOKUP(MAX($D$5-($D$9+$E$9)/2,0),Reference!$A$17:$B$20,2,TRUE()))</f>
        <v>0</v>
      </c>
      <c r="AH176" s="32" t="e">
        <f t="shared" si="127"/>
        <v>#N/A</v>
      </c>
      <c r="AI176" s="32" t="e">
        <f>IF($A176="",NA(),Reference!$A$25)</f>
        <v>#N/A</v>
      </c>
      <c r="AJ176" s="32" t="e">
        <f t="shared" si="128"/>
        <v>#N/A</v>
      </c>
      <c r="AK176" s="32">
        <f>IF(OR($A176="",N($C176)&lt;=7,$T176="No Throw",$J176="x"),0,INDEX(Reference!$B$108:$B$114,$N176+1))</f>
        <v>0</v>
      </c>
      <c r="AL176" s="32">
        <f t="shared" si="129"/>
        <v>1</v>
      </c>
      <c r="AM176" s="32">
        <f>IF($U176="",0,IF($AL176&gt;1,((IF(1&lt;=$AL176,($AL176-1+3)*(INDEX(Reference!$B$6:$B$11,MIN(5,MATCH(MAX(Reference!$A$6,MIN(Reference!$A$11,MIN($U176,90))),Reference!$A$6:$A$11,1)))+(MAX(Reference!$A$6,MIN(Reference!$A$11,MIN($U176,90)))-INDEX(Reference!$A$6:$A$11,MIN(5,MATCH(MAX(Reference!$A$6,MIN(Reference!$A$11,MIN($U176,90))),Reference!$A$6:$A$11,1))))*(INDEX(Reference!$B$6:$B$11,MIN(5,MATCH(MAX(Reference!$A$6,MIN(Reference!$A$11,MIN($U176,90))),Reference!$A$6:$A$11,1))+1)-INDEX(Reference!$B$6:$B$11,MIN(5,MATCH(MAX(Reference!$A$6,MIN(Reference!$A$11,MIN($U176,90))),Reference!$A$6:$A$11,1))))/(INDEX(Reference!$A$6:$A$11,MIN(5,MATCH(MAX(Reference!$A$6,MIN(Reference!$A$11,MIN($U176,90))),Reference!$A$6:$A$11,1))+1)-INDEX(Reference!$A$6:$A$11,MIN(5,MATCH(MAX(Reference!$A$6,MIN(Reference!$A$11,MIN($U176,90))),Reference!$A$6:$A$11,1))))),0)+IF(2&lt;=$AL176,($AL176-2+3)*(INDEX(Reference!$B$6:$B$11,MIN(5,MATCH(MAX(Reference!$A$6,MIN(Reference!$A$11,MIN($U176,120))),Reference!$A$6:$A$11,1)))+(MAX(Reference!$A$6,MIN(Reference!$A$11,MIN($U176,120)))-INDEX(Reference!$A$6:$A$11,MIN(5,MATCH(MAX(Reference!$A$6,MIN(Reference!$A$11,MIN($U176,120))),Reference!$A$6:$A$11,1))))*(INDEX(Reference!$B$6:$B$11,MIN(5,MATCH(MAX(Reference!$A$6,MIN(Reference!$A$11,MIN($U176,120))),Reference!$A$6:$A$11,1))+1)-INDEX(Reference!$B$6:$B$11,MIN(5,MATCH(MAX(Reference!$A$6,MIN(Reference!$A$11,MIN($U176,120))),Reference!$A$6:$A$11,1))))/(INDEX(Reference!$A$6:$A$11,MIN(5,MATCH(MAX(Reference!$A$6,MIN(Reference!$A$11,MIN($U176,120))),Reference!$A$6:$A$11,1))+1)-INDEX(Reference!$A$6:$A$11,MIN(5,MATCH(MAX(Reference!$A$6,MIN(Reference!$A$11,MIN($U176,120))),Reference!$A$6:$A$11,1))))),0)+IF(3&lt;=$AL176,($AL176-3+3)*(INDEX(Reference!$B$6:$B$11,MIN(5,MATCH(MAX(Reference!$A$6,MIN(Reference!$A$11,MIN($U176,150))),Reference!$A$6:$A$11,1)))+(MAX(Reference!$A$6,MIN(Reference!$A$11,MIN($U176,150)))-INDEX(Reference!$A$6:$A$11,MIN(5,MATCH(MAX(Reference!$A$6,MIN(Reference!$A$11,MIN($U176,150))),Reference!$A$6:$A$11,1))))*(INDEX(Reference!$B$6:$B$11,MIN(5,MATCH(MAX(Reference!$A$6,MIN(Reference!$A$11,MIN($U176,150))),Reference!$A$6:$A$11,1))+1)-INDEX(Reference!$B$6:$B$11,MIN(5,MATCH(MAX(Reference!$A$6,MIN(Reference!$A$11,MIN($U176,150))),Reference!$A$6:$A$11,1))))/(INDEX(Reference!$A$6:$A$11,MIN(5,MATCH(MAX(Reference!$A$6,MIN(Reference!$A$11,MIN($U176,150))),Reference!$A$6:$A$11,1))+1)-INDEX(Reference!$A$6:$A$11,MIN(5,MATCH(MAX(Reference!$A$6,MIN(Reference!$A$11,MIN($U176,150))),Reference!$A$6:$A$11,1))))),0)+IF(4&lt;=$AL176,($AL176-4+3)*(INDEX(Reference!$B$6:$B$11,MIN(5,MATCH(MAX(Reference!$A$6,MIN(Reference!$A$11,MIN($U176,180))),Reference!$A$6:$A$11,1)))+(MAX(Reference!$A$6,MIN(Reference!$A$11,MIN($U176,180)))-INDEX(Reference!$A$6:$A$11,MIN(5,MATCH(MAX(Reference!$A$6,MIN(Reference!$A$11,MIN($U176,180))),Reference!$A$6:$A$11,1))))*(INDEX(Reference!$B$6:$B$11,MIN(5,MATCH(MAX(Reference!$A$6,MIN(Reference!$A$11,MIN($U176,180))),Reference!$A$6:$A$11,1))+1)-INDEX(Reference!$B$6:$B$11,MIN(5,MATCH(MAX(Reference!$A$6,MIN(Reference!$A$11,MIN($U176,180))),Reference!$A$6:$A$11,1))))/(INDEX(Reference!$A$6:$A$11,MIN(5,MATCH(MAX(Reference!$A$6,MIN(Reference!$A$11,MIN($U176,180))),Reference!$A$6:$A$11,1))+1)-INDEX(Reference!$A$6:$A$11,MIN(5,MATCH(MAX(Reference!$A$6,MIN(Reference!$A$11,MIN($U176,180))),Reference!$A$6:$A$11,1))))),0)+IF(5&lt;=$AL176,($AL176-5+3)*(INDEX(Reference!$B$6:$B$11,MIN(5,MATCH(MAX(Reference!$A$6,MIN(Reference!$A$11,MIN($U176,210))),Reference!$A$6:$A$11,1)))+(MAX(Reference!$A$6,MIN(Reference!$A$11,MIN($U176,210)))-INDEX(Reference!$A$6:$A$11,MIN(5,MATCH(MAX(Reference!$A$6,MIN(Reference!$A$11,MIN($U176,210))),Reference!$A$6:$A$11,1))))*(INDEX(Reference!$B$6:$B$11,MIN(5,MATCH(MAX(Reference!$A$6,MIN(Reference!$A$11,MIN($U176,210))),Reference!$A$6:$A$11,1))+1)-INDEX(Reference!$B$6:$B$11,MIN(5,MATCH(MAX(Reference!$A$6,MIN(Reference!$A$11,MIN($U176,210))),Reference!$A$6:$A$11,1))))/(INDEX(Reference!$A$6:$A$11,MIN(5,MATCH(MAX(Reference!$A$6,MIN(Reference!$A$11,MIN($U176,210))),Reference!$A$6:$A$11,1))+1)-INDEX(Reference!$A$6:$A$11,MIN(5,MATCH(MAX(Reference!$A$6,MIN(Reference!$A$11,MIN($U176,210))),Reference!$A$6:$A$11,1))))),0)+IF(6&lt;=$AL176,($AL176-6+3)*(INDEX(Reference!$B$6:$B$11,MIN(5,MATCH(MAX(Reference!$A$6,MIN(Reference!$A$11,MIN($U176,240))),Reference!$A$6:$A$11,1)))+(MAX(Reference!$A$6,MIN(Reference!$A$11,MIN($U176,240)))-INDEX(Reference!$A$6:$A$11,MIN(5,MATCH(MAX(Reference!$A$6,MIN(Reference!$A$11,MIN($U176,240))),Reference!$A$6:$A$11,1))))*(INDEX(Reference!$B$6:$B$11,MIN(5,MATCH(MAX(Reference!$A$6,MIN(Reference!$A$11,MIN($U176,240))),Reference!$A$6:$A$11,1))+1)-INDEX(Reference!$B$6:$B$11,MIN(5,MATCH(MAX(Reference!$A$6,MIN(Reference!$A$11,MIN($U176,240))),Reference!$A$6:$A$11,1))))/(INDEX(Reference!$A$6:$A$11,MIN(5,MATCH(MAX(Reference!$A$6,MIN(Reference!$A$11,MIN($U176,240))),Reference!$A$6:$A$11,1))+1)-INDEX(Reference!$A$6:$A$11,MIN(5,MATCH(MAX(Reference!$A$6,MIN(Reference!$A$11,MIN($U176,240))),Reference!$A$6:$A$11,1))))),0)+IF(7&lt;=$AL176,($AL176-7+3)*(INDEX(Reference!$B$6:$B$11,MIN(5,MATCH(MAX(Reference!$A$6,MIN(Reference!$A$11,MIN($U176,270))),Reference!$A$6:$A$11,1)))+(MAX(Reference!$A$6,MIN(Reference!$A$11,MIN($U176,270)))-INDEX(Reference!$A$6:$A$11,MIN(5,MATCH(MAX(Reference!$A$6,MIN(Reference!$A$11,MIN($U176,270))),Reference!$A$6:$A$11,1))))*(INDEX(Reference!$B$6:$B$11,MIN(5,MATCH(MAX(Reference!$A$6,MIN(Reference!$A$11,MIN($U176,270))),Reference!$A$6:$A$11,1))+1)-INDEX(Reference!$B$6:$B$11,MIN(5,MATCH(MAX(Reference!$A$6,MIN(Reference!$A$11,MIN($U176,270))),Reference!$A$6:$A$11,1))))/(INDEX(Reference!$A$6:$A$11,MIN(5,MATCH(MAX(Reference!$A$6,MIN(Reference!$A$11,MIN($U176,270))),Reference!$A$6:$A$11,1))+1)-INDEX(Reference!$A$6:$A$11,MIN(5,MATCH(MAX(Reference!$A$6,MIN(Reference!$A$11,MIN($U176,270))),Reference!$A$6:$A$11,1))))),0)+IF(8&lt;=$AL176,($AL176-8+3)*(INDEX(Reference!$B$6:$B$11,MIN(5,MATCH(MAX(Reference!$A$6,MIN(Reference!$A$11,MIN($U176,300))),Reference!$A$6:$A$11,1)))+(MAX(Reference!$A$6,MIN(Reference!$A$11,MIN($U176,300)))-INDEX(Reference!$A$6:$A$11,MIN(5,MATCH(MAX(Reference!$A$6,MIN(Reference!$A$11,MIN($U176,300))),Reference!$A$6:$A$11,1))))*(INDEX(Reference!$B$6:$B$11,MIN(5,MATCH(MAX(Reference!$A$6,MIN(Reference!$A$11,MIN($U176,300))),Reference!$A$6:$A$11,1))+1)-INDEX(Reference!$B$6:$B$11,MIN(5,MATCH(MAX(Reference!$A$6,MIN(Reference!$A$11,MIN($U176,300))),Reference!$A$6:$A$11,1))))/(INDEX(Reference!$A$6:$A$11,MIN(5,MATCH(MAX(Reference!$A$6,MIN(Reference!$A$11,MIN($U176,300))),Reference!$A$6:$A$11,1))+1)-INDEX(Reference!$A$6:$A$11,MIN(5,MATCH(MAX(Reference!$A$6,MIN(Reference!$A$11,MIN($U176,300))),Reference!$A$6:$A$11,1))))),0))/($AL176*($AL176+5)/2)),$AN176))</f>
        <v>0</v>
      </c>
      <c r="AN176" s="32">
        <f>IF($U176="",0,(INDEX(Reference!$B$6:$B$11,MIN(5,MATCH(MAX(Reference!$A$6,MIN(Reference!$A$11,$U176)),Reference!$A$6:$A$11,1)))+(MAX(Reference!$A$6,MIN(Reference!$A$11,$U176))-INDEX(Reference!$A$6:$A$11,MIN(5,MATCH(MAX(Reference!$A$6,MIN(Reference!$A$11,$U176)),Reference!$A$6:$A$11,1))))*(INDEX(Reference!$B$6:$B$11,MIN(5,MATCH(MAX(Reference!$A$6,MIN(Reference!$A$11,$U176)),Reference!$A$6:$A$11,1))+1)-INDEX(Reference!$B$6:$B$11,MIN(5,MATCH(MAX(Reference!$A$6,MIN(Reference!$A$11,$U176)),Reference!$A$6:$A$11,1))))/(INDEX(Reference!$A$6:$A$11,MIN(5,MATCH(MAX(Reference!$A$6,MIN(Reference!$A$11,$U176)),Reference!$A$6:$A$11,1))+1)-INDEX(Reference!$A$6:$A$11,MIN(5,MATCH(MAX(Reference!$A$6,MIN(Reference!$A$11,$U176)),Reference!$A$6:$A$11,1))))))</f>
        <v>0</v>
      </c>
      <c r="AO176" s="37"/>
      <c r="AP176" s="37"/>
      <c r="AQ176" s="37"/>
    </row>
    <row r="177" spans="1:43" x14ac:dyDescent="0.3">
      <c r="A177" s="48" t="str">
        <f t="shared" si="105"/>
        <v/>
      </c>
      <c r="B177" s="32" t="str">
        <f t="shared" si="106"/>
        <v/>
      </c>
      <c r="C177" s="32" t="str">
        <f t="shared" si="107"/>
        <v/>
      </c>
      <c r="D177" s="32" t="str">
        <f t="shared" si="108"/>
        <v/>
      </c>
      <c r="E177" s="32" t="str">
        <f t="shared" si="109"/>
        <v/>
      </c>
      <c r="F177" s="32" t="str">
        <f t="shared" si="110"/>
        <v/>
      </c>
      <c r="G177" s="47" t="str">
        <f t="shared" si="111"/>
        <v/>
      </c>
      <c r="H177" s="30" t="str">
        <f t="shared" si="112"/>
        <v/>
      </c>
      <c r="I177" s="46" t="str">
        <f>IF($A177="","",IF(AND($L177&lt;27,$K$12=0),"Building",IFERROR(((SUM($H$171:$H177)+$K$12*IF($L177&lt;6,SUMIFS('Throw Log'!$Q$5:$Q$300,'Throw Log'!$B$5:$B$300,$D$4,'Throw Log'!$A$5:$A$300,"&gt;="&amp;($D$6+$L177-6),'Throw Log'!$A$5:$A$300,"&lt;="&amp;($D$6-1)),0))/7)/((SUM($H$150:$H177)+$K$12*IF($L177&lt;27,SUMIFS('Throw Log'!$Q$5:$Q$300,'Throw Log'!$B$5:$B$300,$D$4,'Throw Log'!$A$5:$A$300,"&gt;="&amp;($D$6+$L177-27),'Throw Log'!$A$5:$A$300,"&lt;="&amp;($D$6-1)),0))/28),"")))</f>
        <v/>
      </c>
      <c r="J177" s="37"/>
      <c r="K177" s="37"/>
      <c r="L177" s="32">
        <v>134</v>
      </c>
      <c r="M177" s="32">
        <f t="shared" si="113"/>
        <v>20</v>
      </c>
      <c r="N177" s="32">
        <f t="shared" si="114"/>
        <v>1</v>
      </c>
      <c r="O177" s="32">
        <f t="shared" si="115"/>
        <v>1</v>
      </c>
      <c r="P177" s="32" t="str">
        <f>IF(OR($A177="",N($C177)&lt;=7),"",$G$6*$G$9^($M177-1)*IF(AND(MOD($M177,Reference!$B$99)=0,$M177&lt;=$G$5-2),Reference!$B$100,1))</f>
        <v/>
      </c>
      <c r="Q177" s="32" t="str">
        <f>IF($P177="","",IF(SUM($AK$176:$AK$182)=0,0,$P177*INDEX(Reference!$B$108:$B$114,$N177+1)/SUM($AK$176:$AK$182)))</f>
        <v/>
      </c>
      <c r="R177" s="32">
        <f t="shared" si="116"/>
        <v>180</v>
      </c>
      <c r="S177" s="32">
        <f t="shared" si="117"/>
        <v>150</v>
      </c>
      <c r="T177" s="32" t="str">
        <f>IF($A177="","",IF($C177=0,"Bullpen",IF(OR($C177=7,$C177=1,$C177=5),"Recovery/Easy Catch",IF($C177=6,"Compression/Pulldowns",IF(OR($C177=4,$C177=2),"Long Toss",IF($C177=3,"No Throw",IF($N177=2,"No Throw",IF($N177=6,IF($O177&lt;Reference!$B$104,"No Throw","Recovery/Easy Catch"),IF(OR($N177=0,$N177=4),"Recovery/Easy Catch",IF($N177=1,IF($R177&gt;75,"Long Toss","Recovery/Easy Catch"),IF($N177=3,IF($O177&lt;0.5,IF($S177&gt;75,"Long Toss","Recovery/Easy Catch"),"Compression/Pulldowns"),IF($S177&gt;75,"Long Toss","Recovery/Easy Catch"))))))))))))</f>
        <v/>
      </c>
      <c r="U177" s="32" t="str">
        <f t="shared" si="118"/>
        <v/>
      </c>
      <c r="V177" s="32" t="str">
        <f t="shared" si="119"/>
        <v/>
      </c>
      <c r="W177" s="32" t="str">
        <f t="shared" si="120"/>
        <v/>
      </c>
      <c r="X177" s="32">
        <f t="shared" si="121"/>
        <v>0</v>
      </c>
      <c r="Y177" s="32" t="str">
        <f t="shared" si="122"/>
        <v/>
      </c>
      <c r="Z177" s="32" t="str">
        <f t="shared" si="123"/>
        <v/>
      </c>
      <c r="AA177" s="32" t="str">
        <f t="shared" si="124"/>
        <v/>
      </c>
      <c r="AB177" s="32" t="str">
        <f>IF($A177="","",IF($T177="No Throw",0,IF($K177&lt;&gt;"",$K177,IF($AA177&lt;&gt;"",ROUND($AA177*$D$12*IF($C177=0,1,$G$10),0),MIN(IF($T177="Recovery/Easy Catch",Reference!$B$103,IF($T177="Long Toss",Reference!$B$106,Reference!$B$102)),MAX(Reference!$B$101,ROUND(MAX(0,$Q177-$AE177)/$AF177,0)))))))</f>
        <v/>
      </c>
      <c r="AC177" s="32">
        <f t="shared" si="125"/>
        <v>0</v>
      </c>
      <c r="AD177" s="32" t="b">
        <f t="shared" si="126"/>
        <v>1</v>
      </c>
      <c r="AE177" s="32">
        <f>IF($X177=0,0,$X177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177+$Z177)/2,0),Reference!$A$17:$B$20,2,TRUE()))</f>
        <v>0</v>
      </c>
      <c r="AF177" s="32">
        <f>IF(OR($A177="",$U177="",$T177="No Throw"),0,$AM177*VLOOKUP(MAX(($V177+$W177)/2,0),Reference!$A$17:$B$20,2,TRUE()))</f>
        <v>0</v>
      </c>
      <c r="AG177" s="32">
        <f>IF($AC177=0,0,$AC177*INDEX(Reference!$B$61:$B$62,MATCH("Bullpen",Reference!$A$61:$A$62,0))*VLOOKUP(MAX($D$5-($D$9+$E$9)/2,0),Reference!$A$17:$B$20,2,TRUE()))</f>
        <v>0</v>
      </c>
      <c r="AH177" s="32" t="e">
        <f t="shared" si="127"/>
        <v>#N/A</v>
      </c>
      <c r="AI177" s="32" t="e">
        <f>IF($A177="",NA(),Reference!$A$25)</f>
        <v>#N/A</v>
      </c>
      <c r="AJ177" s="32" t="e">
        <f t="shared" si="128"/>
        <v>#N/A</v>
      </c>
      <c r="AK177" s="32">
        <f>IF(OR($A177="",N($C177)&lt;=7,$T177="No Throw",$J177="x"),0,INDEX(Reference!$B$108:$B$114,$N177+1))</f>
        <v>0</v>
      </c>
      <c r="AL177" s="32">
        <f t="shared" si="129"/>
        <v>1</v>
      </c>
      <c r="AM177" s="32">
        <f>IF($U177="",0,IF($AL177&gt;1,((IF(1&lt;=$AL177,($AL177-1+3)*(INDEX(Reference!$B$6:$B$11,MIN(5,MATCH(MAX(Reference!$A$6,MIN(Reference!$A$11,MIN($U177,90))),Reference!$A$6:$A$11,1)))+(MAX(Reference!$A$6,MIN(Reference!$A$11,MIN($U177,90)))-INDEX(Reference!$A$6:$A$11,MIN(5,MATCH(MAX(Reference!$A$6,MIN(Reference!$A$11,MIN($U177,90))),Reference!$A$6:$A$11,1))))*(INDEX(Reference!$B$6:$B$11,MIN(5,MATCH(MAX(Reference!$A$6,MIN(Reference!$A$11,MIN($U177,90))),Reference!$A$6:$A$11,1))+1)-INDEX(Reference!$B$6:$B$11,MIN(5,MATCH(MAX(Reference!$A$6,MIN(Reference!$A$11,MIN($U177,90))),Reference!$A$6:$A$11,1))))/(INDEX(Reference!$A$6:$A$11,MIN(5,MATCH(MAX(Reference!$A$6,MIN(Reference!$A$11,MIN($U177,90))),Reference!$A$6:$A$11,1))+1)-INDEX(Reference!$A$6:$A$11,MIN(5,MATCH(MAX(Reference!$A$6,MIN(Reference!$A$11,MIN($U177,90))),Reference!$A$6:$A$11,1))))),0)+IF(2&lt;=$AL177,($AL177-2+3)*(INDEX(Reference!$B$6:$B$11,MIN(5,MATCH(MAX(Reference!$A$6,MIN(Reference!$A$11,MIN($U177,120))),Reference!$A$6:$A$11,1)))+(MAX(Reference!$A$6,MIN(Reference!$A$11,MIN($U177,120)))-INDEX(Reference!$A$6:$A$11,MIN(5,MATCH(MAX(Reference!$A$6,MIN(Reference!$A$11,MIN($U177,120))),Reference!$A$6:$A$11,1))))*(INDEX(Reference!$B$6:$B$11,MIN(5,MATCH(MAX(Reference!$A$6,MIN(Reference!$A$11,MIN($U177,120))),Reference!$A$6:$A$11,1))+1)-INDEX(Reference!$B$6:$B$11,MIN(5,MATCH(MAX(Reference!$A$6,MIN(Reference!$A$11,MIN($U177,120))),Reference!$A$6:$A$11,1))))/(INDEX(Reference!$A$6:$A$11,MIN(5,MATCH(MAX(Reference!$A$6,MIN(Reference!$A$11,MIN($U177,120))),Reference!$A$6:$A$11,1))+1)-INDEX(Reference!$A$6:$A$11,MIN(5,MATCH(MAX(Reference!$A$6,MIN(Reference!$A$11,MIN($U177,120))),Reference!$A$6:$A$11,1))))),0)+IF(3&lt;=$AL177,($AL177-3+3)*(INDEX(Reference!$B$6:$B$11,MIN(5,MATCH(MAX(Reference!$A$6,MIN(Reference!$A$11,MIN($U177,150))),Reference!$A$6:$A$11,1)))+(MAX(Reference!$A$6,MIN(Reference!$A$11,MIN($U177,150)))-INDEX(Reference!$A$6:$A$11,MIN(5,MATCH(MAX(Reference!$A$6,MIN(Reference!$A$11,MIN($U177,150))),Reference!$A$6:$A$11,1))))*(INDEX(Reference!$B$6:$B$11,MIN(5,MATCH(MAX(Reference!$A$6,MIN(Reference!$A$11,MIN($U177,150))),Reference!$A$6:$A$11,1))+1)-INDEX(Reference!$B$6:$B$11,MIN(5,MATCH(MAX(Reference!$A$6,MIN(Reference!$A$11,MIN($U177,150))),Reference!$A$6:$A$11,1))))/(INDEX(Reference!$A$6:$A$11,MIN(5,MATCH(MAX(Reference!$A$6,MIN(Reference!$A$11,MIN($U177,150))),Reference!$A$6:$A$11,1))+1)-INDEX(Reference!$A$6:$A$11,MIN(5,MATCH(MAX(Reference!$A$6,MIN(Reference!$A$11,MIN($U177,150))),Reference!$A$6:$A$11,1))))),0)+IF(4&lt;=$AL177,($AL177-4+3)*(INDEX(Reference!$B$6:$B$11,MIN(5,MATCH(MAX(Reference!$A$6,MIN(Reference!$A$11,MIN($U177,180))),Reference!$A$6:$A$11,1)))+(MAX(Reference!$A$6,MIN(Reference!$A$11,MIN($U177,180)))-INDEX(Reference!$A$6:$A$11,MIN(5,MATCH(MAX(Reference!$A$6,MIN(Reference!$A$11,MIN($U177,180))),Reference!$A$6:$A$11,1))))*(INDEX(Reference!$B$6:$B$11,MIN(5,MATCH(MAX(Reference!$A$6,MIN(Reference!$A$11,MIN($U177,180))),Reference!$A$6:$A$11,1))+1)-INDEX(Reference!$B$6:$B$11,MIN(5,MATCH(MAX(Reference!$A$6,MIN(Reference!$A$11,MIN($U177,180))),Reference!$A$6:$A$11,1))))/(INDEX(Reference!$A$6:$A$11,MIN(5,MATCH(MAX(Reference!$A$6,MIN(Reference!$A$11,MIN($U177,180))),Reference!$A$6:$A$11,1))+1)-INDEX(Reference!$A$6:$A$11,MIN(5,MATCH(MAX(Reference!$A$6,MIN(Reference!$A$11,MIN($U177,180))),Reference!$A$6:$A$11,1))))),0)+IF(5&lt;=$AL177,($AL177-5+3)*(INDEX(Reference!$B$6:$B$11,MIN(5,MATCH(MAX(Reference!$A$6,MIN(Reference!$A$11,MIN($U177,210))),Reference!$A$6:$A$11,1)))+(MAX(Reference!$A$6,MIN(Reference!$A$11,MIN($U177,210)))-INDEX(Reference!$A$6:$A$11,MIN(5,MATCH(MAX(Reference!$A$6,MIN(Reference!$A$11,MIN($U177,210))),Reference!$A$6:$A$11,1))))*(INDEX(Reference!$B$6:$B$11,MIN(5,MATCH(MAX(Reference!$A$6,MIN(Reference!$A$11,MIN($U177,210))),Reference!$A$6:$A$11,1))+1)-INDEX(Reference!$B$6:$B$11,MIN(5,MATCH(MAX(Reference!$A$6,MIN(Reference!$A$11,MIN($U177,210))),Reference!$A$6:$A$11,1))))/(INDEX(Reference!$A$6:$A$11,MIN(5,MATCH(MAX(Reference!$A$6,MIN(Reference!$A$11,MIN($U177,210))),Reference!$A$6:$A$11,1))+1)-INDEX(Reference!$A$6:$A$11,MIN(5,MATCH(MAX(Reference!$A$6,MIN(Reference!$A$11,MIN($U177,210))),Reference!$A$6:$A$11,1))))),0)+IF(6&lt;=$AL177,($AL177-6+3)*(INDEX(Reference!$B$6:$B$11,MIN(5,MATCH(MAX(Reference!$A$6,MIN(Reference!$A$11,MIN($U177,240))),Reference!$A$6:$A$11,1)))+(MAX(Reference!$A$6,MIN(Reference!$A$11,MIN($U177,240)))-INDEX(Reference!$A$6:$A$11,MIN(5,MATCH(MAX(Reference!$A$6,MIN(Reference!$A$11,MIN($U177,240))),Reference!$A$6:$A$11,1))))*(INDEX(Reference!$B$6:$B$11,MIN(5,MATCH(MAX(Reference!$A$6,MIN(Reference!$A$11,MIN($U177,240))),Reference!$A$6:$A$11,1))+1)-INDEX(Reference!$B$6:$B$11,MIN(5,MATCH(MAX(Reference!$A$6,MIN(Reference!$A$11,MIN($U177,240))),Reference!$A$6:$A$11,1))))/(INDEX(Reference!$A$6:$A$11,MIN(5,MATCH(MAX(Reference!$A$6,MIN(Reference!$A$11,MIN($U177,240))),Reference!$A$6:$A$11,1))+1)-INDEX(Reference!$A$6:$A$11,MIN(5,MATCH(MAX(Reference!$A$6,MIN(Reference!$A$11,MIN($U177,240))),Reference!$A$6:$A$11,1))))),0)+IF(7&lt;=$AL177,($AL177-7+3)*(INDEX(Reference!$B$6:$B$11,MIN(5,MATCH(MAX(Reference!$A$6,MIN(Reference!$A$11,MIN($U177,270))),Reference!$A$6:$A$11,1)))+(MAX(Reference!$A$6,MIN(Reference!$A$11,MIN($U177,270)))-INDEX(Reference!$A$6:$A$11,MIN(5,MATCH(MAX(Reference!$A$6,MIN(Reference!$A$11,MIN($U177,270))),Reference!$A$6:$A$11,1))))*(INDEX(Reference!$B$6:$B$11,MIN(5,MATCH(MAX(Reference!$A$6,MIN(Reference!$A$11,MIN($U177,270))),Reference!$A$6:$A$11,1))+1)-INDEX(Reference!$B$6:$B$11,MIN(5,MATCH(MAX(Reference!$A$6,MIN(Reference!$A$11,MIN($U177,270))),Reference!$A$6:$A$11,1))))/(INDEX(Reference!$A$6:$A$11,MIN(5,MATCH(MAX(Reference!$A$6,MIN(Reference!$A$11,MIN($U177,270))),Reference!$A$6:$A$11,1))+1)-INDEX(Reference!$A$6:$A$11,MIN(5,MATCH(MAX(Reference!$A$6,MIN(Reference!$A$11,MIN($U177,270))),Reference!$A$6:$A$11,1))))),0)+IF(8&lt;=$AL177,($AL177-8+3)*(INDEX(Reference!$B$6:$B$11,MIN(5,MATCH(MAX(Reference!$A$6,MIN(Reference!$A$11,MIN($U177,300))),Reference!$A$6:$A$11,1)))+(MAX(Reference!$A$6,MIN(Reference!$A$11,MIN($U177,300)))-INDEX(Reference!$A$6:$A$11,MIN(5,MATCH(MAX(Reference!$A$6,MIN(Reference!$A$11,MIN($U177,300))),Reference!$A$6:$A$11,1))))*(INDEX(Reference!$B$6:$B$11,MIN(5,MATCH(MAX(Reference!$A$6,MIN(Reference!$A$11,MIN($U177,300))),Reference!$A$6:$A$11,1))+1)-INDEX(Reference!$B$6:$B$11,MIN(5,MATCH(MAX(Reference!$A$6,MIN(Reference!$A$11,MIN($U177,300))),Reference!$A$6:$A$11,1))))/(INDEX(Reference!$A$6:$A$11,MIN(5,MATCH(MAX(Reference!$A$6,MIN(Reference!$A$11,MIN($U177,300))),Reference!$A$6:$A$11,1))+1)-INDEX(Reference!$A$6:$A$11,MIN(5,MATCH(MAX(Reference!$A$6,MIN(Reference!$A$11,MIN($U177,300))),Reference!$A$6:$A$11,1))))),0))/($AL177*($AL177+5)/2)),$AN177))</f>
        <v>0</v>
      </c>
      <c r="AN177" s="32">
        <f>IF($U177="",0,(INDEX(Reference!$B$6:$B$11,MIN(5,MATCH(MAX(Reference!$A$6,MIN(Reference!$A$11,$U177)),Reference!$A$6:$A$11,1)))+(MAX(Reference!$A$6,MIN(Reference!$A$11,$U177))-INDEX(Reference!$A$6:$A$11,MIN(5,MATCH(MAX(Reference!$A$6,MIN(Reference!$A$11,$U177)),Reference!$A$6:$A$11,1))))*(INDEX(Reference!$B$6:$B$11,MIN(5,MATCH(MAX(Reference!$A$6,MIN(Reference!$A$11,$U177)),Reference!$A$6:$A$11,1))+1)-INDEX(Reference!$B$6:$B$11,MIN(5,MATCH(MAX(Reference!$A$6,MIN(Reference!$A$11,$U177)),Reference!$A$6:$A$11,1))))/(INDEX(Reference!$A$6:$A$11,MIN(5,MATCH(MAX(Reference!$A$6,MIN(Reference!$A$11,$U177)),Reference!$A$6:$A$11,1))+1)-INDEX(Reference!$A$6:$A$11,MIN(5,MATCH(MAX(Reference!$A$6,MIN(Reference!$A$11,$U177)),Reference!$A$6:$A$11,1))))))</f>
        <v>0</v>
      </c>
      <c r="AO177" s="37"/>
      <c r="AP177" s="37"/>
      <c r="AQ177" s="37"/>
    </row>
    <row r="178" spans="1:43" x14ac:dyDescent="0.3">
      <c r="A178" s="48" t="str">
        <f t="shared" si="105"/>
        <v/>
      </c>
      <c r="B178" s="32" t="str">
        <f t="shared" si="106"/>
        <v/>
      </c>
      <c r="C178" s="32" t="str">
        <f t="shared" si="107"/>
        <v/>
      </c>
      <c r="D178" s="32" t="str">
        <f t="shared" si="108"/>
        <v/>
      </c>
      <c r="E178" s="32" t="str">
        <f t="shared" si="109"/>
        <v/>
      </c>
      <c r="F178" s="32" t="str">
        <f t="shared" si="110"/>
        <v/>
      </c>
      <c r="G178" s="47" t="str">
        <f t="shared" si="111"/>
        <v/>
      </c>
      <c r="H178" s="30" t="str">
        <f t="shared" si="112"/>
        <v/>
      </c>
      <c r="I178" s="46" t="str">
        <f>IF($A178="","",IF(AND($L178&lt;27,$K$12=0),"Building",IFERROR(((SUM($H$172:$H178)+$K$12*IF($L178&lt;6,SUMIFS('Throw Log'!$Q$5:$Q$300,'Throw Log'!$B$5:$B$300,$D$4,'Throw Log'!$A$5:$A$300,"&gt;="&amp;($D$6+$L178-6),'Throw Log'!$A$5:$A$300,"&lt;="&amp;($D$6-1)),0))/7)/((SUM($H$151:$H178)+$K$12*IF($L178&lt;27,SUMIFS('Throw Log'!$Q$5:$Q$300,'Throw Log'!$B$5:$B$300,$D$4,'Throw Log'!$A$5:$A$300,"&gt;="&amp;($D$6+$L178-27),'Throw Log'!$A$5:$A$300,"&lt;="&amp;($D$6-1)),0))/28),"")))</f>
        <v/>
      </c>
      <c r="J178" s="37"/>
      <c r="K178" s="37"/>
      <c r="L178" s="32">
        <v>135</v>
      </c>
      <c r="M178" s="32">
        <f t="shared" si="113"/>
        <v>20</v>
      </c>
      <c r="N178" s="32">
        <f t="shared" si="114"/>
        <v>2</v>
      </c>
      <c r="O178" s="32">
        <f t="shared" si="115"/>
        <v>1</v>
      </c>
      <c r="P178" s="32" t="str">
        <f>IF(OR($A178="",N($C178)&lt;=7),"",$G$6*$G$9^($M178-1)*IF(AND(MOD($M178,Reference!$B$99)=0,$M178&lt;=$G$5-2),Reference!$B$100,1))</f>
        <v/>
      </c>
      <c r="Q178" s="32" t="str">
        <f>IF($P178="","",IF(SUM($AK$176:$AK$182)=0,0,$P178*INDEX(Reference!$B$108:$B$114,$N178+1)/SUM($AK$176:$AK$182)))</f>
        <v/>
      </c>
      <c r="R178" s="32">
        <f t="shared" si="116"/>
        <v>180</v>
      </c>
      <c r="S178" s="32">
        <f t="shared" si="117"/>
        <v>150</v>
      </c>
      <c r="T178" s="32" t="str">
        <f>IF($A178="","",IF($C178=0,"Bullpen",IF(OR($C178=7,$C178=1,$C178=5),"Recovery/Easy Catch",IF($C178=6,"Compression/Pulldowns",IF(OR($C178=4,$C178=2),"Long Toss",IF($C178=3,"No Throw",IF($N178=2,"No Throw",IF($N178=6,IF($O178&lt;Reference!$B$104,"No Throw","Recovery/Easy Catch"),IF(OR($N178=0,$N178=4),"Recovery/Easy Catch",IF($N178=1,IF($R178&gt;75,"Long Toss","Recovery/Easy Catch"),IF($N178=3,IF($O178&lt;0.5,IF($S178&gt;75,"Long Toss","Recovery/Easy Catch"),"Compression/Pulldowns"),IF($S178&gt;75,"Long Toss","Recovery/Easy Catch"))))))))))))</f>
        <v/>
      </c>
      <c r="U178" s="32" t="str">
        <f t="shared" si="118"/>
        <v/>
      </c>
      <c r="V178" s="32" t="str">
        <f t="shared" si="119"/>
        <v/>
      </c>
      <c r="W178" s="32" t="str">
        <f t="shared" si="120"/>
        <v/>
      </c>
      <c r="X178" s="32">
        <f t="shared" si="121"/>
        <v>0</v>
      </c>
      <c r="Y178" s="32" t="str">
        <f t="shared" si="122"/>
        <v/>
      </c>
      <c r="Z178" s="32" t="str">
        <f t="shared" si="123"/>
        <v/>
      </c>
      <c r="AA178" s="32" t="str">
        <f t="shared" si="124"/>
        <v/>
      </c>
      <c r="AB178" s="32" t="str">
        <f>IF($A178="","",IF($T178="No Throw",0,IF($K178&lt;&gt;"",$K178,IF($AA178&lt;&gt;"",ROUND($AA178*$D$12*IF($C178=0,1,$G$10),0),MIN(IF($T178="Recovery/Easy Catch",Reference!$B$103,IF($T178="Long Toss",Reference!$B$106,Reference!$B$102)),MAX(Reference!$B$101,ROUND(MAX(0,$Q178-$AE178)/$AF178,0)))))))</f>
        <v/>
      </c>
      <c r="AC178" s="32">
        <f t="shared" si="125"/>
        <v>0</v>
      </c>
      <c r="AD178" s="32" t="b">
        <f t="shared" si="126"/>
        <v>1</v>
      </c>
      <c r="AE178" s="32">
        <f>IF($X178=0,0,$X178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178+$Z178)/2,0),Reference!$A$17:$B$20,2,TRUE()))</f>
        <v>0</v>
      </c>
      <c r="AF178" s="32">
        <f>IF(OR($A178="",$U178="",$T178="No Throw"),0,$AM178*VLOOKUP(MAX(($V178+$W178)/2,0),Reference!$A$17:$B$20,2,TRUE()))</f>
        <v>0</v>
      </c>
      <c r="AG178" s="32">
        <f>IF($AC178=0,0,$AC178*INDEX(Reference!$B$61:$B$62,MATCH("Bullpen",Reference!$A$61:$A$62,0))*VLOOKUP(MAX($D$5-($D$9+$E$9)/2,0),Reference!$A$17:$B$20,2,TRUE()))</f>
        <v>0</v>
      </c>
      <c r="AH178" s="32" t="e">
        <f t="shared" si="127"/>
        <v>#N/A</v>
      </c>
      <c r="AI178" s="32" t="e">
        <f>IF($A178="",NA(),Reference!$A$25)</f>
        <v>#N/A</v>
      </c>
      <c r="AJ178" s="32" t="e">
        <f t="shared" si="128"/>
        <v>#N/A</v>
      </c>
      <c r="AK178" s="32">
        <f>IF(OR($A178="",N($C178)&lt;=7,$T178="No Throw",$J178="x"),0,INDEX(Reference!$B$108:$B$114,$N178+1))</f>
        <v>0</v>
      </c>
      <c r="AL178" s="32">
        <f t="shared" si="129"/>
        <v>1</v>
      </c>
      <c r="AM178" s="32">
        <f>IF($U178="",0,IF($AL178&gt;1,((IF(1&lt;=$AL178,($AL178-1+3)*(INDEX(Reference!$B$6:$B$11,MIN(5,MATCH(MAX(Reference!$A$6,MIN(Reference!$A$11,MIN($U178,90))),Reference!$A$6:$A$11,1)))+(MAX(Reference!$A$6,MIN(Reference!$A$11,MIN($U178,90)))-INDEX(Reference!$A$6:$A$11,MIN(5,MATCH(MAX(Reference!$A$6,MIN(Reference!$A$11,MIN($U178,90))),Reference!$A$6:$A$11,1))))*(INDEX(Reference!$B$6:$B$11,MIN(5,MATCH(MAX(Reference!$A$6,MIN(Reference!$A$11,MIN($U178,90))),Reference!$A$6:$A$11,1))+1)-INDEX(Reference!$B$6:$B$11,MIN(5,MATCH(MAX(Reference!$A$6,MIN(Reference!$A$11,MIN($U178,90))),Reference!$A$6:$A$11,1))))/(INDEX(Reference!$A$6:$A$11,MIN(5,MATCH(MAX(Reference!$A$6,MIN(Reference!$A$11,MIN($U178,90))),Reference!$A$6:$A$11,1))+1)-INDEX(Reference!$A$6:$A$11,MIN(5,MATCH(MAX(Reference!$A$6,MIN(Reference!$A$11,MIN($U178,90))),Reference!$A$6:$A$11,1))))),0)+IF(2&lt;=$AL178,($AL178-2+3)*(INDEX(Reference!$B$6:$B$11,MIN(5,MATCH(MAX(Reference!$A$6,MIN(Reference!$A$11,MIN($U178,120))),Reference!$A$6:$A$11,1)))+(MAX(Reference!$A$6,MIN(Reference!$A$11,MIN($U178,120)))-INDEX(Reference!$A$6:$A$11,MIN(5,MATCH(MAX(Reference!$A$6,MIN(Reference!$A$11,MIN($U178,120))),Reference!$A$6:$A$11,1))))*(INDEX(Reference!$B$6:$B$11,MIN(5,MATCH(MAX(Reference!$A$6,MIN(Reference!$A$11,MIN($U178,120))),Reference!$A$6:$A$11,1))+1)-INDEX(Reference!$B$6:$B$11,MIN(5,MATCH(MAX(Reference!$A$6,MIN(Reference!$A$11,MIN($U178,120))),Reference!$A$6:$A$11,1))))/(INDEX(Reference!$A$6:$A$11,MIN(5,MATCH(MAX(Reference!$A$6,MIN(Reference!$A$11,MIN($U178,120))),Reference!$A$6:$A$11,1))+1)-INDEX(Reference!$A$6:$A$11,MIN(5,MATCH(MAX(Reference!$A$6,MIN(Reference!$A$11,MIN($U178,120))),Reference!$A$6:$A$11,1))))),0)+IF(3&lt;=$AL178,($AL178-3+3)*(INDEX(Reference!$B$6:$B$11,MIN(5,MATCH(MAX(Reference!$A$6,MIN(Reference!$A$11,MIN($U178,150))),Reference!$A$6:$A$11,1)))+(MAX(Reference!$A$6,MIN(Reference!$A$11,MIN($U178,150)))-INDEX(Reference!$A$6:$A$11,MIN(5,MATCH(MAX(Reference!$A$6,MIN(Reference!$A$11,MIN($U178,150))),Reference!$A$6:$A$11,1))))*(INDEX(Reference!$B$6:$B$11,MIN(5,MATCH(MAX(Reference!$A$6,MIN(Reference!$A$11,MIN($U178,150))),Reference!$A$6:$A$11,1))+1)-INDEX(Reference!$B$6:$B$11,MIN(5,MATCH(MAX(Reference!$A$6,MIN(Reference!$A$11,MIN($U178,150))),Reference!$A$6:$A$11,1))))/(INDEX(Reference!$A$6:$A$11,MIN(5,MATCH(MAX(Reference!$A$6,MIN(Reference!$A$11,MIN($U178,150))),Reference!$A$6:$A$11,1))+1)-INDEX(Reference!$A$6:$A$11,MIN(5,MATCH(MAX(Reference!$A$6,MIN(Reference!$A$11,MIN($U178,150))),Reference!$A$6:$A$11,1))))),0)+IF(4&lt;=$AL178,($AL178-4+3)*(INDEX(Reference!$B$6:$B$11,MIN(5,MATCH(MAX(Reference!$A$6,MIN(Reference!$A$11,MIN($U178,180))),Reference!$A$6:$A$11,1)))+(MAX(Reference!$A$6,MIN(Reference!$A$11,MIN($U178,180)))-INDEX(Reference!$A$6:$A$11,MIN(5,MATCH(MAX(Reference!$A$6,MIN(Reference!$A$11,MIN($U178,180))),Reference!$A$6:$A$11,1))))*(INDEX(Reference!$B$6:$B$11,MIN(5,MATCH(MAX(Reference!$A$6,MIN(Reference!$A$11,MIN($U178,180))),Reference!$A$6:$A$11,1))+1)-INDEX(Reference!$B$6:$B$11,MIN(5,MATCH(MAX(Reference!$A$6,MIN(Reference!$A$11,MIN($U178,180))),Reference!$A$6:$A$11,1))))/(INDEX(Reference!$A$6:$A$11,MIN(5,MATCH(MAX(Reference!$A$6,MIN(Reference!$A$11,MIN($U178,180))),Reference!$A$6:$A$11,1))+1)-INDEX(Reference!$A$6:$A$11,MIN(5,MATCH(MAX(Reference!$A$6,MIN(Reference!$A$11,MIN($U178,180))),Reference!$A$6:$A$11,1))))),0)+IF(5&lt;=$AL178,($AL178-5+3)*(INDEX(Reference!$B$6:$B$11,MIN(5,MATCH(MAX(Reference!$A$6,MIN(Reference!$A$11,MIN($U178,210))),Reference!$A$6:$A$11,1)))+(MAX(Reference!$A$6,MIN(Reference!$A$11,MIN($U178,210)))-INDEX(Reference!$A$6:$A$11,MIN(5,MATCH(MAX(Reference!$A$6,MIN(Reference!$A$11,MIN($U178,210))),Reference!$A$6:$A$11,1))))*(INDEX(Reference!$B$6:$B$11,MIN(5,MATCH(MAX(Reference!$A$6,MIN(Reference!$A$11,MIN($U178,210))),Reference!$A$6:$A$11,1))+1)-INDEX(Reference!$B$6:$B$11,MIN(5,MATCH(MAX(Reference!$A$6,MIN(Reference!$A$11,MIN($U178,210))),Reference!$A$6:$A$11,1))))/(INDEX(Reference!$A$6:$A$11,MIN(5,MATCH(MAX(Reference!$A$6,MIN(Reference!$A$11,MIN($U178,210))),Reference!$A$6:$A$11,1))+1)-INDEX(Reference!$A$6:$A$11,MIN(5,MATCH(MAX(Reference!$A$6,MIN(Reference!$A$11,MIN($U178,210))),Reference!$A$6:$A$11,1))))),0)+IF(6&lt;=$AL178,($AL178-6+3)*(INDEX(Reference!$B$6:$B$11,MIN(5,MATCH(MAX(Reference!$A$6,MIN(Reference!$A$11,MIN($U178,240))),Reference!$A$6:$A$11,1)))+(MAX(Reference!$A$6,MIN(Reference!$A$11,MIN($U178,240)))-INDEX(Reference!$A$6:$A$11,MIN(5,MATCH(MAX(Reference!$A$6,MIN(Reference!$A$11,MIN($U178,240))),Reference!$A$6:$A$11,1))))*(INDEX(Reference!$B$6:$B$11,MIN(5,MATCH(MAX(Reference!$A$6,MIN(Reference!$A$11,MIN($U178,240))),Reference!$A$6:$A$11,1))+1)-INDEX(Reference!$B$6:$B$11,MIN(5,MATCH(MAX(Reference!$A$6,MIN(Reference!$A$11,MIN($U178,240))),Reference!$A$6:$A$11,1))))/(INDEX(Reference!$A$6:$A$11,MIN(5,MATCH(MAX(Reference!$A$6,MIN(Reference!$A$11,MIN($U178,240))),Reference!$A$6:$A$11,1))+1)-INDEX(Reference!$A$6:$A$11,MIN(5,MATCH(MAX(Reference!$A$6,MIN(Reference!$A$11,MIN($U178,240))),Reference!$A$6:$A$11,1))))),0)+IF(7&lt;=$AL178,($AL178-7+3)*(INDEX(Reference!$B$6:$B$11,MIN(5,MATCH(MAX(Reference!$A$6,MIN(Reference!$A$11,MIN($U178,270))),Reference!$A$6:$A$11,1)))+(MAX(Reference!$A$6,MIN(Reference!$A$11,MIN($U178,270)))-INDEX(Reference!$A$6:$A$11,MIN(5,MATCH(MAX(Reference!$A$6,MIN(Reference!$A$11,MIN($U178,270))),Reference!$A$6:$A$11,1))))*(INDEX(Reference!$B$6:$B$11,MIN(5,MATCH(MAX(Reference!$A$6,MIN(Reference!$A$11,MIN($U178,270))),Reference!$A$6:$A$11,1))+1)-INDEX(Reference!$B$6:$B$11,MIN(5,MATCH(MAX(Reference!$A$6,MIN(Reference!$A$11,MIN($U178,270))),Reference!$A$6:$A$11,1))))/(INDEX(Reference!$A$6:$A$11,MIN(5,MATCH(MAX(Reference!$A$6,MIN(Reference!$A$11,MIN($U178,270))),Reference!$A$6:$A$11,1))+1)-INDEX(Reference!$A$6:$A$11,MIN(5,MATCH(MAX(Reference!$A$6,MIN(Reference!$A$11,MIN($U178,270))),Reference!$A$6:$A$11,1))))),0)+IF(8&lt;=$AL178,($AL178-8+3)*(INDEX(Reference!$B$6:$B$11,MIN(5,MATCH(MAX(Reference!$A$6,MIN(Reference!$A$11,MIN($U178,300))),Reference!$A$6:$A$11,1)))+(MAX(Reference!$A$6,MIN(Reference!$A$11,MIN($U178,300)))-INDEX(Reference!$A$6:$A$11,MIN(5,MATCH(MAX(Reference!$A$6,MIN(Reference!$A$11,MIN($U178,300))),Reference!$A$6:$A$11,1))))*(INDEX(Reference!$B$6:$B$11,MIN(5,MATCH(MAX(Reference!$A$6,MIN(Reference!$A$11,MIN($U178,300))),Reference!$A$6:$A$11,1))+1)-INDEX(Reference!$B$6:$B$11,MIN(5,MATCH(MAX(Reference!$A$6,MIN(Reference!$A$11,MIN($U178,300))),Reference!$A$6:$A$11,1))))/(INDEX(Reference!$A$6:$A$11,MIN(5,MATCH(MAX(Reference!$A$6,MIN(Reference!$A$11,MIN($U178,300))),Reference!$A$6:$A$11,1))+1)-INDEX(Reference!$A$6:$A$11,MIN(5,MATCH(MAX(Reference!$A$6,MIN(Reference!$A$11,MIN($U178,300))),Reference!$A$6:$A$11,1))))),0))/($AL178*($AL178+5)/2)),$AN178))</f>
        <v>0</v>
      </c>
      <c r="AN178" s="32">
        <f>IF($U178="",0,(INDEX(Reference!$B$6:$B$11,MIN(5,MATCH(MAX(Reference!$A$6,MIN(Reference!$A$11,$U178)),Reference!$A$6:$A$11,1)))+(MAX(Reference!$A$6,MIN(Reference!$A$11,$U178))-INDEX(Reference!$A$6:$A$11,MIN(5,MATCH(MAX(Reference!$A$6,MIN(Reference!$A$11,$U178)),Reference!$A$6:$A$11,1))))*(INDEX(Reference!$B$6:$B$11,MIN(5,MATCH(MAX(Reference!$A$6,MIN(Reference!$A$11,$U178)),Reference!$A$6:$A$11,1))+1)-INDEX(Reference!$B$6:$B$11,MIN(5,MATCH(MAX(Reference!$A$6,MIN(Reference!$A$11,$U178)),Reference!$A$6:$A$11,1))))/(INDEX(Reference!$A$6:$A$11,MIN(5,MATCH(MAX(Reference!$A$6,MIN(Reference!$A$11,$U178)),Reference!$A$6:$A$11,1))+1)-INDEX(Reference!$A$6:$A$11,MIN(5,MATCH(MAX(Reference!$A$6,MIN(Reference!$A$11,$U178)),Reference!$A$6:$A$11,1))))))</f>
        <v>0</v>
      </c>
      <c r="AO178" s="37"/>
      <c r="AP178" s="37"/>
      <c r="AQ178" s="37"/>
    </row>
    <row r="179" spans="1:43" x14ac:dyDescent="0.3">
      <c r="A179" s="48" t="str">
        <f t="shared" si="105"/>
        <v/>
      </c>
      <c r="B179" s="32" t="str">
        <f t="shared" si="106"/>
        <v/>
      </c>
      <c r="C179" s="32" t="str">
        <f t="shared" si="107"/>
        <v/>
      </c>
      <c r="D179" s="32" t="str">
        <f t="shared" si="108"/>
        <v/>
      </c>
      <c r="E179" s="32" t="str">
        <f t="shared" si="109"/>
        <v/>
      </c>
      <c r="F179" s="32" t="str">
        <f t="shared" si="110"/>
        <v/>
      </c>
      <c r="G179" s="47" t="str">
        <f t="shared" si="111"/>
        <v/>
      </c>
      <c r="H179" s="30" t="str">
        <f t="shared" si="112"/>
        <v/>
      </c>
      <c r="I179" s="46" t="str">
        <f>IF($A179="","",IF(AND($L179&lt;27,$K$12=0),"Building",IFERROR(((SUM($H$173:$H179)+$K$12*IF($L179&lt;6,SUMIFS('Throw Log'!$Q$5:$Q$300,'Throw Log'!$B$5:$B$300,$D$4,'Throw Log'!$A$5:$A$300,"&gt;="&amp;($D$6+$L179-6),'Throw Log'!$A$5:$A$300,"&lt;="&amp;($D$6-1)),0))/7)/((SUM($H$152:$H179)+$K$12*IF($L179&lt;27,SUMIFS('Throw Log'!$Q$5:$Q$300,'Throw Log'!$B$5:$B$300,$D$4,'Throw Log'!$A$5:$A$300,"&gt;="&amp;($D$6+$L179-27),'Throw Log'!$A$5:$A$300,"&lt;="&amp;($D$6-1)),0))/28),"")))</f>
        <v/>
      </c>
      <c r="J179" s="37"/>
      <c r="K179" s="37"/>
      <c r="L179" s="32">
        <v>136</v>
      </c>
      <c r="M179" s="32">
        <f t="shared" si="113"/>
        <v>20</v>
      </c>
      <c r="N179" s="32">
        <f t="shared" si="114"/>
        <v>3</v>
      </c>
      <c r="O179" s="32">
        <f t="shared" si="115"/>
        <v>1</v>
      </c>
      <c r="P179" s="32" t="str">
        <f>IF(OR($A179="",N($C179)&lt;=7),"",$G$6*$G$9^($M179-1)*IF(AND(MOD($M179,Reference!$B$99)=0,$M179&lt;=$G$5-2),Reference!$B$100,1))</f>
        <v/>
      </c>
      <c r="Q179" s="32" t="str">
        <f>IF($P179="","",IF(SUM($AK$176:$AK$182)=0,0,$P179*INDEX(Reference!$B$108:$B$114,$N179+1)/SUM($AK$176:$AK$182)))</f>
        <v/>
      </c>
      <c r="R179" s="32">
        <f t="shared" si="116"/>
        <v>180</v>
      </c>
      <c r="S179" s="32">
        <f t="shared" si="117"/>
        <v>150</v>
      </c>
      <c r="T179" s="32" t="str">
        <f>IF($A179="","",IF($C179=0,"Bullpen",IF(OR($C179=7,$C179=1,$C179=5),"Recovery/Easy Catch",IF($C179=6,"Compression/Pulldowns",IF(OR($C179=4,$C179=2),"Long Toss",IF($C179=3,"No Throw",IF($N179=2,"No Throw",IF($N179=6,IF($O179&lt;Reference!$B$104,"No Throw","Recovery/Easy Catch"),IF(OR($N179=0,$N179=4),"Recovery/Easy Catch",IF($N179=1,IF($R179&gt;75,"Long Toss","Recovery/Easy Catch"),IF($N179=3,IF($O179&lt;0.5,IF($S179&gt;75,"Long Toss","Recovery/Easy Catch"),"Compression/Pulldowns"),IF($S179&gt;75,"Long Toss","Recovery/Easy Catch"))))))))))))</f>
        <v/>
      </c>
      <c r="U179" s="32" t="str">
        <f t="shared" si="118"/>
        <v/>
      </c>
      <c r="V179" s="32" t="str">
        <f t="shared" si="119"/>
        <v/>
      </c>
      <c r="W179" s="32" t="str">
        <f t="shared" si="120"/>
        <v/>
      </c>
      <c r="X179" s="32">
        <f t="shared" si="121"/>
        <v>0</v>
      </c>
      <c r="Y179" s="32" t="str">
        <f t="shared" si="122"/>
        <v/>
      </c>
      <c r="Z179" s="32" t="str">
        <f t="shared" si="123"/>
        <v/>
      </c>
      <c r="AA179" s="32" t="str">
        <f t="shared" si="124"/>
        <v/>
      </c>
      <c r="AB179" s="32" t="str">
        <f>IF($A179="","",IF($T179="No Throw",0,IF($K179&lt;&gt;"",$K179,IF($AA179&lt;&gt;"",ROUND($AA179*$D$12*IF($C179=0,1,$G$10),0),MIN(IF($T179="Recovery/Easy Catch",Reference!$B$103,IF($T179="Long Toss",Reference!$B$106,Reference!$B$102)),MAX(Reference!$B$101,ROUND(MAX(0,$Q179-$AE179)/$AF179,0)))))))</f>
        <v/>
      </c>
      <c r="AC179" s="32">
        <f t="shared" si="125"/>
        <v>0</v>
      </c>
      <c r="AD179" s="32" t="b">
        <f t="shared" si="126"/>
        <v>1</v>
      </c>
      <c r="AE179" s="32">
        <f>IF($X179=0,0,$X179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179+$Z179)/2,0),Reference!$A$17:$B$20,2,TRUE()))</f>
        <v>0</v>
      </c>
      <c r="AF179" s="32">
        <f>IF(OR($A179="",$U179="",$T179="No Throw"),0,$AM179*VLOOKUP(MAX(($V179+$W179)/2,0),Reference!$A$17:$B$20,2,TRUE()))</f>
        <v>0</v>
      </c>
      <c r="AG179" s="32">
        <f>IF($AC179=0,0,$AC179*INDEX(Reference!$B$61:$B$62,MATCH("Bullpen",Reference!$A$61:$A$62,0))*VLOOKUP(MAX($D$5-($D$9+$E$9)/2,0),Reference!$A$17:$B$20,2,TRUE()))</f>
        <v>0</v>
      </c>
      <c r="AH179" s="32" t="e">
        <f t="shared" si="127"/>
        <v>#N/A</v>
      </c>
      <c r="AI179" s="32" t="e">
        <f>IF($A179="",NA(),Reference!$A$25)</f>
        <v>#N/A</v>
      </c>
      <c r="AJ179" s="32" t="e">
        <f t="shared" si="128"/>
        <v>#N/A</v>
      </c>
      <c r="AK179" s="32">
        <f>IF(OR($A179="",N($C179)&lt;=7,$T179="No Throw",$J179="x"),0,INDEX(Reference!$B$108:$B$114,$N179+1))</f>
        <v>0</v>
      </c>
      <c r="AL179" s="32">
        <f t="shared" si="129"/>
        <v>1</v>
      </c>
      <c r="AM179" s="32">
        <f>IF($U179="",0,IF($AL179&gt;1,((IF(1&lt;=$AL179,($AL179-1+3)*(INDEX(Reference!$B$6:$B$11,MIN(5,MATCH(MAX(Reference!$A$6,MIN(Reference!$A$11,MIN($U179,90))),Reference!$A$6:$A$11,1)))+(MAX(Reference!$A$6,MIN(Reference!$A$11,MIN($U179,90)))-INDEX(Reference!$A$6:$A$11,MIN(5,MATCH(MAX(Reference!$A$6,MIN(Reference!$A$11,MIN($U179,90))),Reference!$A$6:$A$11,1))))*(INDEX(Reference!$B$6:$B$11,MIN(5,MATCH(MAX(Reference!$A$6,MIN(Reference!$A$11,MIN($U179,90))),Reference!$A$6:$A$11,1))+1)-INDEX(Reference!$B$6:$B$11,MIN(5,MATCH(MAX(Reference!$A$6,MIN(Reference!$A$11,MIN($U179,90))),Reference!$A$6:$A$11,1))))/(INDEX(Reference!$A$6:$A$11,MIN(5,MATCH(MAX(Reference!$A$6,MIN(Reference!$A$11,MIN($U179,90))),Reference!$A$6:$A$11,1))+1)-INDEX(Reference!$A$6:$A$11,MIN(5,MATCH(MAX(Reference!$A$6,MIN(Reference!$A$11,MIN($U179,90))),Reference!$A$6:$A$11,1))))),0)+IF(2&lt;=$AL179,($AL179-2+3)*(INDEX(Reference!$B$6:$B$11,MIN(5,MATCH(MAX(Reference!$A$6,MIN(Reference!$A$11,MIN($U179,120))),Reference!$A$6:$A$11,1)))+(MAX(Reference!$A$6,MIN(Reference!$A$11,MIN($U179,120)))-INDEX(Reference!$A$6:$A$11,MIN(5,MATCH(MAX(Reference!$A$6,MIN(Reference!$A$11,MIN($U179,120))),Reference!$A$6:$A$11,1))))*(INDEX(Reference!$B$6:$B$11,MIN(5,MATCH(MAX(Reference!$A$6,MIN(Reference!$A$11,MIN($U179,120))),Reference!$A$6:$A$11,1))+1)-INDEX(Reference!$B$6:$B$11,MIN(5,MATCH(MAX(Reference!$A$6,MIN(Reference!$A$11,MIN($U179,120))),Reference!$A$6:$A$11,1))))/(INDEX(Reference!$A$6:$A$11,MIN(5,MATCH(MAX(Reference!$A$6,MIN(Reference!$A$11,MIN($U179,120))),Reference!$A$6:$A$11,1))+1)-INDEX(Reference!$A$6:$A$11,MIN(5,MATCH(MAX(Reference!$A$6,MIN(Reference!$A$11,MIN($U179,120))),Reference!$A$6:$A$11,1))))),0)+IF(3&lt;=$AL179,($AL179-3+3)*(INDEX(Reference!$B$6:$B$11,MIN(5,MATCH(MAX(Reference!$A$6,MIN(Reference!$A$11,MIN($U179,150))),Reference!$A$6:$A$11,1)))+(MAX(Reference!$A$6,MIN(Reference!$A$11,MIN($U179,150)))-INDEX(Reference!$A$6:$A$11,MIN(5,MATCH(MAX(Reference!$A$6,MIN(Reference!$A$11,MIN($U179,150))),Reference!$A$6:$A$11,1))))*(INDEX(Reference!$B$6:$B$11,MIN(5,MATCH(MAX(Reference!$A$6,MIN(Reference!$A$11,MIN($U179,150))),Reference!$A$6:$A$11,1))+1)-INDEX(Reference!$B$6:$B$11,MIN(5,MATCH(MAX(Reference!$A$6,MIN(Reference!$A$11,MIN($U179,150))),Reference!$A$6:$A$11,1))))/(INDEX(Reference!$A$6:$A$11,MIN(5,MATCH(MAX(Reference!$A$6,MIN(Reference!$A$11,MIN($U179,150))),Reference!$A$6:$A$11,1))+1)-INDEX(Reference!$A$6:$A$11,MIN(5,MATCH(MAX(Reference!$A$6,MIN(Reference!$A$11,MIN($U179,150))),Reference!$A$6:$A$11,1))))),0)+IF(4&lt;=$AL179,($AL179-4+3)*(INDEX(Reference!$B$6:$B$11,MIN(5,MATCH(MAX(Reference!$A$6,MIN(Reference!$A$11,MIN($U179,180))),Reference!$A$6:$A$11,1)))+(MAX(Reference!$A$6,MIN(Reference!$A$11,MIN($U179,180)))-INDEX(Reference!$A$6:$A$11,MIN(5,MATCH(MAX(Reference!$A$6,MIN(Reference!$A$11,MIN($U179,180))),Reference!$A$6:$A$11,1))))*(INDEX(Reference!$B$6:$B$11,MIN(5,MATCH(MAX(Reference!$A$6,MIN(Reference!$A$11,MIN($U179,180))),Reference!$A$6:$A$11,1))+1)-INDEX(Reference!$B$6:$B$11,MIN(5,MATCH(MAX(Reference!$A$6,MIN(Reference!$A$11,MIN($U179,180))),Reference!$A$6:$A$11,1))))/(INDEX(Reference!$A$6:$A$11,MIN(5,MATCH(MAX(Reference!$A$6,MIN(Reference!$A$11,MIN($U179,180))),Reference!$A$6:$A$11,1))+1)-INDEX(Reference!$A$6:$A$11,MIN(5,MATCH(MAX(Reference!$A$6,MIN(Reference!$A$11,MIN($U179,180))),Reference!$A$6:$A$11,1))))),0)+IF(5&lt;=$AL179,($AL179-5+3)*(INDEX(Reference!$B$6:$B$11,MIN(5,MATCH(MAX(Reference!$A$6,MIN(Reference!$A$11,MIN($U179,210))),Reference!$A$6:$A$11,1)))+(MAX(Reference!$A$6,MIN(Reference!$A$11,MIN($U179,210)))-INDEX(Reference!$A$6:$A$11,MIN(5,MATCH(MAX(Reference!$A$6,MIN(Reference!$A$11,MIN($U179,210))),Reference!$A$6:$A$11,1))))*(INDEX(Reference!$B$6:$B$11,MIN(5,MATCH(MAX(Reference!$A$6,MIN(Reference!$A$11,MIN($U179,210))),Reference!$A$6:$A$11,1))+1)-INDEX(Reference!$B$6:$B$11,MIN(5,MATCH(MAX(Reference!$A$6,MIN(Reference!$A$11,MIN($U179,210))),Reference!$A$6:$A$11,1))))/(INDEX(Reference!$A$6:$A$11,MIN(5,MATCH(MAX(Reference!$A$6,MIN(Reference!$A$11,MIN($U179,210))),Reference!$A$6:$A$11,1))+1)-INDEX(Reference!$A$6:$A$11,MIN(5,MATCH(MAX(Reference!$A$6,MIN(Reference!$A$11,MIN($U179,210))),Reference!$A$6:$A$11,1))))),0)+IF(6&lt;=$AL179,($AL179-6+3)*(INDEX(Reference!$B$6:$B$11,MIN(5,MATCH(MAX(Reference!$A$6,MIN(Reference!$A$11,MIN($U179,240))),Reference!$A$6:$A$11,1)))+(MAX(Reference!$A$6,MIN(Reference!$A$11,MIN($U179,240)))-INDEX(Reference!$A$6:$A$11,MIN(5,MATCH(MAX(Reference!$A$6,MIN(Reference!$A$11,MIN($U179,240))),Reference!$A$6:$A$11,1))))*(INDEX(Reference!$B$6:$B$11,MIN(5,MATCH(MAX(Reference!$A$6,MIN(Reference!$A$11,MIN($U179,240))),Reference!$A$6:$A$11,1))+1)-INDEX(Reference!$B$6:$B$11,MIN(5,MATCH(MAX(Reference!$A$6,MIN(Reference!$A$11,MIN($U179,240))),Reference!$A$6:$A$11,1))))/(INDEX(Reference!$A$6:$A$11,MIN(5,MATCH(MAX(Reference!$A$6,MIN(Reference!$A$11,MIN($U179,240))),Reference!$A$6:$A$11,1))+1)-INDEX(Reference!$A$6:$A$11,MIN(5,MATCH(MAX(Reference!$A$6,MIN(Reference!$A$11,MIN($U179,240))),Reference!$A$6:$A$11,1))))),0)+IF(7&lt;=$AL179,($AL179-7+3)*(INDEX(Reference!$B$6:$B$11,MIN(5,MATCH(MAX(Reference!$A$6,MIN(Reference!$A$11,MIN($U179,270))),Reference!$A$6:$A$11,1)))+(MAX(Reference!$A$6,MIN(Reference!$A$11,MIN($U179,270)))-INDEX(Reference!$A$6:$A$11,MIN(5,MATCH(MAX(Reference!$A$6,MIN(Reference!$A$11,MIN($U179,270))),Reference!$A$6:$A$11,1))))*(INDEX(Reference!$B$6:$B$11,MIN(5,MATCH(MAX(Reference!$A$6,MIN(Reference!$A$11,MIN($U179,270))),Reference!$A$6:$A$11,1))+1)-INDEX(Reference!$B$6:$B$11,MIN(5,MATCH(MAX(Reference!$A$6,MIN(Reference!$A$11,MIN($U179,270))),Reference!$A$6:$A$11,1))))/(INDEX(Reference!$A$6:$A$11,MIN(5,MATCH(MAX(Reference!$A$6,MIN(Reference!$A$11,MIN($U179,270))),Reference!$A$6:$A$11,1))+1)-INDEX(Reference!$A$6:$A$11,MIN(5,MATCH(MAX(Reference!$A$6,MIN(Reference!$A$11,MIN($U179,270))),Reference!$A$6:$A$11,1))))),0)+IF(8&lt;=$AL179,($AL179-8+3)*(INDEX(Reference!$B$6:$B$11,MIN(5,MATCH(MAX(Reference!$A$6,MIN(Reference!$A$11,MIN($U179,300))),Reference!$A$6:$A$11,1)))+(MAX(Reference!$A$6,MIN(Reference!$A$11,MIN($U179,300)))-INDEX(Reference!$A$6:$A$11,MIN(5,MATCH(MAX(Reference!$A$6,MIN(Reference!$A$11,MIN($U179,300))),Reference!$A$6:$A$11,1))))*(INDEX(Reference!$B$6:$B$11,MIN(5,MATCH(MAX(Reference!$A$6,MIN(Reference!$A$11,MIN($U179,300))),Reference!$A$6:$A$11,1))+1)-INDEX(Reference!$B$6:$B$11,MIN(5,MATCH(MAX(Reference!$A$6,MIN(Reference!$A$11,MIN($U179,300))),Reference!$A$6:$A$11,1))))/(INDEX(Reference!$A$6:$A$11,MIN(5,MATCH(MAX(Reference!$A$6,MIN(Reference!$A$11,MIN($U179,300))),Reference!$A$6:$A$11,1))+1)-INDEX(Reference!$A$6:$A$11,MIN(5,MATCH(MAX(Reference!$A$6,MIN(Reference!$A$11,MIN($U179,300))),Reference!$A$6:$A$11,1))))),0))/($AL179*($AL179+5)/2)),$AN179))</f>
        <v>0</v>
      </c>
      <c r="AN179" s="32">
        <f>IF($U179="",0,(INDEX(Reference!$B$6:$B$11,MIN(5,MATCH(MAX(Reference!$A$6,MIN(Reference!$A$11,$U179)),Reference!$A$6:$A$11,1)))+(MAX(Reference!$A$6,MIN(Reference!$A$11,$U179))-INDEX(Reference!$A$6:$A$11,MIN(5,MATCH(MAX(Reference!$A$6,MIN(Reference!$A$11,$U179)),Reference!$A$6:$A$11,1))))*(INDEX(Reference!$B$6:$B$11,MIN(5,MATCH(MAX(Reference!$A$6,MIN(Reference!$A$11,$U179)),Reference!$A$6:$A$11,1))+1)-INDEX(Reference!$B$6:$B$11,MIN(5,MATCH(MAX(Reference!$A$6,MIN(Reference!$A$11,$U179)),Reference!$A$6:$A$11,1))))/(INDEX(Reference!$A$6:$A$11,MIN(5,MATCH(MAX(Reference!$A$6,MIN(Reference!$A$11,$U179)),Reference!$A$6:$A$11,1))+1)-INDEX(Reference!$A$6:$A$11,MIN(5,MATCH(MAX(Reference!$A$6,MIN(Reference!$A$11,$U179)),Reference!$A$6:$A$11,1))))))</f>
        <v>0</v>
      </c>
      <c r="AO179" s="37"/>
      <c r="AP179" s="37"/>
      <c r="AQ179" s="37"/>
    </row>
    <row r="180" spans="1:43" x14ac:dyDescent="0.3">
      <c r="A180" s="48" t="str">
        <f t="shared" si="105"/>
        <v/>
      </c>
      <c r="B180" s="32" t="str">
        <f t="shared" si="106"/>
        <v/>
      </c>
      <c r="C180" s="32" t="str">
        <f t="shared" si="107"/>
        <v/>
      </c>
      <c r="D180" s="32" t="str">
        <f t="shared" si="108"/>
        <v/>
      </c>
      <c r="E180" s="32" t="str">
        <f t="shared" si="109"/>
        <v/>
      </c>
      <c r="F180" s="32" t="str">
        <f t="shared" si="110"/>
        <v/>
      </c>
      <c r="G180" s="47" t="str">
        <f t="shared" si="111"/>
        <v/>
      </c>
      <c r="H180" s="30" t="str">
        <f t="shared" si="112"/>
        <v/>
      </c>
      <c r="I180" s="46" t="str">
        <f>IF($A180="","",IF(AND($L180&lt;27,$K$12=0),"Building",IFERROR(((SUM($H$174:$H180)+$K$12*IF($L180&lt;6,SUMIFS('Throw Log'!$Q$5:$Q$300,'Throw Log'!$B$5:$B$300,$D$4,'Throw Log'!$A$5:$A$300,"&gt;="&amp;($D$6+$L180-6),'Throw Log'!$A$5:$A$300,"&lt;="&amp;($D$6-1)),0))/7)/((SUM($H$153:$H180)+$K$12*IF($L180&lt;27,SUMIFS('Throw Log'!$Q$5:$Q$300,'Throw Log'!$B$5:$B$300,$D$4,'Throw Log'!$A$5:$A$300,"&gt;="&amp;($D$6+$L180-27),'Throw Log'!$A$5:$A$300,"&lt;="&amp;($D$6-1)),0))/28),"")))</f>
        <v/>
      </c>
      <c r="J180" s="37"/>
      <c r="K180" s="37"/>
      <c r="L180" s="32">
        <v>137</v>
      </c>
      <c r="M180" s="32">
        <f t="shared" si="113"/>
        <v>20</v>
      </c>
      <c r="N180" s="32">
        <f t="shared" si="114"/>
        <v>4</v>
      </c>
      <c r="O180" s="32">
        <f t="shared" si="115"/>
        <v>1</v>
      </c>
      <c r="P180" s="32" t="str">
        <f>IF(OR($A180="",N($C180)&lt;=7),"",$G$6*$G$9^($M180-1)*IF(AND(MOD($M180,Reference!$B$99)=0,$M180&lt;=$G$5-2),Reference!$B$100,1))</f>
        <v/>
      </c>
      <c r="Q180" s="32" t="str">
        <f>IF($P180="","",IF(SUM($AK$176:$AK$182)=0,0,$P180*INDEX(Reference!$B$108:$B$114,$N180+1)/SUM($AK$176:$AK$182)))</f>
        <v/>
      </c>
      <c r="R180" s="32">
        <f t="shared" si="116"/>
        <v>180</v>
      </c>
      <c r="S180" s="32">
        <f t="shared" si="117"/>
        <v>150</v>
      </c>
      <c r="T180" s="32" t="str">
        <f>IF($A180="","",IF($C180=0,"Bullpen",IF(OR($C180=7,$C180=1,$C180=5),"Recovery/Easy Catch",IF($C180=6,"Compression/Pulldowns",IF(OR($C180=4,$C180=2),"Long Toss",IF($C180=3,"No Throw",IF($N180=2,"No Throw",IF($N180=6,IF($O180&lt;Reference!$B$104,"No Throw","Recovery/Easy Catch"),IF(OR($N180=0,$N180=4),"Recovery/Easy Catch",IF($N180=1,IF($R180&gt;75,"Long Toss","Recovery/Easy Catch"),IF($N180=3,IF($O180&lt;0.5,IF($S180&gt;75,"Long Toss","Recovery/Easy Catch"),"Compression/Pulldowns"),IF($S180&gt;75,"Long Toss","Recovery/Easy Catch"))))))))))))</f>
        <v/>
      </c>
      <c r="U180" s="32" t="str">
        <f t="shared" si="118"/>
        <v/>
      </c>
      <c r="V180" s="32" t="str">
        <f t="shared" si="119"/>
        <v/>
      </c>
      <c r="W180" s="32" t="str">
        <f t="shared" si="120"/>
        <v/>
      </c>
      <c r="X180" s="32">
        <f t="shared" si="121"/>
        <v>0</v>
      </c>
      <c r="Y180" s="32" t="str">
        <f t="shared" si="122"/>
        <v/>
      </c>
      <c r="Z180" s="32" t="str">
        <f t="shared" si="123"/>
        <v/>
      </c>
      <c r="AA180" s="32" t="str">
        <f t="shared" si="124"/>
        <v/>
      </c>
      <c r="AB180" s="32" t="str">
        <f>IF($A180="","",IF($T180="No Throw",0,IF($K180&lt;&gt;"",$K180,IF($AA180&lt;&gt;"",ROUND($AA180*$D$12*IF($C180=0,1,$G$10),0),MIN(IF($T180="Recovery/Easy Catch",Reference!$B$103,IF($T180="Long Toss",Reference!$B$106,Reference!$B$102)),MAX(Reference!$B$101,ROUND(MAX(0,$Q180-$AE180)/$AF180,0)))))))</f>
        <v/>
      </c>
      <c r="AC180" s="32">
        <f t="shared" si="125"/>
        <v>0</v>
      </c>
      <c r="AD180" s="32" t="b">
        <f t="shared" si="126"/>
        <v>1</v>
      </c>
      <c r="AE180" s="32">
        <f>IF($X180=0,0,$X180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180+$Z180)/2,0),Reference!$A$17:$B$20,2,TRUE()))</f>
        <v>0</v>
      </c>
      <c r="AF180" s="32">
        <f>IF(OR($A180="",$U180="",$T180="No Throw"),0,$AM180*VLOOKUP(MAX(($V180+$W180)/2,0),Reference!$A$17:$B$20,2,TRUE()))</f>
        <v>0</v>
      </c>
      <c r="AG180" s="32">
        <f>IF($AC180=0,0,$AC180*INDEX(Reference!$B$61:$B$62,MATCH("Bullpen",Reference!$A$61:$A$62,0))*VLOOKUP(MAX($D$5-($D$9+$E$9)/2,0),Reference!$A$17:$B$20,2,TRUE()))</f>
        <v>0</v>
      </c>
      <c r="AH180" s="32" t="e">
        <f t="shared" si="127"/>
        <v>#N/A</v>
      </c>
      <c r="AI180" s="32" t="e">
        <f>IF($A180="",NA(),Reference!$A$25)</f>
        <v>#N/A</v>
      </c>
      <c r="AJ180" s="32" t="e">
        <f t="shared" si="128"/>
        <v>#N/A</v>
      </c>
      <c r="AK180" s="32">
        <f>IF(OR($A180="",N($C180)&lt;=7,$T180="No Throw",$J180="x"),0,INDEX(Reference!$B$108:$B$114,$N180+1))</f>
        <v>0</v>
      </c>
      <c r="AL180" s="32">
        <f t="shared" si="129"/>
        <v>1</v>
      </c>
      <c r="AM180" s="32">
        <f>IF($U180="",0,IF($AL180&gt;1,((IF(1&lt;=$AL180,($AL180-1+3)*(INDEX(Reference!$B$6:$B$11,MIN(5,MATCH(MAX(Reference!$A$6,MIN(Reference!$A$11,MIN($U180,90))),Reference!$A$6:$A$11,1)))+(MAX(Reference!$A$6,MIN(Reference!$A$11,MIN($U180,90)))-INDEX(Reference!$A$6:$A$11,MIN(5,MATCH(MAX(Reference!$A$6,MIN(Reference!$A$11,MIN($U180,90))),Reference!$A$6:$A$11,1))))*(INDEX(Reference!$B$6:$B$11,MIN(5,MATCH(MAX(Reference!$A$6,MIN(Reference!$A$11,MIN($U180,90))),Reference!$A$6:$A$11,1))+1)-INDEX(Reference!$B$6:$B$11,MIN(5,MATCH(MAX(Reference!$A$6,MIN(Reference!$A$11,MIN($U180,90))),Reference!$A$6:$A$11,1))))/(INDEX(Reference!$A$6:$A$11,MIN(5,MATCH(MAX(Reference!$A$6,MIN(Reference!$A$11,MIN($U180,90))),Reference!$A$6:$A$11,1))+1)-INDEX(Reference!$A$6:$A$11,MIN(5,MATCH(MAX(Reference!$A$6,MIN(Reference!$A$11,MIN($U180,90))),Reference!$A$6:$A$11,1))))),0)+IF(2&lt;=$AL180,($AL180-2+3)*(INDEX(Reference!$B$6:$B$11,MIN(5,MATCH(MAX(Reference!$A$6,MIN(Reference!$A$11,MIN($U180,120))),Reference!$A$6:$A$11,1)))+(MAX(Reference!$A$6,MIN(Reference!$A$11,MIN($U180,120)))-INDEX(Reference!$A$6:$A$11,MIN(5,MATCH(MAX(Reference!$A$6,MIN(Reference!$A$11,MIN($U180,120))),Reference!$A$6:$A$11,1))))*(INDEX(Reference!$B$6:$B$11,MIN(5,MATCH(MAX(Reference!$A$6,MIN(Reference!$A$11,MIN($U180,120))),Reference!$A$6:$A$11,1))+1)-INDEX(Reference!$B$6:$B$11,MIN(5,MATCH(MAX(Reference!$A$6,MIN(Reference!$A$11,MIN($U180,120))),Reference!$A$6:$A$11,1))))/(INDEX(Reference!$A$6:$A$11,MIN(5,MATCH(MAX(Reference!$A$6,MIN(Reference!$A$11,MIN($U180,120))),Reference!$A$6:$A$11,1))+1)-INDEX(Reference!$A$6:$A$11,MIN(5,MATCH(MAX(Reference!$A$6,MIN(Reference!$A$11,MIN($U180,120))),Reference!$A$6:$A$11,1))))),0)+IF(3&lt;=$AL180,($AL180-3+3)*(INDEX(Reference!$B$6:$B$11,MIN(5,MATCH(MAX(Reference!$A$6,MIN(Reference!$A$11,MIN($U180,150))),Reference!$A$6:$A$11,1)))+(MAX(Reference!$A$6,MIN(Reference!$A$11,MIN($U180,150)))-INDEX(Reference!$A$6:$A$11,MIN(5,MATCH(MAX(Reference!$A$6,MIN(Reference!$A$11,MIN($U180,150))),Reference!$A$6:$A$11,1))))*(INDEX(Reference!$B$6:$B$11,MIN(5,MATCH(MAX(Reference!$A$6,MIN(Reference!$A$11,MIN($U180,150))),Reference!$A$6:$A$11,1))+1)-INDEX(Reference!$B$6:$B$11,MIN(5,MATCH(MAX(Reference!$A$6,MIN(Reference!$A$11,MIN($U180,150))),Reference!$A$6:$A$11,1))))/(INDEX(Reference!$A$6:$A$11,MIN(5,MATCH(MAX(Reference!$A$6,MIN(Reference!$A$11,MIN($U180,150))),Reference!$A$6:$A$11,1))+1)-INDEX(Reference!$A$6:$A$11,MIN(5,MATCH(MAX(Reference!$A$6,MIN(Reference!$A$11,MIN($U180,150))),Reference!$A$6:$A$11,1))))),0)+IF(4&lt;=$AL180,($AL180-4+3)*(INDEX(Reference!$B$6:$B$11,MIN(5,MATCH(MAX(Reference!$A$6,MIN(Reference!$A$11,MIN($U180,180))),Reference!$A$6:$A$11,1)))+(MAX(Reference!$A$6,MIN(Reference!$A$11,MIN($U180,180)))-INDEX(Reference!$A$6:$A$11,MIN(5,MATCH(MAX(Reference!$A$6,MIN(Reference!$A$11,MIN($U180,180))),Reference!$A$6:$A$11,1))))*(INDEX(Reference!$B$6:$B$11,MIN(5,MATCH(MAX(Reference!$A$6,MIN(Reference!$A$11,MIN($U180,180))),Reference!$A$6:$A$11,1))+1)-INDEX(Reference!$B$6:$B$11,MIN(5,MATCH(MAX(Reference!$A$6,MIN(Reference!$A$11,MIN($U180,180))),Reference!$A$6:$A$11,1))))/(INDEX(Reference!$A$6:$A$11,MIN(5,MATCH(MAX(Reference!$A$6,MIN(Reference!$A$11,MIN($U180,180))),Reference!$A$6:$A$11,1))+1)-INDEX(Reference!$A$6:$A$11,MIN(5,MATCH(MAX(Reference!$A$6,MIN(Reference!$A$11,MIN($U180,180))),Reference!$A$6:$A$11,1))))),0)+IF(5&lt;=$AL180,($AL180-5+3)*(INDEX(Reference!$B$6:$B$11,MIN(5,MATCH(MAX(Reference!$A$6,MIN(Reference!$A$11,MIN($U180,210))),Reference!$A$6:$A$11,1)))+(MAX(Reference!$A$6,MIN(Reference!$A$11,MIN($U180,210)))-INDEX(Reference!$A$6:$A$11,MIN(5,MATCH(MAX(Reference!$A$6,MIN(Reference!$A$11,MIN($U180,210))),Reference!$A$6:$A$11,1))))*(INDEX(Reference!$B$6:$B$11,MIN(5,MATCH(MAX(Reference!$A$6,MIN(Reference!$A$11,MIN($U180,210))),Reference!$A$6:$A$11,1))+1)-INDEX(Reference!$B$6:$B$11,MIN(5,MATCH(MAX(Reference!$A$6,MIN(Reference!$A$11,MIN($U180,210))),Reference!$A$6:$A$11,1))))/(INDEX(Reference!$A$6:$A$11,MIN(5,MATCH(MAX(Reference!$A$6,MIN(Reference!$A$11,MIN($U180,210))),Reference!$A$6:$A$11,1))+1)-INDEX(Reference!$A$6:$A$11,MIN(5,MATCH(MAX(Reference!$A$6,MIN(Reference!$A$11,MIN($U180,210))),Reference!$A$6:$A$11,1))))),0)+IF(6&lt;=$AL180,($AL180-6+3)*(INDEX(Reference!$B$6:$B$11,MIN(5,MATCH(MAX(Reference!$A$6,MIN(Reference!$A$11,MIN($U180,240))),Reference!$A$6:$A$11,1)))+(MAX(Reference!$A$6,MIN(Reference!$A$11,MIN($U180,240)))-INDEX(Reference!$A$6:$A$11,MIN(5,MATCH(MAX(Reference!$A$6,MIN(Reference!$A$11,MIN($U180,240))),Reference!$A$6:$A$11,1))))*(INDEX(Reference!$B$6:$B$11,MIN(5,MATCH(MAX(Reference!$A$6,MIN(Reference!$A$11,MIN($U180,240))),Reference!$A$6:$A$11,1))+1)-INDEX(Reference!$B$6:$B$11,MIN(5,MATCH(MAX(Reference!$A$6,MIN(Reference!$A$11,MIN($U180,240))),Reference!$A$6:$A$11,1))))/(INDEX(Reference!$A$6:$A$11,MIN(5,MATCH(MAX(Reference!$A$6,MIN(Reference!$A$11,MIN($U180,240))),Reference!$A$6:$A$11,1))+1)-INDEX(Reference!$A$6:$A$11,MIN(5,MATCH(MAX(Reference!$A$6,MIN(Reference!$A$11,MIN($U180,240))),Reference!$A$6:$A$11,1))))),0)+IF(7&lt;=$AL180,($AL180-7+3)*(INDEX(Reference!$B$6:$B$11,MIN(5,MATCH(MAX(Reference!$A$6,MIN(Reference!$A$11,MIN($U180,270))),Reference!$A$6:$A$11,1)))+(MAX(Reference!$A$6,MIN(Reference!$A$11,MIN($U180,270)))-INDEX(Reference!$A$6:$A$11,MIN(5,MATCH(MAX(Reference!$A$6,MIN(Reference!$A$11,MIN($U180,270))),Reference!$A$6:$A$11,1))))*(INDEX(Reference!$B$6:$B$11,MIN(5,MATCH(MAX(Reference!$A$6,MIN(Reference!$A$11,MIN($U180,270))),Reference!$A$6:$A$11,1))+1)-INDEX(Reference!$B$6:$B$11,MIN(5,MATCH(MAX(Reference!$A$6,MIN(Reference!$A$11,MIN($U180,270))),Reference!$A$6:$A$11,1))))/(INDEX(Reference!$A$6:$A$11,MIN(5,MATCH(MAX(Reference!$A$6,MIN(Reference!$A$11,MIN($U180,270))),Reference!$A$6:$A$11,1))+1)-INDEX(Reference!$A$6:$A$11,MIN(5,MATCH(MAX(Reference!$A$6,MIN(Reference!$A$11,MIN($U180,270))),Reference!$A$6:$A$11,1))))),0)+IF(8&lt;=$AL180,($AL180-8+3)*(INDEX(Reference!$B$6:$B$11,MIN(5,MATCH(MAX(Reference!$A$6,MIN(Reference!$A$11,MIN($U180,300))),Reference!$A$6:$A$11,1)))+(MAX(Reference!$A$6,MIN(Reference!$A$11,MIN($U180,300)))-INDEX(Reference!$A$6:$A$11,MIN(5,MATCH(MAX(Reference!$A$6,MIN(Reference!$A$11,MIN($U180,300))),Reference!$A$6:$A$11,1))))*(INDEX(Reference!$B$6:$B$11,MIN(5,MATCH(MAX(Reference!$A$6,MIN(Reference!$A$11,MIN($U180,300))),Reference!$A$6:$A$11,1))+1)-INDEX(Reference!$B$6:$B$11,MIN(5,MATCH(MAX(Reference!$A$6,MIN(Reference!$A$11,MIN($U180,300))),Reference!$A$6:$A$11,1))))/(INDEX(Reference!$A$6:$A$11,MIN(5,MATCH(MAX(Reference!$A$6,MIN(Reference!$A$11,MIN($U180,300))),Reference!$A$6:$A$11,1))+1)-INDEX(Reference!$A$6:$A$11,MIN(5,MATCH(MAX(Reference!$A$6,MIN(Reference!$A$11,MIN($U180,300))),Reference!$A$6:$A$11,1))))),0))/($AL180*($AL180+5)/2)),$AN180))</f>
        <v>0</v>
      </c>
      <c r="AN180" s="32">
        <f>IF($U180="",0,(INDEX(Reference!$B$6:$B$11,MIN(5,MATCH(MAX(Reference!$A$6,MIN(Reference!$A$11,$U180)),Reference!$A$6:$A$11,1)))+(MAX(Reference!$A$6,MIN(Reference!$A$11,$U180))-INDEX(Reference!$A$6:$A$11,MIN(5,MATCH(MAX(Reference!$A$6,MIN(Reference!$A$11,$U180)),Reference!$A$6:$A$11,1))))*(INDEX(Reference!$B$6:$B$11,MIN(5,MATCH(MAX(Reference!$A$6,MIN(Reference!$A$11,$U180)),Reference!$A$6:$A$11,1))+1)-INDEX(Reference!$B$6:$B$11,MIN(5,MATCH(MAX(Reference!$A$6,MIN(Reference!$A$11,$U180)),Reference!$A$6:$A$11,1))))/(INDEX(Reference!$A$6:$A$11,MIN(5,MATCH(MAX(Reference!$A$6,MIN(Reference!$A$11,$U180)),Reference!$A$6:$A$11,1))+1)-INDEX(Reference!$A$6:$A$11,MIN(5,MATCH(MAX(Reference!$A$6,MIN(Reference!$A$11,$U180)),Reference!$A$6:$A$11,1))))))</f>
        <v>0</v>
      </c>
      <c r="AO180" s="37"/>
      <c r="AP180" s="37"/>
      <c r="AQ180" s="37"/>
    </row>
    <row r="181" spans="1:43" x14ac:dyDescent="0.3">
      <c r="A181" s="48" t="str">
        <f t="shared" si="105"/>
        <v/>
      </c>
      <c r="B181" s="32" t="str">
        <f t="shared" si="106"/>
        <v/>
      </c>
      <c r="C181" s="32" t="str">
        <f t="shared" si="107"/>
        <v/>
      </c>
      <c r="D181" s="32" t="str">
        <f t="shared" si="108"/>
        <v/>
      </c>
      <c r="E181" s="32" t="str">
        <f t="shared" si="109"/>
        <v/>
      </c>
      <c r="F181" s="32" t="str">
        <f t="shared" si="110"/>
        <v/>
      </c>
      <c r="G181" s="47" t="str">
        <f t="shared" si="111"/>
        <v/>
      </c>
      <c r="H181" s="30" t="str">
        <f t="shared" si="112"/>
        <v/>
      </c>
      <c r="I181" s="46" t="str">
        <f>IF($A181="","",IF(AND($L181&lt;27,$K$12=0),"Building",IFERROR(((SUM($H$175:$H181)+$K$12*IF($L181&lt;6,SUMIFS('Throw Log'!$Q$5:$Q$300,'Throw Log'!$B$5:$B$300,$D$4,'Throw Log'!$A$5:$A$300,"&gt;="&amp;($D$6+$L181-6),'Throw Log'!$A$5:$A$300,"&lt;="&amp;($D$6-1)),0))/7)/((SUM($H$154:$H181)+$K$12*IF($L181&lt;27,SUMIFS('Throw Log'!$Q$5:$Q$300,'Throw Log'!$B$5:$B$300,$D$4,'Throw Log'!$A$5:$A$300,"&gt;="&amp;($D$6+$L181-27),'Throw Log'!$A$5:$A$300,"&lt;="&amp;($D$6-1)),0))/28),"")))</f>
        <v/>
      </c>
      <c r="J181" s="37"/>
      <c r="K181" s="37"/>
      <c r="L181" s="32">
        <v>138</v>
      </c>
      <c r="M181" s="32">
        <f t="shared" si="113"/>
        <v>20</v>
      </c>
      <c r="N181" s="32">
        <f t="shared" si="114"/>
        <v>5</v>
      </c>
      <c r="O181" s="32">
        <f t="shared" si="115"/>
        <v>1</v>
      </c>
      <c r="P181" s="32" t="str">
        <f>IF(OR($A181="",N($C181)&lt;=7),"",$G$6*$G$9^($M181-1)*IF(AND(MOD($M181,Reference!$B$99)=0,$M181&lt;=$G$5-2),Reference!$B$100,1))</f>
        <v/>
      </c>
      <c r="Q181" s="32" t="str">
        <f>IF($P181="","",IF(SUM($AK$176:$AK$182)=0,0,$P181*INDEX(Reference!$B$108:$B$114,$N181+1)/SUM($AK$176:$AK$182)))</f>
        <v/>
      </c>
      <c r="R181" s="32">
        <f t="shared" si="116"/>
        <v>180</v>
      </c>
      <c r="S181" s="32">
        <f t="shared" si="117"/>
        <v>150</v>
      </c>
      <c r="T181" s="32" t="str">
        <f>IF($A181="","",IF($C181=0,"Bullpen",IF(OR($C181=7,$C181=1,$C181=5),"Recovery/Easy Catch",IF($C181=6,"Compression/Pulldowns",IF(OR($C181=4,$C181=2),"Long Toss",IF($C181=3,"No Throw",IF($N181=2,"No Throw",IF($N181=6,IF($O181&lt;Reference!$B$104,"No Throw","Recovery/Easy Catch"),IF(OR($N181=0,$N181=4),"Recovery/Easy Catch",IF($N181=1,IF($R181&gt;75,"Long Toss","Recovery/Easy Catch"),IF($N181=3,IF($O181&lt;0.5,IF($S181&gt;75,"Long Toss","Recovery/Easy Catch"),"Compression/Pulldowns"),IF($S181&gt;75,"Long Toss","Recovery/Easy Catch"))))))))))))</f>
        <v/>
      </c>
      <c r="U181" s="32" t="str">
        <f t="shared" si="118"/>
        <v/>
      </c>
      <c r="V181" s="32" t="str">
        <f t="shared" si="119"/>
        <v/>
      </c>
      <c r="W181" s="32" t="str">
        <f t="shared" si="120"/>
        <v/>
      </c>
      <c r="X181" s="32">
        <f t="shared" si="121"/>
        <v>0</v>
      </c>
      <c r="Y181" s="32" t="str">
        <f t="shared" si="122"/>
        <v/>
      </c>
      <c r="Z181" s="32" t="str">
        <f t="shared" si="123"/>
        <v/>
      </c>
      <c r="AA181" s="32" t="str">
        <f t="shared" si="124"/>
        <v/>
      </c>
      <c r="AB181" s="32" t="str">
        <f>IF($A181="","",IF($T181="No Throw",0,IF($K181&lt;&gt;"",$K181,IF($AA181&lt;&gt;"",ROUND($AA181*$D$12*IF($C181=0,1,$G$10),0),MIN(IF($T181="Recovery/Easy Catch",Reference!$B$103,IF($T181="Long Toss",Reference!$B$106,Reference!$B$102)),MAX(Reference!$B$101,ROUND(MAX(0,$Q181-$AE181)/$AF181,0)))))))</f>
        <v/>
      </c>
      <c r="AC181" s="32">
        <f t="shared" si="125"/>
        <v>0</v>
      </c>
      <c r="AD181" s="32" t="b">
        <f t="shared" si="126"/>
        <v>1</v>
      </c>
      <c r="AE181" s="32">
        <f>IF($X181=0,0,$X181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181+$Z181)/2,0),Reference!$A$17:$B$20,2,TRUE()))</f>
        <v>0</v>
      </c>
      <c r="AF181" s="32">
        <f>IF(OR($A181="",$U181="",$T181="No Throw"),0,$AM181*VLOOKUP(MAX(($V181+$W181)/2,0),Reference!$A$17:$B$20,2,TRUE()))</f>
        <v>0</v>
      </c>
      <c r="AG181" s="32">
        <f>IF($AC181=0,0,$AC181*INDEX(Reference!$B$61:$B$62,MATCH("Bullpen",Reference!$A$61:$A$62,0))*VLOOKUP(MAX($D$5-($D$9+$E$9)/2,0),Reference!$A$17:$B$20,2,TRUE()))</f>
        <v>0</v>
      </c>
      <c r="AH181" s="32" t="e">
        <f t="shared" si="127"/>
        <v>#N/A</v>
      </c>
      <c r="AI181" s="32" t="e">
        <f>IF($A181="",NA(),Reference!$A$25)</f>
        <v>#N/A</v>
      </c>
      <c r="AJ181" s="32" t="e">
        <f t="shared" si="128"/>
        <v>#N/A</v>
      </c>
      <c r="AK181" s="32">
        <f>IF(OR($A181="",N($C181)&lt;=7,$T181="No Throw",$J181="x"),0,INDEX(Reference!$B$108:$B$114,$N181+1))</f>
        <v>0</v>
      </c>
      <c r="AL181" s="32">
        <f t="shared" si="129"/>
        <v>1</v>
      </c>
      <c r="AM181" s="32">
        <f>IF($U181="",0,IF($AL181&gt;1,((IF(1&lt;=$AL181,($AL181-1+3)*(INDEX(Reference!$B$6:$B$11,MIN(5,MATCH(MAX(Reference!$A$6,MIN(Reference!$A$11,MIN($U181,90))),Reference!$A$6:$A$11,1)))+(MAX(Reference!$A$6,MIN(Reference!$A$11,MIN($U181,90)))-INDEX(Reference!$A$6:$A$11,MIN(5,MATCH(MAX(Reference!$A$6,MIN(Reference!$A$11,MIN($U181,90))),Reference!$A$6:$A$11,1))))*(INDEX(Reference!$B$6:$B$11,MIN(5,MATCH(MAX(Reference!$A$6,MIN(Reference!$A$11,MIN($U181,90))),Reference!$A$6:$A$11,1))+1)-INDEX(Reference!$B$6:$B$11,MIN(5,MATCH(MAX(Reference!$A$6,MIN(Reference!$A$11,MIN($U181,90))),Reference!$A$6:$A$11,1))))/(INDEX(Reference!$A$6:$A$11,MIN(5,MATCH(MAX(Reference!$A$6,MIN(Reference!$A$11,MIN($U181,90))),Reference!$A$6:$A$11,1))+1)-INDEX(Reference!$A$6:$A$11,MIN(5,MATCH(MAX(Reference!$A$6,MIN(Reference!$A$11,MIN($U181,90))),Reference!$A$6:$A$11,1))))),0)+IF(2&lt;=$AL181,($AL181-2+3)*(INDEX(Reference!$B$6:$B$11,MIN(5,MATCH(MAX(Reference!$A$6,MIN(Reference!$A$11,MIN($U181,120))),Reference!$A$6:$A$11,1)))+(MAX(Reference!$A$6,MIN(Reference!$A$11,MIN($U181,120)))-INDEX(Reference!$A$6:$A$11,MIN(5,MATCH(MAX(Reference!$A$6,MIN(Reference!$A$11,MIN($U181,120))),Reference!$A$6:$A$11,1))))*(INDEX(Reference!$B$6:$B$11,MIN(5,MATCH(MAX(Reference!$A$6,MIN(Reference!$A$11,MIN($U181,120))),Reference!$A$6:$A$11,1))+1)-INDEX(Reference!$B$6:$B$11,MIN(5,MATCH(MAX(Reference!$A$6,MIN(Reference!$A$11,MIN($U181,120))),Reference!$A$6:$A$11,1))))/(INDEX(Reference!$A$6:$A$11,MIN(5,MATCH(MAX(Reference!$A$6,MIN(Reference!$A$11,MIN($U181,120))),Reference!$A$6:$A$11,1))+1)-INDEX(Reference!$A$6:$A$11,MIN(5,MATCH(MAX(Reference!$A$6,MIN(Reference!$A$11,MIN($U181,120))),Reference!$A$6:$A$11,1))))),0)+IF(3&lt;=$AL181,($AL181-3+3)*(INDEX(Reference!$B$6:$B$11,MIN(5,MATCH(MAX(Reference!$A$6,MIN(Reference!$A$11,MIN($U181,150))),Reference!$A$6:$A$11,1)))+(MAX(Reference!$A$6,MIN(Reference!$A$11,MIN($U181,150)))-INDEX(Reference!$A$6:$A$11,MIN(5,MATCH(MAX(Reference!$A$6,MIN(Reference!$A$11,MIN($U181,150))),Reference!$A$6:$A$11,1))))*(INDEX(Reference!$B$6:$B$11,MIN(5,MATCH(MAX(Reference!$A$6,MIN(Reference!$A$11,MIN($U181,150))),Reference!$A$6:$A$11,1))+1)-INDEX(Reference!$B$6:$B$11,MIN(5,MATCH(MAX(Reference!$A$6,MIN(Reference!$A$11,MIN($U181,150))),Reference!$A$6:$A$11,1))))/(INDEX(Reference!$A$6:$A$11,MIN(5,MATCH(MAX(Reference!$A$6,MIN(Reference!$A$11,MIN($U181,150))),Reference!$A$6:$A$11,1))+1)-INDEX(Reference!$A$6:$A$11,MIN(5,MATCH(MAX(Reference!$A$6,MIN(Reference!$A$11,MIN($U181,150))),Reference!$A$6:$A$11,1))))),0)+IF(4&lt;=$AL181,($AL181-4+3)*(INDEX(Reference!$B$6:$B$11,MIN(5,MATCH(MAX(Reference!$A$6,MIN(Reference!$A$11,MIN($U181,180))),Reference!$A$6:$A$11,1)))+(MAX(Reference!$A$6,MIN(Reference!$A$11,MIN($U181,180)))-INDEX(Reference!$A$6:$A$11,MIN(5,MATCH(MAX(Reference!$A$6,MIN(Reference!$A$11,MIN($U181,180))),Reference!$A$6:$A$11,1))))*(INDEX(Reference!$B$6:$B$11,MIN(5,MATCH(MAX(Reference!$A$6,MIN(Reference!$A$11,MIN($U181,180))),Reference!$A$6:$A$11,1))+1)-INDEX(Reference!$B$6:$B$11,MIN(5,MATCH(MAX(Reference!$A$6,MIN(Reference!$A$11,MIN($U181,180))),Reference!$A$6:$A$11,1))))/(INDEX(Reference!$A$6:$A$11,MIN(5,MATCH(MAX(Reference!$A$6,MIN(Reference!$A$11,MIN($U181,180))),Reference!$A$6:$A$11,1))+1)-INDEX(Reference!$A$6:$A$11,MIN(5,MATCH(MAX(Reference!$A$6,MIN(Reference!$A$11,MIN($U181,180))),Reference!$A$6:$A$11,1))))),0)+IF(5&lt;=$AL181,($AL181-5+3)*(INDEX(Reference!$B$6:$B$11,MIN(5,MATCH(MAX(Reference!$A$6,MIN(Reference!$A$11,MIN($U181,210))),Reference!$A$6:$A$11,1)))+(MAX(Reference!$A$6,MIN(Reference!$A$11,MIN($U181,210)))-INDEX(Reference!$A$6:$A$11,MIN(5,MATCH(MAX(Reference!$A$6,MIN(Reference!$A$11,MIN($U181,210))),Reference!$A$6:$A$11,1))))*(INDEX(Reference!$B$6:$B$11,MIN(5,MATCH(MAX(Reference!$A$6,MIN(Reference!$A$11,MIN($U181,210))),Reference!$A$6:$A$11,1))+1)-INDEX(Reference!$B$6:$B$11,MIN(5,MATCH(MAX(Reference!$A$6,MIN(Reference!$A$11,MIN($U181,210))),Reference!$A$6:$A$11,1))))/(INDEX(Reference!$A$6:$A$11,MIN(5,MATCH(MAX(Reference!$A$6,MIN(Reference!$A$11,MIN($U181,210))),Reference!$A$6:$A$11,1))+1)-INDEX(Reference!$A$6:$A$11,MIN(5,MATCH(MAX(Reference!$A$6,MIN(Reference!$A$11,MIN($U181,210))),Reference!$A$6:$A$11,1))))),0)+IF(6&lt;=$AL181,($AL181-6+3)*(INDEX(Reference!$B$6:$B$11,MIN(5,MATCH(MAX(Reference!$A$6,MIN(Reference!$A$11,MIN($U181,240))),Reference!$A$6:$A$11,1)))+(MAX(Reference!$A$6,MIN(Reference!$A$11,MIN($U181,240)))-INDEX(Reference!$A$6:$A$11,MIN(5,MATCH(MAX(Reference!$A$6,MIN(Reference!$A$11,MIN($U181,240))),Reference!$A$6:$A$11,1))))*(INDEX(Reference!$B$6:$B$11,MIN(5,MATCH(MAX(Reference!$A$6,MIN(Reference!$A$11,MIN($U181,240))),Reference!$A$6:$A$11,1))+1)-INDEX(Reference!$B$6:$B$11,MIN(5,MATCH(MAX(Reference!$A$6,MIN(Reference!$A$11,MIN($U181,240))),Reference!$A$6:$A$11,1))))/(INDEX(Reference!$A$6:$A$11,MIN(5,MATCH(MAX(Reference!$A$6,MIN(Reference!$A$11,MIN($U181,240))),Reference!$A$6:$A$11,1))+1)-INDEX(Reference!$A$6:$A$11,MIN(5,MATCH(MAX(Reference!$A$6,MIN(Reference!$A$11,MIN($U181,240))),Reference!$A$6:$A$11,1))))),0)+IF(7&lt;=$AL181,($AL181-7+3)*(INDEX(Reference!$B$6:$B$11,MIN(5,MATCH(MAX(Reference!$A$6,MIN(Reference!$A$11,MIN($U181,270))),Reference!$A$6:$A$11,1)))+(MAX(Reference!$A$6,MIN(Reference!$A$11,MIN($U181,270)))-INDEX(Reference!$A$6:$A$11,MIN(5,MATCH(MAX(Reference!$A$6,MIN(Reference!$A$11,MIN($U181,270))),Reference!$A$6:$A$11,1))))*(INDEX(Reference!$B$6:$B$11,MIN(5,MATCH(MAX(Reference!$A$6,MIN(Reference!$A$11,MIN($U181,270))),Reference!$A$6:$A$11,1))+1)-INDEX(Reference!$B$6:$B$11,MIN(5,MATCH(MAX(Reference!$A$6,MIN(Reference!$A$11,MIN($U181,270))),Reference!$A$6:$A$11,1))))/(INDEX(Reference!$A$6:$A$11,MIN(5,MATCH(MAX(Reference!$A$6,MIN(Reference!$A$11,MIN($U181,270))),Reference!$A$6:$A$11,1))+1)-INDEX(Reference!$A$6:$A$11,MIN(5,MATCH(MAX(Reference!$A$6,MIN(Reference!$A$11,MIN($U181,270))),Reference!$A$6:$A$11,1))))),0)+IF(8&lt;=$AL181,($AL181-8+3)*(INDEX(Reference!$B$6:$B$11,MIN(5,MATCH(MAX(Reference!$A$6,MIN(Reference!$A$11,MIN($U181,300))),Reference!$A$6:$A$11,1)))+(MAX(Reference!$A$6,MIN(Reference!$A$11,MIN($U181,300)))-INDEX(Reference!$A$6:$A$11,MIN(5,MATCH(MAX(Reference!$A$6,MIN(Reference!$A$11,MIN($U181,300))),Reference!$A$6:$A$11,1))))*(INDEX(Reference!$B$6:$B$11,MIN(5,MATCH(MAX(Reference!$A$6,MIN(Reference!$A$11,MIN($U181,300))),Reference!$A$6:$A$11,1))+1)-INDEX(Reference!$B$6:$B$11,MIN(5,MATCH(MAX(Reference!$A$6,MIN(Reference!$A$11,MIN($U181,300))),Reference!$A$6:$A$11,1))))/(INDEX(Reference!$A$6:$A$11,MIN(5,MATCH(MAX(Reference!$A$6,MIN(Reference!$A$11,MIN($U181,300))),Reference!$A$6:$A$11,1))+1)-INDEX(Reference!$A$6:$A$11,MIN(5,MATCH(MAX(Reference!$A$6,MIN(Reference!$A$11,MIN($U181,300))),Reference!$A$6:$A$11,1))))),0))/($AL181*($AL181+5)/2)),$AN181))</f>
        <v>0</v>
      </c>
      <c r="AN181" s="32">
        <f>IF($U181="",0,(INDEX(Reference!$B$6:$B$11,MIN(5,MATCH(MAX(Reference!$A$6,MIN(Reference!$A$11,$U181)),Reference!$A$6:$A$11,1)))+(MAX(Reference!$A$6,MIN(Reference!$A$11,$U181))-INDEX(Reference!$A$6:$A$11,MIN(5,MATCH(MAX(Reference!$A$6,MIN(Reference!$A$11,$U181)),Reference!$A$6:$A$11,1))))*(INDEX(Reference!$B$6:$B$11,MIN(5,MATCH(MAX(Reference!$A$6,MIN(Reference!$A$11,$U181)),Reference!$A$6:$A$11,1))+1)-INDEX(Reference!$B$6:$B$11,MIN(5,MATCH(MAX(Reference!$A$6,MIN(Reference!$A$11,$U181)),Reference!$A$6:$A$11,1))))/(INDEX(Reference!$A$6:$A$11,MIN(5,MATCH(MAX(Reference!$A$6,MIN(Reference!$A$11,$U181)),Reference!$A$6:$A$11,1))+1)-INDEX(Reference!$A$6:$A$11,MIN(5,MATCH(MAX(Reference!$A$6,MIN(Reference!$A$11,$U181)),Reference!$A$6:$A$11,1))))))</f>
        <v>0</v>
      </c>
      <c r="AO181" s="37"/>
      <c r="AP181" s="37"/>
      <c r="AQ181" s="37"/>
    </row>
    <row r="182" spans="1:43" x14ac:dyDescent="0.3">
      <c r="A182" s="48" t="str">
        <f t="shared" si="105"/>
        <v/>
      </c>
      <c r="B182" s="32" t="str">
        <f t="shared" si="106"/>
        <v/>
      </c>
      <c r="C182" s="32" t="str">
        <f t="shared" si="107"/>
        <v/>
      </c>
      <c r="D182" s="32" t="str">
        <f t="shared" si="108"/>
        <v/>
      </c>
      <c r="E182" s="32" t="str">
        <f t="shared" si="109"/>
        <v/>
      </c>
      <c r="F182" s="32" t="str">
        <f t="shared" si="110"/>
        <v/>
      </c>
      <c r="G182" s="47" t="str">
        <f t="shared" si="111"/>
        <v/>
      </c>
      <c r="H182" s="30" t="str">
        <f t="shared" si="112"/>
        <v/>
      </c>
      <c r="I182" s="46" t="str">
        <f>IF($A182="","",IF(AND($L182&lt;27,$K$12=0),"Building",IFERROR(((SUM($H$176:$H182)+$K$12*IF($L182&lt;6,SUMIFS('Throw Log'!$Q$5:$Q$300,'Throw Log'!$B$5:$B$300,$D$4,'Throw Log'!$A$5:$A$300,"&gt;="&amp;($D$6+$L182-6),'Throw Log'!$A$5:$A$300,"&lt;="&amp;($D$6-1)),0))/7)/((SUM($H$155:$H182)+$K$12*IF($L182&lt;27,SUMIFS('Throw Log'!$Q$5:$Q$300,'Throw Log'!$B$5:$B$300,$D$4,'Throw Log'!$A$5:$A$300,"&gt;="&amp;($D$6+$L182-27),'Throw Log'!$A$5:$A$300,"&lt;="&amp;($D$6-1)),0))/28),"")))</f>
        <v/>
      </c>
      <c r="J182" s="37"/>
      <c r="K182" s="37"/>
      <c r="L182" s="32">
        <v>139</v>
      </c>
      <c r="M182" s="32">
        <f t="shared" si="113"/>
        <v>20</v>
      </c>
      <c r="N182" s="32">
        <f t="shared" si="114"/>
        <v>6</v>
      </c>
      <c r="O182" s="32">
        <f t="shared" si="115"/>
        <v>1</v>
      </c>
      <c r="P182" s="32" t="str">
        <f>IF(OR($A182="",N($C182)&lt;=7),"",$G$6*$G$9^($M182-1)*IF(AND(MOD($M182,Reference!$B$99)=0,$M182&lt;=$G$5-2),Reference!$B$100,1))</f>
        <v/>
      </c>
      <c r="Q182" s="32" t="str">
        <f>IF($P182="","",IF(SUM($AK$176:$AK$182)=0,0,$P182*INDEX(Reference!$B$108:$B$114,$N182+1)/SUM($AK$176:$AK$182)))</f>
        <v/>
      </c>
      <c r="R182" s="32">
        <f t="shared" si="116"/>
        <v>180</v>
      </c>
      <c r="S182" s="32">
        <f t="shared" si="117"/>
        <v>150</v>
      </c>
      <c r="T182" s="32" t="str">
        <f>IF($A182="","",IF($C182=0,"Bullpen",IF(OR($C182=7,$C182=1,$C182=5),"Recovery/Easy Catch",IF($C182=6,"Compression/Pulldowns",IF(OR($C182=4,$C182=2),"Long Toss",IF($C182=3,"No Throw",IF($N182=2,"No Throw",IF($N182=6,IF($O182&lt;Reference!$B$104,"No Throw","Recovery/Easy Catch"),IF(OR($N182=0,$N182=4),"Recovery/Easy Catch",IF($N182=1,IF($R182&gt;75,"Long Toss","Recovery/Easy Catch"),IF($N182=3,IF($O182&lt;0.5,IF($S182&gt;75,"Long Toss","Recovery/Easy Catch"),"Compression/Pulldowns"),IF($S182&gt;75,"Long Toss","Recovery/Easy Catch"))))))))))))</f>
        <v/>
      </c>
      <c r="U182" s="32" t="str">
        <f t="shared" si="118"/>
        <v/>
      </c>
      <c r="V182" s="32" t="str">
        <f t="shared" si="119"/>
        <v/>
      </c>
      <c r="W182" s="32" t="str">
        <f t="shared" si="120"/>
        <v/>
      </c>
      <c r="X182" s="32">
        <f t="shared" si="121"/>
        <v>0</v>
      </c>
      <c r="Y182" s="32" t="str">
        <f t="shared" si="122"/>
        <v/>
      </c>
      <c r="Z182" s="32" t="str">
        <f t="shared" si="123"/>
        <v/>
      </c>
      <c r="AA182" s="32" t="str">
        <f t="shared" si="124"/>
        <v/>
      </c>
      <c r="AB182" s="32" t="str">
        <f>IF($A182="","",IF($T182="No Throw",0,IF($K182&lt;&gt;"",$K182,IF($AA182&lt;&gt;"",ROUND($AA182*$D$12*IF($C182=0,1,$G$10),0),MIN(IF($T182="Recovery/Easy Catch",Reference!$B$103,IF($T182="Long Toss",Reference!$B$106,Reference!$B$102)),MAX(Reference!$B$101,ROUND(MAX(0,$Q182-$AE182)/$AF182,0)))))))</f>
        <v/>
      </c>
      <c r="AC182" s="32">
        <f t="shared" si="125"/>
        <v>0</v>
      </c>
      <c r="AD182" s="32" t="b">
        <f t="shared" si="126"/>
        <v>1</v>
      </c>
      <c r="AE182" s="32">
        <f>IF($X182=0,0,$X182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182+$Z182)/2,0),Reference!$A$17:$B$20,2,TRUE()))</f>
        <v>0</v>
      </c>
      <c r="AF182" s="32">
        <f>IF(OR($A182="",$U182="",$T182="No Throw"),0,$AM182*VLOOKUP(MAX(($V182+$W182)/2,0),Reference!$A$17:$B$20,2,TRUE()))</f>
        <v>0</v>
      </c>
      <c r="AG182" s="32">
        <f>IF($AC182=0,0,$AC182*INDEX(Reference!$B$61:$B$62,MATCH("Bullpen",Reference!$A$61:$A$62,0))*VLOOKUP(MAX($D$5-($D$9+$E$9)/2,0),Reference!$A$17:$B$20,2,TRUE()))</f>
        <v>0</v>
      </c>
      <c r="AH182" s="32" t="e">
        <f t="shared" si="127"/>
        <v>#N/A</v>
      </c>
      <c r="AI182" s="32" t="e">
        <f>IF($A182="",NA(),Reference!$A$25)</f>
        <v>#N/A</v>
      </c>
      <c r="AJ182" s="32" t="e">
        <f t="shared" si="128"/>
        <v>#N/A</v>
      </c>
      <c r="AK182" s="32">
        <f>IF(OR($A182="",N($C182)&lt;=7,$T182="No Throw",$J182="x"),0,INDEX(Reference!$B$108:$B$114,$N182+1))</f>
        <v>0</v>
      </c>
      <c r="AL182" s="32">
        <f t="shared" si="129"/>
        <v>1</v>
      </c>
      <c r="AM182" s="32">
        <f>IF($U182="",0,IF($AL182&gt;1,((IF(1&lt;=$AL182,($AL182-1+3)*(INDEX(Reference!$B$6:$B$11,MIN(5,MATCH(MAX(Reference!$A$6,MIN(Reference!$A$11,MIN($U182,90))),Reference!$A$6:$A$11,1)))+(MAX(Reference!$A$6,MIN(Reference!$A$11,MIN($U182,90)))-INDEX(Reference!$A$6:$A$11,MIN(5,MATCH(MAX(Reference!$A$6,MIN(Reference!$A$11,MIN($U182,90))),Reference!$A$6:$A$11,1))))*(INDEX(Reference!$B$6:$B$11,MIN(5,MATCH(MAX(Reference!$A$6,MIN(Reference!$A$11,MIN($U182,90))),Reference!$A$6:$A$11,1))+1)-INDEX(Reference!$B$6:$B$11,MIN(5,MATCH(MAX(Reference!$A$6,MIN(Reference!$A$11,MIN($U182,90))),Reference!$A$6:$A$11,1))))/(INDEX(Reference!$A$6:$A$11,MIN(5,MATCH(MAX(Reference!$A$6,MIN(Reference!$A$11,MIN($U182,90))),Reference!$A$6:$A$11,1))+1)-INDEX(Reference!$A$6:$A$11,MIN(5,MATCH(MAX(Reference!$A$6,MIN(Reference!$A$11,MIN($U182,90))),Reference!$A$6:$A$11,1))))),0)+IF(2&lt;=$AL182,($AL182-2+3)*(INDEX(Reference!$B$6:$B$11,MIN(5,MATCH(MAX(Reference!$A$6,MIN(Reference!$A$11,MIN($U182,120))),Reference!$A$6:$A$11,1)))+(MAX(Reference!$A$6,MIN(Reference!$A$11,MIN($U182,120)))-INDEX(Reference!$A$6:$A$11,MIN(5,MATCH(MAX(Reference!$A$6,MIN(Reference!$A$11,MIN($U182,120))),Reference!$A$6:$A$11,1))))*(INDEX(Reference!$B$6:$B$11,MIN(5,MATCH(MAX(Reference!$A$6,MIN(Reference!$A$11,MIN($U182,120))),Reference!$A$6:$A$11,1))+1)-INDEX(Reference!$B$6:$B$11,MIN(5,MATCH(MAX(Reference!$A$6,MIN(Reference!$A$11,MIN($U182,120))),Reference!$A$6:$A$11,1))))/(INDEX(Reference!$A$6:$A$11,MIN(5,MATCH(MAX(Reference!$A$6,MIN(Reference!$A$11,MIN($U182,120))),Reference!$A$6:$A$11,1))+1)-INDEX(Reference!$A$6:$A$11,MIN(5,MATCH(MAX(Reference!$A$6,MIN(Reference!$A$11,MIN($U182,120))),Reference!$A$6:$A$11,1))))),0)+IF(3&lt;=$AL182,($AL182-3+3)*(INDEX(Reference!$B$6:$B$11,MIN(5,MATCH(MAX(Reference!$A$6,MIN(Reference!$A$11,MIN($U182,150))),Reference!$A$6:$A$11,1)))+(MAX(Reference!$A$6,MIN(Reference!$A$11,MIN($U182,150)))-INDEX(Reference!$A$6:$A$11,MIN(5,MATCH(MAX(Reference!$A$6,MIN(Reference!$A$11,MIN($U182,150))),Reference!$A$6:$A$11,1))))*(INDEX(Reference!$B$6:$B$11,MIN(5,MATCH(MAX(Reference!$A$6,MIN(Reference!$A$11,MIN($U182,150))),Reference!$A$6:$A$11,1))+1)-INDEX(Reference!$B$6:$B$11,MIN(5,MATCH(MAX(Reference!$A$6,MIN(Reference!$A$11,MIN($U182,150))),Reference!$A$6:$A$11,1))))/(INDEX(Reference!$A$6:$A$11,MIN(5,MATCH(MAX(Reference!$A$6,MIN(Reference!$A$11,MIN($U182,150))),Reference!$A$6:$A$11,1))+1)-INDEX(Reference!$A$6:$A$11,MIN(5,MATCH(MAX(Reference!$A$6,MIN(Reference!$A$11,MIN($U182,150))),Reference!$A$6:$A$11,1))))),0)+IF(4&lt;=$AL182,($AL182-4+3)*(INDEX(Reference!$B$6:$B$11,MIN(5,MATCH(MAX(Reference!$A$6,MIN(Reference!$A$11,MIN($U182,180))),Reference!$A$6:$A$11,1)))+(MAX(Reference!$A$6,MIN(Reference!$A$11,MIN($U182,180)))-INDEX(Reference!$A$6:$A$11,MIN(5,MATCH(MAX(Reference!$A$6,MIN(Reference!$A$11,MIN($U182,180))),Reference!$A$6:$A$11,1))))*(INDEX(Reference!$B$6:$B$11,MIN(5,MATCH(MAX(Reference!$A$6,MIN(Reference!$A$11,MIN($U182,180))),Reference!$A$6:$A$11,1))+1)-INDEX(Reference!$B$6:$B$11,MIN(5,MATCH(MAX(Reference!$A$6,MIN(Reference!$A$11,MIN($U182,180))),Reference!$A$6:$A$11,1))))/(INDEX(Reference!$A$6:$A$11,MIN(5,MATCH(MAX(Reference!$A$6,MIN(Reference!$A$11,MIN($U182,180))),Reference!$A$6:$A$11,1))+1)-INDEX(Reference!$A$6:$A$11,MIN(5,MATCH(MAX(Reference!$A$6,MIN(Reference!$A$11,MIN($U182,180))),Reference!$A$6:$A$11,1))))),0)+IF(5&lt;=$AL182,($AL182-5+3)*(INDEX(Reference!$B$6:$B$11,MIN(5,MATCH(MAX(Reference!$A$6,MIN(Reference!$A$11,MIN($U182,210))),Reference!$A$6:$A$11,1)))+(MAX(Reference!$A$6,MIN(Reference!$A$11,MIN($U182,210)))-INDEX(Reference!$A$6:$A$11,MIN(5,MATCH(MAX(Reference!$A$6,MIN(Reference!$A$11,MIN($U182,210))),Reference!$A$6:$A$11,1))))*(INDEX(Reference!$B$6:$B$11,MIN(5,MATCH(MAX(Reference!$A$6,MIN(Reference!$A$11,MIN($U182,210))),Reference!$A$6:$A$11,1))+1)-INDEX(Reference!$B$6:$B$11,MIN(5,MATCH(MAX(Reference!$A$6,MIN(Reference!$A$11,MIN($U182,210))),Reference!$A$6:$A$11,1))))/(INDEX(Reference!$A$6:$A$11,MIN(5,MATCH(MAX(Reference!$A$6,MIN(Reference!$A$11,MIN($U182,210))),Reference!$A$6:$A$11,1))+1)-INDEX(Reference!$A$6:$A$11,MIN(5,MATCH(MAX(Reference!$A$6,MIN(Reference!$A$11,MIN($U182,210))),Reference!$A$6:$A$11,1))))),0)+IF(6&lt;=$AL182,($AL182-6+3)*(INDEX(Reference!$B$6:$B$11,MIN(5,MATCH(MAX(Reference!$A$6,MIN(Reference!$A$11,MIN($U182,240))),Reference!$A$6:$A$11,1)))+(MAX(Reference!$A$6,MIN(Reference!$A$11,MIN($U182,240)))-INDEX(Reference!$A$6:$A$11,MIN(5,MATCH(MAX(Reference!$A$6,MIN(Reference!$A$11,MIN($U182,240))),Reference!$A$6:$A$11,1))))*(INDEX(Reference!$B$6:$B$11,MIN(5,MATCH(MAX(Reference!$A$6,MIN(Reference!$A$11,MIN($U182,240))),Reference!$A$6:$A$11,1))+1)-INDEX(Reference!$B$6:$B$11,MIN(5,MATCH(MAX(Reference!$A$6,MIN(Reference!$A$11,MIN($U182,240))),Reference!$A$6:$A$11,1))))/(INDEX(Reference!$A$6:$A$11,MIN(5,MATCH(MAX(Reference!$A$6,MIN(Reference!$A$11,MIN($U182,240))),Reference!$A$6:$A$11,1))+1)-INDEX(Reference!$A$6:$A$11,MIN(5,MATCH(MAX(Reference!$A$6,MIN(Reference!$A$11,MIN($U182,240))),Reference!$A$6:$A$11,1))))),0)+IF(7&lt;=$AL182,($AL182-7+3)*(INDEX(Reference!$B$6:$B$11,MIN(5,MATCH(MAX(Reference!$A$6,MIN(Reference!$A$11,MIN($U182,270))),Reference!$A$6:$A$11,1)))+(MAX(Reference!$A$6,MIN(Reference!$A$11,MIN($U182,270)))-INDEX(Reference!$A$6:$A$11,MIN(5,MATCH(MAX(Reference!$A$6,MIN(Reference!$A$11,MIN($U182,270))),Reference!$A$6:$A$11,1))))*(INDEX(Reference!$B$6:$B$11,MIN(5,MATCH(MAX(Reference!$A$6,MIN(Reference!$A$11,MIN($U182,270))),Reference!$A$6:$A$11,1))+1)-INDEX(Reference!$B$6:$B$11,MIN(5,MATCH(MAX(Reference!$A$6,MIN(Reference!$A$11,MIN($U182,270))),Reference!$A$6:$A$11,1))))/(INDEX(Reference!$A$6:$A$11,MIN(5,MATCH(MAX(Reference!$A$6,MIN(Reference!$A$11,MIN($U182,270))),Reference!$A$6:$A$11,1))+1)-INDEX(Reference!$A$6:$A$11,MIN(5,MATCH(MAX(Reference!$A$6,MIN(Reference!$A$11,MIN($U182,270))),Reference!$A$6:$A$11,1))))),0)+IF(8&lt;=$AL182,($AL182-8+3)*(INDEX(Reference!$B$6:$B$11,MIN(5,MATCH(MAX(Reference!$A$6,MIN(Reference!$A$11,MIN($U182,300))),Reference!$A$6:$A$11,1)))+(MAX(Reference!$A$6,MIN(Reference!$A$11,MIN($U182,300)))-INDEX(Reference!$A$6:$A$11,MIN(5,MATCH(MAX(Reference!$A$6,MIN(Reference!$A$11,MIN($U182,300))),Reference!$A$6:$A$11,1))))*(INDEX(Reference!$B$6:$B$11,MIN(5,MATCH(MAX(Reference!$A$6,MIN(Reference!$A$11,MIN($U182,300))),Reference!$A$6:$A$11,1))+1)-INDEX(Reference!$B$6:$B$11,MIN(5,MATCH(MAX(Reference!$A$6,MIN(Reference!$A$11,MIN($U182,300))),Reference!$A$6:$A$11,1))))/(INDEX(Reference!$A$6:$A$11,MIN(5,MATCH(MAX(Reference!$A$6,MIN(Reference!$A$11,MIN($U182,300))),Reference!$A$6:$A$11,1))+1)-INDEX(Reference!$A$6:$A$11,MIN(5,MATCH(MAX(Reference!$A$6,MIN(Reference!$A$11,MIN($U182,300))),Reference!$A$6:$A$11,1))))),0))/($AL182*($AL182+5)/2)),$AN182))</f>
        <v>0</v>
      </c>
      <c r="AN182" s="32">
        <f>IF($U182="",0,(INDEX(Reference!$B$6:$B$11,MIN(5,MATCH(MAX(Reference!$A$6,MIN(Reference!$A$11,$U182)),Reference!$A$6:$A$11,1)))+(MAX(Reference!$A$6,MIN(Reference!$A$11,$U182))-INDEX(Reference!$A$6:$A$11,MIN(5,MATCH(MAX(Reference!$A$6,MIN(Reference!$A$11,$U182)),Reference!$A$6:$A$11,1))))*(INDEX(Reference!$B$6:$B$11,MIN(5,MATCH(MAX(Reference!$A$6,MIN(Reference!$A$11,$U182)),Reference!$A$6:$A$11,1))+1)-INDEX(Reference!$B$6:$B$11,MIN(5,MATCH(MAX(Reference!$A$6,MIN(Reference!$A$11,$U182)),Reference!$A$6:$A$11,1))))/(INDEX(Reference!$A$6:$A$11,MIN(5,MATCH(MAX(Reference!$A$6,MIN(Reference!$A$11,$U182)),Reference!$A$6:$A$11,1))+1)-INDEX(Reference!$A$6:$A$11,MIN(5,MATCH(MAX(Reference!$A$6,MIN(Reference!$A$11,$U182)),Reference!$A$6:$A$11,1))))))</f>
        <v>0</v>
      </c>
      <c r="AO182" s="37"/>
      <c r="AP182" s="37"/>
      <c r="AQ182" s="37"/>
    </row>
    <row r="183" spans="1:43" x14ac:dyDescent="0.3">
      <c r="A183" s="48" t="str">
        <f t="shared" si="105"/>
        <v/>
      </c>
      <c r="B183" s="32" t="str">
        <f t="shared" si="106"/>
        <v/>
      </c>
      <c r="C183" s="32" t="str">
        <f t="shared" si="107"/>
        <v/>
      </c>
      <c r="D183" s="32" t="str">
        <f t="shared" si="108"/>
        <v/>
      </c>
      <c r="E183" s="32" t="str">
        <f t="shared" si="109"/>
        <v/>
      </c>
      <c r="F183" s="32" t="str">
        <f t="shared" si="110"/>
        <v/>
      </c>
      <c r="G183" s="47" t="str">
        <f t="shared" si="111"/>
        <v/>
      </c>
      <c r="H183" s="30" t="str">
        <f t="shared" si="112"/>
        <v/>
      </c>
      <c r="I183" s="46" t="str">
        <f>IF($A183="","",IF(AND($L183&lt;27,$K$12=0),"Building",IFERROR(((SUM($H$177:$H183)+$K$12*IF($L183&lt;6,SUMIFS('Throw Log'!$Q$5:$Q$300,'Throw Log'!$B$5:$B$300,$D$4,'Throw Log'!$A$5:$A$300,"&gt;="&amp;($D$6+$L183-6),'Throw Log'!$A$5:$A$300,"&lt;="&amp;($D$6-1)),0))/7)/((SUM($H$156:$H183)+$K$12*IF($L183&lt;27,SUMIFS('Throw Log'!$Q$5:$Q$300,'Throw Log'!$B$5:$B$300,$D$4,'Throw Log'!$A$5:$A$300,"&gt;="&amp;($D$6+$L183-27),'Throw Log'!$A$5:$A$300,"&lt;="&amp;($D$6-1)),0))/28),"")))</f>
        <v/>
      </c>
      <c r="J183" s="37"/>
      <c r="K183" s="37"/>
      <c r="L183" s="32">
        <v>140</v>
      </c>
      <c r="M183" s="32">
        <f t="shared" si="113"/>
        <v>21</v>
      </c>
      <c r="N183" s="32">
        <f t="shared" si="114"/>
        <v>0</v>
      </c>
      <c r="O183" s="32">
        <f t="shared" si="115"/>
        <v>1</v>
      </c>
      <c r="P183" s="32" t="str">
        <f>IF(OR($A183="",N($C183)&lt;=7),"",$G$6*$G$9^($M183-1)*IF(AND(MOD($M183,Reference!$B$99)=0,$M183&lt;=$G$5-2),Reference!$B$100,1))</f>
        <v/>
      </c>
      <c r="Q183" s="32" t="str">
        <f>IF($P183="","",IF(SUM($AK$183:$AK$189)=0,0,$P183*INDEX(Reference!$B$108:$B$114,$N183+1)/SUM($AK$183:$AK$189)))</f>
        <v/>
      </c>
      <c r="R183" s="32">
        <f t="shared" si="116"/>
        <v>180</v>
      </c>
      <c r="S183" s="32">
        <f t="shared" si="117"/>
        <v>150</v>
      </c>
      <c r="T183" s="32" t="str">
        <f>IF($A183="","",IF($C183=0,"Bullpen",IF(OR($C183=7,$C183=1,$C183=5),"Recovery/Easy Catch",IF($C183=6,"Compression/Pulldowns",IF(OR($C183=4,$C183=2),"Long Toss",IF($C183=3,"No Throw",IF($N183=2,"No Throw",IF($N183=6,IF($O183&lt;Reference!$B$104,"No Throw","Recovery/Easy Catch"),IF(OR($N183=0,$N183=4),"Recovery/Easy Catch",IF($N183=1,IF($R183&gt;75,"Long Toss","Recovery/Easy Catch"),IF($N183=3,IF($O183&lt;0.5,IF($S183&gt;75,"Long Toss","Recovery/Easy Catch"),"Compression/Pulldowns"),IF($S183&gt;75,"Long Toss","Recovery/Easy Catch"))))))))))))</f>
        <v/>
      </c>
      <c r="U183" s="32" t="str">
        <f t="shared" si="118"/>
        <v/>
      </c>
      <c r="V183" s="32" t="str">
        <f t="shared" si="119"/>
        <v/>
      </c>
      <c r="W183" s="32" t="str">
        <f t="shared" si="120"/>
        <v/>
      </c>
      <c r="X183" s="32">
        <f t="shared" si="121"/>
        <v>0</v>
      </c>
      <c r="Y183" s="32" t="str">
        <f t="shared" si="122"/>
        <v/>
      </c>
      <c r="Z183" s="32" t="str">
        <f t="shared" si="123"/>
        <v/>
      </c>
      <c r="AA183" s="32" t="str">
        <f t="shared" si="124"/>
        <v/>
      </c>
      <c r="AB183" s="32" t="str">
        <f>IF($A183="","",IF($T183="No Throw",0,IF($K183&lt;&gt;"",$K183,IF($AA183&lt;&gt;"",ROUND($AA183*$D$12*IF($C183=0,1,$G$10),0),MIN(IF($T183="Recovery/Easy Catch",Reference!$B$103,IF($T183="Long Toss",Reference!$B$106,Reference!$B$102)),MAX(Reference!$B$101,ROUND(MAX(0,$Q183-$AE183)/$AF183,0)))))))</f>
        <v/>
      </c>
      <c r="AC183" s="32">
        <f t="shared" si="125"/>
        <v>0</v>
      </c>
      <c r="AD183" s="32" t="b">
        <f t="shared" si="126"/>
        <v>1</v>
      </c>
      <c r="AE183" s="32">
        <f>IF($X183=0,0,$X183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183+$Z183)/2,0),Reference!$A$17:$B$20,2,TRUE()))</f>
        <v>0</v>
      </c>
      <c r="AF183" s="32">
        <f>IF(OR($A183="",$U183="",$T183="No Throw"),0,$AM183*VLOOKUP(MAX(($V183+$W183)/2,0),Reference!$A$17:$B$20,2,TRUE()))</f>
        <v>0</v>
      </c>
      <c r="AG183" s="32">
        <f>IF($AC183=0,0,$AC183*INDEX(Reference!$B$61:$B$62,MATCH("Bullpen",Reference!$A$61:$A$62,0))*VLOOKUP(MAX($D$5-($D$9+$E$9)/2,0),Reference!$A$17:$B$20,2,TRUE()))</f>
        <v>0</v>
      </c>
      <c r="AH183" s="32" t="e">
        <f t="shared" si="127"/>
        <v>#N/A</v>
      </c>
      <c r="AI183" s="32" t="e">
        <f>IF($A183="",NA(),Reference!$A$25)</f>
        <v>#N/A</v>
      </c>
      <c r="AJ183" s="32" t="e">
        <f t="shared" si="128"/>
        <v>#N/A</v>
      </c>
      <c r="AK183" s="32">
        <f>IF(OR($A183="",N($C183)&lt;=7,$T183="No Throw",$J183="x"),0,INDEX(Reference!$B$108:$B$114,$N183+1))</f>
        <v>0</v>
      </c>
      <c r="AL183" s="32">
        <f t="shared" si="129"/>
        <v>1</v>
      </c>
      <c r="AM183" s="32">
        <f>IF($U183="",0,IF($AL183&gt;1,((IF(1&lt;=$AL183,($AL183-1+3)*(INDEX(Reference!$B$6:$B$11,MIN(5,MATCH(MAX(Reference!$A$6,MIN(Reference!$A$11,MIN($U183,90))),Reference!$A$6:$A$11,1)))+(MAX(Reference!$A$6,MIN(Reference!$A$11,MIN($U183,90)))-INDEX(Reference!$A$6:$A$11,MIN(5,MATCH(MAX(Reference!$A$6,MIN(Reference!$A$11,MIN($U183,90))),Reference!$A$6:$A$11,1))))*(INDEX(Reference!$B$6:$B$11,MIN(5,MATCH(MAX(Reference!$A$6,MIN(Reference!$A$11,MIN($U183,90))),Reference!$A$6:$A$11,1))+1)-INDEX(Reference!$B$6:$B$11,MIN(5,MATCH(MAX(Reference!$A$6,MIN(Reference!$A$11,MIN($U183,90))),Reference!$A$6:$A$11,1))))/(INDEX(Reference!$A$6:$A$11,MIN(5,MATCH(MAX(Reference!$A$6,MIN(Reference!$A$11,MIN($U183,90))),Reference!$A$6:$A$11,1))+1)-INDEX(Reference!$A$6:$A$11,MIN(5,MATCH(MAX(Reference!$A$6,MIN(Reference!$A$11,MIN($U183,90))),Reference!$A$6:$A$11,1))))),0)+IF(2&lt;=$AL183,($AL183-2+3)*(INDEX(Reference!$B$6:$B$11,MIN(5,MATCH(MAX(Reference!$A$6,MIN(Reference!$A$11,MIN($U183,120))),Reference!$A$6:$A$11,1)))+(MAX(Reference!$A$6,MIN(Reference!$A$11,MIN($U183,120)))-INDEX(Reference!$A$6:$A$11,MIN(5,MATCH(MAX(Reference!$A$6,MIN(Reference!$A$11,MIN($U183,120))),Reference!$A$6:$A$11,1))))*(INDEX(Reference!$B$6:$B$11,MIN(5,MATCH(MAX(Reference!$A$6,MIN(Reference!$A$11,MIN($U183,120))),Reference!$A$6:$A$11,1))+1)-INDEX(Reference!$B$6:$B$11,MIN(5,MATCH(MAX(Reference!$A$6,MIN(Reference!$A$11,MIN($U183,120))),Reference!$A$6:$A$11,1))))/(INDEX(Reference!$A$6:$A$11,MIN(5,MATCH(MAX(Reference!$A$6,MIN(Reference!$A$11,MIN($U183,120))),Reference!$A$6:$A$11,1))+1)-INDEX(Reference!$A$6:$A$11,MIN(5,MATCH(MAX(Reference!$A$6,MIN(Reference!$A$11,MIN($U183,120))),Reference!$A$6:$A$11,1))))),0)+IF(3&lt;=$AL183,($AL183-3+3)*(INDEX(Reference!$B$6:$B$11,MIN(5,MATCH(MAX(Reference!$A$6,MIN(Reference!$A$11,MIN($U183,150))),Reference!$A$6:$A$11,1)))+(MAX(Reference!$A$6,MIN(Reference!$A$11,MIN($U183,150)))-INDEX(Reference!$A$6:$A$11,MIN(5,MATCH(MAX(Reference!$A$6,MIN(Reference!$A$11,MIN($U183,150))),Reference!$A$6:$A$11,1))))*(INDEX(Reference!$B$6:$B$11,MIN(5,MATCH(MAX(Reference!$A$6,MIN(Reference!$A$11,MIN($U183,150))),Reference!$A$6:$A$11,1))+1)-INDEX(Reference!$B$6:$B$11,MIN(5,MATCH(MAX(Reference!$A$6,MIN(Reference!$A$11,MIN($U183,150))),Reference!$A$6:$A$11,1))))/(INDEX(Reference!$A$6:$A$11,MIN(5,MATCH(MAX(Reference!$A$6,MIN(Reference!$A$11,MIN($U183,150))),Reference!$A$6:$A$11,1))+1)-INDEX(Reference!$A$6:$A$11,MIN(5,MATCH(MAX(Reference!$A$6,MIN(Reference!$A$11,MIN($U183,150))),Reference!$A$6:$A$11,1))))),0)+IF(4&lt;=$AL183,($AL183-4+3)*(INDEX(Reference!$B$6:$B$11,MIN(5,MATCH(MAX(Reference!$A$6,MIN(Reference!$A$11,MIN($U183,180))),Reference!$A$6:$A$11,1)))+(MAX(Reference!$A$6,MIN(Reference!$A$11,MIN($U183,180)))-INDEX(Reference!$A$6:$A$11,MIN(5,MATCH(MAX(Reference!$A$6,MIN(Reference!$A$11,MIN($U183,180))),Reference!$A$6:$A$11,1))))*(INDEX(Reference!$B$6:$B$11,MIN(5,MATCH(MAX(Reference!$A$6,MIN(Reference!$A$11,MIN($U183,180))),Reference!$A$6:$A$11,1))+1)-INDEX(Reference!$B$6:$B$11,MIN(5,MATCH(MAX(Reference!$A$6,MIN(Reference!$A$11,MIN($U183,180))),Reference!$A$6:$A$11,1))))/(INDEX(Reference!$A$6:$A$11,MIN(5,MATCH(MAX(Reference!$A$6,MIN(Reference!$A$11,MIN($U183,180))),Reference!$A$6:$A$11,1))+1)-INDEX(Reference!$A$6:$A$11,MIN(5,MATCH(MAX(Reference!$A$6,MIN(Reference!$A$11,MIN($U183,180))),Reference!$A$6:$A$11,1))))),0)+IF(5&lt;=$AL183,($AL183-5+3)*(INDEX(Reference!$B$6:$B$11,MIN(5,MATCH(MAX(Reference!$A$6,MIN(Reference!$A$11,MIN($U183,210))),Reference!$A$6:$A$11,1)))+(MAX(Reference!$A$6,MIN(Reference!$A$11,MIN($U183,210)))-INDEX(Reference!$A$6:$A$11,MIN(5,MATCH(MAX(Reference!$A$6,MIN(Reference!$A$11,MIN($U183,210))),Reference!$A$6:$A$11,1))))*(INDEX(Reference!$B$6:$B$11,MIN(5,MATCH(MAX(Reference!$A$6,MIN(Reference!$A$11,MIN($U183,210))),Reference!$A$6:$A$11,1))+1)-INDEX(Reference!$B$6:$B$11,MIN(5,MATCH(MAX(Reference!$A$6,MIN(Reference!$A$11,MIN($U183,210))),Reference!$A$6:$A$11,1))))/(INDEX(Reference!$A$6:$A$11,MIN(5,MATCH(MAX(Reference!$A$6,MIN(Reference!$A$11,MIN($U183,210))),Reference!$A$6:$A$11,1))+1)-INDEX(Reference!$A$6:$A$11,MIN(5,MATCH(MAX(Reference!$A$6,MIN(Reference!$A$11,MIN($U183,210))),Reference!$A$6:$A$11,1))))),0)+IF(6&lt;=$AL183,($AL183-6+3)*(INDEX(Reference!$B$6:$B$11,MIN(5,MATCH(MAX(Reference!$A$6,MIN(Reference!$A$11,MIN($U183,240))),Reference!$A$6:$A$11,1)))+(MAX(Reference!$A$6,MIN(Reference!$A$11,MIN($U183,240)))-INDEX(Reference!$A$6:$A$11,MIN(5,MATCH(MAX(Reference!$A$6,MIN(Reference!$A$11,MIN($U183,240))),Reference!$A$6:$A$11,1))))*(INDEX(Reference!$B$6:$B$11,MIN(5,MATCH(MAX(Reference!$A$6,MIN(Reference!$A$11,MIN($U183,240))),Reference!$A$6:$A$11,1))+1)-INDEX(Reference!$B$6:$B$11,MIN(5,MATCH(MAX(Reference!$A$6,MIN(Reference!$A$11,MIN($U183,240))),Reference!$A$6:$A$11,1))))/(INDEX(Reference!$A$6:$A$11,MIN(5,MATCH(MAX(Reference!$A$6,MIN(Reference!$A$11,MIN($U183,240))),Reference!$A$6:$A$11,1))+1)-INDEX(Reference!$A$6:$A$11,MIN(5,MATCH(MAX(Reference!$A$6,MIN(Reference!$A$11,MIN($U183,240))),Reference!$A$6:$A$11,1))))),0)+IF(7&lt;=$AL183,($AL183-7+3)*(INDEX(Reference!$B$6:$B$11,MIN(5,MATCH(MAX(Reference!$A$6,MIN(Reference!$A$11,MIN($U183,270))),Reference!$A$6:$A$11,1)))+(MAX(Reference!$A$6,MIN(Reference!$A$11,MIN($U183,270)))-INDEX(Reference!$A$6:$A$11,MIN(5,MATCH(MAX(Reference!$A$6,MIN(Reference!$A$11,MIN($U183,270))),Reference!$A$6:$A$11,1))))*(INDEX(Reference!$B$6:$B$11,MIN(5,MATCH(MAX(Reference!$A$6,MIN(Reference!$A$11,MIN($U183,270))),Reference!$A$6:$A$11,1))+1)-INDEX(Reference!$B$6:$B$11,MIN(5,MATCH(MAX(Reference!$A$6,MIN(Reference!$A$11,MIN($U183,270))),Reference!$A$6:$A$11,1))))/(INDEX(Reference!$A$6:$A$11,MIN(5,MATCH(MAX(Reference!$A$6,MIN(Reference!$A$11,MIN($U183,270))),Reference!$A$6:$A$11,1))+1)-INDEX(Reference!$A$6:$A$11,MIN(5,MATCH(MAX(Reference!$A$6,MIN(Reference!$A$11,MIN($U183,270))),Reference!$A$6:$A$11,1))))),0)+IF(8&lt;=$AL183,($AL183-8+3)*(INDEX(Reference!$B$6:$B$11,MIN(5,MATCH(MAX(Reference!$A$6,MIN(Reference!$A$11,MIN($U183,300))),Reference!$A$6:$A$11,1)))+(MAX(Reference!$A$6,MIN(Reference!$A$11,MIN($U183,300)))-INDEX(Reference!$A$6:$A$11,MIN(5,MATCH(MAX(Reference!$A$6,MIN(Reference!$A$11,MIN($U183,300))),Reference!$A$6:$A$11,1))))*(INDEX(Reference!$B$6:$B$11,MIN(5,MATCH(MAX(Reference!$A$6,MIN(Reference!$A$11,MIN($U183,300))),Reference!$A$6:$A$11,1))+1)-INDEX(Reference!$B$6:$B$11,MIN(5,MATCH(MAX(Reference!$A$6,MIN(Reference!$A$11,MIN($U183,300))),Reference!$A$6:$A$11,1))))/(INDEX(Reference!$A$6:$A$11,MIN(5,MATCH(MAX(Reference!$A$6,MIN(Reference!$A$11,MIN($U183,300))),Reference!$A$6:$A$11,1))+1)-INDEX(Reference!$A$6:$A$11,MIN(5,MATCH(MAX(Reference!$A$6,MIN(Reference!$A$11,MIN($U183,300))),Reference!$A$6:$A$11,1))))),0))/($AL183*($AL183+5)/2)),$AN183))</f>
        <v>0</v>
      </c>
      <c r="AN183" s="32">
        <f>IF($U183="",0,(INDEX(Reference!$B$6:$B$11,MIN(5,MATCH(MAX(Reference!$A$6,MIN(Reference!$A$11,$U183)),Reference!$A$6:$A$11,1)))+(MAX(Reference!$A$6,MIN(Reference!$A$11,$U183))-INDEX(Reference!$A$6:$A$11,MIN(5,MATCH(MAX(Reference!$A$6,MIN(Reference!$A$11,$U183)),Reference!$A$6:$A$11,1))))*(INDEX(Reference!$B$6:$B$11,MIN(5,MATCH(MAX(Reference!$A$6,MIN(Reference!$A$11,$U183)),Reference!$A$6:$A$11,1))+1)-INDEX(Reference!$B$6:$B$11,MIN(5,MATCH(MAX(Reference!$A$6,MIN(Reference!$A$11,$U183)),Reference!$A$6:$A$11,1))))/(INDEX(Reference!$A$6:$A$11,MIN(5,MATCH(MAX(Reference!$A$6,MIN(Reference!$A$11,$U183)),Reference!$A$6:$A$11,1))+1)-INDEX(Reference!$A$6:$A$11,MIN(5,MATCH(MAX(Reference!$A$6,MIN(Reference!$A$11,$U183)),Reference!$A$6:$A$11,1))))))</f>
        <v>0</v>
      </c>
      <c r="AO183" s="37"/>
      <c r="AP183" s="37"/>
      <c r="AQ183" s="37"/>
    </row>
  </sheetData>
  <mergeCells count="24">
    <mergeCell ref="A16:G16"/>
    <mergeCell ref="A17:G17"/>
    <mergeCell ref="A11:C11"/>
    <mergeCell ref="I11:J11"/>
    <mergeCell ref="A12:C12"/>
    <mergeCell ref="I12:J12"/>
    <mergeCell ref="A14:G15"/>
    <mergeCell ref="A9:C9"/>
    <mergeCell ref="I9:J9"/>
    <mergeCell ref="A10:C10"/>
    <mergeCell ref="D10:E10"/>
    <mergeCell ref="I10:J10"/>
    <mergeCell ref="A6:C6"/>
    <mergeCell ref="I6:J6"/>
    <mergeCell ref="A7:C7"/>
    <mergeCell ref="I7:J7"/>
    <mergeCell ref="A8:C8"/>
    <mergeCell ref="I8:J8"/>
    <mergeCell ref="A1:G1"/>
    <mergeCell ref="A2:G2"/>
    <mergeCell ref="A4:C4"/>
    <mergeCell ref="I4:K4"/>
    <mergeCell ref="A5:C5"/>
    <mergeCell ref="I5:J5"/>
  </mergeCells>
  <conditionalFormatting sqref="A43:K183">
    <cfRule type="expression" dxfId="27" priority="2">
      <formula>$F43="No Throw"</formula>
    </cfRule>
    <cfRule type="expression" dxfId="26" priority="3">
      <formula>AND($A43&lt;&gt;"",$C43=0)</formula>
    </cfRule>
  </conditionalFormatting>
  <conditionalFormatting sqref="F19:F39">
    <cfRule type="expression" dxfId="25" priority="8">
      <formula>AND(ISNUMBER(F19),F19&lt;0.8)</formula>
    </cfRule>
    <cfRule type="expression" dxfId="24" priority="9">
      <formula>AND(ISNUMBER(F19),F19&gt;=0.8,F19&lt;=1.3)</formula>
    </cfRule>
    <cfRule type="expression" dxfId="23" priority="10">
      <formula>AND(ISNUMBER(F19),F19&gt;1.3,F19&lt;=1.5)</formula>
    </cfRule>
    <cfRule type="expression" dxfId="22" priority="11">
      <formula>AND(ISNUMBER(F19),F19&gt;1.5)</formula>
    </cfRule>
  </conditionalFormatting>
  <conditionalFormatting sqref="G12:G13">
    <cfRule type="expression" dxfId="21" priority="12">
      <formula>AND(ISNUMBER(G12),G12&lt;0.8)</formula>
    </cfRule>
    <cfRule type="expression" dxfId="20" priority="13">
      <formula>AND(ISNUMBER(G12),G12&gt;=0.8,G12&lt;=1.3)</formula>
    </cfRule>
    <cfRule type="expression" dxfId="19" priority="14">
      <formula>AND(ISNUMBER(G12),G12&gt;1.3,G12&lt;=1.5)</formula>
    </cfRule>
    <cfRule type="expression" dxfId="18" priority="15">
      <formula>AND(ISNUMBER(G12),G12&gt;1.5)</formula>
    </cfRule>
  </conditionalFormatting>
  <conditionalFormatting sqref="I43:I183">
    <cfRule type="expression" dxfId="17" priority="4">
      <formula>AND(ISNUMBER(I43),I43&lt;0.8)</formula>
    </cfRule>
    <cfRule type="expression" dxfId="16" priority="5">
      <formula>AND(ISNUMBER(I43),I43&gt;=0.8,I43&lt;=1.3)</formula>
    </cfRule>
    <cfRule type="expression" dxfId="15" priority="6">
      <formula>AND(ISNUMBER(I43),I43&gt;1.3,I43&lt;=1.5)</formula>
    </cfRule>
    <cfRule type="expression" dxfId="14" priority="7">
      <formula>AND(ISNUMBER(I43),I43&gt;1.5)</formula>
    </cfRule>
  </conditionalFormatting>
  <dataValidations count="3">
    <dataValidation type="decimal" allowBlank="1" showErrorMessage="1" error="Distance in feet (30–400)." sqref="AO43:AO183" xr:uid="{00000000-0002-0000-0900-000000000000}">
      <formula1>30</formula1>
      <formula2>400</formula2>
    </dataValidation>
    <dataValidation type="decimal" allowBlank="1" showErrorMessage="1" error="Velo in mph (40–110)." sqref="AP43:AQ183" xr:uid="{00000000-0002-0000-0900-000001000000}">
      <formula1>40</formula1>
      <formula2>110</formula2>
    </dataValidation>
    <dataValidation type="list" allowBlank="1" sqref="J43:J183" xr:uid="{00000000-0002-0000-0900-000004000000}">
      <formula1>"(none),x"</formula1>
      <formula2>0</formula2>
    </dataValidation>
  </dataValidations>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2">
        <x14:dataValidation type="list" allowBlank="1" xr:uid="{00000000-0002-0000-0900-000002000000}">
          <x14:formula1>
            <xm:f>Roster!$A$5:$A$40</xm:f>
          </x14:formula1>
          <x14:formula2>
            <xm:f>0</xm:f>
          </x14:formula2>
          <xm:sqref>D4</xm:sqref>
        </x14:dataValidation>
        <x14:dataValidation type="list" xr:uid="{00000000-0002-0000-0900-000003000000}">
          <x14:formula1>
            <xm:f>Reference!$A$93:$A$96</xm:f>
          </x14:formula1>
          <x14:formula2>
            <xm:f>0</xm:f>
          </x14:formula2>
          <xm:sqref>D10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183"/>
  <sheetViews>
    <sheetView showGridLines="0" zoomScaleNormal="100" workbookViewId="0"/>
  </sheetViews>
  <sheetFormatPr defaultColWidth="8.6640625" defaultRowHeight="14.4" x14ac:dyDescent="0.3"/>
  <cols>
    <col min="1" max="1" width="11" customWidth="1"/>
    <col min="2" max="2" width="7" customWidth="1"/>
    <col min="3" max="3" width="9" customWidth="1"/>
    <col min="4" max="4" width="19" customWidth="1"/>
    <col min="5" max="5" width="17" customWidth="1"/>
    <col min="6" max="6" width="21" customWidth="1"/>
    <col min="7" max="7" width="64" customWidth="1"/>
    <col min="8" max="10" width="11" customWidth="1"/>
    <col min="11" max="11" width="22" customWidth="1"/>
    <col min="12" max="40" width="13" hidden="1" customWidth="1"/>
    <col min="41" max="43" width="11" customWidth="1"/>
  </cols>
  <sheetData>
    <row r="1" spans="1:11" ht="21" x14ac:dyDescent="0.4">
      <c r="A1" s="14" t="s">
        <v>277</v>
      </c>
      <c r="B1" s="14"/>
      <c r="C1" s="14"/>
      <c r="D1" s="14"/>
      <c r="E1" s="14"/>
      <c r="F1" s="14"/>
      <c r="G1" s="14"/>
    </row>
    <row r="2" spans="1:11" ht="103.5" customHeight="1" x14ac:dyDescent="0.3">
      <c r="A2" s="11" t="s">
        <v>278</v>
      </c>
      <c r="B2" s="11"/>
      <c r="C2" s="11"/>
      <c r="D2" s="11"/>
      <c r="E2" s="11"/>
      <c r="F2" s="11"/>
      <c r="G2" s="11"/>
    </row>
    <row r="4" spans="1:11" x14ac:dyDescent="0.3">
      <c r="A4" s="3" t="s">
        <v>151</v>
      </c>
      <c r="B4" s="3"/>
      <c r="C4" s="3"/>
      <c r="D4" s="37" t="s">
        <v>142</v>
      </c>
      <c r="F4" s="21" t="s">
        <v>279</v>
      </c>
      <c r="G4" s="49">
        <f>IFERROR($D$7-$D$6,"")</f>
        <v>45</v>
      </c>
      <c r="I4" s="2" t="s">
        <v>280</v>
      </c>
      <c r="J4" s="2"/>
      <c r="K4" s="2"/>
    </row>
    <row r="5" spans="1:11" x14ac:dyDescent="0.3">
      <c r="A5" s="3" t="s">
        <v>281</v>
      </c>
      <c r="B5" s="3"/>
      <c r="C5" s="3"/>
      <c r="D5" s="32">
        <f>IFERROR(INDEX(Roster!$D$5:$D$40,MATCH($D$4,Roster!$A$5:$A$40,0)),"")</f>
        <v>87.9</v>
      </c>
      <c r="F5" s="21" t="s">
        <v>282</v>
      </c>
      <c r="G5" s="49">
        <f>IFERROR(ROUNDUP(($G$4-7)/7,0),"")</f>
        <v>6</v>
      </c>
      <c r="I5" s="1" t="s">
        <v>283</v>
      </c>
      <c r="J5" s="1"/>
      <c r="K5" s="44">
        <f>IFERROR(IF(SUMPRODUCT(MAX(('Throw Log'!$B$5:$B$300=$D$4)*('Throw Log'!$A$5:$A$300&lt;$D$6)*ISNUMBER('Throw Log'!$Q$5:$Q$300)*('Throw Log'!$Q$5:$Q$300&gt;0)*'Throw Log'!$A$5:$A$300))=0,"none logged",$D$6-SUMPRODUCT(MAX(('Throw Log'!$B$5:$B$300=$D$4)*('Throw Log'!$A$5:$A$300&lt;$D$6)*ISNUMBER('Throw Log'!$Q$5:$Q$300)*('Throw Log'!$Q$5:$Q$300&gt;0)*'Throw Log'!$A$5:$A$300))),"")</f>
        <v>16</v>
      </c>
    </row>
    <row r="6" spans="1:11" x14ac:dyDescent="0.3">
      <c r="A6" s="3" t="s">
        <v>284</v>
      </c>
      <c r="B6" s="3"/>
      <c r="C6" s="3"/>
      <c r="D6" s="38">
        <v>46342</v>
      </c>
      <c r="F6" s="21" t="s">
        <v>285</v>
      </c>
      <c r="G6" s="49">
        <f>IFERROR(IF($K$12=1,MIN($G$8,$G$11/4),IF($D$10="Auto (from Throw Log)",Reference!$B$94,VLOOKUP($D$10,Reference!$A$93:$D$96,2,FALSE()))*$D$12),"")</f>
        <v>80</v>
      </c>
      <c r="I6" s="1" t="s">
        <v>286</v>
      </c>
      <c r="J6" s="1"/>
      <c r="K6" s="44">
        <f>IFERROR(SUMIFS('Throw Log'!$Q$5:$Q$300,'Throw Log'!$B$5:$B$300,$D$4,'Throw Log'!$A$5:$A$300,"&gt;="&amp;($D$6-7),'Throw Log'!$A$5:$A$300,"&lt;="&amp;($D$6-0-1)),0)</f>
        <v>0</v>
      </c>
    </row>
    <row r="7" spans="1:11" x14ac:dyDescent="0.3">
      <c r="A7" s="3" t="s">
        <v>287</v>
      </c>
      <c r="B7" s="3"/>
      <c r="C7" s="3"/>
      <c r="D7" s="38">
        <v>46387</v>
      </c>
      <c r="F7" s="21" t="s">
        <v>288</v>
      </c>
      <c r="G7" s="50">
        <f>IFERROR(IF($D$10="Auto (from Throw Log)",IF($K$12=1,MIN(0.55,MAX(0,($G$6-Reference!$B$94*$D$12)/MAX(1,$G$8-Reference!$B$94*$D$12)*0.55)),0),VLOOKUP($D$10,Reference!$A$93:$D$96,3,FALSE())),0)</f>
        <v>0</v>
      </c>
      <c r="I7" s="1" t="s">
        <v>289</v>
      </c>
      <c r="J7" s="1"/>
      <c r="K7" s="44">
        <f>IFERROR(SUMIFS('Throw Log'!$Q$5:$Q$300,'Throw Log'!$B$5:$B$300,$D$4,'Throw Log'!$A$5:$A$300,"&gt;="&amp;($D$6-14),'Throw Log'!$A$5:$A$300,"&lt;="&amp;($D$6-7-1)),0)</f>
        <v>0</v>
      </c>
    </row>
    <row r="8" spans="1:11" x14ac:dyDescent="0.3">
      <c r="A8" s="3" t="s">
        <v>290</v>
      </c>
      <c r="B8" s="3"/>
      <c r="C8" s="3"/>
      <c r="D8" s="51">
        <v>20</v>
      </c>
      <c r="F8" s="21" t="s">
        <v>291</v>
      </c>
      <c r="G8" s="49">
        <f>Reference!$B$97*$D$12</f>
        <v>260</v>
      </c>
      <c r="I8" s="1" t="s">
        <v>292</v>
      </c>
      <c r="J8" s="1"/>
      <c r="K8" s="44">
        <f>IFERROR(SUMIFS('Throw Log'!$Q$5:$Q$300,'Throw Log'!$B$5:$B$300,$D$4,'Throw Log'!$A$5:$A$300,"&gt;="&amp;($D$6-21),'Throw Log'!$A$5:$A$300,"&lt;="&amp;($D$6-14-1)),0)</f>
        <v>0</v>
      </c>
    </row>
    <row r="9" spans="1:11" x14ac:dyDescent="0.3">
      <c r="A9" s="3" t="s">
        <v>293</v>
      </c>
      <c r="B9" s="3"/>
      <c r="C9" s="3"/>
      <c r="D9" s="51">
        <v>82</v>
      </c>
      <c r="E9" s="37">
        <v>84</v>
      </c>
      <c r="F9" s="21" t="s">
        <v>294</v>
      </c>
      <c r="G9" s="52">
        <f>IFERROR(MIN(Reference!$B$98,MAX(1,($G$8/$G$6)^(1/MAX(1,$G$5-1)))),1)</f>
        <v>1.1499999999999999</v>
      </c>
      <c r="I9" s="1" t="s">
        <v>295</v>
      </c>
      <c r="J9" s="1"/>
      <c r="K9" s="44">
        <f>IFERROR(SUMIFS('Throw Log'!$Q$5:$Q$300,'Throw Log'!$B$5:$B$300,$D$4,'Throw Log'!$A$5:$A$300,"&gt;="&amp;($D$6-28),'Throw Log'!$A$5:$A$300,"&lt;="&amp;($D$6-21-1)),0)</f>
        <v>0</v>
      </c>
    </row>
    <row r="10" spans="1:11" x14ac:dyDescent="0.3">
      <c r="A10" s="3" t="s">
        <v>99</v>
      </c>
      <c r="B10" s="3"/>
      <c r="C10" s="3"/>
      <c r="D10" s="7" t="s">
        <v>103</v>
      </c>
      <c r="E10" s="7"/>
      <c r="F10" s="21" t="s">
        <v>296</v>
      </c>
      <c r="G10" s="53">
        <f>IFERROR(MIN(1,$G$6*$G$9^($G$5-1)/$G$8),1)</f>
        <v>0.61887913461538446</v>
      </c>
      <c r="I10" s="1" t="s">
        <v>297</v>
      </c>
      <c r="J10" s="1"/>
      <c r="K10" s="46" t="str">
        <f>IFERROR(IF(SUM($K$6:$K$9)=0,"—",($K$6/7)/(SUM($K$6:$K$9)/28)),"—")</f>
        <v>—</v>
      </c>
    </row>
    <row r="11" spans="1:11" x14ac:dyDescent="0.3">
      <c r="A11" s="3" t="s">
        <v>298</v>
      </c>
      <c r="B11" s="3"/>
      <c r="C11" s="3"/>
      <c r="D11" s="51">
        <v>120</v>
      </c>
      <c r="F11" s="21" t="s">
        <v>299</v>
      </c>
      <c r="G11" s="49">
        <f>IFERROR(SUMIFS('Throw Log'!$Q$5:$Q$300,'Throw Log'!$B$5:$B$300,$D$4,'Throw Log'!$A$5:$A$300,"&gt;="&amp;($D$6-28),'Throw Log'!$A$5:$A$300,"&lt;="&amp;($D$6-1)),0)</f>
        <v>0</v>
      </c>
      <c r="I11" s="1" t="s">
        <v>300</v>
      </c>
      <c r="J11" s="1"/>
      <c r="K11" s="32" t="str">
        <f>IF($K$12=1,"Continue from his load",IF($G$11&gt;0,"Restart (off too long)","Fresh start"))</f>
        <v>Fresh start</v>
      </c>
    </row>
    <row r="12" spans="1:11" x14ac:dyDescent="0.3">
      <c r="A12" s="3" t="s">
        <v>301</v>
      </c>
      <c r="B12" s="3"/>
      <c r="C12" s="3"/>
      <c r="D12" s="54">
        <v>1</v>
      </c>
      <c r="F12" s="21" t="s">
        <v>302</v>
      </c>
      <c r="G12" s="50">
        <f>IFERROR(INDEX($I$43:$I$183,$G$4+1),"")</f>
        <v>1.3267763526935781</v>
      </c>
      <c r="I12" s="1" t="s">
        <v>303</v>
      </c>
      <c r="J12" s="1"/>
      <c r="K12" s="55">
        <f>IF(AND(ISNUMBER($K$5),N($K$5)&lt;=Reference!$B$105,$G$11&gt;0),1,0)</f>
        <v>0</v>
      </c>
    </row>
    <row r="13" spans="1:11" x14ac:dyDescent="0.3">
      <c r="F13" s="21" t="s">
        <v>304</v>
      </c>
      <c r="G13" s="50">
        <f>IFERROR(MAX($I$43:$I$183),"")</f>
        <v>1.5083450516658543</v>
      </c>
    </row>
    <row r="14" spans="1:11" x14ac:dyDescent="0.3">
      <c r="A14" s="57" t="str">
        <f>IFERROR(IF($D$5="","Pick a player who is on the Roster (with his Avg Top Velo filled in).",IF($G$4&lt;IF($D$10="Auto (from Throw Log)",IF($K$12=1,Reference!$D$96,Reference!$D$94),VLOOKUP($D$10,Reference!$A$93:$D$96,4,FALSE())),"⚠ "&amp;$G$4&amp;" days is shorter than the recommended "&amp;IF($D$10="Auto (from Throw Log)",IF($K$12=1,Reference!$D$96,Reference!$D$94),VLOOKUP($D$10,Reference!$A$93:$D$96,4,FALSE()))&amp;" days for this starting point — expect ACWR spikes. Push the first pen back or change the Starting Point.",IF($G$4&gt;140,"⚠ The table covers 140 days max — move the start date later.",IF(COUNTIFS($I$43:$I$183,"&gt;1.3")&gt;0,"⚠ "&amp;COUNTIFS($I$43:$I$183,"&gt;1.3")&amp;" day(s) above 1.3 — see the ACWR column; use Make Off / Throws Override to smooth it out.",IF(COUNTIFS($I$43:$I$183,"&lt;0.8")&gt;0,"✓ No spikes above 1.3. "&amp;COUNTIFS($I$43:$I$183,"&lt;0.8")&amp;" day(s) read below 0.8 — that's him stepping down from a heavier recent load, not a risk.","✓ Every readable day sits in the 0.8–1.3 sweet spot, including the first pen."))))),"Fill in the start and first-bullpen dates.")</f>
        <v>⚠ 45 days is shorter than the recommended 84 days for this starting point — expect ACWR spikes. Push the first pen back or change the Starting Point.</v>
      </c>
      <c r="B14" s="57"/>
      <c r="C14" s="57"/>
      <c r="D14" s="57"/>
      <c r="E14" s="57"/>
      <c r="F14" s="57"/>
      <c r="G14" s="57"/>
    </row>
    <row r="15" spans="1:11" x14ac:dyDescent="0.3">
      <c r="A15" s="57"/>
      <c r="B15" s="57"/>
      <c r="C15" s="57"/>
      <c r="D15" s="57"/>
      <c r="E15" s="57"/>
      <c r="F15" s="57"/>
      <c r="G15" s="57"/>
    </row>
    <row r="16" spans="1:11" x14ac:dyDescent="0.3">
      <c r="A16" s="13" t="str">
        <f>IFERROR("First pen at "&amp;$D$9&amp;"–"&amp;$E$9&amp;" mph = "&amp;ROUND($D$5-$E$9,0)&amp;"–"&amp;ROUND($D$5-$D$9,0)&amp;" mph below his avg"&amp;IF($D$5-$E$9&lt;4," — the top end is in his max-effort band; consider lowering the pen velo for him.","."),"")</f>
        <v>First pen at 82–84 mph = 4–6 mph below his avg — the top end is in his max-effort band; consider lowering the pen velo for him.</v>
      </c>
      <c r="B16" s="13"/>
      <c r="C16" s="13"/>
      <c r="D16" s="13"/>
      <c r="E16" s="13"/>
      <c r="F16" s="13"/>
      <c r="G16" s="13"/>
    </row>
    <row r="17" spans="1:7" x14ac:dyDescent="0.3">
      <c r="A17" s="13" t="str">
        <f>IF($K$12=1,"ℹ Built off his Throw Log: starts at his average week over the last 28 days ("&amp;ROUND($G$11/4,0)&amp;"/week)"&amp;IF($G$11/4&gt;$G$8," — capped at this plan's peak, a planned cut-back","")&amp;", and that history counts toward his ACWR from day 1.",IF($G$11&gt;0,"ℹ He's been off "&amp;$K$5&amp;" days, more than the "&amp;Reference!$B$105&amp;" his history can cover — his old workload will expire out of the 28-day window, so the plan treats this as a restart and the ACWR reads from day 28.","ℹ No throwing logged for him in the 28 days before the start date — fresh start, ACWR reads from day 28."))</f>
        <v>ℹ No throwing logged for him in the 28 days before the start date — fresh start, ACWR reads from day 28.</v>
      </c>
      <c r="B17" s="13"/>
      <c r="C17" s="13"/>
      <c r="D17" s="13"/>
      <c r="E17" s="13"/>
      <c r="F17" s="13"/>
      <c r="G17" s="13"/>
    </row>
    <row r="18" spans="1:7" ht="30" customHeight="1" x14ac:dyDescent="0.3">
      <c r="A18" s="19" t="s">
        <v>203</v>
      </c>
      <c r="B18" s="19" t="s">
        <v>305</v>
      </c>
      <c r="C18" s="19" t="s">
        <v>306</v>
      </c>
      <c r="D18" s="19" t="s">
        <v>205</v>
      </c>
      <c r="E18" s="19" t="s">
        <v>207</v>
      </c>
      <c r="F18" s="19" t="s">
        <v>307</v>
      </c>
    </row>
    <row r="19" spans="1:7" x14ac:dyDescent="0.3">
      <c r="A19" s="48">
        <f t="shared" ref="A19:A39" si="0">IFERROR(IF($D$6+7*(B19-1)&gt;$D$7,"",$D$6+7*(B19-1)),"")</f>
        <v>46342</v>
      </c>
      <c r="B19" s="32">
        <v>1</v>
      </c>
      <c r="C19" s="32">
        <f t="shared" ref="C19:C39" si="1">IF(A19="","",COUNTIFS($M$43:$M$183,B19,$H$43:$H$183,"&gt;0"))</f>
        <v>5</v>
      </c>
      <c r="D19" s="44">
        <f t="shared" ref="D19:D39" si="2">IF(A19="","",SUMIFS($H$43:$H$183,$M$43:$M$183,B19))</f>
        <v>85.59</v>
      </c>
      <c r="E19" s="45"/>
      <c r="F19" s="46" t="str">
        <f t="shared" ref="F19:F39" si="3">IF(A19="","",INDEX($I$43:$I$183,MIN(7*B19,$G$4+1)))</f>
        <v>Building</v>
      </c>
    </row>
    <row r="20" spans="1:7" x14ac:dyDescent="0.3">
      <c r="A20" s="48">
        <f t="shared" si="0"/>
        <v>46349</v>
      </c>
      <c r="B20" s="32">
        <v>2</v>
      </c>
      <c r="C20" s="32">
        <f t="shared" si="1"/>
        <v>5</v>
      </c>
      <c r="D20" s="44">
        <f t="shared" si="2"/>
        <v>95.64</v>
      </c>
      <c r="E20" s="45">
        <f t="shared" ref="E20:E39" si="4">IF(OR(A20="",D19="",D19=0),"",D20/D19-1)</f>
        <v>0.11742025937609535</v>
      </c>
      <c r="F20" s="46" t="str">
        <f t="shared" si="3"/>
        <v>Building</v>
      </c>
    </row>
    <row r="21" spans="1:7" x14ac:dyDescent="0.3">
      <c r="A21" s="48">
        <f t="shared" si="0"/>
        <v>46356</v>
      </c>
      <c r="B21" s="32">
        <v>3</v>
      </c>
      <c r="C21" s="32">
        <f t="shared" si="1"/>
        <v>5</v>
      </c>
      <c r="D21" s="44">
        <f t="shared" si="2"/>
        <v>108.18</v>
      </c>
      <c r="E21" s="45">
        <f t="shared" si="4"/>
        <v>0.1311166875784191</v>
      </c>
      <c r="F21" s="46" t="str">
        <f t="shared" si="3"/>
        <v>Building</v>
      </c>
    </row>
    <row r="22" spans="1:7" x14ac:dyDescent="0.3">
      <c r="A22" s="48">
        <f t="shared" si="0"/>
        <v>46363</v>
      </c>
      <c r="B22" s="32">
        <v>4</v>
      </c>
      <c r="C22" s="32">
        <f t="shared" si="1"/>
        <v>5</v>
      </c>
      <c r="D22" s="44">
        <f t="shared" si="2"/>
        <v>138.35142857142856</v>
      </c>
      <c r="E22" s="45">
        <f t="shared" si="4"/>
        <v>0.27890024562237525</v>
      </c>
      <c r="F22" s="46">
        <f t="shared" si="3"/>
        <v>1.2937251405155741</v>
      </c>
    </row>
    <row r="23" spans="1:7" x14ac:dyDescent="0.3">
      <c r="A23" s="48">
        <f t="shared" si="0"/>
        <v>46370</v>
      </c>
      <c r="B23" s="32">
        <v>5</v>
      </c>
      <c r="C23" s="32">
        <f t="shared" si="1"/>
        <v>6</v>
      </c>
      <c r="D23" s="44">
        <f t="shared" si="2"/>
        <v>165.37</v>
      </c>
      <c r="E23" s="45">
        <f t="shared" si="4"/>
        <v>0.19528942857732923</v>
      </c>
      <c r="F23" s="46">
        <f t="shared" si="3"/>
        <v>1.303302474956302</v>
      </c>
    </row>
    <row r="24" spans="1:7" x14ac:dyDescent="0.3">
      <c r="A24" s="48">
        <f t="shared" si="0"/>
        <v>46377</v>
      </c>
      <c r="B24" s="32">
        <v>6</v>
      </c>
      <c r="C24" s="32">
        <f t="shared" si="1"/>
        <v>6</v>
      </c>
      <c r="D24" s="44">
        <f t="shared" si="2"/>
        <v>187.35</v>
      </c>
      <c r="E24" s="45">
        <f t="shared" si="4"/>
        <v>0.13291407147608392</v>
      </c>
      <c r="F24" s="46">
        <f t="shared" si="3"/>
        <v>1.2505602227541024</v>
      </c>
    </row>
    <row r="25" spans="1:7" x14ac:dyDescent="0.3">
      <c r="A25" s="48">
        <f t="shared" si="0"/>
        <v>46384</v>
      </c>
      <c r="B25" s="32">
        <v>7</v>
      </c>
      <c r="C25" s="32">
        <f t="shared" si="1"/>
        <v>3</v>
      </c>
      <c r="D25" s="44">
        <f t="shared" si="2"/>
        <v>146.1</v>
      </c>
      <c r="E25" s="45">
        <f t="shared" si="4"/>
        <v>-0.22017614091273019</v>
      </c>
      <c r="F25" s="46">
        <f t="shared" si="3"/>
        <v>1.3267763526935781</v>
      </c>
    </row>
    <row r="26" spans="1:7" x14ac:dyDescent="0.3">
      <c r="A26" s="48" t="str">
        <f t="shared" si="0"/>
        <v/>
      </c>
      <c r="B26" s="32">
        <v>8</v>
      </c>
      <c r="C26" s="32" t="str">
        <f t="shared" si="1"/>
        <v/>
      </c>
      <c r="D26" s="44" t="str">
        <f t="shared" si="2"/>
        <v/>
      </c>
      <c r="E26" s="45" t="str">
        <f t="shared" si="4"/>
        <v/>
      </c>
      <c r="F26" s="46" t="str">
        <f t="shared" si="3"/>
        <v/>
      </c>
    </row>
    <row r="27" spans="1:7" x14ac:dyDescent="0.3">
      <c r="A27" s="48" t="str">
        <f t="shared" si="0"/>
        <v/>
      </c>
      <c r="B27" s="32">
        <v>9</v>
      </c>
      <c r="C27" s="32" t="str">
        <f t="shared" si="1"/>
        <v/>
      </c>
      <c r="D27" s="44" t="str">
        <f t="shared" si="2"/>
        <v/>
      </c>
      <c r="E27" s="45" t="str">
        <f t="shared" si="4"/>
        <v/>
      </c>
      <c r="F27" s="46" t="str">
        <f t="shared" si="3"/>
        <v/>
      </c>
    </row>
    <row r="28" spans="1:7" x14ac:dyDescent="0.3">
      <c r="A28" s="48" t="str">
        <f t="shared" si="0"/>
        <v/>
      </c>
      <c r="B28" s="32">
        <v>10</v>
      </c>
      <c r="C28" s="32" t="str">
        <f t="shared" si="1"/>
        <v/>
      </c>
      <c r="D28" s="44" t="str">
        <f t="shared" si="2"/>
        <v/>
      </c>
      <c r="E28" s="45" t="str">
        <f t="shared" si="4"/>
        <v/>
      </c>
      <c r="F28" s="46" t="str">
        <f t="shared" si="3"/>
        <v/>
      </c>
    </row>
    <row r="29" spans="1:7" x14ac:dyDescent="0.3">
      <c r="A29" s="48" t="str">
        <f t="shared" si="0"/>
        <v/>
      </c>
      <c r="B29" s="32">
        <v>11</v>
      </c>
      <c r="C29" s="32" t="str">
        <f t="shared" si="1"/>
        <v/>
      </c>
      <c r="D29" s="44" t="str">
        <f t="shared" si="2"/>
        <v/>
      </c>
      <c r="E29" s="45" t="str">
        <f t="shared" si="4"/>
        <v/>
      </c>
      <c r="F29" s="46" t="str">
        <f t="shared" si="3"/>
        <v/>
      </c>
    </row>
    <row r="30" spans="1:7" x14ac:dyDescent="0.3">
      <c r="A30" s="48" t="str">
        <f t="shared" si="0"/>
        <v/>
      </c>
      <c r="B30" s="32">
        <v>12</v>
      </c>
      <c r="C30" s="32" t="str">
        <f t="shared" si="1"/>
        <v/>
      </c>
      <c r="D30" s="44" t="str">
        <f t="shared" si="2"/>
        <v/>
      </c>
      <c r="E30" s="45" t="str">
        <f t="shared" si="4"/>
        <v/>
      </c>
      <c r="F30" s="46" t="str">
        <f t="shared" si="3"/>
        <v/>
      </c>
    </row>
    <row r="31" spans="1:7" x14ac:dyDescent="0.3">
      <c r="A31" s="48" t="str">
        <f t="shared" si="0"/>
        <v/>
      </c>
      <c r="B31" s="32">
        <v>13</v>
      </c>
      <c r="C31" s="32" t="str">
        <f t="shared" si="1"/>
        <v/>
      </c>
      <c r="D31" s="44" t="str">
        <f t="shared" si="2"/>
        <v/>
      </c>
      <c r="E31" s="45" t="str">
        <f t="shared" si="4"/>
        <v/>
      </c>
      <c r="F31" s="46" t="str">
        <f t="shared" si="3"/>
        <v/>
      </c>
    </row>
    <row r="32" spans="1:7" x14ac:dyDescent="0.3">
      <c r="A32" s="48" t="str">
        <f t="shared" si="0"/>
        <v/>
      </c>
      <c r="B32" s="32">
        <v>14</v>
      </c>
      <c r="C32" s="32" t="str">
        <f t="shared" si="1"/>
        <v/>
      </c>
      <c r="D32" s="44" t="str">
        <f t="shared" si="2"/>
        <v/>
      </c>
      <c r="E32" s="45" t="str">
        <f t="shared" si="4"/>
        <v/>
      </c>
      <c r="F32" s="46" t="str">
        <f t="shared" si="3"/>
        <v/>
      </c>
    </row>
    <row r="33" spans="1:43" x14ac:dyDescent="0.3">
      <c r="A33" s="48" t="str">
        <f t="shared" si="0"/>
        <v/>
      </c>
      <c r="B33" s="32">
        <v>15</v>
      </c>
      <c r="C33" s="32" t="str">
        <f t="shared" si="1"/>
        <v/>
      </c>
      <c r="D33" s="44" t="str">
        <f t="shared" si="2"/>
        <v/>
      </c>
      <c r="E33" s="45" t="str">
        <f t="shared" si="4"/>
        <v/>
      </c>
      <c r="F33" s="46" t="str">
        <f t="shared" si="3"/>
        <v/>
      </c>
    </row>
    <row r="34" spans="1:43" x14ac:dyDescent="0.3">
      <c r="A34" s="48" t="str">
        <f t="shared" si="0"/>
        <v/>
      </c>
      <c r="B34" s="32">
        <v>16</v>
      </c>
      <c r="C34" s="32" t="str">
        <f t="shared" si="1"/>
        <v/>
      </c>
      <c r="D34" s="44" t="str">
        <f t="shared" si="2"/>
        <v/>
      </c>
      <c r="E34" s="45" t="str">
        <f t="shared" si="4"/>
        <v/>
      </c>
      <c r="F34" s="46" t="str">
        <f t="shared" si="3"/>
        <v/>
      </c>
    </row>
    <row r="35" spans="1:43" x14ac:dyDescent="0.3">
      <c r="A35" s="48" t="str">
        <f t="shared" si="0"/>
        <v/>
      </c>
      <c r="B35" s="32">
        <v>17</v>
      </c>
      <c r="C35" s="32" t="str">
        <f t="shared" si="1"/>
        <v/>
      </c>
      <c r="D35" s="44" t="str">
        <f t="shared" si="2"/>
        <v/>
      </c>
      <c r="E35" s="45" t="str">
        <f t="shared" si="4"/>
        <v/>
      </c>
      <c r="F35" s="46" t="str">
        <f t="shared" si="3"/>
        <v/>
      </c>
    </row>
    <row r="36" spans="1:43" x14ac:dyDescent="0.3">
      <c r="A36" s="48" t="str">
        <f t="shared" si="0"/>
        <v/>
      </c>
      <c r="B36" s="32">
        <v>18</v>
      </c>
      <c r="C36" s="32" t="str">
        <f t="shared" si="1"/>
        <v/>
      </c>
      <c r="D36" s="44" t="str">
        <f t="shared" si="2"/>
        <v/>
      </c>
      <c r="E36" s="45" t="str">
        <f t="shared" si="4"/>
        <v/>
      </c>
      <c r="F36" s="46" t="str">
        <f t="shared" si="3"/>
        <v/>
      </c>
    </row>
    <row r="37" spans="1:43" x14ac:dyDescent="0.3">
      <c r="A37" s="48" t="str">
        <f t="shared" si="0"/>
        <v/>
      </c>
      <c r="B37" s="32">
        <v>19</v>
      </c>
      <c r="C37" s="32" t="str">
        <f t="shared" si="1"/>
        <v/>
      </c>
      <c r="D37" s="44" t="str">
        <f t="shared" si="2"/>
        <v/>
      </c>
      <c r="E37" s="45" t="str">
        <f t="shared" si="4"/>
        <v/>
      </c>
      <c r="F37" s="46" t="str">
        <f t="shared" si="3"/>
        <v/>
      </c>
    </row>
    <row r="38" spans="1:43" x14ac:dyDescent="0.3">
      <c r="A38" s="48" t="str">
        <f t="shared" si="0"/>
        <v/>
      </c>
      <c r="B38" s="32">
        <v>20</v>
      </c>
      <c r="C38" s="32" t="str">
        <f t="shared" si="1"/>
        <v/>
      </c>
      <c r="D38" s="44" t="str">
        <f t="shared" si="2"/>
        <v/>
      </c>
      <c r="E38" s="45" t="str">
        <f t="shared" si="4"/>
        <v/>
      </c>
      <c r="F38" s="46" t="str">
        <f t="shared" si="3"/>
        <v/>
      </c>
    </row>
    <row r="39" spans="1:43" x14ac:dyDescent="0.3">
      <c r="A39" s="48" t="str">
        <f t="shared" si="0"/>
        <v/>
      </c>
      <c r="B39" s="32">
        <v>21</v>
      </c>
      <c r="C39" s="32" t="str">
        <f t="shared" si="1"/>
        <v/>
      </c>
      <c r="D39" s="44" t="str">
        <f t="shared" si="2"/>
        <v/>
      </c>
      <c r="E39" s="45" t="str">
        <f t="shared" si="4"/>
        <v/>
      </c>
      <c r="F39" s="46" t="str">
        <f t="shared" si="3"/>
        <v/>
      </c>
    </row>
    <row r="42" spans="1:43" ht="31.5" customHeight="1" x14ac:dyDescent="0.3">
      <c r="A42" s="19" t="s">
        <v>150</v>
      </c>
      <c r="B42" s="19" t="s">
        <v>258</v>
      </c>
      <c r="C42" s="19" t="s">
        <v>308</v>
      </c>
      <c r="D42" s="19" t="s">
        <v>309</v>
      </c>
      <c r="E42" s="19" t="s">
        <v>92</v>
      </c>
      <c r="F42" s="19" t="s">
        <v>58</v>
      </c>
      <c r="G42" s="19" t="s">
        <v>310</v>
      </c>
      <c r="H42" s="19" t="s">
        <v>311</v>
      </c>
      <c r="I42" s="19" t="s">
        <v>312</v>
      </c>
      <c r="J42" s="19" t="s">
        <v>313</v>
      </c>
      <c r="K42" s="19" t="s">
        <v>314</v>
      </c>
      <c r="L42" s="19" t="s">
        <v>315</v>
      </c>
      <c r="M42" s="19" t="s">
        <v>305</v>
      </c>
      <c r="N42" s="19" t="s">
        <v>316</v>
      </c>
      <c r="O42" s="19" t="s">
        <v>317</v>
      </c>
      <c r="P42" s="19" t="s">
        <v>318</v>
      </c>
      <c r="Q42" s="19" t="s">
        <v>319</v>
      </c>
      <c r="R42" s="19" t="s">
        <v>320</v>
      </c>
      <c r="S42" s="19" t="s">
        <v>321</v>
      </c>
      <c r="T42" s="19" t="s">
        <v>322</v>
      </c>
      <c r="U42" s="19" t="s">
        <v>323</v>
      </c>
      <c r="V42" s="19" t="s">
        <v>324</v>
      </c>
      <c r="W42" s="19" t="s">
        <v>325</v>
      </c>
      <c r="X42" s="19" t="s">
        <v>326</v>
      </c>
      <c r="Y42" s="19" t="s">
        <v>327</v>
      </c>
      <c r="Z42" s="19" t="s">
        <v>328</v>
      </c>
      <c r="AA42" s="19" t="s">
        <v>329</v>
      </c>
      <c r="AB42" s="19" t="s">
        <v>330</v>
      </c>
      <c r="AC42" s="19" t="s">
        <v>331</v>
      </c>
      <c r="AD42" s="19" t="s">
        <v>332</v>
      </c>
      <c r="AE42" s="19" t="s">
        <v>333</v>
      </c>
      <c r="AF42" s="19" t="s">
        <v>334</v>
      </c>
      <c r="AG42" s="19" t="s">
        <v>335</v>
      </c>
      <c r="AH42" s="19" t="s">
        <v>336</v>
      </c>
      <c r="AI42" s="19" t="s">
        <v>337</v>
      </c>
      <c r="AJ42" s="19" t="s">
        <v>338</v>
      </c>
      <c r="AK42" s="19" t="s">
        <v>339</v>
      </c>
      <c r="AL42" s="19" t="s">
        <v>340</v>
      </c>
      <c r="AM42" s="19" t="s">
        <v>341</v>
      </c>
      <c r="AN42" s="19" t="s">
        <v>342</v>
      </c>
      <c r="AO42" s="19" t="s">
        <v>343</v>
      </c>
      <c r="AP42" s="19" t="s">
        <v>344</v>
      </c>
      <c r="AQ42" s="19" t="s">
        <v>345</v>
      </c>
    </row>
    <row r="43" spans="1:43" x14ac:dyDescent="0.3">
      <c r="A43" s="48">
        <f t="shared" ref="A43:A74" si="5">IFERROR(IF($L43&gt;$G$4,"",$D$6+$L43),"")</f>
        <v>46342</v>
      </c>
      <c r="B43" s="32" t="str">
        <f t="shared" ref="B43:B74" si="6">IF($A43="","",TEXT($A43,"ddd"))</f>
        <v>Mon</v>
      </c>
      <c r="C43" s="32">
        <f t="shared" ref="C43:C74" si="7">IF($A43="","",$G$4-$L43)</f>
        <v>45</v>
      </c>
      <c r="D43" s="32" t="str">
        <f t="shared" ref="D43:D74" si="8">IF($A43="","",IF($C43=0,"First Bullpen",IF($C43&lt;=7,"Taper",IF($O43&lt;0.2,"Re-entry",IF($O43&lt;0.45,"Base",IF($O43&lt;0.65,"Extension","Flat Ground / Intent"))))))</f>
        <v>Re-entry</v>
      </c>
      <c r="E43" s="32" t="str">
        <f t="shared" ref="E43:E74" si="9">IF($A43="","",IF($AD43,"No Throw",IF($C43=0,"High Bullpen",IF($C43=6,"High Non-Bullpen",IF(OR($C43=4,$C43=2),"Medium",IF($T43="Recovery/Easy Catch","Low",IF($N43=1,IF($O43&lt;0.4,"Low",IF($O43&lt;0.7,"Medium","High Non-Bullpen")),IF($N43=3,IF($O43&lt;0.5,"Medium","High Non-Bullpen"),IF($O43&lt;0.62,"Medium","High Non-Bullpen")))))))))</f>
        <v>Low</v>
      </c>
      <c r="F43" s="32" t="str">
        <f t="shared" ref="F43:F74" si="10">IF($A43="","",IF($AD43,"No Throw",$T43))</f>
        <v>Recovery/Easy Catch</v>
      </c>
      <c r="G43" s="47" t="str">
        <f t="shared" ref="G43:G74" si="11">IF($A43="","",IF($AD43,"Off",IF($AL43&gt;1,"Long toss out to "&amp;$U43&amp;" ft — "&amp;$AB43&amp;" throws ("&amp;IF(1&lt;=$AL43,MIN($U43,90)&amp;"×"&amp;(ROUND($AB43*(1*($AL43+3)-1)/($AL43*($AL43+5)/2),0)-0),"")&amp;IF(2&lt;=$AL43," · "&amp;MIN($U43,120)&amp;"×"&amp;(ROUND($AB43*(2*($AL43+3)-3)/($AL43*($AL43+5)/2),0)-ROUND($AB43*(1*($AL43+3)-1)/($AL43*($AL43+5)/2),0)),"")&amp;IF(3&lt;=$AL43," · "&amp;MIN($U43,150)&amp;"×"&amp;(ROUND($AB43*(3*($AL43+3)-6)/($AL43*($AL43+5)/2),0)-ROUND($AB43*(2*($AL43+3)-3)/($AL43*($AL43+5)/2),0)),"")&amp;IF(4&lt;=$AL43," · "&amp;MIN($U43,180)&amp;"×"&amp;(ROUND($AB43*(4*($AL43+3)-10)/($AL43*($AL43+5)/2),0)-ROUND($AB43*(3*($AL43+3)-6)/($AL43*($AL43+5)/2),0)),"")&amp;IF(5&lt;=$AL43," · "&amp;MIN($U43,210)&amp;"×"&amp;(ROUND($AB43*(5*($AL43+3)-15)/($AL43*($AL43+5)/2),0)-ROUND($AB43*(4*($AL43+3)-10)/($AL43*($AL43+5)/2),0)),"")&amp;IF(6&lt;=$AL43," · "&amp;MIN($U43,240)&amp;"×"&amp;(ROUND($AB43*(6*($AL43+3)-21)/($AL43*($AL43+5)/2),0)-ROUND($AB43*(5*($AL43+3)-15)/($AL43*($AL43+5)/2),0)),"")&amp;IF(7&lt;=$AL43," · "&amp;MIN($U43,270)&amp;"×"&amp;(ROUND($AB43*(7*($AL43+3)-28)/($AL43*($AL43+5)/2),0)-ROUND($AB43*(6*($AL43+3)-21)/($AL43*($AL43+5)/2),0)),"")&amp;IF(8&lt;=$AL43," · "&amp;MIN($U43,300)&amp;"×"&amp;(ROUND($AB43*(8*($AL43+3)-36)/($AL43*($AL43+5)/2),0)-ROUND($AB43*(7*($AL43+3)-28)/($AL43*($AL43+5)/2),0)),"")&amp;")",$U43&amp;" ft × "&amp;$AB43)&amp;" @ "&amp;ROUND($D$5-$W43,0)&amp;"–"&amp;ROUND($D$5-$V43,0)&amp;" mph"&amp;IF($X43&gt;0,IF($Y43&lt;10," + flat ground at 60 ft × "," + 60 ft × ")&amp;$X43&amp;" @ "&amp;ROUND($D$5-$Z43,0)&amp;"–"&amp;ROUND($D$5-$Y43,0)&amp;" mph","")&amp;IF($AC43&gt;0," + MOUND × "&amp;$AC43&amp;" pitches @ "&amp;$D$9&amp;"–"&amp;$E$9&amp;" mph","")))</f>
        <v>60 ft × 20 @ 64–68 mph</v>
      </c>
      <c r="H43" s="30">
        <f t="shared" ref="H43:H74" si="12">IF($A43="","",IF($AD43,0,$AB43*$AF43+$AE43+$AG43))</f>
        <v>12</v>
      </c>
      <c r="I43" s="46" t="str">
        <f>IF($A43="","",IF(AND($L43&lt;27,$K$12=0),"Building",IFERROR(((SUM($H$43:$H43)+$K$12*IF($L43&lt;6,SUMIFS('Throw Log'!$Q$5:$Q$300,'Throw Log'!$B$5:$B$300,$D$4,'Throw Log'!$A$5:$A$300,"&gt;="&amp;($D$6+$L43-6),'Throw Log'!$A$5:$A$300,"&lt;="&amp;($D$6-1)),0))/7)/((SUM($H$43:$H43)+$K$12*IF($L43&lt;27,SUMIFS('Throw Log'!$Q$5:$Q$300,'Throw Log'!$B$5:$B$300,$D$4,'Throw Log'!$A$5:$A$300,"&gt;="&amp;($D$6+$L43-27),'Throw Log'!$A$5:$A$300,"&lt;="&amp;($D$6-1)),0))/28),"")))</f>
        <v>Building</v>
      </c>
      <c r="J43" s="37"/>
      <c r="K43" s="37"/>
      <c r="L43" s="32">
        <v>0</v>
      </c>
      <c r="M43" s="32">
        <f t="shared" ref="M43:M74" si="13">INT($L43/7)+1</f>
        <v>1</v>
      </c>
      <c r="N43" s="32">
        <f t="shared" ref="N43:N74" si="14">MOD($L43,7)</f>
        <v>0</v>
      </c>
      <c r="O43" s="32">
        <f t="shared" ref="O43:O74" si="15">MIN(1,$G$7+(1-$G$7)*$L43/MAX(1,N($G$4)-8))</f>
        <v>0</v>
      </c>
      <c r="P43" s="32">
        <f>IF(OR($A43="",N($C43)&lt;=7),"",$G$6*$G$9^($M43-1)*IF(AND(MOD($M43,Reference!$B$99)=0,$M43&lt;=$G$5-2),Reference!$B$100,1))</f>
        <v>80</v>
      </c>
      <c r="Q43" s="32">
        <f>IF($P43="","",IF(SUM($AK$43:$AK$49)=0,0,$P43*INDEX(Reference!$B$108:$B$114,$N43+1)/SUM($AK$43:$AK$49)))</f>
        <v>9.6</v>
      </c>
      <c r="R43" s="32">
        <f t="shared" ref="R43:R74" si="16">ROUND((60+($D$11-60)*MIN(1,$O43/0.75))/15,0)*15</f>
        <v>60</v>
      </c>
      <c r="S43" s="32">
        <f t="shared" ref="S43:S74" si="17">ROUND((60+($R43-60)*0.8)/15,0)*15</f>
        <v>60</v>
      </c>
      <c r="T43" s="32" t="str">
        <f>IF($A43="","",IF($C43=0,"Bullpen",IF(OR($C43=7,$C43=1,$C43=5),"Recovery/Easy Catch",IF($C43=6,"Compression/Pulldowns",IF(OR($C43=4,$C43=2),"Long Toss",IF($C43=3,"No Throw",IF($N43=2,"No Throw",IF($N43=6,IF($O43&lt;Reference!$B$104,"No Throw","Recovery/Easy Catch"),IF(OR($N43=0,$N43=4),"Recovery/Easy Catch",IF($N43=1,IF($R43&gt;75,"Long Toss","Recovery/Easy Catch"),IF($N43=3,IF($O43&lt;0.5,IF($S43&gt;75,"Long Toss","Recovery/Easy Catch"),"Compression/Pulldowns"),IF($S43&gt;75,"Long Toss","Recovery/Easy Catch"))))))))))))</f>
        <v>Recovery/Easy Catch</v>
      </c>
      <c r="U43" s="32">
        <f t="shared" ref="U43:U74" si="18">IF($A43="","",IF(N($AO43)&gt;0,$AO43,IF($C43=0,90,IF(OR($C43=7,$C43=1),75,IF($C43=6,90,IF($C43=5,60,IF($C43=4,MIN(150,ROUND(0.75*$D$11/15,0)*15),IF($C43=2,MIN(120,ROUND(0.67*$D$11/15,0)*15),IF($C43=3,"",IF($N43=2,"",IF($N43=6,60,IF($N43=0,IF($O43&lt;0.25,60,75),IF($N43=4,IF($O43&lt;0.5,60,75),IF($N43=1,$R43,IF($N43=3,IF($O43&lt;0.5,$S43,90),$S43)))))))))))))))</f>
        <v>60</v>
      </c>
      <c r="V43" s="32">
        <f t="shared" ref="V43:V74" si="19">IF($A43="","",IF(N($AQ43)&gt;0,$D$5-$AQ43,IF(N($AP43)&gt;0,$D$5-$AP43,IF($C43=0,10,IF(OR($C43=7,$C43=1),18,IF($C43=6,7,IF($C43=5,20,IF(OR($C43=4,$C43=2),10,IF($C43=3,"",IF($N43=2,"",IF($N43=6,20,IF($N43=0,IF($O43&lt;0.25,20,18),IF($N43=4,IF($O43&lt;0.5,20,18),IF($N43=1,IF($O43&lt;0.25,18,IF($O43&lt;0.5,13,10)),IF($N43=3,IF($O43&lt;0.5,IF($O43&lt;0.25,18,13),7),IF($O43&lt;0.25,18,IF($O43&lt;0.5,12,10)))))))))))))))))</f>
        <v>20</v>
      </c>
      <c r="W43" s="32">
        <f t="shared" ref="W43:W74" si="20">IF($A43="","",IF(N($AP43)&gt;0,$D$5-$AP43,IF(N($AQ43)&gt;0,$D$5-$AQ43,IF($C43=0,12,IF(OR($C43=7,$C43=1),22,IF($C43=6,9,IF($C43=5,24,IF(OR($C43=4,$C43=2),13,IF($C43=3,"",IF($N43=2,"",IF($N43=6,24,IF($N43=0,IF($O43&lt;0.25,24,22),IF($N43=4,IF($O43&lt;0.5,24,22),IF($N43=1,IF($O43&lt;0.25,22,IF($O43&lt;0.5,16,12)),IF($N43=3,IF($O43&lt;0.5,IF($O43&lt;0.25,22,16),9),IF($O43&lt;0.25,22,IF($O43&lt;0.5,15,13)))))))))))))))))</f>
        <v>24</v>
      </c>
      <c r="X43" s="32">
        <f t="shared" ref="X43:X74" si="21">IF($A43="",0,IF($C43=6,ROUND(25*$G$10,0),IF(OR($C43=4,$C43=2),ROUND(15*$G$10,0),IF($C43&lt;=7,0,IF($N43=1,IF($O43&lt;0.2,0,IF($O43&lt;0.5,10,15)),IF($N43=3,IF($O43&lt;0.5,IF($O43&lt;0.2,0,10),IF($O43&lt;0.62,15,IF($O43&lt;0.8,20,25))),IF($N43=5,IF($O43&lt;0.2,0,IF($O43&lt;0.62,12,IF($O43&lt;0.8,20,25))),0)))))))</f>
        <v>0</v>
      </c>
      <c r="Y43" s="32" t="str">
        <f t="shared" ref="Y43:Y74" si="22">IF($X43=0,"",IF($C43=6,$D$5-$E$9,IF(OR($C43=4,$C43=2),8,IF($N43=1,IF($O43&lt;0.5,14,10),IF($N43=3,IF($O43&lt;0.5,14,IF($O43&lt;0.62,10,7)),IF($N43=5,IF($O43&lt;0.5,14,IF($O43&lt;0.62,12,7)),""))))))</f>
        <v/>
      </c>
      <c r="Z43" s="32" t="str">
        <f t="shared" ref="Z43:Z74" si="23">IF($X43=0,"",IF($C43=6,$D$5-$D$9,IF(OR($C43=4,$C43=2),10,IF($N43=1,IF($O43&lt;0.5,18,12),IF($N43=3,IF($O43&lt;0.5,18,IF($O43&lt;0.62,12,9)),IF($N43=5,IF($O43&lt;0.5,18,IF($O43&lt;0.62,15,9)),""))))))</f>
        <v/>
      </c>
      <c r="AA43" s="32" t="str">
        <f t="shared" ref="AA43:AA74" si="24">IF($A43="","",IF($C43=0,25,IF(OR($C43=7,$C43=1,$C43=5),30,IF($C43=6,25,IF(OR($C43=4,$C43=2),IF($AM43=0,30,30*$AN43/$AM43),"")))))</f>
        <v/>
      </c>
      <c r="AB43" s="32">
        <f>IF($A43="","",IF($T43="No Throw",0,IF($K43&lt;&gt;"",$K43,IF($AA43&lt;&gt;"",ROUND($AA43*$D$12*IF($C43=0,1,$G$10),0),MIN(IF($T43="Recovery/Easy Catch",Reference!$B$103,IF($T43="Long Toss",Reference!$B$106,Reference!$B$102)),MAX(Reference!$B$101,ROUND(MAX(0,$Q43-$AE43)/$AF43,0)))))))</f>
        <v>20</v>
      </c>
      <c r="AC43" s="32">
        <f t="shared" ref="AC43:AC74" si="25">IF($A43="",0,IF($C43=0,$D$8,0))</f>
        <v>0</v>
      </c>
      <c r="AD43" s="32" t="b">
        <f t="shared" ref="AD43:AD74" si="26">IF($A43="",TRUE(),OR($J43="x",$T43="No Throw"))</f>
        <v>0</v>
      </c>
      <c r="AE43" s="32">
        <f>IF($X43=0,0,$X43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43+$Z43)/2,0),Reference!$A$17:$B$20,2,TRUE()))</f>
        <v>0</v>
      </c>
      <c r="AF43" s="32">
        <f>IF(OR($A43="",$U43="",$T43="No Throw"),0,$AM43*VLOOKUP(MAX(($V43+$W43)/2,0),Reference!$A$17:$B$20,2,TRUE()))</f>
        <v>0.6</v>
      </c>
      <c r="AG43" s="32">
        <f>IF($AC43=0,0,$AC43*INDEX(Reference!$B$61:$B$62,MATCH("Bullpen",Reference!$A$61:$A$62,0))*VLOOKUP(MAX($D$5-($D$9+$E$9)/2,0),Reference!$A$17:$B$20,2,TRUE()))</f>
        <v>0</v>
      </c>
      <c r="AH43" s="32" t="e">
        <f t="shared" ref="AH43:AH74" si="27">IF(OR($A43="",$L43&lt;27),NA(),$I43)</f>
        <v>#N/A</v>
      </c>
      <c r="AI43" s="32">
        <f>IF($A43="",NA(),Reference!$A$25)</f>
        <v>0.8</v>
      </c>
      <c r="AJ43" s="32">
        <f t="shared" ref="AJ43:AJ74" si="28">IF($A43="",NA(),1.3)</f>
        <v>1.3</v>
      </c>
      <c r="AK43" s="56">
        <f>IF(OR($A43="",N($C43)&lt;=7,$T43="No Throw",$J43="x"),0,INDEX(Reference!$B$108:$B$114,$N43+1))</f>
        <v>0.12</v>
      </c>
      <c r="AL43" s="32">
        <f t="shared" ref="AL43:AL74" si="29">IF($U43="",1,IF(AND($T43="Long Toss",N($U43)&gt;90),1+ROUNDUP(($U43-90)/30,0),1))</f>
        <v>1</v>
      </c>
      <c r="AM43" s="32">
        <f>IF($U43="",0,IF($AL43&gt;1,((IF(1&lt;=$AL43,($AL43-1+3)*(INDEX(Reference!$B$6:$B$11,MIN(5,MATCH(MAX(Reference!$A$6,MIN(Reference!$A$11,MIN($U43,90))),Reference!$A$6:$A$11,1)))+(MAX(Reference!$A$6,MIN(Reference!$A$11,MIN($U43,90)))-INDEX(Reference!$A$6:$A$11,MIN(5,MATCH(MAX(Reference!$A$6,MIN(Reference!$A$11,MIN($U43,90))),Reference!$A$6:$A$11,1))))*(INDEX(Reference!$B$6:$B$11,MIN(5,MATCH(MAX(Reference!$A$6,MIN(Reference!$A$11,MIN($U43,90))),Reference!$A$6:$A$11,1))+1)-INDEX(Reference!$B$6:$B$11,MIN(5,MATCH(MAX(Reference!$A$6,MIN(Reference!$A$11,MIN($U43,90))),Reference!$A$6:$A$11,1))))/(INDEX(Reference!$A$6:$A$11,MIN(5,MATCH(MAX(Reference!$A$6,MIN(Reference!$A$11,MIN($U43,90))),Reference!$A$6:$A$11,1))+1)-INDEX(Reference!$A$6:$A$11,MIN(5,MATCH(MAX(Reference!$A$6,MIN(Reference!$A$11,MIN($U43,90))),Reference!$A$6:$A$11,1))))),0)+IF(2&lt;=$AL43,($AL43-2+3)*(INDEX(Reference!$B$6:$B$11,MIN(5,MATCH(MAX(Reference!$A$6,MIN(Reference!$A$11,MIN($U43,120))),Reference!$A$6:$A$11,1)))+(MAX(Reference!$A$6,MIN(Reference!$A$11,MIN($U43,120)))-INDEX(Reference!$A$6:$A$11,MIN(5,MATCH(MAX(Reference!$A$6,MIN(Reference!$A$11,MIN($U43,120))),Reference!$A$6:$A$11,1))))*(INDEX(Reference!$B$6:$B$11,MIN(5,MATCH(MAX(Reference!$A$6,MIN(Reference!$A$11,MIN($U43,120))),Reference!$A$6:$A$11,1))+1)-INDEX(Reference!$B$6:$B$11,MIN(5,MATCH(MAX(Reference!$A$6,MIN(Reference!$A$11,MIN($U43,120))),Reference!$A$6:$A$11,1))))/(INDEX(Reference!$A$6:$A$11,MIN(5,MATCH(MAX(Reference!$A$6,MIN(Reference!$A$11,MIN($U43,120))),Reference!$A$6:$A$11,1))+1)-INDEX(Reference!$A$6:$A$11,MIN(5,MATCH(MAX(Reference!$A$6,MIN(Reference!$A$11,MIN($U43,120))),Reference!$A$6:$A$11,1))))),0)+IF(3&lt;=$AL43,($AL43-3+3)*(INDEX(Reference!$B$6:$B$11,MIN(5,MATCH(MAX(Reference!$A$6,MIN(Reference!$A$11,MIN($U43,150))),Reference!$A$6:$A$11,1)))+(MAX(Reference!$A$6,MIN(Reference!$A$11,MIN($U43,150)))-INDEX(Reference!$A$6:$A$11,MIN(5,MATCH(MAX(Reference!$A$6,MIN(Reference!$A$11,MIN($U43,150))),Reference!$A$6:$A$11,1))))*(INDEX(Reference!$B$6:$B$11,MIN(5,MATCH(MAX(Reference!$A$6,MIN(Reference!$A$11,MIN($U43,150))),Reference!$A$6:$A$11,1))+1)-INDEX(Reference!$B$6:$B$11,MIN(5,MATCH(MAX(Reference!$A$6,MIN(Reference!$A$11,MIN($U43,150))),Reference!$A$6:$A$11,1))))/(INDEX(Reference!$A$6:$A$11,MIN(5,MATCH(MAX(Reference!$A$6,MIN(Reference!$A$11,MIN($U43,150))),Reference!$A$6:$A$11,1))+1)-INDEX(Reference!$A$6:$A$11,MIN(5,MATCH(MAX(Reference!$A$6,MIN(Reference!$A$11,MIN($U43,150))),Reference!$A$6:$A$11,1))))),0)+IF(4&lt;=$AL43,($AL43-4+3)*(INDEX(Reference!$B$6:$B$11,MIN(5,MATCH(MAX(Reference!$A$6,MIN(Reference!$A$11,MIN($U43,180))),Reference!$A$6:$A$11,1)))+(MAX(Reference!$A$6,MIN(Reference!$A$11,MIN($U43,180)))-INDEX(Reference!$A$6:$A$11,MIN(5,MATCH(MAX(Reference!$A$6,MIN(Reference!$A$11,MIN($U43,180))),Reference!$A$6:$A$11,1))))*(INDEX(Reference!$B$6:$B$11,MIN(5,MATCH(MAX(Reference!$A$6,MIN(Reference!$A$11,MIN($U43,180))),Reference!$A$6:$A$11,1))+1)-INDEX(Reference!$B$6:$B$11,MIN(5,MATCH(MAX(Reference!$A$6,MIN(Reference!$A$11,MIN($U43,180))),Reference!$A$6:$A$11,1))))/(INDEX(Reference!$A$6:$A$11,MIN(5,MATCH(MAX(Reference!$A$6,MIN(Reference!$A$11,MIN($U43,180))),Reference!$A$6:$A$11,1))+1)-INDEX(Reference!$A$6:$A$11,MIN(5,MATCH(MAX(Reference!$A$6,MIN(Reference!$A$11,MIN($U43,180))),Reference!$A$6:$A$11,1))))),0)+IF(5&lt;=$AL43,($AL43-5+3)*(INDEX(Reference!$B$6:$B$11,MIN(5,MATCH(MAX(Reference!$A$6,MIN(Reference!$A$11,MIN($U43,210))),Reference!$A$6:$A$11,1)))+(MAX(Reference!$A$6,MIN(Reference!$A$11,MIN($U43,210)))-INDEX(Reference!$A$6:$A$11,MIN(5,MATCH(MAX(Reference!$A$6,MIN(Reference!$A$11,MIN($U43,210))),Reference!$A$6:$A$11,1))))*(INDEX(Reference!$B$6:$B$11,MIN(5,MATCH(MAX(Reference!$A$6,MIN(Reference!$A$11,MIN($U43,210))),Reference!$A$6:$A$11,1))+1)-INDEX(Reference!$B$6:$B$11,MIN(5,MATCH(MAX(Reference!$A$6,MIN(Reference!$A$11,MIN($U43,210))),Reference!$A$6:$A$11,1))))/(INDEX(Reference!$A$6:$A$11,MIN(5,MATCH(MAX(Reference!$A$6,MIN(Reference!$A$11,MIN($U43,210))),Reference!$A$6:$A$11,1))+1)-INDEX(Reference!$A$6:$A$11,MIN(5,MATCH(MAX(Reference!$A$6,MIN(Reference!$A$11,MIN($U43,210))),Reference!$A$6:$A$11,1))))),0)+IF(6&lt;=$AL43,($AL43-6+3)*(INDEX(Reference!$B$6:$B$11,MIN(5,MATCH(MAX(Reference!$A$6,MIN(Reference!$A$11,MIN($U43,240))),Reference!$A$6:$A$11,1)))+(MAX(Reference!$A$6,MIN(Reference!$A$11,MIN($U43,240)))-INDEX(Reference!$A$6:$A$11,MIN(5,MATCH(MAX(Reference!$A$6,MIN(Reference!$A$11,MIN($U43,240))),Reference!$A$6:$A$11,1))))*(INDEX(Reference!$B$6:$B$11,MIN(5,MATCH(MAX(Reference!$A$6,MIN(Reference!$A$11,MIN($U43,240))),Reference!$A$6:$A$11,1))+1)-INDEX(Reference!$B$6:$B$11,MIN(5,MATCH(MAX(Reference!$A$6,MIN(Reference!$A$11,MIN($U43,240))),Reference!$A$6:$A$11,1))))/(INDEX(Reference!$A$6:$A$11,MIN(5,MATCH(MAX(Reference!$A$6,MIN(Reference!$A$11,MIN($U43,240))),Reference!$A$6:$A$11,1))+1)-INDEX(Reference!$A$6:$A$11,MIN(5,MATCH(MAX(Reference!$A$6,MIN(Reference!$A$11,MIN($U43,240))),Reference!$A$6:$A$11,1))))),0)+IF(7&lt;=$AL43,($AL43-7+3)*(INDEX(Reference!$B$6:$B$11,MIN(5,MATCH(MAX(Reference!$A$6,MIN(Reference!$A$11,MIN($U43,270))),Reference!$A$6:$A$11,1)))+(MAX(Reference!$A$6,MIN(Reference!$A$11,MIN($U43,270)))-INDEX(Reference!$A$6:$A$11,MIN(5,MATCH(MAX(Reference!$A$6,MIN(Reference!$A$11,MIN($U43,270))),Reference!$A$6:$A$11,1))))*(INDEX(Reference!$B$6:$B$11,MIN(5,MATCH(MAX(Reference!$A$6,MIN(Reference!$A$11,MIN($U43,270))),Reference!$A$6:$A$11,1))+1)-INDEX(Reference!$B$6:$B$11,MIN(5,MATCH(MAX(Reference!$A$6,MIN(Reference!$A$11,MIN($U43,270))),Reference!$A$6:$A$11,1))))/(INDEX(Reference!$A$6:$A$11,MIN(5,MATCH(MAX(Reference!$A$6,MIN(Reference!$A$11,MIN($U43,270))),Reference!$A$6:$A$11,1))+1)-INDEX(Reference!$A$6:$A$11,MIN(5,MATCH(MAX(Reference!$A$6,MIN(Reference!$A$11,MIN($U43,270))),Reference!$A$6:$A$11,1))))),0)+IF(8&lt;=$AL43,($AL43-8+3)*(INDEX(Reference!$B$6:$B$11,MIN(5,MATCH(MAX(Reference!$A$6,MIN(Reference!$A$11,MIN($U43,300))),Reference!$A$6:$A$11,1)))+(MAX(Reference!$A$6,MIN(Reference!$A$11,MIN($U43,300)))-INDEX(Reference!$A$6:$A$11,MIN(5,MATCH(MAX(Reference!$A$6,MIN(Reference!$A$11,MIN($U43,300))),Reference!$A$6:$A$11,1))))*(INDEX(Reference!$B$6:$B$11,MIN(5,MATCH(MAX(Reference!$A$6,MIN(Reference!$A$11,MIN($U43,300))),Reference!$A$6:$A$11,1))+1)-INDEX(Reference!$B$6:$B$11,MIN(5,MATCH(MAX(Reference!$A$6,MIN(Reference!$A$11,MIN($U43,300))),Reference!$A$6:$A$11,1))))/(INDEX(Reference!$A$6:$A$11,MIN(5,MATCH(MAX(Reference!$A$6,MIN(Reference!$A$11,MIN($U43,300))),Reference!$A$6:$A$11,1))+1)-INDEX(Reference!$A$6:$A$11,MIN(5,MATCH(MAX(Reference!$A$6,MIN(Reference!$A$11,MIN($U43,300))),Reference!$A$6:$A$11,1))))),0))/($AL43*($AL43+5)/2)),$AN43))</f>
        <v>1</v>
      </c>
      <c r="AN43" s="32">
        <f>IF($U43="",0,(INDEX(Reference!$B$6:$B$11,MIN(5,MATCH(MAX(Reference!$A$6,MIN(Reference!$A$11,$U43)),Reference!$A$6:$A$11,1)))+(MAX(Reference!$A$6,MIN(Reference!$A$11,$U43))-INDEX(Reference!$A$6:$A$11,MIN(5,MATCH(MAX(Reference!$A$6,MIN(Reference!$A$11,$U43)),Reference!$A$6:$A$11,1))))*(INDEX(Reference!$B$6:$B$11,MIN(5,MATCH(MAX(Reference!$A$6,MIN(Reference!$A$11,$U43)),Reference!$A$6:$A$11,1))+1)-INDEX(Reference!$B$6:$B$11,MIN(5,MATCH(MAX(Reference!$A$6,MIN(Reference!$A$11,$U43)),Reference!$A$6:$A$11,1))))/(INDEX(Reference!$A$6:$A$11,MIN(5,MATCH(MAX(Reference!$A$6,MIN(Reference!$A$11,$U43)),Reference!$A$6:$A$11,1))+1)-INDEX(Reference!$A$6:$A$11,MIN(5,MATCH(MAX(Reference!$A$6,MIN(Reference!$A$11,$U43)),Reference!$A$6:$A$11,1))))))</f>
        <v>1</v>
      </c>
      <c r="AO43" s="37"/>
      <c r="AP43" s="37"/>
      <c r="AQ43" s="37"/>
    </row>
    <row r="44" spans="1:43" x14ac:dyDescent="0.3">
      <c r="A44" s="48">
        <f t="shared" si="5"/>
        <v>46343</v>
      </c>
      <c r="B44" s="32" t="str">
        <f t="shared" si="6"/>
        <v>Tue</v>
      </c>
      <c r="C44" s="32">
        <f t="shared" si="7"/>
        <v>44</v>
      </c>
      <c r="D44" s="32" t="str">
        <f t="shared" si="8"/>
        <v>Re-entry</v>
      </c>
      <c r="E44" s="32" t="str">
        <f t="shared" si="9"/>
        <v>Low</v>
      </c>
      <c r="F44" s="32" t="str">
        <f t="shared" si="10"/>
        <v>Recovery/Easy Catch</v>
      </c>
      <c r="G44" s="47" t="str">
        <f t="shared" si="11"/>
        <v>60 ft × 35 @ 66–70 mph</v>
      </c>
      <c r="H44" s="30">
        <f t="shared" si="12"/>
        <v>21</v>
      </c>
      <c r="I44" s="46" t="str">
        <f>IF($A44="","",IF(AND($L44&lt;27,$K$12=0),"Building",IFERROR(((SUM($H$43:$H44)+$K$12*IF($L44&lt;6,SUMIFS('Throw Log'!$Q$5:$Q$300,'Throw Log'!$B$5:$B$300,$D$4,'Throw Log'!$A$5:$A$300,"&gt;="&amp;($D$6+$L44-6),'Throw Log'!$A$5:$A$300,"&lt;="&amp;($D$6-1)),0))/7)/((SUM($H$43:$H44)+$K$12*IF($L44&lt;27,SUMIFS('Throw Log'!$Q$5:$Q$300,'Throw Log'!$B$5:$B$300,$D$4,'Throw Log'!$A$5:$A$300,"&gt;="&amp;($D$6+$L44-27),'Throw Log'!$A$5:$A$300,"&lt;="&amp;($D$6-1)),0))/28),"")))</f>
        <v>Building</v>
      </c>
      <c r="J44" s="37"/>
      <c r="K44" s="37"/>
      <c r="L44" s="32">
        <v>1</v>
      </c>
      <c r="M44" s="32">
        <f t="shared" si="13"/>
        <v>1</v>
      </c>
      <c r="N44" s="32">
        <f t="shared" si="14"/>
        <v>1</v>
      </c>
      <c r="O44" s="32">
        <f t="shared" si="15"/>
        <v>2.7027027027027029E-2</v>
      </c>
      <c r="P44" s="32">
        <f>IF(OR($A44="",N($C44)&lt;=7),"",$G$6*$G$9^($M44-1)*IF(AND(MOD($M44,Reference!$B$99)=0,$M44&lt;=$G$5-2),Reference!$B$100,1))</f>
        <v>80</v>
      </c>
      <c r="Q44" s="32">
        <f>IF($P44="","",IF(SUM($AK$43:$AK$49)=0,0,$P44*INDEX(Reference!$B$108:$B$114,$N44+1)/SUM($AK$43:$AK$49)))</f>
        <v>21.6</v>
      </c>
      <c r="R44" s="32">
        <f t="shared" si="16"/>
        <v>60</v>
      </c>
      <c r="S44" s="32">
        <f t="shared" si="17"/>
        <v>60</v>
      </c>
      <c r="T44" s="32" t="str">
        <f>IF($A44="","",IF($C44=0,"Bullpen",IF(OR($C44=7,$C44=1,$C44=5),"Recovery/Easy Catch",IF($C44=6,"Compression/Pulldowns",IF(OR($C44=4,$C44=2),"Long Toss",IF($C44=3,"No Throw",IF($N44=2,"No Throw",IF($N44=6,IF($O44&lt;Reference!$B$104,"No Throw","Recovery/Easy Catch"),IF(OR($N44=0,$N44=4),"Recovery/Easy Catch",IF($N44=1,IF($R44&gt;75,"Long Toss","Recovery/Easy Catch"),IF($N44=3,IF($O44&lt;0.5,IF($S44&gt;75,"Long Toss","Recovery/Easy Catch"),"Compression/Pulldowns"),IF($S44&gt;75,"Long Toss","Recovery/Easy Catch"))))))))))))</f>
        <v>Recovery/Easy Catch</v>
      </c>
      <c r="U44" s="32">
        <f t="shared" si="18"/>
        <v>60</v>
      </c>
      <c r="V44" s="32">
        <f t="shared" si="19"/>
        <v>18</v>
      </c>
      <c r="W44" s="32">
        <f t="shared" si="20"/>
        <v>22</v>
      </c>
      <c r="X44" s="32">
        <f t="shared" si="21"/>
        <v>0</v>
      </c>
      <c r="Y44" s="32" t="str">
        <f t="shared" si="22"/>
        <v/>
      </c>
      <c r="Z44" s="32" t="str">
        <f t="shared" si="23"/>
        <v/>
      </c>
      <c r="AA44" s="32" t="str">
        <f t="shared" si="24"/>
        <v/>
      </c>
      <c r="AB44" s="32">
        <f>IF($A44="","",IF($T44="No Throw",0,IF($K44&lt;&gt;"",$K44,IF($AA44&lt;&gt;"",ROUND($AA44*$D$12*IF($C44=0,1,$G$10),0),MIN(IF($T44="Recovery/Easy Catch",Reference!$B$103,IF($T44="Long Toss",Reference!$B$106,Reference!$B$102)),MAX(Reference!$B$101,ROUND(MAX(0,$Q44-$AE44)/$AF44,0)))))))</f>
        <v>35</v>
      </c>
      <c r="AC44" s="32">
        <f t="shared" si="25"/>
        <v>0</v>
      </c>
      <c r="AD44" s="32" t="b">
        <f t="shared" si="26"/>
        <v>0</v>
      </c>
      <c r="AE44" s="32">
        <f>IF($X44=0,0,$X44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44+$Z44)/2,0),Reference!$A$17:$B$20,2,TRUE()))</f>
        <v>0</v>
      </c>
      <c r="AF44" s="32">
        <f>IF(OR($A44="",$U44="",$T44="No Throw"),0,$AM44*VLOOKUP(MAX(($V44+$W44)/2,0),Reference!$A$17:$B$20,2,TRUE()))</f>
        <v>0.6</v>
      </c>
      <c r="AG44" s="32">
        <f>IF($AC44=0,0,$AC44*INDEX(Reference!$B$61:$B$62,MATCH("Bullpen",Reference!$A$61:$A$62,0))*VLOOKUP(MAX($D$5-($D$9+$E$9)/2,0),Reference!$A$17:$B$20,2,TRUE()))</f>
        <v>0</v>
      </c>
      <c r="AH44" s="32" t="e">
        <f t="shared" si="27"/>
        <v>#N/A</v>
      </c>
      <c r="AI44" s="32">
        <f>IF($A44="",NA(),Reference!$A$25)</f>
        <v>0.8</v>
      </c>
      <c r="AJ44" s="32">
        <f t="shared" si="28"/>
        <v>1.3</v>
      </c>
      <c r="AK44" s="56">
        <f>IF(OR($A44="",N($C44)&lt;=7,$T44="No Throw",$J44="x"),0,INDEX(Reference!$B$108:$B$114,$N44+1))</f>
        <v>0.27</v>
      </c>
      <c r="AL44" s="32">
        <f t="shared" si="29"/>
        <v>1</v>
      </c>
      <c r="AM44" s="32">
        <f>IF($U44="",0,IF($AL44&gt;1,((IF(1&lt;=$AL44,($AL44-1+3)*(INDEX(Reference!$B$6:$B$11,MIN(5,MATCH(MAX(Reference!$A$6,MIN(Reference!$A$11,MIN($U44,90))),Reference!$A$6:$A$11,1)))+(MAX(Reference!$A$6,MIN(Reference!$A$11,MIN($U44,90)))-INDEX(Reference!$A$6:$A$11,MIN(5,MATCH(MAX(Reference!$A$6,MIN(Reference!$A$11,MIN($U44,90))),Reference!$A$6:$A$11,1))))*(INDEX(Reference!$B$6:$B$11,MIN(5,MATCH(MAX(Reference!$A$6,MIN(Reference!$A$11,MIN($U44,90))),Reference!$A$6:$A$11,1))+1)-INDEX(Reference!$B$6:$B$11,MIN(5,MATCH(MAX(Reference!$A$6,MIN(Reference!$A$11,MIN($U44,90))),Reference!$A$6:$A$11,1))))/(INDEX(Reference!$A$6:$A$11,MIN(5,MATCH(MAX(Reference!$A$6,MIN(Reference!$A$11,MIN($U44,90))),Reference!$A$6:$A$11,1))+1)-INDEX(Reference!$A$6:$A$11,MIN(5,MATCH(MAX(Reference!$A$6,MIN(Reference!$A$11,MIN($U44,90))),Reference!$A$6:$A$11,1))))),0)+IF(2&lt;=$AL44,($AL44-2+3)*(INDEX(Reference!$B$6:$B$11,MIN(5,MATCH(MAX(Reference!$A$6,MIN(Reference!$A$11,MIN($U44,120))),Reference!$A$6:$A$11,1)))+(MAX(Reference!$A$6,MIN(Reference!$A$11,MIN($U44,120)))-INDEX(Reference!$A$6:$A$11,MIN(5,MATCH(MAX(Reference!$A$6,MIN(Reference!$A$11,MIN($U44,120))),Reference!$A$6:$A$11,1))))*(INDEX(Reference!$B$6:$B$11,MIN(5,MATCH(MAX(Reference!$A$6,MIN(Reference!$A$11,MIN($U44,120))),Reference!$A$6:$A$11,1))+1)-INDEX(Reference!$B$6:$B$11,MIN(5,MATCH(MAX(Reference!$A$6,MIN(Reference!$A$11,MIN($U44,120))),Reference!$A$6:$A$11,1))))/(INDEX(Reference!$A$6:$A$11,MIN(5,MATCH(MAX(Reference!$A$6,MIN(Reference!$A$11,MIN($U44,120))),Reference!$A$6:$A$11,1))+1)-INDEX(Reference!$A$6:$A$11,MIN(5,MATCH(MAX(Reference!$A$6,MIN(Reference!$A$11,MIN($U44,120))),Reference!$A$6:$A$11,1))))),0)+IF(3&lt;=$AL44,($AL44-3+3)*(INDEX(Reference!$B$6:$B$11,MIN(5,MATCH(MAX(Reference!$A$6,MIN(Reference!$A$11,MIN($U44,150))),Reference!$A$6:$A$11,1)))+(MAX(Reference!$A$6,MIN(Reference!$A$11,MIN($U44,150)))-INDEX(Reference!$A$6:$A$11,MIN(5,MATCH(MAX(Reference!$A$6,MIN(Reference!$A$11,MIN($U44,150))),Reference!$A$6:$A$11,1))))*(INDEX(Reference!$B$6:$B$11,MIN(5,MATCH(MAX(Reference!$A$6,MIN(Reference!$A$11,MIN($U44,150))),Reference!$A$6:$A$11,1))+1)-INDEX(Reference!$B$6:$B$11,MIN(5,MATCH(MAX(Reference!$A$6,MIN(Reference!$A$11,MIN($U44,150))),Reference!$A$6:$A$11,1))))/(INDEX(Reference!$A$6:$A$11,MIN(5,MATCH(MAX(Reference!$A$6,MIN(Reference!$A$11,MIN($U44,150))),Reference!$A$6:$A$11,1))+1)-INDEX(Reference!$A$6:$A$11,MIN(5,MATCH(MAX(Reference!$A$6,MIN(Reference!$A$11,MIN($U44,150))),Reference!$A$6:$A$11,1))))),0)+IF(4&lt;=$AL44,($AL44-4+3)*(INDEX(Reference!$B$6:$B$11,MIN(5,MATCH(MAX(Reference!$A$6,MIN(Reference!$A$11,MIN($U44,180))),Reference!$A$6:$A$11,1)))+(MAX(Reference!$A$6,MIN(Reference!$A$11,MIN($U44,180)))-INDEX(Reference!$A$6:$A$11,MIN(5,MATCH(MAX(Reference!$A$6,MIN(Reference!$A$11,MIN($U44,180))),Reference!$A$6:$A$11,1))))*(INDEX(Reference!$B$6:$B$11,MIN(5,MATCH(MAX(Reference!$A$6,MIN(Reference!$A$11,MIN($U44,180))),Reference!$A$6:$A$11,1))+1)-INDEX(Reference!$B$6:$B$11,MIN(5,MATCH(MAX(Reference!$A$6,MIN(Reference!$A$11,MIN($U44,180))),Reference!$A$6:$A$11,1))))/(INDEX(Reference!$A$6:$A$11,MIN(5,MATCH(MAX(Reference!$A$6,MIN(Reference!$A$11,MIN($U44,180))),Reference!$A$6:$A$11,1))+1)-INDEX(Reference!$A$6:$A$11,MIN(5,MATCH(MAX(Reference!$A$6,MIN(Reference!$A$11,MIN($U44,180))),Reference!$A$6:$A$11,1))))),0)+IF(5&lt;=$AL44,($AL44-5+3)*(INDEX(Reference!$B$6:$B$11,MIN(5,MATCH(MAX(Reference!$A$6,MIN(Reference!$A$11,MIN($U44,210))),Reference!$A$6:$A$11,1)))+(MAX(Reference!$A$6,MIN(Reference!$A$11,MIN($U44,210)))-INDEX(Reference!$A$6:$A$11,MIN(5,MATCH(MAX(Reference!$A$6,MIN(Reference!$A$11,MIN($U44,210))),Reference!$A$6:$A$11,1))))*(INDEX(Reference!$B$6:$B$11,MIN(5,MATCH(MAX(Reference!$A$6,MIN(Reference!$A$11,MIN($U44,210))),Reference!$A$6:$A$11,1))+1)-INDEX(Reference!$B$6:$B$11,MIN(5,MATCH(MAX(Reference!$A$6,MIN(Reference!$A$11,MIN($U44,210))),Reference!$A$6:$A$11,1))))/(INDEX(Reference!$A$6:$A$11,MIN(5,MATCH(MAX(Reference!$A$6,MIN(Reference!$A$11,MIN($U44,210))),Reference!$A$6:$A$11,1))+1)-INDEX(Reference!$A$6:$A$11,MIN(5,MATCH(MAX(Reference!$A$6,MIN(Reference!$A$11,MIN($U44,210))),Reference!$A$6:$A$11,1))))),0)+IF(6&lt;=$AL44,($AL44-6+3)*(INDEX(Reference!$B$6:$B$11,MIN(5,MATCH(MAX(Reference!$A$6,MIN(Reference!$A$11,MIN($U44,240))),Reference!$A$6:$A$11,1)))+(MAX(Reference!$A$6,MIN(Reference!$A$11,MIN($U44,240)))-INDEX(Reference!$A$6:$A$11,MIN(5,MATCH(MAX(Reference!$A$6,MIN(Reference!$A$11,MIN($U44,240))),Reference!$A$6:$A$11,1))))*(INDEX(Reference!$B$6:$B$11,MIN(5,MATCH(MAX(Reference!$A$6,MIN(Reference!$A$11,MIN($U44,240))),Reference!$A$6:$A$11,1))+1)-INDEX(Reference!$B$6:$B$11,MIN(5,MATCH(MAX(Reference!$A$6,MIN(Reference!$A$11,MIN($U44,240))),Reference!$A$6:$A$11,1))))/(INDEX(Reference!$A$6:$A$11,MIN(5,MATCH(MAX(Reference!$A$6,MIN(Reference!$A$11,MIN($U44,240))),Reference!$A$6:$A$11,1))+1)-INDEX(Reference!$A$6:$A$11,MIN(5,MATCH(MAX(Reference!$A$6,MIN(Reference!$A$11,MIN($U44,240))),Reference!$A$6:$A$11,1))))),0)+IF(7&lt;=$AL44,($AL44-7+3)*(INDEX(Reference!$B$6:$B$11,MIN(5,MATCH(MAX(Reference!$A$6,MIN(Reference!$A$11,MIN($U44,270))),Reference!$A$6:$A$11,1)))+(MAX(Reference!$A$6,MIN(Reference!$A$11,MIN($U44,270)))-INDEX(Reference!$A$6:$A$11,MIN(5,MATCH(MAX(Reference!$A$6,MIN(Reference!$A$11,MIN($U44,270))),Reference!$A$6:$A$11,1))))*(INDEX(Reference!$B$6:$B$11,MIN(5,MATCH(MAX(Reference!$A$6,MIN(Reference!$A$11,MIN($U44,270))),Reference!$A$6:$A$11,1))+1)-INDEX(Reference!$B$6:$B$11,MIN(5,MATCH(MAX(Reference!$A$6,MIN(Reference!$A$11,MIN($U44,270))),Reference!$A$6:$A$11,1))))/(INDEX(Reference!$A$6:$A$11,MIN(5,MATCH(MAX(Reference!$A$6,MIN(Reference!$A$11,MIN($U44,270))),Reference!$A$6:$A$11,1))+1)-INDEX(Reference!$A$6:$A$11,MIN(5,MATCH(MAX(Reference!$A$6,MIN(Reference!$A$11,MIN($U44,270))),Reference!$A$6:$A$11,1))))),0)+IF(8&lt;=$AL44,($AL44-8+3)*(INDEX(Reference!$B$6:$B$11,MIN(5,MATCH(MAX(Reference!$A$6,MIN(Reference!$A$11,MIN($U44,300))),Reference!$A$6:$A$11,1)))+(MAX(Reference!$A$6,MIN(Reference!$A$11,MIN($U44,300)))-INDEX(Reference!$A$6:$A$11,MIN(5,MATCH(MAX(Reference!$A$6,MIN(Reference!$A$11,MIN($U44,300))),Reference!$A$6:$A$11,1))))*(INDEX(Reference!$B$6:$B$11,MIN(5,MATCH(MAX(Reference!$A$6,MIN(Reference!$A$11,MIN($U44,300))),Reference!$A$6:$A$11,1))+1)-INDEX(Reference!$B$6:$B$11,MIN(5,MATCH(MAX(Reference!$A$6,MIN(Reference!$A$11,MIN($U44,300))),Reference!$A$6:$A$11,1))))/(INDEX(Reference!$A$6:$A$11,MIN(5,MATCH(MAX(Reference!$A$6,MIN(Reference!$A$11,MIN($U44,300))),Reference!$A$6:$A$11,1))+1)-INDEX(Reference!$A$6:$A$11,MIN(5,MATCH(MAX(Reference!$A$6,MIN(Reference!$A$11,MIN($U44,300))),Reference!$A$6:$A$11,1))))),0))/($AL44*($AL44+5)/2)),$AN44))</f>
        <v>1</v>
      </c>
      <c r="AN44" s="32">
        <f>IF($U44="",0,(INDEX(Reference!$B$6:$B$11,MIN(5,MATCH(MAX(Reference!$A$6,MIN(Reference!$A$11,$U44)),Reference!$A$6:$A$11,1)))+(MAX(Reference!$A$6,MIN(Reference!$A$11,$U44))-INDEX(Reference!$A$6:$A$11,MIN(5,MATCH(MAX(Reference!$A$6,MIN(Reference!$A$11,$U44)),Reference!$A$6:$A$11,1))))*(INDEX(Reference!$B$6:$B$11,MIN(5,MATCH(MAX(Reference!$A$6,MIN(Reference!$A$11,$U44)),Reference!$A$6:$A$11,1))+1)-INDEX(Reference!$B$6:$B$11,MIN(5,MATCH(MAX(Reference!$A$6,MIN(Reference!$A$11,$U44)),Reference!$A$6:$A$11,1))))/(INDEX(Reference!$A$6:$A$11,MIN(5,MATCH(MAX(Reference!$A$6,MIN(Reference!$A$11,$U44)),Reference!$A$6:$A$11,1))+1)-INDEX(Reference!$A$6:$A$11,MIN(5,MATCH(MAX(Reference!$A$6,MIN(Reference!$A$11,$U44)),Reference!$A$6:$A$11,1))))))</f>
        <v>1</v>
      </c>
      <c r="AO44" s="37"/>
      <c r="AP44" s="37"/>
      <c r="AQ44" s="37"/>
    </row>
    <row r="45" spans="1:43" x14ac:dyDescent="0.3">
      <c r="A45" s="48">
        <f t="shared" si="5"/>
        <v>46344</v>
      </c>
      <c r="B45" s="32" t="str">
        <f t="shared" si="6"/>
        <v>Wed</v>
      </c>
      <c r="C45" s="32">
        <f t="shared" si="7"/>
        <v>43</v>
      </c>
      <c r="D45" s="32" t="str">
        <f t="shared" si="8"/>
        <v>Re-entry</v>
      </c>
      <c r="E45" s="32" t="str">
        <f t="shared" si="9"/>
        <v>No Throw</v>
      </c>
      <c r="F45" s="32" t="str">
        <f t="shared" si="10"/>
        <v>No Throw</v>
      </c>
      <c r="G45" s="47" t="str">
        <f t="shared" si="11"/>
        <v>Off</v>
      </c>
      <c r="H45" s="30">
        <f t="shared" si="12"/>
        <v>0</v>
      </c>
      <c r="I45" s="46" t="str">
        <f>IF($A45="","",IF(AND($L45&lt;27,$K$12=0),"Building",IFERROR(((SUM($H$43:$H45)+$K$12*IF($L45&lt;6,SUMIFS('Throw Log'!$Q$5:$Q$300,'Throw Log'!$B$5:$B$300,$D$4,'Throw Log'!$A$5:$A$300,"&gt;="&amp;($D$6+$L45-6),'Throw Log'!$A$5:$A$300,"&lt;="&amp;($D$6-1)),0))/7)/((SUM($H$43:$H45)+$K$12*IF($L45&lt;27,SUMIFS('Throw Log'!$Q$5:$Q$300,'Throw Log'!$B$5:$B$300,$D$4,'Throw Log'!$A$5:$A$300,"&gt;="&amp;($D$6+$L45-27),'Throw Log'!$A$5:$A$300,"&lt;="&amp;($D$6-1)),0))/28),"")))</f>
        <v>Building</v>
      </c>
      <c r="J45" s="37"/>
      <c r="K45" s="37"/>
      <c r="L45" s="32">
        <v>2</v>
      </c>
      <c r="M45" s="32">
        <f t="shared" si="13"/>
        <v>1</v>
      </c>
      <c r="N45" s="32">
        <f t="shared" si="14"/>
        <v>2</v>
      </c>
      <c r="O45" s="32">
        <f t="shared" si="15"/>
        <v>5.4054054054054057E-2</v>
      </c>
      <c r="P45" s="32">
        <f>IF(OR($A45="",N($C45)&lt;=7),"",$G$6*$G$9^($M45-1)*IF(AND(MOD($M45,Reference!$B$99)=0,$M45&lt;=$G$5-2),Reference!$B$100,1))</f>
        <v>80</v>
      </c>
      <c r="Q45" s="32">
        <f>IF($P45="","",IF(SUM($AK$43:$AK$49)=0,0,$P45*INDEX(Reference!$B$108:$B$114,$N45+1)/SUM($AK$43:$AK$49)))</f>
        <v>0</v>
      </c>
      <c r="R45" s="32">
        <f t="shared" si="16"/>
        <v>60</v>
      </c>
      <c r="S45" s="32">
        <f t="shared" si="17"/>
        <v>60</v>
      </c>
      <c r="T45" s="32" t="str">
        <f>IF($A45="","",IF($C45=0,"Bullpen",IF(OR($C45=7,$C45=1,$C45=5),"Recovery/Easy Catch",IF($C45=6,"Compression/Pulldowns",IF(OR($C45=4,$C45=2),"Long Toss",IF($C45=3,"No Throw",IF($N45=2,"No Throw",IF($N45=6,IF($O45&lt;Reference!$B$104,"No Throw","Recovery/Easy Catch"),IF(OR($N45=0,$N45=4),"Recovery/Easy Catch",IF($N45=1,IF($R45&gt;75,"Long Toss","Recovery/Easy Catch"),IF($N45=3,IF($O45&lt;0.5,IF($S45&gt;75,"Long Toss","Recovery/Easy Catch"),"Compression/Pulldowns"),IF($S45&gt;75,"Long Toss","Recovery/Easy Catch"))))))))))))</f>
        <v>No Throw</v>
      </c>
      <c r="U45" s="32" t="str">
        <f t="shared" si="18"/>
        <v/>
      </c>
      <c r="V45" s="32" t="str">
        <f t="shared" si="19"/>
        <v/>
      </c>
      <c r="W45" s="32" t="str">
        <f t="shared" si="20"/>
        <v/>
      </c>
      <c r="X45" s="32">
        <f t="shared" si="21"/>
        <v>0</v>
      </c>
      <c r="Y45" s="32" t="str">
        <f t="shared" si="22"/>
        <v/>
      </c>
      <c r="Z45" s="32" t="str">
        <f t="shared" si="23"/>
        <v/>
      </c>
      <c r="AA45" s="32" t="str">
        <f t="shared" si="24"/>
        <v/>
      </c>
      <c r="AB45" s="32">
        <f>IF($A45="","",IF($T45="No Throw",0,IF($K45&lt;&gt;"",$K45,IF($AA45&lt;&gt;"",ROUND($AA45*$D$12*IF($C45=0,1,$G$10),0),MIN(IF($T45="Recovery/Easy Catch",Reference!$B$103,IF($T45="Long Toss",Reference!$B$106,Reference!$B$102)),MAX(Reference!$B$101,ROUND(MAX(0,$Q45-$AE45)/$AF45,0)))))))</f>
        <v>0</v>
      </c>
      <c r="AC45" s="32">
        <f t="shared" si="25"/>
        <v>0</v>
      </c>
      <c r="AD45" s="32" t="b">
        <f t="shared" si="26"/>
        <v>1</v>
      </c>
      <c r="AE45" s="32">
        <f>IF($X45=0,0,$X45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45+$Z45)/2,0),Reference!$A$17:$B$20,2,TRUE()))</f>
        <v>0</v>
      </c>
      <c r="AF45" s="32">
        <f>IF(OR($A45="",$U45="",$T45="No Throw"),0,$AM45*VLOOKUP(MAX(($V45+$W45)/2,0),Reference!$A$17:$B$20,2,TRUE()))</f>
        <v>0</v>
      </c>
      <c r="AG45" s="32">
        <f>IF($AC45=0,0,$AC45*INDEX(Reference!$B$61:$B$62,MATCH("Bullpen",Reference!$A$61:$A$62,0))*VLOOKUP(MAX($D$5-($D$9+$E$9)/2,0),Reference!$A$17:$B$20,2,TRUE()))</f>
        <v>0</v>
      </c>
      <c r="AH45" s="32" t="e">
        <f t="shared" si="27"/>
        <v>#N/A</v>
      </c>
      <c r="AI45" s="32">
        <f>IF($A45="",NA(),Reference!$A$25)</f>
        <v>0.8</v>
      </c>
      <c r="AJ45" s="32">
        <f t="shared" si="28"/>
        <v>1.3</v>
      </c>
      <c r="AK45" s="32">
        <f>IF(OR($A45="",N($C45)&lt;=7,$T45="No Throw",$J45="x"),0,INDEX(Reference!$B$108:$B$114,$N45+1))</f>
        <v>0</v>
      </c>
      <c r="AL45" s="32">
        <f t="shared" si="29"/>
        <v>1</v>
      </c>
      <c r="AM45" s="32">
        <f>IF($U45="",0,IF($AL45&gt;1,((IF(1&lt;=$AL45,($AL45-1+3)*(INDEX(Reference!$B$6:$B$11,MIN(5,MATCH(MAX(Reference!$A$6,MIN(Reference!$A$11,MIN($U45,90))),Reference!$A$6:$A$11,1)))+(MAX(Reference!$A$6,MIN(Reference!$A$11,MIN($U45,90)))-INDEX(Reference!$A$6:$A$11,MIN(5,MATCH(MAX(Reference!$A$6,MIN(Reference!$A$11,MIN($U45,90))),Reference!$A$6:$A$11,1))))*(INDEX(Reference!$B$6:$B$11,MIN(5,MATCH(MAX(Reference!$A$6,MIN(Reference!$A$11,MIN($U45,90))),Reference!$A$6:$A$11,1))+1)-INDEX(Reference!$B$6:$B$11,MIN(5,MATCH(MAX(Reference!$A$6,MIN(Reference!$A$11,MIN($U45,90))),Reference!$A$6:$A$11,1))))/(INDEX(Reference!$A$6:$A$11,MIN(5,MATCH(MAX(Reference!$A$6,MIN(Reference!$A$11,MIN($U45,90))),Reference!$A$6:$A$11,1))+1)-INDEX(Reference!$A$6:$A$11,MIN(5,MATCH(MAX(Reference!$A$6,MIN(Reference!$A$11,MIN($U45,90))),Reference!$A$6:$A$11,1))))),0)+IF(2&lt;=$AL45,($AL45-2+3)*(INDEX(Reference!$B$6:$B$11,MIN(5,MATCH(MAX(Reference!$A$6,MIN(Reference!$A$11,MIN($U45,120))),Reference!$A$6:$A$11,1)))+(MAX(Reference!$A$6,MIN(Reference!$A$11,MIN($U45,120)))-INDEX(Reference!$A$6:$A$11,MIN(5,MATCH(MAX(Reference!$A$6,MIN(Reference!$A$11,MIN($U45,120))),Reference!$A$6:$A$11,1))))*(INDEX(Reference!$B$6:$B$11,MIN(5,MATCH(MAX(Reference!$A$6,MIN(Reference!$A$11,MIN($U45,120))),Reference!$A$6:$A$11,1))+1)-INDEX(Reference!$B$6:$B$11,MIN(5,MATCH(MAX(Reference!$A$6,MIN(Reference!$A$11,MIN($U45,120))),Reference!$A$6:$A$11,1))))/(INDEX(Reference!$A$6:$A$11,MIN(5,MATCH(MAX(Reference!$A$6,MIN(Reference!$A$11,MIN($U45,120))),Reference!$A$6:$A$11,1))+1)-INDEX(Reference!$A$6:$A$11,MIN(5,MATCH(MAX(Reference!$A$6,MIN(Reference!$A$11,MIN($U45,120))),Reference!$A$6:$A$11,1))))),0)+IF(3&lt;=$AL45,($AL45-3+3)*(INDEX(Reference!$B$6:$B$11,MIN(5,MATCH(MAX(Reference!$A$6,MIN(Reference!$A$11,MIN($U45,150))),Reference!$A$6:$A$11,1)))+(MAX(Reference!$A$6,MIN(Reference!$A$11,MIN($U45,150)))-INDEX(Reference!$A$6:$A$11,MIN(5,MATCH(MAX(Reference!$A$6,MIN(Reference!$A$11,MIN($U45,150))),Reference!$A$6:$A$11,1))))*(INDEX(Reference!$B$6:$B$11,MIN(5,MATCH(MAX(Reference!$A$6,MIN(Reference!$A$11,MIN($U45,150))),Reference!$A$6:$A$11,1))+1)-INDEX(Reference!$B$6:$B$11,MIN(5,MATCH(MAX(Reference!$A$6,MIN(Reference!$A$11,MIN($U45,150))),Reference!$A$6:$A$11,1))))/(INDEX(Reference!$A$6:$A$11,MIN(5,MATCH(MAX(Reference!$A$6,MIN(Reference!$A$11,MIN($U45,150))),Reference!$A$6:$A$11,1))+1)-INDEX(Reference!$A$6:$A$11,MIN(5,MATCH(MAX(Reference!$A$6,MIN(Reference!$A$11,MIN($U45,150))),Reference!$A$6:$A$11,1))))),0)+IF(4&lt;=$AL45,($AL45-4+3)*(INDEX(Reference!$B$6:$B$11,MIN(5,MATCH(MAX(Reference!$A$6,MIN(Reference!$A$11,MIN($U45,180))),Reference!$A$6:$A$11,1)))+(MAX(Reference!$A$6,MIN(Reference!$A$11,MIN($U45,180)))-INDEX(Reference!$A$6:$A$11,MIN(5,MATCH(MAX(Reference!$A$6,MIN(Reference!$A$11,MIN($U45,180))),Reference!$A$6:$A$11,1))))*(INDEX(Reference!$B$6:$B$11,MIN(5,MATCH(MAX(Reference!$A$6,MIN(Reference!$A$11,MIN($U45,180))),Reference!$A$6:$A$11,1))+1)-INDEX(Reference!$B$6:$B$11,MIN(5,MATCH(MAX(Reference!$A$6,MIN(Reference!$A$11,MIN($U45,180))),Reference!$A$6:$A$11,1))))/(INDEX(Reference!$A$6:$A$11,MIN(5,MATCH(MAX(Reference!$A$6,MIN(Reference!$A$11,MIN($U45,180))),Reference!$A$6:$A$11,1))+1)-INDEX(Reference!$A$6:$A$11,MIN(5,MATCH(MAX(Reference!$A$6,MIN(Reference!$A$11,MIN($U45,180))),Reference!$A$6:$A$11,1))))),0)+IF(5&lt;=$AL45,($AL45-5+3)*(INDEX(Reference!$B$6:$B$11,MIN(5,MATCH(MAX(Reference!$A$6,MIN(Reference!$A$11,MIN($U45,210))),Reference!$A$6:$A$11,1)))+(MAX(Reference!$A$6,MIN(Reference!$A$11,MIN($U45,210)))-INDEX(Reference!$A$6:$A$11,MIN(5,MATCH(MAX(Reference!$A$6,MIN(Reference!$A$11,MIN($U45,210))),Reference!$A$6:$A$11,1))))*(INDEX(Reference!$B$6:$B$11,MIN(5,MATCH(MAX(Reference!$A$6,MIN(Reference!$A$11,MIN($U45,210))),Reference!$A$6:$A$11,1))+1)-INDEX(Reference!$B$6:$B$11,MIN(5,MATCH(MAX(Reference!$A$6,MIN(Reference!$A$11,MIN($U45,210))),Reference!$A$6:$A$11,1))))/(INDEX(Reference!$A$6:$A$11,MIN(5,MATCH(MAX(Reference!$A$6,MIN(Reference!$A$11,MIN($U45,210))),Reference!$A$6:$A$11,1))+1)-INDEX(Reference!$A$6:$A$11,MIN(5,MATCH(MAX(Reference!$A$6,MIN(Reference!$A$11,MIN($U45,210))),Reference!$A$6:$A$11,1))))),0)+IF(6&lt;=$AL45,($AL45-6+3)*(INDEX(Reference!$B$6:$B$11,MIN(5,MATCH(MAX(Reference!$A$6,MIN(Reference!$A$11,MIN($U45,240))),Reference!$A$6:$A$11,1)))+(MAX(Reference!$A$6,MIN(Reference!$A$11,MIN($U45,240)))-INDEX(Reference!$A$6:$A$11,MIN(5,MATCH(MAX(Reference!$A$6,MIN(Reference!$A$11,MIN($U45,240))),Reference!$A$6:$A$11,1))))*(INDEX(Reference!$B$6:$B$11,MIN(5,MATCH(MAX(Reference!$A$6,MIN(Reference!$A$11,MIN($U45,240))),Reference!$A$6:$A$11,1))+1)-INDEX(Reference!$B$6:$B$11,MIN(5,MATCH(MAX(Reference!$A$6,MIN(Reference!$A$11,MIN($U45,240))),Reference!$A$6:$A$11,1))))/(INDEX(Reference!$A$6:$A$11,MIN(5,MATCH(MAX(Reference!$A$6,MIN(Reference!$A$11,MIN($U45,240))),Reference!$A$6:$A$11,1))+1)-INDEX(Reference!$A$6:$A$11,MIN(5,MATCH(MAX(Reference!$A$6,MIN(Reference!$A$11,MIN($U45,240))),Reference!$A$6:$A$11,1))))),0)+IF(7&lt;=$AL45,($AL45-7+3)*(INDEX(Reference!$B$6:$B$11,MIN(5,MATCH(MAX(Reference!$A$6,MIN(Reference!$A$11,MIN($U45,270))),Reference!$A$6:$A$11,1)))+(MAX(Reference!$A$6,MIN(Reference!$A$11,MIN($U45,270)))-INDEX(Reference!$A$6:$A$11,MIN(5,MATCH(MAX(Reference!$A$6,MIN(Reference!$A$11,MIN($U45,270))),Reference!$A$6:$A$11,1))))*(INDEX(Reference!$B$6:$B$11,MIN(5,MATCH(MAX(Reference!$A$6,MIN(Reference!$A$11,MIN($U45,270))),Reference!$A$6:$A$11,1))+1)-INDEX(Reference!$B$6:$B$11,MIN(5,MATCH(MAX(Reference!$A$6,MIN(Reference!$A$11,MIN($U45,270))),Reference!$A$6:$A$11,1))))/(INDEX(Reference!$A$6:$A$11,MIN(5,MATCH(MAX(Reference!$A$6,MIN(Reference!$A$11,MIN($U45,270))),Reference!$A$6:$A$11,1))+1)-INDEX(Reference!$A$6:$A$11,MIN(5,MATCH(MAX(Reference!$A$6,MIN(Reference!$A$11,MIN($U45,270))),Reference!$A$6:$A$11,1))))),0)+IF(8&lt;=$AL45,($AL45-8+3)*(INDEX(Reference!$B$6:$B$11,MIN(5,MATCH(MAX(Reference!$A$6,MIN(Reference!$A$11,MIN($U45,300))),Reference!$A$6:$A$11,1)))+(MAX(Reference!$A$6,MIN(Reference!$A$11,MIN($U45,300)))-INDEX(Reference!$A$6:$A$11,MIN(5,MATCH(MAX(Reference!$A$6,MIN(Reference!$A$11,MIN($U45,300))),Reference!$A$6:$A$11,1))))*(INDEX(Reference!$B$6:$B$11,MIN(5,MATCH(MAX(Reference!$A$6,MIN(Reference!$A$11,MIN($U45,300))),Reference!$A$6:$A$11,1))+1)-INDEX(Reference!$B$6:$B$11,MIN(5,MATCH(MAX(Reference!$A$6,MIN(Reference!$A$11,MIN($U45,300))),Reference!$A$6:$A$11,1))))/(INDEX(Reference!$A$6:$A$11,MIN(5,MATCH(MAX(Reference!$A$6,MIN(Reference!$A$11,MIN($U45,300))),Reference!$A$6:$A$11,1))+1)-INDEX(Reference!$A$6:$A$11,MIN(5,MATCH(MAX(Reference!$A$6,MIN(Reference!$A$11,MIN($U45,300))),Reference!$A$6:$A$11,1))))),0))/($AL45*($AL45+5)/2)),$AN45))</f>
        <v>0</v>
      </c>
      <c r="AN45" s="32">
        <f>IF($U45="",0,(INDEX(Reference!$B$6:$B$11,MIN(5,MATCH(MAX(Reference!$A$6,MIN(Reference!$A$11,$U45)),Reference!$A$6:$A$11,1)))+(MAX(Reference!$A$6,MIN(Reference!$A$11,$U45))-INDEX(Reference!$A$6:$A$11,MIN(5,MATCH(MAX(Reference!$A$6,MIN(Reference!$A$11,$U45)),Reference!$A$6:$A$11,1))))*(INDEX(Reference!$B$6:$B$11,MIN(5,MATCH(MAX(Reference!$A$6,MIN(Reference!$A$11,$U45)),Reference!$A$6:$A$11,1))+1)-INDEX(Reference!$B$6:$B$11,MIN(5,MATCH(MAX(Reference!$A$6,MIN(Reference!$A$11,$U45)),Reference!$A$6:$A$11,1))))/(INDEX(Reference!$A$6:$A$11,MIN(5,MATCH(MAX(Reference!$A$6,MIN(Reference!$A$11,$U45)),Reference!$A$6:$A$11,1))+1)-INDEX(Reference!$A$6:$A$11,MIN(5,MATCH(MAX(Reference!$A$6,MIN(Reference!$A$11,$U45)),Reference!$A$6:$A$11,1))))))</f>
        <v>0</v>
      </c>
      <c r="AO45" s="37"/>
      <c r="AP45" s="37"/>
      <c r="AQ45" s="37"/>
    </row>
    <row r="46" spans="1:43" x14ac:dyDescent="0.3">
      <c r="A46" s="48">
        <f t="shared" si="5"/>
        <v>46345</v>
      </c>
      <c r="B46" s="32" t="str">
        <f t="shared" si="6"/>
        <v>Thu</v>
      </c>
      <c r="C46" s="32">
        <f t="shared" si="7"/>
        <v>42</v>
      </c>
      <c r="D46" s="32" t="str">
        <f t="shared" si="8"/>
        <v>Re-entry</v>
      </c>
      <c r="E46" s="32" t="str">
        <f t="shared" si="9"/>
        <v>Low</v>
      </c>
      <c r="F46" s="32" t="str">
        <f t="shared" si="10"/>
        <v>Recovery/Easy Catch</v>
      </c>
      <c r="G46" s="47" t="str">
        <f t="shared" si="11"/>
        <v>60 ft × 32 @ 66–70 mph</v>
      </c>
      <c r="H46" s="30">
        <f t="shared" si="12"/>
        <v>19.2</v>
      </c>
      <c r="I46" s="46" t="str">
        <f>IF($A46="","",IF(AND($L46&lt;27,$K$12=0),"Building",IFERROR(((SUM($H$43:$H46)+$K$12*IF($L46&lt;6,SUMIFS('Throw Log'!$Q$5:$Q$300,'Throw Log'!$B$5:$B$300,$D$4,'Throw Log'!$A$5:$A$300,"&gt;="&amp;($D$6+$L46-6),'Throw Log'!$A$5:$A$300,"&lt;="&amp;($D$6-1)),0))/7)/((SUM($H$43:$H46)+$K$12*IF($L46&lt;27,SUMIFS('Throw Log'!$Q$5:$Q$300,'Throw Log'!$B$5:$B$300,$D$4,'Throw Log'!$A$5:$A$300,"&gt;="&amp;($D$6+$L46-27),'Throw Log'!$A$5:$A$300,"&lt;="&amp;($D$6-1)),0))/28),"")))</f>
        <v>Building</v>
      </c>
      <c r="J46" s="37"/>
      <c r="K46" s="37"/>
      <c r="L46" s="32">
        <v>3</v>
      </c>
      <c r="M46" s="32">
        <f t="shared" si="13"/>
        <v>1</v>
      </c>
      <c r="N46" s="32">
        <f t="shared" si="14"/>
        <v>3</v>
      </c>
      <c r="O46" s="32">
        <f t="shared" si="15"/>
        <v>8.1081081081081086E-2</v>
      </c>
      <c r="P46" s="32">
        <f>IF(OR($A46="",N($C46)&lt;=7),"",$G$6*$G$9^($M46-1)*IF(AND(MOD($M46,Reference!$B$99)=0,$M46&lt;=$G$5-2),Reference!$B$100,1))</f>
        <v>80</v>
      </c>
      <c r="Q46" s="32">
        <f>IF($P46="","",IF(SUM($AK$43:$AK$49)=0,0,$P46*INDEX(Reference!$B$108:$B$114,$N46+1)/SUM($AK$43:$AK$49)))</f>
        <v>19.2</v>
      </c>
      <c r="R46" s="32">
        <f t="shared" si="16"/>
        <v>60</v>
      </c>
      <c r="S46" s="32">
        <f t="shared" si="17"/>
        <v>60</v>
      </c>
      <c r="T46" s="32" t="str">
        <f>IF($A46="","",IF($C46=0,"Bullpen",IF(OR($C46=7,$C46=1,$C46=5),"Recovery/Easy Catch",IF($C46=6,"Compression/Pulldowns",IF(OR($C46=4,$C46=2),"Long Toss",IF($C46=3,"No Throw",IF($N46=2,"No Throw",IF($N46=6,IF($O46&lt;Reference!$B$104,"No Throw","Recovery/Easy Catch"),IF(OR($N46=0,$N46=4),"Recovery/Easy Catch",IF($N46=1,IF($R46&gt;75,"Long Toss","Recovery/Easy Catch"),IF($N46=3,IF($O46&lt;0.5,IF($S46&gt;75,"Long Toss","Recovery/Easy Catch"),"Compression/Pulldowns"),IF($S46&gt;75,"Long Toss","Recovery/Easy Catch"))))))))))))</f>
        <v>Recovery/Easy Catch</v>
      </c>
      <c r="U46" s="32">
        <f t="shared" si="18"/>
        <v>60</v>
      </c>
      <c r="V46" s="32">
        <f t="shared" si="19"/>
        <v>18</v>
      </c>
      <c r="W46" s="32">
        <f t="shared" si="20"/>
        <v>22</v>
      </c>
      <c r="X46" s="32">
        <f t="shared" si="21"/>
        <v>0</v>
      </c>
      <c r="Y46" s="32" t="str">
        <f t="shared" si="22"/>
        <v/>
      </c>
      <c r="Z46" s="32" t="str">
        <f t="shared" si="23"/>
        <v/>
      </c>
      <c r="AA46" s="32" t="str">
        <f t="shared" si="24"/>
        <v/>
      </c>
      <c r="AB46" s="32">
        <f>IF($A46="","",IF($T46="No Throw",0,IF($K46&lt;&gt;"",$K46,IF($AA46&lt;&gt;"",ROUND($AA46*$D$12*IF($C46=0,1,$G$10),0),MIN(IF($T46="Recovery/Easy Catch",Reference!$B$103,IF($T46="Long Toss",Reference!$B$106,Reference!$B$102)),MAX(Reference!$B$101,ROUND(MAX(0,$Q46-$AE46)/$AF46,0)))))))</f>
        <v>32</v>
      </c>
      <c r="AC46" s="32">
        <f t="shared" si="25"/>
        <v>0</v>
      </c>
      <c r="AD46" s="32" t="b">
        <f t="shared" si="26"/>
        <v>0</v>
      </c>
      <c r="AE46" s="32">
        <f>IF($X46=0,0,$X46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46+$Z46)/2,0),Reference!$A$17:$B$20,2,TRUE()))</f>
        <v>0</v>
      </c>
      <c r="AF46" s="32">
        <f>IF(OR($A46="",$U46="",$T46="No Throw"),0,$AM46*VLOOKUP(MAX(($V46+$W46)/2,0),Reference!$A$17:$B$20,2,TRUE()))</f>
        <v>0.6</v>
      </c>
      <c r="AG46" s="32">
        <f>IF($AC46=0,0,$AC46*INDEX(Reference!$B$61:$B$62,MATCH("Bullpen",Reference!$A$61:$A$62,0))*VLOOKUP(MAX($D$5-($D$9+$E$9)/2,0),Reference!$A$17:$B$20,2,TRUE()))</f>
        <v>0</v>
      </c>
      <c r="AH46" s="32" t="e">
        <f t="shared" si="27"/>
        <v>#N/A</v>
      </c>
      <c r="AI46" s="32">
        <f>IF($A46="",NA(),Reference!$A$25)</f>
        <v>0.8</v>
      </c>
      <c r="AJ46" s="32">
        <f t="shared" si="28"/>
        <v>1.3</v>
      </c>
      <c r="AK46" s="56">
        <f>IF(OR($A46="",N($C46)&lt;=7,$T46="No Throw",$J46="x"),0,INDEX(Reference!$B$108:$B$114,$N46+1))</f>
        <v>0.24</v>
      </c>
      <c r="AL46" s="32">
        <f t="shared" si="29"/>
        <v>1</v>
      </c>
      <c r="AM46" s="32">
        <f>IF($U46="",0,IF($AL46&gt;1,((IF(1&lt;=$AL46,($AL46-1+3)*(INDEX(Reference!$B$6:$B$11,MIN(5,MATCH(MAX(Reference!$A$6,MIN(Reference!$A$11,MIN($U46,90))),Reference!$A$6:$A$11,1)))+(MAX(Reference!$A$6,MIN(Reference!$A$11,MIN($U46,90)))-INDEX(Reference!$A$6:$A$11,MIN(5,MATCH(MAX(Reference!$A$6,MIN(Reference!$A$11,MIN($U46,90))),Reference!$A$6:$A$11,1))))*(INDEX(Reference!$B$6:$B$11,MIN(5,MATCH(MAX(Reference!$A$6,MIN(Reference!$A$11,MIN($U46,90))),Reference!$A$6:$A$11,1))+1)-INDEX(Reference!$B$6:$B$11,MIN(5,MATCH(MAX(Reference!$A$6,MIN(Reference!$A$11,MIN($U46,90))),Reference!$A$6:$A$11,1))))/(INDEX(Reference!$A$6:$A$11,MIN(5,MATCH(MAX(Reference!$A$6,MIN(Reference!$A$11,MIN($U46,90))),Reference!$A$6:$A$11,1))+1)-INDEX(Reference!$A$6:$A$11,MIN(5,MATCH(MAX(Reference!$A$6,MIN(Reference!$A$11,MIN($U46,90))),Reference!$A$6:$A$11,1))))),0)+IF(2&lt;=$AL46,($AL46-2+3)*(INDEX(Reference!$B$6:$B$11,MIN(5,MATCH(MAX(Reference!$A$6,MIN(Reference!$A$11,MIN($U46,120))),Reference!$A$6:$A$11,1)))+(MAX(Reference!$A$6,MIN(Reference!$A$11,MIN($U46,120)))-INDEX(Reference!$A$6:$A$11,MIN(5,MATCH(MAX(Reference!$A$6,MIN(Reference!$A$11,MIN($U46,120))),Reference!$A$6:$A$11,1))))*(INDEX(Reference!$B$6:$B$11,MIN(5,MATCH(MAX(Reference!$A$6,MIN(Reference!$A$11,MIN($U46,120))),Reference!$A$6:$A$11,1))+1)-INDEX(Reference!$B$6:$B$11,MIN(5,MATCH(MAX(Reference!$A$6,MIN(Reference!$A$11,MIN($U46,120))),Reference!$A$6:$A$11,1))))/(INDEX(Reference!$A$6:$A$11,MIN(5,MATCH(MAX(Reference!$A$6,MIN(Reference!$A$11,MIN($U46,120))),Reference!$A$6:$A$11,1))+1)-INDEX(Reference!$A$6:$A$11,MIN(5,MATCH(MAX(Reference!$A$6,MIN(Reference!$A$11,MIN($U46,120))),Reference!$A$6:$A$11,1))))),0)+IF(3&lt;=$AL46,($AL46-3+3)*(INDEX(Reference!$B$6:$B$11,MIN(5,MATCH(MAX(Reference!$A$6,MIN(Reference!$A$11,MIN($U46,150))),Reference!$A$6:$A$11,1)))+(MAX(Reference!$A$6,MIN(Reference!$A$11,MIN($U46,150)))-INDEX(Reference!$A$6:$A$11,MIN(5,MATCH(MAX(Reference!$A$6,MIN(Reference!$A$11,MIN($U46,150))),Reference!$A$6:$A$11,1))))*(INDEX(Reference!$B$6:$B$11,MIN(5,MATCH(MAX(Reference!$A$6,MIN(Reference!$A$11,MIN($U46,150))),Reference!$A$6:$A$11,1))+1)-INDEX(Reference!$B$6:$B$11,MIN(5,MATCH(MAX(Reference!$A$6,MIN(Reference!$A$11,MIN($U46,150))),Reference!$A$6:$A$11,1))))/(INDEX(Reference!$A$6:$A$11,MIN(5,MATCH(MAX(Reference!$A$6,MIN(Reference!$A$11,MIN($U46,150))),Reference!$A$6:$A$11,1))+1)-INDEX(Reference!$A$6:$A$11,MIN(5,MATCH(MAX(Reference!$A$6,MIN(Reference!$A$11,MIN($U46,150))),Reference!$A$6:$A$11,1))))),0)+IF(4&lt;=$AL46,($AL46-4+3)*(INDEX(Reference!$B$6:$B$11,MIN(5,MATCH(MAX(Reference!$A$6,MIN(Reference!$A$11,MIN($U46,180))),Reference!$A$6:$A$11,1)))+(MAX(Reference!$A$6,MIN(Reference!$A$11,MIN($U46,180)))-INDEX(Reference!$A$6:$A$11,MIN(5,MATCH(MAX(Reference!$A$6,MIN(Reference!$A$11,MIN($U46,180))),Reference!$A$6:$A$11,1))))*(INDEX(Reference!$B$6:$B$11,MIN(5,MATCH(MAX(Reference!$A$6,MIN(Reference!$A$11,MIN($U46,180))),Reference!$A$6:$A$11,1))+1)-INDEX(Reference!$B$6:$B$11,MIN(5,MATCH(MAX(Reference!$A$6,MIN(Reference!$A$11,MIN($U46,180))),Reference!$A$6:$A$11,1))))/(INDEX(Reference!$A$6:$A$11,MIN(5,MATCH(MAX(Reference!$A$6,MIN(Reference!$A$11,MIN($U46,180))),Reference!$A$6:$A$11,1))+1)-INDEX(Reference!$A$6:$A$11,MIN(5,MATCH(MAX(Reference!$A$6,MIN(Reference!$A$11,MIN($U46,180))),Reference!$A$6:$A$11,1))))),0)+IF(5&lt;=$AL46,($AL46-5+3)*(INDEX(Reference!$B$6:$B$11,MIN(5,MATCH(MAX(Reference!$A$6,MIN(Reference!$A$11,MIN($U46,210))),Reference!$A$6:$A$11,1)))+(MAX(Reference!$A$6,MIN(Reference!$A$11,MIN($U46,210)))-INDEX(Reference!$A$6:$A$11,MIN(5,MATCH(MAX(Reference!$A$6,MIN(Reference!$A$11,MIN($U46,210))),Reference!$A$6:$A$11,1))))*(INDEX(Reference!$B$6:$B$11,MIN(5,MATCH(MAX(Reference!$A$6,MIN(Reference!$A$11,MIN($U46,210))),Reference!$A$6:$A$11,1))+1)-INDEX(Reference!$B$6:$B$11,MIN(5,MATCH(MAX(Reference!$A$6,MIN(Reference!$A$11,MIN($U46,210))),Reference!$A$6:$A$11,1))))/(INDEX(Reference!$A$6:$A$11,MIN(5,MATCH(MAX(Reference!$A$6,MIN(Reference!$A$11,MIN($U46,210))),Reference!$A$6:$A$11,1))+1)-INDEX(Reference!$A$6:$A$11,MIN(5,MATCH(MAX(Reference!$A$6,MIN(Reference!$A$11,MIN($U46,210))),Reference!$A$6:$A$11,1))))),0)+IF(6&lt;=$AL46,($AL46-6+3)*(INDEX(Reference!$B$6:$B$11,MIN(5,MATCH(MAX(Reference!$A$6,MIN(Reference!$A$11,MIN($U46,240))),Reference!$A$6:$A$11,1)))+(MAX(Reference!$A$6,MIN(Reference!$A$11,MIN($U46,240)))-INDEX(Reference!$A$6:$A$11,MIN(5,MATCH(MAX(Reference!$A$6,MIN(Reference!$A$11,MIN($U46,240))),Reference!$A$6:$A$11,1))))*(INDEX(Reference!$B$6:$B$11,MIN(5,MATCH(MAX(Reference!$A$6,MIN(Reference!$A$11,MIN($U46,240))),Reference!$A$6:$A$11,1))+1)-INDEX(Reference!$B$6:$B$11,MIN(5,MATCH(MAX(Reference!$A$6,MIN(Reference!$A$11,MIN($U46,240))),Reference!$A$6:$A$11,1))))/(INDEX(Reference!$A$6:$A$11,MIN(5,MATCH(MAX(Reference!$A$6,MIN(Reference!$A$11,MIN($U46,240))),Reference!$A$6:$A$11,1))+1)-INDEX(Reference!$A$6:$A$11,MIN(5,MATCH(MAX(Reference!$A$6,MIN(Reference!$A$11,MIN($U46,240))),Reference!$A$6:$A$11,1))))),0)+IF(7&lt;=$AL46,($AL46-7+3)*(INDEX(Reference!$B$6:$B$11,MIN(5,MATCH(MAX(Reference!$A$6,MIN(Reference!$A$11,MIN($U46,270))),Reference!$A$6:$A$11,1)))+(MAX(Reference!$A$6,MIN(Reference!$A$11,MIN($U46,270)))-INDEX(Reference!$A$6:$A$11,MIN(5,MATCH(MAX(Reference!$A$6,MIN(Reference!$A$11,MIN($U46,270))),Reference!$A$6:$A$11,1))))*(INDEX(Reference!$B$6:$B$11,MIN(5,MATCH(MAX(Reference!$A$6,MIN(Reference!$A$11,MIN($U46,270))),Reference!$A$6:$A$11,1))+1)-INDEX(Reference!$B$6:$B$11,MIN(5,MATCH(MAX(Reference!$A$6,MIN(Reference!$A$11,MIN($U46,270))),Reference!$A$6:$A$11,1))))/(INDEX(Reference!$A$6:$A$11,MIN(5,MATCH(MAX(Reference!$A$6,MIN(Reference!$A$11,MIN($U46,270))),Reference!$A$6:$A$11,1))+1)-INDEX(Reference!$A$6:$A$11,MIN(5,MATCH(MAX(Reference!$A$6,MIN(Reference!$A$11,MIN($U46,270))),Reference!$A$6:$A$11,1))))),0)+IF(8&lt;=$AL46,($AL46-8+3)*(INDEX(Reference!$B$6:$B$11,MIN(5,MATCH(MAX(Reference!$A$6,MIN(Reference!$A$11,MIN($U46,300))),Reference!$A$6:$A$11,1)))+(MAX(Reference!$A$6,MIN(Reference!$A$11,MIN($U46,300)))-INDEX(Reference!$A$6:$A$11,MIN(5,MATCH(MAX(Reference!$A$6,MIN(Reference!$A$11,MIN($U46,300))),Reference!$A$6:$A$11,1))))*(INDEX(Reference!$B$6:$B$11,MIN(5,MATCH(MAX(Reference!$A$6,MIN(Reference!$A$11,MIN($U46,300))),Reference!$A$6:$A$11,1))+1)-INDEX(Reference!$B$6:$B$11,MIN(5,MATCH(MAX(Reference!$A$6,MIN(Reference!$A$11,MIN($U46,300))),Reference!$A$6:$A$11,1))))/(INDEX(Reference!$A$6:$A$11,MIN(5,MATCH(MAX(Reference!$A$6,MIN(Reference!$A$11,MIN($U46,300))),Reference!$A$6:$A$11,1))+1)-INDEX(Reference!$A$6:$A$11,MIN(5,MATCH(MAX(Reference!$A$6,MIN(Reference!$A$11,MIN($U46,300))),Reference!$A$6:$A$11,1))))),0))/($AL46*($AL46+5)/2)),$AN46))</f>
        <v>1</v>
      </c>
      <c r="AN46" s="32">
        <f>IF($U46="",0,(INDEX(Reference!$B$6:$B$11,MIN(5,MATCH(MAX(Reference!$A$6,MIN(Reference!$A$11,$U46)),Reference!$A$6:$A$11,1)))+(MAX(Reference!$A$6,MIN(Reference!$A$11,$U46))-INDEX(Reference!$A$6:$A$11,MIN(5,MATCH(MAX(Reference!$A$6,MIN(Reference!$A$11,$U46)),Reference!$A$6:$A$11,1))))*(INDEX(Reference!$B$6:$B$11,MIN(5,MATCH(MAX(Reference!$A$6,MIN(Reference!$A$11,$U46)),Reference!$A$6:$A$11,1))+1)-INDEX(Reference!$B$6:$B$11,MIN(5,MATCH(MAX(Reference!$A$6,MIN(Reference!$A$11,$U46)),Reference!$A$6:$A$11,1))))/(INDEX(Reference!$A$6:$A$11,MIN(5,MATCH(MAX(Reference!$A$6,MIN(Reference!$A$11,$U46)),Reference!$A$6:$A$11,1))+1)-INDEX(Reference!$A$6:$A$11,MIN(5,MATCH(MAX(Reference!$A$6,MIN(Reference!$A$11,$U46)),Reference!$A$6:$A$11,1))))))</f>
        <v>1</v>
      </c>
      <c r="AO46" s="37"/>
      <c r="AP46" s="37"/>
      <c r="AQ46" s="37"/>
    </row>
    <row r="47" spans="1:43" x14ac:dyDescent="0.3">
      <c r="A47" s="48">
        <f t="shared" si="5"/>
        <v>46346</v>
      </c>
      <c r="B47" s="32" t="str">
        <f t="shared" si="6"/>
        <v>Fri</v>
      </c>
      <c r="C47" s="32">
        <f t="shared" si="7"/>
        <v>41</v>
      </c>
      <c r="D47" s="32" t="str">
        <f t="shared" si="8"/>
        <v>Re-entry</v>
      </c>
      <c r="E47" s="32" t="str">
        <f t="shared" si="9"/>
        <v>Low</v>
      </c>
      <c r="F47" s="32" t="str">
        <f t="shared" si="10"/>
        <v>Recovery/Easy Catch</v>
      </c>
      <c r="G47" s="47" t="str">
        <f t="shared" si="11"/>
        <v>60 ft × 20 @ 64–68 mph</v>
      </c>
      <c r="H47" s="30">
        <f t="shared" si="12"/>
        <v>12</v>
      </c>
      <c r="I47" s="46" t="str">
        <f>IF($A47="","",IF(AND($L47&lt;27,$K$12=0),"Building",IFERROR(((SUM($H$43:$H47)+$K$12*IF($L47&lt;6,SUMIFS('Throw Log'!$Q$5:$Q$300,'Throw Log'!$B$5:$B$300,$D$4,'Throw Log'!$A$5:$A$300,"&gt;="&amp;($D$6+$L47-6),'Throw Log'!$A$5:$A$300,"&lt;="&amp;($D$6-1)),0))/7)/((SUM($H$43:$H47)+$K$12*IF($L47&lt;27,SUMIFS('Throw Log'!$Q$5:$Q$300,'Throw Log'!$B$5:$B$300,$D$4,'Throw Log'!$A$5:$A$300,"&gt;="&amp;($D$6+$L47-27),'Throw Log'!$A$5:$A$300,"&lt;="&amp;($D$6-1)),0))/28),"")))</f>
        <v>Building</v>
      </c>
      <c r="J47" s="37"/>
      <c r="K47" s="37"/>
      <c r="L47" s="32">
        <v>4</v>
      </c>
      <c r="M47" s="32">
        <f t="shared" si="13"/>
        <v>1</v>
      </c>
      <c r="N47" s="32">
        <f t="shared" si="14"/>
        <v>4</v>
      </c>
      <c r="O47" s="32">
        <f t="shared" si="15"/>
        <v>0.10810810810810811</v>
      </c>
      <c r="P47" s="32">
        <f>IF(OR($A47="",N($C47)&lt;=7),"",$G$6*$G$9^($M47-1)*IF(AND(MOD($M47,Reference!$B$99)=0,$M47&lt;=$G$5-2),Reference!$B$100,1))</f>
        <v>80</v>
      </c>
      <c r="Q47" s="32">
        <f>IF($P47="","",IF(SUM($AK$43:$AK$49)=0,0,$P47*INDEX(Reference!$B$108:$B$114,$N47+1)/SUM($AK$43:$AK$49)))</f>
        <v>8</v>
      </c>
      <c r="R47" s="32">
        <f t="shared" si="16"/>
        <v>75</v>
      </c>
      <c r="S47" s="32">
        <f t="shared" si="17"/>
        <v>75</v>
      </c>
      <c r="T47" s="32" t="str">
        <f>IF($A47="","",IF($C47=0,"Bullpen",IF(OR($C47=7,$C47=1,$C47=5),"Recovery/Easy Catch",IF($C47=6,"Compression/Pulldowns",IF(OR($C47=4,$C47=2),"Long Toss",IF($C47=3,"No Throw",IF($N47=2,"No Throw",IF($N47=6,IF($O47&lt;Reference!$B$104,"No Throw","Recovery/Easy Catch"),IF(OR($N47=0,$N47=4),"Recovery/Easy Catch",IF($N47=1,IF($R47&gt;75,"Long Toss","Recovery/Easy Catch"),IF($N47=3,IF($O47&lt;0.5,IF($S47&gt;75,"Long Toss","Recovery/Easy Catch"),"Compression/Pulldowns"),IF($S47&gt;75,"Long Toss","Recovery/Easy Catch"))))))))))))</f>
        <v>Recovery/Easy Catch</v>
      </c>
      <c r="U47" s="32">
        <f t="shared" si="18"/>
        <v>60</v>
      </c>
      <c r="V47" s="32">
        <f t="shared" si="19"/>
        <v>20</v>
      </c>
      <c r="W47" s="32">
        <f t="shared" si="20"/>
        <v>24</v>
      </c>
      <c r="X47" s="32">
        <f t="shared" si="21"/>
        <v>0</v>
      </c>
      <c r="Y47" s="32" t="str">
        <f t="shared" si="22"/>
        <v/>
      </c>
      <c r="Z47" s="32" t="str">
        <f t="shared" si="23"/>
        <v/>
      </c>
      <c r="AA47" s="32" t="str">
        <f t="shared" si="24"/>
        <v/>
      </c>
      <c r="AB47" s="32">
        <f>IF($A47="","",IF($T47="No Throw",0,IF($K47&lt;&gt;"",$K47,IF($AA47&lt;&gt;"",ROUND($AA47*$D$12*IF($C47=0,1,$G$10),0),MIN(IF($T47="Recovery/Easy Catch",Reference!$B$103,IF($T47="Long Toss",Reference!$B$106,Reference!$B$102)),MAX(Reference!$B$101,ROUND(MAX(0,$Q47-$AE47)/$AF47,0)))))))</f>
        <v>20</v>
      </c>
      <c r="AC47" s="32">
        <f t="shared" si="25"/>
        <v>0</v>
      </c>
      <c r="AD47" s="32" t="b">
        <f t="shared" si="26"/>
        <v>0</v>
      </c>
      <c r="AE47" s="32">
        <f>IF($X47=0,0,$X47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47+$Z47)/2,0),Reference!$A$17:$B$20,2,TRUE()))</f>
        <v>0</v>
      </c>
      <c r="AF47" s="32">
        <f>IF(OR($A47="",$U47="",$T47="No Throw"),0,$AM47*VLOOKUP(MAX(($V47+$W47)/2,0),Reference!$A$17:$B$20,2,TRUE()))</f>
        <v>0.6</v>
      </c>
      <c r="AG47" s="32">
        <f>IF($AC47=0,0,$AC47*INDEX(Reference!$B$61:$B$62,MATCH("Bullpen",Reference!$A$61:$A$62,0))*VLOOKUP(MAX($D$5-($D$9+$E$9)/2,0),Reference!$A$17:$B$20,2,TRUE()))</f>
        <v>0</v>
      </c>
      <c r="AH47" s="32" t="e">
        <f t="shared" si="27"/>
        <v>#N/A</v>
      </c>
      <c r="AI47" s="32">
        <f>IF($A47="",NA(),Reference!$A$25)</f>
        <v>0.8</v>
      </c>
      <c r="AJ47" s="32">
        <f t="shared" si="28"/>
        <v>1.3</v>
      </c>
      <c r="AK47" s="56">
        <f>IF(OR($A47="",N($C47)&lt;=7,$T47="No Throw",$J47="x"),0,INDEX(Reference!$B$108:$B$114,$N47+1))</f>
        <v>0.1</v>
      </c>
      <c r="AL47" s="32">
        <f t="shared" si="29"/>
        <v>1</v>
      </c>
      <c r="AM47" s="32">
        <f>IF($U47="",0,IF($AL47&gt;1,((IF(1&lt;=$AL47,($AL47-1+3)*(INDEX(Reference!$B$6:$B$11,MIN(5,MATCH(MAX(Reference!$A$6,MIN(Reference!$A$11,MIN($U47,90))),Reference!$A$6:$A$11,1)))+(MAX(Reference!$A$6,MIN(Reference!$A$11,MIN($U47,90)))-INDEX(Reference!$A$6:$A$11,MIN(5,MATCH(MAX(Reference!$A$6,MIN(Reference!$A$11,MIN($U47,90))),Reference!$A$6:$A$11,1))))*(INDEX(Reference!$B$6:$B$11,MIN(5,MATCH(MAX(Reference!$A$6,MIN(Reference!$A$11,MIN($U47,90))),Reference!$A$6:$A$11,1))+1)-INDEX(Reference!$B$6:$B$11,MIN(5,MATCH(MAX(Reference!$A$6,MIN(Reference!$A$11,MIN($U47,90))),Reference!$A$6:$A$11,1))))/(INDEX(Reference!$A$6:$A$11,MIN(5,MATCH(MAX(Reference!$A$6,MIN(Reference!$A$11,MIN($U47,90))),Reference!$A$6:$A$11,1))+1)-INDEX(Reference!$A$6:$A$11,MIN(5,MATCH(MAX(Reference!$A$6,MIN(Reference!$A$11,MIN($U47,90))),Reference!$A$6:$A$11,1))))),0)+IF(2&lt;=$AL47,($AL47-2+3)*(INDEX(Reference!$B$6:$B$11,MIN(5,MATCH(MAX(Reference!$A$6,MIN(Reference!$A$11,MIN($U47,120))),Reference!$A$6:$A$11,1)))+(MAX(Reference!$A$6,MIN(Reference!$A$11,MIN($U47,120)))-INDEX(Reference!$A$6:$A$11,MIN(5,MATCH(MAX(Reference!$A$6,MIN(Reference!$A$11,MIN($U47,120))),Reference!$A$6:$A$11,1))))*(INDEX(Reference!$B$6:$B$11,MIN(5,MATCH(MAX(Reference!$A$6,MIN(Reference!$A$11,MIN($U47,120))),Reference!$A$6:$A$11,1))+1)-INDEX(Reference!$B$6:$B$11,MIN(5,MATCH(MAX(Reference!$A$6,MIN(Reference!$A$11,MIN($U47,120))),Reference!$A$6:$A$11,1))))/(INDEX(Reference!$A$6:$A$11,MIN(5,MATCH(MAX(Reference!$A$6,MIN(Reference!$A$11,MIN($U47,120))),Reference!$A$6:$A$11,1))+1)-INDEX(Reference!$A$6:$A$11,MIN(5,MATCH(MAX(Reference!$A$6,MIN(Reference!$A$11,MIN($U47,120))),Reference!$A$6:$A$11,1))))),0)+IF(3&lt;=$AL47,($AL47-3+3)*(INDEX(Reference!$B$6:$B$11,MIN(5,MATCH(MAX(Reference!$A$6,MIN(Reference!$A$11,MIN($U47,150))),Reference!$A$6:$A$11,1)))+(MAX(Reference!$A$6,MIN(Reference!$A$11,MIN($U47,150)))-INDEX(Reference!$A$6:$A$11,MIN(5,MATCH(MAX(Reference!$A$6,MIN(Reference!$A$11,MIN($U47,150))),Reference!$A$6:$A$11,1))))*(INDEX(Reference!$B$6:$B$11,MIN(5,MATCH(MAX(Reference!$A$6,MIN(Reference!$A$11,MIN($U47,150))),Reference!$A$6:$A$11,1))+1)-INDEX(Reference!$B$6:$B$11,MIN(5,MATCH(MAX(Reference!$A$6,MIN(Reference!$A$11,MIN($U47,150))),Reference!$A$6:$A$11,1))))/(INDEX(Reference!$A$6:$A$11,MIN(5,MATCH(MAX(Reference!$A$6,MIN(Reference!$A$11,MIN($U47,150))),Reference!$A$6:$A$11,1))+1)-INDEX(Reference!$A$6:$A$11,MIN(5,MATCH(MAX(Reference!$A$6,MIN(Reference!$A$11,MIN($U47,150))),Reference!$A$6:$A$11,1))))),0)+IF(4&lt;=$AL47,($AL47-4+3)*(INDEX(Reference!$B$6:$B$11,MIN(5,MATCH(MAX(Reference!$A$6,MIN(Reference!$A$11,MIN($U47,180))),Reference!$A$6:$A$11,1)))+(MAX(Reference!$A$6,MIN(Reference!$A$11,MIN($U47,180)))-INDEX(Reference!$A$6:$A$11,MIN(5,MATCH(MAX(Reference!$A$6,MIN(Reference!$A$11,MIN($U47,180))),Reference!$A$6:$A$11,1))))*(INDEX(Reference!$B$6:$B$11,MIN(5,MATCH(MAX(Reference!$A$6,MIN(Reference!$A$11,MIN($U47,180))),Reference!$A$6:$A$11,1))+1)-INDEX(Reference!$B$6:$B$11,MIN(5,MATCH(MAX(Reference!$A$6,MIN(Reference!$A$11,MIN($U47,180))),Reference!$A$6:$A$11,1))))/(INDEX(Reference!$A$6:$A$11,MIN(5,MATCH(MAX(Reference!$A$6,MIN(Reference!$A$11,MIN($U47,180))),Reference!$A$6:$A$11,1))+1)-INDEX(Reference!$A$6:$A$11,MIN(5,MATCH(MAX(Reference!$A$6,MIN(Reference!$A$11,MIN($U47,180))),Reference!$A$6:$A$11,1))))),0)+IF(5&lt;=$AL47,($AL47-5+3)*(INDEX(Reference!$B$6:$B$11,MIN(5,MATCH(MAX(Reference!$A$6,MIN(Reference!$A$11,MIN($U47,210))),Reference!$A$6:$A$11,1)))+(MAX(Reference!$A$6,MIN(Reference!$A$11,MIN($U47,210)))-INDEX(Reference!$A$6:$A$11,MIN(5,MATCH(MAX(Reference!$A$6,MIN(Reference!$A$11,MIN($U47,210))),Reference!$A$6:$A$11,1))))*(INDEX(Reference!$B$6:$B$11,MIN(5,MATCH(MAX(Reference!$A$6,MIN(Reference!$A$11,MIN($U47,210))),Reference!$A$6:$A$11,1))+1)-INDEX(Reference!$B$6:$B$11,MIN(5,MATCH(MAX(Reference!$A$6,MIN(Reference!$A$11,MIN($U47,210))),Reference!$A$6:$A$11,1))))/(INDEX(Reference!$A$6:$A$11,MIN(5,MATCH(MAX(Reference!$A$6,MIN(Reference!$A$11,MIN($U47,210))),Reference!$A$6:$A$11,1))+1)-INDEX(Reference!$A$6:$A$11,MIN(5,MATCH(MAX(Reference!$A$6,MIN(Reference!$A$11,MIN($U47,210))),Reference!$A$6:$A$11,1))))),0)+IF(6&lt;=$AL47,($AL47-6+3)*(INDEX(Reference!$B$6:$B$11,MIN(5,MATCH(MAX(Reference!$A$6,MIN(Reference!$A$11,MIN($U47,240))),Reference!$A$6:$A$11,1)))+(MAX(Reference!$A$6,MIN(Reference!$A$11,MIN($U47,240)))-INDEX(Reference!$A$6:$A$11,MIN(5,MATCH(MAX(Reference!$A$6,MIN(Reference!$A$11,MIN($U47,240))),Reference!$A$6:$A$11,1))))*(INDEX(Reference!$B$6:$B$11,MIN(5,MATCH(MAX(Reference!$A$6,MIN(Reference!$A$11,MIN($U47,240))),Reference!$A$6:$A$11,1))+1)-INDEX(Reference!$B$6:$B$11,MIN(5,MATCH(MAX(Reference!$A$6,MIN(Reference!$A$11,MIN($U47,240))),Reference!$A$6:$A$11,1))))/(INDEX(Reference!$A$6:$A$11,MIN(5,MATCH(MAX(Reference!$A$6,MIN(Reference!$A$11,MIN($U47,240))),Reference!$A$6:$A$11,1))+1)-INDEX(Reference!$A$6:$A$11,MIN(5,MATCH(MAX(Reference!$A$6,MIN(Reference!$A$11,MIN($U47,240))),Reference!$A$6:$A$11,1))))),0)+IF(7&lt;=$AL47,($AL47-7+3)*(INDEX(Reference!$B$6:$B$11,MIN(5,MATCH(MAX(Reference!$A$6,MIN(Reference!$A$11,MIN($U47,270))),Reference!$A$6:$A$11,1)))+(MAX(Reference!$A$6,MIN(Reference!$A$11,MIN($U47,270)))-INDEX(Reference!$A$6:$A$11,MIN(5,MATCH(MAX(Reference!$A$6,MIN(Reference!$A$11,MIN($U47,270))),Reference!$A$6:$A$11,1))))*(INDEX(Reference!$B$6:$B$11,MIN(5,MATCH(MAX(Reference!$A$6,MIN(Reference!$A$11,MIN($U47,270))),Reference!$A$6:$A$11,1))+1)-INDEX(Reference!$B$6:$B$11,MIN(5,MATCH(MAX(Reference!$A$6,MIN(Reference!$A$11,MIN($U47,270))),Reference!$A$6:$A$11,1))))/(INDEX(Reference!$A$6:$A$11,MIN(5,MATCH(MAX(Reference!$A$6,MIN(Reference!$A$11,MIN($U47,270))),Reference!$A$6:$A$11,1))+1)-INDEX(Reference!$A$6:$A$11,MIN(5,MATCH(MAX(Reference!$A$6,MIN(Reference!$A$11,MIN($U47,270))),Reference!$A$6:$A$11,1))))),0)+IF(8&lt;=$AL47,($AL47-8+3)*(INDEX(Reference!$B$6:$B$11,MIN(5,MATCH(MAX(Reference!$A$6,MIN(Reference!$A$11,MIN($U47,300))),Reference!$A$6:$A$11,1)))+(MAX(Reference!$A$6,MIN(Reference!$A$11,MIN($U47,300)))-INDEX(Reference!$A$6:$A$11,MIN(5,MATCH(MAX(Reference!$A$6,MIN(Reference!$A$11,MIN($U47,300))),Reference!$A$6:$A$11,1))))*(INDEX(Reference!$B$6:$B$11,MIN(5,MATCH(MAX(Reference!$A$6,MIN(Reference!$A$11,MIN($U47,300))),Reference!$A$6:$A$11,1))+1)-INDEX(Reference!$B$6:$B$11,MIN(5,MATCH(MAX(Reference!$A$6,MIN(Reference!$A$11,MIN($U47,300))),Reference!$A$6:$A$11,1))))/(INDEX(Reference!$A$6:$A$11,MIN(5,MATCH(MAX(Reference!$A$6,MIN(Reference!$A$11,MIN($U47,300))),Reference!$A$6:$A$11,1))+1)-INDEX(Reference!$A$6:$A$11,MIN(5,MATCH(MAX(Reference!$A$6,MIN(Reference!$A$11,MIN($U47,300))),Reference!$A$6:$A$11,1))))),0))/($AL47*($AL47+5)/2)),$AN47))</f>
        <v>1</v>
      </c>
      <c r="AN47" s="32">
        <f>IF($U47="",0,(INDEX(Reference!$B$6:$B$11,MIN(5,MATCH(MAX(Reference!$A$6,MIN(Reference!$A$11,$U47)),Reference!$A$6:$A$11,1)))+(MAX(Reference!$A$6,MIN(Reference!$A$11,$U47))-INDEX(Reference!$A$6:$A$11,MIN(5,MATCH(MAX(Reference!$A$6,MIN(Reference!$A$11,$U47)),Reference!$A$6:$A$11,1))))*(INDEX(Reference!$B$6:$B$11,MIN(5,MATCH(MAX(Reference!$A$6,MIN(Reference!$A$11,$U47)),Reference!$A$6:$A$11,1))+1)-INDEX(Reference!$B$6:$B$11,MIN(5,MATCH(MAX(Reference!$A$6,MIN(Reference!$A$11,$U47)),Reference!$A$6:$A$11,1))))/(INDEX(Reference!$A$6:$A$11,MIN(5,MATCH(MAX(Reference!$A$6,MIN(Reference!$A$11,$U47)),Reference!$A$6:$A$11,1))+1)-INDEX(Reference!$A$6:$A$11,MIN(5,MATCH(MAX(Reference!$A$6,MIN(Reference!$A$11,$U47)),Reference!$A$6:$A$11,1))))))</f>
        <v>1</v>
      </c>
      <c r="AO47" s="37"/>
      <c r="AP47" s="37"/>
      <c r="AQ47" s="37"/>
    </row>
    <row r="48" spans="1:43" x14ac:dyDescent="0.3">
      <c r="A48" s="48">
        <f t="shared" si="5"/>
        <v>46347</v>
      </c>
      <c r="B48" s="32" t="str">
        <f t="shared" si="6"/>
        <v>Sat</v>
      </c>
      <c r="C48" s="32">
        <f t="shared" si="7"/>
        <v>40</v>
      </c>
      <c r="D48" s="32" t="str">
        <f t="shared" si="8"/>
        <v>Re-entry</v>
      </c>
      <c r="E48" s="32" t="str">
        <f t="shared" si="9"/>
        <v>Low</v>
      </c>
      <c r="F48" s="32" t="str">
        <f t="shared" si="10"/>
        <v>Recovery/Easy Catch</v>
      </c>
      <c r="G48" s="47" t="str">
        <f t="shared" si="11"/>
        <v>75 ft × 31 @ 66–70 mph</v>
      </c>
      <c r="H48" s="30">
        <f t="shared" si="12"/>
        <v>21.389999999999997</v>
      </c>
      <c r="I48" s="46" t="str">
        <f>IF($A48="","",IF(AND($L48&lt;27,$K$12=0),"Building",IFERROR(((SUM($H$43:$H48)+$K$12*IF($L48&lt;6,SUMIFS('Throw Log'!$Q$5:$Q$300,'Throw Log'!$B$5:$B$300,$D$4,'Throw Log'!$A$5:$A$300,"&gt;="&amp;($D$6+$L48-6),'Throw Log'!$A$5:$A$300,"&lt;="&amp;($D$6-1)),0))/7)/((SUM($H$43:$H48)+$K$12*IF($L48&lt;27,SUMIFS('Throw Log'!$Q$5:$Q$300,'Throw Log'!$B$5:$B$300,$D$4,'Throw Log'!$A$5:$A$300,"&gt;="&amp;($D$6+$L48-27),'Throw Log'!$A$5:$A$300,"&lt;="&amp;($D$6-1)),0))/28),"")))</f>
        <v>Building</v>
      </c>
      <c r="J48" s="37"/>
      <c r="K48" s="37"/>
      <c r="L48" s="32">
        <v>5</v>
      </c>
      <c r="M48" s="32">
        <f t="shared" si="13"/>
        <v>1</v>
      </c>
      <c r="N48" s="32">
        <f t="shared" si="14"/>
        <v>5</v>
      </c>
      <c r="O48" s="32">
        <f t="shared" si="15"/>
        <v>0.13513513513513514</v>
      </c>
      <c r="P48" s="32">
        <f>IF(OR($A48="",N($C48)&lt;=7),"",$G$6*$G$9^($M48-1)*IF(AND(MOD($M48,Reference!$B$99)=0,$M48&lt;=$G$5-2),Reference!$B$100,1))</f>
        <v>80</v>
      </c>
      <c r="Q48" s="32">
        <f>IF($P48="","",IF(SUM($AK$43:$AK$49)=0,0,$P48*INDEX(Reference!$B$108:$B$114,$N48+1)/SUM($AK$43:$AK$49)))</f>
        <v>21.6</v>
      </c>
      <c r="R48" s="32">
        <f t="shared" si="16"/>
        <v>75</v>
      </c>
      <c r="S48" s="32">
        <f t="shared" si="17"/>
        <v>75</v>
      </c>
      <c r="T48" s="32" t="str">
        <f>IF($A48="","",IF($C48=0,"Bullpen",IF(OR($C48=7,$C48=1,$C48=5),"Recovery/Easy Catch",IF($C48=6,"Compression/Pulldowns",IF(OR($C48=4,$C48=2),"Long Toss",IF($C48=3,"No Throw",IF($N48=2,"No Throw",IF($N48=6,IF($O48&lt;Reference!$B$104,"No Throw","Recovery/Easy Catch"),IF(OR($N48=0,$N48=4),"Recovery/Easy Catch",IF($N48=1,IF($R48&gt;75,"Long Toss","Recovery/Easy Catch"),IF($N48=3,IF($O48&lt;0.5,IF($S48&gt;75,"Long Toss","Recovery/Easy Catch"),"Compression/Pulldowns"),IF($S48&gt;75,"Long Toss","Recovery/Easy Catch"))))))))))))</f>
        <v>Recovery/Easy Catch</v>
      </c>
      <c r="U48" s="32">
        <f t="shared" si="18"/>
        <v>75</v>
      </c>
      <c r="V48" s="32">
        <f t="shared" si="19"/>
        <v>18</v>
      </c>
      <c r="W48" s="32">
        <f t="shared" si="20"/>
        <v>22</v>
      </c>
      <c r="X48" s="32">
        <f t="shared" si="21"/>
        <v>0</v>
      </c>
      <c r="Y48" s="32" t="str">
        <f t="shared" si="22"/>
        <v/>
      </c>
      <c r="Z48" s="32" t="str">
        <f t="shared" si="23"/>
        <v/>
      </c>
      <c r="AA48" s="32" t="str">
        <f t="shared" si="24"/>
        <v/>
      </c>
      <c r="AB48" s="32">
        <f>IF($A48="","",IF($T48="No Throw",0,IF($K48&lt;&gt;"",$K48,IF($AA48&lt;&gt;"",ROUND($AA48*$D$12*IF($C48=0,1,$G$10),0),MIN(IF($T48="Recovery/Easy Catch",Reference!$B$103,IF($T48="Long Toss",Reference!$B$106,Reference!$B$102)),MAX(Reference!$B$101,ROUND(MAX(0,$Q48-$AE48)/$AF48,0)))))))</f>
        <v>31</v>
      </c>
      <c r="AC48" s="32">
        <f t="shared" si="25"/>
        <v>0</v>
      </c>
      <c r="AD48" s="32" t="b">
        <f t="shared" si="26"/>
        <v>0</v>
      </c>
      <c r="AE48" s="32">
        <f>IF($X48=0,0,$X48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48+$Z48)/2,0),Reference!$A$17:$B$20,2,TRUE()))</f>
        <v>0</v>
      </c>
      <c r="AF48" s="32">
        <f>IF(OR($A48="",$U48="",$T48="No Throw"),0,$AM48*VLOOKUP(MAX(($V48+$W48)/2,0),Reference!$A$17:$B$20,2,TRUE()))</f>
        <v>0.69</v>
      </c>
      <c r="AG48" s="32">
        <f>IF($AC48=0,0,$AC48*INDEX(Reference!$B$61:$B$62,MATCH("Bullpen",Reference!$A$61:$A$62,0))*VLOOKUP(MAX($D$5-($D$9+$E$9)/2,0),Reference!$A$17:$B$20,2,TRUE()))</f>
        <v>0</v>
      </c>
      <c r="AH48" s="32" t="e">
        <f t="shared" si="27"/>
        <v>#N/A</v>
      </c>
      <c r="AI48" s="32">
        <f>IF($A48="",NA(),Reference!$A$25)</f>
        <v>0.8</v>
      </c>
      <c r="AJ48" s="32">
        <f t="shared" si="28"/>
        <v>1.3</v>
      </c>
      <c r="AK48" s="56">
        <f>IF(OR($A48="",N($C48)&lt;=7,$T48="No Throw",$J48="x"),0,INDEX(Reference!$B$108:$B$114,$N48+1))</f>
        <v>0.27</v>
      </c>
      <c r="AL48" s="32">
        <f t="shared" si="29"/>
        <v>1</v>
      </c>
      <c r="AM48" s="32">
        <f>IF($U48="",0,IF($AL48&gt;1,((IF(1&lt;=$AL48,($AL48-1+3)*(INDEX(Reference!$B$6:$B$11,MIN(5,MATCH(MAX(Reference!$A$6,MIN(Reference!$A$11,MIN($U48,90))),Reference!$A$6:$A$11,1)))+(MAX(Reference!$A$6,MIN(Reference!$A$11,MIN($U48,90)))-INDEX(Reference!$A$6:$A$11,MIN(5,MATCH(MAX(Reference!$A$6,MIN(Reference!$A$11,MIN($U48,90))),Reference!$A$6:$A$11,1))))*(INDEX(Reference!$B$6:$B$11,MIN(5,MATCH(MAX(Reference!$A$6,MIN(Reference!$A$11,MIN($U48,90))),Reference!$A$6:$A$11,1))+1)-INDEX(Reference!$B$6:$B$11,MIN(5,MATCH(MAX(Reference!$A$6,MIN(Reference!$A$11,MIN($U48,90))),Reference!$A$6:$A$11,1))))/(INDEX(Reference!$A$6:$A$11,MIN(5,MATCH(MAX(Reference!$A$6,MIN(Reference!$A$11,MIN($U48,90))),Reference!$A$6:$A$11,1))+1)-INDEX(Reference!$A$6:$A$11,MIN(5,MATCH(MAX(Reference!$A$6,MIN(Reference!$A$11,MIN($U48,90))),Reference!$A$6:$A$11,1))))),0)+IF(2&lt;=$AL48,($AL48-2+3)*(INDEX(Reference!$B$6:$B$11,MIN(5,MATCH(MAX(Reference!$A$6,MIN(Reference!$A$11,MIN($U48,120))),Reference!$A$6:$A$11,1)))+(MAX(Reference!$A$6,MIN(Reference!$A$11,MIN($U48,120)))-INDEX(Reference!$A$6:$A$11,MIN(5,MATCH(MAX(Reference!$A$6,MIN(Reference!$A$11,MIN($U48,120))),Reference!$A$6:$A$11,1))))*(INDEX(Reference!$B$6:$B$11,MIN(5,MATCH(MAX(Reference!$A$6,MIN(Reference!$A$11,MIN($U48,120))),Reference!$A$6:$A$11,1))+1)-INDEX(Reference!$B$6:$B$11,MIN(5,MATCH(MAX(Reference!$A$6,MIN(Reference!$A$11,MIN($U48,120))),Reference!$A$6:$A$11,1))))/(INDEX(Reference!$A$6:$A$11,MIN(5,MATCH(MAX(Reference!$A$6,MIN(Reference!$A$11,MIN($U48,120))),Reference!$A$6:$A$11,1))+1)-INDEX(Reference!$A$6:$A$11,MIN(5,MATCH(MAX(Reference!$A$6,MIN(Reference!$A$11,MIN($U48,120))),Reference!$A$6:$A$11,1))))),0)+IF(3&lt;=$AL48,($AL48-3+3)*(INDEX(Reference!$B$6:$B$11,MIN(5,MATCH(MAX(Reference!$A$6,MIN(Reference!$A$11,MIN($U48,150))),Reference!$A$6:$A$11,1)))+(MAX(Reference!$A$6,MIN(Reference!$A$11,MIN($U48,150)))-INDEX(Reference!$A$6:$A$11,MIN(5,MATCH(MAX(Reference!$A$6,MIN(Reference!$A$11,MIN($U48,150))),Reference!$A$6:$A$11,1))))*(INDEX(Reference!$B$6:$B$11,MIN(5,MATCH(MAX(Reference!$A$6,MIN(Reference!$A$11,MIN($U48,150))),Reference!$A$6:$A$11,1))+1)-INDEX(Reference!$B$6:$B$11,MIN(5,MATCH(MAX(Reference!$A$6,MIN(Reference!$A$11,MIN($U48,150))),Reference!$A$6:$A$11,1))))/(INDEX(Reference!$A$6:$A$11,MIN(5,MATCH(MAX(Reference!$A$6,MIN(Reference!$A$11,MIN($U48,150))),Reference!$A$6:$A$11,1))+1)-INDEX(Reference!$A$6:$A$11,MIN(5,MATCH(MAX(Reference!$A$6,MIN(Reference!$A$11,MIN($U48,150))),Reference!$A$6:$A$11,1))))),0)+IF(4&lt;=$AL48,($AL48-4+3)*(INDEX(Reference!$B$6:$B$11,MIN(5,MATCH(MAX(Reference!$A$6,MIN(Reference!$A$11,MIN($U48,180))),Reference!$A$6:$A$11,1)))+(MAX(Reference!$A$6,MIN(Reference!$A$11,MIN($U48,180)))-INDEX(Reference!$A$6:$A$11,MIN(5,MATCH(MAX(Reference!$A$6,MIN(Reference!$A$11,MIN($U48,180))),Reference!$A$6:$A$11,1))))*(INDEX(Reference!$B$6:$B$11,MIN(5,MATCH(MAX(Reference!$A$6,MIN(Reference!$A$11,MIN($U48,180))),Reference!$A$6:$A$11,1))+1)-INDEX(Reference!$B$6:$B$11,MIN(5,MATCH(MAX(Reference!$A$6,MIN(Reference!$A$11,MIN($U48,180))),Reference!$A$6:$A$11,1))))/(INDEX(Reference!$A$6:$A$11,MIN(5,MATCH(MAX(Reference!$A$6,MIN(Reference!$A$11,MIN($U48,180))),Reference!$A$6:$A$11,1))+1)-INDEX(Reference!$A$6:$A$11,MIN(5,MATCH(MAX(Reference!$A$6,MIN(Reference!$A$11,MIN($U48,180))),Reference!$A$6:$A$11,1))))),0)+IF(5&lt;=$AL48,($AL48-5+3)*(INDEX(Reference!$B$6:$B$11,MIN(5,MATCH(MAX(Reference!$A$6,MIN(Reference!$A$11,MIN($U48,210))),Reference!$A$6:$A$11,1)))+(MAX(Reference!$A$6,MIN(Reference!$A$11,MIN($U48,210)))-INDEX(Reference!$A$6:$A$11,MIN(5,MATCH(MAX(Reference!$A$6,MIN(Reference!$A$11,MIN($U48,210))),Reference!$A$6:$A$11,1))))*(INDEX(Reference!$B$6:$B$11,MIN(5,MATCH(MAX(Reference!$A$6,MIN(Reference!$A$11,MIN($U48,210))),Reference!$A$6:$A$11,1))+1)-INDEX(Reference!$B$6:$B$11,MIN(5,MATCH(MAX(Reference!$A$6,MIN(Reference!$A$11,MIN($U48,210))),Reference!$A$6:$A$11,1))))/(INDEX(Reference!$A$6:$A$11,MIN(5,MATCH(MAX(Reference!$A$6,MIN(Reference!$A$11,MIN($U48,210))),Reference!$A$6:$A$11,1))+1)-INDEX(Reference!$A$6:$A$11,MIN(5,MATCH(MAX(Reference!$A$6,MIN(Reference!$A$11,MIN($U48,210))),Reference!$A$6:$A$11,1))))),0)+IF(6&lt;=$AL48,($AL48-6+3)*(INDEX(Reference!$B$6:$B$11,MIN(5,MATCH(MAX(Reference!$A$6,MIN(Reference!$A$11,MIN($U48,240))),Reference!$A$6:$A$11,1)))+(MAX(Reference!$A$6,MIN(Reference!$A$11,MIN($U48,240)))-INDEX(Reference!$A$6:$A$11,MIN(5,MATCH(MAX(Reference!$A$6,MIN(Reference!$A$11,MIN($U48,240))),Reference!$A$6:$A$11,1))))*(INDEX(Reference!$B$6:$B$11,MIN(5,MATCH(MAX(Reference!$A$6,MIN(Reference!$A$11,MIN($U48,240))),Reference!$A$6:$A$11,1))+1)-INDEX(Reference!$B$6:$B$11,MIN(5,MATCH(MAX(Reference!$A$6,MIN(Reference!$A$11,MIN($U48,240))),Reference!$A$6:$A$11,1))))/(INDEX(Reference!$A$6:$A$11,MIN(5,MATCH(MAX(Reference!$A$6,MIN(Reference!$A$11,MIN($U48,240))),Reference!$A$6:$A$11,1))+1)-INDEX(Reference!$A$6:$A$11,MIN(5,MATCH(MAX(Reference!$A$6,MIN(Reference!$A$11,MIN($U48,240))),Reference!$A$6:$A$11,1))))),0)+IF(7&lt;=$AL48,($AL48-7+3)*(INDEX(Reference!$B$6:$B$11,MIN(5,MATCH(MAX(Reference!$A$6,MIN(Reference!$A$11,MIN($U48,270))),Reference!$A$6:$A$11,1)))+(MAX(Reference!$A$6,MIN(Reference!$A$11,MIN($U48,270)))-INDEX(Reference!$A$6:$A$11,MIN(5,MATCH(MAX(Reference!$A$6,MIN(Reference!$A$11,MIN($U48,270))),Reference!$A$6:$A$11,1))))*(INDEX(Reference!$B$6:$B$11,MIN(5,MATCH(MAX(Reference!$A$6,MIN(Reference!$A$11,MIN($U48,270))),Reference!$A$6:$A$11,1))+1)-INDEX(Reference!$B$6:$B$11,MIN(5,MATCH(MAX(Reference!$A$6,MIN(Reference!$A$11,MIN($U48,270))),Reference!$A$6:$A$11,1))))/(INDEX(Reference!$A$6:$A$11,MIN(5,MATCH(MAX(Reference!$A$6,MIN(Reference!$A$11,MIN($U48,270))),Reference!$A$6:$A$11,1))+1)-INDEX(Reference!$A$6:$A$11,MIN(5,MATCH(MAX(Reference!$A$6,MIN(Reference!$A$11,MIN($U48,270))),Reference!$A$6:$A$11,1))))),0)+IF(8&lt;=$AL48,($AL48-8+3)*(INDEX(Reference!$B$6:$B$11,MIN(5,MATCH(MAX(Reference!$A$6,MIN(Reference!$A$11,MIN($U48,300))),Reference!$A$6:$A$11,1)))+(MAX(Reference!$A$6,MIN(Reference!$A$11,MIN($U48,300)))-INDEX(Reference!$A$6:$A$11,MIN(5,MATCH(MAX(Reference!$A$6,MIN(Reference!$A$11,MIN($U48,300))),Reference!$A$6:$A$11,1))))*(INDEX(Reference!$B$6:$B$11,MIN(5,MATCH(MAX(Reference!$A$6,MIN(Reference!$A$11,MIN($U48,300))),Reference!$A$6:$A$11,1))+1)-INDEX(Reference!$B$6:$B$11,MIN(5,MATCH(MAX(Reference!$A$6,MIN(Reference!$A$11,MIN($U48,300))),Reference!$A$6:$A$11,1))))/(INDEX(Reference!$A$6:$A$11,MIN(5,MATCH(MAX(Reference!$A$6,MIN(Reference!$A$11,MIN($U48,300))),Reference!$A$6:$A$11,1))+1)-INDEX(Reference!$A$6:$A$11,MIN(5,MATCH(MAX(Reference!$A$6,MIN(Reference!$A$11,MIN($U48,300))),Reference!$A$6:$A$11,1))))),0))/($AL48*($AL48+5)/2)),$AN48))</f>
        <v>1.1499999999999999</v>
      </c>
      <c r="AN48" s="32">
        <f>IF($U48="",0,(INDEX(Reference!$B$6:$B$11,MIN(5,MATCH(MAX(Reference!$A$6,MIN(Reference!$A$11,$U48)),Reference!$A$6:$A$11,1)))+(MAX(Reference!$A$6,MIN(Reference!$A$11,$U48))-INDEX(Reference!$A$6:$A$11,MIN(5,MATCH(MAX(Reference!$A$6,MIN(Reference!$A$11,$U48)),Reference!$A$6:$A$11,1))))*(INDEX(Reference!$B$6:$B$11,MIN(5,MATCH(MAX(Reference!$A$6,MIN(Reference!$A$11,$U48)),Reference!$A$6:$A$11,1))+1)-INDEX(Reference!$B$6:$B$11,MIN(5,MATCH(MAX(Reference!$A$6,MIN(Reference!$A$11,$U48)),Reference!$A$6:$A$11,1))))/(INDEX(Reference!$A$6:$A$11,MIN(5,MATCH(MAX(Reference!$A$6,MIN(Reference!$A$11,$U48)),Reference!$A$6:$A$11,1))+1)-INDEX(Reference!$A$6:$A$11,MIN(5,MATCH(MAX(Reference!$A$6,MIN(Reference!$A$11,$U48)),Reference!$A$6:$A$11,1))))))</f>
        <v>1.1499999999999999</v>
      </c>
      <c r="AO48" s="37"/>
      <c r="AP48" s="37"/>
      <c r="AQ48" s="37"/>
    </row>
    <row r="49" spans="1:43" x14ac:dyDescent="0.3">
      <c r="A49" s="48">
        <f t="shared" si="5"/>
        <v>46348</v>
      </c>
      <c r="B49" s="32" t="str">
        <f t="shared" si="6"/>
        <v>Sun</v>
      </c>
      <c r="C49" s="32">
        <f t="shared" si="7"/>
        <v>39</v>
      </c>
      <c r="D49" s="32" t="str">
        <f t="shared" si="8"/>
        <v>Re-entry</v>
      </c>
      <c r="E49" s="32" t="str">
        <f t="shared" si="9"/>
        <v>No Throw</v>
      </c>
      <c r="F49" s="32" t="str">
        <f t="shared" si="10"/>
        <v>No Throw</v>
      </c>
      <c r="G49" s="47" t="str">
        <f t="shared" si="11"/>
        <v>Off</v>
      </c>
      <c r="H49" s="30">
        <f t="shared" si="12"/>
        <v>0</v>
      </c>
      <c r="I49" s="46" t="str">
        <f>IF($A49="","",IF(AND($L49&lt;27,$K$12=0),"Building",IFERROR(((SUM($H$43:$H49)+$K$12*IF($L49&lt;6,SUMIFS('Throw Log'!$Q$5:$Q$300,'Throw Log'!$B$5:$B$300,$D$4,'Throw Log'!$A$5:$A$300,"&gt;="&amp;($D$6+$L49-6),'Throw Log'!$A$5:$A$300,"&lt;="&amp;($D$6-1)),0))/7)/((SUM($H$43:$H49)+$K$12*IF($L49&lt;27,SUMIFS('Throw Log'!$Q$5:$Q$300,'Throw Log'!$B$5:$B$300,$D$4,'Throw Log'!$A$5:$A$300,"&gt;="&amp;($D$6+$L49-27),'Throw Log'!$A$5:$A$300,"&lt;="&amp;($D$6-1)),0))/28),"")))</f>
        <v>Building</v>
      </c>
      <c r="J49" s="37"/>
      <c r="K49" s="37"/>
      <c r="L49" s="32">
        <v>6</v>
      </c>
      <c r="M49" s="32">
        <f t="shared" si="13"/>
        <v>1</v>
      </c>
      <c r="N49" s="32">
        <f t="shared" si="14"/>
        <v>6</v>
      </c>
      <c r="O49" s="32">
        <f t="shared" si="15"/>
        <v>0.16216216216216217</v>
      </c>
      <c r="P49" s="32">
        <f>IF(OR($A49="",N($C49)&lt;=7),"",$G$6*$G$9^($M49-1)*IF(AND(MOD($M49,Reference!$B$99)=0,$M49&lt;=$G$5-2),Reference!$B$100,1))</f>
        <v>80</v>
      </c>
      <c r="Q49" s="32">
        <f>IF($P49="","",IF(SUM($AK$43:$AK$49)=0,0,$P49*INDEX(Reference!$B$108:$B$114,$N49+1)/SUM($AK$43:$AK$49)))</f>
        <v>5.6000000000000005</v>
      </c>
      <c r="R49" s="32">
        <f t="shared" si="16"/>
        <v>75</v>
      </c>
      <c r="S49" s="32">
        <f t="shared" si="17"/>
        <v>75</v>
      </c>
      <c r="T49" s="32" t="str">
        <f>IF($A49="","",IF($C49=0,"Bullpen",IF(OR($C49=7,$C49=1,$C49=5),"Recovery/Easy Catch",IF($C49=6,"Compression/Pulldowns",IF(OR($C49=4,$C49=2),"Long Toss",IF($C49=3,"No Throw",IF($N49=2,"No Throw",IF($N49=6,IF($O49&lt;Reference!$B$104,"No Throw","Recovery/Easy Catch"),IF(OR($N49=0,$N49=4),"Recovery/Easy Catch",IF($N49=1,IF($R49&gt;75,"Long Toss","Recovery/Easy Catch"),IF($N49=3,IF($O49&lt;0.5,IF($S49&gt;75,"Long Toss","Recovery/Easy Catch"),"Compression/Pulldowns"),IF($S49&gt;75,"Long Toss","Recovery/Easy Catch"))))))))))))</f>
        <v>No Throw</v>
      </c>
      <c r="U49" s="32">
        <f t="shared" si="18"/>
        <v>60</v>
      </c>
      <c r="V49" s="32">
        <f t="shared" si="19"/>
        <v>20</v>
      </c>
      <c r="W49" s="32">
        <f t="shared" si="20"/>
        <v>24</v>
      </c>
      <c r="X49" s="32">
        <f t="shared" si="21"/>
        <v>0</v>
      </c>
      <c r="Y49" s="32" t="str">
        <f t="shared" si="22"/>
        <v/>
      </c>
      <c r="Z49" s="32" t="str">
        <f t="shared" si="23"/>
        <v/>
      </c>
      <c r="AA49" s="32" t="str">
        <f t="shared" si="24"/>
        <v/>
      </c>
      <c r="AB49" s="32">
        <f>IF($A49="","",IF($T49="No Throw",0,IF($K49&lt;&gt;"",$K49,IF($AA49&lt;&gt;"",ROUND($AA49*$D$12*IF($C49=0,1,$G$10),0),MIN(IF($T49="Recovery/Easy Catch",Reference!$B$103,IF($T49="Long Toss",Reference!$B$106,Reference!$B$102)),MAX(Reference!$B$101,ROUND(MAX(0,$Q49-$AE49)/$AF49,0)))))))</f>
        <v>0</v>
      </c>
      <c r="AC49" s="32">
        <f t="shared" si="25"/>
        <v>0</v>
      </c>
      <c r="AD49" s="32" t="b">
        <f t="shared" si="26"/>
        <v>1</v>
      </c>
      <c r="AE49" s="32">
        <f>IF($X49=0,0,$X49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49+$Z49)/2,0),Reference!$A$17:$B$20,2,TRUE()))</f>
        <v>0</v>
      </c>
      <c r="AF49" s="32">
        <f>IF(OR($A49="",$U49="",$T49="No Throw"),0,$AM49*VLOOKUP(MAX(($V49+$W49)/2,0),Reference!$A$17:$B$20,2,TRUE()))</f>
        <v>0</v>
      </c>
      <c r="AG49" s="32">
        <f>IF($AC49=0,0,$AC49*INDEX(Reference!$B$61:$B$62,MATCH("Bullpen",Reference!$A$61:$A$62,0))*VLOOKUP(MAX($D$5-($D$9+$E$9)/2,0),Reference!$A$17:$B$20,2,TRUE()))</f>
        <v>0</v>
      </c>
      <c r="AH49" s="32" t="e">
        <f t="shared" si="27"/>
        <v>#N/A</v>
      </c>
      <c r="AI49" s="32">
        <f>IF($A49="",NA(),Reference!$A$25)</f>
        <v>0.8</v>
      </c>
      <c r="AJ49" s="32">
        <f t="shared" si="28"/>
        <v>1.3</v>
      </c>
      <c r="AK49" s="32">
        <f>IF(OR($A49="",N($C49)&lt;=7,$T49="No Throw",$J49="x"),0,INDEX(Reference!$B$108:$B$114,$N49+1))</f>
        <v>0</v>
      </c>
      <c r="AL49" s="32">
        <f t="shared" si="29"/>
        <v>1</v>
      </c>
      <c r="AM49" s="32">
        <f>IF($U49="",0,IF($AL49&gt;1,((IF(1&lt;=$AL49,($AL49-1+3)*(INDEX(Reference!$B$6:$B$11,MIN(5,MATCH(MAX(Reference!$A$6,MIN(Reference!$A$11,MIN($U49,90))),Reference!$A$6:$A$11,1)))+(MAX(Reference!$A$6,MIN(Reference!$A$11,MIN($U49,90)))-INDEX(Reference!$A$6:$A$11,MIN(5,MATCH(MAX(Reference!$A$6,MIN(Reference!$A$11,MIN($U49,90))),Reference!$A$6:$A$11,1))))*(INDEX(Reference!$B$6:$B$11,MIN(5,MATCH(MAX(Reference!$A$6,MIN(Reference!$A$11,MIN($U49,90))),Reference!$A$6:$A$11,1))+1)-INDEX(Reference!$B$6:$B$11,MIN(5,MATCH(MAX(Reference!$A$6,MIN(Reference!$A$11,MIN($U49,90))),Reference!$A$6:$A$11,1))))/(INDEX(Reference!$A$6:$A$11,MIN(5,MATCH(MAX(Reference!$A$6,MIN(Reference!$A$11,MIN($U49,90))),Reference!$A$6:$A$11,1))+1)-INDEX(Reference!$A$6:$A$11,MIN(5,MATCH(MAX(Reference!$A$6,MIN(Reference!$A$11,MIN($U49,90))),Reference!$A$6:$A$11,1))))),0)+IF(2&lt;=$AL49,($AL49-2+3)*(INDEX(Reference!$B$6:$B$11,MIN(5,MATCH(MAX(Reference!$A$6,MIN(Reference!$A$11,MIN($U49,120))),Reference!$A$6:$A$11,1)))+(MAX(Reference!$A$6,MIN(Reference!$A$11,MIN($U49,120)))-INDEX(Reference!$A$6:$A$11,MIN(5,MATCH(MAX(Reference!$A$6,MIN(Reference!$A$11,MIN($U49,120))),Reference!$A$6:$A$11,1))))*(INDEX(Reference!$B$6:$B$11,MIN(5,MATCH(MAX(Reference!$A$6,MIN(Reference!$A$11,MIN($U49,120))),Reference!$A$6:$A$11,1))+1)-INDEX(Reference!$B$6:$B$11,MIN(5,MATCH(MAX(Reference!$A$6,MIN(Reference!$A$11,MIN($U49,120))),Reference!$A$6:$A$11,1))))/(INDEX(Reference!$A$6:$A$11,MIN(5,MATCH(MAX(Reference!$A$6,MIN(Reference!$A$11,MIN($U49,120))),Reference!$A$6:$A$11,1))+1)-INDEX(Reference!$A$6:$A$11,MIN(5,MATCH(MAX(Reference!$A$6,MIN(Reference!$A$11,MIN($U49,120))),Reference!$A$6:$A$11,1))))),0)+IF(3&lt;=$AL49,($AL49-3+3)*(INDEX(Reference!$B$6:$B$11,MIN(5,MATCH(MAX(Reference!$A$6,MIN(Reference!$A$11,MIN($U49,150))),Reference!$A$6:$A$11,1)))+(MAX(Reference!$A$6,MIN(Reference!$A$11,MIN($U49,150)))-INDEX(Reference!$A$6:$A$11,MIN(5,MATCH(MAX(Reference!$A$6,MIN(Reference!$A$11,MIN($U49,150))),Reference!$A$6:$A$11,1))))*(INDEX(Reference!$B$6:$B$11,MIN(5,MATCH(MAX(Reference!$A$6,MIN(Reference!$A$11,MIN($U49,150))),Reference!$A$6:$A$11,1))+1)-INDEX(Reference!$B$6:$B$11,MIN(5,MATCH(MAX(Reference!$A$6,MIN(Reference!$A$11,MIN($U49,150))),Reference!$A$6:$A$11,1))))/(INDEX(Reference!$A$6:$A$11,MIN(5,MATCH(MAX(Reference!$A$6,MIN(Reference!$A$11,MIN($U49,150))),Reference!$A$6:$A$11,1))+1)-INDEX(Reference!$A$6:$A$11,MIN(5,MATCH(MAX(Reference!$A$6,MIN(Reference!$A$11,MIN($U49,150))),Reference!$A$6:$A$11,1))))),0)+IF(4&lt;=$AL49,($AL49-4+3)*(INDEX(Reference!$B$6:$B$11,MIN(5,MATCH(MAX(Reference!$A$6,MIN(Reference!$A$11,MIN($U49,180))),Reference!$A$6:$A$11,1)))+(MAX(Reference!$A$6,MIN(Reference!$A$11,MIN($U49,180)))-INDEX(Reference!$A$6:$A$11,MIN(5,MATCH(MAX(Reference!$A$6,MIN(Reference!$A$11,MIN($U49,180))),Reference!$A$6:$A$11,1))))*(INDEX(Reference!$B$6:$B$11,MIN(5,MATCH(MAX(Reference!$A$6,MIN(Reference!$A$11,MIN($U49,180))),Reference!$A$6:$A$11,1))+1)-INDEX(Reference!$B$6:$B$11,MIN(5,MATCH(MAX(Reference!$A$6,MIN(Reference!$A$11,MIN($U49,180))),Reference!$A$6:$A$11,1))))/(INDEX(Reference!$A$6:$A$11,MIN(5,MATCH(MAX(Reference!$A$6,MIN(Reference!$A$11,MIN($U49,180))),Reference!$A$6:$A$11,1))+1)-INDEX(Reference!$A$6:$A$11,MIN(5,MATCH(MAX(Reference!$A$6,MIN(Reference!$A$11,MIN($U49,180))),Reference!$A$6:$A$11,1))))),0)+IF(5&lt;=$AL49,($AL49-5+3)*(INDEX(Reference!$B$6:$B$11,MIN(5,MATCH(MAX(Reference!$A$6,MIN(Reference!$A$11,MIN($U49,210))),Reference!$A$6:$A$11,1)))+(MAX(Reference!$A$6,MIN(Reference!$A$11,MIN($U49,210)))-INDEX(Reference!$A$6:$A$11,MIN(5,MATCH(MAX(Reference!$A$6,MIN(Reference!$A$11,MIN($U49,210))),Reference!$A$6:$A$11,1))))*(INDEX(Reference!$B$6:$B$11,MIN(5,MATCH(MAX(Reference!$A$6,MIN(Reference!$A$11,MIN($U49,210))),Reference!$A$6:$A$11,1))+1)-INDEX(Reference!$B$6:$B$11,MIN(5,MATCH(MAX(Reference!$A$6,MIN(Reference!$A$11,MIN($U49,210))),Reference!$A$6:$A$11,1))))/(INDEX(Reference!$A$6:$A$11,MIN(5,MATCH(MAX(Reference!$A$6,MIN(Reference!$A$11,MIN($U49,210))),Reference!$A$6:$A$11,1))+1)-INDEX(Reference!$A$6:$A$11,MIN(5,MATCH(MAX(Reference!$A$6,MIN(Reference!$A$11,MIN($U49,210))),Reference!$A$6:$A$11,1))))),0)+IF(6&lt;=$AL49,($AL49-6+3)*(INDEX(Reference!$B$6:$B$11,MIN(5,MATCH(MAX(Reference!$A$6,MIN(Reference!$A$11,MIN($U49,240))),Reference!$A$6:$A$11,1)))+(MAX(Reference!$A$6,MIN(Reference!$A$11,MIN($U49,240)))-INDEX(Reference!$A$6:$A$11,MIN(5,MATCH(MAX(Reference!$A$6,MIN(Reference!$A$11,MIN($U49,240))),Reference!$A$6:$A$11,1))))*(INDEX(Reference!$B$6:$B$11,MIN(5,MATCH(MAX(Reference!$A$6,MIN(Reference!$A$11,MIN($U49,240))),Reference!$A$6:$A$11,1))+1)-INDEX(Reference!$B$6:$B$11,MIN(5,MATCH(MAX(Reference!$A$6,MIN(Reference!$A$11,MIN($U49,240))),Reference!$A$6:$A$11,1))))/(INDEX(Reference!$A$6:$A$11,MIN(5,MATCH(MAX(Reference!$A$6,MIN(Reference!$A$11,MIN($U49,240))),Reference!$A$6:$A$11,1))+1)-INDEX(Reference!$A$6:$A$11,MIN(5,MATCH(MAX(Reference!$A$6,MIN(Reference!$A$11,MIN($U49,240))),Reference!$A$6:$A$11,1))))),0)+IF(7&lt;=$AL49,($AL49-7+3)*(INDEX(Reference!$B$6:$B$11,MIN(5,MATCH(MAX(Reference!$A$6,MIN(Reference!$A$11,MIN($U49,270))),Reference!$A$6:$A$11,1)))+(MAX(Reference!$A$6,MIN(Reference!$A$11,MIN($U49,270)))-INDEX(Reference!$A$6:$A$11,MIN(5,MATCH(MAX(Reference!$A$6,MIN(Reference!$A$11,MIN($U49,270))),Reference!$A$6:$A$11,1))))*(INDEX(Reference!$B$6:$B$11,MIN(5,MATCH(MAX(Reference!$A$6,MIN(Reference!$A$11,MIN($U49,270))),Reference!$A$6:$A$11,1))+1)-INDEX(Reference!$B$6:$B$11,MIN(5,MATCH(MAX(Reference!$A$6,MIN(Reference!$A$11,MIN($U49,270))),Reference!$A$6:$A$11,1))))/(INDEX(Reference!$A$6:$A$11,MIN(5,MATCH(MAX(Reference!$A$6,MIN(Reference!$A$11,MIN($U49,270))),Reference!$A$6:$A$11,1))+1)-INDEX(Reference!$A$6:$A$11,MIN(5,MATCH(MAX(Reference!$A$6,MIN(Reference!$A$11,MIN($U49,270))),Reference!$A$6:$A$11,1))))),0)+IF(8&lt;=$AL49,($AL49-8+3)*(INDEX(Reference!$B$6:$B$11,MIN(5,MATCH(MAX(Reference!$A$6,MIN(Reference!$A$11,MIN($U49,300))),Reference!$A$6:$A$11,1)))+(MAX(Reference!$A$6,MIN(Reference!$A$11,MIN($U49,300)))-INDEX(Reference!$A$6:$A$11,MIN(5,MATCH(MAX(Reference!$A$6,MIN(Reference!$A$11,MIN($U49,300))),Reference!$A$6:$A$11,1))))*(INDEX(Reference!$B$6:$B$11,MIN(5,MATCH(MAX(Reference!$A$6,MIN(Reference!$A$11,MIN($U49,300))),Reference!$A$6:$A$11,1))+1)-INDEX(Reference!$B$6:$B$11,MIN(5,MATCH(MAX(Reference!$A$6,MIN(Reference!$A$11,MIN($U49,300))),Reference!$A$6:$A$11,1))))/(INDEX(Reference!$A$6:$A$11,MIN(5,MATCH(MAX(Reference!$A$6,MIN(Reference!$A$11,MIN($U49,300))),Reference!$A$6:$A$11,1))+1)-INDEX(Reference!$A$6:$A$11,MIN(5,MATCH(MAX(Reference!$A$6,MIN(Reference!$A$11,MIN($U49,300))),Reference!$A$6:$A$11,1))))),0))/($AL49*($AL49+5)/2)),$AN49))</f>
        <v>1</v>
      </c>
      <c r="AN49" s="32">
        <f>IF($U49="",0,(INDEX(Reference!$B$6:$B$11,MIN(5,MATCH(MAX(Reference!$A$6,MIN(Reference!$A$11,$U49)),Reference!$A$6:$A$11,1)))+(MAX(Reference!$A$6,MIN(Reference!$A$11,$U49))-INDEX(Reference!$A$6:$A$11,MIN(5,MATCH(MAX(Reference!$A$6,MIN(Reference!$A$11,$U49)),Reference!$A$6:$A$11,1))))*(INDEX(Reference!$B$6:$B$11,MIN(5,MATCH(MAX(Reference!$A$6,MIN(Reference!$A$11,$U49)),Reference!$A$6:$A$11,1))+1)-INDEX(Reference!$B$6:$B$11,MIN(5,MATCH(MAX(Reference!$A$6,MIN(Reference!$A$11,$U49)),Reference!$A$6:$A$11,1))))/(INDEX(Reference!$A$6:$A$11,MIN(5,MATCH(MAX(Reference!$A$6,MIN(Reference!$A$11,$U49)),Reference!$A$6:$A$11,1))+1)-INDEX(Reference!$A$6:$A$11,MIN(5,MATCH(MAX(Reference!$A$6,MIN(Reference!$A$11,$U49)),Reference!$A$6:$A$11,1))))))</f>
        <v>1</v>
      </c>
      <c r="AO49" s="37"/>
      <c r="AP49" s="37"/>
      <c r="AQ49" s="37"/>
    </row>
    <row r="50" spans="1:43" x14ac:dyDescent="0.3">
      <c r="A50" s="48">
        <f t="shared" si="5"/>
        <v>46349</v>
      </c>
      <c r="B50" s="32" t="str">
        <f t="shared" si="6"/>
        <v>Mon</v>
      </c>
      <c r="C50" s="32">
        <f t="shared" si="7"/>
        <v>38</v>
      </c>
      <c r="D50" s="32" t="str">
        <f t="shared" si="8"/>
        <v>Re-entry</v>
      </c>
      <c r="E50" s="32" t="str">
        <f t="shared" si="9"/>
        <v>Low</v>
      </c>
      <c r="F50" s="32" t="str">
        <f t="shared" si="10"/>
        <v>Recovery/Easy Catch</v>
      </c>
      <c r="G50" s="47" t="str">
        <f t="shared" si="11"/>
        <v>60 ft × 20 @ 64–68 mph</v>
      </c>
      <c r="H50" s="30">
        <f t="shared" si="12"/>
        <v>12</v>
      </c>
      <c r="I50" s="46" t="str">
        <f>IF($A50="","",IF(AND($L50&lt;27,$K$12=0),"Building",IFERROR(((SUM($H$44:$H50)+$K$12*IF($L50&lt;6,SUMIFS('Throw Log'!$Q$5:$Q$300,'Throw Log'!$B$5:$B$300,$D$4,'Throw Log'!$A$5:$A$300,"&gt;="&amp;($D$6+$L50-6),'Throw Log'!$A$5:$A$300,"&lt;="&amp;($D$6-1)),0))/7)/((SUM($H$43:$H50)+$K$12*IF($L50&lt;27,SUMIFS('Throw Log'!$Q$5:$Q$300,'Throw Log'!$B$5:$B$300,$D$4,'Throw Log'!$A$5:$A$300,"&gt;="&amp;($D$6+$L50-27),'Throw Log'!$A$5:$A$300,"&lt;="&amp;($D$6-1)),0))/28),"")))</f>
        <v>Building</v>
      </c>
      <c r="J50" s="37"/>
      <c r="K50" s="37"/>
      <c r="L50" s="32">
        <v>7</v>
      </c>
      <c r="M50" s="32">
        <f t="shared" si="13"/>
        <v>2</v>
      </c>
      <c r="N50" s="32">
        <f t="shared" si="14"/>
        <v>0</v>
      </c>
      <c r="O50" s="32">
        <f t="shared" si="15"/>
        <v>0.1891891891891892</v>
      </c>
      <c r="P50" s="32">
        <f>IF(OR($A50="",N($C50)&lt;=7),"",$G$6*$G$9^($M50-1)*IF(AND(MOD($M50,Reference!$B$99)=0,$M50&lt;=$G$5-2),Reference!$B$100,1))</f>
        <v>92</v>
      </c>
      <c r="Q50" s="32">
        <f>IF($P50="","",IF(SUM($AK$50:$AK$56)=0,0,$P50*INDEX(Reference!$B$108:$B$114,$N50+1)/SUM($AK$50:$AK$56)))</f>
        <v>11.04</v>
      </c>
      <c r="R50" s="32">
        <f t="shared" si="16"/>
        <v>75</v>
      </c>
      <c r="S50" s="32">
        <f t="shared" si="17"/>
        <v>75</v>
      </c>
      <c r="T50" s="32" t="str">
        <f>IF($A50="","",IF($C50=0,"Bullpen",IF(OR($C50=7,$C50=1,$C50=5),"Recovery/Easy Catch",IF($C50=6,"Compression/Pulldowns",IF(OR($C50=4,$C50=2),"Long Toss",IF($C50=3,"No Throw",IF($N50=2,"No Throw",IF($N50=6,IF($O50&lt;Reference!$B$104,"No Throw","Recovery/Easy Catch"),IF(OR($N50=0,$N50=4),"Recovery/Easy Catch",IF($N50=1,IF($R50&gt;75,"Long Toss","Recovery/Easy Catch"),IF($N50=3,IF($O50&lt;0.5,IF($S50&gt;75,"Long Toss","Recovery/Easy Catch"),"Compression/Pulldowns"),IF($S50&gt;75,"Long Toss","Recovery/Easy Catch"))))))))))))</f>
        <v>Recovery/Easy Catch</v>
      </c>
      <c r="U50" s="32">
        <f t="shared" si="18"/>
        <v>60</v>
      </c>
      <c r="V50" s="32">
        <f t="shared" si="19"/>
        <v>20</v>
      </c>
      <c r="W50" s="32">
        <f t="shared" si="20"/>
        <v>24</v>
      </c>
      <c r="X50" s="32">
        <f t="shared" si="21"/>
        <v>0</v>
      </c>
      <c r="Y50" s="32" t="str">
        <f t="shared" si="22"/>
        <v/>
      </c>
      <c r="Z50" s="32" t="str">
        <f t="shared" si="23"/>
        <v/>
      </c>
      <c r="AA50" s="32" t="str">
        <f t="shared" si="24"/>
        <v/>
      </c>
      <c r="AB50" s="32">
        <f>IF($A50="","",IF($T50="No Throw",0,IF($K50&lt;&gt;"",$K50,IF($AA50&lt;&gt;"",ROUND($AA50*$D$12*IF($C50=0,1,$G$10),0),MIN(IF($T50="Recovery/Easy Catch",Reference!$B$103,IF($T50="Long Toss",Reference!$B$106,Reference!$B$102)),MAX(Reference!$B$101,ROUND(MAX(0,$Q50-$AE50)/$AF50,0)))))))</f>
        <v>20</v>
      </c>
      <c r="AC50" s="32">
        <f t="shared" si="25"/>
        <v>0</v>
      </c>
      <c r="AD50" s="32" t="b">
        <f t="shared" si="26"/>
        <v>0</v>
      </c>
      <c r="AE50" s="32">
        <f>IF($X50=0,0,$X50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50+$Z50)/2,0),Reference!$A$17:$B$20,2,TRUE()))</f>
        <v>0</v>
      </c>
      <c r="AF50" s="32">
        <f>IF(OR($A50="",$U50="",$T50="No Throw"),0,$AM50*VLOOKUP(MAX(($V50+$W50)/2,0),Reference!$A$17:$B$20,2,TRUE()))</f>
        <v>0.6</v>
      </c>
      <c r="AG50" s="32">
        <f>IF($AC50=0,0,$AC50*INDEX(Reference!$B$61:$B$62,MATCH("Bullpen",Reference!$A$61:$A$62,0))*VLOOKUP(MAX($D$5-($D$9+$E$9)/2,0),Reference!$A$17:$B$20,2,TRUE()))</f>
        <v>0</v>
      </c>
      <c r="AH50" s="32" t="e">
        <f t="shared" si="27"/>
        <v>#N/A</v>
      </c>
      <c r="AI50" s="32">
        <f>IF($A50="",NA(),Reference!$A$25)</f>
        <v>0.8</v>
      </c>
      <c r="AJ50" s="32">
        <f t="shared" si="28"/>
        <v>1.3</v>
      </c>
      <c r="AK50" s="56">
        <f>IF(OR($A50="",N($C50)&lt;=7,$T50="No Throw",$J50="x"),0,INDEX(Reference!$B$108:$B$114,$N50+1))</f>
        <v>0.12</v>
      </c>
      <c r="AL50" s="32">
        <f t="shared" si="29"/>
        <v>1</v>
      </c>
      <c r="AM50" s="32">
        <f>IF($U50="",0,IF($AL50&gt;1,((IF(1&lt;=$AL50,($AL50-1+3)*(INDEX(Reference!$B$6:$B$11,MIN(5,MATCH(MAX(Reference!$A$6,MIN(Reference!$A$11,MIN($U50,90))),Reference!$A$6:$A$11,1)))+(MAX(Reference!$A$6,MIN(Reference!$A$11,MIN($U50,90)))-INDEX(Reference!$A$6:$A$11,MIN(5,MATCH(MAX(Reference!$A$6,MIN(Reference!$A$11,MIN($U50,90))),Reference!$A$6:$A$11,1))))*(INDEX(Reference!$B$6:$B$11,MIN(5,MATCH(MAX(Reference!$A$6,MIN(Reference!$A$11,MIN($U50,90))),Reference!$A$6:$A$11,1))+1)-INDEX(Reference!$B$6:$B$11,MIN(5,MATCH(MAX(Reference!$A$6,MIN(Reference!$A$11,MIN($U50,90))),Reference!$A$6:$A$11,1))))/(INDEX(Reference!$A$6:$A$11,MIN(5,MATCH(MAX(Reference!$A$6,MIN(Reference!$A$11,MIN($U50,90))),Reference!$A$6:$A$11,1))+1)-INDEX(Reference!$A$6:$A$11,MIN(5,MATCH(MAX(Reference!$A$6,MIN(Reference!$A$11,MIN($U50,90))),Reference!$A$6:$A$11,1))))),0)+IF(2&lt;=$AL50,($AL50-2+3)*(INDEX(Reference!$B$6:$B$11,MIN(5,MATCH(MAX(Reference!$A$6,MIN(Reference!$A$11,MIN($U50,120))),Reference!$A$6:$A$11,1)))+(MAX(Reference!$A$6,MIN(Reference!$A$11,MIN($U50,120)))-INDEX(Reference!$A$6:$A$11,MIN(5,MATCH(MAX(Reference!$A$6,MIN(Reference!$A$11,MIN($U50,120))),Reference!$A$6:$A$11,1))))*(INDEX(Reference!$B$6:$B$11,MIN(5,MATCH(MAX(Reference!$A$6,MIN(Reference!$A$11,MIN($U50,120))),Reference!$A$6:$A$11,1))+1)-INDEX(Reference!$B$6:$B$11,MIN(5,MATCH(MAX(Reference!$A$6,MIN(Reference!$A$11,MIN($U50,120))),Reference!$A$6:$A$11,1))))/(INDEX(Reference!$A$6:$A$11,MIN(5,MATCH(MAX(Reference!$A$6,MIN(Reference!$A$11,MIN($U50,120))),Reference!$A$6:$A$11,1))+1)-INDEX(Reference!$A$6:$A$11,MIN(5,MATCH(MAX(Reference!$A$6,MIN(Reference!$A$11,MIN($U50,120))),Reference!$A$6:$A$11,1))))),0)+IF(3&lt;=$AL50,($AL50-3+3)*(INDEX(Reference!$B$6:$B$11,MIN(5,MATCH(MAX(Reference!$A$6,MIN(Reference!$A$11,MIN($U50,150))),Reference!$A$6:$A$11,1)))+(MAX(Reference!$A$6,MIN(Reference!$A$11,MIN($U50,150)))-INDEX(Reference!$A$6:$A$11,MIN(5,MATCH(MAX(Reference!$A$6,MIN(Reference!$A$11,MIN($U50,150))),Reference!$A$6:$A$11,1))))*(INDEX(Reference!$B$6:$B$11,MIN(5,MATCH(MAX(Reference!$A$6,MIN(Reference!$A$11,MIN($U50,150))),Reference!$A$6:$A$11,1))+1)-INDEX(Reference!$B$6:$B$11,MIN(5,MATCH(MAX(Reference!$A$6,MIN(Reference!$A$11,MIN($U50,150))),Reference!$A$6:$A$11,1))))/(INDEX(Reference!$A$6:$A$11,MIN(5,MATCH(MAX(Reference!$A$6,MIN(Reference!$A$11,MIN($U50,150))),Reference!$A$6:$A$11,1))+1)-INDEX(Reference!$A$6:$A$11,MIN(5,MATCH(MAX(Reference!$A$6,MIN(Reference!$A$11,MIN($U50,150))),Reference!$A$6:$A$11,1))))),0)+IF(4&lt;=$AL50,($AL50-4+3)*(INDEX(Reference!$B$6:$B$11,MIN(5,MATCH(MAX(Reference!$A$6,MIN(Reference!$A$11,MIN($U50,180))),Reference!$A$6:$A$11,1)))+(MAX(Reference!$A$6,MIN(Reference!$A$11,MIN($U50,180)))-INDEX(Reference!$A$6:$A$11,MIN(5,MATCH(MAX(Reference!$A$6,MIN(Reference!$A$11,MIN($U50,180))),Reference!$A$6:$A$11,1))))*(INDEX(Reference!$B$6:$B$11,MIN(5,MATCH(MAX(Reference!$A$6,MIN(Reference!$A$11,MIN($U50,180))),Reference!$A$6:$A$11,1))+1)-INDEX(Reference!$B$6:$B$11,MIN(5,MATCH(MAX(Reference!$A$6,MIN(Reference!$A$11,MIN($U50,180))),Reference!$A$6:$A$11,1))))/(INDEX(Reference!$A$6:$A$11,MIN(5,MATCH(MAX(Reference!$A$6,MIN(Reference!$A$11,MIN($U50,180))),Reference!$A$6:$A$11,1))+1)-INDEX(Reference!$A$6:$A$11,MIN(5,MATCH(MAX(Reference!$A$6,MIN(Reference!$A$11,MIN($U50,180))),Reference!$A$6:$A$11,1))))),0)+IF(5&lt;=$AL50,($AL50-5+3)*(INDEX(Reference!$B$6:$B$11,MIN(5,MATCH(MAX(Reference!$A$6,MIN(Reference!$A$11,MIN($U50,210))),Reference!$A$6:$A$11,1)))+(MAX(Reference!$A$6,MIN(Reference!$A$11,MIN($U50,210)))-INDEX(Reference!$A$6:$A$11,MIN(5,MATCH(MAX(Reference!$A$6,MIN(Reference!$A$11,MIN($U50,210))),Reference!$A$6:$A$11,1))))*(INDEX(Reference!$B$6:$B$11,MIN(5,MATCH(MAX(Reference!$A$6,MIN(Reference!$A$11,MIN($U50,210))),Reference!$A$6:$A$11,1))+1)-INDEX(Reference!$B$6:$B$11,MIN(5,MATCH(MAX(Reference!$A$6,MIN(Reference!$A$11,MIN($U50,210))),Reference!$A$6:$A$11,1))))/(INDEX(Reference!$A$6:$A$11,MIN(5,MATCH(MAX(Reference!$A$6,MIN(Reference!$A$11,MIN($U50,210))),Reference!$A$6:$A$11,1))+1)-INDEX(Reference!$A$6:$A$11,MIN(5,MATCH(MAX(Reference!$A$6,MIN(Reference!$A$11,MIN($U50,210))),Reference!$A$6:$A$11,1))))),0)+IF(6&lt;=$AL50,($AL50-6+3)*(INDEX(Reference!$B$6:$B$11,MIN(5,MATCH(MAX(Reference!$A$6,MIN(Reference!$A$11,MIN($U50,240))),Reference!$A$6:$A$11,1)))+(MAX(Reference!$A$6,MIN(Reference!$A$11,MIN($U50,240)))-INDEX(Reference!$A$6:$A$11,MIN(5,MATCH(MAX(Reference!$A$6,MIN(Reference!$A$11,MIN($U50,240))),Reference!$A$6:$A$11,1))))*(INDEX(Reference!$B$6:$B$11,MIN(5,MATCH(MAX(Reference!$A$6,MIN(Reference!$A$11,MIN($U50,240))),Reference!$A$6:$A$11,1))+1)-INDEX(Reference!$B$6:$B$11,MIN(5,MATCH(MAX(Reference!$A$6,MIN(Reference!$A$11,MIN($U50,240))),Reference!$A$6:$A$11,1))))/(INDEX(Reference!$A$6:$A$11,MIN(5,MATCH(MAX(Reference!$A$6,MIN(Reference!$A$11,MIN($U50,240))),Reference!$A$6:$A$11,1))+1)-INDEX(Reference!$A$6:$A$11,MIN(5,MATCH(MAX(Reference!$A$6,MIN(Reference!$A$11,MIN($U50,240))),Reference!$A$6:$A$11,1))))),0)+IF(7&lt;=$AL50,($AL50-7+3)*(INDEX(Reference!$B$6:$B$11,MIN(5,MATCH(MAX(Reference!$A$6,MIN(Reference!$A$11,MIN($U50,270))),Reference!$A$6:$A$11,1)))+(MAX(Reference!$A$6,MIN(Reference!$A$11,MIN($U50,270)))-INDEX(Reference!$A$6:$A$11,MIN(5,MATCH(MAX(Reference!$A$6,MIN(Reference!$A$11,MIN($U50,270))),Reference!$A$6:$A$11,1))))*(INDEX(Reference!$B$6:$B$11,MIN(5,MATCH(MAX(Reference!$A$6,MIN(Reference!$A$11,MIN($U50,270))),Reference!$A$6:$A$11,1))+1)-INDEX(Reference!$B$6:$B$11,MIN(5,MATCH(MAX(Reference!$A$6,MIN(Reference!$A$11,MIN($U50,270))),Reference!$A$6:$A$11,1))))/(INDEX(Reference!$A$6:$A$11,MIN(5,MATCH(MAX(Reference!$A$6,MIN(Reference!$A$11,MIN($U50,270))),Reference!$A$6:$A$11,1))+1)-INDEX(Reference!$A$6:$A$11,MIN(5,MATCH(MAX(Reference!$A$6,MIN(Reference!$A$11,MIN($U50,270))),Reference!$A$6:$A$11,1))))),0)+IF(8&lt;=$AL50,($AL50-8+3)*(INDEX(Reference!$B$6:$B$11,MIN(5,MATCH(MAX(Reference!$A$6,MIN(Reference!$A$11,MIN($U50,300))),Reference!$A$6:$A$11,1)))+(MAX(Reference!$A$6,MIN(Reference!$A$11,MIN($U50,300)))-INDEX(Reference!$A$6:$A$11,MIN(5,MATCH(MAX(Reference!$A$6,MIN(Reference!$A$11,MIN($U50,300))),Reference!$A$6:$A$11,1))))*(INDEX(Reference!$B$6:$B$11,MIN(5,MATCH(MAX(Reference!$A$6,MIN(Reference!$A$11,MIN($U50,300))),Reference!$A$6:$A$11,1))+1)-INDEX(Reference!$B$6:$B$11,MIN(5,MATCH(MAX(Reference!$A$6,MIN(Reference!$A$11,MIN($U50,300))),Reference!$A$6:$A$11,1))))/(INDEX(Reference!$A$6:$A$11,MIN(5,MATCH(MAX(Reference!$A$6,MIN(Reference!$A$11,MIN($U50,300))),Reference!$A$6:$A$11,1))+1)-INDEX(Reference!$A$6:$A$11,MIN(5,MATCH(MAX(Reference!$A$6,MIN(Reference!$A$11,MIN($U50,300))),Reference!$A$6:$A$11,1))))),0))/($AL50*($AL50+5)/2)),$AN50))</f>
        <v>1</v>
      </c>
      <c r="AN50" s="32">
        <f>IF($U50="",0,(INDEX(Reference!$B$6:$B$11,MIN(5,MATCH(MAX(Reference!$A$6,MIN(Reference!$A$11,$U50)),Reference!$A$6:$A$11,1)))+(MAX(Reference!$A$6,MIN(Reference!$A$11,$U50))-INDEX(Reference!$A$6:$A$11,MIN(5,MATCH(MAX(Reference!$A$6,MIN(Reference!$A$11,$U50)),Reference!$A$6:$A$11,1))))*(INDEX(Reference!$B$6:$B$11,MIN(5,MATCH(MAX(Reference!$A$6,MIN(Reference!$A$11,$U50)),Reference!$A$6:$A$11,1))+1)-INDEX(Reference!$B$6:$B$11,MIN(5,MATCH(MAX(Reference!$A$6,MIN(Reference!$A$11,$U50)),Reference!$A$6:$A$11,1))))/(INDEX(Reference!$A$6:$A$11,MIN(5,MATCH(MAX(Reference!$A$6,MIN(Reference!$A$11,$U50)),Reference!$A$6:$A$11,1))+1)-INDEX(Reference!$A$6:$A$11,MIN(5,MATCH(MAX(Reference!$A$6,MIN(Reference!$A$11,$U50)),Reference!$A$6:$A$11,1))))))</f>
        <v>1</v>
      </c>
      <c r="AO50" s="37"/>
      <c r="AP50" s="37"/>
      <c r="AQ50" s="37"/>
    </row>
    <row r="51" spans="1:43" x14ac:dyDescent="0.3">
      <c r="A51" s="48">
        <f t="shared" si="5"/>
        <v>46350</v>
      </c>
      <c r="B51" s="32" t="str">
        <f t="shared" si="6"/>
        <v>Tue</v>
      </c>
      <c r="C51" s="32">
        <f t="shared" si="7"/>
        <v>37</v>
      </c>
      <c r="D51" s="32" t="str">
        <f t="shared" si="8"/>
        <v>Base</v>
      </c>
      <c r="E51" s="32" t="str">
        <f t="shared" si="9"/>
        <v>Low</v>
      </c>
      <c r="F51" s="32" t="str">
        <f t="shared" si="10"/>
        <v>Recovery/Easy Catch</v>
      </c>
      <c r="G51" s="47" t="str">
        <f t="shared" si="11"/>
        <v>75 ft × 27 @ 66–70 mph + 60 ft × 10 @ 70–74 mph</v>
      </c>
      <c r="H51" s="30">
        <f t="shared" si="12"/>
        <v>24.63</v>
      </c>
      <c r="I51" s="46" t="str">
        <f>IF($A51="","",IF(AND($L51&lt;27,$K$12=0),"Building",IFERROR(((SUM($H$45:$H51)+$K$12*IF($L51&lt;6,SUMIFS('Throw Log'!$Q$5:$Q$300,'Throw Log'!$B$5:$B$300,$D$4,'Throw Log'!$A$5:$A$300,"&gt;="&amp;($D$6+$L51-6),'Throw Log'!$A$5:$A$300,"&lt;="&amp;($D$6-1)),0))/7)/((SUM($H$43:$H51)+$K$12*IF($L51&lt;27,SUMIFS('Throw Log'!$Q$5:$Q$300,'Throw Log'!$B$5:$B$300,$D$4,'Throw Log'!$A$5:$A$300,"&gt;="&amp;($D$6+$L51-27),'Throw Log'!$A$5:$A$300,"&lt;="&amp;($D$6-1)),0))/28),"")))</f>
        <v>Building</v>
      </c>
      <c r="J51" s="37"/>
      <c r="K51" s="37"/>
      <c r="L51" s="32">
        <v>8</v>
      </c>
      <c r="M51" s="32">
        <f t="shared" si="13"/>
        <v>2</v>
      </c>
      <c r="N51" s="32">
        <f t="shared" si="14"/>
        <v>1</v>
      </c>
      <c r="O51" s="32">
        <f t="shared" si="15"/>
        <v>0.21621621621621623</v>
      </c>
      <c r="P51" s="32">
        <f>IF(OR($A51="",N($C51)&lt;=7),"",$G$6*$G$9^($M51-1)*IF(AND(MOD($M51,Reference!$B$99)=0,$M51&lt;=$G$5-2),Reference!$B$100,1))</f>
        <v>92</v>
      </c>
      <c r="Q51" s="32">
        <f>IF($P51="","",IF(SUM($AK$50:$AK$56)=0,0,$P51*INDEX(Reference!$B$108:$B$114,$N51+1)/SUM($AK$50:$AK$56)))</f>
        <v>24.840000000000003</v>
      </c>
      <c r="R51" s="32">
        <f t="shared" si="16"/>
        <v>75</v>
      </c>
      <c r="S51" s="32">
        <f t="shared" si="17"/>
        <v>75</v>
      </c>
      <c r="T51" s="32" t="str">
        <f>IF($A51="","",IF($C51=0,"Bullpen",IF(OR($C51=7,$C51=1,$C51=5),"Recovery/Easy Catch",IF($C51=6,"Compression/Pulldowns",IF(OR($C51=4,$C51=2),"Long Toss",IF($C51=3,"No Throw",IF($N51=2,"No Throw",IF($N51=6,IF($O51&lt;Reference!$B$104,"No Throw","Recovery/Easy Catch"),IF(OR($N51=0,$N51=4),"Recovery/Easy Catch",IF($N51=1,IF($R51&gt;75,"Long Toss","Recovery/Easy Catch"),IF($N51=3,IF($O51&lt;0.5,IF($S51&gt;75,"Long Toss","Recovery/Easy Catch"),"Compression/Pulldowns"),IF($S51&gt;75,"Long Toss","Recovery/Easy Catch"))))))))))))</f>
        <v>Recovery/Easy Catch</v>
      </c>
      <c r="U51" s="32">
        <f t="shared" si="18"/>
        <v>75</v>
      </c>
      <c r="V51" s="32">
        <f t="shared" si="19"/>
        <v>18</v>
      </c>
      <c r="W51" s="32">
        <f t="shared" si="20"/>
        <v>22</v>
      </c>
      <c r="X51" s="32">
        <f t="shared" si="21"/>
        <v>10</v>
      </c>
      <c r="Y51" s="32">
        <f t="shared" si="22"/>
        <v>14</v>
      </c>
      <c r="Z51" s="32">
        <f t="shared" si="23"/>
        <v>18</v>
      </c>
      <c r="AA51" s="32" t="str">
        <f t="shared" si="24"/>
        <v/>
      </c>
      <c r="AB51" s="32">
        <f>IF($A51="","",IF($T51="No Throw",0,IF($K51&lt;&gt;"",$K51,IF($AA51&lt;&gt;"",ROUND($AA51*$D$12*IF($C51=0,1,$G$10),0),MIN(IF($T51="Recovery/Easy Catch",Reference!$B$103,IF($T51="Long Toss",Reference!$B$106,Reference!$B$102)),MAX(Reference!$B$101,ROUND(MAX(0,$Q51-$AE51)/$AF51,0)))))))</f>
        <v>27</v>
      </c>
      <c r="AC51" s="32">
        <f t="shared" si="25"/>
        <v>0</v>
      </c>
      <c r="AD51" s="32" t="b">
        <f t="shared" si="26"/>
        <v>0</v>
      </c>
      <c r="AE51" s="32">
        <f>IF($X51=0,0,$X51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51+$Z51)/2,0),Reference!$A$17:$B$20,2,TRUE()))</f>
        <v>6</v>
      </c>
      <c r="AF51" s="32">
        <f>IF(OR($A51="",$U51="",$T51="No Throw"),0,$AM51*VLOOKUP(MAX(($V51+$W51)/2,0),Reference!$A$17:$B$20,2,TRUE()))</f>
        <v>0.69</v>
      </c>
      <c r="AG51" s="32">
        <f>IF($AC51=0,0,$AC51*INDEX(Reference!$B$61:$B$62,MATCH("Bullpen",Reference!$A$61:$A$62,0))*VLOOKUP(MAX($D$5-($D$9+$E$9)/2,0),Reference!$A$17:$B$20,2,TRUE()))</f>
        <v>0</v>
      </c>
      <c r="AH51" s="32" t="e">
        <f t="shared" si="27"/>
        <v>#N/A</v>
      </c>
      <c r="AI51" s="32">
        <f>IF($A51="",NA(),Reference!$A$25)</f>
        <v>0.8</v>
      </c>
      <c r="AJ51" s="32">
        <f t="shared" si="28"/>
        <v>1.3</v>
      </c>
      <c r="AK51" s="56">
        <f>IF(OR($A51="",N($C51)&lt;=7,$T51="No Throw",$J51="x"),0,INDEX(Reference!$B$108:$B$114,$N51+1))</f>
        <v>0.27</v>
      </c>
      <c r="AL51" s="32">
        <f t="shared" si="29"/>
        <v>1</v>
      </c>
      <c r="AM51" s="32">
        <f>IF($U51="",0,IF($AL51&gt;1,((IF(1&lt;=$AL51,($AL51-1+3)*(INDEX(Reference!$B$6:$B$11,MIN(5,MATCH(MAX(Reference!$A$6,MIN(Reference!$A$11,MIN($U51,90))),Reference!$A$6:$A$11,1)))+(MAX(Reference!$A$6,MIN(Reference!$A$11,MIN($U51,90)))-INDEX(Reference!$A$6:$A$11,MIN(5,MATCH(MAX(Reference!$A$6,MIN(Reference!$A$11,MIN($U51,90))),Reference!$A$6:$A$11,1))))*(INDEX(Reference!$B$6:$B$11,MIN(5,MATCH(MAX(Reference!$A$6,MIN(Reference!$A$11,MIN($U51,90))),Reference!$A$6:$A$11,1))+1)-INDEX(Reference!$B$6:$B$11,MIN(5,MATCH(MAX(Reference!$A$6,MIN(Reference!$A$11,MIN($U51,90))),Reference!$A$6:$A$11,1))))/(INDEX(Reference!$A$6:$A$11,MIN(5,MATCH(MAX(Reference!$A$6,MIN(Reference!$A$11,MIN($U51,90))),Reference!$A$6:$A$11,1))+1)-INDEX(Reference!$A$6:$A$11,MIN(5,MATCH(MAX(Reference!$A$6,MIN(Reference!$A$11,MIN($U51,90))),Reference!$A$6:$A$11,1))))),0)+IF(2&lt;=$AL51,($AL51-2+3)*(INDEX(Reference!$B$6:$B$11,MIN(5,MATCH(MAX(Reference!$A$6,MIN(Reference!$A$11,MIN($U51,120))),Reference!$A$6:$A$11,1)))+(MAX(Reference!$A$6,MIN(Reference!$A$11,MIN($U51,120)))-INDEX(Reference!$A$6:$A$11,MIN(5,MATCH(MAX(Reference!$A$6,MIN(Reference!$A$11,MIN($U51,120))),Reference!$A$6:$A$11,1))))*(INDEX(Reference!$B$6:$B$11,MIN(5,MATCH(MAX(Reference!$A$6,MIN(Reference!$A$11,MIN($U51,120))),Reference!$A$6:$A$11,1))+1)-INDEX(Reference!$B$6:$B$11,MIN(5,MATCH(MAX(Reference!$A$6,MIN(Reference!$A$11,MIN($U51,120))),Reference!$A$6:$A$11,1))))/(INDEX(Reference!$A$6:$A$11,MIN(5,MATCH(MAX(Reference!$A$6,MIN(Reference!$A$11,MIN($U51,120))),Reference!$A$6:$A$11,1))+1)-INDEX(Reference!$A$6:$A$11,MIN(5,MATCH(MAX(Reference!$A$6,MIN(Reference!$A$11,MIN($U51,120))),Reference!$A$6:$A$11,1))))),0)+IF(3&lt;=$AL51,($AL51-3+3)*(INDEX(Reference!$B$6:$B$11,MIN(5,MATCH(MAX(Reference!$A$6,MIN(Reference!$A$11,MIN($U51,150))),Reference!$A$6:$A$11,1)))+(MAX(Reference!$A$6,MIN(Reference!$A$11,MIN($U51,150)))-INDEX(Reference!$A$6:$A$11,MIN(5,MATCH(MAX(Reference!$A$6,MIN(Reference!$A$11,MIN($U51,150))),Reference!$A$6:$A$11,1))))*(INDEX(Reference!$B$6:$B$11,MIN(5,MATCH(MAX(Reference!$A$6,MIN(Reference!$A$11,MIN($U51,150))),Reference!$A$6:$A$11,1))+1)-INDEX(Reference!$B$6:$B$11,MIN(5,MATCH(MAX(Reference!$A$6,MIN(Reference!$A$11,MIN($U51,150))),Reference!$A$6:$A$11,1))))/(INDEX(Reference!$A$6:$A$11,MIN(5,MATCH(MAX(Reference!$A$6,MIN(Reference!$A$11,MIN($U51,150))),Reference!$A$6:$A$11,1))+1)-INDEX(Reference!$A$6:$A$11,MIN(5,MATCH(MAX(Reference!$A$6,MIN(Reference!$A$11,MIN($U51,150))),Reference!$A$6:$A$11,1))))),0)+IF(4&lt;=$AL51,($AL51-4+3)*(INDEX(Reference!$B$6:$B$11,MIN(5,MATCH(MAX(Reference!$A$6,MIN(Reference!$A$11,MIN($U51,180))),Reference!$A$6:$A$11,1)))+(MAX(Reference!$A$6,MIN(Reference!$A$11,MIN($U51,180)))-INDEX(Reference!$A$6:$A$11,MIN(5,MATCH(MAX(Reference!$A$6,MIN(Reference!$A$11,MIN($U51,180))),Reference!$A$6:$A$11,1))))*(INDEX(Reference!$B$6:$B$11,MIN(5,MATCH(MAX(Reference!$A$6,MIN(Reference!$A$11,MIN($U51,180))),Reference!$A$6:$A$11,1))+1)-INDEX(Reference!$B$6:$B$11,MIN(5,MATCH(MAX(Reference!$A$6,MIN(Reference!$A$11,MIN($U51,180))),Reference!$A$6:$A$11,1))))/(INDEX(Reference!$A$6:$A$11,MIN(5,MATCH(MAX(Reference!$A$6,MIN(Reference!$A$11,MIN($U51,180))),Reference!$A$6:$A$11,1))+1)-INDEX(Reference!$A$6:$A$11,MIN(5,MATCH(MAX(Reference!$A$6,MIN(Reference!$A$11,MIN($U51,180))),Reference!$A$6:$A$11,1))))),0)+IF(5&lt;=$AL51,($AL51-5+3)*(INDEX(Reference!$B$6:$B$11,MIN(5,MATCH(MAX(Reference!$A$6,MIN(Reference!$A$11,MIN($U51,210))),Reference!$A$6:$A$11,1)))+(MAX(Reference!$A$6,MIN(Reference!$A$11,MIN($U51,210)))-INDEX(Reference!$A$6:$A$11,MIN(5,MATCH(MAX(Reference!$A$6,MIN(Reference!$A$11,MIN($U51,210))),Reference!$A$6:$A$11,1))))*(INDEX(Reference!$B$6:$B$11,MIN(5,MATCH(MAX(Reference!$A$6,MIN(Reference!$A$11,MIN($U51,210))),Reference!$A$6:$A$11,1))+1)-INDEX(Reference!$B$6:$B$11,MIN(5,MATCH(MAX(Reference!$A$6,MIN(Reference!$A$11,MIN($U51,210))),Reference!$A$6:$A$11,1))))/(INDEX(Reference!$A$6:$A$11,MIN(5,MATCH(MAX(Reference!$A$6,MIN(Reference!$A$11,MIN($U51,210))),Reference!$A$6:$A$11,1))+1)-INDEX(Reference!$A$6:$A$11,MIN(5,MATCH(MAX(Reference!$A$6,MIN(Reference!$A$11,MIN($U51,210))),Reference!$A$6:$A$11,1))))),0)+IF(6&lt;=$AL51,($AL51-6+3)*(INDEX(Reference!$B$6:$B$11,MIN(5,MATCH(MAX(Reference!$A$6,MIN(Reference!$A$11,MIN($U51,240))),Reference!$A$6:$A$11,1)))+(MAX(Reference!$A$6,MIN(Reference!$A$11,MIN($U51,240)))-INDEX(Reference!$A$6:$A$11,MIN(5,MATCH(MAX(Reference!$A$6,MIN(Reference!$A$11,MIN($U51,240))),Reference!$A$6:$A$11,1))))*(INDEX(Reference!$B$6:$B$11,MIN(5,MATCH(MAX(Reference!$A$6,MIN(Reference!$A$11,MIN($U51,240))),Reference!$A$6:$A$11,1))+1)-INDEX(Reference!$B$6:$B$11,MIN(5,MATCH(MAX(Reference!$A$6,MIN(Reference!$A$11,MIN($U51,240))),Reference!$A$6:$A$11,1))))/(INDEX(Reference!$A$6:$A$11,MIN(5,MATCH(MAX(Reference!$A$6,MIN(Reference!$A$11,MIN($U51,240))),Reference!$A$6:$A$11,1))+1)-INDEX(Reference!$A$6:$A$11,MIN(5,MATCH(MAX(Reference!$A$6,MIN(Reference!$A$11,MIN($U51,240))),Reference!$A$6:$A$11,1))))),0)+IF(7&lt;=$AL51,($AL51-7+3)*(INDEX(Reference!$B$6:$B$11,MIN(5,MATCH(MAX(Reference!$A$6,MIN(Reference!$A$11,MIN($U51,270))),Reference!$A$6:$A$11,1)))+(MAX(Reference!$A$6,MIN(Reference!$A$11,MIN($U51,270)))-INDEX(Reference!$A$6:$A$11,MIN(5,MATCH(MAX(Reference!$A$6,MIN(Reference!$A$11,MIN($U51,270))),Reference!$A$6:$A$11,1))))*(INDEX(Reference!$B$6:$B$11,MIN(5,MATCH(MAX(Reference!$A$6,MIN(Reference!$A$11,MIN($U51,270))),Reference!$A$6:$A$11,1))+1)-INDEX(Reference!$B$6:$B$11,MIN(5,MATCH(MAX(Reference!$A$6,MIN(Reference!$A$11,MIN($U51,270))),Reference!$A$6:$A$11,1))))/(INDEX(Reference!$A$6:$A$11,MIN(5,MATCH(MAX(Reference!$A$6,MIN(Reference!$A$11,MIN($U51,270))),Reference!$A$6:$A$11,1))+1)-INDEX(Reference!$A$6:$A$11,MIN(5,MATCH(MAX(Reference!$A$6,MIN(Reference!$A$11,MIN($U51,270))),Reference!$A$6:$A$11,1))))),0)+IF(8&lt;=$AL51,($AL51-8+3)*(INDEX(Reference!$B$6:$B$11,MIN(5,MATCH(MAX(Reference!$A$6,MIN(Reference!$A$11,MIN($U51,300))),Reference!$A$6:$A$11,1)))+(MAX(Reference!$A$6,MIN(Reference!$A$11,MIN($U51,300)))-INDEX(Reference!$A$6:$A$11,MIN(5,MATCH(MAX(Reference!$A$6,MIN(Reference!$A$11,MIN($U51,300))),Reference!$A$6:$A$11,1))))*(INDEX(Reference!$B$6:$B$11,MIN(5,MATCH(MAX(Reference!$A$6,MIN(Reference!$A$11,MIN($U51,300))),Reference!$A$6:$A$11,1))+1)-INDEX(Reference!$B$6:$B$11,MIN(5,MATCH(MAX(Reference!$A$6,MIN(Reference!$A$11,MIN($U51,300))),Reference!$A$6:$A$11,1))))/(INDEX(Reference!$A$6:$A$11,MIN(5,MATCH(MAX(Reference!$A$6,MIN(Reference!$A$11,MIN($U51,300))),Reference!$A$6:$A$11,1))+1)-INDEX(Reference!$A$6:$A$11,MIN(5,MATCH(MAX(Reference!$A$6,MIN(Reference!$A$11,MIN($U51,300))),Reference!$A$6:$A$11,1))))),0))/($AL51*($AL51+5)/2)),$AN51))</f>
        <v>1.1499999999999999</v>
      </c>
      <c r="AN51" s="32">
        <f>IF($U51="",0,(INDEX(Reference!$B$6:$B$11,MIN(5,MATCH(MAX(Reference!$A$6,MIN(Reference!$A$11,$U51)),Reference!$A$6:$A$11,1)))+(MAX(Reference!$A$6,MIN(Reference!$A$11,$U51))-INDEX(Reference!$A$6:$A$11,MIN(5,MATCH(MAX(Reference!$A$6,MIN(Reference!$A$11,$U51)),Reference!$A$6:$A$11,1))))*(INDEX(Reference!$B$6:$B$11,MIN(5,MATCH(MAX(Reference!$A$6,MIN(Reference!$A$11,$U51)),Reference!$A$6:$A$11,1))+1)-INDEX(Reference!$B$6:$B$11,MIN(5,MATCH(MAX(Reference!$A$6,MIN(Reference!$A$11,$U51)),Reference!$A$6:$A$11,1))))/(INDEX(Reference!$A$6:$A$11,MIN(5,MATCH(MAX(Reference!$A$6,MIN(Reference!$A$11,$U51)),Reference!$A$6:$A$11,1))+1)-INDEX(Reference!$A$6:$A$11,MIN(5,MATCH(MAX(Reference!$A$6,MIN(Reference!$A$11,$U51)),Reference!$A$6:$A$11,1))))))</f>
        <v>1.1499999999999999</v>
      </c>
      <c r="AO51" s="37"/>
      <c r="AP51" s="37"/>
      <c r="AQ51" s="37"/>
    </row>
    <row r="52" spans="1:43" x14ac:dyDescent="0.3">
      <c r="A52" s="48">
        <f t="shared" si="5"/>
        <v>46351</v>
      </c>
      <c r="B52" s="32" t="str">
        <f t="shared" si="6"/>
        <v>Wed</v>
      </c>
      <c r="C52" s="32">
        <f t="shared" si="7"/>
        <v>36</v>
      </c>
      <c r="D52" s="32" t="str">
        <f t="shared" si="8"/>
        <v>Base</v>
      </c>
      <c r="E52" s="32" t="str">
        <f t="shared" si="9"/>
        <v>No Throw</v>
      </c>
      <c r="F52" s="32" t="str">
        <f t="shared" si="10"/>
        <v>No Throw</v>
      </c>
      <c r="G52" s="47" t="str">
        <f t="shared" si="11"/>
        <v>Off</v>
      </c>
      <c r="H52" s="30">
        <f t="shared" si="12"/>
        <v>0</v>
      </c>
      <c r="I52" s="46" t="str">
        <f>IF($A52="","",IF(AND($L52&lt;27,$K$12=0),"Building",IFERROR(((SUM($H$46:$H52)+$K$12*IF($L52&lt;6,SUMIFS('Throw Log'!$Q$5:$Q$300,'Throw Log'!$B$5:$B$300,$D$4,'Throw Log'!$A$5:$A$300,"&gt;="&amp;($D$6+$L52-6),'Throw Log'!$A$5:$A$300,"&lt;="&amp;($D$6-1)),0))/7)/((SUM($H$43:$H52)+$K$12*IF($L52&lt;27,SUMIFS('Throw Log'!$Q$5:$Q$300,'Throw Log'!$B$5:$B$300,$D$4,'Throw Log'!$A$5:$A$300,"&gt;="&amp;($D$6+$L52-27),'Throw Log'!$A$5:$A$300,"&lt;="&amp;($D$6-1)),0))/28),"")))</f>
        <v>Building</v>
      </c>
      <c r="J52" s="37"/>
      <c r="K52" s="37"/>
      <c r="L52" s="32">
        <v>9</v>
      </c>
      <c r="M52" s="32">
        <f t="shared" si="13"/>
        <v>2</v>
      </c>
      <c r="N52" s="32">
        <f t="shared" si="14"/>
        <v>2</v>
      </c>
      <c r="O52" s="32">
        <f t="shared" si="15"/>
        <v>0.24324324324324326</v>
      </c>
      <c r="P52" s="32">
        <f>IF(OR($A52="",N($C52)&lt;=7),"",$G$6*$G$9^($M52-1)*IF(AND(MOD($M52,Reference!$B$99)=0,$M52&lt;=$G$5-2),Reference!$B$100,1))</f>
        <v>92</v>
      </c>
      <c r="Q52" s="32">
        <f>IF($P52="","",IF(SUM($AK$50:$AK$56)=0,0,$P52*INDEX(Reference!$B$108:$B$114,$N52+1)/SUM($AK$50:$AK$56)))</f>
        <v>0</v>
      </c>
      <c r="R52" s="32">
        <f t="shared" si="16"/>
        <v>75</v>
      </c>
      <c r="S52" s="32">
        <f t="shared" si="17"/>
        <v>75</v>
      </c>
      <c r="T52" s="32" t="str">
        <f>IF($A52="","",IF($C52=0,"Bullpen",IF(OR($C52=7,$C52=1,$C52=5),"Recovery/Easy Catch",IF($C52=6,"Compression/Pulldowns",IF(OR($C52=4,$C52=2),"Long Toss",IF($C52=3,"No Throw",IF($N52=2,"No Throw",IF($N52=6,IF($O52&lt;Reference!$B$104,"No Throw","Recovery/Easy Catch"),IF(OR($N52=0,$N52=4),"Recovery/Easy Catch",IF($N52=1,IF($R52&gt;75,"Long Toss","Recovery/Easy Catch"),IF($N52=3,IF($O52&lt;0.5,IF($S52&gt;75,"Long Toss","Recovery/Easy Catch"),"Compression/Pulldowns"),IF($S52&gt;75,"Long Toss","Recovery/Easy Catch"))))))))))))</f>
        <v>No Throw</v>
      </c>
      <c r="U52" s="32" t="str">
        <f t="shared" si="18"/>
        <v/>
      </c>
      <c r="V52" s="32" t="str">
        <f t="shared" si="19"/>
        <v/>
      </c>
      <c r="W52" s="32" t="str">
        <f t="shared" si="20"/>
        <v/>
      </c>
      <c r="X52" s="32">
        <f t="shared" si="21"/>
        <v>0</v>
      </c>
      <c r="Y52" s="32" t="str">
        <f t="shared" si="22"/>
        <v/>
      </c>
      <c r="Z52" s="32" t="str">
        <f t="shared" si="23"/>
        <v/>
      </c>
      <c r="AA52" s="32" t="str">
        <f t="shared" si="24"/>
        <v/>
      </c>
      <c r="AB52" s="32">
        <f>IF($A52="","",IF($T52="No Throw",0,IF($K52&lt;&gt;"",$K52,IF($AA52&lt;&gt;"",ROUND($AA52*$D$12*IF($C52=0,1,$G$10),0),MIN(IF($T52="Recovery/Easy Catch",Reference!$B$103,IF($T52="Long Toss",Reference!$B$106,Reference!$B$102)),MAX(Reference!$B$101,ROUND(MAX(0,$Q52-$AE52)/$AF52,0)))))))</f>
        <v>0</v>
      </c>
      <c r="AC52" s="32">
        <f t="shared" si="25"/>
        <v>0</v>
      </c>
      <c r="AD52" s="32" t="b">
        <f t="shared" si="26"/>
        <v>1</v>
      </c>
      <c r="AE52" s="32">
        <f>IF($X52=0,0,$X52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52+$Z52)/2,0),Reference!$A$17:$B$20,2,TRUE()))</f>
        <v>0</v>
      </c>
      <c r="AF52" s="32">
        <f>IF(OR($A52="",$U52="",$T52="No Throw"),0,$AM52*VLOOKUP(MAX(($V52+$W52)/2,0),Reference!$A$17:$B$20,2,TRUE()))</f>
        <v>0</v>
      </c>
      <c r="AG52" s="32">
        <f>IF($AC52=0,0,$AC52*INDEX(Reference!$B$61:$B$62,MATCH("Bullpen",Reference!$A$61:$A$62,0))*VLOOKUP(MAX($D$5-($D$9+$E$9)/2,0),Reference!$A$17:$B$20,2,TRUE()))</f>
        <v>0</v>
      </c>
      <c r="AH52" s="32" t="e">
        <f t="shared" si="27"/>
        <v>#N/A</v>
      </c>
      <c r="AI52" s="32">
        <f>IF($A52="",NA(),Reference!$A$25)</f>
        <v>0.8</v>
      </c>
      <c r="AJ52" s="32">
        <f t="shared" si="28"/>
        <v>1.3</v>
      </c>
      <c r="AK52" s="32">
        <f>IF(OR($A52="",N($C52)&lt;=7,$T52="No Throw",$J52="x"),0,INDEX(Reference!$B$108:$B$114,$N52+1))</f>
        <v>0</v>
      </c>
      <c r="AL52" s="32">
        <f t="shared" si="29"/>
        <v>1</v>
      </c>
      <c r="AM52" s="32">
        <f>IF($U52="",0,IF($AL52&gt;1,((IF(1&lt;=$AL52,($AL52-1+3)*(INDEX(Reference!$B$6:$B$11,MIN(5,MATCH(MAX(Reference!$A$6,MIN(Reference!$A$11,MIN($U52,90))),Reference!$A$6:$A$11,1)))+(MAX(Reference!$A$6,MIN(Reference!$A$11,MIN($U52,90)))-INDEX(Reference!$A$6:$A$11,MIN(5,MATCH(MAX(Reference!$A$6,MIN(Reference!$A$11,MIN($U52,90))),Reference!$A$6:$A$11,1))))*(INDEX(Reference!$B$6:$B$11,MIN(5,MATCH(MAX(Reference!$A$6,MIN(Reference!$A$11,MIN($U52,90))),Reference!$A$6:$A$11,1))+1)-INDEX(Reference!$B$6:$B$11,MIN(5,MATCH(MAX(Reference!$A$6,MIN(Reference!$A$11,MIN($U52,90))),Reference!$A$6:$A$11,1))))/(INDEX(Reference!$A$6:$A$11,MIN(5,MATCH(MAX(Reference!$A$6,MIN(Reference!$A$11,MIN($U52,90))),Reference!$A$6:$A$11,1))+1)-INDEX(Reference!$A$6:$A$11,MIN(5,MATCH(MAX(Reference!$A$6,MIN(Reference!$A$11,MIN($U52,90))),Reference!$A$6:$A$11,1))))),0)+IF(2&lt;=$AL52,($AL52-2+3)*(INDEX(Reference!$B$6:$B$11,MIN(5,MATCH(MAX(Reference!$A$6,MIN(Reference!$A$11,MIN($U52,120))),Reference!$A$6:$A$11,1)))+(MAX(Reference!$A$6,MIN(Reference!$A$11,MIN($U52,120)))-INDEX(Reference!$A$6:$A$11,MIN(5,MATCH(MAX(Reference!$A$6,MIN(Reference!$A$11,MIN($U52,120))),Reference!$A$6:$A$11,1))))*(INDEX(Reference!$B$6:$B$11,MIN(5,MATCH(MAX(Reference!$A$6,MIN(Reference!$A$11,MIN($U52,120))),Reference!$A$6:$A$11,1))+1)-INDEX(Reference!$B$6:$B$11,MIN(5,MATCH(MAX(Reference!$A$6,MIN(Reference!$A$11,MIN($U52,120))),Reference!$A$6:$A$11,1))))/(INDEX(Reference!$A$6:$A$11,MIN(5,MATCH(MAX(Reference!$A$6,MIN(Reference!$A$11,MIN($U52,120))),Reference!$A$6:$A$11,1))+1)-INDEX(Reference!$A$6:$A$11,MIN(5,MATCH(MAX(Reference!$A$6,MIN(Reference!$A$11,MIN($U52,120))),Reference!$A$6:$A$11,1))))),0)+IF(3&lt;=$AL52,($AL52-3+3)*(INDEX(Reference!$B$6:$B$11,MIN(5,MATCH(MAX(Reference!$A$6,MIN(Reference!$A$11,MIN($U52,150))),Reference!$A$6:$A$11,1)))+(MAX(Reference!$A$6,MIN(Reference!$A$11,MIN($U52,150)))-INDEX(Reference!$A$6:$A$11,MIN(5,MATCH(MAX(Reference!$A$6,MIN(Reference!$A$11,MIN($U52,150))),Reference!$A$6:$A$11,1))))*(INDEX(Reference!$B$6:$B$11,MIN(5,MATCH(MAX(Reference!$A$6,MIN(Reference!$A$11,MIN($U52,150))),Reference!$A$6:$A$11,1))+1)-INDEX(Reference!$B$6:$B$11,MIN(5,MATCH(MAX(Reference!$A$6,MIN(Reference!$A$11,MIN($U52,150))),Reference!$A$6:$A$11,1))))/(INDEX(Reference!$A$6:$A$11,MIN(5,MATCH(MAX(Reference!$A$6,MIN(Reference!$A$11,MIN($U52,150))),Reference!$A$6:$A$11,1))+1)-INDEX(Reference!$A$6:$A$11,MIN(5,MATCH(MAX(Reference!$A$6,MIN(Reference!$A$11,MIN($U52,150))),Reference!$A$6:$A$11,1))))),0)+IF(4&lt;=$AL52,($AL52-4+3)*(INDEX(Reference!$B$6:$B$11,MIN(5,MATCH(MAX(Reference!$A$6,MIN(Reference!$A$11,MIN($U52,180))),Reference!$A$6:$A$11,1)))+(MAX(Reference!$A$6,MIN(Reference!$A$11,MIN($U52,180)))-INDEX(Reference!$A$6:$A$11,MIN(5,MATCH(MAX(Reference!$A$6,MIN(Reference!$A$11,MIN($U52,180))),Reference!$A$6:$A$11,1))))*(INDEX(Reference!$B$6:$B$11,MIN(5,MATCH(MAX(Reference!$A$6,MIN(Reference!$A$11,MIN($U52,180))),Reference!$A$6:$A$11,1))+1)-INDEX(Reference!$B$6:$B$11,MIN(5,MATCH(MAX(Reference!$A$6,MIN(Reference!$A$11,MIN($U52,180))),Reference!$A$6:$A$11,1))))/(INDEX(Reference!$A$6:$A$11,MIN(5,MATCH(MAX(Reference!$A$6,MIN(Reference!$A$11,MIN($U52,180))),Reference!$A$6:$A$11,1))+1)-INDEX(Reference!$A$6:$A$11,MIN(5,MATCH(MAX(Reference!$A$6,MIN(Reference!$A$11,MIN($U52,180))),Reference!$A$6:$A$11,1))))),0)+IF(5&lt;=$AL52,($AL52-5+3)*(INDEX(Reference!$B$6:$B$11,MIN(5,MATCH(MAX(Reference!$A$6,MIN(Reference!$A$11,MIN($U52,210))),Reference!$A$6:$A$11,1)))+(MAX(Reference!$A$6,MIN(Reference!$A$11,MIN($U52,210)))-INDEX(Reference!$A$6:$A$11,MIN(5,MATCH(MAX(Reference!$A$6,MIN(Reference!$A$11,MIN($U52,210))),Reference!$A$6:$A$11,1))))*(INDEX(Reference!$B$6:$B$11,MIN(5,MATCH(MAX(Reference!$A$6,MIN(Reference!$A$11,MIN($U52,210))),Reference!$A$6:$A$11,1))+1)-INDEX(Reference!$B$6:$B$11,MIN(5,MATCH(MAX(Reference!$A$6,MIN(Reference!$A$11,MIN($U52,210))),Reference!$A$6:$A$11,1))))/(INDEX(Reference!$A$6:$A$11,MIN(5,MATCH(MAX(Reference!$A$6,MIN(Reference!$A$11,MIN($U52,210))),Reference!$A$6:$A$11,1))+1)-INDEX(Reference!$A$6:$A$11,MIN(5,MATCH(MAX(Reference!$A$6,MIN(Reference!$A$11,MIN($U52,210))),Reference!$A$6:$A$11,1))))),0)+IF(6&lt;=$AL52,($AL52-6+3)*(INDEX(Reference!$B$6:$B$11,MIN(5,MATCH(MAX(Reference!$A$6,MIN(Reference!$A$11,MIN($U52,240))),Reference!$A$6:$A$11,1)))+(MAX(Reference!$A$6,MIN(Reference!$A$11,MIN($U52,240)))-INDEX(Reference!$A$6:$A$11,MIN(5,MATCH(MAX(Reference!$A$6,MIN(Reference!$A$11,MIN($U52,240))),Reference!$A$6:$A$11,1))))*(INDEX(Reference!$B$6:$B$11,MIN(5,MATCH(MAX(Reference!$A$6,MIN(Reference!$A$11,MIN($U52,240))),Reference!$A$6:$A$11,1))+1)-INDEX(Reference!$B$6:$B$11,MIN(5,MATCH(MAX(Reference!$A$6,MIN(Reference!$A$11,MIN($U52,240))),Reference!$A$6:$A$11,1))))/(INDEX(Reference!$A$6:$A$11,MIN(5,MATCH(MAX(Reference!$A$6,MIN(Reference!$A$11,MIN($U52,240))),Reference!$A$6:$A$11,1))+1)-INDEX(Reference!$A$6:$A$11,MIN(5,MATCH(MAX(Reference!$A$6,MIN(Reference!$A$11,MIN($U52,240))),Reference!$A$6:$A$11,1))))),0)+IF(7&lt;=$AL52,($AL52-7+3)*(INDEX(Reference!$B$6:$B$11,MIN(5,MATCH(MAX(Reference!$A$6,MIN(Reference!$A$11,MIN($U52,270))),Reference!$A$6:$A$11,1)))+(MAX(Reference!$A$6,MIN(Reference!$A$11,MIN($U52,270)))-INDEX(Reference!$A$6:$A$11,MIN(5,MATCH(MAX(Reference!$A$6,MIN(Reference!$A$11,MIN($U52,270))),Reference!$A$6:$A$11,1))))*(INDEX(Reference!$B$6:$B$11,MIN(5,MATCH(MAX(Reference!$A$6,MIN(Reference!$A$11,MIN($U52,270))),Reference!$A$6:$A$11,1))+1)-INDEX(Reference!$B$6:$B$11,MIN(5,MATCH(MAX(Reference!$A$6,MIN(Reference!$A$11,MIN($U52,270))),Reference!$A$6:$A$11,1))))/(INDEX(Reference!$A$6:$A$11,MIN(5,MATCH(MAX(Reference!$A$6,MIN(Reference!$A$11,MIN($U52,270))),Reference!$A$6:$A$11,1))+1)-INDEX(Reference!$A$6:$A$11,MIN(5,MATCH(MAX(Reference!$A$6,MIN(Reference!$A$11,MIN($U52,270))),Reference!$A$6:$A$11,1))))),0)+IF(8&lt;=$AL52,($AL52-8+3)*(INDEX(Reference!$B$6:$B$11,MIN(5,MATCH(MAX(Reference!$A$6,MIN(Reference!$A$11,MIN($U52,300))),Reference!$A$6:$A$11,1)))+(MAX(Reference!$A$6,MIN(Reference!$A$11,MIN($U52,300)))-INDEX(Reference!$A$6:$A$11,MIN(5,MATCH(MAX(Reference!$A$6,MIN(Reference!$A$11,MIN($U52,300))),Reference!$A$6:$A$11,1))))*(INDEX(Reference!$B$6:$B$11,MIN(5,MATCH(MAX(Reference!$A$6,MIN(Reference!$A$11,MIN($U52,300))),Reference!$A$6:$A$11,1))+1)-INDEX(Reference!$B$6:$B$11,MIN(5,MATCH(MAX(Reference!$A$6,MIN(Reference!$A$11,MIN($U52,300))),Reference!$A$6:$A$11,1))))/(INDEX(Reference!$A$6:$A$11,MIN(5,MATCH(MAX(Reference!$A$6,MIN(Reference!$A$11,MIN($U52,300))),Reference!$A$6:$A$11,1))+1)-INDEX(Reference!$A$6:$A$11,MIN(5,MATCH(MAX(Reference!$A$6,MIN(Reference!$A$11,MIN($U52,300))),Reference!$A$6:$A$11,1))))),0))/($AL52*($AL52+5)/2)),$AN52))</f>
        <v>0</v>
      </c>
      <c r="AN52" s="32">
        <f>IF($U52="",0,(INDEX(Reference!$B$6:$B$11,MIN(5,MATCH(MAX(Reference!$A$6,MIN(Reference!$A$11,$U52)),Reference!$A$6:$A$11,1)))+(MAX(Reference!$A$6,MIN(Reference!$A$11,$U52))-INDEX(Reference!$A$6:$A$11,MIN(5,MATCH(MAX(Reference!$A$6,MIN(Reference!$A$11,$U52)),Reference!$A$6:$A$11,1))))*(INDEX(Reference!$B$6:$B$11,MIN(5,MATCH(MAX(Reference!$A$6,MIN(Reference!$A$11,$U52)),Reference!$A$6:$A$11,1))+1)-INDEX(Reference!$B$6:$B$11,MIN(5,MATCH(MAX(Reference!$A$6,MIN(Reference!$A$11,$U52)),Reference!$A$6:$A$11,1))))/(INDEX(Reference!$A$6:$A$11,MIN(5,MATCH(MAX(Reference!$A$6,MIN(Reference!$A$11,$U52)),Reference!$A$6:$A$11,1))+1)-INDEX(Reference!$A$6:$A$11,MIN(5,MATCH(MAX(Reference!$A$6,MIN(Reference!$A$11,$U52)),Reference!$A$6:$A$11,1))))))</f>
        <v>0</v>
      </c>
      <c r="AO52" s="37"/>
      <c r="AP52" s="37"/>
      <c r="AQ52" s="37"/>
    </row>
    <row r="53" spans="1:43" x14ac:dyDescent="0.3">
      <c r="A53" s="48">
        <f t="shared" si="5"/>
        <v>46352</v>
      </c>
      <c r="B53" s="32" t="str">
        <f t="shared" si="6"/>
        <v>Thu</v>
      </c>
      <c r="C53" s="32">
        <f t="shared" si="7"/>
        <v>35</v>
      </c>
      <c r="D53" s="32" t="str">
        <f t="shared" si="8"/>
        <v>Base</v>
      </c>
      <c r="E53" s="32" t="str">
        <f t="shared" si="9"/>
        <v>Low</v>
      </c>
      <c r="F53" s="32" t="str">
        <f t="shared" si="10"/>
        <v>Recovery/Easy Catch</v>
      </c>
      <c r="G53" s="47" t="str">
        <f t="shared" si="11"/>
        <v>75 ft × 23 @ 72–75 mph + 60 ft × 10 @ 70–74 mph</v>
      </c>
      <c r="H53" s="30">
        <f t="shared" si="12"/>
        <v>21.869999999999997</v>
      </c>
      <c r="I53" s="46" t="str">
        <f>IF($A53="","",IF(AND($L53&lt;27,$K$12=0),"Building",IFERROR(((SUM($H$47:$H53)+$K$12*IF($L53&lt;6,SUMIFS('Throw Log'!$Q$5:$Q$300,'Throw Log'!$B$5:$B$300,$D$4,'Throw Log'!$A$5:$A$300,"&gt;="&amp;($D$6+$L53-6),'Throw Log'!$A$5:$A$300,"&lt;="&amp;($D$6-1)),0))/7)/((SUM($H$43:$H53)+$K$12*IF($L53&lt;27,SUMIFS('Throw Log'!$Q$5:$Q$300,'Throw Log'!$B$5:$B$300,$D$4,'Throw Log'!$A$5:$A$300,"&gt;="&amp;($D$6+$L53-27),'Throw Log'!$A$5:$A$300,"&lt;="&amp;($D$6-1)),0))/28),"")))</f>
        <v>Building</v>
      </c>
      <c r="J53" s="37"/>
      <c r="K53" s="37"/>
      <c r="L53" s="32">
        <v>10</v>
      </c>
      <c r="M53" s="32">
        <f t="shared" si="13"/>
        <v>2</v>
      </c>
      <c r="N53" s="32">
        <f t="shared" si="14"/>
        <v>3</v>
      </c>
      <c r="O53" s="32">
        <f t="shared" si="15"/>
        <v>0.27027027027027029</v>
      </c>
      <c r="P53" s="32">
        <f>IF(OR($A53="",N($C53)&lt;=7),"",$G$6*$G$9^($M53-1)*IF(AND(MOD($M53,Reference!$B$99)=0,$M53&lt;=$G$5-2),Reference!$B$100,1))</f>
        <v>92</v>
      </c>
      <c r="Q53" s="32">
        <f>IF($P53="","",IF(SUM($AK$50:$AK$56)=0,0,$P53*INDEX(Reference!$B$108:$B$114,$N53+1)/SUM($AK$50:$AK$56)))</f>
        <v>22.08</v>
      </c>
      <c r="R53" s="32">
        <f t="shared" si="16"/>
        <v>75</v>
      </c>
      <c r="S53" s="32">
        <f t="shared" si="17"/>
        <v>75</v>
      </c>
      <c r="T53" s="32" t="str">
        <f>IF($A53="","",IF($C53=0,"Bullpen",IF(OR($C53=7,$C53=1,$C53=5),"Recovery/Easy Catch",IF($C53=6,"Compression/Pulldowns",IF(OR($C53=4,$C53=2),"Long Toss",IF($C53=3,"No Throw",IF($N53=2,"No Throw",IF($N53=6,IF($O53&lt;Reference!$B$104,"No Throw","Recovery/Easy Catch"),IF(OR($N53=0,$N53=4),"Recovery/Easy Catch",IF($N53=1,IF($R53&gt;75,"Long Toss","Recovery/Easy Catch"),IF($N53=3,IF($O53&lt;0.5,IF($S53&gt;75,"Long Toss","Recovery/Easy Catch"),"Compression/Pulldowns"),IF($S53&gt;75,"Long Toss","Recovery/Easy Catch"))))))))))))</f>
        <v>Recovery/Easy Catch</v>
      </c>
      <c r="U53" s="32">
        <f t="shared" si="18"/>
        <v>75</v>
      </c>
      <c r="V53" s="32">
        <f t="shared" si="19"/>
        <v>13</v>
      </c>
      <c r="W53" s="32">
        <f t="shared" si="20"/>
        <v>16</v>
      </c>
      <c r="X53" s="32">
        <f t="shared" si="21"/>
        <v>10</v>
      </c>
      <c r="Y53" s="32">
        <f t="shared" si="22"/>
        <v>14</v>
      </c>
      <c r="Z53" s="32">
        <f t="shared" si="23"/>
        <v>18</v>
      </c>
      <c r="AA53" s="32" t="str">
        <f t="shared" si="24"/>
        <v/>
      </c>
      <c r="AB53" s="32">
        <f>IF($A53="","",IF($T53="No Throw",0,IF($K53&lt;&gt;"",$K53,IF($AA53&lt;&gt;"",ROUND($AA53*$D$12*IF($C53=0,1,$G$10),0),MIN(IF($T53="Recovery/Easy Catch",Reference!$B$103,IF($T53="Long Toss",Reference!$B$106,Reference!$B$102)),MAX(Reference!$B$101,ROUND(MAX(0,$Q53-$AE53)/$AF53,0)))))))</f>
        <v>23</v>
      </c>
      <c r="AC53" s="32">
        <f t="shared" si="25"/>
        <v>0</v>
      </c>
      <c r="AD53" s="32" t="b">
        <f t="shared" si="26"/>
        <v>0</v>
      </c>
      <c r="AE53" s="32">
        <f>IF($X53=0,0,$X53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53+$Z53)/2,0),Reference!$A$17:$B$20,2,TRUE()))</f>
        <v>6</v>
      </c>
      <c r="AF53" s="32">
        <f>IF(OR($A53="",$U53="",$T53="No Throw"),0,$AM53*VLOOKUP(MAX(($V53+$W53)/2,0),Reference!$A$17:$B$20,2,TRUE()))</f>
        <v>0.69</v>
      </c>
      <c r="AG53" s="32">
        <f>IF($AC53=0,0,$AC53*INDEX(Reference!$B$61:$B$62,MATCH("Bullpen",Reference!$A$61:$A$62,0))*VLOOKUP(MAX($D$5-($D$9+$E$9)/2,0),Reference!$A$17:$B$20,2,TRUE()))</f>
        <v>0</v>
      </c>
      <c r="AH53" s="32" t="e">
        <f t="shared" si="27"/>
        <v>#N/A</v>
      </c>
      <c r="AI53" s="32">
        <f>IF($A53="",NA(),Reference!$A$25)</f>
        <v>0.8</v>
      </c>
      <c r="AJ53" s="32">
        <f t="shared" si="28"/>
        <v>1.3</v>
      </c>
      <c r="AK53" s="56">
        <f>IF(OR($A53="",N($C53)&lt;=7,$T53="No Throw",$J53="x"),0,INDEX(Reference!$B$108:$B$114,$N53+1))</f>
        <v>0.24</v>
      </c>
      <c r="AL53" s="32">
        <f t="shared" si="29"/>
        <v>1</v>
      </c>
      <c r="AM53" s="32">
        <f>IF($U53="",0,IF($AL53&gt;1,((IF(1&lt;=$AL53,($AL53-1+3)*(INDEX(Reference!$B$6:$B$11,MIN(5,MATCH(MAX(Reference!$A$6,MIN(Reference!$A$11,MIN($U53,90))),Reference!$A$6:$A$11,1)))+(MAX(Reference!$A$6,MIN(Reference!$A$11,MIN($U53,90)))-INDEX(Reference!$A$6:$A$11,MIN(5,MATCH(MAX(Reference!$A$6,MIN(Reference!$A$11,MIN($U53,90))),Reference!$A$6:$A$11,1))))*(INDEX(Reference!$B$6:$B$11,MIN(5,MATCH(MAX(Reference!$A$6,MIN(Reference!$A$11,MIN($U53,90))),Reference!$A$6:$A$11,1))+1)-INDEX(Reference!$B$6:$B$11,MIN(5,MATCH(MAX(Reference!$A$6,MIN(Reference!$A$11,MIN($U53,90))),Reference!$A$6:$A$11,1))))/(INDEX(Reference!$A$6:$A$11,MIN(5,MATCH(MAX(Reference!$A$6,MIN(Reference!$A$11,MIN($U53,90))),Reference!$A$6:$A$11,1))+1)-INDEX(Reference!$A$6:$A$11,MIN(5,MATCH(MAX(Reference!$A$6,MIN(Reference!$A$11,MIN($U53,90))),Reference!$A$6:$A$11,1))))),0)+IF(2&lt;=$AL53,($AL53-2+3)*(INDEX(Reference!$B$6:$B$11,MIN(5,MATCH(MAX(Reference!$A$6,MIN(Reference!$A$11,MIN($U53,120))),Reference!$A$6:$A$11,1)))+(MAX(Reference!$A$6,MIN(Reference!$A$11,MIN($U53,120)))-INDEX(Reference!$A$6:$A$11,MIN(5,MATCH(MAX(Reference!$A$6,MIN(Reference!$A$11,MIN($U53,120))),Reference!$A$6:$A$11,1))))*(INDEX(Reference!$B$6:$B$11,MIN(5,MATCH(MAX(Reference!$A$6,MIN(Reference!$A$11,MIN($U53,120))),Reference!$A$6:$A$11,1))+1)-INDEX(Reference!$B$6:$B$11,MIN(5,MATCH(MAX(Reference!$A$6,MIN(Reference!$A$11,MIN($U53,120))),Reference!$A$6:$A$11,1))))/(INDEX(Reference!$A$6:$A$11,MIN(5,MATCH(MAX(Reference!$A$6,MIN(Reference!$A$11,MIN($U53,120))),Reference!$A$6:$A$11,1))+1)-INDEX(Reference!$A$6:$A$11,MIN(5,MATCH(MAX(Reference!$A$6,MIN(Reference!$A$11,MIN($U53,120))),Reference!$A$6:$A$11,1))))),0)+IF(3&lt;=$AL53,($AL53-3+3)*(INDEX(Reference!$B$6:$B$11,MIN(5,MATCH(MAX(Reference!$A$6,MIN(Reference!$A$11,MIN($U53,150))),Reference!$A$6:$A$11,1)))+(MAX(Reference!$A$6,MIN(Reference!$A$11,MIN($U53,150)))-INDEX(Reference!$A$6:$A$11,MIN(5,MATCH(MAX(Reference!$A$6,MIN(Reference!$A$11,MIN($U53,150))),Reference!$A$6:$A$11,1))))*(INDEX(Reference!$B$6:$B$11,MIN(5,MATCH(MAX(Reference!$A$6,MIN(Reference!$A$11,MIN($U53,150))),Reference!$A$6:$A$11,1))+1)-INDEX(Reference!$B$6:$B$11,MIN(5,MATCH(MAX(Reference!$A$6,MIN(Reference!$A$11,MIN($U53,150))),Reference!$A$6:$A$11,1))))/(INDEX(Reference!$A$6:$A$11,MIN(5,MATCH(MAX(Reference!$A$6,MIN(Reference!$A$11,MIN($U53,150))),Reference!$A$6:$A$11,1))+1)-INDEX(Reference!$A$6:$A$11,MIN(5,MATCH(MAX(Reference!$A$6,MIN(Reference!$A$11,MIN($U53,150))),Reference!$A$6:$A$11,1))))),0)+IF(4&lt;=$AL53,($AL53-4+3)*(INDEX(Reference!$B$6:$B$11,MIN(5,MATCH(MAX(Reference!$A$6,MIN(Reference!$A$11,MIN($U53,180))),Reference!$A$6:$A$11,1)))+(MAX(Reference!$A$6,MIN(Reference!$A$11,MIN($U53,180)))-INDEX(Reference!$A$6:$A$11,MIN(5,MATCH(MAX(Reference!$A$6,MIN(Reference!$A$11,MIN($U53,180))),Reference!$A$6:$A$11,1))))*(INDEX(Reference!$B$6:$B$11,MIN(5,MATCH(MAX(Reference!$A$6,MIN(Reference!$A$11,MIN($U53,180))),Reference!$A$6:$A$11,1))+1)-INDEX(Reference!$B$6:$B$11,MIN(5,MATCH(MAX(Reference!$A$6,MIN(Reference!$A$11,MIN($U53,180))),Reference!$A$6:$A$11,1))))/(INDEX(Reference!$A$6:$A$11,MIN(5,MATCH(MAX(Reference!$A$6,MIN(Reference!$A$11,MIN($U53,180))),Reference!$A$6:$A$11,1))+1)-INDEX(Reference!$A$6:$A$11,MIN(5,MATCH(MAX(Reference!$A$6,MIN(Reference!$A$11,MIN($U53,180))),Reference!$A$6:$A$11,1))))),0)+IF(5&lt;=$AL53,($AL53-5+3)*(INDEX(Reference!$B$6:$B$11,MIN(5,MATCH(MAX(Reference!$A$6,MIN(Reference!$A$11,MIN($U53,210))),Reference!$A$6:$A$11,1)))+(MAX(Reference!$A$6,MIN(Reference!$A$11,MIN($U53,210)))-INDEX(Reference!$A$6:$A$11,MIN(5,MATCH(MAX(Reference!$A$6,MIN(Reference!$A$11,MIN($U53,210))),Reference!$A$6:$A$11,1))))*(INDEX(Reference!$B$6:$B$11,MIN(5,MATCH(MAX(Reference!$A$6,MIN(Reference!$A$11,MIN($U53,210))),Reference!$A$6:$A$11,1))+1)-INDEX(Reference!$B$6:$B$11,MIN(5,MATCH(MAX(Reference!$A$6,MIN(Reference!$A$11,MIN($U53,210))),Reference!$A$6:$A$11,1))))/(INDEX(Reference!$A$6:$A$11,MIN(5,MATCH(MAX(Reference!$A$6,MIN(Reference!$A$11,MIN($U53,210))),Reference!$A$6:$A$11,1))+1)-INDEX(Reference!$A$6:$A$11,MIN(5,MATCH(MAX(Reference!$A$6,MIN(Reference!$A$11,MIN($U53,210))),Reference!$A$6:$A$11,1))))),0)+IF(6&lt;=$AL53,($AL53-6+3)*(INDEX(Reference!$B$6:$B$11,MIN(5,MATCH(MAX(Reference!$A$6,MIN(Reference!$A$11,MIN($U53,240))),Reference!$A$6:$A$11,1)))+(MAX(Reference!$A$6,MIN(Reference!$A$11,MIN($U53,240)))-INDEX(Reference!$A$6:$A$11,MIN(5,MATCH(MAX(Reference!$A$6,MIN(Reference!$A$11,MIN($U53,240))),Reference!$A$6:$A$11,1))))*(INDEX(Reference!$B$6:$B$11,MIN(5,MATCH(MAX(Reference!$A$6,MIN(Reference!$A$11,MIN($U53,240))),Reference!$A$6:$A$11,1))+1)-INDEX(Reference!$B$6:$B$11,MIN(5,MATCH(MAX(Reference!$A$6,MIN(Reference!$A$11,MIN($U53,240))),Reference!$A$6:$A$11,1))))/(INDEX(Reference!$A$6:$A$11,MIN(5,MATCH(MAX(Reference!$A$6,MIN(Reference!$A$11,MIN($U53,240))),Reference!$A$6:$A$11,1))+1)-INDEX(Reference!$A$6:$A$11,MIN(5,MATCH(MAX(Reference!$A$6,MIN(Reference!$A$11,MIN($U53,240))),Reference!$A$6:$A$11,1))))),0)+IF(7&lt;=$AL53,($AL53-7+3)*(INDEX(Reference!$B$6:$B$11,MIN(5,MATCH(MAX(Reference!$A$6,MIN(Reference!$A$11,MIN($U53,270))),Reference!$A$6:$A$11,1)))+(MAX(Reference!$A$6,MIN(Reference!$A$11,MIN($U53,270)))-INDEX(Reference!$A$6:$A$11,MIN(5,MATCH(MAX(Reference!$A$6,MIN(Reference!$A$11,MIN($U53,270))),Reference!$A$6:$A$11,1))))*(INDEX(Reference!$B$6:$B$11,MIN(5,MATCH(MAX(Reference!$A$6,MIN(Reference!$A$11,MIN($U53,270))),Reference!$A$6:$A$11,1))+1)-INDEX(Reference!$B$6:$B$11,MIN(5,MATCH(MAX(Reference!$A$6,MIN(Reference!$A$11,MIN($U53,270))),Reference!$A$6:$A$11,1))))/(INDEX(Reference!$A$6:$A$11,MIN(5,MATCH(MAX(Reference!$A$6,MIN(Reference!$A$11,MIN($U53,270))),Reference!$A$6:$A$11,1))+1)-INDEX(Reference!$A$6:$A$11,MIN(5,MATCH(MAX(Reference!$A$6,MIN(Reference!$A$11,MIN($U53,270))),Reference!$A$6:$A$11,1))))),0)+IF(8&lt;=$AL53,($AL53-8+3)*(INDEX(Reference!$B$6:$B$11,MIN(5,MATCH(MAX(Reference!$A$6,MIN(Reference!$A$11,MIN($U53,300))),Reference!$A$6:$A$11,1)))+(MAX(Reference!$A$6,MIN(Reference!$A$11,MIN($U53,300)))-INDEX(Reference!$A$6:$A$11,MIN(5,MATCH(MAX(Reference!$A$6,MIN(Reference!$A$11,MIN($U53,300))),Reference!$A$6:$A$11,1))))*(INDEX(Reference!$B$6:$B$11,MIN(5,MATCH(MAX(Reference!$A$6,MIN(Reference!$A$11,MIN($U53,300))),Reference!$A$6:$A$11,1))+1)-INDEX(Reference!$B$6:$B$11,MIN(5,MATCH(MAX(Reference!$A$6,MIN(Reference!$A$11,MIN($U53,300))),Reference!$A$6:$A$11,1))))/(INDEX(Reference!$A$6:$A$11,MIN(5,MATCH(MAX(Reference!$A$6,MIN(Reference!$A$11,MIN($U53,300))),Reference!$A$6:$A$11,1))+1)-INDEX(Reference!$A$6:$A$11,MIN(5,MATCH(MAX(Reference!$A$6,MIN(Reference!$A$11,MIN($U53,300))),Reference!$A$6:$A$11,1))))),0))/($AL53*($AL53+5)/2)),$AN53))</f>
        <v>1.1499999999999999</v>
      </c>
      <c r="AN53" s="32">
        <f>IF($U53="",0,(INDEX(Reference!$B$6:$B$11,MIN(5,MATCH(MAX(Reference!$A$6,MIN(Reference!$A$11,$U53)),Reference!$A$6:$A$11,1)))+(MAX(Reference!$A$6,MIN(Reference!$A$11,$U53))-INDEX(Reference!$A$6:$A$11,MIN(5,MATCH(MAX(Reference!$A$6,MIN(Reference!$A$11,$U53)),Reference!$A$6:$A$11,1))))*(INDEX(Reference!$B$6:$B$11,MIN(5,MATCH(MAX(Reference!$A$6,MIN(Reference!$A$11,$U53)),Reference!$A$6:$A$11,1))+1)-INDEX(Reference!$B$6:$B$11,MIN(5,MATCH(MAX(Reference!$A$6,MIN(Reference!$A$11,$U53)),Reference!$A$6:$A$11,1))))/(INDEX(Reference!$A$6:$A$11,MIN(5,MATCH(MAX(Reference!$A$6,MIN(Reference!$A$11,$U53)),Reference!$A$6:$A$11,1))+1)-INDEX(Reference!$A$6:$A$11,MIN(5,MATCH(MAX(Reference!$A$6,MIN(Reference!$A$11,$U53)),Reference!$A$6:$A$11,1))))))</f>
        <v>1.1499999999999999</v>
      </c>
      <c r="AO53" s="37"/>
      <c r="AP53" s="37"/>
      <c r="AQ53" s="37"/>
    </row>
    <row r="54" spans="1:43" x14ac:dyDescent="0.3">
      <c r="A54" s="48">
        <f t="shared" si="5"/>
        <v>46353</v>
      </c>
      <c r="B54" s="32" t="str">
        <f t="shared" si="6"/>
        <v>Fri</v>
      </c>
      <c r="C54" s="32">
        <f t="shared" si="7"/>
        <v>34</v>
      </c>
      <c r="D54" s="32" t="str">
        <f t="shared" si="8"/>
        <v>Base</v>
      </c>
      <c r="E54" s="32" t="str">
        <f t="shared" si="9"/>
        <v>Low</v>
      </c>
      <c r="F54" s="32" t="str">
        <f t="shared" si="10"/>
        <v>Recovery/Easy Catch</v>
      </c>
      <c r="G54" s="47" t="str">
        <f t="shared" si="11"/>
        <v>60 ft × 20 @ 64–68 mph</v>
      </c>
      <c r="H54" s="30">
        <f t="shared" si="12"/>
        <v>12</v>
      </c>
      <c r="I54" s="46" t="str">
        <f>IF($A54="","",IF(AND($L54&lt;27,$K$12=0),"Building",IFERROR(((SUM($H$48:$H54)+$K$12*IF($L54&lt;6,SUMIFS('Throw Log'!$Q$5:$Q$300,'Throw Log'!$B$5:$B$300,$D$4,'Throw Log'!$A$5:$A$300,"&gt;="&amp;($D$6+$L54-6),'Throw Log'!$A$5:$A$300,"&lt;="&amp;($D$6-1)),0))/7)/((SUM($H$43:$H54)+$K$12*IF($L54&lt;27,SUMIFS('Throw Log'!$Q$5:$Q$300,'Throw Log'!$B$5:$B$300,$D$4,'Throw Log'!$A$5:$A$300,"&gt;="&amp;($D$6+$L54-27),'Throw Log'!$A$5:$A$300,"&lt;="&amp;($D$6-1)),0))/28),"")))</f>
        <v>Building</v>
      </c>
      <c r="J54" s="37"/>
      <c r="K54" s="37"/>
      <c r="L54" s="32">
        <v>11</v>
      </c>
      <c r="M54" s="32">
        <f t="shared" si="13"/>
        <v>2</v>
      </c>
      <c r="N54" s="32">
        <f t="shared" si="14"/>
        <v>4</v>
      </c>
      <c r="O54" s="32">
        <f t="shared" si="15"/>
        <v>0.29729729729729731</v>
      </c>
      <c r="P54" s="32">
        <f>IF(OR($A54="",N($C54)&lt;=7),"",$G$6*$G$9^($M54-1)*IF(AND(MOD($M54,Reference!$B$99)=0,$M54&lt;=$G$5-2),Reference!$B$100,1))</f>
        <v>92</v>
      </c>
      <c r="Q54" s="32">
        <f>IF($P54="","",IF(SUM($AK$50:$AK$56)=0,0,$P54*INDEX(Reference!$B$108:$B$114,$N54+1)/SUM($AK$50:$AK$56)))</f>
        <v>9.2000000000000011</v>
      </c>
      <c r="R54" s="32">
        <f t="shared" si="16"/>
        <v>90</v>
      </c>
      <c r="S54" s="32">
        <f t="shared" si="17"/>
        <v>90</v>
      </c>
      <c r="T54" s="32" t="str">
        <f>IF($A54="","",IF($C54=0,"Bullpen",IF(OR($C54=7,$C54=1,$C54=5),"Recovery/Easy Catch",IF($C54=6,"Compression/Pulldowns",IF(OR($C54=4,$C54=2),"Long Toss",IF($C54=3,"No Throw",IF($N54=2,"No Throw",IF($N54=6,IF($O54&lt;Reference!$B$104,"No Throw","Recovery/Easy Catch"),IF(OR($N54=0,$N54=4),"Recovery/Easy Catch",IF($N54=1,IF($R54&gt;75,"Long Toss","Recovery/Easy Catch"),IF($N54=3,IF($O54&lt;0.5,IF($S54&gt;75,"Long Toss","Recovery/Easy Catch"),"Compression/Pulldowns"),IF($S54&gt;75,"Long Toss","Recovery/Easy Catch"))))))))))))</f>
        <v>Recovery/Easy Catch</v>
      </c>
      <c r="U54" s="32">
        <f t="shared" si="18"/>
        <v>60</v>
      </c>
      <c r="V54" s="32">
        <f t="shared" si="19"/>
        <v>20</v>
      </c>
      <c r="W54" s="32">
        <f t="shared" si="20"/>
        <v>24</v>
      </c>
      <c r="X54" s="32">
        <f t="shared" si="21"/>
        <v>0</v>
      </c>
      <c r="Y54" s="32" t="str">
        <f t="shared" si="22"/>
        <v/>
      </c>
      <c r="Z54" s="32" t="str">
        <f t="shared" si="23"/>
        <v/>
      </c>
      <c r="AA54" s="32" t="str">
        <f t="shared" si="24"/>
        <v/>
      </c>
      <c r="AB54" s="32">
        <f>IF($A54="","",IF($T54="No Throw",0,IF($K54&lt;&gt;"",$K54,IF($AA54&lt;&gt;"",ROUND($AA54*$D$12*IF($C54=0,1,$G$10),0),MIN(IF($T54="Recovery/Easy Catch",Reference!$B$103,IF($T54="Long Toss",Reference!$B$106,Reference!$B$102)),MAX(Reference!$B$101,ROUND(MAX(0,$Q54-$AE54)/$AF54,0)))))))</f>
        <v>20</v>
      </c>
      <c r="AC54" s="32">
        <f t="shared" si="25"/>
        <v>0</v>
      </c>
      <c r="AD54" s="32" t="b">
        <f t="shared" si="26"/>
        <v>0</v>
      </c>
      <c r="AE54" s="32">
        <f>IF($X54=0,0,$X54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54+$Z54)/2,0),Reference!$A$17:$B$20,2,TRUE()))</f>
        <v>0</v>
      </c>
      <c r="AF54" s="32">
        <f>IF(OR($A54="",$U54="",$T54="No Throw"),0,$AM54*VLOOKUP(MAX(($V54+$W54)/2,0),Reference!$A$17:$B$20,2,TRUE()))</f>
        <v>0.6</v>
      </c>
      <c r="AG54" s="32">
        <f>IF($AC54=0,0,$AC54*INDEX(Reference!$B$61:$B$62,MATCH("Bullpen",Reference!$A$61:$A$62,0))*VLOOKUP(MAX($D$5-($D$9+$E$9)/2,0),Reference!$A$17:$B$20,2,TRUE()))</f>
        <v>0</v>
      </c>
      <c r="AH54" s="32" t="e">
        <f t="shared" si="27"/>
        <v>#N/A</v>
      </c>
      <c r="AI54" s="32">
        <f>IF($A54="",NA(),Reference!$A$25)</f>
        <v>0.8</v>
      </c>
      <c r="AJ54" s="32">
        <f t="shared" si="28"/>
        <v>1.3</v>
      </c>
      <c r="AK54" s="56">
        <f>IF(OR($A54="",N($C54)&lt;=7,$T54="No Throw",$J54="x"),0,INDEX(Reference!$B$108:$B$114,$N54+1))</f>
        <v>0.1</v>
      </c>
      <c r="AL54" s="32">
        <f t="shared" si="29"/>
        <v>1</v>
      </c>
      <c r="AM54" s="32">
        <f>IF($U54="",0,IF($AL54&gt;1,((IF(1&lt;=$AL54,($AL54-1+3)*(INDEX(Reference!$B$6:$B$11,MIN(5,MATCH(MAX(Reference!$A$6,MIN(Reference!$A$11,MIN($U54,90))),Reference!$A$6:$A$11,1)))+(MAX(Reference!$A$6,MIN(Reference!$A$11,MIN($U54,90)))-INDEX(Reference!$A$6:$A$11,MIN(5,MATCH(MAX(Reference!$A$6,MIN(Reference!$A$11,MIN($U54,90))),Reference!$A$6:$A$11,1))))*(INDEX(Reference!$B$6:$B$11,MIN(5,MATCH(MAX(Reference!$A$6,MIN(Reference!$A$11,MIN($U54,90))),Reference!$A$6:$A$11,1))+1)-INDEX(Reference!$B$6:$B$11,MIN(5,MATCH(MAX(Reference!$A$6,MIN(Reference!$A$11,MIN($U54,90))),Reference!$A$6:$A$11,1))))/(INDEX(Reference!$A$6:$A$11,MIN(5,MATCH(MAX(Reference!$A$6,MIN(Reference!$A$11,MIN($U54,90))),Reference!$A$6:$A$11,1))+1)-INDEX(Reference!$A$6:$A$11,MIN(5,MATCH(MAX(Reference!$A$6,MIN(Reference!$A$11,MIN($U54,90))),Reference!$A$6:$A$11,1))))),0)+IF(2&lt;=$AL54,($AL54-2+3)*(INDEX(Reference!$B$6:$B$11,MIN(5,MATCH(MAX(Reference!$A$6,MIN(Reference!$A$11,MIN($U54,120))),Reference!$A$6:$A$11,1)))+(MAX(Reference!$A$6,MIN(Reference!$A$11,MIN($U54,120)))-INDEX(Reference!$A$6:$A$11,MIN(5,MATCH(MAX(Reference!$A$6,MIN(Reference!$A$11,MIN($U54,120))),Reference!$A$6:$A$11,1))))*(INDEX(Reference!$B$6:$B$11,MIN(5,MATCH(MAX(Reference!$A$6,MIN(Reference!$A$11,MIN($U54,120))),Reference!$A$6:$A$11,1))+1)-INDEX(Reference!$B$6:$B$11,MIN(5,MATCH(MAX(Reference!$A$6,MIN(Reference!$A$11,MIN($U54,120))),Reference!$A$6:$A$11,1))))/(INDEX(Reference!$A$6:$A$11,MIN(5,MATCH(MAX(Reference!$A$6,MIN(Reference!$A$11,MIN($U54,120))),Reference!$A$6:$A$11,1))+1)-INDEX(Reference!$A$6:$A$11,MIN(5,MATCH(MAX(Reference!$A$6,MIN(Reference!$A$11,MIN($U54,120))),Reference!$A$6:$A$11,1))))),0)+IF(3&lt;=$AL54,($AL54-3+3)*(INDEX(Reference!$B$6:$B$11,MIN(5,MATCH(MAX(Reference!$A$6,MIN(Reference!$A$11,MIN($U54,150))),Reference!$A$6:$A$11,1)))+(MAX(Reference!$A$6,MIN(Reference!$A$11,MIN($U54,150)))-INDEX(Reference!$A$6:$A$11,MIN(5,MATCH(MAX(Reference!$A$6,MIN(Reference!$A$11,MIN($U54,150))),Reference!$A$6:$A$11,1))))*(INDEX(Reference!$B$6:$B$11,MIN(5,MATCH(MAX(Reference!$A$6,MIN(Reference!$A$11,MIN($U54,150))),Reference!$A$6:$A$11,1))+1)-INDEX(Reference!$B$6:$B$11,MIN(5,MATCH(MAX(Reference!$A$6,MIN(Reference!$A$11,MIN($U54,150))),Reference!$A$6:$A$11,1))))/(INDEX(Reference!$A$6:$A$11,MIN(5,MATCH(MAX(Reference!$A$6,MIN(Reference!$A$11,MIN($U54,150))),Reference!$A$6:$A$11,1))+1)-INDEX(Reference!$A$6:$A$11,MIN(5,MATCH(MAX(Reference!$A$6,MIN(Reference!$A$11,MIN($U54,150))),Reference!$A$6:$A$11,1))))),0)+IF(4&lt;=$AL54,($AL54-4+3)*(INDEX(Reference!$B$6:$B$11,MIN(5,MATCH(MAX(Reference!$A$6,MIN(Reference!$A$11,MIN($U54,180))),Reference!$A$6:$A$11,1)))+(MAX(Reference!$A$6,MIN(Reference!$A$11,MIN($U54,180)))-INDEX(Reference!$A$6:$A$11,MIN(5,MATCH(MAX(Reference!$A$6,MIN(Reference!$A$11,MIN($U54,180))),Reference!$A$6:$A$11,1))))*(INDEX(Reference!$B$6:$B$11,MIN(5,MATCH(MAX(Reference!$A$6,MIN(Reference!$A$11,MIN($U54,180))),Reference!$A$6:$A$11,1))+1)-INDEX(Reference!$B$6:$B$11,MIN(5,MATCH(MAX(Reference!$A$6,MIN(Reference!$A$11,MIN($U54,180))),Reference!$A$6:$A$11,1))))/(INDEX(Reference!$A$6:$A$11,MIN(5,MATCH(MAX(Reference!$A$6,MIN(Reference!$A$11,MIN($U54,180))),Reference!$A$6:$A$11,1))+1)-INDEX(Reference!$A$6:$A$11,MIN(5,MATCH(MAX(Reference!$A$6,MIN(Reference!$A$11,MIN($U54,180))),Reference!$A$6:$A$11,1))))),0)+IF(5&lt;=$AL54,($AL54-5+3)*(INDEX(Reference!$B$6:$B$11,MIN(5,MATCH(MAX(Reference!$A$6,MIN(Reference!$A$11,MIN($U54,210))),Reference!$A$6:$A$11,1)))+(MAX(Reference!$A$6,MIN(Reference!$A$11,MIN($U54,210)))-INDEX(Reference!$A$6:$A$11,MIN(5,MATCH(MAX(Reference!$A$6,MIN(Reference!$A$11,MIN($U54,210))),Reference!$A$6:$A$11,1))))*(INDEX(Reference!$B$6:$B$11,MIN(5,MATCH(MAX(Reference!$A$6,MIN(Reference!$A$11,MIN($U54,210))),Reference!$A$6:$A$11,1))+1)-INDEX(Reference!$B$6:$B$11,MIN(5,MATCH(MAX(Reference!$A$6,MIN(Reference!$A$11,MIN($U54,210))),Reference!$A$6:$A$11,1))))/(INDEX(Reference!$A$6:$A$11,MIN(5,MATCH(MAX(Reference!$A$6,MIN(Reference!$A$11,MIN($U54,210))),Reference!$A$6:$A$11,1))+1)-INDEX(Reference!$A$6:$A$11,MIN(5,MATCH(MAX(Reference!$A$6,MIN(Reference!$A$11,MIN($U54,210))),Reference!$A$6:$A$11,1))))),0)+IF(6&lt;=$AL54,($AL54-6+3)*(INDEX(Reference!$B$6:$B$11,MIN(5,MATCH(MAX(Reference!$A$6,MIN(Reference!$A$11,MIN($U54,240))),Reference!$A$6:$A$11,1)))+(MAX(Reference!$A$6,MIN(Reference!$A$11,MIN($U54,240)))-INDEX(Reference!$A$6:$A$11,MIN(5,MATCH(MAX(Reference!$A$6,MIN(Reference!$A$11,MIN($U54,240))),Reference!$A$6:$A$11,1))))*(INDEX(Reference!$B$6:$B$11,MIN(5,MATCH(MAX(Reference!$A$6,MIN(Reference!$A$11,MIN($U54,240))),Reference!$A$6:$A$11,1))+1)-INDEX(Reference!$B$6:$B$11,MIN(5,MATCH(MAX(Reference!$A$6,MIN(Reference!$A$11,MIN($U54,240))),Reference!$A$6:$A$11,1))))/(INDEX(Reference!$A$6:$A$11,MIN(5,MATCH(MAX(Reference!$A$6,MIN(Reference!$A$11,MIN($U54,240))),Reference!$A$6:$A$11,1))+1)-INDEX(Reference!$A$6:$A$11,MIN(5,MATCH(MAX(Reference!$A$6,MIN(Reference!$A$11,MIN($U54,240))),Reference!$A$6:$A$11,1))))),0)+IF(7&lt;=$AL54,($AL54-7+3)*(INDEX(Reference!$B$6:$B$11,MIN(5,MATCH(MAX(Reference!$A$6,MIN(Reference!$A$11,MIN($U54,270))),Reference!$A$6:$A$11,1)))+(MAX(Reference!$A$6,MIN(Reference!$A$11,MIN($U54,270)))-INDEX(Reference!$A$6:$A$11,MIN(5,MATCH(MAX(Reference!$A$6,MIN(Reference!$A$11,MIN($U54,270))),Reference!$A$6:$A$11,1))))*(INDEX(Reference!$B$6:$B$11,MIN(5,MATCH(MAX(Reference!$A$6,MIN(Reference!$A$11,MIN($U54,270))),Reference!$A$6:$A$11,1))+1)-INDEX(Reference!$B$6:$B$11,MIN(5,MATCH(MAX(Reference!$A$6,MIN(Reference!$A$11,MIN($U54,270))),Reference!$A$6:$A$11,1))))/(INDEX(Reference!$A$6:$A$11,MIN(5,MATCH(MAX(Reference!$A$6,MIN(Reference!$A$11,MIN($U54,270))),Reference!$A$6:$A$11,1))+1)-INDEX(Reference!$A$6:$A$11,MIN(5,MATCH(MAX(Reference!$A$6,MIN(Reference!$A$11,MIN($U54,270))),Reference!$A$6:$A$11,1))))),0)+IF(8&lt;=$AL54,($AL54-8+3)*(INDEX(Reference!$B$6:$B$11,MIN(5,MATCH(MAX(Reference!$A$6,MIN(Reference!$A$11,MIN($U54,300))),Reference!$A$6:$A$11,1)))+(MAX(Reference!$A$6,MIN(Reference!$A$11,MIN($U54,300)))-INDEX(Reference!$A$6:$A$11,MIN(5,MATCH(MAX(Reference!$A$6,MIN(Reference!$A$11,MIN($U54,300))),Reference!$A$6:$A$11,1))))*(INDEX(Reference!$B$6:$B$11,MIN(5,MATCH(MAX(Reference!$A$6,MIN(Reference!$A$11,MIN($U54,300))),Reference!$A$6:$A$11,1))+1)-INDEX(Reference!$B$6:$B$11,MIN(5,MATCH(MAX(Reference!$A$6,MIN(Reference!$A$11,MIN($U54,300))),Reference!$A$6:$A$11,1))))/(INDEX(Reference!$A$6:$A$11,MIN(5,MATCH(MAX(Reference!$A$6,MIN(Reference!$A$11,MIN($U54,300))),Reference!$A$6:$A$11,1))+1)-INDEX(Reference!$A$6:$A$11,MIN(5,MATCH(MAX(Reference!$A$6,MIN(Reference!$A$11,MIN($U54,300))),Reference!$A$6:$A$11,1))))),0))/($AL54*($AL54+5)/2)),$AN54))</f>
        <v>1</v>
      </c>
      <c r="AN54" s="32">
        <f>IF($U54="",0,(INDEX(Reference!$B$6:$B$11,MIN(5,MATCH(MAX(Reference!$A$6,MIN(Reference!$A$11,$U54)),Reference!$A$6:$A$11,1)))+(MAX(Reference!$A$6,MIN(Reference!$A$11,$U54))-INDEX(Reference!$A$6:$A$11,MIN(5,MATCH(MAX(Reference!$A$6,MIN(Reference!$A$11,$U54)),Reference!$A$6:$A$11,1))))*(INDEX(Reference!$B$6:$B$11,MIN(5,MATCH(MAX(Reference!$A$6,MIN(Reference!$A$11,$U54)),Reference!$A$6:$A$11,1))+1)-INDEX(Reference!$B$6:$B$11,MIN(5,MATCH(MAX(Reference!$A$6,MIN(Reference!$A$11,$U54)),Reference!$A$6:$A$11,1))))/(INDEX(Reference!$A$6:$A$11,MIN(5,MATCH(MAX(Reference!$A$6,MIN(Reference!$A$11,$U54)),Reference!$A$6:$A$11,1))+1)-INDEX(Reference!$A$6:$A$11,MIN(5,MATCH(MAX(Reference!$A$6,MIN(Reference!$A$11,$U54)),Reference!$A$6:$A$11,1))))))</f>
        <v>1</v>
      </c>
      <c r="AO54" s="37"/>
      <c r="AP54" s="37"/>
      <c r="AQ54" s="37"/>
    </row>
    <row r="55" spans="1:43" x14ac:dyDescent="0.3">
      <c r="A55" s="48">
        <f t="shared" si="5"/>
        <v>46354</v>
      </c>
      <c r="B55" s="32" t="str">
        <f t="shared" si="6"/>
        <v>Sat</v>
      </c>
      <c r="C55" s="32">
        <f t="shared" si="7"/>
        <v>33</v>
      </c>
      <c r="D55" s="32" t="str">
        <f t="shared" si="8"/>
        <v>Base</v>
      </c>
      <c r="E55" s="32" t="str">
        <f t="shared" si="9"/>
        <v>Medium</v>
      </c>
      <c r="F55" s="32" t="str">
        <f t="shared" si="10"/>
        <v>Long Toss</v>
      </c>
      <c r="G55" s="47" t="str">
        <f t="shared" si="11"/>
        <v>90 ft × 23 @ 73–76 mph + 60 ft × 12 @ 70–74 mph</v>
      </c>
      <c r="H55" s="30">
        <f t="shared" si="12"/>
        <v>25.14</v>
      </c>
      <c r="I55" s="46" t="str">
        <f>IF($A55="","",IF(AND($L55&lt;27,$K$12=0),"Building",IFERROR(((SUM($H$49:$H55)+$K$12*IF($L55&lt;6,SUMIFS('Throw Log'!$Q$5:$Q$300,'Throw Log'!$B$5:$B$300,$D$4,'Throw Log'!$A$5:$A$300,"&gt;="&amp;($D$6+$L55-6),'Throw Log'!$A$5:$A$300,"&lt;="&amp;($D$6-1)),0))/7)/((SUM($H$43:$H55)+$K$12*IF($L55&lt;27,SUMIFS('Throw Log'!$Q$5:$Q$300,'Throw Log'!$B$5:$B$300,$D$4,'Throw Log'!$A$5:$A$300,"&gt;="&amp;($D$6+$L55-27),'Throw Log'!$A$5:$A$300,"&lt;="&amp;($D$6-1)),0))/28),"")))</f>
        <v>Building</v>
      </c>
      <c r="J55" s="37"/>
      <c r="K55" s="37"/>
      <c r="L55" s="32">
        <v>12</v>
      </c>
      <c r="M55" s="32">
        <f t="shared" si="13"/>
        <v>2</v>
      </c>
      <c r="N55" s="32">
        <f t="shared" si="14"/>
        <v>5</v>
      </c>
      <c r="O55" s="32">
        <f t="shared" si="15"/>
        <v>0.32432432432432434</v>
      </c>
      <c r="P55" s="32">
        <f>IF(OR($A55="",N($C55)&lt;=7),"",$G$6*$G$9^($M55-1)*IF(AND(MOD($M55,Reference!$B$99)=0,$M55&lt;=$G$5-2),Reference!$B$100,1))</f>
        <v>92</v>
      </c>
      <c r="Q55" s="32">
        <f>IF($P55="","",IF(SUM($AK$50:$AK$56)=0,0,$P55*INDEX(Reference!$B$108:$B$114,$N55+1)/SUM($AK$50:$AK$56)))</f>
        <v>24.840000000000003</v>
      </c>
      <c r="R55" s="32">
        <f t="shared" si="16"/>
        <v>90</v>
      </c>
      <c r="S55" s="32">
        <f t="shared" si="17"/>
        <v>90</v>
      </c>
      <c r="T55" s="32" t="str">
        <f>IF($A55="","",IF($C55=0,"Bullpen",IF(OR($C55=7,$C55=1,$C55=5),"Recovery/Easy Catch",IF($C55=6,"Compression/Pulldowns",IF(OR($C55=4,$C55=2),"Long Toss",IF($C55=3,"No Throw",IF($N55=2,"No Throw",IF($N55=6,IF($O55&lt;Reference!$B$104,"No Throw","Recovery/Easy Catch"),IF(OR($N55=0,$N55=4),"Recovery/Easy Catch",IF($N55=1,IF($R55&gt;75,"Long Toss","Recovery/Easy Catch"),IF($N55=3,IF($O55&lt;0.5,IF($S55&gt;75,"Long Toss","Recovery/Easy Catch"),"Compression/Pulldowns"),IF($S55&gt;75,"Long Toss","Recovery/Easy Catch"))))))))))))</f>
        <v>Long Toss</v>
      </c>
      <c r="U55" s="32">
        <f t="shared" si="18"/>
        <v>90</v>
      </c>
      <c r="V55" s="32">
        <f t="shared" si="19"/>
        <v>12</v>
      </c>
      <c r="W55" s="32">
        <f t="shared" si="20"/>
        <v>15</v>
      </c>
      <c r="X55" s="32">
        <f t="shared" si="21"/>
        <v>12</v>
      </c>
      <c r="Y55" s="32">
        <f t="shared" si="22"/>
        <v>14</v>
      </c>
      <c r="Z55" s="32">
        <f t="shared" si="23"/>
        <v>18</v>
      </c>
      <c r="AA55" s="32" t="str">
        <f t="shared" si="24"/>
        <v/>
      </c>
      <c r="AB55" s="32">
        <f>IF($A55="","",IF($T55="No Throw",0,IF($K55&lt;&gt;"",$K55,IF($AA55&lt;&gt;"",ROUND($AA55*$D$12*IF($C55=0,1,$G$10),0),MIN(IF($T55="Recovery/Easy Catch",Reference!$B$103,IF($T55="Long Toss",Reference!$B$106,Reference!$B$102)),MAX(Reference!$B$101,ROUND(MAX(0,$Q55-$AE55)/$AF55,0)))))))</f>
        <v>23</v>
      </c>
      <c r="AC55" s="32">
        <f t="shared" si="25"/>
        <v>0</v>
      </c>
      <c r="AD55" s="32" t="b">
        <f t="shared" si="26"/>
        <v>0</v>
      </c>
      <c r="AE55" s="32">
        <f>IF($X55=0,0,$X55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55+$Z55)/2,0),Reference!$A$17:$B$20,2,TRUE()))</f>
        <v>7.1999999999999993</v>
      </c>
      <c r="AF55" s="32">
        <f>IF(OR($A55="",$U55="",$T55="No Throw"),0,$AM55*VLOOKUP(MAX(($V55+$W55)/2,0),Reference!$A$17:$B$20,2,TRUE()))</f>
        <v>0.78</v>
      </c>
      <c r="AG55" s="32">
        <f>IF($AC55=0,0,$AC55*INDEX(Reference!$B$61:$B$62,MATCH("Bullpen",Reference!$A$61:$A$62,0))*VLOOKUP(MAX($D$5-($D$9+$E$9)/2,0),Reference!$A$17:$B$20,2,TRUE()))</f>
        <v>0</v>
      </c>
      <c r="AH55" s="32" t="e">
        <f t="shared" si="27"/>
        <v>#N/A</v>
      </c>
      <c r="AI55" s="32">
        <f>IF($A55="",NA(),Reference!$A$25)</f>
        <v>0.8</v>
      </c>
      <c r="AJ55" s="32">
        <f t="shared" si="28"/>
        <v>1.3</v>
      </c>
      <c r="AK55" s="56">
        <f>IF(OR($A55="",N($C55)&lt;=7,$T55="No Throw",$J55="x"),0,INDEX(Reference!$B$108:$B$114,$N55+1))</f>
        <v>0.27</v>
      </c>
      <c r="AL55" s="32">
        <f t="shared" si="29"/>
        <v>1</v>
      </c>
      <c r="AM55" s="32">
        <f>IF($U55="",0,IF($AL55&gt;1,((IF(1&lt;=$AL55,($AL55-1+3)*(INDEX(Reference!$B$6:$B$11,MIN(5,MATCH(MAX(Reference!$A$6,MIN(Reference!$A$11,MIN($U55,90))),Reference!$A$6:$A$11,1)))+(MAX(Reference!$A$6,MIN(Reference!$A$11,MIN($U55,90)))-INDEX(Reference!$A$6:$A$11,MIN(5,MATCH(MAX(Reference!$A$6,MIN(Reference!$A$11,MIN($U55,90))),Reference!$A$6:$A$11,1))))*(INDEX(Reference!$B$6:$B$11,MIN(5,MATCH(MAX(Reference!$A$6,MIN(Reference!$A$11,MIN($U55,90))),Reference!$A$6:$A$11,1))+1)-INDEX(Reference!$B$6:$B$11,MIN(5,MATCH(MAX(Reference!$A$6,MIN(Reference!$A$11,MIN($U55,90))),Reference!$A$6:$A$11,1))))/(INDEX(Reference!$A$6:$A$11,MIN(5,MATCH(MAX(Reference!$A$6,MIN(Reference!$A$11,MIN($U55,90))),Reference!$A$6:$A$11,1))+1)-INDEX(Reference!$A$6:$A$11,MIN(5,MATCH(MAX(Reference!$A$6,MIN(Reference!$A$11,MIN($U55,90))),Reference!$A$6:$A$11,1))))),0)+IF(2&lt;=$AL55,($AL55-2+3)*(INDEX(Reference!$B$6:$B$11,MIN(5,MATCH(MAX(Reference!$A$6,MIN(Reference!$A$11,MIN($U55,120))),Reference!$A$6:$A$11,1)))+(MAX(Reference!$A$6,MIN(Reference!$A$11,MIN($U55,120)))-INDEX(Reference!$A$6:$A$11,MIN(5,MATCH(MAX(Reference!$A$6,MIN(Reference!$A$11,MIN($U55,120))),Reference!$A$6:$A$11,1))))*(INDEX(Reference!$B$6:$B$11,MIN(5,MATCH(MAX(Reference!$A$6,MIN(Reference!$A$11,MIN($U55,120))),Reference!$A$6:$A$11,1))+1)-INDEX(Reference!$B$6:$B$11,MIN(5,MATCH(MAX(Reference!$A$6,MIN(Reference!$A$11,MIN($U55,120))),Reference!$A$6:$A$11,1))))/(INDEX(Reference!$A$6:$A$11,MIN(5,MATCH(MAX(Reference!$A$6,MIN(Reference!$A$11,MIN($U55,120))),Reference!$A$6:$A$11,1))+1)-INDEX(Reference!$A$6:$A$11,MIN(5,MATCH(MAX(Reference!$A$6,MIN(Reference!$A$11,MIN($U55,120))),Reference!$A$6:$A$11,1))))),0)+IF(3&lt;=$AL55,($AL55-3+3)*(INDEX(Reference!$B$6:$B$11,MIN(5,MATCH(MAX(Reference!$A$6,MIN(Reference!$A$11,MIN($U55,150))),Reference!$A$6:$A$11,1)))+(MAX(Reference!$A$6,MIN(Reference!$A$11,MIN($U55,150)))-INDEX(Reference!$A$6:$A$11,MIN(5,MATCH(MAX(Reference!$A$6,MIN(Reference!$A$11,MIN($U55,150))),Reference!$A$6:$A$11,1))))*(INDEX(Reference!$B$6:$B$11,MIN(5,MATCH(MAX(Reference!$A$6,MIN(Reference!$A$11,MIN($U55,150))),Reference!$A$6:$A$11,1))+1)-INDEX(Reference!$B$6:$B$11,MIN(5,MATCH(MAX(Reference!$A$6,MIN(Reference!$A$11,MIN($U55,150))),Reference!$A$6:$A$11,1))))/(INDEX(Reference!$A$6:$A$11,MIN(5,MATCH(MAX(Reference!$A$6,MIN(Reference!$A$11,MIN($U55,150))),Reference!$A$6:$A$11,1))+1)-INDEX(Reference!$A$6:$A$11,MIN(5,MATCH(MAX(Reference!$A$6,MIN(Reference!$A$11,MIN($U55,150))),Reference!$A$6:$A$11,1))))),0)+IF(4&lt;=$AL55,($AL55-4+3)*(INDEX(Reference!$B$6:$B$11,MIN(5,MATCH(MAX(Reference!$A$6,MIN(Reference!$A$11,MIN($U55,180))),Reference!$A$6:$A$11,1)))+(MAX(Reference!$A$6,MIN(Reference!$A$11,MIN($U55,180)))-INDEX(Reference!$A$6:$A$11,MIN(5,MATCH(MAX(Reference!$A$6,MIN(Reference!$A$11,MIN($U55,180))),Reference!$A$6:$A$11,1))))*(INDEX(Reference!$B$6:$B$11,MIN(5,MATCH(MAX(Reference!$A$6,MIN(Reference!$A$11,MIN($U55,180))),Reference!$A$6:$A$11,1))+1)-INDEX(Reference!$B$6:$B$11,MIN(5,MATCH(MAX(Reference!$A$6,MIN(Reference!$A$11,MIN($U55,180))),Reference!$A$6:$A$11,1))))/(INDEX(Reference!$A$6:$A$11,MIN(5,MATCH(MAX(Reference!$A$6,MIN(Reference!$A$11,MIN($U55,180))),Reference!$A$6:$A$11,1))+1)-INDEX(Reference!$A$6:$A$11,MIN(5,MATCH(MAX(Reference!$A$6,MIN(Reference!$A$11,MIN($U55,180))),Reference!$A$6:$A$11,1))))),0)+IF(5&lt;=$AL55,($AL55-5+3)*(INDEX(Reference!$B$6:$B$11,MIN(5,MATCH(MAX(Reference!$A$6,MIN(Reference!$A$11,MIN($U55,210))),Reference!$A$6:$A$11,1)))+(MAX(Reference!$A$6,MIN(Reference!$A$11,MIN($U55,210)))-INDEX(Reference!$A$6:$A$11,MIN(5,MATCH(MAX(Reference!$A$6,MIN(Reference!$A$11,MIN($U55,210))),Reference!$A$6:$A$11,1))))*(INDEX(Reference!$B$6:$B$11,MIN(5,MATCH(MAX(Reference!$A$6,MIN(Reference!$A$11,MIN($U55,210))),Reference!$A$6:$A$11,1))+1)-INDEX(Reference!$B$6:$B$11,MIN(5,MATCH(MAX(Reference!$A$6,MIN(Reference!$A$11,MIN($U55,210))),Reference!$A$6:$A$11,1))))/(INDEX(Reference!$A$6:$A$11,MIN(5,MATCH(MAX(Reference!$A$6,MIN(Reference!$A$11,MIN($U55,210))),Reference!$A$6:$A$11,1))+1)-INDEX(Reference!$A$6:$A$11,MIN(5,MATCH(MAX(Reference!$A$6,MIN(Reference!$A$11,MIN($U55,210))),Reference!$A$6:$A$11,1))))),0)+IF(6&lt;=$AL55,($AL55-6+3)*(INDEX(Reference!$B$6:$B$11,MIN(5,MATCH(MAX(Reference!$A$6,MIN(Reference!$A$11,MIN($U55,240))),Reference!$A$6:$A$11,1)))+(MAX(Reference!$A$6,MIN(Reference!$A$11,MIN($U55,240)))-INDEX(Reference!$A$6:$A$11,MIN(5,MATCH(MAX(Reference!$A$6,MIN(Reference!$A$11,MIN($U55,240))),Reference!$A$6:$A$11,1))))*(INDEX(Reference!$B$6:$B$11,MIN(5,MATCH(MAX(Reference!$A$6,MIN(Reference!$A$11,MIN($U55,240))),Reference!$A$6:$A$11,1))+1)-INDEX(Reference!$B$6:$B$11,MIN(5,MATCH(MAX(Reference!$A$6,MIN(Reference!$A$11,MIN($U55,240))),Reference!$A$6:$A$11,1))))/(INDEX(Reference!$A$6:$A$11,MIN(5,MATCH(MAX(Reference!$A$6,MIN(Reference!$A$11,MIN($U55,240))),Reference!$A$6:$A$11,1))+1)-INDEX(Reference!$A$6:$A$11,MIN(5,MATCH(MAX(Reference!$A$6,MIN(Reference!$A$11,MIN($U55,240))),Reference!$A$6:$A$11,1))))),0)+IF(7&lt;=$AL55,($AL55-7+3)*(INDEX(Reference!$B$6:$B$11,MIN(5,MATCH(MAX(Reference!$A$6,MIN(Reference!$A$11,MIN($U55,270))),Reference!$A$6:$A$11,1)))+(MAX(Reference!$A$6,MIN(Reference!$A$11,MIN($U55,270)))-INDEX(Reference!$A$6:$A$11,MIN(5,MATCH(MAX(Reference!$A$6,MIN(Reference!$A$11,MIN($U55,270))),Reference!$A$6:$A$11,1))))*(INDEX(Reference!$B$6:$B$11,MIN(5,MATCH(MAX(Reference!$A$6,MIN(Reference!$A$11,MIN($U55,270))),Reference!$A$6:$A$11,1))+1)-INDEX(Reference!$B$6:$B$11,MIN(5,MATCH(MAX(Reference!$A$6,MIN(Reference!$A$11,MIN($U55,270))),Reference!$A$6:$A$11,1))))/(INDEX(Reference!$A$6:$A$11,MIN(5,MATCH(MAX(Reference!$A$6,MIN(Reference!$A$11,MIN($U55,270))),Reference!$A$6:$A$11,1))+1)-INDEX(Reference!$A$6:$A$11,MIN(5,MATCH(MAX(Reference!$A$6,MIN(Reference!$A$11,MIN($U55,270))),Reference!$A$6:$A$11,1))))),0)+IF(8&lt;=$AL55,($AL55-8+3)*(INDEX(Reference!$B$6:$B$11,MIN(5,MATCH(MAX(Reference!$A$6,MIN(Reference!$A$11,MIN($U55,300))),Reference!$A$6:$A$11,1)))+(MAX(Reference!$A$6,MIN(Reference!$A$11,MIN($U55,300)))-INDEX(Reference!$A$6:$A$11,MIN(5,MATCH(MAX(Reference!$A$6,MIN(Reference!$A$11,MIN($U55,300))),Reference!$A$6:$A$11,1))))*(INDEX(Reference!$B$6:$B$11,MIN(5,MATCH(MAX(Reference!$A$6,MIN(Reference!$A$11,MIN($U55,300))),Reference!$A$6:$A$11,1))+1)-INDEX(Reference!$B$6:$B$11,MIN(5,MATCH(MAX(Reference!$A$6,MIN(Reference!$A$11,MIN($U55,300))),Reference!$A$6:$A$11,1))))/(INDEX(Reference!$A$6:$A$11,MIN(5,MATCH(MAX(Reference!$A$6,MIN(Reference!$A$11,MIN($U55,300))),Reference!$A$6:$A$11,1))+1)-INDEX(Reference!$A$6:$A$11,MIN(5,MATCH(MAX(Reference!$A$6,MIN(Reference!$A$11,MIN($U55,300))),Reference!$A$6:$A$11,1))))),0))/($AL55*($AL55+5)/2)),$AN55))</f>
        <v>1.3</v>
      </c>
      <c r="AN55" s="32">
        <f>IF($U55="",0,(INDEX(Reference!$B$6:$B$11,MIN(5,MATCH(MAX(Reference!$A$6,MIN(Reference!$A$11,$U55)),Reference!$A$6:$A$11,1)))+(MAX(Reference!$A$6,MIN(Reference!$A$11,$U55))-INDEX(Reference!$A$6:$A$11,MIN(5,MATCH(MAX(Reference!$A$6,MIN(Reference!$A$11,$U55)),Reference!$A$6:$A$11,1))))*(INDEX(Reference!$B$6:$B$11,MIN(5,MATCH(MAX(Reference!$A$6,MIN(Reference!$A$11,$U55)),Reference!$A$6:$A$11,1))+1)-INDEX(Reference!$B$6:$B$11,MIN(5,MATCH(MAX(Reference!$A$6,MIN(Reference!$A$11,$U55)),Reference!$A$6:$A$11,1))))/(INDEX(Reference!$A$6:$A$11,MIN(5,MATCH(MAX(Reference!$A$6,MIN(Reference!$A$11,$U55)),Reference!$A$6:$A$11,1))+1)-INDEX(Reference!$A$6:$A$11,MIN(5,MATCH(MAX(Reference!$A$6,MIN(Reference!$A$11,$U55)),Reference!$A$6:$A$11,1))))))</f>
        <v>1.3</v>
      </c>
      <c r="AO55" s="37"/>
      <c r="AP55" s="37"/>
      <c r="AQ55" s="37"/>
    </row>
    <row r="56" spans="1:43" x14ac:dyDescent="0.3">
      <c r="A56" s="48">
        <f t="shared" si="5"/>
        <v>46355</v>
      </c>
      <c r="B56" s="32" t="str">
        <f t="shared" si="6"/>
        <v>Sun</v>
      </c>
      <c r="C56" s="32">
        <f t="shared" si="7"/>
        <v>32</v>
      </c>
      <c r="D56" s="32" t="str">
        <f t="shared" si="8"/>
        <v>Base</v>
      </c>
      <c r="E56" s="32" t="str">
        <f t="shared" si="9"/>
        <v>No Throw</v>
      </c>
      <c r="F56" s="32" t="str">
        <f t="shared" si="10"/>
        <v>No Throw</v>
      </c>
      <c r="G56" s="47" t="str">
        <f t="shared" si="11"/>
        <v>Off</v>
      </c>
      <c r="H56" s="30">
        <f t="shared" si="12"/>
        <v>0</v>
      </c>
      <c r="I56" s="46" t="str">
        <f>IF($A56="","",IF(AND($L56&lt;27,$K$12=0),"Building",IFERROR(((SUM($H$50:$H56)+$K$12*IF($L56&lt;6,SUMIFS('Throw Log'!$Q$5:$Q$300,'Throw Log'!$B$5:$B$300,$D$4,'Throw Log'!$A$5:$A$300,"&gt;="&amp;($D$6+$L56-6),'Throw Log'!$A$5:$A$300,"&lt;="&amp;($D$6-1)),0))/7)/((SUM($H$43:$H56)+$K$12*IF($L56&lt;27,SUMIFS('Throw Log'!$Q$5:$Q$300,'Throw Log'!$B$5:$B$300,$D$4,'Throw Log'!$A$5:$A$300,"&gt;="&amp;($D$6+$L56-27),'Throw Log'!$A$5:$A$300,"&lt;="&amp;($D$6-1)),0))/28),"")))</f>
        <v>Building</v>
      </c>
      <c r="J56" s="37"/>
      <c r="K56" s="37"/>
      <c r="L56" s="32">
        <v>13</v>
      </c>
      <c r="M56" s="32">
        <f t="shared" si="13"/>
        <v>2</v>
      </c>
      <c r="N56" s="32">
        <f t="shared" si="14"/>
        <v>6</v>
      </c>
      <c r="O56" s="32">
        <f t="shared" si="15"/>
        <v>0.35135135135135137</v>
      </c>
      <c r="P56" s="32">
        <f>IF(OR($A56="",N($C56)&lt;=7),"",$G$6*$G$9^($M56-1)*IF(AND(MOD($M56,Reference!$B$99)=0,$M56&lt;=$G$5-2),Reference!$B$100,1))</f>
        <v>92</v>
      </c>
      <c r="Q56" s="32">
        <f>IF($P56="","",IF(SUM($AK$50:$AK$56)=0,0,$P56*INDEX(Reference!$B$108:$B$114,$N56+1)/SUM($AK$50:$AK$56)))</f>
        <v>6.44</v>
      </c>
      <c r="R56" s="32">
        <f t="shared" si="16"/>
        <v>90</v>
      </c>
      <c r="S56" s="32">
        <f t="shared" si="17"/>
        <v>90</v>
      </c>
      <c r="T56" s="32" t="str">
        <f>IF($A56="","",IF($C56=0,"Bullpen",IF(OR($C56=7,$C56=1,$C56=5),"Recovery/Easy Catch",IF($C56=6,"Compression/Pulldowns",IF(OR($C56=4,$C56=2),"Long Toss",IF($C56=3,"No Throw",IF($N56=2,"No Throw",IF($N56=6,IF($O56&lt;Reference!$B$104,"No Throw","Recovery/Easy Catch"),IF(OR($N56=0,$N56=4),"Recovery/Easy Catch",IF($N56=1,IF($R56&gt;75,"Long Toss","Recovery/Easy Catch"),IF($N56=3,IF($O56&lt;0.5,IF($S56&gt;75,"Long Toss","Recovery/Easy Catch"),"Compression/Pulldowns"),IF($S56&gt;75,"Long Toss","Recovery/Easy Catch"))))))))))))</f>
        <v>No Throw</v>
      </c>
      <c r="U56" s="32">
        <f t="shared" si="18"/>
        <v>60</v>
      </c>
      <c r="V56" s="32">
        <f t="shared" si="19"/>
        <v>20</v>
      </c>
      <c r="W56" s="32">
        <f t="shared" si="20"/>
        <v>24</v>
      </c>
      <c r="X56" s="32">
        <f t="shared" si="21"/>
        <v>0</v>
      </c>
      <c r="Y56" s="32" t="str">
        <f t="shared" si="22"/>
        <v/>
      </c>
      <c r="Z56" s="32" t="str">
        <f t="shared" si="23"/>
        <v/>
      </c>
      <c r="AA56" s="32" t="str">
        <f t="shared" si="24"/>
        <v/>
      </c>
      <c r="AB56" s="32">
        <f>IF($A56="","",IF($T56="No Throw",0,IF($K56&lt;&gt;"",$K56,IF($AA56&lt;&gt;"",ROUND($AA56*$D$12*IF($C56=0,1,$G$10),0),MIN(IF($T56="Recovery/Easy Catch",Reference!$B$103,IF($T56="Long Toss",Reference!$B$106,Reference!$B$102)),MAX(Reference!$B$101,ROUND(MAX(0,$Q56-$AE56)/$AF56,0)))))))</f>
        <v>0</v>
      </c>
      <c r="AC56" s="32">
        <f t="shared" si="25"/>
        <v>0</v>
      </c>
      <c r="AD56" s="32" t="b">
        <f t="shared" si="26"/>
        <v>1</v>
      </c>
      <c r="AE56" s="32">
        <f>IF($X56=0,0,$X56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56+$Z56)/2,0),Reference!$A$17:$B$20,2,TRUE()))</f>
        <v>0</v>
      </c>
      <c r="AF56" s="32">
        <f>IF(OR($A56="",$U56="",$T56="No Throw"),0,$AM56*VLOOKUP(MAX(($V56+$W56)/2,0),Reference!$A$17:$B$20,2,TRUE()))</f>
        <v>0</v>
      </c>
      <c r="AG56" s="32">
        <f>IF($AC56=0,0,$AC56*INDEX(Reference!$B$61:$B$62,MATCH("Bullpen",Reference!$A$61:$A$62,0))*VLOOKUP(MAX($D$5-($D$9+$E$9)/2,0),Reference!$A$17:$B$20,2,TRUE()))</f>
        <v>0</v>
      </c>
      <c r="AH56" s="32" t="e">
        <f t="shared" si="27"/>
        <v>#N/A</v>
      </c>
      <c r="AI56" s="32">
        <f>IF($A56="",NA(),Reference!$A$25)</f>
        <v>0.8</v>
      </c>
      <c r="AJ56" s="32">
        <f t="shared" si="28"/>
        <v>1.3</v>
      </c>
      <c r="AK56" s="32">
        <f>IF(OR($A56="",N($C56)&lt;=7,$T56="No Throw",$J56="x"),0,INDEX(Reference!$B$108:$B$114,$N56+1))</f>
        <v>0</v>
      </c>
      <c r="AL56" s="32">
        <f t="shared" si="29"/>
        <v>1</v>
      </c>
      <c r="AM56" s="32">
        <f>IF($U56="",0,IF($AL56&gt;1,((IF(1&lt;=$AL56,($AL56-1+3)*(INDEX(Reference!$B$6:$B$11,MIN(5,MATCH(MAX(Reference!$A$6,MIN(Reference!$A$11,MIN($U56,90))),Reference!$A$6:$A$11,1)))+(MAX(Reference!$A$6,MIN(Reference!$A$11,MIN($U56,90)))-INDEX(Reference!$A$6:$A$11,MIN(5,MATCH(MAX(Reference!$A$6,MIN(Reference!$A$11,MIN($U56,90))),Reference!$A$6:$A$11,1))))*(INDEX(Reference!$B$6:$B$11,MIN(5,MATCH(MAX(Reference!$A$6,MIN(Reference!$A$11,MIN($U56,90))),Reference!$A$6:$A$11,1))+1)-INDEX(Reference!$B$6:$B$11,MIN(5,MATCH(MAX(Reference!$A$6,MIN(Reference!$A$11,MIN($U56,90))),Reference!$A$6:$A$11,1))))/(INDEX(Reference!$A$6:$A$11,MIN(5,MATCH(MAX(Reference!$A$6,MIN(Reference!$A$11,MIN($U56,90))),Reference!$A$6:$A$11,1))+1)-INDEX(Reference!$A$6:$A$11,MIN(5,MATCH(MAX(Reference!$A$6,MIN(Reference!$A$11,MIN($U56,90))),Reference!$A$6:$A$11,1))))),0)+IF(2&lt;=$AL56,($AL56-2+3)*(INDEX(Reference!$B$6:$B$11,MIN(5,MATCH(MAX(Reference!$A$6,MIN(Reference!$A$11,MIN($U56,120))),Reference!$A$6:$A$11,1)))+(MAX(Reference!$A$6,MIN(Reference!$A$11,MIN($U56,120)))-INDEX(Reference!$A$6:$A$11,MIN(5,MATCH(MAX(Reference!$A$6,MIN(Reference!$A$11,MIN($U56,120))),Reference!$A$6:$A$11,1))))*(INDEX(Reference!$B$6:$B$11,MIN(5,MATCH(MAX(Reference!$A$6,MIN(Reference!$A$11,MIN($U56,120))),Reference!$A$6:$A$11,1))+1)-INDEX(Reference!$B$6:$B$11,MIN(5,MATCH(MAX(Reference!$A$6,MIN(Reference!$A$11,MIN($U56,120))),Reference!$A$6:$A$11,1))))/(INDEX(Reference!$A$6:$A$11,MIN(5,MATCH(MAX(Reference!$A$6,MIN(Reference!$A$11,MIN($U56,120))),Reference!$A$6:$A$11,1))+1)-INDEX(Reference!$A$6:$A$11,MIN(5,MATCH(MAX(Reference!$A$6,MIN(Reference!$A$11,MIN($U56,120))),Reference!$A$6:$A$11,1))))),0)+IF(3&lt;=$AL56,($AL56-3+3)*(INDEX(Reference!$B$6:$B$11,MIN(5,MATCH(MAX(Reference!$A$6,MIN(Reference!$A$11,MIN($U56,150))),Reference!$A$6:$A$11,1)))+(MAX(Reference!$A$6,MIN(Reference!$A$11,MIN($U56,150)))-INDEX(Reference!$A$6:$A$11,MIN(5,MATCH(MAX(Reference!$A$6,MIN(Reference!$A$11,MIN($U56,150))),Reference!$A$6:$A$11,1))))*(INDEX(Reference!$B$6:$B$11,MIN(5,MATCH(MAX(Reference!$A$6,MIN(Reference!$A$11,MIN($U56,150))),Reference!$A$6:$A$11,1))+1)-INDEX(Reference!$B$6:$B$11,MIN(5,MATCH(MAX(Reference!$A$6,MIN(Reference!$A$11,MIN($U56,150))),Reference!$A$6:$A$11,1))))/(INDEX(Reference!$A$6:$A$11,MIN(5,MATCH(MAX(Reference!$A$6,MIN(Reference!$A$11,MIN($U56,150))),Reference!$A$6:$A$11,1))+1)-INDEX(Reference!$A$6:$A$11,MIN(5,MATCH(MAX(Reference!$A$6,MIN(Reference!$A$11,MIN($U56,150))),Reference!$A$6:$A$11,1))))),0)+IF(4&lt;=$AL56,($AL56-4+3)*(INDEX(Reference!$B$6:$B$11,MIN(5,MATCH(MAX(Reference!$A$6,MIN(Reference!$A$11,MIN($U56,180))),Reference!$A$6:$A$11,1)))+(MAX(Reference!$A$6,MIN(Reference!$A$11,MIN($U56,180)))-INDEX(Reference!$A$6:$A$11,MIN(5,MATCH(MAX(Reference!$A$6,MIN(Reference!$A$11,MIN($U56,180))),Reference!$A$6:$A$11,1))))*(INDEX(Reference!$B$6:$B$11,MIN(5,MATCH(MAX(Reference!$A$6,MIN(Reference!$A$11,MIN($U56,180))),Reference!$A$6:$A$11,1))+1)-INDEX(Reference!$B$6:$B$11,MIN(5,MATCH(MAX(Reference!$A$6,MIN(Reference!$A$11,MIN($U56,180))),Reference!$A$6:$A$11,1))))/(INDEX(Reference!$A$6:$A$11,MIN(5,MATCH(MAX(Reference!$A$6,MIN(Reference!$A$11,MIN($U56,180))),Reference!$A$6:$A$11,1))+1)-INDEX(Reference!$A$6:$A$11,MIN(5,MATCH(MAX(Reference!$A$6,MIN(Reference!$A$11,MIN($U56,180))),Reference!$A$6:$A$11,1))))),0)+IF(5&lt;=$AL56,($AL56-5+3)*(INDEX(Reference!$B$6:$B$11,MIN(5,MATCH(MAX(Reference!$A$6,MIN(Reference!$A$11,MIN($U56,210))),Reference!$A$6:$A$11,1)))+(MAX(Reference!$A$6,MIN(Reference!$A$11,MIN($U56,210)))-INDEX(Reference!$A$6:$A$11,MIN(5,MATCH(MAX(Reference!$A$6,MIN(Reference!$A$11,MIN($U56,210))),Reference!$A$6:$A$11,1))))*(INDEX(Reference!$B$6:$B$11,MIN(5,MATCH(MAX(Reference!$A$6,MIN(Reference!$A$11,MIN($U56,210))),Reference!$A$6:$A$11,1))+1)-INDEX(Reference!$B$6:$B$11,MIN(5,MATCH(MAX(Reference!$A$6,MIN(Reference!$A$11,MIN($U56,210))),Reference!$A$6:$A$11,1))))/(INDEX(Reference!$A$6:$A$11,MIN(5,MATCH(MAX(Reference!$A$6,MIN(Reference!$A$11,MIN($U56,210))),Reference!$A$6:$A$11,1))+1)-INDEX(Reference!$A$6:$A$11,MIN(5,MATCH(MAX(Reference!$A$6,MIN(Reference!$A$11,MIN($U56,210))),Reference!$A$6:$A$11,1))))),0)+IF(6&lt;=$AL56,($AL56-6+3)*(INDEX(Reference!$B$6:$B$11,MIN(5,MATCH(MAX(Reference!$A$6,MIN(Reference!$A$11,MIN($U56,240))),Reference!$A$6:$A$11,1)))+(MAX(Reference!$A$6,MIN(Reference!$A$11,MIN($U56,240)))-INDEX(Reference!$A$6:$A$11,MIN(5,MATCH(MAX(Reference!$A$6,MIN(Reference!$A$11,MIN($U56,240))),Reference!$A$6:$A$11,1))))*(INDEX(Reference!$B$6:$B$11,MIN(5,MATCH(MAX(Reference!$A$6,MIN(Reference!$A$11,MIN($U56,240))),Reference!$A$6:$A$11,1))+1)-INDEX(Reference!$B$6:$B$11,MIN(5,MATCH(MAX(Reference!$A$6,MIN(Reference!$A$11,MIN($U56,240))),Reference!$A$6:$A$11,1))))/(INDEX(Reference!$A$6:$A$11,MIN(5,MATCH(MAX(Reference!$A$6,MIN(Reference!$A$11,MIN($U56,240))),Reference!$A$6:$A$11,1))+1)-INDEX(Reference!$A$6:$A$11,MIN(5,MATCH(MAX(Reference!$A$6,MIN(Reference!$A$11,MIN($U56,240))),Reference!$A$6:$A$11,1))))),0)+IF(7&lt;=$AL56,($AL56-7+3)*(INDEX(Reference!$B$6:$B$11,MIN(5,MATCH(MAX(Reference!$A$6,MIN(Reference!$A$11,MIN($U56,270))),Reference!$A$6:$A$11,1)))+(MAX(Reference!$A$6,MIN(Reference!$A$11,MIN($U56,270)))-INDEX(Reference!$A$6:$A$11,MIN(5,MATCH(MAX(Reference!$A$6,MIN(Reference!$A$11,MIN($U56,270))),Reference!$A$6:$A$11,1))))*(INDEX(Reference!$B$6:$B$11,MIN(5,MATCH(MAX(Reference!$A$6,MIN(Reference!$A$11,MIN($U56,270))),Reference!$A$6:$A$11,1))+1)-INDEX(Reference!$B$6:$B$11,MIN(5,MATCH(MAX(Reference!$A$6,MIN(Reference!$A$11,MIN($U56,270))),Reference!$A$6:$A$11,1))))/(INDEX(Reference!$A$6:$A$11,MIN(5,MATCH(MAX(Reference!$A$6,MIN(Reference!$A$11,MIN($U56,270))),Reference!$A$6:$A$11,1))+1)-INDEX(Reference!$A$6:$A$11,MIN(5,MATCH(MAX(Reference!$A$6,MIN(Reference!$A$11,MIN($U56,270))),Reference!$A$6:$A$11,1))))),0)+IF(8&lt;=$AL56,($AL56-8+3)*(INDEX(Reference!$B$6:$B$11,MIN(5,MATCH(MAX(Reference!$A$6,MIN(Reference!$A$11,MIN($U56,300))),Reference!$A$6:$A$11,1)))+(MAX(Reference!$A$6,MIN(Reference!$A$11,MIN($U56,300)))-INDEX(Reference!$A$6:$A$11,MIN(5,MATCH(MAX(Reference!$A$6,MIN(Reference!$A$11,MIN($U56,300))),Reference!$A$6:$A$11,1))))*(INDEX(Reference!$B$6:$B$11,MIN(5,MATCH(MAX(Reference!$A$6,MIN(Reference!$A$11,MIN($U56,300))),Reference!$A$6:$A$11,1))+1)-INDEX(Reference!$B$6:$B$11,MIN(5,MATCH(MAX(Reference!$A$6,MIN(Reference!$A$11,MIN($U56,300))),Reference!$A$6:$A$11,1))))/(INDEX(Reference!$A$6:$A$11,MIN(5,MATCH(MAX(Reference!$A$6,MIN(Reference!$A$11,MIN($U56,300))),Reference!$A$6:$A$11,1))+1)-INDEX(Reference!$A$6:$A$11,MIN(5,MATCH(MAX(Reference!$A$6,MIN(Reference!$A$11,MIN($U56,300))),Reference!$A$6:$A$11,1))))),0))/($AL56*($AL56+5)/2)),$AN56))</f>
        <v>1</v>
      </c>
      <c r="AN56" s="32">
        <f>IF($U56="",0,(INDEX(Reference!$B$6:$B$11,MIN(5,MATCH(MAX(Reference!$A$6,MIN(Reference!$A$11,$U56)),Reference!$A$6:$A$11,1)))+(MAX(Reference!$A$6,MIN(Reference!$A$11,$U56))-INDEX(Reference!$A$6:$A$11,MIN(5,MATCH(MAX(Reference!$A$6,MIN(Reference!$A$11,$U56)),Reference!$A$6:$A$11,1))))*(INDEX(Reference!$B$6:$B$11,MIN(5,MATCH(MAX(Reference!$A$6,MIN(Reference!$A$11,$U56)),Reference!$A$6:$A$11,1))+1)-INDEX(Reference!$B$6:$B$11,MIN(5,MATCH(MAX(Reference!$A$6,MIN(Reference!$A$11,$U56)),Reference!$A$6:$A$11,1))))/(INDEX(Reference!$A$6:$A$11,MIN(5,MATCH(MAX(Reference!$A$6,MIN(Reference!$A$11,$U56)),Reference!$A$6:$A$11,1))+1)-INDEX(Reference!$A$6:$A$11,MIN(5,MATCH(MAX(Reference!$A$6,MIN(Reference!$A$11,$U56)),Reference!$A$6:$A$11,1))))))</f>
        <v>1</v>
      </c>
      <c r="AO56" s="37"/>
      <c r="AP56" s="37"/>
      <c r="AQ56" s="37"/>
    </row>
    <row r="57" spans="1:43" x14ac:dyDescent="0.3">
      <c r="A57" s="48">
        <f t="shared" si="5"/>
        <v>46356</v>
      </c>
      <c r="B57" s="32" t="str">
        <f t="shared" si="6"/>
        <v>Mon</v>
      </c>
      <c r="C57" s="32">
        <f t="shared" si="7"/>
        <v>31</v>
      </c>
      <c r="D57" s="32" t="str">
        <f t="shared" si="8"/>
        <v>Base</v>
      </c>
      <c r="E57" s="32" t="str">
        <f t="shared" si="9"/>
        <v>Low</v>
      </c>
      <c r="F57" s="32" t="str">
        <f t="shared" si="10"/>
        <v>Recovery/Easy Catch</v>
      </c>
      <c r="G57" s="47" t="str">
        <f t="shared" si="11"/>
        <v>75 ft × 20 @ 66–70 mph</v>
      </c>
      <c r="H57" s="30">
        <f t="shared" si="12"/>
        <v>13.799999999999999</v>
      </c>
      <c r="I57" s="46" t="str">
        <f>IF($A57="","",IF(AND($L57&lt;27,$K$12=0),"Building",IFERROR(((SUM($H$51:$H57)+$K$12*IF($L57&lt;6,SUMIFS('Throw Log'!$Q$5:$Q$300,'Throw Log'!$B$5:$B$300,$D$4,'Throw Log'!$A$5:$A$300,"&gt;="&amp;($D$6+$L57-6),'Throw Log'!$A$5:$A$300,"&lt;="&amp;($D$6-1)),0))/7)/((SUM($H$43:$H57)+$K$12*IF($L57&lt;27,SUMIFS('Throw Log'!$Q$5:$Q$300,'Throw Log'!$B$5:$B$300,$D$4,'Throw Log'!$A$5:$A$300,"&gt;="&amp;($D$6+$L57-27),'Throw Log'!$A$5:$A$300,"&lt;="&amp;($D$6-1)),0))/28),"")))</f>
        <v>Building</v>
      </c>
      <c r="J57" s="37"/>
      <c r="K57" s="37"/>
      <c r="L57" s="32">
        <v>14</v>
      </c>
      <c r="M57" s="32">
        <f t="shared" si="13"/>
        <v>3</v>
      </c>
      <c r="N57" s="32">
        <f t="shared" si="14"/>
        <v>0</v>
      </c>
      <c r="O57" s="32">
        <f t="shared" si="15"/>
        <v>0.3783783783783784</v>
      </c>
      <c r="P57" s="32">
        <f>IF(OR($A57="",N($C57)&lt;=7),"",$G$6*$G$9^($M57-1)*IF(AND(MOD($M57,Reference!$B$99)=0,$M57&lt;=$G$5-2),Reference!$B$100,1))</f>
        <v>105.79999999999998</v>
      </c>
      <c r="Q57" s="32">
        <f>IF($P57="","",IF(SUM($AK$57:$AK$63)=0,0,$P57*INDEX(Reference!$B$108:$B$114,$N57+1)/SUM($AK$57:$AK$63)))</f>
        <v>12.695999999999998</v>
      </c>
      <c r="R57" s="32">
        <f t="shared" si="16"/>
        <v>90</v>
      </c>
      <c r="S57" s="32">
        <f t="shared" si="17"/>
        <v>90</v>
      </c>
      <c r="T57" s="32" t="str">
        <f>IF($A57="","",IF($C57=0,"Bullpen",IF(OR($C57=7,$C57=1,$C57=5),"Recovery/Easy Catch",IF($C57=6,"Compression/Pulldowns",IF(OR($C57=4,$C57=2),"Long Toss",IF($C57=3,"No Throw",IF($N57=2,"No Throw",IF($N57=6,IF($O57&lt;Reference!$B$104,"No Throw","Recovery/Easy Catch"),IF(OR($N57=0,$N57=4),"Recovery/Easy Catch",IF($N57=1,IF($R57&gt;75,"Long Toss","Recovery/Easy Catch"),IF($N57=3,IF($O57&lt;0.5,IF($S57&gt;75,"Long Toss","Recovery/Easy Catch"),"Compression/Pulldowns"),IF($S57&gt;75,"Long Toss","Recovery/Easy Catch"))))))))))))</f>
        <v>Recovery/Easy Catch</v>
      </c>
      <c r="U57" s="32">
        <f t="shared" si="18"/>
        <v>75</v>
      </c>
      <c r="V57" s="32">
        <f t="shared" si="19"/>
        <v>18</v>
      </c>
      <c r="W57" s="32">
        <f t="shared" si="20"/>
        <v>22</v>
      </c>
      <c r="X57" s="32">
        <f t="shared" si="21"/>
        <v>0</v>
      </c>
      <c r="Y57" s="32" t="str">
        <f t="shared" si="22"/>
        <v/>
      </c>
      <c r="Z57" s="32" t="str">
        <f t="shared" si="23"/>
        <v/>
      </c>
      <c r="AA57" s="32" t="str">
        <f t="shared" si="24"/>
        <v/>
      </c>
      <c r="AB57" s="32">
        <f>IF($A57="","",IF($T57="No Throw",0,IF($K57&lt;&gt;"",$K57,IF($AA57&lt;&gt;"",ROUND($AA57*$D$12*IF($C57=0,1,$G$10),0),MIN(IF($T57="Recovery/Easy Catch",Reference!$B$103,IF($T57="Long Toss",Reference!$B$106,Reference!$B$102)),MAX(Reference!$B$101,ROUND(MAX(0,$Q57-$AE57)/$AF57,0)))))))</f>
        <v>20</v>
      </c>
      <c r="AC57" s="32">
        <f t="shared" si="25"/>
        <v>0</v>
      </c>
      <c r="AD57" s="32" t="b">
        <f t="shared" si="26"/>
        <v>0</v>
      </c>
      <c r="AE57" s="32">
        <f>IF($X57=0,0,$X57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57+$Z57)/2,0),Reference!$A$17:$B$20,2,TRUE()))</f>
        <v>0</v>
      </c>
      <c r="AF57" s="32">
        <f>IF(OR($A57="",$U57="",$T57="No Throw"),0,$AM57*VLOOKUP(MAX(($V57+$W57)/2,0),Reference!$A$17:$B$20,2,TRUE()))</f>
        <v>0.69</v>
      </c>
      <c r="AG57" s="32">
        <f>IF($AC57=0,0,$AC57*INDEX(Reference!$B$61:$B$62,MATCH("Bullpen",Reference!$A$61:$A$62,0))*VLOOKUP(MAX($D$5-($D$9+$E$9)/2,0),Reference!$A$17:$B$20,2,TRUE()))</f>
        <v>0</v>
      </c>
      <c r="AH57" s="32" t="e">
        <f t="shared" si="27"/>
        <v>#N/A</v>
      </c>
      <c r="AI57" s="32">
        <f>IF($A57="",NA(),Reference!$A$25)</f>
        <v>0.8</v>
      </c>
      <c r="AJ57" s="32">
        <f t="shared" si="28"/>
        <v>1.3</v>
      </c>
      <c r="AK57" s="56">
        <f>IF(OR($A57="",N($C57)&lt;=7,$T57="No Throw",$J57="x"),0,INDEX(Reference!$B$108:$B$114,$N57+1))</f>
        <v>0.12</v>
      </c>
      <c r="AL57" s="32">
        <f t="shared" si="29"/>
        <v>1</v>
      </c>
      <c r="AM57" s="32">
        <f>IF($U57="",0,IF($AL57&gt;1,((IF(1&lt;=$AL57,($AL57-1+3)*(INDEX(Reference!$B$6:$B$11,MIN(5,MATCH(MAX(Reference!$A$6,MIN(Reference!$A$11,MIN($U57,90))),Reference!$A$6:$A$11,1)))+(MAX(Reference!$A$6,MIN(Reference!$A$11,MIN($U57,90)))-INDEX(Reference!$A$6:$A$11,MIN(5,MATCH(MAX(Reference!$A$6,MIN(Reference!$A$11,MIN($U57,90))),Reference!$A$6:$A$11,1))))*(INDEX(Reference!$B$6:$B$11,MIN(5,MATCH(MAX(Reference!$A$6,MIN(Reference!$A$11,MIN($U57,90))),Reference!$A$6:$A$11,1))+1)-INDEX(Reference!$B$6:$B$11,MIN(5,MATCH(MAX(Reference!$A$6,MIN(Reference!$A$11,MIN($U57,90))),Reference!$A$6:$A$11,1))))/(INDEX(Reference!$A$6:$A$11,MIN(5,MATCH(MAX(Reference!$A$6,MIN(Reference!$A$11,MIN($U57,90))),Reference!$A$6:$A$11,1))+1)-INDEX(Reference!$A$6:$A$11,MIN(5,MATCH(MAX(Reference!$A$6,MIN(Reference!$A$11,MIN($U57,90))),Reference!$A$6:$A$11,1))))),0)+IF(2&lt;=$AL57,($AL57-2+3)*(INDEX(Reference!$B$6:$B$11,MIN(5,MATCH(MAX(Reference!$A$6,MIN(Reference!$A$11,MIN($U57,120))),Reference!$A$6:$A$11,1)))+(MAX(Reference!$A$6,MIN(Reference!$A$11,MIN($U57,120)))-INDEX(Reference!$A$6:$A$11,MIN(5,MATCH(MAX(Reference!$A$6,MIN(Reference!$A$11,MIN($U57,120))),Reference!$A$6:$A$11,1))))*(INDEX(Reference!$B$6:$B$11,MIN(5,MATCH(MAX(Reference!$A$6,MIN(Reference!$A$11,MIN($U57,120))),Reference!$A$6:$A$11,1))+1)-INDEX(Reference!$B$6:$B$11,MIN(5,MATCH(MAX(Reference!$A$6,MIN(Reference!$A$11,MIN($U57,120))),Reference!$A$6:$A$11,1))))/(INDEX(Reference!$A$6:$A$11,MIN(5,MATCH(MAX(Reference!$A$6,MIN(Reference!$A$11,MIN($U57,120))),Reference!$A$6:$A$11,1))+1)-INDEX(Reference!$A$6:$A$11,MIN(5,MATCH(MAX(Reference!$A$6,MIN(Reference!$A$11,MIN($U57,120))),Reference!$A$6:$A$11,1))))),0)+IF(3&lt;=$AL57,($AL57-3+3)*(INDEX(Reference!$B$6:$B$11,MIN(5,MATCH(MAX(Reference!$A$6,MIN(Reference!$A$11,MIN($U57,150))),Reference!$A$6:$A$11,1)))+(MAX(Reference!$A$6,MIN(Reference!$A$11,MIN($U57,150)))-INDEX(Reference!$A$6:$A$11,MIN(5,MATCH(MAX(Reference!$A$6,MIN(Reference!$A$11,MIN($U57,150))),Reference!$A$6:$A$11,1))))*(INDEX(Reference!$B$6:$B$11,MIN(5,MATCH(MAX(Reference!$A$6,MIN(Reference!$A$11,MIN($U57,150))),Reference!$A$6:$A$11,1))+1)-INDEX(Reference!$B$6:$B$11,MIN(5,MATCH(MAX(Reference!$A$6,MIN(Reference!$A$11,MIN($U57,150))),Reference!$A$6:$A$11,1))))/(INDEX(Reference!$A$6:$A$11,MIN(5,MATCH(MAX(Reference!$A$6,MIN(Reference!$A$11,MIN($U57,150))),Reference!$A$6:$A$11,1))+1)-INDEX(Reference!$A$6:$A$11,MIN(5,MATCH(MAX(Reference!$A$6,MIN(Reference!$A$11,MIN($U57,150))),Reference!$A$6:$A$11,1))))),0)+IF(4&lt;=$AL57,($AL57-4+3)*(INDEX(Reference!$B$6:$B$11,MIN(5,MATCH(MAX(Reference!$A$6,MIN(Reference!$A$11,MIN($U57,180))),Reference!$A$6:$A$11,1)))+(MAX(Reference!$A$6,MIN(Reference!$A$11,MIN($U57,180)))-INDEX(Reference!$A$6:$A$11,MIN(5,MATCH(MAX(Reference!$A$6,MIN(Reference!$A$11,MIN($U57,180))),Reference!$A$6:$A$11,1))))*(INDEX(Reference!$B$6:$B$11,MIN(5,MATCH(MAX(Reference!$A$6,MIN(Reference!$A$11,MIN($U57,180))),Reference!$A$6:$A$11,1))+1)-INDEX(Reference!$B$6:$B$11,MIN(5,MATCH(MAX(Reference!$A$6,MIN(Reference!$A$11,MIN($U57,180))),Reference!$A$6:$A$11,1))))/(INDEX(Reference!$A$6:$A$11,MIN(5,MATCH(MAX(Reference!$A$6,MIN(Reference!$A$11,MIN($U57,180))),Reference!$A$6:$A$11,1))+1)-INDEX(Reference!$A$6:$A$11,MIN(5,MATCH(MAX(Reference!$A$6,MIN(Reference!$A$11,MIN($U57,180))),Reference!$A$6:$A$11,1))))),0)+IF(5&lt;=$AL57,($AL57-5+3)*(INDEX(Reference!$B$6:$B$11,MIN(5,MATCH(MAX(Reference!$A$6,MIN(Reference!$A$11,MIN($U57,210))),Reference!$A$6:$A$11,1)))+(MAX(Reference!$A$6,MIN(Reference!$A$11,MIN($U57,210)))-INDEX(Reference!$A$6:$A$11,MIN(5,MATCH(MAX(Reference!$A$6,MIN(Reference!$A$11,MIN($U57,210))),Reference!$A$6:$A$11,1))))*(INDEX(Reference!$B$6:$B$11,MIN(5,MATCH(MAX(Reference!$A$6,MIN(Reference!$A$11,MIN($U57,210))),Reference!$A$6:$A$11,1))+1)-INDEX(Reference!$B$6:$B$11,MIN(5,MATCH(MAX(Reference!$A$6,MIN(Reference!$A$11,MIN($U57,210))),Reference!$A$6:$A$11,1))))/(INDEX(Reference!$A$6:$A$11,MIN(5,MATCH(MAX(Reference!$A$6,MIN(Reference!$A$11,MIN($U57,210))),Reference!$A$6:$A$11,1))+1)-INDEX(Reference!$A$6:$A$11,MIN(5,MATCH(MAX(Reference!$A$6,MIN(Reference!$A$11,MIN($U57,210))),Reference!$A$6:$A$11,1))))),0)+IF(6&lt;=$AL57,($AL57-6+3)*(INDEX(Reference!$B$6:$B$11,MIN(5,MATCH(MAX(Reference!$A$6,MIN(Reference!$A$11,MIN($U57,240))),Reference!$A$6:$A$11,1)))+(MAX(Reference!$A$6,MIN(Reference!$A$11,MIN($U57,240)))-INDEX(Reference!$A$6:$A$11,MIN(5,MATCH(MAX(Reference!$A$6,MIN(Reference!$A$11,MIN($U57,240))),Reference!$A$6:$A$11,1))))*(INDEX(Reference!$B$6:$B$11,MIN(5,MATCH(MAX(Reference!$A$6,MIN(Reference!$A$11,MIN($U57,240))),Reference!$A$6:$A$11,1))+1)-INDEX(Reference!$B$6:$B$11,MIN(5,MATCH(MAX(Reference!$A$6,MIN(Reference!$A$11,MIN($U57,240))),Reference!$A$6:$A$11,1))))/(INDEX(Reference!$A$6:$A$11,MIN(5,MATCH(MAX(Reference!$A$6,MIN(Reference!$A$11,MIN($U57,240))),Reference!$A$6:$A$11,1))+1)-INDEX(Reference!$A$6:$A$11,MIN(5,MATCH(MAX(Reference!$A$6,MIN(Reference!$A$11,MIN($U57,240))),Reference!$A$6:$A$11,1))))),0)+IF(7&lt;=$AL57,($AL57-7+3)*(INDEX(Reference!$B$6:$B$11,MIN(5,MATCH(MAX(Reference!$A$6,MIN(Reference!$A$11,MIN($U57,270))),Reference!$A$6:$A$11,1)))+(MAX(Reference!$A$6,MIN(Reference!$A$11,MIN($U57,270)))-INDEX(Reference!$A$6:$A$11,MIN(5,MATCH(MAX(Reference!$A$6,MIN(Reference!$A$11,MIN($U57,270))),Reference!$A$6:$A$11,1))))*(INDEX(Reference!$B$6:$B$11,MIN(5,MATCH(MAX(Reference!$A$6,MIN(Reference!$A$11,MIN($U57,270))),Reference!$A$6:$A$11,1))+1)-INDEX(Reference!$B$6:$B$11,MIN(5,MATCH(MAX(Reference!$A$6,MIN(Reference!$A$11,MIN($U57,270))),Reference!$A$6:$A$11,1))))/(INDEX(Reference!$A$6:$A$11,MIN(5,MATCH(MAX(Reference!$A$6,MIN(Reference!$A$11,MIN($U57,270))),Reference!$A$6:$A$11,1))+1)-INDEX(Reference!$A$6:$A$11,MIN(5,MATCH(MAX(Reference!$A$6,MIN(Reference!$A$11,MIN($U57,270))),Reference!$A$6:$A$11,1))))),0)+IF(8&lt;=$AL57,($AL57-8+3)*(INDEX(Reference!$B$6:$B$11,MIN(5,MATCH(MAX(Reference!$A$6,MIN(Reference!$A$11,MIN($U57,300))),Reference!$A$6:$A$11,1)))+(MAX(Reference!$A$6,MIN(Reference!$A$11,MIN($U57,300)))-INDEX(Reference!$A$6:$A$11,MIN(5,MATCH(MAX(Reference!$A$6,MIN(Reference!$A$11,MIN($U57,300))),Reference!$A$6:$A$11,1))))*(INDEX(Reference!$B$6:$B$11,MIN(5,MATCH(MAX(Reference!$A$6,MIN(Reference!$A$11,MIN($U57,300))),Reference!$A$6:$A$11,1))+1)-INDEX(Reference!$B$6:$B$11,MIN(5,MATCH(MAX(Reference!$A$6,MIN(Reference!$A$11,MIN($U57,300))),Reference!$A$6:$A$11,1))))/(INDEX(Reference!$A$6:$A$11,MIN(5,MATCH(MAX(Reference!$A$6,MIN(Reference!$A$11,MIN($U57,300))),Reference!$A$6:$A$11,1))+1)-INDEX(Reference!$A$6:$A$11,MIN(5,MATCH(MAX(Reference!$A$6,MIN(Reference!$A$11,MIN($U57,300))),Reference!$A$6:$A$11,1))))),0))/($AL57*($AL57+5)/2)),$AN57))</f>
        <v>1.1499999999999999</v>
      </c>
      <c r="AN57" s="32">
        <f>IF($U57="",0,(INDEX(Reference!$B$6:$B$11,MIN(5,MATCH(MAX(Reference!$A$6,MIN(Reference!$A$11,$U57)),Reference!$A$6:$A$11,1)))+(MAX(Reference!$A$6,MIN(Reference!$A$11,$U57))-INDEX(Reference!$A$6:$A$11,MIN(5,MATCH(MAX(Reference!$A$6,MIN(Reference!$A$11,$U57)),Reference!$A$6:$A$11,1))))*(INDEX(Reference!$B$6:$B$11,MIN(5,MATCH(MAX(Reference!$A$6,MIN(Reference!$A$11,$U57)),Reference!$A$6:$A$11,1))+1)-INDEX(Reference!$B$6:$B$11,MIN(5,MATCH(MAX(Reference!$A$6,MIN(Reference!$A$11,$U57)),Reference!$A$6:$A$11,1))))/(INDEX(Reference!$A$6:$A$11,MIN(5,MATCH(MAX(Reference!$A$6,MIN(Reference!$A$11,$U57)),Reference!$A$6:$A$11,1))+1)-INDEX(Reference!$A$6:$A$11,MIN(5,MATCH(MAX(Reference!$A$6,MIN(Reference!$A$11,$U57)),Reference!$A$6:$A$11,1))))))</f>
        <v>1.1499999999999999</v>
      </c>
      <c r="AO57" s="37"/>
      <c r="AP57" s="37"/>
      <c r="AQ57" s="37"/>
    </row>
    <row r="58" spans="1:43" x14ac:dyDescent="0.3">
      <c r="A58" s="48">
        <f t="shared" si="5"/>
        <v>46357</v>
      </c>
      <c r="B58" s="32" t="str">
        <f t="shared" si="6"/>
        <v>Tue</v>
      </c>
      <c r="C58" s="32">
        <f t="shared" si="7"/>
        <v>30</v>
      </c>
      <c r="D58" s="32" t="str">
        <f t="shared" si="8"/>
        <v>Base</v>
      </c>
      <c r="E58" s="32" t="str">
        <f t="shared" si="9"/>
        <v>Medium</v>
      </c>
      <c r="F58" s="32" t="str">
        <f t="shared" si="10"/>
        <v>Long Toss</v>
      </c>
      <c r="G58" s="47" t="str">
        <f t="shared" si="11"/>
        <v>90 ft × 29 @ 72–75 mph + 60 ft × 10 @ 70–74 mph</v>
      </c>
      <c r="H58" s="30">
        <f t="shared" si="12"/>
        <v>28.62</v>
      </c>
      <c r="I58" s="46" t="str">
        <f>IF($A58="","",IF(AND($L58&lt;27,$K$12=0),"Building",IFERROR(((SUM($H$52:$H58)+$K$12*IF($L58&lt;6,SUMIFS('Throw Log'!$Q$5:$Q$300,'Throw Log'!$B$5:$B$300,$D$4,'Throw Log'!$A$5:$A$300,"&gt;="&amp;($D$6+$L58-6),'Throw Log'!$A$5:$A$300,"&lt;="&amp;($D$6-1)),0))/7)/((SUM($H$43:$H58)+$K$12*IF($L58&lt;27,SUMIFS('Throw Log'!$Q$5:$Q$300,'Throw Log'!$B$5:$B$300,$D$4,'Throw Log'!$A$5:$A$300,"&gt;="&amp;($D$6+$L58-27),'Throw Log'!$A$5:$A$300,"&lt;="&amp;($D$6-1)),0))/28),"")))</f>
        <v>Building</v>
      </c>
      <c r="J58" s="37"/>
      <c r="K58" s="37"/>
      <c r="L58" s="32">
        <v>15</v>
      </c>
      <c r="M58" s="32">
        <f t="shared" si="13"/>
        <v>3</v>
      </c>
      <c r="N58" s="32">
        <f t="shared" si="14"/>
        <v>1</v>
      </c>
      <c r="O58" s="32">
        <f t="shared" si="15"/>
        <v>0.40540540540540543</v>
      </c>
      <c r="P58" s="32">
        <f>IF(OR($A58="",N($C58)&lt;=7),"",$G$6*$G$9^($M58-1)*IF(AND(MOD($M58,Reference!$B$99)=0,$M58&lt;=$G$5-2),Reference!$B$100,1))</f>
        <v>105.79999999999998</v>
      </c>
      <c r="Q58" s="32">
        <f>IF($P58="","",IF(SUM($AK$57:$AK$63)=0,0,$P58*INDEX(Reference!$B$108:$B$114,$N58+1)/SUM($AK$57:$AK$63)))</f>
        <v>28.565999999999999</v>
      </c>
      <c r="R58" s="32">
        <f t="shared" si="16"/>
        <v>90</v>
      </c>
      <c r="S58" s="32">
        <f t="shared" si="17"/>
        <v>90</v>
      </c>
      <c r="T58" s="32" t="str">
        <f>IF($A58="","",IF($C58=0,"Bullpen",IF(OR($C58=7,$C58=1,$C58=5),"Recovery/Easy Catch",IF($C58=6,"Compression/Pulldowns",IF(OR($C58=4,$C58=2),"Long Toss",IF($C58=3,"No Throw",IF($N58=2,"No Throw",IF($N58=6,IF($O58&lt;Reference!$B$104,"No Throw","Recovery/Easy Catch"),IF(OR($N58=0,$N58=4),"Recovery/Easy Catch",IF($N58=1,IF($R58&gt;75,"Long Toss","Recovery/Easy Catch"),IF($N58=3,IF($O58&lt;0.5,IF($S58&gt;75,"Long Toss","Recovery/Easy Catch"),"Compression/Pulldowns"),IF($S58&gt;75,"Long Toss","Recovery/Easy Catch"))))))))))))</f>
        <v>Long Toss</v>
      </c>
      <c r="U58" s="32">
        <f t="shared" si="18"/>
        <v>90</v>
      </c>
      <c r="V58" s="32">
        <f t="shared" si="19"/>
        <v>13</v>
      </c>
      <c r="W58" s="32">
        <f t="shared" si="20"/>
        <v>16</v>
      </c>
      <c r="X58" s="32">
        <f t="shared" si="21"/>
        <v>10</v>
      </c>
      <c r="Y58" s="32">
        <f t="shared" si="22"/>
        <v>14</v>
      </c>
      <c r="Z58" s="32">
        <f t="shared" si="23"/>
        <v>18</v>
      </c>
      <c r="AA58" s="32" t="str">
        <f t="shared" si="24"/>
        <v/>
      </c>
      <c r="AB58" s="32">
        <f>IF($A58="","",IF($T58="No Throw",0,IF($K58&lt;&gt;"",$K58,IF($AA58&lt;&gt;"",ROUND($AA58*$D$12*IF($C58=0,1,$G$10),0),MIN(IF($T58="Recovery/Easy Catch",Reference!$B$103,IF($T58="Long Toss",Reference!$B$106,Reference!$B$102)),MAX(Reference!$B$101,ROUND(MAX(0,$Q58-$AE58)/$AF58,0)))))))</f>
        <v>29</v>
      </c>
      <c r="AC58" s="32">
        <f t="shared" si="25"/>
        <v>0</v>
      </c>
      <c r="AD58" s="32" t="b">
        <f t="shared" si="26"/>
        <v>0</v>
      </c>
      <c r="AE58" s="32">
        <f>IF($X58=0,0,$X58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58+$Z58)/2,0),Reference!$A$17:$B$20,2,TRUE()))</f>
        <v>6</v>
      </c>
      <c r="AF58" s="32">
        <f>IF(OR($A58="",$U58="",$T58="No Throw"),0,$AM58*VLOOKUP(MAX(($V58+$W58)/2,0),Reference!$A$17:$B$20,2,TRUE()))</f>
        <v>0.78</v>
      </c>
      <c r="AG58" s="32">
        <f>IF($AC58=0,0,$AC58*INDEX(Reference!$B$61:$B$62,MATCH("Bullpen",Reference!$A$61:$A$62,0))*VLOOKUP(MAX($D$5-($D$9+$E$9)/2,0),Reference!$A$17:$B$20,2,TRUE()))</f>
        <v>0</v>
      </c>
      <c r="AH58" s="32" t="e">
        <f t="shared" si="27"/>
        <v>#N/A</v>
      </c>
      <c r="AI58" s="32">
        <f>IF($A58="",NA(),Reference!$A$25)</f>
        <v>0.8</v>
      </c>
      <c r="AJ58" s="32">
        <f t="shared" si="28"/>
        <v>1.3</v>
      </c>
      <c r="AK58" s="56">
        <f>IF(OR($A58="",N($C58)&lt;=7,$T58="No Throw",$J58="x"),0,INDEX(Reference!$B$108:$B$114,$N58+1))</f>
        <v>0.27</v>
      </c>
      <c r="AL58" s="32">
        <f t="shared" si="29"/>
        <v>1</v>
      </c>
      <c r="AM58" s="32">
        <f>IF($U58="",0,IF($AL58&gt;1,((IF(1&lt;=$AL58,($AL58-1+3)*(INDEX(Reference!$B$6:$B$11,MIN(5,MATCH(MAX(Reference!$A$6,MIN(Reference!$A$11,MIN($U58,90))),Reference!$A$6:$A$11,1)))+(MAX(Reference!$A$6,MIN(Reference!$A$11,MIN($U58,90)))-INDEX(Reference!$A$6:$A$11,MIN(5,MATCH(MAX(Reference!$A$6,MIN(Reference!$A$11,MIN($U58,90))),Reference!$A$6:$A$11,1))))*(INDEX(Reference!$B$6:$B$11,MIN(5,MATCH(MAX(Reference!$A$6,MIN(Reference!$A$11,MIN($U58,90))),Reference!$A$6:$A$11,1))+1)-INDEX(Reference!$B$6:$B$11,MIN(5,MATCH(MAX(Reference!$A$6,MIN(Reference!$A$11,MIN($U58,90))),Reference!$A$6:$A$11,1))))/(INDEX(Reference!$A$6:$A$11,MIN(5,MATCH(MAX(Reference!$A$6,MIN(Reference!$A$11,MIN($U58,90))),Reference!$A$6:$A$11,1))+1)-INDEX(Reference!$A$6:$A$11,MIN(5,MATCH(MAX(Reference!$A$6,MIN(Reference!$A$11,MIN($U58,90))),Reference!$A$6:$A$11,1))))),0)+IF(2&lt;=$AL58,($AL58-2+3)*(INDEX(Reference!$B$6:$B$11,MIN(5,MATCH(MAX(Reference!$A$6,MIN(Reference!$A$11,MIN($U58,120))),Reference!$A$6:$A$11,1)))+(MAX(Reference!$A$6,MIN(Reference!$A$11,MIN($U58,120)))-INDEX(Reference!$A$6:$A$11,MIN(5,MATCH(MAX(Reference!$A$6,MIN(Reference!$A$11,MIN($U58,120))),Reference!$A$6:$A$11,1))))*(INDEX(Reference!$B$6:$B$11,MIN(5,MATCH(MAX(Reference!$A$6,MIN(Reference!$A$11,MIN($U58,120))),Reference!$A$6:$A$11,1))+1)-INDEX(Reference!$B$6:$B$11,MIN(5,MATCH(MAX(Reference!$A$6,MIN(Reference!$A$11,MIN($U58,120))),Reference!$A$6:$A$11,1))))/(INDEX(Reference!$A$6:$A$11,MIN(5,MATCH(MAX(Reference!$A$6,MIN(Reference!$A$11,MIN($U58,120))),Reference!$A$6:$A$11,1))+1)-INDEX(Reference!$A$6:$A$11,MIN(5,MATCH(MAX(Reference!$A$6,MIN(Reference!$A$11,MIN($U58,120))),Reference!$A$6:$A$11,1))))),0)+IF(3&lt;=$AL58,($AL58-3+3)*(INDEX(Reference!$B$6:$B$11,MIN(5,MATCH(MAX(Reference!$A$6,MIN(Reference!$A$11,MIN($U58,150))),Reference!$A$6:$A$11,1)))+(MAX(Reference!$A$6,MIN(Reference!$A$11,MIN($U58,150)))-INDEX(Reference!$A$6:$A$11,MIN(5,MATCH(MAX(Reference!$A$6,MIN(Reference!$A$11,MIN($U58,150))),Reference!$A$6:$A$11,1))))*(INDEX(Reference!$B$6:$B$11,MIN(5,MATCH(MAX(Reference!$A$6,MIN(Reference!$A$11,MIN($U58,150))),Reference!$A$6:$A$11,1))+1)-INDEX(Reference!$B$6:$B$11,MIN(5,MATCH(MAX(Reference!$A$6,MIN(Reference!$A$11,MIN($U58,150))),Reference!$A$6:$A$11,1))))/(INDEX(Reference!$A$6:$A$11,MIN(5,MATCH(MAX(Reference!$A$6,MIN(Reference!$A$11,MIN($U58,150))),Reference!$A$6:$A$11,1))+1)-INDEX(Reference!$A$6:$A$11,MIN(5,MATCH(MAX(Reference!$A$6,MIN(Reference!$A$11,MIN($U58,150))),Reference!$A$6:$A$11,1))))),0)+IF(4&lt;=$AL58,($AL58-4+3)*(INDEX(Reference!$B$6:$B$11,MIN(5,MATCH(MAX(Reference!$A$6,MIN(Reference!$A$11,MIN($U58,180))),Reference!$A$6:$A$11,1)))+(MAX(Reference!$A$6,MIN(Reference!$A$11,MIN($U58,180)))-INDEX(Reference!$A$6:$A$11,MIN(5,MATCH(MAX(Reference!$A$6,MIN(Reference!$A$11,MIN($U58,180))),Reference!$A$6:$A$11,1))))*(INDEX(Reference!$B$6:$B$11,MIN(5,MATCH(MAX(Reference!$A$6,MIN(Reference!$A$11,MIN($U58,180))),Reference!$A$6:$A$11,1))+1)-INDEX(Reference!$B$6:$B$11,MIN(5,MATCH(MAX(Reference!$A$6,MIN(Reference!$A$11,MIN($U58,180))),Reference!$A$6:$A$11,1))))/(INDEX(Reference!$A$6:$A$11,MIN(5,MATCH(MAX(Reference!$A$6,MIN(Reference!$A$11,MIN($U58,180))),Reference!$A$6:$A$11,1))+1)-INDEX(Reference!$A$6:$A$11,MIN(5,MATCH(MAX(Reference!$A$6,MIN(Reference!$A$11,MIN($U58,180))),Reference!$A$6:$A$11,1))))),0)+IF(5&lt;=$AL58,($AL58-5+3)*(INDEX(Reference!$B$6:$B$11,MIN(5,MATCH(MAX(Reference!$A$6,MIN(Reference!$A$11,MIN($U58,210))),Reference!$A$6:$A$11,1)))+(MAX(Reference!$A$6,MIN(Reference!$A$11,MIN($U58,210)))-INDEX(Reference!$A$6:$A$11,MIN(5,MATCH(MAX(Reference!$A$6,MIN(Reference!$A$11,MIN($U58,210))),Reference!$A$6:$A$11,1))))*(INDEX(Reference!$B$6:$B$11,MIN(5,MATCH(MAX(Reference!$A$6,MIN(Reference!$A$11,MIN($U58,210))),Reference!$A$6:$A$11,1))+1)-INDEX(Reference!$B$6:$B$11,MIN(5,MATCH(MAX(Reference!$A$6,MIN(Reference!$A$11,MIN($U58,210))),Reference!$A$6:$A$11,1))))/(INDEX(Reference!$A$6:$A$11,MIN(5,MATCH(MAX(Reference!$A$6,MIN(Reference!$A$11,MIN($U58,210))),Reference!$A$6:$A$11,1))+1)-INDEX(Reference!$A$6:$A$11,MIN(5,MATCH(MAX(Reference!$A$6,MIN(Reference!$A$11,MIN($U58,210))),Reference!$A$6:$A$11,1))))),0)+IF(6&lt;=$AL58,($AL58-6+3)*(INDEX(Reference!$B$6:$B$11,MIN(5,MATCH(MAX(Reference!$A$6,MIN(Reference!$A$11,MIN($U58,240))),Reference!$A$6:$A$11,1)))+(MAX(Reference!$A$6,MIN(Reference!$A$11,MIN($U58,240)))-INDEX(Reference!$A$6:$A$11,MIN(5,MATCH(MAX(Reference!$A$6,MIN(Reference!$A$11,MIN($U58,240))),Reference!$A$6:$A$11,1))))*(INDEX(Reference!$B$6:$B$11,MIN(5,MATCH(MAX(Reference!$A$6,MIN(Reference!$A$11,MIN($U58,240))),Reference!$A$6:$A$11,1))+1)-INDEX(Reference!$B$6:$B$11,MIN(5,MATCH(MAX(Reference!$A$6,MIN(Reference!$A$11,MIN($U58,240))),Reference!$A$6:$A$11,1))))/(INDEX(Reference!$A$6:$A$11,MIN(5,MATCH(MAX(Reference!$A$6,MIN(Reference!$A$11,MIN($U58,240))),Reference!$A$6:$A$11,1))+1)-INDEX(Reference!$A$6:$A$11,MIN(5,MATCH(MAX(Reference!$A$6,MIN(Reference!$A$11,MIN($U58,240))),Reference!$A$6:$A$11,1))))),0)+IF(7&lt;=$AL58,($AL58-7+3)*(INDEX(Reference!$B$6:$B$11,MIN(5,MATCH(MAX(Reference!$A$6,MIN(Reference!$A$11,MIN($U58,270))),Reference!$A$6:$A$11,1)))+(MAX(Reference!$A$6,MIN(Reference!$A$11,MIN($U58,270)))-INDEX(Reference!$A$6:$A$11,MIN(5,MATCH(MAX(Reference!$A$6,MIN(Reference!$A$11,MIN($U58,270))),Reference!$A$6:$A$11,1))))*(INDEX(Reference!$B$6:$B$11,MIN(5,MATCH(MAX(Reference!$A$6,MIN(Reference!$A$11,MIN($U58,270))),Reference!$A$6:$A$11,1))+1)-INDEX(Reference!$B$6:$B$11,MIN(5,MATCH(MAX(Reference!$A$6,MIN(Reference!$A$11,MIN($U58,270))),Reference!$A$6:$A$11,1))))/(INDEX(Reference!$A$6:$A$11,MIN(5,MATCH(MAX(Reference!$A$6,MIN(Reference!$A$11,MIN($U58,270))),Reference!$A$6:$A$11,1))+1)-INDEX(Reference!$A$6:$A$11,MIN(5,MATCH(MAX(Reference!$A$6,MIN(Reference!$A$11,MIN($U58,270))),Reference!$A$6:$A$11,1))))),0)+IF(8&lt;=$AL58,($AL58-8+3)*(INDEX(Reference!$B$6:$B$11,MIN(5,MATCH(MAX(Reference!$A$6,MIN(Reference!$A$11,MIN($U58,300))),Reference!$A$6:$A$11,1)))+(MAX(Reference!$A$6,MIN(Reference!$A$11,MIN($U58,300)))-INDEX(Reference!$A$6:$A$11,MIN(5,MATCH(MAX(Reference!$A$6,MIN(Reference!$A$11,MIN($U58,300))),Reference!$A$6:$A$11,1))))*(INDEX(Reference!$B$6:$B$11,MIN(5,MATCH(MAX(Reference!$A$6,MIN(Reference!$A$11,MIN($U58,300))),Reference!$A$6:$A$11,1))+1)-INDEX(Reference!$B$6:$B$11,MIN(5,MATCH(MAX(Reference!$A$6,MIN(Reference!$A$11,MIN($U58,300))),Reference!$A$6:$A$11,1))))/(INDEX(Reference!$A$6:$A$11,MIN(5,MATCH(MAX(Reference!$A$6,MIN(Reference!$A$11,MIN($U58,300))),Reference!$A$6:$A$11,1))+1)-INDEX(Reference!$A$6:$A$11,MIN(5,MATCH(MAX(Reference!$A$6,MIN(Reference!$A$11,MIN($U58,300))),Reference!$A$6:$A$11,1))))),0))/($AL58*($AL58+5)/2)),$AN58))</f>
        <v>1.3</v>
      </c>
      <c r="AN58" s="32">
        <f>IF($U58="",0,(INDEX(Reference!$B$6:$B$11,MIN(5,MATCH(MAX(Reference!$A$6,MIN(Reference!$A$11,$U58)),Reference!$A$6:$A$11,1)))+(MAX(Reference!$A$6,MIN(Reference!$A$11,$U58))-INDEX(Reference!$A$6:$A$11,MIN(5,MATCH(MAX(Reference!$A$6,MIN(Reference!$A$11,$U58)),Reference!$A$6:$A$11,1))))*(INDEX(Reference!$B$6:$B$11,MIN(5,MATCH(MAX(Reference!$A$6,MIN(Reference!$A$11,$U58)),Reference!$A$6:$A$11,1))+1)-INDEX(Reference!$B$6:$B$11,MIN(5,MATCH(MAX(Reference!$A$6,MIN(Reference!$A$11,$U58)),Reference!$A$6:$A$11,1))))/(INDEX(Reference!$A$6:$A$11,MIN(5,MATCH(MAX(Reference!$A$6,MIN(Reference!$A$11,$U58)),Reference!$A$6:$A$11,1))+1)-INDEX(Reference!$A$6:$A$11,MIN(5,MATCH(MAX(Reference!$A$6,MIN(Reference!$A$11,$U58)),Reference!$A$6:$A$11,1))))))</f>
        <v>1.3</v>
      </c>
      <c r="AO58" s="37"/>
      <c r="AP58" s="37"/>
      <c r="AQ58" s="37"/>
    </row>
    <row r="59" spans="1:43" x14ac:dyDescent="0.3">
      <c r="A59" s="48">
        <f t="shared" si="5"/>
        <v>46358</v>
      </c>
      <c r="B59" s="32" t="str">
        <f t="shared" si="6"/>
        <v>Wed</v>
      </c>
      <c r="C59" s="32">
        <f t="shared" si="7"/>
        <v>29</v>
      </c>
      <c r="D59" s="32" t="str">
        <f t="shared" si="8"/>
        <v>Base</v>
      </c>
      <c r="E59" s="32" t="str">
        <f t="shared" si="9"/>
        <v>No Throw</v>
      </c>
      <c r="F59" s="32" t="str">
        <f t="shared" si="10"/>
        <v>No Throw</v>
      </c>
      <c r="G59" s="47" t="str">
        <f t="shared" si="11"/>
        <v>Off</v>
      </c>
      <c r="H59" s="30">
        <f t="shared" si="12"/>
        <v>0</v>
      </c>
      <c r="I59" s="46" t="str">
        <f>IF($A59="","",IF(AND($L59&lt;27,$K$12=0),"Building",IFERROR(((SUM($H$53:$H59)+$K$12*IF($L59&lt;6,SUMIFS('Throw Log'!$Q$5:$Q$300,'Throw Log'!$B$5:$B$300,$D$4,'Throw Log'!$A$5:$A$300,"&gt;="&amp;($D$6+$L59-6),'Throw Log'!$A$5:$A$300,"&lt;="&amp;($D$6-1)),0))/7)/((SUM($H$43:$H59)+$K$12*IF($L59&lt;27,SUMIFS('Throw Log'!$Q$5:$Q$300,'Throw Log'!$B$5:$B$300,$D$4,'Throw Log'!$A$5:$A$300,"&gt;="&amp;($D$6+$L59-27),'Throw Log'!$A$5:$A$300,"&lt;="&amp;($D$6-1)),0))/28),"")))</f>
        <v>Building</v>
      </c>
      <c r="J59" s="37"/>
      <c r="K59" s="37"/>
      <c r="L59" s="32">
        <v>16</v>
      </c>
      <c r="M59" s="32">
        <f t="shared" si="13"/>
        <v>3</v>
      </c>
      <c r="N59" s="32">
        <f t="shared" si="14"/>
        <v>2</v>
      </c>
      <c r="O59" s="32">
        <f t="shared" si="15"/>
        <v>0.43243243243243246</v>
      </c>
      <c r="P59" s="32">
        <f>IF(OR($A59="",N($C59)&lt;=7),"",$G$6*$G$9^($M59-1)*IF(AND(MOD($M59,Reference!$B$99)=0,$M59&lt;=$G$5-2),Reference!$B$100,1))</f>
        <v>105.79999999999998</v>
      </c>
      <c r="Q59" s="32">
        <f>IF($P59="","",IF(SUM($AK$57:$AK$63)=0,0,$P59*INDEX(Reference!$B$108:$B$114,$N59+1)/SUM($AK$57:$AK$63)))</f>
        <v>0</v>
      </c>
      <c r="R59" s="32">
        <f t="shared" si="16"/>
        <v>90</v>
      </c>
      <c r="S59" s="32">
        <f t="shared" si="17"/>
        <v>90</v>
      </c>
      <c r="T59" s="32" t="str">
        <f>IF($A59="","",IF($C59=0,"Bullpen",IF(OR($C59=7,$C59=1,$C59=5),"Recovery/Easy Catch",IF($C59=6,"Compression/Pulldowns",IF(OR($C59=4,$C59=2),"Long Toss",IF($C59=3,"No Throw",IF($N59=2,"No Throw",IF($N59=6,IF($O59&lt;Reference!$B$104,"No Throw","Recovery/Easy Catch"),IF(OR($N59=0,$N59=4),"Recovery/Easy Catch",IF($N59=1,IF($R59&gt;75,"Long Toss","Recovery/Easy Catch"),IF($N59=3,IF($O59&lt;0.5,IF($S59&gt;75,"Long Toss","Recovery/Easy Catch"),"Compression/Pulldowns"),IF($S59&gt;75,"Long Toss","Recovery/Easy Catch"))))))))))))</f>
        <v>No Throw</v>
      </c>
      <c r="U59" s="32" t="str">
        <f t="shared" si="18"/>
        <v/>
      </c>
      <c r="V59" s="32" t="str">
        <f t="shared" si="19"/>
        <v/>
      </c>
      <c r="W59" s="32" t="str">
        <f t="shared" si="20"/>
        <v/>
      </c>
      <c r="X59" s="32">
        <f t="shared" si="21"/>
        <v>0</v>
      </c>
      <c r="Y59" s="32" t="str">
        <f t="shared" si="22"/>
        <v/>
      </c>
      <c r="Z59" s="32" t="str">
        <f t="shared" si="23"/>
        <v/>
      </c>
      <c r="AA59" s="32" t="str">
        <f t="shared" si="24"/>
        <v/>
      </c>
      <c r="AB59" s="32">
        <f>IF($A59="","",IF($T59="No Throw",0,IF($K59&lt;&gt;"",$K59,IF($AA59&lt;&gt;"",ROUND($AA59*$D$12*IF($C59=0,1,$G$10),0),MIN(IF($T59="Recovery/Easy Catch",Reference!$B$103,IF($T59="Long Toss",Reference!$B$106,Reference!$B$102)),MAX(Reference!$B$101,ROUND(MAX(0,$Q59-$AE59)/$AF59,0)))))))</f>
        <v>0</v>
      </c>
      <c r="AC59" s="32">
        <f t="shared" si="25"/>
        <v>0</v>
      </c>
      <c r="AD59" s="32" t="b">
        <f t="shared" si="26"/>
        <v>1</v>
      </c>
      <c r="AE59" s="32">
        <f>IF($X59=0,0,$X59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59+$Z59)/2,0),Reference!$A$17:$B$20,2,TRUE()))</f>
        <v>0</v>
      </c>
      <c r="AF59" s="32">
        <f>IF(OR($A59="",$U59="",$T59="No Throw"),0,$AM59*VLOOKUP(MAX(($V59+$W59)/2,0),Reference!$A$17:$B$20,2,TRUE()))</f>
        <v>0</v>
      </c>
      <c r="AG59" s="32">
        <f>IF($AC59=0,0,$AC59*INDEX(Reference!$B$61:$B$62,MATCH("Bullpen",Reference!$A$61:$A$62,0))*VLOOKUP(MAX($D$5-($D$9+$E$9)/2,0),Reference!$A$17:$B$20,2,TRUE()))</f>
        <v>0</v>
      </c>
      <c r="AH59" s="32" t="e">
        <f t="shared" si="27"/>
        <v>#N/A</v>
      </c>
      <c r="AI59" s="32">
        <f>IF($A59="",NA(),Reference!$A$25)</f>
        <v>0.8</v>
      </c>
      <c r="AJ59" s="32">
        <f t="shared" si="28"/>
        <v>1.3</v>
      </c>
      <c r="AK59" s="32">
        <f>IF(OR($A59="",N($C59)&lt;=7,$T59="No Throw",$J59="x"),0,INDEX(Reference!$B$108:$B$114,$N59+1))</f>
        <v>0</v>
      </c>
      <c r="AL59" s="32">
        <f t="shared" si="29"/>
        <v>1</v>
      </c>
      <c r="AM59" s="32">
        <f>IF($U59="",0,IF($AL59&gt;1,((IF(1&lt;=$AL59,($AL59-1+3)*(INDEX(Reference!$B$6:$B$11,MIN(5,MATCH(MAX(Reference!$A$6,MIN(Reference!$A$11,MIN($U59,90))),Reference!$A$6:$A$11,1)))+(MAX(Reference!$A$6,MIN(Reference!$A$11,MIN($U59,90)))-INDEX(Reference!$A$6:$A$11,MIN(5,MATCH(MAX(Reference!$A$6,MIN(Reference!$A$11,MIN($U59,90))),Reference!$A$6:$A$11,1))))*(INDEX(Reference!$B$6:$B$11,MIN(5,MATCH(MAX(Reference!$A$6,MIN(Reference!$A$11,MIN($U59,90))),Reference!$A$6:$A$11,1))+1)-INDEX(Reference!$B$6:$B$11,MIN(5,MATCH(MAX(Reference!$A$6,MIN(Reference!$A$11,MIN($U59,90))),Reference!$A$6:$A$11,1))))/(INDEX(Reference!$A$6:$A$11,MIN(5,MATCH(MAX(Reference!$A$6,MIN(Reference!$A$11,MIN($U59,90))),Reference!$A$6:$A$11,1))+1)-INDEX(Reference!$A$6:$A$11,MIN(5,MATCH(MAX(Reference!$A$6,MIN(Reference!$A$11,MIN($U59,90))),Reference!$A$6:$A$11,1))))),0)+IF(2&lt;=$AL59,($AL59-2+3)*(INDEX(Reference!$B$6:$B$11,MIN(5,MATCH(MAX(Reference!$A$6,MIN(Reference!$A$11,MIN($U59,120))),Reference!$A$6:$A$11,1)))+(MAX(Reference!$A$6,MIN(Reference!$A$11,MIN($U59,120)))-INDEX(Reference!$A$6:$A$11,MIN(5,MATCH(MAX(Reference!$A$6,MIN(Reference!$A$11,MIN($U59,120))),Reference!$A$6:$A$11,1))))*(INDEX(Reference!$B$6:$B$11,MIN(5,MATCH(MAX(Reference!$A$6,MIN(Reference!$A$11,MIN($U59,120))),Reference!$A$6:$A$11,1))+1)-INDEX(Reference!$B$6:$B$11,MIN(5,MATCH(MAX(Reference!$A$6,MIN(Reference!$A$11,MIN($U59,120))),Reference!$A$6:$A$11,1))))/(INDEX(Reference!$A$6:$A$11,MIN(5,MATCH(MAX(Reference!$A$6,MIN(Reference!$A$11,MIN($U59,120))),Reference!$A$6:$A$11,1))+1)-INDEX(Reference!$A$6:$A$11,MIN(5,MATCH(MAX(Reference!$A$6,MIN(Reference!$A$11,MIN($U59,120))),Reference!$A$6:$A$11,1))))),0)+IF(3&lt;=$AL59,($AL59-3+3)*(INDEX(Reference!$B$6:$B$11,MIN(5,MATCH(MAX(Reference!$A$6,MIN(Reference!$A$11,MIN($U59,150))),Reference!$A$6:$A$11,1)))+(MAX(Reference!$A$6,MIN(Reference!$A$11,MIN($U59,150)))-INDEX(Reference!$A$6:$A$11,MIN(5,MATCH(MAX(Reference!$A$6,MIN(Reference!$A$11,MIN($U59,150))),Reference!$A$6:$A$11,1))))*(INDEX(Reference!$B$6:$B$11,MIN(5,MATCH(MAX(Reference!$A$6,MIN(Reference!$A$11,MIN($U59,150))),Reference!$A$6:$A$11,1))+1)-INDEX(Reference!$B$6:$B$11,MIN(5,MATCH(MAX(Reference!$A$6,MIN(Reference!$A$11,MIN($U59,150))),Reference!$A$6:$A$11,1))))/(INDEX(Reference!$A$6:$A$11,MIN(5,MATCH(MAX(Reference!$A$6,MIN(Reference!$A$11,MIN($U59,150))),Reference!$A$6:$A$11,1))+1)-INDEX(Reference!$A$6:$A$11,MIN(5,MATCH(MAX(Reference!$A$6,MIN(Reference!$A$11,MIN($U59,150))),Reference!$A$6:$A$11,1))))),0)+IF(4&lt;=$AL59,($AL59-4+3)*(INDEX(Reference!$B$6:$B$11,MIN(5,MATCH(MAX(Reference!$A$6,MIN(Reference!$A$11,MIN($U59,180))),Reference!$A$6:$A$11,1)))+(MAX(Reference!$A$6,MIN(Reference!$A$11,MIN($U59,180)))-INDEX(Reference!$A$6:$A$11,MIN(5,MATCH(MAX(Reference!$A$6,MIN(Reference!$A$11,MIN($U59,180))),Reference!$A$6:$A$11,1))))*(INDEX(Reference!$B$6:$B$11,MIN(5,MATCH(MAX(Reference!$A$6,MIN(Reference!$A$11,MIN($U59,180))),Reference!$A$6:$A$11,1))+1)-INDEX(Reference!$B$6:$B$11,MIN(5,MATCH(MAX(Reference!$A$6,MIN(Reference!$A$11,MIN($U59,180))),Reference!$A$6:$A$11,1))))/(INDEX(Reference!$A$6:$A$11,MIN(5,MATCH(MAX(Reference!$A$6,MIN(Reference!$A$11,MIN($U59,180))),Reference!$A$6:$A$11,1))+1)-INDEX(Reference!$A$6:$A$11,MIN(5,MATCH(MAX(Reference!$A$6,MIN(Reference!$A$11,MIN($U59,180))),Reference!$A$6:$A$11,1))))),0)+IF(5&lt;=$AL59,($AL59-5+3)*(INDEX(Reference!$B$6:$B$11,MIN(5,MATCH(MAX(Reference!$A$6,MIN(Reference!$A$11,MIN($U59,210))),Reference!$A$6:$A$11,1)))+(MAX(Reference!$A$6,MIN(Reference!$A$11,MIN($U59,210)))-INDEX(Reference!$A$6:$A$11,MIN(5,MATCH(MAX(Reference!$A$6,MIN(Reference!$A$11,MIN($U59,210))),Reference!$A$6:$A$11,1))))*(INDEX(Reference!$B$6:$B$11,MIN(5,MATCH(MAX(Reference!$A$6,MIN(Reference!$A$11,MIN($U59,210))),Reference!$A$6:$A$11,1))+1)-INDEX(Reference!$B$6:$B$11,MIN(5,MATCH(MAX(Reference!$A$6,MIN(Reference!$A$11,MIN($U59,210))),Reference!$A$6:$A$11,1))))/(INDEX(Reference!$A$6:$A$11,MIN(5,MATCH(MAX(Reference!$A$6,MIN(Reference!$A$11,MIN($U59,210))),Reference!$A$6:$A$11,1))+1)-INDEX(Reference!$A$6:$A$11,MIN(5,MATCH(MAX(Reference!$A$6,MIN(Reference!$A$11,MIN($U59,210))),Reference!$A$6:$A$11,1))))),0)+IF(6&lt;=$AL59,($AL59-6+3)*(INDEX(Reference!$B$6:$B$11,MIN(5,MATCH(MAX(Reference!$A$6,MIN(Reference!$A$11,MIN($U59,240))),Reference!$A$6:$A$11,1)))+(MAX(Reference!$A$6,MIN(Reference!$A$11,MIN($U59,240)))-INDEX(Reference!$A$6:$A$11,MIN(5,MATCH(MAX(Reference!$A$6,MIN(Reference!$A$11,MIN($U59,240))),Reference!$A$6:$A$11,1))))*(INDEX(Reference!$B$6:$B$11,MIN(5,MATCH(MAX(Reference!$A$6,MIN(Reference!$A$11,MIN($U59,240))),Reference!$A$6:$A$11,1))+1)-INDEX(Reference!$B$6:$B$11,MIN(5,MATCH(MAX(Reference!$A$6,MIN(Reference!$A$11,MIN($U59,240))),Reference!$A$6:$A$11,1))))/(INDEX(Reference!$A$6:$A$11,MIN(5,MATCH(MAX(Reference!$A$6,MIN(Reference!$A$11,MIN($U59,240))),Reference!$A$6:$A$11,1))+1)-INDEX(Reference!$A$6:$A$11,MIN(5,MATCH(MAX(Reference!$A$6,MIN(Reference!$A$11,MIN($U59,240))),Reference!$A$6:$A$11,1))))),0)+IF(7&lt;=$AL59,($AL59-7+3)*(INDEX(Reference!$B$6:$B$11,MIN(5,MATCH(MAX(Reference!$A$6,MIN(Reference!$A$11,MIN($U59,270))),Reference!$A$6:$A$11,1)))+(MAX(Reference!$A$6,MIN(Reference!$A$11,MIN($U59,270)))-INDEX(Reference!$A$6:$A$11,MIN(5,MATCH(MAX(Reference!$A$6,MIN(Reference!$A$11,MIN($U59,270))),Reference!$A$6:$A$11,1))))*(INDEX(Reference!$B$6:$B$11,MIN(5,MATCH(MAX(Reference!$A$6,MIN(Reference!$A$11,MIN($U59,270))),Reference!$A$6:$A$11,1))+1)-INDEX(Reference!$B$6:$B$11,MIN(5,MATCH(MAX(Reference!$A$6,MIN(Reference!$A$11,MIN($U59,270))),Reference!$A$6:$A$11,1))))/(INDEX(Reference!$A$6:$A$11,MIN(5,MATCH(MAX(Reference!$A$6,MIN(Reference!$A$11,MIN($U59,270))),Reference!$A$6:$A$11,1))+1)-INDEX(Reference!$A$6:$A$11,MIN(5,MATCH(MAX(Reference!$A$6,MIN(Reference!$A$11,MIN($U59,270))),Reference!$A$6:$A$11,1))))),0)+IF(8&lt;=$AL59,($AL59-8+3)*(INDEX(Reference!$B$6:$B$11,MIN(5,MATCH(MAX(Reference!$A$6,MIN(Reference!$A$11,MIN($U59,300))),Reference!$A$6:$A$11,1)))+(MAX(Reference!$A$6,MIN(Reference!$A$11,MIN($U59,300)))-INDEX(Reference!$A$6:$A$11,MIN(5,MATCH(MAX(Reference!$A$6,MIN(Reference!$A$11,MIN($U59,300))),Reference!$A$6:$A$11,1))))*(INDEX(Reference!$B$6:$B$11,MIN(5,MATCH(MAX(Reference!$A$6,MIN(Reference!$A$11,MIN($U59,300))),Reference!$A$6:$A$11,1))+1)-INDEX(Reference!$B$6:$B$11,MIN(5,MATCH(MAX(Reference!$A$6,MIN(Reference!$A$11,MIN($U59,300))),Reference!$A$6:$A$11,1))))/(INDEX(Reference!$A$6:$A$11,MIN(5,MATCH(MAX(Reference!$A$6,MIN(Reference!$A$11,MIN($U59,300))),Reference!$A$6:$A$11,1))+1)-INDEX(Reference!$A$6:$A$11,MIN(5,MATCH(MAX(Reference!$A$6,MIN(Reference!$A$11,MIN($U59,300))),Reference!$A$6:$A$11,1))))),0))/($AL59*($AL59+5)/2)),$AN59))</f>
        <v>0</v>
      </c>
      <c r="AN59" s="32">
        <f>IF($U59="",0,(INDEX(Reference!$B$6:$B$11,MIN(5,MATCH(MAX(Reference!$A$6,MIN(Reference!$A$11,$U59)),Reference!$A$6:$A$11,1)))+(MAX(Reference!$A$6,MIN(Reference!$A$11,$U59))-INDEX(Reference!$A$6:$A$11,MIN(5,MATCH(MAX(Reference!$A$6,MIN(Reference!$A$11,$U59)),Reference!$A$6:$A$11,1))))*(INDEX(Reference!$B$6:$B$11,MIN(5,MATCH(MAX(Reference!$A$6,MIN(Reference!$A$11,$U59)),Reference!$A$6:$A$11,1))+1)-INDEX(Reference!$B$6:$B$11,MIN(5,MATCH(MAX(Reference!$A$6,MIN(Reference!$A$11,$U59)),Reference!$A$6:$A$11,1))))/(INDEX(Reference!$A$6:$A$11,MIN(5,MATCH(MAX(Reference!$A$6,MIN(Reference!$A$11,$U59)),Reference!$A$6:$A$11,1))+1)-INDEX(Reference!$A$6:$A$11,MIN(5,MATCH(MAX(Reference!$A$6,MIN(Reference!$A$11,$U59)),Reference!$A$6:$A$11,1))))))</f>
        <v>0</v>
      </c>
      <c r="AO59" s="37"/>
      <c r="AP59" s="37"/>
      <c r="AQ59" s="37"/>
    </row>
    <row r="60" spans="1:43" x14ac:dyDescent="0.3">
      <c r="A60" s="48">
        <f t="shared" si="5"/>
        <v>46359</v>
      </c>
      <c r="B60" s="32" t="str">
        <f t="shared" si="6"/>
        <v>Thu</v>
      </c>
      <c r="C60" s="32">
        <f t="shared" si="7"/>
        <v>28</v>
      </c>
      <c r="D60" s="32" t="str">
        <f t="shared" si="8"/>
        <v>Extension</v>
      </c>
      <c r="E60" s="32" t="str">
        <f t="shared" si="9"/>
        <v>Medium</v>
      </c>
      <c r="F60" s="32" t="str">
        <f t="shared" si="10"/>
        <v>Long Toss</v>
      </c>
      <c r="G60" s="47" t="str">
        <f t="shared" si="11"/>
        <v>90 ft × 25 @ 72–75 mph + 60 ft × 10 @ 70–74 mph</v>
      </c>
      <c r="H60" s="30">
        <f t="shared" si="12"/>
        <v>25.5</v>
      </c>
      <c r="I60" s="46" t="str">
        <f>IF($A60="","",IF(AND($L60&lt;27,$K$12=0),"Building",IFERROR(((SUM($H$54:$H60)+$K$12*IF($L60&lt;6,SUMIFS('Throw Log'!$Q$5:$Q$300,'Throw Log'!$B$5:$B$300,$D$4,'Throw Log'!$A$5:$A$300,"&gt;="&amp;($D$6+$L60-6),'Throw Log'!$A$5:$A$300,"&lt;="&amp;($D$6-1)),0))/7)/((SUM($H$43:$H60)+$K$12*IF($L60&lt;27,SUMIFS('Throw Log'!$Q$5:$Q$300,'Throw Log'!$B$5:$B$300,$D$4,'Throw Log'!$A$5:$A$300,"&gt;="&amp;($D$6+$L60-27),'Throw Log'!$A$5:$A$300,"&lt;="&amp;($D$6-1)),0))/28),"")))</f>
        <v>Building</v>
      </c>
      <c r="J60" s="37"/>
      <c r="K60" s="37"/>
      <c r="L60" s="32">
        <v>17</v>
      </c>
      <c r="M60" s="32">
        <f t="shared" si="13"/>
        <v>3</v>
      </c>
      <c r="N60" s="32">
        <f t="shared" si="14"/>
        <v>3</v>
      </c>
      <c r="O60" s="32">
        <f t="shared" si="15"/>
        <v>0.45945945945945948</v>
      </c>
      <c r="P60" s="32">
        <f>IF(OR($A60="",N($C60)&lt;=7),"",$G$6*$G$9^($M60-1)*IF(AND(MOD($M60,Reference!$B$99)=0,$M60&lt;=$G$5-2),Reference!$B$100,1))</f>
        <v>105.79999999999998</v>
      </c>
      <c r="Q60" s="32">
        <f>IF($P60="","",IF(SUM($AK$57:$AK$63)=0,0,$P60*INDEX(Reference!$B$108:$B$114,$N60+1)/SUM($AK$57:$AK$63)))</f>
        <v>25.391999999999996</v>
      </c>
      <c r="R60" s="32">
        <f t="shared" si="16"/>
        <v>90</v>
      </c>
      <c r="S60" s="32">
        <f t="shared" si="17"/>
        <v>90</v>
      </c>
      <c r="T60" s="32" t="str">
        <f>IF($A60="","",IF($C60=0,"Bullpen",IF(OR($C60=7,$C60=1,$C60=5),"Recovery/Easy Catch",IF($C60=6,"Compression/Pulldowns",IF(OR($C60=4,$C60=2),"Long Toss",IF($C60=3,"No Throw",IF($N60=2,"No Throw",IF($N60=6,IF($O60&lt;Reference!$B$104,"No Throw","Recovery/Easy Catch"),IF(OR($N60=0,$N60=4),"Recovery/Easy Catch",IF($N60=1,IF($R60&gt;75,"Long Toss","Recovery/Easy Catch"),IF($N60=3,IF($O60&lt;0.5,IF($S60&gt;75,"Long Toss","Recovery/Easy Catch"),"Compression/Pulldowns"),IF($S60&gt;75,"Long Toss","Recovery/Easy Catch"))))))))))))</f>
        <v>Long Toss</v>
      </c>
      <c r="U60" s="32">
        <f t="shared" si="18"/>
        <v>90</v>
      </c>
      <c r="V60" s="32">
        <f t="shared" si="19"/>
        <v>13</v>
      </c>
      <c r="W60" s="32">
        <f t="shared" si="20"/>
        <v>16</v>
      </c>
      <c r="X60" s="32">
        <f t="shared" si="21"/>
        <v>10</v>
      </c>
      <c r="Y60" s="32">
        <f t="shared" si="22"/>
        <v>14</v>
      </c>
      <c r="Z60" s="32">
        <f t="shared" si="23"/>
        <v>18</v>
      </c>
      <c r="AA60" s="32" t="str">
        <f t="shared" si="24"/>
        <v/>
      </c>
      <c r="AB60" s="32">
        <f>IF($A60="","",IF($T60="No Throw",0,IF($K60&lt;&gt;"",$K60,IF($AA60&lt;&gt;"",ROUND($AA60*$D$12*IF($C60=0,1,$G$10),0),MIN(IF($T60="Recovery/Easy Catch",Reference!$B$103,IF($T60="Long Toss",Reference!$B$106,Reference!$B$102)),MAX(Reference!$B$101,ROUND(MAX(0,$Q60-$AE60)/$AF60,0)))))))</f>
        <v>25</v>
      </c>
      <c r="AC60" s="32">
        <f t="shared" si="25"/>
        <v>0</v>
      </c>
      <c r="AD60" s="32" t="b">
        <f t="shared" si="26"/>
        <v>0</v>
      </c>
      <c r="AE60" s="32">
        <f>IF($X60=0,0,$X60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60+$Z60)/2,0),Reference!$A$17:$B$20,2,TRUE()))</f>
        <v>6</v>
      </c>
      <c r="AF60" s="32">
        <f>IF(OR($A60="",$U60="",$T60="No Throw"),0,$AM60*VLOOKUP(MAX(($V60+$W60)/2,0),Reference!$A$17:$B$20,2,TRUE()))</f>
        <v>0.78</v>
      </c>
      <c r="AG60" s="32">
        <f>IF($AC60=0,0,$AC60*INDEX(Reference!$B$61:$B$62,MATCH("Bullpen",Reference!$A$61:$A$62,0))*VLOOKUP(MAX($D$5-($D$9+$E$9)/2,0),Reference!$A$17:$B$20,2,TRUE()))</f>
        <v>0</v>
      </c>
      <c r="AH60" s="32" t="e">
        <f t="shared" si="27"/>
        <v>#N/A</v>
      </c>
      <c r="AI60" s="32">
        <f>IF($A60="",NA(),Reference!$A$25)</f>
        <v>0.8</v>
      </c>
      <c r="AJ60" s="32">
        <f t="shared" si="28"/>
        <v>1.3</v>
      </c>
      <c r="AK60" s="56">
        <f>IF(OR($A60="",N($C60)&lt;=7,$T60="No Throw",$J60="x"),0,INDEX(Reference!$B$108:$B$114,$N60+1))</f>
        <v>0.24</v>
      </c>
      <c r="AL60" s="32">
        <f t="shared" si="29"/>
        <v>1</v>
      </c>
      <c r="AM60" s="32">
        <f>IF($U60="",0,IF($AL60&gt;1,((IF(1&lt;=$AL60,($AL60-1+3)*(INDEX(Reference!$B$6:$B$11,MIN(5,MATCH(MAX(Reference!$A$6,MIN(Reference!$A$11,MIN($U60,90))),Reference!$A$6:$A$11,1)))+(MAX(Reference!$A$6,MIN(Reference!$A$11,MIN($U60,90)))-INDEX(Reference!$A$6:$A$11,MIN(5,MATCH(MAX(Reference!$A$6,MIN(Reference!$A$11,MIN($U60,90))),Reference!$A$6:$A$11,1))))*(INDEX(Reference!$B$6:$B$11,MIN(5,MATCH(MAX(Reference!$A$6,MIN(Reference!$A$11,MIN($U60,90))),Reference!$A$6:$A$11,1))+1)-INDEX(Reference!$B$6:$B$11,MIN(5,MATCH(MAX(Reference!$A$6,MIN(Reference!$A$11,MIN($U60,90))),Reference!$A$6:$A$11,1))))/(INDEX(Reference!$A$6:$A$11,MIN(5,MATCH(MAX(Reference!$A$6,MIN(Reference!$A$11,MIN($U60,90))),Reference!$A$6:$A$11,1))+1)-INDEX(Reference!$A$6:$A$11,MIN(5,MATCH(MAX(Reference!$A$6,MIN(Reference!$A$11,MIN($U60,90))),Reference!$A$6:$A$11,1))))),0)+IF(2&lt;=$AL60,($AL60-2+3)*(INDEX(Reference!$B$6:$B$11,MIN(5,MATCH(MAX(Reference!$A$6,MIN(Reference!$A$11,MIN($U60,120))),Reference!$A$6:$A$11,1)))+(MAX(Reference!$A$6,MIN(Reference!$A$11,MIN($U60,120)))-INDEX(Reference!$A$6:$A$11,MIN(5,MATCH(MAX(Reference!$A$6,MIN(Reference!$A$11,MIN($U60,120))),Reference!$A$6:$A$11,1))))*(INDEX(Reference!$B$6:$B$11,MIN(5,MATCH(MAX(Reference!$A$6,MIN(Reference!$A$11,MIN($U60,120))),Reference!$A$6:$A$11,1))+1)-INDEX(Reference!$B$6:$B$11,MIN(5,MATCH(MAX(Reference!$A$6,MIN(Reference!$A$11,MIN($U60,120))),Reference!$A$6:$A$11,1))))/(INDEX(Reference!$A$6:$A$11,MIN(5,MATCH(MAX(Reference!$A$6,MIN(Reference!$A$11,MIN($U60,120))),Reference!$A$6:$A$11,1))+1)-INDEX(Reference!$A$6:$A$11,MIN(5,MATCH(MAX(Reference!$A$6,MIN(Reference!$A$11,MIN($U60,120))),Reference!$A$6:$A$11,1))))),0)+IF(3&lt;=$AL60,($AL60-3+3)*(INDEX(Reference!$B$6:$B$11,MIN(5,MATCH(MAX(Reference!$A$6,MIN(Reference!$A$11,MIN($U60,150))),Reference!$A$6:$A$11,1)))+(MAX(Reference!$A$6,MIN(Reference!$A$11,MIN($U60,150)))-INDEX(Reference!$A$6:$A$11,MIN(5,MATCH(MAX(Reference!$A$6,MIN(Reference!$A$11,MIN($U60,150))),Reference!$A$6:$A$11,1))))*(INDEX(Reference!$B$6:$B$11,MIN(5,MATCH(MAX(Reference!$A$6,MIN(Reference!$A$11,MIN($U60,150))),Reference!$A$6:$A$11,1))+1)-INDEX(Reference!$B$6:$B$11,MIN(5,MATCH(MAX(Reference!$A$6,MIN(Reference!$A$11,MIN($U60,150))),Reference!$A$6:$A$11,1))))/(INDEX(Reference!$A$6:$A$11,MIN(5,MATCH(MAX(Reference!$A$6,MIN(Reference!$A$11,MIN($U60,150))),Reference!$A$6:$A$11,1))+1)-INDEX(Reference!$A$6:$A$11,MIN(5,MATCH(MAX(Reference!$A$6,MIN(Reference!$A$11,MIN($U60,150))),Reference!$A$6:$A$11,1))))),0)+IF(4&lt;=$AL60,($AL60-4+3)*(INDEX(Reference!$B$6:$B$11,MIN(5,MATCH(MAX(Reference!$A$6,MIN(Reference!$A$11,MIN($U60,180))),Reference!$A$6:$A$11,1)))+(MAX(Reference!$A$6,MIN(Reference!$A$11,MIN($U60,180)))-INDEX(Reference!$A$6:$A$11,MIN(5,MATCH(MAX(Reference!$A$6,MIN(Reference!$A$11,MIN($U60,180))),Reference!$A$6:$A$11,1))))*(INDEX(Reference!$B$6:$B$11,MIN(5,MATCH(MAX(Reference!$A$6,MIN(Reference!$A$11,MIN($U60,180))),Reference!$A$6:$A$11,1))+1)-INDEX(Reference!$B$6:$B$11,MIN(5,MATCH(MAX(Reference!$A$6,MIN(Reference!$A$11,MIN($U60,180))),Reference!$A$6:$A$11,1))))/(INDEX(Reference!$A$6:$A$11,MIN(5,MATCH(MAX(Reference!$A$6,MIN(Reference!$A$11,MIN($U60,180))),Reference!$A$6:$A$11,1))+1)-INDEX(Reference!$A$6:$A$11,MIN(5,MATCH(MAX(Reference!$A$6,MIN(Reference!$A$11,MIN($U60,180))),Reference!$A$6:$A$11,1))))),0)+IF(5&lt;=$AL60,($AL60-5+3)*(INDEX(Reference!$B$6:$B$11,MIN(5,MATCH(MAX(Reference!$A$6,MIN(Reference!$A$11,MIN($U60,210))),Reference!$A$6:$A$11,1)))+(MAX(Reference!$A$6,MIN(Reference!$A$11,MIN($U60,210)))-INDEX(Reference!$A$6:$A$11,MIN(5,MATCH(MAX(Reference!$A$6,MIN(Reference!$A$11,MIN($U60,210))),Reference!$A$6:$A$11,1))))*(INDEX(Reference!$B$6:$B$11,MIN(5,MATCH(MAX(Reference!$A$6,MIN(Reference!$A$11,MIN($U60,210))),Reference!$A$6:$A$11,1))+1)-INDEX(Reference!$B$6:$B$11,MIN(5,MATCH(MAX(Reference!$A$6,MIN(Reference!$A$11,MIN($U60,210))),Reference!$A$6:$A$11,1))))/(INDEX(Reference!$A$6:$A$11,MIN(5,MATCH(MAX(Reference!$A$6,MIN(Reference!$A$11,MIN($U60,210))),Reference!$A$6:$A$11,1))+1)-INDEX(Reference!$A$6:$A$11,MIN(5,MATCH(MAX(Reference!$A$6,MIN(Reference!$A$11,MIN($U60,210))),Reference!$A$6:$A$11,1))))),0)+IF(6&lt;=$AL60,($AL60-6+3)*(INDEX(Reference!$B$6:$B$11,MIN(5,MATCH(MAX(Reference!$A$6,MIN(Reference!$A$11,MIN($U60,240))),Reference!$A$6:$A$11,1)))+(MAX(Reference!$A$6,MIN(Reference!$A$11,MIN($U60,240)))-INDEX(Reference!$A$6:$A$11,MIN(5,MATCH(MAX(Reference!$A$6,MIN(Reference!$A$11,MIN($U60,240))),Reference!$A$6:$A$11,1))))*(INDEX(Reference!$B$6:$B$11,MIN(5,MATCH(MAX(Reference!$A$6,MIN(Reference!$A$11,MIN($U60,240))),Reference!$A$6:$A$11,1))+1)-INDEX(Reference!$B$6:$B$11,MIN(5,MATCH(MAX(Reference!$A$6,MIN(Reference!$A$11,MIN($U60,240))),Reference!$A$6:$A$11,1))))/(INDEX(Reference!$A$6:$A$11,MIN(5,MATCH(MAX(Reference!$A$6,MIN(Reference!$A$11,MIN($U60,240))),Reference!$A$6:$A$11,1))+1)-INDEX(Reference!$A$6:$A$11,MIN(5,MATCH(MAX(Reference!$A$6,MIN(Reference!$A$11,MIN($U60,240))),Reference!$A$6:$A$11,1))))),0)+IF(7&lt;=$AL60,($AL60-7+3)*(INDEX(Reference!$B$6:$B$11,MIN(5,MATCH(MAX(Reference!$A$6,MIN(Reference!$A$11,MIN($U60,270))),Reference!$A$6:$A$11,1)))+(MAX(Reference!$A$6,MIN(Reference!$A$11,MIN($U60,270)))-INDEX(Reference!$A$6:$A$11,MIN(5,MATCH(MAX(Reference!$A$6,MIN(Reference!$A$11,MIN($U60,270))),Reference!$A$6:$A$11,1))))*(INDEX(Reference!$B$6:$B$11,MIN(5,MATCH(MAX(Reference!$A$6,MIN(Reference!$A$11,MIN($U60,270))),Reference!$A$6:$A$11,1))+1)-INDEX(Reference!$B$6:$B$11,MIN(5,MATCH(MAX(Reference!$A$6,MIN(Reference!$A$11,MIN($U60,270))),Reference!$A$6:$A$11,1))))/(INDEX(Reference!$A$6:$A$11,MIN(5,MATCH(MAX(Reference!$A$6,MIN(Reference!$A$11,MIN($U60,270))),Reference!$A$6:$A$11,1))+1)-INDEX(Reference!$A$6:$A$11,MIN(5,MATCH(MAX(Reference!$A$6,MIN(Reference!$A$11,MIN($U60,270))),Reference!$A$6:$A$11,1))))),0)+IF(8&lt;=$AL60,($AL60-8+3)*(INDEX(Reference!$B$6:$B$11,MIN(5,MATCH(MAX(Reference!$A$6,MIN(Reference!$A$11,MIN($U60,300))),Reference!$A$6:$A$11,1)))+(MAX(Reference!$A$6,MIN(Reference!$A$11,MIN($U60,300)))-INDEX(Reference!$A$6:$A$11,MIN(5,MATCH(MAX(Reference!$A$6,MIN(Reference!$A$11,MIN($U60,300))),Reference!$A$6:$A$11,1))))*(INDEX(Reference!$B$6:$B$11,MIN(5,MATCH(MAX(Reference!$A$6,MIN(Reference!$A$11,MIN($U60,300))),Reference!$A$6:$A$11,1))+1)-INDEX(Reference!$B$6:$B$11,MIN(5,MATCH(MAX(Reference!$A$6,MIN(Reference!$A$11,MIN($U60,300))),Reference!$A$6:$A$11,1))))/(INDEX(Reference!$A$6:$A$11,MIN(5,MATCH(MAX(Reference!$A$6,MIN(Reference!$A$11,MIN($U60,300))),Reference!$A$6:$A$11,1))+1)-INDEX(Reference!$A$6:$A$11,MIN(5,MATCH(MAX(Reference!$A$6,MIN(Reference!$A$11,MIN($U60,300))),Reference!$A$6:$A$11,1))))),0))/($AL60*($AL60+5)/2)),$AN60))</f>
        <v>1.3</v>
      </c>
      <c r="AN60" s="32">
        <f>IF($U60="",0,(INDEX(Reference!$B$6:$B$11,MIN(5,MATCH(MAX(Reference!$A$6,MIN(Reference!$A$11,$U60)),Reference!$A$6:$A$11,1)))+(MAX(Reference!$A$6,MIN(Reference!$A$11,$U60))-INDEX(Reference!$A$6:$A$11,MIN(5,MATCH(MAX(Reference!$A$6,MIN(Reference!$A$11,$U60)),Reference!$A$6:$A$11,1))))*(INDEX(Reference!$B$6:$B$11,MIN(5,MATCH(MAX(Reference!$A$6,MIN(Reference!$A$11,$U60)),Reference!$A$6:$A$11,1))+1)-INDEX(Reference!$B$6:$B$11,MIN(5,MATCH(MAX(Reference!$A$6,MIN(Reference!$A$11,$U60)),Reference!$A$6:$A$11,1))))/(INDEX(Reference!$A$6:$A$11,MIN(5,MATCH(MAX(Reference!$A$6,MIN(Reference!$A$11,$U60)),Reference!$A$6:$A$11,1))+1)-INDEX(Reference!$A$6:$A$11,MIN(5,MATCH(MAX(Reference!$A$6,MIN(Reference!$A$11,$U60)),Reference!$A$6:$A$11,1))))))</f>
        <v>1.3</v>
      </c>
      <c r="AO60" s="37"/>
      <c r="AP60" s="37"/>
      <c r="AQ60" s="37"/>
    </row>
    <row r="61" spans="1:43" x14ac:dyDescent="0.3">
      <c r="A61" s="48">
        <f t="shared" si="5"/>
        <v>46360</v>
      </c>
      <c r="B61" s="32" t="str">
        <f t="shared" si="6"/>
        <v>Fri</v>
      </c>
      <c r="C61" s="32">
        <f t="shared" si="7"/>
        <v>27</v>
      </c>
      <c r="D61" s="32" t="str">
        <f t="shared" si="8"/>
        <v>Extension</v>
      </c>
      <c r="E61" s="32" t="str">
        <f t="shared" si="9"/>
        <v>Low</v>
      </c>
      <c r="F61" s="32" t="str">
        <f t="shared" si="10"/>
        <v>Recovery/Easy Catch</v>
      </c>
      <c r="G61" s="47" t="str">
        <f t="shared" si="11"/>
        <v>60 ft × 20 @ 64–68 mph</v>
      </c>
      <c r="H61" s="30">
        <f t="shared" si="12"/>
        <v>12</v>
      </c>
      <c r="I61" s="46" t="str">
        <f>IF($A61="","",IF(AND($L61&lt;27,$K$12=0),"Building",IFERROR(((SUM($H$55:$H61)+$K$12*IF($L61&lt;6,SUMIFS('Throw Log'!$Q$5:$Q$300,'Throw Log'!$B$5:$B$300,$D$4,'Throw Log'!$A$5:$A$300,"&gt;="&amp;($D$6+$L61-6),'Throw Log'!$A$5:$A$300,"&lt;="&amp;($D$6-1)),0))/7)/((SUM($H$43:$H61)+$K$12*IF($L61&lt;27,SUMIFS('Throw Log'!$Q$5:$Q$300,'Throw Log'!$B$5:$B$300,$D$4,'Throw Log'!$A$5:$A$300,"&gt;="&amp;($D$6+$L61-27),'Throw Log'!$A$5:$A$300,"&lt;="&amp;($D$6-1)),0))/28),"")))</f>
        <v>Building</v>
      </c>
      <c r="J61" s="37"/>
      <c r="K61" s="37"/>
      <c r="L61" s="32">
        <v>18</v>
      </c>
      <c r="M61" s="32">
        <f t="shared" si="13"/>
        <v>3</v>
      </c>
      <c r="N61" s="32">
        <f t="shared" si="14"/>
        <v>4</v>
      </c>
      <c r="O61" s="32">
        <f t="shared" si="15"/>
        <v>0.48648648648648651</v>
      </c>
      <c r="P61" s="32">
        <f>IF(OR($A61="",N($C61)&lt;=7),"",$G$6*$G$9^($M61-1)*IF(AND(MOD($M61,Reference!$B$99)=0,$M61&lt;=$G$5-2),Reference!$B$100,1))</f>
        <v>105.79999999999998</v>
      </c>
      <c r="Q61" s="32">
        <f>IF($P61="","",IF(SUM($AK$57:$AK$63)=0,0,$P61*INDEX(Reference!$B$108:$B$114,$N61+1)/SUM($AK$57:$AK$63)))</f>
        <v>10.579999999999998</v>
      </c>
      <c r="R61" s="32">
        <f t="shared" si="16"/>
        <v>105</v>
      </c>
      <c r="S61" s="32">
        <f t="shared" si="17"/>
        <v>90</v>
      </c>
      <c r="T61" s="32" t="str">
        <f>IF($A61="","",IF($C61=0,"Bullpen",IF(OR($C61=7,$C61=1,$C61=5),"Recovery/Easy Catch",IF($C61=6,"Compression/Pulldowns",IF(OR($C61=4,$C61=2),"Long Toss",IF($C61=3,"No Throw",IF($N61=2,"No Throw",IF($N61=6,IF($O61&lt;Reference!$B$104,"No Throw","Recovery/Easy Catch"),IF(OR($N61=0,$N61=4),"Recovery/Easy Catch",IF($N61=1,IF($R61&gt;75,"Long Toss","Recovery/Easy Catch"),IF($N61=3,IF($O61&lt;0.5,IF($S61&gt;75,"Long Toss","Recovery/Easy Catch"),"Compression/Pulldowns"),IF($S61&gt;75,"Long Toss","Recovery/Easy Catch"))))))))))))</f>
        <v>Recovery/Easy Catch</v>
      </c>
      <c r="U61" s="32">
        <f t="shared" si="18"/>
        <v>60</v>
      </c>
      <c r="V61" s="32">
        <f t="shared" si="19"/>
        <v>20</v>
      </c>
      <c r="W61" s="32">
        <f t="shared" si="20"/>
        <v>24</v>
      </c>
      <c r="X61" s="32">
        <f t="shared" si="21"/>
        <v>0</v>
      </c>
      <c r="Y61" s="32" t="str">
        <f t="shared" si="22"/>
        <v/>
      </c>
      <c r="Z61" s="32" t="str">
        <f t="shared" si="23"/>
        <v/>
      </c>
      <c r="AA61" s="32" t="str">
        <f t="shared" si="24"/>
        <v/>
      </c>
      <c r="AB61" s="32">
        <f>IF($A61="","",IF($T61="No Throw",0,IF($K61&lt;&gt;"",$K61,IF($AA61&lt;&gt;"",ROUND($AA61*$D$12*IF($C61=0,1,$G$10),0),MIN(IF($T61="Recovery/Easy Catch",Reference!$B$103,IF($T61="Long Toss",Reference!$B$106,Reference!$B$102)),MAX(Reference!$B$101,ROUND(MAX(0,$Q61-$AE61)/$AF61,0)))))))</f>
        <v>20</v>
      </c>
      <c r="AC61" s="32">
        <f t="shared" si="25"/>
        <v>0</v>
      </c>
      <c r="AD61" s="32" t="b">
        <f t="shared" si="26"/>
        <v>0</v>
      </c>
      <c r="AE61" s="32">
        <f>IF($X61=0,0,$X61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61+$Z61)/2,0),Reference!$A$17:$B$20,2,TRUE()))</f>
        <v>0</v>
      </c>
      <c r="AF61" s="32">
        <f>IF(OR($A61="",$U61="",$T61="No Throw"),0,$AM61*VLOOKUP(MAX(($V61+$W61)/2,0),Reference!$A$17:$B$20,2,TRUE()))</f>
        <v>0.6</v>
      </c>
      <c r="AG61" s="32">
        <f>IF($AC61=0,0,$AC61*INDEX(Reference!$B$61:$B$62,MATCH("Bullpen",Reference!$A$61:$A$62,0))*VLOOKUP(MAX($D$5-($D$9+$E$9)/2,0),Reference!$A$17:$B$20,2,TRUE()))</f>
        <v>0</v>
      </c>
      <c r="AH61" s="32" t="e">
        <f t="shared" si="27"/>
        <v>#N/A</v>
      </c>
      <c r="AI61" s="32">
        <f>IF($A61="",NA(),Reference!$A$25)</f>
        <v>0.8</v>
      </c>
      <c r="AJ61" s="32">
        <f t="shared" si="28"/>
        <v>1.3</v>
      </c>
      <c r="AK61" s="56">
        <f>IF(OR($A61="",N($C61)&lt;=7,$T61="No Throw",$J61="x"),0,INDEX(Reference!$B$108:$B$114,$N61+1))</f>
        <v>0.1</v>
      </c>
      <c r="AL61" s="32">
        <f t="shared" si="29"/>
        <v>1</v>
      </c>
      <c r="AM61" s="32">
        <f>IF($U61="",0,IF($AL61&gt;1,((IF(1&lt;=$AL61,($AL61-1+3)*(INDEX(Reference!$B$6:$B$11,MIN(5,MATCH(MAX(Reference!$A$6,MIN(Reference!$A$11,MIN($U61,90))),Reference!$A$6:$A$11,1)))+(MAX(Reference!$A$6,MIN(Reference!$A$11,MIN($U61,90)))-INDEX(Reference!$A$6:$A$11,MIN(5,MATCH(MAX(Reference!$A$6,MIN(Reference!$A$11,MIN($U61,90))),Reference!$A$6:$A$11,1))))*(INDEX(Reference!$B$6:$B$11,MIN(5,MATCH(MAX(Reference!$A$6,MIN(Reference!$A$11,MIN($U61,90))),Reference!$A$6:$A$11,1))+1)-INDEX(Reference!$B$6:$B$11,MIN(5,MATCH(MAX(Reference!$A$6,MIN(Reference!$A$11,MIN($U61,90))),Reference!$A$6:$A$11,1))))/(INDEX(Reference!$A$6:$A$11,MIN(5,MATCH(MAX(Reference!$A$6,MIN(Reference!$A$11,MIN($U61,90))),Reference!$A$6:$A$11,1))+1)-INDEX(Reference!$A$6:$A$11,MIN(5,MATCH(MAX(Reference!$A$6,MIN(Reference!$A$11,MIN($U61,90))),Reference!$A$6:$A$11,1))))),0)+IF(2&lt;=$AL61,($AL61-2+3)*(INDEX(Reference!$B$6:$B$11,MIN(5,MATCH(MAX(Reference!$A$6,MIN(Reference!$A$11,MIN($U61,120))),Reference!$A$6:$A$11,1)))+(MAX(Reference!$A$6,MIN(Reference!$A$11,MIN($U61,120)))-INDEX(Reference!$A$6:$A$11,MIN(5,MATCH(MAX(Reference!$A$6,MIN(Reference!$A$11,MIN($U61,120))),Reference!$A$6:$A$11,1))))*(INDEX(Reference!$B$6:$B$11,MIN(5,MATCH(MAX(Reference!$A$6,MIN(Reference!$A$11,MIN($U61,120))),Reference!$A$6:$A$11,1))+1)-INDEX(Reference!$B$6:$B$11,MIN(5,MATCH(MAX(Reference!$A$6,MIN(Reference!$A$11,MIN($U61,120))),Reference!$A$6:$A$11,1))))/(INDEX(Reference!$A$6:$A$11,MIN(5,MATCH(MAX(Reference!$A$6,MIN(Reference!$A$11,MIN($U61,120))),Reference!$A$6:$A$11,1))+1)-INDEX(Reference!$A$6:$A$11,MIN(5,MATCH(MAX(Reference!$A$6,MIN(Reference!$A$11,MIN($U61,120))),Reference!$A$6:$A$11,1))))),0)+IF(3&lt;=$AL61,($AL61-3+3)*(INDEX(Reference!$B$6:$B$11,MIN(5,MATCH(MAX(Reference!$A$6,MIN(Reference!$A$11,MIN($U61,150))),Reference!$A$6:$A$11,1)))+(MAX(Reference!$A$6,MIN(Reference!$A$11,MIN($U61,150)))-INDEX(Reference!$A$6:$A$11,MIN(5,MATCH(MAX(Reference!$A$6,MIN(Reference!$A$11,MIN($U61,150))),Reference!$A$6:$A$11,1))))*(INDEX(Reference!$B$6:$B$11,MIN(5,MATCH(MAX(Reference!$A$6,MIN(Reference!$A$11,MIN($U61,150))),Reference!$A$6:$A$11,1))+1)-INDEX(Reference!$B$6:$B$11,MIN(5,MATCH(MAX(Reference!$A$6,MIN(Reference!$A$11,MIN($U61,150))),Reference!$A$6:$A$11,1))))/(INDEX(Reference!$A$6:$A$11,MIN(5,MATCH(MAX(Reference!$A$6,MIN(Reference!$A$11,MIN($U61,150))),Reference!$A$6:$A$11,1))+1)-INDEX(Reference!$A$6:$A$11,MIN(5,MATCH(MAX(Reference!$A$6,MIN(Reference!$A$11,MIN($U61,150))),Reference!$A$6:$A$11,1))))),0)+IF(4&lt;=$AL61,($AL61-4+3)*(INDEX(Reference!$B$6:$B$11,MIN(5,MATCH(MAX(Reference!$A$6,MIN(Reference!$A$11,MIN($U61,180))),Reference!$A$6:$A$11,1)))+(MAX(Reference!$A$6,MIN(Reference!$A$11,MIN($U61,180)))-INDEX(Reference!$A$6:$A$11,MIN(5,MATCH(MAX(Reference!$A$6,MIN(Reference!$A$11,MIN($U61,180))),Reference!$A$6:$A$11,1))))*(INDEX(Reference!$B$6:$B$11,MIN(5,MATCH(MAX(Reference!$A$6,MIN(Reference!$A$11,MIN($U61,180))),Reference!$A$6:$A$11,1))+1)-INDEX(Reference!$B$6:$B$11,MIN(5,MATCH(MAX(Reference!$A$6,MIN(Reference!$A$11,MIN($U61,180))),Reference!$A$6:$A$11,1))))/(INDEX(Reference!$A$6:$A$11,MIN(5,MATCH(MAX(Reference!$A$6,MIN(Reference!$A$11,MIN($U61,180))),Reference!$A$6:$A$11,1))+1)-INDEX(Reference!$A$6:$A$11,MIN(5,MATCH(MAX(Reference!$A$6,MIN(Reference!$A$11,MIN($U61,180))),Reference!$A$6:$A$11,1))))),0)+IF(5&lt;=$AL61,($AL61-5+3)*(INDEX(Reference!$B$6:$B$11,MIN(5,MATCH(MAX(Reference!$A$6,MIN(Reference!$A$11,MIN($U61,210))),Reference!$A$6:$A$11,1)))+(MAX(Reference!$A$6,MIN(Reference!$A$11,MIN($U61,210)))-INDEX(Reference!$A$6:$A$11,MIN(5,MATCH(MAX(Reference!$A$6,MIN(Reference!$A$11,MIN($U61,210))),Reference!$A$6:$A$11,1))))*(INDEX(Reference!$B$6:$B$11,MIN(5,MATCH(MAX(Reference!$A$6,MIN(Reference!$A$11,MIN($U61,210))),Reference!$A$6:$A$11,1))+1)-INDEX(Reference!$B$6:$B$11,MIN(5,MATCH(MAX(Reference!$A$6,MIN(Reference!$A$11,MIN($U61,210))),Reference!$A$6:$A$11,1))))/(INDEX(Reference!$A$6:$A$11,MIN(5,MATCH(MAX(Reference!$A$6,MIN(Reference!$A$11,MIN($U61,210))),Reference!$A$6:$A$11,1))+1)-INDEX(Reference!$A$6:$A$11,MIN(5,MATCH(MAX(Reference!$A$6,MIN(Reference!$A$11,MIN($U61,210))),Reference!$A$6:$A$11,1))))),0)+IF(6&lt;=$AL61,($AL61-6+3)*(INDEX(Reference!$B$6:$B$11,MIN(5,MATCH(MAX(Reference!$A$6,MIN(Reference!$A$11,MIN($U61,240))),Reference!$A$6:$A$11,1)))+(MAX(Reference!$A$6,MIN(Reference!$A$11,MIN($U61,240)))-INDEX(Reference!$A$6:$A$11,MIN(5,MATCH(MAX(Reference!$A$6,MIN(Reference!$A$11,MIN($U61,240))),Reference!$A$6:$A$11,1))))*(INDEX(Reference!$B$6:$B$11,MIN(5,MATCH(MAX(Reference!$A$6,MIN(Reference!$A$11,MIN($U61,240))),Reference!$A$6:$A$11,1))+1)-INDEX(Reference!$B$6:$B$11,MIN(5,MATCH(MAX(Reference!$A$6,MIN(Reference!$A$11,MIN($U61,240))),Reference!$A$6:$A$11,1))))/(INDEX(Reference!$A$6:$A$11,MIN(5,MATCH(MAX(Reference!$A$6,MIN(Reference!$A$11,MIN($U61,240))),Reference!$A$6:$A$11,1))+1)-INDEX(Reference!$A$6:$A$11,MIN(5,MATCH(MAX(Reference!$A$6,MIN(Reference!$A$11,MIN($U61,240))),Reference!$A$6:$A$11,1))))),0)+IF(7&lt;=$AL61,($AL61-7+3)*(INDEX(Reference!$B$6:$B$11,MIN(5,MATCH(MAX(Reference!$A$6,MIN(Reference!$A$11,MIN($U61,270))),Reference!$A$6:$A$11,1)))+(MAX(Reference!$A$6,MIN(Reference!$A$11,MIN($U61,270)))-INDEX(Reference!$A$6:$A$11,MIN(5,MATCH(MAX(Reference!$A$6,MIN(Reference!$A$11,MIN($U61,270))),Reference!$A$6:$A$11,1))))*(INDEX(Reference!$B$6:$B$11,MIN(5,MATCH(MAX(Reference!$A$6,MIN(Reference!$A$11,MIN($U61,270))),Reference!$A$6:$A$11,1))+1)-INDEX(Reference!$B$6:$B$11,MIN(5,MATCH(MAX(Reference!$A$6,MIN(Reference!$A$11,MIN($U61,270))),Reference!$A$6:$A$11,1))))/(INDEX(Reference!$A$6:$A$11,MIN(5,MATCH(MAX(Reference!$A$6,MIN(Reference!$A$11,MIN($U61,270))),Reference!$A$6:$A$11,1))+1)-INDEX(Reference!$A$6:$A$11,MIN(5,MATCH(MAX(Reference!$A$6,MIN(Reference!$A$11,MIN($U61,270))),Reference!$A$6:$A$11,1))))),0)+IF(8&lt;=$AL61,($AL61-8+3)*(INDEX(Reference!$B$6:$B$11,MIN(5,MATCH(MAX(Reference!$A$6,MIN(Reference!$A$11,MIN($U61,300))),Reference!$A$6:$A$11,1)))+(MAX(Reference!$A$6,MIN(Reference!$A$11,MIN($U61,300)))-INDEX(Reference!$A$6:$A$11,MIN(5,MATCH(MAX(Reference!$A$6,MIN(Reference!$A$11,MIN($U61,300))),Reference!$A$6:$A$11,1))))*(INDEX(Reference!$B$6:$B$11,MIN(5,MATCH(MAX(Reference!$A$6,MIN(Reference!$A$11,MIN($U61,300))),Reference!$A$6:$A$11,1))+1)-INDEX(Reference!$B$6:$B$11,MIN(5,MATCH(MAX(Reference!$A$6,MIN(Reference!$A$11,MIN($U61,300))),Reference!$A$6:$A$11,1))))/(INDEX(Reference!$A$6:$A$11,MIN(5,MATCH(MAX(Reference!$A$6,MIN(Reference!$A$11,MIN($U61,300))),Reference!$A$6:$A$11,1))+1)-INDEX(Reference!$A$6:$A$11,MIN(5,MATCH(MAX(Reference!$A$6,MIN(Reference!$A$11,MIN($U61,300))),Reference!$A$6:$A$11,1))))),0))/($AL61*($AL61+5)/2)),$AN61))</f>
        <v>1</v>
      </c>
      <c r="AN61" s="32">
        <f>IF($U61="",0,(INDEX(Reference!$B$6:$B$11,MIN(5,MATCH(MAX(Reference!$A$6,MIN(Reference!$A$11,$U61)),Reference!$A$6:$A$11,1)))+(MAX(Reference!$A$6,MIN(Reference!$A$11,$U61))-INDEX(Reference!$A$6:$A$11,MIN(5,MATCH(MAX(Reference!$A$6,MIN(Reference!$A$11,$U61)),Reference!$A$6:$A$11,1))))*(INDEX(Reference!$B$6:$B$11,MIN(5,MATCH(MAX(Reference!$A$6,MIN(Reference!$A$11,$U61)),Reference!$A$6:$A$11,1))+1)-INDEX(Reference!$B$6:$B$11,MIN(5,MATCH(MAX(Reference!$A$6,MIN(Reference!$A$11,$U61)),Reference!$A$6:$A$11,1))))/(INDEX(Reference!$A$6:$A$11,MIN(5,MATCH(MAX(Reference!$A$6,MIN(Reference!$A$11,$U61)),Reference!$A$6:$A$11,1))+1)-INDEX(Reference!$A$6:$A$11,MIN(5,MATCH(MAX(Reference!$A$6,MIN(Reference!$A$11,$U61)),Reference!$A$6:$A$11,1))))))</f>
        <v>1</v>
      </c>
      <c r="AO61" s="37"/>
      <c r="AP61" s="37"/>
      <c r="AQ61" s="37"/>
    </row>
    <row r="62" spans="1:43" x14ac:dyDescent="0.3">
      <c r="A62" s="48">
        <f t="shared" si="5"/>
        <v>46361</v>
      </c>
      <c r="B62" s="32" t="str">
        <f t="shared" si="6"/>
        <v>Sat</v>
      </c>
      <c r="C62" s="32">
        <f t="shared" si="7"/>
        <v>26</v>
      </c>
      <c r="D62" s="32" t="str">
        <f t="shared" si="8"/>
        <v>Extension</v>
      </c>
      <c r="E62" s="32" t="str">
        <f t="shared" si="9"/>
        <v>Medium</v>
      </c>
      <c r="F62" s="32" t="str">
        <f t="shared" si="10"/>
        <v>Long Toss</v>
      </c>
      <c r="G62" s="47" t="str">
        <f t="shared" si="11"/>
        <v>90 ft × 27 @ 75–78 mph + 60 ft × 12 @ 73–76 mph</v>
      </c>
      <c r="H62" s="30">
        <f t="shared" si="12"/>
        <v>28.26</v>
      </c>
      <c r="I62" s="46" t="str">
        <f>IF($A62="","",IF(AND($L62&lt;27,$K$12=0),"Building",IFERROR(((SUM($H$56:$H62)+$K$12*IF($L62&lt;6,SUMIFS('Throw Log'!$Q$5:$Q$300,'Throw Log'!$B$5:$B$300,$D$4,'Throw Log'!$A$5:$A$300,"&gt;="&amp;($D$6+$L62-6),'Throw Log'!$A$5:$A$300,"&lt;="&amp;($D$6-1)),0))/7)/((SUM($H$43:$H62)+$K$12*IF($L62&lt;27,SUMIFS('Throw Log'!$Q$5:$Q$300,'Throw Log'!$B$5:$B$300,$D$4,'Throw Log'!$A$5:$A$300,"&gt;="&amp;($D$6+$L62-27),'Throw Log'!$A$5:$A$300,"&lt;="&amp;($D$6-1)),0))/28),"")))</f>
        <v>Building</v>
      </c>
      <c r="J62" s="37"/>
      <c r="K62" s="37"/>
      <c r="L62" s="32">
        <v>19</v>
      </c>
      <c r="M62" s="32">
        <f t="shared" si="13"/>
        <v>3</v>
      </c>
      <c r="N62" s="32">
        <f t="shared" si="14"/>
        <v>5</v>
      </c>
      <c r="O62" s="32">
        <f t="shared" si="15"/>
        <v>0.51351351351351349</v>
      </c>
      <c r="P62" s="32">
        <f>IF(OR($A62="",N($C62)&lt;=7),"",$G$6*$G$9^($M62-1)*IF(AND(MOD($M62,Reference!$B$99)=0,$M62&lt;=$G$5-2),Reference!$B$100,1))</f>
        <v>105.79999999999998</v>
      </c>
      <c r="Q62" s="32">
        <f>IF($P62="","",IF(SUM($AK$57:$AK$63)=0,0,$P62*INDEX(Reference!$B$108:$B$114,$N62+1)/SUM($AK$57:$AK$63)))</f>
        <v>28.565999999999999</v>
      </c>
      <c r="R62" s="32">
        <f t="shared" si="16"/>
        <v>105</v>
      </c>
      <c r="S62" s="32">
        <f t="shared" si="17"/>
        <v>90</v>
      </c>
      <c r="T62" s="32" t="str">
        <f>IF($A62="","",IF($C62=0,"Bullpen",IF(OR($C62=7,$C62=1,$C62=5),"Recovery/Easy Catch",IF($C62=6,"Compression/Pulldowns",IF(OR($C62=4,$C62=2),"Long Toss",IF($C62=3,"No Throw",IF($N62=2,"No Throw",IF($N62=6,IF($O62&lt;Reference!$B$104,"No Throw","Recovery/Easy Catch"),IF(OR($N62=0,$N62=4),"Recovery/Easy Catch",IF($N62=1,IF($R62&gt;75,"Long Toss","Recovery/Easy Catch"),IF($N62=3,IF($O62&lt;0.5,IF($S62&gt;75,"Long Toss","Recovery/Easy Catch"),"Compression/Pulldowns"),IF($S62&gt;75,"Long Toss","Recovery/Easy Catch"))))))))))))</f>
        <v>Long Toss</v>
      </c>
      <c r="U62" s="32">
        <f t="shared" si="18"/>
        <v>90</v>
      </c>
      <c r="V62" s="32">
        <f t="shared" si="19"/>
        <v>10</v>
      </c>
      <c r="W62" s="32">
        <f t="shared" si="20"/>
        <v>13</v>
      </c>
      <c r="X62" s="32">
        <f t="shared" si="21"/>
        <v>12</v>
      </c>
      <c r="Y62" s="32">
        <f t="shared" si="22"/>
        <v>12</v>
      </c>
      <c r="Z62" s="32">
        <f t="shared" si="23"/>
        <v>15</v>
      </c>
      <c r="AA62" s="32" t="str">
        <f t="shared" si="24"/>
        <v/>
      </c>
      <c r="AB62" s="32">
        <f>IF($A62="","",IF($T62="No Throw",0,IF($K62&lt;&gt;"",$K62,IF($AA62&lt;&gt;"",ROUND($AA62*$D$12*IF($C62=0,1,$G$10),0),MIN(IF($T62="Recovery/Easy Catch",Reference!$B$103,IF($T62="Long Toss",Reference!$B$106,Reference!$B$102)),MAX(Reference!$B$101,ROUND(MAX(0,$Q62-$AE62)/$AF62,0)))))))</f>
        <v>27</v>
      </c>
      <c r="AC62" s="32">
        <f t="shared" si="25"/>
        <v>0</v>
      </c>
      <c r="AD62" s="32" t="b">
        <f t="shared" si="26"/>
        <v>0</v>
      </c>
      <c r="AE62" s="32">
        <f>IF($X62=0,0,$X62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62+$Z62)/2,0),Reference!$A$17:$B$20,2,TRUE()))</f>
        <v>7.1999999999999993</v>
      </c>
      <c r="AF62" s="32">
        <f>IF(OR($A62="",$U62="",$T62="No Throw"),0,$AM62*VLOOKUP(MAX(($V62+$W62)/2,0),Reference!$A$17:$B$20,2,TRUE()))</f>
        <v>0.78</v>
      </c>
      <c r="AG62" s="32">
        <f>IF($AC62=0,0,$AC62*INDEX(Reference!$B$61:$B$62,MATCH("Bullpen",Reference!$A$61:$A$62,0))*VLOOKUP(MAX($D$5-($D$9+$E$9)/2,0),Reference!$A$17:$B$20,2,TRUE()))</f>
        <v>0</v>
      </c>
      <c r="AH62" s="32" t="e">
        <f t="shared" si="27"/>
        <v>#N/A</v>
      </c>
      <c r="AI62" s="32">
        <f>IF($A62="",NA(),Reference!$A$25)</f>
        <v>0.8</v>
      </c>
      <c r="AJ62" s="32">
        <f t="shared" si="28"/>
        <v>1.3</v>
      </c>
      <c r="AK62" s="56">
        <f>IF(OR($A62="",N($C62)&lt;=7,$T62="No Throw",$J62="x"),0,INDEX(Reference!$B$108:$B$114,$N62+1))</f>
        <v>0.27</v>
      </c>
      <c r="AL62" s="32">
        <f t="shared" si="29"/>
        <v>1</v>
      </c>
      <c r="AM62" s="32">
        <f>IF($U62="",0,IF($AL62&gt;1,((IF(1&lt;=$AL62,($AL62-1+3)*(INDEX(Reference!$B$6:$B$11,MIN(5,MATCH(MAX(Reference!$A$6,MIN(Reference!$A$11,MIN($U62,90))),Reference!$A$6:$A$11,1)))+(MAX(Reference!$A$6,MIN(Reference!$A$11,MIN($U62,90)))-INDEX(Reference!$A$6:$A$11,MIN(5,MATCH(MAX(Reference!$A$6,MIN(Reference!$A$11,MIN($U62,90))),Reference!$A$6:$A$11,1))))*(INDEX(Reference!$B$6:$B$11,MIN(5,MATCH(MAX(Reference!$A$6,MIN(Reference!$A$11,MIN($U62,90))),Reference!$A$6:$A$11,1))+1)-INDEX(Reference!$B$6:$B$11,MIN(5,MATCH(MAX(Reference!$A$6,MIN(Reference!$A$11,MIN($U62,90))),Reference!$A$6:$A$11,1))))/(INDEX(Reference!$A$6:$A$11,MIN(5,MATCH(MAX(Reference!$A$6,MIN(Reference!$A$11,MIN($U62,90))),Reference!$A$6:$A$11,1))+1)-INDEX(Reference!$A$6:$A$11,MIN(5,MATCH(MAX(Reference!$A$6,MIN(Reference!$A$11,MIN($U62,90))),Reference!$A$6:$A$11,1))))),0)+IF(2&lt;=$AL62,($AL62-2+3)*(INDEX(Reference!$B$6:$B$11,MIN(5,MATCH(MAX(Reference!$A$6,MIN(Reference!$A$11,MIN($U62,120))),Reference!$A$6:$A$11,1)))+(MAX(Reference!$A$6,MIN(Reference!$A$11,MIN($U62,120)))-INDEX(Reference!$A$6:$A$11,MIN(5,MATCH(MAX(Reference!$A$6,MIN(Reference!$A$11,MIN($U62,120))),Reference!$A$6:$A$11,1))))*(INDEX(Reference!$B$6:$B$11,MIN(5,MATCH(MAX(Reference!$A$6,MIN(Reference!$A$11,MIN($U62,120))),Reference!$A$6:$A$11,1))+1)-INDEX(Reference!$B$6:$B$11,MIN(5,MATCH(MAX(Reference!$A$6,MIN(Reference!$A$11,MIN($U62,120))),Reference!$A$6:$A$11,1))))/(INDEX(Reference!$A$6:$A$11,MIN(5,MATCH(MAX(Reference!$A$6,MIN(Reference!$A$11,MIN($U62,120))),Reference!$A$6:$A$11,1))+1)-INDEX(Reference!$A$6:$A$11,MIN(5,MATCH(MAX(Reference!$A$6,MIN(Reference!$A$11,MIN($U62,120))),Reference!$A$6:$A$11,1))))),0)+IF(3&lt;=$AL62,($AL62-3+3)*(INDEX(Reference!$B$6:$B$11,MIN(5,MATCH(MAX(Reference!$A$6,MIN(Reference!$A$11,MIN($U62,150))),Reference!$A$6:$A$11,1)))+(MAX(Reference!$A$6,MIN(Reference!$A$11,MIN($U62,150)))-INDEX(Reference!$A$6:$A$11,MIN(5,MATCH(MAX(Reference!$A$6,MIN(Reference!$A$11,MIN($U62,150))),Reference!$A$6:$A$11,1))))*(INDEX(Reference!$B$6:$B$11,MIN(5,MATCH(MAX(Reference!$A$6,MIN(Reference!$A$11,MIN($U62,150))),Reference!$A$6:$A$11,1))+1)-INDEX(Reference!$B$6:$B$11,MIN(5,MATCH(MAX(Reference!$A$6,MIN(Reference!$A$11,MIN($U62,150))),Reference!$A$6:$A$11,1))))/(INDEX(Reference!$A$6:$A$11,MIN(5,MATCH(MAX(Reference!$A$6,MIN(Reference!$A$11,MIN($U62,150))),Reference!$A$6:$A$11,1))+1)-INDEX(Reference!$A$6:$A$11,MIN(5,MATCH(MAX(Reference!$A$6,MIN(Reference!$A$11,MIN($U62,150))),Reference!$A$6:$A$11,1))))),0)+IF(4&lt;=$AL62,($AL62-4+3)*(INDEX(Reference!$B$6:$B$11,MIN(5,MATCH(MAX(Reference!$A$6,MIN(Reference!$A$11,MIN($U62,180))),Reference!$A$6:$A$11,1)))+(MAX(Reference!$A$6,MIN(Reference!$A$11,MIN($U62,180)))-INDEX(Reference!$A$6:$A$11,MIN(5,MATCH(MAX(Reference!$A$6,MIN(Reference!$A$11,MIN($U62,180))),Reference!$A$6:$A$11,1))))*(INDEX(Reference!$B$6:$B$11,MIN(5,MATCH(MAX(Reference!$A$6,MIN(Reference!$A$11,MIN($U62,180))),Reference!$A$6:$A$11,1))+1)-INDEX(Reference!$B$6:$B$11,MIN(5,MATCH(MAX(Reference!$A$6,MIN(Reference!$A$11,MIN($U62,180))),Reference!$A$6:$A$11,1))))/(INDEX(Reference!$A$6:$A$11,MIN(5,MATCH(MAX(Reference!$A$6,MIN(Reference!$A$11,MIN($U62,180))),Reference!$A$6:$A$11,1))+1)-INDEX(Reference!$A$6:$A$11,MIN(5,MATCH(MAX(Reference!$A$6,MIN(Reference!$A$11,MIN($U62,180))),Reference!$A$6:$A$11,1))))),0)+IF(5&lt;=$AL62,($AL62-5+3)*(INDEX(Reference!$B$6:$B$11,MIN(5,MATCH(MAX(Reference!$A$6,MIN(Reference!$A$11,MIN($U62,210))),Reference!$A$6:$A$11,1)))+(MAX(Reference!$A$6,MIN(Reference!$A$11,MIN($U62,210)))-INDEX(Reference!$A$6:$A$11,MIN(5,MATCH(MAX(Reference!$A$6,MIN(Reference!$A$11,MIN($U62,210))),Reference!$A$6:$A$11,1))))*(INDEX(Reference!$B$6:$B$11,MIN(5,MATCH(MAX(Reference!$A$6,MIN(Reference!$A$11,MIN($U62,210))),Reference!$A$6:$A$11,1))+1)-INDEX(Reference!$B$6:$B$11,MIN(5,MATCH(MAX(Reference!$A$6,MIN(Reference!$A$11,MIN($U62,210))),Reference!$A$6:$A$11,1))))/(INDEX(Reference!$A$6:$A$11,MIN(5,MATCH(MAX(Reference!$A$6,MIN(Reference!$A$11,MIN($U62,210))),Reference!$A$6:$A$11,1))+1)-INDEX(Reference!$A$6:$A$11,MIN(5,MATCH(MAX(Reference!$A$6,MIN(Reference!$A$11,MIN($U62,210))),Reference!$A$6:$A$11,1))))),0)+IF(6&lt;=$AL62,($AL62-6+3)*(INDEX(Reference!$B$6:$B$11,MIN(5,MATCH(MAX(Reference!$A$6,MIN(Reference!$A$11,MIN($U62,240))),Reference!$A$6:$A$11,1)))+(MAX(Reference!$A$6,MIN(Reference!$A$11,MIN($U62,240)))-INDEX(Reference!$A$6:$A$11,MIN(5,MATCH(MAX(Reference!$A$6,MIN(Reference!$A$11,MIN($U62,240))),Reference!$A$6:$A$11,1))))*(INDEX(Reference!$B$6:$B$11,MIN(5,MATCH(MAX(Reference!$A$6,MIN(Reference!$A$11,MIN($U62,240))),Reference!$A$6:$A$11,1))+1)-INDEX(Reference!$B$6:$B$11,MIN(5,MATCH(MAX(Reference!$A$6,MIN(Reference!$A$11,MIN($U62,240))),Reference!$A$6:$A$11,1))))/(INDEX(Reference!$A$6:$A$11,MIN(5,MATCH(MAX(Reference!$A$6,MIN(Reference!$A$11,MIN($U62,240))),Reference!$A$6:$A$11,1))+1)-INDEX(Reference!$A$6:$A$11,MIN(5,MATCH(MAX(Reference!$A$6,MIN(Reference!$A$11,MIN($U62,240))),Reference!$A$6:$A$11,1))))),0)+IF(7&lt;=$AL62,($AL62-7+3)*(INDEX(Reference!$B$6:$B$11,MIN(5,MATCH(MAX(Reference!$A$6,MIN(Reference!$A$11,MIN($U62,270))),Reference!$A$6:$A$11,1)))+(MAX(Reference!$A$6,MIN(Reference!$A$11,MIN($U62,270)))-INDEX(Reference!$A$6:$A$11,MIN(5,MATCH(MAX(Reference!$A$6,MIN(Reference!$A$11,MIN($U62,270))),Reference!$A$6:$A$11,1))))*(INDEX(Reference!$B$6:$B$11,MIN(5,MATCH(MAX(Reference!$A$6,MIN(Reference!$A$11,MIN($U62,270))),Reference!$A$6:$A$11,1))+1)-INDEX(Reference!$B$6:$B$11,MIN(5,MATCH(MAX(Reference!$A$6,MIN(Reference!$A$11,MIN($U62,270))),Reference!$A$6:$A$11,1))))/(INDEX(Reference!$A$6:$A$11,MIN(5,MATCH(MAX(Reference!$A$6,MIN(Reference!$A$11,MIN($U62,270))),Reference!$A$6:$A$11,1))+1)-INDEX(Reference!$A$6:$A$11,MIN(5,MATCH(MAX(Reference!$A$6,MIN(Reference!$A$11,MIN($U62,270))),Reference!$A$6:$A$11,1))))),0)+IF(8&lt;=$AL62,($AL62-8+3)*(INDEX(Reference!$B$6:$B$11,MIN(5,MATCH(MAX(Reference!$A$6,MIN(Reference!$A$11,MIN($U62,300))),Reference!$A$6:$A$11,1)))+(MAX(Reference!$A$6,MIN(Reference!$A$11,MIN($U62,300)))-INDEX(Reference!$A$6:$A$11,MIN(5,MATCH(MAX(Reference!$A$6,MIN(Reference!$A$11,MIN($U62,300))),Reference!$A$6:$A$11,1))))*(INDEX(Reference!$B$6:$B$11,MIN(5,MATCH(MAX(Reference!$A$6,MIN(Reference!$A$11,MIN($U62,300))),Reference!$A$6:$A$11,1))+1)-INDEX(Reference!$B$6:$B$11,MIN(5,MATCH(MAX(Reference!$A$6,MIN(Reference!$A$11,MIN($U62,300))),Reference!$A$6:$A$11,1))))/(INDEX(Reference!$A$6:$A$11,MIN(5,MATCH(MAX(Reference!$A$6,MIN(Reference!$A$11,MIN($U62,300))),Reference!$A$6:$A$11,1))+1)-INDEX(Reference!$A$6:$A$11,MIN(5,MATCH(MAX(Reference!$A$6,MIN(Reference!$A$11,MIN($U62,300))),Reference!$A$6:$A$11,1))))),0))/($AL62*($AL62+5)/2)),$AN62))</f>
        <v>1.3</v>
      </c>
      <c r="AN62" s="32">
        <f>IF($U62="",0,(INDEX(Reference!$B$6:$B$11,MIN(5,MATCH(MAX(Reference!$A$6,MIN(Reference!$A$11,$U62)),Reference!$A$6:$A$11,1)))+(MAX(Reference!$A$6,MIN(Reference!$A$11,$U62))-INDEX(Reference!$A$6:$A$11,MIN(5,MATCH(MAX(Reference!$A$6,MIN(Reference!$A$11,$U62)),Reference!$A$6:$A$11,1))))*(INDEX(Reference!$B$6:$B$11,MIN(5,MATCH(MAX(Reference!$A$6,MIN(Reference!$A$11,$U62)),Reference!$A$6:$A$11,1))+1)-INDEX(Reference!$B$6:$B$11,MIN(5,MATCH(MAX(Reference!$A$6,MIN(Reference!$A$11,$U62)),Reference!$A$6:$A$11,1))))/(INDEX(Reference!$A$6:$A$11,MIN(5,MATCH(MAX(Reference!$A$6,MIN(Reference!$A$11,$U62)),Reference!$A$6:$A$11,1))+1)-INDEX(Reference!$A$6:$A$11,MIN(5,MATCH(MAX(Reference!$A$6,MIN(Reference!$A$11,$U62)),Reference!$A$6:$A$11,1))))))</f>
        <v>1.3</v>
      </c>
      <c r="AO62" s="37"/>
      <c r="AP62" s="37"/>
      <c r="AQ62" s="37"/>
    </row>
    <row r="63" spans="1:43" x14ac:dyDescent="0.3">
      <c r="A63" s="48">
        <f t="shared" si="5"/>
        <v>46362</v>
      </c>
      <c r="B63" s="32" t="str">
        <f t="shared" si="6"/>
        <v>Sun</v>
      </c>
      <c r="C63" s="32">
        <f t="shared" si="7"/>
        <v>25</v>
      </c>
      <c r="D63" s="32" t="str">
        <f t="shared" si="8"/>
        <v>Extension</v>
      </c>
      <c r="E63" s="32" t="str">
        <f t="shared" si="9"/>
        <v>No Throw</v>
      </c>
      <c r="F63" s="32" t="str">
        <f t="shared" si="10"/>
        <v>No Throw</v>
      </c>
      <c r="G63" s="47" t="str">
        <f t="shared" si="11"/>
        <v>Off</v>
      </c>
      <c r="H63" s="30">
        <f t="shared" si="12"/>
        <v>0</v>
      </c>
      <c r="I63" s="46" t="str">
        <f>IF($A63="","",IF(AND($L63&lt;27,$K$12=0),"Building",IFERROR(((SUM($H$57:$H63)+$K$12*IF($L63&lt;6,SUMIFS('Throw Log'!$Q$5:$Q$300,'Throw Log'!$B$5:$B$300,$D$4,'Throw Log'!$A$5:$A$300,"&gt;="&amp;($D$6+$L63-6),'Throw Log'!$A$5:$A$300,"&lt;="&amp;($D$6-1)),0))/7)/((SUM($H$43:$H63)+$K$12*IF($L63&lt;27,SUMIFS('Throw Log'!$Q$5:$Q$300,'Throw Log'!$B$5:$B$300,$D$4,'Throw Log'!$A$5:$A$300,"&gt;="&amp;($D$6+$L63-27),'Throw Log'!$A$5:$A$300,"&lt;="&amp;($D$6-1)),0))/28),"")))</f>
        <v>Building</v>
      </c>
      <c r="J63" s="37"/>
      <c r="K63" s="37"/>
      <c r="L63" s="32">
        <v>20</v>
      </c>
      <c r="M63" s="32">
        <f t="shared" si="13"/>
        <v>3</v>
      </c>
      <c r="N63" s="32">
        <f t="shared" si="14"/>
        <v>6</v>
      </c>
      <c r="O63" s="32">
        <f t="shared" si="15"/>
        <v>0.54054054054054057</v>
      </c>
      <c r="P63" s="32">
        <f>IF(OR($A63="",N($C63)&lt;=7),"",$G$6*$G$9^($M63-1)*IF(AND(MOD($M63,Reference!$B$99)=0,$M63&lt;=$G$5-2),Reference!$B$100,1))</f>
        <v>105.79999999999998</v>
      </c>
      <c r="Q63" s="32">
        <f>IF($P63="","",IF(SUM($AK$57:$AK$63)=0,0,$P63*INDEX(Reference!$B$108:$B$114,$N63+1)/SUM($AK$57:$AK$63)))</f>
        <v>7.4059999999999997</v>
      </c>
      <c r="R63" s="32">
        <f t="shared" si="16"/>
        <v>105</v>
      </c>
      <c r="S63" s="32">
        <f t="shared" si="17"/>
        <v>90</v>
      </c>
      <c r="T63" s="32" t="str">
        <f>IF($A63="","",IF($C63=0,"Bullpen",IF(OR($C63=7,$C63=1,$C63=5),"Recovery/Easy Catch",IF($C63=6,"Compression/Pulldowns",IF(OR($C63=4,$C63=2),"Long Toss",IF($C63=3,"No Throw",IF($N63=2,"No Throw",IF($N63=6,IF($O63&lt;Reference!$B$104,"No Throw","Recovery/Easy Catch"),IF(OR($N63=0,$N63=4),"Recovery/Easy Catch",IF($N63=1,IF($R63&gt;75,"Long Toss","Recovery/Easy Catch"),IF($N63=3,IF($O63&lt;0.5,IF($S63&gt;75,"Long Toss","Recovery/Easy Catch"),"Compression/Pulldowns"),IF($S63&gt;75,"Long Toss","Recovery/Easy Catch"))))))))))))</f>
        <v>No Throw</v>
      </c>
      <c r="U63" s="32">
        <f t="shared" si="18"/>
        <v>60</v>
      </c>
      <c r="V63" s="32">
        <f t="shared" si="19"/>
        <v>20</v>
      </c>
      <c r="W63" s="32">
        <f t="shared" si="20"/>
        <v>24</v>
      </c>
      <c r="X63" s="32">
        <f t="shared" si="21"/>
        <v>0</v>
      </c>
      <c r="Y63" s="32" t="str">
        <f t="shared" si="22"/>
        <v/>
      </c>
      <c r="Z63" s="32" t="str">
        <f t="shared" si="23"/>
        <v/>
      </c>
      <c r="AA63" s="32" t="str">
        <f t="shared" si="24"/>
        <v/>
      </c>
      <c r="AB63" s="32">
        <f>IF($A63="","",IF($T63="No Throw",0,IF($K63&lt;&gt;"",$K63,IF($AA63&lt;&gt;"",ROUND($AA63*$D$12*IF($C63=0,1,$G$10),0),MIN(IF($T63="Recovery/Easy Catch",Reference!$B$103,IF($T63="Long Toss",Reference!$B$106,Reference!$B$102)),MAX(Reference!$B$101,ROUND(MAX(0,$Q63-$AE63)/$AF63,0)))))))</f>
        <v>0</v>
      </c>
      <c r="AC63" s="32">
        <f t="shared" si="25"/>
        <v>0</v>
      </c>
      <c r="AD63" s="32" t="b">
        <f t="shared" si="26"/>
        <v>1</v>
      </c>
      <c r="AE63" s="32">
        <f>IF($X63=0,0,$X63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63+$Z63)/2,0),Reference!$A$17:$B$20,2,TRUE()))</f>
        <v>0</v>
      </c>
      <c r="AF63" s="32">
        <f>IF(OR($A63="",$U63="",$T63="No Throw"),0,$AM63*VLOOKUP(MAX(($V63+$W63)/2,0),Reference!$A$17:$B$20,2,TRUE()))</f>
        <v>0</v>
      </c>
      <c r="AG63" s="32">
        <f>IF($AC63=0,0,$AC63*INDEX(Reference!$B$61:$B$62,MATCH("Bullpen",Reference!$A$61:$A$62,0))*VLOOKUP(MAX($D$5-($D$9+$E$9)/2,0),Reference!$A$17:$B$20,2,TRUE()))</f>
        <v>0</v>
      </c>
      <c r="AH63" s="32" t="e">
        <f t="shared" si="27"/>
        <v>#N/A</v>
      </c>
      <c r="AI63" s="32">
        <f>IF($A63="",NA(),Reference!$A$25)</f>
        <v>0.8</v>
      </c>
      <c r="AJ63" s="32">
        <f t="shared" si="28"/>
        <v>1.3</v>
      </c>
      <c r="AK63" s="32">
        <f>IF(OR($A63="",N($C63)&lt;=7,$T63="No Throw",$J63="x"),0,INDEX(Reference!$B$108:$B$114,$N63+1))</f>
        <v>0</v>
      </c>
      <c r="AL63" s="32">
        <f t="shared" si="29"/>
        <v>1</v>
      </c>
      <c r="AM63" s="32">
        <f>IF($U63="",0,IF($AL63&gt;1,((IF(1&lt;=$AL63,($AL63-1+3)*(INDEX(Reference!$B$6:$B$11,MIN(5,MATCH(MAX(Reference!$A$6,MIN(Reference!$A$11,MIN($U63,90))),Reference!$A$6:$A$11,1)))+(MAX(Reference!$A$6,MIN(Reference!$A$11,MIN($U63,90)))-INDEX(Reference!$A$6:$A$11,MIN(5,MATCH(MAX(Reference!$A$6,MIN(Reference!$A$11,MIN($U63,90))),Reference!$A$6:$A$11,1))))*(INDEX(Reference!$B$6:$B$11,MIN(5,MATCH(MAX(Reference!$A$6,MIN(Reference!$A$11,MIN($U63,90))),Reference!$A$6:$A$11,1))+1)-INDEX(Reference!$B$6:$B$11,MIN(5,MATCH(MAX(Reference!$A$6,MIN(Reference!$A$11,MIN($U63,90))),Reference!$A$6:$A$11,1))))/(INDEX(Reference!$A$6:$A$11,MIN(5,MATCH(MAX(Reference!$A$6,MIN(Reference!$A$11,MIN($U63,90))),Reference!$A$6:$A$11,1))+1)-INDEX(Reference!$A$6:$A$11,MIN(5,MATCH(MAX(Reference!$A$6,MIN(Reference!$A$11,MIN($U63,90))),Reference!$A$6:$A$11,1))))),0)+IF(2&lt;=$AL63,($AL63-2+3)*(INDEX(Reference!$B$6:$B$11,MIN(5,MATCH(MAX(Reference!$A$6,MIN(Reference!$A$11,MIN($U63,120))),Reference!$A$6:$A$11,1)))+(MAX(Reference!$A$6,MIN(Reference!$A$11,MIN($U63,120)))-INDEX(Reference!$A$6:$A$11,MIN(5,MATCH(MAX(Reference!$A$6,MIN(Reference!$A$11,MIN($U63,120))),Reference!$A$6:$A$11,1))))*(INDEX(Reference!$B$6:$B$11,MIN(5,MATCH(MAX(Reference!$A$6,MIN(Reference!$A$11,MIN($U63,120))),Reference!$A$6:$A$11,1))+1)-INDEX(Reference!$B$6:$B$11,MIN(5,MATCH(MAX(Reference!$A$6,MIN(Reference!$A$11,MIN($U63,120))),Reference!$A$6:$A$11,1))))/(INDEX(Reference!$A$6:$A$11,MIN(5,MATCH(MAX(Reference!$A$6,MIN(Reference!$A$11,MIN($U63,120))),Reference!$A$6:$A$11,1))+1)-INDEX(Reference!$A$6:$A$11,MIN(5,MATCH(MAX(Reference!$A$6,MIN(Reference!$A$11,MIN($U63,120))),Reference!$A$6:$A$11,1))))),0)+IF(3&lt;=$AL63,($AL63-3+3)*(INDEX(Reference!$B$6:$B$11,MIN(5,MATCH(MAX(Reference!$A$6,MIN(Reference!$A$11,MIN($U63,150))),Reference!$A$6:$A$11,1)))+(MAX(Reference!$A$6,MIN(Reference!$A$11,MIN($U63,150)))-INDEX(Reference!$A$6:$A$11,MIN(5,MATCH(MAX(Reference!$A$6,MIN(Reference!$A$11,MIN($U63,150))),Reference!$A$6:$A$11,1))))*(INDEX(Reference!$B$6:$B$11,MIN(5,MATCH(MAX(Reference!$A$6,MIN(Reference!$A$11,MIN($U63,150))),Reference!$A$6:$A$11,1))+1)-INDEX(Reference!$B$6:$B$11,MIN(5,MATCH(MAX(Reference!$A$6,MIN(Reference!$A$11,MIN($U63,150))),Reference!$A$6:$A$11,1))))/(INDEX(Reference!$A$6:$A$11,MIN(5,MATCH(MAX(Reference!$A$6,MIN(Reference!$A$11,MIN($U63,150))),Reference!$A$6:$A$11,1))+1)-INDEX(Reference!$A$6:$A$11,MIN(5,MATCH(MAX(Reference!$A$6,MIN(Reference!$A$11,MIN($U63,150))),Reference!$A$6:$A$11,1))))),0)+IF(4&lt;=$AL63,($AL63-4+3)*(INDEX(Reference!$B$6:$B$11,MIN(5,MATCH(MAX(Reference!$A$6,MIN(Reference!$A$11,MIN($U63,180))),Reference!$A$6:$A$11,1)))+(MAX(Reference!$A$6,MIN(Reference!$A$11,MIN($U63,180)))-INDEX(Reference!$A$6:$A$11,MIN(5,MATCH(MAX(Reference!$A$6,MIN(Reference!$A$11,MIN($U63,180))),Reference!$A$6:$A$11,1))))*(INDEX(Reference!$B$6:$B$11,MIN(5,MATCH(MAX(Reference!$A$6,MIN(Reference!$A$11,MIN($U63,180))),Reference!$A$6:$A$11,1))+1)-INDEX(Reference!$B$6:$B$11,MIN(5,MATCH(MAX(Reference!$A$6,MIN(Reference!$A$11,MIN($U63,180))),Reference!$A$6:$A$11,1))))/(INDEX(Reference!$A$6:$A$11,MIN(5,MATCH(MAX(Reference!$A$6,MIN(Reference!$A$11,MIN($U63,180))),Reference!$A$6:$A$11,1))+1)-INDEX(Reference!$A$6:$A$11,MIN(5,MATCH(MAX(Reference!$A$6,MIN(Reference!$A$11,MIN($U63,180))),Reference!$A$6:$A$11,1))))),0)+IF(5&lt;=$AL63,($AL63-5+3)*(INDEX(Reference!$B$6:$B$11,MIN(5,MATCH(MAX(Reference!$A$6,MIN(Reference!$A$11,MIN($U63,210))),Reference!$A$6:$A$11,1)))+(MAX(Reference!$A$6,MIN(Reference!$A$11,MIN($U63,210)))-INDEX(Reference!$A$6:$A$11,MIN(5,MATCH(MAX(Reference!$A$6,MIN(Reference!$A$11,MIN($U63,210))),Reference!$A$6:$A$11,1))))*(INDEX(Reference!$B$6:$B$11,MIN(5,MATCH(MAX(Reference!$A$6,MIN(Reference!$A$11,MIN($U63,210))),Reference!$A$6:$A$11,1))+1)-INDEX(Reference!$B$6:$B$11,MIN(5,MATCH(MAX(Reference!$A$6,MIN(Reference!$A$11,MIN($U63,210))),Reference!$A$6:$A$11,1))))/(INDEX(Reference!$A$6:$A$11,MIN(5,MATCH(MAX(Reference!$A$6,MIN(Reference!$A$11,MIN($U63,210))),Reference!$A$6:$A$11,1))+1)-INDEX(Reference!$A$6:$A$11,MIN(5,MATCH(MAX(Reference!$A$6,MIN(Reference!$A$11,MIN($U63,210))),Reference!$A$6:$A$11,1))))),0)+IF(6&lt;=$AL63,($AL63-6+3)*(INDEX(Reference!$B$6:$B$11,MIN(5,MATCH(MAX(Reference!$A$6,MIN(Reference!$A$11,MIN($U63,240))),Reference!$A$6:$A$11,1)))+(MAX(Reference!$A$6,MIN(Reference!$A$11,MIN($U63,240)))-INDEX(Reference!$A$6:$A$11,MIN(5,MATCH(MAX(Reference!$A$6,MIN(Reference!$A$11,MIN($U63,240))),Reference!$A$6:$A$11,1))))*(INDEX(Reference!$B$6:$B$11,MIN(5,MATCH(MAX(Reference!$A$6,MIN(Reference!$A$11,MIN($U63,240))),Reference!$A$6:$A$11,1))+1)-INDEX(Reference!$B$6:$B$11,MIN(5,MATCH(MAX(Reference!$A$6,MIN(Reference!$A$11,MIN($U63,240))),Reference!$A$6:$A$11,1))))/(INDEX(Reference!$A$6:$A$11,MIN(5,MATCH(MAX(Reference!$A$6,MIN(Reference!$A$11,MIN($U63,240))),Reference!$A$6:$A$11,1))+1)-INDEX(Reference!$A$6:$A$11,MIN(5,MATCH(MAX(Reference!$A$6,MIN(Reference!$A$11,MIN($U63,240))),Reference!$A$6:$A$11,1))))),0)+IF(7&lt;=$AL63,($AL63-7+3)*(INDEX(Reference!$B$6:$B$11,MIN(5,MATCH(MAX(Reference!$A$6,MIN(Reference!$A$11,MIN($U63,270))),Reference!$A$6:$A$11,1)))+(MAX(Reference!$A$6,MIN(Reference!$A$11,MIN($U63,270)))-INDEX(Reference!$A$6:$A$11,MIN(5,MATCH(MAX(Reference!$A$6,MIN(Reference!$A$11,MIN($U63,270))),Reference!$A$6:$A$11,1))))*(INDEX(Reference!$B$6:$B$11,MIN(5,MATCH(MAX(Reference!$A$6,MIN(Reference!$A$11,MIN($U63,270))),Reference!$A$6:$A$11,1))+1)-INDEX(Reference!$B$6:$B$11,MIN(5,MATCH(MAX(Reference!$A$6,MIN(Reference!$A$11,MIN($U63,270))),Reference!$A$6:$A$11,1))))/(INDEX(Reference!$A$6:$A$11,MIN(5,MATCH(MAX(Reference!$A$6,MIN(Reference!$A$11,MIN($U63,270))),Reference!$A$6:$A$11,1))+1)-INDEX(Reference!$A$6:$A$11,MIN(5,MATCH(MAX(Reference!$A$6,MIN(Reference!$A$11,MIN($U63,270))),Reference!$A$6:$A$11,1))))),0)+IF(8&lt;=$AL63,($AL63-8+3)*(INDEX(Reference!$B$6:$B$11,MIN(5,MATCH(MAX(Reference!$A$6,MIN(Reference!$A$11,MIN($U63,300))),Reference!$A$6:$A$11,1)))+(MAX(Reference!$A$6,MIN(Reference!$A$11,MIN($U63,300)))-INDEX(Reference!$A$6:$A$11,MIN(5,MATCH(MAX(Reference!$A$6,MIN(Reference!$A$11,MIN($U63,300))),Reference!$A$6:$A$11,1))))*(INDEX(Reference!$B$6:$B$11,MIN(5,MATCH(MAX(Reference!$A$6,MIN(Reference!$A$11,MIN($U63,300))),Reference!$A$6:$A$11,1))+1)-INDEX(Reference!$B$6:$B$11,MIN(5,MATCH(MAX(Reference!$A$6,MIN(Reference!$A$11,MIN($U63,300))),Reference!$A$6:$A$11,1))))/(INDEX(Reference!$A$6:$A$11,MIN(5,MATCH(MAX(Reference!$A$6,MIN(Reference!$A$11,MIN($U63,300))),Reference!$A$6:$A$11,1))+1)-INDEX(Reference!$A$6:$A$11,MIN(5,MATCH(MAX(Reference!$A$6,MIN(Reference!$A$11,MIN($U63,300))),Reference!$A$6:$A$11,1))))),0))/($AL63*($AL63+5)/2)),$AN63))</f>
        <v>1</v>
      </c>
      <c r="AN63" s="32">
        <f>IF($U63="",0,(INDEX(Reference!$B$6:$B$11,MIN(5,MATCH(MAX(Reference!$A$6,MIN(Reference!$A$11,$U63)),Reference!$A$6:$A$11,1)))+(MAX(Reference!$A$6,MIN(Reference!$A$11,$U63))-INDEX(Reference!$A$6:$A$11,MIN(5,MATCH(MAX(Reference!$A$6,MIN(Reference!$A$11,$U63)),Reference!$A$6:$A$11,1))))*(INDEX(Reference!$B$6:$B$11,MIN(5,MATCH(MAX(Reference!$A$6,MIN(Reference!$A$11,$U63)),Reference!$A$6:$A$11,1))+1)-INDEX(Reference!$B$6:$B$11,MIN(5,MATCH(MAX(Reference!$A$6,MIN(Reference!$A$11,$U63)),Reference!$A$6:$A$11,1))))/(INDEX(Reference!$A$6:$A$11,MIN(5,MATCH(MAX(Reference!$A$6,MIN(Reference!$A$11,$U63)),Reference!$A$6:$A$11,1))+1)-INDEX(Reference!$A$6:$A$11,MIN(5,MATCH(MAX(Reference!$A$6,MIN(Reference!$A$11,$U63)),Reference!$A$6:$A$11,1))))))</f>
        <v>1</v>
      </c>
      <c r="AO63" s="37"/>
      <c r="AP63" s="37"/>
      <c r="AQ63" s="37"/>
    </row>
    <row r="64" spans="1:43" x14ac:dyDescent="0.3">
      <c r="A64" s="48">
        <f t="shared" si="5"/>
        <v>46363</v>
      </c>
      <c r="B64" s="32" t="str">
        <f t="shared" si="6"/>
        <v>Mon</v>
      </c>
      <c r="C64" s="32">
        <f t="shared" si="7"/>
        <v>24</v>
      </c>
      <c r="D64" s="32" t="str">
        <f t="shared" si="8"/>
        <v>Extension</v>
      </c>
      <c r="E64" s="32" t="str">
        <f t="shared" si="9"/>
        <v>Low</v>
      </c>
      <c r="F64" s="32" t="str">
        <f t="shared" si="10"/>
        <v>Recovery/Easy Catch</v>
      </c>
      <c r="G64" s="47" t="str">
        <f t="shared" si="11"/>
        <v>75 ft × 20 @ 66–70 mph</v>
      </c>
      <c r="H64" s="30">
        <f t="shared" si="12"/>
        <v>13.799999999999999</v>
      </c>
      <c r="I64" s="46" t="str">
        <f>IF($A64="","",IF(AND($L64&lt;27,$K$12=0),"Building",IFERROR(((SUM($H$58:$H64)+$K$12*IF($L64&lt;6,SUMIFS('Throw Log'!$Q$5:$Q$300,'Throw Log'!$B$5:$B$300,$D$4,'Throw Log'!$A$5:$A$300,"&gt;="&amp;($D$6+$L64-6),'Throw Log'!$A$5:$A$300,"&lt;="&amp;($D$6-1)),0))/7)/((SUM($H$43:$H64)+$K$12*IF($L64&lt;27,SUMIFS('Throw Log'!$Q$5:$Q$300,'Throw Log'!$B$5:$B$300,$D$4,'Throw Log'!$A$5:$A$300,"&gt;="&amp;($D$6+$L64-27),'Throw Log'!$A$5:$A$300,"&lt;="&amp;($D$6-1)),0))/28),"")))</f>
        <v>Building</v>
      </c>
      <c r="J64" s="37"/>
      <c r="K64" s="37"/>
      <c r="L64" s="32">
        <v>21</v>
      </c>
      <c r="M64" s="32">
        <f t="shared" si="13"/>
        <v>4</v>
      </c>
      <c r="N64" s="32">
        <f t="shared" si="14"/>
        <v>0</v>
      </c>
      <c r="O64" s="32">
        <f t="shared" si="15"/>
        <v>0.56756756756756754</v>
      </c>
      <c r="P64" s="32">
        <f>IF(OR($A64="",N($C64)&lt;=7),"",$G$6*$G$9^($M64-1)*IF(AND(MOD($M64,Reference!$B$99)=0,$M64&lt;=$G$5-2),Reference!$B$100,1))</f>
        <v>103.41949999999996</v>
      </c>
      <c r="Q64" s="32">
        <f>IF($P64="","",IF(SUM($AK$64:$AK$70)=0,0,$P64*INDEX(Reference!$B$108:$B$114,$N64+1)/SUM($AK$64:$AK$70)))</f>
        <v>12.410339999999994</v>
      </c>
      <c r="R64" s="32">
        <f t="shared" si="16"/>
        <v>105</v>
      </c>
      <c r="S64" s="32">
        <f t="shared" si="17"/>
        <v>90</v>
      </c>
      <c r="T64" s="32" t="str">
        <f>IF($A64="","",IF($C64=0,"Bullpen",IF(OR($C64=7,$C64=1,$C64=5),"Recovery/Easy Catch",IF($C64=6,"Compression/Pulldowns",IF(OR($C64=4,$C64=2),"Long Toss",IF($C64=3,"No Throw",IF($N64=2,"No Throw",IF($N64=6,IF($O64&lt;Reference!$B$104,"No Throw","Recovery/Easy Catch"),IF(OR($N64=0,$N64=4),"Recovery/Easy Catch",IF($N64=1,IF($R64&gt;75,"Long Toss","Recovery/Easy Catch"),IF($N64=3,IF($O64&lt;0.5,IF($S64&gt;75,"Long Toss","Recovery/Easy Catch"),"Compression/Pulldowns"),IF($S64&gt;75,"Long Toss","Recovery/Easy Catch"))))))))))))</f>
        <v>Recovery/Easy Catch</v>
      </c>
      <c r="U64" s="32">
        <f t="shared" si="18"/>
        <v>75</v>
      </c>
      <c r="V64" s="32">
        <f t="shared" si="19"/>
        <v>18</v>
      </c>
      <c r="W64" s="32">
        <f t="shared" si="20"/>
        <v>22</v>
      </c>
      <c r="X64" s="32">
        <f t="shared" si="21"/>
        <v>0</v>
      </c>
      <c r="Y64" s="32" t="str">
        <f t="shared" si="22"/>
        <v/>
      </c>
      <c r="Z64" s="32" t="str">
        <f t="shared" si="23"/>
        <v/>
      </c>
      <c r="AA64" s="32" t="str">
        <f t="shared" si="24"/>
        <v/>
      </c>
      <c r="AB64" s="32">
        <f>IF($A64="","",IF($T64="No Throw",0,IF($K64&lt;&gt;"",$K64,IF($AA64&lt;&gt;"",ROUND($AA64*$D$12*IF($C64=0,1,$G$10),0),MIN(IF($T64="Recovery/Easy Catch",Reference!$B$103,IF($T64="Long Toss",Reference!$B$106,Reference!$B$102)),MAX(Reference!$B$101,ROUND(MAX(0,$Q64-$AE64)/$AF64,0)))))))</f>
        <v>20</v>
      </c>
      <c r="AC64" s="32">
        <f t="shared" si="25"/>
        <v>0</v>
      </c>
      <c r="AD64" s="32" t="b">
        <f t="shared" si="26"/>
        <v>0</v>
      </c>
      <c r="AE64" s="32">
        <f>IF($X64=0,0,$X64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64+$Z64)/2,0),Reference!$A$17:$B$20,2,TRUE()))</f>
        <v>0</v>
      </c>
      <c r="AF64" s="32">
        <f>IF(OR($A64="",$U64="",$T64="No Throw"),0,$AM64*VLOOKUP(MAX(($V64+$W64)/2,0),Reference!$A$17:$B$20,2,TRUE()))</f>
        <v>0.69</v>
      </c>
      <c r="AG64" s="32">
        <f>IF($AC64=0,0,$AC64*INDEX(Reference!$B$61:$B$62,MATCH("Bullpen",Reference!$A$61:$A$62,0))*VLOOKUP(MAX($D$5-($D$9+$E$9)/2,0),Reference!$A$17:$B$20,2,TRUE()))</f>
        <v>0</v>
      </c>
      <c r="AH64" s="32" t="e">
        <f t="shared" si="27"/>
        <v>#N/A</v>
      </c>
      <c r="AI64" s="32">
        <f>IF($A64="",NA(),Reference!$A$25)</f>
        <v>0.8</v>
      </c>
      <c r="AJ64" s="32">
        <f t="shared" si="28"/>
        <v>1.3</v>
      </c>
      <c r="AK64" s="56">
        <f>IF(OR($A64="",N($C64)&lt;=7,$T64="No Throw",$J64="x"),0,INDEX(Reference!$B$108:$B$114,$N64+1))</f>
        <v>0.12</v>
      </c>
      <c r="AL64" s="32">
        <f t="shared" si="29"/>
        <v>1</v>
      </c>
      <c r="AM64" s="32">
        <f>IF($U64="",0,IF($AL64&gt;1,((IF(1&lt;=$AL64,($AL64-1+3)*(INDEX(Reference!$B$6:$B$11,MIN(5,MATCH(MAX(Reference!$A$6,MIN(Reference!$A$11,MIN($U64,90))),Reference!$A$6:$A$11,1)))+(MAX(Reference!$A$6,MIN(Reference!$A$11,MIN($U64,90)))-INDEX(Reference!$A$6:$A$11,MIN(5,MATCH(MAX(Reference!$A$6,MIN(Reference!$A$11,MIN($U64,90))),Reference!$A$6:$A$11,1))))*(INDEX(Reference!$B$6:$B$11,MIN(5,MATCH(MAX(Reference!$A$6,MIN(Reference!$A$11,MIN($U64,90))),Reference!$A$6:$A$11,1))+1)-INDEX(Reference!$B$6:$B$11,MIN(5,MATCH(MAX(Reference!$A$6,MIN(Reference!$A$11,MIN($U64,90))),Reference!$A$6:$A$11,1))))/(INDEX(Reference!$A$6:$A$11,MIN(5,MATCH(MAX(Reference!$A$6,MIN(Reference!$A$11,MIN($U64,90))),Reference!$A$6:$A$11,1))+1)-INDEX(Reference!$A$6:$A$11,MIN(5,MATCH(MAX(Reference!$A$6,MIN(Reference!$A$11,MIN($U64,90))),Reference!$A$6:$A$11,1))))),0)+IF(2&lt;=$AL64,($AL64-2+3)*(INDEX(Reference!$B$6:$B$11,MIN(5,MATCH(MAX(Reference!$A$6,MIN(Reference!$A$11,MIN($U64,120))),Reference!$A$6:$A$11,1)))+(MAX(Reference!$A$6,MIN(Reference!$A$11,MIN($U64,120)))-INDEX(Reference!$A$6:$A$11,MIN(5,MATCH(MAX(Reference!$A$6,MIN(Reference!$A$11,MIN($U64,120))),Reference!$A$6:$A$11,1))))*(INDEX(Reference!$B$6:$B$11,MIN(5,MATCH(MAX(Reference!$A$6,MIN(Reference!$A$11,MIN($U64,120))),Reference!$A$6:$A$11,1))+1)-INDEX(Reference!$B$6:$B$11,MIN(5,MATCH(MAX(Reference!$A$6,MIN(Reference!$A$11,MIN($U64,120))),Reference!$A$6:$A$11,1))))/(INDEX(Reference!$A$6:$A$11,MIN(5,MATCH(MAX(Reference!$A$6,MIN(Reference!$A$11,MIN($U64,120))),Reference!$A$6:$A$11,1))+1)-INDEX(Reference!$A$6:$A$11,MIN(5,MATCH(MAX(Reference!$A$6,MIN(Reference!$A$11,MIN($U64,120))),Reference!$A$6:$A$11,1))))),0)+IF(3&lt;=$AL64,($AL64-3+3)*(INDEX(Reference!$B$6:$B$11,MIN(5,MATCH(MAX(Reference!$A$6,MIN(Reference!$A$11,MIN($U64,150))),Reference!$A$6:$A$11,1)))+(MAX(Reference!$A$6,MIN(Reference!$A$11,MIN($U64,150)))-INDEX(Reference!$A$6:$A$11,MIN(5,MATCH(MAX(Reference!$A$6,MIN(Reference!$A$11,MIN($U64,150))),Reference!$A$6:$A$11,1))))*(INDEX(Reference!$B$6:$B$11,MIN(5,MATCH(MAX(Reference!$A$6,MIN(Reference!$A$11,MIN($U64,150))),Reference!$A$6:$A$11,1))+1)-INDEX(Reference!$B$6:$B$11,MIN(5,MATCH(MAX(Reference!$A$6,MIN(Reference!$A$11,MIN($U64,150))),Reference!$A$6:$A$11,1))))/(INDEX(Reference!$A$6:$A$11,MIN(5,MATCH(MAX(Reference!$A$6,MIN(Reference!$A$11,MIN($U64,150))),Reference!$A$6:$A$11,1))+1)-INDEX(Reference!$A$6:$A$11,MIN(5,MATCH(MAX(Reference!$A$6,MIN(Reference!$A$11,MIN($U64,150))),Reference!$A$6:$A$11,1))))),0)+IF(4&lt;=$AL64,($AL64-4+3)*(INDEX(Reference!$B$6:$B$11,MIN(5,MATCH(MAX(Reference!$A$6,MIN(Reference!$A$11,MIN($U64,180))),Reference!$A$6:$A$11,1)))+(MAX(Reference!$A$6,MIN(Reference!$A$11,MIN($U64,180)))-INDEX(Reference!$A$6:$A$11,MIN(5,MATCH(MAX(Reference!$A$6,MIN(Reference!$A$11,MIN($U64,180))),Reference!$A$6:$A$11,1))))*(INDEX(Reference!$B$6:$B$11,MIN(5,MATCH(MAX(Reference!$A$6,MIN(Reference!$A$11,MIN($U64,180))),Reference!$A$6:$A$11,1))+1)-INDEX(Reference!$B$6:$B$11,MIN(5,MATCH(MAX(Reference!$A$6,MIN(Reference!$A$11,MIN($U64,180))),Reference!$A$6:$A$11,1))))/(INDEX(Reference!$A$6:$A$11,MIN(5,MATCH(MAX(Reference!$A$6,MIN(Reference!$A$11,MIN($U64,180))),Reference!$A$6:$A$11,1))+1)-INDEX(Reference!$A$6:$A$11,MIN(5,MATCH(MAX(Reference!$A$6,MIN(Reference!$A$11,MIN($U64,180))),Reference!$A$6:$A$11,1))))),0)+IF(5&lt;=$AL64,($AL64-5+3)*(INDEX(Reference!$B$6:$B$11,MIN(5,MATCH(MAX(Reference!$A$6,MIN(Reference!$A$11,MIN($U64,210))),Reference!$A$6:$A$11,1)))+(MAX(Reference!$A$6,MIN(Reference!$A$11,MIN($U64,210)))-INDEX(Reference!$A$6:$A$11,MIN(5,MATCH(MAX(Reference!$A$6,MIN(Reference!$A$11,MIN($U64,210))),Reference!$A$6:$A$11,1))))*(INDEX(Reference!$B$6:$B$11,MIN(5,MATCH(MAX(Reference!$A$6,MIN(Reference!$A$11,MIN($U64,210))),Reference!$A$6:$A$11,1))+1)-INDEX(Reference!$B$6:$B$11,MIN(5,MATCH(MAX(Reference!$A$6,MIN(Reference!$A$11,MIN($U64,210))),Reference!$A$6:$A$11,1))))/(INDEX(Reference!$A$6:$A$11,MIN(5,MATCH(MAX(Reference!$A$6,MIN(Reference!$A$11,MIN($U64,210))),Reference!$A$6:$A$11,1))+1)-INDEX(Reference!$A$6:$A$11,MIN(5,MATCH(MAX(Reference!$A$6,MIN(Reference!$A$11,MIN($U64,210))),Reference!$A$6:$A$11,1))))),0)+IF(6&lt;=$AL64,($AL64-6+3)*(INDEX(Reference!$B$6:$B$11,MIN(5,MATCH(MAX(Reference!$A$6,MIN(Reference!$A$11,MIN($U64,240))),Reference!$A$6:$A$11,1)))+(MAX(Reference!$A$6,MIN(Reference!$A$11,MIN($U64,240)))-INDEX(Reference!$A$6:$A$11,MIN(5,MATCH(MAX(Reference!$A$6,MIN(Reference!$A$11,MIN($U64,240))),Reference!$A$6:$A$11,1))))*(INDEX(Reference!$B$6:$B$11,MIN(5,MATCH(MAX(Reference!$A$6,MIN(Reference!$A$11,MIN($U64,240))),Reference!$A$6:$A$11,1))+1)-INDEX(Reference!$B$6:$B$11,MIN(5,MATCH(MAX(Reference!$A$6,MIN(Reference!$A$11,MIN($U64,240))),Reference!$A$6:$A$11,1))))/(INDEX(Reference!$A$6:$A$11,MIN(5,MATCH(MAX(Reference!$A$6,MIN(Reference!$A$11,MIN($U64,240))),Reference!$A$6:$A$11,1))+1)-INDEX(Reference!$A$6:$A$11,MIN(5,MATCH(MAX(Reference!$A$6,MIN(Reference!$A$11,MIN($U64,240))),Reference!$A$6:$A$11,1))))),0)+IF(7&lt;=$AL64,($AL64-7+3)*(INDEX(Reference!$B$6:$B$11,MIN(5,MATCH(MAX(Reference!$A$6,MIN(Reference!$A$11,MIN($U64,270))),Reference!$A$6:$A$11,1)))+(MAX(Reference!$A$6,MIN(Reference!$A$11,MIN($U64,270)))-INDEX(Reference!$A$6:$A$11,MIN(5,MATCH(MAX(Reference!$A$6,MIN(Reference!$A$11,MIN($U64,270))),Reference!$A$6:$A$11,1))))*(INDEX(Reference!$B$6:$B$11,MIN(5,MATCH(MAX(Reference!$A$6,MIN(Reference!$A$11,MIN($U64,270))),Reference!$A$6:$A$11,1))+1)-INDEX(Reference!$B$6:$B$11,MIN(5,MATCH(MAX(Reference!$A$6,MIN(Reference!$A$11,MIN($U64,270))),Reference!$A$6:$A$11,1))))/(INDEX(Reference!$A$6:$A$11,MIN(5,MATCH(MAX(Reference!$A$6,MIN(Reference!$A$11,MIN($U64,270))),Reference!$A$6:$A$11,1))+1)-INDEX(Reference!$A$6:$A$11,MIN(5,MATCH(MAX(Reference!$A$6,MIN(Reference!$A$11,MIN($U64,270))),Reference!$A$6:$A$11,1))))),0)+IF(8&lt;=$AL64,($AL64-8+3)*(INDEX(Reference!$B$6:$B$11,MIN(5,MATCH(MAX(Reference!$A$6,MIN(Reference!$A$11,MIN($U64,300))),Reference!$A$6:$A$11,1)))+(MAX(Reference!$A$6,MIN(Reference!$A$11,MIN($U64,300)))-INDEX(Reference!$A$6:$A$11,MIN(5,MATCH(MAX(Reference!$A$6,MIN(Reference!$A$11,MIN($U64,300))),Reference!$A$6:$A$11,1))))*(INDEX(Reference!$B$6:$B$11,MIN(5,MATCH(MAX(Reference!$A$6,MIN(Reference!$A$11,MIN($U64,300))),Reference!$A$6:$A$11,1))+1)-INDEX(Reference!$B$6:$B$11,MIN(5,MATCH(MAX(Reference!$A$6,MIN(Reference!$A$11,MIN($U64,300))),Reference!$A$6:$A$11,1))))/(INDEX(Reference!$A$6:$A$11,MIN(5,MATCH(MAX(Reference!$A$6,MIN(Reference!$A$11,MIN($U64,300))),Reference!$A$6:$A$11,1))+1)-INDEX(Reference!$A$6:$A$11,MIN(5,MATCH(MAX(Reference!$A$6,MIN(Reference!$A$11,MIN($U64,300))),Reference!$A$6:$A$11,1))))),0))/($AL64*($AL64+5)/2)),$AN64))</f>
        <v>1.1499999999999999</v>
      </c>
      <c r="AN64" s="32">
        <f>IF($U64="",0,(INDEX(Reference!$B$6:$B$11,MIN(5,MATCH(MAX(Reference!$A$6,MIN(Reference!$A$11,$U64)),Reference!$A$6:$A$11,1)))+(MAX(Reference!$A$6,MIN(Reference!$A$11,$U64))-INDEX(Reference!$A$6:$A$11,MIN(5,MATCH(MAX(Reference!$A$6,MIN(Reference!$A$11,$U64)),Reference!$A$6:$A$11,1))))*(INDEX(Reference!$B$6:$B$11,MIN(5,MATCH(MAX(Reference!$A$6,MIN(Reference!$A$11,$U64)),Reference!$A$6:$A$11,1))+1)-INDEX(Reference!$B$6:$B$11,MIN(5,MATCH(MAX(Reference!$A$6,MIN(Reference!$A$11,$U64)),Reference!$A$6:$A$11,1))))/(INDEX(Reference!$A$6:$A$11,MIN(5,MATCH(MAX(Reference!$A$6,MIN(Reference!$A$11,$U64)),Reference!$A$6:$A$11,1))+1)-INDEX(Reference!$A$6:$A$11,MIN(5,MATCH(MAX(Reference!$A$6,MIN(Reference!$A$11,$U64)),Reference!$A$6:$A$11,1))))))</f>
        <v>1.1499999999999999</v>
      </c>
      <c r="AO64" s="37"/>
      <c r="AP64" s="37"/>
      <c r="AQ64" s="37"/>
    </row>
    <row r="65" spans="1:43" ht="26.4" x14ac:dyDescent="0.3">
      <c r="A65" s="48">
        <f t="shared" si="5"/>
        <v>46364</v>
      </c>
      <c r="B65" s="32" t="str">
        <f t="shared" si="6"/>
        <v>Tue</v>
      </c>
      <c r="C65" s="32">
        <f t="shared" si="7"/>
        <v>23</v>
      </c>
      <c r="D65" s="32" t="str">
        <f t="shared" si="8"/>
        <v>Extension</v>
      </c>
      <c r="E65" s="32" t="str">
        <f t="shared" si="9"/>
        <v>Medium</v>
      </c>
      <c r="F65" s="32" t="str">
        <f t="shared" si="10"/>
        <v>Long Toss</v>
      </c>
      <c r="G65" s="47" t="str">
        <f t="shared" si="11"/>
        <v>Long toss out to 105 ft — 23 throws (90×13 · 105×10) @ 76–78 mph + 60 ft × 15 @ 76–78 mph</v>
      </c>
      <c r="H65" s="30">
        <f t="shared" si="12"/>
        <v>28.122857142857143</v>
      </c>
      <c r="I65" s="46" t="str">
        <f>IF($A65="","",IF(AND($L65&lt;27,$K$12=0),"Building",IFERROR(((SUM($H$59:$H65)+$K$12*IF($L65&lt;6,SUMIFS('Throw Log'!$Q$5:$Q$300,'Throw Log'!$B$5:$B$300,$D$4,'Throw Log'!$A$5:$A$300,"&gt;="&amp;($D$6+$L65-6),'Throw Log'!$A$5:$A$300,"&lt;="&amp;($D$6-1)),0))/7)/((SUM($H$43:$H65)+$K$12*IF($L65&lt;27,SUMIFS('Throw Log'!$Q$5:$Q$300,'Throw Log'!$B$5:$B$300,$D$4,'Throw Log'!$A$5:$A$300,"&gt;="&amp;($D$6+$L65-27),'Throw Log'!$A$5:$A$300,"&lt;="&amp;($D$6-1)),0))/28),"")))</f>
        <v>Building</v>
      </c>
      <c r="J65" s="37"/>
      <c r="K65" s="37"/>
      <c r="L65" s="32">
        <v>22</v>
      </c>
      <c r="M65" s="32">
        <f t="shared" si="13"/>
        <v>4</v>
      </c>
      <c r="N65" s="32">
        <f t="shared" si="14"/>
        <v>1</v>
      </c>
      <c r="O65" s="32">
        <f t="shared" si="15"/>
        <v>0.59459459459459463</v>
      </c>
      <c r="P65" s="32">
        <f>IF(OR($A65="",N($C65)&lt;=7),"",$G$6*$G$9^($M65-1)*IF(AND(MOD($M65,Reference!$B$99)=0,$M65&lt;=$G$5-2),Reference!$B$100,1))</f>
        <v>103.41949999999996</v>
      </c>
      <c r="Q65" s="32">
        <f>IF($P65="","",IF(SUM($AK$64:$AK$70)=0,0,$P65*INDEX(Reference!$B$108:$B$114,$N65+1)/SUM($AK$64:$AK$70)))</f>
        <v>27.92326499999999</v>
      </c>
      <c r="R65" s="32">
        <f t="shared" si="16"/>
        <v>105</v>
      </c>
      <c r="S65" s="32">
        <f t="shared" si="17"/>
        <v>90</v>
      </c>
      <c r="T65" s="32" t="str">
        <f>IF($A65="","",IF($C65=0,"Bullpen",IF(OR($C65=7,$C65=1,$C65=5),"Recovery/Easy Catch",IF($C65=6,"Compression/Pulldowns",IF(OR($C65=4,$C65=2),"Long Toss",IF($C65=3,"No Throw",IF($N65=2,"No Throw",IF($N65=6,IF($O65&lt;Reference!$B$104,"No Throw","Recovery/Easy Catch"),IF(OR($N65=0,$N65=4),"Recovery/Easy Catch",IF($N65=1,IF($R65&gt;75,"Long Toss","Recovery/Easy Catch"),IF($N65=3,IF($O65&lt;0.5,IF($S65&gt;75,"Long Toss","Recovery/Easy Catch"),"Compression/Pulldowns"),IF($S65&gt;75,"Long Toss","Recovery/Easy Catch"))))))))))))</f>
        <v>Long Toss</v>
      </c>
      <c r="U65" s="32">
        <f t="shared" si="18"/>
        <v>105</v>
      </c>
      <c r="V65" s="32">
        <f t="shared" si="19"/>
        <v>10</v>
      </c>
      <c r="W65" s="32">
        <f t="shared" si="20"/>
        <v>12</v>
      </c>
      <c r="X65" s="32">
        <f t="shared" si="21"/>
        <v>15</v>
      </c>
      <c r="Y65" s="32">
        <f t="shared" si="22"/>
        <v>10</v>
      </c>
      <c r="Z65" s="32">
        <f t="shared" si="23"/>
        <v>12</v>
      </c>
      <c r="AA65" s="32" t="str">
        <f t="shared" si="24"/>
        <v/>
      </c>
      <c r="AB65" s="32">
        <f>IF($A65="","",IF($T65="No Throw",0,IF($K65&lt;&gt;"",$K65,IF($AA65&lt;&gt;"",ROUND($AA65*$D$12*IF($C65=0,1,$G$10),0),MIN(IF($T65="Recovery/Easy Catch",Reference!$B$103,IF($T65="Long Toss",Reference!$B$106,Reference!$B$102)),MAX(Reference!$B$101,ROUND(MAX(0,$Q65-$AE65)/$AF65,0)))))))</f>
        <v>23</v>
      </c>
      <c r="AC65" s="32">
        <f t="shared" si="25"/>
        <v>0</v>
      </c>
      <c r="AD65" s="32" t="b">
        <f t="shared" si="26"/>
        <v>0</v>
      </c>
      <c r="AE65" s="32">
        <f>IF($X65=0,0,$X65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65+$Z65)/2,0),Reference!$A$17:$B$20,2,TRUE()))</f>
        <v>9</v>
      </c>
      <c r="AF65" s="32">
        <f>IF(OR($A65="",$U65="",$T65="No Throw"),0,$AM65*VLOOKUP(MAX(($V65+$W65)/2,0),Reference!$A$17:$B$20,2,TRUE()))</f>
        <v>0.83142857142857141</v>
      </c>
      <c r="AG65" s="32">
        <f>IF($AC65=0,0,$AC65*INDEX(Reference!$B$61:$B$62,MATCH("Bullpen",Reference!$A$61:$A$62,0))*VLOOKUP(MAX($D$5-($D$9+$E$9)/2,0),Reference!$A$17:$B$20,2,TRUE()))</f>
        <v>0</v>
      </c>
      <c r="AH65" s="32" t="e">
        <f t="shared" si="27"/>
        <v>#N/A</v>
      </c>
      <c r="AI65" s="32">
        <f>IF($A65="",NA(),Reference!$A$25)</f>
        <v>0.8</v>
      </c>
      <c r="AJ65" s="32">
        <f t="shared" si="28"/>
        <v>1.3</v>
      </c>
      <c r="AK65" s="56">
        <f>IF(OR($A65="",N($C65)&lt;=7,$T65="No Throw",$J65="x"),0,INDEX(Reference!$B$108:$B$114,$N65+1))</f>
        <v>0.27</v>
      </c>
      <c r="AL65" s="32">
        <f t="shared" si="29"/>
        <v>2</v>
      </c>
      <c r="AM65" s="32">
        <f>IF($U65="",0,IF($AL65&gt;1,((IF(1&lt;=$AL65,($AL65-1+3)*(INDEX(Reference!$B$6:$B$11,MIN(5,MATCH(MAX(Reference!$A$6,MIN(Reference!$A$11,MIN($U65,90))),Reference!$A$6:$A$11,1)))+(MAX(Reference!$A$6,MIN(Reference!$A$11,MIN($U65,90)))-INDEX(Reference!$A$6:$A$11,MIN(5,MATCH(MAX(Reference!$A$6,MIN(Reference!$A$11,MIN($U65,90))),Reference!$A$6:$A$11,1))))*(INDEX(Reference!$B$6:$B$11,MIN(5,MATCH(MAX(Reference!$A$6,MIN(Reference!$A$11,MIN($U65,90))),Reference!$A$6:$A$11,1))+1)-INDEX(Reference!$B$6:$B$11,MIN(5,MATCH(MAX(Reference!$A$6,MIN(Reference!$A$11,MIN($U65,90))),Reference!$A$6:$A$11,1))))/(INDEX(Reference!$A$6:$A$11,MIN(5,MATCH(MAX(Reference!$A$6,MIN(Reference!$A$11,MIN($U65,90))),Reference!$A$6:$A$11,1))+1)-INDEX(Reference!$A$6:$A$11,MIN(5,MATCH(MAX(Reference!$A$6,MIN(Reference!$A$11,MIN($U65,90))),Reference!$A$6:$A$11,1))))),0)+IF(2&lt;=$AL65,($AL65-2+3)*(INDEX(Reference!$B$6:$B$11,MIN(5,MATCH(MAX(Reference!$A$6,MIN(Reference!$A$11,MIN($U65,120))),Reference!$A$6:$A$11,1)))+(MAX(Reference!$A$6,MIN(Reference!$A$11,MIN($U65,120)))-INDEX(Reference!$A$6:$A$11,MIN(5,MATCH(MAX(Reference!$A$6,MIN(Reference!$A$11,MIN($U65,120))),Reference!$A$6:$A$11,1))))*(INDEX(Reference!$B$6:$B$11,MIN(5,MATCH(MAX(Reference!$A$6,MIN(Reference!$A$11,MIN($U65,120))),Reference!$A$6:$A$11,1))+1)-INDEX(Reference!$B$6:$B$11,MIN(5,MATCH(MAX(Reference!$A$6,MIN(Reference!$A$11,MIN($U65,120))),Reference!$A$6:$A$11,1))))/(INDEX(Reference!$A$6:$A$11,MIN(5,MATCH(MAX(Reference!$A$6,MIN(Reference!$A$11,MIN($U65,120))),Reference!$A$6:$A$11,1))+1)-INDEX(Reference!$A$6:$A$11,MIN(5,MATCH(MAX(Reference!$A$6,MIN(Reference!$A$11,MIN($U65,120))),Reference!$A$6:$A$11,1))))),0)+IF(3&lt;=$AL65,($AL65-3+3)*(INDEX(Reference!$B$6:$B$11,MIN(5,MATCH(MAX(Reference!$A$6,MIN(Reference!$A$11,MIN($U65,150))),Reference!$A$6:$A$11,1)))+(MAX(Reference!$A$6,MIN(Reference!$A$11,MIN($U65,150)))-INDEX(Reference!$A$6:$A$11,MIN(5,MATCH(MAX(Reference!$A$6,MIN(Reference!$A$11,MIN($U65,150))),Reference!$A$6:$A$11,1))))*(INDEX(Reference!$B$6:$B$11,MIN(5,MATCH(MAX(Reference!$A$6,MIN(Reference!$A$11,MIN($U65,150))),Reference!$A$6:$A$11,1))+1)-INDEX(Reference!$B$6:$B$11,MIN(5,MATCH(MAX(Reference!$A$6,MIN(Reference!$A$11,MIN($U65,150))),Reference!$A$6:$A$11,1))))/(INDEX(Reference!$A$6:$A$11,MIN(5,MATCH(MAX(Reference!$A$6,MIN(Reference!$A$11,MIN($U65,150))),Reference!$A$6:$A$11,1))+1)-INDEX(Reference!$A$6:$A$11,MIN(5,MATCH(MAX(Reference!$A$6,MIN(Reference!$A$11,MIN($U65,150))),Reference!$A$6:$A$11,1))))),0)+IF(4&lt;=$AL65,($AL65-4+3)*(INDEX(Reference!$B$6:$B$11,MIN(5,MATCH(MAX(Reference!$A$6,MIN(Reference!$A$11,MIN($U65,180))),Reference!$A$6:$A$11,1)))+(MAX(Reference!$A$6,MIN(Reference!$A$11,MIN($U65,180)))-INDEX(Reference!$A$6:$A$11,MIN(5,MATCH(MAX(Reference!$A$6,MIN(Reference!$A$11,MIN($U65,180))),Reference!$A$6:$A$11,1))))*(INDEX(Reference!$B$6:$B$11,MIN(5,MATCH(MAX(Reference!$A$6,MIN(Reference!$A$11,MIN($U65,180))),Reference!$A$6:$A$11,1))+1)-INDEX(Reference!$B$6:$B$11,MIN(5,MATCH(MAX(Reference!$A$6,MIN(Reference!$A$11,MIN($U65,180))),Reference!$A$6:$A$11,1))))/(INDEX(Reference!$A$6:$A$11,MIN(5,MATCH(MAX(Reference!$A$6,MIN(Reference!$A$11,MIN($U65,180))),Reference!$A$6:$A$11,1))+1)-INDEX(Reference!$A$6:$A$11,MIN(5,MATCH(MAX(Reference!$A$6,MIN(Reference!$A$11,MIN($U65,180))),Reference!$A$6:$A$11,1))))),0)+IF(5&lt;=$AL65,($AL65-5+3)*(INDEX(Reference!$B$6:$B$11,MIN(5,MATCH(MAX(Reference!$A$6,MIN(Reference!$A$11,MIN($U65,210))),Reference!$A$6:$A$11,1)))+(MAX(Reference!$A$6,MIN(Reference!$A$11,MIN($U65,210)))-INDEX(Reference!$A$6:$A$11,MIN(5,MATCH(MAX(Reference!$A$6,MIN(Reference!$A$11,MIN($U65,210))),Reference!$A$6:$A$11,1))))*(INDEX(Reference!$B$6:$B$11,MIN(5,MATCH(MAX(Reference!$A$6,MIN(Reference!$A$11,MIN($U65,210))),Reference!$A$6:$A$11,1))+1)-INDEX(Reference!$B$6:$B$11,MIN(5,MATCH(MAX(Reference!$A$6,MIN(Reference!$A$11,MIN($U65,210))),Reference!$A$6:$A$11,1))))/(INDEX(Reference!$A$6:$A$11,MIN(5,MATCH(MAX(Reference!$A$6,MIN(Reference!$A$11,MIN($U65,210))),Reference!$A$6:$A$11,1))+1)-INDEX(Reference!$A$6:$A$11,MIN(5,MATCH(MAX(Reference!$A$6,MIN(Reference!$A$11,MIN($U65,210))),Reference!$A$6:$A$11,1))))),0)+IF(6&lt;=$AL65,($AL65-6+3)*(INDEX(Reference!$B$6:$B$11,MIN(5,MATCH(MAX(Reference!$A$6,MIN(Reference!$A$11,MIN($U65,240))),Reference!$A$6:$A$11,1)))+(MAX(Reference!$A$6,MIN(Reference!$A$11,MIN($U65,240)))-INDEX(Reference!$A$6:$A$11,MIN(5,MATCH(MAX(Reference!$A$6,MIN(Reference!$A$11,MIN($U65,240))),Reference!$A$6:$A$11,1))))*(INDEX(Reference!$B$6:$B$11,MIN(5,MATCH(MAX(Reference!$A$6,MIN(Reference!$A$11,MIN($U65,240))),Reference!$A$6:$A$11,1))+1)-INDEX(Reference!$B$6:$B$11,MIN(5,MATCH(MAX(Reference!$A$6,MIN(Reference!$A$11,MIN($U65,240))),Reference!$A$6:$A$11,1))))/(INDEX(Reference!$A$6:$A$11,MIN(5,MATCH(MAX(Reference!$A$6,MIN(Reference!$A$11,MIN($U65,240))),Reference!$A$6:$A$11,1))+1)-INDEX(Reference!$A$6:$A$11,MIN(5,MATCH(MAX(Reference!$A$6,MIN(Reference!$A$11,MIN($U65,240))),Reference!$A$6:$A$11,1))))),0)+IF(7&lt;=$AL65,($AL65-7+3)*(INDEX(Reference!$B$6:$B$11,MIN(5,MATCH(MAX(Reference!$A$6,MIN(Reference!$A$11,MIN($U65,270))),Reference!$A$6:$A$11,1)))+(MAX(Reference!$A$6,MIN(Reference!$A$11,MIN($U65,270)))-INDEX(Reference!$A$6:$A$11,MIN(5,MATCH(MAX(Reference!$A$6,MIN(Reference!$A$11,MIN($U65,270))),Reference!$A$6:$A$11,1))))*(INDEX(Reference!$B$6:$B$11,MIN(5,MATCH(MAX(Reference!$A$6,MIN(Reference!$A$11,MIN($U65,270))),Reference!$A$6:$A$11,1))+1)-INDEX(Reference!$B$6:$B$11,MIN(5,MATCH(MAX(Reference!$A$6,MIN(Reference!$A$11,MIN($U65,270))),Reference!$A$6:$A$11,1))))/(INDEX(Reference!$A$6:$A$11,MIN(5,MATCH(MAX(Reference!$A$6,MIN(Reference!$A$11,MIN($U65,270))),Reference!$A$6:$A$11,1))+1)-INDEX(Reference!$A$6:$A$11,MIN(5,MATCH(MAX(Reference!$A$6,MIN(Reference!$A$11,MIN($U65,270))),Reference!$A$6:$A$11,1))))),0)+IF(8&lt;=$AL65,($AL65-8+3)*(INDEX(Reference!$B$6:$B$11,MIN(5,MATCH(MAX(Reference!$A$6,MIN(Reference!$A$11,MIN($U65,300))),Reference!$A$6:$A$11,1)))+(MAX(Reference!$A$6,MIN(Reference!$A$11,MIN($U65,300)))-INDEX(Reference!$A$6:$A$11,MIN(5,MATCH(MAX(Reference!$A$6,MIN(Reference!$A$11,MIN($U65,300))),Reference!$A$6:$A$11,1))))*(INDEX(Reference!$B$6:$B$11,MIN(5,MATCH(MAX(Reference!$A$6,MIN(Reference!$A$11,MIN($U65,300))),Reference!$A$6:$A$11,1))+1)-INDEX(Reference!$B$6:$B$11,MIN(5,MATCH(MAX(Reference!$A$6,MIN(Reference!$A$11,MIN($U65,300))),Reference!$A$6:$A$11,1))))/(INDEX(Reference!$A$6:$A$11,MIN(5,MATCH(MAX(Reference!$A$6,MIN(Reference!$A$11,MIN($U65,300))),Reference!$A$6:$A$11,1))+1)-INDEX(Reference!$A$6:$A$11,MIN(5,MATCH(MAX(Reference!$A$6,MIN(Reference!$A$11,MIN($U65,300))),Reference!$A$6:$A$11,1))))),0))/($AL65*($AL65+5)/2)),$AN65))</f>
        <v>1.3857142857142857</v>
      </c>
      <c r="AN65" s="32">
        <f>IF($U65="",0,(INDEX(Reference!$B$6:$B$11,MIN(5,MATCH(MAX(Reference!$A$6,MIN(Reference!$A$11,$U65)),Reference!$A$6:$A$11,1)))+(MAX(Reference!$A$6,MIN(Reference!$A$11,$U65))-INDEX(Reference!$A$6:$A$11,MIN(5,MATCH(MAX(Reference!$A$6,MIN(Reference!$A$11,$U65)),Reference!$A$6:$A$11,1))))*(INDEX(Reference!$B$6:$B$11,MIN(5,MATCH(MAX(Reference!$A$6,MIN(Reference!$A$11,$U65)),Reference!$A$6:$A$11,1))+1)-INDEX(Reference!$B$6:$B$11,MIN(5,MATCH(MAX(Reference!$A$6,MIN(Reference!$A$11,$U65)),Reference!$A$6:$A$11,1))))/(INDEX(Reference!$A$6:$A$11,MIN(5,MATCH(MAX(Reference!$A$6,MIN(Reference!$A$11,$U65)),Reference!$A$6:$A$11,1))+1)-INDEX(Reference!$A$6:$A$11,MIN(5,MATCH(MAX(Reference!$A$6,MIN(Reference!$A$11,$U65)),Reference!$A$6:$A$11,1))))))</f>
        <v>1.5</v>
      </c>
      <c r="AO65" s="37"/>
      <c r="AP65" s="37"/>
      <c r="AQ65" s="37"/>
    </row>
    <row r="66" spans="1:43" x14ac:dyDescent="0.3">
      <c r="A66" s="48">
        <f t="shared" si="5"/>
        <v>46365</v>
      </c>
      <c r="B66" s="32" t="str">
        <f t="shared" si="6"/>
        <v>Wed</v>
      </c>
      <c r="C66" s="32">
        <f t="shared" si="7"/>
        <v>22</v>
      </c>
      <c r="D66" s="32" t="str">
        <f t="shared" si="8"/>
        <v>Extension</v>
      </c>
      <c r="E66" s="32" t="str">
        <f t="shared" si="9"/>
        <v>No Throw</v>
      </c>
      <c r="F66" s="32" t="str">
        <f t="shared" si="10"/>
        <v>No Throw</v>
      </c>
      <c r="G66" s="47" t="str">
        <f t="shared" si="11"/>
        <v>Off</v>
      </c>
      <c r="H66" s="30">
        <f t="shared" si="12"/>
        <v>0</v>
      </c>
      <c r="I66" s="46" t="str">
        <f>IF($A66="","",IF(AND($L66&lt;27,$K$12=0),"Building",IFERROR(((SUM($H$60:$H66)+$K$12*IF($L66&lt;6,SUMIFS('Throw Log'!$Q$5:$Q$300,'Throw Log'!$B$5:$B$300,$D$4,'Throw Log'!$A$5:$A$300,"&gt;="&amp;($D$6+$L66-6),'Throw Log'!$A$5:$A$300,"&lt;="&amp;($D$6-1)),0))/7)/((SUM($H$43:$H66)+$K$12*IF($L66&lt;27,SUMIFS('Throw Log'!$Q$5:$Q$300,'Throw Log'!$B$5:$B$300,$D$4,'Throw Log'!$A$5:$A$300,"&gt;="&amp;($D$6+$L66-27),'Throw Log'!$A$5:$A$300,"&lt;="&amp;($D$6-1)),0))/28),"")))</f>
        <v>Building</v>
      </c>
      <c r="J66" s="37"/>
      <c r="K66" s="37"/>
      <c r="L66" s="32">
        <v>23</v>
      </c>
      <c r="M66" s="32">
        <f t="shared" si="13"/>
        <v>4</v>
      </c>
      <c r="N66" s="32">
        <f t="shared" si="14"/>
        <v>2</v>
      </c>
      <c r="O66" s="32">
        <f t="shared" si="15"/>
        <v>0.6216216216216216</v>
      </c>
      <c r="P66" s="32">
        <f>IF(OR($A66="",N($C66)&lt;=7),"",$G$6*$G$9^($M66-1)*IF(AND(MOD($M66,Reference!$B$99)=0,$M66&lt;=$G$5-2),Reference!$B$100,1))</f>
        <v>103.41949999999996</v>
      </c>
      <c r="Q66" s="32">
        <f>IF($P66="","",IF(SUM($AK$64:$AK$70)=0,0,$P66*INDEX(Reference!$B$108:$B$114,$N66+1)/SUM($AK$64:$AK$70)))</f>
        <v>0</v>
      </c>
      <c r="R66" s="32">
        <f t="shared" si="16"/>
        <v>105</v>
      </c>
      <c r="S66" s="32">
        <f t="shared" si="17"/>
        <v>90</v>
      </c>
      <c r="T66" s="32" t="str">
        <f>IF($A66="","",IF($C66=0,"Bullpen",IF(OR($C66=7,$C66=1,$C66=5),"Recovery/Easy Catch",IF($C66=6,"Compression/Pulldowns",IF(OR($C66=4,$C66=2),"Long Toss",IF($C66=3,"No Throw",IF($N66=2,"No Throw",IF($N66=6,IF($O66&lt;Reference!$B$104,"No Throw","Recovery/Easy Catch"),IF(OR($N66=0,$N66=4),"Recovery/Easy Catch",IF($N66=1,IF($R66&gt;75,"Long Toss","Recovery/Easy Catch"),IF($N66=3,IF($O66&lt;0.5,IF($S66&gt;75,"Long Toss","Recovery/Easy Catch"),"Compression/Pulldowns"),IF($S66&gt;75,"Long Toss","Recovery/Easy Catch"))))))))))))</f>
        <v>No Throw</v>
      </c>
      <c r="U66" s="32" t="str">
        <f t="shared" si="18"/>
        <v/>
      </c>
      <c r="V66" s="32" t="str">
        <f t="shared" si="19"/>
        <v/>
      </c>
      <c r="W66" s="32" t="str">
        <f t="shared" si="20"/>
        <v/>
      </c>
      <c r="X66" s="32">
        <f t="shared" si="21"/>
        <v>0</v>
      </c>
      <c r="Y66" s="32" t="str">
        <f t="shared" si="22"/>
        <v/>
      </c>
      <c r="Z66" s="32" t="str">
        <f t="shared" si="23"/>
        <v/>
      </c>
      <c r="AA66" s="32" t="str">
        <f t="shared" si="24"/>
        <v/>
      </c>
      <c r="AB66" s="32">
        <f>IF($A66="","",IF($T66="No Throw",0,IF($K66&lt;&gt;"",$K66,IF($AA66&lt;&gt;"",ROUND($AA66*$D$12*IF($C66=0,1,$G$10),0),MIN(IF($T66="Recovery/Easy Catch",Reference!$B$103,IF($T66="Long Toss",Reference!$B$106,Reference!$B$102)),MAX(Reference!$B$101,ROUND(MAX(0,$Q66-$AE66)/$AF66,0)))))))</f>
        <v>0</v>
      </c>
      <c r="AC66" s="32">
        <f t="shared" si="25"/>
        <v>0</v>
      </c>
      <c r="AD66" s="32" t="b">
        <f t="shared" si="26"/>
        <v>1</v>
      </c>
      <c r="AE66" s="32">
        <f>IF($X66=0,0,$X66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66+$Z66)/2,0),Reference!$A$17:$B$20,2,TRUE()))</f>
        <v>0</v>
      </c>
      <c r="AF66" s="32">
        <f>IF(OR($A66="",$U66="",$T66="No Throw"),0,$AM66*VLOOKUP(MAX(($V66+$W66)/2,0),Reference!$A$17:$B$20,2,TRUE()))</f>
        <v>0</v>
      </c>
      <c r="AG66" s="32">
        <f>IF($AC66=0,0,$AC66*INDEX(Reference!$B$61:$B$62,MATCH("Bullpen",Reference!$A$61:$A$62,0))*VLOOKUP(MAX($D$5-($D$9+$E$9)/2,0),Reference!$A$17:$B$20,2,TRUE()))</f>
        <v>0</v>
      </c>
      <c r="AH66" s="32" t="e">
        <f t="shared" si="27"/>
        <v>#N/A</v>
      </c>
      <c r="AI66" s="32">
        <f>IF($A66="",NA(),Reference!$A$25)</f>
        <v>0.8</v>
      </c>
      <c r="AJ66" s="32">
        <f t="shared" si="28"/>
        <v>1.3</v>
      </c>
      <c r="AK66" s="32">
        <f>IF(OR($A66="",N($C66)&lt;=7,$T66="No Throw",$J66="x"),0,INDEX(Reference!$B$108:$B$114,$N66+1))</f>
        <v>0</v>
      </c>
      <c r="AL66" s="32">
        <f t="shared" si="29"/>
        <v>1</v>
      </c>
      <c r="AM66" s="32">
        <f>IF($U66="",0,IF($AL66&gt;1,((IF(1&lt;=$AL66,($AL66-1+3)*(INDEX(Reference!$B$6:$B$11,MIN(5,MATCH(MAX(Reference!$A$6,MIN(Reference!$A$11,MIN($U66,90))),Reference!$A$6:$A$11,1)))+(MAX(Reference!$A$6,MIN(Reference!$A$11,MIN($U66,90)))-INDEX(Reference!$A$6:$A$11,MIN(5,MATCH(MAX(Reference!$A$6,MIN(Reference!$A$11,MIN($U66,90))),Reference!$A$6:$A$11,1))))*(INDEX(Reference!$B$6:$B$11,MIN(5,MATCH(MAX(Reference!$A$6,MIN(Reference!$A$11,MIN($U66,90))),Reference!$A$6:$A$11,1))+1)-INDEX(Reference!$B$6:$B$11,MIN(5,MATCH(MAX(Reference!$A$6,MIN(Reference!$A$11,MIN($U66,90))),Reference!$A$6:$A$11,1))))/(INDEX(Reference!$A$6:$A$11,MIN(5,MATCH(MAX(Reference!$A$6,MIN(Reference!$A$11,MIN($U66,90))),Reference!$A$6:$A$11,1))+1)-INDEX(Reference!$A$6:$A$11,MIN(5,MATCH(MAX(Reference!$A$6,MIN(Reference!$A$11,MIN($U66,90))),Reference!$A$6:$A$11,1))))),0)+IF(2&lt;=$AL66,($AL66-2+3)*(INDEX(Reference!$B$6:$B$11,MIN(5,MATCH(MAX(Reference!$A$6,MIN(Reference!$A$11,MIN($U66,120))),Reference!$A$6:$A$11,1)))+(MAX(Reference!$A$6,MIN(Reference!$A$11,MIN($U66,120)))-INDEX(Reference!$A$6:$A$11,MIN(5,MATCH(MAX(Reference!$A$6,MIN(Reference!$A$11,MIN($U66,120))),Reference!$A$6:$A$11,1))))*(INDEX(Reference!$B$6:$B$11,MIN(5,MATCH(MAX(Reference!$A$6,MIN(Reference!$A$11,MIN($U66,120))),Reference!$A$6:$A$11,1))+1)-INDEX(Reference!$B$6:$B$11,MIN(5,MATCH(MAX(Reference!$A$6,MIN(Reference!$A$11,MIN($U66,120))),Reference!$A$6:$A$11,1))))/(INDEX(Reference!$A$6:$A$11,MIN(5,MATCH(MAX(Reference!$A$6,MIN(Reference!$A$11,MIN($U66,120))),Reference!$A$6:$A$11,1))+1)-INDEX(Reference!$A$6:$A$11,MIN(5,MATCH(MAX(Reference!$A$6,MIN(Reference!$A$11,MIN($U66,120))),Reference!$A$6:$A$11,1))))),0)+IF(3&lt;=$AL66,($AL66-3+3)*(INDEX(Reference!$B$6:$B$11,MIN(5,MATCH(MAX(Reference!$A$6,MIN(Reference!$A$11,MIN($U66,150))),Reference!$A$6:$A$11,1)))+(MAX(Reference!$A$6,MIN(Reference!$A$11,MIN($U66,150)))-INDEX(Reference!$A$6:$A$11,MIN(5,MATCH(MAX(Reference!$A$6,MIN(Reference!$A$11,MIN($U66,150))),Reference!$A$6:$A$11,1))))*(INDEX(Reference!$B$6:$B$11,MIN(5,MATCH(MAX(Reference!$A$6,MIN(Reference!$A$11,MIN($U66,150))),Reference!$A$6:$A$11,1))+1)-INDEX(Reference!$B$6:$B$11,MIN(5,MATCH(MAX(Reference!$A$6,MIN(Reference!$A$11,MIN($U66,150))),Reference!$A$6:$A$11,1))))/(INDEX(Reference!$A$6:$A$11,MIN(5,MATCH(MAX(Reference!$A$6,MIN(Reference!$A$11,MIN($U66,150))),Reference!$A$6:$A$11,1))+1)-INDEX(Reference!$A$6:$A$11,MIN(5,MATCH(MAX(Reference!$A$6,MIN(Reference!$A$11,MIN($U66,150))),Reference!$A$6:$A$11,1))))),0)+IF(4&lt;=$AL66,($AL66-4+3)*(INDEX(Reference!$B$6:$B$11,MIN(5,MATCH(MAX(Reference!$A$6,MIN(Reference!$A$11,MIN($U66,180))),Reference!$A$6:$A$11,1)))+(MAX(Reference!$A$6,MIN(Reference!$A$11,MIN($U66,180)))-INDEX(Reference!$A$6:$A$11,MIN(5,MATCH(MAX(Reference!$A$6,MIN(Reference!$A$11,MIN($U66,180))),Reference!$A$6:$A$11,1))))*(INDEX(Reference!$B$6:$B$11,MIN(5,MATCH(MAX(Reference!$A$6,MIN(Reference!$A$11,MIN($U66,180))),Reference!$A$6:$A$11,1))+1)-INDEX(Reference!$B$6:$B$11,MIN(5,MATCH(MAX(Reference!$A$6,MIN(Reference!$A$11,MIN($U66,180))),Reference!$A$6:$A$11,1))))/(INDEX(Reference!$A$6:$A$11,MIN(5,MATCH(MAX(Reference!$A$6,MIN(Reference!$A$11,MIN($U66,180))),Reference!$A$6:$A$11,1))+1)-INDEX(Reference!$A$6:$A$11,MIN(5,MATCH(MAX(Reference!$A$6,MIN(Reference!$A$11,MIN($U66,180))),Reference!$A$6:$A$11,1))))),0)+IF(5&lt;=$AL66,($AL66-5+3)*(INDEX(Reference!$B$6:$B$11,MIN(5,MATCH(MAX(Reference!$A$6,MIN(Reference!$A$11,MIN($U66,210))),Reference!$A$6:$A$11,1)))+(MAX(Reference!$A$6,MIN(Reference!$A$11,MIN($U66,210)))-INDEX(Reference!$A$6:$A$11,MIN(5,MATCH(MAX(Reference!$A$6,MIN(Reference!$A$11,MIN($U66,210))),Reference!$A$6:$A$11,1))))*(INDEX(Reference!$B$6:$B$11,MIN(5,MATCH(MAX(Reference!$A$6,MIN(Reference!$A$11,MIN($U66,210))),Reference!$A$6:$A$11,1))+1)-INDEX(Reference!$B$6:$B$11,MIN(5,MATCH(MAX(Reference!$A$6,MIN(Reference!$A$11,MIN($U66,210))),Reference!$A$6:$A$11,1))))/(INDEX(Reference!$A$6:$A$11,MIN(5,MATCH(MAX(Reference!$A$6,MIN(Reference!$A$11,MIN($U66,210))),Reference!$A$6:$A$11,1))+1)-INDEX(Reference!$A$6:$A$11,MIN(5,MATCH(MAX(Reference!$A$6,MIN(Reference!$A$11,MIN($U66,210))),Reference!$A$6:$A$11,1))))),0)+IF(6&lt;=$AL66,($AL66-6+3)*(INDEX(Reference!$B$6:$B$11,MIN(5,MATCH(MAX(Reference!$A$6,MIN(Reference!$A$11,MIN($U66,240))),Reference!$A$6:$A$11,1)))+(MAX(Reference!$A$6,MIN(Reference!$A$11,MIN($U66,240)))-INDEX(Reference!$A$6:$A$11,MIN(5,MATCH(MAX(Reference!$A$6,MIN(Reference!$A$11,MIN($U66,240))),Reference!$A$6:$A$11,1))))*(INDEX(Reference!$B$6:$B$11,MIN(5,MATCH(MAX(Reference!$A$6,MIN(Reference!$A$11,MIN($U66,240))),Reference!$A$6:$A$11,1))+1)-INDEX(Reference!$B$6:$B$11,MIN(5,MATCH(MAX(Reference!$A$6,MIN(Reference!$A$11,MIN($U66,240))),Reference!$A$6:$A$11,1))))/(INDEX(Reference!$A$6:$A$11,MIN(5,MATCH(MAX(Reference!$A$6,MIN(Reference!$A$11,MIN($U66,240))),Reference!$A$6:$A$11,1))+1)-INDEX(Reference!$A$6:$A$11,MIN(5,MATCH(MAX(Reference!$A$6,MIN(Reference!$A$11,MIN($U66,240))),Reference!$A$6:$A$11,1))))),0)+IF(7&lt;=$AL66,($AL66-7+3)*(INDEX(Reference!$B$6:$B$11,MIN(5,MATCH(MAX(Reference!$A$6,MIN(Reference!$A$11,MIN($U66,270))),Reference!$A$6:$A$11,1)))+(MAX(Reference!$A$6,MIN(Reference!$A$11,MIN($U66,270)))-INDEX(Reference!$A$6:$A$11,MIN(5,MATCH(MAX(Reference!$A$6,MIN(Reference!$A$11,MIN($U66,270))),Reference!$A$6:$A$11,1))))*(INDEX(Reference!$B$6:$B$11,MIN(5,MATCH(MAX(Reference!$A$6,MIN(Reference!$A$11,MIN($U66,270))),Reference!$A$6:$A$11,1))+1)-INDEX(Reference!$B$6:$B$11,MIN(5,MATCH(MAX(Reference!$A$6,MIN(Reference!$A$11,MIN($U66,270))),Reference!$A$6:$A$11,1))))/(INDEX(Reference!$A$6:$A$11,MIN(5,MATCH(MAX(Reference!$A$6,MIN(Reference!$A$11,MIN($U66,270))),Reference!$A$6:$A$11,1))+1)-INDEX(Reference!$A$6:$A$11,MIN(5,MATCH(MAX(Reference!$A$6,MIN(Reference!$A$11,MIN($U66,270))),Reference!$A$6:$A$11,1))))),0)+IF(8&lt;=$AL66,($AL66-8+3)*(INDEX(Reference!$B$6:$B$11,MIN(5,MATCH(MAX(Reference!$A$6,MIN(Reference!$A$11,MIN($U66,300))),Reference!$A$6:$A$11,1)))+(MAX(Reference!$A$6,MIN(Reference!$A$11,MIN($U66,300)))-INDEX(Reference!$A$6:$A$11,MIN(5,MATCH(MAX(Reference!$A$6,MIN(Reference!$A$11,MIN($U66,300))),Reference!$A$6:$A$11,1))))*(INDEX(Reference!$B$6:$B$11,MIN(5,MATCH(MAX(Reference!$A$6,MIN(Reference!$A$11,MIN($U66,300))),Reference!$A$6:$A$11,1))+1)-INDEX(Reference!$B$6:$B$11,MIN(5,MATCH(MAX(Reference!$A$6,MIN(Reference!$A$11,MIN($U66,300))),Reference!$A$6:$A$11,1))))/(INDEX(Reference!$A$6:$A$11,MIN(5,MATCH(MAX(Reference!$A$6,MIN(Reference!$A$11,MIN($U66,300))),Reference!$A$6:$A$11,1))+1)-INDEX(Reference!$A$6:$A$11,MIN(5,MATCH(MAX(Reference!$A$6,MIN(Reference!$A$11,MIN($U66,300))),Reference!$A$6:$A$11,1))))),0))/($AL66*($AL66+5)/2)),$AN66))</f>
        <v>0</v>
      </c>
      <c r="AN66" s="32">
        <f>IF($U66="",0,(INDEX(Reference!$B$6:$B$11,MIN(5,MATCH(MAX(Reference!$A$6,MIN(Reference!$A$11,$U66)),Reference!$A$6:$A$11,1)))+(MAX(Reference!$A$6,MIN(Reference!$A$11,$U66))-INDEX(Reference!$A$6:$A$11,MIN(5,MATCH(MAX(Reference!$A$6,MIN(Reference!$A$11,$U66)),Reference!$A$6:$A$11,1))))*(INDEX(Reference!$B$6:$B$11,MIN(5,MATCH(MAX(Reference!$A$6,MIN(Reference!$A$11,$U66)),Reference!$A$6:$A$11,1))+1)-INDEX(Reference!$B$6:$B$11,MIN(5,MATCH(MAX(Reference!$A$6,MIN(Reference!$A$11,$U66)),Reference!$A$6:$A$11,1))))/(INDEX(Reference!$A$6:$A$11,MIN(5,MATCH(MAX(Reference!$A$6,MIN(Reference!$A$11,$U66)),Reference!$A$6:$A$11,1))+1)-INDEX(Reference!$A$6:$A$11,MIN(5,MATCH(MAX(Reference!$A$6,MIN(Reference!$A$11,$U66)),Reference!$A$6:$A$11,1))))))</f>
        <v>0</v>
      </c>
      <c r="AO66" s="37"/>
      <c r="AP66" s="37"/>
      <c r="AQ66" s="37"/>
    </row>
    <row r="67" spans="1:43" x14ac:dyDescent="0.3">
      <c r="A67" s="48">
        <f t="shared" si="5"/>
        <v>46366</v>
      </c>
      <c r="B67" s="32" t="str">
        <f t="shared" si="6"/>
        <v>Thu</v>
      </c>
      <c r="C67" s="32">
        <f t="shared" si="7"/>
        <v>21</v>
      </c>
      <c r="D67" s="32" t="str">
        <f t="shared" si="8"/>
        <v>Extension</v>
      </c>
      <c r="E67" s="32" t="str">
        <f t="shared" si="9"/>
        <v>High Non-Bullpen</v>
      </c>
      <c r="F67" s="32" t="str">
        <f t="shared" si="10"/>
        <v>Compression/Pulldowns</v>
      </c>
      <c r="G67" s="47" t="str">
        <f t="shared" si="11"/>
        <v>90 ft × 20 @ 79–81 mph + flat ground at 60 ft × 20 @ 79–81 mph</v>
      </c>
      <c r="H67" s="30">
        <f t="shared" si="12"/>
        <v>46</v>
      </c>
      <c r="I67" s="46" t="str">
        <f>IF($A67="","",IF(AND($L67&lt;27,$K$12=0),"Building",IFERROR(((SUM($H$61:$H67)+$K$12*IF($L67&lt;6,SUMIFS('Throw Log'!$Q$5:$Q$300,'Throw Log'!$B$5:$B$300,$D$4,'Throw Log'!$A$5:$A$300,"&gt;="&amp;($D$6+$L67-6),'Throw Log'!$A$5:$A$300,"&lt;="&amp;($D$6-1)),0))/7)/((SUM($H$43:$H67)+$K$12*IF($L67&lt;27,SUMIFS('Throw Log'!$Q$5:$Q$300,'Throw Log'!$B$5:$B$300,$D$4,'Throw Log'!$A$5:$A$300,"&gt;="&amp;($D$6+$L67-27),'Throw Log'!$A$5:$A$300,"&lt;="&amp;($D$6-1)),0))/28),"")))</f>
        <v>Building</v>
      </c>
      <c r="J67" s="37"/>
      <c r="K67" s="37"/>
      <c r="L67" s="32">
        <v>24</v>
      </c>
      <c r="M67" s="32">
        <f t="shared" si="13"/>
        <v>4</v>
      </c>
      <c r="N67" s="32">
        <f t="shared" si="14"/>
        <v>3</v>
      </c>
      <c r="O67" s="32">
        <f t="shared" si="15"/>
        <v>0.64864864864864868</v>
      </c>
      <c r="P67" s="32">
        <f>IF(OR($A67="",N($C67)&lt;=7),"",$G$6*$G$9^($M67-1)*IF(AND(MOD($M67,Reference!$B$99)=0,$M67&lt;=$G$5-2),Reference!$B$100,1))</f>
        <v>103.41949999999996</v>
      </c>
      <c r="Q67" s="32">
        <f>IF($P67="","",IF(SUM($AK$64:$AK$70)=0,0,$P67*INDEX(Reference!$B$108:$B$114,$N67+1)/SUM($AK$64:$AK$70)))</f>
        <v>24.820679999999989</v>
      </c>
      <c r="R67" s="32">
        <f t="shared" si="16"/>
        <v>105</v>
      </c>
      <c r="S67" s="32">
        <f t="shared" si="17"/>
        <v>90</v>
      </c>
      <c r="T67" s="32" t="str">
        <f>IF($A67="","",IF($C67=0,"Bullpen",IF(OR($C67=7,$C67=1,$C67=5),"Recovery/Easy Catch",IF($C67=6,"Compression/Pulldowns",IF(OR($C67=4,$C67=2),"Long Toss",IF($C67=3,"No Throw",IF($N67=2,"No Throw",IF($N67=6,IF($O67&lt;Reference!$B$104,"No Throw","Recovery/Easy Catch"),IF(OR($N67=0,$N67=4),"Recovery/Easy Catch",IF($N67=1,IF($R67&gt;75,"Long Toss","Recovery/Easy Catch"),IF($N67=3,IF($O67&lt;0.5,IF($S67&gt;75,"Long Toss","Recovery/Easy Catch"),"Compression/Pulldowns"),IF($S67&gt;75,"Long Toss","Recovery/Easy Catch"))))))))))))</f>
        <v>Compression/Pulldowns</v>
      </c>
      <c r="U67" s="32">
        <f t="shared" si="18"/>
        <v>90</v>
      </c>
      <c r="V67" s="32">
        <f t="shared" si="19"/>
        <v>7</v>
      </c>
      <c r="W67" s="32">
        <f t="shared" si="20"/>
        <v>9</v>
      </c>
      <c r="X67" s="32">
        <f t="shared" si="21"/>
        <v>20</v>
      </c>
      <c r="Y67" s="32">
        <f t="shared" si="22"/>
        <v>7</v>
      </c>
      <c r="Z67" s="32">
        <f t="shared" si="23"/>
        <v>9</v>
      </c>
      <c r="AA67" s="32" t="str">
        <f t="shared" si="24"/>
        <v/>
      </c>
      <c r="AB67" s="32">
        <f>IF($A67="","",IF($T67="No Throw",0,IF($K67&lt;&gt;"",$K67,IF($AA67&lt;&gt;"",ROUND($AA67*$D$12*IF($C67=0,1,$G$10),0),MIN(IF($T67="Recovery/Easy Catch",Reference!$B$103,IF($T67="Long Toss",Reference!$B$106,Reference!$B$102)),MAX(Reference!$B$101,ROUND(MAX(0,$Q67-$AE67)/$AF67,0)))))))</f>
        <v>20</v>
      </c>
      <c r="AC67" s="32">
        <f t="shared" si="25"/>
        <v>0</v>
      </c>
      <c r="AD67" s="32" t="b">
        <f t="shared" si="26"/>
        <v>0</v>
      </c>
      <c r="AE67" s="32">
        <f>IF($X67=0,0,$X67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67+$Z67)/2,0),Reference!$A$17:$B$20,2,TRUE()))</f>
        <v>20</v>
      </c>
      <c r="AF67" s="32">
        <f>IF(OR($A67="",$U67="",$T67="No Throw"),0,$AM67*VLOOKUP(MAX(($V67+$W67)/2,0),Reference!$A$17:$B$20,2,TRUE()))</f>
        <v>1.3</v>
      </c>
      <c r="AG67" s="32">
        <f>IF($AC67=0,0,$AC67*INDEX(Reference!$B$61:$B$62,MATCH("Bullpen",Reference!$A$61:$A$62,0))*VLOOKUP(MAX($D$5-($D$9+$E$9)/2,0),Reference!$A$17:$B$20,2,TRUE()))</f>
        <v>0</v>
      </c>
      <c r="AH67" s="32" t="e">
        <f t="shared" si="27"/>
        <v>#N/A</v>
      </c>
      <c r="AI67" s="32">
        <f>IF($A67="",NA(),Reference!$A$25)</f>
        <v>0.8</v>
      </c>
      <c r="AJ67" s="32">
        <f t="shared" si="28"/>
        <v>1.3</v>
      </c>
      <c r="AK67" s="56">
        <f>IF(OR($A67="",N($C67)&lt;=7,$T67="No Throw",$J67="x"),0,INDEX(Reference!$B$108:$B$114,$N67+1))</f>
        <v>0.24</v>
      </c>
      <c r="AL67" s="32">
        <f t="shared" si="29"/>
        <v>1</v>
      </c>
      <c r="AM67" s="32">
        <f>IF($U67="",0,IF($AL67&gt;1,((IF(1&lt;=$AL67,($AL67-1+3)*(INDEX(Reference!$B$6:$B$11,MIN(5,MATCH(MAX(Reference!$A$6,MIN(Reference!$A$11,MIN($U67,90))),Reference!$A$6:$A$11,1)))+(MAX(Reference!$A$6,MIN(Reference!$A$11,MIN($U67,90)))-INDEX(Reference!$A$6:$A$11,MIN(5,MATCH(MAX(Reference!$A$6,MIN(Reference!$A$11,MIN($U67,90))),Reference!$A$6:$A$11,1))))*(INDEX(Reference!$B$6:$B$11,MIN(5,MATCH(MAX(Reference!$A$6,MIN(Reference!$A$11,MIN($U67,90))),Reference!$A$6:$A$11,1))+1)-INDEX(Reference!$B$6:$B$11,MIN(5,MATCH(MAX(Reference!$A$6,MIN(Reference!$A$11,MIN($U67,90))),Reference!$A$6:$A$11,1))))/(INDEX(Reference!$A$6:$A$11,MIN(5,MATCH(MAX(Reference!$A$6,MIN(Reference!$A$11,MIN($U67,90))),Reference!$A$6:$A$11,1))+1)-INDEX(Reference!$A$6:$A$11,MIN(5,MATCH(MAX(Reference!$A$6,MIN(Reference!$A$11,MIN($U67,90))),Reference!$A$6:$A$11,1))))),0)+IF(2&lt;=$AL67,($AL67-2+3)*(INDEX(Reference!$B$6:$B$11,MIN(5,MATCH(MAX(Reference!$A$6,MIN(Reference!$A$11,MIN($U67,120))),Reference!$A$6:$A$11,1)))+(MAX(Reference!$A$6,MIN(Reference!$A$11,MIN($U67,120)))-INDEX(Reference!$A$6:$A$11,MIN(5,MATCH(MAX(Reference!$A$6,MIN(Reference!$A$11,MIN($U67,120))),Reference!$A$6:$A$11,1))))*(INDEX(Reference!$B$6:$B$11,MIN(5,MATCH(MAX(Reference!$A$6,MIN(Reference!$A$11,MIN($U67,120))),Reference!$A$6:$A$11,1))+1)-INDEX(Reference!$B$6:$B$11,MIN(5,MATCH(MAX(Reference!$A$6,MIN(Reference!$A$11,MIN($U67,120))),Reference!$A$6:$A$11,1))))/(INDEX(Reference!$A$6:$A$11,MIN(5,MATCH(MAX(Reference!$A$6,MIN(Reference!$A$11,MIN($U67,120))),Reference!$A$6:$A$11,1))+1)-INDEX(Reference!$A$6:$A$11,MIN(5,MATCH(MAX(Reference!$A$6,MIN(Reference!$A$11,MIN($U67,120))),Reference!$A$6:$A$11,1))))),0)+IF(3&lt;=$AL67,($AL67-3+3)*(INDEX(Reference!$B$6:$B$11,MIN(5,MATCH(MAX(Reference!$A$6,MIN(Reference!$A$11,MIN($U67,150))),Reference!$A$6:$A$11,1)))+(MAX(Reference!$A$6,MIN(Reference!$A$11,MIN($U67,150)))-INDEX(Reference!$A$6:$A$11,MIN(5,MATCH(MAX(Reference!$A$6,MIN(Reference!$A$11,MIN($U67,150))),Reference!$A$6:$A$11,1))))*(INDEX(Reference!$B$6:$B$11,MIN(5,MATCH(MAX(Reference!$A$6,MIN(Reference!$A$11,MIN($U67,150))),Reference!$A$6:$A$11,1))+1)-INDEX(Reference!$B$6:$B$11,MIN(5,MATCH(MAX(Reference!$A$6,MIN(Reference!$A$11,MIN($U67,150))),Reference!$A$6:$A$11,1))))/(INDEX(Reference!$A$6:$A$11,MIN(5,MATCH(MAX(Reference!$A$6,MIN(Reference!$A$11,MIN($U67,150))),Reference!$A$6:$A$11,1))+1)-INDEX(Reference!$A$6:$A$11,MIN(5,MATCH(MAX(Reference!$A$6,MIN(Reference!$A$11,MIN($U67,150))),Reference!$A$6:$A$11,1))))),0)+IF(4&lt;=$AL67,($AL67-4+3)*(INDEX(Reference!$B$6:$B$11,MIN(5,MATCH(MAX(Reference!$A$6,MIN(Reference!$A$11,MIN($U67,180))),Reference!$A$6:$A$11,1)))+(MAX(Reference!$A$6,MIN(Reference!$A$11,MIN($U67,180)))-INDEX(Reference!$A$6:$A$11,MIN(5,MATCH(MAX(Reference!$A$6,MIN(Reference!$A$11,MIN($U67,180))),Reference!$A$6:$A$11,1))))*(INDEX(Reference!$B$6:$B$11,MIN(5,MATCH(MAX(Reference!$A$6,MIN(Reference!$A$11,MIN($U67,180))),Reference!$A$6:$A$11,1))+1)-INDEX(Reference!$B$6:$B$11,MIN(5,MATCH(MAX(Reference!$A$6,MIN(Reference!$A$11,MIN($U67,180))),Reference!$A$6:$A$11,1))))/(INDEX(Reference!$A$6:$A$11,MIN(5,MATCH(MAX(Reference!$A$6,MIN(Reference!$A$11,MIN($U67,180))),Reference!$A$6:$A$11,1))+1)-INDEX(Reference!$A$6:$A$11,MIN(5,MATCH(MAX(Reference!$A$6,MIN(Reference!$A$11,MIN($U67,180))),Reference!$A$6:$A$11,1))))),0)+IF(5&lt;=$AL67,($AL67-5+3)*(INDEX(Reference!$B$6:$B$11,MIN(5,MATCH(MAX(Reference!$A$6,MIN(Reference!$A$11,MIN($U67,210))),Reference!$A$6:$A$11,1)))+(MAX(Reference!$A$6,MIN(Reference!$A$11,MIN($U67,210)))-INDEX(Reference!$A$6:$A$11,MIN(5,MATCH(MAX(Reference!$A$6,MIN(Reference!$A$11,MIN($U67,210))),Reference!$A$6:$A$11,1))))*(INDEX(Reference!$B$6:$B$11,MIN(5,MATCH(MAX(Reference!$A$6,MIN(Reference!$A$11,MIN($U67,210))),Reference!$A$6:$A$11,1))+1)-INDEX(Reference!$B$6:$B$11,MIN(5,MATCH(MAX(Reference!$A$6,MIN(Reference!$A$11,MIN($U67,210))),Reference!$A$6:$A$11,1))))/(INDEX(Reference!$A$6:$A$11,MIN(5,MATCH(MAX(Reference!$A$6,MIN(Reference!$A$11,MIN($U67,210))),Reference!$A$6:$A$11,1))+1)-INDEX(Reference!$A$6:$A$11,MIN(5,MATCH(MAX(Reference!$A$6,MIN(Reference!$A$11,MIN($U67,210))),Reference!$A$6:$A$11,1))))),0)+IF(6&lt;=$AL67,($AL67-6+3)*(INDEX(Reference!$B$6:$B$11,MIN(5,MATCH(MAX(Reference!$A$6,MIN(Reference!$A$11,MIN($U67,240))),Reference!$A$6:$A$11,1)))+(MAX(Reference!$A$6,MIN(Reference!$A$11,MIN($U67,240)))-INDEX(Reference!$A$6:$A$11,MIN(5,MATCH(MAX(Reference!$A$6,MIN(Reference!$A$11,MIN($U67,240))),Reference!$A$6:$A$11,1))))*(INDEX(Reference!$B$6:$B$11,MIN(5,MATCH(MAX(Reference!$A$6,MIN(Reference!$A$11,MIN($U67,240))),Reference!$A$6:$A$11,1))+1)-INDEX(Reference!$B$6:$B$11,MIN(5,MATCH(MAX(Reference!$A$6,MIN(Reference!$A$11,MIN($U67,240))),Reference!$A$6:$A$11,1))))/(INDEX(Reference!$A$6:$A$11,MIN(5,MATCH(MAX(Reference!$A$6,MIN(Reference!$A$11,MIN($U67,240))),Reference!$A$6:$A$11,1))+1)-INDEX(Reference!$A$6:$A$11,MIN(5,MATCH(MAX(Reference!$A$6,MIN(Reference!$A$11,MIN($U67,240))),Reference!$A$6:$A$11,1))))),0)+IF(7&lt;=$AL67,($AL67-7+3)*(INDEX(Reference!$B$6:$B$11,MIN(5,MATCH(MAX(Reference!$A$6,MIN(Reference!$A$11,MIN($U67,270))),Reference!$A$6:$A$11,1)))+(MAX(Reference!$A$6,MIN(Reference!$A$11,MIN($U67,270)))-INDEX(Reference!$A$6:$A$11,MIN(5,MATCH(MAX(Reference!$A$6,MIN(Reference!$A$11,MIN($U67,270))),Reference!$A$6:$A$11,1))))*(INDEX(Reference!$B$6:$B$11,MIN(5,MATCH(MAX(Reference!$A$6,MIN(Reference!$A$11,MIN($U67,270))),Reference!$A$6:$A$11,1))+1)-INDEX(Reference!$B$6:$B$11,MIN(5,MATCH(MAX(Reference!$A$6,MIN(Reference!$A$11,MIN($U67,270))),Reference!$A$6:$A$11,1))))/(INDEX(Reference!$A$6:$A$11,MIN(5,MATCH(MAX(Reference!$A$6,MIN(Reference!$A$11,MIN($U67,270))),Reference!$A$6:$A$11,1))+1)-INDEX(Reference!$A$6:$A$11,MIN(5,MATCH(MAX(Reference!$A$6,MIN(Reference!$A$11,MIN($U67,270))),Reference!$A$6:$A$11,1))))),0)+IF(8&lt;=$AL67,($AL67-8+3)*(INDEX(Reference!$B$6:$B$11,MIN(5,MATCH(MAX(Reference!$A$6,MIN(Reference!$A$11,MIN($U67,300))),Reference!$A$6:$A$11,1)))+(MAX(Reference!$A$6,MIN(Reference!$A$11,MIN($U67,300)))-INDEX(Reference!$A$6:$A$11,MIN(5,MATCH(MAX(Reference!$A$6,MIN(Reference!$A$11,MIN($U67,300))),Reference!$A$6:$A$11,1))))*(INDEX(Reference!$B$6:$B$11,MIN(5,MATCH(MAX(Reference!$A$6,MIN(Reference!$A$11,MIN($U67,300))),Reference!$A$6:$A$11,1))+1)-INDEX(Reference!$B$6:$B$11,MIN(5,MATCH(MAX(Reference!$A$6,MIN(Reference!$A$11,MIN($U67,300))),Reference!$A$6:$A$11,1))))/(INDEX(Reference!$A$6:$A$11,MIN(5,MATCH(MAX(Reference!$A$6,MIN(Reference!$A$11,MIN($U67,300))),Reference!$A$6:$A$11,1))+1)-INDEX(Reference!$A$6:$A$11,MIN(5,MATCH(MAX(Reference!$A$6,MIN(Reference!$A$11,MIN($U67,300))),Reference!$A$6:$A$11,1))))),0))/($AL67*($AL67+5)/2)),$AN67))</f>
        <v>1.3</v>
      </c>
      <c r="AN67" s="32">
        <f>IF($U67="",0,(INDEX(Reference!$B$6:$B$11,MIN(5,MATCH(MAX(Reference!$A$6,MIN(Reference!$A$11,$U67)),Reference!$A$6:$A$11,1)))+(MAX(Reference!$A$6,MIN(Reference!$A$11,$U67))-INDEX(Reference!$A$6:$A$11,MIN(5,MATCH(MAX(Reference!$A$6,MIN(Reference!$A$11,$U67)),Reference!$A$6:$A$11,1))))*(INDEX(Reference!$B$6:$B$11,MIN(5,MATCH(MAX(Reference!$A$6,MIN(Reference!$A$11,$U67)),Reference!$A$6:$A$11,1))+1)-INDEX(Reference!$B$6:$B$11,MIN(5,MATCH(MAX(Reference!$A$6,MIN(Reference!$A$11,$U67)),Reference!$A$6:$A$11,1))))/(INDEX(Reference!$A$6:$A$11,MIN(5,MATCH(MAX(Reference!$A$6,MIN(Reference!$A$11,$U67)),Reference!$A$6:$A$11,1))+1)-INDEX(Reference!$A$6:$A$11,MIN(5,MATCH(MAX(Reference!$A$6,MIN(Reference!$A$11,$U67)),Reference!$A$6:$A$11,1))))))</f>
        <v>1.3</v>
      </c>
      <c r="AO67" s="37"/>
      <c r="AP67" s="37"/>
      <c r="AQ67" s="37"/>
    </row>
    <row r="68" spans="1:43" x14ac:dyDescent="0.3">
      <c r="A68" s="48">
        <f t="shared" si="5"/>
        <v>46367</v>
      </c>
      <c r="B68" s="32" t="str">
        <f t="shared" si="6"/>
        <v>Fri</v>
      </c>
      <c r="C68" s="32">
        <f t="shared" si="7"/>
        <v>20</v>
      </c>
      <c r="D68" s="32" t="str">
        <f t="shared" si="8"/>
        <v>Flat Ground / Intent</v>
      </c>
      <c r="E68" s="32" t="str">
        <f t="shared" si="9"/>
        <v>Low</v>
      </c>
      <c r="F68" s="32" t="str">
        <f t="shared" si="10"/>
        <v>Recovery/Easy Catch</v>
      </c>
      <c r="G68" s="47" t="str">
        <f t="shared" si="11"/>
        <v>75 ft × 20 @ 66–70 mph</v>
      </c>
      <c r="H68" s="30">
        <f t="shared" si="12"/>
        <v>13.799999999999999</v>
      </c>
      <c r="I68" s="46" t="str">
        <f>IF($A68="","",IF(AND($L68&lt;27,$K$12=0),"Building",IFERROR(((SUM($H$62:$H68)+$K$12*IF($L68&lt;6,SUMIFS('Throw Log'!$Q$5:$Q$300,'Throw Log'!$B$5:$B$300,$D$4,'Throw Log'!$A$5:$A$300,"&gt;="&amp;($D$6+$L68-6),'Throw Log'!$A$5:$A$300,"&lt;="&amp;($D$6-1)),0))/7)/((SUM($H$43:$H68)+$K$12*IF($L68&lt;27,SUMIFS('Throw Log'!$Q$5:$Q$300,'Throw Log'!$B$5:$B$300,$D$4,'Throw Log'!$A$5:$A$300,"&gt;="&amp;($D$6+$L68-27),'Throw Log'!$A$5:$A$300,"&lt;="&amp;($D$6-1)),0))/28),"")))</f>
        <v>Building</v>
      </c>
      <c r="J68" s="37"/>
      <c r="K68" s="37"/>
      <c r="L68" s="32">
        <v>25</v>
      </c>
      <c r="M68" s="32">
        <f t="shared" si="13"/>
        <v>4</v>
      </c>
      <c r="N68" s="32">
        <f t="shared" si="14"/>
        <v>4</v>
      </c>
      <c r="O68" s="32">
        <f t="shared" si="15"/>
        <v>0.67567567567567566</v>
      </c>
      <c r="P68" s="32">
        <f>IF(OR($A68="",N($C68)&lt;=7),"",$G$6*$G$9^($M68-1)*IF(AND(MOD($M68,Reference!$B$99)=0,$M68&lt;=$G$5-2),Reference!$B$100,1))</f>
        <v>103.41949999999996</v>
      </c>
      <c r="Q68" s="32">
        <f>IF($P68="","",IF(SUM($AK$64:$AK$70)=0,0,$P68*INDEX(Reference!$B$108:$B$114,$N68+1)/SUM($AK$64:$AK$70)))</f>
        <v>10.341949999999997</v>
      </c>
      <c r="R68" s="32">
        <f t="shared" si="16"/>
        <v>120</v>
      </c>
      <c r="S68" s="32">
        <f t="shared" si="17"/>
        <v>105</v>
      </c>
      <c r="T68" s="32" t="str">
        <f>IF($A68="","",IF($C68=0,"Bullpen",IF(OR($C68=7,$C68=1,$C68=5),"Recovery/Easy Catch",IF($C68=6,"Compression/Pulldowns",IF(OR($C68=4,$C68=2),"Long Toss",IF($C68=3,"No Throw",IF($N68=2,"No Throw",IF($N68=6,IF($O68&lt;Reference!$B$104,"No Throw","Recovery/Easy Catch"),IF(OR($N68=0,$N68=4),"Recovery/Easy Catch",IF($N68=1,IF($R68&gt;75,"Long Toss","Recovery/Easy Catch"),IF($N68=3,IF($O68&lt;0.5,IF($S68&gt;75,"Long Toss","Recovery/Easy Catch"),"Compression/Pulldowns"),IF($S68&gt;75,"Long Toss","Recovery/Easy Catch"))))))))))))</f>
        <v>Recovery/Easy Catch</v>
      </c>
      <c r="U68" s="32">
        <f t="shared" si="18"/>
        <v>75</v>
      </c>
      <c r="V68" s="32">
        <f t="shared" si="19"/>
        <v>18</v>
      </c>
      <c r="W68" s="32">
        <f t="shared" si="20"/>
        <v>22</v>
      </c>
      <c r="X68" s="32">
        <f t="shared" si="21"/>
        <v>0</v>
      </c>
      <c r="Y68" s="32" t="str">
        <f t="shared" si="22"/>
        <v/>
      </c>
      <c r="Z68" s="32" t="str">
        <f t="shared" si="23"/>
        <v/>
      </c>
      <c r="AA68" s="32" t="str">
        <f t="shared" si="24"/>
        <v/>
      </c>
      <c r="AB68" s="32">
        <f>IF($A68="","",IF($T68="No Throw",0,IF($K68&lt;&gt;"",$K68,IF($AA68&lt;&gt;"",ROUND($AA68*$D$12*IF($C68=0,1,$G$10),0),MIN(IF($T68="Recovery/Easy Catch",Reference!$B$103,IF($T68="Long Toss",Reference!$B$106,Reference!$B$102)),MAX(Reference!$B$101,ROUND(MAX(0,$Q68-$AE68)/$AF68,0)))))))</f>
        <v>20</v>
      </c>
      <c r="AC68" s="32">
        <f t="shared" si="25"/>
        <v>0</v>
      </c>
      <c r="AD68" s="32" t="b">
        <f t="shared" si="26"/>
        <v>0</v>
      </c>
      <c r="AE68" s="32">
        <f>IF($X68=0,0,$X68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68+$Z68)/2,0),Reference!$A$17:$B$20,2,TRUE()))</f>
        <v>0</v>
      </c>
      <c r="AF68" s="32">
        <f>IF(OR($A68="",$U68="",$T68="No Throw"),0,$AM68*VLOOKUP(MAX(($V68+$W68)/2,0),Reference!$A$17:$B$20,2,TRUE()))</f>
        <v>0.69</v>
      </c>
      <c r="AG68" s="32">
        <f>IF($AC68=0,0,$AC68*INDEX(Reference!$B$61:$B$62,MATCH("Bullpen",Reference!$A$61:$A$62,0))*VLOOKUP(MAX($D$5-($D$9+$E$9)/2,0),Reference!$A$17:$B$20,2,TRUE()))</f>
        <v>0</v>
      </c>
      <c r="AH68" s="32" t="e">
        <f t="shared" si="27"/>
        <v>#N/A</v>
      </c>
      <c r="AI68" s="32">
        <f>IF($A68="",NA(),Reference!$A$25)</f>
        <v>0.8</v>
      </c>
      <c r="AJ68" s="32">
        <f t="shared" si="28"/>
        <v>1.3</v>
      </c>
      <c r="AK68" s="56">
        <f>IF(OR($A68="",N($C68)&lt;=7,$T68="No Throw",$J68="x"),0,INDEX(Reference!$B$108:$B$114,$N68+1))</f>
        <v>0.1</v>
      </c>
      <c r="AL68" s="32">
        <f t="shared" si="29"/>
        <v>1</v>
      </c>
      <c r="AM68" s="32">
        <f>IF($U68="",0,IF($AL68&gt;1,((IF(1&lt;=$AL68,($AL68-1+3)*(INDEX(Reference!$B$6:$B$11,MIN(5,MATCH(MAX(Reference!$A$6,MIN(Reference!$A$11,MIN($U68,90))),Reference!$A$6:$A$11,1)))+(MAX(Reference!$A$6,MIN(Reference!$A$11,MIN($U68,90)))-INDEX(Reference!$A$6:$A$11,MIN(5,MATCH(MAX(Reference!$A$6,MIN(Reference!$A$11,MIN($U68,90))),Reference!$A$6:$A$11,1))))*(INDEX(Reference!$B$6:$B$11,MIN(5,MATCH(MAX(Reference!$A$6,MIN(Reference!$A$11,MIN($U68,90))),Reference!$A$6:$A$11,1))+1)-INDEX(Reference!$B$6:$B$11,MIN(5,MATCH(MAX(Reference!$A$6,MIN(Reference!$A$11,MIN($U68,90))),Reference!$A$6:$A$11,1))))/(INDEX(Reference!$A$6:$A$11,MIN(5,MATCH(MAX(Reference!$A$6,MIN(Reference!$A$11,MIN($U68,90))),Reference!$A$6:$A$11,1))+1)-INDEX(Reference!$A$6:$A$11,MIN(5,MATCH(MAX(Reference!$A$6,MIN(Reference!$A$11,MIN($U68,90))),Reference!$A$6:$A$11,1))))),0)+IF(2&lt;=$AL68,($AL68-2+3)*(INDEX(Reference!$B$6:$B$11,MIN(5,MATCH(MAX(Reference!$A$6,MIN(Reference!$A$11,MIN($U68,120))),Reference!$A$6:$A$11,1)))+(MAX(Reference!$A$6,MIN(Reference!$A$11,MIN($U68,120)))-INDEX(Reference!$A$6:$A$11,MIN(5,MATCH(MAX(Reference!$A$6,MIN(Reference!$A$11,MIN($U68,120))),Reference!$A$6:$A$11,1))))*(INDEX(Reference!$B$6:$B$11,MIN(5,MATCH(MAX(Reference!$A$6,MIN(Reference!$A$11,MIN($U68,120))),Reference!$A$6:$A$11,1))+1)-INDEX(Reference!$B$6:$B$11,MIN(5,MATCH(MAX(Reference!$A$6,MIN(Reference!$A$11,MIN($U68,120))),Reference!$A$6:$A$11,1))))/(INDEX(Reference!$A$6:$A$11,MIN(5,MATCH(MAX(Reference!$A$6,MIN(Reference!$A$11,MIN($U68,120))),Reference!$A$6:$A$11,1))+1)-INDEX(Reference!$A$6:$A$11,MIN(5,MATCH(MAX(Reference!$A$6,MIN(Reference!$A$11,MIN($U68,120))),Reference!$A$6:$A$11,1))))),0)+IF(3&lt;=$AL68,($AL68-3+3)*(INDEX(Reference!$B$6:$B$11,MIN(5,MATCH(MAX(Reference!$A$6,MIN(Reference!$A$11,MIN($U68,150))),Reference!$A$6:$A$11,1)))+(MAX(Reference!$A$6,MIN(Reference!$A$11,MIN($U68,150)))-INDEX(Reference!$A$6:$A$11,MIN(5,MATCH(MAX(Reference!$A$6,MIN(Reference!$A$11,MIN($U68,150))),Reference!$A$6:$A$11,1))))*(INDEX(Reference!$B$6:$B$11,MIN(5,MATCH(MAX(Reference!$A$6,MIN(Reference!$A$11,MIN($U68,150))),Reference!$A$6:$A$11,1))+1)-INDEX(Reference!$B$6:$B$11,MIN(5,MATCH(MAX(Reference!$A$6,MIN(Reference!$A$11,MIN($U68,150))),Reference!$A$6:$A$11,1))))/(INDEX(Reference!$A$6:$A$11,MIN(5,MATCH(MAX(Reference!$A$6,MIN(Reference!$A$11,MIN($U68,150))),Reference!$A$6:$A$11,1))+1)-INDEX(Reference!$A$6:$A$11,MIN(5,MATCH(MAX(Reference!$A$6,MIN(Reference!$A$11,MIN($U68,150))),Reference!$A$6:$A$11,1))))),0)+IF(4&lt;=$AL68,($AL68-4+3)*(INDEX(Reference!$B$6:$B$11,MIN(5,MATCH(MAX(Reference!$A$6,MIN(Reference!$A$11,MIN($U68,180))),Reference!$A$6:$A$11,1)))+(MAX(Reference!$A$6,MIN(Reference!$A$11,MIN($U68,180)))-INDEX(Reference!$A$6:$A$11,MIN(5,MATCH(MAX(Reference!$A$6,MIN(Reference!$A$11,MIN($U68,180))),Reference!$A$6:$A$11,1))))*(INDEX(Reference!$B$6:$B$11,MIN(5,MATCH(MAX(Reference!$A$6,MIN(Reference!$A$11,MIN($U68,180))),Reference!$A$6:$A$11,1))+1)-INDEX(Reference!$B$6:$B$11,MIN(5,MATCH(MAX(Reference!$A$6,MIN(Reference!$A$11,MIN($U68,180))),Reference!$A$6:$A$11,1))))/(INDEX(Reference!$A$6:$A$11,MIN(5,MATCH(MAX(Reference!$A$6,MIN(Reference!$A$11,MIN($U68,180))),Reference!$A$6:$A$11,1))+1)-INDEX(Reference!$A$6:$A$11,MIN(5,MATCH(MAX(Reference!$A$6,MIN(Reference!$A$11,MIN($U68,180))),Reference!$A$6:$A$11,1))))),0)+IF(5&lt;=$AL68,($AL68-5+3)*(INDEX(Reference!$B$6:$B$11,MIN(5,MATCH(MAX(Reference!$A$6,MIN(Reference!$A$11,MIN($U68,210))),Reference!$A$6:$A$11,1)))+(MAX(Reference!$A$6,MIN(Reference!$A$11,MIN($U68,210)))-INDEX(Reference!$A$6:$A$11,MIN(5,MATCH(MAX(Reference!$A$6,MIN(Reference!$A$11,MIN($U68,210))),Reference!$A$6:$A$11,1))))*(INDEX(Reference!$B$6:$B$11,MIN(5,MATCH(MAX(Reference!$A$6,MIN(Reference!$A$11,MIN($U68,210))),Reference!$A$6:$A$11,1))+1)-INDEX(Reference!$B$6:$B$11,MIN(5,MATCH(MAX(Reference!$A$6,MIN(Reference!$A$11,MIN($U68,210))),Reference!$A$6:$A$11,1))))/(INDEX(Reference!$A$6:$A$11,MIN(5,MATCH(MAX(Reference!$A$6,MIN(Reference!$A$11,MIN($U68,210))),Reference!$A$6:$A$11,1))+1)-INDEX(Reference!$A$6:$A$11,MIN(5,MATCH(MAX(Reference!$A$6,MIN(Reference!$A$11,MIN($U68,210))),Reference!$A$6:$A$11,1))))),0)+IF(6&lt;=$AL68,($AL68-6+3)*(INDEX(Reference!$B$6:$B$11,MIN(5,MATCH(MAX(Reference!$A$6,MIN(Reference!$A$11,MIN($U68,240))),Reference!$A$6:$A$11,1)))+(MAX(Reference!$A$6,MIN(Reference!$A$11,MIN($U68,240)))-INDEX(Reference!$A$6:$A$11,MIN(5,MATCH(MAX(Reference!$A$6,MIN(Reference!$A$11,MIN($U68,240))),Reference!$A$6:$A$11,1))))*(INDEX(Reference!$B$6:$B$11,MIN(5,MATCH(MAX(Reference!$A$6,MIN(Reference!$A$11,MIN($U68,240))),Reference!$A$6:$A$11,1))+1)-INDEX(Reference!$B$6:$B$11,MIN(5,MATCH(MAX(Reference!$A$6,MIN(Reference!$A$11,MIN($U68,240))),Reference!$A$6:$A$11,1))))/(INDEX(Reference!$A$6:$A$11,MIN(5,MATCH(MAX(Reference!$A$6,MIN(Reference!$A$11,MIN($U68,240))),Reference!$A$6:$A$11,1))+1)-INDEX(Reference!$A$6:$A$11,MIN(5,MATCH(MAX(Reference!$A$6,MIN(Reference!$A$11,MIN($U68,240))),Reference!$A$6:$A$11,1))))),0)+IF(7&lt;=$AL68,($AL68-7+3)*(INDEX(Reference!$B$6:$B$11,MIN(5,MATCH(MAX(Reference!$A$6,MIN(Reference!$A$11,MIN($U68,270))),Reference!$A$6:$A$11,1)))+(MAX(Reference!$A$6,MIN(Reference!$A$11,MIN($U68,270)))-INDEX(Reference!$A$6:$A$11,MIN(5,MATCH(MAX(Reference!$A$6,MIN(Reference!$A$11,MIN($U68,270))),Reference!$A$6:$A$11,1))))*(INDEX(Reference!$B$6:$B$11,MIN(5,MATCH(MAX(Reference!$A$6,MIN(Reference!$A$11,MIN($U68,270))),Reference!$A$6:$A$11,1))+1)-INDEX(Reference!$B$6:$B$11,MIN(5,MATCH(MAX(Reference!$A$6,MIN(Reference!$A$11,MIN($U68,270))),Reference!$A$6:$A$11,1))))/(INDEX(Reference!$A$6:$A$11,MIN(5,MATCH(MAX(Reference!$A$6,MIN(Reference!$A$11,MIN($U68,270))),Reference!$A$6:$A$11,1))+1)-INDEX(Reference!$A$6:$A$11,MIN(5,MATCH(MAX(Reference!$A$6,MIN(Reference!$A$11,MIN($U68,270))),Reference!$A$6:$A$11,1))))),0)+IF(8&lt;=$AL68,($AL68-8+3)*(INDEX(Reference!$B$6:$B$11,MIN(5,MATCH(MAX(Reference!$A$6,MIN(Reference!$A$11,MIN($U68,300))),Reference!$A$6:$A$11,1)))+(MAX(Reference!$A$6,MIN(Reference!$A$11,MIN($U68,300)))-INDEX(Reference!$A$6:$A$11,MIN(5,MATCH(MAX(Reference!$A$6,MIN(Reference!$A$11,MIN($U68,300))),Reference!$A$6:$A$11,1))))*(INDEX(Reference!$B$6:$B$11,MIN(5,MATCH(MAX(Reference!$A$6,MIN(Reference!$A$11,MIN($U68,300))),Reference!$A$6:$A$11,1))+1)-INDEX(Reference!$B$6:$B$11,MIN(5,MATCH(MAX(Reference!$A$6,MIN(Reference!$A$11,MIN($U68,300))),Reference!$A$6:$A$11,1))))/(INDEX(Reference!$A$6:$A$11,MIN(5,MATCH(MAX(Reference!$A$6,MIN(Reference!$A$11,MIN($U68,300))),Reference!$A$6:$A$11,1))+1)-INDEX(Reference!$A$6:$A$11,MIN(5,MATCH(MAX(Reference!$A$6,MIN(Reference!$A$11,MIN($U68,300))),Reference!$A$6:$A$11,1))))),0))/($AL68*($AL68+5)/2)),$AN68))</f>
        <v>1.1499999999999999</v>
      </c>
      <c r="AN68" s="32">
        <f>IF($U68="",0,(INDEX(Reference!$B$6:$B$11,MIN(5,MATCH(MAX(Reference!$A$6,MIN(Reference!$A$11,$U68)),Reference!$A$6:$A$11,1)))+(MAX(Reference!$A$6,MIN(Reference!$A$11,$U68))-INDEX(Reference!$A$6:$A$11,MIN(5,MATCH(MAX(Reference!$A$6,MIN(Reference!$A$11,$U68)),Reference!$A$6:$A$11,1))))*(INDEX(Reference!$B$6:$B$11,MIN(5,MATCH(MAX(Reference!$A$6,MIN(Reference!$A$11,$U68)),Reference!$A$6:$A$11,1))+1)-INDEX(Reference!$B$6:$B$11,MIN(5,MATCH(MAX(Reference!$A$6,MIN(Reference!$A$11,$U68)),Reference!$A$6:$A$11,1))))/(INDEX(Reference!$A$6:$A$11,MIN(5,MATCH(MAX(Reference!$A$6,MIN(Reference!$A$11,$U68)),Reference!$A$6:$A$11,1))+1)-INDEX(Reference!$A$6:$A$11,MIN(5,MATCH(MAX(Reference!$A$6,MIN(Reference!$A$11,$U68)),Reference!$A$6:$A$11,1))))))</f>
        <v>1.1499999999999999</v>
      </c>
      <c r="AO68" s="37"/>
      <c r="AP68" s="37"/>
      <c r="AQ68" s="37"/>
    </row>
    <row r="69" spans="1:43" ht="26.4" x14ac:dyDescent="0.3">
      <c r="A69" s="48">
        <f t="shared" si="5"/>
        <v>46368</v>
      </c>
      <c r="B69" s="32" t="str">
        <f t="shared" si="6"/>
        <v>Sat</v>
      </c>
      <c r="C69" s="32">
        <f t="shared" si="7"/>
        <v>19</v>
      </c>
      <c r="D69" s="32" t="str">
        <f t="shared" si="8"/>
        <v>Flat Ground / Intent</v>
      </c>
      <c r="E69" s="32" t="str">
        <f t="shared" si="9"/>
        <v>High Non-Bullpen</v>
      </c>
      <c r="F69" s="32" t="str">
        <f t="shared" si="10"/>
        <v>Long Toss</v>
      </c>
      <c r="G69" s="47" t="str">
        <f t="shared" si="11"/>
        <v>Long toss out to 105 ft — 20 throws (90×11 · 105×9) @ 75–78 mph + flat ground at 60 ft × 20 @ 79–81 mph</v>
      </c>
      <c r="H69" s="30">
        <f t="shared" si="12"/>
        <v>36.628571428571426</v>
      </c>
      <c r="I69" s="46" t="str">
        <f>IF($A69="","",IF(AND($L69&lt;27,$K$12=0),"Building",IFERROR(((SUM($H$63:$H69)+$K$12*IF($L69&lt;6,SUMIFS('Throw Log'!$Q$5:$Q$300,'Throw Log'!$B$5:$B$300,$D$4,'Throw Log'!$A$5:$A$300,"&gt;="&amp;($D$6+$L69-6),'Throw Log'!$A$5:$A$300,"&lt;="&amp;($D$6-1)),0))/7)/((SUM($H$43:$H69)+$K$12*IF($L69&lt;27,SUMIFS('Throw Log'!$Q$5:$Q$300,'Throw Log'!$B$5:$B$300,$D$4,'Throw Log'!$A$5:$A$300,"&gt;="&amp;($D$6+$L69-27),'Throw Log'!$A$5:$A$300,"&lt;="&amp;($D$6-1)),0))/28),"")))</f>
        <v>Building</v>
      </c>
      <c r="J69" s="37"/>
      <c r="K69" s="37"/>
      <c r="L69" s="32">
        <v>26</v>
      </c>
      <c r="M69" s="32">
        <f t="shared" si="13"/>
        <v>4</v>
      </c>
      <c r="N69" s="32">
        <f t="shared" si="14"/>
        <v>5</v>
      </c>
      <c r="O69" s="32">
        <f t="shared" si="15"/>
        <v>0.70270270270270274</v>
      </c>
      <c r="P69" s="32">
        <f>IF(OR($A69="",N($C69)&lt;=7),"",$G$6*$G$9^($M69-1)*IF(AND(MOD($M69,Reference!$B$99)=0,$M69&lt;=$G$5-2),Reference!$B$100,1))</f>
        <v>103.41949999999996</v>
      </c>
      <c r="Q69" s="32">
        <f>IF($P69="","",IF(SUM($AK$64:$AK$70)=0,0,$P69*INDEX(Reference!$B$108:$B$114,$N69+1)/SUM($AK$64:$AK$70)))</f>
        <v>27.92326499999999</v>
      </c>
      <c r="R69" s="32">
        <f t="shared" si="16"/>
        <v>120</v>
      </c>
      <c r="S69" s="32">
        <f t="shared" si="17"/>
        <v>105</v>
      </c>
      <c r="T69" s="32" t="str">
        <f>IF($A69="","",IF($C69=0,"Bullpen",IF(OR($C69=7,$C69=1,$C69=5),"Recovery/Easy Catch",IF($C69=6,"Compression/Pulldowns",IF(OR($C69=4,$C69=2),"Long Toss",IF($C69=3,"No Throw",IF($N69=2,"No Throw",IF($N69=6,IF($O69&lt;Reference!$B$104,"No Throw","Recovery/Easy Catch"),IF(OR($N69=0,$N69=4),"Recovery/Easy Catch",IF($N69=1,IF($R69&gt;75,"Long Toss","Recovery/Easy Catch"),IF($N69=3,IF($O69&lt;0.5,IF($S69&gt;75,"Long Toss","Recovery/Easy Catch"),"Compression/Pulldowns"),IF($S69&gt;75,"Long Toss","Recovery/Easy Catch"))))))))))))</f>
        <v>Long Toss</v>
      </c>
      <c r="U69" s="32">
        <f t="shared" si="18"/>
        <v>105</v>
      </c>
      <c r="V69" s="32">
        <f t="shared" si="19"/>
        <v>10</v>
      </c>
      <c r="W69" s="32">
        <f t="shared" si="20"/>
        <v>13</v>
      </c>
      <c r="X69" s="32">
        <f t="shared" si="21"/>
        <v>20</v>
      </c>
      <c r="Y69" s="32">
        <f t="shared" si="22"/>
        <v>7</v>
      </c>
      <c r="Z69" s="32">
        <f t="shared" si="23"/>
        <v>9</v>
      </c>
      <c r="AA69" s="32" t="str">
        <f t="shared" si="24"/>
        <v/>
      </c>
      <c r="AB69" s="32">
        <f>IF($A69="","",IF($T69="No Throw",0,IF($K69&lt;&gt;"",$K69,IF($AA69&lt;&gt;"",ROUND($AA69*$D$12*IF($C69=0,1,$G$10),0),MIN(IF($T69="Recovery/Easy Catch",Reference!$B$103,IF($T69="Long Toss",Reference!$B$106,Reference!$B$102)),MAX(Reference!$B$101,ROUND(MAX(0,$Q69-$AE69)/$AF69,0)))))))</f>
        <v>20</v>
      </c>
      <c r="AC69" s="32">
        <f t="shared" si="25"/>
        <v>0</v>
      </c>
      <c r="AD69" s="32" t="b">
        <f t="shared" si="26"/>
        <v>0</v>
      </c>
      <c r="AE69" s="32">
        <f>IF($X69=0,0,$X69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69+$Z69)/2,0),Reference!$A$17:$B$20,2,TRUE()))</f>
        <v>20</v>
      </c>
      <c r="AF69" s="32">
        <f>IF(OR($A69="",$U69="",$T69="No Throw"),0,$AM69*VLOOKUP(MAX(($V69+$W69)/2,0),Reference!$A$17:$B$20,2,TRUE()))</f>
        <v>0.83142857142857141</v>
      </c>
      <c r="AG69" s="32">
        <f>IF($AC69=0,0,$AC69*INDEX(Reference!$B$61:$B$62,MATCH("Bullpen",Reference!$A$61:$A$62,0))*VLOOKUP(MAX($D$5-($D$9+$E$9)/2,0),Reference!$A$17:$B$20,2,TRUE()))</f>
        <v>0</v>
      </c>
      <c r="AH69" s="32" t="e">
        <f t="shared" si="27"/>
        <v>#N/A</v>
      </c>
      <c r="AI69" s="32">
        <f>IF($A69="",NA(),Reference!$A$25)</f>
        <v>0.8</v>
      </c>
      <c r="AJ69" s="32">
        <f t="shared" si="28"/>
        <v>1.3</v>
      </c>
      <c r="AK69" s="56">
        <f>IF(OR($A69="",N($C69)&lt;=7,$T69="No Throw",$J69="x"),0,INDEX(Reference!$B$108:$B$114,$N69+1))</f>
        <v>0.27</v>
      </c>
      <c r="AL69" s="32">
        <f t="shared" si="29"/>
        <v>2</v>
      </c>
      <c r="AM69" s="32">
        <f>IF($U69="",0,IF($AL69&gt;1,((IF(1&lt;=$AL69,($AL69-1+3)*(INDEX(Reference!$B$6:$B$11,MIN(5,MATCH(MAX(Reference!$A$6,MIN(Reference!$A$11,MIN($U69,90))),Reference!$A$6:$A$11,1)))+(MAX(Reference!$A$6,MIN(Reference!$A$11,MIN($U69,90)))-INDEX(Reference!$A$6:$A$11,MIN(5,MATCH(MAX(Reference!$A$6,MIN(Reference!$A$11,MIN($U69,90))),Reference!$A$6:$A$11,1))))*(INDEX(Reference!$B$6:$B$11,MIN(5,MATCH(MAX(Reference!$A$6,MIN(Reference!$A$11,MIN($U69,90))),Reference!$A$6:$A$11,1))+1)-INDEX(Reference!$B$6:$B$11,MIN(5,MATCH(MAX(Reference!$A$6,MIN(Reference!$A$11,MIN($U69,90))),Reference!$A$6:$A$11,1))))/(INDEX(Reference!$A$6:$A$11,MIN(5,MATCH(MAX(Reference!$A$6,MIN(Reference!$A$11,MIN($U69,90))),Reference!$A$6:$A$11,1))+1)-INDEX(Reference!$A$6:$A$11,MIN(5,MATCH(MAX(Reference!$A$6,MIN(Reference!$A$11,MIN($U69,90))),Reference!$A$6:$A$11,1))))),0)+IF(2&lt;=$AL69,($AL69-2+3)*(INDEX(Reference!$B$6:$B$11,MIN(5,MATCH(MAX(Reference!$A$6,MIN(Reference!$A$11,MIN($U69,120))),Reference!$A$6:$A$11,1)))+(MAX(Reference!$A$6,MIN(Reference!$A$11,MIN($U69,120)))-INDEX(Reference!$A$6:$A$11,MIN(5,MATCH(MAX(Reference!$A$6,MIN(Reference!$A$11,MIN($U69,120))),Reference!$A$6:$A$11,1))))*(INDEX(Reference!$B$6:$B$11,MIN(5,MATCH(MAX(Reference!$A$6,MIN(Reference!$A$11,MIN($U69,120))),Reference!$A$6:$A$11,1))+1)-INDEX(Reference!$B$6:$B$11,MIN(5,MATCH(MAX(Reference!$A$6,MIN(Reference!$A$11,MIN($U69,120))),Reference!$A$6:$A$11,1))))/(INDEX(Reference!$A$6:$A$11,MIN(5,MATCH(MAX(Reference!$A$6,MIN(Reference!$A$11,MIN($U69,120))),Reference!$A$6:$A$11,1))+1)-INDEX(Reference!$A$6:$A$11,MIN(5,MATCH(MAX(Reference!$A$6,MIN(Reference!$A$11,MIN($U69,120))),Reference!$A$6:$A$11,1))))),0)+IF(3&lt;=$AL69,($AL69-3+3)*(INDEX(Reference!$B$6:$B$11,MIN(5,MATCH(MAX(Reference!$A$6,MIN(Reference!$A$11,MIN($U69,150))),Reference!$A$6:$A$11,1)))+(MAX(Reference!$A$6,MIN(Reference!$A$11,MIN($U69,150)))-INDEX(Reference!$A$6:$A$11,MIN(5,MATCH(MAX(Reference!$A$6,MIN(Reference!$A$11,MIN($U69,150))),Reference!$A$6:$A$11,1))))*(INDEX(Reference!$B$6:$B$11,MIN(5,MATCH(MAX(Reference!$A$6,MIN(Reference!$A$11,MIN($U69,150))),Reference!$A$6:$A$11,1))+1)-INDEX(Reference!$B$6:$B$11,MIN(5,MATCH(MAX(Reference!$A$6,MIN(Reference!$A$11,MIN($U69,150))),Reference!$A$6:$A$11,1))))/(INDEX(Reference!$A$6:$A$11,MIN(5,MATCH(MAX(Reference!$A$6,MIN(Reference!$A$11,MIN($U69,150))),Reference!$A$6:$A$11,1))+1)-INDEX(Reference!$A$6:$A$11,MIN(5,MATCH(MAX(Reference!$A$6,MIN(Reference!$A$11,MIN($U69,150))),Reference!$A$6:$A$11,1))))),0)+IF(4&lt;=$AL69,($AL69-4+3)*(INDEX(Reference!$B$6:$B$11,MIN(5,MATCH(MAX(Reference!$A$6,MIN(Reference!$A$11,MIN($U69,180))),Reference!$A$6:$A$11,1)))+(MAX(Reference!$A$6,MIN(Reference!$A$11,MIN($U69,180)))-INDEX(Reference!$A$6:$A$11,MIN(5,MATCH(MAX(Reference!$A$6,MIN(Reference!$A$11,MIN($U69,180))),Reference!$A$6:$A$11,1))))*(INDEX(Reference!$B$6:$B$11,MIN(5,MATCH(MAX(Reference!$A$6,MIN(Reference!$A$11,MIN($U69,180))),Reference!$A$6:$A$11,1))+1)-INDEX(Reference!$B$6:$B$11,MIN(5,MATCH(MAX(Reference!$A$6,MIN(Reference!$A$11,MIN($U69,180))),Reference!$A$6:$A$11,1))))/(INDEX(Reference!$A$6:$A$11,MIN(5,MATCH(MAX(Reference!$A$6,MIN(Reference!$A$11,MIN($U69,180))),Reference!$A$6:$A$11,1))+1)-INDEX(Reference!$A$6:$A$11,MIN(5,MATCH(MAX(Reference!$A$6,MIN(Reference!$A$11,MIN($U69,180))),Reference!$A$6:$A$11,1))))),0)+IF(5&lt;=$AL69,($AL69-5+3)*(INDEX(Reference!$B$6:$B$11,MIN(5,MATCH(MAX(Reference!$A$6,MIN(Reference!$A$11,MIN($U69,210))),Reference!$A$6:$A$11,1)))+(MAX(Reference!$A$6,MIN(Reference!$A$11,MIN($U69,210)))-INDEX(Reference!$A$6:$A$11,MIN(5,MATCH(MAX(Reference!$A$6,MIN(Reference!$A$11,MIN($U69,210))),Reference!$A$6:$A$11,1))))*(INDEX(Reference!$B$6:$B$11,MIN(5,MATCH(MAX(Reference!$A$6,MIN(Reference!$A$11,MIN($U69,210))),Reference!$A$6:$A$11,1))+1)-INDEX(Reference!$B$6:$B$11,MIN(5,MATCH(MAX(Reference!$A$6,MIN(Reference!$A$11,MIN($U69,210))),Reference!$A$6:$A$11,1))))/(INDEX(Reference!$A$6:$A$11,MIN(5,MATCH(MAX(Reference!$A$6,MIN(Reference!$A$11,MIN($U69,210))),Reference!$A$6:$A$11,1))+1)-INDEX(Reference!$A$6:$A$11,MIN(5,MATCH(MAX(Reference!$A$6,MIN(Reference!$A$11,MIN($U69,210))),Reference!$A$6:$A$11,1))))),0)+IF(6&lt;=$AL69,($AL69-6+3)*(INDEX(Reference!$B$6:$B$11,MIN(5,MATCH(MAX(Reference!$A$6,MIN(Reference!$A$11,MIN($U69,240))),Reference!$A$6:$A$11,1)))+(MAX(Reference!$A$6,MIN(Reference!$A$11,MIN($U69,240)))-INDEX(Reference!$A$6:$A$11,MIN(5,MATCH(MAX(Reference!$A$6,MIN(Reference!$A$11,MIN($U69,240))),Reference!$A$6:$A$11,1))))*(INDEX(Reference!$B$6:$B$11,MIN(5,MATCH(MAX(Reference!$A$6,MIN(Reference!$A$11,MIN($U69,240))),Reference!$A$6:$A$11,1))+1)-INDEX(Reference!$B$6:$B$11,MIN(5,MATCH(MAX(Reference!$A$6,MIN(Reference!$A$11,MIN($U69,240))),Reference!$A$6:$A$11,1))))/(INDEX(Reference!$A$6:$A$11,MIN(5,MATCH(MAX(Reference!$A$6,MIN(Reference!$A$11,MIN($U69,240))),Reference!$A$6:$A$11,1))+1)-INDEX(Reference!$A$6:$A$11,MIN(5,MATCH(MAX(Reference!$A$6,MIN(Reference!$A$11,MIN($U69,240))),Reference!$A$6:$A$11,1))))),0)+IF(7&lt;=$AL69,($AL69-7+3)*(INDEX(Reference!$B$6:$B$11,MIN(5,MATCH(MAX(Reference!$A$6,MIN(Reference!$A$11,MIN($U69,270))),Reference!$A$6:$A$11,1)))+(MAX(Reference!$A$6,MIN(Reference!$A$11,MIN($U69,270)))-INDEX(Reference!$A$6:$A$11,MIN(5,MATCH(MAX(Reference!$A$6,MIN(Reference!$A$11,MIN($U69,270))),Reference!$A$6:$A$11,1))))*(INDEX(Reference!$B$6:$B$11,MIN(5,MATCH(MAX(Reference!$A$6,MIN(Reference!$A$11,MIN($U69,270))),Reference!$A$6:$A$11,1))+1)-INDEX(Reference!$B$6:$B$11,MIN(5,MATCH(MAX(Reference!$A$6,MIN(Reference!$A$11,MIN($U69,270))),Reference!$A$6:$A$11,1))))/(INDEX(Reference!$A$6:$A$11,MIN(5,MATCH(MAX(Reference!$A$6,MIN(Reference!$A$11,MIN($U69,270))),Reference!$A$6:$A$11,1))+1)-INDEX(Reference!$A$6:$A$11,MIN(5,MATCH(MAX(Reference!$A$6,MIN(Reference!$A$11,MIN($U69,270))),Reference!$A$6:$A$11,1))))),0)+IF(8&lt;=$AL69,($AL69-8+3)*(INDEX(Reference!$B$6:$B$11,MIN(5,MATCH(MAX(Reference!$A$6,MIN(Reference!$A$11,MIN($U69,300))),Reference!$A$6:$A$11,1)))+(MAX(Reference!$A$6,MIN(Reference!$A$11,MIN($U69,300)))-INDEX(Reference!$A$6:$A$11,MIN(5,MATCH(MAX(Reference!$A$6,MIN(Reference!$A$11,MIN($U69,300))),Reference!$A$6:$A$11,1))))*(INDEX(Reference!$B$6:$B$11,MIN(5,MATCH(MAX(Reference!$A$6,MIN(Reference!$A$11,MIN($U69,300))),Reference!$A$6:$A$11,1))+1)-INDEX(Reference!$B$6:$B$11,MIN(5,MATCH(MAX(Reference!$A$6,MIN(Reference!$A$11,MIN($U69,300))),Reference!$A$6:$A$11,1))))/(INDEX(Reference!$A$6:$A$11,MIN(5,MATCH(MAX(Reference!$A$6,MIN(Reference!$A$11,MIN($U69,300))),Reference!$A$6:$A$11,1))+1)-INDEX(Reference!$A$6:$A$11,MIN(5,MATCH(MAX(Reference!$A$6,MIN(Reference!$A$11,MIN($U69,300))),Reference!$A$6:$A$11,1))))),0))/($AL69*($AL69+5)/2)),$AN69))</f>
        <v>1.3857142857142857</v>
      </c>
      <c r="AN69" s="32">
        <f>IF($U69="",0,(INDEX(Reference!$B$6:$B$11,MIN(5,MATCH(MAX(Reference!$A$6,MIN(Reference!$A$11,$U69)),Reference!$A$6:$A$11,1)))+(MAX(Reference!$A$6,MIN(Reference!$A$11,$U69))-INDEX(Reference!$A$6:$A$11,MIN(5,MATCH(MAX(Reference!$A$6,MIN(Reference!$A$11,$U69)),Reference!$A$6:$A$11,1))))*(INDEX(Reference!$B$6:$B$11,MIN(5,MATCH(MAX(Reference!$A$6,MIN(Reference!$A$11,$U69)),Reference!$A$6:$A$11,1))+1)-INDEX(Reference!$B$6:$B$11,MIN(5,MATCH(MAX(Reference!$A$6,MIN(Reference!$A$11,$U69)),Reference!$A$6:$A$11,1))))/(INDEX(Reference!$A$6:$A$11,MIN(5,MATCH(MAX(Reference!$A$6,MIN(Reference!$A$11,$U69)),Reference!$A$6:$A$11,1))+1)-INDEX(Reference!$A$6:$A$11,MIN(5,MATCH(MAX(Reference!$A$6,MIN(Reference!$A$11,$U69)),Reference!$A$6:$A$11,1))))))</f>
        <v>1.5</v>
      </c>
      <c r="AO69" s="37"/>
      <c r="AP69" s="37"/>
      <c r="AQ69" s="37"/>
    </row>
    <row r="70" spans="1:43" x14ac:dyDescent="0.3">
      <c r="A70" s="48">
        <f t="shared" si="5"/>
        <v>46369</v>
      </c>
      <c r="B70" s="32" t="str">
        <f t="shared" si="6"/>
        <v>Sun</v>
      </c>
      <c r="C70" s="32">
        <f t="shared" si="7"/>
        <v>18</v>
      </c>
      <c r="D70" s="32" t="str">
        <f t="shared" si="8"/>
        <v>Flat Ground / Intent</v>
      </c>
      <c r="E70" s="32" t="str">
        <f t="shared" si="9"/>
        <v>No Throw</v>
      </c>
      <c r="F70" s="32" t="str">
        <f t="shared" si="10"/>
        <v>No Throw</v>
      </c>
      <c r="G70" s="47" t="str">
        <f t="shared" si="11"/>
        <v>Off</v>
      </c>
      <c r="H70" s="30">
        <f t="shared" si="12"/>
        <v>0</v>
      </c>
      <c r="I70" s="46">
        <f>IF($A70="","",IF(AND($L70&lt;27,$K$12=0),"Building",IFERROR(((SUM($H$64:$H70)+$K$12*IF($L70&lt;6,SUMIFS('Throw Log'!$Q$5:$Q$300,'Throw Log'!$B$5:$B$300,$D$4,'Throw Log'!$A$5:$A$300,"&gt;="&amp;($D$6+$L70-6),'Throw Log'!$A$5:$A$300,"&lt;="&amp;($D$6-1)),0))/7)/((SUM($H$43:$H70)+$K$12*IF($L70&lt;27,SUMIFS('Throw Log'!$Q$5:$Q$300,'Throw Log'!$B$5:$B$300,$D$4,'Throw Log'!$A$5:$A$300,"&gt;="&amp;($D$6+$L70-27),'Throw Log'!$A$5:$A$300,"&lt;="&amp;($D$6-1)),0))/28),"")))</f>
        <v>1.2937251405155741</v>
      </c>
      <c r="J70" s="37" t="s">
        <v>346</v>
      </c>
      <c r="K70" s="37"/>
      <c r="L70" s="32">
        <v>27</v>
      </c>
      <c r="M70" s="32">
        <f t="shared" si="13"/>
        <v>4</v>
      </c>
      <c r="N70" s="32">
        <f t="shared" si="14"/>
        <v>6</v>
      </c>
      <c r="O70" s="32">
        <f t="shared" si="15"/>
        <v>0.72972972972972971</v>
      </c>
      <c r="P70" s="32">
        <f>IF(OR($A70="",N($C70)&lt;=7),"",$G$6*$G$9^($M70-1)*IF(AND(MOD($M70,Reference!$B$99)=0,$M70&lt;=$G$5-2),Reference!$B$100,1))</f>
        <v>103.41949999999996</v>
      </c>
      <c r="Q70" s="32">
        <f>IF($P70="","",IF(SUM($AK$64:$AK$70)=0,0,$P70*INDEX(Reference!$B$108:$B$114,$N70+1)/SUM($AK$64:$AK$70)))</f>
        <v>7.2393649999999976</v>
      </c>
      <c r="R70" s="32">
        <f t="shared" si="16"/>
        <v>120</v>
      </c>
      <c r="S70" s="32">
        <f t="shared" si="17"/>
        <v>105</v>
      </c>
      <c r="T70" s="32" t="str">
        <f>IF($A70="","",IF($C70=0,"Bullpen",IF(OR($C70=7,$C70=1,$C70=5),"Recovery/Easy Catch",IF($C70=6,"Compression/Pulldowns",IF(OR($C70=4,$C70=2),"Long Toss",IF($C70=3,"No Throw",IF($N70=2,"No Throw",IF($N70=6,IF($O70&lt;Reference!$B$104,"No Throw","Recovery/Easy Catch"),IF(OR($N70=0,$N70=4),"Recovery/Easy Catch",IF($N70=1,IF($R70&gt;75,"Long Toss","Recovery/Easy Catch"),IF($N70=3,IF($O70&lt;0.5,IF($S70&gt;75,"Long Toss","Recovery/Easy Catch"),"Compression/Pulldowns"),IF($S70&gt;75,"Long Toss","Recovery/Easy Catch"))))))))))))</f>
        <v>Recovery/Easy Catch</v>
      </c>
      <c r="U70" s="32">
        <f t="shared" si="18"/>
        <v>60</v>
      </c>
      <c r="V70" s="32">
        <f t="shared" si="19"/>
        <v>20</v>
      </c>
      <c r="W70" s="32">
        <f t="shared" si="20"/>
        <v>24</v>
      </c>
      <c r="X70" s="32">
        <f t="shared" si="21"/>
        <v>0</v>
      </c>
      <c r="Y70" s="32" t="str">
        <f t="shared" si="22"/>
        <v/>
      </c>
      <c r="Z70" s="32" t="str">
        <f t="shared" si="23"/>
        <v/>
      </c>
      <c r="AA70" s="32" t="str">
        <f t="shared" si="24"/>
        <v/>
      </c>
      <c r="AB70" s="32">
        <f>IF($A70="","",IF($T70="No Throw",0,IF($K70&lt;&gt;"",$K70,IF($AA70&lt;&gt;"",ROUND($AA70*$D$12*IF($C70=0,1,$G$10),0),MIN(IF($T70="Recovery/Easy Catch",Reference!$B$103,IF($T70="Long Toss",Reference!$B$106,Reference!$B$102)),MAX(Reference!$B$101,ROUND(MAX(0,$Q70-$AE70)/$AF70,0)))))))</f>
        <v>20</v>
      </c>
      <c r="AC70" s="32">
        <f t="shared" si="25"/>
        <v>0</v>
      </c>
      <c r="AD70" s="32" t="b">
        <f t="shared" si="26"/>
        <v>1</v>
      </c>
      <c r="AE70" s="32">
        <f>IF($X70=0,0,$X70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70+$Z70)/2,0),Reference!$A$17:$B$20,2,TRUE()))</f>
        <v>0</v>
      </c>
      <c r="AF70" s="32">
        <f>IF(OR($A70="",$U70="",$T70="No Throw"),0,$AM70*VLOOKUP(MAX(($V70+$W70)/2,0),Reference!$A$17:$B$20,2,TRUE()))</f>
        <v>0.6</v>
      </c>
      <c r="AG70" s="32">
        <f>IF($AC70=0,0,$AC70*INDEX(Reference!$B$61:$B$62,MATCH("Bullpen",Reference!$A$61:$A$62,0))*VLOOKUP(MAX($D$5-($D$9+$E$9)/2,0),Reference!$A$17:$B$20,2,TRUE()))</f>
        <v>0</v>
      </c>
      <c r="AH70" s="46">
        <f t="shared" si="27"/>
        <v>1.2937251405155741</v>
      </c>
      <c r="AI70" s="32">
        <f>IF($A70="",NA(),Reference!$A$25)</f>
        <v>0.8</v>
      </c>
      <c r="AJ70" s="32">
        <f t="shared" si="28"/>
        <v>1.3</v>
      </c>
      <c r="AK70" s="32">
        <f>IF(OR($A70="",N($C70)&lt;=7,$T70="No Throw",$J70="x"),0,INDEX(Reference!$B$108:$B$114,$N70+1))</f>
        <v>0</v>
      </c>
      <c r="AL70" s="32">
        <f t="shared" si="29"/>
        <v>1</v>
      </c>
      <c r="AM70" s="32">
        <f>IF($U70="",0,IF($AL70&gt;1,((IF(1&lt;=$AL70,($AL70-1+3)*(INDEX(Reference!$B$6:$B$11,MIN(5,MATCH(MAX(Reference!$A$6,MIN(Reference!$A$11,MIN($U70,90))),Reference!$A$6:$A$11,1)))+(MAX(Reference!$A$6,MIN(Reference!$A$11,MIN($U70,90)))-INDEX(Reference!$A$6:$A$11,MIN(5,MATCH(MAX(Reference!$A$6,MIN(Reference!$A$11,MIN($U70,90))),Reference!$A$6:$A$11,1))))*(INDEX(Reference!$B$6:$B$11,MIN(5,MATCH(MAX(Reference!$A$6,MIN(Reference!$A$11,MIN($U70,90))),Reference!$A$6:$A$11,1))+1)-INDEX(Reference!$B$6:$B$11,MIN(5,MATCH(MAX(Reference!$A$6,MIN(Reference!$A$11,MIN($U70,90))),Reference!$A$6:$A$11,1))))/(INDEX(Reference!$A$6:$A$11,MIN(5,MATCH(MAX(Reference!$A$6,MIN(Reference!$A$11,MIN($U70,90))),Reference!$A$6:$A$11,1))+1)-INDEX(Reference!$A$6:$A$11,MIN(5,MATCH(MAX(Reference!$A$6,MIN(Reference!$A$11,MIN($U70,90))),Reference!$A$6:$A$11,1))))),0)+IF(2&lt;=$AL70,($AL70-2+3)*(INDEX(Reference!$B$6:$B$11,MIN(5,MATCH(MAX(Reference!$A$6,MIN(Reference!$A$11,MIN($U70,120))),Reference!$A$6:$A$11,1)))+(MAX(Reference!$A$6,MIN(Reference!$A$11,MIN($U70,120)))-INDEX(Reference!$A$6:$A$11,MIN(5,MATCH(MAX(Reference!$A$6,MIN(Reference!$A$11,MIN($U70,120))),Reference!$A$6:$A$11,1))))*(INDEX(Reference!$B$6:$B$11,MIN(5,MATCH(MAX(Reference!$A$6,MIN(Reference!$A$11,MIN($U70,120))),Reference!$A$6:$A$11,1))+1)-INDEX(Reference!$B$6:$B$11,MIN(5,MATCH(MAX(Reference!$A$6,MIN(Reference!$A$11,MIN($U70,120))),Reference!$A$6:$A$11,1))))/(INDEX(Reference!$A$6:$A$11,MIN(5,MATCH(MAX(Reference!$A$6,MIN(Reference!$A$11,MIN($U70,120))),Reference!$A$6:$A$11,1))+1)-INDEX(Reference!$A$6:$A$11,MIN(5,MATCH(MAX(Reference!$A$6,MIN(Reference!$A$11,MIN($U70,120))),Reference!$A$6:$A$11,1))))),0)+IF(3&lt;=$AL70,($AL70-3+3)*(INDEX(Reference!$B$6:$B$11,MIN(5,MATCH(MAX(Reference!$A$6,MIN(Reference!$A$11,MIN($U70,150))),Reference!$A$6:$A$11,1)))+(MAX(Reference!$A$6,MIN(Reference!$A$11,MIN($U70,150)))-INDEX(Reference!$A$6:$A$11,MIN(5,MATCH(MAX(Reference!$A$6,MIN(Reference!$A$11,MIN($U70,150))),Reference!$A$6:$A$11,1))))*(INDEX(Reference!$B$6:$B$11,MIN(5,MATCH(MAX(Reference!$A$6,MIN(Reference!$A$11,MIN($U70,150))),Reference!$A$6:$A$11,1))+1)-INDEX(Reference!$B$6:$B$11,MIN(5,MATCH(MAX(Reference!$A$6,MIN(Reference!$A$11,MIN($U70,150))),Reference!$A$6:$A$11,1))))/(INDEX(Reference!$A$6:$A$11,MIN(5,MATCH(MAX(Reference!$A$6,MIN(Reference!$A$11,MIN($U70,150))),Reference!$A$6:$A$11,1))+1)-INDEX(Reference!$A$6:$A$11,MIN(5,MATCH(MAX(Reference!$A$6,MIN(Reference!$A$11,MIN($U70,150))),Reference!$A$6:$A$11,1))))),0)+IF(4&lt;=$AL70,($AL70-4+3)*(INDEX(Reference!$B$6:$B$11,MIN(5,MATCH(MAX(Reference!$A$6,MIN(Reference!$A$11,MIN($U70,180))),Reference!$A$6:$A$11,1)))+(MAX(Reference!$A$6,MIN(Reference!$A$11,MIN($U70,180)))-INDEX(Reference!$A$6:$A$11,MIN(5,MATCH(MAX(Reference!$A$6,MIN(Reference!$A$11,MIN($U70,180))),Reference!$A$6:$A$11,1))))*(INDEX(Reference!$B$6:$B$11,MIN(5,MATCH(MAX(Reference!$A$6,MIN(Reference!$A$11,MIN($U70,180))),Reference!$A$6:$A$11,1))+1)-INDEX(Reference!$B$6:$B$11,MIN(5,MATCH(MAX(Reference!$A$6,MIN(Reference!$A$11,MIN($U70,180))),Reference!$A$6:$A$11,1))))/(INDEX(Reference!$A$6:$A$11,MIN(5,MATCH(MAX(Reference!$A$6,MIN(Reference!$A$11,MIN($U70,180))),Reference!$A$6:$A$11,1))+1)-INDEX(Reference!$A$6:$A$11,MIN(5,MATCH(MAX(Reference!$A$6,MIN(Reference!$A$11,MIN($U70,180))),Reference!$A$6:$A$11,1))))),0)+IF(5&lt;=$AL70,($AL70-5+3)*(INDEX(Reference!$B$6:$B$11,MIN(5,MATCH(MAX(Reference!$A$6,MIN(Reference!$A$11,MIN($U70,210))),Reference!$A$6:$A$11,1)))+(MAX(Reference!$A$6,MIN(Reference!$A$11,MIN($U70,210)))-INDEX(Reference!$A$6:$A$11,MIN(5,MATCH(MAX(Reference!$A$6,MIN(Reference!$A$11,MIN($U70,210))),Reference!$A$6:$A$11,1))))*(INDEX(Reference!$B$6:$B$11,MIN(5,MATCH(MAX(Reference!$A$6,MIN(Reference!$A$11,MIN($U70,210))),Reference!$A$6:$A$11,1))+1)-INDEX(Reference!$B$6:$B$11,MIN(5,MATCH(MAX(Reference!$A$6,MIN(Reference!$A$11,MIN($U70,210))),Reference!$A$6:$A$11,1))))/(INDEX(Reference!$A$6:$A$11,MIN(5,MATCH(MAX(Reference!$A$6,MIN(Reference!$A$11,MIN($U70,210))),Reference!$A$6:$A$11,1))+1)-INDEX(Reference!$A$6:$A$11,MIN(5,MATCH(MAX(Reference!$A$6,MIN(Reference!$A$11,MIN($U70,210))),Reference!$A$6:$A$11,1))))),0)+IF(6&lt;=$AL70,($AL70-6+3)*(INDEX(Reference!$B$6:$B$11,MIN(5,MATCH(MAX(Reference!$A$6,MIN(Reference!$A$11,MIN($U70,240))),Reference!$A$6:$A$11,1)))+(MAX(Reference!$A$6,MIN(Reference!$A$11,MIN($U70,240)))-INDEX(Reference!$A$6:$A$11,MIN(5,MATCH(MAX(Reference!$A$6,MIN(Reference!$A$11,MIN($U70,240))),Reference!$A$6:$A$11,1))))*(INDEX(Reference!$B$6:$B$11,MIN(5,MATCH(MAX(Reference!$A$6,MIN(Reference!$A$11,MIN($U70,240))),Reference!$A$6:$A$11,1))+1)-INDEX(Reference!$B$6:$B$11,MIN(5,MATCH(MAX(Reference!$A$6,MIN(Reference!$A$11,MIN($U70,240))),Reference!$A$6:$A$11,1))))/(INDEX(Reference!$A$6:$A$11,MIN(5,MATCH(MAX(Reference!$A$6,MIN(Reference!$A$11,MIN($U70,240))),Reference!$A$6:$A$11,1))+1)-INDEX(Reference!$A$6:$A$11,MIN(5,MATCH(MAX(Reference!$A$6,MIN(Reference!$A$11,MIN($U70,240))),Reference!$A$6:$A$11,1))))),0)+IF(7&lt;=$AL70,($AL70-7+3)*(INDEX(Reference!$B$6:$B$11,MIN(5,MATCH(MAX(Reference!$A$6,MIN(Reference!$A$11,MIN($U70,270))),Reference!$A$6:$A$11,1)))+(MAX(Reference!$A$6,MIN(Reference!$A$11,MIN($U70,270)))-INDEX(Reference!$A$6:$A$11,MIN(5,MATCH(MAX(Reference!$A$6,MIN(Reference!$A$11,MIN($U70,270))),Reference!$A$6:$A$11,1))))*(INDEX(Reference!$B$6:$B$11,MIN(5,MATCH(MAX(Reference!$A$6,MIN(Reference!$A$11,MIN($U70,270))),Reference!$A$6:$A$11,1))+1)-INDEX(Reference!$B$6:$B$11,MIN(5,MATCH(MAX(Reference!$A$6,MIN(Reference!$A$11,MIN($U70,270))),Reference!$A$6:$A$11,1))))/(INDEX(Reference!$A$6:$A$11,MIN(5,MATCH(MAX(Reference!$A$6,MIN(Reference!$A$11,MIN($U70,270))),Reference!$A$6:$A$11,1))+1)-INDEX(Reference!$A$6:$A$11,MIN(5,MATCH(MAX(Reference!$A$6,MIN(Reference!$A$11,MIN($U70,270))),Reference!$A$6:$A$11,1))))),0)+IF(8&lt;=$AL70,($AL70-8+3)*(INDEX(Reference!$B$6:$B$11,MIN(5,MATCH(MAX(Reference!$A$6,MIN(Reference!$A$11,MIN($U70,300))),Reference!$A$6:$A$11,1)))+(MAX(Reference!$A$6,MIN(Reference!$A$11,MIN($U70,300)))-INDEX(Reference!$A$6:$A$11,MIN(5,MATCH(MAX(Reference!$A$6,MIN(Reference!$A$11,MIN($U70,300))),Reference!$A$6:$A$11,1))))*(INDEX(Reference!$B$6:$B$11,MIN(5,MATCH(MAX(Reference!$A$6,MIN(Reference!$A$11,MIN($U70,300))),Reference!$A$6:$A$11,1))+1)-INDEX(Reference!$B$6:$B$11,MIN(5,MATCH(MAX(Reference!$A$6,MIN(Reference!$A$11,MIN($U70,300))),Reference!$A$6:$A$11,1))))/(INDEX(Reference!$A$6:$A$11,MIN(5,MATCH(MAX(Reference!$A$6,MIN(Reference!$A$11,MIN($U70,300))),Reference!$A$6:$A$11,1))+1)-INDEX(Reference!$A$6:$A$11,MIN(5,MATCH(MAX(Reference!$A$6,MIN(Reference!$A$11,MIN($U70,300))),Reference!$A$6:$A$11,1))))),0))/($AL70*($AL70+5)/2)),$AN70))</f>
        <v>1</v>
      </c>
      <c r="AN70" s="32">
        <f>IF($U70="",0,(INDEX(Reference!$B$6:$B$11,MIN(5,MATCH(MAX(Reference!$A$6,MIN(Reference!$A$11,$U70)),Reference!$A$6:$A$11,1)))+(MAX(Reference!$A$6,MIN(Reference!$A$11,$U70))-INDEX(Reference!$A$6:$A$11,MIN(5,MATCH(MAX(Reference!$A$6,MIN(Reference!$A$11,$U70)),Reference!$A$6:$A$11,1))))*(INDEX(Reference!$B$6:$B$11,MIN(5,MATCH(MAX(Reference!$A$6,MIN(Reference!$A$11,$U70)),Reference!$A$6:$A$11,1))+1)-INDEX(Reference!$B$6:$B$11,MIN(5,MATCH(MAX(Reference!$A$6,MIN(Reference!$A$11,$U70)),Reference!$A$6:$A$11,1))))/(INDEX(Reference!$A$6:$A$11,MIN(5,MATCH(MAX(Reference!$A$6,MIN(Reference!$A$11,$U70)),Reference!$A$6:$A$11,1))+1)-INDEX(Reference!$A$6:$A$11,MIN(5,MATCH(MAX(Reference!$A$6,MIN(Reference!$A$11,$U70)),Reference!$A$6:$A$11,1))))))</f>
        <v>1</v>
      </c>
      <c r="AO70" s="37"/>
      <c r="AP70" s="37"/>
      <c r="AQ70" s="37"/>
    </row>
    <row r="71" spans="1:43" x14ac:dyDescent="0.3">
      <c r="A71" s="48">
        <f t="shared" si="5"/>
        <v>46370</v>
      </c>
      <c r="B71" s="32" t="str">
        <f t="shared" si="6"/>
        <v>Mon</v>
      </c>
      <c r="C71" s="32">
        <f t="shared" si="7"/>
        <v>17</v>
      </c>
      <c r="D71" s="32" t="str">
        <f t="shared" si="8"/>
        <v>Flat Ground / Intent</v>
      </c>
      <c r="E71" s="32" t="str">
        <f t="shared" si="9"/>
        <v>Low</v>
      </c>
      <c r="F71" s="32" t="str">
        <f t="shared" si="10"/>
        <v>Recovery/Easy Catch</v>
      </c>
      <c r="G71" s="47" t="str">
        <f t="shared" si="11"/>
        <v>75 ft × 23 @ 66–70 mph</v>
      </c>
      <c r="H71" s="30">
        <f t="shared" si="12"/>
        <v>15.87</v>
      </c>
      <c r="I71" s="46">
        <f>IF($A71="","",IF(AND($L71&lt;27,$K$12=0),"Building",IFERROR(((SUM($H$65:$H71)+$K$12*IF($L71&lt;6,SUMIFS('Throw Log'!$Q$5:$Q$300,'Throw Log'!$B$5:$B$300,$D$4,'Throw Log'!$A$5:$A$300,"&gt;="&amp;($D$6+$L71-6),'Throw Log'!$A$5:$A$300,"&lt;="&amp;($D$6-1)),0))/7)/((SUM($H$44:$H71)+$K$12*IF($L71&lt;27,SUMIFS('Throw Log'!$Q$5:$Q$300,'Throw Log'!$B$5:$B$300,$D$4,'Throw Log'!$A$5:$A$300,"&gt;="&amp;($D$6+$L71-27),'Throw Log'!$A$5:$A$300,"&lt;="&amp;($D$6-1)),0))/28),"")))</f>
        <v>1.3013086561947693</v>
      </c>
      <c r="J71" s="37"/>
      <c r="K71" s="37"/>
      <c r="L71" s="32">
        <v>28</v>
      </c>
      <c r="M71" s="32">
        <f t="shared" si="13"/>
        <v>5</v>
      </c>
      <c r="N71" s="32">
        <f t="shared" si="14"/>
        <v>0</v>
      </c>
      <c r="O71" s="32">
        <f t="shared" si="15"/>
        <v>0.7567567567567568</v>
      </c>
      <c r="P71" s="32">
        <f>IF(OR($A71="",N($C71)&lt;=7),"",$G$6*$G$9^($M71-1)*IF(AND(MOD($M71,Reference!$B$99)=0,$M71&lt;=$G$5-2),Reference!$B$100,1))</f>
        <v>139.92049999999995</v>
      </c>
      <c r="Q71" s="32">
        <f>IF($P71="","",IF(SUM($AK$71:$AK$77)=0,0,$P71*INDEX(Reference!$B$108:$B$114,$N71+1)/SUM($AK$71:$AK$77)))</f>
        <v>15.692018691588776</v>
      </c>
      <c r="R71" s="32">
        <f t="shared" si="16"/>
        <v>120</v>
      </c>
      <c r="S71" s="32">
        <f t="shared" si="17"/>
        <v>105</v>
      </c>
      <c r="T71" s="32" t="str">
        <f>IF($A71="","",IF($C71=0,"Bullpen",IF(OR($C71=7,$C71=1,$C71=5),"Recovery/Easy Catch",IF($C71=6,"Compression/Pulldowns",IF(OR($C71=4,$C71=2),"Long Toss",IF($C71=3,"No Throw",IF($N71=2,"No Throw",IF($N71=6,IF($O71&lt;Reference!$B$104,"No Throw","Recovery/Easy Catch"),IF(OR($N71=0,$N71=4),"Recovery/Easy Catch",IF($N71=1,IF($R71&gt;75,"Long Toss","Recovery/Easy Catch"),IF($N71=3,IF($O71&lt;0.5,IF($S71&gt;75,"Long Toss","Recovery/Easy Catch"),"Compression/Pulldowns"),IF($S71&gt;75,"Long Toss","Recovery/Easy Catch"))))))))))))</f>
        <v>Recovery/Easy Catch</v>
      </c>
      <c r="U71" s="32">
        <f t="shared" si="18"/>
        <v>75</v>
      </c>
      <c r="V71" s="32">
        <f t="shared" si="19"/>
        <v>18</v>
      </c>
      <c r="W71" s="32">
        <f t="shared" si="20"/>
        <v>22</v>
      </c>
      <c r="X71" s="32">
        <f t="shared" si="21"/>
        <v>0</v>
      </c>
      <c r="Y71" s="32" t="str">
        <f t="shared" si="22"/>
        <v/>
      </c>
      <c r="Z71" s="32" t="str">
        <f t="shared" si="23"/>
        <v/>
      </c>
      <c r="AA71" s="32" t="str">
        <f t="shared" si="24"/>
        <v/>
      </c>
      <c r="AB71" s="32">
        <f>IF($A71="","",IF($T71="No Throw",0,IF($K71&lt;&gt;"",$K71,IF($AA71&lt;&gt;"",ROUND($AA71*$D$12*IF($C71=0,1,$G$10),0),MIN(IF($T71="Recovery/Easy Catch",Reference!$B$103,IF($T71="Long Toss",Reference!$B$106,Reference!$B$102)),MAX(Reference!$B$101,ROUND(MAX(0,$Q71-$AE71)/$AF71,0)))))))</f>
        <v>23</v>
      </c>
      <c r="AC71" s="32">
        <f t="shared" si="25"/>
        <v>0</v>
      </c>
      <c r="AD71" s="32" t="b">
        <f t="shared" si="26"/>
        <v>0</v>
      </c>
      <c r="AE71" s="32">
        <f>IF($X71=0,0,$X71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71+$Z71)/2,0),Reference!$A$17:$B$20,2,TRUE()))</f>
        <v>0</v>
      </c>
      <c r="AF71" s="32">
        <f>IF(OR($A71="",$U71="",$T71="No Throw"),0,$AM71*VLOOKUP(MAX(($V71+$W71)/2,0),Reference!$A$17:$B$20,2,TRUE()))</f>
        <v>0.69</v>
      </c>
      <c r="AG71" s="32">
        <f>IF($AC71=0,0,$AC71*INDEX(Reference!$B$61:$B$62,MATCH("Bullpen",Reference!$A$61:$A$62,0))*VLOOKUP(MAX($D$5-($D$9+$E$9)/2,0),Reference!$A$17:$B$20,2,TRUE()))</f>
        <v>0</v>
      </c>
      <c r="AH71" s="46">
        <f t="shared" si="27"/>
        <v>1.3013086561947693</v>
      </c>
      <c r="AI71" s="32">
        <f>IF($A71="",NA(),Reference!$A$25)</f>
        <v>0.8</v>
      </c>
      <c r="AJ71" s="32">
        <f t="shared" si="28"/>
        <v>1.3</v>
      </c>
      <c r="AK71" s="56">
        <f>IF(OR($A71="",N($C71)&lt;=7,$T71="No Throw",$J71="x"),0,INDEX(Reference!$B$108:$B$114,$N71+1))</f>
        <v>0.12</v>
      </c>
      <c r="AL71" s="32">
        <f t="shared" si="29"/>
        <v>1</v>
      </c>
      <c r="AM71" s="32">
        <f>IF($U71="",0,IF($AL71&gt;1,((IF(1&lt;=$AL71,($AL71-1+3)*(INDEX(Reference!$B$6:$B$11,MIN(5,MATCH(MAX(Reference!$A$6,MIN(Reference!$A$11,MIN($U71,90))),Reference!$A$6:$A$11,1)))+(MAX(Reference!$A$6,MIN(Reference!$A$11,MIN($U71,90)))-INDEX(Reference!$A$6:$A$11,MIN(5,MATCH(MAX(Reference!$A$6,MIN(Reference!$A$11,MIN($U71,90))),Reference!$A$6:$A$11,1))))*(INDEX(Reference!$B$6:$B$11,MIN(5,MATCH(MAX(Reference!$A$6,MIN(Reference!$A$11,MIN($U71,90))),Reference!$A$6:$A$11,1))+1)-INDEX(Reference!$B$6:$B$11,MIN(5,MATCH(MAX(Reference!$A$6,MIN(Reference!$A$11,MIN($U71,90))),Reference!$A$6:$A$11,1))))/(INDEX(Reference!$A$6:$A$11,MIN(5,MATCH(MAX(Reference!$A$6,MIN(Reference!$A$11,MIN($U71,90))),Reference!$A$6:$A$11,1))+1)-INDEX(Reference!$A$6:$A$11,MIN(5,MATCH(MAX(Reference!$A$6,MIN(Reference!$A$11,MIN($U71,90))),Reference!$A$6:$A$11,1))))),0)+IF(2&lt;=$AL71,($AL71-2+3)*(INDEX(Reference!$B$6:$B$11,MIN(5,MATCH(MAX(Reference!$A$6,MIN(Reference!$A$11,MIN($U71,120))),Reference!$A$6:$A$11,1)))+(MAX(Reference!$A$6,MIN(Reference!$A$11,MIN($U71,120)))-INDEX(Reference!$A$6:$A$11,MIN(5,MATCH(MAX(Reference!$A$6,MIN(Reference!$A$11,MIN($U71,120))),Reference!$A$6:$A$11,1))))*(INDEX(Reference!$B$6:$B$11,MIN(5,MATCH(MAX(Reference!$A$6,MIN(Reference!$A$11,MIN($U71,120))),Reference!$A$6:$A$11,1))+1)-INDEX(Reference!$B$6:$B$11,MIN(5,MATCH(MAX(Reference!$A$6,MIN(Reference!$A$11,MIN($U71,120))),Reference!$A$6:$A$11,1))))/(INDEX(Reference!$A$6:$A$11,MIN(5,MATCH(MAX(Reference!$A$6,MIN(Reference!$A$11,MIN($U71,120))),Reference!$A$6:$A$11,1))+1)-INDEX(Reference!$A$6:$A$11,MIN(5,MATCH(MAX(Reference!$A$6,MIN(Reference!$A$11,MIN($U71,120))),Reference!$A$6:$A$11,1))))),0)+IF(3&lt;=$AL71,($AL71-3+3)*(INDEX(Reference!$B$6:$B$11,MIN(5,MATCH(MAX(Reference!$A$6,MIN(Reference!$A$11,MIN($U71,150))),Reference!$A$6:$A$11,1)))+(MAX(Reference!$A$6,MIN(Reference!$A$11,MIN($U71,150)))-INDEX(Reference!$A$6:$A$11,MIN(5,MATCH(MAX(Reference!$A$6,MIN(Reference!$A$11,MIN($U71,150))),Reference!$A$6:$A$11,1))))*(INDEX(Reference!$B$6:$B$11,MIN(5,MATCH(MAX(Reference!$A$6,MIN(Reference!$A$11,MIN($U71,150))),Reference!$A$6:$A$11,1))+1)-INDEX(Reference!$B$6:$B$11,MIN(5,MATCH(MAX(Reference!$A$6,MIN(Reference!$A$11,MIN($U71,150))),Reference!$A$6:$A$11,1))))/(INDEX(Reference!$A$6:$A$11,MIN(5,MATCH(MAX(Reference!$A$6,MIN(Reference!$A$11,MIN($U71,150))),Reference!$A$6:$A$11,1))+1)-INDEX(Reference!$A$6:$A$11,MIN(5,MATCH(MAX(Reference!$A$6,MIN(Reference!$A$11,MIN($U71,150))),Reference!$A$6:$A$11,1))))),0)+IF(4&lt;=$AL71,($AL71-4+3)*(INDEX(Reference!$B$6:$B$11,MIN(5,MATCH(MAX(Reference!$A$6,MIN(Reference!$A$11,MIN($U71,180))),Reference!$A$6:$A$11,1)))+(MAX(Reference!$A$6,MIN(Reference!$A$11,MIN($U71,180)))-INDEX(Reference!$A$6:$A$11,MIN(5,MATCH(MAX(Reference!$A$6,MIN(Reference!$A$11,MIN($U71,180))),Reference!$A$6:$A$11,1))))*(INDEX(Reference!$B$6:$B$11,MIN(5,MATCH(MAX(Reference!$A$6,MIN(Reference!$A$11,MIN($U71,180))),Reference!$A$6:$A$11,1))+1)-INDEX(Reference!$B$6:$B$11,MIN(5,MATCH(MAX(Reference!$A$6,MIN(Reference!$A$11,MIN($U71,180))),Reference!$A$6:$A$11,1))))/(INDEX(Reference!$A$6:$A$11,MIN(5,MATCH(MAX(Reference!$A$6,MIN(Reference!$A$11,MIN($U71,180))),Reference!$A$6:$A$11,1))+1)-INDEX(Reference!$A$6:$A$11,MIN(5,MATCH(MAX(Reference!$A$6,MIN(Reference!$A$11,MIN($U71,180))),Reference!$A$6:$A$11,1))))),0)+IF(5&lt;=$AL71,($AL71-5+3)*(INDEX(Reference!$B$6:$B$11,MIN(5,MATCH(MAX(Reference!$A$6,MIN(Reference!$A$11,MIN($U71,210))),Reference!$A$6:$A$11,1)))+(MAX(Reference!$A$6,MIN(Reference!$A$11,MIN($U71,210)))-INDEX(Reference!$A$6:$A$11,MIN(5,MATCH(MAX(Reference!$A$6,MIN(Reference!$A$11,MIN($U71,210))),Reference!$A$6:$A$11,1))))*(INDEX(Reference!$B$6:$B$11,MIN(5,MATCH(MAX(Reference!$A$6,MIN(Reference!$A$11,MIN($U71,210))),Reference!$A$6:$A$11,1))+1)-INDEX(Reference!$B$6:$B$11,MIN(5,MATCH(MAX(Reference!$A$6,MIN(Reference!$A$11,MIN($U71,210))),Reference!$A$6:$A$11,1))))/(INDEX(Reference!$A$6:$A$11,MIN(5,MATCH(MAX(Reference!$A$6,MIN(Reference!$A$11,MIN($U71,210))),Reference!$A$6:$A$11,1))+1)-INDEX(Reference!$A$6:$A$11,MIN(5,MATCH(MAX(Reference!$A$6,MIN(Reference!$A$11,MIN($U71,210))),Reference!$A$6:$A$11,1))))),0)+IF(6&lt;=$AL71,($AL71-6+3)*(INDEX(Reference!$B$6:$B$11,MIN(5,MATCH(MAX(Reference!$A$6,MIN(Reference!$A$11,MIN($U71,240))),Reference!$A$6:$A$11,1)))+(MAX(Reference!$A$6,MIN(Reference!$A$11,MIN($U71,240)))-INDEX(Reference!$A$6:$A$11,MIN(5,MATCH(MAX(Reference!$A$6,MIN(Reference!$A$11,MIN($U71,240))),Reference!$A$6:$A$11,1))))*(INDEX(Reference!$B$6:$B$11,MIN(5,MATCH(MAX(Reference!$A$6,MIN(Reference!$A$11,MIN($U71,240))),Reference!$A$6:$A$11,1))+1)-INDEX(Reference!$B$6:$B$11,MIN(5,MATCH(MAX(Reference!$A$6,MIN(Reference!$A$11,MIN($U71,240))),Reference!$A$6:$A$11,1))))/(INDEX(Reference!$A$6:$A$11,MIN(5,MATCH(MAX(Reference!$A$6,MIN(Reference!$A$11,MIN($U71,240))),Reference!$A$6:$A$11,1))+1)-INDEX(Reference!$A$6:$A$11,MIN(5,MATCH(MAX(Reference!$A$6,MIN(Reference!$A$11,MIN($U71,240))),Reference!$A$6:$A$11,1))))),0)+IF(7&lt;=$AL71,($AL71-7+3)*(INDEX(Reference!$B$6:$B$11,MIN(5,MATCH(MAX(Reference!$A$6,MIN(Reference!$A$11,MIN($U71,270))),Reference!$A$6:$A$11,1)))+(MAX(Reference!$A$6,MIN(Reference!$A$11,MIN($U71,270)))-INDEX(Reference!$A$6:$A$11,MIN(5,MATCH(MAX(Reference!$A$6,MIN(Reference!$A$11,MIN($U71,270))),Reference!$A$6:$A$11,1))))*(INDEX(Reference!$B$6:$B$11,MIN(5,MATCH(MAX(Reference!$A$6,MIN(Reference!$A$11,MIN($U71,270))),Reference!$A$6:$A$11,1))+1)-INDEX(Reference!$B$6:$B$11,MIN(5,MATCH(MAX(Reference!$A$6,MIN(Reference!$A$11,MIN($U71,270))),Reference!$A$6:$A$11,1))))/(INDEX(Reference!$A$6:$A$11,MIN(5,MATCH(MAX(Reference!$A$6,MIN(Reference!$A$11,MIN($U71,270))),Reference!$A$6:$A$11,1))+1)-INDEX(Reference!$A$6:$A$11,MIN(5,MATCH(MAX(Reference!$A$6,MIN(Reference!$A$11,MIN($U71,270))),Reference!$A$6:$A$11,1))))),0)+IF(8&lt;=$AL71,($AL71-8+3)*(INDEX(Reference!$B$6:$B$11,MIN(5,MATCH(MAX(Reference!$A$6,MIN(Reference!$A$11,MIN($U71,300))),Reference!$A$6:$A$11,1)))+(MAX(Reference!$A$6,MIN(Reference!$A$11,MIN($U71,300)))-INDEX(Reference!$A$6:$A$11,MIN(5,MATCH(MAX(Reference!$A$6,MIN(Reference!$A$11,MIN($U71,300))),Reference!$A$6:$A$11,1))))*(INDEX(Reference!$B$6:$B$11,MIN(5,MATCH(MAX(Reference!$A$6,MIN(Reference!$A$11,MIN($U71,300))),Reference!$A$6:$A$11,1))+1)-INDEX(Reference!$B$6:$B$11,MIN(5,MATCH(MAX(Reference!$A$6,MIN(Reference!$A$11,MIN($U71,300))),Reference!$A$6:$A$11,1))))/(INDEX(Reference!$A$6:$A$11,MIN(5,MATCH(MAX(Reference!$A$6,MIN(Reference!$A$11,MIN($U71,300))),Reference!$A$6:$A$11,1))+1)-INDEX(Reference!$A$6:$A$11,MIN(5,MATCH(MAX(Reference!$A$6,MIN(Reference!$A$11,MIN($U71,300))),Reference!$A$6:$A$11,1))))),0))/($AL71*($AL71+5)/2)),$AN71))</f>
        <v>1.1499999999999999</v>
      </c>
      <c r="AN71" s="32">
        <f>IF($U71="",0,(INDEX(Reference!$B$6:$B$11,MIN(5,MATCH(MAX(Reference!$A$6,MIN(Reference!$A$11,$U71)),Reference!$A$6:$A$11,1)))+(MAX(Reference!$A$6,MIN(Reference!$A$11,$U71))-INDEX(Reference!$A$6:$A$11,MIN(5,MATCH(MAX(Reference!$A$6,MIN(Reference!$A$11,$U71)),Reference!$A$6:$A$11,1))))*(INDEX(Reference!$B$6:$B$11,MIN(5,MATCH(MAX(Reference!$A$6,MIN(Reference!$A$11,$U71)),Reference!$A$6:$A$11,1))+1)-INDEX(Reference!$B$6:$B$11,MIN(5,MATCH(MAX(Reference!$A$6,MIN(Reference!$A$11,$U71)),Reference!$A$6:$A$11,1))))/(INDEX(Reference!$A$6:$A$11,MIN(5,MATCH(MAX(Reference!$A$6,MIN(Reference!$A$11,$U71)),Reference!$A$6:$A$11,1))+1)-INDEX(Reference!$A$6:$A$11,MIN(5,MATCH(MAX(Reference!$A$6,MIN(Reference!$A$11,$U71)),Reference!$A$6:$A$11,1))))))</f>
        <v>1.1499999999999999</v>
      </c>
      <c r="AO71" s="37"/>
      <c r="AP71" s="37"/>
      <c r="AQ71" s="37"/>
    </row>
    <row r="72" spans="1:43" ht="26.4" x14ac:dyDescent="0.3">
      <c r="A72" s="48">
        <f t="shared" si="5"/>
        <v>46371</v>
      </c>
      <c r="B72" s="32" t="str">
        <f t="shared" si="6"/>
        <v>Tue</v>
      </c>
      <c r="C72" s="32">
        <f t="shared" si="7"/>
        <v>16</v>
      </c>
      <c r="D72" s="32" t="str">
        <f t="shared" si="8"/>
        <v>Flat Ground / Intent</v>
      </c>
      <c r="E72" s="32" t="str">
        <f t="shared" si="9"/>
        <v>High Non-Bullpen</v>
      </c>
      <c r="F72" s="32" t="str">
        <f t="shared" si="10"/>
        <v>Long Toss</v>
      </c>
      <c r="G72" s="47" t="str">
        <f t="shared" si="11"/>
        <v>Long toss out to 120 ft — 25 throws (90×14 · 120×11) @ 76–78 mph + 60 ft × 15 @ 76–78 mph</v>
      </c>
      <c r="H72" s="30">
        <f t="shared" si="12"/>
        <v>31.071428571428573</v>
      </c>
      <c r="I72" s="46">
        <f>IF($A72="","",IF(AND($L72&lt;27,$K$12=0),"Building",IFERROR(((SUM($H$66:$H72)+$K$12*IF($L72&lt;6,SUMIFS('Throw Log'!$Q$5:$Q$300,'Throw Log'!$B$5:$B$300,$D$4,'Throw Log'!$A$5:$A$300,"&gt;="&amp;($D$6+$L72-6),'Throw Log'!$A$5:$A$300,"&lt;="&amp;($D$6-1)),0))/7)/((SUM($H$45:$H72)+$K$12*IF($L72&lt;27,SUMIFS('Throw Log'!$Q$5:$Q$300,'Throw Log'!$B$5:$B$300,$D$4,'Throw Log'!$A$5:$A$300,"&gt;="&amp;($D$6+$L72-27),'Throw Log'!$A$5:$A$300,"&lt;="&amp;($D$6-1)),0))/28),"")))</f>
        <v>1.2983388962198246</v>
      </c>
      <c r="J72" s="37"/>
      <c r="K72" s="37">
        <v>25</v>
      </c>
      <c r="L72" s="32">
        <v>29</v>
      </c>
      <c r="M72" s="32">
        <f t="shared" si="13"/>
        <v>5</v>
      </c>
      <c r="N72" s="32">
        <f t="shared" si="14"/>
        <v>1</v>
      </c>
      <c r="O72" s="32">
        <f t="shared" si="15"/>
        <v>0.78378378378378377</v>
      </c>
      <c r="P72" s="32">
        <f>IF(OR($A72="",N($C72)&lt;=7),"",$G$6*$G$9^($M72-1)*IF(AND(MOD($M72,Reference!$B$99)=0,$M72&lt;=$G$5-2),Reference!$B$100,1))</f>
        <v>139.92049999999995</v>
      </c>
      <c r="Q72" s="32">
        <f>IF($P72="","",IF(SUM($AK$71:$AK$77)=0,0,$P72*INDEX(Reference!$B$108:$B$114,$N72+1)/SUM($AK$71:$AK$77)))</f>
        <v>35.307042056074756</v>
      </c>
      <c r="R72" s="32">
        <f t="shared" si="16"/>
        <v>120</v>
      </c>
      <c r="S72" s="32">
        <f t="shared" si="17"/>
        <v>105</v>
      </c>
      <c r="T72" s="32" t="str">
        <f>IF($A72="","",IF($C72=0,"Bullpen",IF(OR($C72=7,$C72=1,$C72=5),"Recovery/Easy Catch",IF($C72=6,"Compression/Pulldowns",IF(OR($C72=4,$C72=2),"Long Toss",IF($C72=3,"No Throw",IF($N72=2,"No Throw",IF($N72=6,IF($O72&lt;Reference!$B$104,"No Throw","Recovery/Easy Catch"),IF(OR($N72=0,$N72=4),"Recovery/Easy Catch",IF($N72=1,IF($R72&gt;75,"Long Toss","Recovery/Easy Catch"),IF($N72=3,IF($O72&lt;0.5,IF($S72&gt;75,"Long Toss","Recovery/Easy Catch"),"Compression/Pulldowns"),IF($S72&gt;75,"Long Toss","Recovery/Easy Catch"))))))))))))</f>
        <v>Long Toss</v>
      </c>
      <c r="U72" s="32">
        <f t="shared" si="18"/>
        <v>120</v>
      </c>
      <c r="V72" s="32">
        <f t="shared" si="19"/>
        <v>10</v>
      </c>
      <c r="W72" s="32">
        <f t="shared" si="20"/>
        <v>12</v>
      </c>
      <c r="X72" s="32">
        <f t="shared" si="21"/>
        <v>15</v>
      </c>
      <c r="Y72" s="32">
        <f t="shared" si="22"/>
        <v>10</v>
      </c>
      <c r="Z72" s="32">
        <f t="shared" si="23"/>
        <v>12</v>
      </c>
      <c r="AA72" s="32" t="str">
        <f t="shared" si="24"/>
        <v/>
      </c>
      <c r="AB72" s="32">
        <f>IF($A72="","",IF($T72="No Throw",0,IF($K72&lt;&gt;"",$K72,IF($AA72&lt;&gt;"",ROUND($AA72*$D$12*IF($C72=0,1,$G$10),0),MIN(IF($T72="Recovery/Easy Catch",Reference!$B$103,IF($T72="Long Toss",Reference!$B$106,Reference!$B$102)),MAX(Reference!$B$101,ROUND(MAX(0,$Q72-$AE72)/$AF72,0)))))))</f>
        <v>25</v>
      </c>
      <c r="AC72" s="32">
        <f t="shared" si="25"/>
        <v>0</v>
      </c>
      <c r="AD72" s="32" t="b">
        <f t="shared" si="26"/>
        <v>0</v>
      </c>
      <c r="AE72" s="32">
        <f>IF($X72=0,0,$X72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72+$Z72)/2,0),Reference!$A$17:$B$20,2,TRUE()))</f>
        <v>9</v>
      </c>
      <c r="AF72" s="32">
        <f>IF(OR($A72="",$U72="",$T72="No Throw"),0,$AM72*VLOOKUP(MAX(($V72+$W72)/2,0),Reference!$A$17:$B$20,2,TRUE()))</f>
        <v>0.8828571428571429</v>
      </c>
      <c r="AG72" s="32">
        <f>IF($AC72=0,0,$AC72*INDEX(Reference!$B$61:$B$62,MATCH("Bullpen",Reference!$A$61:$A$62,0))*VLOOKUP(MAX($D$5-($D$9+$E$9)/2,0),Reference!$A$17:$B$20,2,TRUE()))</f>
        <v>0</v>
      </c>
      <c r="AH72" s="46">
        <f t="shared" si="27"/>
        <v>1.2983388962198246</v>
      </c>
      <c r="AI72" s="32">
        <f>IF($A72="",NA(),Reference!$A$25)</f>
        <v>0.8</v>
      </c>
      <c r="AJ72" s="32">
        <f t="shared" si="28"/>
        <v>1.3</v>
      </c>
      <c r="AK72" s="56">
        <f>IF(OR($A72="",N($C72)&lt;=7,$T72="No Throw",$J72="x"),0,INDEX(Reference!$B$108:$B$114,$N72+1))</f>
        <v>0.27</v>
      </c>
      <c r="AL72" s="32">
        <f t="shared" si="29"/>
        <v>2</v>
      </c>
      <c r="AM72" s="32">
        <f>IF($U72="",0,IF($AL72&gt;1,((IF(1&lt;=$AL72,($AL72-1+3)*(INDEX(Reference!$B$6:$B$11,MIN(5,MATCH(MAX(Reference!$A$6,MIN(Reference!$A$11,MIN($U72,90))),Reference!$A$6:$A$11,1)))+(MAX(Reference!$A$6,MIN(Reference!$A$11,MIN($U72,90)))-INDEX(Reference!$A$6:$A$11,MIN(5,MATCH(MAX(Reference!$A$6,MIN(Reference!$A$11,MIN($U72,90))),Reference!$A$6:$A$11,1))))*(INDEX(Reference!$B$6:$B$11,MIN(5,MATCH(MAX(Reference!$A$6,MIN(Reference!$A$11,MIN($U72,90))),Reference!$A$6:$A$11,1))+1)-INDEX(Reference!$B$6:$B$11,MIN(5,MATCH(MAX(Reference!$A$6,MIN(Reference!$A$11,MIN($U72,90))),Reference!$A$6:$A$11,1))))/(INDEX(Reference!$A$6:$A$11,MIN(5,MATCH(MAX(Reference!$A$6,MIN(Reference!$A$11,MIN($U72,90))),Reference!$A$6:$A$11,1))+1)-INDEX(Reference!$A$6:$A$11,MIN(5,MATCH(MAX(Reference!$A$6,MIN(Reference!$A$11,MIN($U72,90))),Reference!$A$6:$A$11,1))))),0)+IF(2&lt;=$AL72,($AL72-2+3)*(INDEX(Reference!$B$6:$B$11,MIN(5,MATCH(MAX(Reference!$A$6,MIN(Reference!$A$11,MIN($U72,120))),Reference!$A$6:$A$11,1)))+(MAX(Reference!$A$6,MIN(Reference!$A$11,MIN($U72,120)))-INDEX(Reference!$A$6:$A$11,MIN(5,MATCH(MAX(Reference!$A$6,MIN(Reference!$A$11,MIN($U72,120))),Reference!$A$6:$A$11,1))))*(INDEX(Reference!$B$6:$B$11,MIN(5,MATCH(MAX(Reference!$A$6,MIN(Reference!$A$11,MIN($U72,120))),Reference!$A$6:$A$11,1))+1)-INDEX(Reference!$B$6:$B$11,MIN(5,MATCH(MAX(Reference!$A$6,MIN(Reference!$A$11,MIN($U72,120))),Reference!$A$6:$A$11,1))))/(INDEX(Reference!$A$6:$A$11,MIN(5,MATCH(MAX(Reference!$A$6,MIN(Reference!$A$11,MIN($U72,120))),Reference!$A$6:$A$11,1))+1)-INDEX(Reference!$A$6:$A$11,MIN(5,MATCH(MAX(Reference!$A$6,MIN(Reference!$A$11,MIN($U72,120))),Reference!$A$6:$A$11,1))))),0)+IF(3&lt;=$AL72,($AL72-3+3)*(INDEX(Reference!$B$6:$B$11,MIN(5,MATCH(MAX(Reference!$A$6,MIN(Reference!$A$11,MIN($U72,150))),Reference!$A$6:$A$11,1)))+(MAX(Reference!$A$6,MIN(Reference!$A$11,MIN($U72,150)))-INDEX(Reference!$A$6:$A$11,MIN(5,MATCH(MAX(Reference!$A$6,MIN(Reference!$A$11,MIN($U72,150))),Reference!$A$6:$A$11,1))))*(INDEX(Reference!$B$6:$B$11,MIN(5,MATCH(MAX(Reference!$A$6,MIN(Reference!$A$11,MIN($U72,150))),Reference!$A$6:$A$11,1))+1)-INDEX(Reference!$B$6:$B$11,MIN(5,MATCH(MAX(Reference!$A$6,MIN(Reference!$A$11,MIN($U72,150))),Reference!$A$6:$A$11,1))))/(INDEX(Reference!$A$6:$A$11,MIN(5,MATCH(MAX(Reference!$A$6,MIN(Reference!$A$11,MIN($U72,150))),Reference!$A$6:$A$11,1))+1)-INDEX(Reference!$A$6:$A$11,MIN(5,MATCH(MAX(Reference!$A$6,MIN(Reference!$A$11,MIN($U72,150))),Reference!$A$6:$A$11,1))))),0)+IF(4&lt;=$AL72,($AL72-4+3)*(INDEX(Reference!$B$6:$B$11,MIN(5,MATCH(MAX(Reference!$A$6,MIN(Reference!$A$11,MIN($U72,180))),Reference!$A$6:$A$11,1)))+(MAX(Reference!$A$6,MIN(Reference!$A$11,MIN($U72,180)))-INDEX(Reference!$A$6:$A$11,MIN(5,MATCH(MAX(Reference!$A$6,MIN(Reference!$A$11,MIN($U72,180))),Reference!$A$6:$A$11,1))))*(INDEX(Reference!$B$6:$B$11,MIN(5,MATCH(MAX(Reference!$A$6,MIN(Reference!$A$11,MIN($U72,180))),Reference!$A$6:$A$11,1))+1)-INDEX(Reference!$B$6:$B$11,MIN(5,MATCH(MAX(Reference!$A$6,MIN(Reference!$A$11,MIN($U72,180))),Reference!$A$6:$A$11,1))))/(INDEX(Reference!$A$6:$A$11,MIN(5,MATCH(MAX(Reference!$A$6,MIN(Reference!$A$11,MIN($U72,180))),Reference!$A$6:$A$11,1))+1)-INDEX(Reference!$A$6:$A$11,MIN(5,MATCH(MAX(Reference!$A$6,MIN(Reference!$A$11,MIN($U72,180))),Reference!$A$6:$A$11,1))))),0)+IF(5&lt;=$AL72,($AL72-5+3)*(INDEX(Reference!$B$6:$B$11,MIN(5,MATCH(MAX(Reference!$A$6,MIN(Reference!$A$11,MIN($U72,210))),Reference!$A$6:$A$11,1)))+(MAX(Reference!$A$6,MIN(Reference!$A$11,MIN($U72,210)))-INDEX(Reference!$A$6:$A$11,MIN(5,MATCH(MAX(Reference!$A$6,MIN(Reference!$A$11,MIN($U72,210))),Reference!$A$6:$A$11,1))))*(INDEX(Reference!$B$6:$B$11,MIN(5,MATCH(MAX(Reference!$A$6,MIN(Reference!$A$11,MIN($U72,210))),Reference!$A$6:$A$11,1))+1)-INDEX(Reference!$B$6:$B$11,MIN(5,MATCH(MAX(Reference!$A$6,MIN(Reference!$A$11,MIN($U72,210))),Reference!$A$6:$A$11,1))))/(INDEX(Reference!$A$6:$A$11,MIN(5,MATCH(MAX(Reference!$A$6,MIN(Reference!$A$11,MIN($U72,210))),Reference!$A$6:$A$11,1))+1)-INDEX(Reference!$A$6:$A$11,MIN(5,MATCH(MAX(Reference!$A$6,MIN(Reference!$A$11,MIN($U72,210))),Reference!$A$6:$A$11,1))))),0)+IF(6&lt;=$AL72,($AL72-6+3)*(INDEX(Reference!$B$6:$B$11,MIN(5,MATCH(MAX(Reference!$A$6,MIN(Reference!$A$11,MIN($U72,240))),Reference!$A$6:$A$11,1)))+(MAX(Reference!$A$6,MIN(Reference!$A$11,MIN($U72,240)))-INDEX(Reference!$A$6:$A$11,MIN(5,MATCH(MAX(Reference!$A$6,MIN(Reference!$A$11,MIN($U72,240))),Reference!$A$6:$A$11,1))))*(INDEX(Reference!$B$6:$B$11,MIN(5,MATCH(MAX(Reference!$A$6,MIN(Reference!$A$11,MIN($U72,240))),Reference!$A$6:$A$11,1))+1)-INDEX(Reference!$B$6:$B$11,MIN(5,MATCH(MAX(Reference!$A$6,MIN(Reference!$A$11,MIN($U72,240))),Reference!$A$6:$A$11,1))))/(INDEX(Reference!$A$6:$A$11,MIN(5,MATCH(MAX(Reference!$A$6,MIN(Reference!$A$11,MIN($U72,240))),Reference!$A$6:$A$11,1))+1)-INDEX(Reference!$A$6:$A$11,MIN(5,MATCH(MAX(Reference!$A$6,MIN(Reference!$A$11,MIN($U72,240))),Reference!$A$6:$A$11,1))))),0)+IF(7&lt;=$AL72,($AL72-7+3)*(INDEX(Reference!$B$6:$B$11,MIN(5,MATCH(MAX(Reference!$A$6,MIN(Reference!$A$11,MIN($U72,270))),Reference!$A$6:$A$11,1)))+(MAX(Reference!$A$6,MIN(Reference!$A$11,MIN($U72,270)))-INDEX(Reference!$A$6:$A$11,MIN(5,MATCH(MAX(Reference!$A$6,MIN(Reference!$A$11,MIN($U72,270))),Reference!$A$6:$A$11,1))))*(INDEX(Reference!$B$6:$B$11,MIN(5,MATCH(MAX(Reference!$A$6,MIN(Reference!$A$11,MIN($U72,270))),Reference!$A$6:$A$11,1))+1)-INDEX(Reference!$B$6:$B$11,MIN(5,MATCH(MAX(Reference!$A$6,MIN(Reference!$A$11,MIN($U72,270))),Reference!$A$6:$A$11,1))))/(INDEX(Reference!$A$6:$A$11,MIN(5,MATCH(MAX(Reference!$A$6,MIN(Reference!$A$11,MIN($U72,270))),Reference!$A$6:$A$11,1))+1)-INDEX(Reference!$A$6:$A$11,MIN(5,MATCH(MAX(Reference!$A$6,MIN(Reference!$A$11,MIN($U72,270))),Reference!$A$6:$A$11,1))))),0)+IF(8&lt;=$AL72,($AL72-8+3)*(INDEX(Reference!$B$6:$B$11,MIN(5,MATCH(MAX(Reference!$A$6,MIN(Reference!$A$11,MIN($U72,300))),Reference!$A$6:$A$11,1)))+(MAX(Reference!$A$6,MIN(Reference!$A$11,MIN($U72,300)))-INDEX(Reference!$A$6:$A$11,MIN(5,MATCH(MAX(Reference!$A$6,MIN(Reference!$A$11,MIN($U72,300))),Reference!$A$6:$A$11,1))))*(INDEX(Reference!$B$6:$B$11,MIN(5,MATCH(MAX(Reference!$A$6,MIN(Reference!$A$11,MIN($U72,300))),Reference!$A$6:$A$11,1))+1)-INDEX(Reference!$B$6:$B$11,MIN(5,MATCH(MAX(Reference!$A$6,MIN(Reference!$A$11,MIN($U72,300))),Reference!$A$6:$A$11,1))))/(INDEX(Reference!$A$6:$A$11,MIN(5,MATCH(MAX(Reference!$A$6,MIN(Reference!$A$11,MIN($U72,300))),Reference!$A$6:$A$11,1))+1)-INDEX(Reference!$A$6:$A$11,MIN(5,MATCH(MAX(Reference!$A$6,MIN(Reference!$A$11,MIN($U72,300))),Reference!$A$6:$A$11,1))))),0))/($AL72*($AL72+5)/2)),$AN72))</f>
        <v>1.4714285714285715</v>
      </c>
      <c r="AN72" s="32">
        <f>IF($U72="",0,(INDEX(Reference!$B$6:$B$11,MIN(5,MATCH(MAX(Reference!$A$6,MIN(Reference!$A$11,$U72)),Reference!$A$6:$A$11,1)))+(MAX(Reference!$A$6,MIN(Reference!$A$11,$U72))-INDEX(Reference!$A$6:$A$11,MIN(5,MATCH(MAX(Reference!$A$6,MIN(Reference!$A$11,$U72)),Reference!$A$6:$A$11,1))))*(INDEX(Reference!$B$6:$B$11,MIN(5,MATCH(MAX(Reference!$A$6,MIN(Reference!$A$11,$U72)),Reference!$A$6:$A$11,1))+1)-INDEX(Reference!$B$6:$B$11,MIN(5,MATCH(MAX(Reference!$A$6,MIN(Reference!$A$11,$U72)),Reference!$A$6:$A$11,1))))/(INDEX(Reference!$A$6:$A$11,MIN(5,MATCH(MAX(Reference!$A$6,MIN(Reference!$A$11,$U72)),Reference!$A$6:$A$11,1))+1)-INDEX(Reference!$A$6:$A$11,MIN(5,MATCH(MAX(Reference!$A$6,MIN(Reference!$A$11,$U72)),Reference!$A$6:$A$11,1))))))</f>
        <v>1.7</v>
      </c>
      <c r="AO72" s="37"/>
      <c r="AP72" s="37"/>
      <c r="AQ72" s="37"/>
    </row>
    <row r="73" spans="1:43" x14ac:dyDescent="0.3">
      <c r="A73" s="48">
        <f t="shared" si="5"/>
        <v>46372</v>
      </c>
      <c r="B73" s="32" t="str">
        <f t="shared" si="6"/>
        <v>Wed</v>
      </c>
      <c r="C73" s="32">
        <f t="shared" si="7"/>
        <v>15</v>
      </c>
      <c r="D73" s="32" t="str">
        <f t="shared" si="8"/>
        <v>Flat Ground / Intent</v>
      </c>
      <c r="E73" s="32" t="str">
        <f t="shared" si="9"/>
        <v>No Throw</v>
      </c>
      <c r="F73" s="32" t="str">
        <f t="shared" si="10"/>
        <v>No Throw</v>
      </c>
      <c r="G73" s="47" t="str">
        <f t="shared" si="11"/>
        <v>Off</v>
      </c>
      <c r="H73" s="30">
        <f t="shared" si="12"/>
        <v>0</v>
      </c>
      <c r="I73" s="46">
        <f>IF($A73="","",IF(AND($L73&lt;27,$K$12=0),"Building",IFERROR(((SUM($H$67:$H73)+$K$12*IF($L73&lt;6,SUMIFS('Throw Log'!$Q$5:$Q$300,'Throw Log'!$B$5:$B$300,$D$4,'Throw Log'!$A$5:$A$300,"&gt;="&amp;($D$6+$L73-6),'Throw Log'!$A$5:$A$300,"&lt;="&amp;($D$6-1)),0))/7)/((SUM($H$46:$H73)+$K$12*IF($L73&lt;27,SUMIFS('Throw Log'!$Q$5:$Q$300,'Throw Log'!$B$5:$B$300,$D$4,'Throw Log'!$A$5:$A$300,"&gt;="&amp;($D$6+$L73-27),'Throw Log'!$A$5:$A$300,"&lt;="&amp;($D$6-1)),0))/28),"")))</f>
        <v>1.2983388962198246</v>
      </c>
      <c r="J73" s="37"/>
      <c r="K73" s="37"/>
      <c r="L73" s="32">
        <v>30</v>
      </c>
      <c r="M73" s="32">
        <f t="shared" si="13"/>
        <v>5</v>
      </c>
      <c r="N73" s="32">
        <f t="shared" si="14"/>
        <v>2</v>
      </c>
      <c r="O73" s="32">
        <f t="shared" si="15"/>
        <v>0.81081081081081086</v>
      </c>
      <c r="P73" s="32">
        <f>IF(OR($A73="",N($C73)&lt;=7),"",$G$6*$G$9^($M73-1)*IF(AND(MOD($M73,Reference!$B$99)=0,$M73&lt;=$G$5-2),Reference!$B$100,1))</f>
        <v>139.92049999999995</v>
      </c>
      <c r="Q73" s="32">
        <f>IF($P73="","",IF(SUM($AK$71:$AK$77)=0,0,$P73*INDEX(Reference!$B$108:$B$114,$N73+1)/SUM($AK$71:$AK$77)))</f>
        <v>0</v>
      </c>
      <c r="R73" s="32">
        <f t="shared" si="16"/>
        <v>120</v>
      </c>
      <c r="S73" s="32">
        <f t="shared" si="17"/>
        <v>105</v>
      </c>
      <c r="T73" s="32" t="str">
        <f>IF($A73="","",IF($C73=0,"Bullpen",IF(OR($C73=7,$C73=1,$C73=5),"Recovery/Easy Catch",IF($C73=6,"Compression/Pulldowns",IF(OR($C73=4,$C73=2),"Long Toss",IF($C73=3,"No Throw",IF($N73=2,"No Throw",IF($N73=6,IF($O73&lt;Reference!$B$104,"No Throw","Recovery/Easy Catch"),IF(OR($N73=0,$N73=4),"Recovery/Easy Catch",IF($N73=1,IF($R73&gt;75,"Long Toss","Recovery/Easy Catch"),IF($N73=3,IF($O73&lt;0.5,IF($S73&gt;75,"Long Toss","Recovery/Easy Catch"),"Compression/Pulldowns"),IF($S73&gt;75,"Long Toss","Recovery/Easy Catch"))))))))))))</f>
        <v>No Throw</v>
      </c>
      <c r="U73" s="32" t="str">
        <f t="shared" si="18"/>
        <v/>
      </c>
      <c r="V73" s="32" t="str">
        <f t="shared" si="19"/>
        <v/>
      </c>
      <c r="W73" s="32" t="str">
        <f t="shared" si="20"/>
        <v/>
      </c>
      <c r="X73" s="32">
        <f t="shared" si="21"/>
        <v>0</v>
      </c>
      <c r="Y73" s="32" t="str">
        <f t="shared" si="22"/>
        <v/>
      </c>
      <c r="Z73" s="32" t="str">
        <f t="shared" si="23"/>
        <v/>
      </c>
      <c r="AA73" s="32" t="str">
        <f t="shared" si="24"/>
        <v/>
      </c>
      <c r="AB73" s="32">
        <f>IF($A73="","",IF($T73="No Throw",0,IF($K73&lt;&gt;"",$K73,IF($AA73&lt;&gt;"",ROUND($AA73*$D$12*IF($C73=0,1,$G$10),0),MIN(IF($T73="Recovery/Easy Catch",Reference!$B$103,IF($T73="Long Toss",Reference!$B$106,Reference!$B$102)),MAX(Reference!$B$101,ROUND(MAX(0,$Q73-$AE73)/$AF73,0)))))))</f>
        <v>0</v>
      </c>
      <c r="AC73" s="32">
        <f t="shared" si="25"/>
        <v>0</v>
      </c>
      <c r="AD73" s="32" t="b">
        <f t="shared" si="26"/>
        <v>1</v>
      </c>
      <c r="AE73" s="32">
        <f>IF($X73=0,0,$X73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73+$Z73)/2,0),Reference!$A$17:$B$20,2,TRUE()))</f>
        <v>0</v>
      </c>
      <c r="AF73" s="32">
        <f>IF(OR($A73="",$U73="",$T73="No Throw"),0,$AM73*VLOOKUP(MAX(($V73+$W73)/2,0),Reference!$A$17:$B$20,2,TRUE()))</f>
        <v>0</v>
      </c>
      <c r="AG73" s="32">
        <f>IF($AC73=0,0,$AC73*INDEX(Reference!$B$61:$B$62,MATCH("Bullpen",Reference!$A$61:$A$62,0))*VLOOKUP(MAX($D$5-($D$9+$E$9)/2,0),Reference!$A$17:$B$20,2,TRUE()))</f>
        <v>0</v>
      </c>
      <c r="AH73" s="46">
        <f t="shared" si="27"/>
        <v>1.2983388962198246</v>
      </c>
      <c r="AI73" s="32">
        <f>IF($A73="",NA(),Reference!$A$25)</f>
        <v>0.8</v>
      </c>
      <c r="AJ73" s="32">
        <f t="shared" si="28"/>
        <v>1.3</v>
      </c>
      <c r="AK73" s="32">
        <f>IF(OR($A73="",N($C73)&lt;=7,$T73="No Throw",$J73="x"),0,INDEX(Reference!$B$108:$B$114,$N73+1))</f>
        <v>0</v>
      </c>
      <c r="AL73" s="32">
        <f t="shared" si="29"/>
        <v>1</v>
      </c>
      <c r="AM73" s="32">
        <f>IF($U73="",0,IF($AL73&gt;1,((IF(1&lt;=$AL73,($AL73-1+3)*(INDEX(Reference!$B$6:$B$11,MIN(5,MATCH(MAX(Reference!$A$6,MIN(Reference!$A$11,MIN($U73,90))),Reference!$A$6:$A$11,1)))+(MAX(Reference!$A$6,MIN(Reference!$A$11,MIN($U73,90)))-INDEX(Reference!$A$6:$A$11,MIN(5,MATCH(MAX(Reference!$A$6,MIN(Reference!$A$11,MIN($U73,90))),Reference!$A$6:$A$11,1))))*(INDEX(Reference!$B$6:$B$11,MIN(5,MATCH(MAX(Reference!$A$6,MIN(Reference!$A$11,MIN($U73,90))),Reference!$A$6:$A$11,1))+1)-INDEX(Reference!$B$6:$B$11,MIN(5,MATCH(MAX(Reference!$A$6,MIN(Reference!$A$11,MIN($U73,90))),Reference!$A$6:$A$11,1))))/(INDEX(Reference!$A$6:$A$11,MIN(5,MATCH(MAX(Reference!$A$6,MIN(Reference!$A$11,MIN($U73,90))),Reference!$A$6:$A$11,1))+1)-INDEX(Reference!$A$6:$A$11,MIN(5,MATCH(MAX(Reference!$A$6,MIN(Reference!$A$11,MIN($U73,90))),Reference!$A$6:$A$11,1))))),0)+IF(2&lt;=$AL73,($AL73-2+3)*(INDEX(Reference!$B$6:$B$11,MIN(5,MATCH(MAX(Reference!$A$6,MIN(Reference!$A$11,MIN($U73,120))),Reference!$A$6:$A$11,1)))+(MAX(Reference!$A$6,MIN(Reference!$A$11,MIN($U73,120)))-INDEX(Reference!$A$6:$A$11,MIN(5,MATCH(MAX(Reference!$A$6,MIN(Reference!$A$11,MIN($U73,120))),Reference!$A$6:$A$11,1))))*(INDEX(Reference!$B$6:$B$11,MIN(5,MATCH(MAX(Reference!$A$6,MIN(Reference!$A$11,MIN($U73,120))),Reference!$A$6:$A$11,1))+1)-INDEX(Reference!$B$6:$B$11,MIN(5,MATCH(MAX(Reference!$A$6,MIN(Reference!$A$11,MIN($U73,120))),Reference!$A$6:$A$11,1))))/(INDEX(Reference!$A$6:$A$11,MIN(5,MATCH(MAX(Reference!$A$6,MIN(Reference!$A$11,MIN($U73,120))),Reference!$A$6:$A$11,1))+1)-INDEX(Reference!$A$6:$A$11,MIN(5,MATCH(MAX(Reference!$A$6,MIN(Reference!$A$11,MIN($U73,120))),Reference!$A$6:$A$11,1))))),0)+IF(3&lt;=$AL73,($AL73-3+3)*(INDEX(Reference!$B$6:$B$11,MIN(5,MATCH(MAX(Reference!$A$6,MIN(Reference!$A$11,MIN($U73,150))),Reference!$A$6:$A$11,1)))+(MAX(Reference!$A$6,MIN(Reference!$A$11,MIN($U73,150)))-INDEX(Reference!$A$6:$A$11,MIN(5,MATCH(MAX(Reference!$A$6,MIN(Reference!$A$11,MIN($U73,150))),Reference!$A$6:$A$11,1))))*(INDEX(Reference!$B$6:$B$11,MIN(5,MATCH(MAX(Reference!$A$6,MIN(Reference!$A$11,MIN($U73,150))),Reference!$A$6:$A$11,1))+1)-INDEX(Reference!$B$6:$B$11,MIN(5,MATCH(MAX(Reference!$A$6,MIN(Reference!$A$11,MIN($U73,150))),Reference!$A$6:$A$11,1))))/(INDEX(Reference!$A$6:$A$11,MIN(5,MATCH(MAX(Reference!$A$6,MIN(Reference!$A$11,MIN($U73,150))),Reference!$A$6:$A$11,1))+1)-INDEX(Reference!$A$6:$A$11,MIN(5,MATCH(MAX(Reference!$A$6,MIN(Reference!$A$11,MIN($U73,150))),Reference!$A$6:$A$11,1))))),0)+IF(4&lt;=$AL73,($AL73-4+3)*(INDEX(Reference!$B$6:$B$11,MIN(5,MATCH(MAX(Reference!$A$6,MIN(Reference!$A$11,MIN($U73,180))),Reference!$A$6:$A$11,1)))+(MAX(Reference!$A$6,MIN(Reference!$A$11,MIN($U73,180)))-INDEX(Reference!$A$6:$A$11,MIN(5,MATCH(MAX(Reference!$A$6,MIN(Reference!$A$11,MIN($U73,180))),Reference!$A$6:$A$11,1))))*(INDEX(Reference!$B$6:$B$11,MIN(5,MATCH(MAX(Reference!$A$6,MIN(Reference!$A$11,MIN($U73,180))),Reference!$A$6:$A$11,1))+1)-INDEX(Reference!$B$6:$B$11,MIN(5,MATCH(MAX(Reference!$A$6,MIN(Reference!$A$11,MIN($U73,180))),Reference!$A$6:$A$11,1))))/(INDEX(Reference!$A$6:$A$11,MIN(5,MATCH(MAX(Reference!$A$6,MIN(Reference!$A$11,MIN($U73,180))),Reference!$A$6:$A$11,1))+1)-INDEX(Reference!$A$6:$A$11,MIN(5,MATCH(MAX(Reference!$A$6,MIN(Reference!$A$11,MIN($U73,180))),Reference!$A$6:$A$11,1))))),0)+IF(5&lt;=$AL73,($AL73-5+3)*(INDEX(Reference!$B$6:$B$11,MIN(5,MATCH(MAX(Reference!$A$6,MIN(Reference!$A$11,MIN($U73,210))),Reference!$A$6:$A$11,1)))+(MAX(Reference!$A$6,MIN(Reference!$A$11,MIN($U73,210)))-INDEX(Reference!$A$6:$A$11,MIN(5,MATCH(MAX(Reference!$A$6,MIN(Reference!$A$11,MIN($U73,210))),Reference!$A$6:$A$11,1))))*(INDEX(Reference!$B$6:$B$11,MIN(5,MATCH(MAX(Reference!$A$6,MIN(Reference!$A$11,MIN($U73,210))),Reference!$A$6:$A$11,1))+1)-INDEX(Reference!$B$6:$B$11,MIN(5,MATCH(MAX(Reference!$A$6,MIN(Reference!$A$11,MIN($U73,210))),Reference!$A$6:$A$11,1))))/(INDEX(Reference!$A$6:$A$11,MIN(5,MATCH(MAX(Reference!$A$6,MIN(Reference!$A$11,MIN($U73,210))),Reference!$A$6:$A$11,1))+1)-INDEX(Reference!$A$6:$A$11,MIN(5,MATCH(MAX(Reference!$A$6,MIN(Reference!$A$11,MIN($U73,210))),Reference!$A$6:$A$11,1))))),0)+IF(6&lt;=$AL73,($AL73-6+3)*(INDEX(Reference!$B$6:$B$11,MIN(5,MATCH(MAX(Reference!$A$6,MIN(Reference!$A$11,MIN($U73,240))),Reference!$A$6:$A$11,1)))+(MAX(Reference!$A$6,MIN(Reference!$A$11,MIN($U73,240)))-INDEX(Reference!$A$6:$A$11,MIN(5,MATCH(MAX(Reference!$A$6,MIN(Reference!$A$11,MIN($U73,240))),Reference!$A$6:$A$11,1))))*(INDEX(Reference!$B$6:$B$11,MIN(5,MATCH(MAX(Reference!$A$6,MIN(Reference!$A$11,MIN($U73,240))),Reference!$A$6:$A$11,1))+1)-INDEX(Reference!$B$6:$B$11,MIN(5,MATCH(MAX(Reference!$A$6,MIN(Reference!$A$11,MIN($U73,240))),Reference!$A$6:$A$11,1))))/(INDEX(Reference!$A$6:$A$11,MIN(5,MATCH(MAX(Reference!$A$6,MIN(Reference!$A$11,MIN($U73,240))),Reference!$A$6:$A$11,1))+1)-INDEX(Reference!$A$6:$A$11,MIN(5,MATCH(MAX(Reference!$A$6,MIN(Reference!$A$11,MIN($U73,240))),Reference!$A$6:$A$11,1))))),0)+IF(7&lt;=$AL73,($AL73-7+3)*(INDEX(Reference!$B$6:$B$11,MIN(5,MATCH(MAX(Reference!$A$6,MIN(Reference!$A$11,MIN($U73,270))),Reference!$A$6:$A$11,1)))+(MAX(Reference!$A$6,MIN(Reference!$A$11,MIN($U73,270)))-INDEX(Reference!$A$6:$A$11,MIN(5,MATCH(MAX(Reference!$A$6,MIN(Reference!$A$11,MIN($U73,270))),Reference!$A$6:$A$11,1))))*(INDEX(Reference!$B$6:$B$11,MIN(5,MATCH(MAX(Reference!$A$6,MIN(Reference!$A$11,MIN($U73,270))),Reference!$A$6:$A$11,1))+1)-INDEX(Reference!$B$6:$B$11,MIN(5,MATCH(MAX(Reference!$A$6,MIN(Reference!$A$11,MIN($U73,270))),Reference!$A$6:$A$11,1))))/(INDEX(Reference!$A$6:$A$11,MIN(5,MATCH(MAX(Reference!$A$6,MIN(Reference!$A$11,MIN($U73,270))),Reference!$A$6:$A$11,1))+1)-INDEX(Reference!$A$6:$A$11,MIN(5,MATCH(MAX(Reference!$A$6,MIN(Reference!$A$11,MIN($U73,270))),Reference!$A$6:$A$11,1))))),0)+IF(8&lt;=$AL73,($AL73-8+3)*(INDEX(Reference!$B$6:$B$11,MIN(5,MATCH(MAX(Reference!$A$6,MIN(Reference!$A$11,MIN($U73,300))),Reference!$A$6:$A$11,1)))+(MAX(Reference!$A$6,MIN(Reference!$A$11,MIN($U73,300)))-INDEX(Reference!$A$6:$A$11,MIN(5,MATCH(MAX(Reference!$A$6,MIN(Reference!$A$11,MIN($U73,300))),Reference!$A$6:$A$11,1))))*(INDEX(Reference!$B$6:$B$11,MIN(5,MATCH(MAX(Reference!$A$6,MIN(Reference!$A$11,MIN($U73,300))),Reference!$A$6:$A$11,1))+1)-INDEX(Reference!$B$6:$B$11,MIN(5,MATCH(MAX(Reference!$A$6,MIN(Reference!$A$11,MIN($U73,300))),Reference!$A$6:$A$11,1))))/(INDEX(Reference!$A$6:$A$11,MIN(5,MATCH(MAX(Reference!$A$6,MIN(Reference!$A$11,MIN($U73,300))),Reference!$A$6:$A$11,1))+1)-INDEX(Reference!$A$6:$A$11,MIN(5,MATCH(MAX(Reference!$A$6,MIN(Reference!$A$11,MIN($U73,300))),Reference!$A$6:$A$11,1))))),0))/($AL73*($AL73+5)/2)),$AN73))</f>
        <v>0</v>
      </c>
      <c r="AN73" s="32">
        <f>IF($U73="",0,(INDEX(Reference!$B$6:$B$11,MIN(5,MATCH(MAX(Reference!$A$6,MIN(Reference!$A$11,$U73)),Reference!$A$6:$A$11,1)))+(MAX(Reference!$A$6,MIN(Reference!$A$11,$U73))-INDEX(Reference!$A$6:$A$11,MIN(5,MATCH(MAX(Reference!$A$6,MIN(Reference!$A$11,$U73)),Reference!$A$6:$A$11,1))))*(INDEX(Reference!$B$6:$B$11,MIN(5,MATCH(MAX(Reference!$A$6,MIN(Reference!$A$11,$U73)),Reference!$A$6:$A$11,1))+1)-INDEX(Reference!$B$6:$B$11,MIN(5,MATCH(MAX(Reference!$A$6,MIN(Reference!$A$11,$U73)),Reference!$A$6:$A$11,1))))/(INDEX(Reference!$A$6:$A$11,MIN(5,MATCH(MAX(Reference!$A$6,MIN(Reference!$A$11,$U73)),Reference!$A$6:$A$11,1))+1)-INDEX(Reference!$A$6:$A$11,MIN(5,MATCH(MAX(Reference!$A$6,MIN(Reference!$A$11,$U73)),Reference!$A$6:$A$11,1))))))</f>
        <v>0</v>
      </c>
      <c r="AO73" s="37"/>
      <c r="AP73" s="37"/>
      <c r="AQ73" s="37"/>
    </row>
    <row r="74" spans="1:43" x14ac:dyDescent="0.3">
      <c r="A74" s="48">
        <f t="shared" si="5"/>
        <v>46373</v>
      </c>
      <c r="B74" s="32" t="str">
        <f t="shared" si="6"/>
        <v>Thu</v>
      </c>
      <c r="C74" s="32">
        <f t="shared" si="7"/>
        <v>14</v>
      </c>
      <c r="D74" s="32" t="str">
        <f t="shared" si="8"/>
        <v>Flat Ground / Intent</v>
      </c>
      <c r="E74" s="32" t="str">
        <f t="shared" si="9"/>
        <v>High Non-Bullpen</v>
      </c>
      <c r="F74" s="32" t="str">
        <f t="shared" si="10"/>
        <v>Compression/Pulldowns</v>
      </c>
      <c r="G74" s="47" t="str">
        <f t="shared" si="11"/>
        <v>90 ft × 20 @ 79–81 mph + flat ground at 60 ft × 25 @ 79–81 mph</v>
      </c>
      <c r="H74" s="30">
        <f t="shared" si="12"/>
        <v>51</v>
      </c>
      <c r="I74" s="46">
        <f>IF($A74="","",IF(AND($L74&lt;27,$K$12=0),"Building",IFERROR(((SUM($H$68:$H74)+$K$12*IF($L74&lt;6,SUMIFS('Throw Log'!$Q$5:$Q$300,'Throw Log'!$B$5:$B$300,$D$4,'Throw Log'!$A$5:$A$300,"&gt;="&amp;($D$6+$L74-6),'Throw Log'!$A$5:$A$300,"&lt;="&amp;($D$6-1)),0))/7)/((SUM($H$47:$H74)+$K$12*IF($L74&lt;27,SUMIFS('Throw Log'!$Q$5:$Q$300,'Throw Log'!$B$5:$B$300,$D$4,'Throw Log'!$A$5:$A$300,"&gt;="&amp;($D$6+$L74-27),'Throw Log'!$A$5:$A$300,"&lt;="&amp;($D$6-1)),0))/28),"")))</f>
        <v>1.2533820885075366</v>
      </c>
      <c r="J74" s="37"/>
      <c r="K74" s="37"/>
      <c r="L74" s="32">
        <v>31</v>
      </c>
      <c r="M74" s="32">
        <f t="shared" si="13"/>
        <v>5</v>
      </c>
      <c r="N74" s="32">
        <f t="shared" si="14"/>
        <v>3</v>
      </c>
      <c r="O74" s="32">
        <f t="shared" si="15"/>
        <v>0.83783783783783783</v>
      </c>
      <c r="P74" s="32">
        <f>IF(OR($A74="",N($C74)&lt;=7),"",$G$6*$G$9^($M74-1)*IF(AND(MOD($M74,Reference!$B$99)=0,$M74&lt;=$G$5-2),Reference!$B$100,1))</f>
        <v>139.92049999999995</v>
      </c>
      <c r="Q74" s="32">
        <f>IF($P74="","",IF(SUM($AK$71:$AK$77)=0,0,$P74*INDEX(Reference!$B$108:$B$114,$N74+1)/SUM($AK$71:$AK$77)))</f>
        <v>31.384037383177553</v>
      </c>
      <c r="R74" s="32">
        <f t="shared" si="16"/>
        <v>120</v>
      </c>
      <c r="S74" s="32">
        <f t="shared" si="17"/>
        <v>105</v>
      </c>
      <c r="T74" s="32" t="str">
        <f>IF($A74="","",IF($C74=0,"Bullpen",IF(OR($C74=7,$C74=1,$C74=5),"Recovery/Easy Catch",IF($C74=6,"Compression/Pulldowns",IF(OR($C74=4,$C74=2),"Long Toss",IF($C74=3,"No Throw",IF($N74=2,"No Throw",IF($N74=6,IF($O74&lt;Reference!$B$104,"No Throw","Recovery/Easy Catch"),IF(OR($N74=0,$N74=4),"Recovery/Easy Catch",IF($N74=1,IF($R74&gt;75,"Long Toss","Recovery/Easy Catch"),IF($N74=3,IF($O74&lt;0.5,IF($S74&gt;75,"Long Toss","Recovery/Easy Catch"),"Compression/Pulldowns"),IF($S74&gt;75,"Long Toss","Recovery/Easy Catch"))))))))))))</f>
        <v>Compression/Pulldowns</v>
      </c>
      <c r="U74" s="32">
        <f t="shared" si="18"/>
        <v>90</v>
      </c>
      <c r="V74" s="32">
        <f t="shared" si="19"/>
        <v>7</v>
      </c>
      <c r="W74" s="32">
        <f t="shared" si="20"/>
        <v>9</v>
      </c>
      <c r="X74" s="32">
        <f t="shared" si="21"/>
        <v>25</v>
      </c>
      <c r="Y74" s="32">
        <f t="shared" si="22"/>
        <v>7</v>
      </c>
      <c r="Z74" s="32">
        <f t="shared" si="23"/>
        <v>9</v>
      </c>
      <c r="AA74" s="32" t="str">
        <f t="shared" si="24"/>
        <v/>
      </c>
      <c r="AB74" s="32">
        <f>IF($A74="","",IF($T74="No Throw",0,IF($K74&lt;&gt;"",$K74,IF($AA74&lt;&gt;"",ROUND($AA74*$D$12*IF($C74=0,1,$G$10),0),MIN(IF($T74="Recovery/Easy Catch",Reference!$B$103,IF($T74="Long Toss",Reference!$B$106,Reference!$B$102)),MAX(Reference!$B$101,ROUND(MAX(0,$Q74-$AE74)/$AF74,0)))))))</f>
        <v>20</v>
      </c>
      <c r="AC74" s="32">
        <f t="shared" si="25"/>
        <v>0</v>
      </c>
      <c r="AD74" s="32" t="b">
        <f t="shared" si="26"/>
        <v>0</v>
      </c>
      <c r="AE74" s="32">
        <f>IF($X74=0,0,$X74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74+$Z74)/2,0),Reference!$A$17:$B$20,2,TRUE()))</f>
        <v>25</v>
      </c>
      <c r="AF74" s="32">
        <f>IF(OR($A74="",$U74="",$T74="No Throw"),0,$AM74*VLOOKUP(MAX(($V74+$W74)/2,0),Reference!$A$17:$B$20,2,TRUE()))</f>
        <v>1.3</v>
      </c>
      <c r="AG74" s="32">
        <f>IF($AC74=0,0,$AC74*INDEX(Reference!$B$61:$B$62,MATCH("Bullpen",Reference!$A$61:$A$62,0))*VLOOKUP(MAX($D$5-($D$9+$E$9)/2,0),Reference!$A$17:$B$20,2,TRUE()))</f>
        <v>0</v>
      </c>
      <c r="AH74" s="46">
        <f t="shared" si="27"/>
        <v>1.2533820885075366</v>
      </c>
      <c r="AI74" s="32">
        <f>IF($A74="",NA(),Reference!$A$25)</f>
        <v>0.8</v>
      </c>
      <c r="AJ74" s="32">
        <f t="shared" si="28"/>
        <v>1.3</v>
      </c>
      <c r="AK74" s="56">
        <f>IF(OR($A74="",N($C74)&lt;=7,$T74="No Throw",$J74="x"),0,INDEX(Reference!$B$108:$B$114,$N74+1))</f>
        <v>0.24</v>
      </c>
      <c r="AL74" s="32">
        <f t="shared" si="29"/>
        <v>1</v>
      </c>
      <c r="AM74" s="32">
        <f>IF($U74="",0,IF($AL74&gt;1,((IF(1&lt;=$AL74,($AL74-1+3)*(INDEX(Reference!$B$6:$B$11,MIN(5,MATCH(MAX(Reference!$A$6,MIN(Reference!$A$11,MIN($U74,90))),Reference!$A$6:$A$11,1)))+(MAX(Reference!$A$6,MIN(Reference!$A$11,MIN($U74,90)))-INDEX(Reference!$A$6:$A$11,MIN(5,MATCH(MAX(Reference!$A$6,MIN(Reference!$A$11,MIN($U74,90))),Reference!$A$6:$A$11,1))))*(INDEX(Reference!$B$6:$B$11,MIN(5,MATCH(MAX(Reference!$A$6,MIN(Reference!$A$11,MIN($U74,90))),Reference!$A$6:$A$11,1))+1)-INDEX(Reference!$B$6:$B$11,MIN(5,MATCH(MAX(Reference!$A$6,MIN(Reference!$A$11,MIN($U74,90))),Reference!$A$6:$A$11,1))))/(INDEX(Reference!$A$6:$A$11,MIN(5,MATCH(MAX(Reference!$A$6,MIN(Reference!$A$11,MIN($U74,90))),Reference!$A$6:$A$11,1))+1)-INDEX(Reference!$A$6:$A$11,MIN(5,MATCH(MAX(Reference!$A$6,MIN(Reference!$A$11,MIN($U74,90))),Reference!$A$6:$A$11,1))))),0)+IF(2&lt;=$AL74,($AL74-2+3)*(INDEX(Reference!$B$6:$B$11,MIN(5,MATCH(MAX(Reference!$A$6,MIN(Reference!$A$11,MIN($U74,120))),Reference!$A$6:$A$11,1)))+(MAX(Reference!$A$6,MIN(Reference!$A$11,MIN($U74,120)))-INDEX(Reference!$A$6:$A$11,MIN(5,MATCH(MAX(Reference!$A$6,MIN(Reference!$A$11,MIN($U74,120))),Reference!$A$6:$A$11,1))))*(INDEX(Reference!$B$6:$B$11,MIN(5,MATCH(MAX(Reference!$A$6,MIN(Reference!$A$11,MIN($U74,120))),Reference!$A$6:$A$11,1))+1)-INDEX(Reference!$B$6:$B$11,MIN(5,MATCH(MAX(Reference!$A$6,MIN(Reference!$A$11,MIN($U74,120))),Reference!$A$6:$A$11,1))))/(INDEX(Reference!$A$6:$A$11,MIN(5,MATCH(MAX(Reference!$A$6,MIN(Reference!$A$11,MIN($U74,120))),Reference!$A$6:$A$11,1))+1)-INDEX(Reference!$A$6:$A$11,MIN(5,MATCH(MAX(Reference!$A$6,MIN(Reference!$A$11,MIN($U74,120))),Reference!$A$6:$A$11,1))))),0)+IF(3&lt;=$AL74,($AL74-3+3)*(INDEX(Reference!$B$6:$B$11,MIN(5,MATCH(MAX(Reference!$A$6,MIN(Reference!$A$11,MIN($U74,150))),Reference!$A$6:$A$11,1)))+(MAX(Reference!$A$6,MIN(Reference!$A$11,MIN($U74,150)))-INDEX(Reference!$A$6:$A$11,MIN(5,MATCH(MAX(Reference!$A$6,MIN(Reference!$A$11,MIN($U74,150))),Reference!$A$6:$A$11,1))))*(INDEX(Reference!$B$6:$B$11,MIN(5,MATCH(MAX(Reference!$A$6,MIN(Reference!$A$11,MIN($U74,150))),Reference!$A$6:$A$11,1))+1)-INDEX(Reference!$B$6:$B$11,MIN(5,MATCH(MAX(Reference!$A$6,MIN(Reference!$A$11,MIN($U74,150))),Reference!$A$6:$A$11,1))))/(INDEX(Reference!$A$6:$A$11,MIN(5,MATCH(MAX(Reference!$A$6,MIN(Reference!$A$11,MIN($U74,150))),Reference!$A$6:$A$11,1))+1)-INDEX(Reference!$A$6:$A$11,MIN(5,MATCH(MAX(Reference!$A$6,MIN(Reference!$A$11,MIN($U74,150))),Reference!$A$6:$A$11,1))))),0)+IF(4&lt;=$AL74,($AL74-4+3)*(INDEX(Reference!$B$6:$B$11,MIN(5,MATCH(MAX(Reference!$A$6,MIN(Reference!$A$11,MIN($U74,180))),Reference!$A$6:$A$11,1)))+(MAX(Reference!$A$6,MIN(Reference!$A$11,MIN($U74,180)))-INDEX(Reference!$A$6:$A$11,MIN(5,MATCH(MAX(Reference!$A$6,MIN(Reference!$A$11,MIN($U74,180))),Reference!$A$6:$A$11,1))))*(INDEX(Reference!$B$6:$B$11,MIN(5,MATCH(MAX(Reference!$A$6,MIN(Reference!$A$11,MIN($U74,180))),Reference!$A$6:$A$11,1))+1)-INDEX(Reference!$B$6:$B$11,MIN(5,MATCH(MAX(Reference!$A$6,MIN(Reference!$A$11,MIN($U74,180))),Reference!$A$6:$A$11,1))))/(INDEX(Reference!$A$6:$A$11,MIN(5,MATCH(MAX(Reference!$A$6,MIN(Reference!$A$11,MIN($U74,180))),Reference!$A$6:$A$11,1))+1)-INDEX(Reference!$A$6:$A$11,MIN(5,MATCH(MAX(Reference!$A$6,MIN(Reference!$A$11,MIN($U74,180))),Reference!$A$6:$A$11,1))))),0)+IF(5&lt;=$AL74,($AL74-5+3)*(INDEX(Reference!$B$6:$B$11,MIN(5,MATCH(MAX(Reference!$A$6,MIN(Reference!$A$11,MIN($U74,210))),Reference!$A$6:$A$11,1)))+(MAX(Reference!$A$6,MIN(Reference!$A$11,MIN($U74,210)))-INDEX(Reference!$A$6:$A$11,MIN(5,MATCH(MAX(Reference!$A$6,MIN(Reference!$A$11,MIN($U74,210))),Reference!$A$6:$A$11,1))))*(INDEX(Reference!$B$6:$B$11,MIN(5,MATCH(MAX(Reference!$A$6,MIN(Reference!$A$11,MIN($U74,210))),Reference!$A$6:$A$11,1))+1)-INDEX(Reference!$B$6:$B$11,MIN(5,MATCH(MAX(Reference!$A$6,MIN(Reference!$A$11,MIN($U74,210))),Reference!$A$6:$A$11,1))))/(INDEX(Reference!$A$6:$A$11,MIN(5,MATCH(MAX(Reference!$A$6,MIN(Reference!$A$11,MIN($U74,210))),Reference!$A$6:$A$11,1))+1)-INDEX(Reference!$A$6:$A$11,MIN(5,MATCH(MAX(Reference!$A$6,MIN(Reference!$A$11,MIN($U74,210))),Reference!$A$6:$A$11,1))))),0)+IF(6&lt;=$AL74,($AL74-6+3)*(INDEX(Reference!$B$6:$B$11,MIN(5,MATCH(MAX(Reference!$A$6,MIN(Reference!$A$11,MIN($U74,240))),Reference!$A$6:$A$11,1)))+(MAX(Reference!$A$6,MIN(Reference!$A$11,MIN($U74,240)))-INDEX(Reference!$A$6:$A$11,MIN(5,MATCH(MAX(Reference!$A$6,MIN(Reference!$A$11,MIN($U74,240))),Reference!$A$6:$A$11,1))))*(INDEX(Reference!$B$6:$B$11,MIN(5,MATCH(MAX(Reference!$A$6,MIN(Reference!$A$11,MIN($U74,240))),Reference!$A$6:$A$11,1))+1)-INDEX(Reference!$B$6:$B$11,MIN(5,MATCH(MAX(Reference!$A$6,MIN(Reference!$A$11,MIN($U74,240))),Reference!$A$6:$A$11,1))))/(INDEX(Reference!$A$6:$A$11,MIN(5,MATCH(MAX(Reference!$A$6,MIN(Reference!$A$11,MIN($U74,240))),Reference!$A$6:$A$11,1))+1)-INDEX(Reference!$A$6:$A$11,MIN(5,MATCH(MAX(Reference!$A$6,MIN(Reference!$A$11,MIN($U74,240))),Reference!$A$6:$A$11,1))))),0)+IF(7&lt;=$AL74,($AL74-7+3)*(INDEX(Reference!$B$6:$B$11,MIN(5,MATCH(MAX(Reference!$A$6,MIN(Reference!$A$11,MIN($U74,270))),Reference!$A$6:$A$11,1)))+(MAX(Reference!$A$6,MIN(Reference!$A$11,MIN($U74,270)))-INDEX(Reference!$A$6:$A$11,MIN(5,MATCH(MAX(Reference!$A$6,MIN(Reference!$A$11,MIN($U74,270))),Reference!$A$6:$A$11,1))))*(INDEX(Reference!$B$6:$B$11,MIN(5,MATCH(MAX(Reference!$A$6,MIN(Reference!$A$11,MIN($U74,270))),Reference!$A$6:$A$11,1))+1)-INDEX(Reference!$B$6:$B$11,MIN(5,MATCH(MAX(Reference!$A$6,MIN(Reference!$A$11,MIN($U74,270))),Reference!$A$6:$A$11,1))))/(INDEX(Reference!$A$6:$A$11,MIN(5,MATCH(MAX(Reference!$A$6,MIN(Reference!$A$11,MIN($U74,270))),Reference!$A$6:$A$11,1))+1)-INDEX(Reference!$A$6:$A$11,MIN(5,MATCH(MAX(Reference!$A$6,MIN(Reference!$A$11,MIN($U74,270))),Reference!$A$6:$A$11,1))))),0)+IF(8&lt;=$AL74,($AL74-8+3)*(INDEX(Reference!$B$6:$B$11,MIN(5,MATCH(MAX(Reference!$A$6,MIN(Reference!$A$11,MIN($U74,300))),Reference!$A$6:$A$11,1)))+(MAX(Reference!$A$6,MIN(Reference!$A$11,MIN($U74,300)))-INDEX(Reference!$A$6:$A$11,MIN(5,MATCH(MAX(Reference!$A$6,MIN(Reference!$A$11,MIN($U74,300))),Reference!$A$6:$A$11,1))))*(INDEX(Reference!$B$6:$B$11,MIN(5,MATCH(MAX(Reference!$A$6,MIN(Reference!$A$11,MIN($U74,300))),Reference!$A$6:$A$11,1))+1)-INDEX(Reference!$B$6:$B$11,MIN(5,MATCH(MAX(Reference!$A$6,MIN(Reference!$A$11,MIN($U74,300))),Reference!$A$6:$A$11,1))))/(INDEX(Reference!$A$6:$A$11,MIN(5,MATCH(MAX(Reference!$A$6,MIN(Reference!$A$11,MIN($U74,300))),Reference!$A$6:$A$11,1))+1)-INDEX(Reference!$A$6:$A$11,MIN(5,MATCH(MAX(Reference!$A$6,MIN(Reference!$A$11,MIN($U74,300))),Reference!$A$6:$A$11,1))))),0))/($AL74*($AL74+5)/2)),$AN74))</f>
        <v>1.3</v>
      </c>
      <c r="AN74" s="32">
        <f>IF($U74="",0,(INDEX(Reference!$B$6:$B$11,MIN(5,MATCH(MAX(Reference!$A$6,MIN(Reference!$A$11,$U74)),Reference!$A$6:$A$11,1)))+(MAX(Reference!$A$6,MIN(Reference!$A$11,$U74))-INDEX(Reference!$A$6:$A$11,MIN(5,MATCH(MAX(Reference!$A$6,MIN(Reference!$A$11,$U74)),Reference!$A$6:$A$11,1))))*(INDEX(Reference!$B$6:$B$11,MIN(5,MATCH(MAX(Reference!$A$6,MIN(Reference!$A$11,$U74)),Reference!$A$6:$A$11,1))+1)-INDEX(Reference!$B$6:$B$11,MIN(5,MATCH(MAX(Reference!$A$6,MIN(Reference!$A$11,$U74)),Reference!$A$6:$A$11,1))))/(INDEX(Reference!$A$6:$A$11,MIN(5,MATCH(MAX(Reference!$A$6,MIN(Reference!$A$11,$U74)),Reference!$A$6:$A$11,1))+1)-INDEX(Reference!$A$6:$A$11,MIN(5,MATCH(MAX(Reference!$A$6,MIN(Reference!$A$11,$U74)),Reference!$A$6:$A$11,1))))))</f>
        <v>1.3</v>
      </c>
      <c r="AO74" s="37"/>
      <c r="AP74" s="37"/>
      <c r="AQ74" s="37"/>
    </row>
    <row r="75" spans="1:43" x14ac:dyDescent="0.3">
      <c r="A75" s="48">
        <f t="shared" ref="A75:A106" si="30">IFERROR(IF($L75&gt;$G$4,"",$D$6+$L75),"")</f>
        <v>46374</v>
      </c>
      <c r="B75" s="32" t="str">
        <f t="shared" ref="B75:B106" si="31">IF($A75="","",TEXT($A75,"ddd"))</f>
        <v>Fri</v>
      </c>
      <c r="C75" s="32">
        <f t="shared" ref="C75:C106" si="32">IF($A75="","",$G$4-$L75)</f>
        <v>13</v>
      </c>
      <c r="D75" s="32" t="str">
        <f t="shared" ref="D75:D106" si="33">IF($A75="","",IF($C75=0,"First Bullpen",IF($C75&lt;=7,"Taper",IF($O75&lt;0.2,"Re-entry",IF($O75&lt;0.45,"Base",IF($O75&lt;0.65,"Extension","Flat Ground / Intent"))))))</f>
        <v>Flat Ground / Intent</v>
      </c>
      <c r="E75" s="32" t="str">
        <f t="shared" ref="E75:E106" si="34">IF($A75="","",IF($AD75,"No Throw",IF($C75=0,"High Bullpen",IF($C75=6,"High Non-Bullpen",IF(OR($C75=4,$C75=2),"Medium",IF($T75="Recovery/Easy Catch","Low",IF($N75=1,IF($O75&lt;0.4,"Low",IF($O75&lt;0.7,"Medium","High Non-Bullpen")),IF($N75=3,IF($O75&lt;0.5,"Medium","High Non-Bullpen"),IF($O75&lt;0.62,"Medium","High Non-Bullpen")))))))))</f>
        <v>Low</v>
      </c>
      <c r="F75" s="32" t="str">
        <f t="shared" ref="F75:F106" si="35">IF($A75="","",IF($AD75,"No Throw",$T75))</f>
        <v>Recovery/Easy Catch</v>
      </c>
      <c r="G75" s="47" t="str">
        <f t="shared" ref="G75:G106" si="36">IF($A75="","",IF($AD75,"Off",IF($AL75&gt;1,"Long toss out to "&amp;$U75&amp;" ft — "&amp;$AB75&amp;" throws ("&amp;IF(1&lt;=$AL75,MIN($U75,90)&amp;"×"&amp;(ROUND($AB75*(1*($AL75+3)-1)/($AL75*($AL75+5)/2),0)-0),"")&amp;IF(2&lt;=$AL75," · "&amp;MIN($U75,120)&amp;"×"&amp;(ROUND($AB75*(2*($AL75+3)-3)/($AL75*($AL75+5)/2),0)-ROUND($AB75*(1*($AL75+3)-1)/($AL75*($AL75+5)/2),0)),"")&amp;IF(3&lt;=$AL75," · "&amp;MIN($U75,150)&amp;"×"&amp;(ROUND($AB75*(3*($AL75+3)-6)/($AL75*($AL75+5)/2),0)-ROUND($AB75*(2*($AL75+3)-3)/($AL75*($AL75+5)/2),0)),"")&amp;IF(4&lt;=$AL75," · "&amp;MIN($U75,180)&amp;"×"&amp;(ROUND($AB75*(4*($AL75+3)-10)/($AL75*($AL75+5)/2),0)-ROUND($AB75*(3*($AL75+3)-6)/($AL75*($AL75+5)/2),0)),"")&amp;IF(5&lt;=$AL75," · "&amp;MIN($U75,210)&amp;"×"&amp;(ROUND($AB75*(5*($AL75+3)-15)/($AL75*($AL75+5)/2),0)-ROUND($AB75*(4*($AL75+3)-10)/($AL75*($AL75+5)/2),0)),"")&amp;IF(6&lt;=$AL75," · "&amp;MIN($U75,240)&amp;"×"&amp;(ROUND($AB75*(6*($AL75+3)-21)/($AL75*($AL75+5)/2),0)-ROUND($AB75*(5*($AL75+3)-15)/($AL75*($AL75+5)/2),0)),"")&amp;IF(7&lt;=$AL75," · "&amp;MIN($U75,270)&amp;"×"&amp;(ROUND($AB75*(7*($AL75+3)-28)/($AL75*($AL75+5)/2),0)-ROUND($AB75*(6*($AL75+3)-21)/($AL75*($AL75+5)/2),0)),"")&amp;IF(8&lt;=$AL75," · "&amp;MIN($U75,300)&amp;"×"&amp;(ROUND($AB75*(8*($AL75+3)-36)/($AL75*($AL75+5)/2),0)-ROUND($AB75*(7*($AL75+3)-28)/($AL75*($AL75+5)/2),0)),"")&amp;")",$U75&amp;" ft × "&amp;$AB75)&amp;" @ "&amp;ROUND($D$5-$W75,0)&amp;"–"&amp;ROUND($D$5-$V75,0)&amp;" mph"&amp;IF($X75&gt;0,IF($Y75&lt;10," + flat ground at 60 ft × "," + 60 ft × ")&amp;$X75&amp;" @ "&amp;ROUND($D$5-$Z75,0)&amp;"–"&amp;ROUND($D$5-$Y75,0)&amp;" mph","")&amp;IF($AC75&gt;0," + MOUND × "&amp;$AC75&amp;" pitches @ "&amp;$D$9&amp;"–"&amp;$E$9&amp;" mph","")))</f>
        <v>75 ft × 20 @ 66–70 mph</v>
      </c>
      <c r="H75" s="30">
        <f t="shared" ref="H75:H106" si="37">IF($A75="","",IF($AD75,0,$AB75*$AF75+$AE75+$AG75))</f>
        <v>13.799999999999999</v>
      </c>
      <c r="I75" s="46">
        <f>IF($A75="","",IF(AND($L75&lt;27,$K$12=0),"Building",IFERROR(((SUM($H$69:$H75)+$K$12*IF($L75&lt;6,SUMIFS('Throw Log'!$Q$5:$Q$300,'Throw Log'!$B$5:$B$300,$D$4,'Throw Log'!$A$5:$A$300,"&gt;="&amp;($D$6+$L75-6),'Throw Log'!$A$5:$A$300,"&lt;="&amp;($D$6-1)),0))/7)/((SUM($H$48:$H75)+$K$12*IF($L75&lt;27,SUMIFS('Throw Log'!$Q$5:$Q$300,'Throw Log'!$B$5:$B$300,$D$4,'Throw Log'!$A$5:$A$300,"&gt;="&amp;($D$6+$L75-27),'Throw Log'!$A$5:$A$300,"&lt;="&amp;($D$6-1)),0))/28),"")))</f>
        <v>1.2486354564908988</v>
      </c>
      <c r="J75" s="37"/>
      <c r="K75" s="37"/>
      <c r="L75" s="32">
        <v>32</v>
      </c>
      <c r="M75" s="32">
        <f t="shared" ref="M75:M106" si="38">INT($L75/7)+1</f>
        <v>5</v>
      </c>
      <c r="N75" s="32">
        <f t="shared" ref="N75:N106" si="39">MOD($L75,7)</f>
        <v>4</v>
      </c>
      <c r="O75" s="32">
        <f t="shared" ref="O75:O106" si="40">MIN(1,$G$7+(1-$G$7)*$L75/MAX(1,N($G$4)-8))</f>
        <v>0.86486486486486491</v>
      </c>
      <c r="P75" s="32">
        <f>IF(OR($A75="",N($C75)&lt;=7),"",$G$6*$G$9^($M75-1)*IF(AND(MOD($M75,Reference!$B$99)=0,$M75&lt;=$G$5-2),Reference!$B$100,1))</f>
        <v>139.92049999999995</v>
      </c>
      <c r="Q75" s="32">
        <f>IF($P75="","",IF(SUM($AK$71:$AK$77)=0,0,$P75*INDEX(Reference!$B$108:$B$114,$N75+1)/SUM($AK$71:$AK$77)))</f>
        <v>13.07668224299065</v>
      </c>
      <c r="R75" s="32">
        <f t="shared" ref="R75:R106" si="41">ROUND((60+($D$11-60)*MIN(1,$O75/0.75))/15,0)*15</f>
        <v>120</v>
      </c>
      <c r="S75" s="32">
        <f t="shared" ref="S75:S106" si="42">ROUND((60+($R75-60)*0.8)/15,0)*15</f>
        <v>105</v>
      </c>
      <c r="T75" s="32" t="str">
        <f>IF($A75="","",IF($C75=0,"Bullpen",IF(OR($C75=7,$C75=1,$C75=5),"Recovery/Easy Catch",IF($C75=6,"Compression/Pulldowns",IF(OR($C75=4,$C75=2),"Long Toss",IF($C75=3,"No Throw",IF($N75=2,"No Throw",IF($N75=6,IF($O75&lt;Reference!$B$104,"No Throw","Recovery/Easy Catch"),IF(OR($N75=0,$N75=4),"Recovery/Easy Catch",IF($N75=1,IF($R75&gt;75,"Long Toss","Recovery/Easy Catch"),IF($N75=3,IF($O75&lt;0.5,IF($S75&gt;75,"Long Toss","Recovery/Easy Catch"),"Compression/Pulldowns"),IF($S75&gt;75,"Long Toss","Recovery/Easy Catch"))))))))))))</f>
        <v>Recovery/Easy Catch</v>
      </c>
      <c r="U75" s="32">
        <f t="shared" ref="U75:U106" si="43">IF($A75="","",IF(N($AO75)&gt;0,$AO75,IF($C75=0,90,IF(OR($C75=7,$C75=1),75,IF($C75=6,90,IF($C75=5,60,IF($C75=4,MIN(150,ROUND(0.75*$D$11/15,0)*15),IF($C75=2,MIN(120,ROUND(0.67*$D$11/15,0)*15),IF($C75=3,"",IF($N75=2,"",IF($N75=6,60,IF($N75=0,IF($O75&lt;0.25,60,75),IF($N75=4,IF($O75&lt;0.5,60,75),IF($N75=1,$R75,IF($N75=3,IF($O75&lt;0.5,$S75,90),$S75)))))))))))))))</f>
        <v>75</v>
      </c>
      <c r="V75" s="32">
        <f t="shared" ref="V75:V106" si="44">IF($A75="","",IF(N($AQ75)&gt;0,$D$5-$AQ75,IF(N($AP75)&gt;0,$D$5-$AP75,IF($C75=0,10,IF(OR($C75=7,$C75=1),18,IF($C75=6,7,IF($C75=5,20,IF(OR($C75=4,$C75=2),10,IF($C75=3,"",IF($N75=2,"",IF($N75=6,20,IF($N75=0,IF($O75&lt;0.25,20,18),IF($N75=4,IF($O75&lt;0.5,20,18),IF($N75=1,IF($O75&lt;0.25,18,IF($O75&lt;0.5,13,10)),IF($N75=3,IF($O75&lt;0.5,IF($O75&lt;0.25,18,13),7),IF($O75&lt;0.25,18,IF($O75&lt;0.5,12,10)))))))))))))))))</f>
        <v>18</v>
      </c>
      <c r="W75" s="32">
        <f t="shared" ref="W75:W106" si="45">IF($A75="","",IF(N($AP75)&gt;0,$D$5-$AP75,IF(N($AQ75)&gt;0,$D$5-$AQ75,IF($C75=0,12,IF(OR($C75=7,$C75=1),22,IF($C75=6,9,IF($C75=5,24,IF(OR($C75=4,$C75=2),13,IF($C75=3,"",IF($N75=2,"",IF($N75=6,24,IF($N75=0,IF($O75&lt;0.25,24,22),IF($N75=4,IF($O75&lt;0.5,24,22),IF($N75=1,IF($O75&lt;0.25,22,IF($O75&lt;0.5,16,12)),IF($N75=3,IF($O75&lt;0.5,IF($O75&lt;0.25,22,16),9),IF($O75&lt;0.25,22,IF($O75&lt;0.5,15,13)))))))))))))))))</f>
        <v>22</v>
      </c>
      <c r="X75" s="32">
        <f t="shared" ref="X75:X106" si="46">IF($A75="",0,IF($C75=6,ROUND(25*$G$10,0),IF(OR($C75=4,$C75=2),ROUND(15*$G$10,0),IF($C75&lt;=7,0,IF($N75=1,IF($O75&lt;0.2,0,IF($O75&lt;0.5,10,15)),IF($N75=3,IF($O75&lt;0.5,IF($O75&lt;0.2,0,10),IF($O75&lt;0.62,15,IF($O75&lt;0.8,20,25))),IF($N75=5,IF($O75&lt;0.2,0,IF($O75&lt;0.62,12,IF($O75&lt;0.8,20,25))),0)))))))</f>
        <v>0</v>
      </c>
      <c r="Y75" s="32" t="str">
        <f t="shared" ref="Y75:Y106" si="47">IF($X75=0,"",IF($C75=6,$D$5-$E$9,IF(OR($C75=4,$C75=2),8,IF($N75=1,IF($O75&lt;0.5,14,10),IF($N75=3,IF($O75&lt;0.5,14,IF($O75&lt;0.62,10,7)),IF($N75=5,IF($O75&lt;0.5,14,IF($O75&lt;0.62,12,7)),""))))))</f>
        <v/>
      </c>
      <c r="Z75" s="32" t="str">
        <f t="shared" ref="Z75:Z106" si="48">IF($X75=0,"",IF($C75=6,$D$5-$D$9,IF(OR($C75=4,$C75=2),10,IF($N75=1,IF($O75&lt;0.5,18,12),IF($N75=3,IF($O75&lt;0.5,18,IF($O75&lt;0.62,12,9)),IF($N75=5,IF($O75&lt;0.5,18,IF($O75&lt;0.62,15,9)),""))))))</f>
        <v/>
      </c>
      <c r="AA75" s="32" t="str">
        <f t="shared" ref="AA75:AA106" si="49">IF($A75="","",IF($C75=0,25,IF(OR($C75=7,$C75=1,$C75=5),30,IF($C75=6,25,IF(OR($C75=4,$C75=2),IF($AM75=0,30,30*$AN75/$AM75),"")))))</f>
        <v/>
      </c>
      <c r="AB75" s="32">
        <f>IF($A75="","",IF($T75="No Throw",0,IF($K75&lt;&gt;"",$K75,IF($AA75&lt;&gt;"",ROUND($AA75*$D$12*IF($C75=0,1,$G$10),0),MIN(IF($T75="Recovery/Easy Catch",Reference!$B$103,IF($T75="Long Toss",Reference!$B$106,Reference!$B$102)),MAX(Reference!$B$101,ROUND(MAX(0,$Q75-$AE75)/$AF75,0)))))))</f>
        <v>20</v>
      </c>
      <c r="AC75" s="32">
        <f t="shared" ref="AC75:AC106" si="50">IF($A75="",0,IF($C75=0,$D$8,0))</f>
        <v>0</v>
      </c>
      <c r="AD75" s="32" t="b">
        <f t="shared" ref="AD75:AD106" si="51">IF($A75="",TRUE(),OR($J75="x",$T75="No Throw"))</f>
        <v>0</v>
      </c>
      <c r="AE75" s="32">
        <f>IF($X75=0,0,$X75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75+$Z75)/2,0),Reference!$A$17:$B$20,2,TRUE()))</f>
        <v>0</v>
      </c>
      <c r="AF75" s="32">
        <f>IF(OR($A75="",$U75="",$T75="No Throw"),0,$AM75*VLOOKUP(MAX(($V75+$W75)/2,0),Reference!$A$17:$B$20,2,TRUE()))</f>
        <v>0.69</v>
      </c>
      <c r="AG75" s="32">
        <f>IF($AC75=0,0,$AC75*INDEX(Reference!$B$61:$B$62,MATCH("Bullpen",Reference!$A$61:$A$62,0))*VLOOKUP(MAX($D$5-($D$9+$E$9)/2,0),Reference!$A$17:$B$20,2,TRUE()))</f>
        <v>0</v>
      </c>
      <c r="AH75" s="46">
        <f t="shared" ref="AH75:AH106" si="52">IF(OR($A75="",$L75&lt;27),NA(),$I75)</f>
        <v>1.2486354564908988</v>
      </c>
      <c r="AI75" s="32">
        <f>IF($A75="",NA(),Reference!$A$25)</f>
        <v>0.8</v>
      </c>
      <c r="AJ75" s="32">
        <f t="shared" ref="AJ75:AJ106" si="53">IF($A75="",NA(),1.3)</f>
        <v>1.3</v>
      </c>
      <c r="AK75" s="56">
        <f>IF(OR($A75="",N($C75)&lt;=7,$T75="No Throw",$J75="x"),0,INDEX(Reference!$B$108:$B$114,$N75+1))</f>
        <v>0.1</v>
      </c>
      <c r="AL75" s="32">
        <f t="shared" ref="AL75:AL106" si="54">IF($U75="",1,IF(AND($T75="Long Toss",N($U75)&gt;90),1+ROUNDUP(($U75-90)/30,0),1))</f>
        <v>1</v>
      </c>
      <c r="AM75" s="32">
        <f>IF($U75="",0,IF($AL75&gt;1,((IF(1&lt;=$AL75,($AL75-1+3)*(INDEX(Reference!$B$6:$B$11,MIN(5,MATCH(MAX(Reference!$A$6,MIN(Reference!$A$11,MIN($U75,90))),Reference!$A$6:$A$11,1)))+(MAX(Reference!$A$6,MIN(Reference!$A$11,MIN($U75,90)))-INDEX(Reference!$A$6:$A$11,MIN(5,MATCH(MAX(Reference!$A$6,MIN(Reference!$A$11,MIN($U75,90))),Reference!$A$6:$A$11,1))))*(INDEX(Reference!$B$6:$B$11,MIN(5,MATCH(MAX(Reference!$A$6,MIN(Reference!$A$11,MIN($U75,90))),Reference!$A$6:$A$11,1))+1)-INDEX(Reference!$B$6:$B$11,MIN(5,MATCH(MAX(Reference!$A$6,MIN(Reference!$A$11,MIN($U75,90))),Reference!$A$6:$A$11,1))))/(INDEX(Reference!$A$6:$A$11,MIN(5,MATCH(MAX(Reference!$A$6,MIN(Reference!$A$11,MIN($U75,90))),Reference!$A$6:$A$11,1))+1)-INDEX(Reference!$A$6:$A$11,MIN(5,MATCH(MAX(Reference!$A$6,MIN(Reference!$A$11,MIN($U75,90))),Reference!$A$6:$A$11,1))))),0)+IF(2&lt;=$AL75,($AL75-2+3)*(INDEX(Reference!$B$6:$B$11,MIN(5,MATCH(MAX(Reference!$A$6,MIN(Reference!$A$11,MIN($U75,120))),Reference!$A$6:$A$11,1)))+(MAX(Reference!$A$6,MIN(Reference!$A$11,MIN($U75,120)))-INDEX(Reference!$A$6:$A$11,MIN(5,MATCH(MAX(Reference!$A$6,MIN(Reference!$A$11,MIN($U75,120))),Reference!$A$6:$A$11,1))))*(INDEX(Reference!$B$6:$B$11,MIN(5,MATCH(MAX(Reference!$A$6,MIN(Reference!$A$11,MIN($U75,120))),Reference!$A$6:$A$11,1))+1)-INDEX(Reference!$B$6:$B$11,MIN(5,MATCH(MAX(Reference!$A$6,MIN(Reference!$A$11,MIN($U75,120))),Reference!$A$6:$A$11,1))))/(INDEX(Reference!$A$6:$A$11,MIN(5,MATCH(MAX(Reference!$A$6,MIN(Reference!$A$11,MIN($U75,120))),Reference!$A$6:$A$11,1))+1)-INDEX(Reference!$A$6:$A$11,MIN(5,MATCH(MAX(Reference!$A$6,MIN(Reference!$A$11,MIN($U75,120))),Reference!$A$6:$A$11,1))))),0)+IF(3&lt;=$AL75,($AL75-3+3)*(INDEX(Reference!$B$6:$B$11,MIN(5,MATCH(MAX(Reference!$A$6,MIN(Reference!$A$11,MIN($U75,150))),Reference!$A$6:$A$11,1)))+(MAX(Reference!$A$6,MIN(Reference!$A$11,MIN($U75,150)))-INDEX(Reference!$A$6:$A$11,MIN(5,MATCH(MAX(Reference!$A$6,MIN(Reference!$A$11,MIN($U75,150))),Reference!$A$6:$A$11,1))))*(INDEX(Reference!$B$6:$B$11,MIN(5,MATCH(MAX(Reference!$A$6,MIN(Reference!$A$11,MIN($U75,150))),Reference!$A$6:$A$11,1))+1)-INDEX(Reference!$B$6:$B$11,MIN(5,MATCH(MAX(Reference!$A$6,MIN(Reference!$A$11,MIN($U75,150))),Reference!$A$6:$A$11,1))))/(INDEX(Reference!$A$6:$A$11,MIN(5,MATCH(MAX(Reference!$A$6,MIN(Reference!$A$11,MIN($U75,150))),Reference!$A$6:$A$11,1))+1)-INDEX(Reference!$A$6:$A$11,MIN(5,MATCH(MAX(Reference!$A$6,MIN(Reference!$A$11,MIN($U75,150))),Reference!$A$6:$A$11,1))))),0)+IF(4&lt;=$AL75,($AL75-4+3)*(INDEX(Reference!$B$6:$B$11,MIN(5,MATCH(MAX(Reference!$A$6,MIN(Reference!$A$11,MIN($U75,180))),Reference!$A$6:$A$11,1)))+(MAX(Reference!$A$6,MIN(Reference!$A$11,MIN($U75,180)))-INDEX(Reference!$A$6:$A$11,MIN(5,MATCH(MAX(Reference!$A$6,MIN(Reference!$A$11,MIN($U75,180))),Reference!$A$6:$A$11,1))))*(INDEX(Reference!$B$6:$B$11,MIN(5,MATCH(MAX(Reference!$A$6,MIN(Reference!$A$11,MIN($U75,180))),Reference!$A$6:$A$11,1))+1)-INDEX(Reference!$B$6:$B$11,MIN(5,MATCH(MAX(Reference!$A$6,MIN(Reference!$A$11,MIN($U75,180))),Reference!$A$6:$A$11,1))))/(INDEX(Reference!$A$6:$A$11,MIN(5,MATCH(MAX(Reference!$A$6,MIN(Reference!$A$11,MIN($U75,180))),Reference!$A$6:$A$11,1))+1)-INDEX(Reference!$A$6:$A$11,MIN(5,MATCH(MAX(Reference!$A$6,MIN(Reference!$A$11,MIN($U75,180))),Reference!$A$6:$A$11,1))))),0)+IF(5&lt;=$AL75,($AL75-5+3)*(INDEX(Reference!$B$6:$B$11,MIN(5,MATCH(MAX(Reference!$A$6,MIN(Reference!$A$11,MIN($U75,210))),Reference!$A$6:$A$11,1)))+(MAX(Reference!$A$6,MIN(Reference!$A$11,MIN($U75,210)))-INDEX(Reference!$A$6:$A$11,MIN(5,MATCH(MAX(Reference!$A$6,MIN(Reference!$A$11,MIN($U75,210))),Reference!$A$6:$A$11,1))))*(INDEX(Reference!$B$6:$B$11,MIN(5,MATCH(MAX(Reference!$A$6,MIN(Reference!$A$11,MIN($U75,210))),Reference!$A$6:$A$11,1))+1)-INDEX(Reference!$B$6:$B$11,MIN(5,MATCH(MAX(Reference!$A$6,MIN(Reference!$A$11,MIN($U75,210))),Reference!$A$6:$A$11,1))))/(INDEX(Reference!$A$6:$A$11,MIN(5,MATCH(MAX(Reference!$A$6,MIN(Reference!$A$11,MIN($U75,210))),Reference!$A$6:$A$11,1))+1)-INDEX(Reference!$A$6:$A$11,MIN(5,MATCH(MAX(Reference!$A$6,MIN(Reference!$A$11,MIN($U75,210))),Reference!$A$6:$A$11,1))))),0)+IF(6&lt;=$AL75,($AL75-6+3)*(INDEX(Reference!$B$6:$B$11,MIN(5,MATCH(MAX(Reference!$A$6,MIN(Reference!$A$11,MIN($U75,240))),Reference!$A$6:$A$11,1)))+(MAX(Reference!$A$6,MIN(Reference!$A$11,MIN($U75,240)))-INDEX(Reference!$A$6:$A$11,MIN(5,MATCH(MAX(Reference!$A$6,MIN(Reference!$A$11,MIN($U75,240))),Reference!$A$6:$A$11,1))))*(INDEX(Reference!$B$6:$B$11,MIN(5,MATCH(MAX(Reference!$A$6,MIN(Reference!$A$11,MIN($U75,240))),Reference!$A$6:$A$11,1))+1)-INDEX(Reference!$B$6:$B$11,MIN(5,MATCH(MAX(Reference!$A$6,MIN(Reference!$A$11,MIN($U75,240))),Reference!$A$6:$A$11,1))))/(INDEX(Reference!$A$6:$A$11,MIN(5,MATCH(MAX(Reference!$A$6,MIN(Reference!$A$11,MIN($U75,240))),Reference!$A$6:$A$11,1))+1)-INDEX(Reference!$A$6:$A$11,MIN(5,MATCH(MAX(Reference!$A$6,MIN(Reference!$A$11,MIN($U75,240))),Reference!$A$6:$A$11,1))))),0)+IF(7&lt;=$AL75,($AL75-7+3)*(INDEX(Reference!$B$6:$B$11,MIN(5,MATCH(MAX(Reference!$A$6,MIN(Reference!$A$11,MIN($U75,270))),Reference!$A$6:$A$11,1)))+(MAX(Reference!$A$6,MIN(Reference!$A$11,MIN($U75,270)))-INDEX(Reference!$A$6:$A$11,MIN(5,MATCH(MAX(Reference!$A$6,MIN(Reference!$A$11,MIN($U75,270))),Reference!$A$6:$A$11,1))))*(INDEX(Reference!$B$6:$B$11,MIN(5,MATCH(MAX(Reference!$A$6,MIN(Reference!$A$11,MIN($U75,270))),Reference!$A$6:$A$11,1))+1)-INDEX(Reference!$B$6:$B$11,MIN(5,MATCH(MAX(Reference!$A$6,MIN(Reference!$A$11,MIN($U75,270))),Reference!$A$6:$A$11,1))))/(INDEX(Reference!$A$6:$A$11,MIN(5,MATCH(MAX(Reference!$A$6,MIN(Reference!$A$11,MIN($U75,270))),Reference!$A$6:$A$11,1))+1)-INDEX(Reference!$A$6:$A$11,MIN(5,MATCH(MAX(Reference!$A$6,MIN(Reference!$A$11,MIN($U75,270))),Reference!$A$6:$A$11,1))))),0)+IF(8&lt;=$AL75,($AL75-8+3)*(INDEX(Reference!$B$6:$B$11,MIN(5,MATCH(MAX(Reference!$A$6,MIN(Reference!$A$11,MIN($U75,300))),Reference!$A$6:$A$11,1)))+(MAX(Reference!$A$6,MIN(Reference!$A$11,MIN($U75,300)))-INDEX(Reference!$A$6:$A$11,MIN(5,MATCH(MAX(Reference!$A$6,MIN(Reference!$A$11,MIN($U75,300))),Reference!$A$6:$A$11,1))))*(INDEX(Reference!$B$6:$B$11,MIN(5,MATCH(MAX(Reference!$A$6,MIN(Reference!$A$11,MIN($U75,300))),Reference!$A$6:$A$11,1))+1)-INDEX(Reference!$B$6:$B$11,MIN(5,MATCH(MAX(Reference!$A$6,MIN(Reference!$A$11,MIN($U75,300))),Reference!$A$6:$A$11,1))))/(INDEX(Reference!$A$6:$A$11,MIN(5,MATCH(MAX(Reference!$A$6,MIN(Reference!$A$11,MIN($U75,300))),Reference!$A$6:$A$11,1))+1)-INDEX(Reference!$A$6:$A$11,MIN(5,MATCH(MAX(Reference!$A$6,MIN(Reference!$A$11,MIN($U75,300))),Reference!$A$6:$A$11,1))))),0))/($AL75*($AL75+5)/2)),$AN75))</f>
        <v>1.1499999999999999</v>
      </c>
      <c r="AN75" s="32">
        <f>IF($U75="",0,(INDEX(Reference!$B$6:$B$11,MIN(5,MATCH(MAX(Reference!$A$6,MIN(Reference!$A$11,$U75)),Reference!$A$6:$A$11,1)))+(MAX(Reference!$A$6,MIN(Reference!$A$11,$U75))-INDEX(Reference!$A$6:$A$11,MIN(5,MATCH(MAX(Reference!$A$6,MIN(Reference!$A$11,$U75)),Reference!$A$6:$A$11,1))))*(INDEX(Reference!$B$6:$B$11,MIN(5,MATCH(MAX(Reference!$A$6,MIN(Reference!$A$11,$U75)),Reference!$A$6:$A$11,1))+1)-INDEX(Reference!$B$6:$B$11,MIN(5,MATCH(MAX(Reference!$A$6,MIN(Reference!$A$11,$U75)),Reference!$A$6:$A$11,1))))/(INDEX(Reference!$A$6:$A$11,MIN(5,MATCH(MAX(Reference!$A$6,MIN(Reference!$A$11,$U75)),Reference!$A$6:$A$11,1))+1)-INDEX(Reference!$A$6:$A$11,MIN(5,MATCH(MAX(Reference!$A$6,MIN(Reference!$A$11,$U75)),Reference!$A$6:$A$11,1))))))</f>
        <v>1.1499999999999999</v>
      </c>
      <c r="AO75" s="37"/>
      <c r="AP75" s="37"/>
      <c r="AQ75" s="37"/>
    </row>
    <row r="76" spans="1:43" ht="26.4" x14ac:dyDescent="0.3">
      <c r="A76" s="48">
        <f t="shared" si="30"/>
        <v>46375</v>
      </c>
      <c r="B76" s="32" t="str">
        <f t="shared" si="31"/>
        <v>Sat</v>
      </c>
      <c r="C76" s="32">
        <f t="shared" si="32"/>
        <v>12</v>
      </c>
      <c r="D76" s="32" t="str">
        <f t="shared" si="33"/>
        <v>Flat Ground / Intent</v>
      </c>
      <c r="E76" s="32" t="str">
        <f t="shared" si="34"/>
        <v>High Non-Bullpen</v>
      </c>
      <c r="F76" s="32" t="str">
        <f t="shared" si="35"/>
        <v>Long Toss</v>
      </c>
      <c r="G76" s="47" t="str">
        <f t="shared" si="36"/>
        <v>Long toss out to 105 ft — 20 throws (90×11 · 105×9) @ 75–78 mph + flat ground at 60 ft × 25 @ 79–81 mph</v>
      </c>
      <c r="H76" s="30">
        <f t="shared" si="37"/>
        <v>41.628571428571426</v>
      </c>
      <c r="I76" s="46">
        <f>IF($A76="","",IF(AND($L76&lt;27,$K$12=0),"Building",IFERROR(((SUM($H$70:$H76)+$K$12*IF($L76&lt;6,SUMIFS('Throw Log'!$Q$5:$Q$300,'Throw Log'!$B$5:$B$300,$D$4,'Throw Log'!$A$5:$A$300,"&gt;="&amp;($D$6+$L76-6),'Throw Log'!$A$5:$A$300,"&lt;="&amp;($D$6-1)),0))/7)/((SUM($H$49:$H76)+$K$12*IF($L76&lt;27,SUMIFS('Throw Log'!$Q$5:$Q$300,'Throw Log'!$B$5:$B$300,$D$4,'Throw Log'!$A$5:$A$300,"&gt;="&amp;($D$6+$L76-27),'Throw Log'!$A$5:$A$300,"&lt;="&amp;($D$6-1)),0))/28),"")))</f>
        <v>1.2379994176643727</v>
      </c>
      <c r="J76" s="37"/>
      <c r="K76" s="37"/>
      <c r="L76" s="32">
        <v>33</v>
      </c>
      <c r="M76" s="32">
        <f t="shared" si="38"/>
        <v>5</v>
      </c>
      <c r="N76" s="32">
        <f t="shared" si="39"/>
        <v>5</v>
      </c>
      <c r="O76" s="32">
        <f t="shared" si="40"/>
        <v>0.89189189189189189</v>
      </c>
      <c r="P76" s="32">
        <f>IF(OR($A76="",N($C76)&lt;=7),"",$G$6*$G$9^($M76-1)*IF(AND(MOD($M76,Reference!$B$99)=0,$M76&lt;=$G$5-2),Reference!$B$100,1))</f>
        <v>139.92049999999995</v>
      </c>
      <c r="Q76" s="32">
        <f>IF($P76="","",IF(SUM($AK$71:$AK$77)=0,0,$P76*INDEX(Reference!$B$108:$B$114,$N76+1)/SUM($AK$71:$AK$77)))</f>
        <v>35.307042056074756</v>
      </c>
      <c r="R76" s="32">
        <f t="shared" si="41"/>
        <v>120</v>
      </c>
      <c r="S76" s="32">
        <f t="shared" si="42"/>
        <v>105</v>
      </c>
      <c r="T76" s="32" t="str">
        <f>IF($A76="","",IF($C76=0,"Bullpen",IF(OR($C76=7,$C76=1,$C76=5),"Recovery/Easy Catch",IF($C76=6,"Compression/Pulldowns",IF(OR($C76=4,$C76=2),"Long Toss",IF($C76=3,"No Throw",IF($N76=2,"No Throw",IF($N76=6,IF($O76&lt;Reference!$B$104,"No Throw","Recovery/Easy Catch"),IF(OR($N76=0,$N76=4),"Recovery/Easy Catch",IF($N76=1,IF($R76&gt;75,"Long Toss","Recovery/Easy Catch"),IF($N76=3,IF($O76&lt;0.5,IF($S76&gt;75,"Long Toss","Recovery/Easy Catch"),"Compression/Pulldowns"),IF($S76&gt;75,"Long Toss","Recovery/Easy Catch"))))))))))))</f>
        <v>Long Toss</v>
      </c>
      <c r="U76" s="32">
        <f t="shared" si="43"/>
        <v>105</v>
      </c>
      <c r="V76" s="32">
        <f t="shared" si="44"/>
        <v>10</v>
      </c>
      <c r="W76" s="32">
        <f t="shared" si="45"/>
        <v>13</v>
      </c>
      <c r="X76" s="32">
        <f t="shared" si="46"/>
        <v>25</v>
      </c>
      <c r="Y76" s="32">
        <f t="shared" si="47"/>
        <v>7</v>
      </c>
      <c r="Z76" s="32">
        <f t="shared" si="48"/>
        <v>9</v>
      </c>
      <c r="AA76" s="32" t="str">
        <f t="shared" si="49"/>
        <v/>
      </c>
      <c r="AB76" s="32">
        <f>IF($A76="","",IF($T76="No Throw",0,IF($K76&lt;&gt;"",$K76,IF($AA76&lt;&gt;"",ROUND($AA76*$D$12*IF($C76=0,1,$G$10),0),MIN(IF($T76="Recovery/Easy Catch",Reference!$B$103,IF($T76="Long Toss",Reference!$B$106,Reference!$B$102)),MAX(Reference!$B$101,ROUND(MAX(0,$Q76-$AE76)/$AF76,0)))))))</f>
        <v>20</v>
      </c>
      <c r="AC76" s="32">
        <f t="shared" si="50"/>
        <v>0</v>
      </c>
      <c r="AD76" s="32" t="b">
        <f t="shared" si="51"/>
        <v>0</v>
      </c>
      <c r="AE76" s="32">
        <f>IF($X76=0,0,$X76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76+$Z76)/2,0),Reference!$A$17:$B$20,2,TRUE()))</f>
        <v>25</v>
      </c>
      <c r="AF76" s="32">
        <f>IF(OR($A76="",$U76="",$T76="No Throw"),0,$AM76*VLOOKUP(MAX(($V76+$W76)/2,0),Reference!$A$17:$B$20,2,TRUE()))</f>
        <v>0.83142857142857141</v>
      </c>
      <c r="AG76" s="32">
        <f>IF($AC76=0,0,$AC76*INDEX(Reference!$B$61:$B$62,MATCH("Bullpen",Reference!$A$61:$A$62,0))*VLOOKUP(MAX($D$5-($D$9+$E$9)/2,0),Reference!$A$17:$B$20,2,TRUE()))</f>
        <v>0</v>
      </c>
      <c r="AH76" s="46">
        <f t="shared" si="52"/>
        <v>1.2379994176643727</v>
      </c>
      <c r="AI76" s="32">
        <f>IF($A76="",NA(),Reference!$A$25)</f>
        <v>0.8</v>
      </c>
      <c r="AJ76" s="32">
        <f t="shared" si="53"/>
        <v>1.3</v>
      </c>
      <c r="AK76" s="56">
        <f>IF(OR($A76="",N($C76)&lt;=7,$T76="No Throw",$J76="x"),0,INDEX(Reference!$B$108:$B$114,$N76+1))</f>
        <v>0.27</v>
      </c>
      <c r="AL76" s="32">
        <f t="shared" si="54"/>
        <v>2</v>
      </c>
      <c r="AM76" s="32">
        <f>IF($U76="",0,IF($AL76&gt;1,((IF(1&lt;=$AL76,($AL76-1+3)*(INDEX(Reference!$B$6:$B$11,MIN(5,MATCH(MAX(Reference!$A$6,MIN(Reference!$A$11,MIN($U76,90))),Reference!$A$6:$A$11,1)))+(MAX(Reference!$A$6,MIN(Reference!$A$11,MIN($U76,90)))-INDEX(Reference!$A$6:$A$11,MIN(5,MATCH(MAX(Reference!$A$6,MIN(Reference!$A$11,MIN($U76,90))),Reference!$A$6:$A$11,1))))*(INDEX(Reference!$B$6:$B$11,MIN(5,MATCH(MAX(Reference!$A$6,MIN(Reference!$A$11,MIN($U76,90))),Reference!$A$6:$A$11,1))+1)-INDEX(Reference!$B$6:$B$11,MIN(5,MATCH(MAX(Reference!$A$6,MIN(Reference!$A$11,MIN($U76,90))),Reference!$A$6:$A$11,1))))/(INDEX(Reference!$A$6:$A$11,MIN(5,MATCH(MAX(Reference!$A$6,MIN(Reference!$A$11,MIN($U76,90))),Reference!$A$6:$A$11,1))+1)-INDEX(Reference!$A$6:$A$11,MIN(5,MATCH(MAX(Reference!$A$6,MIN(Reference!$A$11,MIN($U76,90))),Reference!$A$6:$A$11,1))))),0)+IF(2&lt;=$AL76,($AL76-2+3)*(INDEX(Reference!$B$6:$B$11,MIN(5,MATCH(MAX(Reference!$A$6,MIN(Reference!$A$11,MIN($U76,120))),Reference!$A$6:$A$11,1)))+(MAX(Reference!$A$6,MIN(Reference!$A$11,MIN($U76,120)))-INDEX(Reference!$A$6:$A$11,MIN(5,MATCH(MAX(Reference!$A$6,MIN(Reference!$A$11,MIN($U76,120))),Reference!$A$6:$A$11,1))))*(INDEX(Reference!$B$6:$B$11,MIN(5,MATCH(MAX(Reference!$A$6,MIN(Reference!$A$11,MIN($U76,120))),Reference!$A$6:$A$11,1))+1)-INDEX(Reference!$B$6:$B$11,MIN(5,MATCH(MAX(Reference!$A$6,MIN(Reference!$A$11,MIN($U76,120))),Reference!$A$6:$A$11,1))))/(INDEX(Reference!$A$6:$A$11,MIN(5,MATCH(MAX(Reference!$A$6,MIN(Reference!$A$11,MIN($U76,120))),Reference!$A$6:$A$11,1))+1)-INDEX(Reference!$A$6:$A$11,MIN(5,MATCH(MAX(Reference!$A$6,MIN(Reference!$A$11,MIN($U76,120))),Reference!$A$6:$A$11,1))))),0)+IF(3&lt;=$AL76,($AL76-3+3)*(INDEX(Reference!$B$6:$B$11,MIN(5,MATCH(MAX(Reference!$A$6,MIN(Reference!$A$11,MIN($U76,150))),Reference!$A$6:$A$11,1)))+(MAX(Reference!$A$6,MIN(Reference!$A$11,MIN($U76,150)))-INDEX(Reference!$A$6:$A$11,MIN(5,MATCH(MAX(Reference!$A$6,MIN(Reference!$A$11,MIN($U76,150))),Reference!$A$6:$A$11,1))))*(INDEX(Reference!$B$6:$B$11,MIN(5,MATCH(MAX(Reference!$A$6,MIN(Reference!$A$11,MIN($U76,150))),Reference!$A$6:$A$11,1))+1)-INDEX(Reference!$B$6:$B$11,MIN(5,MATCH(MAX(Reference!$A$6,MIN(Reference!$A$11,MIN($U76,150))),Reference!$A$6:$A$11,1))))/(INDEX(Reference!$A$6:$A$11,MIN(5,MATCH(MAX(Reference!$A$6,MIN(Reference!$A$11,MIN($U76,150))),Reference!$A$6:$A$11,1))+1)-INDEX(Reference!$A$6:$A$11,MIN(5,MATCH(MAX(Reference!$A$6,MIN(Reference!$A$11,MIN($U76,150))),Reference!$A$6:$A$11,1))))),0)+IF(4&lt;=$AL76,($AL76-4+3)*(INDEX(Reference!$B$6:$B$11,MIN(5,MATCH(MAX(Reference!$A$6,MIN(Reference!$A$11,MIN($U76,180))),Reference!$A$6:$A$11,1)))+(MAX(Reference!$A$6,MIN(Reference!$A$11,MIN($U76,180)))-INDEX(Reference!$A$6:$A$11,MIN(5,MATCH(MAX(Reference!$A$6,MIN(Reference!$A$11,MIN($U76,180))),Reference!$A$6:$A$11,1))))*(INDEX(Reference!$B$6:$B$11,MIN(5,MATCH(MAX(Reference!$A$6,MIN(Reference!$A$11,MIN($U76,180))),Reference!$A$6:$A$11,1))+1)-INDEX(Reference!$B$6:$B$11,MIN(5,MATCH(MAX(Reference!$A$6,MIN(Reference!$A$11,MIN($U76,180))),Reference!$A$6:$A$11,1))))/(INDEX(Reference!$A$6:$A$11,MIN(5,MATCH(MAX(Reference!$A$6,MIN(Reference!$A$11,MIN($U76,180))),Reference!$A$6:$A$11,1))+1)-INDEX(Reference!$A$6:$A$11,MIN(5,MATCH(MAX(Reference!$A$6,MIN(Reference!$A$11,MIN($U76,180))),Reference!$A$6:$A$11,1))))),0)+IF(5&lt;=$AL76,($AL76-5+3)*(INDEX(Reference!$B$6:$B$11,MIN(5,MATCH(MAX(Reference!$A$6,MIN(Reference!$A$11,MIN($U76,210))),Reference!$A$6:$A$11,1)))+(MAX(Reference!$A$6,MIN(Reference!$A$11,MIN($U76,210)))-INDEX(Reference!$A$6:$A$11,MIN(5,MATCH(MAX(Reference!$A$6,MIN(Reference!$A$11,MIN($U76,210))),Reference!$A$6:$A$11,1))))*(INDEX(Reference!$B$6:$B$11,MIN(5,MATCH(MAX(Reference!$A$6,MIN(Reference!$A$11,MIN($U76,210))),Reference!$A$6:$A$11,1))+1)-INDEX(Reference!$B$6:$B$11,MIN(5,MATCH(MAX(Reference!$A$6,MIN(Reference!$A$11,MIN($U76,210))),Reference!$A$6:$A$11,1))))/(INDEX(Reference!$A$6:$A$11,MIN(5,MATCH(MAX(Reference!$A$6,MIN(Reference!$A$11,MIN($U76,210))),Reference!$A$6:$A$11,1))+1)-INDEX(Reference!$A$6:$A$11,MIN(5,MATCH(MAX(Reference!$A$6,MIN(Reference!$A$11,MIN($U76,210))),Reference!$A$6:$A$11,1))))),0)+IF(6&lt;=$AL76,($AL76-6+3)*(INDEX(Reference!$B$6:$B$11,MIN(5,MATCH(MAX(Reference!$A$6,MIN(Reference!$A$11,MIN($U76,240))),Reference!$A$6:$A$11,1)))+(MAX(Reference!$A$6,MIN(Reference!$A$11,MIN($U76,240)))-INDEX(Reference!$A$6:$A$11,MIN(5,MATCH(MAX(Reference!$A$6,MIN(Reference!$A$11,MIN($U76,240))),Reference!$A$6:$A$11,1))))*(INDEX(Reference!$B$6:$B$11,MIN(5,MATCH(MAX(Reference!$A$6,MIN(Reference!$A$11,MIN($U76,240))),Reference!$A$6:$A$11,1))+1)-INDEX(Reference!$B$6:$B$11,MIN(5,MATCH(MAX(Reference!$A$6,MIN(Reference!$A$11,MIN($U76,240))),Reference!$A$6:$A$11,1))))/(INDEX(Reference!$A$6:$A$11,MIN(5,MATCH(MAX(Reference!$A$6,MIN(Reference!$A$11,MIN($U76,240))),Reference!$A$6:$A$11,1))+1)-INDEX(Reference!$A$6:$A$11,MIN(5,MATCH(MAX(Reference!$A$6,MIN(Reference!$A$11,MIN($U76,240))),Reference!$A$6:$A$11,1))))),0)+IF(7&lt;=$AL76,($AL76-7+3)*(INDEX(Reference!$B$6:$B$11,MIN(5,MATCH(MAX(Reference!$A$6,MIN(Reference!$A$11,MIN($U76,270))),Reference!$A$6:$A$11,1)))+(MAX(Reference!$A$6,MIN(Reference!$A$11,MIN($U76,270)))-INDEX(Reference!$A$6:$A$11,MIN(5,MATCH(MAX(Reference!$A$6,MIN(Reference!$A$11,MIN($U76,270))),Reference!$A$6:$A$11,1))))*(INDEX(Reference!$B$6:$B$11,MIN(5,MATCH(MAX(Reference!$A$6,MIN(Reference!$A$11,MIN($U76,270))),Reference!$A$6:$A$11,1))+1)-INDEX(Reference!$B$6:$B$11,MIN(5,MATCH(MAX(Reference!$A$6,MIN(Reference!$A$11,MIN($U76,270))),Reference!$A$6:$A$11,1))))/(INDEX(Reference!$A$6:$A$11,MIN(5,MATCH(MAX(Reference!$A$6,MIN(Reference!$A$11,MIN($U76,270))),Reference!$A$6:$A$11,1))+1)-INDEX(Reference!$A$6:$A$11,MIN(5,MATCH(MAX(Reference!$A$6,MIN(Reference!$A$11,MIN($U76,270))),Reference!$A$6:$A$11,1))))),0)+IF(8&lt;=$AL76,($AL76-8+3)*(INDEX(Reference!$B$6:$B$11,MIN(5,MATCH(MAX(Reference!$A$6,MIN(Reference!$A$11,MIN($U76,300))),Reference!$A$6:$A$11,1)))+(MAX(Reference!$A$6,MIN(Reference!$A$11,MIN($U76,300)))-INDEX(Reference!$A$6:$A$11,MIN(5,MATCH(MAX(Reference!$A$6,MIN(Reference!$A$11,MIN($U76,300))),Reference!$A$6:$A$11,1))))*(INDEX(Reference!$B$6:$B$11,MIN(5,MATCH(MAX(Reference!$A$6,MIN(Reference!$A$11,MIN($U76,300))),Reference!$A$6:$A$11,1))+1)-INDEX(Reference!$B$6:$B$11,MIN(5,MATCH(MAX(Reference!$A$6,MIN(Reference!$A$11,MIN($U76,300))),Reference!$A$6:$A$11,1))))/(INDEX(Reference!$A$6:$A$11,MIN(5,MATCH(MAX(Reference!$A$6,MIN(Reference!$A$11,MIN($U76,300))),Reference!$A$6:$A$11,1))+1)-INDEX(Reference!$A$6:$A$11,MIN(5,MATCH(MAX(Reference!$A$6,MIN(Reference!$A$11,MIN($U76,300))),Reference!$A$6:$A$11,1))))),0))/($AL76*($AL76+5)/2)),$AN76))</f>
        <v>1.3857142857142857</v>
      </c>
      <c r="AN76" s="32">
        <f>IF($U76="",0,(INDEX(Reference!$B$6:$B$11,MIN(5,MATCH(MAX(Reference!$A$6,MIN(Reference!$A$11,$U76)),Reference!$A$6:$A$11,1)))+(MAX(Reference!$A$6,MIN(Reference!$A$11,$U76))-INDEX(Reference!$A$6:$A$11,MIN(5,MATCH(MAX(Reference!$A$6,MIN(Reference!$A$11,$U76)),Reference!$A$6:$A$11,1))))*(INDEX(Reference!$B$6:$B$11,MIN(5,MATCH(MAX(Reference!$A$6,MIN(Reference!$A$11,$U76)),Reference!$A$6:$A$11,1))+1)-INDEX(Reference!$B$6:$B$11,MIN(5,MATCH(MAX(Reference!$A$6,MIN(Reference!$A$11,$U76)),Reference!$A$6:$A$11,1))))/(INDEX(Reference!$A$6:$A$11,MIN(5,MATCH(MAX(Reference!$A$6,MIN(Reference!$A$11,$U76)),Reference!$A$6:$A$11,1))+1)-INDEX(Reference!$A$6:$A$11,MIN(5,MATCH(MAX(Reference!$A$6,MIN(Reference!$A$11,$U76)),Reference!$A$6:$A$11,1))))))</f>
        <v>1.5</v>
      </c>
      <c r="AO76" s="37"/>
      <c r="AP76" s="37"/>
      <c r="AQ76" s="37"/>
    </row>
    <row r="77" spans="1:43" x14ac:dyDescent="0.3">
      <c r="A77" s="48">
        <f t="shared" si="30"/>
        <v>46376</v>
      </c>
      <c r="B77" s="32" t="str">
        <f t="shared" si="31"/>
        <v>Sun</v>
      </c>
      <c r="C77" s="32">
        <f t="shared" si="32"/>
        <v>11</v>
      </c>
      <c r="D77" s="32" t="str">
        <f t="shared" si="33"/>
        <v>Flat Ground / Intent</v>
      </c>
      <c r="E77" s="32" t="str">
        <f t="shared" si="34"/>
        <v>Low</v>
      </c>
      <c r="F77" s="32" t="str">
        <f t="shared" si="35"/>
        <v>Recovery/Easy Catch</v>
      </c>
      <c r="G77" s="47" t="str">
        <f t="shared" si="36"/>
        <v>60 ft × 20 @ 64–68 mph</v>
      </c>
      <c r="H77" s="30">
        <f t="shared" si="37"/>
        <v>12</v>
      </c>
      <c r="I77" s="46">
        <f>IF($A77="","",IF(AND($L77&lt;27,$K$12=0),"Building",IFERROR(((SUM($H$71:$H77)+$K$12*IF($L77&lt;6,SUMIFS('Throw Log'!$Q$5:$Q$300,'Throw Log'!$B$5:$B$300,$D$4,'Throw Log'!$A$5:$A$300,"&gt;="&amp;($D$6+$L77-6),'Throw Log'!$A$5:$A$300,"&lt;="&amp;($D$6-1)),0))/7)/((SUM($H$50:$H77)+$K$12*IF($L77&lt;27,SUMIFS('Throw Log'!$Q$5:$Q$300,'Throw Log'!$B$5:$B$300,$D$4,'Throw Log'!$A$5:$A$300,"&gt;="&amp;($D$6+$L77-27),'Throw Log'!$A$5:$A$300,"&lt;="&amp;($D$6-1)),0))/28),"")))</f>
        <v>1.303302474956302</v>
      </c>
      <c r="J77" s="37"/>
      <c r="K77" s="37"/>
      <c r="L77" s="32">
        <v>34</v>
      </c>
      <c r="M77" s="32">
        <f t="shared" si="38"/>
        <v>5</v>
      </c>
      <c r="N77" s="32">
        <f t="shared" si="39"/>
        <v>6</v>
      </c>
      <c r="O77" s="32">
        <f t="shared" si="40"/>
        <v>0.91891891891891897</v>
      </c>
      <c r="P77" s="32">
        <f>IF(OR($A77="",N($C77)&lt;=7),"",$G$6*$G$9^($M77-1)*IF(AND(MOD($M77,Reference!$B$99)=0,$M77&lt;=$G$5-2),Reference!$B$100,1))</f>
        <v>139.92049999999995</v>
      </c>
      <c r="Q77" s="32">
        <f>IF($P77="","",IF(SUM($AK$71:$AK$77)=0,0,$P77*INDEX(Reference!$B$108:$B$114,$N77+1)/SUM($AK$71:$AK$77)))</f>
        <v>9.1536775700934534</v>
      </c>
      <c r="R77" s="32">
        <f t="shared" si="41"/>
        <v>120</v>
      </c>
      <c r="S77" s="32">
        <f t="shared" si="42"/>
        <v>105</v>
      </c>
      <c r="T77" s="32" t="str">
        <f>IF($A77="","",IF($C77=0,"Bullpen",IF(OR($C77=7,$C77=1,$C77=5),"Recovery/Easy Catch",IF($C77=6,"Compression/Pulldowns",IF(OR($C77=4,$C77=2),"Long Toss",IF($C77=3,"No Throw",IF($N77=2,"No Throw",IF($N77=6,IF($O77&lt;Reference!$B$104,"No Throw","Recovery/Easy Catch"),IF(OR($N77=0,$N77=4),"Recovery/Easy Catch",IF($N77=1,IF($R77&gt;75,"Long Toss","Recovery/Easy Catch"),IF($N77=3,IF($O77&lt;0.5,IF($S77&gt;75,"Long Toss","Recovery/Easy Catch"),"Compression/Pulldowns"),IF($S77&gt;75,"Long Toss","Recovery/Easy Catch"))))))))))))</f>
        <v>Recovery/Easy Catch</v>
      </c>
      <c r="U77" s="32">
        <f t="shared" si="43"/>
        <v>60</v>
      </c>
      <c r="V77" s="32">
        <f t="shared" si="44"/>
        <v>20</v>
      </c>
      <c r="W77" s="32">
        <f t="shared" si="45"/>
        <v>24</v>
      </c>
      <c r="X77" s="32">
        <f t="shared" si="46"/>
        <v>0</v>
      </c>
      <c r="Y77" s="32" t="str">
        <f t="shared" si="47"/>
        <v/>
      </c>
      <c r="Z77" s="32" t="str">
        <f t="shared" si="48"/>
        <v/>
      </c>
      <c r="AA77" s="32" t="str">
        <f t="shared" si="49"/>
        <v/>
      </c>
      <c r="AB77" s="32">
        <f>IF($A77="","",IF($T77="No Throw",0,IF($K77&lt;&gt;"",$K77,IF($AA77&lt;&gt;"",ROUND($AA77*$D$12*IF($C77=0,1,$G$10),0),MIN(IF($T77="Recovery/Easy Catch",Reference!$B$103,IF($T77="Long Toss",Reference!$B$106,Reference!$B$102)),MAX(Reference!$B$101,ROUND(MAX(0,$Q77-$AE77)/$AF77,0)))))))</f>
        <v>20</v>
      </c>
      <c r="AC77" s="32">
        <f t="shared" si="50"/>
        <v>0</v>
      </c>
      <c r="AD77" s="32" t="b">
        <f t="shared" si="51"/>
        <v>0</v>
      </c>
      <c r="AE77" s="32">
        <f>IF($X77=0,0,$X77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77+$Z77)/2,0),Reference!$A$17:$B$20,2,TRUE()))</f>
        <v>0</v>
      </c>
      <c r="AF77" s="32">
        <f>IF(OR($A77="",$U77="",$T77="No Throw"),0,$AM77*VLOOKUP(MAX(($V77+$W77)/2,0),Reference!$A$17:$B$20,2,TRUE()))</f>
        <v>0.6</v>
      </c>
      <c r="AG77" s="32">
        <f>IF($AC77=0,0,$AC77*INDEX(Reference!$B$61:$B$62,MATCH("Bullpen",Reference!$A$61:$A$62,0))*VLOOKUP(MAX($D$5-($D$9+$E$9)/2,0),Reference!$A$17:$B$20,2,TRUE()))</f>
        <v>0</v>
      </c>
      <c r="AH77" s="46">
        <f t="shared" si="52"/>
        <v>1.303302474956302</v>
      </c>
      <c r="AI77" s="32">
        <f>IF($A77="",NA(),Reference!$A$25)</f>
        <v>0.8</v>
      </c>
      <c r="AJ77" s="32">
        <f t="shared" si="53"/>
        <v>1.3</v>
      </c>
      <c r="AK77" s="56">
        <f>IF(OR($A77="",N($C77)&lt;=7,$T77="No Throw",$J77="x"),0,INDEX(Reference!$B$108:$B$114,$N77+1))</f>
        <v>7.0000000000000007E-2</v>
      </c>
      <c r="AL77" s="32">
        <f t="shared" si="54"/>
        <v>1</v>
      </c>
      <c r="AM77" s="32">
        <f>IF($U77="",0,IF($AL77&gt;1,((IF(1&lt;=$AL77,($AL77-1+3)*(INDEX(Reference!$B$6:$B$11,MIN(5,MATCH(MAX(Reference!$A$6,MIN(Reference!$A$11,MIN($U77,90))),Reference!$A$6:$A$11,1)))+(MAX(Reference!$A$6,MIN(Reference!$A$11,MIN($U77,90)))-INDEX(Reference!$A$6:$A$11,MIN(5,MATCH(MAX(Reference!$A$6,MIN(Reference!$A$11,MIN($U77,90))),Reference!$A$6:$A$11,1))))*(INDEX(Reference!$B$6:$B$11,MIN(5,MATCH(MAX(Reference!$A$6,MIN(Reference!$A$11,MIN($U77,90))),Reference!$A$6:$A$11,1))+1)-INDEX(Reference!$B$6:$B$11,MIN(5,MATCH(MAX(Reference!$A$6,MIN(Reference!$A$11,MIN($U77,90))),Reference!$A$6:$A$11,1))))/(INDEX(Reference!$A$6:$A$11,MIN(5,MATCH(MAX(Reference!$A$6,MIN(Reference!$A$11,MIN($U77,90))),Reference!$A$6:$A$11,1))+1)-INDEX(Reference!$A$6:$A$11,MIN(5,MATCH(MAX(Reference!$A$6,MIN(Reference!$A$11,MIN($U77,90))),Reference!$A$6:$A$11,1))))),0)+IF(2&lt;=$AL77,($AL77-2+3)*(INDEX(Reference!$B$6:$B$11,MIN(5,MATCH(MAX(Reference!$A$6,MIN(Reference!$A$11,MIN($U77,120))),Reference!$A$6:$A$11,1)))+(MAX(Reference!$A$6,MIN(Reference!$A$11,MIN($U77,120)))-INDEX(Reference!$A$6:$A$11,MIN(5,MATCH(MAX(Reference!$A$6,MIN(Reference!$A$11,MIN($U77,120))),Reference!$A$6:$A$11,1))))*(INDEX(Reference!$B$6:$B$11,MIN(5,MATCH(MAX(Reference!$A$6,MIN(Reference!$A$11,MIN($U77,120))),Reference!$A$6:$A$11,1))+1)-INDEX(Reference!$B$6:$B$11,MIN(5,MATCH(MAX(Reference!$A$6,MIN(Reference!$A$11,MIN($U77,120))),Reference!$A$6:$A$11,1))))/(INDEX(Reference!$A$6:$A$11,MIN(5,MATCH(MAX(Reference!$A$6,MIN(Reference!$A$11,MIN($U77,120))),Reference!$A$6:$A$11,1))+1)-INDEX(Reference!$A$6:$A$11,MIN(5,MATCH(MAX(Reference!$A$6,MIN(Reference!$A$11,MIN($U77,120))),Reference!$A$6:$A$11,1))))),0)+IF(3&lt;=$AL77,($AL77-3+3)*(INDEX(Reference!$B$6:$B$11,MIN(5,MATCH(MAX(Reference!$A$6,MIN(Reference!$A$11,MIN($U77,150))),Reference!$A$6:$A$11,1)))+(MAX(Reference!$A$6,MIN(Reference!$A$11,MIN($U77,150)))-INDEX(Reference!$A$6:$A$11,MIN(5,MATCH(MAX(Reference!$A$6,MIN(Reference!$A$11,MIN($U77,150))),Reference!$A$6:$A$11,1))))*(INDEX(Reference!$B$6:$B$11,MIN(5,MATCH(MAX(Reference!$A$6,MIN(Reference!$A$11,MIN($U77,150))),Reference!$A$6:$A$11,1))+1)-INDEX(Reference!$B$6:$B$11,MIN(5,MATCH(MAX(Reference!$A$6,MIN(Reference!$A$11,MIN($U77,150))),Reference!$A$6:$A$11,1))))/(INDEX(Reference!$A$6:$A$11,MIN(5,MATCH(MAX(Reference!$A$6,MIN(Reference!$A$11,MIN($U77,150))),Reference!$A$6:$A$11,1))+1)-INDEX(Reference!$A$6:$A$11,MIN(5,MATCH(MAX(Reference!$A$6,MIN(Reference!$A$11,MIN($U77,150))),Reference!$A$6:$A$11,1))))),0)+IF(4&lt;=$AL77,($AL77-4+3)*(INDEX(Reference!$B$6:$B$11,MIN(5,MATCH(MAX(Reference!$A$6,MIN(Reference!$A$11,MIN($U77,180))),Reference!$A$6:$A$11,1)))+(MAX(Reference!$A$6,MIN(Reference!$A$11,MIN($U77,180)))-INDEX(Reference!$A$6:$A$11,MIN(5,MATCH(MAX(Reference!$A$6,MIN(Reference!$A$11,MIN($U77,180))),Reference!$A$6:$A$11,1))))*(INDEX(Reference!$B$6:$B$11,MIN(5,MATCH(MAX(Reference!$A$6,MIN(Reference!$A$11,MIN($U77,180))),Reference!$A$6:$A$11,1))+1)-INDEX(Reference!$B$6:$B$11,MIN(5,MATCH(MAX(Reference!$A$6,MIN(Reference!$A$11,MIN($U77,180))),Reference!$A$6:$A$11,1))))/(INDEX(Reference!$A$6:$A$11,MIN(5,MATCH(MAX(Reference!$A$6,MIN(Reference!$A$11,MIN($U77,180))),Reference!$A$6:$A$11,1))+1)-INDEX(Reference!$A$6:$A$11,MIN(5,MATCH(MAX(Reference!$A$6,MIN(Reference!$A$11,MIN($U77,180))),Reference!$A$6:$A$11,1))))),0)+IF(5&lt;=$AL77,($AL77-5+3)*(INDEX(Reference!$B$6:$B$11,MIN(5,MATCH(MAX(Reference!$A$6,MIN(Reference!$A$11,MIN($U77,210))),Reference!$A$6:$A$11,1)))+(MAX(Reference!$A$6,MIN(Reference!$A$11,MIN($U77,210)))-INDEX(Reference!$A$6:$A$11,MIN(5,MATCH(MAX(Reference!$A$6,MIN(Reference!$A$11,MIN($U77,210))),Reference!$A$6:$A$11,1))))*(INDEX(Reference!$B$6:$B$11,MIN(5,MATCH(MAX(Reference!$A$6,MIN(Reference!$A$11,MIN($U77,210))),Reference!$A$6:$A$11,1))+1)-INDEX(Reference!$B$6:$B$11,MIN(5,MATCH(MAX(Reference!$A$6,MIN(Reference!$A$11,MIN($U77,210))),Reference!$A$6:$A$11,1))))/(INDEX(Reference!$A$6:$A$11,MIN(5,MATCH(MAX(Reference!$A$6,MIN(Reference!$A$11,MIN($U77,210))),Reference!$A$6:$A$11,1))+1)-INDEX(Reference!$A$6:$A$11,MIN(5,MATCH(MAX(Reference!$A$6,MIN(Reference!$A$11,MIN($U77,210))),Reference!$A$6:$A$11,1))))),0)+IF(6&lt;=$AL77,($AL77-6+3)*(INDEX(Reference!$B$6:$B$11,MIN(5,MATCH(MAX(Reference!$A$6,MIN(Reference!$A$11,MIN($U77,240))),Reference!$A$6:$A$11,1)))+(MAX(Reference!$A$6,MIN(Reference!$A$11,MIN($U77,240)))-INDEX(Reference!$A$6:$A$11,MIN(5,MATCH(MAX(Reference!$A$6,MIN(Reference!$A$11,MIN($U77,240))),Reference!$A$6:$A$11,1))))*(INDEX(Reference!$B$6:$B$11,MIN(5,MATCH(MAX(Reference!$A$6,MIN(Reference!$A$11,MIN($U77,240))),Reference!$A$6:$A$11,1))+1)-INDEX(Reference!$B$6:$B$11,MIN(5,MATCH(MAX(Reference!$A$6,MIN(Reference!$A$11,MIN($U77,240))),Reference!$A$6:$A$11,1))))/(INDEX(Reference!$A$6:$A$11,MIN(5,MATCH(MAX(Reference!$A$6,MIN(Reference!$A$11,MIN($U77,240))),Reference!$A$6:$A$11,1))+1)-INDEX(Reference!$A$6:$A$11,MIN(5,MATCH(MAX(Reference!$A$6,MIN(Reference!$A$11,MIN($U77,240))),Reference!$A$6:$A$11,1))))),0)+IF(7&lt;=$AL77,($AL77-7+3)*(INDEX(Reference!$B$6:$B$11,MIN(5,MATCH(MAX(Reference!$A$6,MIN(Reference!$A$11,MIN($U77,270))),Reference!$A$6:$A$11,1)))+(MAX(Reference!$A$6,MIN(Reference!$A$11,MIN($U77,270)))-INDEX(Reference!$A$6:$A$11,MIN(5,MATCH(MAX(Reference!$A$6,MIN(Reference!$A$11,MIN($U77,270))),Reference!$A$6:$A$11,1))))*(INDEX(Reference!$B$6:$B$11,MIN(5,MATCH(MAX(Reference!$A$6,MIN(Reference!$A$11,MIN($U77,270))),Reference!$A$6:$A$11,1))+1)-INDEX(Reference!$B$6:$B$11,MIN(5,MATCH(MAX(Reference!$A$6,MIN(Reference!$A$11,MIN($U77,270))),Reference!$A$6:$A$11,1))))/(INDEX(Reference!$A$6:$A$11,MIN(5,MATCH(MAX(Reference!$A$6,MIN(Reference!$A$11,MIN($U77,270))),Reference!$A$6:$A$11,1))+1)-INDEX(Reference!$A$6:$A$11,MIN(5,MATCH(MAX(Reference!$A$6,MIN(Reference!$A$11,MIN($U77,270))),Reference!$A$6:$A$11,1))))),0)+IF(8&lt;=$AL77,($AL77-8+3)*(INDEX(Reference!$B$6:$B$11,MIN(5,MATCH(MAX(Reference!$A$6,MIN(Reference!$A$11,MIN($U77,300))),Reference!$A$6:$A$11,1)))+(MAX(Reference!$A$6,MIN(Reference!$A$11,MIN($U77,300)))-INDEX(Reference!$A$6:$A$11,MIN(5,MATCH(MAX(Reference!$A$6,MIN(Reference!$A$11,MIN($U77,300))),Reference!$A$6:$A$11,1))))*(INDEX(Reference!$B$6:$B$11,MIN(5,MATCH(MAX(Reference!$A$6,MIN(Reference!$A$11,MIN($U77,300))),Reference!$A$6:$A$11,1))+1)-INDEX(Reference!$B$6:$B$11,MIN(5,MATCH(MAX(Reference!$A$6,MIN(Reference!$A$11,MIN($U77,300))),Reference!$A$6:$A$11,1))))/(INDEX(Reference!$A$6:$A$11,MIN(5,MATCH(MAX(Reference!$A$6,MIN(Reference!$A$11,MIN($U77,300))),Reference!$A$6:$A$11,1))+1)-INDEX(Reference!$A$6:$A$11,MIN(5,MATCH(MAX(Reference!$A$6,MIN(Reference!$A$11,MIN($U77,300))),Reference!$A$6:$A$11,1))))),0))/($AL77*($AL77+5)/2)),$AN77))</f>
        <v>1</v>
      </c>
      <c r="AN77" s="32">
        <f>IF($U77="",0,(INDEX(Reference!$B$6:$B$11,MIN(5,MATCH(MAX(Reference!$A$6,MIN(Reference!$A$11,$U77)),Reference!$A$6:$A$11,1)))+(MAX(Reference!$A$6,MIN(Reference!$A$11,$U77))-INDEX(Reference!$A$6:$A$11,MIN(5,MATCH(MAX(Reference!$A$6,MIN(Reference!$A$11,$U77)),Reference!$A$6:$A$11,1))))*(INDEX(Reference!$B$6:$B$11,MIN(5,MATCH(MAX(Reference!$A$6,MIN(Reference!$A$11,$U77)),Reference!$A$6:$A$11,1))+1)-INDEX(Reference!$B$6:$B$11,MIN(5,MATCH(MAX(Reference!$A$6,MIN(Reference!$A$11,$U77)),Reference!$A$6:$A$11,1))))/(INDEX(Reference!$A$6:$A$11,MIN(5,MATCH(MAX(Reference!$A$6,MIN(Reference!$A$11,$U77)),Reference!$A$6:$A$11,1))+1)-INDEX(Reference!$A$6:$A$11,MIN(5,MATCH(MAX(Reference!$A$6,MIN(Reference!$A$11,$U77)),Reference!$A$6:$A$11,1))))))</f>
        <v>1</v>
      </c>
      <c r="AO77" s="37"/>
      <c r="AP77" s="37"/>
      <c r="AQ77" s="37"/>
    </row>
    <row r="78" spans="1:43" x14ac:dyDescent="0.3">
      <c r="A78" s="48">
        <f t="shared" si="30"/>
        <v>46377</v>
      </c>
      <c r="B78" s="32" t="str">
        <f t="shared" si="31"/>
        <v>Mon</v>
      </c>
      <c r="C78" s="32">
        <f t="shared" si="32"/>
        <v>10</v>
      </c>
      <c r="D78" s="32" t="str">
        <f t="shared" si="33"/>
        <v>Flat Ground / Intent</v>
      </c>
      <c r="E78" s="32" t="str">
        <f t="shared" si="34"/>
        <v>Low</v>
      </c>
      <c r="F78" s="32" t="str">
        <f t="shared" si="35"/>
        <v>Recovery/Easy Catch</v>
      </c>
      <c r="G78" s="47" t="str">
        <f t="shared" si="36"/>
        <v>75 ft × 35 @ 66–70 mph</v>
      </c>
      <c r="H78" s="30">
        <f t="shared" si="37"/>
        <v>24.15</v>
      </c>
      <c r="I78" s="46">
        <f>IF($A78="","",IF(AND($L78&lt;27,$K$12=0),"Building",IFERROR(((SUM($H$72:$H78)+$K$12*IF($L78&lt;6,SUMIFS('Throw Log'!$Q$5:$Q$300,'Throw Log'!$B$5:$B$300,$D$4,'Throw Log'!$A$5:$A$300,"&gt;="&amp;($D$6+$L78-6),'Throw Log'!$A$5:$A$300,"&lt;="&amp;($D$6-1)),0))/7)/((SUM($H$51:$H78)+$K$12*IF($L78&lt;27,SUMIFS('Throw Log'!$Q$5:$Q$300,'Throw Log'!$B$5:$B$300,$D$4,'Throw Log'!$A$5:$A$300,"&gt;="&amp;($D$6+$L78-27),'Throw Log'!$A$5:$A$300,"&lt;="&amp;($D$6-1)),0))/28),"")))</f>
        <v>1.3365623556835926</v>
      </c>
      <c r="J78" s="37"/>
      <c r="K78" s="37"/>
      <c r="L78" s="32">
        <v>35</v>
      </c>
      <c r="M78" s="32">
        <f t="shared" si="38"/>
        <v>6</v>
      </c>
      <c r="N78" s="32">
        <f t="shared" si="39"/>
        <v>0</v>
      </c>
      <c r="O78" s="32">
        <f t="shared" si="40"/>
        <v>0.94594594594594594</v>
      </c>
      <c r="P78" s="32">
        <f>IF(OR($A78="",N($C78)&lt;=7),"",$G$6*$G$9^($M78-1)*IF(AND(MOD($M78,Reference!$B$99)=0,$M78&lt;=$G$5-2),Reference!$B$100,1))</f>
        <v>160.90857499999996</v>
      </c>
      <c r="Q78" s="32">
        <f>IF($P78="","",IF(SUM($AK$78:$AK$84)=0,0,$P78*INDEX(Reference!$B$108:$B$114,$N78+1)/SUM($AK$78:$AK$84)))</f>
        <v>49.510330769230755</v>
      </c>
      <c r="R78" s="32">
        <f t="shared" si="41"/>
        <v>120</v>
      </c>
      <c r="S78" s="32">
        <f t="shared" si="42"/>
        <v>105</v>
      </c>
      <c r="T78" s="32" t="str">
        <f>IF($A78="","",IF($C78=0,"Bullpen",IF(OR($C78=7,$C78=1,$C78=5),"Recovery/Easy Catch",IF($C78=6,"Compression/Pulldowns",IF(OR($C78=4,$C78=2),"Long Toss",IF($C78=3,"No Throw",IF($N78=2,"No Throw",IF($N78=6,IF($O78&lt;Reference!$B$104,"No Throw","Recovery/Easy Catch"),IF(OR($N78=0,$N78=4),"Recovery/Easy Catch",IF($N78=1,IF($R78&gt;75,"Long Toss","Recovery/Easy Catch"),IF($N78=3,IF($O78&lt;0.5,IF($S78&gt;75,"Long Toss","Recovery/Easy Catch"),"Compression/Pulldowns"),IF($S78&gt;75,"Long Toss","Recovery/Easy Catch"))))))))))))</f>
        <v>Recovery/Easy Catch</v>
      </c>
      <c r="U78" s="32">
        <f t="shared" si="43"/>
        <v>75</v>
      </c>
      <c r="V78" s="32">
        <f t="shared" si="44"/>
        <v>18</v>
      </c>
      <c r="W78" s="32">
        <f t="shared" si="45"/>
        <v>22</v>
      </c>
      <c r="X78" s="32">
        <f t="shared" si="46"/>
        <v>0</v>
      </c>
      <c r="Y78" s="32" t="str">
        <f t="shared" si="47"/>
        <v/>
      </c>
      <c r="Z78" s="32" t="str">
        <f t="shared" si="48"/>
        <v/>
      </c>
      <c r="AA78" s="32" t="str">
        <f t="shared" si="49"/>
        <v/>
      </c>
      <c r="AB78" s="32">
        <f>IF($A78="","",IF($T78="No Throw",0,IF($K78&lt;&gt;"",$K78,IF($AA78&lt;&gt;"",ROUND($AA78*$D$12*IF($C78=0,1,$G$10),0),MIN(IF($T78="Recovery/Easy Catch",Reference!$B$103,IF($T78="Long Toss",Reference!$B$106,Reference!$B$102)),MAX(Reference!$B$101,ROUND(MAX(0,$Q78-$AE78)/$AF78,0)))))))</f>
        <v>35</v>
      </c>
      <c r="AC78" s="32">
        <f t="shared" si="50"/>
        <v>0</v>
      </c>
      <c r="AD78" s="32" t="b">
        <f t="shared" si="51"/>
        <v>0</v>
      </c>
      <c r="AE78" s="32">
        <f>IF($X78=0,0,$X78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78+$Z78)/2,0),Reference!$A$17:$B$20,2,TRUE()))</f>
        <v>0</v>
      </c>
      <c r="AF78" s="32">
        <f>IF(OR($A78="",$U78="",$T78="No Throw"),0,$AM78*VLOOKUP(MAX(($V78+$W78)/2,0),Reference!$A$17:$B$20,2,TRUE()))</f>
        <v>0.69</v>
      </c>
      <c r="AG78" s="32">
        <f>IF($AC78=0,0,$AC78*INDEX(Reference!$B$61:$B$62,MATCH("Bullpen",Reference!$A$61:$A$62,0))*VLOOKUP(MAX($D$5-($D$9+$E$9)/2,0),Reference!$A$17:$B$20,2,TRUE()))</f>
        <v>0</v>
      </c>
      <c r="AH78" s="46">
        <f t="shared" si="52"/>
        <v>1.3365623556835926</v>
      </c>
      <c r="AI78" s="32">
        <f>IF($A78="",NA(),Reference!$A$25)</f>
        <v>0.8</v>
      </c>
      <c r="AJ78" s="32">
        <f t="shared" si="53"/>
        <v>1.3</v>
      </c>
      <c r="AK78" s="56">
        <f>IF(OR($A78="",N($C78)&lt;=7,$T78="No Throw",$J78="x"),0,INDEX(Reference!$B$108:$B$114,$N78+1))</f>
        <v>0.12</v>
      </c>
      <c r="AL78" s="32">
        <f t="shared" si="54"/>
        <v>1</v>
      </c>
      <c r="AM78" s="32">
        <f>IF($U78="",0,IF($AL78&gt;1,((IF(1&lt;=$AL78,($AL78-1+3)*(INDEX(Reference!$B$6:$B$11,MIN(5,MATCH(MAX(Reference!$A$6,MIN(Reference!$A$11,MIN($U78,90))),Reference!$A$6:$A$11,1)))+(MAX(Reference!$A$6,MIN(Reference!$A$11,MIN($U78,90)))-INDEX(Reference!$A$6:$A$11,MIN(5,MATCH(MAX(Reference!$A$6,MIN(Reference!$A$11,MIN($U78,90))),Reference!$A$6:$A$11,1))))*(INDEX(Reference!$B$6:$B$11,MIN(5,MATCH(MAX(Reference!$A$6,MIN(Reference!$A$11,MIN($U78,90))),Reference!$A$6:$A$11,1))+1)-INDEX(Reference!$B$6:$B$11,MIN(5,MATCH(MAX(Reference!$A$6,MIN(Reference!$A$11,MIN($U78,90))),Reference!$A$6:$A$11,1))))/(INDEX(Reference!$A$6:$A$11,MIN(5,MATCH(MAX(Reference!$A$6,MIN(Reference!$A$11,MIN($U78,90))),Reference!$A$6:$A$11,1))+1)-INDEX(Reference!$A$6:$A$11,MIN(5,MATCH(MAX(Reference!$A$6,MIN(Reference!$A$11,MIN($U78,90))),Reference!$A$6:$A$11,1))))),0)+IF(2&lt;=$AL78,($AL78-2+3)*(INDEX(Reference!$B$6:$B$11,MIN(5,MATCH(MAX(Reference!$A$6,MIN(Reference!$A$11,MIN($U78,120))),Reference!$A$6:$A$11,1)))+(MAX(Reference!$A$6,MIN(Reference!$A$11,MIN($U78,120)))-INDEX(Reference!$A$6:$A$11,MIN(5,MATCH(MAX(Reference!$A$6,MIN(Reference!$A$11,MIN($U78,120))),Reference!$A$6:$A$11,1))))*(INDEX(Reference!$B$6:$B$11,MIN(5,MATCH(MAX(Reference!$A$6,MIN(Reference!$A$11,MIN($U78,120))),Reference!$A$6:$A$11,1))+1)-INDEX(Reference!$B$6:$B$11,MIN(5,MATCH(MAX(Reference!$A$6,MIN(Reference!$A$11,MIN($U78,120))),Reference!$A$6:$A$11,1))))/(INDEX(Reference!$A$6:$A$11,MIN(5,MATCH(MAX(Reference!$A$6,MIN(Reference!$A$11,MIN($U78,120))),Reference!$A$6:$A$11,1))+1)-INDEX(Reference!$A$6:$A$11,MIN(5,MATCH(MAX(Reference!$A$6,MIN(Reference!$A$11,MIN($U78,120))),Reference!$A$6:$A$11,1))))),0)+IF(3&lt;=$AL78,($AL78-3+3)*(INDEX(Reference!$B$6:$B$11,MIN(5,MATCH(MAX(Reference!$A$6,MIN(Reference!$A$11,MIN($U78,150))),Reference!$A$6:$A$11,1)))+(MAX(Reference!$A$6,MIN(Reference!$A$11,MIN($U78,150)))-INDEX(Reference!$A$6:$A$11,MIN(5,MATCH(MAX(Reference!$A$6,MIN(Reference!$A$11,MIN($U78,150))),Reference!$A$6:$A$11,1))))*(INDEX(Reference!$B$6:$B$11,MIN(5,MATCH(MAX(Reference!$A$6,MIN(Reference!$A$11,MIN($U78,150))),Reference!$A$6:$A$11,1))+1)-INDEX(Reference!$B$6:$B$11,MIN(5,MATCH(MAX(Reference!$A$6,MIN(Reference!$A$11,MIN($U78,150))),Reference!$A$6:$A$11,1))))/(INDEX(Reference!$A$6:$A$11,MIN(5,MATCH(MAX(Reference!$A$6,MIN(Reference!$A$11,MIN($U78,150))),Reference!$A$6:$A$11,1))+1)-INDEX(Reference!$A$6:$A$11,MIN(5,MATCH(MAX(Reference!$A$6,MIN(Reference!$A$11,MIN($U78,150))),Reference!$A$6:$A$11,1))))),0)+IF(4&lt;=$AL78,($AL78-4+3)*(INDEX(Reference!$B$6:$B$11,MIN(5,MATCH(MAX(Reference!$A$6,MIN(Reference!$A$11,MIN($U78,180))),Reference!$A$6:$A$11,1)))+(MAX(Reference!$A$6,MIN(Reference!$A$11,MIN($U78,180)))-INDEX(Reference!$A$6:$A$11,MIN(5,MATCH(MAX(Reference!$A$6,MIN(Reference!$A$11,MIN($U78,180))),Reference!$A$6:$A$11,1))))*(INDEX(Reference!$B$6:$B$11,MIN(5,MATCH(MAX(Reference!$A$6,MIN(Reference!$A$11,MIN($U78,180))),Reference!$A$6:$A$11,1))+1)-INDEX(Reference!$B$6:$B$11,MIN(5,MATCH(MAX(Reference!$A$6,MIN(Reference!$A$11,MIN($U78,180))),Reference!$A$6:$A$11,1))))/(INDEX(Reference!$A$6:$A$11,MIN(5,MATCH(MAX(Reference!$A$6,MIN(Reference!$A$11,MIN($U78,180))),Reference!$A$6:$A$11,1))+1)-INDEX(Reference!$A$6:$A$11,MIN(5,MATCH(MAX(Reference!$A$6,MIN(Reference!$A$11,MIN($U78,180))),Reference!$A$6:$A$11,1))))),0)+IF(5&lt;=$AL78,($AL78-5+3)*(INDEX(Reference!$B$6:$B$11,MIN(5,MATCH(MAX(Reference!$A$6,MIN(Reference!$A$11,MIN($U78,210))),Reference!$A$6:$A$11,1)))+(MAX(Reference!$A$6,MIN(Reference!$A$11,MIN($U78,210)))-INDEX(Reference!$A$6:$A$11,MIN(5,MATCH(MAX(Reference!$A$6,MIN(Reference!$A$11,MIN($U78,210))),Reference!$A$6:$A$11,1))))*(INDEX(Reference!$B$6:$B$11,MIN(5,MATCH(MAX(Reference!$A$6,MIN(Reference!$A$11,MIN($U78,210))),Reference!$A$6:$A$11,1))+1)-INDEX(Reference!$B$6:$B$11,MIN(5,MATCH(MAX(Reference!$A$6,MIN(Reference!$A$11,MIN($U78,210))),Reference!$A$6:$A$11,1))))/(INDEX(Reference!$A$6:$A$11,MIN(5,MATCH(MAX(Reference!$A$6,MIN(Reference!$A$11,MIN($U78,210))),Reference!$A$6:$A$11,1))+1)-INDEX(Reference!$A$6:$A$11,MIN(5,MATCH(MAX(Reference!$A$6,MIN(Reference!$A$11,MIN($U78,210))),Reference!$A$6:$A$11,1))))),0)+IF(6&lt;=$AL78,($AL78-6+3)*(INDEX(Reference!$B$6:$B$11,MIN(5,MATCH(MAX(Reference!$A$6,MIN(Reference!$A$11,MIN($U78,240))),Reference!$A$6:$A$11,1)))+(MAX(Reference!$A$6,MIN(Reference!$A$11,MIN($U78,240)))-INDEX(Reference!$A$6:$A$11,MIN(5,MATCH(MAX(Reference!$A$6,MIN(Reference!$A$11,MIN($U78,240))),Reference!$A$6:$A$11,1))))*(INDEX(Reference!$B$6:$B$11,MIN(5,MATCH(MAX(Reference!$A$6,MIN(Reference!$A$11,MIN($U78,240))),Reference!$A$6:$A$11,1))+1)-INDEX(Reference!$B$6:$B$11,MIN(5,MATCH(MAX(Reference!$A$6,MIN(Reference!$A$11,MIN($U78,240))),Reference!$A$6:$A$11,1))))/(INDEX(Reference!$A$6:$A$11,MIN(5,MATCH(MAX(Reference!$A$6,MIN(Reference!$A$11,MIN($U78,240))),Reference!$A$6:$A$11,1))+1)-INDEX(Reference!$A$6:$A$11,MIN(5,MATCH(MAX(Reference!$A$6,MIN(Reference!$A$11,MIN($U78,240))),Reference!$A$6:$A$11,1))))),0)+IF(7&lt;=$AL78,($AL78-7+3)*(INDEX(Reference!$B$6:$B$11,MIN(5,MATCH(MAX(Reference!$A$6,MIN(Reference!$A$11,MIN($U78,270))),Reference!$A$6:$A$11,1)))+(MAX(Reference!$A$6,MIN(Reference!$A$11,MIN($U78,270)))-INDEX(Reference!$A$6:$A$11,MIN(5,MATCH(MAX(Reference!$A$6,MIN(Reference!$A$11,MIN($U78,270))),Reference!$A$6:$A$11,1))))*(INDEX(Reference!$B$6:$B$11,MIN(5,MATCH(MAX(Reference!$A$6,MIN(Reference!$A$11,MIN($U78,270))),Reference!$A$6:$A$11,1))+1)-INDEX(Reference!$B$6:$B$11,MIN(5,MATCH(MAX(Reference!$A$6,MIN(Reference!$A$11,MIN($U78,270))),Reference!$A$6:$A$11,1))))/(INDEX(Reference!$A$6:$A$11,MIN(5,MATCH(MAX(Reference!$A$6,MIN(Reference!$A$11,MIN($U78,270))),Reference!$A$6:$A$11,1))+1)-INDEX(Reference!$A$6:$A$11,MIN(5,MATCH(MAX(Reference!$A$6,MIN(Reference!$A$11,MIN($U78,270))),Reference!$A$6:$A$11,1))))),0)+IF(8&lt;=$AL78,($AL78-8+3)*(INDEX(Reference!$B$6:$B$11,MIN(5,MATCH(MAX(Reference!$A$6,MIN(Reference!$A$11,MIN($U78,300))),Reference!$A$6:$A$11,1)))+(MAX(Reference!$A$6,MIN(Reference!$A$11,MIN($U78,300)))-INDEX(Reference!$A$6:$A$11,MIN(5,MATCH(MAX(Reference!$A$6,MIN(Reference!$A$11,MIN($U78,300))),Reference!$A$6:$A$11,1))))*(INDEX(Reference!$B$6:$B$11,MIN(5,MATCH(MAX(Reference!$A$6,MIN(Reference!$A$11,MIN($U78,300))),Reference!$A$6:$A$11,1))+1)-INDEX(Reference!$B$6:$B$11,MIN(5,MATCH(MAX(Reference!$A$6,MIN(Reference!$A$11,MIN($U78,300))),Reference!$A$6:$A$11,1))))/(INDEX(Reference!$A$6:$A$11,MIN(5,MATCH(MAX(Reference!$A$6,MIN(Reference!$A$11,MIN($U78,300))),Reference!$A$6:$A$11,1))+1)-INDEX(Reference!$A$6:$A$11,MIN(5,MATCH(MAX(Reference!$A$6,MIN(Reference!$A$11,MIN($U78,300))),Reference!$A$6:$A$11,1))))),0))/($AL78*($AL78+5)/2)),$AN78))</f>
        <v>1.1499999999999999</v>
      </c>
      <c r="AN78" s="32">
        <f>IF($U78="",0,(INDEX(Reference!$B$6:$B$11,MIN(5,MATCH(MAX(Reference!$A$6,MIN(Reference!$A$11,$U78)),Reference!$A$6:$A$11,1)))+(MAX(Reference!$A$6,MIN(Reference!$A$11,$U78))-INDEX(Reference!$A$6:$A$11,MIN(5,MATCH(MAX(Reference!$A$6,MIN(Reference!$A$11,$U78)),Reference!$A$6:$A$11,1))))*(INDEX(Reference!$B$6:$B$11,MIN(5,MATCH(MAX(Reference!$A$6,MIN(Reference!$A$11,$U78)),Reference!$A$6:$A$11,1))+1)-INDEX(Reference!$B$6:$B$11,MIN(5,MATCH(MAX(Reference!$A$6,MIN(Reference!$A$11,$U78)),Reference!$A$6:$A$11,1))))/(INDEX(Reference!$A$6:$A$11,MIN(5,MATCH(MAX(Reference!$A$6,MIN(Reference!$A$11,$U78)),Reference!$A$6:$A$11,1))+1)-INDEX(Reference!$A$6:$A$11,MIN(5,MATCH(MAX(Reference!$A$6,MIN(Reference!$A$11,$U78)),Reference!$A$6:$A$11,1))))))</f>
        <v>1.1499999999999999</v>
      </c>
      <c r="AO78" s="37"/>
      <c r="AP78" s="37"/>
      <c r="AQ78" s="37"/>
    </row>
    <row r="79" spans="1:43" ht="26.4" x14ac:dyDescent="0.3">
      <c r="A79" s="48">
        <f t="shared" si="30"/>
        <v>46378</v>
      </c>
      <c r="B79" s="32" t="str">
        <f t="shared" si="31"/>
        <v>Tue</v>
      </c>
      <c r="C79" s="32">
        <f t="shared" si="32"/>
        <v>9</v>
      </c>
      <c r="D79" s="32" t="str">
        <f t="shared" si="33"/>
        <v>Flat Ground / Intent</v>
      </c>
      <c r="E79" s="32" t="str">
        <f t="shared" si="34"/>
        <v>High Non-Bullpen</v>
      </c>
      <c r="F79" s="32" t="str">
        <f t="shared" si="35"/>
        <v>Long Toss</v>
      </c>
      <c r="G79" s="47" t="str">
        <f t="shared" si="36"/>
        <v>Long toss out to 120 ft — 70 throws (90×40 · 120×30) @ 76–78 mph + 60 ft × 15 @ 76–78 mph</v>
      </c>
      <c r="H79" s="30">
        <f t="shared" si="37"/>
        <v>70.800000000000011</v>
      </c>
      <c r="I79" s="46">
        <f>IF($A79="","",IF(AND($L79&lt;27,$K$12=0),"Building",IFERROR(((SUM($H$73:$H79)+$K$12*IF($L79&lt;6,SUMIFS('Throw Log'!$Q$5:$Q$300,'Throw Log'!$B$5:$B$300,$D$4,'Throw Log'!$A$5:$A$300,"&gt;="&amp;($D$6+$L79-6),'Throw Log'!$A$5:$A$300,"&lt;="&amp;($D$6-1)),0))/7)/((SUM($H$52:$H79)+$K$12*IF($L79&lt;27,SUMIFS('Throw Log'!$Q$5:$Q$300,'Throw Log'!$B$5:$B$300,$D$4,'Throw Log'!$A$5:$A$300,"&gt;="&amp;($D$6+$L79-27),'Throw Log'!$A$5:$A$300,"&lt;="&amp;($D$6-1)),0))/28),"")))</f>
        <v>1.5083450516658543</v>
      </c>
      <c r="J79" s="37"/>
      <c r="K79" s="37"/>
      <c r="L79" s="32">
        <v>36</v>
      </c>
      <c r="M79" s="32">
        <f t="shared" si="38"/>
        <v>6</v>
      </c>
      <c r="N79" s="32">
        <f t="shared" si="39"/>
        <v>1</v>
      </c>
      <c r="O79" s="32">
        <f t="shared" si="40"/>
        <v>0.97297297297297303</v>
      </c>
      <c r="P79" s="32">
        <f>IF(OR($A79="",N($C79)&lt;=7),"",$G$6*$G$9^($M79-1)*IF(AND(MOD($M79,Reference!$B$99)=0,$M79&lt;=$G$5-2),Reference!$B$100,1))</f>
        <v>160.90857499999996</v>
      </c>
      <c r="Q79" s="32">
        <f>IF($P79="","",IF(SUM($AK$78:$AK$84)=0,0,$P79*INDEX(Reference!$B$108:$B$114,$N79+1)/SUM($AK$78:$AK$84)))</f>
        <v>111.39824423076921</v>
      </c>
      <c r="R79" s="32">
        <f t="shared" si="41"/>
        <v>120</v>
      </c>
      <c r="S79" s="32">
        <f t="shared" si="42"/>
        <v>105</v>
      </c>
      <c r="T79" s="32" t="str">
        <f>IF($A79="","",IF($C79=0,"Bullpen",IF(OR($C79=7,$C79=1,$C79=5),"Recovery/Easy Catch",IF($C79=6,"Compression/Pulldowns",IF(OR($C79=4,$C79=2),"Long Toss",IF($C79=3,"No Throw",IF($N79=2,"No Throw",IF($N79=6,IF($O79&lt;Reference!$B$104,"No Throw","Recovery/Easy Catch"),IF(OR($N79=0,$N79=4),"Recovery/Easy Catch",IF($N79=1,IF($R79&gt;75,"Long Toss","Recovery/Easy Catch"),IF($N79=3,IF($O79&lt;0.5,IF($S79&gt;75,"Long Toss","Recovery/Easy Catch"),"Compression/Pulldowns"),IF($S79&gt;75,"Long Toss","Recovery/Easy Catch"))))))))))))</f>
        <v>Long Toss</v>
      </c>
      <c r="U79" s="32">
        <f t="shared" si="43"/>
        <v>120</v>
      </c>
      <c r="V79" s="32">
        <f t="shared" si="44"/>
        <v>10</v>
      </c>
      <c r="W79" s="32">
        <f t="shared" si="45"/>
        <v>12</v>
      </c>
      <c r="X79" s="32">
        <f t="shared" si="46"/>
        <v>15</v>
      </c>
      <c r="Y79" s="32">
        <f t="shared" si="47"/>
        <v>10</v>
      </c>
      <c r="Z79" s="32">
        <f t="shared" si="48"/>
        <v>12</v>
      </c>
      <c r="AA79" s="32" t="str">
        <f t="shared" si="49"/>
        <v/>
      </c>
      <c r="AB79" s="32">
        <f>IF($A79="","",IF($T79="No Throw",0,IF($K79&lt;&gt;"",$K79,IF($AA79&lt;&gt;"",ROUND($AA79*$D$12*IF($C79=0,1,$G$10),0),MIN(IF($T79="Recovery/Easy Catch",Reference!$B$103,IF($T79="Long Toss",Reference!$B$106,Reference!$B$102)),MAX(Reference!$B$101,ROUND(MAX(0,$Q79-$AE79)/$AF79,0)))))))</f>
        <v>70</v>
      </c>
      <c r="AC79" s="32">
        <f t="shared" si="50"/>
        <v>0</v>
      </c>
      <c r="AD79" s="32" t="b">
        <f t="shared" si="51"/>
        <v>0</v>
      </c>
      <c r="AE79" s="32">
        <f>IF($X79=0,0,$X79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79+$Z79)/2,0),Reference!$A$17:$B$20,2,TRUE()))</f>
        <v>9</v>
      </c>
      <c r="AF79" s="32">
        <f>IF(OR($A79="",$U79="",$T79="No Throw"),0,$AM79*VLOOKUP(MAX(($V79+$W79)/2,0),Reference!$A$17:$B$20,2,TRUE()))</f>
        <v>0.8828571428571429</v>
      </c>
      <c r="AG79" s="32">
        <f>IF($AC79=0,0,$AC79*INDEX(Reference!$B$61:$B$62,MATCH("Bullpen",Reference!$A$61:$A$62,0))*VLOOKUP(MAX($D$5-($D$9+$E$9)/2,0),Reference!$A$17:$B$20,2,TRUE()))</f>
        <v>0</v>
      </c>
      <c r="AH79" s="46">
        <f t="shared" si="52"/>
        <v>1.5083450516658543</v>
      </c>
      <c r="AI79" s="32">
        <f>IF($A79="",NA(),Reference!$A$25)</f>
        <v>0.8</v>
      </c>
      <c r="AJ79" s="32">
        <f t="shared" si="53"/>
        <v>1.3</v>
      </c>
      <c r="AK79" s="56">
        <f>IF(OR($A79="",N($C79)&lt;=7,$T79="No Throw",$J79="x"),0,INDEX(Reference!$B$108:$B$114,$N79+1))</f>
        <v>0.27</v>
      </c>
      <c r="AL79" s="32">
        <f t="shared" si="54"/>
        <v>2</v>
      </c>
      <c r="AM79" s="32">
        <f>IF($U79="",0,IF($AL79&gt;1,((IF(1&lt;=$AL79,($AL79-1+3)*(INDEX(Reference!$B$6:$B$11,MIN(5,MATCH(MAX(Reference!$A$6,MIN(Reference!$A$11,MIN($U79,90))),Reference!$A$6:$A$11,1)))+(MAX(Reference!$A$6,MIN(Reference!$A$11,MIN($U79,90)))-INDEX(Reference!$A$6:$A$11,MIN(5,MATCH(MAX(Reference!$A$6,MIN(Reference!$A$11,MIN($U79,90))),Reference!$A$6:$A$11,1))))*(INDEX(Reference!$B$6:$B$11,MIN(5,MATCH(MAX(Reference!$A$6,MIN(Reference!$A$11,MIN($U79,90))),Reference!$A$6:$A$11,1))+1)-INDEX(Reference!$B$6:$B$11,MIN(5,MATCH(MAX(Reference!$A$6,MIN(Reference!$A$11,MIN($U79,90))),Reference!$A$6:$A$11,1))))/(INDEX(Reference!$A$6:$A$11,MIN(5,MATCH(MAX(Reference!$A$6,MIN(Reference!$A$11,MIN($U79,90))),Reference!$A$6:$A$11,1))+1)-INDEX(Reference!$A$6:$A$11,MIN(5,MATCH(MAX(Reference!$A$6,MIN(Reference!$A$11,MIN($U79,90))),Reference!$A$6:$A$11,1))))),0)+IF(2&lt;=$AL79,($AL79-2+3)*(INDEX(Reference!$B$6:$B$11,MIN(5,MATCH(MAX(Reference!$A$6,MIN(Reference!$A$11,MIN($U79,120))),Reference!$A$6:$A$11,1)))+(MAX(Reference!$A$6,MIN(Reference!$A$11,MIN($U79,120)))-INDEX(Reference!$A$6:$A$11,MIN(5,MATCH(MAX(Reference!$A$6,MIN(Reference!$A$11,MIN($U79,120))),Reference!$A$6:$A$11,1))))*(INDEX(Reference!$B$6:$B$11,MIN(5,MATCH(MAX(Reference!$A$6,MIN(Reference!$A$11,MIN($U79,120))),Reference!$A$6:$A$11,1))+1)-INDEX(Reference!$B$6:$B$11,MIN(5,MATCH(MAX(Reference!$A$6,MIN(Reference!$A$11,MIN($U79,120))),Reference!$A$6:$A$11,1))))/(INDEX(Reference!$A$6:$A$11,MIN(5,MATCH(MAX(Reference!$A$6,MIN(Reference!$A$11,MIN($U79,120))),Reference!$A$6:$A$11,1))+1)-INDEX(Reference!$A$6:$A$11,MIN(5,MATCH(MAX(Reference!$A$6,MIN(Reference!$A$11,MIN($U79,120))),Reference!$A$6:$A$11,1))))),0)+IF(3&lt;=$AL79,($AL79-3+3)*(INDEX(Reference!$B$6:$B$11,MIN(5,MATCH(MAX(Reference!$A$6,MIN(Reference!$A$11,MIN($U79,150))),Reference!$A$6:$A$11,1)))+(MAX(Reference!$A$6,MIN(Reference!$A$11,MIN($U79,150)))-INDEX(Reference!$A$6:$A$11,MIN(5,MATCH(MAX(Reference!$A$6,MIN(Reference!$A$11,MIN($U79,150))),Reference!$A$6:$A$11,1))))*(INDEX(Reference!$B$6:$B$11,MIN(5,MATCH(MAX(Reference!$A$6,MIN(Reference!$A$11,MIN($U79,150))),Reference!$A$6:$A$11,1))+1)-INDEX(Reference!$B$6:$B$11,MIN(5,MATCH(MAX(Reference!$A$6,MIN(Reference!$A$11,MIN($U79,150))),Reference!$A$6:$A$11,1))))/(INDEX(Reference!$A$6:$A$11,MIN(5,MATCH(MAX(Reference!$A$6,MIN(Reference!$A$11,MIN($U79,150))),Reference!$A$6:$A$11,1))+1)-INDEX(Reference!$A$6:$A$11,MIN(5,MATCH(MAX(Reference!$A$6,MIN(Reference!$A$11,MIN($U79,150))),Reference!$A$6:$A$11,1))))),0)+IF(4&lt;=$AL79,($AL79-4+3)*(INDEX(Reference!$B$6:$B$11,MIN(5,MATCH(MAX(Reference!$A$6,MIN(Reference!$A$11,MIN($U79,180))),Reference!$A$6:$A$11,1)))+(MAX(Reference!$A$6,MIN(Reference!$A$11,MIN($U79,180)))-INDEX(Reference!$A$6:$A$11,MIN(5,MATCH(MAX(Reference!$A$6,MIN(Reference!$A$11,MIN($U79,180))),Reference!$A$6:$A$11,1))))*(INDEX(Reference!$B$6:$B$11,MIN(5,MATCH(MAX(Reference!$A$6,MIN(Reference!$A$11,MIN($U79,180))),Reference!$A$6:$A$11,1))+1)-INDEX(Reference!$B$6:$B$11,MIN(5,MATCH(MAX(Reference!$A$6,MIN(Reference!$A$11,MIN($U79,180))),Reference!$A$6:$A$11,1))))/(INDEX(Reference!$A$6:$A$11,MIN(5,MATCH(MAX(Reference!$A$6,MIN(Reference!$A$11,MIN($U79,180))),Reference!$A$6:$A$11,1))+1)-INDEX(Reference!$A$6:$A$11,MIN(5,MATCH(MAX(Reference!$A$6,MIN(Reference!$A$11,MIN($U79,180))),Reference!$A$6:$A$11,1))))),0)+IF(5&lt;=$AL79,($AL79-5+3)*(INDEX(Reference!$B$6:$B$11,MIN(5,MATCH(MAX(Reference!$A$6,MIN(Reference!$A$11,MIN($U79,210))),Reference!$A$6:$A$11,1)))+(MAX(Reference!$A$6,MIN(Reference!$A$11,MIN($U79,210)))-INDEX(Reference!$A$6:$A$11,MIN(5,MATCH(MAX(Reference!$A$6,MIN(Reference!$A$11,MIN($U79,210))),Reference!$A$6:$A$11,1))))*(INDEX(Reference!$B$6:$B$11,MIN(5,MATCH(MAX(Reference!$A$6,MIN(Reference!$A$11,MIN($U79,210))),Reference!$A$6:$A$11,1))+1)-INDEX(Reference!$B$6:$B$11,MIN(5,MATCH(MAX(Reference!$A$6,MIN(Reference!$A$11,MIN($U79,210))),Reference!$A$6:$A$11,1))))/(INDEX(Reference!$A$6:$A$11,MIN(5,MATCH(MAX(Reference!$A$6,MIN(Reference!$A$11,MIN($U79,210))),Reference!$A$6:$A$11,1))+1)-INDEX(Reference!$A$6:$A$11,MIN(5,MATCH(MAX(Reference!$A$6,MIN(Reference!$A$11,MIN($U79,210))),Reference!$A$6:$A$11,1))))),0)+IF(6&lt;=$AL79,($AL79-6+3)*(INDEX(Reference!$B$6:$B$11,MIN(5,MATCH(MAX(Reference!$A$6,MIN(Reference!$A$11,MIN($U79,240))),Reference!$A$6:$A$11,1)))+(MAX(Reference!$A$6,MIN(Reference!$A$11,MIN($U79,240)))-INDEX(Reference!$A$6:$A$11,MIN(5,MATCH(MAX(Reference!$A$6,MIN(Reference!$A$11,MIN($U79,240))),Reference!$A$6:$A$11,1))))*(INDEX(Reference!$B$6:$B$11,MIN(5,MATCH(MAX(Reference!$A$6,MIN(Reference!$A$11,MIN($U79,240))),Reference!$A$6:$A$11,1))+1)-INDEX(Reference!$B$6:$B$11,MIN(5,MATCH(MAX(Reference!$A$6,MIN(Reference!$A$11,MIN($U79,240))),Reference!$A$6:$A$11,1))))/(INDEX(Reference!$A$6:$A$11,MIN(5,MATCH(MAX(Reference!$A$6,MIN(Reference!$A$11,MIN($U79,240))),Reference!$A$6:$A$11,1))+1)-INDEX(Reference!$A$6:$A$11,MIN(5,MATCH(MAX(Reference!$A$6,MIN(Reference!$A$11,MIN($U79,240))),Reference!$A$6:$A$11,1))))),0)+IF(7&lt;=$AL79,($AL79-7+3)*(INDEX(Reference!$B$6:$B$11,MIN(5,MATCH(MAX(Reference!$A$6,MIN(Reference!$A$11,MIN($U79,270))),Reference!$A$6:$A$11,1)))+(MAX(Reference!$A$6,MIN(Reference!$A$11,MIN($U79,270)))-INDEX(Reference!$A$6:$A$11,MIN(5,MATCH(MAX(Reference!$A$6,MIN(Reference!$A$11,MIN($U79,270))),Reference!$A$6:$A$11,1))))*(INDEX(Reference!$B$6:$B$11,MIN(5,MATCH(MAX(Reference!$A$6,MIN(Reference!$A$11,MIN($U79,270))),Reference!$A$6:$A$11,1))+1)-INDEX(Reference!$B$6:$B$11,MIN(5,MATCH(MAX(Reference!$A$6,MIN(Reference!$A$11,MIN($U79,270))),Reference!$A$6:$A$11,1))))/(INDEX(Reference!$A$6:$A$11,MIN(5,MATCH(MAX(Reference!$A$6,MIN(Reference!$A$11,MIN($U79,270))),Reference!$A$6:$A$11,1))+1)-INDEX(Reference!$A$6:$A$11,MIN(5,MATCH(MAX(Reference!$A$6,MIN(Reference!$A$11,MIN($U79,270))),Reference!$A$6:$A$11,1))))),0)+IF(8&lt;=$AL79,($AL79-8+3)*(INDEX(Reference!$B$6:$B$11,MIN(5,MATCH(MAX(Reference!$A$6,MIN(Reference!$A$11,MIN($U79,300))),Reference!$A$6:$A$11,1)))+(MAX(Reference!$A$6,MIN(Reference!$A$11,MIN($U79,300)))-INDEX(Reference!$A$6:$A$11,MIN(5,MATCH(MAX(Reference!$A$6,MIN(Reference!$A$11,MIN($U79,300))),Reference!$A$6:$A$11,1))))*(INDEX(Reference!$B$6:$B$11,MIN(5,MATCH(MAX(Reference!$A$6,MIN(Reference!$A$11,MIN($U79,300))),Reference!$A$6:$A$11,1))+1)-INDEX(Reference!$B$6:$B$11,MIN(5,MATCH(MAX(Reference!$A$6,MIN(Reference!$A$11,MIN($U79,300))),Reference!$A$6:$A$11,1))))/(INDEX(Reference!$A$6:$A$11,MIN(5,MATCH(MAX(Reference!$A$6,MIN(Reference!$A$11,MIN($U79,300))),Reference!$A$6:$A$11,1))+1)-INDEX(Reference!$A$6:$A$11,MIN(5,MATCH(MAX(Reference!$A$6,MIN(Reference!$A$11,MIN($U79,300))),Reference!$A$6:$A$11,1))))),0))/($AL79*($AL79+5)/2)),$AN79))</f>
        <v>1.4714285714285715</v>
      </c>
      <c r="AN79" s="32">
        <f>IF($U79="",0,(INDEX(Reference!$B$6:$B$11,MIN(5,MATCH(MAX(Reference!$A$6,MIN(Reference!$A$11,$U79)),Reference!$A$6:$A$11,1)))+(MAX(Reference!$A$6,MIN(Reference!$A$11,$U79))-INDEX(Reference!$A$6:$A$11,MIN(5,MATCH(MAX(Reference!$A$6,MIN(Reference!$A$11,$U79)),Reference!$A$6:$A$11,1))))*(INDEX(Reference!$B$6:$B$11,MIN(5,MATCH(MAX(Reference!$A$6,MIN(Reference!$A$11,$U79)),Reference!$A$6:$A$11,1))+1)-INDEX(Reference!$B$6:$B$11,MIN(5,MATCH(MAX(Reference!$A$6,MIN(Reference!$A$11,$U79)),Reference!$A$6:$A$11,1))))/(INDEX(Reference!$A$6:$A$11,MIN(5,MATCH(MAX(Reference!$A$6,MIN(Reference!$A$11,$U79)),Reference!$A$6:$A$11,1))+1)-INDEX(Reference!$A$6:$A$11,MIN(5,MATCH(MAX(Reference!$A$6,MIN(Reference!$A$11,$U79)),Reference!$A$6:$A$11,1))))))</f>
        <v>1.7</v>
      </c>
      <c r="AO79" s="37"/>
      <c r="AP79" s="37"/>
      <c r="AQ79" s="37"/>
    </row>
    <row r="80" spans="1:43" x14ac:dyDescent="0.3">
      <c r="A80" s="48">
        <f t="shared" si="30"/>
        <v>46379</v>
      </c>
      <c r="B80" s="32" t="str">
        <f t="shared" si="31"/>
        <v>Wed</v>
      </c>
      <c r="C80" s="32">
        <f t="shared" si="32"/>
        <v>8</v>
      </c>
      <c r="D80" s="32" t="str">
        <f t="shared" si="33"/>
        <v>Flat Ground / Intent</v>
      </c>
      <c r="E80" s="32" t="str">
        <f t="shared" si="34"/>
        <v>No Throw</v>
      </c>
      <c r="F80" s="32" t="str">
        <f t="shared" si="35"/>
        <v>No Throw</v>
      </c>
      <c r="G80" s="47" t="str">
        <f t="shared" si="36"/>
        <v>Off</v>
      </c>
      <c r="H80" s="30">
        <f t="shared" si="37"/>
        <v>0</v>
      </c>
      <c r="I80" s="46">
        <f>IF($A80="","",IF(AND($L80&lt;27,$K$12=0),"Building",IFERROR(((SUM($H$74:$H80)+$K$12*IF($L80&lt;6,SUMIFS('Throw Log'!$Q$5:$Q$300,'Throw Log'!$B$5:$B$300,$D$4,'Throw Log'!$A$5:$A$300,"&gt;="&amp;($D$6+$L80-6),'Throw Log'!$A$5:$A$300,"&lt;="&amp;($D$6-1)),0))/7)/((SUM($H$53:$H80)+$K$12*IF($L80&lt;27,SUMIFS('Throw Log'!$Q$5:$Q$300,'Throw Log'!$B$5:$B$300,$D$4,'Throw Log'!$A$5:$A$300,"&gt;="&amp;($D$6+$L80-27),'Throw Log'!$A$5:$A$300,"&lt;="&amp;($D$6-1)),0))/28),"")))</f>
        <v>1.5083450516658543</v>
      </c>
      <c r="J80" s="37"/>
      <c r="K80" s="37"/>
      <c r="L80" s="32">
        <v>37</v>
      </c>
      <c r="M80" s="32">
        <f t="shared" si="38"/>
        <v>6</v>
      </c>
      <c r="N80" s="32">
        <f t="shared" si="39"/>
        <v>2</v>
      </c>
      <c r="O80" s="32">
        <f t="shared" si="40"/>
        <v>1</v>
      </c>
      <c r="P80" s="32">
        <f>IF(OR($A80="",N($C80)&lt;=7),"",$G$6*$G$9^($M80-1)*IF(AND(MOD($M80,Reference!$B$99)=0,$M80&lt;=$G$5-2),Reference!$B$100,1))</f>
        <v>160.90857499999996</v>
      </c>
      <c r="Q80" s="32">
        <f>IF($P80="","",IF(SUM($AK$78:$AK$84)=0,0,$P80*INDEX(Reference!$B$108:$B$114,$N80+1)/SUM($AK$78:$AK$84)))</f>
        <v>0</v>
      </c>
      <c r="R80" s="32">
        <f t="shared" si="41"/>
        <v>120</v>
      </c>
      <c r="S80" s="32">
        <f t="shared" si="42"/>
        <v>105</v>
      </c>
      <c r="T80" s="32" t="str">
        <f>IF($A80="","",IF($C80=0,"Bullpen",IF(OR($C80=7,$C80=1,$C80=5),"Recovery/Easy Catch",IF($C80=6,"Compression/Pulldowns",IF(OR($C80=4,$C80=2),"Long Toss",IF($C80=3,"No Throw",IF($N80=2,"No Throw",IF($N80=6,IF($O80&lt;Reference!$B$104,"No Throw","Recovery/Easy Catch"),IF(OR($N80=0,$N80=4),"Recovery/Easy Catch",IF($N80=1,IF($R80&gt;75,"Long Toss","Recovery/Easy Catch"),IF($N80=3,IF($O80&lt;0.5,IF($S80&gt;75,"Long Toss","Recovery/Easy Catch"),"Compression/Pulldowns"),IF($S80&gt;75,"Long Toss","Recovery/Easy Catch"))))))))))))</f>
        <v>No Throw</v>
      </c>
      <c r="U80" s="32" t="str">
        <f t="shared" si="43"/>
        <v/>
      </c>
      <c r="V80" s="32" t="str">
        <f t="shared" si="44"/>
        <v/>
      </c>
      <c r="W80" s="32" t="str">
        <f t="shared" si="45"/>
        <v/>
      </c>
      <c r="X80" s="32">
        <f t="shared" si="46"/>
        <v>0</v>
      </c>
      <c r="Y80" s="32" t="str">
        <f t="shared" si="47"/>
        <v/>
      </c>
      <c r="Z80" s="32" t="str">
        <f t="shared" si="48"/>
        <v/>
      </c>
      <c r="AA80" s="32" t="str">
        <f t="shared" si="49"/>
        <v/>
      </c>
      <c r="AB80" s="32">
        <f>IF($A80="","",IF($T80="No Throw",0,IF($K80&lt;&gt;"",$K80,IF($AA80&lt;&gt;"",ROUND($AA80*$D$12*IF($C80=0,1,$G$10),0),MIN(IF($T80="Recovery/Easy Catch",Reference!$B$103,IF($T80="Long Toss",Reference!$B$106,Reference!$B$102)),MAX(Reference!$B$101,ROUND(MAX(0,$Q80-$AE80)/$AF80,0)))))))</f>
        <v>0</v>
      </c>
      <c r="AC80" s="32">
        <f t="shared" si="50"/>
        <v>0</v>
      </c>
      <c r="AD80" s="32" t="b">
        <f t="shared" si="51"/>
        <v>1</v>
      </c>
      <c r="AE80" s="32">
        <f>IF($X80=0,0,$X80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80+$Z80)/2,0),Reference!$A$17:$B$20,2,TRUE()))</f>
        <v>0</v>
      </c>
      <c r="AF80" s="32">
        <f>IF(OR($A80="",$U80="",$T80="No Throw"),0,$AM80*VLOOKUP(MAX(($V80+$W80)/2,0),Reference!$A$17:$B$20,2,TRUE()))</f>
        <v>0</v>
      </c>
      <c r="AG80" s="32">
        <f>IF($AC80=0,0,$AC80*INDEX(Reference!$B$61:$B$62,MATCH("Bullpen",Reference!$A$61:$A$62,0))*VLOOKUP(MAX($D$5-($D$9+$E$9)/2,0),Reference!$A$17:$B$20,2,TRUE()))</f>
        <v>0</v>
      </c>
      <c r="AH80" s="46">
        <f t="shared" si="52"/>
        <v>1.5083450516658543</v>
      </c>
      <c r="AI80" s="32">
        <f>IF($A80="",NA(),Reference!$A$25)</f>
        <v>0.8</v>
      </c>
      <c r="AJ80" s="32">
        <f t="shared" si="53"/>
        <v>1.3</v>
      </c>
      <c r="AK80" s="32">
        <f>IF(OR($A80="",N($C80)&lt;=7,$T80="No Throw",$J80="x"),0,INDEX(Reference!$B$108:$B$114,$N80+1))</f>
        <v>0</v>
      </c>
      <c r="AL80" s="32">
        <f t="shared" si="54"/>
        <v>1</v>
      </c>
      <c r="AM80" s="32">
        <f>IF($U80="",0,IF($AL80&gt;1,((IF(1&lt;=$AL80,($AL80-1+3)*(INDEX(Reference!$B$6:$B$11,MIN(5,MATCH(MAX(Reference!$A$6,MIN(Reference!$A$11,MIN($U80,90))),Reference!$A$6:$A$11,1)))+(MAX(Reference!$A$6,MIN(Reference!$A$11,MIN($U80,90)))-INDEX(Reference!$A$6:$A$11,MIN(5,MATCH(MAX(Reference!$A$6,MIN(Reference!$A$11,MIN($U80,90))),Reference!$A$6:$A$11,1))))*(INDEX(Reference!$B$6:$B$11,MIN(5,MATCH(MAX(Reference!$A$6,MIN(Reference!$A$11,MIN($U80,90))),Reference!$A$6:$A$11,1))+1)-INDEX(Reference!$B$6:$B$11,MIN(5,MATCH(MAX(Reference!$A$6,MIN(Reference!$A$11,MIN($U80,90))),Reference!$A$6:$A$11,1))))/(INDEX(Reference!$A$6:$A$11,MIN(5,MATCH(MAX(Reference!$A$6,MIN(Reference!$A$11,MIN($U80,90))),Reference!$A$6:$A$11,1))+1)-INDEX(Reference!$A$6:$A$11,MIN(5,MATCH(MAX(Reference!$A$6,MIN(Reference!$A$11,MIN($U80,90))),Reference!$A$6:$A$11,1))))),0)+IF(2&lt;=$AL80,($AL80-2+3)*(INDEX(Reference!$B$6:$B$11,MIN(5,MATCH(MAX(Reference!$A$6,MIN(Reference!$A$11,MIN($U80,120))),Reference!$A$6:$A$11,1)))+(MAX(Reference!$A$6,MIN(Reference!$A$11,MIN($U80,120)))-INDEX(Reference!$A$6:$A$11,MIN(5,MATCH(MAX(Reference!$A$6,MIN(Reference!$A$11,MIN($U80,120))),Reference!$A$6:$A$11,1))))*(INDEX(Reference!$B$6:$B$11,MIN(5,MATCH(MAX(Reference!$A$6,MIN(Reference!$A$11,MIN($U80,120))),Reference!$A$6:$A$11,1))+1)-INDEX(Reference!$B$6:$B$11,MIN(5,MATCH(MAX(Reference!$A$6,MIN(Reference!$A$11,MIN($U80,120))),Reference!$A$6:$A$11,1))))/(INDEX(Reference!$A$6:$A$11,MIN(5,MATCH(MAX(Reference!$A$6,MIN(Reference!$A$11,MIN($U80,120))),Reference!$A$6:$A$11,1))+1)-INDEX(Reference!$A$6:$A$11,MIN(5,MATCH(MAX(Reference!$A$6,MIN(Reference!$A$11,MIN($U80,120))),Reference!$A$6:$A$11,1))))),0)+IF(3&lt;=$AL80,($AL80-3+3)*(INDEX(Reference!$B$6:$B$11,MIN(5,MATCH(MAX(Reference!$A$6,MIN(Reference!$A$11,MIN($U80,150))),Reference!$A$6:$A$11,1)))+(MAX(Reference!$A$6,MIN(Reference!$A$11,MIN($U80,150)))-INDEX(Reference!$A$6:$A$11,MIN(5,MATCH(MAX(Reference!$A$6,MIN(Reference!$A$11,MIN($U80,150))),Reference!$A$6:$A$11,1))))*(INDEX(Reference!$B$6:$B$11,MIN(5,MATCH(MAX(Reference!$A$6,MIN(Reference!$A$11,MIN($U80,150))),Reference!$A$6:$A$11,1))+1)-INDEX(Reference!$B$6:$B$11,MIN(5,MATCH(MAX(Reference!$A$6,MIN(Reference!$A$11,MIN($U80,150))),Reference!$A$6:$A$11,1))))/(INDEX(Reference!$A$6:$A$11,MIN(5,MATCH(MAX(Reference!$A$6,MIN(Reference!$A$11,MIN($U80,150))),Reference!$A$6:$A$11,1))+1)-INDEX(Reference!$A$6:$A$11,MIN(5,MATCH(MAX(Reference!$A$6,MIN(Reference!$A$11,MIN($U80,150))),Reference!$A$6:$A$11,1))))),0)+IF(4&lt;=$AL80,($AL80-4+3)*(INDEX(Reference!$B$6:$B$11,MIN(5,MATCH(MAX(Reference!$A$6,MIN(Reference!$A$11,MIN($U80,180))),Reference!$A$6:$A$11,1)))+(MAX(Reference!$A$6,MIN(Reference!$A$11,MIN($U80,180)))-INDEX(Reference!$A$6:$A$11,MIN(5,MATCH(MAX(Reference!$A$6,MIN(Reference!$A$11,MIN($U80,180))),Reference!$A$6:$A$11,1))))*(INDEX(Reference!$B$6:$B$11,MIN(5,MATCH(MAX(Reference!$A$6,MIN(Reference!$A$11,MIN($U80,180))),Reference!$A$6:$A$11,1))+1)-INDEX(Reference!$B$6:$B$11,MIN(5,MATCH(MAX(Reference!$A$6,MIN(Reference!$A$11,MIN($U80,180))),Reference!$A$6:$A$11,1))))/(INDEX(Reference!$A$6:$A$11,MIN(5,MATCH(MAX(Reference!$A$6,MIN(Reference!$A$11,MIN($U80,180))),Reference!$A$6:$A$11,1))+1)-INDEX(Reference!$A$6:$A$11,MIN(5,MATCH(MAX(Reference!$A$6,MIN(Reference!$A$11,MIN($U80,180))),Reference!$A$6:$A$11,1))))),0)+IF(5&lt;=$AL80,($AL80-5+3)*(INDEX(Reference!$B$6:$B$11,MIN(5,MATCH(MAX(Reference!$A$6,MIN(Reference!$A$11,MIN($U80,210))),Reference!$A$6:$A$11,1)))+(MAX(Reference!$A$6,MIN(Reference!$A$11,MIN($U80,210)))-INDEX(Reference!$A$6:$A$11,MIN(5,MATCH(MAX(Reference!$A$6,MIN(Reference!$A$11,MIN($U80,210))),Reference!$A$6:$A$11,1))))*(INDEX(Reference!$B$6:$B$11,MIN(5,MATCH(MAX(Reference!$A$6,MIN(Reference!$A$11,MIN($U80,210))),Reference!$A$6:$A$11,1))+1)-INDEX(Reference!$B$6:$B$11,MIN(5,MATCH(MAX(Reference!$A$6,MIN(Reference!$A$11,MIN($U80,210))),Reference!$A$6:$A$11,1))))/(INDEX(Reference!$A$6:$A$11,MIN(5,MATCH(MAX(Reference!$A$6,MIN(Reference!$A$11,MIN($U80,210))),Reference!$A$6:$A$11,1))+1)-INDEX(Reference!$A$6:$A$11,MIN(5,MATCH(MAX(Reference!$A$6,MIN(Reference!$A$11,MIN($U80,210))),Reference!$A$6:$A$11,1))))),0)+IF(6&lt;=$AL80,($AL80-6+3)*(INDEX(Reference!$B$6:$B$11,MIN(5,MATCH(MAX(Reference!$A$6,MIN(Reference!$A$11,MIN($U80,240))),Reference!$A$6:$A$11,1)))+(MAX(Reference!$A$6,MIN(Reference!$A$11,MIN($U80,240)))-INDEX(Reference!$A$6:$A$11,MIN(5,MATCH(MAX(Reference!$A$6,MIN(Reference!$A$11,MIN($U80,240))),Reference!$A$6:$A$11,1))))*(INDEX(Reference!$B$6:$B$11,MIN(5,MATCH(MAX(Reference!$A$6,MIN(Reference!$A$11,MIN($U80,240))),Reference!$A$6:$A$11,1))+1)-INDEX(Reference!$B$6:$B$11,MIN(5,MATCH(MAX(Reference!$A$6,MIN(Reference!$A$11,MIN($U80,240))),Reference!$A$6:$A$11,1))))/(INDEX(Reference!$A$6:$A$11,MIN(5,MATCH(MAX(Reference!$A$6,MIN(Reference!$A$11,MIN($U80,240))),Reference!$A$6:$A$11,1))+1)-INDEX(Reference!$A$6:$A$11,MIN(5,MATCH(MAX(Reference!$A$6,MIN(Reference!$A$11,MIN($U80,240))),Reference!$A$6:$A$11,1))))),0)+IF(7&lt;=$AL80,($AL80-7+3)*(INDEX(Reference!$B$6:$B$11,MIN(5,MATCH(MAX(Reference!$A$6,MIN(Reference!$A$11,MIN($U80,270))),Reference!$A$6:$A$11,1)))+(MAX(Reference!$A$6,MIN(Reference!$A$11,MIN($U80,270)))-INDEX(Reference!$A$6:$A$11,MIN(5,MATCH(MAX(Reference!$A$6,MIN(Reference!$A$11,MIN($U80,270))),Reference!$A$6:$A$11,1))))*(INDEX(Reference!$B$6:$B$11,MIN(5,MATCH(MAX(Reference!$A$6,MIN(Reference!$A$11,MIN($U80,270))),Reference!$A$6:$A$11,1))+1)-INDEX(Reference!$B$6:$B$11,MIN(5,MATCH(MAX(Reference!$A$6,MIN(Reference!$A$11,MIN($U80,270))),Reference!$A$6:$A$11,1))))/(INDEX(Reference!$A$6:$A$11,MIN(5,MATCH(MAX(Reference!$A$6,MIN(Reference!$A$11,MIN($U80,270))),Reference!$A$6:$A$11,1))+1)-INDEX(Reference!$A$6:$A$11,MIN(5,MATCH(MAX(Reference!$A$6,MIN(Reference!$A$11,MIN($U80,270))),Reference!$A$6:$A$11,1))))),0)+IF(8&lt;=$AL80,($AL80-8+3)*(INDEX(Reference!$B$6:$B$11,MIN(5,MATCH(MAX(Reference!$A$6,MIN(Reference!$A$11,MIN($U80,300))),Reference!$A$6:$A$11,1)))+(MAX(Reference!$A$6,MIN(Reference!$A$11,MIN($U80,300)))-INDEX(Reference!$A$6:$A$11,MIN(5,MATCH(MAX(Reference!$A$6,MIN(Reference!$A$11,MIN($U80,300))),Reference!$A$6:$A$11,1))))*(INDEX(Reference!$B$6:$B$11,MIN(5,MATCH(MAX(Reference!$A$6,MIN(Reference!$A$11,MIN($U80,300))),Reference!$A$6:$A$11,1))+1)-INDEX(Reference!$B$6:$B$11,MIN(5,MATCH(MAX(Reference!$A$6,MIN(Reference!$A$11,MIN($U80,300))),Reference!$A$6:$A$11,1))))/(INDEX(Reference!$A$6:$A$11,MIN(5,MATCH(MAX(Reference!$A$6,MIN(Reference!$A$11,MIN($U80,300))),Reference!$A$6:$A$11,1))+1)-INDEX(Reference!$A$6:$A$11,MIN(5,MATCH(MAX(Reference!$A$6,MIN(Reference!$A$11,MIN($U80,300))),Reference!$A$6:$A$11,1))))),0))/($AL80*($AL80+5)/2)),$AN80))</f>
        <v>0</v>
      </c>
      <c r="AN80" s="32">
        <f>IF($U80="",0,(INDEX(Reference!$B$6:$B$11,MIN(5,MATCH(MAX(Reference!$A$6,MIN(Reference!$A$11,$U80)),Reference!$A$6:$A$11,1)))+(MAX(Reference!$A$6,MIN(Reference!$A$11,$U80))-INDEX(Reference!$A$6:$A$11,MIN(5,MATCH(MAX(Reference!$A$6,MIN(Reference!$A$11,$U80)),Reference!$A$6:$A$11,1))))*(INDEX(Reference!$B$6:$B$11,MIN(5,MATCH(MAX(Reference!$A$6,MIN(Reference!$A$11,$U80)),Reference!$A$6:$A$11,1))+1)-INDEX(Reference!$B$6:$B$11,MIN(5,MATCH(MAX(Reference!$A$6,MIN(Reference!$A$11,$U80)),Reference!$A$6:$A$11,1))))/(INDEX(Reference!$A$6:$A$11,MIN(5,MATCH(MAX(Reference!$A$6,MIN(Reference!$A$11,$U80)),Reference!$A$6:$A$11,1))+1)-INDEX(Reference!$A$6:$A$11,MIN(5,MATCH(MAX(Reference!$A$6,MIN(Reference!$A$11,$U80)),Reference!$A$6:$A$11,1))))))</f>
        <v>0</v>
      </c>
      <c r="AO80" s="37"/>
      <c r="AP80" s="37"/>
      <c r="AQ80" s="37"/>
    </row>
    <row r="81" spans="1:43" x14ac:dyDescent="0.3">
      <c r="A81" s="48">
        <f t="shared" si="30"/>
        <v>46380</v>
      </c>
      <c r="B81" s="32" t="str">
        <f t="shared" si="31"/>
        <v>Thu</v>
      </c>
      <c r="C81" s="32">
        <f t="shared" si="32"/>
        <v>7</v>
      </c>
      <c r="D81" s="32" t="str">
        <f t="shared" si="33"/>
        <v>Taper</v>
      </c>
      <c r="E81" s="32" t="str">
        <f t="shared" si="34"/>
        <v>Low</v>
      </c>
      <c r="F81" s="32" t="str">
        <f t="shared" si="35"/>
        <v>Recovery/Easy Catch</v>
      </c>
      <c r="G81" s="47" t="str">
        <f t="shared" si="36"/>
        <v>75 ft × 20 @ 66–70 mph</v>
      </c>
      <c r="H81" s="30">
        <f t="shared" si="37"/>
        <v>13.799999999999999</v>
      </c>
      <c r="I81" s="46">
        <f>IF($A81="","",IF(AND($L81&lt;27,$K$12=0),"Building",IFERROR(((SUM($H$75:$H81)+$K$12*IF($L81&lt;6,SUMIFS('Throw Log'!$Q$5:$Q$300,'Throw Log'!$B$5:$B$300,$D$4,'Throw Log'!$A$5:$A$300,"&gt;="&amp;($D$6+$L81-6),'Throw Log'!$A$5:$A$300,"&lt;="&amp;($D$6-1)),0))/7)/((SUM($H$54:$H81)+$K$12*IF($L81&lt;27,SUMIFS('Throw Log'!$Q$5:$Q$300,'Throw Log'!$B$5:$B$300,$D$4,'Throw Log'!$A$5:$A$300,"&gt;="&amp;($D$6+$L81-27),'Throw Log'!$A$5:$A$300,"&lt;="&amp;($D$6-1)),0))/28),"")))</f>
        <v>1.2634010664508497</v>
      </c>
      <c r="J81" s="37"/>
      <c r="K81" s="37">
        <v>20</v>
      </c>
      <c r="L81" s="32">
        <v>38</v>
      </c>
      <c r="M81" s="32">
        <f t="shared" si="38"/>
        <v>6</v>
      </c>
      <c r="N81" s="32">
        <f t="shared" si="39"/>
        <v>3</v>
      </c>
      <c r="O81" s="32">
        <f t="shared" si="40"/>
        <v>1</v>
      </c>
      <c r="P81" s="32" t="str">
        <f>IF(OR($A81="",N($C81)&lt;=7),"",$G$6*$G$9^($M81-1)*IF(AND(MOD($M81,Reference!$B$99)=0,$M81&lt;=$G$5-2),Reference!$B$100,1))</f>
        <v/>
      </c>
      <c r="Q81" s="32" t="str">
        <f>IF($P81="","",IF(SUM($AK$78:$AK$84)=0,0,$P81*INDEX(Reference!$B$108:$B$114,$N81+1)/SUM($AK$78:$AK$84)))</f>
        <v/>
      </c>
      <c r="R81" s="32">
        <f t="shared" si="41"/>
        <v>120</v>
      </c>
      <c r="S81" s="32">
        <f t="shared" si="42"/>
        <v>105</v>
      </c>
      <c r="T81" s="32" t="str">
        <f>IF($A81="","",IF($C81=0,"Bullpen",IF(OR($C81=7,$C81=1,$C81=5),"Recovery/Easy Catch",IF($C81=6,"Compression/Pulldowns",IF(OR($C81=4,$C81=2),"Long Toss",IF($C81=3,"No Throw",IF($N81=2,"No Throw",IF($N81=6,IF($O81&lt;Reference!$B$104,"No Throw","Recovery/Easy Catch"),IF(OR($N81=0,$N81=4),"Recovery/Easy Catch",IF($N81=1,IF($R81&gt;75,"Long Toss","Recovery/Easy Catch"),IF($N81=3,IF($O81&lt;0.5,IF($S81&gt;75,"Long Toss","Recovery/Easy Catch"),"Compression/Pulldowns"),IF($S81&gt;75,"Long Toss","Recovery/Easy Catch"))))))))))))</f>
        <v>Recovery/Easy Catch</v>
      </c>
      <c r="U81" s="32">
        <f t="shared" si="43"/>
        <v>75</v>
      </c>
      <c r="V81" s="32">
        <f t="shared" si="44"/>
        <v>18</v>
      </c>
      <c r="W81" s="32">
        <f t="shared" si="45"/>
        <v>22</v>
      </c>
      <c r="X81" s="32">
        <f t="shared" si="46"/>
        <v>0</v>
      </c>
      <c r="Y81" s="32" t="str">
        <f t="shared" si="47"/>
        <v/>
      </c>
      <c r="Z81" s="32" t="str">
        <f t="shared" si="48"/>
        <v/>
      </c>
      <c r="AA81" s="32">
        <f t="shared" si="49"/>
        <v>30</v>
      </c>
      <c r="AB81" s="32">
        <f>IF($A81="","",IF($T81="No Throw",0,IF($K81&lt;&gt;"",$K81,IF($AA81&lt;&gt;"",ROUND($AA81*$D$12*IF($C81=0,1,$G$10),0),MIN(IF($T81="Recovery/Easy Catch",Reference!$B$103,IF($T81="Long Toss",Reference!$B$106,Reference!$B$102)),MAX(Reference!$B$101,ROUND(MAX(0,$Q81-$AE81)/$AF81,0)))))))</f>
        <v>20</v>
      </c>
      <c r="AC81" s="32">
        <f t="shared" si="50"/>
        <v>0</v>
      </c>
      <c r="AD81" s="32" t="b">
        <f t="shared" si="51"/>
        <v>0</v>
      </c>
      <c r="AE81" s="32">
        <f>IF($X81=0,0,$X81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81+$Z81)/2,0),Reference!$A$17:$B$20,2,TRUE()))</f>
        <v>0</v>
      </c>
      <c r="AF81" s="32">
        <f>IF(OR($A81="",$U81="",$T81="No Throw"),0,$AM81*VLOOKUP(MAX(($V81+$W81)/2,0),Reference!$A$17:$B$20,2,TRUE()))</f>
        <v>0.69</v>
      </c>
      <c r="AG81" s="32">
        <f>IF($AC81=0,0,$AC81*INDEX(Reference!$B$61:$B$62,MATCH("Bullpen",Reference!$A$61:$A$62,0))*VLOOKUP(MAX($D$5-($D$9+$E$9)/2,0),Reference!$A$17:$B$20,2,TRUE()))</f>
        <v>0</v>
      </c>
      <c r="AH81" s="46">
        <f t="shared" si="52"/>
        <v>1.2634010664508497</v>
      </c>
      <c r="AI81" s="32">
        <f>IF($A81="",NA(),Reference!$A$25)</f>
        <v>0.8</v>
      </c>
      <c r="AJ81" s="32">
        <f t="shared" si="53"/>
        <v>1.3</v>
      </c>
      <c r="AK81" s="32">
        <f>IF(OR($A81="",N($C81)&lt;=7,$T81="No Throw",$J81="x"),0,INDEX(Reference!$B$108:$B$114,$N81+1))</f>
        <v>0</v>
      </c>
      <c r="AL81" s="32">
        <f t="shared" si="54"/>
        <v>1</v>
      </c>
      <c r="AM81" s="32">
        <f>IF($U81="",0,IF($AL81&gt;1,((IF(1&lt;=$AL81,($AL81-1+3)*(INDEX(Reference!$B$6:$B$11,MIN(5,MATCH(MAX(Reference!$A$6,MIN(Reference!$A$11,MIN($U81,90))),Reference!$A$6:$A$11,1)))+(MAX(Reference!$A$6,MIN(Reference!$A$11,MIN($U81,90)))-INDEX(Reference!$A$6:$A$11,MIN(5,MATCH(MAX(Reference!$A$6,MIN(Reference!$A$11,MIN($U81,90))),Reference!$A$6:$A$11,1))))*(INDEX(Reference!$B$6:$B$11,MIN(5,MATCH(MAX(Reference!$A$6,MIN(Reference!$A$11,MIN($U81,90))),Reference!$A$6:$A$11,1))+1)-INDEX(Reference!$B$6:$B$11,MIN(5,MATCH(MAX(Reference!$A$6,MIN(Reference!$A$11,MIN($U81,90))),Reference!$A$6:$A$11,1))))/(INDEX(Reference!$A$6:$A$11,MIN(5,MATCH(MAX(Reference!$A$6,MIN(Reference!$A$11,MIN($U81,90))),Reference!$A$6:$A$11,1))+1)-INDEX(Reference!$A$6:$A$11,MIN(5,MATCH(MAX(Reference!$A$6,MIN(Reference!$A$11,MIN($U81,90))),Reference!$A$6:$A$11,1))))),0)+IF(2&lt;=$AL81,($AL81-2+3)*(INDEX(Reference!$B$6:$B$11,MIN(5,MATCH(MAX(Reference!$A$6,MIN(Reference!$A$11,MIN($U81,120))),Reference!$A$6:$A$11,1)))+(MAX(Reference!$A$6,MIN(Reference!$A$11,MIN($U81,120)))-INDEX(Reference!$A$6:$A$11,MIN(5,MATCH(MAX(Reference!$A$6,MIN(Reference!$A$11,MIN($U81,120))),Reference!$A$6:$A$11,1))))*(INDEX(Reference!$B$6:$B$11,MIN(5,MATCH(MAX(Reference!$A$6,MIN(Reference!$A$11,MIN($U81,120))),Reference!$A$6:$A$11,1))+1)-INDEX(Reference!$B$6:$B$11,MIN(5,MATCH(MAX(Reference!$A$6,MIN(Reference!$A$11,MIN($U81,120))),Reference!$A$6:$A$11,1))))/(INDEX(Reference!$A$6:$A$11,MIN(5,MATCH(MAX(Reference!$A$6,MIN(Reference!$A$11,MIN($U81,120))),Reference!$A$6:$A$11,1))+1)-INDEX(Reference!$A$6:$A$11,MIN(5,MATCH(MAX(Reference!$A$6,MIN(Reference!$A$11,MIN($U81,120))),Reference!$A$6:$A$11,1))))),0)+IF(3&lt;=$AL81,($AL81-3+3)*(INDEX(Reference!$B$6:$B$11,MIN(5,MATCH(MAX(Reference!$A$6,MIN(Reference!$A$11,MIN($U81,150))),Reference!$A$6:$A$11,1)))+(MAX(Reference!$A$6,MIN(Reference!$A$11,MIN($U81,150)))-INDEX(Reference!$A$6:$A$11,MIN(5,MATCH(MAX(Reference!$A$6,MIN(Reference!$A$11,MIN($U81,150))),Reference!$A$6:$A$11,1))))*(INDEX(Reference!$B$6:$B$11,MIN(5,MATCH(MAX(Reference!$A$6,MIN(Reference!$A$11,MIN($U81,150))),Reference!$A$6:$A$11,1))+1)-INDEX(Reference!$B$6:$B$11,MIN(5,MATCH(MAX(Reference!$A$6,MIN(Reference!$A$11,MIN($U81,150))),Reference!$A$6:$A$11,1))))/(INDEX(Reference!$A$6:$A$11,MIN(5,MATCH(MAX(Reference!$A$6,MIN(Reference!$A$11,MIN($U81,150))),Reference!$A$6:$A$11,1))+1)-INDEX(Reference!$A$6:$A$11,MIN(5,MATCH(MAX(Reference!$A$6,MIN(Reference!$A$11,MIN($U81,150))),Reference!$A$6:$A$11,1))))),0)+IF(4&lt;=$AL81,($AL81-4+3)*(INDEX(Reference!$B$6:$B$11,MIN(5,MATCH(MAX(Reference!$A$6,MIN(Reference!$A$11,MIN($U81,180))),Reference!$A$6:$A$11,1)))+(MAX(Reference!$A$6,MIN(Reference!$A$11,MIN($U81,180)))-INDEX(Reference!$A$6:$A$11,MIN(5,MATCH(MAX(Reference!$A$6,MIN(Reference!$A$11,MIN($U81,180))),Reference!$A$6:$A$11,1))))*(INDEX(Reference!$B$6:$B$11,MIN(5,MATCH(MAX(Reference!$A$6,MIN(Reference!$A$11,MIN($U81,180))),Reference!$A$6:$A$11,1))+1)-INDEX(Reference!$B$6:$B$11,MIN(5,MATCH(MAX(Reference!$A$6,MIN(Reference!$A$11,MIN($U81,180))),Reference!$A$6:$A$11,1))))/(INDEX(Reference!$A$6:$A$11,MIN(5,MATCH(MAX(Reference!$A$6,MIN(Reference!$A$11,MIN($U81,180))),Reference!$A$6:$A$11,1))+1)-INDEX(Reference!$A$6:$A$11,MIN(5,MATCH(MAX(Reference!$A$6,MIN(Reference!$A$11,MIN($U81,180))),Reference!$A$6:$A$11,1))))),0)+IF(5&lt;=$AL81,($AL81-5+3)*(INDEX(Reference!$B$6:$B$11,MIN(5,MATCH(MAX(Reference!$A$6,MIN(Reference!$A$11,MIN($U81,210))),Reference!$A$6:$A$11,1)))+(MAX(Reference!$A$6,MIN(Reference!$A$11,MIN($U81,210)))-INDEX(Reference!$A$6:$A$11,MIN(5,MATCH(MAX(Reference!$A$6,MIN(Reference!$A$11,MIN($U81,210))),Reference!$A$6:$A$11,1))))*(INDEX(Reference!$B$6:$B$11,MIN(5,MATCH(MAX(Reference!$A$6,MIN(Reference!$A$11,MIN($U81,210))),Reference!$A$6:$A$11,1))+1)-INDEX(Reference!$B$6:$B$11,MIN(5,MATCH(MAX(Reference!$A$6,MIN(Reference!$A$11,MIN($U81,210))),Reference!$A$6:$A$11,1))))/(INDEX(Reference!$A$6:$A$11,MIN(5,MATCH(MAX(Reference!$A$6,MIN(Reference!$A$11,MIN($U81,210))),Reference!$A$6:$A$11,1))+1)-INDEX(Reference!$A$6:$A$11,MIN(5,MATCH(MAX(Reference!$A$6,MIN(Reference!$A$11,MIN($U81,210))),Reference!$A$6:$A$11,1))))),0)+IF(6&lt;=$AL81,($AL81-6+3)*(INDEX(Reference!$B$6:$B$11,MIN(5,MATCH(MAX(Reference!$A$6,MIN(Reference!$A$11,MIN($U81,240))),Reference!$A$6:$A$11,1)))+(MAX(Reference!$A$6,MIN(Reference!$A$11,MIN($U81,240)))-INDEX(Reference!$A$6:$A$11,MIN(5,MATCH(MAX(Reference!$A$6,MIN(Reference!$A$11,MIN($U81,240))),Reference!$A$6:$A$11,1))))*(INDEX(Reference!$B$6:$B$11,MIN(5,MATCH(MAX(Reference!$A$6,MIN(Reference!$A$11,MIN($U81,240))),Reference!$A$6:$A$11,1))+1)-INDEX(Reference!$B$6:$B$11,MIN(5,MATCH(MAX(Reference!$A$6,MIN(Reference!$A$11,MIN($U81,240))),Reference!$A$6:$A$11,1))))/(INDEX(Reference!$A$6:$A$11,MIN(5,MATCH(MAX(Reference!$A$6,MIN(Reference!$A$11,MIN($U81,240))),Reference!$A$6:$A$11,1))+1)-INDEX(Reference!$A$6:$A$11,MIN(5,MATCH(MAX(Reference!$A$6,MIN(Reference!$A$11,MIN($U81,240))),Reference!$A$6:$A$11,1))))),0)+IF(7&lt;=$AL81,($AL81-7+3)*(INDEX(Reference!$B$6:$B$11,MIN(5,MATCH(MAX(Reference!$A$6,MIN(Reference!$A$11,MIN($U81,270))),Reference!$A$6:$A$11,1)))+(MAX(Reference!$A$6,MIN(Reference!$A$11,MIN($U81,270)))-INDEX(Reference!$A$6:$A$11,MIN(5,MATCH(MAX(Reference!$A$6,MIN(Reference!$A$11,MIN($U81,270))),Reference!$A$6:$A$11,1))))*(INDEX(Reference!$B$6:$B$11,MIN(5,MATCH(MAX(Reference!$A$6,MIN(Reference!$A$11,MIN($U81,270))),Reference!$A$6:$A$11,1))+1)-INDEX(Reference!$B$6:$B$11,MIN(5,MATCH(MAX(Reference!$A$6,MIN(Reference!$A$11,MIN($U81,270))),Reference!$A$6:$A$11,1))))/(INDEX(Reference!$A$6:$A$11,MIN(5,MATCH(MAX(Reference!$A$6,MIN(Reference!$A$11,MIN($U81,270))),Reference!$A$6:$A$11,1))+1)-INDEX(Reference!$A$6:$A$11,MIN(5,MATCH(MAX(Reference!$A$6,MIN(Reference!$A$11,MIN($U81,270))),Reference!$A$6:$A$11,1))))),0)+IF(8&lt;=$AL81,($AL81-8+3)*(INDEX(Reference!$B$6:$B$11,MIN(5,MATCH(MAX(Reference!$A$6,MIN(Reference!$A$11,MIN($U81,300))),Reference!$A$6:$A$11,1)))+(MAX(Reference!$A$6,MIN(Reference!$A$11,MIN($U81,300)))-INDEX(Reference!$A$6:$A$11,MIN(5,MATCH(MAX(Reference!$A$6,MIN(Reference!$A$11,MIN($U81,300))),Reference!$A$6:$A$11,1))))*(INDEX(Reference!$B$6:$B$11,MIN(5,MATCH(MAX(Reference!$A$6,MIN(Reference!$A$11,MIN($U81,300))),Reference!$A$6:$A$11,1))+1)-INDEX(Reference!$B$6:$B$11,MIN(5,MATCH(MAX(Reference!$A$6,MIN(Reference!$A$11,MIN($U81,300))),Reference!$A$6:$A$11,1))))/(INDEX(Reference!$A$6:$A$11,MIN(5,MATCH(MAX(Reference!$A$6,MIN(Reference!$A$11,MIN($U81,300))),Reference!$A$6:$A$11,1))+1)-INDEX(Reference!$A$6:$A$11,MIN(5,MATCH(MAX(Reference!$A$6,MIN(Reference!$A$11,MIN($U81,300))),Reference!$A$6:$A$11,1))))),0))/($AL81*($AL81+5)/2)),$AN81))</f>
        <v>1.1499999999999999</v>
      </c>
      <c r="AN81" s="32">
        <f>IF($U81="",0,(INDEX(Reference!$B$6:$B$11,MIN(5,MATCH(MAX(Reference!$A$6,MIN(Reference!$A$11,$U81)),Reference!$A$6:$A$11,1)))+(MAX(Reference!$A$6,MIN(Reference!$A$11,$U81))-INDEX(Reference!$A$6:$A$11,MIN(5,MATCH(MAX(Reference!$A$6,MIN(Reference!$A$11,$U81)),Reference!$A$6:$A$11,1))))*(INDEX(Reference!$B$6:$B$11,MIN(5,MATCH(MAX(Reference!$A$6,MIN(Reference!$A$11,$U81)),Reference!$A$6:$A$11,1))+1)-INDEX(Reference!$B$6:$B$11,MIN(5,MATCH(MAX(Reference!$A$6,MIN(Reference!$A$11,$U81)),Reference!$A$6:$A$11,1))))/(INDEX(Reference!$A$6:$A$11,MIN(5,MATCH(MAX(Reference!$A$6,MIN(Reference!$A$11,$U81)),Reference!$A$6:$A$11,1))+1)-INDEX(Reference!$A$6:$A$11,MIN(5,MATCH(MAX(Reference!$A$6,MIN(Reference!$A$11,$U81)),Reference!$A$6:$A$11,1))))))</f>
        <v>1.1499999999999999</v>
      </c>
      <c r="AO81" s="37"/>
      <c r="AP81" s="37"/>
      <c r="AQ81" s="37"/>
    </row>
    <row r="82" spans="1:43" x14ac:dyDescent="0.3">
      <c r="A82" s="48">
        <f t="shared" si="30"/>
        <v>46381</v>
      </c>
      <c r="B82" s="32" t="str">
        <f t="shared" si="31"/>
        <v>Fri</v>
      </c>
      <c r="C82" s="32">
        <f t="shared" si="32"/>
        <v>6</v>
      </c>
      <c r="D82" s="32" t="str">
        <f t="shared" si="33"/>
        <v>Taper</v>
      </c>
      <c r="E82" s="32" t="str">
        <f t="shared" si="34"/>
        <v>High Non-Bullpen</v>
      </c>
      <c r="F82" s="32" t="str">
        <f t="shared" si="35"/>
        <v>Compression/Pulldowns</v>
      </c>
      <c r="G82" s="47" t="str">
        <f t="shared" si="36"/>
        <v>90 ft × 15 @ 79–81 mph + flat ground at 60 ft × 15 @ 82–84 mph</v>
      </c>
      <c r="H82" s="30">
        <f t="shared" si="37"/>
        <v>42</v>
      </c>
      <c r="I82" s="46">
        <f>IF($A82="","",IF(AND($L82&lt;27,$K$12=0),"Building",IFERROR(((SUM($H$76:$H82)+$K$12*IF($L82&lt;6,SUMIFS('Throw Log'!$Q$5:$Q$300,'Throw Log'!$B$5:$B$300,$D$4,'Throw Log'!$A$5:$A$300,"&gt;="&amp;($D$6+$L82-6),'Throw Log'!$A$5:$A$300,"&lt;="&amp;($D$6-1)),0))/7)/((SUM($H$55:$H82)+$K$12*IF($L82&lt;27,SUMIFS('Throw Log'!$Q$5:$Q$300,'Throw Log'!$B$5:$B$300,$D$4,'Throw Log'!$A$5:$A$300,"&gt;="&amp;($D$6+$L82-27),'Throw Log'!$A$5:$A$300,"&lt;="&amp;($D$6-1)),0))/28),"")))</f>
        <v>1.3908237615869576</v>
      </c>
      <c r="J82" s="37"/>
      <c r="K82" s="37"/>
      <c r="L82" s="32">
        <v>39</v>
      </c>
      <c r="M82" s="32">
        <f t="shared" si="38"/>
        <v>6</v>
      </c>
      <c r="N82" s="32">
        <f t="shared" si="39"/>
        <v>4</v>
      </c>
      <c r="O82" s="32">
        <f t="shared" si="40"/>
        <v>1</v>
      </c>
      <c r="P82" s="32" t="str">
        <f>IF(OR($A82="",N($C82)&lt;=7),"",$G$6*$G$9^($M82-1)*IF(AND(MOD($M82,Reference!$B$99)=0,$M82&lt;=$G$5-2),Reference!$B$100,1))</f>
        <v/>
      </c>
      <c r="Q82" s="32" t="str">
        <f>IF($P82="","",IF(SUM($AK$78:$AK$84)=0,0,$P82*INDEX(Reference!$B$108:$B$114,$N82+1)/SUM($AK$78:$AK$84)))</f>
        <v/>
      </c>
      <c r="R82" s="32">
        <f t="shared" si="41"/>
        <v>120</v>
      </c>
      <c r="S82" s="32">
        <f t="shared" si="42"/>
        <v>105</v>
      </c>
      <c r="T82" s="32" t="str">
        <f>IF($A82="","",IF($C82=0,"Bullpen",IF(OR($C82=7,$C82=1,$C82=5),"Recovery/Easy Catch",IF($C82=6,"Compression/Pulldowns",IF(OR($C82=4,$C82=2),"Long Toss",IF($C82=3,"No Throw",IF($N82=2,"No Throw",IF($N82=6,IF($O82&lt;Reference!$B$104,"No Throw","Recovery/Easy Catch"),IF(OR($N82=0,$N82=4),"Recovery/Easy Catch",IF($N82=1,IF($R82&gt;75,"Long Toss","Recovery/Easy Catch"),IF($N82=3,IF($O82&lt;0.5,IF($S82&gt;75,"Long Toss","Recovery/Easy Catch"),"Compression/Pulldowns"),IF($S82&gt;75,"Long Toss","Recovery/Easy Catch"))))))))))))</f>
        <v>Compression/Pulldowns</v>
      </c>
      <c r="U82" s="32">
        <f t="shared" si="43"/>
        <v>90</v>
      </c>
      <c r="V82" s="32">
        <f t="shared" si="44"/>
        <v>7</v>
      </c>
      <c r="W82" s="32">
        <f t="shared" si="45"/>
        <v>9</v>
      </c>
      <c r="X82" s="32">
        <f t="shared" si="46"/>
        <v>15</v>
      </c>
      <c r="Y82" s="32">
        <f t="shared" si="47"/>
        <v>3.9000000000000057</v>
      </c>
      <c r="Z82" s="32">
        <f t="shared" si="48"/>
        <v>5.9000000000000057</v>
      </c>
      <c r="AA82" s="32">
        <f t="shared" si="49"/>
        <v>25</v>
      </c>
      <c r="AB82" s="32">
        <f>IF($A82="","",IF($T82="No Throw",0,IF($K82&lt;&gt;"",$K82,IF($AA82&lt;&gt;"",ROUND($AA82*$D$12*IF($C82=0,1,$G$10),0),MIN(IF($T82="Recovery/Easy Catch",Reference!$B$103,IF($T82="Long Toss",Reference!$B$106,Reference!$B$102)),MAX(Reference!$B$101,ROUND(MAX(0,$Q82-$AE82)/$AF82,0)))))))</f>
        <v>15</v>
      </c>
      <c r="AC82" s="32">
        <f t="shared" si="50"/>
        <v>0</v>
      </c>
      <c r="AD82" s="32" t="b">
        <f t="shared" si="51"/>
        <v>0</v>
      </c>
      <c r="AE82" s="32">
        <f>IF($X82=0,0,$X82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82+$Z82)/2,0),Reference!$A$17:$B$20,2,TRUE()))</f>
        <v>22.5</v>
      </c>
      <c r="AF82" s="32">
        <f>IF(OR($A82="",$U82="",$T82="No Throw"),0,$AM82*VLOOKUP(MAX(($V82+$W82)/2,0),Reference!$A$17:$B$20,2,TRUE()))</f>
        <v>1.3</v>
      </c>
      <c r="AG82" s="32">
        <f>IF($AC82=0,0,$AC82*INDEX(Reference!$B$61:$B$62,MATCH("Bullpen",Reference!$A$61:$A$62,0))*VLOOKUP(MAX($D$5-($D$9+$E$9)/2,0),Reference!$A$17:$B$20,2,TRUE()))</f>
        <v>0</v>
      </c>
      <c r="AH82" s="46">
        <f t="shared" si="52"/>
        <v>1.3908237615869576</v>
      </c>
      <c r="AI82" s="32">
        <f>IF($A82="",NA(),Reference!$A$25)</f>
        <v>0.8</v>
      </c>
      <c r="AJ82" s="32">
        <f t="shared" si="53"/>
        <v>1.3</v>
      </c>
      <c r="AK82" s="32">
        <f>IF(OR($A82="",N($C82)&lt;=7,$T82="No Throw",$J82="x"),0,INDEX(Reference!$B$108:$B$114,$N82+1))</f>
        <v>0</v>
      </c>
      <c r="AL82" s="32">
        <f t="shared" si="54"/>
        <v>1</v>
      </c>
      <c r="AM82" s="32">
        <f>IF($U82="",0,IF($AL82&gt;1,((IF(1&lt;=$AL82,($AL82-1+3)*(INDEX(Reference!$B$6:$B$11,MIN(5,MATCH(MAX(Reference!$A$6,MIN(Reference!$A$11,MIN($U82,90))),Reference!$A$6:$A$11,1)))+(MAX(Reference!$A$6,MIN(Reference!$A$11,MIN($U82,90)))-INDEX(Reference!$A$6:$A$11,MIN(5,MATCH(MAX(Reference!$A$6,MIN(Reference!$A$11,MIN($U82,90))),Reference!$A$6:$A$11,1))))*(INDEX(Reference!$B$6:$B$11,MIN(5,MATCH(MAX(Reference!$A$6,MIN(Reference!$A$11,MIN($U82,90))),Reference!$A$6:$A$11,1))+1)-INDEX(Reference!$B$6:$B$11,MIN(5,MATCH(MAX(Reference!$A$6,MIN(Reference!$A$11,MIN($U82,90))),Reference!$A$6:$A$11,1))))/(INDEX(Reference!$A$6:$A$11,MIN(5,MATCH(MAX(Reference!$A$6,MIN(Reference!$A$11,MIN($U82,90))),Reference!$A$6:$A$11,1))+1)-INDEX(Reference!$A$6:$A$11,MIN(5,MATCH(MAX(Reference!$A$6,MIN(Reference!$A$11,MIN($U82,90))),Reference!$A$6:$A$11,1))))),0)+IF(2&lt;=$AL82,($AL82-2+3)*(INDEX(Reference!$B$6:$B$11,MIN(5,MATCH(MAX(Reference!$A$6,MIN(Reference!$A$11,MIN($U82,120))),Reference!$A$6:$A$11,1)))+(MAX(Reference!$A$6,MIN(Reference!$A$11,MIN($U82,120)))-INDEX(Reference!$A$6:$A$11,MIN(5,MATCH(MAX(Reference!$A$6,MIN(Reference!$A$11,MIN($U82,120))),Reference!$A$6:$A$11,1))))*(INDEX(Reference!$B$6:$B$11,MIN(5,MATCH(MAX(Reference!$A$6,MIN(Reference!$A$11,MIN($U82,120))),Reference!$A$6:$A$11,1))+1)-INDEX(Reference!$B$6:$B$11,MIN(5,MATCH(MAX(Reference!$A$6,MIN(Reference!$A$11,MIN($U82,120))),Reference!$A$6:$A$11,1))))/(INDEX(Reference!$A$6:$A$11,MIN(5,MATCH(MAX(Reference!$A$6,MIN(Reference!$A$11,MIN($U82,120))),Reference!$A$6:$A$11,1))+1)-INDEX(Reference!$A$6:$A$11,MIN(5,MATCH(MAX(Reference!$A$6,MIN(Reference!$A$11,MIN($U82,120))),Reference!$A$6:$A$11,1))))),0)+IF(3&lt;=$AL82,($AL82-3+3)*(INDEX(Reference!$B$6:$B$11,MIN(5,MATCH(MAX(Reference!$A$6,MIN(Reference!$A$11,MIN($U82,150))),Reference!$A$6:$A$11,1)))+(MAX(Reference!$A$6,MIN(Reference!$A$11,MIN($U82,150)))-INDEX(Reference!$A$6:$A$11,MIN(5,MATCH(MAX(Reference!$A$6,MIN(Reference!$A$11,MIN($U82,150))),Reference!$A$6:$A$11,1))))*(INDEX(Reference!$B$6:$B$11,MIN(5,MATCH(MAX(Reference!$A$6,MIN(Reference!$A$11,MIN($U82,150))),Reference!$A$6:$A$11,1))+1)-INDEX(Reference!$B$6:$B$11,MIN(5,MATCH(MAX(Reference!$A$6,MIN(Reference!$A$11,MIN($U82,150))),Reference!$A$6:$A$11,1))))/(INDEX(Reference!$A$6:$A$11,MIN(5,MATCH(MAX(Reference!$A$6,MIN(Reference!$A$11,MIN($U82,150))),Reference!$A$6:$A$11,1))+1)-INDEX(Reference!$A$6:$A$11,MIN(5,MATCH(MAX(Reference!$A$6,MIN(Reference!$A$11,MIN($U82,150))),Reference!$A$6:$A$11,1))))),0)+IF(4&lt;=$AL82,($AL82-4+3)*(INDEX(Reference!$B$6:$B$11,MIN(5,MATCH(MAX(Reference!$A$6,MIN(Reference!$A$11,MIN($U82,180))),Reference!$A$6:$A$11,1)))+(MAX(Reference!$A$6,MIN(Reference!$A$11,MIN($U82,180)))-INDEX(Reference!$A$6:$A$11,MIN(5,MATCH(MAX(Reference!$A$6,MIN(Reference!$A$11,MIN($U82,180))),Reference!$A$6:$A$11,1))))*(INDEX(Reference!$B$6:$B$11,MIN(5,MATCH(MAX(Reference!$A$6,MIN(Reference!$A$11,MIN($U82,180))),Reference!$A$6:$A$11,1))+1)-INDEX(Reference!$B$6:$B$11,MIN(5,MATCH(MAX(Reference!$A$6,MIN(Reference!$A$11,MIN($U82,180))),Reference!$A$6:$A$11,1))))/(INDEX(Reference!$A$6:$A$11,MIN(5,MATCH(MAX(Reference!$A$6,MIN(Reference!$A$11,MIN($U82,180))),Reference!$A$6:$A$11,1))+1)-INDEX(Reference!$A$6:$A$11,MIN(5,MATCH(MAX(Reference!$A$6,MIN(Reference!$A$11,MIN($U82,180))),Reference!$A$6:$A$11,1))))),0)+IF(5&lt;=$AL82,($AL82-5+3)*(INDEX(Reference!$B$6:$B$11,MIN(5,MATCH(MAX(Reference!$A$6,MIN(Reference!$A$11,MIN($U82,210))),Reference!$A$6:$A$11,1)))+(MAX(Reference!$A$6,MIN(Reference!$A$11,MIN($U82,210)))-INDEX(Reference!$A$6:$A$11,MIN(5,MATCH(MAX(Reference!$A$6,MIN(Reference!$A$11,MIN($U82,210))),Reference!$A$6:$A$11,1))))*(INDEX(Reference!$B$6:$B$11,MIN(5,MATCH(MAX(Reference!$A$6,MIN(Reference!$A$11,MIN($U82,210))),Reference!$A$6:$A$11,1))+1)-INDEX(Reference!$B$6:$B$11,MIN(5,MATCH(MAX(Reference!$A$6,MIN(Reference!$A$11,MIN($U82,210))),Reference!$A$6:$A$11,1))))/(INDEX(Reference!$A$6:$A$11,MIN(5,MATCH(MAX(Reference!$A$6,MIN(Reference!$A$11,MIN($U82,210))),Reference!$A$6:$A$11,1))+1)-INDEX(Reference!$A$6:$A$11,MIN(5,MATCH(MAX(Reference!$A$6,MIN(Reference!$A$11,MIN($U82,210))),Reference!$A$6:$A$11,1))))),0)+IF(6&lt;=$AL82,($AL82-6+3)*(INDEX(Reference!$B$6:$B$11,MIN(5,MATCH(MAX(Reference!$A$6,MIN(Reference!$A$11,MIN($U82,240))),Reference!$A$6:$A$11,1)))+(MAX(Reference!$A$6,MIN(Reference!$A$11,MIN($U82,240)))-INDEX(Reference!$A$6:$A$11,MIN(5,MATCH(MAX(Reference!$A$6,MIN(Reference!$A$11,MIN($U82,240))),Reference!$A$6:$A$11,1))))*(INDEX(Reference!$B$6:$B$11,MIN(5,MATCH(MAX(Reference!$A$6,MIN(Reference!$A$11,MIN($U82,240))),Reference!$A$6:$A$11,1))+1)-INDEX(Reference!$B$6:$B$11,MIN(5,MATCH(MAX(Reference!$A$6,MIN(Reference!$A$11,MIN($U82,240))),Reference!$A$6:$A$11,1))))/(INDEX(Reference!$A$6:$A$11,MIN(5,MATCH(MAX(Reference!$A$6,MIN(Reference!$A$11,MIN($U82,240))),Reference!$A$6:$A$11,1))+1)-INDEX(Reference!$A$6:$A$11,MIN(5,MATCH(MAX(Reference!$A$6,MIN(Reference!$A$11,MIN($U82,240))),Reference!$A$6:$A$11,1))))),0)+IF(7&lt;=$AL82,($AL82-7+3)*(INDEX(Reference!$B$6:$B$11,MIN(5,MATCH(MAX(Reference!$A$6,MIN(Reference!$A$11,MIN($U82,270))),Reference!$A$6:$A$11,1)))+(MAX(Reference!$A$6,MIN(Reference!$A$11,MIN($U82,270)))-INDEX(Reference!$A$6:$A$11,MIN(5,MATCH(MAX(Reference!$A$6,MIN(Reference!$A$11,MIN($U82,270))),Reference!$A$6:$A$11,1))))*(INDEX(Reference!$B$6:$B$11,MIN(5,MATCH(MAX(Reference!$A$6,MIN(Reference!$A$11,MIN($U82,270))),Reference!$A$6:$A$11,1))+1)-INDEX(Reference!$B$6:$B$11,MIN(5,MATCH(MAX(Reference!$A$6,MIN(Reference!$A$11,MIN($U82,270))),Reference!$A$6:$A$11,1))))/(INDEX(Reference!$A$6:$A$11,MIN(5,MATCH(MAX(Reference!$A$6,MIN(Reference!$A$11,MIN($U82,270))),Reference!$A$6:$A$11,1))+1)-INDEX(Reference!$A$6:$A$11,MIN(5,MATCH(MAX(Reference!$A$6,MIN(Reference!$A$11,MIN($U82,270))),Reference!$A$6:$A$11,1))))),0)+IF(8&lt;=$AL82,($AL82-8+3)*(INDEX(Reference!$B$6:$B$11,MIN(5,MATCH(MAX(Reference!$A$6,MIN(Reference!$A$11,MIN($U82,300))),Reference!$A$6:$A$11,1)))+(MAX(Reference!$A$6,MIN(Reference!$A$11,MIN($U82,300)))-INDEX(Reference!$A$6:$A$11,MIN(5,MATCH(MAX(Reference!$A$6,MIN(Reference!$A$11,MIN($U82,300))),Reference!$A$6:$A$11,1))))*(INDEX(Reference!$B$6:$B$11,MIN(5,MATCH(MAX(Reference!$A$6,MIN(Reference!$A$11,MIN($U82,300))),Reference!$A$6:$A$11,1))+1)-INDEX(Reference!$B$6:$B$11,MIN(5,MATCH(MAX(Reference!$A$6,MIN(Reference!$A$11,MIN($U82,300))),Reference!$A$6:$A$11,1))))/(INDEX(Reference!$A$6:$A$11,MIN(5,MATCH(MAX(Reference!$A$6,MIN(Reference!$A$11,MIN($U82,300))),Reference!$A$6:$A$11,1))+1)-INDEX(Reference!$A$6:$A$11,MIN(5,MATCH(MAX(Reference!$A$6,MIN(Reference!$A$11,MIN($U82,300))),Reference!$A$6:$A$11,1))))),0))/($AL82*($AL82+5)/2)),$AN82))</f>
        <v>1.3</v>
      </c>
      <c r="AN82" s="32">
        <f>IF($U82="",0,(INDEX(Reference!$B$6:$B$11,MIN(5,MATCH(MAX(Reference!$A$6,MIN(Reference!$A$11,$U82)),Reference!$A$6:$A$11,1)))+(MAX(Reference!$A$6,MIN(Reference!$A$11,$U82))-INDEX(Reference!$A$6:$A$11,MIN(5,MATCH(MAX(Reference!$A$6,MIN(Reference!$A$11,$U82)),Reference!$A$6:$A$11,1))))*(INDEX(Reference!$B$6:$B$11,MIN(5,MATCH(MAX(Reference!$A$6,MIN(Reference!$A$11,$U82)),Reference!$A$6:$A$11,1))+1)-INDEX(Reference!$B$6:$B$11,MIN(5,MATCH(MAX(Reference!$A$6,MIN(Reference!$A$11,$U82)),Reference!$A$6:$A$11,1))))/(INDEX(Reference!$A$6:$A$11,MIN(5,MATCH(MAX(Reference!$A$6,MIN(Reference!$A$11,$U82)),Reference!$A$6:$A$11,1))+1)-INDEX(Reference!$A$6:$A$11,MIN(5,MATCH(MAX(Reference!$A$6,MIN(Reference!$A$11,$U82)),Reference!$A$6:$A$11,1))))))</f>
        <v>1.3</v>
      </c>
      <c r="AO82" s="37"/>
      <c r="AP82" s="37"/>
      <c r="AQ82" s="37"/>
    </row>
    <row r="83" spans="1:43" x14ac:dyDescent="0.3">
      <c r="A83" s="48">
        <f t="shared" si="30"/>
        <v>46382</v>
      </c>
      <c r="B83" s="32" t="str">
        <f t="shared" si="31"/>
        <v>Sat</v>
      </c>
      <c r="C83" s="32">
        <f t="shared" si="32"/>
        <v>5</v>
      </c>
      <c r="D83" s="32" t="str">
        <f t="shared" si="33"/>
        <v>Taper</v>
      </c>
      <c r="E83" s="32" t="str">
        <f t="shared" si="34"/>
        <v>Low</v>
      </c>
      <c r="F83" s="32" t="str">
        <f t="shared" si="35"/>
        <v>Recovery/Easy Catch</v>
      </c>
      <c r="G83" s="47" t="str">
        <f t="shared" si="36"/>
        <v>60 ft × 20 @ 64–68 mph</v>
      </c>
      <c r="H83" s="30">
        <f t="shared" si="37"/>
        <v>12</v>
      </c>
      <c r="I83" s="46">
        <f>IF($A83="","",IF(AND($L83&lt;27,$K$12=0),"Building",IFERROR(((SUM($H$77:$H83)+$K$12*IF($L83&lt;6,SUMIFS('Throw Log'!$Q$5:$Q$300,'Throw Log'!$B$5:$B$300,$D$4,'Throw Log'!$A$5:$A$300,"&gt;="&amp;($D$6+$L83-6),'Throw Log'!$A$5:$A$300,"&lt;="&amp;($D$6-1)),0))/7)/((SUM($H$56:$H83)+$K$12*IF($L83&lt;27,SUMIFS('Throw Log'!$Q$5:$Q$300,'Throw Log'!$B$5:$B$300,$D$4,'Throw Log'!$A$5:$A$300,"&gt;="&amp;($D$6+$L83-27),'Throw Log'!$A$5:$A$300,"&lt;="&amp;($D$6-1)),0))/28),"")))</f>
        <v>1.2163895628654389</v>
      </c>
      <c r="J83" s="37"/>
      <c r="K83" s="37">
        <v>20</v>
      </c>
      <c r="L83" s="32">
        <v>40</v>
      </c>
      <c r="M83" s="32">
        <f t="shared" si="38"/>
        <v>6</v>
      </c>
      <c r="N83" s="32">
        <f t="shared" si="39"/>
        <v>5</v>
      </c>
      <c r="O83" s="32">
        <f t="shared" si="40"/>
        <v>1</v>
      </c>
      <c r="P83" s="32" t="str">
        <f>IF(OR($A83="",N($C83)&lt;=7),"",$G$6*$G$9^($M83-1)*IF(AND(MOD($M83,Reference!$B$99)=0,$M83&lt;=$G$5-2),Reference!$B$100,1))</f>
        <v/>
      </c>
      <c r="Q83" s="32" t="str">
        <f>IF($P83="","",IF(SUM($AK$78:$AK$84)=0,0,$P83*INDEX(Reference!$B$108:$B$114,$N83+1)/SUM($AK$78:$AK$84)))</f>
        <v/>
      </c>
      <c r="R83" s="32">
        <f t="shared" si="41"/>
        <v>120</v>
      </c>
      <c r="S83" s="32">
        <f t="shared" si="42"/>
        <v>105</v>
      </c>
      <c r="T83" s="32" t="str">
        <f>IF($A83="","",IF($C83=0,"Bullpen",IF(OR($C83=7,$C83=1,$C83=5),"Recovery/Easy Catch",IF($C83=6,"Compression/Pulldowns",IF(OR($C83=4,$C83=2),"Long Toss",IF($C83=3,"No Throw",IF($N83=2,"No Throw",IF($N83=6,IF($O83&lt;Reference!$B$104,"No Throw","Recovery/Easy Catch"),IF(OR($N83=0,$N83=4),"Recovery/Easy Catch",IF($N83=1,IF($R83&gt;75,"Long Toss","Recovery/Easy Catch"),IF($N83=3,IF($O83&lt;0.5,IF($S83&gt;75,"Long Toss","Recovery/Easy Catch"),"Compression/Pulldowns"),IF($S83&gt;75,"Long Toss","Recovery/Easy Catch"))))))))))))</f>
        <v>Recovery/Easy Catch</v>
      </c>
      <c r="U83" s="32">
        <f t="shared" si="43"/>
        <v>60</v>
      </c>
      <c r="V83" s="32">
        <f t="shared" si="44"/>
        <v>20</v>
      </c>
      <c r="W83" s="32">
        <f t="shared" si="45"/>
        <v>24</v>
      </c>
      <c r="X83" s="32">
        <f t="shared" si="46"/>
        <v>0</v>
      </c>
      <c r="Y83" s="32" t="str">
        <f t="shared" si="47"/>
        <v/>
      </c>
      <c r="Z83" s="32" t="str">
        <f t="shared" si="48"/>
        <v/>
      </c>
      <c r="AA83" s="32">
        <f t="shared" si="49"/>
        <v>30</v>
      </c>
      <c r="AB83" s="32">
        <f>IF($A83="","",IF($T83="No Throw",0,IF($K83&lt;&gt;"",$K83,IF($AA83&lt;&gt;"",ROUND($AA83*$D$12*IF($C83=0,1,$G$10),0),MIN(IF($T83="Recovery/Easy Catch",Reference!$B$103,IF($T83="Long Toss",Reference!$B$106,Reference!$B$102)),MAX(Reference!$B$101,ROUND(MAX(0,$Q83-$AE83)/$AF83,0)))))))</f>
        <v>20</v>
      </c>
      <c r="AC83" s="32">
        <f t="shared" si="50"/>
        <v>0</v>
      </c>
      <c r="AD83" s="32" t="b">
        <f t="shared" si="51"/>
        <v>0</v>
      </c>
      <c r="AE83" s="32">
        <f>IF($X83=0,0,$X83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83+$Z83)/2,0),Reference!$A$17:$B$20,2,TRUE()))</f>
        <v>0</v>
      </c>
      <c r="AF83" s="32">
        <f>IF(OR($A83="",$U83="",$T83="No Throw"),0,$AM83*VLOOKUP(MAX(($V83+$W83)/2,0),Reference!$A$17:$B$20,2,TRUE()))</f>
        <v>0.6</v>
      </c>
      <c r="AG83" s="32">
        <f>IF($AC83=0,0,$AC83*INDEX(Reference!$B$61:$B$62,MATCH("Bullpen",Reference!$A$61:$A$62,0))*VLOOKUP(MAX($D$5-($D$9+$E$9)/2,0),Reference!$A$17:$B$20,2,TRUE()))</f>
        <v>0</v>
      </c>
      <c r="AH83" s="46">
        <f t="shared" si="52"/>
        <v>1.2163895628654389</v>
      </c>
      <c r="AI83" s="32">
        <f>IF($A83="",NA(),Reference!$A$25)</f>
        <v>0.8</v>
      </c>
      <c r="AJ83" s="32">
        <f t="shared" si="53"/>
        <v>1.3</v>
      </c>
      <c r="AK83" s="32">
        <f>IF(OR($A83="",N($C83)&lt;=7,$T83="No Throw",$J83="x"),0,INDEX(Reference!$B$108:$B$114,$N83+1))</f>
        <v>0</v>
      </c>
      <c r="AL83" s="32">
        <f t="shared" si="54"/>
        <v>1</v>
      </c>
      <c r="AM83" s="32">
        <f>IF($U83="",0,IF($AL83&gt;1,((IF(1&lt;=$AL83,($AL83-1+3)*(INDEX(Reference!$B$6:$B$11,MIN(5,MATCH(MAX(Reference!$A$6,MIN(Reference!$A$11,MIN($U83,90))),Reference!$A$6:$A$11,1)))+(MAX(Reference!$A$6,MIN(Reference!$A$11,MIN($U83,90)))-INDEX(Reference!$A$6:$A$11,MIN(5,MATCH(MAX(Reference!$A$6,MIN(Reference!$A$11,MIN($U83,90))),Reference!$A$6:$A$11,1))))*(INDEX(Reference!$B$6:$B$11,MIN(5,MATCH(MAX(Reference!$A$6,MIN(Reference!$A$11,MIN($U83,90))),Reference!$A$6:$A$11,1))+1)-INDEX(Reference!$B$6:$B$11,MIN(5,MATCH(MAX(Reference!$A$6,MIN(Reference!$A$11,MIN($U83,90))),Reference!$A$6:$A$11,1))))/(INDEX(Reference!$A$6:$A$11,MIN(5,MATCH(MAX(Reference!$A$6,MIN(Reference!$A$11,MIN($U83,90))),Reference!$A$6:$A$11,1))+1)-INDEX(Reference!$A$6:$A$11,MIN(5,MATCH(MAX(Reference!$A$6,MIN(Reference!$A$11,MIN($U83,90))),Reference!$A$6:$A$11,1))))),0)+IF(2&lt;=$AL83,($AL83-2+3)*(INDEX(Reference!$B$6:$B$11,MIN(5,MATCH(MAX(Reference!$A$6,MIN(Reference!$A$11,MIN($U83,120))),Reference!$A$6:$A$11,1)))+(MAX(Reference!$A$6,MIN(Reference!$A$11,MIN($U83,120)))-INDEX(Reference!$A$6:$A$11,MIN(5,MATCH(MAX(Reference!$A$6,MIN(Reference!$A$11,MIN($U83,120))),Reference!$A$6:$A$11,1))))*(INDEX(Reference!$B$6:$B$11,MIN(5,MATCH(MAX(Reference!$A$6,MIN(Reference!$A$11,MIN($U83,120))),Reference!$A$6:$A$11,1))+1)-INDEX(Reference!$B$6:$B$11,MIN(5,MATCH(MAX(Reference!$A$6,MIN(Reference!$A$11,MIN($U83,120))),Reference!$A$6:$A$11,1))))/(INDEX(Reference!$A$6:$A$11,MIN(5,MATCH(MAX(Reference!$A$6,MIN(Reference!$A$11,MIN($U83,120))),Reference!$A$6:$A$11,1))+1)-INDEX(Reference!$A$6:$A$11,MIN(5,MATCH(MAX(Reference!$A$6,MIN(Reference!$A$11,MIN($U83,120))),Reference!$A$6:$A$11,1))))),0)+IF(3&lt;=$AL83,($AL83-3+3)*(INDEX(Reference!$B$6:$B$11,MIN(5,MATCH(MAX(Reference!$A$6,MIN(Reference!$A$11,MIN($U83,150))),Reference!$A$6:$A$11,1)))+(MAX(Reference!$A$6,MIN(Reference!$A$11,MIN($U83,150)))-INDEX(Reference!$A$6:$A$11,MIN(5,MATCH(MAX(Reference!$A$6,MIN(Reference!$A$11,MIN($U83,150))),Reference!$A$6:$A$11,1))))*(INDEX(Reference!$B$6:$B$11,MIN(5,MATCH(MAX(Reference!$A$6,MIN(Reference!$A$11,MIN($U83,150))),Reference!$A$6:$A$11,1))+1)-INDEX(Reference!$B$6:$B$11,MIN(5,MATCH(MAX(Reference!$A$6,MIN(Reference!$A$11,MIN($U83,150))),Reference!$A$6:$A$11,1))))/(INDEX(Reference!$A$6:$A$11,MIN(5,MATCH(MAX(Reference!$A$6,MIN(Reference!$A$11,MIN($U83,150))),Reference!$A$6:$A$11,1))+1)-INDEX(Reference!$A$6:$A$11,MIN(5,MATCH(MAX(Reference!$A$6,MIN(Reference!$A$11,MIN($U83,150))),Reference!$A$6:$A$11,1))))),0)+IF(4&lt;=$AL83,($AL83-4+3)*(INDEX(Reference!$B$6:$B$11,MIN(5,MATCH(MAX(Reference!$A$6,MIN(Reference!$A$11,MIN($U83,180))),Reference!$A$6:$A$11,1)))+(MAX(Reference!$A$6,MIN(Reference!$A$11,MIN($U83,180)))-INDEX(Reference!$A$6:$A$11,MIN(5,MATCH(MAX(Reference!$A$6,MIN(Reference!$A$11,MIN($U83,180))),Reference!$A$6:$A$11,1))))*(INDEX(Reference!$B$6:$B$11,MIN(5,MATCH(MAX(Reference!$A$6,MIN(Reference!$A$11,MIN($U83,180))),Reference!$A$6:$A$11,1))+1)-INDEX(Reference!$B$6:$B$11,MIN(5,MATCH(MAX(Reference!$A$6,MIN(Reference!$A$11,MIN($U83,180))),Reference!$A$6:$A$11,1))))/(INDEX(Reference!$A$6:$A$11,MIN(5,MATCH(MAX(Reference!$A$6,MIN(Reference!$A$11,MIN($U83,180))),Reference!$A$6:$A$11,1))+1)-INDEX(Reference!$A$6:$A$11,MIN(5,MATCH(MAX(Reference!$A$6,MIN(Reference!$A$11,MIN($U83,180))),Reference!$A$6:$A$11,1))))),0)+IF(5&lt;=$AL83,($AL83-5+3)*(INDEX(Reference!$B$6:$B$11,MIN(5,MATCH(MAX(Reference!$A$6,MIN(Reference!$A$11,MIN($U83,210))),Reference!$A$6:$A$11,1)))+(MAX(Reference!$A$6,MIN(Reference!$A$11,MIN($U83,210)))-INDEX(Reference!$A$6:$A$11,MIN(5,MATCH(MAX(Reference!$A$6,MIN(Reference!$A$11,MIN($U83,210))),Reference!$A$6:$A$11,1))))*(INDEX(Reference!$B$6:$B$11,MIN(5,MATCH(MAX(Reference!$A$6,MIN(Reference!$A$11,MIN($U83,210))),Reference!$A$6:$A$11,1))+1)-INDEX(Reference!$B$6:$B$11,MIN(5,MATCH(MAX(Reference!$A$6,MIN(Reference!$A$11,MIN($U83,210))),Reference!$A$6:$A$11,1))))/(INDEX(Reference!$A$6:$A$11,MIN(5,MATCH(MAX(Reference!$A$6,MIN(Reference!$A$11,MIN($U83,210))),Reference!$A$6:$A$11,1))+1)-INDEX(Reference!$A$6:$A$11,MIN(5,MATCH(MAX(Reference!$A$6,MIN(Reference!$A$11,MIN($U83,210))),Reference!$A$6:$A$11,1))))),0)+IF(6&lt;=$AL83,($AL83-6+3)*(INDEX(Reference!$B$6:$B$11,MIN(5,MATCH(MAX(Reference!$A$6,MIN(Reference!$A$11,MIN($U83,240))),Reference!$A$6:$A$11,1)))+(MAX(Reference!$A$6,MIN(Reference!$A$11,MIN($U83,240)))-INDEX(Reference!$A$6:$A$11,MIN(5,MATCH(MAX(Reference!$A$6,MIN(Reference!$A$11,MIN($U83,240))),Reference!$A$6:$A$11,1))))*(INDEX(Reference!$B$6:$B$11,MIN(5,MATCH(MAX(Reference!$A$6,MIN(Reference!$A$11,MIN($U83,240))),Reference!$A$6:$A$11,1))+1)-INDEX(Reference!$B$6:$B$11,MIN(5,MATCH(MAX(Reference!$A$6,MIN(Reference!$A$11,MIN($U83,240))),Reference!$A$6:$A$11,1))))/(INDEX(Reference!$A$6:$A$11,MIN(5,MATCH(MAX(Reference!$A$6,MIN(Reference!$A$11,MIN($U83,240))),Reference!$A$6:$A$11,1))+1)-INDEX(Reference!$A$6:$A$11,MIN(5,MATCH(MAX(Reference!$A$6,MIN(Reference!$A$11,MIN($U83,240))),Reference!$A$6:$A$11,1))))),0)+IF(7&lt;=$AL83,($AL83-7+3)*(INDEX(Reference!$B$6:$B$11,MIN(5,MATCH(MAX(Reference!$A$6,MIN(Reference!$A$11,MIN($U83,270))),Reference!$A$6:$A$11,1)))+(MAX(Reference!$A$6,MIN(Reference!$A$11,MIN($U83,270)))-INDEX(Reference!$A$6:$A$11,MIN(5,MATCH(MAX(Reference!$A$6,MIN(Reference!$A$11,MIN($U83,270))),Reference!$A$6:$A$11,1))))*(INDEX(Reference!$B$6:$B$11,MIN(5,MATCH(MAX(Reference!$A$6,MIN(Reference!$A$11,MIN($U83,270))),Reference!$A$6:$A$11,1))+1)-INDEX(Reference!$B$6:$B$11,MIN(5,MATCH(MAX(Reference!$A$6,MIN(Reference!$A$11,MIN($U83,270))),Reference!$A$6:$A$11,1))))/(INDEX(Reference!$A$6:$A$11,MIN(5,MATCH(MAX(Reference!$A$6,MIN(Reference!$A$11,MIN($U83,270))),Reference!$A$6:$A$11,1))+1)-INDEX(Reference!$A$6:$A$11,MIN(5,MATCH(MAX(Reference!$A$6,MIN(Reference!$A$11,MIN($U83,270))),Reference!$A$6:$A$11,1))))),0)+IF(8&lt;=$AL83,($AL83-8+3)*(INDEX(Reference!$B$6:$B$11,MIN(5,MATCH(MAX(Reference!$A$6,MIN(Reference!$A$11,MIN($U83,300))),Reference!$A$6:$A$11,1)))+(MAX(Reference!$A$6,MIN(Reference!$A$11,MIN($U83,300)))-INDEX(Reference!$A$6:$A$11,MIN(5,MATCH(MAX(Reference!$A$6,MIN(Reference!$A$11,MIN($U83,300))),Reference!$A$6:$A$11,1))))*(INDEX(Reference!$B$6:$B$11,MIN(5,MATCH(MAX(Reference!$A$6,MIN(Reference!$A$11,MIN($U83,300))),Reference!$A$6:$A$11,1))+1)-INDEX(Reference!$B$6:$B$11,MIN(5,MATCH(MAX(Reference!$A$6,MIN(Reference!$A$11,MIN($U83,300))),Reference!$A$6:$A$11,1))))/(INDEX(Reference!$A$6:$A$11,MIN(5,MATCH(MAX(Reference!$A$6,MIN(Reference!$A$11,MIN($U83,300))),Reference!$A$6:$A$11,1))+1)-INDEX(Reference!$A$6:$A$11,MIN(5,MATCH(MAX(Reference!$A$6,MIN(Reference!$A$11,MIN($U83,300))),Reference!$A$6:$A$11,1))))),0))/($AL83*($AL83+5)/2)),$AN83))</f>
        <v>1</v>
      </c>
      <c r="AN83" s="32">
        <f>IF($U83="",0,(INDEX(Reference!$B$6:$B$11,MIN(5,MATCH(MAX(Reference!$A$6,MIN(Reference!$A$11,$U83)),Reference!$A$6:$A$11,1)))+(MAX(Reference!$A$6,MIN(Reference!$A$11,$U83))-INDEX(Reference!$A$6:$A$11,MIN(5,MATCH(MAX(Reference!$A$6,MIN(Reference!$A$11,$U83)),Reference!$A$6:$A$11,1))))*(INDEX(Reference!$B$6:$B$11,MIN(5,MATCH(MAX(Reference!$A$6,MIN(Reference!$A$11,$U83)),Reference!$A$6:$A$11,1))+1)-INDEX(Reference!$B$6:$B$11,MIN(5,MATCH(MAX(Reference!$A$6,MIN(Reference!$A$11,$U83)),Reference!$A$6:$A$11,1))))/(INDEX(Reference!$A$6:$A$11,MIN(5,MATCH(MAX(Reference!$A$6,MIN(Reference!$A$11,$U83)),Reference!$A$6:$A$11,1))+1)-INDEX(Reference!$A$6:$A$11,MIN(5,MATCH(MAX(Reference!$A$6,MIN(Reference!$A$11,$U83)),Reference!$A$6:$A$11,1))))))</f>
        <v>1</v>
      </c>
      <c r="AO83" s="37"/>
      <c r="AP83" s="37"/>
      <c r="AQ83" s="37"/>
    </row>
    <row r="84" spans="1:43" x14ac:dyDescent="0.3">
      <c r="A84" s="48">
        <f t="shared" si="30"/>
        <v>46383</v>
      </c>
      <c r="B84" s="32" t="str">
        <f t="shared" si="31"/>
        <v>Sun</v>
      </c>
      <c r="C84" s="32">
        <f t="shared" si="32"/>
        <v>4</v>
      </c>
      <c r="D84" s="32" t="str">
        <f t="shared" si="33"/>
        <v>Taper</v>
      </c>
      <c r="E84" s="32" t="str">
        <f t="shared" si="34"/>
        <v>Medium</v>
      </c>
      <c r="F84" s="32" t="str">
        <f t="shared" si="35"/>
        <v>Long Toss</v>
      </c>
      <c r="G84" s="47" t="str">
        <f t="shared" si="36"/>
        <v>90 ft × 20 @ 75–78 mph + flat ground at 60 ft × 9 @ 78–80 mph</v>
      </c>
      <c r="H84" s="30">
        <f t="shared" si="37"/>
        <v>24.6</v>
      </c>
      <c r="I84" s="46">
        <f>IF($A84="","",IF(AND($L84&lt;27,$K$12=0),"Building",IFERROR(((SUM($H$78:$H84)+$K$12*IF($L84&lt;6,SUMIFS('Throw Log'!$Q$5:$Q$300,'Throw Log'!$B$5:$B$300,$D$4,'Throw Log'!$A$5:$A$300,"&gt;="&amp;($D$6+$L84-6),'Throw Log'!$A$5:$A$300,"&lt;="&amp;($D$6-1)),0))/7)/((SUM($H$57:$H84)+$K$12*IF($L84&lt;27,SUMIFS('Throw Log'!$Q$5:$Q$300,'Throw Log'!$B$5:$B$300,$D$4,'Throw Log'!$A$5:$A$300,"&gt;="&amp;($D$6+$L84-27),'Throw Log'!$A$5:$A$300,"&lt;="&amp;($D$6-1)),0))/28),"")))</f>
        <v>1.2505602227541024</v>
      </c>
      <c r="J84" s="37"/>
      <c r="K84" s="37">
        <v>20</v>
      </c>
      <c r="L84" s="32">
        <v>41</v>
      </c>
      <c r="M84" s="32">
        <f t="shared" si="38"/>
        <v>6</v>
      </c>
      <c r="N84" s="32">
        <f t="shared" si="39"/>
        <v>6</v>
      </c>
      <c r="O84" s="32">
        <f t="shared" si="40"/>
        <v>1</v>
      </c>
      <c r="P84" s="32" t="str">
        <f>IF(OR($A84="",N($C84)&lt;=7),"",$G$6*$G$9^($M84-1)*IF(AND(MOD($M84,Reference!$B$99)=0,$M84&lt;=$G$5-2),Reference!$B$100,1))</f>
        <v/>
      </c>
      <c r="Q84" s="32" t="str">
        <f>IF($P84="","",IF(SUM($AK$78:$AK$84)=0,0,$P84*INDEX(Reference!$B$108:$B$114,$N84+1)/SUM($AK$78:$AK$84)))</f>
        <v/>
      </c>
      <c r="R84" s="32">
        <f t="shared" si="41"/>
        <v>120</v>
      </c>
      <c r="S84" s="32">
        <f t="shared" si="42"/>
        <v>105</v>
      </c>
      <c r="T84" s="32" t="str">
        <f>IF($A84="","",IF($C84=0,"Bullpen",IF(OR($C84=7,$C84=1,$C84=5),"Recovery/Easy Catch",IF($C84=6,"Compression/Pulldowns",IF(OR($C84=4,$C84=2),"Long Toss",IF($C84=3,"No Throw",IF($N84=2,"No Throw",IF($N84=6,IF($O84&lt;Reference!$B$104,"No Throw","Recovery/Easy Catch"),IF(OR($N84=0,$N84=4),"Recovery/Easy Catch",IF($N84=1,IF($R84&gt;75,"Long Toss","Recovery/Easy Catch"),IF($N84=3,IF($O84&lt;0.5,IF($S84&gt;75,"Long Toss","Recovery/Easy Catch"),"Compression/Pulldowns"),IF($S84&gt;75,"Long Toss","Recovery/Easy Catch"))))))))))))</f>
        <v>Long Toss</v>
      </c>
      <c r="U84" s="32">
        <f t="shared" si="43"/>
        <v>90</v>
      </c>
      <c r="V84" s="32">
        <f t="shared" si="44"/>
        <v>10</v>
      </c>
      <c r="W84" s="32">
        <f t="shared" si="45"/>
        <v>13</v>
      </c>
      <c r="X84" s="32">
        <f t="shared" si="46"/>
        <v>9</v>
      </c>
      <c r="Y84" s="32">
        <f t="shared" si="47"/>
        <v>8</v>
      </c>
      <c r="Z84" s="32">
        <f t="shared" si="48"/>
        <v>10</v>
      </c>
      <c r="AA84" s="32">
        <f t="shared" si="49"/>
        <v>30</v>
      </c>
      <c r="AB84" s="32">
        <f>IF($A84="","",IF($T84="No Throw",0,IF($K84&lt;&gt;"",$K84,IF($AA84&lt;&gt;"",ROUND($AA84*$D$12*IF($C84=0,1,$G$10),0),MIN(IF($T84="Recovery/Easy Catch",Reference!$B$103,IF($T84="Long Toss",Reference!$B$106,Reference!$B$102)),MAX(Reference!$B$101,ROUND(MAX(0,$Q84-$AE84)/$AF84,0)))))))</f>
        <v>20</v>
      </c>
      <c r="AC84" s="32">
        <f t="shared" si="50"/>
        <v>0</v>
      </c>
      <c r="AD84" s="32" t="b">
        <f t="shared" si="51"/>
        <v>0</v>
      </c>
      <c r="AE84" s="32">
        <f>IF($X84=0,0,$X84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84+$Z84)/2,0),Reference!$A$17:$B$20,2,TRUE()))</f>
        <v>9</v>
      </c>
      <c r="AF84" s="32">
        <f>IF(OR($A84="",$U84="",$T84="No Throw"),0,$AM84*VLOOKUP(MAX(($V84+$W84)/2,0),Reference!$A$17:$B$20,2,TRUE()))</f>
        <v>0.78</v>
      </c>
      <c r="AG84" s="32">
        <f>IF($AC84=0,0,$AC84*INDEX(Reference!$B$61:$B$62,MATCH("Bullpen",Reference!$A$61:$A$62,0))*VLOOKUP(MAX($D$5-($D$9+$E$9)/2,0),Reference!$A$17:$B$20,2,TRUE()))</f>
        <v>0</v>
      </c>
      <c r="AH84" s="46">
        <f t="shared" si="52"/>
        <v>1.2505602227541024</v>
      </c>
      <c r="AI84" s="32">
        <f>IF($A84="",NA(),Reference!$A$25)</f>
        <v>0.8</v>
      </c>
      <c r="AJ84" s="32">
        <f t="shared" si="53"/>
        <v>1.3</v>
      </c>
      <c r="AK84" s="32">
        <f>IF(OR($A84="",N($C84)&lt;=7,$T84="No Throw",$J84="x"),0,INDEX(Reference!$B$108:$B$114,$N84+1))</f>
        <v>0</v>
      </c>
      <c r="AL84" s="32">
        <f t="shared" si="54"/>
        <v>1</v>
      </c>
      <c r="AM84" s="32">
        <f>IF($U84="",0,IF($AL84&gt;1,((IF(1&lt;=$AL84,($AL84-1+3)*(INDEX(Reference!$B$6:$B$11,MIN(5,MATCH(MAX(Reference!$A$6,MIN(Reference!$A$11,MIN($U84,90))),Reference!$A$6:$A$11,1)))+(MAX(Reference!$A$6,MIN(Reference!$A$11,MIN($U84,90)))-INDEX(Reference!$A$6:$A$11,MIN(5,MATCH(MAX(Reference!$A$6,MIN(Reference!$A$11,MIN($U84,90))),Reference!$A$6:$A$11,1))))*(INDEX(Reference!$B$6:$B$11,MIN(5,MATCH(MAX(Reference!$A$6,MIN(Reference!$A$11,MIN($U84,90))),Reference!$A$6:$A$11,1))+1)-INDEX(Reference!$B$6:$B$11,MIN(5,MATCH(MAX(Reference!$A$6,MIN(Reference!$A$11,MIN($U84,90))),Reference!$A$6:$A$11,1))))/(INDEX(Reference!$A$6:$A$11,MIN(5,MATCH(MAX(Reference!$A$6,MIN(Reference!$A$11,MIN($U84,90))),Reference!$A$6:$A$11,1))+1)-INDEX(Reference!$A$6:$A$11,MIN(5,MATCH(MAX(Reference!$A$6,MIN(Reference!$A$11,MIN($U84,90))),Reference!$A$6:$A$11,1))))),0)+IF(2&lt;=$AL84,($AL84-2+3)*(INDEX(Reference!$B$6:$B$11,MIN(5,MATCH(MAX(Reference!$A$6,MIN(Reference!$A$11,MIN($U84,120))),Reference!$A$6:$A$11,1)))+(MAX(Reference!$A$6,MIN(Reference!$A$11,MIN($U84,120)))-INDEX(Reference!$A$6:$A$11,MIN(5,MATCH(MAX(Reference!$A$6,MIN(Reference!$A$11,MIN($U84,120))),Reference!$A$6:$A$11,1))))*(INDEX(Reference!$B$6:$B$11,MIN(5,MATCH(MAX(Reference!$A$6,MIN(Reference!$A$11,MIN($U84,120))),Reference!$A$6:$A$11,1))+1)-INDEX(Reference!$B$6:$B$11,MIN(5,MATCH(MAX(Reference!$A$6,MIN(Reference!$A$11,MIN($U84,120))),Reference!$A$6:$A$11,1))))/(INDEX(Reference!$A$6:$A$11,MIN(5,MATCH(MAX(Reference!$A$6,MIN(Reference!$A$11,MIN($U84,120))),Reference!$A$6:$A$11,1))+1)-INDEX(Reference!$A$6:$A$11,MIN(5,MATCH(MAX(Reference!$A$6,MIN(Reference!$A$11,MIN($U84,120))),Reference!$A$6:$A$11,1))))),0)+IF(3&lt;=$AL84,($AL84-3+3)*(INDEX(Reference!$B$6:$B$11,MIN(5,MATCH(MAX(Reference!$A$6,MIN(Reference!$A$11,MIN($U84,150))),Reference!$A$6:$A$11,1)))+(MAX(Reference!$A$6,MIN(Reference!$A$11,MIN($U84,150)))-INDEX(Reference!$A$6:$A$11,MIN(5,MATCH(MAX(Reference!$A$6,MIN(Reference!$A$11,MIN($U84,150))),Reference!$A$6:$A$11,1))))*(INDEX(Reference!$B$6:$B$11,MIN(5,MATCH(MAX(Reference!$A$6,MIN(Reference!$A$11,MIN($U84,150))),Reference!$A$6:$A$11,1))+1)-INDEX(Reference!$B$6:$B$11,MIN(5,MATCH(MAX(Reference!$A$6,MIN(Reference!$A$11,MIN($U84,150))),Reference!$A$6:$A$11,1))))/(INDEX(Reference!$A$6:$A$11,MIN(5,MATCH(MAX(Reference!$A$6,MIN(Reference!$A$11,MIN($U84,150))),Reference!$A$6:$A$11,1))+1)-INDEX(Reference!$A$6:$A$11,MIN(5,MATCH(MAX(Reference!$A$6,MIN(Reference!$A$11,MIN($U84,150))),Reference!$A$6:$A$11,1))))),0)+IF(4&lt;=$AL84,($AL84-4+3)*(INDEX(Reference!$B$6:$B$11,MIN(5,MATCH(MAX(Reference!$A$6,MIN(Reference!$A$11,MIN($U84,180))),Reference!$A$6:$A$11,1)))+(MAX(Reference!$A$6,MIN(Reference!$A$11,MIN($U84,180)))-INDEX(Reference!$A$6:$A$11,MIN(5,MATCH(MAX(Reference!$A$6,MIN(Reference!$A$11,MIN($U84,180))),Reference!$A$6:$A$11,1))))*(INDEX(Reference!$B$6:$B$11,MIN(5,MATCH(MAX(Reference!$A$6,MIN(Reference!$A$11,MIN($U84,180))),Reference!$A$6:$A$11,1))+1)-INDEX(Reference!$B$6:$B$11,MIN(5,MATCH(MAX(Reference!$A$6,MIN(Reference!$A$11,MIN($U84,180))),Reference!$A$6:$A$11,1))))/(INDEX(Reference!$A$6:$A$11,MIN(5,MATCH(MAX(Reference!$A$6,MIN(Reference!$A$11,MIN($U84,180))),Reference!$A$6:$A$11,1))+1)-INDEX(Reference!$A$6:$A$11,MIN(5,MATCH(MAX(Reference!$A$6,MIN(Reference!$A$11,MIN($U84,180))),Reference!$A$6:$A$11,1))))),0)+IF(5&lt;=$AL84,($AL84-5+3)*(INDEX(Reference!$B$6:$B$11,MIN(5,MATCH(MAX(Reference!$A$6,MIN(Reference!$A$11,MIN($U84,210))),Reference!$A$6:$A$11,1)))+(MAX(Reference!$A$6,MIN(Reference!$A$11,MIN($U84,210)))-INDEX(Reference!$A$6:$A$11,MIN(5,MATCH(MAX(Reference!$A$6,MIN(Reference!$A$11,MIN($U84,210))),Reference!$A$6:$A$11,1))))*(INDEX(Reference!$B$6:$B$11,MIN(5,MATCH(MAX(Reference!$A$6,MIN(Reference!$A$11,MIN($U84,210))),Reference!$A$6:$A$11,1))+1)-INDEX(Reference!$B$6:$B$11,MIN(5,MATCH(MAX(Reference!$A$6,MIN(Reference!$A$11,MIN($U84,210))),Reference!$A$6:$A$11,1))))/(INDEX(Reference!$A$6:$A$11,MIN(5,MATCH(MAX(Reference!$A$6,MIN(Reference!$A$11,MIN($U84,210))),Reference!$A$6:$A$11,1))+1)-INDEX(Reference!$A$6:$A$11,MIN(5,MATCH(MAX(Reference!$A$6,MIN(Reference!$A$11,MIN($U84,210))),Reference!$A$6:$A$11,1))))),0)+IF(6&lt;=$AL84,($AL84-6+3)*(INDEX(Reference!$B$6:$B$11,MIN(5,MATCH(MAX(Reference!$A$6,MIN(Reference!$A$11,MIN($U84,240))),Reference!$A$6:$A$11,1)))+(MAX(Reference!$A$6,MIN(Reference!$A$11,MIN($U84,240)))-INDEX(Reference!$A$6:$A$11,MIN(5,MATCH(MAX(Reference!$A$6,MIN(Reference!$A$11,MIN($U84,240))),Reference!$A$6:$A$11,1))))*(INDEX(Reference!$B$6:$B$11,MIN(5,MATCH(MAX(Reference!$A$6,MIN(Reference!$A$11,MIN($U84,240))),Reference!$A$6:$A$11,1))+1)-INDEX(Reference!$B$6:$B$11,MIN(5,MATCH(MAX(Reference!$A$6,MIN(Reference!$A$11,MIN($U84,240))),Reference!$A$6:$A$11,1))))/(INDEX(Reference!$A$6:$A$11,MIN(5,MATCH(MAX(Reference!$A$6,MIN(Reference!$A$11,MIN($U84,240))),Reference!$A$6:$A$11,1))+1)-INDEX(Reference!$A$6:$A$11,MIN(5,MATCH(MAX(Reference!$A$6,MIN(Reference!$A$11,MIN($U84,240))),Reference!$A$6:$A$11,1))))),0)+IF(7&lt;=$AL84,($AL84-7+3)*(INDEX(Reference!$B$6:$B$11,MIN(5,MATCH(MAX(Reference!$A$6,MIN(Reference!$A$11,MIN($U84,270))),Reference!$A$6:$A$11,1)))+(MAX(Reference!$A$6,MIN(Reference!$A$11,MIN($U84,270)))-INDEX(Reference!$A$6:$A$11,MIN(5,MATCH(MAX(Reference!$A$6,MIN(Reference!$A$11,MIN($U84,270))),Reference!$A$6:$A$11,1))))*(INDEX(Reference!$B$6:$B$11,MIN(5,MATCH(MAX(Reference!$A$6,MIN(Reference!$A$11,MIN($U84,270))),Reference!$A$6:$A$11,1))+1)-INDEX(Reference!$B$6:$B$11,MIN(5,MATCH(MAX(Reference!$A$6,MIN(Reference!$A$11,MIN($U84,270))),Reference!$A$6:$A$11,1))))/(INDEX(Reference!$A$6:$A$11,MIN(5,MATCH(MAX(Reference!$A$6,MIN(Reference!$A$11,MIN($U84,270))),Reference!$A$6:$A$11,1))+1)-INDEX(Reference!$A$6:$A$11,MIN(5,MATCH(MAX(Reference!$A$6,MIN(Reference!$A$11,MIN($U84,270))),Reference!$A$6:$A$11,1))))),0)+IF(8&lt;=$AL84,($AL84-8+3)*(INDEX(Reference!$B$6:$B$11,MIN(5,MATCH(MAX(Reference!$A$6,MIN(Reference!$A$11,MIN($U84,300))),Reference!$A$6:$A$11,1)))+(MAX(Reference!$A$6,MIN(Reference!$A$11,MIN($U84,300)))-INDEX(Reference!$A$6:$A$11,MIN(5,MATCH(MAX(Reference!$A$6,MIN(Reference!$A$11,MIN($U84,300))),Reference!$A$6:$A$11,1))))*(INDEX(Reference!$B$6:$B$11,MIN(5,MATCH(MAX(Reference!$A$6,MIN(Reference!$A$11,MIN($U84,300))),Reference!$A$6:$A$11,1))+1)-INDEX(Reference!$B$6:$B$11,MIN(5,MATCH(MAX(Reference!$A$6,MIN(Reference!$A$11,MIN($U84,300))),Reference!$A$6:$A$11,1))))/(INDEX(Reference!$A$6:$A$11,MIN(5,MATCH(MAX(Reference!$A$6,MIN(Reference!$A$11,MIN($U84,300))),Reference!$A$6:$A$11,1))+1)-INDEX(Reference!$A$6:$A$11,MIN(5,MATCH(MAX(Reference!$A$6,MIN(Reference!$A$11,MIN($U84,300))),Reference!$A$6:$A$11,1))))),0))/($AL84*($AL84+5)/2)),$AN84))</f>
        <v>1.3</v>
      </c>
      <c r="AN84" s="32">
        <f>IF($U84="",0,(INDEX(Reference!$B$6:$B$11,MIN(5,MATCH(MAX(Reference!$A$6,MIN(Reference!$A$11,$U84)),Reference!$A$6:$A$11,1)))+(MAX(Reference!$A$6,MIN(Reference!$A$11,$U84))-INDEX(Reference!$A$6:$A$11,MIN(5,MATCH(MAX(Reference!$A$6,MIN(Reference!$A$11,$U84)),Reference!$A$6:$A$11,1))))*(INDEX(Reference!$B$6:$B$11,MIN(5,MATCH(MAX(Reference!$A$6,MIN(Reference!$A$11,$U84)),Reference!$A$6:$A$11,1))+1)-INDEX(Reference!$B$6:$B$11,MIN(5,MATCH(MAX(Reference!$A$6,MIN(Reference!$A$11,$U84)),Reference!$A$6:$A$11,1))))/(INDEX(Reference!$A$6:$A$11,MIN(5,MATCH(MAX(Reference!$A$6,MIN(Reference!$A$11,$U84)),Reference!$A$6:$A$11,1))+1)-INDEX(Reference!$A$6:$A$11,MIN(5,MATCH(MAX(Reference!$A$6,MIN(Reference!$A$11,$U84)),Reference!$A$6:$A$11,1))))))</f>
        <v>1.3</v>
      </c>
      <c r="AO84" s="37"/>
      <c r="AP84" s="37"/>
      <c r="AQ84" s="37"/>
    </row>
    <row r="85" spans="1:43" x14ac:dyDescent="0.3">
      <c r="A85" s="48">
        <f t="shared" si="30"/>
        <v>46384</v>
      </c>
      <c r="B85" s="32" t="str">
        <f t="shared" si="31"/>
        <v>Mon</v>
      </c>
      <c r="C85" s="32">
        <f t="shared" si="32"/>
        <v>3</v>
      </c>
      <c r="D85" s="32" t="str">
        <f t="shared" si="33"/>
        <v>Taper</v>
      </c>
      <c r="E85" s="32" t="str">
        <f t="shared" si="34"/>
        <v>No Throw</v>
      </c>
      <c r="F85" s="32" t="str">
        <f t="shared" si="35"/>
        <v>No Throw</v>
      </c>
      <c r="G85" s="47" t="str">
        <f t="shared" si="36"/>
        <v>Off</v>
      </c>
      <c r="H85" s="30">
        <f t="shared" si="37"/>
        <v>0</v>
      </c>
      <c r="I85" s="46">
        <f>IF($A85="","",IF(AND($L85&lt;27,$K$12=0),"Building",IFERROR(((SUM($H$79:$H85)+$K$12*IF($L85&lt;6,SUMIFS('Throw Log'!$Q$5:$Q$300,'Throw Log'!$B$5:$B$300,$D$4,'Throw Log'!$A$5:$A$300,"&gt;="&amp;($D$6+$L85-6),'Throw Log'!$A$5:$A$300,"&lt;="&amp;($D$6-1)),0))/7)/((SUM($H$58:$H85)+$K$12*IF($L85&lt;27,SUMIFS('Throw Log'!$Q$5:$Q$300,'Throw Log'!$B$5:$B$300,$D$4,'Throw Log'!$A$5:$A$300,"&gt;="&amp;($D$6+$L85-27),'Throw Log'!$A$5:$A$300,"&lt;="&amp;($D$6-1)),0))/28),"")))</f>
        <v>1.1150369922111387</v>
      </c>
      <c r="J85" s="37"/>
      <c r="K85" s="37"/>
      <c r="L85" s="32">
        <v>42</v>
      </c>
      <c r="M85" s="32">
        <f t="shared" si="38"/>
        <v>7</v>
      </c>
      <c r="N85" s="32">
        <f t="shared" si="39"/>
        <v>0</v>
      </c>
      <c r="O85" s="32">
        <f t="shared" si="40"/>
        <v>1</v>
      </c>
      <c r="P85" s="32" t="str">
        <f>IF(OR($A85="",N($C85)&lt;=7),"",$G$6*$G$9^($M85-1)*IF(AND(MOD($M85,Reference!$B$99)=0,$M85&lt;=$G$5-2),Reference!$B$100,1))</f>
        <v/>
      </c>
      <c r="Q85" s="32" t="str">
        <f>IF($P85="","",IF(SUM($AK$85:$AK$91)=0,0,$P85*INDEX(Reference!$B$108:$B$114,$N85+1)/SUM($AK$85:$AK$91)))</f>
        <v/>
      </c>
      <c r="R85" s="32">
        <f t="shared" si="41"/>
        <v>120</v>
      </c>
      <c r="S85" s="32">
        <f t="shared" si="42"/>
        <v>105</v>
      </c>
      <c r="T85" s="32" t="str">
        <f>IF($A85="","",IF($C85=0,"Bullpen",IF(OR($C85=7,$C85=1,$C85=5),"Recovery/Easy Catch",IF($C85=6,"Compression/Pulldowns",IF(OR($C85=4,$C85=2),"Long Toss",IF($C85=3,"No Throw",IF($N85=2,"No Throw",IF($N85=6,IF($O85&lt;Reference!$B$104,"No Throw","Recovery/Easy Catch"),IF(OR($N85=0,$N85=4),"Recovery/Easy Catch",IF($N85=1,IF($R85&gt;75,"Long Toss","Recovery/Easy Catch"),IF($N85=3,IF($O85&lt;0.5,IF($S85&gt;75,"Long Toss","Recovery/Easy Catch"),"Compression/Pulldowns"),IF($S85&gt;75,"Long Toss","Recovery/Easy Catch"))))))))))))</f>
        <v>No Throw</v>
      </c>
      <c r="U85" s="32" t="str">
        <f t="shared" si="43"/>
        <v/>
      </c>
      <c r="V85" s="32" t="str">
        <f t="shared" si="44"/>
        <v/>
      </c>
      <c r="W85" s="32" t="str">
        <f t="shared" si="45"/>
        <v/>
      </c>
      <c r="X85" s="32">
        <f t="shared" si="46"/>
        <v>0</v>
      </c>
      <c r="Y85" s="32" t="str">
        <f t="shared" si="47"/>
        <v/>
      </c>
      <c r="Z85" s="32" t="str">
        <f t="shared" si="48"/>
        <v/>
      </c>
      <c r="AA85" s="32" t="str">
        <f t="shared" si="49"/>
        <v/>
      </c>
      <c r="AB85" s="32">
        <f>IF($A85="","",IF($T85="No Throw",0,IF($K85&lt;&gt;"",$K85,IF($AA85&lt;&gt;"",ROUND($AA85*$D$12*IF($C85=0,1,$G$10),0),MIN(IF($T85="Recovery/Easy Catch",Reference!$B$103,IF($T85="Long Toss",Reference!$B$106,Reference!$B$102)),MAX(Reference!$B$101,ROUND(MAX(0,$Q85-$AE85)/$AF85,0)))))))</f>
        <v>0</v>
      </c>
      <c r="AC85" s="32">
        <f t="shared" si="50"/>
        <v>0</v>
      </c>
      <c r="AD85" s="32" t="b">
        <f t="shared" si="51"/>
        <v>1</v>
      </c>
      <c r="AE85" s="32">
        <f>IF($X85=0,0,$X85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85+$Z85)/2,0),Reference!$A$17:$B$20,2,TRUE()))</f>
        <v>0</v>
      </c>
      <c r="AF85" s="32">
        <f>IF(OR($A85="",$U85="",$T85="No Throw"),0,$AM85*VLOOKUP(MAX(($V85+$W85)/2,0),Reference!$A$17:$B$20,2,TRUE()))</f>
        <v>0</v>
      </c>
      <c r="AG85" s="32">
        <f>IF($AC85=0,0,$AC85*INDEX(Reference!$B$61:$B$62,MATCH("Bullpen",Reference!$A$61:$A$62,0))*VLOOKUP(MAX($D$5-($D$9+$E$9)/2,0),Reference!$A$17:$B$20,2,TRUE()))</f>
        <v>0</v>
      </c>
      <c r="AH85" s="46">
        <f t="shared" si="52"/>
        <v>1.1150369922111387</v>
      </c>
      <c r="AI85" s="32">
        <f>IF($A85="",NA(),Reference!$A$25)</f>
        <v>0.8</v>
      </c>
      <c r="AJ85" s="32">
        <f t="shared" si="53"/>
        <v>1.3</v>
      </c>
      <c r="AK85" s="32">
        <f>IF(OR($A85="",N($C85)&lt;=7,$T85="No Throw",$J85="x"),0,INDEX(Reference!$B$108:$B$114,$N85+1))</f>
        <v>0</v>
      </c>
      <c r="AL85" s="32">
        <f t="shared" si="54"/>
        <v>1</v>
      </c>
      <c r="AM85" s="32">
        <f>IF($U85="",0,IF($AL85&gt;1,((IF(1&lt;=$AL85,($AL85-1+3)*(INDEX(Reference!$B$6:$B$11,MIN(5,MATCH(MAX(Reference!$A$6,MIN(Reference!$A$11,MIN($U85,90))),Reference!$A$6:$A$11,1)))+(MAX(Reference!$A$6,MIN(Reference!$A$11,MIN($U85,90)))-INDEX(Reference!$A$6:$A$11,MIN(5,MATCH(MAX(Reference!$A$6,MIN(Reference!$A$11,MIN($U85,90))),Reference!$A$6:$A$11,1))))*(INDEX(Reference!$B$6:$B$11,MIN(5,MATCH(MAX(Reference!$A$6,MIN(Reference!$A$11,MIN($U85,90))),Reference!$A$6:$A$11,1))+1)-INDEX(Reference!$B$6:$B$11,MIN(5,MATCH(MAX(Reference!$A$6,MIN(Reference!$A$11,MIN($U85,90))),Reference!$A$6:$A$11,1))))/(INDEX(Reference!$A$6:$A$11,MIN(5,MATCH(MAX(Reference!$A$6,MIN(Reference!$A$11,MIN($U85,90))),Reference!$A$6:$A$11,1))+1)-INDEX(Reference!$A$6:$A$11,MIN(5,MATCH(MAX(Reference!$A$6,MIN(Reference!$A$11,MIN($U85,90))),Reference!$A$6:$A$11,1))))),0)+IF(2&lt;=$AL85,($AL85-2+3)*(INDEX(Reference!$B$6:$B$11,MIN(5,MATCH(MAX(Reference!$A$6,MIN(Reference!$A$11,MIN($U85,120))),Reference!$A$6:$A$11,1)))+(MAX(Reference!$A$6,MIN(Reference!$A$11,MIN($U85,120)))-INDEX(Reference!$A$6:$A$11,MIN(5,MATCH(MAX(Reference!$A$6,MIN(Reference!$A$11,MIN($U85,120))),Reference!$A$6:$A$11,1))))*(INDEX(Reference!$B$6:$B$11,MIN(5,MATCH(MAX(Reference!$A$6,MIN(Reference!$A$11,MIN($U85,120))),Reference!$A$6:$A$11,1))+1)-INDEX(Reference!$B$6:$B$11,MIN(5,MATCH(MAX(Reference!$A$6,MIN(Reference!$A$11,MIN($U85,120))),Reference!$A$6:$A$11,1))))/(INDEX(Reference!$A$6:$A$11,MIN(5,MATCH(MAX(Reference!$A$6,MIN(Reference!$A$11,MIN($U85,120))),Reference!$A$6:$A$11,1))+1)-INDEX(Reference!$A$6:$A$11,MIN(5,MATCH(MAX(Reference!$A$6,MIN(Reference!$A$11,MIN($U85,120))),Reference!$A$6:$A$11,1))))),0)+IF(3&lt;=$AL85,($AL85-3+3)*(INDEX(Reference!$B$6:$B$11,MIN(5,MATCH(MAX(Reference!$A$6,MIN(Reference!$A$11,MIN($U85,150))),Reference!$A$6:$A$11,1)))+(MAX(Reference!$A$6,MIN(Reference!$A$11,MIN($U85,150)))-INDEX(Reference!$A$6:$A$11,MIN(5,MATCH(MAX(Reference!$A$6,MIN(Reference!$A$11,MIN($U85,150))),Reference!$A$6:$A$11,1))))*(INDEX(Reference!$B$6:$B$11,MIN(5,MATCH(MAX(Reference!$A$6,MIN(Reference!$A$11,MIN($U85,150))),Reference!$A$6:$A$11,1))+1)-INDEX(Reference!$B$6:$B$11,MIN(5,MATCH(MAX(Reference!$A$6,MIN(Reference!$A$11,MIN($U85,150))),Reference!$A$6:$A$11,1))))/(INDEX(Reference!$A$6:$A$11,MIN(5,MATCH(MAX(Reference!$A$6,MIN(Reference!$A$11,MIN($U85,150))),Reference!$A$6:$A$11,1))+1)-INDEX(Reference!$A$6:$A$11,MIN(5,MATCH(MAX(Reference!$A$6,MIN(Reference!$A$11,MIN($U85,150))),Reference!$A$6:$A$11,1))))),0)+IF(4&lt;=$AL85,($AL85-4+3)*(INDEX(Reference!$B$6:$B$11,MIN(5,MATCH(MAX(Reference!$A$6,MIN(Reference!$A$11,MIN($U85,180))),Reference!$A$6:$A$11,1)))+(MAX(Reference!$A$6,MIN(Reference!$A$11,MIN($U85,180)))-INDEX(Reference!$A$6:$A$11,MIN(5,MATCH(MAX(Reference!$A$6,MIN(Reference!$A$11,MIN($U85,180))),Reference!$A$6:$A$11,1))))*(INDEX(Reference!$B$6:$B$11,MIN(5,MATCH(MAX(Reference!$A$6,MIN(Reference!$A$11,MIN($U85,180))),Reference!$A$6:$A$11,1))+1)-INDEX(Reference!$B$6:$B$11,MIN(5,MATCH(MAX(Reference!$A$6,MIN(Reference!$A$11,MIN($U85,180))),Reference!$A$6:$A$11,1))))/(INDEX(Reference!$A$6:$A$11,MIN(5,MATCH(MAX(Reference!$A$6,MIN(Reference!$A$11,MIN($U85,180))),Reference!$A$6:$A$11,1))+1)-INDEX(Reference!$A$6:$A$11,MIN(5,MATCH(MAX(Reference!$A$6,MIN(Reference!$A$11,MIN($U85,180))),Reference!$A$6:$A$11,1))))),0)+IF(5&lt;=$AL85,($AL85-5+3)*(INDEX(Reference!$B$6:$B$11,MIN(5,MATCH(MAX(Reference!$A$6,MIN(Reference!$A$11,MIN($U85,210))),Reference!$A$6:$A$11,1)))+(MAX(Reference!$A$6,MIN(Reference!$A$11,MIN($U85,210)))-INDEX(Reference!$A$6:$A$11,MIN(5,MATCH(MAX(Reference!$A$6,MIN(Reference!$A$11,MIN($U85,210))),Reference!$A$6:$A$11,1))))*(INDEX(Reference!$B$6:$B$11,MIN(5,MATCH(MAX(Reference!$A$6,MIN(Reference!$A$11,MIN($U85,210))),Reference!$A$6:$A$11,1))+1)-INDEX(Reference!$B$6:$B$11,MIN(5,MATCH(MAX(Reference!$A$6,MIN(Reference!$A$11,MIN($U85,210))),Reference!$A$6:$A$11,1))))/(INDEX(Reference!$A$6:$A$11,MIN(5,MATCH(MAX(Reference!$A$6,MIN(Reference!$A$11,MIN($U85,210))),Reference!$A$6:$A$11,1))+1)-INDEX(Reference!$A$6:$A$11,MIN(5,MATCH(MAX(Reference!$A$6,MIN(Reference!$A$11,MIN($U85,210))),Reference!$A$6:$A$11,1))))),0)+IF(6&lt;=$AL85,($AL85-6+3)*(INDEX(Reference!$B$6:$B$11,MIN(5,MATCH(MAX(Reference!$A$6,MIN(Reference!$A$11,MIN($U85,240))),Reference!$A$6:$A$11,1)))+(MAX(Reference!$A$6,MIN(Reference!$A$11,MIN($U85,240)))-INDEX(Reference!$A$6:$A$11,MIN(5,MATCH(MAX(Reference!$A$6,MIN(Reference!$A$11,MIN($U85,240))),Reference!$A$6:$A$11,1))))*(INDEX(Reference!$B$6:$B$11,MIN(5,MATCH(MAX(Reference!$A$6,MIN(Reference!$A$11,MIN($U85,240))),Reference!$A$6:$A$11,1))+1)-INDEX(Reference!$B$6:$B$11,MIN(5,MATCH(MAX(Reference!$A$6,MIN(Reference!$A$11,MIN($U85,240))),Reference!$A$6:$A$11,1))))/(INDEX(Reference!$A$6:$A$11,MIN(5,MATCH(MAX(Reference!$A$6,MIN(Reference!$A$11,MIN($U85,240))),Reference!$A$6:$A$11,1))+1)-INDEX(Reference!$A$6:$A$11,MIN(5,MATCH(MAX(Reference!$A$6,MIN(Reference!$A$11,MIN($U85,240))),Reference!$A$6:$A$11,1))))),0)+IF(7&lt;=$AL85,($AL85-7+3)*(INDEX(Reference!$B$6:$B$11,MIN(5,MATCH(MAX(Reference!$A$6,MIN(Reference!$A$11,MIN($U85,270))),Reference!$A$6:$A$11,1)))+(MAX(Reference!$A$6,MIN(Reference!$A$11,MIN($U85,270)))-INDEX(Reference!$A$6:$A$11,MIN(5,MATCH(MAX(Reference!$A$6,MIN(Reference!$A$11,MIN($U85,270))),Reference!$A$6:$A$11,1))))*(INDEX(Reference!$B$6:$B$11,MIN(5,MATCH(MAX(Reference!$A$6,MIN(Reference!$A$11,MIN($U85,270))),Reference!$A$6:$A$11,1))+1)-INDEX(Reference!$B$6:$B$11,MIN(5,MATCH(MAX(Reference!$A$6,MIN(Reference!$A$11,MIN($U85,270))),Reference!$A$6:$A$11,1))))/(INDEX(Reference!$A$6:$A$11,MIN(5,MATCH(MAX(Reference!$A$6,MIN(Reference!$A$11,MIN($U85,270))),Reference!$A$6:$A$11,1))+1)-INDEX(Reference!$A$6:$A$11,MIN(5,MATCH(MAX(Reference!$A$6,MIN(Reference!$A$11,MIN($U85,270))),Reference!$A$6:$A$11,1))))),0)+IF(8&lt;=$AL85,($AL85-8+3)*(INDEX(Reference!$B$6:$B$11,MIN(5,MATCH(MAX(Reference!$A$6,MIN(Reference!$A$11,MIN($U85,300))),Reference!$A$6:$A$11,1)))+(MAX(Reference!$A$6,MIN(Reference!$A$11,MIN($U85,300)))-INDEX(Reference!$A$6:$A$11,MIN(5,MATCH(MAX(Reference!$A$6,MIN(Reference!$A$11,MIN($U85,300))),Reference!$A$6:$A$11,1))))*(INDEX(Reference!$B$6:$B$11,MIN(5,MATCH(MAX(Reference!$A$6,MIN(Reference!$A$11,MIN($U85,300))),Reference!$A$6:$A$11,1))+1)-INDEX(Reference!$B$6:$B$11,MIN(5,MATCH(MAX(Reference!$A$6,MIN(Reference!$A$11,MIN($U85,300))),Reference!$A$6:$A$11,1))))/(INDEX(Reference!$A$6:$A$11,MIN(5,MATCH(MAX(Reference!$A$6,MIN(Reference!$A$11,MIN($U85,300))),Reference!$A$6:$A$11,1))+1)-INDEX(Reference!$A$6:$A$11,MIN(5,MATCH(MAX(Reference!$A$6,MIN(Reference!$A$11,MIN($U85,300))),Reference!$A$6:$A$11,1))))),0))/($AL85*($AL85+5)/2)),$AN85))</f>
        <v>0</v>
      </c>
      <c r="AN85" s="32">
        <f>IF($U85="",0,(INDEX(Reference!$B$6:$B$11,MIN(5,MATCH(MAX(Reference!$A$6,MIN(Reference!$A$11,$U85)),Reference!$A$6:$A$11,1)))+(MAX(Reference!$A$6,MIN(Reference!$A$11,$U85))-INDEX(Reference!$A$6:$A$11,MIN(5,MATCH(MAX(Reference!$A$6,MIN(Reference!$A$11,$U85)),Reference!$A$6:$A$11,1))))*(INDEX(Reference!$B$6:$B$11,MIN(5,MATCH(MAX(Reference!$A$6,MIN(Reference!$A$11,$U85)),Reference!$A$6:$A$11,1))+1)-INDEX(Reference!$B$6:$B$11,MIN(5,MATCH(MAX(Reference!$A$6,MIN(Reference!$A$11,$U85)),Reference!$A$6:$A$11,1))))/(INDEX(Reference!$A$6:$A$11,MIN(5,MATCH(MAX(Reference!$A$6,MIN(Reference!$A$11,$U85)),Reference!$A$6:$A$11,1))+1)-INDEX(Reference!$A$6:$A$11,MIN(5,MATCH(MAX(Reference!$A$6,MIN(Reference!$A$11,$U85)),Reference!$A$6:$A$11,1))))))</f>
        <v>0</v>
      </c>
      <c r="AO85" s="37"/>
      <c r="AP85" s="37"/>
      <c r="AQ85" s="37"/>
    </row>
    <row r="86" spans="1:43" x14ac:dyDescent="0.3">
      <c r="A86" s="48">
        <f t="shared" si="30"/>
        <v>46385</v>
      </c>
      <c r="B86" s="32" t="str">
        <f t="shared" si="31"/>
        <v>Tue</v>
      </c>
      <c r="C86" s="32">
        <f t="shared" si="32"/>
        <v>2</v>
      </c>
      <c r="D86" s="32" t="str">
        <f t="shared" si="33"/>
        <v>Taper</v>
      </c>
      <c r="E86" s="32" t="str">
        <f t="shared" si="34"/>
        <v>Medium</v>
      </c>
      <c r="F86" s="32" t="str">
        <f t="shared" si="35"/>
        <v>Long Toss</v>
      </c>
      <c r="G86" s="47" t="str">
        <f t="shared" si="36"/>
        <v>75 ft × 20 @ 75–78 mph + flat ground at 60 ft × 9 @ 78–80 mph</v>
      </c>
      <c r="H86" s="30">
        <f t="shared" si="37"/>
        <v>22.799999999999997</v>
      </c>
      <c r="I86" s="46">
        <f>IF($A86="","",IF(AND($L86&lt;27,$K$12=0),"Building",IFERROR(((SUM($H$80:$H86)+$K$12*IF($L86&lt;6,SUMIFS('Throw Log'!$Q$5:$Q$300,'Throw Log'!$B$5:$B$300,$D$4,'Throw Log'!$A$5:$A$300,"&gt;="&amp;($D$6+$L86-6),'Throw Log'!$A$5:$A$300,"&lt;="&amp;($D$6-1)),0))/7)/((SUM($H$59:$H86)+$K$12*IF($L86&lt;27,SUMIFS('Throw Log'!$Q$5:$Q$300,'Throw Log'!$B$5:$B$300,$D$4,'Throw Log'!$A$5:$A$300,"&gt;="&amp;($D$6+$L86-27),'Throw Log'!$A$5:$A$300,"&lt;="&amp;($D$6-1)),0))/28),"")))</f>
        <v>0.79498794800636863</v>
      </c>
      <c r="J86" s="37"/>
      <c r="K86" s="37">
        <v>20</v>
      </c>
      <c r="L86" s="32">
        <v>43</v>
      </c>
      <c r="M86" s="32">
        <f t="shared" si="38"/>
        <v>7</v>
      </c>
      <c r="N86" s="32">
        <f t="shared" si="39"/>
        <v>1</v>
      </c>
      <c r="O86" s="32">
        <f t="shared" si="40"/>
        <v>1</v>
      </c>
      <c r="P86" s="32" t="str">
        <f>IF(OR($A86="",N($C86)&lt;=7),"",$G$6*$G$9^($M86-1)*IF(AND(MOD($M86,Reference!$B$99)=0,$M86&lt;=$G$5-2),Reference!$B$100,1))</f>
        <v/>
      </c>
      <c r="Q86" s="32" t="str">
        <f>IF($P86="","",IF(SUM($AK$85:$AK$91)=0,0,$P86*INDEX(Reference!$B$108:$B$114,$N86+1)/SUM($AK$85:$AK$91)))</f>
        <v/>
      </c>
      <c r="R86" s="32">
        <f t="shared" si="41"/>
        <v>120</v>
      </c>
      <c r="S86" s="32">
        <f t="shared" si="42"/>
        <v>105</v>
      </c>
      <c r="T86" s="32" t="str">
        <f>IF($A86="","",IF($C86=0,"Bullpen",IF(OR($C86=7,$C86=1,$C86=5),"Recovery/Easy Catch",IF($C86=6,"Compression/Pulldowns",IF(OR($C86=4,$C86=2),"Long Toss",IF($C86=3,"No Throw",IF($N86=2,"No Throw",IF($N86=6,IF($O86&lt;Reference!$B$104,"No Throw","Recovery/Easy Catch"),IF(OR($N86=0,$N86=4),"Recovery/Easy Catch",IF($N86=1,IF($R86&gt;75,"Long Toss","Recovery/Easy Catch"),IF($N86=3,IF($O86&lt;0.5,IF($S86&gt;75,"Long Toss","Recovery/Easy Catch"),"Compression/Pulldowns"),IF($S86&gt;75,"Long Toss","Recovery/Easy Catch"))))))))))))</f>
        <v>Long Toss</v>
      </c>
      <c r="U86" s="32">
        <f t="shared" si="43"/>
        <v>75</v>
      </c>
      <c r="V86" s="32">
        <f t="shared" si="44"/>
        <v>10</v>
      </c>
      <c r="W86" s="32">
        <f t="shared" si="45"/>
        <v>13</v>
      </c>
      <c r="X86" s="32">
        <f t="shared" si="46"/>
        <v>9</v>
      </c>
      <c r="Y86" s="32">
        <f t="shared" si="47"/>
        <v>8</v>
      </c>
      <c r="Z86" s="32">
        <f t="shared" si="48"/>
        <v>10</v>
      </c>
      <c r="AA86" s="32">
        <f t="shared" si="49"/>
        <v>30.000000000000004</v>
      </c>
      <c r="AB86" s="32">
        <f>IF($A86="","",IF($T86="No Throw",0,IF($K86&lt;&gt;"",$K86,IF($AA86&lt;&gt;"",ROUND($AA86*$D$12*IF($C86=0,1,$G$10),0),MIN(IF($T86="Recovery/Easy Catch",Reference!$B$103,IF($T86="Long Toss",Reference!$B$106,Reference!$B$102)),MAX(Reference!$B$101,ROUND(MAX(0,$Q86-$AE86)/$AF86,0)))))))</f>
        <v>20</v>
      </c>
      <c r="AC86" s="32">
        <f t="shared" si="50"/>
        <v>0</v>
      </c>
      <c r="AD86" s="32" t="b">
        <f t="shared" si="51"/>
        <v>0</v>
      </c>
      <c r="AE86" s="32">
        <f>IF($X86=0,0,$X86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86+$Z86)/2,0),Reference!$A$17:$B$20,2,TRUE()))</f>
        <v>9</v>
      </c>
      <c r="AF86" s="32">
        <f>IF(OR($A86="",$U86="",$T86="No Throw"),0,$AM86*VLOOKUP(MAX(($V86+$W86)/2,0),Reference!$A$17:$B$20,2,TRUE()))</f>
        <v>0.69</v>
      </c>
      <c r="AG86" s="32">
        <f>IF($AC86=0,0,$AC86*INDEX(Reference!$B$61:$B$62,MATCH("Bullpen",Reference!$A$61:$A$62,0))*VLOOKUP(MAX($D$5-($D$9+$E$9)/2,0),Reference!$A$17:$B$20,2,TRUE()))</f>
        <v>0</v>
      </c>
      <c r="AH86" s="46">
        <f t="shared" si="52"/>
        <v>0.79498794800636863</v>
      </c>
      <c r="AI86" s="32">
        <f>IF($A86="",NA(),Reference!$A$25)</f>
        <v>0.8</v>
      </c>
      <c r="AJ86" s="32">
        <f t="shared" si="53"/>
        <v>1.3</v>
      </c>
      <c r="AK86" s="32">
        <f>IF(OR($A86="",N($C86)&lt;=7,$T86="No Throw",$J86="x"),0,INDEX(Reference!$B$108:$B$114,$N86+1))</f>
        <v>0</v>
      </c>
      <c r="AL86" s="32">
        <f t="shared" si="54"/>
        <v>1</v>
      </c>
      <c r="AM86" s="32">
        <f>IF($U86="",0,IF($AL86&gt;1,((IF(1&lt;=$AL86,($AL86-1+3)*(INDEX(Reference!$B$6:$B$11,MIN(5,MATCH(MAX(Reference!$A$6,MIN(Reference!$A$11,MIN($U86,90))),Reference!$A$6:$A$11,1)))+(MAX(Reference!$A$6,MIN(Reference!$A$11,MIN($U86,90)))-INDEX(Reference!$A$6:$A$11,MIN(5,MATCH(MAX(Reference!$A$6,MIN(Reference!$A$11,MIN($U86,90))),Reference!$A$6:$A$11,1))))*(INDEX(Reference!$B$6:$B$11,MIN(5,MATCH(MAX(Reference!$A$6,MIN(Reference!$A$11,MIN($U86,90))),Reference!$A$6:$A$11,1))+1)-INDEX(Reference!$B$6:$B$11,MIN(5,MATCH(MAX(Reference!$A$6,MIN(Reference!$A$11,MIN($U86,90))),Reference!$A$6:$A$11,1))))/(INDEX(Reference!$A$6:$A$11,MIN(5,MATCH(MAX(Reference!$A$6,MIN(Reference!$A$11,MIN($U86,90))),Reference!$A$6:$A$11,1))+1)-INDEX(Reference!$A$6:$A$11,MIN(5,MATCH(MAX(Reference!$A$6,MIN(Reference!$A$11,MIN($U86,90))),Reference!$A$6:$A$11,1))))),0)+IF(2&lt;=$AL86,($AL86-2+3)*(INDEX(Reference!$B$6:$B$11,MIN(5,MATCH(MAX(Reference!$A$6,MIN(Reference!$A$11,MIN($U86,120))),Reference!$A$6:$A$11,1)))+(MAX(Reference!$A$6,MIN(Reference!$A$11,MIN($U86,120)))-INDEX(Reference!$A$6:$A$11,MIN(5,MATCH(MAX(Reference!$A$6,MIN(Reference!$A$11,MIN($U86,120))),Reference!$A$6:$A$11,1))))*(INDEX(Reference!$B$6:$B$11,MIN(5,MATCH(MAX(Reference!$A$6,MIN(Reference!$A$11,MIN($U86,120))),Reference!$A$6:$A$11,1))+1)-INDEX(Reference!$B$6:$B$11,MIN(5,MATCH(MAX(Reference!$A$6,MIN(Reference!$A$11,MIN($U86,120))),Reference!$A$6:$A$11,1))))/(INDEX(Reference!$A$6:$A$11,MIN(5,MATCH(MAX(Reference!$A$6,MIN(Reference!$A$11,MIN($U86,120))),Reference!$A$6:$A$11,1))+1)-INDEX(Reference!$A$6:$A$11,MIN(5,MATCH(MAX(Reference!$A$6,MIN(Reference!$A$11,MIN($U86,120))),Reference!$A$6:$A$11,1))))),0)+IF(3&lt;=$AL86,($AL86-3+3)*(INDEX(Reference!$B$6:$B$11,MIN(5,MATCH(MAX(Reference!$A$6,MIN(Reference!$A$11,MIN($U86,150))),Reference!$A$6:$A$11,1)))+(MAX(Reference!$A$6,MIN(Reference!$A$11,MIN($U86,150)))-INDEX(Reference!$A$6:$A$11,MIN(5,MATCH(MAX(Reference!$A$6,MIN(Reference!$A$11,MIN($U86,150))),Reference!$A$6:$A$11,1))))*(INDEX(Reference!$B$6:$B$11,MIN(5,MATCH(MAX(Reference!$A$6,MIN(Reference!$A$11,MIN($U86,150))),Reference!$A$6:$A$11,1))+1)-INDEX(Reference!$B$6:$B$11,MIN(5,MATCH(MAX(Reference!$A$6,MIN(Reference!$A$11,MIN($U86,150))),Reference!$A$6:$A$11,1))))/(INDEX(Reference!$A$6:$A$11,MIN(5,MATCH(MAX(Reference!$A$6,MIN(Reference!$A$11,MIN($U86,150))),Reference!$A$6:$A$11,1))+1)-INDEX(Reference!$A$6:$A$11,MIN(5,MATCH(MAX(Reference!$A$6,MIN(Reference!$A$11,MIN($U86,150))),Reference!$A$6:$A$11,1))))),0)+IF(4&lt;=$AL86,($AL86-4+3)*(INDEX(Reference!$B$6:$B$11,MIN(5,MATCH(MAX(Reference!$A$6,MIN(Reference!$A$11,MIN($U86,180))),Reference!$A$6:$A$11,1)))+(MAX(Reference!$A$6,MIN(Reference!$A$11,MIN($U86,180)))-INDEX(Reference!$A$6:$A$11,MIN(5,MATCH(MAX(Reference!$A$6,MIN(Reference!$A$11,MIN($U86,180))),Reference!$A$6:$A$11,1))))*(INDEX(Reference!$B$6:$B$11,MIN(5,MATCH(MAX(Reference!$A$6,MIN(Reference!$A$11,MIN($U86,180))),Reference!$A$6:$A$11,1))+1)-INDEX(Reference!$B$6:$B$11,MIN(5,MATCH(MAX(Reference!$A$6,MIN(Reference!$A$11,MIN($U86,180))),Reference!$A$6:$A$11,1))))/(INDEX(Reference!$A$6:$A$11,MIN(5,MATCH(MAX(Reference!$A$6,MIN(Reference!$A$11,MIN($U86,180))),Reference!$A$6:$A$11,1))+1)-INDEX(Reference!$A$6:$A$11,MIN(5,MATCH(MAX(Reference!$A$6,MIN(Reference!$A$11,MIN($U86,180))),Reference!$A$6:$A$11,1))))),0)+IF(5&lt;=$AL86,($AL86-5+3)*(INDEX(Reference!$B$6:$B$11,MIN(5,MATCH(MAX(Reference!$A$6,MIN(Reference!$A$11,MIN($U86,210))),Reference!$A$6:$A$11,1)))+(MAX(Reference!$A$6,MIN(Reference!$A$11,MIN($U86,210)))-INDEX(Reference!$A$6:$A$11,MIN(5,MATCH(MAX(Reference!$A$6,MIN(Reference!$A$11,MIN($U86,210))),Reference!$A$6:$A$11,1))))*(INDEX(Reference!$B$6:$B$11,MIN(5,MATCH(MAX(Reference!$A$6,MIN(Reference!$A$11,MIN($U86,210))),Reference!$A$6:$A$11,1))+1)-INDEX(Reference!$B$6:$B$11,MIN(5,MATCH(MAX(Reference!$A$6,MIN(Reference!$A$11,MIN($U86,210))),Reference!$A$6:$A$11,1))))/(INDEX(Reference!$A$6:$A$11,MIN(5,MATCH(MAX(Reference!$A$6,MIN(Reference!$A$11,MIN($U86,210))),Reference!$A$6:$A$11,1))+1)-INDEX(Reference!$A$6:$A$11,MIN(5,MATCH(MAX(Reference!$A$6,MIN(Reference!$A$11,MIN($U86,210))),Reference!$A$6:$A$11,1))))),0)+IF(6&lt;=$AL86,($AL86-6+3)*(INDEX(Reference!$B$6:$B$11,MIN(5,MATCH(MAX(Reference!$A$6,MIN(Reference!$A$11,MIN($U86,240))),Reference!$A$6:$A$11,1)))+(MAX(Reference!$A$6,MIN(Reference!$A$11,MIN($U86,240)))-INDEX(Reference!$A$6:$A$11,MIN(5,MATCH(MAX(Reference!$A$6,MIN(Reference!$A$11,MIN($U86,240))),Reference!$A$6:$A$11,1))))*(INDEX(Reference!$B$6:$B$11,MIN(5,MATCH(MAX(Reference!$A$6,MIN(Reference!$A$11,MIN($U86,240))),Reference!$A$6:$A$11,1))+1)-INDEX(Reference!$B$6:$B$11,MIN(5,MATCH(MAX(Reference!$A$6,MIN(Reference!$A$11,MIN($U86,240))),Reference!$A$6:$A$11,1))))/(INDEX(Reference!$A$6:$A$11,MIN(5,MATCH(MAX(Reference!$A$6,MIN(Reference!$A$11,MIN($U86,240))),Reference!$A$6:$A$11,1))+1)-INDEX(Reference!$A$6:$A$11,MIN(5,MATCH(MAX(Reference!$A$6,MIN(Reference!$A$11,MIN($U86,240))),Reference!$A$6:$A$11,1))))),0)+IF(7&lt;=$AL86,($AL86-7+3)*(INDEX(Reference!$B$6:$B$11,MIN(5,MATCH(MAX(Reference!$A$6,MIN(Reference!$A$11,MIN($U86,270))),Reference!$A$6:$A$11,1)))+(MAX(Reference!$A$6,MIN(Reference!$A$11,MIN($U86,270)))-INDEX(Reference!$A$6:$A$11,MIN(5,MATCH(MAX(Reference!$A$6,MIN(Reference!$A$11,MIN($U86,270))),Reference!$A$6:$A$11,1))))*(INDEX(Reference!$B$6:$B$11,MIN(5,MATCH(MAX(Reference!$A$6,MIN(Reference!$A$11,MIN($U86,270))),Reference!$A$6:$A$11,1))+1)-INDEX(Reference!$B$6:$B$11,MIN(5,MATCH(MAX(Reference!$A$6,MIN(Reference!$A$11,MIN($U86,270))),Reference!$A$6:$A$11,1))))/(INDEX(Reference!$A$6:$A$11,MIN(5,MATCH(MAX(Reference!$A$6,MIN(Reference!$A$11,MIN($U86,270))),Reference!$A$6:$A$11,1))+1)-INDEX(Reference!$A$6:$A$11,MIN(5,MATCH(MAX(Reference!$A$6,MIN(Reference!$A$11,MIN($U86,270))),Reference!$A$6:$A$11,1))))),0)+IF(8&lt;=$AL86,($AL86-8+3)*(INDEX(Reference!$B$6:$B$11,MIN(5,MATCH(MAX(Reference!$A$6,MIN(Reference!$A$11,MIN($U86,300))),Reference!$A$6:$A$11,1)))+(MAX(Reference!$A$6,MIN(Reference!$A$11,MIN($U86,300)))-INDEX(Reference!$A$6:$A$11,MIN(5,MATCH(MAX(Reference!$A$6,MIN(Reference!$A$11,MIN($U86,300))),Reference!$A$6:$A$11,1))))*(INDEX(Reference!$B$6:$B$11,MIN(5,MATCH(MAX(Reference!$A$6,MIN(Reference!$A$11,MIN($U86,300))),Reference!$A$6:$A$11,1))+1)-INDEX(Reference!$B$6:$B$11,MIN(5,MATCH(MAX(Reference!$A$6,MIN(Reference!$A$11,MIN($U86,300))),Reference!$A$6:$A$11,1))))/(INDEX(Reference!$A$6:$A$11,MIN(5,MATCH(MAX(Reference!$A$6,MIN(Reference!$A$11,MIN($U86,300))),Reference!$A$6:$A$11,1))+1)-INDEX(Reference!$A$6:$A$11,MIN(5,MATCH(MAX(Reference!$A$6,MIN(Reference!$A$11,MIN($U86,300))),Reference!$A$6:$A$11,1))))),0))/($AL86*($AL86+5)/2)),$AN86))</f>
        <v>1.1499999999999999</v>
      </c>
      <c r="AN86" s="32">
        <f>IF($U86="",0,(INDEX(Reference!$B$6:$B$11,MIN(5,MATCH(MAX(Reference!$A$6,MIN(Reference!$A$11,$U86)),Reference!$A$6:$A$11,1)))+(MAX(Reference!$A$6,MIN(Reference!$A$11,$U86))-INDEX(Reference!$A$6:$A$11,MIN(5,MATCH(MAX(Reference!$A$6,MIN(Reference!$A$11,$U86)),Reference!$A$6:$A$11,1))))*(INDEX(Reference!$B$6:$B$11,MIN(5,MATCH(MAX(Reference!$A$6,MIN(Reference!$A$11,$U86)),Reference!$A$6:$A$11,1))+1)-INDEX(Reference!$B$6:$B$11,MIN(5,MATCH(MAX(Reference!$A$6,MIN(Reference!$A$11,$U86)),Reference!$A$6:$A$11,1))))/(INDEX(Reference!$A$6:$A$11,MIN(5,MATCH(MAX(Reference!$A$6,MIN(Reference!$A$11,$U86)),Reference!$A$6:$A$11,1))+1)-INDEX(Reference!$A$6:$A$11,MIN(5,MATCH(MAX(Reference!$A$6,MIN(Reference!$A$11,$U86)),Reference!$A$6:$A$11,1))))))</f>
        <v>1.1499999999999999</v>
      </c>
      <c r="AO86" s="37"/>
      <c r="AP86" s="37"/>
      <c r="AQ86" s="37"/>
    </row>
    <row r="87" spans="1:43" x14ac:dyDescent="0.3">
      <c r="A87" s="48">
        <f t="shared" si="30"/>
        <v>46386</v>
      </c>
      <c r="B87" s="32" t="str">
        <f t="shared" si="31"/>
        <v>Wed</v>
      </c>
      <c r="C87" s="32">
        <f t="shared" si="32"/>
        <v>1</v>
      </c>
      <c r="D87" s="32" t="str">
        <f t="shared" si="33"/>
        <v>Taper</v>
      </c>
      <c r="E87" s="32" t="str">
        <f t="shared" si="34"/>
        <v>Low</v>
      </c>
      <c r="F87" s="32" t="str">
        <f t="shared" si="35"/>
        <v>Recovery/Easy Catch</v>
      </c>
      <c r="G87" s="47" t="str">
        <f t="shared" si="36"/>
        <v>75 ft × 20 @ 66–70 mph</v>
      </c>
      <c r="H87" s="30">
        <f t="shared" si="37"/>
        <v>13.799999999999999</v>
      </c>
      <c r="I87" s="46">
        <f>IF($A87="","",IF(AND($L87&lt;27,$K$12=0),"Building",IFERROR(((SUM($H$81:$H87)+$K$12*IF($L87&lt;6,SUMIFS('Throw Log'!$Q$5:$Q$300,'Throw Log'!$B$5:$B$300,$D$4,'Throw Log'!$A$5:$A$300,"&gt;="&amp;($D$6+$L87-6),'Throw Log'!$A$5:$A$300,"&lt;="&amp;($D$6-1)),0))/7)/((SUM($H$60:$H87)+$K$12*IF($L87&lt;27,SUMIFS('Throw Log'!$Q$5:$Q$300,'Throw Log'!$B$5:$B$300,$D$4,'Throw Log'!$A$5:$A$300,"&gt;="&amp;($D$6+$L87-27),'Throw Log'!$A$5:$A$300,"&lt;="&amp;($D$6-1)),0))/28),"")))</f>
        <v>0.8695191645682977</v>
      </c>
      <c r="J87" s="37"/>
      <c r="K87" s="37">
        <v>20</v>
      </c>
      <c r="L87" s="32">
        <v>44</v>
      </c>
      <c r="M87" s="32">
        <f t="shared" si="38"/>
        <v>7</v>
      </c>
      <c r="N87" s="32">
        <f t="shared" si="39"/>
        <v>2</v>
      </c>
      <c r="O87" s="32">
        <f t="shared" si="40"/>
        <v>1</v>
      </c>
      <c r="P87" s="32" t="str">
        <f>IF(OR($A87="",N($C87)&lt;=7),"",$G$6*$G$9^($M87-1)*IF(AND(MOD($M87,Reference!$B$99)=0,$M87&lt;=$G$5-2),Reference!$B$100,1))</f>
        <v/>
      </c>
      <c r="Q87" s="32" t="str">
        <f>IF($P87="","",IF(SUM($AK$85:$AK$91)=0,0,$P87*INDEX(Reference!$B$108:$B$114,$N87+1)/SUM($AK$85:$AK$91)))</f>
        <v/>
      </c>
      <c r="R87" s="32">
        <f t="shared" si="41"/>
        <v>120</v>
      </c>
      <c r="S87" s="32">
        <f t="shared" si="42"/>
        <v>105</v>
      </c>
      <c r="T87" s="32" t="str">
        <f>IF($A87="","",IF($C87=0,"Bullpen",IF(OR($C87=7,$C87=1,$C87=5),"Recovery/Easy Catch",IF($C87=6,"Compression/Pulldowns",IF(OR($C87=4,$C87=2),"Long Toss",IF($C87=3,"No Throw",IF($N87=2,"No Throw",IF($N87=6,IF($O87&lt;Reference!$B$104,"No Throw","Recovery/Easy Catch"),IF(OR($N87=0,$N87=4),"Recovery/Easy Catch",IF($N87=1,IF($R87&gt;75,"Long Toss","Recovery/Easy Catch"),IF($N87=3,IF($O87&lt;0.5,IF($S87&gt;75,"Long Toss","Recovery/Easy Catch"),"Compression/Pulldowns"),IF($S87&gt;75,"Long Toss","Recovery/Easy Catch"))))))))))))</f>
        <v>Recovery/Easy Catch</v>
      </c>
      <c r="U87" s="32">
        <f t="shared" si="43"/>
        <v>75</v>
      </c>
      <c r="V87" s="32">
        <f t="shared" si="44"/>
        <v>18</v>
      </c>
      <c r="W87" s="32">
        <f t="shared" si="45"/>
        <v>22</v>
      </c>
      <c r="X87" s="32">
        <f t="shared" si="46"/>
        <v>0</v>
      </c>
      <c r="Y87" s="32" t="str">
        <f t="shared" si="47"/>
        <v/>
      </c>
      <c r="Z87" s="32" t="str">
        <f t="shared" si="48"/>
        <v/>
      </c>
      <c r="AA87" s="32">
        <f t="shared" si="49"/>
        <v>30</v>
      </c>
      <c r="AB87" s="32">
        <f>IF($A87="","",IF($T87="No Throw",0,IF($K87&lt;&gt;"",$K87,IF($AA87&lt;&gt;"",ROUND($AA87*$D$12*IF($C87=0,1,$G$10),0),MIN(IF($T87="Recovery/Easy Catch",Reference!$B$103,IF($T87="Long Toss",Reference!$B$106,Reference!$B$102)),MAX(Reference!$B$101,ROUND(MAX(0,$Q87-$AE87)/$AF87,0)))))))</f>
        <v>20</v>
      </c>
      <c r="AC87" s="32">
        <f t="shared" si="50"/>
        <v>0</v>
      </c>
      <c r="AD87" s="32" t="b">
        <f t="shared" si="51"/>
        <v>0</v>
      </c>
      <c r="AE87" s="32">
        <f>IF($X87=0,0,$X87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87+$Z87)/2,0),Reference!$A$17:$B$20,2,TRUE()))</f>
        <v>0</v>
      </c>
      <c r="AF87" s="32">
        <f>IF(OR($A87="",$U87="",$T87="No Throw"),0,$AM87*VLOOKUP(MAX(($V87+$W87)/2,0),Reference!$A$17:$B$20,2,TRUE()))</f>
        <v>0.69</v>
      </c>
      <c r="AG87" s="32">
        <f>IF($AC87=0,0,$AC87*INDEX(Reference!$B$61:$B$62,MATCH("Bullpen",Reference!$A$61:$A$62,0))*VLOOKUP(MAX($D$5-($D$9+$E$9)/2,0),Reference!$A$17:$B$20,2,TRUE()))</f>
        <v>0</v>
      </c>
      <c r="AH87" s="46">
        <f t="shared" si="52"/>
        <v>0.8695191645682977</v>
      </c>
      <c r="AI87" s="32">
        <f>IF($A87="",NA(),Reference!$A$25)</f>
        <v>0.8</v>
      </c>
      <c r="AJ87" s="32">
        <f t="shared" si="53"/>
        <v>1.3</v>
      </c>
      <c r="AK87" s="32">
        <f>IF(OR($A87="",N($C87)&lt;=7,$T87="No Throw",$J87="x"),0,INDEX(Reference!$B$108:$B$114,$N87+1))</f>
        <v>0</v>
      </c>
      <c r="AL87" s="32">
        <f t="shared" si="54"/>
        <v>1</v>
      </c>
      <c r="AM87" s="32">
        <f>IF($U87="",0,IF($AL87&gt;1,((IF(1&lt;=$AL87,($AL87-1+3)*(INDEX(Reference!$B$6:$B$11,MIN(5,MATCH(MAX(Reference!$A$6,MIN(Reference!$A$11,MIN($U87,90))),Reference!$A$6:$A$11,1)))+(MAX(Reference!$A$6,MIN(Reference!$A$11,MIN($U87,90)))-INDEX(Reference!$A$6:$A$11,MIN(5,MATCH(MAX(Reference!$A$6,MIN(Reference!$A$11,MIN($U87,90))),Reference!$A$6:$A$11,1))))*(INDEX(Reference!$B$6:$B$11,MIN(5,MATCH(MAX(Reference!$A$6,MIN(Reference!$A$11,MIN($U87,90))),Reference!$A$6:$A$11,1))+1)-INDEX(Reference!$B$6:$B$11,MIN(5,MATCH(MAX(Reference!$A$6,MIN(Reference!$A$11,MIN($U87,90))),Reference!$A$6:$A$11,1))))/(INDEX(Reference!$A$6:$A$11,MIN(5,MATCH(MAX(Reference!$A$6,MIN(Reference!$A$11,MIN($U87,90))),Reference!$A$6:$A$11,1))+1)-INDEX(Reference!$A$6:$A$11,MIN(5,MATCH(MAX(Reference!$A$6,MIN(Reference!$A$11,MIN($U87,90))),Reference!$A$6:$A$11,1))))),0)+IF(2&lt;=$AL87,($AL87-2+3)*(INDEX(Reference!$B$6:$B$11,MIN(5,MATCH(MAX(Reference!$A$6,MIN(Reference!$A$11,MIN($U87,120))),Reference!$A$6:$A$11,1)))+(MAX(Reference!$A$6,MIN(Reference!$A$11,MIN($U87,120)))-INDEX(Reference!$A$6:$A$11,MIN(5,MATCH(MAX(Reference!$A$6,MIN(Reference!$A$11,MIN($U87,120))),Reference!$A$6:$A$11,1))))*(INDEX(Reference!$B$6:$B$11,MIN(5,MATCH(MAX(Reference!$A$6,MIN(Reference!$A$11,MIN($U87,120))),Reference!$A$6:$A$11,1))+1)-INDEX(Reference!$B$6:$B$11,MIN(5,MATCH(MAX(Reference!$A$6,MIN(Reference!$A$11,MIN($U87,120))),Reference!$A$6:$A$11,1))))/(INDEX(Reference!$A$6:$A$11,MIN(5,MATCH(MAX(Reference!$A$6,MIN(Reference!$A$11,MIN($U87,120))),Reference!$A$6:$A$11,1))+1)-INDEX(Reference!$A$6:$A$11,MIN(5,MATCH(MAX(Reference!$A$6,MIN(Reference!$A$11,MIN($U87,120))),Reference!$A$6:$A$11,1))))),0)+IF(3&lt;=$AL87,($AL87-3+3)*(INDEX(Reference!$B$6:$B$11,MIN(5,MATCH(MAX(Reference!$A$6,MIN(Reference!$A$11,MIN($U87,150))),Reference!$A$6:$A$11,1)))+(MAX(Reference!$A$6,MIN(Reference!$A$11,MIN($U87,150)))-INDEX(Reference!$A$6:$A$11,MIN(5,MATCH(MAX(Reference!$A$6,MIN(Reference!$A$11,MIN($U87,150))),Reference!$A$6:$A$11,1))))*(INDEX(Reference!$B$6:$B$11,MIN(5,MATCH(MAX(Reference!$A$6,MIN(Reference!$A$11,MIN($U87,150))),Reference!$A$6:$A$11,1))+1)-INDEX(Reference!$B$6:$B$11,MIN(5,MATCH(MAX(Reference!$A$6,MIN(Reference!$A$11,MIN($U87,150))),Reference!$A$6:$A$11,1))))/(INDEX(Reference!$A$6:$A$11,MIN(5,MATCH(MAX(Reference!$A$6,MIN(Reference!$A$11,MIN($U87,150))),Reference!$A$6:$A$11,1))+1)-INDEX(Reference!$A$6:$A$11,MIN(5,MATCH(MAX(Reference!$A$6,MIN(Reference!$A$11,MIN($U87,150))),Reference!$A$6:$A$11,1))))),0)+IF(4&lt;=$AL87,($AL87-4+3)*(INDEX(Reference!$B$6:$B$11,MIN(5,MATCH(MAX(Reference!$A$6,MIN(Reference!$A$11,MIN($U87,180))),Reference!$A$6:$A$11,1)))+(MAX(Reference!$A$6,MIN(Reference!$A$11,MIN($U87,180)))-INDEX(Reference!$A$6:$A$11,MIN(5,MATCH(MAX(Reference!$A$6,MIN(Reference!$A$11,MIN($U87,180))),Reference!$A$6:$A$11,1))))*(INDEX(Reference!$B$6:$B$11,MIN(5,MATCH(MAX(Reference!$A$6,MIN(Reference!$A$11,MIN($U87,180))),Reference!$A$6:$A$11,1))+1)-INDEX(Reference!$B$6:$B$11,MIN(5,MATCH(MAX(Reference!$A$6,MIN(Reference!$A$11,MIN($U87,180))),Reference!$A$6:$A$11,1))))/(INDEX(Reference!$A$6:$A$11,MIN(5,MATCH(MAX(Reference!$A$6,MIN(Reference!$A$11,MIN($U87,180))),Reference!$A$6:$A$11,1))+1)-INDEX(Reference!$A$6:$A$11,MIN(5,MATCH(MAX(Reference!$A$6,MIN(Reference!$A$11,MIN($U87,180))),Reference!$A$6:$A$11,1))))),0)+IF(5&lt;=$AL87,($AL87-5+3)*(INDEX(Reference!$B$6:$B$11,MIN(5,MATCH(MAX(Reference!$A$6,MIN(Reference!$A$11,MIN($U87,210))),Reference!$A$6:$A$11,1)))+(MAX(Reference!$A$6,MIN(Reference!$A$11,MIN($U87,210)))-INDEX(Reference!$A$6:$A$11,MIN(5,MATCH(MAX(Reference!$A$6,MIN(Reference!$A$11,MIN($U87,210))),Reference!$A$6:$A$11,1))))*(INDEX(Reference!$B$6:$B$11,MIN(5,MATCH(MAX(Reference!$A$6,MIN(Reference!$A$11,MIN($U87,210))),Reference!$A$6:$A$11,1))+1)-INDEX(Reference!$B$6:$B$11,MIN(5,MATCH(MAX(Reference!$A$6,MIN(Reference!$A$11,MIN($U87,210))),Reference!$A$6:$A$11,1))))/(INDEX(Reference!$A$6:$A$11,MIN(5,MATCH(MAX(Reference!$A$6,MIN(Reference!$A$11,MIN($U87,210))),Reference!$A$6:$A$11,1))+1)-INDEX(Reference!$A$6:$A$11,MIN(5,MATCH(MAX(Reference!$A$6,MIN(Reference!$A$11,MIN($U87,210))),Reference!$A$6:$A$11,1))))),0)+IF(6&lt;=$AL87,($AL87-6+3)*(INDEX(Reference!$B$6:$B$11,MIN(5,MATCH(MAX(Reference!$A$6,MIN(Reference!$A$11,MIN($U87,240))),Reference!$A$6:$A$11,1)))+(MAX(Reference!$A$6,MIN(Reference!$A$11,MIN($U87,240)))-INDEX(Reference!$A$6:$A$11,MIN(5,MATCH(MAX(Reference!$A$6,MIN(Reference!$A$11,MIN($U87,240))),Reference!$A$6:$A$11,1))))*(INDEX(Reference!$B$6:$B$11,MIN(5,MATCH(MAX(Reference!$A$6,MIN(Reference!$A$11,MIN($U87,240))),Reference!$A$6:$A$11,1))+1)-INDEX(Reference!$B$6:$B$11,MIN(5,MATCH(MAX(Reference!$A$6,MIN(Reference!$A$11,MIN($U87,240))),Reference!$A$6:$A$11,1))))/(INDEX(Reference!$A$6:$A$11,MIN(5,MATCH(MAX(Reference!$A$6,MIN(Reference!$A$11,MIN($U87,240))),Reference!$A$6:$A$11,1))+1)-INDEX(Reference!$A$6:$A$11,MIN(5,MATCH(MAX(Reference!$A$6,MIN(Reference!$A$11,MIN($U87,240))),Reference!$A$6:$A$11,1))))),0)+IF(7&lt;=$AL87,($AL87-7+3)*(INDEX(Reference!$B$6:$B$11,MIN(5,MATCH(MAX(Reference!$A$6,MIN(Reference!$A$11,MIN($U87,270))),Reference!$A$6:$A$11,1)))+(MAX(Reference!$A$6,MIN(Reference!$A$11,MIN($U87,270)))-INDEX(Reference!$A$6:$A$11,MIN(5,MATCH(MAX(Reference!$A$6,MIN(Reference!$A$11,MIN($U87,270))),Reference!$A$6:$A$11,1))))*(INDEX(Reference!$B$6:$B$11,MIN(5,MATCH(MAX(Reference!$A$6,MIN(Reference!$A$11,MIN($U87,270))),Reference!$A$6:$A$11,1))+1)-INDEX(Reference!$B$6:$B$11,MIN(5,MATCH(MAX(Reference!$A$6,MIN(Reference!$A$11,MIN($U87,270))),Reference!$A$6:$A$11,1))))/(INDEX(Reference!$A$6:$A$11,MIN(5,MATCH(MAX(Reference!$A$6,MIN(Reference!$A$11,MIN($U87,270))),Reference!$A$6:$A$11,1))+1)-INDEX(Reference!$A$6:$A$11,MIN(5,MATCH(MAX(Reference!$A$6,MIN(Reference!$A$11,MIN($U87,270))),Reference!$A$6:$A$11,1))))),0)+IF(8&lt;=$AL87,($AL87-8+3)*(INDEX(Reference!$B$6:$B$11,MIN(5,MATCH(MAX(Reference!$A$6,MIN(Reference!$A$11,MIN($U87,300))),Reference!$A$6:$A$11,1)))+(MAX(Reference!$A$6,MIN(Reference!$A$11,MIN($U87,300)))-INDEX(Reference!$A$6:$A$11,MIN(5,MATCH(MAX(Reference!$A$6,MIN(Reference!$A$11,MIN($U87,300))),Reference!$A$6:$A$11,1))))*(INDEX(Reference!$B$6:$B$11,MIN(5,MATCH(MAX(Reference!$A$6,MIN(Reference!$A$11,MIN($U87,300))),Reference!$A$6:$A$11,1))+1)-INDEX(Reference!$B$6:$B$11,MIN(5,MATCH(MAX(Reference!$A$6,MIN(Reference!$A$11,MIN($U87,300))),Reference!$A$6:$A$11,1))))/(INDEX(Reference!$A$6:$A$11,MIN(5,MATCH(MAX(Reference!$A$6,MIN(Reference!$A$11,MIN($U87,300))),Reference!$A$6:$A$11,1))+1)-INDEX(Reference!$A$6:$A$11,MIN(5,MATCH(MAX(Reference!$A$6,MIN(Reference!$A$11,MIN($U87,300))),Reference!$A$6:$A$11,1))))),0))/($AL87*($AL87+5)/2)),$AN87))</f>
        <v>1.1499999999999999</v>
      </c>
      <c r="AN87" s="32">
        <f>IF($U87="",0,(INDEX(Reference!$B$6:$B$11,MIN(5,MATCH(MAX(Reference!$A$6,MIN(Reference!$A$11,$U87)),Reference!$A$6:$A$11,1)))+(MAX(Reference!$A$6,MIN(Reference!$A$11,$U87))-INDEX(Reference!$A$6:$A$11,MIN(5,MATCH(MAX(Reference!$A$6,MIN(Reference!$A$11,$U87)),Reference!$A$6:$A$11,1))))*(INDEX(Reference!$B$6:$B$11,MIN(5,MATCH(MAX(Reference!$A$6,MIN(Reference!$A$11,$U87)),Reference!$A$6:$A$11,1))+1)-INDEX(Reference!$B$6:$B$11,MIN(5,MATCH(MAX(Reference!$A$6,MIN(Reference!$A$11,$U87)),Reference!$A$6:$A$11,1))))/(INDEX(Reference!$A$6:$A$11,MIN(5,MATCH(MAX(Reference!$A$6,MIN(Reference!$A$11,$U87)),Reference!$A$6:$A$11,1))+1)-INDEX(Reference!$A$6:$A$11,MIN(5,MATCH(MAX(Reference!$A$6,MIN(Reference!$A$11,$U87)),Reference!$A$6:$A$11,1))))))</f>
        <v>1.1499999999999999</v>
      </c>
      <c r="AO87" s="37"/>
      <c r="AP87" s="37"/>
      <c r="AQ87" s="37"/>
    </row>
    <row r="88" spans="1:43" x14ac:dyDescent="0.3">
      <c r="A88" s="48">
        <f t="shared" si="30"/>
        <v>46387</v>
      </c>
      <c r="B88" s="32" t="str">
        <f t="shared" si="31"/>
        <v>Thu</v>
      </c>
      <c r="C88" s="32">
        <f t="shared" si="32"/>
        <v>0</v>
      </c>
      <c r="D88" s="32" t="str">
        <f t="shared" si="33"/>
        <v>First Bullpen</v>
      </c>
      <c r="E88" s="32" t="str">
        <f t="shared" si="34"/>
        <v>High Bullpen</v>
      </c>
      <c r="F88" s="32" t="str">
        <f t="shared" si="35"/>
        <v>Bullpen</v>
      </c>
      <c r="G88" s="47" t="str">
        <f t="shared" si="36"/>
        <v>90 ft × 25 @ 76–78 mph + MOUND × 20 pitches @ 82–84 mph</v>
      </c>
      <c r="H88" s="30">
        <f t="shared" si="37"/>
        <v>109.5</v>
      </c>
      <c r="I88" s="46">
        <f>IF($A88="","",IF(AND($L88&lt;27,$K$12=0),"Building",IFERROR(((SUM($H$82:$H88)+$K$12*IF($L88&lt;6,SUMIFS('Throw Log'!$Q$5:$Q$300,'Throw Log'!$B$5:$B$300,$D$4,'Throw Log'!$A$5:$A$300,"&gt;="&amp;($D$6+$L88-6),'Throw Log'!$A$5:$A$300,"&lt;="&amp;($D$6-1)),0))/7)/((SUM($H$61:$H88)+$K$12*IF($L88&lt;27,SUMIFS('Throw Log'!$Q$5:$Q$300,'Throw Log'!$B$5:$B$300,$D$4,'Throw Log'!$A$5:$A$300,"&gt;="&amp;($D$6+$L88-27),'Throw Log'!$A$5:$A$300,"&lt;="&amp;($D$6-1)),0))/28),"")))</f>
        <v>1.3267763526935781</v>
      </c>
      <c r="J88" s="37"/>
      <c r="K88" s="37"/>
      <c r="L88" s="32">
        <v>45</v>
      </c>
      <c r="M88" s="32">
        <f t="shared" si="38"/>
        <v>7</v>
      </c>
      <c r="N88" s="32">
        <f t="shared" si="39"/>
        <v>3</v>
      </c>
      <c r="O88" s="32">
        <f t="shared" si="40"/>
        <v>1</v>
      </c>
      <c r="P88" s="32" t="str">
        <f>IF(OR($A88="",N($C88)&lt;=7),"",$G$6*$G$9^($M88-1)*IF(AND(MOD($M88,Reference!$B$99)=0,$M88&lt;=$G$5-2),Reference!$B$100,1))</f>
        <v/>
      </c>
      <c r="Q88" s="32" t="str">
        <f>IF($P88="","",IF(SUM($AK$85:$AK$91)=0,0,$P88*INDEX(Reference!$B$108:$B$114,$N88+1)/SUM($AK$85:$AK$91)))</f>
        <v/>
      </c>
      <c r="R88" s="32">
        <f t="shared" si="41"/>
        <v>120</v>
      </c>
      <c r="S88" s="32">
        <f t="shared" si="42"/>
        <v>105</v>
      </c>
      <c r="T88" s="32" t="str">
        <f>IF($A88="","",IF($C88=0,"Bullpen",IF(OR($C88=7,$C88=1,$C88=5),"Recovery/Easy Catch",IF($C88=6,"Compression/Pulldowns",IF(OR($C88=4,$C88=2),"Long Toss",IF($C88=3,"No Throw",IF($N88=2,"No Throw",IF($N88=6,IF($O88&lt;Reference!$B$104,"No Throw","Recovery/Easy Catch"),IF(OR($N88=0,$N88=4),"Recovery/Easy Catch",IF($N88=1,IF($R88&gt;75,"Long Toss","Recovery/Easy Catch"),IF($N88=3,IF($O88&lt;0.5,IF($S88&gt;75,"Long Toss","Recovery/Easy Catch"),"Compression/Pulldowns"),IF($S88&gt;75,"Long Toss","Recovery/Easy Catch"))))))))))))</f>
        <v>Bullpen</v>
      </c>
      <c r="U88" s="32">
        <f t="shared" si="43"/>
        <v>90</v>
      </c>
      <c r="V88" s="32">
        <f t="shared" si="44"/>
        <v>10</v>
      </c>
      <c r="W88" s="32">
        <f t="shared" si="45"/>
        <v>12</v>
      </c>
      <c r="X88" s="32">
        <f t="shared" si="46"/>
        <v>0</v>
      </c>
      <c r="Y88" s="32" t="str">
        <f t="shared" si="47"/>
        <v/>
      </c>
      <c r="Z88" s="32" t="str">
        <f t="shared" si="48"/>
        <v/>
      </c>
      <c r="AA88" s="32">
        <f t="shared" si="49"/>
        <v>25</v>
      </c>
      <c r="AB88" s="32">
        <f>IF($A88="","",IF($T88="No Throw",0,IF($K88&lt;&gt;"",$K88,IF($AA88&lt;&gt;"",ROUND($AA88*$D$12*IF($C88=0,1,$G$10),0),MIN(IF($T88="Recovery/Easy Catch",Reference!$B$103,IF($T88="Long Toss",Reference!$B$106,Reference!$B$102)),MAX(Reference!$B$101,ROUND(MAX(0,$Q88-$AE88)/$AF88,0)))))))</f>
        <v>25</v>
      </c>
      <c r="AC88" s="44">
        <f t="shared" si="50"/>
        <v>20</v>
      </c>
      <c r="AD88" s="32" t="b">
        <f t="shared" si="51"/>
        <v>0</v>
      </c>
      <c r="AE88" s="32">
        <f>IF($X88=0,0,$X88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88+$Z88)/2,0),Reference!$A$17:$B$20,2,TRUE()))</f>
        <v>0</v>
      </c>
      <c r="AF88" s="32">
        <f>IF(OR($A88="",$U88="",$T88="No Throw"),0,$AM88*VLOOKUP(MAX(($V88+$W88)/2,0),Reference!$A$17:$B$20,2,TRUE()))</f>
        <v>0.78</v>
      </c>
      <c r="AG88" s="32">
        <f>IF($AC88=0,0,$AC88*INDEX(Reference!$B$61:$B$62,MATCH("Bullpen",Reference!$A$61:$A$62,0))*VLOOKUP(MAX($D$5-($D$9+$E$9)/2,0),Reference!$A$17:$B$20,2,TRUE()))</f>
        <v>90</v>
      </c>
      <c r="AH88" s="46">
        <f t="shared" si="52"/>
        <v>1.3267763526935781</v>
      </c>
      <c r="AI88" s="32">
        <f>IF($A88="",NA(),Reference!$A$25)</f>
        <v>0.8</v>
      </c>
      <c r="AJ88" s="32">
        <f t="shared" si="53"/>
        <v>1.3</v>
      </c>
      <c r="AK88" s="32">
        <f>IF(OR($A88="",N($C88)&lt;=7,$T88="No Throw",$J88="x"),0,INDEX(Reference!$B$108:$B$114,$N88+1))</f>
        <v>0</v>
      </c>
      <c r="AL88" s="32">
        <f t="shared" si="54"/>
        <v>1</v>
      </c>
      <c r="AM88" s="32">
        <f>IF($U88="",0,IF($AL88&gt;1,((IF(1&lt;=$AL88,($AL88-1+3)*(INDEX(Reference!$B$6:$B$11,MIN(5,MATCH(MAX(Reference!$A$6,MIN(Reference!$A$11,MIN($U88,90))),Reference!$A$6:$A$11,1)))+(MAX(Reference!$A$6,MIN(Reference!$A$11,MIN($U88,90)))-INDEX(Reference!$A$6:$A$11,MIN(5,MATCH(MAX(Reference!$A$6,MIN(Reference!$A$11,MIN($U88,90))),Reference!$A$6:$A$11,1))))*(INDEX(Reference!$B$6:$B$11,MIN(5,MATCH(MAX(Reference!$A$6,MIN(Reference!$A$11,MIN($U88,90))),Reference!$A$6:$A$11,1))+1)-INDEX(Reference!$B$6:$B$11,MIN(5,MATCH(MAX(Reference!$A$6,MIN(Reference!$A$11,MIN($U88,90))),Reference!$A$6:$A$11,1))))/(INDEX(Reference!$A$6:$A$11,MIN(5,MATCH(MAX(Reference!$A$6,MIN(Reference!$A$11,MIN($U88,90))),Reference!$A$6:$A$11,1))+1)-INDEX(Reference!$A$6:$A$11,MIN(5,MATCH(MAX(Reference!$A$6,MIN(Reference!$A$11,MIN($U88,90))),Reference!$A$6:$A$11,1))))),0)+IF(2&lt;=$AL88,($AL88-2+3)*(INDEX(Reference!$B$6:$B$11,MIN(5,MATCH(MAX(Reference!$A$6,MIN(Reference!$A$11,MIN($U88,120))),Reference!$A$6:$A$11,1)))+(MAX(Reference!$A$6,MIN(Reference!$A$11,MIN($U88,120)))-INDEX(Reference!$A$6:$A$11,MIN(5,MATCH(MAX(Reference!$A$6,MIN(Reference!$A$11,MIN($U88,120))),Reference!$A$6:$A$11,1))))*(INDEX(Reference!$B$6:$B$11,MIN(5,MATCH(MAX(Reference!$A$6,MIN(Reference!$A$11,MIN($U88,120))),Reference!$A$6:$A$11,1))+1)-INDEX(Reference!$B$6:$B$11,MIN(5,MATCH(MAX(Reference!$A$6,MIN(Reference!$A$11,MIN($U88,120))),Reference!$A$6:$A$11,1))))/(INDEX(Reference!$A$6:$A$11,MIN(5,MATCH(MAX(Reference!$A$6,MIN(Reference!$A$11,MIN($U88,120))),Reference!$A$6:$A$11,1))+1)-INDEX(Reference!$A$6:$A$11,MIN(5,MATCH(MAX(Reference!$A$6,MIN(Reference!$A$11,MIN($U88,120))),Reference!$A$6:$A$11,1))))),0)+IF(3&lt;=$AL88,($AL88-3+3)*(INDEX(Reference!$B$6:$B$11,MIN(5,MATCH(MAX(Reference!$A$6,MIN(Reference!$A$11,MIN($U88,150))),Reference!$A$6:$A$11,1)))+(MAX(Reference!$A$6,MIN(Reference!$A$11,MIN($U88,150)))-INDEX(Reference!$A$6:$A$11,MIN(5,MATCH(MAX(Reference!$A$6,MIN(Reference!$A$11,MIN($U88,150))),Reference!$A$6:$A$11,1))))*(INDEX(Reference!$B$6:$B$11,MIN(5,MATCH(MAX(Reference!$A$6,MIN(Reference!$A$11,MIN($U88,150))),Reference!$A$6:$A$11,1))+1)-INDEX(Reference!$B$6:$B$11,MIN(5,MATCH(MAX(Reference!$A$6,MIN(Reference!$A$11,MIN($U88,150))),Reference!$A$6:$A$11,1))))/(INDEX(Reference!$A$6:$A$11,MIN(5,MATCH(MAX(Reference!$A$6,MIN(Reference!$A$11,MIN($U88,150))),Reference!$A$6:$A$11,1))+1)-INDEX(Reference!$A$6:$A$11,MIN(5,MATCH(MAX(Reference!$A$6,MIN(Reference!$A$11,MIN($U88,150))),Reference!$A$6:$A$11,1))))),0)+IF(4&lt;=$AL88,($AL88-4+3)*(INDEX(Reference!$B$6:$B$11,MIN(5,MATCH(MAX(Reference!$A$6,MIN(Reference!$A$11,MIN($U88,180))),Reference!$A$6:$A$11,1)))+(MAX(Reference!$A$6,MIN(Reference!$A$11,MIN($U88,180)))-INDEX(Reference!$A$6:$A$11,MIN(5,MATCH(MAX(Reference!$A$6,MIN(Reference!$A$11,MIN($U88,180))),Reference!$A$6:$A$11,1))))*(INDEX(Reference!$B$6:$B$11,MIN(5,MATCH(MAX(Reference!$A$6,MIN(Reference!$A$11,MIN($U88,180))),Reference!$A$6:$A$11,1))+1)-INDEX(Reference!$B$6:$B$11,MIN(5,MATCH(MAX(Reference!$A$6,MIN(Reference!$A$11,MIN($U88,180))),Reference!$A$6:$A$11,1))))/(INDEX(Reference!$A$6:$A$11,MIN(5,MATCH(MAX(Reference!$A$6,MIN(Reference!$A$11,MIN($U88,180))),Reference!$A$6:$A$11,1))+1)-INDEX(Reference!$A$6:$A$11,MIN(5,MATCH(MAX(Reference!$A$6,MIN(Reference!$A$11,MIN($U88,180))),Reference!$A$6:$A$11,1))))),0)+IF(5&lt;=$AL88,($AL88-5+3)*(INDEX(Reference!$B$6:$B$11,MIN(5,MATCH(MAX(Reference!$A$6,MIN(Reference!$A$11,MIN($U88,210))),Reference!$A$6:$A$11,1)))+(MAX(Reference!$A$6,MIN(Reference!$A$11,MIN($U88,210)))-INDEX(Reference!$A$6:$A$11,MIN(5,MATCH(MAX(Reference!$A$6,MIN(Reference!$A$11,MIN($U88,210))),Reference!$A$6:$A$11,1))))*(INDEX(Reference!$B$6:$B$11,MIN(5,MATCH(MAX(Reference!$A$6,MIN(Reference!$A$11,MIN($U88,210))),Reference!$A$6:$A$11,1))+1)-INDEX(Reference!$B$6:$B$11,MIN(5,MATCH(MAX(Reference!$A$6,MIN(Reference!$A$11,MIN($U88,210))),Reference!$A$6:$A$11,1))))/(INDEX(Reference!$A$6:$A$11,MIN(5,MATCH(MAX(Reference!$A$6,MIN(Reference!$A$11,MIN($U88,210))),Reference!$A$6:$A$11,1))+1)-INDEX(Reference!$A$6:$A$11,MIN(5,MATCH(MAX(Reference!$A$6,MIN(Reference!$A$11,MIN($U88,210))),Reference!$A$6:$A$11,1))))),0)+IF(6&lt;=$AL88,($AL88-6+3)*(INDEX(Reference!$B$6:$B$11,MIN(5,MATCH(MAX(Reference!$A$6,MIN(Reference!$A$11,MIN($U88,240))),Reference!$A$6:$A$11,1)))+(MAX(Reference!$A$6,MIN(Reference!$A$11,MIN($U88,240)))-INDEX(Reference!$A$6:$A$11,MIN(5,MATCH(MAX(Reference!$A$6,MIN(Reference!$A$11,MIN($U88,240))),Reference!$A$6:$A$11,1))))*(INDEX(Reference!$B$6:$B$11,MIN(5,MATCH(MAX(Reference!$A$6,MIN(Reference!$A$11,MIN($U88,240))),Reference!$A$6:$A$11,1))+1)-INDEX(Reference!$B$6:$B$11,MIN(5,MATCH(MAX(Reference!$A$6,MIN(Reference!$A$11,MIN($U88,240))),Reference!$A$6:$A$11,1))))/(INDEX(Reference!$A$6:$A$11,MIN(5,MATCH(MAX(Reference!$A$6,MIN(Reference!$A$11,MIN($U88,240))),Reference!$A$6:$A$11,1))+1)-INDEX(Reference!$A$6:$A$11,MIN(5,MATCH(MAX(Reference!$A$6,MIN(Reference!$A$11,MIN($U88,240))),Reference!$A$6:$A$11,1))))),0)+IF(7&lt;=$AL88,($AL88-7+3)*(INDEX(Reference!$B$6:$B$11,MIN(5,MATCH(MAX(Reference!$A$6,MIN(Reference!$A$11,MIN($U88,270))),Reference!$A$6:$A$11,1)))+(MAX(Reference!$A$6,MIN(Reference!$A$11,MIN($U88,270)))-INDEX(Reference!$A$6:$A$11,MIN(5,MATCH(MAX(Reference!$A$6,MIN(Reference!$A$11,MIN($U88,270))),Reference!$A$6:$A$11,1))))*(INDEX(Reference!$B$6:$B$11,MIN(5,MATCH(MAX(Reference!$A$6,MIN(Reference!$A$11,MIN($U88,270))),Reference!$A$6:$A$11,1))+1)-INDEX(Reference!$B$6:$B$11,MIN(5,MATCH(MAX(Reference!$A$6,MIN(Reference!$A$11,MIN($U88,270))),Reference!$A$6:$A$11,1))))/(INDEX(Reference!$A$6:$A$11,MIN(5,MATCH(MAX(Reference!$A$6,MIN(Reference!$A$11,MIN($U88,270))),Reference!$A$6:$A$11,1))+1)-INDEX(Reference!$A$6:$A$11,MIN(5,MATCH(MAX(Reference!$A$6,MIN(Reference!$A$11,MIN($U88,270))),Reference!$A$6:$A$11,1))))),0)+IF(8&lt;=$AL88,($AL88-8+3)*(INDEX(Reference!$B$6:$B$11,MIN(5,MATCH(MAX(Reference!$A$6,MIN(Reference!$A$11,MIN($U88,300))),Reference!$A$6:$A$11,1)))+(MAX(Reference!$A$6,MIN(Reference!$A$11,MIN($U88,300)))-INDEX(Reference!$A$6:$A$11,MIN(5,MATCH(MAX(Reference!$A$6,MIN(Reference!$A$11,MIN($U88,300))),Reference!$A$6:$A$11,1))))*(INDEX(Reference!$B$6:$B$11,MIN(5,MATCH(MAX(Reference!$A$6,MIN(Reference!$A$11,MIN($U88,300))),Reference!$A$6:$A$11,1))+1)-INDEX(Reference!$B$6:$B$11,MIN(5,MATCH(MAX(Reference!$A$6,MIN(Reference!$A$11,MIN($U88,300))),Reference!$A$6:$A$11,1))))/(INDEX(Reference!$A$6:$A$11,MIN(5,MATCH(MAX(Reference!$A$6,MIN(Reference!$A$11,MIN($U88,300))),Reference!$A$6:$A$11,1))+1)-INDEX(Reference!$A$6:$A$11,MIN(5,MATCH(MAX(Reference!$A$6,MIN(Reference!$A$11,MIN($U88,300))),Reference!$A$6:$A$11,1))))),0))/($AL88*($AL88+5)/2)),$AN88))</f>
        <v>1.3</v>
      </c>
      <c r="AN88" s="32">
        <f>IF($U88="",0,(INDEX(Reference!$B$6:$B$11,MIN(5,MATCH(MAX(Reference!$A$6,MIN(Reference!$A$11,$U88)),Reference!$A$6:$A$11,1)))+(MAX(Reference!$A$6,MIN(Reference!$A$11,$U88))-INDEX(Reference!$A$6:$A$11,MIN(5,MATCH(MAX(Reference!$A$6,MIN(Reference!$A$11,$U88)),Reference!$A$6:$A$11,1))))*(INDEX(Reference!$B$6:$B$11,MIN(5,MATCH(MAX(Reference!$A$6,MIN(Reference!$A$11,$U88)),Reference!$A$6:$A$11,1))+1)-INDEX(Reference!$B$6:$B$11,MIN(5,MATCH(MAX(Reference!$A$6,MIN(Reference!$A$11,$U88)),Reference!$A$6:$A$11,1))))/(INDEX(Reference!$A$6:$A$11,MIN(5,MATCH(MAX(Reference!$A$6,MIN(Reference!$A$11,$U88)),Reference!$A$6:$A$11,1))+1)-INDEX(Reference!$A$6:$A$11,MIN(5,MATCH(MAX(Reference!$A$6,MIN(Reference!$A$11,$U88)),Reference!$A$6:$A$11,1))))))</f>
        <v>1.3</v>
      </c>
      <c r="AO88" s="37"/>
      <c r="AP88" s="37"/>
      <c r="AQ88" s="37"/>
    </row>
    <row r="89" spans="1:43" x14ac:dyDescent="0.3">
      <c r="A89" s="48" t="str">
        <f t="shared" si="30"/>
        <v/>
      </c>
      <c r="B89" s="32" t="str">
        <f t="shared" si="31"/>
        <v/>
      </c>
      <c r="C89" s="32" t="str">
        <f t="shared" si="32"/>
        <v/>
      </c>
      <c r="D89" s="32" t="str">
        <f t="shared" si="33"/>
        <v/>
      </c>
      <c r="E89" s="32" t="str">
        <f t="shared" si="34"/>
        <v/>
      </c>
      <c r="F89" s="32" t="str">
        <f t="shared" si="35"/>
        <v/>
      </c>
      <c r="G89" s="47" t="str">
        <f t="shared" si="36"/>
        <v/>
      </c>
      <c r="H89" s="30" t="str">
        <f t="shared" si="37"/>
        <v/>
      </c>
      <c r="I89" s="46" t="str">
        <f>IF($A89="","",IF(AND($L89&lt;27,$K$12=0),"Building",IFERROR(((SUM($H$83:$H89)+$K$12*IF($L89&lt;6,SUMIFS('Throw Log'!$Q$5:$Q$300,'Throw Log'!$B$5:$B$300,$D$4,'Throw Log'!$A$5:$A$300,"&gt;="&amp;($D$6+$L89-6),'Throw Log'!$A$5:$A$300,"&lt;="&amp;($D$6-1)),0))/7)/((SUM($H$62:$H89)+$K$12*IF($L89&lt;27,SUMIFS('Throw Log'!$Q$5:$Q$300,'Throw Log'!$B$5:$B$300,$D$4,'Throw Log'!$A$5:$A$300,"&gt;="&amp;($D$6+$L89-27),'Throw Log'!$A$5:$A$300,"&lt;="&amp;($D$6-1)),0))/28),"")))</f>
        <v/>
      </c>
      <c r="J89" s="37"/>
      <c r="K89" s="37"/>
      <c r="L89" s="32">
        <v>46</v>
      </c>
      <c r="M89" s="32">
        <f t="shared" si="38"/>
        <v>7</v>
      </c>
      <c r="N89" s="32">
        <f t="shared" si="39"/>
        <v>4</v>
      </c>
      <c r="O89" s="32">
        <f t="shared" si="40"/>
        <v>1</v>
      </c>
      <c r="P89" s="32" t="str">
        <f>IF(OR($A89="",N($C89)&lt;=7),"",$G$6*$G$9^($M89-1)*IF(AND(MOD($M89,Reference!$B$99)=0,$M89&lt;=$G$5-2),Reference!$B$100,1))</f>
        <v/>
      </c>
      <c r="Q89" s="32" t="str">
        <f>IF($P89="","",IF(SUM($AK$85:$AK$91)=0,0,$P89*INDEX(Reference!$B$108:$B$114,$N89+1)/SUM($AK$85:$AK$91)))</f>
        <v/>
      </c>
      <c r="R89" s="32">
        <f t="shared" si="41"/>
        <v>120</v>
      </c>
      <c r="S89" s="32">
        <f t="shared" si="42"/>
        <v>105</v>
      </c>
      <c r="T89" s="32" t="str">
        <f>IF($A89="","",IF($C89=0,"Bullpen",IF(OR($C89=7,$C89=1,$C89=5),"Recovery/Easy Catch",IF($C89=6,"Compression/Pulldowns",IF(OR($C89=4,$C89=2),"Long Toss",IF($C89=3,"No Throw",IF($N89=2,"No Throw",IF($N89=6,IF($O89&lt;Reference!$B$104,"No Throw","Recovery/Easy Catch"),IF(OR($N89=0,$N89=4),"Recovery/Easy Catch",IF($N89=1,IF($R89&gt;75,"Long Toss","Recovery/Easy Catch"),IF($N89=3,IF($O89&lt;0.5,IF($S89&gt;75,"Long Toss","Recovery/Easy Catch"),"Compression/Pulldowns"),IF($S89&gt;75,"Long Toss","Recovery/Easy Catch"))))))))))))</f>
        <v/>
      </c>
      <c r="U89" s="32" t="str">
        <f t="shared" si="43"/>
        <v/>
      </c>
      <c r="V89" s="32" t="str">
        <f t="shared" si="44"/>
        <v/>
      </c>
      <c r="W89" s="32" t="str">
        <f t="shared" si="45"/>
        <v/>
      </c>
      <c r="X89" s="32">
        <f t="shared" si="46"/>
        <v>0</v>
      </c>
      <c r="Y89" s="32" t="str">
        <f t="shared" si="47"/>
        <v/>
      </c>
      <c r="Z89" s="32" t="str">
        <f t="shared" si="48"/>
        <v/>
      </c>
      <c r="AA89" s="32" t="str">
        <f t="shared" si="49"/>
        <v/>
      </c>
      <c r="AB89" s="32" t="str">
        <f>IF($A89="","",IF($T89="No Throw",0,IF($K89&lt;&gt;"",$K89,IF($AA89&lt;&gt;"",ROUND($AA89*$D$12*IF($C89=0,1,$G$10),0),MIN(IF($T89="Recovery/Easy Catch",Reference!$B$103,IF($T89="Long Toss",Reference!$B$106,Reference!$B$102)),MAX(Reference!$B$101,ROUND(MAX(0,$Q89-$AE89)/$AF89,0)))))))</f>
        <v/>
      </c>
      <c r="AC89" s="32">
        <f t="shared" si="50"/>
        <v>0</v>
      </c>
      <c r="AD89" s="32" t="b">
        <f t="shared" si="51"/>
        <v>1</v>
      </c>
      <c r="AE89" s="32">
        <f>IF($X89=0,0,$X89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89+$Z89)/2,0),Reference!$A$17:$B$20,2,TRUE()))</f>
        <v>0</v>
      </c>
      <c r="AF89" s="32">
        <f>IF(OR($A89="",$U89="",$T89="No Throw"),0,$AM89*VLOOKUP(MAX(($V89+$W89)/2,0),Reference!$A$17:$B$20,2,TRUE()))</f>
        <v>0</v>
      </c>
      <c r="AG89" s="32">
        <f>IF($AC89=0,0,$AC89*INDEX(Reference!$B$61:$B$62,MATCH("Bullpen",Reference!$A$61:$A$62,0))*VLOOKUP(MAX($D$5-($D$9+$E$9)/2,0),Reference!$A$17:$B$20,2,TRUE()))</f>
        <v>0</v>
      </c>
      <c r="AH89" s="32" t="e">
        <f t="shared" si="52"/>
        <v>#N/A</v>
      </c>
      <c r="AI89" s="32" t="e">
        <f>IF($A89="",NA(),Reference!$A$25)</f>
        <v>#N/A</v>
      </c>
      <c r="AJ89" s="32" t="e">
        <f t="shared" si="53"/>
        <v>#N/A</v>
      </c>
      <c r="AK89" s="32">
        <f>IF(OR($A89="",N($C89)&lt;=7,$T89="No Throw",$J89="x"),0,INDEX(Reference!$B$108:$B$114,$N89+1))</f>
        <v>0</v>
      </c>
      <c r="AL89" s="32">
        <f t="shared" si="54"/>
        <v>1</v>
      </c>
      <c r="AM89" s="32">
        <f>IF($U89="",0,IF($AL89&gt;1,((IF(1&lt;=$AL89,($AL89-1+3)*(INDEX(Reference!$B$6:$B$11,MIN(5,MATCH(MAX(Reference!$A$6,MIN(Reference!$A$11,MIN($U89,90))),Reference!$A$6:$A$11,1)))+(MAX(Reference!$A$6,MIN(Reference!$A$11,MIN($U89,90)))-INDEX(Reference!$A$6:$A$11,MIN(5,MATCH(MAX(Reference!$A$6,MIN(Reference!$A$11,MIN($U89,90))),Reference!$A$6:$A$11,1))))*(INDEX(Reference!$B$6:$B$11,MIN(5,MATCH(MAX(Reference!$A$6,MIN(Reference!$A$11,MIN($U89,90))),Reference!$A$6:$A$11,1))+1)-INDEX(Reference!$B$6:$B$11,MIN(5,MATCH(MAX(Reference!$A$6,MIN(Reference!$A$11,MIN($U89,90))),Reference!$A$6:$A$11,1))))/(INDEX(Reference!$A$6:$A$11,MIN(5,MATCH(MAX(Reference!$A$6,MIN(Reference!$A$11,MIN($U89,90))),Reference!$A$6:$A$11,1))+1)-INDEX(Reference!$A$6:$A$11,MIN(5,MATCH(MAX(Reference!$A$6,MIN(Reference!$A$11,MIN($U89,90))),Reference!$A$6:$A$11,1))))),0)+IF(2&lt;=$AL89,($AL89-2+3)*(INDEX(Reference!$B$6:$B$11,MIN(5,MATCH(MAX(Reference!$A$6,MIN(Reference!$A$11,MIN($U89,120))),Reference!$A$6:$A$11,1)))+(MAX(Reference!$A$6,MIN(Reference!$A$11,MIN($U89,120)))-INDEX(Reference!$A$6:$A$11,MIN(5,MATCH(MAX(Reference!$A$6,MIN(Reference!$A$11,MIN($U89,120))),Reference!$A$6:$A$11,1))))*(INDEX(Reference!$B$6:$B$11,MIN(5,MATCH(MAX(Reference!$A$6,MIN(Reference!$A$11,MIN($U89,120))),Reference!$A$6:$A$11,1))+1)-INDEX(Reference!$B$6:$B$11,MIN(5,MATCH(MAX(Reference!$A$6,MIN(Reference!$A$11,MIN($U89,120))),Reference!$A$6:$A$11,1))))/(INDEX(Reference!$A$6:$A$11,MIN(5,MATCH(MAX(Reference!$A$6,MIN(Reference!$A$11,MIN($U89,120))),Reference!$A$6:$A$11,1))+1)-INDEX(Reference!$A$6:$A$11,MIN(5,MATCH(MAX(Reference!$A$6,MIN(Reference!$A$11,MIN($U89,120))),Reference!$A$6:$A$11,1))))),0)+IF(3&lt;=$AL89,($AL89-3+3)*(INDEX(Reference!$B$6:$B$11,MIN(5,MATCH(MAX(Reference!$A$6,MIN(Reference!$A$11,MIN($U89,150))),Reference!$A$6:$A$11,1)))+(MAX(Reference!$A$6,MIN(Reference!$A$11,MIN($U89,150)))-INDEX(Reference!$A$6:$A$11,MIN(5,MATCH(MAX(Reference!$A$6,MIN(Reference!$A$11,MIN($U89,150))),Reference!$A$6:$A$11,1))))*(INDEX(Reference!$B$6:$B$11,MIN(5,MATCH(MAX(Reference!$A$6,MIN(Reference!$A$11,MIN($U89,150))),Reference!$A$6:$A$11,1))+1)-INDEX(Reference!$B$6:$B$11,MIN(5,MATCH(MAX(Reference!$A$6,MIN(Reference!$A$11,MIN($U89,150))),Reference!$A$6:$A$11,1))))/(INDEX(Reference!$A$6:$A$11,MIN(5,MATCH(MAX(Reference!$A$6,MIN(Reference!$A$11,MIN($U89,150))),Reference!$A$6:$A$11,1))+1)-INDEX(Reference!$A$6:$A$11,MIN(5,MATCH(MAX(Reference!$A$6,MIN(Reference!$A$11,MIN($U89,150))),Reference!$A$6:$A$11,1))))),0)+IF(4&lt;=$AL89,($AL89-4+3)*(INDEX(Reference!$B$6:$B$11,MIN(5,MATCH(MAX(Reference!$A$6,MIN(Reference!$A$11,MIN($U89,180))),Reference!$A$6:$A$11,1)))+(MAX(Reference!$A$6,MIN(Reference!$A$11,MIN($U89,180)))-INDEX(Reference!$A$6:$A$11,MIN(5,MATCH(MAX(Reference!$A$6,MIN(Reference!$A$11,MIN($U89,180))),Reference!$A$6:$A$11,1))))*(INDEX(Reference!$B$6:$B$11,MIN(5,MATCH(MAX(Reference!$A$6,MIN(Reference!$A$11,MIN($U89,180))),Reference!$A$6:$A$11,1))+1)-INDEX(Reference!$B$6:$B$11,MIN(5,MATCH(MAX(Reference!$A$6,MIN(Reference!$A$11,MIN($U89,180))),Reference!$A$6:$A$11,1))))/(INDEX(Reference!$A$6:$A$11,MIN(5,MATCH(MAX(Reference!$A$6,MIN(Reference!$A$11,MIN($U89,180))),Reference!$A$6:$A$11,1))+1)-INDEX(Reference!$A$6:$A$11,MIN(5,MATCH(MAX(Reference!$A$6,MIN(Reference!$A$11,MIN($U89,180))),Reference!$A$6:$A$11,1))))),0)+IF(5&lt;=$AL89,($AL89-5+3)*(INDEX(Reference!$B$6:$B$11,MIN(5,MATCH(MAX(Reference!$A$6,MIN(Reference!$A$11,MIN($U89,210))),Reference!$A$6:$A$11,1)))+(MAX(Reference!$A$6,MIN(Reference!$A$11,MIN($U89,210)))-INDEX(Reference!$A$6:$A$11,MIN(5,MATCH(MAX(Reference!$A$6,MIN(Reference!$A$11,MIN($U89,210))),Reference!$A$6:$A$11,1))))*(INDEX(Reference!$B$6:$B$11,MIN(5,MATCH(MAX(Reference!$A$6,MIN(Reference!$A$11,MIN($U89,210))),Reference!$A$6:$A$11,1))+1)-INDEX(Reference!$B$6:$B$11,MIN(5,MATCH(MAX(Reference!$A$6,MIN(Reference!$A$11,MIN($U89,210))),Reference!$A$6:$A$11,1))))/(INDEX(Reference!$A$6:$A$11,MIN(5,MATCH(MAX(Reference!$A$6,MIN(Reference!$A$11,MIN($U89,210))),Reference!$A$6:$A$11,1))+1)-INDEX(Reference!$A$6:$A$11,MIN(5,MATCH(MAX(Reference!$A$6,MIN(Reference!$A$11,MIN($U89,210))),Reference!$A$6:$A$11,1))))),0)+IF(6&lt;=$AL89,($AL89-6+3)*(INDEX(Reference!$B$6:$B$11,MIN(5,MATCH(MAX(Reference!$A$6,MIN(Reference!$A$11,MIN($U89,240))),Reference!$A$6:$A$11,1)))+(MAX(Reference!$A$6,MIN(Reference!$A$11,MIN($U89,240)))-INDEX(Reference!$A$6:$A$11,MIN(5,MATCH(MAX(Reference!$A$6,MIN(Reference!$A$11,MIN($U89,240))),Reference!$A$6:$A$11,1))))*(INDEX(Reference!$B$6:$B$11,MIN(5,MATCH(MAX(Reference!$A$6,MIN(Reference!$A$11,MIN($U89,240))),Reference!$A$6:$A$11,1))+1)-INDEX(Reference!$B$6:$B$11,MIN(5,MATCH(MAX(Reference!$A$6,MIN(Reference!$A$11,MIN($U89,240))),Reference!$A$6:$A$11,1))))/(INDEX(Reference!$A$6:$A$11,MIN(5,MATCH(MAX(Reference!$A$6,MIN(Reference!$A$11,MIN($U89,240))),Reference!$A$6:$A$11,1))+1)-INDEX(Reference!$A$6:$A$11,MIN(5,MATCH(MAX(Reference!$A$6,MIN(Reference!$A$11,MIN($U89,240))),Reference!$A$6:$A$11,1))))),0)+IF(7&lt;=$AL89,($AL89-7+3)*(INDEX(Reference!$B$6:$B$11,MIN(5,MATCH(MAX(Reference!$A$6,MIN(Reference!$A$11,MIN($U89,270))),Reference!$A$6:$A$11,1)))+(MAX(Reference!$A$6,MIN(Reference!$A$11,MIN($U89,270)))-INDEX(Reference!$A$6:$A$11,MIN(5,MATCH(MAX(Reference!$A$6,MIN(Reference!$A$11,MIN($U89,270))),Reference!$A$6:$A$11,1))))*(INDEX(Reference!$B$6:$B$11,MIN(5,MATCH(MAX(Reference!$A$6,MIN(Reference!$A$11,MIN($U89,270))),Reference!$A$6:$A$11,1))+1)-INDEX(Reference!$B$6:$B$11,MIN(5,MATCH(MAX(Reference!$A$6,MIN(Reference!$A$11,MIN($U89,270))),Reference!$A$6:$A$11,1))))/(INDEX(Reference!$A$6:$A$11,MIN(5,MATCH(MAX(Reference!$A$6,MIN(Reference!$A$11,MIN($U89,270))),Reference!$A$6:$A$11,1))+1)-INDEX(Reference!$A$6:$A$11,MIN(5,MATCH(MAX(Reference!$A$6,MIN(Reference!$A$11,MIN($U89,270))),Reference!$A$6:$A$11,1))))),0)+IF(8&lt;=$AL89,($AL89-8+3)*(INDEX(Reference!$B$6:$B$11,MIN(5,MATCH(MAX(Reference!$A$6,MIN(Reference!$A$11,MIN($U89,300))),Reference!$A$6:$A$11,1)))+(MAX(Reference!$A$6,MIN(Reference!$A$11,MIN($U89,300)))-INDEX(Reference!$A$6:$A$11,MIN(5,MATCH(MAX(Reference!$A$6,MIN(Reference!$A$11,MIN($U89,300))),Reference!$A$6:$A$11,1))))*(INDEX(Reference!$B$6:$B$11,MIN(5,MATCH(MAX(Reference!$A$6,MIN(Reference!$A$11,MIN($U89,300))),Reference!$A$6:$A$11,1))+1)-INDEX(Reference!$B$6:$B$11,MIN(5,MATCH(MAX(Reference!$A$6,MIN(Reference!$A$11,MIN($U89,300))),Reference!$A$6:$A$11,1))))/(INDEX(Reference!$A$6:$A$11,MIN(5,MATCH(MAX(Reference!$A$6,MIN(Reference!$A$11,MIN($U89,300))),Reference!$A$6:$A$11,1))+1)-INDEX(Reference!$A$6:$A$11,MIN(5,MATCH(MAX(Reference!$A$6,MIN(Reference!$A$11,MIN($U89,300))),Reference!$A$6:$A$11,1))))),0))/($AL89*($AL89+5)/2)),$AN89))</f>
        <v>0</v>
      </c>
      <c r="AN89" s="32">
        <f>IF($U89="",0,(INDEX(Reference!$B$6:$B$11,MIN(5,MATCH(MAX(Reference!$A$6,MIN(Reference!$A$11,$U89)),Reference!$A$6:$A$11,1)))+(MAX(Reference!$A$6,MIN(Reference!$A$11,$U89))-INDEX(Reference!$A$6:$A$11,MIN(5,MATCH(MAX(Reference!$A$6,MIN(Reference!$A$11,$U89)),Reference!$A$6:$A$11,1))))*(INDEX(Reference!$B$6:$B$11,MIN(5,MATCH(MAX(Reference!$A$6,MIN(Reference!$A$11,$U89)),Reference!$A$6:$A$11,1))+1)-INDEX(Reference!$B$6:$B$11,MIN(5,MATCH(MAX(Reference!$A$6,MIN(Reference!$A$11,$U89)),Reference!$A$6:$A$11,1))))/(INDEX(Reference!$A$6:$A$11,MIN(5,MATCH(MAX(Reference!$A$6,MIN(Reference!$A$11,$U89)),Reference!$A$6:$A$11,1))+1)-INDEX(Reference!$A$6:$A$11,MIN(5,MATCH(MAX(Reference!$A$6,MIN(Reference!$A$11,$U89)),Reference!$A$6:$A$11,1))))))</f>
        <v>0</v>
      </c>
      <c r="AO89" s="37"/>
      <c r="AP89" s="37"/>
      <c r="AQ89" s="37"/>
    </row>
    <row r="90" spans="1:43" x14ac:dyDescent="0.3">
      <c r="A90" s="48" t="str">
        <f t="shared" si="30"/>
        <v/>
      </c>
      <c r="B90" s="32" t="str">
        <f t="shared" si="31"/>
        <v/>
      </c>
      <c r="C90" s="32" t="str">
        <f t="shared" si="32"/>
        <v/>
      </c>
      <c r="D90" s="32" t="str">
        <f t="shared" si="33"/>
        <v/>
      </c>
      <c r="E90" s="32" t="str">
        <f t="shared" si="34"/>
        <v/>
      </c>
      <c r="F90" s="32" t="str">
        <f t="shared" si="35"/>
        <v/>
      </c>
      <c r="G90" s="47" t="str">
        <f t="shared" si="36"/>
        <v/>
      </c>
      <c r="H90" s="30" t="str">
        <f t="shared" si="37"/>
        <v/>
      </c>
      <c r="I90" s="46" t="str">
        <f>IF($A90="","",IF(AND($L90&lt;27,$K$12=0),"Building",IFERROR(((SUM($H$84:$H90)+$K$12*IF($L90&lt;6,SUMIFS('Throw Log'!$Q$5:$Q$300,'Throw Log'!$B$5:$B$300,$D$4,'Throw Log'!$A$5:$A$300,"&gt;="&amp;($D$6+$L90-6),'Throw Log'!$A$5:$A$300,"&lt;="&amp;($D$6-1)),0))/7)/((SUM($H$63:$H90)+$K$12*IF($L90&lt;27,SUMIFS('Throw Log'!$Q$5:$Q$300,'Throw Log'!$B$5:$B$300,$D$4,'Throw Log'!$A$5:$A$300,"&gt;="&amp;($D$6+$L90-27),'Throw Log'!$A$5:$A$300,"&lt;="&amp;($D$6-1)),0))/28),"")))</f>
        <v/>
      </c>
      <c r="J90" s="37"/>
      <c r="K90" s="37"/>
      <c r="L90" s="32">
        <v>47</v>
      </c>
      <c r="M90" s="32">
        <f t="shared" si="38"/>
        <v>7</v>
      </c>
      <c r="N90" s="32">
        <f t="shared" si="39"/>
        <v>5</v>
      </c>
      <c r="O90" s="32">
        <f t="shared" si="40"/>
        <v>1</v>
      </c>
      <c r="P90" s="32" t="str">
        <f>IF(OR($A90="",N($C90)&lt;=7),"",$G$6*$G$9^($M90-1)*IF(AND(MOD($M90,Reference!$B$99)=0,$M90&lt;=$G$5-2),Reference!$B$100,1))</f>
        <v/>
      </c>
      <c r="Q90" s="32" t="str">
        <f>IF($P90="","",IF(SUM($AK$85:$AK$91)=0,0,$P90*INDEX(Reference!$B$108:$B$114,$N90+1)/SUM($AK$85:$AK$91)))</f>
        <v/>
      </c>
      <c r="R90" s="32">
        <f t="shared" si="41"/>
        <v>120</v>
      </c>
      <c r="S90" s="32">
        <f t="shared" si="42"/>
        <v>105</v>
      </c>
      <c r="T90" s="32" t="str">
        <f>IF($A90="","",IF($C90=0,"Bullpen",IF(OR($C90=7,$C90=1,$C90=5),"Recovery/Easy Catch",IF($C90=6,"Compression/Pulldowns",IF(OR($C90=4,$C90=2),"Long Toss",IF($C90=3,"No Throw",IF($N90=2,"No Throw",IF($N90=6,IF($O90&lt;Reference!$B$104,"No Throw","Recovery/Easy Catch"),IF(OR($N90=0,$N90=4),"Recovery/Easy Catch",IF($N90=1,IF($R90&gt;75,"Long Toss","Recovery/Easy Catch"),IF($N90=3,IF($O90&lt;0.5,IF($S90&gt;75,"Long Toss","Recovery/Easy Catch"),"Compression/Pulldowns"),IF($S90&gt;75,"Long Toss","Recovery/Easy Catch"))))))))))))</f>
        <v/>
      </c>
      <c r="U90" s="32" t="str">
        <f t="shared" si="43"/>
        <v/>
      </c>
      <c r="V90" s="32" t="str">
        <f t="shared" si="44"/>
        <v/>
      </c>
      <c r="W90" s="32" t="str">
        <f t="shared" si="45"/>
        <v/>
      </c>
      <c r="X90" s="32">
        <f t="shared" si="46"/>
        <v>0</v>
      </c>
      <c r="Y90" s="32" t="str">
        <f t="shared" si="47"/>
        <v/>
      </c>
      <c r="Z90" s="32" t="str">
        <f t="shared" si="48"/>
        <v/>
      </c>
      <c r="AA90" s="32" t="str">
        <f t="shared" si="49"/>
        <v/>
      </c>
      <c r="AB90" s="32" t="str">
        <f>IF($A90="","",IF($T90="No Throw",0,IF($K90&lt;&gt;"",$K90,IF($AA90&lt;&gt;"",ROUND($AA90*$D$12*IF($C90=0,1,$G$10),0),MIN(IF($T90="Recovery/Easy Catch",Reference!$B$103,IF($T90="Long Toss",Reference!$B$106,Reference!$B$102)),MAX(Reference!$B$101,ROUND(MAX(0,$Q90-$AE90)/$AF90,0)))))))</f>
        <v/>
      </c>
      <c r="AC90" s="32">
        <f t="shared" si="50"/>
        <v>0</v>
      </c>
      <c r="AD90" s="32" t="b">
        <f t="shared" si="51"/>
        <v>1</v>
      </c>
      <c r="AE90" s="32">
        <f>IF($X90=0,0,$X90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90+$Z90)/2,0),Reference!$A$17:$B$20,2,TRUE()))</f>
        <v>0</v>
      </c>
      <c r="AF90" s="32">
        <f>IF(OR($A90="",$U90="",$T90="No Throw"),0,$AM90*VLOOKUP(MAX(($V90+$W90)/2,0),Reference!$A$17:$B$20,2,TRUE()))</f>
        <v>0</v>
      </c>
      <c r="AG90" s="32">
        <f>IF($AC90=0,0,$AC90*INDEX(Reference!$B$61:$B$62,MATCH("Bullpen",Reference!$A$61:$A$62,0))*VLOOKUP(MAX($D$5-($D$9+$E$9)/2,0),Reference!$A$17:$B$20,2,TRUE()))</f>
        <v>0</v>
      </c>
      <c r="AH90" s="32" t="e">
        <f t="shared" si="52"/>
        <v>#N/A</v>
      </c>
      <c r="AI90" s="32" t="e">
        <f>IF($A90="",NA(),Reference!$A$25)</f>
        <v>#N/A</v>
      </c>
      <c r="AJ90" s="32" t="e">
        <f t="shared" si="53"/>
        <v>#N/A</v>
      </c>
      <c r="AK90" s="32">
        <f>IF(OR($A90="",N($C90)&lt;=7,$T90="No Throw",$J90="x"),0,INDEX(Reference!$B$108:$B$114,$N90+1))</f>
        <v>0</v>
      </c>
      <c r="AL90" s="32">
        <f t="shared" si="54"/>
        <v>1</v>
      </c>
      <c r="AM90" s="32">
        <f>IF($U90="",0,IF($AL90&gt;1,((IF(1&lt;=$AL90,($AL90-1+3)*(INDEX(Reference!$B$6:$B$11,MIN(5,MATCH(MAX(Reference!$A$6,MIN(Reference!$A$11,MIN($U90,90))),Reference!$A$6:$A$11,1)))+(MAX(Reference!$A$6,MIN(Reference!$A$11,MIN($U90,90)))-INDEX(Reference!$A$6:$A$11,MIN(5,MATCH(MAX(Reference!$A$6,MIN(Reference!$A$11,MIN($U90,90))),Reference!$A$6:$A$11,1))))*(INDEX(Reference!$B$6:$B$11,MIN(5,MATCH(MAX(Reference!$A$6,MIN(Reference!$A$11,MIN($U90,90))),Reference!$A$6:$A$11,1))+1)-INDEX(Reference!$B$6:$B$11,MIN(5,MATCH(MAX(Reference!$A$6,MIN(Reference!$A$11,MIN($U90,90))),Reference!$A$6:$A$11,1))))/(INDEX(Reference!$A$6:$A$11,MIN(5,MATCH(MAX(Reference!$A$6,MIN(Reference!$A$11,MIN($U90,90))),Reference!$A$6:$A$11,1))+1)-INDEX(Reference!$A$6:$A$11,MIN(5,MATCH(MAX(Reference!$A$6,MIN(Reference!$A$11,MIN($U90,90))),Reference!$A$6:$A$11,1))))),0)+IF(2&lt;=$AL90,($AL90-2+3)*(INDEX(Reference!$B$6:$B$11,MIN(5,MATCH(MAX(Reference!$A$6,MIN(Reference!$A$11,MIN($U90,120))),Reference!$A$6:$A$11,1)))+(MAX(Reference!$A$6,MIN(Reference!$A$11,MIN($U90,120)))-INDEX(Reference!$A$6:$A$11,MIN(5,MATCH(MAX(Reference!$A$6,MIN(Reference!$A$11,MIN($U90,120))),Reference!$A$6:$A$11,1))))*(INDEX(Reference!$B$6:$B$11,MIN(5,MATCH(MAX(Reference!$A$6,MIN(Reference!$A$11,MIN($U90,120))),Reference!$A$6:$A$11,1))+1)-INDEX(Reference!$B$6:$B$11,MIN(5,MATCH(MAX(Reference!$A$6,MIN(Reference!$A$11,MIN($U90,120))),Reference!$A$6:$A$11,1))))/(INDEX(Reference!$A$6:$A$11,MIN(5,MATCH(MAX(Reference!$A$6,MIN(Reference!$A$11,MIN($U90,120))),Reference!$A$6:$A$11,1))+1)-INDEX(Reference!$A$6:$A$11,MIN(5,MATCH(MAX(Reference!$A$6,MIN(Reference!$A$11,MIN($U90,120))),Reference!$A$6:$A$11,1))))),0)+IF(3&lt;=$AL90,($AL90-3+3)*(INDEX(Reference!$B$6:$B$11,MIN(5,MATCH(MAX(Reference!$A$6,MIN(Reference!$A$11,MIN($U90,150))),Reference!$A$6:$A$11,1)))+(MAX(Reference!$A$6,MIN(Reference!$A$11,MIN($U90,150)))-INDEX(Reference!$A$6:$A$11,MIN(5,MATCH(MAX(Reference!$A$6,MIN(Reference!$A$11,MIN($U90,150))),Reference!$A$6:$A$11,1))))*(INDEX(Reference!$B$6:$B$11,MIN(5,MATCH(MAX(Reference!$A$6,MIN(Reference!$A$11,MIN($U90,150))),Reference!$A$6:$A$11,1))+1)-INDEX(Reference!$B$6:$B$11,MIN(5,MATCH(MAX(Reference!$A$6,MIN(Reference!$A$11,MIN($U90,150))),Reference!$A$6:$A$11,1))))/(INDEX(Reference!$A$6:$A$11,MIN(5,MATCH(MAX(Reference!$A$6,MIN(Reference!$A$11,MIN($U90,150))),Reference!$A$6:$A$11,1))+1)-INDEX(Reference!$A$6:$A$11,MIN(5,MATCH(MAX(Reference!$A$6,MIN(Reference!$A$11,MIN($U90,150))),Reference!$A$6:$A$11,1))))),0)+IF(4&lt;=$AL90,($AL90-4+3)*(INDEX(Reference!$B$6:$B$11,MIN(5,MATCH(MAX(Reference!$A$6,MIN(Reference!$A$11,MIN($U90,180))),Reference!$A$6:$A$11,1)))+(MAX(Reference!$A$6,MIN(Reference!$A$11,MIN($U90,180)))-INDEX(Reference!$A$6:$A$11,MIN(5,MATCH(MAX(Reference!$A$6,MIN(Reference!$A$11,MIN($U90,180))),Reference!$A$6:$A$11,1))))*(INDEX(Reference!$B$6:$B$11,MIN(5,MATCH(MAX(Reference!$A$6,MIN(Reference!$A$11,MIN($U90,180))),Reference!$A$6:$A$11,1))+1)-INDEX(Reference!$B$6:$B$11,MIN(5,MATCH(MAX(Reference!$A$6,MIN(Reference!$A$11,MIN($U90,180))),Reference!$A$6:$A$11,1))))/(INDEX(Reference!$A$6:$A$11,MIN(5,MATCH(MAX(Reference!$A$6,MIN(Reference!$A$11,MIN($U90,180))),Reference!$A$6:$A$11,1))+1)-INDEX(Reference!$A$6:$A$11,MIN(5,MATCH(MAX(Reference!$A$6,MIN(Reference!$A$11,MIN($U90,180))),Reference!$A$6:$A$11,1))))),0)+IF(5&lt;=$AL90,($AL90-5+3)*(INDEX(Reference!$B$6:$B$11,MIN(5,MATCH(MAX(Reference!$A$6,MIN(Reference!$A$11,MIN($U90,210))),Reference!$A$6:$A$11,1)))+(MAX(Reference!$A$6,MIN(Reference!$A$11,MIN($U90,210)))-INDEX(Reference!$A$6:$A$11,MIN(5,MATCH(MAX(Reference!$A$6,MIN(Reference!$A$11,MIN($U90,210))),Reference!$A$6:$A$11,1))))*(INDEX(Reference!$B$6:$B$11,MIN(5,MATCH(MAX(Reference!$A$6,MIN(Reference!$A$11,MIN($U90,210))),Reference!$A$6:$A$11,1))+1)-INDEX(Reference!$B$6:$B$11,MIN(5,MATCH(MAX(Reference!$A$6,MIN(Reference!$A$11,MIN($U90,210))),Reference!$A$6:$A$11,1))))/(INDEX(Reference!$A$6:$A$11,MIN(5,MATCH(MAX(Reference!$A$6,MIN(Reference!$A$11,MIN($U90,210))),Reference!$A$6:$A$11,1))+1)-INDEX(Reference!$A$6:$A$11,MIN(5,MATCH(MAX(Reference!$A$6,MIN(Reference!$A$11,MIN($U90,210))),Reference!$A$6:$A$11,1))))),0)+IF(6&lt;=$AL90,($AL90-6+3)*(INDEX(Reference!$B$6:$B$11,MIN(5,MATCH(MAX(Reference!$A$6,MIN(Reference!$A$11,MIN($U90,240))),Reference!$A$6:$A$11,1)))+(MAX(Reference!$A$6,MIN(Reference!$A$11,MIN($U90,240)))-INDEX(Reference!$A$6:$A$11,MIN(5,MATCH(MAX(Reference!$A$6,MIN(Reference!$A$11,MIN($U90,240))),Reference!$A$6:$A$11,1))))*(INDEX(Reference!$B$6:$B$11,MIN(5,MATCH(MAX(Reference!$A$6,MIN(Reference!$A$11,MIN($U90,240))),Reference!$A$6:$A$11,1))+1)-INDEX(Reference!$B$6:$B$11,MIN(5,MATCH(MAX(Reference!$A$6,MIN(Reference!$A$11,MIN($U90,240))),Reference!$A$6:$A$11,1))))/(INDEX(Reference!$A$6:$A$11,MIN(5,MATCH(MAX(Reference!$A$6,MIN(Reference!$A$11,MIN($U90,240))),Reference!$A$6:$A$11,1))+1)-INDEX(Reference!$A$6:$A$11,MIN(5,MATCH(MAX(Reference!$A$6,MIN(Reference!$A$11,MIN($U90,240))),Reference!$A$6:$A$11,1))))),0)+IF(7&lt;=$AL90,($AL90-7+3)*(INDEX(Reference!$B$6:$B$11,MIN(5,MATCH(MAX(Reference!$A$6,MIN(Reference!$A$11,MIN($U90,270))),Reference!$A$6:$A$11,1)))+(MAX(Reference!$A$6,MIN(Reference!$A$11,MIN($U90,270)))-INDEX(Reference!$A$6:$A$11,MIN(5,MATCH(MAX(Reference!$A$6,MIN(Reference!$A$11,MIN($U90,270))),Reference!$A$6:$A$11,1))))*(INDEX(Reference!$B$6:$B$11,MIN(5,MATCH(MAX(Reference!$A$6,MIN(Reference!$A$11,MIN($U90,270))),Reference!$A$6:$A$11,1))+1)-INDEX(Reference!$B$6:$B$11,MIN(5,MATCH(MAX(Reference!$A$6,MIN(Reference!$A$11,MIN($U90,270))),Reference!$A$6:$A$11,1))))/(INDEX(Reference!$A$6:$A$11,MIN(5,MATCH(MAX(Reference!$A$6,MIN(Reference!$A$11,MIN($U90,270))),Reference!$A$6:$A$11,1))+1)-INDEX(Reference!$A$6:$A$11,MIN(5,MATCH(MAX(Reference!$A$6,MIN(Reference!$A$11,MIN($U90,270))),Reference!$A$6:$A$11,1))))),0)+IF(8&lt;=$AL90,($AL90-8+3)*(INDEX(Reference!$B$6:$B$11,MIN(5,MATCH(MAX(Reference!$A$6,MIN(Reference!$A$11,MIN($U90,300))),Reference!$A$6:$A$11,1)))+(MAX(Reference!$A$6,MIN(Reference!$A$11,MIN($U90,300)))-INDEX(Reference!$A$6:$A$11,MIN(5,MATCH(MAX(Reference!$A$6,MIN(Reference!$A$11,MIN($U90,300))),Reference!$A$6:$A$11,1))))*(INDEX(Reference!$B$6:$B$11,MIN(5,MATCH(MAX(Reference!$A$6,MIN(Reference!$A$11,MIN($U90,300))),Reference!$A$6:$A$11,1))+1)-INDEX(Reference!$B$6:$B$11,MIN(5,MATCH(MAX(Reference!$A$6,MIN(Reference!$A$11,MIN($U90,300))),Reference!$A$6:$A$11,1))))/(INDEX(Reference!$A$6:$A$11,MIN(5,MATCH(MAX(Reference!$A$6,MIN(Reference!$A$11,MIN($U90,300))),Reference!$A$6:$A$11,1))+1)-INDEX(Reference!$A$6:$A$11,MIN(5,MATCH(MAX(Reference!$A$6,MIN(Reference!$A$11,MIN($U90,300))),Reference!$A$6:$A$11,1))))),0))/($AL90*($AL90+5)/2)),$AN90))</f>
        <v>0</v>
      </c>
      <c r="AN90" s="32">
        <f>IF($U90="",0,(INDEX(Reference!$B$6:$B$11,MIN(5,MATCH(MAX(Reference!$A$6,MIN(Reference!$A$11,$U90)),Reference!$A$6:$A$11,1)))+(MAX(Reference!$A$6,MIN(Reference!$A$11,$U90))-INDEX(Reference!$A$6:$A$11,MIN(5,MATCH(MAX(Reference!$A$6,MIN(Reference!$A$11,$U90)),Reference!$A$6:$A$11,1))))*(INDEX(Reference!$B$6:$B$11,MIN(5,MATCH(MAX(Reference!$A$6,MIN(Reference!$A$11,$U90)),Reference!$A$6:$A$11,1))+1)-INDEX(Reference!$B$6:$B$11,MIN(5,MATCH(MAX(Reference!$A$6,MIN(Reference!$A$11,$U90)),Reference!$A$6:$A$11,1))))/(INDEX(Reference!$A$6:$A$11,MIN(5,MATCH(MAX(Reference!$A$6,MIN(Reference!$A$11,$U90)),Reference!$A$6:$A$11,1))+1)-INDEX(Reference!$A$6:$A$11,MIN(5,MATCH(MAX(Reference!$A$6,MIN(Reference!$A$11,$U90)),Reference!$A$6:$A$11,1))))))</f>
        <v>0</v>
      </c>
      <c r="AO90" s="37"/>
      <c r="AP90" s="37"/>
      <c r="AQ90" s="37"/>
    </row>
    <row r="91" spans="1:43" x14ac:dyDescent="0.3">
      <c r="A91" s="48" t="str">
        <f t="shared" si="30"/>
        <v/>
      </c>
      <c r="B91" s="32" t="str">
        <f t="shared" si="31"/>
        <v/>
      </c>
      <c r="C91" s="32" t="str">
        <f t="shared" si="32"/>
        <v/>
      </c>
      <c r="D91" s="32" t="str">
        <f t="shared" si="33"/>
        <v/>
      </c>
      <c r="E91" s="32" t="str">
        <f t="shared" si="34"/>
        <v/>
      </c>
      <c r="F91" s="32" t="str">
        <f t="shared" si="35"/>
        <v/>
      </c>
      <c r="G91" s="47" t="str">
        <f t="shared" si="36"/>
        <v/>
      </c>
      <c r="H91" s="30" t="str">
        <f t="shared" si="37"/>
        <v/>
      </c>
      <c r="I91" s="46" t="str">
        <f>IF($A91="","",IF(AND($L91&lt;27,$K$12=0),"Building",IFERROR(((SUM($H$85:$H91)+$K$12*IF($L91&lt;6,SUMIFS('Throw Log'!$Q$5:$Q$300,'Throw Log'!$B$5:$B$300,$D$4,'Throw Log'!$A$5:$A$300,"&gt;="&amp;($D$6+$L91-6),'Throw Log'!$A$5:$A$300,"&lt;="&amp;($D$6-1)),0))/7)/((SUM($H$64:$H91)+$K$12*IF($L91&lt;27,SUMIFS('Throw Log'!$Q$5:$Q$300,'Throw Log'!$B$5:$B$300,$D$4,'Throw Log'!$A$5:$A$300,"&gt;="&amp;($D$6+$L91-27),'Throw Log'!$A$5:$A$300,"&lt;="&amp;($D$6-1)),0))/28),"")))</f>
        <v/>
      </c>
      <c r="J91" s="37"/>
      <c r="K91" s="37"/>
      <c r="L91" s="32">
        <v>48</v>
      </c>
      <c r="M91" s="32">
        <f t="shared" si="38"/>
        <v>7</v>
      </c>
      <c r="N91" s="32">
        <f t="shared" si="39"/>
        <v>6</v>
      </c>
      <c r="O91" s="32">
        <f t="shared" si="40"/>
        <v>1</v>
      </c>
      <c r="P91" s="32" t="str">
        <f>IF(OR($A91="",N($C91)&lt;=7),"",$G$6*$G$9^($M91-1)*IF(AND(MOD($M91,Reference!$B$99)=0,$M91&lt;=$G$5-2),Reference!$B$100,1))</f>
        <v/>
      </c>
      <c r="Q91" s="32" t="str">
        <f>IF($P91="","",IF(SUM($AK$85:$AK$91)=0,0,$P91*INDEX(Reference!$B$108:$B$114,$N91+1)/SUM($AK$85:$AK$91)))</f>
        <v/>
      </c>
      <c r="R91" s="32">
        <f t="shared" si="41"/>
        <v>120</v>
      </c>
      <c r="S91" s="32">
        <f t="shared" si="42"/>
        <v>105</v>
      </c>
      <c r="T91" s="32" t="str">
        <f>IF($A91="","",IF($C91=0,"Bullpen",IF(OR($C91=7,$C91=1,$C91=5),"Recovery/Easy Catch",IF($C91=6,"Compression/Pulldowns",IF(OR($C91=4,$C91=2),"Long Toss",IF($C91=3,"No Throw",IF($N91=2,"No Throw",IF($N91=6,IF($O91&lt;Reference!$B$104,"No Throw","Recovery/Easy Catch"),IF(OR($N91=0,$N91=4),"Recovery/Easy Catch",IF($N91=1,IF($R91&gt;75,"Long Toss","Recovery/Easy Catch"),IF($N91=3,IF($O91&lt;0.5,IF($S91&gt;75,"Long Toss","Recovery/Easy Catch"),"Compression/Pulldowns"),IF($S91&gt;75,"Long Toss","Recovery/Easy Catch"))))))))))))</f>
        <v/>
      </c>
      <c r="U91" s="32" t="str">
        <f t="shared" si="43"/>
        <v/>
      </c>
      <c r="V91" s="32" t="str">
        <f t="shared" si="44"/>
        <v/>
      </c>
      <c r="W91" s="32" t="str">
        <f t="shared" si="45"/>
        <v/>
      </c>
      <c r="X91" s="32">
        <f t="shared" si="46"/>
        <v>0</v>
      </c>
      <c r="Y91" s="32" t="str">
        <f t="shared" si="47"/>
        <v/>
      </c>
      <c r="Z91" s="32" t="str">
        <f t="shared" si="48"/>
        <v/>
      </c>
      <c r="AA91" s="32" t="str">
        <f t="shared" si="49"/>
        <v/>
      </c>
      <c r="AB91" s="32" t="str">
        <f>IF($A91="","",IF($T91="No Throw",0,IF($K91&lt;&gt;"",$K91,IF($AA91&lt;&gt;"",ROUND($AA91*$D$12*IF($C91=0,1,$G$10),0),MIN(IF($T91="Recovery/Easy Catch",Reference!$B$103,IF($T91="Long Toss",Reference!$B$106,Reference!$B$102)),MAX(Reference!$B$101,ROUND(MAX(0,$Q91-$AE91)/$AF91,0)))))))</f>
        <v/>
      </c>
      <c r="AC91" s="32">
        <f t="shared" si="50"/>
        <v>0</v>
      </c>
      <c r="AD91" s="32" t="b">
        <f t="shared" si="51"/>
        <v>1</v>
      </c>
      <c r="AE91" s="32">
        <f>IF($X91=0,0,$X91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91+$Z91)/2,0),Reference!$A$17:$B$20,2,TRUE()))</f>
        <v>0</v>
      </c>
      <c r="AF91" s="32">
        <f>IF(OR($A91="",$U91="",$T91="No Throw"),0,$AM91*VLOOKUP(MAX(($V91+$W91)/2,0),Reference!$A$17:$B$20,2,TRUE()))</f>
        <v>0</v>
      </c>
      <c r="AG91" s="32">
        <f>IF($AC91=0,0,$AC91*INDEX(Reference!$B$61:$B$62,MATCH("Bullpen",Reference!$A$61:$A$62,0))*VLOOKUP(MAX($D$5-($D$9+$E$9)/2,0),Reference!$A$17:$B$20,2,TRUE()))</f>
        <v>0</v>
      </c>
      <c r="AH91" s="32" t="e">
        <f t="shared" si="52"/>
        <v>#N/A</v>
      </c>
      <c r="AI91" s="32" t="e">
        <f>IF($A91="",NA(),Reference!$A$25)</f>
        <v>#N/A</v>
      </c>
      <c r="AJ91" s="32" t="e">
        <f t="shared" si="53"/>
        <v>#N/A</v>
      </c>
      <c r="AK91" s="32">
        <f>IF(OR($A91="",N($C91)&lt;=7,$T91="No Throw",$J91="x"),0,INDEX(Reference!$B$108:$B$114,$N91+1))</f>
        <v>0</v>
      </c>
      <c r="AL91" s="32">
        <f t="shared" si="54"/>
        <v>1</v>
      </c>
      <c r="AM91" s="32">
        <f>IF($U91="",0,IF($AL91&gt;1,((IF(1&lt;=$AL91,($AL91-1+3)*(INDEX(Reference!$B$6:$B$11,MIN(5,MATCH(MAX(Reference!$A$6,MIN(Reference!$A$11,MIN($U91,90))),Reference!$A$6:$A$11,1)))+(MAX(Reference!$A$6,MIN(Reference!$A$11,MIN($U91,90)))-INDEX(Reference!$A$6:$A$11,MIN(5,MATCH(MAX(Reference!$A$6,MIN(Reference!$A$11,MIN($U91,90))),Reference!$A$6:$A$11,1))))*(INDEX(Reference!$B$6:$B$11,MIN(5,MATCH(MAX(Reference!$A$6,MIN(Reference!$A$11,MIN($U91,90))),Reference!$A$6:$A$11,1))+1)-INDEX(Reference!$B$6:$B$11,MIN(5,MATCH(MAX(Reference!$A$6,MIN(Reference!$A$11,MIN($U91,90))),Reference!$A$6:$A$11,1))))/(INDEX(Reference!$A$6:$A$11,MIN(5,MATCH(MAX(Reference!$A$6,MIN(Reference!$A$11,MIN($U91,90))),Reference!$A$6:$A$11,1))+1)-INDEX(Reference!$A$6:$A$11,MIN(5,MATCH(MAX(Reference!$A$6,MIN(Reference!$A$11,MIN($U91,90))),Reference!$A$6:$A$11,1))))),0)+IF(2&lt;=$AL91,($AL91-2+3)*(INDEX(Reference!$B$6:$B$11,MIN(5,MATCH(MAX(Reference!$A$6,MIN(Reference!$A$11,MIN($U91,120))),Reference!$A$6:$A$11,1)))+(MAX(Reference!$A$6,MIN(Reference!$A$11,MIN($U91,120)))-INDEX(Reference!$A$6:$A$11,MIN(5,MATCH(MAX(Reference!$A$6,MIN(Reference!$A$11,MIN($U91,120))),Reference!$A$6:$A$11,1))))*(INDEX(Reference!$B$6:$B$11,MIN(5,MATCH(MAX(Reference!$A$6,MIN(Reference!$A$11,MIN($U91,120))),Reference!$A$6:$A$11,1))+1)-INDEX(Reference!$B$6:$B$11,MIN(5,MATCH(MAX(Reference!$A$6,MIN(Reference!$A$11,MIN($U91,120))),Reference!$A$6:$A$11,1))))/(INDEX(Reference!$A$6:$A$11,MIN(5,MATCH(MAX(Reference!$A$6,MIN(Reference!$A$11,MIN($U91,120))),Reference!$A$6:$A$11,1))+1)-INDEX(Reference!$A$6:$A$11,MIN(5,MATCH(MAX(Reference!$A$6,MIN(Reference!$A$11,MIN($U91,120))),Reference!$A$6:$A$11,1))))),0)+IF(3&lt;=$AL91,($AL91-3+3)*(INDEX(Reference!$B$6:$B$11,MIN(5,MATCH(MAX(Reference!$A$6,MIN(Reference!$A$11,MIN($U91,150))),Reference!$A$6:$A$11,1)))+(MAX(Reference!$A$6,MIN(Reference!$A$11,MIN($U91,150)))-INDEX(Reference!$A$6:$A$11,MIN(5,MATCH(MAX(Reference!$A$6,MIN(Reference!$A$11,MIN($U91,150))),Reference!$A$6:$A$11,1))))*(INDEX(Reference!$B$6:$B$11,MIN(5,MATCH(MAX(Reference!$A$6,MIN(Reference!$A$11,MIN($U91,150))),Reference!$A$6:$A$11,1))+1)-INDEX(Reference!$B$6:$B$11,MIN(5,MATCH(MAX(Reference!$A$6,MIN(Reference!$A$11,MIN($U91,150))),Reference!$A$6:$A$11,1))))/(INDEX(Reference!$A$6:$A$11,MIN(5,MATCH(MAX(Reference!$A$6,MIN(Reference!$A$11,MIN($U91,150))),Reference!$A$6:$A$11,1))+1)-INDEX(Reference!$A$6:$A$11,MIN(5,MATCH(MAX(Reference!$A$6,MIN(Reference!$A$11,MIN($U91,150))),Reference!$A$6:$A$11,1))))),0)+IF(4&lt;=$AL91,($AL91-4+3)*(INDEX(Reference!$B$6:$B$11,MIN(5,MATCH(MAX(Reference!$A$6,MIN(Reference!$A$11,MIN($U91,180))),Reference!$A$6:$A$11,1)))+(MAX(Reference!$A$6,MIN(Reference!$A$11,MIN($U91,180)))-INDEX(Reference!$A$6:$A$11,MIN(5,MATCH(MAX(Reference!$A$6,MIN(Reference!$A$11,MIN($U91,180))),Reference!$A$6:$A$11,1))))*(INDEX(Reference!$B$6:$B$11,MIN(5,MATCH(MAX(Reference!$A$6,MIN(Reference!$A$11,MIN($U91,180))),Reference!$A$6:$A$11,1))+1)-INDEX(Reference!$B$6:$B$11,MIN(5,MATCH(MAX(Reference!$A$6,MIN(Reference!$A$11,MIN($U91,180))),Reference!$A$6:$A$11,1))))/(INDEX(Reference!$A$6:$A$11,MIN(5,MATCH(MAX(Reference!$A$6,MIN(Reference!$A$11,MIN($U91,180))),Reference!$A$6:$A$11,1))+1)-INDEX(Reference!$A$6:$A$11,MIN(5,MATCH(MAX(Reference!$A$6,MIN(Reference!$A$11,MIN($U91,180))),Reference!$A$6:$A$11,1))))),0)+IF(5&lt;=$AL91,($AL91-5+3)*(INDEX(Reference!$B$6:$B$11,MIN(5,MATCH(MAX(Reference!$A$6,MIN(Reference!$A$11,MIN($U91,210))),Reference!$A$6:$A$11,1)))+(MAX(Reference!$A$6,MIN(Reference!$A$11,MIN($U91,210)))-INDEX(Reference!$A$6:$A$11,MIN(5,MATCH(MAX(Reference!$A$6,MIN(Reference!$A$11,MIN($U91,210))),Reference!$A$6:$A$11,1))))*(INDEX(Reference!$B$6:$B$11,MIN(5,MATCH(MAX(Reference!$A$6,MIN(Reference!$A$11,MIN($U91,210))),Reference!$A$6:$A$11,1))+1)-INDEX(Reference!$B$6:$B$11,MIN(5,MATCH(MAX(Reference!$A$6,MIN(Reference!$A$11,MIN($U91,210))),Reference!$A$6:$A$11,1))))/(INDEX(Reference!$A$6:$A$11,MIN(5,MATCH(MAX(Reference!$A$6,MIN(Reference!$A$11,MIN($U91,210))),Reference!$A$6:$A$11,1))+1)-INDEX(Reference!$A$6:$A$11,MIN(5,MATCH(MAX(Reference!$A$6,MIN(Reference!$A$11,MIN($U91,210))),Reference!$A$6:$A$11,1))))),0)+IF(6&lt;=$AL91,($AL91-6+3)*(INDEX(Reference!$B$6:$B$11,MIN(5,MATCH(MAX(Reference!$A$6,MIN(Reference!$A$11,MIN($U91,240))),Reference!$A$6:$A$11,1)))+(MAX(Reference!$A$6,MIN(Reference!$A$11,MIN($U91,240)))-INDEX(Reference!$A$6:$A$11,MIN(5,MATCH(MAX(Reference!$A$6,MIN(Reference!$A$11,MIN($U91,240))),Reference!$A$6:$A$11,1))))*(INDEX(Reference!$B$6:$B$11,MIN(5,MATCH(MAX(Reference!$A$6,MIN(Reference!$A$11,MIN($U91,240))),Reference!$A$6:$A$11,1))+1)-INDEX(Reference!$B$6:$B$11,MIN(5,MATCH(MAX(Reference!$A$6,MIN(Reference!$A$11,MIN($U91,240))),Reference!$A$6:$A$11,1))))/(INDEX(Reference!$A$6:$A$11,MIN(5,MATCH(MAX(Reference!$A$6,MIN(Reference!$A$11,MIN($U91,240))),Reference!$A$6:$A$11,1))+1)-INDEX(Reference!$A$6:$A$11,MIN(5,MATCH(MAX(Reference!$A$6,MIN(Reference!$A$11,MIN($U91,240))),Reference!$A$6:$A$11,1))))),0)+IF(7&lt;=$AL91,($AL91-7+3)*(INDEX(Reference!$B$6:$B$11,MIN(5,MATCH(MAX(Reference!$A$6,MIN(Reference!$A$11,MIN($U91,270))),Reference!$A$6:$A$11,1)))+(MAX(Reference!$A$6,MIN(Reference!$A$11,MIN($U91,270)))-INDEX(Reference!$A$6:$A$11,MIN(5,MATCH(MAX(Reference!$A$6,MIN(Reference!$A$11,MIN($U91,270))),Reference!$A$6:$A$11,1))))*(INDEX(Reference!$B$6:$B$11,MIN(5,MATCH(MAX(Reference!$A$6,MIN(Reference!$A$11,MIN($U91,270))),Reference!$A$6:$A$11,1))+1)-INDEX(Reference!$B$6:$B$11,MIN(5,MATCH(MAX(Reference!$A$6,MIN(Reference!$A$11,MIN($U91,270))),Reference!$A$6:$A$11,1))))/(INDEX(Reference!$A$6:$A$11,MIN(5,MATCH(MAX(Reference!$A$6,MIN(Reference!$A$11,MIN($U91,270))),Reference!$A$6:$A$11,1))+1)-INDEX(Reference!$A$6:$A$11,MIN(5,MATCH(MAX(Reference!$A$6,MIN(Reference!$A$11,MIN($U91,270))),Reference!$A$6:$A$11,1))))),0)+IF(8&lt;=$AL91,($AL91-8+3)*(INDEX(Reference!$B$6:$B$11,MIN(5,MATCH(MAX(Reference!$A$6,MIN(Reference!$A$11,MIN($U91,300))),Reference!$A$6:$A$11,1)))+(MAX(Reference!$A$6,MIN(Reference!$A$11,MIN($U91,300)))-INDEX(Reference!$A$6:$A$11,MIN(5,MATCH(MAX(Reference!$A$6,MIN(Reference!$A$11,MIN($U91,300))),Reference!$A$6:$A$11,1))))*(INDEX(Reference!$B$6:$B$11,MIN(5,MATCH(MAX(Reference!$A$6,MIN(Reference!$A$11,MIN($U91,300))),Reference!$A$6:$A$11,1))+1)-INDEX(Reference!$B$6:$B$11,MIN(5,MATCH(MAX(Reference!$A$6,MIN(Reference!$A$11,MIN($U91,300))),Reference!$A$6:$A$11,1))))/(INDEX(Reference!$A$6:$A$11,MIN(5,MATCH(MAX(Reference!$A$6,MIN(Reference!$A$11,MIN($U91,300))),Reference!$A$6:$A$11,1))+1)-INDEX(Reference!$A$6:$A$11,MIN(5,MATCH(MAX(Reference!$A$6,MIN(Reference!$A$11,MIN($U91,300))),Reference!$A$6:$A$11,1))))),0))/($AL91*($AL91+5)/2)),$AN91))</f>
        <v>0</v>
      </c>
      <c r="AN91" s="32">
        <f>IF($U91="",0,(INDEX(Reference!$B$6:$B$11,MIN(5,MATCH(MAX(Reference!$A$6,MIN(Reference!$A$11,$U91)),Reference!$A$6:$A$11,1)))+(MAX(Reference!$A$6,MIN(Reference!$A$11,$U91))-INDEX(Reference!$A$6:$A$11,MIN(5,MATCH(MAX(Reference!$A$6,MIN(Reference!$A$11,$U91)),Reference!$A$6:$A$11,1))))*(INDEX(Reference!$B$6:$B$11,MIN(5,MATCH(MAX(Reference!$A$6,MIN(Reference!$A$11,$U91)),Reference!$A$6:$A$11,1))+1)-INDEX(Reference!$B$6:$B$11,MIN(5,MATCH(MAX(Reference!$A$6,MIN(Reference!$A$11,$U91)),Reference!$A$6:$A$11,1))))/(INDEX(Reference!$A$6:$A$11,MIN(5,MATCH(MAX(Reference!$A$6,MIN(Reference!$A$11,$U91)),Reference!$A$6:$A$11,1))+1)-INDEX(Reference!$A$6:$A$11,MIN(5,MATCH(MAX(Reference!$A$6,MIN(Reference!$A$11,$U91)),Reference!$A$6:$A$11,1))))))</f>
        <v>0</v>
      </c>
      <c r="AO91" s="37"/>
      <c r="AP91" s="37"/>
      <c r="AQ91" s="37"/>
    </row>
    <row r="92" spans="1:43" x14ac:dyDescent="0.3">
      <c r="A92" s="48" t="str">
        <f t="shared" si="30"/>
        <v/>
      </c>
      <c r="B92" s="32" t="str">
        <f t="shared" si="31"/>
        <v/>
      </c>
      <c r="C92" s="32" t="str">
        <f t="shared" si="32"/>
        <v/>
      </c>
      <c r="D92" s="32" t="str">
        <f t="shared" si="33"/>
        <v/>
      </c>
      <c r="E92" s="32" t="str">
        <f t="shared" si="34"/>
        <v/>
      </c>
      <c r="F92" s="32" t="str">
        <f t="shared" si="35"/>
        <v/>
      </c>
      <c r="G92" s="47" t="str">
        <f t="shared" si="36"/>
        <v/>
      </c>
      <c r="H92" s="30" t="str">
        <f t="shared" si="37"/>
        <v/>
      </c>
      <c r="I92" s="46" t="str">
        <f>IF($A92="","",IF(AND($L92&lt;27,$K$12=0),"Building",IFERROR(((SUM($H$86:$H92)+$K$12*IF($L92&lt;6,SUMIFS('Throw Log'!$Q$5:$Q$300,'Throw Log'!$B$5:$B$300,$D$4,'Throw Log'!$A$5:$A$300,"&gt;="&amp;($D$6+$L92-6),'Throw Log'!$A$5:$A$300,"&lt;="&amp;($D$6-1)),0))/7)/((SUM($H$65:$H92)+$K$12*IF($L92&lt;27,SUMIFS('Throw Log'!$Q$5:$Q$300,'Throw Log'!$B$5:$B$300,$D$4,'Throw Log'!$A$5:$A$300,"&gt;="&amp;($D$6+$L92-27),'Throw Log'!$A$5:$A$300,"&lt;="&amp;($D$6-1)),0))/28),"")))</f>
        <v/>
      </c>
      <c r="J92" s="37"/>
      <c r="K92" s="37"/>
      <c r="L92" s="32">
        <v>49</v>
      </c>
      <c r="M92" s="32">
        <f t="shared" si="38"/>
        <v>8</v>
      </c>
      <c r="N92" s="32">
        <f t="shared" si="39"/>
        <v>0</v>
      </c>
      <c r="O92" s="32">
        <f t="shared" si="40"/>
        <v>1</v>
      </c>
      <c r="P92" s="32" t="str">
        <f>IF(OR($A92="",N($C92)&lt;=7),"",$G$6*$G$9^($M92-1)*IF(AND(MOD($M92,Reference!$B$99)=0,$M92&lt;=$G$5-2),Reference!$B$100,1))</f>
        <v/>
      </c>
      <c r="Q92" s="32" t="str">
        <f>IF($P92="","",IF(SUM($AK$92:$AK$98)=0,0,$P92*INDEX(Reference!$B$108:$B$114,$N92+1)/SUM($AK$92:$AK$98)))</f>
        <v/>
      </c>
      <c r="R92" s="32">
        <f t="shared" si="41"/>
        <v>120</v>
      </c>
      <c r="S92" s="32">
        <f t="shared" si="42"/>
        <v>105</v>
      </c>
      <c r="T92" s="32" t="str">
        <f>IF($A92="","",IF($C92=0,"Bullpen",IF(OR($C92=7,$C92=1,$C92=5),"Recovery/Easy Catch",IF($C92=6,"Compression/Pulldowns",IF(OR($C92=4,$C92=2),"Long Toss",IF($C92=3,"No Throw",IF($N92=2,"No Throw",IF($N92=6,IF($O92&lt;Reference!$B$104,"No Throw","Recovery/Easy Catch"),IF(OR($N92=0,$N92=4),"Recovery/Easy Catch",IF($N92=1,IF($R92&gt;75,"Long Toss","Recovery/Easy Catch"),IF($N92=3,IF($O92&lt;0.5,IF($S92&gt;75,"Long Toss","Recovery/Easy Catch"),"Compression/Pulldowns"),IF($S92&gt;75,"Long Toss","Recovery/Easy Catch"))))))))))))</f>
        <v/>
      </c>
      <c r="U92" s="32" t="str">
        <f t="shared" si="43"/>
        <v/>
      </c>
      <c r="V92" s="32" t="str">
        <f t="shared" si="44"/>
        <v/>
      </c>
      <c r="W92" s="32" t="str">
        <f t="shared" si="45"/>
        <v/>
      </c>
      <c r="X92" s="32">
        <f t="shared" si="46"/>
        <v>0</v>
      </c>
      <c r="Y92" s="32" t="str">
        <f t="shared" si="47"/>
        <v/>
      </c>
      <c r="Z92" s="32" t="str">
        <f t="shared" si="48"/>
        <v/>
      </c>
      <c r="AA92" s="32" t="str">
        <f t="shared" si="49"/>
        <v/>
      </c>
      <c r="AB92" s="32" t="str">
        <f>IF($A92="","",IF($T92="No Throw",0,IF($K92&lt;&gt;"",$K92,IF($AA92&lt;&gt;"",ROUND($AA92*$D$12*IF($C92=0,1,$G$10),0),MIN(IF($T92="Recovery/Easy Catch",Reference!$B$103,IF($T92="Long Toss",Reference!$B$106,Reference!$B$102)),MAX(Reference!$B$101,ROUND(MAX(0,$Q92-$AE92)/$AF92,0)))))))</f>
        <v/>
      </c>
      <c r="AC92" s="32">
        <f t="shared" si="50"/>
        <v>0</v>
      </c>
      <c r="AD92" s="32" t="b">
        <f t="shared" si="51"/>
        <v>1</v>
      </c>
      <c r="AE92" s="32">
        <f>IF($X92=0,0,$X92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92+$Z92)/2,0),Reference!$A$17:$B$20,2,TRUE()))</f>
        <v>0</v>
      </c>
      <c r="AF92" s="32">
        <f>IF(OR($A92="",$U92="",$T92="No Throw"),0,$AM92*VLOOKUP(MAX(($V92+$W92)/2,0),Reference!$A$17:$B$20,2,TRUE()))</f>
        <v>0</v>
      </c>
      <c r="AG92" s="32">
        <f>IF($AC92=0,0,$AC92*INDEX(Reference!$B$61:$B$62,MATCH("Bullpen",Reference!$A$61:$A$62,0))*VLOOKUP(MAX($D$5-($D$9+$E$9)/2,0),Reference!$A$17:$B$20,2,TRUE()))</f>
        <v>0</v>
      </c>
      <c r="AH92" s="32" t="e">
        <f t="shared" si="52"/>
        <v>#N/A</v>
      </c>
      <c r="AI92" s="32" t="e">
        <f>IF($A92="",NA(),Reference!$A$25)</f>
        <v>#N/A</v>
      </c>
      <c r="AJ92" s="32" t="e">
        <f t="shared" si="53"/>
        <v>#N/A</v>
      </c>
      <c r="AK92" s="32">
        <f>IF(OR($A92="",N($C92)&lt;=7,$T92="No Throw",$J92="x"),0,INDEX(Reference!$B$108:$B$114,$N92+1))</f>
        <v>0</v>
      </c>
      <c r="AL92" s="32">
        <f t="shared" si="54"/>
        <v>1</v>
      </c>
      <c r="AM92" s="32">
        <f>IF($U92="",0,IF($AL92&gt;1,((IF(1&lt;=$AL92,($AL92-1+3)*(INDEX(Reference!$B$6:$B$11,MIN(5,MATCH(MAX(Reference!$A$6,MIN(Reference!$A$11,MIN($U92,90))),Reference!$A$6:$A$11,1)))+(MAX(Reference!$A$6,MIN(Reference!$A$11,MIN($U92,90)))-INDEX(Reference!$A$6:$A$11,MIN(5,MATCH(MAX(Reference!$A$6,MIN(Reference!$A$11,MIN($U92,90))),Reference!$A$6:$A$11,1))))*(INDEX(Reference!$B$6:$B$11,MIN(5,MATCH(MAX(Reference!$A$6,MIN(Reference!$A$11,MIN($U92,90))),Reference!$A$6:$A$11,1))+1)-INDEX(Reference!$B$6:$B$11,MIN(5,MATCH(MAX(Reference!$A$6,MIN(Reference!$A$11,MIN($U92,90))),Reference!$A$6:$A$11,1))))/(INDEX(Reference!$A$6:$A$11,MIN(5,MATCH(MAX(Reference!$A$6,MIN(Reference!$A$11,MIN($U92,90))),Reference!$A$6:$A$11,1))+1)-INDEX(Reference!$A$6:$A$11,MIN(5,MATCH(MAX(Reference!$A$6,MIN(Reference!$A$11,MIN($U92,90))),Reference!$A$6:$A$11,1))))),0)+IF(2&lt;=$AL92,($AL92-2+3)*(INDEX(Reference!$B$6:$B$11,MIN(5,MATCH(MAX(Reference!$A$6,MIN(Reference!$A$11,MIN($U92,120))),Reference!$A$6:$A$11,1)))+(MAX(Reference!$A$6,MIN(Reference!$A$11,MIN($U92,120)))-INDEX(Reference!$A$6:$A$11,MIN(5,MATCH(MAX(Reference!$A$6,MIN(Reference!$A$11,MIN($U92,120))),Reference!$A$6:$A$11,1))))*(INDEX(Reference!$B$6:$B$11,MIN(5,MATCH(MAX(Reference!$A$6,MIN(Reference!$A$11,MIN($U92,120))),Reference!$A$6:$A$11,1))+1)-INDEX(Reference!$B$6:$B$11,MIN(5,MATCH(MAX(Reference!$A$6,MIN(Reference!$A$11,MIN($U92,120))),Reference!$A$6:$A$11,1))))/(INDEX(Reference!$A$6:$A$11,MIN(5,MATCH(MAX(Reference!$A$6,MIN(Reference!$A$11,MIN($U92,120))),Reference!$A$6:$A$11,1))+1)-INDEX(Reference!$A$6:$A$11,MIN(5,MATCH(MAX(Reference!$A$6,MIN(Reference!$A$11,MIN($U92,120))),Reference!$A$6:$A$11,1))))),0)+IF(3&lt;=$AL92,($AL92-3+3)*(INDEX(Reference!$B$6:$B$11,MIN(5,MATCH(MAX(Reference!$A$6,MIN(Reference!$A$11,MIN($U92,150))),Reference!$A$6:$A$11,1)))+(MAX(Reference!$A$6,MIN(Reference!$A$11,MIN($U92,150)))-INDEX(Reference!$A$6:$A$11,MIN(5,MATCH(MAX(Reference!$A$6,MIN(Reference!$A$11,MIN($U92,150))),Reference!$A$6:$A$11,1))))*(INDEX(Reference!$B$6:$B$11,MIN(5,MATCH(MAX(Reference!$A$6,MIN(Reference!$A$11,MIN($U92,150))),Reference!$A$6:$A$11,1))+1)-INDEX(Reference!$B$6:$B$11,MIN(5,MATCH(MAX(Reference!$A$6,MIN(Reference!$A$11,MIN($U92,150))),Reference!$A$6:$A$11,1))))/(INDEX(Reference!$A$6:$A$11,MIN(5,MATCH(MAX(Reference!$A$6,MIN(Reference!$A$11,MIN($U92,150))),Reference!$A$6:$A$11,1))+1)-INDEX(Reference!$A$6:$A$11,MIN(5,MATCH(MAX(Reference!$A$6,MIN(Reference!$A$11,MIN($U92,150))),Reference!$A$6:$A$11,1))))),0)+IF(4&lt;=$AL92,($AL92-4+3)*(INDEX(Reference!$B$6:$B$11,MIN(5,MATCH(MAX(Reference!$A$6,MIN(Reference!$A$11,MIN($U92,180))),Reference!$A$6:$A$11,1)))+(MAX(Reference!$A$6,MIN(Reference!$A$11,MIN($U92,180)))-INDEX(Reference!$A$6:$A$11,MIN(5,MATCH(MAX(Reference!$A$6,MIN(Reference!$A$11,MIN($U92,180))),Reference!$A$6:$A$11,1))))*(INDEX(Reference!$B$6:$B$11,MIN(5,MATCH(MAX(Reference!$A$6,MIN(Reference!$A$11,MIN($U92,180))),Reference!$A$6:$A$11,1))+1)-INDEX(Reference!$B$6:$B$11,MIN(5,MATCH(MAX(Reference!$A$6,MIN(Reference!$A$11,MIN($U92,180))),Reference!$A$6:$A$11,1))))/(INDEX(Reference!$A$6:$A$11,MIN(5,MATCH(MAX(Reference!$A$6,MIN(Reference!$A$11,MIN($U92,180))),Reference!$A$6:$A$11,1))+1)-INDEX(Reference!$A$6:$A$11,MIN(5,MATCH(MAX(Reference!$A$6,MIN(Reference!$A$11,MIN($U92,180))),Reference!$A$6:$A$11,1))))),0)+IF(5&lt;=$AL92,($AL92-5+3)*(INDEX(Reference!$B$6:$B$11,MIN(5,MATCH(MAX(Reference!$A$6,MIN(Reference!$A$11,MIN($U92,210))),Reference!$A$6:$A$11,1)))+(MAX(Reference!$A$6,MIN(Reference!$A$11,MIN($U92,210)))-INDEX(Reference!$A$6:$A$11,MIN(5,MATCH(MAX(Reference!$A$6,MIN(Reference!$A$11,MIN($U92,210))),Reference!$A$6:$A$11,1))))*(INDEX(Reference!$B$6:$B$11,MIN(5,MATCH(MAX(Reference!$A$6,MIN(Reference!$A$11,MIN($U92,210))),Reference!$A$6:$A$11,1))+1)-INDEX(Reference!$B$6:$B$11,MIN(5,MATCH(MAX(Reference!$A$6,MIN(Reference!$A$11,MIN($U92,210))),Reference!$A$6:$A$11,1))))/(INDEX(Reference!$A$6:$A$11,MIN(5,MATCH(MAX(Reference!$A$6,MIN(Reference!$A$11,MIN($U92,210))),Reference!$A$6:$A$11,1))+1)-INDEX(Reference!$A$6:$A$11,MIN(5,MATCH(MAX(Reference!$A$6,MIN(Reference!$A$11,MIN($U92,210))),Reference!$A$6:$A$11,1))))),0)+IF(6&lt;=$AL92,($AL92-6+3)*(INDEX(Reference!$B$6:$B$11,MIN(5,MATCH(MAX(Reference!$A$6,MIN(Reference!$A$11,MIN($U92,240))),Reference!$A$6:$A$11,1)))+(MAX(Reference!$A$6,MIN(Reference!$A$11,MIN($U92,240)))-INDEX(Reference!$A$6:$A$11,MIN(5,MATCH(MAX(Reference!$A$6,MIN(Reference!$A$11,MIN($U92,240))),Reference!$A$6:$A$11,1))))*(INDEX(Reference!$B$6:$B$11,MIN(5,MATCH(MAX(Reference!$A$6,MIN(Reference!$A$11,MIN($U92,240))),Reference!$A$6:$A$11,1))+1)-INDEX(Reference!$B$6:$B$11,MIN(5,MATCH(MAX(Reference!$A$6,MIN(Reference!$A$11,MIN($U92,240))),Reference!$A$6:$A$11,1))))/(INDEX(Reference!$A$6:$A$11,MIN(5,MATCH(MAX(Reference!$A$6,MIN(Reference!$A$11,MIN($U92,240))),Reference!$A$6:$A$11,1))+1)-INDEX(Reference!$A$6:$A$11,MIN(5,MATCH(MAX(Reference!$A$6,MIN(Reference!$A$11,MIN($U92,240))),Reference!$A$6:$A$11,1))))),0)+IF(7&lt;=$AL92,($AL92-7+3)*(INDEX(Reference!$B$6:$B$11,MIN(5,MATCH(MAX(Reference!$A$6,MIN(Reference!$A$11,MIN($U92,270))),Reference!$A$6:$A$11,1)))+(MAX(Reference!$A$6,MIN(Reference!$A$11,MIN($U92,270)))-INDEX(Reference!$A$6:$A$11,MIN(5,MATCH(MAX(Reference!$A$6,MIN(Reference!$A$11,MIN($U92,270))),Reference!$A$6:$A$11,1))))*(INDEX(Reference!$B$6:$B$11,MIN(5,MATCH(MAX(Reference!$A$6,MIN(Reference!$A$11,MIN($U92,270))),Reference!$A$6:$A$11,1))+1)-INDEX(Reference!$B$6:$B$11,MIN(5,MATCH(MAX(Reference!$A$6,MIN(Reference!$A$11,MIN($U92,270))),Reference!$A$6:$A$11,1))))/(INDEX(Reference!$A$6:$A$11,MIN(5,MATCH(MAX(Reference!$A$6,MIN(Reference!$A$11,MIN($U92,270))),Reference!$A$6:$A$11,1))+1)-INDEX(Reference!$A$6:$A$11,MIN(5,MATCH(MAX(Reference!$A$6,MIN(Reference!$A$11,MIN($U92,270))),Reference!$A$6:$A$11,1))))),0)+IF(8&lt;=$AL92,($AL92-8+3)*(INDEX(Reference!$B$6:$B$11,MIN(5,MATCH(MAX(Reference!$A$6,MIN(Reference!$A$11,MIN($U92,300))),Reference!$A$6:$A$11,1)))+(MAX(Reference!$A$6,MIN(Reference!$A$11,MIN($U92,300)))-INDEX(Reference!$A$6:$A$11,MIN(5,MATCH(MAX(Reference!$A$6,MIN(Reference!$A$11,MIN($U92,300))),Reference!$A$6:$A$11,1))))*(INDEX(Reference!$B$6:$B$11,MIN(5,MATCH(MAX(Reference!$A$6,MIN(Reference!$A$11,MIN($U92,300))),Reference!$A$6:$A$11,1))+1)-INDEX(Reference!$B$6:$B$11,MIN(5,MATCH(MAX(Reference!$A$6,MIN(Reference!$A$11,MIN($U92,300))),Reference!$A$6:$A$11,1))))/(INDEX(Reference!$A$6:$A$11,MIN(5,MATCH(MAX(Reference!$A$6,MIN(Reference!$A$11,MIN($U92,300))),Reference!$A$6:$A$11,1))+1)-INDEX(Reference!$A$6:$A$11,MIN(5,MATCH(MAX(Reference!$A$6,MIN(Reference!$A$11,MIN($U92,300))),Reference!$A$6:$A$11,1))))),0))/($AL92*($AL92+5)/2)),$AN92))</f>
        <v>0</v>
      </c>
      <c r="AN92" s="32">
        <f>IF($U92="",0,(INDEX(Reference!$B$6:$B$11,MIN(5,MATCH(MAX(Reference!$A$6,MIN(Reference!$A$11,$U92)),Reference!$A$6:$A$11,1)))+(MAX(Reference!$A$6,MIN(Reference!$A$11,$U92))-INDEX(Reference!$A$6:$A$11,MIN(5,MATCH(MAX(Reference!$A$6,MIN(Reference!$A$11,$U92)),Reference!$A$6:$A$11,1))))*(INDEX(Reference!$B$6:$B$11,MIN(5,MATCH(MAX(Reference!$A$6,MIN(Reference!$A$11,$U92)),Reference!$A$6:$A$11,1))+1)-INDEX(Reference!$B$6:$B$11,MIN(5,MATCH(MAX(Reference!$A$6,MIN(Reference!$A$11,$U92)),Reference!$A$6:$A$11,1))))/(INDEX(Reference!$A$6:$A$11,MIN(5,MATCH(MAX(Reference!$A$6,MIN(Reference!$A$11,$U92)),Reference!$A$6:$A$11,1))+1)-INDEX(Reference!$A$6:$A$11,MIN(5,MATCH(MAX(Reference!$A$6,MIN(Reference!$A$11,$U92)),Reference!$A$6:$A$11,1))))))</f>
        <v>0</v>
      </c>
      <c r="AO92" s="37"/>
      <c r="AP92" s="37"/>
      <c r="AQ92" s="37"/>
    </row>
    <row r="93" spans="1:43" x14ac:dyDescent="0.3">
      <c r="A93" s="48" t="str">
        <f t="shared" si="30"/>
        <v/>
      </c>
      <c r="B93" s="32" t="str">
        <f t="shared" si="31"/>
        <v/>
      </c>
      <c r="C93" s="32" t="str">
        <f t="shared" si="32"/>
        <v/>
      </c>
      <c r="D93" s="32" t="str">
        <f t="shared" si="33"/>
        <v/>
      </c>
      <c r="E93" s="32" t="str">
        <f t="shared" si="34"/>
        <v/>
      </c>
      <c r="F93" s="32" t="str">
        <f t="shared" si="35"/>
        <v/>
      </c>
      <c r="G93" s="47" t="str">
        <f t="shared" si="36"/>
        <v/>
      </c>
      <c r="H93" s="30" t="str">
        <f t="shared" si="37"/>
        <v/>
      </c>
      <c r="I93" s="46" t="str">
        <f>IF($A93="","",IF(AND($L93&lt;27,$K$12=0),"Building",IFERROR(((SUM($H$87:$H93)+$K$12*IF($L93&lt;6,SUMIFS('Throw Log'!$Q$5:$Q$300,'Throw Log'!$B$5:$B$300,$D$4,'Throw Log'!$A$5:$A$300,"&gt;="&amp;($D$6+$L93-6),'Throw Log'!$A$5:$A$300,"&lt;="&amp;($D$6-1)),0))/7)/((SUM($H$66:$H93)+$K$12*IF($L93&lt;27,SUMIFS('Throw Log'!$Q$5:$Q$300,'Throw Log'!$B$5:$B$300,$D$4,'Throw Log'!$A$5:$A$300,"&gt;="&amp;($D$6+$L93-27),'Throw Log'!$A$5:$A$300,"&lt;="&amp;($D$6-1)),0))/28),"")))</f>
        <v/>
      </c>
      <c r="J93" s="37"/>
      <c r="K93" s="37"/>
      <c r="L93" s="32">
        <v>50</v>
      </c>
      <c r="M93" s="32">
        <f t="shared" si="38"/>
        <v>8</v>
      </c>
      <c r="N93" s="32">
        <f t="shared" si="39"/>
        <v>1</v>
      </c>
      <c r="O93" s="32">
        <f t="shared" si="40"/>
        <v>1</v>
      </c>
      <c r="P93" s="32" t="str">
        <f>IF(OR($A93="",N($C93)&lt;=7),"",$G$6*$G$9^($M93-1)*IF(AND(MOD($M93,Reference!$B$99)=0,$M93&lt;=$G$5-2),Reference!$B$100,1))</f>
        <v/>
      </c>
      <c r="Q93" s="32" t="str">
        <f>IF($P93="","",IF(SUM($AK$92:$AK$98)=0,0,$P93*INDEX(Reference!$B$108:$B$114,$N93+1)/SUM($AK$92:$AK$98)))</f>
        <v/>
      </c>
      <c r="R93" s="32">
        <f t="shared" si="41"/>
        <v>120</v>
      </c>
      <c r="S93" s="32">
        <f t="shared" si="42"/>
        <v>105</v>
      </c>
      <c r="T93" s="32" t="str">
        <f>IF($A93="","",IF($C93=0,"Bullpen",IF(OR($C93=7,$C93=1,$C93=5),"Recovery/Easy Catch",IF($C93=6,"Compression/Pulldowns",IF(OR($C93=4,$C93=2),"Long Toss",IF($C93=3,"No Throw",IF($N93=2,"No Throw",IF($N93=6,IF($O93&lt;Reference!$B$104,"No Throw","Recovery/Easy Catch"),IF(OR($N93=0,$N93=4),"Recovery/Easy Catch",IF($N93=1,IF($R93&gt;75,"Long Toss","Recovery/Easy Catch"),IF($N93=3,IF($O93&lt;0.5,IF($S93&gt;75,"Long Toss","Recovery/Easy Catch"),"Compression/Pulldowns"),IF($S93&gt;75,"Long Toss","Recovery/Easy Catch"))))))))))))</f>
        <v/>
      </c>
      <c r="U93" s="32" t="str">
        <f t="shared" si="43"/>
        <v/>
      </c>
      <c r="V93" s="32" t="str">
        <f t="shared" si="44"/>
        <v/>
      </c>
      <c r="W93" s="32" t="str">
        <f t="shared" si="45"/>
        <v/>
      </c>
      <c r="X93" s="32">
        <f t="shared" si="46"/>
        <v>0</v>
      </c>
      <c r="Y93" s="32" t="str">
        <f t="shared" si="47"/>
        <v/>
      </c>
      <c r="Z93" s="32" t="str">
        <f t="shared" si="48"/>
        <v/>
      </c>
      <c r="AA93" s="32" t="str">
        <f t="shared" si="49"/>
        <v/>
      </c>
      <c r="AB93" s="32" t="str">
        <f>IF($A93="","",IF($T93="No Throw",0,IF($K93&lt;&gt;"",$K93,IF($AA93&lt;&gt;"",ROUND($AA93*$D$12*IF($C93=0,1,$G$10),0),MIN(IF($T93="Recovery/Easy Catch",Reference!$B$103,IF($T93="Long Toss",Reference!$B$106,Reference!$B$102)),MAX(Reference!$B$101,ROUND(MAX(0,$Q93-$AE93)/$AF93,0)))))))</f>
        <v/>
      </c>
      <c r="AC93" s="32">
        <f t="shared" si="50"/>
        <v>0</v>
      </c>
      <c r="AD93" s="32" t="b">
        <f t="shared" si="51"/>
        <v>1</v>
      </c>
      <c r="AE93" s="32">
        <f>IF($X93=0,0,$X93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93+$Z93)/2,0),Reference!$A$17:$B$20,2,TRUE()))</f>
        <v>0</v>
      </c>
      <c r="AF93" s="32">
        <f>IF(OR($A93="",$U93="",$T93="No Throw"),0,$AM93*VLOOKUP(MAX(($V93+$W93)/2,0),Reference!$A$17:$B$20,2,TRUE()))</f>
        <v>0</v>
      </c>
      <c r="AG93" s="32">
        <f>IF($AC93=0,0,$AC93*INDEX(Reference!$B$61:$B$62,MATCH("Bullpen",Reference!$A$61:$A$62,0))*VLOOKUP(MAX($D$5-($D$9+$E$9)/2,0),Reference!$A$17:$B$20,2,TRUE()))</f>
        <v>0</v>
      </c>
      <c r="AH93" s="32" t="e">
        <f t="shared" si="52"/>
        <v>#N/A</v>
      </c>
      <c r="AI93" s="32" t="e">
        <f>IF($A93="",NA(),Reference!$A$25)</f>
        <v>#N/A</v>
      </c>
      <c r="AJ93" s="32" t="e">
        <f t="shared" si="53"/>
        <v>#N/A</v>
      </c>
      <c r="AK93" s="32">
        <f>IF(OR($A93="",N($C93)&lt;=7,$T93="No Throw",$J93="x"),0,INDEX(Reference!$B$108:$B$114,$N93+1))</f>
        <v>0</v>
      </c>
      <c r="AL93" s="32">
        <f t="shared" si="54"/>
        <v>1</v>
      </c>
      <c r="AM93" s="32">
        <f>IF($U93="",0,IF($AL93&gt;1,((IF(1&lt;=$AL93,($AL93-1+3)*(INDEX(Reference!$B$6:$B$11,MIN(5,MATCH(MAX(Reference!$A$6,MIN(Reference!$A$11,MIN($U93,90))),Reference!$A$6:$A$11,1)))+(MAX(Reference!$A$6,MIN(Reference!$A$11,MIN($U93,90)))-INDEX(Reference!$A$6:$A$11,MIN(5,MATCH(MAX(Reference!$A$6,MIN(Reference!$A$11,MIN($U93,90))),Reference!$A$6:$A$11,1))))*(INDEX(Reference!$B$6:$B$11,MIN(5,MATCH(MAX(Reference!$A$6,MIN(Reference!$A$11,MIN($U93,90))),Reference!$A$6:$A$11,1))+1)-INDEX(Reference!$B$6:$B$11,MIN(5,MATCH(MAX(Reference!$A$6,MIN(Reference!$A$11,MIN($U93,90))),Reference!$A$6:$A$11,1))))/(INDEX(Reference!$A$6:$A$11,MIN(5,MATCH(MAX(Reference!$A$6,MIN(Reference!$A$11,MIN($U93,90))),Reference!$A$6:$A$11,1))+1)-INDEX(Reference!$A$6:$A$11,MIN(5,MATCH(MAX(Reference!$A$6,MIN(Reference!$A$11,MIN($U93,90))),Reference!$A$6:$A$11,1))))),0)+IF(2&lt;=$AL93,($AL93-2+3)*(INDEX(Reference!$B$6:$B$11,MIN(5,MATCH(MAX(Reference!$A$6,MIN(Reference!$A$11,MIN($U93,120))),Reference!$A$6:$A$11,1)))+(MAX(Reference!$A$6,MIN(Reference!$A$11,MIN($U93,120)))-INDEX(Reference!$A$6:$A$11,MIN(5,MATCH(MAX(Reference!$A$6,MIN(Reference!$A$11,MIN($U93,120))),Reference!$A$6:$A$11,1))))*(INDEX(Reference!$B$6:$B$11,MIN(5,MATCH(MAX(Reference!$A$6,MIN(Reference!$A$11,MIN($U93,120))),Reference!$A$6:$A$11,1))+1)-INDEX(Reference!$B$6:$B$11,MIN(5,MATCH(MAX(Reference!$A$6,MIN(Reference!$A$11,MIN($U93,120))),Reference!$A$6:$A$11,1))))/(INDEX(Reference!$A$6:$A$11,MIN(5,MATCH(MAX(Reference!$A$6,MIN(Reference!$A$11,MIN($U93,120))),Reference!$A$6:$A$11,1))+1)-INDEX(Reference!$A$6:$A$11,MIN(5,MATCH(MAX(Reference!$A$6,MIN(Reference!$A$11,MIN($U93,120))),Reference!$A$6:$A$11,1))))),0)+IF(3&lt;=$AL93,($AL93-3+3)*(INDEX(Reference!$B$6:$B$11,MIN(5,MATCH(MAX(Reference!$A$6,MIN(Reference!$A$11,MIN($U93,150))),Reference!$A$6:$A$11,1)))+(MAX(Reference!$A$6,MIN(Reference!$A$11,MIN($U93,150)))-INDEX(Reference!$A$6:$A$11,MIN(5,MATCH(MAX(Reference!$A$6,MIN(Reference!$A$11,MIN($U93,150))),Reference!$A$6:$A$11,1))))*(INDEX(Reference!$B$6:$B$11,MIN(5,MATCH(MAX(Reference!$A$6,MIN(Reference!$A$11,MIN($U93,150))),Reference!$A$6:$A$11,1))+1)-INDEX(Reference!$B$6:$B$11,MIN(5,MATCH(MAX(Reference!$A$6,MIN(Reference!$A$11,MIN($U93,150))),Reference!$A$6:$A$11,1))))/(INDEX(Reference!$A$6:$A$11,MIN(5,MATCH(MAX(Reference!$A$6,MIN(Reference!$A$11,MIN($U93,150))),Reference!$A$6:$A$11,1))+1)-INDEX(Reference!$A$6:$A$11,MIN(5,MATCH(MAX(Reference!$A$6,MIN(Reference!$A$11,MIN($U93,150))),Reference!$A$6:$A$11,1))))),0)+IF(4&lt;=$AL93,($AL93-4+3)*(INDEX(Reference!$B$6:$B$11,MIN(5,MATCH(MAX(Reference!$A$6,MIN(Reference!$A$11,MIN($U93,180))),Reference!$A$6:$A$11,1)))+(MAX(Reference!$A$6,MIN(Reference!$A$11,MIN($U93,180)))-INDEX(Reference!$A$6:$A$11,MIN(5,MATCH(MAX(Reference!$A$6,MIN(Reference!$A$11,MIN($U93,180))),Reference!$A$6:$A$11,1))))*(INDEX(Reference!$B$6:$B$11,MIN(5,MATCH(MAX(Reference!$A$6,MIN(Reference!$A$11,MIN($U93,180))),Reference!$A$6:$A$11,1))+1)-INDEX(Reference!$B$6:$B$11,MIN(5,MATCH(MAX(Reference!$A$6,MIN(Reference!$A$11,MIN($U93,180))),Reference!$A$6:$A$11,1))))/(INDEX(Reference!$A$6:$A$11,MIN(5,MATCH(MAX(Reference!$A$6,MIN(Reference!$A$11,MIN($U93,180))),Reference!$A$6:$A$11,1))+1)-INDEX(Reference!$A$6:$A$11,MIN(5,MATCH(MAX(Reference!$A$6,MIN(Reference!$A$11,MIN($U93,180))),Reference!$A$6:$A$11,1))))),0)+IF(5&lt;=$AL93,($AL93-5+3)*(INDEX(Reference!$B$6:$B$11,MIN(5,MATCH(MAX(Reference!$A$6,MIN(Reference!$A$11,MIN($U93,210))),Reference!$A$6:$A$11,1)))+(MAX(Reference!$A$6,MIN(Reference!$A$11,MIN($U93,210)))-INDEX(Reference!$A$6:$A$11,MIN(5,MATCH(MAX(Reference!$A$6,MIN(Reference!$A$11,MIN($U93,210))),Reference!$A$6:$A$11,1))))*(INDEX(Reference!$B$6:$B$11,MIN(5,MATCH(MAX(Reference!$A$6,MIN(Reference!$A$11,MIN($U93,210))),Reference!$A$6:$A$11,1))+1)-INDEX(Reference!$B$6:$B$11,MIN(5,MATCH(MAX(Reference!$A$6,MIN(Reference!$A$11,MIN($U93,210))),Reference!$A$6:$A$11,1))))/(INDEX(Reference!$A$6:$A$11,MIN(5,MATCH(MAX(Reference!$A$6,MIN(Reference!$A$11,MIN($U93,210))),Reference!$A$6:$A$11,1))+1)-INDEX(Reference!$A$6:$A$11,MIN(5,MATCH(MAX(Reference!$A$6,MIN(Reference!$A$11,MIN($U93,210))),Reference!$A$6:$A$11,1))))),0)+IF(6&lt;=$AL93,($AL93-6+3)*(INDEX(Reference!$B$6:$B$11,MIN(5,MATCH(MAX(Reference!$A$6,MIN(Reference!$A$11,MIN($U93,240))),Reference!$A$6:$A$11,1)))+(MAX(Reference!$A$6,MIN(Reference!$A$11,MIN($U93,240)))-INDEX(Reference!$A$6:$A$11,MIN(5,MATCH(MAX(Reference!$A$6,MIN(Reference!$A$11,MIN($U93,240))),Reference!$A$6:$A$11,1))))*(INDEX(Reference!$B$6:$B$11,MIN(5,MATCH(MAX(Reference!$A$6,MIN(Reference!$A$11,MIN($U93,240))),Reference!$A$6:$A$11,1))+1)-INDEX(Reference!$B$6:$B$11,MIN(5,MATCH(MAX(Reference!$A$6,MIN(Reference!$A$11,MIN($U93,240))),Reference!$A$6:$A$11,1))))/(INDEX(Reference!$A$6:$A$11,MIN(5,MATCH(MAX(Reference!$A$6,MIN(Reference!$A$11,MIN($U93,240))),Reference!$A$6:$A$11,1))+1)-INDEX(Reference!$A$6:$A$11,MIN(5,MATCH(MAX(Reference!$A$6,MIN(Reference!$A$11,MIN($U93,240))),Reference!$A$6:$A$11,1))))),0)+IF(7&lt;=$AL93,($AL93-7+3)*(INDEX(Reference!$B$6:$B$11,MIN(5,MATCH(MAX(Reference!$A$6,MIN(Reference!$A$11,MIN($U93,270))),Reference!$A$6:$A$11,1)))+(MAX(Reference!$A$6,MIN(Reference!$A$11,MIN($U93,270)))-INDEX(Reference!$A$6:$A$11,MIN(5,MATCH(MAX(Reference!$A$6,MIN(Reference!$A$11,MIN($U93,270))),Reference!$A$6:$A$11,1))))*(INDEX(Reference!$B$6:$B$11,MIN(5,MATCH(MAX(Reference!$A$6,MIN(Reference!$A$11,MIN($U93,270))),Reference!$A$6:$A$11,1))+1)-INDEX(Reference!$B$6:$B$11,MIN(5,MATCH(MAX(Reference!$A$6,MIN(Reference!$A$11,MIN($U93,270))),Reference!$A$6:$A$11,1))))/(INDEX(Reference!$A$6:$A$11,MIN(5,MATCH(MAX(Reference!$A$6,MIN(Reference!$A$11,MIN($U93,270))),Reference!$A$6:$A$11,1))+1)-INDEX(Reference!$A$6:$A$11,MIN(5,MATCH(MAX(Reference!$A$6,MIN(Reference!$A$11,MIN($U93,270))),Reference!$A$6:$A$11,1))))),0)+IF(8&lt;=$AL93,($AL93-8+3)*(INDEX(Reference!$B$6:$B$11,MIN(5,MATCH(MAX(Reference!$A$6,MIN(Reference!$A$11,MIN($U93,300))),Reference!$A$6:$A$11,1)))+(MAX(Reference!$A$6,MIN(Reference!$A$11,MIN($U93,300)))-INDEX(Reference!$A$6:$A$11,MIN(5,MATCH(MAX(Reference!$A$6,MIN(Reference!$A$11,MIN($U93,300))),Reference!$A$6:$A$11,1))))*(INDEX(Reference!$B$6:$B$11,MIN(5,MATCH(MAX(Reference!$A$6,MIN(Reference!$A$11,MIN($U93,300))),Reference!$A$6:$A$11,1))+1)-INDEX(Reference!$B$6:$B$11,MIN(5,MATCH(MAX(Reference!$A$6,MIN(Reference!$A$11,MIN($U93,300))),Reference!$A$6:$A$11,1))))/(INDEX(Reference!$A$6:$A$11,MIN(5,MATCH(MAX(Reference!$A$6,MIN(Reference!$A$11,MIN($U93,300))),Reference!$A$6:$A$11,1))+1)-INDEX(Reference!$A$6:$A$11,MIN(5,MATCH(MAX(Reference!$A$6,MIN(Reference!$A$11,MIN($U93,300))),Reference!$A$6:$A$11,1))))),0))/($AL93*($AL93+5)/2)),$AN93))</f>
        <v>0</v>
      </c>
      <c r="AN93" s="32">
        <f>IF($U93="",0,(INDEX(Reference!$B$6:$B$11,MIN(5,MATCH(MAX(Reference!$A$6,MIN(Reference!$A$11,$U93)),Reference!$A$6:$A$11,1)))+(MAX(Reference!$A$6,MIN(Reference!$A$11,$U93))-INDEX(Reference!$A$6:$A$11,MIN(5,MATCH(MAX(Reference!$A$6,MIN(Reference!$A$11,$U93)),Reference!$A$6:$A$11,1))))*(INDEX(Reference!$B$6:$B$11,MIN(5,MATCH(MAX(Reference!$A$6,MIN(Reference!$A$11,$U93)),Reference!$A$6:$A$11,1))+1)-INDEX(Reference!$B$6:$B$11,MIN(5,MATCH(MAX(Reference!$A$6,MIN(Reference!$A$11,$U93)),Reference!$A$6:$A$11,1))))/(INDEX(Reference!$A$6:$A$11,MIN(5,MATCH(MAX(Reference!$A$6,MIN(Reference!$A$11,$U93)),Reference!$A$6:$A$11,1))+1)-INDEX(Reference!$A$6:$A$11,MIN(5,MATCH(MAX(Reference!$A$6,MIN(Reference!$A$11,$U93)),Reference!$A$6:$A$11,1))))))</f>
        <v>0</v>
      </c>
      <c r="AO93" s="37"/>
      <c r="AP93" s="37"/>
      <c r="AQ93" s="37"/>
    </row>
    <row r="94" spans="1:43" x14ac:dyDescent="0.3">
      <c r="A94" s="48" t="str">
        <f t="shared" si="30"/>
        <v/>
      </c>
      <c r="B94" s="32" t="str">
        <f t="shared" si="31"/>
        <v/>
      </c>
      <c r="C94" s="32" t="str">
        <f t="shared" si="32"/>
        <v/>
      </c>
      <c r="D94" s="32" t="str">
        <f t="shared" si="33"/>
        <v/>
      </c>
      <c r="E94" s="32" t="str">
        <f t="shared" si="34"/>
        <v/>
      </c>
      <c r="F94" s="32" t="str">
        <f t="shared" si="35"/>
        <v/>
      </c>
      <c r="G94" s="47" t="str">
        <f t="shared" si="36"/>
        <v/>
      </c>
      <c r="H94" s="30" t="str">
        <f t="shared" si="37"/>
        <v/>
      </c>
      <c r="I94" s="46" t="str">
        <f>IF($A94="","",IF(AND($L94&lt;27,$K$12=0),"Building",IFERROR(((SUM($H$88:$H94)+$K$12*IF($L94&lt;6,SUMIFS('Throw Log'!$Q$5:$Q$300,'Throw Log'!$B$5:$B$300,$D$4,'Throw Log'!$A$5:$A$300,"&gt;="&amp;($D$6+$L94-6),'Throw Log'!$A$5:$A$300,"&lt;="&amp;($D$6-1)),0))/7)/((SUM($H$67:$H94)+$K$12*IF($L94&lt;27,SUMIFS('Throw Log'!$Q$5:$Q$300,'Throw Log'!$B$5:$B$300,$D$4,'Throw Log'!$A$5:$A$300,"&gt;="&amp;($D$6+$L94-27),'Throw Log'!$A$5:$A$300,"&lt;="&amp;($D$6-1)),0))/28),"")))</f>
        <v/>
      </c>
      <c r="J94" s="37"/>
      <c r="K94" s="37"/>
      <c r="L94" s="32">
        <v>51</v>
      </c>
      <c r="M94" s="32">
        <f t="shared" si="38"/>
        <v>8</v>
      </c>
      <c r="N94" s="32">
        <f t="shared" si="39"/>
        <v>2</v>
      </c>
      <c r="O94" s="32">
        <f t="shared" si="40"/>
        <v>1</v>
      </c>
      <c r="P94" s="32" t="str">
        <f>IF(OR($A94="",N($C94)&lt;=7),"",$G$6*$G$9^($M94-1)*IF(AND(MOD($M94,Reference!$B$99)=0,$M94&lt;=$G$5-2),Reference!$B$100,1))</f>
        <v/>
      </c>
      <c r="Q94" s="32" t="str">
        <f>IF($P94="","",IF(SUM($AK$92:$AK$98)=0,0,$P94*INDEX(Reference!$B$108:$B$114,$N94+1)/SUM($AK$92:$AK$98)))</f>
        <v/>
      </c>
      <c r="R94" s="32">
        <f t="shared" si="41"/>
        <v>120</v>
      </c>
      <c r="S94" s="32">
        <f t="shared" si="42"/>
        <v>105</v>
      </c>
      <c r="T94" s="32" t="str">
        <f>IF($A94="","",IF($C94=0,"Bullpen",IF(OR($C94=7,$C94=1,$C94=5),"Recovery/Easy Catch",IF($C94=6,"Compression/Pulldowns",IF(OR($C94=4,$C94=2),"Long Toss",IF($C94=3,"No Throw",IF($N94=2,"No Throw",IF($N94=6,IF($O94&lt;Reference!$B$104,"No Throw","Recovery/Easy Catch"),IF(OR($N94=0,$N94=4),"Recovery/Easy Catch",IF($N94=1,IF($R94&gt;75,"Long Toss","Recovery/Easy Catch"),IF($N94=3,IF($O94&lt;0.5,IF($S94&gt;75,"Long Toss","Recovery/Easy Catch"),"Compression/Pulldowns"),IF($S94&gt;75,"Long Toss","Recovery/Easy Catch"))))))))))))</f>
        <v/>
      </c>
      <c r="U94" s="32" t="str">
        <f t="shared" si="43"/>
        <v/>
      </c>
      <c r="V94" s="32" t="str">
        <f t="shared" si="44"/>
        <v/>
      </c>
      <c r="W94" s="32" t="str">
        <f t="shared" si="45"/>
        <v/>
      </c>
      <c r="X94" s="32">
        <f t="shared" si="46"/>
        <v>0</v>
      </c>
      <c r="Y94" s="32" t="str">
        <f t="shared" si="47"/>
        <v/>
      </c>
      <c r="Z94" s="32" t="str">
        <f t="shared" si="48"/>
        <v/>
      </c>
      <c r="AA94" s="32" t="str">
        <f t="shared" si="49"/>
        <v/>
      </c>
      <c r="AB94" s="32" t="str">
        <f>IF($A94="","",IF($T94="No Throw",0,IF($K94&lt;&gt;"",$K94,IF($AA94&lt;&gt;"",ROUND($AA94*$D$12*IF($C94=0,1,$G$10),0),MIN(IF($T94="Recovery/Easy Catch",Reference!$B$103,IF($T94="Long Toss",Reference!$B$106,Reference!$B$102)),MAX(Reference!$B$101,ROUND(MAX(0,$Q94-$AE94)/$AF94,0)))))))</f>
        <v/>
      </c>
      <c r="AC94" s="32">
        <f t="shared" si="50"/>
        <v>0</v>
      </c>
      <c r="AD94" s="32" t="b">
        <f t="shared" si="51"/>
        <v>1</v>
      </c>
      <c r="AE94" s="32">
        <f>IF($X94=0,0,$X94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94+$Z94)/2,0),Reference!$A$17:$B$20,2,TRUE()))</f>
        <v>0</v>
      </c>
      <c r="AF94" s="32">
        <f>IF(OR($A94="",$U94="",$T94="No Throw"),0,$AM94*VLOOKUP(MAX(($V94+$W94)/2,0),Reference!$A$17:$B$20,2,TRUE()))</f>
        <v>0</v>
      </c>
      <c r="AG94" s="32">
        <f>IF($AC94=0,0,$AC94*INDEX(Reference!$B$61:$B$62,MATCH("Bullpen",Reference!$A$61:$A$62,0))*VLOOKUP(MAX($D$5-($D$9+$E$9)/2,0),Reference!$A$17:$B$20,2,TRUE()))</f>
        <v>0</v>
      </c>
      <c r="AH94" s="32" t="e">
        <f t="shared" si="52"/>
        <v>#N/A</v>
      </c>
      <c r="AI94" s="32" t="e">
        <f>IF($A94="",NA(),Reference!$A$25)</f>
        <v>#N/A</v>
      </c>
      <c r="AJ94" s="32" t="e">
        <f t="shared" si="53"/>
        <v>#N/A</v>
      </c>
      <c r="AK94" s="32">
        <f>IF(OR($A94="",N($C94)&lt;=7,$T94="No Throw",$J94="x"),0,INDEX(Reference!$B$108:$B$114,$N94+1))</f>
        <v>0</v>
      </c>
      <c r="AL94" s="32">
        <f t="shared" si="54"/>
        <v>1</v>
      </c>
      <c r="AM94" s="32">
        <f>IF($U94="",0,IF($AL94&gt;1,((IF(1&lt;=$AL94,($AL94-1+3)*(INDEX(Reference!$B$6:$B$11,MIN(5,MATCH(MAX(Reference!$A$6,MIN(Reference!$A$11,MIN($U94,90))),Reference!$A$6:$A$11,1)))+(MAX(Reference!$A$6,MIN(Reference!$A$11,MIN($U94,90)))-INDEX(Reference!$A$6:$A$11,MIN(5,MATCH(MAX(Reference!$A$6,MIN(Reference!$A$11,MIN($U94,90))),Reference!$A$6:$A$11,1))))*(INDEX(Reference!$B$6:$B$11,MIN(5,MATCH(MAX(Reference!$A$6,MIN(Reference!$A$11,MIN($U94,90))),Reference!$A$6:$A$11,1))+1)-INDEX(Reference!$B$6:$B$11,MIN(5,MATCH(MAX(Reference!$A$6,MIN(Reference!$A$11,MIN($U94,90))),Reference!$A$6:$A$11,1))))/(INDEX(Reference!$A$6:$A$11,MIN(5,MATCH(MAX(Reference!$A$6,MIN(Reference!$A$11,MIN($U94,90))),Reference!$A$6:$A$11,1))+1)-INDEX(Reference!$A$6:$A$11,MIN(5,MATCH(MAX(Reference!$A$6,MIN(Reference!$A$11,MIN($U94,90))),Reference!$A$6:$A$11,1))))),0)+IF(2&lt;=$AL94,($AL94-2+3)*(INDEX(Reference!$B$6:$B$11,MIN(5,MATCH(MAX(Reference!$A$6,MIN(Reference!$A$11,MIN($U94,120))),Reference!$A$6:$A$11,1)))+(MAX(Reference!$A$6,MIN(Reference!$A$11,MIN($U94,120)))-INDEX(Reference!$A$6:$A$11,MIN(5,MATCH(MAX(Reference!$A$6,MIN(Reference!$A$11,MIN($U94,120))),Reference!$A$6:$A$11,1))))*(INDEX(Reference!$B$6:$B$11,MIN(5,MATCH(MAX(Reference!$A$6,MIN(Reference!$A$11,MIN($U94,120))),Reference!$A$6:$A$11,1))+1)-INDEX(Reference!$B$6:$B$11,MIN(5,MATCH(MAX(Reference!$A$6,MIN(Reference!$A$11,MIN($U94,120))),Reference!$A$6:$A$11,1))))/(INDEX(Reference!$A$6:$A$11,MIN(5,MATCH(MAX(Reference!$A$6,MIN(Reference!$A$11,MIN($U94,120))),Reference!$A$6:$A$11,1))+1)-INDEX(Reference!$A$6:$A$11,MIN(5,MATCH(MAX(Reference!$A$6,MIN(Reference!$A$11,MIN($U94,120))),Reference!$A$6:$A$11,1))))),0)+IF(3&lt;=$AL94,($AL94-3+3)*(INDEX(Reference!$B$6:$B$11,MIN(5,MATCH(MAX(Reference!$A$6,MIN(Reference!$A$11,MIN($U94,150))),Reference!$A$6:$A$11,1)))+(MAX(Reference!$A$6,MIN(Reference!$A$11,MIN($U94,150)))-INDEX(Reference!$A$6:$A$11,MIN(5,MATCH(MAX(Reference!$A$6,MIN(Reference!$A$11,MIN($U94,150))),Reference!$A$6:$A$11,1))))*(INDEX(Reference!$B$6:$B$11,MIN(5,MATCH(MAX(Reference!$A$6,MIN(Reference!$A$11,MIN($U94,150))),Reference!$A$6:$A$11,1))+1)-INDEX(Reference!$B$6:$B$11,MIN(5,MATCH(MAX(Reference!$A$6,MIN(Reference!$A$11,MIN($U94,150))),Reference!$A$6:$A$11,1))))/(INDEX(Reference!$A$6:$A$11,MIN(5,MATCH(MAX(Reference!$A$6,MIN(Reference!$A$11,MIN($U94,150))),Reference!$A$6:$A$11,1))+1)-INDEX(Reference!$A$6:$A$11,MIN(5,MATCH(MAX(Reference!$A$6,MIN(Reference!$A$11,MIN($U94,150))),Reference!$A$6:$A$11,1))))),0)+IF(4&lt;=$AL94,($AL94-4+3)*(INDEX(Reference!$B$6:$B$11,MIN(5,MATCH(MAX(Reference!$A$6,MIN(Reference!$A$11,MIN($U94,180))),Reference!$A$6:$A$11,1)))+(MAX(Reference!$A$6,MIN(Reference!$A$11,MIN($U94,180)))-INDEX(Reference!$A$6:$A$11,MIN(5,MATCH(MAX(Reference!$A$6,MIN(Reference!$A$11,MIN($U94,180))),Reference!$A$6:$A$11,1))))*(INDEX(Reference!$B$6:$B$11,MIN(5,MATCH(MAX(Reference!$A$6,MIN(Reference!$A$11,MIN($U94,180))),Reference!$A$6:$A$11,1))+1)-INDEX(Reference!$B$6:$B$11,MIN(5,MATCH(MAX(Reference!$A$6,MIN(Reference!$A$11,MIN($U94,180))),Reference!$A$6:$A$11,1))))/(INDEX(Reference!$A$6:$A$11,MIN(5,MATCH(MAX(Reference!$A$6,MIN(Reference!$A$11,MIN($U94,180))),Reference!$A$6:$A$11,1))+1)-INDEX(Reference!$A$6:$A$11,MIN(5,MATCH(MAX(Reference!$A$6,MIN(Reference!$A$11,MIN($U94,180))),Reference!$A$6:$A$11,1))))),0)+IF(5&lt;=$AL94,($AL94-5+3)*(INDEX(Reference!$B$6:$B$11,MIN(5,MATCH(MAX(Reference!$A$6,MIN(Reference!$A$11,MIN($U94,210))),Reference!$A$6:$A$11,1)))+(MAX(Reference!$A$6,MIN(Reference!$A$11,MIN($U94,210)))-INDEX(Reference!$A$6:$A$11,MIN(5,MATCH(MAX(Reference!$A$6,MIN(Reference!$A$11,MIN($U94,210))),Reference!$A$6:$A$11,1))))*(INDEX(Reference!$B$6:$B$11,MIN(5,MATCH(MAX(Reference!$A$6,MIN(Reference!$A$11,MIN($U94,210))),Reference!$A$6:$A$11,1))+1)-INDEX(Reference!$B$6:$B$11,MIN(5,MATCH(MAX(Reference!$A$6,MIN(Reference!$A$11,MIN($U94,210))),Reference!$A$6:$A$11,1))))/(INDEX(Reference!$A$6:$A$11,MIN(5,MATCH(MAX(Reference!$A$6,MIN(Reference!$A$11,MIN($U94,210))),Reference!$A$6:$A$11,1))+1)-INDEX(Reference!$A$6:$A$11,MIN(5,MATCH(MAX(Reference!$A$6,MIN(Reference!$A$11,MIN($U94,210))),Reference!$A$6:$A$11,1))))),0)+IF(6&lt;=$AL94,($AL94-6+3)*(INDEX(Reference!$B$6:$B$11,MIN(5,MATCH(MAX(Reference!$A$6,MIN(Reference!$A$11,MIN($U94,240))),Reference!$A$6:$A$11,1)))+(MAX(Reference!$A$6,MIN(Reference!$A$11,MIN($U94,240)))-INDEX(Reference!$A$6:$A$11,MIN(5,MATCH(MAX(Reference!$A$6,MIN(Reference!$A$11,MIN($U94,240))),Reference!$A$6:$A$11,1))))*(INDEX(Reference!$B$6:$B$11,MIN(5,MATCH(MAX(Reference!$A$6,MIN(Reference!$A$11,MIN($U94,240))),Reference!$A$6:$A$11,1))+1)-INDEX(Reference!$B$6:$B$11,MIN(5,MATCH(MAX(Reference!$A$6,MIN(Reference!$A$11,MIN($U94,240))),Reference!$A$6:$A$11,1))))/(INDEX(Reference!$A$6:$A$11,MIN(5,MATCH(MAX(Reference!$A$6,MIN(Reference!$A$11,MIN($U94,240))),Reference!$A$6:$A$11,1))+1)-INDEX(Reference!$A$6:$A$11,MIN(5,MATCH(MAX(Reference!$A$6,MIN(Reference!$A$11,MIN($U94,240))),Reference!$A$6:$A$11,1))))),0)+IF(7&lt;=$AL94,($AL94-7+3)*(INDEX(Reference!$B$6:$B$11,MIN(5,MATCH(MAX(Reference!$A$6,MIN(Reference!$A$11,MIN($U94,270))),Reference!$A$6:$A$11,1)))+(MAX(Reference!$A$6,MIN(Reference!$A$11,MIN($U94,270)))-INDEX(Reference!$A$6:$A$11,MIN(5,MATCH(MAX(Reference!$A$6,MIN(Reference!$A$11,MIN($U94,270))),Reference!$A$6:$A$11,1))))*(INDEX(Reference!$B$6:$B$11,MIN(5,MATCH(MAX(Reference!$A$6,MIN(Reference!$A$11,MIN($U94,270))),Reference!$A$6:$A$11,1))+1)-INDEX(Reference!$B$6:$B$11,MIN(5,MATCH(MAX(Reference!$A$6,MIN(Reference!$A$11,MIN($U94,270))),Reference!$A$6:$A$11,1))))/(INDEX(Reference!$A$6:$A$11,MIN(5,MATCH(MAX(Reference!$A$6,MIN(Reference!$A$11,MIN($U94,270))),Reference!$A$6:$A$11,1))+1)-INDEX(Reference!$A$6:$A$11,MIN(5,MATCH(MAX(Reference!$A$6,MIN(Reference!$A$11,MIN($U94,270))),Reference!$A$6:$A$11,1))))),0)+IF(8&lt;=$AL94,($AL94-8+3)*(INDEX(Reference!$B$6:$B$11,MIN(5,MATCH(MAX(Reference!$A$6,MIN(Reference!$A$11,MIN($U94,300))),Reference!$A$6:$A$11,1)))+(MAX(Reference!$A$6,MIN(Reference!$A$11,MIN($U94,300)))-INDEX(Reference!$A$6:$A$11,MIN(5,MATCH(MAX(Reference!$A$6,MIN(Reference!$A$11,MIN($U94,300))),Reference!$A$6:$A$11,1))))*(INDEX(Reference!$B$6:$B$11,MIN(5,MATCH(MAX(Reference!$A$6,MIN(Reference!$A$11,MIN($U94,300))),Reference!$A$6:$A$11,1))+1)-INDEX(Reference!$B$6:$B$11,MIN(5,MATCH(MAX(Reference!$A$6,MIN(Reference!$A$11,MIN($U94,300))),Reference!$A$6:$A$11,1))))/(INDEX(Reference!$A$6:$A$11,MIN(5,MATCH(MAX(Reference!$A$6,MIN(Reference!$A$11,MIN($U94,300))),Reference!$A$6:$A$11,1))+1)-INDEX(Reference!$A$6:$A$11,MIN(5,MATCH(MAX(Reference!$A$6,MIN(Reference!$A$11,MIN($U94,300))),Reference!$A$6:$A$11,1))))),0))/($AL94*($AL94+5)/2)),$AN94))</f>
        <v>0</v>
      </c>
      <c r="AN94" s="32">
        <f>IF($U94="",0,(INDEX(Reference!$B$6:$B$11,MIN(5,MATCH(MAX(Reference!$A$6,MIN(Reference!$A$11,$U94)),Reference!$A$6:$A$11,1)))+(MAX(Reference!$A$6,MIN(Reference!$A$11,$U94))-INDEX(Reference!$A$6:$A$11,MIN(5,MATCH(MAX(Reference!$A$6,MIN(Reference!$A$11,$U94)),Reference!$A$6:$A$11,1))))*(INDEX(Reference!$B$6:$B$11,MIN(5,MATCH(MAX(Reference!$A$6,MIN(Reference!$A$11,$U94)),Reference!$A$6:$A$11,1))+1)-INDEX(Reference!$B$6:$B$11,MIN(5,MATCH(MAX(Reference!$A$6,MIN(Reference!$A$11,$U94)),Reference!$A$6:$A$11,1))))/(INDEX(Reference!$A$6:$A$11,MIN(5,MATCH(MAX(Reference!$A$6,MIN(Reference!$A$11,$U94)),Reference!$A$6:$A$11,1))+1)-INDEX(Reference!$A$6:$A$11,MIN(5,MATCH(MAX(Reference!$A$6,MIN(Reference!$A$11,$U94)),Reference!$A$6:$A$11,1))))))</f>
        <v>0</v>
      </c>
      <c r="AO94" s="37"/>
      <c r="AP94" s="37"/>
      <c r="AQ94" s="37"/>
    </row>
    <row r="95" spans="1:43" x14ac:dyDescent="0.3">
      <c r="A95" s="48" t="str">
        <f t="shared" si="30"/>
        <v/>
      </c>
      <c r="B95" s="32" t="str">
        <f t="shared" si="31"/>
        <v/>
      </c>
      <c r="C95" s="32" t="str">
        <f t="shared" si="32"/>
        <v/>
      </c>
      <c r="D95" s="32" t="str">
        <f t="shared" si="33"/>
        <v/>
      </c>
      <c r="E95" s="32" t="str">
        <f t="shared" si="34"/>
        <v/>
      </c>
      <c r="F95" s="32" t="str">
        <f t="shared" si="35"/>
        <v/>
      </c>
      <c r="G95" s="47" t="str">
        <f t="shared" si="36"/>
        <v/>
      </c>
      <c r="H95" s="30" t="str">
        <f t="shared" si="37"/>
        <v/>
      </c>
      <c r="I95" s="46" t="str">
        <f>IF($A95="","",IF(AND($L95&lt;27,$K$12=0),"Building",IFERROR(((SUM($H$89:$H95)+$K$12*IF($L95&lt;6,SUMIFS('Throw Log'!$Q$5:$Q$300,'Throw Log'!$B$5:$B$300,$D$4,'Throw Log'!$A$5:$A$300,"&gt;="&amp;($D$6+$L95-6),'Throw Log'!$A$5:$A$300,"&lt;="&amp;($D$6-1)),0))/7)/((SUM($H$68:$H95)+$K$12*IF($L95&lt;27,SUMIFS('Throw Log'!$Q$5:$Q$300,'Throw Log'!$B$5:$B$300,$D$4,'Throw Log'!$A$5:$A$300,"&gt;="&amp;($D$6+$L95-27),'Throw Log'!$A$5:$A$300,"&lt;="&amp;($D$6-1)),0))/28),"")))</f>
        <v/>
      </c>
      <c r="J95" s="37"/>
      <c r="K95" s="37"/>
      <c r="L95" s="32">
        <v>52</v>
      </c>
      <c r="M95" s="32">
        <f t="shared" si="38"/>
        <v>8</v>
      </c>
      <c r="N95" s="32">
        <f t="shared" si="39"/>
        <v>3</v>
      </c>
      <c r="O95" s="32">
        <f t="shared" si="40"/>
        <v>1</v>
      </c>
      <c r="P95" s="32" t="str">
        <f>IF(OR($A95="",N($C95)&lt;=7),"",$G$6*$G$9^($M95-1)*IF(AND(MOD($M95,Reference!$B$99)=0,$M95&lt;=$G$5-2),Reference!$B$100,1))</f>
        <v/>
      </c>
      <c r="Q95" s="32" t="str">
        <f>IF($P95="","",IF(SUM($AK$92:$AK$98)=0,0,$P95*INDEX(Reference!$B$108:$B$114,$N95+1)/SUM($AK$92:$AK$98)))</f>
        <v/>
      </c>
      <c r="R95" s="32">
        <f t="shared" si="41"/>
        <v>120</v>
      </c>
      <c r="S95" s="32">
        <f t="shared" si="42"/>
        <v>105</v>
      </c>
      <c r="T95" s="32" t="str">
        <f>IF($A95="","",IF($C95=0,"Bullpen",IF(OR($C95=7,$C95=1,$C95=5),"Recovery/Easy Catch",IF($C95=6,"Compression/Pulldowns",IF(OR($C95=4,$C95=2),"Long Toss",IF($C95=3,"No Throw",IF($N95=2,"No Throw",IF($N95=6,IF($O95&lt;Reference!$B$104,"No Throw","Recovery/Easy Catch"),IF(OR($N95=0,$N95=4),"Recovery/Easy Catch",IF($N95=1,IF($R95&gt;75,"Long Toss","Recovery/Easy Catch"),IF($N95=3,IF($O95&lt;0.5,IF($S95&gt;75,"Long Toss","Recovery/Easy Catch"),"Compression/Pulldowns"),IF($S95&gt;75,"Long Toss","Recovery/Easy Catch"))))))))))))</f>
        <v/>
      </c>
      <c r="U95" s="32" t="str">
        <f t="shared" si="43"/>
        <v/>
      </c>
      <c r="V95" s="32" t="str">
        <f t="shared" si="44"/>
        <v/>
      </c>
      <c r="W95" s="32" t="str">
        <f t="shared" si="45"/>
        <v/>
      </c>
      <c r="X95" s="32">
        <f t="shared" si="46"/>
        <v>0</v>
      </c>
      <c r="Y95" s="32" t="str">
        <f t="shared" si="47"/>
        <v/>
      </c>
      <c r="Z95" s="32" t="str">
        <f t="shared" si="48"/>
        <v/>
      </c>
      <c r="AA95" s="32" t="str">
        <f t="shared" si="49"/>
        <v/>
      </c>
      <c r="AB95" s="32" t="str">
        <f>IF($A95="","",IF($T95="No Throw",0,IF($K95&lt;&gt;"",$K95,IF($AA95&lt;&gt;"",ROUND($AA95*$D$12*IF($C95=0,1,$G$10),0),MIN(IF($T95="Recovery/Easy Catch",Reference!$B$103,IF($T95="Long Toss",Reference!$B$106,Reference!$B$102)),MAX(Reference!$B$101,ROUND(MAX(0,$Q95-$AE95)/$AF95,0)))))))</f>
        <v/>
      </c>
      <c r="AC95" s="32">
        <f t="shared" si="50"/>
        <v>0</v>
      </c>
      <c r="AD95" s="32" t="b">
        <f t="shared" si="51"/>
        <v>1</v>
      </c>
      <c r="AE95" s="32">
        <f>IF($X95=0,0,$X95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95+$Z95)/2,0),Reference!$A$17:$B$20,2,TRUE()))</f>
        <v>0</v>
      </c>
      <c r="AF95" s="32">
        <f>IF(OR($A95="",$U95="",$T95="No Throw"),0,$AM95*VLOOKUP(MAX(($V95+$W95)/2,0),Reference!$A$17:$B$20,2,TRUE()))</f>
        <v>0</v>
      </c>
      <c r="AG95" s="32">
        <f>IF($AC95=0,0,$AC95*INDEX(Reference!$B$61:$B$62,MATCH("Bullpen",Reference!$A$61:$A$62,0))*VLOOKUP(MAX($D$5-($D$9+$E$9)/2,0),Reference!$A$17:$B$20,2,TRUE()))</f>
        <v>0</v>
      </c>
      <c r="AH95" s="32" t="e">
        <f t="shared" si="52"/>
        <v>#N/A</v>
      </c>
      <c r="AI95" s="32" t="e">
        <f>IF($A95="",NA(),Reference!$A$25)</f>
        <v>#N/A</v>
      </c>
      <c r="AJ95" s="32" t="e">
        <f t="shared" si="53"/>
        <v>#N/A</v>
      </c>
      <c r="AK95" s="32">
        <f>IF(OR($A95="",N($C95)&lt;=7,$T95="No Throw",$J95="x"),0,INDEX(Reference!$B$108:$B$114,$N95+1))</f>
        <v>0</v>
      </c>
      <c r="AL95" s="32">
        <f t="shared" si="54"/>
        <v>1</v>
      </c>
      <c r="AM95" s="32">
        <f>IF($U95="",0,IF($AL95&gt;1,((IF(1&lt;=$AL95,($AL95-1+3)*(INDEX(Reference!$B$6:$B$11,MIN(5,MATCH(MAX(Reference!$A$6,MIN(Reference!$A$11,MIN($U95,90))),Reference!$A$6:$A$11,1)))+(MAX(Reference!$A$6,MIN(Reference!$A$11,MIN($U95,90)))-INDEX(Reference!$A$6:$A$11,MIN(5,MATCH(MAX(Reference!$A$6,MIN(Reference!$A$11,MIN($U95,90))),Reference!$A$6:$A$11,1))))*(INDEX(Reference!$B$6:$B$11,MIN(5,MATCH(MAX(Reference!$A$6,MIN(Reference!$A$11,MIN($U95,90))),Reference!$A$6:$A$11,1))+1)-INDEX(Reference!$B$6:$B$11,MIN(5,MATCH(MAX(Reference!$A$6,MIN(Reference!$A$11,MIN($U95,90))),Reference!$A$6:$A$11,1))))/(INDEX(Reference!$A$6:$A$11,MIN(5,MATCH(MAX(Reference!$A$6,MIN(Reference!$A$11,MIN($U95,90))),Reference!$A$6:$A$11,1))+1)-INDEX(Reference!$A$6:$A$11,MIN(5,MATCH(MAX(Reference!$A$6,MIN(Reference!$A$11,MIN($U95,90))),Reference!$A$6:$A$11,1))))),0)+IF(2&lt;=$AL95,($AL95-2+3)*(INDEX(Reference!$B$6:$B$11,MIN(5,MATCH(MAX(Reference!$A$6,MIN(Reference!$A$11,MIN($U95,120))),Reference!$A$6:$A$11,1)))+(MAX(Reference!$A$6,MIN(Reference!$A$11,MIN($U95,120)))-INDEX(Reference!$A$6:$A$11,MIN(5,MATCH(MAX(Reference!$A$6,MIN(Reference!$A$11,MIN($U95,120))),Reference!$A$6:$A$11,1))))*(INDEX(Reference!$B$6:$B$11,MIN(5,MATCH(MAX(Reference!$A$6,MIN(Reference!$A$11,MIN($U95,120))),Reference!$A$6:$A$11,1))+1)-INDEX(Reference!$B$6:$B$11,MIN(5,MATCH(MAX(Reference!$A$6,MIN(Reference!$A$11,MIN($U95,120))),Reference!$A$6:$A$11,1))))/(INDEX(Reference!$A$6:$A$11,MIN(5,MATCH(MAX(Reference!$A$6,MIN(Reference!$A$11,MIN($U95,120))),Reference!$A$6:$A$11,1))+1)-INDEX(Reference!$A$6:$A$11,MIN(5,MATCH(MAX(Reference!$A$6,MIN(Reference!$A$11,MIN($U95,120))),Reference!$A$6:$A$11,1))))),0)+IF(3&lt;=$AL95,($AL95-3+3)*(INDEX(Reference!$B$6:$B$11,MIN(5,MATCH(MAX(Reference!$A$6,MIN(Reference!$A$11,MIN($U95,150))),Reference!$A$6:$A$11,1)))+(MAX(Reference!$A$6,MIN(Reference!$A$11,MIN($U95,150)))-INDEX(Reference!$A$6:$A$11,MIN(5,MATCH(MAX(Reference!$A$6,MIN(Reference!$A$11,MIN($U95,150))),Reference!$A$6:$A$11,1))))*(INDEX(Reference!$B$6:$B$11,MIN(5,MATCH(MAX(Reference!$A$6,MIN(Reference!$A$11,MIN($U95,150))),Reference!$A$6:$A$11,1))+1)-INDEX(Reference!$B$6:$B$11,MIN(5,MATCH(MAX(Reference!$A$6,MIN(Reference!$A$11,MIN($U95,150))),Reference!$A$6:$A$11,1))))/(INDEX(Reference!$A$6:$A$11,MIN(5,MATCH(MAX(Reference!$A$6,MIN(Reference!$A$11,MIN($U95,150))),Reference!$A$6:$A$11,1))+1)-INDEX(Reference!$A$6:$A$11,MIN(5,MATCH(MAX(Reference!$A$6,MIN(Reference!$A$11,MIN($U95,150))),Reference!$A$6:$A$11,1))))),0)+IF(4&lt;=$AL95,($AL95-4+3)*(INDEX(Reference!$B$6:$B$11,MIN(5,MATCH(MAX(Reference!$A$6,MIN(Reference!$A$11,MIN($U95,180))),Reference!$A$6:$A$11,1)))+(MAX(Reference!$A$6,MIN(Reference!$A$11,MIN($U95,180)))-INDEX(Reference!$A$6:$A$11,MIN(5,MATCH(MAX(Reference!$A$6,MIN(Reference!$A$11,MIN($U95,180))),Reference!$A$6:$A$11,1))))*(INDEX(Reference!$B$6:$B$11,MIN(5,MATCH(MAX(Reference!$A$6,MIN(Reference!$A$11,MIN($U95,180))),Reference!$A$6:$A$11,1))+1)-INDEX(Reference!$B$6:$B$11,MIN(5,MATCH(MAX(Reference!$A$6,MIN(Reference!$A$11,MIN($U95,180))),Reference!$A$6:$A$11,1))))/(INDEX(Reference!$A$6:$A$11,MIN(5,MATCH(MAX(Reference!$A$6,MIN(Reference!$A$11,MIN($U95,180))),Reference!$A$6:$A$11,1))+1)-INDEX(Reference!$A$6:$A$11,MIN(5,MATCH(MAX(Reference!$A$6,MIN(Reference!$A$11,MIN($U95,180))),Reference!$A$6:$A$11,1))))),0)+IF(5&lt;=$AL95,($AL95-5+3)*(INDEX(Reference!$B$6:$B$11,MIN(5,MATCH(MAX(Reference!$A$6,MIN(Reference!$A$11,MIN($U95,210))),Reference!$A$6:$A$11,1)))+(MAX(Reference!$A$6,MIN(Reference!$A$11,MIN($U95,210)))-INDEX(Reference!$A$6:$A$11,MIN(5,MATCH(MAX(Reference!$A$6,MIN(Reference!$A$11,MIN($U95,210))),Reference!$A$6:$A$11,1))))*(INDEX(Reference!$B$6:$B$11,MIN(5,MATCH(MAX(Reference!$A$6,MIN(Reference!$A$11,MIN($U95,210))),Reference!$A$6:$A$11,1))+1)-INDEX(Reference!$B$6:$B$11,MIN(5,MATCH(MAX(Reference!$A$6,MIN(Reference!$A$11,MIN($U95,210))),Reference!$A$6:$A$11,1))))/(INDEX(Reference!$A$6:$A$11,MIN(5,MATCH(MAX(Reference!$A$6,MIN(Reference!$A$11,MIN($U95,210))),Reference!$A$6:$A$11,1))+1)-INDEX(Reference!$A$6:$A$11,MIN(5,MATCH(MAX(Reference!$A$6,MIN(Reference!$A$11,MIN($U95,210))),Reference!$A$6:$A$11,1))))),0)+IF(6&lt;=$AL95,($AL95-6+3)*(INDEX(Reference!$B$6:$B$11,MIN(5,MATCH(MAX(Reference!$A$6,MIN(Reference!$A$11,MIN($U95,240))),Reference!$A$6:$A$11,1)))+(MAX(Reference!$A$6,MIN(Reference!$A$11,MIN($U95,240)))-INDEX(Reference!$A$6:$A$11,MIN(5,MATCH(MAX(Reference!$A$6,MIN(Reference!$A$11,MIN($U95,240))),Reference!$A$6:$A$11,1))))*(INDEX(Reference!$B$6:$B$11,MIN(5,MATCH(MAX(Reference!$A$6,MIN(Reference!$A$11,MIN($U95,240))),Reference!$A$6:$A$11,1))+1)-INDEX(Reference!$B$6:$B$11,MIN(5,MATCH(MAX(Reference!$A$6,MIN(Reference!$A$11,MIN($U95,240))),Reference!$A$6:$A$11,1))))/(INDEX(Reference!$A$6:$A$11,MIN(5,MATCH(MAX(Reference!$A$6,MIN(Reference!$A$11,MIN($U95,240))),Reference!$A$6:$A$11,1))+1)-INDEX(Reference!$A$6:$A$11,MIN(5,MATCH(MAX(Reference!$A$6,MIN(Reference!$A$11,MIN($U95,240))),Reference!$A$6:$A$11,1))))),0)+IF(7&lt;=$AL95,($AL95-7+3)*(INDEX(Reference!$B$6:$B$11,MIN(5,MATCH(MAX(Reference!$A$6,MIN(Reference!$A$11,MIN($U95,270))),Reference!$A$6:$A$11,1)))+(MAX(Reference!$A$6,MIN(Reference!$A$11,MIN($U95,270)))-INDEX(Reference!$A$6:$A$11,MIN(5,MATCH(MAX(Reference!$A$6,MIN(Reference!$A$11,MIN($U95,270))),Reference!$A$6:$A$11,1))))*(INDEX(Reference!$B$6:$B$11,MIN(5,MATCH(MAX(Reference!$A$6,MIN(Reference!$A$11,MIN($U95,270))),Reference!$A$6:$A$11,1))+1)-INDEX(Reference!$B$6:$B$11,MIN(5,MATCH(MAX(Reference!$A$6,MIN(Reference!$A$11,MIN($U95,270))),Reference!$A$6:$A$11,1))))/(INDEX(Reference!$A$6:$A$11,MIN(5,MATCH(MAX(Reference!$A$6,MIN(Reference!$A$11,MIN($U95,270))),Reference!$A$6:$A$11,1))+1)-INDEX(Reference!$A$6:$A$11,MIN(5,MATCH(MAX(Reference!$A$6,MIN(Reference!$A$11,MIN($U95,270))),Reference!$A$6:$A$11,1))))),0)+IF(8&lt;=$AL95,($AL95-8+3)*(INDEX(Reference!$B$6:$B$11,MIN(5,MATCH(MAX(Reference!$A$6,MIN(Reference!$A$11,MIN($U95,300))),Reference!$A$6:$A$11,1)))+(MAX(Reference!$A$6,MIN(Reference!$A$11,MIN($U95,300)))-INDEX(Reference!$A$6:$A$11,MIN(5,MATCH(MAX(Reference!$A$6,MIN(Reference!$A$11,MIN($U95,300))),Reference!$A$6:$A$11,1))))*(INDEX(Reference!$B$6:$B$11,MIN(5,MATCH(MAX(Reference!$A$6,MIN(Reference!$A$11,MIN($U95,300))),Reference!$A$6:$A$11,1))+1)-INDEX(Reference!$B$6:$B$11,MIN(5,MATCH(MAX(Reference!$A$6,MIN(Reference!$A$11,MIN($U95,300))),Reference!$A$6:$A$11,1))))/(INDEX(Reference!$A$6:$A$11,MIN(5,MATCH(MAX(Reference!$A$6,MIN(Reference!$A$11,MIN($U95,300))),Reference!$A$6:$A$11,1))+1)-INDEX(Reference!$A$6:$A$11,MIN(5,MATCH(MAX(Reference!$A$6,MIN(Reference!$A$11,MIN($U95,300))),Reference!$A$6:$A$11,1))))),0))/($AL95*($AL95+5)/2)),$AN95))</f>
        <v>0</v>
      </c>
      <c r="AN95" s="32">
        <f>IF($U95="",0,(INDEX(Reference!$B$6:$B$11,MIN(5,MATCH(MAX(Reference!$A$6,MIN(Reference!$A$11,$U95)),Reference!$A$6:$A$11,1)))+(MAX(Reference!$A$6,MIN(Reference!$A$11,$U95))-INDEX(Reference!$A$6:$A$11,MIN(5,MATCH(MAX(Reference!$A$6,MIN(Reference!$A$11,$U95)),Reference!$A$6:$A$11,1))))*(INDEX(Reference!$B$6:$B$11,MIN(5,MATCH(MAX(Reference!$A$6,MIN(Reference!$A$11,$U95)),Reference!$A$6:$A$11,1))+1)-INDEX(Reference!$B$6:$B$11,MIN(5,MATCH(MAX(Reference!$A$6,MIN(Reference!$A$11,$U95)),Reference!$A$6:$A$11,1))))/(INDEX(Reference!$A$6:$A$11,MIN(5,MATCH(MAX(Reference!$A$6,MIN(Reference!$A$11,$U95)),Reference!$A$6:$A$11,1))+1)-INDEX(Reference!$A$6:$A$11,MIN(5,MATCH(MAX(Reference!$A$6,MIN(Reference!$A$11,$U95)),Reference!$A$6:$A$11,1))))))</f>
        <v>0</v>
      </c>
      <c r="AO95" s="37"/>
      <c r="AP95" s="37"/>
      <c r="AQ95" s="37"/>
    </row>
    <row r="96" spans="1:43" x14ac:dyDescent="0.3">
      <c r="A96" s="48" t="str">
        <f t="shared" si="30"/>
        <v/>
      </c>
      <c r="B96" s="32" t="str">
        <f t="shared" si="31"/>
        <v/>
      </c>
      <c r="C96" s="32" t="str">
        <f t="shared" si="32"/>
        <v/>
      </c>
      <c r="D96" s="32" t="str">
        <f t="shared" si="33"/>
        <v/>
      </c>
      <c r="E96" s="32" t="str">
        <f t="shared" si="34"/>
        <v/>
      </c>
      <c r="F96" s="32" t="str">
        <f t="shared" si="35"/>
        <v/>
      </c>
      <c r="G96" s="47" t="str">
        <f t="shared" si="36"/>
        <v/>
      </c>
      <c r="H96" s="30" t="str">
        <f t="shared" si="37"/>
        <v/>
      </c>
      <c r="I96" s="46" t="str">
        <f>IF($A96="","",IF(AND($L96&lt;27,$K$12=0),"Building",IFERROR(((SUM($H$90:$H96)+$K$12*IF($L96&lt;6,SUMIFS('Throw Log'!$Q$5:$Q$300,'Throw Log'!$B$5:$B$300,$D$4,'Throw Log'!$A$5:$A$300,"&gt;="&amp;($D$6+$L96-6),'Throw Log'!$A$5:$A$300,"&lt;="&amp;($D$6-1)),0))/7)/((SUM($H$69:$H96)+$K$12*IF($L96&lt;27,SUMIFS('Throw Log'!$Q$5:$Q$300,'Throw Log'!$B$5:$B$300,$D$4,'Throw Log'!$A$5:$A$300,"&gt;="&amp;($D$6+$L96-27),'Throw Log'!$A$5:$A$300,"&lt;="&amp;($D$6-1)),0))/28),"")))</f>
        <v/>
      </c>
      <c r="J96" s="37"/>
      <c r="K96" s="37"/>
      <c r="L96" s="32">
        <v>53</v>
      </c>
      <c r="M96" s="32">
        <f t="shared" si="38"/>
        <v>8</v>
      </c>
      <c r="N96" s="32">
        <f t="shared" si="39"/>
        <v>4</v>
      </c>
      <c r="O96" s="32">
        <f t="shared" si="40"/>
        <v>1</v>
      </c>
      <c r="P96" s="32" t="str">
        <f>IF(OR($A96="",N($C96)&lt;=7),"",$G$6*$G$9^($M96-1)*IF(AND(MOD($M96,Reference!$B$99)=0,$M96&lt;=$G$5-2),Reference!$B$100,1))</f>
        <v/>
      </c>
      <c r="Q96" s="32" t="str">
        <f>IF($P96="","",IF(SUM($AK$92:$AK$98)=0,0,$P96*INDEX(Reference!$B$108:$B$114,$N96+1)/SUM($AK$92:$AK$98)))</f>
        <v/>
      </c>
      <c r="R96" s="32">
        <f t="shared" si="41"/>
        <v>120</v>
      </c>
      <c r="S96" s="32">
        <f t="shared" si="42"/>
        <v>105</v>
      </c>
      <c r="T96" s="32" t="str">
        <f>IF($A96="","",IF($C96=0,"Bullpen",IF(OR($C96=7,$C96=1,$C96=5),"Recovery/Easy Catch",IF($C96=6,"Compression/Pulldowns",IF(OR($C96=4,$C96=2),"Long Toss",IF($C96=3,"No Throw",IF($N96=2,"No Throw",IF($N96=6,IF($O96&lt;Reference!$B$104,"No Throw","Recovery/Easy Catch"),IF(OR($N96=0,$N96=4),"Recovery/Easy Catch",IF($N96=1,IF($R96&gt;75,"Long Toss","Recovery/Easy Catch"),IF($N96=3,IF($O96&lt;0.5,IF($S96&gt;75,"Long Toss","Recovery/Easy Catch"),"Compression/Pulldowns"),IF($S96&gt;75,"Long Toss","Recovery/Easy Catch"))))))))))))</f>
        <v/>
      </c>
      <c r="U96" s="32" t="str">
        <f t="shared" si="43"/>
        <v/>
      </c>
      <c r="V96" s="32" t="str">
        <f t="shared" si="44"/>
        <v/>
      </c>
      <c r="W96" s="32" t="str">
        <f t="shared" si="45"/>
        <v/>
      </c>
      <c r="X96" s="32">
        <f t="shared" si="46"/>
        <v>0</v>
      </c>
      <c r="Y96" s="32" t="str">
        <f t="shared" si="47"/>
        <v/>
      </c>
      <c r="Z96" s="32" t="str">
        <f t="shared" si="48"/>
        <v/>
      </c>
      <c r="AA96" s="32" t="str">
        <f t="shared" si="49"/>
        <v/>
      </c>
      <c r="AB96" s="32" t="str">
        <f>IF($A96="","",IF($T96="No Throw",0,IF($K96&lt;&gt;"",$K96,IF($AA96&lt;&gt;"",ROUND($AA96*$D$12*IF($C96=0,1,$G$10),0),MIN(IF($T96="Recovery/Easy Catch",Reference!$B$103,IF($T96="Long Toss",Reference!$B$106,Reference!$B$102)),MAX(Reference!$B$101,ROUND(MAX(0,$Q96-$AE96)/$AF96,0)))))))</f>
        <v/>
      </c>
      <c r="AC96" s="32">
        <f t="shared" si="50"/>
        <v>0</v>
      </c>
      <c r="AD96" s="32" t="b">
        <f t="shared" si="51"/>
        <v>1</v>
      </c>
      <c r="AE96" s="32">
        <f>IF($X96=0,0,$X96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96+$Z96)/2,0),Reference!$A$17:$B$20,2,TRUE()))</f>
        <v>0</v>
      </c>
      <c r="AF96" s="32">
        <f>IF(OR($A96="",$U96="",$T96="No Throw"),0,$AM96*VLOOKUP(MAX(($V96+$W96)/2,0),Reference!$A$17:$B$20,2,TRUE()))</f>
        <v>0</v>
      </c>
      <c r="AG96" s="32">
        <f>IF($AC96=0,0,$AC96*INDEX(Reference!$B$61:$B$62,MATCH("Bullpen",Reference!$A$61:$A$62,0))*VLOOKUP(MAX($D$5-($D$9+$E$9)/2,0),Reference!$A$17:$B$20,2,TRUE()))</f>
        <v>0</v>
      </c>
      <c r="AH96" s="32" t="e">
        <f t="shared" si="52"/>
        <v>#N/A</v>
      </c>
      <c r="AI96" s="32" t="e">
        <f>IF($A96="",NA(),Reference!$A$25)</f>
        <v>#N/A</v>
      </c>
      <c r="AJ96" s="32" t="e">
        <f t="shared" si="53"/>
        <v>#N/A</v>
      </c>
      <c r="AK96" s="32">
        <f>IF(OR($A96="",N($C96)&lt;=7,$T96="No Throw",$J96="x"),0,INDEX(Reference!$B$108:$B$114,$N96+1))</f>
        <v>0</v>
      </c>
      <c r="AL96" s="32">
        <f t="shared" si="54"/>
        <v>1</v>
      </c>
      <c r="AM96" s="32">
        <f>IF($U96="",0,IF($AL96&gt;1,((IF(1&lt;=$AL96,($AL96-1+3)*(INDEX(Reference!$B$6:$B$11,MIN(5,MATCH(MAX(Reference!$A$6,MIN(Reference!$A$11,MIN($U96,90))),Reference!$A$6:$A$11,1)))+(MAX(Reference!$A$6,MIN(Reference!$A$11,MIN($U96,90)))-INDEX(Reference!$A$6:$A$11,MIN(5,MATCH(MAX(Reference!$A$6,MIN(Reference!$A$11,MIN($U96,90))),Reference!$A$6:$A$11,1))))*(INDEX(Reference!$B$6:$B$11,MIN(5,MATCH(MAX(Reference!$A$6,MIN(Reference!$A$11,MIN($U96,90))),Reference!$A$6:$A$11,1))+1)-INDEX(Reference!$B$6:$B$11,MIN(5,MATCH(MAX(Reference!$A$6,MIN(Reference!$A$11,MIN($U96,90))),Reference!$A$6:$A$11,1))))/(INDEX(Reference!$A$6:$A$11,MIN(5,MATCH(MAX(Reference!$A$6,MIN(Reference!$A$11,MIN($U96,90))),Reference!$A$6:$A$11,1))+1)-INDEX(Reference!$A$6:$A$11,MIN(5,MATCH(MAX(Reference!$A$6,MIN(Reference!$A$11,MIN($U96,90))),Reference!$A$6:$A$11,1))))),0)+IF(2&lt;=$AL96,($AL96-2+3)*(INDEX(Reference!$B$6:$B$11,MIN(5,MATCH(MAX(Reference!$A$6,MIN(Reference!$A$11,MIN($U96,120))),Reference!$A$6:$A$11,1)))+(MAX(Reference!$A$6,MIN(Reference!$A$11,MIN($U96,120)))-INDEX(Reference!$A$6:$A$11,MIN(5,MATCH(MAX(Reference!$A$6,MIN(Reference!$A$11,MIN($U96,120))),Reference!$A$6:$A$11,1))))*(INDEX(Reference!$B$6:$B$11,MIN(5,MATCH(MAX(Reference!$A$6,MIN(Reference!$A$11,MIN($U96,120))),Reference!$A$6:$A$11,1))+1)-INDEX(Reference!$B$6:$B$11,MIN(5,MATCH(MAX(Reference!$A$6,MIN(Reference!$A$11,MIN($U96,120))),Reference!$A$6:$A$11,1))))/(INDEX(Reference!$A$6:$A$11,MIN(5,MATCH(MAX(Reference!$A$6,MIN(Reference!$A$11,MIN($U96,120))),Reference!$A$6:$A$11,1))+1)-INDEX(Reference!$A$6:$A$11,MIN(5,MATCH(MAX(Reference!$A$6,MIN(Reference!$A$11,MIN($U96,120))),Reference!$A$6:$A$11,1))))),0)+IF(3&lt;=$AL96,($AL96-3+3)*(INDEX(Reference!$B$6:$B$11,MIN(5,MATCH(MAX(Reference!$A$6,MIN(Reference!$A$11,MIN($U96,150))),Reference!$A$6:$A$11,1)))+(MAX(Reference!$A$6,MIN(Reference!$A$11,MIN($U96,150)))-INDEX(Reference!$A$6:$A$11,MIN(5,MATCH(MAX(Reference!$A$6,MIN(Reference!$A$11,MIN($U96,150))),Reference!$A$6:$A$11,1))))*(INDEX(Reference!$B$6:$B$11,MIN(5,MATCH(MAX(Reference!$A$6,MIN(Reference!$A$11,MIN($U96,150))),Reference!$A$6:$A$11,1))+1)-INDEX(Reference!$B$6:$B$11,MIN(5,MATCH(MAX(Reference!$A$6,MIN(Reference!$A$11,MIN($U96,150))),Reference!$A$6:$A$11,1))))/(INDEX(Reference!$A$6:$A$11,MIN(5,MATCH(MAX(Reference!$A$6,MIN(Reference!$A$11,MIN($U96,150))),Reference!$A$6:$A$11,1))+1)-INDEX(Reference!$A$6:$A$11,MIN(5,MATCH(MAX(Reference!$A$6,MIN(Reference!$A$11,MIN($U96,150))),Reference!$A$6:$A$11,1))))),0)+IF(4&lt;=$AL96,($AL96-4+3)*(INDEX(Reference!$B$6:$B$11,MIN(5,MATCH(MAX(Reference!$A$6,MIN(Reference!$A$11,MIN($U96,180))),Reference!$A$6:$A$11,1)))+(MAX(Reference!$A$6,MIN(Reference!$A$11,MIN($U96,180)))-INDEX(Reference!$A$6:$A$11,MIN(5,MATCH(MAX(Reference!$A$6,MIN(Reference!$A$11,MIN($U96,180))),Reference!$A$6:$A$11,1))))*(INDEX(Reference!$B$6:$B$11,MIN(5,MATCH(MAX(Reference!$A$6,MIN(Reference!$A$11,MIN($U96,180))),Reference!$A$6:$A$11,1))+1)-INDEX(Reference!$B$6:$B$11,MIN(5,MATCH(MAX(Reference!$A$6,MIN(Reference!$A$11,MIN($U96,180))),Reference!$A$6:$A$11,1))))/(INDEX(Reference!$A$6:$A$11,MIN(5,MATCH(MAX(Reference!$A$6,MIN(Reference!$A$11,MIN($U96,180))),Reference!$A$6:$A$11,1))+1)-INDEX(Reference!$A$6:$A$11,MIN(5,MATCH(MAX(Reference!$A$6,MIN(Reference!$A$11,MIN($U96,180))),Reference!$A$6:$A$11,1))))),0)+IF(5&lt;=$AL96,($AL96-5+3)*(INDEX(Reference!$B$6:$B$11,MIN(5,MATCH(MAX(Reference!$A$6,MIN(Reference!$A$11,MIN($U96,210))),Reference!$A$6:$A$11,1)))+(MAX(Reference!$A$6,MIN(Reference!$A$11,MIN($U96,210)))-INDEX(Reference!$A$6:$A$11,MIN(5,MATCH(MAX(Reference!$A$6,MIN(Reference!$A$11,MIN($U96,210))),Reference!$A$6:$A$11,1))))*(INDEX(Reference!$B$6:$B$11,MIN(5,MATCH(MAX(Reference!$A$6,MIN(Reference!$A$11,MIN($U96,210))),Reference!$A$6:$A$11,1))+1)-INDEX(Reference!$B$6:$B$11,MIN(5,MATCH(MAX(Reference!$A$6,MIN(Reference!$A$11,MIN($U96,210))),Reference!$A$6:$A$11,1))))/(INDEX(Reference!$A$6:$A$11,MIN(5,MATCH(MAX(Reference!$A$6,MIN(Reference!$A$11,MIN($U96,210))),Reference!$A$6:$A$11,1))+1)-INDEX(Reference!$A$6:$A$11,MIN(5,MATCH(MAX(Reference!$A$6,MIN(Reference!$A$11,MIN($U96,210))),Reference!$A$6:$A$11,1))))),0)+IF(6&lt;=$AL96,($AL96-6+3)*(INDEX(Reference!$B$6:$B$11,MIN(5,MATCH(MAX(Reference!$A$6,MIN(Reference!$A$11,MIN($U96,240))),Reference!$A$6:$A$11,1)))+(MAX(Reference!$A$6,MIN(Reference!$A$11,MIN($U96,240)))-INDEX(Reference!$A$6:$A$11,MIN(5,MATCH(MAX(Reference!$A$6,MIN(Reference!$A$11,MIN($U96,240))),Reference!$A$6:$A$11,1))))*(INDEX(Reference!$B$6:$B$11,MIN(5,MATCH(MAX(Reference!$A$6,MIN(Reference!$A$11,MIN($U96,240))),Reference!$A$6:$A$11,1))+1)-INDEX(Reference!$B$6:$B$11,MIN(5,MATCH(MAX(Reference!$A$6,MIN(Reference!$A$11,MIN($U96,240))),Reference!$A$6:$A$11,1))))/(INDEX(Reference!$A$6:$A$11,MIN(5,MATCH(MAX(Reference!$A$6,MIN(Reference!$A$11,MIN($U96,240))),Reference!$A$6:$A$11,1))+1)-INDEX(Reference!$A$6:$A$11,MIN(5,MATCH(MAX(Reference!$A$6,MIN(Reference!$A$11,MIN($U96,240))),Reference!$A$6:$A$11,1))))),0)+IF(7&lt;=$AL96,($AL96-7+3)*(INDEX(Reference!$B$6:$B$11,MIN(5,MATCH(MAX(Reference!$A$6,MIN(Reference!$A$11,MIN($U96,270))),Reference!$A$6:$A$11,1)))+(MAX(Reference!$A$6,MIN(Reference!$A$11,MIN($U96,270)))-INDEX(Reference!$A$6:$A$11,MIN(5,MATCH(MAX(Reference!$A$6,MIN(Reference!$A$11,MIN($U96,270))),Reference!$A$6:$A$11,1))))*(INDEX(Reference!$B$6:$B$11,MIN(5,MATCH(MAX(Reference!$A$6,MIN(Reference!$A$11,MIN($U96,270))),Reference!$A$6:$A$11,1))+1)-INDEX(Reference!$B$6:$B$11,MIN(5,MATCH(MAX(Reference!$A$6,MIN(Reference!$A$11,MIN($U96,270))),Reference!$A$6:$A$11,1))))/(INDEX(Reference!$A$6:$A$11,MIN(5,MATCH(MAX(Reference!$A$6,MIN(Reference!$A$11,MIN($U96,270))),Reference!$A$6:$A$11,1))+1)-INDEX(Reference!$A$6:$A$11,MIN(5,MATCH(MAX(Reference!$A$6,MIN(Reference!$A$11,MIN($U96,270))),Reference!$A$6:$A$11,1))))),0)+IF(8&lt;=$AL96,($AL96-8+3)*(INDEX(Reference!$B$6:$B$11,MIN(5,MATCH(MAX(Reference!$A$6,MIN(Reference!$A$11,MIN($U96,300))),Reference!$A$6:$A$11,1)))+(MAX(Reference!$A$6,MIN(Reference!$A$11,MIN($U96,300)))-INDEX(Reference!$A$6:$A$11,MIN(5,MATCH(MAX(Reference!$A$6,MIN(Reference!$A$11,MIN($U96,300))),Reference!$A$6:$A$11,1))))*(INDEX(Reference!$B$6:$B$11,MIN(5,MATCH(MAX(Reference!$A$6,MIN(Reference!$A$11,MIN($U96,300))),Reference!$A$6:$A$11,1))+1)-INDEX(Reference!$B$6:$B$11,MIN(5,MATCH(MAX(Reference!$A$6,MIN(Reference!$A$11,MIN($U96,300))),Reference!$A$6:$A$11,1))))/(INDEX(Reference!$A$6:$A$11,MIN(5,MATCH(MAX(Reference!$A$6,MIN(Reference!$A$11,MIN($U96,300))),Reference!$A$6:$A$11,1))+1)-INDEX(Reference!$A$6:$A$11,MIN(5,MATCH(MAX(Reference!$A$6,MIN(Reference!$A$11,MIN($U96,300))),Reference!$A$6:$A$11,1))))),0))/($AL96*($AL96+5)/2)),$AN96))</f>
        <v>0</v>
      </c>
      <c r="AN96" s="32">
        <f>IF($U96="",0,(INDEX(Reference!$B$6:$B$11,MIN(5,MATCH(MAX(Reference!$A$6,MIN(Reference!$A$11,$U96)),Reference!$A$6:$A$11,1)))+(MAX(Reference!$A$6,MIN(Reference!$A$11,$U96))-INDEX(Reference!$A$6:$A$11,MIN(5,MATCH(MAX(Reference!$A$6,MIN(Reference!$A$11,$U96)),Reference!$A$6:$A$11,1))))*(INDEX(Reference!$B$6:$B$11,MIN(5,MATCH(MAX(Reference!$A$6,MIN(Reference!$A$11,$U96)),Reference!$A$6:$A$11,1))+1)-INDEX(Reference!$B$6:$B$11,MIN(5,MATCH(MAX(Reference!$A$6,MIN(Reference!$A$11,$U96)),Reference!$A$6:$A$11,1))))/(INDEX(Reference!$A$6:$A$11,MIN(5,MATCH(MAX(Reference!$A$6,MIN(Reference!$A$11,$U96)),Reference!$A$6:$A$11,1))+1)-INDEX(Reference!$A$6:$A$11,MIN(5,MATCH(MAX(Reference!$A$6,MIN(Reference!$A$11,$U96)),Reference!$A$6:$A$11,1))))))</f>
        <v>0</v>
      </c>
      <c r="AO96" s="37"/>
      <c r="AP96" s="37"/>
      <c r="AQ96" s="37"/>
    </row>
    <row r="97" spans="1:43" x14ac:dyDescent="0.3">
      <c r="A97" s="48" t="str">
        <f t="shared" si="30"/>
        <v/>
      </c>
      <c r="B97" s="32" t="str">
        <f t="shared" si="31"/>
        <v/>
      </c>
      <c r="C97" s="32" t="str">
        <f t="shared" si="32"/>
        <v/>
      </c>
      <c r="D97" s="32" t="str">
        <f t="shared" si="33"/>
        <v/>
      </c>
      <c r="E97" s="32" t="str">
        <f t="shared" si="34"/>
        <v/>
      </c>
      <c r="F97" s="32" t="str">
        <f t="shared" si="35"/>
        <v/>
      </c>
      <c r="G97" s="47" t="str">
        <f t="shared" si="36"/>
        <v/>
      </c>
      <c r="H97" s="30" t="str">
        <f t="shared" si="37"/>
        <v/>
      </c>
      <c r="I97" s="46" t="str">
        <f>IF($A97="","",IF(AND($L97&lt;27,$K$12=0),"Building",IFERROR(((SUM($H$91:$H97)+$K$12*IF($L97&lt;6,SUMIFS('Throw Log'!$Q$5:$Q$300,'Throw Log'!$B$5:$B$300,$D$4,'Throw Log'!$A$5:$A$300,"&gt;="&amp;($D$6+$L97-6),'Throw Log'!$A$5:$A$300,"&lt;="&amp;($D$6-1)),0))/7)/((SUM($H$70:$H97)+$K$12*IF($L97&lt;27,SUMIFS('Throw Log'!$Q$5:$Q$300,'Throw Log'!$B$5:$B$300,$D$4,'Throw Log'!$A$5:$A$300,"&gt;="&amp;($D$6+$L97-27),'Throw Log'!$A$5:$A$300,"&lt;="&amp;($D$6-1)),0))/28),"")))</f>
        <v/>
      </c>
      <c r="J97" s="37"/>
      <c r="K97" s="37"/>
      <c r="L97" s="32">
        <v>54</v>
      </c>
      <c r="M97" s="32">
        <f t="shared" si="38"/>
        <v>8</v>
      </c>
      <c r="N97" s="32">
        <f t="shared" si="39"/>
        <v>5</v>
      </c>
      <c r="O97" s="32">
        <f t="shared" si="40"/>
        <v>1</v>
      </c>
      <c r="P97" s="32" t="str">
        <f>IF(OR($A97="",N($C97)&lt;=7),"",$G$6*$G$9^($M97-1)*IF(AND(MOD($M97,Reference!$B$99)=0,$M97&lt;=$G$5-2),Reference!$B$100,1))</f>
        <v/>
      </c>
      <c r="Q97" s="32" t="str">
        <f>IF($P97="","",IF(SUM($AK$92:$AK$98)=0,0,$P97*INDEX(Reference!$B$108:$B$114,$N97+1)/SUM($AK$92:$AK$98)))</f>
        <v/>
      </c>
      <c r="R97" s="32">
        <f t="shared" si="41"/>
        <v>120</v>
      </c>
      <c r="S97" s="32">
        <f t="shared" si="42"/>
        <v>105</v>
      </c>
      <c r="T97" s="32" t="str">
        <f>IF($A97="","",IF($C97=0,"Bullpen",IF(OR($C97=7,$C97=1,$C97=5),"Recovery/Easy Catch",IF($C97=6,"Compression/Pulldowns",IF(OR($C97=4,$C97=2),"Long Toss",IF($C97=3,"No Throw",IF($N97=2,"No Throw",IF($N97=6,IF($O97&lt;Reference!$B$104,"No Throw","Recovery/Easy Catch"),IF(OR($N97=0,$N97=4),"Recovery/Easy Catch",IF($N97=1,IF($R97&gt;75,"Long Toss","Recovery/Easy Catch"),IF($N97=3,IF($O97&lt;0.5,IF($S97&gt;75,"Long Toss","Recovery/Easy Catch"),"Compression/Pulldowns"),IF($S97&gt;75,"Long Toss","Recovery/Easy Catch"))))))))))))</f>
        <v/>
      </c>
      <c r="U97" s="32" t="str">
        <f t="shared" si="43"/>
        <v/>
      </c>
      <c r="V97" s="32" t="str">
        <f t="shared" si="44"/>
        <v/>
      </c>
      <c r="W97" s="32" t="str">
        <f t="shared" si="45"/>
        <v/>
      </c>
      <c r="X97" s="32">
        <f t="shared" si="46"/>
        <v>0</v>
      </c>
      <c r="Y97" s="32" t="str">
        <f t="shared" si="47"/>
        <v/>
      </c>
      <c r="Z97" s="32" t="str">
        <f t="shared" si="48"/>
        <v/>
      </c>
      <c r="AA97" s="32" t="str">
        <f t="shared" si="49"/>
        <v/>
      </c>
      <c r="AB97" s="32" t="str">
        <f>IF($A97="","",IF($T97="No Throw",0,IF($K97&lt;&gt;"",$K97,IF($AA97&lt;&gt;"",ROUND($AA97*$D$12*IF($C97=0,1,$G$10),0),MIN(IF($T97="Recovery/Easy Catch",Reference!$B$103,IF($T97="Long Toss",Reference!$B$106,Reference!$B$102)),MAX(Reference!$B$101,ROUND(MAX(0,$Q97-$AE97)/$AF97,0)))))))</f>
        <v/>
      </c>
      <c r="AC97" s="32">
        <f t="shared" si="50"/>
        <v>0</v>
      </c>
      <c r="AD97" s="32" t="b">
        <f t="shared" si="51"/>
        <v>1</v>
      </c>
      <c r="AE97" s="32">
        <f>IF($X97=0,0,$X97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97+$Z97)/2,0),Reference!$A$17:$B$20,2,TRUE()))</f>
        <v>0</v>
      </c>
      <c r="AF97" s="32">
        <f>IF(OR($A97="",$U97="",$T97="No Throw"),0,$AM97*VLOOKUP(MAX(($V97+$W97)/2,0),Reference!$A$17:$B$20,2,TRUE()))</f>
        <v>0</v>
      </c>
      <c r="AG97" s="32">
        <f>IF($AC97=0,0,$AC97*INDEX(Reference!$B$61:$B$62,MATCH("Bullpen",Reference!$A$61:$A$62,0))*VLOOKUP(MAX($D$5-($D$9+$E$9)/2,0),Reference!$A$17:$B$20,2,TRUE()))</f>
        <v>0</v>
      </c>
      <c r="AH97" s="32" t="e">
        <f t="shared" si="52"/>
        <v>#N/A</v>
      </c>
      <c r="AI97" s="32" t="e">
        <f>IF($A97="",NA(),Reference!$A$25)</f>
        <v>#N/A</v>
      </c>
      <c r="AJ97" s="32" t="e">
        <f t="shared" si="53"/>
        <v>#N/A</v>
      </c>
      <c r="AK97" s="32">
        <f>IF(OR($A97="",N($C97)&lt;=7,$T97="No Throw",$J97="x"),0,INDEX(Reference!$B$108:$B$114,$N97+1))</f>
        <v>0</v>
      </c>
      <c r="AL97" s="32">
        <f t="shared" si="54"/>
        <v>1</v>
      </c>
      <c r="AM97" s="32">
        <f>IF($U97="",0,IF($AL97&gt;1,((IF(1&lt;=$AL97,($AL97-1+3)*(INDEX(Reference!$B$6:$B$11,MIN(5,MATCH(MAX(Reference!$A$6,MIN(Reference!$A$11,MIN($U97,90))),Reference!$A$6:$A$11,1)))+(MAX(Reference!$A$6,MIN(Reference!$A$11,MIN($U97,90)))-INDEX(Reference!$A$6:$A$11,MIN(5,MATCH(MAX(Reference!$A$6,MIN(Reference!$A$11,MIN($U97,90))),Reference!$A$6:$A$11,1))))*(INDEX(Reference!$B$6:$B$11,MIN(5,MATCH(MAX(Reference!$A$6,MIN(Reference!$A$11,MIN($U97,90))),Reference!$A$6:$A$11,1))+1)-INDEX(Reference!$B$6:$B$11,MIN(5,MATCH(MAX(Reference!$A$6,MIN(Reference!$A$11,MIN($U97,90))),Reference!$A$6:$A$11,1))))/(INDEX(Reference!$A$6:$A$11,MIN(5,MATCH(MAX(Reference!$A$6,MIN(Reference!$A$11,MIN($U97,90))),Reference!$A$6:$A$11,1))+1)-INDEX(Reference!$A$6:$A$11,MIN(5,MATCH(MAX(Reference!$A$6,MIN(Reference!$A$11,MIN($U97,90))),Reference!$A$6:$A$11,1))))),0)+IF(2&lt;=$AL97,($AL97-2+3)*(INDEX(Reference!$B$6:$B$11,MIN(5,MATCH(MAX(Reference!$A$6,MIN(Reference!$A$11,MIN($U97,120))),Reference!$A$6:$A$11,1)))+(MAX(Reference!$A$6,MIN(Reference!$A$11,MIN($U97,120)))-INDEX(Reference!$A$6:$A$11,MIN(5,MATCH(MAX(Reference!$A$6,MIN(Reference!$A$11,MIN($U97,120))),Reference!$A$6:$A$11,1))))*(INDEX(Reference!$B$6:$B$11,MIN(5,MATCH(MAX(Reference!$A$6,MIN(Reference!$A$11,MIN($U97,120))),Reference!$A$6:$A$11,1))+1)-INDEX(Reference!$B$6:$B$11,MIN(5,MATCH(MAX(Reference!$A$6,MIN(Reference!$A$11,MIN($U97,120))),Reference!$A$6:$A$11,1))))/(INDEX(Reference!$A$6:$A$11,MIN(5,MATCH(MAX(Reference!$A$6,MIN(Reference!$A$11,MIN($U97,120))),Reference!$A$6:$A$11,1))+1)-INDEX(Reference!$A$6:$A$11,MIN(5,MATCH(MAX(Reference!$A$6,MIN(Reference!$A$11,MIN($U97,120))),Reference!$A$6:$A$11,1))))),0)+IF(3&lt;=$AL97,($AL97-3+3)*(INDEX(Reference!$B$6:$B$11,MIN(5,MATCH(MAX(Reference!$A$6,MIN(Reference!$A$11,MIN($U97,150))),Reference!$A$6:$A$11,1)))+(MAX(Reference!$A$6,MIN(Reference!$A$11,MIN($U97,150)))-INDEX(Reference!$A$6:$A$11,MIN(5,MATCH(MAX(Reference!$A$6,MIN(Reference!$A$11,MIN($U97,150))),Reference!$A$6:$A$11,1))))*(INDEX(Reference!$B$6:$B$11,MIN(5,MATCH(MAX(Reference!$A$6,MIN(Reference!$A$11,MIN($U97,150))),Reference!$A$6:$A$11,1))+1)-INDEX(Reference!$B$6:$B$11,MIN(5,MATCH(MAX(Reference!$A$6,MIN(Reference!$A$11,MIN($U97,150))),Reference!$A$6:$A$11,1))))/(INDEX(Reference!$A$6:$A$11,MIN(5,MATCH(MAX(Reference!$A$6,MIN(Reference!$A$11,MIN($U97,150))),Reference!$A$6:$A$11,1))+1)-INDEX(Reference!$A$6:$A$11,MIN(5,MATCH(MAX(Reference!$A$6,MIN(Reference!$A$11,MIN($U97,150))),Reference!$A$6:$A$11,1))))),0)+IF(4&lt;=$AL97,($AL97-4+3)*(INDEX(Reference!$B$6:$B$11,MIN(5,MATCH(MAX(Reference!$A$6,MIN(Reference!$A$11,MIN($U97,180))),Reference!$A$6:$A$11,1)))+(MAX(Reference!$A$6,MIN(Reference!$A$11,MIN($U97,180)))-INDEX(Reference!$A$6:$A$11,MIN(5,MATCH(MAX(Reference!$A$6,MIN(Reference!$A$11,MIN($U97,180))),Reference!$A$6:$A$11,1))))*(INDEX(Reference!$B$6:$B$11,MIN(5,MATCH(MAX(Reference!$A$6,MIN(Reference!$A$11,MIN($U97,180))),Reference!$A$6:$A$11,1))+1)-INDEX(Reference!$B$6:$B$11,MIN(5,MATCH(MAX(Reference!$A$6,MIN(Reference!$A$11,MIN($U97,180))),Reference!$A$6:$A$11,1))))/(INDEX(Reference!$A$6:$A$11,MIN(5,MATCH(MAX(Reference!$A$6,MIN(Reference!$A$11,MIN($U97,180))),Reference!$A$6:$A$11,1))+1)-INDEX(Reference!$A$6:$A$11,MIN(5,MATCH(MAX(Reference!$A$6,MIN(Reference!$A$11,MIN($U97,180))),Reference!$A$6:$A$11,1))))),0)+IF(5&lt;=$AL97,($AL97-5+3)*(INDEX(Reference!$B$6:$B$11,MIN(5,MATCH(MAX(Reference!$A$6,MIN(Reference!$A$11,MIN($U97,210))),Reference!$A$6:$A$11,1)))+(MAX(Reference!$A$6,MIN(Reference!$A$11,MIN($U97,210)))-INDEX(Reference!$A$6:$A$11,MIN(5,MATCH(MAX(Reference!$A$6,MIN(Reference!$A$11,MIN($U97,210))),Reference!$A$6:$A$11,1))))*(INDEX(Reference!$B$6:$B$11,MIN(5,MATCH(MAX(Reference!$A$6,MIN(Reference!$A$11,MIN($U97,210))),Reference!$A$6:$A$11,1))+1)-INDEX(Reference!$B$6:$B$11,MIN(5,MATCH(MAX(Reference!$A$6,MIN(Reference!$A$11,MIN($U97,210))),Reference!$A$6:$A$11,1))))/(INDEX(Reference!$A$6:$A$11,MIN(5,MATCH(MAX(Reference!$A$6,MIN(Reference!$A$11,MIN($U97,210))),Reference!$A$6:$A$11,1))+1)-INDEX(Reference!$A$6:$A$11,MIN(5,MATCH(MAX(Reference!$A$6,MIN(Reference!$A$11,MIN($U97,210))),Reference!$A$6:$A$11,1))))),0)+IF(6&lt;=$AL97,($AL97-6+3)*(INDEX(Reference!$B$6:$B$11,MIN(5,MATCH(MAX(Reference!$A$6,MIN(Reference!$A$11,MIN($U97,240))),Reference!$A$6:$A$11,1)))+(MAX(Reference!$A$6,MIN(Reference!$A$11,MIN($U97,240)))-INDEX(Reference!$A$6:$A$11,MIN(5,MATCH(MAX(Reference!$A$6,MIN(Reference!$A$11,MIN($U97,240))),Reference!$A$6:$A$11,1))))*(INDEX(Reference!$B$6:$B$11,MIN(5,MATCH(MAX(Reference!$A$6,MIN(Reference!$A$11,MIN($U97,240))),Reference!$A$6:$A$11,1))+1)-INDEX(Reference!$B$6:$B$11,MIN(5,MATCH(MAX(Reference!$A$6,MIN(Reference!$A$11,MIN($U97,240))),Reference!$A$6:$A$11,1))))/(INDEX(Reference!$A$6:$A$11,MIN(5,MATCH(MAX(Reference!$A$6,MIN(Reference!$A$11,MIN($U97,240))),Reference!$A$6:$A$11,1))+1)-INDEX(Reference!$A$6:$A$11,MIN(5,MATCH(MAX(Reference!$A$6,MIN(Reference!$A$11,MIN($U97,240))),Reference!$A$6:$A$11,1))))),0)+IF(7&lt;=$AL97,($AL97-7+3)*(INDEX(Reference!$B$6:$B$11,MIN(5,MATCH(MAX(Reference!$A$6,MIN(Reference!$A$11,MIN($U97,270))),Reference!$A$6:$A$11,1)))+(MAX(Reference!$A$6,MIN(Reference!$A$11,MIN($U97,270)))-INDEX(Reference!$A$6:$A$11,MIN(5,MATCH(MAX(Reference!$A$6,MIN(Reference!$A$11,MIN($U97,270))),Reference!$A$6:$A$11,1))))*(INDEX(Reference!$B$6:$B$11,MIN(5,MATCH(MAX(Reference!$A$6,MIN(Reference!$A$11,MIN($U97,270))),Reference!$A$6:$A$11,1))+1)-INDEX(Reference!$B$6:$B$11,MIN(5,MATCH(MAX(Reference!$A$6,MIN(Reference!$A$11,MIN($U97,270))),Reference!$A$6:$A$11,1))))/(INDEX(Reference!$A$6:$A$11,MIN(5,MATCH(MAX(Reference!$A$6,MIN(Reference!$A$11,MIN($U97,270))),Reference!$A$6:$A$11,1))+1)-INDEX(Reference!$A$6:$A$11,MIN(5,MATCH(MAX(Reference!$A$6,MIN(Reference!$A$11,MIN($U97,270))),Reference!$A$6:$A$11,1))))),0)+IF(8&lt;=$AL97,($AL97-8+3)*(INDEX(Reference!$B$6:$B$11,MIN(5,MATCH(MAX(Reference!$A$6,MIN(Reference!$A$11,MIN($U97,300))),Reference!$A$6:$A$11,1)))+(MAX(Reference!$A$6,MIN(Reference!$A$11,MIN($U97,300)))-INDEX(Reference!$A$6:$A$11,MIN(5,MATCH(MAX(Reference!$A$6,MIN(Reference!$A$11,MIN($U97,300))),Reference!$A$6:$A$11,1))))*(INDEX(Reference!$B$6:$B$11,MIN(5,MATCH(MAX(Reference!$A$6,MIN(Reference!$A$11,MIN($U97,300))),Reference!$A$6:$A$11,1))+1)-INDEX(Reference!$B$6:$B$11,MIN(5,MATCH(MAX(Reference!$A$6,MIN(Reference!$A$11,MIN($U97,300))),Reference!$A$6:$A$11,1))))/(INDEX(Reference!$A$6:$A$11,MIN(5,MATCH(MAX(Reference!$A$6,MIN(Reference!$A$11,MIN($U97,300))),Reference!$A$6:$A$11,1))+1)-INDEX(Reference!$A$6:$A$11,MIN(5,MATCH(MAX(Reference!$A$6,MIN(Reference!$A$11,MIN($U97,300))),Reference!$A$6:$A$11,1))))),0))/($AL97*($AL97+5)/2)),$AN97))</f>
        <v>0</v>
      </c>
      <c r="AN97" s="32">
        <f>IF($U97="",0,(INDEX(Reference!$B$6:$B$11,MIN(5,MATCH(MAX(Reference!$A$6,MIN(Reference!$A$11,$U97)),Reference!$A$6:$A$11,1)))+(MAX(Reference!$A$6,MIN(Reference!$A$11,$U97))-INDEX(Reference!$A$6:$A$11,MIN(5,MATCH(MAX(Reference!$A$6,MIN(Reference!$A$11,$U97)),Reference!$A$6:$A$11,1))))*(INDEX(Reference!$B$6:$B$11,MIN(5,MATCH(MAX(Reference!$A$6,MIN(Reference!$A$11,$U97)),Reference!$A$6:$A$11,1))+1)-INDEX(Reference!$B$6:$B$11,MIN(5,MATCH(MAX(Reference!$A$6,MIN(Reference!$A$11,$U97)),Reference!$A$6:$A$11,1))))/(INDEX(Reference!$A$6:$A$11,MIN(5,MATCH(MAX(Reference!$A$6,MIN(Reference!$A$11,$U97)),Reference!$A$6:$A$11,1))+1)-INDEX(Reference!$A$6:$A$11,MIN(5,MATCH(MAX(Reference!$A$6,MIN(Reference!$A$11,$U97)),Reference!$A$6:$A$11,1))))))</f>
        <v>0</v>
      </c>
      <c r="AO97" s="37"/>
      <c r="AP97" s="37"/>
      <c r="AQ97" s="37"/>
    </row>
    <row r="98" spans="1:43" x14ac:dyDescent="0.3">
      <c r="A98" s="48" t="str">
        <f t="shared" si="30"/>
        <v/>
      </c>
      <c r="B98" s="32" t="str">
        <f t="shared" si="31"/>
        <v/>
      </c>
      <c r="C98" s="32" t="str">
        <f t="shared" si="32"/>
        <v/>
      </c>
      <c r="D98" s="32" t="str">
        <f t="shared" si="33"/>
        <v/>
      </c>
      <c r="E98" s="32" t="str">
        <f t="shared" si="34"/>
        <v/>
      </c>
      <c r="F98" s="32" t="str">
        <f t="shared" si="35"/>
        <v/>
      </c>
      <c r="G98" s="47" t="str">
        <f t="shared" si="36"/>
        <v/>
      </c>
      <c r="H98" s="30" t="str">
        <f t="shared" si="37"/>
        <v/>
      </c>
      <c r="I98" s="46" t="str">
        <f>IF($A98="","",IF(AND($L98&lt;27,$K$12=0),"Building",IFERROR(((SUM($H$92:$H98)+$K$12*IF($L98&lt;6,SUMIFS('Throw Log'!$Q$5:$Q$300,'Throw Log'!$B$5:$B$300,$D$4,'Throw Log'!$A$5:$A$300,"&gt;="&amp;($D$6+$L98-6),'Throw Log'!$A$5:$A$300,"&lt;="&amp;($D$6-1)),0))/7)/((SUM($H$71:$H98)+$K$12*IF($L98&lt;27,SUMIFS('Throw Log'!$Q$5:$Q$300,'Throw Log'!$B$5:$B$300,$D$4,'Throw Log'!$A$5:$A$300,"&gt;="&amp;($D$6+$L98-27),'Throw Log'!$A$5:$A$300,"&lt;="&amp;($D$6-1)),0))/28),"")))</f>
        <v/>
      </c>
      <c r="J98" s="37"/>
      <c r="K98" s="37"/>
      <c r="L98" s="32">
        <v>55</v>
      </c>
      <c r="M98" s="32">
        <f t="shared" si="38"/>
        <v>8</v>
      </c>
      <c r="N98" s="32">
        <f t="shared" si="39"/>
        <v>6</v>
      </c>
      <c r="O98" s="32">
        <f t="shared" si="40"/>
        <v>1</v>
      </c>
      <c r="P98" s="32" t="str">
        <f>IF(OR($A98="",N($C98)&lt;=7),"",$G$6*$G$9^($M98-1)*IF(AND(MOD($M98,Reference!$B$99)=0,$M98&lt;=$G$5-2),Reference!$B$100,1))</f>
        <v/>
      </c>
      <c r="Q98" s="32" t="str">
        <f>IF($P98="","",IF(SUM($AK$92:$AK$98)=0,0,$P98*INDEX(Reference!$B$108:$B$114,$N98+1)/SUM($AK$92:$AK$98)))</f>
        <v/>
      </c>
      <c r="R98" s="32">
        <f t="shared" si="41"/>
        <v>120</v>
      </c>
      <c r="S98" s="32">
        <f t="shared" si="42"/>
        <v>105</v>
      </c>
      <c r="T98" s="32" t="str">
        <f>IF($A98="","",IF($C98=0,"Bullpen",IF(OR($C98=7,$C98=1,$C98=5),"Recovery/Easy Catch",IF($C98=6,"Compression/Pulldowns",IF(OR($C98=4,$C98=2),"Long Toss",IF($C98=3,"No Throw",IF($N98=2,"No Throw",IF($N98=6,IF($O98&lt;Reference!$B$104,"No Throw","Recovery/Easy Catch"),IF(OR($N98=0,$N98=4),"Recovery/Easy Catch",IF($N98=1,IF($R98&gt;75,"Long Toss","Recovery/Easy Catch"),IF($N98=3,IF($O98&lt;0.5,IF($S98&gt;75,"Long Toss","Recovery/Easy Catch"),"Compression/Pulldowns"),IF($S98&gt;75,"Long Toss","Recovery/Easy Catch"))))))))))))</f>
        <v/>
      </c>
      <c r="U98" s="32" t="str">
        <f t="shared" si="43"/>
        <v/>
      </c>
      <c r="V98" s="32" t="str">
        <f t="shared" si="44"/>
        <v/>
      </c>
      <c r="W98" s="32" t="str">
        <f t="shared" si="45"/>
        <v/>
      </c>
      <c r="X98" s="32">
        <f t="shared" si="46"/>
        <v>0</v>
      </c>
      <c r="Y98" s="32" t="str">
        <f t="shared" si="47"/>
        <v/>
      </c>
      <c r="Z98" s="32" t="str">
        <f t="shared" si="48"/>
        <v/>
      </c>
      <c r="AA98" s="32" t="str">
        <f t="shared" si="49"/>
        <v/>
      </c>
      <c r="AB98" s="32" t="str">
        <f>IF($A98="","",IF($T98="No Throw",0,IF($K98&lt;&gt;"",$K98,IF($AA98&lt;&gt;"",ROUND($AA98*$D$12*IF($C98=0,1,$G$10),0),MIN(IF($T98="Recovery/Easy Catch",Reference!$B$103,IF($T98="Long Toss",Reference!$B$106,Reference!$B$102)),MAX(Reference!$B$101,ROUND(MAX(0,$Q98-$AE98)/$AF98,0)))))))</f>
        <v/>
      </c>
      <c r="AC98" s="32">
        <f t="shared" si="50"/>
        <v>0</v>
      </c>
      <c r="AD98" s="32" t="b">
        <f t="shared" si="51"/>
        <v>1</v>
      </c>
      <c r="AE98" s="32">
        <f>IF($X98=0,0,$X98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98+$Z98)/2,0),Reference!$A$17:$B$20,2,TRUE()))</f>
        <v>0</v>
      </c>
      <c r="AF98" s="32">
        <f>IF(OR($A98="",$U98="",$T98="No Throw"),0,$AM98*VLOOKUP(MAX(($V98+$W98)/2,0),Reference!$A$17:$B$20,2,TRUE()))</f>
        <v>0</v>
      </c>
      <c r="AG98" s="32">
        <f>IF($AC98=0,0,$AC98*INDEX(Reference!$B$61:$B$62,MATCH("Bullpen",Reference!$A$61:$A$62,0))*VLOOKUP(MAX($D$5-($D$9+$E$9)/2,0),Reference!$A$17:$B$20,2,TRUE()))</f>
        <v>0</v>
      </c>
      <c r="AH98" s="32" t="e">
        <f t="shared" si="52"/>
        <v>#N/A</v>
      </c>
      <c r="AI98" s="32" t="e">
        <f>IF($A98="",NA(),Reference!$A$25)</f>
        <v>#N/A</v>
      </c>
      <c r="AJ98" s="32" t="e">
        <f t="shared" si="53"/>
        <v>#N/A</v>
      </c>
      <c r="AK98" s="32">
        <f>IF(OR($A98="",N($C98)&lt;=7,$T98="No Throw",$J98="x"),0,INDEX(Reference!$B$108:$B$114,$N98+1))</f>
        <v>0</v>
      </c>
      <c r="AL98" s="32">
        <f t="shared" si="54"/>
        <v>1</v>
      </c>
      <c r="AM98" s="32">
        <f>IF($U98="",0,IF($AL98&gt;1,((IF(1&lt;=$AL98,($AL98-1+3)*(INDEX(Reference!$B$6:$B$11,MIN(5,MATCH(MAX(Reference!$A$6,MIN(Reference!$A$11,MIN($U98,90))),Reference!$A$6:$A$11,1)))+(MAX(Reference!$A$6,MIN(Reference!$A$11,MIN($U98,90)))-INDEX(Reference!$A$6:$A$11,MIN(5,MATCH(MAX(Reference!$A$6,MIN(Reference!$A$11,MIN($U98,90))),Reference!$A$6:$A$11,1))))*(INDEX(Reference!$B$6:$B$11,MIN(5,MATCH(MAX(Reference!$A$6,MIN(Reference!$A$11,MIN($U98,90))),Reference!$A$6:$A$11,1))+1)-INDEX(Reference!$B$6:$B$11,MIN(5,MATCH(MAX(Reference!$A$6,MIN(Reference!$A$11,MIN($U98,90))),Reference!$A$6:$A$11,1))))/(INDEX(Reference!$A$6:$A$11,MIN(5,MATCH(MAX(Reference!$A$6,MIN(Reference!$A$11,MIN($U98,90))),Reference!$A$6:$A$11,1))+1)-INDEX(Reference!$A$6:$A$11,MIN(5,MATCH(MAX(Reference!$A$6,MIN(Reference!$A$11,MIN($U98,90))),Reference!$A$6:$A$11,1))))),0)+IF(2&lt;=$AL98,($AL98-2+3)*(INDEX(Reference!$B$6:$B$11,MIN(5,MATCH(MAX(Reference!$A$6,MIN(Reference!$A$11,MIN($U98,120))),Reference!$A$6:$A$11,1)))+(MAX(Reference!$A$6,MIN(Reference!$A$11,MIN($U98,120)))-INDEX(Reference!$A$6:$A$11,MIN(5,MATCH(MAX(Reference!$A$6,MIN(Reference!$A$11,MIN($U98,120))),Reference!$A$6:$A$11,1))))*(INDEX(Reference!$B$6:$B$11,MIN(5,MATCH(MAX(Reference!$A$6,MIN(Reference!$A$11,MIN($U98,120))),Reference!$A$6:$A$11,1))+1)-INDEX(Reference!$B$6:$B$11,MIN(5,MATCH(MAX(Reference!$A$6,MIN(Reference!$A$11,MIN($U98,120))),Reference!$A$6:$A$11,1))))/(INDEX(Reference!$A$6:$A$11,MIN(5,MATCH(MAX(Reference!$A$6,MIN(Reference!$A$11,MIN($U98,120))),Reference!$A$6:$A$11,1))+1)-INDEX(Reference!$A$6:$A$11,MIN(5,MATCH(MAX(Reference!$A$6,MIN(Reference!$A$11,MIN($U98,120))),Reference!$A$6:$A$11,1))))),0)+IF(3&lt;=$AL98,($AL98-3+3)*(INDEX(Reference!$B$6:$B$11,MIN(5,MATCH(MAX(Reference!$A$6,MIN(Reference!$A$11,MIN($U98,150))),Reference!$A$6:$A$11,1)))+(MAX(Reference!$A$6,MIN(Reference!$A$11,MIN($U98,150)))-INDEX(Reference!$A$6:$A$11,MIN(5,MATCH(MAX(Reference!$A$6,MIN(Reference!$A$11,MIN($U98,150))),Reference!$A$6:$A$11,1))))*(INDEX(Reference!$B$6:$B$11,MIN(5,MATCH(MAX(Reference!$A$6,MIN(Reference!$A$11,MIN($U98,150))),Reference!$A$6:$A$11,1))+1)-INDEX(Reference!$B$6:$B$11,MIN(5,MATCH(MAX(Reference!$A$6,MIN(Reference!$A$11,MIN($U98,150))),Reference!$A$6:$A$11,1))))/(INDEX(Reference!$A$6:$A$11,MIN(5,MATCH(MAX(Reference!$A$6,MIN(Reference!$A$11,MIN($U98,150))),Reference!$A$6:$A$11,1))+1)-INDEX(Reference!$A$6:$A$11,MIN(5,MATCH(MAX(Reference!$A$6,MIN(Reference!$A$11,MIN($U98,150))),Reference!$A$6:$A$11,1))))),0)+IF(4&lt;=$AL98,($AL98-4+3)*(INDEX(Reference!$B$6:$B$11,MIN(5,MATCH(MAX(Reference!$A$6,MIN(Reference!$A$11,MIN($U98,180))),Reference!$A$6:$A$11,1)))+(MAX(Reference!$A$6,MIN(Reference!$A$11,MIN($U98,180)))-INDEX(Reference!$A$6:$A$11,MIN(5,MATCH(MAX(Reference!$A$6,MIN(Reference!$A$11,MIN($U98,180))),Reference!$A$6:$A$11,1))))*(INDEX(Reference!$B$6:$B$11,MIN(5,MATCH(MAX(Reference!$A$6,MIN(Reference!$A$11,MIN($U98,180))),Reference!$A$6:$A$11,1))+1)-INDEX(Reference!$B$6:$B$11,MIN(5,MATCH(MAX(Reference!$A$6,MIN(Reference!$A$11,MIN($U98,180))),Reference!$A$6:$A$11,1))))/(INDEX(Reference!$A$6:$A$11,MIN(5,MATCH(MAX(Reference!$A$6,MIN(Reference!$A$11,MIN($U98,180))),Reference!$A$6:$A$11,1))+1)-INDEX(Reference!$A$6:$A$11,MIN(5,MATCH(MAX(Reference!$A$6,MIN(Reference!$A$11,MIN($U98,180))),Reference!$A$6:$A$11,1))))),0)+IF(5&lt;=$AL98,($AL98-5+3)*(INDEX(Reference!$B$6:$B$11,MIN(5,MATCH(MAX(Reference!$A$6,MIN(Reference!$A$11,MIN($U98,210))),Reference!$A$6:$A$11,1)))+(MAX(Reference!$A$6,MIN(Reference!$A$11,MIN($U98,210)))-INDEX(Reference!$A$6:$A$11,MIN(5,MATCH(MAX(Reference!$A$6,MIN(Reference!$A$11,MIN($U98,210))),Reference!$A$6:$A$11,1))))*(INDEX(Reference!$B$6:$B$11,MIN(5,MATCH(MAX(Reference!$A$6,MIN(Reference!$A$11,MIN($U98,210))),Reference!$A$6:$A$11,1))+1)-INDEX(Reference!$B$6:$B$11,MIN(5,MATCH(MAX(Reference!$A$6,MIN(Reference!$A$11,MIN($U98,210))),Reference!$A$6:$A$11,1))))/(INDEX(Reference!$A$6:$A$11,MIN(5,MATCH(MAX(Reference!$A$6,MIN(Reference!$A$11,MIN($U98,210))),Reference!$A$6:$A$11,1))+1)-INDEX(Reference!$A$6:$A$11,MIN(5,MATCH(MAX(Reference!$A$6,MIN(Reference!$A$11,MIN($U98,210))),Reference!$A$6:$A$11,1))))),0)+IF(6&lt;=$AL98,($AL98-6+3)*(INDEX(Reference!$B$6:$B$11,MIN(5,MATCH(MAX(Reference!$A$6,MIN(Reference!$A$11,MIN($U98,240))),Reference!$A$6:$A$11,1)))+(MAX(Reference!$A$6,MIN(Reference!$A$11,MIN($U98,240)))-INDEX(Reference!$A$6:$A$11,MIN(5,MATCH(MAX(Reference!$A$6,MIN(Reference!$A$11,MIN($U98,240))),Reference!$A$6:$A$11,1))))*(INDEX(Reference!$B$6:$B$11,MIN(5,MATCH(MAX(Reference!$A$6,MIN(Reference!$A$11,MIN($U98,240))),Reference!$A$6:$A$11,1))+1)-INDEX(Reference!$B$6:$B$11,MIN(5,MATCH(MAX(Reference!$A$6,MIN(Reference!$A$11,MIN($U98,240))),Reference!$A$6:$A$11,1))))/(INDEX(Reference!$A$6:$A$11,MIN(5,MATCH(MAX(Reference!$A$6,MIN(Reference!$A$11,MIN($U98,240))),Reference!$A$6:$A$11,1))+1)-INDEX(Reference!$A$6:$A$11,MIN(5,MATCH(MAX(Reference!$A$6,MIN(Reference!$A$11,MIN($U98,240))),Reference!$A$6:$A$11,1))))),0)+IF(7&lt;=$AL98,($AL98-7+3)*(INDEX(Reference!$B$6:$B$11,MIN(5,MATCH(MAX(Reference!$A$6,MIN(Reference!$A$11,MIN($U98,270))),Reference!$A$6:$A$11,1)))+(MAX(Reference!$A$6,MIN(Reference!$A$11,MIN($U98,270)))-INDEX(Reference!$A$6:$A$11,MIN(5,MATCH(MAX(Reference!$A$6,MIN(Reference!$A$11,MIN($U98,270))),Reference!$A$6:$A$11,1))))*(INDEX(Reference!$B$6:$B$11,MIN(5,MATCH(MAX(Reference!$A$6,MIN(Reference!$A$11,MIN($U98,270))),Reference!$A$6:$A$11,1))+1)-INDEX(Reference!$B$6:$B$11,MIN(5,MATCH(MAX(Reference!$A$6,MIN(Reference!$A$11,MIN($U98,270))),Reference!$A$6:$A$11,1))))/(INDEX(Reference!$A$6:$A$11,MIN(5,MATCH(MAX(Reference!$A$6,MIN(Reference!$A$11,MIN($U98,270))),Reference!$A$6:$A$11,1))+1)-INDEX(Reference!$A$6:$A$11,MIN(5,MATCH(MAX(Reference!$A$6,MIN(Reference!$A$11,MIN($U98,270))),Reference!$A$6:$A$11,1))))),0)+IF(8&lt;=$AL98,($AL98-8+3)*(INDEX(Reference!$B$6:$B$11,MIN(5,MATCH(MAX(Reference!$A$6,MIN(Reference!$A$11,MIN($U98,300))),Reference!$A$6:$A$11,1)))+(MAX(Reference!$A$6,MIN(Reference!$A$11,MIN($U98,300)))-INDEX(Reference!$A$6:$A$11,MIN(5,MATCH(MAX(Reference!$A$6,MIN(Reference!$A$11,MIN($U98,300))),Reference!$A$6:$A$11,1))))*(INDEX(Reference!$B$6:$B$11,MIN(5,MATCH(MAX(Reference!$A$6,MIN(Reference!$A$11,MIN($U98,300))),Reference!$A$6:$A$11,1))+1)-INDEX(Reference!$B$6:$B$11,MIN(5,MATCH(MAX(Reference!$A$6,MIN(Reference!$A$11,MIN($U98,300))),Reference!$A$6:$A$11,1))))/(INDEX(Reference!$A$6:$A$11,MIN(5,MATCH(MAX(Reference!$A$6,MIN(Reference!$A$11,MIN($U98,300))),Reference!$A$6:$A$11,1))+1)-INDEX(Reference!$A$6:$A$11,MIN(5,MATCH(MAX(Reference!$A$6,MIN(Reference!$A$11,MIN($U98,300))),Reference!$A$6:$A$11,1))))),0))/($AL98*($AL98+5)/2)),$AN98))</f>
        <v>0</v>
      </c>
      <c r="AN98" s="32">
        <f>IF($U98="",0,(INDEX(Reference!$B$6:$B$11,MIN(5,MATCH(MAX(Reference!$A$6,MIN(Reference!$A$11,$U98)),Reference!$A$6:$A$11,1)))+(MAX(Reference!$A$6,MIN(Reference!$A$11,$U98))-INDEX(Reference!$A$6:$A$11,MIN(5,MATCH(MAX(Reference!$A$6,MIN(Reference!$A$11,$U98)),Reference!$A$6:$A$11,1))))*(INDEX(Reference!$B$6:$B$11,MIN(5,MATCH(MAX(Reference!$A$6,MIN(Reference!$A$11,$U98)),Reference!$A$6:$A$11,1))+1)-INDEX(Reference!$B$6:$B$11,MIN(5,MATCH(MAX(Reference!$A$6,MIN(Reference!$A$11,$U98)),Reference!$A$6:$A$11,1))))/(INDEX(Reference!$A$6:$A$11,MIN(5,MATCH(MAX(Reference!$A$6,MIN(Reference!$A$11,$U98)),Reference!$A$6:$A$11,1))+1)-INDEX(Reference!$A$6:$A$11,MIN(5,MATCH(MAX(Reference!$A$6,MIN(Reference!$A$11,$U98)),Reference!$A$6:$A$11,1))))))</f>
        <v>0</v>
      </c>
      <c r="AO98" s="37"/>
      <c r="AP98" s="37"/>
      <c r="AQ98" s="37"/>
    </row>
    <row r="99" spans="1:43" x14ac:dyDescent="0.3">
      <c r="A99" s="48" t="str">
        <f t="shared" si="30"/>
        <v/>
      </c>
      <c r="B99" s="32" t="str">
        <f t="shared" si="31"/>
        <v/>
      </c>
      <c r="C99" s="32" t="str">
        <f t="shared" si="32"/>
        <v/>
      </c>
      <c r="D99" s="32" t="str">
        <f t="shared" si="33"/>
        <v/>
      </c>
      <c r="E99" s="32" t="str">
        <f t="shared" si="34"/>
        <v/>
      </c>
      <c r="F99" s="32" t="str">
        <f t="shared" si="35"/>
        <v/>
      </c>
      <c r="G99" s="47" t="str">
        <f t="shared" si="36"/>
        <v/>
      </c>
      <c r="H99" s="30" t="str">
        <f t="shared" si="37"/>
        <v/>
      </c>
      <c r="I99" s="46" t="str">
        <f>IF($A99="","",IF(AND($L99&lt;27,$K$12=0),"Building",IFERROR(((SUM($H$93:$H99)+$K$12*IF($L99&lt;6,SUMIFS('Throw Log'!$Q$5:$Q$300,'Throw Log'!$B$5:$B$300,$D$4,'Throw Log'!$A$5:$A$300,"&gt;="&amp;($D$6+$L99-6),'Throw Log'!$A$5:$A$300,"&lt;="&amp;($D$6-1)),0))/7)/((SUM($H$72:$H99)+$K$12*IF($L99&lt;27,SUMIFS('Throw Log'!$Q$5:$Q$300,'Throw Log'!$B$5:$B$300,$D$4,'Throw Log'!$A$5:$A$300,"&gt;="&amp;($D$6+$L99-27),'Throw Log'!$A$5:$A$300,"&lt;="&amp;($D$6-1)),0))/28),"")))</f>
        <v/>
      </c>
      <c r="J99" s="37"/>
      <c r="K99" s="37"/>
      <c r="L99" s="32">
        <v>56</v>
      </c>
      <c r="M99" s="32">
        <f t="shared" si="38"/>
        <v>9</v>
      </c>
      <c r="N99" s="32">
        <f t="shared" si="39"/>
        <v>0</v>
      </c>
      <c r="O99" s="32">
        <f t="shared" si="40"/>
        <v>1</v>
      </c>
      <c r="P99" s="32" t="str">
        <f>IF(OR($A99="",N($C99)&lt;=7),"",$G$6*$G$9^($M99-1)*IF(AND(MOD($M99,Reference!$B$99)=0,$M99&lt;=$G$5-2),Reference!$B$100,1))</f>
        <v/>
      </c>
      <c r="Q99" s="32" t="str">
        <f>IF($P99="","",IF(SUM($AK$99:$AK$105)=0,0,$P99*INDEX(Reference!$B$108:$B$114,$N99+1)/SUM($AK$99:$AK$105)))</f>
        <v/>
      </c>
      <c r="R99" s="32">
        <f t="shared" si="41"/>
        <v>120</v>
      </c>
      <c r="S99" s="32">
        <f t="shared" si="42"/>
        <v>105</v>
      </c>
      <c r="T99" s="32" t="str">
        <f>IF($A99="","",IF($C99=0,"Bullpen",IF(OR($C99=7,$C99=1,$C99=5),"Recovery/Easy Catch",IF($C99=6,"Compression/Pulldowns",IF(OR($C99=4,$C99=2),"Long Toss",IF($C99=3,"No Throw",IF($N99=2,"No Throw",IF($N99=6,IF($O99&lt;Reference!$B$104,"No Throw","Recovery/Easy Catch"),IF(OR($N99=0,$N99=4),"Recovery/Easy Catch",IF($N99=1,IF($R99&gt;75,"Long Toss","Recovery/Easy Catch"),IF($N99=3,IF($O99&lt;0.5,IF($S99&gt;75,"Long Toss","Recovery/Easy Catch"),"Compression/Pulldowns"),IF($S99&gt;75,"Long Toss","Recovery/Easy Catch"))))))))))))</f>
        <v/>
      </c>
      <c r="U99" s="32" t="str">
        <f t="shared" si="43"/>
        <v/>
      </c>
      <c r="V99" s="32" t="str">
        <f t="shared" si="44"/>
        <v/>
      </c>
      <c r="W99" s="32" t="str">
        <f t="shared" si="45"/>
        <v/>
      </c>
      <c r="X99" s="32">
        <f t="shared" si="46"/>
        <v>0</v>
      </c>
      <c r="Y99" s="32" t="str">
        <f t="shared" si="47"/>
        <v/>
      </c>
      <c r="Z99" s="32" t="str">
        <f t="shared" si="48"/>
        <v/>
      </c>
      <c r="AA99" s="32" t="str">
        <f t="shared" si="49"/>
        <v/>
      </c>
      <c r="AB99" s="32" t="str">
        <f>IF($A99="","",IF($T99="No Throw",0,IF($K99&lt;&gt;"",$K99,IF($AA99&lt;&gt;"",ROUND($AA99*$D$12*IF($C99=0,1,$G$10),0),MIN(IF($T99="Recovery/Easy Catch",Reference!$B$103,IF($T99="Long Toss",Reference!$B$106,Reference!$B$102)),MAX(Reference!$B$101,ROUND(MAX(0,$Q99-$AE99)/$AF99,0)))))))</f>
        <v/>
      </c>
      <c r="AC99" s="32">
        <f t="shared" si="50"/>
        <v>0</v>
      </c>
      <c r="AD99" s="32" t="b">
        <f t="shared" si="51"/>
        <v>1</v>
      </c>
      <c r="AE99" s="32">
        <f>IF($X99=0,0,$X99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99+$Z99)/2,0),Reference!$A$17:$B$20,2,TRUE()))</f>
        <v>0</v>
      </c>
      <c r="AF99" s="32">
        <f>IF(OR($A99="",$U99="",$T99="No Throw"),0,$AM99*VLOOKUP(MAX(($V99+$W99)/2,0),Reference!$A$17:$B$20,2,TRUE()))</f>
        <v>0</v>
      </c>
      <c r="AG99" s="32">
        <f>IF($AC99=0,0,$AC99*INDEX(Reference!$B$61:$B$62,MATCH("Bullpen",Reference!$A$61:$A$62,0))*VLOOKUP(MAX($D$5-($D$9+$E$9)/2,0),Reference!$A$17:$B$20,2,TRUE()))</f>
        <v>0</v>
      </c>
      <c r="AH99" s="32" t="e">
        <f t="shared" si="52"/>
        <v>#N/A</v>
      </c>
      <c r="AI99" s="32" t="e">
        <f>IF($A99="",NA(),Reference!$A$25)</f>
        <v>#N/A</v>
      </c>
      <c r="AJ99" s="32" t="e">
        <f t="shared" si="53"/>
        <v>#N/A</v>
      </c>
      <c r="AK99" s="32">
        <f>IF(OR($A99="",N($C99)&lt;=7,$T99="No Throw",$J99="x"),0,INDEX(Reference!$B$108:$B$114,$N99+1))</f>
        <v>0</v>
      </c>
      <c r="AL99" s="32">
        <f t="shared" si="54"/>
        <v>1</v>
      </c>
      <c r="AM99" s="32">
        <f>IF($U99="",0,IF($AL99&gt;1,((IF(1&lt;=$AL99,($AL99-1+3)*(INDEX(Reference!$B$6:$B$11,MIN(5,MATCH(MAX(Reference!$A$6,MIN(Reference!$A$11,MIN($U99,90))),Reference!$A$6:$A$11,1)))+(MAX(Reference!$A$6,MIN(Reference!$A$11,MIN($U99,90)))-INDEX(Reference!$A$6:$A$11,MIN(5,MATCH(MAX(Reference!$A$6,MIN(Reference!$A$11,MIN($U99,90))),Reference!$A$6:$A$11,1))))*(INDEX(Reference!$B$6:$B$11,MIN(5,MATCH(MAX(Reference!$A$6,MIN(Reference!$A$11,MIN($U99,90))),Reference!$A$6:$A$11,1))+1)-INDEX(Reference!$B$6:$B$11,MIN(5,MATCH(MAX(Reference!$A$6,MIN(Reference!$A$11,MIN($U99,90))),Reference!$A$6:$A$11,1))))/(INDEX(Reference!$A$6:$A$11,MIN(5,MATCH(MAX(Reference!$A$6,MIN(Reference!$A$11,MIN($U99,90))),Reference!$A$6:$A$11,1))+1)-INDEX(Reference!$A$6:$A$11,MIN(5,MATCH(MAX(Reference!$A$6,MIN(Reference!$A$11,MIN($U99,90))),Reference!$A$6:$A$11,1))))),0)+IF(2&lt;=$AL99,($AL99-2+3)*(INDEX(Reference!$B$6:$B$11,MIN(5,MATCH(MAX(Reference!$A$6,MIN(Reference!$A$11,MIN($U99,120))),Reference!$A$6:$A$11,1)))+(MAX(Reference!$A$6,MIN(Reference!$A$11,MIN($U99,120)))-INDEX(Reference!$A$6:$A$11,MIN(5,MATCH(MAX(Reference!$A$6,MIN(Reference!$A$11,MIN($U99,120))),Reference!$A$6:$A$11,1))))*(INDEX(Reference!$B$6:$B$11,MIN(5,MATCH(MAX(Reference!$A$6,MIN(Reference!$A$11,MIN($U99,120))),Reference!$A$6:$A$11,1))+1)-INDEX(Reference!$B$6:$B$11,MIN(5,MATCH(MAX(Reference!$A$6,MIN(Reference!$A$11,MIN($U99,120))),Reference!$A$6:$A$11,1))))/(INDEX(Reference!$A$6:$A$11,MIN(5,MATCH(MAX(Reference!$A$6,MIN(Reference!$A$11,MIN($U99,120))),Reference!$A$6:$A$11,1))+1)-INDEX(Reference!$A$6:$A$11,MIN(5,MATCH(MAX(Reference!$A$6,MIN(Reference!$A$11,MIN($U99,120))),Reference!$A$6:$A$11,1))))),0)+IF(3&lt;=$AL99,($AL99-3+3)*(INDEX(Reference!$B$6:$B$11,MIN(5,MATCH(MAX(Reference!$A$6,MIN(Reference!$A$11,MIN($U99,150))),Reference!$A$6:$A$11,1)))+(MAX(Reference!$A$6,MIN(Reference!$A$11,MIN($U99,150)))-INDEX(Reference!$A$6:$A$11,MIN(5,MATCH(MAX(Reference!$A$6,MIN(Reference!$A$11,MIN($U99,150))),Reference!$A$6:$A$11,1))))*(INDEX(Reference!$B$6:$B$11,MIN(5,MATCH(MAX(Reference!$A$6,MIN(Reference!$A$11,MIN($U99,150))),Reference!$A$6:$A$11,1))+1)-INDEX(Reference!$B$6:$B$11,MIN(5,MATCH(MAX(Reference!$A$6,MIN(Reference!$A$11,MIN($U99,150))),Reference!$A$6:$A$11,1))))/(INDEX(Reference!$A$6:$A$11,MIN(5,MATCH(MAX(Reference!$A$6,MIN(Reference!$A$11,MIN($U99,150))),Reference!$A$6:$A$11,1))+1)-INDEX(Reference!$A$6:$A$11,MIN(5,MATCH(MAX(Reference!$A$6,MIN(Reference!$A$11,MIN($U99,150))),Reference!$A$6:$A$11,1))))),0)+IF(4&lt;=$AL99,($AL99-4+3)*(INDEX(Reference!$B$6:$B$11,MIN(5,MATCH(MAX(Reference!$A$6,MIN(Reference!$A$11,MIN($U99,180))),Reference!$A$6:$A$11,1)))+(MAX(Reference!$A$6,MIN(Reference!$A$11,MIN($U99,180)))-INDEX(Reference!$A$6:$A$11,MIN(5,MATCH(MAX(Reference!$A$6,MIN(Reference!$A$11,MIN($U99,180))),Reference!$A$6:$A$11,1))))*(INDEX(Reference!$B$6:$B$11,MIN(5,MATCH(MAX(Reference!$A$6,MIN(Reference!$A$11,MIN($U99,180))),Reference!$A$6:$A$11,1))+1)-INDEX(Reference!$B$6:$B$11,MIN(5,MATCH(MAX(Reference!$A$6,MIN(Reference!$A$11,MIN($U99,180))),Reference!$A$6:$A$11,1))))/(INDEX(Reference!$A$6:$A$11,MIN(5,MATCH(MAX(Reference!$A$6,MIN(Reference!$A$11,MIN($U99,180))),Reference!$A$6:$A$11,1))+1)-INDEX(Reference!$A$6:$A$11,MIN(5,MATCH(MAX(Reference!$A$6,MIN(Reference!$A$11,MIN($U99,180))),Reference!$A$6:$A$11,1))))),0)+IF(5&lt;=$AL99,($AL99-5+3)*(INDEX(Reference!$B$6:$B$11,MIN(5,MATCH(MAX(Reference!$A$6,MIN(Reference!$A$11,MIN($U99,210))),Reference!$A$6:$A$11,1)))+(MAX(Reference!$A$6,MIN(Reference!$A$11,MIN($U99,210)))-INDEX(Reference!$A$6:$A$11,MIN(5,MATCH(MAX(Reference!$A$6,MIN(Reference!$A$11,MIN($U99,210))),Reference!$A$6:$A$11,1))))*(INDEX(Reference!$B$6:$B$11,MIN(5,MATCH(MAX(Reference!$A$6,MIN(Reference!$A$11,MIN($U99,210))),Reference!$A$6:$A$11,1))+1)-INDEX(Reference!$B$6:$B$11,MIN(5,MATCH(MAX(Reference!$A$6,MIN(Reference!$A$11,MIN($U99,210))),Reference!$A$6:$A$11,1))))/(INDEX(Reference!$A$6:$A$11,MIN(5,MATCH(MAX(Reference!$A$6,MIN(Reference!$A$11,MIN($U99,210))),Reference!$A$6:$A$11,1))+1)-INDEX(Reference!$A$6:$A$11,MIN(5,MATCH(MAX(Reference!$A$6,MIN(Reference!$A$11,MIN($U99,210))),Reference!$A$6:$A$11,1))))),0)+IF(6&lt;=$AL99,($AL99-6+3)*(INDEX(Reference!$B$6:$B$11,MIN(5,MATCH(MAX(Reference!$A$6,MIN(Reference!$A$11,MIN($U99,240))),Reference!$A$6:$A$11,1)))+(MAX(Reference!$A$6,MIN(Reference!$A$11,MIN($U99,240)))-INDEX(Reference!$A$6:$A$11,MIN(5,MATCH(MAX(Reference!$A$6,MIN(Reference!$A$11,MIN($U99,240))),Reference!$A$6:$A$11,1))))*(INDEX(Reference!$B$6:$B$11,MIN(5,MATCH(MAX(Reference!$A$6,MIN(Reference!$A$11,MIN($U99,240))),Reference!$A$6:$A$11,1))+1)-INDEX(Reference!$B$6:$B$11,MIN(5,MATCH(MAX(Reference!$A$6,MIN(Reference!$A$11,MIN($U99,240))),Reference!$A$6:$A$11,1))))/(INDEX(Reference!$A$6:$A$11,MIN(5,MATCH(MAX(Reference!$A$6,MIN(Reference!$A$11,MIN($U99,240))),Reference!$A$6:$A$11,1))+1)-INDEX(Reference!$A$6:$A$11,MIN(5,MATCH(MAX(Reference!$A$6,MIN(Reference!$A$11,MIN($U99,240))),Reference!$A$6:$A$11,1))))),0)+IF(7&lt;=$AL99,($AL99-7+3)*(INDEX(Reference!$B$6:$B$11,MIN(5,MATCH(MAX(Reference!$A$6,MIN(Reference!$A$11,MIN($U99,270))),Reference!$A$6:$A$11,1)))+(MAX(Reference!$A$6,MIN(Reference!$A$11,MIN($U99,270)))-INDEX(Reference!$A$6:$A$11,MIN(5,MATCH(MAX(Reference!$A$6,MIN(Reference!$A$11,MIN($U99,270))),Reference!$A$6:$A$11,1))))*(INDEX(Reference!$B$6:$B$11,MIN(5,MATCH(MAX(Reference!$A$6,MIN(Reference!$A$11,MIN($U99,270))),Reference!$A$6:$A$11,1))+1)-INDEX(Reference!$B$6:$B$11,MIN(5,MATCH(MAX(Reference!$A$6,MIN(Reference!$A$11,MIN($U99,270))),Reference!$A$6:$A$11,1))))/(INDEX(Reference!$A$6:$A$11,MIN(5,MATCH(MAX(Reference!$A$6,MIN(Reference!$A$11,MIN($U99,270))),Reference!$A$6:$A$11,1))+1)-INDEX(Reference!$A$6:$A$11,MIN(5,MATCH(MAX(Reference!$A$6,MIN(Reference!$A$11,MIN($U99,270))),Reference!$A$6:$A$11,1))))),0)+IF(8&lt;=$AL99,($AL99-8+3)*(INDEX(Reference!$B$6:$B$11,MIN(5,MATCH(MAX(Reference!$A$6,MIN(Reference!$A$11,MIN($U99,300))),Reference!$A$6:$A$11,1)))+(MAX(Reference!$A$6,MIN(Reference!$A$11,MIN($U99,300)))-INDEX(Reference!$A$6:$A$11,MIN(5,MATCH(MAX(Reference!$A$6,MIN(Reference!$A$11,MIN($U99,300))),Reference!$A$6:$A$11,1))))*(INDEX(Reference!$B$6:$B$11,MIN(5,MATCH(MAX(Reference!$A$6,MIN(Reference!$A$11,MIN($U99,300))),Reference!$A$6:$A$11,1))+1)-INDEX(Reference!$B$6:$B$11,MIN(5,MATCH(MAX(Reference!$A$6,MIN(Reference!$A$11,MIN($U99,300))),Reference!$A$6:$A$11,1))))/(INDEX(Reference!$A$6:$A$11,MIN(5,MATCH(MAX(Reference!$A$6,MIN(Reference!$A$11,MIN($U99,300))),Reference!$A$6:$A$11,1))+1)-INDEX(Reference!$A$6:$A$11,MIN(5,MATCH(MAX(Reference!$A$6,MIN(Reference!$A$11,MIN($U99,300))),Reference!$A$6:$A$11,1))))),0))/($AL99*($AL99+5)/2)),$AN99))</f>
        <v>0</v>
      </c>
      <c r="AN99" s="32">
        <f>IF($U99="",0,(INDEX(Reference!$B$6:$B$11,MIN(5,MATCH(MAX(Reference!$A$6,MIN(Reference!$A$11,$U99)),Reference!$A$6:$A$11,1)))+(MAX(Reference!$A$6,MIN(Reference!$A$11,$U99))-INDEX(Reference!$A$6:$A$11,MIN(5,MATCH(MAX(Reference!$A$6,MIN(Reference!$A$11,$U99)),Reference!$A$6:$A$11,1))))*(INDEX(Reference!$B$6:$B$11,MIN(5,MATCH(MAX(Reference!$A$6,MIN(Reference!$A$11,$U99)),Reference!$A$6:$A$11,1))+1)-INDEX(Reference!$B$6:$B$11,MIN(5,MATCH(MAX(Reference!$A$6,MIN(Reference!$A$11,$U99)),Reference!$A$6:$A$11,1))))/(INDEX(Reference!$A$6:$A$11,MIN(5,MATCH(MAX(Reference!$A$6,MIN(Reference!$A$11,$U99)),Reference!$A$6:$A$11,1))+1)-INDEX(Reference!$A$6:$A$11,MIN(5,MATCH(MAX(Reference!$A$6,MIN(Reference!$A$11,$U99)),Reference!$A$6:$A$11,1))))))</f>
        <v>0</v>
      </c>
      <c r="AO99" s="37"/>
      <c r="AP99" s="37"/>
      <c r="AQ99" s="37"/>
    </row>
    <row r="100" spans="1:43" x14ac:dyDescent="0.3">
      <c r="A100" s="48" t="str">
        <f t="shared" si="30"/>
        <v/>
      </c>
      <c r="B100" s="32" t="str">
        <f t="shared" si="31"/>
        <v/>
      </c>
      <c r="C100" s="32" t="str">
        <f t="shared" si="32"/>
        <v/>
      </c>
      <c r="D100" s="32" t="str">
        <f t="shared" si="33"/>
        <v/>
      </c>
      <c r="E100" s="32" t="str">
        <f t="shared" si="34"/>
        <v/>
      </c>
      <c r="F100" s="32" t="str">
        <f t="shared" si="35"/>
        <v/>
      </c>
      <c r="G100" s="47" t="str">
        <f t="shared" si="36"/>
        <v/>
      </c>
      <c r="H100" s="30" t="str">
        <f t="shared" si="37"/>
        <v/>
      </c>
      <c r="I100" s="46" t="str">
        <f>IF($A100="","",IF(AND($L100&lt;27,$K$12=0),"Building",IFERROR(((SUM($H$94:$H100)+$K$12*IF($L100&lt;6,SUMIFS('Throw Log'!$Q$5:$Q$300,'Throw Log'!$B$5:$B$300,$D$4,'Throw Log'!$A$5:$A$300,"&gt;="&amp;($D$6+$L100-6),'Throw Log'!$A$5:$A$300,"&lt;="&amp;($D$6-1)),0))/7)/((SUM($H$73:$H100)+$K$12*IF($L100&lt;27,SUMIFS('Throw Log'!$Q$5:$Q$300,'Throw Log'!$B$5:$B$300,$D$4,'Throw Log'!$A$5:$A$300,"&gt;="&amp;($D$6+$L100-27),'Throw Log'!$A$5:$A$300,"&lt;="&amp;($D$6-1)),0))/28),"")))</f>
        <v/>
      </c>
      <c r="J100" s="37"/>
      <c r="K100" s="37"/>
      <c r="L100" s="32">
        <v>57</v>
      </c>
      <c r="M100" s="32">
        <f t="shared" si="38"/>
        <v>9</v>
      </c>
      <c r="N100" s="32">
        <f t="shared" si="39"/>
        <v>1</v>
      </c>
      <c r="O100" s="32">
        <f t="shared" si="40"/>
        <v>1</v>
      </c>
      <c r="P100" s="32" t="str">
        <f>IF(OR($A100="",N($C100)&lt;=7),"",$G$6*$G$9^($M100-1)*IF(AND(MOD($M100,Reference!$B$99)=0,$M100&lt;=$G$5-2),Reference!$B$100,1))</f>
        <v/>
      </c>
      <c r="Q100" s="32" t="str">
        <f>IF($P100="","",IF(SUM($AK$99:$AK$105)=0,0,$P100*INDEX(Reference!$B$108:$B$114,$N100+1)/SUM($AK$99:$AK$105)))</f>
        <v/>
      </c>
      <c r="R100" s="32">
        <f t="shared" si="41"/>
        <v>120</v>
      </c>
      <c r="S100" s="32">
        <f t="shared" si="42"/>
        <v>105</v>
      </c>
      <c r="T100" s="32" t="str">
        <f>IF($A100="","",IF($C100=0,"Bullpen",IF(OR($C100=7,$C100=1,$C100=5),"Recovery/Easy Catch",IF($C100=6,"Compression/Pulldowns",IF(OR($C100=4,$C100=2),"Long Toss",IF($C100=3,"No Throw",IF($N100=2,"No Throw",IF($N100=6,IF($O100&lt;Reference!$B$104,"No Throw","Recovery/Easy Catch"),IF(OR($N100=0,$N100=4),"Recovery/Easy Catch",IF($N100=1,IF($R100&gt;75,"Long Toss","Recovery/Easy Catch"),IF($N100=3,IF($O100&lt;0.5,IF($S100&gt;75,"Long Toss","Recovery/Easy Catch"),"Compression/Pulldowns"),IF($S100&gt;75,"Long Toss","Recovery/Easy Catch"))))))))))))</f>
        <v/>
      </c>
      <c r="U100" s="32" t="str">
        <f t="shared" si="43"/>
        <v/>
      </c>
      <c r="V100" s="32" t="str">
        <f t="shared" si="44"/>
        <v/>
      </c>
      <c r="W100" s="32" t="str">
        <f t="shared" si="45"/>
        <v/>
      </c>
      <c r="X100" s="32">
        <f t="shared" si="46"/>
        <v>0</v>
      </c>
      <c r="Y100" s="32" t="str">
        <f t="shared" si="47"/>
        <v/>
      </c>
      <c r="Z100" s="32" t="str">
        <f t="shared" si="48"/>
        <v/>
      </c>
      <c r="AA100" s="32" t="str">
        <f t="shared" si="49"/>
        <v/>
      </c>
      <c r="AB100" s="32" t="str">
        <f>IF($A100="","",IF($T100="No Throw",0,IF($K100&lt;&gt;"",$K100,IF($AA100&lt;&gt;"",ROUND($AA100*$D$12*IF($C100=0,1,$G$10),0),MIN(IF($T100="Recovery/Easy Catch",Reference!$B$103,IF($T100="Long Toss",Reference!$B$106,Reference!$B$102)),MAX(Reference!$B$101,ROUND(MAX(0,$Q100-$AE100)/$AF100,0)))))))</f>
        <v/>
      </c>
      <c r="AC100" s="32">
        <f t="shared" si="50"/>
        <v>0</v>
      </c>
      <c r="AD100" s="32" t="b">
        <f t="shared" si="51"/>
        <v>1</v>
      </c>
      <c r="AE100" s="32">
        <f>IF($X100=0,0,$X100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100+$Z100)/2,0),Reference!$A$17:$B$20,2,TRUE()))</f>
        <v>0</v>
      </c>
      <c r="AF100" s="32">
        <f>IF(OR($A100="",$U100="",$T100="No Throw"),0,$AM100*VLOOKUP(MAX(($V100+$W100)/2,0),Reference!$A$17:$B$20,2,TRUE()))</f>
        <v>0</v>
      </c>
      <c r="AG100" s="32">
        <f>IF($AC100=0,0,$AC100*INDEX(Reference!$B$61:$B$62,MATCH("Bullpen",Reference!$A$61:$A$62,0))*VLOOKUP(MAX($D$5-($D$9+$E$9)/2,0),Reference!$A$17:$B$20,2,TRUE()))</f>
        <v>0</v>
      </c>
      <c r="AH100" s="32" t="e">
        <f t="shared" si="52"/>
        <v>#N/A</v>
      </c>
      <c r="AI100" s="32" t="e">
        <f>IF($A100="",NA(),Reference!$A$25)</f>
        <v>#N/A</v>
      </c>
      <c r="AJ100" s="32" t="e">
        <f t="shared" si="53"/>
        <v>#N/A</v>
      </c>
      <c r="AK100" s="32">
        <f>IF(OR($A100="",N($C100)&lt;=7,$T100="No Throw",$J100="x"),0,INDEX(Reference!$B$108:$B$114,$N100+1))</f>
        <v>0</v>
      </c>
      <c r="AL100" s="32">
        <f t="shared" si="54"/>
        <v>1</v>
      </c>
      <c r="AM100" s="32">
        <f>IF($U100="",0,IF($AL100&gt;1,((IF(1&lt;=$AL100,($AL100-1+3)*(INDEX(Reference!$B$6:$B$11,MIN(5,MATCH(MAX(Reference!$A$6,MIN(Reference!$A$11,MIN($U100,90))),Reference!$A$6:$A$11,1)))+(MAX(Reference!$A$6,MIN(Reference!$A$11,MIN($U100,90)))-INDEX(Reference!$A$6:$A$11,MIN(5,MATCH(MAX(Reference!$A$6,MIN(Reference!$A$11,MIN($U100,90))),Reference!$A$6:$A$11,1))))*(INDEX(Reference!$B$6:$B$11,MIN(5,MATCH(MAX(Reference!$A$6,MIN(Reference!$A$11,MIN($U100,90))),Reference!$A$6:$A$11,1))+1)-INDEX(Reference!$B$6:$B$11,MIN(5,MATCH(MAX(Reference!$A$6,MIN(Reference!$A$11,MIN($U100,90))),Reference!$A$6:$A$11,1))))/(INDEX(Reference!$A$6:$A$11,MIN(5,MATCH(MAX(Reference!$A$6,MIN(Reference!$A$11,MIN($U100,90))),Reference!$A$6:$A$11,1))+1)-INDEX(Reference!$A$6:$A$11,MIN(5,MATCH(MAX(Reference!$A$6,MIN(Reference!$A$11,MIN($U100,90))),Reference!$A$6:$A$11,1))))),0)+IF(2&lt;=$AL100,($AL100-2+3)*(INDEX(Reference!$B$6:$B$11,MIN(5,MATCH(MAX(Reference!$A$6,MIN(Reference!$A$11,MIN($U100,120))),Reference!$A$6:$A$11,1)))+(MAX(Reference!$A$6,MIN(Reference!$A$11,MIN($U100,120)))-INDEX(Reference!$A$6:$A$11,MIN(5,MATCH(MAX(Reference!$A$6,MIN(Reference!$A$11,MIN($U100,120))),Reference!$A$6:$A$11,1))))*(INDEX(Reference!$B$6:$B$11,MIN(5,MATCH(MAX(Reference!$A$6,MIN(Reference!$A$11,MIN($U100,120))),Reference!$A$6:$A$11,1))+1)-INDEX(Reference!$B$6:$B$11,MIN(5,MATCH(MAX(Reference!$A$6,MIN(Reference!$A$11,MIN($U100,120))),Reference!$A$6:$A$11,1))))/(INDEX(Reference!$A$6:$A$11,MIN(5,MATCH(MAX(Reference!$A$6,MIN(Reference!$A$11,MIN($U100,120))),Reference!$A$6:$A$11,1))+1)-INDEX(Reference!$A$6:$A$11,MIN(5,MATCH(MAX(Reference!$A$6,MIN(Reference!$A$11,MIN($U100,120))),Reference!$A$6:$A$11,1))))),0)+IF(3&lt;=$AL100,($AL100-3+3)*(INDEX(Reference!$B$6:$B$11,MIN(5,MATCH(MAX(Reference!$A$6,MIN(Reference!$A$11,MIN($U100,150))),Reference!$A$6:$A$11,1)))+(MAX(Reference!$A$6,MIN(Reference!$A$11,MIN($U100,150)))-INDEX(Reference!$A$6:$A$11,MIN(5,MATCH(MAX(Reference!$A$6,MIN(Reference!$A$11,MIN($U100,150))),Reference!$A$6:$A$11,1))))*(INDEX(Reference!$B$6:$B$11,MIN(5,MATCH(MAX(Reference!$A$6,MIN(Reference!$A$11,MIN($U100,150))),Reference!$A$6:$A$11,1))+1)-INDEX(Reference!$B$6:$B$11,MIN(5,MATCH(MAX(Reference!$A$6,MIN(Reference!$A$11,MIN($U100,150))),Reference!$A$6:$A$11,1))))/(INDEX(Reference!$A$6:$A$11,MIN(5,MATCH(MAX(Reference!$A$6,MIN(Reference!$A$11,MIN($U100,150))),Reference!$A$6:$A$11,1))+1)-INDEX(Reference!$A$6:$A$11,MIN(5,MATCH(MAX(Reference!$A$6,MIN(Reference!$A$11,MIN($U100,150))),Reference!$A$6:$A$11,1))))),0)+IF(4&lt;=$AL100,($AL100-4+3)*(INDEX(Reference!$B$6:$B$11,MIN(5,MATCH(MAX(Reference!$A$6,MIN(Reference!$A$11,MIN($U100,180))),Reference!$A$6:$A$11,1)))+(MAX(Reference!$A$6,MIN(Reference!$A$11,MIN($U100,180)))-INDEX(Reference!$A$6:$A$11,MIN(5,MATCH(MAX(Reference!$A$6,MIN(Reference!$A$11,MIN($U100,180))),Reference!$A$6:$A$11,1))))*(INDEX(Reference!$B$6:$B$11,MIN(5,MATCH(MAX(Reference!$A$6,MIN(Reference!$A$11,MIN($U100,180))),Reference!$A$6:$A$11,1))+1)-INDEX(Reference!$B$6:$B$11,MIN(5,MATCH(MAX(Reference!$A$6,MIN(Reference!$A$11,MIN($U100,180))),Reference!$A$6:$A$11,1))))/(INDEX(Reference!$A$6:$A$11,MIN(5,MATCH(MAX(Reference!$A$6,MIN(Reference!$A$11,MIN($U100,180))),Reference!$A$6:$A$11,1))+1)-INDEX(Reference!$A$6:$A$11,MIN(5,MATCH(MAX(Reference!$A$6,MIN(Reference!$A$11,MIN($U100,180))),Reference!$A$6:$A$11,1))))),0)+IF(5&lt;=$AL100,($AL100-5+3)*(INDEX(Reference!$B$6:$B$11,MIN(5,MATCH(MAX(Reference!$A$6,MIN(Reference!$A$11,MIN($U100,210))),Reference!$A$6:$A$11,1)))+(MAX(Reference!$A$6,MIN(Reference!$A$11,MIN($U100,210)))-INDEX(Reference!$A$6:$A$11,MIN(5,MATCH(MAX(Reference!$A$6,MIN(Reference!$A$11,MIN($U100,210))),Reference!$A$6:$A$11,1))))*(INDEX(Reference!$B$6:$B$11,MIN(5,MATCH(MAX(Reference!$A$6,MIN(Reference!$A$11,MIN($U100,210))),Reference!$A$6:$A$11,1))+1)-INDEX(Reference!$B$6:$B$11,MIN(5,MATCH(MAX(Reference!$A$6,MIN(Reference!$A$11,MIN($U100,210))),Reference!$A$6:$A$11,1))))/(INDEX(Reference!$A$6:$A$11,MIN(5,MATCH(MAX(Reference!$A$6,MIN(Reference!$A$11,MIN($U100,210))),Reference!$A$6:$A$11,1))+1)-INDEX(Reference!$A$6:$A$11,MIN(5,MATCH(MAX(Reference!$A$6,MIN(Reference!$A$11,MIN($U100,210))),Reference!$A$6:$A$11,1))))),0)+IF(6&lt;=$AL100,($AL100-6+3)*(INDEX(Reference!$B$6:$B$11,MIN(5,MATCH(MAX(Reference!$A$6,MIN(Reference!$A$11,MIN($U100,240))),Reference!$A$6:$A$11,1)))+(MAX(Reference!$A$6,MIN(Reference!$A$11,MIN($U100,240)))-INDEX(Reference!$A$6:$A$11,MIN(5,MATCH(MAX(Reference!$A$6,MIN(Reference!$A$11,MIN($U100,240))),Reference!$A$6:$A$11,1))))*(INDEX(Reference!$B$6:$B$11,MIN(5,MATCH(MAX(Reference!$A$6,MIN(Reference!$A$11,MIN($U100,240))),Reference!$A$6:$A$11,1))+1)-INDEX(Reference!$B$6:$B$11,MIN(5,MATCH(MAX(Reference!$A$6,MIN(Reference!$A$11,MIN($U100,240))),Reference!$A$6:$A$11,1))))/(INDEX(Reference!$A$6:$A$11,MIN(5,MATCH(MAX(Reference!$A$6,MIN(Reference!$A$11,MIN($U100,240))),Reference!$A$6:$A$11,1))+1)-INDEX(Reference!$A$6:$A$11,MIN(5,MATCH(MAX(Reference!$A$6,MIN(Reference!$A$11,MIN($U100,240))),Reference!$A$6:$A$11,1))))),0)+IF(7&lt;=$AL100,($AL100-7+3)*(INDEX(Reference!$B$6:$B$11,MIN(5,MATCH(MAX(Reference!$A$6,MIN(Reference!$A$11,MIN($U100,270))),Reference!$A$6:$A$11,1)))+(MAX(Reference!$A$6,MIN(Reference!$A$11,MIN($U100,270)))-INDEX(Reference!$A$6:$A$11,MIN(5,MATCH(MAX(Reference!$A$6,MIN(Reference!$A$11,MIN($U100,270))),Reference!$A$6:$A$11,1))))*(INDEX(Reference!$B$6:$B$11,MIN(5,MATCH(MAX(Reference!$A$6,MIN(Reference!$A$11,MIN($U100,270))),Reference!$A$6:$A$11,1))+1)-INDEX(Reference!$B$6:$B$11,MIN(5,MATCH(MAX(Reference!$A$6,MIN(Reference!$A$11,MIN($U100,270))),Reference!$A$6:$A$11,1))))/(INDEX(Reference!$A$6:$A$11,MIN(5,MATCH(MAX(Reference!$A$6,MIN(Reference!$A$11,MIN($U100,270))),Reference!$A$6:$A$11,1))+1)-INDEX(Reference!$A$6:$A$11,MIN(5,MATCH(MAX(Reference!$A$6,MIN(Reference!$A$11,MIN($U100,270))),Reference!$A$6:$A$11,1))))),0)+IF(8&lt;=$AL100,($AL100-8+3)*(INDEX(Reference!$B$6:$B$11,MIN(5,MATCH(MAX(Reference!$A$6,MIN(Reference!$A$11,MIN($U100,300))),Reference!$A$6:$A$11,1)))+(MAX(Reference!$A$6,MIN(Reference!$A$11,MIN($U100,300)))-INDEX(Reference!$A$6:$A$11,MIN(5,MATCH(MAX(Reference!$A$6,MIN(Reference!$A$11,MIN($U100,300))),Reference!$A$6:$A$11,1))))*(INDEX(Reference!$B$6:$B$11,MIN(5,MATCH(MAX(Reference!$A$6,MIN(Reference!$A$11,MIN($U100,300))),Reference!$A$6:$A$11,1))+1)-INDEX(Reference!$B$6:$B$11,MIN(5,MATCH(MAX(Reference!$A$6,MIN(Reference!$A$11,MIN($U100,300))),Reference!$A$6:$A$11,1))))/(INDEX(Reference!$A$6:$A$11,MIN(5,MATCH(MAX(Reference!$A$6,MIN(Reference!$A$11,MIN($U100,300))),Reference!$A$6:$A$11,1))+1)-INDEX(Reference!$A$6:$A$11,MIN(5,MATCH(MAX(Reference!$A$6,MIN(Reference!$A$11,MIN($U100,300))),Reference!$A$6:$A$11,1))))),0))/($AL100*($AL100+5)/2)),$AN100))</f>
        <v>0</v>
      </c>
      <c r="AN100" s="32">
        <f>IF($U100="",0,(INDEX(Reference!$B$6:$B$11,MIN(5,MATCH(MAX(Reference!$A$6,MIN(Reference!$A$11,$U100)),Reference!$A$6:$A$11,1)))+(MAX(Reference!$A$6,MIN(Reference!$A$11,$U100))-INDEX(Reference!$A$6:$A$11,MIN(5,MATCH(MAX(Reference!$A$6,MIN(Reference!$A$11,$U100)),Reference!$A$6:$A$11,1))))*(INDEX(Reference!$B$6:$B$11,MIN(5,MATCH(MAX(Reference!$A$6,MIN(Reference!$A$11,$U100)),Reference!$A$6:$A$11,1))+1)-INDEX(Reference!$B$6:$B$11,MIN(5,MATCH(MAX(Reference!$A$6,MIN(Reference!$A$11,$U100)),Reference!$A$6:$A$11,1))))/(INDEX(Reference!$A$6:$A$11,MIN(5,MATCH(MAX(Reference!$A$6,MIN(Reference!$A$11,$U100)),Reference!$A$6:$A$11,1))+1)-INDEX(Reference!$A$6:$A$11,MIN(5,MATCH(MAX(Reference!$A$6,MIN(Reference!$A$11,$U100)),Reference!$A$6:$A$11,1))))))</f>
        <v>0</v>
      </c>
      <c r="AO100" s="37"/>
      <c r="AP100" s="37"/>
      <c r="AQ100" s="37"/>
    </row>
    <row r="101" spans="1:43" x14ac:dyDescent="0.3">
      <c r="A101" s="48" t="str">
        <f t="shared" si="30"/>
        <v/>
      </c>
      <c r="B101" s="32" t="str">
        <f t="shared" si="31"/>
        <v/>
      </c>
      <c r="C101" s="32" t="str">
        <f t="shared" si="32"/>
        <v/>
      </c>
      <c r="D101" s="32" t="str">
        <f t="shared" si="33"/>
        <v/>
      </c>
      <c r="E101" s="32" t="str">
        <f t="shared" si="34"/>
        <v/>
      </c>
      <c r="F101" s="32" t="str">
        <f t="shared" si="35"/>
        <v/>
      </c>
      <c r="G101" s="47" t="str">
        <f t="shared" si="36"/>
        <v/>
      </c>
      <c r="H101" s="30" t="str">
        <f t="shared" si="37"/>
        <v/>
      </c>
      <c r="I101" s="46" t="str">
        <f>IF($A101="","",IF(AND($L101&lt;27,$K$12=0),"Building",IFERROR(((SUM($H$95:$H101)+$K$12*IF($L101&lt;6,SUMIFS('Throw Log'!$Q$5:$Q$300,'Throw Log'!$B$5:$B$300,$D$4,'Throw Log'!$A$5:$A$300,"&gt;="&amp;($D$6+$L101-6),'Throw Log'!$A$5:$A$300,"&lt;="&amp;($D$6-1)),0))/7)/((SUM($H$74:$H101)+$K$12*IF($L101&lt;27,SUMIFS('Throw Log'!$Q$5:$Q$300,'Throw Log'!$B$5:$B$300,$D$4,'Throw Log'!$A$5:$A$300,"&gt;="&amp;($D$6+$L101-27),'Throw Log'!$A$5:$A$300,"&lt;="&amp;($D$6-1)),0))/28),"")))</f>
        <v/>
      </c>
      <c r="J101" s="37"/>
      <c r="K101" s="37"/>
      <c r="L101" s="32">
        <v>58</v>
      </c>
      <c r="M101" s="32">
        <f t="shared" si="38"/>
        <v>9</v>
      </c>
      <c r="N101" s="32">
        <f t="shared" si="39"/>
        <v>2</v>
      </c>
      <c r="O101" s="32">
        <f t="shared" si="40"/>
        <v>1</v>
      </c>
      <c r="P101" s="32" t="str">
        <f>IF(OR($A101="",N($C101)&lt;=7),"",$G$6*$G$9^($M101-1)*IF(AND(MOD($M101,Reference!$B$99)=0,$M101&lt;=$G$5-2),Reference!$B$100,1))</f>
        <v/>
      </c>
      <c r="Q101" s="32" t="str">
        <f>IF($P101="","",IF(SUM($AK$99:$AK$105)=0,0,$P101*INDEX(Reference!$B$108:$B$114,$N101+1)/SUM($AK$99:$AK$105)))</f>
        <v/>
      </c>
      <c r="R101" s="32">
        <f t="shared" si="41"/>
        <v>120</v>
      </c>
      <c r="S101" s="32">
        <f t="shared" si="42"/>
        <v>105</v>
      </c>
      <c r="T101" s="32" t="str">
        <f>IF($A101="","",IF($C101=0,"Bullpen",IF(OR($C101=7,$C101=1,$C101=5),"Recovery/Easy Catch",IF($C101=6,"Compression/Pulldowns",IF(OR($C101=4,$C101=2),"Long Toss",IF($C101=3,"No Throw",IF($N101=2,"No Throw",IF($N101=6,IF($O101&lt;Reference!$B$104,"No Throw","Recovery/Easy Catch"),IF(OR($N101=0,$N101=4),"Recovery/Easy Catch",IF($N101=1,IF($R101&gt;75,"Long Toss","Recovery/Easy Catch"),IF($N101=3,IF($O101&lt;0.5,IF($S101&gt;75,"Long Toss","Recovery/Easy Catch"),"Compression/Pulldowns"),IF($S101&gt;75,"Long Toss","Recovery/Easy Catch"))))))))))))</f>
        <v/>
      </c>
      <c r="U101" s="32" t="str">
        <f t="shared" si="43"/>
        <v/>
      </c>
      <c r="V101" s="32" t="str">
        <f t="shared" si="44"/>
        <v/>
      </c>
      <c r="W101" s="32" t="str">
        <f t="shared" si="45"/>
        <v/>
      </c>
      <c r="X101" s="32">
        <f t="shared" si="46"/>
        <v>0</v>
      </c>
      <c r="Y101" s="32" t="str">
        <f t="shared" si="47"/>
        <v/>
      </c>
      <c r="Z101" s="32" t="str">
        <f t="shared" si="48"/>
        <v/>
      </c>
      <c r="AA101" s="32" t="str">
        <f t="shared" si="49"/>
        <v/>
      </c>
      <c r="AB101" s="32" t="str">
        <f>IF($A101="","",IF($T101="No Throw",0,IF($K101&lt;&gt;"",$K101,IF($AA101&lt;&gt;"",ROUND($AA101*$D$12*IF($C101=0,1,$G$10),0),MIN(IF($T101="Recovery/Easy Catch",Reference!$B$103,IF($T101="Long Toss",Reference!$B$106,Reference!$B$102)),MAX(Reference!$B$101,ROUND(MAX(0,$Q101-$AE101)/$AF101,0)))))))</f>
        <v/>
      </c>
      <c r="AC101" s="32">
        <f t="shared" si="50"/>
        <v>0</v>
      </c>
      <c r="AD101" s="32" t="b">
        <f t="shared" si="51"/>
        <v>1</v>
      </c>
      <c r="AE101" s="32">
        <f>IF($X101=0,0,$X101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101+$Z101)/2,0),Reference!$A$17:$B$20,2,TRUE()))</f>
        <v>0</v>
      </c>
      <c r="AF101" s="32">
        <f>IF(OR($A101="",$U101="",$T101="No Throw"),0,$AM101*VLOOKUP(MAX(($V101+$W101)/2,0),Reference!$A$17:$B$20,2,TRUE()))</f>
        <v>0</v>
      </c>
      <c r="AG101" s="32">
        <f>IF($AC101=0,0,$AC101*INDEX(Reference!$B$61:$B$62,MATCH("Bullpen",Reference!$A$61:$A$62,0))*VLOOKUP(MAX($D$5-($D$9+$E$9)/2,0),Reference!$A$17:$B$20,2,TRUE()))</f>
        <v>0</v>
      </c>
      <c r="AH101" s="32" t="e">
        <f t="shared" si="52"/>
        <v>#N/A</v>
      </c>
      <c r="AI101" s="32" t="e">
        <f>IF($A101="",NA(),Reference!$A$25)</f>
        <v>#N/A</v>
      </c>
      <c r="AJ101" s="32" t="e">
        <f t="shared" si="53"/>
        <v>#N/A</v>
      </c>
      <c r="AK101" s="32">
        <f>IF(OR($A101="",N($C101)&lt;=7,$T101="No Throw",$J101="x"),0,INDEX(Reference!$B$108:$B$114,$N101+1))</f>
        <v>0</v>
      </c>
      <c r="AL101" s="32">
        <f t="shared" si="54"/>
        <v>1</v>
      </c>
      <c r="AM101" s="32">
        <f>IF($U101="",0,IF($AL101&gt;1,((IF(1&lt;=$AL101,($AL101-1+3)*(INDEX(Reference!$B$6:$B$11,MIN(5,MATCH(MAX(Reference!$A$6,MIN(Reference!$A$11,MIN($U101,90))),Reference!$A$6:$A$11,1)))+(MAX(Reference!$A$6,MIN(Reference!$A$11,MIN($U101,90)))-INDEX(Reference!$A$6:$A$11,MIN(5,MATCH(MAX(Reference!$A$6,MIN(Reference!$A$11,MIN($U101,90))),Reference!$A$6:$A$11,1))))*(INDEX(Reference!$B$6:$B$11,MIN(5,MATCH(MAX(Reference!$A$6,MIN(Reference!$A$11,MIN($U101,90))),Reference!$A$6:$A$11,1))+1)-INDEX(Reference!$B$6:$B$11,MIN(5,MATCH(MAX(Reference!$A$6,MIN(Reference!$A$11,MIN($U101,90))),Reference!$A$6:$A$11,1))))/(INDEX(Reference!$A$6:$A$11,MIN(5,MATCH(MAX(Reference!$A$6,MIN(Reference!$A$11,MIN($U101,90))),Reference!$A$6:$A$11,1))+1)-INDEX(Reference!$A$6:$A$11,MIN(5,MATCH(MAX(Reference!$A$6,MIN(Reference!$A$11,MIN($U101,90))),Reference!$A$6:$A$11,1))))),0)+IF(2&lt;=$AL101,($AL101-2+3)*(INDEX(Reference!$B$6:$B$11,MIN(5,MATCH(MAX(Reference!$A$6,MIN(Reference!$A$11,MIN($U101,120))),Reference!$A$6:$A$11,1)))+(MAX(Reference!$A$6,MIN(Reference!$A$11,MIN($U101,120)))-INDEX(Reference!$A$6:$A$11,MIN(5,MATCH(MAX(Reference!$A$6,MIN(Reference!$A$11,MIN($U101,120))),Reference!$A$6:$A$11,1))))*(INDEX(Reference!$B$6:$B$11,MIN(5,MATCH(MAX(Reference!$A$6,MIN(Reference!$A$11,MIN($U101,120))),Reference!$A$6:$A$11,1))+1)-INDEX(Reference!$B$6:$B$11,MIN(5,MATCH(MAX(Reference!$A$6,MIN(Reference!$A$11,MIN($U101,120))),Reference!$A$6:$A$11,1))))/(INDEX(Reference!$A$6:$A$11,MIN(5,MATCH(MAX(Reference!$A$6,MIN(Reference!$A$11,MIN($U101,120))),Reference!$A$6:$A$11,1))+1)-INDEX(Reference!$A$6:$A$11,MIN(5,MATCH(MAX(Reference!$A$6,MIN(Reference!$A$11,MIN($U101,120))),Reference!$A$6:$A$11,1))))),0)+IF(3&lt;=$AL101,($AL101-3+3)*(INDEX(Reference!$B$6:$B$11,MIN(5,MATCH(MAX(Reference!$A$6,MIN(Reference!$A$11,MIN($U101,150))),Reference!$A$6:$A$11,1)))+(MAX(Reference!$A$6,MIN(Reference!$A$11,MIN($U101,150)))-INDEX(Reference!$A$6:$A$11,MIN(5,MATCH(MAX(Reference!$A$6,MIN(Reference!$A$11,MIN($U101,150))),Reference!$A$6:$A$11,1))))*(INDEX(Reference!$B$6:$B$11,MIN(5,MATCH(MAX(Reference!$A$6,MIN(Reference!$A$11,MIN($U101,150))),Reference!$A$6:$A$11,1))+1)-INDEX(Reference!$B$6:$B$11,MIN(5,MATCH(MAX(Reference!$A$6,MIN(Reference!$A$11,MIN($U101,150))),Reference!$A$6:$A$11,1))))/(INDEX(Reference!$A$6:$A$11,MIN(5,MATCH(MAX(Reference!$A$6,MIN(Reference!$A$11,MIN($U101,150))),Reference!$A$6:$A$11,1))+1)-INDEX(Reference!$A$6:$A$11,MIN(5,MATCH(MAX(Reference!$A$6,MIN(Reference!$A$11,MIN($U101,150))),Reference!$A$6:$A$11,1))))),0)+IF(4&lt;=$AL101,($AL101-4+3)*(INDEX(Reference!$B$6:$B$11,MIN(5,MATCH(MAX(Reference!$A$6,MIN(Reference!$A$11,MIN($U101,180))),Reference!$A$6:$A$11,1)))+(MAX(Reference!$A$6,MIN(Reference!$A$11,MIN($U101,180)))-INDEX(Reference!$A$6:$A$11,MIN(5,MATCH(MAX(Reference!$A$6,MIN(Reference!$A$11,MIN($U101,180))),Reference!$A$6:$A$11,1))))*(INDEX(Reference!$B$6:$B$11,MIN(5,MATCH(MAX(Reference!$A$6,MIN(Reference!$A$11,MIN($U101,180))),Reference!$A$6:$A$11,1))+1)-INDEX(Reference!$B$6:$B$11,MIN(5,MATCH(MAX(Reference!$A$6,MIN(Reference!$A$11,MIN($U101,180))),Reference!$A$6:$A$11,1))))/(INDEX(Reference!$A$6:$A$11,MIN(5,MATCH(MAX(Reference!$A$6,MIN(Reference!$A$11,MIN($U101,180))),Reference!$A$6:$A$11,1))+1)-INDEX(Reference!$A$6:$A$11,MIN(5,MATCH(MAX(Reference!$A$6,MIN(Reference!$A$11,MIN($U101,180))),Reference!$A$6:$A$11,1))))),0)+IF(5&lt;=$AL101,($AL101-5+3)*(INDEX(Reference!$B$6:$B$11,MIN(5,MATCH(MAX(Reference!$A$6,MIN(Reference!$A$11,MIN($U101,210))),Reference!$A$6:$A$11,1)))+(MAX(Reference!$A$6,MIN(Reference!$A$11,MIN($U101,210)))-INDEX(Reference!$A$6:$A$11,MIN(5,MATCH(MAX(Reference!$A$6,MIN(Reference!$A$11,MIN($U101,210))),Reference!$A$6:$A$11,1))))*(INDEX(Reference!$B$6:$B$11,MIN(5,MATCH(MAX(Reference!$A$6,MIN(Reference!$A$11,MIN($U101,210))),Reference!$A$6:$A$11,1))+1)-INDEX(Reference!$B$6:$B$11,MIN(5,MATCH(MAX(Reference!$A$6,MIN(Reference!$A$11,MIN($U101,210))),Reference!$A$6:$A$11,1))))/(INDEX(Reference!$A$6:$A$11,MIN(5,MATCH(MAX(Reference!$A$6,MIN(Reference!$A$11,MIN($U101,210))),Reference!$A$6:$A$11,1))+1)-INDEX(Reference!$A$6:$A$11,MIN(5,MATCH(MAX(Reference!$A$6,MIN(Reference!$A$11,MIN($U101,210))),Reference!$A$6:$A$11,1))))),0)+IF(6&lt;=$AL101,($AL101-6+3)*(INDEX(Reference!$B$6:$B$11,MIN(5,MATCH(MAX(Reference!$A$6,MIN(Reference!$A$11,MIN($U101,240))),Reference!$A$6:$A$11,1)))+(MAX(Reference!$A$6,MIN(Reference!$A$11,MIN($U101,240)))-INDEX(Reference!$A$6:$A$11,MIN(5,MATCH(MAX(Reference!$A$6,MIN(Reference!$A$11,MIN($U101,240))),Reference!$A$6:$A$11,1))))*(INDEX(Reference!$B$6:$B$11,MIN(5,MATCH(MAX(Reference!$A$6,MIN(Reference!$A$11,MIN($U101,240))),Reference!$A$6:$A$11,1))+1)-INDEX(Reference!$B$6:$B$11,MIN(5,MATCH(MAX(Reference!$A$6,MIN(Reference!$A$11,MIN($U101,240))),Reference!$A$6:$A$11,1))))/(INDEX(Reference!$A$6:$A$11,MIN(5,MATCH(MAX(Reference!$A$6,MIN(Reference!$A$11,MIN($U101,240))),Reference!$A$6:$A$11,1))+1)-INDEX(Reference!$A$6:$A$11,MIN(5,MATCH(MAX(Reference!$A$6,MIN(Reference!$A$11,MIN($U101,240))),Reference!$A$6:$A$11,1))))),0)+IF(7&lt;=$AL101,($AL101-7+3)*(INDEX(Reference!$B$6:$B$11,MIN(5,MATCH(MAX(Reference!$A$6,MIN(Reference!$A$11,MIN($U101,270))),Reference!$A$6:$A$11,1)))+(MAX(Reference!$A$6,MIN(Reference!$A$11,MIN($U101,270)))-INDEX(Reference!$A$6:$A$11,MIN(5,MATCH(MAX(Reference!$A$6,MIN(Reference!$A$11,MIN($U101,270))),Reference!$A$6:$A$11,1))))*(INDEX(Reference!$B$6:$B$11,MIN(5,MATCH(MAX(Reference!$A$6,MIN(Reference!$A$11,MIN($U101,270))),Reference!$A$6:$A$11,1))+1)-INDEX(Reference!$B$6:$B$11,MIN(5,MATCH(MAX(Reference!$A$6,MIN(Reference!$A$11,MIN($U101,270))),Reference!$A$6:$A$11,1))))/(INDEX(Reference!$A$6:$A$11,MIN(5,MATCH(MAX(Reference!$A$6,MIN(Reference!$A$11,MIN($U101,270))),Reference!$A$6:$A$11,1))+1)-INDEX(Reference!$A$6:$A$11,MIN(5,MATCH(MAX(Reference!$A$6,MIN(Reference!$A$11,MIN($U101,270))),Reference!$A$6:$A$11,1))))),0)+IF(8&lt;=$AL101,($AL101-8+3)*(INDEX(Reference!$B$6:$B$11,MIN(5,MATCH(MAX(Reference!$A$6,MIN(Reference!$A$11,MIN($U101,300))),Reference!$A$6:$A$11,1)))+(MAX(Reference!$A$6,MIN(Reference!$A$11,MIN($U101,300)))-INDEX(Reference!$A$6:$A$11,MIN(5,MATCH(MAX(Reference!$A$6,MIN(Reference!$A$11,MIN($U101,300))),Reference!$A$6:$A$11,1))))*(INDEX(Reference!$B$6:$B$11,MIN(5,MATCH(MAX(Reference!$A$6,MIN(Reference!$A$11,MIN($U101,300))),Reference!$A$6:$A$11,1))+1)-INDEX(Reference!$B$6:$B$11,MIN(5,MATCH(MAX(Reference!$A$6,MIN(Reference!$A$11,MIN($U101,300))),Reference!$A$6:$A$11,1))))/(INDEX(Reference!$A$6:$A$11,MIN(5,MATCH(MAX(Reference!$A$6,MIN(Reference!$A$11,MIN($U101,300))),Reference!$A$6:$A$11,1))+1)-INDEX(Reference!$A$6:$A$11,MIN(5,MATCH(MAX(Reference!$A$6,MIN(Reference!$A$11,MIN($U101,300))),Reference!$A$6:$A$11,1))))),0))/($AL101*($AL101+5)/2)),$AN101))</f>
        <v>0</v>
      </c>
      <c r="AN101" s="32">
        <f>IF($U101="",0,(INDEX(Reference!$B$6:$B$11,MIN(5,MATCH(MAX(Reference!$A$6,MIN(Reference!$A$11,$U101)),Reference!$A$6:$A$11,1)))+(MAX(Reference!$A$6,MIN(Reference!$A$11,$U101))-INDEX(Reference!$A$6:$A$11,MIN(5,MATCH(MAX(Reference!$A$6,MIN(Reference!$A$11,$U101)),Reference!$A$6:$A$11,1))))*(INDEX(Reference!$B$6:$B$11,MIN(5,MATCH(MAX(Reference!$A$6,MIN(Reference!$A$11,$U101)),Reference!$A$6:$A$11,1))+1)-INDEX(Reference!$B$6:$B$11,MIN(5,MATCH(MAX(Reference!$A$6,MIN(Reference!$A$11,$U101)),Reference!$A$6:$A$11,1))))/(INDEX(Reference!$A$6:$A$11,MIN(5,MATCH(MAX(Reference!$A$6,MIN(Reference!$A$11,$U101)),Reference!$A$6:$A$11,1))+1)-INDEX(Reference!$A$6:$A$11,MIN(5,MATCH(MAX(Reference!$A$6,MIN(Reference!$A$11,$U101)),Reference!$A$6:$A$11,1))))))</f>
        <v>0</v>
      </c>
      <c r="AO101" s="37"/>
      <c r="AP101" s="37"/>
      <c r="AQ101" s="37"/>
    </row>
    <row r="102" spans="1:43" x14ac:dyDescent="0.3">
      <c r="A102" s="48" t="str">
        <f t="shared" si="30"/>
        <v/>
      </c>
      <c r="B102" s="32" t="str">
        <f t="shared" si="31"/>
        <v/>
      </c>
      <c r="C102" s="32" t="str">
        <f t="shared" si="32"/>
        <v/>
      </c>
      <c r="D102" s="32" t="str">
        <f t="shared" si="33"/>
        <v/>
      </c>
      <c r="E102" s="32" t="str">
        <f t="shared" si="34"/>
        <v/>
      </c>
      <c r="F102" s="32" t="str">
        <f t="shared" si="35"/>
        <v/>
      </c>
      <c r="G102" s="47" t="str">
        <f t="shared" si="36"/>
        <v/>
      </c>
      <c r="H102" s="30" t="str">
        <f t="shared" si="37"/>
        <v/>
      </c>
      <c r="I102" s="46" t="str">
        <f>IF($A102="","",IF(AND($L102&lt;27,$K$12=0),"Building",IFERROR(((SUM($H$96:$H102)+$K$12*IF($L102&lt;6,SUMIFS('Throw Log'!$Q$5:$Q$300,'Throw Log'!$B$5:$B$300,$D$4,'Throw Log'!$A$5:$A$300,"&gt;="&amp;($D$6+$L102-6),'Throw Log'!$A$5:$A$300,"&lt;="&amp;($D$6-1)),0))/7)/((SUM($H$75:$H102)+$K$12*IF($L102&lt;27,SUMIFS('Throw Log'!$Q$5:$Q$300,'Throw Log'!$B$5:$B$300,$D$4,'Throw Log'!$A$5:$A$300,"&gt;="&amp;($D$6+$L102-27),'Throw Log'!$A$5:$A$300,"&lt;="&amp;($D$6-1)),0))/28),"")))</f>
        <v/>
      </c>
      <c r="J102" s="37"/>
      <c r="K102" s="37"/>
      <c r="L102" s="32">
        <v>59</v>
      </c>
      <c r="M102" s="32">
        <f t="shared" si="38"/>
        <v>9</v>
      </c>
      <c r="N102" s="32">
        <f t="shared" si="39"/>
        <v>3</v>
      </c>
      <c r="O102" s="32">
        <f t="shared" si="40"/>
        <v>1</v>
      </c>
      <c r="P102" s="32" t="str">
        <f>IF(OR($A102="",N($C102)&lt;=7),"",$G$6*$G$9^($M102-1)*IF(AND(MOD($M102,Reference!$B$99)=0,$M102&lt;=$G$5-2),Reference!$B$100,1))</f>
        <v/>
      </c>
      <c r="Q102" s="32" t="str">
        <f>IF($P102="","",IF(SUM($AK$99:$AK$105)=0,0,$P102*INDEX(Reference!$B$108:$B$114,$N102+1)/SUM($AK$99:$AK$105)))</f>
        <v/>
      </c>
      <c r="R102" s="32">
        <f t="shared" si="41"/>
        <v>120</v>
      </c>
      <c r="S102" s="32">
        <f t="shared" si="42"/>
        <v>105</v>
      </c>
      <c r="T102" s="32" t="str">
        <f>IF($A102="","",IF($C102=0,"Bullpen",IF(OR($C102=7,$C102=1,$C102=5),"Recovery/Easy Catch",IF($C102=6,"Compression/Pulldowns",IF(OR($C102=4,$C102=2),"Long Toss",IF($C102=3,"No Throw",IF($N102=2,"No Throw",IF($N102=6,IF($O102&lt;Reference!$B$104,"No Throw","Recovery/Easy Catch"),IF(OR($N102=0,$N102=4),"Recovery/Easy Catch",IF($N102=1,IF($R102&gt;75,"Long Toss","Recovery/Easy Catch"),IF($N102=3,IF($O102&lt;0.5,IF($S102&gt;75,"Long Toss","Recovery/Easy Catch"),"Compression/Pulldowns"),IF($S102&gt;75,"Long Toss","Recovery/Easy Catch"))))))))))))</f>
        <v/>
      </c>
      <c r="U102" s="32" t="str">
        <f t="shared" si="43"/>
        <v/>
      </c>
      <c r="V102" s="32" t="str">
        <f t="shared" si="44"/>
        <v/>
      </c>
      <c r="W102" s="32" t="str">
        <f t="shared" si="45"/>
        <v/>
      </c>
      <c r="X102" s="32">
        <f t="shared" si="46"/>
        <v>0</v>
      </c>
      <c r="Y102" s="32" t="str">
        <f t="shared" si="47"/>
        <v/>
      </c>
      <c r="Z102" s="32" t="str">
        <f t="shared" si="48"/>
        <v/>
      </c>
      <c r="AA102" s="32" t="str">
        <f t="shared" si="49"/>
        <v/>
      </c>
      <c r="AB102" s="32" t="str">
        <f>IF($A102="","",IF($T102="No Throw",0,IF($K102&lt;&gt;"",$K102,IF($AA102&lt;&gt;"",ROUND($AA102*$D$12*IF($C102=0,1,$G$10),0),MIN(IF($T102="Recovery/Easy Catch",Reference!$B$103,IF($T102="Long Toss",Reference!$B$106,Reference!$B$102)),MAX(Reference!$B$101,ROUND(MAX(0,$Q102-$AE102)/$AF102,0)))))))</f>
        <v/>
      </c>
      <c r="AC102" s="32">
        <f t="shared" si="50"/>
        <v>0</v>
      </c>
      <c r="AD102" s="32" t="b">
        <f t="shared" si="51"/>
        <v>1</v>
      </c>
      <c r="AE102" s="32">
        <f>IF($X102=0,0,$X102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102+$Z102)/2,0),Reference!$A$17:$B$20,2,TRUE()))</f>
        <v>0</v>
      </c>
      <c r="AF102" s="32">
        <f>IF(OR($A102="",$U102="",$T102="No Throw"),0,$AM102*VLOOKUP(MAX(($V102+$W102)/2,0),Reference!$A$17:$B$20,2,TRUE()))</f>
        <v>0</v>
      </c>
      <c r="AG102" s="32">
        <f>IF($AC102=0,0,$AC102*INDEX(Reference!$B$61:$B$62,MATCH("Bullpen",Reference!$A$61:$A$62,0))*VLOOKUP(MAX($D$5-($D$9+$E$9)/2,0),Reference!$A$17:$B$20,2,TRUE()))</f>
        <v>0</v>
      </c>
      <c r="AH102" s="32" t="e">
        <f t="shared" si="52"/>
        <v>#N/A</v>
      </c>
      <c r="AI102" s="32" t="e">
        <f>IF($A102="",NA(),Reference!$A$25)</f>
        <v>#N/A</v>
      </c>
      <c r="AJ102" s="32" t="e">
        <f t="shared" si="53"/>
        <v>#N/A</v>
      </c>
      <c r="AK102" s="32">
        <f>IF(OR($A102="",N($C102)&lt;=7,$T102="No Throw",$J102="x"),0,INDEX(Reference!$B$108:$B$114,$N102+1))</f>
        <v>0</v>
      </c>
      <c r="AL102" s="32">
        <f t="shared" si="54"/>
        <v>1</v>
      </c>
      <c r="AM102" s="32">
        <f>IF($U102="",0,IF($AL102&gt;1,((IF(1&lt;=$AL102,($AL102-1+3)*(INDEX(Reference!$B$6:$B$11,MIN(5,MATCH(MAX(Reference!$A$6,MIN(Reference!$A$11,MIN($U102,90))),Reference!$A$6:$A$11,1)))+(MAX(Reference!$A$6,MIN(Reference!$A$11,MIN($U102,90)))-INDEX(Reference!$A$6:$A$11,MIN(5,MATCH(MAX(Reference!$A$6,MIN(Reference!$A$11,MIN($U102,90))),Reference!$A$6:$A$11,1))))*(INDEX(Reference!$B$6:$B$11,MIN(5,MATCH(MAX(Reference!$A$6,MIN(Reference!$A$11,MIN($U102,90))),Reference!$A$6:$A$11,1))+1)-INDEX(Reference!$B$6:$B$11,MIN(5,MATCH(MAX(Reference!$A$6,MIN(Reference!$A$11,MIN($U102,90))),Reference!$A$6:$A$11,1))))/(INDEX(Reference!$A$6:$A$11,MIN(5,MATCH(MAX(Reference!$A$6,MIN(Reference!$A$11,MIN($U102,90))),Reference!$A$6:$A$11,1))+1)-INDEX(Reference!$A$6:$A$11,MIN(5,MATCH(MAX(Reference!$A$6,MIN(Reference!$A$11,MIN($U102,90))),Reference!$A$6:$A$11,1))))),0)+IF(2&lt;=$AL102,($AL102-2+3)*(INDEX(Reference!$B$6:$B$11,MIN(5,MATCH(MAX(Reference!$A$6,MIN(Reference!$A$11,MIN($U102,120))),Reference!$A$6:$A$11,1)))+(MAX(Reference!$A$6,MIN(Reference!$A$11,MIN($U102,120)))-INDEX(Reference!$A$6:$A$11,MIN(5,MATCH(MAX(Reference!$A$6,MIN(Reference!$A$11,MIN($U102,120))),Reference!$A$6:$A$11,1))))*(INDEX(Reference!$B$6:$B$11,MIN(5,MATCH(MAX(Reference!$A$6,MIN(Reference!$A$11,MIN($U102,120))),Reference!$A$6:$A$11,1))+1)-INDEX(Reference!$B$6:$B$11,MIN(5,MATCH(MAX(Reference!$A$6,MIN(Reference!$A$11,MIN($U102,120))),Reference!$A$6:$A$11,1))))/(INDEX(Reference!$A$6:$A$11,MIN(5,MATCH(MAX(Reference!$A$6,MIN(Reference!$A$11,MIN($U102,120))),Reference!$A$6:$A$11,1))+1)-INDEX(Reference!$A$6:$A$11,MIN(5,MATCH(MAX(Reference!$A$6,MIN(Reference!$A$11,MIN($U102,120))),Reference!$A$6:$A$11,1))))),0)+IF(3&lt;=$AL102,($AL102-3+3)*(INDEX(Reference!$B$6:$B$11,MIN(5,MATCH(MAX(Reference!$A$6,MIN(Reference!$A$11,MIN($U102,150))),Reference!$A$6:$A$11,1)))+(MAX(Reference!$A$6,MIN(Reference!$A$11,MIN($U102,150)))-INDEX(Reference!$A$6:$A$11,MIN(5,MATCH(MAX(Reference!$A$6,MIN(Reference!$A$11,MIN($U102,150))),Reference!$A$6:$A$11,1))))*(INDEX(Reference!$B$6:$B$11,MIN(5,MATCH(MAX(Reference!$A$6,MIN(Reference!$A$11,MIN($U102,150))),Reference!$A$6:$A$11,1))+1)-INDEX(Reference!$B$6:$B$11,MIN(5,MATCH(MAX(Reference!$A$6,MIN(Reference!$A$11,MIN($U102,150))),Reference!$A$6:$A$11,1))))/(INDEX(Reference!$A$6:$A$11,MIN(5,MATCH(MAX(Reference!$A$6,MIN(Reference!$A$11,MIN($U102,150))),Reference!$A$6:$A$11,1))+1)-INDEX(Reference!$A$6:$A$11,MIN(5,MATCH(MAX(Reference!$A$6,MIN(Reference!$A$11,MIN($U102,150))),Reference!$A$6:$A$11,1))))),0)+IF(4&lt;=$AL102,($AL102-4+3)*(INDEX(Reference!$B$6:$B$11,MIN(5,MATCH(MAX(Reference!$A$6,MIN(Reference!$A$11,MIN($U102,180))),Reference!$A$6:$A$11,1)))+(MAX(Reference!$A$6,MIN(Reference!$A$11,MIN($U102,180)))-INDEX(Reference!$A$6:$A$11,MIN(5,MATCH(MAX(Reference!$A$6,MIN(Reference!$A$11,MIN($U102,180))),Reference!$A$6:$A$11,1))))*(INDEX(Reference!$B$6:$B$11,MIN(5,MATCH(MAX(Reference!$A$6,MIN(Reference!$A$11,MIN($U102,180))),Reference!$A$6:$A$11,1))+1)-INDEX(Reference!$B$6:$B$11,MIN(5,MATCH(MAX(Reference!$A$6,MIN(Reference!$A$11,MIN($U102,180))),Reference!$A$6:$A$11,1))))/(INDEX(Reference!$A$6:$A$11,MIN(5,MATCH(MAX(Reference!$A$6,MIN(Reference!$A$11,MIN($U102,180))),Reference!$A$6:$A$11,1))+1)-INDEX(Reference!$A$6:$A$11,MIN(5,MATCH(MAX(Reference!$A$6,MIN(Reference!$A$11,MIN($U102,180))),Reference!$A$6:$A$11,1))))),0)+IF(5&lt;=$AL102,($AL102-5+3)*(INDEX(Reference!$B$6:$B$11,MIN(5,MATCH(MAX(Reference!$A$6,MIN(Reference!$A$11,MIN($U102,210))),Reference!$A$6:$A$11,1)))+(MAX(Reference!$A$6,MIN(Reference!$A$11,MIN($U102,210)))-INDEX(Reference!$A$6:$A$11,MIN(5,MATCH(MAX(Reference!$A$6,MIN(Reference!$A$11,MIN($U102,210))),Reference!$A$6:$A$11,1))))*(INDEX(Reference!$B$6:$B$11,MIN(5,MATCH(MAX(Reference!$A$6,MIN(Reference!$A$11,MIN($U102,210))),Reference!$A$6:$A$11,1))+1)-INDEX(Reference!$B$6:$B$11,MIN(5,MATCH(MAX(Reference!$A$6,MIN(Reference!$A$11,MIN($U102,210))),Reference!$A$6:$A$11,1))))/(INDEX(Reference!$A$6:$A$11,MIN(5,MATCH(MAX(Reference!$A$6,MIN(Reference!$A$11,MIN($U102,210))),Reference!$A$6:$A$11,1))+1)-INDEX(Reference!$A$6:$A$11,MIN(5,MATCH(MAX(Reference!$A$6,MIN(Reference!$A$11,MIN($U102,210))),Reference!$A$6:$A$11,1))))),0)+IF(6&lt;=$AL102,($AL102-6+3)*(INDEX(Reference!$B$6:$B$11,MIN(5,MATCH(MAX(Reference!$A$6,MIN(Reference!$A$11,MIN($U102,240))),Reference!$A$6:$A$11,1)))+(MAX(Reference!$A$6,MIN(Reference!$A$11,MIN($U102,240)))-INDEX(Reference!$A$6:$A$11,MIN(5,MATCH(MAX(Reference!$A$6,MIN(Reference!$A$11,MIN($U102,240))),Reference!$A$6:$A$11,1))))*(INDEX(Reference!$B$6:$B$11,MIN(5,MATCH(MAX(Reference!$A$6,MIN(Reference!$A$11,MIN($U102,240))),Reference!$A$6:$A$11,1))+1)-INDEX(Reference!$B$6:$B$11,MIN(5,MATCH(MAX(Reference!$A$6,MIN(Reference!$A$11,MIN($U102,240))),Reference!$A$6:$A$11,1))))/(INDEX(Reference!$A$6:$A$11,MIN(5,MATCH(MAX(Reference!$A$6,MIN(Reference!$A$11,MIN($U102,240))),Reference!$A$6:$A$11,1))+1)-INDEX(Reference!$A$6:$A$11,MIN(5,MATCH(MAX(Reference!$A$6,MIN(Reference!$A$11,MIN($U102,240))),Reference!$A$6:$A$11,1))))),0)+IF(7&lt;=$AL102,($AL102-7+3)*(INDEX(Reference!$B$6:$B$11,MIN(5,MATCH(MAX(Reference!$A$6,MIN(Reference!$A$11,MIN($U102,270))),Reference!$A$6:$A$11,1)))+(MAX(Reference!$A$6,MIN(Reference!$A$11,MIN($U102,270)))-INDEX(Reference!$A$6:$A$11,MIN(5,MATCH(MAX(Reference!$A$6,MIN(Reference!$A$11,MIN($U102,270))),Reference!$A$6:$A$11,1))))*(INDEX(Reference!$B$6:$B$11,MIN(5,MATCH(MAX(Reference!$A$6,MIN(Reference!$A$11,MIN($U102,270))),Reference!$A$6:$A$11,1))+1)-INDEX(Reference!$B$6:$B$11,MIN(5,MATCH(MAX(Reference!$A$6,MIN(Reference!$A$11,MIN($U102,270))),Reference!$A$6:$A$11,1))))/(INDEX(Reference!$A$6:$A$11,MIN(5,MATCH(MAX(Reference!$A$6,MIN(Reference!$A$11,MIN($U102,270))),Reference!$A$6:$A$11,1))+1)-INDEX(Reference!$A$6:$A$11,MIN(5,MATCH(MAX(Reference!$A$6,MIN(Reference!$A$11,MIN($U102,270))),Reference!$A$6:$A$11,1))))),0)+IF(8&lt;=$AL102,($AL102-8+3)*(INDEX(Reference!$B$6:$B$11,MIN(5,MATCH(MAX(Reference!$A$6,MIN(Reference!$A$11,MIN($U102,300))),Reference!$A$6:$A$11,1)))+(MAX(Reference!$A$6,MIN(Reference!$A$11,MIN($U102,300)))-INDEX(Reference!$A$6:$A$11,MIN(5,MATCH(MAX(Reference!$A$6,MIN(Reference!$A$11,MIN($U102,300))),Reference!$A$6:$A$11,1))))*(INDEX(Reference!$B$6:$B$11,MIN(5,MATCH(MAX(Reference!$A$6,MIN(Reference!$A$11,MIN($U102,300))),Reference!$A$6:$A$11,1))+1)-INDEX(Reference!$B$6:$B$11,MIN(5,MATCH(MAX(Reference!$A$6,MIN(Reference!$A$11,MIN($U102,300))),Reference!$A$6:$A$11,1))))/(INDEX(Reference!$A$6:$A$11,MIN(5,MATCH(MAX(Reference!$A$6,MIN(Reference!$A$11,MIN($U102,300))),Reference!$A$6:$A$11,1))+1)-INDEX(Reference!$A$6:$A$11,MIN(5,MATCH(MAX(Reference!$A$6,MIN(Reference!$A$11,MIN($U102,300))),Reference!$A$6:$A$11,1))))),0))/($AL102*($AL102+5)/2)),$AN102))</f>
        <v>0</v>
      </c>
      <c r="AN102" s="32">
        <f>IF($U102="",0,(INDEX(Reference!$B$6:$B$11,MIN(5,MATCH(MAX(Reference!$A$6,MIN(Reference!$A$11,$U102)),Reference!$A$6:$A$11,1)))+(MAX(Reference!$A$6,MIN(Reference!$A$11,$U102))-INDEX(Reference!$A$6:$A$11,MIN(5,MATCH(MAX(Reference!$A$6,MIN(Reference!$A$11,$U102)),Reference!$A$6:$A$11,1))))*(INDEX(Reference!$B$6:$B$11,MIN(5,MATCH(MAX(Reference!$A$6,MIN(Reference!$A$11,$U102)),Reference!$A$6:$A$11,1))+1)-INDEX(Reference!$B$6:$B$11,MIN(5,MATCH(MAX(Reference!$A$6,MIN(Reference!$A$11,$U102)),Reference!$A$6:$A$11,1))))/(INDEX(Reference!$A$6:$A$11,MIN(5,MATCH(MAX(Reference!$A$6,MIN(Reference!$A$11,$U102)),Reference!$A$6:$A$11,1))+1)-INDEX(Reference!$A$6:$A$11,MIN(5,MATCH(MAX(Reference!$A$6,MIN(Reference!$A$11,$U102)),Reference!$A$6:$A$11,1))))))</f>
        <v>0</v>
      </c>
      <c r="AO102" s="37"/>
      <c r="AP102" s="37"/>
      <c r="AQ102" s="37"/>
    </row>
    <row r="103" spans="1:43" x14ac:dyDescent="0.3">
      <c r="A103" s="48" t="str">
        <f t="shared" si="30"/>
        <v/>
      </c>
      <c r="B103" s="32" t="str">
        <f t="shared" si="31"/>
        <v/>
      </c>
      <c r="C103" s="32" t="str">
        <f t="shared" si="32"/>
        <v/>
      </c>
      <c r="D103" s="32" t="str">
        <f t="shared" si="33"/>
        <v/>
      </c>
      <c r="E103" s="32" t="str">
        <f t="shared" si="34"/>
        <v/>
      </c>
      <c r="F103" s="32" t="str">
        <f t="shared" si="35"/>
        <v/>
      </c>
      <c r="G103" s="47" t="str">
        <f t="shared" si="36"/>
        <v/>
      </c>
      <c r="H103" s="30" t="str">
        <f t="shared" si="37"/>
        <v/>
      </c>
      <c r="I103" s="46" t="str">
        <f>IF($A103="","",IF(AND($L103&lt;27,$K$12=0),"Building",IFERROR(((SUM($H$97:$H103)+$K$12*IF($L103&lt;6,SUMIFS('Throw Log'!$Q$5:$Q$300,'Throw Log'!$B$5:$B$300,$D$4,'Throw Log'!$A$5:$A$300,"&gt;="&amp;($D$6+$L103-6),'Throw Log'!$A$5:$A$300,"&lt;="&amp;($D$6-1)),0))/7)/((SUM($H$76:$H103)+$K$12*IF($L103&lt;27,SUMIFS('Throw Log'!$Q$5:$Q$300,'Throw Log'!$B$5:$B$300,$D$4,'Throw Log'!$A$5:$A$300,"&gt;="&amp;($D$6+$L103-27),'Throw Log'!$A$5:$A$300,"&lt;="&amp;($D$6-1)),0))/28),"")))</f>
        <v/>
      </c>
      <c r="J103" s="37"/>
      <c r="K103" s="37"/>
      <c r="L103" s="32">
        <v>60</v>
      </c>
      <c r="M103" s="32">
        <f t="shared" si="38"/>
        <v>9</v>
      </c>
      <c r="N103" s="32">
        <f t="shared" si="39"/>
        <v>4</v>
      </c>
      <c r="O103" s="32">
        <f t="shared" si="40"/>
        <v>1</v>
      </c>
      <c r="P103" s="32" t="str">
        <f>IF(OR($A103="",N($C103)&lt;=7),"",$G$6*$G$9^($M103-1)*IF(AND(MOD($M103,Reference!$B$99)=0,$M103&lt;=$G$5-2),Reference!$B$100,1))</f>
        <v/>
      </c>
      <c r="Q103" s="32" t="str">
        <f>IF($P103="","",IF(SUM($AK$99:$AK$105)=0,0,$P103*INDEX(Reference!$B$108:$B$114,$N103+1)/SUM($AK$99:$AK$105)))</f>
        <v/>
      </c>
      <c r="R103" s="32">
        <f t="shared" si="41"/>
        <v>120</v>
      </c>
      <c r="S103" s="32">
        <f t="shared" si="42"/>
        <v>105</v>
      </c>
      <c r="T103" s="32" t="str">
        <f>IF($A103="","",IF($C103=0,"Bullpen",IF(OR($C103=7,$C103=1,$C103=5),"Recovery/Easy Catch",IF($C103=6,"Compression/Pulldowns",IF(OR($C103=4,$C103=2),"Long Toss",IF($C103=3,"No Throw",IF($N103=2,"No Throw",IF($N103=6,IF($O103&lt;Reference!$B$104,"No Throw","Recovery/Easy Catch"),IF(OR($N103=0,$N103=4),"Recovery/Easy Catch",IF($N103=1,IF($R103&gt;75,"Long Toss","Recovery/Easy Catch"),IF($N103=3,IF($O103&lt;0.5,IF($S103&gt;75,"Long Toss","Recovery/Easy Catch"),"Compression/Pulldowns"),IF($S103&gt;75,"Long Toss","Recovery/Easy Catch"))))))))))))</f>
        <v/>
      </c>
      <c r="U103" s="32" t="str">
        <f t="shared" si="43"/>
        <v/>
      </c>
      <c r="V103" s="32" t="str">
        <f t="shared" si="44"/>
        <v/>
      </c>
      <c r="W103" s="32" t="str">
        <f t="shared" si="45"/>
        <v/>
      </c>
      <c r="X103" s="32">
        <f t="shared" si="46"/>
        <v>0</v>
      </c>
      <c r="Y103" s="32" t="str">
        <f t="shared" si="47"/>
        <v/>
      </c>
      <c r="Z103" s="32" t="str">
        <f t="shared" si="48"/>
        <v/>
      </c>
      <c r="AA103" s="32" t="str">
        <f t="shared" si="49"/>
        <v/>
      </c>
      <c r="AB103" s="32" t="str">
        <f>IF($A103="","",IF($T103="No Throw",0,IF($K103&lt;&gt;"",$K103,IF($AA103&lt;&gt;"",ROUND($AA103*$D$12*IF($C103=0,1,$G$10),0),MIN(IF($T103="Recovery/Easy Catch",Reference!$B$103,IF($T103="Long Toss",Reference!$B$106,Reference!$B$102)),MAX(Reference!$B$101,ROUND(MAX(0,$Q103-$AE103)/$AF103,0)))))))</f>
        <v/>
      </c>
      <c r="AC103" s="32">
        <f t="shared" si="50"/>
        <v>0</v>
      </c>
      <c r="AD103" s="32" t="b">
        <f t="shared" si="51"/>
        <v>1</v>
      </c>
      <c r="AE103" s="32">
        <f>IF($X103=0,0,$X103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103+$Z103)/2,0),Reference!$A$17:$B$20,2,TRUE()))</f>
        <v>0</v>
      </c>
      <c r="AF103" s="32">
        <f>IF(OR($A103="",$U103="",$T103="No Throw"),0,$AM103*VLOOKUP(MAX(($V103+$W103)/2,0),Reference!$A$17:$B$20,2,TRUE()))</f>
        <v>0</v>
      </c>
      <c r="AG103" s="32">
        <f>IF($AC103=0,0,$AC103*INDEX(Reference!$B$61:$B$62,MATCH("Bullpen",Reference!$A$61:$A$62,0))*VLOOKUP(MAX($D$5-($D$9+$E$9)/2,0),Reference!$A$17:$B$20,2,TRUE()))</f>
        <v>0</v>
      </c>
      <c r="AH103" s="32" t="e">
        <f t="shared" si="52"/>
        <v>#N/A</v>
      </c>
      <c r="AI103" s="32" t="e">
        <f>IF($A103="",NA(),Reference!$A$25)</f>
        <v>#N/A</v>
      </c>
      <c r="AJ103" s="32" t="e">
        <f t="shared" si="53"/>
        <v>#N/A</v>
      </c>
      <c r="AK103" s="32">
        <f>IF(OR($A103="",N($C103)&lt;=7,$T103="No Throw",$J103="x"),0,INDEX(Reference!$B$108:$B$114,$N103+1))</f>
        <v>0</v>
      </c>
      <c r="AL103" s="32">
        <f t="shared" si="54"/>
        <v>1</v>
      </c>
      <c r="AM103" s="32">
        <f>IF($U103="",0,IF($AL103&gt;1,((IF(1&lt;=$AL103,($AL103-1+3)*(INDEX(Reference!$B$6:$B$11,MIN(5,MATCH(MAX(Reference!$A$6,MIN(Reference!$A$11,MIN($U103,90))),Reference!$A$6:$A$11,1)))+(MAX(Reference!$A$6,MIN(Reference!$A$11,MIN($U103,90)))-INDEX(Reference!$A$6:$A$11,MIN(5,MATCH(MAX(Reference!$A$6,MIN(Reference!$A$11,MIN($U103,90))),Reference!$A$6:$A$11,1))))*(INDEX(Reference!$B$6:$B$11,MIN(5,MATCH(MAX(Reference!$A$6,MIN(Reference!$A$11,MIN($U103,90))),Reference!$A$6:$A$11,1))+1)-INDEX(Reference!$B$6:$B$11,MIN(5,MATCH(MAX(Reference!$A$6,MIN(Reference!$A$11,MIN($U103,90))),Reference!$A$6:$A$11,1))))/(INDEX(Reference!$A$6:$A$11,MIN(5,MATCH(MAX(Reference!$A$6,MIN(Reference!$A$11,MIN($U103,90))),Reference!$A$6:$A$11,1))+1)-INDEX(Reference!$A$6:$A$11,MIN(5,MATCH(MAX(Reference!$A$6,MIN(Reference!$A$11,MIN($U103,90))),Reference!$A$6:$A$11,1))))),0)+IF(2&lt;=$AL103,($AL103-2+3)*(INDEX(Reference!$B$6:$B$11,MIN(5,MATCH(MAX(Reference!$A$6,MIN(Reference!$A$11,MIN($U103,120))),Reference!$A$6:$A$11,1)))+(MAX(Reference!$A$6,MIN(Reference!$A$11,MIN($U103,120)))-INDEX(Reference!$A$6:$A$11,MIN(5,MATCH(MAX(Reference!$A$6,MIN(Reference!$A$11,MIN($U103,120))),Reference!$A$6:$A$11,1))))*(INDEX(Reference!$B$6:$B$11,MIN(5,MATCH(MAX(Reference!$A$6,MIN(Reference!$A$11,MIN($U103,120))),Reference!$A$6:$A$11,1))+1)-INDEX(Reference!$B$6:$B$11,MIN(5,MATCH(MAX(Reference!$A$6,MIN(Reference!$A$11,MIN($U103,120))),Reference!$A$6:$A$11,1))))/(INDEX(Reference!$A$6:$A$11,MIN(5,MATCH(MAX(Reference!$A$6,MIN(Reference!$A$11,MIN($U103,120))),Reference!$A$6:$A$11,1))+1)-INDEX(Reference!$A$6:$A$11,MIN(5,MATCH(MAX(Reference!$A$6,MIN(Reference!$A$11,MIN($U103,120))),Reference!$A$6:$A$11,1))))),0)+IF(3&lt;=$AL103,($AL103-3+3)*(INDEX(Reference!$B$6:$B$11,MIN(5,MATCH(MAX(Reference!$A$6,MIN(Reference!$A$11,MIN($U103,150))),Reference!$A$6:$A$11,1)))+(MAX(Reference!$A$6,MIN(Reference!$A$11,MIN($U103,150)))-INDEX(Reference!$A$6:$A$11,MIN(5,MATCH(MAX(Reference!$A$6,MIN(Reference!$A$11,MIN($U103,150))),Reference!$A$6:$A$11,1))))*(INDEX(Reference!$B$6:$B$11,MIN(5,MATCH(MAX(Reference!$A$6,MIN(Reference!$A$11,MIN($U103,150))),Reference!$A$6:$A$11,1))+1)-INDEX(Reference!$B$6:$B$11,MIN(5,MATCH(MAX(Reference!$A$6,MIN(Reference!$A$11,MIN($U103,150))),Reference!$A$6:$A$11,1))))/(INDEX(Reference!$A$6:$A$11,MIN(5,MATCH(MAX(Reference!$A$6,MIN(Reference!$A$11,MIN($U103,150))),Reference!$A$6:$A$11,1))+1)-INDEX(Reference!$A$6:$A$11,MIN(5,MATCH(MAX(Reference!$A$6,MIN(Reference!$A$11,MIN($U103,150))),Reference!$A$6:$A$11,1))))),0)+IF(4&lt;=$AL103,($AL103-4+3)*(INDEX(Reference!$B$6:$B$11,MIN(5,MATCH(MAX(Reference!$A$6,MIN(Reference!$A$11,MIN($U103,180))),Reference!$A$6:$A$11,1)))+(MAX(Reference!$A$6,MIN(Reference!$A$11,MIN($U103,180)))-INDEX(Reference!$A$6:$A$11,MIN(5,MATCH(MAX(Reference!$A$6,MIN(Reference!$A$11,MIN($U103,180))),Reference!$A$6:$A$11,1))))*(INDEX(Reference!$B$6:$B$11,MIN(5,MATCH(MAX(Reference!$A$6,MIN(Reference!$A$11,MIN($U103,180))),Reference!$A$6:$A$11,1))+1)-INDEX(Reference!$B$6:$B$11,MIN(5,MATCH(MAX(Reference!$A$6,MIN(Reference!$A$11,MIN($U103,180))),Reference!$A$6:$A$11,1))))/(INDEX(Reference!$A$6:$A$11,MIN(5,MATCH(MAX(Reference!$A$6,MIN(Reference!$A$11,MIN($U103,180))),Reference!$A$6:$A$11,1))+1)-INDEX(Reference!$A$6:$A$11,MIN(5,MATCH(MAX(Reference!$A$6,MIN(Reference!$A$11,MIN($U103,180))),Reference!$A$6:$A$11,1))))),0)+IF(5&lt;=$AL103,($AL103-5+3)*(INDEX(Reference!$B$6:$B$11,MIN(5,MATCH(MAX(Reference!$A$6,MIN(Reference!$A$11,MIN($U103,210))),Reference!$A$6:$A$11,1)))+(MAX(Reference!$A$6,MIN(Reference!$A$11,MIN($U103,210)))-INDEX(Reference!$A$6:$A$11,MIN(5,MATCH(MAX(Reference!$A$6,MIN(Reference!$A$11,MIN($U103,210))),Reference!$A$6:$A$11,1))))*(INDEX(Reference!$B$6:$B$11,MIN(5,MATCH(MAX(Reference!$A$6,MIN(Reference!$A$11,MIN($U103,210))),Reference!$A$6:$A$11,1))+1)-INDEX(Reference!$B$6:$B$11,MIN(5,MATCH(MAX(Reference!$A$6,MIN(Reference!$A$11,MIN($U103,210))),Reference!$A$6:$A$11,1))))/(INDEX(Reference!$A$6:$A$11,MIN(5,MATCH(MAX(Reference!$A$6,MIN(Reference!$A$11,MIN($U103,210))),Reference!$A$6:$A$11,1))+1)-INDEX(Reference!$A$6:$A$11,MIN(5,MATCH(MAX(Reference!$A$6,MIN(Reference!$A$11,MIN($U103,210))),Reference!$A$6:$A$11,1))))),0)+IF(6&lt;=$AL103,($AL103-6+3)*(INDEX(Reference!$B$6:$B$11,MIN(5,MATCH(MAX(Reference!$A$6,MIN(Reference!$A$11,MIN($U103,240))),Reference!$A$6:$A$11,1)))+(MAX(Reference!$A$6,MIN(Reference!$A$11,MIN($U103,240)))-INDEX(Reference!$A$6:$A$11,MIN(5,MATCH(MAX(Reference!$A$6,MIN(Reference!$A$11,MIN($U103,240))),Reference!$A$6:$A$11,1))))*(INDEX(Reference!$B$6:$B$11,MIN(5,MATCH(MAX(Reference!$A$6,MIN(Reference!$A$11,MIN($U103,240))),Reference!$A$6:$A$11,1))+1)-INDEX(Reference!$B$6:$B$11,MIN(5,MATCH(MAX(Reference!$A$6,MIN(Reference!$A$11,MIN($U103,240))),Reference!$A$6:$A$11,1))))/(INDEX(Reference!$A$6:$A$11,MIN(5,MATCH(MAX(Reference!$A$6,MIN(Reference!$A$11,MIN($U103,240))),Reference!$A$6:$A$11,1))+1)-INDEX(Reference!$A$6:$A$11,MIN(5,MATCH(MAX(Reference!$A$6,MIN(Reference!$A$11,MIN($U103,240))),Reference!$A$6:$A$11,1))))),0)+IF(7&lt;=$AL103,($AL103-7+3)*(INDEX(Reference!$B$6:$B$11,MIN(5,MATCH(MAX(Reference!$A$6,MIN(Reference!$A$11,MIN($U103,270))),Reference!$A$6:$A$11,1)))+(MAX(Reference!$A$6,MIN(Reference!$A$11,MIN($U103,270)))-INDEX(Reference!$A$6:$A$11,MIN(5,MATCH(MAX(Reference!$A$6,MIN(Reference!$A$11,MIN($U103,270))),Reference!$A$6:$A$11,1))))*(INDEX(Reference!$B$6:$B$11,MIN(5,MATCH(MAX(Reference!$A$6,MIN(Reference!$A$11,MIN($U103,270))),Reference!$A$6:$A$11,1))+1)-INDEX(Reference!$B$6:$B$11,MIN(5,MATCH(MAX(Reference!$A$6,MIN(Reference!$A$11,MIN($U103,270))),Reference!$A$6:$A$11,1))))/(INDEX(Reference!$A$6:$A$11,MIN(5,MATCH(MAX(Reference!$A$6,MIN(Reference!$A$11,MIN($U103,270))),Reference!$A$6:$A$11,1))+1)-INDEX(Reference!$A$6:$A$11,MIN(5,MATCH(MAX(Reference!$A$6,MIN(Reference!$A$11,MIN($U103,270))),Reference!$A$6:$A$11,1))))),0)+IF(8&lt;=$AL103,($AL103-8+3)*(INDEX(Reference!$B$6:$B$11,MIN(5,MATCH(MAX(Reference!$A$6,MIN(Reference!$A$11,MIN($U103,300))),Reference!$A$6:$A$11,1)))+(MAX(Reference!$A$6,MIN(Reference!$A$11,MIN($U103,300)))-INDEX(Reference!$A$6:$A$11,MIN(5,MATCH(MAX(Reference!$A$6,MIN(Reference!$A$11,MIN($U103,300))),Reference!$A$6:$A$11,1))))*(INDEX(Reference!$B$6:$B$11,MIN(5,MATCH(MAX(Reference!$A$6,MIN(Reference!$A$11,MIN($U103,300))),Reference!$A$6:$A$11,1))+1)-INDEX(Reference!$B$6:$B$11,MIN(5,MATCH(MAX(Reference!$A$6,MIN(Reference!$A$11,MIN($U103,300))),Reference!$A$6:$A$11,1))))/(INDEX(Reference!$A$6:$A$11,MIN(5,MATCH(MAX(Reference!$A$6,MIN(Reference!$A$11,MIN($U103,300))),Reference!$A$6:$A$11,1))+1)-INDEX(Reference!$A$6:$A$11,MIN(5,MATCH(MAX(Reference!$A$6,MIN(Reference!$A$11,MIN($U103,300))),Reference!$A$6:$A$11,1))))),0))/($AL103*($AL103+5)/2)),$AN103))</f>
        <v>0</v>
      </c>
      <c r="AN103" s="32">
        <f>IF($U103="",0,(INDEX(Reference!$B$6:$B$11,MIN(5,MATCH(MAX(Reference!$A$6,MIN(Reference!$A$11,$U103)),Reference!$A$6:$A$11,1)))+(MAX(Reference!$A$6,MIN(Reference!$A$11,$U103))-INDEX(Reference!$A$6:$A$11,MIN(5,MATCH(MAX(Reference!$A$6,MIN(Reference!$A$11,$U103)),Reference!$A$6:$A$11,1))))*(INDEX(Reference!$B$6:$B$11,MIN(5,MATCH(MAX(Reference!$A$6,MIN(Reference!$A$11,$U103)),Reference!$A$6:$A$11,1))+1)-INDEX(Reference!$B$6:$B$11,MIN(5,MATCH(MAX(Reference!$A$6,MIN(Reference!$A$11,$U103)),Reference!$A$6:$A$11,1))))/(INDEX(Reference!$A$6:$A$11,MIN(5,MATCH(MAX(Reference!$A$6,MIN(Reference!$A$11,$U103)),Reference!$A$6:$A$11,1))+1)-INDEX(Reference!$A$6:$A$11,MIN(5,MATCH(MAX(Reference!$A$6,MIN(Reference!$A$11,$U103)),Reference!$A$6:$A$11,1))))))</f>
        <v>0</v>
      </c>
      <c r="AO103" s="37"/>
      <c r="AP103" s="37"/>
      <c r="AQ103" s="37"/>
    </row>
    <row r="104" spans="1:43" x14ac:dyDescent="0.3">
      <c r="A104" s="48" t="str">
        <f t="shared" si="30"/>
        <v/>
      </c>
      <c r="B104" s="32" t="str">
        <f t="shared" si="31"/>
        <v/>
      </c>
      <c r="C104" s="32" t="str">
        <f t="shared" si="32"/>
        <v/>
      </c>
      <c r="D104" s="32" t="str">
        <f t="shared" si="33"/>
        <v/>
      </c>
      <c r="E104" s="32" t="str">
        <f t="shared" si="34"/>
        <v/>
      </c>
      <c r="F104" s="32" t="str">
        <f t="shared" si="35"/>
        <v/>
      </c>
      <c r="G104" s="47" t="str">
        <f t="shared" si="36"/>
        <v/>
      </c>
      <c r="H104" s="30" t="str">
        <f t="shared" si="37"/>
        <v/>
      </c>
      <c r="I104" s="46" t="str">
        <f>IF($A104="","",IF(AND($L104&lt;27,$K$12=0),"Building",IFERROR(((SUM($H$98:$H104)+$K$12*IF($L104&lt;6,SUMIFS('Throw Log'!$Q$5:$Q$300,'Throw Log'!$B$5:$B$300,$D$4,'Throw Log'!$A$5:$A$300,"&gt;="&amp;($D$6+$L104-6),'Throw Log'!$A$5:$A$300,"&lt;="&amp;($D$6-1)),0))/7)/((SUM($H$77:$H104)+$K$12*IF($L104&lt;27,SUMIFS('Throw Log'!$Q$5:$Q$300,'Throw Log'!$B$5:$B$300,$D$4,'Throw Log'!$A$5:$A$300,"&gt;="&amp;($D$6+$L104-27),'Throw Log'!$A$5:$A$300,"&lt;="&amp;($D$6-1)),0))/28),"")))</f>
        <v/>
      </c>
      <c r="J104" s="37"/>
      <c r="K104" s="37"/>
      <c r="L104" s="32">
        <v>61</v>
      </c>
      <c r="M104" s="32">
        <f t="shared" si="38"/>
        <v>9</v>
      </c>
      <c r="N104" s="32">
        <f t="shared" si="39"/>
        <v>5</v>
      </c>
      <c r="O104" s="32">
        <f t="shared" si="40"/>
        <v>1</v>
      </c>
      <c r="P104" s="32" t="str">
        <f>IF(OR($A104="",N($C104)&lt;=7),"",$G$6*$G$9^($M104-1)*IF(AND(MOD($M104,Reference!$B$99)=0,$M104&lt;=$G$5-2),Reference!$B$100,1))</f>
        <v/>
      </c>
      <c r="Q104" s="32" t="str">
        <f>IF($P104="","",IF(SUM($AK$99:$AK$105)=0,0,$P104*INDEX(Reference!$B$108:$B$114,$N104+1)/SUM($AK$99:$AK$105)))</f>
        <v/>
      </c>
      <c r="R104" s="32">
        <f t="shared" si="41"/>
        <v>120</v>
      </c>
      <c r="S104" s="32">
        <f t="shared" si="42"/>
        <v>105</v>
      </c>
      <c r="T104" s="32" t="str">
        <f>IF($A104="","",IF($C104=0,"Bullpen",IF(OR($C104=7,$C104=1,$C104=5),"Recovery/Easy Catch",IF($C104=6,"Compression/Pulldowns",IF(OR($C104=4,$C104=2),"Long Toss",IF($C104=3,"No Throw",IF($N104=2,"No Throw",IF($N104=6,IF($O104&lt;Reference!$B$104,"No Throw","Recovery/Easy Catch"),IF(OR($N104=0,$N104=4),"Recovery/Easy Catch",IF($N104=1,IF($R104&gt;75,"Long Toss","Recovery/Easy Catch"),IF($N104=3,IF($O104&lt;0.5,IF($S104&gt;75,"Long Toss","Recovery/Easy Catch"),"Compression/Pulldowns"),IF($S104&gt;75,"Long Toss","Recovery/Easy Catch"))))))))))))</f>
        <v/>
      </c>
      <c r="U104" s="32" t="str">
        <f t="shared" si="43"/>
        <v/>
      </c>
      <c r="V104" s="32" t="str">
        <f t="shared" si="44"/>
        <v/>
      </c>
      <c r="W104" s="32" t="str">
        <f t="shared" si="45"/>
        <v/>
      </c>
      <c r="X104" s="32">
        <f t="shared" si="46"/>
        <v>0</v>
      </c>
      <c r="Y104" s="32" t="str">
        <f t="shared" si="47"/>
        <v/>
      </c>
      <c r="Z104" s="32" t="str">
        <f t="shared" si="48"/>
        <v/>
      </c>
      <c r="AA104" s="32" t="str">
        <f t="shared" si="49"/>
        <v/>
      </c>
      <c r="AB104" s="32" t="str">
        <f>IF($A104="","",IF($T104="No Throw",0,IF($K104&lt;&gt;"",$K104,IF($AA104&lt;&gt;"",ROUND($AA104*$D$12*IF($C104=0,1,$G$10),0),MIN(IF($T104="Recovery/Easy Catch",Reference!$B$103,IF($T104="Long Toss",Reference!$B$106,Reference!$B$102)),MAX(Reference!$B$101,ROUND(MAX(0,$Q104-$AE104)/$AF104,0)))))))</f>
        <v/>
      </c>
      <c r="AC104" s="32">
        <f t="shared" si="50"/>
        <v>0</v>
      </c>
      <c r="AD104" s="32" t="b">
        <f t="shared" si="51"/>
        <v>1</v>
      </c>
      <c r="AE104" s="32">
        <f>IF($X104=0,0,$X104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104+$Z104)/2,0),Reference!$A$17:$B$20,2,TRUE()))</f>
        <v>0</v>
      </c>
      <c r="AF104" s="32">
        <f>IF(OR($A104="",$U104="",$T104="No Throw"),0,$AM104*VLOOKUP(MAX(($V104+$W104)/2,0),Reference!$A$17:$B$20,2,TRUE()))</f>
        <v>0</v>
      </c>
      <c r="AG104" s="32">
        <f>IF($AC104=0,0,$AC104*INDEX(Reference!$B$61:$B$62,MATCH("Bullpen",Reference!$A$61:$A$62,0))*VLOOKUP(MAX($D$5-($D$9+$E$9)/2,0),Reference!$A$17:$B$20,2,TRUE()))</f>
        <v>0</v>
      </c>
      <c r="AH104" s="32" t="e">
        <f t="shared" si="52"/>
        <v>#N/A</v>
      </c>
      <c r="AI104" s="32" t="e">
        <f>IF($A104="",NA(),Reference!$A$25)</f>
        <v>#N/A</v>
      </c>
      <c r="AJ104" s="32" t="e">
        <f t="shared" si="53"/>
        <v>#N/A</v>
      </c>
      <c r="AK104" s="32">
        <f>IF(OR($A104="",N($C104)&lt;=7,$T104="No Throw",$J104="x"),0,INDEX(Reference!$B$108:$B$114,$N104+1))</f>
        <v>0</v>
      </c>
      <c r="AL104" s="32">
        <f t="shared" si="54"/>
        <v>1</v>
      </c>
      <c r="AM104" s="32">
        <f>IF($U104="",0,IF($AL104&gt;1,((IF(1&lt;=$AL104,($AL104-1+3)*(INDEX(Reference!$B$6:$B$11,MIN(5,MATCH(MAX(Reference!$A$6,MIN(Reference!$A$11,MIN($U104,90))),Reference!$A$6:$A$11,1)))+(MAX(Reference!$A$6,MIN(Reference!$A$11,MIN($U104,90)))-INDEX(Reference!$A$6:$A$11,MIN(5,MATCH(MAX(Reference!$A$6,MIN(Reference!$A$11,MIN($U104,90))),Reference!$A$6:$A$11,1))))*(INDEX(Reference!$B$6:$B$11,MIN(5,MATCH(MAX(Reference!$A$6,MIN(Reference!$A$11,MIN($U104,90))),Reference!$A$6:$A$11,1))+1)-INDEX(Reference!$B$6:$B$11,MIN(5,MATCH(MAX(Reference!$A$6,MIN(Reference!$A$11,MIN($U104,90))),Reference!$A$6:$A$11,1))))/(INDEX(Reference!$A$6:$A$11,MIN(5,MATCH(MAX(Reference!$A$6,MIN(Reference!$A$11,MIN($U104,90))),Reference!$A$6:$A$11,1))+1)-INDEX(Reference!$A$6:$A$11,MIN(5,MATCH(MAX(Reference!$A$6,MIN(Reference!$A$11,MIN($U104,90))),Reference!$A$6:$A$11,1))))),0)+IF(2&lt;=$AL104,($AL104-2+3)*(INDEX(Reference!$B$6:$B$11,MIN(5,MATCH(MAX(Reference!$A$6,MIN(Reference!$A$11,MIN($U104,120))),Reference!$A$6:$A$11,1)))+(MAX(Reference!$A$6,MIN(Reference!$A$11,MIN($U104,120)))-INDEX(Reference!$A$6:$A$11,MIN(5,MATCH(MAX(Reference!$A$6,MIN(Reference!$A$11,MIN($U104,120))),Reference!$A$6:$A$11,1))))*(INDEX(Reference!$B$6:$B$11,MIN(5,MATCH(MAX(Reference!$A$6,MIN(Reference!$A$11,MIN($U104,120))),Reference!$A$6:$A$11,1))+1)-INDEX(Reference!$B$6:$B$11,MIN(5,MATCH(MAX(Reference!$A$6,MIN(Reference!$A$11,MIN($U104,120))),Reference!$A$6:$A$11,1))))/(INDEX(Reference!$A$6:$A$11,MIN(5,MATCH(MAX(Reference!$A$6,MIN(Reference!$A$11,MIN($U104,120))),Reference!$A$6:$A$11,1))+1)-INDEX(Reference!$A$6:$A$11,MIN(5,MATCH(MAX(Reference!$A$6,MIN(Reference!$A$11,MIN($U104,120))),Reference!$A$6:$A$11,1))))),0)+IF(3&lt;=$AL104,($AL104-3+3)*(INDEX(Reference!$B$6:$B$11,MIN(5,MATCH(MAX(Reference!$A$6,MIN(Reference!$A$11,MIN($U104,150))),Reference!$A$6:$A$11,1)))+(MAX(Reference!$A$6,MIN(Reference!$A$11,MIN($U104,150)))-INDEX(Reference!$A$6:$A$11,MIN(5,MATCH(MAX(Reference!$A$6,MIN(Reference!$A$11,MIN($U104,150))),Reference!$A$6:$A$11,1))))*(INDEX(Reference!$B$6:$B$11,MIN(5,MATCH(MAX(Reference!$A$6,MIN(Reference!$A$11,MIN($U104,150))),Reference!$A$6:$A$11,1))+1)-INDEX(Reference!$B$6:$B$11,MIN(5,MATCH(MAX(Reference!$A$6,MIN(Reference!$A$11,MIN($U104,150))),Reference!$A$6:$A$11,1))))/(INDEX(Reference!$A$6:$A$11,MIN(5,MATCH(MAX(Reference!$A$6,MIN(Reference!$A$11,MIN($U104,150))),Reference!$A$6:$A$11,1))+1)-INDEX(Reference!$A$6:$A$11,MIN(5,MATCH(MAX(Reference!$A$6,MIN(Reference!$A$11,MIN($U104,150))),Reference!$A$6:$A$11,1))))),0)+IF(4&lt;=$AL104,($AL104-4+3)*(INDEX(Reference!$B$6:$B$11,MIN(5,MATCH(MAX(Reference!$A$6,MIN(Reference!$A$11,MIN($U104,180))),Reference!$A$6:$A$11,1)))+(MAX(Reference!$A$6,MIN(Reference!$A$11,MIN($U104,180)))-INDEX(Reference!$A$6:$A$11,MIN(5,MATCH(MAX(Reference!$A$6,MIN(Reference!$A$11,MIN($U104,180))),Reference!$A$6:$A$11,1))))*(INDEX(Reference!$B$6:$B$11,MIN(5,MATCH(MAX(Reference!$A$6,MIN(Reference!$A$11,MIN($U104,180))),Reference!$A$6:$A$11,1))+1)-INDEX(Reference!$B$6:$B$11,MIN(5,MATCH(MAX(Reference!$A$6,MIN(Reference!$A$11,MIN($U104,180))),Reference!$A$6:$A$11,1))))/(INDEX(Reference!$A$6:$A$11,MIN(5,MATCH(MAX(Reference!$A$6,MIN(Reference!$A$11,MIN($U104,180))),Reference!$A$6:$A$11,1))+1)-INDEX(Reference!$A$6:$A$11,MIN(5,MATCH(MAX(Reference!$A$6,MIN(Reference!$A$11,MIN($U104,180))),Reference!$A$6:$A$11,1))))),0)+IF(5&lt;=$AL104,($AL104-5+3)*(INDEX(Reference!$B$6:$B$11,MIN(5,MATCH(MAX(Reference!$A$6,MIN(Reference!$A$11,MIN($U104,210))),Reference!$A$6:$A$11,1)))+(MAX(Reference!$A$6,MIN(Reference!$A$11,MIN($U104,210)))-INDEX(Reference!$A$6:$A$11,MIN(5,MATCH(MAX(Reference!$A$6,MIN(Reference!$A$11,MIN($U104,210))),Reference!$A$6:$A$11,1))))*(INDEX(Reference!$B$6:$B$11,MIN(5,MATCH(MAX(Reference!$A$6,MIN(Reference!$A$11,MIN($U104,210))),Reference!$A$6:$A$11,1))+1)-INDEX(Reference!$B$6:$B$11,MIN(5,MATCH(MAX(Reference!$A$6,MIN(Reference!$A$11,MIN($U104,210))),Reference!$A$6:$A$11,1))))/(INDEX(Reference!$A$6:$A$11,MIN(5,MATCH(MAX(Reference!$A$6,MIN(Reference!$A$11,MIN($U104,210))),Reference!$A$6:$A$11,1))+1)-INDEX(Reference!$A$6:$A$11,MIN(5,MATCH(MAX(Reference!$A$6,MIN(Reference!$A$11,MIN($U104,210))),Reference!$A$6:$A$11,1))))),0)+IF(6&lt;=$AL104,($AL104-6+3)*(INDEX(Reference!$B$6:$B$11,MIN(5,MATCH(MAX(Reference!$A$6,MIN(Reference!$A$11,MIN($U104,240))),Reference!$A$6:$A$11,1)))+(MAX(Reference!$A$6,MIN(Reference!$A$11,MIN($U104,240)))-INDEX(Reference!$A$6:$A$11,MIN(5,MATCH(MAX(Reference!$A$6,MIN(Reference!$A$11,MIN($U104,240))),Reference!$A$6:$A$11,1))))*(INDEX(Reference!$B$6:$B$11,MIN(5,MATCH(MAX(Reference!$A$6,MIN(Reference!$A$11,MIN($U104,240))),Reference!$A$6:$A$11,1))+1)-INDEX(Reference!$B$6:$B$11,MIN(5,MATCH(MAX(Reference!$A$6,MIN(Reference!$A$11,MIN($U104,240))),Reference!$A$6:$A$11,1))))/(INDEX(Reference!$A$6:$A$11,MIN(5,MATCH(MAX(Reference!$A$6,MIN(Reference!$A$11,MIN($U104,240))),Reference!$A$6:$A$11,1))+1)-INDEX(Reference!$A$6:$A$11,MIN(5,MATCH(MAX(Reference!$A$6,MIN(Reference!$A$11,MIN($U104,240))),Reference!$A$6:$A$11,1))))),0)+IF(7&lt;=$AL104,($AL104-7+3)*(INDEX(Reference!$B$6:$B$11,MIN(5,MATCH(MAX(Reference!$A$6,MIN(Reference!$A$11,MIN($U104,270))),Reference!$A$6:$A$11,1)))+(MAX(Reference!$A$6,MIN(Reference!$A$11,MIN($U104,270)))-INDEX(Reference!$A$6:$A$11,MIN(5,MATCH(MAX(Reference!$A$6,MIN(Reference!$A$11,MIN($U104,270))),Reference!$A$6:$A$11,1))))*(INDEX(Reference!$B$6:$B$11,MIN(5,MATCH(MAX(Reference!$A$6,MIN(Reference!$A$11,MIN($U104,270))),Reference!$A$6:$A$11,1))+1)-INDEX(Reference!$B$6:$B$11,MIN(5,MATCH(MAX(Reference!$A$6,MIN(Reference!$A$11,MIN($U104,270))),Reference!$A$6:$A$11,1))))/(INDEX(Reference!$A$6:$A$11,MIN(5,MATCH(MAX(Reference!$A$6,MIN(Reference!$A$11,MIN($U104,270))),Reference!$A$6:$A$11,1))+1)-INDEX(Reference!$A$6:$A$11,MIN(5,MATCH(MAX(Reference!$A$6,MIN(Reference!$A$11,MIN($U104,270))),Reference!$A$6:$A$11,1))))),0)+IF(8&lt;=$AL104,($AL104-8+3)*(INDEX(Reference!$B$6:$B$11,MIN(5,MATCH(MAX(Reference!$A$6,MIN(Reference!$A$11,MIN($U104,300))),Reference!$A$6:$A$11,1)))+(MAX(Reference!$A$6,MIN(Reference!$A$11,MIN($U104,300)))-INDEX(Reference!$A$6:$A$11,MIN(5,MATCH(MAX(Reference!$A$6,MIN(Reference!$A$11,MIN($U104,300))),Reference!$A$6:$A$11,1))))*(INDEX(Reference!$B$6:$B$11,MIN(5,MATCH(MAX(Reference!$A$6,MIN(Reference!$A$11,MIN($U104,300))),Reference!$A$6:$A$11,1))+1)-INDEX(Reference!$B$6:$B$11,MIN(5,MATCH(MAX(Reference!$A$6,MIN(Reference!$A$11,MIN($U104,300))),Reference!$A$6:$A$11,1))))/(INDEX(Reference!$A$6:$A$11,MIN(5,MATCH(MAX(Reference!$A$6,MIN(Reference!$A$11,MIN($U104,300))),Reference!$A$6:$A$11,1))+1)-INDEX(Reference!$A$6:$A$11,MIN(5,MATCH(MAX(Reference!$A$6,MIN(Reference!$A$11,MIN($U104,300))),Reference!$A$6:$A$11,1))))),0))/($AL104*($AL104+5)/2)),$AN104))</f>
        <v>0</v>
      </c>
      <c r="AN104" s="32">
        <f>IF($U104="",0,(INDEX(Reference!$B$6:$B$11,MIN(5,MATCH(MAX(Reference!$A$6,MIN(Reference!$A$11,$U104)),Reference!$A$6:$A$11,1)))+(MAX(Reference!$A$6,MIN(Reference!$A$11,$U104))-INDEX(Reference!$A$6:$A$11,MIN(5,MATCH(MAX(Reference!$A$6,MIN(Reference!$A$11,$U104)),Reference!$A$6:$A$11,1))))*(INDEX(Reference!$B$6:$B$11,MIN(5,MATCH(MAX(Reference!$A$6,MIN(Reference!$A$11,$U104)),Reference!$A$6:$A$11,1))+1)-INDEX(Reference!$B$6:$B$11,MIN(5,MATCH(MAX(Reference!$A$6,MIN(Reference!$A$11,$U104)),Reference!$A$6:$A$11,1))))/(INDEX(Reference!$A$6:$A$11,MIN(5,MATCH(MAX(Reference!$A$6,MIN(Reference!$A$11,$U104)),Reference!$A$6:$A$11,1))+1)-INDEX(Reference!$A$6:$A$11,MIN(5,MATCH(MAX(Reference!$A$6,MIN(Reference!$A$11,$U104)),Reference!$A$6:$A$11,1))))))</f>
        <v>0</v>
      </c>
      <c r="AO104" s="37"/>
      <c r="AP104" s="37"/>
      <c r="AQ104" s="37"/>
    </row>
    <row r="105" spans="1:43" x14ac:dyDescent="0.3">
      <c r="A105" s="48" t="str">
        <f t="shared" si="30"/>
        <v/>
      </c>
      <c r="B105" s="32" t="str">
        <f t="shared" si="31"/>
        <v/>
      </c>
      <c r="C105" s="32" t="str">
        <f t="shared" si="32"/>
        <v/>
      </c>
      <c r="D105" s="32" t="str">
        <f t="shared" si="33"/>
        <v/>
      </c>
      <c r="E105" s="32" t="str">
        <f t="shared" si="34"/>
        <v/>
      </c>
      <c r="F105" s="32" t="str">
        <f t="shared" si="35"/>
        <v/>
      </c>
      <c r="G105" s="47" t="str">
        <f t="shared" si="36"/>
        <v/>
      </c>
      <c r="H105" s="30" t="str">
        <f t="shared" si="37"/>
        <v/>
      </c>
      <c r="I105" s="46" t="str">
        <f>IF($A105="","",IF(AND($L105&lt;27,$K$12=0),"Building",IFERROR(((SUM($H$99:$H105)+$K$12*IF($L105&lt;6,SUMIFS('Throw Log'!$Q$5:$Q$300,'Throw Log'!$B$5:$B$300,$D$4,'Throw Log'!$A$5:$A$300,"&gt;="&amp;($D$6+$L105-6),'Throw Log'!$A$5:$A$300,"&lt;="&amp;($D$6-1)),0))/7)/((SUM($H$78:$H105)+$K$12*IF($L105&lt;27,SUMIFS('Throw Log'!$Q$5:$Q$300,'Throw Log'!$B$5:$B$300,$D$4,'Throw Log'!$A$5:$A$300,"&gt;="&amp;($D$6+$L105-27),'Throw Log'!$A$5:$A$300,"&lt;="&amp;($D$6-1)),0))/28),"")))</f>
        <v/>
      </c>
      <c r="J105" s="37"/>
      <c r="K105" s="37"/>
      <c r="L105" s="32">
        <v>62</v>
      </c>
      <c r="M105" s="32">
        <f t="shared" si="38"/>
        <v>9</v>
      </c>
      <c r="N105" s="32">
        <f t="shared" si="39"/>
        <v>6</v>
      </c>
      <c r="O105" s="32">
        <f t="shared" si="40"/>
        <v>1</v>
      </c>
      <c r="P105" s="32" t="str">
        <f>IF(OR($A105="",N($C105)&lt;=7),"",$G$6*$G$9^($M105-1)*IF(AND(MOD($M105,Reference!$B$99)=0,$M105&lt;=$G$5-2),Reference!$B$100,1))</f>
        <v/>
      </c>
      <c r="Q105" s="32" t="str">
        <f>IF($P105="","",IF(SUM($AK$99:$AK$105)=0,0,$P105*INDEX(Reference!$B$108:$B$114,$N105+1)/SUM($AK$99:$AK$105)))</f>
        <v/>
      </c>
      <c r="R105" s="32">
        <f t="shared" si="41"/>
        <v>120</v>
      </c>
      <c r="S105" s="32">
        <f t="shared" si="42"/>
        <v>105</v>
      </c>
      <c r="T105" s="32" t="str">
        <f>IF($A105="","",IF($C105=0,"Bullpen",IF(OR($C105=7,$C105=1,$C105=5),"Recovery/Easy Catch",IF($C105=6,"Compression/Pulldowns",IF(OR($C105=4,$C105=2),"Long Toss",IF($C105=3,"No Throw",IF($N105=2,"No Throw",IF($N105=6,IF($O105&lt;Reference!$B$104,"No Throw","Recovery/Easy Catch"),IF(OR($N105=0,$N105=4),"Recovery/Easy Catch",IF($N105=1,IF($R105&gt;75,"Long Toss","Recovery/Easy Catch"),IF($N105=3,IF($O105&lt;0.5,IF($S105&gt;75,"Long Toss","Recovery/Easy Catch"),"Compression/Pulldowns"),IF($S105&gt;75,"Long Toss","Recovery/Easy Catch"))))))))))))</f>
        <v/>
      </c>
      <c r="U105" s="32" t="str">
        <f t="shared" si="43"/>
        <v/>
      </c>
      <c r="V105" s="32" t="str">
        <f t="shared" si="44"/>
        <v/>
      </c>
      <c r="W105" s="32" t="str">
        <f t="shared" si="45"/>
        <v/>
      </c>
      <c r="X105" s="32">
        <f t="shared" si="46"/>
        <v>0</v>
      </c>
      <c r="Y105" s="32" t="str">
        <f t="shared" si="47"/>
        <v/>
      </c>
      <c r="Z105" s="32" t="str">
        <f t="shared" si="48"/>
        <v/>
      </c>
      <c r="AA105" s="32" t="str">
        <f t="shared" si="49"/>
        <v/>
      </c>
      <c r="AB105" s="32" t="str">
        <f>IF($A105="","",IF($T105="No Throw",0,IF($K105&lt;&gt;"",$K105,IF($AA105&lt;&gt;"",ROUND($AA105*$D$12*IF($C105=0,1,$G$10),0),MIN(IF($T105="Recovery/Easy Catch",Reference!$B$103,IF($T105="Long Toss",Reference!$B$106,Reference!$B$102)),MAX(Reference!$B$101,ROUND(MAX(0,$Q105-$AE105)/$AF105,0)))))))</f>
        <v/>
      </c>
      <c r="AC105" s="32">
        <f t="shared" si="50"/>
        <v>0</v>
      </c>
      <c r="AD105" s="32" t="b">
        <f t="shared" si="51"/>
        <v>1</v>
      </c>
      <c r="AE105" s="32">
        <f>IF($X105=0,0,$X105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105+$Z105)/2,0),Reference!$A$17:$B$20,2,TRUE()))</f>
        <v>0</v>
      </c>
      <c r="AF105" s="32">
        <f>IF(OR($A105="",$U105="",$T105="No Throw"),0,$AM105*VLOOKUP(MAX(($V105+$W105)/2,0),Reference!$A$17:$B$20,2,TRUE()))</f>
        <v>0</v>
      </c>
      <c r="AG105" s="32">
        <f>IF($AC105=0,0,$AC105*INDEX(Reference!$B$61:$B$62,MATCH("Bullpen",Reference!$A$61:$A$62,0))*VLOOKUP(MAX($D$5-($D$9+$E$9)/2,0),Reference!$A$17:$B$20,2,TRUE()))</f>
        <v>0</v>
      </c>
      <c r="AH105" s="32" t="e">
        <f t="shared" si="52"/>
        <v>#N/A</v>
      </c>
      <c r="AI105" s="32" t="e">
        <f>IF($A105="",NA(),Reference!$A$25)</f>
        <v>#N/A</v>
      </c>
      <c r="AJ105" s="32" t="e">
        <f t="shared" si="53"/>
        <v>#N/A</v>
      </c>
      <c r="AK105" s="32">
        <f>IF(OR($A105="",N($C105)&lt;=7,$T105="No Throw",$J105="x"),0,INDEX(Reference!$B$108:$B$114,$N105+1))</f>
        <v>0</v>
      </c>
      <c r="AL105" s="32">
        <f t="shared" si="54"/>
        <v>1</v>
      </c>
      <c r="AM105" s="32">
        <f>IF($U105="",0,IF($AL105&gt;1,((IF(1&lt;=$AL105,($AL105-1+3)*(INDEX(Reference!$B$6:$B$11,MIN(5,MATCH(MAX(Reference!$A$6,MIN(Reference!$A$11,MIN($U105,90))),Reference!$A$6:$A$11,1)))+(MAX(Reference!$A$6,MIN(Reference!$A$11,MIN($U105,90)))-INDEX(Reference!$A$6:$A$11,MIN(5,MATCH(MAX(Reference!$A$6,MIN(Reference!$A$11,MIN($U105,90))),Reference!$A$6:$A$11,1))))*(INDEX(Reference!$B$6:$B$11,MIN(5,MATCH(MAX(Reference!$A$6,MIN(Reference!$A$11,MIN($U105,90))),Reference!$A$6:$A$11,1))+1)-INDEX(Reference!$B$6:$B$11,MIN(5,MATCH(MAX(Reference!$A$6,MIN(Reference!$A$11,MIN($U105,90))),Reference!$A$6:$A$11,1))))/(INDEX(Reference!$A$6:$A$11,MIN(5,MATCH(MAX(Reference!$A$6,MIN(Reference!$A$11,MIN($U105,90))),Reference!$A$6:$A$11,1))+1)-INDEX(Reference!$A$6:$A$11,MIN(5,MATCH(MAX(Reference!$A$6,MIN(Reference!$A$11,MIN($U105,90))),Reference!$A$6:$A$11,1))))),0)+IF(2&lt;=$AL105,($AL105-2+3)*(INDEX(Reference!$B$6:$B$11,MIN(5,MATCH(MAX(Reference!$A$6,MIN(Reference!$A$11,MIN($U105,120))),Reference!$A$6:$A$11,1)))+(MAX(Reference!$A$6,MIN(Reference!$A$11,MIN($U105,120)))-INDEX(Reference!$A$6:$A$11,MIN(5,MATCH(MAX(Reference!$A$6,MIN(Reference!$A$11,MIN($U105,120))),Reference!$A$6:$A$11,1))))*(INDEX(Reference!$B$6:$B$11,MIN(5,MATCH(MAX(Reference!$A$6,MIN(Reference!$A$11,MIN($U105,120))),Reference!$A$6:$A$11,1))+1)-INDEX(Reference!$B$6:$B$11,MIN(5,MATCH(MAX(Reference!$A$6,MIN(Reference!$A$11,MIN($U105,120))),Reference!$A$6:$A$11,1))))/(INDEX(Reference!$A$6:$A$11,MIN(5,MATCH(MAX(Reference!$A$6,MIN(Reference!$A$11,MIN($U105,120))),Reference!$A$6:$A$11,1))+1)-INDEX(Reference!$A$6:$A$11,MIN(5,MATCH(MAX(Reference!$A$6,MIN(Reference!$A$11,MIN($U105,120))),Reference!$A$6:$A$11,1))))),0)+IF(3&lt;=$AL105,($AL105-3+3)*(INDEX(Reference!$B$6:$B$11,MIN(5,MATCH(MAX(Reference!$A$6,MIN(Reference!$A$11,MIN($U105,150))),Reference!$A$6:$A$11,1)))+(MAX(Reference!$A$6,MIN(Reference!$A$11,MIN($U105,150)))-INDEX(Reference!$A$6:$A$11,MIN(5,MATCH(MAX(Reference!$A$6,MIN(Reference!$A$11,MIN($U105,150))),Reference!$A$6:$A$11,1))))*(INDEX(Reference!$B$6:$B$11,MIN(5,MATCH(MAX(Reference!$A$6,MIN(Reference!$A$11,MIN($U105,150))),Reference!$A$6:$A$11,1))+1)-INDEX(Reference!$B$6:$B$11,MIN(5,MATCH(MAX(Reference!$A$6,MIN(Reference!$A$11,MIN($U105,150))),Reference!$A$6:$A$11,1))))/(INDEX(Reference!$A$6:$A$11,MIN(5,MATCH(MAX(Reference!$A$6,MIN(Reference!$A$11,MIN($U105,150))),Reference!$A$6:$A$11,1))+1)-INDEX(Reference!$A$6:$A$11,MIN(5,MATCH(MAX(Reference!$A$6,MIN(Reference!$A$11,MIN($U105,150))),Reference!$A$6:$A$11,1))))),0)+IF(4&lt;=$AL105,($AL105-4+3)*(INDEX(Reference!$B$6:$B$11,MIN(5,MATCH(MAX(Reference!$A$6,MIN(Reference!$A$11,MIN($U105,180))),Reference!$A$6:$A$11,1)))+(MAX(Reference!$A$6,MIN(Reference!$A$11,MIN($U105,180)))-INDEX(Reference!$A$6:$A$11,MIN(5,MATCH(MAX(Reference!$A$6,MIN(Reference!$A$11,MIN($U105,180))),Reference!$A$6:$A$11,1))))*(INDEX(Reference!$B$6:$B$11,MIN(5,MATCH(MAX(Reference!$A$6,MIN(Reference!$A$11,MIN($U105,180))),Reference!$A$6:$A$11,1))+1)-INDEX(Reference!$B$6:$B$11,MIN(5,MATCH(MAX(Reference!$A$6,MIN(Reference!$A$11,MIN($U105,180))),Reference!$A$6:$A$11,1))))/(INDEX(Reference!$A$6:$A$11,MIN(5,MATCH(MAX(Reference!$A$6,MIN(Reference!$A$11,MIN($U105,180))),Reference!$A$6:$A$11,1))+1)-INDEX(Reference!$A$6:$A$11,MIN(5,MATCH(MAX(Reference!$A$6,MIN(Reference!$A$11,MIN($U105,180))),Reference!$A$6:$A$11,1))))),0)+IF(5&lt;=$AL105,($AL105-5+3)*(INDEX(Reference!$B$6:$B$11,MIN(5,MATCH(MAX(Reference!$A$6,MIN(Reference!$A$11,MIN($U105,210))),Reference!$A$6:$A$11,1)))+(MAX(Reference!$A$6,MIN(Reference!$A$11,MIN($U105,210)))-INDEX(Reference!$A$6:$A$11,MIN(5,MATCH(MAX(Reference!$A$6,MIN(Reference!$A$11,MIN($U105,210))),Reference!$A$6:$A$11,1))))*(INDEX(Reference!$B$6:$B$11,MIN(5,MATCH(MAX(Reference!$A$6,MIN(Reference!$A$11,MIN($U105,210))),Reference!$A$6:$A$11,1))+1)-INDEX(Reference!$B$6:$B$11,MIN(5,MATCH(MAX(Reference!$A$6,MIN(Reference!$A$11,MIN($U105,210))),Reference!$A$6:$A$11,1))))/(INDEX(Reference!$A$6:$A$11,MIN(5,MATCH(MAX(Reference!$A$6,MIN(Reference!$A$11,MIN($U105,210))),Reference!$A$6:$A$11,1))+1)-INDEX(Reference!$A$6:$A$11,MIN(5,MATCH(MAX(Reference!$A$6,MIN(Reference!$A$11,MIN($U105,210))),Reference!$A$6:$A$11,1))))),0)+IF(6&lt;=$AL105,($AL105-6+3)*(INDEX(Reference!$B$6:$B$11,MIN(5,MATCH(MAX(Reference!$A$6,MIN(Reference!$A$11,MIN($U105,240))),Reference!$A$6:$A$11,1)))+(MAX(Reference!$A$6,MIN(Reference!$A$11,MIN($U105,240)))-INDEX(Reference!$A$6:$A$11,MIN(5,MATCH(MAX(Reference!$A$6,MIN(Reference!$A$11,MIN($U105,240))),Reference!$A$6:$A$11,1))))*(INDEX(Reference!$B$6:$B$11,MIN(5,MATCH(MAX(Reference!$A$6,MIN(Reference!$A$11,MIN($U105,240))),Reference!$A$6:$A$11,1))+1)-INDEX(Reference!$B$6:$B$11,MIN(5,MATCH(MAX(Reference!$A$6,MIN(Reference!$A$11,MIN($U105,240))),Reference!$A$6:$A$11,1))))/(INDEX(Reference!$A$6:$A$11,MIN(5,MATCH(MAX(Reference!$A$6,MIN(Reference!$A$11,MIN($U105,240))),Reference!$A$6:$A$11,1))+1)-INDEX(Reference!$A$6:$A$11,MIN(5,MATCH(MAX(Reference!$A$6,MIN(Reference!$A$11,MIN($U105,240))),Reference!$A$6:$A$11,1))))),0)+IF(7&lt;=$AL105,($AL105-7+3)*(INDEX(Reference!$B$6:$B$11,MIN(5,MATCH(MAX(Reference!$A$6,MIN(Reference!$A$11,MIN($U105,270))),Reference!$A$6:$A$11,1)))+(MAX(Reference!$A$6,MIN(Reference!$A$11,MIN($U105,270)))-INDEX(Reference!$A$6:$A$11,MIN(5,MATCH(MAX(Reference!$A$6,MIN(Reference!$A$11,MIN($U105,270))),Reference!$A$6:$A$11,1))))*(INDEX(Reference!$B$6:$B$11,MIN(5,MATCH(MAX(Reference!$A$6,MIN(Reference!$A$11,MIN($U105,270))),Reference!$A$6:$A$11,1))+1)-INDEX(Reference!$B$6:$B$11,MIN(5,MATCH(MAX(Reference!$A$6,MIN(Reference!$A$11,MIN($U105,270))),Reference!$A$6:$A$11,1))))/(INDEX(Reference!$A$6:$A$11,MIN(5,MATCH(MAX(Reference!$A$6,MIN(Reference!$A$11,MIN($U105,270))),Reference!$A$6:$A$11,1))+1)-INDEX(Reference!$A$6:$A$11,MIN(5,MATCH(MAX(Reference!$A$6,MIN(Reference!$A$11,MIN($U105,270))),Reference!$A$6:$A$11,1))))),0)+IF(8&lt;=$AL105,($AL105-8+3)*(INDEX(Reference!$B$6:$B$11,MIN(5,MATCH(MAX(Reference!$A$6,MIN(Reference!$A$11,MIN($U105,300))),Reference!$A$6:$A$11,1)))+(MAX(Reference!$A$6,MIN(Reference!$A$11,MIN($U105,300)))-INDEX(Reference!$A$6:$A$11,MIN(5,MATCH(MAX(Reference!$A$6,MIN(Reference!$A$11,MIN($U105,300))),Reference!$A$6:$A$11,1))))*(INDEX(Reference!$B$6:$B$11,MIN(5,MATCH(MAX(Reference!$A$6,MIN(Reference!$A$11,MIN($U105,300))),Reference!$A$6:$A$11,1))+1)-INDEX(Reference!$B$6:$B$11,MIN(5,MATCH(MAX(Reference!$A$6,MIN(Reference!$A$11,MIN($U105,300))),Reference!$A$6:$A$11,1))))/(INDEX(Reference!$A$6:$A$11,MIN(5,MATCH(MAX(Reference!$A$6,MIN(Reference!$A$11,MIN($U105,300))),Reference!$A$6:$A$11,1))+1)-INDEX(Reference!$A$6:$A$11,MIN(5,MATCH(MAX(Reference!$A$6,MIN(Reference!$A$11,MIN($U105,300))),Reference!$A$6:$A$11,1))))),0))/($AL105*($AL105+5)/2)),$AN105))</f>
        <v>0</v>
      </c>
      <c r="AN105" s="32">
        <f>IF($U105="",0,(INDEX(Reference!$B$6:$B$11,MIN(5,MATCH(MAX(Reference!$A$6,MIN(Reference!$A$11,$U105)),Reference!$A$6:$A$11,1)))+(MAX(Reference!$A$6,MIN(Reference!$A$11,$U105))-INDEX(Reference!$A$6:$A$11,MIN(5,MATCH(MAX(Reference!$A$6,MIN(Reference!$A$11,$U105)),Reference!$A$6:$A$11,1))))*(INDEX(Reference!$B$6:$B$11,MIN(5,MATCH(MAX(Reference!$A$6,MIN(Reference!$A$11,$U105)),Reference!$A$6:$A$11,1))+1)-INDEX(Reference!$B$6:$B$11,MIN(5,MATCH(MAX(Reference!$A$6,MIN(Reference!$A$11,$U105)),Reference!$A$6:$A$11,1))))/(INDEX(Reference!$A$6:$A$11,MIN(5,MATCH(MAX(Reference!$A$6,MIN(Reference!$A$11,$U105)),Reference!$A$6:$A$11,1))+1)-INDEX(Reference!$A$6:$A$11,MIN(5,MATCH(MAX(Reference!$A$6,MIN(Reference!$A$11,$U105)),Reference!$A$6:$A$11,1))))))</f>
        <v>0</v>
      </c>
      <c r="AO105" s="37"/>
      <c r="AP105" s="37"/>
      <c r="AQ105" s="37"/>
    </row>
    <row r="106" spans="1:43" x14ac:dyDescent="0.3">
      <c r="A106" s="48" t="str">
        <f t="shared" si="30"/>
        <v/>
      </c>
      <c r="B106" s="32" t="str">
        <f t="shared" si="31"/>
        <v/>
      </c>
      <c r="C106" s="32" t="str">
        <f t="shared" si="32"/>
        <v/>
      </c>
      <c r="D106" s="32" t="str">
        <f t="shared" si="33"/>
        <v/>
      </c>
      <c r="E106" s="32" t="str">
        <f t="shared" si="34"/>
        <v/>
      </c>
      <c r="F106" s="32" t="str">
        <f t="shared" si="35"/>
        <v/>
      </c>
      <c r="G106" s="47" t="str">
        <f t="shared" si="36"/>
        <v/>
      </c>
      <c r="H106" s="30" t="str">
        <f t="shared" si="37"/>
        <v/>
      </c>
      <c r="I106" s="46" t="str">
        <f>IF($A106="","",IF(AND($L106&lt;27,$K$12=0),"Building",IFERROR(((SUM($H$100:$H106)+$K$12*IF($L106&lt;6,SUMIFS('Throw Log'!$Q$5:$Q$300,'Throw Log'!$B$5:$B$300,$D$4,'Throw Log'!$A$5:$A$300,"&gt;="&amp;($D$6+$L106-6),'Throw Log'!$A$5:$A$300,"&lt;="&amp;($D$6-1)),0))/7)/((SUM($H$79:$H106)+$K$12*IF($L106&lt;27,SUMIFS('Throw Log'!$Q$5:$Q$300,'Throw Log'!$B$5:$B$300,$D$4,'Throw Log'!$A$5:$A$300,"&gt;="&amp;($D$6+$L106-27),'Throw Log'!$A$5:$A$300,"&lt;="&amp;($D$6-1)),0))/28),"")))</f>
        <v/>
      </c>
      <c r="J106" s="37"/>
      <c r="K106" s="37"/>
      <c r="L106" s="32">
        <v>63</v>
      </c>
      <c r="M106" s="32">
        <f t="shared" si="38"/>
        <v>10</v>
      </c>
      <c r="N106" s="32">
        <f t="shared" si="39"/>
        <v>0</v>
      </c>
      <c r="O106" s="32">
        <f t="shared" si="40"/>
        <v>1</v>
      </c>
      <c r="P106" s="32" t="str">
        <f>IF(OR($A106="",N($C106)&lt;=7),"",$G$6*$G$9^($M106-1)*IF(AND(MOD($M106,Reference!$B$99)=0,$M106&lt;=$G$5-2),Reference!$B$100,1))</f>
        <v/>
      </c>
      <c r="Q106" s="32" t="str">
        <f>IF($P106="","",IF(SUM($AK$106:$AK$112)=0,0,$P106*INDEX(Reference!$B$108:$B$114,$N106+1)/SUM($AK$106:$AK$112)))</f>
        <v/>
      </c>
      <c r="R106" s="32">
        <f t="shared" si="41"/>
        <v>120</v>
      </c>
      <c r="S106" s="32">
        <f t="shared" si="42"/>
        <v>105</v>
      </c>
      <c r="T106" s="32" t="str">
        <f>IF($A106="","",IF($C106=0,"Bullpen",IF(OR($C106=7,$C106=1,$C106=5),"Recovery/Easy Catch",IF($C106=6,"Compression/Pulldowns",IF(OR($C106=4,$C106=2),"Long Toss",IF($C106=3,"No Throw",IF($N106=2,"No Throw",IF($N106=6,IF($O106&lt;Reference!$B$104,"No Throw","Recovery/Easy Catch"),IF(OR($N106=0,$N106=4),"Recovery/Easy Catch",IF($N106=1,IF($R106&gt;75,"Long Toss","Recovery/Easy Catch"),IF($N106=3,IF($O106&lt;0.5,IF($S106&gt;75,"Long Toss","Recovery/Easy Catch"),"Compression/Pulldowns"),IF($S106&gt;75,"Long Toss","Recovery/Easy Catch"))))))))))))</f>
        <v/>
      </c>
      <c r="U106" s="32" t="str">
        <f t="shared" si="43"/>
        <v/>
      </c>
      <c r="V106" s="32" t="str">
        <f t="shared" si="44"/>
        <v/>
      </c>
      <c r="W106" s="32" t="str">
        <f t="shared" si="45"/>
        <v/>
      </c>
      <c r="X106" s="32">
        <f t="shared" si="46"/>
        <v>0</v>
      </c>
      <c r="Y106" s="32" t="str">
        <f t="shared" si="47"/>
        <v/>
      </c>
      <c r="Z106" s="32" t="str">
        <f t="shared" si="48"/>
        <v/>
      </c>
      <c r="AA106" s="32" t="str">
        <f t="shared" si="49"/>
        <v/>
      </c>
      <c r="AB106" s="32" t="str">
        <f>IF($A106="","",IF($T106="No Throw",0,IF($K106&lt;&gt;"",$K106,IF($AA106&lt;&gt;"",ROUND($AA106*$D$12*IF($C106=0,1,$G$10),0),MIN(IF($T106="Recovery/Easy Catch",Reference!$B$103,IF($T106="Long Toss",Reference!$B$106,Reference!$B$102)),MAX(Reference!$B$101,ROUND(MAX(0,$Q106-$AE106)/$AF106,0)))))))</f>
        <v/>
      </c>
      <c r="AC106" s="32">
        <f t="shared" si="50"/>
        <v>0</v>
      </c>
      <c r="AD106" s="32" t="b">
        <f t="shared" si="51"/>
        <v>1</v>
      </c>
      <c r="AE106" s="32">
        <f>IF($X106=0,0,$X106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106+$Z106)/2,0),Reference!$A$17:$B$20,2,TRUE()))</f>
        <v>0</v>
      </c>
      <c r="AF106" s="32">
        <f>IF(OR($A106="",$U106="",$T106="No Throw"),0,$AM106*VLOOKUP(MAX(($V106+$W106)/2,0),Reference!$A$17:$B$20,2,TRUE()))</f>
        <v>0</v>
      </c>
      <c r="AG106" s="32">
        <f>IF($AC106=0,0,$AC106*INDEX(Reference!$B$61:$B$62,MATCH("Bullpen",Reference!$A$61:$A$62,0))*VLOOKUP(MAX($D$5-($D$9+$E$9)/2,0),Reference!$A$17:$B$20,2,TRUE()))</f>
        <v>0</v>
      </c>
      <c r="AH106" s="32" t="e">
        <f t="shared" si="52"/>
        <v>#N/A</v>
      </c>
      <c r="AI106" s="32" t="e">
        <f>IF($A106="",NA(),Reference!$A$25)</f>
        <v>#N/A</v>
      </c>
      <c r="AJ106" s="32" t="e">
        <f t="shared" si="53"/>
        <v>#N/A</v>
      </c>
      <c r="AK106" s="32">
        <f>IF(OR($A106="",N($C106)&lt;=7,$T106="No Throw",$J106="x"),0,INDEX(Reference!$B$108:$B$114,$N106+1))</f>
        <v>0</v>
      </c>
      <c r="AL106" s="32">
        <f t="shared" si="54"/>
        <v>1</v>
      </c>
      <c r="AM106" s="32">
        <f>IF($U106="",0,IF($AL106&gt;1,((IF(1&lt;=$AL106,($AL106-1+3)*(INDEX(Reference!$B$6:$B$11,MIN(5,MATCH(MAX(Reference!$A$6,MIN(Reference!$A$11,MIN($U106,90))),Reference!$A$6:$A$11,1)))+(MAX(Reference!$A$6,MIN(Reference!$A$11,MIN($U106,90)))-INDEX(Reference!$A$6:$A$11,MIN(5,MATCH(MAX(Reference!$A$6,MIN(Reference!$A$11,MIN($U106,90))),Reference!$A$6:$A$11,1))))*(INDEX(Reference!$B$6:$B$11,MIN(5,MATCH(MAX(Reference!$A$6,MIN(Reference!$A$11,MIN($U106,90))),Reference!$A$6:$A$11,1))+1)-INDEX(Reference!$B$6:$B$11,MIN(5,MATCH(MAX(Reference!$A$6,MIN(Reference!$A$11,MIN($U106,90))),Reference!$A$6:$A$11,1))))/(INDEX(Reference!$A$6:$A$11,MIN(5,MATCH(MAX(Reference!$A$6,MIN(Reference!$A$11,MIN($U106,90))),Reference!$A$6:$A$11,1))+1)-INDEX(Reference!$A$6:$A$11,MIN(5,MATCH(MAX(Reference!$A$6,MIN(Reference!$A$11,MIN($U106,90))),Reference!$A$6:$A$11,1))))),0)+IF(2&lt;=$AL106,($AL106-2+3)*(INDEX(Reference!$B$6:$B$11,MIN(5,MATCH(MAX(Reference!$A$6,MIN(Reference!$A$11,MIN($U106,120))),Reference!$A$6:$A$11,1)))+(MAX(Reference!$A$6,MIN(Reference!$A$11,MIN($U106,120)))-INDEX(Reference!$A$6:$A$11,MIN(5,MATCH(MAX(Reference!$A$6,MIN(Reference!$A$11,MIN($U106,120))),Reference!$A$6:$A$11,1))))*(INDEX(Reference!$B$6:$B$11,MIN(5,MATCH(MAX(Reference!$A$6,MIN(Reference!$A$11,MIN($U106,120))),Reference!$A$6:$A$11,1))+1)-INDEX(Reference!$B$6:$B$11,MIN(5,MATCH(MAX(Reference!$A$6,MIN(Reference!$A$11,MIN($U106,120))),Reference!$A$6:$A$11,1))))/(INDEX(Reference!$A$6:$A$11,MIN(5,MATCH(MAX(Reference!$A$6,MIN(Reference!$A$11,MIN($U106,120))),Reference!$A$6:$A$11,1))+1)-INDEX(Reference!$A$6:$A$11,MIN(5,MATCH(MAX(Reference!$A$6,MIN(Reference!$A$11,MIN($U106,120))),Reference!$A$6:$A$11,1))))),0)+IF(3&lt;=$AL106,($AL106-3+3)*(INDEX(Reference!$B$6:$B$11,MIN(5,MATCH(MAX(Reference!$A$6,MIN(Reference!$A$11,MIN($U106,150))),Reference!$A$6:$A$11,1)))+(MAX(Reference!$A$6,MIN(Reference!$A$11,MIN($U106,150)))-INDEX(Reference!$A$6:$A$11,MIN(5,MATCH(MAX(Reference!$A$6,MIN(Reference!$A$11,MIN($U106,150))),Reference!$A$6:$A$11,1))))*(INDEX(Reference!$B$6:$B$11,MIN(5,MATCH(MAX(Reference!$A$6,MIN(Reference!$A$11,MIN($U106,150))),Reference!$A$6:$A$11,1))+1)-INDEX(Reference!$B$6:$B$11,MIN(5,MATCH(MAX(Reference!$A$6,MIN(Reference!$A$11,MIN($U106,150))),Reference!$A$6:$A$11,1))))/(INDEX(Reference!$A$6:$A$11,MIN(5,MATCH(MAX(Reference!$A$6,MIN(Reference!$A$11,MIN($U106,150))),Reference!$A$6:$A$11,1))+1)-INDEX(Reference!$A$6:$A$11,MIN(5,MATCH(MAX(Reference!$A$6,MIN(Reference!$A$11,MIN($U106,150))),Reference!$A$6:$A$11,1))))),0)+IF(4&lt;=$AL106,($AL106-4+3)*(INDEX(Reference!$B$6:$B$11,MIN(5,MATCH(MAX(Reference!$A$6,MIN(Reference!$A$11,MIN($U106,180))),Reference!$A$6:$A$11,1)))+(MAX(Reference!$A$6,MIN(Reference!$A$11,MIN($U106,180)))-INDEX(Reference!$A$6:$A$11,MIN(5,MATCH(MAX(Reference!$A$6,MIN(Reference!$A$11,MIN($U106,180))),Reference!$A$6:$A$11,1))))*(INDEX(Reference!$B$6:$B$11,MIN(5,MATCH(MAX(Reference!$A$6,MIN(Reference!$A$11,MIN($U106,180))),Reference!$A$6:$A$11,1))+1)-INDEX(Reference!$B$6:$B$11,MIN(5,MATCH(MAX(Reference!$A$6,MIN(Reference!$A$11,MIN($U106,180))),Reference!$A$6:$A$11,1))))/(INDEX(Reference!$A$6:$A$11,MIN(5,MATCH(MAX(Reference!$A$6,MIN(Reference!$A$11,MIN($U106,180))),Reference!$A$6:$A$11,1))+1)-INDEX(Reference!$A$6:$A$11,MIN(5,MATCH(MAX(Reference!$A$6,MIN(Reference!$A$11,MIN($U106,180))),Reference!$A$6:$A$11,1))))),0)+IF(5&lt;=$AL106,($AL106-5+3)*(INDEX(Reference!$B$6:$B$11,MIN(5,MATCH(MAX(Reference!$A$6,MIN(Reference!$A$11,MIN($U106,210))),Reference!$A$6:$A$11,1)))+(MAX(Reference!$A$6,MIN(Reference!$A$11,MIN($U106,210)))-INDEX(Reference!$A$6:$A$11,MIN(5,MATCH(MAX(Reference!$A$6,MIN(Reference!$A$11,MIN($U106,210))),Reference!$A$6:$A$11,1))))*(INDEX(Reference!$B$6:$B$11,MIN(5,MATCH(MAX(Reference!$A$6,MIN(Reference!$A$11,MIN($U106,210))),Reference!$A$6:$A$11,1))+1)-INDEX(Reference!$B$6:$B$11,MIN(5,MATCH(MAX(Reference!$A$6,MIN(Reference!$A$11,MIN($U106,210))),Reference!$A$6:$A$11,1))))/(INDEX(Reference!$A$6:$A$11,MIN(5,MATCH(MAX(Reference!$A$6,MIN(Reference!$A$11,MIN($U106,210))),Reference!$A$6:$A$11,1))+1)-INDEX(Reference!$A$6:$A$11,MIN(5,MATCH(MAX(Reference!$A$6,MIN(Reference!$A$11,MIN($U106,210))),Reference!$A$6:$A$11,1))))),0)+IF(6&lt;=$AL106,($AL106-6+3)*(INDEX(Reference!$B$6:$B$11,MIN(5,MATCH(MAX(Reference!$A$6,MIN(Reference!$A$11,MIN($U106,240))),Reference!$A$6:$A$11,1)))+(MAX(Reference!$A$6,MIN(Reference!$A$11,MIN($U106,240)))-INDEX(Reference!$A$6:$A$11,MIN(5,MATCH(MAX(Reference!$A$6,MIN(Reference!$A$11,MIN($U106,240))),Reference!$A$6:$A$11,1))))*(INDEX(Reference!$B$6:$B$11,MIN(5,MATCH(MAX(Reference!$A$6,MIN(Reference!$A$11,MIN($U106,240))),Reference!$A$6:$A$11,1))+1)-INDEX(Reference!$B$6:$B$11,MIN(5,MATCH(MAX(Reference!$A$6,MIN(Reference!$A$11,MIN($U106,240))),Reference!$A$6:$A$11,1))))/(INDEX(Reference!$A$6:$A$11,MIN(5,MATCH(MAX(Reference!$A$6,MIN(Reference!$A$11,MIN($U106,240))),Reference!$A$6:$A$11,1))+1)-INDEX(Reference!$A$6:$A$11,MIN(5,MATCH(MAX(Reference!$A$6,MIN(Reference!$A$11,MIN($U106,240))),Reference!$A$6:$A$11,1))))),0)+IF(7&lt;=$AL106,($AL106-7+3)*(INDEX(Reference!$B$6:$B$11,MIN(5,MATCH(MAX(Reference!$A$6,MIN(Reference!$A$11,MIN($U106,270))),Reference!$A$6:$A$11,1)))+(MAX(Reference!$A$6,MIN(Reference!$A$11,MIN($U106,270)))-INDEX(Reference!$A$6:$A$11,MIN(5,MATCH(MAX(Reference!$A$6,MIN(Reference!$A$11,MIN($U106,270))),Reference!$A$6:$A$11,1))))*(INDEX(Reference!$B$6:$B$11,MIN(5,MATCH(MAX(Reference!$A$6,MIN(Reference!$A$11,MIN($U106,270))),Reference!$A$6:$A$11,1))+1)-INDEX(Reference!$B$6:$B$11,MIN(5,MATCH(MAX(Reference!$A$6,MIN(Reference!$A$11,MIN($U106,270))),Reference!$A$6:$A$11,1))))/(INDEX(Reference!$A$6:$A$11,MIN(5,MATCH(MAX(Reference!$A$6,MIN(Reference!$A$11,MIN($U106,270))),Reference!$A$6:$A$11,1))+1)-INDEX(Reference!$A$6:$A$11,MIN(5,MATCH(MAX(Reference!$A$6,MIN(Reference!$A$11,MIN($U106,270))),Reference!$A$6:$A$11,1))))),0)+IF(8&lt;=$AL106,($AL106-8+3)*(INDEX(Reference!$B$6:$B$11,MIN(5,MATCH(MAX(Reference!$A$6,MIN(Reference!$A$11,MIN($U106,300))),Reference!$A$6:$A$11,1)))+(MAX(Reference!$A$6,MIN(Reference!$A$11,MIN($U106,300)))-INDEX(Reference!$A$6:$A$11,MIN(5,MATCH(MAX(Reference!$A$6,MIN(Reference!$A$11,MIN($U106,300))),Reference!$A$6:$A$11,1))))*(INDEX(Reference!$B$6:$B$11,MIN(5,MATCH(MAX(Reference!$A$6,MIN(Reference!$A$11,MIN($U106,300))),Reference!$A$6:$A$11,1))+1)-INDEX(Reference!$B$6:$B$11,MIN(5,MATCH(MAX(Reference!$A$6,MIN(Reference!$A$11,MIN($U106,300))),Reference!$A$6:$A$11,1))))/(INDEX(Reference!$A$6:$A$11,MIN(5,MATCH(MAX(Reference!$A$6,MIN(Reference!$A$11,MIN($U106,300))),Reference!$A$6:$A$11,1))+1)-INDEX(Reference!$A$6:$A$11,MIN(5,MATCH(MAX(Reference!$A$6,MIN(Reference!$A$11,MIN($U106,300))),Reference!$A$6:$A$11,1))))),0))/($AL106*($AL106+5)/2)),$AN106))</f>
        <v>0</v>
      </c>
      <c r="AN106" s="32">
        <f>IF($U106="",0,(INDEX(Reference!$B$6:$B$11,MIN(5,MATCH(MAX(Reference!$A$6,MIN(Reference!$A$11,$U106)),Reference!$A$6:$A$11,1)))+(MAX(Reference!$A$6,MIN(Reference!$A$11,$U106))-INDEX(Reference!$A$6:$A$11,MIN(5,MATCH(MAX(Reference!$A$6,MIN(Reference!$A$11,$U106)),Reference!$A$6:$A$11,1))))*(INDEX(Reference!$B$6:$B$11,MIN(5,MATCH(MAX(Reference!$A$6,MIN(Reference!$A$11,$U106)),Reference!$A$6:$A$11,1))+1)-INDEX(Reference!$B$6:$B$11,MIN(5,MATCH(MAX(Reference!$A$6,MIN(Reference!$A$11,$U106)),Reference!$A$6:$A$11,1))))/(INDEX(Reference!$A$6:$A$11,MIN(5,MATCH(MAX(Reference!$A$6,MIN(Reference!$A$11,$U106)),Reference!$A$6:$A$11,1))+1)-INDEX(Reference!$A$6:$A$11,MIN(5,MATCH(MAX(Reference!$A$6,MIN(Reference!$A$11,$U106)),Reference!$A$6:$A$11,1))))))</f>
        <v>0</v>
      </c>
      <c r="AO106" s="37"/>
      <c r="AP106" s="37"/>
      <c r="AQ106" s="37"/>
    </row>
    <row r="107" spans="1:43" x14ac:dyDescent="0.3">
      <c r="A107" s="48" t="str">
        <f t="shared" ref="A107:A138" si="55">IFERROR(IF($L107&gt;$G$4,"",$D$6+$L107),"")</f>
        <v/>
      </c>
      <c r="B107" s="32" t="str">
        <f t="shared" ref="B107:B138" si="56">IF($A107="","",TEXT($A107,"ddd"))</f>
        <v/>
      </c>
      <c r="C107" s="32" t="str">
        <f t="shared" ref="C107:C138" si="57">IF($A107="","",$G$4-$L107)</f>
        <v/>
      </c>
      <c r="D107" s="32" t="str">
        <f t="shared" ref="D107:D138" si="58">IF($A107="","",IF($C107=0,"First Bullpen",IF($C107&lt;=7,"Taper",IF($O107&lt;0.2,"Re-entry",IF($O107&lt;0.45,"Base",IF($O107&lt;0.65,"Extension","Flat Ground / Intent"))))))</f>
        <v/>
      </c>
      <c r="E107" s="32" t="str">
        <f t="shared" ref="E107:E138" si="59">IF($A107="","",IF($AD107,"No Throw",IF($C107=0,"High Bullpen",IF($C107=6,"High Non-Bullpen",IF(OR($C107=4,$C107=2),"Medium",IF($T107="Recovery/Easy Catch","Low",IF($N107=1,IF($O107&lt;0.4,"Low",IF($O107&lt;0.7,"Medium","High Non-Bullpen")),IF($N107=3,IF($O107&lt;0.5,"Medium","High Non-Bullpen"),IF($O107&lt;0.62,"Medium","High Non-Bullpen")))))))))</f>
        <v/>
      </c>
      <c r="F107" s="32" t="str">
        <f t="shared" ref="F107:F138" si="60">IF($A107="","",IF($AD107,"No Throw",$T107))</f>
        <v/>
      </c>
      <c r="G107" s="47" t="str">
        <f t="shared" ref="G107:G138" si="61">IF($A107="","",IF($AD107,"Off",IF($AL107&gt;1,"Long toss out to "&amp;$U107&amp;" ft — "&amp;$AB107&amp;" throws ("&amp;IF(1&lt;=$AL107,MIN($U107,90)&amp;"×"&amp;(ROUND($AB107*(1*($AL107+3)-1)/($AL107*($AL107+5)/2),0)-0),"")&amp;IF(2&lt;=$AL107," · "&amp;MIN($U107,120)&amp;"×"&amp;(ROUND($AB107*(2*($AL107+3)-3)/($AL107*($AL107+5)/2),0)-ROUND($AB107*(1*($AL107+3)-1)/($AL107*($AL107+5)/2),0)),"")&amp;IF(3&lt;=$AL107," · "&amp;MIN($U107,150)&amp;"×"&amp;(ROUND($AB107*(3*($AL107+3)-6)/($AL107*($AL107+5)/2),0)-ROUND($AB107*(2*($AL107+3)-3)/($AL107*($AL107+5)/2),0)),"")&amp;IF(4&lt;=$AL107," · "&amp;MIN($U107,180)&amp;"×"&amp;(ROUND($AB107*(4*($AL107+3)-10)/($AL107*($AL107+5)/2),0)-ROUND($AB107*(3*($AL107+3)-6)/($AL107*($AL107+5)/2),0)),"")&amp;IF(5&lt;=$AL107," · "&amp;MIN($U107,210)&amp;"×"&amp;(ROUND($AB107*(5*($AL107+3)-15)/($AL107*($AL107+5)/2),0)-ROUND($AB107*(4*($AL107+3)-10)/($AL107*($AL107+5)/2),0)),"")&amp;IF(6&lt;=$AL107," · "&amp;MIN($U107,240)&amp;"×"&amp;(ROUND($AB107*(6*($AL107+3)-21)/($AL107*($AL107+5)/2),0)-ROUND($AB107*(5*($AL107+3)-15)/($AL107*($AL107+5)/2),0)),"")&amp;IF(7&lt;=$AL107," · "&amp;MIN($U107,270)&amp;"×"&amp;(ROUND($AB107*(7*($AL107+3)-28)/($AL107*($AL107+5)/2),0)-ROUND($AB107*(6*($AL107+3)-21)/($AL107*($AL107+5)/2),0)),"")&amp;IF(8&lt;=$AL107," · "&amp;MIN($U107,300)&amp;"×"&amp;(ROUND($AB107*(8*($AL107+3)-36)/($AL107*($AL107+5)/2),0)-ROUND($AB107*(7*($AL107+3)-28)/($AL107*($AL107+5)/2),0)),"")&amp;")",$U107&amp;" ft × "&amp;$AB107)&amp;" @ "&amp;ROUND($D$5-$W107,0)&amp;"–"&amp;ROUND($D$5-$V107,0)&amp;" mph"&amp;IF($X107&gt;0,IF($Y107&lt;10," + flat ground at 60 ft × "," + 60 ft × ")&amp;$X107&amp;" @ "&amp;ROUND($D$5-$Z107,0)&amp;"–"&amp;ROUND($D$5-$Y107,0)&amp;" mph","")&amp;IF($AC107&gt;0," + MOUND × "&amp;$AC107&amp;" pitches @ "&amp;$D$9&amp;"–"&amp;$E$9&amp;" mph","")))</f>
        <v/>
      </c>
      <c r="H107" s="30" t="str">
        <f t="shared" ref="H107:H138" si="62">IF($A107="","",IF($AD107,0,$AB107*$AF107+$AE107+$AG107))</f>
        <v/>
      </c>
      <c r="I107" s="46" t="str">
        <f>IF($A107="","",IF(AND($L107&lt;27,$K$12=0),"Building",IFERROR(((SUM($H$101:$H107)+$K$12*IF($L107&lt;6,SUMIFS('Throw Log'!$Q$5:$Q$300,'Throw Log'!$B$5:$B$300,$D$4,'Throw Log'!$A$5:$A$300,"&gt;="&amp;($D$6+$L107-6),'Throw Log'!$A$5:$A$300,"&lt;="&amp;($D$6-1)),0))/7)/((SUM($H$80:$H107)+$K$12*IF($L107&lt;27,SUMIFS('Throw Log'!$Q$5:$Q$300,'Throw Log'!$B$5:$B$300,$D$4,'Throw Log'!$A$5:$A$300,"&gt;="&amp;($D$6+$L107-27),'Throw Log'!$A$5:$A$300,"&lt;="&amp;($D$6-1)),0))/28),"")))</f>
        <v/>
      </c>
      <c r="J107" s="37"/>
      <c r="K107" s="37"/>
      <c r="L107" s="32">
        <v>64</v>
      </c>
      <c r="M107" s="32">
        <f t="shared" ref="M107:M138" si="63">INT($L107/7)+1</f>
        <v>10</v>
      </c>
      <c r="N107" s="32">
        <f t="shared" ref="N107:N138" si="64">MOD($L107,7)</f>
        <v>1</v>
      </c>
      <c r="O107" s="32">
        <f t="shared" ref="O107:O138" si="65">MIN(1,$G$7+(1-$G$7)*$L107/MAX(1,N($G$4)-8))</f>
        <v>1</v>
      </c>
      <c r="P107" s="32" t="str">
        <f>IF(OR($A107="",N($C107)&lt;=7),"",$G$6*$G$9^($M107-1)*IF(AND(MOD($M107,Reference!$B$99)=0,$M107&lt;=$G$5-2),Reference!$B$100,1))</f>
        <v/>
      </c>
      <c r="Q107" s="32" t="str">
        <f>IF($P107="","",IF(SUM($AK$106:$AK$112)=0,0,$P107*INDEX(Reference!$B$108:$B$114,$N107+1)/SUM($AK$106:$AK$112)))</f>
        <v/>
      </c>
      <c r="R107" s="32">
        <f t="shared" ref="R107:R138" si="66">ROUND((60+($D$11-60)*MIN(1,$O107/0.75))/15,0)*15</f>
        <v>120</v>
      </c>
      <c r="S107" s="32">
        <f t="shared" ref="S107:S138" si="67">ROUND((60+($R107-60)*0.8)/15,0)*15</f>
        <v>105</v>
      </c>
      <c r="T107" s="32" t="str">
        <f>IF($A107="","",IF($C107=0,"Bullpen",IF(OR($C107=7,$C107=1,$C107=5),"Recovery/Easy Catch",IF($C107=6,"Compression/Pulldowns",IF(OR($C107=4,$C107=2),"Long Toss",IF($C107=3,"No Throw",IF($N107=2,"No Throw",IF($N107=6,IF($O107&lt;Reference!$B$104,"No Throw","Recovery/Easy Catch"),IF(OR($N107=0,$N107=4),"Recovery/Easy Catch",IF($N107=1,IF($R107&gt;75,"Long Toss","Recovery/Easy Catch"),IF($N107=3,IF($O107&lt;0.5,IF($S107&gt;75,"Long Toss","Recovery/Easy Catch"),"Compression/Pulldowns"),IF($S107&gt;75,"Long Toss","Recovery/Easy Catch"))))))))))))</f>
        <v/>
      </c>
      <c r="U107" s="32" t="str">
        <f t="shared" ref="U107:U138" si="68">IF($A107="","",IF(N($AO107)&gt;0,$AO107,IF($C107=0,90,IF(OR($C107=7,$C107=1),75,IF($C107=6,90,IF($C107=5,60,IF($C107=4,MIN(150,ROUND(0.75*$D$11/15,0)*15),IF($C107=2,MIN(120,ROUND(0.67*$D$11/15,0)*15),IF($C107=3,"",IF($N107=2,"",IF($N107=6,60,IF($N107=0,IF($O107&lt;0.25,60,75),IF($N107=4,IF($O107&lt;0.5,60,75),IF($N107=1,$R107,IF($N107=3,IF($O107&lt;0.5,$S107,90),$S107)))))))))))))))</f>
        <v/>
      </c>
      <c r="V107" s="32" t="str">
        <f t="shared" ref="V107:V138" si="69">IF($A107="","",IF(N($AQ107)&gt;0,$D$5-$AQ107,IF(N($AP107)&gt;0,$D$5-$AP107,IF($C107=0,10,IF(OR($C107=7,$C107=1),18,IF($C107=6,7,IF($C107=5,20,IF(OR($C107=4,$C107=2),10,IF($C107=3,"",IF($N107=2,"",IF($N107=6,20,IF($N107=0,IF($O107&lt;0.25,20,18),IF($N107=4,IF($O107&lt;0.5,20,18),IF($N107=1,IF($O107&lt;0.25,18,IF($O107&lt;0.5,13,10)),IF($N107=3,IF($O107&lt;0.5,IF($O107&lt;0.25,18,13),7),IF($O107&lt;0.25,18,IF($O107&lt;0.5,12,10)))))))))))))))))</f>
        <v/>
      </c>
      <c r="W107" s="32" t="str">
        <f t="shared" ref="W107:W138" si="70">IF($A107="","",IF(N($AP107)&gt;0,$D$5-$AP107,IF(N($AQ107)&gt;0,$D$5-$AQ107,IF($C107=0,12,IF(OR($C107=7,$C107=1),22,IF($C107=6,9,IF($C107=5,24,IF(OR($C107=4,$C107=2),13,IF($C107=3,"",IF($N107=2,"",IF($N107=6,24,IF($N107=0,IF($O107&lt;0.25,24,22),IF($N107=4,IF($O107&lt;0.5,24,22),IF($N107=1,IF($O107&lt;0.25,22,IF($O107&lt;0.5,16,12)),IF($N107=3,IF($O107&lt;0.5,IF($O107&lt;0.25,22,16),9),IF($O107&lt;0.25,22,IF($O107&lt;0.5,15,13)))))))))))))))))</f>
        <v/>
      </c>
      <c r="X107" s="32">
        <f t="shared" ref="X107:X138" si="71">IF($A107="",0,IF($C107=6,ROUND(25*$G$10,0),IF(OR($C107=4,$C107=2),ROUND(15*$G$10,0),IF($C107&lt;=7,0,IF($N107=1,IF($O107&lt;0.2,0,IF($O107&lt;0.5,10,15)),IF($N107=3,IF($O107&lt;0.5,IF($O107&lt;0.2,0,10),IF($O107&lt;0.62,15,IF($O107&lt;0.8,20,25))),IF($N107=5,IF($O107&lt;0.2,0,IF($O107&lt;0.62,12,IF($O107&lt;0.8,20,25))),0)))))))</f>
        <v>0</v>
      </c>
      <c r="Y107" s="32" t="str">
        <f t="shared" ref="Y107:Y138" si="72">IF($X107=0,"",IF($C107=6,$D$5-$E$9,IF(OR($C107=4,$C107=2),8,IF($N107=1,IF($O107&lt;0.5,14,10),IF($N107=3,IF($O107&lt;0.5,14,IF($O107&lt;0.62,10,7)),IF($N107=5,IF($O107&lt;0.5,14,IF($O107&lt;0.62,12,7)),""))))))</f>
        <v/>
      </c>
      <c r="Z107" s="32" t="str">
        <f t="shared" ref="Z107:Z138" si="73">IF($X107=0,"",IF($C107=6,$D$5-$D$9,IF(OR($C107=4,$C107=2),10,IF($N107=1,IF($O107&lt;0.5,18,12),IF($N107=3,IF($O107&lt;0.5,18,IF($O107&lt;0.62,12,9)),IF($N107=5,IF($O107&lt;0.5,18,IF($O107&lt;0.62,15,9)),""))))))</f>
        <v/>
      </c>
      <c r="AA107" s="32" t="str">
        <f t="shared" ref="AA107:AA138" si="74">IF($A107="","",IF($C107=0,25,IF(OR($C107=7,$C107=1,$C107=5),30,IF($C107=6,25,IF(OR($C107=4,$C107=2),IF($AM107=0,30,30*$AN107/$AM107),"")))))</f>
        <v/>
      </c>
      <c r="AB107" s="32" t="str">
        <f>IF($A107="","",IF($T107="No Throw",0,IF($K107&lt;&gt;"",$K107,IF($AA107&lt;&gt;"",ROUND($AA107*$D$12*IF($C107=0,1,$G$10),0),MIN(IF($T107="Recovery/Easy Catch",Reference!$B$103,IF($T107="Long Toss",Reference!$B$106,Reference!$B$102)),MAX(Reference!$B$101,ROUND(MAX(0,$Q107-$AE107)/$AF107,0)))))))</f>
        <v/>
      </c>
      <c r="AC107" s="32">
        <f t="shared" ref="AC107:AC138" si="75">IF($A107="",0,IF($C107=0,$D$8,0))</f>
        <v>0</v>
      </c>
      <c r="AD107" s="32" t="b">
        <f t="shared" ref="AD107:AD138" si="76">IF($A107="",TRUE(),OR($J107="x",$T107="No Throw"))</f>
        <v>1</v>
      </c>
      <c r="AE107" s="32">
        <f>IF($X107=0,0,$X107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107+$Z107)/2,0),Reference!$A$17:$B$20,2,TRUE()))</f>
        <v>0</v>
      </c>
      <c r="AF107" s="32">
        <f>IF(OR($A107="",$U107="",$T107="No Throw"),0,$AM107*VLOOKUP(MAX(($V107+$W107)/2,0),Reference!$A$17:$B$20,2,TRUE()))</f>
        <v>0</v>
      </c>
      <c r="AG107" s="32">
        <f>IF($AC107=0,0,$AC107*INDEX(Reference!$B$61:$B$62,MATCH("Bullpen",Reference!$A$61:$A$62,0))*VLOOKUP(MAX($D$5-($D$9+$E$9)/2,0),Reference!$A$17:$B$20,2,TRUE()))</f>
        <v>0</v>
      </c>
      <c r="AH107" s="32" t="e">
        <f t="shared" ref="AH107:AH138" si="77">IF(OR($A107="",$L107&lt;27),NA(),$I107)</f>
        <v>#N/A</v>
      </c>
      <c r="AI107" s="32" t="e">
        <f>IF($A107="",NA(),Reference!$A$25)</f>
        <v>#N/A</v>
      </c>
      <c r="AJ107" s="32" t="e">
        <f t="shared" ref="AJ107:AJ138" si="78">IF($A107="",NA(),1.3)</f>
        <v>#N/A</v>
      </c>
      <c r="AK107" s="32">
        <f>IF(OR($A107="",N($C107)&lt;=7,$T107="No Throw",$J107="x"),0,INDEX(Reference!$B$108:$B$114,$N107+1))</f>
        <v>0</v>
      </c>
      <c r="AL107" s="32">
        <f t="shared" ref="AL107:AL138" si="79">IF($U107="",1,IF(AND($T107="Long Toss",N($U107)&gt;90),1+ROUNDUP(($U107-90)/30,0),1))</f>
        <v>1</v>
      </c>
      <c r="AM107" s="32">
        <f>IF($U107="",0,IF($AL107&gt;1,((IF(1&lt;=$AL107,($AL107-1+3)*(INDEX(Reference!$B$6:$B$11,MIN(5,MATCH(MAX(Reference!$A$6,MIN(Reference!$A$11,MIN($U107,90))),Reference!$A$6:$A$11,1)))+(MAX(Reference!$A$6,MIN(Reference!$A$11,MIN($U107,90)))-INDEX(Reference!$A$6:$A$11,MIN(5,MATCH(MAX(Reference!$A$6,MIN(Reference!$A$11,MIN($U107,90))),Reference!$A$6:$A$11,1))))*(INDEX(Reference!$B$6:$B$11,MIN(5,MATCH(MAX(Reference!$A$6,MIN(Reference!$A$11,MIN($U107,90))),Reference!$A$6:$A$11,1))+1)-INDEX(Reference!$B$6:$B$11,MIN(5,MATCH(MAX(Reference!$A$6,MIN(Reference!$A$11,MIN($U107,90))),Reference!$A$6:$A$11,1))))/(INDEX(Reference!$A$6:$A$11,MIN(5,MATCH(MAX(Reference!$A$6,MIN(Reference!$A$11,MIN($U107,90))),Reference!$A$6:$A$11,1))+1)-INDEX(Reference!$A$6:$A$11,MIN(5,MATCH(MAX(Reference!$A$6,MIN(Reference!$A$11,MIN($U107,90))),Reference!$A$6:$A$11,1))))),0)+IF(2&lt;=$AL107,($AL107-2+3)*(INDEX(Reference!$B$6:$B$11,MIN(5,MATCH(MAX(Reference!$A$6,MIN(Reference!$A$11,MIN($U107,120))),Reference!$A$6:$A$11,1)))+(MAX(Reference!$A$6,MIN(Reference!$A$11,MIN($U107,120)))-INDEX(Reference!$A$6:$A$11,MIN(5,MATCH(MAX(Reference!$A$6,MIN(Reference!$A$11,MIN($U107,120))),Reference!$A$6:$A$11,1))))*(INDEX(Reference!$B$6:$B$11,MIN(5,MATCH(MAX(Reference!$A$6,MIN(Reference!$A$11,MIN($U107,120))),Reference!$A$6:$A$11,1))+1)-INDEX(Reference!$B$6:$B$11,MIN(5,MATCH(MAX(Reference!$A$6,MIN(Reference!$A$11,MIN($U107,120))),Reference!$A$6:$A$11,1))))/(INDEX(Reference!$A$6:$A$11,MIN(5,MATCH(MAX(Reference!$A$6,MIN(Reference!$A$11,MIN($U107,120))),Reference!$A$6:$A$11,1))+1)-INDEX(Reference!$A$6:$A$11,MIN(5,MATCH(MAX(Reference!$A$6,MIN(Reference!$A$11,MIN($U107,120))),Reference!$A$6:$A$11,1))))),0)+IF(3&lt;=$AL107,($AL107-3+3)*(INDEX(Reference!$B$6:$B$11,MIN(5,MATCH(MAX(Reference!$A$6,MIN(Reference!$A$11,MIN($U107,150))),Reference!$A$6:$A$11,1)))+(MAX(Reference!$A$6,MIN(Reference!$A$11,MIN($U107,150)))-INDEX(Reference!$A$6:$A$11,MIN(5,MATCH(MAX(Reference!$A$6,MIN(Reference!$A$11,MIN($U107,150))),Reference!$A$6:$A$11,1))))*(INDEX(Reference!$B$6:$B$11,MIN(5,MATCH(MAX(Reference!$A$6,MIN(Reference!$A$11,MIN($U107,150))),Reference!$A$6:$A$11,1))+1)-INDEX(Reference!$B$6:$B$11,MIN(5,MATCH(MAX(Reference!$A$6,MIN(Reference!$A$11,MIN($U107,150))),Reference!$A$6:$A$11,1))))/(INDEX(Reference!$A$6:$A$11,MIN(5,MATCH(MAX(Reference!$A$6,MIN(Reference!$A$11,MIN($U107,150))),Reference!$A$6:$A$11,1))+1)-INDEX(Reference!$A$6:$A$11,MIN(5,MATCH(MAX(Reference!$A$6,MIN(Reference!$A$11,MIN($U107,150))),Reference!$A$6:$A$11,1))))),0)+IF(4&lt;=$AL107,($AL107-4+3)*(INDEX(Reference!$B$6:$B$11,MIN(5,MATCH(MAX(Reference!$A$6,MIN(Reference!$A$11,MIN($U107,180))),Reference!$A$6:$A$11,1)))+(MAX(Reference!$A$6,MIN(Reference!$A$11,MIN($U107,180)))-INDEX(Reference!$A$6:$A$11,MIN(5,MATCH(MAX(Reference!$A$6,MIN(Reference!$A$11,MIN($U107,180))),Reference!$A$6:$A$11,1))))*(INDEX(Reference!$B$6:$B$11,MIN(5,MATCH(MAX(Reference!$A$6,MIN(Reference!$A$11,MIN($U107,180))),Reference!$A$6:$A$11,1))+1)-INDEX(Reference!$B$6:$B$11,MIN(5,MATCH(MAX(Reference!$A$6,MIN(Reference!$A$11,MIN($U107,180))),Reference!$A$6:$A$11,1))))/(INDEX(Reference!$A$6:$A$11,MIN(5,MATCH(MAX(Reference!$A$6,MIN(Reference!$A$11,MIN($U107,180))),Reference!$A$6:$A$11,1))+1)-INDEX(Reference!$A$6:$A$11,MIN(5,MATCH(MAX(Reference!$A$6,MIN(Reference!$A$11,MIN($U107,180))),Reference!$A$6:$A$11,1))))),0)+IF(5&lt;=$AL107,($AL107-5+3)*(INDEX(Reference!$B$6:$B$11,MIN(5,MATCH(MAX(Reference!$A$6,MIN(Reference!$A$11,MIN($U107,210))),Reference!$A$6:$A$11,1)))+(MAX(Reference!$A$6,MIN(Reference!$A$11,MIN($U107,210)))-INDEX(Reference!$A$6:$A$11,MIN(5,MATCH(MAX(Reference!$A$6,MIN(Reference!$A$11,MIN($U107,210))),Reference!$A$6:$A$11,1))))*(INDEX(Reference!$B$6:$B$11,MIN(5,MATCH(MAX(Reference!$A$6,MIN(Reference!$A$11,MIN($U107,210))),Reference!$A$6:$A$11,1))+1)-INDEX(Reference!$B$6:$B$11,MIN(5,MATCH(MAX(Reference!$A$6,MIN(Reference!$A$11,MIN($U107,210))),Reference!$A$6:$A$11,1))))/(INDEX(Reference!$A$6:$A$11,MIN(5,MATCH(MAX(Reference!$A$6,MIN(Reference!$A$11,MIN($U107,210))),Reference!$A$6:$A$11,1))+1)-INDEX(Reference!$A$6:$A$11,MIN(5,MATCH(MAX(Reference!$A$6,MIN(Reference!$A$11,MIN($U107,210))),Reference!$A$6:$A$11,1))))),0)+IF(6&lt;=$AL107,($AL107-6+3)*(INDEX(Reference!$B$6:$B$11,MIN(5,MATCH(MAX(Reference!$A$6,MIN(Reference!$A$11,MIN($U107,240))),Reference!$A$6:$A$11,1)))+(MAX(Reference!$A$6,MIN(Reference!$A$11,MIN($U107,240)))-INDEX(Reference!$A$6:$A$11,MIN(5,MATCH(MAX(Reference!$A$6,MIN(Reference!$A$11,MIN($U107,240))),Reference!$A$6:$A$11,1))))*(INDEX(Reference!$B$6:$B$11,MIN(5,MATCH(MAX(Reference!$A$6,MIN(Reference!$A$11,MIN($U107,240))),Reference!$A$6:$A$11,1))+1)-INDEX(Reference!$B$6:$B$11,MIN(5,MATCH(MAX(Reference!$A$6,MIN(Reference!$A$11,MIN($U107,240))),Reference!$A$6:$A$11,1))))/(INDEX(Reference!$A$6:$A$11,MIN(5,MATCH(MAX(Reference!$A$6,MIN(Reference!$A$11,MIN($U107,240))),Reference!$A$6:$A$11,1))+1)-INDEX(Reference!$A$6:$A$11,MIN(5,MATCH(MAX(Reference!$A$6,MIN(Reference!$A$11,MIN($U107,240))),Reference!$A$6:$A$11,1))))),0)+IF(7&lt;=$AL107,($AL107-7+3)*(INDEX(Reference!$B$6:$B$11,MIN(5,MATCH(MAX(Reference!$A$6,MIN(Reference!$A$11,MIN($U107,270))),Reference!$A$6:$A$11,1)))+(MAX(Reference!$A$6,MIN(Reference!$A$11,MIN($U107,270)))-INDEX(Reference!$A$6:$A$11,MIN(5,MATCH(MAX(Reference!$A$6,MIN(Reference!$A$11,MIN($U107,270))),Reference!$A$6:$A$11,1))))*(INDEX(Reference!$B$6:$B$11,MIN(5,MATCH(MAX(Reference!$A$6,MIN(Reference!$A$11,MIN($U107,270))),Reference!$A$6:$A$11,1))+1)-INDEX(Reference!$B$6:$B$11,MIN(5,MATCH(MAX(Reference!$A$6,MIN(Reference!$A$11,MIN($U107,270))),Reference!$A$6:$A$11,1))))/(INDEX(Reference!$A$6:$A$11,MIN(5,MATCH(MAX(Reference!$A$6,MIN(Reference!$A$11,MIN($U107,270))),Reference!$A$6:$A$11,1))+1)-INDEX(Reference!$A$6:$A$11,MIN(5,MATCH(MAX(Reference!$A$6,MIN(Reference!$A$11,MIN($U107,270))),Reference!$A$6:$A$11,1))))),0)+IF(8&lt;=$AL107,($AL107-8+3)*(INDEX(Reference!$B$6:$B$11,MIN(5,MATCH(MAX(Reference!$A$6,MIN(Reference!$A$11,MIN($U107,300))),Reference!$A$6:$A$11,1)))+(MAX(Reference!$A$6,MIN(Reference!$A$11,MIN($U107,300)))-INDEX(Reference!$A$6:$A$11,MIN(5,MATCH(MAX(Reference!$A$6,MIN(Reference!$A$11,MIN($U107,300))),Reference!$A$6:$A$11,1))))*(INDEX(Reference!$B$6:$B$11,MIN(5,MATCH(MAX(Reference!$A$6,MIN(Reference!$A$11,MIN($U107,300))),Reference!$A$6:$A$11,1))+1)-INDEX(Reference!$B$6:$B$11,MIN(5,MATCH(MAX(Reference!$A$6,MIN(Reference!$A$11,MIN($U107,300))),Reference!$A$6:$A$11,1))))/(INDEX(Reference!$A$6:$A$11,MIN(5,MATCH(MAX(Reference!$A$6,MIN(Reference!$A$11,MIN($U107,300))),Reference!$A$6:$A$11,1))+1)-INDEX(Reference!$A$6:$A$11,MIN(5,MATCH(MAX(Reference!$A$6,MIN(Reference!$A$11,MIN($U107,300))),Reference!$A$6:$A$11,1))))),0))/($AL107*($AL107+5)/2)),$AN107))</f>
        <v>0</v>
      </c>
      <c r="AN107" s="32">
        <f>IF($U107="",0,(INDEX(Reference!$B$6:$B$11,MIN(5,MATCH(MAX(Reference!$A$6,MIN(Reference!$A$11,$U107)),Reference!$A$6:$A$11,1)))+(MAX(Reference!$A$6,MIN(Reference!$A$11,$U107))-INDEX(Reference!$A$6:$A$11,MIN(5,MATCH(MAX(Reference!$A$6,MIN(Reference!$A$11,$U107)),Reference!$A$6:$A$11,1))))*(INDEX(Reference!$B$6:$B$11,MIN(5,MATCH(MAX(Reference!$A$6,MIN(Reference!$A$11,$U107)),Reference!$A$6:$A$11,1))+1)-INDEX(Reference!$B$6:$B$11,MIN(5,MATCH(MAX(Reference!$A$6,MIN(Reference!$A$11,$U107)),Reference!$A$6:$A$11,1))))/(INDEX(Reference!$A$6:$A$11,MIN(5,MATCH(MAX(Reference!$A$6,MIN(Reference!$A$11,$U107)),Reference!$A$6:$A$11,1))+1)-INDEX(Reference!$A$6:$A$11,MIN(5,MATCH(MAX(Reference!$A$6,MIN(Reference!$A$11,$U107)),Reference!$A$6:$A$11,1))))))</f>
        <v>0</v>
      </c>
      <c r="AO107" s="37"/>
      <c r="AP107" s="37"/>
      <c r="AQ107" s="37"/>
    </row>
    <row r="108" spans="1:43" x14ac:dyDescent="0.3">
      <c r="A108" s="48" t="str">
        <f t="shared" si="55"/>
        <v/>
      </c>
      <c r="B108" s="32" t="str">
        <f t="shared" si="56"/>
        <v/>
      </c>
      <c r="C108" s="32" t="str">
        <f t="shared" si="57"/>
        <v/>
      </c>
      <c r="D108" s="32" t="str">
        <f t="shared" si="58"/>
        <v/>
      </c>
      <c r="E108" s="32" t="str">
        <f t="shared" si="59"/>
        <v/>
      </c>
      <c r="F108" s="32" t="str">
        <f t="shared" si="60"/>
        <v/>
      </c>
      <c r="G108" s="47" t="str">
        <f t="shared" si="61"/>
        <v/>
      </c>
      <c r="H108" s="30" t="str">
        <f t="shared" si="62"/>
        <v/>
      </c>
      <c r="I108" s="46" t="str">
        <f>IF($A108="","",IF(AND($L108&lt;27,$K$12=0),"Building",IFERROR(((SUM($H$102:$H108)+$K$12*IF($L108&lt;6,SUMIFS('Throw Log'!$Q$5:$Q$300,'Throw Log'!$B$5:$B$300,$D$4,'Throw Log'!$A$5:$A$300,"&gt;="&amp;($D$6+$L108-6),'Throw Log'!$A$5:$A$300,"&lt;="&amp;($D$6-1)),0))/7)/((SUM($H$81:$H108)+$K$12*IF($L108&lt;27,SUMIFS('Throw Log'!$Q$5:$Q$300,'Throw Log'!$B$5:$B$300,$D$4,'Throw Log'!$A$5:$A$300,"&gt;="&amp;($D$6+$L108-27),'Throw Log'!$A$5:$A$300,"&lt;="&amp;($D$6-1)),0))/28),"")))</f>
        <v/>
      </c>
      <c r="J108" s="37"/>
      <c r="K108" s="37"/>
      <c r="L108" s="32">
        <v>65</v>
      </c>
      <c r="M108" s="32">
        <f t="shared" si="63"/>
        <v>10</v>
      </c>
      <c r="N108" s="32">
        <f t="shared" si="64"/>
        <v>2</v>
      </c>
      <c r="O108" s="32">
        <f t="shared" si="65"/>
        <v>1</v>
      </c>
      <c r="P108" s="32" t="str">
        <f>IF(OR($A108="",N($C108)&lt;=7),"",$G$6*$G$9^($M108-1)*IF(AND(MOD($M108,Reference!$B$99)=0,$M108&lt;=$G$5-2),Reference!$B$100,1))</f>
        <v/>
      </c>
      <c r="Q108" s="32" t="str">
        <f>IF($P108="","",IF(SUM($AK$106:$AK$112)=0,0,$P108*INDEX(Reference!$B$108:$B$114,$N108+1)/SUM($AK$106:$AK$112)))</f>
        <v/>
      </c>
      <c r="R108" s="32">
        <f t="shared" si="66"/>
        <v>120</v>
      </c>
      <c r="S108" s="32">
        <f t="shared" si="67"/>
        <v>105</v>
      </c>
      <c r="T108" s="32" t="str">
        <f>IF($A108="","",IF($C108=0,"Bullpen",IF(OR($C108=7,$C108=1,$C108=5),"Recovery/Easy Catch",IF($C108=6,"Compression/Pulldowns",IF(OR($C108=4,$C108=2),"Long Toss",IF($C108=3,"No Throw",IF($N108=2,"No Throw",IF($N108=6,IF($O108&lt;Reference!$B$104,"No Throw","Recovery/Easy Catch"),IF(OR($N108=0,$N108=4),"Recovery/Easy Catch",IF($N108=1,IF($R108&gt;75,"Long Toss","Recovery/Easy Catch"),IF($N108=3,IF($O108&lt;0.5,IF($S108&gt;75,"Long Toss","Recovery/Easy Catch"),"Compression/Pulldowns"),IF($S108&gt;75,"Long Toss","Recovery/Easy Catch"))))))))))))</f>
        <v/>
      </c>
      <c r="U108" s="32" t="str">
        <f t="shared" si="68"/>
        <v/>
      </c>
      <c r="V108" s="32" t="str">
        <f t="shared" si="69"/>
        <v/>
      </c>
      <c r="W108" s="32" t="str">
        <f t="shared" si="70"/>
        <v/>
      </c>
      <c r="X108" s="32">
        <f t="shared" si="71"/>
        <v>0</v>
      </c>
      <c r="Y108" s="32" t="str">
        <f t="shared" si="72"/>
        <v/>
      </c>
      <c r="Z108" s="32" t="str">
        <f t="shared" si="73"/>
        <v/>
      </c>
      <c r="AA108" s="32" t="str">
        <f t="shared" si="74"/>
        <v/>
      </c>
      <c r="AB108" s="32" t="str">
        <f>IF($A108="","",IF($T108="No Throw",0,IF($K108&lt;&gt;"",$K108,IF($AA108&lt;&gt;"",ROUND($AA108*$D$12*IF($C108=0,1,$G$10),0),MIN(IF($T108="Recovery/Easy Catch",Reference!$B$103,IF($T108="Long Toss",Reference!$B$106,Reference!$B$102)),MAX(Reference!$B$101,ROUND(MAX(0,$Q108-$AE108)/$AF108,0)))))))</f>
        <v/>
      </c>
      <c r="AC108" s="32">
        <f t="shared" si="75"/>
        <v>0</v>
      </c>
      <c r="AD108" s="32" t="b">
        <f t="shared" si="76"/>
        <v>1</v>
      </c>
      <c r="AE108" s="32">
        <f>IF($X108=0,0,$X108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108+$Z108)/2,0),Reference!$A$17:$B$20,2,TRUE()))</f>
        <v>0</v>
      </c>
      <c r="AF108" s="32">
        <f>IF(OR($A108="",$U108="",$T108="No Throw"),0,$AM108*VLOOKUP(MAX(($V108+$W108)/2,0),Reference!$A$17:$B$20,2,TRUE()))</f>
        <v>0</v>
      </c>
      <c r="AG108" s="32">
        <f>IF($AC108=0,0,$AC108*INDEX(Reference!$B$61:$B$62,MATCH("Bullpen",Reference!$A$61:$A$62,0))*VLOOKUP(MAX($D$5-($D$9+$E$9)/2,0),Reference!$A$17:$B$20,2,TRUE()))</f>
        <v>0</v>
      </c>
      <c r="AH108" s="32" t="e">
        <f t="shared" si="77"/>
        <v>#N/A</v>
      </c>
      <c r="AI108" s="32" t="e">
        <f>IF($A108="",NA(),Reference!$A$25)</f>
        <v>#N/A</v>
      </c>
      <c r="AJ108" s="32" t="e">
        <f t="shared" si="78"/>
        <v>#N/A</v>
      </c>
      <c r="AK108" s="32">
        <f>IF(OR($A108="",N($C108)&lt;=7,$T108="No Throw",$J108="x"),0,INDEX(Reference!$B$108:$B$114,$N108+1))</f>
        <v>0</v>
      </c>
      <c r="AL108" s="32">
        <f t="shared" si="79"/>
        <v>1</v>
      </c>
      <c r="AM108" s="32">
        <f>IF($U108="",0,IF($AL108&gt;1,((IF(1&lt;=$AL108,($AL108-1+3)*(INDEX(Reference!$B$6:$B$11,MIN(5,MATCH(MAX(Reference!$A$6,MIN(Reference!$A$11,MIN($U108,90))),Reference!$A$6:$A$11,1)))+(MAX(Reference!$A$6,MIN(Reference!$A$11,MIN($U108,90)))-INDEX(Reference!$A$6:$A$11,MIN(5,MATCH(MAX(Reference!$A$6,MIN(Reference!$A$11,MIN($U108,90))),Reference!$A$6:$A$11,1))))*(INDEX(Reference!$B$6:$B$11,MIN(5,MATCH(MAX(Reference!$A$6,MIN(Reference!$A$11,MIN($U108,90))),Reference!$A$6:$A$11,1))+1)-INDEX(Reference!$B$6:$B$11,MIN(5,MATCH(MAX(Reference!$A$6,MIN(Reference!$A$11,MIN($U108,90))),Reference!$A$6:$A$11,1))))/(INDEX(Reference!$A$6:$A$11,MIN(5,MATCH(MAX(Reference!$A$6,MIN(Reference!$A$11,MIN($U108,90))),Reference!$A$6:$A$11,1))+1)-INDEX(Reference!$A$6:$A$11,MIN(5,MATCH(MAX(Reference!$A$6,MIN(Reference!$A$11,MIN($U108,90))),Reference!$A$6:$A$11,1))))),0)+IF(2&lt;=$AL108,($AL108-2+3)*(INDEX(Reference!$B$6:$B$11,MIN(5,MATCH(MAX(Reference!$A$6,MIN(Reference!$A$11,MIN($U108,120))),Reference!$A$6:$A$11,1)))+(MAX(Reference!$A$6,MIN(Reference!$A$11,MIN($U108,120)))-INDEX(Reference!$A$6:$A$11,MIN(5,MATCH(MAX(Reference!$A$6,MIN(Reference!$A$11,MIN($U108,120))),Reference!$A$6:$A$11,1))))*(INDEX(Reference!$B$6:$B$11,MIN(5,MATCH(MAX(Reference!$A$6,MIN(Reference!$A$11,MIN($U108,120))),Reference!$A$6:$A$11,1))+1)-INDEX(Reference!$B$6:$B$11,MIN(5,MATCH(MAX(Reference!$A$6,MIN(Reference!$A$11,MIN($U108,120))),Reference!$A$6:$A$11,1))))/(INDEX(Reference!$A$6:$A$11,MIN(5,MATCH(MAX(Reference!$A$6,MIN(Reference!$A$11,MIN($U108,120))),Reference!$A$6:$A$11,1))+1)-INDEX(Reference!$A$6:$A$11,MIN(5,MATCH(MAX(Reference!$A$6,MIN(Reference!$A$11,MIN($U108,120))),Reference!$A$6:$A$11,1))))),0)+IF(3&lt;=$AL108,($AL108-3+3)*(INDEX(Reference!$B$6:$B$11,MIN(5,MATCH(MAX(Reference!$A$6,MIN(Reference!$A$11,MIN($U108,150))),Reference!$A$6:$A$11,1)))+(MAX(Reference!$A$6,MIN(Reference!$A$11,MIN($U108,150)))-INDEX(Reference!$A$6:$A$11,MIN(5,MATCH(MAX(Reference!$A$6,MIN(Reference!$A$11,MIN($U108,150))),Reference!$A$6:$A$11,1))))*(INDEX(Reference!$B$6:$B$11,MIN(5,MATCH(MAX(Reference!$A$6,MIN(Reference!$A$11,MIN($U108,150))),Reference!$A$6:$A$11,1))+1)-INDEX(Reference!$B$6:$B$11,MIN(5,MATCH(MAX(Reference!$A$6,MIN(Reference!$A$11,MIN($U108,150))),Reference!$A$6:$A$11,1))))/(INDEX(Reference!$A$6:$A$11,MIN(5,MATCH(MAX(Reference!$A$6,MIN(Reference!$A$11,MIN($U108,150))),Reference!$A$6:$A$11,1))+1)-INDEX(Reference!$A$6:$A$11,MIN(5,MATCH(MAX(Reference!$A$6,MIN(Reference!$A$11,MIN($U108,150))),Reference!$A$6:$A$11,1))))),0)+IF(4&lt;=$AL108,($AL108-4+3)*(INDEX(Reference!$B$6:$B$11,MIN(5,MATCH(MAX(Reference!$A$6,MIN(Reference!$A$11,MIN($U108,180))),Reference!$A$6:$A$11,1)))+(MAX(Reference!$A$6,MIN(Reference!$A$11,MIN($U108,180)))-INDEX(Reference!$A$6:$A$11,MIN(5,MATCH(MAX(Reference!$A$6,MIN(Reference!$A$11,MIN($U108,180))),Reference!$A$6:$A$11,1))))*(INDEX(Reference!$B$6:$B$11,MIN(5,MATCH(MAX(Reference!$A$6,MIN(Reference!$A$11,MIN($U108,180))),Reference!$A$6:$A$11,1))+1)-INDEX(Reference!$B$6:$B$11,MIN(5,MATCH(MAX(Reference!$A$6,MIN(Reference!$A$11,MIN($U108,180))),Reference!$A$6:$A$11,1))))/(INDEX(Reference!$A$6:$A$11,MIN(5,MATCH(MAX(Reference!$A$6,MIN(Reference!$A$11,MIN($U108,180))),Reference!$A$6:$A$11,1))+1)-INDEX(Reference!$A$6:$A$11,MIN(5,MATCH(MAX(Reference!$A$6,MIN(Reference!$A$11,MIN($U108,180))),Reference!$A$6:$A$11,1))))),0)+IF(5&lt;=$AL108,($AL108-5+3)*(INDEX(Reference!$B$6:$B$11,MIN(5,MATCH(MAX(Reference!$A$6,MIN(Reference!$A$11,MIN($U108,210))),Reference!$A$6:$A$11,1)))+(MAX(Reference!$A$6,MIN(Reference!$A$11,MIN($U108,210)))-INDEX(Reference!$A$6:$A$11,MIN(5,MATCH(MAX(Reference!$A$6,MIN(Reference!$A$11,MIN($U108,210))),Reference!$A$6:$A$11,1))))*(INDEX(Reference!$B$6:$B$11,MIN(5,MATCH(MAX(Reference!$A$6,MIN(Reference!$A$11,MIN($U108,210))),Reference!$A$6:$A$11,1))+1)-INDEX(Reference!$B$6:$B$11,MIN(5,MATCH(MAX(Reference!$A$6,MIN(Reference!$A$11,MIN($U108,210))),Reference!$A$6:$A$11,1))))/(INDEX(Reference!$A$6:$A$11,MIN(5,MATCH(MAX(Reference!$A$6,MIN(Reference!$A$11,MIN($U108,210))),Reference!$A$6:$A$11,1))+1)-INDEX(Reference!$A$6:$A$11,MIN(5,MATCH(MAX(Reference!$A$6,MIN(Reference!$A$11,MIN($U108,210))),Reference!$A$6:$A$11,1))))),0)+IF(6&lt;=$AL108,($AL108-6+3)*(INDEX(Reference!$B$6:$B$11,MIN(5,MATCH(MAX(Reference!$A$6,MIN(Reference!$A$11,MIN($U108,240))),Reference!$A$6:$A$11,1)))+(MAX(Reference!$A$6,MIN(Reference!$A$11,MIN($U108,240)))-INDEX(Reference!$A$6:$A$11,MIN(5,MATCH(MAX(Reference!$A$6,MIN(Reference!$A$11,MIN($U108,240))),Reference!$A$6:$A$11,1))))*(INDEX(Reference!$B$6:$B$11,MIN(5,MATCH(MAX(Reference!$A$6,MIN(Reference!$A$11,MIN($U108,240))),Reference!$A$6:$A$11,1))+1)-INDEX(Reference!$B$6:$B$11,MIN(5,MATCH(MAX(Reference!$A$6,MIN(Reference!$A$11,MIN($U108,240))),Reference!$A$6:$A$11,1))))/(INDEX(Reference!$A$6:$A$11,MIN(5,MATCH(MAX(Reference!$A$6,MIN(Reference!$A$11,MIN($U108,240))),Reference!$A$6:$A$11,1))+1)-INDEX(Reference!$A$6:$A$11,MIN(5,MATCH(MAX(Reference!$A$6,MIN(Reference!$A$11,MIN($U108,240))),Reference!$A$6:$A$11,1))))),0)+IF(7&lt;=$AL108,($AL108-7+3)*(INDEX(Reference!$B$6:$B$11,MIN(5,MATCH(MAX(Reference!$A$6,MIN(Reference!$A$11,MIN($U108,270))),Reference!$A$6:$A$11,1)))+(MAX(Reference!$A$6,MIN(Reference!$A$11,MIN($U108,270)))-INDEX(Reference!$A$6:$A$11,MIN(5,MATCH(MAX(Reference!$A$6,MIN(Reference!$A$11,MIN($U108,270))),Reference!$A$6:$A$11,1))))*(INDEX(Reference!$B$6:$B$11,MIN(5,MATCH(MAX(Reference!$A$6,MIN(Reference!$A$11,MIN($U108,270))),Reference!$A$6:$A$11,1))+1)-INDEX(Reference!$B$6:$B$11,MIN(5,MATCH(MAX(Reference!$A$6,MIN(Reference!$A$11,MIN($U108,270))),Reference!$A$6:$A$11,1))))/(INDEX(Reference!$A$6:$A$11,MIN(5,MATCH(MAX(Reference!$A$6,MIN(Reference!$A$11,MIN($U108,270))),Reference!$A$6:$A$11,1))+1)-INDEX(Reference!$A$6:$A$11,MIN(5,MATCH(MAX(Reference!$A$6,MIN(Reference!$A$11,MIN($U108,270))),Reference!$A$6:$A$11,1))))),0)+IF(8&lt;=$AL108,($AL108-8+3)*(INDEX(Reference!$B$6:$B$11,MIN(5,MATCH(MAX(Reference!$A$6,MIN(Reference!$A$11,MIN($U108,300))),Reference!$A$6:$A$11,1)))+(MAX(Reference!$A$6,MIN(Reference!$A$11,MIN($U108,300)))-INDEX(Reference!$A$6:$A$11,MIN(5,MATCH(MAX(Reference!$A$6,MIN(Reference!$A$11,MIN($U108,300))),Reference!$A$6:$A$11,1))))*(INDEX(Reference!$B$6:$B$11,MIN(5,MATCH(MAX(Reference!$A$6,MIN(Reference!$A$11,MIN($U108,300))),Reference!$A$6:$A$11,1))+1)-INDEX(Reference!$B$6:$B$11,MIN(5,MATCH(MAX(Reference!$A$6,MIN(Reference!$A$11,MIN($U108,300))),Reference!$A$6:$A$11,1))))/(INDEX(Reference!$A$6:$A$11,MIN(5,MATCH(MAX(Reference!$A$6,MIN(Reference!$A$11,MIN($U108,300))),Reference!$A$6:$A$11,1))+1)-INDEX(Reference!$A$6:$A$11,MIN(5,MATCH(MAX(Reference!$A$6,MIN(Reference!$A$11,MIN($U108,300))),Reference!$A$6:$A$11,1))))),0))/($AL108*($AL108+5)/2)),$AN108))</f>
        <v>0</v>
      </c>
      <c r="AN108" s="32">
        <f>IF($U108="",0,(INDEX(Reference!$B$6:$B$11,MIN(5,MATCH(MAX(Reference!$A$6,MIN(Reference!$A$11,$U108)),Reference!$A$6:$A$11,1)))+(MAX(Reference!$A$6,MIN(Reference!$A$11,$U108))-INDEX(Reference!$A$6:$A$11,MIN(5,MATCH(MAX(Reference!$A$6,MIN(Reference!$A$11,$U108)),Reference!$A$6:$A$11,1))))*(INDEX(Reference!$B$6:$B$11,MIN(5,MATCH(MAX(Reference!$A$6,MIN(Reference!$A$11,$U108)),Reference!$A$6:$A$11,1))+1)-INDEX(Reference!$B$6:$B$11,MIN(5,MATCH(MAX(Reference!$A$6,MIN(Reference!$A$11,$U108)),Reference!$A$6:$A$11,1))))/(INDEX(Reference!$A$6:$A$11,MIN(5,MATCH(MAX(Reference!$A$6,MIN(Reference!$A$11,$U108)),Reference!$A$6:$A$11,1))+1)-INDEX(Reference!$A$6:$A$11,MIN(5,MATCH(MAX(Reference!$A$6,MIN(Reference!$A$11,$U108)),Reference!$A$6:$A$11,1))))))</f>
        <v>0</v>
      </c>
      <c r="AO108" s="37"/>
      <c r="AP108" s="37"/>
      <c r="AQ108" s="37"/>
    </row>
    <row r="109" spans="1:43" x14ac:dyDescent="0.3">
      <c r="A109" s="48" t="str">
        <f t="shared" si="55"/>
        <v/>
      </c>
      <c r="B109" s="32" t="str">
        <f t="shared" si="56"/>
        <v/>
      </c>
      <c r="C109" s="32" t="str">
        <f t="shared" si="57"/>
        <v/>
      </c>
      <c r="D109" s="32" t="str">
        <f t="shared" si="58"/>
        <v/>
      </c>
      <c r="E109" s="32" t="str">
        <f t="shared" si="59"/>
        <v/>
      </c>
      <c r="F109" s="32" t="str">
        <f t="shared" si="60"/>
        <v/>
      </c>
      <c r="G109" s="47" t="str">
        <f t="shared" si="61"/>
        <v/>
      </c>
      <c r="H109" s="30" t="str">
        <f t="shared" si="62"/>
        <v/>
      </c>
      <c r="I109" s="46" t="str">
        <f>IF($A109="","",IF(AND($L109&lt;27,$K$12=0),"Building",IFERROR(((SUM($H$103:$H109)+$K$12*IF($L109&lt;6,SUMIFS('Throw Log'!$Q$5:$Q$300,'Throw Log'!$B$5:$B$300,$D$4,'Throw Log'!$A$5:$A$300,"&gt;="&amp;($D$6+$L109-6),'Throw Log'!$A$5:$A$300,"&lt;="&amp;($D$6-1)),0))/7)/((SUM($H$82:$H109)+$K$12*IF($L109&lt;27,SUMIFS('Throw Log'!$Q$5:$Q$300,'Throw Log'!$B$5:$B$300,$D$4,'Throw Log'!$A$5:$A$300,"&gt;="&amp;($D$6+$L109-27),'Throw Log'!$A$5:$A$300,"&lt;="&amp;($D$6-1)),0))/28),"")))</f>
        <v/>
      </c>
      <c r="J109" s="37"/>
      <c r="K109" s="37"/>
      <c r="L109" s="32">
        <v>66</v>
      </c>
      <c r="M109" s="32">
        <f t="shared" si="63"/>
        <v>10</v>
      </c>
      <c r="N109" s="32">
        <f t="shared" si="64"/>
        <v>3</v>
      </c>
      <c r="O109" s="32">
        <f t="shared" si="65"/>
        <v>1</v>
      </c>
      <c r="P109" s="32" t="str">
        <f>IF(OR($A109="",N($C109)&lt;=7),"",$G$6*$G$9^($M109-1)*IF(AND(MOD($M109,Reference!$B$99)=0,$M109&lt;=$G$5-2),Reference!$B$100,1))</f>
        <v/>
      </c>
      <c r="Q109" s="32" t="str">
        <f>IF($P109="","",IF(SUM($AK$106:$AK$112)=0,0,$P109*INDEX(Reference!$B$108:$B$114,$N109+1)/SUM($AK$106:$AK$112)))</f>
        <v/>
      </c>
      <c r="R109" s="32">
        <f t="shared" si="66"/>
        <v>120</v>
      </c>
      <c r="S109" s="32">
        <f t="shared" si="67"/>
        <v>105</v>
      </c>
      <c r="T109" s="32" t="str">
        <f>IF($A109="","",IF($C109=0,"Bullpen",IF(OR($C109=7,$C109=1,$C109=5),"Recovery/Easy Catch",IF($C109=6,"Compression/Pulldowns",IF(OR($C109=4,$C109=2),"Long Toss",IF($C109=3,"No Throw",IF($N109=2,"No Throw",IF($N109=6,IF($O109&lt;Reference!$B$104,"No Throw","Recovery/Easy Catch"),IF(OR($N109=0,$N109=4),"Recovery/Easy Catch",IF($N109=1,IF($R109&gt;75,"Long Toss","Recovery/Easy Catch"),IF($N109=3,IF($O109&lt;0.5,IF($S109&gt;75,"Long Toss","Recovery/Easy Catch"),"Compression/Pulldowns"),IF($S109&gt;75,"Long Toss","Recovery/Easy Catch"))))))))))))</f>
        <v/>
      </c>
      <c r="U109" s="32" t="str">
        <f t="shared" si="68"/>
        <v/>
      </c>
      <c r="V109" s="32" t="str">
        <f t="shared" si="69"/>
        <v/>
      </c>
      <c r="W109" s="32" t="str">
        <f t="shared" si="70"/>
        <v/>
      </c>
      <c r="X109" s="32">
        <f t="shared" si="71"/>
        <v>0</v>
      </c>
      <c r="Y109" s="32" t="str">
        <f t="shared" si="72"/>
        <v/>
      </c>
      <c r="Z109" s="32" t="str">
        <f t="shared" si="73"/>
        <v/>
      </c>
      <c r="AA109" s="32" t="str">
        <f t="shared" si="74"/>
        <v/>
      </c>
      <c r="AB109" s="32" t="str">
        <f>IF($A109="","",IF($T109="No Throw",0,IF($K109&lt;&gt;"",$K109,IF($AA109&lt;&gt;"",ROUND($AA109*$D$12*IF($C109=0,1,$G$10),0),MIN(IF($T109="Recovery/Easy Catch",Reference!$B$103,IF($T109="Long Toss",Reference!$B$106,Reference!$B$102)),MAX(Reference!$B$101,ROUND(MAX(0,$Q109-$AE109)/$AF109,0)))))))</f>
        <v/>
      </c>
      <c r="AC109" s="32">
        <f t="shared" si="75"/>
        <v>0</v>
      </c>
      <c r="AD109" s="32" t="b">
        <f t="shared" si="76"/>
        <v>1</v>
      </c>
      <c r="AE109" s="32">
        <f>IF($X109=0,0,$X109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109+$Z109)/2,0),Reference!$A$17:$B$20,2,TRUE()))</f>
        <v>0</v>
      </c>
      <c r="AF109" s="32">
        <f>IF(OR($A109="",$U109="",$T109="No Throw"),0,$AM109*VLOOKUP(MAX(($V109+$W109)/2,0),Reference!$A$17:$B$20,2,TRUE()))</f>
        <v>0</v>
      </c>
      <c r="AG109" s="32">
        <f>IF($AC109=0,0,$AC109*INDEX(Reference!$B$61:$B$62,MATCH("Bullpen",Reference!$A$61:$A$62,0))*VLOOKUP(MAX($D$5-($D$9+$E$9)/2,0),Reference!$A$17:$B$20,2,TRUE()))</f>
        <v>0</v>
      </c>
      <c r="AH109" s="32" t="e">
        <f t="shared" si="77"/>
        <v>#N/A</v>
      </c>
      <c r="AI109" s="32" t="e">
        <f>IF($A109="",NA(),Reference!$A$25)</f>
        <v>#N/A</v>
      </c>
      <c r="AJ109" s="32" t="e">
        <f t="shared" si="78"/>
        <v>#N/A</v>
      </c>
      <c r="AK109" s="32">
        <f>IF(OR($A109="",N($C109)&lt;=7,$T109="No Throw",$J109="x"),0,INDEX(Reference!$B$108:$B$114,$N109+1))</f>
        <v>0</v>
      </c>
      <c r="AL109" s="32">
        <f t="shared" si="79"/>
        <v>1</v>
      </c>
      <c r="AM109" s="32">
        <f>IF($U109="",0,IF($AL109&gt;1,((IF(1&lt;=$AL109,($AL109-1+3)*(INDEX(Reference!$B$6:$B$11,MIN(5,MATCH(MAX(Reference!$A$6,MIN(Reference!$A$11,MIN($U109,90))),Reference!$A$6:$A$11,1)))+(MAX(Reference!$A$6,MIN(Reference!$A$11,MIN($U109,90)))-INDEX(Reference!$A$6:$A$11,MIN(5,MATCH(MAX(Reference!$A$6,MIN(Reference!$A$11,MIN($U109,90))),Reference!$A$6:$A$11,1))))*(INDEX(Reference!$B$6:$B$11,MIN(5,MATCH(MAX(Reference!$A$6,MIN(Reference!$A$11,MIN($U109,90))),Reference!$A$6:$A$11,1))+1)-INDEX(Reference!$B$6:$B$11,MIN(5,MATCH(MAX(Reference!$A$6,MIN(Reference!$A$11,MIN($U109,90))),Reference!$A$6:$A$11,1))))/(INDEX(Reference!$A$6:$A$11,MIN(5,MATCH(MAX(Reference!$A$6,MIN(Reference!$A$11,MIN($U109,90))),Reference!$A$6:$A$11,1))+1)-INDEX(Reference!$A$6:$A$11,MIN(5,MATCH(MAX(Reference!$A$6,MIN(Reference!$A$11,MIN($U109,90))),Reference!$A$6:$A$11,1))))),0)+IF(2&lt;=$AL109,($AL109-2+3)*(INDEX(Reference!$B$6:$B$11,MIN(5,MATCH(MAX(Reference!$A$6,MIN(Reference!$A$11,MIN($U109,120))),Reference!$A$6:$A$11,1)))+(MAX(Reference!$A$6,MIN(Reference!$A$11,MIN($U109,120)))-INDEX(Reference!$A$6:$A$11,MIN(5,MATCH(MAX(Reference!$A$6,MIN(Reference!$A$11,MIN($U109,120))),Reference!$A$6:$A$11,1))))*(INDEX(Reference!$B$6:$B$11,MIN(5,MATCH(MAX(Reference!$A$6,MIN(Reference!$A$11,MIN($U109,120))),Reference!$A$6:$A$11,1))+1)-INDEX(Reference!$B$6:$B$11,MIN(5,MATCH(MAX(Reference!$A$6,MIN(Reference!$A$11,MIN($U109,120))),Reference!$A$6:$A$11,1))))/(INDEX(Reference!$A$6:$A$11,MIN(5,MATCH(MAX(Reference!$A$6,MIN(Reference!$A$11,MIN($U109,120))),Reference!$A$6:$A$11,1))+1)-INDEX(Reference!$A$6:$A$11,MIN(5,MATCH(MAX(Reference!$A$6,MIN(Reference!$A$11,MIN($U109,120))),Reference!$A$6:$A$11,1))))),0)+IF(3&lt;=$AL109,($AL109-3+3)*(INDEX(Reference!$B$6:$B$11,MIN(5,MATCH(MAX(Reference!$A$6,MIN(Reference!$A$11,MIN($U109,150))),Reference!$A$6:$A$11,1)))+(MAX(Reference!$A$6,MIN(Reference!$A$11,MIN($U109,150)))-INDEX(Reference!$A$6:$A$11,MIN(5,MATCH(MAX(Reference!$A$6,MIN(Reference!$A$11,MIN($U109,150))),Reference!$A$6:$A$11,1))))*(INDEX(Reference!$B$6:$B$11,MIN(5,MATCH(MAX(Reference!$A$6,MIN(Reference!$A$11,MIN($U109,150))),Reference!$A$6:$A$11,1))+1)-INDEX(Reference!$B$6:$B$11,MIN(5,MATCH(MAX(Reference!$A$6,MIN(Reference!$A$11,MIN($U109,150))),Reference!$A$6:$A$11,1))))/(INDEX(Reference!$A$6:$A$11,MIN(5,MATCH(MAX(Reference!$A$6,MIN(Reference!$A$11,MIN($U109,150))),Reference!$A$6:$A$11,1))+1)-INDEX(Reference!$A$6:$A$11,MIN(5,MATCH(MAX(Reference!$A$6,MIN(Reference!$A$11,MIN($U109,150))),Reference!$A$6:$A$11,1))))),0)+IF(4&lt;=$AL109,($AL109-4+3)*(INDEX(Reference!$B$6:$B$11,MIN(5,MATCH(MAX(Reference!$A$6,MIN(Reference!$A$11,MIN($U109,180))),Reference!$A$6:$A$11,1)))+(MAX(Reference!$A$6,MIN(Reference!$A$11,MIN($U109,180)))-INDEX(Reference!$A$6:$A$11,MIN(5,MATCH(MAX(Reference!$A$6,MIN(Reference!$A$11,MIN($U109,180))),Reference!$A$6:$A$11,1))))*(INDEX(Reference!$B$6:$B$11,MIN(5,MATCH(MAX(Reference!$A$6,MIN(Reference!$A$11,MIN($U109,180))),Reference!$A$6:$A$11,1))+1)-INDEX(Reference!$B$6:$B$11,MIN(5,MATCH(MAX(Reference!$A$6,MIN(Reference!$A$11,MIN($U109,180))),Reference!$A$6:$A$11,1))))/(INDEX(Reference!$A$6:$A$11,MIN(5,MATCH(MAX(Reference!$A$6,MIN(Reference!$A$11,MIN($U109,180))),Reference!$A$6:$A$11,1))+1)-INDEX(Reference!$A$6:$A$11,MIN(5,MATCH(MAX(Reference!$A$6,MIN(Reference!$A$11,MIN($U109,180))),Reference!$A$6:$A$11,1))))),0)+IF(5&lt;=$AL109,($AL109-5+3)*(INDEX(Reference!$B$6:$B$11,MIN(5,MATCH(MAX(Reference!$A$6,MIN(Reference!$A$11,MIN($U109,210))),Reference!$A$6:$A$11,1)))+(MAX(Reference!$A$6,MIN(Reference!$A$11,MIN($U109,210)))-INDEX(Reference!$A$6:$A$11,MIN(5,MATCH(MAX(Reference!$A$6,MIN(Reference!$A$11,MIN($U109,210))),Reference!$A$6:$A$11,1))))*(INDEX(Reference!$B$6:$B$11,MIN(5,MATCH(MAX(Reference!$A$6,MIN(Reference!$A$11,MIN($U109,210))),Reference!$A$6:$A$11,1))+1)-INDEX(Reference!$B$6:$B$11,MIN(5,MATCH(MAX(Reference!$A$6,MIN(Reference!$A$11,MIN($U109,210))),Reference!$A$6:$A$11,1))))/(INDEX(Reference!$A$6:$A$11,MIN(5,MATCH(MAX(Reference!$A$6,MIN(Reference!$A$11,MIN($U109,210))),Reference!$A$6:$A$11,1))+1)-INDEX(Reference!$A$6:$A$11,MIN(5,MATCH(MAX(Reference!$A$6,MIN(Reference!$A$11,MIN($U109,210))),Reference!$A$6:$A$11,1))))),0)+IF(6&lt;=$AL109,($AL109-6+3)*(INDEX(Reference!$B$6:$B$11,MIN(5,MATCH(MAX(Reference!$A$6,MIN(Reference!$A$11,MIN($U109,240))),Reference!$A$6:$A$11,1)))+(MAX(Reference!$A$6,MIN(Reference!$A$11,MIN($U109,240)))-INDEX(Reference!$A$6:$A$11,MIN(5,MATCH(MAX(Reference!$A$6,MIN(Reference!$A$11,MIN($U109,240))),Reference!$A$6:$A$11,1))))*(INDEX(Reference!$B$6:$B$11,MIN(5,MATCH(MAX(Reference!$A$6,MIN(Reference!$A$11,MIN($U109,240))),Reference!$A$6:$A$11,1))+1)-INDEX(Reference!$B$6:$B$11,MIN(5,MATCH(MAX(Reference!$A$6,MIN(Reference!$A$11,MIN($U109,240))),Reference!$A$6:$A$11,1))))/(INDEX(Reference!$A$6:$A$11,MIN(5,MATCH(MAX(Reference!$A$6,MIN(Reference!$A$11,MIN($U109,240))),Reference!$A$6:$A$11,1))+1)-INDEX(Reference!$A$6:$A$11,MIN(5,MATCH(MAX(Reference!$A$6,MIN(Reference!$A$11,MIN($U109,240))),Reference!$A$6:$A$11,1))))),0)+IF(7&lt;=$AL109,($AL109-7+3)*(INDEX(Reference!$B$6:$B$11,MIN(5,MATCH(MAX(Reference!$A$6,MIN(Reference!$A$11,MIN($U109,270))),Reference!$A$6:$A$11,1)))+(MAX(Reference!$A$6,MIN(Reference!$A$11,MIN($U109,270)))-INDEX(Reference!$A$6:$A$11,MIN(5,MATCH(MAX(Reference!$A$6,MIN(Reference!$A$11,MIN($U109,270))),Reference!$A$6:$A$11,1))))*(INDEX(Reference!$B$6:$B$11,MIN(5,MATCH(MAX(Reference!$A$6,MIN(Reference!$A$11,MIN($U109,270))),Reference!$A$6:$A$11,1))+1)-INDEX(Reference!$B$6:$B$11,MIN(5,MATCH(MAX(Reference!$A$6,MIN(Reference!$A$11,MIN($U109,270))),Reference!$A$6:$A$11,1))))/(INDEX(Reference!$A$6:$A$11,MIN(5,MATCH(MAX(Reference!$A$6,MIN(Reference!$A$11,MIN($U109,270))),Reference!$A$6:$A$11,1))+1)-INDEX(Reference!$A$6:$A$11,MIN(5,MATCH(MAX(Reference!$A$6,MIN(Reference!$A$11,MIN($U109,270))),Reference!$A$6:$A$11,1))))),0)+IF(8&lt;=$AL109,($AL109-8+3)*(INDEX(Reference!$B$6:$B$11,MIN(5,MATCH(MAX(Reference!$A$6,MIN(Reference!$A$11,MIN($U109,300))),Reference!$A$6:$A$11,1)))+(MAX(Reference!$A$6,MIN(Reference!$A$11,MIN($U109,300)))-INDEX(Reference!$A$6:$A$11,MIN(5,MATCH(MAX(Reference!$A$6,MIN(Reference!$A$11,MIN($U109,300))),Reference!$A$6:$A$11,1))))*(INDEX(Reference!$B$6:$B$11,MIN(5,MATCH(MAX(Reference!$A$6,MIN(Reference!$A$11,MIN($U109,300))),Reference!$A$6:$A$11,1))+1)-INDEX(Reference!$B$6:$B$11,MIN(5,MATCH(MAX(Reference!$A$6,MIN(Reference!$A$11,MIN($U109,300))),Reference!$A$6:$A$11,1))))/(INDEX(Reference!$A$6:$A$11,MIN(5,MATCH(MAX(Reference!$A$6,MIN(Reference!$A$11,MIN($U109,300))),Reference!$A$6:$A$11,1))+1)-INDEX(Reference!$A$6:$A$11,MIN(5,MATCH(MAX(Reference!$A$6,MIN(Reference!$A$11,MIN($U109,300))),Reference!$A$6:$A$11,1))))),0))/($AL109*($AL109+5)/2)),$AN109))</f>
        <v>0</v>
      </c>
      <c r="AN109" s="32">
        <f>IF($U109="",0,(INDEX(Reference!$B$6:$B$11,MIN(5,MATCH(MAX(Reference!$A$6,MIN(Reference!$A$11,$U109)),Reference!$A$6:$A$11,1)))+(MAX(Reference!$A$6,MIN(Reference!$A$11,$U109))-INDEX(Reference!$A$6:$A$11,MIN(5,MATCH(MAX(Reference!$A$6,MIN(Reference!$A$11,$U109)),Reference!$A$6:$A$11,1))))*(INDEX(Reference!$B$6:$B$11,MIN(5,MATCH(MAX(Reference!$A$6,MIN(Reference!$A$11,$U109)),Reference!$A$6:$A$11,1))+1)-INDEX(Reference!$B$6:$B$11,MIN(5,MATCH(MAX(Reference!$A$6,MIN(Reference!$A$11,$U109)),Reference!$A$6:$A$11,1))))/(INDEX(Reference!$A$6:$A$11,MIN(5,MATCH(MAX(Reference!$A$6,MIN(Reference!$A$11,$U109)),Reference!$A$6:$A$11,1))+1)-INDEX(Reference!$A$6:$A$11,MIN(5,MATCH(MAX(Reference!$A$6,MIN(Reference!$A$11,$U109)),Reference!$A$6:$A$11,1))))))</f>
        <v>0</v>
      </c>
      <c r="AO109" s="37"/>
      <c r="AP109" s="37"/>
      <c r="AQ109" s="37"/>
    </row>
    <row r="110" spans="1:43" x14ac:dyDescent="0.3">
      <c r="A110" s="48" t="str">
        <f t="shared" si="55"/>
        <v/>
      </c>
      <c r="B110" s="32" t="str">
        <f t="shared" si="56"/>
        <v/>
      </c>
      <c r="C110" s="32" t="str">
        <f t="shared" si="57"/>
        <v/>
      </c>
      <c r="D110" s="32" t="str">
        <f t="shared" si="58"/>
        <v/>
      </c>
      <c r="E110" s="32" t="str">
        <f t="shared" si="59"/>
        <v/>
      </c>
      <c r="F110" s="32" t="str">
        <f t="shared" si="60"/>
        <v/>
      </c>
      <c r="G110" s="47" t="str">
        <f t="shared" si="61"/>
        <v/>
      </c>
      <c r="H110" s="30" t="str">
        <f t="shared" si="62"/>
        <v/>
      </c>
      <c r="I110" s="46" t="str">
        <f>IF($A110="","",IF(AND($L110&lt;27,$K$12=0),"Building",IFERROR(((SUM($H$104:$H110)+$K$12*IF($L110&lt;6,SUMIFS('Throw Log'!$Q$5:$Q$300,'Throw Log'!$B$5:$B$300,$D$4,'Throw Log'!$A$5:$A$300,"&gt;="&amp;($D$6+$L110-6),'Throw Log'!$A$5:$A$300,"&lt;="&amp;($D$6-1)),0))/7)/((SUM($H$83:$H110)+$K$12*IF($L110&lt;27,SUMIFS('Throw Log'!$Q$5:$Q$300,'Throw Log'!$B$5:$B$300,$D$4,'Throw Log'!$A$5:$A$300,"&gt;="&amp;($D$6+$L110-27),'Throw Log'!$A$5:$A$300,"&lt;="&amp;($D$6-1)),0))/28),"")))</f>
        <v/>
      </c>
      <c r="J110" s="37"/>
      <c r="K110" s="37"/>
      <c r="L110" s="32">
        <v>67</v>
      </c>
      <c r="M110" s="32">
        <f t="shared" si="63"/>
        <v>10</v>
      </c>
      <c r="N110" s="32">
        <f t="shared" si="64"/>
        <v>4</v>
      </c>
      <c r="O110" s="32">
        <f t="shared" si="65"/>
        <v>1</v>
      </c>
      <c r="P110" s="32" t="str">
        <f>IF(OR($A110="",N($C110)&lt;=7),"",$G$6*$G$9^($M110-1)*IF(AND(MOD($M110,Reference!$B$99)=0,$M110&lt;=$G$5-2),Reference!$B$100,1))</f>
        <v/>
      </c>
      <c r="Q110" s="32" t="str">
        <f>IF($P110="","",IF(SUM($AK$106:$AK$112)=0,0,$P110*INDEX(Reference!$B$108:$B$114,$N110+1)/SUM($AK$106:$AK$112)))</f>
        <v/>
      </c>
      <c r="R110" s="32">
        <f t="shared" si="66"/>
        <v>120</v>
      </c>
      <c r="S110" s="32">
        <f t="shared" si="67"/>
        <v>105</v>
      </c>
      <c r="T110" s="32" t="str">
        <f>IF($A110="","",IF($C110=0,"Bullpen",IF(OR($C110=7,$C110=1,$C110=5),"Recovery/Easy Catch",IF($C110=6,"Compression/Pulldowns",IF(OR($C110=4,$C110=2),"Long Toss",IF($C110=3,"No Throw",IF($N110=2,"No Throw",IF($N110=6,IF($O110&lt;Reference!$B$104,"No Throw","Recovery/Easy Catch"),IF(OR($N110=0,$N110=4),"Recovery/Easy Catch",IF($N110=1,IF($R110&gt;75,"Long Toss","Recovery/Easy Catch"),IF($N110=3,IF($O110&lt;0.5,IF($S110&gt;75,"Long Toss","Recovery/Easy Catch"),"Compression/Pulldowns"),IF($S110&gt;75,"Long Toss","Recovery/Easy Catch"))))))))))))</f>
        <v/>
      </c>
      <c r="U110" s="32" t="str">
        <f t="shared" si="68"/>
        <v/>
      </c>
      <c r="V110" s="32" t="str">
        <f t="shared" si="69"/>
        <v/>
      </c>
      <c r="W110" s="32" t="str">
        <f t="shared" si="70"/>
        <v/>
      </c>
      <c r="X110" s="32">
        <f t="shared" si="71"/>
        <v>0</v>
      </c>
      <c r="Y110" s="32" t="str">
        <f t="shared" si="72"/>
        <v/>
      </c>
      <c r="Z110" s="32" t="str">
        <f t="shared" si="73"/>
        <v/>
      </c>
      <c r="AA110" s="32" t="str">
        <f t="shared" si="74"/>
        <v/>
      </c>
      <c r="AB110" s="32" t="str">
        <f>IF($A110="","",IF($T110="No Throw",0,IF($K110&lt;&gt;"",$K110,IF($AA110&lt;&gt;"",ROUND($AA110*$D$12*IF($C110=0,1,$G$10),0),MIN(IF($T110="Recovery/Easy Catch",Reference!$B$103,IF($T110="Long Toss",Reference!$B$106,Reference!$B$102)),MAX(Reference!$B$101,ROUND(MAX(0,$Q110-$AE110)/$AF110,0)))))))</f>
        <v/>
      </c>
      <c r="AC110" s="32">
        <f t="shared" si="75"/>
        <v>0</v>
      </c>
      <c r="AD110" s="32" t="b">
        <f t="shared" si="76"/>
        <v>1</v>
      </c>
      <c r="AE110" s="32">
        <f>IF($X110=0,0,$X110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110+$Z110)/2,0),Reference!$A$17:$B$20,2,TRUE()))</f>
        <v>0</v>
      </c>
      <c r="AF110" s="32">
        <f>IF(OR($A110="",$U110="",$T110="No Throw"),0,$AM110*VLOOKUP(MAX(($V110+$W110)/2,0),Reference!$A$17:$B$20,2,TRUE()))</f>
        <v>0</v>
      </c>
      <c r="AG110" s="32">
        <f>IF($AC110=0,0,$AC110*INDEX(Reference!$B$61:$B$62,MATCH("Bullpen",Reference!$A$61:$A$62,0))*VLOOKUP(MAX($D$5-($D$9+$E$9)/2,0),Reference!$A$17:$B$20,2,TRUE()))</f>
        <v>0</v>
      </c>
      <c r="AH110" s="32" t="e">
        <f t="shared" si="77"/>
        <v>#N/A</v>
      </c>
      <c r="AI110" s="32" t="e">
        <f>IF($A110="",NA(),Reference!$A$25)</f>
        <v>#N/A</v>
      </c>
      <c r="AJ110" s="32" t="e">
        <f t="shared" si="78"/>
        <v>#N/A</v>
      </c>
      <c r="AK110" s="32">
        <f>IF(OR($A110="",N($C110)&lt;=7,$T110="No Throw",$J110="x"),0,INDEX(Reference!$B$108:$B$114,$N110+1))</f>
        <v>0</v>
      </c>
      <c r="AL110" s="32">
        <f t="shared" si="79"/>
        <v>1</v>
      </c>
      <c r="AM110" s="32">
        <f>IF($U110="",0,IF($AL110&gt;1,((IF(1&lt;=$AL110,($AL110-1+3)*(INDEX(Reference!$B$6:$B$11,MIN(5,MATCH(MAX(Reference!$A$6,MIN(Reference!$A$11,MIN($U110,90))),Reference!$A$6:$A$11,1)))+(MAX(Reference!$A$6,MIN(Reference!$A$11,MIN($U110,90)))-INDEX(Reference!$A$6:$A$11,MIN(5,MATCH(MAX(Reference!$A$6,MIN(Reference!$A$11,MIN($U110,90))),Reference!$A$6:$A$11,1))))*(INDEX(Reference!$B$6:$B$11,MIN(5,MATCH(MAX(Reference!$A$6,MIN(Reference!$A$11,MIN($U110,90))),Reference!$A$6:$A$11,1))+1)-INDEX(Reference!$B$6:$B$11,MIN(5,MATCH(MAX(Reference!$A$6,MIN(Reference!$A$11,MIN($U110,90))),Reference!$A$6:$A$11,1))))/(INDEX(Reference!$A$6:$A$11,MIN(5,MATCH(MAX(Reference!$A$6,MIN(Reference!$A$11,MIN($U110,90))),Reference!$A$6:$A$11,1))+1)-INDEX(Reference!$A$6:$A$11,MIN(5,MATCH(MAX(Reference!$A$6,MIN(Reference!$A$11,MIN($U110,90))),Reference!$A$6:$A$11,1))))),0)+IF(2&lt;=$AL110,($AL110-2+3)*(INDEX(Reference!$B$6:$B$11,MIN(5,MATCH(MAX(Reference!$A$6,MIN(Reference!$A$11,MIN($U110,120))),Reference!$A$6:$A$11,1)))+(MAX(Reference!$A$6,MIN(Reference!$A$11,MIN($U110,120)))-INDEX(Reference!$A$6:$A$11,MIN(5,MATCH(MAX(Reference!$A$6,MIN(Reference!$A$11,MIN($U110,120))),Reference!$A$6:$A$11,1))))*(INDEX(Reference!$B$6:$B$11,MIN(5,MATCH(MAX(Reference!$A$6,MIN(Reference!$A$11,MIN($U110,120))),Reference!$A$6:$A$11,1))+1)-INDEX(Reference!$B$6:$B$11,MIN(5,MATCH(MAX(Reference!$A$6,MIN(Reference!$A$11,MIN($U110,120))),Reference!$A$6:$A$11,1))))/(INDEX(Reference!$A$6:$A$11,MIN(5,MATCH(MAX(Reference!$A$6,MIN(Reference!$A$11,MIN($U110,120))),Reference!$A$6:$A$11,1))+1)-INDEX(Reference!$A$6:$A$11,MIN(5,MATCH(MAX(Reference!$A$6,MIN(Reference!$A$11,MIN($U110,120))),Reference!$A$6:$A$11,1))))),0)+IF(3&lt;=$AL110,($AL110-3+3)*(INDEX(Reference!$B$6:$B$11,MIN(5,MATCH(MAX(Reference!$A$6,MIN(Reference!$A$11,MIN($U110,150))),Reference!$A$6:$A$11,1)))+(MAX(Reference!$A$6,MIN(Reference!$A$11,MIN($U110,150)))-INDEX(Reference!$A$6:$A$11,MIN(5,MATCH(MAX(Reference!$A$6,MIN(Reference!$A$11,MIN($U110,150))),Reference!$A$6:$A$11,1))))*(INDEX(Reference!$B$6:$B$11,MIN(5,MATCH(MAX(Reference!$A$6,MIN(Reference!$A$11,MIN($U110,150))),Reference!$A$6:$A$11,1))+1)-INDEX(Reference!$B$6:$B$11,MIN(5,MATCH(MAX(Reference!$A$6,MIN(Reference!$A$11,MIN($U110,150))),Reference!$A$6:$A$11,1))))/(INDEX(Reference!$A$6:$A$11,MIN(5,MATCH(MAX(Reference!$A$6,MIN(Reference!$A$11,MIN($U110,150))),Reference!$A$6:$A$11,1))+1)-INDEX(Reference!$A$6:$A$11,MIN(5,MATCH(MAX(Reference!$A$6,MIN(Reference!$A$11,MIN($U110,150))),Reference!$A$6:$A$11,1))))),0)+IF(4&lt;=$AL110,($AL110-4+3)*(INDEX(Reference!$B$6:$B$11,MIN(5,MATCH(MAX(Reference!$A$6,MIN(Reference!$A$11,MIN($U110,180))),Reference!$A$6:$A$11,1)))+(MAX(Reference!$A$6,MIN(Reference!$A$11,MIN($U110,180)))-INDEX(Reference!$A$6:$A$11,MIN(5,MATCH(MAX(Reference!$A$6,MIN(Reference!$A$11,MIN($U110,180))),Reference!$A$6:$A$11,1))))*(INDEX(Reference!$B$6:$B$11,MIN(5,MATCH(MAX(Reference!$A$6,MIN(Reference!$A$11,MIN($U110,180))),Reference!$A$6:$A$11,1))+1)-INDEX(Reference!$B$6:$B$11,MIN(5,MATCH(MAX(Reference!$A$6,MIN(Reference!$A$11,MIN($U110,180))),Reference!$A$6:$A$11,1))))/(INDEX(Reference!$A$6:$A$11,MIN(5,MATCH(MAX(Reference!$A$6,MIN(Reference!$A$11,MIN($U110,180))),Reference!$A$6:$A$11,1))+1)-INDEX(Reference!$A$6:$A$11,MIN(5,MATCH(MAX(Reference!$A$6,MIN(Reference!$A$11,MIN($U110,180))),Reference!$A$6:$A$11,1))))),0)+IF(5&lt;=$AL110,($AL110-5+3)*(INDEX(Reference!$B$6:$B$11,MIN(5,MATCH(MAX(Reference!$A$6,MIN(Reference!$A$11,MIN($U110,210))),Reference!$A$6:$A$11,1)))+(MAX(Reference!$A$6,MIN(Reference!$A$11,MIN($U110,210)))-INDEX(Reference!$A$6:$A$11,MIN(5,MATCH(MAX(Reference!$A$6,MIN(Reference!$A$11,MIN($U110,210))),Reference!$A$6:$A$11,1))))*(INDEX(Reference!$B$6:$B$11,MIN(5,MATCH(MAX(Reference!$A$6,MIN(Reference!$A$11,MIN($U110,210))),Reference!$A$6:$A$11,1))+1)-INDEX(Reference!$B$6:$B$11,MIN(5,MATCH(MAX(Reference!$A$6,MIN(Reference!$A$11,MIN($U110,210))),Reference!$A$6:$A$11,1))))/(INDEX(Reference!$A$6:$A$11,MIN(5,MATCH(MAX(Reference!$A$6,MIN(Reference!$A$11,MIN($U110,210))),Reference!$A$6:$A$11,1))+1)-INDEX(Reference!$A$6:$A$11,MIN(5,MATCH(MAX(Reference!$A$6,MIN(Reference!$A$11,MIN($U110,210))),Reference!$A$6:$A$11,1))))),0)+IF(6&lt;=$AL110,($AL110-6+3)*(INDEX(Reference!$B$6:$B$11,MIN(5,MATCH(MAX(Reference!$A$6,MIN(Reference!$A$11,MIN($U110,240))),Reference!$A$6:$A$11,1)))+(MAX(Reference!$A$6,MIN(Reference!$A$11,MIN($U110,240)))-INDEX(Reference!$A$6:$A$11,MIN(5,MATCH(MAX(Reference!$A$6,MIN(Reference!$A$11,MIN($U110,240))),Reference!$A$6:$A$11,1))))*(INDEX(Reference!$B$6:$B$11,MIN(5,MATCH(MAX(Reference!$A$6,MIN(Reference!$A$11,MIN($U110,240))),Reference!$A$6:$A$11,1))+1)-INDEX(Reference!$B$6:$B$11,MIN(5,MATCH(MAX(Reference!$A$6,MIN(Reference!$A$11,MIN($U110,240))),Reference!$A$6:$A$11,1))))/(INDEX(Reference!$A$6:$A$11,MIN(5,MATCH(MAX(Reference!$A$6,MIN(Reference!$A$11,MIN($U110,240))),Reference!$A$6:$A$11,1))+1)-INDEX(Reference!$A$6:$A$11,MIN(5,MATCH(MAX(Reference!$A$6,MIN(Reference!$A$11,MIN($U110,240))),Reference!$A$6:$A$11,1))))),0)+IF(7&lt;=$AL110,($AL110-7+3)*(INDEX(Reference!$B$6:$B$11,MIN(5,MATCH(MAX(Reference!$A$6,MIN(Reference!$A$11,MIN($U110,270))),Reference!$A$6:$A$11,1)))+(MAX(Reference!$A$6,MIN(Reference!$A$11,MIN($U110,270)))-INDEX(Reference!$A$6:$A$11,MIN(5,MATCH(MAX(Reference!$A$6,MIN(Reference!$A$11,MIN($U110,270))),Reference!$A$6:$A$11,1))))*(INDEX(Reference!$B$6:$B$11,MIN(5,MATCH(MAX(Reference!$A$6,MIN(Reference!$A$11,MIN($U110,270))),Reference!$A$6:$A$11,1))+1)-INDEX(Reference!$B$6:$B$11,MIN(5,MATCH(MAX(Reference!$A$6,MIN(Reference!$A$11,MIN($U110,270))),Reference!$A$6:$A$11,1))))/(INDEX(Reference!$A$6:$A$11,MIN(5,MATCH(MAX(Reference!$A$6,MIN(Reference!$A$11,MIN($U110,270))),Reference!$A$6:$A$11,1))+1)-INDEX(Reference!$A$6:$A$11,MIN(5,MATCH(MAX(Reference!$A$6,MIN(Reference!$A$11,MIN($U110,270))),Reference!$A$6:$A$11,1))))),0)+IF(8&lt;=$AL110,($AL110-8+3)*(INDEX(Reference!$B$6:$B$11,MIN(5,MATCH(MAX(Reference!$A$6,MIN(Reference!$A$11,MIN($U110,300))),Reference!$A$6:$A$11,1)))+(MAX(Reference!$A$6,MIN(Reference!$A$11,MIN($U110,300)))-INDEX(Reference!$A$6:$A$11,MIN(5,MATCH(MAX(Reference!$A$6,MIN(Reference!$A$11,MIN($U110,300))),Reference!$A$6:$A$11,1))))*(INDEX(Reference!$B$6:$B$11,MIN(5,MATCH(MAX(Reference!$A$6,MIN(Reference!$A$11,MIN($U110,300))),Reference!$A$6:$A$11,1))+1)-INDEX(Reference!$B$6:$B$11,MIN(5,MATCH(MAX(Reference!$A$6,MIN(Reference!$A$11,MIN($U110,300))),Reference!$A$6:$A$11,1))))/(INDEX(Reference!$A$6:$A$11,MIN(5,MATCH(MAX(Reference!$A$6,MIN(Reference!$A$11,MIN($U110,300))),Reference!$A$6:$A$11,1))+1)-INDEX(Reference!$A$6:$A$11,MIN(5,MATCH(MAX(Reference!$A$6,MIN(Reference!$A$11,MIN($U110,300))),Reference!$A$6:$A$11,1))))),0))/($AL110*($AL110+5)/2)),$AN110))</f>
        <v>0</v>
      </c>
      <c r="AN110" s="32">
        <f>IF($U110="",0,(INDEX(Reference!$B$6:$B$11,MIN(5,MATCH(MAX(Reference!$A$6,MIN(Reference!$A$11,$U110)),Reference!$A$6:$A$11,1)))+(MAX(Reference!$A$6,MIN(Reference!$A$11,$U110))-INDEX(Reference!$A$6:$A$11,MIN(5,MATCH(MAX(Reference!$A$6,MIN(Reference!$A$11,$U110)),Reference!$A$6:$A$11,1))))*(INDEX(Reference!$B$6:$B$11,MIN(5,MATCH(MAX(Reference!$A$6,MIN(Reference!$A$11,$U110)),Reference!$A$6:$A$11,1))+1)-INDEX(Reference!$B$6:$B$11,MIN(5,MATCH(MAX(Reference!$A$6,MIN(Reference!$A$11,$U110)),Reference!$A$6:$A$11,1))))/(INDEX(Reference!$A$6:$A$11,MIN(5,MATCH(MAX(Reference!$A$6,MIN(Reference!$A$11,$U110)),Reference!$A$6:$A$11,1))+1)-INDEX(Reference!$A$6:$A$11,MIN(5,MATCH(MAX(Reference!$A$6,MIN(Reference!$A$11,$U110)),Reference!$A$6:$A$11,1))))))</f>
        <v>0</v>
      </c>
      <c r="AO110" s="37"/>
      <c r="AP110" s="37"/>
      <c r="AQ110" s="37"/>
    </row>
    <row r="111" spans="1:43" x14ac:dyDescent="0.3">
      <c r="A111" s="48" t="str">
        <f t="shared" si="55"/>
        <v/>
      </c>
      <c r="B111" s="32" t="str">
        <f t="shared" si="56"/>
        <v/>
      </c>
      <c r="C111" s="32" t="str">
        <f t="shared" si="57"/>
        <v/>
      </c>
      <c r="D111" s="32" t="str">
        <f t="shared" si="58"/>
        <v/>
      </c>
      <c r="E111" s="32" t="str">
        <f t="shared" si="59"/>
        <v/>
      </c>
      <c r="F111" s="32" t="str">
        <f t="shared" si="60"/>
        <v/>
      </c>
      <c r="G111" s="47" t="str">
        <f t="shared" si="61"/>
        <v/>
      </c>
      <c r="H111" s="30" t="str">
        <f t="shared" si="62"/>
        <v/>
      </c>
      <c r="I111" s="46" t="str">
        <f>IF($A111="","",IF(AND($L111&lt;27,$K$12=0),"Building",IFERROR(((SUM($H$105:$H111)+$K$12*IF($L111&lt;6,SUMIFS('Throw Log'!$Q$5:$Q$300,'Throw Log'!$B$5:$B$300,$D$4,'Throw Log'!$A$5:$A$300,"&gt;="&amp;($D$6+$L111-6),'Throw Log'!$A$5:$A$300,"&lt;="&amp;($D$6-1)),0))/7)/((SUM($H$84:$H111)+$K$12*IF($L111&lt;27,SUMIFS('Throw Log'!$Q$5:$Q$300,'Throw Log'!$B$5:$B$300,$D$4,'Throw Log'!$A$5:$A$300,"&gt;="&amp;($D$6+$L111-27),'Throw Log'!$A$5:$A$300,"&lt;="&amp;($D$6-1)),0))/28),"")))</f>
        <v/>
      </c>
      <c r="J111" s="37"/>
      <c r="K111" s="37"/>
      <c r="L111" s="32">
        <v>68</v>
      </c>
      <c r="M111" s="32">
        <f t="shared" si="63"/>
        <v>10</v>
      </c>
      <c r="N111" s="32">
        <f t="shared" si="64"/>
        <v>5</v>
      </c>
      <c r="O111" s="32">
        <f t="shared" si="65"/>
        <v>1</v>
      </c>
      <c r="P111" s="32" t="str">
        <f>IF(OR($A111="",N($C111)&lt;=7),"",$G$6*$G$9^($M111-1)*IF(AND(MOD($M111,Reference!$B$99)=0,$M111&lt;=$G$5-2),Reference!$B$100,1))</f>
        <v/>
      </c>
      <c r="Q111" s="32" t="str">
        <f>IF($P111="","",IF(SUM($AK$106:$AK$112)=0,0,$P111*INDEX(Reference!$B$108:$B$114,$N111+1)/SUM($AK$106:$AK$112)))</f>
        <v/>
      </c>
      <c r="R111" s="32">
        <f t="shared" si="66"/>
        <v>120</v>
      </c>
      <c r="S111" s="32">
        <f t="shared" si="67"/>
        <v>105</v>
      </c>
      <c r="T111" s="32" t="str">
        <f>IF($A111="","",IF($C111=0,"Bullpen",IF(OR($C111=7,$C111=1,$C111=5),"Recovery/Easy Catch",IF($C111=6,"Compression/Pulldowns",IF(OR($C111=4,$C111=2),"Long Toss",IF($C111=3,"No Throw",IF($N111=2,"No Throw",IF($N111=6,IF($O111&lt;Reference!$B$104,"No Throw","Recovery/Easy Catch"),IF(OR($N111=0,$N111=4),"Recovery/Easy Catch",IF($N111=1,IF($R111&gt;75,"Long Toss","Recovery/Easy Catch"),IF($N111=3,IF($O111&lt;0.5,IF($S111&gt;75,"Long Toss","Recovery/Easy Catch"),"Compression/Pulldowns"),IF($S111&gt;75,"Long Toss","Recovery/Easy Catch"))))))))))))</f>
        <v/>
      </c>
      <c r="U111" s="32" t="str">
        <f t="shared" si="68"/>
        <v/>
      </c>
      <c r="V111" s="32" t="str">
        <f t="shared" si="69"/>
        <v/>
      </c>
      <c r="W111" s="32" t="str">
        <f t="shared" si="70"/>
        <v/>
      </c>
      <c r="X111" s="32">
        <f t="shared" si="71"/>
        <v>0</v>
      </c>
      <c r="Y111" s="32" t="str">
        <f t="shared" si="72"/>
        <v/>
      </c>
      <c r="Z111" s="32" t="str">
        <f t="shared" si="73"/>
        <v/>
      </c>
      <c r="AA111" s="32" t="str">
        <f t="shared" si="74"/>
        <v/>
      </c>
      <c r="AB111" s="32" t="str">
        <f>IF($A111="","",IF($T111="No Throw",0,IF($K111&lt;&gt;"",$K111,IF($AA111&lt;&gt;"",ROUND($AA111*$D$12*IF($C111=0,1,$G$10),0),MIN(IF($T111="Recovery/Easy Catch",Reference!$B$103,IF($T111="Long Toss",Reference!$B$106,Reference!$B$102)),MAX(Reference!$B$101,ROUND(MAX(0,$Q111-$AE111)/$AF111,0)))))))</f>
        <v/>
      </c>
      <c r="AC111" s="32">
        <f t="shared" si="75"/>
        <v>0</v>
      </c>
      <c r="AD111" s="32" t="b">
        <f t="shared" si="76"/>
        <v>1</v>
      </c>
      <c r="AE111" s="32">
        <f>IF($X111=0,0,$X111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111+$Z111)/2,0),Reference!$A$17:$B$20,2,TRUE()))</f>
        <v>0</v>
      </c>
      <c r="AF111" s="32">
        <f>IF(OR($A111="",$U111="",$T111="No Throw"),0,$AM111*VLOOKUP(MAX(($V111+$W111)/2,0),Reference!$A$17:$B$20,2,TRUE()))</f>
        <v>0</v>
      </c>
      <c r="AG111" s="32">
        <f>IF($AC111=0,0,$AC111*INDEX(Reference!$B$61:$B$62,MATCH("Bullpen",Reference!$A$61:$A$62,0))*VLOOKUP(MAX($D$5-($D$9+$E$9)/2,0),Reference!$A$17:$B$20,2,TRUE()))</f>
        <v>0</v>
      </c>
      <c r="AH111" s="32" t="e">
        <f t="shared" si="77"/>
        <v>#N/A</v>
      </c>
      <c r="AI111" s="32" t="e">
        <f>IF($A111="",NA(),Reference!$A$25)</f>
        <v>#N/A</v>
      </c>
      <c r="AJ111" s="32" t="e">
        <f t="shared" si="78"/>
        <v>#N/A</v>
      </c>
      <c r="AK111" s="32">
        <f>IF(OR($A111="",N($C111)&lt;=7,$T111="No Throw",$J111="x"),0,INDEX(Reference!$B$108:$B$114,$N111+1))</f>
        <v>0</v>
      </c>
      <c r="AL111" s="32">
        <f t="shared" si="79"/>
        <v>1</v>
      </c>
      <c r="AM111" s="32">
        <f>IF($U111="",0,IF($AL111&gt;1,((IF(1&lt;=$AL111,($AL111-1+3)*(INDEX(Reference!$B$6:$B$11,MIN(5,MATCH(MAX(Reference!$A$6,MIN(Reference!$A$11,MIN($U111,90))),Reference!$A$6:$A$11,1)))+(MAX(Reference!$A$6,MIN(Reference!$A$11,MIN($U111,90)))-INDEX(Reference!$A$6:$A$11,MIN(5,MATCH(MAX(Reference!$A$6,MIN(Reference!$A$11,MIN($U111,90))),Reference!$A$6:$A$11,1))))*(INDEX(Reference!$B$6:$B$11,MIN(5,MATCH(MAX(Reference!$A$6,MIN(Reference!$A$11,MIN($U111,90))),Reference!$A$6:$A$11,1))+1)-INDEX(Reference!$B$6:$B$11,MIN(5,MATCH(MAX(Reference!$A$6,MIN(Reference!$A$11,MIN($U111,90))),Reference!$A$6:$A$11,1))))/(INDEX(Reference!$A$6:$A$11,MIN(5,MATCH(MAX(Reference!$A$6,MIN(Reference!$A$11,MIN($U111,90))),Reference!$A$6:$A$11,1))+1)-INDEX(Reference!$A$6:$A$11,MIN(5,MATCH(MAX(Reference!$A$6,MIN(Reference!$A$11,MIN($U111,90))),Reference!$A$6:$A$11,1))))),0)+IF(2&lt;=$AL111,($AL111-2+3)*(INDEX(Reference!$B$6:$B$11,MIN(5,MATCH(MAX(Reference!$A$6,MIN(Reference!$A$11,MIN($U111,120))),Reference!$A$6:$A$11,1)))+(MAX(Reference!$A$6,MIN(Reference!$A$11,MIN($U111,120)))-INDEX(Reference!$A$6:$A$11,MIN(5,MATCH(MAX(Reference!$A$6,MIN(Reference!$A$11,MIN($U111,120))),Reference!$A$6:$A$11,1))))*(INDEX(Reference!$B$6:$B$11,MIN(5,MATCH(MAX(Reference!$A$6,MIN(Reference!$A$11,MIN($U111,120))),Reference!$A$6:$A$11,1))+1)-INDEX(Reference!$B$6:$B$11,MIN(5,MATCH(MAX(Reference!$A$6,MIN(Reference!$A$11,MIN($U111,120))),Reference!$A$6:$A$11,1))))/(INDEX(Reference!$A$6:$A$11,MIN(5,MATCH(MAX(Reference!$A$6,MIN(Reference!$A$11,MIN($U111,120))),Reference!$A$6:$A$11,1))+1)-INDEX(Reference!$A$6:$A$11,MIN(5,MATCH(MAX(Reference!$A$6,MIN(Reference!$A$11,MIN($U111,120))),Reference!$A$6:$A$11,1))))),0)+IF(3&lt;=$AL111,($AL111-3+3)*(INDEX(Reference!$B$6:$B$11,MIN(5,MATCH(MAX(Reference!$A$6,MIN(Reference!$A$11,MIN($U111,150))),Reference!$A$6:$A$11,1)))+(MAX(Reference!$A$6,MIN(Reference!$A$11,MIN($U111,150)))-INDEX(Reference!$A$6:$A$11,MIN(5,MATCH(MAX(Reference!$A$6,MIN(Reference!$A$11,MIN($U111,150))),Reference!$A$6:$A$11,1))))*(INDEX(Reference!$B$6:$B$11,MIN(5,MATCH(MAX(Reference!$A$6,MIN(Reference!$A$11,MIN($U111,150))),Reference!$A$6:$A$11,1))+1)-INDEX(Reference!$B$6:$B$11,MIN(5,MATCH(MAX(Reference!$A$6,MIN(Reference!$A$11,MIN($U111,150))),Reference!$A$6:$A$11,1))))/(INDEX(Reference!$A$6:$A$11,MIN(5,MATCH(MAX(Reference!$A$6,MIN(Reference!$A$11,MIN($U111,150))),Reference!$A$6:$A$11,1))+1)-INDEX(Reference!$A$6:$A$11,MIN(5,MATCH(MAX(Reference!$A$6,MIN(Reference!$A$11,MIN($U111,150))),Reference!$A$6:$A$11,1))))),0)+IF(4&lt;=$AL111,($AL111-4+3)*(INDEX(Reference!$B$6:$B$11,MIN(5,MATCH(MAX(Reference!$A$6,MIN(Reference!$A$11,MIN($U111,180))),Reference!$A$6:$A$11,1)))+(MAX(Reference!$A$6,MIN(Reference!$A$11,MIN($U111,180)))-INDEX(Reference!$A$6:$A$11,MIN(5,MATCH(MAX(Reference!$A$6,MIN(Reference!$A$11,MIN($U111,180))),Reference!$A$6:$A$11,1))))*(INDEX(Reference!$B$6:$B$11,MIN(5,MATCH(MAX(Reference!$A$6,MIN(Reference!$A$11,MIN($U111,180))),Reference!$A$6:$A$11,1))+1)-INDEX(Reference!$B$6:$B$11,MIN(5,MATCH(MAX(Reference!$A$6,MIN(Reference!$A$11,MIN($U111,180))),Reference!$A$6:$A$11,1))))/(INDEX(Reference!$A$6:$A$11,MIN(5,MATCH(MAX(Reference!$A$6,MIN(Reference!$A$11,MIN($U111,180))),Reference!$A$6:$A$11,1))+1)-INDEX(Reference!$A$6:$A$11,MIN(5,MATCH(MAX(Reference!$A$6,MIN(Reference!$A$11,MIN($U111,180))),Reference!$A$6:$A$11,1))))),0)+IF(5&lt;=$AL111,($AL111-5+3)*(INDEX(Reference!$B$6:$B$11,MIN(5,MATCH(MAX(Reference!$A$6,MIN(Reference!$A$11,MIN($U111,210))),Reference!$A$6:$A$11,1)))+(MAX(Reference!$A$6,MIN(Reference!$A$11,MIN($U111,210)))-INDEX(Reference!$A$6:$A$11,MIN(5,MATCH(MAX(Reference!$A$6,MIN(Reference!$A$11,MIN($U111,210))),Reference!$A$6:$A$11,1))))*(INDEX(Reference!$B$6:$B$11,MIN(5,MATCH(MAX(Reference!$A$6,MIN(Reference!$A$11,MIN($U111,210))),Reference!$A$6:$A$11,1))+1)-INDEX(Reference!$B$6:$B$11,MIN(5,MATCH(MAX(Reference!$A$6,MIN(Reference!$A$11,MIN($U111,210))),Reference!$A$6:$A$11,1))))/(INDEX(Reference!$A$6:$A$11,MIN(5,MATCH(MAX(Reference!$A$6,MIN(Reference!$A$11,MIN($U111,210))),Reference!$A$6:$A$11,1))+1)-INDEX(Reference!$A$6:$A$11,MIN(5,MATCH(MAX(Reference!$A$6,MIN(Reference!$A$11,MIN($U111,210))),Reference!$A$6:$A$11,1))))),0)+IF(6&lt;=$AL111,($AL111-6+3)*(INDEX(Reference!$B$6:$B$11,MIN(5,MATCH(MAX(Reference!$A$6,MIN(Reference!$A$11,MIN($U111,240))),Reference!$A$6:$A$11,1)))+(MAX(Reference!$A$6,MIN(Reference!$A$11,MIN($U111,240)))-INDEX(Reference!$A$6:$A$11,MIN(5,MATCH(MAX(Reference!$A$6,MIN(Reference!$A$11,MIN($U111,240))),Reference!$A$6:$A$11,1))))*(INDEX(Reference!$B$6:$B$11,MIN(5,MATCH(MAX(Reference!$A$6,MIN(Reference!$A$11,MIN($U111,240))),Reference!$A$6:$A$11,1))+1)-INDEX(Reference!$B$6:$B$11,MIN(5,MATCH(MAX(Reference!$A$6,MIN(Reference!$A$11,MIN($U111,240))),Reference!$A$6:$A$11,1))))/(INDEX(Reference!$A$6:$A$11,MIN(5,MATCH(MAX(Reference!$A$6,MIN(Reference!$A$11,MIN($U111,240))),Reference!$A$6:$A$11,1))+1)-INDEX(Reference!$A$6:$A$11,MIN(5,MATCH(MAX(Reference!$A$6,MIN(Reference!$A$11,MIN($U111,240))),Reference!$A$6:$A$11,1))))),0)+IF(7&lt;=$AL111,($AL111-7+3)*(INDEX(Reference!$B$6:$B$11,MIN(5,MATCH(MAX(Reference!$A$6,MIN(Reference!$A$11,MIN($U111,270))),Reference!$A$6:$A$11,1)))+(MAX(Reference!$A$6,MIN(Reference!$A$11,MIN($U111,270)))-INDEX(Reference!$A$6:$A$11,MIN(5,MATCH(MAX(Reference!$A$6,MIN(Reference!$A$11,MIN($U111,270))),Reference!$A$6:$A$11,1))))*(INDEX(Reference!$B$6:$B$11,MIN(5,MATCH(MAX(Reference!$A$6,MIN(Reference!$A$11,MIN($U111,270))),Reference!$A$6:$A$11,1))+1)-INDEX(Reference!$B$6:$B$11,MIN(5,MATCH(MAX(Reference!$A$6,MIN(Reference!$A$11,MIN($U111,270))),Reference!$A$6:$A$11,1))))/(INDEX(Reference!$A$6:$A$11,MIN(5,MATCH(MAX(Reference!$A$6,MIN(Reference!$A$11,MIN($U111,270))),Reference!$A$6:$A$11,1))+1)-INDEX(Reference!$A$6:$A$11,MIN(5,MATCH(MAX(Reference!$A$6,MIN(Reference!$A$11,MIN($U111,270))),Reference!$A$6:$A$11,1))))),0)+IF(8&lt;=$AL111,($AL111-8+3)*(INDEX(Reference!$B$6:$B$11,MIN(5,MATCH(MAX(Reference!$A$6,MIN(Reference!$A$11,MIN($U111,300))),Reference!$A$6:$A$11,1)))+(MAX(Reference!$A$6,MIN(Reference!$A$11,MIN($U111,300)))-INDEX(Reference!$A$6:$A$11,MIN(5,MATCH(MAX(Reference!$A$6,MIN(Reference!$A$11,MIN($U111,300))),Reference!$A$6:$A$11,1))))*(INDEX(Reference!$B$6:$B$11,MIN(5,MATCH(MAX(Reference!$A$6,MIN(Reference!$A$11,MIN($U111,300))),Reference!$A$6:$A$11,1))+1)-INDEX(Reference!$B$6:$B$11,MIN(5,MATCH(MAX(Reference!$A$6,MIN(Reference!$A$11,MIN($U111,300))),Reference!$A$6:$A$11,1))))/(INDEX(Reference!$A$6:$A$11,MIN(5,MATCH(MAX(Reference!$A$6,MIN(Reference!$A$11,MIN($U111,300))),Reference!$A$6:$A$11,1))+1)-INDEX(Reference!$A$6:$A$11,MIN(5,MATCH(MAX(Reference!$A$6,MIN(Reference!$A$11,MIN($U111,300))),Reference!$A$6:$A$11,1))))),0))/($AL111*($AL111+5)/2)),$AN111))</f>
        <v>0</v>
      </c>
      <c r="AN111" s="32">
        <f>IF($U111="",0,(INDEX(Reference!$B$6:$B$11,MIN(5,MATCH(MAX(Reference!$A$6,MIN(Reference!$A$11,$U111)),Reference!$A$6:$A$11,1)))+(MAX(Reference!$A$6,MIN(Reference!$A$11,$U111))-INDEX(Reference!$A$6:$A$11,MIN(5,MATCH(MAX(Reference!$A$6,MIN(Reference!$A$11,$U111)),Reference!$A$6:$A$11,1))))*(INDEX(Reference!$B$6:$B$11,MIN(5,MATCH(MAX(Reference!$A$6,MIN(Reference!$A$11,$U111)),Reference!$A$6:$A$11,1))+1)-INDEX(Reference!$B$6:$B$11,MIN(5,MATCH(MAX(Reference!$A$6,MIN(Reference!$A$11,$U111)),Reference!$A$6:$A$11,1))))/(INDEX(Reference!$A$6:$A$11,MIN(5,MATCH(MAX(Reference!$A$6,MIN(Reference!$A$11,$U111)),Reference!$A$6:$A$11,1))+1)-INDEX(Reference!$A$6:$A$11,MIN(5,MATCH(MAX(Reference!$A$6,MIN(Reference!$A$11,$U111)),Reference!$A$6:$A$11,1))))))</f>
        <v>0</v>
      </c>
      <c r="AO111" s="37"/>
      <c r="AP111" s="37"/>
      <c r="AQ111" s="37"/>
    </row>
    <row r="112" spans="1:43" x14ac:dyDescent="0.3">
      <c r="A112" s="48" t="str">
        <f t="shared" si="55"/>
        <v/>
      </c>
      <c r="B112" s="32" t="str">
        <f t="shared" si="56"/>
        <v/>
      </c>
      <c r="C112" s="32" t="str">
        <f t="shared" si="57"/>
        <v/>
      </c>
      <c r="D112" s="32" t="str">
        <f t="shared" si="58"/>
        <v/>
      </c>
      <c r="E112" s="32" t="str">
        <f t="shared" si="59"/>
        <v/>
      </c>
      <c r="F112" s="32" t="str">
        <f t="shared" si="60"/>
        <v/>
      </c>
      <c r="G112" s="47" t="str">
        <f t="shared" si="61"/>
        <v/>
      </c>
      <c r="H112" s="30" t="str">
        <f t="shared" si="62"/>
        <v/>
      </c>
      <c r="I112" s="46" t="str">
        <f>IF($A112="","",IF(AND($L112&lt;27,$K$12=0),"Building",IFERROR(((SUM($H$106:$H112)+$K$12*IF($L112&lt;6,SUMIFS('Throw Log'!$Q$5:$Q$300,'Throw Log'!$B$5:$B$300,$D$4,'Throw Log'!$A$5:$A$300,"&gt;="&amp;($D$6+$L112-6),'Throw Log'!$A$5:$A$300,"&lt;="&amp;($D$6-1)),0))/7)/((SUM($H$85:$H112)+$K$12*IF($L112&lt;27,SUMIFS('Throw Log'!$Q$5:$Q$300,'Throw Log'!$B$5:$B$300,$D$4,'Throw Log'!$A$5:$A$300,"&gt;="&amp;($D$6+$L112-27),'Throw Log'!$A$5:$A$300,"&lt;="&amp;($D$6-1)),0))/28),"")))</f>
        <v/>
      </c>
      <c r="J112" s="37"/>
      <c r="K112" s="37"/>
      <c r="L112" s="32">
        <v>69</v>
      </c>
      <c r="M112" s="32">
        <f t="shared" si="63"/>
        <v>10</v>
      </c>
      <c r="N112" s="32">
        <f t="shared" si="64"/>
        <v>6</v>
      </c>
      <c r="O112" s="32">
        <f t="shared" si="65"/>
        <v>1</v>
      </c>
      <c r="P112" s="32" t="str">
        <f>IF(OR($A112="",N($C112)&lt;=7),"",$G$6*$G$9^($M112-1)*IF(AND(MOD($M112,Reference!$B$99)=0,$M112&lt;=$G$5-2),Reference!$B$100,1))</f>
        <v/>
      </c>
      <c r="Q112" s="32" t="str">
        <f>IF($P112="","",IF(SUM($AK$106:$AK$112)=0,0,$P112*INDEX(Reference!$B$108:$B$114,$N112+1)/SUM($AK$106:$AK$112)))</f>
        <v/>
      </c>
      <c r="R112" s="32">
        <f t="shared" si="66"/>
        <v>120</v>
      </c>
      <c r="S112" s="32">
        <f t="shared" si="67"/>
        <v>105</v>
      </c>
      <c r="T112" s="32" t="str">
        <f>IF($A112="","",IF($C112=0,"Bullpen",IF(OR($C112=7,$C112=1,$C112=5),"Recovery/Easy Catch",IF($C112=6,"Compression/Pulldowns",IF(OR($C112=4,$C112=2),"Long Toss",IF($C112=3,"No Throw",IF($N112=2,"No Throw",IF($N112=6,IF($O112&lt;Reference!$B$104,"No Throw","Recovery/Easy Catch"),IF(OR($N112=0,$N112=4),"Recovery/Easy Catch",IF($N112=1,IF($R112&gt;75,"Long Toss","Recovery/Easy Catch"),IF($N112=3,IF($O112&lt;0.5,IF($S112&gt;75,"Long Toss","Recovery/Easy Catch"),"Compression/Pulldowns"),IF($S112&gt;75,"Long Toss","Recovery/Easy Catch"))))))))))))</f>
        <v/>
      </c>
      <c r="U112" s="32" t="str">
        <f t="shared" si="68"/>
        <v/>
      </c>
      <c r="V112" s="32" t="str">
        <f t="shared" si="69"/>
        <v/>
      </c>
      <c r="W112" s="32" t="str">
        <f t="shared" si="70"/>
        <v/>
      </c>
      <c r="X112" s="32">
        <f t="shared" si="71"/>
        <v>0</v>
      </c>
      <c r="Y112" s="32" t="str">
        <f t="shared" si="72"/>
        <v/>
      </c>
      <c r="Z112" s="32" t="str">
        <f t="shared" si="73"/>
        <v/>
      </c>
      <c r="AA112" s="32" t="str">
        <f t="shared" si="74"/>
        <v/>
      </c>
      <c r="AB112" s="32" t="str">
        <f>IF($A112="","",IF($T112="No Throw",0,IF($K112&lt;&gt;"",$K112,IF($AA112&lt;&gt;"",ROUND($AA112*$D$12*IF($C112=0,1,$G$10),0),MIN(IF($T112="Recovery/Easy Catch",Reference!$B$103,IF($T112="Long Toss",Reference!$B$106,Reference!$B$102)),MAX(Reference!$B$101,ROUND(MAX(0,$Q112-$AE112)/$AF112,0)))))))</f>
        <v/>
      </c>
      <c r="AC112" s="32">
        <f t="shared" si="75"/>
        <v>0</v>
      </c>
      <c r="AD112" s="32" t="b">
        <f t="shared" si="76"/>
        <v>1</v>
      </c>
      <c r="AE112" s="32">
        <f>IF($X112=0,0,$X112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112+$Z112)/2,0),Reference!$A$17:$B$20,2,TRUE()))</f>
        <v>0</v>
      </c>
      <c r="AF112" s="32">
        <f>IF(OR($A112="",$U112="",$T112="No Throw"),0,$AM112*VLOOKUP(MAX(($V112+$W112)/2,0),Reference!$A$17:$B$20,2,TRUE()))</f>
        <v>0</v>
      </c>
      <c r="AG112" s="32">
        <f>IF($AC112=0,0,$AC112*INDEX(Reference!$B$61:$B$62,MATCH("Bullpen",Reference!$A$61:$A$62,0))*VLOOKUP(MAX($D$5-($D$9+$E$9)/2,0),Reference!$A$17:$B$20,2,TRUE()))</f>
        <v>0</v>
      </c>
      <c r="AH112" s="32" t="e">
        <f t="shared" si="77"/>
        <v>#N/A</v>
      </c>
      <c r="AI112" s="32" t="e">
        <f>IF($A112="",NA(),Reference!$A$25)</f>
        <v>#N/A</v>
      </c>
      <c r="AJ112" s="32" t="e">
        <f t="shared" si="78"/>
        <v>#N/A</v>
      </c>
      <c r="AK112" s="32">
        <f>IF(OR($A112="",N($C112)&lt;=7,$T112="No Throw",$J112="x"),0,INDEX(Reference!$B$108:$B$114,$N112+1))</f>
        <v>0</v>
      </c>
      <c r="AL112" s="32">
        <f t="shared" si="79"/>
        <v>1</v>
      </c>
      <c r="AM112" s="32">
        <f>IF($U112="",0,IF($AL112&gt;1,((IF(1&lt;=$AL112,($AL112-1+3)*(INDEX(Reference!$B$6:$B$11,MIN(5,MATCH(MAX(Reference!$A$6,MIN(Reference!$A$11,MIN($U112,90))),Reference!$A$6:$A$11,1)))+(MAX(Reference!$A$6,MIN(Reference!$A$11,MIN($U112,90)))-INDEX(Reference!$A$6:$A$11,MIN(5,MATCH(MAX(Reference!$A$6,MIN(Reference!$A$11,MIN($U112,90))),Reference!$A$6:$A$11,1))))*(INDEX(Reference!$B$6:$B$11,MIN(5,MATCH(MAX(Reference!$A$6,MIN(Reference!$A$11,MIN($U112,90))),Reference!$A$6:$A$11,1))+1)-INDEX(Reference!$B$6:$B$11,MIN(5,MATCH(MAX(Reference!$A$6,MIN(Reference!$A$11,MIN($U112,90))),Reference!$A$6:$A$11,1))))/(INDEX(Reference!$A$6:$A$11,MIN(5,MATCH(MAX(Reference!$A$6,MIN(Reference!$A$11,MIN($U112,90))),Reference!$A$6:$A$11,1))+1)-INDEX(Reference!$A$6:$A$11,MIN(5,MATCH(MAX(Reference!$A$6,MIN(Reference!$A$11,MIN($U112,90))),Reference!$A$6:$A$11,1))))),0)+IF(2&lt;=$AL112,($AL112-2+3)*(INDEX(Reference!$B$6:$B$11,MIN(5,MATCH(MAX(Reference!$A$6,MIN(Reference!$A$11,MIN($U112,120))),Reference!$A$6:$A$11,1)))+(MAX(Reference!$A$6,MIN(Reference!$A$11,MIN($U112,120)))-INDEX(Reference!$A$6:$A$11,MIN(5,MATCH(MAX(Reference!$A$6,MIN(Reference!$A$11,MIN($U112,120))),Reference!$A$6:$A$11,1))))*(INDEX(Reference!$B$6:$B$11,MIN(5,MATCH(MAX(Reference!$A$6,MIN(Reference!$A$11,MIN($U112,120))),Reference!$A$6:$A$11,1))+1)-INDEX(Reference!$B$6:$B$11,MIN(5,MATCH(MAX(Reference!$A$6,MIN(Reference!$A$11,MIN($U112,120))),Reference!$A$6:$A$11,1))))/(INDEX(Reference!$A$6:$A$11,MIN(5,MATCH(MAX(Reference!$A$6,MIN(Reference!$A$11,MIN($U112,120))),Reference!$A$6:$A$11,1))+1)-INDEX(Reference!$A$6:$A$11,MIN(5,MATCH(MAX(Reference!$A$6,MIN(Reference!$A$11,MIN($U112,120))),Reference!$A$6:$A$11,1))))),0)+IF(3&lt;=$AL112,($AL112-3+3)*(INDEX(Reference!$B$6:$B$11,MIN(5,MATCH(MAX(Reference!$A$6,MIN(Reference!$A$11,MIN($U112,150))),Reference!$A$6:$A$11,1)))+(MAX(Reference!$A$6,MIN(Reference!$A$11,MIN($U112,150)))-INDEX(Reference!$A$6:$A$11,MIN(5,MATCH(MAX(Reference!$A$6,MIN(Reference!$A$11,MIN($U112,150))),Reference!$A$6:$A$11,1))))*(INDEX(Reference!$B$6:$B$11,MIN(5,MATCH(MAX(Reference!$A$6,MIN(Reference!$A$11,MIN($U112,150))),Reference!$A$6:$A$11,1))+1)-INDEX(Reference!$B$6:$B$11,MIN(5,MATCH(MAX(Reference!$A$6,MIN(Reference!$A$11,MIN($U112,150))),Reference!$A$6:$A$11,1))))/(INDEX(Reference!$A$6:$A$11,MIN(5,MATCH(MAX(Reference!$A$6,MIN(Reference!$A$11,MIN($U112,150))),Reference!$A$6:$A$11,1))+1)-INDEX(Reference!$A$6:$A$11,MIN(5,MATCH(MAX(Reference!$A$6,MIN(Reference!$A$11,MIN($U112,150))),Reference!$A$6:$A$11,1))))),0)+IF(4&lt;=$AL112,($AL112-4+3)*(INDEX(Reference!$B$6:$B$11,MIN(5,MATCH(MAX(Reference!$A$6,MIN(Reference!$A$11,MIN($U112,180))),Reference!$A$6:$A$11,1)))+(MAX(Reference!$A$6,MIN(Reference!$A$11,MIN($U112,180)))-INDEX(Reference!$A$6:$A$11,MIN(5,MATCH(MAX(Reference!$A$6,MIN(Reference!$A$11,MIN($U112,180))),Reference!$A$6:$A$11,1))))*(INDEX(Reference!$B$6:$B$11,MIN(5,MATCH(MAX(Reference!$A$6,MIN(Reference!$A$11,MIN($U112,180))),Reference!$A$6:$A$11,1))+1)-INDEX(Reference!$B$6:$B$11,MIN(5,MATCH(MAX(Reference!$A$6,MIN(Reference!$A$11,MIN($U112,180))),Reference!$A$6:$A$11,1))))/(INDEX(Reference!$A$6:$A$11,MIN(5,MATCH(MAX(Reference!$A$6,MIN(Reference!$A$11,MIN($U112,180))),Reference!$A$6:$A$11,1))+1)-INDEX(Reference!$A$6:$A$11,MIN(5,MATCH(MAX(Reference!$A$6,MIN(Reference!$A$11,MIN($U112,180))),Reference!$A$6:$A$11,1))))),0)+IF(5&lt;=$AL112,($AL112-5+3)*(INDEX(Reference!$B$6:$B$11,MIN(5,MATCH(MAX(Reference!$A$6,MIN(Reference!$A$11,MIN($U112,210))),Reference!$A$6:$A$11,1)))+(MAX(Reference!$A$6,MIN(Reference!$A$11,MIN($U112,210)))-INDEX(Reference!$A$6:$A$11,MIN(5,MATCH(MAX(Reference!$A$6,MIN(Reference!$A$11,MIN($U112,210))),Reference!$A$6:$A$11,1))))*(INDEX(Reference!$B$6:$B$11,MIN(5,MATCH(MAX(Reference!$A$6,MIN(Reference!$A$11,MIN($U112,210))),Reference!$A$6:$A$11,1))+1)-INDEX(Reference!$B$6:$B$11,MIN(5,MATCH(MAX(Reference!$A$6,MIN(Reference!$A$11,MIN($U112,210))),Reference!$A$6:$A$11,1))))/(INDEX(Reference!$A$6:$A$11,MIN(5,MATCH(MAX(Reference!$A$6,MIN(Reference!$A$11,MIN($U112,210))),Reference!$A$6:$A$11,1))+1)-INDEX(Reference!$A$6:$A$11,MIN(5,MATCH(MAX(Reference!$A$6,MIN(Reference!$A$11,MIN($U112,210))),Reference!$A$6:$A$11,1))))),0)+IF(6&lt;=$AL112,($AL112-6+3)*(INDEX(Reference!$B$6:$B$11,MIN(5,MATCH(MAX(Reference!$A$6,MIN(Reference!$A$11,MIN($U112,240))),Reference!$A$6:$A$11,1)))+(MAX(Reference!$A$6,MIN(Reference!$A$11,MIN($U112,240)))-INDEX(Reference!$A$6:$A$11,MIN(5,MATCH(MAX(Reference!$A$6,MIN(Reference!$A$11,MIN($U112,240))),Reference!$A$6:$A$11,1))))*(INDEX(Reference!$B$6:$B$11,MIN(5,MATCH(MAX(Reference!$A$6,MIN(Reference!$A$11,MIN($U112,240))),Reference!$A$6:$A$11,1))+1)-INDEX(Reference!$B$6:$B$11,MIN(5,MATCH(MAX(Reference!$A$6,MIN(Reference!$A$11,MIN($U112,240))),Reference!$A$6:$A$11,1))))/(INDEX(Reference!$A$6:$A$11,MIN(5,MATCH(MAX(Reference!$A$6,MIN(Reference!$A$11,MIN($U112,240))),Reference!$A$6:$A$11,1))+1)-INDEX(Reference!$A$6:$A$11,MIN(5,MATCH(MAX(Reference!$A$6,MIN(Reference!$A$11,MIN($U112,240))),Reference!$A$6:$A$11,1))))),0)+IF(7&lt;=$AL112,($AL112-7+3)*(INDEX(Reference!$B$6:$B$11,MIN(5,MATCH(MAX(Reference!$A$6,MIN(Reference!$A$11,MIN($U112,270))),Reference!$A$6:$A$11,1)))+(MAX(Reference!$A$6,MIN(Reference!$A$11,MIN($U112,270)))-INDEX(Reference!$A$6:$A$11,MIN(5,MATCH(MAX(Reference!$A$6,MIN(Reference!$A$11,MIN($U112,270))),Reference!$A$6:$A$11,1))))*(INDEX(Reference!$B$6:$B$11,MIN(5,MATCH(MAX(Reference!$A$6,MIN(Reference!$A$11,MIN($U112,270))),Reference!$A$6:$A$11,1))+1)-INDEX(Reference!$B$6:$B$11,MIN(5,MATCH(MAX(Reference!$A$6,MIN(Reference!$A$11,MIN($U112,270))),Reference!$A$6:$A$11,1))))/(INDEX(Reference!$A$6:$A$11,MIN(5,MATCH(MAX(Reference!$A$6,MIN(Reference!$A$11,MIN($U112,270))),Reference!$A$6:$A$11,1))+1)-INDEX(Reference!$A$6:$A$11,MIN(5,MATCH(MAX(Reference!$A$6,MIN(Reference!$A$11,MIN($U112,270))),Reference!$A$6:$A$11,1))))),0)+IF(8&lt;=$AL112,($AL112-8+3)*(INDEX(Reference!$B$6:$B$11,MIN(5,MATCH(MAX(Reference!$A$6,MIN(Reference!$A$11,MIN($U112,300))),Reference!$A$6:$A$11,1)))+(MAX(Reference!$A$6,MIN(Reference!$A$11,MIN($U112,300)))-INDEX(Reference!$A$6:$A$11,MIN(5,MATCH(MAX(Reference!$A$6,MIN(Reference!$A$11,MIN($U112,300))),Reference!$A$6:$A$11,1))))*(INDEX(Reference!$B$6:$B$11,MIN(5,MATCH(MAX(Reference!$A$6,MIN(Reference!$A$11,MIN($U112,300))),Reference!$A$6:$A$11,1))+1)-INDEX(Reference!$B$6:$B$11,MIN(5,MATCH(MAX(Reference!$A$6,MIN(Reference!$A$11,MIN($U112,300))),Reference!$A$6:$A$11,1))))/(INDEX(Reference!$A$6:$A$11,MIN(5,MATCH(MAX(Reference!$A$6,MIN(Reference!$A$11,MIN($U112,300))),Reference!$A$6:$A$11,1))+1)-INDEX(Reference!$A$6:$A$11,MIN(5,MATCH(MAX(Reference!$A$6,MIN(Reference!$A$11,MIN($U112,300))),Reference!$A$6:$A$11,1))))),0))/($AL112*($AL112+5)/2)),$AN112))</f>
        <v>0</v>
      </c>
      <c r="AN112" s="32">
        <f>IF($U112="",0,(INDEX(Reference!$B$6:$B$11,MIN(5,MATCH(MAX(Reference!$A$6,MIN(Reference!$A$11,$U112)),Reference!$A$6:$A$11,1)))+(MAX(Reference!$A$6,MIN(Reference!$A$11,$U112))-INDEX(Reference!$A$6:$A$11,MIN(5,MATCH(MAX(Reference!$A$6,MIN(Reference!$A$11,$U112)),Reference!$A$6:$A$11,1))))*(INDEX(Reference!$B$6:$B$11,MIN(5,MATCH(MAX(Reference!$A$6,MIN(Reference!$A$11,$U112)),Reference!$A$6:$A$11,1))+1)-INDEX(Reference!$B$6:$B$11,MIN(5,MATCH(MAX(Reference!$A$6,MIN(Reference!$A$11,$U112)),Reference!$A$6:$A$11,1))))/(INDEX(Reference!$A$6:$A$11,MIN(5,MATCH(MAX(Reference!$A$6,MIN(Reference!$A$11,$U112)),Reference!$A$6:$A$11,1))+1)-INDEX(Reference!$A$6:$A$11,MIN(5,MATCH(MAX(Reference!$A$6,MIN(Reference!$A$11,$U112)),Reference!$A$6:$A$11,1))))))</f>
        <v>0</v>
      </c>
      <c r="AO112" s="37"/>
      <c r="AP112" s="37"/>
      <c r="AQ112" s="37"/>
    </row>
    <row r="113" spans="1:43" x14ac:dyDescent="0.3">
      <c r="A113" s="48" t="str">
        <f t="shared" si="55"/>
        <v/>
      </c>
      <c r="B113" s="32" t="str">
        <f t="shared" si="56"/>
        <v/>
      </c>
      <c r="C113" s="32" t="str">
        <f t="shared" si="57"/>
        <v/>
      </c>
      <c r="D113" s="32" t="str">
        <f t="shared" si="58"/>
        <v/>
      </c>
      <c r="E113" s="32" t="str">
        <f t="shared" si="59"/>
        <v/>
      </c>
      <c r="F113" s="32" t="str">
        <f t="shared" si="60"/>
        <v/>
      </c>
      <c r="G113" s="47" t="str">
        <f t="shared" si="61"/>
        <v/>
      </c>
      <c r="H113" s="30" t="str">
        <f t="shared" si="62"/>
        <v/>
      </c>
      <c r="I113" s="46" t="str">
        <f>IF($A113="","",IF(AND($L113&lt;27,$K$12=0),"Building",IFERROR(((SUM($H$107:$H113)+$K$12*IF($L113&lt;6,SUMIFS('Throw Log'!$Q$5:$Q$300,'Throw Log'!$B$5:$B$300,$D$4,'Throw Log'!$A$5:$A$300,"&gt;="&amp;($D$6+$L113-6),'Throw Log'!$A$5:$A$300,"&lt;="&amp;($D$6-1)),0))/7)/((SUM($H$86:$H113)+$K$12*IF($L113&lt;27,SUMIFS('Throw Log'!$Q$5:$Q$300,'Throw Log'!$B$5:$B$300,$D$4,'Throw Log'!$A$5:$A$300,"&gt;="&amp;($D$6+$L113-27),'Throw Log'!$A$5:$A$300,"&lt;="&amp;($D$6-1)),0))/28),"")))</f>
        <v/>
      </c>
      <c r="J113" s="37"/>
      <c r="K113" s="37"/>
      <c r="L113" s="32">
        <v>70</v>
      </c>
      <c r="M113" s="32">
        <f t="shared" si="63"/>
        <v>11</v>
      </c>
      <c r="N113" s="32">
        <f t="shared" si="64"/>
        <v>0</v>
      </c>
      <c r="O113" s="32">
        <f t="shared" si="65"/>
        <v>1</v>
      </c>
      <c r="P113" s="32" t="str">
        <f>IF(OR($A113="",N($C113)&lt;=7),"",$G$6*$G$9^($M113-1)*IF(AND(MOD($M113,Reference!$B$99)=0,$M113&lt;=$G$5-2),Reference!$B$100,1))</f>
        <v/>
      </c>
      <c r="Q113" s="32" t="str">
        <f>IF($P113="","",IF(SUM($AK$113:$AK$119)=0,0,$P113*INDEX(Reference!$B$108:$B$114,$N113+1)/SUM($AK$113:$AK$119)))</f>
        <v/>
      </c>
      <c r="R113" s="32">
        <f t="shared" si="66"/>
        <v>120</v>
      </c>
      <c r="S113" s="32">
        <f t="shared" si="67"/>
        <v>105</v>
      </c>
      <c r="T113" s="32" t="str">
        <f>IF($A113="","",IF($C113=0,"Bullpen",IF(OR($C113=7,$C113=1,$C113=5),"Recovery/Easy Catch",IF($C113=6,"Compression/Pulldowns",IF(OR($C113=4,$C113=2),"Long Toss",IF($C113=3,"No Throw",IF($N113=2,"No Throw",IF($N113=6,IF($O113&lt;Reference!$B$104,"No Throw","Recovery/Easy Catch"),IF(OR($N113=0,$N113=4),"Recovery/Easy Catch",IF($N113=1,IF($R113&gt;75,"Long Toss","Recovery/Easy Catch"),IF($N113=3,IF($O113&lt;0.5,IF($S113&gt;75,"Long Toss","Recovery/Easy Catch"),"Compression/Pulldowns"),IF($S113&gt;75,"Long Toss","Recovery/Easy Catch"))))))))))))</f>
        <v/>
      </c>
      <c r="U113" s="32" t="str">
        <f t="shared" si="68"/>
        <v/>
      </c>
      <c r="V113" s="32" t="str">
        <f t="shared" si="69"/>
        <v/>
      </c>
      <c r="W113" s="32" t="str">
        <f t="shared" si="70"/>
        <v/>
      </c>
      <c r="X113" s="32">
        <f t="shared" si="71"/>
        <v>0</v>
      </c>
      <c r="Y113" s="32" t="str">
        <f t="shared" si="72"/>
        <v/>
      </c>
      <c r="Z113" s="32" t="str">
        <f t="shared" si="73"/>
        <v/>
      </c>
      <c r="AA113" s="32" t="str">
        <f t="shared" si="74"/>
        <v/>
      </c>
      <c r="AB113" s="32" t="str">
        <f>IF($A113="","",IF($T113="No Throw",0,IF($K113&lt;&gt;"",$K113,IF($AA113&lt;&gt;"",ROUND($AA113*$D$12*IF($C113=0,1,$G$10),0),MIN(IF($T113="Recovery/Easy Catch",Reference!$B$103,IF($T113="Long Toss",Reference!$B$106,Reference!$B$102)),MAX(Reference!$B$101,ROUND(MAX(0,$Q113-$AE113)/$AF113,0)))))))</f>
        <v/>
      </c>
      <c r="AC113" s="32">
        <f t="shared" si="75"/>
        <v>0</v>
      </c>
      <c r="AD113" s="32" t="b">
        <f t="shared" si="76"/>
        <v>1</v>
      </c>
      <c r="AE113" s="32">
        <f>IF($X113=0,0,$X113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113+$Z113)/2,0),Reference!$A$17:$B$20,2,TRUE()))</f>
        <v>0</v>
      </c>
      <c r="AF113" s="32">
        <f>IF(OR($A113="",$U113="",$T113="No Throw"),0,$AM113*VLOOKUP(MAX(($V113+$W113)/2,0),Reference!$A$17:$B$20,2,TRUE()))</f>
        <v>0</v>
      </c>
      <c r="AG113" s="32">
        <f>IF($AC113=0,0,$AC113*INDEX(Reference!$B$61:$B$62,MATCH("Bullpen",Reference!$A$61:$A$62,0))*VLOOKUP(MAX($D$5-($D$9+$E$9)/2,0),Reference!$A$17:$B$20,2,TRUE()))</f>
        <v>0</v>
      </c>
      <c r="AH113" s="32" t="e">
        <f t="shared" si="77"/>
        <v>#N/A</v>
      </c>
      <c r="AI113" s="32" t="e">
        <f>IF($A113="",NA(),Reference!$A$25)</f>
        <v>#N/A</v>
      </c>
      <c r="AJ113" s="32" t="e">
        <f t="shared" si="78"/>
        <v>#N/A</v>
      </c>
      <c r="AK113" s="32">
        <f>IF(OR($A113="",N($C113)&lt;=7,$T113="No Throw",$J113="x"),0,INDEX(Reference!$B$108:$B$114,$N113+1))</f>
        <v>0</v>
      </c>
      <c r="AL113" s="32">
        <f t="shared" si="79"/>
        <v>1</v>
      </c>
      <c r="AM113" s="32">
        <f>IF($U113="",0,IF($AL113&gt;1,((IF(1&lt;=$AL113,($AL113-1+3)*(INDEX(Reference!$B$6:$B$11,MIN(5,MATCH(MAX(Reference!$A$6,MIN(Reference!$A$11,MIN($U113,90))),Reference!$A$6:$A$11,1)))+(MAX(Reference!$A$6,MIN(Reference!$A$11,MIN($U113,90)))-INDEX(Reference!$A$6:$A$11,MIN(5,MATCH(MAX(Reference!$A$6,MIN(Reference!$A$11,MIN($U113,90))),Reference!$A$6:$A$11,1))))*(INDEX(Reference!$B$6:$B$11,MIN(5,MATCH(MAX(Reference!$A$6,MIN(Reference!$A$11,MIN($U113,90))),Reference!$A$6:$A$11,1))+1)-INDEX(Reference!$B$6:$B$11,MIN(5,MATCH(MAX(Reference!$A$6,MIN(Reference!$A$11,MIN($U113,90))),Reference!$A$6:$A$11,1))))/(INDEX(Reference!$A$6:$A$11,MIN(5,MATCH(MAX(Reference!$A$6,MIN(Reference!$A$11,MIN($U113,90))),Reference!$A$6:$A$11,1))+1)-INDEX(Reference!$A$6:$A$11,MIN(5,MATCH(MAX(Reference!$A$6,MIN(Reference!$A$11,MIN($U113,90))),Reference!$A$6:$A$11,1))))),0)+IF(2&lt;=$AL113,($AL113-2+3)*(INDEX(Reference!$B$6:$B$11,MIN(5,MATCH(MAX(Reference!$A$6,MIN(Reference!$A$11,MIN($U113,120))),Reference!$A$6:$A$11,1)))+(MAX(Reference!$A$6,MIN(Reference!$A$11,MIN($U113,120)))-INDEX(Reference!$A$6:$A$11,MIN(5,MATCH(MAX(Reference!$A$6,MIN(Reference!$A$11,MIN($U113,120))),Reference!$A$6:$A$11,1))))*(INDEX(Reference!$B$6:$B$11,MIN(5,MATCH(MAX(Reference!$A$6,MIN(Reference!$A$11,MIN($U113,120))),Reference!$A$6:$A$11,1))+1)-INDEX(Reference!$B$6:$B$11,MIN(5,MATCH(MAX(Reference!$A$6,MIN(Reference!$A$11,MIN($U113,120))),Reference!$A$6:$A$11,1))))/(INDEX(Reference!$A$6:$A$11,MIN(5,MATCH(MAX(Reference!$A$6,MIN(Reference!$A$11,MIN($U113,120))),Reference!$A$6:$A$11,1))+1)-INDEX(Reference!$A$6:$A$11,MIN(5,MATCH(MAX(Reference!$A$6,MIN(Reference!$A$11,MIN($U113,120))),Reference!$A$6:$A$11,1))))),0)+IF(3&lt;=$AL113,($AL113-3+3)*(INDEX(Reference!$B$6:$B$11,MIN(5,MATCH(MAX(Reference!$A$6,MIN(Reference!$A$11,MIN($U113,150))),Reference!$A$6:$A$11,1)))+(MAX(Reference!$A$6,MIN(Reference!$A$11,MIN($U113,150)))-INDEX(Reference!$A$6:$A$11,MIN(5,MATCH(MAX(Reference!$A$6,MIN(Reference!$A$11,MIN($U113,150))),Reference!$A$6:$A$11,1))))*(INDEX(Reference!$B$6:$B$11,MIN(5,MATCH(MAX(Reference!$A$6,MIN(Reference!$A$11,MIN($U113,150))),Reference!$A$6:$A$11,1))+1)-INDEX(Reference!$B$6:$B$11,MIN(5,MATCH(MAX(Reference!$A$6,MIN(Reference!$A$11,MIN($U113,150))),Reference!$A$6:$A$11,1))))/(INDEX(Reference!$A$6:$A$11,MIN(5,MATCH(MAX(Reference!$A$6,MIN(Reference!$A$11,MIN($U113,150))),Reference!$A$6:$A$11,1))+1)-INDEX(Reference!$A$6:$A$11,MIN(5,MATCH(MAX(Reference!$A$6,MIN(Reference!$A$11,MIN($U113,150))),Reference!$A$6:$A$11,1))))),0)+IF(4&lt;=$AL113,($AL113-4+3)*(INDEX(Reference!$B$6:$B$11,MIN(5,MATCH(MAX(Reference!$A$6,MIN(Reference!$A$11,MIN($U113,180))),Reference!$A$6:$A$11,1)))+(MAX(Reference!$A$6,MIN(Reference!$A$11,MIN($U113,180)))-INDEX(Reference!$A$6:$A$11,MIN(5,MATCH(MAX(Reference!$A$6,MIN(Reference!$A$11,MIN($U113,180))),Reference!$A$6:$A$11,1))))*(INDEX(Reference!$B$6:$B$11,MIN(5,MATCH(MAX(Reference!$A$6,MIN(Reference!$A$11,MIN($U113,180))),Reference!$A$6:$A$11,1))+1)-INDEX(Reference!$B$6:$B$11,MIN(5,MATCH(MAX(Reference!$A$6,MIN(Reference!$A$11,MIN($U113,180))),Reference!$A$6:$A$11,1))))/(INDEX(Reference!$A$6:$A$11,MIN(5,MATCH(MAX(Reference!$A$6,MIN(Reference!$A$11,MIN($U113,180))),Reference!$A$6:$A$11,1))+1)-INDEX(Reference!$A$6:$A$11,MIN(5,MATCH(MAX(Reference!$A$6,MIN(Reference!$A$11,MIN($U113,180))),Reference!$A$6:$A$11,1))))),0)+IF(5&lt;=$AL113,($AL113-5+3)*(INDEX(Reference!$B$6:$B$11,MIN(5,MATCH(MAX(Reference!$A$6,MIN(Reference!$A$11,MIN($U113,210))),Reference!$A$6:$A$11,1)))+(MAX(Reference!$A$6,MIN(Reference!$A$11,MIN($U113,210)))-INDEX(Reference!$A$6:$A$11,MIN(5,MATCH(MAX(Reference!$A$6,MIN(Reference!$A$11,MIN($U113,210))),Reference!$A$6:$A$11,1))))*(INDEX(Reference!$B$6:$B$11,MIN(5,MATCH(MAX(Reference!$A$6,MIN(Reference!$A$11,MIN($U113,210))),Reference!$A$6:$A$11,1))+1)-INDEX(Reference!$B$6:$B$11,MIN(5,MATCH(MAX(Reference!$A$6,MIN(Reference!$A$11,MIN($U113,210))),Reference!$A$6:$A$11,1))))/(INDEX(Reference!$A$6:$A$11,MIN(5,MATCH(MAX(Reference!$A$6,MIN(Reference!$A$11,MIN($U113,210))),Reference!$A$6:$A$11,1))+1)-INDEX(Reference!$A$6:$A$11,MIN(5,MATCH(MAX(Reference!$A$6,MIN(Reference!$A$11,MIN($U113,210))),Reference!$A$6:$A$11,1))))),0)+IF(6&lt;=$AL113,($AL113-6+3)*(INDEX(Reference!$B$6:$B$11,MIN(5,MATCH(MAX(Reference!$A$6,MIN(Reference!$A$11,MIN($U113,240))),Reference!$A$6:$A$11,1)))+(MAX(Reference!$A$6,MIN(Reference!$A$11,MIN($U113,240)))-INDEX(Reference!$A$6:$A$11,MIN(5,MATCH(MAX(Reference!$A$6,MIN(Reference!$A$11,MIN($U113,240))),Reference!$A$6:$A$11,1))))*(INDEX(Reference!$B$6:$B$11,MIN(5,MATCH(MAX(Reference!$A$6,MIN(Reference!$A$11,MIN($U113,240))),Reference!$A$6:$A$11,1))+1)-INDEX(Reference!$B$6:$B$11,MIN(5,MATCH(MAX(Reference!$A$6,MIN(Reference!$A$11,MIN($U113,240))),Reference!$A$6:$A$11,1))))/(INDEX(Reference!$A$6:$A$11,MIN(5,MATCH(MAX(Reference!$A$6,MIN(Reference!$A$11,MIN($U113,240))),Reference!$A$6:$A$11,1))+1)-INDEX(Reference!$A$6:$A$11,MIN(5,MATCH(MAX(Reference!$A$6,MIN(Reference!$A$11,MIN($U113,240))),Reference!$A$6:$A$11,1))))),0)+IF(7&lt;=$AL113,($AL113-7+3)*(INDEX(Reference!$B$6:$B$11,MIN(5,MATCH(MAX(Reference!$A$6,MIN(Reference!$A$11,MIN($U113,270))),Reference!$A$6:$A$11,1)))+(MAX(Reference!$A$6,MIN(Reference!$A$11,MIN($U113,270)))-INDEX(Reference!$A$6:$A$11,MIN(5,MATCH(MAX(Reference!$A$6,MIN(Reference!$A$11,MIN($U113,270))),Reference!$A$6:$A$11,1))))*(INDEX(Reference!$B$6:$B$11,MIN(5,MATCH(MAX(Reference!$A$6,MIN(Reference!$A$11,MIN($U113,270))),Reference!$A$6:$A$11,1))+1)-INDEX(Reference!$B$6:$B$11,MIN(5,MATCH(MAX(Reference!$A$6,MIN(Reference!$A$11,MIN($U113,270))),Reference!$A$6:$A$11,1))))/(INDEX(Reference!$A$6:$A$11,MIN(5,MATCH(MAX(Reference!$A$6,MIN(Reference!$A$11,MIN($U113,270))),Reference!$A$6:$A$11,1))+1)-INDEX(Reference!$A$6:$A$11,MIN(5,MATCH(MAX(Reference!$A$6,MIN(Reference!$A$11,MIN($U113,270))),Reference!$A$6:$A$11,1))))),0)+IF(8&lt;=$AL113,($AL113-8+3)*(INDEX(Reference!$B$6:$B$11,MIN(5,MATCH(MAX(Reference!$A$6,MIN(Reference!$A$11,MIN($U113,300))),Reference!$A$6:$A$11,1)))+(MAX(Reference!$A$6,MIN(Reference!$A$11,MIN($U113,300)))-INDEX(Reference!$A$6:$A$11,MIN(5,MATCH(MAX(Reference!$A$6,MIN(Reference!$A$11,MIN($U113,300))),Reference!$A$6:$A$11,1))))*(INDEX(Reference!$B$6:$B$11,MIN(5,MATCH(MAX(Reference!$A$6,MIN(Reference!$A$11,MIN($U113,300))),Reference!$A$6:$A$11,1))+1)-INDEX(Reference!$B$6:$B$11,MIN(5,MATCH(MAX(Reference!$A$6,MIN(Reference!$A$11,MIN($U113,300))),Reference!$A$6:$A$11,1))))/(INDEX(Reference!$A$6:$A$11,MIN(5,MATCH(MAX(Reference!$A$6,MIN(Reference!$A$11,MIN($U113,300))),Reference!$A$6:$A$11,1))+1)-INDEX(Reference!$A$6:$A$11,MIN(5,MATCH(MAX(Reference!$A$6,MIN(Reference!$A$11,MIN($U113,300))),Reference!$A$6:$A$11,1))))),0))/($AL113*($AL113+5)/2)),$AN113))</f>
        <v>0</v>
      </c>
      <c r="AN113" s="32">
        <f>IF($U113="",0,(INDEX(Reference!$B$6:$B$11,MIN(5,MATCH(MAX(Reference!$A$6,MIN(Reference!$A$11,$U113)),Reference!$A$6:$A$11,1)))+(MAX(Reference!$A$6,MIN(Reference!$A$11,$U113))-INDEX(Reference!$A$6:$A$11,MIN(5,MATCH(MAX(Reference!$A$6,MIN(Reference!$A$11,$U113)),Reference!$A$6:$A$11,1))))*(INDEX(Reference!$B$6:$B$11,MIN(5,MATCH(MAX(Reference!$A$6,MIN(Reference!$A$11,$U113)),Reference!$A$6:$A$11,1))+1)-INDEX(Reference!$B$6:$B$11,MIN(5,MATCH(MAX(Reference!$A$6,MIN(Reference!$A$11,$U113)),Reference!$A$6:$A$11,1))))/(INDEX(Reference!$A$6:$A$11,MIN(5,MATCH(MAX(Reference!$A$6,MIN(Reference!$A$11,$U113)),Reference!$A$6:$A$11,1))+1)-INDEX(Reference!$A$6:$A$11,MIN(5,MATCH(MAX(Reference!$A$6,MIN(Reference!$A$11,$U113)),Reference!$A$6:$A$11,1))))))</f>
        <v>0</v>
      </c>
      <c r="AO113" s="37"/>
      <c r="AP113" s="37"/>
      <c r="AQ113" s="37"/>
    </row>
    <row r="114" spans="1:43" x14ac:dyDescent="0.3">
      <c r="A114" s="48" t="str">
        <f t="shared" si="55"/>
        <v/>
      </c>
      <c r="B114" s="32" t="str">
        <f t="shared" si="56"/>
        <v/>
      </c>
      <c r="C114" s="32" t="str">
        <f t="shared" si="57"/>
        <v/>
      </c>
      <c r="D114" s="32" t="str">
        <f t="shared" si="58"/>
        <v/>
      </c>
      <c r="E114" s="32" t="str">
        <f t="shared" si="59"/>
        <v/>
      </c>
      <c r="F114" s="32" t="str">
        <f t="shared" si="60"/>
        <v/>
      </c>
      <c r="G114" s="47" t="str">
        <f t="shared" si="61"/>
        <v/>
      </c>
      <c r="H114" s="30" t="str">
        <f t="shared" si="62"/>
        <v/>
      </c>
      <c r="I114" s="46" t="str">
        <f>IF($A114="","",IF(AND($L114&lt;27,$K$12=0),"Building",IFERROR(((SUM($H$108:$H114)+$K$12*IF($L114&lt;6,SUMIFS('Throw Log'!$Q$5:$Q$300,'Throw Log'!$B$5:$B$300,$D$4,'Throw Log'!$A$5:$A$300,"&gt;="&amp;($D$6+$L114-6),'Throw Log'!$A$5:$A$300,"&lt;="&amp;($D$6-1)),0))/7)/((SUM($H$87:$H114)+$K$12*IF($L114&lt;27,SUMIFS('Throw Log'!$Q$5:$Q$300,'Throw Log'!$B$5:$B$300,$D$4,'Throw Log'!$A$5:$A$300,"&gt;="&amp;($D$6+$L114-27),'Throw Log'!$A$5:$A$300,"&lt;="&amp;($D$6-1)),0))/28),"")))</f>
        <v/>
      </c>
      <c r="J114" s="37"/>
      <c r="K114" s="37"/>
      <c r="L114" s="32">
        <v>71</v>
      </c>
      <c r="M114" s="32">
        <f t="shared" si="63"/>
        <v>11</v>
      </c>
      <c r="N114" s="32">
        <f t="shared" si="64"/>
        <v>1</v>
      </c>
      <c r="O114" s="32">
        <f t="shared" si="65"/>
        <v>1</v>
      </c>
      <c r="P114" s="32" t="str">
        <f>IF(OR($A114="",N($C114)&lt;=7),"",$G$6*$G$9^($M114-1)*IF(AND(MOD($M114,Reference!$B$99)=0,$M114&lt;=$G$5-2),Reference!$B$100,1))</f>
        <v/>
      </c>
      <c r="Q114" s="32" t="str">
        <f>IF($P114="","",IF(SUM($AK$113:$AK$119)=0,0,$P114*INDEX(Reference!$B$108:$B$114,$N114+1)/SUM($AK$113:$AK$119)))</f>
        <v/>
      </c>
      <c r="R114" s="32">
        <f t="shared" si="66"/>
        <v>120</v>
      </c>
      <c r="S114" s="32">
        <f t="shared" si="67"/>
        <v>105</v>
      </c>
      <c r="T114" s="32" t="str">
        <f>IF($A114="","",IF($C114=0,"Bullpen",IF(OR($C114=7,$C114=1,$C114=5),"Recovery/Easy Catch",IF($C114=6,"Compression/Pulldowns",IF(OR($C114=4,$C114=2),"Long Toss",IF($C114=3,"No Throw",IF($N114=2,"No Throw",IF($N114=6,IF($O114&lt;Reference!$B$104,"No Throw","Recovery/Easy Catch"),IF(OR($N114=0,$N114=4),"Recovery/Easy Catch",IF($N114=1,IF($R114&gt;75,"Long Toss","Recovery/Easy Catch"),IF($N114=3,IF($O114&lt;0.5,IF($S114&gt;75,"Long Toss","Recovery/Easy Catch"),"Compression/Pulldowns"),IF($S114&gt;75,"Long Toss","Recovery/Easy Catch"))))))))))))</f>
        <v/>
      </c>
      <c r="U114" s="32" t="str">
        <f t="shared" si="68"/>
        <v/>
      </c>
      <c r="V114" s="32" t="str">
        <f t="shared" si="69"/>
        <v/>
      </c>
      <c r="W114" s="32" t="str">
        <f t="shared" si="70"/>
        <v/>
      </c>
      <c r="X114" s="32">
        <f t="shared" si="71"/>
        <v>0</v>
      </c>
      <c r="Y114" s="32" t="str">
        <f t="shared" si="72"/>
        <v/>
      </c>
      <c r="Z114" s="32" t="str">
        <f t="shared" si="73"/>
        <v/>
      </c>
      <c r="AA114" s="32" t="str">
        <f t="shared" si="74"/>
        <v/>
      </c>
      <c r="AB114" s="32" t="str">
        <f>IF($A114="","",IF($T114="No Throw",0,IF($K114&lt;&gt;"",$K114,IF($AA114&lt;&gt;"",ROUND($AA114*$D$12*IF($C114=0,1,$G$10),0),MIN(IF($T114="Recovery/Easy Catch",Reference!$B$103,IF($T114="Long Toss",Reference!$B$106,Reference!$B$102)),MAX(Reference!$B$101,ROUND(MAX(0,$Q114-$AE114)/$AF114,0)))))))</f>
        <v/>
      </c>
      <c r="AC114" s="32">
        <f t="shared" si="75"/>
        <v>0</v>
      </c>
      <c r="AD114" s="32" t="b">
        <f t="shared" si="76"/>
        <v>1</v>
      </c>
      <c r="AE114" s="32">
        <f>IF($X114=0,0,$X114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114+$Z114)/2,0),Reference!$A$17:$B$20,2,TRUE()))</f>
        <v>0</v>
      </c>
      <c r="AF114" s="32">
        <f>IF(OR($A114="",$U114="",$T114="No Throw"),0,$AM114*VLOOKUP(MAX(($V114+$W114)/2,0),Reference!$A$17:$B$20,2,TRUE()))</f>
        <v>0</v>
      </c>
      <c r="AG114" s="32">
        <f>IF($AC114=0,0,$AC114*INDEX(Reference!$B$61:$B$62,MATCH("Bullpen",Reference!$A$61:$A$62,0))*VLOOKUP(MAX($D$5-($D$9+$E$9)/2,0),Reference!$A$17:$B$20,2,TRUE()))</f>
        <v>0</v>
      </c>
      <c r="AH114" s="32" t="e">
        <f t="shared" si="77"/>
        <v>#N/A</v>
      </c>
      <c r="AI114" s="32" t="e">
        <f>IF($A114="",NA(),Reference!$A$25)</f>
        <v>#N/A</v>
      </c>
      <c r="AJ114" s="32" t="e">
        <f t="shared" si="78"/>
        <v>#N/A</v>
      </c>
      <c r="AK114" s="32">
        <f>IF(OR($A114="",N($C114)&lt;=7,$T114="No Throw",$J114="x"),0,INDEX(Reference!$B$108:$B$114,$N114+1))</f>
        <v>0</v>
      </c>
      <c r="AL114" s="32">
        <f t="shared" si="79"/>
        <v>1</v>
      </c>
      <c r="AM114" s="32">
        <f>IF($U114="",0,IF($AL114&gt;1,((IF(1&lt;=$AL114,($AL114-1+3)*(INDEX(Reference!$B$6:$B$11,MIN(5,MATCH(MAX(Reference!$A$6,MIN(Reference!$A$11,MIN($U114,90))),Reference!$A$6:$A$11,1)))+(MAX(Reference!$A$6,MIN(Reference!$A$11,MIN($U114,90)))-INDEX(Reference!$A$6:$A$11,MIN(5,MATCH(MAX(Reference!$A$6,MIN(Reference!$A$11,MIN($U114,90))),Reference!$A$6:$A$11,1))))*(INDEX(Reference!$B$6:$B$11,MIN(5,MATCH(MAX(Reference!$A$6,MIN(Reference!$A$11,MIN($U114,90))),Reference!$A$6:$A$11,1))+1)-INDEX(Reference!$B$6:$B$11,MIN(5,MATCH(MAX(Reference!$A$6,MIN(Reference!$A$11,MIN($U114,90))),Reference!$A$6:$A$11,1))))/(INDEX(Reference!$A$6:$A$11,MIN(5,MATCH(MAX(Reference!$A$6,MIN(Reference!$A$11,MIN($U114,90))),Reference!$A$6:$A$11,1))+1)-INDEX(Reference!$A$6:$A$11,MIN(5,MATCH(MAX(Reference!$A$6,MIN(Reference!$A$11,MIN($U114,90))),Reference!$A$6:$A$11,1))))),0)+IF(2&lt;=$AL114,($AL114-2+3)*(INDEX(Reference!$B$6:$B$11,MIN(5,MATCH(MAX(Reference!$A$6,MIN(Reference!$A$11,MIN($U114,120))),Reference!$A$6:$A$11,1)))+(MAX(Reference!$A$6,MIN(Reference!$A$11,MIN($U114,120)))-INDEX(Reference!$A$6:$A$11,MIN(5,MATCH(MAX(Reference!$A$6,MIN(Reference!$A$11,MIN($U114,120))),Reference!$A$6:$A$11,1))))*(INDEX(Reference!$B$6:$B$11,MIN(5,MATCH(MAX(Reference!$A$6,MIN(Reference!$A$11,MIN($U114,120))),Reference!$A$6:$A$11,1))+1)-INDEX(Reference!$B$6:$B$11,MIN(5,MATCH(MAX(Reference!$A$6,MIN(Reference!$A$11,MIN($U114,120))),Reference!$A$6:$A$11,1))))/(INDEX(Reference!$A$6:$A$11,MIN(5,MATCH(MAX(Reference!$A$6,MIN(Reference!$A$11,MIN($U114,120))),Reference!$A$6:$A$11,1))+1)-INDEX(Reference!$A$6:$A$11,MIN(5,MATCH(MAX(Reference!$A$6,MIN(Reference!$A$11,MIN($U114,120))),Reference!$A$6:$A$11,1))))),0)+IF(3&lt;=$AL114,($AL114-3+3)*(INDEX(Reference!$B$6:$B$11,MIN(5,MATCH(MAX(Reference!$A$6,MIN(Reference!$A$11,MIN($U114,150))),Reference!$A$6:$A$11,1)))+(MAX(Reference!$A$6,MIN(Reference!$A$11,MIN($U114,150)))-INDEX(Reference!$A$6:$A$11,MIN(5,MATCH(MAX(Reference!$A$6,MIN(Reference!$A$11,MIN($U114,150))),Reference!$A$6:$A$11,1))))*(INDEX(Reference!$B$6:$B$11,MIN(5,MATCH(MAX(Reference!$A$6,MIN(Reference!$A$11,MIN($U114,150))),Reference!$A$6:$A$11,1))+1)-INDEX(Reference!$B$6:$B$11,MIN(5,MATCH(MAX(Reference!$A$6,MIN(Reference!$A$11,MIN($U114,150))),Reference!$A$6:$A$11,1))))/(INDEX(Reference!$A$6:$A$11,MIN(5,MATCH(MAX(Reference!$A$6,MIN(Reference!$A$11,MIN($U114,150))),Reference!$A$6:$A$11,1))+1)-INDEX(Reference!$A$6:$A$11,MIN(5,MATCH(MAX(Reference!$A$6,MIN(Reference!$A$11,MIN($U114,150))),Reference!$A$6:$A$11,1))))),0)+IF(4&lt;=$AL114,($AL114-4+3)*(INDEX(Reference!$B$6:$B$11,MIN(5,MATCH(MAX(Reference!$A$6,MIN(Reference!$A$11,MIN($U114,180))),Reference!$A$6:$A$11,1)))+(MAX(Reference!$A$6,MIN(Reference!$A$11,MIN($U114,180)))-INDEX(Reference!$A$6:$A$11,MIN(5,MATCH(MAX(Reference!$A$6,MIN(Reference!$A$11,MIN($U114,180))),Reference!$A$6:$A$11,1))))*(INDEX(Reference!$B$6:$B$11,MIN(5,MATCH(MAX(Reference!$A$6,MIN(Reference!$A$11,MIN($U114,180))),Reference!$A$6:$A$11,1))+1)-INDEX(Reference!$B$6:$B$11,MIN(5,MATCH(MAX(Reference!$A$6,MIN(Reference!$A$11,MIN($U114,180))),Reference!$A$6:$A$11,1))))/(INDEX(Reference!$A$6:$A$11,MIN(5,MATCH(MAX(Reference!$A$6,MIN(Reference!$A$11,MIN($U114,180))),Reference!$A$6:$A$11,1))+1)-INDEX(Reference!$A$6:$A$11,MIN(5,MATCH(MAX(Reference!$A$6,MIN(Reference!$A$11,MIN($U114,180))),Reference!$A$6:$A$11,1))))),0)+IF(5&lt;=$AL114,($AL114-5+3)*(INDEX(Reference!$B$6:$B$11,MIN(5,MATCH(MAX(Reference!$A$6,MIN(Reference!$A$11,MIN($U114,210))),Reference!$A$6:$A$11,1)))+(MAX(Reference!$A$6,MIN(Reference!$A$11,MIN($U114,210)))-INDEX(Reference!$A$6:$A$11,MIN(5,MATCH(MAX(Reference!$A$6,MIN(Reference!$A$11,MIN($U114,210))),Reference!$A$6:$A$11,1))))*(INDEX(Reference!$B$6:$B$11,MIN(5,MATCH(MAX(Reference!$A$6,MIN(Reference!$A$11,MIN($U114,210))),Reference!$A$6:$A$11,1))+1)-INDEX(Reference!$B$6:$B$11,MIN(5,MATCH(MAX(Reference!$A$6,MIN(Reference!$A$11,MIN($U114,210))),Reference!$A$6:$A$11,1))))/(INDEX(Reference!$A$6:$A$11,MIN(5,MATCH(MAX(Reference!$A$6,MIN(Reference!$A$11,MIN($U114,210))),Reference!$A$6:$A$11,1))+1)-INDEX(Reference!$A$6:$A$11,MIN(5,MATCH(MAX(Reference!$A$6,MIN(Reference!$A$11,MIN($U114,210))),Reference!$A$6:$A$11,1))))),0)+IF(6&lt;=$AL114,($AL114-6+3)*(INDEX(Reference!$B$6:$B$11,MIN(5,MATCH(MAX(Reference!$A$6,MIN(Reference!$A$11,MIN($U114,240))),Reference!$A$6:$A$11,1)))+(MAX(Reference!$A$6,MIN(Reference!$A$11,MIN($U114,240)))-INDEX(Reference!$A$6:$A$11,MIN(5,MATCH(MAX(Reference!$A$6,MIN(Reference!$A$11,MIN($U114,240))),Reference!$A$6:$A$11,1))))*(INDEX(Reference!$B$6:$B$11,MIN(5,MATCH(MAX(Reference!$A$6,MIN(Reference!$A$11,MIN($U114,240))),Reference!$A$6:$A$11,1))+1)-INDEX(Reference!$B$6:$B$11,MIN(5,MATCH(MAX(Reference!$A$6,MIN(Reference!$A$11,MIN($U114,240))),Reference!$A$6:$A$11,1))))/(INDEX(Reference!$A$6:$A$11,MIN(5,MATCH(MAX(Reference!$A$6,MIN(Reference!$A$11,MIN($U114,240))),Reference!$A$6:$A$11,1))+1)-INDEX(Reference!$A$6:$A$11,MIN(5,MATCH(MAX(Reference!$A$6,MIN(Reference!$A$11,MIN($U114,240))),Reference!$A$6:$A$11,1))))),0)+IF(7&lt;=$AL114,($AL114-7+3)*(INDEX(Reference!$B$6:$B$11,MIN(5,MATCH(MAX(Reference!$A$6,MIN(Reference!$A$11,MIN($U114,270))),Reference!$A$6:$A$11,1)))+(MAX(Reference!$A$6,MIN(Reference!$A$11,MIN($U114,270)))-INDEX(Reference!$A$6:$A$11,MIN(5,MATCH(MAX(Reference!$A$6,MIN(Reference!$A$11,MIN($U114,270))),Reference!$A$6:$A$11,1))))*(INDEX(Reference!$B$6:$B$11,MIN(5,MATCH(MAX(Reference!$A$6,MIN(Reference!$A$11,MIN($U114,270))),Reference!$A$6:$A$11,1))+1)-INDEX(Reference!$B$6:$B$11,MIN(5,MATCH(MAX(Reference!$A$6,MIN(Reference!$A$11,MIN($U114,270))),Reference!$A$6:$A$11,1))))/(INDEX(Reference!$A$6:$A$11,MIN(5,MATCH(MAX(Reference!$A$6,MIN(Reference!$A$11,MIN($U114,270))),Reference!$A$6:$A$11,1))+1)-INDEX(Reference!$A$6:$A$11,MIN(5,MATCH(MAX(Reference!$A$6,MIN(Reference!$A$11,MIN($U114,270))),Reference!$A$6:$A$11,1))))),0)+IF(8&lt;=$AL114,($AL114-8+3)*(INDEX(Reference!$B$6:$B$11,MIN(5,MATCH(MAX(Reference!$A$6,MIN(Reference!$A$11,MIN($U114,300))),Reference!$A$6:$A$11,1)))+(MAX(Reference!$A$6,MIN(Reference!$A$11,MIN($U114,300)))-INDEX(Reference!$A$6:$A$11,MIN(5,MATCH(MAX(Reference!$A$6,MIN(Reference!$A$11,MIN($U114,300))),Reference!$A$6:$A$11,1))))*(INDEX(Reference!$B$6:$B$11,MIN(5,MATCH(MAX(Reference!$A$6,MIN(Reference!$A$11,MIN($U114,300))),Reference!$A$6:$A$11,1))+1)-INDEX(Reference!$B$6:$B$11,MIN(5,MATCH(MAX(Reference!$A$6,MIN(Reference!$A$11,MIN($U114,300))),Reference!$A$6:$A$11,1))))/(INDEX(Reference!$A$6:$A$11,MIN(5,MATCH(MAX(Reference!$A$6,MIN(Reference!$A$11,MIN($U114,300))),Reference!$A$6:$A$11,1))+1)-INDEX(Reference!$A$6:$A$11,MIN(5,MATCH(MAX(Reference!$A$6,MIN(Reference!$A$11,MIN($U114,300))),Reference!$A$6:$A$11,1))))),0))/($AL114*($AL114+5)/2)),$AN114))</f>
        <v>0</v>
      </c>
      <c r="AN114" s="32">
        <f>IF($U114="",0,(INDEX(Reference!$B$6:$B$11,MIN(5,MATCH(MAX(Reference!$A$6,MIN(Reference!$A$11,$U114)),Reference!$A$6:$A$11,1)))+(MAX(Reference!$A$6,MIN(Reference!$A$11,$U114))-INDEX(Reference!$A$6:$A$11,MIN(5,MATCH(MAX(Reference!$A$6,MIN(Reference!$A$11,$U114)),Reference!$A$6:$A$11,1))))*(INDEX(Reference!$B$6:$B$11,MIN(5,MATCH(MAX(Reference!$A$6,MIN(Reference!$A$11,$U114)),Reference!$A$6:$A$11,1))+1)-INDEX(Reference!$B$6:$B$11,MIN(5,MATCH(MAX(Reference!$A$6,MIN(Reference!$A$11,$U114)),Reference!$A$6:$A$11,1))))/(INDEX(Reference!$A$6:$A$11,MIN(5,MATCH(MAX(Reference!$A$6,MIN(Reference!$A$11,$U114)),Reference!$A$6:$A$11,1))+1)-INDEX(Reference!$A$6:$A$11,MIN(5,MATCH(MAX(Reference!$A$6,MIN(Reference!$A$11,$U114)),Reference!$A$6:$A$11,1))))))</f>
        <v>0</v>
      </c>
      <c r="AO114" s="37"/>
      <c r="AP114" s="37"/>
      <c r="AQ114" s="37"/>
    </row>
    <row r="115" spans="1:43" x14ac:dyDescent="0.3">
      <c r="A115" s="48" t="str">
        <f t="shared" si="55"/>
        <v/>
      </c>
      <c r="B115" s="32" t="str">
        <f t="shared" si="56"/>
        <v/>
      </c>
      <c r="C115" s="32" t="str">
        <f t="shared" si="57"/>
        <v/>
      </c>
      <c r="D115" s="32" t="str">
        <f t="shared" si="58"/>
        <v/>
      </c>
      <c r="E115" s="32" t="str">
        <f t="shared" si="59"/>
        <v/>
      </c>
      <c r="F115" s="32" t="str">
        <f t="shared" si="60"/>
        <v/>
      </c>
      <c r="G115" s="47" t="str">
        <f t="shared" si="61"/>
        <v/>
      </c>
      <c r="H115" s="30" t="str">
        <f t="shared" si="62"/>
        <v/>
      </c>
      <c r="I115" s="46" t="str">
        <f>IF($A115="","",IF(AND($L115&lt;27,$K$12=0),"Building",IFERROR(((SUM($H$109:$H115)+$K$12*IF($L115&lt;6,SUMIFS('Throw Log'!$Q$5:$Q$300,'Throw Log'!$B$5:$B$300,$D$4,'Throw Log'!$A$5:$A$300,"&gt;="&amp;($D$6+$L115-6),'Throw Log'!$A$5:$A$300,"&lt;="&amp;($D$6-1)),0))/7)/((SUM($H$88:$H115)+$K$12*IF($L115&lt;27,SUMIFS('Throw Log'!$Q$5:$Q$300,'Throw Log'!$B$5:$B$300,$D$4,'Throw Log'!$A$5:$A$300,"&gt;="&amp;($D$6+$L115-27),'Throw Log'!$A$5:$A$300,"&lt;="&amp;($D$6-1)),0))/28),"")))</f>
        <v/>
      </c>
      <c r="J115" s="37"/>
      <c r="K115" s="37"/>
      <c r="L115" s="32">
        <v>72</v>
      </c>
      <c r="M115" s="32">
        <f t="shared" si="63"/>
        <v>11</v>
      </c>
      <c r="N115" s="32">
        <f t="shared" si="64"/>
        <v>2</v>
      </c>
      <c r="O115" s="32">
        <f t="shared" si="65"/>
        <v>1</v>
      </c>
      <c r="P115" s="32" t="str">
        <f>IF(OR($A115="",N($C115)&lt;=7),"",$G$6*$G$9^($M115-1)*IF(AND(MOD($M115,Reference!$B$99)=0,$M115&lt;=$G$5-2),Reference!$B$100,1))</f>
        <v/>
      </c>
      <c r="Q115" s="32" t="str">
        <f>IF($P115="","",IF(SUM($AK$113:$AK$119)=0,0,$P115*INDEX(Reference!$B$108:$B$114,$N115+1)/SUM($AK$113:$AK$119)))</f>
        <v/>
      </c>
      <c r="R115" s="32">
        <f t="shared" si="66"/>
        <v>120</v>
      </c>
      <c r="S115" s="32">
        <f t="shared" si="67"/>
        <v>105</v>
      </c>
      <c r="T115" s="32" t="str">
        <f>IF($A115="","",IF($C115=0,"Bullpen",IF(OR($C115=7,$C115=1,$C115=5),"Recovery/Easy Catch",IF($C115=6,"Compression/Pulldowns",IF(OR($C115=4,$C115=2),"Long Toss",IF($C115=3,"No Throw",IF($N115=2,"No Throw",IF($N115=6,IF($O115&lt;Reference!$B$104,"No Throw","Recovery/Easy Catch"),IF(OR($N115=0,$N115=4),"Recovery/Easy Catch",IF($N115=1,IF($R115&gt;75,"Long Toss","Recovery/Easy Catch"),IF($N115=3,IF($O115&lt;0.5,IF($S115&gt;75,"Long Toss","Recovery/Easy Catch"),"Compression/Pulldowns"),IF($S115&gt;75,"Long Toss","Recovery/Easy Catch"))))))))))))</f>
        <v/>
      </c>
      <c r="U115" s="32" t="str">
        <f t="shared" si="68"/>
        <v/>
      </c>
      <c r="V115" s="32" t="str">
        <f t="shared" si="69"/>
        <v/>
      </c>
      <c r="W115" s="32" t="str">
        <f t="shared" si="70"/>
        <v/>
      </c>
      <c r="X115" s="32">
        <f t="shared" si="71"/>
        <v>0</v>
      </c>
      <c r="Y115" s="32" t="str">
        <f t="shared" si="72"/>
        <v/>
      </c>
      <c r="Z115" s="32" t="str">
        <f t="shared" si="73"/>
        <v/>
      </c>
      <c r="AA115" s="32" t="str">
        <f t="shared" si="74"/>
        <v/>
      </c>
      <c r="AB115" s="32" t="str">
        <f>IF($A115="","",IF($T115="No Throw",0,IF($K115&lt;&gt;"",$K115,IF($AA115&lt;&gt;"",ROUND($AA115*$D$12*IF($C115=0,1,$G$10),0),MIN(IF($T115="Recovery/Easy Catch",Reference!$B$103,IF($T115="Long Toss",Reference!$B$106,Reference!$B$102)),MAX(Reference!$B$101,ROUND(MAX(0,$Q115-$AE115)/$AF115,0)))))))</f>
        <v/>
      </c>
      <c r="AC115" s="32">
        <f t="shared" si="75"/>
        <v>0</v>
      </c>
      <c r="AD115" s="32" t="b">
        <f t="shared" si="76"/>
        <v>1</v>
      </c>
      <c r="AE115" s="32">
        <f>IF($X115=0,0,$X115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115+$Z115)/2,0),Reference!$A$17:$B$20,2,TRUE()))</f>
        <v>0</v>
      </c>
      <c r="AF115" s="32">
        <f>IF(OR($A115="",$U115="",$T115="No Throw"),0,$AM115*VLOOKUP(MAX(($V115+$W115)/2,0),Reference!$A$17:$B$20,2,TRUE()))</f>
        <v>0</v>
      </c>
      <c r="AG115" s="32">
        <f>IF($AC115=0,0,$AC115*INDEX(Reference!$B$61:$B$62,MATCH("Bullpen",Reference!$A$61:$A$62,0))*VLOOKUP(MAX($D$5-($D$9+$E$9)/2,0),Reference!$A$17:$B$20,2,TRUE()))</f>
        <v>0</v>
      </c>
      <c r="AH115" s="32" t="e">
        <f t="shared" si="77"/>
        <v>#N/A</v>
      </c>
      <c r="AI115" s="32" t="e">
        <f>IF($A115="",NA(),Reference!$A$25)</f>
        <v>#N/A</v>
      </c>
      <c r="AJ115" s="32" t="e">
        <f t="shared" si="78"/>
        <v>#N/A</v>
      </c>
      <c r="AK115" s="32">
        <f>IF(OR($A115="",N($C115)&lt;=7,$T115="No Throw",$J115="x"),0,INDEX(Reference!$B$108:$B$114,$N115+1))</f>
        <v>0</v>
      </c>
      <c r="AL115" s="32">
        <f t="shared" si="79"/>
        <v>1</v>
      </c>
      <c r="AM115" s="32">
        <f>IF($U115="",0,IF($AL115&gt;1,((IF(1&lt;=$AL115,($AL115-1+3)*(INDEX(Reference!$B$6:$B$11,MIN(5,MATCH(MAX(Reference!$A$6,MIN(Reference!$A$11,MIN($U115,90))),Reference!$A$6:$A$11,1)))+(MAX(Reference!$A$6,MIN(Reference!$A$11,MIN($U115,90)))-INDEX(Reference!$A$6:$A$11,MIN(5,MATCH(MAX(Reference!$A$6,MIN(Reference!$A$11,MIN($U115,90))),Reference!$A$6:$A$11,1))))*(INDEX(Reference!$B$6:$B$11,MIN(5,MATCH(MAX(Reference!$A$6,MIN(Reference!$A$11,MIN($U115,90))),Reference!$A$6:$A$11,1))+1)-INDEX(Reference!$B$6:$B$11,MIN(5,MATCH(MAX(Reference!$A$6,MIN(Reference!$A$11,MIN($U115,90))),Reference!$A$6:$A$11,1))))/(INDEX(Reference!$A$6:$A$11,MIN(5,MATCH(MAX(Reference!$A$6,MIN(Reference!$A$11,MIN($U115,90))),Reference!$A$6:$A$11,1))+1)-INDEX(Reference!$A$6:$A$11,MIN(5,MATCH(MAX(Reference!$A$6,MIN(Reference!$A$11,MIN($U115,90))),Reference!$A$6:$A$11,1))))),0)+IF(2&lt;=$AL115,($AL115-2+3)*(INDEX(Reference!$B$6:$B$11,MIN(5,MATCH(MAX(Reference!$A$6,MIN(Reference!$A$11,MIN($U115,120))),Reference!$A$6:$A$11,1)))+(MAX(Reference!$A$6,MIN(Reference!$A$11,MIN($U115,120)))-INDEX(Reference!$A$6:$A$11,MIN(5,MATCH(MAX(Reference!$A$6,MIN(Reference!$A$11,MIN($U115,120))),Reference!$A$6:$A$11,1))))*(INDEX(Reference!$B$6:$B$11,MIN(5,MATCH(MAX(Reference!$A$6,MIN(Reference!$A$11,MIN($U115,120))),Reference!$A$6:$A$11,1))+1)-INDEX(Reference!$B$6:$B$11,MIN(5,MATCH(MAX(Reference!$A$6,MIN(Reference!$A$11,MIN($U115,120))),Reference!$A$6:$A$11,1))))/(INDEX(Reference!$A$6:$A$11,MIN(5,MATCH(MAX(Reference!$A$6,MIN(Reference!$A$11,MIN($U115,120))),Reference!$A$6:$A$11,1))+1)-INDEX(Reference!$A$6:$A$11,MIN(5,MATCH(MAX(Reference!$A$6,MIN(Reference!$A$11,MIN($U115,120))),Reference!$A$6:$A$11,1))))),0)+IF(3&lt;=$AL115,($AL115-3+3)*(INDEX(Reference!$B$6:$B$11,MIN(5,MATCH(MAX(Reference!$A$6,MIN(Reference!$A$11,MIN($U115,150))),Reference!$A$6:$A$11,1)))+(MAX(Reference!$A$6,MIN(Reference!$A$11,MIN($U115,150)))-INDEX(Reference!$A$6:$A$11,MIN(5,MATCH(MAX(Reference!$A$6,MIN(Reference!$A$11,MIN($U115,150))),Reference!$A$6:$A$11,1))))*(INDEX(Reference!$B$6:$B$11,MIN(5,MATCH(MAX(Reference!$A$6,MIN(Reference!$A$11,MIN($U115,150))),Reference!$A$6:$A$11,1))+1)-INDEX(Reference!$B$6:$B$11,MIN(5,MATCH(MAX(Reference!$A$6,MIN(Reference!$A$11,MIN($U115,150))),Reference!$A$6:$A$11,1))))/(INDEX(Reference!$A$6:$A$11,MIN(5,MATCH(MAX(Reference!$A$6,MIN(Reference!$A$11,MIN($U115,150))),Reference!$A$6:$A$11,1))+1)-INDEX(Reference!$A$6:$A$11,MIN(5,MATCH(MAX(Reference!$A$6,MIN(Reference!$A$11,MIN($U115,150))),Reference!$A$6:$A$11,1))))),0)+IF(4&lt;=$AL115,($AL115-4+3)*(INDEX(Reference!$B$6:$B$11,MIN(5,MATCH(MAX(Reference!$A$6,MIN(Reference!$A$11,MIN($U115,180))),Reference!$A$6:$A$11,1)))+(MAX(Reference!$A$6,MIN(Reference!$A$11,MIN($U115,180)))-INDEX(Reference!$A$6:$A$11,MIN(5,MATCH(MAX(Reference!$A$6,MIN(Reference!$A$11,MIN($U115,180))),Reference!$A$6:$A$11,1))))*(INDEX(Reference!$B$6:$B$11,MIN(5,MATCH(MAX(Reference!$A$6,MIN(Reference!$A$11,MIN($U115,180))),Reference!$A$6:$A$11,1))+1)-INDEX(Reference!$B$6:$B$11,MIN(5,MATCH(MAX(Reference!$A$6,MIN(Reference!$A$11,MIN($U115,180))),Reference!$A$6:$A$11,1))))/(INDEX(Reference!$A$6:$A$11,MIN(5,MATCH(MAX(Reference!$A$6,MIN(Reference!$A$11,MIN($U115,180))),Reference!$A$6:$A$11,1))+1)-INDEX(Reference!$A$6:$A$11,MIN(5,MATCH(MAX(Reference!$A$6,MIN(Reference!$A$11,MIN($U115,180))),Reference!$A$6:$A$11,1))))),0)+IF(5&lt;=$AL115,($AL115-5+3)*(INDEX(Reference!$B$6:$B$11,MIN(5,MATCH(MAX(Reference!$A$6,MIN(Reference!$A$11,MIN($U115,210))),Reference!$A$6:$A$11,1)))+(MAX(Reference!$A$6,MIN(Reference!$A$11,MIN($U115,210)))-INDEX(Reference!$A$6:$A$11,MIN(5,MATCH(MAX(Reference!$A$6,MIN(Reference!$A$11,MIN($U115,210))),Reference!$A$6:$A$11,1))))*(INDEX(Reference!$B$6:$B$11,MIN(5,MATCH(MAX(Reference!$A$6,MIN(Reference!$A$11,MIN($U115,210))),Reference!$A$6:$A$11,1))+1)-INDEX(Reference!$B$6:$B$11,MIN(5,MATCH(MAX(Reference!$A$6,MIN(Reference!$A$11,MIN($U115,210))),Reference!$A$6:$A$11,1))))/(INDEX(Reference!$A$6:$A$11,MIN(5,MATCH(MAX(Reference!$A$6,MIN(Reference!$A$11,MIN($U115,210))),Reference!$A$6:$A$11,1))+1)-INDEX(Reference!$A$6:$A$11,MIN(5,MATCH(MAX(Reference!$A$6,MIN(Reference!$A$11,MIN($U115,210))),Reference!$A$6:$A$11,1))))),0)+IF(6&lt;=$AL115,($AL115-6+3)*(INDEX(Reference!$B$6:$B$11,MIN(5,MATCH(MAX(Reference!$A$6,MIN(Reference!$A$11,MIN($U115,240))),Reference!$A$6:$A$11,1)))+(MAX(Reference!$A$6,MIN(Reference!$A$11,MIN($U115,240)))-INDEX(Reference!$A$6:$A$11,MIN(5,MATCH(MAX(Reference!$A$6,MIN(Reference!$A$11,MIN($U115,240))),Reference!$A$6:$A$11,1))))*(INDEX(Reference!$B$6:$B$11,MIN(5,MATCH(MAX(Reference!$A$6,MIN(Reference!$A$11,MIN($U115,240))),Reference!$A$6:$A$11,1))+1)-INDEX(Reference!$B$6:$B$11,MIN(5,MATCH(MAX(Reference!$A$6,MIN(Reference!$A$11,MIN($U115,240))),Reference!$A$6:$A$11,1))))/(INDEX(Reference!$A$6:$A$11,MIN(5,MATCH(MAX(Reference!$A$6,MIN(Reference!$A$11,MIN($U115,240))),Reference!$A$6:$A$11,1))+1)-INDEX(Reference!$A$6:$A$11,MIN(5,MATCH(MAX(Reference!$A$6,MIN(Reference!$A$11,MIN($U115,240))),Reference!$A$6:$A$11,1))))),0)+IF(7&lt;=$AL115,($AL115-7+3)*(INDEX(Reference!$B$6:$B$11,MIN(5,MATCH(MAX(Reference!$A$6,MIN(Reference!$A$11,MIN($U115,270))),Reference!$A$6:$A$11,1)))+(MAX(Reference!$A$6,MIN(Reference!$A$11,MIN($U115,270)))-INDEX(Reference!$A$6:$A$11,MIN(5,MATCH(MAX(Reference!$A$6,MIN(Reference!$A$11,MIN($U115,270))),Reference!$A$6:$A$11,1))))*(INDEX(Reference!$B$6:$B$11,MIN(5,MATCH(MAX(Reference!$A$6,MIN(Reference!$A$11,MIN($U115,270))),Reference!$A$6:$A$11,1))+1)-INDEX(Reference!$B$6:$B$11,MIN(5,MATCH(MAX(Reference!$A$6,MIN(Reference!$A$11,MIN($U115,270))),Reference!$A$6:$A$11,1))))/(INDEX(Reference!$A$6:$A$11,MIN(5,MATCH(MAX(Reference!$A$6,MIN(Reference!$A$11,MIN($U115,270))),Reference!$A$6:$A$11,1))+1)-INDEX(Reference!$A$6:$A$11,MIN(5,MATCH(MAX(Reference!$A$6,MIN(Reference!$A$11,MIN($U115,270))),Reference!$A$6:$A$11,1))))),0)+IF(8&lt;=$AL115,($AL115-8+3)*(INDEX(Reference!$B$6:$B$11,MIN(5,MATCH(MAX(Reference!$A$6,MIN(Reference!$A$11,MIN($U115,300))),Reference!$A$6:$A$11,1)))+(MAX(Reference!$A$6,MIN(Reference!$A$11,MIN($U115,300)))-INDEX(Reference!$A$6:$A$11,MIN(5,MATCH(MAX(Reference!$A$6,MIN(Reference!$A$11,MIN($U115,300))),Reference!$A$6:$A$11,1))))*(INDEX(Reference!$B$6:$B$11,MIN(5,MATCH(MAX(Reference!$A$6,MIN(Reference!$A$11,MIN($U115,300))),Reference!$A$6:$A$11,1))+1)-INDEX(Reference!$B$6:$B$11,MIN(5,MATCH(MAX(Reference!$A$6,MIN(Reference!$A$11,MIN($U115,300))),Reference!$A$6:$A$11,1))))/(INDEX(Reference!$A$6:$A$11,MIN(5,MATCH(MAX(Reference!$A$6,MIN(Reference!$A$11,MIN($U115,300))),Reference!$A$6:$A$11,1))+1)-INDEX(Reference!$A$6:$A$11,MIN(5,MATCH(MAX(Reference!$A$6,MIN(Reference!$A$11,MIN($U115,300))),Reference!$A$6:$A$11,1))))),0))/($AL115*($AL115+5)/2)),$AN115))</f>
        <v>0</v>
      </c>
      <c r="AN115" s="32">
        <f>IF($U115="",0,(INDEX(Reference!$B$6:$B$11,MIN(5,MATCH(MAX(Reference!$A$6,MIN(Reference!$A$11,$U115)),Reference!$A$6:$A$11,1)))+(MAX(Reference!$A$6,MIN(Reference!$A$11,$U115))-INDEX(Reference!$A$6:$A$11,MIN(5,MATCH(MAX(Reference!$A$6,MIN(Reference!$A$11,$U115)),Reference!$A$6:$A$11,1))))*(INDEX(Reference!$B$6:$B$11,MIN(5,MATCH(MAX(Reference!$A$6,MIN(Reference!$A$11,$U115)),Reference!$A$6:$A$11,1))+1)-INDEX(Reference!$B$6:$B$11,MIN(5,MATCH(MAX(Reference!$A$6,MIN(Reference!$A$11,$U115)),Reference!$A$6:$A$11,1))))/(INDEX(Reference!$A$6:$A$11,MIN(5,MATCH(MAX(Reference!$A$6,MIN(Reference!$A$11,$U115)),Reference!$A$6:$A$11,1))+1)-INDEX(Reference!$A$6:$A$11,MIN(5,MATCH(MAX(Reference!$A$6,MIN(Reference!$A$11,$U115)),Reference!$A$6:$A$11,1))))))</f>
        <v>0</v>
      </c>
      <c r="AO115" s="37"/>
      <c r="AP115" s="37"/>
      <c r="AQ115" s="37"/>
    </row>
    <row r="116" spans="1:43" x14ac:dyDescent="0.3">
      <c r="A116" s="48" t="str">
        <f t="shared" si="55"/>
        <v/>
      </c>
      <c r="B116" s="32" t="str">
        <f t="shared" si="56"/>
        <v/>
      </c>
      <c r="C116" s="32" t="str">
        <f t="shared" si="57"/>
        <v/>
      </c>
      <c r="D116" s="32" t="str">
        <f t="shared" si="58"/>
        <v/>
      </c>
      <c r="E116" s="32" t="str">
        <f t="shared" si="59"/>
        <v/>
      </c>
      <c r="F116" s="32" t="str">
        <f t="shared" si="60"/>
        <v/>
      </c>
      <c r="G116" s="47" t="str">
        <f t="shared" si="61"/>
        <v/>
      </c>
      <c r="H116" s="30" t="str">
        <f t="shared" si="62"/>
        <v/>
      </c>
      <c r="I116" s="46" t="str">
        <f>IF($A116="","",IF(AND($L116&lt;27,$K$12=0),"Building",IFERROR(((SUM($H$110:$H116)+$K$12*IF($L116&lt;6,SUMIFS('Throw Log'!$Q$5:$Q$300,'Throw Log'!$B$5:$B$300,$D$4,'Throw Log'!$A$5:$A$300,"&gt;="&amp;($D$6+$L116-6),'Throw Log'!$A$5:$A$300,"&lt;="&amp;($D$6-1)),0))/7)/((SUM($H$89:$H116)+$K$12*IF($L116&lt;27,SUMIFS('Throw Log'!$Q$5:$Q$300,'Throw Log'!$B$5:$B$300,$D$4,'Throw Log'!$A$5:$A$300,"&gt;="&amp;($D$6+$L116-27),'Throw Log'!$A$5:$A$300,"&lt;="&amp;($D$6-1)),0))/28),"")))</f>
        <v/>
      </c>
      <c r="J116" s="37"/>
      <c r="K116" s="37"/>
      <c r="L116" s="32">
        <v>73</v>
      </c>
      <c r="M116" s="32">
        <f t="shared" si="63"/>
        <v>11</v>
      </c>
      <c r="N116" s="32">
        <f t="shared" si="64"/>
        <v>3</v>
      </c>
      <c r="O116" s="32">
        <f t="shared" si="65"/>
        <v>1</v>
      </c>
      <c r="P116" s="32" t="str">
        <f>IF(OR($A116="",N($C116)&lt;=7),"",$G$6*$G$9^($M116-1)*IF(AND(MOD($M116,Reference!$B$99)=0,$M116&lt;=$G$5-2),Reference!$B$100,1))</f>
        <v/>
      </c>
      <c r="Q116" s="32" t="str">
        <f>IF($P116="","",IF(SUM($AK$113:$AK$119)=0,0,$P116*INDEX(Reference!$B$108:$B$114,$N116+1)/SUM($AK$113:$AK$119)))</f>
        <v/>
      </c>
      <c r="R116" s="32">
        <f t="shared" si="66"/>
        <v>120</v>
      </c>
      <c r="S116" s="32">
        <f t="shared" si="67"/>
        <v>105</v>
      </c>
      <c r="T116" s="32" t="str">
        <f>IF($A116="","",IF($C116=0,"Bullpen",IF(OR($C116=7,$C116=1,$C116=5),"Recovery/Easy Catch",IF($C116=6,"Compression/Pulldowns",IF(OR($C116=4,$C116=2),"Long Toss",IF($C116=3,"No Throw",IF($N116=2,"No Throw",IF($N116=6,IF($O116&lt;Reference!$B$104,"No Throw","Recovery/Easy Catch"),IF(OR($N116=0,$N116=4),"Recovery/Easy Catch",IF($N116=1,IF($R116&gt;75,"Long Toss","Recovery/Easy Catch"),IF($N116=3,IF($O116&lt;0.5,IF($S116&gt;75,"Long Toss","Recovery/Easy Catch"),"Compression/Pulldowns"),IF($S116&gt;75,"Long Toss","Recovery/Easy Catch"))))))))))))</f>
        <v/>
      </c>
      <c r="U116" s="32" t="str">
        <f t="shared" si="68"/>
        <v/>
      </c>
      <c r="V116" s="32" t="str">
        <f t="shared" si="69"/>
        <v/>
      </c>
      <c r="W116" s="32" t="str">
        <f t="shared" si="70"/>
        <v/>
      </c>
      <c r="X116" s="32">
        <f t="shared" si="71"/>
        <v>0</v>
      </c>
      <c r="Y116" s="32" t="str">
        <f t="shared" si="72"/>
        <v/>
      </c>
      <c r="Z116" s="32" t="str">
        <f t="shared" si="73"/>
        <v/>
      </c>
      <c r="AA116" s="32" t="str">
        <f t="shared" si="74"/>
        <v/>
      </c>
      <c r="AB116" s="32" t="str">
        <f>IF($A116="","",IF($T116="No Throw",0,IF($K116&lt;&gt;"",$K116,IF($AA116&lt;&gt;"",ROUND($AA116*$D$12*IF($C116=0,1,$G$10),0),MIN(IF($T116="Recovery/Easy Catch",Reference!$B$103,IF($T116="Long Toss",Reference!$B$106,Reference!$B$102)),MAX(Reference!$B$101,ROUND(MAX(0,$Q116-$AE116)/$AF116,0)))))))</f>
        <v/>
      </c>
      <c r="AC116" s="32">
        <f t="shared" si="75"/>
        <v>0</v>
      </c>
      <c r="AD116" s="32" t="b">
        <f t="shared" si="76"/>
        <v>1</v>
      </c>
      <c r="AE116" s="32">
        <f>IF($X116=0,0,$X116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116+$Z116)/2,0),Reference!$A$17:$B$20,2,TRUE()))</f>
        <v>0</v>
      </c>
      <c r="AF116" s="32">
        <f>IF(OR($A116="",$U116="",$T116="No Throw"),0,$AM116*VLOOKUP(MAX(($V116+$W116)/2,0),Reference!$A$17:$B$20,2,TRUE()))</f>
        <v>0</v>
      </c>
      <c r="AG116" s="32">
        <f>IF($AC116=0,0,$AC116*INDEX(Reference!$B$61:$B$62,MATCH("Bullpen",Reference!$A$61:$A$62,0))*VLOOKUP(MAX($D$5-($D$9+$E$9)/2,0),Reference!$A$17:$B$20,2,TRUE()))</f>
        <v>0</v>
      </c>
      <c r="AH116" s="32" t="e">
        <f t="shared" si="77"/>
        <v>#N/A</v>
      </c>
      <c r="AI116" s="32" t="e">
        <f>IF($A116="",NA(),Reference!$A$25)</f>
        <v>#N/A</v>
      </c>
      <c r="AJ116" s="32" t="e">
        <f t="shared" si="78"/>
        <v>#N/A</v>
      </c>
      <c r="AK116" s="32">
        <f>IF(OR($A116="",N($C116)&lt;=7,$T116="No Throw",$J116="x"),0,INDEX(Reference!$B$108:$B$114,$N116+1))</f>
        <v>0</v>
      </c>
      <c r="AL116" s="32">
        <f t="shared" si="79"/>
        <v>1</v>
      </c>
      <c r="AM116" s="32">
        <f>IF($U116="",0,IF($AL116&gt;1,((IF(1&lt;=$AL116,($AL116-1+3)*(INDEX(Reference!$B$6:$B$11,MIN(5,MATCH(MAX(Reference!$A$6,MIN(Reference!$A$11,MIN($U116,90))),Reference!$A$6:$A$11,1)))+(MAX(Reference!$A$6,MIN(Reference!$A$11,MIN($U116,90)))-INDEX(Reference!$A$6:$A$11,MIN(5,MATCH(MAX(Reference!$A$6,MIN(Reference!$A$11,MIN($U116,90))),Reference!$A$6:$A$11,1))))*(INDEX(Reference!$B$6:$B$11,MIN(5,MATCH(MAX(Reference!$A$6,MIN(Reference!$A$11,MIN($U116,90))),Reference!$A$6:$A$11,1))+1)-INDEX(Reference!$B$6:$B$11,MIN(5,MATCH(MAX(Reference!$A$6,MIN(Reference!$A$11,MIN($U116,90))),Reference!$A$6:$A$11,1))))/(INDEX(Reference!$A$6:$A$11,MIN(5,MATCH(MAX(Reference!$A$6,MIN(Reference!$A$11,MIN($U116,90))),Reference!$A$6:$A$11,1))+1)-INDEX(Reference!$A$6:$A$11,MIN(5,MATCH(MAX(Reference!$A$6,MIN(Reference!$A$11,MIN($U116,90))),Reference!$A$6:$A$11,1))))),0)+IF(2&lt;=$AL116,($AL116-2+3)*(INDEX(Reference!$B$6:$B$11,MIN(5,MATCH(MAX(Reference!$A$6,MIN(Reference!$A$11,MIN($U116,120))),Reference!$A$6:$A$11,1)))+(MAX(Reference!$A$6,MIN(Reference!$A$11,MIN($U116,120)))-INDEX(Reference!$A$6:$A$11,MIN(5,MATCH(MAX(Reference!$A$6,MIN(Reference!$A$11,MIN($U116,120))),Reference!$A$6:$A$11,1))))*(INDEX(Reference!$B$6:$B$11,MIN(5,MATCH(MAX(Reference!$A$6,MIN(Reference!$A$11,MIN($U116,120))),Reference!$A$6:$A$11,1))+1)-INDEX(Reference!$B$6:$B$11,MIN(5,MATCH(MAX(Reference!$A$6,MIN(Reference!$A$11,MIN($U116,120))),Reference!$A$6:$A$11,1))))/(INDEX(Reference!$A$6:$A$11,MIN(5,MATCH(MAX(Reference!$A$6,MIN(Reference!$A$11,MIN($U116,120))),Reference!$A$6:$A$11,1))+1)-INDEX(Reference!$A$6:$A$11,MIN(5,MATCH(MAX(Reference!$A$6,MIN(Reference!$A$11,MIN($U116,120))),Reference!$A$6:$A$11,1))))),0)+IF(3&lt;=$AL116,($AL116-3+3)*(INDEX(Reference!$B$6:$B$11,MIN(5,MATCH(MAX(Reference!$A$6,MIN(Reference!$A$11,MIN($U116,150))),Reference!$A$6:$A$11,1)))+(MAX(Reference!$A$6,MIN(Reference!$A$11,MIN($U116,150)))-INDEX(Reference!$A$6:$A$11,MIN(5,MATCH(MAX(Reference!$A$6,MIN(Reference!$A$11,MIN($U116,150))),Reference!$A$6:$A$11,1))))*(INDEX(Reference!$B$6:$B$11,MIN(5,MATCH(MAX(Reference!$A$6,MIN(Reference!$A$11,MIN($U116,150))),Reference!$A$6:$A$11,1))+1)-INDEX(Reference!$B$6:$B$11,MIN(5,MATCH(MAX(Reference!$A$6,MIN(Reference!$A$11,MIN($U116,150))),Reference!$A$6:$A$11,1))))/(INDEX(Reference!$A$6:$A$11,MIN(5,MATCH(MAX(Reference!$A$6,MIN(Reference!$A$11,MIN($U116,150))),Reference!$A$6:$A$11,1))+1)-INDEX(Reference!$A$6:$A$11,MIN(5,MATCH(MAX(Reference!$A$6,MIN(Reference!$A$11,MIN($U116,150))),Reference!$A$6:$A$11,1))))),0)+IF(4&lt;=$AL116,($AL116-4+3)*(INDEX(Reference!$B$6:$B$11,MIN(5,MATCH(MAX(Reference!$A$6,MIN(Reference!$A$11,MIN($U116,180))),Reference!$A$6:$A$11,1)))+(MAX(Reference!$A$6,MIN(Reference!$A$11,MIN($U116,180)))-INDEX(Reference!$A$6:$A$11,MIN(5,MATCH(MAX(Reference!$A$6,MIN(Reference!$A$11,MIN($U116,180))),Reference!$A$6:$A$11,1))))*(INDEX(Reference!$B$6:$B$11,MIN(5,MATCH(MAX(Reference!$A$6,MIN(Reference!$A$11,MIN($U116,180))),Reference!$A$6:$A$11,1))+1)-INDEX(Reference!$B$6:$B$11,MIN(5,MATCH(MAX(Reference!$A$6,MIN(Reference!$A$11,MIN($U116,180))),Reference!$A$6:$A$11,1))))/(INDEX(Reference!$A$6:$A$11,MIN(5,MATCH(MAX(Reference!$A$6,MIN(Reference!$A$11,MIN($U116,180))),Reference!$A$6:$A$11,1))+1)-INDEX(Reference!$A$6:$A$11,MIN(5,MATCH(MAX(Reference!$A$6,MIN(Reference!$A$11,MIN($U116,180))),Reference!$A$6:$A$11,1))))),0)+IF(5&lt;=$AL116,($AL116-5+3)*(INDEX(Reference!$B$6:$B$11,MIN(5,MATCH(MAX(Reference!$A$6,MIN(Reference!$A$11,MIN($U116,210))),Reference!$A$6:$A$11,1)))+(MAX(Reference!$A$6,MIN(Reference!$A$11,MIN($U116,210)))-INDEX(Reference!$A$6:$A$11,MIN(5,MATCH(MAX(Reference!$A$6,MIN(Reference!$A$11,MIN($U116,210))),Reference!$A$6:$A$11,1))))*(INDEX(Reference!$B$6:$B$11,MIN(5,MATCH(MAX(Reference!$A$6,MIN(Reference!$A$11,MIN($U116,210))),Reference!$A$6:$A$11,1))+1)-INDEX(Reference!$B$6:$B$11,MIN(5,MATCH(MAX(Reference!$A$6,MIN(Reference!$A$11,MIN($U116,210))),Reference!$A$6:$A$11,1))))/(INDEX(Reference!$A$6:$A$11,MIN(5,MATCH(MAX(Reference!$A$6,MIN(Reference!$A$11,MIN($U116,210))),Reference!$A$6:$A$11,1))+1)-INDEX(Reference!$A$6:$A$11,MIN(5,MATCH(MAX(Reference!$A$6,MIN(Reference!$A$11,MIN($U116,210))),Reference!$A$6:$A$11,1))))),0)+IF(6&lt;=$AL116,($AL116-6+3)*(INDEX(Reference!$B$6:$B$11,MIN(5,MATCH(MAX(Reference!$A$6,MIN(Reference!$A$11,MIN($U116,240))),Reference!$A$6:$A$11,1)))+(MAX(Reference!$A$6,MIN(Reference!$A$11,MIN($U116,240)))-INDEX(Reference!$A$6:$A$11,MIN(5,MATCH(MAX(Reference!$A$6,MIN(Reference!$A$11,MIN($U116,240))),Reference!$A$6:$A$11,1))))*(INDEX(Reference!$B$6:$B$11,MIN(5,MATCH(MAX(Reference!$A$6,MIN(Reference!$A$11,MIN($U116,240))),Reference!$A$6:$A$11,1))+1)-INDEX(Reference!$B$6:$B$11,MIN(5,MATCH(MAX(Reference!$A$6,MIN(Reference!$A$11,MIN($U116,240))),Reference!$A$6:$A$11,1))))/(INDEX(Reference!$A$6:$A$11,MIN(5,MATCH(MAX(Reference!$A$6,MIN(Reference!$A$11,MIN($U116,240))),Reference!$A$6:$A$11,1))+1)-INDEX(Reference!$A$6:$A$11,MIN(5,MATCH(MAX(Reference!$A$6,MIN(Reference!$A$11,MIN($U116,240))),Reference!$A$6:$A$11,1))))),0)+IF(7&lt;=$AL116,($AL116-7+3)*(INDEX(Reference!$B$6:$B$11,MIN(5,MATCH(MAX(Reference!$A$6,MIN(Reference!$A$11,MIN($U116,270))),Reference!$A$6:$A$11,1)))+(MAX(Reference!$A$6,MIN(Reference!$A$11,MIN($U116,270)))-INDEX(Reference!$A$6:$A$11,MIN(5,MATCH(MAX(Reference!$A$6,MIN(Reference!$A$11,MIN($U116,270))),Reference!$A$6:$A$11,1))))*(INDEX(Reference!$B$6:$B$11,MIN(5,MATCH(MAX(Reference!$A$6,MIN(Reference!$A$11,MIN($U116,270))),Reference!$A$6:$A$11,1))+1)-INDEX(Reference!$B$6:$B$11,MIN(5,MATCH(MAX(Reference!$A$6,MIN(Reference!$A$11,MIN($U116,270))),Reference!$A$6:$A$11,1))))/(INDEX(Reference!$A$6:$A$11,MIN(5,MATCH(MAX(Reference!$A$6,MIN(Reference!$A$11,MIN($U116,270))),Reference!$A$6:$A$11,1))+1)-INDEX(Reference!$A$6:$A$11,MIN(5,MATCH(MAX(Reference!$A$6,MIN(Reference!$A$11,MIN($U116,270))),Reference!$A$6:$A$11,1))))),0)+IF(8&lt;=$AL116,($AL116-8+3)*(INDEX(Reference!$B$6:$B$11,MIN(5,MATCH(MAX(Reference!$A$6,MIN(Reference!$A$11,MIN($U116,300))),Reference!$A$6:$A$11,1)))+(MAX(Reference!$A$6,MIN(Reference!$A$11,MIN($U116,300)))-INDEX(Reference!$A$6:$A$11,MIN(5,MATCH(MAX(Reference!$A$6,MIN(Reference!$A$11,MIN($U116,300))),Reference!$A$6:$A$11,1))))*(INDEX(Reference!$B$6:$B$11,MIN(5,MATCH(MAX(Reference!$A$6,MIN(Reference!$A$11,MIN($U116,300))),Reference!$A$6:$A$11,1))+1)-INDEX(Reference!$B$6:$B$11,MIN(5,MATCH(MAX(Reference!$A$6,MIN(Reference!$A$11,MIN($U116,300))),Reference!$A$6:$A$11,1))))/(INDEX(Reference!$A$6:$A$11,MIN(5,MATCH(MAX(Reference!$A$6,MIN(Reference!$A$11,MIN($U116,300))),Reference!$A$6:$A$11,1))+1)-INDEX(Reference!$A$6:$A$11,MIN(5,MATCH(MAX(Reference!$A$6,MIN(Reference!$A$11,MIN($U116,300))),Reference!$A$6:$A$11,1))))),0))/($AL116*($AL116+5)/2)),$AN116))</f>
        <v>0</v>
      </c>
      <c r="AN116" s="32">
        <f>IF($U116="",0,(INDEX(Reference!$B$6:$B$11,MIN(5,MATCH(MAX(Reference!$A$6,MIN(Reference!$A$11,$U116)),Reference!$A$6:$A$11,1)))+(MAX(Reference!$A$6,MIN(Reference!$A$11,$U116))-INDEX(Reference!$A$6:$A$11,MIN(5,MATCH(MAX(Reference!$A$6,MIN(Reference!$A$11,$U116)),Reference!$A$6:$A$11,1))))*(INDEX(Reference!$B$6:$B$11,MIN(5,MATCH(MAX(Reference!$A$6,MIN(Reference!$A$11,$U116)),Reference!$A$6:$A$11,1))+1)-INDEX(Reference!$B$6:$B$11,MIN(5,MATCH(MAX(Reference!$A$6,MIN(Reference!$A$11,$U116)),Reference!$A$6:$A$11,1))))/(INDEX(Reference!$A$6:$A$11,MIN(5,MATCH(MAX(Reference!$A$6,MIN(Reference!$A$11,$U116)),Reference!$A$6:$A$11,1))+1)-INDEX(Reference!$A$6:$A$11,MIN(5,MATCH(MAX(Reference!$A$6,MIN(Reference!$A$11,$U116)),Reference!$A$6:$A$11,1))))))</f>
        <v>0</v>
      </c>
      <c r="AO116" s="37"/>
      <c r="AP116" s="37"/>
      <c r="AQ116" s="37"/>
    </row>
    <row r="117" spans="1:43" x14ac:dyDescent="0.3">
      <c r="A117" s="48" t="str">
        <f t="shared" si="55"/>
        <v/>
      </c>
      <c r="B117" s="32" t="str">
        <f t="shared" si="56"/>
        <v/>
      </c>
      <c r="C117" s="32" t="str">
        <f t="shared" si="57"/>
        <v/>
      </c>
      <c r="D117" s="32" t="str">
        <f t="shared" si="58"/>
        <v/>
      </c>
      <c r="E117" s="32" t="str">
        <f t="shared" si="59"/>
        <v/>
      </c>
      <c r="F117" s="32" t="str">
        <f t="shared" si="60"/>
        <v/>
      </c>
      <c r="G117" s="47" t="str">
        <f t="shared" si="61"/>
        <v/>
      </c>
      <c r="H117" s="30" t="str">
        <f t="shared" si="62"/>
        <v/>
      </c>
      <c r="I117" s="46" t="str">
        <f>IF($A117="","",IF(AND($L117&lt;27,$K$12=0),"Building",IFERROR(((SUM($H$111:$H117)+$K$12*IF($L117&lt;6,SUMIFS('Throw Log'!$Q$5:$Q$300,'Throw Log'!$B$5:$B$300,$D$4,'Throw Log'!$A$5:$A$300,"&gt;="&amp;($D$6+$L117-6),'Throw Log'!$A$5:$A$300,"&lt;="&amp;($D$6-1)),0))/7)/((SUM($H$90:$H117)+$K$12*IF($L117&lt;27,SUMIFS('Throw Log'!$Q$5:$Q$300,'Throw Log'!$B$5:$B$300,$D$4,'Throw Log'!$A$5:$A$300,"&gt;="&amp;($D$6+$L117-27),'Throw Log'!$A$5:$A$300,"&lt;="&amp;($D$6-1)),0))/28),"")))</f>
        <v/>
      </c>
      <c r="J117" s="37"/>
      <c r="K117" s="37"/>
      <c r="L117" s="32">
        <v>74</v>
      </c>
      <c r="M117" s="32">
        <f t="shared" si="63"/>
        <v>11</v>
      </c>
      <c r="N117" s="32">
        <f t="shared" si="64"/>
        <v>4</v>
      </c>
      <c r="O117" s="32">
        <f t="shared" si="65"/>
        <v>1</v>
      </c>
      <c r="P117" s="32" t="str">
        <f>IF(OR($A117="",N($C117)&lt;=7),"",$G$6*$G$9^($M117-1)*IF(AND(MOD($M117,Reference!$B$99)=0,$M117&lt;=$G$5-2),Reference!$B$100,1))</f>
        <v/>
      </c>
      <c r="Q117" s="32" t="str">
        <f>IF($P117="","",IF(SUM($AK$113:$AK$119)=0,0,$P117*INDEX(Reference!$B$108:$B$114,$N117+1)/SUM($AK$113:$AK$119)))</f>
        <v/>
      </c>
      <c r="R117" s="32">
        <f t="shared" si="66"/>
        <v>120</v>
      </c>
      <c r="S117" s="32">
        <f t="shared" si="67"/>
        <v>105</v>
      </c>
      <c r="T117" s="32" t="str">
        <f>IF($A117="","",IF($C117=0,"Bullpen",IF(OR($C117=7,$C117=1,$C117=5),"Recovery/Easy Catch",IF($C117=6,"Compression/Pulldowns",IF(OR($C117=4,$C117=2),"Long Toss",IF($C117=3,"No Throw",IF($N117=2,"No Throw",IF($N117=6,IF($O117&lt;Reference!$B$104,"No Throw","Recovery/Easy Catch"),IF(OR($N117=0,$N117=4),"Recovery/Easy Catch",IF($N117=1,IF($R117&gt;75,"Long Toss","Recovery/Easy Catch"),IF($N117=3,IF($O117&lt;0.5,IF($S117&gt;75,"Long Toss","Recovery/Easy Catch"),"Compression/Pulldowns"),IF($S117&gt;75,"Long Toss","Recovery/Easy Catch"))))))))))))</f>
        <v/>
      </c>
      <c r="U117" s="32" t="str">
        <f t="shared" si="68"/>
        <v/>
      </c>
      <c r="V117" s="32" t="str">
        <f t="shared" si="69"/>
        <v/>
      </c>
      <c r="W117" s="32" t="str">
        <f t="shared" si="70"/>
        <v/>
      </c>
      <c r="X117" s="32">
        <f t="shared" si="71"/>
        <v>0</v>
      </c>
      <c r="Y117" s="32" t="str">
        <f t="shared" si="72"/>
        <v/>
      </c>
      <c r="Z117" s="32" t="str">
        <f t="shared" si="73"/>
        <v/>
      </c>
      <c r="AA117" s="32" t="str">
        <f t="shared" si="74"/>
        <v/>
      </c>
      <c r="AB117" s="32" t="str">
        <f>IF($A117="","",IF($T117="No Throw",0,IF($K117&lt;&gt;"",$K117,IF($AA117&lt;&gt;"",ROUND($AA117*$D$12*IF($C117=0,1,$G$10),0),MIN(IF($T117="Recovery/Easy Catch",Reference!$B$103,IF($T117="Long Toss",Reference!$B$106,Reference!$B$102)),MAX(Reference!$B$101,ROUND(MAX(0,$Q117-$AE117)/$AF117,0)))))))</f>
        <v/>
      </c>
      <c r="AC117" s="32">
        <f t="shared" si="75"/>
        <v>0</v>
      </c>
      <c r="AD117" s="32" t="b">
        <f t="shared" si="76"/>
        <v>1</v>
      </c>
      <c r="AE117" s="32">
        <f>IF($X117=0,0,$X117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117+$Z117)/2,0),Reference!$A$17:$B$20,2,TRUE()))</f>
        <v>0</v>
      </c>
      <c r="AF117" s="32">
        <f>IF(OR($A117="",$U117="",$T117="No Throw"),0,$AM117*VLOOKUP(MAX(($V117+$W117)/2,0),Reference!$A$17:$B$20,2,TRUE()))</f>
        <v>0</v>
      </c>
      <c r="AG117" s="32">
        <f>IF($AC117=0,0,$AC117*INDEX(Reference!$B$61:$B$62,MATCH("Bullpen",Reference!$A$61:$A$62,0))*VLOOKUP(MAX($D$5-($D$9+$E$9)/2,0),Reference!$A$17:$B$20,2,TRUE()))</f>
        <v>0</v>
      </c>
      <c r="AH117" s="32" t="e">
        <f t="shared" si="77"/>
        <v>#N/A</v>
      </c>
      <c r="AI117" s="32" t="e">
        <f>IF($A117="",NA(),Reference!$A$25)</f>
        <v>#N/A</v>
      </c>
      <c r="AJ117" s="32" t="e">
        <f t="shared" si="78"/>
        <v>#N/A</v>
      </c>
      <c r="AK117" s="32">
        <f>IF(OR($A117="",N($C117)&lt;=7,$T117="No Throw",$J117="x"),0,INDEX(Reference!$B$108:$B$114,$N117+1))</f>
        <v>0</v>
      </c>
      <c r="AL117" s="32">
        <f t="shared" si="79"/>
        <v>1</v>
      </c>
      <c r="AM117" s="32">
        <f>IF($U117="",0,IF($AL117&gt;1,((IF(1&lt;=$AL117,($AL117-1+3)*(INDEX(Reference!$B$6:$B$11,MIN(5,MATCH(MAX(Reference!$A$6,MIN(Reference!$A$11,MIN($U117,90))),Reference!$A$6:$A$11,1)))+(MAX(Reference!$A$6,MIN(Reference!$A$11,MIN($U117,90)))-INDEX(Reference!$A$6:$A$11,MIN(5,MATCH(MAX(Reference!$A$6,MIN(Reference!$A$11,MIN($U117,90))),Reference!$A$6:$A$11,1))))*(INDEX(Reference!$B$6:$B$11,MIN(5,MATCH(MAX(Reference!$A$6,MIN(Reference!$A$11,MIN($U117,90))),Reference!$A$6:$A$11,1))+1)-INDEX(Reference!$B$6:$B$11,MIN(5,MATCH(MAX(Reference!$A$6,MIN(Reference!$A$11,MIN($U117,90))),Reference!$A$6:$A$11,1))))/(INDEX(Reference!$A$6:$A$11,MIN(5,MATCH(MAX(Reference!$A$6,MIN(Reference!$A$11,MIN($U117,90))),Reference!$A$6:$A$11,1))+1)-INDEX(Reference!$A$6:$A$11,MIN(5,MATCH(MAX(Reference!$A$6,MIN(Reference!$A$11,MIN($U117,90))),Reference!$A$6:$A$11,1))))),0)+IF(2&lt;=$AL117,($AL117-2+3)*(INDEX(Reference!$B$6:$B$11,MIN(5,MATCH(MAX(Reference!$A$6,MIN(Reference!$A$11,MIN($U117,120))),Reference!$A$6:$A$11,1)))+(MAX(Reference!$A$6,MIN(Reference!$A$11,MIN($U117,120)))-INDEX(Reference!$A$6:$A$11,MIN(5,MATCH(MAX(Reference!$A$6,MIN(Reference!$A$11,MIN($U117,120))),Reference!$A$6:$A$11,1))))*(INDEX(Reference!$B$6:$B$11,MIN(5,MATCH(MAX(Reference!$A$6,MIN(Reference!$A$11,MIN($U117,120))),Reference!$A$6:$A$11,1))+1)-INDEX(Reference!$B$6:$B$11,MIN(5,MATCH(MAX(Reference!$A$6,MIN(Reference!$A$11,MIN($U117,120))),Reference!$A$6:$A$11,1))))/(INDEX(Reference!$A$6:$A$11,MIN(5,MATCH(MAX(Reference!$A$6,MIN(Reference!$A$11,MIN($U117,120))),Reference!$A$6:$A$11,1))+1)-INDEX(Reference!$A$6:$A$11,MIN(5,MATCH(MAX(Reference!$A$6,MIN(Reference!$A$11,MIN($U117,120))),Reference!$A$6:$A$11,1))))),0)+IF(3&lt;=$AL117,($AL117-3+3)*(INDEX(Reference!$B$6:$B$11,MIN(5,MATCH(MAX(Reference!$A$6,MIN(Reference!$A$11,MIN($U117,150))),Reference!$A$6:$A$11,1)))+(MAX(Reference!$A$6,MIN(Reference!$A$11,MIN($U117,150)))-INDEX(Reference!$A$6:$A$11,MIN(5,MATCH(MAX(Reference!$A$6,MIN(Reference!$A$11,MIN($U117,150))),Reference!$A$6:$A$11,1))))*(INDEX(Reference!$B$6:$B$11,MIN(5,MATCH(MAX(Reference!$A$6,MIN(Reference!$A$11,MIN($U117,150))),Reference!$A$6:$A$11,1))+1)-INDEX(Reference!$B$6:$B$11,MIN(5,MATCH(MAX(Reference!$A$6,MIN(Reference!$A$11,MIN($U117,150))),Reference!$A$6:$A$11,1))))/(INDEX(Reference!$A$6:$A$11,MIN(5,MATCH(MAX(Reference!$A$6,MIN(Reference!$A$11,MIN($U117,150))),Reference!$A$6:$A$11,1))+1)-INDEX(Reference!$A$6:$A$11,MIN(5,MATCH(MAX(Reference!$A$6,MIN(Reference!$A$11,MIN($U117,150))),Reference!$A$6:$A$11,1))))),0)+IF(4&lt;=$AL117,($AL117-4+3)*(INDEX(Reference!$B$6:$B$11,MIN(5,MATCH(MAX(Reference!$A$6,MIN(Reference!$A$11,MIN($U117,180))),Reference!$A$6:$A$11,1)))+(MAX(Reference!$A$6,MIN(Reference!$A$11,MIN($U117,180)))-INDEX(Reference!$A$6:$A$11,MIN(5,MATCH(MAX(Reference!$A$6,MIN(Reference!$A$11,MIN($U117,180))),Reference!$A$6:$A$11,1))))*(INDEX(Reference!$B$6:$B$11,MIN(5,MATCH(MAX(Reference!$A$6,MIN(Reference!$A$11,MIN($U117,180))),Reference!$A$6:$A$11,1))+1)-INDEX(Reference!$B$6:$B$11,MIN(5,MATCH(MAX(Reference!$A$6,MIN(Reference!$A$11,MIN($U117,180))),Reference!$A$6:$A$11,1))))/(INDEX(Reference!$A$6:$A$11,MIN(5,MATCH(MAX(Reference!$A$6,MIN(Reference!$A$11,MIN($U117,180))),Reference!$A$6:$A$11,1))+1)-INDEX(Reference!$A$6:$A$11,MIN(5,MATCH(MAX(Reference!$A$6,MIN(Reference!$A$11,MIN($U117,180))),Reference!$A$6:$A$11,1))))),0)+IF(5&lt;=$AL117,($AL117-5+3)*(INDEX(Reference!$B$6:$B$11,MIN(5,MATCH(MAX(Reference!$A$6,MIN(Reference!$A$11,MIN($U117,210))),Reference!$A$6:$A$11,1)))+(MAX(Reference!$A$6,MIN(Reference!$A$11,MIN($U117,210)))-INDEX(Reference!$A$6:$A$11,MIN(5,MATCH(MAX(Reference!$A$6,MIN(Reference!$A$11,MIN($U117,210))),Reference!$A$6:$A$11,1))))*(INDEX(Reference!$B$6:$B$11,MIN(5,MATCH(MAX(Reference!$A$6,MIN(Reference!$A$11,MIN($U117,210))),Reference!$A$6:$A$11,1))+1)-INDEX(Reference!$B$6:$B$11,MIN(5,MATCH(MAX(Reference!$A$6,MIN(Reference!$A$11,MIN($U117,210))),Reference!$A$6:$A$11,1))))/(INDEX(Reference!$A$6:$A$11,MIN(5,MATCH(MAX(Reference!$A$6,MIN(Reference!$A$11,MIN($U117,210))),Reference!$A$6:$A$11,1))+1)-INDEX(Reference!$A$6:$A$11,MIN(5,MATCH(MAX(Reference!$A$6,MIN(Reference!$A$11,MIN($U117,210))),Reference!$A$6:$A$11,1))))),0)+IF(6&lt;=$AL117,($AL117-6+3)*(INDEX(Reference!$B$6:$B$11,MIN(5,MATCH(MAX(Reference!$A$6,MIN(Reference!$A$11,MIN($U117,240))),Reference!$A$6:$A$11,1)))+(MAX(Reference!$A$6,MIN(Reference!$A$11,MIN($U117,240)))-INDEX(Reference!$A$6:$A$11,MIN(5,MATCH(MAX(Reference!$A$6,MIN(Reference!$A$11,MIN($U117,240))),Reference!$A$6:$A$11,1))))*(INDEX(Reference!$B$6:$B$11,MIN(5,MATCH(MAX(Reference!$A$6,MIN(Reference!$A$11,MIN($U117,240))),Reference!$A$6:$A$11,1))+1)-INDEX(Reference!$B$6:$B$11,MIN(5,MATCH(MAX(Reference!$A$6,MIN(Reference!$A$11,MIN($U117,240))),Reference!$A$6:$A$11,1))))/(INDEX(Reference!$A$6:$A$11,MIN(5,MATCH(MAX(Reference!$A$6,MIN(Reference!$A$11,MIN($U117,240))),Reference!$A$6:$A$11,1))+1)-INDEX(Reference!$A$6:$A$11,MIN(5,MATCH(MAX(Reference!$A$6,MIN(Reference!$A$11,MIN($U117,240))),Reference!$A$6:$A$11,1))))),0)+IF(7&lt;=$AL117,($AL117-7+3)*(INDEX(Reference!$B$6:$B$11,MIN(5,MATCH(MAX(Reference!$A$6,MIN(Reference!$A$11,MIN($U117,270))),Reference!$A$6:$A$11,1)))+(MAX(Reference!$A$6,MIN(Reference!$A$11,MIN($U117,270)))-INDEX(Reference!$A$6:$A$11,MIN(5,MATCH(MAX(Reference!$A$6,MIN(Reference!$A$11,MIN($U117,270))),Reference!$A$6:$A$11,1))))*(INDEX(Reference!$B$6:$B$11,MIN(5,MATCH(MAX(Reference!$A$6,MIN(Reference!$A$11,MIN($U117,270))),Reference!$A$6:$A$11,1))+1)-INDEX(Reference!$B$6:$B$11,MIN(5,MATCH(MAX(Reference!$A$6,MIN(Reference!$A$11,MIN($U117,270))),Reference!$A$6:$A$11,1))))/(INDEX(Reference!$A$6:$A$11,MIN(5,MATCH(MAX(Reference!$A$6,MIN(Reference!$A$11,MIN($U117,270))),Reference!$A$6:$A$11,1))+1)-INDEX(Reference!$A$6:$A$11,MIN(5,MATCH(MAX(Reference!$A$6,MIN(Reference!$A$11,MIN($U117,270))),Reference!$A$6:$A$11,1))))),0)+IF(8&lt;=$AL117,($AL117-8+3)*(INDEX(Reference!$B$6:$B$11,MIN(5,MATCH(MAX(Reference!$A$6,MIN(Reference!$A$11,MIN($U117,300))),Reference!$A$6:$A$11,1)))+(MAX(Reference!$A$6,MIN(Reference!$A$11,MIN($U117,300)))-INDEX(Reference!$A$6:$A$11,MIN(5,MATCH(MAX(Reference!$A$6,MIN(Reference!$A$11,MIN($U117,300))),Reference!$A$6:$A$11,1))))*(INDEX(Reference!$B$6:$B$11,MIN(5,MATCH(MAX(Reference!$A$6,MIN(Reference!$A$11,MIN($U117,300))),Reference!$A$6:$A$11,1))+1)-INDEX(Reference!$B$6:$B$11,MIN(5,MATCH(MAX(Reference!$A$6,MIN(Reference!$A$11,MIN($U117,300))),Reference!$A$6:$A$11,1))))/(INDEX(Reference!$A$6:$A$11,MIN(5,MATCH(MAX(Reference!$A$6,MIN(Reference!$A$11,MIN($U117,300))),Reference!$A$6:$A$11,1))+1)-INDEX(Reference!$A$6:$A$11,MIN(5,MATCH(MAX(Reference!$A$6,MIN(Reference!$A$11,MIN($U117,300))),Reference!$A$6:$A$11,1))))),0))/($AL117*($AL117+5)/2)),$AN117))</f>
        <v>0</v>
      </c>
      <c r="AN117" s="32">
        <f>IF($U117="",0,(INDEX(Reference!$B$6:$B$11,MIN(5,MATCH(MAX(Reference!$A$6,MIN(Reference!$A$11,$U117)),Reference!$A$6:$A$11,1)))+(MAX(Reference!$A$6,MIN(Reference!$A$11,$U117))-INDEX(Reference!$A$6:$A$11,MIN(5,MATCH(MAX(Reference!$A$6,MIN(Reference!$A$11,$U117)),Reference!$A$6:$A$11,1))))*(INDEX(Reference!$B$6:$B$11,MIN(5,MATCH(MAX(Reference!$A$6,MIN(Reference!$A$11,$U117)),Reference!$A$6:$A$11,1))+1)-INDEX(Reference!$B$6:$B$11,MIN(5,MATCH(MAX(Reference!$A$6,MIN(Reference!$A$11,$U117)),Reference!$A$6:$A$11,1))))/(INDEX(Reference!$A$6:$A$11,MIN(5,MATCH(MAX(Reference!$A$6,MIN(Reference!$A$11,$U117)),Reference!$A$6:$A$11,1))+1)-INDEX(Reference!$A$6:$A$11,MIN(5,MATCH(MAX(Reference!$A$6,MIN(Reference!$A$11,$U117)),Reference!$A$6:$A$11,1))))))</f>
        <v>0</v>
      </c>
      <c r="AO117" s="37"/>
      <c r="AP117" s="37"/>
      <c r="AQ117" s="37"/>
    </row>
    <row r="118" spans="1:43" x14ac:dyDescent="0.3">
      <c r="A118" s="48" t="str">
        <f t="shared" si="55"/>
        <v/>
      </c>
      <c r="B118" s="32" t="str">
        <f t="shared" si="56"/>
        <v/>
      </c>
      <c r="C118" s="32" t="str">
        <f t="shared" si="57"/>
        <v/>
      </c>
      <c r="D118" s="32" t="str">
        <f t="shared" si="58"/>
        <v/>
      </c>
      <c r="E118" s="32" t="str">
        <f t="shared" si="59"/>
        <v/>
      </c>
      <c r="F118" s="32" t="str">
        <f t="shared" si="60"/>
        <v/>
      </c>
      <c r="G118" s="47" t="str">
        <f t="shared" si="61"/>
        <v/>
      </c>
      <c r="H118" s="30" t="str">
        <f t="shared" si="62"/>
        <v/>
      </c>
      <c r="I118" s="46" t="str">
        <f>IF($A118="","",IF(AND($L118&lt;27,$K$12=0),"Building",IFERROR(((SUM($H$112:$H118)+$K$12*IF($L118&lt;6,SUMIFS('Throw Log'!$Q$5:$Q$300,'Throw Log'!$B$5:$B$300,$D$4,'Throw Log'!$A$5:$A$300,"&gt;="&amp;($D$6+$L118-6),'Throw Log'!$A$5:$A$300,"&lt;="&amp;($D$6-1)),0))/7)/((SUM($H$91:$H118)+$K$12*IF($L118&lt;27,SUMIFS('Throw Log'!$Q$5:$Q$300,'Throw Log'!$B$5:$B$300,$D$4,'Throw Log'!$A$5:$A$300,"&gt;="&amp;($D$6+$L118-27),'Throw Log'!$A$5:$A$300,"&lt;="&amp;($D$6-1)),0))/28),"")))</f>
        <v/>
      </c>
      <c r="J118" s="37"/>
      <c r="K118" s="37"/>
      <c r="L118" s="32">
        <v>75</v>
      </c>
      <c r="M118" s="32">
        <f t="shared" si="63"/>
        <v>11</v>
      </c>
      <c r="N118" s="32">
        <f t="shared" si="64"/>
        <v>5</v>
      </c>
      <c r="O118" s="32">
        <f t="shared" si="65"/>
        <v>1</v>
      </c>
      <c r="P118" s="32" t="str">
        <f>IF(OR($A118="",N($C118)&lt;=7),"",$G$6*$G$9^($M118-1)*IF(AND(MOD($M118,Reference!$B$99)=0,$M118&lt;=$G$5-2),Reference!$B$100,1))</f>
        <v/>
      </c>
      <c r="Q118" s="32" t="str">
        <f>IF($P118="","",IF(SUM($AK$113:$AK$119)=0,0,$P118*INDEX(Reference!$B$108:$B$114,$N118+1)/SUM($AK$113:$AK$119)))</f>
        <v/>
      </c>
      <c r="R118" s="32">
        <f t="shared" si="66"/>
        <v>120</v>
      </c>
      <c r="S118" s="32">
        <f t="shared" si="67"/>
        <v>105</v>
      </c>
      <c r="T118" s="32" t="str">
        <f>IF($A118="","",IF($C118=0,"Bullpen",IF(OR($C118=7,$C118=1,$C118=5),"Recovery/Easy Catch",IF($C118=6,"Compression/Pulldowns",IF(OR($C118=4,$C118=2),"Long Toss",IF($C118=3,"No Throw",IF($N118=2,"No Throw",IF($N118=6,IF($O118&lt;Reference!$B$104,"No Throw","Recovery/Easy Catch"),IF(OR($N118=0,$N118=4),"Recovery/Easy Catch",IF($N118=1,IF($R118&gt;75,"Long Toss","Recovery/Easy Catch"),IF($N118=3,IF($O118&lt;0.5,IF($S118&gt;75,"Long Toss","Recovery/Easy Catch"),"Compression/Pulldowns"),IF($S118&gt;75,"Long Toss","Recovery/Easy Catch"))))))))))))</f>
        <v/>
      </c>
      <c r="U118" s="32" t="str">
        <f t="shared" si="68"/>
        <v/>
      </c>
      <c r="V118" s="32" t="str">
        <f t="shared" si="69"/>
        <v/>
      </c>
      <c r="W118" s="32" t="str">
        <f t="shared" si="70"/>
        <v/>
      </c>
      <c r="X118" s="32">
        <f t="shared" si="71"/>
        <v>0</v>
      </c>
      <c r="Y118" s="32" t="str">
        <f t="shared" si="72"/>
        <v/>
      </c>
      <c r="Z118" s="32" t="str">
        <f t="shared" si="73"/>
        <v/>
      </c>
      <c r="AA118" s="32" t="str">
        <f t="shared" si="74"/>
        <v/>
      </c>
      <c r="AB118" s="32" t="str">
        <f>IF($A118="","",IF($T118="No Throw",0,IF($K118&lt;&gt;"",$K118,IF($AA118&lt;&gt;"",ROUND($AA118*$D$12*IF($C118=0,1,$G$10),0),MIN(IF($T118="Recovery/Easy Catch",Reference!$B$103,IF($T118="Long Toss",Reference!$B$106,Reference!$B$102)),MAX(Reference!$B$101,ROUND(MAX(0,$Q118-$AE118)/$AF118,0)))))))</f>
        <v/>
      </c>
      <c r="AC118" s="32">
        <f t="shared" si="75"/>
        <v>0</v>
      </c>
      <c r="AD118" s="32" t="b">
        <f t="shared" si="76"/>
        <v>1</v>
      </c>
      <c r="AE118" s="32">
        <f>IF($X118=0,0,$X118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118+$Z118)/2,0),Reference!$A$17:$B$20,2,TRUE()))</f>
        <v>0</v>
      </c>
      <c r="AF118" s="32">
        <f>IF(OR($A118="",$U118="",$T118="No Throw"),0,$AM118*VLOOKUP(MAX(($V118+$W118)/2,0),Reference!$A$17:$B$20,2,TRUE()))</f>
        <v>0</v>
      </c>
      <c r="AG118" s="32">
        <f>IF($AC118=0,0,$AC118*INDEX(Reference!$B$61:$B$62,MATCH("Bullpen",Reference!$A$61:$A$62,0))*VLOOKUP(MAX($D$5-($D$9+$E$9)/2,0),Reference!$A$17:$B$20,2,TRUE()))</f>
        <v>0</v>
      </c>
      <c r="AH118" s="32" t="e">
        <f t="shared" si="77"/>
        <v>#N/A</v>
      </c>
      <c r="AI118" s="32" t="e">
        <f>IF($A118="",NA(),Reference!$A$25)</f>
        <v>#N/A</v>
      </c>
      <c r="AJ118" s="32" t="e">
        <f t="shared" si="78"/>
        <v>#N/A</v>
      </c>
      <c r="AK118" s="32">
        <f>IF(OR($A118="",N($C118)&lt;=7,$T118="No Throw",$J118="x"),0,INDEX(Reference!$B$108:$B$114,$N118+1))</f>
        <v>0</v>
      </c>
      <c r="AL118" s="32">
        <f t="shared" si="79"/>
        <v>1</v>
      </c>
      <c r="AM118" s="32">
        <f>IF($U118="",0,IF($AL118&gt;1,((IF(1&lt;=$AL118,($AL118-1+3)*(INDEX(Reference!$B$6:$B$11,MIN(5,MATCH(MAX(Reference!$A$6,MIN(Reference!$A$11,MIN($U118,90))),Reference!$A$6:$A$11,1)))+(MAX(Reference!$A$6,MIN(Reference!$A$11,MIN($U118,90)))-INDEX(Reference!$A$6:$A$11,MIN(5,MATCH(MAX(Reference!$A$6,MIN(Reference!$A$11,MIN($U118,90))),Reference!$A$6:$A$11,1))))*(INDEX(Reference!$B$6:$B$11,MIN(5,MATCH(MAX(Reference!$A$6,MIN(Reference!$A$11,MIN($U118,90))),Reference!$A$6:$A$11,1))+1)-INDEX(Reference!$B$6:$B$11,MIN(5,MATCH(MAX(Reference!$A$6,MIN(Reference!$A$11,MIN($U118,90))),Reference!$A$6:$A$11,1))))/(INDEX(Reference!$A$6:$A$11,MIN(5,MATCH(MAX(Reference!$A$6,MIN(Reference!$A$11,MIN($U118,90))),Reference!$A$6:$A$11,1))+1)-INDEX(Reference!$A$6:$A$11,MIN(5,MATCH(MAX(Reference!$A$6,MIN(Reference!$A$11,MIN($U118,90))),Reference!$A$6:$A$11,1))))),0)+IF(2&lt;=$AL118,($AL118-2+3)*(INDEX(Reference!$B$6:$B$11,MIN(5,MATCH(MAX(Reference!$A$6,MIN(Reference!$A$11,MIN($U118,120))),Reference!$A$6:$A$11,1)))+(MAX(Reference!$A$6,MIN(Reference!$A$11,MIN($U118,120)))-INDEX(Reference!$A$6:$A$11,MIN(5,MATCH(MAX(Reference!$A$6,MIN(Reference!$A$11,MIN($U118,120))),Reference!$A$6:$A$11,1))))*(INDEX(Reference!$B$6:$B$11,MIN(5,MATCH(MAX(Reference!$A$6,MIN(Reference!$A$11,MIN($U118,120))),Reference!$A$6:$A$11,1))+1)-INDEX(Reference!$B$6:$B$11,MIN(5,MATCH(MAX(Reference!$A$6,MIN(Reference!$A$11,MIN($U118,120))),Reference!$A$6:$A$11,1))))/(INDEX(Reference!$A$6:$A$11,MIN(5,MATCH(MAX(Reference!$A$6,MIN(Reference!$A$11,MIN($U118,120))),Reference!$A$6:$A$11,1))+1)-INDEX(Reference!$A$6:$A$11,MIN(5,MATCH(MAX(Reference!$A$6,MIN(Reference!$A$11,MIN($U118,120))),Reference!$A$6:$A$11,1))))),0)+IF(3&lt;=$AL118,($AL118-3+3)*(INDEX(Reference!$B$6:$B$11,MIN(5,MATCH(MAX(Reference!$A$6,MIN(Reference!$A$11,MIN($U118,150))),Reference!$A$6:$A$11,1)))+(MAX(Reference!$A$6,MIN(Reference!$A$11,MIN($U118,150)))-INDEX(Reference!$A$6:$A$11,MIN(5,MATCH(MAX(Reference!$A$6,MIN(Reference!$A$11,MIN($U118,150))),Reference!$A$6:$A$11,1))))*(INDEX(Reference!$B$6:$B$11,MIN(5,MATCH(MAX(Reference!$A$6,MIN(Reference!$A$11,MIN($U118,150))),Reference!$A$6:$A$11,1))+1)-INDEX(Reference!$B$6:$B$11,MIN(5,MATCH(MAX(Reference!$A$6,MIN(Reference!$A$11,MIN($U118,150))),Reference!$A$6:$A$11,1))))/(INDEX(Reference!$A$6:$A$11,MIN(5,MATCH(MAX(Reference!$A$6,MIN(Reference!$A$11,MIN($U118,150))),Reference!$A$6:$A$11,1))+1)-INDEX(Reference!$A$6:$A$11,MIN(5,MATCH(MAX(Reference!$A$6,MIN(Reference!$A$11,MIN($U118,150))),Reference!$A$6:$A$11,1))))),0)+IF(4&lt;=$AL118,($AL118-4+3)*(INDEX(Reference!$B$6:$B$11,MIN(5,MATCH(MAX(Reference!$A$6,MIN(Reference!$A$11,MIN($U118,180))),Reference!$A$6:$A$11,1)))+(MAX(Reference!$A$6,MIN(Reference!$A$11,MIN($U118,180)))-INDEX(Reference!$A$6:$A$11,MIN(5,MATCH(MAX(Reference!$A$6,MIN(Reference!$A$11,MIN($U118,180))),Reference!$A$6:$A$11,1))))*(INDEX(Reference!$B$6:$B$11,MIN(5,MATCH(MAX(Reference!$A$6,MIN(Reference!$A$11,MIN($U118,180))),Reference!$A$6:$A$11,1))+1)-INDEX(Reference!$B$6:$B$11,MIN(5,MATCH(MAX(Reference!$A$6,MIN(Reference!$A$11,MIN($U118,180))),Reference!$A$6:$A$11,1))))/(INDEX(Reference!$A$6:$A$11,MIN(5,MATCH(MAX(Reference!$A$6,MIN(Reference!$A$11,MIN($U118,180))),Reference!$A$6:$A$11,1))+1)-INDEX(Reference!$A$6:$A$11,MIN(5,MATCH(MAX(Reference!$A$6,MIN(Reference!$A$11,MIN($U118,180))),Reference!$A$6:$A$11,1))))),0)+IF(5&lt;=$AL118,($AL118-5+3)*(INDEX(Reference!$B$6:$B$11,MIN(5,MATCH(MAX(Reference!$A$6,MIN(Reference!$A$11,MIN($U118,210))),Reference!$A$6:$A$11,1)))+(MAX(Reference!$A$6,MIN(Reference!$A$11,MIN($U118,210)))-INDEX(Reference!$A$6:$A$11,MIN(5,MATCH(MAX(Reference!$A$6,MIN(Reference!$A$11,MIN($U118,210))),Reference!$A$6:$A$11,1))))*(INDEX(Reference!$B$6:$B$11,MIN(5,MATCH(MAX(Reference!$A$6,MIN(Reference!$A$11,MIN($U118,210))),Reference!$A$6:$A$11,1))+1)-INDEX(Reference!$B$6:$B$11,MIN(5,MATCH(MAX(Reference!$A$6,MIN(Reference!$A$11,MIN($U118,210))),Reference!$A$6:$A$11,1))))/(INDEX(Reference!$A$6:$A$11,MIN(5,MATCH(MAX(Reference!$A$6,MIN(Reference!$A$11,MIN($U118,210))),Reference!$A$6:$A$11,1))+1)-INDEX(Reference!$A$6:$A$11,MIN(5,MATCH(MAX(Reference!$A$6,MIN(Reference!$A$11,MIN($U118,210))),Reference!$A$6:$A$11,1))))),0)+IF(6&lt;=$AL118,($AL118-6+3)*(INDEX(Reference!$B$6:$B$11,MIN(5,MATCH(MAX(Reference!$A$6,MIN(Reference!$A$11,MIN($U118,240))),Reference!$A$6:$A$11,1)))+(MAX(Reference!$A$6,MIN(Reference!$A$11,MIN($U118,240)))-INDEX(Reference!$A$6:$A$11,MIN(5,MATCH(MAX(Reference!$A$6,MIN(Reference!$A$11,MIN($U118,240))),Reference!$A$6:$A$11,1))))*(INDEX(Reference!$B$6:$B$11,MIN(5,MATCH(MAX(Reference!$A$6,MIN(Reference!$A$11,MIN($U118,240))),Reference!$A$6:$A$11,1))+1)-INDEX(Reference!$B$6:$B$11,MIN(5,MATCH(MAX(Reference!$A$6,MIN(Reference!$A$11,MIN($U118,240))),Reference!$A$6:$A$11,1))))/(INDEX(Reference!$A$6:$A$11,MIN(5,MATCH(MAX(Reference!$A$6,MIN(Reference!$A$11,MIN($U118,240))),Reference!$A$6:$A$11,1))+1)-INDEX(Reference!$A$6:$A$11,MIN(5,MATCH(MAX(Reference!$A$6,MIN(Reference!$A$11,MIN($U118,240))),Reference!$A$6:$A$11,1))))),0)+IF(7&lt;=$AL118,($AL118-7+3)*(INDEX(Reference!$B$6:$B$11,MIN(5,MATCH(MAX(Reference!$A$6,MIN(Reference!$A$11,MIN($U118,270))),Reference!$A$6:$A$11,1)))+(MAX(Reference!$A$6,MIN(Reference!$A$11,MIN($U118,270)))-INDEX(Reference!$A$6:$A$11,MIN(5,MATCH(MAX(Reference!$A$6,MIN(Reference!$A$11,MIN($U118,270))),Reference!$A$6:$A$11,1))))*(INDEX(Reference!$B$6:$B$11,MIN(5,MATCH(MAX(Reference!$A$6,MIN(Reference!$A$11,MIN($U118,270))),Reference!$A$6:$A$11,1))+1)-INDEX(Reference!$B$6:$B$11,MIN(5,MATCH(MAX(Reference!$A$6,MIN(Reference!$A$11,MIN($U118,270))),Reference!$A$6:$A$11,1))))/(INDEX(Reference!$A$6:$A$11,MIN(5,MATCH(MAX(Reference!$A$6,MIN(Reference!$A$11,MIN($U118,270))),Reference!$A$6:$A$11,1))+1)-INDEX(Reference!$A$6:$A$11,MIN(5,MATCH(MAX(Reference!$A$6,MIN(Reference!$A$11,MIN($U118,270))),Reference!$A$6:$A$11,1))))),0)+IF(8&lt;=$AL118,($AL118-8+3)*(INDEX(Reference!$B$6:$B$11,MIN(5,MATCH(MAX(Reference!$A$6,MIN(Reference!$A$11,MIN($U118,300))),Reference!$A$6:$A$11,1)))+(MAX(Reference!$A$6,MIN(Reference!$A$11,MIN($U118,300)))-INDEX(Reference!$A$6:$A$11,MIN(5,MATCH(MAX(Reference!$A$6,MIN(Reference!$A$11,MIN($U118,300))),Reference!$A$6:$A$11,1))))*(INDEX(Reference!$B$6:$B$11,MIN(5,MATCH(MAX(Reference!$A$6,MIN(Reference!$A$11,MIN($U118,300))),Reference!$A$6:$A$11,1))+1)-INDEX(Reference!$B$6:$B$11,MIN(5,MATCH(MAX(Reference!$A$6,MIN(Reference!$A$11,MIN($U118,300))),Reference!$A$6:$A$11,1))))/(INDEX(Reference!$A$6:$A$11,MIN(5,MATCH(MAX(Reference!$A$6,MIN(Reference!$A$11,MIN($U118,300))),Reference!$A$6:$A$11,1))+1)-INDEX(Reference!$A$6:$A$11,MIN(5,MATCH(MAX(Reference!$A$6,MIN(Reference!$A$11,MIN($U118,300))),Reference!$A$6:$A$11,1))))),0))/($AL118*($AL118+5)/2)),$AN118))</f>
        <v>0</v>
      </c>
      <c r="AN118" s="32">
        <f>IF($U118="",0,(INDEX(Reference!$B$6:$B$11,MIN(5,MATCH(MAX(Reference!$A$6,MIN(Reference!$A$11,$U118)),Reference!$A$6:$A$11,1)))+(MAX(Reference!$A$6,MIN(Reference!$A$11,$U118))-INDEX(Reference!$A$6:$A$11,MIN(5,MATCH(MAX(Reference!$A$6,MIN(Reference!$A$11,$U118)),Reference!$A$6:$A$11,1))))*(INDEX(Reference!$B$6:$B$11,MIN(5,MATCH(MAX(Reference!$A$6,MIN(Reference!$A$11,$U118)),Reference!$A$6:$A$11,1))+1)-INDEX(Reference!$B$6:$B$11,MIN(5,MATCH(MAX(Reference!$A$6,MIN(Reference!$A$11,$U118)),Reference!$A$6:$A$11,1))))/(INDEX(Reference!$A$6:$A$11,MIN(5,MATCH(MAX(Reference!$A$6,MIN(Reference!$A$11,$U118)),Reference!$A$6:$A$11,1))+1)-INDEX(Reference!$A$6:$A$11,MIN(5,MATCH(MAX(Reference!$A$6,MIN(Reference!$A$11,$U118)),Reference!$A$6:$A$11,1))))))</f>
        <v>0</v>
      </c>
      <c r="AO118" s="37"/>
      <c r="AP118" s="37"/>
      <c r="AQ118" s="37"/>
    </row>
    <row r="119" spans="1:43" x14ac:dyDescent="0.3">
      <c r="A119" s="48" t="str">
        <f t="shared" si="55"/>
        <v/>
      </c>
      <c r="B119" s="32" t="str">
        <f t="shared" si="56"/>
        <v/>
      </c>
      <c r="C119" s="32" t="str">
        <f t="shared" si="57"/>
        <v/>
      </c>
      <c r="D119" s="32" t="str">
        <f t="shared" si="58"/>
        <v/>
      </c>
      <c r="E119" s="32" t="str">
        <f t="shared" si="59"/>
        <v/>
      </c>
      <c r="F119" s="32" t="str">
        <f t="shared" si="60"/>
        <v/>
      </c>
      <c r="G119" s="47" t="str">
        <f t="shared" si="61"/>
        <v/>
      </c>
      <c r="H119" s="30" t="str">
        <f t="shared" si="62"/>
        <v/>
      </c>
      <c r="I119" s="46" t="str">
        <f>IF($A119="","",IF(AND($L119&lt;27,$K$12=0),"Building",IFERROR(((SUM($H$113:$H119)+$K$12*IF($L119&lt;6,SUMIFS('Throw Log'!$Q$5:$Q$300,'Throw Log'!$B$5:$B$300,$D$4,'Throw Log'!$A$5:$A$300,"&gt;="&amp;($D$6+$L119-6),'Throw Log'!$A$5:$A$300,"&lt;="&amp;($D$6-1)),0))/7)/((SUM($H$92:$H119)+$K$12*IF($L119&lt;27,SUMIFS('Throw Log'!$Q$5:$Q$300,'Throw Log'!$B$5:$B$300,$D$4,'Throw Log'!$A$5:$A$300,"&gt;="&amp;($D$6+$L119-27),'Throw Log'!$A$5:$A$300,"&lt;="&amp;($D$6-1)),0))/28),"")))</f>
        <v/>
      </c>
      <c r="J119" s="37"/>
      <c r="K119" s="37"/>
      <c r="L119" s="32">
        <v>76</v>
      </c>
      <c r="M119" s="32">
        <f t="shared" si="63"/>
        <v>11</v>
      </c>
      <c r="N119" s="32">
        <f t="shared" si="64"/>
        <v>6</v>
      </c>
      <c r="O119" s="32">
        <f t="shared" si="65"/>
        <v>1</v>
      </c>
      <c r="P119" s="32" t="str">
        <f>IF(OR($A119="",N($C119)&lt;=7),"",$G$6*$G$9^($M119-1)*IF(AND(MOD($M119,Reference!$B$99)=0,$M119&lt;=$G$5-2),Reference!$B$100,1))</f>
        <v/>
      </c>
      <c r="Q119" s="32" t="str">
        <f>IF($P119="","",IF(SUM($AK$113:$AK$119)=0,0,$P119*INDEX(Reference!$B$108:$B$114,$N119+1)/SUM($AK$113:$AK$119)))</f>
        <v/>
      </c>
      <c r="R119" s="32">
        <f t="shared" si="66"/>
        <v>120</v>
      </c>
      <c r="S119" s="32">
        <f t="shared" si="67"/>
        <v>105</v>
      </c>
      <c r="T119" s="32" t="str">
        <f>IF($A119="","",IF($C119=0,"Bullpen",IF(OR($C119=7,$C119=1,$C119=5),"Recovery/Easy Catch",IF($C119=6,"Compression/Pulldowns",IF(OR($C119=4,$C119=2),"Long Toss",IF($C119=3,"No Throw",IF($N119=2,"No Throw",IF($N119=6,IF($O119&lt;Reference!$B$104,"No Throw","Recovery/Easy Catch"),IF(OR($N119=0,$N119=4),"Recovery/Easy Catch",IF($N119=1,IF($R119&gt;75,"Long Toss","Recovery/Easy Catch"),IF($N119=3,IF($O119&lt;0.5,IF($S119&gt;75,"Long Toss","Recovery/Easy Catch"),"Compression/Pulldowns"),IF($S119&gt;75,"Long Toss","Recovery/Easy Catch"))))))))))))</f>
        <v/>
      </c>
      <c r="U119" s="32" t="str">
        <f t="shared" si="68"/>
        <v/>
      </c>
      <c r="V119" s="32" t="str">
        <f t="shared" si="69"/>
        <v/>
      </c>
      <c r="W119" s="32" t="str">
        <f t="shared" si="70"/>
        <v/>
      </c>
      <c r="X119" s="32">
        <f t="shared" si="71"/>
        <v>0</v>
      </c>
      <c r="Y119" s="32" t="str">
        <f t="shared" si="72"/>
        <v/>
      </c>
      <c r="Z119" s="32" t="str">
        <f t="shared" si="73"/>
        <v/>
      </c>
      <c r="AA119" s="32" t="str">
        <f t="shared" si="74"/>
        <v/>
      </c>
      <c r="AB119" s="32" t="str">
        <f>IF($A119="","",IF($T119="No Throw",0,IF($K119&lt;&gt;"",$K119,IF($AA119&lt;&gt;"",ROUND($AA119*$D$12*IF($C119=0,1,$G$10),0),MIN(IF($T119="Recovery/Easy Catch",Reference!$B$103,IF($T119="Long Toss",Reference!$B$106,Reference!$B$102)),MAX(Reference!$B$101,ROUND(MAX(0,$Q119-$AE119)/$AF119,0)))))))</f>
        <v/>
      </c>
      <c r="AC119" s="32">
        <f t="shared" si="75"/>
        <v>0</v>
      </c>
      <c r="AD119" s="32" t="b">
        <f t="shared" si="76"/>
        <v>1</v>
      </c>
      <c r="AE119" s="32">
        <f>IF($X119=0,0,$X119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119+$Z119)/2,0),Reference!$A$17:$B$20,2,TRUE()))</f>
        <v>0</v>
      </c>
      <c r="AF119" s="32">
        <f>IF(OR($A119="",$U119="",$T119="No Throw"),0,$AM119*VLOOKUP(MAX(($V119+$W119)/2,0),Reference!$A$17:$B$20,2,TRUE()))</f>
        <v>0</v>
      </c>
      <c r="AG119" s="32">
        <f>IF($AC119=0,0,$AC119*INDEX(Reference!$B$61:$B$62,MATCH("Bullpen",Reference!$A$61:$A$62,0))*VLOOKUP(MAX($D$5-($D$9+$E$9)/2,0),Reference!$A$17:$B$20,2,TRUE()))</f>
        <v>0</v>
      </c>
      <c r="AH119" s="32" t="e">
        <f t="shared" si="77"/>
        <v>#N/A</v>
      </c>
      <c r="AI119" s="32" t="e">
        <f>IF($A119="",NA(),Reference!$A$25)</f>
        <v>#N/A</v>
      </c>
      <c r="AJ119" s="32" t="e">
        <f t="shared" si="78"/>
        <v>#N/A</v>
      </c>
      <c r="AK119" s="32">
        <f>IF(OR($A119="",N($C119)&lt;=7,$T119="No Throw",$J119="x"),0,INDEX(Reference!$B$108:$B$114,$N119+1))</f>
        <v>0</v>
      </c>
      <c r="AL119" s="32">
        <f t="shared" si="79"/>
        <v>1</v>
      </c>
      <c r="AM119" s="32">
        <f>IF($U119="",0,IF($AL119&gt;1,((IF(1&lt;=$AL119,($AL119-1+3)*(INDEX(Reference!$B$6:$B$11,MIN(5,MATCH(MAX(Reference!$A$6,MIN(Reference!$A$11,MIN($U119,90))),Reference!$A$6:$A$11,1)))+(MAX(Reference!$A$6,MIN(Reference!$A$11,MIN($U119,90)))-INDEX(Reference!$A$6:$A$11,MIN(5,MATCH(MAX(Reference!$A$6,MIN(Reference!$A$11,MIN($U119,90))),Reference!$A$6:$A$11,1))))*(INDEX(Reference!$B$6:$B$11,MIN(5,MATCH(MAX(Reference!$A$6,MIN(Reference!$A$11,MIN($U119,90))),Reference!$A$6:$A$11,1))+1)-INDEX(Reference!$B$6:$B$11,MIN(5,MATCH(MAX(Reference!$A$6,MIN(Reference!$A$11,MIN($U119,90))),Reference!$A$6:$A$11,1))))/(INDEX(Reference!$A$6:$A$11,MIN(5,MATCH(MAX(Reference!$A$6,MIN(Reference!$A$11,MIN($U119,90))),Reference!$A$6:$A$11,1))+1)-INDEX(Reference!$A$6:$A$11,MIN(5,MATCH(MAX(Reference!$A$6,MIN(Reference!$A$11,MIN($U119,90))),Reference!$A$6:$A$11,1))))),0)+IF(2&lt;=$AL119,($AL119-2+3)*(INDEX(Reference!$B$6:$B$11,MIN(5,MATCH(MAX(Reference!$A$6,MIN(Reference!$A$11,MIN($U119,120))),Reference!$A$6:$A$11,1)))+(MAX(Reference!$A$6,MIN(Reference!$A$11,MIN($U119,120)))-INDEX(Reference!$A$6:$A$11,MIN(5,MATCH(MAX(Reference!$A$6,MIN(Reference!$A$11,MIN($U119,120))),Reference!$A$6:$A$11,1))))*(INDEX(Reference!$B$6:$B$11,MIN(5,MATCH(MAX(Reference!$A$6,MIN(Reference!$A$11,MIN($U119,120))),Reference!$A$6:$A$11,1))+1)-INDEX(Reference!$B$6:$B$11,MIN(5,MATCH(MAX(Reference!$A$6,MIN(Reference!$A$11,MIN($U119,120))),Reference!$A$6:$A$11,1))))/(INDEX(Reference!$A$6:$A$11,MIN(5,MATCH(MAX(Reference!$A$6,MIN(Reference!$A$11,MIN($U119,120))),Reference!$A$6:$A$11,1))+1)-INDEX(Reference!$A$6:$A$11,MIN(5,MATCH(MAX(Reference!$A$6,MIN(Reference!$A$11,MIN($U119,120))),Reference!$A$6:$A$11,1))))),0)+IF(3&lt;=$AL119,($AL119-3+3)*(INDEX(Reference!$B$6:$B$11,MIN(5,MATCH(MAX(Reference!$A$6,MIN(Reference!$A$11,MIN($U119,150))),Reference!$A$6:$A$11,1)))+(MAX(Reference!$A$6,MIN(Reference!$A$11,MIN($U119,150)))-INDEX(Reference!$A$6:$A$11,MIN(5,MATCH(MAX(Reference!$A$6,MIN(Reference!$A$11,MIN($U119,150))),Reference!$A$6:$A$11,1))))*(INDEX(Reference!$B$6:$B$11,MIN(5,MATCH(MAX(Reference!$A$6,MIN(Reference!$A$11,MIN($U119,150))),Reference!$A$6:$A$11,1))+1)-INDEX(Reference!$B$6:$B$11,MIN(5,MATCH(MAX(Reference!$A$6,MIN(Reference!$A$11,MIN($U119,150))),Reference!$A$6:$A$11,1))))/(INDEX(Reference!$A$6:$A$11,MIN(5,MATCH(MAX(Reference!$A$6,MIN(Reference!$A$11,MIN($U119,150))),Reference!$A$6:$A$11,1))+1)-INDEX(Reference!$A$6:$A$11,MIN(5,MATCH(MAX(Reference!$A$6,MIN(Reference!$A$11,MIN($U119,150))),Reference!$A$6:$A$11,1))))),0)+IF(4&lt;=$AL119,($AL119-4+3)*(INDEX(Reference!$B$6:$B$11,MIN(5,MATCH(MAX(Reference!$A$6,MIN(Reference!$A$11,MIN($U119,180))),Reference!$A$6:$A$11,1)))+(MAX(Reference!$A$6,MIN(Reference!$A$11,MIN($U119,180)))-INDEX(Reference!$A$6:$A$11,MIN(5,MATCH(MAX(Reference!$A$6,MIN(Reference!$A$11,MIN($U119,180))),Reference!$A$6:$A$11,1))))*(INDEX(Reference!$B$6:$B$11,MIN(5,MATCH(MAX(Reference!$A$6,MIN(Reference!$A$11,MIN($U119,180))),Reference!$A$6:$A$11,1))+1)-INDEX(Reference!$B$6:$B$11,MIN(5,MATCH(MAX(Reference!$A$6,MIN(Reference!$A$11,MIN($U119,180))),Reference!$A$6:$A$11,1))))/(INDEX(Reference!$A$6:$A$11,MIN(5,MATCH(MAX(Reference!$A$6,MIN(Reference!$A$11,MIN($U119,180))),Reference!$A$6:$A$11,1))+1)-INDEX(Reference!$A$6:$A$11,MIN(5,MATCH(MAX(Reference!$A$6,MIN(Reference!$A$11,MIN($U119,180))),Reference!$A$6:$A$11,1))))),0)+IF(5&lt;=$AL119,($AL119-5+3)*(INDEX(Reference!$B$6:$B$11,MIN(5,MATCH(MAX(Reference!$A$6,MIN(Reference!$A$11,MIN($U119,210))),Reference!$A$6:$A$11,1)))+(MAX(Reference!$A$6,MIN(Reference!$A$11,MIN($U119,210)))-INDEX(Reference!$A$6:$A$11,MIN(5,MATCH(MAX(Reference!$A$6,MIN(Reference!$A$11,MIN($U119,210))),Reference!$A$6:$A$11,1))))*(INDEX(Reference!$B$6:$B$11,MIN(5,MATCH(MAX(Reference!$A$6,MIN(Reference!$A$11,MIN($U119,210))),Reference!$A$6:$A$11,1))+1)-INDEX(Reference!$B$6:$B$11,MIN(5,MATCH(MAX(Reference!$A$6,MIN(Reference!$A$11,MIN($U119,210))),Reference!$A$6:$A$11,1))))/(INDEX(Reference!$A$6:$A$11,MIN(5,MATCH(MAX(Reference!$A$6,MIN(Reference!$A$11,MIN($U119,210))),Reference!$A$6:$A$11,1))+1)-INDEX(Reference!$A$6:$A$11,MIN(5,MATCH(MAX(Reference!$A$6,MIN(Reference!$A$11,MIN($U119,210))),Reference!$A$6:$A$11,1))))),0)+IF(6&lt;=$AL119,($AL119-6+3)*(INDEX(Reference!$B$6:$B$11,MIN(5,MATCH(MAX(Reference!$A$6,MIN(Reference!$A$11,MIN($U119,240))),Reference!$A$6:$A$11,1)))+(MAX(Reference!$A$6,MIN(Reference!$A$11,MIN($U119,240)))-INDEX(Reference!$A$6:$A$11,MIN(5,MATCH(MAX(Reference!$A$6,MIN(Reference!$A$11,MIN($U119,240))),Reference!$A$6:$A$11,1))))*(INDEX(Reference!$B$6:$B$11,MIN(5,MATCH(MAX(Reference!$A$6,MIN(Reference!$A$11,MIN($U119,240))),Reference!$A$6:$A$11,1))+1)-INDEX(Reference!$B$6:$B$11,MIN(5,MATCH(MAX(Reference!$A$6,MIN(Reference!$A$11,MIN($U119,240))),Reference!$A$6:$A$11,1))))/(INDEX(Reference!$A$6:$A$11,MIN(5,MATCH(MAX(Reference!$A$6,MIN(Reference!$A$11,MIN($U119,240))),Reference!$A$6:$A$11,1))+1)-INDEX(Reference!$A$6:$A$11,MIN(5,MATCH(MAX(Reference!$A$6,MIN(Reference!$A$11,MIN($U119,240))),Reference!$A$6:$A$11,1))))),0)+IF(7&lt;=$AL119,($AL119-7+3)*(INDEX(Reference!$B$6:$B$11,MIN(5,MATCH(MAX(Reference!$A$6,MIN(Reference!$A$11,MIN($U119,270))),Reference!$A$6:$A$11,1)))+(MAX(Reference!$A$6,MIN(Reference!$A$11,MIN($U119,270)))-INDEX(Reference!$A$6:$A$11,MIN(5,MATCH(MAX(Reference!$A$6,MIN(Reference!$A$11,MIN($U119,270))),Reference!$A$6:$A$11,1))))*(INDEX(Reference!$B$6:$B$11,MIN(5,MATCH(MAX(Reference!$A$6,MIN(Reference!$A$11,MIN($U119,270))),Reference!$A$6:$A$11,1))+1)-INDEX(Reference!$B$6:$B$11,MIN(5,MATCH(MAX(Reference!$A$6,MIN(Reference!$A$11,MIN($U119,270))),Reference!$A$6:$A$11,1))))/(INDEX(Reference!$A$6:$A$11,MIN(5,MATCH(MAX(Reference!$A$6,MIN(Reference!$A$11,MIN($U119,270))),Reference!$A$6:$A$11,1))+1)-INDEX(Reference!$A$6:$A$11,MIN(5,MATCH(MAX(Reference!$A$6,MIN(Reference!$A$11,MIN($U119,270))),Reference!$A$6:$A$11,1))))),0)+IF(8&lt;=$AL119,($AL119-8+3)*(INDEX(Reference!$B$6:$B$11,MIN(5,MATCH(MAX(Reference!$A$6,MIN(Reference!$A$11,MIN($U119,300))),Reference!$A$6:$A$11,1)))+(MAX(Reference!$A$6,MIN(Reference!$A$11,MIN($U119,300)))-INDEX(Reference!$A$6:$A$11,MIN(5,MATCH(MAX(Reference!$A$6,MIN(Reference!$A$11,MIN($U119,300))),Reference!$A$6:$A$11,1))))*(INDEX(Reference!$B$6:$B$11,MIN(5,MATCH(MAX(Reference!$A$6,MIN(Reference!$A$11,MIN($U119,300))),Reference!$A$6:$A$11,1))+1)-INDEX(Reference!$B$6:$B$11,MIN(5,MATCH(MAX(Reference!$A$6,MIN(Reference!$A$11,MIN($U119,300))),Reference!$A$6:$A$11,1))))/(INDEX(Reference!$A$6:$A$11,MIN(5,MATCH(MAX(Reference!$A$6,MIN(Reference!$A$11,MIN($U119,300))),Reference!$A$6:$A$11,1))+1)-INDEX(Reference!$A$6:$A$11,MIN(5,MATCH(MAX(Reference!$A$6,MIN(Reference!$A$11,MIN($U119,300))),Reference!$A$6:$A$11,1))))),0))/($AL119*($AL119+5)/2)),$AN119))</f>
        <v>0</v>
      </c>
      <c r="AN119" s="32">
        <f>IF($U119="",0,(INDEX(Reference!$B$6:$B$11,MIN(5,MATCH(MAX(Reference!$A$6,MIN(Reference!$A$11,$U119)),Reference!$A$6:$A$11,1)))+(MAX(Reference!$A$6,MIN(Reference!$A$11,$U119))-INDEX(Reference!$A$6:$A$11,MIN(5,MATCH(MAX(Reference!$A$6,MIN(Reference!$A$11,$U119)),Reference!$A$6:$A$11,1))))*(INDEX(Reference!$B$6:$B$11,MIN(5,MATCH(MAX(Reference!$A$6,MIN(Reference!$A$11,$U119)),Reference!$A$6:$A$11,1))+1)-INDEX(Reference!$B$6:$B$11,MIN(5,MATCH(MAX(Reference!$A$6,MIN(Reference!$A$11,$U119)),Reference!$A$6:$A$11,1))))/(INDEX(Reference!$A$6:$A$11,MIN(5,MATCH(MAX(Reference!$A$6,MIN(Reference!$A$11,$U119)),Reference!$A$6:$A$11,1))+1)-INDEX(Reference!$A$6:$A$11,MIN(5,MATCH(MAX(Reference!$A$6,MIN(Reference!$A$11,$U119)),Reference!$A$6:$A$11,1))))))</f>
        <v>0</v>
      </c>
      <c r="AO119" s="37"/>
      <c r="AP119" s="37"/>
      <c r="AQ119" s="37"/>
    </row>
    <row r="120" spans="1:43" x14ac:dyDescent="0.3">
      <c r="A120" s="48" t="str">
        <f t="shared" si="55"/>
        <v/>
      </c>
      <c r="B120" s="32" t="str">
        <f t="shared" si="56"/>
        <v/>
      </c>
      <c r="C120" s="32" t="str">
        <f t="shared" si="57"/>
        <v/>
      </c>
      <c r="D120" s="32" t="str">
        <f t="shared" si="58"/>
        <v/>
      </c>
      <c r="E120" s="32" t="str">
        <f t="shared" si="59"/>
        <v/>
      </c>
      <c r="F120" s="32" t="str">
        <f t="shared" si="60"/>
        <v/>
      </c>
      <c r="G120" s="47" t="str">
        <f t="shared" si="61"/>
        <v/>
      </c>
      <c r="H120" s="30" t="str">
        <f t="shared" si="62"/>
        <v/>
      </c>
      <c r="I120" s="46" t="str">
        <f>IF($A120="","",IF(AND($L120&lt;27,$K$12=0),"Building",IFERROR(((SUM($H$114:$H120)+$K$12*IF($L120&lt;6,SUMIFS('Throw Log'!$Q$5:$Q$300,'Throw Log'!$B$5:$B$300,$D$4,'Throw Log'!$A$5:$A$300,"&gt;="&amp;($D$6+$L120-6),'Throw Log'!$A$5:$A$300,"&lt;="&amp;($D$6-1)),0))/7)/((SUM($H$93:$H120)+$K$12*IF($L120&lt;27,SUMIFS('Throw Log'!$Q$5:$Q$300,'Throw Log'!$B$5:$B$300,$D$4,'Throw Log'!$A$5:$A$300,"&gt;="&amp;($D$6+$L120-27),'Throw Log'!$A$5:$A$300,"&lt;="&amp;($D$6-1)),0))/28),"")))</f>
        <v/>
      </c>
      <c r="J120" s="37"/>
      <c r="K120" s="37"/>
      <c r="L120" s="32">
        <v>77</v>
      </c>
      <c r="M120" s="32">
        <f t="shared" si="63"/>
        <v>12</v>
      </c>
      <c r="N120" s="32">
        <f t="shared" si="64"/>
        <v>0</v>
      </c>
      <c r="O120" s="32">
        <f t="shared" si="65"/>
        <v>1</v>
      </c>
      <c r="P120" s="32" t="str">
        <f>IF(OR($A120="",N($C120)&lt;=7),"",$G$6*$G$9^($M120-1)*IF(AND(MOD($M120,Reference!$B$99)=0,$M120&lt;=$G$5-2),Reference!$B$100,1))</f>
        <v/>
      </c>
      <c r="Q120" s="32" t="str">
        <f>IF($P120="","",IF(SUM($AK$120:$AK$126)=0,0,$P120*INDEX(Reference!$B$108:$B$114,$N120+1)/SUM($AK$120:$AK$126)))</f>
        <v/>
      </c>
      <c r="R120" s="32">
        <f t="shared" si="66"/>
        <v>120</v>
      </c>
      <c r="S120" s="32">
        <f t="shared" si="67"/>
        <v>105</v>
      </c>
      <c r="T120" s="32" t="str">
        <f>IF($A120="","",IF($C120=0,"Bullpen",IF(OR($C120=7,$C120=1,$C120=5),"Recovery/Easy Catch",IF($C120=6,"Compression/Pulldowns",IF(OR($C120=4,$C120=2),"Long Toss",IF($C120=3,"No Throw",IF($N120=2,"No Throw",IF($N120=6,IF($O120&lt;Reference!$B$104,"No Throw","Recovery/Easy Catch"),IF(OR($N120=0,$N120=4),"Recovery/Easy Catch",IF($N120=1,IF($R120&gt;75,"Long Toss","Recovery/Easy Catch"),IF($N120=3,IF($O120&lt;0.5,IF($S120&gt;75,"Long Toss","Recovery/Easy Catch"),"Compression/Pulldowns"),IF($S120&gt;75,"Long Toss","Recovery/Easy Catch"))))))))))))</f>
        <v/>
      </c>
      <c r="U120" s="32" t="str">
        <f t="shared" si="68"/>
        <v/>
      </c>
      <c r="V120" s="32" t="str">
        <f t="shared" si="69"/>
        <v/>
      </c>
      <c r="W120" s="32" t="str">
        <f t="shared" si="70"/>
        <v/>
      </c>
      <c r="X120" s="32">
        <f t="shared" si="71"/>
        <v>0</v>
      </c>
      <c r="Y120" s="32" t="str">
        <f t="shared" si="72"/>
        <v/>
      </c>
      <c r="Z120" s="32" t="str">
        <f t="shared" si="73"/>
        <v/>
      </c>
      <c r="AA120" s="32" t="str">
        <f t="shared" si="74"/>
        <v/>
      </c>
      <c r="AB120" s="32" t="str">
        <f>IF($A120="","",IF($T120="No Throw",0,IF($K120&lt;&gt;"",$K120,IF($AA120&lt;&gt;"",ROUND($AA120*$D$12*IF($C120=0,1,$G$10),0),MIN(IF($T120="Recovery/Easy Catch",Reference!$B$103,IF($T120="Long Toss",Reference!$B$106,Reference!$B$102)),MAX(Reference!$B$101,ROUND(MAX(0,$Q120-$AE120)/$AF120,0)))))))</f>
        <v/>
      </c>
      <c r="AC120" s="32">
        <f t="shared" si="75"/>
        <v>0</v>
      </c>
      <c r="AD120" s="32" t="b">
        <f t="shared" si="76"/>
        <v>1</v>
      </c>
      <c r="AE120" s="32">
        <f>IF($X120=0,0,$X120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120+$Z120)/2,0),Reference!$A$17:$B$20,2,TRUE()))</f>
        <v>0</v>
      </c>
      <c r="AF120" s="32">
        <f>IF(OR($A120="",$U120="",$T120="No Throw"),0,$AM120*VLOOKUP(MAX(($V120+$W120)/2,0),Reference!$A$17:$B$20,2,TRUE()))</f>
        <v>0</v>
      </c>
      <c r="AG120" s="32">
        <f>IF($AC120=0,0,$AC120*INDEX(Reference!$B$61:$B$62,MATCH("Bullpen",Reference!$A$61:$A$62,0))*VLOOKUP(MAX($D$5-($D$9+$E$9)/2,0),Reference!$A$17:$B$20,2,TRUE()))</f>
        <v>0</v>
      </c>
      <c r="AH120" s="32" t="e">
        <f t="shared" si="77"/>
        <v>#N/A</v>
      </c>
      <c r="AI120" s="32" t="e">
        <f>IF($A120="",NA(),Reference!$A$25)</f>
        <v>#N/A</v>
      </c>
      <c r="AJ120" s="32" t="e">
        <f t="shared" si="78"/>
        <v>#N/A</v>
      </c>
      <c r="AK120" s="32">
        <f>IF(OR($A120="",N($C120)&lt;=7,$T120="No Throw",$J120="x"),0,INDEX(Reference!$B$108:$B$114,$N120+1))</f>
        <v>0</v>
      </c>
      <c r="AL120" s="32">
        <f t="shared" si="79"/>
        <v>1</v>
      </c>
      <c r="AM120" s="32">
        <f>IF($U120="",0,IF($AL120&gt;1,((IF(1&lt;=$AL120,($AL120-1+3)*(INDEX(Reference!$B$6:$B$11,MIN(5,MATCH(MAX(Reference!$A$6,MIN(Reference!$A$11,MIN($U120,90))),Reference!$A$6:$A$11,1)))+(MAX(Reference!$A$6,MIN(Reference!$A$11,MIN($U120,90)))-INDEX(Reference!$A$6:$A$11,MIN(5,MATCH(MAX(Reference!$A$6,MIN(Reference!$A$11,MIN($U120,90))),Reference!$A$6:$A$11,1))))*(INDEX(Reference!$B$6:$B$11,MIN(5,MATCH(MAX(Reference!$A$6,MIN(Reference!$A$11,MIN($U120,90))),Reference!$A$6:$A$11,1))+1)-INDEX(Reference!$B$6:$B$11,MIN(5,MATCH(MAX(Reference!$A$6,MIN(Reference!$A$11,MIN($U120,90))),Reference!$A$6:$A$11,1))))/(INDEX(Reference!$A$6:$A$11,MIN(5,MATCH(MAX(Reference!$A$6,MIN(Reference!$A$11,MIN($U120,90))),Reference!$A$6:$A$11,1))+1)-INDEX(Reference!$A$6:$A$11,MIN(5,MATCH(MAX(Reference!$A$6,MIN(Reference!$A$11,MIN($U120,90))),Reference!$A$6:$A$11,1))))),0)+IF(2&lt;=$AL120,($AL120-2+3)*(INDEX(Reference!$B$6:$B$11,MIN(5,MATCH(MAX(Reference!$A$6,MIN(Reference!$A$11,MIN($U120,120))),Reference!$A$6:$A$11,1)))+(MAX(Reference!$A$6,MIN(Reference!$A$11,MIN($U120,120)))-INDEX(Reference!$A$6:$A$11,MIN(5,MATCH(MAX(Reference!$A$6,MIN(Reference!$A$11,MIN($U120,120))),Reference!$A$6:$A$11,1))))*(INDEX(Reference!$B$6:$B$11,MIN(5,MATCH(MAX(Reference!$A$6,MIN(Reference!$A$11,MIN($U120,120))),Reference!$A$6:$A$11,1))+1)-INDEX(Reference!$B$6:$B$11,MIN(5,MATCH(MAX(Reference!$A$6,MIN(Reference!$A$11,MIN($U120,120))),Reference!$A$6:$A$11,1))))/(INDEX(Reference!$A$6:$A$11,MIN(5,MATCH(MAX(Reference!$A$6,MIN(Reference!$A$11,MIN($U120,120))),Reference!$A$6:$A$11,1))+1)-INDEX(Reference!$A$6:$A$11,MIN(5,MATCH(MAX(Reference!$A$6,MIN(Reference!$A$11,MIN($U120,120))),Reference!$A$6:$A$11,1))))),0)+IF(3&lt;=$AL120,($AL120-3+3)*(INDEX(Reference!$B$6:$B$11,MIN(5,MATCH(MAX(Reference!$A$6,MIN(Reference!$A$11,MIN($U120,150))),Reference!$A$6:$A$11,1)))+(MAX(Reference!$A$6,MIN(Reference!$A$11,MIN($U120,150)))-INDEX(Reference!$A$6:$A$11,MIN(5,MATCH(MAX(Reference!$A$6,MIN(Reference!$A$11,MIN($U120,150))),Reference!$A$6:$A$11,1))))*(INDEX(Reference!$B$6:$B$11,MIN(5,MATCH(MAX(Reference!$A$6,MIN(Reference!$A$11,MIN($U120,150))),Reference!$A$6:$A$11,1))+1)-INDEX(Reference!$B$6:$B$11,MIN(5,MATCH(MAX(Reference!$A$6,MIN(Reference!$A$11,MIN($U120,150))),Reference!$A$6:$A$11,1))))/(INDEX(Reference!$A$6:$A$11,MIN(5,MATCH(MAX(Reference!$A$6,MIN(Reference!$A$11,MIN($U120,150))),Reference!$A$6:$A$11,1))+1)-INDEX(Reference!$A$6:$A$11,MIN(5,MATCH(MAX(Reference!$A$6,MIN(Reference!$A$11,MIN($U120,150))),Reference!$A$6:$A$11,1))))),0)+IF(4&lt;=$AL120,($AL120-4+3)*(INDEX(Reference!$B$6:$B$11,MIN(5,MATCH(MAX(Reference!$A$6,MIN(Reference!$A$11,MIN($U120,180))),Reference!$A$6:$A$11,1)))+(MAX(Reference!$A$6,MIN(Reference!$A$11,MIN($U120,180)))-INDEX(Reference!$A$6:$A$11,MIN(5,MATCH(MAX(Reference!$A$6,MIN(Reference!$A$11,MIN($U120,180))),Reference!$A$6:$A$11,1))))*(INDEX(Reference!$B$6:$B$11,MIN(5,MATCH(MAX(Reference!$A$6,MIN(Reference!$A$11,MIN($U120,180))),Reference!$A$6:$A$11,1))+1)-INDEX(Reference!$B$6:$B$11,MIN(5,MATCH(MAX(Reference!$A$6,MIN(Reference!$A$11,MIN($U120,180))),Reference!$A$6:$A$11,1))))/(INDEX(Reference!$A$6:$A$11,MIN(5,MATCH(MAX(Reference!$A$6,MIN(Reference!$A$11,MIN($U120,180))),Reference!$A$6:$A$11,1))+1)-INDEX(Reference!$A$6:$A$11,MIN(5,MATCH(MAX(Reference!$A$6,MIN(Reference!$A$11,MIN($U120,180))),Reference!$A$6:$A$11,1))))),0)+IF(5&lt;=$AL120,($AL120-5+3)*(INDEX(Reference!$B$6:$B$11,MIN(5,MATCH(MAX(Reference!$A$6,MIN(Reference!$A$11,MIN($U120,210))),Reference!$A$6:$A$11,1)))+(MAX(Reference!$A$6,MIN(Reference!$A$11,MIN($U120,210)))-INDEX(Reference!$A$6:$A$11,MIN(5,MATCH(MAX(Reference!$A$6,MIN(Reference!$A$11,MIN($U120,210))),Reference!$A$6:$A$11,1))))*(INDEX(Reference!$B$6:$B$11,MIN(5,MATCH(MAX(Reference!$A$6,MIN(Reference!$A$11,MIN($U120,210))),Reference!$A$6:$A$11,1))+1)-INDEX(Reference!$B$6:$B$11,MIN(5,MATCH(MAX(Reference!$A$6,MIN(Reference!$A$11,MIN($U120,210))),Reference!$A$6:$A$11,1))))/(INDEX(Reference!$A$6:$A$11,MIN(5,MATCH(MAX(Reference!$A$6,MIN(Reference!$A$11,MIN($U120,210))),Reference!$A$6:$A$11,1))+1)-INDEX(Reference!$A$6:$A$11,MIN(5,MATCH(MAX(Reference!$A$6,MIN(Reference!$A$11,MIN($U120,210))),Reference!$A$6:$A$11,1))))),0)+IF(6&lt;=$AL120,($AL120-6+3)*(INDEX(Reference!$B$6:$B$11,MIN(5,MATCH(MAX(Reference!$A$6,MIN(Reference!$A$11,MIN($U120,240))),Reference!$A$6:$A$11,1)))+(MAX(Reference!$A$6,MIN(Reference!$A$11,MIN($U120,240)))-INDEX(Reference!$A$6:$A$11,MIN(5,MATCH(MAX(Reference!$A$6,MIN(Reference!$A$11,MIN($U120,240))),Reference!$A$6:$A$11,1))))*(INDEX(Reference!$B$6:$B$11,MIN(5,MATCH(MAX(Reference!$A$6,MIN(Reference!$A$11,MIN($U120,240))),Reference!$A$6:$A$11,1))+1)-INDEX(Reference!$B$6:$B$11,MIN(5,MATCH(MAX(Reference!$A$6,MIN(Reference!$A$11,MIN($U120,240))),Reference!$A$6:$A$11,1))))/(INDEX(Reference!$A$6:$A$11,MIN(5,MATCH(MAX(Reference!$A$6,MIN(Reference!$A$11,MIN($U120,240))),Reference!$A$6:$A$11,1))+1)-INDEX(Reference!$A$6:$A$11,MIN(5,MATCH(MAX(Reference!$A$6,MIN(Reference!$A$11,MIN($U120,240))),Reference!$A$6:$A$11,1))))),0)+IF(7&lt;=$AL120,($AL120-7+3)*(INDEX(Reference!$B$6:$B$11,MIN(5,MATCH(MAX(Reference!$A$6,MIN(Reference!$A$11,MIN($U120,270))),Reference!$A$6:$A$11,1)))+(MAX(Reference!$A$6,MIN(Reference!$A$11,MIN($U120,270)))-INDEX(Reference!$A$6:$A$11,MIN(5,MATCH(MAX(Reference!$A$6,MIN(Reference!$A$11,MIN($U120,270))),Reference!$A$6:$A$11,1))))*(INDEX(Reference!$B$6:$B$11,MIN(5,MATCH(MAX(Reference!$A$6,MIN(Reference!$A$11,MIN($U120,270))),Reference!$A$6:$A$11,1))+1)-INDEX(Reference!$B$6:$B$11,MIN(5,MATCH(MAX(Reference!$A$6,MIN(Reference!$A$11,MIN($U120,270))),Reference!$A$6:$A$11,1))))/(INDEX(Reference!$A$6:$A$11,MIN(5,MATCH(MAX(Reference!$A$6,MIN(Reference!$A$11,MIN($U120,270))),Reference!$A$6:$A$11,1))+1)-INDEX(Reference!$A$6:$A$11,MIN(5,MATCH(MAX(Reference!$A$6,MIN(Reference!$A$11,MIN($U120,270))),Reference!$A$6:$A$11,1))))),0)+IF(8&lt;=$AL120,($AL120-8+3)*(INDEX(Reference!$B$6:$B$11,MIN(5,MATCH(MAX(Reference!$A$6,MIN(Reference!$A$11,MIN($U120,300))),Reference!$A$6:$A$11,1)))+(MAX(Reference!$A$6,MIN(Reference!$A$11,MIN($U120,300)))-INDEX(Reference!$A$6:$A$11,MIN(5,MATCH(MAX(Reference!$A$6,MIN(Reference!$A$11,MIN($U120,300))),Reference!$A$6:$A$11,1))))*(INDEX(Reference!$B$6:$B$11,MIN(5,MATCH(MAX(Reference!$A$6,MIN(Reference!$A$11,MIN($U120,300))),Reference!$A$6:$A$11,1))+1)-INDEX(Reference!$B$6:$B$11,MIN(5,MATCH(MAX(Reference!$A$6,MIN(Reference!$A$11,MIN($U120,300))),Reference!$A$6:$A$11,1))))/(INDEX(Reference!$A$6:$A$11,MIN(5,MATCH(MAX(Reference!$A$6,MIN(Reference!$A$11,MIN($U120,300))),Reference!$A$6:$A$11,1))+1)-INDEX(Reference!$A$6:$A$11,MIN(5,MATCH(MAX(Reference!$A$6,MIN(Reference!$A$11,MIN($U120,300))),Reference!$A$6:$A$11,1))))),0))/($AL120*($AL120+5)/2)),$AN120))</f>
        <v>0</v>
      </c>
      <c r="AN120" s="32">
        <f>IF($U120="",0,(INDEX(Reference!$B$6:$B$11,MIN(5,MATCH(MAX(Reference!$A$6,MIN(Reference!$A$11,$U120)),Reference!$A$6:$A$11,1)))+(MAX(Reference!$A$6,MIN(Reference!$A$11,$U120))-INDEX(Reference!$A$6:$A$11,MIN(5,MATCH(MAX(Reference!$A$6,MIN(Reference!$A$11,$U120)),Reference!$A$6:$A$11,1))))*(INDEX(Reference!$B$6:$B$11,MIN(5,MATCH(MAX(Reference!$A$6,MIN(Reference!$A$11,$U120)),Reference!$A$6:$A$11,1))+1)-INDEX(Reference!$B$6:$B$11,MIN(5,MATCH(MAX(Reference!$A$6,MIN(Reference!$A$11,$U120)),Reference!$A$6:$A$11,1))))/(INDEX(Reference!$A$6:$A$11,MIN(5,MATCH(MAX(Reference!$A$6,MIN(Reference!$A$11,$U120)),Reference!$A$6:$A$11,1))+1)-INDEX(Reference!$A$6:$A$11,MIN(5,MATCH(MAX(Reference!$A$6,MIN(Reference!$A$11,$U120)),Reference!$A$6:$A$11,1))))))</f>
        <v>0</v>
      </c>
      <c r="AO120" s="37"/>
      <c r="AP120" s="37"/>
      <c r="AQ120" s="37"/>
    </row>
    <row r="121" spans="1:43" x14ac:dyDescent="0.3">
      <c r="A121" s="48" t="str">
        <f t="shared" si="55"/>
        <v/>
      </c>
      <c r="B121" s="32" t="str">
        <f t="shared" si="56"/>
        <v/>
      </c>
      <c r="C121" s="32" t="str">
        <f t="shared" si="57"/>
        <v/>
      </c>
      <c r="D121" s="32" t="str">
        <f t="shared" si="58"/>
        <v/>
      </c>
      <c r="E121" s="32" t="str">
        <f t="shared" si="59"/>
        <v/>
      </c>
      <c r="F121" s="32" t="str">
        <f t="shared" si="60"/>
        <v/>
      </c>
      <c r="G121" s="47" t="str">
        <f t="shared" si="61"/>
        <v/>
      </c>
      <c r="H121" s="30" t="str">
        <f t="shared" si="62"/>
        <v/>
      </c>
      <c r="I121" s="46" t="str">
        <f>IF($A121="","",IF(AND($L121&lt;27,$K$12=0),"Building",IFERROR(((SUM($H$115:$H121)+$K$12*IF($L121&lt;6,SUMIFS('Throw Log'!$Q$5:$Q$300,'Throw Log'!$B$5:$B$300,$D$4,'Throw Log'!$A$5:$A$300,"&gt;="&amp;($D$6+$L121-6),'Throw Log'!$A$5:$A$300,"&lt;="&amp;($D$6-1)),0))/7)/((SUM($H$94:$H121)+$K$12*IF($L121&lt;27,SUMIFS('Throw Log'!$Q$5:$Q$300,'Throw Log'!$B$5:$B$300,$D$4,'Throw Log'!$A$5:$A$300,"&gt;="&amp;($D$6+$L121-27),'Throw Log'!$A$5:$A$300,"&lt;="&amp;($D$6-1)),0))/28),"")))</f>
        <v/>
      </c>
      <c r="J121" s="37"/>
      <c r="K121" s="37"/>
      <c r="L121" s="32">
        <v>78</v>
      </c>
      <c r="M121" s="32">
        <f t="shared" si="63"/>
        <v>12</v>
      </c>
      <c r="N121" s="32">
        <f t="shared" si="64"/>
        <v>1</v>
      </c>
      <c r="O121" s="32">
        <f t="shared" si="65"/>
        <v>1</v>
      </c>
      <c r="P121" s="32" t="str">
        <f>IF(OR($A121="",N($C121)&lt;=7),"",$G$6*$G$9^($M121-1)*IF(AND(MOD($M121,Reference!$B$99)=0,$M121&lt;=$G$5-2),Reference!$B$100,1))</f>
        <v/>
      </c>
      <c r="Q121" s="32" t="str">
        <f>IF($P121="","",IF(SUM($AK$120:$AK$126)=0,0,$P121*INDEX(Reference!$B$108:$B$114,$N121+1)/SUM($AK$120:$AK$126)))</f>
        <v/>
      </c>
      <c r="R121" s="32">
        <f t="shared" si="66"/>
        <v>120</v>
      </c>
      <c r="S121" s="32">
        <f t="shared" si="67"/>
        <v>105</v>
      </c>
      <c r="T121" s="32" t="str">
        <f>IF($A121="","",IF($C121=0,"Bullpen",IF(OR($C121=7,$C121=1,$C121=5),"Recovery/Easy Catch",IF($C121=6,"Compression/Pulldowns",IF(OR($C121=4,$C121=2),"Long Toss",IF($C121=3,"No Throw",IF($N121=2,"No Throw",IF($N121=6,IF($O121&lt;Reference!$B$104,"No Throw","Recovery/Easy Catch"),IF(OR($N121=0,$N121=4),"Recovery/Easy Catch",IF($N121=1,IF($R121&gt;75,"Long Toss","Recovery/Easy Catch"),IF($N121=3,IF($O121&lt;0.5,IF($S121&gt;75,"Long Toss","Recovery/Easy Catch"),"Compression/Pulldowns"),IF($S121&gt;75,"Long Toss","Recovery/Easy Catch"))))))))))))</f>
        <v/>
      </c>
      <c r="U121" s="32" t="str">
        <f t="shared" si="68"/>
        <v/>
      </c>
      <c r="V121" s="32" t="str">
        <f t="shared" si="69"/>
        <v/>
      </c>
      <c r="W121" s="32" t="str">
        <f t="shared" si="70"/>
        <v/>
      </c>
      <c r="X121" s="32">
        <f t="shared" si="71"/>
        <v>0</v>
      </c>
      <c r="Y121" s="32" t="str">
        <f t="shared" si="72"/>
        <v/>
      </c>
      <c r="Z121" s="32" t="str">
        <f t="shared" si="73"/>
        <v/>
      </c>
      <c r="AA121" s="32" t="str">
        <f t="shared" si="74"/>
        <v/>
      </c>
      <c r="AB121" s="32" t="str">
        <f>IF($A121="","",IF($T121="No Throw",0,IF($K121&lt;&gt;"",$K121,IF($AA121&lt;&gt;"",ROUND($AA121*$D$12*IF($C121=0,1,$G$10),0),MIN(IF($T121="Recovery/Easy Catch",Reference!$B$103,IF($T121="Long Toss",Reference!$B$106,Reference!$B$102)),MAX(Reference!$B$101,ROUND(MAX(0,$Q121-$AE121)/$AF121,0)))))))</f>
        <v/>
      </c>
      <c r="AC121" s="32">
        <f t="shared" si="75"/>
        <v>0</v>
      </c>
      <c r="AD121" s="32" t="b">
        <f t="shared" si="76"/>
        <v>1</v>
      </c>
      <c r="AE121" s="32">
        <f>IF($X121=0,0,$X121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121+$Z121)/2,0),Reference!$A$17:$B$20,2,TRUE()))</f>
        <v>0</v>
      </c>
      <c r="AF121" s="32">
        <f>IF(OR($A121="",$U121="",$T121="No Throw"),0,$AM121*VLOOKUP(MAX(($V121+$W121)/2,0),Reference!$A$17:$B$20,2,TRUE()))</f>
        <v>0</v>
      </c>
      <c r="AG121" s="32">
        <f>IF($AC121=0,0,$AC121*INDEX(Reference!$B$61:$B$62,MATCH("Bullpen",Reference!$A$61:$A$62,0))*VLOOKUP(MAX($D$5-($D$9+$E$9)/2,0),Reference!$A$17:$B$20,2,TRUE()))</f>
        <v>0</v>
      </c>
      <c r="AH121" s="32" t="e">
        <f t="shared" si="77"/>
        <v>#N/A</v>
      </c>
      <c r="AI121" s="32" t="e">
        <f>IF($A121="",NA(),Reference!$A$25)</f>
        <v>#N/A</v>
      </c>
      <c r="AJ121" s="32" t="e">
        <f t="shared" si="78"/>
        <v>#N/A</v>
      </c>
      <c r="AK121" s="32">
        <f>IF(OR($A121="",N($C121)&lt;=7,$T121="No Throw",$J121="x"),0,INDEX(Reference!$B$108:$B$114,$N121+1))</f>
        <v>0</v>
      </c>
      <c r="AL121" s="32">
        <f t="shared" si="79"/>
        <v>1</v>
      </c>
      <c r="AM121" s="32">
        <f>IF($U121="",0,IF($AL121&gt;1,((IF(1&lt;=$AL121,($AL121-1+3)*(INDEX(Reference!$B$6:$B$11,MIN(5,MATCH(MAX(Reference!$A$6,MIN(Reference!$A$11,MIN($U121,90))),Reference!$A$6:$A$11,1)))+(MAX(Reference!$A$6,MIN(Reference!$A$11,MIN($U121,90)))-INDEX(Reference!$A$6:$A$11,MIN(5,MATCH(MAX(Reference!$A$6,MIN(Reference!$A$11,MIN($U121,90))),Reference!$A$6:$A$11,1))))*(INDEX(Reference!$B$6:$B$11,MIN(5,MATCH(MAX(Reference!$A$6,MIN(Reference!$A$11,MIN($U121,90))),Reference!$A$6:$A$11,1))+1)-INDEX(Reference!$B$6:$B$11,MIN(5,MATCH(MAX(Reference!$A$6,MIN(Reference!$A$11,MIN($U121,90))),Reference!$A$6:$A$11,1))))/(INDEX(Reference!$A$6:$A$11,MIN(5,MATCH(MAX(Reference!$A$6,MIN(Reference!$A$11,MIN($U121,90))),Reference!$A$6:$A$11,1))+1)-INDEX(Reference!$A$6:$A$11,MIN(5,MATCH(MAX(Reference!$A$6,MIN(Reference!$A$11,MIN($U121,90))),Reference!$A$6:$A$11,1))))),0)+IF(2&lt;=$AL121,($AL121-2+3)*(INDEX(Reference!$B$6:$B$11,MIN(5,MATCH(MAX(Reference!$A$6,MIN(Reference!$A$11,MIN($U121,120))),Reference!$A$6:$A$11,1)))+(MAX(Reference!$A$6,MIN(Reference!$A$11,MIN($U121,120)))-INDEX(Reference!$A$6:$A$11,MIN(5,MATCH(MAX(Reference!$A$6,MIN(Reference!$A$11,MIN($U121,120))),Reference!$A$6:$A$11,1))))*(INDEX(Reference!$B$6:$B$11,MIN(5,MATCH(MAX(Reference!$A$6,MIN(Reference!$A$11,MIN($U121,120))),Reference!$A$6:$A$11,1))+1)-INDEX(Reference!$B$6:$B$11,MIN(5,MATCH(MAX(Reference!$A$6,MIN(Reference!$A$11,MIN($U121,120))),Reference!$A$6:$A$11,1))))/(INDEX(Reference!$A$6:$A$11,MIN(5,MATCH(MAX(Reference!$A$6,MIN(Reference!$A$11,MIN($U121,120))),Reference!$A$6:$A$11,1))+1)-INDEX(Reference!$A$6:$A$11,MIN(5,MATCH(MAX(Reference!$A$6,MIN(Reference!$A$11,MIN($U121,120))),Reference!$A$6:$A$11,1))))),0)+IF(3&lt;=$AL121,($AL121-3+3)*(INDEX(Reference!$B$6:$B$11,MIN(5,MATCH(MAX(Reference!$A$6,MIN(Reference!$A$11,MIN($U121,150))),Reference!$A$6:$A$11,1)))+(MAX(Reference!$A$6,MIN(Reference!$A$11,MIN($U121,150)))-INDEX(Reference!$A$6:$A$11,MIN(5,MATCH(MAX(Reference!$A$6,MIN(Reference!$A$11,MIN($U121,150))),Reference!$A$6:$A$11,1))))*(INDEX(Reference!$B$6:$B$11,MIN(5,MATCH(MAX(Reference!$A$6,MIN(Reference!$A$11,MIN($U121,150))),Reference!$A$6:$A$11,1))+1)-INDEX(Reference!$B$6:$B$11,MIN(5,MATCH(MAX(Reference!$A$6,MIN(Reference!$A$11,MIN($U121,150))),Reference!$A$6:$A$11,1))))/(INDEX(Reference!$A$6:$A$11,MIN(5,MATCH(MAX(Reference!$A$6,MIN(Reference!$A$11,MIN($U121,150))),Reference!$A$6:$A$11,1))+1)-INDEX(Reference!$A$6:$A$11,MIN(5,MATCH(MAX(Reference!$A$6,MIN(Reference!$A$11,MIN($U121,150))),Reference!$A$6:$A$11,1))))),0)+IF(4&lt;=$AL121,($AL121-4+3)*(INDEX(Reference!$B$6:$B$11,MIN(5,MATCH(MAX(Reference!$A$6,MIN(Reference!$A$11,MIN($U121,180))),Reference!$A$6:$A$11,1)))+(MAX(Reference!$A$6,MIN(Reference!$A$11,MIN($U121,180)))-INDEX(Reference!$A$6:$A$11,MIN(5,MATCH(MAX(Reference!$A$6,MIN(Reference!$A$11,MIN($U121,180))),Reference!$A$6:$A$11,1))))*(INDEX(Reference!$B$6:$B$11,MIN(5,MATCH(MAX(Reference!$A$6,MIN(Reference!$A$11,MIN($U121,180))),Reference!$A$6:$A$11,1))+1)-INDEX(Reference!$B$6:$B$11,MIN(5,MATCH(MAX(Reference!$A$6,MIN(Reference!$A$11,MIN($U121,180))),Reference!$A$6:$A$11,1))))/(INDEX(Reference!$A$6:$A$11,MIN(5,MATCH(MAX(Reference!$A$6,MIN(Reference!$A$11,MIN($U121,180))),Reference!$A$6:$A$11,1))+1)-INDEX(Reference!$A$6:$A$11,MIN(5,MATCH(MAX(Reference!$A$6,MIN(Reference!$A$11,MIN($U121,180))),Reference!$A$6:$A$11,1))))),0)+IF(5&lt;=$AL121,($AL121-5+3)*(INDEX(Reference!$B$6:$B$11,MIN(5,MATCH(MAX(Reference!$A$6,MIN(Reference!$A$11,MIN($U121,210))),Reference!$A$6:$A$11,1)))+(MAX(Reference!$A$6,MIN(Reference!$A$11,MIN($U121,210)))-INDEX(Reference!$A$6:$A$11,MIN(5,MATCH(MAX(Reference!$A$6,MIN(Reference!$A$11,MIN($U121,210))),Reference!$A$6:$A$11,1))))*(INDEX(Reference!$B$6:$B$11,MIN(5,MATCH(MAX(Reference!$A$6,MIN(Reference!$A$11,MIN($U121,210))),Reference!$A$6:$A$11,1))+1)-INDEX(Reference!$B$6:$B$11,MIN(5,MATCH(MAX(Reference!$A$6,MIN(Reference!$A$11,MIN($U121,210))),Reference!$A$6:$A$11,1))))/(INDEX(Reference!$A$6:$A$11,MIN(5,MATCH(MAX(Reference!$A$6,MIN(Reference!$A$11,MIN($U121,210))),Reference!$A$6:$A$11,1))+1)-INDEX(Reference!$A$6:$A$11,MIN(5,MATCH(MAX(Reference!$A$6,MIN(Reference!$A$11,MIN($U121,210))),Reference!$A$6:$A$11,1))))),0)+IF(6&lt;=$AL121,($AL121-6+3)*(INDEX(Reference!$B$6:$B$11,MIN(5,MATCH(MAX(Reference!$A$6,MIN(Reference!$A$11,MIN($U121,240))),Reference!$A$6:$A$11,1)))+(MAX(Reference!$A$6,MIN(Reference!$A$11,MIN($U121,240)))-INDEX(Reference!$A$6:$A$11,MIN(5,MATCH(MAX(Reference!$A$6,MIN(Reference!$A$11,MIN($U121,240))),Reference!$A$6:$A$11,1))))*(INDEX(Reference!$B$6:$B$11,MIN(5,MATCH(MAX(Reference!$A$6,MIN(Reference!$A$11,MIN($U121,240))),Reference!$A$6:$A$11,1))+1)-INDEX(Reference!$B$6:$B$11,MIN(5,MATCH(MAX(Reference!$A$6,MIN(Reference!$A$11,MIN($U121,240))),Reference!$A$6:$A$11,1))))/(INDEX(Reference!$A$6:$A$11,MIN(5,MATCH(MAX(Reference!$A$6,MIN(Reference!$A$11,MIN($U121,240))),Reference!$A$6:$A$11,1))+1)-INDEX(Reference!$A$6:$A$11,MIN(5,MATCH(MAX(Reference!$A$6,MIN(Reference!$A$11,MIN($U121,240))),Reference!$A$6:$A$11,1))))),0)+IF(7&lt;=$AL121,($AL121-7+3)*(INDEX(Reference!$B$6:$B$11,MIN(5,MATCH(MAX(Reference!$A$6,MIN(Reference!$A$11,MIN($U121,270))),Reference!$A$6:$A$11,1)))+(MAX(Reference!$A$6,MIN(Reference!$A$11,MIN($U121,270)))-INDEX(Reference!$A$6:$A$11,MIN(5,MATCH(MAX(Reference!$A$6,MIN(Reference!$A$11,MIN($U121,270))),Reference!$A$6:$A$11,1))))*(INDEX(Reference!$B$6:$B$11,MIN(5,MATCH(MAX(Reference!$A$6,MIN(Reference!$A$11,MIN($U121,270))),Reference!$A$6:$A$11,1))+1)-INDEX(Reference!$B$6:$B$11,MIN(5,MATCH(MAX(Reference!$A$6,MIN(Reference!$A$11,MIN($U121,270))),Reference!$A$6:$A$11,1))))/(INDEX(Reference!$A$6:$A$11,MIN(5,MATCH(MAX(Reference!$A$6,MIN(Reference!$A$11,MIN($U121,270))),Reference!$A$6:$A$11,1))+1)-INDEX(Reference!$A$6:$A$11,MIN(5,MATCH(MAX(Reference!$A$6,MIN(Reference!$A$11,MIN($U121,270))),Reference!$A$6:$A$11,1))))),0)+IF(8&lt;=$AL121,($AL121-8+3)*(INDEX(Reference!$B$6:$B$11,MIN(5,MATCH(MAX(Reference!$A$6,MIN(Reference!$A$11,MIN($U121,300))),Reference!$A$6:$A$11,1)))+(MAX(Reference!$A$6,MIN(Reference!$A$11,MIN($U121,300)))-INDEX(Reference!$A$6:$A$11,MIN(5,MATCH(MAX(Reference!$A$6,MIN(Reference!$A$11,MIN($U121,300))),Reference!$A$6:$A$11,1))))*(INDEX(Reference!$B$6:$B$11,MIN(5,MATCH(MAX(Reference!$A$6,MIN(Reference!$A$11,MIN($U121,300))),Reference!$A$6:$A$11,1))+1)-INDEX(Reference!$B$6:$B$11,MIN(5,MATCH(MAX(Reference!$A$6,MIN(Reference!$A$11,MIN($U121,300))),Reference!$A$6:$A$11,1))))/(INDEX(Reference!$A$6:$A$11,MIN(5,MATCH(MAX(Reference!$A$6,MIN(Reference!$A$11,MIN($U121,300))),Reference!$A$6:$A$11,1))+1)-INDEX(Reference!$A$6:$A$11,MIN(5,MATCH(MAX(Reference!$A$6,MIN(Reference!$A$11,MIN($U121,300))),Reference!$A$6:$A$11,1))))),0))/($AL121*($AL121+5)/2)),$AN121))</f>
        <v>0</v>
      </c>
      <c r="AN121" s="32">
        <f>IF($U121="",0,(INDEX(Reference!$B$6:$B$11,MIN(5,MATCH(MAX(Reference!$A$6,MIN(Reference!$A$11,$U121)),Reference!$A$6:$A$11,1)))+(MAX(Reference!$A$6,MIN(Reference!$A$11,$U121))-INDEX(Reference!$A$6:$A$11,MIN(5,MATCH(MAX(Reference!$A$6,MIN(Reference!$A$11,$U121)),Reference!$A$6:$A$11,1))))*(INDEX(Reference!$B$6:$B$11,MIN(5,MATCH(MAX(Reference!$A$6,MIN(Reference!$A$11,$U121)),Reference!$A$6:$A$11,1))+1)-INDEX(Reference!$B$6:$B$11,MIN(5,MATCH(MAX(Reference!$A$6,MIN(Reference!$A$11,$U121)),Reference!$A$6:$A$11,1))))/(INDEX(Reference!$A$6:$A$11,MIN(5,MATCH(MAX(Reference!$A$6,MIN(Reference!$A$11,$U121)),Reference!$A$6:$A$11,1))+1)-INDEX(Reference!$A$6:$A$11,MIN(5,MATCH(MAX(Reference!$A$6,MIN(Reference!$A$11,$U121)),Reference!$A$6:$A$11,1))))))</f>
        <v>0</v>
      </c>
      <c r="AO121" s="37"/>
      <c r="AP121" s="37"/>
      <c r="AQ121" s="37"/>
    </row>
    <row r="122" spans="1:43" x14ac:dyDescent="0.3">
      <c r="A122" s="48" t="str">
        <f t="shared" si="55"/>
        <v/>
      </c>
      <c r="B122" s="32" t="str">
        <f t="shared" si="56"/>
        <v/>
      </c>
      <c r="C122" s="32" t="str">
        <f t="shared" si="57"/>
        <v/>
      </c>
      <c r="D122" s="32" t="str">
        <f t="shared" si="58"/>
        <v/>
      </c>
      <c r="E122" s="32" t="str">
        <f t="shared" si="59"/>
        <v/>
      </c>
      <c r="F122" s="32" t="str">
        <f t="shared" si="60"/>
        <v/>
      </c>
      <c r="G122" s="47" t="str">
        <f t="shared" si="61"/>
        <v/>
      </c>
      <c r="H122" s="30" t="str">
        <f t="shared" si="62"/>
        <v/>
      </c>
      <c r="I122" s="46" t="str">
        <f>IF($A122="","",IF(AND($L122&lt;27,$K$12=0),"Building",IFERROR(((SUM($H$116:$H122)+$K$12*IF($L122&lt;6,SUMIFS('Throw Log'!$Q$5:$Q$300,'Throw Log'!$B$5:$B$300,$D$4,'Throw Log'!$A$5:$A$300,"&gt;="&amp;($D$6+$L122-6),'Throw Log'!$A$5:$A$300,"&lt;="&amp;($D$6-1)),0))/7)/((SUM($H$95:$H122)+$K$12*IF($L122&lt;27,SUMIFS('Throw Log'!$Q$5:$Q$300,'Throw Log'!$B$5:$B$300,$D$4,'Throw Log'!$A$5:$A$300,"&gt;="&amp;($D$6+$L122-27),'Throw Log'!$A$5:$A$300,"&lt;="&amp;($D$6-1)),0))/28),"")))</f>
        <v/>
      </c>
      <c r="J122" s="37"/>
      <c r="K122" s="37"/>
      <c r="L122" s="32">
        <v>79</v>
      </c>
      <c r="M122" s="32">
        <f t="shared" si="63"/>
        <v>12</v>
      </c>
      <c r="N122" s="32">
        <f t="shared" si="64"/>
        <v>2</v>
      </c>
      <c r="O122" s="32">
        <f t="shared" si="65"/>
        <v>1</v>
      </c>
      <c r="P122" s="32" t="str">
        <f>IF(OR($A122="",N($C122)&lt;=7),"",$G$6*$G$9^($M122-1)*IF(AND(MOD($M122,Reference!$B$99)=0,$M122&lt;=$G$5-2),Reference!$B$100,1))</f>
        <v/>
      </c>
      <c r="Q122" s="32" t="str">
        <f>IF($P122="","",IF(SUM($AK$120:$AK$126)=0,0,$P122*INDEX(Reference!$B$108:$B$114,$N122+1)/SUM($AK$120:$AK$126)))</f>
        <v/>
      </c>
      <c r="R122" s="32">
        <f t="shared" si="66"/>
        <v>120</v>
      </c>
      <c r="S122" s="32">
        <f t="shared" si="67"/>
        <v>105</v>
      </c>
      <c r="T122" s="32" t="str">
        <f>IF($A122="","",IF($C122=0,"Bullpen",IF(OR($C122=7,$C122=1,$C122=5),"Recovery/Easy Catch",IF($C122=6,"Compression/Pulldowns",IF(OR($C122=4,$C122=2),"Long Toss",IF($C122=3,"No Throw",IF($N122=2,"No Throw",IF($N122=6,IF($O122&lt;Reference!$B$104,"No Throw","Recovery/Easy Catch"),IF(OR($N122=0,$N122=4),"Recovery/Easy Catch",IF($N122=1,IF($R122&gt;75,"Long Toss","Recovery/Easy Catch"),IF($N122=3,IF($O122&lt;0.5,IF($S122&gt;75,"Long Toss","Recovery/Easy Catch"),"Compression/Pulldowns"),IF($S122&gt;75,"Long Toss","Recovery/Easy Catch"))))))))))))</f>
        <v/>
      </c>
      <c r="U122" s="32" t="str">
        <f t="shared" si="68"/>
        <v/>
      </c>
      <c r="V122" s="32" t="str">
        <f t="shared" si="69"/>
        <v/>
      </c>
      <c r="W122" s="32" t="str">
        <f t="shared" si="70"/>
        <v/>
      </c>
      <c r="X122" s="32">
        <f t="shared" si="71"/>
        <v>0</v>
      </c>
      <c r="Y122" s="32" t="str">
        <f t="shared" si="72"/>
        <v/>
      </c>
      <c r="Z122" s="32" t="str">
        <f t="shared" si="73"/>
        <v/>
      </c>
      <c r="AA122" s="32" t="str">
        <f t="shared" si="74"/>
        <v/>
      </c>
      <c r="AB122" s="32" t="str">
        <f>IF($A122="","",IF($T122="No Throw",0,IF($K122&lt;&gt;"",$K122,IF($AA122&lt;&gt;"",ROUND($AA122*$D$12*IF($C122=0,1,$G$10),0),MIN(IF($T122="Recovery/Easy Catch",Reference!$B$103,IF($T122="Long Toss",Reference!$B$106,Reference!$B$102)),MAX(Reference!$B$101,ROUND(MAX(0,$Q122-$AE122)/$AF122,0)))))))</f>
        <v/>
      </c>
      <c r="AC122" s="32">
        <f t="shared" si="75"/>
        <v>0</v>
      </c>
      <c r="AD122" s="32" t="b">
        <f t="shared" si="76"/>
        <v>1</v>
      </c>
      <c r="AE122" s="32">
        <f>IF($X122=0,0,$X122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122+$Z122)/2,0),Reference!$A$17:$B$20,2,TRUE()))</f>
        <v>0</v>
      </c>
      <c r="AF122" s="32">
        <f>IF(OR($A122="",$U122="",$T122="No Throw"),0,$AM122*VLOOKUP(MAX(($V122+$W122)/2,0),Reference!$A$17:$B$20,2,TRUE()))</f>
        <v>0</v>
      </c>
      <c r="AG122" s="32">
        <f>IF($AC122=0,0,$AC122*INDEX(Reference!$B$61:$B$62,MATCH("Bullpen",Reference!$A$61:$A$62,0))*VLOOKUP(MAX($D$5-($D$9+$E$9)/2,0),Reference!$A$17:$B$20,2,TRUE()))</f>
        <v>0</v>
      </c>
      <c r="AH122" s="32" t="e">
        <f t="shared" si="77"/>
        <v>#N/A</v>
      </c>
      <c r="AI122" s="32" t="e">
        <f>IF($A122="",NA(),Reference!$A$25)</f>
        <v>#N/A</v>
      </c>
      <c r="AJ122" s="32" t="e">
        <f t="shared" si="78"/>
        <v>#N/A</v>
      </c>
      <c r="AK122" s="32">
        <f>IF(OR($A122="",N($C122)&lt;=7,$T122="No Throw",$J122="x"),0,INDEX(Reference!$B$108:$B$114,$N122+1))</f>
        <v>0</v>
      </c>
      <c r="AL122" s="32">
        <f t="shared" si="79"/>
        <v>1</v>
      </c>
      <c r="AM122" s="32">
        <f>IF($U122="",0,IF($AL122&gt;1,((IF(1&lt;=$AL122,($AL122-1+3)*(INDEX(Reference!$B$6:$B$11,MIN(5,MATCH(MAX(Reference!$A$6,MIN(Reference!$A$11,MIN($U122,90))),Reference!$A$6:$A$11,1)))+(MAX(Reference!$A$6,MIN(Reference!$A$11,MIN($U122,90)))-INDEX(Reference!$A$6:$A$11,MIN(5,MATCH(MAX(Reference!$A$6,MIN(Reference!$A$11,MIN($U122,90))),Reference!$A$6:$A$11,1))))*(INDEX(Reference!$B$6:$B$11,MIN(5,MATCH(MAX(Reference!$A$6,MIN(Reference!$A$11,MIN($U122,90))),Reference!$A$6:$A$11,1))+1)-INDEX(Reference!$B$6:$B$11,MIN(5,MATCH(MAX(Reference!$A$6,MIN(Reference!$A$11,MIN($U122,90))),Reference!$A$6:$A$11,1))))/(INDEX(Reference!$A$6:$A$11,MIN(5,MATCH(MAX(Reference!$A$6,MIN(Reference!$A$11,MIN($U122,90))),Reference!$A$6:$A$11,1))+1)-INDEX(Reference!$A$6:$A$11,MIN(5,MATCH(MAX(Reference!$A$6,MIN(Reference!$A$11,MIN($U122,90))),Reference!$A$6:$A$11,1))))),0)+IF(2&lt;=$AL122,($AL122-2+3)*(INDEX(Reference!$B$6:$B$11,MIN(5,MATCH(MAX(Reference!$A$6,MIN(Reference!$A$11,MIN($U122,120))),Reference!$A$6:$A$11,1)))+(MAX(Reference!$A$6,MIN(Reference!$A$11,MIN($U122,120)))-INDEX(Reference!$A$6:$A$11,MIN(5,MATCH(MAX(Reference!$A$6,MIN(Reference!$A$11,MIN($U122,120))),Reference!$A$6:$A$11,1))))*(INDEX(Reference!$B$6:$B$11,MIN(5,MATCH(MAX(Reference!$A$6,MIN(Reference!$A$11,MIN($U122,120))),Reference!$A$6:$A$11,1))+1)-INDEX(Reference!$B$6:$B$11,MIN(5,MATCH(MAX(Reference!$A$6,MIN(Reference!$A$11,MIN($U122,120))),Reference!$A$6:$A$11,1))))/(INDEX(Reference!$A$6:$A$11,MIN(5,MATCH(MAX(Reference!$A$6,MIN(Reference!$A$11,MIN($U122,120))),Reference!$A$6:$A$11,1))+1)-INDEX(Reference!$A$6:$A$11,MIN(5,MATCH(MAX(Reference!$A$6,MIN(Reference!$A$11,MIN($U122,120))),Reference!$A$6:$A$11,1))))),0)+IF(3&lt;=$AL122,($AL122-3+3)*(INDEX(Reference!$B$6:$B$11,MIN(5,MATCH(MAX(Reference!$A$6,MIN(Reference!$A$11,MIN($U122,150))),Reference!$A$6:$A$11,1)))+(MAX(Reference!$A$6,MIN(Reference!$A$11,MIN($U122,150)))-INDEX(Reference!$A$6:$A$11,MIN(5,MATCH(MAX(Reference!$A$6,MIN(Reference!$A$11,MIN($U122,150))),Reference!$A$6:$A$11,1))))*(INDEX(Reference!$B$6:$B$11,MIN(5,MATCH(MAX(Reference!$A$6,MIN(Reference!$A$11,MIN($U122,150))),Reference!$A$6:$A$11,1))+1)-INDEX(Reference!$B$6:$B$11,MIN(5,MATCH(MAX(Reference!$A$6,MIN(Reference!$A$11,MIN($U122,150))),Reference!$A$6:$A$11,1))))/(INDEX(Reference!$A$6:$A$11,MIN(5,MATCH(MAX(Reference!$A$6,MIN(Reference!$A$11,MIN($U122,150))),Reference!$A$6:$A$11,1))+1)-INDEX(Reference!$A$6:$A$11,MIN(5,MATCH(MAX(Reference!$A$6,MIN(Reference!$A$11,MIN($U122,150))),Reference!$A$6:$A$11,1))))),0)+IF(4&lt;=$AL122,($AL122-4+3)*(INDEX(Reference!$B$6:$B$11,MIN(5,MATCH(MAX(Reference!$A$6,MIN(Reference!$A$11,MIN($U122,180))),Reference!$A$6:$A$11,1)))+(MAX(Reference!$A$6,MIN(Reference!$A$11,MIN($U122,180)))-INDEX(Reference!$A$6:$A$11,MIN(5,MATCH(MAX(Reference!$A$6,MIN(Reference!$A$11,MIN($U122,180))),Reference!$A$6:$A$11,1))))*(INDEX(Reference!$B$6:$B$11,MIN(5,MATCH(MAX(Reference!$A$6,MIN(Reference!$A$11,MIN($U122,180))),Reference!$A$6:$A$11,1))+1)-INDEX(Reference!$B$6:$B$11,MIN(5,MATCH(MAX(Reference!$A$6,MIN(Reference!$A$11,MIN($U122,180))),Reference!$A$6:$A$11,1))))/(INDEX(Reference!$A$6:$A$11,MIN(5,MATCH(MAX(Reference!$A$6,MIN(Reference!$A$11,MIN($U122,180))),Reference!$A$6:$A$11,1))+1)-INDEX(Reference!$A$6:$A$11,MIN(5,MATCH(MAX(Reference!$A$6,MIN(Reference!$A$11,MIN($U122,180))),Reference!$A$6:$A$11,1))))),0)+IF(5&lt;=$AL122,($AL122-5+3)*(INDEX(Reference!$B$6:$B$11,MIN(5,MATCH(MAX(Reference!$A$6,MIN(Reference!$A$11,MIN($U122,210))),Reference!$A$6:$A$11,1)))+(MAX(Reference!$A$6,MIN(Reference!$A$11,MIN($U122,210)))-INDEX(Reference!$A$6:$A$11,MIN(5,MATCH(MAX(Reference!$A$6,MIN(Reference!$A$11,MIN($U122,210))),Reference!$A$6:$A$11,1))))*(INDEX(Reference!$B$6:$B$11,MIN(5,MATCH(MAX(Reference!$A$6,MIN(Reference!$A$11,MIN($U122,210))),Reference!$A$6:$A$11,1))+1)-INDEX(Reference!$B$6:$B$11,MIN(5,MATCH(MAX(Reference!$A$6,MIN(Reference!$A$11,MIN($U122,210))),Reference!$A$6:$A$11,1))))/(INDEX(Reference!$A$6:$A$11,MIN(5,MATCH(MAX(Reference!$A$6,MIN(Reference!$A$11,MIN($U122,210))),Reference!$A$6:$A$11,1))+1)-INDEX(Reference!$A$6:$A$11,MIN(5,MATCH(MAX(Reference!$A$6,MIN(Reference!$A$11,MIN($U122,210))),Reference!$A$6:$A$11,1))))),0)+IF(6&lt;=$AL122,($AL122-6+3)*(INDEX(Reference!$B$6:$B$11,MIN(5,MATCH(MAX(Reference!$A$6,MIN(Reference!$A$11,MIN($U122,240))),Reference!$A$6:$A$11,1)))+(MAX(Reference!$A$6,MIN(Reference!$A$11,MIN($U122,240)))-INDEX(Reference!$A$6:$A$11,MIN(5,MATCH(MAX(Reference!$A$6,MIN(Reference!$A$11,MIN($U122,240))),Reference!$A$6:$A$11,1))))*(INDEX(Reference!$B$6:$B$11,MIN(5,MATCH(MAX(Reference!$A$6,MIN(Reference!$A$11,MIN($U122,240))),Reference!$A$6:$A$11,1))+1)-INDEX(Reference!$B$6:$B$11,MIN(5,MATCH(MAX(Reference!$A$6,MIN(Reference!$A$11,MIN($U122,240))),Reference!$A$6:$A$11,1))))/(INDEX(Reference!$A$6:$A$11,MIN(5,MATCH(MAX(Reference!$A$6,MIN(Reference!$A$11,MIN($U122,240))),Reference!$A$6:$A$11,1))+1)-INDEX(Reference!$A$6:$A$11,MIN(5,MATCH(MAX(Reference!$A$6,MIN(Reference!$A$11,MIN($U122,240))),Reference!$A$6:$A$11,1))))),0)+IF(7&lt;=$AL122,($AL122-7+3)*(INDEX(Reference!$B$6:$B$11,MIN(5,MATCH(MAX(Reference!$A$6,MIN(Reference!$A$11,MIN($U122,270))),Reference!$A$6:$A$11,1)))+(MAX(Reference!$A$6,MIN(Reference!$A$11,MIN($U122,270)))-INDEX(Reference!$A$6:$A$11,MIN(5,MATCH(MAX(Reference!$A$6,MIN(Reference!$A$11,MIN($U122,270))),Reference!$A$6:$A$11,1))))*(INDEX(Reference!$B$6:$B$11,MIN(5,MATCH(MAX(Reference!$A$6,MIN(Reference!$A$11,MIN($U122,270))),Reference!$A$6:$A$11,1))+1)-INDEX(Reference!$B$6:$B$11,MIN(5,MATCH(MAX(Reference!$A$6,MIN(Reference!$A$11,MIN($U122,270))),Reference!$A$6:$A$11,1))))/(INDEX(Reference!$A$6:$A$11,MIN(5,MATCH(MAX(Reference!$A$6,MIN(Reference!$A$11,MIN($U122,270))),Reference!$A$6:$A$11,1))+1)-INDEX(Reference!$A$6:$A$11,MIN(5,MATCH(MAX(Reference!$A$6,MIN(Reference!$A$11,MIN($U122,270))),Reference!$A$6:$A$11,1))))),0)+IF(8&lt;=$AL122,($AL122-8+3)*(INDEX(Reference!$B$6:$B$11,MIN(5,MATCH(MAX(Reference!$A$6,MIN(Reference!$A$11,MIN($U122,300))),Reference!$A$6:$A$11,1)))+(MAX(Reference!$A$6,MIN(Reference!$A$11,MIN($U122,300)))-INDEX(Reference!$A$6:$A$11,MIN(5,MATCH(MAX(Reference!$A$6,MIN(Reference!$A$11,MIN($U122,300))),Reference!$A$6:$A$11,1))))*(INDEX(Reference!$B$6:$B$11,MIN(5,MATCH(MAX(Reference!$A$6,MIN(Reference!$A$11,MIN($U122,300))),Reference!$A$6:$A$11,1))+1)-INDEX(Reference!$B$6:$B$11,MIN(5,MATCH(MAX(Reference!$A$6,MIN(Reference!$A$11,MIN($U122,300))),Reference!$A$6:$A$11,1))))/(INDEX(Reference!$A$6:$A$11,MIN(5,MATCH(MAX(Reference!$A$6,MIN(Reference!$A$11,MIN($U122,300))),Reference!$A$6:$A$11,1))+1)-INDEX(Reference!$A$6:$A$11,MIN(5,MATCH(MAX(Reference!$A$6,MIN(Reference!$A$11,MIN($U122,300))),Reference!$A$6:$A$11,1))))),0))/($AL122*($AL122+5)/2)),$AN122))</f>
        <v>0</v>
      </c>
      <c r="AN122" s="32">
        <f>IF($U122="",0,(INDEX(Reference!$B$6:$B$11,MIN(5,MATCH(MAX(Reference!$A$6,MIN(Reference!$A$11,$U122)),Reference!$A$6:$A$11,1)))+(MAX(Reference!$A$6,MIN(Reference!$A$11,$U122))-INDEX(Reference!$A$6:$A$11,MIN(5,MATCH(MAX(Reference!$A$6,MIN(Reference!$A$11,$U122)),Reference!$A$6:$A$11,1))))*(INDEX(Reference!$B$6:$B$11,MIN(5,MATCH(MAX(Reference!$A$6,MIN(Reference!$A$11,$U122)),Reference!$A$6:$A$11,1))+1)-INDEX(Reference!$B$6:$B$11,MIN(5,MATCH(MAX(Reference!$A$6,MIN(Reference!$A$11,$U122)),Reference!$A$6:$A$11,1))))/(INDEX(Reference!$A$6:$A$11,MIN(5,MATCH(MAX(Reference!$A$6,MIN(Reference!$A$11,$U122)),Reference!$A$6:$A$11,1))+1)-INDEX(Reference!$A$6:$A$11,MIN(5,MATCH(MAX(Reference!$A$6,MIN(Reference!$A$11,$U122)),Reference!$A$6:$A$11,1))))))</f>
        <v>0</v>
      </c>
      <c r="AO122" s="37"/>
      <c r="AP122" s="37"/>
      <c r="AQ122" s="37"/>
    </row>
    <row r="123" spans="1:43" x14ac:dyDescent="0.3">
      <c r="A123" s="48" t="str">
        <f t="shared" si="55"/>
        <v/>
      </c>
      <c r="B123" s="32" t="str">
        <f t="shared" si="56"/>
        <v/>
      </c>
      <c r="C123" s="32" t="str">
        <f t="shared" si="57"/>
        <v/>
      </c>
      <c r="D123" s="32" t="str">
        <f t="shared" si="58"/>
        <v/>
      </c>
      <c r="E123" s="32" t="str">
        <f t="shared" si="59"/>
        <v/>
      </c>
      <c r="F123" s="32" t="str">
        <f t="shared" si="60"/>
        <v/>
      </c>
      <c r="G123" s="47" t="str">
        <f t="shared" si="61"/>
        <v/>
      </c>
      <c r="H123" s="30" t="str">
        <f t="shared" si="62"/>
        <v/>
      </c>
      <c r="I123" s="46" t="str">
        <f>IF($A123="","",IF(AND($L123&lt;27,$K$12=0),"Building",IFERROR(((SUM($H$117:$H123)+$K$12*IF($L123&lt;6,SUMIFS('Throw Log'!$Q$5:$Q$300,'Throw Log'!$B$5:$B$300,$D$4,'Throw Log'!$A$5:$A$300,"&gt;="&amp;($D$6+$L123-6),'Throw Log'!$A$5:$A$300,"&lt;="&amp;($D$6-1)),0))/7)/((SUM($H$96:$H123)+$K$12*IF($L123&lt;27,SUMIFS('Throw Log'!$Q$5:$Q$300,'Throw Log'!$B$5:$B$300,$D$4,'Throw Log'!$A$5:$A$300,"&gt;="&amp;($D$6+$L123-27),'Throw Log'!$A$5:$A$300,"&lt;="&amp;($D$6-1)),0))/28),"")))</f>
        <v/>
      </c>
      <c r="J123" s="37"/>
      <c r="K123" s="37"/>
      <c r="L123" s="32">
        <v>80</v>
      </c>
      <c r="M123" s="32">
        <f t="shared" si="63"/>
        <v>12</v>
      </c>
      <c r="N123" s="32">
        <f t="shared" si="64"/>
        <v>3</v>
      </c>
      <c r="O123" s="32">
        <f t="shared" si="65"/>
        <v>1</v>
      </c>
      <c r="P123" s="32" t="str">
        <f>IF(OR($A123="",N($C123)&lt;=7),"",$G$6*$G$9^($M123-1)*IF(AND(MOD($M123,Reference!$B$99)=0,$M123&lt;=$G$5-2),Reference!$B$100,1))</f>
        <v/>
      </c>
      <c r="Q123" s="32" t="str">
        <f>IF($P123="","",IF(SUM($AK$120:$AK$126)=0,0,$P123*INDEX(Reference!$B$108:$B$114,$N123+1)/SUM($AK$120:$AK$126)))</f>
        <v/>
      </c>
      <c r="R123" s="32">
        <f t="shared" si="66"/>
        <v>120</v>
      </c>
      <c r="S123" s="32">
        <f t="shared" si="67"/>
        <v>105</v>
      </c>
      <c r="T123" s="32" t="str">
        <f>IF($A123="","",IF($C123=0,"Bullpen",IF(OR($C123=7,$C123=1,$C123=5),"Recovery/Easy Catch",IF($C123=6,"Compression/Pulldowns",IF(OR($C123=4,$C123=2),"Long Toss",IF($C123=3,"No Throw",IF($N123=2,"No Throw",IF($N123=6,IF($O123&lt;Reference!$B$104,"No Throw","Recovery/Easy Catch"),IF(OR($N123=0,$N123=4),"Recovery/Easy Catch",IF($N123=1,IF($R123&gt;75,"Long Toss","Recovery/Easy Catch"),IF($N123=3,IF($O123&lt;0.5,IF($S123&gt;75,"Long Toss","Recovery/Easy Catch"),"Compression/Pulldowns"),IF($S123&gt;75,"Long Toss","Recovery/Easy Catch"))))))))))))</f>
        <v/>
      </c>
      <c r="U123" s="32" t="str">
        <f t="shared" si="68"/>
        <v/>
      </c>
      <c r="V123" s="32" t="str">
        <f t="shared" si="69"/>
        <v/>
      </c>
      <c r="W123" s="32" t="str">
        <f t="shared" si="70"/>
        <v/>
      </c>
      <c r="X123" s="32">
        <f t="shared" si="71"/>
        <v>0</v>
      </c>
      <c r="Y123" s="32" t="str">
        <f t="shared" si="72"/>
        <v/>
      </c>
      <c r="Z123" s="32" t="str">
        <f t="shared" si="73"/>
        <v/>
      </c>
      <c r="AA123" s="32" t="str">
        <f t="shared" si="74"/>
        <v/>
      </c>
      <c r="AB123" s="32" t="str">
        <f>IF($A123="","",IF($T123="No Throw",0,IF($K123&lt;&gt;"",$K123,IF($AA123&lt;&gt;"",ROUND($AA123*$D$12*IF($C123=0,1,$G$10),0),MIN(IF($T123="Recovery/Easy Catch",Reference!$B$103,IF($T123="Long Toss",Reference!$B$106,Reference!$B$102)),MAX(Reference!$B$101,ROUND(MAX(0,$Q123-$AE123)/$AF123,0)))))))</f>
        <v/>
      </c>
      <c r="AC123" s="32">
        <f t="shared" si="75"/>
        <v>0</v>
      </c>
      <c r="AD123" s="32" t="b">
        <f t="shared" si="76"/>
        <v>1</v>
      </c>
      <c r="AE123" s="32">
        <f>IF($X123=0,0,$X123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123+$Z123)/2,0),Reference!$A$17:$B$20,2,TRUE()))</f>
        <v>0</v>
      </c>
      <c r="AF123" s="32">
        <f>IF(OR($A123="",$U123="",$T123="No Throw"),0,$AM123*VLOOKUP(MAX(($V123+$W123)/2,0),Reference!$A$17:$B$20,2,TRUE()))</f>
        <v>0</v>
      </c>
      <c r="AG123" s="32">
        <f>IF($AC123=0,0,$AC123*INDEX(Reference!$B$61:$B$62,MATCH("Bullpen",Reference!$A$61:$A$62,0))*VLOOKUP(MAX($D$5-($D$9+$E$9)/2,0),Reference!$A$17:$B$20,2,TRUE()))</f>
        <v>0</v>
      </c>
      <c r="AH123" s="32" t="e">
        <f t="shared" si="77"/>
        <v>#N/A</v>
      </c>
      <c r="AI123" s="32" t="e">
        <f>IF($A123="",NA(),Reference!$A$25)</f>
        <v>#N/A</v>
      </c>
      <c r="AJ123" s="32" t="e">
        <f t="shared" si="78"/>
        <v>#N/A</v>
      </c>
      <c r="AK123" s="32">
        <f>IF(OR($A123="",N($C123)&lt;=7,$T123="No Throw",$J123="x"),0,INDEX(Reference!$B$108:$B$114,$N123+1))</f>
        <v>0</v>
      </c>
      <c r="AL123" s="32">
        <f t="shared" si="79"/>
        <v>1</v>
      </c>
      <c r="AM123" s="32">
        <f>IF($U123="",0,IF($AL123&gt;1,((IF(1&lt;=$AL123,($AL123-1+3)*(INDEX(Reference!$B$6:$B$11,MIN(5,MATCH(MAX(Reference!$A$6,MIN(Reference!$A$11,MIN($U123,90))),Reference!$A$6:$A$11,1)))+(MAX(Reference!$A$6,MIN(Reference!$A$11,MIN($U123,90)))-INDEX(Reference!$A$6:$A$11,MIN(5,MATCH(MAX(Reference!$A$6,MIN(Reference!$A$11,MIN($U123,90))),Reference!$A$6:$A$11,1))))*(INDEX(Reference!$B$6:$B$11,MIN(5,MATCH(MAX(Reference!$A$6,MIN(Reference!$A$11,MIN($U123,90))),Reference!$A$6:$A$11,1))+1)-INDEX(Reference!$B$6:$B$11,MIN(5,MATCH(MAX(Reference!$A$6,MIN(Reference!$A$11,MIN($U123,90))),Reference!$A$6:$A$11,1))))/(INDEX(Reference!$A$6:$A$11,MIN(5,MATCH(MAX(Reference!$A$6,MIN(Reference!$A$11,MIN($U123,90))),Reference!$A$6:$A$11,1))+1)-INDEX(Reference!$A$6:$A$11,MIN(5,MATCH(MAX(Reference!$A$6,MIN(Reference!$A$11,MIN($U123,90))),Reference!$A$6:$A$11,1))))),0)+IF(2&lt;=$AL123,($AL123-2+3)*(INDEX(Reference!$B$6:$B$11,MIN(5,MATCH(MAX(Reference!$A$6,MIN(Reference!$A$11,MIN($U123,120))),Reference!$A$6:$A$11,1)))+(MAX(Reference!$A$6,MIN(Reference!$A$11,MIN($U123,120)))-INDEX(Reference!$A$6:$A$11,MIN(5,MATCH(MAX(Reference!$A$6,MIN(Reference!$A$11,MIN($U123,120))),Reference!$A$6:$A$11,1))))*(INDEX(Reference!$B$6:$B$11,MIN(5,MATCH(MAX(Reference!$A$6,MIN(Reference!$A$11,MIN($U123,120))),Reference!$A$6:$A$11,1))+1)-INDEX(Reference!$B$6:$B$11,MIN(5,MATCH(MAX(Reference!$A$6,MIN(Reference!$A$11,MIN($U123,120))),Reference!$A$6:$A$11,1))))/(INDEX(Reference!$A$6:$A$11,MIN(5,MATCH(MAX(Reference!$A$6,MIN(Reference!$A$11,MIN($U123,120))),Reference!$A$6:$A$11,1))+1)-INDEX(Reference!$A$6:$A$11,MIN(5,MATCH(MAX(Reference!$A$6,MIN(Reference!$A$11,MIN($U123,120))),Reference!$A$6:$A$11,1))))),0)+IF(3&lt;=$AL123,($AL123-3+3)*(INDEX(Reference!$B$6:$B$11,MIN(5,MATCH(MAX(Reference!$A$6,MIN(Reference!$A$11,MIN($U123,150))),Reference!$A$6:$A$11,1)))+(MAX(Reference!$A$6,MIN(Reference!$A$11,MIN($U123,150)))-INDEX(Reference!$A$6:$A$11,MIN(5,MATCH(MAX(Reference!$A$6,MIN(Reference!$A$11,MIN($U123,150))),Reference!$A$6:$A$11,1))))*(INDEX(Reference!$B$6:$B$11,MIN(5,MATCH(MAX(Reference!$A$6,MIN(Reference!$A$11,MIN($U123,150))),Reference!$A$6:$A$11,1))+1)-INDEX(Reference!$B$6:$B$11,MIN(5,MATCH(MAX(Reference!$A$6,MIN(Reference!$A$11,MIN($U123,150))),Reference!$A$6:$A$11,1))))/(INDEX(Reference!$A$6:$A$11,MIN(5,MATCH(MAX(Reference!$A$6,MIN(Reference!$A$11,MIN($U123,150))),Reference!$A$6:$A$11,1))+1)-INDEX(Reference!$A$6:$A$11,MIN(5,MATCH(MAX(Reference!$A$6,MIN(Reference!$A$11,MIN($U123,150))),Reference!$A$6:$A$11,1))))),0)+IF(4&lt;=$AL123,($AL123-4+3)*(INDEX(Reference!$B$6:$B$11,MIN(5,MATCH(MAX(Reference!$A$6,MIN(Reference!$A$11,MIN($U123,180))),Reference!$A$6:$A$11,1)))+(MAX(Reference!$A$6,MIN(Reference!$A$11,MIN($U123,180)))-INDEX(Reference!$A$6:$A$11,MIN(5,MATCH(MAX(Reference!$A$6,MIN(Reference!$A$11,MIN($U123,180))),Reference!$A$6:$A$11,1))))*(INDEX(Reference!$B$6:$B$11,MIN(5,MATCH(MAX(Reference!$A$6,MIN(Reference!$A$11,MIN($U123,180))),Reference!$A$6:$A$11,1))+1)-INDEX(Reference!$B$6:$B$11,MIN(5,MATCH(MAX(Reference!$A$6,MIN(Reference!$A$11,MIN($U123,180))),Reference!$A$6:$A$11,1))))/(INDEX(Reference!$A$6:$A$11,MIN(5,MATCH(MAX(Reference!$A$6,MIN(Reference!$A$11,MIN($U123,180))),Reference!$A$6:$A$11,1))+1)-INDEX(Reference!$A$6:$A$11,MIN(5,MATCH(MAX(Reference!$A$6,MIN(Reference!$A$11,MIN($U123,180))),Reference!$A$6:$A$11,1))))),0)+IF(5&lt;=$AL123,($AL123-5+3)*(INDEX(Reference!$B$6:$B$11,MIN(5,MATCH(MAX(Reference!$A$6,MIN(Reference!$A$11,MIN($U123,210))),Reference!$A$6:$A$11,1)))+(MAX(Reference!$A$6,MIN(Reference!$A$11,MIN($U123,210)))-INDEX(Reference!$A$6:$A$11,MIN(5,MATCH(MAX(Reference!$A$6,MIN(Reference!$A$11,MIN($U123,210))),Reference!$A$6:$A$11,1))))*(INDEX(Reference!$B$6:$B$11,MIN(5,MATCH(MAX(Reference!$A$6,MIN(Reference!$A$11,MIN($U123,210))),Reference!$A$6:$A$11,1))+1)-INDEX(Reference!$B$6:$B$11,MIN(5,MATCH(MAX(Reference!$A$6,MIN(Reference!$A$11,MIN($U123,210))),Reference!$A$6:$A$11,1))))/(INDEX(Reference!$A$6:$A$11,MIN(5,MATCH(MAX(Reference!$A$6,MIN(Reference!$A$11,MIN($U123,210))),Reference!$A$6:$A$11,1))+1)-INDEX(Reference!$A$6:$A$11,MIN(5,MATCH(MAX(Reference!$A$6,MIN(Reference!$A$11,MIN($U123,210))),Reference!$A$6:$A$11,1))))),0)+IF(6&lt;=$AL123,($AL123-6+3)*(INDEX(Reference!$B$6:$B$11,MIN(5,MATCH(MAX(Reference!$A$6,MIN(Reference!$A$11,MIN($U123,240))),Reference!$A$6:$A$11,1)))+(MAX(Reference!$A$6,MIN(Reference!$A$11,MIN($U123,240)))-INDEX(Reference!$A$6:$A$11,MIN(5,MATCH(MAX(Reference!$A$6,MIN(Reference!$A$11,MIN($U123,240))),Reference!$A$6:$A$11,1))))*(INDEX(Reference!$B$6:$B$11,MIN(5,MATCH(MAX(Reference!$A$6,MIN(Reference!$A$11,MIN($U123,240))),Reference!$A$6:$A$11,1))+1)-INDEX(Reference!$B$6:$B$11,MIN(5,MATCH(MAX(Reference!$A$6,MIN(Reference!$A$11,MIN($U123,240))),Reference!$A$6:$A$11,1))))/(INDEX(Reference!$A$6:$A$11,MIN(5,MATCH(MAX(Reference!$A$6,MIN(Reference!$A$11,MIN($U123,240))),Reference!$A$6:$A$11,1))+1)-INDEX(Reference!$A$6:$A$11,MIN(5,MATCH(MAX(Reference!$A$6,MIN(Reference!$A$11,MIN($U123,240))),Reference!$A$6:$A$11,1))))),0)+IF(7&lt;=$AL123,($AL123-7+3)*(INDEX(Reference!$B$6:$B$11,MIN(5,MATCH(MAX(Reference!$A$6,MIN(Reference!$A$11,MIN($U123,270))),Reference!$A$6:$A$11,1)))+(MAX(Reference!$A$6,MIN(Reference!$A$11,MIN($U123,270)))-INDEX(Reference!$A$6:$A$11,MIN(5,MATCH(MAX(Reference!$A$6,MIN(Reference!$A$11,MIN($U123,270))),Reference!$A$6:$A$11,1))))*(INDEX(Reference!$B$6:$B$11,MIN(5,MATCH(MAX(Reference!$A$6,MIN(Reference!$A$11,MIN($U123,270))),Reference!$A$6:$A$11,1))+1)-INDEX(Reference!$B$6:$B$11,MIN(5,MATCH(MAX(Reference!$A$6,MIN(Reference!$A$11,MIN($U123,270))),Reference!$A$6:$A$11,1))))/(INDEX(Reference!$A$6:$A$11,MIN(5,MATCH(MAX(Reference!$A$6,MIN(Reference!$A$11,MIN($U123,270))),Reference!$A$6:$A$11,1))+1)-INDEX(Reference!$A$6:$A$11,MIN(5,MATCH(MAX(Reference!$A$6,MIN(Reference!$A$11,MIN($U123,270))),Reference!$A$6:$A$11,1))))),0)+IF(8&lt;=$AL123,($AL123-8+3)*(INDEX(Reference!$B$6:$B$11,MIN(5,MATCH(MAX(Reference!$A$6,MIN(Reference!$A$11,MIN($U123,300))),Reference!$A$6:$A$11,1)))+(MAX(Reference!$A$6,MIN(Reference!$A$11,MIN($U123,300)))-INDEX(Reference!$A$6:$A$11,MIN(5,MATCH(MAX(Reference!$A$6,MIN(Reference!$A$11,MIN($U123,300))),Reference!$A$6:$A$11,1))))*(INDEX(Reference!$B$6:$B$11,MIN(5,MATCH(MAX(Reference!$A$6,MIN(Reference!$A$11,MIN($U123,300))),Reference!$A$6:$A$11,1))+1)-INDEX(Reference!$B$6:$B$11,MIN(5,MATCH(MAX(Reference!$A$6,MIN(Reference!$A$11,MIN($U123,300))),Reference!$A$6:$A$11,1))))/(INDEX(Reference!$A$6:$A$11,MIN(5,MATCH(MAX(Reference!$A$6,MIN(Reference!$A$11,MIN($U123,300))),Reference!$A$6:$A$11,1))+1)-INDEX(Reference!$A$6:$A$11,MIN(5,MATCH(MAX(Reference!$A$6,MIN(Reference!$A$11,MIN($U123,300))),Reference!$A$6:$A$11,1))))),0))/($AL123*($AL123+5)/2)),$AN123))</f>
        <v>0</v>
      </c>
      <c r="AN123" s="32">
        <f>IF($U123="",0,(INDEX(Reference!$B$6:$B$11,MIN(5,MATCH(MAX(Reference!$A$6,MIN(Reference!$A$11,$U123)),Reference!$A$6:$A$11,1)))+(MAX(Reference!$A$6,MIN(Reference!$A$11,$U123))-INDEX(Reference!$A$6:$A$11,MIN(5,MATCH(MAX(Reference!$A$6,MIN(Reference!$A$11,$U123)),Reference!$A$6:$A$11,1))))*(INDEX(Reference!$B$6:$B$11,MIN(5,MATCH(MAX(Reference!$A$6,MIN(Reference!$A$11,$U123)),Reference!$A$6:$A$11,1))+1)-INDEX(Reference!$B$6:$B$11,MIN(5,MATCH(MAX(Reference!$A$6,MIN(Reference!$A$11,$U123)),Reference!$A$6:$A$11,1))))/(INDEX(Reference!$A$6:$A$11,MIN(5,MATCH(MAX(Reference!$A$6,MIN(Reference!$A$11,$U123)),Reference!$A$6:$A$11,1))+1)-INDEX(Reference!$A$6:$A$11,MIN(5,MATCH(MAX(Reference!$A$6,MIN(Reference!$A$11,$U123)),Reference!$A$6:$A$11,1))))))</f>
        <v>0</v>
      </c>
      <c r="AO123" s="37"/>
      <c r="AP123" s="37"/>
      <c r="AQ123" s="37"/>
    </row>
    <row r="124" spans="1:43" x14ac:dyDescent="0.3">
      <c r="A124" s="48" t="str">
        <f t="shared" si="55"/>
        <v/>
      </c>
      <c r="B124" s="32" t="str">
        <f t="shared" si="56"/>
        <v/>
      </c>
      <c r="C124" s="32" t="str">
        <f t="shared" si="57"/>
        <v/>
      </c>
      <c r="D124" s="32" t="str">
        <f t="shared" si="58"/>
        <v/>
      </c>
      <c r="E124" s="32" t="str">
        <f t="shared" si="59"/>
        <v/>
      </c>
      <c r="F124" s="32" t="str">
        <f t="shared" si="60"/>
        <v/>
      </c>
      <c r="G124" s="47" t="str">
        <f t="shared" si="61"/>
        <v/>
      </c>
      <c r="H124" s="30" t="str">
        <f t="shared" si="62"/>
        <v/>
      </c>
      <c r="I124" s="46" t="str">
        <f>IF($A124="","",IF(AND($L124&lt;27,$K$12=0),"Building",IFERROR(((SUM($H$118:$H124)+$K$12*IF($L124&lt;6,SUMIFS('Throw Log'!$Q$5:$Q$300,'Throw Log'!$B$5:$B$300,$D$4,'Throw Log'!$A$5:$A$300,"&gt;="&amp;($D$6+$L124-6),'Throw Log'!$A$5:$A$300,"&lt;="&amp;($D$6-1)),0))/7)/((SUM($H$97:$H124)+$K$12*IF($L124&lt;27,SUMIFS('Throw Log'!$Q$5:$Q$300,'Throw Log'!$B$5:$B$300,$D$4,'Throw Log'!$A$5:$A$300,"&gt;="&amp;($D$6+$L124-27),'Throw Log'!$A$5:$A$300,"&lt;="&amp;($D$6-1)),0))/28),"")))</f>
        <v/>
      </c>
      <c r="J124" s="37"/>
      <c r="K124" s="37"/>
      <c r="L124" s="32">
        <v>81</v>
      </c>
      <c r="M124" s="32">
        <f t="shared" si="63"/>
        <v>12</v>
      </c>
      <c r="N124" s="32">
        <f t="shared" si="64"/>
        <v>4</v>
      </c>
      <c r="O124" s="32">
        <f t="shared" si="65"/>
        <v>1</v>
      </c>
      <c r="P124" s="32" t="str">
        <f>IF(OR($A124="",N($C124)&lt;=7),"",$G$6*$G$9^($M124-1)*IF(AND(MOD($M124,Reference!$B$99)=0,$M124&lt;=$G$5-2),Reference!$B$100,1))</f>
        <v/>
      </c>
      <c r="Q124" s="32" t="str">
        <f>IF($P124="","",IF(SUM($AK$120:$AK$126)=0,0,$P124*INDEX(Reference!$B$108:$B$114,$N124+1)/SUM($AK$120:$AK$126)))</f>
        <v/>
      </c>
      <c r="R124" s="32">
        <f t="shared" si="66"/>
        <v>120</v>
      </c>
      <c r="S124" s="32">
        <f t="shared" si="67"/>
        <v>105</v>
      </c>
      <c r="T124" s="32" t="str">
        <f>IF($A124="","",IF($C124=0,"Bullpen",IF(OR($C124=7,$C124=1,$C124=5),"Recovery/Easy Catch",IF($C124=6,"Compression/Pulldowns",IF(OR($C124=4,$C124=2),"Long Toss",IF($C124=3,"No Throw",IF($N124=2,"No Throw",IF($N124=6,IF($O124&lt;Reference!$B$104,"No Throw","Recovery/Easy Catch"),IF(OR($N124=0,$N124=4),"Recovery/Easy Catch",IF($N124=1,IF($R124&gt;75,"Long Toss","Recovery/Easy Catch"),IF($N124=3,IF($O124&lt;0.5,IF($S124&gt;75,"Long Toss","Recovery/Easy Catch"),"Compression/Pulldowns"),IF($S124&gt;75,"Long Toss","Recovery/Easy Catch"))))))))))))</f>
        <v/>
      </c>
      <c r="U124" s="32" t="str">
        <f t="shared" si="68"/>
        <v/>
      </c>
      <c r="V124" s="32" t="str">
        <f t="shared" si="69"/>
        <v/>
      </c>
      <c r="W124" s="32" t="str">
        <f t="shared" si="70"/>
        <v/>
      </c>
      <c r="X124" s="32">
        <f t="shared" si="71"/>
        <v>0</v>
      </c>
      <c r="Y124" s="32" t="str">
        <f t="shared" si="72"/>
        <v/>
      </c>
      <c r="Z124" s="32" t="str">
        <f t="shared" si="73"/>
        <v/>
      </c>
      <c r="AA124" s="32" t="str">
        <f t="shared" si="74"/>
        <v/>
      </c>
      <c r="AB124" s="32" t="str">
        <f>IF($A124="","",IF($T124="No Throw",0,IF($K124&lt;&gt;"",$K124,IF($AA124&lt;&gt;"",ROUND($AA124*$D$12*IF($C124=0,1,$G$10),0),MIN(IF($T124="Recovery/Easy Catch",Reference!$B$103,IF($T124="Long Toss",Reference!$B$106,Reference!$B$102)),MAX(Reference!$B$101,ROUND(MAX(0,$Q124-$AE124)/$AF124,0)))))))</f>
        <v/>
      </c>
      <c r="AC124" s="32">
        <f t="shared" si="75"/>
        <v>0</v>
      </c>
      <c r="AD124" s="32" t="b">
        <f t="shared" si="76"/>
        <v>1</v>
      </c>
      <c r="AE124" s="32">
        <f>IF($X124=0,0,$X124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124+$Z124)/2,0),Reference!$A$17:$B$20,2,TRUE()))</f>
        <v>0</v>
      </c>
      <c r="AF124" s="32">
        <f>IF(OR($A124="",$U124="",$T124="No Throw"),0,$AM124*VLOOKUP(MAX(($V124+$W124)/2,0),Reference!$A$17:$B$20,2,TRUE()))</f>
        <v>0</v>
      </c>
      <c r="AG124" s="32">
        <f>IF($AC124=0,0,$AC124*INDEX(Reference!$B$61:$B$62,MATCH("Bullpen",Reference!$A$61:$A$62,0))*VLOOKUP(MAX($D$5-($D$9+$E$9)/2,0),Reference!$A$17:$B$20,2,TRUE()))</f>
        <v>0</v>
      </c>
      <c r="AH124" s="32" t="e">
        <f t="shared" si="77"/>
        <v>#N/A</v>
      </c>
      <c r="AI124" s="32" t="e">
        <f>IF($A124="",NA(),Reference!$A$25)</f>
        <v>#N/A</v>
      </c>
      <c r="AJ124" s="32" t="e">
        <f t="shared" si="78"/>
        <v>#N/A</v>
      </c>
      <c r="AK124" s="32">
        <f>IF(OR($A124="",N($C124)&lt;=7,$T124="No Throw",$J124="x"),0,INDEX(Reference!$B$108:$B$114,$N124+1))</f>
        <v>0</v>
      </c>
      <c r="AL124" s="32">
        <f t="shared" si="79"/>
        <v>1</v>
      </c>
      <c r="AM124" s="32">
        <f>IF($U124="",0,IF($AL124&gt;1,((IF(1&lt;=$AL124,($AL124-1+3)*(INDEX(Reference!$B$6:$B$11,MIN(5,MATCH(MAX(Reference!$A$6,MIN(Reference!$A$11,MIN($U124,90))),Reference!$A$6:$A$11,1)))+(MAX(Reference!$A$6,MIN(Reference!$A$11,MIN($U124,90)))-INDEX(Reference!$A$6:$A$11,MIN(5,MATCH(MAX(Reference!$A$6,MIN(Reference!$A$11,MIN($U124,90))),Reference!$A$6:$A$11,1))))*(INDEX(Reference!$B$6:$B$11,MIN(5,MATCH(MAX(Reference!$A$6,MIN(Reference!$A$11,MIN($U124,90))),Reference!$A$6:$A$11,1))+1)-INDEX(Reference!$B$6:$B$11,MIN(5,MATCH(MAX(Reference!$A$6,MIN(Reference!$A$11,MIN($U124,90))),Reference!$A$6:$A$11,1))))/(INDEX(Reference!$A$6:$A$11,MIN(5,MATCH(MAX(Reference!$A$6,MIN(Reference!$A$11,MIN($U124,90))),Reference!$A$6:$A$11,1))+1)-INDEX(Reference!$A$6:$A$11,MIN(5,MATCH(MAX(Reference!$A$6,MIN(Reference!$A$11,MIN($U124,90))),Reference!$A$6:$A$11,1))))),0)+IF(2&lt;=$AL124,($AL124-2+3)*(INDEX(Reference!$B$6:$B$11,MIN(5,MATCH(MAX(Reference!$A$6,MIN(Reference!$A$11,MIN($U124,120))),Reference!$A$6:$A$11,1)))+(MAX(Reference!$A$6,MIN(Reference!$A$11,MIN($U124,120)))-INDEX(Reference!$A$6:$A$11,MIN(5,MATCH(MAX(Reference!$A$6,MIN(Reference!$A$11,MIN($U124,120))),Reference!$A$6:$A$11,1))))*(INDEX(Reference!$B$6:$B$11,MIN(5,MATCH(MAX(Reference!$A$6,MIN(Reference!$A$11,MIN($U124,120))),Reference!$A$6:$A$11,1))+1)-INDEX(Reference!$B$6:$B$11,MIN(5,MATCH(MAX(Reference!$A$6,MIN(Reference!$A$11,MIN($U124,120))),Reference!$A$6:$A$11,1))))/(INDEX(Reference!$A$6:$A$11,MIN(5,MATCH(MAX(Reference!$A$6,MIN(Reference!$A$11,MIN($U124,120))),Reference!$A$6:$A$11,1))+1)-INDEX(Reference!$A$6:$A$11,MIN(5,MATCH(MAX(Reference!$A$6,MIN(Reference!$A$11,MIN($U124,120))),Reference!$A$6:$A$11,1))))),0)+IF(3&lt;=$AL124,($AL124-3+3)*(INDEX(Reference!$B$6:$B$11,MIN(5,MATCH(MAX(Reference!$A$6,MIN(Reference!$A$11,MIN($U124,150))),Reference!$A$6:$A$11,1)))+(MAX(Reference!$A$6,MIN(Reference!$A$11,MIN($U124,150)))-INDEX(Reference!$A$6:$A$11,MIN(5,MATCH(MAX(Reference!$A$6,MIN(Reference!$A$11,MIN($U124,150))),Reference!$A$6:$A$11,1))))*(INDEX(Reference!$B$6:$B$11,MIN(5,MATCH(MAX(Reference!$A$6,MIN(Reference!$A$11,MIN($U124,150))),Reference!$A$6:$A$11,1))+1)-INDEX(Reference!$B$6:$B$11,MIN(5,MATCH(MAX(Reference!$A$6,MIN(Reference!$A$11,MIN($U124,150))),Reference!$A$6:$A$11,1))))/(INDEX(Reference!$A$6:$A$11,MIN(5,MATCH(MAX(Reference!$A$6,MIN(Reference!$A$11,MIN($U124,150))),Reference!$A$6:$A$11,1))+1)-INDEX(Reference!$A$6:$A$11,MIN(5,MATCH(MAX(Reference!$A$6,MIN(Reference!$A$11,MIN($U124,150))),Reference!$A$6:$A$11,1))))),0)+IF(4&lt;=$AL124,($AL124-4+3)*(INDEX(Reference!$B$6:$B$11,MIN(5,MATCH(MAX(Reference!$A$6,MIN(Reference!$A$11,MIN($U124,180))),Reference!$A$6:$A$11,1)))+(MAX(Reference!$A$6,MIN(Reference!$A$11,MIN($U124,180)))-INDEX(Reference!$A$6:$A$11,MIN(5,MATCH(MAX(Reference!$A$6,MIN(Reference!$A$11,MIN($U124,180))),Reference!$A$6:$A$11,1))))*(INDEX(Reference!$B$6:$B$11,MIN(5,MATCH(MAX(Reference!$A$6,MIN(Reference!$A$11,MIN($U124,180))),Reference!$A$6:$A$11,1))+1)-INDEX(Reference!$B$6:$B$11,MIN(5,MATCH(MAX(Reference!$A$6,MIN(Reference!$A$11,MIN($U124,180))),Reference!$A$6:$A$11,1))))/(INDEX(Reference!$A$6:$A$11,MIN(5,MATCH(MAX(Reference!$A$6,MIN(Reference!$A$11,MIN($U124,180))),Reference!$A$6:$A$11,1))+1)-INDEX(Reference!$A$6:$A$11,MIN(5,MATCH(MAX(Reference!$A$6,MIN(Reference!$A$11,MIN($U124,180))),Reference!$A$6:$A$11,1))))),0)+IF(5&lt;=$AL124,($AL124-5+3)*(INDEX(Reference!$B$6:$B$11,MIN(5,MATCH(MAX(Reference!$A$6,MIN(Reference!$A$11,MIN($U124,210))),Reference!$A$6:$A$11,1)))+(MAX(Reference!$A$6,MIN(Reference!$A$11,MIN($U124,210)))-INDEX(Reference!$A$6:$A$11,MIN(5,MATCH(MAX(Reference!$A$6,MIN(Reference!$A$11,MIN($U124,210))),Reference!$A$6:$A$11,1))))*(INDEX(Reference!$B$6:$B$11,MIN(5,MATCH(MAX(Reference!$A$6,MIN(Reference!$A$11,MIN($U124,210))),Reference!$A$6:$A$11,1))+1)-INDEX(Reference!$B$6:$B$11,MIN(5,MATCH(MAX(Reference!$A$6,MIN(Reference!$A$11,MIN($U124,210))),Reference!$A$6:$A$11,1))))/(INDEX(Reference!$A$6:$A$11,MIN(5,MATCH(MAX(Reference!$A$6,MIN(Reference!$A$11,MIN($U124,210))),Reference!$A$6:$A$11,1))+1)-INDEX(Reference!$A$6:$A$11,MIN(5,MATCH(MAX(Reference!$A$6,MIN(Reference!$A$11,MIN($U124,210))),Reference!$A$6:$A$11,1))))),0)+IF(6&lt;=$AL124,($AL124-6+3)*(INDEX(Reference!$B$6:$B$11,MIN(5,MATCH(MAX(Reference!$A$6,MIN(Reference!$A$11,MIN($U124,240))),Reference!$A$6:$A$11,1)))+(MAX(Reference!$A$6,MIN(Reference!$A$11,MIN($U124,240)))-INDEX(Reference!$A$6:$A$11,MIN(5,MATCH(MAX(Reference!$A$6,MIN(Reference!$A$11,MIN($U124,240))),Reference!$A$6:$A$11,1))))*(INDEX(Reference!$B$6:$B$11,MIN(5,MATCH(MAX(Reference!$A$6,MIN(Reference!$A$11,MIN($U124,240))),Reference!$A$6:$A$11,1))+1)-INDEX(Reference!$B$6:$B$11,MIN(5,MATCH(MAX(Reference!$A$6,MIN(Reference!$A$11,MIN($U124,240))),Reference!$A$6:$A$11,1))))/(INDEX(Reference!$A$6:$A$11,MIN(5,MATCH(MAX(Reference!$A$6,MIN(Reference!$A$11,MIN($U124,240))),Reference!$A$6:$A$11,1))+1)-INDEX(Reference!$A$6:$A$11,MIN(5,MATCH(MAX(Reference!$A$6,MIN(Reference!$A$11,MIN($U124,240))),Reference!$A$6:$A$11,1))))),0)+IF(7&lt;=$AL124,($AL124-7+3)*(INDEX(Reference!$B$6:$B$11,MIN(5,MATCH(MAX(Reference!$A$6,MIN(Reference!$A$11,MIN($U124,270))),Reference!$A$6:$A$11,1)))+(MAX(Reference!$A$6,MIN(Reference!$A$11,MIN($U124,270)))-INDEX(Reference!$A$6:$A$11,MIN(5,MATCH(MAX(Reference!$A$6,MIN(Reference!$A$11,MIN($U124,270))),Reference!$A$6:$A$11,1))))*(INDEX(Reference!$B$6:$B$11,MIN(5,MATCH(MAX(Reference!$A$6,MIN(Reference!$A$11,MIN($U124,270))),Reference!$A$6:$A$11,1))+1)-INDEX(Reference!$B$6:$B$11,MIN(5,MATCH(MAX(Reference!$A$6,MIN(Reference!$A$11,MIN($U124,270))),Reference!$A$6:$A$11,1))))/(INDEX(Reference!$A$6:$A$11,MIN(5,MATCH(MAX(Reference!$A$6,MIN(Reference!$A$11,MIN($U124,270))),Reference!$A$6:$A$11,1))+1)-INDEX(Reference!$A$6:$A$11,MIN(5,MATCH(MAX(Reference!$A$6,MIN(Reference!$A$11,MIN($U124,270))),Reference!$A$6:$A$11,1))))),0)+IF(8&lt;=$AL124,($AL124-8+3)*(INDEX(Reference!$B$6:$B$11,MIN(5,MATCH(MAX(Reference!$A$6,MIN(Reference!$A$11,MIN($U124,300))),Reference!$A$6:$A$11,1)))+(MAX(Reference!$A$6,MIN(Reference!$A$11,MIN($U124,300)))-INDEX(Reference!$A$6:$A$11,MIN(5,MATCH(MAX(Reference!$A$6,MIN(Reference!$A$11,MIN($U124,300))),Reference!$A$6:$A$11,1))))*(INDEX(Reference!$B$6:$B$11,MIN(5,MATCH(MAX(Reference!$A$6,MIN(Reference!$A$11,MIN($U124,300))),Reference!$A$6:$A$11,1))+1)-INDEX(Reference!$B$6:$B$11,MIN(5,MATCH(MAX(Reference!$A$6,MIN(Reference!$A$11,MIN($U124,300))),Reference!$A$6:$A$11,1))))/(INDEX(Reference!$A$6:$A$11,MIN(5,MATCH(MAX(Reference!$A$6,MIN(Reference!$A$11,MIN($U124,300))),Reference!$A$6:$A$11,1))+1)-INDEX(Reference!$A$6:$A$11,MIN(5,MATCH(MAX(Reference!$A$6,MIN(Reference!$A$11,MIN($U124,300))),Reference!$A$6:$A$11,1))))),0))/($AL124*($AL124+5)/2)),$AN124))</f>
        <v>0</v>
      </c>
      <c r="AN124" s="32">
        <f>IF($U124="",0,(INDEX(Reference!$B$6:$B$11,MIN(5,MATCH(MAX(Reference!$A$6,MIN(Reference!$A$11,$U124)),Reference!$A$6:$A$11,1)))+(MAX(Reference!$A$6,MIN(Reference!$A$11,$U124))-INDEX(Reference!$A$6:$A$11,MIN(5,MATCH(MAX(Reference!$A$6,MIN(Reference!$A$11,$U124)),Reference!$A$6:$A$11,1))))*(INDEX(Reference!$B$6:$B$11,MIN(5,MATCH(MAX(Reference!$A$6,MIN(Reference!$A$11,$U124)),Reference!$A$6:$A$11,1))+1)-INDEX(Reference!$B$6:$B$11,MIN(5,MATCH(MAX(Reference!$A$6,MIN(Reference!$A$11,$U124)),Reference!$A$6:$A$11,1))))/(INDEX(Reference!$A$6:$A$11,MIN(5,MATCH(MAX(Reference!$A$6,MIN(Reference!$A$11,$U124)),Reference!$A$6:$A$11,1))+1)-INDEX(Reference!$A$6:$A$11,MIN(5,MATCH(MAX(Reference!$A$6,MIN(Reference!$A$11,$U124)),Reference!$A$6:$A$11,1))))))</f>
        <v>0</v>
      </c>
      <c r="AO124" s="37"/>
      <c r="AP124" s="37"/>
      <c r="AQ124" s="37"/>
    </row>
    <row r="125" spans="1:43" x14ac:dyDescent="0.3">
      <c r="A125" s="48" t="str">
        <f t="shared" si="55"/>
        <v/>
      </c>
      <c r="B125" s="32" t="str">
        <f t="shared" si="56"/>
        <v/>
      </c>
      <c r="C125" s="32" t="str">
        <f t="shared" si="57"/>
        <v/>
      </c>
      <c r="D125" s="32" t="str">
        <f t="shared" si="58"/>
        <v/>
      </c>
      <c r="E125" s="32" t="str">
        <f t="shared" si="59"/>
        <v/>
      </c>
      <c r="F125" s="32" t="str">
        <f t="shared" si="60"/>
        <v/>
      </c>
      <c r="G125" s="47" t="str">
        <f t="shared" si="61"/>
        <v/>
      </c>
      <c r="H125" s="30" t="str">
        <f t="shared" si="62"/>
        <v/>
      </c>
      <c r="I125" s="46" t="str">
        <f>IF($A125="","",IF(AND($L125&lt;27,$K$12=0),"Building",IFERROR(((SUM($H$119:$H125)+$K$12*IF($L125&lt;6,SUMIFS('Throw Log'!$Q$5:$Q$300,'Throw Log'!$B$5:$B$300,$D$4,'Throw Log'!$A$5:$A$300,"&gt;="&amp;($D$6+$L125-6),'Throw Log'!$A$5:$A$300,"&lt;="&amp;($D$6-1)),0))/7)/((SUM($H$98:$H125)+$K$12*IF($L125&lt;27,SUMIFS('Throw Log'!$Q$5:$Q$300,'Throw Log'!$B$5:$B$300,$D$4,'Throw Log'!$A$5:$A$300,"&gt;="&amp;($D$6+$L125-27),'Throw Log'!$A$5:$A$300,"&lt;="&amp;($D$6-1)),0))/28),"")))</f>
        <v/>
      </c>
      <c r="J125" s="37"/>
      <c r="K125" s="37"/>
      <c r="L125" s="32">
        <v>82</v>
      </c>
      <c r="M125" s="32">
        <f t="shared" si="63"/>
        <v>12</v>
      </c>
      <c r="N125" s="32">
        <f t="shared" si="64"/>
        <v>5</v>
      </c>
      <c r="O125" s="32">
        <f t="shared" si="65"/>
        <v>1</v>
      </c>
      <c r="P125" s="32" t="str">
        <f>IF(OR($A125="",N($C125)&lt;=7),"",$G$6*$G$9^($M125-1)*IF(AND(MOD($M125,Reference!$B$99)=0,$M125&lt;=$G$5-2),Reference!$B$100,1))</f>
        <v/>
      </c>
      <c r="Q125" s="32" t="str">
        <f>IF($P125="","",IF(SUM($AK$120:$AK$126)=0,0,$P125*INDEX(Reference!$B$108:$B$114,$N125+1)/SUM($AK$120:$AK$126)))</f>
        <v/>
      </c>
      <c r="R125" s="32">
        <f t="shared" si="66"/>
        <v>120</v>
      </c>
      <c r="S125" s="32">
        <f t="shared" si="67"/>
        <v>105</v>
      </c>
      <c r="T125" s="32" t="str">
        <f>IF($A125="","",IF($C125=0,"Bullpen",IF(OR($C125=7,$C125=1,$C125=5),"Recovery/Easy Catch",IF($C125=6,"Compression/Pulldowns",IF(OR($C125=4,$C125=2),"Long Toss",IF($C125=3,"No Throw",IF($N125=2,"No Throw",IF($N125=6,IF($O125&lt;Reference!$B$104,"No Throw","Recovery/Easy Catch"),IF(OR($N125=0,$N125=4),"Recovery/Easy Catch",IF($N125=1,IF($R125&gt;75,"Long Toss","Recovery/Easy Catch"),IF($N125=3,IF($O125&lt;0.5,IF($S125&gt;75,"Long Toss","Recovery/Easy Catch"),"Compression/Pulldowns"),IF($S125&gt;75,"Long Toss","Recovery/Easy Catch"))))))))))))</f>
        <v/>
      </c>
      <c r="U125" s="32" t="str">
        <f t="shared" si="68"/>
        <v/>
      </c>
      <c r="V125" s="32" t="str">
        <f t="shared" si="69"/>
        <v/>
      </c>
      <c r="W125" s="32" t="str">
        <f t="shared" si="70"/>
        <v/>
      </c>
      <c r="X125" s="32">
        <f t="shared" si="71"/>
        <v>0</v>
      </c>
      <c r="Y125" s="32" t="str">
        <f t="shared" si="72"/>
        <v/>
      </c>
      <c r="Z125" s="32" t="str">
        <f t="shared" si="73"/>
        <v/>
      </c>
      <c r="AA125" s="32" t="str">
        <f t="shared" si="74"/>
        <v/>
      </c>
      <c r="AB125" s="32" t="str">
        <f>IF($A125="","",IF($T125="No Throw",0,IF($K125&lt;&gt;"",$K125,IF($AA125&lt;&gt;"",ROUND($AA125*$D$12*IF($C125=0,1,$G$10),0),MIN(IF($T125="Recovery/Easy Catch",Reference!$B$103,IF($T125="Long Toss",Reference!$B$106,Reference!$B$102)),MAX(Reference!$B$101,ROUND(MAX(0,$Q125-$AE125)/$AF125,0)))))))</f>
        <v/>
      </c>
      <c r="AC125" s="32">
        <f t="shared" si="75"/>
        <v>0</v>
      </c>
      <c r="AD125" s="32" t="b">
        <f t="shared" si="76"/>
        <v>1</v>
      </c>
      <c r="AE125" s="32">
        <f>IF($X125=0,0,$X125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125+$Z125)/2,0),Reference!$A$17:$B$20,2,TRUE()))</f>
        <v>0</v>
      </c>
      <c r="AF125" s="32">
        <f>IF(OR($A125="",$U125="",$T125="No Throw"),0,$AM125*VLOOKUP(MAX(($V125+$W125)/2,0),Reference!$A$17:$B$20,2,TRUE()))</f>
        <v>0</v>
      </c>
      <c r="AG125" s="32">
        <f>IF($AC125=0,0,$AC125*INDEX(Reference!$B$61:$B$62,MATCH("Bullpen",Reference!$A$61:$A$62,0))*VLOOKUP(MAX($D$5-($D$9+$E$9)/2,0),Reference!$A$17:$B$20,2,TRUE()))</f>
        <v>0</v>
      </c>
      <c r="AH125" s="32" t="e">
        <f t="shared" si="77"/>
        <v>#N/A</v>
      </c>
      <c r="AI125" s="32" t="e">
        <f>IF($A125="",NA(),Reference!$A$25)</f>
        <v>#N/A</v>
      </c>
      <c r="AJ125" s="32" t="e">
        <f t="shared" si="78"/>
        <v>#N/A</v>
      </c>
      <c r="AK125" s="32">
        <f>IF(OR($A125="",N($C125)&lt;=7,$T125="No Throw",$J125="x"),0,INDEX(Reference!$B$108:$B$114,$N125+1))</f>
        <v>0</v>
      </c>
      <c r="AL125" s="32">
        <f t="shared" si="79"/>
        <v>1</v>
      </c>
      <c r="AM125" s="32">
        <f>IF($U125="",0,IF($AL125&gt;1,((IF(1&lt;=$AL125,($AL125-1+3)*(INDEX(Reference!$B$6:$B$11,MIN(5,MATCH(MAX(Reference!$A$6,MIN(Reference!$A$11,MIN($U125,90))),Reference!$A$6:$A$11,1)))+(MAX(Reference!$A$6,MIN(Reference!$A$11,MIN($U125,90)))-INDEX(Reference!$A$6:$A$11,MIN(5,MATCH(MAX(Reference!$A$6,MIN(Reference!$A$11,MIN($U125,90))),Reference!$A$6:$A$11,1))))*(INDEX(Reference!$B$6:$B$11,MIN(5,MATCH(MAX(Reference!$A$6,MIN(Reference!$A$11,MIN($U125,90))),Reference!$A$6:$A$11,1))+1)-INDEX(Reference!$B$6:$B$11,MIN(5,MATCH(MAX(Reference!$A$6,MIN(Reference!$A$11,MIN($U125,90))),Reference!$A$6:$A$11,1))))/(INDEX(Reference!$A$6:$A$11,MIN(5,MATCH(MAX(Reference!$A$6,MIN(Reference!$A$11,MIN($U125,90))),Reference!$A$6:$A$11,1))+1)-INDEX(Reference!$A$6:$A$11,MIN(5,MATCH(MAX(Reference!$A$6,MIN(Reference!$A$11,MIN($U125,90))),Reference!$A$6:$A$11,1))))),0)+IF(2&lt;=$AL125,($AL125-2+3)*(INDEX(Reference!$B$6:$B$11,MIN(5,MATCH(MAX(Reference!$A$6,MIN(Reference!$A$11,MIN($U125,120))),Reference!$A$6:$A$11,1)))+(MAX(Reference!$A$6,MIN(Reference!$A$11,MIN($U125,120)))-INDEX(Reference!$A$6:$A$11,MIN(5,MATCH(MAX(Reference!$A$6,MIN(Reference!$A$11,MIN($U125,120))),Reference!$A$6:$A$11,1))))*(INDEX(Reference!$B$6:$B$11,MIN(5,MATCH(MAX(Reference!$A$6,MIN(Reference!$A$11,MIN($U125,120))),Reference!$A$6:$A$11,1))+1)-INDEX(Reference!$B$6:$B$11,MIN(5,MATCH(MAX(Reference!$A$6,MIN(Reference!$A$11,MIN($U125,120))),Reference!$A$6:$A$11,1))))/(INDEX(Reference!$A$6:$A$11,MIN(5,MATCH(MAX(Reference!$A$6,MIN(Reference!$A$11,MIN($U125,120))),Reference!$A$6:$A$11,1))+1)-INDEX(Reference!$A$6:$A$11,MIN(5,MATCH(MAX(Reference!$A$6,MIN(Reference!$A$11,MIN($U125,120))),Reference!$A$6:$A$11,1))))),0)+IF(3&lt;=$AL125,($AL125-3+3)*(INDEX(Reference!$B$6:$B$11,MIN(5,MATCH(MAX(Reference!$A$6,MIN(Reference!$A$11,MIN($U125,150))),Reference!$A$6:$A$11,1)))+(MAX(Reference!$A$6,MIN(Reference!$A$11,MIN($U125,150)))-INDEX(Reference!$A$6:$A$11,MIN(5,MATCH(MAX(Reference!$A$6,MIN(Reference!$A$11,MIN($U125,150))),Reference!$A$6:$A$11,1))))*(INDEX(Reference!$B$6:$B$11,MIN(5,MATCH(MAX(Reference!$A$6,MIN(Reference!$A$11,MIN($U125,150))),Reference!$A$6:$A$11,1))+1)-INDEX(Reference!$B$6:$B$11,MIN(5,MATCH(MAX(Reference!$A$6,MIN(Reference!$A$11,MIN($U125,150))),Reference!$A$6:$A$11,1))))/(INDEX(Reference!$A$6:$A$11,MIN(5,MATCH(MAX(Reference!$A$6,MIN(Reference!$A$11,MIN($U125,150))),Reference!$A$6:$A$11,1))+1)-INDEX(Reference!$A$6:$A$11,MIN(5,MATCH(MAX(Reference!$A$6,MIN(Reference!$A$11,MIN($U125,150))),Reference!$A$6:$A$11,1))))),0)+IF(4&lt;=$AL125,($AL125-4+3)*(INDEX(Reference!$B$6:$B$11,MIN(5,MATCH(MAX(Reference!$A$6,MIN(Reference!$A$11,MIN($U125,180))),Reference!$A$6:$A$11,1)))+(MAX(Reference!$A$6,MIN(Reference!$A$11,MIN($U125,180)))-INDEX(Reference!$A$6:$A$11,MIN(5,MATCH(MAX(Reference!$A$6,MIN(Reference!$A$11,MIN($U125,180))),Reference!$A$6:$A$11,1))))*(INDEX(Reference!$B$6:$B$11,MIN(5,MATCH(MAX(Reference!$A$6,MIN(Reference!$A$11,MIN($U125,180))),Reference!$A$6:$A$11,1))+1)-INDEX(Reference!$B$6:$B$11,MIN(5,MATCH(MAX(Reference!$A$6,MIN(Reference!$A$11,MIN($U125,180))),Reference!$A$6:$A$11,1))))/(INDEX(Reference!$A$6:$A$11,MIN(5,MATCH(MAX(Reference!$A$6,MIN(Reference!$A$11,MIN($U125,180))),Reference!$A$6:$A$11,1))+1)-INDEX(Reference!$A$6:$A$11,MIN(5,MATCH(MAX(Reference!$A$6,MIN(Reference!$A$11,MIN($U125,180))),Reference!$A$6:$A$11,1))))),0)+IF(5&lt;=$AL125,($AL125-5+3)*(INDEX(Reference!$B$6:$B$11,MIN(5,MATCH(MAX(Reference!$A$6,MIN(Reference!$A$11,MIN($U125,210))),Reference!$A$6:$A$11,1)))+(MAX(Reference!$A$6,MIN(Reference!$A$11,MIN($U125,210)))-INDEX(Reference!$A$6:$A$11,MIN(5,MATCH(MAX(Reference!$A$6,MIN(Reference!$A$11,MIN($U125,210))),Reference!$A$6:$A$11,1))))*(INDEX(Reference!$B$6:$B$11,MIN(5,MATCH(MAX(Reference!$A$6,MIN(Reference!$A$11,MIN($U125,210))),Reference!$A$6:$A$11,1))+1)-INDEX(Reference!$B$6:$B$11,MIN(5,MATCH(MAX(Reference!$A$6,MIN(Reference!$A$11,MIN($U125,210))),Reference!$A$6:$A$11,1))))/(INDEX(Reference!$A$6:$A$11,MIN(5,MATCH(MAX(Reference!$A$6,MIN(Reference!$A$11,MIN($U125,210))),Reference!$A$6:$A$11,1))+1)-INDEX(Reference!$A$6:$A$11,MIN(5,MATCH(MAX(Reference!$A$6,MIN(Reference!$A$11,MIN($U125,210))),Reference!$A$6:$A$11,1))))),0)+IF(6&lt;=$AL125,($AL125-6+3)*(INDEX(Reference!$B$6:$B$11,MIN(5,MATCH(MAX(Reference!$A$6,MIN(Reference!$A$11,MIN($U125,240))),Reference!$A$6:$A$11,1)))+(MAX(Reference!$A$6,MIN(Reference!$A$11,MIN($U125,240)))-INDEX(Reference!$A$6:$A$11,MIN(5,MATCH(MAX(Reference!$A$6,MIN(Reference!$A$11,MIN($U125,240))),Reference!$A$6:$A$11,1))))*(INDEX(Reference!$B$6:$B$11,MIN(5,MATCH(MAX(Reference!$A$6,MIN(Reference!$A$11,MIN($U125,240))),Reference!$A$6:$A$11,1))+1)-INDEX(Reference!$B$6:$B$11,MIN(5,MATCH(MAX(Reference!$A$6,MIN(Reference!$A$11,MIN($U125,240))),Reference!$A$6:$A$11,1))))/(INDEX(Reference!$A$6:$A$11,MIN(5,MATCH(MAX(Reference!$A$6,MIN(Reference!$A$11,MIN($U125,240))),Reference!$A$6:$A$11,1))+1)-INDEX(Reference!$A$6:$A$11,MIN(5,MATCH(MAX(Reference!$A$6,MIN(Reference!$A$11,MIN($U125,240))),Reference!$A$6:$A$11,1))))),0)+IF(7&lt;=$AL125,($AL125-7+3)*(INDEX(Reference!$B$6:$B$11,MIN(5,MATCH(MAX(Reference!$A$6,MIN(Reference!$A$11,MIN($U125,270))),Reference!$A$6:$A$11,1)))+(MAX(Reference!$A$6,MIN(Reference!$A$11,MIN($U125,270)))-INDEX(Reference!$A$6:$A$11,MIN(5,MATCH(MAX(Reference!$A$6,MIN(Reference!$A$11,MIN($U125,270))),Reference!$A$6:$A$11,1))))*(INDEX(Reference!$B$6:$B$11,MIN(5,MATCH(MAX(Reference!$A$6,MIN(Reference!$A$11,MIN($U125,270))),Reference!$A$6:$A$11,1))+1)-INDEX(Reference!$B$6:$B$11,MIN(5,MATCH(MAX(Reference!$A$6,MIN(Reference!$A$11,MIN($U125,270))),Reference!$A$6:$A$11,1))))/(INDEX(Reference!$A$6:$A$11,MIN(5,MATCH(MAX(Reference!$A$6,MIN(Reference!$A$11,MIN($U125,270))),Reference!$A$6:$A$11,1))+1)-INDEX(Reference!$A$6:$A$11,MIN(5,MATCH(MAX(Reference!$A$6,MIN(Reference!$A$11,MIN($U125,270))),Reference!$A$6:$A$11,1))))),0)+IF(8&lt;=$AL125,($AL125-8+3)*(INDEX(Reference!$B$6:$B$11,MIN(5,MATCH(MAX(Reference!$A$6,MIN(Reference!$A$11,MIN($U125,300))),Reference!$A$6:$A$11,1)))+(MAX(Reference!$A$6,MIN(Reference!$A$11,MIN($U125,300)))-INDEX(Reference!$A$6:$A$11,MIN(5,MATCH(MAX(Reference!$A$6,MIN(Reference!$A$11,MIN($U125,300))),Reference!$A$6:$A$11,1))))*(INDEX(Reference!$B$6:$B$11,MIN(5,MATCH(MAX(Reference!$A$6,MIN(Reference!$A$11,MIN($U125,300))),Reference!$A$6:$A$11,1))+1)-INDEX(Reference!$B$6:$B$11,MIN(5,MATCH(MAX(Reference!$A$6,MIN(Reference!$A$11,MIN($U125,300))),Reference!$A$6:$A$11,1))))/(INDEX(Reference!$A$6:$A$11,MIN(5,MATCH(MAX(Reference!$A$6,MIN(Reference!$A$11,MIN($U125,300))),Reference!$A$6:$A$11,1))+1)-INDEX(Reference!$A$6:$A$11,MIN(5,MATCH(MAX(Reference!$A$6,MIN(Reference!$A$11,MIN($U125,300))),Reference!$A$6:$A$11,1))))),0))/($AL125*($AL125+5)/2)),$AN125))</f>
        <v>0</v>
      </c>
      <c r="AN125" s="32">
        <f>IF($U125="",0,(INDEX(Reference!$B$6:$B$11,MIN(5,MATCH(MAX(Reference!$A$6,MIN(Reference!$A$11,$U125)),Reference!$A$6:$A$11,1)))+(MAX(Reference!$A$6,MIN(Reference!$A$11,$U125))-INDEX(Reference!$A$6:$A$11,MIN(5,MATCH(MAX(Reference!$A$6,MIN(Reference!$A$11,$U125)),Reference!$A$6:$A$11,1))))*(INDEX(Reference!$B$6:$B$11,MIN(5,MATCH(MAX(Reference!$A$6,MIN(Reference!$A$11,$U125)),Reference!$A$6:$A$11,1))+1)-INDEX(Reference!$B$6:$B$11,MIN(5,MATCH(MAX(Reference!$A$6,MIN(Reference!$A$11,$U125)),Reference!$A$6:$A$11,1))))/(INDEX(Reference!$A$6:$A$11,MIN(5,MATCH(MAX(Reference!$A$6,MIN(Reference!$A$11,$U125)),Reference!$A$6:$A$11,1))+1)-INDEX(Reference!$A$6:$A$11,MIN(5,MATCH(MAX(Reference!$A$6,MIN(Reference!$A$11,$U125)),Reference!$A$6:$A$11,1))))))</f>
        <v>0</v>
      </c>
      <c r="AO125" s="37"/>
      <c r="AP125" s="37"/>
      <c r="AQ125" s="37"/>
    </row>
    <row r="126" spans="1:43" x14ac:dyDescent="0.3">
      <c r="A126" s="48" t="str">
        <f t="shared" si="55"/>
        <v/>
      </c>
      <c r="B126" s="32" t="str">
        <f t="shared" si="56"/>
        <v/>
      </c>
      <c r="C126" s="32" t="str">
        <f t="shared" si="57"/>
        <v/>
      </c>
      <c r="D126" s="32" t="str">
        <f t="shared" si="58"/>
        <v/>
      </c>
      <c r="E126" s="32" t="str">
        <f t="shared" si="59"/>
        <v/>
      </c>
      <c r="F126" s="32" t="str">
        <f t="shared" si="60"/>
        <v/>
      </c>
      <c r="G126" s="47" t="str">
        <f t="shared" si="61"/>
        <v/>
      </c>
      <c r="H126" s="30" t="str">
        <f t="shared" si="62"/>
        <v/>
      </c>
      <c r="I126" s="46" t="str">
        <f>IF($A126="","",IF(AND($L126&lt;27,$K$12=0),"Building",IFERROR(((SUM($H$120:$H126)+$K$12*IF($L126&lt;6,SUMIFS('Throw Log'!$Q$5:$Q$300,'Throw Log'!$B$5:$B$300,$D$4,'Throw Log'!$A$5:$A$300,"&gt;="&amp;($D$6+$L126-6),'Throw Log'!$A$5:$A$300,"&lt;="&amp;($D$6-1)),0))/7)/((SUM($H$99:$H126)+$K$12*IF($L126&lt;27,SUMIFS('Throw Log'!$Q$5:$Q$300,'Throw Log'!$B$5:$B$300,$D$4,'Throw Log'!$A$5:$A$300,"&gt;="&amp;($D$6+$L126-27),'Throw Log'!$A$5:$A$300,"&lt;="&amp;($D$6-1)),0))/28),"")))</f>
        <v/>
      </c>
      <c r="J126" s="37"/>
      <c r="K126" s="37"/>
      <c r="L126" s="32">
        <v>83</v>
      </c>
      <c r="M126" s="32">
        <f t="shared" si="63"/>
        <v>12</v>
      </c>
      <c r="N126" s="32">
        <f t="shared" si="64"/>
        <v>6</v>
      </c>
      <c r="O126" s="32">
        <f t="shared" si="65"/>
        <v>1</v>
      </c>
      <c r="P126" s="32" t="str">
        <f>IF(OR($A126="",N($C126)&lt;=7),"",$G$6*$G$9^($M126-1)*IF(AND(MOD($M126,Reference!$B$99)=0,$M126&lt;=$G$5-2),Reference!$B$100,1))</f>
        <v/>
      </c>
      <c r="Q126" s="32" t="str">
        <f>IF($P126="","",IF(SUM($AK$120:$AK$126)=0,0,$P126*INDEX(Reference!$B$108:$B$114,$N126+1)/SUM($AK$120:$AK$126)))</f>
        <v/>
      </c>
      <c r="R126" s="32">
        <f t="shared" si="66"/>
        <v>120</v>
      </c>
      <c r="S126" s="32">
        <f t="shared" si="67"/>
        <v>105</v>
      </c>
      <c r="T126" s="32" t="str">
        <f>IF($A126="","",IF($C126=0,"Bullpen",IF(OR($C126=7,$C126=1,$C126=5),"Recovery/Easy Catch",IF($C126=6,"Compression/Pulldowns",IF(OR($C126=4,$C126=2),"Long Toss",IF($C126=3,"No Throw",IF($N126=2,"No Throw",IF($N126=6,IF($O126&lt;Reference!$B$104,"No Throw","Recovery/Easy Catch"),IF(OR($N126=0,$N126=4),"Recovery/Easy Catch",IF($N126=1,IF($R126&gt;75,"Long Toss","Recovery/Easy Catch"),IF($N126=3,IF($O126&lt;0.5,IF($S126&gt;75,"Long Toss","Recovery/Easy Catch"),"Compression/Pulldowns"),IF($S126&gt;75,"Long Toss","Recovery/Easy Catch"))))))))))))</f>
        <v/>
      </c>
      <c r="U126" s="32" t="str">
        <f t="shared" si="68"/>
        <v/>
      </c>
      <c r="V126" s="32" t="str">
        <f t="shared" si="69"/>
        <v/>
      </c>
      <c r="W126" s="32" t="str">
        <f t="shared" si="70"/>
        <v/>
      </c>
      <c r="X126" s="32">
        <f t="shared" si="71"/>
        <v>0</v>
      </c>
      <c r="Y126" s="32" t="str">
        <f t="shared" si="72"/>
        <v/>
      </c>
      <c r="Z126" s="32" t="str">
        <f t="shared" si="73"/>
        <v/>
      </c>
      <c r="AA126" s="32" t="str">
        <f t="shared" si="74"/>
        <v/>
      </c>
      <c r="AB126" s="32" t="str">
        <f>IF($A126="","",IF($T126="No Throw",0,IF($K126&lt;&gt;"",$K126,IF($AA126&lt;&gt;"",ROUND($AA126*$D$12*IF($C126=0,1,$G$10),0),MIN(IF($T126="Recovery/Easy Catch",Reference!$B$103,IF($T126="Long Toss",Reference!$B$106,Reference!$B$102)),MAX(Reference!$B$101,ROUND(MAX(0,$Q126-$AE126)/$AF126,0)))))))</f>
        <v/>
      </c>
      <c r="AC126" s="32">
        <f t="shared" si="75"/>
        <v>0</v>
      </c>
      <c r="AD126" s="32" t="b">
        <f t="shared" si="76"/>
        <v>1</v>
      </c>
      <c r="AE126" s="32">
        <f>IF($X126=0,0,$X126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126+$Z126)/2,0),Reference!$A$17:$B$20,2,TRUE()))</f>
        <v>0</v>
      </c>
      <c r="AF126" s="32">
        <f>IF(OR($A126="",$U126="",$T126="No Throw"),0,$AM126*VLOOKUP(MAX(($V126+$W126)/2,0),Reference!$A$17:$B$20,2,TRUE()))</f>
        <v>0</v>
      </c>
      <c r="AG126" s="32">
        <f>IF($AC126=0,0,$AC126*INDEX(Reference!$B$61:$B$62,MATCH("Bullpen",Reference!$A$61:$A$62,0))*VLOOKUP(MAX($D$5-($D$9+$E$9)/2,0),Reference!$A$17:$B$20,2,TRUE()))</f>
        <v>0</v>
      </c>
      <c r="AH126" s="32" t="e">
        <f t="shared" si="77"/>
        <v>#N/A</v>
      </c>
      <c r="AI126" s="32" t="e">
        <f>IF($A126="",NA(),Reference!$A$25)</f>
        <v>#N/A</v>
      </c>
      <c r="AJ126" s="32" t="e">
        <f t="shared" si="78"/>
        <v>#N/A</v>
      </c>
      <c r="AK126" s="32">
        <f>IF(OR($A126="",N($C126)&lt;=7,$T126="No Throw",$J126="x"),0,INDEX(Reference!$B$108:$B$114,$N126+1))</f>
        <v>0</v>
      </c>
      <c r="AL126" s="32">
        <f t="shared" si="79"/>
        <v>1</v>
      </c>
      <c r="AM126" s="32">
        <f>IF($U126="",0,IF($AL126&gt;1,((IF(1&lt;=$AL126,($AL126-1+3)*(INDEX(Reference!$B$6:$B$11,MIN(5,MATCH(MAX(Reference!$A$6,MIN(Reference!$A$11,MIN($U126,90))),Reference!$A$6:$A$11,1)))+(MAX(Reference!$A$6,MIN(Reference!$A$11,MIN($U126,90)))-INDEX(Reference!$A$6:$A$11,MIN(5,MATCH(MAX(Reference!$A$6,MIN(Reference!$A$11,MIN($U126,90))),Reference!$A$6:$A$11,1))))*(INDEX(Reference!$B$6:$B$11,MIN(5,MATCH(MAX(Reference!$A$6,MIN(Reference!$A$11,MIN($U126,90))),Reference!$A$6:$A$11,1))+1)-INDEX(Reference!$B$6:$B$11,MIN(5,MATCH(MAX(Reference!$A$6,MIN(Reference!$A$11,MIN($U126,90))),Reference!$A$6:$A$11,1))))/(INDEX(Reference!$A$6:$A$11,MIN(5,MATCH(MAX(Reference!$A$6,MIN(Reference!$A$11,MIN($U126,90))),Reference!$A$6:$A$11,1))+1)-INDEX(Reference!$A$6:$A$11,MIN(5,MATCH(MAX(Reference!$A$6,MIN(Reference!$A$11,MIN($U126,90))),Reference!$A$6:$A$11,1))))),0)+IF(2&lt;=$AL126,($AL126-2+3)*(INDEX(Reference!$B$6:$B$11,MIN(5,MATCH(MAX(Reference!$A$6,MIN(Reference!$A$11,MIN($U126,120))),Reference!$A$6:$A$11,1)))+(MAX(Reference!$A$6,MIN(Reference!$A$11,MIN($U126,120)))-INDEX(Reference!$A$6:$A$11,MIN(5,MATCH(MAX(Reference!$A$6,MIN(Reference!$A$11,MIN($U126,120))),Reference!$A$6:$A$11,1))))*(INDEX(Reference!$B$6:$B$11,MIN(5,MATCH(MAX(Reference!$A$6,MIN(Reference!$A$11,MIN($U126,120))),Reference!$A$6:$A$11,1))+1)-INDEX(Reference!$B$6:$B$11,MIN(5,MATCH(MAX(Reference!$A$6,MIN(Reference!$A$11,MIN($U126,120))),Reference!$A$6:$A$11,1))))/(INDEX(Reference!$A$6:$A$11,MIN(5,MATCH(MAX(Reference!$A$6,MIN(Reference!$A$11,MIN($U126,120))),Reference!$A$6:$A$11,1))+1)-INDEX(Reference!$A$6:$A$11,MIN(5,MATCH(MAX(Reference!$A$6,MIN(Reference!$A$11,MIN($U126,120))),Reference!$A$6:$A$11,1))))),0)+IF(3&lt;=$AL126,($AL126-3+3)*(INDEX(Reference!$B$6:$B$11,MIN(5,MATCH(MAX(Reference!$A$6,MIN(Reference!$A$11,MIN($U126,150))),Reference!$A$6:$A$11,1)))+(MAX(Reference!$A$6,MIN(Reference!$A$11,MIN($U126,150)))-INDEX(Reference!$A$6:$A$11,MIN(5,MATCH(MAX(Reference!$A$6,MIN(Reference!$A$11,MIN($U126,150))),Reference!$A$6:$A$11,1))))*(INDEX(Reference!$B$6:$B$11,MIN(5,MATCH(MAX(Reference!$A$6,MIN(Reference!$A$11,MIN($U126,150))),Reference!$A$6:$A$11,1))+1)-INDEX(Reference!$B$6:$B$11,MIN(5,MATCH(MAX(Reference!$A$6,MIN(Reference!$A$11,MIN($U126,150))),Reference!$A$6:$A$11,1))))/(INDEX(Reference!$A$6:$A$11,MIN(5,MATCH(MAX(Reference!$A$6,MIN(Reference!$A$11,MIN($U126,150))),Reference!$A$6:$A$11,1))+1)-INDEX(Reference!$A$6:$A$11,MIN(5,MATCH(MAX(Reference!$A$6,MIN(Reference!$A$11,MIN($U126,150))),Reference!$A$6:$A$11,1))))),0)+IF(4&lt;=$AL126,($AL126-4+3)*(INDEX(Reference!$B$6:$B$11,MIN(5,MATCH(MAX(Reference!$A$6,MIN(Reference!$A$11,MIN($U126,180))),Reference!$A$6:$A$11,1)))+(MAX(Reference!$A$6,MIN(Reference!$A$11,MIN($U126,180)))-INDEX(Reference!$A$6:$A$11,MIN(5,MATCH(MAX(Reference!$A$6,MIN(Reference!$A$11,MIN($U126,180))),Reference!$A$6:$A$11,1))))*(INDEX(Reference!$B$6:$B$11,MIN(5,MATCH(MAX(Reference!$A$6,MIN(Reference!$A$11,MIN($U126,180))),Reference!$A$6:$A$11,1))+1)-INDEX(Reference!$B$6:$B$11,MIN(5,MATCH(MAX(Reference!$A$6,MIN(Reference!$A$11,MIN($U126,180))),Reference!$A$6:$A$11,1))))/(INDEX(Reference!$A$6:$A$11,MIN(5,MATCH(MAX(Reference!$A$6,MIN(Reference!$A$11,MIN($U126,180))),Reference!$A$6:$A$11,1))+1)-INDEX(Reference!$A$6:$A$11,MIN(5,MATCH(MAX(Reference!$A$6,MIN(Reference!$A$11,MIN($U126,180))),Reference!$A$6:$A$11,1))))),0)+IF(5&lt;=$AL126,($AL126-5+3)*(INDEX(Reference!$B$6:$B$11,MIN(5,MATCH(MAX(Reference!$A$6,MIN(Reference!$A$11,MIN($U126,210))),Reference!$A$6:$A$11,1)))+(MAX(Reference!$A$6,MIN(Reference!$A$11,MIN($U126,210)))-INDEX(Reference!$A$6:$A$11,MIN(5,MATCH(MAX(Reference!$A$6,MIN(Reference!$A$11,MIN($U126,210))),Reference!$A$6:$A$11,1))))*(INDEX(Reference!$B$6:$B$11,MIN(5,MATCH(MAX(Reference!$A$6,MIN(Reference!$A$11,MIN($U126,210))),Reference!$A$6:$A$11,1))+1)-INDEX(Reference!$B$6:$B$11,MIN(5,MATCH(MAX(Reference!$A$6,MIN(Reference!$A$11,MIN($U126,210))),Reference!$A$6:$A$11,1))))/(INDEX(Reference!$A$6:$A$11,MIN(5,MATCH(MAX(Reference!$A$6,MIN(Reference!$A$11,MIN($U126,210))),Reference!$A$6:$A$11,1))+1)-INDEX(Reference!$A$6:$A$11,MIN(5,MATCH(MAX(Reference!$A$6,MIN(Reference!$A$11,MIN($U126,210))),Reference!$A$6:$A$11,1))))),0)+IF(6&lt;=$AL126,($AL126-6+3)*(INDEX(Reference!$B$6:$B$11,MIN(5,MATCH(MAX(Reference!$A$6,MIN(Reference!$A$11,MIN($U126,240))),Reference!$A$6:$A$11,1)))+(MAX(Reference!$A$6,MIN(Reference!$A$11,MIN($U126,240)))-INDEX(Reference!$A$6:$A$11,MIN(5,MATCH(MAX(Reference!$A$6,MIN(Reference!$A$11,MIN($U126,240))),Reference!$A$6:$A$11,1))))*(INDEX(Reference!$B$6:$B$11,MIN(5,MATCH(MAX(Reference!$A$6,MIN(Reference!$A$11,MIN($U126,240))),Reference!$A$6:$A$11,1))+1)-INDEX(Reference!$B$6:$B$11,MIN(5,MATCH(MAX(Reference!$A$6,MIN(Reference!$A$11,MIN($U126,240))),Reference!$A$6:$A$11,1))))/(INDEX(Reference!$A$6:$A$11,MIN(5,MATCH(MAX(Reference!$A$6,MIN(Reference!$A$11,MIN($U126,240))),Reference!$A$6:$A$11,1))+1)-INDEX(Reference!$A$6:$A$11,MIN(5,MATCH(MAX(Reference!$A$6,MIN(Reference!$A$11,MIN($U126,240))),Reference!$A$6:$A$11,1))))),0)+IF(7&lt;=$AL126,($AL126-7+3)*(INDEX(Reference!$B$6:$B$11,MIN(5,MATCH(MAX(Reference!$A$6,MIN(Reference!$A$11,MIN($U126,270))),Reference!$A$6:$A$11,1)))+(MAX(Reference!$A$6,MIN(Reference!$A$11,MIN($U126,270)))-INDEX(Reference!$A$6:$A$11,MIN(5,MATCH(MAX(Reference!$A$6,MIN(Reference!$A$11,MIN($U126,270))),Reference!$A$6:$A$11,1))))*(INDEX(Reference!$B$6:$B$11,MIN(5,MATCH(MAX(Reference!$A$6,MIN(Reference!$A$11,MIN($U126,270))),Reference!$A$6:$A$11,1))+1)-INDEX(Reference!$B$6:$B$11,MIN(5,MATCH(MAX(Reference!$A$6,MIN(Reference!$A$11,MIN($U126,270))),Reference!$A$6:$A$11,1))))/(INDEX(Reference!$A$6:$A$11,MIN(5,MATCH(MAX(Reference!$A$6,MIN(Reference!$A$11,MIN($U126,270))),Reference!$A$6:$A$11,1))+1)-INDEX(Reference!$A$6:$A$11,MIN(5,MATCH(MAX(Reference!$A$6,MIN(Reference!$A$11,MIN($U126,270))),Reference!$A$6:$A$11,1))))),0)+IF(8&lt;=$AL126,($AL126-8+3)*(INDEX(Reference!$B$6:$B$11,MIN(5,MATCH(MAX(Reference!$A$6,MIN(Reference!$A$11,MIN($U126,300))),Reference!$A$6:$A$11,1)))+(MAX(Reference!$A$6,MIN(Reference!$A$11,MIN($U126,300)))-INDEX(Reference!$A$6:$A$11,MIN(5,MATCH(MAX(Reference!$A$6,MIN(Reference!$A$11,MIN($U126,300))),Reference!$A$6:$A$11,1))))*(INDEX(Reference!$B$6:$B$11,MIN(5,MATCH(MAX(Reference!$A$6,MIN(Reference!$A$11,MIN($U126,300))),Reference!$A$6:$A$11,1))+1)-INDEX(Reference!$B$6:$B$11,MIN(5,MATCH(MAX(Reference!$A$6,MIN(Reference!$A$11,MIN($U126,300))),Reference!$A$6:$A$11,1))))/(INDEX(Reference!$A$6:$A$11,MIN(5,MATCH(MAX(Reference!$A$6,MIN(Reference!$A$11,MIN($U126,300))),Reference!$A$6:$A$11,1))+1)-INDEX(Reference!$A$6:$A$11,MIN(5,MATCH(MAX(Reference!$A$6,MIN(Reference!$A$11,MIN($U126,300))),Reference!$A$6:$A$11,1))))),0))/($AL126*($AL126+5)/2)),$AN126))</f>
        <v>0</v>
      </c>
      <c r="AN126" s="32">
        <f>IF($U126="",0,(INDEX(Reference!$B$6:$B$11,MIN(5,MATCH(MAX(Reference!$A$6,MIN(Reference!$A$11,$U126)),Reference!$A$6:$A$11,1)))+(MAX(Reference!$A$6,MIN(Reference!$A$11,$U126))-INDEX(Reference!$A$6:$A$11,MIN(5,MATCH(MAX(Reference!$A$6,MIN(Reference!$A$11,$U126)),Reference!$A$6:$A$11,1))))*(INDEX(Reference!$B$6:$B$11,MIN(5,MATCH(MAX(Reference!$A$6,MIN(Reference!$A$11,$U126)),Reference!$A$6:$A$11,1))+1)-INDEX(Reference!$B$6:$B$11,MIN(5,MATCH(MAX(Reference!$A$6,MIN(Reference!$A$11,$U126)),Reference!$A$6:$A$11,1))))/(INDEX(Reference!$A$6:$A$11,MIN(5,MATCH(MAX(Reference!$A$6,MIN(Reference!$A$11,$U126)),Reference!$A$6:$A$11,1))+1)-INDEX(Reference!$A$6:$A$11,MIN(5,MATCH(MAX(Reference!$A$6,MIN(Reference!$A$11,$U126)),Reference!$A$6:$A$11,1))))))</f>
        <v>0</v>
      </c>
      <c r="AO126" s="37"/>
      <c r="AP126" s="37"/>
      <c r="AQ126" s="37"/>
    </row>
    <row r="127" spans="1:43" x14ac:dyDescent="0.3">
      <c r="A127" s="48" t="str">
        <f t="shared" si="55"/>
        <v/>
      </c>
      <c r="B127" s="32" t="str">
        <f t="shared" si="56"/>
        <v/>
      </c>
      <c r="C127" s="32" t="str">
        <f t="shared" si="57"/>
        <v/>
      </c>
      <c r="D127" s="32" t="str">
        <f t="shared" si="58"/>
        <v/>
      </c>
      <c r="E127" s="32" t="str">
        <f t="shared" si="59"/>
        <v/>
      </c>
      <c r="F127" s="32" t="str">
        <f t="shared" si="60"/>
        <v/>
      </c>
      <c r="G127" s="47" t="str">
        <f t="shared" si="61"/>
        <v/>
      </c>
      <c r="H127" s="30" t="str">
        <f t="shared" si="62"/>
        <v/>
      </c>
      <c r="I127" s="46" t="str">
        <f>IF($A127="","",IF(AND($L127&lt;27,$K$12=0),"Building",IFERROR(((SUM($H$121:$H127)+$K$12*IF($L127&lt;6,SUMIFS('Throw Log'!$Q$5:$Q$300,'Throw Log'!$B$5:$B$300,$D$4,'Throw Log'!$A$5:$A$300,"&gt;="&amp;($D$6+$L127-6),'Throw Log'!$A$5:$A$300,"&lt;="&amp;($D$6-1)),0))/7)/((SUM($H$100:$H127)+$K$12*IF($L127&lt;27,SUMIFS('Throw Log'!$Q$5:$Q$300,'Throw Log'!$B$5:$B$300,$D$4,'Throw Log'!$A$5:$A$300,"&gt;="&amp;($D$6+$L127-27),'Throw Log'!$A$5:$A$300,"&lt;="&amp;($D$6-1)),0))/28),"")))</f>
        <v/>
      </c>
      <c r="J127" s="37"/>
      <c r="K127" s="37"/>
      <c r="L127" s="32">
        <v>84</v>
      </c>
      <c r="M127" s="32">
        <f t="shared" si="63"/>
        <v>13</v>
      </c>
      <c r="N127" s="32">
        <f t="shared" si="64"/>
        <v>0</v>
      </c>
      <c r="O127" s="32">
        <f t="shared" si="65"/>
        <v>1</v>
      </c>
      <c r="P127" s="32" t="str">
        <f>IF(OR($A127="",N($C127)&lt;=7),"",$G$6*$G$9^($M127-1)*IF(AND(MOD($M127,Reference!$B$99)=0,$M127&lt;=$G$5-2),Reference!$B$100,1))</f>
        <v/>
      </c>
      <c r="Q127" s="32" t="str">
        <f>IF($P127="","",IF(SUM($AK$127:$AK$133)=0,0,$P127*INDEX(Reference!$B$108:$B$114,$N127+1)/SUM($AK$127:$AK$133)))</f>
        <v/>
      </c>
      <c r="R127" s="32">
        <f t="shared" si="66"/>
        <v>120</v>
      </c>
      <c r="S127" s="32">
        <f t="shared" si="67"/>
        <v>105</v>
      </c>
      <c r="T127" s="32" t="str">
        <f>IF($A127="","",IF($C127=0,"Bullpen",IF(OR($C127=7,$C127=1,$C127=5),"Recovery/Easy Catch",IF($C127=6,"Compression/Pulldowns",IF(OR($C127=4,$C127=2),"Long Toss",IF($C127=3,"No Throw",IF($N127=2,"No Throw",IF($N127=6,IF($O127&lt;Reference!$B$104,"No Throw","Recovery/Easy Catch"),IF(OR($N127=0,$N127=4),"Recovery/Easy Catch",IF($N127=1,IF($R127&gt;75,"Long Toss","Recovery/Easy Catch"),IF($N127=3,IF($O127&lt;0.5,IF($S127&gt;75,"Long Toss","Recovery/Easy Catch"),"Compression/Pulldowns"),IF($S127&gt;75,"Long Toss","Recovery/Easy Catch"))))))))))))</f>
        <v/>
      </c>
      <c r="U127" s="32" t="str">
        <f t="shared" si="68"/>
        <v/>
      </c>
      <c r="V127" s="32" t="str">
        <f t="shared" si="69"/>
        <v/>
      </c>
      <c r="W127" s="32" t="str">
        <f t="shared" si="70"/>
        <v/>
      </c>
      <c r="X127" s="32">
        <f t="shared" si="71"/>
        <v>0</v>
      </c>
      <c r="Y127" s="32" t="str">
        <f t="shared" si="72"/>
        <v/>
      </c>
      <c r="Z127" s="32" t="str">
        <f t="shared" si="73"/>
        <v/>
      </c>
      <c r="AA127" s="32" t="str">
        <f t="shared" si="74"/>
        <v/>
      </c>
      <c r="AB127" s="32" t="str">
        <f>IF($A127="","",IF($T127="No Throw",0,IF($K127&lt;&gt;"",$K127,IF($AA127&lt;&gt;"",ROUND($AA127*$D$12*IF($C127=0,1,$G$10),0),MIN(IF($T127="Recovery/Easy Catch",Reference!$B$103,IF($T127="Long Toss",Reference!$B$106,Reference!$B$102)),MAX(Reference!$B$101,ROUND(MAX(0,$Q127-$AE127)/$AF127,0)))))))</f>
        <v/>
      </c>
      <c r="AC127" s="32">
        <f t="shared" si="75"/>
        <v>0</v>
      </c>
      <c r="AD127" s="32" t="b">
        <f t="shared" si="76"/>
        <v>1</v>
      </c>
      <c r="AE127" s="32">
        <f>IF($X127=0,0,$X127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127+$Z127)/2,0),Reference!$A$17:$B$20,2,TRUE()))</f>
        <v>0</v>
      </c>
      <c r="AF127" s="32">
        <f>IF(OR($A127="",$U127="",$T127="No Throw"),0,$AM127*VLOOKUP(MAX(($V127+$W127)/2,0),Reference!$A$17:$B$20,2,TRUE()))</f>
        <v>0</v>
      </c>
      <c r="AG127" s="32">
        <f>IF($AC127=0,0,$AC127*INDEX(Reference!$B$61:$B$62,MATCH("Bullpen",Reference!$A$61:$A$62,0))*VLOOKUP(MAX($D$5-($D$9+$E$9)/2,0),Reference!$A$17:$B$20,2,TRUE()))</f>
        <v>0</v>
      </c>
      <c r="AH127" s="32" t="e">
        <f t="shared" si="77"/>
        <v>#N/A</v>
      </c>
      <c r="AI127" s="32" t="e">
        <f>IF($A127="",NA(),Reference!$A$25)</f>
        <v>#N/A</v>
      </c>
      <c r="AJ127" s="32" t="e">
        <f t="shared" si="78"/>
        <v>#N/A</v>
      </c>
      <c r="AK127" s="32">
        <f>IF(OR($A127="",N($C127)&lt;=7,$T127="No Throw",$J127="x"),0,INDEX(Reference!$B$108:$B$114,$N127+1))</f>
        <v>0</v>
      </c>
      <c r="AL127" s="32">
        <f t="shared" si="79"/>
        <v>1</v>
      </c>
      <c r="AM127" s="32">
        <f>IF($U127="",0,IF($AL127&gt;1,((IF(1&lt;=$AL127,($AL127-1+3)*(INDEX(Reference!$B$6:$B$11,MIN(5,MATCH(MAX(Reference!$A$6,MIN(Reference!$A$11,MIN($U127,90))),Reference!$A$6:$A$11,1)))+(MAX(Reference!$A$6,MIN(Reference!$A$11,MIN($U127,90)))-INDEX(Reference!$A$6:$A$11,MIN(5,MATCH(MAX(Reference!$A$6,MIN(Reference!$A$11,MIN($U127,90))),Reference!$A$6:$A$11,1))))*(INDEX(Reference!$B$6:$B$11,MIN(5,MATCH(MAX(Reference!$A$6,MIN(Reference!$A$11,MIN($U127,90))),Reference!$A$6:$A$11,1))+1)-INDEX(Reference!$B$6:$B$11,MIN(5,MATCH(MAX(Reference!$A$6,MIN(Reference!$A$11,MIN($U127,90))),Reference!$A$6:$A$11,1))))/(INDEX(Reference!$A$6:$A$11,MIN(5,MATCH(MAX(Reference!$A$6,MIN(Reference!$A$11,MIN($U127,90))),Reference!$A$6:$A$11,1))+1)-INDEX(Reference!$A$6:$A$11,MIN(5,MATCH(MAX(Reference!$A$6,MIN(Reference!$A$11,MIN($U127,90))),Reference!$A$6:$A$11,1))))),0)+IF(2&lt;=$AL127,($AL127-2+3)*(INDEX(Reference!$B$6:$B$11,MIN(5,MATCH(MAX(Reference!$A$6,MIN(Reference!$A$11,MIN($U127,120))),Reference!$A$6:$A$11,1)))+(MAX(Reference!$A$6,MIN(Reference!$A$11,MIN($U127,120)))-INDEX(Reference!$A$6:$A$11,MIN(5,MATCH(MAX(Reference!$A$6,MIN(Reference!$A$11,MIN($U127,120))),Reference!$A$6:$A$11,1))))*(INDEX(Reference!$B$6:$B$11,MIN(5,MATCH(MAX(Reference!$A$6,MIN(Reference!$A$11,MIN($U127,120))),Reference!$A$6:$A$11,1))+1)-INDEX(Reference!$B$6:$B$11,MIN(5,MATCH(MAX(Reference!$A$6,MIN(Reference!$A$11,MIN($U127,120))),Reference!$A$6:$A$11,1))))/(INDEX(Reference!$A$6:$A$11,MIN(5,MATCH(MAX(Reference!$A$6,MIN(Reference!$A$11,MIN($U127,120))),Reference!$A$6:$A$11,1))+1)-INDEX(Reference!$A$6:$A$11,MIN(5,MATCH(MAX(Reference!$A$6,MIN(Reference!$A$11,MIN($U127,120))),Reference!$A$6:$A$11,1))))),0)+IF(3&lt;=$AL127,($AL127-3+3)*(INDEX(Reference!$B$6:$B$11,MIN(5,MATCH(MAX(Reference!$A$6,MIN(Reference!$A$11,MIN($U127,150))),Reference!$A$6:$A$11,1)))+(MAX(Reference!$A$6,MIN(Reference!$A$11,MIN($U127,150)))-INDEX(Reference!$A$6:$A$11,MIN(5,MATCH(MAX(Reference!$A$6,MIN(Reference!$A$11,MIN($U127,150))),Reference!$A$6:$A$11,1))))*(INDEX(Reference!$B$6:$B$11,MIN(5,MATCH(MAX(Reference!$A$6,MIN(Reference!$A$11,MIN($U127,150))),Reference!$A$6:$A$11,1))+1)-INDEX(Reference!$B$6:$B$11,MIN(5,MATCH(MAX(Reference!$A$6,MIN(Reference!$A$11,MIN($U127,150))),Reference!$A$6:$A$11,1))))/(INDEX(Reference!$A$6:$A$11,MIN(5,MATCH(MAX(Reference!$A$6,MIN(Reference!$A$11,MIN($U127,150))),Reference!$A$6:$A$11,1))+1)-INDEX(Reference!$A$6:$A$11,MIN(5,MATCH(MAX(Reference!$A$6,MIN(Reference!$A$11,MIN($U127,150))),Reference!$A$6:$A$11,1))))),0)+IF(4&lt;=$AL127,($AL127-4+3)*(INDEX(Reference!$B$6:$B$11,MIN(5,MATCH(MAX(Reference!$A$6,MIN(Reference!$A$11,MIN($U127,180))),Reference!$A$6:$A$11,1)))+(MAX(Reference!$A$6,MIN(Reference!$A$11,MIN($U127,180)))-INDEX(Reference!$A$6:$A$11,MIN(5,MATCH(MAX(Reference!$A$6,MIN(Reference!$A$11,MIN($U127,180))),Reference!$A$6:$A$11,1))))*(INDEX(Reference!$B$6:$B$11,MIN(5,MATCH(MAX(Reference!$A$6,MIN(Reference!$A$11,MIN($U127,180))),Reference!$A$6:$A$11,1))+1)-INDEX(Reference!$B$6:$B$11,MIN(5,MATCH(MAX(Reference!$A$6,MIN(Reference!$A$11,MIN($U127,180))),Reference!$A$6:$A$11,1))))/(INDEX(Reference!$A$6:$A$11,MIN(5,MATCH(MAX(Reference!$A$6,MIN(Reference!$A$11,MIN($U127,180))),Reference!$A$6:$A$11,1))+1)-INDEX(Reference!$A$6:$A$11,MIN(5,MATCH(MAX(Reference!$A$6,MIN(Reference!$A$11,MIN($U127,180))),Reference!$A$6:$A$11,1))))),0)+IF(5&lt;=$AL127,($AL127-5+3)*(INDEX(Reference!$B$6:$B$11,MIN(5,MATCH(MAX(Reference!$A$6,MIN(Reference!$A$11,MIN($U127,210))),Reference!$A$6:$A$11,1)))+(MAX(Reference!$A$6,MIN(Reference!$A$11,MIN($U127,210)))-INDEX(Reference!$A$6:$A$11,MIN(5,MATCH(MAX(Reference!$A$6,MIN(Reference!$A$11,MIN($U127,210))),Reference!$A$6:$A$11,1))))*(INDEX(Reference!$B$6:$B$11,MIN(5,MATCH(MAX(Reference!$A$6,MIN(Reference!$A$11,MIN($U127,210))),Reference!$A$6:$A$11,1))+1)-INDEX(Reference!$B$6:$B$11,MIN(5,MATCH(MAX(Reference!$A$6,MIN(Reference!$A$11,MIN($U127,210))),Reference!$A$6:$A$11,1))))/(INDEX(Reference!$A$6:$A$11,MIN(5,MATCH(MAX(Reference!$A$6,MIN(Reference!$A$11,MIN($U127,210))),Reference!$A$6:$A$11,1))+1)-INDEX(Reference!$A$6:$A$11,MIN(5,MATCH(MAX(Reference!$A$6,MIN(Reference!$A$11,MIN($U127,210))),Reference!$A$6:$A$11,1))))),0)+IF(6&lt;=$AL127,($AL127-6+3)*(INDEX(Reference!$B$6:$B$11,MIN(5,MATCH(MAX(Reference!$A$6,MIN(Reference!$A$11,MIN($U127,240))),Reference!$A$6:$A$11,1)))+(MAX(Reference!$A$6,MIN(Reference!$A$11,MIN($U127,240)))-INDEX(Reference!$A$6:$A$11,MIN(5,MATCH(MAX(Reference!$A$6,MIN(Reference!$A$11,MIN($U127,240))),Reference!$A$6:$A$11,1))))*(INDEX(Reference!$B$6:$B$11,MIN(5,MATCH(MAX(Reference!$A$6,MIN(Reference!$A$11,MIN($U127,240))),Reference!$A$6:$A$11,1))+1)-INDEX(Reference!$B$6:$B$11,MIN(5,MATCH(MAX(Reference!$A$6,MIN(Reference!$A$11,MIN($U127,240))),Reference!$A$6:$A$11,1))))/(INDEX(Reference!$A$6:$A$11,MIN(5,MATCH(MAX(Reference!$A$6,MIN(Reference!$A$11,MIN($U127,240))),Reference!$A$6:$A$11,1))+1)-INDEX(Reference!$A$6:$A$11,MIN(5,MATCH(MAX(Reference!$A$6,MIN(Reference!$A$11,MIN($U127,240))),Reference!$A$6:$A$11,1))))),0)+IF(7&lt;=$AL127,($AL127-7+3)*(INDEX(Reference!$B$6:$B$11,MIN(5,MATCH(MAX(Reference!$A$6,MIN(Reference!$A$11,MIN($U127,270))),Reference!$A$6:$A$11,1)))+(MAX(Reference!$A$6,MIN(Reference!$A$11,MIN($U127,270)))-INDEX(Reference!$A$6:$A$11,MIN(5,MATCH(MAX(Reference!$A$6,MIN(Reference!$A$11,MIN($U127,270))),Reference!$A$6:$A$11,1))))*(INDEX(Reference!$B$6:$B$11,MIN(5,MATCH(MAX(Reference!$A$6,MIN(Reference!$A$11,MIN($U127,270))),Reference!$A$6:$A$11,1))+1)-INDEX(Reference!$B$6:$B$11,MIN(5,MATCH(MAX(Reference!$A$6,MIN(Reference!$A$11,MIN($U127,270))),Reference!$A$6:$A$11,1))))/(INDEX(Reference!$A$6:$A$11,MIN(5,MATCH(MAX(Reference!$A$6,MIN(Reference!$A$11,MIN($U127,270))),Reference!$A$6:$A$11,1))+1)-INDEX(Reference!$A$6:$A$11,MIN(5,MATCH(MAX(Reference!$A$6,MIN(Reference!$A$11,MIN($U127,270))),Reference!$A$6:$A$11,1))))),0)+IF(8&lt;=$AL127,($AL127-8+3)*(INDEX(Reference!$B$6:$B$11,MIN(5,MATCH(MAX(Reference!$A$6,MIN(Reference!$A$11,MIN($U127,300))),Reference!$A$6:$A$11,1)))+(MAX(Reference!$A$6,MIN(Reference!$A$11,MIN($U127,300)))-INDEX(Reference!$A$6:$A$11,MIN(5,MATCH(MAX(Reference!$A$6,MIN(Reference!$A$11,MIN($U127,300))),Reference!$A$6:$A$11,1))))*(INDEX(Reference!$B$6:$B$11,MIN(5,MATCH(MAX(Reference!$A$6,MIN(Reference!$A$11,MIN($U127,300))),Reference!$A$6:$A$11,1))+1)-INDEX(Reference!$B$6:$B$11,MIN(5,MATCH(MAX(Reference!$A$6,MIN(Reference!$A$11,MIN($U127,300))),Reference!$A$6:$A$11,1))))/(INDEX(Reference!$A$6:$A$11,MIN(5,MATCH(MAX(Reference!$A$6,MIN(Reference!$A$11,MIN($U127,300))),Reference!$A$6:$A$11,1))+1)-INDEX(Reference!$A$6:$A$11,MIN(5,MATCH(MAX(Reference!$A$6,MIN(Reference!$A$11,MIN($U127,300))),Reference!$A$6:$A$11,1))))),0))/($AL127*($AL127+5)/2)),$AN127))</f>
        <v>0</v>
      </c>
      <c r="AN127" s="32">
        <f>IF($U127="",0,(INDEX(Reference!$B$6:$B$11,MIN(5,MATCH(MAX(Reference!$A$6,MIN(Reference!$A$11,$U127)),Reference!$A$6:$A$11,1)))+(MAX(Reference!$A$6,MIN(Reference!$A$11,$U127))-INDEX(Reference!$A$6:$A$11,MIN(5,MATCH(MAX(Reference!$A$6,MIN(Reference!$A$11,$U127)),Reference!$A$6:$A$11,1))))*(INDEX(Reference!$B$6:$B$11,MIN(5,MATCH(MAX(Reference!$A$6,MIN(Reference!$A$11,$U127)),Reference!$A$6:$A$11,1))+1)-INDEX(Reference!$B$6:$B$11,MIN(5,MATCH(MAX(Reference!$A$6,MIN(Reference!$A$11,$U127)),Reference!$A$6:$A$11,1))))/(INDEX(Reference!$A$6:$A$11,MIN(5,MATCH(MAX(Reference!$A$6,MIN(Reference!$A$11,$U127)),Reference!$A$6:$A$11,1))+1)-INDEX(Reference!$A$6:$A$11,MIN(5,MATCH(MAX(Reference!$A$6,MIN(Reference!$A$11,$U127)),Reference!$A$6:$A$11,1))))))</f>
        <v>0</v>
      </c>
      <c r="AO127" s="37"/>
      <c r="AP127" s="37"/>
      <c r="AQ127" s="37"/>
    </row>
    <row r="128" spans="1:43" x14ac:dyDescent="0.3">
      <c r="A128" s="48" t="str">
        <f t="shared" si="55"/>
        <v/>
      </c>
      <c r="B128" s="32" t="str">
        <f t="shared" si="56"/>
        <v/>
      </c>
      <c r="C128" s="32" t="str">
        <f t="shared" si="57"/>
        <v/>
      </c>
      <c r="D128" s="32" t="str">
        <f t="shared" si="58"/>
        <v/>
      </c>
      <c r="E128" s="32" t="str">
        <f t="shared" si="59"/>
        <v/>
      </c>
      <c r="F128" s="32" t="str">
        <f t="shared" si="60"/>
        <v/>
      </c>
      <c r="G128" s="47" t="str">
        <f t="shared" si="61"/>
        <v/>
      </c>
      <c r="H128" s="30" t="str">
        <f t="shared" si="62"/>
        <v/>
      </c>
      <c r="I128" s="46" t="str">
        <f>IF($A128="","",IF(AND($L128&lt;27,$K$12=0),"Building",IFERROR(((SUM($H$122:$H128)+$K$12*IF($L128&lt;6,SUMIFS('Throw Log'!$Q$5:$Q$300,'Throw Log'!$B$5:$B$300,$D$4,'Throw Log'!$A$5:$A$300,"&gt;="&amp;($D$6+$L128-6),'Throw Log'!$A$5:$A$300,"&lt;="&amp;($D$6-1)),0))/7)/((SUM($H$101:$H128)+$K$12*IF($L128&lt;27,SUMIFS('Throw Log'!$Q$5:$Q$300,'Throw Log'!$B$5:$B$300,$D$4,'Throw Log'!$A$5:$A$300,"&gt;="&amp;($D$6+$L128-27),'Throw Log'!$A$5:$A$300,"&lt;="&amp;($D$6-1)),0))/28),"")))</f>
        <v/>
      </c>
      <c r="J128" s="37"/>
      <c r="K128" s="37"/>
      <c r="L128" s="32">
        <v>85</v>
      </c>
      <c r="M128" s="32">
        <f t="shared" si="63"/>
        <v>13</v>
      </c>
      <c r="N128" s="32">
        <f t="shared" si="64"/>
        <v>1</v>
      </c>
      <c r="O128" s="32">
        <f t="shared" si="65"/>
        <v>1</v>
      </c>
      <c r="P128" s="32" t="str">
        <f>IF(OR($A128="",N($C128)&lt;=7),"",$G$6*$G$9^($M128-1)*IF(AND(MOD($M128,Reference!$B$99)=0,$M128&lt;=$G$5-2),Reference!$B$100,1))</f>
        <v/>
      </c>
      <c r="Q128" s="32" t="str">
        <f>IF($P128="","",IF(SUM($AK$127:$AK$133)=0,0,$P128*INDEX(Reference!$B$108:$B$114,$N128+1)/SUM($AK$127:$AK$133)))</f>
        <v/>
      </c>
      <c r="R128" s="32">
        <f t="shared" si="66"/>
        <v>120</v>
      </c>
      <c r="S128" s="32">
        <f t="shared" si="67"/>
        <v>105</v>
      </c>
      <c r="T128" s="32" t="str">
        <f>IF($A128="","",IF($C128=0,"Bullpen",IF(OR($C128=7,$C128=1,$C128=5),"Recovery/Easy Catch",IF($C128=6,"Compression/Pulldowns",IF(OR($C128=4,$C128=2),"Long Toss",IF($C128=3,"No Throw",IF($N128=2,"No Throw",IF($N128=6,IF($O128&lt;Reference!$B$104,"No Throw","Recovery/Easy Catch"),IF(OR($N128=0,$N128=4),"Recovery/Easy Catch",IF($N128=1,IF($R128&gt;75,"Long Toss","Recovery/Easy Catch"),IF($N128=3,IF($O128&lt;0.5,IF($S128&gt;75,"Long Toss","Recovery/Easy Catch"),"Compression/Pulldowns"),IF($S128&gt;75,"Long Toss","Recovery/Easy Catch"))))))))))))</f>
        <v/>
      </c>
      <c r="U128" s="32" t="str">
        <f t="shared" si="68"/>
        <v/>
      </c>
      <c r="V128" s="32" t="str">
        <f t="shared" si="69"/>
        <v/>
      </c>
      <c r="W128" s="32" t="str">
        <f t="shared" si="70"/>
        <v/>
      </c>
      <c r="X128" s="32">
        <f t="shared" si="71"/>
        <v>0</v>
      </c>
      <c r="Y128" s="32" t="str">
        <f t="shared" si="72"/>
        <v/>
      </c>
      <c r="Z128" s="32" t="str">
        <f t="shared" si="73"/>
        <v/>
      </c>
      <c r="AA128" s="32" t="str">
        <f t="shared" si="74"/>
        <v/>
      </c>
      <c r="AB128" s="32" t="str">
        <f>IF($A128="","",IF($T128="No Throw",0,IF($K128&lt;&gt;"",$K128,IF($AA128&lt;&gt;"",ROUND($AA128*$D$12*IF($C128=0,1,$G$10),0),MIN(IF($T128="Recovery/Easy Catch",Reference!$B$103,IF($T128="Long Toss",Reference!$B$106,Reference!$B$102)),MAX(Reference!$B$101,ROUND(MAX(0,$Q128-$AE128)/$AF128,0)))))))</f>
        <v/>
      </c>
      <c r="AC128" s="32">
        <f t="shared" si="75"/>
        <v>0</v>
      </c>
      <c r="AD128" s="32" t="b">
        <f t="shared" si="76"/>
        <v>1</v>
      </c>
      <c r="AE128" s="32">
        <f>IF($X128=0,0,$X128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128+$Z128)/2,0),Reference!$A$17:$B$20,2,TRUE()))</f>
        <v>0</v>
      </c>
      <c r="AF128" s="32">
        <f>IF(OR($A128="",$U128="",$T128="No Throw"),0,$AM128*VLOOKUP(MAX(($V128+$W128)/2,0),Reference!$A$17:$B$20,2,TRUE()))</f>
        <v>0</v>
      </c>
      <c r="AG128" s="32">
        <f>IF($AC128=0,0,$AC128*INDEX(Reference!$B$61:$B$62,MATCH("Bullpen",Reference!$A$61:$A$62,0))*VLOOKUP(MAX($D$5-($D$9+$E$9)/2,0),Reference!$A$17:$B$20,2,TRUE()))</f>
        <v>0</v>
      </c>
      <c r="AH128" s="32" t="e">
        <f t="shared" si="77"/>
        <v>#N/A</v>
      </c>
      <c r="AI128" s="32" t="e">
        <f>IF($A128="",NA(),Reference!$A$25)</f>
        <v>#N/A</v>
      </c>
      <c r="AJ128" s="32" t="e">
        <f t="shared" si="78"/>
        <v>#N/A</v>
      </c>
      <c r="AK128" s="32">
        <f>IF(OR($A128="",N($C128)&lt;=7,$T128="No Throw",$J128="x"),0,INDEX(Reference!$B$108:$B$114,$N128+1))</f>
        <v>0</v>
      </c>
      <c r="AL128" s="32">
        <f t="shared" si="79"/>
        <v>1</v>
      </c>
      <c r="AM128" s="32">
        <f>IF($U128="",0,IF($AL128&gt;1,((IF(1&lt;=$AL128,($AL128-1+3)*(INDEX(Reference!$B$6:$B$11,MIN(5,MATCH(MAX(Reference!$A$6,MIN(Reference!$A$11,MIN($U128,90))),Reference!$A$6:$A$11,1)))+(MAX(Reference!$A$6,MIN(Reference!$A$11,MIN($U128,90)))-INDEX(Reference!$A$6:$A$11,MIN(5,MATCH(MAX(Reference!$A$6,MIN(Reference!$A$11,MIN($U128,90))),Reference!$A$6:$A$11,1))))*(INDEX(Reference!$B$6:$B$11,MIN(5,MATCH(MAX(Reference!$A$6,MIN(Reference!$A$11,MIN($U128,90))),Reference!$A$6:$A$11,1))+1)-INDEX(Reference!$B$6:$B$11,MIN(5,MATCH(MAX(Reference!$A$6,MIN(Reference!$A$11,MIN($U128,90))),Reference!$A$6:$A$11,1))))/(INDEX(Reference!$A$6:$A$11,MIN(5,MATCH(MAX(Reference!$A$6,MIN(Reference!$A$11,MIN($U128,90))),Reference!$A$6:$A$11,1))+1)-INDEX(Reference!$A$6:$A$11,MIN(5,MATCH(MAX(Reference!$A$6,MIN(Reference!$A$11,MIN($U128,90))),Reference!$A$6:$A$11,1))))),0)+IF(2&lt;=$AL128,($AL128-2+3)*(INDEX(Reference!$B$6:$B$11,MIN(5,MATCH(MAX(Reference!$A$6,MIN(Reference!$A$11,MIN($U128,120))),Reference!$A$6:$A$11,1)))+(MAX(Reference!$A$6,MIN(Reference!$A$11,MIN($U128,120)))-INDEX(Reference!$A$6:$A$11,MIN(5,MATCH(MAX(Reference!$A$6,MIN(Reference!$A$11,MIN($U128,120))),Reference!$A$6:$A$11,1))))*(INDEX(Reference!$B$6:$B$11,MIN(5,MATCH(MAX(Reference!$A$6,MIN(Reference!$A$11,MIN($U128,120))),Reference!$A$6:$A$11,1))+1)-INDEX(Reference!$B$6:$B$11,MIN(5,MATCH(MAX(Reference!$A$6,MIN(Reference!$A$11,MIN($U128,120))),Reference!$A$6:$A$11,1))))/(INDEX(Reference!$A$6:$A$11,MIN(5,MATCH(MAX(Reference!$A$6,MIN(Reference!$A$11,MIN($U128,120))),Reference!$A$6:$A$11,1))+1)-INDEX(Reference!$A$6:$A$11,MIN(5,MATCH(MAX(Reference!$A$6,MIN(Reference!$A$11,MIN($U128,120))),Reference!$A$6:$A$11,1))))),0)+IF(3&lt;=$AL128,($AL128-3+3)*(INDEX(Reference!$B$6:$B$11,MIN(5,MATCH(MAX(Reference!$A$6,MIN(Reference!$A$11,MIN($U128,150))),Reference!$A$6:$A$11,1)))+(MAX(Reference!$A$6,MIN(Reference!$A$11,MIN($U128,150)))-INDEX(Reference!$A$6:$A$11,MIN(5,MATCH(MAX(Reference!$A$6,MIN(Reference!$A$11,MIN($U128,150))),Reference!$A$6:$A$11,1))))*(INDEX(Reference!$B$6:$B$11,MIN(5,MATCH(MAX(Reference!$A$6,MIN(Reference!$A$11,MIN($U128,150))),Reference!$A$6:$A$11,1))+1)-INDEX(Reference!$B$6:$B$11,MIN(5,MATCH(MAX(Reference!$A$6,MIN(Reference!$A$11,MIN($U128,150))),Reference!$A$6:$A$11,1))))/(INDEX(Reference!$A$6:$A$11,MIN(5,MATCH(MAX(Reference!$A$6,MIN(Reference!$A$11,MIN($U128,150))),Reference!$A$6:$A$11,1))+1)-INDEX(Reference!$A$6:$A$11,MIN(5,MATCH(MAX(Reference!$A$6,MIN(Reference!$A$11,MIN($U128,150))),Reference!$A$6:$A$11,1))))),0)+IF(4&lt;=$AL128,($AL128-4+3)*(INDEX(Reference!$B$6:$B$11,MIN(5,MATCH(MAX(Reference!$A$6,MIN(Reference!$A$11,MIN($U128,180))),Reference!$A$6:$A$11,1)))+(MAX(Reference!$A$6,MIN(Reference!$A$11,MIN($U128,180)))-INDEX(Reference!$A$6:$A$11,MIN(5,MATCH(MAX(Reference!$A$6,MIN(Reference!$A$11,MIN($U128,180))),Reference!$A$6:$A$11,1))))*(INDEX(Reference!$B$6:$B$11,MIN(5,MATCH(MAX(Reference!$A$6,MIN(Reference!$A$11,MIN($U128,180))),Reference!$A$6:$A$11,1))+1)-INDEX(Reference!$B$6:$B$11,MIN(5,MATCH(MAX(Reference!$A$6,MIN(Reference!$A$11,MIN($U128,180))),Reference!$A$6:$A$11,1))))/(INDEX(Reference!$A$6:$A$11,MIN(5,MATCH(MAX(Reference!$A$6,MIN(Reference!$A$11,MIN($U128,180))),Reference!$A$6:$A$11,1))+1)-INDEX(Reference!$A$6:$A$11,MIN(5,MATCH(MAX(Reference!$A$6,MIN(Reference!$A$11,MIN($U128,180))),Reference!$A$6:$A$11,1))))),0)+IF(5&lt;=$AL128,($AL128-5+3)*(INDEX(Reference!$B$6:$B$11,MIN(5,MATCH(MAX(Reference!$A$6,MIN(Reference!$A$11,MIN($U128,210))),Reference!$A$6:$A$11,1)))+(MAX(Reference!$A$6,MIN(Reference!$A$11,MIN($U128,210)))-INDEX(Reference!$A$6:$A$11,MIN(5,MATCH(MAX(Reference!$A$6,MIN(Reference!$A$11,MIN($U128,210))),Reference!$A$6:$A$11,1))))*(INDEX(Reference!$B$6:$B$11,MIN(5,MATCH(MAX(Reference!$A$6,MIN(Reference!$A$11,MIN($U128,210))),Reference!$A$6:$A$11,1))+1)-INDEX(Reference!$B$6:$B$11,MIN(5,MATCH(MAX(Reference!$A$6,MIN(Reference!$A$11,MIN($U128,210))),Reference!$A$6:$A$11,1))))/(INDEX(Reference!$A$6:$A$11,MIN(5,MATCH(MAX(Reference!$A$6,MIN(Reference!$A$11,MIN($U128,210))),Reference!$A$6:$A$11,1))+1)-INDEX(Reference!$A$6:$A$11,MIN(5,MATCH(MAX(Reference!$A$6,MIN(Reference!$A$11,MIN($U128,210))),Reference!$A$6:$A$11,1))))),0)+IF(6&lt;=$AL128,($AL128-6+3)*(INDEX(Reference!$B$6:$B$11,MIN(5,MATCH(MAX(Reference!$A$6,MIN(Reference!$A$11,MIN($U128,240))),Reference!$A$6:$A$11,1)))+(MAX(Reference!$A$6,MIN(Reference!$A$11,MIN($U128,240)))-INDEX(Reference!$A$6:$A$11,MIN(5,MATCH(MAX(Reference!$A$6,MIN(Reference!$A$11,MIN($U128,240))),Reference!$A$6:$A$11,1))))*(INDEX(Reference!$B$6:$B$11,MIN(5,MATCH(MAX(Reference!$A$6,MIN(Reference!$A$11,MIN($U128,240))),Reference!$A$6:$A$11,1))+1)-INDEX(Reference!$B$6:$B$11,MIN(5,MATCH(MAX(Reference!$A$6,MIN(Reference!$A$11,MIN($U128,240))),Reference!$A$6:$A$11,1))))/(INDEX(Reference!$A$6:$A$11,MIN(5,MATCH(MAX(Reference!$A$6,MIN(Reference!$A$11,MIN($U128,240))),Reference!$A$6:$A$11,1))+1)-INDEX(Reference!$A$6:$A$11,MIN(5,MATCH(MAX(Reference!$A$6,MIN(Reference!$A$11,MIN($U128,240))),Reference!$A$6:$A$11,1))))),0)+IF(7&lt;=$AL128,($AL128-7+3)*(INDEX(Reference!$B$6:$B$11,MIN(5,MATCH(MAX(Reference!$A$6,MIN(Reference!$A$11,MIN($U128,270))),Reference!$A$6:$A$11,1)))+(MAX(Reference!$A$6,MIN(Reference!$A$11,MIN($U128,270)))-INDEX(Reference!$A$6:$A$11,MIN(5,MATCH(MAX(Reference!$A$6,MIN(Reference!$A$11,MIN($U128,270))),Reference!$A$6:$A$11,1))))*(INDEX(Reference!$B$6:$B$11,MIN(5,MATCH(MAX(Reference!$A$6,MIN(Reference!$A$11,MIN($U128,270))),Reference!$A$6:$A$11,1))+1)-INDEX(Reference!$B$6:$B$11,MIN(5,MATCH(MAX(Reference!$A$6,MIN(Reference!$A$11,MIN($U128,270))),Reference!$A$6:$A$11,1))))/(INDEX(Reference!$A$6:$A$11,MIN(5,MATCH(MAX(Reference!$A$6,MIN(Reference!$A$11,MIN($U128,270))),Reference!$A$6:$A$11,1))+1)-INDEX(Reference!$A$6:$A$11,MIN(5,MATCH(MAX(Reference!$A$6,MIN(Reference!$A$11,MIN($U128,270))),Reference!$A$6:$A$11,1))))),0)+IF(8&lt;=$AL128,($AL128-8+3)*(INDEX(Reference!$B$6:$B$11,MIN(5,MATCH(MAX(Reference!$A$6,MIN(Reference!$A$11,MIN($U128,300))),Reference!$A$6:$A$11,1)))+(MAX(Reference!$A$6,MIN(Reference!$A$11,MIN($U128,300)))-INDEX(Reference!$A$6:$A$11,MIN(5,MATCH(MAX(Reference!$A$6,MIN(Reference!$A$11,MIN($U128,300))),Reference!$A$6:$A$11,1))))*(INDEX(Reference!$B$6:$B$11,MIN(5,MATCH(MAX(Reference!$A$6,MIN(Reference!$A$11,MIN($U128,300))),Reference!$A$6:$A$11,1))+1)-INDEX(Reference!$B$6:$B$11,MIN(5,MATCH(MAX(Reference!$A$6,MIN(Reference!$A$11,MIN($U128,300))),Reference!$A$6:$A$11,1))))/(INDEX(Reference!$A$6:$A$11,MIN(5,MATCH(MAX(Reference!$A$6,MIN(Reference!$A$11,MIN($U128,300))),Reference!$A$6:$A$11,1))+1)-INDEX(Reference!$A$6:$A$11,MIN(5,MATCH(MAX(Reference!$A$6,MIN(Reference!$A$11,MIN($U128,300))),Reference!$A$6:$A$11,1))))),0))/($AL128*($AL128+5)/2)),$AN128))</f>
        <v>0</v>
      </c>
      <c r="AN128" s="32">
        <f>IF($U128="",0,(INDEX(Reference!$B$6:$B$11,MIN(5,MATCH(MAX(Reference!$A$6,MIN(Reference!$A$11,$U128)),Reference!$A$6:$A$11,1)))+(MAX(Reference!$A$6,MIN(Reference!$A$11,$U128))-INDEX(Reference!$A$6:$A$11,MIN(5,MATCH(MAX(Reference!$A$6,MIN(Reference!$A$11,$U128)),Reference!$A$6:$A$11,1))))*(INDEX(Reference!$B$6:$B$11,MIN(5,MATCH(MAX(Reference!$A$6,MIN(Reference!$A$11,$U128)),Reference!$A$6:$A$11,1))+1)-INDEX(Reference!$B$6:$B$11,MIN(5,MATCH(MAX(Reference!$A$6,MIN(Reference!$A$11,$U128)),Reference!$A$6:$A$11,1))))/(INDEX(Reference!$A$6:$A$11,MIN(5,MATCH(MAX(Reference!$A$6,MIN(Reference!$A$11,$U128)),Reference!$A$6:$A$11,1))+1)-INDEX(Reference!$A$6:$A$11,MIN(5,MATCH(MAX(Reference!$A$6,MIN(Reference!$A$11,$U128)),Reference!$A$6:$A$11,1))))))</f>
        <v>0</v>
      </c>
      <c r="AO128" s="37"/>
      <c r="AP128" s="37"/>
      <c r="AQ128" s="37"/>
    </row>
    <row r="129" spans="1:43" x14ac:dyDescent="0.3">
      <c r="A129" s="48" t="str">
        <f t="shared" si="55"/>
        <v/>
      </c>
      <c r="B129" s="32" t="str">
        <f t="shared" si="56"/>
        <v/>
      </c>
      <c r="C129" s="32" t="str">
        <f t="shared" si="57"/>
        <v/>
      </c>
      <c r="D129" s="32" t="str">
        <f t="shared" si="58"/>
        <v/>
      </c>
      <c r="E129" s="32" t="str">
        <f t="shared" si="59"/>
        <v/>
      </c>
      <c r="F129" s="32" t="str">
        <f t="shared" si="60"/>
        <v/>
      </c>
      <c r="G129" s="47" t="str">
        <f t="shared" si="61"/>
        <v/>
      </c>
      <c r="H129" s="30" t="str">
        <f t="shared" si="62"/>
        <v/>
      </c>
      <c r="I129" s="46" t="str">
        <f>IF($A129="","",IF(AND($L129&lt;27,$K$12=0),"Building",IFERROR(((SUM($H$123:$H129)+$K$12*IF($L129&lt;6,SUMIFS('Throw Log'!$Q$5:$Q$300,'Throw Log'!$B$5:$B$300,$D$4,'Throw Log'!$A$5:$A$300,"&gt;="&amp;($D$6+$L129-6),'Throw Log'!$A$5:$A$300,"&lt;="&amp;($D$6-1)),0))/7)/((SUM($H$102:$H129)+$K$12*IF($L129&lt;27,SUMIFS('Throw Log'!$Q$5:$Q$300,'Throw Log'!$B$5:$B$300,$D$4,'Throw Log'!$A$5:$A$300,"&gt;="&amp;($D$6+$L129-27),'Throw Log'!$A$5:$A$300,"&lt;="&amp;($D$6-1)),0))/28),"")))</f>
        <v/>
      </c>
      <c r="J129" s="37"/>
      <c r="K129" s="37"/>
      <c r="L129" s="32">
        <v>86</v>
      </c>
      <c r="M129" s="32">
        <f t="shared" si="63"/>
        <v>13</v>
      </c>
      <c r="N129" s="32">
        <f t="shared" si="64"/>
        <v>2</v>
      </c>
      <c r="O129" s="32">
        <f t="shared" si="65"/>
        <v>1</v>
      </c>
      <c r="P129" s="32" t="str">
        <f>IF(OR($A129="",N($C129)&lt;=7),"",$G$6*$G$9^($M129-1)*IF(AND(MOD($M129,Reference!$B$99)=0,$M129&lt;=$G$5-2),Reference!$B$100,1))</f>
        <v/>
      </c>
      <c r="Q129" s="32" t="str">
        <f>IF($P129="","",IF(SUM($AK$127:$AK$133)=0,0,$P129*INDEX(Reference!$B$108:$B$114,$N129+1)/SUM($AK$127:$AK$133)))</f>
        <v/>
      </c>
      <c r="R129" s="32">
        <f t="shared" si="66"/>
        <v>120</v>
      </c>
      <c r="S129" s="32">
        <f t="shared" si="67"/>
        <v>105</v>
      </c>
      <c r="T129" s="32" t="str">
        <f>IF($A129="","",IF($C129=0,"Bullpen",IF(OR($C129=7,$C129=1,$C129=5),"Recovery/Easy Catch",IF($C129=6,"Compression/Pulldowns",IF(OR($C129=4,$C129=2),"Long Toss",IF($C129=3,"No Throw",IF($N129=2,"No Throw",IF($N129=6,IF($O129&lt;Reference!$B$104,"No Throw","Recovery/Easy Catch"),IF(OR($N129=0,$N129=4),"Recovery/Easy Catch",IF($N129=1,IF($R129&gt;75,"Long Toss","Recovery/Easy Catch"),IF($N129=3,IF($O129&lt;0.5,IF($S129&gt;75,"Long Toss","Recovery/Easy Catch"),"Compression/Pulldowns"),IF($S129&gt;75,"Long Toss","Recovery/Easy Catch"))))))))))))</f>
        <v/>
      </c>
      <c r="U129" s="32" t="str">
        <f t="shared" si="68"/>
        <v/>
      </c>
      <c r="V129" s="32" t="str">
        <f t="shared" si="69"/>
        <v/>
      </c>
      <c r="W129" s="32" t="str">
        <f t="shared" si="70"/>
        <v/>
      </c>
      <c r="X129" s="32">
        <f t="shared" si="71"/>
        <v>0</v>
      </c>
      <c r="Y129" s="32" t="str">
        <f t="shared" si="72"/>
        <v/>
      </c>
      <c r="Z129" s="32" t="str">
        <f t="shared" si="73"/>
        <v/>
      </c>
      <c r="AA129" s="32" t="str">
        <f t="shared" si="74"/>
        <v/>
      </c>
      <c r="AB129" s="32" t="str">
        <f>IF($A129="","",IF($T129="No Throw",0,IF($K129&lt;&gt;"",$K129,IF($AA129&lt;&gt;"",ROUND($AA129*$D$12*IF($C129=0,1,$G$10),0),MIN(IF($T129="Recovery/Easy Catch",Reference!$B$103,IF($T129="Long Toss",Reference!$B$106,Reference!$B$102)),MAX(Reference!$B$101,ROUND(MAX(0,$Q129-$AE129)/$AF129,0)))))))</f>
        <v/>
      </c>
      <c r="AC129" s="32">
        <f t="shared" si="75"/>
        <v>0</v>
      </c>
      <c r="AD129" s="32" t="b">
        <f t="shared" si="76"/>
        <v>1</v>
      </c>
      <c r="AE129" s="32">
        <f>IF($X129=0,0,$X129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129+$Z129)/2,0),Reference!$A$17:$B$20,2,TRUE()))</f>
        <v>0</v>
      </c>
      <c r="AF129" s="32">
        <f>IF(OR($A129="",$U129="",$T129="No Throw"),0,$AM129*VLOOKUP(MAX(($V129+$W129)/2,0),Reference!$A$17:$B$20,2,TRUE()))</f>
        <v>0</v>
      </c>
      <c r="AG129" s="32">
        <f>IF($AC129=0,0,$AC129*INDEX(Reference!$B$61:$B$62,MATCH("Bullpen",Reference!$A$61:$A$62,0))*VLOOKUP(MAX($D$5-($D$9+$E$9)/2,0),Reference!$A$17:$B$20,2,TRUE()))</f>
        <v>0</v>
      </c>
      <c r="AH129" s="32" t="e">
        <f t="shared" si="77"/>
        <v>#N/A</v>
      </c>
      <c r="AI129" s="32" t="e">
        <f>IF($A129="",NA(),Reference!$A$25)</f>
        <v>#N/A</v>
      </c>
      <c r="AJ129" s="32" t="e">
        <f t="shared" si="78"/>
        <v>#N/A</v>
      </c>
      <c r="AK129" s="32">
        <f>IF(OR($A129="",N($C129)&lt;=7,$T129="No Throw",$J129="x"),0,INDEX(Reference!$B$108:$B$114,$N129+1))</f>
        <v>0</v>
      </c>
      <c r="AL129" s="32">
        <f t="shared" si="79"/>
        <v>1</v>
      </c>
      <c r="AM129" s="32">
        <f>IF($U129="",0,IF($AL129&gt;1,((IF(1&lt;=$AL129,($AL129-1+3)*(INDEX(Reference!$B$6:$B$11,MIN(5,MATCH(MAX(Reference!$A$6,MIN(Reference!$A$11,MIN($U129,90))),Reference!$A$6:$A$11,1)))+(MAX(Reference!$A$6,MIN(Reference!$A$11,MIN($U129,90)))-INDEX(Reference!$A$6:$A$11,MIN(5,MATCH(MAX(Reference!$A$6,MIN(Reference!$A$11,MIN($U129,90))),Reference!$A$6:$A$11,1))))*(INDEX(Reference!$B$6:$B$11,MIN(5,MATCH(MAX(Reference!$A$6,MIN(Reference!$A$11,MIN($U129,90))),Reference!$A$6:$A$11,1))+1)-INDEX(Reference!$B$6:$B$11,MIN(5,MATCH(MAX(Reference!$A$6,MIN(Reference!$A$11,MIN($U129,90))),Reference!$A$6:$A$11,1))))/(INDEX(Reference!$A$6:$A$11,MIN(5,MATCH(MAX(Reference!$A$6,MIN(Reference!$A$11,MIN($U129,90))),Reference!$A$6:$A$11,1))+1)-INDEX(Reference!$A$6:$A$11,MIN(5,MATCH(MAX(Reference!$A$6,MIN(Reference!$A$11,MIN($U129,90))),Reference!$A$6:$A$11,1))))),0)+IF(2&lt;=$AL129,($AL129-2+3)*(INDEX(Reference!$B$6:$B$11,MIN(5,MATCH(MAX(Reference!$A$6,MIN(Reference!$A$11,MIN($U129,120))),Reference!$A$6:$A$11,1)))+(MAX(Reference!$A$6,MIN(Reference!$A$11,MIN($U129,120)))-INDEX(Reference!$A$6:$A$11,MIN(5,MATCH(MAX(Reference!$A$6,MIN(Reference!$A$11,MIN($U129,120))),Reference!$A$6:$A$11,1))))*(INDEX(Reference!$B$6:$B$11,MIN(5,MATCH(MAX(Reference!$A$6,MIN(Reference!$A$11,MIN($U129,120))),Reference!$A$6:$A$11,1))+1)-INDEX(Reference!$B$6:$B$11,MIN(5,MATCH(MAX(Reference!$A$6,MIN(Reference!$A$11,MIN($U129,120))),Reference!$A$6:$A$11,1))))/(INDEX(Reference!$A$6:$A$11,MIN(5,MATCH(MAX(Reference!$A$6,MIN(Reference!$A$11,MIN($U129,120))),Reference!$A$6:$A$11,1))+1)-INDEX(Reference!$A$6:$A$11,MIN(5,MATCH(MAX(Reference!$A$6,MIN(Reference!$A$11,MIN($U129,120))),Reference!$A$6:$A$11,1))))),0)+IF(3&lt;=$AL129,($AL129-3+3)*(INDEX(Reference!$B$6:$B$11,MIN(5,MATCH(MAX(Reference!$A$6,MIN(Reference!$A$11,MIN($U129,150))),Reference!$A$6:$A$11,1)))+(MAX(Reference!$A$6,MIN(Reference!$A$11,MIN($U129,150)))-INDEX(Reference!$A$6:$A$11,MIN(5,MATCH(MAX(Reference!$A$6,MIN(Reference!$A$11,MIN($U129,150))),Reference!$A$6:$A$11,1))))*(INDEX(Reference!$B$6:$B$11,MIN(5,MATCH(MAX(Reference!$A$6,MIN(Reference!$A$11,MIN($U129,150))),Reference!$A$6:$A$11,1))+1)-INDEX(Reference!$B$6:$B$11,MIN(5,MATCH(MAX(Reference!$A$6,MIN(Reference!$A$11,MIN($U129,150))),Reference!$A$6:$A$11,1))))/(INDEX(Reference!$A$6:$A$11,MIN(5,MATCH(MAX(Reference!$A$6,MIN(Reference!$A$11,MIN($U129,150))),Reference!$A$6:$A$11,1))+1)-INDEX(Reference!$A$6:$A$11,MIN(5,MATCH(MAX(Reference!$A$6,MIN(Reference!$A$11,MIN($U129,150))),Reference!$A$6:$A$11,1))))),0)+IF(4&lt;=$AL129,($AL129-4+3)*(INDEX(Reference!$B$6:$B$11,MIN(5,MATCH(MAX(Reference!$A$6,MIN(Reference!$A$11,MIN($U129,180))),Reference!$A$6:$A$11,1)))+(MAX(Reference!$A$6,MIN(Reference!$A$11,MIN($U129,180)))-INDEX(Reference!$A$6:$A$11,MIN(5,MATCH(MAX(Reference!$A$6,MIN(Reference!$A$11,MIN($U129,180))),Reference!$A$6:$A$11,1))))*(INDEX(Reference!$B$6:$B$11,MIN(5,MATCH(MAX(Reference!$A$6,MIN(Reference!$A$11,MIN($U129,180))),Reference!$A$6:$A$11,1))+1)-INDEX(Reference!$B$6:$B$11,MIN(5,MATCH(MAX(Reference!$A$6,MIN(Reference!$A$11,MIN($U129,180))),Reference!$A$6:$A$11,1))))/(INDEX(Reference!$A$6:$A$11,MIN(5,MATCH(MAX(Reference!$A$6,MIN(Reference!$A$11,MIN($U129,180))),Reference!$A$6:$A$11,1))+1)-INDEX(Reference!$A$6:$A$11,MIN(5,MATCH(MAX(Reference!$A$6,MIN(Reference!$A$11,MIN($U129,180))),Reference!$A$6:$A$11,1))))),0)+IF(5&lt;=$AL129,($AL129-5+3)*(INDEX(Reference!$B$6:$B$11,MIN(5,MATCH(MAX(Reference!$A$6,MIN(Reference!$A$11,MIN($U129,210))),Reference!$A$6:$A$11,1)))+(MAX(Reference!$A$6,MIN(Reference!$A$11,MIN($U129,210)))-INDEX(Reference!$A$6:$A$11,MIN(5,MATCH(MAX(Reference!$A$6,MIN(Reference!$A$11,MIN($U129,210))),Reference!$A$6:$A$11,1))))*(INDEX(Reference!$B$6:$B$11,MIN(5,MATCH(MAX(Reference!$A$6,MIN(Reference!$A$11,MIN($U129,210))),Reference!$A$6:$A$11,1))+1)-INDEX(Reference!$B$6:$B$11,MIN(5,MATCH(MAX(Reference!$A$6,MIN(Reference!$A$11,MIN($U129,210))),Reference!$A$6:$A$11,1))))/(INDEX(Reference!$A$6:$A$11,MIN(5,MATCH(MAX(Reference!$A$6,MIN(Reference!$A$11,MIN($U129,210))),Reference!$A$6:$A$11,1))+1)-INDEX(Reference!$A$6:$A$11,MIN(5,MATCH(MAX(Reference!$A$6,MIN(Reference!$A$11,MIN($U129,210))),Reference!$A$6:$A$11,1))))),0)+IF(6&lt;=$AL129,($AL129-6+3)*(INDEX(Reference!$B$6:$B$11,MIN(5,MATCH(MAX(Reference!$A$6,MIN(Reference!$A$11,MIN($U129,240))),Reference!$A$6:$A$11,1)))+(MAX(Reference!$A$6,MIN(Reference!$A$11,MIN($U129,240)))-INDEX(Reference!$A$6:$A$11,MIN(5,MATCH(MAX(Reference!$A$6,MIN(Reference!$A$11,MIN($U129,240))),Reference!$A$6:$A$11,1))))*(INDEX(Reference!$B$6:$B$11,MIN(5,MATCH(MAX(Reference!$A$6,MIN(Reference!$A$11,MIN($U129,240))),Reference!$A$6:$A$11,1))+1)-INDEX(Reference!$B$6:$B$11,MIN(5,MATCH(MAX(Reference!$A$6,MIN(Reference!$A$11,MIN($U129,240))),Reference!$A$6:$A$11,1))))/(INDEX(Reference!$A$6:$A$11,MIN(5,MATCH(MAX(Reference!$A$6,MIN(Reference!$A$11,MIN($U129,240))),Reference!$A$6:$A$11,1))+1)-INDEX(Reference!$A$6:$A$11,MIN(5,MATCH(MAX(Reference!$A$6,MIN(Reference!$A$11,MIN($U129,240))),Reference!$A$6:$A$11,1))))),0)+IF(7&lt;=$AL129,($AL129-7+3)*(INDEX(Reference!$B$6:$B$11,MIN(5,MATCH(MAX(Reference!$A$6,MIN(Reference!$A$11,MIN($U129,270))),Reference!$A$6:$A$11,1)))+(MAX(Reference!$A$6,MIN(Reference!$A$11,MIN($U129,270)))-INDEX(Reference!$A$6:$A$11,MIN(5,MATCH(MAX(Reference!$A$6,MIN(Reference!$A$11,MIN($U129,270))),Reference!$A$6:$A$11,1))))*(INDEX(Reference!$B$6:$B$11,MIN(5,MATCH(MAX(Reference!$A$6,MIN(Reference!$A$11,MIN($U129,270))),Reference!$A$6:$A$11,1))+1)-INDEX(Reference!$B$6:$B$11,MIN(5,MATCH(MAX(Reference!$A$6,MIN(Reference!$A$11,MIN($U129,270))),Reference!$A$6:$A$11,1))))/(INDEX(Reference!$A$6:$A$11,MIN(5,MATCH(MAX(Reference!$A$6,MIN(Reference!$A$11,MIN($U129,270))),Reference!$A$6:$A$11,1))+1)-INDEX(Reference!$A$6:$A$11,MIN(5,MATCH(MAX(Reference!$A$6,MIN(Reference!$A$11,MIN($U129,270))),Reference!$A$6:$A$11,1))))),0)+IF(8&lt;=$AL129,($AL129-8+3)*(INDEX(Reference!$B$6:$B$11,MIN(5,MATCH(MAX(Reference!$A$6,MIN(Reference!$A$11,MIN($U129,300))),Reference!$A$6:$A$11,1)))+(MAX(Reference!$A$6,MIN(Reference!$A$11,MIN($U129,300)))-INDEX(Reference!$A$6:$A$11,MIN(5,MATCH(MAX(Reference!$A$6,MIN(Reference!$A$11,MIN($U129,300))),Reference!$A$6:$A$11,1))))*(INDEX(Reference!$B$6:$B$11,MIN(5,MATCH(MAX(Reference!$A$6,MIN(Reference!$A$11,MIN($U129,300))),Reference!$A$6:$A$11,1))+1)-INDEX(Reference!$B$6:$B$11,MIN(5,MATCH(MAX(Reference!$A$6,MIN(Reference!$A$11,MIN($U129,300))),Reference!$A$6:$A$11,1))))/(INDEX(Reference!$A$6:$A$11,MIN(5,MATCH(MAX(Reference!$A$6,MIN(Reference!$A$11,MIN($U129,300))),Reference!$A$6:$A$11,1))+1)-INDEX(Reference!$A$6:$A$11,MIN(5,MATCH(MAX(Reference!$A$6,MIN(Reference!$A$11,MIN($U129,300))),Reference!$A$6:$A$11,1))))),0))/($AL129*($AL129+5)/2)),$AN129))</f>
        <v>0</v>
      </c>
      <c r="AN129" s="32">
        <f>IF($U129="",0,(INDEX(Reference!$B$6:$B$11,MIN(5,MATCH(MAX(Reference!$A$6,MIN(Reference!$A$11,$U129)),Reference!$A$6:$A$11,1)))+(MAX(Reference!$A$6,MIN(Reference!$A$11,$U129))-INDEX(Reference!$A$6:$A$11,MIN(5,MATCH(MAX(Reference!$A$6,MIN(Reference!$A$11,$U129)),Reference!$A$6:$A$11,1))))*(INDEX(Reference!$B$6:$B$11,MIN(5,MATCH(MAX(Reference!$A$6,MIN(Reference!$A$11,$U129)),Reference!$A$6:$A$11,1))+1)-INDEX(Reference!$B$6:$B$11,MIN(5,MATCH(MAX(Reference!$A$6,MIN(Reference!$A$11,$U129)),Reference!$A$6:$A$11,1))))/(INDEX(Reference!$A$6:$A$11,MIN(5,MATCH(MAX(Reference!$A$6,MIN(Reference!$A$11,$U129)),Reference!$A$6:$A$11,1))+1)-INDEX(Reference!$A$6:$A$11,MIN(5,MATCH(MAX(Reference!$A$6,MIN(Reference!$A$11,$U129)),Reference!$A$6:$A$11,1))))))</f>
        <v>0</v>
      </c>
      <c r="AO129" s="37"/>
      <c r="AP129" s="37"/>
      <c r="AQ129" s="37"/>
    </row>
    <row r="130" spans="1:43" x14ac:dyDescent="0.3">
      <c r="A130" s="48" t="str">
        <f t="shared" si="55"/>
        <v/>
      </c>
      <c r="B130" s="32" t="str">
        <f t="shared" si="56"/>
        <v/>
      </c>
      <c r="C130" s="32" t="str">
        <f t="shared" si="57"/>
        <v/>
      </c>
      <c r="D130" s="32" t="str">
        <f t="shared" si="58"/>
        <v/>
      </c>
      <c r="E130" s="32" t="str">
        <f t="shared" si="59"/>
        <v/>
      </c>
      <c r="F130" s="32" t="str">
        <f t="shared" si="60"/>
        <v/>
      </c>
      <c r="G130" s="47" t="str">
        <f t="shared" si="61"/>
        <v/>
      </c>
      <c r="H130" s="30" t="str">
        <f t="shared" si="62"/>
        <v/>
      </c>
      <c r="I130" s="46" t="str">
        <f>IF($A130="","",IF(AND($L130&lt;27,$K$12=0),"Building",IFERROR(((SUM($H$124:$H130)+$K$12*IF($L130&lt;6,SUMIFS('Throw Log'!$Q$5:$Q$300,'Throw Log'!$B$5:$B$300,$D$4,'Throw Log'!$A$5:$A$300,"&gt;="&amp;($D$6+$L130-6),'Throw Log'!$A$5:$A$300,"&lt;="&amp;($D$6-1)),0))/7)/((SUM($H$103:$H130)+$K$12*IF($L130&lt;27,SUMIFS('Throw Log'!$Q$5:$Q$300,'Throw Log'!$B$5:$B$300,$D$4,'Throw Log'!$A$5:$A$300,"&gt;="&amp;($D$6+$L130-27),'Throw Log'!$A$5:$A$300,"&lt;="&amp;($D$6-1)),0))/28),"")))</f>
        <v/>
      </c>
      <c r="J130" s="37"/>
      <c r="K130" s="37"/>
      <c r="L130" s="32">
        <v>87</v>
      </c>
      <c r="M130" s="32">
        <f t="shared" si="63"/>
        <v>13</v>
      </c>
      <c r="N130" s="32">
        <f t="shared" si="64"/>
        <v>3</v>
      </c>
      <c r="O130" s="32">
        <f t="shared" si="65"/>
        <v>1</v>
      </c>
      <c r="P130" s="32" t="str">
        <f>IF(OR($A130="",N($C130)&lt;=7),"",$G$6*$G$9^($M130-1)*IF(AND(MOD($M130,Reference!$B$99)=0,$M130&lt;=$G$5-2),Reference!$B$100,1))</f>
        <v/>
      </c>
      <c r="Q130" s="32" t="str">
        <f>IF($P130="","",IF(SUM($AK$127:$AK$133)=0,0,$P130*INDEX(Reference!$B$108:$B$114,$N130+1)/SUM($AK$127:$AK$133)))</f>
        <v/>
      </c>
      <c r="R130" s="32">
        <f t="shared" si="66"/>
        <v>120</v>
      </c>
      <c r="S130" s="32">
        <f t="shared" si="67"/>
        <v>105</v>
      </c>
      <c r="T130" s="32" t="str">
        <f>IF($A130="","",IF($C130=0,"Bullpen",IF(OR($C130=7,$C130=1,$C130=5),"Recovery/Easy Catch",IF($C130=6,"Compression/Pulldowns",IF(OR($C130=4,$C130=2),"Long Toss",IF($C130=3,"No Throw",IF($N130=2,"No Throw",IF($N130=6,IF($O130&lt;Reference!$B$104,"No Throw","Recovery/Easy Catch"),IF(OR($N130=0,$N130=4),"Recovery/Easy Catch",IF($N130=1,IF($R130&gt;75,"Long Toss","Recovery/Easy Catch"),IF($N130=3,IF($O130&lt;0.5,IF($S130&gt;75,"Long Toss","Recovery/Easy Catch"),"Compression/Pulldowns"),IF($S130&gt;75,"Long Toss","Recovery/Easy Catch"))))))))))))</f>
        <v/>
      </c>
      <c r="U130" s="32" t="str">
        <f t="shared" si="68"/>
        <v/>
      </c>
      <c r="V130" s="32" t="str">
        <f t="shared" si="69"/>
        <v/>
      </c>
      <c r="W130" s="32" t="str">
        <f t="shared" si="70"/>
        <v/>
      </c>
      <c r="X130" s="32">
        <f t="shared" si="71"/>
        <v>0</v>
      </c>
      <c r="Y130" s="32" t="str">
        <f t="shared" si="72"/>
        <v/>
      </c>
      <c r="Z130" s="32" t="str">
        <f t="shared" si="73"/>
        <v/>
      </c>
      <c r="AA130" s="32" t="str">
        <f t="shared" si="74"/>
        <v/>
      </c>
      <c r="AB130" s="32" t="str">
        <f>IF($A130="","",IF($T130="No Throw",0,IF($K130&lt;&gt;"",$K130,IF($AA130&lt;&gt;"",ROUND($AA130*$D$12*IF($C130=0,1,$G$10),0),MIN(IF($T130="Recovery/Easy Catch",Reference!$B$103,IF($T130="Long Toss",Reference!$B$106,Reference!$B$102)),MAX(Reference!$B$101,ROUND(MAX(0,$Q130-$AE130)/$AF130,0)))))))</f>
        <v/>
      </c>
      <c r="AC130" s="32">
        <f t="shared" si="75"/>
        <v>0</v>
      </c>
      <c r="AD130" s="32" t="b">
        <f t="shared" si="76"/>
        <v>1</v>
      </c>
      <c r="AE130" s="32">
        <f>IF($X130=0,0,$X130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130+$Z130)/2,0),Reference!$A$17:$B$20,2,TRUE()))</f>
        <v>0</v>
      </c>
      <c r="AF130" s="32">
        <f>IF(OR($A130="",$U130="",$T130="No Throw"),0,$AM130*VLOOKUP(MAX(($V130+$W130)/2,0),Reference!$A$17:$B$20,2,TRUE()))</f>
        <v>0</v>
      </c>
      <c r="AG130" s="32">
        <f>IF($AC130=0,0,$AC130*INDEX(Reference!$B$61:$B$62,MATCH("Bullpen",Reference!$A$61:$A$62,0))*VLOOKUP(MAX($D$5-($D$9+$E$9)/2,0),Reference!$A$17:$B$20,2,TRUE()))</f>
        <v>0</v>
      </c>
      <c r="AH130" s="32" t="e">
        <f t="shared" si="77"/>
        <v>#N/A</v>
      </c>
      <c r="AI130" s="32" t="e">
        <f>IF($A130="",NA(),Reference!$A$25)</f>
        <v>#N/A</v>
      </c>
      <c r="AJ130" s="32" t="e">
        <f t="shared" si="78"/>
        <v>#N/A</v>
      </c>
      <c r="AK130" s="32">
        <f>IF(OR($A130="",N($C130)&lt;=7,$T130="No Throw",$J130="x"),0,INDEX(Reference!$B$108:$B$114,$N130+1))</f>
        <v>0</v>
      </c>
      <c r="AL130" s="32">
        <f t="shared" si="79"/>
        <v>1</v>
      </c>
      <c r="AM130" s="32">
        <f>IF($U130="",0,IF($AL130&gt;1,((IF(1&lt;=$AL130,($AL130-1+3)*(INDEX(Reference!$B$6:$B$11,MIN(5,MATCH(MAX(Reference!$A$6,MIN(Reference!$A$11,MIN($U130,90))),Reference!$A$6:$A$11,1)))+(MAX(Reference!$A$6,MIN(Reference!$A$11,MIN($U130,90)))-INDEX(Reference!$A$6:$A$11,MIN(5,MATCH(MAX(Reference!$A$6,MIN(Reference!$A$11,MIN($U130,90))),Reference!$A$6:$A$11,1))))*(INDEX(Reference!$B$6:$B$11,MIN(5,MATCH(MAX(Reference!$A$6,MIN(Reference!$A$11,MIN($U130,90))),Reference!$A$6:$A$11,1))+1)-INDEX(Reference!$B$6:$B$11,MIN(5,MATCH(MAX(Reference!$A$6,MIN(Reference!$A$11,MIN($U130,90))),Reference!$A$6:$A$11,1))))/(INDEX(Reference!$A$6:$A$11,MIN(5,MATCH(MAX(Reference!$A$6,MIN(Reference!$A$11,MIN($U130,90))),Reference!$A$6:$A$11,1))+1)-INDEX(Reference!$A$6:$A$11,MIN(5,MATCH(MAX(Reference!$A$6,MIN(Reference!$A$11,MIN($U130,90))),Reference!$A$6:$A$11,1))))),0)+IF(2&lt;=$AL130,($AL130-2+3)*(INDEX(Reference!$B$6:$B$11,MIN(5,MATCH(MAX(Reference!$A$6,MIN(Reference!$A$11,MIN($U130,120))),Reference!$A$6:$A$11,1)))+(MAX(Reference!$A$6,MIN(Reference!$A$11,MIN($U130,120)))-INDEX(Reference!$A$6:$A$11,MIN(5,MATCH(MAX(Reference!$A$6,MIN(Reference!$A$11,MIN($U130,120))),Reference!$A$6:$A$11,1))))*(INDEX(Reference!$B$6:$B$11,MIN(5,MATCH(MAX(Reference!$A$6,MIN(Reference!$A$11,MIN($U130,120))),Reference!$A$6:$A$11,1))+1)-INDEX(Reference!$B$6:$B$11,MIN(5,MATCH(MAX(Reference!$A$6,MIN(Reference!$A$11,MIN($U130,120))),Reference!$A$6:$A$11,1))))/(INDEX(Reference!$A$6:$A$11,MIN(5,MATCH(MAX(Reference!$A$6,MIN(Reference!$A$11,MIN($U130,120))),Reference!$A$6:$A$11,1))+1)-INDEX(Reference!$A$6:$A$11,MIN(5,MATCH(MAX(Reference!$A$6,MIN(Reference!$A$11,MIN($U130,120))),Reference!$A$6:$A$11,1))))),0)+IF(3&lt;=$AL130,($AL130-3+3)*(INDEX(Reference!$B$6:$B$11,MIN(5,MATCH(MAX(Reference!$A$6,MIN(Reference!$A$11,MIN($U130,150))),Reference!$A$6:$A$11,1)))+(MAX(Reference!$A$6,MIN(Reference!$A$11,MIN($U130,150)))-INDEX(Reference!$A$6:$A$11,MIN(5,MATCH(MAX(Reference!$A$6,MIN(Reference!$A$11,MIN($U130,150))),Reference!$A$6:$A$11,1))))*(INDEX(Reference!$B$6:$B$11,MIN(5,MATCH(MAX(Reference!$A$6,MIN(Reference!$A$11,MIN($U130,150))),Reference!$A$6:$A$11,1))+1)-INDEX(Reference!$B$6:$B$11,MIN(5,MATCH(MAX(Reference!$A$6,MIN(Reference!$A$11,MIN($U130,150))),Reference!$A$6:$A$11,1))))/(INDEX(Reference!$A$6:$A$11,MIN(5,MATCH(MAX(Reference!$A$6,MIN(Reference!$A$11,MIN($U130,150))),Reference!$A$6:$A$11,1))+1)-INDEX(Reference!$A$6:$A$11,MIN(5,MATCH(MAX(Reference!$A$6,MIN(Reference!$A$11,MIN($U130,150))),Reference!$A$6:$A$11,1))))),0)+IF(4&lt;=$AL130,($AL130-4+3)*(INDEX(Reference!$B$6:$B$11,MIN(5,MATCH(MAX(Reference!$A$6,MIN(Reference!$A$11,MIN($U130,180))),Reference!$A$6:$A$11,1)))+(MAX(Reference!$A$6,MIN(Reference!$A$11,MIN($U130,180)))-INDEX(Reference!$A$6:$A$11,MIN(5,MATCH(MAX(Reference!$A$6,MIN(Reference!$A$11,MIN($U130,180))),Reference!$A$6:$A$11,1))))*(INDEX(Reference!$B$6:$B$11,MIN(5,MATCH(MAX(Reference!$A$6,MIN(Reference!$A$11,MIN($U130,180))),Reference!$A$6:$A$11,1))+1)-INDEX(Reference!$B$6:$B$11,MIN(5,MATCH(MAX(Reference!$A$6,MIN(Reference!$A$11,MIN($U130,180))),Reference!$A$6:$A$11,1))))/(INDEX(Reference!$A$6:$A$11,MIN(5,MATCH(MAX(Reference!$A$6,MIN(Reference!$A$11,MIN($U130,180))),Reference!$A$6:$A$11,1))+1)-INDEX(Reference!$A$6:$A$11,MIN(5,MATCH(MAX(Reference!$A$6,MIN(Reference!$A$11,MIN($U130,180))),Reference!$A$6:$A$11,1))))),0)+IF(5&lt;=$AL130,($AL130-5+3)*(INDEX(Reference!$B$6:$B$11,MIN(5,MATCH(MAX(Reference!$A$6,MIN(Reference!$A$11,MIN($U130,210))),Reference!$A$6:$A$11,1)))+(MAX(Reference!$A$6,MIN(Reference!$A$11,MIN($U130,210)))-INDEX(Reference!$A$6:$A$11,MIN(5,MATCH(MAX(Reference!$A$6,MIN(Reference!$A$11,MIN($U130,210))),Reference!$A$6:$A$11,1))))*(INDEX(Reference!$B$6:$B$11,MIN(5,MATCH(MAX(Reference!$A$6,MIN(Reference!$A$11,MIN($U130,210))),Reference!$A$6:$A$11,1))+1)-INDEX(Reference!$B$6:$B$11,MIN(5,MATCH(MAX(Reference!$A$6,MIN(Reference!$A$11,MIN($U130,210))),Reference!$A$6:$A$11,1))))/(INDEX(Reference!$A$6:$A$11,MIN(5,MATCH(MAX(Reference!$A$6,MIN(Reference!$A$11,MIN($U130,210))),Reference!$A$6:$A$11,1))+1)-INDEX(Reference!$A$6:$A$11,MIN(5,MATCH(MAX(Reference!$A$6,MIN(Reference!$A$11,MIN($U130,210))),Reference!$A$6:$A$11,1))))),0)+IF(6&lt;=$AL130,($AL130-6+3)*(INDEX(Reference!$B$6:$B$11,MIN(5,MATCH(MAX(Reference!$A$6,MIN(Reference!$A$11,MIN($U130,240))),Reference!$A$6:$A$11,1)))+(MAX(Reference!$A$6,MIN(Reference!$A$11,MIN($U130,240)))-INDEX(Reference!$A$6:$A$11,MIN(5,MATCH(MAX(Reference!$A$6,MIN(Reference!$A$11,MIN($U130,240))),Reference!$A$6:$A$11,1))))*(INDEX(Reference!$B$6:$B$11,MIN(5,MATCH(MAX(Reference!$A$6,MIN(Reference!$A$11,MIN($U130,240))),Reference!$A$6:$A$11,1))+1)-INDEX(Reference!$B$6:$B$11,MIN(5,MATCH(MAX(Reference!$A$6,MIN(Reference!$A$11,MIN($U130,240))),Reference!$A$6:$A$11,1))))/(INDEX(Reference!$A$6:$A$11,MIN(5,MATCH(MAX(Reference!$A$6,MIN(Reference!$A$11,MIN($U130,240))),Reference!$A$6:$A$11,1))+1)-INDEX(Reference!$A$6:$A$11,MIN(5,MATCH(MAX(Reference!$A$6,MIN(Reference!$A$11,MIN($U130,240))),Reference!$A$6:$A$11,1))))),0)+IF(7&lt;=$AL130,($AL130-7+3)*(INDEX(Reference!$B$6:$B$11,MIN(5,MATCH(MAX(Reference!$A$6,MIN(Reference!$A$11,MIN($U130,270))),Reference!$A$6:$A$11,1)))+(MAX(Reference!$A$6,MIN(Reference!$A$11,MIN($U130,270)))-INDEX(Reference!$A$6:$A$11,MIN(5,MATCH(MAX(Reference!$A$6,MIN(Reference!$A$11,MIN($U130,270))),Reference!$A$6:$A$11,1))))*(INDEX(Reference!$B$6:$B$11,MIN(5,MATCH(MAX(Reference!$A$6,MIN(Reference!$A$11,MIN($U130,270))),Reference!$A$6:$A$11,1))+1)-INDEX(Reference!$B$6:$B$11,MIN(5,MATCH(MAX(Reference!$A$6,MIN(Reference!$A$11,MIN($U130,270))),Reference!$A$6:$A$11,1))))/(INDEX(Reference!$A$6:$A$11,MIN(5,MATCH(MAX(Reference!$A$6,MIN(Reference!$A$11,MIN($U130,270))),Reference!$A$6:$A$11,1))+1)-INDEX(Reference!$A$6:$A$11,MIN(5,MATCH(MAX(Reference!$A$6,MIN(Reference!$A$11,MIN($U130,270))),Reference!$A$6:$A$11,1))))),0)+IF(8&lt;=$AL130,($AL130-8+3)*(INDEX(Reference!$B$6:$B$11,MIN(5,MATCH(MAX(Reference!$A$6,MIN(Reference!$A$11,MIN($U130,300))),Reference!$A$6:$A$11,1)))+(MAX(Reference!$A$6,MIN(Reference!$A$11,MIN($U130,300)))-INDEX(Reference!$A$6:$A$11,MIN(5,MATCH(MAX(Reference!$A$6,MIN(Reference!$A$11,MIN($U130,300))),Reference!$A$6:$A$11,1))))*(INDEX(Reference!$B$6:$B$11,MIN(5,MATCH(MAX(Reference!$A$6,MIN(Reference!$A$11,MIN($U130,300))),Reference!$A$6:$A$11,1))+1)-INDEX(Reference!$B$6:$B$11,MIN(5,MATCH(MAX(Reference!$A$6,MIN(Reference!$A$11,MIN($U130,300))),Reference!$A$6:$A$11,1))))/(INDEX(Reference!$A$6:$A$11,MIN(5,MATCH(MAX(Reference!$A$6,MIN(Reference!$A$11,MIN($U130,300))),Reference!$A$6:$A$11,1))+1)-INDEX(Reference!$A$6:$A$11,MIN(5,MATCH(MAX(Reference!$A$6,MIN(Reference!$A$11,MIN($U130,300))),Reference!$A$6:$A$11,1))))),0))/($AL130*($AL130+5)/2)),$AN130))</f>
        <v>0</v>
      </c>
      <c r="AN130" s="32">
        <f>IF($U130="",0,(INDEX(Reference!$B$6:$B$11,MIN(5,MATCH(MAX(Reference!$A$6,MIN(Reference!$A$11,$U130)),Reference!$A$6:$A$11,1)))+(MAX(Reference!$A$6,MIN(Reference!$A$11,$U130))-INDEX(Reference!$A$6:$A$11,MIN(5,MATCH(MAX(Reference!$A$6,MIN(Reference!$A$11,$U130)),Reference!$A$6:$A$11,1))))*(INDEX(Reference!$B$6:$B$11,MIN(5,MATCH(MAX(Reference!$A$6,MIN(Reference!$A$11,$U130)),Reference!$A$6:$A$11,1))+1)-INDEX(Reference!$B$6:$B$11,MIN(5,MATCH(MAX(Reference!$A$6,MIN(Reference!$A$11,$U130)),Reference!$A$6:$A$11,1))))/(INDEX(Reference!$A$6:$A$11,MIN(5,MATCH(MAX(Reference!$A$6,MIN(Reference!$A$11,$U130)),Reference!$A$6:$A$11,1))+1)-INDEX(Reference!$A$6:$A$11,MIN(5,MATCH(MAX(Reference!$A$6,MIN(Reference!$A$11,$U130)),Reference!$A$6:$A$11,1))))))</f>
        <v>0</v>
      </c>
      <c r="AO130" s="37"/>
      <c r="AP130" s="37"/>
      <c r="AQ130" s="37"/>
    </row>
    <row r="131" spans="1:43" x14ac:dyDescent="0.3">
      <c r="A131" s="48" t="str">
        <f t="shared" si="55"/>
        <v/>
      </c>
      <c r="B131" s="32" t="str">
        <f t="shared" si="56"/>
        <v/>
      </c>
      <c r="C131" s="32" t="str">
        <f t="shared" si="57"/>
        <v/>
      </c>
      <c r="D131" s="32" t="str">
        <f t="shared" si="58"/>
        <v/>
      </c>
      <c r="E131" s="32" t="str">
        <f t="shared" si="59"/>
        <v/>
      </c>
      <c r="F131" s="32" t="str">
        <f t="shared" si="60"/>
        <v/>
      </c>
      <c r="G131" s="47" t="str">
        <f t="shared" si="61"/>
        <v/>
      </c>
      <c r="H131" s="30" t="str">
        <f t="shared" si="62"/>
        <v/>
      </c>
      <c r="I131" s="46" t="str">
        <f>IF($A131="","",IF(AND($L131&lt;27,$K$12=0),"Building",IFERROR(((SUM($H$125:$H131)+$K$12*IF($L131&lt;6,SUMIFS('Throw Log'!$Q$5:$Q$300,'Throw Log'!$B$5:$B$300,$D$4,'Throw Log'!$A$5:$A$300,"&gt;="&amp;($D$6+$L131-6),'Throw Log'!$A$5:$A$300,"&lt;="&amp;($D$6-1)),0))/7)/((SUM($H$104:$H131)+$K$12*IF($L131&lt;27,SUMIFS('Throw Log'!$Q$5:$Q$300,'Throw Log'!$B$5:$B$300,$D$4,'Throw Log'!$A$5:$A$300,"&gt;="&amp;($D$6+$L131-27),'Throw Log'!$A$5:$A$300,"&lt;="&amp;($D$6-1)),0))/28),"")))</f>
        <v/>
      </c>
      <c r="J131" s="37"/>
      <c r="K131" s="37"/>
      <c r="L131" s="32">
        <v>88</v>
      </c>
      <c r="M131" s="32">
        <f t="shared" si="63"/>
        <v>13</v>
      </c>
      <c r="N131" s="32">
        <f t="shared" si="64"/>
        <v>4</v>
      </c>
      <c r="O131" s="32">
        <f t="shared" si="65"/>
        <v>1</v>
      </c>
      <c r="P131" s="32" t="str">
        <f>IF(OR($A131="",N($C131)&lt;=7),"",$G$6*$G$9^($M131-1)*IF(AND(MOD($M131,Reference!$B$99)=0,$M131&lt;=$G$5-2),Reference!$B$100,1))</f>
        <v/>
      </c>
      <c r="Q131" s="32" t="str">
        <f>IF($P131="","",IF(SUM($AK$127:$AK$133)=0,0,$P131*INDEX(Reference!$B$108:$B$114,$N131+1)/SUM($AK$127:$AK$133)))</f>
        <v/>
      </c>
      <c r="R131" s="32">
        <f t="shared" si="66"/>
        <v>120</v>
      </c>
      <c r="S131" s="32">
        <f t="shared" si="67"/>
        <v>105</v>
      </c>
      <c r="T131" s="32" t="str">
        <f>IF($A131="","",IF($C131=0,"Bullpen",IF(OR($C131=7,$C131=1,$C131=5),"Recovery/Easy Catch",IF($C131=6,"Compression/Pulldowns",IF(OR($C131=4,$C131=2),"Long Toss",IF($C131=3,"No Throw",IF($N131=2,"No Throw",IF($N131=6,IF($O131&lt;Reference!$B$104,"No Throw","Recovery/Easy Catch"),IF(OR($N131=0,$N131=4),"Recovery/Easy Catch",IF($N131=1,IF($R131&gt;75,"Long Toss","Recovery/Easy Catch"),IF($N131=3,IF($O131&lt;0.5,IF($S131&gt;75,"Long Toss","Recovery/Easy Catch"),"Compression/Pulldowns"),IF($S131&gt;75,"Long Toss","Recovery/Easy Catch"))))))))))))</f>
        <v/>
      </c>
      <c r="U131" s="32" t="str">
        <f t="shared" si="68"/>
        <v/>
      </c>
      <c r="V131" s="32" t="str">
        <f t="shared" si="69"/>
        <v/>
      </c>
      <c r="W131" s="32" t="str">
        <f t="shared" si="70"/>
        <v/>
      </c>
      <c r="X131" s="32">
        <f t="shared" si="71"/>
        <v>0</v>
      </c>
      <c r="Y131" s="32" t="str">
        <f t="shared" si="72"/>
        <v/>
      </c>
      <c r="Z131" s="32" t="str">
        <f t="shared" si="73"/>
        <v/>
      </c>
      <c r="AA131" s="32" t="str">
        <f t="shared" si="74"/>
        <v/>
      </c>
      <c r="AB131" s="32" t="str">
        <f>IF($A131="","",IF($T131="No Throw",0,IF($K131&lt;&gt;"",$K131,IF($AA131&lt;&gt;"",ROUND($AA131*$D$12*IF($C131=0,1,$G$10),0),MIN(IF($T131="Recovery/Easy Catch",Reference!$B$103,IF($T131="Long Toss",Reference!$B$106,Reference!$B$102)),MAX(Reference!$B$101,ROUND(MAX(0,$Q131-$AE131)/$AF131,0)))))))</f>
        <v/>
      </c>
      <c r="AC131" s="32">
        <f t="shared" si="75"/>
        <v>0</v>
      </c>
      <c r="AD131" s="32" t="b">
        <f t="shared" si="76"/>
        <v>1</v>
      </c>
      <c r="AE131" s="32">
        <f>IF($X131=0,0,$X131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131+$Z131)/2,0),Reference!$A$17:$B$20,2,TRUE()))</f>
        <v>0</v>
      </c>
      <c r="AF131" s="32">
        <f>IF(OR($A131="",$U131="",$T131="No Throw"),0,$AM131*VLOOKUP(MAX(($V131+$W131)/2,0),Reference!$A$17:$B$20,2,TRUE()))</f>
        <v>0</v>
      </c>
      <c r="AG131" s="32">
        <f>IF($AC131=0,0,$AC131*INDEX(Reference!$B$61:$B$62,MATCH("Bullpen",Reference!$A$61:$A$62,0))*VLOOKUP(MAX($D$5-($D$9+$E$9)/2,0),Reference!$A$17:$B$20,2,TRUE()))</f>
        <v>0</v>
      </c>
      <c r="AH131" s="32" t="e">
        <f t="shared" si="77"/>
        <v>#N/A</v>
      </c>
      <c r="AI131" s="32" t="e">
        <f>IF($A131="",NA(),Reference!$A$25)</f>
        <v>#N/A</v>
      </c>
      <c r="AJ131" s="32" t="e">
        <f t="shared" si="78"/>
        <v>#N/A</v>
      </c>
      <c r="AK131" s="32">
        <f>IF(OR($A131="",N($C131)&lt;=7,$T131="No Throw",$J131="x"),0,INDEX(Reference!$B$108:$B$114,$N131+1))</f>
        <v>0</v>
      </c>
      <c r="AL131" s="32">
        <f t="shared" si="79"/>
        <v>1</v>
      </c>
      <c r="AM131" s="32">
        <f>IF($U131="",0,IF($AL131&gt;1,((IF(1&lt;=$AL131,($AL131-1+3)*(INDEX(Reference!$B$6:$B$11,MIN(5,MATCH(MAX(Reference!$A$6,MIN(Reference!$A$11,MIN($U131,90))),Reference!$A$6:$A$11,1)))+(MAX(Reference!$A$6,MIN(Reference!$A$11,MIN($U131,90)))-INDEX(Reference!$A$6:$A$11,MIN(5,MATCH(MAX(Reference!$A$6,MIN(Reference!$A$11,MIN($U131,90))),Reference!$A$6:$A$11,1))))*(INDEX(Reference!$B$6:$B$11,MIN(5,MATCH(MAX(Reference!$A$6,MIN(Reference!$A$11,MIN($U131,90))),Reference!$A$6:$A$11,1))+1)-INDEX(Reference!$B$6:$B$11,MIN(5,MATCH(MAX(Reference!$A$6,MIN(Reference!$A$11,MIN($U131,90))),Reference!$A$6:$A$11,1))))/(INDEX(Reference!$A$6:$A$11,MIN(5,MATCH(MAX(Reference!$A$6,MIN(Reference!$A$11,MIN($U131,90))),Reference!$A$6:$A$11,1))+1)-INDEX(Reference!$A$6:$A$11,MIN(5,MATCH(MAX(Reference!$A$6,MIN(Reference!$A$11,MIN($U131,90))),Reference!$A$6:$A$11,1))))),0)+IF(2&lt;=$AL131,($AL131-2+3)*(INDEX(Reference!$B$6:$B$11,MIN(5,MATCH(MAX(Reference!$A$6,MIN(Reference!$A$11,MIN($U131,120))),Reference!$A$6:$A$11,1)))+(MAX(Reference!$A$6,MIN(Reference!$A$11,MIN($U131,120)))-INDEX(Reference!$A$6:$A$11,MIN(5,MATCH(MAX(Reference!$A$6,MIN(Reference!$A$11,MIN($U131,120))),Reference!$A$6:$A$11,1))))*(INDEX(Reference!$B$6:$B$11,MIN(5,MATCH(MAX(Reference!$A$6,MIN(Reference!$A$11,MIN($U131,120))),Reference!$A$6:$A$11,1))+1)-INDEX(Reference!$B$6:$B$11,MIN(5,MATCH(MAX(Reference!$A$6,MIN(Reference!$A$11,MIN($U131,120))),Reference!$A$6:$A$11,1))))/(INDEX(Reference!$A$6:$A$11,MIN(5,MATCH(MAX(Reference!$A$6,MIN(Reference!$A$11,MIN($U131,120))),Reference!$A$6:$A$11,1))+1)-INDEX(Reference!$A$6:$A$11,MIN(5,MATCH(MAX(Reference!$A$6,MIN(Reference!$A$11,MIN($U131,120))),Reference!$A$6:$A$11,1))))),0)+IF(3&lt;=$AL131,($AL131-3+3)*(INDEX(Reference!$B$6:$B$11,MIN(5,MATCH(MAX(Reference!$A$6,MIN(Reference!$A$11,MIN($U131,150))),Reference!$A$6:$A$11,1)))+(MAX(Reference!$A$6,MIN(Reference!$A$11,MIN($U131,150)))-INDEX(Reference!$A$6:$A$11,MIN(5,MATCH(MAX(Reference!$A$6,MIN(Reference!$A$11,MIN($U131,150))),Reference!$A$6:$A$11,1))))*(INDEX(Reference!$B$6:$B$11,MIN(5,MATCH(MAX(Reference!$A$6,MIN(Reference!$A$11,MIN($U131,150))),Reference!$A$6:$A$11,1))+1)-INDEX(Reference!$B$6:$B$11,MIN(5,MATCH(MAX(Reference!$A$6,MIN(Reference!$A$11,MIN($U131,150))),Reference!$A$6:$A$11,1))))/(INDEX(Reference!$A$6:$A$11,MIN(5,MATCH(MAX(Reference!$A$6,MIN(Reference!$A$11,MIN($U131,150))),Reference!$A$6:$A$11,1))+1)-INDEX(Reference!$A$6:$A$11,MIN(5,MATCH(MAX(Reference!$A$6,MIN(Reference!$A$11,MIN($U131,150))),Reference!$A$6:$A$11,1))))),0)+IF(4&lt;=$AL131,($AL131-4+3)*(INDEX(Reference!$B$6:$B$11,MIN(5,MATCH(MAX(Reference!$A$6,MIN(Reference!$A$11,MIN($U131,180))),Reference!$A$6:$A$11,1)))+(MAX(Reference!$A$6,MIN(Reference!$A$11,MIN($U131,180)))-INDEX(Reference!$A$6:$A$11,MIN(5,MATCH(MAX(Reference!$A$6,MIN(Reference!$A$11,MIN($U131,180))),Reference!$A$6:$A$11,1))))*(INDEX(Reference!$B$6:$B$11,MIN(5,MATCH(MAX(Reference!$A$6,MIN(Reference!$A$11,MIN($U131,180))),Reference!$A$6:$A$11,1))+1)-INDEX(Reference!$B$6:$B$11,MIN(5,MATCH(MAX(Reference!$A$6,MIN(Reference!$A$11,MIN($U131,180))),Reference!$A$6:$A$11,1))))/(INDEX(Reference!$A$6:$A$11,MIN(5,MATCH(MAX(Reference!$A$6,MIN(Reference!$A$11,MIN($U131,180))),Reference!$A$6:$A$11,1))+1)-INDEX(Reference!$A$6:$A$11,MIN(5,MATCH(MAX(Reference!$A$6,MIN(Reference!$A$11,MIN($U131,180))),Reference!$A$6:$A$11,1))))),0)+IF(5&lt;=$AL131,($AL131-5+3)*(INDEX(Reference!$B$6:$B$11,MIN(5,MATCH(MAX(Reference!$A$6,MIN(Reference!$A$11,MIN($U131,210))),Reference!$A$6:$A$11,1)))+(MAX(Reference!$A$6,MIN(Reference!$A$11,MIN($U131,210)))-INDEX(Reference!$A$6:$A$11,MIN(5,MATCH(MAX(Reference!$A$6,MIN(Reference!$A$11,MIN($U131,210))),Reference!$A$6:$A$11,1))))*(INDEX(Reference!$B$6:$B$11,MIN(5,MATCH(MAX(Reference!$A$6,MIN(Reference!$A$11,MIN($U131,210))),Reference!$A$6:$A$11,1))+1)-INDEX(Reference!$B$6:$B$11,MIN(5,MATCH(MAX(Reference!$A$6,MIN(Reference!$A$11,MIN($U131,210))),Reference!$A$6:$A$11,1))))/(INDEX(Reference!$A$6:$A$11,MIN(5,MATCH(MAX(Reference!$A$6,MIN(Reference!$A$11,MIN($U131,210))),Reference!$A$6:$A$11,1))+1)-INDEX(Reference!$A$6:$A$11,MIN(5,MATCH(MAX(Reference!$A$6,MIN(Reference!$A$11,MIN($U131,210))),Reference!$A$6:$A$11,1))))),0)+IF(6&lt;=$AL131,($AL131-6+3)*(INDEX(Reference!$B$6:$B$11,MIN(5,MATCH(MAX(Reference!$A$6,MIN(Reference!$A$11,MIN($U131,240))),Reference!$A$6:$A$11,1)))+(MAX(Reference!$A$6,MIN(Reference!$A$11,MIN($U131,240)))-INDEX(Reference!$A$6:$A$11,MIN(5,MATCH(MAX(Reference!$A$6,MIN(Reference!$A$11,MIN($U131,240))),Reference!$A$6:$A$11,1))))*(INDEX(Reference!$B$6:$B$11,MIN(5,MATCH(MAX(Reference!$A$6,MIN(Reference!$A$11,MIN($U131,240))),Reference!$A$6:$A$11,1))+1)-INDEX(Reference!$B$6:$B$11,MIN(5,MATCH(MAX(Reference!$A$6,MIN(Reference!$A$11,MIN($U131,240))),Reference!$A$6:$A$11,1))))/(INDEX(Reference!$A$6:$A$11,MIN(5,MATCH(MAX(Reference!$A$6,MIN(Reference!$A$11,MIN($U131,240))),Reference!$A$6:$A$11,1))+1)-INDEX(Reference!$A$6:$A$11,MIN(5,MATCH(MAX(Reference!$A$6,MIN(Reference!$A$11,MIN($U131,240))),Reference!$A$6:$A$11,1))))),0)+IF(7&lt;=$AL131,($AL131-7+3)*(INDEX(Reference!$B$6:$B$11,MIN(5,MATCH(MAX(Reference!$A$6,MIN(Reference!$A$11,MIN($U131,270))),Reference!$A$6:$A$11,1)))+(MAX(Reference!$A$6,MIN(Reference!$A$11,MIN($U131,270)))-INDEX(Reference!$A$6:$A$11,MIN(5,MATCH(MAX(Reference!$A$6,MIN(Reference!$A$11,MIN($U131,270))),Reference!$A$6:$A$11,1))))*(INDEX(Reference!$B$6:$B$11,MIN(5,MATCH(MAX(Reference!$A$6,MIN(Reference!$A$11,MIN($U131,270))),Reference!$A$6:$A$11,1))+1)-INDEX(Reference!$B$6:$B$11,MIN(5,MATCH(MAX(Reference!$A$6,MIN(Reference!$A$11,MIN($U131,270))),Reference!$A$6:$A$11,1))))/(INDEX(Reference!$A$6:$A$11,MIN(5,MATCH(MAX(Reference!$A$6,MIN(Reference!$A$11,MIN($U131,270))),Reference!$A$6:$A$11,1))+1)-INDEX(Reference!$A$6:$A$11,MIN(5,MATCH(MAX(Reference!$A$6,MIN(Reference!$A$11,MIN($U131,270))),Reference!$A$6:$A$11,1))))),0)+IF(8&lt;=$AL131,($AL131-8+3)*(INDEX(Reference!$B$6:$B$11,MIN(5,MATCH(MAX(Reference!$A$6,MIN(Reference!$A$11,MIN($U131,300))),Reference!$A$6:$A$11,1)))+(MAX(Reference!$A$6,MIN(Reference!$A$11,MIN($U131,300)))-INDEX(Reference!$A$6:$A$11,MIN(5,MATCH(MAX(Reference!$A$6,MIN(Reference!$A$11,MIN($U131,300))),Reference!$A$6:$A$11,1))))*(INDEX(Reference!$B$6:$B$11,MIN(5,MATCH(MAX(Reference!$A$6,MIN(Reference!$A$11,MIN($U131,300))),Reference!$A$6:$A$11,1))+1)-INDEX(Reference!$B$6:$B$11,MIN(5,MATCH(MAX(Reference!$A$6,MIN(Reference!$A$11,MIN($U131,300))),Reference!$A$6:$A$11,1))))/(INDEX(Reference!$A$6:$A$11,MIN(5,MATCH(MAX(Reference!$A$6,MIN(Reference!$A$11,MIN($U131,300))),Reference!$A$6:$A$11,1))+1)-INDEX(Reference!$A$6:$A$11,MIN(5,MATCH(MAX(Reference!$A$6,MIN(Reference!$A$11,MIN($U131,300))),Reference!$A$6:$A$11,1))))),0))/($AL131*($AL131+5)/2)),$AN131))</f>
        <v>0</v>
      </c>
      <c r="AN131" s="32">
        <f>IF($U131="",0,(INDEX(Reference!$B$6:$B$11,MIN(5,MATCH(MAX(Reference!$A$6,MIN(Reference!$A$11,$U131)),Reference!$A$6:$A$11,1)))+(MAX(Reference!$A$6,MIN(Reference!$A$11,$U131))-INDEX(Reference!$A$6:$A$11,MIN(5,MATCH(MAX(Reference!$A$6,MIN(Reference!$A$11,$U131)),Reference!$A$6:$A$11,1))))*(INDEX(Reference!$B$6:$B$11,MIN(5,MATCH(MAX(Reference!$A$6,MIN(Reference!$A$11,$U131)),Reference!$A$6:$A$11,1))+1)-INDEX(Reference!$B$6:$B$11,MIN(5,MATCH(MAX(Reference!$A$6,MIN(Reference!$A$11,$U131)),Reference!$A$6:$A$11,1))))/(INDEX(Reference!$A$6:$A$11,MIN(5,MATCH(MAX(Reference!$A$6,MIN(Reference!$A$11,$U131)),Reference!$A$6:$A$11,1))+1)-INDEX(Reference!$A$6:$A$11,MIN(5,MATCH(MAX(Reference!$A$6,MIN(Reference!$A$11,$U131)),Reference!$A$6:$A$11,1))))))</f>
        <v>0</v>
      </c>
      <c r="AO131" s="37"/>
      <c r="AP131" s="37"/>
      <c r="AQ131" s="37"/>
    </row>
    <row r="132" spans="1:43" x14ac:dyDescent="0.3">
      <c r="A132" s="48" t="str">
        <f t="shared" si="55"/>
        <v/>
      </c>
      <c r="B132" s="32" t="str">
        <f t="shared" si="56"/>
        <v/>
      </c>
      <c r="C132" s="32" t="str">
        <f t="shared" si="57"/>
        <v/>
      </c>
      <c r="D132" s="32" t="str">
        <f t="shared" si="58"/>
        <v/>
      </c>
      <c r="E132" s="32" t="str">
        <f t="shared" si="59"/>
        <v/>
      </c>
      <c r="F132" s="32" t="str">
        <f t="shared" si="60"/>
        <v/>
      </c>
      <c r="G132" s="47" t="str">
        <f t="shared" si="61"/>
        <v/>
      </c>
      <c r="H132" s="30" t="str">
        <f t="shared" si="62"/>
        <v/>
      </c>
      <c r="I132" s="46" t="str">
        <f>IF($A132="","",IF(AND($L132&lt;27,$K$12=0),"Building",IFERROR(((SUM($H$126:$H132)+$K$12*IF($L132&lt;6,SUMIFS('Throw Log'!$Q$5:$Q$300,'Throw Log'!$B$5:$B$300,$D$4,'Throw Log'!$A$5:$A$300,"&gt;="&amp;($D$6+$L132-6),'Throw Log'!$A$5:$A$300,"&lt;="&amp;($D$6-1)),0))/7)/((SUM($H$105:$H132)+$K$12*IF($L132&lt;27,SUMIFS('Throw Log'!$Q$5:$Q$300,'Throw Log'!$B$5:$B$300,$D$4,'Throw Log'!$A$5:$A$300,"&gt;="&amp;($D$6+$L132-27),'Throw Log'!$A$5:$A$300,"&lt;="&amp;($D$6-1)),0))/28),"")))</f>
        <v/>
      </c>
      <c r="J132" s="37"/>
      <c r="K132" s="37"/>
      <c r="L132" s="32">
        <v>89</v>
      </c>
      <c r="M132" s="32">
        <f t="shared" si="63"/>
        <v>13</v>
      </c>
      <c r="N132" s="32">
        <f t="shared" si="64"/>
        <v>5</v>
      </c>
      <c r="O132" s="32">
        <f t="shared" si="65"/>
        <v>1</v>
      </c>
      <c r="P132" s="32" t="str">
        <f>IF(OR($A132="",N($C132)&lt;=7),"",$G$6*$G$9^($M132-1)*IF(AND(MOD($M132,Reference!$B$99)=0,$M132&lt;=$G$5-2),Reference!$B$100,1))</f>
        <v/>
      </c>
      <c r="Q132" s="32" t="str">
        <f>IF($P132="","",IF(SUM($AK$127:$AK$133)=0,0,$P132*INDEX(Reference!$B$108:$B$114,$N132+1)/SUM($AK$127:$AK$133)))</f>
        <v/>
      </c>
      <c r="R132" s="32">
        <f t="shared" si="66"/>
        <v>120</v>
      </c>
      <c r="S132" s="32">
        <f t="shared" si="67"/>
        <v>105</v>
      </c>
      <c r="T132" s="32" t="str">
        <f>IF($A132="","",IF($C132=0,"Bullpen",IF(OR($C132=7,$C132=1,$C132=5),"Recovery/Easy Catch",IF($C132=6,"Compression/Pulldowns",IF(OR($C132=4,$C132=2),"Long Toss",IF($C132=3,"No Throw",IF($N132=2,"No Throw",IF($N132=6,IF($O132&lt;Reference!$B$104,"No Throw","Recovery/Easy Catch"),IF(OR($N132=0,$N132=4),"Recovery/Easy Catch",IF($N132=1,IF($R132&gt;75,"Long Toss","Recovery/Easy Catch"),IF($N132=3,IF($O132&lt;0.5,IF($S132&gt;75,"Long Toss","Recovery/Easy Catch"),"Compression/Pulldowns"),IF($S132&gt;75,"Long Toss","Recovery/Easy Catch"))))))))))))</f>
        <v/>
      </c>
      <c r="U132" s="32" t="str">
        <f t="shared" si="68"/>
        <v/>
      </c>
      <c r="V132" s="32" t="str">
        <f t="shared" si="69"/>
        <v/>
      </c>
      <c r="W132" s="32" t="str">
        <f t="shared" si="70"/>
        <v/>
      </c>
      <c r="X132" s="32">
        <f t="shared" si="71"/>
        <v>0</v>
      </c>
      <c r="Y132" s="32" t="str">
        <f t="shared" si="72"/>
        <v/>
      </c>
      <c r="Z132" s="32" t="str">
        <f t="shared" si="73"/>
        <v/>
      </c>
      <c r="AA132" s="32" t="str">
        <f t="shared" si="74"/>
        <v/>
      </c>
      <c r="AB132" s="32" t="str">
        <f>IF($A132="","",IF($T132="No Throw",0,IF($K132&lt;&gt;"",$K132,IF($AA132&lt;&gt;"",ROUND($AA132*$D$12*IF($C132=0,1,$G$10),0),MIN(IF($T132="Recovery/Easy Catch",Reference!$B$103,IF($T132="Long Toss",Reference!$B$106,Reference!$B$102)),MAX(Reference!$B$101,ROUND(MAX(0,$Q132-$AE132)/$AF132,0)))))))</f>
        <v/>
      </c>
      <c r="AC132" s="32">
        <f t="shared" si="75"/>
        <v>0</v>
      </c>
      <c r="AD132" s="32" t="b">
        <f t="shared" si="76"/>
        <v>1</v>
      </c>
      <c r="AE132" s="32">
        <f>IF($X132=0,0,$X132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132+$Z132)/2,0),Reference!$A$17:$B$20,2,TRUE()))</f>
        <v>0</v>
      </c>
      <c r="AF132" s="32">
        <f>IF(OR($A132="",$U132="",$T132="No Throw"),0,$AM132*VLOOKUP(MAX(($V132+$W132)/2,0),Reference!$A$17:$B$20,2,TRUE()))</f>
        <v>0</v>
      </c>
      <c r="AG132" s="32">
        <f>IF($AC132=0,0,$AC132*INDEX(Reference!$B$61:$B$62,MATCH("Bullpen",Reference!$A$61:$A$62,0))*VLOOKUP(MAX($D$5-($D$9+$E$9)/2,0),Reference!$A$17:$B$20,2,TRUE()))</f>
        <v>0</v>
      </c>
      <c r="AH132" s="32" t="e">
        <f t="shared" si="77"/>
        <v>#N/A</v>
      </c>
      <c r="AI132" s="32" t="e">
        <f>IF($A132="",NA(),Reference!$A$25)</f>
        <v>#N/A</v>
      </c>
      <c r="AJ132" s="32" t="e">
        <f t="shared" si="78"/>
        <v>#N/A</v>
      </c>
      <c r="AK132" s="32">
        <f>IF(OR($A132="",N($C132)&lt;=7,$T132="No Throw",$J132="x"),0,INDEX(Reference!$B$108:$B$114,$N132+1))</f>
        <v>0</v>
      </c>
      <c r="AL132" s="32">
        <f t="shared" si="79"/>
        <v>1</v>
      </c>
      <c r="AM132" s="32">
        <f>IF($U132="",0,IF($AL132&gt;1,((IF(1&lt;=$AL132,($AL132-1+3)*(INDEX(Reference!$B$6:$B$11,MIN(5,MATCH(MAX(Reference!$A$6,MIN(Reference!$A$11,MIN($U132,90))),Reference!$A$6:$A$11,1)))+(MAX(Reference!$A$6,MIN(Reference!$A$11,MIN($U132,90)))-INDEX(Reference!$A$6:$A$11,MIN(5,MATCH(MAX(Reference!$A$6,MIN(Reference!$A$11,MIN($U132,90))),Reference!$A$6:$A$11,1))))*(INDEX(Reference!$B$6:$B$11,MIN(5,MATCH(MAX(Reference!$A$6,MIN(Reference!$A$11,MIN($U132,90))),Reference!$A$6:$A$11,1))+1)-INDEX(Reference!$B$6:$B$11,MIN(5,MATCH(MAX(Reference!$A$6,MIN(Reference!$A$11,MIN($U132,90))),Reference!$A$6:$A$11,1))))/(INDEX(Reference!$A$6:$A$11,MIN(5,MATCH(MAX(Reference!$A$6,MIN(Reference!$A$11,MIN($U132,90))),Reference!$A$6:$A$11,1))+1)-INDEX(Reference!$A$6:$A$11,MIN(5,MATCH(MAX(Reference!$A$6,MIN(Reference!$A$11,MIN($U132,90))),Reference!$A$6:$A$11,1))))),0)+IF(2&lt;=$AL132,($AL132-2+3)*(INDEX(Reference!$B$6:$B$11,MIN(5,MATCH(MAX(Reference!$A$6,MIN(Reference!$A$11,MIN($U132,120))),Reference!$A$6:$A$11,1)))+(MAX(Reference!$A$6,MIN(Reference!$A$11,MIN($U132,120)))-INDEX(Reference!$A$6:$A$11,MIN(5,MATCH(MAX(Reference!$A$6,MIN(Reference!$A$11,MIN($U132,120))),Reference!$A$6:$A$11,1))))*(INDEX(Reference!$B$6:$B$11,MIN(5,MATCH(MAX(Reference!$A$6,MIN(Reference!$A$11,MIN($U132,120))),Reference!$A$6:$A$11,1))+1)-INDEX(Reference!$B$6:$B$11,MIN(5,MATCH(MAX(Reference!$A$6,MIN(Reference!$A$11,MIN($U132,120))),Reference!$A$6:$A$11,1))))/(INDEX(Reference!$A$6:$A$11,MIN(5,MATCH(MAX(Reference!$A$6,MIN(Reference!$A$11,MIN($U132,120))),Reference!$A$6:$A$11,1))+1)-INDEX(Reference!$A$6:$A$11,MIN(5,MATCH(MAX(Reference!$A$6,MIN(Reference!$A$11,MIN($U132,120))),Reference!$A$6:$A$11,1))))),0)+IF(3&lt;=$AL132,($AL132-3+3)*(INDEX(Reference!$B$6:$B$11,MIN(5,MATCH(MAX(Reference!$A$6,MIN(Reference!$A$11,MIN($U132,150))),Reference!$A$6:$A$11,1)))+(MAX(Reference!$A$6,MIN(Reference!$A$11,MIN($U132,150)))-INDEX(Reference!$A$6:$A$11,MIN(5,MATCH(MAX(Reference!$A$6,MIN(Reference!$A$11,MIN($U132,150))),Reference!$A$6:$A$11,1))))*(INDEX(Reference!$B$6:$B$11,MIN(5,MATCH(MAX(Reference!$A$6,MIN(Reference!$A$11,MIN($U132,150))),Reference!$A$6:$A$11,1))+1)-INDEX(Reference!$B$6:$B$11,MIN(5,MATCH(MAX(Reference!$A$6,MIN(Reference!$A$11,MIN($U132,150))),Reference!$A$6:$A$11,1))))/(INDEX(Reference!$A$6:$A$11,MIN(5,MATCH(MAX(Reference!$A$6,MIN(Reference!$A$11,MIN($U132,150))),Reference!$A$6:$A$11,1))+1)-INDEX(Reference!$A$6:$A$11,MIN(5,MATCH(MAX(Reference!$A$6,MIN(Reference!$A$11,MIN($U132,150))),Reference!$A$6:$A$11,1))))),0)+IF(4&lt;=$AL132,($AL132-4+3)*(INDEX(Reference!$B$6:$B$11,MIN(5,MATCH(MAX(Reference!$A$6,MIN(Reference!$A$11,MIN($U132,180))),Reference!$A$6:$A$11,1)))+(MAX(Reference!$A$6,MIN(Reference!$A$11,MIN($U132,180)))-INDEX(Reference!$A$6:$A$11,MIN(5,MATCH(MAX(Reference!$A$6,MIN(Reference!$A$11,MIN($U132,180))),Reference!$A$6:$A$11,1))))*(INDEX(Reference!$B$6:$B$11,MIN(5,MATCH(MAX(Reference!$A$6,MIN(Reference!$A$11,MIN($U132,180))),Reference!$A$6:$A$11,1))+1)-INDEX(Reference!$B$6:$B$11,MIN(5,MATCH(MAX(Reference!$A$6,MIN(Reference!$A$11,MIN($U132,180))),Reference!$A$6:$A$11,1))))/(INDEX(Reference!$A$6:$A$11,MIN(5,MATCH(MAX(Reference!$A$6,MIN(Reference!$A$11,MIN($U132,180))),Reference!$A$6:$A$11,1))+1)-INDEX(Reference!$A$6:$A$11,MIN(5,MATCH(MAX(Reference!$A$6,MIN(Reference!$A$11,MIN($U132,180))),Reference!$A$6:$A$11,1))))),0)+IF(5&lt;=$AL132,($AL132-5+3)*(INDEX(Reference!$B$6:$B$11,MIN(5,MATCH(MAX(Reference!$A$6,MIN(Reference!$A$11,MIN($U132,210))),Reference!$A$6:$A$11,1)))+(MAX(Reference!$A$6,MIN(Reference!$A$11,MIN($U132,210)))-INDEX(Reference!$A$6:$A$11,MIN(5,MATCH(MAX(Reference!$A$6,MIN(Reference!$A$11,MIN($U132,210))),Reference!$A$6:$A$11,1))))*(INDEX(Reference!$B$6:$B$11,MIN(5,MATCH(MAX(Reference!$A$6,MIN(Reference!$A$11,MIN($U132,210))),Reference!$A$6:$A$11,1))+1)-INDEX(Reference!$B$6:$B$11,MIN(5,MATCH(MAX(Reference!$A$6,MIN(Reference!$A$11,MIN($U132,210))),Reference!$A$6:$A$11,1))))/(INDEX(Reference!$A$6:$A$11,MIN(5,MATCH(MAX(Reference!$A$6,MIN(Reference!$A$11,MIN($U132,210))),Reference!$A$6:$A$11,1))+1)-INDEX(Reference!$A$6:$A$11,MIN(5,MATCH(MAX(Reference!$A$6,MIN(Reference!$A$11,MIN($U132,210))),Reference!$A$6:$A$11,1))))),0)+IF(6&lt;=$AL132,($AL132-6+3)*(INDEX(Reference!$B$6:$B$11,MIN(5,MATCH(MAX(Reference!$A$6,MIN(Reference!$A$11,MIN($U132,240))),Reference!$A$6:$A$11,1)))+(MAX(Reference!$A$6,MIN(Reference!$A$11,MIN($U132,240)))-INDEX(Reference!$A$6:$A$11,MIN(5,MATCH(MAX(Reference!$A$6,MIN(Reference!$A$11,MIN($U132,240))),Reference!$A$6:$A$11,1))))*(INDEX(Reference!$B$6:$B$11,MIN(5,MATCH(MAX(Reference!$A$6,MIN(Reference!$A$11,MIN($U132,240))),Reference!$A$6:$A$11,1))+1)-INDEX(Reference!$B$6:$B$11,MIN(5,MATCH(MAX(Reference!$A$6,MIN(Reference!$A$11,MIN($U132,240))),Reference!$A$6:$A$11,1))))/(INDEX(Reference!$A$6:$A$11,MIN(5,MATCH(MAX(Reference!$A$6,MIN(Reference!$A$11,MIN($U132,240))),Reference!$A$6:$A$11,1))+1)-INDEX(Reference!$A$6:$A$11,MIN(5,MATCH(MAX(Reference!$A$6,MIN(Reference!$A$11,MIN($U132,240))),Reference!$A$6:$A$11,1))))),0)+IF(7&lt;=$AL132,($AL132-7+3)*(INDEX(Reference!$B$6:$B$11,MIN(5,MATCH(MAX(Reference!$A$6,MIN(Reference!$A$11,MIN($U132,270))),Reference!$A$6:$A$11,1)))+(MAX(Reference!$A$6,MIN(Reference!$A$11,MIN($U132,270)))-INDEX(Reference!$A$6:$A$11,MIN(5,MATCH(MAX(Reference!$A$6,MIN(Reference!$A$11,MIN($U132,270))),Reference!$A$6:$A$11,1))))*(INDEX(Reference!$B$6:$B$11,MIN(5,MATCH(MAX(Reference!$A$6,MIN(Reference!$A$11,MIN($U132,270))),Reference!$A$6:$A$11,1))+1)-INDEX(Reference!$B$6:$B$11,MIN(5,MATCH(MAX(Reference!$A$6,MIN(Reference!$A$11,MIN($U132,270))),Reference!$A$6:$A$11,1))))/(INDEX(Reference!$A$6:$A$11,MIN(5,MATCH(MAX(Reference!$A$6,MIN(Reference!$A$11,MIN($U132,270))),Reference!$A$6:$A$11,1))+1)-INDEX(Reference!$A$6:$A$11,MIN(5,MATCH(MAX(Reference!$A$6,MIN(Reference!$A$11,MIN($U132,270))),Reference!$A$6:$A$11,1))))),0)+IF(8&lt;=$AL132,($AL132-8+3)*(INDEX(Reference!$B$6:$B$11,MIN(5,MATCH(MAX(Reference!$A$6,MIN(Reference!$A$11,MIN($U132,300))),Reference!$A$6:$A$11,1)))+(MAX(Reference!$A$6,MIN(Reference!$A$11,MIN($U132,300)))-INDEX(Reference!$A$6:$A$11,MIN(5,MATCH(MAX(Reference!$A$6,MIN(Reference!$A$11,MIN($U132,300))),Reference!$A$6:$A$11,1))))*(INDEX(Reference!$B$6:$B$11,MIN(5,MATCH(MAX(Reference!$A$6,MIN(Reference!$A$11,MIN($U132,300))),Reference!$A$6:$A$11,1))+1)-INDEX(Reference!$B$6:$B$11,MIN(5,MATCH(MAX(Reference!$A$6,MIN(Reference!$A$11,MIN($U132,300))),Reference!$A$6:$A$11,1))))/(INDEX(Reference!$A$6:$A$11,MIN(5,MATCH(MAX(Reference!$A$6,MIN(Reference!$A$11,MIN($U132,300))),Reference!$A$6:$A$11,1))+1)-INDEX(Reference!$A$6:$A$11,MIN(5,MATCH(MAX(Reference!$A$6,MIN(Reference!$A$11,MIN($U132,300))),Reference!$A$6:$A$11,1))))),0))/($AL132*($AL132+5)/2)),$AN132))</f>
        <v>0</v>
      </c>
      <c r="AN132" s="32">
        <f>IF($U132="",0,(INDEX(Reference!$B$6:$B$11,MIN(5,MATCH(MAX(Reference!$A$6,MIN(Reference!$A$11,$U132)),Reference!$A$6:$A$11,1)))+(MAX(Reference!$A$6,MIN(Reference!$A$11,$U132))-INDEX(Reference!$A$6:$A$11,MIN(5,MATCH(MAX(Reference!$A$6,MIN(Reference!$A$11,$U132)),Reference!$A$6:$A$11,1))))*(INDEX(Reference!$B$6:$B$11,MIN(5,MATCH(MAX(Reference!$A$6,MIN(Reference!$A$11,$U132)),Reference!$A$6:$A$11,1))+1)-INDEX(Reference!$B$6:$B$11,MIN(5,MATCH(MAX(Reference!$A$6,MIN(Reference!$A$11,$U132)),Reference!$A$6:$A$11,1))))/(INDEX(Reference!$A$6:$A$11,MIN(5,MATCH(MAX(Reference!$A$6,MIN(Reference!$A$11,$U132)),Reference!$A$6:$A$11,1))+1)-INDEX(Reference!$A$6:$A$11,MIN(5,MATCH(MAX(Reference!$A$6,MIN(Reference!$A$11,$U132)),Reference!$A$6:$A$11,1))))))</f>
        <v>0</v>
      </c>
      <c r="AO132" s="37"/>
      <c r="AP132" s="37"/>
      <c r="AQ132" s="37"/>
    </row>
    <row r="133" spans="1:43" x14ac:dyDescent="0.3">
      <c r="A133" s="48" t="str">
        <f t="shared" si="55"/>
        <v/>
      </c>
      <c r="B133" s="32" t="str">
        <f t="shared" si="56"/>
        <v/>
      </c>
      <c r="C133" s="32" t="str">
        <f t="shared" si="57"/>
        <v/>
      </c>
      <c r="D133" s="32" t="str">
        <f t="shared" si="58"/>
        <v/>
      </c>
      <c r="E133" s="32" t="str">
        <f t="shared" si="59"/>
        <v/>
      </c>
      <c r="F133" s="32" t="str">
        <f t="shared" si="60"/>
        <v/>
      </c>
      <c r="G133" s="47" t="str">
        <f t="shared" si="61"/>
        <v/>
      </c>
      <c r="H133" s="30" t="str">
        <f t="shared" si="62"/>
        <v/>
      </c>
      <c r="I133" s="46" t="str">
        <f>IF($A133="","",IF(AND($L133&lt;27,$K$12=0),"Building",IFERROR(((SUM($H$127:$H133)+$K$12*IF($L133&lt;6,SUMIFS('Throw Log'!$Q$5:$Q$300,'Throw Log'!$B$5:$B$300,$D$4,'Throw Log'!$A$5:$A$300,"&gt;="&amp;($D$6+$L133-6),'Throw Log'!$A$5:$A$300,"&lt;="&amp;($D$6-1)),0))/7)/((SUM($H$106:$H133)+$K$12*IF($L133&lt;27,SUMIFS('Throw Log'!$Q$5:$Q$300,'Throw Log'!$B$5:$B$300,$D$4,'Throw Log'!$A$5:$A$300,"&gt;="&amp;($D$6+$L133-27),'Throw Log'!$A$5:$A$300,"&lt;="&amp;($D$6-1)),0))/28),"")))</f>
        <v/>
      </c>
      <c r="J133" s="37"/>
      <c r="K133" s="37"/>
      <c r="L133" s="32">
        <v>90</v>
      </c>
      <c r="M133" s="32">
        <f t="shared" si="63"/>
        <v>13</v>
      </c>
      <c r="N133" s="32">
        <f t="shared" si="64"/>
        <v>6</v>
      </c>
      <c r="O133" s="32">
        <f t="shared" si="65"/>
        <v>1</v>
      </c>
      <c r="P133" s="32" t="str">
        <f>IF(OR($A133="",N($C133)&lt;=7),"",$G$6*$G$9^($M133-1)*IF(AND(MOD($M133,Reference!$B$99)=0,$M133&lt;=$G$5-2),Reference!$B$100,1))</f>
        <v/>
      </c>
      <c r="Q133" s="32" t="str">
        <f>IF($P133="","",IF(SUM($AK$127:$AK$133)=0,0,$P133*INDEX(Reference!$B$108:$B$114,$N133+1)/SUM($AK$127:$AK$133)))</f>
        <v/>
      </c>
      <c r="R133" s="32">
        <f t="shared" si="66"/>
        <v>120</v>
      </c>
      <c r="S133" s="32">
        <f t="shared" si="67"/>
        <v>105</v>
      </c>
      <c r="T133" s="32" t="str">
        <f>IF($A133="","",IF($C133=0,"Bullpen",IF(OR($C133=7,$C133=1,$C133=5),"Recovery/Easy Catch",IF($C133=6,"Compression/Pulldowns",IF(OR($C133=4,$C133=2),"Long Toss",IF($C133=3,"No Throw",IF($N133=2,"No Throw",IF($N133=6,IF($O133&lt;Reference!$B$104,"No Throw","Recovery/Easy Catch"),IF(OR($N133=0,$N133=4),"Recovery/Easy Catch",IF($N133=1,IF($R133&gt;75,"Long Toss","Recovery/Easy Catch"),IF($N133=3,IF($O133&lt;0.5,IF($S133&gt;75,"Long Toss","Recovery/Easy Catch"),"Compression/Pulldowns"),IF($S133&gt;75,"Long Toss","Recovery/Easy Catch"))))))))))))</f>
        <v/>
      </c>
      <c r="U133" s="32" t="str">
        <f t="shared" si="68"/>
        <v/>
      </c>
      <c r="V133" s="32" t="str">
        <f t="shared" si="69"/>
        <v/>
      </c>
      <c r="W133" s="32" t="str">
        <f t="shared" si="70"/>
        <v/>
      </c>
      <c r="X133" s="32">
        <f t="shared" si="71"/>
        <v>0</v>
      </c>
      <c r="Y133" s="32" t="str">
        <f t="shared" si="72"/>
        <v/>
      </c>
      <c r="Z133" s="32" t="str">
        <f t="shared" si="73"/>
        <v/>
      </c>
      <c r="AA133" s="32" t="str">
        <f t="shared" si="74"/>
        <v/>
      </c>
      <c r="AB133" s="32" t="str">
        <f>IF($A133="","",IF($T133="No Throw",0,IF($K133&lt;&gt;"",$K133,IF($AA133&lt;&gt;"",ROUND($AA133*$D$12*IF($C133=0,1,$G$10),0),MIN(IF($T133="Recovery/Easy Catch",Reference!$B$103,IF($T133="Long Toss",Reference!$B$106,Reference!$B$102)),MAX(Reference!$B$101,ROUND(MAX(0,$Q133-$AE133)/$AF133,0)))))))</f>
        <v/>
      </c>
      <c r="AC133" s="32">
        <f t="shared" si="75"/>
        <v>0</v>
      </c>
      <c r="AD133" s="32" t="b">
        <f t="shared" si="76"/>
        <v>1</v>
      </c>
      <c r="AE133" s="32">
        <f>IF($X133=0,0,$X133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133+$Z133)/2,0),Reference!$A$17:$B$20,2,TRUE()))</f>
        <v>0</v>
      </c>
      <c r="AF133" s="32">
        <f>IF(OR($A133="",$U133="",$T133="No Throw"),0,$AM133*VLOOKUP(MAX(($V133+$W133)/2,0),Reference!$A$17:$B$20,2,TRUE()))</f>
        <v>0</v>
      </c>
      <c r="AG133" s="32">
        <f>IF($AC133=0,0,$AC133*INDEX(Reference!$B$61:$B$62,MATCH("Bullpen",Reference!$A$61:$A$62,0))*VLOOKUP(MAX($D$5-($D$9+$E$9)/2,0),Reference!$A$17:$B$20,2,TRUE()))</f>
        <v>0</v>
      </c>
      <c r="AH133" s="32" t="e">
        <f t="shared" si="77"/>
        <v>#N/A</v>
      </c>
      <c r="AI133" s="32" t="e">
        <f>IF($A133="",NA(),Reference!$A$25)</f>
        <v>#N/A</v>
      </c>
      <c r="AJ133" s="32" t="e">
        <f t="shared" si="78"/>
        <v>#N/A</v>
      </c>
      <c r="AK133" s="32">
        <f>IF(OR($A133="",N($C133)&lt;=7,$T133="No Throw",$J133="x"),0,INDEX(Reference!$B$108:$B$114,$N133+1))</f>
        <v>0</v>
      </c>
      <c r="AL133" s="32">
        <f t="shared" si="79"/>
        <v>1</v>
      </c>
      <c r="AM133" s="32">
        <f>IF($U133="",0,IF($AL133&gt;1,((IF(1&lt;=$AL133,($AL133-1+3)*(INDEX(Reference!$B$6:$B$11,MIN(5,MATCH(MAX(Reference!$A$6,MIN(Reference!$A$11,MIN($U133,90))),Reference!$A$6:$A$11,1)))+(MAX(Reference!$A$6,MIN(Reference!$A$11,MIN($U133,90)))-INDEX(Reference!$A$6:$A$11,MIN(5,MATCH(MAX(Reference!$A$6,MIN(Reference!$A$11,MIN($U133,90))),Reference!$A$6:$A$11,1))))*(INDEX(Reference!$B$6:$B$11,MIN(5,MATCH(MAX(Reference!$A$6,MIN(Reference!$A$11,MIN($U133,90))),Reference!$A$6:$A$11,1))+1)-INDEX(Reference!$B$6:$B$11,MIN(5,MATCH(MAX(Reference!$A$6,MIN(Reference!$A$11,MIN($U133,90))),Reference!$A$6:$A$11,1))))/(INDEX(Reference!$A$6:$A$11,MIN(5,MATCH(MAX(Reference!$A$6,MIN(Reference!$A$11,MIN($U133,90))),Reference!$A$6:$A$11,1))+1)-INDEX(Reference!$A$6:$A$11,MIN(5,MATCH(MAX(Reference!$A$6,MIN(Reference!$A$11,MIN($U133,90))),Reference!$A$6:$A$11,1))))),0)+IF(2&lt;=$AL133,($AL133-2+3)*(INDEX(Reference!$B$6:$B$11,MIN(5,MATCH(MAX(Reference!$A$6,MIN(Reference!$A$11,MIN($U133,120))),Reference!$A$6:$A$11,1)))+(MAX(Reference!$A$6,MIN(Reference!$A$11,MIN($U133,120)))-INDEX(Reference!$A$6:$A$11,MIN(5,MATCH(MAX(Reference!$A$6,MIN(Reference!$A$11,MIN($U133,120))),Reference!$A$6:$A$11,1))))*(INDEX(Reference!$B$6:$B$11,MIN(5,MATCH(MAX(Reference!$A$6,MIN(Reference!$A$11,MIN($U133,120))),Reference!$A$6:$A$11,1))+1)-INDEX(Reference!$B$6:$B$11,MIN(5,MATCH(MAX(Reference!$A$6,MIN(Reference!$A$11,MIN($U133,120))),Reference!$A$6:$A$11,1))))/(INDEX(Reference!$A$6:$A$11,MIN(5,MATCH(MAX(Reference!$A$6,MIN(Reference!$A$11,MIN($U133,120))),Reference!$A$6:$A$11,1))+1)-INDEX(Reference!$A$6:$A$11,MIN(5,MATCH(MAX(Reference!$A$6,MIN(Reference!$A$11,MIN($U133,120))),Reference!$A$6:$A$11,1))))),0)+IF(3&lt;=$AL133,($AL133-3+3)*(INDEX(Reference!$B$6:$B$11,MIN(5,MATCH(MAX(Reference!$A$6,MIN(Reference!$A$11,MIN($U133,150))),Reference!$A$6:$A$11,1)))+(MAX(Reference!$A$6,MIN(Reference!$A$11,MIN($U133,150)))-INDEX(Reference!$A$6:$A$11,MIN(5,MATCH(MAX(Reference!$A$6,MIN(Reference!$A$11,MIN($U133,150))),Reference!$A$6:$A$11,1))))*(INDEX(Reference!$B$6:$B$11,MIN(5,MATCH(MAX(Reference!$A$6,MIN(Reference!$A$11,MIN($U133,150))),Reference!$A$6:$A$11,1))+1)-INDEX(Reference!$B$6:$B$11,MIN(5,MATCH(MAX(Reference!$A$6,MIN(Reference!$A$11,MIN($U133,150))),Reference!$A$6:$A$11,1))))/(INDEX(Reference!$A$6:$A$11,MIN(5,MATCH(MAX(Reference!$A$6,MIN(Reference!$A$11,MIN($U133,150))),Reference!$A$6:$A$11,1))+1)-INDEX(Reference!$A$6:$A$11,MIN(5,MATCH(MAX(Reference!$A$6,MIN(Reference!$A$11,MIN($U133,150))),Reference!$A$6:$A$11,1))))),0)+IF(4&lt;=$AL133,($AL133-4+3)*(INDEX(Reference!$B$6:$B$11,MIN(5,MATCH(MAX(Reference!$A$6,MIN(Reference!$A$11,MIN($U133,180))),Reference!$A$6:$A$11,1)))+(MAX(Reference!$A$6,MIN(Reference!$A$11,MIN($U133,180)))-INDEX(Reference!$A$6:$A$11,MIN(5,MATCH(MAX(Reference!$A$6,MIN(Reference!$A$11,MIN($U133,180))),Reference!$A$6:$A$11,1))))*(INDEX(Reference!$B$6:$B$11,MIN(5,MATCH(MAX(Reference!$A$6,MIN(Reference!$A$11,MIN($U133,180))),Reference!$A$6:$A$11,1))+1)-INDEX(Reference!$B$6:$B$11,MIN(5,MATCH(MAX(Reference!$A$6,MIN(Reference!$A$11,MIN($U133,180))),Reference!$A$6:$A$11,1))))/(INDEX(Reference!$A$6:$A$11,MIN(5,MATCH(MAX(Reference!$A$6,MIN(Reference!$A$11,MIN($U133,180))),Reference!$A$6:$A$11,1))+1)-INDEX(Reference!$A$6:$A$11,MIN(5,MATCH(MAX(Reference!$A$6,MIN(Reference!$A$11,MIN($U133,180))),Reference!$A$6:$A$11,1))))),0)+IF(5&lt;=$AL133,($AL133-5+3)*(INDEX(Reference!$B$6:$B$11,MIN(5,MATCH(MAX(Reference!$A$6,MIN(Reference!$A$11,MIN($U133,210))),Reference!$A$6:$A$11,1)))+(MAX(Reference!$A$6,MIN(Reference!$A$11,MIN($U133,210)))-INDEX(Reference!$A$6:$A$11,MIN(5,MATCH(MAX(Reference!$A$6,MIN(Reference!$A$11,MIN($U133,210))),Reference!$A$6:$A$11,1))))*(INDEX(Reference!$B$6:$B$11,MIN(5,MATCH(MAX(Reference!$A$6,MIN(Reference!$A$11,MIN($U133,210))),Reference!$A$6:$A$11,1))+1)-INDEX(Reference!$B$6:$B$11,MIN(5,MATCH(MAX(Reference!$A$6,MIN(Reference!$A$11,MIN($U133,210))),Reference!$A$6:$A$11,1))))/(INDEX(Reference!$A$6:$A$11,MIN(5,MATCH(MAX(Reference!$A$6,MIN(Reference!$A$11,MIN($U133,210))),Reference!$A$6:$A$11,1))+1)-INDEX(Reference!$A$6:$A$11,MIN(5,MATCH(MAX(Reference!$A$6,MIN(Reference!$A$11,MIN($U133,210))),Reference!$A$6:$A$11,1))))),0)+IF(6&lt;=$AL133,($AL133-6+3)*(INDEX(Reference!$B$6:$B$11,MIN(5,MATCH(MAX(Reference!$A$6,MIN(Reference!$A$11,MIN($U133,240))),Reference!$A$6:$A$11,1)))+(MAX(Reference!$A$6,MIN(Reference!$A$11,MIN($U133,240)))-INDEX(Reference!$A$6:$A$11,MIN(5,MATCH(MAX(Reference!$A$6,MIN(Reference!$A$11,MIN($U133,240))),Reference!$A$6:$A$11,1))))*(INDEX(Reference!$B$6:$B$11,MIN(5,MATCH(MAX(Reference!$A$6,MIN(Reference!$A$11,MIN($U133,240))),Reference!$A$6:$A$11,1))+1)-INDEX(Reference!$B$6:$B$11,MIN(5,MATCH(MAX(Reference!$A$6,MIN(Reference!$A$11,MIN($U133,240))),Reference!$A$6:$A$11,1))))/(INDEX(Reference!$A$6:$A$11,MIN(5,MATCH(MAX(Reference!$A$6,MIN(Reference!$A$11,MIN($U133,240))),Reference!$A$6:$A$11,1))+1)-INDEX(Reference!$A$6:$A$11,MIN(5,MATCH(MAX(Reference!$A$6,MIN(Reference!$A$11,MIN($U133,240))),Reference!$A$6:$A$11,1))))),0)+IF(7&lt;=$AL133,($AL133-7+3)*(INDEX(Reference!$B$6:$B$11,MIN(5,MATCH(MAX(Reference!$A$6,MIN(Reference!$A$11,MIN($U133,270))),Reference!$A$6:$A$11,1)))+(MAX(Reference!$A$6,MIN(Reference!$A$11,MIN($U133,270)))-INDEX(Reference!$A$6:$A$11,MIN(5,MATCH(MAX(Reference!$A$6,MIN(Reference!$A$11,MIN($U133,270))),Reference!$A$6:$A$11,1))))*(INDEX(Reference!$B$6:$B$11,MIN(5,MATCH(MAX(Reference!$A$6,MIN(Reference!$A$11,MIN($U133,270))),Reference!$A$6:$A$11,1))+1)-INDEX(Reference!$B$6:$B$11,MIN(5,MATCH(MAX(Reference!$A$6,MIN(Reference!$A$11,MIN($U133,270))),Reference!$A$6:$A$11,1))))/(INDEX(Reference!$A$6:$A$11,MIN(5,MATCH(MAX(Reference!$A$6,MIN(Reference!$A$11,MIN($U133,270))),Reference!$A$6:$A$11,1))+1)-INDEX(Reference!$A$6:$A$11,MIN(5,MATCH(MAX(Reference!$A$6,MIN(Reference!$A$11,MIN($U133,270))),Reference!$A$6:$A$11,1))))),0)+IF(8&lt;=$AL133,($AL133-8+3)*(INDEX(Reference!$B$6:$B$11,MIN(5,MATCH(MAX(Reference!$A$6,MIN(Reference!$A$11,MIN($U133,300))),Reference!$A$6:$A$11,1)))+(MAX(Reference!$A$6,MIN(Reference!$A$11,MIN($U133,300)))-INDEX(Reference!$A$6:$A$11,MIN(5,MATCH(MAX(Reference!$A$6,MIN(Reference!$A$11,MIN($U133,300))),Reference!$A$6:$A$11,1))))*(INDEX(Reference!$B$6:$B$11,MIN(5,MATCH(MAX(Reference!$A$6,MIN(Reference!$A$11,MIN($U133,300))),Reference!$A$6:$A$11,1))+1)-INDEX(Reference!$B$6:$B$11,MIN(5,MATCH(MAX(Reference!$A$6,MIN(Reference!$A$11,MIN($U133,300))),Reference!$A$6:$A$11,1))))/(INDEX(Reference!$A$6:$A$11,MIN(5,MATCH(MAX(Reference!$A$6,MIN(Reference!$A$11,MIN($U133,300))),Reference!$A$6:$A$11,1))+1)-INDEX(Reference!$A$6:$A$11,MIN(5,MATCH(MAX(Reference!$A$6,MIN(Reference!$A$11,MIN($U133,300))),Reference!$A$6:$A$11,1))))),0))/($AL133*($AL133+5)/2)),$AN133))</f>
        <v>0</v>
      </c>
      <c r="AN133" s="32">
        <f>IF($U133="",0,(INDEX(Reference!$B$6:$B$11,MIN(5,MATCH(MAX(Reference!$A$6,MIN(Reference!$A$11,$U133)),Reference!$A$6:$A$11,1)))+(MAX(Reference!$A$6,MIN(Reference!$A$11,$U133))-INDEX(Reference!$A$6:$A$11,MIN(5,MATCH(MAX(Reference!$A$6,MIN(Reference!$A$11,$U133)),Reference!$A$6:$A$11,1))))*(INDEX(Reference!$B$6:$B$11,MIN(5,MATCH(MAX(Reference!$A$6,MIN(Reference!$A$11,$U133)),Reference!$A$6:$A$11,1))+1)-INDEX(Reference!$B$6:$B$11,MIN(5,MATCH(MAX(Reference!$A$6,MIN(Reference!$A$11,$U133)),Reference!$A$6:$A$11,1))))/(INDEX(Reference!$A$6:$A$11,MIN(5,MATCH(MAX(Reference!$A$6,MIN(Reference!$A$11,$U133)),Reference!$A$6:$A$11,1))+1)-INDEX(Reference!$A$6:$A$11,MIN(5,MATCH(MAX(Reference!$A$6,MIN(Reference!$A$11,$U133)),Reference!$A$6:$A$11,1))))))</f>
        <v>0</v>
      </c>
      <c r="AO133" s="37"/>
      <c r="AP133" s="37"/>
      <c r="AQ133" s="37"/>
    </row>
    <row r="134" spans="1:43" x14ac:dyDescent="0.3">
      <c r="A134" s="48" t="str">
        <f t="shared" si="55"/>
        <v/>
      </c>
      <c r="B134" s="32" t="str">
        <f t="shared" si="56"/>
        <v/>
      </c>
      <c r="C134" s="32" t="str">
        <f t="shared" si="57"/>
        <v/>
      </c>
      <c r="D134" s="32" t="str">
        <f t="shared" si="58"/>
        <v/>
      </c>
      <c r="E134" s="32" t="str">
        <f t="shared" si="59"/>
        <v/>
      </c>
      <c r="F134" s="32" t="str">
        <f t="shared" si="60"/>
        <v/>
      </c>
      <c r="G134" s="47" t="str">
        <f t="shared" si="61"/>
        <v/>
      </c>
      <c r="H134" s="30" t="str">
        <f t="shared" si="62"/>
        <v/>
      </c>
      <c r="I134" s="46" t="str">
        <f>IF($A134="","",IF(AND($L134&lt;27,$K$12=0),"Building",IFERROR(((SUM($H$128:$H134)+$K$12*IF($L134&lt;6,SUMIFS('Throw Log'!$Q$5:$Q$300,'Throw Log'!$B$5:$B$300,$D$4,'Throw Log'!$A$5:$A$300,"&gt;="&amp;($D$6+$L134-6),'Throw Log'!$A$5:$A$300,"&lt;="&amp;($D$6-1)),0))/7)/((SUM($H$107:$H134)+$K$12*IF($L134&lt;27,SUMIFS('Throw Log'!$Q$5:$Q$300,'Throw Log'!$B$5:$B$300,$D$4,'Throw Log'!$A$5:$A$300,"&gt;="&amp;($D$6+$L134-27),'Throw Log'!$A$5:$A$300,"&lt;="&amp;($D$6-1)),0))/28),"")))</f>
        <v/>
      </c>
      <c r="J134" s="37"/>
      <c r="K134" s="37"/>
      <c r="L134" s="32">
        <v>91</v>
      </c>
      <c r="M134" s="32">
        <f t="shared" si="63"/>
        <v>14</v>
      </c>
      <c r="N134" s="32">
        <f t="shared" si="64"/>
        <v>0</v>
      </c>
      <c r="O134" s="32">
        <f t="shared" si="65"/>
        <v>1</v>
      </c>
      <c r="P134" s="32" t="str">
        <f>IF(OR($A134="",N($C134)&lt;=7),"",$G$6*$G$9^($M134-1)*IF(AND(MOD($M134,Reference!$B$99)=0,$M134&lt;=$G$5-2),Reference!$B$100,1))</f>
        <v/>
      </c>
      <c r="Q134" s="32" t="str">
        <f>IF($P134="","",IF(SUM($AK$134:$AK$140)=0,0,$P134*INDEX(Reference!$B$108:$B$114,$N134+1)/SUM($AK$134:$AK$140)))</f>
        <v/>
      </c>
      <c r="R134" s="32">
        <f t="shared" si="66"/>
        <v>120</v>
      </c>
      <c r="S134" s="32">
        <f t="shared" si="67"/>
        <v>105</v>
      </c>
      <c r="T134" s="32" t="str">
        <f>IF($A134="","",IF($C134=0,"Bullpen",IF(OR($C134=7,$C134=1,$C134=5),"Recovery/Easy Catch",IF($C134=6,"Compression/Pulldowns",IF(OR($C134=4,$C134=2),"Long Toss",IF($C134=3,"No Throw",IF($N134=2,"No Throw",IF($N134=6,IF($O134&lt;Reference!$B$104,"No Throw","Recovery/Easy Catch"),IF(OR($N134=0,$N134=4),"Recovery/Easy Catch",IF($N134=1,IF($R134&gt;75,"Long Toss","Recovery/Easy Catch"),IF($N134=3,IF($O134&lt;0.5,IF($S134&gt;75,"Long Toss","Recovery/Easy Catch"),"Compression/Pulldowns"),IF($S134&gt;75,"Long Toss","Recovery/Easy Catch"))))))))))))</f>
        <v/>
      </c>
      <c r="U134" s="32" t="str">
        <f t="shared" si="68"/>
        <v/>
      </c>
      <c r="V134" s="32" t="str">
        <f t="shared" si="69"/>
        <v/>
      </c>
      <c r="W134" s="32" t="str">
        <f t="shared" si="70"/>
        <v/>
      </c>
      <c r="X134" s="32">
        <f t="shared" si="71"/>
        <v>0</v>
      </c>
      <c r="Y134" s="32" t="str">
        <f t="shared" si="72"/>
        <v/>
      </c>
      <c r="Z134" s="32" t="str">
        <f t="shared" si="73"/>
        <v/>
      </c>
      <c r="AA134" s="32" t="str">
        <f t="shared" si="74"/>
        <v/>
      </c>
      <c r="AB134" s="32" t="str">
        <f>IF($A134="","",IF($T134="No Throw",0,IF($K134&lt;&gt;"",$K134,IF($AA134&lt;&gt;"",ROUND($AA134*$D$12*IF($C134=0,1,$G$10),0),MIN(IF($T134="Recovery/Easy Catch",Reference!$B$103,IF($T134="Long Toss",Reference!$B$106,Reference!$B$102)),MAX(Reference!$B$101,ROUND(MAX(0,$Q134-$AE134)/$AF134,0)))))))</f>
        <v/>
      </c>
      <c r="AC134" s="32">
        <f t="shared" si="75"/>
        <v>0</v>
      </c>
      <c r="AD134" s="32" t="b">
        <f t="shared" si="76"/>
        <v>1</v>
      </c>
      <c r="AE134" s="32">
        <f>IF($X134=0,0,$X134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134+$Z134)/2,0),Reference!$A$17:$B$20,2,TRUE()))</f>
        <v>0</v>
      </c>
      <c r="AF134" s="32">
        <f>IF(OR($A134="",$U134="",$T134="No Throw"),0,$AM134*VLOOKUP(MAX(($V134+$W134)/2,0),Reference!$A$17:$B$20,2,TRUE()))</f>
        <v>0</v>
      </c>
      <c r="AG134" s="32">
        <f>IF($AC134=0,0,$AC134*INDEX(Reference!$B$61:$B$62,MATCH("Bullpen",Reference!$A$61:$A$62,0))*VLOOKUP(MAX($D$5-($D$9+$E$9)/2,0),Reference!$A$17:$B$20,2,TRUE()))</f>
        <v>0</v>
      </c>
      <c r="AH134" s="32" t="e">
        <f t="shared" si="77"/>
        <v>#N/A</v>
      </c>
      <c r="AI134" s="32" t="e">
        <f>IF($A134="",NA(),Reference!$A$25)</f>
        <v>#N/A</v>
      </c>
      <c r="AJ134" s="32" t="e">
        <f t="shared" si="78"/>
        <v>#N/A</v>
      </c>
      <c r="AK134" s="32">
        <f>IF(OR($A134="",N($C134)&lt;=7,$T134="No Throw",$J134="x"),0,INDEX(Reference!$B$108:$B$114,$N134+1))</f>
        <v>0</v>
      </c>
      <c r="AL134" s="32">
        <f t="shared" si="79"/>
        <v>1</v>
      </c>
      <c r="AM134" s="32">
        <f>IF($U134="",0,IF($AL134&gt;1,((IF(1&lt;=$AL134,($AL134-1+3)*(INDEX(Reference!$B$6:$B$11,MIN(5,MATCH(MAX(Reference!$A$6,MIN(Reference!$A$11,MIN($U134,90))),Reference!$A$6:$A$11,1)))+(MAX(Reference!$A$6,MIN(Reference!$A$11,MIN($U134,90)))-INDEX(Reference!$A$6:$A$11,MIN(5,MATCH(MAX(Reference!$A$6,MIN(Reference!$A$11,MIN($U134,90))),Reference!$A$6:$A$11,1))))*(INDEX(Reference!$B$6:$B$11,MIN(5,MATCH(MAX(Reference!$A$6,MIN(Reference!$A$11,MIN($U134,90))),Reference!$A$6:$A$11,1))+1)-INDEX(Reference!$B$6:$B$11,MIN(5,MATCH(MAX(Reference!$A$6,MIN(Reference!$A$11,MIN($U134,90))),Reference!$A$6:$A$11,1))))/(INDEX(Reference!$A$6:$A$11,MIN(5,MATCH(MAX(Reference!$A$6,MIN(Reference!$A$11,MIN($U134,90))),Reference!$A$6:$A$11,1))+1)-INDEX(Reference!$A$6:$A$11,MIN(5,MATCH(MAX(Reference!$A$6,MIN(Reference!$A$11,MIN($U134,90))),Reference!$A$6:$A$11,1))))),0)+IF(2&lt;=$AL134,($AL134-2+3)*(INDEX(Reference!$B$6:$B$11,MIN(5,MATCH(MAX(Reference!$A$6,MIN(Reference!$A$11,MIN($U134,120))),Reference!$A$6:$A$11,1)))+(MAX(Reference!$A$6,MIN(Reference!$A$11,MIN($U134,120)))-INDEX(Reference!$A$6:$A$11,MIN(5,MATCH(MAX(Reference!$A$6,MIN(Reference!$A$11,MIN($U134,120))),Reference!$A$6:$A$11,1))))*(INDEX(Reference!$B$6:$B$11,MIN(5,MATCH(MAX(Reference!$A$6,MIN(Reference!$A$11,MIN($U134,120))),Reference!$A$6:$A$11,1))+1)-INDEX(Reference!$B$6:$B$11,MIN(5,MATCH(MAX(Reference!$A$6,MIN(Reference!$A$11,MIN($U134,120))),Reference!$A$6:$A$11,1))))/(INDEX(Reference!$A$6:$A$11,MIN(5,MATCH(MAX(Reference!$A$6,MIN(Reference!$A$11,MIN($U134,120))),Reference!$A$6:$A$11,1))+1)-INDEX(Reference!$A$6:$A$11,MIN(5,MATCH(MAX(Reference!$A$6,MIN(Reference!$A$11,MIN($U134,120))),Reference!$A$6:$A$11,1))))),0)+IF(3&lt;=$AL134,($AL134-3+3)*(INDEX(Reference!$B$6:$B$11,MIN(5,MATCH(MAX(Reference!$A$6,MIN(Reference!$A$11,MIN($U134,150))),Reference!$A$6:$A$11,1)))+(MAX(Reference!$A$6,MIN(Reference!$A$11,MIN($U134,150)))-INDEX(Reference!$A$6:$A$11,MIN(5,MATCH(MAX(Reference!$A$6,MIN(Reference!$A$11,MIN($U134,150))),Reference!$A$6:$A$11,1))))*(INDEX(Reference!$B$6:$B$11,MIN(5,MATCH(MAX(Reference!$A$6,MIN(Reference!$A$11,MIN($U134,150))),Reference!$A$6:$A$11,1))+1)-INDEX(Reference!$B$6:$B$11,MIN(5,MATCH(MAX(Reference!$A$6,MIN(Reference!$A$11,MIN($U134,150))),Reference!$A$6:$A$11,1))))/(INDEX(Reference!$A$6:$A$11,MIN(5,MATCH(MAX(Reference!$A$6,MIN(Reference!$A$11,MIN($U134,150))),Reference!$A$6:$A$11,1))+1)-INDEX(Reference!$A$6:$A$11,MIN(5,MATCH(MAX(Reference!$A$6,MIN(Reference!$A$11,MIN($U134,150))),Reference!$A$6:$A$11,1))))),0)+IF(4&lt;=$AL134,($AL134-4+3)*(INDEX(Reference!$B$6:$B$11,MIN(5,MATCH(MAX(Reference!$A$6,MIN(Reference!$A$11,MIN($U134,180))),Reference!$A$6:$A$11,1)))+(MAX(Reference!$A$6,MIN(Reference!$A$11,MIN($U134,180)))-INDEX(Reference!$A$6:$A$11,MIN(5,MATCH(MAX(Reference!$A$6,MIN(Reference!$A$11,MIN($U134,180))),Reference!$A$6:$A$11,1))))*(INDEX(Reference!$B$6:$B$11,MIN(5,MATCH(MAX(Reference!$A$6,MIN(Reference!$A$11,MIN($U134,180))),Reference!$A$6:$A$11,1))+1)-INDEX(Reference!$B$6:$B$11,MIN(5,MATCH(MAX(Reference!$A$6,MIN(Reference!$A$11,MIN($U134,180))),Reference!$A$6:$A$11,1))))/(INDEX(Reference!$A$6:$A$11,MIN(5,MATCH(MAX(Reference!$A$6,MIN(Reference!$A$11,MIN($U134,180))),Reference!$A$6:$A$11,1))+1)-INDEX(Reference!$A$6:$A$11,MIN(5,MATCH(MAX(Reference!$A$6,MIN(Reference!$A$11,MIN($U134,180))),Reference!$A$6:$A$11,1))))),0)+IF(5&lt;=$AL134,($AL134-5+3)*(INDEX(Reference!$B$6:$B$11,MIN(5,MATCH(MAX(Reference!$A$6,MIN(Reference!$A$11,MIN($U134,210))),Reference!$A$6:$A$11,1)))+(MAX(Reference!$A$6,MIN(Reference!$A$11,MIN($U134,210)))-INDEX(Reference!$A$6:$A$11,MIN(5,MATCH(MAX(Reference!$A$6,MIN(Reference!$A$11,MIN($U134,210))),Reference!$A$6:$A$11,1))))*(INDEX(Reference!$B$6:$B$11,MIN(5,MATCH(MAX(Reference!$A$6,MIN(Reference!$A$11,MIN($U134,210))),Reference!$A$6:$A$11,1))+1)-INDEX(Reference!$B$6:$B$11,MIN(5,MATCH(MAX(Reference!$A$6,MIN(Reference!$A$11,MIN($U134,210))),Reference!$A$6:$A$11,1))))/(INDEX(Reference!$A$6:$A$11,MIN(5,MATCH(MAX(Reference!$A$6,MIN(Reference!$A$11,MIN($U134,210))),Reference!$A$6:$A$11,1))+1)-INDEX(Reference!$A$6:$A$11,MIN(5,MATCH(MAX(Reference!$A$6,MIN(Reference!$A$11,MIN($U134,210))),Reference!$A$6:$A$11,1))))),0)+IF(6&lt;=$AL134,($AL134-6+3)*(INDEX(Reference!$B$6:$B$11,MIN(5,MATCH(MAX(Reference!$A$6,MIN(Reference!$A$11,MIN($U134,240))),Reference!$A$6:$A$11,1)))+(MAX(Reference!$A$6,MIN(Reference!$A$11,MIN($U134,240)))-INDEX(Reference!$A$6:$A$11,MIN(5,MATCH(MAX(Reference!$A$6,MIN(Reference!$A$11,MIN($U134,240))),Reference!$A$6:$A$11,1))))*(INDEX(Reference!$B$6:$B$11,MIN(5,MATCH(MAX(Reference!$A$6,MIN(Reference!$A$11,MIN($U134,240))),Reference!$A$6:$A$11,1))+1)-INDEX(Reference!$B$6:$B$11,MIN(5,MATCH(MAX(Reference!$A$6,MIN(Reference!$A$11,MIN($U134,240))),Reference!$A$6:$A$11,1))))/(INDEX(Reference!$A$6:$A$11,MIN(5,MATCH(MAX(Reference!$A$6,MIN(Reference!$A$11,MIN($U134,240))),Reference!$A$6:$A$11,1))+1)-INDEX(Reference!$A$6:$A$11,MIN(5,MATCH(MAX(Reference!$A$6,MIN(Reference!$A$11,MIN($U134,240))),Reference!$A$6:$A$11,1))))),0)+IF(7&lt;=$AL134,($AL134-7+3)*(INDEX(Reference!$B$6:$B$11,MIN(5,MATCH(MAX(Reference!$A$6,MIN(Reference!$A$11,MIN($U134,270))),Reference!$A$6:$A$11,1)))+(MAX(Reference!$A$6,MIN(Reference!$A$11,MIN($U134,270)))-INDEX(Reference!$A$6:$A$11,MIN(5,MATCH(MAX(Reference!$A$6,MIN(Reference!$A$11,MIN($U134,270))),Reference!$A$6:$A$11,1))))*(INDEX(Reference!$B$6:$B$11,MIN(5,MATCH(MAX(Reference!$A$6,MIN(Reference!$A$11,MIN($U134,270))),Reference!$A$6:$A$11,1))+1)-INDEX(Reference!$B$6:$B$11,MIN(5,MATCH(MAX(Reference!$A$6,MIN(Reference!$A$11,MIN($U134,270))),Reference!$A$6:$A$11,1))))/(INDEX(Reference!$A$6:$A$11,MIN(5,MATCH(MAX(Reference!$A$6,MIN(Reference!$A$11,MIN($U134,270))),Reference!$A$6:$A$11,1))+1)-INDEX(Reference!$A$6:$A$11,MIN(5,MATCH(MAX(Reference!$A$6,MIN(Reference!$A$11,MIN($U134,270))),Reference!$A$6:$A$11,1))))),0)+IF(8&lt;=$AL134,($AL134-8+3)*(INDEX(Reference!$B$6:$B$11,MIN(5,MATCH(MAX(Reference!$A$6,MIN(Reference!$A$11,MIN($U134,300))),Reference!$A$6:$A$11,1)))+(MAX(Reference!$A$6,MIN(Reference!$A$11,MIN($U134,300)))-INDEX(Reference!$A$6:$A$11,MIN(5,MATCH(MAX(Reference!$A$6,MIN(Reference!$A$11,MIN($U134,300))),Reference!$A$6:$A$11,1))))*(INDEX(Reference!$B$6:$B$11,MIN(5,MATCH(MAX(Reference!$A$6,MIN(Reference!$A$11,MIN($U134,300))),Reference!$A$6:$A$11,1))+1)-INDEX(Reference!$B$6:$B$11,MIN(5,MATCH(MAX(Reference!$A$6,MIN(Reference!$A$11,MIN($U134,300))),Reference!$A$6:$A$11,1))))/(INDEX(Reference!$A$6:$A$11,MIN(5,MATCH(MAX(Reference!$A$6,MIN(Reference!$A$11,MIN($U134,300))),Reference!$A$6:$A$11,1))+1)-INDEX(Reference!$A$6:$A$11,MIN(5,MATCH(MAX(Reference!$A$6,MIN(Reference!$A$11,MIN($U134,300))),Reference!$A$6:$A$11,1))))),0))/($AL134*($AL134+5)/2)),$AN134))</f>
        <v>0</v>
      </c>
      <c r="AN134" s="32">
        <f>IF($U134="",0,(INDEX(Reference!$B$6:$B$11,MIN(5,MATCH(MAX(Reference!$A$6,MIN(Reference!$A$11,$U134)),Reference!$A$6:$A$11,1)))+(MAX(Reference!$A$6,MIN(Reference!$A$11,$U134))-INDEX(Reference!$A$6:$A$11,MIN(5,MATCH(MAX(Reference!$A$6,MIN(Reference!$A$11,$U134)),Reference!$A$6:$A$11,1))))*(INDEX(Reference!$B$6:$B$11,MIN(5,MATCH(MAX(Reference!$A$6,MIN(Reference!$A$11,$U134)),Reference!$A$6:$A$11,1))+1)-INDEX(Reference!$B$6:$B$11,MIN(5,MATCH(MAX(Reference!$A$6,MIN(Reference!$A$11,$U134)),Reference!$A$6:$A$11,1))))/(INDEX(Reference!$A$6:$A$11,MIN(5,MATCH(MAX(Reference!$A$6,MIN(Reference!$A$11,$U134)),Reference!$A$6:$A$11,1))+1)-INDEX(Reference!$A$6:$A$11,MIN(5,MATCH(MAX(Reference!$A$6,MIN(Reference!$A$11,$U134)),Reference!$A$6:$A$11,1))))))</f>
        <v>0</v>
      </c>
      <c r="AO134" s="37"/>
      <c r="AP134" s="37"/>
      <c r="AQ134" s="37"/>
    </row>
    <row r="135" spans="1:43" x14ac:dyDescent="0.3">
      <c r="A135" s="48" t="str">
        <f t="shared" si="55"/>
        <v/>
      </c>
      <c r="B135" s="32" t="str">
        <f t="shared" si="56"/>
        <v/>
      </c>
      <c r="C135" s="32" t="str">
        <f t="shared" si="57"/>
        <v/>
      </c>
      <c r="D135" s="32" t="str">
        <f t="shared" si="58"/>
        <v/>
      </c>
      <c r="E135" s="32" t="str">
        <f t="shared" si="59"/>
        <v/>
      </c>
      <c r="F135" s="32" t="str">
        <f t="shared" si="60"/>
        <v/>
      </c>
      <c r="G135" s="47" t="str">
        <f t="shared" si="61"/>
        <v/>
      </c>
      <c r="H135" s="30" t="str">
        <f t="shared" si="62"/>
        <v/>
      </c>
      <c r="I135" s="46" t="str">
        <f>IF($A135="","",IF(AND($L135&lt;27,$K$12=0),"Building",IFERROR(((SUM($H$129:$H135)+$K$12*IF($L135&lt;6,SUMIFS('Throw Log'!$Q$5:$Q$300,'Throw Log'!$B$5:$B$300,$D$4,'Throw Log'!$A$5:$A$300,"&gt;="&amp;($D$6+$L135-6),'Throw Log'!$A$5:$A$300,"&lt;="&amp;($D$6-1)),0))/7)/((SUM($H$108:$H135)+$K$12*IF($L135&lt;27,SUMIFS('Throw Log'!$Q$5:$Q$300,'Throw Log'!$B$5:$B$300,$D$4,'Throw Log'!$A$5:$A$300,"&gt;="&amp;($D$6+$L135-27),'Throw Log'!$A$5:$A$300,"&lt;="&amp;($D$6-1)),0))/28),"")))</f>
        <v/>
      </c>
      <c r="J135" s="37"/>
      <c r="K135" s="37"/>
      <c r="L135" s="32">
        <v>92</v>
      </c>
      <c r="M135" s="32">
        <f t="shared" si="63"/>
        <v>14</v>
      </c>
      <c r="N135" s="32">
        <f t="shared" si="64"/>
        <v>1</v>
      </c>
      <c r="O135" s="32">
        <f t="shared" si="65"/>
        <v>1</v>
      </c>
      <c r="P135" s="32" t="str">
        <f>IF(OR($A135="",N($C135)&lt;=7),"",$G$6*$G$9^($M135-1)*IF(AND(MOD($M135,Reference!$B$99)=0,$M135&lt;=$G$5-2),Reference!$B$100,1))</f>
        <v/>
      </c>
      <c r="Q135" s="32" t="str">
        <f>IF($P135="","",IF(SUM($AK$134:$AK$140)=0,0,$P135*INDEX(Reference!$B$108:$B$114,$N135+1)/SUM($AK$134:$AK$140)))</f>
        <v/>
      </c>
      <c r="R135" s="32">
        <f t="shared" si="66"/>
        <v>120</v>
      </c>
      <c r="S135" s="32">
        <f t="shared" si="67"/>
        <v>105</v>
      </c>
      <c r="T135" s="32" t="str">
        <f>IF($A135="","",IF($C135=0,"Bullpen",IF(OR($C135=7,$C135=1,$C135=5),"Recovery/Easy Catch",IF($C135=6,"Compression/Pulldowns",IF(OR($C135=4,$C135=2),"Long Toss",IF($C135=3,"No Throw",IF($N135=2,"No Throw",IF($N135=6,IF($O135&lt;Reference!$B$104,"No Throw","Recovery/Easy Catch"),IF(OR($N135=0,$N135=4),"Recovery/Easy Catch",IF($N135=1,IF($R135&gt;75,"Long Toss","Recovery/Easy Catch"),IF($N135=3,IF($O135&lt;0.5,IF($S135&gt;75,"Long Toss","Recovery/Easy Catch"),"Compression/Pulldowns"),IF($S135&gt;75,"Long Toss","Recovery/Easy Catch"))))))))))))</f>
        <v/>
      </c>
      <c r="U135" s="32" t="str">
        <f t="shared" si="68"/>
        <v/>
      </c>
      <c r="V135" s="32" t="str">
        <f t="shared" si="69"/>
        <v/>
      </c>
      <c r="W135" s="32" t="str">
        <f t="shared" si="70"/>
        <v/>
      </c>
      <c r="X135" s="32">
        <f t="shared" si="71"/>
        <v>0</v>
      </c>
      <c r="Y135" s="32" t="str">
        <f t="shared" si="72"/>
        <v/>
      </c>
      <c r="Z135" s="32" t="str">
        <f t="shared" si="73"/>
        <v/>
      </c>
      <c r="AA135" s="32" t="str">
        <f t="shared" si="74"/>
        <v/>
      </c>
      <c r="AB135" s="32" t="str">
        <f>IF($A135="","",IF($T135="No Throw",0,IF($K135&lt;&gt;"",$K135,IF($AA135&lt;&gt;"",ROUND($AA135*$D$12*IF($C135=0,1,$G$10),0),MIN(IF($T135="Recovery/Easy Catch",Reference!$B$103,IF($T135="Long Toss",Reference!$B$106,Reference!$B$102)),MAX(Reference!$B$101,ROUND(MAX(0,$Q135-$AE135)/$AF135,0)))))))</f>
        <v/>
      </c>
      <c r="AC135" s="32">
        <f t="shared" si="75"/>
        <v>0</v>
      </c>
      <c r="AD135" s="32" t="b">
        <f t="shared" si="76"/>
        <v>1</v>
      </c>
      <c r="AE135" s="32">
        <f>IF($X135=0,0,$X135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135+$Z135)/2,0),Reference!$A$17:$B$20,2,TRUE()))</f>
        <v>0</v>
      </c>
      <c r="AF135" s="32">
        <f>IF(OR($A135="",$U135="",$T135="No Throw"),0,$AM135*VLOOKUP(MAX(($V135+$W135)/2,0),Reference!$A$17:$B$20,2,TRUE()))</f>
        <v>0</v>
      </c>
      <c r="AG135" s="32">
        <f>IF($AC135=0,0,$AC135*INDEX(Reference!$B$61:$B$62,MATCH("Bullpen",Reference!$A$61:$A$62,0))*VLOOKUP(MAX($D$5-($D$9+$E$9)/2,0),Reference!$A$17:$B$20,2,TRUE()))</f>
        <v>0</v>
      </c>
      <c r="AH135" s="32" t="e">
        <f t="shared" si="77"/>
        <v>#N/A</v>
      </c>
      <c r="AI135" s="32" t="e">
        <f>IF($A135="",NA(),Reference!$A$25)</f>
        <v>#N/A</v>
      </c>
      <c r="AJ135" s="32" t="e">
        <f t="shared" si="78"/>
        <v>#N/A</v>
      </c>
      <c r="AK135" s="32">
        <f>IF(OR($A135="",N($C135)&lt;=7,$T135="No Throw",$J135="x"),0,INDEX(Reference!$B$108:$B$114,$N135+1))</f>
        <v>0</v>
      </c>
      <c r="AL135" s="32">
        <f t="shared" si="79"/>
        <v>1</v>
      </c>
      <c r="AM135" s="32">
        <f>IF($U135="",0,IF($AL135&gt;1,((IF(1&lt;=$AL135,($AL135-1+3)*(INDEX(Reference!$B$6:$B$11,MIN(5,MATCH(MAX(Reference!$A$6,MIN(Reference!$A$11,MIN($U135,90))),Reference!$A$6:$A$11,1)))+(MAX(Reference!$A$6,MIN(Reference!$A$11,MIN($U135,90)))-INDEX(Reference!$A$6:$A$11,MIN(5,MATCH(MAX(Reference!$A$6,MIN(Reference!$A$11,MIN($U135,90))),Reference!$A$6:$A$11,1))))*(INDEX(Reference!$B$6:$B$11,MIN(5,MATCH(MAX(Reference!$A$6,MIN(Reference!$A$11,MIN($U135,90))),Reference!$A$6:$A$11,1))+1)-INDEX(Reference!$B$6:$B$11,MIN(5,MATCH(MAX(Reference!$A$6,MIN(Reference!$A$11,MIN($U135,90))),Reference!$A$6:$A$11,1))))/(INDEX(Reference!$A$6:$A$11,MIN(5,MATCH(MAX(Reference!$A$6,MIN(Reference!$A$11,MIN($U135,90))),Reference!$A$6:$A$11,1))+1)-INDEX(Reference!$A$6:$A$11,MIN(5,MATCH(MAX(Reference!$A$6,MIN(Reference!$A$11,MIN($U135,90))),Reference!$A$6:$A$11,1))))),0)+IF(2&lt;=$AL135,($AL135-2+3)*(INDEX(Reference!$B$6:$B$11,MIN(5,MATCH(MAX(Reference!$A$6,MIN(Reference!$A$11,MIN($U135,120))),Reference!$A$6:$A$11,1)))+(MAX(Reference!$A$6,MIN(Reference!$A$11,MIN($U135,120)))-INDEX(Reference!$A$6:$A$11,MIN(5,MATCH(MAX(Reference!$A$6,MIN(Reference!$A$11,MIN($U135,120))),Reference!$A$6:$A$11,1))))*(INDEX(Reference!$B$6:$B$11,MIN(5,MATCH(MAX(Reference!$A$6,MIN(Reference!$A$11,MIN($U135,120))),Reference!$A$6:$A$11,1))+1)-INDEX(Reference!$B$6:$B$11,MIN(5,MATCH(MAX(Reference!$A$6,MIN(Reference!$A$11,MIN($U135,120))),Reference!$A$6:$A$11,1))))/(INDEX(Reference!$A$6:$A$11,MIN(5,MATCH(MAX(Reference!$A$6,MIN(Reference!$A$11,MIN($U135,120))),Reference!$A$6:$A$11,1))+1)-INDEX(Reference!$A$6:$A$11,MIN(5,MATCH(MAX(Reference!$A$6,MIN(Reference!$A$11,MIN($U135,120))),Reference!$A$6:$A$11,1))))),0)+IF(3&lt;=$AL135,($AL135-3+3)*(INDEX(Reference!$B$6:$B$11,MIN(5,MATCH(MAX(Reference!$A$6,MIN(Reference!$A$11,MIN($U135,150))),Reference!$A$6:$A$11,1)))+(MAX(Reference!$A$6,MIN(Reference!$A$11,MIN($U135,150)))-INDEX(Reference!$A$6:$A$11,MIN(5,MATCH(MAX(Reference!$A$6,MIN(Reference!$A$11,MIN($U135,150))),Reference!$A$6:$A$11,1))))*(INDEX(Reference!$B$6:$B$11,MIN(5,MATCH(MAX(Reference!$A$6,MIN(Reference!$A$11,MIN($U135,150))),Reference!$A$6:$A$11,1))+1)-INDEX(Reference!$B$6:$B$11,MIN(5,MATCH(MAX(Reference!$A$6,MIN(Reference!$A$11,MIN($U135,150))),Reference!$A$6:$A$11,1))))/(INDEX(Reference!$A$6:$A$11,MIN(5,MATCH(MAX(Reference!$A$6,MIN(Reference!$A$11,MIN($U135,150))),Reference!$A$6:$A$11,1))+1)-INDEX(Reference!$A$6:$A$11,MIN(5,MATCH(MAX(Reference!$A$6,MIN(Reference!$A$11,MIN($U135,150))),Reference!$A$6:$A$11,1))))),0)+IF(4&lt;=$AL135,($AL135-4+3)*(INDEX(Reference!$B$6:$B$11,MIN(5,MATCH(MAX(Reference!$A$6,MIN(Reference!$A$11,MIN($U135,180))),Reference!$A$6:$A$11,1)))+(MAX(Reference!$A$6,MIN(Reference!$A$11,MIN($U135,180)))-INDEX(Reference!$A$6:$A$11,MIN(5,MATCH(MAX(Reference!$A$6,MIN(Reference!$A$11,MIN($U135,180))),Reference!$A$6:$A$11,1))))*(INDEX(Reference!$B$6:$B$11,MIN(5,MATCH(MAX(Reference!$A$6,MIN(Reference!$A$11,MIN($U135,180))),Reference!$A$6:$A$11,1))+1)-INDEX(Reference!$B$6:$B$11,MIN(5,MATCH(MAX(Reference!$A$6,MIN(Reference!$A$11,MIN($U135,180))),Reference!$A$6:$A$11,1))))/(INDEX(Reference!$A$6:$A$11,MIN(5,MATCH(MAX(Reference!$A$6,MIN(Reference!$A$11,MIN($U135,180))),Reference!$A$6:$A$11,1))+1)-INDEX(Reference!$A$6:$A$11,MIN(5,MATCH(MAX(Reference!$A$6,MIN(Reference!$A$11,MIN($U135,180))),Reference!$A$6:$A$11,1))))),0)+IF(5&lt;=$AL135,($AL135-5+3)*(INDEX(Reference!$B$6:$B$11,MIN(5,MATCH(MAX(Reference!$A$6,MIN(Reference!$A$11,MIN($U135,210))),Reference!$A$6:$A$11,1)))+(MAX(Reference!$A$6,MIN(Reference!$A$11,MIN($U135,210)))-INDEX(Reference!$A$6:$A$11,MIN(5,MATCH(MAX(Reference!$A$6,MIN(Reference!$A$11,MIN($U135,210))),Reference!$A$6:$A$11,1))))*(INDEX(Reference!$B$6:$B$11,MIN(5,MATCH(MAX(Reference!$A$6,MIN(Reference!$A$11,MIN($U135,210))),Reference!$A$6:$A$11,1))+1)-INDEX(Reference!$B$6:$B$11,MIN(5,MATCH(MAX(Reference!$A$6,MIN(Reference!$A$11,MIN($U135,210))),Reference!$A$6:$A$11,1))))/(INDEX(Reference!$A$6:$A$11,MIN(5,MATCH(MAX(Reference!$A$6,MIN(Reference!$A$11,MIN($U135,210))),Reference!$A$6:$A$11,1))+1)-INDEX(Reference!$A$6:$A$11,MIN(5,MATCH(MAX(Reference!$A$6,MIN(Reference!$A$11,MIN($U135,210))),Reference!$A$6:$A$11,1))))),0)+IF(6&lt;=$AL135,($AL135-6+3)*(INDEX(Reference!$B$6:$B$11,MIN(5,MATCH(MAX(Reference!$A$6,MIN(Reference!$A$11,MIN($U135,240))),Reference!$A$6:$A$11,1)))+(MAX(Reference!$A$6,MIN(Reference!$A$11,MIN($U135,240)))-INDEX(Reference!$A$6:$A$11,MIN(5,MATCH(MAX(Reference!$A$6,MIN(Reference!$A$11,MIN($U135,240))),Reference!$A$6:$A$11,1))))*(INDEX(Reference!$B$6:$B$11,MIN(5,MATCH(MAX(Reference!$A$6,MIN(Reference!$A$11,MIN($U135,240))),Reference!$A$6:$A$11,1))+1)-INDEX(Reference!$B$6:$B$11,MIN(5,MATCH(MAX(Reference!$A$6,MIN(Reference!$A$11,MIN($U135,240))),Reference!$A$6:$A$11,1))))/(INDEX(Reference!$A$6:$A$11,MIN(5,MATCH(MAX(Reference!$A$6,MIN(Reference!$A$11,MIN($U135,240))),Reference!$A$6:$A$11,1))+1)-INDEX(Reference!$A$6:$A$11,MIN(5,MATCH(MAX(Reference!$A$6,MIN(Reference!$A$11,MIN($U135,240))),Reference!$A$6:$A$11,1))))),0)+IF(7&lt;=$AL135,($AL135-7+3)*(INDEX(Reference!$B$6:$B$11,MIN(5,MATCH(MAX(Reference!$A$6,MIN(Reference!$A$11,MIN($U135,270))),Reference!$A$6:$A$11,1)))+(MAX(Reference!$A$6,MIN(Reference!$A$11,MIN($U135,270)))-INDEX(Reference!$A$6:$A$11,MIN(5,MATCH(MAX(Reference!$A$6,MIN(Reference!$A$11,MIN($U135,270))),Reference!$A$6:$A$11,1))))*(INDEX(Reference!$B$6:$B$11,MIN(5,MATCH(MAX(Reference!$A$6,MIN(Reference!$A$11,MIN($U135,270))),Reference!$A$6:$A$11,1))+1)-INDEX(Reference!$B$6:$B$11,MIN(5,MATCH(MAX(Reference!$A$6,MIN(Reference!$A$11,MIN($U135,270))),Reference!$A$6:$A$11,1))))/(INDEX(Reference!$A$6:$A$11,MIN(5,MATCH(MAX(Reference!$A$6,MIN(Reference!$A$11,MIN($U135,270))),Reference!$A$6:$A$11,1))+1)-INDEX(Reference!$A$6:$A$11,MIN(5,MATCH(MAX(Reference!$A$6,MIN(Reference!$A$11,MIN($U135,270))),Reference!$A$6:$A$11,1))))),0)+IF(8&lt;=$AL135,($AL135-8+3)*(INDEX(Reference!$B$6:$B$11,MIN(5,MATCH(MAX(Reference!$A$6,MIN(Reference!$A$11,MIN($U135,300))),Reference!$A$6:$A$11,1)))+(MAX(Reference!$A$6,MIN(Reference!$A$11,MIN($U135,300)))-INDEX(Reference!$A$6:$A$11,MIN(5,MATCH(MAX(Reference!$A$6,MIN(Reference!$A$11,MIN($U135,300))),Reference!$A$6:$A$11,1))))*(INDEX(Reference!$B$6:$B$11,MIN(5,MATCH(MAX(Reference!$A$6,MIN(Reference!$A$11,MIN($U135,300))),Reference!$A$6:$A$11,1))+1)-INDEX(Reference!$B$6:$B$11,MIN(5,MATCH(MAX(Reference!$A$6,MIN(Reference!$A$11,MIN($U135,300))),Reference!$A$6:$A$11,1))))/(INDEX(Reference!$A$6:$A$11,MIN(5,MATCH(MAX(Reference!$A$6,MIN(Reference!$A$11,MIN($U135,300))),Reference!$A$6:$A$11,1))+1)-INDEX(Reference!$A$6:$A$11,MIN(5,MATCH(MAX(Reference!$A$6,MIN(Reference!$A$11,MIN($U135,300))),Reference!$A$6:$A$11,1))))),0))/($AL135*($AL135+5)/2)),$AN135))</f>
        <v>0</v>
      </c>
      <c r="AN135" s="32">
        <f>IF($U135="",0,(INDEX(Reference!$B$6:$B$11,MIN(5,MATCH(MAX(Reference!$A$6,MIN(Reference!$A$11,$U135)),Reference!$A$6:$A$11,1)))+(MAX(Reference!$A$6,MIN(Reference!$A$11,$U135))-INDEX(Reference!$A$6:$A$11,MIN(5,MATCH(MAX(Reference!$A$6,MIN(Reference!$A$11,$U135)),Reference!$A$6:$A$11,1))))*(INDEX(Reference!$B$6:$B$11,MIN(5,MATCH(MAX(Reference!$A$6,MIN(Reference!$A$11,$U135)),Reference!$A$6:$A$11,1))+1)-INDEX(Reference!$B$6:$B$11,MIN(5,MATCH(MAX(Reference!$A$6,MIN(Reference!$A$11,$U135)),Reference!$A$6:$A$11,1))))/(INDEX(Reference!$A$6:$A$11,MIN(5,MATCH(MAX(Reference!$A$6,MIN(Reference!$A$11,$U135)),Reference!$A$6:$A$11,1))+1)-INDEX(Reference!$A$6:$A$11,MIN(5,MATCH(MAX(Reference!$A$6,MIN(Reference!$A$11,$U135)),Reference!$A$6:$A$11,1))))))</f>
        <v>0</v>
      </c>
      <c r="AO135" s="37"/>
      <c r="AP135" s="37"/>
      <c r="AQ135" s="37"/>
    </row>
    <row r="136" spans="1:43" x14ac:dyDescent="0.3">
      <c r="A136" s="48" t="str">
        <f t="shared" si="55"/>
        <v/>
      </c>
      <c r="B136" s="32" t="str">
        <f t="shared" si="56"/>
        <v/>
      </c>
      <c r="C136" s="32" t="str">
        <f t="shared" si="57"/>
        <v/>
      </c>
      <c r="D136" s="32" t="str">
        <f t="shared" si="58"/>
        <v/>
      </c>
      <c r="E136" s="32" t="str">
        <f t="shared" si="59"/>
        <v/>
      </c>
      <c r="F136" s="32" t="str">
        <f t="shared" si="60"/>
        <v/>
      </c>
      <c r="G136" s="47" t="str">
        <f t="shared" si="61"/>
        <v/>
      </c>
      <c r="H136" s="30" t="str">
        <f t="shared" si="62"/>
        <v/>
      </c>
      <c r="I136" s="46" t="str">
        <f>IF($A136="","",IF(AND($L136&lt;27,$K$12=0),"Building",IFERROR(((SUM($H$130:$H136)+$K$12*IF($L136&lt;6,SUMIFS('Throw Log'!$Q$5:$Q$300,'Throw Log'!$B$5:$B$300,$D$4,'Throw Log'!$A$5:$A$300,"&gt;="&amp;($D$6+$L136-6),'Throw Log'!$A$5:$A$300,"&lt;="&amp;($D$6-1)),0))/7)/((SUM($H$109:$H136)+$K$12*IF($L136&lt;27,SUMIFS('Throw Log'!$Q$5:$Q$300,'Throw Log'!$B$5:$B$300,$D$4,'Throw Log'!$A$5:$A$300,"&gt;="&amp;($D$6+$L136-27),'Throw Log'!$A$5:$A$300,"&lt;="&amp;($D$6-1)),0))/28),"")))</f>
        <v/>
      </c>
      <c r="J136" s="37"/>
      <c r="K136" s="37"/>
      <c r="L136" s="32">
        <v>93</v>
      </c>
      <c r="M136" s="32">
        <f t="shared" si="63"/>
        <v>14</v>
      </c>
      <c r="N136" s="32">
        <f t="shared" si="64"/>
        <v>2</v>
      </c>
      <c r="O136" s="32">
        <f t="shared" si="65"/>
        <v>1</v>
      </c>
      <c r="P136" s="32" t="str">
        <f>IF(OR($A136="",N($C136)&lt;=7),"",$G$6*$G$9^($M136-1)*IF(AND(MOD($M136,Reference!$B$99)=0,$M136&lt;=$G$5-2),Reference!$B$100,1))</f>
        <v/>
      </c>
      <c r="Q136" s="32" t="str">
        <f>IF($P136="","",IF(SUM($AK$134:$AK$140)=0,0,$P136*INDEX(Reference!$B$108:$B$114,$N136+1)/SUM($AK$134:$AK$140)))</f>
        <v/>
      </c>
      <c r="R136" s="32">
        <f t="shared" si="66"/>
        <v>120</v>
      </c>
      <c r="S136" s="32">
        <f t="shared" si="67"/>
        <v>105</v>
      </c>
      <c r="T136" s="32" t="str">
        <f>IF($A136="","",IF($C136=0,"Bullpen",IF(OR($C136=7,$C136=1,$C136=5),"Recovery/Easy Catch",IF($C136=6,"Compression/Pulldowns",IF(OR($C136=4,$C136=2),"Long Toss",IF($C136=3,"No Throw",IF($N136=2,"No Throw",IF($N136=6,IF($O136&lt;Reference!$B$104,"No Throw","Recovery/Easy Catch"),IF(OR($N136=0,$N136=4),"Recovery/Easy Catch",IF($N136=1,IF($R136&gt;75,"Long Toss","Recovery/Easy Catch"),IF($N136=3,IF($O136&lt;0.5,IF($S136&gt;75,"Long Toss","Recovery/Easy Catch"),"Compression/Pulldowns"),IF($S136&gt;75,"Long Toss","Recovery/Easy Catch"))))))))))))</f>
        <v/>
      </c>
      <c r="U136" s="32" t="str">
        <f t="shared" si="68"/>
        <v/>
      </c>
      <c r="V136" s="32" t="str">
        <f t="shared" si="69"/>
        <v/>
      </c>
      <c r="W136" s="32" t="str">
        <f t="shared" si="70"/>
        <v/>
      </c>
      <c r="X136" s="32">
        <f t="shared" si="71"/>
        <v>0</v>
      </c>
      <c r="Y136" s="32" t="str">
        <f t="shared" si="72"/>
        <v/>
      </c>
      <c r="Z136" s="32" t="str">
        <f t="shared" si="73"/>
        <v/>
      </c>
      <c r="AA136" s="32" t="str">
        <f t="shared" si="74"/>
        <v/>
      </c>
      <c r="AB136" s="32" t="str">
        <f>IF($A136="","",IF($T136="No Throw",0,IF($K136&lt;&gt;"",$K136,IF($AA136&lt;&gt;"",ROUND($AA136*$D$12*IF($C136=0,1,$G$10),0),MIN(IF($T136="Recovery/Easy Catch",Reference!$B$103,IF($T136="Long Toss",Reference!$B$106,Reference!$B$102)),MAX(Reference!$B$101,ROUND(MAX(0,$Q136-$AE136)/$AF136,0)))))))</f>
        <v/>
      </c>
      <c r="AC136" s="32">
        <f t="shared" si="75"/>
        <v>0</v>
      </c>
      <c r="AD136" s="32" t="b">
        <f t="shared" si="76"/>
        <v>1</v>
      </c>
      <c r="AE136" s="32">
        <f>IF($X136=0,0,$X136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136+$Z136)/2,0),Reference!$A$17:$B$20,2,TRUE()))</f>
        <v>0</v>
      </c>
      <c r="AF136" s="32">
        <f>IF(OR($A136="",$U136="",$T136="No Throw"),0,$AM136*VLOOKUP(MAX(($V136+$W136)/2,0),Reference!$A$17:$B$20,2,TRUE()))</f>
        <v>0</v>
      </c>
      <c r="AG136" s="32">
        <f>IF($AC136=0,0,$AC136*INDEX(Reference!$B$61:$B$62,MATCH("Bullpen",Reference!$A$61:$A$62,0))*VLOOKUP(MAX($D$5-($D$9+$E$9)/2,0),Reference!$A$17:$B$20,2,TRUE()))</f>
        <v>0</v>
      </c>
      <c r="AH136" s="32" t="e">
        <f t="shared" si="77"/>
        <v>#N/A</v>
      </c>
      <c r="AI136" s="32" t="e">
        <f>IF($A136="",NA(),Reference!$A$25)</f>
        <v>#N/A</v>
      </c>
      <c r="AJ136" s="32" t="e">
        <f t="shared" si="78"/>
        <v>#N/A</v>
      </c>
      <c r="AK136" s="32">
        <f>IF(OR($A136="",N($C136)&lt;=7,$T136="No Throw",$J136="x"),0,INDEX(Reference!$B$108:$B$114,$N136+1))</f>
        <v>0</v>
      </c>
      <c r="AL136" s="32">
        <f t="shared" si="79"/>
        <v>1</v>
      </c>
      <c r="AM136" s="32">
        <f>IF($U136="",0,IF($AL136&gt;1,((IF(1&lt;=$AL136,($AL136-1+3)*(INDEX(Reference!$B$6:$B$11,MIN(5,MATCH(MAX(Reference!$A$6,MIN(Reference!$A$11,MIN($U136,90))),Reference!$A$6:$A$11,1)))+(MAX(Reference!$A$6,MIN(Reference!$A$11,MIN($U136,90)))-INDEX(Reference!$A$6:$A$11,MIN(5,MATCH(MAX(Reference!$A$6,MIN(Reference!$A$11,MIN($U136,90))),Reference!$A$6:$A$11,1))))*(INDEX(Reference!$B$6:$B$11,MIN(5,MATCH(MAX(Reference!$A$6,MIN(Reference!$A$11,MIN($U136,90))),Reference!$A$6:$A$11,1))+1)-INDEX(Reference!$B$6:$B$11,MIN(5,MATCH(MAX(Reference!$A$6,MIN(Reference!$A$11,MIN($U136,90))),Reference!$A$6:$A$11,1))))/(INDEX(Reference!$A$6:$A$11,MIN(5,MATCH(MAX(Reference!$A$6,MIN(Reference!$A$11,MIN($U136,90))),Reference!$A$6:$A$11,1))+1)-INDEX(Reference!$A$6:$A$11,MIN(5,MATCH(MAX(Reference!$A$6,MIN(Reference!$A$11,MIN($U136,90))),Reference!$A$6:$A$11,1))))),0)+IF(2&lt;=$AL136,($AL136-2+3)*(INDEX(Reference!$B$6:$B$11,MIN(5,MATCH(MAX(Reference!$A$6,MIN(Reference!$A$11,MIN($U136,120))),Reference!$A$6:$A$11,1)))+(MAX(Reference!$A$6,MIN(Reference!$A$11,MIN($U136,120)))-INDEX(Reference!$A$6:$A$11,MIN(5,MATCH(MAX(Reference!$A$6,MIN(Reference!$A$11,MIN($U136,120))),Reference!$A$6:$A$11,1))))*(INDEX(Reference!$B$6:$B$11,MIN(5,MATCH(MAX(Reference!$A$6,MIN(Reference!$A$11,MIN($U136,120))),Reference!$A$6:$A$11,1))+1)-INDEX(Reference!$B$6:$B$11,MIN(5,MATCH(MAX(Reference!$A$6,MIN(Reference!$A$11,MIN($U136,120))),Reference!$A$6:$A$11,1))))/(INDEX(Reference!$A$6:$A$11,MIN(5,MATCH(MAX(Reference!$A$6,MIN(Reference!$A$11,MIN($U136,120))),Reference!$A$6:$A$11,1))+1)-INDEX(Reference!$A$6:$A$11,MIN(5,MATCH(MAX(Reference!$A$6,MIN(Reference!$A$11,MIN($U136,120))),Reference!$A$6:$A$11,1))))),0)+IF(3&lt;=$AL136,($AL136-3+3)*(INDEX(Reference!$B$6:$B$11,MIN(5,MATCH(MAX(Reference!$A$6,MIN(Reference!$A$11,MIN($U136,150))),Reference!$A$6:$A$11,1)))+(MAX(Reference!$A$6,MIN(Reference!$A$11,MIN($U136,150)))-INDEX(Reference!$A$6:$A$11,MIN(5,MATCH(MAX(Reference!$A$6,MIN(Reference!$A$11,MIN($U136,150))),Reference!$A$6:$A$11,1))))*(INDEX(Reference!$B$6:$B$11,MIN(5,MATCH(MAX(Reference!$A$6,MIN(Reference!$A$11,MIN($U136,150))),Reference!$A$6:$A$11,1))+1)-INDEX(Reference!$B$6:$B$11,MIN(5,MATCH(MAX(Reference!$A$6,MIN(Reference!$A$11,MIN($U136,150))),Reference!$A$6:$A$11,1))))/(INDEX(Reference!$A$6:$A$11,MIN(5,MATCH(MAX(Reference!$A$6,MIN(Reference!$A$11,MIN($U136,150))),Reference!$A$6:$A$11,1))+1)-INDEX(Reference!$A$6:$A$11,MIN(5,MATCH(MAX(Reference!$A$6,MIN(Reference!$A$11,MIN($U136,150))),Reference!$A$6:$A$11,1))))),0)+IF(4&lt;=$AL136,($AL136-4+3)*(INDEX(Reference!$B$6:$B$11,MIN(5,MATCH(MAX(Reference!$A$6,MIN(Reference!$A$11,MIN($U136,180))),Reference!$A$6:$A$11,1)))+(MAX(Reference!$A$6,MIN(Reference!$A$11,MIN($U136,180)))-INDEX(Reference!$A$6:$A$11,MIN(5,MATCH(MAX(Reference!$A$6,MIN(Reference!$A$11,MIN($U136,180))),Reference!$A$6:$A$11,1))))*(INDEX(Reference!$B$6:$B$11,MIN(5,MATCH(MAX(Reference!$A$6,MIN(Reference!$A$11,MIN($U136,180))),Reference!$A$6:$A$11,1))+1)-INDEX(Reference!$B$6:$B$11,MIN(5,MATCH(MAX(Reference!$A$6,MIN(Reference!$A$11,MIN($U136,180))),Reference!$A$6:$A$11,1))))/(INDEX(Reference!$A$6:$A$11,MIN(5,MATCH(MAX(Reference!$A$6,MIN(Reference!$A$11,MIN($U136,180))),Reference!$A$6:$A$11,1))+1)-INDEX(Reference!$A$6:$A$11,MIN(5,MATCH(MAX(Reference!$A$6,MIN(Reference!$A$11,MIN($U136,180))),Reference!$A$6:$A$11,1))))),0)+IF(5&lt;=$AL136,($AL136-5+3)*(INDEX(Reference!$B$6:$B$11,MIN(5,MATCH(MAX(Reference!$A$6,MIN(Reference!$A$11,MIN($U136,210))),Reference!$A$6:$A$11,1)))+(MAX(Reference!$A$6,MIN(Reference!$A$11,MIN($U136,210)))-INDEX(Reference!$A$6:$A$11,MIN(5,MATCH(MAX(Reference!$A$6,MIN(Reference!$A$11,MIN($U136,210))),Reference!$A$6:$A$11,1))))*(INDEX(Reference!$B$6:$B$11,MIN(5,MATCH(MAX(Reference!$A$6,MIN(Reference!$A$11,MIN($U136,210))),Reference!$A$6:$A$11,1))+1)-INDEX(Reference!$B$6:$B$11,MIN(5,MATCH(MAX(Reference!$A$6,MIN(Reference!$A$11,MIN($U136,210))),Reference!$A$6:$A$11,1))))/(INDEX(Reference!$A$6:$A$11,MIN(5,MATCH(MAX(Reference!$A$6,MIN(Reference!$A$11,MIN($U136,210))),Reference!$A$6:$A$11,1))+1)-INDEX(Reference!$A$6:$A$11,MIN(5,MATCH(MAX(Reference!$A$6,MIN(Reference!$A$11,MIN($U136,210))),Reference!$A$6:$A$11,1))))),0)+IF(6&lt;=$AL136,($AL136-6+3)*(INDEX(Reference!$B$6:$B$11,MIN(5,MATCH(MAX(Reference!$A$6,MIN(Reference!$A$11,MIN($U136,240))),Reference!$A$6:$A$11,1)))+(MAX(Reference!$A$6,MIN(Reference!$A$11,MIN($U136,240)))-INDEX(Reference!$A$6:$A$11,MIN(5,MATCH(MAX(Reference!$A$6,MIN(Reference!$A$11,MIN($U136,240))),Reference!$A$6:$A$11,1))))*(INDEX(Reference!$B$6:$B$11,MIN(5,MATCH(MAX(Reference!$A$6,MIN(Reference!$A$11,MIN($U136,240))),Reference!$A$6:$A$11,1))+1)-INDEX(Reference!$B$6:$B$11,MIN(5,MATCH(MAX(Reference!$A$6,MIN(Reference!$A$11,MIN($U136,240))),Reference!$A$6:$A$11,1))))/(INDEX(Reference!$A$6:$A$11,MIN(5,MATCH(MAX(Reference!$A$6,MIN(Reference!$A$11,MIN($U136,240))),Reference!$A$6:$A$11,1))+1)-INDEX(Reference!$A$6:$A$11,MIN(5,MATCH(MAX(Reference!$A$6,MIN(Reference!$A$11,MIN($U136,240))),Reference!$A$6:$A$11,1))))),0)+IF(7&lt;=$AL136,($AL136-7+3)*(INDEX(Reference!$B$6:$B$11,MIN(5,MATCH(MAX(Reference!$A$6,MIN(Reference!$A$11,MIN($U136,270))),Reference!$A$6:$A$11,1)))+(MAX(Reference!$A$6,MIN(Reference!$A$11,MIN($U136,270)))-INDEX(Reference!$A$6:$A$11,MIN(5,MATCH(MAX(Reference!$A$6,MIN(Reference!$A$11,MIN($U136,270))),Reference!$A$6:$A$11,1))))*(INDEX(Reference!$B$6:$B$11,MIN(5,MATCH(MAX(Reference!$A$6,MIN(Reference!$A$11,MIN($U136,270))),Reference!$A$6:$A$11,1))+1)-INDEX(Reference!$B$6:$B$11,MIN(5,MATCH(MAX(Reference!$A$6,MIN(Reference!$A$11,MIN($U136,270))),Reference!$A$6:$A$11,1))))/(INDEX(Reference!$A$6:$A$11,MIN(5,MATCH(MAX(Reference!$A$6,MIN(Reference!$A$11,MIN($U136,270))),Reference!$A$6:$A$11,1))+1)-INDEX(Reference!$A$6:$A$11,MIN(5,MATCH(MAX(Reference!$A$6,MIN(Reference!$A$11,MIN($U136,270))),Reference!$A$6:$A$11,1))))),0)+IF(8&lt;=$AL136,($AL136-8+3)*(INDEX(Reference!$B$6:$B$11,MIN(5,MATCH(MAX(Reference!$A$6,MIN(Reference!$A$11,MIN($U136,300))),Reference!$A$6:$A$11,1)))+(MAX(Reference!$A$6,MIN(Reference!$A$11,MIN($U136,300)))-INDEX(Reference!$A$6:$A$11,MIN(5,MATCH(MAX(Reference!$A$6,MIN(Reference!$A$11,MIN($U136,300))),Reference!$A$6:$A$11,1))))*(INDEX(Reference!$B$6:$B$11,MIN(5,MATCH(MAX(Reference!$A$6,MIN(Reference!$A$11,MIN($U136,300))),Reference!$A$6:$A$11,1))+1)-INDEX(Reference!$B$6:$B$11,MIN(5,MATCH(MAX(Reference!$A$6,MIN(Reference!$A$11,MIN($U136,300))),Reference!$A$6:$A$11,1))))/(INDEX(Reference!$A$6:$A$11,MIN(5,MATCH(MAX(Reference!$A$6,MIN(Reference!$A$11,MIN($U136,300))),Reference!$A$6:$A$11,1))+1)-INDEX(Reference!$A$6:$A$11,MIN(5,MATCH(MAX(Reference!$A$6,MIN(Reference!$A$11,MIN($U136,300))),Reference!$A$6:$A$11,1))))),0))/($AL136*($AL136+5)/2)),$AN136))</f>
        <v>0</v>
      </c>
      <c r="AN136" s="32">
        <f>IF($U136="",0,(INDEX(Reference!$B$6:$B$11,MIN(5,MATCH(MAX(Reference!$A$6,MIN(Reference!$A$11,$U136)),Reference!$A$6:$A$11,1)))+(MAX(Reference!$A$6,MIN(Reference!$A$11,$U136))-INDEX(Reference!$A$6:$A$11,MIN(5,MATCH(MAX(Reference!$A$6,MIN(Reference!$A$11,$U136)),Reference!$A$6:$A$11,1))))*(INDEX(Reference!$B$6:$B$11,MIN(5,MATCH(MAX(Reference!$A$6,MIN(Reference!$A$11,$U136)),Reference!$A$6:$A$11,1))+1)-INDEX(Reference!$B$6:$B$11,MIN(5,MATCH(MAX(Reference!$A$6,MIN(Reference!$A$11,$U136)),Reference!$A$6:$A$11,1))))/(INDEX(Reference!$A$6:$A$11,MIN(5,MATCH(MAX(Reference!$A$6,MIN(Reference!$A$11,$U136)),Reference!$A$6:$A$11,1))+1)-INDEX(Reference!$A$6:$A$11,MIN(5,MATCH(MAX(Reference!$A$6,MIN(Reference!$A$11,$U136)),Reference!$A$6:$A$11,1))))))</f>
        <v>0</v>
      </c>
      <c r="AO136" s="37"/>
      <c r="AP136" s="37"/>
      <c r="AQ136" s="37"/>
    </row>
    <row r="137" spans="1:43" x14ac:dyDescent="0.3">
      <c r="A137" s="48" t="str">
        <f t="shared" si="55"/>
        <v/>
      </c>
      <c r="B137" s="32" t="str">
        <f t="shared" si="56"/>
        <v/>
      </c>
      <c r="C137" s="32" t="str">
        <f t="shared" si="57"/>
        <v/>
      </c>
      <c r="D137" s="32" t="str">
        <f t="shared" si="58"/>
        <v/>
      </c>
      <c r="E137" s="32" t="str">
        <f t="shared" si="59"/>
        <v/>
      </c>
      <c r="F137" s="32" t="str">
        <f t="shared" si="60"/>
        <v/>
      </c>
      <c r="G137" s="47" t="str">
        <f t="shared" si="61"/>
        <v/>
      </c>
      <c r="H137" s="30" t="str">
        <f t="shared" si="62"/>
        <v/>
      </c>
      <c r="I137" s="46" t="str">
        <f>IF($A137="","",IF(AND($L137&lt;27,$K$12=0),"Building",IFERROR(((SUM($H$131:$H137)+$K$12*IF($L137&lt;6,SUMIFS('Throw Log'!$Q$5:$Q$300,'Throw Log'!$B$5:$B$300,$D$4,'Throw Log'!$A$5:$A$300,"&gt;="&amp;($D$6+$L137-6),'Throw Log'!$A$5:$A$300,"&lt;="&amp;($D$6-1)),0))/7)/((SUM($H$110:$H137)+$K$12*IF($L137&lt;27,SUMIFS('Throw Log'!$Q$5:$Q$300,'Throw Log'!$B$5:$B$300,$D$4,'Throw Log'!$A$5:$A$300,"&gt;="&amp;($D$6+$L137-27),'Throw Log'!$A$5:$A$300,"&lt;="&amp;($D$6-1)),0))/28),"")))</f>
        <v/>
      </c>
      <c r="J137" s="37"/>
      <c r="K137" s="37"/>
      <c r="L137" s="32">
        <v>94</v>
      </c>
      <c r="M137" s="32">
        <f t="shared" si="63"/>
        <v>14</v>
      </c>
      <c r="N137" s="32">
        <f t="shared" si="64"/>
        <v>3</v>
      </c>
      <c r="O137" s="32">
        <f t="shared" si="65"/>
        <v>1</v>
      </c>
      <c r="P137" s="32" t="str">
        <f>IF(OR($A137="",N($C137)&lt;=7),"",$G$6*$G$9^($M137-1)*IF(AND(MOD($M137,Reference!$B$99)=0,$M137&lt;=$G$5-2),Reference!$B$100,1))</f>
        <v/>
      </c>
      <c r="Q137" s="32" t="str">
        <f>IF($P137="","",IF(SUM($AK$134:$AK$140)=0,0,$P137*INDEX(Reference!$B$108:$B$114,$N137+1)/SUM($AK$134:$AK$140)))</f>
        <v/>
      </c>
      <c r="R137" s="32">
        <f t="shared" si="66"/>
        <v>120</v>
      </c>
      <c r="S137" s="32">
        <f t="shared" si="67"/>
        <v>105</v>
      </c>
      <c r="T137" s="32" t="str">
        <f>IF($A137="","",IF($C137=0,"Bullpen",IF(OR($C137=7,$C137=1,$C137=5),"Recovery/Easy Catch",IF($C137=6,"Compression/Pulldowns",IF(OR($C137=4,$C137=2),"Long Toss",IF($C137=3,"No Throw",IF($N137=2,"No Throw",IF($N137=6,IF($O137&lt;Reference!$B$104,"No Throw","Recovery/Easy Catch"),IF(OR($N137=0,$N137=4),"Recovery/Easy Catch",IF($N137=1,IF($R137&gt;75,"Long Toss","Recovery/Easy Catch"),IF($N137=3,IF($O137&lt;0.5,IF($S137&gt;75,"Long Toss","Recovery/Easy Catch"),"Compression/Pulldowns"),IF($S137&gt;75,"Long Toss","Recovery/Easy Catch"))))))))))))</f>
        <v/>
      </c>
      <c r="U137" s="32" t="str">
        <f t="shared" si="68"/>
        <v/>
      </c>
      <c r="V137" s="32" t="str">
        <f t="shared" si="69"/>
        <v/>
      </c>
      <c r="W137" s="32" t="str">
        <f t="shared" si="70"/>
        <v/>
      </c>
      <c r="X137" s="32">
        <f t="shared" si="71"/>
        <v>0</v>
      </c>
      <c r="Y137" s="32" t="str">
        <f t="shared" si="72"/>
        <v/>
      </c>
      <c r="Z137" s="32" t="str">
        <f t="shared" si="73"/>
        <v/>
      </c>
      <c r="AA137" s="32" t="str">
        <f t="shared" si="74"/>
        <v/>
      </c>
      <c r="AB137" s="32" t="str">
        <f>IF($A137="","",IF($T137="No Throw",0,IF($K137&lt;&gt;"",$K137,IF($AA137&lt;&gt;"",ROUND($AA137*$D$12*IF($C137=0,1,$G$10),0),MIN(IF($T137="Recovery/Easy Catch",Reference!$B$103,IF($T137="Long Toss",Reference!$B$106,Reference!$B$102)),MAX(Reference!$B$101,ROUND(MAX(0,$Q137-$AE137)/$AF137,0)))))))</f>
        <v/>
      </c>
      <c r="AC137" s="32">
        <f t="shared" si="75"/>
        <v>0</v>
      </c>
      <c r="AD137" s="32" t="b">
        <f t="shared" si="76"/>
        <v>1</v>
      </c>
      <c r="AE137" s="32">
        <f>IF($X137=0,0,$X137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137+$Z137)/2,0),Reference!$A$17:$B$20,2,TRUE()))</f>
        <v>0</v>
      </c>
      <c r="AF137" s="32">
        <f>IF(OR($A137="",$U137="",$T137="No Throw"),0,$AM137*VLOOKUP(MAX(($V137+$W137)/2,0),Reference!$A$17:$B$20,2,TRUE()))</f>
        <v>0</v>
      </c>
      <c r="AG137" s="32">
        <f>IF($AC137=0,0,$AC137*INDEX(Reference!$B$61:$B$62,MATCH("Bullpen",Reference!$A$61:$A$62,0))*VLOOKUP(MAX($D$5-($D$9+$E$9)/2,0),Reference!$A$17:$B$20,2,TRUE()))</f>
        <v>0</v>
      </c>
      <c r="AH137" s="32" t="e">
        <f t="shared" si="77"/>
        <v>#N/A</v>
      </c>
      <c r="AI137" s="32" t="e">
        <f>IF($A137="",NA(),Reference!$A$25)</f>
        <v>#N/A</v>
      </c>
      <c r="AJ137" s="32" t="e">
        <f t="shared" si="78"/>
        <v>#N/A</v>
      </c>
      <c r="AK137" s="32">
        <f>IF(OR($A137="",N($C137)&lt;=7,$T137="No Throw",$J137="x"),0,INDEX(Reference!$B$108:$B$114,$N137+1))</f>
        <v>0</v>
      </c>
      <c r="AL137" s="32">
        <f t="shared" si="79"/>
        <v>1</v>
      </c>
      <c r="AM137" s="32">
        <f>IF($U137="",0,IF($AL137&gt;1,((IF(1&lt;=$AL137,($AL137-1+3)*(INDEX(Reference!$B$6:$B$11,MIN(5,MATCH(MAX(Reference!$A$6,MIN(Reference!$A$11,MIN($U137,90))),Reference!$A$6:$A$11,1)))+(MAX(Reference!$A$6,MIN(Reference!$A$11,MIN($U137,90)))-INDEX(Reference!$A$6:$A$11,MIN(5,MATCH(MAX(Reference!$A$6,MIN(Reference!$A$11,MIN($U137,90))),Reference!$A$6:$A$11,1))))*(INDEX(Reference!$B$6:$B$11,MIN(5,MATCH(MAX(Reference!$A$6,MIN(Reference!$A$11,MIN($U137,90))),Reference!$A$6:$A$11,1))+1)-INDEX(Reference!$B$6:$B$11,MIN(5,MATCH(MAX(Reference!$A$6,MIN(Reference!$A$11,MIN($U137,90))),Reference!$A$6:$A$11,1))))/(INDEX(Reference!$A$6:$A$11,MIN(5,MATCH(MAX(Reference!$A$6,MIN(Reference!$A$11,MIN($U137,90))),Reference!$A$6:$A$11,1))+1)-INDEX(Reference!$A$6:$A$11,MIN(5,MATCH(MAX(Reference!$A$6,MIN(Reference!$A$11,MIN($U137,90))),Reference!$A$6:$A$11,1))))),0)+IF(2&lt;=$AL137,($AL137-2+3)*(INDEX(Reference!$B$6:$B$11,MIN(5,MATCH(MAX(Reference!$A$6,MIN(Reference!$A$11,MIN($U137,120))),Reference!$A$6:$A$11,1)))+(MAX(Reference!$A$6,MIN(Reference!$A$11,MIN($U137,120)))-INDEX(Reference!$A$6:$A$11,MIN(5,MATCH(MAX(Reference!$A$6,MIN(Reference!$A$11,MIN($U137,120))),Reference!$A$6:$A$11,1))))*(INDEX(Reference!$B$6:$B$11,MIN(5,MATCH(MAX(Reference!$A$6,MIN(Reference!$A$11,MIN($U137,120))),Reference!$A$6:$A$11,1))+1)-INDEX(Reference!$B$6:$B$11,MIN(5,MATCH(MAX(Reference!$A$6,MIN(Reference!$A$11,MIN($U137,120))),Reference!$A$6:$A$11,1))))/(INDEX(Reference!$A$6:$A$11,MIN(5,MATCH(MAX(Reference!$A$6,MIN(Reference!$A$11,MIN($U137,120))),Reference!$A$6:$A$11,1))+1)-INDEX(Reference!$A$6:$A$11,MIN(5,MATCH(MAX(Reference!$A$6,MIN(Reference!$A$11,MIN($U137,120))),Reference!$A$6:$A$11,1))))),0)+IF(3&lt;=$AL137,($AL137-3+3)*(INDEX(Reference!$B$6:$B$11,MIN(5,MATCH(MAX(Reference!$A$6,MIN(Reference!$A$11,MIN($U137,150))),Reference!$A$6:$A$11,1)))+(MAX(Reference!$A$6,MIN(Reference!$A$11,MIN($U137,150)))-INDEX(Reference!$A$6:$A$11,MIN(5,MATCH(MAX(Reference!$A$6,MIN(Reference!$A$11,MIN($U137,150))),Reference!$A$6:$A$11,1))))*(INDEX(Reference!$B$6:$B$11,MIN(5,MATCH(MAX(Reference!$A$6,MIN(Reference!$A$11,MIN($U137,150))),Reference!$A$6:$A$11,1))+1)-INDEX(Reference!$B$6:$B$11,MIN(5,MATCH(MAX(Reference!$A$6,MIN(Reference!$A$11,MIN($U137,150))),Reference!$A$6:$A$11,1))))/(INDEX(Reference!$A$6:$A$11,MIN(5,MATCH(MAX(Reference!$A$6,MIN(Reference!$A$11,MIN($U137,150))),Reference!$A$6:$A$11,1))+1)-INDEX(Reference!$A$6:$A$11,MIN(5,MATCH(MAX(Reference!$A$6,MIN(Reference!$A$11,MIN($U137,150))),Reference!$A$6:$A$11,1))))),0)+IF(4&lt;=$AL137,($AL137-4+3)*(INDEX(Reference!$B$6:$B$11,MIN(5,MATCH(MAX(Reference!$A$6,MIN(Reference!$A$11,MIN($U137,180))),Reference!$A$6:$A$11,1)))+(MAX(Reference!$A$6,MIN(Reference!$A$11,MIN($U137,180)))-INDEX(Reference!$A$6:$A$11,MIN(5,MATCH(MAX(Reference!$A$6,MIN(Reference!$A$11,MIN($U137,180))),Reference!$A$6:$A$11,1))))*(INDEX(Reference!$B$6:$B$11,MIN(5,MATCH(MAX(Reference!$A$6,MIN(Reference!$A$11,MIN($U137,180))),Reference!$A$6:$A$11,1))+1)-INDEX(Reference!$B$6:$B$11,MIN(5,MATCH(MAX(Reference!$A$6,MIN(Reference!$A$11,MIN($U137,180))),Reference!$A$6:$A$11,1))))/(INDEX(Reference!$A$6:$A$11,MIN(5,MATCH(MAX(Reference!$A$6,MIN(Reference!$A$11,MIN($U137,180))),Reference!$A$6:$A$11,1))+1)-INDEX(Reference!$A$6:$A$11,MIN(5,MATCH(MAX(Reference!$A$6,MIN(Reference!$A$11,MIN($U137,180))),Reference!$A$6:$A$11,1))))),0)+IF(5&lt;=$AL137,($AL137-5+3)*(INDEX(Reference!$B$6:$B$11,MIN(5,MATCH(MAX(Reference!$A$6,MIN(Reference!$A$11,MIN($U137,210))),Reference!$A$6:$A$11,1)))+(MAX(Reference!$A$6,MIN(Reference!$A$11,MIN($U137,210)))-INDEX(Reference!$A$6:$A$11,MIN(5,MATCH(MAX(Reference!$A$6,MIN(Reference!$A$11,MIN($U137,210))),Reference!$A$6:$A$11,1))))*(INDEX(Reference!$B$6:$B$11,MIN(5,MATCH(MAX(Reference!$A$6,MIN(Reference!$A$11,MIN($U137,210))),Reference!$A$6:$A$11,1))+1)-INDEX(Reference!$B$6:$B$11,MIN(5,MATCH(MAX(Reference!$A$6,MIN(Reference!$A$11,MIN($U137,210))),Reference!$A$6:$A$11,1))))/(INDEX(Reference!$A$6:$A$11,MIN(5,MATCH(MAX(Reference!$A$6,MIN(Reference!$A$11,MIN($U137,210))),Reference!$A$6:$A$11,1))+1)-INDEX(Reference!$A$6:$A$11,MIN(5,MATCH(MAX(Reference!$A$6,MIN(Reference!$A$11,MIN($U137,210))),Reference!$A$6:$A$11,1))))),0)+IF(6&lt;=$AL137,($AL137-6+3)*(INDEX(Reference!$B$6:$B$11,MIN(5,MATCH(MAX(Reference!$A$6,MIN(Reference!$A$11,MIN($U137,240))),Reference!$A$6:$A$11,1)))+(MAX(Reference!$A$6,MIN(Reference!$A$11,MIN($U137,240)))-INDEX(Reference!$A$6:$A$11,MIN(5,MATCH(MAX(Reference!$A$6,MIN(Reference!$A$11,MIN($U137,240))),Reference!$A$6:$A$11,1))))*(INDEX(Reference!$B$6:$B$11,MIN(5,MATCH(MAX(Reference!$A$6,MIN(Reference!$A$11,MIN($U137,240))),Reference!$A$6:$A$11,1))+1)-INDEX(Reference!$B$6:$B$11,MIN(5,MATCH(MAX(Reference!$A$6,MIN(Reference!$A$11,MIN($U137,240))),Reference!$A$6:$A$11,1))))/(INDEX(Reference!$A$6:$A$11,MIN(5,MATCH(MAX(Reference!$A$6,MIN(Reference!$A$11,MIN($U137,240))),Reference!$A$6:$A$11,1))+1)-INDEX(Reference!$A$6:$A$11,MIN(5,MATCH(MAX(Reference!$A$6,MIN(Reference!$A$11,MIN($U137,240))),Reference!$A$6:$A$11,1))))),0)+IF(7&lt;=$AL137,($AL137-7+3)*(INDEX(Reference!$B$6:$B$11,MIN(5,MATCH(MAX(Reference!$A$6,MIN(Reference!$A$11,MIN($U137,270))),Reference!$A$6:$A$11,1)))+(MAX(Reference!$A$6,MIN(Reference!$A$11,MIN($U137,270)))-INDEX(Reference!$A$6:$A$11,MIN(5,MATCH(MAX(Reference!$A$6,MIN(Reference!$A$11,MIN($U137,270))),Reference!$A$6:$A$11,1))))*(INDEX(Reference!$B$6:$B$11,MIN(5,MATCH(MAX(Reference!$A$6,MIN(Reference!$A$11,MIN($U137,270))),Reference!$A$6:$A$11,1))+1)-INDEX(Reference!$B$6:$B$11,MIN(5,MATCH(MAX(Reference!$A$6,MIN(Reference!$A$11,MIN($U137,270))),Reference!$A$6:$A$11,1))))/(INDEX(Reference!$A$6:$A$11,MIN(5,MATCH(MAX(Reference!$A$6,MIN(Reference!$A$11,MIN($U137,270))),Reference!$A$6:$A$11,1))+1)-INDEX(Reference!$A$6:$A$11,MIN(5,MATCH(MAX(Reference!$A$6,MIN(Reference!$A$11,MIN($U137,270))),Reference!$A$6:$A$11,1))))),0)+IF(8&lt;=$AL137,($AL137-8+3)*(INDEX(Reference!$B$6:$B$11,MIN(5,MATCH(MAX(Reference!$A$6,MIN(Reference!$A$11,MIN($U137,300))),Reference!$A$6:$A$11,1)))+(MAX(Reference!$A$6,MIN(Reference!$A$11,MIN($U137,300)))-INDEX(Reference!$A$6:$A$11,MIN(5,MATCH(MAX(Reference!$A$6,MIN(Reference!$A$11,MIN($U137,300))),Reference!$A$6:$A$11,1))))*(INDEX(Reference!$B$6:$B$11,MIN(5,MATCH(MAX(Reference!$A$6,MIN(Reference!$A$11,MIN($U137,300))),Reference!$A$6:$A$11,1))+1)-INDEX(Reference!$B$6:$B$11,MIN(5,MATCH(MAX(Reference!$A$6,MIN(Reference!$A$11,MIN($U137,300))),Reference!$A$6:$A$11,1))))/(INDEX(Reference!$A$6:$A$11,MIN(5,MATCH(MAX(Reference!$A$6,MIN(Reference!$A$11,MIN($U137,300))),Reference!$A$6:$A$11,1))+1)-INDEX(Reference!$A$6:$A$11,MIN(5,MATCH(MAX(Reference!$A$6,MIN(Reference!$A$11,MIN($U137,300))),Reference!$A$6:$A$11,1))))),0))/($AL137*($AL137+5)/2)),$AN137))</f>
        <v>0</v>
      </c>
      <c r="AN137" s="32">
        <f>IF($U137="",0,(INDEX(Reference!$B$6:$B$11,MIN(5,MATCH(MAX(Reference!$A$6,MIN(Reference!$A$11,$U137)),Reference!$A$6:$A$11,1)))+(MAX(Reference!$A$6,MIN(Reference!$A$11,$U137))-INDEX(Reference!$A$6:$A$11,MIN(5,MATCH(MAX(Reference!$A$6,MIN(Reference!$A$11,$U137)),Reference!$A$6:$A$11,1))))*(INDEX(Reference!$B$6:$B$11,MIN(5,MATCH(MAX(Reference!$A$6,MIN(Reference!$A$11,$U137)),Reference!$A$6:$A$11,1))+1)-INDEX(Reference!$B$6:$B$11,MIN(5,MATCH(MAX(Reference!$A$6,MIN(Reference!$A$11,$U137)),Reference!$A$6:$A$11,1))))/(INDEX(Reference!$A$6:$A$11,MIN(5,MATCH(MAX(Reference!$A$6,MIN(Reference!$A$11,$U137)),Reference!$A$6:$A$11,1))+1)-INDEX(Reference!$A$6:$A$11,MIN(5,MATCH(MAX(Reference!$A$6,MIN(Reference!$A$11,$U137)),Reference!$A$6:$A$11,1))))))</f>
        <v>0</v>
      </c>
      <c r="AO137" s="37"/>
      <c r="AP137" s="37"/>
      <c r="AQ137" s="37"/>
    </row>
    <row r="138" spans="1:43" x14ac:dyDescent="0.3">
      <c r="A138" s="48" t="str">
        <f t="shared" si="55"/>
        <v/>
      </c>
      <c r="B138" s="32" t="str">
        <f t="shared" si="56"/>
        <v/>
      </c>
      <c r="C138" s="32" t="str">
        <f t="shared" si="57"/>
        <v/>
      </c>
      <c r="D138" s="32" t="str">
        <f t="shared" si="58"/>
        <v/>
      </c>
      <c r="E138" s="32" t="str">
        <f t="shared" si="59"/>
        <v/>
      </c>
      <c r="F138" s="32" t="str">
        <f t="shared" si="60"/>
        <v/>
      </c>
      <c r="G138" s="47" t="str">
        <f t="shared" si="61"/>
        <v/>
      </c>
      <c r="H138" s="30" t="str">
        <f t="shared" si="62"/>
        <v/>
      </c>
      <c r="I138" s="46" t="str">
        <f>IF($A138="","",IF(AND($L138&lt;27,$K$12=0),"Building",IFERROR(((SUM($H$132:$H138)+$K$12*IF($L138&lt;6,SUMIFS('Throw Log'!$Q$5:$Q$300,'Throw Log'!$B$5:$B$300,$D$4,'Throw Log'!$A$5:$A$300,"&gt;="&amp;($D$6+$L138-6),'Throw Log'!$A$5:$A$300,"&lt;="&amp;($D$6-1)),0))/7)/((SUM($H$111:$H138)+$K$12*IF($L138&lt;27,SUMIFS('Throw Log'!$Q$5:$Q$300,'Throw Log'!$B$5:$B$300,$D$4,'Throw Log'!$A$5:$A$300,"&gt;="&amp;($D$6+$L138-27),'Throw Log'!$A$5:$A$300,"&lt;="&amp;($D$6-1)),0))/28),"")))</f>
        <v/>
      </c>
      <c r="J138" s="37"/>
      <c r="K138" s="37"/>
      <c r="L138" s="32">
        <v>95</v>
      </c>
      <c r="M138" s="32">
        <f t="shared" si="63"/>
        <v>14</v>
      </c>
      <c r="N138" s="32">
        <f t="shared" si="64"/>
        <v>4</v>
      </c>
      <c r="O138" s="32">
        <f t="shared" si="65"/>
        <v>1</v>
      </c>
      <c r="P138" s="32" t="str">
        <f>IF(OR($A138="",N($C138)&lt;=7),"",$G$6*$G$9^($M138-1)*IF(AND(MOD($M138,Reference!$B$99)=0,$M138&lt;=$G$5-2),Reference!$B$100,1))</f>
        <v/>
      </c>
      <c r="Q138" s="32" t="str">
        <f>IF($P138="","",IF(SUM($AK$134:$AK$140)=0,0,$P138*INDEX(Reference!$B$108:$B$114,$N138+1)/SUM($AK$134:$AK$140)))</f>
        <v/>
      </c>
      <c r="R138" s="32">
        <f t="shared" si="66"/>
        <v>120</v>
      </c>
      <c r="S138" s="32">
        <f t="shared" si="67"/>
        <v>105</v>
      </c>
      <c r="T138" s="32" t="str">
        <f>IF($A138="","",IF($C138=0,"Bullpen",IF(OR($C138=7,$C138=1,$C138=5),"Recovery/Easy Catch",IF($C138=6,"Compression/Pulldowns",IF(OR($C138=4,$C138=2),"Long Toss",IF($C138=3,"No Throw",IF($N138=2,"No Throw",IF($N138=6,IF($O138&lt;Reference!$B$104,"No Throw","Recovery/Easy Catch"),IF(OR($N138=0,$N138=4),"Recovery/Easy Catch",IF($N138=1,IF($R138&gt;75,"Long Toss","Recovery/Easy Catch"),IF($N138=3,IF($O138&lt;0.5,IF($S138&gt;75,"Long Toss","Recovery/Easy Catch"),"Compression/Pulldowns"),IF($S138&gt;75,"Long Toss","Recovery/Easy Catch"))))))))))))</f>
        <v/>
      </c>
      <c r="U138" s="32" t="str">
        <f t="shared" si="68"/>
        <v/>
      </c>
      <c r="V138" s="32" t="str">
        <f t="shared" si="69"/>
        <v/>
      </c>
      <c r="W138" s="32" t="str">
        <f t="shared" si="70"/>
        <v/>
      </c>
      <c r="X138" s="32">
        <f t="shared" si="71"/>
        <v>0</v>
      </c>
      <c r="Y138" s="32" t="str">
        <f t="shared" si="72"/>
        <v/>
      </c>
      <c r="Z138" s="32" t="str">
        <f t="shared" si="73"/>
        <v/>
      </c>
      <c r="AA138" s="32" t="str">
        <f t="shared" si="74"/>
        <v/>
      </c>
      <c r="AB138" s="32" t="str">
        <f>IF($A138="","",IF($T138="No Throw",0,IF($K138&lt;&gt;"",$K138,IF($AA138&lt;&gt;"",ROUND($AA138*$D$12*IF($C138=0,1,$G$10),0),MIN(IF($T138="Recovery/Easy Catch",Reference!$B$103,IF($T138="Long Toss",Reference!$B$106,Reference!$B$102)),MAX(Reference!$B$101,ROUND(MAX(0,$Q138-$AE138)/$AF138,0)))))))</f>
        <v/>
      </c>
      <c r="AC138" s="32">
        <f t="shared" si="75"/>
        <v>0</v>
      </c>
      <c r="AD138" s="32" t="b">
        <f t="shared" si="76"/>
        <v>1</v>
      </c>
      <c r="AE138" s="32">
        <f>IF($X138=0,0,$X138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138+$Z138)/2,0),Reference!$A$17:$B$20,2,TRUE()))</f>
        <v>0</v>
      </c>
      <c r="AF138" s="32">
        <f>IF(OR($A138="",$U138="",$T138="No Throw"),0,$AM138*VLOOKUP(MAX(($V138+$W138)/2,0),Reference!$A$17:$B$20,2,TRUE()))</f>
        <v>0</v>
      </c>
      <c r="AG138" s="32">
        <f>IF($AC138=0,0,$AC138*INDEX(Reference!$B$61:$B$62,MATCH("Bullpen",Reference!$A$61:$A$62,0))*VLOOKUP(MAX($D$5-($D$9+$E$9)/2,0),Reference!$A$17:$B$20,2,TRUE()))</f>
        <v>0</v>
      </c>
      <c r="AH138" s="32" t="e">
        <f t="shared" si="77"/>
        <v>#N/A</v>
      </c>
      <c r="AI138" s="32" t="e">
        <f>IF($A138="",NA(),Reference!$A$25)</f>
        <v>#N/A</v>
      </c>
      <c r="AJ138" s="32" t="e">
        <f t="shared" si="78"/>
        <v>#N/A</v>
      </c>
      <c r="AK138" s="32">
        <f>IF(OR($A138="",N($C138)&lt;=7,$T138="No Throw",$J138="x"),0,INDEX(Reference!$B$108:$B$114,$N138+1))</f>
        <v>0</v>
      </c>
      <c r="AL138" s="32">
        <f t="shared" si="79"/>
        <v>1</v>
      </c>
      <c r="AM138" s="32">
        <f>IF($U138="",0,IF($AL138&gt;1,((IF(1&lt;=$AL138,($AL138-1+3)*(INDEX(Reference!$B$6:$B$11,MIN(5,MATCH(MAX(Reference!$A$6,MIN(Reference!$A$11,MIN($U138,90))),Reference!$A$6:$A$11,1)))+(MAX(Reference!$A$6,MIN(Reference!$A$11,MIN($U138,90)))-INDEX(Reference!$A$6:$A$11,MIN(5,MATCH(MAX(Reference!$A$6,MIN(Reference!$A$11,MIN($U138,90))),Reference!$A$6:$A$11,1))))*(INDEX(Reference!$B$6:$B$11,MIN(5,MATCH(MAX(Reference!$A$6,MIN(Reference!$A$11,MIN($U138,90))),Reference!$A$6:$A$11,1))+1)-INDEX(Reference!$B$6:$B$11,MIN(5,MATCH(MAX(Reference!$A$6,MIN(Reference!$A$11,MIN($U138,90))),Reference!$A$6:$A$11,1))))/(INDEX(Reference!$A$6:$A$11,MIN(5,MATCH(MAX(Reference!$A$6,MIN(Reference!$A$11,MIN($U138,90))),Reference!$A$6:$A$11,1))+1)-INDEX(Reference!$A$6:$A$11,MIN(5,MATCH(MAX(Reference!$A$6,MIN(Reference!$A$11,MIN($U138,90))),Reference!$A$6:$A$11,1))))),0)+IF(2&lt;=$AL138,($AL138-2+3)*(INDEX(Reference!$B$6:$B$11,MIN(5,MATCH(MAX(Reference!$A$6,MIN(Reference!$A$11,MIN($U138,120))),Reference!$A$6:$A$11,1)))+(MAX(Reference!$A$6,MIN(Reference!$A$11,MIN($U138,120)))-INDEX(Reference!$A$6:$A$11,MIN(5,MATCH(MAX(Reference!$A$6,MIN(Reference!$A$11,MIN($U138,120))),Reference!$A$6:$A$11,1))))*(INDEX(Reference!$B$6:$B$11,MIN(5,MATCH(MAX(Reference!$A$6,MIN(Reference!$A$11,MIN($U138,120))),Reference!$A$6:$A$11,1))+1)-INDEX(Reference!$B$6:$B$11,MIN(5,MATCH(MAX(Reference!$A$6,MIN(Reference!$A$11,MIN($U138,120))),Reference!$A$6:$A$11,1))))/(INDEX(Reference!$A$6:$A$11,MIN(5,MATCH(MAX(Reference!$A$6,MIN(Reference!$A$11,MIN($U138,120))),Reference!$A$6:$A$11,1))+1)-INDEX(Reference!$A$6:$A$11,MIN(5,MATCH(MAX(Reference!$A$6,MIN(Reference!$A$11,MIN($U138,120))),Reference!$A$6:$A$11,1))))),0)+IF(3&lt;=$AL138,($AL138-3+3)*(INDEX(Reference!$B$6:$B$11,MIN(5,MATCH(MAX(Reference!$A$6,MIN(Reference!$A$11,MIN($U138,150))),Reference!$A$6:$A$11,1)))+(MAX(Reference!$A$6,MIN(Reference!$A$11,MIN($U138,150)))-INDEX(Reference!$A$6:$A$11,MIN(5,MATCH(MAX(Reference!$A$6,MIN(Reference!$A$11,MIN($U138,150))),Reference!$A$6:$A$11,1))))*(INDEX(Reference!$B$6:$B$11,MIN(5,MATCH(MAX(Reference!$A$6,MIN(Reference!$A$11,MIN($U138,150))),Reference!$A$6:$A$11,1))+1)-INDEX(Reference!$B$6:$B$11,MIN(5,MATCH(MAX(Reference!$A$6,MIN(Reference!$A$11,MIN($U138,150))),Reference!$A$6:$A$11,1))))/(INDEX(Reference!$A$6:$A$11,MIN(5,MATCH(MAX(Reference!$A$6,MIN(Reference!$A$11,MIN($U138,150))),Reference!$A$6:$A$11,1))+1)-INDEX(Reference!$A$6:$A$11,MIN(5,MATCH(MAX(Reference!$A$6,MIN(Reference!$A$11,MIN($U138,150))),Reference!$A$6:$A$11,1))))),0)+IF(4&lt;=$AL138,($AL138-4+3)*(INDEX(Reference!$B$6:$B$11,MIN(5,MATCH(MAX(Reference!$A$6,MIN(Reference!$A$11,MIN($U138,180))),Reference!$A$6:$A$11,1)))+(MAX(Reference!$A$6,MIN(Reference!$A$11,MIN($U138,180)))-INDEX(Reference!$A$6:$A$11,MIN(5,MATCH(MAX(Reference!$A$6,MIN(Reference!$A$11,MIN($U138,180))),Reference!$A$6:$A$11,1))))*(INDEX(Reference!$B$6:$B$11,MIN(5,MATCH(MAX(Reference!$A$6,MIN(Reference!$A$11,MIN($U138,180))),Reference!$A$6:$A$11,1))+1)-INDEX(Reference!$B$6:$B$11,MIN(5,MATCH(MAX(Reference!$A$6,MIN(Reference!$A$11,MIN($U138,180))),Reference!$A$6:$A$11,1))))/(INDEX(Reference!$A$6:$A$11,MIN(5,MATCH(MAX(Reference!$A$6,MIN(Reference!$A$11,MIN($U138,180))),Reference!$A$6:$A$11,1))+1)-INDEX(Reference!$A$6:$A$11,MIN(5,MATCH(MAX(Reference!$A$6,MIN(Reference!$A$11,MIN($U138,180))),Reference!$A$6:$A$11,1))))),0)+IF(5&lt;=$AL138,($AL138-5+3)*(INDEX(Reference!$B$6:$B$11,MIN(5,MATCH(MAX(Reference!$A$6,MIN(Reference!$A$11,MIN($U138,210))),Reference!$A$6:$A$11,1)))+(MAX(Reference!$A$6,MIN(Reference!$A$11,MIN($U138,210)))-INDEX(Reference!$A$6:$A$11,MIN(5,MATCH(MAX(Reference!$A$6,MIN(Reference!$A$11,MIN($U138,210))),Reference!$A$6:$A$11,1))))*(INDEX(Reference!$B$6:$B$11,MIN(5,MATCH(MAX(Reference!$A$6,MIN(Reference!$A$11,MIN($U138,210))),Reference!$A$6:$A$11,1))+1)-INDEX(Reference!$B$6:$B$11,MIN(5,MATCH(MAX(Reference!$A$6,MIN(Reference!$A$11,MIN($U138,210))),Reference!$A$6:$A$11,1))))/(INDEX(Reference!$A$6:$A$11,MIN(5,MATCH(MAX(Reference!$A$6,MIN(Reference!$A$11,MIN($U138,210))),Reference!$A$6:$A$11,1))+1)-INDEX(Reference!$A$6:$A$11,MIN(5,MATCH(MAX(Reference!$A$6,MIN(Reference!$A$11,MIN($U138,210))),Reference!$A$6:$A$11,1))))),0)+IF(6&lt;=$AL138,($AL138-6+3)*(INDEX(Reference!$B$6:$B$11,MIN(5,MATCH(MAX(Reference!$A$6,MIN(Reference!$A$11,MIN($U138,240))),Reference!$A$6:$A$11,1)))+(MAX(Reference!$A$6,MIN(Reference!$A$11,MIN($U138,240)))-INDEX(Reference!$A$6:$A$11,MIN(5,MATCH(MAX(Reference!$A$6,MIN(Reference!$A$11,MIN($U138,240))),Reference!$A$6:$A$11,1))))*(INDEX(Reference!$B$6:$B$11,MIN(5,MATCH(MAX(Reference!$A$6,MIN(Reference!$A$11,MIN($U138,240))),Reference!$A$6:$A$11,1))+1)-INDEX(Reference!$B$6:$B$11,MIN(5,MATCH(MAX(Reference!$A$6,MIN(Reference!$A$11,MIN($U138,240))),Reference!$A$6:$A$11,1))))/(INDEX(Reference!$A$6:$A$11,MIN(5,MATCH(MAX(Reference!$A$6,MIN(Reference!$A$11,MIN($U138,240))),Reference!$A$6:$A$11,1))+1)-INDEX(Reference!$A$6:$A$11,MIN(5,MATCH(MAX(Reference!$A$6,MIN(Reference!$A$11,MIN($U138,240))),Reference!$A$6:$A$11,1))))),0)+IF(7&lt;=$AL138,($AL138-7+3)*(INDEX(Reference!$B$6:$B$11,MIN(5,MATCH(MAX(Reference!$A$6,MIN(Reference!$A$11,MIN($U138,270))),Reference!$A$6:$A$11,1)))+(MAX(Reference!$A$6,MIN(Reference!$A$11,MIN($U138,270)))-INDEX(Reference!$A$6:$A$11,MIN(5,MATCH(MAX(Reference!$A$6,MIN(Reference!$A$11,MIN($U138,270))),Reference!$A$6:$A$11,1))))*(INDEX(Reference!$B$6:$B$11,MIN(5,MATCH(MAX(Reference!$A$6,MIN(Reference!$A$11,MIN($U138,270))),Reference!$A$6:$A$11,1))+1)-INDEX(Reference!$B$6:$B$11,MIN(5,MATCH(MAX(Reference!$A$6,MIN(Reference!$A$11,MIN($U138,270))),Reference!$A$6:$A$11,1))))/(INDEX(Reference!$A$6:$A$11,MIN(5,MATCH(MAX(Reference!$A$6,MIN(Reference!$A$11,MIN($U138,270))),Reference!$A$6:$A$11,1))+1)-INDEX(Reference!$A$6:$A$11,MIN(5,MATCH(MAX(Reference!$A$6,MIN(Reference!$A$11,MIN($U138,270))),Reference!$A$6:$A$11,1))))),0)+IF(8&lt;=$AL138,($AL138-8+3)*(INDEX(Reference!$B$6:$B$11,MIN(5,MATCH(MAX(Reference!$A$6,MIN(Reference!$A$11,MIN($U138,300))),Reference!$A$6:$A$11,1)))+(MAX(Reference!$A$6,MIN(Reference!$A$11,MIN($U138,300)))-INDEX(Reference!$A$6:$A$11,MIN(5,MATCH(MAX(Reference!$A$6,MIN(Reference!$A$11,MIN($U138,300))),Reference!$A$6:$A$11,1))))*(INDEX(Reference!$B$6:$B$11,MIN(5,MATCH(MAX(Reference!$A$6,MIN(Reference!$A$11,MIN($U138,300))),Reference!$A$6:$A$11,1))+1)-INDEX(Reference!$B$6:$B$11,MIN(5,MATCH(MAX(Reference!$A$6,MIN(Reference!$A$11,MIN($U138,300))),Reference!$A$6:$A$11,1))))/(INDEX(Reference!$A$6:$A$11,MIN(5,MATCH(MAX(Reference!$A$6,MIN(Reference!$A$11,MIN($U138,300))),Reference!$A$6:$A$11,1))+1)-INDEX(Reference!$A$6:$A$11,MIN(5,MATCH(MAX(Reference!$A$6,MIN(Reference!$A$11,MIN($U138,300))),Reference!$A$6:$A$11,1))))),0))/($AL138*($AL138+5)/2)),$AN138))</f>
        <v>0</v>
      </c>
      <c r="AN138" s="32">
        <f>IF($U138="",0,(INDEX(Reference!$B$6:$B$11,MIN(5,MATCH(MAX(Reference!$A$6,MIN(Reference!$A$11,$U138)),Reference!$A$6:$A$11,1)))+(MAX(Reference!$A$6,MIN(Reference!$A$11,$U138))-INDEX(Reference!$A$6:$A$11,MIN(5,MATCH(MAX(Reference!$A$6,MIN(Reference!$A$11,$U138)),Reference!$A$6:$A$11,1))))*(INDEX(Reference!$B$6:$B$11,MIN(5,MATCH(MAX(Reference!$A$6,MIN(Reference!$A$11,$U138)),Reference!$A$6:$A$11,1))+1)-INDEX(Reference!$B$6:$B$11,MIN(5,MATCH(MAX(Reference!$A$6,MIN(Reference!$A$11,$U138)),Reference!$A$6:$A$11,1))))/(INDEX(Reference!$A$6:$A$11,MIN(5,MATCH(MAX(Reference!$A$6,MIN(Reference!$A$11,$U138)),Reference!$A$6:$A$11,1))+1)-INDEX(Reference!$A$6:$A$11,MIN(5,MATCH(MAX(Reference!$A$6,MIN(Reference!$A$11,$U138)),Reference!$A$6:$A$11,1))))))</f>
        <v>0</v>
      </c>
      <c r="AO138" s="37"/>
      <c r="AP138" s="37"/>
      <c r="AQ138" s="37"/>
    </row>
    <row r="139" spans="1:43" x14ac:dyDescent="0.3">
      <c r="A139" s="48" t="str">
        <f t="shared" ref="A139:A170" si="80">IFERROR(IF($L139&gt;$G$4,"",$D$6+$L139),"")</f>
        <v/>
      </c>
      <c r="B139" s="32" t="str">
        <f t="shared" ref="B139:B170" si="81">IF($A139="","",TEXT($A139,"ddd"))</f>
        <v/>
      </c>
      <c r="C139" s="32" t="str">
        <f t="shared" ref="C139:C170" si="82">IF($A139="","",$G$4-$L139)</f>
        <v/>
      </c>
      <c r="D139" s="32" t="str">
        <f t="shared" ref="D139:D170" si="83">IF($A139="","",IF($C139=0,"First Bullpen",IF($C139&lt;=7,"Taper",IF($O139&lt;0.2,"Re-entry",IF($O139&lt;0.45,"Base",IF($O139&lt;0.65,"Extension","Flat Ground / Intent"))))))</f>
        <v/>
      </c>
      <c r="E139" s="32" t="str">
        <f t="shared" ref="E139:E170" si="84">IF($A139="","",IF($AD139,"No Throw",IF($C139=0,"High Bullpen",IF($C139=6,"High Non-Bullpen",IF(OR($C139=4,$C139=2),"Medium",IF($T139="Recovery/Easy Catch","Low",IF($N139=1,IF($O139&lt;0.4,"Low",IF($O139&lt;0.7,"Medium","High Non-Bullpen")),IF($N139=3,IF($O139&lt;0.5,"Medium","High Non-Bullpen"),IF($O139&lt;0.62,"Medium","High Non-Bullpen")))))))))</f>
        <v/>
      </c>
      <c r="F139" s="32" t="str">
        <f t="shared" ref="F139:F170" si="85">IF($A139="","",IF($AD139,"No Throw",$T139))</f>
        <v/>
      </c>
      <c r="G139" s="47" t="str">
        <f t="shared" ref="G139:G170" si="86">IF($A139="","",IF($AD139,"Off",IF($AL139&gt;1,"Long toss out to "&amp;$U139&amp;" ft — "&amp;$AB139&amp;" throws ("&amp;IF(1&lt;=$AL139,MIN($U139,90)&amp;"×"&amp;(ROUND($AB139*(1*($AL139+3)-1)/($AL139*($AL139+5)/2),0)-0),"")&amp;IF(2&lt;=$AL139," · "&amp;MIN($U139,120)&amp;"×"&amp;(ROUND($AB139*(2*($AL139+3)-3)/($AL139*($AL139+5)/2),0)-ROUND($AB139*(1*($AL139+3)-1)/($AL139*($AL139+5)/2),0)),"")&amp;IF(3&lt;=$AL139," · "&amp;MIN($U139,150)&amp;"×"&amp;(ROUND($AB139*(3*($AL139+3)-6)/($AL139*($AL139+5)/2),0)-ROUND($AB139*(2*($AL139+3)-3)/($AL139*($AL139+5)/2),0)),"")&amp;IF(4&lt;=$AL139," · "&amp;MIN($U139,180)&amp;"×"&amp;(ROUND($AB139*(4*($AL139+3)-10)/($AL139*($AL139+5)/2),0)-ROUND($AB139*(3*($AL139+3)-6)/($AL139*($AL139+5)/2),0)),"")&amp;IF(5&lt;=$AL139," · "&amp;MIN($U139,210)&amp;"×"&amp;(ROUND($AB139*(5*($AL139+3)-15)/($AL139*($AL139+5)/2),0)-ROUND($AB139*(4*($AL139+3)-10)/($AL139*($AL139+5)/2),0)),"")&amp;IF(6&lt;=$AL139," · "&amp;MIN($U139,240)&amp;"×"&amp;(ROUND($AB139*(6*($AL139+3)-21)/($AL139*($AL139+5)/2),0)-ROUND($AB139*(5*($AL139+3)-15)/($AL139*($AL139+5)/2),0)),"")&amp;IF(7&lt;=$AL139," · "&amp;MIN($U139,270)&amp;"×"&amp;(ROUND($AB139*(7*($AL139+3)-28)/($AL139*($AL139+5)/2),0)-ROUND($AB139*(6*($AL139+3)-21)/($AL139*($AL139+5)/2),0)),"")&amp;IF(8&lt;=$AL139," · "&amp;MIN($U139,300)&amp;"×"&amp;(ROUND($AB139*(8*($AL139+3)-36)/($AL139*($AL139+5)/2),0)-ROUND($AB139*(7*($AL139+3)-28)/($AL139*($AL139+5)/2),0)),"")&amp;")",$U139&amp;" ft × "&amp;$AB139)&amp;" @ "&amp;ROUND($D$5-$W139,0)&amp;"–"&amp;ROUND($D$5-$V139,0)&amp;" mph"&amp;IF($X139&gt;0,IF($Y139&lt;10," + flat ground at 60 ft × "," + 60 ft × ")&amp;$X139&amp;" @ "&amp;ROUND($D$5-$Z139,0)&amp;"–"&amp;ROUND($D$5-$Y139,0)&amp;" mph","")&amp;IF($AC139&gt;0," + MOUND × "&amp;$AC139&amp;" pitches @ "&amp;$D$9&amp;"–"&amp;$E$9&amp;" mph","")))</f>
        <v/>
      </c>
      <c r="H139" s="30" t="str">
        <f t="shared" ref="H139:H170" si="87">IF($A139="","",IF($AD139,0,$AB139*$AF139+$AE139+$AG139))</f>
        <v/>
      </c>
      <c r="I139" s="46" t="str">
        <f>IF($A139="","",IF(AND($L139&lt;27,$K$12=0),"Building",IFERROR(((SUM($H$133:$H139)+$K$12*IF($L139&lt;6,SUMIFS('Throw Log'!$Q$5:$Q$300,'Throw Log'!$B$5:$B$300,$D$4,'Throw Log'!$A$5:$A$300,"&gt;="&amp;($D$6+$L139-6),'Throw Log'!$A$5:$A$300,"&lt;="&amp;($D$6-1)),0))/7)/((SUM($H$112:$H139)+$K$12*IF($L139&lt;27,SUMIFS('Throw Log'!$Q$5:$Q$300,'Throw Log'!$B$5:$B$300,$D$4,'Throw Log'!$A$5:$A$300,"&gt;="&amp;($D$6+$L139-27),'Throw Log'!$A$5:$A$300,"&lt;="&amp;($D$6-1)),0))/28),"")))</f>
        <v/>
      </c>
      <c r="J139" s="37"/>
      <c r="K139" s="37"/>
      <c r="L139" s="32">
        <v>96</v>
      </c>
      <c r="M139" s="32">
        <f t="shared" ref="M139:M170" si="88">INT($L139/7)+1</f>
        <v>14</v>
      </c>
      <c r="N139" s="32">
        <f t="shared" ref="N139:N170" si="89">MOD($L139,7)</f>
        <v>5</v>
      </c>
      <c r="O139" s="32">
        <f t="shared" ref="O139:O170" si="90">MIN(1,$G$7+(1-$G$7)*$L139/MAX(1,N($G$4)-8))</f>
        <v>1</v>
      </c>
      <c r="P139" s="32" t="str">
        <f>IF(OR($A139="",N($C139)&lt;=7),"",$G$6*$G$9^($M139-1)*IF(AND(MOD($M139,Reference!$B$99)=0,$M139&lt;=$G$5-2),Reference!$B$100,1))</f>
        <v/>
      </c>
      <c r="Q139" s="32" t="str">
        <f>IF($P139="","",IF(SUM($AK$134:$AK$140)=0,0,$P139*INDEX(Reference!$B$108:$B$114,$N139+1)/SUM($AK$134:$AK$140)))</f>
        <v/>
      </c>
      <c r="R139" s="32">
        <f t="shared" ref="R139:R170" si="91">ROUND((60+($D$11-60)*MIN(1,$O139/0.75))/15,0)*15</f>
        <v>120</v>
      </c>
      <c r="S139" s="32">
        <f t="shared" ref="S139:S170" si="92">ROUND((60+($R139-60)*0.8)/15,0)*15</f>
        <v>105</v>
      </c>
      <c r="T139" s="32" t="str">
        <f>IF($A139="","",IF($C139=0,"Bullpen",IF(OR($C139=7,$C139=1,$C139=5),"Recovery/Easy Catch",IF($C139=6,"Compression/Pulldowns",IF(OR($C139=4,$C139=2),"Long Toss",IF($C139=3,"No Throw",IF($N139=2,"No Throw",IF($N139=6,IF($O139&lt;Reference!$B$104,"No Throw","Recovery/Easy Catch"),IF(OR($N139=0,$N139=4),"Recovery/Easy Catch",IF($N139=1,IF($R139&gt;75,"Long Toss","Recovery/Easy Catch"),IF($N139=3,IF($O139&lt;0.5,IF($S139&gt;75,"Long Toss","Recovery/Easy Catch"),"Compression/Pulldowns"),IF($S139&gt;75,"Long Toss","Recovery/Easy Catch"))))))))))))</f>
        <v/>
      </c>
      <c r="U139" s="32" t="str">
        <f t="shared" ref="U139:U170" si="93">IF($A139="","",IF(N($AO139)&gt;0,$AO139,IF($C139=0,90,IF(OR($C139=7,$C139=1),75,IF($C139=6,90,IF($C139=5,60,IF($C139=4,MIN(150,ROUND(0.75*$D$11/15,0)*15),IF($C139=2,MIN(120,ROUND(0.67*$D$11/15,0)*15),IF($C139=3,"",IF($N139=2,"",IF($N139=6,60,IF($N139=0,IF($O139&lt;0.25,60,75),IF($N139=4,IF($O139&lt;0.5,60,75),IF($N139=1,$R139,IF($N139=3,IF($O139&lt;0.5,$S139,90),$S139)))))))))))))))</f>
        <v/>
      </c>
      <c r="V139" s="32" t="str">
        <f t="shared" ref="V139:V170" si="94">IF($A139="","",IF(N($AQ139)&gt;0,$D$5-$AQ139,IF(N($AP139)&gt;0,$D$5-$AP139,IF($C139=0,10,IF(OR($C139=7,$C139=1),18,IF($C139=6,7,IF($C139=5,20,IF(OR($C139=4,$C139=2),10,IF($C139=3,"",IF($N139=2,"",IF($N139=6,20,IF($N139=0,IF($O139&lt;0.25,20,18),IF($N139=4,IF($O139&lt;0.5,20,18),IF($N139=1,IF($O139&lt;0.25,18,IF($O139&lt;0.5,13,10)),IF($N139=3,IF($O139&lt;0.5,IF($O139&lt;0.25,18,13),7),IF($O139&lt;0.25,18,IF($O139&lt;0.5,12,10)))))))))))))))))</f>
        <v/>
      </c>
      <c r="W139" s="32" t="str">
        <f t="shared" ref="W139:W170" si="95">IF($A139="","",IF(N($AP139)&gt;0,$D$5-$AP139,IF(N($AQ139)&gt;0,$D$5-$AQ139,IF($C139=0,12,IF(OR($C139=7,$C139=1),22,IF($C139=6,9,IF($C139=5,24,IF(OR($C139=4,$C139=2),13,IF($C139=3,"",IF($N139=2,"",IF($N139=6,24,IF($N139=0,IF($O139&lt;0.25,24,22),IF($N139=4,IF($O139&lt;0.5,24,22),IF($N139=1,IF($O139&lt;0.25,22,IF($O139&lt;0.5,16,12)),IF($N139=3,IF($O139&lt;0.5,IF($O139&lt;0.25,22,16),9),IF($O139&lt;0.25,22,IF($O139&lt;0.5,15,13)))))))))))))))))</f>
        <v/>
      </c>
      <c r="X139" s="32">
        <f t="shared" ref="X139:X170" si="96">IF($A139="",0,IF($C139=6,ROUND(25*$G$10,0),IF(OR($C139=4,$C139=2),ROUND(15*$G$10,0),IF($C139&lt;=7,0,IF($N139=1,IF($O139&lt;0.2,0,IF($O139&lt;0.5,10,15)),IF($N139=3,IF($O139&lt;0.5,IF($O139&lt;0.2,0,10),IF($O139&lt;0.62,15,IF($O139&lt;0.8,20,25))),IF($N139=5,IF($O139&lt;0.2,0,IF($O139&lt;0.62,12,IF($O139&lt;0.8,20,25))),0)))))))</f>
        <v>0</v>
      </c>
      <c r="Y139" s="32" t="str">
        <f t="shared" ref="Y139:Y170" si="97">IF($X139=0,"",IF($C139=6,$D$5-$E$9,IF(OR($C139=4,$C139=2),8,IF($N139=1,IF($O139&lt;0.5,14,10),IF($N139=3,IF($O139&lt;0.5,14,IF($O139&lt;0.62,10,7)),IF($N139=5,IF($O139&lt;0.5,14,IF($O139&lt;0.62,12,7)),""))))))</f>
        <v/>
      </c>
      <c r="Z139" s="32" t="str">
        <f t="shared" ref="Z139:Z170" si="98">IF($X139=0,"",IF($C139=6,$D$5-$D$9,IF(OR($C139=4,$C139=2),10,IF($N139=1,IF($O139&lt;0.5,18,12),IF($N139=3,IF($O139&lt;0.5,18,IF($O139&lt;0.62,12,9)),IF($N139=5,IF($O139&lt;0.5,18,IF($O139&lt;0.62,15,9)),""))))))</f>
        <v/>
      </c>
      <c r="AA139" s="32" t="str">
        <f t="shared" ref="AA139:AA170" si="99">IF($A139="","",IF($C139=0,25,IF(OR($C139=7,$C139=1,$C139=5),30,IF($C139=6,25,IF(OR($C139=4,$C139=2),IF($AM139=0,30,30*$AN139/$AM139),"")))))</f>
        <v/>
      </c>
      <c r="AB139" s="32" t="str">
        <f>IF($A139="","",IF($T139="No Throw",0,IF($K139&lt;&gt;"",$K139,IF($AA139&lt;&gt;"",ROUND($AA139*$D$12*IF($C139=0,1,$G$10),0),MIN(IF($T139="Recovery/Easy Catch",Reference!$B$103,IF($T139="Long Toss",Reference!$B$106,Reference!$B$102)),MAX(Reference!$B$101,ROUND(MAX(0,$Q139-$AE139)/$AF139,0)))))))</f>
        <v/>
      </c>
      <c r="AC139" s="32">
        <f t="shared" ref="AC139:AC170" si="100">IF($A139="",0,IF($C139=0,$D$8,0))</f>
        <v>0</v>
      </c>
      <c r="AD139" s="32" t="b">
        <f t="shared" ref="AD139:AD170" si="101">IF($A139="",TRUE(),OR($J139="x",$T139="No Throw"))</f>
        <v>1</v>
      </c>
      <c r="AE139" s="32">
        <f>IF($X139=0,0,$X139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139+$Z139)/2,0),Reference!$A$17:$B$20,2,TRUE()))</f>
        <v>0</v>
      </c>
      <c r="AF139" s="32">
        <f>IF(OR($A139="",$U139="",$T139="No Throw"),0,$AM139*VLOOKUP(MAX(($V139+$W139)/2,0),Reference!$A$17:$B$20,2,TRUE()))</f>
        <v>0</v>
      </c>
      <c r="AG139" s="32">
        <f>IF($AC139=0,0,$AC139*INDEX(Reference!$B$61:$B$62,MATCH("Bullpen",Reference!$A$61:$A$62,0))*VLOOKUP(MAX($D$5-($D$9+$E$9)/2,0),Reference!$A$17:$B$20,2,TRUE()))</f>
        <v>0</v>
      </c>
      <c r="AH139" s="32" t="e">
        <f t="shared" ref="AH139:AH170" si="102">IF(OR($A139="",$L139&lt;27),NA(),$I139)</f>
        <v>#N/A</v>
      </c>
      <c r="AI139" s="32" t="e">
        <f>IF($A139="",NA(),Reference!$A$25)</f>
        <v>#N/A</v>
      </c>
      <c r="AJ139" s="32" t="e">
        <f t="shared" ref="AJ139:AJ170" si="103">IF($A139="",NA(),1.3)</f>
        <v>#N/A</v>
      </c>
      <c r="AK139" s="32">
        <f>IF(OR($A139="",N($C139)&lt;=7,$T139="No Throw",$J139="x"),0,INDEX(Reference!$B$108:$B$114,$N139+1))</f>
        <v>0</v>
      </c>
      <c r="AL139" s="32">
        <f t="shared" ref="AL139:AL170" si="104">IF($U139="",1,IF(AND($T139="Long Toss",N($U139)&gt;90),1+ROUNDUP(($U139-90)/30,0),1))</f>
        <v>1</v>
      </c>
      <c r="AM139" s="32">
        <f>IF($U139="",0,IF($AL139&gt;1,((IF(1&lt;=$AL139,($AL139-1+3)*(INDEX(Reference!$B$6:$B$11,MIN(5,MATCH(MAX(Reference!$A$6,MIN(Reference!$A$11,MIN($U139,90))),Reference!$A$6:$A$11,1)))+(MAX(Reference!$A$6,MIN(Reference!$A$11,MIN($U139,90)))-INDEX(Reference!$A$6:$A$11,MIN(5,MATCH(MAX(Reference!$A$6,MIN(Reference!$A$11,MIN($U139,90))),Reference!$A$6:$A$11,1))))*(INDEX(Reference!$B$6:$B$11,MIN(5,MATCH(MAX(Reference!$A$6,MIN(Reference!$A$11,MIN($U139,90))),Reference!$A$6:$A$11,1))+1)-INDEX(Reference!$B$6:$B$11,MIN(5,MATCH(MAX(Reference!$A$6,MIN(Reference!$A$11,MIN($U139,90))),Reference!$A$6:$A$11,1))))/(INDEX(Reference!$A$6:$A$11,MIN(5,MATCH(MAX(Reference!$A$6,MIN(Reference!$A$11,MIN($U139,90))),Reference!$A$6:$A$11,1))+1)-INDEX(Reference!$A$6:$A$11,MIN(5,MATCH(MAX(Reference!$A$6,MIN(Reference!$A$11,MIN($U139,90))),Reference!$A$6:$A$11,1))))),0)+IF(2&lt;=$AL139,($AL139-2+3)*(INDEX(Reference!$B$6:$B$11,MIN(5,MATCH(MAX(Reference!$A$6,MIN(Reference!$A$11,MIN($U139,120))),Reference!$A$6:$A$11,1)))+(MAX(Reference!$A$6,MIN(Reference!$A$11,MIN($U139,120)))-INDEX(Reference!$A$6:$A$11,MIN(5,MATCH(MAX(Reference!$A$6,MIN(Reference!$A$11,MIN($U139,120))),Reference!$A$6:$A$11,1))))*(INDEX(Reference!$B$6:$B$11,MIN(5,MATCH(MAX(Reference!$A$6,MIN(Reference!$A$11,MIN($U139,120))),Reference!$A$6:$A$11,1))+1)-INDEX(Reference!$B$6:$B$11,MIN(5,MATCH(MAX(Reference!$A$6,MIN(Reference!$A$11,MIN($U139,120))),Reference!$A$6:$A$11,1))))/(INDEX(Reference!$A$6:$A$11,MIN(5,MATCH(MAX(Reference!$A$6,MIN(Reference!$A$11,MIN($U139,120))),Reference!$A$6:$A$11,1))+1)-INDEX(Reference!$A$6:$A$11,MIN(5,MATCH(MAX(Reference!$A$6,MIN(Reference!$A$11,MIN($U139,120))),Reference!$A$6:$A$11,1))))),0)+IF(3&lt;=$AL139,($AL139-3+3)*(INDEX(Reference!$B$6:$B$11,MIN(5,MATCH(MAX(Reference!$A$6,MIN(Reference!$A$11,MIN($U139,150))),Reference!$A$6:$A$11,1)))+(MAX(Reference!$A$6,MIN(Reference!$A$11,MIN($U139,150)))-INDEX(Reference!$A$6:$A$11,MIN(5,MATCH(MAX(Reference!$A$6,MIN(Reference!$A$11,MIN($U139,150))),Reference!$A$6:$A$11,1))))*(INDEX(Reference!$B$6:$B$11,MIN(5,MATCH(MAX(Reference!$A$6,MIN(Reference!$A$11,MIN($U139,150))),Reference!$A$6:$A$11,1))+1)-INDEX(Reference!$B$6:$B$11,MIN(5,MATCH(MAX(Reference!$A$6,MIN(Reference!$A$11,MIN($U139,150))),Reference!$A$6:$A$11,1))))/(INDEX(Reference!$A$6:$A$11,MIN(5,MATCH(MAX(Reference!$A$6,MIN(Reference!$A$11,MIN($U139,150))),Reference!$A$6:$A$11,1))+1)-INDEX(Reference!$A$6:$A$11,MIN(5,MATCH(MAX(Reference!$A$6,MIN(Reference!$A$11,MIN($U139,150))),Reference!$A$6:$A$11,1))))),0)+IF(4&lt;=$AL139,($AL139-4+3)*(INDEX(Reference!$B$6:$B$11,MIN(5,MATCH(MAX(Reference!$A$6,MIN(Reference!$A$11,MIN($U139,180))),Reference!$A$6:$A$11,1)))+(MAX(Reference!$A$6,MIN(Reference!$A$11,MIN($U139,180)))-INDEX(Reference!$A$6:$A$11,MIN(5,MATCH(MAX(Reference!$A$6,MIN(Reference!$A$11,MIN($U139,180))),Reference!$A$6:$A$11,1))))*(INDEX(Reference!$B$6:$B$11,MIN(5,MATCH(MAX(Reference!$A$6,MIN(Reference!$A$11,MIN($U139,180))),Reference!$A$6:$A$11,1))+1)-INDEX(Reference!$B$6:$B$11,MIN(5,MATCH(MAX(Reference!$A$6,MIN(Reference!$A$11,MIN($U139,180))),Reference!$A$6:$A$11,1))))/(INDEX(Reference!$A$6:$A$11,MIN(5,MATCH(MAX(Reference!$A$6,MIN(Reference!$A$11,MIN($U139,180))),Reference!$A$6:$A$11,1))+1)-INDEX(Reference!$A$6:$A$11,MIN(5,MATCH(MAX(Reference!$A$6,MIN(Reference!$A$11,MIN($U139,180))),Reference!$A$6:$A$11,1))))),0)+IF(5&lt;=$AL139,($AL139-5+3)*(INDEX(Reference!$B$6:$B$11,MIN(5,MATCH(MAX(Reference!$A$6,MIN(Reference!$A$11,MIN($U139,210))),Reference!$A$6:$A$11,1)))+(MAX(Reference!$A$6,MIN(Reference!$A$11,MIN($U139,210)))-INDEX(Reference!$A$6:$A$11,MIN(5,MATCH(MAX(Reference!$A$6,MIN(Reference!$A$11,MIN($U139,210))),Reference!$A$6:$A$11,1))))*(INDEX(Reference!$B$6:$B$11,MIN(5,MATCH(MAX(Reference!$A$6,MIN(Reference!$A$11,MIN($U139,210))),Reference!$A$6:$A$11,1))+1)-INDEX(Reference!$B$6:$B$11,MIN(5,MATCH(MAX(Reference!$A$6,MIN(Reference!$A$11,MIN($U139,210))),Reference!$A$6:$A$11,1))))/(INDEX(Reference!$A$6:$A$11,MIN(5,MATCH(MAX(Reference!$A$6,MIN(Reference!$A$11,MIN($U139,210))),Reference!$A$6:$A$11,1))+1)-INDEX(Reference!$A$6:$A$11,MIN(5,MATCH(MAX(Reference!$A$6,MIN(Reference!$A$11,MIN($U139,210))),Reference!$A$6:$A$11,1))))),0)+IF(6&lt;=$AL139,($AL139-6+3)*(INDEX(Reference!$B$6:$B$11,MIN(5,MATCH(MAX(Reference!$A$6,MIN(Reference!$A$11,MIN($U139,240))),Reference!$A$6:$A$11,1)))+(MAX(Reference!$A$6,MIN(Reference!$A$11,MIN($U139,240)))-INDEX(Reference!$A$6:$A$11,MIN(5,MATCH(MAX(Reference!$A$6,MIN(Reference!$A$11,MIN($U139,240))),Reference!$A$6:$A$11,1))))*(INDEX(Reference!$B$6:$B$11,MIN(5,MATCH(MAX(Reference!$A$6,MIN(Reference!$A$11,MIN($U139,240))),Reference!$A$6:$A$11,1))+1)-INDEX(Reference!$B$6:$B$11,MIN(5,MATCH(MAX(Reference!$A$6,MIN(Reference!$A$11,MIN($U139,240))),Reference!$A$6:$A$11,1))))/(INDEX(Reference!$A$6:$A$11,MIN(5,MATCH(MAX(Reference!$A$6,MIN(Reference!$A$11,MIN($U139,240))),Reference!$A$6:$A$11,1))+1)-INDEX(Reference!$A$6:$A$11,MIN(5,MATCH(MAX(Reference!$A$6,MIN(Reference!$A$11,MIN($U139,240))),Reference!$A$6:$A$11,1))))),0)+IF(7&lt;=$AL139,($AL139-7+3)*(INDEX(Reference!$B$6:$B$11,MIN(5,MATCH(MAX(Reference!$A$6,MIN(Reference!$A$11,MIN($U139,270))),Reference!$A$6:$A$11,1)))+(MAX(Reference!$A$6,MIN(Reference!$A$11,MIN($U139,270)))-INDEX(Reference!$A$6:$A$11,MIN(5,MATCH(MAX(Reference!$A$6,MIN(Reference!$A$11,MIN($U139,270))),Reference!$A$6:$A$11,1))))*(INDEX(Reference!$B$6:$B$11,MIN(5,MATCH(MAX(Reference!$A$6,MIN(Reference!$A$11,MIN($U139,270))),Reference!$A$6:$A$11,1))+1)-INDEX(Reference!$B$6:$B$11,MIN(5,MATCH(MAX(Reference!$A$6,MIN(Reference!$A$11,MIN($U139,270))),Reference!$A$6:$A$11,1))))/(INDEX(Reference!$A$6:$A$11,MIN(5,MATCH(MAX(Reference!$A$6,MIN(Reference!$A$11,MIN($U139,270))),Reference!$A$6:$A$11,1))+1)-INDEX(Reference!$A$6:$A$11,MIN(5,MATCH(MAX(Reference!$A$6,MIN(Reference!$A$11,MIN($U139,270))),Reference!$A$6:$A$11,1))))),0)+IF(8&lt;=$AL139,($AL139-8+3)*(INDEX(Reference!$B$6:$B$11,MIN(5,MATCH(MAX(Reference!$A$6,MIN(Reference!$A$11,MIN($U139,300))),Reference!$A$6:$A$11,1)))+(MAX(Reference!$A$6,MIN(Reference!$A$11,MIN($U139,300)))-INDEX(Reference!$A$6:$A$11,MIN(5,MATCH(MAX(Reference!$A$6,MIN(Reference!$A$11,MIN($U139,300))),Reference!$A$6:$A$11,1))))*(INDEX(Reference!$B$6:$B$11,MIN(5,MATCH(MAX(Reference!$A$6,MIN(Reference!$A$11,MIN($U139,300))),Reference!$A$6:$A$11,1))+1)-INDEX(Reference!$B$6:$B$11,MIN(5,MATCH(MAX(Reference!$A$6,MIN(Reference!$A$11,MIN($U139,300))),Reference!$A$6:$A$11,1))))/(INDEX(Reference!$A$6:$A$11,MIN(5,MATCH(MAX(Reference!$A$6,MIN(Reference!$A$11,MIN($U139,300))),Reference!$A$6:$A$11,1))+1)-INDEX(Reference!$A$6:$A$11,MIN(5,MATCH(MAX(Reference!$A$6,MIN(Reference!$A$11,MIN($U139,300))),Reference!$A$6:$A$11,1))))),0))/($AL139*($AL139+5)/2)),$AN139))</f>
        <v>0</v>
      </c>
      <c r="AN139" s="32">
        <f>IF($U139="",0,(INDEX(Reference!$B$6:$B$11,MIN(5,MATCH(MAX(Reference!$A$6,MIN(Reference!$A$11,$U139)),Reference!$A$6:$A$11,1)))+(MAX(Reference!$A$6,MIN(Reference!$A$11,$U139))-INDEX(Reference!$A$6:$A$11,MIN(5,MATCH(MAX(Reference!$A$6,MIN(Reference!$A$11,$U139)),Reference!$A$6:$A$11,1))))*(INDEX(Reference!$B$6:$B$11,MIN(5,MATCH(MAX(Reference!$A$6,MIN(Reference!$A$11,$U139)),Reference!$A$6:$A$11,1))+1)-INDEX(Reference!$B$6:$B$11,MIN(5,MATCH(MAX(Reference!$A$6,MIN(Reference!$A$11,$U139)),Reference!$A$6:$A$11,1))))/(INDEX(Reference!$A$6:$A$11,MIN(5,MATCH(MAX(Reference!$A$6,MIN(Reference!$A$11,$U139)),Reference!$A$6:$A$11,1))+1)-INDEX(Reference!$A$6:$A$11,MIN(5,MATCH(MAX(Reference!$A$6,MIN(Reference!$A$11,$U139)),Reference!$A$6:$A$11,1))))))</f>
        <v>0</v>
      </c>
      <c r="AO139" s="37"/>
      <c r="AP139" s="37"/>
      <c r="AQ139" s="37"/>
    </row>
    <row r="140" spans="1:43" x14ac:dyDescent="0.3">
      <c r="A140" s="48" t="str">
        <f t="shared" si="80"/>
        <v/>
      </c>
      <c r="B140" s="32" t="str">
        <f t="shared" si="81"/>
        <v/>
      </c>
      <c r="C140" s="32" t="str">
        <f t="shared" si="82"/>
        <v/>
      </c>
      <c r="D140" s="32" t="str">
        <f t="shared" si="83"/>
        <v/>
      </c>
      <c r="E140" s="32" t="str">
        <f t="shared" si="84"/>
        <v/>
      </c>
      <c r="F140" s="32" t="str">
        <f t="shared" si="85"/>
        <v/>
      </c>
      <c r="G140" s="47" t="str">
        <f t="shared" si="86"/>
        <v/>
      </c>
      <c r="H140" s="30" t="str">
        <f t="shared" si="87"/>
        <v/>
      </c>
      <c r="I140" s="46" t="str">
        <f>IF($A140="","",IF(AND($L140&lt;27,$K$12=0),"Building",IFERROR(((SUM($H$134:$H140)+$K$12*IF($L140&lt;6,SUMIFS('Throw Log'!$Q$5:$Q$300,'Throw Log'!$B$5:$B$300,$D$4,'Throw Log'!$A$5:$A$300,"&gt;="&amp;($D$6+$L140-6),'Throw Log'!$A$5:$A$300,"&lt;="&amp;($D$6-1)),0))/7)/((SUM($H$113:$H140)+$K$12*IF($L140&lt;27,SUMIFS('Throw Log'!$Q$5:$Q$300,'Throw Log'!$B$5:$B$300,$D$4,'Throw Log'!$A$5:$A$300,"&gt;="&amp;($D$6+$L140-27),'Throw Log'!$A$5:$A$300,"&lt;="&amp;($D$6-1)),0))/28),"")))</f>
        <v/>
      </c>
      <c r="J140" s="37"/>
      <c r="K140" s="37"/>
      <c r="L140" s="32">
        <v>97</v>
      </c>
      <c r="M140" s="32">
        <f t="shared" si="88"/>
        <v>14</v>
      </c>
      <c r="N140" s="32">
        <f t="shared" si="89"/>
        <v>6</v>
      </c>
      <c r="O140" s="32">
        <f t="shared" si="90"/>
        <v>1</v>
      </c>
      <c r="P140" s="32" t="str">
        <f>IF(OR($A140="",N($C140)&lt;=7),"",$G$6*$G$9^($M140-1)*IF(AND(MOD($M140,Reference!$B$99)=0,$M140&lt;=$G$5-2),Reference!$B$100,1))</f>
        <v/>
      </c>
      <c r="Q140" s="32" t="str">
        <f>IF($P140="","",IF(SUM($AK$134:$AK$140)=0,0,$P140*INDEX(Reference!$B$108:$B$114,$N140+1)/SUM($AK$134:$AK$140)))</f>
        <v/>
      </c>
      <c r="R140" s="32">
        <f t="shared" si="91"/>
        <v>120</v>
      </c>
      <c r="S140" s="32">
        <f t="shared" si="92"/>
        <v>105</v>
      </c>
      <c r="T140" s="32" t="str">
        <f>IF($A140="","",IF($C140=0,"Bullpen",IF(OR($C140=7,$C140=1,$C140=5),"Recovery/Easy Catch",IF($C140=6,"Compression/Pulldowns",IF(OR($C140=4,$C140=2),"Long Toss",IF($C140=3,"No Throw",IF($N140=2,"No Throw",IF($N140=6,IF($O140&lt;Reference!$B$104,"No Throw","Recovery/Easy Catch"),IF(OR($N140=0,$N140=4),"Recovery/Easy Catch",IF($N140=1,IF($R140&gt;75,"Long Toss","Recovery/Easy Catch"),IF($N140=3,IF($O140&lt;0.5,IF($S140&gt;75,"Long Toss","Recovery/Easy Catch"),"Compression/Pulldowns"),IF($S140&gt;75,"Long Toss","Recovery/Easy Catch"))))))))))))</f>
        <v/>
      </c>
      <c r="U140" s="32" t="str">
        <f t="shared" si="93"/>
        <v/>
      </c>
      <c r="V140" s="32" t="str">
        <f t="shared" si="94"/>
        <v/>
      </c>
      <c r="W140" s="32" t="str">
        <f t="shared" si="95"/>
        <v/>
      </c>
      <c r="X140" s="32">
        <f t="shared" si="96"/>
        <v>0</v>
      </c>
      <c r="Y140" s="32" t="str">
        <f t="shared" si="97"/>
        <v/>
      </c>
      <c r="Z140" s="32" t="str">
        <f t="shared" si="98"/>
        <v/>
      </c>
      <c r="AA140" s="32" t="str">
        <f t="shared" si="99"/>
        <v/>
      </c>
      <c r="AB140" s="32" t="str">
        <f>IF($A140="","",IF($T140="No Throw",0,IF($K140&lt;&gt;"",$K140,IF($AA140&lt;&gt;"",ROUND($AA140*$D$12*IF($C140=0,1,$G$10),0),MIN(IF($T140="Recovery/Easy Catch",Reference!$B$103,IF($T140="Long Toss",Reference!$B$106,Reference!$B$102)),MAX(Reference!$B$101,ROUND(MAX(0,$Q140-$AE140)/$AF140,0)))))))</f>
        <v/>
      </c>
      <c r="AC140" s="32">
        <f t="shared" si="100"/>
        <v>0</v>
      </c>
      <c r="AD140" s="32" t="b">
        <f t="shared" si="101"/>
        <v>1</v>
      </c>
      <c r="AE140" s="32">
        <f>IF($X140=0,0,$X140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140+$Z140)/2,0),Reference!$A$17:$B$20,2,TRUE()))</f>
        <v>0</v>
      </c>
      <c r="AF140" s="32">
        <f>IF(OR($A140="",$U140="",$T140="No Throw"),0,$AM140*VLOOKUP(MAX(($V140+$W140)/2,0),Reference!$A$17:$B$20,2,TRUE()))</f>
        <v>0</v>
      </c>
      <c r="AG140" s="32">
        <f>IF($AC140=0,0,$AC140*INDEX(Reference!$B$61:$B$62,MATCH("Bullpen",Reference!$A$61:$A$62,0))*VLOOKUP(MAX($D$5-($D$9+$E$9)/2,0),Reference!$A$17:$B$20,2,TRUE()))</f>
        <v>0</v>
      </c>
      <c r="AH140" s="32" t="e">
        <f t="shared" si="102"/>
        <v>#N/A</v>
      </c>
      <c r="AI140" s="32" t="e">
        <f>IF($A140="",NA(),Reference!$A$25)</f>
        <v>#N/A</v>
      </c>
      <c r="AJ140" s="32" t="e">
        <f t="shared" si="103"/>
        <v>#N/A</v>
      </c>
      <c r="AK140" s="32">
        <f>IF(OR($A140="",N($C140)&lt;=7,$T140="No Throw",$J140="x"),0,INDEX(Reference!$B$108:$B$114,$N140+1))</f>
        <v>0</v>
      </c>
      <c r="AL140" s="32">
        <f t="shared" si="104"/>
        <v>1</v>
      </c>
      <c r="AM140" s="32">
        <f>IF($U140="",0,IF($AL140&gt;1,((IF(1&lt;=$AL140,($AL140-1+3)*(INDEX(Reference!$B$6:$B$11,MIN(5,MATCH(MAX(Reference!$A$6,MIN(Reference!$A$11,MIN($U140,90))),Reference!$A$6:$A$11,1)))+(MAX(Reference!$A$6,MIN(Reference!$A$11,MIN($U140,90)))-INDEX(Reference!$A$6:$A$11,MIN(5,MATCH(MAX(Reference!$A$6,MIN(Reference!$A$11,MIN($U140,90))),Reference!$A$6:$A$11,1))))*(INDEX(Reference!$B$6:$B$11,MIN(5,MATCH(MAX(Reference!$A$6,MIN(Reference!$A$11,MIN($U140,90))),Reference!$A$6:$A$11,1))+1)-INDEX(Reference!$B$6:$B$11,MIN(5,MATCH(MAX(Reference!$A$6,MIN(Reference!$A$11,MIN($U140,90))),Reference!$A$6:$A$11,1))))/(INDEX(Reference!$A$6:$A$11,MIN(5,MATCH(MAX(Reference!$A$6,MIN(Reference!$A$11,MIN($U140,90))),Reference!$A$6:$A$11,1))+1)-INDEX(Reference!$A$6:$A$11,MIN(5,MATCH(MAX(Reference!$A$6,MIN(Reference!$A$11,MIN($U140,90))),Reference!$A$6:$A$11,1))))),0)+IF(2&lt;=$AL140,($AL140-2+3)*(INDEX(Reference!$B$6:$B$11,MIN(5,MATCH(MAX(Reference!$A$6,MIN(Reference!$A$11,MIN($U140,120))),Reference!$A$6:$A$11,1)))+(MAX(Reference!$A$6,MIN(Reference!$A$11,MIN($U140,120)))-INDEX(Reference!$A$6:$A$11,MIN(5,MATCH(MAX(Reference!$A$6,MIN(Reference!$A$11,MIN($U140,120))),Reference!$A$6:$A$11,1))))*(INDEX(Reference!$B$6:$B$11,MIN(5,MATCH(MAX(Reference!$A$6,MIN(Reference!$A$11,MIN($U140,120))),Reference!$A$6:$A$11,1))+1)-INDEX(Reference!$B$6:$B$11,MIN(5,MATCH(MAX(Reference!$A$6,MIN(Reference!$A$11,MIN($U140,120))),Reference!$A$6:$A$11,1))))/(INDEX(Reference!$A$6:$A$11,MIN(5,MATCH(MAX(Reference!$A$6,MIN(Reference!$A$11,MIN($U140,120))),Reference!$A$6:$A$11,1))+1)-INDEX(Reference!$A$6:$A$11,MIN(5,MATCH(MAX(Reference!$A$6,MIN(Reference!$A$11,MIN($U140,120))),Reference!$A$6:$A$11,1))))),0)+IF(3&lt;=$AL140,($AL140-3+3)*(INDEX(Reference!$B$6:$B$11,MIN(5,MATCH(MAX(Reference!$A$6,MIN(Reference!$A$11,MIN($U140,150))),Reference!$A$6:$A$11,1)))+(MAX(Reference!$A$6,MIN(Reference!$A$11,MIN($U140,150)))-INDEX(Reference!$A$6:$A$11,MIN(5,MATCH(MAX(Reference!$A$6,MIN(Reference!$A$11,MIN($U140,150))),Reference!$A$6:$A$11,1))))*(INDEX(Reference!$B$6:$B$11,MIN(5,MATCH(MAX(Reference!$A$6,MIN(Reference!$A$11,MIN($U140,150))),Reference!$A$6:$A$11,1))+1)-INDEX(Reference!$B$6:$B$11,MIN(5,MATCH(MAX(Reference!$A$6,MIN(Reference!$A$11,MIN($U140,150))),Reference!$A$6:$A$11,1))))/(INDEX(Reference!$A$6:$A$11,MIN(5,MATCH(MAX(Reference!$A$6,MIN(Reference!$A$11,MIN($U140,150))),Reference!$A$6:$A$11,1))+1)-INDEX(Reference!$A$6:$A$11,MIN(5,MATCH(MAX(Reference!$A$6,MIN(Reference!$A$11,MIN($U140,150))),Reference!$A$6:$A$11,1))))),0)+IF(4&lt;=$AL140,($AL140-4+3)*(INDEX(Reference!$B$6:$B$11,MIN(5,MATCH(MAX(Reference!$A$6,MIN(Reference!$A$11,MIN($U140,180))),Reference!$A$6:$A$11,1)))+(MAX(Reference!$A$6,MIN(Reference!$A$11,MIN($U140,180)))-INDEX(Reference!$A$6:$A$11,MIN(5,MATCH(MAX(Reference!$A$6,MIN(Reference!$A$11,MIN($U140,180))),Reference!$A$6:$A$11,1))))*(INDEX(Reference!$B$6:$B$11,MIN(5,MATCH(MAX(Reference!$A$6,MIN(Reference!$A$11,MIN($U140,180))),Reference!$A$6:$A$11,1))+1)-INDEX(Reference!$B$6:$B$11,MIN(5,MATCH(MAX(Reference!$A$6,MIN(Reference!$A$11,MIN($U140,180))),Reference!$A$6:$A$11,1))))/(INDEX(Reference!$A$6:$A$11,MIN(5,MATCH(MAX(Reference!$A$6,MIN(Reference!$A$11,MIN($U140,180))),Reference!$A$6:$A$11,1))+1)-INDEX(Reference!$A$6:$A$11,MIN(5,MATCH(MAX(Reference!$A$6,MIN(Reference!$A$11,MIN($U140,180))),Reference!$A$6:$A$11,1))))),0)+IF(5&lt;=$AL140,($AL140-5+3)*(INDEX(Reference!$B$6:$B$11,MIN(5,MATCH(MAX(Reference!$A$6,MIN(Reference!$A$11,MIN($U140,210))),Reference!$A$6:$A$11,1)))+(MAX(Reference!$A$6,MIN(Reference!$A$11,MIN($U140,210)))-INDEX(Reference!$A$6:$A$11,MIN(5,MATCH(MAX(Reference!$A$6,MIN(Reference!$A$11,MIN($U140,210))),Reference!$A$6:$A$11,1))))*(INDEX(Reference!$B$6:$B$11,MIN(5,MATCH(MAX(Reference!$A$6,MIN(Reference!$A$11,MIN($U140,210))),Reference!$A$6:$A$11,1))+1)-INDEX(Reference!$B$6:$B$11,MIN(5,MATCH(MAX(Reference!$A$6,MIN(Reference!$A$11,MIN($U140,210))),Reference!$A$6:$A$11,1))))/(INDEX(Reference!$A$6:$A$11,MIN(5,MATCH(MAX(Reference!$A$6,MIN(Reference!$A$11,MIN($U140,210))),Reference!$A$6:$A$11,1))+1)-INDEX(Reference!$A$6:$A$11,MIN(5,MATCH(MAX(Reference!$A$6,MIN(Reference!$A$11,MIN($U140,210))),Reference!$A$6:$A$11,1))))),0)+IF(6&lt;=$AL140,($AL140-6+3)*(INDEX(Reference!$B$6:$B$11,MIN(5,MATCH(MAX(Reference!$A$6,MIN(Reference!$A$11,MIN($U140,240))),Reference!$A$6:$A$11,1)))+(MAX(Reference!$A$6,MIN(Reference!$A$11,MIN($U140,240)))-INDEX(Reference!$A$6:$A$11,MIN(5,MATCH(MAX(Reference!$A$6,MIN(Reference!$A$11,MIN($U140,240))),Reference!$A$6:$A$11,1))))*(INDEX(Reference!$B$6:$B$11,MIN(5,MATCH(MAX(Reference!$A$6,MIN(Reference!$A$11,MIN($U140,240))),Reference!$A$6:$A$11,1))+1)-INDEX(Reference!$B$6:$B$11,MIN(5,MATCH(MAX(Reference!$A$6,MIN(Reference!$A$11,MIN($U140,240))),Reference!$A$6:$A$11,1))))/(INDEX(Reference!$A$6:$A$11,MIN(5,MATCH(MAX(Reference!$A$6,MIN(Reference!$A$11,MIN($U140,240))),Reference!$A$6:$A$11,1))+1)-INDEX(Reference!$A$6:$A$11,MIN(5,MATCH(MAX(Reference!$A$6,MIN(Reference!$A$11,MIN($U140,240))),Reference!$A$6:$A$11,1))))),0)+IF(7&lt;=$AL140,($AL140-7+3)*(INDEX(Reference!$B$6:$B$11,MIN(5,MATCH(MAX(Reference!$A$6,MIN(Reference!$A$11,MIN($U140,270))),Reference!$A$6:$A$11,1)))+(MAX(Reference!$A$6,MIN(Reference!$A$11,MIN($U140,270)))-INDEX(Reference!$A$6:$A$11,MIN(5,MATCH(MAX(Reference!$A$6,MIN(Reference!$A$11,MIN($U140,270))),Reference!$A$6:$A$11,1))))*(INDEX(Reference!$B$6:$B$11,MIN(5,MATCH(MAX(Reference!$A$6,MIN(Reference!$A$11,MIN($U140,270))),Reference!$A$6:$A$11,1))+1)-INDEX(Reference!$B$6:$B$11,MIN(5,MATCH(MAX(Reference!$A$6,MIN(Reference!$A$11,MIN($U140,270))),Reference!$A$6:$A$11,1))))/(INDEX(Reference!$A$6:$A$11,MIN(5,MATCH(MAX(Reference!$A$6,MIN(Reference!$A$11,MIN($U140,270))),Reference!$A$6:$A$11,1))+1)-INDEX(Reference!$A$6:$A$11,MIN(5,MATCH(MAX(Reference!$A$6,MIN(Reference!$A$11,MIN($U140,270))),Reference!$A$6:$A$11,1))))),0)+IF(8&lt;=$AL140,($AL140-8+3)*(INDEX(Reference!$B$6:$B$11,MIN(5,MATCH(MAX(Reference!$A$6,MIN(Reference!$A$11,MIN($U140,300))),Reference!$A$6:$A$11,1)))+(MAX(Reference!$A$6,MIN(Reference!$A$11,MIN($U140,300)))-INDEX(Reference!$A$6:$A$11,MIN(5,MATCH(MAX(Reference!$A$6,MIN(Reference!$A$11,MIN($U140,300))),Reference!$A$6:$A$11,1))))*(INDEX(Reference!$B$6:$B$11,MIN(5,MATCH(MAX(Reference!$A$6,MIN(Reference!$A$11,MIN($U140,300))),Reference!$A$6:$A$11,1))+1)-INDEX(Reference!$B$6:$B$11,MIN(5,MATCH(MAX(Reference!$A$6,MIN(Reference!$A$11,MIN($U140,300))),Reference!$A$6:$A$11,1))))/(INDEX(Reference!$A$6:$A$11,MIN(5,MATCH(MAX(Reference!$A$6,MIN(Reference!$A$11,MIN($U140,300))),Reference!$A$6:$A$11,1))+1)-INDEX(Reference!$A$6:$A$11,MIN(5,MATCH(MAX(Reference!$A$6,MIN(Reference!$A$11,MIN($U140,300))),Reference!$A$6:$A$11,1))))),0))/($AL140*($AL140+5)/2)),$AN140))</f>
        <v>0</v>
      </c>
      <c r="AN140" s="32">
        <f>IF($U140="",0,(INDEX(Reference!$B$6:$B$11,MIN(5,MATCH(MAX(Reference!$A$6,MIN(Reference!$A$11,$U140)),Reference!$A$6:$A$11,1)))+(MAX(Reference!$A$6,MIN(Reference!$A$11,$U140))-INDEX(Reference!$A$6:$A$11,MIN(5,MATCH(MAX(Reference!$A$6,MIN(Reference!$A$11,$U140)),Reference!$A$6:$A$11,1))))*(INDEX(Reference!$B$6:$B$11,MIN(5,MATCH(MAX(Reference!$A$6,MIN(Reference!$A$11,$U140)),Reference!$A$6:$A$11,1))+1)-INDEX(Reference!$B$6:$B$11,MIN(5,MATCH(MAX(Reference!$A$6,MIN(Reference!$A$11,$U140)),Reference!$A$6:$A$11,1))))/(INDEX(Reference!$A$6:$A$11,MIN(5,MATCH(MAX(Reference!$A$6,MIN(Reference!$A$11,$U140)),Reference!$A$6:$A$11,1))+1)-INDEX(Reference!$A$6:$A$11,MIN(5,MATCH(MAX(Reference!$A$6,MIN(Reference!$A$11,$U140)),Reference!$A$6:$A$11,1))))))</f>
        <v>0</v>
      </c>
      <c r="AO140" s="37"/>
      <c r="AP140" s="37"/>
      <c r="AQ140" s="37"/>
    </row>
    <row r="141" spans="1:43" x14ac:dyDescent="0.3">
      <c r="A141" s="48" t="str">
        <f t="shared" si="80"/>
        <v/>
      </c>
      <c r="B141" s="32" t="str">
        <f t="shared" si="81"/>
        <v/>
      </c>
      <c r="C141" s="32" t="str">
        <f t="shared" si="82"/>
        <v/>
      </c>
      <c r="D141" s="32" t="str">
        <f t="shared" si="83"/>
        <v/>
      </c>
      <c r="E141" s="32" t="str">
        <f t="shared" si="84"/>
        <v/>
      </c>
      <c r="F141" s="32" t="str">
        <f t="shared" si="85"/>
        <v/>
      </c>
      <c r="G141" s="47" t="str">
        <f t="shared" si="86"/>
        <v/>
      </c>
      <c r="H141" s="30" t="str">
        <f t="shared" si="87"/>
        <v/>
      </c>
      <c r="I141" s="46" t="str">
        <f>IF($A141="","",IF(AND($L141&lt;27,$K$12=0),"Building",IFERROR(((SUM($H$135:$H141)+$K$12*IF($L141&lt;6,SUMIFS('Throw Log'!$Q$5:$Q$300,'Throw Log'!$B$5:$B$300,$D$4,'Throw Log'!$A$5:$A$300,"&gt;="&amp;($D$6+$L141-6),'Throw Log'!$A$5:$A$300,"&lt;="&amp;($D$6-1)),0))/7)/((SUM($H$114:$H141)+$K$12*IF($L141&lt;27,SUMIFS('Throw Log'!$Q$5:$Q$300,'Throw Log'!$B$5:$B$300,$D$4,'Throw Log'!$A$5:$A$300,"&gt;="&amp;($D$6+$L141-27),'Throw Log'!$A$5:$A$300,"&lt;="&amp;($D$6-1)),0))/28),"")))</f>
        <v/>
      </c>
      <c r="J141" s="37"/>
      <c r="K141" s="37"/>
      <c r="L141" s="32">
        <v>98</v>
      </c>
      <c r="M141" s="32">
        <f t="shared" si="88"/>
        <v>15</v>
      </c>
      <c r="N141" s="32">
        <f t="shared" si="89"/>
        <v>0</v>
      </c>
      <c r="O141" s="32">
        <f t="shared" si="90"/>
        <v>1</v>
      </c>
      <c r="P141" s="32" t="str">
        <f>IF(OR($A141="",N($C141)&lt;=7),"",$G$6*$G$9^($M141-1)*IF(AND(MOD($M141,Reference!$B$99)=0,$M141&lt;=$G$5-2),Reference!$B$100,1))</f>
        <v/>
      </c>
      <c r="Q141" s="32" t="str">
        <f>IF($P141="","",IF(SUM($AK$141:$AK$147)=0,0,$P141*INDEX(Reference!$B$108:$B$114,$N141+1)/SUM($AK$141:$AK$147)))</f>
        <v/>
      </c>
      <c r="R141" s="32">
        <f t="shared" si="91"/>
        <v>120</v>
      </c>
      <c r="S141" s="32">
        <f t="shared" si="92"/>
        <v>105</v>
      </c>
      <c r="T141" s="32" t="str">
        <f>IF($A141="","",IF($C141=0,"Bullpen",IF(OR($C141=7,$C141=1,$C141=5),"Recovery/Easy Catch",IF($C141=6,"Compression/Pulldowns",IF(OR($C141=4,$C141=2),"Long Toss",IF($C141=3,"No Throw",IF($N141=2,"No Throw",IF($N141=6,IF($O141&lt;Reference!$B$104,"No Throw","Recovery/Easy Catch"),IF(OR($N141=0,$N141=4),"Recovery/Easy Catch",IF($N141=1,IF($R141&gt;75,"Long Toss","Recovery/Easy Catch"),IF($N141=3,IF($O141&lt;0.5,IF($S141&gt;75,"Long Toss","Recovery/Easy Catch"),"Compression/Pulldowns"),IF($S141&gt;75,"Long Toss","Recovery/Easy Catch"))))))))))))</f>
        <v/>
      </c>
      <c r="U141" s="32" t="str">
        <f t="shared" si="93"/>
        <v/>
      </c>
      <c r="V141" s="32" t="str">
        <f t="shared" si="94"/>
        <v/>
      </c>
      <c r="W141" s="32" t="str">
        <f t="shared" si="95"/>
        <v/>
      </c>
      <c r="X141" s="32">
        <f t="shared" si="96"/>
        <v>0</v>
      </c>
      <c r="Y141" s="32" t="str">
        <f t="shared" si="97"/>
        <v/>
      </c>
      <c r="Z141" s="32" t="str">
        <f t="shared" si="98"/>
        <v/>
      </c>
      <c r="AA141" s="32" t="str">
        <f t="shared" si="99"/>
        <v/>
      </c>
      <c r="AB141" s="32" t="str">
        <f>IF($A141="","",IF($T141="No Throw",0,IF($K141&lt;&gt;"",$K141,IF($AA141&lt;&gt;"",ROUND($AA141*$D$12*IF($C141=0,1,$G$10),0),MIN(IF($T141="Recovery/Easy Catch",Reference!$B$103,IF($T141="Long Toss",Reference!$B$106,Reference!$B$102)),MAX(Reference!$B$101,ROUND(MAX(0,$Q141-$AE141)/$AF141,0)))))))</f>
        <v/>
      </c>
      <c r="AC141" s="32">
        <f t="shared" si="100"/>
        <v>0</v>
      </c>
      <c r="AD141" s="32" t="b">
        <f t="shared" si="101"/>
        <v>1</v>
      </c>
      <c r="AE141" s="32">
        <f>IF($X141=0,0,$X141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141+$Z141)/2,0),Reference!$A$17:$B$20,2,TRUE()))</f>
        <v>0</v>
      </c>
      <c r="AF141" s="32">
        <f>IF(OR($A141="",$U141="",$T141="No Throw"),0,$AM141*VLOOKUP(MAX(($V141+$W141)/2,0),Reference!$A$17:$B$20,2,TRUE()))</f>
        <v>0</v>
      </c>
      <c r="AG141" s="32">
        <f>IF($AC141=0,0,$AC141*INDEX(Reference!$B$61:$B$62,MATCH("Bullpen",Reference!$A$61:$A$62,0))*VLOOKUP(MAX($D$5-($D$9+$E$9)/2,0),Reference!$A$17:$B$20,2,TRUE()))</f>
        <v>0</v>
      </c>
      <c r="AH141" s="32" t="e">
        <f t="shared" si="102"/>
        <v>#N/A</v>
      </c>
      <c r="AI141" s="32" t="e">
        <f>IF($A141="",NA(),Reference!$A$25)</f>
        <v>#N/A</v>
      </c>
      <c r="AJ141" s="32" t="e">
        <f t="shared" si="103"/>
        <v>#N/A</v>
      </c>
      <c r="AK141" s="32">
        <f>IF(OR($A141="",N($C141)&lt;=7,$T141="No Throw",$J141="x"),0,INDEX(Reference!$B$108:$B$114,$N141+1))</f>
        <v>0</v>
      </c>
      <c r="AL141" s="32">
        <f t="shared" si="104"/>
        <v>1</v>
      </c>
      <c r="AM141" s="32">
        <f>IF($U141="",0,IF($AL141&gt;1,((IF(1&lt;=$AL141,($AL141-1+3)*(INDEX(Reference!$B$6:$B$11,MIN(5,MATCH(MAX(Reference!$A$6,MIN(Reference!$A$11,MIN($U141,90))),Reference!$A$6:$A$11,1)))+(MAX(Reference!$A$6,MIN(Reference!$A$11,MIN($U141,90)))-INDEX(Reference!$A$6:$A$11,MIN(5,MATCH(MAX(Reference!$A$6,MIN(Reference!$A$11,MIN($U141,90))),Reference!$A$6:$A$11,1))))*(INDEX(Reference!$B$6:$B$11,MIN(5,MATCH(MAX(Reference!$A$6,MIN(Reference!$A$11,MIN($U141,90))),Reference!$A$6:$A$11,1))+1)-INDEX(Reference!$B$6:$B$11,MIN(5,MATCH(MAX(Reference!$A$6,MIN(Reference!$A$11,MIN($U141,90))),Reference!$A$6:$A$11,1))))/(INDEX(Reference!$A$6:$A$11,MIN(5,MATCH(MAX(Reference!$A$6,MIN(Reference!$A$11,MIN($U141,90))),Reference!$A$6:$A$11,1))+1)-INDEX(Reference!$A$6:$A$11,MIN(5,MATCH(MAX(Reference!$A$6,MIN(Reference!$A$11,MIN($U141,90))),Reference!$A$6:$A$11,1))))),0)+IF(2&lt;=$AL141,($AL141-2+3)*(INDEX(Reference!$B$6:$B$11,MIN(5,MATCH(MAX(Reference!$A$6,MIN(Reference!$A$11,MIN($U141,120))),Reference!$A$6:$A$11,1)))+(MAX(Reference!$A$6,MIN(Reference!$A$11,MIN($U141,120)))-INDEX(Reference!$A$6:$A$11,MIN(5,MATCH(MAX(Reference!$A$6,MIN(Reference!$A$11,MIN($U141,120))),Reference!$A$6:$A$11,1))))*(INDEX(Reference!$B$6:$B$11,MIN(5,MATCH(MAX(Reference!$A$6,MIN(Reference!$A$11,MIN($U141,120))),Reference!$A$6:$A$11,1))+1)-INDEX(Reference!$B$6:$B$11,MIN(5,MATCH(MAX(Reference!$A$6,MIN(Reference!$A$11,MIN($U141,120))),Reference!$A$6:$A$11,1))))/(INDEX(Reference!$A$6:$A$11,MIN(5,MATCH(MAX(Reference!$A$6,MIN(Reference!$A$11,MIN($U141,120))),Reference!$A$6:$A$11,1))+1)-INDEX(Reference!$A$6:$A$11,MIN(5,MATCH(MAX(Reference!$A$6,MIN(Reference!$A$11,MIN($U141,120))),Reference!$A$6:$A$11,1))))),0)+IF(3&lt;=$AL141,($AL141-3+3)*(INDEX(Reference!$B$6:$B$11,MIN(5,MATCH(MAX(Reference!$A$6,MIN(Reference!$A$11,MIN($U141,150))),Reference!$A$6:$A$11,1)))+(MAX(Reference!$A$6,MIN(Reference!$A$11,MIN($U141,150)))-INDEX(Reference!$A$6:$A$11,MIN(5,MATCH(MAX(Reference!$A$6,MIN(Reference!$A$11,MIN($U141,150))),Reference!$A$6:$A$11,1))))*(INDEX(Reference!$B$6:$B$11,MIN(5,MATCH(MAX(Reference!$A$6,MIN(Reference!$A$11,MIN($U141,150))),Reference!$A$6:$A$11,1))+1)-INDEX(Reference!$B$6:$B$11,MIN(5,MATCH(MAX(Reference!$A$6,MIN(Reference!$A$11,MIN($U141,150))),Reference!$A$6:$A$11,1))))/(INDEX(Reference!$A$6:$A$11,MIN(5,MATCH(MAX(Reference!$A$6,MIN(Reference!$A$11,MIN($U141,150))),Reference!$A$6:$A$11,1))+1)-INDEX(Reference!$A$6:$A$11,MIN(5,MATCH(MAX(Reference!$A$6,MIN(Reference!$A$11,MIN($U141,150))),Reference!$A$6:$A$11,1))))),0)+IF(4&lt;=$AL141,($AL141-4+3)*(INDEX(Reference!$B$6:$B$11,MIN(5,MATCH(MAX(Reference!$A$6,MIN(Reference!$A$11,MIN($U141,180))),Reference!$A$6:$A$11,1)))+(MAX(Reference!$A$6,MIN(Reference!$A$11,MIN($U141,180)))-INDEX(Reference!$A$6:$A$11,MIN(5,MATCH(MAX(Reference!$A$6,MIN(Reference!$A$11,MIN($U141,180))),Reference!$A$6:$A$11,1))))*(INDEX(Reference!$B$6:$B$11,MIN(5,MATCH(MAX(Reference!$A$6,MIN(Reference!$A$11,MIN($U141,180))),Reference!$A$6:$A$11,1))+1)-INDEX(Reference!$B$6:$B$11,MIN(5,MATCH(MAX(Reference!$A$6,MIN(Reference!$A$11,MIN($U141,180))),Reference!$A$6:$A$11,1))))/(INDEX(Reference!$A$6:$A$11,MIN(5,MATCH(MAX(Reference!$A$6,MIN(Reference!$A$11,MIN($U141,180))),Reference!$A$6:$A$11,1))+1)-INDEX(Reference!$A$6:$A$11,MIN(5,MATCH(MAX(Reference!$A$6,MIN(Reference!$A$11,MIN($U141,180))),Reference!$A$6:$A$11,1))))),0)+IF(5&lt;=$AL141,($AL141-5+3)*(INDEX(Reference!$B$6:$B$11,MIN(5,MATCH(MAX(Reference!$A$6,MIN(Reference!$A$11,MIN($U141,210))),Reference!$A$6:$A$11,1)))+(MAX(Reference!$A$6,MIN(Reference!$A$11,MIN($U141,210)))-INDEX(Reference!$A$6:$A$11,MIN(5,MATCH(MAX(Reference!$A$6,MIN(Reference!$A$11,MIN($U141,210))),Reference!$A$6:$A$11,1))))*(INDEX(Reference!$B$6:$B$11,MIN(5,MATCH(MAX(Reference!$A$6,MIN(Reference!$A$11,MIN($U141,210))),Reference!$A$6:$A$11,1))+1)-INDEX(Reference!$B$6:$B$11,MIN(5,MATCH(MAX(Reference!$A$6,MIN(Reference!$A$11,MIN($U141,210))),Reference!$A$6:$A$11,1))))/(INDEX(Reference!$A$6:$A$11,MIN(5,MATCH(MAX(Reference!$A$6,MIN(Reference!$A$11,MIN($U141,210))),Reference!$A$6:$A$11,1))+1)-INDEX(Reference!$A$6:$A$11,MIN(5,MATCH(MAX(Reference!$A$6,MIN(Reference!$A$11,MIN($U141,210))),Reference!$A$6:$A$11,1))))),0)+IF(6&lt;=$AL141,($AL141-6+3)*(INDEX(Reference!$B$6:$B$11,MIN(5,MATCH(MAX(Reference!$A$6,MIN(Reference!$A$11,MIN($U141,240))),Reference!$A$6:$A$11,1)))+(MAX(Reference!$A$6,MIN(Reference!$A$11,MIN($U141,240)))-INDEX(Reference!$A$6:$A$11,MIN(5,MATCH(MAX(Reference!$A$6,MIN(Reference!$A$11,MIN($U141,240))),Reference!$A$6:$A$11,1))))*(INDEX(Reference!$B$6:$B$11,MIN(5,MATCH(MAX(Reference!$A$6,MIN(Reference!$A$11,MIN($U141,240))),Reference!$A$6:$A$11,1))+1)-INDEX(Reference!$B$6:$B$11,MIN(5,MATCH(MAX(Reference!$A$6,MIN(Reference!$A$11,MIN($U141,240))),Reference!$A$6:$A$11,1))))/(INDEX(Reference!$A$6:$A$11,MIN(5,MATCH(MAX(Reference!$A$6,MIN(Reference!$A$11,MIN($U141,240))),Reference!$A$6:$A$11,1))+1)-INDEX(Reference!$A$6:$A$11,MIN(5,MATCH(MAX(Reference!$A$6,MIN(Reference!$A$11,MIN($U141,240))),Reference!$A$6:$A$11,1))))),0)+IF(7&lt;=$AL141,($AL141-7+3)*(INDEX(Reference!$B$6:$B$11,MIN(5,MATCH(MAX(Reference!$A$6,MIN(Reference!$A$11,MIN($U141,270))),Reference!$A$6:$A$11,1)))+(MAX(Reference!$A$6,MIN(Reference!$A$11,MIN($U141,270)))-INDEX(Reference!$A$6:$A$11,MIN(5,MATCH(MAX(Reference!$A$6,MIN(Reference!$A$11,MIN($U141,270))),Reference!$A$6:$A$11,1))))*(INDEX(Reference!$B$6:$B$11,MIN(5,MATCH(MAX(Reference!$A$6,MIN(Reference!$A$11,MIN($U141,270))),Reference!$A$6:$A$11,1))+1)-INDEX(Reference!$B$6:$B$11,MIN(5,MATCH(MAX(Reference!$A$6,MIN(Reference!$A$11,MIN($U141,270))),Reference!$A$6:$A$11,1))))/(INDEX(Reference!$A$6:$A$11,MIN(5,MATCH(MAX(Reference!$A$6,MIN(Reference!$A$11,MIN($U141,270))),Reference!$A$6:$A$11,1))+1)-INDEX(Reference!$A$6:$A$11,MIN(5,MATCH(MAX(Reference!$A$6,MIN(Reference!$A$11,MIN($U141,270))),Reference!$A$6:$A$11,1))))),0)+IF(8&lt;=$AL141,($AL141-8+3)*(INDEX(Reference!$B$6:$B$11,MIN(5,MATCH(MAX(Reference!$A$6,MIN(Reference!$A$11,MIN($U141,300))),Reference!$A$6:$A$11,1)))+(MAX(Reference!$A$6,MIN(Reference!$A$11,MIN($U141,300)))-INDEX(Reference!$A$6:$A$11,MIN(5,MATCH(MAX(Reference!$A$6,MIN(Reference!$A$11,MIN($U141,300))),Reference!$A$6:$A$11,1))))*(INDEX(Reference!$B$6:$B$11,MIN(5,MATCH(MAX(Reference!$A$6,MIN(Reference!$A$11,MIN($U141,300))),Reference!$A$6:$A$11,1))+1)-INDEX(Reference!$B$6:$B$11,MIN(5,MATCH(MAX(Reference!$A$6,MIN(Reference!$A$11,MIN($U141,300))),Reference!$A$6:$A$11,1))))/(INDEX(Reference!$A$6:$A$11,MIN(5,MATCH(MAX(Reference!$A$6,MIN(Reference!$A$11,MIN($U141,300))),Reference!$A$6:$A$11,1))+1)-INDEX(Reference!$A$6:$A$11,MIN(5,MATCH(MAX(Reference!$A$6,MIN(Reference!$A$11,MIN($U141,300))),Reference!$A$6:$A$11,1))))),0))/($AL141*($AL141+5)/2)),$AN141))</f>
        <v>0</v>
      </c>
      <c r="AN141" s="32">
        <f>IF($U141="",0,(INDEX(Reference!$B$6:$B$11,MIN(5,MATCH(MAX(Reference!$A$6,MIN(Reference!$A$11,$U141)),Reference!$A$6:$A$11,1)))+(MAX(Reference!$A$6,MIN(Reference!$A$11,$U141))-INDEX(Reference!$A$6:$A$11,MIN(5,MATCH(MAX(Reference!$A$6,MIN(Reference!$A$11,$U141)),Reference!$A$6:$A$11,1))))*(INDEX(Reference!$B$6:$B$11,MIN(5,MATCH(MAX(Reference!$A$6,MIN(Reference!$A$11,$U141)),Reference!$A$6:$A$11,1))+1)-INDEX(Reference!$B$6:$B$11,MIN(5,MATCH(MAX(Reference!$A$6,MIN(Reference!$A$11,$U141)),Reference!$A$6:$A$11,1))))/(INDEX(Reference!$A$6:$A$11,MIN(5,MATCH(MAX(Reference!$A$6,MIN(Reference!$A$11,$U141)),Reference!$A$6:$A$11,1))+1)-INDEX(Reference!$A$6:$A$11,MIN(5,MATCH(MAX(Reference!$A$6,MIN(Reference!$A$11,$U141)),Reference!$A$6:$A$11,1))))))</f>
        <v>0</v>
      </c>
      <c r="AO141" s="37"/>
      <c r="AP141" s="37"/>
      <c r="AQ141" s="37"/>
    </row>
    <row r="142" spans="1:43" x14ac:dyDescent="0.3">
      <c r="A142" s="48" t="str">
        <f t="shared" si="80"/>
        <v/>
      </c>
      <c r="B142" s="32" t="str">
        <f t="shared" si="81"/>
        <v/>
      </c>
      <c r="C142" s="32" t="str">
        <f t="shared" si="82"/>
        <v/>
      </c>
      <c r="D142" s="32" t="str">
        <f t="shared" si="83"/>
        <v/>
      </c>
      <c r="E142" s="32" t="str">
        <f t="shared" si="84"/>
        <v/>
      </c>
      <c r="F142" s="32" t="str">
        <f t="shared" si="85"/>
        <v/>
      </c>
      <c r="G142" s="47" t="str">
        <f t="shared" si="86"/>
        <v/>
      </c>
      <c r="H142" s="30" t="str">
        <f t="shared" si="87"/>
        <v/>
      </c>
      <c r="I142" s="46" t="str">
        <f>IF($A142="","",IF(AND($L142&lt;27,$K$12=0),"Building",IFERROR(((SUM($H$136:$H142)+$K$12*IF($L142&lt;6,SUMIFS('Throw Log'!$Q$5:$Q$300,'Throw Log'!$B$5:$B$300,$D$4,'Throw Log'!$A$5:$A$300,"&gt;="&amp;($D$6+$L142-6),'Throw Log'!$A$5:$A$300,"&lt;="&amp;($D$6-1)),0))/7)/((SUM($H$115:$H142)+$K$12*IF($L142&lt;27,SUMIFS('Throw Log'!$Q$5:$Q$300,'Throw Log'!$B$5:$B$300,$D$4,'Throw Log'!$A$5:$A$300,"&gt;="&amp;($D$6+$L142-27),'Throw Log'!$A$5:$A$300,"&lt;="&amp;($D$6-1)),0))/28),"")))</f>
        <v/>
      </c>
      <c r="J142" s="37"/>
      <c r="K142" s="37"/>
      <c r="L142" s="32">
        <v>99</v>
      </c>
      <c r="M142" s="32">
        <f t="shared" si="88"/>
        <v>15</v>
      </c>
      <c r="N142" s="32">
        <f t="shared" si="89"/>
        <v>1</v>
      </c>
      <c r="O142" s="32">
        <f t="shared" si="90"/>
        <v>1</v>
      </c>
      <c r="P142" s="32" t="str">
        <f>IF(OR($A142="",N($C142)&lt;=7),"",$G$6*$G$9^($M142-1)*IF(AND(MOD($M142,Reference!$B$99)=0,$M142&lt;=$G$5-2),Reference!$B$100,1))</f>
        <v/>
      </c>
      <c r="Q142" s="32" t="str">
        <f>IF($P142="","",IF(SUM($AK$141:$AK$147)=0,0,$P142*INDEX(Reference!$B$108:$B$114,$N142+1)/SUM($AK$141:$AK$147)))</f>
        <v/>
      </c>
      <c r="R142" s="32">
        <f t="shared" si="91"/>
        <v>120</v>
      </c>
      <c r="S142" s="32">
        <f t="shared" si="92"/>
        <v>105</v>
      </c>
      <c r="T142" s="32" t="str">
        <f>IF($A142="","",IF($C142=0,"Bullpen",IF(OR($C142=7,$C142=1,$C142=5),"Recovery/Easy Catch",IF($C142=6,"Compression/Pulldowns",IF(OR($C142=4,$C142=2),"Long Toss",IF($C142=3,"No Throw",IF($N142=2,"No Throw",IF($N142=6,IF($O142&lt;Reference!$B$104,"No Throw","Recovery/Easy Catch"),IF(OR($N142=0,$N142=4),"Recovery/Easy Catch",IF($N142=1,IF($R142&gt;75,"Long Toss","Recovery/Easy Catch"),IF($N142=3,IF($O142&lt;0.5,IF($S142&gt;75,"Long Toss","Recovery/Easy Catch"),"Compression/Pulldowns"),IF($S142&gt;75,"Long Toss","Recovery/Easy Catch"))))))))))))</f>
        <v/>
      </c>
      <c r="U142" s="32" t="str">
        <f t="shared" si="93"/>
        <v/>
      </c>
      <c r="V142" s="32" t="str">
        <f t="shared" si="94"/>
        <v/>
      </c>
      <c r="W142" s="32" t="str">
        <f t="shared" si="95"/>
        <v/>
      </c>
      <c r="X142" s="32">
        <f t="shared" si="96"/>
        <v>0</v>
      </c>
      <c r="Y142" s="32" t="str">
        <f t="shared" si="97"/>
        <v/>
      </c>
      <c r="Z142" s="32" t="str">
        <f t="shared" si="98"/>
        <v/>
      </c>
      <c r="AA142" s="32" t="str">
        <f t="shared" si="99"/>
        <v/>
      </c>
      <c r="AB142" s="32" t="str">
        <f>IF($A142="","",IF($T142="No Throw",0,IF($K142&lt;&gt;"",$K142,IF($AA142&lt;&gt;"",ROUND($AA142*$D$12*IF($C142=0,1,$G$10),0),MIN(IF($T142="Recovery/Easy Catch",Reference!$B$103,IF($T142="Long Toss",Reference!$B$106,Reference!$B$102)),MAX(Reference!$B$101,ROUND(MAX(0,$Q142-$AE142)/$AF142,0)))))))</f>
        <v/>
      </c>
      <c r="AC142" s="32">
        <f t="shared" si="100"/>
        <v>0</v>
      </c>
      <c r="AD142" s="32" t="b">
        <f t="shared" si="101"/>
        <v>1</v>
      </c>
      <c r="AE142" s="32">
        <f>IF($X142=0,0,$X142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142+$Z142)/2,0),Reference!$A$17:$B$20,2,TRUE()))</f>
        <v>0</v>
      </c>
      <c r="AF142" s="32">
        <f>IF(OR($A142="",$U142="",$T142="No Throw"),0,$AM142*VLOOKUP(MAX(($V142+$W142)/2,0),Reference!$A$17:$B$20,2,TRUE()))</f>
        <v>0</v>
      </c>
      <c r="AG142" s="32">
        <f>IF($AC142=0,0,$AC142*INDEX(Reference!$B$61:$B$62,MATCH("Bullpen",Reference!$A$61:$A$62,0))*VLOOKUP(MAX($D$5-($D$9+$E$9)/2,0),Reference!$A$17:$B$20,2,TRUE()))</f>
        <v>0</v>
      </c>
      <c r="AH142" s="32" t="e">
        <f t="shared" si="102"/>
        <v>#N/A</v>
      </c>
      <c r="AI142" s="32" t="e">
        <f>IF($A142="",NA(),Reference!$A$25)</f>
        <v>#N/A</v>
      </c>
      <c r="AJ142" s="32" t="e">
        <f t="shared" si="103"/>
        <v>#N/A</v>
      </c>
      <c r="AK142" s="32">
        <f>IF(OR($A142="",N($C142)&lt;=7,$T142="No Throw",$J142="x"),0,INDEX(Reference!$B$108:$B$114,$N142+1))</f>
        <v>0</v>
      </c>
      <c r="AL142" s="32">
        <f t="shared" si="104"/>
        <v>1</v>
      </c>
      <c r="AM142" s="32">
        <f>IF($U142="",0,IF($AL142&gt;1,((IF(1&lt;=$AL142,($AL142-1+3)*(INDEX(Reference!$B$6:$B$11,MIN(5,MATCH(MAX(Reference!$A$6,MIN(Reference!$A$11,MIN($U142,90))),Reference!$A$6:$A$11,1)))+(MAX(Reference!$A$6,MIN(Reference!$A$11,MIN($U142,90)))-INDEX(Reference!$A$6:$A$11,MIN(5,MATCH(MAX(Reference!$A$6,MIN(Reference!$A$11,MIN($U142,90))),Reference!$A$6:$A$11,1))))*(INDEX(Reference!$B$6:$B$11,MIN(5,MATCH(MAX(Reference!$A$6,MIN(Reference!$A$11,MIN($U142,90))),Reference!$A$6:$A$11,1))+1)-INDEX(Reference!$B$6:$B$11,MIN(5,MATCH(MAX(Reference!$A$6,MIN(Reference!$A$11,MIN($U142,90))),Reference!$A$6:$A$11,1))))/(INDEX(Reference!$A$6:$A$11,MIN(5,MATCH(MAX(Reference!$A$6,MIN(Reference!$A$11,MIN($U142,90))),Reference!$A$6:$A$11,1))+1)-INDEX(Reference!$A$6:$A$11,MIN(5,MATCH(MAX(Reference!$A$6,MIN(Reference!$A$11,MIN($U142,90))),Reference!$A$6:$A$11,1))))),0)+IF(2&lt;=$AL142,($AL142-2+3)*(INDEX(Reference!$B$6:$B$11,MIN(5,MATCH(MAX(Reference!$A$6,MIN(Reference!$A$11,MIN($U142,120))),Reference!$A$6:$A$11,1)))+(MAX(Reference!$A$6,MIN(Reference!$A$11,MIN($U142,120)))-INDEX(Reference!$A$6:$A$11,MIN(5,MATCH(MAX(Reference!$A$6,MIN(Reference!$A$11,MIN($U142,120))),Reference!$A$6:$A$11,1))))*(INDEX(Reference!$B$6:$B$11,MIN(5,MATCH(MAX(Reference!$A$6,MIN(Reference!$A$11,MIN($U142,120))),Reference!$A$6:$A$11,1))+1)-INDEX(Reference!$B$6:$B$11,MIN(5,MATCH(MAX(Reference!$A$6,MIN(Reference!$A$11,MIN($U142,120))),Reference!$A$6:$A$11,1))))/(INDEX(Reference!$A$6:$A$11,MIN(5,MATCH(MAX(Reference!$A$6,MIN(Reference!$A$11,MIN($U142,120))),Reference!$A$6:$A$11,1))+1)-INDEX(Reference!$A$6:$A$11,MIN(5,MATCH(MAX(Reference!$A$6,MIN(Reference!$A$11,MIN($U142,120))),Reference!$A$6:$A$11,1))))),0)+IF(3&lt;=$AL142,($AL142-3+3)*(INDEX(Reference!$B$6:$B$11,MIN(5,MATCH(MAX(Reference!$A$6,MIN(Reference!$A$11,MIN($U142,150))),Reference!$A$6:$A$11,1)))+(MAX(Reference!$A$6,MIN(Reference!$A$11,MIN($U142,150)))-INDEX(Reference!$A$6:$A$11,MIN(5,MATCH(MAX(Reference!$A$6,MIN(Reference!$A$11,MIN($U142,150))),Reference!$A$6:$A$11,1))))*(INDEX(Reference!$B$6:$B$11,MIN(5,MATCH(MAX(Reference!$A$6,MIN(Reference!$A$11,MIN($U142,150))),Reference!$A$6:$A$11,1))+1)-INDEX(Reference!$B$6:$B$11,MIN(5,MATCH(MAX(Reference!$A$6,MIN(Reference!$A$11,MIN($U142,150))),Reference!$A$6:$A$11,1))))/(INDEX(Reference!$A$6:$A$11,MIN(5,MATCH(MAX(Reference!$A$6,MIN(Reference!$A$11,MIN($U142,150))),Reference!$A$6:$A$11,1))+1)-INDEX(Reference!$A$6:$A$11,MIN(5,MATCH(MAX(Reference!$A$6,MIN(Reference!$A$11,MIN($U142,150))),Reference!$A$6:$A$11,1))))),0)+IF(4&lt;=$AL142,($AL142-4+3)*(INDEX(Reference!$B$6:$B$11,MIN(5,MATCH(MAX(Reference!$A$6,MIN(Reference!$A$11,MIN($U142,180))),Reference!$A$6:$A$11,1)))+(MAX(Reference!$A$6,MIN(Reference!$A$11,MIN($U142,180)))-INDEX(Reference!$A$6:$A$11,MIN(5,MATCH(MAX(Reference!$A$6,MIN(Reference!$A$11,MIN($U142,180))),Reference!$A$6:$A$11,1))))*(INDEX(Reference!$B$6:$B$11,MIN(5,MATCH(MAX(Reference!$A$6,MIN(Reference!$A$11,MIN($U142,180))),Reference!$A$6:$A$11,1))+1)-INDEX(Reference!$B$6:$B$11,MIN(5,MATCH(MAX(Reference!$A$6,MIN(Reference!$A$11,MIN($U142,180))),Reference!$A$6:$A$11,1))))/(INDEX(Reference!$A$6:$A$11,MIN(5,MATCH(MAX(Reference!$A$6,MIN(Reference!$A$11,MIN($U142,180))),Reference!$A$6:$A$11,1))+1)-INDEX(Reference!$A$6:$A$11,MIN(5,MATCH(MAX(Reference!$A$6,MIN(Reference!$A$11,MIN($U142,180))),Reference!$A$6:$A$11,1))))),0)+IF(5&lt;=$AL142,($AL142-5+3)*(INDEX(Reference!$B$6:$B$11,MIN(5,MATCH(MAX(Reference!$A$6,MIN(Reference!$A$11,MIN($U142,210))),Reference!$A$6:$A$11,1)))+(MAX(Reference!$A$6,MIN(Reference!$A$11,MIN($U142,210)))-INDEX(Reference!$A$6:$A$11,MIN(5,MATCH(MAX(Reference!$A$6,MIN(Reference!$A$11,MIN($U142,210))),Reference!$A$6:$A$11,1))))*(INDEX(Reference!$B$6:$B$11,MIN(5,MATCH(MAX(Reference!$A$6,MIN(Reference!$A$11,MIN($U142,210))),Reference!$A$6:$A$11,1))+1)-INDEX(Reference!$B$6:$B$11,MIN(5,MATCH(MAX(Reference!$A$6,MIN(Reference!$A$11,MIN($U142,210))),Reference!$A$6:$A$11,1))))/(INDEX(Reference!$A$6:$A$11,MIN(5,MATCH(MAX(Reference!$A$6,MIN(Reference!$A$11,MIN($U142,210))),Reference!$A$6:$A$11,1))+1)-INDEX(Reference!$A$6:$A$11,MIN(5,MATCH(MAX(Reference!$A$6,MIN(Reference!$A$11,MIN($U142,210))),Reference!$A$6:$A$11,1))))),0)+IF(6&lt;=$AL142,($AL142-6+3)*(INDEX(Reference!$B$6:$B$11,MIN(5,MATCH(MAX(Reference!$A$6,MIN(Reference!$A$11,MIN($U142,240))),Reference!$A$6:$A$11,1)))+(MAX(Reference!$A$6,MIN(Reference!$A$11,MIN($U142,240)))-INDEX(Reference!$A$6:$A$11,MIN(5,MATCH(MAX(Reference!$A$6,MIN(Reference!$A$11,MIN($U142,240))),Reference!$A$6:$A$11,1))))*(INDEX(Reference!$B$6:$B$11,MIN(5,MATCH(MAX(Reference!$A$6,MIN(Reference!$A$11,MIN($U142,240))),Reference!$A$6:$A$11,1))+1)-INDEX(Reference!$B$6:$B$11,MIN(5,MATCH(MAX(Reference!$A$6,MIN(Reference!$A$11,MIN($U142,240))),Reference!$A$6:$A$11,1))))/(INDEX(Reference!$A$6:$A$11,MIN(5,MATCH(MAX(Reference!$A$6,MIN(Reference!$A$11,MIN($U142,240))),Reference!$A$6:$A$11,1))+1)-INDEX(Reference!$A$6:$A$11,MIN(5,MATCH(MAX(Reference!$A$6,MIN(Reference!$A$11,MIN($U142,240))),Reference!$A$6:$A$11,1))))),0)+IF(7&lt;=$AL142,($AL142-7+3)*(INDEX(Reference!$B$6:$B$11,MIN(5,MATCH(MAX(Reference!$A$6,MIN(Reference!$A$11,MIN($U142,270))),Reference!$A$6:$A$11,1)))+(MAX(Reference!$A$6,MIN(Reference!$A$11,MIN($U142,270)))-INDEX(Reference!$A$6:$A$11,MIN(5,MATCH(MAX(Reference!$A$6,MIN(Reference!$A$11,MIN($U142,270))),Reference!$A$6:$A$11,1))))*(INDEX(Reference!$B$6:$B$11,MIN(5,MATCH(MAX(Reference!$A$6,MIN(Reference!$A$11,MIN($U142,270))),Reference!$A$6:$A$11,1))+1)-INDEX(Reference!$B$6:$B$11,MIN(5,MATCH(MAX(Reference!$A$6,MIN(Reference!$A$11,MIN($U142,270))),Reference!$A$6:$A$11,1))))/(INDEX(Reference!$A$6:$A$11,MIN(5,MATCH(MAX(Reference!$A$6,MIN(Reference!$A$11,MIN($U142,270))),Reference!$A$6:$A$11,1))+1)-INDEX(Reference!$A$6:$A$11,MIN(5,MATCH(MAX(Reference!$A$6,MIN(Reference!$A$11,MIN($U142,270))),Reference!$A$6:$A$11,1))))),0)+IF(8&lt;=$AL142,($AL142-8+3)*(INDEX(Reference!$B$6:$B$11,MIN(5,MATCH(MAX(Reference!$A$6,MIN(Reference!$A$11,MIN($U142,300))),Reference!$A$6:$A$11,1)))+(MAX(Reference!$A$6,MIN(Reference!$A$11,MIN($U142,300)))-INDEX(Reference!$A$6:$A$11,MIN(5,MATCH(MAX(Reference!$A$6,MIN(Reference!$A$11,MIN($U142,300))),Reference!$A$6:$A$11,1))))*(INDEX(Reference!$B$6:$B$11,MIN(5,MATCH(MAX(Reference!$A$6,MIN(Reference!$A$11,MIN($U142,300))),Reference!$A$6:$A$11,1))+1)-INDEX(Reference!$B$6:$B$11,MIN(5,MATCH(MAX(Reference!$A$6,MIN(Reference!$A$11,MIN($U142,300))),Reference!$A$6:$A$11,1))))/(INDEX(Reference!$A$6:$A$11,MIN(5,MATCH(MAX(Reference!$A$6,MIN(Reference!$A$11,MIN($U142,300))),Reference!$A$6:$A$11,1))+1)-INDEX(Reference!$A$6:$A$11,MIN(5,MATCH(MAX(Reference!$A$6,MIN(Reference!$A$11,MIN($U142,300))),Reference!$A$6:$A$11,1))))),0))/($AL142*($AL142+5)/2)),$AN142))</f>
        <v>0</v>
      </c>
      <c r="AN142" s="32">
        <f>IF($U142="",0,(INDEX(Reference!$B$6:$B$11,MIN(5,MATCH(MAX(Reference!$A$6,MIN(Reference!$A$11,$U142)),Reference!$A$6:$A$11,1)))+(MAX(Reference!$A$6,MIN(Reference!$A$11,$U142))-INDEX(Reference!$A$6:$A$11,MIN(5,MATCH(MAX(Reference!$A$6,MIN(Reference!$A$11,$U142)),Reference!$A$6:$A$11,1))))*(INDEX(Reference!$B$6:$B$11,MIN(5,MATCH(MAX(Reference!$A$6,MIN(Reference!$A$11,$U142)),Reference!$A$6:$A$11,1))+1)-INDEX(Reference!$B$6:$B$11,MIN(5,MATCH(MAX(Reference!$A$6,MIN(Reference!$A$11,$U142)),Reference!$A$6:$A$11,1))))/(INDEX(Reference!$A$6:$A$11,MIN(5,MATCH(MAX(Reference!$A$6,MIN(Reference!$A$11,$U142)),Reference!$A$6:$A$11,1))+1)-INDEX(Reference!$A$6:$A$11,MIN(5,MATCH(MAX(Reference!$A$6,MIN(Reference!$A$11,$U142)),Reference!$A$6:$A$11,1))))))</f>
        <v>0</v>
      </c>
      <c r="AO142" s="37"/>
      <c r="AP142" s="37"/>
      <c r="AQ142" s="37"/>
    </row>
    <row r="143" spans="1:43" x14ac:dyDescent="0.3">
      <c r="A143" s="48" t="str">
        <f t="shared" si="80"/>
        <v/>
      </c>
      <c r="B143" s="32" t="str">
        <f t="shared" si="81"/>
        <v/>
      </c>
      <c r="C143" s="32" t="str">
        <f t="shared" si="82"/>
        <v/>
      </c>
      <c r="D143" s="32" t="str">
        <f t="shared" si="83"/>
        <v/>
      </c>
      <c r="E143" s="32" t="str">
        <f t="shared" si="84"/>
        <v/>
      </c>
      <c r="F143" s="32" t="str">
        <f t="shared" si="85"/>
        <v/>
      </c>
      <c r="G143" s="47" t="str">
        <f t="shared" si="86"/>
        <v/>
      </c>
      <c r="H143" s="30" t="str">
        <f t="shared" si="87"/>
        <v/>
      </c>
      <c r="I143" s="46" t="str">
        <f>IF($A143="","",IF(AND($L143&lt;27,$K$12=0),"Building",IFERROR(((SUM($H$137:$H143)+$K$12*IF($L143&lt;6,SUMIFS('Throw Log'!$Q$5:$Q$300,'Throw Log'!$B$5:$B$300,$D$4,'Throw Log'!$A$5:$A$300,"&gt;="&amp;($D$6+$L143-6),'Throw Log'!$A$5:$A$300,"&lt;="&amp;($D$6-1)),0))/7)/((SUM($H$116:$H143)+$K$12*IF($L143&lt;27,SUMIFS('Throw Log'!$Q$5:$Q$300,'Throw Log'!$B$5:$B$300,$D$4,'Throw Log'!$A$5:$A$300,"&gt;="&amp;($D$6+$L143-27),'Throw Log'!$A$5:$A$300,"&lt;="&amp;($D$6-1)),0))/28),"")))</f>
        <v/>
      </c>
      <c r="J143" s="37"/>
      <c r="K143" s="37"/>
      <c r="L143" s="32">
        <v>100</v>
      </c>
      <c r="M143" s="32">
        <f t="shared" si="88"/>
        <v>15</v>
      </c>
      <c r="N143" s="32">
        <f t="shared" si="89"/>
        <v>2</v>
      </c>
      <c r="O143" s="32">
        <f t="shared" si="90"/>
        <v>1</v>
      </c>
      <c r="P143" s="32" t="str">
        <f>IF(OR($A143="",N($C143)&lt;=7),"",$G$6*$G$9^($M143-1)*IF(AND(MOD($M143,Reference!$B$99)=0,$M143&lt;=$G$5-2),Reference!$B$100,1))</f>
        <v/>
      </c>
      <c r="Q143" s="32" t="str">
        <f>IF($P143="","",IF(SUM($AK$141:$AK$147)=0,0,$P143*INDEX(Reference!$B$108:$B$114,$N143+1)/SUM($AK$141:$AK$147)))</f>
        <v/>
      </c>
      <c r="R143" s="32">
        <f t="shared" si="91"/>
        <v>120</v>
      </c>
      <c r="S143" s="32">
        <f t="shared" si="92"/>
        <v>105</v>
      </c>
      <c r="T143" s="32" t="str">
        <f>IF($A143="","",IF($C143=0,"Bullpen",IF(OR($C143=7,$C143=1,$C143=5),"Recovery/Easy Catch",IF($C143=6,"Compression/Pulldowns",IF(OR($C143=4,$C143=2),"Long Toss",IF($C143=3,"No Throw",IF($N143=2,"No Throw",IF($N143=6,IF($O143&lt;Reference!$B$104,"No Throw","Recovery/Easy Catch"),IF(OR($N143=0,$N143=4),"Recovery/Easy Catch",IF($N143=1,IF($R143&gt;75,"Long Toss","Recovery/Easy Catch"),IF($N143=3,IF($O143&lt;0.5,IF($S143&gt;75,"Long Toss","Recovery/Easy Catch"),"Compression/Pulldowns"),IF($S143&gt;75,"Long Toss","Recovery/Easy Catch"))))))))))))</f>
        <v/>
      </c>
      <c r="U143" s="32" t="str">
        <f t="shared" si="93"/>
        <v/>
      </c>
      <c r="V143" s="32" t="str">
        <f t="shared" si="94"/>
        <v/>
      </c>
      <c r="W143" s="32" t="str">
        <f t="shared" si="95"/>
        <v/>
      </c>
      <c r="X143" s="32">
        <f t="shared" si="96"/>
        <v>0</v>
      </c>
      <c r="Y143" s="32" t="str">
        <f t="shared" si="97"/>
        <v/>
      </c>
      <c r="Z143" s="32" t="str">
        <f t="shared" si="98"/>
        <v/>
      </c>
      <c r="AA143" s="32" t="str">
        <f t="shared" si="99"/>
        <v/>
      </c>
      <c r="AB143" s="32" t="str">
        <f>IF($A143="","",IF($T143="No Throw",0,IF($K143&lt;&gt;"",$K143,IF($AA143&lt;&gt;"",ROUND($AA143*$D$12*IF($C143=0,1,$G$10),0),MIN(IF($T143="Recovery/Easy Catch",Reference!$B$103,IF($T143="Long Toss",Reference!$B$106,Reference!$B$102)),MAX(Reference!$B$101,ROUND(MAX(0,$Q143-$AE143)/$AF143,0)))))))</f>
        <v/>
      </c>
      <c r="AC143" s="32">
        <f t="shared" si="100"/>
        <v>0</v>
      </c>
      <c r="AD143" s="32" t="b">
        <f t="shared" si="101"/>
        <v>1</v>
      </c>
      <c r="AE143" s="32">
        <f>IF($X143=0,0,$X143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143+$Z143)/2,0),Reference!$A$17:$B$20,2,TRUE()))</f>
        <v>0</v>
      </c>
      <c r="AF143" s="32">
        <f>IF(OR($A143="",$U143="",$T143="No Throw"),0,$AM143*VLOOKUP(MAX(($V143+$W143)/2,0),Reference!$A$17:$B$20,2,TRUE()))</f>
        <v>0</v>
      </c>
      <c r="AG143" s="32">
        <f>IF($AC143=0,0,$AC143*INDEX(Reference!$B$61:$B$62,MATCH("Bullpen",Reference!$A$61:$A$62,0))*VLOOKUP(MAX($D$5-($D$9+$E$9)/2,0),Reference!$A$17:$B$20,2,TRUE()))</f>
        <v>0</v>
      </c>
      <c r="AH143" s="32" t="e">
        <f t="shared" si="102"/>
        <v>#N/A</v>
      </c>
      <c r="AI143" s="32" t="e">
        <f>IF($A143="",NA(),Reference!$A$25)</f>
        <v>#N/A</v>
      </c>
      <c r="AJ143" s="32" t="e">
        <f t="shared" si="103"/>
        <v>#N/A</v>
      </c>
      <c r="AK143" s="32">
        <f>IF(OR($A143="",N($C143)&lt;=7,$T143="No Throw",$J143="x"),0,INDEX(Reference!$B$108:$B$114,$N143+1))</f>
        <v>0</v>
      </c>
      <c r="AL143" s="32">
        <f t="shared" si="104"/>
        <v>1</v>
      </c>
      <c r="AM143" s="32">
        <f>IF($U143="",0,IF($AL143&gt;1,((IF(1&lt;=$AL143,($AL143-1+3)*(INDEX(Reference!$B$6:$B$11,MIN(5,MATCH(MAX(Reference!$A$6,MIN(Reference!$A$11,MIN($U143,90))),Reference!$A$6:$A$11,1)))+(MAX(Reference!$A$6,MIN(Reference!$A$11,MIN($U143,90)))-INDEX(Reference!$A$6:$A$11,MIN(5,MATCH(MAX(Reference!$A$6,MIN(Reference!$A$11,MIN($U143,90))),Reference!$A$6:$A$11,1))))*(INDEX(Reference!$B$6:$B$11,MIN(5,MATCH(MAX(Reference!$A$6,MIN(Reference!$A$11,MIN($U143,90))),Reference!$A$6:$A$11,1))+1)-INDEX(Reference!$B$6:$B$11,MIN(5,MATCH(MAX(Reference!$A$6,MIN(Reference!$A$11,MIN($U143,90))),Reference!$A$6:$A$11,1))))/(INDEX(Reference!$A$6:$A$11,MIN(5,MATCH(MAX(Reference!$A$6,MIN(Reference!$A$11,MIN($U143,90))),Reference!$A$6:$A$11,1))+1)-INDEX(Reference!$A$6:$A$11,MIN(5,MATCH(MAX(Reference!$A$6,MIN(Reference!$A$11,MIN($U143,90))),Reference!$A$6:$A$11,1))))),0)+IF(2&lt;=$AL143,($AL143-2+3)*(INDEX(Reference!$B$6:$B$11,MIN(5,MATCH(MAX(Reference!$A$6,MIN(Reference!$A$11,MIN($U143,120))),Reference!$A$6:$A$11,1)))+(MAX(Reference!$A$6,MIN(Reference!$A$11,MIN($U143,120)))-INDEX(Reference!$A$6:$A$11,MIN(5,MATCH(MAX(Reference!$A$6,MIN(Reference!$A$11,MIN($U143,120))),Reference!$A$6:$A$11,1))))*(INDEX(Reference!$B$6:$B$11,MIN(5,MATCH(MAX(Reference!$A$6,MIN(Reference!$A$11,MIN($U143,120))),Reference!$A$6:$A$11,1))+1)-INDEX(Reference!$B$6:$B$11,MIN(5,MATCH(MAX(Reference!$A$6,MIN(Reference!$A$11,MIN($U143,120))),Reference!$A$6:$A$11,1))))/(INDEX(Reference!$A$6:$A$11,MIN(5,MATCH(MAX(Reference!$A$6,MIN(Reference!$A$11,MIN($U143,120))),Reference!$A$6:$A$11,1))+1)-INDEX(Reference!$A$6:$A$11,MIN(5,MATCH(MAX(Reference!$A$6,MIN(Reference!$A$11,MIN($U143,120))),Reference!$A$6:$A$11,1))))),0)+IF(3&lt;=$AL143,($AL143-3+3)*(INDEX(Reference!$B$6:$B$11,MIN(5,MATCH(MAX(Reference!$A$6,MIN(Reference!$A$11,MIN($U143,150))),Reference!$A$6:$A$11,1)))+(MAX(Reference!$A$6,MIN(Reference!$A$11,MIN($U143,150)))-INDEX(Reference!$A$6:$A$11,MIN(5,MATCH(MAX(Reference!$A$6,MIN(Reference!$A$11,MIN($U143,150))),Reference!$A$6:$A$11,1))))*(INDEX(Reference!$B$6:$B$11,MIN(5,MATCH(MAX(Reference!$A$6,MIN(Reference!$A$11,MIN($U143,150))),Reference!$A$6:$A$11,1))+1)-INDEX(Reference!$B$6:$B$11,MIN(5,MATCH(MAX(Reference!$A$6,MIN(Reference!$A$11,MIN($U143,150))),Reference!$A$6:$A$11,1))))/(INDEX(Reference!$A$6:$A$11,MIN(5,MATCH(MAX(Reference!$A$6,MIN(Reference!$A$11,MIN($U143,150))),Reference!$A$6:$A$11,1))+1)-INDEX(Reference!$A$6:$A$11,MIN(5,MATCH(MAX(Reference!$A$6,MIN(Reference!$A$11,MIN($U143,150))),Reference!$A$6:$A$11,1))))),0)+IF(4&lt;=$AL143,($AL143-4+3)*(INDEX(Reference!$B$6:$B$11,MIN(5,MATCH(MAX(Reference!$A$6,MIN(Reference!$A$11,MIN($U143,180))),Reference!$A$6:$A$11,1)))+(MAX(Reference!$A$6,MIN(Reference!$A$11,MIN($U143,180)))-INDEX(Reference!$A$6:$A$11,MIN(5,MATCH(MAX(Reference!$A$6,MIN(Reference!$A$11,MIN($U143,180))),Reference!$A$6:$A$11,1))))*(INDEX(Reference!$B$6:$B$11,MIN(5,MATCH(MAX(Reference!$A$6,MIN(Reference!$A$11,MIN($U143,180))),Reference!$A$6:$A$11,1))+1)-INDEX(Reference!$B$6:$B$11,MIN(5,MATCH(MAX(Reference!$A$6,MIN(Reference!$A$11,MIN($U143,180))),Reference!$A$6:$A$11,1))))/(INDEX(Reference!$A$6:$A$11,MIN(5,MATCH(MAX(Reference!$A$6,MIN(Reference!$A$11,MIN($U143,180))),Reference!$A$6:$A$11,1))+1)-INDEX(Reference!$A$6:$A$11,MIN(5,MATCH(MAX(Reference!$A$6,MIN(Reference!$A$11,MIN($U143,180))),Reference!$A$6:$A$11,1))))),0)+IF(5&lt;=$AL143,($AL143-5+3)*(INDEX(Reference!$B$6:$B$11,MIN(5,MATCH(MAX(Reference!$A$6,MIN(Reference!$A$11,MIN($U143,210))),Reference!$A$6:$A$11,1)))+(MAX(Reference!$A$6,MIN(Reference!$A$11,MIN($U143,210)))-INDEX(Reference!$A$6:$A$11,MIN(5,MATCH(MAX(Reference!$A$6,MIN(Reference!$A$11,MIN($U143,210))),Reference!$A$6:$A$11,1))))*(INDEX(Reference!$B$6:$B$11,MIN(5,MATCH(MAX(Reference!$A$6,MIN(Reference!$A$11,MIN($U143,210))),Reference!$A$6:$A$11,1))+1)-INDEX(Reference!$B$6:$B$11,MIN(5,MATCH(MAX(Reference!$A$6,MIN(Reference!$A$11,MIN($U143,210))),Reference!$A$6:$A$11,1))))/(INDEX(Reference!$A$6:$A$11,MIN(5,MATCH(MAX(Reference!$A$6,MIN(Reference!$A$11,MIN($U143,210))),Reference!$A$6:$A$11,1))+1)-INDEX(Reference!$A$6:$A$11,MIN(5,MATCH(MAX(Reference!$A$6,MIN(Reference!$A$11,MIN($U143,210))),Reference!$A$6:$A$11,1))))),0)+IF(6&lt;=$AL143,($AL143-6+3)*(INDEX(Reference!$B$6:$B$11,MIN(5,MATCH(MAX(Reference!$A$6,MIN(Reference!$A$11,MIN($U143,240))),Reference!$A$6:$A$11,1)))+(MAX(Reference!$A$6,MIN(Reference!$A$11,MIN($U143,240)))-INDEX(Reference!$A$6:$A$11,MIN(5,MATCH(MAX(Reference!$A$6,MIN(Reference!$A$11,MIN($U143,240))),Reference!$A$6:$A$11,1))))*(INDEX(Reference!$B$6:$B$11,MIN(5,MATCH(MAX(Reference!$A$6,MIN(Reference!$A$11,MIN($U143,240))),Reference!$A$6:$A$11,1))+1)-INDEX(Reference!$B$6:$B$11,MIN(5,MATCH(MAX(Reference!$A$6,MIN(Reference!$A$11,MIN($U143,240))),Reference!$A$6:$A$11,1))))/(INDEX(Reference!$A$6:$A$11,MIN(5,MATCH(MAX(Reference!$A$6,MIN(Reference!$A$11,MIN($U143,240))),Reference!$A$6:$A$11,1))+1)-INDEX(Reference!$A$6:$A$11,MIN(5,MATCH(MAX(Reference!$A$6,MIN(Reference!$A$11,MIN($U143,240))),Reference!$A$6:$A$11,1))))),0)+IF(7&lt;=$AL143,($AL143-7+3)*(INDEX(Reference!$B$6:$B$11,MIN(5,MATCH(MAX(Reference!$A$6,MIN(Reference!$A$11,MIN($U143,270))),Reference!$A$6:$A$11,1)))+(MAX(Reference!$A$6,MIN(Reference!$A$11,MIN($U143,270)))-INDEX(Reference!$A$6:$A$11,MIN(5,MATCH(MAX(Reference!$A$6,MIN(Reference!$A$11,MIN($U143,270))),Reference!$A$6:$A$11,1))))*(INDEX(Reference!$B$6:$B$11,MIN(5,MATCH(MAX(Reference!$A$6,MIN(Reference!$A$11,MIN($U143,270))),Reference!$A$6:$A$11,1))+1)-INDEX(Reference!$B$6:$B$11,MIN(5,MATCH(MAX(Reference!$A$6,MIN(Reference!$A$11,MIN($U143,270))),Reference!$A$6:$A$11,1))))/(INDEX(Reference!$A$6:$A$11,MIN(5,MATCH(MAX(Reference!$A$6,MIN(Reference!$A$11,MIN($U143,270))),Reference!$A$6:$A$11,1))+1)-INDEX(Reference!$A$6:$A$11,MIN(5,MATCH(MAX(Reference!$A$6,MIN(Reference!$A$11,MIN($U143,270))),Reference!$A$6:$A$11,1))))),0)+IF(8&lt;=$AL143,($AL143-8+3)*(INDEX(Reference!$B$6:$B$11,MIN(5,MATCH(MAX(Reference!$A$6,MIN(Reference!$A$11,MIN($U143,300))),Reference!$A$6:$A$11,1)))+(MAX(Reference!$A$6,MIN(Reference!$A$11,MIN($U143,300)))-INDEX(Reference!$A$6:$A$11,MIN(5,MATCH(MAX(Reference!$A$6,MIN(Reference!$A$11,MIN($U143,300))),Reference!$A$6:$A$11,1))))*(INDEX(Reference!$B$6:$B$11,MIN(5,MATCH(MAX(Reference!$A$6,MIN(Reference!$A$11,MIN($U143,300))),Reference!$A$6:$A$11,1))+1)-INDEX(Reference!$B$6:$B$11,MIN(5,MATCH(MAX(Reference!$A$6,MIN(Reference!$A$11,MIN($U143,300))),Reference!$A$6:$A$11,1))))/(INDEX(Reference!$A$6:$A$11,MIN(5,MATCH(MAX(Reference!$A$6,MIN(Reference!$A$11,MIN($U143,300))),Reference!$A$6:$A$11,1))+1)-INDEX(Reference!$A$6:$A$11,MIN(5,MATCH(MAX(Reference!$A$6,MIN(Reference!$A$11,MIN($U143,300))),Reference!$A$6:$A$11,1))))),0))/($AL143*($AL143+5)/2)),$AN143))</f>
        <v>0</v>
      </c>
      <c r="AN143" s="32">
        <f>IF($U143="",0,(INDEX(Reference!$B$6:$B$11,MIN(5,MATCH(MAX(Reference!$A$6,MIN(Reference!$A$11,$U143)),Reference!$A$6:$A$11,1)))+(MAX(Reference!$A$6,MIN(Reference!$A$11,$U143))-INDEX(Reference!$A$6:$A$11,MIN(5,MATCH(MAX(Reference!$A$6,MIN(Reference!$A$11,$U143)),Reference!$A$6:$A$11,1))))*(INDEX(Reference!$B$6:$B$11,MIN(5,MATCH(MAX(Reference!$A$6,MIN(Reference!$A$11,$U143)),Reference!$A$6:$A$11,1))+1)-INDEX(Reference!$B$6:$B$11,MIN(5,MATCH(MAX(Reference!$A$6,MIN(Reference!$A$11,$U143)),Reference!$A$6:$A$11,1))))/(INDEX(Reference!$A$6:$A$11,MIN(5,MATCH(MAX(Reference!$A$6,MIN(Reference!$A$11,$U143)),Reference!$A$6:$A$11,1))+1)-INDEX(Reference!$A$6:$A$11,MIN(5,MATCH(MAX(Reference!$A$6,MIN(Reference!$A$11,$U143)),Reference!$A$6:$A$11,1))))))</f>
        <v>0</v>
      </c>
      <c r="AO143" s="37"/>
      <c r="AP143" s="37"/>
      <c r="AQ143" s="37"/>
    </row>
    <row r="144" spans="1:43" x14ac:dyDescent="0.3">
      <c r="A144" s="48" t="str">
        <f t="shared" si="80"/>
        <v/>
      </c>
      <c r="B144" s="32" t="str">
        <f t="shared" si="81"/>
        <v/>
      </c>
      <c r="C144" s="32" t="str">
        <f t="shared" si="82"/>
        <v/>
      </c>
      <c r="D144" s="32" t="str">
        <f t="shared" si="83"/>
        <v/>
      </c>
      <c r="E144" s="32" t="str">
        <f t="shared" si="84"/>
        <v/>
      </c>
      <c r="F144" s="32" t="str">
        <f t="shared" si="85"/>
        <v/>
      </c>
      <c r="G144" s="47" t="str">
        <f t="shared" si="86"/>
        <v/>
      </c>
      <c r="H144" s="30" t="str">
        <f t="shared" si="87"/>
        <v/>
      </c>
      <c r="I144" s="46" t="str">
        <f>IF($A144="","",IF(AND($L144&lt;27,$K$12=0),"Building",IFERROR(((SUM($H$138:$H144)+$K$12*IF($L144&lt;6,SUMIFS('Throw Log'!$Q$5:$Q$300,'Throw Log'!$B$5:$B$300,$D$4,'Throw Log'!$A$5:$A$300,"&gt;="&amp;($D$6+$L144-6),'Throw Log'!$A$5:$A$300,"&lt;="&amp;($D$6-1)),0))/7)/((SUM($H$117:$H144)+$K$12*IF($L144&lt;27,SUMIFS('Throw Log'!$Q$5:$Q$300,'Throw Log'!$B$5:$B$300,$D$4,'Throw Log'!$A$5:$A$300,"&gt;="&amp;($D$6+$L144-27),'Throw Log'!$A$5:$A$300,"&lt;="&amp;($D$6-1)),0))/28),"")))</f>
        <v/>
      </c>
      <c r="J144" s="37"/>
      <c r="K144" s="37"/>
      <c r="L144" s="32">
        <v>101</v>
      </c>
      <c r="M144" s="32">
        <f t="shared" si="88"/>
        <v>15</v>
      </c>
      <c r="N144" s="32">
        <f t="shared" si="89"/>
        <v>3</v>
      </c>
      <c r="O144" s="32">
        <f t="shared" si="90"/>
        <v>1</v>
      </c>
      <c r="P144" s="32" t="str">
        <f>IF(OR($A144="",N($C144)&lt;=7),"",$G$6*$G$9^($M144-1)*IF(AND(MOD($M144,Reference!$B$99)=0,$M144&lt;=$G$5-2),Reference!$B$100,1))</f>
        <v/>
      </c>
      <c r="Q144" s="32" t="str">
        <f>IF($P144="","",IF(SUM($AK$141:$AK$147)=0,0,$P144*INDEX(Reference!$B$108:$B$114,$N144+1)/SUM($AK$141:$AK$147)))</f>
        <v/>
      </c>
      <c r="R144" s="32">
        <f t="shared" si="91"/>
        <v>120</v>
      </c>
      <c r="S144" s="32">
        <f t="shared" si="92"/>
        <v>105</v>
      </c>
      <c r="T144" s="32" t="str">
        <f>IF($A144="","",IF($C144=0,"Bullpen",IF(OR($C144=7,$C144=1,$C144=5),"Recovery/Easy Catch",IF($C144=6,"Compression/Pulldowns",IF(OR($C144=4,$C144=2),"Long Toss",IF($C144=3,"No Throw",IF($N144=2,"No Throw",IF($N144=6,IF($O144&lt;Reference!$B$104,"No Throw","Recovery/Easy Catch"),IF(OR($N144=0,$N144=4),"Recovery/Easy Catch",IF($N144=1,IF($R144&gt;75,"Long Toss","Recovery/Easy Catch"),IF($N144=3,IF($O144&lt;0.5,IF($S144&gt;75,"Long Toss","Recovery/Easy Catch"),"Compression/Pulldowns"),IF($S144&gt;75,"Long Toss","Recovery/Easy Catch"))))))))))))</f>
        <v/>
      </c>
      <c r="U144" s="32" t="str">
        <f t="shared" si="93"/>
        <v/>
      </c>
      <c r="V144" s="32" t="str">
        <f t="shared" si="94"/>
        <v/>
      </c>
      <c r="W144" s="32" t="str">
        <f t="shared" si="95"/>
        <v/>
      </c>
      <c r="X144" s="32">
        <f t="shared" si="96"/>
        <v>0</v>
      </c>
      <c r="Y144" s="32" t="str">
        <f t="shared" si="97"/>
        <v/>
      </c>
      <c r="Z144" s="32" t="str">
        <f t="shared" si="98"/>
        <v/>
      </c>
      <c r="AA144" s="32" t="str">
        <f t="shared" si="99"/>
        <v/>
      </c>
      <c r="AB144" s="32" t="str">
        <f>IF($A144="","",IF($T144="No Throw",0,IF($K144&lt;&gt;"",$K144,IF($AA144&lt;&gt;"",ROUND($AA144*$D$12*IF($C144=0,1,$G$10),0),MIN(IF($T144="Recovery/Easy Catch",Reference!$B$103,IF($T144="Long Toss",Reference!$B$106,Reference!$B$102)),MAX(Reference!$B$101,ROUND(MAX(0,$Q144-$AE144)/$AF144,0)))))))</f>
        <v/>
      </c>
      <c r="AC144" s="32">
        <f t="shared" si="100"/>
        <v>0</v>
      </c>
      <c r="AD144" s="32" t="b">
        <f t="shared" si="101"/>
        <v>1</v>
      </c>
      <c r="AE144" s="32">
        <f>IF($X144=0,0,$X144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144+$Z144)/2,0),Reference!$A$17:$B$20,2,TRUE()))</f>
        <v>0</v>
      </c>
      <c r="AF144" s="32">
        <f>IF(OR($A144="",$U144="",$T144="No Throw"),0,$AM144*VLOOKUP(MAX(($V144+$W144)/2,0),Reference!$A$17:$B$20,2,TRUE()))</f>
        <v>0</v>
      </c>
      <c r="AG144" s="32">
        <f>IF($AC144=0,0,$AC144*INDEX(Reference!$B$61:$B$62,MATCH("Bullpen",Reference!$A$61:$A$62,0))*VLOOKUP(MAX($D$5-($D$9+$E$9)/2,0),Reference!$A$17:$B$20,2,TRUE()))</f>
        <v>0</v>
      </c>
      <c r="AH144" s="32" t="e">
        <f t="shared" si="102"/>
        <v>#N/A</v>
      </c>
      <c r="AI144" s="32" t="e">
        <f>IF($A144="",NA(),Reference!$A$25)</f>
        <v>#N/A</v>
      </c>
      <c r="AJ144" s="32" t="e">
        <f t="shared" si="103"/>
        <v>#N/A</v>
      </c>
      <c r="AK144" s="32">
        <f>IF(OR($A144="",N($C144)&lt;=7,$T144="No Throw",$J144="x"),0,INDEX(Reference!$B$108:$B$114,$N144+1))</f>
        <v>0</v>
      </c>
      <c r="AL144" s="32">
        <f t="shared" si="104"/>
        <v>1</v>
      </c>
      <c r="AM144" s="32">
        <f>IF($U144="",0,IF($AL144&gt;1,((IF(1&lt;=$AL144,($AL144-1+3)*(INDEX(Reference!$B$6:$B$11,MIN(5,MATCH(MAX(Reference!$A$6,MIN(Reference!$A$11,MIN($U144,90))),Reference!$A$6:$A$11,1)))+(MAX(Reference!$A$6,MIN(Reference!$A$11,MIN($U144,90)))-INDEX(Reference!$A$6:$A$11,MIN(5,MATCH(MAX(Reference!$A$6,MIN(Reference!$A$11,MIN($U144,90))),Reference!$A$6:$A$11,1))))*(INDEX(Reference!$B$6:$B$11,MIN(5,MATCH(MAX(Reference!$A$6,MIN(Reference!$A$11,MIN($U144,90))),Reference!$A$6:$A$11,1))+1)-INDEX(Reference!$B$6:$B$11,MIN(5,MATCH(MAX(Reference!$A$6,MIN(Reference!$A$11,MIN($U144,90))),Reference!$A$6:$A$11,1))))/(INDEX(Reference!$A$6:$A$11,MIN(5,MATCH(MAX(Reference!$A$6,MIN(Reference!$A$11,MIN($U144,90))),Reference!$A$6:$A$11,1))+1)-INDEX(Reference!$A$6:$A$11,MIN(5,MATCH(MAX(Reference!$A$6,MIN(Reference!$A$11,MIN($U144,90))),Reference!$A$6:$A$11,1))))),0)+IF(2&lt;=$AL144,($AL144-2+3)*(INDEX(Reference!$B$6:$B$11,MIN(5,MATCH(MAX(Reference!$A$6,MIN(Reference!$A$11,MIN($U144,120))),Reference!$A$6:$A$11,1)))+(MAX(Reference!$A$6,MIN(Reference!$A$11,MIN($U144,120)))-INDEX(Reference!$A$6:$A$11,MIN(5,MATCH(MAX(Reference!$A$6,MIN(Reference!$A$11,MIN($U144,120))),Reference!$A$6:$A$11,1))))*(INDEX(Reference!$B$6:$B$11,MIN(5,MATCH(MAX(Reference!$A$6,MIN(Reference!$A$11,MIN($U144,120))),Reference!$A$6:$A$11,1))+1)-INDEX(Reference!$B$6:$B$11,MIN(5,MATCH(MAX(Reference!$A$6,MIN(Reference!$A$11,MIN($U144,120))),Reference!$A$6:$A$11,1))))/(INDEX(Reference!$A$6:$A$11,MIN(5,MATCH(MAX(Reference!$A$6,MIN(Reference!$A$11,MIN($U144,120))),Reference!$A$6:$A$11,1))+1)-INDEX(Reference!$A$6:$A$11,MIN(5,MATCH(MAX(Reference!$A$6,MIN(Reference!$A$11,MIN($U144,120))),Reference!$A$6:$A$11,1))))),0)+IF(3&lt;=$AL144,($AL144-3+3)*(INDEX(Reference!$B$6:$B$11,MIN(5,MATCH(MAX(Reference!$A$6,MIN(Reference!$A$11,MIN($U144,150))),Reference!$A$6:$A$11,1)))+(MAX(Reference!$A$6,MIN(Reference!$A$11,MIN($U144,150)))-INDEX(Reference!$A$6:$A$11,MIN(5,MATCH(MAX(Reference!$A$6,MIN(Reference!$A$11,MIN($U144,150))),Reference!$A$6:$A$11,1))))*(INDEX(Reference!$B$6:$B$11,MIN(5,MATCH(MAX(Reference!$A$6,MIN(Reference!$A$11,MIN($U144,150))),Reference!$A$6:$A$11,1))+1)-INDEX(Reference!$B$6:$B$11,MIN(5,MATCH(MAX(Reference!$A$6,MIN(Reference!$A$11,MIN($U144,150))),Reference!$A$6:$A$11,1))))/(INDEX(Reference!$A$6:$A$11,MIN(5,MATCH(MAX(Reference!$A$6,MIN(Reference!$A$11,MIN($U144,150))),Reference!$A$6:$A$11,1))+1)-INDEX(Reference!$A$6:$A$11,MIN(5,MATCH(MAX(Reference!$A$6,MIN(Reference!$A$11,MIN($U144,150))),Reference!$A$6:$A$11,1))))),0)+IF(4&lt;=$AL144,($AL144-4+3)*(INDEX(Reference!$B$6:$B$11,MIN(5,MATCH(MAX(Reference!$A$6,MIN(Reference!$A$11,MIN($U144,180))),Reference!$A$6:$A$11,1)))+(MAX(Reference!$A$6,MIN(Reference!$A$11,MIN($U144,180)))-INDEX(Reference!$A$6:$A$11,MIN(5,MATCH(MAX(Reference!$A$6,MIN(Reference!$A$11,MIN($U144,180))),Reference!$A$6:$A$11,1))))*(INDEX(Reference!$B$6:$B$11,MIN(5,MATCH(MAX(Reference!$A$6,MIN(Reference!$A$11,MIN($U144,180))),Reference!$A$6:$A$11,1))+1)-INDEX(Reference!$B$6:$B$11,MIN(5,MATCH(MAX(Reference!$A$6,MIN(Reference!$A$11,MIN($U144,180))),Reference!$A$6:$A$11,1))))/(INDEX(Reference!$A$6:$A$11,MIN(5,MATCH(MAX(Reference!$A$6,MIN(Reference!$A$11,MIN($U144,180))),Reference!$A$6:$A$11,1))+1)-INDEX(Reference!$A$6:$A$11,MIN(5,MATCH(MAX(Reference!$A$6,MIN(Reference!$A$11,MIN($U144,180))),Reference!$A$6:$A$11,1))))),0)+IF(5&lt;=$AL144,($AL144-5+3)*(INDEX(Reference!$B$6:$B$11,MIN(5,MATCH(MAX(Reference!$A$6,MIN(Reference!$A$11,MIN($U144,210))),Reference!$A$6:$A$11,1)))+(MAX(Reference!$A$6,MIN(Reference!$A$11,MIN($U144,210)))-INDEX(Reference!$A$6:$A$11,MIN(5,MATCH(MAX(Reference!$A$6,MIN(Reference!$A$11,MIN($U144,210))),Reference!$A$6:$A$11,1))))*(INDEX(Reference!$B$6:$B$11,MIN(5,MATCH(MAX(Reference!$A$6,MIN(Reference!$A$11,MIN($U144,210))),Reference!$A$6:$A$11,1))+1)-INDEX(Reference!$B$6:$B$11,MIN(5,MATCH(MAX(Reference!$A$6,MIN(Reference!$A$11,MIN($U144,210))),Reference!$A$6:$A$11,1))))/(INDEX(Reference!$A$6:$A$11,MIN(5,MATCH(MAX(Reference!$A$6,MIN(Reference!$A$11,MIN($U144,210))),Reference!$A$6:$A$11,1))+1)-INDEX(Reference!$A$6:$A$11,MIN(5,MATCH(MAX(Reference!$A$6,MIN(Reference!$A$11,MIN($U144,210))),Reference!$A$6:$A$11,1))))),0)+IF(6&lt;=$AL144,($AL144-6+3)*(INDEX(Reference!$B$6:$B$11,MIN(5,MATCH(MAX(Reference!$A$6,MIN(Reference!$A$11,MIN($U144,240))),Reference!$A$6:$A$11,1)))+(MAX(Reference!$A$6,MIN(Reference!$A$11,MIN($U144,240)))-INDEX(Reference!$A$6:$A$11,MIN(5,MATCH(MAX(Reference!$A$6,MIN(Reference!$A$11,MIN($U144,240))),Reference!$A$6:$A$11,1))))*(INDEX(Reference!$B$6:$B$11,MIN(5,MATCH(MAX(Reference!$A$6,MIN(Reference!$A$11,MIN($U144,240))),Reference!$A$6:$A$11,1))+1)-INDEX(Reference!$B$6:$B$11,MIN(5,MATCH(MAX(Reference!$A$6,MIN(Reference!$A$11,MIN($U144,240))),Reference!$A$6:$A$11,1))))/(INDEX(Reference!$A$6:$A$11,MIN(5,MATCH(MAX(Reference!$A$6,MIN(Reference!$A$11,MIN($U144,240))),Reference!$A$6:$A$11,1))+1)-INDEX(Reference!$A$6:$A$11,MIN(5,MATCH(MAX(Reference!$A$6,MIN(Reference!$A$11,MIN($U144,240))),Reference!$A$6:$A$11,1))))),0)+IF(7&lt;=$AL144,($AL144-7+3)*(INDEX(Reference!$B$6:$B$11,MIN(5,MATCH(MAX(Reference!$A$6,MIN(Reference!$A$11,MIN($U144,270))),Reference!$A$6:$A$11,1)))+(MAX(Reference!$A$6,MIN(Reference!$A$11,MIN($U144,270)))-INDEX(Reference!$A$6:$A$11,MIN(5,MATCH(MAX(Reference!$A$6,MIN(Reference!$A$11,MIN($U144,270))),Reference!$A$6:$A$11,1))))*(INDEX(Reference!$B$6:$B$11,MIN(5,MATCH(MAX(Reference!$A$6,MIN(Reference!$A$11,MIN($U144,270))),Reference!$A$6:$A$11,1))+1)-INDEX(Reference!$B$6:$B$11,MIN(5,MATCH(MAX(Reference!$A$6,MIN(Reference!$A$11,MIN($U144,270))),Reference!$A$6:$A$11,1))))/(INDEX(Reference!$A$6:$A$11,MIN(5,MATCH(MAX(Reference!$A$6,MIN(Reference!$A$11,MIN($U144,270))),Reference!$A$6:$A$11,1))+1)-INDEX(Reference!$A$6:$A$11,MIN(5,MATCH(MAX(Reference!$A$6,MIN(Reference!$A$11,MIN($U144,270))),Reference!$A$6:$A$11,1))))),0)+IF(8&lt;=$AL144,($AL144-8+3)*(INDEX(Reference!$B$6:$B$11,MIN(5,MATCH(MAX(Reference!$A$6,MIN(Reference!$A$11,MIN($U144,300))),Reference!$A$6:$A$11,1)))+(MAX(Reference!$A$6,MIN(Reference!$A$11,MIN($U144,300)))-INDEX(Reference!$A$6:$A$11,MIN(5,MATCH(MAX(Reference!$A$6,MIN(Reference!$A$11,MIN($U144,300))),Reference!$A$6:$A$11,1))))*(INDEX(Reference!$B$6:$B$11,MIN(5,MATCH(MAX(Reference!$A$6,MIN(Reference!$A$11,MIN($U144,300))),Reference!$A$6:$A$11,1))+1)-INDEX(Reference!$B$6:$B$11,MIN(5,MATCH(MAX(Reference!$A$6,MIN(Reference!$A$11,MIN($U144,300))),Reference!$A$6:$A$11,1))))/(INDEX(Reference!$A$6:$A$11,MIN(5,MATCH(MAX(Reference!$A$6,MIN(Reference!$A$11,MIN($U144,300))),Reference!$A$6:$A$11,1))+1)-INDEX(Reference!$A$6:$A$11,MIN(5,MATCH(MAX(Reference!$A$6,MIN(Reference!$A$11,MIN($U144,300))),Reference!$A$6:$A$11,1))))),0))/($AL144*($AL144+5)/2)),$AN144))</f>
        <v>0</v>
      </c>
      <c r="AN144" s="32">
        <f>IF($U144="",0,(INDEX(Reference!$B$6:$B$11,MIN(5,MATCH(MAX(Reference!$A$6,MIN(Reference!$A$11,$U144)),Reference!$A$6:$A$11,1)))+(MAX(Reference!$A$6,MIN(Reference!$A$11,$U144))-INDEX(Reference!$A$6:$A$11,MIN(5,MATCH(MAX(Reference!$A$6,MIN(Reference!$A$11,$U144)),Reference!$A$6:$A$11,1))))*(INDEX(Reference!$B$6:$B$11,MIN(5,MATCH(MAX(Reference!$A$6,MIN(Reference!$A$11,$U144)),Reference!$A$6:$A$11,1))+1)-INDEX(Reference!$B$6:$B$11,MIN(5,MATCH(MAX(Reference!$A$6,MIN(Reference!$A$11,$U144)),Reference!$A$6:$A$11,1))))/(INDEX(Reference!$A$6:$A$11,MIN(5,MATCH(MAX(Reference!$A$6,MIN(Reference!$A$11,$U144)),Reference!$A$6:$A$11,1))+1)-INDEX(Reference!$A$6:$A$11,MIN(5,MATCH(MAX(Reference!$A$6,MIN(Reference!$A$11,$U144)),Reference!$A$6:$A$11,1))))))</f>
        <v>0</v>
      </c>
      <c r="AO144" s="37"/>
      <c r="AP144" s="37"/>
      <c r="AQ144" s="37"/>
    </row>
    <row r="145" spans="1:43" x14ac:dyDescent="0.3">
      <c r="A145" s="48" t="str">
        <f t="shared" si="80"/>
        <v/>
      </c>
      <c r="B145" s="32" t="str">
        <f t="shared" si="81"/>
        <v/>
      </c>
      <c r="C145" s="32" t="str">
        <f t="shared" si="82"/>
        <v/>
      </c>
      <c r="D145" s="32" t="str">
        <f t="shared" si="83"/>
        <v/>
      </c>
      <c r="E145" s="32" t="str">
        <f t="shared" si="84"/>
        <v/>
      </c>
      <c r="F145" s="32" t="str">
        <f t="shared" si="85"/>
        <v/>
      </c>
      <c r="G145" s="47" t="str">
        <f t="shared" si="86"/>
        <v/>
      </c>
      <c r="H145" s="30" t="str">
        <f t="shared" si="87"/>
        <v/>
      </c>
      <c r="I145" s="46" t="str">
        <f>IF($A145="","",IF(AND($L145&lt;27,$K$12=0),"Building",IFERROR(((SUM($H$139:$H145)+$K$12*IF($L145&lt;6,SUMIFS('Throw Log'!$Q$5:$Q$300,'Throw Log'!$B$5:$B$300,$D$4,'Throw Log'!$A$5:$A$300,"&gt;="&amp;($D$6+$L145-6),'Throw Log'!$A$5:$A$300,"&lt;="&amp;($D$6-1)),0))/7)/((SUM($H$118:$H145)+$K$12*IF($L145&lt;27,SUMIFS('Throw Log'!$Q$5:$Q$300,'Throw Log'!$B$5:$B$300,$D$4,'Throw Log'!$A$5:$A$300,"&gt;="&amp;($D$6+$L145-27),'Throw Log'!$A$5:$A$300,"&lt;="&amp;($D$6-1)),0))/28),"")))</f>
        <v/>
      </c>
      <c r="J145" s="37"/>
      <c r="K145" s="37"/>
      <c r="L145" s="32">
        <v>102</v>
      </c>
      <c r="M145" s="32">
        <f t="shared" si="88"/>
        <v>15</v>
      </c>
      <c r="N145" s="32">
        <f t="shared" si="89"/>
        <v>4</v>
      </c>
      <c r="O145" s="32">
        <f t="shared" si="90"/>
        <v>1</v>
      </c>
      <c r="P145" s="32" t="str">
        <f>IF(OR($A145="",N($C145)&lt;=7),"",$G$6*$G$9^($M145-1)*IF(AND(MOD($M145,Reference!$B$99)=0,$M145&lt;=$G$5-2),Reference!$B$100,1))</f>
        <v/>
      </c>
      <c r="Q145" s="32" t="str">
        <f>IF($P145="","",IF(SUM($AK$141:$AK$147)=0,0,$P145*INDEX(Reference!$B$108:$B$114,$N145+1)/SUM($AK$141:$AK$147)))</f>
        <v/>
      </c>
      <c r="R145" s="32">
        <f t="shared" si="91"/>
        <v>120</v>
      </c>
      <c r="S145" s="32">
        <f t="shared" si="92"/>
        <v>105</v>
      </c>
      <c r="T145" s="32" t="str">
        <f>IF($A145="","",IF($C145=0,"Bullpen",IF(OR($C145=7,$C145=1,$C145=5),"Recovery/Easy Catch",IF($C145=6,"Compression/Pulldowns",IF(OR($C145=4,$C145=2),"Long Toss",IF($C145=3,"No Throw",IF($N145=2,"No Throw",IF($N145=6,IF($O145&lt;Reference!$B$104,"No Throw","Recovery/Easy Catch"),IF(OR($N145=0,$N145=4),"Recovery/Easy Catch",IF($N145=1,IF($R145&gt;75,"Long Toss","Recovery/Easy Catch"),IF($N145=3,IF($O145&lt;0.5,IF($S145&gt;75,"Long Toss","Recovery/Easy Catch"),"Compression/Pulldowns"),IF($S145&gt;75,"Long Toss","Recovery/Easy Catch"))))))))))))</f>
        <v/>
      </c>
      <c r="U145" s="32" t="str">
        <f t="shared" si="93"/>
        <v/>
      </c>
      <c r="V145" s="32" t="str">
        <f t="shared" si="94"/>
        <v/>
      </c>
      <c r="W145" s="32" t="str">
        <f t="shared" si="95"/>
        <v/>
      </c>
      <c r="X145" s="32">
        <f t="shared" si="96"/>
        <v>0</v>
      </c>
      <c r="Y145" s="32" t="str">
        <f t="shared" si="97"/>
        <v/>
      </c>
      <c r="Z145" s="32" t="str">
        <f t="shared" si="98"/>
        <v/>
      </c>
      <c r="AA145" s="32" t="str">
        <f t="shared" si="99"/>
        <v/>
      </c>
      <c r="AB145" s="32" t="str">
        <f>IF($A145="","",IF($T145="No Throw",0,IF($K145&lt;&gt;"",$K145,IF($AA145&lt;&gt;"",ROUND($AA145*$D$12*IF($C145=0,1,$G$10),0),MIN(IF($T145="Recovery/Easy Catch",Reference!$B$103,IF($T145="Long Toss",Reference!$B$106,Reference!$B$102)),MAX(Reference!$B$101,ROUND(MAX(0,$Q145-$AE145)/$AF145,0)))))))</f>
        <v/>
      </c>
      <c r="AC145" s="32">
        <f t="shared" si="100"/>
        <v>0</v>
      </c>
      <c r="AD145" s="32" t="b">
        <f t="shared" si="101"/>
        <v>1</v>
      </c>
      <c r="AE145" s="32">
        <f>IF($X145=0,0,$X145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145+$Z145)/2,0),Reference!$A$17:$B$20,2,TRUE()))</f>
        <v>0</v>
      </c>
      <c r="AF145" s="32">
        <f>IF(OR($A145="",$U145="",$T145="No Throw"),0,$AM145*VLOOKUP(MAX(($V145+$W145)/2,0),Reference!$A$17:$B$20,2,TRUE()))</f>
        <v>0</v>
      </c>
      <c r="AG145" s="32">
        <f>IF($AC145=0,0,$AC145*INDEX(Reference!$B$61:$B$62,MATCH("Bullpen",Reference!$A$61:$A$62,0))*VLOOKUP(MAX($D$5-($D$9+$E$9)/2,0),Reference!$A$17:$B$20,2,TRUE()))</f>
        <v>0</v>
      </c>
      <c r="AH145" s="32" t="e">
        <f t="shared" si="102"/>
        <v>#N/A</v>
      </c>
      <c r="AI145" s="32" t="e">
        <f>IF($A145="",NA(),Reference!$A$25)</f>
        <v>#N/A</v>
      </c>
      <c r="AJ145" s="32" t="e">
        <f t="shared" si="103"/>
        <v>#N/A</v>
      </c>
      <c r="AK145" s="32">
        <f>IF(OR($A145="",N($C145)&lt;=7,$T145="No Throw",$J145="x"),0,INDEX(Reference!$B$108:$B$114,$N145+1))</f>
        <v>0</v>
      </c>
      <c r="AL145" s="32">
        <f t="shared" si="104"/>
        <v>1</v>
      </c>
      <c r="AM145" s="32">
        <f>IF($U145="",0,IF($AL145&gt;1,((IF(1&lt;=$AL145,($AL145-1+3)*(INDEX(Reference!$B$6:$B$11,MIN(5,MATCH(MAX(Reference!$A$6,MIN(Reference!$A$11,MIN($U145,90))),Reference!$A$6:$A$11,1)))+(MAX(Reference!$A$6,MIN(Reference!$A$11,MIN($U145,90)))-INDEX(Reference!$A$6:$A$11,MIN(5,MATCH(MAX(Reference!$A$6,MIN(Reference!$A$11,MIN($U145,90))),Reference!$A$6:$A$11,1))))*(INDEX(Reference!$B$6:$B$11,MIN(5,MATCH(MAX(Reference!$A$6,MIN(Reference!$A$11,MIN($U145,90))),Reference!$A$6:$A$11,1))+1)-INDEX(Reference!$B$6:$B$11,MIN(5,MATCH(MAX(Reference!$A$6,MIN(Reference!$A$11,MIN($U145,90))),Reference!$A$6:$A$11,1))))/(INDEX(Reference!$A$6:$A$11,MIN(5,MATCH(MAX(Reference!$A$6,MIN(Reference!$A$11,MIN($U145,90))),Reference!$A$6:$A$11,1))+1)-INDEX(Reference!$A$6:$A$11,MIN(5,MATCH(MAX(Reference!$A$6,MIN(Reference!$A$11,MIN($U145,90))),Reference!$A$6:$A$11,1))))),0)+IF(2&lt;=$AL145,($AL145-2+3)*(INDEX(Reference!$B$6:$B$11,MIN(5,MATCH(MAX(Reference!$A$6,MIN(Reference!$A$11,MIN($U145,120))),Reference!$A$6:$A$11,1)))+(MAX(Reference!$A$6,MIN(Reference!$A$11,MIN($U145,120)))-INDEX(Reference!$A$6:$A$11,MIN(5,MATCH(MAX(Reference!$A$6,MIN(Reference!$A$11,MIN($U145,120))),Reference!$A$6:$A$11,1))))*(INDEX(Reference!$B$6:$B$11,MIN(5,MATCH(MAX(Reference!$A$6,MIN(Reference!$A$11,MIN($U145,120))),Reference!$A$6:$A$11,1))+1)-INDEX(Reference!$B$6:$B$11,MIN(5,MATCH(MAX(Reference!$A$6,MIN(Reference!$A$11,MIN($U145,120))),Reference!$A$6:$A$11,1))))/(INDEX(Reference!$A$6:$A$11,MIN(5,MATCH(MAX(Reference!$A$6,MIN(Reference!$A$11,MIN($U145,120))),Reference!$A$6:$A$11,1))+1)-INDEX(Reference!$A$6:$A$11,MIN(5,MATCH(MAX(Reference!$A$6,MIN(Reference!$A$11,MIN($U145,120))),Reference!$A$6:$A$11,1))))),0)+IF(3&lt;=$AL145,($AL145-3+3)*(INDEX(Reference!$B$6:$B$11,MIN(5,MATCH(MAX(Reference!$A$6,MIN(Reference!$A$11,MIN($U145,150))),Reference!$A$6:$A$11,1)))+(MAX(Reference!$A$6,MIN(Reference!$A$11,MIN($U145,150)))-INDEX(Reference!$A$6:$A$11,MIN(5,MATCH(MAX(Reference!$A$6,MIN(Reference!$A$11,MIN($U145,150))),Reference!$A$6:$A$11,1))))*(INDEX(Reference!$B$6:$B$11,MIN(5,MATCH(MAX(Reference!$A$6,MIN(Reference!$A$11,MIN($U145,150))),Reference!$A$6:$A$11,1))+1)-INDEX(Reference!$B$6:$B$11,MIN(5,MATCH(MAX(Reference!$A$6,MIN(Reference!$A$11,MIN($U145,150))),Reference!$A$6:$A$11,1))))/(INDEX(Reference!$A$6:$A$11,MIN(5,MATCH(MAX(Reference!$A$6,MIN(Reference!$A$11,MIN($U145,150))),Reference!$A$6:$A$11,1))+1)-INDEX(Reference!$A$6:$A$11,MIN(5,MATCH(MAX(Reference!$A$6,MIN(Reference!$A$11,MIN($U145,150))),Reference!$A$6:$A$11,1))))),0)+IF(4&lt;=$AL145,($AL145-4+3)*(INDEX(Reference!$B$6:$B$11,MIN(5,MATCH(MAX(Reference!$A$6,MIN(Reference!$A$11,MIN($U145,180))),Reference!$A$6:$A$11,1)))+(MAX(Reference!$A$6,MIN(Reference!$A$11,MIN($U145,180)))-INDEX(Reference!$A$6:$A$11,MIN(5,MATCH(MAX(Reference!$A$6,MIN(Reference!$A$11,MIN($U145,180))),Reference!$A$6:$A$11,1))))*(INDEX(Reference!$B$6:$B$11,MIN(5,MATCH(MAX(Reference!$A$6,MIN(Reference!$A$11,MIN($U145,180))),Reference!$A$6:$A$11,1))+1)-INDEX(Reference!$B$6:$B$11,MIN(5,MATCH(MAX(Reference!$A$6,MIN(Reference!$A$11,MIN($U145,180))),Reference!$A$6:$A$11,1))))/(INDEX(Reference!$A$6:$A$11,MIN(5,MATCH(MAX(Reference!$A$6,MIN(Reference!$A$11,MIN($U145,180))),Reference!$A$6:$A$11,1))+1)-INDEX(Reference!$A$6:$A$11,MIN(5,MATCH(MAX(Reference!$A$6,MIN(Reference!$A$11,MIN($U145,180))),Reference!$A$6:$A$11,1))))),0)+IF(5&lt;=$AL145,($AL145-5+3)*(INDEX(Reference!$B$6:$B$11,MIN(5,MATCH(MAX(Reference!$A$6,MIN(Reference!$A$11,MIN($U145,210))),Reference!$A$6:$A$11,1)))+(MAX(Reference!$A$6,MIN(Reference!$A$11,MIN($U145,210)))-INDEX(Reference!$A$6:$A$11,MIN(5,MATCH(MAX(Reference!$A$6,MIN(Reference!$A$11,MIN($U145,210))),Reference!$A$6:$A$11,1))))*(INDEX(Reference!$B$6:$B$11,MIN(5,MATCH(MAX(Reference!$A$6,MIN(Reference!$A$11,MIN($U145,210))),Reference!$A$6:$A$11,1))+1)-INDEX(Reference!$B$6:$B$11,MIN(5,MATCH(MAX(Reference!$A$6,MIN(Reference!$A$11,MIN($U145,210))),Reference!$A$6:$A$11,1))))/(INDEX(Reference!$A$6:$A$11,MIN(5,MATCH(MAX(Reference!$A$6,MIN(Reference!$A$11,MIN($U145,210))),Reference!$A$6:$A$11,1))+1)-INDEX(Reference!$A$6:$A$11,MIN(5,MATCH(MAX(Reference!$A$6,MIN(Reference!$A$11,MIN($U145,210))),Reference!$A$6:$A$11,1))))),0)+IF(6&lt;=$AL145,($AL145-6+3)*(INDEX(Reference!$B$6:$B$11,MIN(5,MATCH(MAX(Reference!$A$6,MIN(Reference!$A$11,MIN($U145,240))),Reference!$A$6:$A$11,1)))+(MAX(Reference!$A$6,MIN(Reference!$A$11,MIN($U145,240)))-INDEX(Reference!$A$6:$A$11,MIN(5,MATCH(MAX(Reference!$A$6,MIN(Reference!$A$11,MIN($U145,240))),Reference!$A$6:$A$11,1))))*(INDEX(Reference!$B$6:$B$11,MIN(5,MATCH(MAX(Reference!$A$6,MIN(Reference!$A$11,MIN($U145,240))),Reference!$A$6:$A$11,1))+1)-INDEX(Reference!$B$6:$B$11,MIN(5,MATCH(MAX(Reference!$A$6,MIN(Reference!$A$11,MIN($U145,240))),Reference!$A$6:$A$11,1))))/(INDEX(Reference!$A$6:$A$11,MIN(5,MATCH(MAX(Reference!$A$6,MIN(Reference!$A$11,MIN($U145,240))),Reference!$A$6:$A$11,1))+1)-INDEX(Reference!$A$6:$A$11,MIN(5,MATCH(MAX(Reference!$A$6,MIN(Reference!$A$11,MIN($U145,240))),Reference!$A$6:$A$11,1))))),0)+IF(7&lt;=$AL145,($AL145-7+3)*(INDEX(Reference!$B$6:$B$11,MIN(5,MATCH(MAX(Reference!$A$6,MIN(Reference!$A$11,MIN($U145,270))),Reference!$A$6:$A$11,1)))+(MAX(Reference!$A$6,MIN(Reference!$A$11,MIN($U145,270)))-INDEX(Reference!$A$6:$A$11,MIN(5,MATCH(MAX(Reference!$A$6,MIN(Reference!$A$11,MIN($U145,270))),Reference!$A$6:$A$11,1))))*(INDEX(Reference!$B$6:$B$11,MIN(5,MATCH(MAX(Reference!$A$6,MIN(Reference!$A$11,MIN($U145,270))),Reference!$A$6:$A$11,1))+1)-INDEX(Reference!$B$6:$B$11,MIN(5,MATCH(MAX(Reference!$A$6,MIN(Reference!$A$11,MIN($U145,270))),Reference!$A$6:$A$11,1))))/(INDEX(Reference!$A$6:$A$11,MIN(5,MATCH(MAX(Reference!$A$6,MIN(Reference!$A$11,MIN($U145,270))),Reference!$A$6:$A$11,1))+1)-INDEX(Reference!$A$6:$A$11,MIN(5,MATCH(MAX(Reference!$A$6,MIN(Reference!$A$11,MIN($U145,270))),Reference!$A$6:$A$11,1))))),0)+IF(8&lt;=$AL145,($AL145-8+3)*(INDEX(Reference!$B$6:$B$11,MIN(5,MATCH(MAX(Reference!$A$6,MIN(Reference!$A$11,MIN($U145,300))),Reference!$A$6:$A$11,1)))+(MAX(Reference!$A$6,MIN(Reference!$A$11,MIN($U145,300)))-INDEX(Reference!$A$6:$A$11,MIN(5,MATCH(MAX(Reference!$A$6,MIN(Reference!$A$11,MIN($U145,300))),Reference!$A$6:$A$11,1))))*(INDEX(Reference!$B$6:$B$11,MIN(5,MATCH(MAX(Reference!$A$6,MIN(Reference!$A$11,MIN($U145,300))),Reference!$A$6:$A$11,1))+1)-INDEX(Reference!$B$6:$B$11,MIN(5,MATCH(MAX(Reference!$A$6,MIN(Reference!$A$11,MIN($U145,300))),Reference!$A$6:$A$11,1))))/(INDEX(Reference!$A$6:$A$11,MIN(5,MATCH(MAX(Reference!$A$6,MIN(Reference!$A$11,MIN($U145,300))),Reference!$A$6:$A$11,1))+1)-INDEX(Reference!$A$6:$A$11,MIN(5,MATCH(MAX(Reference!$A$6,MIN(Reference!$A$11,MIN($U145,300))),Reference!$A$6:$A$11,1))))),0))/($AL145*($AL145+5)/2)),$AN145))</f>
        <v>0</v>
      </c>
      <c r="AN145" s="32">
        <f>IF($U145="",0,(INDEX(Reference!$B$6:$B$11,MIN(5,MATCH(MAX(Reference!$A$6,MIN(Reference!$A$11,$U145)),Reference!$A$6:$A$11,1)))+(MAX(Reference!$A$6,MIN(Reference!$A$11,$U145))-INDEX(Reference!$A$6:$A$11,MIN(5,MATCH(MAX(Reference!$A$6,MIN(Reference!$A$11,$U145)),Reference!$A$6:$A$11,1))))*(INDEX(Reference!$B$6:$B$11,MIN(5,MATCH(MAX(Reference!$A$6,MIN(Reference!$A$11,$U145)),Reference!$A$6:$A$11,1))+1)-INDEX(Reference!$B$6:$B$11,MIN(5,MATCH(MAX(Reference!$A$6,MIN(Reference!$A$11,$U145)),Reference!$A$6:$A$11,1))))/(INDEX(Reference!$A$6:$A$11,MIN(5,MATCH(MAX(Reference!$A$6,MIN(Reference!$A$11,$U145)),Reference!$A$6:$A$11,1))+1)-INDEX(Reference!$A$6:$A$11,MIN(5,MATCH(MAX(Reference!$A$6,MIN(Reference!$A$11,$U145)),Reference!$A$6:$A$11,1))))))</f>
        <v>0</v>
      </c>
      <c r="AO145" s="37"/>
      <c r="AP145" s="37"/>
      <c r="AQ145" s="37"/>
    </row>
    <row r="146" spans="1:43" x14ac:dyDescent="0.3">
      <c r="A146" s="48" t="str">
        <f t="shared" si="80"/>
        <v/>
      </c>
      <c r="B146" s="32" t="str">
        <f t="shared" si="81"/>
        <v/>
      </c>
      <c r="C146" s="32" t="str">
        <f t="shared" si="82"/>
        <v/>
      </c>
      <c r="D146" s="32" t="str">
        <f t="shared" si="83"/>
        <v/>
      </c>
      <c r="E146" s="32" t="str">
        <f t="shared" si="84"/>
        <v/>
      </c>
      <c r="F146" s="32" t="str">
        <f t="shared" si="85"/>
        <v/>
      </c>
      <c r="G146" s="47" t="str">
        <f t="shared" si="86"/>
        <v/>
      </c>
      <c r="H146" s="30" t="str">
        <f t="shared" si="87"/>
        <v/>
      </c>
      <c r="I146" s="46" t="str">
        <f>IF($A146="","",IF(AND($L146&lt;27,$K$12=0),"Building",IFERROR(((SUM($H$140:$H146)+$K$12*IF($L146&lt;6,SUMIFS('Throw Log'!$Q$5:$Q$300,'Throw Log'!$B$5:$B$300,$D$4,'Throw Log'!$A$5:$A$300,"&gt;="&amp;($D$6+$L146-6),'Throw Log'!$A$5:$A$300,"&lt;="&amp;($D$6-1)),0))/7)/((SUM($H$119:$H146)+$K$12*IF($L146&lt;27,SUMIFS('Throw Log'!$Q$5:$Q$300,'Throw Log'!$B$5:$B$300,$D$4,'Throw Log'!$A$5:$A$300,"&gt;="&amp;($D$6+$L146-27),'Throw Log'!$A$5:$A$300,"&lt;="&amp;($D$6-1)),0))/28),"")))</f>
        <v/>
      </c>
      <c r="J146" s="37"/>
      <c r="K146" s="37"/>
      <c r="L146" s="32">
        <v>103</v>
      </c>
      <c r="M146" s="32">
        <f t="shared" si="88"/>
        <v>15</v>
      </c>
      <c r="N146" s="32">
        <f t="shared" si="89"/>
        <v>5</v>
      </c>
      <c r="O146" s="32">
        <f t="shared" si="90"/>
        <v>1</v>
      </c>
      <c r="P146" s="32" t="str">
        <f>IF(OR($A146="",N($C146)&lt;=7),"",$G$6*$G$9^($M146-1)*IF(AND(MOD($M146,Reference!$B$99)=0,$M146&lt;=$G$5-2),Reference!$B$100,1))</f>
        <v/>
      </c>
      <c r="Q146" s="32" t="str">
        <f>IF($P146="","",IF(SUM($AK$141:$AK$147)=0,0,$P146*INDEX(Reference!$B$108:$B$114,$N146+1)/SUM($AK$141:$AK$147)))</f>
        <v/>
      </c>
      <c r="R146" s="32">
        <f t="shared" si="91"/>
        <v>120</v>
      </c>
      <c r="S146" s="32">
        <f t="shared" si="92"/>
        <v>105</v>
      </c>
      <c r="T146" s="32" t="str">
        <f>IF($A146="","",IF($C146=0,"Bullpen",IF(OR($C146=7,$C146=1,$C146=5),"Recovery/Easy Catch",IF($C146=6,"Compression/Pulldowns",IF(OR($C146=4,$C146=2),"Long Toss",IF($C146=3,"No Throw",IF($N146=2,"No Throw",IF($N146=6,IF($O146&lt;Reference!$B$104,"No Throw","Recovery/Easy Catch"),IF(OR($N146=0,$N146=4),"Recovery/Easy Catch",IF($N146=1,IF($R146&gt;75,"Long Toss","Recovery/Easy Catch"),IF($N146=3,IF($O146&lt;0.5,IF($S146&gt;75,"Long Toss","Recovery/Easy Catch"),"Compression/Pulldowns"),IF($S146&gt;75,"Long Toss","Recovery/Easy Catch"))))))))))))</f>
        <v/>
      </c>
      <c r="U146" s="32" t="str">
        <f t="shared" si="93"/>
        <v/>
      </c>
      <c r="V146" s="32" t="str">
        <f t="shared" si="94"/>
        <v/>
      </c>
      <c r="W146" s="32" t="str">
        <f t="shared" si="95"/>
        <v/>
      </c>
      <c r="X146" s="32">
        <f t="shared" si="96"/>
        <v>0</v>
      </c>
      <c r="Y146" s="32" t="str">
        <f t="shared" si="97"/>
        <v/>
      </c>
      <c r="Z146" s="32" t="str">
        <f t="shared" si="98"/>
        <v/>
      </c>
      <c r="AA146" s="32" t="str">
        <f t="shared" si="99"/>
        <v/>
      </c>
      <c r="AB146" s="32" t="str">
        <f>IF($A146="","",IF($T146="No Throw",0,IF($K146&lt;&gt;"",$K146,IF($AA146&lt;&gt;"",ROUND($AA146*$D$12*IF($C146=0,1,$G$10),0),MIN(IF($T146="Recovery/Easy Catch",Reference!$B$103,IF($T146="Long Toss",Reference!$B$106,Reference!$B$102)),MAX(Reference!$B$101,ROUND(MAX(0,$Q146-$AE146)/$AF146,0)))))))</f>
        <v/>
      </c>
      <c r="AC146" s="32">
        <f t="shared" si="100"/>
        <v>0</v>
      </c>
      <c r="AD146" s="32" t="b">
        <f t="shared" si="101"/>
        <v>1</v>
      </c>
      <c r="AE146" s="32">
        <f>IF($X146=0,0,$X146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146+$Z146)/2,0),Reference!$A$17:$B$20,2,TRUE()))</f>
        <v>0</v>
      </c>
      <c r="AF146" s="32">
        <f>IF(OR($A146="",$U146="",$T146="No Throw"),0,$AM146*VLOOKUP(MAX(($V146+$W146)/2,0),Reference!$A$17:$B$20,2,TRUE()))</f>
        <v>0</v>
      </c>
      <c r="AG146" s="32">
        <f>IF($AC146=0,0,$AC146*INDEX(Reference!$B$61:$B$62,MATCH("Bullpen",Reference!$A$61:$A$62,0))*VLOOKUP(MAX($D$5-($D$9+$E$9)/2,0),Reference!$A$17:$B$20,2,TRUE()))</f>
        <v>0</v>
      </c>
      <c r="AH146" s="32" t="e">
        <f t="shared" si="102"/>
        <v>#N/A</v>
      </c>
      <c r="AI146" s="32" t="e">
        <f>IF($A146="",NA(),Reference!$A$25)</f>
        <v>#N/A</v>
      </c>
      <c r="AJ146" s="32" t="e">
        <f t="shared" si="103"/>
        <v>#N/A</v>
      </c>
      <c r="AK146" s="32">
        <f>IF(OR($A146="",N($C146)&lt;=7,$T146="No Throw",$J146="x"),0,INDEX(Reference!$B$108:$B$114,$N146+1))</f>
        <v>0</v>
      </c>
      <c r="AL146" s="32">
        <f t="shared" si="104"/>
        <v>1</v>
      </c>
      <c r="AM146" s="32">
        <f>IF($U146="",0,IF($AL146&gt;1,((IF(1&lt;=$AL146,($AL146-1+3)*(INDEX(Reference!$B$6:$B$11,MIN(5,MATCH(MAX(Reference!$A$6,MIN(Reference!$A$11,MIN($U146,90))),Reference!$A$6:$A$11,1)))+(MAX(Reference!$A$6,MIN(Reference!$A$11,MIN($U146,90)))-INDEX(Reference!$A$6:$A$11,MIN(5,MATCH(MAX(Reference!$A$6,MIN(Reference!$A$11,MIN($U146,90))),Reference!$A$6:$A$11,1))))*(INDEX(Reference!$B$6:$B$11,MIN(5,MATCH(MAX(Reference!$A$6,MIN(Reference!$A$11,MIN($U146,90))),Reference!$A$6:$A$11,1))+1)-INDEX(Reference!$B$6:$B$11,MIN(5,MATCH(MAX(Reference!$A$6,MIN(Reference!$A$11,MIN($U146,90))),Reference!$A$6:$A$11,1))))/(INDEX(Reference!$A$6:$A$11,MIN(5,MATCH(MAX(Reference!$A$6,MIN(Reference!$A$11,MIN($U146,90))),Reference!$A$6:$A$11,1))+1)-INDEX(Reference!$A$6:$A$11,MIN(5,MATCH(MAX(Reference!$A$6,MIN(Reference!$A$11,MIN($U146,90))),Reference!$A$6:$A$11,1))))),0)+IF(2&lt;=$AL146,($AL146-2+3)*(INDEX(Reference!$B$6:$B$11,MIN(5,MATCH(MAX(Reference!$A$6,MIN(Reference!$A$11,MIN($U146,120))),Reference!$A$6:$A$11,1)))+(MAX(Reference!$A$6,MIN(Reference!$A$11,MIN($U146,120)))-INDEX(Reference!$A$6:$A$11,MIN(5,MATCH(MAX(Reference!$A$6,MIN(Reference!$A$11,MIN($U146,120))),Reference!$A$6:$A$11,1))))*(INDEX(Reference!$B$6:$B$11,MIN(5,MATCH(MAX(Reference!$A$6,MIN(Reference!$A$11,MIN($U146,120))),Reference!$A$6:$A$11,1))+1)-INDEX(Reference!$B$6:$B$11,MIN(5,MATCH(MAX(Reference!$A$6,MIN(Reference!$A$11,MIN($U146,120))),Reference!$A$6:$A$11,1))))/(INDEX(Reference!$A$6:$A$11,MIN(5,MATCH(MAX(Reference!$A$6,MIN(Reference!$A$11,MIN($U146,120))),Reference!$A$6:$A$11,1))+1)-INDEX(Reference!$A$6:$A$11,MIN(5,MATCH(MAX(Reference!$A$6,MIN(Reference!$A$11,MIN($U146,120))),Reference!$A$6:$A$11,1))))),0)+IF(3&lt;=$AL146,($AL146-3+3)*(INDEX(Reference!$B$6:$B$11,MIN(5,MATCH(MAX(Reference!$A$6,MIN(Reference!$A$11,MIN($U146,150))),Reference!$A$6:$A$11,1)))+(MAX(Reference!$A$6,MIN(Reference!$A$11,MIN($U146,150)))-INDEX(Reference!$A$6:$A$11,MIN(5,MATCH(MAX(Reference!$A$6,MIN(Reference!$A$11,MIN($U146,150))),Reference!$A$6:$A$11,1))))*(INDEX(Reference!$B$6:$B$11,MIN(5,MATCH(MAX(Reference!$A$6,MIN(Reference!$A$11,MIN($U146,150))),Reference!$A$6:$A$11,1))+1)-INDEX(Reference!$B$6:$B$11,MIN(5,MATCH(MAX(Reference!$A$6,MIN(Reference!$A$11,MIN($U146,150))),Reference!$A$6:$A$11,1))))/(INDEX(Reference!$A$6:$A$11,MIN(5,MATCH(MAX(Reference!$A$6,MIN(Reference!$A$11,MIN($U146,150))),Reference!$A$6:$A$11,1))+1)-INDEX(Reference!$A$6:$A$11,MIN(5,MATCH(MAX(Reference!$A$6,MIN(Reference!$A$11,MIN($U146,150))),Reference!$A$6:$A$11,1))))),0)+IF(4&lt;=$AL146,($AL146-4+3)*(INDEX(Reference!$B$6:$B$11,MIN(5,MATCH(MAX(Reference!$A$6,MIN(Reference!$A$11,MIN($U146,180))),Reference!$A$6:$A$11,1)))+(MAX(Reference!$A$6,MIN(Reference!$A$11,MIN($U146,180)))-INDEX(Reference!$A$6:$A$11,MIN(5,MATCH(MAX(Reference!$A$6,MIN(Reference!$A$11,MIN($U146,180))),Reference!$A$6:$A$11,1))))*(INDEX(Reference!$B$6:$B$11,MIN(5,MATCH(MAX(Reference!$A$6,MIN(Reference!$A$11,MIN($U146,180))),Reference!$A$6:$A$11,1))+1)-INDEX(Reference!$B$6:$B$11,MIN(5,MATCH(MAX(Reference!$A$6,MIN(Reference!$A$11,MIN($U146,180))),Reference!$A$6:$A$11,1))))/(INDEX(Reference!$A$6:$A$11,MIN(5,MATCH(MAX(Reference!$A$6,MIN(Reference!$A$11,MIN($U146,180))),Reference!$A$6:$A$11,1))+1)-INDEX(Reference!$A$6:$A$11,MIN(5,MATCH(MAX(Reference!$A$6,MIN(Reference!$A$11,MIN($U146,180))),Reference!$A$6:$A$11,1))))),0)+IF(5&lt;=$AL146,($AL146-5+3)*(INDEX(Reference!$B$6:$B$11,MIN(5,MATCH(MAX(Reference!$A$6,MIN(Reference!$A$11,MIN($U146,210))),Reference!$A$6:$A$11,1)))+(MAX(Reference!$A$6,MIN(Reference!$A$11,MIN($U146,210)))-INDEX(Reference!$A$6:$A$11,MIN(5,MATCH(MAX(Reference!$A$6,MIN(Reference!$A$11,MIN($U146,210))),Reference!$A$6:$A$11,1))))*(INDEX(Reference!$B$6:$B$11,MIN(5,MATCH(MAX(Reference!$A$6,MIN(Reference!$A$11,MIN($U146,210))),Reference!$A$6:$A$11,1))+1)-INDEX(Reference!$B$6:$B$11,MIN(5,MATCH(MAX(Reference!$A$6,MIN(Reference!$A$11,MIN($U146,210))),Reference!$A$6:$A$11,1))))/(INDEX(Reference!$A$6:$A$11,MIN(5,MATCH(MAX(Reference!$A$6,MIN(Reference!$A$11,MIN($U146,210))),Reference!$A$6:$A$11,1))+1)-INDEX(Reference!$A$6:$A$11,MIN(5,MATCH(MAX(Reference!$A$6,MIN(Reference!$A$11,MIN($U146,210))),Reference!$A$6:$A$11,1))))),0)+IF(6&lt;=$AL146,($AL146-6+3)*(INDEX(Reference!$B$6:$B$11,MIN(5,MATCH(MAX(Reference!$A$6,MIN(Reference!$A$11,MIN($U146,240))),Reference!$A$6:$A$11,1)))+(MAX(Reference!$A$6,MIN(Reference!$A$11,MIN($U146,240)))-INDEX(Reference!$A$6:$A$11,MIN(5,MATCH(MAX(Reference!$A$6,MIN(Reference!$A$11,MIN($U146,240))),Reference!$A$6:$A$11,1))))*(INDEX(Reference!$B$6:$B$11,MIN(5,MATCH(MAX(Reference!$A$6,MIN(Reference!$A$11,MIN($U146,240))),Reference!$A$6:$A$11,1))+1)-INDEX(Reference!$B$6:$B$11,MIN(5,MATCH(MAX(Reference!$A$6,MIN(Reference!$A$11,MIN($U146,240))),Reference!$A$6:$A$11,1))))/(INDEX(Reference!$A$6:$A$11,MIN(5,MATCH(MAX(Reference!$A$6,MIN(Reference!$A$11,MIN($U146,240))),Reference!$A$6:$A$11,1))+1)-INDEX(Reference!$A$6:$A$11,MIN(5,MATCH(MAX(Reference!$A$6,MIN(Reference!$A$11,MIN($U146,240))),Reference!$A$6:$A$11,1))))),0)+IF(7&lt;=$AL146,($AL146-7+3)*(INDEX(Reference!$B$6:$B$11,MIN(5,MATCH(MAX(Reference!$A$6,MIN(Reference!$A$11,MIN($U146,270))),Reference!$A$6:$A$11,1)))+(MAX(Reference!$A$6,MIN(Reference!$A$11,MIN($U146,270)))-INDEX(Reference!$A$6:$A$11,MIN(5,MATCH(MAX(Reference!$A$6,MIN(Reference!$A$11,MIN($U146,270))),Reference!$A$6:$A$11,1))))*(INDEX(Reference!$B$6:$B$11,MIN(5,MATCH(MAX(Reference!$A$6,MIN(Reference!$A$11,MIN($U146,270))),Reference!$A$6:$A$11,1))+1)-INDEX(Reference!$B$6:$B$11,MIN(5,MATCH(MAX(Reference!$A$6,MIN(Reference!$A$11,MIN($U146,270))),Reference!$A$6:$A$11,1))))/(INDEX(Reference!$A$6:$A$11,MIN(5,MATCH(MAX(Reference!$A$6,MIN(Reference!$A$11,MIN($U146,270))),Reference!$A$6:$A$11,1))+1)-INDEX(Reference!$A$6:$A$11,MIN(5,MATCH(MAX(Reference!$A$6,MIN(Reference!$A$11,MIN($U146,270))),Reference!$A$6:$A$11,1))))),0)+IF(8&lt;=$AL146,($AL146-8+3)*(INDEX(Reference!$B$6:$B$11,MIN(5,MATCH(MAX(Reference!$A$6,MIN(Reference!$A$11,MIN($U146,300))),Reference!$A$6:$A$11,1)))+(MAX(Reference!$A$6,MIN(Reference!$A$11,MIN($U146,300)))-INDEX(Reference!$A$6:$A$11,MIN(5,MATCH(MAX(Reference!$A$6,MIN(Reference!$A$11,MIN($U146,300))),Reference!$A$6:$A$11,1))))*(INDEX(Reference!$B$6:$B$11,MIN(5,MATCH(MAX(Reference!$A$6,MIN(Reference!$A$11,MIN($U146,300))),Reference!$A$6:$A$11,1))+1)-INDEX(Reference!$B$6:$B$11,MIN(5,MATCH(MAX(Reference!$A$6,MIN(Reference!$A$11,MIN($U146,300))),Reference!$A$6:$A$11,1))))/(INDEX(Reference!$A$6:$A$11,MIN(5,MATCH(MAX(Reference!$A$6,MIN(Reference!$A$11,MIN($U146,300))),Reference!$A$6:$A$11,1))+1)-INDEX(Reference!$A$6:$A$11,MIN(5,MATCH(MAX(Reference!$A$6,MIN(Reference!$A$11,MIN($U146,300))),Reference!$A$6:$A$11,1))))),0))/($AL146*($AL146+5)/2)),$AN146))</f>
        <v>0</v>
      </c>
      <c r="AN146" s="32">
        <f>IF($U146="",0,(INDEX(Reference!$B$6:$B$11,MIN(5,MATCH(MAX(Reference!$A$6,MIN(Reference!$A$11,$U146)),Reference!$A$6:$A$11,1)))+(MAX(Reference!$A$6,MIN(Reference!$A$11,$U146))-INDEX(Reference!$A$6:$A$11,MIN(5,MATCH(MAX(Reference!$A$6,MIN(Reference!$A$11,$U146)),Reference!$A$6:$A$11,1))))*(INDEX(Reference!$B$6:$B$11,MIN(5,MATCH(MAX(Reference!$A$6,MIN(Reference!$A$11,$U146)),Reference!$A$6:$A$11,1))+1)-INDEX(Reference!$B$6:$B$11,MIN(5,MATCH(MAX(Reference!$A$6,MIN(Reference!$A$11,$U146)),Reference!$A$6:$A$11,1))))/(INDEX(Reference!$A$6:$A$11,MIN(5,MATCH(MAX(Reference!$A$6,MIN(Reference!$A$11,$U146)),Reference!$A$6:$A$11,1))+1)-INDEX(Reference!$A$6:$A$11,MIN(5,MATCH(MAX(Reference!$A$6,MIN(Reference!$A$11,$U146)),Reference!$A$6:$A$11,1))))))</f>
        <v>0</v>
      </c>
      <c r="AO146" s="37"/>
      <c r="AP146" s="37"/>
      <c r="AQ146" s="37"/>
    </row>
    <row r="147" spans="1:43" x14ac:dyDescent="0.3">
      <c r="A147" s="48" t="str">
        <f t="shared" si="80"/>
        <v/>
      </c>
      <c r="B147" s="32" t="str">
        <f t="shared" si="81"/>
        <v/>
      </c>
      <c r="C147" s="32" t="str">
        <f t="shared" si="82"/>
        <v/>
      </c>
      <c r="D147" s="32" t="str">
        <f t="shared" si="83"/>
        <v/>
      </c>
      <c r="E147" s="32" t="str">
        <f t="shared" si="84"/>
        <v/>
      </c>
      <c r="F147" s="32" t="str">
        <f t="shared" si="85"/>
        <v/>
      </c>
      <c r="G147" s="47" t="str">
        <f t="shared" si="86"/>
        <v/>
      </c>
      <c r="H147" s="30" t="str">
        <f t="shared" si="87"/>
        <v/>
      </c>
      <c r="I147" s="46" t="str">
        <f>IF($A147="","",IF(AND($L147&lt;27,$K$12=0),"Building",IFERROR(((SUM($H$141:$H147)+$K$12*IF($L147&lt;6,SUMIFS('Throw Log'!$Q$5:$Q$300,'Throw Log'!$B$5:$B$300,$D$4,'Throw Log'!$A$5:$A$300,"&gt;="&amp;($D$6+$L147-6),'Throw Log'!$A$5:$A$300,"&lt;="&amp;($D$6-1)),0))/7)/((SUM($H$120:$H147)+$K$12*IF($L147&lt;27,SUMIFS('Throw Log'!$Q$5:$Q$300,'Throw Log'!$B$5:$B$300,$D$4,'Throw Log'!$A$5:$A$300,"&gt;="&amp;($D$6+$L147-27),'Throw Log'!$A$5:$A$300,"&lt;="&amp;($D$6-1)),0))/28),"")))</f>
        <v/>
      </c>
      <c r="J147" s="37"/>
      <c r="K147" s="37"/>
      <c r="L147" s="32">
        <v>104</v>
      </c>
      <c r="M147" s="32">
        <f t="shared" si="88"/>
        <v>15</v>
      </c>
      <c r="N147" s="32">
        <f t="shared" si="89"/>
        <v>6</v>
      </c>
      <c r="O147" s="32">
        <f t="shared" si="90"/>
        <v>1</v>
      </c>
      <c r="P147" s="32" t="str">
        <f>IF(OR($A147="",N($C147)&lt;=7),"",$G$6*$G$9^($M147-1)*IF(AND(MOD($M147,Reference!$B$99)=0,$M147&lt;=$G$5-2),Reference!$B$100,1))</f>
        <v/>
      </c>
      <c r="Q147" s="32" t="str">
        <f>IF($P147="","",IF(SUM($AK$141:$AK$147)=0,0,$P147*INDEX(Reference!$B$108:$B$114,$N147+1)/SUM($AK$141:$AK$147)))</f>
        <v/>
      </c>
      <c r="R147" s="32">
        <f t="shared" si="91"/>
        <v>120</v>
      </c>
      <c r="S147" s="32">
        <f t="shared" si="92"/>
        <v>105</v>
      </c>
      <c r="T147" s="32" t="str">
        <f>IF($A147="","",IF($C147=0,"Bullpen",IF(OR($C147=7,$C147=1,$C147=5),"Recovery/Easy Catch",IF($C147=6,"Compression/Pulldowns",IF(OR($C147=4,$C147=2),"Long Toss",IF($C147=3,"No Throw",IF($N147=2,"No Throw",IF($N147=6,IF($O147&lt;Reference!$B$104,"No Throw","Recovery/Easy Catch"),IF(OR($N147=0,$N147=4),"Recovery/Easy Catch",IF($N147=1,IF($R147&gt;75,"Long Toss","Recovery/Easy Catch"),IF($N147=3,IF($O147&lt;0.5,IF($S147&gt;75,"Long Toss","Recovery/Easy Catch"),"Compression/Pulldowns"),IF($S147&gt;75,"Long Toss","Recovery/Easy Catch"))))))))))))</f>
        <v/>
      </c>
      <c r="U147" s="32" t="str">
        <f t="shared" si="93"/>
        <v/>
      </c>
      <c r="V147" s="32" t="str">
        <f t="shared" si="94"/>
        <v/>
      </c>
      <c r="W147" s="32" t="str">
        <f t="shared" si="95"/>
        <v/>
      </c>
      <c r="X147" s="32">
        <f t="shared" si="96"/>
        <v>0</v>
      </c>
      <c r="Y147" s="32" t="str">
        <f t="shared" si="97"/>
        <v/>
      </c>
      <c r="Z147" s="32" t="str">
        <f t="shared" si="98"/>
        <v/>
      </c>
      <c r="AA147" s="32" t="str">
        <f t="shared" si="99"/>
        <v/>
      </c>
      <c r="AB147" s="32" t="str">
        <f>IF($A147="","",IF($T147="No Throw",0,IF($K147&lt;&gt;"",$K147,IF($AA147&lt;&gt;"",ROUND($AA147*$D$12*IF($C147=0,1,$G$10),0),MIN(IF($T147="Recovery/Easy Catch",Reference!$B$103,IF($T147="Long Toss",Reference!$B$106,Reference!$B$102)),MAX(Reference!$B$101,ROUND(MAX(0,$Q147-$AE147)/$AF147,0)))))))</f>
        <v/>
      </c>
      <c r="AC147" s="32">
        <f t="shared" si="100"/>
        <v>0</v>
      </c>
      <c r="AD147" s="32" t="b">
        <f t="shared" si="101"/>
        <v>1</v>
      </c>
      <c r="AE147" s="32">
        <f>IF($X147=0,0,$X147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147+$Z147)/2,0),Reference!$A$17:$B$20,2,TRUE()))</f>
        <v>0</v>
      </c>
      <c r="AF147" s="32">
        <f>IF(OR($A147="",$U147="",$T147="No Throw"),0,$AM147*VLOOKUP(MAX(($V147+$W147)/2,0),Reference!$A$17:$B$20,2,TRUE()))</f>
        <v>0</v>
      </c>
      <c r="AG147" s="32">
        <f>IF($AC147=0,0,$AC147*INDEX(Reference!$B$61:$B$62,MATCH("Bullpen",Reference!$A$61:$A$62,0))*VLOOKUP(MAX($D$5-($D$9+$E$9)/2,0),Reference!$A$17:$B$20,2,TRUE()))</f>
        <v>0</v>
      </c>
      <c r="AH147" s="32" t="e">
        <f t="shared" si="102"/>
        <v>#N/A</v>
      </c>
      <c r="AI147" s="32" t="e">
        <f>IF($A147="",NA(),Reference!$A$25)</f>
        <v>#N/A</v>
      </c>
      <c r="AJ147" s="32" t="e">
        <f t="shared" si="103"/>
        <v>#N/A</v>
      </c>
      <c r="AK147" s="32">
        <f>IF(OR($A147="",N($C147)&lt;=7,$T147="No Throw",$J147="x"),0,INDEX(Reference!$B$108:$B$114,$N147+1))</f>
        <v>0</v>
      </c>
      <c r="AL147" s="32">
        <f t="shared" si="104"/>
        <v>1</v>
      </c>
      <c r="AM147" s="32">
        <f>IF($U147="",0,IF($AL147&gt;1,((IF(1&lt;=$AL147,($AL147-1+3)*(INDEX(Reference!$B$6:$B$11,MIN(5,MATCH(MAX(Reference!$A$6,MIN(Reference!$A$11,MIN($U147,90))),Reference!$A$6:$A$11,1)))+(MAX(Reference!$A$6,MIN(Reference!$A$11,MIN($U147,90)))-INDEX(Reference!$A$6:$A$11,MIN(5,MATCH(MAX(Reference!$A$6,MIN(Reference!$A$11,MIN($U147,90))),Reference!$A$6:$A$11,1))))*(INDEX(Reference!$B$6:$B$11,MIN(5,MATCH(MAX(Reference!$A$6,MIN(Reference!$A$11,MIN($U147,90))),Reference!$A$6:$A$11,1))+1)-INDEX(Reference!$B$6:$B$11,MIN(5,MATCH(MAX(Reference!$A$6,MIN(Reference!$A$11,MIN($U147,90))),Reference!$A$6:$A$11,1))))/(INDEX(Reference!$A$6:$A$11,MIN(5,MATCH(MAX(Reference!$A$6,MIN(Reference!$A$11,MIN($U147,90))),Reference!$A$6:$A$11,1))+1)-INDEX(Reference!$A$6:$A$11,MIN(5,MATCH(MAX(Reference!$A$6,MIN(Reference!$A$11,MIN($U147,90))),Reference!$A$6:$A$11,1))))),0)+IF(2&lt;=$AL147,($AL147-2+3)*(INDEX(Reference!$B$6:$B$11,MIN(5,MATCH(MAX(Reference!$A$6,MIN(Reference!$A$11,MIN($U147,120))),Reference!$A$6:$A$11,1)))+(MAX(Reference!$A$6,MIN(Reference!$A$11,MIN($U147,120)))-INDEX(Reference!$A$6:$A$11,MIN(5,MATCH(MAX(Reference!$A$6,MIN(Reference!$A$11,MIN($U147,120))),Reference!$A$6:$A$11,1))))*(INDEX(Reference!$B$6:$B$11,MIN(5,MATCH(MAX(Reference!$A$6,MIN(Reference!$A$11,MIN($U147,120))),Reference!$A$6:$A$11,1))+1)-INDEX(Reference!$B$6:$B$11,MIN(5,MATCH(MAX(Reference!$A$6,MIN(Reference!$A$11,MIN($U147,120))),Reference!$A$6:$A$11,1))))/(INDEX(Reference!$A$6:$A$11,MIN(5,MATCH(MAX(Reference!$A$6,MIN(Reference!$A$11,MIN($U147,120))),Reference!$A$6:$A$11,1))+1)-INDEX(Reference!$A$6:$A$11,MIN(5,MATCH(MAX(Reference!$A$6,MIN(Reference!$A$11,MIN($U147,120))),Reference!$A$6:$A$11,1))))),0)+IF(3&lt;=$AL147,($AL147-3+3)*(INDEX(Reference!$B$6:$B$11,MIN(5,MATCH(MAX(Reference!$A$6,MIN(Reference!$A$11,MIN($U147,150))),Reference!$A$6:$A$11,1)))+(MAX(Reference!$A$6,MIN(Reference!$A$11,MIN($U147,150)))-INDEX(Reference!$A$6:$A$11,MIN(5,MATCH(MAX(Reference!$A$6,MIN(Reference!$A$11,MIN($U147,150))),Reference!$A$6:$A$11,1))))*(INDEX(Reference!$B$6:$B$11,MIN(5,MATCH(MAX(Reference!$A$6,MIN(Reference!$A$11,MIN($U147,150))),Reference!$A$6:$A$11,1))+1)-INDEX(Reference!$B$6:$B$11,MIN(5,MATCH(MAX(Reference!$A$6,MIN(Reference!$A$11,MIN($U147,150))),Reference!$A$6:$A$11,1))))/(INDEX(Reference!$A$6:$A$11,MIN(5,MATCH(MAX(Reference!$A$6,MIN(Reference!$A$11,MIN($U147,150))),Reference!$A$6:$A$11,1))+1)-INDEX(Reference!$A$6:$A$11,MIN(5,MATCH(MAX(Reference!$A$6,MIN(Reference!$A$11,MIN($U147,150))),Reference!$A$6:$A$11,1))))),0)+IF(4&lt;=$AL147,($AL147-4+3)*(INDEX(Reference!$B$6:$B$11,MIN(5,MATCH(MAX(Reference!$A$6,MIN(Reference!$A$11,MIN($U147,180))),Reference!$A$6:$A$11,1)))+(MAX(Reference!$A$6,MIN(Reference!$A$11,MIN($U147,180)))-INDEX(Reference!$A$6:$A$11,MIN(5,MATCH(MAX(Reference!$A$6,MIN(Reference!$A$11,MIN($U147,180))),Reference!$A$6:$A$11,1))))*(INDEX(Reference!$B$6:$B$11,MIN(5,MATCH(MAX(Reference!$A$6,MIN(Reference!$A$11,MIN($U147,180))),Reference!$A$6:$A$11,1))+1)-INDEX(Reference!$B$6:$B$11,MIN(5,MATCH(MAX(Reference!$A$6,MIN(Reference!$A$11,MIN($U147,180))),Reference!$A$6:$A$11,1))))/(INDEX(Reference!$A$6:$A$11,MIN(5,MATCH(MAX(Reference!$A$6,MIN(Reference!$A$11,MIN($U147,180))),Reference!$A$6:$A$11,1))+1)-INDEX(Reference!$A$6:$A$11,MIN(5,MATCH(MAX(Reference!$A$6,MIN(Reference!$A$11,MIN($U147,180))),Reference!$A$6:$A$11,1))))),0)+IF(5&lt;=$AL147,($AL147-5+3)*(INDEX(Reference!$B$6:$B$11,MIN(5,MATCH(MAX(Reference!$A$6,MIN(Reference!$A$11,MIN($U147,210))),Reference!$A$6:$A$11,1)))+(MAX(Reference!$A$6,MIN(Reference!$A$11,MIN($U147,210)))-INDEX(Reference!$A$6:$A$11,MIN(5,MATCH(MAX(Reference!$A$6,MIN(Reference!$A$11,MIN($U147,210))),Reference!$A$6:$A$11,1))))*(INDEX(Reference!$B$6:$B$11,MIN(5,MATCH(MAX(Reference!$A$6,MIN(Reference!$A$11,MIN($U147,210))),Reference!$A$6:$A$11,1))+1)-INDEX(Reference!$B$6:$B$11,MIN(5,MATCH(MAX(Reference!$A$6,MIN(Reference!$A$11,MIN($U147,210))),Reference!$A$6:$A$11,1))))/(INDEX(Reference!$A$6:$A$11,MIN(5,MATCH(MAX(Reference!$A$6,MIN(Reference!$A$11,MIN($U147,210))),Reference!$A$6:$A$11,1))+1)-INDEX(Reference!$A$6:$A$11,MIN(5,MATCH(MAX(Reference!$A$6,MIN(Reference!$A$11,MIN($U147,210))),Reference!$A$6:$A$11,1))))),0)+IF(6&lt;=$AL147,($AL147-6+3)*(INDEX(Reference!$B$6:$B$11,MIN(5,MATCH(MAX(Reference!$A$6,MIN(Reference!$A$11,MIN($U147,240))),Reference!$A$6:$A$11,1)))+(MAX(Reference!$A$6,MIN(Reference!$A$11,MIN($U147,240)))-INDEX(Reference!$A$6:$A$11,MIN(5,MATCH(MAX(Reference!$A$6,MIN(Reference!$A$11,MIN($U147,240))),Reference!$A$6:$A$11,1))))*(INDEX(Reference!$B$6:$B$11,MIN(5,MATCH(MAX(Reference!$A$6,MIN(Reference!$A$11,MIN($U147,240))),Reference!$A$6:$A$11,1))+1)-INDEX(Reference!$B$6:$B$11,MIN(5,MATCH(MAX(Reference!$A$6,MIN(Reference!$A$11,MIN($U147,240))),Reference!$A$6:$A$11,1))))/(INDEX(Reference!$A$6:$A$11,MIN(5,MATCH(MAX(Reference!$A$6,MIN(Reference!$A$11,MIN($U147,240))),Reference!$A$6:$A$11,1))+1)-INDEX(Reference!$A$6:$A$11,MIN(5,MATCH(MAX(Reference!$A$6,MIN(Reference!$A$11,MIN($U147,240))),Reference!$A$6:$A$11,1))))),0)+IF(7&lt;=$AL147,($AL147-7+3)*(INDEX(Reference!$B$6:$B$11,MIN(5,MATCH(MAX(Reference!$A$6,MIN(Reference!$A$11,MIN($U147,270))),Reference!$A$6:$A$11,1)))+(MAX(Reference!$A$6,MIN(Reference!$A$11,MIN($U147,270)))-INDEX(Reference!$A$6:$A$11,MIN(5,MATCH(MAX(Reference!$A$6,MIN(Reference!$A$11,MIN($U147,270))),Reference!$A$6:$A$11,1))))*(INDEX(Reference!$B$6:$B$11,MIN(5,MATCH(MAX(Reference!$A$6,MIN(Reference!$A$11,MIN($U147,270))),Reference!$A$6:$A$11,1))+1)-INDEX(Reference!$B$6:$B$11,MIN(5,MATCH(MAX(Reference!$A$6,MIN(Reference!$A$11,MIN($U147,270))),Reference!$A$6:$A$11,1))))/(INDEX(Reference!$A$6:$A$11,MIN(5,MATCH(MAX(Reference!$A$6,MIN(Reference!$A$11,MIN($U147,270))),Reference!$A$6:$A$11,1))+1)-INDEX(Reference!$A$6:$A$11,MIN(5,MATCH(MAX(Reference!$A$6,MIN(Reference!$A$11,MIN($U147,270))),Reference!$A$6:$A$11,1))))),0)+IF(8&lt;=$AL147,($AL147-8+3)*(INDEX(Reference!$B$6:$B$11,MIN(5,MATCH(MAX(Reference!$A$6,MIN(Reference!$A$11,MIN($U147,300))),Reference!$A$6:$A$11,1)))+(MAX(Reference!$A$6,MIN(Reference!$A$11,MIN($U147,300)))-INDEX(Reference!$A$6:$A$11,MIN(5,MATCH(MAX(Reference!$A$6,MIN(Reference!$A$11,MIN($U147,300))),Reference!$A$6:$A$11,1))))*(INDEX(Reference!$B$6:$B$11,MIN(5,MATCH(MAX(Reference!$A$6,MIN(Reference!$A$11,MIN($U147,300))),Reference!$A$6:$A$11,1))+1)-INDEX(Reference!$B$6:$B$11,MIN(5,MATCH(MAX(Reference!$A$6,MIN(Reference!$A$11,MIN($U147,300))),Reference!$A$6:$A$11,1))))/(INDEX(Reference!$A$6:$A$11,MIN(5,MATCH(MAX(Reference!$A$6,MIN(Reference!$A$11,MIN($U147,300))),Reference!$A$6:$A$11,1))+1)-INDEX(Reference!$A$6:$A$11,MIN(5,MATCH(MAX(Reference!$A$6,MIN(Reference!$A$11,MIN($U147,300))),Reference!$A$6:$A$11,1))))),0))/($AL147*($AL147+5)/2)),$AN147))</f>
        <v>0</v>
      </c>
      <c r="AN147" s="32">
        <f>IF($U147="",0,(INDEX(Reference!$B$6:$B$11,MIN(5,MATCH(MAX(Reference!$A$6,MIN(Reference!$A$11,$U147)),Reference!$A$6:$A$11,1)))+(MAX(Reference!$A$6,MIN(Reference!$A$11,$U147))-INDEX(Reference!$A$6:$A$11,MIN(5,MATCH(MAX(Reference!$A$6,MIN(Reference!$A$11,$U147)),Reference!$A$6:$A$11,1))))*(INDEX(Reference!$B$6:$B$11,MIN(5,MATCH(MAX(Reference!$A$6,MIN(Reference!$A$11,$U147)),Reference!$A$6:$A$11,1))+1)-INDEX(Reference!$B$6:$B$11,MIN(5,MATCH(MAX(Reference!$A$6,MIN(Reference!$A$11,$U147)),Reference!$A$6:$A$11,1))))/(INDEX(Reference!$A$6:$A$11,MIN(5,MATCH(MAX(Reference!$A$6,MIN(Reference!$A$11,$U147)),Reference!$A$6:$A$11,1))+1)-INDEX(Reference!$A$6:$A$11,MIN(5,MATCH(MAX(Reference!$A$6,MIN(Reference!$A$11,$U147)),Reference!$A$6:$A$11,1))))))</f>
        <v>0</v>
      </c>
      <c r="AO147" s="37"/>
      <c r="AP147" s="37"/>
      <c r="AQ147" s="37"/>
    </row>
    <row r="148" spans="1:43" x14ac:dyDescent="0.3">
      <c r="A148" s="48" t="str">
        <f t="shared" si="80"/>
        <v/>
      </c>
      <c r="B148" s="32" t="str">
        <f t="shared" si="81"/>
        <v/>
      </c>
      <c r="C148" s="32" t="str">
        <f t="shared" si="82"/>
        <v/>
      </c>
      <c r="D148" s="32" t="str">
        <f t="shared" si="83"/>
        <v/>
      </c>
      <c r="E148" s="32" t="str">
        <f t="shared" si="84"/>
        <v/>
      </c>
      <c r="F148" s="32" t="str">
        <f t="shared" si="85"/>
        <v/>
      </c>
      <c r="G148" s="47" t="str">
        <f t="shared" si="86"/>
        <v/>
      </c>
      <c r="H148" s="30" t="str">
        <f t="shared" si="87"/>
        <v/>
      </c>
      <c r="I148" s="46" t="str">
        <f>IF($A148="","",IF(AND($L148&lt;27,$K$12=0),"Building",IFERROR(((SUM($H$142:$H148)+$K$12*IF($L148&lt;6,SUMIFS('Throw Log'!$Q$5:$Q$300,'Throw Log'!$B$5:$B$300,$D$4,'Throw Log'!$A$5:$A$300,"&gt;="&amp;($D$6+$L148-6),'Throw Log'!$A$5:$A$300,"&lt;="&amp;($D$6-1)),0))/7)/((SUM($H$121:$H148)+$K$12*IF($L148&lt;27,SUMIFS('Throw Log'!$Q$5:$Q$300,'Throw Log'!$B$5:$B$300,$D$4,'Throw Log'!$A$5:$A$300,"&gt;="&amp;($D$6+$L148-27),'Throw Log'!$A$5:$A$300,"&lt;="&amp;($D$6-1)),0))/28),"")))</f>
        <v/>
      </c>
      <c r="J148" s="37"/>
      <c r="K148" s="37"/>
      <c r="L148" s="32">
        <v>105</v>
      </c>
      <c r="M148" s="32">
        <f t="shared" si="88"/>
        <v>16</v>
      </c>
      <c r="N148" s="32">
        <f t="shared" si="89"/>
        <v>0</v>
      </c>
      <c r="O148" s="32">
        <f t="shared" si="90"/>
        <v>1</v>
      </c>
      <c r="P148" s="32" t="str">
        <f>IF(OR($A148="",N($C148)&lt;=7),"",$G$6*$G$9^($M148-1)*IF(AND(MOD($M148,Reference!$B$99)=0,$M148&lt;=$G$5-2),Reference!$B$100,1))</f>
        <v/>
      </c>
      <c r="Q148" s="32" t="str">
        <f>IF($P148="","",IF(SUM($AK$148:$AK$154)=0,0,$P148*INDEX(Reference!$B$108:$B$114,$N148+1)/SUM($AK$148:$AK$154)))</f>
        <v/>
      </c>
      <c r="R148" s="32">
        <f t="shared" si="91"/>
        <v>120</v>
      </c>
      <c r="S148" s="32">
        <f t="shared" si="92"/>
        <v>105</v>
      </c>
      <c r="T148" s="32" t="str">
        <f>IF($A148="","",IF($C148=0,"Bullpen",IF(OR($C148=7,$C148=1,$C148=5),"Recovery/Easy Catch",IF($C148=6,"Compression/Pulldowns",IF(OR($C148=4,$C148=2),"Long Toss",IF($C148=3,"No Throw",IF($N148=2,"No Throw",IF($N148=6,IF($O148&lt;Reference!$B$104,"No Throw","Recovery/Easy Catch"),IF(OR($N148=0,$N148=4),"Recovery/Easy Catch",IF($N148=1,IF($R148&gt;75,"Long Toss","Recovery/Easy Catch"),IF($N148=3,IF($O148&lt;0.5,IF($S148&gt;75,"Long Toss","Recovery/Easy Catch"),"Compression/Pulldowns"),IF($S148&gt;75,"Long Toss","Recovery/Easy Catch"))))))))))))</f>
        <v/>
      </c>
      <c r="U148" s="32" t="str">
        <f t="shared" si="93"/>
        <v/>
      </c>
      <c r="V148" s="32" t="str">
        <f t="shared" si="94"/>
        <v/>
      </c>
      <c r="W148" s="32" t="str">
        <f t="shared" si="95"/>
        <v/>
      </c>
      <c r="X148" s="32">
        <f t="shared" si="96"/>
        <v>0</v>
      </c>
      <c r="Y148" s="32" t="str">
        <f t="shared" si="97"/>
        <v/>
      </c>
      <c r="Z148" s="32" t="str">
        <f t="shared" si="98"/>
        <v/>
      </c>
      <c r="AA148" s="32" t="str">
        <f t="shared" si="99"/>
        <v/>
      </c>
      <c r="AB148" s="32" t="str">
        <f>IF($A148="","",IF($T148="No Throw",0,IF($K148&lt;&gt;"",$K148,IF($AA148&lt;&gt;"",ROUND($AA148*$D$12*IF($C148=0,1,$G$10),0),MIN(IF($T148="Recovery/Easy Catch",Reference!$B$103,IF($T148="Long Toss",Reference!$B$106,Reference!$B$102)),MAX(Reference!$B$101,ROUND(MAX(0,$Q148-$AE148)/$AF148,0)))))))</f>
        <v/>
      </c>
      <c r="AC148" s="32">
        <f t="shared" si="100"/>
        <v>0</v>
      </c>
      <c r="AD148" s="32" t="b">
        <f t="shared" si="101"/>
        <v>1</v>
      </c>
      <c r="AE148" s="32">
        <f>IF($X148=0,0,$X148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148+$Z148)/2,0),Reference!$A$17:$B$20,2,TRUE()))</f>
        <v>0</v>
      </c>
      <c r="AF148" s="32">
        <f>IF(OR($A148="",$U148="",$T148="No Throw"),0,$AM148*VLOOKUP(MAX(($V148+$W148)/2,0),Reference!$A$17:$B$20,2,TRUE()))</f>
        <v>0</v>
      </c>
      <c r="AG148" s="32">
        <f>IF($AC148=0,0,$AC148*INDEX(Reference!$B$61:$B$62,MATCH("Bullpen",Reference!$A$61:$A$62,0))*VLOOKUP(MAX($D$5-($D$9+$E$9)/2,0),Reference!$A$17:$B$20,2,TRUE()))</f>
        <v>0</v>
      </c>
      <c r="AH148" s="32" t="e">
        <f t="shared" si="102"/>
        <v>#N/A</v>
      </c>
      <c r="AI148" s="32" t="e">
        <f>IF($A148="",NA(),Reference!$A$25)</f>
        <v>#N/A</v>
      </c>
      <c r="AJ148" s="32" t="e">
        <f t="shared" si="103"/>
        <v>#N/A</v>
      </c>
      <c r="AK148" s="32">
        <f>IF(OR($A148="",N($C148)&lt;=7,$T148="No Throw",$J148="x"),0,INDEX(Reference!$B$108:$B$114,$N148+1))</f>
        <v>0</v>
      </c>
      <c r="AL148" s="32">
        <f t="shared" si="104"/>
        <v>1</v>
      </c>
      <c r="AM148" s="32">
        <f>IF($U148="",0,IF($AL148&gt;1,((IF(1&lt;=$AL148,($AL148-1+3)*(INDEX(Reference!$B$6:$B$11,MIN(5,MATCH(MAX(Reference!$A$6,MIN(Reference!$A$11,MIN($U148,90))),Reference!$A$6:$A$11,1)))+(MAX(Reference!$A$6,MIN(Reference!$A$11,MIN($U148,90)))-INDEX(Reference!$A$6:$A$11,MIN(5,MATCH(MAX(Reference!$A$6,MIN(Reference!$A$11,MIN($U148,90))),Reference!$A$6:$A$11,1))))*(INDEX(Reference!$B$6:$B$11,MIN(5,MATCH(MAX(Reference!$A$6,MIN(Reference!$A$11,MIN($U148,90))),Reference!$A$6:$A$11,1))+1)-INDEX(Reference!$B$6:$B$11,MIN(5,MATCH(MAX(Reference!$A$6,MIN(Reference!$A$11,MIN($U148,90))),Reference!$A$6:$A$11,1))))/(INDEX(Reference!$A$6:$A$11,MIN(5,MATCH(MAX(Reference!$A$6,MIN(Reference!$A$11,MIN($U148,90))),Reference!$A$6:$A$11,1))+1)-INDEX(Reference!$A$6:$A$11,MIN(5,MATCH(MAX(Reference!$A$6,MIN(Reference!$A$11,MIN($U148,90))),Reference!$A$6:$A$11,1))))),0)+IF(2&lt;=$AL148,($AL148-2+3)*(INDEX(Reference!$B$6:$B$11,MIN(5,MATCH(MAX(Reference!$A$6,MIN(Reference!$A$11,MIN($U148,120))),Reference!$A$6:$A$11,1)))+(MAX(Reference!$A$6,MIN(Reference!$A$11,MIN($U148,120)))-INDEX(Reference!$A$6:$A$11,MIN(5,MATCH(MAX(Reference!$A$6,MIN(Reference!$A$11,MIN($U148,120))),Reference!$A$6:$A$11,1))))*(INDEX(Reference!$B$6:$B$11,MIN(5,MATCH(MAX(Reference!$A$6,MIN(Reference!$A$11,MIN($U148,120))),Reference!$A$6:$A$11,1))+1)-INDEX(Reference!$B$6:$B$11,MIN(5,MATCH(MAX(Reference!$A$6,MIN(Reference!$A$11,MIN($U148,120))),Reference!$A$6:$A$11,1))))/(INDEX(Reference!$A$6:$A$11,MIN(5,MATCH(MAX(Reference!$A$6,MIN(Reference!$A$11,MIN($U148,120))),Reference!$A$6:$A$11,1))+1)-INDEX(Reference!$A$6:$A$11,MIN(5,MATCH(MAX(Reference!$A$6,MIN(Reference!$A$11,MIN($U148,120))),Reference!$A$6:$A$11,1))))),0)+IF(3&lt;=$AL148,($AL148-3+3)*(INDEX(Reference!$B$6:$B$11,MIN(5,MATCH(MAX(Reference!$A$6,MIN(Reference!$A$11,MIN($U148,150))),Reference!$A$6:$A$11,1)))+(MAX(Reference!$A$6,MIN(Reference!$A$11,MIN($U148,150)))-INDEX(Reference!$A$6:$A$11,MIN(5,MATCH(MAX(Reference!$A$6,MIN(Reference!$A$11,MIN($U148,150))),Reference!$A$6:$A$11,1))))*(INDEX(Reference!$B$6:$B$11,MIN(5,MATCH(MAX(Reference!$A$6,MIN(Reference!$A$11,MIN($U148,150))),Reference!$A$6:$A$11,1))+1)-INDEX(Reference!$B$6:$B$11,MIN(5,MATCH(MAX(Reference!$A$6,MIN(Reference!$A$11,MIN($U148,150))),Reference!$A$6:$A$11,1))))/(INDEX(Reference!$A$6:$A$11,MIN(5,MATCH(MAX(Reference!$A$6,MIN(Reference!$A$11,MIN($U148,150))),Reference!$A$6:$A$11,1))+1)-INDEX(Reference!$A$6:$A$11,MIN(5,MATCH(MAX(Reference!$A$6,MIN(Reference!$A$11,MIN($U148,150))),Reference!$A$6:$A$11,1))))),0)+IF(4&lt;=$AL148,($AL148-4+3)*(INDEX(Reference!$B$6:$B$11,MIN(5,MATCH(MAX(Reference!$A$6,MIN(Reference!$A$11,MIN($U148,180))),Reference!$A$6:$A$11,1)))+(MAX(Reference!$A$6,MIN(Reference!$A$11,MIN($U148,180)))-INDEX(Reference!$A$6:$A$11,MIN(5,MATCH(MAX(Reference!$A$6,MIN(Reference!$A$11,MIN($U148,180))),Reference!$A$6:$A$11,1))))*(INDEX(Reference!$B$6:$B$11,MIN(5,MATCH(MAX(Reference!$A$6,MIN(Reference!$A$11,MIN($U148,180))),Reference!$A$6:$A$11,1))+1)-INDEX(Reference!$B$6:$B$11,MIN(5,MATCH(MAX(Reference!$A$6,MIN(Reference!$A$11,MIN($U148,180))),Reference!$A$6:$A$11,1))))/(INDEX(Reference!$A$6:$A$11,MIN(5,MATCH(MAX(Reference!$A$6,MIN(Reference!$A$11,MIN($U148,180))),Reference!$A$6:$A$11,1))+1)-INDEX(Reference!$A$6:$A$11,MIN(5,MATCH(MAX(Reference!$A$6,MIN(Reference!$A$11,MIN($U148,180))),Reference!$A$6:$A$11,1))))),0)+IF(5&lt;=$AL148,($AL148-5+3)*(INDEX(Reference!$B$6:$B$11,MIN(5,MATCH(MAX(Reference!$A$6,MIN(Reference!$A$11,MIN($U148,210))),Reference!$A$6:$A$11,1)))+(MAX(Reference!$A$6,MIN(Reference!$A$11,MIN($U148,210)))-INDEX(Reference!$A$6:$A$11,MIN(5,MATCH(MAX(Reference!$A$6,MIN(Reference!$A$11,MIN($U148,210))),Reference!$A$6:$A$11,1))))*(INDEX(Reference!$B$6:$B$11,MIN(5,MATCH(MAX(Reference!$A$6,MIN(Reference!$A$11,MIN($U148,210))),Reference!$A$6:$A$11,1))+1)-INDEX(Reference!$B$6:$B$11,MIN(5,MATCH(MAX(Reference!$A$6,MIN(Reference!$A$11,MIN($U148,210))),Reference!$A$6:$A$11,1))))/(INDEX(Reference!$A$6:$A$11,MIN(5,MATCH(MAX(Reference!$A$6,MIN(Reference!$A$11,MIN($U148,210))),Reference!$A$6:$A$11,1))+1)-INDEX(Reference!$A$6:$A$11,MIN(5,MATCH(MAX(Reference!$A$6,MIN(Reference!$A$11,MIN($U148,210))),Reference!$A$6:$A$11,1))))),0)+IF(6&lt;=$AL148,($AL148-6+3)*(INDEX(Reference!$B$6:$B$11,MIN(5,MATCH(MAX(Reference!$A$6,MIN(Reference!$A$11,MIN($U148,240))),Reference!$A$6:$A$11,1)))+(MAX(Reference!$A$6,MIN(Reference!$A$11,MIN($U148,240)))-INDEX(Reference!$A$6:$A$11,MIN(5,MATCH(MAX(Reference!$A$6,MIN(Reference!$A$11,MIN($U148,240))),Reference!$A$6:$A$11,1))))*(INDEX(Reference!$B$6:$B$11,MIN(5,MATCH(MAX(Reference!$A$6,MIN(Reference!$A$11,MIN($U148,240))),Reference!$A$6:$A$11,1))+1)-INDEX(Reference!$B$6:$B$11,MIN(5,MATCH(MAX(Reference!$A$6,MIN(Reference!$A$11,MIN($U148,240))),Reference!$A$6:$A$11,1))))/(INDEX(Reference!$A$6:$A$11,MIN(5,MATCH(MAX(Reference!$A$6,MIN(Reference!$A$11,MIN($U148,240))),Reference!$A$6:$A$11,1))+1)-INDEX(Reference!$A$6:$A$11,MIN(5,MATCH(MAX(Reference!$A$6,MIN(Reference!$A$11,MIN($U148,240))),Reference!$A$6:$A$11,1))))),0)+IF(7&lt;=$AL148,($AL148-7+3)*(INDEX(Reference!$B$6:$B$11,MIN(5,MATCH(MAX(Reference!$A$6,MIN(Reference!$A$11,MIN($U148,270))),Reference!$A$6:$A$11,1)))+(MAX(Reference!$A$6,MIN(Reference!$A$11,MIN($U148,270)))-INDEX(Reference!$A$6:$A$11,MIN(5,MATCH(MAX(Reference!$A$6,MIN(Reference!$A$11,MIN($U148,270))),Reference!$A$6:$A$11,1))))*(INDEX(Reference!$B$6:$B$11,MIN(5,MATCH(MAX(Reference!$A$6,MIN(Reference!$A$11,MIN($U148,270))),Reference!$A$6:$A$11,1))+1)-INDEX(Reference!$B$6:$B$11,MIN(5,MATCH(MAX(Reference!$A$6,MIN(Reference!$A$11,MIN($U148,270))),Reference!$A$6:$A$11,1))))/(INDEX(Reference!$A$6:$A$11,MIN(5,MATCH(MAX(Reference!$A$6,MIN(Reference!$A$11,MIN($U148,270))),Reference!$A$6:$A$11,1))+1)-INDEX(Reference!$A$6:$A$11,MIN(5,MATCH(MAX(Reference!$A$6,MIN(Reference!$A$11,MIN($U148,270))),Reference!$A$6:$A$11,1))))),0)+IF(8&lt;=$AL148,($AL148-8+3)*(INDEX(Reference!$B$6:$B$11,MIN(5,MATCH(MAX(Reference!$A$6,MIN(Reference!$A$11,MIN($U148,300))),Reference!$A$6:$A$11,1)))+(MAX(Reference!$A$6,MIN(Reference!$A$11,MIN($U148,300)))-INDEX(Reference!$A$6:$A$11,MIN(5,MATCH(MAX(Reference!$A$6,MIN(Reference!$A$11,MIN($U148,300))),Reference!$A$6:$A$11,1))))*(INDEX(Reference!$B$6:$B$11,MIN(5,MATCH(MAX(Reference!$A$6,MIN(Reference!$A$11,MIN($U148,300))),Reference!$A$6:$A$11,1))+1)-INDEX(Reference!$B$6:$B$11,MIN(5,MATCH(MAX(Reference!$A$6,MIN(Reference!$A$11,MIN($U148,300))),Reference!$A$6:$A$11,1))))/(INDEX(Reference!$A$6:$A$11,MIN(5,MATCH(MAX(Reference!$A$6,MIN(Reference!$A$11,MIN($U148,300))),Reference!$A$6:$A$11,1))+1)-INDEX(Reference!$A$6:$A$11,MIN(5,MATCH(MAX(Reference!$A$6,MIN(Reference!$A$11,MIN($U148,300))),Reference!$A$6:$A$11,1))))),0))/($AL148*($AL148+5)/2)),$AN148))</f>
        <v>0</v>
      </c>
      <c r="AN148" s="32">
        <f>IF($U148="",0,(INDEX(Reference!$B$6:$B$11,MIN(5,MATCH(MAX(Reference!$A$6,MIN(Reference!$A$11,$U148)),Reference!$A$6:$A$11,1)))+(MAX(Reference!$A$6,MIN(Reference!$A$11,$U148))-INDEX(Reference!$A$6:$A$11,MIN(5,MATCH(MAX(Reference!$A$6,MIN(Reference!$A$11,$U148)),Reference!$A$6:$A$11,1))))*(INDEX(Reference!$B$6:$B$11,MIN(5,MATCH(MAX(Reference!$A$6,MIN(Reference!$A$11,$U148)),Reference!$A$6:$A$11,1))+1)-INDEX(Reference!$B$6:$B$11,MIN(5,MATCH(MAX(Reference!$A$6,MIN(Reference!$A$11,$U148)),Reference!$A$6:$A$11,1))))/(INDEX(Reference!$A$6:$A$11,MIN(5,MATCH(MAX(Reference!$A$6,MIN(Reference!$A$11,$U148)),Reference!$A$6:$A$11,1))+1)-INDEX(Reference!$A$6:$A$11,MIN(5,MATCH(MAX(Reference!$A$6,MIN(Reference!$A$11,$U148)),Reference!$A$6:$A$11,1))))))</f>
        <v>0</v>
      </c>
      <c r="AO148" s="37"/>
      <c r="AP148" s="37"/>
      <c r="AQ148" s="37"/>
    </row>
    <row r="149" spans="1:43" x14ac:dyDescent="0.3">
      <c r="A149" s="48" t="str">
        <f t="shared" si="80"/>
        <v/>
      </c>
      <c r="B149" s="32" t="str">
        <f t="shared" si="81"/>
        <v/>
      </c>
      <c r="C149" s="32" t="str">
        <f t="shared" si="82"/>
        <v/>
      </c>
      <c r="D149" s="32" t="str">
        <f t="shared" si="83"/>
        <v/>
      </c>
      <c r="E149" s="32" t="str">
        <f t="shared" si="84"/>
        <v/>
      </c>
      <c r="F149" s="32" t="str">
        <f t="shared" si="85"/>
        <v/>
      </c>
      <c r="G149" s="47" t="str">
        <f t="shared" si="86"/>
        <v/>
      </c>
      <c r="H149" s="30" t="str">
        <f t="shared" si="87"/>
        <v/>
      </c>
      <c r="I149" s="46" t="str">
        <f>IF($A149="","",IF(AND($L149&lt;27,$K$12=0),"Building",IFERROR(((SUM($H$143:$H149)+$K$12*IF($L149&lt;6,SUMIFS('Throw Log'!$Q$5:$Q$300,'Throw Log'!$B$5:$B$300,$D$4,'Throw Log'!$A$5:$A$300,"&gt;="&amp;($D$6+$L149-6),'Throw Log'!$A$5:$A$300,"&lt;="&amp;($D$6-1)),0))/7)/((SUM($H$122:$H149)+$K$12*IF($L149&lt;27,SUMIFS('Throw Log'!$Q$5:$Q$300,'Throw Log'!$B$5:$B$300,$D$4,'Throw Log'!$A$5:$A$300,"&gt;="&amp;($D$6+$L149-27),'Throw Log'!$A$5:$A$300,"&lt;="&amp;($D$6-1)),0))/28),"")))</f>
        <v/>
      </c>
      <c r="J149" s="37"/>
      <c r="K149" s="37"/>
      <c r="L149" s="32">
        <v>106</v>
      </c>
      <c r="M149" s="32">
        <f t="shared" si="88"/>
        <v>16</v>
      </c>
      <c r="N149" s="32">
        <f t="shared" si="89"/>
        <v>1</v>
      </c>
      <c r="O149" s="32">
        <f t="shared" si="90"/>
        <v>1</v>
      </c>
      <c r="P149" s="32" t="str">
        <f>IF(OR($A149="",N($C149)&lt;=7),"",$G$6*$G$9^($M149-1)*IF(AND(MOD($M149,Reference!$B$99)=0,$M149&lt;=$G$5-2),Reference!$B$100,1))</f>
        <v/>
      </c>
      <c r="Q149" s="32" t="str">
        <f>IF($P149="","",IF(SUM($AK$148:$AK$154)=0,0,$P149*INDEX(Reference!$B$108:$B$114,$N149+1)/SUM($AK$148:$AK$154)))</f>
        <v/>
      </c>
      <c r="R149" s="32">
        <f t="shared" si="91"/>
        <v>120</v>
      </c>
      <c r="S149" s="32">
        <f t="shared" si="92"/>
        <v>105</v>
      </c>
      <c r="T149" s="32" t="str">
        <f>IF($A149="","",IF($C149=0,"Bullpen",IF(OR($C149=7,$C149=1,$C149=5),"Recovery/Easy Catch",IF($C149=6,"Compression/Pulldowns",IF(OR($C149=4,$C149=2),"Long Toss",IF($C149=3,"No Throw",IF($N149=2,"No Throw",IF($N149=6,IF($O149&lt;Reference!$B$104,"No Throw","Recovery/Easy Catch"),IF(OR($N149=0,$N149=4),"Recovery/Easy Catch",IF($N149=1,IF($R149&gt;75,"Long Toss","Recovery/Easy Catch"),IF($N149=3,IF($O149&lt;0.5,IF($S149&gt;75,"Long Toss","Recovery/Easy Catch"),"Compression/Pulldowns"),IF($S149&gt;75,"Long Toss","Recovery/Easy Catch"))))))))))))</f>
        <v/>
      </c>
      <c r="U149" s="32" t="str">
        <f t="shared" si="93"/>
        <v/>
      </c>
      <c r="V149" s="32" t="str">
        <f t="shared" si="94"/>
        <v/>
      </c>
      <c r="W149" s="32" t="str">
        <f t="shared" si="95"/>
        <v/>
      </c>
      <c r="X149" s="32">
        <f t="shared" si="96"/>
        <v>0</v>
      </c>
      <c r="Y149" s="32" t="str">
        <f t="shared" si="97"/>
        <v/>
      </c>
      <c r="Z149" s="32" t="str">
        <f t="shared" si="98"/>
        <v/>
      </c>
      <c r="AA149" s="32" t="str">
        <f t="shared" si="99"/>
        <v/>
      </c>
      <c r="AB149" s="32" t="str">
        <f>IF($A149="","",IF($T149="No Throw",0,IF($K149&lt;&gt;"",$K149,IF($AA149&lt;&gt;"",ROUND($AA149*$D$12*IF($C149=0,1,$G$10),0),MIN(IF($T149="Recovery/Easy Catch",Reference!$B$103,IF($T149="Long Toss",Reference!$B$106,Reference!$B$102)),MAX(Reference!$B$101,ROUND(MAX(0,$Q149-$AE149)/$AF149,0)))))))</f>
        <v/>
      </c>
      <c r="AC149" s="32">
        <f t="shared" si="100"/>
        <v>0</v>
      </c>
      <c r="AD149" s="32" t="b">
        <f t="shared" si="101"/>
        <v>1</v>
      </c>
      <c r="AE149" s="32">
        <f>IF($X149=0,0,$X149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149+$Z149)/2,0),Reference!$A$17:$B$20,2,TRUE()))</f>
        <v>0</v>
      </c>
      <c r="AF149" s="32">
        <f>IF(OR($A149="",$U149="",$T149="No Throw"),0,$AM149*VLOOKUP(MAX(($V149+$W149)/2,0),Reference!$A$17:$B$20,2,TRUE()))</f>
        <v>0</v>
      </c>
      <c r="AG149" s="32">
        <f>IF($AC149=0,0,$AC149*INDEX(Reference!$B$61:$B$62,MATCH("Bullpen",Reference!$A$61:$A$62,0))*VLOOKUP(MAX($D$5-($D$9+$E$9)/2,0),Reference!$A$17:$B$20,2,TRUE()))</f>
        <v>0</v>
      </c>
      <c r="AH149" s="32" t="e">
        <f t="shared" si="102"/>
        <v>#N/A</v>
      </c>
      <c r="AI149" s="32" t="e">
        <f>IF($A149="",NA(),Reference!$A$25)</f>
        <v>#N/A</v>
      </c>
      <c r="AJ149" s="32" t="e">
        <f t="shared" si="103"/>
        <v>#N/A</v>
      </c>
      <c r="AK149" s="32">
        <f>IF(OR($A149="",N($C149)&lt;=7,$T149="No Throw",$J149="x"),0,INDEX(Reference!$B$108:$B$114,$N149+1))</f>
        <v>0</v>
      </c>
      <c r="AL149" s="32">
        <f t="shared" si="104"/>
        <v>1</v>
      </c>
      <c r="AM149" s="32">
        <f>IF($U149="",0,IF($AL149&gt;1,((IF(1&lt;=$AL149,($AL149-1+3)*(INDEX(Reference!$B$6:$B$11,MIN(5,MATCH(MAX(Reference!$A$6,MIN(Reference!$A$11,MIN($U149,90))),Reference!$A$6:$A$11,1)))+(MAX(Reference!$A$6,MIN(Reference!$A$11,MIN($U149,90)))-INDEX(Reference!$A$6:$A$11,MIN(5,MATCH(MAX(Reference!$A$6,MIN(Reference!$A$11,MIN($U149,90))),Reference!$A$6:$A$11,1))))*(INDEX(Reference!$B$6:$B$11,MIN(5,MATCH(MAX(Reference!$A$6,MIN(Reference!$A$11,MIN($U149,90))),Reference!$A$6:$A$11,1))+1)-INDEX(Reference!$B$6:$B$11,MIN(5,MATCH(MAX(Reference!$A$6,MIN(Reference!$A$11,MIN($U149,90))),Reference!$A$6:$A$11,1))))/(INDEX(Reference!$A$6:$A$11,MIN(5,MATCH(MAX(Reference!$A$6,MIN(Reference!$A$11,MIN($U149,90))),Reference!$A$6:$A$11,1))+1)-INDEX(Reference!$A$6:$A$11,MIN(5,MATCH(MAX(Reference!$A$6,MIN(Reference!$A$11,MIN($U149,90))),Reference!$A$6:$A$11,1))))),0)+IF(2&lt;=$AL149,($AL149-2+3)*(INDEX(Reference!$B$6:$B$11,MIN(5,MATCH(MAX(Reference!$A$6,MIN(Reference!$A$11,MIN($U149,120))),Reference!$A$6:$A$11,1)))+(MAX(Reference!$A$6,MIN(Reference!$A$11,MIN($U149,120)))-INDEX(Reference!$A$6:$A$11,MIN(5,MATCH(MAX(Reference!$A$6,MIN(Reference!$A$11,MIN($U149,120))),Reference!$A$6:$A$11,1))))*(INDEX(Reference!$B$6:$B$11,MIN(5,MATCH(MAX(Reference!$A$6,MIN(Reference!$A$11,MIN($U149,120))),Reference!$A$6:$A$11,1))+1)-INDEX(Reference!$B$6:$B$11,MIN(5,MATCH(MAX(Reference!$A$6,MIN(Reference!$A$11,MIN($U149,120))),Reference!$A$6:$A$11,1))))/(INDEX(Reference!$A$6:$A$11,MIN(5,MATCH(MAX(Reference!$A$6,MIN(Reference!$A$11,MIN($U149,120))),Reference!$A$6:$A$11,1))+1)-INDEX(Reference!$A$6:$A$11,MIN(5,MATCH(MAX(Reference!$A$6,MIN(Reference!$A$11,MIN($U149,120))),Reference!$A$6:$A$11,1))))),0)+IF(3&lt;=$AL149,($AL149-3+3)*(INDEX(Reference!$B$6:$B$11,MIN(5,MATCH(MAX(Reference!$A$6,MIN(Reference!$A$11,MIN($U149,150))),Reference!$A$6:$A$11,1)))+(MAX(Reference!$A$6,MIN(Reference!$A$11,MIN($U149,150)))-INDEX(Reference!$A$6:$A$11,MIN(5,MATCH(MAX(Reference!$A$6,MIN(Reference!$A$11,MIN($U149,150))),Reference!$A$6:$A$11,1))))*(INDEX(Reference!$B$6:$B$11,MIN(5,MATCH(MAX(Reference!$A$6,MIN(Reference!$A$11,MIN($U149,150))),Reference!$A$6:$A$11,1))+1)-INDEX(Reference!$B$6:$B$11,MIN(5,MATCH(MAX(Reference!$A$6,MIN(Reference!$A$11,MIN($U149,150))),Reference!$A$6:$A$11,1))))/(INDEX(Reference!$A$6:$A$11,MIN(5,MATCH(MAX(Reference!$A$6,MIN(Reference!$A$11,MIN($U149,150))),Reference!$A$6:$A$11,1))+1)-INDEX(Reference!$A$6:$A$11,MIN(5,MATCH(MAX(Reference!$A$6,MIN(Reference!$A$11,MIN($U149,150))),Reference!$A$6:$A$11,1))))),0)+IF(4&lt;=$AL149,($AL149-4+3)*(INDEX(Reference!$B$6:$B$11,MIN(5,MATCH(MAX(Reference!$A$6,MIN(Reference!$A$11,MIN($U149,180))),Reference!$A$6:$A$11,1)))+(MAX(Reference!$A$6,MIN(Reference!$A$11,MIN($U149,180)))-INDEX(Reference!$A$6:$A$11,MIN(5,MATCH(MAX(Reference!$A$6,MIN(Reference!$A$11,MIN($U149,180))),Reference!$A$6:$A$11,1))))*(INDEX(Reference!$B$6:$B$11,MIN(5,MATCH(MAX(Reference!$A$6,MIN(Reference!$A$11,MIN($U149,180))),Reference!$A$6:$A$11,1))+1)-INDEX(Reference!$B$6:$B$11,MIN(5,MATCH(MAX(Reference!$A$6,MIN(Reference!$A$11,MIN($U149,180))),Reference!$A$6:$A$11,1))))/(INDEX(Reference!$A$6:$A$11,MIN(5,MATCH(MAX(Reference!$A$6,MIN(Reference!$A$11,MIN($U149,180))),Reference!$A$6:$A$11,1))+1)-INDEX(Reference!$A$6:$A$11,MIN(5,MATCH(MAX(Reference!$A$6,MIN(Reference!$A$11,MIN($U149,180))),Reference!$A$6:$A$11,1))))),0)+IF(5&lt;=$AL149,($AL149-5+3)*(INDEX(Reference!$B$6:$B$11,MIN(5,MATCH(MAX(Reference!$A$6,MIN(Reference!$A$11,MIN($U149,210))),Reference!$A$6:$A$11,1)))+(MAX(Reference!$A$6,MIN(Reference!$A$11,MIN($U149,210)))-INDEX(Reference!$A$6:$A$11,MIN(5,MATCH(MAX(Reference!$A$6,MIN(Reference!$A$11,MIN($U149,210))),Reference!$A$6:$A$11,1))))*(INDEX(Reference!$B$6:$B$11,MIN(5,MATCH(MAX(Reference!$A$6,MIN(Reference!$A$11,MIN($U149,210))),Reference!$A$6:$A$11,1))+1)-INDEX(Reference!$B$6:$B$11,MIN(5,MATCH(MAX(Reference!$A$6,MIN(Reference!$A$11,MIN($U149,210))),Reference!$A$6:$A$11,1))))/(INDEX(Reference!$A$6:$A$11,MIN(5,MATCH(MAX(Reference!$A$6,MIN(Reference!$A$11,MIN($U149,210))),Reference!$A$6:$A$11,1))+1)-INDEX(Reference!$A$6:$A$11,MIN(5,MATCH(MAX(Reference!$A$6,MIN(Reference!$A$11,MIN($U149,210))),Reference!$A$6:$A$11,1))))),0)+IF(6&lt;=$AL149,($AL149-6+3)*(INDEX(Reference!$B$6:$B$11,MIN(5,MATCH(MAX(Reference!$A$6,MIN(Reference!$A$11,MIN($U149,240))),Reference!$A$6:$A$11,1)))+(MAX(Reference!$A$6,MIN(Reference!$A$11,MIN($U149,240)))-INDEX(Reference!$A$6:$A$11,MIN(5,MATCH(MAX(Reference!$A$6,MIN(Reference!$A$11,MIN($U149,240))),Reference!$A$6:$A$11,1))))*(INDEX(Reference!$B$6:$B$11,MIN(5,MATCH(MAX(Reference!$A$6,MIN(Reference!$A$11,MIN($U149,240))),Reference!$A$6:$A$11,1))+1)-INDEX(Reference!$B$6:$B$11,MIN(5,MATCH(MAX(Reference!$A$6,MIN(Reference!$A$11,MIN($U149,240))),Reference!$A$6:$A$11,1))))/(INDEX(Reference!$A$6:$A$11,MIN(5,MATCH(MAX(Reference!$A$6,MIN(Reference!$A$11,MIN($U149,240))),Reference!$A$6:$A$11,1))+1)-INDEX(Reference!$A$6:$A$11,MIN(5,MATCH(MAX(Reference!$A$6,MIN(Reference!$A$11,MIN($U149,240))),Reference!$A$6:$A$11,1))))),0)+IF(7&lt;=$AL149,($AL149-7+3)*(INDEX(Reference!$B$6:$B$11,MIN(5,MATCH(MAX(Reference!$A$6,MIN(Reference!$A$11,MIN($U149,270))),Reference!$A$6:$A$11,1)))+(MAX(Reference!$A$6,MIN(Reference!$A$11,MIN($U149,270)))-INDEX(Reference!$A$6:$A$11,MIN(5,MATCH(MAX(Reference!$A$6,MIN(Reference!$A$11,MIN($U149,270))),Reference!$A$6:$A$11,1))))*(INDEX(Reference!$B$6:$B$11,MIN(5,MATCH(MAX(Reference!$A$6,MIN(Reference!$A$11,MIN($U149,270))),Reference!$A$6:$A$11,1))+1)-INDEX(Reference!$B$6:$B$11,MIN(5,MATCH(MAX(Reference!$A$6,MIN(Reference!$A$11,MIN($U149,270))),Reference!$A$6:$A$11,1))))/(INDEX(Reference!$A$6:$A$11,MIN(5,MATCH(MAX(Reference!$A$6,MIN(Reference!$A$11,MIN($U149,270))),Reference!$A$6:$A$11,1))+1)-INDEX(Reference!$A$6:$A$11,MIN(5,MATCH(MAX(Reference!$A$6,MIN(Reference!$A$11,MIN($U149,270))),Reference!$A$6:$A$11,1))))),0)+IF(8&lt;=$AL149,($AL149-8+3)*(INDEX(Reference!$B$6:$B$11,MIN(5,MATCH(MAX(Reference!$A$6,MIN(Reference!$A$11,MIN($U149,300))),Reference!$A$6:$A$11,1)))+(MAX(Reference!$A$6,MIN(Reference!$A$11,MIN($U149,300)))-INDEX(Reference!$A$6:$A$11,MIN(5,MATCH(MAX(Reference!$A$6,MIN(Reference!$A$11,MIN($U149,300))),Reference!$A$6:$A$11,1))))*(INDEX(Reference!$B$6:$B$11,MIN(5,MATCH(MAX(Reference!$A$6,MIN(Reference!$A$11,MIN($U149,300))),Reference!$A$6:$A$11,1))+1)-INDEX(Reference!$B$6:$B$11,MIN(5,MATCH(MAX(Reference!$A$6,MIN(Reference!$A$11,MIN($U149,300))),Reference!$A$6:$A$11,1))))/(INDEX(Reference!$A$6:$A$11,MIN(5,MATCH(MAX(Reference!$A$6,MIN(Reference!$A$11,MIN($U149,300))),Reference!$A$6:$A$11,1))+1)-INDEX(Reference!$A$6:$A$11,MIN(5,MATCH(MAX(Reference!$A$6,MIN(Reference!$A$11,MIN($U149,300))),Reference!$A$6:$A$11,1))))),0))/($AL149*($AL149+5)/2)),$AN149))</f>
        <v>0</v>
      </c>
      <c r="AN149" s="32">
        <f>IF($U149="",0,(INDEX(Reference!$B$6:$B$11,MIN(5,MATCH(MAX(Reference!$A$6,MIN(Reference!$A$11,$U149)),Reference!$A$6:$A$11,1)))+(MAX(Reference!$A$6,MIN(Reference!$A$11,$U149))-INDEX(Reference!$A$6:$A$11,MIN(5,MATCH(MAX(Reference!$A$6,MIN(Reference!$A$11,$U149)),Reference!$A$6:$A$11,1))))*(INDEX(Reference!$B$6:$B$11,MIN(5,MATCH(MAX(Reference!$A$6,MIN(Reference!$A$11,$U149)),Reference!$A$6:$A$11,1))+1)-INDEX(Reference!$B$6:$B$11,MIN(5,MATCH(MAX(Reference!$A$6,MIN(Reference!$A$11,$U149)),Reference!$A$6:$A$11,1))))/(INDEX(Reference!$A$6:$A$11,MIN(5,MATCH(MAX(Reference!$A$6,MIN(Reference!$A$11,$U149)),Reference!$A$6:$A$11,1))+1)-INDEX(Reference!$A$6:$A$11,MIN(5,MATCH(MAX(Reference!$A$6,MIN(Reference!$A$11,$U149)),Reference!$A$6:$A$11,1))))))</f>
        <v>0</v>
      </c>
      <c r="AO149" s="37"/>
      <c r="AP149" s="37"/>
      <c r="AQ149" s="37"/>
    </row>
    <row r="150" spans="1:43" x14ac:dyDescent="0.3">
      <c r="A150" s="48" t="str">
        <f t="shared" si="80"/>
        <v/>
      </c>
      <c r="B150" s="32" t="str">
        <f t="shared" si="81"/>
        <v/>
      </c>
      <c r="C150" s="32" t="str">
        <f t="shared" si="82"/>
        <v/>
      </c>
      <c r="D150" s="32" t="str">
        <f t="shared" si="83"/>
        <v/>
      </c>
      <c r="E150" s="32" t="str">
        <f t="shared" si="84"/>
        <v/>
      </c>
      <c r="F150" s="32" t="str">
        <f t="shared" si="85"/>
        <v/>
      </c>
      <c r="G150" s="47" t="str">
        <f t="shared" si="86"/>
        <v/>
      </c>
      <c r="H150" s="30" t="str">
        <f t="shared" si="87"/>
        <v/>
      </c>
      <c r="I150" s="46" t="str">
        <f>IF($A150="","",IF(AND($L150&lt;27,$K$12=0),"Building",IFERROR(((SUM($H$144:$H150)+$K$12*IF($L150&lt;6,SUMIFS('Throw Log'!$Q$5:$Q$300,'Throw Log'!$B$5:$B$300,$D$4,'Throw Log'!$A$5:$A$300,"&gt;="&amp;($D$6+$L150-6),'Throw Log'!$A$5:$A$300,"&lt;="&amp;($D$6-1)),0))/7)/((SUM($H$123:$H150)+$K$12*IF($L150&lt;27,SUMIFS('Throw Log'!$Q$5:$Q$300,'Throw Log'!$B$5:$B$300,$D$4,'Throw Log'!$A$5:$A$300,"&gt;="&amp;($D$6+$L150-27),'Throw Log'!$A$5:$A$300,"&lt;="&amp;($D$6-1)),0))/28),"")))</f>
        <v/>
      </c>
      <c r="J150" s="37"/>
      <c r="K150" s="37"/>
      <c r="L150" s="32">
        <v>107</v>
      </c>
      <c r="M150" s="32">
        <f t="shared" si="88"/>
        <v>16</v>
      </c>
      <c r="N150" s="32">
        <f t="shared" si="89"/>
        <v>2</v>
      </c>
      <c r="O150" s="32">
        <f t="shared" si="90"/>
        <v>1</v>
      </c>
      <c r="P150" s="32" t="str">
        <f>IF(OR($A150="",N($C150)&lt;=7),"",$G$6*$G$9^($M150-1)*IF(AND(MOD($M150,Reference!$B$99)=0,$M150&lt;=$G$5-2),Reference!$B$100,1))</f>
        <v/>
      </c>
      <c r="Q150" s="32" t="str">
        <f>IF($P150="","",IF(SUM($AK$148:$AK$154)=0,0,$P150*INDEX(Reference!$B$108:$B$114,$N150+1)/SUM($AK$148:$AK$154)))</f>
        <v/>
      </c>
      <c r="R150" s="32">
        <f t="shared" si="91"/>
        <v>120</v>
      </c>
      <c r="S150" s="32">
        <f t="shared" si="92"/>
        <v>105</v>
      </c>
      <c r="T150" s="32" t="str">
        <f>IF($A150="","",IF($C150=0,"Bullpen",IF(OR($C150=7,$C150=1,$C150=5),"Recovery/Easy Catch",IF($C150=6,"Compression/Pulldowns",IF(OR($C150=4,$C150=2),"Long Toss",IF($C150=3,"No Throw",IF($N150=2,"No Throw",IF($N150=6,IF($O150&lt;Reference!$B$104,"No Throw","Recovery/Easy Catch"),IF(OR($N150=0,$N150=4),"Recovery/Easy Catch",IF($N150=1,IF($R150&gt;75,"Long Toss","Recovery/Easy Catch"),IF($N150=3,IF($O150&lt;0.5,IF($S150&gt;75,"Long Toss","Recovery/Easy Catch"),"Compression/Pulldowns"),IF($S150&gt;75,"Long Toss","Recovery/Easy Catch"))))))))))))</f>
        <v/>
      </c>
      <c r="U150" s="32" t="str">
        <f t="shared" si="93"/>
        <v/>
      </c>
      <c r="V150" s="32" t="str">
        <f t="shared" si="94"/>
        <v/>
      </c>
      <c r="W150" s="32" t="str">
        <f t="shared" si="95"/>
        <v/>
      </c>
      <c r="X150" s="32">
        <f t="shared" si="96"/>
        <v>0</v>
      </c>
      <c r="Y150" s="32" t="str">
        <f t="shared" si="97"/>
        <v/>
      </c>
      <c r="Z150" s="32" t="str">
        <f t="shared" si="98"/>
        <v/>
      </c>
      <c r="AA150" s="32" t="str">
        <f t="shared" si="99"/>
        <v/>
      </c>
      <c r="AB150" s="32" t="str">
        <f>IF($A150="","",IF($T150="No Throw",0,IF($K150&lt;&gt;"",$K150,IF($AA150&lt;&gt;"",ROUND($AA150*$D$12*IF($C150=0,1,$G$10),0),MIN(IF($T150="Recovery/Easy Catch",Reference!$B$103,IF($T150="Long Toss",Reference!$B$106,Reference!$B$102)),MAX(Reference!$B$101,ROUND(MAX(0,$Q150-$AE150)/$AF150,0)))))))</f>
        <v/>
      </c>
      <c r="AC150" s="32">
        <f t="shared" si="100"/>
        <v>0</v>
      </c>
      <c r="AD150" s="32" t="b">
        <f t="shared" si="101"/>
        <v>1</v>
      </c>
      <c r="AE150" s="32">
        <f>IF($X150=0,0,$X150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150+$Z150)/2,0),Reference!$A$17:$B$20,2,TRUE()))</f>
        <v>0</v>
      </c>
      <c r="AF150" s="32">
        <f>IF(OR($A150="",$U150="",$T150="No Throw"),0,$AM150*VLOOKUP(MAX(($V150+$W150)/2,0),Reference!$A$17:$B$20,2,TRUE()))</f>
        <v>0</v>
      </c>
      <c r="AG150" s="32">
        <f>IF($AC150=0,0,$AC150*INDEX(Reference!$B$61:$B$62,MATCH("Bullpen",Reference!$A$61:$A$62,0))*VLOOKUP(MAX($D$5-($D$9+$E$9)/2,0),Reference!$A$17:$B$20,2,TRUE()))</f>
        <v>0</v>
      </c>
      <c r="AH150" s="32" t="e">
        <f t="shared" si="102"/>
        <v>#N/A</v>
      </c>
      <c r="AI150" s="32" t="e">
        <f>IF($A150="",NA(),Reference!$A$25)</f>
        <v>#N/A</v>
      </c>
      <c r="AJ150" s="32" t="e">
        <f t="shared" si="103"/>
        <v>#N/A</v>
      </c>
      <c r="AK150" s="32">
        <f>IF(OR($A150="",N($C150)&lt;=7,$T150="No Throw",$J150="x"),0,INDEX(Reference!$B$108:$B$114,$N150+1))</f>
        <v>0</v>
      </c>
      <c r="AL150" s="32">
        <f t="shared" si="104"/>
        <v>1</v>
      </c>
      <c r="AM150" s="32">
        <f>IF($U150="",0,IF($AL150&gt;1,((IF(1&lt;=$AL150,($AL150-1+3)*(INDEX(Reference!$B$6:$B$11,MIN(5,MATCH(MAX(Reference!$A$6,MIN(Reference!$A$11,MIN($U150,90))),Reference!$A$6:$A$11,1)))+(MAX(Reference!$A$6,MIN(Reference!$A$11,MIN($U150,90)))-INDEX(Reference!$A$6:$A$11,MIN(5,MATCH(MAX(Reference!$A$6,MIN(Reference!$A$11,MIN($U150,90))),Reference!$A$6:$A$11,1))))*(INDEX(Reference!$B$6:$B$11,MIN(5,MATCH(MAX(Reference!$A$6,MIN(Reference!$A$11,MIN($U150,90))),Reference!$A$6:$A$11,1))+1)-INDEX(Reference!$B$6:$B$11,MIN(5,MATCH(MAX(Reference!$A$6,MIN(Reference!$A$11,MIN($U150,90))),Reference!$A$6:$A$11,1))))/(INDEX(Reference!$A$6:$A$11,MIN(5,MATCH(MAX(Reference!$A$6,MIN(Reference!$A$11,MIN($U150,90))),Reference!$A$6:$A$11,1))+1)-INDEX(Reference!$A$6:$A$11,MIN(5,MATCH(MAX(Reference!$A$6,MIN(Reference!$A$11,MIN($U150,90))),Reference!$A$6:$A$11,1))))),0)+IF(2&lt;=$AL150,($AL150-2+3)*(INDEX(Reference!$B$6:$B$11,MIN(5,MATCH(MAX(Reference!$A$6,MIN(Reference!$A$11,MIN($U150,120))),Reference!$A$6:$A$11,1)))+(MAX(Reference!$A$6,MIN(Reference!$A$11,MIN($U150,120)))-INDEX(Reference!$A$6:$A$11,MIN(5,MATCH(MAX(Reference!$A$6,MIN(Reference!$A$11,MIN($U150,120))),Reference!$A$6:$A$11,1))))*(INDEX(Reference!$B$6:$B$11,MIN(5,MATCH(MAX(Reference!$A$6,MIN(Reference!$A$11,MIN($U150,120))),Reference!$A$6:$A$11,1))+1)-INDEX(Reference!$B$6:$B$11,MIN(5,MATCH(MAX(Reference!$A$6,MIN(Reference!$A$11,MIN($U150,120))),Reference!$A$6:$A$11,1))))/(INDEX(Reference!$A$6:$A$11,MIN(5,MATCH(MAX(Reference!$A$6,MIN(Reference!$A$11,MIN($U150,120))),Reference!$A$6:$A$11,1))+1)-INDEX(Reference!$A$6:$A$11,MIN(5,MATCH(MAX(Reference!$A$6,MIN(Reference!$A$11,MIN($U150,120))),Reference!$A$6:$A$11,1))))),0)+IF(3&lt;=$AL150,($AL150-3+3)*(INDEX(Reference!$B$6:$B$11,MIN(5,MATCH(MAX(Reference!$A$6,MIN(Reference!$A$11,MIN($U150,150))),Reference!$A$6:$A$11,1)))+(MAX(Reference!$A$6,MIN(Reference!$A$11,MIN($U150,150)))-INDEX(Reference!$A$6:$A$11,MIN(5,MATCH(MAX(Reference!$A$6,MIN(Reference!$A$11,MIN($U150,150))),Reference!$A$6:$A$11,1))))*(INDEX(Reference!$B$6:$B$11,MIN(5,MATCH(MAX(Reference!$A$6,MIN(Reference!$A$11,MIN($U150,150))),Reference!$A$6:$A$11,1))+1)-INDEX(Reference!$B$6:$B$11,MIN(5,MATCH(MAX(Reference!$A$6,MIN(Reference!$A$11,MIN($U150,150))),Reference!$A$6:$A$11,1))))/(INDEX(Reference!$A$6:$A$11,MIN(5,MATCH(MAX(Reference!$A$6,MIN(Reference!$A$11,MIN($U150,150))),Reference!$A$6:$A$11,1))+1)-INDEX(Reference!$A$6:$A$11,MIN(5,MATCH(MAX(Reference!$A$6,MIN(Reference!$A$11,MIN($U150,150))),Reference!$A$6:$A$11,1))))),0)+IF(4&lt;=$AL150,($AL150-4+3)*(INDEX(Reference!$B$6:$B$11,MIN(5,MATCH(MAX(Reference!$A$6,MIN(Reference!$A$11,MIN($U150,180))),Reference!$A$6:$A$11,1)))+(MAX(Reference!$A$6,MIN(Reference!$A$11,MIN($U150,180)))-INDEX(Reference!$A$6:$A$11,MIN(5,MATCH(MAX(Reference!$A$6,MIN(Reference!$A$11,MIN($U150,180))),Reference!$A$6:$A$11,1))))*(INDEX(Reference!$B$6:$B$11,MIN(5,MATCH(MAX(Reference!$A$6,MIN(Reference!$A$11,MIN($U150,180))),Reference!$A$6:$A$11,1))+1)-INDEX(Reference!$B$6:$B$11,MIN(5,MATCH(MAX(Reference!$A$6,MIN(Reference!$A$11,MIN($U150,180))),Reference!$A$6:$A$11,1))))/(INDEX(Reference!$A$6:$A$11,MIN(5,MATCH(MAX(Reference!$A$6,MIN(Reference!$A$11,MIN($U150,180))),Reference!$A$6:$A$11,1))+1)-INDEX(Reference!$A$6:$A$11,MIN(5,MATCH(MAX(Reference!$A$6,MIN(Reference!$A$11,MIN($U150,180))),Reference!$A$6:$A$11,1))))),0)+IF(5&lt;=$AL150,($AL150-5+3)*(INDEX(Reference!$B$6:$B$11,MIN(5,MATCH(MAX(Reference!$A$6,MIN(Reference!$A$11,MIN($U150,210))),Reference!$A$6:$A$11,1)))+(MAX(Reference!$A$6,MIN(Reference!$A$11,MIN($U150,210)))-INDEX(Reference!$A$6:$A$11,MIN(5,MATCH(MAX(Reference!$A$6,MIN(Reference!$A$11,MIN($U150,210))),Reference!$A$6:$A$11,1))))*(INDEX(Reference!$B$6:$B$11,MIN(5,MATCH(MAX(Reference!$A$6,MIN(Reference!$A$11,MIN($U150,210))),Reference!$A$6:$A$11,1))+1)-INDEX(Reference!$B$6:$B$11,MIN(5,MATCH(MAX(Reference!$A$6,MIN(Reference!$A$11,MIN($U150,210))),Reference!$A$6:$A$11,1))))/(INDEX(Reference!$A$6:$A$11,MIN(5,MATCH(MAX(Reference!$A$6,MIN(Reference!$A$11,MIN($U150,210))),Reference!$A$6:$A$11,1))+1)-INDEX(Reference!$A$6:$A$11,MIN(5,MATCH(MAX(Reference!$A$6,MIN(Reference!$A$11,MIN($U150,210))),Reference!$A$6:$A$11,1))))),0)+IF(6&lt;=$AL150,($AL150-6+3)*(INDEX(Reference!$B$6:$B$11,MIN(5,MATCH(MAX(Reference!$A$6,MIN(Reference!$A$11,MIN($U150,240))),Reference!$A$6:$A$11,1)))+(MAX(Reference!$A$6,MIN(Reference!$A$11,MIN($U150,240)))-INDEX(Reference!$A$6:$A$11,MIN(5,MATCH(MAX(Reference!$A$6,MIN(Reference!$A$11,MIN($U150,240))),Reference!$A$6:$A$11,1))))*(INDEX(Reference!$B$6:$B$11,MIN(5,MATCH(MAX(Reference!$A$6,MIN(Reference!$A$11,MIN($U150,240))),Reference!$A$6:$A$11,1))+1)-INDEX(Reference!$B$6:$B$11,MIN(5,MATCH(MAX(Reference!$A$6,MIN(Reference!$A$11,MIN($U150,240))),Reference!$A$6:$A$11,1))))/(INDEX(Reference!$A$6:$A$11,MIN(5,MATCH(MAX(Reference!$A$6,MIN(Reference!$A$11,MIN($U150,240))),Reference!$A$6:$A$11,1))+1)-INDEX(Reference!$A$6:$A$11,MIN(5,MATCH(MAX(Reference!$A$6,MIN(Reference!$A$11,MIN($U150,240))),Reference!$A$6:$A$11,1))))),0)+IF(7&lt;=$AL150,($AL150-7+3)*(INDEX(Reference!$B$6:$B$11,MIN(5,MATCH(MAX(Reference!$A$6,MIN(Reference!$A$11,MIN($U150,270))),Reference!$A$6:$A$11,1)))+(MAX(Reference!$A$6,MIN(Reference!$A$11,MIN($U150,270)))-INDEX(Reference!$A$6:$A$11,MIN(5,MATCH(MAX(Reference!$A$6,MIN(Reference!$A$11,MIN($U150,270))),Reference!$A$6:$A$11,1))))*(INDEX(Reference!$B$6:$B$11,MIN(5,MATCH(MAX(Reference!$A$6,MIN(Reference!$A$11,MIN($U150,270))),Reference!$A$6:$A$11,1))+1)-INDEX(Reference!$B$6:$B$11,MIN(5,MATCH(MAX(Reference!$A$6,MIN(Reference!$A$11,MIN($U150,270))),Reference!$A$6:$A$11,1))))/(INDEX(Reference!$A$6:$A$11,MIN(5,MATCH(MAX(Reference!$A$6,MIN(Reference!$A$11,MIN($U150,270))),Reference!$A$6:$A$11,1))+1)-INDEX(Reference!$A$6:$A$11,MIN(5,MATCH(MAX(Reference!$A$6,MIN(Reference!$A$11,MIN($U150,270))),Reference!$A$6:$A$11,1))))),0)+IF(8&lt;=$AL150,($AL150-8+3)*(INDEX(Reference!$B$6:$B$11,MIN(5,MATCH(MAX(Reference!$A$6,MIN(Reference!$A$11,MIN($U150,300))),Reference!$A$6:$A$11,1)))+(MAX(Reference!$A$6,MIN(Reference!$A$11,MIN($U150,300)))-INDEX(Reference!$A$6:$A$11,MIN(5,MATCH(MAX(Reference!$A$6,MIN(Reference!$A$11,MIN($U150,300))),Reference!$A$6:$A$11,1))))*(INDEX(Reference!$B$6:$B$11,MIN(5,MATCH(MAX(Reference!$A$6,MIN(Reference!$A$11,MIN($U150,300))),Reference!$A$6:$A$11,1))+1)-INDEX(Reference!$B$6:$B$11,MIN(5,MATCH(MAX(Reference!$A$6,MIN(Reference!$A$11,MIN($U150,300))),Reference!$A$6:$A$11,1))))/(INDEX(Reference!$A$6:$A$11,MIN(5,MATCH(MAX(Reference!$A$6,MIN(Reference!$A$11,MIN($U150,300))),Reference!$A$6:$A$11,1))+1)-INDEX(Reference!$A$6:$A$11,MIN(5,MATCH(MAX(Reference!$A$6,MIN(Reference!$A$11,MIN($U150,300))),Reference!$A$6:$A$11,1))))),0))/($AL150*($AL150+5)/2)),$AN150))</f>
        <v>0</v>
      </c>
      <c r="AN150" s="32">
        <f>IF($U150="",0,(INDEX(Reference!$B$6:$B$11,MIN(5,MATCH(MAX(Reference!$A$6,MIN(Reference!$A$11,$U150)),Reference!$A$6:$A$11,1)))+(MAX(Reference!$A$6,MIN(Reference!$A$11,$U150))-INDEX(Reference!$A$6:$A$11,MIN(5,MATCH(MAX(Reference!$A$6,MIN(Reference!$A$11,$U150)),Reference!$A$6:$A$11,1))))*(INDEX(Reference!$B$6:$B$11,MIN(5,MATCH(MAX(Reference!$A$6,MIN(Reference!$A$11,$U150)),Reference!$A$6:$A$11,1))+1)-INDEX(Reference!$B$6:$B$11,MIN(5,MATCH(MAX(Reference!$A$6,MIN(Reference!$A$11,$U150)),Reference!$A$6:$A$11,1))))/(INDEX(Reference!$A$6:$A$11,MIN(5,MATCH(MAX(Reference!$A$6,MIN(Reference!$A$11,$U150)),Reference!$A$6:$A$11,1))+1)-INDEX(Reference!$A$6:$A$11,MIN(5,MATCH(MAX(Reference!$A$6,MIN(Reference!$A$11,$U150)),Reference!$A$6:$A$11,1))))))</f>
        <v>0</v>
      </c>
      <c r="AO150" s="37"/>
      <c r="AP150" s="37"/>
      <c r="AQ150" s="37"/>
    </row>
    <row r="151" spans="1:43" x14ac:dyDescent="0.3">
      <c r="A151" s="48" t="str">
        <f t="shared" si="80"/>
        <v/>
      </c>
      <c r="B151" s="32" t="str">
        <f t="shared" si="81"/>
        <v/>
      </c>
      <c r="C151" s="32" t="str">
        <f t="shared" si="82"/>
        <v/>
      </c>
      <c r="D151" s="32" t="str">
        <f t="shared" si="83"/>
        <v/>
      </c>
      <c r="E151" s="32" t="str">
        <f t="shared" si="84"/>
        <v/>
      </c>
      <c r="F151" s="32" t="str">
        <f t="shared" si="85"/>
        <v/>
      </c>
      <c r="G151" s="47" t="str">
        <f t="shared" si="86"/>
        <v/>
      </c>
      <c r="H151" s="30" t="str">
        <f t="shared" si="87"/>
        <v/>
      </c>
      <c r="I151" s="46" t="str">
        <f>IF($A151="","",IF(AND($L151&lt;27,$K$12=0),"Building",IFERROR(((SUM($H$145:$H151)+$K$12*IF($L151&lt;6,SUMIFS('Throw Log'!$Q$5:$Q$300,'Throw Log'!$B$5:$B$300,$D$4,'Throw Log'!$A$5:$A$300,"&gt;="&amp;($D$6+$L151-6),'Throw Log'!$A$5:$A$300,"&lt;="&amp;($D$6-1)),0))/7)/((SUM($H$124:$H151)+$K$12*IF($L151&lt;27,SUMIFS('Throw Log'!$Q$5:$Q$300,'Throw Log'!$B$5:$B$300,$D$4,'Throw Log'!$A$5:$A$300,"&gt;="&amp;($D$6+$L151-27),'Throw Log'!$A$5:$A$300,"&lt;="&amp;($D$6-1)),0))/28),"")))</f>
        <v/>
      </c>
      <c r="J151" s="37"/>
      <c r="K151" s="37"/>
      <c r="L151" s="32">
        <v>108</v>
      </c>
      <c r="M151" s="32">
        <f t="shared" si="88"/>
        <v>16</v>
      </c>
      <c r="N151" s="32">
        <f t="shared" si="89"/>
        <v>3</v>
      </c>
      <c r="O151" s="32">
        <f t="shared" si="90"/>
        <v>1</v>
      </c>
      <c r="P151" s="32" t="str">
        <f>IF(OR($A151="",N($C151)&lt;=7),"",$G$6*$G$9^($M151-1)*IF(AND(MOD($M151,Reference!$B$99)=0,$M151&lt;=$G$5-2),Reference!$B$100,1))</f>
        <v/>
      </c>
      <c r="Q151" s="32" t="str">
        <f>IF($P151="","",IF(SUM($AK$148:$AK$154)=0,0,$P151*INDEX(Reference!$B$108:$B$114,$N151+1)/SUM($AK$148:$AK$154)))</f>
        <v/>
      </c>
      <c r="R151" s="32">
        <f t="shared" si="91"/>
        <v>120</v>
      </c>
      <c r="S151" s="32">
        <f t="shared" si="92"/>
        <v>105</v>
      </c>
      <c r="T151" s="32" t="str">
        <f>IF($A151="","",IF($C151=0,"Bullpen",IF(OR($C151=7,$C151=1,$C151=5),"Recovery/Easy Catch",IF($C151=6,"Compression/Pulldowns",IF(OR($C151=4,$C151=2),"Long Toss",IF($C151=3,"No Throw",IF($N151=2,"No Throw",IF($N151=6,IF($O151&lt;Reference!$B$104,"No Throw","Recovery/Easy Catch"),IF(OR($N151=0,$N151=4),"Recovery/Easy Catch",IF($N151=1,IF($R151&gt;75,"Long Toss","Recovery/Easy Catch"),IF($N151=3,IF($O151&lt;0.5,IF($S151&gt;75,"Long Toss","Recovery/Easy Catch"),"Compression/Pulldowns"),IF($S151&gt;75,"Long Toss","Recovery/Easy Catch"))))))))))))</f>
        <v/>
      </c>
      <c r="U151" s="32" t="str">
        <f t="shared" si="93"/>
        <v/>
      </c>
      <c r="V151" s="32" t="str">
        <f t="shared" si="94"/>
        <v/>
      </c>
      <c r="W151" s="32" t="str">
        <f t="shared" si="95"/>
        <v/>
      </c>
      <c r="X151" s="32">
        <f t="shared" si="96"/>
        <v>0</v>
      </c>
      <c r="Y151" s="32" t="str">
        <f t="shared" si="97"/>
        <v/>
      </c>
      <c r="Z151" s="32" t="str">
        <f t="shared" si="98"/>
        <v/>
      </c>
      <c r="AA151" s="32" t="str">
        <f t="shared" si="99"/>
        <v/>
      </c>
      <c r="AB151" s="32" t="str">
        <f>IF($A151="","",IF($T151="No Throw",0,IF($K151&lt;&gt;"",$K151,IF($AA151&lt;&gt;"",ROUND($AA151*$D$12*IF($C151=0,1,$G$10),0),MIN(IF($T151="Recovery/Easy Catch",Reference!$B$103,IF($T151="Long Toss",Reference!$B$106,Reference!$B$102)),MAX(Reference!$B$101,ROUND(MAX(0,$Q151-$AE151)/$AF151,0)))))))</f>
        <v/>
      </c>
      <c r="AC151" s="32">
        <f t="shared" si="100"/>
        <v>0</v>
      </c>
      <c r="AD151" s="32" t="b">
        <f t="shared" si="101"/>
        <v>1</v>
      </c>
      <c r="AE151" s="32">
        <f>IF($X151=0,0,$X151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151+$Z151)/2,0),Reference!$A$17:$B$20,2,TRUE()))</f>
        <v>0</v>
      </c>
      <c r="AF151" s="32">
        <f>IF(OR($A151="",$U151="",$T151="No Throw"),0,$AM151*VLOOKUP(MAX(($V151+$W151)/2,0),Reference!$A$17:$B$20,2,TRUE()))</f>
        <v>0</v>
      </c>
      <c r="AG151" s="32">
        <f>IF($AC151=0,0,$AC151*INDEX(Reference!$B$61:$B$62,MATCH("Bullpen",Reference!$A$61:$A$62,0))*VLOOKUP(MAX($D$5-($D$9+$E$9)/2,0),Reference!$A$17:$B$20,2,TRUE()))</f>
        <v>0</v>
      </c>
      <c r="AH151" s="32" t="e">
        <f t="shared" si="102"/>
        <v>#N/A</v>
      </c>
      <c r="AI151" s="32" t="e">
        <f>IF($A151="",NA(),Reference!$A$25)</f>
        <v>#N/A</v>
      </c>
      <c r="AJ151" s="32" t="e">
        <f t="shared" si="103"/>
        <v>#N/A</v>
      </c>
      <c r="AK151" s="32">
        <f>IF(OR($A151="",N($C151)&lt;=7,$T151="No Throw",$J151="x"),0,INDEX(Reference!$B$108:$B$114,$N151+1))</f>
        <v>0</v>
      </c>
      <c r="AL151" s="32">
        <f t="shared" si="104"/>
        <v>1</v>
      </c>
      <c r="AM151" s="32">
        <f>IF($U151="",0,IF($AL151&gt;1,((IF(1&lt;=$AL151,($AL151-1+3)*(INDEX(Reference!$B$6:$B$11,MIN(5,MATCH(MAX(Reference!$A$6,MIN(Reference!$A$11,MIN($U151,90))),Reference!$A$6:$A$11,1)))+(MAX(Reference!$A$6,MIN(Reference!$A$11,MIN($U151,90)))-INDEX(Reference!$A$6:$A$11,MIN(5,MATCH(MAX(Reference!$A$6,MIN(Reference!$A$11,MIN($U151,90))),Reference!$A$6:$A$11,1))))*(INDEX(Reference!$B$6:$B$11,MIN(5,MATCH(MAX(Reference!$A$6,MIN(Reference!$A$11,MIN($U151,90))),Reference!$A$6:$A$11,1))+1)-INDEX(Reference!$B$6:$B$11,MIN(5,MATCH(MAX(Reference!$A$6,MIN(Reference!$A$11,MIN($U151,90))),Reference!$A$6:$A$11,1))))/(INDEX(Reference!$A$6:$A$11,MIN(5,MATCH(MAX(Reference!$A$6,MIN(Reference!$A$11,MIN($U151,90))),Reference!$A$6:$A$11,1))+1)-INDEX(Reference!$A$6:$A$11,MIN(5,MATCH(MAX(Reference!$A$6,MIN(Reference!$A$11,MIN($U151,90))),Reference!$A$6:$A$11,1))))),0)+IF(2&lt;=$AL151,($AL151-2+3)*(INDEX(Reference!$B$6:$B$11,MIN(5,MATCH(MAX(Reference!$A$6,MIN(Reference!$A$11,MIN($U151,120))),Reference!$A$6:$A$11,1)))+(MAX(Reference!$A$6,MIN(Reference!$A$11,MIN($U151,120)))-INDEX(Reference!$A$6:$A$11,MIN(5,MATCH(MAX(Reference!$A$6,MIN(Reference!$A$11,MIN($U151,120))),Reference!$A$6:$A$11,1))))*(INDEX(Reference!$B$6:$B$11,MIN(5,MATCH(MAX(Reference!$A$6,MIN(Reference!$A$11,MIN($U151,120))),Reference!$A$6:$A$11,1))+1)-INDEX(Reference!$B$6:$B$11,MIN(5,MATCH(MAX(Reference!$A$6,MIN(Reference!$A$11,MIN($U151,120))),Reference!$A$6:$A$11,1))))/(INDEX(Reference!$A$6:$A$11,MIN(5,MATCH(MAX(Reference!$A$6,MIN(Reference!$A$11,MIN($U151,120))),Reference!$A$6:$A$11,1))+1)-INDEX(Reference!$A$6:$A$11,MIN(5,MATCH(MAX(Reference!$A$6,MIN(Reference!$A$11,MIN($U151,120))),Reference!$A$6:$A$11,1))))),0)+IF(3&lt;=$AL151,($AL151-3+3)*(INDEX(Reference!$B$6:$B$11,MIN(5,MATCH(MAX(Reference!$A$6,MIN(Reference!$A$11,MIN($U151,150))),Reference!$A$6:$A$11,1)))+(MAX(Reference!$A$6,MIN(Reference!$A$11,MIN($U151,150)))-INDEX(Reference!$A$6:$A$11,MIN(5,MATCH(MAX(Reference!$A$6,MIN(Reference!$A$11,MIN($U151,150))),Reference!$A$6:$A$11,1))))*(INDEX(Reference!$B$6:$B$11,MIN(5,MATCH(MAX(Reference!$A$6,MIN(Reference!$A$11,MIN($U151,150))),Reference!$A$6:$A$11,1))+1)-INDEX(Reference!$B$6:$B$11,MIN(5,MATCH(MAX(Reference!$A$6,MIN(Reference!$A$11,MIN($U151,150))),Reference!$A$6:$A$11,1))))/(INDEX(Reference!$A$6:$A$11,MIN(5,MATCH(MAX(Reference!$A$6,MIN(Reference!$A$11,MIN($U151,150))),Reference!$A$6:$A$11,1))+1)-INDEX(Reference!$A$6:$A$11,MIN(5,MATCH(MAX(Reference!$A$6,MIN(Reference!$A$11,MIN($U151,150))),Reference!$A$6:$A$11,1))))),0)+IF(4&lt;=$AL151,($AL151-4+3)*(INDEX(Reference!$B$6:$B$11,MIN(5,MATCH(MAX(Reference!$A$6,MIN(Reference!$A$11,MIN($U151,180))),Reference!$A$6:$A$11,1)))+(MAX(Reference!$A$6,MIN(Reference!$A$11,MIN($U151,180)))-INDEX(Reference!$A$6:$A$11,MIN(5,MATCH(MAX(Reference!$A$6,MIN(Reference!$A$11,MIN($U151,180))),Reference!$A$6:$A$11,1))))*(INDEX(Reference!$B$6:$B$11,MIN(5,MATCH(MAX(Reference!$A$6,MIN(Reference!$A$11,MIN($U151,180))),Reference!$A$6:$A$11,1))+1)-INDEX(Reference!$B$6:$B$11,MIN(5,MATCH(MAX(Reference!$A$6,MIN(Reference!$A$11,MIN($U151,180))),Reference!$A$6:$A$11,1))))/(INDEX(Reference!$A$6:$A$11,MIN(5,MATCH(MAX(Reference!$A$6,MIN(Reference!$A$11,MIN($U151,180))),Reference!$A$6:$A$11,1))+1)-INDEX(Reference!$A$6:$A$11,MIN(5,MATCH(MAX(Reference!$A$6,MIN(Reference!$A$11,MIN($U151,180))),Reference!$A$6:$A$11,1))))),0)+IF(5&lt;=$AL151,($AL151-5+3)*(INDEX(Reference!$B$6:$B$11,MIN(5,MATCH(MAX(Reference!$A$6,MIN(Reference!$A$11,MIN($U151,210))),Reference!$A$6:$A$11,1)))+(MAX(Reference!$A$6,MIN(Reference!$A$11,MIN($U151,210)))-INDEX(Reference!$A$6:$A$11,MIN(5,MATCH(MAX(Reference!$A$6,MIN(Reference!$A$11,MIN($U151,210))),Reference!$A$6:$A$11,1))))*(INDEX(Reference!$B$6:$B$11,MIN(5,MATCH(MAX(Reference!$A$6,MIN(Reference!$A$11,MIN($U151,210))),Reference!$A$6:$A$11,1))+1)-INDEX(Reference!$B$6:$B$11,MIN(5,MATCH(MAX(Reference!$A$6,MIN(Reference!$A$11,MIN($U151,210))),Reference!$A$6:$A$11,1))))/(INDEX(Reference!$A$6:$A$11,MIN(5,MATCH(MAX(Reference!$A$6,MIN(Reference!$A$11,MIN($U151,210))),Reference!$A$6:$A$11,1))+1)-INDEX(Reference!$A$6:$A$11,MIN(5,MATCH(MAX(Reference!$A$6,MIN(Reference!$A$11,MIN($U151,210))),Reference!$A$6:$A$11,1))))),0)+IF(6&lt;=$AL151,($AL151-6+3)*(INDEX(Reference!$B$6:$B$11,MIN(5,MATCH(MAX(Reference!$A$6,MIN(Reference!$A$11,MIN($U151,240))),Reference!$A$6:$A$11,1)))+(MAX(Reference!$A$6,MIN(Reference!$A$11,MIN($U151,240)))-INDEX(Reference!$A$6:$A$11,MIN(5,MATCH(MAX(Reference!$A$6,MIN(Reference!$A$11,MIN($U151,240))),Reference!$A$6:$A$11,1))))*(INDEX(Reference!$B$6:$B$11,MIN(5,MATCH(MAX(Reference!$A$6,MIN(Reference!$A$11,MIN($U151,240))),Reference!$A$6:$A$11,1))+1)-INDEX(Reference!$B$6:$B$11,MIN(5,MATCH(MAX(Reference!$A$6,MIN(Reference!$A$11,MIN($U151,240))),Reference!$A$6:$A$11,1))))/(INDEX(Reference!$A$6:$A$11,MIN(5,MATCH(MAX(Reference!$A$6,MIN(Reference!$A$11,MIN($U151,240))),Reference!$A$6:$A$11,1))+1)-INDEX(Reference!$A$6:$A$11,MIN(5,MATCH(MAX(Reference!$A$6,MIN(Reference!$A$11,MIN($U151,240))),Reference!$A$6:$A$11,1))))),0)+IF(7&lt;=$AL151,($AL151-7+3)*(INDEX(Reference!$B$6:$B$11,MIN(5,MATCH(MAX(Reference!$A$6,MIN(Reference!$A$11,MIN($U151,270))),Reference!$A$6:$A$11,1)))+(MAX(Reference!$A$6,MIN(Reference!$A$11,MIN($U151,270)))-INDEX(Reference!$A$6:$A$11,MIN(5,MATCH(MAX(Reference!$A$6,MIN(Reference!$A$11,MIN($U151,270))),Reference!$A$6:$A$11,1))))*(INDEX(Reference!$B$6:$B$11,MIN(5,MATCH(MAX(Reference!$A$6,MIN(Reference!$A$11,MIN($U151,270))),Reference!$A$6:$A$11,1))+1)-INDEX(Reference!$B$6:$B$11,MIN(5,MATCH(MAX(Reference!$A$6,MIN(Reference!$A$11,MIN($U151,270))),Reference!$A$6:$A$11,1))))/(INDEX(Reference!$A$6:$A$11,MIN(5,MATCH(MAX(Reference!$A$6,MIN(Reference!$A$11,MIN($U151,270))),Reference!$A$6:$A$11,1))+1)-INDEX(Reference!$A$6:$A$11,MIN(5,MATCH(MAX(Reference!$A$6,MIN(Reference!$A$11,MIN($U151,270))),Reference!$A$6:$A$11,1))))),0)+IF(8&lt;=$AL151,($AL151-8+3)*(INDEX(Reference!$B$6:$B$11,MIN(5,MATCH(MAX(Reference!$A$6,MIN(Reference!$A$11,MIN($U151,300))),Reference!$A$6:$A$11,1)))+(MAX(Reference!$A$6,MIN(Reference!$A$11,MIN($U151,300)))-INDEX(Reference!$A$6:$A$11,MIN(5,MATCH(MAX(Reference!$A$6,MIN(Reference!$A$11,MIN($U151,300))),Reference!$A$6:$A$11,1))))*(INDEX(Reference!$B$6:$B$11,MIN(5,MATCH(MAX(Reference!$A$6,MIN(Reference!$A$11,MIN($U151,300))),Reference!$A$6:$A$11,1))+1)-INDEX(Reference!$B$6:$B$11,MIN(5,MATCH(MAX(Reference!$A$6,MIN(Reference!$A$11,MIN($U151,300))),Reference!$A$6:$A$11,1))))/(INDEX(Reference!$A$6:$A$11,MIN(5,MATCH(MAX(Reference!$A$6,MIN(Reference!$A$11,MIN($U151,300))),Reference!$A$6:$A$11,1))+1)-INDEX(Reference!$A$6:$A$11,MIN(5,MATCH(MAX(Reference!$A$6,MIN(Reference!$A$11,MIN($U151,300))),Reference!$A$6:$A$11,1))))),0))/($AL151*($AL151+5)/2)),$AN151))</f>
        <v>0</v>
      </c>
      <c r="AN151" s="32">
        <f>IF($U151="",0,(INDEX(Reference!$B$6:$B$11,MIN(5,MATCH(MAX(Reference!$A$6,MIN(Reference!$A$11,$U151)),Reference!$A$6:$A$11,1)))+(MAX(Reference!$A$6,MIN(Reference!$A$11,$U151))-INDEX(Reference!$A$6:$A$11,MIN(5,MATCH(MAX(Reference!$A$6,MIN(Reference!$A$11,$U151)),Reference!$A$6:$A$11,1))))*(INDEX(Reference!$B$6:$B$11,MIN(5,MATCH(MAX(Reference!$A$6,MIN(Reference!$A$11,$U151)),Reference!$A$6:$A$11,1))+1)-INDEX(Reference!$B$6:$B$11,MIN(5,MATCH(MAX(Reference!$A$6,MIN(Reference!$A$11,$U151)),Reference!$A$6:$A$11,1))))/(INDEX(Reference!$A$6:$A$11,MIN(5,MATCH(MAX(Reference!$A$6,MIN(Reference!$A$11,$U151)),Reference!$A$6:$A$11,1))+1)-INDEX(Reference!$A$6:$A$11,MIN(5,MATCH(MAX(Reference!$A$6,MIN(Reference!$A$11,$U151)),Reference!$A$6:$A$11,1))))))</f>
        <v>0</v>
      </c>
      <c r="AO151" s="37"/>
      <c r="AP151" s="37"/>
      <c r="AQ151" s="37"/>
    </row>
    <row r="152" spans="1:43" x14ac:dyDescent="0.3">
      <c r="A152" s="48" t="str">
        <f t="shared" si="80"/>
        <v/>
      </c>
      <c r="B152" s="32" t="str">
        <f t="shared" si="81"/>
        <v/>
      </c>
      <c r="C152" s="32" t="str">
        <f t="shared" si="82"/>
        <v/>
      </c>
      <c r="D152" s="32" t="str">
        <f t="shared" si="83"/>
        <v/>
      </c>
      <c r="E152" s="32" t="str">
        <f t="shared" si="84"/>
        <v/>
      </c>
      <c r="F152" s="32" t="str">
        <f t="shared" si="85"/>
        <v/>
      </c>
      <c r="G152" s="47" t="str">
        <f t="shared" si="86"/>
        <v/>
      </c>
      <c r="H152" s="30" t="str">
        <f t="shared" si="87"/>
        <v/>
      </c>
      <c r="I152" s="46" t="str">
        <f>IF($A152="","",IF(AND($L152&lt;27,$K$12=0),"Building",IFERROR(((SUM($H$146:$H152)+$K$12*IF($L152&lt;6,SUMIFS('Throw Log'!$Q$5:$Q$300,'Throw Log'!$B$5:$B$300,$D$4,'Throw Log'!$A$5:$A$300,"&gt;="&amp;($D$6+$L152-6),'Throw Log'!$A$5:$A$300,"&lt;="&amp;($D$6-1)),0))/7)/((SUM($H$125:$H152)+$K$12*IF($L152&lt;27,SUMIFS('Throw Log'!$Q$5:$Q$300,'Throw Log'!$B$5:$B$300,$D$4,'Throw Log'!$A$5:$A$300,"&gt;="&amp;($D$6+$L152-27),'Throw Log'!$A$5:$A$300,"&lt;="&amp;($D$6-1)),0))/28),"")))</f>
        <v/>
      </c>
      <c r="J152" s="37"/>
      <c r="K152" s="37"/>
      <c r="L152" s="32">
        <v>109</v>
      </c>
      <c r="M152" s="32">
        <f t="shared" si="88"/>
        <v>16</v>
      </c>
      <c r="N152" s="32">
        <f t="shared" si="89"/>
        <v>4</v>
      </c>
      <c r="O152" s="32">
        <f t="shared" si="90"/>
        <v>1</v>
      </c>
      <c r="P152" s="32" t="str">
        <f>IF(OR($A152="",N($C152)&lt;=7),"",$G$6*$G$9^($M152-1)*IF(AND(MOD($M152,Reference!$B$99)=0,$M152&lt;=$G$5-2),Reference!$B$100,1))</f>
        <v/>
      </c>
      <c r="Q152" s="32" t="str">
        <f>IF($P152="","",IF(SUM($AK$148:$AK$154)=0,0,$P152*INDEX(Reference!$B$108:$B$114,$N152+1)/SUM($AK$148:$AK$154)))</f>
        <v/>
      </c>
      <c r="R152" s="32">
        <f t="shared" si="91"/>
        <v>120</v>
      </c>
      <c r="S152" s="32">
        <f t="shared" si="92"/>
        <v>105</v>
      </c>
      <c r="T152" s="32" t="str">
        <f>IF($A152="","",IF($C152=0,"Bullpen",IF(OR($C152=7,$C152=1,$C152=5),"Recovery/Easy Catch",IF($C152=6,"Compression/Pulldowns",IF(OR($C152=4,$C152=2),"Long Toss",IF($C152=3,"No Throw",IF($N152=2,"No Throw",IF($N152=6,IF($O152&lt;Reference!$B$104,"No Throw","Recovery/Easy Catch"),IF(OR($N152=0,$N152=4),"Recovery/Easy Catch",IF($N152=1,IF($R152&gt;75,"Long Toss","Recovery/Easy Catch"),IF($N152=3,IF($O152&lt;0.5,IF($S152&gt;75,"Long Toss","Recovery/Easy Catch"),"Compression/Pulldowns"),IF($S152&gt;75,"Long Toss","Recovery/Easy Catch"))))))))))))</f>
        <v/>
      </c>
      <c r="U152" s="32" t="str">
        <f t="shared" si="93"/>
        <v/>
      </c>
      <c r="V152" s="32" t="str">
        <f t="shared" si="94"/>
        <v/>
      </c>
      <c r="W152" s="32" t="str">
        <f t="shared" si="95"/>
        <v/>
      </c>
      <c r="X152" s="32">
        <f t="shared" si="96"/>
        <v>0</v>
      </c>
      <c r="Y152" s="32" t="str">
        <f t="shared" si="97"/>
        <v/>
      </c>
      <c r="Z152" s="32" t="str">
        <f t="shared" si="98"/>
        <v/>
      </c>
      <c r="AA152" s="32" t="str">
        <f t="shared" si="99"/>
        <v/>
      </c>
      <c r="AB152" s="32" t="str">
        <f>IF($A152="","",IF($T152="No Throw",0,IF($K152&lt;&gt;"",$K152,IF($AA152&lt;&gt;"",ROUND($AA152*$D$12*IF($C152=0,1,$G$10),0),MIN(IF($T152="Recovery/Easy Catch",Reference!$B$103,IF($T152="Long Toss",Reference!$B$106,Reference!$B$102)),MAX(Reference!$B$101,ROUND(MAX(0,$Q152-$AE152)/$AF152,0)))))))</f>
        <v/>
      </c>
      <c r="AC152" s="32">
        <f t="shared" si="100"/>
        <v>0</v>
      </c>
      <c r="AD152" s="32" t="b">
        <f t="shared" si="101"/>
        <v>1</v>
      </c>
      <c r="AE152" s="32">
        <f>IF($X152=0,0,$X152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152+$Z152)/2,0),Reference!$A$17:$B$20,2,TRUE()))</f>
        <v>0</v>
      </c>
      <c r="AF152" s="32">
        <f>IF(OR($A152="",$U152="",$T152="No Throw"),0,$AM152*VLOOKUP(MAX(($V152+$W152)/2,0),Reference!$A$17:$B$20,2,TRUE()))</f>
        <v>0</v>
      </c>
      <c r="AG152" s="32">
        <f>IF($AC152=0,0,$AC152*INDEX(Reference!$B$61:$B$62,MATCH("Bullpen",Reference!$A$61:$A$62,0))*VLOOKUP(MAX($D$5-($D$9+$E$9)/2,0),Reference!$A$17:$B$20,2,TRUE()))</f>
        <v>0</v>
      </c>
      <c r="AH152" s="32" t="e">
        <f t="shared" si="102"/>
        <v>#N/A</v>
      </c>
      <c r="AI152" s="32" t="e">
        <f>IF($A152="",NA(),Reference!$A$25)</f>
        <v>#N/A</v>
      </c>
      <c r="AJ152" s="32" t="e">
        <f t="shared" si="103"/>
        <v>#N/A</v>
      </c>
      <c r="AK152" s="32">
        <f>IF(OR($A152="",N($C152)&lt;=7,$T152="No Throw",$J152="x"),0,INDEX(Reference!$B$108:$B$114,$N152+1))</f>
        <v>0</v>
      </c>
      <c r="AL152" s="32">
        <f t="shared" si="104"/>
        <v>1</v>
      </c>
      <c r="AM152" s="32">
        <f>IF($U152="",0,IF($AL152&gt;1,((IF(1&lt;=$AL152,($AL152-1+3)*(INDEX(Reference!$B$6:$B$11,MIN(5,MATCH(MAX(Reference!$A$6,MIN(Reference!$A$11,MIN($U152,90))),Reference!$A$6:$A$11,1)))+(MAX(Reference!$A$6,MIN(Reference!$A$11,MIN($U152,90)))-INDEX(Reference!$A$6:$A$11,MIN(5,MATCH(MAX(Reference!$A$6,MIN(Reference!$A$11,MIN($U152,90))),Reference!$A$6:$A$11,1))))*(INDEX(Reference!$B$6:$B$11,MIN(5,MATCH(MAX(Reference!$A$6,MIN(Reference!$A$11,MIN($U152,90))),Reference!$A$6:$A$11,1))+1)-INDEX(Reference!$B$6:$B$11,MIN(5,MATCH(MAX(Reference!$A$6,MIN(Reference!$A$11,MIN($U152,90))),Reference!$A$6:$A$11,1))))/(INDEX(Reference!$A$6:$A$11,MIN(5,MATCH(MAX(Reference!$A$6,MIN(Reference!$A$11,MIN($U152,90))),Reference!$A$6:$A$11,1))+1)-INDEX(Reference!$A$6:$A$11,MIN(5,MATCH(MAX(Reference!$A$6,MIN(Reference!$A$11,MIN($U152,90))),Reference!$A$6:$A$11,1))))),0)+IF(2&lt;=$AL152,($AL152-2+3)*(INDEX(Reference!$B$6:$B$11,MIN(5,MATCH(MAX(Reference!$A$6,MIN(Reference!$A$11,MIN($U152,120))),Reference!$A$6:$A$11,1)))+(MAX(Reference!$A$6,MIN(Reference!$A$11,MIN($U152,120)))-INDEX(Reference!$A$6:$A$11,MIN(5,MATCH(MAX(Reference!$A$6,MIN(Reference!$A$11,MIN($U152,120))),Reference!$A$6:$A$11,1))))*(INDEX(Reference!$B$6:$B$11,MIN(5,MATCH(MAX(Reference!$A$6,MIN(Reference!$A$11,MIN($U152,120))),Reference!$A$6:$A$11,1))+1)-INDEX(Reference!$B$6:$B$11,MIN(5,MATCH(MAX(Reference!$A$6,MIN(Reference!$A$11,MIN($U152,120))),Reference!$A$6:$A$11,1))))/(INDEX(Reference!$A$6:$A$11,MIN(5,MATCH(MAX(Reference!$A$6,MIN(Reference!$A$11,MIN($U152,120))),Reference!$A$6:$A$11,1))+1)-INDEX(Reference!$A$6:$A$11,MIN(5,MATCH(MAX(Reference!$A$6,MIN(Reference!$A$11,MIN($U152,120))),Reference!$A$6:$A$11,1))))),0)+IF(3&lt;=$AL152,($AL152-3+3)*(INDEX(Reference!$B$6:$B$11,MIN(5,MATCH(MAX(Reference!$A$6,MIN(Reference!$A$11,MIN($U152,150))),Reference!$A$6:$A$11,1)))+(MAX(Reference!$A$6,MIN(Reference!$A$11,MIN($U152,150)))-INDEX(Reference!$A$6:$A$11,MIN(5,MATCH(MAX(Reference!$A$6,MIN(Reference!$A$11,MIN($U152,150))),Reference!$A$6:$A$11,1))))*(INDEX(Reference!$B$6:$B$11,MIN(5,MATCH(MAX(Reference!$A$6,MIN(Reference!$A$11,MIN($U152,150))),Reference!$A$6:$A$11,1))+1)-INDEX(Reference!$B$6:$B$11,MIN(5,MATCH(MAX(Reference!$A$6,MIN(Reference!$A$11,MIN($U152,150))),Reference!$A$6:$A$11,1))))/(INDEX(Reference!$A$6:$A$11,MIN(5,MATCH(MAX(Reference!$A$6,MIN(Reference!$A$11,MIN($U152,150))),Reference!$A$6:$A$11,1))+1)-INDEX(Reference!$A$6:$A$11,MIN(5,MATCH(MAX(Reference!$A$6,MIN(Reference!$A$11,MIN($U152,150))),Reference!$A$6:$A$11,1))))),0)+IF(4&lt;=$AL152,($AL152-4+3)*(INDEX(Reference!$B$6:$B$11,MIN(5,MATCH(MAX(Reference!$A$6,MIN(Reference!$A$11,MIN($U152,180))),Reference!$A$6:$A$11,1)))+(MAX(Reference!$A$6,MIN(Reference!$A$11,MIN($U152,180)))-INDEX(Reference!$A$6:$A$11,MIN(5,MATCH(MAX(Reference!$A$6,MIN(Reference!$A$11,MIN($U152,180))),Reference!$A$6:$A$11,1))))*(INDEX(Reference!$B$6:$B$11,MIN(5,MATCH(MAX(Reference!$A$6,MIN(Reference!$A$11,MIN($U152,180))),Reference!$A$6:$A$11,1))+1)-INDEX(Reference!$B$6:$B$11,MIN(5,MATCH(MAX(Reference!$A$6,MIN(Reference!$A$11,MIN($U152,180))),Reference!$A$6:$A$11,1))))/(INDEX(Reference!$A$6:$A$11,MIN(5,MATCH(MAX(Reference!$A$6,MIN(Reference!$A$11,MIN($U152,180))),Reference!$A$6:$A$11,1))+1)-INDEX(Reference!$A$6:$A$11,MIN(5,MATCH(MAX(Reference!$A$6,MIN(Reference!$A$11,MIN($U152,180))),Reference!$A$6:$A$11,1))))),0)+IF(5&lt;=$AL152,($AL152-5+3)*(INDEX(Reference!$B$6:$B$11,MIN(5,MATCH(MAX(Reference!$A$6,MIN(Reference!$A$11,MIN($U152,210))),Reference!$A$6:$A$11,1)))+(MAX(Reference!$A$6,MIN(Reference!$A$11,MIN($U152,210)))-INDEX(Reference!$A$6:$A$11,MIN(5,MATCH(MAX(Reference!$A$6,MIN(Reference!$A$11,MIN($U152,210))),Reference!$A$6:$A$11,1))))*(INDEX(Reference!$B$6:$B$11,MIN(5,MATCH(MAX(Reference!$A$6,MIN(Reference!$A$11,MIN($U152,210))),Reference!$A$6:$A$11,1))+1)-INDEX(Reference!$B$6:$B$11,MIN(5,MATCH(MAX(Reference!$A$6,MIN(Reference!$A$11,MIN($U152,210))),Reference!$A$6:$A$11,1))))/(INDEX(Reference!$A$6:$A$11,MIN(5,MATCH(MAX(Reference!$A$6,MIN(Reference!$A$11,MIN($U152,210))),Reference!$A$6:$A$11,1))+1)-INDEX(Reference!$A$6:$A$11,MIN(5,MATCH(MAX(Reference!$A$6,MIN(Reference!$A$11,MIN($U152,210))),Reference!$A$6:$A$11,1))))),0)+IF(6&lt;=$AL152,($AL152-6+3)*(INDEX(Reference!$B$6:$B$11,MIN(5,MATCH(MAX(Reference!$A$6,MIN(Reference!$A$11,MIN($U152,240))),Reference!$A$6:$A$11,1)))+(MAX(Reference!$A$6,MIN(Reference!$A$11,MIN($U152,240)))-INDEX(Reference!$A$6:$A$11,MIN(5,MATCH(MAX(Reference!$A$6,MIN(Reference!$A$11,MIN($U152,240))),Reference!$A$6:$A$11,1))))*(INDEX(Reference!$B$6:$B$11,MIN(5,MATCH(MAX(Reference!$A$6,MIN(Reference!$A$11,MIN($U152,240))),Reference!$A$6:$A$11,1))+1)-INDEX(Reference!$B$6:$B$11,MIN(5,MATCH(MAX(Reference!$A$6,MIN(Reference!$A$11,MIN($U152,240))),Reference!$A$6:$A$11,1))))/(INDEX(Reference!$A$6:$A$11,MIN(5,MATCH(MAX(Reference!$A$6,MIN(Reference!$A$11,MIN($U152,240))),Reference!$A$6:$A$11,1))+1)-INDEX(Reference!$A$6:$A$11,MIN(5,MATCH(MAX(Reference!$A$6,MIN(Reference!$A$11,MIN($U152,240))),Reference!$A$6:$A$11,1))))),0)+IF(7&lt;=$AL152,($AL152-7+3)*(INDEX(Reference!$B$6:$B$11,MIN(5,MATCH(MAX(Reference!$A$6,MIN(Reference!$A$11,MIN($U152,270))),Reference!$A$6:$A$11,1)))+(MAX(Reference!$A$6,MIN(Reference!$A$11,MIN($U152,270)))-INDEX(Reference!$A$6:$A$11,MIN(5,MATCH(MAX(Reference!$A$6,MIN(Reference!$A$11,MIN($U152,270))),Reference!$A$6:$A$11,1))))*(INDEX(Reference!$B$6:$B$11,MIN(5,MATCH(MAX(Reference!$A$6,MIN(Reference!$A$11,MIN($U152,270))),Reference!$A$6:$A$11,1))+1)-INDEX(Reference!$B$6:$B$11,MIN(5,MATCH(MAX(Reference!$A$6,MIN(Reference!$A$11,MIN($U152,270))),Reference!$A$6:$A$11,1))))/(INDEX(Reference!$A$6:$A$11,MIN(5,MATCH(MAX(Reference!$A$6,MIN(Reference!$A$11,MIN($U152,270))),Reference!$A$6:$A$11,1))+1)-INDEX(Reference!$A$6:$A$11,MIN(5,MATCH(MAX(Reference!$A$6,MIN(Reference!$A$11,MIN($U152,270))),Reference!$A$6:$A$11,1))))),0)+IF(8&lt;=$AL152,($AL152-8+3)*(INDEX(Reference!$B$6:$B$11,MIN(5,MATCH(MAX(Reference!$A$6,MIN(Reference!$A$11,MIN($U152,300))),Reference!$A$6:$A$11,1)))+(MAX(Reference!$A$6,MIN(Reference!$A$11,MIN($U152,300)))-INDEX(Reference!$A$6:$A$11,MIN(5,MATCH(MAX(Reference!$A$6,MIN(Reference!$A$11,MIN($U152,300))),Reference!$A$6:$A$11,1))))*(INDEX(Reference!$B$6:$B$11,MIN(5,MATCH(MAX(Reference!$A$6,MIN(Reference!$A$11,MIN($U152,300))),Reference!$A$6:$A$11,1))+1)-INDEX(Reference!$B$6:$B$11,MIN(5,MATCH(MAX(Reference!$A$6,MIN(Reference!$A$11,MIN($U152,300))),Reference!$A$6:$A$11,1))))/(INDEX(Reference!$A$6:$A$11,MIN(5,MATCH(MAX(Reference!$A$6,MIN(Reference!$A$11,MIN($U152,300))),Reference!$A$6:$A$11,1))+1)-INDEX(Reference!$A$6:$A$11,MIN(5,MATCH(MAX(Reference!$A$6,MIN(Reference!$A$11,MIN($U152,300))),Reference!$A$6:$A$11,1))))),0))/($AL152*($AL152+5)/2)),$AN152))</f>
        <v>0</v>
      </c>
      <c r="AN152" s="32">
        <f>IF($U152="",0,(INDEX(Reference!$B$6:$B$11,MIN(5,MATCH(MAX(Reference!$A$6,MIN(Reference!$A$11,$U152)),Reference!$A$6:$A$11,1)))+(MAX(Reference!$A$6,MIN(Reference!$A$11,$U152))-INDEX(Reference!$A$6:$A$11,MIN(5,MATCH(MAX(Reference!$A$6,MIN(Reference!$A$11,$U152)),Reference!$A$6:$A$11,1))))*(INDEX(Reference!$B$6:$B$11,MIN(5,MATCH(MAX(Reference!$A$6,MIN(Reference!$A$11,$U152)),Reference!$A$6:$A$11,1))+1)-INDEX(Reference!$B$6:$B$11,MIN(5,MATCH(MAX(Reference!$A$6,MIN(Reference!$A$11,$U152)),Reference!$A$6:$A$11,1))))/(INDEX(Reference!$A$6:$A$11,MIN(5,MATCH(MAX(Reference!$A$6,MIN(Reference!$A$11,$U152)),Reference!$A$6:$A$11,1))+1)-INDEX(Reference!$A$6:$A$11,MIN(5,MATCH(MAX(Reference!$A$6,MIN(Reference!$A$11,$U152)),Reference!$A$6:$A$11,1))))))</f>
        <v>0</v>
      </c>
      <c r="AO152" s="37"/>
      <c r="AP152" s="37"/>
      <c r="AQ152" s="37"/>
    </row>
    <row r="153" spans="1:43" x14ac:dyDescent="0.3">
      <c r="A153" s="48" t="str">
        <f t="shared" si="80"/>
        <v/>
      </c>
      <c r="B153" s="32" t="str">
        <f t="shared" si="81"/>
        <v/>
      </c>
      <c r="C153" s="32" t="str">
        <f t="shared" si="82"/>
        <v/>
      </c>
      <c r="D153" s="32" t="str">
        <f t="shared" si="83"/>
        <v/>
      </c>
      <c r="E153" s="32" t="str">
        <f t="shared" si="84"/>
        <v/>
      </c>
      <c r="F153" s="32" t="str">
        <f t="shared" si="85"/>
        <v/>
      </c>
      <c r="G153" s="47" t="str">
        <f t="shared" si="86"/>
        <v/>
      </c>
      <c r="H153" s="30" t="str">
        <f t="shared" si="87"/>
        <v/>
      </c>
      <c r="I153" s="46" t="str">
        <f>IF($A153="","",IF(AND($L153&lt;27,$K$12=0),"Building",IFERROR(((SUM($H$147:$H153)+$K$12*IF($L153&lt;6,SUMIFS('Throw Log'!$Q$5:$Q$300,'Throw Log'!$B$5:$B$300,$D$4,'Throw Log'!$A$5:$A$300,"&gt;="&amp;($D$6+$L153-6),'Throw Log'!$A$5:$A$300,"&lt;="&amp;($D$6-1)),0))/7)/((SUM($H$126:$H153)+$K$12*IF($L153&lt;27,SUMIFS('Throw Log'!$Q$5:$Q$300,'Throw Log'!$B$5:$B$300,$D$4,'Throw Log'!$A$5:$A$300,"&gt;="&amp;($D$6+$L153-27),'Throw Log'!$A$5:$A$300,"&lt;="&amp;($D$6-1)),0))/28),"")))</f>
        <v/>
      </c>
      <c r="J153" s="37"/>
      <c r="K153" s="37"/>
      <c r="L153" s="32">
        <v>110</v>
      </c>
      <c r="M153" s="32">
        <f t="shared" si="88"/>
        <v>16</v>
      </c>
      <c r="N153" s="32">
        <f t="shared" si="89"/>
        <v>5</v>
      </c>
      <c r="O153" s="32">
        <f t="shared" si="90"/>
        <v>1</v>
      </c>
      <c r="P153" s="32" t="str">
        <f>IF(OR($A153="",N($C153)&lt;=7),"",$G$6*$G$9^($M153-1)*IF(AND(MOD($M153,Reference!$B$99)=0,$M153&lt;=$G$5-2),Reference!$B$100,1))</f>
        <v/>
      </c>
      <c r="Q153" s="32" t="str">
        <f>IF($P153="","",IF(SUM($AK$148:$AK$154)=0,0,$P153*INDEX(Reference!$B$108:$B$114,$N153+1)/SUM($AK$148:$AK$154)))</f>
        <v/>
      </c>
      <c r="R153" s="32">
        <f t="shared" si="91"/>
        <v>120</v>
      </c>
      <c r="S153" s="32">
        <f t="shared" si="92"/>
        <v>105</v>
      </c>
      <c r="T153" s="32" t="str">
        <f>IF($A153="","",IF($C153=0,"Bullpen",IF(OR($C153=7,$C153=1,$C153=5),"Recovery/Easy Catch",IF($C153=6,"Compression/Pulldowns",IF(OR($C153=4,$C153=2),"Long Toss",IF($C153=3,"No Throw",IF($N153=2,"No Throw",IF($N153=6,IF($O153&lt;Reference!$B$104,"No Throw","Recovery/Easy Catch"),IF(OR($N153=0,$N153=4),"Recovery/Easy Catch",IF($N153=1,IF($R153&gt;75,"Long Toss","Recovery/Easy Catch"),IF($N153=3,IF($O153&lt;0.5,IF($S153&gt;75,"Long Toss","Recovery/Easy Catch"),"Compression/Pulldowns"),IF($S153&gt;75,"Long Toss","Recovery/Easy Catch"))))))))))))</f>
        <v/>
      </c>
      <c r="U153" s="32" t="str">
        <f t="shared" si="93"/>
        <v/>
      </c>
      <c r="V153" s="32" t="str">
        <f t="shared" si="94"/>
        <v/>
      </c>
      <c r="W153" s="32" t="str">
        <f t="shared" si="95"/>
        <v/>
      </c>
      <c r="X153" s="32">
        <f t="shared" si="96"/>
        <v>0</v>
      </c>
      <c r="Y153" s="32" t="str">
        <f t="shared" si="97"/>
        <v/>
      </c>
      <c r="Z153" s="32" t="str">
        <f t="shared" si="98"/>
        <v/>
      </c>
      <c r="AA153" s="32" t="str">
        <f t="shared" si="99"/>
        <v/>
      </c>
      <c r="AB153" s="32" t="str">
        <f>IF($A153="","",IF($T153="No Throw",0,IF($K153&lt;&gt;"",$K153,IF($AA153&lt;&gt;"",ROUND($AA153*$D$12*IF($C153=0,1,$G$10),0),MIN(IF($T153="Recovery/Easy Catch",Reference!$B$103,IF($T153="Long Toss",Reference!$B$106,Reference!$B$102)),MAX(Reference!$B$101,ROUND(MAX(0,$Q153-$AE153)/$AF153,0)))))))</f>
        <v/>
      </c>
      <c r="AC153" s="32">
        <f t="shared" si="100"/>
        <v>0</v>
      </c>
      <c r="AD153" s="32" t="b">
        <f t="shared" si="101"/>
        <v>1</v>
      </c>
      <c r="AE153" s="32">
        <f>IF($X153=0,0,$X153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153+$Z153)/2,0),Reference!$A$17:$B$20,2,TRUE()))</f>
        <v>0</v>
      </c>
      <c r="AF153" s="32">
        <f>IF(OR($A153="",$U153="",$T153="No Throw"),0,$AM153*VLOOKUP(MAX(($V153+$W153)/2,0),Reference!$A$17:$B$20,2,TRUE()))</f>
        <v>0</v>
      </c>
      <c r="AG153" s="32">
        <f>IF($AC153=0,0,$AC153*INDEX(Reference!$B$61:$B$62,MATCH("Bullpen",Reference!$A$61:$A$62,0))*VLOOKUP(MAX($D$5-($D$9+$E$9)/2,0),Reference!$A$17:$B$20,2,TRUE()))</f>
        <v>0</v>
      </c>
      <c r="AH153" s="32" t="e">
        <f t="shared" si="102"/>
        <v>#N/A</v>
      </c>
      <c r="AI153" s="32" t="e">
        <f>IF($A153="",NA(),Reference!$A$25)</f>
        <v>#N/A</v>
      </c>
      <c r="AJ153" s="32" t="e">
        <f t="shared" si="103"/>
        <v>#N/A</v>
      </c>
      <c r="AK153" s="32">
        <f>IF(OR($A153="",N($C153)&lt;=7,$T153="No Throw",$J153="x"),0,INDEX(Reference!$B$108:$B$114,$N153+1))</f>
        <v>0</v>
      </c>
      <c r="AL153" s="32">
        <f t="shared" si="104"/>
        <v>1</v>
      </c>
      <c r="AM153" s="32">
        <f>IF($U153="",0,IF($AL153&gt;1,((IF(1&lt;=$AL153,($AL153-1+3)*(INDEX(Reference!$B$6:$B$11,MIN(5,MATCH(MAX(Reference!$A$6,MIN(Reference!$A$11,MIN($U153,90))),Reference!$A$6:$A$11,1)))+(MAX(Reference!$A$6,MIN(Reference!$A$11,MIN($U153,90)))-INDEX(Reference!$A$6:$A$11,MIN(5,MATCH(MAX(Reference!$A$6,MIN(Reference!$A$11,MIN($U153,90))),Reference!$A$6:$A$11,1))))*(INDEX(Reference!$B$6:$B$11,MIN(5,MATCH(MAX(Reference!$A$6,MIN(Reference!$A$11,MIN($U153,90))),Reference!$A$6:$A$11,1))+1)-INDEX(Reference!$B$6:$B$11,MIN(5,MATCH(MAX(Reference!$A$6,MIN(Reference!$A$11,MIN($U153,90))),Reference!$A$6:$A$11,1))))/(INDEX(Reference!$A$6:$A$11,MIN(5,MATCH(MAX(Reference!$A$6,MIN(Reference!$A$11,MIN($U153,90))),Reference!$A$6:$A$11,1))+1)-INDEX(Reference!$A$6:$A$11,MIN(5,MATCH(MAX(Reference!$A$6,MIN(Reference!$A$11,MIN($U153,90))),Reference!$A$6:$A$11,1))))),0)+IF(2&lt;=$AL153,($AL153-2+3)*(INDEX(Reference!$B$6:$B$11,MIN(5,MATCH(MAX(Reference!$A$6,MIN(Reference!$A$11,MIN($U153,120))),Reference!$A$6:$A$11,1)))+(MAX(Reference!$A$6,MIN(Reference!$A$11,MIN($U153,120)))-INDEX(Reference!$A$6:$A$11,MIN(5,MATCH(MAX(Reference!$A$6,MIN(Reference!$A$11,MIN($U153,120))),Reference!$A$6:$A$11,1))))*(INDEX(Reference!$B$6:$B$11,MIN(5,MATCH(MAX(Reference!$A$6,MIN(Reference!$A$11,MIN($U153,120))),Reference!$A$6:$A$11,1))+1)-INDEX(Reference!$B$6:$B$11,MIN(5,MATCH(MAX(Reference!$A$6,MIN(Reference!$A$11,MIN($U153,120))),Reference!$A$6:$A$11,1))))/(INDEX(Reference!$A$6:$A$11,MIN(5,MATCH(MAX(Reference!$A$6,MIN(Reference!$A$11,MIN($U153,120))),Reference!$A$6:$A$11,1))+1)-INDEX(Reference!$A$6:$A$11,MIN(5,MATCH(MAX(Reference!$A$6,MIN(Reference!$A$11,MIN($U153,120))),Reference!$A$6:$A$11,1))))),0)+IF(3&lt;=$AL153,($AL153-3+3)*(INDEX(Reference!$B$6:$B$11,MIN(5,MATCH(MAX(Reference!$A$6,MIN(Reference!$A$11,MIN($U153,150))),Reference!$A$6:$A$11,1)))+(MAX(Reference!$A$6,MIN(Reference!$A$11,MIN($U153,150)))-INDEX(Reference!$A$6:$A$11,MIN(5,MATCH(MAX(Reference!$A$6,MIN(Reference!$A$11,MIN($U153,150))),Reference!$A$6:$A$11,1))))*(INDEX(Reference!$B$6:$B$11,MIN(5,MATCH(MAX(Reference!$A$6,MIN(Reference!$A$11,MIN($U153,150))),Reference!$A$6:$A$11,1))+1)-INDEX(Reference!$B$6:$B$11,MIN(5,MATCH(MAX(Reference!$A$6,MIN(Reference!$A$11,MIN($U153,150))),Reference!$A$6:$A$11,1))))/(INDEX(Reference!$A$6:$A$11,MIN(5,MATCH(MAX(Reference!$A$6,MIN(Reference!$A$11,MIN($U153,150))),Reference!$A$6:$A$11,1))+1)-INDEX(Reference!$A$6:$A$11,MIN(5,MATCH(MAX(Reference!$A$6,MIN(Reference!$A$11,MIN($U153,150))),Reference!$A$6:$A$11,1))))),0)+IF(4&lt;=$AL153,($AL153-4+3)*(INDEX(Reference!$B$6:$B$11,MIN(5,MATCH(MAX(Reference!$A$6,MIN(Reference!$A$11,MIN($U153,180))),Reference!$A$6:$A$11,1)))+(MAX(Reference!$A$6,MIN(Reference!$A$11,MIN($U153,180)))-INDEX(Reference!$A$6:$A$11,MIN(5,MATCH(MAX(Reference!$A$6,MIN(Reference!$A$11,MIN($U153,180))),Reference!$A$6:$A$11,1))))*(INDEX(Reference!$B$6:$B$11,MIN(5,MATCH(MAX(Reference!$A$6,MIN(Reference!$A$11,MIN($U153,180))),Reference!$A$6:$A$11,1))+1)-INDEX(Reference!$B$6:$B$11,MIN(5,MATCH(MAX(Reference!$A$6,MIN(Reference!$A$11,MIN($U153,180))),Reference!$A$6:$A$11,1))))/(INDEX(Reference!$A$6:$A$11,MIN(5,MATCH(MAX(Reference!$A$6,MIN(Reference!$A$11,MIN($U153,180))),Reference!$A$6:$A$11,1))+1)-INDEX(Reference!$A$6:$A$11,MIN(5,MATCH(MAX(Reference!$A$6,MIN(Reference!$A$11,MIN($U153,180))),Reference!$A$6:$A$11,1))))),0)+IF(5&lt;=$AL153,($AL153-5+3)*(INDEX(Reference!$B$6:$B$11,MIN(5,MATCH(MAX(Reference!$A$6,MIN(Reference!$A$11,MIN($U153,210))),Reference!$A$6:$A$11,1)))+(MAX(Reference!$A$6,MIN(Reference!$A$11,MIN($U153,210)))-INDEX(Reference!$A$6:$A$11,MIN(5,MATCH(MAX(Reference!$A$6,MIN(Reference!$A$11,MIN($U153,210))),Reference!$A$6:$A$11,1))))*(INDEX(Reference!$B$6:$B$11,MIN(5,MATCH(MAX(Reference!$A$6,MIN(Reference!$A$11,MIN($U153,210))),Reference!$A$6:$A$11,1))+1)-INDEX(Reference!$B$6:$B$11,MIN(5,MATCH(MAX(Reference!$A$6,MIN(Reference!$A$11,MIN($U153,210))),Reference!$A$6:$A$11,1))))/(INDEX(Reference!$A$6:$A$11,MIN(5,MATCH(MAX(Reference!$A$6,MIN(Reference!$A$11,MIN($U153,210))),Reference!$A$6:$A$11,1))+1)-INDEX(Reference!$A$6:$A$11,MIN(5,MATCH(MAX(Reference!$A$6,MIN(Reference!$A$11,MIN($U153,210))),Reference!$A$6:$A$11,1))))),0)+IF(6&lt;=$AL153,($AL153-6+3)*(INDEX(Reference!$B$6:$B$11,MIN(5,MATCH(MAX(Reference!$A$6,MIN(Reference!$A$11,MIN($U153,240))),Reference!$A$6:$A$11,1)))+(MAX(Reference!$A$6,MIN(Reference!$A$11,MIN($U153,240)))-INDEX(Reference!$A$6:$A$11,MIN(5,MATCH(MAX(Reference!$A$6,MIN(Reference!$A$11,MIN($U153,240))),Reference!$A$6:$A$11,1))))*(INDEX(Reference!$B$6:$B$11,MIN(5,MATCH(MAX(Reference!$A$6,MIN(Reference!$A$11,MIN($U153,240))),Reference!$A$6:$A$11,1))+1)-INDEX(Reference!$B$6:$B$11,MIN(5,MATCH(MAX(Reference!$A$6,MIN(Reference!$A$11,MIN($U153,240))),Reference!$A$6:$A$11,1))))/(INDEX(Reference!$A$6:$A$11,MIN(5,MATCH(MAX(Reference!$A$6,MIN(Reference!$A$11,MIN($U153,240))),Reference!$A$6:$A$11,1))+1)-INDEX(Reference!$A$6:$A$11,MIN(5,MATCH(MAX(Reference!$A$6,MIN(Reference!$A$11,MIN($U153,240))),Reference!$A$6:$A$11,1))))),0)+IF(7&lt;=$AL153,($AL153-7+3)*(INDEX(Reference!$B$6:$B$11,MIN(5,MATCH(MAX(Reference!$A$6,MIN(Reference!$A$11,MIN($U153,270))),Reference!$A$6:$A$11,1)))+(MAX(Reference!$A$6,MIN(Reference!$A$11,MIN($U153,270)))-INDEX(Reference!$A$6:$A$11,MIN(5,MATCH(MAX(Reference!$A$6,MIN(Reference!$A$11,MIN($U153,270))),Reference!$A$6:$A$11,1))))*(INDEX(Reference!$B$6:$B$11,MIN(5,MATCH(MAX(Reference!$A$6,MIN(Reference!$A$11,MIN($U153,270))),Reference!$A$6:$A$11,1))+1)-INDEX(Reference!$B$6:$B$11,MIN(5,MATCH(MAX(Reference!$A$6,MIN(Reference!$A$11,MIN($U153,270))),Reference!$A$6:$A$11,1))))/(INDEX(Reference!$A$6:$A$11,MIN(5,MATCH(MAX(Reference!$A$6,MIN(Reference!$A$11,MIN($U153,270))),Reference!$A$6:$A$11,1))+1)-INDEX(Reference!$A$6:$A$11,MIN(5,MATCH(MAX(Reference!$A$6,MIN(Reference!$A$11,MIN($U153,270))),Reference!$A$6:$A$11,1))))),0)+IF(8&lt;=$AL153,($AL153-8+3)*(INDEX(Reference!$B$6:$B$11,MIN(5,MATCH(MAX(Reference!$A$6,MIN(Reference!$A$11,MIN($U153,300))),Reference!$A$6:$A$11,1)))+(MAX(Reference!$A$6,MIN(Reference!$A$11,MIN($U153,300)))-INDEX(Reference!$A$6:$A$11,MIN(5,MATCH(MAX(Reference!$A$6,MIN(Reference!$A$11,MIN($U153,300))),Reference!$A$6:$A$11,1))))*(INDEX(Reference!$B$6:$B$11,MIN(5,MATCH(MAX(Reference!$A$6,MIN(Reference!$A$11,MIN($U153,300))),Reference!$A$6:$A$11,1))+1)-INDEX(Reference!$B$6:$B$11,MIN(5,MATCH(MAX(Reference!$A$6,MIN(Reference!$A$11,MIN($U153,300))),Reference!$A$6:$A$11,1))))/(INDEX(Reference!$A$6:$A$11,MIN(5,MATCH(MAX(Reference!$A$6,MIN(Reference!$A$11,MIN($U153,300))),Reference!$A$6:$A$11,1))+1)-INDEX(Reference!$A$6:$A$11,MIN(5,MATCH(MAX(Reference!$A$6,MIN(Reference!$A$11,MIN($U153,300))),Reference!$A$6:$A$11,1))))),0))/($AL153*($AL153+5)/2)),$AN153))</f>
        <v>0</v>
      </c>
      <c r="AN153" s="32">
        <f>IF($U153="",0,(INDEX(Reference!$B$6:$B$11,MIN(5,MATCH(MAX(Reference!$A$6,MIN(Reference!$A$11,$U153)),Reference!$A$6:$A$11,1)))+(MAX(Reference!$A$6,MIN(Reference!$A$11,$U153))-INDEX(Reference!$A$6:$A$11,MIN(5,MATCH(MAX(Reference!$A$6,MIN(Reference!$A$11,$U153)),Reference!$A$6:$A$11,1))))*(INDEX(Reference!$B$6:$B$11,MIN(5,MATCH(MAX(Reference!$A$6,MIN(Reference!$A$11,$U153)),Reference!$A$6:$A$11,1))+1)-INDEX(Reference!$B$6:$B$11,MIN(5,MATCH(MAX(Reference!$A$6,MIN(Reference!$A$11,$U153)),Reference!$A$6:$A$11,1))))/(INDEX(Reference!$A$6:$A$11,MIN(5,MATCH(MAX(Reference!$A$6,MIN(Reference!$A$11,$U153)),Reference!$A$6:$A$11,1))+1)-INDEX(Reference!$A$6:$A$11,MIN(5,MATCH(MAX(Reference!$A$6,MIN(Reference!$A$11,$U153)),Reference!$A$6:$A$11,1))))))</f>
        <v>0</v>
      </c>
      <c r="AO153" s="37"/>
      <c r="AP153" s="37"/>
      <c r="AQ153" s="37"/>
    </row>
    <row r="154" spans="1:43" x14ac:dyDescent="0.3">
      <c r="A154" s="48" t="str">
        <f t="shared" si="80"/>
        <v/>
      </c>
      <c r="B154" s="32" t="str">
        <f t="shared" si="81"/>
        <v/>
      </c>
      <c r="C154" s="32" t="str">
        <f t="shared" si="82"/>
        <v/>
      </c>
      <c r="D154" s="32" t="str">
        <f t="shared" si="83"/>
        <v/>
      </c>
      <c r="E154" s="32" t="str">
        <f t="shared" si="84"/>
        <v/>
      </c>
      <c r="F154" s="32" t="str">
        <f t="shared" si="85"/>
        <v/>
      </c>
      <c r="G154" s="47" t="str">
        <f t="shared" si="86"/>
        <v/>
      </c>
      <c r="H154" s="30" t="str">
        <f t="shared" si="87"/>
        <v/>
      </c>
      <c r="I154" s="46" t="str">
        <f>IF($A154="","",IF(AND($L154&lt;27,$K$12=0),"Building",IFERROR(((SUM($H$148:$H154)+$K$12*IF($L154&lt;6,SUMIFS('Throw Log'!$Q$5:$Q$300,'Throw Log'!$B$5:$B$300,$D$4,'Throw Log'!$A$5:$A$300,"&gt;="&amp;($D$6+$L154-6),'Throw Log'!$A$5:$A$300,"&lt;="&amp;($D$6-1)),0))/7)/((SUM($H$127:$H154)+$K$12*IF($L154&lt;27,SUMIFS('Throw Log'!$Q$5:$Q$300,'Throw Log'!$B$5:$B$300,$D$4,'Throw Log'!$A$5:$A$300,"&gt;="&amp;($D$6+$L154-27),'Throw Log'!$A$5:$A$300,"&lt;="&amp;($D$6-1)),0))/28),"")))</f>
        <v/>
      </c>
      <c r="J154" s="37"/>
      <c r="K154" s="37"/>
      <c r="L154" s="32">
        <v>111</v>
      </c>
      <c r="M154" s="32">
        <f t="shared" si="88"/>
        <v>16</v>
      </c>
      <c r="N154" s="32">
        <f t="shared" si="89"/>
        <v>6</v>
      </c>
      <c r="O154" s="32">
        <f t="shared" si="90"/>
        <v>1</v>
      </c>
      <c r="P154" s="32" t="str">
        <f>IF(OR($A154="",N($C154)&lt;=7),"",$G$6*$G$9^($M154-1)*IF(AND(MOD($M154,Reference!$B$99)=0,$M154&lt;=$G$5-2),Reference!$B$100,1))</f>
        <v/>
      </c>
      <c r="Q154" s="32" t="str">
        <f>IF($P154="","",IF(SUM($AK$148:$AK$154)=0,0,$P154*INDEX(Reference!$B$108:$B$114,$N154+1)/SUM($AK$148:$AK$154)))</f>
        <v/>
      </c>
      <c r="R154" s="32">
        <f t="shared" si="91"/>
        <v>120</v>
      </c>
      <c r="S154" s="32">
        <f t="shared" si="92"/>
        <v>105</v>
      </c>
      <c r="T154" s="32" t="str">
        <f>IF($A154="","",IF($C154=0,"Bullpen",IF(OR($C154=7,$C154=1,$C154=5),"Recovery/Easy Catch",IF($C154=6,"Compression/Pulldowns",IF(OR($C154=4,$C154=2),"Long Toss",IF($C154=3,"No Throw",IF($N154=2,"No Throw",IF($N154=6,IF($O154&lt;Reference!$B$104,"No Throw","Recovery/Easy Catch"),IF(OR($N154=0,$N154=4),"Recovery/Easy Catch",IF($N154=1,IF($R154&gt;75,"Long Toss","Recovery/Easy Catch"),IF($N154=3,IF($O154&lt;0.5,IF($S154&gt;75,"Long Toss","Recovery/Easy Catch"),"Compression/Pulldowns"),IF($S154&gt;75,"Long Toss","Recovery/Easy Catch"))))))))))))</f>
        <v/>
      </c>
      <c r="U154" s="32" t="str">
        <f t="shared" si="93"/>
        <v/>
      </c>
      <c r="V154" s="32" t="str">
        <f t="shared" si="94"/>
        <v/>
      </c>
      <c r="W154" s="32" t="str">
        <f t="shared" si="95"/>
        <v/>
      </c>
      <c r="X154" s="32">
        <f t="shared" si="96"/>
        <v>0</v>
      </c>
      <c r="Y154" s="32" t="str">
        <f t="shared" si="97"/>
        <v/>
      </c>
      <c r="Z154" s="32" t="str">
        <f t="shared" si="98"/>
        <v/>
      </c>
      <c r="AA154" s="32" t="str">
        <f t="shared" si="99"/>
        <v/>
      </c>
      <c r="AB154" s="32" t="str">
        <f>IF($A154="","",IF($T154="No Throw",0,IF($K154&lt;&gt;"",$K154,IF($AA154&lt;&gt;"",ROUND($AA154*$D$12*IF($C154=0,1,$G$10),0),MIN(IF($T154="Recovery/Easy Catch",Reference!$B$103,IF($T154="Long Toss",Reference!$B$106,Reference!$B$102)),MAX(Reference!$B$101,ROUND(MAX(0,$Q154-$AE154)/$AF154,0)))))))</f>
        <v/>
      </c>
      <c r="AC154" s="32">
        <f t="shared" si="100"/>
        <v>0</v>
      </c>
      <c r="AD154" s="32" t="b">
        <f t="shared" si="101"/>
        <v>1</v>
      </c>
      <c r="AE154" s="32">
        <f>IF($X154=0,0,$X154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154+$Z154)/2,0),Reference!$A$17:$B$20,2,TRUE()))</f>
        <v>0</v>
      </c>
      <c r="AF154" s="32">
        <f>IF(OR($A154="",$U154="",$T154="No Throw"),0,$AM154*VLOOKUP(MAX(($V154+$W154)/2,0),Reference!$A$17:$B$20,2,TRUE()))</f>
        <v>0</v>
      </c>
      <c r="AG154" s="32">
        <f>IF($AC154=0,0,$AC154*INDEX(Reference!$B$61:$B$62,MATCH("Bullpen",Reference!$A$61:$A$62,0))*VLOOKUP(MAX($D$5-($D$9+$E$9)/2,0),Reference!$A$17:$B$20,2,TRUE()))</f>
        <v>0</v>
      </c>
      <c r="AH154" s="32" t="e">
        <f t="shared" si="102"/>
        <v>#N/A</v>
      </c>
      <c r="AI154" s="32" t="e">
        <f>IF($A154="",NA(),Reference!$A$25)</f>
        <v>#N/A</v>
      </c>
      <c r="AJ154" s="32" t="e">
        <f t="shared" si="103"/>
        <v>#N/A</v>
      </c>
      <c r="AK154" s="32">
        <f>IF(OR($A154="",N($C154)&lt;=7,$T154="No Throw",$J154="x"),0,INDEX(Reference!$B$108:$B$114,$N154+1))</f>
        <v>0</v>
      </c>
      <c r="AL154" s="32">
        <f t="shared" si="104"/>
        <v>1</v>
      </c>
      <c r="AM154" s="32">
        <f>IF($U154="",0,IF($AL154&gt;1,((IF(1&lt;=$AL154,($AL154-1+3)*(INDEX(Reference!$B$6:$B$11,MIN(5,MATCH(MAX(Reference!$A$6,MIN(Reference!$A$11,MIN($U154,90))),Reference!$A$6:$A$11,1)))+(MAX(Reference!$A$6,MIN(Reference!$A$11,MIN($U154,90)))-INDEX(Reference!$A$6:$A$11,MIN(5,MATCH(MAX(Reference!$A$6,MIN(Reference!$A$11,MIN($U154,90))),Reference!$A$6:$A$11,1))))*(INDEX(Reference!$B$6:$B$11,MIN(5,MATCH(MAX(Reference!$A$6,MIN(Reference!$A$11,MIN($U154,90))),Reference!$A$6:$A$11,1))+1)-INDEX(Reference!$B$6:$B$11,MIN(5,MATCH(MAX(Reference!$A$6,MIN(Reference!$A$11,MIN($U154,90))),Reference!$A$6:$A$11,1))))/(INDEX(Reference!$A$6:$A$11,MIN(5,MATCH(MAX(Reference!$A$6,MIN(Reference!$A$11,MIN($U154,90))),Reference!$A$6:$A$11,1))+1)-INDEX(Reference!$A$6:$A$11,MIN(5,MATCH(MAX(Reference!$A$6,MIN(Reference!$A$11,MIN($U154,90))),Reference!$A$6:$A$11,1))))),0)+IF(2&lt;=$AL154,($AL154-2+3)*(INDEX(Reference!$B$6:$B$11,MIN(5,MATCH(MAX(Reference!$A$6,MIN(Reference!$A$11,MIN($U154,120))),Reference!$A$6:$A$11,1)))+(MAX(Reference!$A$6,MIN(Reference!$A$11,MIN($U154,120)))-INDEX(Reference!$A$6:$A$11,MIN(5,MATCH(MAX(Reference!$A$6,MIN(Reference!$A$11,MIN($U154,120))),Reference!$A$6:$A$11,1))))*(INDEX(Reference!$B$6:$B$11,MIN(5,MATCH(MAX(Reference!$A$6,MIN(Reference!$A$11,MIN($U154,120))),Reference!$A$6:$A$11,1))+1)-INDEX(Reference!$B$6:$B$11,MIN(5,MATCH(MAX(Reference!$A$6,MIN(Reference!$A$11,MIN($U154,120))),Reference!$A$6:$A$11,1))))/(INDEX(Reference!$A$6:$A$11,MIN(5,MATCH(MAX(Reference!$A$6,MIN(Reference!$A$11,MIN($U154,120))),Reference!$A$6:$A$11,1))+1)-INDEX(Reference!$A$6:$A$11,MIN(5,MATCH(MAX(Reference!$A$6,MIN(Reference!$A$11,MIN($U154,120))),Reference!$A$6:$A$11,1))))),0)+IF(3&lt;=$AL154,($AL154-3+3)*(INDEX(Reference!$B$6:$B$11,MIN(5,MATCH(MAX(Reference!$A$6,MIN(Reference!$A$11,MIN($U154,150))),Reference!$A$6:$A$11,1)))+(MAX(Reference!$A$6,MIN(Reference!$A$11,MIN($U154,150)))-INDEX(Reference!$A$6:$A$11,MIN(5,MATCH(MAX(Reference!$A$6,MIN(Reference!$A$11,MIN($U154,150))),Reference!$A$6:$A$11,1))))*(INDEX(Reference!$B$6:$B$11,MIN(5,MATCH(MAX(Reference!$A$6,MIN(Reference!$A$11,MIN($U154,150))),Reference!$A$6:$A$11,1))+1)-INDEX(Reference!$B$6:$B$11,MIN(5,MATCH(MAX(Reference!$A$6,MIN(Reference!$A$11,MIN($U154,150))),Reference!$A$6:$A$11,1))))/(INDEX(Reference!$A$6:$A$11,MIN(5,MATCH(MAX(Reference!$A$6,MIN(Reference!$A$11,MIN($U154,150))),Reference!$A$6:$A$11,1))+1)-INDEX(Reference!$A$6:$A$11,MIN(5,MATCH(MAX(Reference!$A$6,MIN(Reference!$A$11,MIN($U154,150))),Reference!$A$6:$A$11,1))))),0)+IF(4&lt;=$AL154,($AL154-4+3)*(INDEX(Reference!$B$6:$B$11,MIN(5,MATCH(MAX(Reference!$A$6,MIN(Reference!$A$11,MIN($U154,180))),Reference!$A$6:$A$11,1)))+(MAX(Reference!$A$6,MIN(Reference!$A$11,MIN($U154,180)))-INDEX(Reference!$A$6:$A$11,MIN(5,MATCH(MAX(Reference!$A$6,MIN(Reference!$A$11,MIN($U154,180))),Reference!$A$6:$A$11,1))))*(INDEX(Reference!$B$6:$B$11,MIN(5,MATCH(MAX(Reference!$A$6,MIN(Reference!$A$11,MIN($U154,180))),Reference!$A$6:$A$11,1))+1)-INDEX(Reference!$B$6:$B$11,MIN(5,MATCH(MAX(Reference!$A$6,MIN(Reference!$A$11,MIN($U154,180))),Reference!$A$6:$A$11,1))))/(INDEX(Reference!$A$6:$A$11,MIN(5,MATCH(MAX(Reference!$A$6,MIN(Reference!$A$11,MIN($U154,180))),Reference!$A$6:$A$11,1))+1)-INDEX(Reference!$A$6:$A$11,MIN(5,MATCH(MAX(Reference!$A$6,MIN(Reference!$A$11,MIN($U154,180))),Reference!$A$6:$A$11,1))))),0)+IF(5&lt;=$AL154,($AL154-5+3)*(INDEX(Reference!$B$6:$B$11,MIN(5,MATCH(MAX(Reference!$A$6,MIN(Reference!$A$11,MIN($U154,210))),Reference!$A$6:$A$11,1)))+(MAX(Reference!$A$6,MIN(Reference!$A$11,MIN($U154,210)))-INDEX(Reference!$A$6:$A$11,MIN(5,MATCH(MAX(Reference!$A$6,MIN(Reference!$A$11,MIN($U154,210))),Reference!$A$6:$A$11,1))))*(INDEX(Reference!$B$6:$B$11,MIN(5,MATCH(MAX(Reference!$A$6,MIN(Reference!$A$11,MIN($U154,210))),Reference!$A$6:$A$11,1))+1)-INDEX(Reference!$B$6:$B$11,MIN(5,MATCH(MAX(Reference!$A$6,MIN(Reference!$A$11,MIN($U154,210))),Reference!$A$6:$A$11,1))))/(INDEX(Reference!$A$6:$A$11,MIN(5,MATCH(MAX(Reference!$A$6,MIN(Reference!$A$11,MIN($U154,210))),Reference!$A$6:$A$11,1))+1)-INDEX(Reference!$A$6:$A$11,MIN(5,MATCH(MAX(Reference!$A$6,MIN(Reference!$A$11,MIN($U154,210))),Reference!$A$6:$A$11,1))))),0)+IF(6&lt;=$AL154,($AL154-6+3)*(INDEX(Reference!$B$6:$B$11,MIN(5,MATCH(MAX(Reference!$A$6,MIN(Reference!$A$11,MIN($U154,240))),Reference!$A$6:$A$11,1)))+(MAX(Reference!$A$6,MIN(Reference!$A$11,MIN($U154,240)))-INDEX(Reference!$A$6:$A$11,MIN(5,MATCH(MAX(Reference!$A$6,MIN(Reference!$A$11,MIN($U154,240))),Reference!$A$6:$A$11,1))))*(INDEX(Reference!$B$6:$B$11,MIN(5,MATCH(MAX(Reference!$A$6,MIN(Reference!$A$11,MIN($U154,240))),Reference!$A$6:$A$11,1))+1)-INDEX(Reference!$B$6:$B$11,MIN(5,MATCH(MAX(Reference!$A$6,MIN(Reference!$A$11,MIN($U154,240))),Reference!$A$6:$A$11,1))))/(INDEX(Reference!$A$6:$A$11,MIN(5,MATCH(MAX(Reference!$A$6,MIN(Reference!$A$11,MIN($U154,240))),Reference!$A$6:$A$11,1))+1)-INDEX(Reference!$A$6:$A$11,MIN(5,MATCH(MAX(Reference!$A$6,MIN(Reference!$A$11,MIN($U154,240))),Reference!$A$6:$A$11,1))))),0)+IF(7&lt;=$AL154,($AL154-7+3)*(INDEX(Reference!$B$6:$B$11,MIN(5,MATCH(MAX(Reference!$A$6,MIN(Reference!$A$11,MIN($U154,270))),Reference!$A$6:$A$11,1)))+(MAX(Reference!$A$6,MIN(Reference!$A$11,MIN($U154,270)))-INDEX(Reference!$A$6:$A$11,MIN(5,MATCH(MAX(Reference!$A$6,MIN(Reference!$A$11,MIN($U154,270))),Reference!$A$6:$A$11,1))))*(INDEX(Reference!$B$6:$B$11,MIN(5,MATCH(MAX(Reference!$A$6,MIN(Reference!$A$11,MIN($U154,270))),Reference!$A$6:$A$11,1))+1)-INDEX(Reference!$B$6:$B$11,MIN(5,MATCH(MAX(Reference!$A$6,MIN(Reference!$A$11,MIN($U154,270))),Reference!$A$6:$A$11,1))))/(INDEX(Reference!$A$6:$A$11,MIN(5,MATCH(MAX(Reference!$A$6,MIN(Reference!$A$11,MIN($U154,270))),Reference!$A$6:$A$11,1))+1)-INDEX(Reference!$A$6:$A$11,MIN(5,MATCH(MAX(Reference!$A$6,MIN(Reference!$A$11,MIN($U154,270))),Reference!$A$6:$A$11,1))))),0)+IF(8&lt;=$AL154,($AL154-8+3)*(INDEX(Reference!$B$6:$B$11,MIN(5,MATCH(MAX(Reference!$A$6,MIN(Reference!$A$11,MIN($U154,300))),Reference!$A$6:$A$11,1)))+(MAX(Reference!$A$6,MIN(Reference!$A$11,MIN($U154,300)))-INDEX(Reference!$A$6:$A$11,MIN(5,MATCH(MAX(Reference!$A$6,MIN(Reference!$A$11,MIN($U154,300))),Reference!$A$6:$A$11,1))))*(INDEX(Reference!$B$6:$B$11,MIN(5,MATCH(MAX(Reference!$A$6,MIN(Reference!$A$11,MIN($U154,300))),Reference!$A$6:$A$11,1))+1)-INDEX(Reference!$B$6:$B$11,MIN(5,MATCH(MAX(Reference!$A$6,MIN(Reference!$A$11,MIN($U154,300))),Reference!$A$6:$A$11,1))))/(INDEX(Reference!$A$6:$A$11,MIN(5,MATCH(MAX(Reference!$A$6,MIN(Reference!$A$11,MIN($U154,300))),Reference!$A$6:$A$11,1))+1)-INDEX(Reference!$A$6:$A$11,MIN(5,MATCH(MAX(Reference!$A$6,MIN(Reference!$A$11,MIN($U154,300))),Reference!$A$6:$A$11,1))))),0))/($AL154*($AL154+5)/2)),$AN154))</f>
        <v>0</v>
      </c>
      <c r="AN154" s="32">
        <f>IF($U154="",0,(INDEX(Reference!$B$6:$B$11,MIN(5,MATCH(MAX(Reference!$A$6,MIN(Reference!$A$11,$U154)),Reference!$A$6:$A$11,1)))+(MAX(Reference!$A$6,MIN(Reference!$A$11,$U154))-INDEX(Reference!$A$6:$A$11,MIN(5,MATCH(MAX(Reference!$A$6,MIN(Reference!$A$11,$U154)),Reference!$A$6:$A$11,1))))*(INDEX(Reference!$B$6:$B$11,MIN(5,MATCH(MAX(Reference!$A$6,MIN(Reference!$A$11,$U154)),Reference!$A$6:$A$11,1))+1)-INDEX(Reference!$B$6:$B$11,MIN(5,MATCH(MAX(Reference!$A$6,MIN(Reference!$A$11,$U154)),Reference!$A$6:$A$11,1))))/(INDEX(Reference!$A$6:$A$11,MIN(5,MATCH(MAX(Reference!$A$6,MIN(Reference!$A$11,$U154)),Reference!$A$6:$A$11,1))+1)-INDEX(Reference!$A$6:$A$11,MIN(5,MATCH(MAX(Reference!$A$6,MIN(Reference!$A$11,$U154)),Reference!$A$6:$A$11,1))))))</f>
        <v>0</v>
      </c>
      <c r="AO154" s="37"/>
      <c r="AP154" s="37"/>
      <c r="AQ154" s="37"/>
    </row>
    <row r="155" spans="1:43" x14ac:dyDescent="0.3">
      <c r="A155" s="48" t="str">
        <f t="shared" si="80"/>
        <v/>
      </c>
      <c r="B155" s="32" t="str">
        <f t="shared" si="81"/>
        <v/>
      </c>
      <c r="C155" s="32" t="str">
        <f t="shared" si="82"/>
        <v/>
      </c>
      <c r="D155" s="32" t="str">
        <f t="shared" si="83"/>
        <v/>
      </c>
      <c r="E155" s="32" t="str">
        <f t="shared" si="84"/>
        <v/>
      </c>
      <c r="F155" s="32" t="str">
        <f t="shared" si="85"/>
        <v/>
      </c>
      <c r="G155" s="47" t="str">
        <f t="shared" si="86"/>
        <v/>
      </c>
      <c r="H155" s="30" t="str">
        <f t="shared" si="87"/>
        <v/>
      </c>
      <c r="I155" s="46" t="str">
        <f>IF($A155="","",IF(AND($L155&lt;27,$K$12=0),"Building",IFERROR(((SUM($H$149:$H155)+$K$12*IF($L155&lt;6,SUMIFS('Throw Log'!$Q$5:$Q$300,'Throw Log'!$B$5:$B$300,$D$4,'Throw Log'!$A$5:$A$300,"&gt;="&amp;($D$6+$L155-6),'Throw Log'!$A$5:$A$300,"&lt;="&amp;($D$6-1)),0))/7)/((SUM($H$128:$H155)+$K$12*IF($L155&lt;27,SUMIFS('Throw Log'!$Q$5:$Q$300,'Throw Log'!$B$5:$B$300,$D$4,'Throw Log'!$A$5:$A$300,"&gt;="&amp;($D$6+$L155-27),'Throw Log'!$A$5:$A$300,"&lt;="&amp;($D$6-1)),0))/28),"")))</f>
        <v/>
      </c>
      <c r="J155" s="37"/>
      <c r="K155" s="37"/>
      <c r="L155" s="32">
        <v>112</v>
      </c>
      <c r="M155" s="32">
        <f t="shared" si="88"/>
        <v>17</v>
      </c>
      <c r="N155" s="32">
        <f t="shared" si="89"/>
        <v>0</v>
      </c>
      <c r="O155" s="32">
        <f t="shared" si="90"/>
        <v>1</v>
      </c>
      <c r="P155" s="32" t="str">
        <f>IF(OR($A155="",N($C155)&lt;=7),"",$G$6*$G$9^($M155-1)*IF(AND(MOD($M155,Reference!$B$99)=0,$M155&lt;=$G$5-2),Reference!$B$100,1))</f>
        <v/>
      </c>
      <c r="Q155" s="32" t="str">
        <f>IF($P155="","",IF(SUM($AK$155:$AK$161)=0,0,$P155*INDEX(Reference!$B$108:$B$114,$N155+1)/SUM($AK$155:$AK$161)))</f>
        <v/>
      </c>
      <c r="R155" s="32">
        <f t="shared" si="91"/>
        <v>120</v>
      </c>
      <c r="S155" s="32">
        <f t="shared" si="92"/>
        <v>105</v>
      </c>
      <c r="T155" s="32" t="str">
        <f>IF($A155="","",IF($C155=0,"Bullpen",IF(OR($C155=7,$C155=1,$C155=5),"Recovery/Easy Catch",IF($C155=6,"Compression/Pulldowns",IF(OR($C155=4,$C155=2),"Long Toss",IF($C155=3,"No Throw",IF($N155=2,"No Throw",IF($N155=6,IF($O155&lt;Reference!$B$104,"No Throw","Recovery/Easy Catch"),IF(OR($N155=0,$N155=4),"Recovery/Easy Catch",IF($N155=1,IF($R155&gt;75,"Long Toss","Recovery/Easy Catch"),IF($N155=3,IF($O155&lt;0.5,IF($S155&gt;75,"Long Toss","Recovery/Easy Catch"),"Compression/Pulldowns"),IF($S155&gt;75,"Long Toss","Recovery/Easy Catch"))))))))))))</f>
        <v/>
      </c>
      <c r="U155" s="32" t="str">
        <f t="shared" si="93"/>
        <v/>
      </c>
      <c r="V155" s="32" t="str">
        <f t="shared" si="94"/>
        <v/>
      </c>
      <c r="W155" s="32" t="str">
        <f t="shared" si="95"/>
        <v/>
      </c>
      <c r="X155" s="32">
        <f t="shared" si="96"/>
        <v>0</v>
      </c>
      <c r="Y155" s="32" t="str">
        <f t="shared" si="97"/>
        <v/>
      </c>
      <c r="Z155" s="32" t="str">
        <f t="shared" si="98"/>
        <v/>
      </c>
      <c r="AA155" s="32" t="str">
        <f t="shared" si="99"/>
        <v/>
      </c>
      <c r="AB155" s="32" t="str">
        <f>IF($A155="","",IF($T155="No Throw",0,IF($K155&lt;&gt;"",$K155,IF($AA155&lt;&gt;"",ROUND($AA155*$D$12*IF($C155=0,1,$G$10),0),MIN(IF($T155="Recovery/Easy Catch",Reference!$B$103,IF($T155="Long Toss",Reference!$B$106,Reference!$B$102)),MAX(Reference!$B$101,ROUND(MAX(0,$Q155-$AE155)/$AF155,0)))))))</f>
        <v/>
      </c>
      <c r="AC155" s="32">
        <f t="shared" si="100"/>
        <v>0</v>
      </c>
      <c r="AD155" s="32" t="b">
        <f t="shared" si="101"/>
        <v>1</v>
      </c>
      <c r="AE155" s="32">
        <f>IF($X155=0,0,$X155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155+$Z155)/2,0),Reference!$A$17:$B$20,2,TRUE()))</f>
        <v>0</v>
      </c>
      <c r="AF155" s="32">
        <f>IF(OR($A155="",$U155="",$T155="No Throw"),0,$AM155*VLOOKUP(MAX(($V155+$W155)/2,0),Reference!$A$17:$B$20,2,TRUE()))</f>
        <v>0</v>
      </c>
      <c r="AG155" s="32">
        <f>IF($AC155=0,0,$AC155*INDEX(Reference!$B$61:$B$62,MATCH("Bullpen",Reference!$A$61:$A$62,0))*VLOOKUP(MAX($D$5-($D$9+$E$9)/2,0),Reference!$A$17:$B$20,2,TRUE()))</f>
        <v>0</v>
      </c>
      <c r="AH155" s="32" t="e">
        <f t="shared" si="102"/>
        <v>#N/A</v>
      </c>
      <c r="AI155" s="32" t="e">
        <f>IF($A155="",NA(),Reference!$A$25)</f>
        <v>#N/A</v>
      </c>
      <c r="AJ155" s="32" t="e">
        <f t="shared" si="103"/>
        <v>#N/A</v>
      </c>
      <c r="AK155" s="32">
        <f>IF(OR($A155="",N($C155)&lt;=7,$T155="No Throw",$J155="x"),0,INDEX(Reference!$B$108:$B$114,$N155+1))</f>
        <v>0</v>
      </c>
      <c r="AL155" s="32">
        <f t="shared" si="104"/>
        <v>1</v>
      </c>
      <c r="AM155" s="32">
        <f>IF($U155="",0,IF($AL155&gt;1,((IF(1&lt;=$AL155,($AL155-1+3)*(INDEX(Reference!$B$6:$B$11,MIN(5,MATCH(MAX(Reference!$A$6,MIN(Reference!$A$11,MIN($U155,90))),Reference!$A$6:$A$11,1)))+(MAX(Reference!$A$6,MIN(Reference!$A$11,MIN($U155,90)))-INDEX(Reference!$A$6:$A$11,MIN(5,MATCH(MAX(Reference!$A$6,MIN(Reference!$A$11,MIN($U155,90))),Reference!$A$6:$A$11,1))))*(INDEX(Reference!$B$6:$B$11,MIN(5,MATCH(MAX(Reference!$A$6,MIN(Reference!$A$11,MIN($U155,90))),Reference!$A$6:$A$11,1))+1)-INDEX(Reference!$B$6:$B$11,MIN(5,MATCH(MAX(Reference!$A$6,MIN(Reference!$A$11,MIN($U155,90))),Reference!$A$6:$A$11,1))))/(INDEX(Reference!$A$6:$A$11,MIN(5,MATCH(MAX(Reference!$A$6,MIN(Reference!$A$11,MIN($U155,90))),Reference!$A$6:$A$11,1))+1)-INDEX(Reference!$A$6:$A$11,MIN(5,MATCH(MAX(Reference!$A$6,MIN(Reference!$A$11,MIN($U155,90))),Reference!$A$6:$A$11,1))))),0)+IF(2&lt;=$AL155,($AL155-2+3)*(INDEX(Reference!$B$6:$B$11,MIN(5,MATCH(MAX(Reference!$A$6,MIN(Reference!$A$11,MIN($U155,120))),Reference!$A$6:$A$11,1)))+(MAX(Reference!$A$6,MIN(Reference!$A$11,MIN($U155,120)))-INDEX(Reference!$A$6:$A$11,MIN(5,MATCH(MAX(Reference!$A$6,MIN(Reference!$A$11,MIN($U155,120))),Reference!$A$6:$A$11,1))))*(INDEX(Reference!$B$6:$B$11,MIN(5,MATCH(MAX(Reference!$A$6,MIN(Reference!$A$11,MIN($U155,120))),Reference!$A$6:$A$11,1))+1)-INDEX(Reference!$B$6:$B$11,MIN(5,MATCH(MAX(Reference!$A$6,MIN(Reference!$A$11,MIN($U155,120))),Reference!$A$6:$A$11,1))))/(INDEX(Reference!$A$6:$A$11,MIN(5,MATCH(MAX(Reference!$A$6,MIN(Reference!$A$11,MIN($U155,120))),Reference!$A$6:$A$11,1))+1)-INDEX(Reference!$A$6:$A$11,MIN(5,MATCH(MAX(Reference!$A$6,MIN(Reference!$A$11,MIN($U155,120))),Reference!$A$6:$A$11,1))))),0)+IF(3&lt;=$AL155,($AL155-3+3)*(INDEX(Reference!$B$6:$B$11,MIN(5,MATCH(MAX(Reference!$A$6,MIN(Reference!$A$11,MIN($U155,150))),Reference!$A$6:$A$11,1)))+(MAX(Reference!$A$6,MIN(Reference!$A$11,MIN($U155,150)))-INDEX(Reference!$A$6:$A$11,MIN(5,MATCH(MAX(Reference!$A$6,MIN(Reference!$A$11,MIN($U155,150))),Reference!$A$6:$A$11,1))))*(INDEX(Reference!$B$6:$B$11,MIN(5,MATCH(MAX(Reference!$A$6,MIN(Reference!$A$11,MIN($U155,150))),Reference!$A$6:$A$11,1))+1)-INDEX(Reference!$B$6:$B$11,MIN(5,MATCH(MAX(Reference!$A$6,MIN(Reference!$A$11,MIN($U155,150))),Reference!$A$6:$A$11,1))))/(INDEX(Reference!$A$6:$A$11,MIN(5,MATCH(MAX(Reference!$A$6,MIN(Reference!$A$11,MIN($U155,150))),Reference!$A$6:$A$11,1))+1)-INDEX(Reference!$A$6:$A$11,MIN(5,MATCH(MAX(Reference!$A$6,MIN(Reference!$A$11,MIN($U155,150))),Reference!$A$6:$A$11,1))))),0)+IF(4&lt;=$AL155,($AL155-4+3)*(INDEX(Reference!$B$6:$B$11,MIN(5,MATCH(MAX(Reference!$A$6,MIN(Reference!$A$11,MIN($U155,180))),Reference!$A$6:$A$11,1)))+(MAX(Reference!$A$6,MIN(Reference!$A$11,MIN($U155,180)))-INDEX(Reference!$A$6:$A$11,MIN(5,MATCH(MAX(Reference!$A$6,MIN(Reference!$A$11,MIN($U155,180))),Reference!$A$6:$A$11,1))))*(INDEX(Reference!$B$6:$B$11,MIN(5,MATCH(MAX(Reference!$A$6,MIN(Reference!$A$11,MIN($U155,180))),Reference!$A$6:$A$11,1))+1)-INDEX(Reference!$B$6:$B$11,MIN(5,MATCH(MAX(Reference!$A$6,MIN(Reference!$A$11,MIN($U155,180))),Reference!$A$6:$A$11,1))))/(INDEX(Reference!$A$6:$A$11,MIN(5,MATCH(MAX(Reference!$A$6,MIN(Reference!$A$11,MIN($U155,180))),Reference!$A$6:$A$11,1))+1)-INDEX(Reference!$A$6:$A$11,MIN(5,MATCH(MAX(Reference!$A$6,MIN(Reference!$A$11,MIN($U155,180))),Reference!$A$6:$A$11,1))))),0)+IF(5&lt;=$AL155,($AL155-5+3)*(INDEX(Reference!$B$6:$B$11,MIN(5,MATCH(MAX(Reference!$A$6,MIN(Reference!$A$11,MIN($U155,210))),Reference!$A$6:$A$11,1)))+(MAX(Reference!$A$6,MIN(Reference!$A$11,MIN($U155,210)))-INDEX(Reference!$A$6:$A$11,MIN(5,MATCH(MAX(Reference!$A$6,MIN(Reference!$A$11,MIN($U155,210))),Reference!$A$6:$A$11,1))))*(INDEX(Reference!$B$6:$B$11,MIN(5,MATCH(MAX(Reference!$A$6,MIN(Reference!$A$11,MIN($U155,210))),Reference!$A$6:$A$11,1))+1)-INDEX(Reference!$B$6:$B$11,MIN(5,MATCH(MAX(Reference!$A$6,MIN(Reference!$A$11,MIN($U155,210))),Reference!$A$6:$A$11,1))))/(INDEX(Reference!$A$6:$A$11,MIN(5,MATCH(MAX(Reference!$A$6,MIN(Reference!$A$11,MIN($U155,210))),Reference!$A$6:$A$11,1))+1)-INDEX(Reference!$A$6:$A$11,MIN(5,MATCH(MAX(Reference!$A$6,MIN(Reference!$A$11,MIN($U155,210))),Reference!$A$6:$A$11,1))))),0)+IF(6&lt;=$AL155,($AL155-6+3)*(INDEX(Reference!$B$6:$B$11,MIN(5,MATCH(MAX(Reference!$A$6,MIN(Reference!$A$11,MIN($U155,240))),Reference!$A$6:$A$11,1)))+(MAX(Reference!$A$6,MIN(Reference!$A$11,MIN($U155,240)))-INDEX(Reference!$A$6:$A$11,MIN(5,MATCH(MAX(Reference!$A$6,MIN(Reference!$A$11,MIN($U155,240))),Reference!$A$6:$A$11,1))))*(INDEX(Reference!$B$6:$B$11,MIN(5,MATCH(MAX(Reference!$A$6,MIN(Reference!$A$11,MIN($U155,240))),Reference!$A$6:$A$11,1))+1)-INDEX(Reference!$B$6:$B$11,MIN(5,MATCH(MAX(Reference!$A$6,MIN(Reference!$A$11,MIN($U155,240))),Reference!$A$6:$A$11,1))))/(INDEX(Reference!$A$6:$A$11,MIN(5,MATCH(MAX(Reference!$A$6,MIN(Reference!$A$11,MIN($U155,240))),Reference!$A$6:$A$11,1))+1)-INDEX(Reference!$A$6:$A$11,MIN(5,MATCH(MAX(Reference!$A$6,MIN(Reference!$A$11,MIN($U155,240))),Reference!$A$6:$A$11,1))))),0)+IF(7&lt;=$AL155,($AL155-7+3)*(INDEX(Reference!$B$6:$B$11,MIN(5,MATCH(MAX(Reference!$A$6,MIN(Reference!$A$11,MIN($U155,270))),Reference!$A$6:$A$11,1)))+(MAX(Reference!$A$6,MIN(Reference!$A$11,MIN($U155,270)))-INDEX(Reference!$A$6:$A$11,MIN(5,MATCH(MAX(Reference!$A$6,MIN(Reference!$A$11,MIN($U155,270))),Reference!$A$6:$A$11,1))))*(INDEX(Reference!$B$6:$B$11,MIN(5,MATCH(MAX(Reference!$A$6,MIN(Reference!$A$11,MIN($U155,270))),Reference!$A$6:$A$11,1))+1)-INDEX(Reference!$B$6:$B$11,MIN(5,MATCH(MAX(Reference!$A$6,MIN(Reference!$A$11,MIN($U155,270))),Reference!$A$6:$A$11,1))))/(INDEX(Reference!$A$6:$A$11,MIN(5,MATCH(MAX(Reference!$A$6,MIN(Reference!$A$11,MIN($U155,270))),Reference!$A$6:$A$11,1))+1)-INDEX(Reference!$A$6:$A$11,MIN(5,MATCH(MAX(Reference!$A$6,MIN(Reference!$A$11,MIN($U155,270))),Reference!$A$6:$A$11,1))))),0)+IF(8&lt;=$AL155,($AL155-8+3)*(INDEX(Reference!$B$6:$B$11,MIN(5,MATCH(MAX(Reference!$A$6,MIN(Reference!$A$11,MIN($U155,300))),Reference!$A$6:$A$11,1)))+(MAX(Reference!$A$6,MIN(Reference!$A$11,MIN($U155,300)))-INDEX(Reference!$A$6:$A$11,MIN(5,MATCH(MAX(Reference!$A$6,MIN(Reference!$A$11,MIN($U155,300))),Reference!$A$6:$A$11,1))))*(INDEX(Reference!$B$6:$B$11,MIN(5,MATCH(MAX(Reference!$A$6,MIN(Reference!$A$11,MIN($U155,300))),Reference!$A$6:$A$11,1))+1)-INDEX(Reference!$B$6:$B$11,MIN(5,MATCH(MAX(Reference!$A$6,MIN(Reference!$A$11,MIN($U155,300))),Reference!$A$6:$A$11,1))))/(INDEX(Reference!$A$6:$A$11,MIN(5,MATCH(MAX(Reference!$A$6,MIN(Reference!$A$11,MIN($U155,300))),Reference!$A$6:$A$11,1))+1)-INDEX(Reference!$A$6:$A$11,MIN(5,MATCH(MAX(Reference!$A$6,MIN(Reference!$A$11,MIN($U155,300))),Reference!$A$6:$A$11,1))))),0))/($AL155*($AL155+5)/2)),$AN155))</f>
        <v>0</v>
      </c>
      <c r="AN155" s="32">
        <f>IF($U155="",0,(INDEX(Reference!$B$6:$B$11,MIN(5,MATCH(MAX(Reference!$A$6,MIN(Reference!$A$11,$U155)),Reference!$A$6:$A$11,1)))+(MAX(Reference!$A$6,MIN(Reference!$A$11,$U155))-INDEX(Reference!$A$6:$A$11,MIN(5,MATCH(MAX(Reference!$A$6,MIN(Reference!$A$11,$U155)),Reference!$A$6:$A$11,1))))*(INDEX(Reference!$B$6:$B$11,MIN(5,MATCH(MAX(Reference!$A$6,MIN(Reference!$A$11,$U155)),Reference!$A$6:$A$11,1))+1)-INDEX(Reference!$B$6:$B$11,MIN(5,MATCH(MAX(Reference!$A$6,MIN(Reference!$A$11,$U155)),Reference!$A$6:$A$11,1))))/(INDEX(Reference!$A$6:$A$11,MIN(5,MATCH(MAX(Reference!$A$6,MIN(Reference!$A$11,$U155)),Reference!$A$6:$A$11,1))+1)-INDEX(Reference!$A$6:$A$11,MIN(5,MATCH(MAX(Reference!$A$6,MIN(Reference!$A$11,$U155)),Reference!$A$6:$A$11,1))))))</f>
        <v>0</v>
      </c>
      <c r="AO155" s="37"/>
      <c r="AP155" s="37"/>
      <c r="AQ155" s="37"/>
    </row>
    <row r="156" spans="1:43" x14ac:dyDescent="0.3">
      <c r="A156" s="48" t="str">
        <f t="shared" si="80"/>
        <v/>
      </c>
      <c r="B156" s="32" t="str">
        <f t="shared" si="81"/>
        <v/>
      </c>
      <c r="C156" s="32" t="str">
        <f t="shared" si="82"/>
        <v/>
      </c>
      <c r="D156" s="32" t="str">
        <f t="shared" si="83"/>
        <v/>
      </c>
      <c r="E156" s="32" t="str">
        <f t="shared" si="84"/>
        <v/>
      </c>
      <c r="F156" s="32" t="str">
        <f t="shared" si="85"/>
        <v/>
      </c>
      <c r="G156" s="47" t="str">
        <f t="shared" si="86"/>
        <v/>
      </c>
      <c r="H156" s="30" t="str">
        <f t="shared" si="87"/>
        <v/>
      </c>
      <c r="I156" s="46" t="str">
        <f>IF($A156="","",IF(AND($L156&lt;27,$K$12=0),"Building",IFERROR(((SUM($H$150:$H156)+$K$12*IF($L156&lt;6,SUMIFS('Throw Log'!$Q$5:$Q$300,'Throw Log'!$B$5:$B$300,$D$4,'Throw Log'!$A$5:$A$300,"&gt;="&amp;($D$6+$L156-6),'Throw Log'!$A$5:$A$300,"&lt;="&amp;($D$6-1)),0))/7)/((SUM($H$129:$H156)+$K$12*IF($L156&lt;27,SUMIFS('Throw Log'!$Q$5:$Q$300,'Throw Log'!$B$5:$B$300,$D$4,'Throw Log'!$A$5:$A$300,"&gt;="&amp;($D$6+$L156-27),'Throw Log'!$A$5:$A$300,"&lt;="&amp;($D$6-1)),0))/28),"")))</f>
        <v/>
      </c>
      <c r="J156" s="37"/>
      <c r="K156" s="37"/>
      <c r="L156" s="32">
        <v>113</v>
      </c>
      <c r="M156" s="32">
        <f t="shared" si="88"/>
        <v>17</v>
      </c>
      <c r="N156" s="32">
        <f t="shared" si="89"/>
        <v>1</v>
      </c>
      <c r="O156" s="32">
        <f t="shared" si="90"/>
        <v>1</v>
      </c>
      <c r="P156" s="32" t="str">
        <f>IF(OR($A156="",N($C156)&lt;=7),"",$G$6*$G$9^($M156-1)*IF(AND(MOD($M156,Reference!$B$99)=0,$M156&lt;=$G$5-2),Reference!$B$100,1))</f>
        <v/>
      </c>
      <c r="Q156" s="32" t="str">
        <f>IF($P156="","",IF(SUM($AK$155:$AK$161)=0,0,$P156*INDEX(Reference!$B$108:$B$114,$N156+1)/SUM($AK$155:$AK$161)))</f>
        <v/>
      </c>
      <c r="R156" s="32">
        <f t="shared" si="91"/>
        <v>120</v>
      </c>
      <c r="S156" s="32">
        <f t="shared" si="92"/>
        <v>105</v>
      </c>
      <c r="T156" s="32" t="str">
        <f>IF($A156="","",IF($C156=0,"Bullpen",IF(OR($C156=7,$C156=1,$C156=5),"Recovery/Easy Catch",IF($C156=6,"Compression/Pulldowns",IF(OR($C156=4,$C156=2),"Long Toss",IF($C156=3,"No Throw",IF($N156=2,"No Throw",IF($N156=6,IF($O156&lt;Reference!$B$104,"No Throw","Recovery/Easy Catch"),IF(OR($N156=0,$N156=4),"Recovery/Easy Catch",IF($N156=1,IF($R156&gt;75,"Long Toss","Recovery/Easy Catch"),IF($N156=3,IF($O156&lt;0.5,IF($S156&gt;75,"Long Toss","Recovery/Easy Catch"),"Compression/Pulldowns"),IF($S156&gt;75,"Long Toss","Recovery/Easy Catch"))))))))))))</f>
        <v/>
      </c>
      <c r="U156" s="32" t="str">
        <f t="shared" si="93"/>
        <v/>
      </c>
      <c r="V156" s="32" t="str">
        <f t="shared" si="94"/>
        <v/>
      </c>
      <c r="W156" s="32" t="str">
        <f t="shared" si="95"/>
        <v/>
      </c>
      <c r="X156" s="32">
        <f t="shared" si="96"/>
        <v>0</v>
      </c>
      <c r="Y156" s="32" t="str">
        <f t="shared" si="97"/>
        <v/>
      </c>
      <c r="Z156" s="32" t="str">
        <f t="shared" si="98"/>
        <v/>
      </c>
      <c r="AA156" s="32" t="str">
        <f t="shared" si="99"/>
        <v/>
      </c>
      <c r="AB156" s="32" t="str">
        <f>IF($A156="","",IF($T156="No Throw",0,IF($K156&lt;&gt;"",$K156,IF($AA156&lt;&gt;"",ROUND($AA156*$D$12*IF($C156=0,1,$G$10),0),MIN(IF($T156="Recovery/Easy Catch",Reference!$B$103,IF($T156="Long Toss",Reference!$B$106,Reference!$B$102)),MAX(Reference!$B$101,ROUND(MAX(0,$Q156-$AE156)/$AF156,0)))))))</f>
        <v/>
      </c>
      <c r="AC156" s="32">
        <f t="shared" si="100"/>
        <v>0</v>
      </c>
      <c r="AD156" s="32" t="b">
        <f t="shared" si="101"/>
        <v>1</v>
      </c>
      <c r="AE156" s="32">
        <f>IF($X156=0,0,$X156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156+$Z156)/2,0),Reference!$A$17:$B$20,2,TRUE()))</f>
        <v>0</v>
      </c>
      <c r="AF156" s="32">
        <f>IF(OR($A156="",$U156="",$T156="No Throw"),0,$AM156*VLOOKUP(MAX(($V156+$W156)/2,0),Reference!$A$17:$B$20,2,TRUE()))</f>
        <v>0</v>
      </c>
      <c r="AG156" s="32">
        <f>IF($AC156=0,0,$AC156*INDEX(Reference!$B$61:$B$62,MATCH("Bullpen",Reference!$A$61:$A$62,0))*VLOOKUP(MAX($D$5-($D$9+$E$9)/2,0),Reference!$A$17:$B$20,2,TRUE()))</f>
        <v>0</v>
      </c>
      <c r="AH156" s="32" t="e">
        <f t="shared" si="102"/>
        <v>#N/A</v>
      </c>
      <c r="AI156" s="32" t="e">
        <f>IF($A156="",NA(),Reference!$A$25)</f>
        <v>#N/A</v>
      </c>
      <c r="AJ156" s="32" t="e">
        <f t="shared" si="103"/>
        <v>#N/A</v>
      </c>
      <c r="AK156" s="32">
        <f>IF(OR($A156="",N($C156)&lt;=7,$T156="No Throw",$J156="x"),0,INDEX(Reference!$B$108:$B$114,$N156+1))</f>
        <v>0</v>
      </c>
      <c r="AL156" s="32">
        <f t="shared" si="104"/>
        <v>1</v>
      </c>
      <c r="AM156" s="32">
        <f>IF($U156="",0,IF($AL156&gt;1,((IF(1&lt;=$AL156,($AL156-1+3)*(INDEX(Reference!$B$6:$B$11,MIN(5,MATCH(MAX(Reference!$A$6,MIN(Reference!$A$11,MIN($U156,90))),Reference!$A$6:$A$11,1)))+(MAX(Reference!$A$6,MIN(Reference!$A$11,MIN($U156,90)))-INDEX(Reference!$A$6:$A$11,MIN(5,MATCH(MAX(Reference!$A$6,MIN(Reference!$A$11,MIN($U156,90))),Reference!$A$6:$A$11,1))))*(INDEX(Reference!$B$6:$B$11,MIN(5,MATCH(MAX(Reference!$A$6,MIN(Reference!$A$11,MIN($U156,90))),Reference!$A$6:$A$11,1))+1)-INDEX(Reference!$B$6:$B$11,MIN(5,MATCH(MAX(Reference!$A$6,MIN(Reference!$A$11,MIN($U156,90))),Reference!$A$6:$A$11,1))))/(INDEX(Reference!$A$6:$A$11,MIN(5,MATCH(MAX(Reference!$A$6,MIN(Reference!$A$11,MIN($U156,90))),Reference!$A$6:$A$11,1))+1)-INDEX(Reference!$A$6:$A$11,MIN(5,MATCH(MAX(Reference!$A$6,MIN(Reference!$A$11,MIN($U156,90))),Reference!$A$6:$A$11,1))))),0)+IF(2&lt;=$AL156,($AL156-2+3)*(INDEX(Reference!$B$6:$B$11,MIN(5,MATCH(MAX(Reference!$A$6,MIN(Reference!$A$11,MIN($U156,120))),Reference!$A$6:$A$11,1)))+(MAX(Reference!$A$6,MIN(Reference!$A$11,MIN($U156,120)))-INDEX(Reference!$A$6:$A$11,MIN(5,MATCH(MAX(Reference!$A$6,MIN(Reference!$A$11,MIN($U156,120))),Reference!$A$6:$A$11,1))))*(INDEX(Reference!$B$6:$B$11,MIN(5,MATCH(MAX(Reference!$A$6,MIN(Reference!$A$11,MIN($U156,120))),Reference!$A$6:$A$11,1))+1)-INDEX(Reference!$B$6:$B$11,MIN(5,MATCH(MAX(Reference!$A$6,MIN(Reference!$A$11,MIN($U156,120))),Reference!$A$6:$A$11,1))))/(INDEX(Reference!$A$6:$A$11,MIN(5,MATCH(MAX(Reference!$A$6,MIN(Reference!$A$11,MIN($U156,120))),Reference!$A$6:$A$11,1))+1)-INDEX(Reference!$A$6:$A$11,MIN(5,MATCH(MAX(Reference!$A$6,MIN(Reference!$A$11,MIN($U156,120))),Reference!$A$6:$A$11,1))))),0)+IF(3&lt;=$AL156,($AL156-3+3)*(INDEX(Reference!$B$6:$B$11,MIN(5,MATCH(MAX(Reference!$A$6,MIN(Reference!$A$11,MIN($U156,150))),Reference!$A$6:$A$11,1)))+(MAX(Reference!$A$6,MIN(Reference!$A$11,MIN($U156,150)))-INDEX(Reference!$A$6:$A$11,MIN(5,MATCH(MAX(Reference!$A$6,MIN(Reference!$A$11,MIN($U156,150))),Reference!$A$6:$A$11,1))))*(INDEX(Reference!$B$6:$B$11,MIN(5,MATCH(MAX(Reference!$A$6,MIN(Reference!$A$11,MIN($U156,150))),Reference!$A$6:$A$11,1))+1)-INDEX(Reference!$B$6:$B$11,MIN(5,MATCH(MAX(Reference!$A$6,MIN(Reference!$A$11,MIN($U156,150))),Reference!$A$6:$A$11,1))))/(INDEX(Reference!$A$6:$A$11,MIN(5,MATCH(MAX(Reference!$A$6,MIN(Reference!$A$11,MIN($U156,150))),Reference!$A$6:$A$11,1))+1)-INDEX(Reference!$A$6:$A$11,MIN(5,MATCH(MAX(Reference!$A$6,MIN(Reference!$A$11,MIN($U156,150))),Reference!$A$6:$A$11,1))))),0)+IF(4&lt;=$AL156,($AL156-4+3)*(INDEX(Reference!$B$6:$B$11,MIN(5,MATCH(MAX(Reference!$A$6,MIN(Reference!$A$11,MIN($U156,180))),Reference!$A$6:$A$11,1)))+(MAX(Reference!$A$6,MIN(Reference!$A$11,MIN($U156,180)))-INDEX(Reference!$A$6:$A$11,MIN(5,MATCH(MAX(Reference!$A$6,MIN(Reference!$A$11,MIN($U156,180))),Reference!$A$6:$A$11,1))))*(INDEX(Reference!$B$6:$B$11,MIN(5,MATCH(MAX(Reference!$A$6,MIN(Reference!$A$11,MIN($U156,180))),Reference!$A$6:$A$11,1))+1)-INDEX(Reference!$B$6:$B$11,MIN(5,MATCH(MAX(Reference!$A$6,MIN(Reference!$A$11,MIN($U156,180))),Reference!$A$6:$A$11,1))))/(INDEX(Reference!$A$6:$A$11,MIN(5,MATCH(MAX(Reference!$A$6,MIN(Reference!$A$11,MIN($U156,180))),Reference!$A$6:$A$11,1))+1)-INDEX(Reference!$A$6:$A$11,MIN(5,MATCH(MAX(Reference!$A$6,MIN(Reference!$A$11,MIN($U156,180))),Reference!$A$6:$A$11,1))))),0)+IF(5&lt;=$AL156,($AL156-5+3)*(INDEX(Reference!$B$6:$B$11,MIN(5,MATCH(MAX(Reference!$A$6,MIN(Reference!$A$11,MIN($U156,210))),Reference!$A$6:$A$11,1)))+(MAX(Reference!$A$6,MIN(Reference!$A$11,MIN($U156,210)))-INDEX(Reference!$A$6:$A$11,MIN(5,MATCH(MAX(Reference!$A$6,MIN(Reference!$A$11,MIN($U156,210))),Reference!$A$6:$A$11,1))))*(INDEX(Reference!$B$6:$B$11,MIN(5,MATCH(MAX(Reference!$A$6,MIN(Reference!$A$11,MIN($U156,210))),Reference!$A$6:$A$11,1))+1)-INDEX(Reference!$B$6:$B$11,MIN(5,MATCH(MAX(Reference!$A$6,MIN(Reference!$A$11,MIN($U156,210))),Reference!$A$6:$A$11,1))))/(INDEX(Reference!$A$6:$A$11,MIN(5,MATCH(MAX(Reference!$A$6,MIN(Reference!$A$11,MIN($U156,210))),Reference!$A$6:$A$11,1))+1)-INDEX(Reference!$A$6:$A$11,MIN(5,MATCH(MAX(Reference!$A$6,MIN(Reference!$A$11,MIN($U156,210))),Reference!$A$6:$A$11,1))))),0)+IF(6&lt;=$AL156,($AL156-6+3)*(INDEX(Reference!$B$6:$B$11,MIN(5,MATCH(MAX(Reference!$A$6,MIN(Reference!$A$11,MIN($U156,240))),Reference!$A$6:$A$11,1)))+(MAX(Reference!$A$6,MIN(Reference!$A$11,MIN($U156,240)))-INDEX(Reference!$A$6:$A$11,MIN(5,MATCH(MAX(Reference!$A$6,MIN(Reference!$A$11,MIN($U156,240))),Reference!$A$6:$A$11,1))))*(INDEX(Reference!$B$6:$B$11,MIN(5,MATCH(MAX(Reference!$A$6,MIN(Reference!$A$11,MIN($U156,240))),Reference!$A$6:$A$11,1))+1)-INDEX(Reference!$B$6:$B$11,MIN(5,MATCH(MAX(Reference!$A$6,MIN(Reference!$A$11,MIN($U156,240))),Reference!$A$6:$A$11,1))))/(INDEX(Reference!$A$6:$A$11,MIN(5,MATCH(MAX(Reference!$A$6,MIN(Reference!$A$11,MIN($U156,240))),Reference!$A$6:$A$11,1))+1)-INDEX(Reference!$A$6:$A$11,MIN(5,MATCH(MAX(Reference!$A$6,MIN(Reference!$A$11,MIN($U156,240))),Reference!$A$6:$A$11,1))))),0)+IF(7&lt;=$AL156,($AL156-7+3)*(INDEX(Reference!$B$6:$B$11,MIN(5,MATCH(MAX(Reference!$A$6,MIN(Reference!$A$11,MIN($U156,270))),Reference!$A$6:$A$11,1)))+(MAX(Reference!$A$6,MIN(Reference!$A$11,MIN($U156,270)))-INDEX(Reference!$A$6:$A$11,MIN(5,MATCH(MAX(Reference!$A$6,MIN(Reference!$A$11,MIN($U156,270))),Reference!$A$6:$A$11,1))))*(INDEX(Reference!$B$6:$B$11,MIN(5,MATCH(MAX(Reference!$A$6,MIN(Reference!$A$11,MIN($U156,270))),Reference!$A$6:$A$11,1))+1)-INDEX(Reference!$B$6:$B$11,MIN(5,MATCH(MAX(Reference!$A$6,MIN(Reference!$A$11,MIN($U156,270))),Reference!$A$6:$A$11,1))))/(INDEX(Reference!$A$6:$A$11,MIN(5,MATCH(MAX(Reference!$A$6,MIN(Reference!$A$11,MIN($U156,270))),Reference!$A$6:$A$11,1))+1)-INDEX(Reference!$A$6:$A$11,MIN(5,MATCH(MAX(Reference!$A$6,MIN(Reference!$A$11,MIN($U156,270))),Reference!$A$6:$A$11,1))))),0)+IF(8&lt;=$AL156,($AL156-8+3)*(INDEX(Reference!$B$6:$B$11,MIN(5,MATCH(MAX(Reference!$A$6,MIN(Reference!$A$11,MIN($U156,300))),Reference!$A$6:$A$11,1)))+(MAX(Reference!$A$6,MIN(Reference!$A$11,MIN($U156,300)))-INDEX(Reference!$A$6:$A$11,MIN(5,MATCH(MAX(Reference!$A$6,MIN(Reference!$A$11,MIN($U156,300))),Reference!$A$6:$A$11,1))))*(INDEX(Reference!$B$6:$B$11,MIN(5,MATCH(MAX(Reference!$A$6,MIN(Reference!$A$11,MIN($U156,300))),Reference!$A$6:$A$11,1))+1)-INDEX(Reference!$B$6:$B$11,MIN(5,MATCH(MAX(Reference!$A$6,MIN(Reference!$A$11,MIN($U156,300))),Reference!$A$6:$A$11,1))))/(INDEX(Reference!$A$6:$A$11,MIN(5,MATCH(MAX(Reference!$A$6,MIN(Reference!$A$11,MIN($U156,300))),Reference!$A$6:$A$11,1))+1)-INDEX(Reference!$A$6:$A$11,MIN(5,MATCH(MAX(Reference!$A$6,MIN(Reference!$A$11,MIN($U156,300))),Reference!$A$6:$A$11,1))))),0))/($AL156*($AL156+5)/2)),$AN156))</f>
        <v>0</v>
      </c>
      <c r="AN156" s="32">
        <f>IF($U156="",0,(INDEX(Reference!$B$6:$B$11,MIN(5,MATCH(MAX(Reference!$A$6,MIN(Reference!$A$11,$U156)),Reference!$A$6:$A$11,1)))+(MAX(Reference!$A$6,MIN(Reference!$A$11,$U156))-INDEX(Reference!$A$6:$A$11,MIN(5,MATCH(MAX(Reference!$A$6,MIN(Reference!$A$11,$U156)),Reference!$A$6:$A$11,1))))*(INDEX(Reference!$B$6:$B$11,MIN(5,MATCH(MAX(Reference!$A$6,MIN(Reference!$A$11,$U156)),Reference!$A$6:$A$11,1))+1)-INDEX(Reference!$B$6:$B$11,MIN(5,MATCH(MAX(Reference!$A$6,MIN(Reference!$A$11,$U156)),Reference!$A$6:$A$11,1))))/(INDEX(Reference!$A$6:$A$11,MIN(5,MATCH(MAX(Reference!$A$6,MIN(Reference!$A$11,$U156)),Reference!$A$6:$A$11,1))+1)-INDEX(Reference!$A$6:$A$11,MIN(5,MATCH(MAX(Reference!$A$6,MIN(Reference!$A$11,$U156)),Reference!$A$6:$A$11,1))))))</f>
        <v>0</v>
      </c>
      <c r="AO156" s="37"/>
      <c r="AP156" s="37"/>
      <c r="AQ156" s="37"/>
    </row>
    <row r="157" spans="1:43" x14ac:dyDescent="0.3">
      <c r="A157" s="48" t="str">
        <f t="shared" si="80"/>
        <v/>
      </c>
      <c r="B157" s="32" t="str">
        <f t="shared" si="81"/>
        <v/>
      </c>
      <c r="C157" s="32" t="str">
        <f t="shared" si="82"/>
        <v/>
      </c>
      <c r="D157" s="32" t="str">
        <f t="shared" si="83"/>
        <v/>
      </c>
      <c r="E157" s="32" t="str">
        <f t="shared" si="84"/>
        <v/>
      </c>
      <c r="F157" s="32" t="str">
        <f t="shared" si="85"/>
        <v/>
      </c>
      <c r="G157" s="47" t="str">
        <f t="shared" si="86"/>
        <v/>
      </c>
      <c r="H157" s="30" t="str">
        <f t="shared" si="87"/>
        <v/>
      </c>
      <c r="I157" s="46" t="str">
        <f>IF($A157="","",IF(AND($L157&lt;27,$K$12=0),"Building",IFERROR(((SUM($H$151:$H157)+$K$12*IF($L157&lt;6,SUMIFS('Throw Log'!$Q$5:$Q$300,'Throw Log'!$B$5:$B$300,$D$4,'Throw Log'!$A$5:$A$300,"&gt;="&amp;($D$6+$L157-6),'Throw Log'!$A$5:$A$300,"&lt;="&amp;($D$6-1)),0))/7)/((SUM($H$130:$H157)+$K$12*IF($L157&lt;27,SUMIFS('Throw Log'!$Q$5:$Q$300,'Throw Log'!$B$5:$B$300,$D$4,'Throw Log'!$A$5:$A$300,"&gt;="&amp;($D$6+$L157-27),'Throw Log'!$A$5:$A$300,"&lt;="&amp;($D$6-1)),0))/28),"")))</f>
        <v/>
      </c>
      <c r="J157" s="37"/>
      <c r="K157" s="37"/>
      <c r="L157" s="32">
        <v>114</v>
      </c>
      <c r="M157" s="32">
        <f t="shared" si="88"/>
        <v>17</v>
      </c>
      <c r="N157" s="32">
        <f t="shared" si="89"/>
        <v>2</v>
      </c>
      <c r="O157" s="32">
        <f t="shared" si="90"/>
        <v>1</v>
      </c>
      <c r="P157" s="32" t="str">
        <f>IF(OR($A157="",N($C157)&lt;=7),"",$G$6*$G$9^($M157-1)*IF(AND(MOD($M157,Reference!$B$99)=0,$M157&lt;=$G$5-2),Reference!$B$100,1))</f>
        <v/>
      </c>
      <c r="Q157" s="32" t="str">
        <f>IF($P157="","",IF(SUM($AK$155:$AK$161)=0,0,$P157*INDEX(Reference!$B$108:$B$114,$N157+1)/SUM($AK$155:$AK$161)))</f>
        <v/>
      </c>
      <c r="R157" s="32">
        <f t="shared" si="91"/>
        <v>120</v>
      </c>
      <c r="S157" s="32">
        <f t="shared" si="92"/>
        <v>105</v>
      </c>
      <c r="T157" s="32" t="str">
        <f>IF($A157="","",IF($C157=0,"Bullpen",IF(OR($C157=7,$C157=1,$C157=5),"Recovery/Easy Catch",IF($C157=6,"Compression/Pulldowns",IF(OR($C157=4,$C157=2),"Long Toss",IF($C157=3,"No Throw",IF($N157=2,"No Throw",IF($N157=6,IF($O157&lt;Reference!$B$104,"No Throw","Recovery/Easy Catch"),IF(OR($N157=0,$N157=4),"Recovery/Easy Catch",IF($N157=1,IF($R157&gt;75,"Long Toss","Recovery/Easy Catch"),IF($N157=3,IF($O157&lt;0.5,IF($S157&gt;75,"Long Toss","Recovery/Easy Catch"),"Compression/Pulldowns"),IF($S157&gt;75,"Long Toss","Recovery/Easy Catch"))))))))))))</f>
        <v/>
      </c>
      <c r="U157" s="32" t="str">
        <f t="shared" si="93"/>
        <v/>
      </c>
      <c r="V157" s="32" t="str">
        <f t="shared" si="94"/>
        <v/>
      </c>
      <c r="W157" s="32" t="str">
        <f t="shared" si="95"/>
        <v/>
      </c>
      <c r="X157" s="32">
        <f t="shared" si="96"/>
        <v>0</v>
      </c>
      <c r="Y157" s="32" t="str">
        <f t="shared" si="97"/>
        <v/>
      </c>
      <c r="Z157" s="32" t="str">
        <f t="shared" si="98"/>
        <v/>
      </c>
      <c r="AA157" s="32" t="str">
        <f t="shared" si="99"/>
        <v/>
      </c>
      <c r="AB157" s="32" t="str">
        <f>IF($A157="","",IF($T157="No Throw",0,IF($K157&lt;&gt;"",$K157,IF($AA157&lt;&gt;"",ROUND($AA157*$D$12*IF($C157=0,1,$G$10),0),MIN(IF($T157="Recovery/Easy Catch",Reference!$B$103,IF($T157="Long Toss",Reference!$B$106,Reference!$B$102)),MAX(Reference!$B$101,ROUND(MAX(0,$Q157-$AE157)/$AF157,0)))))))</f>
        <v/>
      </c>
      <c r="AC157" s="32">
        <f t="shared" si="100"/>
        <v>0</v>
      </c>
      <c r="AD157" s="32" t="b">
        <f t="shared" si="101"/>
        <v>1</v>
      </c>
      <c r="AE157" s="32">
        <f>IF($X157=0,0,$X157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157+$Z157)/2,0),Reference!$A$17:$B$20,2,TRUE()))</f>
        <v>0</v>
      </c>
      <c r="AF157" s="32">
        <f>IF(OR($A157="",$U157="",$T157="No Throw"),0,$AM157*VLOOKUP(MAX(($V157+$W157)/2,0),Reference!$A$17:$B$20,2,TRUE()))</f>
        <v>0</v>
      </c>
      <c r="AG157" s="32">
        <f>IF($AC157=0,0,$AC157*INDEX(Reference!$B$61:$B$62,MATCH("Bullpen",Reference!$A$61:$A$62,0))*VLOOKUP(MAX($D$5-($D$9+$E$9)/2,0),Reference!$A$17:$B$20,2,TRUE()))</f>
        <v>0</v>
      </c>
      <c r="AH157" s="32" t="e">
        <f t="shared" si="102"/>
        <v>#N/A</v>
      </c>
      <c r="AI157" s="32" t="e">
        <f>IF($A157="",NA(),Reference!$A$25)</f>
        <v>#N/A</v>
      </c>
      <c r="AJ157" s="32" t="e">
        <f t="shared" si="103"/>
        <v>#N/A</v>
      </c>
      <c r="AK157" s="32">
        <f>IF(OR($A157="",N($C157)&lt;=7,$T157="No Throw",$J157="x"),0,INDEX(Reference!$B$108:$B$114,$N157+1))</f>
        <v>0</v>
      </c>
      <c r="AL157" s="32">
        <f t="shared" si="104"/>
        <v>1</v>
      </c>
      <c r="AM157" s="32">
        <f>IF($U157="",0,IF($AL157&gt;1,((IF(1&lt;=$AL157,($AL157-1+3)*(INDEX(Reference!$B$6:$B$11,MIN(5,MATCH(MAX(Reference!$A$6,MIN(Reference!$A$11,MIN($U157,90))),Reference!$A$6:$A$11,1)))+(MAX(Reference!$A$6,MIN(Reference!$A$11,MIN($U157,90)))-INDEX(Reference!$A$6:$A$11,MIN(5,MATCH(MAX(Reference!$A$6,MIN(Reference!$A$11,MIN($U157,90))),Reference!$A$6:$A$11,1))))*(INDEX(Reference!$B$6:$B$11,MIN(5,MATCH(MAX(Reference!$A$6,MIN(Reference!$A$11,MIN($U157,90))),Reference!$A$6:$A$11,1))+1)-INDEX(Reference!$B$6:$B$11,MIN(5,MATCH(MAX(Reference!$A$6,MIN(Reference!$A$11,MIN($U157,90))),Reference!$A$6:$A$11,1))))/(INDEX(Reference!$A$6:$A$11,MIN(5,MATCH(MAX(Reference!$A$6,MIN(Reference!$A$11,MIN($U157,90))),Reference!$A$6:$A$11,1))+1)-INDEX(Reference!$A$6:$A$11,MIN(5,MATCH(MAX(Reference!$A$6,MIN(Reference!$A$11,MIN($U157,90))),Reference!$A$6:$A$11,1))))),0)+IF(2&lt;=$AL157,($AL157-2+3)*(INDEX(Reference!$B$6:$B$11,MIN(5,MATCH(MAX(Reference!$A$6,MIN(Reference!$A$11,MIN($U157,120))),Reference!$A$6:$A$11,1)))+(MAX(Reference!$A$6,MIN(Reference!$A$11,MIN($U157,120)))-INDEX(Reference!$A$6:$A$11,MIN(5,MATCH(MAX(Reference!$A$6,MIN(Reference!$A$11,MIN($U157,120))),Reference!$A$6:$A$11,1))))*(INDEX(Reference!$B$6:$B$11,MIN(5,MATCH(MAX(Reference!$A$6,MIN(Reference!$A$11,MIN($U157,120))),Reference!$A$6:$A$11,1))+1)-INDEX(Reference!$B$6:$B$11,MIN(5,MATCH(MAX(Reference!$A$6,MIN(Reference!$A$11,MIN($U157,120))),Reference!$A$6:$A$11,1))))/(INDEX(Reference!$A$6:$A$11,MIN(5,MATCH(MAX(Reference!$A$6,MIN(Reference!$A$11,MIN($U157,120))),Reference!$A$6:$A$11,1))+1)-INDEX(Reference!$A$6:$A$11,MIN(5,MATCH(MAX(Reference!$A$6,MIN(Reference!$A$11,MIN($U157,120))),Reference!$A$6:$A$11,1))))),0)+IF(3&lt;=$AL157,($AL157-3+3)*(INDEX(Reference!$B$6:$B$11,MIN(5,MATCH(MAX(Reference!$A$6,MIN(Reference!$A$11,MIN($U157,150))),Reference!$A$6:$A$11,1)))+(MAX(Reference!$A$6,MIN(Reference!$A$11,MIN($U157,150)))-INDEX(Reference!$A$6:$A$11,MIN(5,MATCH(MAX(Reference!$A$6,MIN(Reference!$A$11,MIN($U157,150))),Reference!$A$6:$A$11,1))))*(INDEX(Reference!$B$6:$B$11,MIN(5,MATCH(MAX(Reference!$A$6,MIN(Reference!$A$11,MIN($U157,150))),Reference!$A$6:$A$11,1))+1)-INDEX(Reference!$B$6:$B$11,MIN(5,MATCH(MAX(Reference!$A$6,MIN(Reference!$A$11,MIN($U157,150))),Reference!$A$6:$A$11,1))))/(INDEX(Reference!$A$6:$A$11,MIN(5,MATCH(MAX(Reference!$A$6,MIN(Reference!$A$11,MIN($U157,150))),Reference!$A$6:$A$11,1))+1)-INDEX(Reference!$A$6:$A$11,MIN(5,MATCH(MAX(Reference!$A$6,MIN(Reference!$A$11,MIN($U157,150))),Reference!$A$6:$A$11,1))))),0)+IF(4&lt;=$AL157,($AL157-4+3)*(INDEX(Reference!$B$6:$B$11,MIN(5,MATCH(MAX(Reference!$A$6,MIN(Reference!$A$11,MIN($U157,180))),Reference!$A$6:$A$11,1)))+(MAX(Reference!$A$6,MIN(Reference!$A$11,MIN($U157,180)))-INDEX(Reference!$A$6:$A$11,MIN(5,MATCH(MAX(Reference!$A$6,MIN(Reference!$A$11,MIN($U157,180))),Reference!$A$6:$A$11,1))))*(INDEX(Reference!$B$6:$B$11,MIN(5,MATCH(MAX(Reference!$A$6,MIN(Reference!$A$11,MIN($U157,180))),Reference!$A$6:$A$11,1))+1)-INDEX(Reference!$B$6:$B$11,MIN(5,MATCH(MAX(Reference!$A$6,MIN(Reference!$A$11,MIN($U157,180))),Reference!$A$6:$A$11,1))))/(INDEX(Reference!$A$6:$A$11,MIN(5,MATCH(MAX(Reference!$A$6,MIN(Reference!$A$11,MIN($U157,180))),Reference!$A$6:$A$11,1))+1)-INDEX(Reference!$A$6:$A$11,MIN(5,MATCH(MAX(Reference!$A$6,MIN(Reference!$A$11,MIN($U157,180))),Reference!$A$6:$A$11,1))))),0)+IF(5&lt;=$AL157,($AL157-5+3)*(INDEX(Reference!$B$6:$B$11,MIN(5,MATCH(MAX(Reference!$A$6,MIN(Reference!$A$11,MIN($U157,210))),Reference!$A$6:$A$11,1)))+(MAX(Reference!$A$6,MIN(Reference!$A$11,MIN($U157,210)))-INDEX(Reference!$A$6:$A$11,MIN(5,MATCH(MAX(Reference!$A$6,MIN(Reference!$A$11,MIN($U157,210))),Reference!$A$6:$A$11,1))))*(INDEX(Reference!$B$6:$B$11,MIN(5,MATCH(MAX(Reference!$A$6,MIN(Reference!$A$11,MIN($U157,210))),Reference!$A$6:$A$11,1))+1)-INDEX(Reference!$B$6:$B$11,MIN(5,MATCH(MAX(Reference!$A$6,MIN(Reference!$A$11,MIN($U157,210))),Reference!$A$6:$A$11,1))))/(INDEX(Reference!$A$6:$A$11,MIN(5,MATCH(MAX(Reference!$A$6,MIN(Reference!$A$11,MIN($U157,210))),Reference!$A$6:$A$11,1))+1)-INDEX(Reference!$A$6:$A$11,MIN(5,MATCH(MAX(Reference!$A$6,MIN(Reference!$A$11,MIN($U157,210))),Reference!$A$6:$A$11,1))))),0)+IF(6&lt;=$AL157,($AL157-6+3)*(INDEX(Reference!$B$6:$B$11,MIN(5,MATCH(MAX(Reference!$A$6,MIN(Reference!$A$11,MIN($U157,240))),Reference!$A$6:$A$11,1)))+(MAX(Reference!$A$6,MIN(Reference!$A$11,MIN($U157,240)))-INDEX(Reference!$A$6:$A$11,MIN(5,MATCH(MAX(Reference!$A$6,MIN(Reference!$A$11,MIN($U157,240))),Reference!$A$6:$A$11,1))))*(INDEX(Reference!$B$6:$B$11,MIN(5,MATCH(MAX(Reference!$A$6,MIN(Reference!$A$11,MIN($U157,240))),Reference!$A$6:$A$11,1))+1)-INDEX(Reference!$B$6:$B$11,MIN(5,MATCH(MAX(Reference!$A$6,MIN(Reference!$A$11,MIN($U157,240))),Reference!$A$6:$A$11,1))))/(INDEX(Reference!$A$6:$A$11,MIN(5,MATCH(MAX(Reference!$A$6,MIN(Reference!$A$11,MIN($U157,240))),Reference!$A$6:$A$11,1))+1)-INDEX(Reference!$A$6:$A$11,MIN(5,MATCH(MAX(Reference!$A$6,MIN(Reference!$A$11,MIN($U157,240))),Reference!$A$6:$A$11,1))))),0)+IF(7&lt;=$AL157,($AL157-7+3)*(INDEX(Reference!$B$6:$B$11,MIN(5,MATCH(MAX(Reference!$A$6,MIN(Reference!$A$11,MIN($U157,270))),Reference!$A$6:$A$11,1)))+(MAX(Reference!$A$6,MIN(Reference!$A$11,MIN($U157,270)))-INDEX(Reference!$A$6:$A$11,MIN(5,MATCH(MAX(Reference!$A$6,MIN(Reference!$A$11,MIN($U157,270))),Reference!$A$6:$A$11,1))))*(INDEX(Reference!$B$6:$B$11,MIN(5,MATCH(MAX(Reference!$A$6,MIN(Reference!$A$11,MIN($U157,270))),Reference!$A$6:$A$11,1))+1)-INDEX(Reference!$B$6:$B$11,MIN(5,MATCH(MAX(Reference!$A$6,MIN(Reference!$A$11,MIN($U157,270))),Reference!$A$6:$A$11,1))))/(INDEX(Reference!$A$6:$A$11,MIN(5,MATCH(MAX(Reference!$A$6,MIN(Reference!$A$11,MIN($U157,270))),Reference!$A$6:$A$11,1))+1)-INDEX(Reference!$A$6:$A$11,MIN(5,MATCH(MAX(Reference!$A$6,MIN(Reference!$A$11,MIN($U157,270))),Reference!$A$6:$A$11,1))))),0)+IF(8&lt;=$AL157,($AL157-8+3)*(INDEX(Reference!$B$6:$B$11,MIN(5,MATCH(MAX(Reference!$A$6,MIN(Reference!$A$11,MIN($U157,300))),Reference!$A$6:$A$11,1)))+(MAX(Reference!$A$6,MIN(Reference!$A$11,MIN($U157,300)))-INDEX(Reference!$A$6:$A$11,MIN(5,MATCH(MAX(Reference!$A$6,MIN(Reference!$A$11,MIN($U157,300))),Reference!$A$6:$A$11,1))))*(INDEX(Reference!$B$6:$B$11,MIN(5,MATCH(MAX(Reference!$A$6,MIN(Reference!$A$11,MIN($U157,300))),Reference!$A$6:$A$11,1))+1)-INDEX(Reference!$B$6:$B$11,MIN(5,MATCH(MAX(Reference!$A$6,MIN(Reference!$A$11,MIN($U157,300))),Reference!$A$6:$A$11,1))))/(INDEX(Reference!$A$6:$A$11,MIN(5,MATCH(MAX(Reference!$A$6,MIN(Reference!$A$11,MIN($U157,300))),Reference!$A$6:$A$11,1))+1)-INDEX(Reference!$A$6:$A$11,MIN(5,MATCH(MAX(Reference!$A$6,MIN(Reference!$A$11,MIN($U157,300))),Reference!$A$6:$A$11,1))))),0))/($AL157*($AL157+5)/2)),$AN157))</f>
        <v>0</v>
      </c>
      <c r="AN157" s="32">
        <f>IF($U157="",0,(INDEX(Reference!$B$6:$B$11,MIN(5,MATCH(MAX(Reference!$A$6,MIN(Reference!$A$11,$U157)),Reference!$A$6:$A$11,1)))+(MAX(Reference!$A$6,MIN(Reference!$A$11,$U157))-INDEX(Reference!$A$6:$A$11,MIN(5,MATCH(MAX(Reference!$A$6,MIN(Reference!$A$11,$U157)),Reference!$A$6:$A$11,1))))*(INDEX(Reference!$B$6:$B$11,MIN(5,MATCH(MAX(Reference!$A$6,MIN(Reference!$A$11,$U157)),Reference!$A$6:$A$11,1))+1)-INDEX(Reference!$B$6:$B$11,MIN(5,MATCH(MAX(Reference!$A$6,MIN(Reference!$A$11,$U157)),Reference!$A$6:$A$11,1))))/(INDEX(Reference!$A$6:$A$11,MIN(5,MATCH(MAX(Reference!$A$6,MIN(Reference!$A$11,$U157)),Reference!$A$6:$A$11,1))+1)-INDEX(Reference!$A$6:$A$11,MIN(5,MATCH(MAX(Reference!$A$6,MIN(Reference!$A$11,$U157)),Reference!$A$6:$A$11,1))))))</f>
        <v>0</v>
      </c>
      <c r="AO157" s="37"/>
      <c r="AP157" s="37"/>
      <c r="AQ157" s="37"/>
    </row>
    <row r="158" spans="1:43" x14ac:dyDescent="0.3">
      <c r="A158" s="48" t="str">
        <f t="shared" si="80"/>
        <v/>
      </c>
      <c r="B158" s="32" t="str">
        <f t="shared" si="81"/>
        <v/>
      </c>
      <c r="C158" s="32" t="str">
        <f t="shared" si="82"/>
        <v/>
      </c>
      <c r="D158" s="32" t="str">
        <f t="shared" si="83"/>
        <v/>
      </c>
      <c r="E158" s="32" t="str">
        <f t="shared" si="84"/>
        <v/>
      </c>
      <c r="F158" s="32" t="str">
        <f t="shared" si="85"/>
        <v/>
      </c>
      <c r="G158" s="47" t="str">
        <f t="shared" si="86"/>
        <v/>
      </c>
      <c r="H158" s="30" t="str">
        <f t="shared" si="87"/>
        <v/>
      </c>
      <c r="I158" s="46" t="str">
        <f>IF($A158="","",IF(AND($L158&lt;27,$K$12=0),"Building",IFERROR(((SUM($H$152:$H158)+$K$12*IF($L158&lt;6,SUMIFS('Throw Log'!$Q$5:$Q$300,'Throw Log'!$B$5:$B$300,$D$4,'Throw Log'!$A$5:$A$300,"&gt;="&amp;($D$6+$L158-6),'Throw Log'!$A$5:$A$300,"&lt;="&amp;($D$6-1)),0))/7)/((SUM($H$131:$H158)+$K$12*IF($L158&lt;27,SUMIFS('Throw Log'!$Q$5:$Q$300,'Throw Log'!$B$5:$B$300,$D$4,'Throw Log'!$A$5:$A$300,"&gt;="&amp;($D$6+$L158-27),'Throw Log'!$A$5:$A$300,"&lt;="&amp;($D$6-1)),0))/28),"")))</f>
        <v/>
      </c>
      <c r="J158" s="37"/>
      <c r="K158" s="37"/>
      <c r="L158" s="32">
        <v>115</v>
      </c>
      <c r="M158" s="32">
        <f t="shared" si="88"/>
        <v>17</v>
      </c>
      <c r="N158" s="32">
        <f t="shared" si="89"/>
        <v>3</v>
      </c>
      <c r="O158" s="32">
        <f t="shared" si="90"/>
        <v>1</v>
      </c>
      <c r="P158" s="32" t="str">
        <f>IF(OR($A158="",N($C158)&lt;=7),"",$G$6*$G$9^($M158-1)*IF(AND(MOD($M158,Reference!$B$99)=0,$M158&lt;=$G$5-2),Reference!$B$100,1))</f>
        <v/>
      </c>
      <c r="Q158" s="32" t="str">
        <f>IF($P158="","",IF(SUM($AK$155:$AK$161)=0,0,$P158*INDEX(Reference!$B$108:$B$114,$N158+1)/SUM($AK$155:$AK$161)))</f>
        <v/>
      </c>
      <c r="R158" s="32">
        <f t="shared" si="91"/>
        <v>120</v>
      </c>
      <c r="S158" s="32">
        <f t="shared" si="92"/>
        <v>105</v>
      </c>
      <c r="T158" s="32" t="str">
        <f>IF($A158="","",IF($C158=0,"Bullpen",IF(OR($C158=7,$C158=1,$C158=5),"Recovery/Easy Catch",IF($C158=6,"Compression/Pulldowns",IF(OR($C158=4,$C158=2),"Long Toss",IF($C158=3,"No Throw",IF($N158=2,"No Throw",IF($N158=6,IF($O158&lt;Reference!$B$104,"No Throw","Recovery/Easy Catch"),IF(OR($N158=0,$N158=4),"Recovery/Easy Catch",IF($N158=1,IF($R158&gt;75,"Long Toss","Recovery/Easy Catch"),IF($N158=3,IF($O158&lt;0.5,IF($S158&gt;75,"Long Toss","Recovery/Easy Catch"),"Compression/Pulldowns"),IF($S158&gt;75,"Long Toss","Recovery/Easy Catch"))))))))))))</f>
        <v/>
      </c>
      <c r="U158" s="32" t="str">
        <f t="shared" si="93"/>
        <v/>
      </c>
      <c r="V158" s="32" t="str">
        <f t="shared" si="94"/>
        <v/>
      </c>
      <c r="W158" s="32" t="str">
        <f t="shared" si="95"/>
        <v/>
      </c>
      <c r="X158" s="32">
        <f t="shared" si="96"/>
        <v>0</v>
      </c>
      <c r="Y158" s="32" t="str">
        <f t="shared" si="97"/>
        <v/>
      </c>
      <c r="Z158" s="32" t="str">
        <f t="shared" si="98"/>
        <v/>
      </c>
      <c r="AA158" s="32" t="str">
        <f t="shared" si="99"/>
        <v/>
      </c>
      <c r="AB158" s="32" t="str">
        <f>IF($A158="","",IF($T158="No Throw",0,IF($K158&lt;&gt;"",$K158,IF($AA158&lt;&gt;"",ROUND($AA158*$D$12*IF($C158=0,1,$G$10),0),MIN(IF($T158="Recovery/Easy Catch",Reference!$B$103,IF($T158="Long Toss",Reference!$B$106,Reference!$B$102)),MAX(Reference!$B$101,ROUND(MAX(0,$Q158-$AE158)/$AF158,0)))))))</f>
        <v/>
      </c>
      <c r="AC158" s="32">
        <f t="shared" si="100"/>
        <v>0</v>
      </c>
      <c r="AD158" s="32" t="b">
        <f t="shared" si="101"/>
        <v>1</v>
      </c>
      <c r="AE158" s="32">
        <f>IF($X158=0,0,$X158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158+$Z158)/2,0),Reference!$A$17:$B$20,2,TRUE()))</f>
        <v>0</v>
      </c>
      <c r="AF158" s="32">
        <f>IF(OR($A158="",$U158="",$T158="No Throw"),0,$AM158*VLOOKUP(MAX(($V158+$W158)/2,0),Reference!$A$17:$B$20,2,TRUE()))</f>
        <v>0</v>
      </c>
      <c r="AG158" s="32">
        <f>IF($AC158=0,0,$AC158*INDEX(Reference!$B$61:$B$62,MATCH("Bullpen",Reference!$A$61:$A$62,0))*VLOOKUP(MAX($D$5-($D$9+$E$9)/2,0),Reference!$A$17:$B$20,2,TRUE()))</f>
        <v>0</v>
      </c>
      <c r="AH158" s="32" t="e">
        <f t="shared" si="102"/>
        <v>#N/A</v>
      </c>
      <c r="AI158" s="32" t="e">
        <f>IF($A158="",NA(),Reference!$A$25)</f>
        <v>#N/A</v>
      </c>
      <c r="AJ158" s="32" t="e">
        <f t="shared" si="103"/>
        <v>#N/A</v>
      </c>
      <c r="AK158" s="32">
        <f>IF(OR($A158="",N($C158)&lt;=7,$T158="No Throw",$J158="x"),0,INDEX(Reference!$B$108:$B$114,$N158+1))</f>
        <v>0</v>
      </c>
      <c r="AL158" s="32">
        <f t="shared" si="104"/>
        <v>1</v>
      </c>
      <c r="AM158" s="32">
        <f>IF($U158="",0,IF($AL158&gt;1,((IF(1&lt;=$AL158,($AL158-1+3)*(INDEX(Reference!$B$6:$B$11,MIN(5,MATCH(MAX(Reference!$A$6,MIN(Reference!$A$11,MIN($U158,90))),Reference!$A$6:$A$11,1)))+(MAX(Reference!$A$6,MIN(Reference!$A$11,MIN($U158,90)))-INDEX(Reference!$A$6:$A$11,MIN(5,MATCH(MAX(Reference!$A$6,MIN(Reference!$A$11,MIN($U158,90))),Reference!$A$6:$A$11,1))))*(INDEX(Reference!$B$6:$B$11,MIN(5,MATCH(MAX(Reference!$A$6,MIN(Reference!$A$11,MIN($U158,90))),Reference!$A$6:$A$11,1))+1)-INDEX(Reference!$B$6:$B$11,MIN(5,MATCH(MAX(Reference!$A$6,MIN(Reference!$A$11,MIN($U158,90))),Reference!$A$6:$A$11,1))))/(INDEX(Reference!$A$6:$A$11,MIN(5,MATCH(MAX(Reference!$A$6,MIN(Reference!$A$11,MIN($U158,90))),Reference!$A$6:$A$11,1))+1)-INDEX(Reference!$A$6:$A$11,MIN(5,MATCH(MAX(Reference!$A$6,MIN(Reference!$A$11,MIN($U158,90))),Reference!$A$6:$A$11,1))))),0)+IF(2&lt;=$AL158,($AL158-2+3)*(INDEX(Reference!$B$6:$B$11,MIN(5,MATCH(MAX(Reference!$A$6,MIN(Reference!$A$11,MIN($U158,120))),Reference!$A$6:$A$11,1)))+(MAX(Reference!$A$6,MIN(Reference!$A$11,MIN($U158,120)))-INDEX(Reference!$A$6:$A$11,MIN(5,MATCH(MAX(Reference!$A$6,MIN(Reference!$A$11,MIN($U158,120))),Reference!$A$6:$A$11,1))))*(INDEX(Reference!$B$6:$B$11,MIN(5,MATCH(MAX(Reference!$A$6,MIN(Reference!$A$11,MIN($U158,120))),Reference!$A$6:$A$11,1))+1)-INDEX(Reference!$B$6:$B$11,MIN(5,MATCH(MAX(Reference!$A$6,MIN(Reference!$A$11,MIN($U158,120))),Reference!$A$6:$A$11,1))))/(INDEX(Reference!$A$6:$A$11,MIN(5,MATCH(MAX(Reference!$A$6,MIN(Reference!$A$11,MIN($U158,120))),Reference!$A$6:$A$11,1))+1)-INDEX(Reference!$A$6:$A$11,MIN(5,MATCH(MAX(Reference!$A$6,MIN(Reference!$A$11,MIN($U158,120))),Reference!$A$6:$A$11,1))))),0)+IF(3&lt;=$AL158,($AL158-3+3)*(INDEX(Reference!$B$6:$B$11,MIN(5,MATCH(MAX(Reference!$A$6,MIN(Reference!$A$11,MIN($U158,150))),Reference!$A$6:$A$11,1)))+(MAX(Reference!$A$6,MIN(Reference!$A$11,MIN($U158,150)))-INDEX(Reference!$A$6:$A$11,MIN(5,MATCH(MAX(Reference!$A$6,MIN(Reference!$A$11,MIN($U158,150))),Reference!$A$6:$A$11,1))))*(INDEX(Reference!$B$6:$B$11,MIN(5,MATCH(MAX(Reference!$A$6,MIN(Reference!$A$11,MIN($U158,150))),Reference!$A$6:$A$11,1))+1)-INDEX(Reference!$B$6:$B$11,MIN(5,MATCH(MAX(Reference!$A$6,MIN(Reference!$A$11,MIN($U158,150))),Reference!$A$6:$A$11,1))))/(INDEX(Reference!$A$6:$A$11,MIN(5,MATCH(MAX(Reference!$A$6,MIN(Reference!$A$11,MIN($U158,150))),Reference!$A$6:$A$11,1))+1)-INDEX(Reference!$A$6:$A$11,MIN(5,MATCH(MAX(Reference!$A$6,MIN(Reference!$A$11,MIN($U158,150))),Reference!$A$6:$A$11,1))))),0)+IF(4&lt;=$AL158,($AL158-4+3)*(INDEX(Reference!$B$6:$B$11,MIN(5,MATCH(MAX(Reference!$A$6,MIN(Reference!$A$11,MIN($U158,180))),Reference!$A$6:$A$11,1)))+(MAX(Reference!$A$6,MIN(Reference!$A$11,MIN($U158,180)))-INDEX(Reference!$A$6:$A$11,MIN(5,MATCH(MAX(Reference!$A$6,MIN(Reference!$A$11,MIN($U158,180))),Reference!$A$6:$A$11,1))))*(INDEX(Reference!$B$6:$B$11,MIN(5,MATCH(MAX(Reference!$A$6,MIN(Reference!$A$11,MIN($U158,180))),Reference!$A$6:$A$11,1))+1)-INDEX(Reference!$B$6:$B$11,MIN(5,MATCH(MAX(Reference!$A$6,MIN(Reference!$A$11,MIN($U158,180))),Reference!$A$6:$A$11,1))))/(INDEX(Reference!$A$6:$A$11,MIN(5,MATCH(MAX(Reference!$A$6,MIN(Reference!$A$11,MIN($U158,180))),Reference!$A$6:$A$11,1))+1)-INDEX(Reference!$A$6:$A$11,MIN(5,MATCH(MAX(Reference!$A$6,MIN(Reference!$A$11,MIN($U158,180))),Reference!$A$6:$A$11,1))))),0)+IF(5&lt;=$AL158,($AL158-5+3)*(INDEX(Reference!$B$6:$B$11,MIN(5,MATCH(MAX(Reference!$A$6,MIN(Reference!$A$11,MIN($U158,210))),Reference!$A$6:$A$11,1)))+(MAX(Reference!$A$6,MIN(Reference!$A$11,MIN($U158,210)))-INDEX(Reference!$A$6:$A$11,MIN(5,MATCH(MAX(Reference!$A$6,MIN(Reference!$A$11,MIN($U158,210))),Reference!$A$6:$A$11,1))))*(INDEX(Reference!$B$6:$B$11,MIN(5,MATCH(MAX(Reference!$A$6,MIN(Reference!$A$11,MIN($U158,210))),Reference!$A$6:$A$11,1))+1)-INDEX(Reference!$B$6:$B$11,MIN(5,MATCH(MAX(Reference!$A$6,MIN(Reference!$A$11,MIN($U158,210))),Reference!$A$6:$A$11,1))))/(INDEX(Reference!$A$6:$A$11,MIN(5,MATCH(MAX(Reference!$A$6,MIN(Reference!$A$11,MIN($U158,210))),Reference!$A$6:$A$11,1))+1)-INDEX(Reference!$A$6:$A$11,MIN(5,MATCH(MAX(Reference!$A$6,MIN(Reference!$A$11,MIN($U158,210))),Reference!$A$6:$A$11,1))))),0)+IF(6&lt;=$AL158,($AL158-6+3)*(INDEX(Reference!$B$6:$B$11,MIN(5,MATCH(MAX(Reference!$A$6,MIN(Reference!$A$11,MIN($U158,240))),Reference!$A$6:$A$11,1)))+(MAX(Reference!$A$6,MIN(Reference!$A$11,MIN($U158,240)))-INDEX(Reference!$A$6:$A$11,MIN(5,MATCH(MAX(Reference!$A$6,MIN(Reference!$A$11,MIN($U158,240))),Reference!$A$6:$A$11,1))))*(INDEX(Reference!$B$6:$B$11,MIN(5,MATCH(MAX(Reference!$A$6,MIN(Reference!$A$11,MIN($U158,240))),Reference!$A$6:$A$11,1))+1)-INDEX(Reference!$B$6:$B$11,MIN(5,MATCH(MAX(Reference!$A$6,MIN(Reference!$A$11,MIN($U158,240))),Reference!$A$6:$A$11,1))))/(INDEX(Reference!$A$6:$A$11,MIN(5,MATCH(MAX(Reference!$A$6,MIN(Reference!$A$11,MIN($U158,240))),Reference!$A$6:$A$11,1))+1)-INDEX(Reference!$A$6:$A$11,MIN(5,MATCH(MAX(Reference!$A$6,MIN(Reference!$A$11,MIN($U158,240))),Reference!$A$6:$A$11,1))))),0)+IF(7&lt;=$AL158,($AL158-7+3)*(INDEX(Reference!$B$6:$B$11,MIN(5,MATCH(MAX(Reference!$A$6,MIN(Reference!$A$11,MIN($U158,270))),Reference!$A$6:$A$11,1)))+(MAX(Reference!$A$6,MIN(Reference!$A$11,MIN($U158,270)))-INDEX(Reference!$A$6:$A$11,MIN(5,MATCH(MAX(Reference!$A$6,MIN(Reference!$A$11,MIN($U158,270))),Reference!$A$6:$A$11,1))))*(INDEX(Reference!$B$6:$B$11,MIN(5,MATCH(MAX(Reference!$A$6,MIN(Reference!$A$11,MIN($U158,270))),Reference!$A$6:$A$11,1))+1)-INDEX(Reference!$B$6:$B$11,MIN(5,MATCH(MAX(Reference!$A$6,MIN(Reference!$A$11,MIN($U158,270))),Reference!$A$6:$A$11,1))))/(INDEX(Reference!$A$6:$A$11,MIN(5,MATCH(MAX(Reference!$A$6,MIN(Reference!$A$11,MIN($U158,270))),Reference!$A$6:$A$11,1))+1)-INDEX(Reference!$A$6:$A$11,MIN(5,MATCH(MAX(Reference!$A$6,MIN(Reference!$A$11,MIN($U158,270))),Reference!$A$6:$A$11,1))))),0)+IF(8&lt;=$AL158,($AL158-8+3)*(INDEX(Reference!$B$6:$B$11,MIN(5,MATCH(MAX(Reference!$A$6,MIN(Reference!$A$11,MIN($U158,300))),Reference!$A$6:$A$11,1)))+(MAX(Reference!$A$6,MIN(Reference!$A$11,MIN($U158,300)))-INDEX(Reference!$A$6:$A$11,MIN(5,MATCH(MAX(Reference!$A$6,MIN(Reference!$A$11,MIN($U158,300))),Reference!$A$6:$A$11,1))))*(INDEX(Reference!$B$6:$B$11,MIN(5,MATCH(MAX(Reference!$A$6,MIN(Reference!$A$11,MIN($U158,300))),Reference!$A$6:$A$11,1))+1)-INDEX(Reference!$B$6:$B$11,MIN(5,MATCH(MAX(Reference!$A$6,MIN(Reference!$A$11,MIN($U158,300))),Reference!$A$6:$A$11,1))))/(INDEX(Reference!$A$6:$A$11,MIN(5,MATCH(MAX(Reference!$A$6,MIN(Reference!$A$11,MIN($U158,300))),Reference!$A$6:$A$11,1))+1)-INDEX(Reference!$A$6:$A$11,MIN(5,MATCH(MAX(Reference!$A$6,MIN(Reference!$A$11,MIN($U158,300))),Reference!$A$6:$A$11,1))))),0))/($AL158*($AL158+5)/2)),$AN158))</f>
        <v>0</v>
      </c>
      <c r="AN158" s="32">
        <f>IF($U158="",0,(INDEX(Reference!$B$6:$B$11,MIN(5,MATCH(MAX(Reference!$A$6,MIN(Reference!$A$11,$U158)),Reference!$A$6:$A$11,1)))+(MAX(Reference!$A$6,MIN(Reference!$A$11,$U158))-INDEX(Reference!$A$6:$A$11,MIN(5,MATCH(MAX(Reference!$A$6,MIN(Reference!$A$11,$U158)),Reference!$A$6:$A$11,1))))*(INDEX(Reference!$B$6:$B$11,MIN(5,MATCH(MAX(Reference!$A$6,MIN(Reference!$A$11,$U158)),Reference!$A$6:$A$11,1))+1)-INDEX(Reference!$B$6:$B$11,MIN(5,MATCH(MAX(Reference!$A$6,MIN(Reference!$A$11,$U158)),Reference!$A$6:$A$11,1))))/(INDEX(Reference!$A$6:$A$11,MIN(5,MATCH(MAX(Reference!$A$6,MIN(Reference!$A$11,$U158)),Reference!$A$6:$A$11,1))+1)-INDEX(Reference!$A$6:$A$11,MIN(5,MATCH(MAX(Reference!$A$6,MIN(Reference!$A$11,$U158)),Reference!$A$6:$A$11,1))))))</f>
        <v>0</v>
      </c>
      <c r="AO158" s="37"/>
      <c r="AP158" s="37"/>
      <c r="AQ158" s="37"/>
    </row>
    <row r="159" spans="1:43" x14ac:dyDescent="0.3">
      <c r="A159" s="48" t="str">
        <f t="shared" si="80"/>
        <v/>
      </c>
      <c r="B159" s="32" t="str">
        <f t="shared" si="81"/>
        <v/>
      </c>
      <c r="C159" s="32" t="str">
        <f t="shared" si="82"/>
        <v/>
      </c>
      <c r="D159" s="32" t="str">
        <f t="shared" si="83"/>
        <v/>
      </c>
      <c r="E159" s="32" t="str">
        <f t="shared" si="84"/>
        <v/>
      </c>
      <c r="F159" s="32" t="str">
        <f t="shared" si="85"/>
        <v/>
      </c>
      <c r="G159" s="47" t="str">
        <f t="shared" si="86"/>
        <v/>
      </c>
      <c r="H159" s="30" t="str">
        <f t="shared" si="87"/>
        <v/>
      </c>
      <c r="I159" s="46" t="str">
        <f>IF($A159="","",IF(AND($L159&lt;27,$K$12=0),"Building",IFERROR(((SUM($H$153:$H159)+$K$12*IF($L159&lt;6,SUMIFS('Throw Log'!$Q$5:$Q$300,'Throw Log'!$B$5:$B$300,$D$4,'Throw Log'!$A$5:$A$300,"&gt;="&amp;($D$6+$L159-6),'Throw Log'!$A$5:$A$300,"&lt;="&amp;($D$6-1)),0))/7)/((SUM($H$132:$H159)+$K$12*IF($L159&lt;27,SUMIFS('Throw Log'!$Q$5:$Q$300,'Throw Log'!$B$5:$B$300,$D$4,'Throw Log'!$A$5:$A$300,"&gt;="&amp;($D$6+$L159-27),'Throw Log'!$A$5:$A$300,"&lt;="&amp;($D$6-1)),0))/28),"")))</f>
        <v/>
      </c>
      <c r="J159" s="37"/>
      <c r="K159" s="37"/>
      <c r="L159" s="32">
        <v>116</v>
      </c>
      <c r="M159" s="32">
        <f t="shared" si="88"/>
        <v>17</v>
      </c>
      <c r="N159" s="32">
        <f t="shared" si="89"/>
        <v>4</v>
      </c>
      <c r="O159" s="32">
        <f t="shared" si="90"/>
        <v>1</v>
      </c>
      <c r="P159" s="32" t="str">
        <f>IF(OR($A159="",N($C159)&lt;=7),"",$G$6*$G$9^($M159-1)*IF(AND(MOD($M159,Reference!$B$99)=0,$M159&lt;=$G$5-2),Reference!$B$100,1))</f>
        <v/>
      </c>
      <c r="Q159" s="32" t="str">
        <f>IF($P159="","",IF(SUM($AK$155:$AK$161)=0,0,$P159*INDEX(Reference!$B$108:$B$114,$N159+1)/SUM($AK$155:$AK$161)))</f>
        <v/>
      </c>
      <c r="R159" s="32">
        <f t="shared" si="91"/>
        <v>120</v>
      </c>
      <c r="S159" s="32">
        <f t="shared" si="92"/>
        <v>105</v>
      </c>
      <c r="T159" s="32" t="str">
        <f>IF($A159="","",IF($C159=0,"Bullpen",IF(OR($C159=7,$C159=1,$C159=5),"Recovery/Easy Catch",IF($C159=6,"Compression/Pulldowns",IF(OR($C159=4,$C159=2),"Long Toss",IF($C159=3,"No Throw",IF($N159=2,"No Throw",IF($N159=6,IF($O159&lt;Reference!$B$104,"No Throw","Recovery/Easy Catch"),IF(OR($N159=0,$N159=4),"Recovery/Easy Catch",IF($N159=1,IF($R159&gt;75,"Long Toss","Recovery/Easy Catch"),IF($N159=3,IF($O159&lt;0.5,IF($S159&gt;75,"Long Toss","Recovery/Easy Catch"),"Compression/Pulldowns"),IF($S159&gt;75,"Long Toss","Recovery/Easy Catch"))))))))))))</f>
        <v/>
      </c>
      <c r="U159" s="32" t="str">
        <f t="shared" si="93"/>
        <v/>
      </c>
      <c r="V159" s="32" t="str">
        <f t="shared" si="94"/>
        <v/>
      </c>
      <c r="W159" s="32" t="str">
        <f t="shared" si="95"/>
        <v/>
      </c>
      <c r="X159" s="32">
        <f t="shared" si="96"/>
        <v>0</v>
      </c>
      <c r="Y159" s="32" t="str">
        <f t="shared" si="97"/>
        <v/>
      </c>
      <c r="Z159" s="32" t="str">
        <f t="shared" si="98"/>
        <v/>
      </c>
      <c r="AA159" s="32" t="str">
        <f t="shared" si="99"/>
        <v/>
      </c>
      <c r="AB159" s="32" t="str">
        <f>IF($A159="","",IF($T159="No Throw",0,IF($K159&lt;&gt;"",$K159,IF($AA159&lt;&gt;"",ROUND($AA159*$D$12*IF($C159=0,1,$G$10),0),MIN(IF($T159="Recovery/Easy Catch",Reference!$B$103,IF($T159="Long Toss",Reference!$B$106,Reference!$B$102)),MAX(Reference!$B$101,ROUND(MAX(0,$Q159-$AE159)/$AF159,0)))))))</f>
        <v/>
      </c>
      <c r="AC159" s="32">
        <f t="shared" si="100"/>
        <v>0</v>
      </c>
      <c r="AD159" s="32" t="b">
        <f t="shared" si="101"/>
        <v>1</v>
      </c>
      <c r="AE159" s="32">
        <f>IF($X159=0,0,$X159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159+$Z159)/2,0),Reference!$A$17:$B$20,2,TRUE()))</f>
        <v>0</v>
      </c>
      <c r="AF159" s="32">
        <f>IF(OR($A159="",$U159="",$T159="No Throw"),0,$AM159*VLOOKUP(MAX(($V159+$W159)/2,0),Reference!$A$17:$B$20,2,TRUE()))</f>
        <v>0</v>
      </c>
      <c r="AG159" s="32">
        <f>IF($AC159=0,0,$AC159*INDEX(Reference!$B$61:$B$62,MATCH("Bullpen",Reference!$A$61:$A$62,0))*VLOOKUP(MAX($D$5-($D$9+$E$9)/2,0),Reference!$A$17:$B$20,2,TRUE()))</f>
        <v>0</v>
      </c>
      <c r="AH159" s="32" t="e">
        <f t="shared" si="102"/>
        <v>#N/A</v>
      </c>
      <c r="AI159" s="32" t="e">
        <f>IF($A159="",NA(),Reference!$A$25)</f>
        <v>#N/A</v>
      </c>
      <c r="AJ159" s="32" t="e">
        <f t="shared" si="103"/>
        <v>#N/A</v>
      </c>
      <c r="AK159" s="32">
        <f>IF(OR($A159="",N($C159)&lt;=7,$T159="No Throw",$J159="x"),0,INDEX(Reference!$B$108:$B$114,$N159+1))</f>
        <v>0</v>
      </c>
      <c r="AL159" s="32">
        <f t="shared" si="104"/>
        <v>1</v>
      </c>
      <c r="AM159" s="32">
        <f>IF($U159="",0,IF($AL159&gt;1,((IF(1&lt;=$AL159,($AL159-1+3)*(INDEX(Reference!$B$6:$B$11,MIN(5,MATCH(MAX(Reference!$A$6,MIN(Reference!$A$11,MIN($U159,90))),Reference!$A$6:$A$11,1)))+(MAX(Reference!$A$6,MIN(Reference!$A$11,MIN($U159,90)))-INDEX(Reference!$A$6:$A$11,MIN(5,MATCH(MAX(Reference!$A$6,MIN(Reference!$A$11,MIN($U159,90))),Reference!$A$6:$A$11,1))))*(INDEX(Reference!$B$6:$B$11,MIN(5,MATCH(MAX(Reference!$A$6,MIN(Reference!$A$11,MIN($U159,90))),Reference!$A$6:$A$11,1))+1)-INDEX(Reference!$B$6:$B$11,MIN(5,MATCH(MAX(Reference!$A$6,MIN(Reference!$A$11,MIN($U159,90))),Reference!$A$6:$A$11,1))))/(INDEX(Reference!$A$6:$A$11,MIN(5,MATCH(MAX(Reference!$A$6,MIN(Reference!$A$11,MIN($U159,90))),Reference!$A$6:$A$11,1))+1)-INDEX(Reference!$A$6:$A$11,MIN(5,MATCH(MAX(Reference!$A$6,MIN(Reference!$A$11,MIN($U159,90))),Reference!$A$6:$A$11,1))))),0)+IF(2&lt;=$AL159,($AL159-2+3)*(INDEX(Reference!$B$6:$B$11,MIN(5,MATCH(MAX(Reference!$A$6,MIN(Reference!$A$11,MIN($U159,120))),Reference!$A$6:$A$11,1)))+(MAX(Reference!$A$6,MIN(Reference!$A$11,MIN($U159,120)))-INDEX(Reference!$A$6:$A$11,MIN(5,MATCH(MAX(Reference!$A$6,MIN(Reference!$A$11,MIN($U159,120))),Reference!$A$6:$A$11,1))))*(INDEX(Reference!$B$6:$B$11,MIN(5,MATCH(MAX(Reference!$A$6,MIN(Reference!$A$11,MIN($U159,120))),Reference!$A$6:$A$11,1))+1)-INDEX(Reference!$B$6:$B$11,MIN(5,MATCH(MAX(Reference!$A$6,MIN(Reference!$A$11,MIN($U159,120))),Reference!$A$6:$A$11,1))))/(INDEX(Reference!$A$6:$A$11,MIN(5,MATCH(MAX(Reference!$A$6,MIN(Reference!$A$11,MIN($U159,120))),Reference!$A$6:$A$11,1))+1)-INDEX(Reference!$A$6:$A$11,MIN(5,MATCH(MAX(Reference!$A$6,MIN(Reference!$A$11,MIN($U159,120))),Reference!$A$6:$A$11,1))))),0)+IF(3&lt;=$AL159,($AL159-3+3)*(INDEX(Reference!$B$6:$B$11,MIN(5,MATCH(MAX(Reference!$A$6,MIN(Reference!$A$11,MIN($U159,150))),Reference!$A$6:$A$11,1)))+(MAX(Reference!$A$6,MIN(Reference!$A$11,MIN($U159,150)))-INDEX(Reference!$A$6:$A$11,MIN(5,MATCH(MAX(Reference!$A$6,MIN(Reference!$A$11,MIN($U159,150))),Reference!$A$6:$A$11,1))))*(INDEX(Reference!$B$6:$B$11,MIN(5,MATCH(MAX(Reference!$A$6,MIN(Reference!$A$11,MIN($U159,150))),Reference!$A$6:$A$11,1))+1)-INDEX(Reference!$B$6:$B$11,MIN(5,MATCH(MAX(Reference!$A$6,MIN(Reference!$A$11,MIN($U159,150))),Reference!$A$6:$A$11,1))))/(INDEX(Reference!$A$6:$A$11,MIN(5,MATCH(MAX(Reference!$A$6,MIN(Reference!$A$11,MIN($U159,150))),Reference!$A$6:$A$11,1))+1)-INDEX(Reference!$A$6:$A$11,MIN(5,MATCH(MAX(Reference!$A$6,MIN(Reference!$A$11,MIN($U159,150))),Reference!$A$6:$A$11,1))))),0)+IF(4&lt;=$AL159,($AL159-4+3)*(INDEX(Reference!$B$6:$B$11,MIN(5,MATCH(MAX(Reference!$A$6,MIN(Reference!$A$11,MIN($U159,180))),Reference!$A$6:$A$11,1)))+(MAX(Reference!$A$6,MIN(Reference!$A$11,MIN($U159,180)))-INDEX(Reference!$A$6:$A$11,MIN(5,MATCH(MAX(Reference!$A$6,MIN(Reference!$A$11,MIN($U159,180))),Reference!$A$6:$A$11,1))))*(INDEX(Reference!$B$6:$B$11,MIN(5,MATCH(MAX(Reference!$A$6,MIN(Reference!$A$11,MIN($U159,180))),Reference!$A$6:$A$11,1))+1)-INDEX(Reference!$B$6:$B$11,MIN(5,MATCH(MAX(Reference!$A$6,MIN(Reference!$A$11,MIN($U159,180))),Reference!$A$6:$A$11,1))))/(INDEX(Reference!$A$6:$A$11,MIN(5,MATCH(MAX(Reference!$A$6,MIN(Reference!$A$11,MIN($U159,180))),Reference!$A$6:$A$11,1))+1)-INDEX(Reference!$A$6:$A$11,MIN(5,MATCH(MAX(Reference!$A$6,MIN(Reference!$A$11,MIN($U159,180))),Reference!$A$6:$A$11,1))))),0)+IF(5&lt;=$AL159,($AL159-5+3)*(INDEX(Reference!$B$6:$B$11,MIN(5,MATCH(MAX(Reference!$A$6,MIN(Reference!$A$11,MIN($U159,210))),Reference!$A$6:$A$11,1)))+(MAX(Reference!$A$6,MIN(Reference!$A$11,MIN($U159,210)))-INDEX(Reference!$A$6:$A$11,MIN(5,MATCH(MAX(Reference!$A$6,MIN(Reference!$A$11,MIN($U159,210))),Reference!$A$6:$A$11,1))))*(INDEX(Reference!$B$6:$B$11,MIN(5,MATCH(MAX(Reference!$A$6,MIN(Reference!$A$11,MIN($U159,210))),Reference!$A$6:$A$11,1))+1)-INDEX(Reference!$B$6:$B$11,MIN(5,MATCH(MAX(Reference!$A$6,MIN(Reference!$A$11,MIN($U159,210))),Reference!$A$6:$A$11,1))))/(INDEX(Reference!$A$6:$A$11,MIN(5,MATCH(MAX(Reference!$A$6,MIN(Reference!$A$11,MIN($U159,210))),Reference!$A$6:$A$11,1))+1)-INDEX(Reference!$A$6:$A$11,MIN(5,MATCH(MAX(Reference!$A$6,MIN(Reference!$A$11,MIN($U159,210))),Reference!$A$6:$A$11,1))))),0)+IF(6&lt;=$AL159,($AL159-6+3)*(INDEX(Reference!$B$6:$B$11,MIN(5,MATCH(MAX(Reference!$A$6,MIN(Reference!$A$11,MIN($U159,240))),Reference!$A$6:$A$11,1)))+(MAX(Reference!$A$6,MIN(Reference!$A$11,MIN($U159,240)))-INDEX(Reference!$A$6:$A$11,MIN(5,MATCH(MAX(Reference!$A$6,MIN(Reference!$A$11,MIN($U159,240))),Reference!$A$6:$A$11,1))))*(INDEX(Reference!$B$6:$B$11,MIN(5,MATCH(MAX(Reference!$A$6,MIN(Reference!$A$11,MIN($U159,240))),Reference!$A$6:$A$11,1))+1)-INDEX(Reference!$B$6:$B$11,MIN(5,MATCH(MAX(Reference!$A$6,MIN(Reference!$A$11,MIN($U159,240))),Reference!$A$6:$A$11,1))))/(INDEX(Reference!$A$6:$A$11,MIN(5,MATCH(MAX(Reference!$A$6,MIN(Reference!$A$11,MIN($U159,240))),Reference!$A$6:$A$11,1))+1)-INDEX(Reference!$A$6:$A$11,MIN(5,MATCH(MAX(Reference!$A$6,MIN(Reference!$A$11,MIN($U159,240))),Reference!$A$6:$A$11,1))))),0)+IF(7&lt;=$AL159,($AL159-7+3)*(INDEX(Reference!$B$6:$B$11,MIN(5,MATCH(MAX(Reference!$A$6,MIN(Reference!$A$11,MIN($U159,270))),Reference!$A$6:$A$11,1)))+(MAX(Reference!$A$6,MIN(Reference!$A$11,MIN($U159,270)))-INDEX(Reference!$A$6:$A$11,MIN(5,MATCH(MAX(Reference!$A$6,MIN(Reference!$A$11,MIN($U159,270))),Reference!$A$6:$A$11,1))))*(INDEX(Reference!$B$6:$B$11,MIN(5,MATCH(MAX(Reference!$A$6,MIN(Reference!$A$11,MIN($U159,270))),Reference!$A$6:$A$11,1))+1)-INDEX(Reference!$B$6:$B$11,MIN(5,MATCH(MAX(Reference!$A$6,MIN(Reference!$A$11,MIN($U159,270))),Reference!$A$6:$A$11,1))))/(INDEX(Reference!$A$6:$A$11,MIN(5,MATCH(MAX(Reference!$A$6,MIN(Reference!$A$11,MIN($U159,270))),Reference!$A$6:$A$11,1))+1)-INDEX(Reference!$A$6:$A$11,MIN(5,MATCH(MAX(Reference!$A$6,MIN(Reference!$A$11,MIN($U159,270))),Reference!$A$6:$A$11,1))))),0)+IF(8&lt;=$AL159,($AL159-8+3)*(INDEX(Reference!$B$6:$B$11,MIN(5,MATCH(MAX(Reference!$A$6,MIN(Reference!$A$11,MIN($U159,300))),Reference!$A$6:$A$11,1)))+(MAX(Reference!$A$6,MIN(Reference!$A$11,MIN($U159,300)))-INDEX(Reference!$A$6:$A$11,MIN(5,MATCH(MAX(Reference!$A$6,MIN(Reference!$A$11,MIN($U159,300))),Reference!$A$6:$A$11,1))))*(INDEX(Reference!$B$6:$B$11,MIN(5,MATCH(MAX(Reference!$A$6,MIN(Reference!$A$11,MIN($U159,300))),Reference!$A$6:$A$11,1))+1)-INDEX(Reference!$B$6:$B$11,MIN(5,MATCH(MAX(Reference!$A$6,MIN(Reference!$A$11,MIN($U159,300))),Reference!$A$6:$A$11,1))))/(INDEX(Reference!$A$6:$A$11,MIN(5,MATCH(MAX(Reference!$A$6,MIN(Reference!$A$11,MIN($U159,300))),Reference!$A$6:$A$11,1))+1)-INDEX(Reference!$A$6:$A$11,MIN(5,MATCH(MAX(Reference!$A$6,MIN(Reference!$A$11,MIN($U159,300))),Reference!$A$6:$A$11,1))))),0))/($AL159*($AL159+5)/2)),$AN159))</f>
        <v>0</v>
      </c>
      <c r="AN159" s="32">
        <f>IF($U159="",0,(INDEX(Reference!$B$6:$B$11,MIN(5,MATCH(MAX(Reference!$A$6,MIN(Reference!$A$11,$U159)),Reference!$A$6:$A$11,1)))+(MAX(Reference!$A$6,MIN(Reference!$A$11,$U159))-INDEX(Reference!$A$6:$A$11,MIN(5,MATCH(MAX(Reference!$A$6,MIN(Reference!$A$11,$U159)),Reference!$A$6:$A$11,1))))*(INDEX(Reference!$B$6:$B$11,MIN(5,MATCH(MAX(Reference!$A$6,MIN(Reference!$A$11,$U159)),Reference!$A$6:$A$11,1))+1)-INDEX(Reference!$B$6:$B$11,MIN(5,MATCH(MAX(Reference!$A$6,MIN(Reference!$A$11,$U159)),Reference!$A$6:$A$11,1))))/(INDEX(Reference!$A$6:$A$11,MIN(5,MATCH(MAX(Reference!$A$6,MIN(Reference!$A$11,$U159)),Reference!$A$6:$A$11,1))+1)-INDEX(Reference!$A$6:$A$11,MIN(5,MATCH(MAX(Reference!$A$6,MIN(Reference!$A$11,$U159)),Reference!$A$6:$A$11,1))))))</f>
        <v>0</v>
      </c>
      <c r="AO159" s="37"/>
      <c r="AP159" s="37"/>
      <c r="AQ159" s="37"/>
    </row>
    <row r="160" spans="1:43" x14ac:dyDescent="0.3">
      <c r="A160" s="48" t="str">
        <f t="shared" si="80"/>
        <v/>
      </c>
      <c r="B160" s="32" t="str">
        <f t="shared" si="81"/>
        <v/>
      </c>
      <c r="C160" s="32" t="str">
        <f t="shared" si="82"/>
        <v/>
      </c>
      <c r="D160" s="32" t="str">
        <f t="shared" si="83"/>
        <v/>
      </c>
      <c r="E160" s="32" t="str">
        <f t="shared" si="84"/>
        <v/>
      </c>
      <c r="F160" s="32" t="str">
        <f t="shared" si="85"/>
        <v/>
      </c>
      <c r="G160" s="47" t="str">
        <f t="shared" si="86"/>
        <v/>
      </c>
      <c r="H160" s="30" t="str">
        <f t="shared" si="87"/>
        <v/>
      </c>
      <c r="I160" s="46" t="str">
        <f>IF($A160="","",IF(AND($L160&lt;27,$K$12=0),"Building",IFERROR(((SUM($H$154:$H160)+$K$12*IF($L160&lt;6,SUMIFS('Throw Log'!$Q$5:$Q$300,'Throw Log'!$B$5:$B$300,$D$4,'Throw Log'!$A$5:$A$300,"&gt;="&amp;($D$6+$L160-6),'Throw Log'!$A$5:$A$300,"&lt;="&amp;($D$6-1)),0))/7)/((SUM($H$133:$H160)+$K$12*IF($L160&lt;27,SUMIFS('Throw Log'!$Q$5:$Q$300,'Throw Log'!$B$5:$B$300,$D$4,'Throw Log'!$A$5:$A$300,"&gt;="&amp;($D$6+$L160-27),'Throw Log'!$A$5:$A$300,"&lt;="&amp;($D$6-1)),0))/28),"")))</f>
        <v/>
      </c>
      <c r="J160" s="37"/>
      <c r="K160" s="37"/>
      <c r="L160" s="32">
        <v>117</v>
      </c>
      <c r="M160" s="32">
        <f t="shared" si="88"/>
        <v>17</v>
      </c>
      <c r="N160" s="32">
        <f t="shared" si="89"/>
        <v>5</v>
      </c>
      <c r="O160" s="32">
        <f t="shared" si="90"/>
        <v>1</v>
      </c>
      <c r="P160" s="32" t="str">
        <f>IF(OR($A160="",N($C160)&lt;=7),"",$G$6*$G$9^($M160-1)*IF(AND(MOD($M160,Reference!$B$99)=0,$M160&lt;=$G$5-2),Reference!$B$100,1))</f>
        <v/>
      </c>
      <c r="Q160" s="32" t="str">
        <f>IF($P160="","",IF(SUM($AK$155:$AK$161)=0,0,$P160*INDEX(Reference!$B$108:$B$114,$N160+1)/SUM($AK$155:$AK$161)))</f>
        <v/>
      </c>
      <c r="R160" s="32">
        <f t="shared" si="91"/>
        <v>120</v>
      </c>
      <c r="S160" s="32">
        <f t="shared" si="92"/>
        <v>105</v>
      </c>
      <c r="T160" s="32" t="str">
        <f>IF($A160="","",IF($C160=0,"Bullpen",IF(OR($C160=7,$C160=1,$C160=5),"Recovery/Easy Catch",IF($C160=6,"Compression/Pulldowns",IF(OR($C160=4,$C160=2),"Long Toss",IF($C160=3,"No Throw",IF($N160=2,"No Throw",IF($N160=6,IF($O160&lt;Reference!$B$104,"No Throw","Recovery/Easy Catch"),IF(OR($N160=0,$N160=4),"Recovery/Easy Catch",IF($N160=1,IF($R160&gt;75,"Long Toss","Recovery/Easy Catch"),IF($N160=3,IF($O160&lt;0.5,IF($S160&gt;75,"Long Toss","Recovery/Easy Catch"),"Compression/Pulldowns"),IF($S160&gt;75,"Long Toss","Recovery/Easy Catch"))))))))))))</f>
        <v/>
      </c>
      <c r="U160" s="32" t="str">
        <f t="shared" si="93"/>
        <v/>
      </c>
      <c r="V160" s="32" t="str">
        <f t="shared" si="94"/>
        <v/>
      </c>
      <c r="W160" s="32" t="str">
        <f t="shared" si="95"/>
        <v/>
      </c>
      <c r="X160" s="32">
        <f t="shared" si="96"/>
        <v>0</v>
      </c>
      <c r="Y160" s="32" t="str">
        <f t="shared" si="97"/>
        <v/>
      </c>
      <c r="Z160" s="32" t="str">
        <f t="shared" si="98"/>
        <v/>
      </c>
      <c r="AA160" s="32" t="str">
        <f t="shared" si="99"/>
        <v/>
      </c>
      <c r="AB160" s="32" t="str">
        <f>IF($A160="","",IF($T160="No Throw",0,IF($K160&lt;&gt;"",$K160,IF($AA160&lt;&gt;"",ROUND($AA160*$D$12*IF($C160=0,1,$G$10),0),MIN(IF($T160="Recovery/Easy Catch",Reference!$B$103,IF($T160="Long Toss",Reference!$B$106,Reference!$B$102)),MAX(Reference!$B$101,ROUND(MAX(0,$Q160-$AE160)/$AF160,0)))))))</f>
        <v/>
      </c>
      <c r="AC160" s="32">
        <f t="shared" si="100"/>
        <v>0</v>
      </c>
      <c r="AD160" s="32" t="b">
        <f t="shared" si="101"/>
        <v>1</v>
      </c>
      <c r="AE160" s="32">
        <f>IF($X160=0,0,$X160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160+$Z160)/2,0),Reference!$A$17:$B$20,2,TRUE()))</f>
        <v>0</v>
      </c>
      <c r="AF160" s="32">
        <f>IF(OR($A160="",$U160="",$T160="No Throw"),0,$AM160*VLOOKUP(MAX(($V160+$W160)/2,0),Reference!$A$17:$B$20,2,TRUE()))</f>
        <v>0</v>
      </c>
      <c r="AG160" s="32">
        <f>IF($AC160=0,0,$AC160*INDEX(Reference!$B$61:$B$62,MATCH("Bullpen",Reference!$A$61:$A$62,0))*VLOOKUP(MAX($D$5-($D$9+$E$9)/2,0),Reference!$A$17:$B$20,2,TRUE()))</f>
        <v>0</v>
      </c>
      <c r="AH160" s="32" t="e">
        <f t="shared" si="102"/>
        <v>#N/A</v>
      </c>
      <c r="AI160" s="32" t="e">
        <f>IF($A160="",NA(),Reference!$A$25)</f>
        <v>#N/A</v>
      </c>
      <c r="AJ160" s="32" t="e">
        <f t="shared" si="103"/>
        <v>#N/A</v>
      </c>
      <c r="AK160" s="32">
        <f>IF(OR($A160="",N($C160)&lt;=7,$T160="No Throw",$J160="x"),0,INDEX(Reference!$B$108:$B$114,$N160+1))</f>
        <v>0</v>
      </c>
      <c r="AL160" s="32">
        <f t="shared" si="104"/>
        <v>1</v>
      </c>
      <c r="AM160" s="32">
        <f>IF($U160="",0,IF($AL160&gt;1,((IF(1&lt;=$AL160,($AL160-1+3)*(INDEX(Reference!$B$6:$B$11,MIN(5,MATCH(MAX(Reference!$A$6,MIN(Reference!$A$11,MIN($U160,90))),Reference!$A$6:$A$11,1)))+(MAX(Reference!$A$6,MIN(Reference!$A$11,MIN($U160,90)))-INDEX(Reference!$A$6:$A$11,MIN(5,MATCH(MAX(Reference!$A$6,MIN(Reference!$A$11,MIN($U160,90))),Reference!$A$6:$A$11,1))))*(INDEX(Reference!$B$6:$B$11,MIN(5,MATCH(MAX(Reference!$A$6,MIN(Reference!$A$11,MIN($U160,90))),Reference!$A$6:$A$11,1))+1)-INDEX(Reference!$B$6:$B$11,MIN(5,MATCH(MAX(Reference!$A$6,MIN(Reference!$A$11,MIN($U160,90))),Reference!$A$6:$A$11,1))))/(INDEX(Reference!$A$6:$A$11,MIN(5,MATCH(MAX(Reference!$A$6,MIN(Reference!$A$11,MIN($U160,90))),Reference!$A$6:$A$11,1))+1)-INDEX(Reference!$A$6:$A$11,MIN(5,MATCH(MAX(Reference!$A$6,MIN(Reference!$A$11,MIN($U160,90))),Reference!$A$6:$A$11,1))))),0)+IF(2&lt;=$AL160,($AL160-2+3)*(INDEX(Reference!$B$6:$B$11,MIN(5,MATCH(MAX(Reference!$A$6,MIN(Reference!$A$11,MIN($U160,120))),Reference!$A$6:$A$11,1)))+(MAX(Reference!$A$6,MIN(Reference!$A$11,MIN($U160,120)))-INDEX(Reference!$A$6:$A$11,MIN(5,MATCH(MAX(Reference!$A$6,MIN(Reference!$A$11,MIN($U160,120))),Reference!$A$6:$A$11,1))))*(INDEX(Reference!$B$6:$B$11,MIN(5,MATCH(MAX(Reference!$A$6,MIN(Reference!$A$11,MIN($U160,120))),Reference!$A$6:$A$11,1))+1)-INDEX(Reference!$B$6:$B$11,MIN(5,MATCH(MAX(Reference!$A$6,MIN(Reference!$A$11,MIN($U160,120))),Reference!$A$6:$A$11,1))))/(INDEX(Reference!$A$6:$A$11,MIN(5,MATCH(MAX(Reference!$A$6,MIN(Reference!$A$11,MIN($U160,120))),Reference!$A$6:$A$11,1))+1)-INDEX(Reference!$A$6:$A$11,MIN(5,MATCH(MAX(Reference!$A$6,MIN(Reference!$A$11,MIN($U160,120))),Reference!$A$6:$A$11,1))))),0)+IF(3&lt;=$AL160,($AL160-3+3)*(INDEX(Reference!$B$6:$B$11,MIN(5,MATCH(MAX(Reference!$A$6,MIN(Reference!$A$11,MIN($U160,150))),Reference!$A$6:$A$11,1)))+(MAX(Reference!$A$6,MIN(Reference!$A$11,MIN($U160,150)))-INDEX(Reference!$A$6:$A$11,MIN(5,MATCH(MAX(Reference!$A$6,MIN(Reference!$A$11,MIN($U160,150))),Reference!$A$6:$A$11,1))))*(INDEX(Reference!$B$6:$B$11,MIN(5,MATCH(MAX(Reference!$A$6,MIN(Reference!$A$11,MIN($U160,150))),Reference!$A$6:$A$11,1))+1)-INDEX(Reference!$B$6:$B$11,MIN(5,MATCH(MAX(Reference!$A$6,MIN(Reference!$A$11,MIN($U160,150))),Reference!$A$6:$A$11,1))))/(INDEX(Reference!$A$6:$A$11,MIN(5,MATCH(MAX(Reference!$A$6,MIN(Reference!$A$11,MIN($U160,150))),Reference!$A$6:$A$11,1))+1)-INDEX(Reference!$A$6:$A$11,MIN(5,MATCH(MAX(Reference!$A$6,MIN(Reference!$A$11,MIN($U160,150))),Reference!$A$6:$A$11,1))))),0)+IF(4&lt;=$AL160,($AL160-4+3)*(INDEX(Reference!$B$6:$B$11,MIN(5,MATCH(MAX(Reference!$A$6,MIN(Reference!$A$11,MIN($U160,180))),Reference!$A$6:$A$11,1)))+(MAX(Reference!$A$6,MIN(Reference!$A$11,MIN($U160,180)))-INDEX(Reference!$A$6:$A$11,MIN(5,MATCH(MAX(Reference!$A$6,MIN(Reference!$A$11,MIN($U160,180))),Reference!$A$6:$A$11,1))))*(INDEX(Reference!$B$6:$B$11,MIN(5,MATCH(MAX(Reference!$A$6,MIN(Reference!$A$11,MIN($U160,180))),Reference!$A$6:$A$11,1))+1)-INDEX(Reference!$B$6:$B$11,MIN(5,MATCH(MAX(Reference!$A$6,MIN(Reference!$A$11,MIN($U160,180))),Reference!$A$6:$A$11,1))))/(INDEX(Reference!$A$6:$A$11,MIN(5,MATCH(MAX(Reference!$A$6,MIN(Reference!$A$11,MIN($U160,180))),Reference!$A$6:$A$11,1))+1)-INDEX(Reference!$A$6:$A$11,MIN(5,MATCH(MAX(Reference!$A$6,MIN(Reference!$A$11,MIN($U160,180))),Reference!$A$6:$A$11,1))))),0)+IF(5&lt;=$AL160,($AL160-5+3)*(INDEX(Reference!$B$6:$B$11,MIN(5,MATCH(MAX(Reference!$A$6,MIN(Reference!$A$11,MIN($U160,210))),Reference!$A$6:$A$11,1)))+(MAX(Reference!$A$6,MIN(Reference!$A$11,MIN($U160,210)))-INDEX(Reference!$A$6:$A$11,MIN(5,MATCH(MAX(Reference!$A$6,MIN(Reference!$A$11,MIN($U160,210))),Reference!$A$6:$A$11,1))))*(INDEX(Reference!$B$6:$B$11,MIN(5,MATCH(MAX(Reference!$A$6,MIN(Reference!$A$11,MIN($U160,210))),Reference!$A$6:$A$11,1))+1)-INDEX(Reference!$B$6:$B$11,MIN(5,MATCH(MAX(Reference!$A$6,MIN(Reference!$A$11,MIN($U160,210))),Reference!$A$6:$A$11,1))))/(INDEX(Reference!$A$6:$A$11,MIN(5,MATCH(MAX(Reference!$A$6,MIN(Reference!$A$11,MIN($U160,210))),Reference!$A$6:$A$11,1))+1)-INDEX(Reference!$A$6:$A$11,MIN(5,MATCH(MAX(Reference!$A$6,MIN(Reference!$A$11,MIN($U160,210))),Reference!$A$6:$A$11,1))))),0)+IF(6&lt;=$AL160,($AL160-6+3)*(INDEX(Reference!$B$6:$B$11,MIN(5,MATCH(MAX(Reference!$A$6,MIN(Reference!$A$11,MIN($U160,240))),Reference!$A$6:$A$11,1)))+(MAX(Reference!$A$6,MIN(Reference!$A$11,MIN($U160,240)))-INDEX(Reference!$A$6:$A$11,MIN(5,MATCH(MAX(Reference!$A$6,MIN(Reference!$A$11,MIN($U160,240))),Reference!$A$6:$A$11,1))))*(INDEX(Reference!$B$6:$B$11,MIN(5,MATCH(MAX(Reference!$A$6,MIN(Reference!$A$11,MIN($U160,240))),Reference!$A$6:$A$11,1))+1)-INDEX(Reference!$B$6:$B$11,MIN(5,MATCH(MAX(Reference!$A$6,MIN(Reference!$A$11,MIN($U160,240))),Reference!$A$6:$A$11,1))))/(INDEX(Reference!$A$6:$A$11,MIN(5,MATCH(MAX(Reference!$A$6,MIN(Reference!$A$11,MIN($U160,240))),Reference!$A$6:$A$11,1))+1)-INDEX(Reference!$A$6:$A$11,MIN(5,MATCH(MAX(Reference!$A$6,MIN(Reference!$A$11,MIN($U160,240))),Reference!$A$6:$A$11,1))))),0)+IF(7&lt;=$AL160,($AL160-7+3)*(INDEX(Reference!$B$6:$B$11,MIN(5,MATCH(MAX(Reference!$A$6,MIN(Reference!$A$11,MIN($U160,270))),Reference!$A$6:$A$11,1)))+(MAX(Reference!$A$6,MIN(Reference!$A$11,MIN($U160,270)))-INDEX(Reference!$A$6:$A$11,MIN(5,MATCH(MAX(Reference!$A$6,MIN(Reference!$A$11,MIN($U160,270))),Reference!$A$6:$A$11,1))))*(INDEX(Reference!$B$6:$B$11,MIN(5,MATCH(MAX(Reference!$A$6,MIN(Reference!$A$11,MIN($U160,270))),Reference!$A$6:$A$11,1))+1)-INDEX(Reference!$B$6:$B$11,MIN(5,MATCH(MAX(Reference!$A$6,MIN(Reference!$A$11,MIN($U160,270))),Reference!$A$6:$A$11,1))))/(INDEX(Reference!$A$6:$A$11,MIN(5,MATCH(MAX(Reference!$A$6,MIN(Reference!$A$11,MIN($U160,270))),Reference!$A$6:$A$11,1))+1)-INDEX(Reference!$A$6:$A$11,MIN(5,MATCH(MAX(Reference!$A$6,MIN(Reference!$A$11,MIN($U160,270))),Reference!$A$6:$A$11,1))))),0)+IF(8&lt;=$AL160,($AL160-8+3)*(INDEX(Reference!$B$6:$B$11,MIN(5,MATCH(MAX(Reference!$A$6,MIN(Reference!$A$11,MIN($U160,300))),Reference!$A$6:$A$11,1)))+(MAX(Reference!$A$6,MIN(Reference!$A$11,MIN($U160,300)))-INDEX(Reference!$A$6:$A$11,MIN(5,MATCH(MAX(Reference!$A$6,MIN(Reference!$A$11,MIN($U160,300))),Reference!$A$6:$A$11,1))))*(INDEX(Reference!$B$6:$B$11,MIN(5,MATCH(MAX(Reference!$A$6,MIN(Reference!$A$11,MIN($U160,300))),Reference!$A$6:$A$11,1))+1)-INDEX(Reference!$B$6:$B$11,MIN(5,MATCH(MAX(Reference!$A$6,MIN(Reference!$A$11,MIN($U160,300))),Reference!$A$6:$A$11,1))))/(INDEX(Reference!$A$6:$A$11,MIN(5,MATCH(MAX(Reference!$A$6,MIN(Reference!$A$11,MIN($U160,300))),Reference!$A$6:$A$11,1))+1)-INDEX(Reference!$A$6:$A$11,MIN(5,MATCH(MAX(Reference!$A$6,MIN(Reference!$A$11,MIN($U160,300))),Reference!$A$6:$A$11,1))))),0))/($AL160*($AL160+5)/2)),$AN160))</f>
        <v>0</v>
      </c>
      <c r="AN160" s="32">
        <f>IF($U160="",0,(INDEX(Reference!$B$6:$B$11,MIN(5,MATCH(MAX(Reference!$A$6,MIN(Reference!$A$11,$U160)),Reference!$A$6:$A$11,1)))+(MAX(Reference!$A$6,MIN(Reference!$A$11,$U160))-INDEX(Reference!$A$6:$A$11,MIN(5,MATCH(MAX(Reference!$A$6,MIN(Reference!$A$11,$U160)),Reference!$A$6:$A$11,1))))*(INDEX(Reference!$B$6:$B$11,MIN(5,MATCH(MAX(Reference!$A$6,MIN(Reference!$A$11,$U160)),Reference!$A$6:$A$11,1))+1)-INDEX(Reference!$B$6:$B$11,MIN(5,MATCH(MAX(Reference!$A$6,MIN(Reference!$A$11,$U160)),Reference!$A$6:$A$11,1))))/(INDEX(Reference!$A$6:$A$11,MIN(5,MATCH(MAX(Reference!$A$6,MIN(Reference!$A$11,$U160)),Reference!$A$6:$A$11,1))+1)-INDEX(Reference!$A$6:$A$11,MIN(5,MATCH(MAX(Reference!$A$6,MIN(Reference!$A$11,$U160)),Reference!$A$6:$A$11,1))))))</f>
        <v>0</v>
      </c>
      <c r="AO160" s="37"/>
      <c r="AP160" s="37"/>
      <c r="AQ160" s="37"/>
    </row>
    <row r="161" spans="1:43" x14ac:dyDescent="0.3">
      <c r="A161" s="48" t="str">
        <f t="shared" si="80"/>
        <v/>
      </c>
      <c r="B161" s="32" t="str">
        <f t="shared" si="81"/>
        <v/>
      </c>
      <c r="C161" s="32" t="str">
        <f t="shared" si="82"/>
        <v/>
      </c>
      <c r="D161" s="32" t="str">
        <f t="shared" si="83"/>
        <v/>
      </c>
      <c r="E161" s="32" t="str">
        <f t="shared" si="84"/>
        <v/>
      </c>
      <c r="F161" s="32" t="str">
        <f t="shared" si="85"/>
        <v/>
      </c>
      <c r="G161" s="47" t="str">
        <f t="shared" si="86"/>
        <v/>
      </c>
      <c r="H161" s="30" t="str">
        <f t="shared" si="87"/>
        <v/>
      </c>
      <c r="I161" s="46" t="str">
        <f>IF($A161="","",IF(AND($L161&lt;27,$K$12=0),"Building",IFERROR(((SUM($H$155:$H161)+$K$12*IF($L161&lt;6,SUMIFS('Throw Log'!$Q$5:$Q$300,'Throw Log'!$B$5:$B$300,$D$4,'Throw Log'!$A$5:$A$300,"&gt;="&amp;($D$6+$L161-6),'Throw Log'!$A$5:$A$300,"&lt;="&amp;($D$6-1)),0))/7)/((SUM($H$134:$H161)+$K$12*IF($L161&lt;27,SUMIFS('Throw Log'!$Q$5:$Q$300,'Throw Log'!$B$5:$B$300,$D$4,'Throw Log'!$A$5:$A$300,"&gt;="&amp;($D$6+$L161-27),'Throw Log'!$A$5:$A$300,"&lt;="&amp;($D$6-1)),0))/28),"")))</f>
        <v/>
      </c>
      <c r="J161" s="37"/>
      <c r="K161" s="37"/>
      <c r="L161" s="32">
        <v>118</v>
      </c>
      <c r="M161" s="32">
        <f t="shared" si="88"/>
        <v>17</v>
      </c>
      <c r="N161" s="32">
        <f t="shared" si="89"/>
        <v>6</v>
      </c>
      <c r="O161" s="32">
        <f t="shared" si="90"/>
        <v>1</v>
      </c>
      <c r="P161" s="32" t="str">
        <f>IF(OR($A161="",N($C161)&lt;=7),"",$G$6*$G$9^($M161-1)*IF(AND(MOD($M161,Reference!$B$99)=0,$M161&lt;=$G$5-2),Reference!$B$100,1))</f>
        <v/>
      </c>
      <c r="Q161" s="32" t="str">
        <f>IF($P161="","",IF(SUM($AK$155:$AK$161)=0,0,$P161*INDEX(Reference!$B$108:$B$114,$N161+1)/SUM($AK$155:$AK$161)))</f>
        <v/>
      </c>
      <c r="R161" s="32">
        <f t="shared" si="91"/>
        <v>120</v>
      </c>
      <c r="S161" s="32">
        <f t="shared" si="92"/>
        <v>105</v>
      </c>
      <c r="T161" s="32" t="str">
        <f>IF($A161="","",IF($C161=0,"Bullpen",IF(OR($C161=7,$C161=1,$C161=5),"Recovery/Easy Catch",IF($C161=6,"Compression/Pulldowns",IF(OR($C161=4,$C161=2),"Long Toss",IF($C161=3,"No Throw",IF($N161=2,"No Throw",IF($N161=6,IF($O161&lt;Reference!$B$104,"No Throw","Recovery/Easy Catch"),IF(OR($N161=0,$N161=4),"Recovery/Easy Catch",IF($N161=1,IF($R161&gt;75,"Long Toss","Recovery/Easy Catch"),IF($N161=3,IF($O161&lt;0.5,IF($S161&gt;75,"Long Toss","Recovery/Easy Catch"),"Compression/Pulldowns"),IF($S161&gt;75,"Long Toss","Recovery/Easy Catch"))))))))))))</f>
        <v/>
      </c>
      <c r="U161" s="32" t="str">
        <f t="shared" si="93"/>
        <v/>
      </c>
      <c r="V161" s="32" t="str">
        <f t="shared" si="94"/>
        <v/>
      </c>
      <c r="W161" s="32" t="str">
        <f t="shared" si="95"/>
        <v/>
      </c>
      <c r="X161" s="32">
        <f t="shared" si="96"/>
        <v>0</v>
      </c>
      <c r="Y161" s="32" t="str">
        <f t="shared" si="97"/>
        <v/>
      </c>
      <c r="Z161" s="32" t="str">
        <f t="shared" si="98"/>
        <v/>
      </c>
      <c r="AA161" s="32" t="str">
        <f t="shared" si="99"/>
        <v/>
      </c>
      <c r="AB161" s="32" t="str">
        <f>IF($A161="","",IF($T161="No Throw",0,IF($K161&lt;&gt;"",$K161,IF($AA161&lt;&gt;"",ROUND($AA161*$D$12*IF($C161=0,1,$G$10),0),MIN(IF($T161="Recovery/Easy Catch",Reference!$B$103,IF($T161="Long Toss",Reference!$B$106,Reference!$B$102)),MAX(Reference!$B$101,ROUND(MAX(0,$Q161-$AE161)/$AF161,0)))))))</f>
        <v/>
      </c>
      <c r="AC161" s="32">
        <f t="shared" si="100"/>
        <v>0</v>
      </c>
      <c r="AD161" s="32" t="b">
        <f t="shared" si="101"/>
        <v>1</v>
      </c>
      <c r="AE161" s="32">
        <f>IF($X161=0,0,$X161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161+$Z161)/2,0),Reference!$A$17:$B$20,2,TRUE()))</f>
        <v>0</v>
      </c>
      <c r="AF161" s="32">
        <f>IF(OR($A161="",$U161="",$T161="No Throw"),0,$AM161*VLOOKUP(MAX(($V161+$W161)/2,0),Reference!$A$17:$B$20,2,TRUE()))</f>
        <v>0</v>
      </c>
      <c r="AG161" s="32">
        <f>IF($AC161=0,0,$AC161*INDEX(Reference!$B$61:$B$62,MATCH("Bullpen",Reference!$A$61:$A$62,0))*VLOOKUP(MAX($D$5-($D$9+$E$9)/2,0),Reference!$A$17:$B$20,2,TRUE()))</f>
        <v>0</v>
      </c>
      <c r="AH161" s="32" t="e">
        <f t="shared" si="102"/>
        <v>#N/A</v>
      </c>
      <c r="AI161" s="32" t="e">
        <f>IF($A161="",NA(),Reference!$A$25)</f>
        <v>#N/A</v>
      </c>
      <c r="AJ161" s="32" t="e">
        <f t="shared" si="103"/>
        <v>#N/A</v>
      </c>
      <c r="AK161" s="32">
        <f>IF(OR($A161="",N($C161)&lt;=7,$T161="No Throw",$J161="x"),0,INDEX(Reference!$B$108:$B$114,$N161+1))</f>
        <v>0</v>
      </c>
      <c r="AL161" s="32">
        <f t="shared" si="104"/>
        <v>1</v>
      </c>
      <c r="AM161" s="32">
        <f>IF($U161="",0,IF($AL161&gt;1,((IF(1&lt;=$AL161,($AL161-1+3)*(INDEX(Reference!$B$6:$B$11,MIN(5,MATCH(MAX(Reference!$A$6,MIN(Reference!$A$11,MIN($U161,90))),Reference!$A$6:$A$11,1)))+(MAX(Reference!$A$6,MIN(Reference!$A$11,MIN($U161,90)))-INDEX(Reference!$A$6:$A$11,MIN(5,MATCH(MAX(Reference!$A$6,MIN(Reference!$A$11,MIN($U161,90))),Reference!$A$6:$A$11,1))))*(INDEX(Reference!$B$6:$B$11,MIN(5,MATCH(MAX(Reference!$A$6,MIN(Reference!$A$11,MIN($U161,90))),Reference!$A$6:$A$11,1))+1)-INDEX(Reference!$B$6:$B$11,MIN(5,MATCH(MAX(Reference!$A$6,MIN(Reference!$A$11,MIN($U161,90))),Reference!$A$6:$A$11,1))))/(INDEX(Reference!$A$6:$A$11,MIN(5,MATCH(MAX(Reference!$A$6,MIN(Reference!$A$11,MIN($U161,90))),Reference!$A$6:$A$11,1))+1)-INDEX(Reference!$A$6:$A$11,MIN(5,MATCH(MAX(Reference!$A$6,MIN(Reference!$A$11,MIN($U161,90))),Reference!$A$6:$A$11,1))))),0)+IF(2&lt;=$AL161,($AL161-2+3)*(INDEX(Reference!$B$6:$B$11,MIN(5,MATCH(MAX(Reference!$A$6,MIN(Reference!$A$11,MIN($U161,120))),Reference!$A$6:$A$11,1)))+(MAX(Reference!$A$6,MIN(Reference!$A$11,MIN($U161,120)))-INDEX(Reference!$A$6:$A$11,MIN(5,MATCH(MAX(Reference!$A$6,MIN(Reference!$A$11,MIN($U161,120))),Reference!$A$6:$A$11,1))))*(INDEX(Reference!$B$6:$B$11,MIN(5,MATCH(MAX(Reference!$A$6,MIN(Reference!$A$11,MIN($U161,120))),Reference!$A$6:$A$11,1))+1)-INDEX(Reference!$B$6:$B$11,MIN(5,MATCH(MAX(Reference!$A$6,MIN(Reference!$A$11,MIN($U161,120))),Reference!$A$6:$A$11,1))))/(INDEX(Reference!$A$6:$A$11,MIN(5,MATCH(MAX(Reference!$A$6,MIN(Reference!$A$11,MIN($U161,120))),Reference!$A$6:$A$11,1))+1)-INDEX(Reference!$A$6:$A$11,MIN(5,MATCH(MAX(Reference!$A$6,MIN(Reference!$A$11,MIN($U161,120))),Reference!$A$6:$A$11,1))))),0)+IF(3&lt;=$AL161,($AL161-3+3)*(INDEX(Reference!$B$6:$B$11,MIN(5,MATCH(MAX(Reference!$A$6,MIN(Reference!$A$11,MIN($U161,150))),Reference!$A$6:$A$11,1)))+(MAX(Reference!$A$6,MIN(Reference!$A$11,MIN($U161,150)))-INDEX(Reference!$A$6:$A$11,MIN(5,MATCH(MAX(Reference!$A$6,MIN(Reference!$A$11,MIN($U161,150))),Reference!$A$6:$A$11,1))))*(INDEX(Reference!$B$6:$B$11,MIN(5,MATCH(MAX(Reference!$A$6,MIN(Reference!$A$11,MIN($U161,150))),Reference!$A$6:$A$11,1))+1)-INDEX(Reference!$B$6:$B$11,MIN(5,MATCH(MAX(Reference!$A$6,MIN(Reference!$A$11,MIN($U161,150))),Reference!$A$6:$A$11,1))))/(INDEX(Reference!$A$6:$A$11,MIN(5,MATCH(MAX(Reference!$A$6,MIN(Reference!$A$11,MIN($U161,150))),Reference!$A$6:$A$11,1))+1)-INDEX(Reference!$A$6:$A$11,MIN(5,MATCH(MAX(Reference!$A$6,MIN(Reference!$A$11,MIN($U161,150))),Reference!$A$6:$A$11,1))))),0)+IF(4&lt;=$AL161,($AL161-4+3)*(INDEX(Reference!$B$6:$B$11,MIN(5,MATCH(MAX(Reference!$A$6,MIN(Reference!$A$11,MIN($U161,180))),Reference!$A$6:$A$11,1)))+(MAX(Reference!$A$6,MIN(Reference!$A$11,MIN($U161,180)))-INDEX(Reference!$A$6:$A$11,MIN(5,MATCH(MAX(Reference!$A$6,MIN(Reference!$A$11,MIN($U161,180))),Reference!$A$6:$A$11,1))))*(INDEX(Reference!$B$6:$B$11,MIN(5,MATCH(MAX(Reference!$A$6,MIN(Reference!$A$11,MIN($U161,180))),Reference!$A$6:$A$11,1))+1)-INDEX(Reference!$B$6:$B$11,MIN(5,MATCH(MAX(Reference!$A$6,MIN(Reference!$A$11,MIN($U161,180))),Reference!$A$6:$A$11,1))))/(INDEX(Reference!$A$6:$A$11,MIN(5,MATCH(MAX(Reference!$A$6,MIN(Reference!$A$11,MIN($U161,180))),Reference!$A$6:$A$11,1))+1)-INDEX(Reference!$A$6:$A$11,MIN(5,MATCH(MAX(Reference!$A$6,MIN(Reference!$A$11,MIN($U161,180))),Reference!$A$6:$A$11,1))))),0)+IF(5&lt;=$AL161,($AL161-5+3)*(INDEX(Reference!$B$6:$B$11,MIN(5,MATCH(MAX(Reference!$A$6,MIN(Reference!$A$11,MIN($U161,210))),Reference!$A$6:$A$11,1)))+(MAX(Reference!$A$6,MIN(Reference!$A$11,MIN($U161,210)))-INDEX(Reference!$A$6:$A$11,MIN(5,MATCH(MAX(Reference!$A$6,MIN(Reference!$A$11,MIN($U161,210))),Reference!$A$6:$A$11,1))))*(INDEX(Reference!$B$6:$B$11,MIN(5,MATCH(MAX(Reference!$A$6,MIN(Reference!$A$11,MIN($U161,210))),Reference!$A$6:$A$11,1))+1)-INDEX(Reference!$B$6:$B$11,MIN(5,MATCH(MAX(Reference!$A$6,MIN(Reference!$A$11,MIN($U161,210))),Reference!$A$6:$A$11,1))))/(INDEX(Reference!$A$6:$A$11,MIN(5,MATCH(MAX(Reference!$A$6,MIN(Reference!$A$11,MIN($U161,210))),Reference!$A$6:$A$11,1))+1)-INDEX(Reference!$A$6:$A$11,MIN(5,MATCH(MAX(Reference!$A$6,MIN(Reference!$A$11,MIN($U161,210))),Reference!$A$6:$A$11,1))))),0)+IF(6&lt;=$AL161,($AL161-6+3)*(INDEX(Reference!$B$6:$B$11,MIN(5,MATCH(MAX(Reference!$A$6,MIN(Reference!$A$11,MIN($U161,240))),Reference!$A$6:$A$11,1)))+(MAX(Reference!$A$6,MIN(Reference!$A$11,MIN($U161,240)))-INDEX(Reference!$A$6:$A$11,MIN(5,MATCH(MAX(Reference!$A$6,MIN(Reference!$A$11,MIN($U161,240))),Reference!$A$6:$A$11,1))))*(INDEX(Reference!$B$6:$B$11,MIN(5,MATCH(MAX(Reference!$A$6,MIN(Reference!$A$11,MIN($U161,240))),Reference!$A$6:$A$11,1))+1)-INDEX(Reference!$B$6:$B$11,MIN(5,MATCH(MAX(Reference!$A$6,MIN(Reference!$A$11,MIN($U161,240))),Reference!$A$6:$A$11,1))))/(INDEX(Reference!$A$6:$A$11,MIN(5,MATCH(MAX(Reference!$A$6,MIN(Reference!$A$11,MIN($U161,240))),Reference!$A$6:$A$11,1))+1)-INDEX(Reference!$A$6:$A$11,MIN(5,MATCH(MAX(Reference!$A$6,MIN(Reference!$A$11,MIN($U161,240))),Reference!$A$6:$A$11,1))))),0)+IF(7&lt;=$AL161,($AL161-7+3)*(INDEX(Reference!$B$6:$B$11,MIN(5,MATCH(MAX(Reference!$A$6,MIN(Reference!$A$11,MIN($U161,270))),Reference!$A$6:$A$11,1)))+(MAX(Reference!$A$6,MIN(Reference!$A$11,MIN($U161,270)))-INDEX(Reference!$A$6:$A$11,MIN(5,MATCH(MAX(Reference!$A$6,MIN(Reference!$A$11,MIN($U161,270))),Reference!$A$6:$A$11,1))))*(INDEX(Reference!$B$6:$B$11,MIN(5,MATCH(MAX(Reference!$A$6,MIN(Reference!$A$11,MIN($U161,270))),Reference!$A$6:$A$11,1))+1)-INDEX(Reference!$B$6:$B$11,MIN(5,MATCH(MAX(Reference!$A$6,MIN(Reference!$A$11,MIN($U161,270))),Reference!$A$6:$A$11,1))))/(INDEX(Reference!$A$6:$A$11,MIN(5,MATCH(MAX(Reference!$A$6,MIN(Reference!$A$11,MIN($U161,270))),Reference!$A$6:$A$11,1))+1)-INDEX(Reference!$A$6:$A$11,MIN(5,MATCH(MAX(Reference!$A$6,MIN(Reference!$A$11,MIN($U161,270))),Reference!$A$6:$A$11,1))))),0)+IF(8&lt;=$AL161,($AL161-8+3)*(INDEX(Reference!$B$6:$B$11,MIN(5,MATCH(MAX(Reference!$A$6,MIN(Reference!$A$11,MIN($U161,300))),Reference!$A$6:$A$11,1)))+(MAX(Reference!$A$6,MIN(Reference!$A$11,MIN($U161,300)))-INDEX(Reference!$A$6:$A$11,MIN(5,MATCH(MAX(Reference!$A$6,MIN(Reference!$A$11,MIN($U161,300))),Reference!$A$6:$A$11,1))))*(INDEX(Reference!$B$6:$B$11,MIN(5,MATCH(MAX(Reference!$A$6,MIN(Reference!$A$11,MIN($U161,300))),Reference!$A$6:$A$11,1))+1)-INDEX(Reference!$B$6:$B$11,MIN(5,MATCH(MAX(Reference!$A$6,MIN(Reference!$A$11,MIN($U161,300))),Reference!$A$6:$A$11,1))))/(INDEX(Reference!$A$6:$A$11,MIN(5,MATCH(MAX(Reference!$A$6,MIN(Reference!$A$11,MIN($U161,300))),Reference!$A$6:$A$11,1))+1)-INDEX(Reference!$A$6:$A$11,MIN(5,MATCH(MAX(Reference!$A$6,MIN(Reference!$A$11,MIN($U161,300))),Reference!$A$6:$A$11,1))))),0))/($AL161*($AL161+5)/2)),$AN161))</f>
        <v>0</v>
      </c>
      <c r="AN161" s="32">
        <f>IF($U161="",0,(INDEX(Reference!$B$6:$B$11,MIN(5,MATCH(MAX(Reference!$A$6,MIN(Reference!$A$11,$U161)),Reference!$A$6:$A$11,1)))+(MAX(Reference!$A$6,MIN(Reference!$A$11,$U161))-INDEX(Reference!$A$6:$A$11,MIN(5,MATCH(MAX(Reference!$A$6,MIN(Reference!$A$11,$U161)),Reference!$A$6:$A$11,1))))*(INDEX(Reference!$B$6:$B$11,MIN(5,MATCH(MAX(Reference!$A$6,MIN(Reference!$A$11,$U161)),Reference!$A$6:$A$11,1))+1)-INDEX(Reference!$B$6:$B$11,MIN(5,MATCH(MAX(Reference!$A$6,MIN(Reference!$A$11,$U161)),Reference!$A$6:$A$11,1))))/(INDEX(Reference!$A$6:$A$11,MIN(5,MATCH(MAX(Reference!$A$6,MIN(Reference!$A$11,$U161)),Reference!$A$6:$A$11,1))+1)-INDEX(Reference!$A$6:$A$11,MIN(5,MATCH(MAX(Reference!$A$6,MIN(Reference!$A$11,$U161)),Reference!$A$6:$A$11,1))))))</f>
        <v>0</v>
      </c>
      <c r="AO161" s="37"/>
      <c r="AP161" s="37"/>
      <c r="AQ161" s="37"/>
    </row>
    <row r="162" spans="1:43" x14ac:dyDescent="0.3">
      <c r="A162" s="48" t="str">
        <f t="shared" si="80"/>
        <v/>
      </c>
      <c r="B162" s="32" t="str">
        <f t="shared" si="81"/>
        <v/>
      </c>
      <c r="C162" s="32" t="str">
        <f t="shared" si="82"/>
        <v/>
      </c>
      <c r="D162" s="32" t="str">
        <f t="shared" si="83"/>
        <v/>
      </c>
      <c r="E162" s="32" t="str">
        <f t="shared" si="84"/>
        <v/>
      </c>
      <c r="F162" s="32" t="str">
        <f t="shared" si="85"/>
        <v/>
      </c>
      <c r="G162" s="47" t="str">
        <f t="shared" si="86"/>
        <v/>
      </c>
      <c r="H162" s="30" t="str">
        <f t="shared" si="87"/>
        <v/>
      </c>
      <c r="I162" s="46" t="str">
        <f>IF($A162="","",IF(AND($L162&lt;27,$K$12=0),"Building",IFERROR(((SUM($H$156:$H162)+$K$12*IF($L162&lt;6,SUMIFS('Throw Log'!$Q$5:$Q$300,'Throw Log'!$B$5:$B$300,$D$4,'Throw Log'!$A$5:$A$300,"&gt;="&amp;($D$6+$L162-6),'Throw Log'!$A$5:$A$300,"&lt;="&amp;($D$6-1)),0))/7)/((SUM($H$135:$H162)+$K$12*IF($L162&lt;27,SUMIFS('Throw Log'!$Q$5:$Q$300,'Throw Log'!$B$5:$B$300,$D$4,'Throw Log'!$A$5:$A$300,"&gt;="&amp;($D$6+$L162-27),'Throw Log'!$A$5:$A$300,"&lt;="&amp;($D$6-1)),0))/28),"")))</f>
        <v/>
      </c>
      <c r="J162" s="37"/>
      <c r="K162" s="37"/>
      <c r="L162" s="32">
        <v>119</v>
      </c>
      <c r="M162" s="32">
        <f t="shared" si="88"/>
        <v>18</v>
      </c>
      <c r="N162" s="32">
        <f t="shared" si="89"/>
        <v>0</v>
      </c>
      <c r="O162" s="32">
        <f t="shared" si="90"/>
        <v>1</v>
      </c>
      <c r="P162" s="32" t="str">
        <f>IF(OR($A162="",N($C162)&lt;=7),"",$G$6*$G$9^($M162-1)*IF(AND(MOD($M162,Reference!$B$99)=0,$M162&lt;=$G$5-2),Reference!$B$100,1))</f>
        <v/>
      </c>
      <c r="Q162" s="32" t="str">
        <f>IF($P162="","",IF(SUM($AK$162:$AK$168)=0,0,$P162*INDEX(Reference!$B$108:$B$114,$N162+1)/SUM($AK$162:$AK$168)))</f>
        <v/>
      </c>
      <c r="R162" s="32">
        <f t="shared" si="91"/>
        <v>120</v>
      </c>
      <c r="S162" s="32">
        <f t="shared" si="92"/>
        <v>105</v>
      </c>
      <c r="T162" s="32" t="str">
        <f>IF($A162="","",IF($C162=0,"Bullpen",IF(OR($C162=7,$C162=1,$C162=5),"Recovery/Easy Catch",IF($C162=6,"Compression/Pulldowns",IF(OR($C162=4,$C162=2),"Long Toss",IF($C162=3,"No Throw",IF($N162=2,"No Throw",IF($N162=6,IF($O162&lt;Reference!$B$104,"No Throw","Recovery/Easy Catch"),IF(OR($N162=0,$N162=4),"Recovery/Easy Catch",IF($N162=1,IF($R162&gt;75,"Long Toss","Recovery/Easy Catch"),IF($N162=3,IF($O162&lt;0.5,IF($S162&gt;75,"Long Toss","Recovery/Easy Catch"),"Compression/Pulldowns"),IF($S162&gt;75,"Long Toss","Recovery/Easy Catch"))))))))))))</f>
        <v/>
      </c>
      <c r="U162" s="32" t="str">
        <f t="shared" si="93"/>
        <v/>
      </c>
      <c r="V162" s="32" t="str">
        <f t="shared" si="94"/>
        <v/>
      </c>
      <c r="W162" s="32" t="str">
        <f t="shared" si="95"/>
        <v/>
      </c>
      <c r="X162" s="32">
        <f t="shared" si="96"/>
        <v>0</v>
      </c>
      <c r="Y162" s="32" t="str">
        <f t="shared" si="97"/>
        <v/>
      </c>
      <c r="Z162" s="32" t="str">
        <f t="shared" si="98"/>
        <v/>
      </c>
      <c r="AA162" s="32" t="str">
        <f t="shared" si="99"/>
        <v/>
      </c>
      <c r="AB162" s="32" t="str">
        <f>IF($A162="","",IF($T162="No Throw",0,IF($K162&lt;&gt;"",$K162,IF($AA162&lt;&gt;"",ROUND($AA162*$D$12*IF($C162=0,1,$G$10),0),MIN(IF($T162="Recovery/Easy Catch",Reference!$B$103,IF($T162="Long Toss",Reference!$B$106,Reference!$B$102)),MAX(Reference!$B$101,ROUND(MAX(0,$Q162-$AE162)/$AF162,0)))))))</f>
        <v/>
      </c>
      <c r="AC162" s="32">
        <f t="shared" si="100"/>
        <v>0</v>
      </c>
      <c r="AD162" s="32" t="b">
        <f t="shared" si="101"/>
        <v>1</v>
      </c>
      <c r="AE162" s="32">
        <f>IF($X162=0,0,$X162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162+$Z162)/2,0),Reference!$A$17:$B$20,2,TRUE()))</f>
        <v>0</v>
      </c>
      <c r="AF162" s="32">
        <f>IF(OR($A162="",$U162="",$T162="No Throw"),0,$AM162*VLOOKUP(MAX(($V162+$W162)/2,0),Reference!$A$17:$B$20,2,TRUE()))</f>
        <v>0</v>
      </c>
      <c r="AG162" s="32">
        <f>IF($AC162=0,0,$AC162*INDEX(Reference!$B$61:$B$62,MATCH("Bullpen",Reference!$A$61:$A$62,0))*VLOOKUP(MAX($D$5-($D$9+$E$9)/2,0),Reference!$A$17:$B$20,2,TRUE()))</f>
        <v>0</v>
      </c>
      <c r="AH162" s="32" t="e">
        <f t="shared" si="102"/>
        <v>#N/A</v>
      </c>
      <c r="AI162" s="32" t="e">
        <f>IF($A162="",NA(),Reference!$A$25)</f>
        <v>#N/A</v>
      </c>
      <c r="AJ162" s="32" t="e">
        <f t="shared" si="103"/>
        <v>#N/A</v>
      </c>
      <c r="AK162" s="32">
        <f>IF(OR($A162="",N($C162)&lt;=7,$T162="No Throw",$J162="x"),0,INDEX(Reference!$B$108:$B$114,$N162+1))</f>
        <v>0</v>
      </c>
      <c r="AL162" s="32">
        <f t="shared" si="104"/>
        <v>1</v>
      </c>
      <c r="AM162" s="32">
        <f>IF($U162="",0,IF($AL162&gt;1,((IF(1&lt;=$AL162,($AL162-1+3)*(INDEX(Reference!$B$6:$B$11,MIN(5,MATCH(MAX(Reference!$A$6,MIN(Reference!$A$11,MIN($U162,90))),Reference!$A$6:$A$11,1)))+(MAX(Reference!$A$6,MIN(Reference!$A$11,MIN($U162,90)))-INDEX(Reference!$A$6:$A$11,MIN(5,MATCH(MAX(Reference!$A$6,MIN(Reference!$A$11,MIN($U162,90))),Reference!$A$6:$A$11,1))))*(INDEX(Reference!$B$6:$B$11,MIN(5,MATCH(MAX(Reference!$A$6,MIN(Reference!$A$11,MIN($U162,90))),Reference!$A$6:$A$11,1))+1)-INDEX(Reference!$B$6:$B$11,MIN(5,MATCH(MAX(Reference!$A$6,MIN(Reference!$A$11,MIN($U162,90))),Reference!$A$6:$A$11,1))))/(INDEX(Reference!$A$6:$A$11,MIN(5,MATCH(MAX(Reference!$A$6,MIN(Reference!$A$11,MIN($U162,90))),Reference!$A$6:$A$11,1))+1)-INDEX(Reference!$A$6:$A$11,MIN(5,MATCH(MAX(Reference!$A$6,MIN(Reference!$A$11,MIN($U162,90))),Reference!$A$6:$A$11,1))))),0)+IF(2&lt;=$AL162,($AL162-2+3)*(INDEX(Reference!$B$6:$B$11,MIN(5,MATCH(MAX(Reference!$A$6,MIN(Reference!$A$11,MIN($U162,120))),Reference!$A$6:$A$11,1)))+(MAX(Reference!$A$6,MIN(Reference!$A$11,MIN($U162,120)))-INDEX(Reference!$A$6:$A$11,MIN(5,MATCH(MAX(Reference!$A$6,MIN(Reference!$A$11,MIN($U162,120))),Reference!$A$6:$A$11,1))))*(INDEX(Reference!$B$6:$B$11,MIN(5,MATCH(MAX(Reference!$A$6,MIN(Reference!$A$11,MIN($U162,120))),Reference!$A$6:$A$11,1))+1)-INDEX(Reference!$B$6:$B$11,MIN(5,MATCH(MAX(Reference!$A$6,MIN(Reference!$A$11,MIN($U162,120))),Reference!$A$6:$A$11,1))))/(INDEX(Reference!$A$6:$A$11,MIN(5,MATCH(MAX(Reference!$A$6,MIN(Reference!$A$11,MIN($U162,120))),Reference!$A$6:$A$11,1))+1)-INDEX(Reference!$A$6:$A$11,MIN(5,MATCH(MAX(Reference!$A$6,MIN(Reference!$A$11,MIN($U162,120))),Reference!$A$6:$A$11,1))))),0)+IF(3&lt;=$AL162,($AL162-3+3)*(INDEX(Reference!$B$6:$B$11,MIN(5,MATCH(MAX(Reference!$A$6,MIN(Reference!$A$11,MIN($U162,150))),Reference!$A$6:$A$11,1)))+(MAX(Reference!$A$6,MIN(Reference!$A$11,MIN($U162,150)))-INDEX(Reference!$A$6:$A$11,MIN(5,MATCH(MAX(Reference!$A$6,MIN(Reference!$A$11,MIN($U162,150))),Reference!$A$6:$A$11,1))))*(INDEX(Reference!$B$6:$B$11,MIN(5,MATCH(MAX(Reference!$A$6,MIN(Reference!$A$11,MIN($U162,150))),Reference!$A$6:$A$11,1))+1)-INDEX(Reference!$B$6:$B$11,MIN(5,MATCH(MAX(Reference!$A$6,MIN(Reference!$A$11,MIN($U162,150))),Reference!$A$6:$A$11,1))))/(INDEX(Reference!$A$6:$A$11,MIN(5,MATCH(MAX(Reference!$A$6,MIN(Reference!$A$11,MIN($U162,150))),Reference!$A$6:$A$11,1))+1)-INDEX(Reference!$A$6:$A$11,MIN(5,MATCH(MAX(Reference!$A$6,MIN(Reference!$A$11,MIN($U162,150))),Reference!$A$6:$A$11,1))))),0)+IF(4&lt;=$AL162,($AL162-4+3)*(INDEX(Reference!$B$6:$B$11,MIN(5,MATCH(MAX(Reference!$A$6,MIN(Reference!$A$11,MIN($U162,180))),Reference!$A$6:$A$11,1)))+(MAX(Reference!$A$6,MIN(Reference!$A$11,MIN($U162,180)))-INDEX(Reference!$A$6:$A$11,MIN(5,MATCH(MAX(Reference!$A$6,MIN(Reference!$A$11,MIN($U162,180))),Reference!$A$6:$A$11,1))))*(INDEX(Reference!$B$6:$B$11,MIN(5,MATCH(MAX(Reference!$A$6,MIN(Reference!$A$11,MIN($U162,180))),Reference!$A$6:$A$11,1))+1)-INDEX(Reference!$B$6:$B$11,MIN(5,MATCH(MAX(Reference!$A$6,MIN(Reference!$A$11,MIN($U162,180))),Reference!$A$6:$A$11,1))))/(INDEX(Reference!$A$6:$A$11,MIN(5,MATCH(MAX(Reference!$A$6,MIN(Reference!$A$11,MIN($U162,180))),Reference!$A$6:$A$11,1))+1)-INDEX(Reference!$A$6:$A$11,MIN(5,MATCH(MAX(Reference!$A$6,MIN(Reference!$A$11,MIN($U162,180))),Reference!$A$6:$A$11,1))))),0)+IF(5&lt;=$AL162,($AL162-5+3)*(INDEX(Reference!$B$6:$B$11,MIN(5,MATCH(MAX(Reference!$A$6,MIN(Reference!$A$11,MIN($U162,210))),Reference!$A$6:$A$11,1)))+(MAX(Reference!$A$6,MIN(Reference!$A$11,MIN($U162,210)))-INDEX(Reference!$A$6:$A$11,MIN(5,MATCH(MAX(Reference!$A$6,MIN(Reference!$A$11,MIN($U162,210))),Reference!$A$6:$A$11,1))))*(INDEX(Reference!$B$6:$B$11,MIN(5,MATCH(MAX(Reference!$A$6,MIN(Reference!$A$11,MIN($U162,210))),Reference!$A$6:$A$11,1))+1)-INDEX(Reference!$B$6:$B$11,MIN(5,MATCH(MAX(Reference!$A$6,MIN(Reference!$A$11,MIN($U162,210))),Reference!$A$6:$A$11,1))))/(INDEX(Reference!$A$6:$A$11,MIN(5,MATCH(MAX(Reference!$A$6,MIN(Reference!$A$11,MIN($U162,210))),Reference!$A$6:$A$11,1))+1)-INDEX(Reference!$A$6:$A$11,MIN(5,MATCH(MAX(Reference!$A$6,MIN(Reference!$A$11,MIN($U162,210))),Reference!$A$6:$A$11,1))))),0)+IF(6&lt;=$AL162,($AL162-6+3)*(INDEX(Reference!$B$6:$B$11,MIN(5,MATCH(MAX(Reference!$A$6,MIN(Reference!$A$11,MIN($U162,240))),Reference!$A$6:$A$11,1)))+(MAX(Reference!$A$6,MIN(Reference!$A$11,MIN($U162,240)))-INDEX(Reference!$A$6:$A$11,MIN(5,MATCH(MAX(Reference!$A$6,MIN(Reference!$A$11,MIN($U162,240))),Reference!$A$6:$A$11,1))))*(INDEX(Reference!$B$6:$B$11,MIN(5,MATCH(MAX(Reference!$A$6,MIN(Reference!$A$11,MIN($U162,240))),Reference!$A$6:$A$11,1))+1)-INDEX(Reference!$B$6:$B$11,MIN(5,MATCH(MAX(Reference!$A$6,MIN(Reference!$A$11,MIN($U162,240))),Reference!$A$6:$A$11,1))))/(INDEX(Reference!$A$6:$A$11,MIN(5,MATCH(MAX(Reference!$A$6,MIN(Reference!$A$11,MIN($U162,240))),Reference!$A$6:$A$11,1))+1)-INDEX(Reference!$A$6:$A$11,MIN(5,MATCH(MAX(Reference!$A$6,MIN(Reference!$A$11,MIN($U162,240))),Reference!$A$6:$A$11,1))))),0)+IF(7&lt;=$AL162,($AL162-7+3)*(INDEX(Reference!$B$6:$B$11,MIN(5,MATCH(MAX(Reference!$A$6,MIN(Reference!$A$11,MIN($U162,270))),Reference!$A$6:$A$11,1)))+(MAX(Reference!$A$6,MIN(Reference!$A$11,MIN($U162,270)))-INDEX(Reference!$A$6:$A$11,MIN(5,MATCH(MAX(Reference!$A$6,MIN(Reference!$A$11,MIN($U162,270))),Reference!$A$6:$A$11,1))))*(INDEX(Reference!$B$6:$B$11,MIN(5,MATCH(MAX(Reference!$A$6,MIN(Reference!$A$11,MIN($U162,270))),Reference!$A$6:$A$11,1))+1)-INDEX(Reference!$B$6:$B$11,MIN(5,MATCH(MAX(Reference!$A$6,MIN(Reference!$A$11,MIN($U162,270))),Reference!$A$6:$A$11,1))))/(INDEX(Reference!$A$6:$A$11,MIN(5,MATCH(MAX(Reference!$A$6,MIN(Reference!$A$11,MIN($U162,270))),Reference!$A$6:$A$11,1))+1)-INDEX(Reference!$A$6:$A$11,MIN(5,MATCH(MAX(Reference!$A$6,MIN(Reference!$A$11,MIN($U162,270))),Reference!$A$6:$A$11,1))))),0)+IF(8&lt;=$AL162,($AL162-8+3)*(INDEX(Reference!$B$6:$B$11,MIN(5,MATCH(MAX(Reference!$A$6,MIN(Reference!$A$11,MIN($U162,300))),Reference!$A$6:$A$11,1)))+(MAX(Reference!$A$6,MIN(Reference!$A$11,MIN($U162,300)))-INDEX(Reference!$A$6:$A$11,MIN(5,MATCH(MAX(Reference!$A$6,MIN(Reference!$A$11,MIN($U162,300))),Reference!$A$6:$A$11,1))))*(INDEX(Reference!$B$6:$B$11,MIN(5,MATCH(MAX(Reference!$A$6,MIN(Reference!$A$11,MIN($U162,300))),Reference!$A$6:$A$11,1))+1)-INDEX(Reference!$B$6:$B$11,MIN(5,MATCH(MAX(Reference!$A$6,MIN(Reference!$A$11,MIN($U162,300))),Reference!$A$6:$A$11,1))))/(INDEX(Reference!$A$6:$A$11,MIN(5,MATCH(MAX(Reference!$A$6,MIN(Reference!$A$11,MIN($U162,300))),Reference!$A$6:$A$11,1))+1)-INDEX(Reference!$A$6:$A$11,MIN(5,MATCH(MAX(Reference!$A$6,MIN(Reference!$A$11,MIN($U162,300))),Reference!$A$6:$A$11,1))))),0))/($AL162*($AL162+5)/2)),$AN162))</f>
        <v>0</v>
      </c>
      <c r="AN162" s="32">
        <f>IF($U162="",0,(INDEX(Reference!$B$6:$B$11,MIN(5,MATCH(MAX(Reference!$A$6,MIN(Reference!$A$11,$U162)),Reference!$A$6:$A$11,1)))+(MAX(Reference!$A$6,MIN(Reference!$A$11,$U162))-INDEX(Reference!$A$6:$A$11,MIN(5,MATCH(MAX(Reference!$A$6,MIN(Reference!$A$11,$U162)),Reference!$A$6:$A$11,1))))*(INDEX(Reference!$B$6:$B$11,MIN(5,MATCH(MAX(Reference!$A$6,MIN(Reference!$A$11,$U162)),Reference!$A$6:$A$11,1))+1)-INDEX(Reference!$B$6:$B$11,MIN(5,MATCH(MAX(Reference!$A$6,MIN(Reference!$A$11,$U162)),Reference!$A$6:$A$11,1))))/(INDEX(Reference!$A$6:$A$11,MIN(5,MATCH(MAX(Reference!$A$6,MIN(Reference!$A$11,$U162)),Reference!$A$6:$A$11,1))+1)-INDEX(Reference!$A$6:$A$11,MIN(5,MATCH(MAX(Reference!$A$6,MIN(Reference!$A$11,$U162)),Reference!$A$6:$A$11,1))))))</f>
        <v>0</v>
      </c>
      <c r="AO162" s="37"/>
      <c r="AP162" s="37"/>
      <c r="AQ162" s="37"/>
    </row>
    <row r="163" spans="1:43" x14ac:dyDescent="0.3">
      <c r="A163" s="48" t="str">
        <f t="shared" si="80"/>
        <v/>
      </c>
      <c r="B163" s="32" t="str">
        <f t="shared" si="81"/>
        <v/>
      </c>
      <c r="C163" s="32" t="str">
        <f t="shared" si="82"/>
        <v/>
      </c>
      <c r="D163" s="32" t="str">
        <f t="shared" si="83"/>
        <v/>
      </c>
      <c r="E163" s="32" t="str">
        <f t="shared" si="84"/>
        <v/>
      </c>
      <c r="F163" s="32" t="str">
        <f t="shared" si="85"/>
        <v/>
      </c>
      <c r="G163" s="47" t="str">
        <f t="shared" si="86"/>
        <v/>
      </c>
      <c r="H163" s="30" t="str">
        <f t="shared" si="87"/>
        <v/>
      </c>
      <c r="I163" s="46" t="str">
        <f>IF($A163="","",IF(AND($L163&lt;27,$K$12=0),"Building",IFERROR(((SUM($H$157:$H163)+$K$12*IF($L163&lt;6,SUMIFS('Throw Log'!$Q$5:$Q$300,'Throw Log'!$B$5:$B$300,$D$4,'Throw Log'!$A$5:$A$300,"&gt;="&amp;($D$6+$L163-6),'Throw Log'!$A$5:$A$300,"&lt;="&amp;($D$6-1)),0))/7)/((SUM($H$136:$H163)+$K$12*IF($L163&lt;27,SUMIFS('Throw Log'!$Q$5:$Q$300,'Throw Log'!$B$5:$B$300,$D$4,'Throw Log'!$A$5:$A$300,"&gt;="&amp;($D$6+$L163-27),'Throw Log'!$A$5:$A$300,"&lt;="&amp;($D$6-1)),0))/28),"")))</f>
        <v/>
      </c>
      <c r="J163" s="37"/>
      <c r="K163" s="37"/>
      <c r="L163" s="32">
        <v>120</v>
      </c>
      <c r="M163" s="32">
        <f t="shared" si="88"/>
        <v>18</v>
      </c>
      <c r="N163" s="32">
        <f t="shared" si="89"/>
        <v>1</v>
      </c>
      <c r="O163" s="32">
        <f t="shared" si="90"/>
        <v>1</v>
      </c>
      <c r="P163" s="32" t="str">
        <f>IF(OR($A163="",N($C163)&lt;=7),"",$G$6*$G$9^($M163-1)*IF(AND(MOD($M163,Reference!$B$99)=0,$M163&lt;=$G$5-2),Reference!$B$100,1))</f>
        <v/>
      </c>
      <c r="Q163" s="32" t="str">
        <f>IF($P163="","",IF(SUM($AK$162:$AK$168)=0,0,$P163*INDEX(Reference!$B$108:$B$114,$N163+1)/SUM($AK$162:$AK$168)))</f>
        <v/>
      </c>
      <c r="R163" s="32">
        <f t="shared" si="91"/>
        <v>120</v>
      </c>
      <c r="S163" s="32">
        <f t="shared" si="92"/>
        <v>105</v>
      </c>
      <c r="T163" s="32" t="str">
        <f>IF($A163="","",IF($C163=0,"Bullpen",IF(OR($C163=7,$C163=1,$C163=5),"Recovery/Easy Catch",IF($C163=6,"Compression/Pulldowns",IF(OR($C163=4,$C163=2),"Long Toss",IF($C163=3,"No Throw",IF($N163=2,"No Throw",IF($N163=6,IF($O163&lt;Reference!$B$104,"No Throw","Recovery/Easy Catch"),IF(OR($N163=0,$N163=4),"Recovery/Easy Catch",IF($N163=1,IF($R163&gt;75,"Long Toss","Recovery/Easy Catch"),IF($N163=3,IF($O163&lt;0.5,IF($S163&gt;75,"Long Toss","Recovery/Easy Catch"),"Compression/Pulldowns"),IF($S163&gt;75,"Long Toss","Recovery/Easy Catch"))))))))))))</f>
        <v/>
      </c>
      <c r="U163" s="32" t="str">
        <f t="shared" si="93"/>
        <v/>
      </c>
      <c r="V163" s="32" t="str">
        <f t="shared" si="94"/>
        <v/>
      </c>
      <c r="W163" s="32" t="str">
        <f t="shared" si="95"/>
        <v/>
      </c>
      <c r="X163" s="32">
        <f t="shared" si="96"/>
        <v>0</v>
      </c>
      <c r="Y163" s="32" t="str">
        <f t="shared" si="97"/>
        <v/>
      </c>
      <c r="Z163" s="32" t="str">
        <f t="shared" si="98"/>
        <v/>
      </c>
      <c r="AA163" s="32" t="str">
        <f t="shared" si="99"/>
        <v/>
      </c>
      <c r="AB163" s="32" t="str">
        <f>IF($A163="","",IF($T163="No Throw",0,IF($K163&lt;&gt;"",$K163,IF($AA163&lt;&gt;"",ROUND($AA163*$D$12*IF($C163=0,1,$G$10),0),MIN(IF($T163="Recovery/Easy Catch",Reference!$B$103,IF($T163="Long Toss",Reference!$B$106,Reference!$B$102)),MAX(Reference!$B$101,ROUND(MAX(0,$Q163-$AE163)/$AF163,0)))))))</f>
        <v/>
      </c>
      <c r="AC163" s="32">
        <f t="shared" si="100"/>
        <v>0</v>
      </c>
      <c r="AD163" s="32" t="b">
        <f t="shared" si="101"/>
        <v>1</v>
      </c>
      <c r="AE163" s="32">
        <f>IF($X163=0,0,$X163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163+$Z163)/2,0),Reference!$A$17:$B$20,2,TRUE()))</f>
        <v>0</v>
      </c>
      <c r="AF163" s="32">
        <f>IF(OR($A163="",$U163="",$T163="No Throw"),0,$AM163*VLOOKUP(MAX(($V163+$W163)/2,0),Reference!$A$17:$B$20,2,TRUE()))</f>
        <v>0</v>
      </c>
      <c r="AG163" s="32">
        <f>IF($AC163=0,0,$AC163*INDEX(Reference!$B$61:$B$62,MATCH("Bullpen",Reference!$A$61:$A$62,0))*VLOOKUP(MAX($D$5-($D$9+$E$9)/2,0),Reference!$A$17:$B$20,2,TRUE()))</f>
        <v>0</v>
      </c>
      <c r="AH163" s="32" t="e">
        <f t="shared" si="102"/>
        <v>#N/A</v>
      </c>
      <c r="AI163" s="32" t="e">
        <f>IF($A163="",NA(),Reference!$A$25)</f>
        <v>#N/A</v>
      </c>
      <c r="AJ163" s="32" t="e">
        <f t="shared" si="103"/>
        <v>#N/A</v>
      </c>
      <c r="AK163" s="32">
        <f>IF(OR($A163="",N($C163)&lt;=7,$T163="No Throw",$J163="x"),0,INDEX(Reference!$B$108:$B$114,$N163+1))</f>
        <v>0</v>
      </c>
      <c r="AL163" s="32">
        <f t="shared" si="104"/>
        <v>1</v>
      </c>
      <c r="AM163" s="32">
        <f>IF($U163="",0,IF($AL163&gt;1,((IF(1&lt;=$AL163,($AL163-1+3)*(INDEX(Reference!$B$6:$B$11,MIN(5,MATCH(MAX(Reference!$A$6,MIN(Reference!$A$11,MIN($U163,90))),Reference!$A$6:$A$11,1)))+(MAX(Reference!$A$6,MIN(Reference!$A$11,MIN($U163,90)))-INDEX(Reference!$A$6:$A$11,MIN(5,MATCH(MAX(Reference!$A$6,MIN(Reference!$A$11,MIN($U163,90))),Reference!$A$6:$A$11,1))))*(INDEX(Reference!$B$6:$B$11,MIN(5,MATCH(MAX(Reference!$A$6,MIN(Reference!$A$11,MIN($U163,90))),Reference!$A$6:$A$11,1))+1)-INDEX(Reference!$B$6:$B$11,MIN(5,MATCH(MAX(Reference!$A$6,MIN(Reference!$A$11,MIN($U163,90))),Reference!$A$6:$A$11,1))))/(INDEX(Reference!$A$6:$A$11,MIN(5,MATCH(MAX(Reference!$A$6,MIN(Reference!$A$11,MIN($U163,90))),Reference!$A$6:$A$11,1))+1)-INDEX(Reference!$A$6:$A$11,MIN(5,MATCH(MAX(Reference!$A$6,MIN(Reference!$A$11,MIN($U163,90))),Reference!$A$6:$A$11,1))))),0)+IF(2&lt;=$AL163,($AL163-2+3)*(INDEX(Reference!$B$6:$B$11,MIN(5,MATCH(MAX(Reference!$A$6,MIN(Reference!$A$11,MIN($U163,120))),Reference!$A$6:$A$11,1)))+(MAX(Reference!$A$6,MIN(Reference!$A$11,MIN($U163,120)))-INDEX(Reference!$A$6:$A$11,MIN(5,MATCH(MAX(Reference!$A$6,MIN(Reference!$A$11,MIN($U163,120))),Reference!$A$6:$A$11,1))))*(INDEX(Reference!$B$6:$B$11,MIN(5,MATCH(MAX(Reference!$A$6,MIN(Reference!$A$11,MIN($U163,120))),Reference!$A$6:$A$11,1))+1)-INDEX(Reference!$B$6:$B$11,MIN(5,MATCH(MAX(Reference!$A$6,MIN(Reference!$A$11,MIN($U163,120))),Reference!$A$6:$A$11,1))))/(INDEX(Reference!$A$6:$A$11,MIN(5,MATCH(MAX(Reference!$A$6,MIN(Reference!$A$11,MIN($U163,120))),Reference!$A$6:$A$11,1))+1)-INDEX(Reference!$A$6:$A$11,MIN(5,MATCH(MAX(Reference!$A$6,MIN(Reference!$A$11,MIN($U163,120))),Reference!$A$6:$A$11,1))))),0)+IF(3&lt;=$AL163,($AL163-3+3)*(INDEX(Reference!$B$6:$B$11,MIN(5,MATCH(MAX(Reference!$A$6,MIN(Reference!$A$11,MIN($U163,150))),Reference!$A$6:$A$11,1)))+(MAX(Reference!$A$6,MIN(Reference!$A$11,MIN($U163,150)))-INDEX(Reference!$A$6:$A$11,MIN(5,MATCH(MAX(Reference!$A$6,MIN(Reference!$A$11,MIN($U163,150))),Reference!$A$6:$A$11,1))))*(INDEX(Reference!$B$6:$B$11,MIN(5,MATCH(MAX(Reference!$A$6,MIN(Reference!$A$11,MIN($U163,150))),Reference!$A$6:$A$11,1))+1)-INDEX(Reference!$B$6:$B$11,MIN(5,MATCH(MAX(Reference!$A$6,MIN(Reference!$A$11,MIN($U163,150))),Reference!$A$6:$A$11,1))))/(INDEX(Reference!$A$6:$A$11,MIN(5,MATCH(MAX(Reference!$A$6,MIN(Reference!$A$11,MIN($U163,150))),Reference!$A$6:$A$11,1))+1)-INDEX(Reference!$A$6:$A$11,MIN(5,MATCH(MAX(Reference!$A$6,MIN(Reference!$A$11,MIN($U163,150))),Reference!$A$6:$A$11,1))))),0)+IF(4&lt;=$AL163,($AL163-4+3)*(INDEX(Reference!$B$6:$B$11,MIN(5,MATCH(MAX(Reference!$A$6,MIN(Reference!$A$11,MIN($U163,180))),Reference!$A$6:$A$11,1)))+(MAX(Reference!$A$6,MIN(Reference!$A$11,MIN($U163,180)))-INDEX(Reference!$A$6:$A$11,MIN(5,MATCH(MAX(Reference!$A$6,MIN(Reference!$A$11,MIN($U163,180))),Reference!$A$6:$A$11,1))))*(INDEX(Reference!$B$6:$B$11,MIN(5,MATCH(MAX(Reference!$A$6,MIN(Reference!$A$11,MIN($U163,180))),Reference!$A$6:$A$11,1))+1)-INDEX(Reference!$B$6:$B$11,MIN(5,MATCH(MAX(Reference!$A$6,MIN(Reference!$A$11,MIN($U163,180))),Reference!$A$6:$A$11,1))))/(INDEX(Reference!$A$6:$A$11,MIN(5,MATCH(MAX(Reference!$A$6,MIN(Reference!$A$11,MIN($U163,180))),Reference!$A$6:$A$11,1))+1)-INDEX(Reference!$A$6:$A$11,MIN(5,MATCH(MAX(Reference!$A$6,MIN(Reference!$A$11,MIN($U163,180))),Reference!$A$6:$A$11,1))))),0)+IF(5&lt;=$AL163,($AL163-5+3)*(INDEX(Reference!$B$6:$B$11,MIN(5,MATCH(MAX(Reference!$A$6,MIN(Reference!$A$11,MIN($U163,210))),Reference!$A$6:$A$11,1)))+(MAX(Reference!$A$6,MIN(Reference!$A$11,MIN($U163,210)))-INDEX(Reference!$A$6:$A$11,MIN(5,MATCH(MAX(Reference!$A$6,MIN(Reference!$A$11,MIN($U163,210))),Reference!$A$6:$A$11,1))))*(INDEX(Reference!$B$6:$B$11,MIN(5,MATCH(MAX(Reference!$A$6,MIN(Reference!$A$11,MIN($U163,210))),Reference!$A$6:$A$11,1))+1)-INDEX(Reference!$B$6:$B$11,MIN(5,MATCH(MAX(Reference!$A$6,MIN(Reference!$A$11,MIN($U163,210))),Reference!$A$6:$A$11,1))))/(INDEX(Reference!$A$6:$A$11,MIN(5,MATCH(MAX(Reference!$A$6,MIN(Reference!$A$11,MIN($U163,210))),Reference!$A$6:$A$11,1))+1)-INDEX(Reference!$A$6:$A$11,MIN(5,MATCH(MAX(Reference!$A$6,MIN(Reference!$A$11,MIN($U163,210))),Reference!$A$6:$A$11,1))))),0)+IF(6&lt;=$AL163,($AL163-6+3)*(INDEX(Reference!$B$6:$B$11,MIN(5,MATCH(MAX(Reference!$A$6,MIN(Reference!$A$11,MIN($U163,240))),Reference!$A$6:$A$11,1)))+(MAX(Reference!$A$6,MIN(Reference!$A$11,MIN($U163,240)))-INDEX(Reference!$A$6:$A$11,MIN(5,MATCH(MAX(Reference!$A$6,MIN(Reference!$A$11,MIN($U163,240))),Reference!$A$6:$A$11,1))))*(INDEX(Reference!$B$6:$B$11,MIN(5,MATCH(MAX(Reference!$A$6,MIN(Reference!$A$11,MIN($U163,240))),Reference!$A$6:$A$11,1))+1)-INDEX(Reference!$B$6:$B$11,MIN(5,MATCH(MAX(Reference!$A$6,MIN(Reference!$A$11,MIN($U163,240))),Reference!$A$6:$A$11,1))))/(INDEX(Reference!$A$6:$A$11,MIN(5,MATCH(MAX(Reference!$A$6,MIN(Reference!$A$11,MIN($U163,240))),Reference!$A$6:$A$11,1))+1)-INDEX(Reference!$A$6:$A$11,MIN(5,MATCH(MAX(Reference!$A$6,MIN(Reference!$A$11,MIN($U163,240))),Reference!$A$6:$A$11,1))))),0)+IF(7&lt;=$AL163,($AL163-7+3)*(INDEX(Reference!$B$6:$B$11,MIN(5,MATCH(MAX(Reference!$A$6,MIN(Reference!$A$11,MIN($U163,270))),Reference!$A$6:$A$11,1)))+(MAX(Reference!$A$6,MIN(Reference!$A$11,MIN($U163,270)))-INDEX(Reference!$A$6:$A$11,MIN(5,MATCH(MAX(Reference!$A$6,MIN(Reference!$A$11,MIN($U163,270))),Reference!$A$6:$A$11,1))))*(INDEX(Reference!$B$6:$B$11,MIN(5,MATCH(MAX(Reference!$A$6,MIN(Reference!$A$11,MIN($U163,270))),Reference!$A$6:$A$11,1))+1)-INDEX(Reference!$B$6:$B$11,MIN(5,MATCH(MAX(Reference!$A$6,MIN(Reference!$A$11,MIN($U163,270))),Reference!$A$6:$A$11,1))))/(INDEX(Reference!$A$6:$A$11,MIN(5,MATCH(MAX(Reference!$A$6,MIN(Reference!$A$11,MIN($U163,270))),Reference!$A$6:$A$11,1))+1)-INDEX(Reference!$A$6:$A$11,MIN(5,MATCH(MAX(Reference!$A$6,MIN(Reference!$A$11,MIN($U163,270))),Reference!$A$6:$A$11,1))))),0)+IF(8&lt;=$AL163,($AL163-8+3)*(INDEX(Reference!$B$6:$B$11,MIN(5,MATCH(MAX(Reference!$A$6,MIN(Reference!$A$11,MIN($U163,300))),Reference!$A$6:$A$11,1)))+(MAX(Reference!$A$6,MIN(Reference!$A$11,MIN($U163,300)))-INDEX(Reference!$A$6:$A$11,MIN(5,MATCH(MAX(Reference!$A$6,MIN(Reference!$A$11,MIN($U163,300))),Reference!$A$6:$A$11,1))))*(INDEX(Reference!$B$6:$B$11,MIN(5,MATCH(MAX(Reference!$A$6,MIN(Reference!$A$11,MIN($U163,300))),Reference!$A$6:$A$11,1))+1)-INDEX(Reference!$B$6:$B$11,MIN(5,MATCH(MAX(Reference!$A$6,MIN(Reference!$A$11,MIN($U163,300))),Reference!$A$6:$A$11,1))))/(INDEX(Reference!$A$6:$A$11,MIN(5,MATCH(MAX(Reference!$A$6,MIN(Reference!$A$11,MIN($U163,300))),Reference!$A$6:$A$11,1))+1)-INDEX(Reference!$A$6:$A$11,MIN(5,MATCH(MAX(Reference!$A$6,MIN(Reference!$A$11,MIN($U163,300))),Reference!$A$6:$A$11,1))))),0))/($AL163*($AL163+5)/2)),$AN163))</f>
        <v>0</v>
      </c>
      <c r="AN163" s="32">
        <f>IF($U163="",0,(INDEX(Reference!$B$6:$B$11,MIN(5,MATCH(MAX(Reference!$A$6,MIN(Reference!$A$11,$U163)),Reference!$A$6:$A$11,1)))+(MAX(Reference!$A$6,MIN(Reference!$A$11,$U163))-INDEX(Reference!$A$6:$A$11,MIN(5,MATCH(MAX(Reference!$A$6,MIN(Reference!$A$11,$U163)),Reference!$A$6:$A$11,1))))*(INDEX(Reference!$B$6:$B$11,MIN(5,MATCH(MAX(Reference!$A$6,MIN(Reference!$A$11,$U163)),Reference!$A$6:$A$11,1))+1)-INDEX(Reference!$B$6:$B$11,MIN(5,MATCH(MAX(Reference!$A$6,MIN(Reference!$A$11,$U163)),Reference!$A$6:$A$11,1))))/(INDEX(Reference!$A$6:$A$11,MIN(5,MATCH(MAX(Reference!$A$6,MIN(Reference!$A$11,$U163)),Reference!$A$6:$A$11,1))+1)-INDEX(Reference!$A$6:$A$11,MIN(5,MATCH(MAX(Reference!$A$6,MIN(Reference!$A$11,$U163)),Reference!$A$6:$A$11,1))))))</f>
        <v>0</v>
      </c>
      <c r="AO163" s="37"/>
      <c r="AP163" s="37"/>
      <c r="AQ163" s="37"/>
    </row>
    <row r="164" spans="1:43" x14ac:dyDescent="0.3">
      <c r="A164" s="48" t="str">
        <f t="shared" si="80"/>
        <v/>
      </c>
      <c r="B164" s="32" t="str">
        <f t="shared" si="81"/>
        <v/>
      </c>
      <c r="C164" s="32" t="str">
        <f t="shared" si="82"/>
        <v/>
      </c>
      <c r="D164" s="32" t="str">
        <f t="shared" si="83"/>
        <v/>
      </c>
      <c r="E164" s="32" t="str">
        <f t="shared" si="84"/>
        <v/>
      </c>
      <c r="F164" s="32" t="str">
        <f t="shared" si="85"/>
        <v/>
      </c>
      <c r="G164" s="47" t="str">
        <f t="shared" si="86"/>
        <v/>
      </c>
      <c r="H164" s="30" t="str">
        <f t="shared" si="87"/>
        <v/>
      </c>
      <c r="I164" s="46" t="str">
        <f>IF($A164="","",IF(AND($L164&lt;27,$K$12=0),"Building",IFERROR(((SUM($H$158:$H164)+$K$12*IF($L164&lt;6,SUMIFS('Throw Log'!$Q$5:$Q$300,'Throw Log'!$B$5:$B$300,$D$4,'Throw Log'!$A$5:$A$300,"&gt;="&amp;($D$6+$L164-6),'Throw Log'!$A$5:$A$300,"&lt;="&amp;($D$6-1)),0))/7)/((SUM($H$137:$H164)+$K$12*IF($L164&lt;27,SUMIFS('Throw Log'!$Q$5:$Q$300,'Throw Log'!$B$5:$B$300,$D$4,'Throw Log'!$A$5:$A$300,"&gt;="&amp;($D$6+$L164-27),'Throw Log'!$A$5:$A$300,"&lt;="&amp;($D$6-1)),0))/28),"")))</f>
        <v/>
      </c>
      <c r="J164" s="37"/>
      <c r="K164" s="37"/>
      <c r="L164" s="32">
        <v>121</v>
      </c>
      <c r="M164" s="32">
        <f t="shared" si="88"/>
        <v>18</v>
      </c>
      <c r="N164" s="32">
        <f t="shared" si="89"/>
        <v>2</v>
      </c>
      <c r="O164" s="32">
        <f t="shared" si="90"/>
        <v>1</v>
      </c>
      <c r="P164" s="32" t="str">
        <f>IF(OR($A164="",N($C164)&lt;=7),"",$G$6*$G$9^($M164-1)*IF(AND(MOD($M164,Reference!$B$99)=0,$M164&lt;=$G$5-2),Reference!$B$100,1))</f>
        <v/>
      </c>
      <c r="Q164" s="32" t="str">
        <f>IF($P164="","",IF(SUM($AK$162:$AK$168)=0,0,$P164*INDEX(Reference!$B$108:$B$114,$N164+1)/SUM($AK$162:$AK$168)))</f>
        <v/>
      </c>
      <c r="R164" s="32">
        <f t="shared" si="91"/>
        <v>120</v>
      </c>
      <c r="S164" s="32">
        <f t="shared" si="92"/>
        <v>105</v>
      </c>
      <c r="T164" s="32" t="str">
        <f>IF($A164="","",IF($C164=0,"Bullpen",IF(OR($C164=7,$C164=1,$C164=5),"Recovery/Easy Catch",IF($C164=6,"Compression/Pulldowns",IF(OR($C164=4,$C164=2),"Long Toss",IF($C164=3,"No Throw",IF($N164=2,"No Throw",IF($N164=6,IF($O164&lt;Reference!$B$104,"No Throw","Recovery/Easy Catch"),IF(OR($N164=0,$N164=4),"Recovery/Easy Catch",IF($N164=1,IF($R164&gt;75,"Long Toss","Recovery/Easy Catch"),IF($N164=3,IF($O164&lt;0.5,IF($S164&gt;75,"Long Toss","Recovery/Easy Catch"),"Compression/Pulldowns"),IF($S164&gt;75,"Long Toss","Recovery/Easy Catch"))))))))))))</f>
        <v/>
      </c>
      <c r="U164" s="32" t="str">
        <f t="shared" si="93"/>
        <v/>
      </c>
      <c r="V164" s="32" t="str">
        <f t="shared" si="94"/>
        <v/>
      </c>
      <c r="W164" s="32" t="str">
        <f t="shared" si="95"/>
        <v/>
      </c>
      <c r="X164" s="32">
        <f t="shared" si="96"/>
        <v>0</v>
      </c>
      <c r="Y164" s="32" t="str">
        <f t="shared" si="97"/>
        <v/>
      </c>
      <c r="Z164" s="32" t="str">
        <f t="shared" si="98"/>
        <v/>
      </c>
      <c r="AA164" s="32" t="str">
        <f t="shared" si="99"/>
        <v/>
      </c>
      <c r="AB164" s="32" t="str">
        <f>IF($A164="","",IF($T164="No Throw",0,IF($K164&lt;&gt;"",$K164,IF($AA164&lt;&gt;"",ROUND($AA164*$D$12*IF($C164=0,1,$G$10),0),MIN(IF($T164="Recovery/Easy Catch",Reference!$B$103,IF($T164="Long Toss",Reference!$B$106,Reference!$B$102)),MAX(Reference!$B$101,ROUND(MAX(0,$Q164-$AE164)/$AF164,0)))))))</f>
        <v/>
      </c>
      <c r="AC164" s="32">
        <f t="shared" si="100"/>
        <v>0</v>
      </c>
      <c r="AD164" s="32" t="b">
        <f t="shared" si="101"/>
        <v>1</v>
      </c>
      <c r="AE164" s="32">
        <f>IF($X164=0,0,$X164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164+$Z164)/2,0),Reference!$A$17:$B$20,2,TRUE()))</f>
        <v>0</v>
      </c>
      <c r="AF164" s="32">
        <f>IF(OR($A164="",$U164="",$T164="No Throw"),0,$AM164*VLOOKUP(MAX(($V164+$W164)/2,0),Reference!$A$17:$B$20,2,TRUE()))</f>
        <v>0</v>
      </c>
      <c r="AG164" s="32">
        <f>IF($AC164=0,0,$AC164*INDEX(Reference!$B$61:$B$62,MATCH("Bullpen",Reference!$A$61:$A$62,0))*VLOOKUP(MAX($D$5-($D$9+$E$9)/2,0),Reference!$A$17:$B$20,2,TRUE()))</f>
        <v>0</v>
      </c>
      <c r="AH164" s="32" t="e">
        <f t="shared" si="102"/>
        <v>#N/A</v>
      </c>
      <c r="AI164" s="32" t="e">
        <f>IF($A164="",NA(),Reference!$A$25)</f>
        <v>#N/A</v>
      </c>
      <c r="AJ164" s="32" t="e">
        <f t="shared" si="103"/>
        <v>#N/A</v>
      </c>
      <c r="AK164" s="32">
        <f>IF(OR($A164="",N($C164)&lt;=7,$T164="No Throw",$J164="x"),0,INDEX(Reference!$B$108:$B$114,$N164+1))</f>
        <v>0</v>
      </c>
      <c r="AL164" s="32">
        <f t="shared" si="104"/>
        <v>1</v>
      </c>
      <c r="AM164" s="32">
        <f>IF($U164="",0,IF($AL164&gt;1,((IF(1&lt;=$AL164,($AL164-1+3)*(INDEX(Reference!$B$6:$B$11,MIN(5,MATCH(MAX(Reference!$A$6,MIN(Reference!$A$11,MIN($U164,90))),Reference!$A$6:$A$11,1)))+(MAX(Reference!$A$6,MIN(Reference!$A$11,MIN($U164,90)))-INDEX(Reference!$A$6:$A$11,MIN(5,MATCH(MAX(Reference!$A$6,MIN(Reference!$A$11,MIN($U164,90))),Reference!$A$6:$A$11,1))))*(INDEX(Reference!$B$6:$B$11,MIN(5,MATCH(MAX(Reference!$A$6,MIN(Reference!$A$11,MIN($U164,90))),Reference!$A$6:$A$11,1))+1)-INDEX(Reference!$B$6:$B$11,MIN(5,MATCH(MAX(Reference!$A$6,MIN(Reference!$A$11,MIN($U164,90))),Reference!$A$6:$A$11,1))))/(INDEX(Reference!$A$6:$A$11,MIN(5,MATCH(MAX(Reference!$A$6,MIN(Reference!$A$11,MIN($U164,90))),Reference!$A$6:$A$11,1))+1)-INDEX(Reference!$A$6:$A$11,MIN(5,MATCH(MAX(Reference!$A$6,MIN(Reference!$A$11,MIN($U164,90))),Reference!$A$6:$A$11,1))))),0)+IF(2&lt;=$AL164,($AL164-2+3)*(INDEX(Reference!$B$6:$B$11,MIN(5,MATCH(MAX(Reference!$A$6,MIN(Reference!$A$11,MIN($U164,120))),Reference!$A$6:$A$11,1)))+(MAX(Reference!$A$6,MIN(Reference!$A$11,MIN($U164,120)))-INDEX(Reference!$A$6:$A$11,MIN(5,MATCH(MAX(Reference!$A$6,MIN(Reference!$A$11,MIN($U164,120))),Reference!$A$6:$A$11,1))))*(INDEX(Reference!$B$6:$B$11,MIN(5,MATCH(MAX(Reference!$A$6,MIN(Reference!$A$11,MIN($U164,120))),Reference!$A$6:$A$11,1))+1)-INDEX(Reference!$B$6:$B$11,MIN(5,MATCH(MAX(Reference!$A$6,MIN(Reference!$A$11,MIN($U164,120))),Reference!$A$6:$A$11,1))))/(INDEX(Reference!$A$6:$A$11,MIN(5,MATCH(MAX(Reference!$A$6,MIN(Reference!$A$11,MIN($U164,120))),Reference!$A$6:$A$11,1))+1)-INDEX(Reference!$A$6:$A$11,MIN(5,MATCH(MAX(Reference!$A$6,MIN(Reference!$A$11,MIN($U164,120))),Reference!$A$6:$A$11,1))))),0)+IF(3&lt;=$AL164,($AL164-3+3)*(INDEX(Reference!$B$6:$B$11,MIN(5,MATCH(MAX(Reference!$A$6,MIN(Reference!$A$11,MIN($U164,150))),Reference!$A$6:$A$11,1)))+(MAX(Reference!$A$6,MIN(Reference!$A$11,MIN($U164,150)))-INDEX(Reference!$A$6:$A$11,MIN(5,MATCH(MAX(Reference!$A$6,MIN(Reference!$A$11,MIN($U164,150))),Reference!$A$6:$A$11,1))))*(INDEX(Reference!$B$6:$B$11,MIN(5,MATCH(MAX(Reference!$A$6,MIN(Reference!$A$11,MIN($U164,150))),Reference!$A$6:$A$11,1))+1)-INDEX(Reference!$B$6:$B$11,MIN(5,MATCH(MAX(Reference!$A$6,MIN(Reference!$A$11,MIN($U164,150))),Reference!$A$6:$A$11,1))))/(INDEX(Reference!$A$6:$A$11,MIN(5,MATCH(MAX(Reference!$A$6,MIN(Reference!$A$11,MIN($U164,150))),Reference!$A$6:$A$11,1))+1)-INDEX(Reference!$A$6:$A$11,MIN(5,MATCH(MAX(Reference!$A$6,MIN(Reference!$A$11,MIN($U164,150))),Reference!$A$6:$A$11,1))))),0)+IF(4&lt;=$AL164,($AL164-4+3)*(INDEX(Reference!$B$6:$B$11,MIN(5,MATCH(MAX(Reference!$A$6,MIN(Reference!$A$11,MIN($U164,180))),Reference!$A$6:$A$11,1)))+(MAX(Reference!$A$6,MIN(Reference!$A$11,MIN($U164,180)))-INDEX(Reference!$A$6:$A$11,MIN(5,MATCH(MAX(Reference!$A$6,MIN(Reference!$A$11,MIN($U164,180))),Reference!$A$6:$A$11,1))))*(INDEX(Reference!$B$6:$B$11,MIN(5,MATCH(MAX(Reference!$A$6,MIN(Reference!$A$11,MIN($U164,180))),Reference!$A$6:$A$11,1))+1)-INDEX(Reference!$B$6:$B$11,MIN(5,MATCH(MAX(Reference!$A$6,MIN(Reference!$A$11,MIN($U164,180))),Reference!$A$6:$A$11,1))))/(INDEX(Reference!$A$6:$A$11,MIN(5,MATCH(MAX(Reference!$A$6,MIN(Reference!$A$11,MIN($U164,180))),Reference!$A$6:$A$11,1))+1)-INDEX(Reference!$A$6:$A$11,MIN(5,MATCH(MAX(Reference!$A$6,MIN(Reference!$A$11,MIN($U164,180))),Reference!$A$6:$A$11,1))))),0)+IF(5&lt;=$AL164,($AL164-5+3)*(INDEX(Reference!$B$6:$B$11,MIN(5,MATCH(MAX(Reference!$A$6,MIN(Reference!$A$11,MIN($U164,210))),Reference!$A$6:$A$11,1)))+(MAX(Reference!$A$6,MIN(Reference!$A$11,MIN($U164,210)))-INDEX(Reference!$A$6:$A$11,MIN(5,MATCH(MAX(Reference!$A$6,MIN(Reference!$A$11,MIN($U164,210))),Reference!$A$6:$A$11,1))))*(INDEX(Reference!$B$6:$B$11,MIN(5,MATCH(MAX(Reference!$A$6,MIN(Reference!$A$11,MIN($U164,210))),Reference!$A$6:$A$11,1))+1)-INDEX(Reference!$B$6:$B$11,MIN(5,MATCH(MAX(Reference!$A$6,MIN(Reference!$A$11,MIN($U164,210))),Reference!$A$6:$A$11,1))))/(INDEX(Reference!$A$6:$A$11,MIN(5,MATCH(MAX(Reference!$A$6,MIN(Reference!$A$11,MIN($U164,210))),Reference!$A$6:$A$11,1))+1)-INDEX(Reference!$A$6:$A$11,MIN(5,MATCH(MAX(Reference!$A$6,MIN(Reference!$A$11,MIN($U164,210))),Reference!$A$6:$A$11,1))))),0)+IF(6&lt;=$AL164,($AL164-6+3)*(INDEX(Reference!$B$6:$B$11,MIN(5,MATCH(MAX(Reference!$A$6,MIN(Reference!$A$11,MIN($U164,240))),Reference!$A$6:$A$11,1)))+(MAX(Reference!$A$6,MIN(Reference!$A$11,MIN($U164,240)))-INDEX(Reference!$A$6:$A$11,MIN(5,MATCH(MAX(Reference!$A$6,MIN(Reference!$A$11,MIN($U164,240))),Reference!$A$6:$A$11,1))))*(INDEX(Reference!$B$6:$B$11,MIN(5,MATCH(MAX(Reference!$A$6,MIN(Reference!$A$11,MIN($U164,240))),Reference!$A$6:$A$11,1))+1)-INDEX(Reference!$B$6:$B$11,MIN(5,MATCH(MAX(Reference!$A$6,MIN(Reference!$A$11,MIN($U164,240))),Reference!$A$6:$A$11,1))))/(INDEX(Reference!$A$6:$A$11,MIN(5,MATCH(MAX(Reference!$A$6,MIN(Reference!$A$11,MIN($U164,240))),Reference!$A$6:$A$11,1))+1)-INDEX(Reference!$A$6:$A$11,MIN(5,MATCH(MAX(Reference!$A$6,MIN(Reference!$A$11,MIN($U164,240))),Reference!$A$6:$A$11,1))))),0)+IF(7&lt;=$AL164,($AL164-7+3)*(INDEX(Reference!$B$6:$B$11,MIN(5,MATCH(MAX(Reference!$A$6,MIN(Reference!$A$11,MIN($U164,270))),Reference!$A$6:$A$11,1)))+(MAX(Reference!$A$6,MIN(Reference!$A$11,MIN($U164,270)))-INDEX(Reference!$A$6:$A$11,MIN(5,MATCH(MAX(Reference!$A$6,MIN(Reference!$A$11,MIN($U164,270))),Reference!$A$6:$A$11,1))))*(INDEX(Reference!$B$6:$B$11,MIN(5,MATCH(MAX(Reference!$A$6,MIN(Reference!$A$11,MIN($U164,270))),Reference!$A$6:$A$11,1))+1)-INDEX(Reference!$B$6:$B$11,MIN(5,MATCH(MAX(Reference!$A$6,MIN(Reference!$A$11,MIN($U164,270))),Reference!$A$6:$A$11,1))))/(INDEX(Reference!$A$6:$A$11,MIN(5,MATCH(MAX(Reference!$A$6,MIN(Reference!$A$11,MIN($U164,270))),Reference!$A$6:$A$11,1))+1)-INDEX(Reference!$A$6:$A$11,MIN(5,MATCH(MAX(Reference!$A$6,MIN(Reference!$A$11,MIN($U164,270))),Reference!$A$6:$A$11,1))))),0)+IF(8&lt;=$AL164,($AL164-8+3)*(INDEX(Reference!$B$6:$B$11,MIN(5,MATCH(MAX(Reference!$A$6,MIN(Reference!$A$11,MIN($U164,300))),Reference!$A$6:$A$11,1)))+(MAX(Reference!$A$6,MIN(Reference!$A$11,MIN($U164,300)))-INDEX(Reference!$A$6:$A$11,MIN(5,MATCH(MAX(Reference!$A$6,MIN(Reference!$A$11,MIN($U164,300))),Reference!$A$6:$A$11,1))))*(INDEX(Reference!$B$6:$B$11,MIN(5,MATCH(MAX(Reference!$A$6,MIN(Reference!$A$11,MIN($U164,300))),Reference!$A$6:$A$11,1))+1)-INDEX(Reference!$B$6:$B$11,MIN(5,MATCH(MAX(Reference!$A$6,MIN(Reference!$A$11,MIN($U164,300))),Reference!$A$6:$A$11,1))))/(INDEX(Reference!$A$6:$A$11,MIN(5,MATCH(MAX(Reference!$A$6,MIN(Reference!$A$11,MIN($U164,300))),Reference!$A$6:$A$11,1))+1)-INDEX(Reference!$A$6:$A$11,MIN(5,MATCH(MAX(Reference!$A$6,MIN(Reference!$A$11,MIN($U164,300))),Reference!$A$6:$A$11,1))))),0))/($AL164*($AL164+5)/2)),$AN164))</f>
        <v>0</v>
      </c>
      <c r="AN164" s="32">
        <f>IF($U164="",0,(INDEX(Reference!$B$6:$B$11,MIN(5,MATCH(MAX(Reference!$A$6,MIN(Reference!$A$11,$U164)),Reference!$A$6:$A$11,1)))+(MAX(Reference!$A$6,MIN(Reference!$A$11,$U164))-INDEX(Reference!$A$6:$A$11,MIN(5,MATCH(MAX(Reference!$A$6,MIN(Reference!$A$11,$U164)),Reference!$A$6:$A$11,1))))*(INDEX(Reference!$B$6:$B$11,MIN(5,MATCH(MAX(Reference!$A$6,MIN(Reference!$A$11,$U164)),Reference!$A$6:$A$11,1))+1)-INDEX(Reference!$B$6:$B$11,MIN(5,MATCH(MAX(Reference!$A$6,MIN(Reference!$A$11,$U164)),Reference!$A$6:$A$11,1))))/(INDEX(Reference!$A$6:$A$11,MIN(5,MATCH(MAX(Reference!$A$6,MIN(Reference!$A$11,$U164)),Reference!$A$6:$A$11,1))+1)-INDEX(Reference!$A$6:$A$11,MIN(5,MATCH(MAX(Reference!$A$6,MIN(Reference!$A$11,$U164)),Reference!$A$6:$A$11,1))))))</f>
        <v>0</v>
      </c>
      <c r="AO164" s="37"/>
      <c r="AP164" s="37"/>
      <c r="AQ164" s="37"/>
    </row>
    <row r="165" spans="1:43" x14ac:dyDescent="0.3">
      <c r="A165" s="48" t="str">
        <f t="shared" si="80"/>
        <v/>
      </c>
      <c r="B165" s="32" t="str">
        <f t="shared" si="81"/>
        <v/>
      </c>
      <c r="C165" s="32" t="str">
        <f t="shared" si="82"/>
        <v/>
      </c>
      <c r="D165" s="32" t="str">
        <f t="shared" si="83"/>
        <v/>
      </c>
      <c r="E165" s="32" t="str">
        <f t="shared" si="84"/>
        <v/>
      </c>
      <c r="F165" s="32" t="str">
        <f t="shared" si="85"/>
        <v/>
      </c>
      <c r="G165" s="47" t="str">
        <f t="shared" si="86"/>
        <v/>
      </c>
      <c r="H165" s="30" t="str">
        <f t="shared" si="87"/>
        <v/>
      </c>
      <c r="I165" s="46" t="str">
        <f>IF($A165="","",IF(AND($L165&lt;27,$K$12=0),"Building",IFERROR(((SUM($H$159:$H165)+$K$12*IF($L165&lt;6,SUMIFS('Throw Log'!$Q$5:$Q$300,'Throw Log'!$B$5:$B$300,$D$4,'Throw Log'!$A$5:$A$300,"&gt;="&amp;($D$6+$L165-6),'Throw Log'!$A$5:$A$300,"&lt;="&amp;($D$6-1)),0))/7)/((SUM($H$138:$H165)+$K$12*IF($L165&lt;27,SUMIFS('Throw Log'!$Q$5:$Q$300,'Throw Log'!$B$5:$B$300,$D$4,'Throw Log'!$A$5:$A$300,"&gt;="&amp;($D$6+$L165-27),'Throw Log'!$A$5:$A$300,"&lt;="&amp;($D$6-1)),0))/28),"")))</f>
        <v/>
      </c>
      <c r="J165" s="37"/>
      <c r="K165" s="37"/>
      <c r="L165" s="32">
        <v>122</v>
      </c>
      <c r="M165" s="32">
        <f t="shared" si="88"/>
        <v>18</v>
      </c>
      <c r="N165" s="32">
        <f t="shared" si="89"/>
        <v>3</v>
      </c>
      <c r="O165" s="32">
        <f t="shared" si="90"/>
        <v>1</v>
      </c>
      <c r="P165" s="32" t="str">
        <f>IF(OR($A165="",N($C165)&lt;=7),"",$G$6*$G$9^($M165-1)*IF(AND(MOD($M165,Reference!$B$99)=0,$M165&lt;=$G$5-2),Reference!$B$100,1))</f>
        <v/>
      </c>
      <c r="Q165" s="32" t="str">
        <f>IF($P165="","",IF(SUM($AK$162:$AK$168)=0,0,$P165*INDEX(Reference!$B$108:$B$114,$N165+1)/SUM($AK$162:$AK$168)))</f>
        <v/>
      </c>
      <c r="R165" s="32">
        <f t="shared" si="91"/>
        <v>120</v>
      </c>
      <c r="S165" s="32">
        <f t="shared" si="92"/>
        <v>105</v>
      </c>
      <c r="T165" s="32" t="str">
        <f>IF($A165="","",IF($C165=0,"Bullpen",IF(OR($C165=7,$C165=1,$C165=5),"Recovery/Easy Catch",IF($C165=6,"Compression/Pulldowns",IF(OR($C165=4,$C165=2),"Long Toss",IF($C165=3,"No Throw",IF($N165=2,"No Throw",IF($N165=6,IF($O165&lt;Reference!$B$104,"No Throw","Recovery/Easy Catch"),IF(OR($N165=0,$N165=4),"Recovery/Easy Catch",IF($N165=1,IF($R165&gt;75,"Long Toss","Recovery/Easy Catch"),IF($N165=3,IF($O165&lt;0.5,IF($S165&gt;75,"Long Toss","Recovery/Easy Catch"),"Compression/Pulldowns"),IF($S165&gt;75,"Long Toss","Recovery/Easy Catch"))))))))))))</f>
        <v/>
      </c>
      <c r="U165" s="32" t="str">
        <f t="shared" si="93"/>
        <v/>
      </c>
      <c r="V165" s="32" t="str">
        <f t="shared" si="94"/>
        <v/>
      </c>
      <c r="W165" s="32" t="str">
        <f t="shared" si="95"/>
        <v/>
      </c>
      <c r="X165" s="32">
        <f t="shared" si="96"/>
        <v>0</v>
      </c>
      <c r="Y165" s="32" t="str">
        <f t="shared" si="97"/>
        <v/>
      </c>
      <c r="Z165" s="32" t="str">
        <f t="shared" si="98"/>
        <v/>
      </c>
      <c r="AA165" s="32" t="str">
        <f t="shared" si="99"/>
        <v/>
      </c>
      <c r="AB165" s="32" t="str">
        <f>IF($A165="","",IF($T165="No Throw",0,IF($K165&lt;&gt;"",$K165,IF($AA165&lt;&gt;"",ROUND($AA165*$D$12*IF($C165=0,1,$G$10),0),MIN(IF($T165="Recovery/Easy Catch",Reference!$B$103,IF($T165="Long Toss",Reference!$B$106,Reference!$B$102)),MAX(Reference!$B$101,ROUND(MAX(0,$Q165-$AE165)/$AF165,0)))))))</f>
        <v/>
      </c>
      <c r="AC165" s="32">
        <f t="shared" si="100"/>
        <v>0</v>
      </c>
      <c r="AD165" s="32" t="b">
        <f t="shared" si="101"/>
        <v>1</v>
      </c>
      <c r="AE165" s="32">
        <f>IF($X165=0,0,$X165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165+$Z165)/2,0),Reference!$A$17:$B$20,2,TRUE()))</f>
        <v>0</v>
      </c>
      <c r="AF165" s="32">
        <f>IF(OR($A165="",$U165="",$T165="No Throw"),0,$AM165*VLOOKUP(MAX(($V165+$W165)/2,0),Reference!$A$17:$B$20,2,TRUE()))</f>
        <v>0</v>
      </c>
      <c r="AG165" s="32">
        <f>IF($AC165=0,0,$AC165*INDEX(Reference!$B$61:$B$62,MATCH("Bullpen",Reference!$A$61:$A$62,0))*VLOOKUP(MAX($D$5-($D$9+$E$9)/2,0),Reference!$A$17:$B$20,2,TRUE()))</f>
        <v>0</v>
      </c>
      <c r="AH165" s="32" t="e">
        <f t="shared" si="102"/>
        <v>#N/A</v>
      </c>
      <c r="AI165" s="32" t="e">
        <f>IF($A165="",NA(),Reference!$A$25)</f>
        <v>#N/A</v>
      </c>
      <c r="AJ165" s="32" t="e">
        <f t="shared" si="103"/>
        <v>#N/A</v>
      </c>
      <c r="AK165" s="32">
        <f>IF(OR($A165="",N($C165)&lt;=7,$T165="No Throw",$J165="x"),0,INDEX(Reference!$B$108:$B$114,$N165+1))</f>
        <v>0</v>
      </c>
      <c r="AL165" s="32">
        <f t="shared" si="104"/>
        <v>1</v>
      </c>
      <c r="AM165" s="32">
        <f>IF($U165="",0,IF($AL165&gt;1,((IF(1&lt;=$AL165,($AL165-1+3)*(INDEX(Reference!$B$6:$B$11,MIN(5,MATCH(MAX(Reference!$A$6,MIN(Reference!$A$11,MIN($U165,90))),Reference!$A$6:$A$11,1)))+(MAX(Reference!$A$6,MIN(Reference!$A$11,MIN($U165,90)))-INDEX(Reference!$A$6:$A$11,MIN(5,MATCH(MAX(Reference!$A$6,MIN(Reference!$A$11,MIN($U165,90))),Reference!$A$6:$A$11,1))))*(INDEX(Reference!$B$6:$B$11,MIN(5,MATCH(MAX(Reference!$A$6,MIN(Reference!$A$11,MIN($U165,90))),Reference!$A$6:$A$11,1))+1)-INDEX(Reference!$B$6:$B$11,MIN(5,MATCH(MAX(Reference!$A$6,MIN(Reference!$A$11,MIN($U165,90))),Reference!$A$6:$A$11,1))))/(INDEX(Reference!$A$6:$A$11,MIN(5,MATCH(MAX(Reference!$A$6,MIN(Reference!$A$11,MIN($U165,90))),Reference!$A$6:$A$11,1))+1)-INDEX(Reference!$A$6:$A$11,MIN(5,MATCH(MAX(Reference!$A$6,MIN(Reference!$A$11,MIN($U165,90))),Reference!$A$6:$A$11,1))))),0)+IF(2&lt;=$AL165,($AL165-2+3)*(INDEX(Reference!$B$6:$B$11,MIN(5,MATCH(MAX(Reference!$A$6,MIN(Reference!$A$11,MIN($U165,120))),Reference!$A$6:$A$11,1)))+(MAX(Reference!$A$6,MIN(Reference!$A$11,MIN($U165,120)))-INDEX(Reference!$A$6:$A$11,MIN(5,MATCH(MAX(Reference!$A$6,MIN(Reference!$A$11,MIN($U165,120))),Reference!$A$6:$A$11,1))))*(INDEX(Reference!$B$6:$B$11,MIN(5,MATCH(MAX(Reference!$A$6,MIN(Reference!$A$11,MIN($U165,120))),Reference!$A$6:$A$11,1))+1)-INDEX(Reference!$B$6:$B$11,MIN(5,MATCH(MAX(Reference!$A$6,MIN(Reference!$A$11,MIN($U165,120))),Reference!$A$6:$A$11,1))))/(INDEX(Reference!$A$6:$A$11,MIN(5,MATCH(MAX(Reference!$A$6,MIN(Reference!$A$11,MIN($U165,120))),Reference!$A$6:$A$11,1))+1)-INDEX(Reference!$A$6:$A$11,MIN(5,MATCH(MAX(Reference!$A$6,MIN(Reference!$A$11,MIN($U165,120))),Reference!$A$6:$A$11,1))))),0)+IF(3&lt;=$AL165,($AL165-3+3)*(INDEX(Reference!$B$6:$B$11,MIN(5,MATCH(MAX(Reference!$A$6,MIN(Reference!$A$11,MIN($U165,150))),Reference!$A$6:$A$11,1)))+(MAX(Reference!$A$6,MIN(Reference!$A$11,MIN($U165,150)))-INDEX(Reference!$A$6:$A$11,MIN(5,MATCH(MAX(Reference!$A$6,MIN(Reference!$A$11,MIN($U165,150))),Reference!$A$6:$A$11,1))))*(INDEX(Reference!$B$6:$B$11,MIN(5,MATCH(MAX(Reference!$A$6,MIN(Reference!$A$11,MIN($U165,150))),Reference!$A$6:$A$11,1))+1)-INDEX(Reference!$B$6:$B$11,MIN(5,MATCH(MAX(Reference!$A$6,MIN(Reference!$A$11,MIN($U165,150))),Reference!$A$6:$A$11,1))))/(INDEX(Reference!$A$6:$A$11,MIN(5,MATCH(MAX(Reference!$A$6,MIN(Reference!$A$11,MIN($U165,150))),Reference!$A$6:$A$11,1))+1)-INDEX(Reference!$A$6:$A$11,MIN(5,MATCH(MAX(Reference!$A$6,MIN(Reference!$A$11,MIN($U165,150))),Reference!$A$6:$A$11,1))))),0)+IF(4&lt;=$AL165,($AL165-4+3)*(INDEX(Reference!$B$6:$B$11,MIN(5,MATCH(MAX(Reference!$A$6,MIN(Reference!$A$11,MIN($U165,180))),Reference!$A$6:$A$11,1)))+(MAX(Reference!$A$6,MIN(Reference!$A$11,MIN($U165,180)))-INDEX(Reference!$A$6:$A$11,MIN(5,MATCH(MAX(Reference!$A$6,MIN(Reference!$A$11,MIN($U165,180))),Reference!$A$6:$A$11,1))))*(INDEX(Reference!$B$6:$B$11,MIN(5,MATCH(MAX(Reference!$A$6,MIN(Reference!$A$11,MIN($U165,180))),Reference!$A$6:$A$11,1))+1)-INDEX(Reference!$B$6:$B$11,MIN(5,MATCH(MAX(Reference!$A$6,MIN(Reference!$A$11,MIN($U165,180))),Reference!$A$6:$A$11,1))))/(INDEX(Reference!$A$6:$A$11,MIN(5,MATCH(MAX(Reference!$A$6,MIN(Reference!$A$11,MIN($U165,180))),Reference!$A$6:$A$11,1))+1)-INDEX(Reference!$A$6:$A$11,MIN(5,MATCH(MAX(Reference!$A$6,MIN(Reference!$A$11,MIN($U165,180))),Reference!$A$6:$A$11,1))))),0)+IF(5&lt;=$AL165,($AL165-5+3)*(INDEX(Reference!$B$6:$B$11,MIN(5,MATCH(MAX(Reference!$A$6,MIN(Reference!$A$11,MIN($U165,210))),Reference!$A$6:$A$11,1)))+(MAX(Reference!$A$6,MIN(Reference!$A$11,MIN($U165,210)))-INDEX(Reference!$A$6:$A$11,MIN(5,MATCH(MAX(Reference!$A$6,MIN(Reference!$A$11,MIN($U165,210))),Reference!$A$6:$A$11,1))))*(INDEX(Reference!$B$6:$B$11,MIN(5,MATCH(MAX(Reference!$A$6,MIN(Reference!$A$11,MIN($U165,210))),Reference!$A$6:$A$11,1))+1)-INDEX(Reference!$B$6:$B$11,MIN(5,MATCH(MAX(Reference!$A$6,MIN(Reference!$A$11,MIN($U165,210))),Reference!$A$6:$A$11,1))))/(INDEX(Reference!$A$6:$A$11,MIN(5,MATCH(MAX(Reference!$A$6,MIN(Reference!$A$11,MIN($U165,210))),Reference!$A$6:$A$11,1))+1)-INDEX(Reference!$A$6:$A$11,MIN(5,MATCH(MAX(Reference!$A$6,MIN(Reference!$A$11,MIN($U165,210))),Reference!$A$6:$A$11,1))))),0)+IF(6&lt;=$AL165,($AL165-6+3)*(INDEX(Reference!$B$6:$B$11,MIN(5,MATCH(MAX(Reference!$A$6,MIN(Reference!$A$11,MIN($U165,240))),Reference!$A$6:$A$11,1)))+(MAX(Reference!$A$6,MIN(Reference!$A$11,MIN($U165,240)))-INDEX(Reference!$A$6:$A$11,MIN(5,MATCH(MAX(Reference!$A$6,MIN(Reference!$A$11,MIN($U165,240))),Reference!$A$6:$A$11,1))))*(INDEX(Reference!$B$6:$B$11,MIN(5,MATCH(MAX(Reference!$A$6,MIN(Reference!$A$11,MIN($U165,240))),Reference!$A$6:$A$11,1))+1)-INDEX(Reference!$B$6:$B$11,MIN(5,MATCH(MAX(Reference!$A$6,MIN(Reference!$A$11,MIN($U165,240))),Reference!$A$6:$A$11,1))))/(INDEX(Reference!$A$6:$A$11,MIN(5,MATCH(MAX(Reference!$A$6,MIN(Reference!$A$11,MIN($U165,240))),Reference!$A$6:$A$11,1))+1)-INDEX(Reference!$A$6:$A$11,MIN(5,MATCH(MAX(Reference!$A$6,MIN(Reference!$A$11,MIN($U165,240))),Reference!$A$6:$A$11,1))))),0)+IF(7&lt;=$AL165,($AL165-7+3)*(INDEX(Reference!$B$6:$B$11,MIN(5,MATCH(MAX(Reference!$A$6,MIN(Reference!$A$11,MIN($U165,270))),Reference!$A$6:$A$11,1)))+(MAX(Reference!$A$6,MIN(Reference!$A$11,MIN($U165,270)))-INDEX(Reference!$A$6:$A$11,MIN(5,MATCH(MAX(Reference!$A$6,MIN(Reference!$A$11,MIN($U165,270))),Reference!$A$6:$A$11,1))))*(INDEX(Reference!$B$6:$B$11,MIN(5,MATCH(MAX(Reference!$A$6,MIN(Reference!$A$11,MIN($U165,270))),Reference!$A$6:$A$11,1))+1)-INDEX(Reference!$B$6:$B$11,MIN(5,MATCH(MAX(Reference!$A$6,MIN(Reference!$A$11,MIN($U165,270))),Reference!$A$6:$A$11,1))))/(INDEX(Reference!$A$6:$A$11,MIN(5,MATCH(MAX(Reference!$A$6,MIN(Reference!$A$11,MIN($U165,270))),Reference!$A$6:$A$11,1))+1)-INDEX(Reference!$A$6:$A$11,MIN(5,MATCH(MAX(Reference!$A$6,MIN(Reference!$A$11,MIN($U165,270))),Reference!$A$6:$A$11,1))))),0)+IF(8&lt;=$AL165,($AL165-8+3)*(INDEX(Reference!$B$6:$B$11,MIN(5,MATCH(MAX(Reference!$A$6,MIN(Reference!$A$11,MIN($U165,300))),Reference!$A$6:$A$11,1)))+(MAX(Reference!$A$6,MIN(Reference!$A$11,MIN($U165,300)))-INDEX(Reference!$A$6:$A$11,MIN(5,MATCH(MAX(Reference!$A$6,MIN(Reference!$A$11,MIN($U165,300))),Reference!$A$6:$A$11,1))))*(INDEX(Reference!$B$6:$B$11,MIN(5,MATCH(MAX(Reference!$A$6,MIN(Reference!$A$11,MIN($U165,300))),Reference!$A$6:$A$11,1))+1)-INDEX(Reference!$B$6:$B$11,MIN(5,MATCH(MAX(Reference!$A$6,MIN(Reference!$A$11,MIN($U165,300))),Reference!$A$6:$A$11,1))))/(INDEX(Reference!$A$6:$A$11,MIN(5,MATCH(MAX(Reference!$A$6,MIN(Reference!$A$11,MIN($U165,300))),Reference!$A$6:$A$11,1))+1)-INDEX(Reference!$A$6:$A$11,MIN(5,MATCH(MAX(Reference!$A$6,MIN(Reference!$A$11,MIN($U165,300))),Reference!$A$6:$A$11,1))))),0))/($AL165*($AL165+5)/2)),$AN165))</f>
        <v>0</v>
      </c>
      <c r="AN165" s="32">
        <f>IF($U165="",0,(INDEX(Reference!$B$6:$B$11,MIN(5,MATCH(MAX(Reference!$A$6,MIN(Reference!$A$11,$U165)),Reference!$A$6:$A$11,1)))+(MAX(Reference!$A$6,MIN(Reference!$A$11,$U165))-INDEX(Reference!$A$6:$A$11,MIN(5,MATCH(MAX(Reference!$A$6,MIN(Reference!$A$11,$U165)),Reference!$A$6:$A$11,1))))*(INDEX(Reference!$B$6:$B$11,MIN(5,MATCH(MAX(Reference!$A$6,MIN(Reference!$A$11,$U165)),Reference!$A$6:$A$11,1))+1)-INDEX(Reference!$B$6:$B$11,MIN(5,MATCH(MAX(Reference!$A$6,MIN(Reference!$A$11,$U165)),Reference!$A$6:$A$11,1))))/(INDEX(Reference!$A$6:$A$11,MIN(5,MATCH(MAX(Reference!$A$6,MIN(Reference!$A$11,$U165)),Reference!$A$6:$A$11,1))+1)-INDEX(Reference!$A$6:$A$11,MIN(5,MATCH(MAX(Reference!$A$6,MIN(Reference!$A$11,$U165)),Reference!$A$6:$A$11,1))))))</f>
        <v>0</v>
      </c>
      <c r="AO165" s="37"/>
      <c r="AP165" s="37"/>
      <c r="AQ165" s="37"/>
    </row>
    <row r="166" spans="1:43" x14ac:dyDescent="0.3">
      <c r="A166" s="48" t="str">
        <f t="shared" si="80"/>
        <v/>
      </c>
      <c r="B166" s="32" t="str">
        <f t="shared" si="81"/>
        <v/>
      </c>
      <c r="C166" s="32" t="str">
        <f t="shared" si="82"/>
        <v/>
      </c>
      <c r="D166" s="32" t="str">
        <f t="shared" si="83"/>
        <v/>
      </c>
      <c r="E166" s="32" t="str">
        <f t="shared" si="84"/>
        <v/>
      </c>
      <c r="F166" s="32" t="str">
        <f t="shared" si="85"/>
        <v/>
      </c>
      <c r="G166" s="47" t="str">
        <f t="shared" si="86"/>
        <v/>
      </c>
      <c r="H166" s="30" t="str">
        <f t="shared" si="87"/>
        <v/>
      </c>
      <c r="I166" s="46" t="str">
        <f>IF($A166="","",IF(AND($L166&lt;27,$K$12=0),"Building",IFERROR(((SUM($H$160:$H166)+$K$12*IF($L166&lt;6,SUMIFS('Throw Log'!$Q$5:$Q$300,'Throw Log'!$B$5:$B$300,$D$4,'Throw Log'!$A$5:$A$300,"&gt;="&amp;($D$6+$L166-6),'Throw Log'!$A$5:$A$300,"&lt;="&amp;($D$6-1)),0))/7)/((SUM($H$139:$H166)+$K$12*IF($L166&lt;27,SUMIFS('Throw Log'!$Q$5:$Q$300,'Throw Log'!$B$5:$B$300,$D$4,'Throw Log'!$A$5:$A$300,"&gt;="&amp;($D$6+$L166-27),'Throw Log'!$A$5:$A$300,"&lt;="&amp;($D$6-1)),0))/28),"")))</f>
        <v/>
      </c>
      <c r="J166" s="37"/>
      <c r="K166" s="37"/>
      <c r="L166" s="32">
        <v>123</v>
      </c>
      <c r="M166" s="32">
        <f t="shared" si="88"/>
        <v>18</v>
      </c>
      <c r="N166" s="32">
        <f t="shared" si="89"/>
        <v>4</v>
      </c>
      <c r="O166" s="32">
        <f t="shared" si="90"/>
        <v>1</v>
      </c>
      <c r="P166" s="32" t="str">
        <f>IF(OR($A166="",N($C166)&lt;=7),"",$G$6*$G$9^($M166-1)*IF(AND(MOD($M166,Reference!$B$99)=0,$M166&lt;=$G$5-2),Reference!$B$100,1))</f>
        <v/>
      </c>
      <c r="Q166" s="32" t="str">
        <f>IF($P166="","",IF(SUM($AK$162:$AK$168)=0,0,$P166*INDEX(Reference!$B$108:$B$114,$N166+1)/SUM($AK$162:$AK$168)))</f>
        <v/>
      </c>
      <c r="R166" s="32">
        <f t="shared" si="91"/>
        <v>120</v>
      </c>
      <c r="S166" s="32">
        <f t="shared" si="92"/>
        <v>105</v>
      </c>
      <c r="T166" s="32" t="str">
        <f>IF($A166="","",IF($C166=0,"Bullpen",IF(OR($C166=7,$C166=1,$C166=5),"Recovery/Easy Catch",IF($C166=6,"Compression/Pulldowns",IF(OR($C166=4,$C166=2),"Long Toss",IF($C166=3,"No Throw",IF($N166=2,"No Throw",IF($N166=6,IF($O166&lt;Reference!$B$104,"No Throw","Recovery/Easy Catch"),IF(OR($N166=0,$N166=4),"Recovery/Easy Catch",IF($N166=1,IF($R166&gt;75,"Long Toss","Recovery/Easy Catch"),IF($N166=3,IF($O166&lt;0.5,IF($S166&gt;75,"Long Toss","Recovery/Easy Catch"),"Compression/Pulldowns"),IF($S166&gt;75,"Long Toss","Recovery/Easy Catch"))))))))))))</f>
        <v/>
      </c>
      <c r="U166" s="32" t="str">
        <f t="shared" si="93"/>
        <v/>
      </c>
      <c r="V166" s="32" t="str">
        <f t="shared" si="94"/>
        <v/>
      </c>
      <c r="W166" s="32" t="str">
        <f t="shared" si="95"/>
        <v/>
      </c>
      <c r="X166" s="32">
        <f t="shared" si="96"/>
        <v>0</v>
      </c>
      <c r="Y166" s="32" t="str">
        <f t="shared" si="97"/>
        <v/>
      </c>
      <c r="Z166" s="32" t="str">
        <f t="shared" si="98"/>
        <v/>
      </c>
      <c r="AA166" s="32" t="str">
        <f t="shared" si="99"/>
        <v/>
      </c>
      <c r="AB166" s="32" t="str">
        <f>IF($A166="","",IF($T166="No Throw",0,IF($K166&lt;&gt;"",$K166,IF($AA166&lt;&gt;"",ROUND($AA166*$D$12*IF($C166=0,1,$G$10),0),MIN(IF($T166="Recovery/Easy Catch",Reference!$B$103,IF($T166="Long Toss",Reference!$B$106,Reference!$B$102)),MAX(Reference!$B$101,ROUND(MAX(0,$Q166-$AE166)/$AF166,0)))))))</f>
        <v/>
      </c>
      <c r="AC166" s="32">
        <f t="shared" si="100"/>
        <v>0</v>
      </c>
      <c r="AD166" s="32" t="b">
        <f t="shared" si="101"/>
        <v>1</v>
      </c>
      <c r="AE166" s="32">
        <f>IF($X166=0,0,$X166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166+$Z166)/2,0),Reference!$A$17:$B$20,2,TRUE()))</f>
        <v>0</v>
      </c>
      <c r="AF166" s="32">
        <f>IF(OR($A166="",$U166="",$T166="No Throw"),0,$AM166*VLOOKUP(MAX(($V166+$W166)/2,0),Reference!$A$17:$B$20,2,TRUE()))</f>
        <v>0</v>
      </c>
      <c r="AG166" s="32">
        <f>IF($AC166=0,0,$AC166*INDEX(Reference!$B$61:$B$62,MATCH("Bullpen",Reference!$A$61:$A$62,0))*VLOOKUP(MAX($D$5-($D$9+$E$9)/2,0),Reference!$A$17:$B$20,2,TRUE()))</f>
        <v>0</v>
      </c>
      <c r="AH166" s="32" t="e">
        <f t="shared" si="102"/>
        <v>#N/A</v>
      </c>
      <c r="AI166" s="32" t="e">
        <f>IF($A166="",NA(),Reference!$A$25)</f>
        <v>#N/A</v>
      </c>
      <c r="AJ166" s="32" t="e">
        <f t="shared" si="103"/>
        <v>#N/A</v>
      </c>
      <c r="AK166" s="32">
        <f>IF(OR($A166="",N($C166)&lt;=7,$T166="No Throw",$J166="x"),0,INDEX(Reference!$B$108:$B$114,$N166+1))</f>
        <v>0</v>
      </c>
      <c r="AL166" s="32">
        <f t="shared" si="104"/>
        <v>1</v>
      </c>
      <c r="AM166" s="32">
        <f>IF($U166="",0,IF($AL166&gt;1,((IF(1&lt;=$AL166,($AL166-1+3)*(INDEX(Reference!$B$6:$B$11,MIN(5,MATCH(MAX(Reference!$A$6,MIN(Reference!$A$11,MIN($U166,90))),Reference!$A$6:$A$11,1)))+(MAX(Reference!$A$6,MIN(Reference!$A$11,MIN($U166,90)))-INDEX(Reference!$A$6:$A$11,MIN(5,MATCH(MAX(Reference!$A$6,MIN(Reference!$A$11,MIN($U166,90))),Reference!$A$6:$A$11,1))))*(INDEX(Reference!$B$6:$B$11,MIN(5,MATCH(MAX(Reference!$A$6,MIN(Reference!$A$11,MIN($U166,90))),Reference!$A$6:$A$11,1))+1)-INDEX(Reference!$B$6:$B$11,MIN(5,MATCH(MAX(Reference!$A$6,MIN(Reference!$A$11,MIN($U166,90))),Reference!$A$6:$A$11,1))))/(INDEX(Reference!$A$6:$A$11,MIN(5,MATCH(MAX(Reference!$A$6,MIN(Reference!$A$11,MIN($U166,90))),Reference!$A$6:$A$11,1))+1)-INDEX(Reference!$A$6:$A$11,MIN(5,MATCH(MAX(Reference!$A$6,MIN(Reference!$A$11,MIN($U166,90))),Reference!$A$6:$A$11,1))))),0)+IF(2&lt;=$AL166,($AL166-2+3)*(INDEX(Reference!$B$6:$B$11,MIN(5,MATCH(MAX(Reference!$A$6,MIN(Reference!$A$11,MIN($U166,120))),Reference!$A$6:$A$11,1)))+(MAX(Reference!$A$6,MIN(Reference!$A$11,MIN($U166,120)))-INDEX(Reference!$A$6:$A$11,MIN(5,MATCH(MAX(Reference!$A$6,MIN(Reference!$A$11,MIN($U166,120))),Reference!$A$6:$A$11,1))))*(INDEX(Reference!$B$6:$B$11,MIN(5,MATCH(MAX(Reference!$A$6,MIN(Reference!$A$11,MIN($U166,120))),Reference!$A$6:$A$11,1))+1)-INDEX(Reference!$B$6:$B$11,MIN(5,MATCH(MAX(Reference!$A$6,MIN(Reference!$A$11,MIN($U166,120))),Reference!$A$6:$A$11,1))))/(INDEX(Reference!$A$6:$A$11,MIN(5,MATCH(MAX(Reference!$A$6,MIN(Reference!$A$11,MIN($U166,120))),Reference!$A$6:$A$11,1))+1)-INDEX(Reference!$A$6:$A$11,MIN(5,MATCH(MAX(Reference!$A$6,MIN(Reference!$A$11,MIN($U166,120))),Reference!$A$6:$A$11,1))))),0)+IF(3&lt;=$AL166,($AL166-3+3)*(INDEX(Reference!$B$6:$B$11,MIN(5,MATCH(MAX(Reference!$A$6,MIN(Reference!$A$11,MIN($U166,150))),Reference!$A$6:$A$11,1)))+(MAX(Reference!$A$6,MIN(Reference!$A$11,MIN($U166,150)))-INDEX(Reference!$A$6:$A$11,MIN(5,MATCH(MAX(Reference!$A$6,MIN(Reference!$A$11,MIN($U166,150))),Reference!$A$6:$A$11,1))))*(INDEX(Reference!$B$6:$B$11,MIN(5,MATCH(MAX(Reference!$A$6,MIN(Reference!$A$11,MIN($U166,150))),Reference!$A$6:$A$11,1))+1)-INDEX(Reference!$B$6:$B$11,MIN(5,MATCH(MAX(Reference!$A$6,MIN(Reference!$A$11,MIN($U166,150))),Reference!$A$6:$A$11,1))))/(INDEX(Reference!$A$6:$A$11,MIN(5,MATCH(MAX(Reference!$A$6,MIN(Reference!$A$11,MIN($U166,150))),Reference!$A$6:$A$11,1))+1)-INDEX(Reference!$A$6:$A$11,MIN(5,MATCH(MAX(Reference!$A$6,MIN(Reference!$A$11,MIN($U166,150))),Reference!$A$6:$A$11,1))))),0)+IF(4&lt;=$AL166,($AL166-4+3)*(INDEX(Reference!$B$6:$B$11,MIN(5,MATCH(MAX(Reference!$A$6,MIN(Reference!$A$11,MIN($U166,180))),Reference!$A$6:$A$11,1)))+(MAX(Reference!$A$6,MIN(Reference!$A$11,MIN($U166,180)))-INDEX(Reference!$A$6:$A$11,MIN(5,MATCH(MAX(Reference!$A$6,MIN(Reference!$A$11,MIN($U166,180))),Reference!$A$6:$A$11,1))))*(INDEX(Reference!$B$6:$B$11,MIN(5,MATCH(MAX(Reference!$A$6,MIN(Reference!$A$11,MIN($U166,180))),Reference!$A$6:$A$11,1))+1)-INDEX(Reference!$B$6:$B$11,MIN(5,MATCH(MAX(Reference!$A$6,MIN(Reference!$A$11,MIN($U166,180))),Reference!$A$6:$A$11,1))))/(INDEX(Reference!$A$6:$A$11,MIN(5,MATCH(MAX(Reference!$A$6,MIN(Reference!$A$11,MIN($U166,180))),Reference!$A$6:$A$11,1))+1)-INDEX(Reference!$A$6:$A$11,MIN(5,MATCH(MAX(Reference!$A$6,MIN(Reference!$A$11,MIN($U166,180))),Reference!$A$6:$A$11,1))))),0)+IF(5&lt;=$AL166,($AL166-5+3)*(INDEX(Reference!$B$6:$B$11,MIN(5,MATCH(MAX(Reference!$A$6,MIN(Reference!$A$11,MIN($U166,210))),Reference!$A$6:$A$11,1)))+(MAX(Reference!$A$6,MIN(Reference!$A$11,MIN($U166,210)))-INDEX(Reference!$A$6:$A$11,MIN(5,MATCH(MAX(Reference!$A$6,MIN(Reference!$A$11,MIN($U166,210))),Reference!$A$6:$A$11,1))))*(INDEX(Reference!$B$6:$B$11,MIN(5,MATCH(MAX(Reference!$A$6,MIN(Reference!$A$11,MIN($U166,210))),Reference!$A$6:$A$11,1))+1)-INDEX(Reference!$B$6:$B$11,MIN(5,MATCH(MAX(Reference!$A$6,MIN(Reference!$A$11,MIN($U166,210))),Reference!$A$6:$A$11,1))))/(INDEX(Reference!$A$6:$A$11,MIN(5,MATCH(MAX(Reference!$A$6,MIN(Reference!$A$11,MIN($U166,210))),Reference!$A$6:$A$11,1))+1)-INDEX(Reference!$A$6:$A$11,MIN(5,MATCH(MAX(Reference!$A$6,MIN(Reference!$A$11,MIN($U166,210))),Reference!$A$6:$A$11,1))))),0)+IF(6&lt;=$AL166,($AL166-6+3)*(INDEX(Reference!$B$6:$B$11,MIN(5,MATCH(MAX(Reference!$A$6,MIN(Reference!$A$11,MIN($U166,240))),Reference!$A$6:$A$11,1)))+(MAX(Reference!$A$6,MIN(Reference!$A$11,MIN($U166,240)))-INDEX(Reference!$A$6:$A$11,MIN(5,MATCH(MAX(Reference!$A$6,MIN(Reference!$A$11,MIN($U166,240))),Reference!$A$6:$A$11,1))))*(INDEX(Reference!$B$6:$B$11,MIN(5,MATCH(MAX(Reference!$A$6,MIN(Reference!$A$11,MIN($U166,240))),Reference!$A$6:$A$11,1))+1)-INDEX(Reference!$B$6:$B$11,MIN(5,MATCH(MAX(Reference!$A$6,MIN(Reference!$A$11,MIN($U166,240))),Reference!$A$6:$A$11,1))))/(INDEX(Reference!$A$6:$A$11,MIN(5,MATCH(MAX(Reference!$A$6,MIN(Reference!$A$11,MIN($U166,240))),Reference!$A$6:$A$11,1))+1)-INDEX(Reference!$A$6:$A$11,MIN(5,MATCH(MAX(Reference!$A$6,MIN(Reference!$A$11,MIN($U166,240))),Reference!$A$6:$A$11,1))))),0)+IF(7&lt;=$AL166,($AL166-7+3)*(INDEX(Reference!$B$6:$B$11,MIN(5,MATCH(MAX(Reference!$A$6,MIN(Reference!$A$11,MIN($U166,270))),Reference!$A$6:$A$11,1)))+(MAX(Reference!$A$6,MIN(Reference!$A$11,MIN($U166,270)))-INDEX(Reference!$A$6:$A$11,MIN(5,MATCH(MAX(Reference!$A$6,MIN(Reference!$A$11,MIN($U166,270))),Reference!$A$6:$A$11,1))))*(INDEX(Reference!$B$6:$B$11,MIN(5,MATCH(MAX(Reference!$A$6,MIN(Reference!$A$11,MIN($U166,270))),Reference!$A$6:$A$11,1))+1)-INDEX(Reference!$B$6:$B$11,MIN(5,MATCH(MAX(Reference!$A$6,MIN(Reference!$A$11,MIN($U166,270))),Reference!$A$6:$A$11,1))))/(INDEX(Reference!$A$6:$A$11,MIN(5,MATCH(MAX(Reference!$A$6,MIN(Reference!$A$11,MIN($U166,270))),Reference!$A$6:$A$11,1))+1)-INDEX(Reference!$A$6:$A$11,MIN(5,MATCH(MAX(Reference!$A$6,MIN(Reference!$A$11,MIN($U166,270))),Reference!$A$6:$A$11,1))))),0)+IF(8&lt;=$AL166,($AL166-8+3)*(INDEX(Reference!$B$6:$B$11,MIN(5,MATCH(MAX(Reference!$A$6,MIN(Reference!$A$11,MIN($U166,300))),Reference!$A$6:$A$11,1)))+(MAX(Reference!$A$6,MIN(Reference!$A$11,MIN($U166,300)))-INDEX(Reference!$A$6:$A$11,MIN(5,MATCH(MAX(Reference!$A$6,MIN(Reference!$A$11,MIN($U166,300))),Reference!$A$6:$A$11,1))))*(INDEX(Reference!$B$6:$B$11,MIN(5,MATCH(MAX(Reference!$A$6,MIN(Reference!$A$11,MIN($U166,300))),Reference!$A$6:$A$11,1))+1)-INDEX(Reference!$B$6:$B$11,MIN(5,MATCH(MAX(Reference!$A$6,MIN(Reference!$A$11,MIN($U166,300))),Reference!$A$6:$A$11,1))))/(INDEX(Reference!$A$6:$A$11,MIN(5,MATCH(MAX(Reference!$A$6,MIN(Reference!$A$11,MIN($U166,300))),Reference!$A$6:$A$11,1))+1)-INDEX(Reference!$A$6:$A$11,MIN(5,MATCH(MAX(Reference!$A$6,MIN(Reference!$A$11,MIN($U166,300))),Reference!$A$6:$A$11,1))))),0))/($AL166*($AL166+5)/2)),$AN166))</f>
        <v>0</v>
      </c>
      <c r="AN166" s="32">
        <f>IF($U166="",0,(INDEX(Reference!$B$6:$B$11,MIN(5,MATCH(MAX(Reference!$A$6,MIN(Reference!$A$11,$U166)),Reference!$A$6:$A$11,1)))+(MAX(Reference!$A$6,MIN(Reference!$A$11,$U166))-INDEX(Reference!$A$6:$A$11,MIN(5,MATCH(MAX(Reference!$A$6,MIN(Reference!$A$11,$U166)),Reference!$A$6:$A$11,1))))*(INDEX(Reference!$B$6:$B$11,MIN(5,MATCH(MAX(Reference!$A$6,MIN(Reference!$A$11,$U166)),Reference!$A$6:$A$11,1))+1)-INDEX(Reference!$B$6:$B$11,MIN(5,MATCH(MAX(Reference!$A$6,MIN(Reference!$A$11,$U166)),Reference!$A$6:$A$11,1))))/(INDEX(Reference!$A$6:$A$11,MIN(5,MATCH(MAX(Reference!$A$6,MIN(Reference!$A$11,$U166)),Reference!$A$6:$A$11,1))+1)-INDEX(Reference!$A$6:$A$11,MIN(5,MATCH(MAX(Reference!$A$6,MIN(Reference!$A$11,$U166)),Reference!$A$6:$A$11,1))))))</f>
        <v>0</v>
      </c>
      <c r="AO166" s="37"/>
      <c r="AP166" s="37"/>
      <c r="AQ166" s="37"/>
    </row>
    <row r="167" spans="1:43" x14ac:dyDescent="0.3">
      <c r="A167" s="48" t="str">
        <f t="shared" si="80"/>
        <v/>
      </c>
      <c r="B167" s="32" t="str">
        <f t="shared" si="81"/>
        <v/>
      </c>
      <c r="C167" s="32" t="str">
        <f t="shared" si="82"/>
        <v/>
      </c>
      <c r="D167" s="32" t="str">
        <f t="shared" si="83"/>
        <v/>
      </c>
      <c r="E167" s="32" t="str">
        <f t="shared" si="84"/>
        <v/>
      </c>
      <c r="F167" s="32" t="str">
        <f t="shared" si="85"/>
        <v/>
      </c>
      <c r="G167" s="47" t="str">
        <f t="shared" si="86"/>
        <v/>
      </c>
      <c r="H167" s="30" t="str">
        <f t="shared" si="87"/>
        <v/>
      </c>
      <c r="I167" s="46" t="str">
        <f>IF($A167="","",IF(AND($L167&lt;27,$K$12=0),"Building",IFERROR(((SUM($H$161:$H167)+$K$12*IF($L167&lt;6,SUMIFS('Throw Log'!$Q$5:$Q$300,'Throw Log'!$B$5:$B$300,$D$4,'Throw Log'!$A$5:$A$300,"&gt;="&amp;($D$6+$L167-6),'Throw Log'!$A$5:$A$300,"&lt;="&amp;($D$6-1)),0))/7)/((SUM($H$140:$H167)+$K$12*IF($L167&lt;27,SUMIFS('Throw Log'!$Q$5:$Q$300,'Throw Log'!$B$5:$B$300,$D$4,'Throw Log'!$A$5:$A$300,"&gt;="&amp;($D$6+$L167-27),'Throw Log'!$A$5:$A$300,"&lt;="&amp;($D$6-1)),0))/28),"")))</f>
        <v/>
      </c>
      <c r="J167" s="37"/>
      <c r="K167" s="37"/>
      <c r="L167" s="32">
        <v>124</v>
      </c>
      <c r="M167" s="32">
        <f t="shared" si="88"/>
        <v>18</v>
      </c>
      <c r="N167" s="32">
        <f t="shared" si="89"/>
        <v>5</v>
      </c>
      <c r="O167" s="32">
        <f t="shared" si="90"/>
        <v>1</v>
      </c>
      <c r="P167" s="32" t="str">
        <f>IF(OR($A167="",N($C167)&lt;=7),"",$G$6*$G$9^($M167-1)*IF(AND(MOD($M167,Reference!$B$99)=0,$M167&lt;=$G$5-2),Reference!$B$100,1))</f>
        <v/>
      </c>
      <c r="Q167" s="32" t="str">
        <f>IF($P167="","",IF(SUM($AK$162:$AK$168)=0,0,$P167*INDEX(Reference!$B$108:$B$114,$N167+1)/SUM($AK$162:$AK$168)))</f>
        <v/>
      </c>
      <c r="R167" s="32">
        <f t="shared" si="91"/>
        <v>120</v>
      </c>
      <c r="S167" s="32">
        <f t="shared" si="92"/>
        <v>105</v>
      </c>
      <c r="T167" s="32" t="str">
        <f>IF($A167="","",IF($C167=0,"Bullpen",IF(OR($C167=7,$C167=1,$C167=5),"Recovery/Easy Catch",IF($C167=6,"Compression/Pulldowns",IF(OR($C167=4,$C167=2),"Long Toss",IF($C167=3,"No Throw",IF($N167=2,"No Throw",IF($N167=6,IF($O167&lt;Reference!$B$104,"No Throw","Recovery/Easy Catch"),IF(OR($N167=0,$N167=4),"Recovery/Easy Catch",IF($N167=1,IF($R167&gt;75,"Long Toss","Recovery/Easy Catch"),IF($N167=3,IF($O167&lt;0.5,IF($S167&gt;75,"Long Toss","Recovery/Easy Catch"),"Compression/Pulldowns"),IF($S167&gt;75,"Long Toss","Recovery/Easy Catch"))))))))))))</f>
        <v/>
      </c>
      <c r="U167" s="32" t="str">
        <f t="shared" si="93"/>
        <v/>
      </c>
      <c r="V167" s="32" t="str">
        <f t="shared" si="94"/>
        <v/>
      </c>
      <c r="W167" s="32" t="str">
        <f t="shared" si="95"/>
        <v/>
      </c>
      <c r="X167" s="32">
        <f t="shared" si="96"/>
        <v>0</v>
      </c>
      <c r="Y167" s="32" t="str">
        <f t="shared" si="97"/>
        <v/>
      </c>
      <c r="Z167" s="32" t="str">
        <f t="shared" si="98"/>
        <v/>
      </c>
      <c r="AA167" s="32" t="str">
        <f t="shared" si="99"/>
        <v/>
      </c>
      <c r="AB167" s="32" t="str">
        <f>IF($A167="","",IF($T167="No Throw",0,IF($K167&lt;&gt;"",$K167,IF($AA167&lt;&gt;"",ROUND($AA167*$D$12*IF($C167=0,1,$G$10),0),MIN(IF($T167="Recovery/Easy Catch",Reference!$B$103,IF($T167="Long Toss",Reference!$B$106,Reference!$B$102)),MAX(Reference!$B$101,ROUND(MAX(0,$Q167-$AE167)/$AF167,0)))))))</f>
        <v/>
      </c>
      <c r="AC167" s="32">
        <f t="shared" si="100"/>
        <v>0</v>
      </c>
      <c r="AD167" s="32" t="b">
        <f t="shared" si="101"/>
        <v>1</v>
      </c>
      <c r="AE167" s="32">
        <f>IF($X167=0,0,$X167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167+$Z167)/2,0),Reference!$A$17:$B$20,2,TRUE()))</f>
        <v>0</v>
      </c>
      <c r="AF167" s="32">
        <f>IF(OR($A167="",$U167="",$T167="No Throw"),0,$AM167*VLOOKUP(MAX(($V167+$W167)/2,0),Reference!$A$17:$B$20,2,TRUE()))</f>
        <v>0</v>
      </c>
      <c r="AG167" s="32">
        <f>IF($AC167=0,0,$AC167*INDEX(Reference!$B$61:$B$62,MATCH("Bullpen",Reference!$A$61:$A$62,0))*VLOOKUP(MAX($D$5-($D$9+$E$9)/2,0),Reference!$A$17:$B$20,2,TRUE()))</f>
        <v>0</v>
      </c>
      <c r="AH167" s="32" t="e">
        <f t="shared" si="102"/>
        <v>#N/A</v>
      </c>
      <c r="AI167" s="32" t="e">
        <f>IF($A167="",NA(),Reference!$A$25)</f>
        <v>#N/A</v>
      </c>
      <c r="AJ167" s="32" t="e">
        <f t="shared" si="103"/>
        <v>#N/A</v>
      </c>
      <c r="AK167" s="32">
        <f>IF(OR($A167="",N($C167)&lt;=7,$T167="No Throw",$J167="x"),0,INDEX(Reference!$B$108:$B$114,$N167+1))</f>
        <v>0</v>
      </c>
      <c r="AL167" s="32">
        <f t="shared" si="104"/>
        <v>1</v>
      </c>
      <c r="AM167" s="32">
        <f>IF($U167="",0,IF($AL167&gt;1,((IF(1&lt;=$AL167,($AL167-1+3)*(INDEX(Reference!$B$6:$B$11,MIN(5,MATCH(MAX(Reference!$A$6,MIN(Reference!$A$11,MIN($U167,90))),Reference!$A$6:$A$11,1)))+(MAX(Reference!$A$6,MIN(Reference!$A$11,MIN($U167,90)))-INDEX(Reference!$A$6:$A$11,MIN(5,MATCH(MAX(Reference!$A$6,MIN(Reference!$A$11,MIN($U167,90))),Reference!$A$6:$A$11,1))))*(INDEX(Reference!$B$6:$B$11,MIN(5,MATCH(MAX(Reference!$A$6,MIN(Reference!$A$11,MIN($U167,90))),Reference!$A$6:$A$11,1))+1)-INDEX(Reference!$B$6:$B$11,MIN(5,MATCH(MAX(Reference!$A$6,MIN(Reference!$A$11,MIN($U167,90))),Reference!$A$6:$A$11,1))))/(INDEX(Reference!$A$6:$A$11,MIN(5,MATCH(MAX(Reference!$A$6,MIN(Reference!$A$11,MIN($U167,90))),Reference!$A$6:$A$11,1))+1)-INDEX(Reference!$A$6:$A$11,MIN(5,MATCH(MAX(Reference!$A$6,MIN(Reference!$A$11,MIN($U167,90))),Reference!$A$6:$A$11,1))))),0)+IF(2&lt;=$AL167,($AL167-2+3)*(INDEX(Reference!$B$6:$B$11,MIN(5,MATCH(MAX(Reference!$A$6,MIN(Reference!$A$11,MIN($U167,120))),Reference!$A$6:$A$11,1)))+(MAX(Reference!$A$6,MIN(Reference!$A$11,MIN($U167,120)))-INDEX(Reference!$A$6:$A$11,MIN(5,MATCH(MAX(Reference!$A$6,MIN(Reference!$A$11,MIN($U167,120))),Reference!$A$6:$A$11,1))))*(INDEX(Reference!$B$6:$B$11,MIN(5,MATCH(MAX(Reference!$A$6,MIN(Reference!$A$11,MIN($U167,120))),Reference!$A$6:$A$11,1))+1)-INDEX(Reference!$B$6:$B$11,MIN(5,MATCH(MAX(Reference!$A$6,MIN(Reference!$A$11,MIN($U167,120))),Reference!$A$6:$A$11,1))))/(INDEX(Reference!$A$6:$A$11,MIN(5,MATCH(MAX(Reference!$A$6,MIN(Reference!$A$11,MIN($U167,120))),Reference!$A$6:$A$11,1))+1)-INDEX(Reference!$A$6:$A$11,MIN(5,MATCH(MAX(Reference!$A$6,MIN(Reference!$A$11,MIN($U167,120))),Reference!$A$6:$A$11,1))))),0)+IF(3&lt;=$AL167,($AL167-3+3)*(INDEX(Reference!$B$6:$B$11,MIN(5,MATCH(MAX(Reference!$A$6,MIN(Reference!$A$11,MIN($U167,150))),Reference!$A$6:$A$11,1)))+(MAX(Reference!$A$6,MIN(Reference!$A$11,MIN($U167,150)))-INDEX(Reference!$A$6:$A$11,MIN(5,MATCH(MAX(Reference!$A$6,MIN(Reference!$A$11,MIN($U167,150))),Reference!$A$6:$A$11,1))))*(INDEX(Reference!$B$6:$B$11,MIN(5,MATCH(MAX(Reference!$A$6,MIN(Reference!$A$11,MIN($U167,150))),Reference!$A$6:$A$11,1))+1)-INDEX(Reference!$B$6:$B$11,MIN(5,MATCH(MAX(Reference!$A$6,MIN(Reference!$A$11,MIN($U167,150))),Reference!$A$6:$A$11,1))))/(INDEX(Reference!$A$6:$A$11,MIN(5,MATCH(MAX(Reference!$A$6,MIN(Reference!$A$11,MIN($U167,150))),Reference!$A$6:$A$11,1))+1)-INDEX(Reference!$A$6:$A$11,MIN(5,MATCH(MAX(Reference!$A$6,MIN(Reference!$A$11,MIN($U167,150))),Reference!$A$6:$A$11,1))))),0)+IF(4&lt;=$AL167,($AL167-4+3)*(INDEX(Reference!$B$6:$B$11,MIN(5,MATCH(MAX(Reference!$A$6,MIN(Reference!$A$11,MIN($U167,180))),Reference!$A$6:$A$11,1)))+(MAX(Reference!$A$6,MIN(Reference!$A$11,MIN($U167,180)))-INDEX(Reference!$A$6:$A$11,MIN(5,MATCH(MAX(Reference!$A$6,MIN(Reference!$A$11,MIN($U167,180))),Reference!$A$6:$A$11,1))))*(INDEX(Reference!$B$6:$B$11,MIN(5,MATCH(MAX(Reference!$A$6,MIN(Reference!$A$11,MIN($U167,180))),Reference!$A$6:$A$11,1))+1)-INDEX(Reference!$B$6:$B$11,MIN(5,MATCH(MAX(Reference!$A$6,MIN(Reference!$A$11,MIN($U167,180))),Reference!$A$6:$A$11,1))))/(INDEX(Reference!$A$6:$A$11,MIN(5,MATCH(MAX(Reference!$A$6,MIN(Reference!$A$11,MIN($U167,180))),Reference!$A$6:$A$11,1))+1)-INDEX(Reference!$A$6:$A$11,MIN(5,MATCH(MAX(Reference!$A$6,MIN(Reference!$A$11,MIN($U167,180))),Reference!$A$6:$A$11,1))))),0)+IF(5&lt;=$AL167,($AL167-5+3)*(INDEX(Reference!$B$6:$B$11,MIN(5,MATCH(MAX(Reference!$A$6,MIN(Reference!$A$11,MIN($U167,210))),Reference!$A$6:$A$11,1)))+(MAX(Reference!$A$6,MIN(Reference!$A$11,MIN($U167,210)))-INDEX(Reference!$A$6:$A$11,MIN(5,MATCH(MAX(Reference!$A$6,MIN(Reference!$A$11,MIN($U167,210))),Reference!$A$6:$A$11,1))))*(INDEX(Reference!$B$6:$B$11,MIN(5,MATCH(MAX(Reference!$A$6,MIN(Reference!$A$11,MIN($U167,210))),Reference!$A$6:$A$11,1))+1)-INDEX(Reference!$B$6:$B$11,MIN(5,MATCH(MAX(Reference!$A$6,MIN(Reference!$A$11,MIN($U167,210))),Reference!$A$6:$A$11,1))))/(INDEX(Reference!$A$6:$A$11,MIN(5,MATCH(MAX(Reference!$A$6,MIN(Reference!$A$11,MIN($U167,210))),Reference!$A$6:$A$11,1))+1)-INDEX(Reference!$A$6:$A$11,MIN(5,MATCH(MAX(Reference!$A$6,MIN(Reference!$A$11,MIN($U167,210))),Reference!$A$6:$A$11,1))))),0)+IF(6&lt;=$AL167,($AL167-6+3)*(INDEX(Reference!$B$6:$B$11,MIN(5,MATCH(MAX(Reference!$A$6,MIN(Reference!$A$11,MIN($U167,240))),Reference!$A$6:$A$11,1)))+(MAX(Reference!$A$6,MIN(Reference!$A$11,MIN($U167,240)))-INDEX(Reference!$A$6:$A$11,MIN(5,MATCH(MAX(Reference!$A$6,MIN(Reference!$A$11,MIN($U167,240))),Reference!$A$6:$A$11,1))))*(INDEX(Reference!$B$6:$B$11,MIN(5,MATCH(MAX(Reference!$A$6,MIN(Reference!$A$11,MIN($U167,240))),Reference!$A$6:$A$11,1))+1)-INDEX(Reference!$B$6:$B$11,MIN(5,MATCH(MAX(Reference!$A$6,MIN(Reference!$A$11,MIN($U167,240))),Reference!$A$6:$A$11,1))))/(INDEX(Reference!$A$6:$A$11,MIN(5,MATCH(MAX(Reference!$A$6,MIN(Reference!$A$11,MIN($U167,240))),Reference!$A$6:$A$11,1))+1)-INDEX(Reference!$A$6:$A$11,MIN(5,MATCH(MAX(Reference!$A$6,MIN(Reference!$A$11,MIN($U167,240))),Reference!$A$6:$A$11,1))))),0)+IF(7&lt;=$AL167,($AL167-7+3)*(INDEX(Reference!$B$6:$B$11,MIN(5,MATCH(MAX(Reference!$A$6,MIN(Reference!$A$11,MIN($U167,270))),Reference!$A$6:$A$11,1)))+(MAX(Reference!$A$6,MIN(Reference!$A$11,MIN($U167,270)))-INDEX(Reference!$A$6:$A$11,MIN(5,MATCH(MAX(Reference!$A$6,MIN(Reference!$A$11,MIN($U167,270))),Reference!$A$6:$A$11,1))))*(INDEX(Reference!$B$6:$B$11,MIN(5,MATCH(MAX(Reference!$A$6,MIN(Reference!$A$11,MIN($U167,270))),Reference!$A$6:$A$11,1))+1)-INDEX(Reference!$B$6:$B$11,MIN(5,MATCH(MAX(Reference!$A$6,MIN(Reference!$A$11,MIN($U167,270))),Reference!$A$6:$A$11,1))))/(INDEX(Reference!$A$6:$A$11,MIN(5,MATCH(MAX(Reference!$A$6,MIN(Reference!$A$11,MIN($U167,270))),Reference!$A$6:$A$11,1))+1)-INDEX(Reference!$A$6:$A$11,MIN(5,MATCH(MAX(Reference!$A$6,MIN(Reference!$A$11,MIN($U167,270))),Reference!$A$6:$A$11,1))))),0)+IF(8&lt;=$AL167,($AL167-8+3)*(INDEX(Reference!$B$6:$B$11,MIN(5,MATCH(MAX(Reference!$A$6,MIN(Reference!$A$11,MIN($U167,300))),Reference!$A$6:$A$11,1)))+(MAX(Reference!$A$6,MIN(Reference!$A$11,MIN($U167,300)))-INDEX(Reference!$A$6:$A$11,MIN(5,MATCH(MAX(Reference!$A$6,MIN(Reference!$A$11,MIN($U167,300))),Reference!$A$6:$A$11,1))))*(INDEX(Reference!$B$6:$B$11,MIN(5,MATCH(MAX(Reference!$A$6,MIN(Reference!$A$11,MIN($U167,300))),Reference!$A$6:$A$11,1))+1)-INDEX(Reference!$B$6:$B$11,MIN(5,MATCH(MAX(Reference!$A$6,MIN(Reference!$A$11,MIN($U167,300))),Reference!$A$6:$A$11,1))))/(INDEX(Reference!$A$6:$A$11,MIN(5,MATCH(MAX(Reference!$A$6,MIN(Reference!$A$11,MIN($U167,300))),Reference!$A$6:$A$11,1))+1)-INDEX(Reference!$A$6:$A$11,MIN(5,MATCH(MAX(Reference!$A$6,MIN(Reference!$A$11,MIN($U167,300))),Reference!$A$6:$A$11,1))))),0))/($AL167*($AL167+5)/2)),$AN167))</f>
        <v>0</v>
      </c>
      <c r="AN167" s="32">
        <f>IF($U167="",0,(INDEX(Reference!$B$6:$B$11,MIN(5,MATCH(MAX(Reference!$A$6,MIN(Reference!$A$11,$U167)),Reference!$A$6:$A$11,1)))+(MAX(Reference!$A$6,MIN(Reference!$A$11,$U167))-INDEX(Reference!$A$6:$A$11,MIN(5,MATCH(MAX(Reference!$A$6,MIN(Reference!$A$11,$U167)),Reference!$A$6:$A$11,1))))*(INDEX(Reference!$B$6:$B$11,MIN(5,MATCH(MAX(Reference!$A$6,MIN(Reference!$A$11,$U167)),Reference!$A$6:$A$11,1))+1)-INDEX(Reference!$B$6:$B$11,MIN(5,MATCH(MAX(Reference!$A$6,MIN(Reference!$A$11,$U167)),Reference!$A$6:$A$11,1))))/(INDEX(Reference!$A$6:$A$11,MIN(5,MATCH(MAX(Reference!$A$6,MIN(Reference!$A$11,$U167)),Reference!$A$6:$A$11,1))+1)-INDEX(Reference!$A$6:$A$11,MIN(5,MATCH(MAX(Reference!$A$6,MIN(Reference!$A$11,$U167)),Reference!$A$6:$A$11,1))))))</f>
        <v>0</v>
      </c>
      <c r="AO167" s="37"/>
      <c r="AP167" s="37"/>
      <c r="AQ167" s="37"/>
    </row>
    <row r="168" spans="1:43" x14ac:dyDescent="0.3">
      <c r="A168" s="48" t="str">
        <f t="shared" si="80"/>
        <v/>
      </c>
      <c r="B168" s="32" t="str">
        <f t="shared" si="81"/>
        <v/>
      </c>
      <c r="C168" s="32" t="str">
        <f t="shared" si="82"/>
        <v/>
      </c>
      <c r="D168" s="32" t="str">
        <f t="shared" si="83"/>
        <v/>
      </c>
      <c r="E168" s="32" t="str">
        <f t="shared" si="84"/>
        <v/>
      </c>
      <c r="F168" s="32" t="str">
        <f t="shared" si="85"/>
        <v/>
      </c>
      <c r="G168" s="47" t="str">
        <f t="shared" si="86"/>
        <v/>
      </c>
      <c r="H168" s="30" t="str">
        <f t="shared" si="87"/>
        <v/>
      </c>
      <c r="I168" s="46" t="str">
        <f>IF($A168="","",IF(AND($L168&lt;27,$K$12=0),"Building",IFERROR(((SUM($H$162:$H168)+$K$12*IF($L168&lt;6,SUMIFS('Throw Log'!$Q$5:$Q$300,'Throw Log'!$B$5:$B$300,$D$4,'Throw Log'!$A$5:$A$300,"&gt;="&amp;($D$6+$L168-6),'Throw Log'!$A$5:$A$300,"&lt;="&amp;($D$6-1)),0))/7)/((SUM($H$141:$H168)+$K$12*IF($L168&lt;27,SUMIFS('Throw Log'!$Q$5:$Q$300,'Throw Log'!$B$5:$B$300,$D$4,'Throw Log'!$A$5:$A$300,"&gt;="&amp;($D$6+$L168-27),'Throw Log'!$A$5:$A$300,"&lt;="&amp;($D$6-1)),0))/28),"")))</f>
        <v/>
      </c>
      <c r="J168" s="37"/>
      <c r="K168" s="37"/>
      <c r="L168" s="32">
        <v>125</v>
      </c>
      <c r="M168" s="32">
        <f t="shared" si="88"/>
        <v>18</v>
      </c>
      <c r="N168" s="32">
        <f t="shared" si="89"/>
        <v>6</v>
      </c>
      <c r="O168" s="32">
        <f t="shared" si="90"/>
        <v>1</v>
      </c>
      <c r="P168" s="32" t="str">
        <f>IF(OR($A168="",N($C168)&lt;=7),"",$G$6*$G$9^($M168-1)*IF(AND(MOD($M168,Reference!$B$99)=0,$M168&lt;=$G$5-2),Reference!$B$100,1))</f>
        <v/>
      </c>
      <c r="Q168" s="32" t="str">
        <f>IF($P168="","",IF(SUM($AK$162:$AK$168)=0,0,$P168*INDEX(Reference!$B$108:$B$114,$N168+1)/SUM($AK$162:$AK$168)))</f>
        <v/>
      </c>
      <c r="R168" s="32">
        <f t="shared" si="91"/>
        <v>120</v>
      </c>
      <c r="S168" s="32">
        <f t="shared" si="92"/>
        <v>105</v>
      </c>
      <c r="T168" s="32" t="str">
        <f>IF($A168="","",IF($C168=0,"Bullpen",IF(OR($C168=7,$C168=1,$C168=5),"Recovery/Easy Catch",IF($C168=6,"Compression/Pulldowns",IF(OR($C168=4,$C168=2),"Long Toss",IF($C168=3,"No Throw",IF($N168=2,"No Throw",IF($N168=6,IF($O168&lt;Reference!$B$104,"No Throw","Recovery/Easy Catch"),IF(OR($N168=0,$N168=4),"Recovery/Easy Catch",IF($N168=1,IF($R168&gt;75,"Long Toss","Recovery/Easy Catch"),IF($N168=3,IF($O168&lt;0.5,IF($S168&gt;75,"Long Toss","Recovery/Easy Catch"),"Compression/Pulldowns"),IF($S168&gt;75,"Long Toss","Recovery/Easy Catch"))))))))))))</f>
        <v/>
      </c>
      <c r="U168" s="32" t="str">
        <f t="shared" si="93"/>
        <v/>
      </c>
      <c r="V168" s="32" t="str">
        <f t="shared" si="94"/>
        <v/>
      </c>
      <c r="W168" s="32" t="str">
        <f t="shared" si="95"/>
        <v/>
      </c>
      <c r="X168" s="32">
        <f t="shared" si="96"/>
        <v>0</v>
      </c>
      <c r="Y168" s="32" t="str">
        <f t="shared" si="97"/>
        <v/>
      </c>
      <c r="Z168" s="32" t="str">
        <f t="shared" si="98"/>
        <v/>
      </c>
      <c r="AA168" s="32" t="str">
        <f t="shared" si="99"/>
        <v/>
      </c>
      <c r="AB168" s="32" t="str">
        <f>IF($A168="","",IF($T168="No Throw",0,IF($K168&lt;&gt;"",$K168,IF($AA168&lt;&gt;"",ROUND($AA168*$D$12*IF($C168=0,1,$G$10),0),MIN(IF($T168="Recovery/Easy Catch",Reference!$B$103,IF($T168="Long Toss",Reference!$B$106,Reference!$B$102)),MAX(Reference!$B$101,ROUND(MAX(0,$Q168-$AE168)/$AF168,0)))))))</f>
        <v/>
      </c>
      <c r="AC168" s="32">
        <f t="shared" si="100"/>
        <v>0</v>
      </c>
      <c r="AD168" s="32" t="b">
        <f t="shared" si="101"/>
        <v>1</v>
      </c>
      <c r="AE168" s="32">
        <f>IF($X168=0,0,$X168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168+$Z168)/2,0),Reference!$A$17:$B$20,2,TRUE()))</f>
        <v>0</v>
      </c>
      <c r="AF168" s="32">
        <f>IF(OR($A168="",$U168="",$T168="No Throw"),0,$AM168*VLOOKUP(MAX(($V168+$W168)/2,0),Reference!$A$17:$B$20,2,TRUE()))</f>
        <v>0</v>
      </c>
      <c r="AG168" s="32">
        <f>IF($AC168=0,0,$AC168*INDEX(Reference!$B$61:$B$62,MATCH("Bullpen",Reference!$A$61:$A$62,0))*VLOOKUP(MAX($D$5-($D$9+$E$9)/2,0),Reference!$A$17:$B$20,2,TRUE()))</f>
        <v>0</v>
      </c>
      <c r="AH168" s="32" t="e">
        <f t="shared" si="102"/>
        <v>#N/A</v>
      </c>
      <c r="AI168" s="32" t="e">
        <f>IF($A168="",NA(),Reference!$A$25)</f>
        <v>#N/A</v>
      </c>
      <c r="AJ168" s="32" t="e">
        <f t="shared" si="103"/>
        <v>#N/A</v>
      </c>
      <c r="AK168" s="32">
        <f>IF(OR($A168="",N($C168)&lt;=7,$T168="No Throw",$J168="x"),0,INDEX(Reference!$B$108:$B$114,$N168+1))</f>
        <v>0</v>
      </c>
      <c r="AL168" s="32">
        <f t="shared" si="104"/>
        <v>1</v>
      </c>
      <c r="AM168" s="32">
        <f>IF($U168="",0,IF($AL168&gt;1,((IF(1&lt;=$AL168,($AL168-1+3)*(INDEX(Reference!$B$6:$B$11,MIN(5,MATCH(MAX(Reference!$A$6,MIN(Reference!$A$11,MIN($U168,90))),Reference!$A$6:$A$11,1)))+(MAX(Reference!$A$6,MIN(Reference!$A$11,MIN($U168,90)))-INDEX(Reference!$A$6:$A$11,MIN(5,MATCH(MAX(Reference!$A$6,MIN(Reference!$A$11,MIN($U168,90))),Reference!$A$6:$A$11,1))))*(INDEX(Reference!$B$6:$B$11,MIN(5,MATCH(MAX(Reference!$A$6,MIN(Reference!$A$11,MIN($U168,90))),Reference!$A$6:$A$11,1))+1)-INDEX(Reference!$B$6:$B$11,MIN(5,MATCH(MAX(Reference!$A$6,MIN(Reference!$A$11,MIN($U168,90))),Reference!$A$6:$A$11,1))))/(INDEX(Reference!$A$6:$A$11,MIN(5,MATCH(MAX(Reference!$A$6,MIN(Reference!$A$11,MIN($U168,90))),Reference!$A$6:$A$11,1))+1)-INDEX(Reference!$A$6:$A$11,MIN(5,MATCH(MAX(Reference!$A$6,MIN(Reference!$A$11,MIN($U168,90))),Reference!$A$6:$A$11,1))))),0)+IF(2&lt;=$AL168,($AL168-2+3)*(INDEX(Reference!$B$6:$B$11,MIN(5,MATCH(MAX(Reference!$A$6,MIN(Reference!$A$11,MIN($U168,120))),Reference!$A$6:$A$11,1)))+(MAX(Reference!$A$6,MIN(Reference!$A$11,MIN($U168,120)))-INDEX(Reference!$A$6:$A$11,MIN(5,MATCH(MAX(Reference!$A$6,MIN(Reference!$A$11,MIN($U168,120))),Reference!$A$6:$A$11,1))))*(INDEX(Reference!$B$6:$B$11,MIN(5,MATCH(MAX(Reference!$A$6,MIN(Reference!$A$11,MIN($U168,120))),Reference!$A$6:$A$11,1))+1)-INDEX(Reference!$B$6:$B$11,MIN(5,MATCH(MAX(Reference!$A$6,MIN(Reference!$A$11,MIN($U168,120))),Reference!$A$6:$A$11,1))))/(INDEX(Reference!$A$6:$A$11,MIN(5,MATCH(MAX(Reference!$A$6,MIN(Reference!$A$11,MIN($U168,120))),Reference!$A$6:$A$11,1))+1)-INDEX(Reference!$A$6:$A$11,MIN(5,MATCH(MAX(Reference!$A$6,MIN(Reference!$A$11,MIN($U168,120))),Reference!$A$6:$A$11,1))))),0)+IF(3&lt;=$AL168,($AL168-3+3)*(INDEX(Reference!$B$6:$B$11,MIN(5,MATCH(MAX(Reference!$A$6,MIN(Reference!$A$11,MIN($U168,150))),Reference!$A$6:$A$11,1)))+(MAX(Reference!$A$6,MIN(Reference!$A$11,MIN($U168,150)))-INDEX(Reference!$A$6:$A$11,MIN(5,MATCH(MAX(Reference!$A$6,MIN(Reference!$A$11,MIN($U168,150))),Reference!$A$6:$A$11,1))))*(INDEX(Reference!$B$6:$B$11,MIN(5,MATCH(MAX(Reference!$A$6,MIN(Reference!$A$11,MIN($U168,150))),Reference!$A$6:$A$11,1))+1)-INDEX(Reference!$B$6:$B$11,MIN(5,MATCH(MAX(Reference!$A$6,MIN(Reference!$A$11,MIN($U168,150))),Reference!$A$6:$A$11,1))))/(INDEX(Reference!$A$6:$A$11,MIN(5,MATCH(MAX(Reference!$A$6,MIN(Reference!$A$11,MIN($U168,150))),Reference!$A$6:$A$11,1))+1)-INDEX(Reference!$A$6:$A$11,MIN(5,MATCH(MAX(Reference!$A$6,MIN(Reference!$A$11,MIN($U168,150))),Reference!$A$6:$A$11,1))))),0)+IF(4&lt;=$AL168,($AL168-4+3)*(INDEX(Reference!$B$6:$B$11,MIN(5,MATCH(MAX(Reference!$A$6,MIN(Reference!$A$11,MIN($U168,180))),Reference!$A$6:$A$11,1)))+(MAX(Reference!$A$6,MIN(Reference!$A$11,MIN($U168,180)))-INDEX(Reference!$A$6:$A$11,MIN(5,MATCH(MAX(Reference!$A$6,MIN(Reference!$A$11,MIN($U168,180))),Reference!$A$6:$A$11,1))))*(INDEX(Reference!$B$6:$B$11,MIN(5,MATCH(MAX(Reference!$A$6,MIN(Reference!$A$11,MIN($U168,180))),Reference!$A$6:$A$11,1))+1)-INDEX(Reference!$B$6:$B$11,MIN(5,MATCH(MAX(Reference!$A$6,MIN(Reference!$A$11,MIN($U168,180))),Reference!$A$6:$A$11,1))))/(INDEX(Reference!$A$6:$A$11,MIN(5,MATCH(MAX(Reference!$A$6,MIN(Reference!$A$11,MIN($U168,180))),Reference!$A$6:$A$11,1))+1)-INDEX(Reference!$A$6:$A$11,MIN(5,MATCH(MAX(Reference!$A$6,MIN(Reference!$A$11,MIN($U168,180))),Reference!$A$6:$A$11,1))))),0)+IF(5&lt;=$AL168,($AL168-5+3)*(INDEX(Reference!$B$6:$B$11,MIN(5,MATCH(MAX(Reference!$A$6,MIN(Reference!$A$11,MIN($U168,210))),Reference!$A$6:$A$11,1)))+(MAX(Reference!$A$6,MIN(Reference!$A$11,MIN($U168,210)))-INDEX(Reference!$A$6:$A$11,MIN(5,MATCH(MAX(Reference!$A$6,MIN(Reference!$A$11,MIN($U168,210))),Reference!$A$6:$A$11,1))))*(INDEX(Reference!$B$6:$B$11,MIN(5,MATCH(MAX(Reference!$A$6,MIN(Reference!$A$11,MIN($U168,210))),Reference!$A$6:$A$11,1))+1)-INDEX(Reference!$B$6:$B$11,MIN(5,MATCH(MAX(Reference!$A$6,MIN(Reference!$A$11,MIN($U168,210))),Reference!$A$6:$A$11,1))))/(INDEX(Reference!$A$6:$A$11,MIN(5,MATCH(MAX(Reference!$A$6,MIN(Reference!$A$11,MIN($U168,210))),Reference!$A$6:$A$11,1))+1)-INDEX(Reference!$A$6:$A$11,MIN(5,MATCH(MAX(Reference!$A$6,MIN(Reference!$A$11,MIN($U168,210))),Reference!$A$6:$A$11,1))))),0)+IF(6&lt;=$AL168,($AL168-6+3)*(INDEX(Reference!$B$6:$B$11,MIN(5,MATCH(MAX(Reference!$A$6,MIN(Reference!$A$11,MIN($U168,240))),Reference!$A$6:$A$11,1)))+(MAX(Reference!$A$6,MIN(Reference!$A$11,MIN($U168,240)))-INDEX(Reference!$A$6:$A$11,MIN(5,MATCH(MAX(Reference!$A$6,MIN(Reference!$A$11,MIN($U168,240))),Reference!$A$6:$A$11,1))))*(INDEX(Reference!$B$6:$B$11,MIN(5,MATCH(MAX(Reference!$A$6,MIN(Reference!$A$11,MIN($U168,240))),Reference!$A$6:$A$11,1))+1)-INDEX(Reference!$B$6:$B$11,MIN(5,MATCH(MAX(Reference!$A$6,MIN(Reference!$A$11,MIN($U168,240))),Reference!$A$6:$A$11,1))))/(INDEX(Reference!$A$6:$A$11,MIN(5,MATCH(MAX(Reference!$A$6,MIN(Reference!$A$11,MIN($U168,240))),Reference!$A$6:$A$11,1))+1)-INDEX(Reference!$A$6:$A$11,MIN(5,MATCH(MAX(Reference!$A$6,MIN(Reference!$A$11,MIN($U168,240))),Reference!$A$6:$A$11,1))))),0)+IF(7&lt;=$AL168,($AL168-7+3)*(INDEX(Reference!$B$6:$B$11,MIN(5,MATCH(MAX(Reference!$A$6,MIN(Reference!$A$11,MIN($U168,270))),Reference!$A$6:$A$11,1)))+(MAX(Reference!$A$6,MIN(Reference!$A$11,MIN($U168,270)))-INDEX(Reference!$A$6:$A$11,MIN(5,MATCH(MAX(Reference!$A$6,MIN(Reference!$A$11,MIN($U168,270))),Reference!$A$6:$A$11,1))))*(INDEX(Reference!$B$6:$B$11,MIN(5,MATCH(MAX(Reference!$A$6,MIN(Reference!$A$11,MIN($U168,270))),Reference!$A$6:$A$11,1))+1)-INDEX(Reference!$B$6:$B$11,MIN(5,MATCH(MAX(Reference!$A$6,MIN(Reference!$A$11,MIN($U168,270))),Reference!$A$6:$A$11,1))))/(INDEX(Reference!$A$6:$A$11,MIN(5,MATCH(MAX(Reference!$A$6,MIN(Reference!$A$11,MIN($U168,270))),Reference!$A$6:$A$11,1))+1)-INDEX(Reference!$A$6:$A$11,MIN(5,MATCH(MAX(Reference!$A$6,MIN(Reference!$A$11,MIN($U168,270))),Reference!$A$6:$A$11,1))))),0)+IF(8&lt;=$AL168,($AL168-8+3)*(INDEX(Reference!$B$6:$B$11,MIN(5,MATCH(MAX(Reference!$A$6,MIN(Reference!$A$11,MIN($U168,300))),Reference!$A$6:$A$11,1)))+(MAX(Reference!$A$6,MIN(Reference!$A$11,MIN($U168,300)))-INDEX(Reference!$A$6:$A$11,MIN(5,MATCH(MAX(Reference!$A$6,MIN(Reference!$A$11,MIN($U168,300))),Reference!$A$6:$A$11,1))))*(INDEX(Reference!$B$6:$B$11,MIN(5,MATCH(MAX(Reference!$A$6,MIN(Reference!$A$11,MIN($U168,300))),Reference!$A$6:$A$11,1))+1)-INDEX(Reference!$B$6:$B$11,MIN(5,MATCH(MAX(Reference!$A$6,MIN(Reference!$A$11,MIN($U168,300))),Reference!$A$6:$A$11,1))))/(INDEX(Reference!$A$6:$A$11,MIN(5,MATCH(MAX(Reference!$A$6,MIN(Reference!$A$11,MIN($U168,300))),Reference!$A$6:$A$11,1))+1)-INDEX(Reference!$A$6:$A$11,MIN(5,MATCH(MAX(Reference!$A$6,MIN(Reference!$A$11,MIN($U168,300))),Reference!$A$6:$A$11,1))))),0))/($AL168*($AL168+5)/2)),$AN168))</f>
        <v>0</v>
      </c>
      <c r="AN168" s="32">
        <f>IF($U168="",0,(INDEX(Reference!$B$6:$B$11,MIN(5,MATCH(MAX(Reference!$A$6,MIN(Reference!$A$11,$U168)),Reference!$A$6:$A$11,1)))+(MAX(Reference!$A$6,MIN(Reference!$A$11,$U168))-INDEX(Reference!$A$6:$A$11,MIN(5,MATCH(MAX(Reference!$A$6,MIN(Reference!$A$11,$U168)),Reference!$A$6:$A$11,1))))*(INDEX(Reference!$B$6:$B$11,MIN(5,MATCH(MAX(Reference!$A$6,MIN(Reference!$A$11,$U168)),Reference!$A$6:$A$11,1))+1)-INDEX(Reference!$B$6:$B$11,MIN(5,MATCH(MAX(Reference!$A$6,MIN(Reference!$A$11,$U168)),Reference!$A$6:$A$11,1))))/(INDEX(Reference!$A$6:$A$11,MIN(5,MATCH(MAX(Reference!$A$6,MIN(Reference!$A$11,$U168)),Reference!$A$6:$A$11,1))+1)-INDEX(Reference!$A$6:$A$11,MIN(5,MATCH(MAX(Reference!$A$6,MIN(Reference!$A$11,$U168)),Reference!$A$6:$A$11,1))))))</f>
        <v>0</v>
      </c>
      <c r="AO168" s="37"/>
      <c r="AP168" s="37"/>
      <c r="AQ168" s="37"/>
    </row>
    <row r="169" spans="1:43" x14ac:dyDescent="0.3">
      <c r="A169" s="48" t="str">
        <f t="shared" si="80"/>
        <v/>
      </c>
      <c r="B169" s="32" t="str">
        <f t="shared" si="81"/>
        <v/>
      </c>
      <c r="C169" s="32" t="str">
        <f t="shared" si="82"/>
        <v/>
      </c>
      <c r="D169" s="32" t="str">
        <f t="shared" si="83"/>
        <v/>
      </c>
      <c r="E169" s="32" t="str">
        <f t="shared" si="84"/>
        <v/>
      </c>
      <c r="F169" s="32" t="str">
        <f t="shared" si="85"/>
        <v/>
      </c>
      <c r="G169" s="47" t="str">
        <f t="shared" si="86"/>
        <v/>
      </c>
      <c r="H169" s="30" t="str">
        <f t="shared" si="87"/>
        <v/>
      </c>
      <c r="I169" s="46" t="str">
        <f>IF($A169="","",IF(AND($L169&lt;27,$K$12=0),"Building",IFERROR(((SUM($H$163:$H169)+$K$12*IF($L169&lt;6,SUMIFS('Throw Log'!$Q$5:$Q$300,'Throw Log'!$B$5:$B$300,$D$4,'Throw Log'!$A$5:$A$300,"&gt;="&amp;($D$6+$L169-6),'Throw Log'!$A$5:$A$300,"&lt;="&amp;($D$6-1)),0))/7)/((SUM($H$142:$H169)+$K$12*IF($L169&lt;27,SUMIFS('Throw Log'!$Q$5:$Q$300,'Throw Log'!$B$5:$B$300,$D$4,'Throw Log'!$A$5:$A$300,"&gt;="&amp;($D$6+$L169-27),'Throw Log'!$A$5:$A$300,"&lt;="&amp;($D$6-1)),0))/28),"")))</f>
        <v/>
      </c>
      <c r="J169" s="37"/>
      <c r="K169" s="37"/>
      <c r="L169" s="32">
        <v>126</v>
      </c>
      <c r="M169" s="32">
        <f t="shared" si="88"/>
        <v>19</v>
      </c>
      <c r="N169" s="32">
        <f t="shared" si="89"/>
        <v>0</v>
      </c>
      <c r="O169" s="32">
        <f t="shared" si="90"/>
        <v>1</v>
      </c>
      <c r="P169" s="32" t="str">
        <f>IF(OR($A169="",N($C169)&lt;=7),"",$G$6*$G$9^($M169-1)*IF(AND(MOD($M169,Reference!$B$99)=0,$M169&lt;=$G$5-2),Reference!$B$100,1))</f>
        <v/>
      </c>
      <c r="Q169" s="32" t="str">
        <f>IF($P169="","",IF(SUM($AK$169:$AK$175)=0,0,$P169*INDEX(Reference!$B$108:$B$114,$N169+1)/SUM($AK$169:$AK$175)))</f>
        <v/>
      </c>
      <c r="R169" s="32">
        <f t="shared" si="91"/>
        <v>120</v>
      </c>
      <c r="S169" s="32">
        <f t="shared" si="92"/>
        <v>105</v>
      </c>
      <c r="T169" s="32" t="str">
        <f>IF($A169="","",IF($C169=0,"Bullpen",IF(OR($C169=7,$C169=1,$C169=5),"Recovery/Easy Catch",IF($C169=6,"Compression/Pulldowns",IF(OR($C169=4,$C169=2),"Long Toss",IF($C169=3,"No Throw",IF($N169=2,"No Throw",IF($N169=6,IF($O169&lt;Reference!$B$104,"No Throw","Recovery/Easy Catch"),IF(OR($N169=0,$N169=4),"Recovery/Easy Catch",IF($N169=1,IF($R169&gt;75,"Long Toss","Recovery/Easy Catch"),IF($N169=3,IF($O169&lt;0.5,IF($S169&gt;75,"Long Toss","Recovery/Easy Catch"),"Compression/Pulldowns"),IF($S169&gt;75,"Long Toss","Recovery/Easy Catch"))))))))))))</f>
        <v/>
      </c>
      <c r="U169" s="32" t="str">
        <f t="shared" si="93"/>
        <v/>
      </c>
      <c r="V169" s="32" t="str">
        <f t="shared" si="94"/>
        <v/>
      </c>
      <c r="W169" s="32" t="str">
        <f t="shared" si="95"/>
        <v/>
      </c>
      <c r="X169" s="32">
        <f t="shared" si="96"/>
        <v>0</v>
      </c>
      <c r="Y169" s="32" t="str">
        <f t="shared" si="97"/>
        <v/>
      </c>
      <c r="Z169" s="32" t="str">
        <f t="shared" si="98"/>
        <v/>
      </c>
      <c r="AA169" s="32" t="str">
        <f t="shared" si="99"/>
        <v/>
      </c>
      <c r="AB169" s="32" t="str">
        <f>IF($A169="","",IF($T169="No Throw",0,IF($K169&lt;&gt;"",$K169,IF($AA169&lt;&gt;"",ROUND($AA169*$D$12*IF($C169=0,1,$G$10),0),MIN(IF($T169="Recovery/Easy Catch",Reference!$B$103,IF($T169="Long Toss",Reference!$B$106,Reference!$B$102)),MAX(Reference!$B$101,ROUND(MAX(0,$Q169-$AE169)/$AF169,0)))))))</f>
        <v/>
      </c>
      <c r="AC169" s="32">
        <f t="shared" si="100"/>
        <v>0</v>
      </c>
      <c r="AD169" s="32" t="b">
        <f t="shared" si="101"/>
        <v>1</v>
      </c>
      <c r="AE169" s="32">
        <f>IF($X169=0,0,$X169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169+$Z169)/2,0),Reference!$A$17:$B$20,2,TRUE()))</f>
        <v>0</v>
      </c>
      <c r="AF169" s="32">
        <f>IF(OR($A169="",$U169="",$T169="No Throw"),0,$AM169*VLOOKUP(MAX(($V169+$W169)/2,0),Reference!$A$17:$B$20,2,TRUE()))</f>
        <v>0</v>
      </c>
      <c r="AG169" s="32">
        <f>IF($AC169=0,0,$AC169*INDEX(Reference!$B$61:$B$62,MATCH("Bullpen",Reference!$A$61:$A$62,0))*VLOOKUP(MAX($D$5-($D$9+$E$9)/2,0),Reference!$A$17:$B$20,2,TRUE()))</f>
        <v>0</v>
      </c>
      <c r="AH169" s="32" t="e">
        <f t="shared" si="102"/>
        <v>#N/A</v>
      </c>
      <c r="AI169" s="32" t="e">
        <f>IF($A169="",NA(),Reference!$A$25)</f>
        <v>#N/A</v>
      </c>
      <c r="AJ169" s="32" t="e">
        <f t="shared" si="103"/>
        <v>#N/A</v>
      </c>
      <c r="AK169" s="32">
        <f>IF(OR($A169="",N($C169)&lt;=7,$T169="No Throw",$J169="x"),0,INDEX(Reference!$B$108:$B$114,$N169+1))</f>
        <v>0</v>
      </c>
      <c r="AL169" s="32">
        <f t="shared" si="104"/>
        <v>1</v>
      </c>
      <c r="AM169" s="32">
        <f>IF($U169="",0,IF($AL169&gt;1,((IF(1&lt;=$AL169,($AL169-1+3)*(INDEX(Reference!$B$6:$B$11,MIN(5,MATCH(MAX(Reference!$A$6,MIN(Reference!$A$11,MIN($U169,90))),Reference!$A$6:$A$11,1)))+(MAX(Reference!$A$6,MIN(Reference!$A$11,MIN($U169,90)))-INDEX(Reference!$A$6:$A$11,MIN(5,MATCH(MAX(Reference!$A$6,MIN(Reference!$A$11,MIN($U169,90))),Reference!$A$6:$A$11,1))))*(INDEX(Reference!$B$6:$B$11,MIN(5,MATCH(MAX(Reference!$A$6,MIN(Reference!$A$11,MIN($U169,90))),Reference!$A$6:$A$11,1))+1)-INDEX(Reference!$B$6:$B$11,MIN(5,MATCH(MAX(Reference!$A$6,MIN(Reference!$A$11,MIN($U169,90))),Reference!$A$6:$A$11,1))))/(INDEX(Reference!$A$6:$A$11,MIN(5,MATCH(MAX(Reference!$A$6,MIN(Reference!$A$11,MIN($U169,90))),Reference!$A$6:$A$11,1))+1)-INDEX(Reference!$A$6:$A$11,MIN(5,MATCH(MAX(Reference!$A$6,MIN(Reference!$A$11,MIN($U169,90))),Reference!$A$6:$A$11,1))))),0)+IF(2&lt;=$AL169,($AL169-2+3)*(INDEX(Reference!$B$6:$B$11,MIN(5,MATCH(MAX(Reference!$A$6,MIN(Reference!$A$11,MIN($U169,120))),Reference!$A$6:$A$11,1)))+(MAX(Reference!$A$6,MIN(Reference!$A$11,MIN($U169,120)))-INDEX(Reference!$A$6:$A$11,MIN(5,MATCH(MAX(Reference!$A$6,MIN(Reference!$A$11,MIN($U169,120))),Reference!$A$6:$A$11,1))))*(INDEX(Reference!$B$6:$B$11,MIN(5,MATCH(MAX(Reference!$A$6,MIN(Reference!$A$11,MIN($U169,120))),Reference!$A$6:$A$11,1))+1)-INDEX(Reference!$B$6:$B$11,MIN(5,MATCH(MAX(Reference!$A$6,MIN(Reference!$A$11,MIN($U169,120))),Reference!$A$6:$A$11,1))))/(INDEX(Reference!$A$6:$A$11,MIN(5,MATCH(MAX(Reference!$A$6,MIN(Reference!$A$11,MIN($U169,120))),Reference!$A$6:$A$11,1))+1)-INDEX(Reference!$A$6:$A$11,MIN(5,MATCH(MAX(Reference!$A$6,MIN(Reference!$A$11,MIN($U169,120))),Reference!$A$6:$A$11,1))))),0)+IF(3&lt;=$AL169,($AL169-3+3)*(INDEX(Reference!$B$6:$B$11,MIN(5,MATCH(MAX(Reference!$A$6,MIN(Reference!$A$11,MIN($U169,150))),Reference!$A$6:$A$11,1)))+(MAX(Reference!$A$6,MIN(Reference!$A$11,MIN($U169,150)))-INDEX(Reference!$A$6:$A$11,MIN(5,MATCH(MAX(Reference!$A$6,MIN(Reference!$A$11,MIN($U169,150))),Reference!$A$6:$A$11,1))))*(INDEX(Reference!$B$6:$B$11,MIN(5,MATCH(MAX(Reference!$A$6,MIN(Reference!$A$11,MIN($U169,150))),Reference!$A$6:$A$11,1))+1)-INDEX(Reference!$B$6:$B$11,MIN(5,MATCH(MAX(Reference!$A$6,MIN(Reference!$A$11,MIN($U169,150))),Reference!$A$6:$A$11,1))))/(INDEX(Reference!$A$6:$A$11,MIN(5,MATCH(MAX(Reference!$A$6,MIN(Reference!$A$11,MIN($U169,150))),Reference!$A$6:$A$11,1))+1)-INDEX(Reference!$A$6:$A$11,MIN(5,MATCH(MAX(Reference!$A$6,MIN(Reference!$A$11,MIN($U169,150))),Reference!$A$6:$A$11,1))))),0)+IF(4&lt;=$AL169,($AL169-4+3)*(INDEX(Reference!$B$6:$B$11,MIN(5,MATCH(MAX(Reference!$A$6,MIN(Reference!$A$11,MIN($U169,180))),Reference!$A$6:$A$11,1)))+(MAX(Reference!$A$6,MIN(Reference!$A$11,MIN($U169,180)))-INDEX(Reference!$A$6:$A$11,MIN(5,MATCH(MAX(Reference!$A$6,MIN(Reference!$A$11,MIN($U169,180))),Reference!$A$6:$A$11,1))))*(INDEX(Reference!$B$6:$B$11,MIN(5,MATCH(MAX(Reference!$A$6,MIN(Reference!$A$11,MIN($U169,180))),Reference!$A$6:$A$11,1))+1)-INDEX(Reference!$B$6:$B$11,MIN(5,MATCH(MAX(Reference!$A$6,MIN(Reference!$A$11,MIN($U169,180))),Reference!$A$6:$A$11,1))))/(INDEX(Reference!$A$6:$A$11,MIN(5,MATCH(MAX(Reference!$A$6,MIN(Reference!$A$11,MIN($U169,180))),Reference!$A$6:$A$11,1))+1)-INDEX(Reference!$A$6:$A$11,MIN(5,MATCH(MAX(Reference!$A$6,MIN(Reference!$A$11,MIN($U169,180))),Reference!$A$6:$A$11,1))))),0)+IF(5&lt;=$AL169,($AL169-5+3)*(INDEX(Reference!$B$6:$B$11,MIN(5,MATCH(MAX(Reference!$A$6,MIN(Reference!$A$11,MIN($U169,210))),Reference!$A$6:$A$11,1)))+(MAX(Reference!$A$6,MIN(Reference!$A$11,MIN($U169,210)))-INDEX(Reference!$A$6:$A$11,MIN(5,MATCH(MAX(Reference!$A$6,MIN(Reference!$A$11,MIN($U169,210))),Reference!$A$6:$A$11,1))))*(INDEX(Reference!$B$6:$B$11,MIN(5,MATCH(MAX(Reference!$A$6,MIN(Reference!$A$11,MIN($U169,210))),Reference!$A$6:$A$11,1))+1)-INDEX(Reference!$B$6:$B$11,MIN(5,MATCH(MAX(Reference!$A$6,MIN(Reference!$A$11,MIN($U169,210))),Reference!$A$6:$A$11,1))))/(INDEX(Reference!$A$6:$A$11,MIN(5,MATCH(MAX(Reference!$A$6,MIN(Reference!$A$11,MIN($U169,210))),Reference!$A$6:$A$11,1))+1)-INDEX(Reference!$A$6:$A$11,MIN(5,MATCH(MAX(Reference!$A$6,MIN(Reference!$A$11,MIN($U169,210))),Reference!$A$6:$A$11,1))))),0)+IF(6&lt;=$AL169,($AL169-6+3)*(INDEX(Reference!$B$6:$B$11,MIN(5,MATCH(MAX(Reference!$A$6,MIN(Reference!$A$11,MIN($U169,240))),Reference!$A$6:$A$11,1)))+(MAX(Reference!$A$6,MIN(Reference!$A$11,MIN($U169,240)))-INDEX(Reference!$A$6:$A$11,MIN(5,MATCH(MAX(Reference!$A$6,MIN(Reference!$A$11,MIN($U169,240))),Reference!$A$6:$A$11,1))))*(INDEX(Reference!$B$6:$B$11,MIN(5,MATCH(MAX(Reference!$A$6,MIN(Reference!$A$11,MIN($U169,240))),Reference!$A$6:$A$11,1))+1)-INDEX(Reference!$B$6:$B$11,MIN(5,MATCH(MAX(Reference!$A$6,MIN(Reference!$A$11,MIN($U169,240))),Reference!$A$6:$A$11,1))))/(INDEX(Reference!$A$6:$A$11,MIN(5,MATCH(MAX(Reference!$A$6,MIN(Reference!$A$11,MIN($U169,240))),Reference!$A$6:$A$11,1))+1)-INDEX(Reference!$A$6:$A$11,MIN(5,MATCH(MAX(Reference!$A$6,MIN(Reference!$A$11,MIN($U169,240))),Reference!$A$6:$A$11,1))))),0)+IF(7&lt;=$AL169,($AL169-7+3)*(INDEX(Reference!$B$6:$B$11,MIN(5,MATCH(MAX(Reference!$A$6,MIN(Reference!$A$11,MIN($U169,270))),Reference!$A$6:$A$11,1)))+(MAX(Reference!$A$6,MIN(Reference!$A$11,MIN($U169,270)))-INDEX(Reference!$A$6:$A$11,MIN(5,MATCH(MAX(Reference!$A$6,MIN(Reference!$A$11,MIN($U169,270))),Reference!$A$6:$A$11,1))))*(INDEX(Reference!$B$6:$B$11,MIN(5,MATCH(MAX(Reference!$A$6,MIN(Reference!$A$11,MIN($U169,270))),Reference!$A$6:$A$11,1))+1)-INDEX(Reference!$B$6:$B$11,MIN(5,MATCH(MAX(Reference!$A$6,MIN(Reference!$A$11,MIN($U169,270))),Reference!$A$6:$A$11,1))))/(INDEX(Reference!$A$6:$A$11,MIN(5,MATCH(MAX(Reference!$A$6,MIN(Reference!$A$11,MIN($U169,270))),Reference!$A$6:$A$11,1))+1)-INDEX(Reference!$A$6:$A$11,MIN(5,MATCH(MAX(Reference!$A$6,MIN(Reference!$A$11,MIN($U169,270))),Reference!$A$6:$A$11,1))))),0)+IF(8&lt;=$AL169,($AL169-8+3)*(INDEX(Reference!$B$6:$B$11,MIN(5,MATCH(MAX(Reference!$A$6,MIN(Reference!$A$11,MIN($U169,300))),Reference!$A$6:$A$11,1)))+(MAX(Reference!$A$6,MIN(Reference!$A$11,MIN($U169,300)))-INDEX(Reference!$A$6:$A$11,MIN(5,MATCH(MAX(Reference!$A$6,MIN(Reference!$A$11,MIN($U169,300))),Reference!$A$6:$A$11,1))))*(INDEX(Reference!$B$6:$B$11,MIN(5,MATCH(MAX(Reference!$A$6,MIN(Reference!$A$11,MIN($U169,300))),Reference!$A$6:$A$11,1))+1)-INDEX(Reference!$B$6:$B$11,MIN(5,MATCH(MAX(Reference!$A$6,MIN(Reference!$A$11,MIN($U169,300))),Reference!$A$6:$A$11,1))))/(INDEX(Reference!$A$6:$A$11,MIN(5,MATCH(MAX(Reference!$A$6,MIN(Reference!$A$11,MIN($U169,300))),Reference!$A$6:$A$11,1))+1)-INDEX(Reference!$A$6:$A$11,MIN(5,MATCH(MAX(Reference!$A$6,MIN(Reference!$A$11,MIN($U169,300))),Reference!$A$6:$A$11,1))))),0))/($AL169*($AL169+5)/2)),$AN169))</f>
        <v>0</v>
      </c>
      <c r="AN169" s="32">
        <f>IF($U169="",0,(INDEX(Reference!$B$6:$B$11,MIN(5,MATCH(MAX(Reference!$A$6,MIN(Reference!$A$11,$U169)),Reference!$A$6:$A$11,1)))+(MAX(Reference!$A$6,MIN(Reference!$A$11,$U169))-INDEX(Reference!$A$6:$A$11,MIN(5,MATCH(MAX(Reference!$A$6,MIN(Reference!$A$11,$U169)),Reference!$A$6:$A$11,1))))*(INDEX(Reference!$B$6:$B$11,MIN(5,MATCH(MAX(Reference!$A$6,MIN(Reference!$A$11,$U169)),Reference!$A$6:$A$11,1))+1)-INDEX(Reference!$B$6:$B$11,MIN(5,MATCH(MAX(Reference!$A$6,MIN(Reference!$A$11,$U169)),Reference!$A$6:$A$11,1))))/(INDEX(Reference!$A$6:$A$11,MIN(5,MATCH(MAX(Reference!$A$6,MIN(Reference!$A$11,$U169)),Reference!$A$6:$A$11,1))+1)-INDEX(Reference!$A$6:$A$11,MIN(5,MATCH(MAX(Reference!$A$6,MIN(Reference!$A$11,$U169)),Reference!$A$6:$A$11,1))))))</f>
        <v>0</v>
      </c>
      <c r="AO169" s="37"/>
      <c r="AP169" s="37"/>
      <c r="AQ169" s="37"/>
    </row>
    <row r="170" spans="1:43" x14ac:dyDescent="0.3">
      <c r="A170" s="48" t="str">
        <f t="shared" si="80"/>
        <v/>
      </c>
      <c r="B170" s="32" t="str">
        <f t="shared" si="81"/>
        <v/>
      </c>
      <c r="C170" s="32" t="str">
        <f t="shared" si="82"/>
        <v/>
      </c>
      <c r="D170" s="32" t="str">
        <f t="shared" si="83"/>
        <v/>
      </c>
      <c r="E170" s="32" t="str">
        <f t="shared" si="84"/>
        <v/>
      </c>
      <c r="F170" s="32" t="str">
        <f t="shared" si="85"/>
        <v/>
      </c>
      <c r="G170" s="47" t="str">
        <f t="shared" si="86"/>
        <v/>
      </c>
      <c r="H170" s="30" t="str">
        <f t="shared" si="87"/>
        <v/>
      </c>
      <c r="I170" s="46" t="str">
        <f>IF($A170="","",IF(AND($L170&lt;27,$K$12=0),"Building",IFERROR(((SUM($H$164:$H170)+$K$12*IF($L170&lt;6,SUMIFS('Throw Log'!$Q$5:$Q$300,'Throw Log'!$B$5:$B$300,$D$4,'Throw Log'!$A$5:$A$300,"&gt;="&amp;($D$6+$L170-6),'Throw Log'!$A$5:$A$300,"&lt;="&amp;($D$6-1)),0))/7)/((SUM($H$143:$H170)+$K$12*IF($L170&lt;27,SUMIFS('Throw Log'!$Q$5:$Q$300,'Throw Log'!$B$5:$B$300,$D$4,'Throw Log'!$A$5:$A$300,"&gt;="&amp;($D$6+$L170-27),'Throw Log'!$A$5:$A$300,"&lt;="&amp;($D$6-1)),0))/28),"")))</f>
        <v/>
      </c>
      <c r="J170" s="37"/>
      <c r="K170" s="37"/>
      <c r="L170" s="32">
        <v>127</v>
      </c>
      <c r="M170" s="32">
        <f t="shared" si="88"/>
        <v>19</v>
      </c>
      <c r="N170" s="32">
        <f t="shared" si="89"/>
        <v>1</v>
      </c>
      <c r="O170" s="32">
        <f t="shared" si="90"/>
        <v>1</v>
      </c>
      <c r="P170" s="32" t="str">
        <f>IF(OR($A170="",N($C170)&lt;=7),"",$G$6*$G$9^($M170-1)*IF(AND(MOD($M170,Reference!$B$99)=0,$M170&lt;=$G$5-2),Reference!$B$100,1))</f>
        <v/>
      </c>
      <c r="Q170" s="32" t="str">
        <f>IF($P170="","",IF(SUM($AK$169:$AK$175)=0,0,$P170*INDEX(Reference!$B$108:$B$114,$N170+1)/SUM($AK$169:$AK$175)))</f>
        <v/>
      </c>
      <c r="R170" s="32">
        <f t="shared" si="91"/>
        <v>120</v>
      </c>
      <c r="S170" s="32">
        <f t="shared" si="92"/>
        <v>105</v>
      </c>
      <c r="T170" s="32" t="str">
        <f>IF($A170="","",IF($C170=0,"Bullpen",IF(OR($C170=7,$C170=1,$C170=5),"Recovery/Easy Catch",IF($C170=6,"Compression/Pulldowns",IF(OR($C170=4,$C170=2),"Long Toss",IF($C170=3,"No Throw",IF($N170=2,"No Throw",IF($N170=6,IF($O170&lt;Reference!$B$104,"No Throw","Recovery/Easy Catch"),IF(OR($N170=0,$N170=4),"Recovery/Easy Catch",IF($N170=1,IF($R170&gt;75,"Long Toss","Recovery/Easy Catch"),IF($N170=3,IF($O170&lt;0.5,IF($S170&gt;75,"Long Toss","Recovery/Easy Catch"),"Compression/Pulldowns"),IF($S170&gt;75,"Long Toss","Recovery/Easy Catch"))))))))))))</f>
        <v/>
      </c>
      <c r="U170" s="32" t="str">
        <f t="shared" si="93"/>
        <v/>
      </c>
      <c r="V170" s="32" t="str">
        <f t="shared" si="94"/>
        <v/>
      </c>
      <c r="W170" s="32" t="str">
        <f t="shared" si="95"/>
        <v/>
      </c>
      <c r="X170" s="32">
        <f t="shared" si="96"/>
        <v>0</v>
      </c>
      <c r="Y170" s="32" t="str">
        <f t="shared" si="97"/>
        <v/>
      </c>
      <c r="Z170" s="32" t="str">
        <f t="shared" si="98"/>
        <v/>
      </c>
      <c r="AA170" s="32" t="str">
        <f t="shared" si="99"/>
        <v/>
      </c>
      <c r="AB170" s="32" t="str">
        <f>IF($A170="","",IF($T170="No Throw",0,IF($K170&lt;&gt;"",$K170,IF($AA170&lt;&gt;"",ROUND($AA170*$D$12*IF($C170=0,1,$G$10),0),MIN(IF($T170="Recovery/Easy Catch",Reference!$B$103,IF($T170="Long Toss",Reference!$B$106,Reference!$B$102)),MAX(Reference!$B$101,ROUND(MAX(0,$Q170-$AE170)/$AF170,0)))))))</f>
        <v/>
      </c>
      <c r="AC170" s="32">
        <f t="shared" si="100"/>
        <v>0</v>
      </c>
      <c r="AD170" s="32" t="b">
        <f t="shared" si="101"/>
        <v>1</v>
      </c>
      <c r="AE170" s="32">
        <f>IF($X170=0,0,$X170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170+$Z170)/2,0),Reference!$A$17:$B$20,2,TRUE()))</f>
        <v>0</v>
      </c>
      <c r="AF170" s="32">
        <f>IF(OR($A170="",$U170="",$T170="No Throw"),0,$AM170*VLOOKUP(MAX(($V170+$W170)/2,0),Reference!$A$17:$B$20,2,TRUE()))</f>
        <v>0</v>
      </c>
      <c r="AG170" s="32">
        <f>IF($AC170=0,0,$AC170*INDEX(Reference!$B$61:$B$62,MATCH("Bullpen",Reference!$A$61:$A$62,0))*VLOOKUP(MAX($D$5-($D$9+$E$9)/2,0),Reference!$A$17:$B$20,2,TRUE()))</f>
        <v>0</v>
      </c>
      <c r="AH170" s="32" t="e">
        <f t="shared" si="102"/>
        <v>#N/A</v>
      </c>
      <c r="AI170" s="32" t="e">
        <f>IF($A170="",NA(),Reference!$A$25)</f>
        <v>#N/A</v>
      </c>
      <c r="AJ170" s="32" t="e">
        <f t="shared" si="103"/>
        <v>#N/A</v>
      </c>
      <c r="AK170" s="32">
        <f>IF(OR($A170="",N($C170)&lt;=7,$T170="No Throw",$J170="x"),0,INDEX(Reference!$B$108:$B$114,$N170+1))</f>
        <v>0</v>
      </c>
      <c r="AL170" s="32">
        <f t="shared" si="104"/>
        <v>1</v>
      </c>
      <c r="AM170" s="32">
        <f>IF($U170="",0,IF($AL170&gt;1,((IF(1&lt;=$AL170,($AL170-1+3)*(INDEX(Reference!$B$6:$B$11,MIN(5,MATCH(MAX(Reference!$A$6,MIN(Reference!$A$11,MIN($U170,90))),Reference!$A$6:$A$11,1)))+(MAX(Reference!$A$6,MIN(Reference!$A$11,MIN($U170,90)))-INDEX(Reference!$A$6:$A$11,MIN(5,MATCH(MAX(Reference!$A$6,MIN(Reference!$A$11,MIN($U170,90))),Reference!$A$6:$A$11,1))))*(INDEX(Reference!$B$6:$B$11,MIN(5,MATCH(MAX(Reference!$A$6,MIN(Reference!$A$11,MIN($U170,90))),Reference!$A$6:$A$11,1))+1)-INDEX(Reference!$B$6:$B$11,MIN(5,MATCH(MAX(Reference!$A$6,MIN(Reference!$A$11,MIN($U170,90))),Reference!$A$6:$A$11,1))))/(INDEX(Reference!$A$6:$A$11,MIN(5,MATCH(MAX(Reference!$A$6,MIN(Reference!$A$11,MIN($U170,90))),Reference!$A$6:$A$11,1))+1)-INDEX(Reference!$A$6:$A$11,MIN(5,MATCH(MAX(Reference!$A$6,MIN(Reference!$A$11,MIN($U170,90))),Reference!$A$6:$A$11,1))))),0)+IF(2&lt;=$AL170,($AL170-2+3)*(INDEX(Reference!$B$6:$B$11,MIN(5,MATCH(MAX(Reference!$A$6,MIN(Reference!$A$11,MIN($U170,120))),Reference!$A$6:$A$11,1)))+(MAX(Reference!$A$6,MIN(Reference!$A$11,MIN($U170,120)))-INDEX(Reference!$A$6:$A$11,MIN(5,MATCH(MAX(Reference!$A$6,MIN(Reference!$A$11,MIN($U170,120))),Reference!$A$6:$A$11,1))))*(INDEX(Reference!$B$6:$B$11,MIN(5,MATCH(MAX(Reference!$A$6,MIN(Reference!$A$11,MIN($U170,120))),Reference!$A$6:$A$11,1))+1)-INDEX(Reference!$B$6:$B$11,MIN(5,MATCH(MAX(Reference!$A$6,MIN(Reference!$A$11,MIN($U170,120))),Reference!$A$6:$A$11,1))))/(INDEX(Reference!$A$6:$A$11,MIN(5,MATCH(MAX(Reference!$A$6,MIN(Reference!$A$11,MIN($U170,120))),Reference!$A$6:$A$11,1))+1)-INDEX(Reference!$A$6:$A$11,MIN(5,MATCH(MAX(Reference!$A$6,MIN(Reference!$A$11,MIN($U170,120))),Reference!$A$6:$A$11,1))))),0)+IF(3&lt;=$AL170,($AL170-3+3)*(INDEX(Reference!$B$6:$B$11,MIN(5,MATCH(MAX(Reference!$A$6,MIN(Reference!$A$11,MIN($U170,150))),Reference!$A$6:$A$11,1)))+(MAX(Reference!$A$6,MIN(Reference!$A$11,MIN($U170,150)))-INDEX(Reference!$A$6:$A$11,MIN(5,MATCH(MAX(Reference!$A$6,MIN(Reference!$A$11,MIN($U170,150))),Reference!$A$6:$A$11,1))))*(INDEX(Reference!$B$6:$B$11,MIN(5,MATCH(MAX(Reference!$A$6,MIN(Reference!$A$11,MIN($U170,150))),Reference!$A$6:$A$11,1))+1)-INDEX(Reference!$B$6:$B$11,MIN(5,MATCH(MAX(Reference!$A$6,MIN(Reference!$A$11,MIN($U170,150))),Reference!$A$6:$A$11,1))))/(INDEX(Reference!$A$6:$A$11,MIN(5,MATCH(MAX(Reference!$A$6,MIN(Reference!$A$11,MIN($U170,150))),Reference!$A$6:$A$11,1))+1)-INDEX(Reference!$A$6:$A$11,MIN(5,MATCH(MAX(Reference!$A$6,MIN(Reference!$A$11,MIN($U170,150))),Reference!$A$6:$A$11,1))))),0)+IF(4&lt;=$AL170,($AL170-4+3)*(INDEX(Reference!$B$6:$B$11,MIN(5,MATCH(MAX(Reference!$A$6,MIN(Reference!$A$11,MIN($U170,180))),Reference!$A$6:$A$11,1)))+(MAX(Reference!$A$6,MIN(Reference!$A$11,MIN($U170,180)))-INDEX(Reference!$A$6:$A$11,MIN(5,MATCH(MAX(Reference!$A$6,MIN(Reference!$A$11,MIN($U170,180))),Reference!$A$6:$A$11,1))))*(INDEX(Reference!$B$6:$B$11,MIN(5,MATCH(MAX(Reference!$A$6,MIN(Reference!$A$11,MIN($U170,180))),Reference!$A$6:$A$11,1))+1)-INDEX(Reference!$B$6:$B$11,MIN(5,MATCH(MAX(Reference!$A$6,MIN(Reference!$A$11,MIN($U170,180))),Reference!$A$6:$A$11,1))))/(INDEX(Reference!$A$6:$A$11,MIN(5,MATCH(MAX(Reference!$A$6,MIN(Reference!$A$11,MIN($U170,180))),Reference!$A$6:$A$11,1))+1)-INDEX(Reference!$A$6:$A$11,MIN(5,MATCH(MAX(Reference!$A$6,MIN(Reference!$A$11,MIN($U170,180))),Reference!$A$6:$A$11,1))))),0)+IF(5&lt;=$AL170,($AL170-5+3)*(INDEX(Reference!$B$6:$B$11,MIN(5,MATCH(MAX(Reference!$A$6,MIN(Reference!$A$11,MIN($U170,210))),Reference!$A$6:$A$11,1)))+(MAX(Reference!$A$6,MIN(Reference!$A$11,MIN($U170,210)))-INDEX(Reference!$A$6:$A$11,MIN(5,MATCH(MAX(Reference!$A$6,MIN(Reference!$A$11,MIN($U170,210))),Reference!$A$6:$A$11,1))))*(INDEX(Reference!$B$6:$B$11,MIN(5,MATCH(MAX(Reference!$A$6,MIN(Reference!$A$11,MIN($U170,210))),Reference!$A$6:$A$11,1))+1)-INDEX(Reference!$B$6:$B$11,MIN(5,MATCH(MAX(Reference!$A$6,MIN(Reference!$A$11,MIN($U170,210))),Reference!$A$6:$A$11,1))))/(INDEX(Reference!$A$6:$A$11,MIN(5,MATCH(MAX(Reference!$A$6,MIN(Reference!$A$11,MIN($U170,210))),Reference!$A$6:$A$11,1))+1)-INDEX(Reference!$A$6:$A$11,MIN(5,MATCH(MAX(Reference!$A$6,MIN(Reference!$A$11,MIN($U170,210))),Reference!$A$6:$A$11,1))))),0)+IF(6&lt;=$AL170,($AL170-6+3)*(INDEX(Reference!$B$6:$B$11,MIN(5,MATCH(MAX(Reference!$A$6,MIN(Reference!$A$11,MIN($U170,240))),Reference!$A$6:$A$11,1)))+(MAX(Reference!$A$6,MIN(Reference!$A$11,MIN($U170,240)))-INDEX(Reference!$A$6:$A$11,MIN(5,MATCH(MAX(Reference!$A$6,MIN(Reference!$A$11,MIN($U170,240))),Reference!$A$6:$A$11,1))))*(INDEX(Reference!$B$6:$B$11,MIN(5,MATCH(MAX(Reference!$A$6,MIN(Reference!$A$11,MIN($U170,240))),Reference!$A$6:$A$11,1))+1)-INDEX(Reference!$B$6:$B$11,MIN(5,MATCH(MAX(Reference!$A$6,MIN(Reference!$A$11,MIN($U170,240))),Reference!$A$6:$A$11,1))))/(INDEX(Reference!$A$6:$A$11,MIN(5,MATCH(MAX(Reference!$A$6,MIN(Reference!$A$11,MIN($U170,240))),Reference!$A$6:$A$11,1))+1)-INDEX(Reference!$A$6:$A$11,MIN(5,MATCH(MAX(Reference!$A$6,MIN(Reference!$A$11,MIN($U170,240))),Reference!$A$6:$A$11,1))))),0)+IF(7&lt;=$AL170,($AL170-7+3)*(INDEX(Reference!$B$6:$B$11,MIN(5,MATCH(MAX(Reference!$A$6,MIN(Reference!$A$11,MIN($U170,270))),Reference!$A$6:$A$11,1)))+(MAX(Reference!$A$6,MIN(Reference!$A$11,MIN($U170,270)))-INDEX(Reference!$A$6:$A$11,MIN(5,MATCH(MAX(Reference!$A$6,MIN(Reference!$A$11,MIN($U170,270))),Reference!$A$6:$A$11,1))))*(INDEX(Reference!$B$6:$B$11,MIN(5,MATCH(MAX(Reference!$A$6,MIN(Reference!$A$11,MIN($U170,270))),Reference!$A$6:$A$11,1))+1)-INDEX(Reference!$B$6:$B$11,MIN(5,MATCH(MAX(Reference!$A$6,MIN(Reference!$A$11,MIN($U170,270))),Reference!$A$6:$A$11,1))))/(INDEX(Reference!$A$6:$A$11,MIN(5,MATCH(MAX(Reference!$A$6,MIN(Reference!$A$11,MIN($U170,270))),Reference!$A$6:$A$11,1))+1)-INDEX(Reference!$A$6:$A$11,MIN(5,MATCH(MAX(Reference!$A$6,MIN(Reference!$A$11,MIN($U170,270))),Reference!$A$6:$A$11,1))))),0)+IF(8&lt;=$AL170,($AL170-8+3)*(INDEX(Reference!$B$6:$B$11,MIN(5,MATCH(MAX(Reference!$A$6,MIN(Reference!$A$11,MIN($U170,300))),Reference!$A$6:$A$11,1)))+(MAX(Reference!$A$6,MIN(Reference!$A$11,MIN($U170,300)))-INDEX(Reference!$A$6:$A$11,MIN(5,MATCH(MAX(Reference!$A$6,MIN(Reference!$A$11,MIN($U170,300))),Reference!$A$6:$A$11,1))))*(INDEX(Reference!$B$6:$B$11,MIN(5,MATCH(MAX(Reference!$A$6,MIN(Reference!$A$11,MIN($U170,300))),Reference!$A$6:$A$11,1))+1)-INDEX(Reference!$B$6:$B$11,MIN(5,MATCH(MAX(Reference!$A$6,MIN(Reference!$A$11,MIN($U170,300))),Reference!$A$6:$A$11,1))))/(INDEX(Reference!$A$6:$A$11,MIN(5,MATCH(MAX(Reference!$A$6,MIN(Reference!$A$11,MIN($U170,300))),Reference!$A$6:$A$11,1))+1)-INDEX(Reference!$A$6:$A$11,MIN(5,MATCH(MAX(Reference!$A$6,MIN(Reference!$A$11,MIN($U170,300))),Reference!$A$6:$A$11,1))))),0))/($AL170*($AL170+5)/2)),$AN170))</f>
        <v>0</v>
      </c>
      <c r="AN170" s="32">
        <f>IF($U170="",0,(INDEX(Reference!$B$6:$B$11,MIN(5,MATCH(MAX(Reference!$A$6,MIN(Reference!$A$11,$U170)),Reference!$A$6:$A$11,1)))+(MAX(Reference!$A$6,MIN(Reference!$A$11,$U170))-INDEX(Reference!$A$6:$A$11,MIN(5,MATCH(MAX(Reference!$A$6,MIN(Reference!$A$11,$U170)),Reference!$A$6:$A$11,1))))*(INDEX(Reference!$B$6:$B$11,MIN(5,MATCH(MAX(Reference!$A$6,MIN(Reference!$A$11,$U170)),Reference!$A$6:$A$11,1))+1)-INDEX(Reference!$B$6:$B$11,MIN(5,MATCH(MAX(Reference!$A$6,MIN(Reference!$A$11,$U170)),Reference!$A$6:$A$11,1))))/(INDEX(Reference!$A$6:$A$11,MIN(5,MATCH(MAX(Reference!$A$6,MIN(Reference!$A$11,$U170)),Reference!$A$6:$A$11,1))+1)-INDEX(Reference!$A$6:$A$11,MIN(5,MATCH(MAX(Reference!$A$6,MIN(Reference!$A$11,$U170)),Reference!$A$6:$A$11,1))))))</f>
        <v>0</v>
      </c>
      <c r="AO170" s="37"/>
      <c r="AP170" s="37"/>
      <c r="AQ170" s="37"/>
    </row>
    <row r="171" spans="1:43" x14ac:dyDescent="0.3">
      <c r="A171" s="48" t="str">
        <f t="shared" ref="A171:A183" si="105">IFERROR(IF($L171&gt;$G$4,"",$D$6+$L171),"")</f>
        <v/>
      </c>
      <c r="B171" s="32" t="str">
        <f t="shared" ref="B171:B183" si="106">IF($A171="","",TEXT($A171,"ddd"))</f>
        <v/>
      </c>
      <c r="C171" s="32" t="str">
        <f t="shared" ref="C171:C183" si="107">IF($A171="","",$G$4-$L171)</f>
        <v/>
      </c>
      <c r="D171" s="32" t="str">
        <f t="shared" ref="D171:D183" si="108">IF($A171="","",IF($C171=0,"First Bullpen",IF($C171&lt;=7,"Taper",IF($O171&lt;0.2,"Re-entry",IF($O171&lt;0.45,"Base",IF($O171&lt;0.65,"Extension","Flat Ground / Intent"))))))</f>
        <v/>
      </c>
      <c r="E171" s="32" t="str">
        <f t="shared" ref="E171:E183" si="109">IF($A171="","",IF($AD171,"No Throw",IF($C171=0,"High Bullpen",IF($C171=6,"High Non-Bullpen",IF(OR($C171=4,$C171=2),"Medium",IF($T171="Recovery/Easy Catch","Low",IF($N171=1,IF($O171&lt;0.4,"Low",IF($O171&lt;0.7,"Medium","High Non-Bullpen")),IF($N171=3,IF($O171&lt;0.5,"Medium","High Non-Bullpen"),IF($O171&lt;0.62,"Medium","High Non-Bullpen")))))))))</f>
        <v/>
      </c>
      <c r="F171" s="32" t="str">
        <f t="shared" ref="F171:F183" si="110">IF($A171="","",IF($AD171,"No Throw",$T171))</f>
        <v/>
      </c>
      <c r="G171" s="47" t="str">
        <f t="shared" ref="G171:G183" si="111">IF($A171="","",IF($AD171,"Off",IF($AL171&gt;1,"Long toss out to "&amp;$U171&amp;" ft — "&amp;$AB171&amp;" throws ("&amp;IF(1&lt;=$AL171,MIN($U171,90)&amp;"×"&amp;(ROUND($AB171*(1*($AL171+3)-1)/($AL171*($AL171+5)/2),0)-0),"")&amp;IF(2&lt;=$AL171," · "&amp;MIN($U171,120)&amp;"×"&amp;(ROUND($AB171*(2*($AL171+3)-3)/($AL171*($AL171+5)/2),0)-ROUND($AB171*(1*($AL171+3)-1)/($AL171*($AL171+5)/2),0)),"")&amp;IF(3&lt;=$AL171," · "&amp;MIN($U171,150)&amp;"×"&amp;(ROUND($AB171*(3*($AL171+3)-6)/($AL171*($AL171+5)/2),0)-ROUND($AB171*(2*($AL171+3)-3)/($AL171*($AL171+5)/2),0)),"")&amp;IF(4&lt;=$AL171," · "&amp;MIN($U171,180)&amp;"×"&amp;(ROUND($AB171*(4*($AL171+3)-10)/($AL171*($AL171+5)/2),0)-ROUND($AB171*(3*($AL171+3)-6)/($AL171*($AL171+5)/2),0)),"")&amp;IF(5&lt;=$AL171," · "&amp;MIN($U171,210)&amp;"×"&amp;(ROUND($AB171*(5*($AL171+3)-15)/($AL171*($AL171+5)/2),0)-ROUND($AB171*(4*($AL171+3)-10)/($AL171*($AL171+5)/2),0)),"")&amp;IF(6&lt;=$AL171," · "&amp;MIN($U171,240)&amp;"×"&amp;(ROUND($AB171*(6*($AL171+3)-21)/($AL171*($AL171+5)/2),0)-ROUND($AB171*(5*($AL171+3)-15)/($AL171*($AL171+5)/2),0)),"")&amp;IF(7&lt;=$AL171," · "&amp;MIN($U171,270)&amp;"×"&amp;(ROUND($AB171*(7*($AL171+3)-28)/($AL171*($AL171+5)/2),0)-ROUND($AB171*(6*($AL171+3)-21)/($AL171*($AL171+5)/2),0)),"")&amp;IF(8&lt;=$AL171," · "&amp;MIN($U171,300)&amp;"×"&amp;(ROUND($AB171*(8*($AL171+3)-36)/($AL171*($AL171+5)/2),0)-ROUND($AB171*(7*($AL171+3)-28)/($AL171*($AL171+5)/2),0)),"")&amp;")",$U171&amp;" ft × "&amp;$AB171)&amp;" @ "&amp;ROUND($D$5-$W171,0)&amp;"–"&amp;ROUND($D$5-$V171,0)&amp;" mph"&amp;IF($X171&gt;0,IF($Y171&lt;10," + flat ground at 60 ft × "," + 60 ft × ")&amp;$X171&amp;" @ "&amp;ROUND($D$5-$Z171,0)&amp;"–"&amp;ROUND($D$5-$Y171,0)&amp;" mph","")&amp;IF($AC171&gt;0," + MOUND × "&amp;$AC171&amp;" pitches @ "&amp;$D$9&amp;"–"&amp;$E$9&amp;" mph","")))</f>
        <v/>
      </c>
      <c r="H171" s="30" t="str">
        <f t="shared" ref="H171:H183" si="112">IF($A171="","",IF($AD171,0,$AB171*$AF171+$AE171+$AG171))</f>
        <v/>
      </c>
      <c r="I171" s="46" t="str">
        <f>IF($A171="","",IF(AND($L171&lt;27,$K$12=0),"Building",IFERROR(((SUM($H$165:$H171)+$K$12*IF($L171&lt;6,SUMIFS('Throw Log'!$Q$5:$Q$300,'Throw Log'!$B$5:$B$300,$D$4,'Throw Log'!$A$5:$A$300,"&gt;="&amp;($D$6+$L171-6),'Throw Log'!$A$5:$A$300,"&lt;="&amp;($D$6-1)),0))/7)/((SUM($H$144:$H171)+$K$12*IF($L171&lt;27,SUMIFS('Throw Log'!$Q$5:$Q$300,'Throw Log'!$B$5:$B$300,$D$4,'Throw Log'!$A$5:$A$300,"&gt;="&amp;($D$6+$L171-27),'Throw Log'!$A$5:$A$300,"&lt;="&amp;($D$6-1)),0))/28),"")))</f>
        <v/>
      </c>
      <c r="J171" s="37"/>
      <c r="K171" s="37"/>
      <c r="L171" s="32">
        <v>128</v>
      </c>
      <c r="M171" s="32">
        <f t="shared" ref="M171:M183" si="113">INT($L171/7)+1</f>
        <v>19</v>
      </c>
      <c r="N171" s="32">
        <f t="shared" ref="N171:N183" si="114">MOD($L171,7)</f>
        <v>2</v>
      </c>
      <c r="O171" s="32">
        <f t="shared" ref="O171:O183" si="115">MIN(1,$G$7+(1-$G$7)*$L171/MAX(1,N($G$4)-8))</f>
        <v>1</v>
      </c>
      <c r="P171" s="32" t="str">
        <f>IF(OR($A171="",N($C171)&lt;=7),"",$G$6*$G$9^($M171-1)*IF(AND(MOD($M171,Reference!$B$99)=0,$M171&lt;=$G$5-2),Reference!$B$100,1))</f>
        <v/>
      </c>
      <c r="Q171" s="32" t="str">
        <f>IF($P171="","",IF(SUM($AK$169:$AK$175)=0,0,$P171*INDEX(Reference!$B$108:$B$114,$N171+1)/SUM($AK$169:$AK$175)))</f>
        <v/>
      </c>
      <c r="R171" s="32">
        <f t="shared" ref="R171:R183" si="116">ROUND((60+($D$11-60)*MIN(1,$O171/0.75))/15,0)*15</f>
        <v>120</v>
      </c>
      <c r="S171" s="32">
        <f t="shared" ref="S171:S183" si="117">ROUND((60+($R171-60)*0.8)/15,0)*15</f>
        <v>105</v>
      </c>
      <c r="T171" s="32" t="str">
        <f>IF($A171="","",IF($C171=0,"Bullpen",IF(OR($C171=7,$C171=1,$C171=5),"Recovery/Easy Catch",IF($C171=6,"Compression/Pulldowns",IF(OR($C171=4,$C171=2),"Long Toss",IF($C171=3,"No Throw",IF($N171=2,"No Throw",IF($N171=6,IF($O171&lt;Reference!$B$104,"No Throw","Recovery/Easy Catch"),IF(OR($N171=0,$N171=4),"Recovery/Easy Catch",IF($N171=1,IF($R171&gt;75,"Long Toss","Recovery/Easy Catch"),IF($N171=3,IF($O171&lt;0.5,IF($S171&gt;75,"Long Toss","Recovery/Easy Catch"),"Compression/Pulldowns"),IF($S171&gt;75,"Long Toss","Recovery/Easy Catch"))))))))))))</f>
        <v/>
      </c>
      <c r="U171" s="32" t="str">
        <f t="shared" ref="U171:U183" si="118">IF($A171="","",IF(N($AO171)&gt;0,$AO171,IF($C171=0,90,IF(OR($C171=7,$C171=1),75,IF($C171=6,90,IF($C171=5,60,IF($C171=4,MIN(150,ROUND(0.75*$D$11/15,0)*15),IF($C171=2,MIN(120,ROUND(0.67*$D$11/15,0)*15),IF($C171=3,"",IF($N171=2,"",IF($N171=6,60,IF($N171=0,IF($O171&lt;0.25,60,75),IF($N171=4,IF($O171&lt;0.5,60,75),IF($N171=1,$R171,IF($N171=3,IF($O171&lt;0.5,$S171,90),$S171)))))))))))))))</f>
        <v/>
      </c>
      <c r="V171" s="32" t="str">
        <f t="shared" ref="V171:V183" si="119">IF($A171="","",IF(N($AQ171)&gt;0,$D$5-$AQ171,IF(N($AP171)&gt;0,$D$5-$AP171,IF($C171=0,10,IF(OR($C171=7,$C171=1),18,IF($C171=6,7,IF($C171=5,20,IF(OR($C171=4,$C171=2),10,IF($C171=3,"",IF($N171=2,"",IF($N171=6,20,IF($N171=0,IF($O171&lt;0.25,20,18),IF($N171=4,IF($O171&lt;0.5,20,18),IF($N171=1,IF($O171&lt;0.25,18,IF($O171&lt;0.5,13,10)),IF($N171=3,IF($O171&lt;0.5,IF($O171&lt;0.25,18,13),7),IF($O171&lt;0.25,18,IF($O171&lt;0.5,12,10)))))))))))))))))</f>
        <v/>
      </c>
      <c r="W171" s="32" t="str">
        <f t="shared" ref="W171:W183" si="120">IF($A171="","",IF(N($AP171)&gt;0,$D$5-$AP171,IF(N($AQ171)&gt;0,$D$5-$AQ171,IF($C171=0,12,IF(OR($C171=7,$C171=1),22,IF($C171=6,9,IF($C171=5,24,IF(OR($C171=4,$C171=2),13,IF($C171=3,"",IF($N171=2,"",IF($N171=6,24,IF($N171=0,IF($O171&lt;0.25,24,22),IF($N171=4,IF($O171&lt;0.5,24,22),IF($N171=1,IF($O171&lt;0.25,22,IF($O171&lt;0.5,16,12)),IF($N171=3,IF($O171&lt;0.5,IF($O171&lt;0.25,22,16),9),IF($O171&lt;0.25,22,IF($O171&lt;0.5,15,13)))))))))))))))))</f>
        <v/>
      </c>
      <c r="X171" s="32">
        <f t="shared" ref="X171:X183" si="121">IF($A171="",0,IF($C171=6,ROUND(25*$G$10,0),IF(OR($C171=4,$C171=2),ROUND(15*$G$10,0),IF($C171&lt;=7,0,IF($N171=1,IF($O171&lt;0.2,0,IF($O171&lt;0.5,10,15)),IF($N171=3,IF($O171&lt;0.5,IF($O171&lt;0.2,0,10),IF($O171&lt;0.62,15,IF($O171&lt;0.8,20,25))),IF($N171=5,IF($O171&lt;0.2,0,IF($O171&lt;0.62,12,IF($O171&lt;0.8,20,25))),0)))))))</f>
        <v>0</v>
      </c>
      <c r="Y171" s="32" t="str">
        <f t="shared" ref="Y171:Y183" si="122">IF($X171=0,"",IF($C171=6,$D$5-$E$9,IF(OR($C171=4,$C171=2),8,IF($N171=1,IF($O171&lt;0.5,14,10),IF($N171=3,IF($O171&lt;0.5,14,IF($O171&lt;0.62,10,7)),IF($N171=5,IF($O171&lt;0.5,14,IF($O171&lt;0.62,12,7)),""))))))</f>
        <v/>
      </c>
      <c r="Z171" s="32" t="str">
        <f t="shared" ref="Z171:Z183" si="123">IF($X171=0,"",IF($C171=6,$D$5-$D$9,IF(OR($C171=4,$C171=2),10,IF($N171=1,IF($O171&lt;0.5,18,12),IF($N171=3,IF($O171&lt;0.5,18,IF($O171&lt;0.62,12,9)),IF($N171=5,IF($O171&lt;0.5,18,IF($O171&lt;0.62,15,9)),""))))))</f>
        <v/>
      </c>
      <c r="AA171" s="32" t="str">
        <f t="shared" ref="AA171:AA183" si="124">IF($A171="","",IF($C171=0,25,IF(OR($C171=7,$C171=1,$C171=5),30,IF($C171=6,25,IF(OR($C171=4,$C171=2),IF($AM171=0,30,30*$AN171/$AM171),"")))))</f>
        <v/>
      </c>
      <c r="AB171" s="32" t="str">
        <f>IF($A171="","",IF($T171="No Throw",0,IF($K171&lt;&gt;"",$K171,IF($AA171&lt;&gt;"",ROUND($AA171*$D$12*IF($C171=0,1,$G$10),0),MIN(IF($T171="Recovery/Easy Catch",Reference!$B$103,IF($T171="Long Toss",Reference!$B$106,Reference!$B$102)),MAX(Reference!$B$101,ROUND(MAX(0,$Q171-$AE171)/$AF171,0)))))))</f>
        <v/>
      </c>
      <c r="AC171" s="32">
        <f t="shared" ref="AC171:AC183" si="125">IF($A171="",0,IF($C171=0,$D$8,0))</f>
        <v>0</v>
      </c>
      <c r="AD171" s="32" t="b">
        <f t="shared" ref="AD171:AD183" si="126">IF($A171="",TRUE(),OR($J171="x",$T171="No Throw"))</f>
        <v>1</v>
      </c>
      <c r="AE171" s="32">
        <f>IF($X171=0,0,$X171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171+$Z171)/2,0),Reference!$A$17:$B$20,2,TRUE()))</f>
        <v>0</v>
      </c>
      <c r="AF171" s="32">
        <f>IF(OR($A171="",$U171="",$T171="No Throw"),0,$AM171*VLOOKUP(MAX(($V171+$W171)/2,0),Reference!$A$17:$B$20,2,TRUE()))</f>
        <v>0</v>
      </c>
      <c r="AG171" s="32">
        <f>IF($AC171=0,0,$AC171*INDEX(Reference!$B$61:$B$62,MATCH("Bullpen",Reference!$A$61:$A$62,0))*VLOOKUP(MAX($D$5-($D$9+$E$9)/2,0),Reference!$A$17:$B$20,2,TRUE()))</f>
        <v>0</v>
      </c>
      <c r="AH171" s="32" t="e">
        <f t="shared" ref="AH171:AH183" si="127">IF(OR($A171="",$L171&lt;27),NA(),$I171)</f>
        <v>#N/A</v>
      </c>
      <c r="AI171" s="32" t="e">
        <f>IF($A171="",NA(),Reference!$A$25)</f>
        <v>#N/A</v>
      </c>
      <c r="AJ171" s="32" t="e">
        <f t="shared" ref="AJ171:AJ183" si="128">IF($A171="",NA(),1.3)</f>
        <v>#N/A</v>
      </c>
      <c r="AK171" s="32">
        <f>IF(OR($A171="",N($C171)&lt;=7,$T171="No Throw",$J171="x"),0,INDEX(Reference!$B$108:$B$114,$N171+1))</f>
        <v>0</v>
      </c>
      <c r="AL171" s="32">
        <f t="shared" ref="AL171:AL183" si="129">IF($U171="",1,IF(AND($T171="Long Toss",N($U171)&gt;90),1+ROUNDUP(($U171-90)/30,0),1))</f>
        <v>1</v>
      </c>
      <c r="AM171" s="32">
        <f>IF($U171="",0,IF($AL171&gt;1,((IF(1&lt;=$AL171,($AL171-1+3)*(INDEX(Reference!$B$6:$B$11,MIN(5,MATCH(MAX(Reference!$A$6,MIN(Reference!$A$11,MIN($U171,90))),Reference!$A$6:$A$11,1)))+(MAX(Reference!$A$6,MIN(Reference!$A$11,MIN($U171,90)))-INDEX(Reference!$A$6:$A$11,MIN(5,MATCH(MAX(Reference!$A$6,MIN(Reference!$A$11,MIN($U171,90))),Reference!$A$6:$A$11,1))))*(INDEX(Reference!$B$6:$B$11,MIN(5,MATCH(MAX(Reference!$A$6,MIN(Reference!$A$11,MIN($U171,90))),Reference!$A$6:$A$11,1))+1)-INDEX(Reference!$B$6:$B$11,MIN(5,MATCH(MAX(Reference!$A$6,MIN(Reference!$A$11,MIN($U171,90))),Reference!$A$6:$A$11,1))))/(INDEX(Reference!$A$6:$A$11,MIN(5,MATCH(MAX(Reference!$A$6,MIN(Reference!$A$11,MIN($U171,90))),Reference!$A$6:$A$11,1))+1)-INDEX(Reference!$A$6:$A$11,MIN(5,MATCH(MAX(Reference!$A$6,MIN(Reference!$A$11,MIN($U171,90))),Reference!$A$6:$A$11,1))))),0)+IF(2&lt;=$AL171,($AL171-2+3)*(INDEX(Reference!$B$6:$B$11,MIN(5,MATCH(MAX(Reference!$A$6,MIN(Reference!$A$11,MIN($U171,120))),Reference!$A$6:$A$11,1)))+(MAX(Reference!$A$6,MIN(Reference!$A$11,MIN($U171,120)))-INDEX(Reference!$A$6:$A$11,MIN(5,MATCH(MAX(Reference!$A$6,MIN(Reference!$A$11,MIN($U171,120))),Reference!$A$6:$A$11,1))))*(INDEX(Reference!$B$6:$B$11,MIN(5,MATCH(MAX(Reference!$A$6,MIN(Reference!$A$11,MIN($U171,120))),Reference!$A$6:$A$11,1))+1)-INDEX(Reference!$B$6:$B$11,MIN(5,MATCH(MAX(Reference!$A$6,MIN(Reference!$A$11,MIN($U171,120))),Reference!$A$6:$A$11,1))))/(INDEX(Reference!$A$6:$A$11,MIN(5,MATCH(MAX(Reference!$A$6,MIN(Reference!$A$11,MIN($U171,120))),Reference!$A$6:$A$11,1))+1)-INDEX(Reference!$A$6:$A$11,MIN(5,MATCH(MAX(Reference!$A$6,MIN(Reference!$A$11,MIN($U171,120))),Reference!$A$6:$A$11,1))))),0)+IF(3&lt;=$AL171,($AL171-3+3)*(INDEX(Reference!$B$6:$B$11,MIN(5,MATCH(MAX(Reference!$A$6,MIN(Reference!$A$11,MIN($U171,150))),Reference!$A$6:$A$11,1)))+(MAX(Reference!$A$6,MIN(Reference!$A$11,MIN($U171,150)))-INDEX(Reference!$A$6:$A$11,MIN(5,MATCH(MAX(Reference!$A$6,MIN(Reference!$A$11,MIN($U171,150))),Reference!$A$6:$A$11,1))))*(INDEX(Reference!$B$6:$B$11,MIN(5,MATCH(MAX(Reference!$A$6,MIN(Reference!$A$11,MIN($U171,150))),Reference!$A$6:$A$11,1))+1)-INDEX(Reference!$B$6:$B$11,MIN(5,MATCH(MAX(Reference!$A$6,MIN(Reference!$A$11,MIN($U171,150))),Reference!$A$6:$A$11,1))))/(INDEX(Reference!$A$6:$A$11,MIN(5,MATCH(MAX(Reference!$A$6,MIN(Reference!$A$11,MIN($U171,150))),Reference!$A$6:$A$11,1))+1)-INDEX(Reference!$A$6:$A$11,MIN(5,MATCH(MAX(Reference!$A$6,MIN(Reference!$A$11,MIN($U171,150))),Reference!$A$6:$A$11,1))))),0)+IF(4&lt;=$AL171,($AL171-4+3)*(INDEX(Reference!$B$6:$B$11,MIN(5,MATCH(MAX(Reference!$A$6,MIN(Reference!$A$11,MIN($U171,180))),Reference!$A$6:$A$11,1)))+(MAX(Reference!$A$6,MIN(Reference!$A$11,MIN($U171,180)))-INDEX(Reference!$A$6:$A$11,MIN(5,MATCH(MAX(Reference!$A$6,MIN(Reference!$A$11,MIN($U171,180))),Reference!$A$6:$A$11,1))))*(INDEX(Reference!$B$6:$B$11,MIN(5,MATCH(MAX(Reference!$A$6,MIN(Reference!$A$11,MIN($U171,180))),Reference!$A$6:$A$11,1))+1)-INDEX(Reference!$B$6:$B$11,MIN(5,MATCH(MAX(Reference!$A$6,MIN(Reference!$A$11,MIN($U171,180))),Reference!$A$6:$A$11,1))))/(INDEX(Reference!$A$6:$A$11,MIN(5,MATCH(MAX(Reference!$A$6,MIN(Reference!$A$11,MIN($U171,180))),Reference!$A$6:$A$11,1))+1)-INDEX(Reference!$A$6:$A$11,MIN(5,MATCH(MAX(Reference!$A$6,MIN(Reference!$A$11,MIN($U171,180))),Reference!$A$6:$A$11,1))))),0)+IF(5&lt;=$AL171,($AL171-5+3)*(INDEX(Reference!$B$6:$B$11,MIN(5,MATCH(MAX(Reference!$A$6,MIN(Reference!$A$11,MIN($U171,210))),Reference!$A$6:$A$11,1)))+(MAX(Reference!$A$6,MIN(Reference!$A$11,MIN($U171,210)))-INDEX(Reference!$A$6:$A$11,MIN(5,MATCH(MAX(Reference!$A$6,MIN(Reference!$A$11,MIN($U171,210))),Reference!$A$6:$A$11,1))))*(INDEX(Reference!$B$6:$B$11,MIN(5,MATCH(MAX(Reference!$A$6,MIN(Reference!$A$11,MIN($U171,210))),Reference!$A$6:$A$11,1))+1)-INDEX(Reference!$B$6:$B$11,MIN(5,MATCH(MAX(Reference!$A$6,MIN(Reference!$A$11,MIN($U171,210))),Reference!$A$6:$A$11,1))))/(INDEX(Reference!$A$6:$A$11,MIN(5,MATCH(MAX(Reference!$A$6,MIN(Reference!$A$11,MIN($U171,210))),Reference!$A$6:$A$11,1))+1)-INDEX(Reference!$A$6:$A$11,MIN(5,MATCH(MAX(Reference!$A$6,MIN(Reference!$A$11,MIN($U171,210))),Reference!$A$6:$A$11,1))))),0)+IF(6&lt;=$AL171,($AL171-6+3)*(INDEX(Reference!$B$6:$B$11,MIN(5,MATCH(MAX(Reference!$A$6,MIN(Reference!$A$11,MIN($U171,240))),Reference!$A$6:$A$11,1)))+(MAX(Reference!$A$6,MIN(Reference!$A$11,MIN($U171,240)))-INDEX(Reference!$A$6:$A$11,MIN(5,MATCH(MAX(Reference!$A$6,MIN(Reference!$A$11,MIN($U171,240))),Reference!$A$6:$A$11,1))))*(INDEX(Reference!$B$6:$B$11,MIN(5,MATCH(MAX(Reference!$A$6,MIN(Reference!$A$11,MIN($U171,240))),Reference!$A$6:$A$11,1))+1)-INDEX(Reference!$B$6:$B$11,MIN(5,MATCH(MAX(Reference!$A$6,MIN(Reference!$A$11,MIN($U171,240))),Reference!$A$6:$A$11,1))))/(INDEX(Reference!$A$6:$A$11,MIN(5,MATCH(MAX(Reference!$A$6,MIN(Reference!$A$11,MIN($U171,240))),Reference!$A$6:$A$11,1))+1)-INDEX(Reference!$A$6:$A$11,MIN(5,MATCH(MAX(Reference!$A$6,MIN(Reference!$A$11,MIN($U171,240))),Reference!$A$6:$A$11,1))))),0)+IF(7&lt;=$AL171,($AL171-7+3)*(INDEX(Reference!$B$6:$B$11,MIN(5,MATCH(MAX(Reference!$A$6,MIN(Reference!$A$11,MIN($U171,270))),Reference!$A$6:$A$11,1)))+(MAX(Reference!$A$6,MIN(Reference!$A$11,MIN($U171,270)))-INDEX(Reference!$A$6:$A$11,MIN(5,MATCH(MAX(Reference!$A$6,MIN(Reference!$A$11,MIN($U171,270))),Reference!$A$6:$A$11,1))))*(INDEX(Reference!$B$6:$B$11,MIN(5,MATCH(MAX(Reference!$A$6,MIN(Reference!$A$11,MIN($U171,270))),Reference!$A$6:$A$11,1))+1)-INDEX(Reference!$B$6:$B$11,MIN(5,MATCH(MAX(Reference!$A$6,MIN(Reference!$A$11,MIN($U171,270))),Reference!$A$6:$A$11,1))))/(INDEX(Reference!$A$6:$A$11,MIN(5,MATCH(MAX(Reference!$A$6,MIN(Reference!$A$11,MIN($U171,270))),Reference!$A$6:$A$11,1))+1)-INDEX(Reference!$A$6:$A$11,MIN(5,MATCH(MAX(Reference!$A$6,MIN(Reference!$A$11,MIN($U171,270))),Reference!$A$6:$A$11,1))))),0)+IF(8&lt;=$AL171,($AL171-8+3)*(INDEX(Reference!$B$6:$B$11,MIN(5,MATCH(MAX(Reference!$A$6,MIN(Reference!$A$11,MIN($U171,300))),Reference!$A$6:$A$11,1)))+(MAX(Reference!$A$6,MIN(Reference!$A$11,MIN($U171,300)))-INDEX(Reference!$A$6:$A$11,MIN(5,MATCH(MAX(Reference!$A$6,MIN(Reference!$A$11,MIN($U171,300))),Reference!$A$6:$A$11,1))))*(INDEX(Reference!$B$6:$B$11,MIN(5,MATCH(MAX(Reference!$A$6,MIN(Reference!$A$11,MIN($U171,300))),Reference!$A$6:$A$11,1))+1)-INDEX(Reference!$B$6:$B$11,MIN(5,MATCH(MAX(Reference!$A$6,MIN(Reference!$A$11,MIN($U171,300))),Reference!$A$6:$A$11,1))))/(INDEX(Reference!$A$6:$A$11,MIN(5,MATCH(MAX(Reference!$A$6,MIN(Reference!$A$11,MIN($U171,300))),Reference!$A$6:$A$11,1))+1)-INDEX(Reference!$A$6:$A$11,MIN(5,MATCH(MAX(Reference!$A$6,MIN(Reference!$A$11,MIN($U171,300))),Reference!$A$6:$A$11,1))))),0))/($AL171*($AL171+5)/2)),$AN171))</f>
        <v>0</v>
      </c>
      <c r="AN171" s="32">
        <f>IF($U171="",0,(INDEX(Reference!$B$6:$B$11,MIN(5,MATCH(MAX(Reference!$A$6,MIN(Reference!$A$11,$U171)),Reference!$A$6:$A$11,1)))+(MAX(Reference!$A$6,MIN(Reference!$A$11,$U171))-INDEX(Reference!$A$6:$A$11,MIN(5,MATCH(MAX(Reference!$A$6,MIN(Reference!$A$11,$U171)),Reference!$A$6:$A$11,1))))*(INDEX(Reference!$B$6:$B$11,MIN(5,MATCH(MAX(Reference!$A$6,MIN(Reference!$A$11,$U171)),Reference!$A$6:$A$11,1))+1)-INDEX(Reference!$B$6:$B$11,MIN(5,MATCH(MAX(Reference!$A$6,MIN(Reference!$A$11,$U171)),Reference!$A$6:$A$11,1))))/(INDEX(Reference!$A$6:$A$11,MIN(5,MATCH(MAX(Reference!$A$6,MIN(Reference!$A$11,$U171)),Reference!$A$6:$A$11,1))+1)-INDEX(Reference!$A$6:$A$11,MIN(5,MATCH(MAX(Reference!$A$6,MIN(Reference!$A$11,$U171)),Reference!$A$6:$A$11,1))))))</f>
        <v>0</v>
      </c>
      <c r="AO171" s="37"/>
      <c r="AP171" s="37"/>
      <c r="AQ171" s="37"/>
    </row>
    <row r="172" spans="1:43" x14ac:dyDescent="0.3">
      <c r="A172" s="48" t="str">
        <f t="shared" si="105"/>
        <v/>
      </c>
      <c r="B172" s="32" t="str">
        <f t="shared" si="106"/>
        <v/>
      </c>
      <c r="C172" s="32" t="str">
        <f t="shared" si="107"/>
        <v/>
      </c>
      <c r="D172" s="32" t="str">
        <f t="shared" si="108"/>
        <v/>
      </c>
      <c r="E172" s="32" t="str">
        <f t="shared" si="109"/>
        <v/>
      </c>
      <c r="F172" s="32" t="str">
        <f t="shared" si="110"/>
        <v/>
      </c>
      <c r="G172" s="47" t="str">
        <f t="shared" si="111"/>
        <v/>
      </c>
      <c r="H172" s="30" t="str">
        <f t="shared" si="112"/>
        <v/>
      </c>
      <c r="I172" s="46" t="str">
        <f>IF($A172="","",IF(AND($L172&lt;27,$K$12=0),"Building",IFERROR(((SUM($H$166:$H172)+$K$12*IF($L172&lt;6,SUMIFS('Throw Log'!$Q$5:$Q$300,'Throw Log'!$B$5:$B$300,$D$4,'Throw Log'!$A$5:$A$300,"&gt;="&amp;($D$6+$L172-6),'Throw Log'!$A$5:$A$300,"&lt;="&amp;($D$6-1)),0))/7)/((SUM($H$145:$H172)+$K$12*IF($L172&lt;27,SUMIFS('Throw Log'!$Q$5:$Q$300,'Throw Log'!$B$5:$B$300,$D$4,'Throw Log'!$A$5:$A$300,"&gt;="&amp;($D$6+$L172-27),'Throw Log'!$A$5:$A$300,"&lt;="&amp;($D$6-1)),0))/28),"")))</f>
        <v/>
      </c>
      <c r="J172" s="37"/>
      <c r="K172" s="37"/>
      <c r="L172" s="32">
        <v>129</v>
      </c>
      <c r="M172" s="32">
        <f t="shared" si="113"/>
        <v>19</v>
      </c>
      <c r="N172" s="32">
        <f t="shared" si="114"/>
        <v>3</v>
      </c>
      <c r="O172" s="32">
        <f t="shared" si="115"/>
        <v>1</v>
      </c>
      <c r="P172" s="32" t="str">
        <f>IF(OR($A172="",N($C172)&lt;=7),"",$G$6*$G$9^($M172-1)*IF(AND(MOD($M172,Reference!$B$99)=0,$M172&lt;=$G$5-2),Reference!$B$100,1))</f>
        <v/>
      </c>
      <c r="Q172" s="32" t="str">
        <f>IF($P172="","",IF(SUM($AK$169:$AK$175)=0,0,$P172*INDEX(Reference!$B$108:$B$114,$N172+1)/SUM($AK$169:$AK$175)))</f>
        <v/>
      </c>
      <c r="R172" s="32">
        <f t="shared" si="116"/>
        <v>120</v>
      </c>
      <c r="S172" s="32">
        <f t="shared" si="117"/>
        <v>105</v>
      </c>
      <c r="T172" s="32" t="str">
        <f>IF($A172="","",IF($C172=0,"Bullpen",IF(OR($C172=7,$C172=1,$C172=5),"Recovery/Easy Catch",IF($C172=6,"Compression/Pulldowns",IF(OR($C172=4,$C172=2),"Long Toss",IF($C172=3,"No Throw",IF($N172=2,"No Throw",IF($N172=6,IF($O172&lt;Reference!$B$104,"No Throw","Recovery/Easy Catch"),IF(OR($N172=0,$N172=4),"Recovery/Easy Catch",IF($N172=1,IF($R172&gt;75,"Long Toss","Recovery/Easy Catch"),IF($N172=3,IF($O172&lt;0.5,IF($S172&gt;75,"Long Toss","Recovery/Easy Catch"),"Compression/Pulldowns"),IF($S172&gt;75,"Long Toss","Recovery/Easy Catch"))))))))))))</f>
        <v/>
      </c>
      <c r="U172" s="32" t="str">
        <f t="shared" si="118"/>
        <v/>
      </c>
      <c r="V172" s="32" t="str">
        <f t="shared" si="119"/>
        <v/>
      </c>
      <c r="W172" s="32" t="str">
        <f t="shared" si="120"/>
        <v/>
      </c>
      <c r="X172" s="32">
        <f t="shared" si="121"/>
        <v>0</v>
      </c>
      <c r="Y172" s="32" t="str">
        <f t="shared" si="122"/>
        <v/>
      </c>
      <c r="Z172" s="32" t="str">
        <f t="shared" si="123"/>
        <v/>
      </c>
      <c r="AA172" s="32" t="str">
        <f t="shared" si="124"/>
        <v/>
      </c>
      <c r="AB172" s="32" t="str">
        <f>IF($A172="","",IF($T172="No Throw",0,IF($K172&lt;&gt;"",$K172,IF($AA172&lt;&gt;"",ROUND($AA172*$D$12*IF($C172=0,1,$G$10),0),MIN(IF($T172="Recovery/Easy Catch",Reference!$B$103,IF($T172="Long Toss",Reference!$B$106,Reference!$B$102)),MAX(Reference!$B$101,ROUND(MAX(0,$Q172-$AE172)/$AF172,0)))))))</f>
        <v/>
      </c>
      <c r="AC172" s="32">
        <f t="shared" si="125"/>
        <v>0</v>
      </c>
      <c r="AD172" s="32" t="b">
        <f t="shared" si="126"/>
        <v>1</v>
      </c>
      <c r="AE172" s="32">
        <f>IF($X172=0,0,$X172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172+$Z172)/2,0),Reference!$A$17:$B$20,2,TRUE()))</f>
        <v>0</v>
      </c>
      <c r="AF172" s="32">
        <f>IF(OR($A172="",$U172="",$T172="No Throw"),0,$AM172*VLOOKUP(MAX(($V172+$W172)/2,0),Reference!$A$17:$B$20,2,TRUE()))</f>
        <v>0</v>
      </c>
      <c r="AG172" s="32">
        <f>IF($AC172=0,0,$AC172*INDEX(Reference!$B$61:$B$62,MATCH("Bullpen",Reference!$A$61:$A$62,0))*VLOOKUP(MAX($D$5-($D$9+$E$9)/2,0),Reference!$A$17:$B$20,2,TRUE()))</f>
        <v>0</v>
      </c>
      <c r="AH172" s="32" t="e">
        <f t="shared" si="127"/>
        <v>#N/A</v>
      </c>
      <c r="AI172" s="32" t="e">
        <f>IF($A172="",NA(),Reference!$A$25)</f>
        <v>#N/A</v>
      </c>
      <c r="AJ172" s="32" t="e">
        <f t="shared" si="128"/>
        <v>#N/A</v>
      </c>
      <c r="AK172" s="32">
        <f>IF(OR($A172="",N($C172)&lt;=7,$T172="No Throw",$J172="x"),0,INDEX(Reference!$B$108:$B$114,$N172+1))</f>
        <v>0</v>
      </c>
      <c r="AL172" s="32">
        <f t="shared" si="129"/>
        <v>1</v>
      </c>
      <c r="AM172" s="32">
        <f>IF($U172="",0,IF($AL172&gt;1,((IF(1&lt;=$AL172,($AL172-1+3)*(INDEX(Reference!$B$6:$B$11,MIN(5,MATCH(MAX(Reference!$A$6,MIN(Reference!$A$11,MIN($U172,90))),Reference!$A$6:$A$11,1)))+(MAX(Reference!$A$6,MIN(Reference!$A$11,MIN($U172,90)))-INDEX(Reference!$A$6:$A$11,MIN(5,MATCH(MAX(Reference!$A$6,MIN(Reference!$A$11,MIN($U172,90))),Reference!$A$6:$A$11,1))))*(INDEX(Reference!$B$6:$B$11,MIN(5,MATCH(MAX(Reference!$A$6,MIN(Reference!$A$11,MIN($U172,90))),Reference!$A$6:$A$11,1))+1)-INDEX(Reference!$B$6:$B$11,MIN(5,MATCH(MAX(Reference!$A$6,MIN(Reference!$A$11,MIN($U172,90))),Reference!$A$6:$A$11,1))))/(INDEX(Reference!$A$6:$A$11,MIN(5,MATCH(MAX(Reference!$A$6,MIN(Reference!$A$11,MIN($U172,90))),Reference!$A$6:$A$11,1))+1)-INDEX(Reference!$A$6:$A$11,MIN(5,MATCH(MAX(Reference!$A$6,MIN(Reference!$A$11,MIN($U172,90))),Reference!$A$6:$A$11,1))))),0)+IF(2&lt;=$AL172,($AL172-2+3)*(INDEX(Reference!$B$6:$B$11,MIN(5,MATCH(MAX(Reference!$A$6,MIN(Reference!$A$11,MIN($U172,120))),Reference!$A$6:$A$11,1)))+(MAX(Reference!$A$6,MIN(Reference!$A$11,MIN($U172,120)))-INDEX(Reference!$A$6:$A$11,MIN(5,MATCH(MAX(Reference!$A$6,MIN(Reference!$A$11,MIN($U172,120))),Reference!$A$6:$A$11,1))))*(INDEX(Reference!$B$6:$B$11,MIN(5,MATCH(MAX(Reference!$A$6,MIN(Reference!$A$11,MIN($U172,120))),Reference!$A$6:$A$11,1))+1)-INDEX(Reference!$B$6:$B$11,MIN(5,MATCH(MAX(Reference!$A$6,MIN(Reference!$A$11,MIN($U172,120))),Reference!$A$6:$A$11,1))))/(INDEX(Reference!$A$6:$A$11,MIN(5,MATCH(MAX(Reference!$A$6,MIN(Reference!$A$11,MIN($U172,120))),Reference!$A$6:$A$11,1))+1)-INDEX(Reference!$A$6:$A$11,MIN(5,MATCH(MAX(Reference!$A$6,MIN(Reference!$A$11,MIN($U172,120))),Reference!$A$6:$A$11,1))))),0)+IF(3&lt;=$AL172,($AL172-3+3)*(INDEX(Reference!$B$6:$B$11,MIN(5,MATCH(MAX(Reference!$A$6,MIN(Reference!$A$11,MIN($U172,150))),Reference!$A$6:$A$11,1)))+(MAX(Reference!$A$6,MIN(Reference!$A$11,MIN($U172,150)))-INDEX(Reference!$A$6:$A$11,MIN(5,MATCH(MAX(Reference!$A$6,MIN(Reference!$A$11,MIN($U172,150))),Reference!$A$6:$A$11,1))))*(INDEX(Reference!$B$6:$B$11,MIN(5,MATCH(MAX(Reference!$A$6,MIN(Reference!$A$11,MIN($U172,150))),Reference!$A$6:$A$11,1))+1)-INDEX(Reference!$B$6:$B$11,MIN(5,MATCH(MAX(Reference!$A$6,MIN(Reference!$A$11,MIN($U172,150))),Reference!$A$6:$A$11,1))))/(INDEX(Reference!$A$6:$A$11,MIN(5,MATCH(MAX(Reference!$A$6,MIN(Reference!$A$11,MIN($U172,150))),Reference!$A$6:$A$11,1))+1)-INDEX(Reference!$A$6:$A$11,MIN(5,MATCH(MAX(Reference!$A$6,MIN(Reference!$A$11,MIN($U172,150))),Reference!$A$6:$A$11,1))))),0)+IF(4&lt;=$AL172,($AL172-4+3)*(INDEX(Reference!$B$6:$B$11,MIN(5,MATCH(MAX(Reference!$A$6,MIN(Reference!$A$11,MIN($U172,180))),Reference!$A$6:$A$11,1)))+(MAX(Reference!$A$6,MIN(Reference!$A$11,MIN($U172,180)))-INDEX(Reference!$A$6:$A$11,MIN(5,MATCH(MAX(Reference!$A$6,MIN(Reference!$A$11,MIN($U172,180))),Reference!$A$6:$A$11,1))))*(INDEX(Reference!$B$6:$B$11,MIN(5,MATCH(MAX(Reference!$A$6,MIN(Reference!$A$11,MIN($U172,180))),Reference!$A$6:$A$11,1))+1)-INDEX(Reference!$B$6:$B$11,MIN(5,MATCH(MAX(Reference!$A$6,MIN(Reference!$A$11,MIN($U172,180))),Reference!$A$6:$A$11,1))))/(INDEX(Reference!$A$6:$A$11,MIN(5,MATCH(MAX(Reference!$A$6,MIN(Reference!$A$11,MIN($U172,180))),Reference!$A$6:$A$11,1))+1)-INDEX(Reference!$A$6:$A$11,MIN(5,MATCH(MAX(Reference!$A$6,MIN(Reference!$A$11,MIN($U172,180))),Reference!$A$6:$A$11,1))))),0)+IF(5&lt;=$AL172,($AL172-5+3)*(INDEX(Reference!$B$6:$B$11,MIN(5,MATCH(MAX(Reference!$A$6,MIN(Reference!$A$11,MIN($U172,210))),Reference!$A$6:$A$11,1)))+(MAX(Reference!$A$6,MIN(Reference!$A$11,MIN($U172,210)))-INDEX(Reference!$A$6:$A$11,MIN(5,MATCH(MAX(Reference!$A$6,MIN(Reference!$A$11,MIN($U172,210))),Reference!$A$6:$A$11,1))))*(INDEX(Reference!$B$6:$B$11,MIN(5,MATCH(MAX(Reference!$A$6,MIN(Reference!$A$11,MIN($U172,210))),Reference!$A$6:$A$11,1))+1)-INDEX(Reference!$B$6:$B$11,MIN(5,MATCH(MAX(Reference!$A$6,MIN(Reference!$A$11,MIN($U172,210))),Reference!$A$6:$A$11,1))))/(INDEX(Reference!$A$6:$A$11,MIN(5,MATCH(MAX(Reference!$A$6,MIN(Reference!$A$11,MIN($U172,210))),Reference!$A$6:$A$11,1))+1)-INDEX(Reference!$A$6:$A$11,MIN(5,MATCH(MAX(Reference!$A$6,MIN(Reference!$A$11,MIN($U172,210))),Reference!$A$6:$A$11,1))))),0)+IF(6&lt;=$AL172,($AL172-6+3)*(INDEX(Reference!$B$6:$B$11,MIN(5,MATCH(MAX(Reference!$A$6,MIN(Reference!$A$11,MIN($U172,240))),Reference!$A$6:$A$11,1)))+(MAX(Reference!$A$6,MIN(Reference!$A$11,MIN($U172,240)))-INDEX(Reference!$A$6:$A$11,MIN(5,MATCH(MAX(Reference!$A$6,MIN(Reference!$A$11,MIN($U172,240))),Reference!$A$6:$A$11,1))))*(INDEX(Reference!$B$6:$B$11,MIN(5,MATCH(MAX(Reference!$A$6,MIN(Reference!$A$11,MIN($U172,240))),Reference!$A$6:$A$11,1))+1)-INDEX(Reference!$B$6:$B$11,MIN(5,MATCH(MAX(Reference!$A$6,MIN(Reference!$A$11,MIN($U172,240))),Reference!$A$6:$A$11,1))))/(INDEX(Reference!$A$6:$A$11,MIN(5,MATCH(MAX(Reference!$A$6,MIN(Reference!$A$11,MIN($U172,240))),Reference!$A$6:$A$11,1))+1)-INDEX(Reference!$A$6:$A$11,MIN(5,MATCH(MAX(Reference!$A$6,MIN(Reference!$A$11,MIN($U172,240))),Reference!$A$6:$A$11,1))))),0)+IF(7&lt;=$AL172,($AL172-7+3)*(INDEX(Reference!$B$6:$B$11,MIN(5,MATCH(MAX(Reference!$A$6,MIN(Reference!$A$11,MIN($U172,270))),Reference!$A$6:$A$11,1)))+(MAX(Reference!$A$6,MIN(Reference!$A$11,MIN($U172,270)))-INDEX(Reference!$A$6:$A$11,MIN(5,MATCH(MAX(Reference!$A$6,MIN(Reference!$A$11,MIN($U172,270))),Reference!$A$6:$A$11,1))))*(INDEX(Reference!$B$6:$B$11,MIN(5,MATCH(MAX(Reference!$A$6,MIN(Reference!$A$11,MIN($U172,270))),Reference!$A$6:$A$11,1))+1)-INDEX(Reference!$B$6:$B$11,MIN(5,MATCH(MAX(Reference!$A$6,MIN(Reference!$A$11,MIN($U172,270))),Reference!$A$6:$A$11,1))))/(INDEX(Reference!$A$6:$A$11,MIN(5,MATCH(MAX(Reference!$A$6,MIN(Reference!$A$11,MIN($U172,270))),Reference!$A$6:$A$11,1))+1)-INDEX(Reference!$A$6:$A$11,MIN(5,MATCH(MAX(Reference!$A$6,MIN(Reference!$A$11,MIN($U172,270))),Reference!$A$6:$A$11,1))))),0)+IF(8&lt;=$AL172,($AL172-8+3)*(INDEX(Reference!$B$6:$B$11,MIN(5,MATCH(MAX(Reference!$A$6,MIN(Reference!$A$11,MIN($U172,300))),Reference!$A$6:$A$11,1)))+(MAX(Reference!$A$6,MIN(Reference!$A$11,MIN($U172,300)))-INDEX(Reference!$A$6:$A$11,MIN(5,MATCH(MAX(Reference!$A$6,MIN(Reference!$A$11,MIN($U172,300))),Reference!$A$6:$A$11,1))))*(INDEX(Reference!$B$6:$B$11,MIN(5,MATCH(MAX(Reference!$A$6,MIN(Reference!$A$11,MIN($U172,300))),Reference!$A$6:$A$11,1))+1)-INDEX(Reference!$B$6:$B$11,MIN(5,MATCH(MAX(Reference!$A$6,MIN(Reference!$A$11,MIN($U172,300))),Reference!$A$6:$A$11,1))))/(INDEX(Reference!$A$6:$A$11,MIN(5,MATCH(MAX(Reference!$A$6,MIN(Reference!$A$11,MIN($U172,300))),Reference!$A$6:$A$11,1))+1)-INDEX(Reference!$A$6:$A$11,MIN(5,MATCH(MAX(Reference!$A$6,MIN(Reference!$A$11,MIN($U172,300))),Reference!$A$6:$A$11,1))))),0))/($AL172*($AL172+5)/2)),$AN172))</f>
        <v>0</v>
      </c>
      <c r="AN172" s="32">
        <f>IF($U172="",0,(INDEX(Reference!$B$6:$B$11,MIN(5,MATCH(MAX(Reference!$A$6,MIN(Reference!$A$11,$U172)),Reference!$A$6:$A$11,1)))+(MAX(Reference!$A$6,MIN(Reference!$A$11,$U172))-INDEX(Reference!$A$6:$A$11,MIN(5,MATCH(MAX(Reference!$A$6,MIN(Reference!$A$11,$U172)),Reference!$A$6:$A$11,1))))*(INDEX(Reference!$B$6:$B$11,MIN(5,MATCH(MAX(Reference!$A$6,MIN(Reference!$A$11,$U172)),Reference!$A$6:$A$11,1))+1)-INDEX(Reference!$B$6:$B$11,MIN(5,MATCH(MAX(Reference!$A$6,MIN(Reference!$A$11,$U172)),Reference!$A$6:$A$11,1))))/(INDEX(Reference!$A$6:$A$11,MIN(5,MATCH(MAX(Reference!$A$6,MIN(Reference!$A$11,$U172)),Reference!$A$6:$A$11,1))+1)-INDEX(Reference!$A$6:$A$11,MIN(5,MATCH(MAX(Reference!$A$6,MIN(Reference!$A$11,$U172)),Reference!$A$6:$A$11,1))))))</f>
        <v>0</v>
      </c>
      <c r="AO172" s="37"/>
      <c r="AP172" s="37"/>
      <c r="AQ172" s="37"/>
    </row>
    <row r="173" spans="1:43" x14ac:dyDescent="0.3">
      <c r="A173" s="48" t="str">
        <f t="shared" si="105"/>
        <v/>
      </c>
      <c r="B173" s="32" t="str">
        <f t="shared" si="106"/>
        <v/>
      </c>
      <c r="C173" s="32" t="str">
        <f t="shared" si="107"/>
        <v/>
      </c>
      <c r="D173" s="32" t="str">
        <f t="shared" si="108"/>
        <v/>
      </c>
      <c r="E173" s="32" t="str">
        <f t="shared" si="109"/>
        <v/>
      </c>
      <c r="F173" s="32" t="str">
        <f t="shared" si="110"/>
        <v/>
      </c>
      <c r="G173" s="47" t="str">
        <f t="shared" si="111"/>
        <v/>
      </c>
      <c r="H173" s="30" t="str">
        <f t="shared" si="112"/>
        <v/>
      </c>
      <c r="I173" s="46" t="str">
        <f>IF($A173="","",IF(AND($L173&lt;27,$K$12=0),"Building",IFERROR(((SUM($H$167:$H173)+$K$12*IF($L173&lt;6,SUMIFS('Throw Log'!$Q$5:$Q$300,'Throw Log'!$B$5:$B$300,$D$4,'Throw Log'!$A$5:$A$300,"&gt;="&amp;($D$6+$L173-6),'Throw Log'!$A$5:$A$300,"&lt;="&amp;($D$6-1)),0))/7)/((SUM($H$146:$H173)+$K$12*IF($L173&lt;27,SUMIFS('Throw Log'!$Q$5:$Q$300,'Throw Log'!$B$5:$B$300,$D$4,'Throw Log'!$A$5:$A$300,"&gt;="&amp;($D$6+$L173-27),'Throw Log'!$A$5:$A$300,"&lt;="&amp;($D$6-1)),0))/28),"")))</f>
        <v/>
      </c>
      <c r="J173" s="37"/>
      <c r="K173" s="37"/>
      <c r="L173" s="32">
        <v>130</v>
      </c>
      <c r="M173" s="32">
        <f t="shared" si="113"/>
        <v>19</v>
      </c>
      <c r="N173" s="32">
        <f t="shared" si="114"/>
        <v>4</v>
      </c>
      <c r="O173" s="32">
        <f t="shared" si="115"/>
        <v>1</v>
      </c>
      <c r="P173" s="32" t="str">
        <f>IF(OR($A173="",N($C173)&lt;=7),"",$G$6*$G$9^($M173-1)*IF(AND(MOD($M173,Reference!$B$99)=0,$M173&lt;=$G$5-2),Reference!$B$100,1))</f>
        <v/>
      </c>
      <c r="Q173" s="32" t="str">
        <f>IF($P173="","",IF(SUM($AK$169:$AK$175)=0,0,$P173*INDEX(Reference!$B$108:$B$114,$N173+1)/SUM($AK$169:$AK$175)))</f>
        <v/>
      </c>
      <c r="R173" s="32">
        <f t="shared" si="116"/>
        <v>120</v>
      </c>
      <c r="S173" s="32">
        <f t="shared" si="117"/>
        <v>105</v>
      </c>
      <c r="T173" s="32" t="str">
        <f>IF($A173="","",IF($C173=0,"Bullpen",IF(OR($C173=7,$C173=1,$C173=5),"Recovery/Easy Catch",IF($C173=6,"Compression/Pulldowns",IF(OR($C173=4,$C173=2),"Long Toss",IF($C173=3,"No Throw",IF($N173=2,"No Throw",IF($N173=6,IF($O173&lt;Reference!$B$104,"No Throw","Recovery/Easy Catch"),IF(OR($N173=0,$N173=4),"Recovery/Easy Catch",IF($N173=1,IF($R173&gt;75,"Long Toss","Recovery/Easy Catch"),IF($N173=3,IF($O173&lt;0.5,IF($S173&gt;75,"Long Toss","Recovery/Easy Catch"),"Compression/Pulldowns"),IF($S173&gt;75,"Long Toss","Recovery/Easy Catch"))))))))))))</f>
        <v/>
      </c>
      <c r="U173" s="32" t="str">
        <f t="shared" si="118"/>
        <v/>
      </c>
      <c r="V173" s="32" t="str">
        <f t="shared" si="119"/>
        <v/>
      </c>
      <c r="W173" s="32" t="str">
        <f t="shared" si="120"/>
        <v/>
      </c>
      <c r="X173" s="32">
        <f t="shared" si="121"/>
        <v>0</v>
      </c>
      <c r="Y173" s="32" t="str">
        <f t="shared" si="122"/>
        <v/>
      </c>
      <c r="Z173" s="32" t="str">
        <f t="shared" si="123"/>
        <v/>
      </c>
      <c r="AA173" s="32" t="str">
        <f t="shared" si="124"/>
        <v/>
      </c>
      <c r="AB173" s="32" t="str">
        <f>IF($A173="","",IF($T173="No Throw",0,IF($K173&lt;&gt;"",$K173,IF($AA173&lt;&gt;"",ROUND($AA173*$D$12*IF($C173=0,1,$G$10),0),MIN(IF($T173="Recovery/Easy Catch",Reference!$B$103,IF($T173="Long Toss",Reference!$B$106,Reference!$B$102)),MAX(Reference!$B$101,ROUND(MAX(0,$Q173-$AE173)/$AF173,0)))))))</f>
        <v/>
      </c>
      <c r="AC173" s="32">
        <f t="shared" si="125"/>
        <v>0</v>
      </c>
      <c r="AD173" s="32" t="b">
        <f t="shared" si="126"/>
        <v>1</v>
      </c>
      <c r="AE173" s="32">
        <f>IF($X173=0,0,$X173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173+$Z173)/2,0),Reference!$A$17:$B$20,2,TRUE()))</f>
        <v>0</v>
      </c>
      <c r="AF173" s="32">
        <f>IF(OR($A173="",$U173="",$T173="No Throw"),0,$AM173*VLOOKUP(MAX(($V173+$W173)/2,0),Reference!$A$17:$B$20,2,TRUE()))</f>
        <v>0</v>
      </c>
      <c r="AG173" s="32">
        <f>IF($AC173=0,0,$AC173*INDEX(Reference!$B$61:$B$62,MATCH("Bullpen",Reference!$A$61:$A$62,0))*VLOOKUP(MAX($D$5-($D$9+$E$9)/2,0),Reference!$A$17:$B$20,2,TRUE()))</f>
        <v>0</v>
      </c>
      <c r="AH173" s="32" t="e">
        <f t="shared" si="127"/>
        <v>#N/A</v>
      </c>
      <c r="AI173" s="32" t="e">
        <f>IF($A173="",NA(),Reference!$A$25)</f>
        <v>#N/A</v>
      </c>
      <c r="AJ173" s="32" t="e">
        <f t="shared" si="128"/>
        <v>#N/A</v>
      </c>
      <c r="AK173" s="32">
        <f>IF(OR($A173="",N($C173)&lt;=7,$T173="No Throw",$J173="x"),0,INDEX(Reference!$B$108:$B$114,$N173+1))</f>
        <v>0</v>
      </c>
      <c r="AL173" s="32">
        <f t="shared" si="129"/>
        <v>1</v>
      </c>
      <c r="AM173" s="32">
        <f>IF($U173="",0,IF($AL173&gt;1,((IF(1&lt;=$AL173,($AL173-1+3)*(INDEX(Reference!$B$6:$B$11,MIN(5,MATCH(MAX(Reference!$A$6,MIN(Reference!$A$11,MIN($U173,90))),Reference!$A$6:$A$11,1)))+(MAX(Reference!$A$6,MIN(Reference!$A$11,MIN($U173,90)))-INDEX(Reference!$A$6:$A$11,MIN(5,MATCH(MAX(Reference!$A$6,MIN(Reference!$A$11,MIN($U173,90))),Reference!$A$6:$A$11,1))))*(INDEX(Reference!$B$6:$B$11,MIN(5,MATCH(MAX(Reference!$A$6,MIN(Reference!$A$11,MIN($U173,90))),Reference!$A$6:$A$11,1))+1)-INDEX(Reference!$B$6:$B$11,MIN(5,MATCH(MAX(Reference!$A$6,MIN(Reference!$A$11,MIN($U173,90))),Reference!$A$6:$A$11,1))))/(INDEX(Reference!$A$6:$A$11,MIN(5,MATCH(MAX(Reference!$A$6,MIN(Reference!$A$11,MIN($U173,90))),Reference!$A$6:$A$11,1))+1)-INDEX(Reference!$A$6:$A$11,MIN(5,MATCH(MAX(Reference!$A$6,MIN(Reference!$A$11,MIN($U173,90))),Reference!$A$6:$A$11,1))))),0)+IF(2&lt;=$AL173,($AL173-2+3)*(INDEX(Reference!$B$6:$B$11,MIN(5,MATCH(MAX(Reference!$A$6,MIN(Reference!$A$11,MIN($U173,120))),Reference!$A$6:$A$11,1)))+(MAX(Reference!$A$6,MIN(Reference!$A$11,MIN($U173,120)))-INDEX(Reference!$A$6:$A$11,MIN(5,MATCH(MAX(Reference!$A$6,MIN(Reference!$A$11,MIN($U173,120))),Reference!$A$6:$A$11,1))))*(INDEX(Reference!$B$6:$B$11,MIN(5,MATCH(MAX(Reference!$A$6,MIN(Reference!$A$11,MIN($U173,120))),Reference!$A$6:$A$11,1))+1)-INDEX(Reference!$B$6:$B$11,MIN(5,MATCH(MAX(Reference!$A$6,MIN(Reference!$A$11,MIN($U173,120))),Reference!$A$6:$A$11,1))))/(INDEX(Reference!$A$6:$A$11,MIN(5,MATCH(MAX(Reference!$A$6,MIN(Reference!$A$11,MIN($U173,120))),Reference!$A$6:$A$11,1))+1)-INDEX(Reference!$A$6:$A$11,MIN(5,MATCH(MAX(Reference!$A$6,MIN(Reference!$A$11,MIN($U173,120))),Reference!$A$6:$A$11,1))))),0)+IF(3&lt;=$AL173,($AL173-3+3)*(INDEX(Reference!$B$6:$B$11,MIN(5,MATCH(MAX(Reference!$A$6,MIN(Reference!$A$11,MIN($U173,150))),Reference!$A$6:$A$11,1)))+(MAX(Reference!$A$6,MIN(Reference!$A$11,MIN($U173,150)))-INDEX(Reference!$A$6:$A$11,MIN(5,MATCH(MAX(Reference!$A$6,MIN(Reference!$A$11,MIN($U173,150))),Reference!$A$6:$A$11,1))))*(INDEX(Reference!$B$6:$B$11,MIN(5,MATCH(MAX(Reference!$A$6,MIN(Reference!$A$11,MIN($U173,150))),Reference!$A$6:$A$11,1))+1)-INDEX(Reference!$B$6:$B$11,MIN(5,MATCH(MAX(Reference!$A$6,MIN(Reference!$A$11,MIN($U173,150))),Reference!$A$6:$A$11,1))))/(INDEX(Reference!$A$6:$A$11,MIN(5,MATCH(MAX(Reference!$A$6,MIN(Reference!$A$11,MIN($U173,150))),Reference!$A$6:$A$11,1))+1)-INDEX(Reference!$A$6:$A$11,MIN(5,MATCH(MAX(Reference!$A$6,MIN(Reference!$A$11,MIN($U173,150))),Reference!$A$6:$A$11,1))))),0)+IF(4&lt;=$AL173,($AL173-4+3)*(INDEX(Reference!$B$6:$B$11,MIN(5,MATCH(MAX(Reference!$A$6,MIN(Reference!$A$11,MIN($U173,180))),Reference!$A$6:$A$11,1)))+(MAX(Reference!$A$6,MIN(Reference!$A$11,MIN($U173,180)))-INDEX(Reference!$A$6:$A$11,MIN(5,MATCH(MAX(Reference!$A$6,MIN(Reference!$A$11,MIN($U173,180))),Reference!$A$6:$A$11,1))))*(INDEX(Reference!$B$6:$B$11,MIN(5,MATCH(MAX(Reference!$A$6,MIN(Reference!$A$11,MIN($U173,180))),Reference!$A$6:$A$11,1))+1)-INDEX(Reference!$B$6:$B$11,MIN(5,MATCH(MAX(Reference!$A$6,MIN(Reference!$A$11,MIN($U173,180))),Reference!$A$6:$A$11,1))))/(INDEX(Reference!$A$6:$A$11,MIN(5,MATCH(MAX(Reference!$A$6,MIN(Reference!$A$11,MIN($U173,180))),Reference!$A$6:$A$11,1))+1)-INDEX(Reference!$A$6:$A$11,MIN(5,MATCH(MAX(Reference!$A$6,MIN(Reference!$A$11,MIN($U173,180))),Reference!$A$6:$A$11,1))))),0)+IF(5&lt;=$AL173,($AL173-5+3)*(INDEX(Reference!$B$6:$B$11,MIN(5,MATCH(MAX(Reference!$A$6,MIN(Reference!$A$11,MIN($U173,210))),Reference!$A$6:$A$11,1)))+(MAX(Reference!$A$6,MIN(Reference!$A$11,MIN($U173,210)))-INDEX(Reference!$A$6:$A$11,MIN(5,MATCH(MAX(Reference!$A$6,MIN(Reference!$A$11,MIN($U173,210))),Reference!$A$6:$A$11,1))))*(INDEX(Reference!$B$6:$B$11,MIN(5,MATCH(MAX(Reference!$A$6,MIN(Reference!$A$11,MIN($U173,210))),Reference!$A$6:$A$11,1))+1)-INDEX(Reference!$B$6:$B$11,MIN(5,MATCH(MAX(Reference!$A$6,MIN(Reference!$A$11,MIN($U173,210))),Reference!$A$6:$A$11,1))))/(INDEX(Reference!$A$6:$A$11,MIN(5,MATCH(MAX(Reference!$A$6,MIN(Reference!$A$11,MIN($U173,210))),Reference!$A$6:$A$11,1))+1)-INDEX(Reference!$A$6:$A$11,MIN(5,MATCH(MAX(Reference!$A$6,MIN(Reference!$A$11,MIN($U173,210))),Reference!$A$6:$A$11,1))))),0)+IF(6&lt;=$AL173,($AL173-6+3)*(INDEX(Reference!$B$6:$B$11,MIN(5,MATCH(MAX(Reference!$A$6,MIN(Reference!$A$11,MIN($U173,240))),Reference!$A$6:$A$11,1)))+(MAX(Reference!$A$6,MIN(Reference!$A$11,MIN($U173,240)))-INDEX(Reference!$A$6:$A$11,MIN(5,MATCH(MAX(Reference!$A$6,MIN(Reference!$A$11,MIN($U173,240))),Reference!$A$6:$A$11,1))))*(INDEX(Reference!$B$6:$B$11,MIN(5,MATCH(MAX(Reference!$A$6,MIN(Reference!$A$11,MIN($U173,240))),Reference!$A$6:$A$11,1))+1)-INDEX(Reference!$B$6:$B$11,MIN(5,MATCH(MAX(Reference!$A$6,MIN(Reference!$A$11,MIN($U173,240))),Reference!$A$6:$A$11,1))))/(INDEX(Reference!$A$6:$A$11,MIN(5,MATCH(MAX(Reference!$A$6,MIN(Reference!$A$11,MIN($U173,240))),Reference!$A$6:$A$11,1))+1)-INDEX(Reference!$A$6:$A$11,MIN(5,MATCH(MAX(Reference!$A$6,MIN(Reference!$A$11,MIN($U173,240))),Reference!$A$6:$A$11,1))))),0)+IF(7&lt;=$AL173,($AL173-7+3)*(INDEX(Reference!$B$6:$B$11,MIN(5,MATCH(MAX(Reference!$A$6,MIN(Reference!$A$11,MIN($U173,270))),Reference!$A$6:$A$11,1)))+(MAX(Reference!$A$6,MIN(Reference!$A$11,MIN($U173,270)))-INDEX(Reference!$A$6:$A$11,MIN(5,MATCH(MAX(Reference!$A$6,MIN(Reference!$A$11,MIN($U173,270))),Reference!$A$6:$A$11,1))))*(INDEX(Reference!$B$6:$B$11,MIN(5,MATCH(MAX(Reference!$A$6,MIN(Reference!$A$11,MIN($U173,270))),Reference!$A$6:$A$11,1))+1)-INDEX(Reference!$B$6:$B$11,MIN(5,MATCH(MAX(Reference!$A$6,MIN(Reference!$A$11,MIN($U173,270))),Reference!$A$6:$A$11,1))))/(INDEX(Reference!$A$6:$A$11,MIN(5,MATCH(MAX(Reference!$A$6,MIN(Reference!$A$11,MIN($U173,270))),Reference!$A$6:$A$11,1))+1)-INDEX(Reference!$A$6:$A$11,MIN(5,MATCH(MAX(Reference!$A$6,MIN(Reference!$A$11,MIN($U173,270))),Reference!$A$6:$A$11,1))))),0)+IF(8&lt;=$AL173,($AL173-8+3)*(INDEX(Reference!$B$6:$B$11,MIN(5,MATCH(MAX(Reference!$A$6,MIN(Reference!$A$11,MIN($U173,300))),Reference!$A$6:$A$11,1)))+(MAX(Reference!$A$6,MIN(Reference!$A$11,MIN($U173,300)))-INDEX(Reference!$A$6:$A$11,MIN(5,MATCH(MAX(Reference!$A$6,MIN(Reference!$A$11,MIN($U173,300))),Reference!$A$6:$A$11,1))))*(INDEX(Reference!$B$6:$B$11,MIN(5,MATCH(MAX(Reference!$A$6,MIN(Reference!$A$11,MIN($U173,300))),Reference!$A$6:$A$11,1))+1)-INDEX(Reference!$B$6:$B$11,MIN(5,MATCH(MAX(Reference!$A$6,MIN(Reference!$A$11,MIN($U173,300))),Reference!$A$6:$A$11,1))))/(INDEX(Reference!$A$6:$A$11,MIN(5,MATCH(MAX(Reference!$A$6,MIN(Reference!$A$11,MIN($U173,300))),Reference!$A$6:$A$11,1))+1)-INDEX(Reference!$A$6:$A$11,MIN(5,MATCH(MAX(Reference!$A$6,MIN(Reference!$A$11,MIN($U173,300))),Reference!$A$6:$A$11,1))))),0))/($AL173*($AL173+5)/2)),$AN173))</f>
        <v>0</v>
      </c>
      <c r="AN173" s="32">
        <f>IF($U173="",0,(INDEX(Reference!$B$6:$B$11,MIN(5,MATCH(MAX(Reference!$A$6,MIN(Reference!$A$11,$U173)),Reference!$A$6:$A$11,1)))+(MAX(Reference!$A$6,MIN(Reference!$A$11,$U173))-INDEX(Reference!$A$6:$A$11,MIN(5,MATCH(MAX(Reference!$A$6,MIN(Reference!$A$11,$U173)),Reference!$A$6:$A$11,1))))*(INDEX(Reference!$B$6:$B$11,MIN(5,MATCH(MAX(Reference!$A$6,MIN(Reference!$A$11,$U173)),Reference!$A$6:$A$11,1))+1)-INDEX(Reference!$B$6:$B$11,MIN(5,MATCH(MAX(Reference!$A$6,MIN(Reference!$A$11,$U173)),Reference!$A$6:$A$11,1))))/(INDEX(Reference!$A$6:$A$11,MIN(5,MATCH(MAX(Reference!$A$6,MIN(Reference!$A$11,$U173)),Reference!$A$6:$A$11,1))+1)-INDEX(Reference!$A$6:$A$11,MIN(5,MATCH(MAX(Reference!$A$6,MIN(Reference!$A$11,$U173)),Reference!$A$6:$A$11,1))))))</f>
        <v>0</v>
      </c>
      <c r="AO173" s="37"/>
      <c r="AP173" s="37"/>
      <c r="AQ173" s="37"/>
    </row>
    <row r="174" spans="1:43" x14ac:dyDescent="0.3">
      <c r="A174" s="48" t="str">
        <f t="shared" si="105"/>
        <v/>
      </c>
      <c r="B174" s="32" t="str">
        <f t="shared" si="106"/>
        <v/>
      </c>
      <c r="C174" s="32" t="str">
        <f t="shared" si="107"/>
        <v/>
      </c>
      <c r="D174" s="32" t="str">
        <f t="shared" si="108"/>
        <v/>
      </c>
      <c r="E174" s="32" t="str">
        <f t="shared" si="109"/>
        <v/>
      </c>
      <c r="F174" s="32" t="str">
        <f t="shared" si="110"/>
        <v/>
      </c>
      <c r="G174" s="47" t="str">
        <f t="shared" si="111"/>
        <v/>
      </c>
      <c r="H174" s="30" t="str">
        <f t="shared" si="112"/>
        <v/>
      </c>
      <c r="I174" s="46" t="str">
        <f>IF($A174="","",IF(AND($L174&lt;27,$K$12=0),"Building",IFERROR(((SUM($H$168:$H174)+$K$12*IF($L174&lt;6,SUMIFS('Throw Log'!$Q$5:$Q$300,'Throw Log'!$B$5:$B$300,$D$4,'Throw Log'!$A$5:$A$300,"&gt;="&amp;($D$6+$L174-6),'Throw Log'!$A$5:$A$300,"&lt;="&amp;($D$6-1)),0))/7)/((SUM($H$147:$H174)+$K$12*IF($L174&lt;27,SUMIFS('Throw Log'!$Q$5:$Q$300,'Throw Log'!$B$5:$B$300,$D$4,'Throw Log'!$A$5:$A$300,"&gt;="&amp;($D$6+$L174-27),'Throw Log'!$A$5:$A$300,"&lt;="&amp;($D$6-1)),0))/28),"")))</f>
        <v/>
      </c>
      <c r="J174" s="37"/>
      <c r="K174" s="37"/>
      <c r="L174" s="32">
        <v>131</v>
      </c>
      <c r="M174" s="32">
        <f t="shared" si="113"/>
        <v>19</v>
      </c>
      <c r="N174" s="32">
        <f t="shared" si="114"/>
        <v>5</v>
      </c>
      <c r="O174" s="32">
        <f t="shared" si="115"/>
        <v>1</v>
      </c>
      <c r="P174" s="32" t="str">
        <f>IF(OR($A174="",N($C174)&lt;=7),"",$G$6*$G$9^($M174-1)*IF(AND(MOD($M174,Reference!$B$99)=0,$M174&lt;=$G$5-2),Reference!$B$100,1))</f>
        <v/>
      </c>
      <c r="Q174" s="32" t="str">
        <f>IF($P174="","",IF(SUM($AK$169:$AK$175)=0,0,$P174*INDEX(Reference!$B$108:$B$114,$N174+1)/SUM($AK$169:$AK$175)))</f>
        <v/>
      </c>
      <c r="R174" s="32">
        <f t="shared" si="116"/>
        <v>120</v>
      </c>
      <c r="S174" s="32">
        <f t="shared" si="117"/>
        <v>105</v>
      </c>
      <c r="T174" s="32" t="str">
        <f>IF($A174="","",IF($C174=0,"Bullpen",IF(OR($C174=7,$C174=1,$C174=5),"Recovery/Easy Catch",IF($C174=6,"Compression/Pulldowns",IF(OR($C174=4,$C174=2),"Long Toss",IF($C174=3,"No Throw",IF($N174=2,"No Throw",IF($N174=6,IF($O174&lt;Reference!$B$104,"No Throw","Recovery/Easy Catch"),IF(OR($N174=0,$N174=4),"Recovery/Easy Catch",IF($N174=1,IF($R174&gt;75,"Long Toss","Recovery/Easy Catch"),IF($N174=3,IF($O174&lt;0.5,IF($S174&gt;75,"Long Toss","Recovery/Easy Catch"),"Compression/Pulldowns"),IF($S174&gt;75,"Long Toss","Recovery/Easy Catch"))))))))))))</f>
        <v/>
      </c>
      <c r="U174" s="32" t="str">
        <f t="shared" si="118"/>
        <v/>
      </c>
      <c r="V174" s="32" t="str">
        <f t="shared" si="119"/>
        <v/>
      </c>
      <c r="W174" s="32" t="str">
        <f t="shared" si="120"/>
        <v/>
      </c>
      <c r="X174" s="32">
        <f t="shared" si="121"/>
        <v>0</v>
      </c>
      <c r="Y174" s="32" t="str">
        <f t="shared" si="122"/>
        <v/>
      </c>
      <c r="Z174" s="32" t="str">
        <f t="shared" si="123"/>
        <v/>
      </c>
      <c r="AA174" s="32" t="str">
        <f t="shared" si="124"/>
        <v/>
      </c>
      <c r="AB174" s="32" t="str">
        <f>IF($A174="","",IF($T174="No Throw",0,IF($K174&lt;&gt;"",$K174,IF($AA174&lt;&gt;"",ROUND($AA174*$D$12*IF($C174=0,1,$G$10),0),MIN(IF($T174="Recovery/Easy Catch",Reference!$B$103,IF($T174="Long Toss",Reference!$B$106,Reference!$B$102)),MAX(Reference!$B$101,ROUND(MAX(0,$Q174-$AE174)/$AF174,0)))))))</f>
        <v/>
      </c>
      <c r="AC174" s="32">
        <f t="shared" si="125"/>
        <v>0</v>
      </c>
      <c r="AD174" s="32" t="b">
        <f t="shared" si="126"/>
        <v>1</v>
      </c>
      <c r="AE174" s="32">
        <f>IF($X174=0,0,$X174*(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174+$Z174)/2,0),Reference!$A$17:$B$20,2,TRUE()))</f>
        <v>0</v>
      </c>
      <c r="AF174" s="32">
        <f>IF(OR($A174="",$U174="",$T174="No Throw"),0,$AM174*VLOOKUP(MAX(($V174+$W174)/2,0),Reference!$A$17:$B$20,2,TRUE()))</f>
        <v>0</v>
      </c>
      <c r="AG174" s="32">
        <f>IF($AC174=0,0,$AC174*INDEX(Reference!$B$61:$B$62,MATCH("Bullpen",Reference!$A$61:$A$62,0))*VLOOKUP(MAX($D$5-($D$9+$E$9)/2,0),Reference!$A$17:$B$20,2,TRUE()))</f>
        <v>0</v>
      </c>
      <c r="AH174" s="32" t="e">
        <f t="shared" si="127"/>
        <v>#N/A</v>
      </c>
      <c r="AI174" s="32" t="e">
        <f>IF($A174="",NA(),Reference!$A$25)</f>
        <v>#N/A</v>
      </c>
      <c r="AJ174" s="32" t="e">
        <f t="shared" si="128"/>
        <v>#N/A</v>
      </c>
      <c r="AK174" s="32">
        <f>IF(OR($A174="",N($C174)&lt;=7,$T174="No Throw",$J174="x"),0,INDEX(Reference!$B$108:$B$114,$N174+1))</f>
        <v>0</v>
      </c>
      <c r="AL174" s="32">
        <f t="shared" si="129"/>
        <v>1</v>
      </c>
      <c r="AM174" s="32">
        <f>IF($U174="",0,IF($AL174&gt;1,((IF(1&lt;=$AL174,($AL174-1+3)*(INDEX(Reference!$B$6:$B$11,MIN(5,MATCH(MAX(Reference!$A$6,MIN(Reference!$A$11,MIN($U174,90))),Reference!$A$6:$A$11,1)))+(MAX(Reference!$A$6,MIN(Reference!$A$11,MIN($U174,90)))-INDEX(Reference!$A$6:$A$11,MIN(5,MATCH(MAX(Reference!$A$6,MIN(Reference!$A$11,MIN($U174,90))),Reference!$A$6:$A$11,1))))*(INDEX(Reference!$B$6:$B$11,MIN(5,MATCH(MAX(Reference!$A$6,MIN(Reference!$A$11,MIN($U174,90))),Reference!$A$6:$A$11,1))+1)-INDEX(Reference!$B$6:$B$11,MIN(5,MATCH(MAX(Reference!$A$6,MIN(Reference!$A$11,MIN($U174,90))),Reference!$A$6:$A$11,1))))/(INDEX(Reference!$A$6:$A$11,MIN(5,MATCH(MAX(Reference!$A$6,MIN(Reference!$A$11,MIN($U174,90))),Reference!$A$6:$A$11,1))+1)-INDEX(Reference!$A$6:$A$11,MIN(5,MATCH(MAX(Reference!$A$6,MIN(Reference!$A$11,MIN($U174,90))),Reference!$A$6:$A$11,1))))),0)+IF(2&lt;=$AL174,($AL174-2+3)*(INDEX(Reference!$B$6:$B$11,MIN(5,MATCH(MAX(Reference!$A$6,MIN(Reference!$A$11,MIN($U174,120))),Reference!$A$6:$A$11,1)))+(MAX(Reference!$A$6,MIN(Reference!$A$11,MIN($U174,120)))-INDEX(Reference!$A$6:$A$11,MIN(5,MATCH(MAX(Reference!$A$6,MIN(Reference!$A$11,MIN($U174,120))),Reference!$A$6:$A$11,1))))*(INDEX(Reference!$B$6:$B$11,MIN(5,MATCH(MAX(Reference!$A$6,MIN(Reference!$A$11,MIN($U174,120))),Reference!$A$6:$A$11,1))+1)-INDEX(Reference!$B$6:$B$11,MIN(5,MATCH(MAX(Reference!$A$6,MIN(Reference!$A$11,MIN($U174,120))),Reference!$A$6:$A$11,1))))/(INDEX(Reference!$A$6:$A$11,MIN(5,MATCH(MAX(Reference!$A$6,MIN(Reference!$A$11,MIN($U174,120))),Reference!$A$6:$A$11,1))+1)-INDEX(Reference!$A$6:$A$11,MIN(5,MATCH(MAX(Reference!$A$6,MIN(Reference!$A$11,MIN($U174,120))),Reference!$A$6:$A$11,1))))),0)+IF(3&lt;=$AL174,($AL174-3+3)*(INDEX(Reference!$B$6:$B$11,MIN(5,MATCH(MAX(Reference!$A$6,MIN(Reference!$A$11,MIN($U174,150))),Reference!$A$6:$A$11,1)))+(MAX(Reference!$A$6,MIN(Reference!$A$11,MIN($U174,150)))-INDEX(Reference!$A$6:$A$11,MIN(5,MATCH(MAX(Reference!$A$6,MIN(Reference!$A$11,MIN($U174,150))),Reference!$A$6:$A$11,1))))*(INDEX(Reference!$B$6:$B$11,MIN(5,MATCH(MAX(Reference!$A$6,MIN(Reference!$A$11,MIN($U174,150))),Reference!$A$6:$A$11,1))+1)-INDEX(Reference!$B$6:$B$11,MIN(5,MATCH(MAX(Reference!$A$6,MIN(Reference!$A$11,MIN($U174,150))),Reference!$A$6:$A$11,1))))/(INDEX(Reference!$A$6:$A$11,MIN(5,MATCH(MAX(Reference!$A$6,MIN(Reference!$A$11,MIN($U174,150))),Reference!$A$6:$A$11,1))+1)-INDEX(Reference!$A$6:$A$11,MIN(5,MATCH(MAX(Reference!$A$6,MIN(Reference!$A$11,MIN($U174,150))),Reference!$A$6:$A$11,1))))),0)+IF(4&lt;=$AL174,($AL174-4+3)*(INDEX(Reference!$B$6:$B$11,MIN(5,MATCH(MAX(Reference!$A$6,MIN(Reference!$A$11,MIN($U174,180))),Reference!$A$6:$A$11,1)))+(MAX(Reference!$A$6,MIN(Reference!$A$11,MIN($U174,180)))-INDEX(Reference!$A$6:$A$11,MIN(5,MATCH(MAX(Reference!$A$6,MIN(Reference!$A$11,MIN($U174,180))),Reference!$A$6:$A$11,1))))*(INDEX(Reference!$B$6:$B$11,MIN(5,MATCH(MAX(Reference!$A$6,MIN(Reference!$A$11,MIN($U174,180))),Reference!$A$6:$A$11,1))+1)-INDEX(Reference!$B$6:$B$11,MIN(5,MATCH(MAX(Reference!$A$6,MIN(Reference!$A$11,MIN($U174,180))),Reference!$A$6:$A$11,1))))/(INDEX(Reference!$A$6:$A$11,MIN(5,MATCH(MAX(Reference!$A$6,MIN(Reference!$A$11,MIN($U174,180))),Reference!$A$6:$A$11,1))+1)-INDEX(Reference!$A$6:$A$11,MIN(5,MATCH(MAX(Reference!$A$6,MIN(Reference!$A$11,MIN($U174,180))),Reference!$A$6:$A$11,1))))),0)+IF(5&lt;=$AL174,($AL174-5+3)*(INDEX(Reference!$B$6:$B$11,MIN(5,MATCH(MAX(Reference!$A$6,MIN(Reference!$A$11,MIN($U174,210))),Reference!$A$6:$A$11,1)))+(MAX(Reference!$A$6,MIN(Reference!$A$11,MIN($U174,210)))-INDEX(Reference!$A$6:$A$11,MIN(5,MATCH(MAX(Reference!$A$6,MIN(Reference!$A$11,MIN($U174,210))),Reference!$A$6:$A$11,1))))*(INDEX(Reference!$B$6:$B$11,MIN(5,MATCH(MAX(Reference!$A$6,MIN(Reference!$A$11,MIN($U174,210))),Reference!$A$6:$A$11,1))+1)-INDEX(Reference!$B$6:$B$11,MIN(5,MATCH(MAX(Reference!$A$6,MIN(Reference!$A$11,MIN($U174,210))),Reference!$A$6:$A$11,1))))/(INDEX(Reference!$A$6:$A$11,MIN(5,MATCH(MAX(Reference!$A$6,MIN(Reference!$A$11,MIN($U174,210))),Reference!$A$6:$A$11,1))+1)-INDEX(Reference!$A$6:$A$11,MIN(5,MATCH(MAX(Reference!$A$6,MIN(Reference!$A$11,MIN($U174,210))),Reference!$A$6:$A$11,1))))),0)+IF(6&lt;=$AL174,($AL174-6+3)*(INDEX(Reference!$B$6:$B$11,MIN(5,MATCH(MAX(Reference!$A$6,MIN(Reference!$A$11,MIN($U174,240))),Reference!$A$6:$A$11,1)))+(MAX(Reference!$A$6,MIN(Reference!$A$11,MIN($U174,240)))-INDEX(Reference!$A$6:$A$11,MIN(5,MATCH(MAX(Reference!$A$6,MIN(Reference!$A$11,MIN($U174,240))),Reference!$A$6:$A$11,1))))*(INDEX(Reference!$B$6:$B$11,MIN(5,MATCH(MAX(Reference!$A$6,MIN(Reference!$A$11,MIN($U174,240))),Reference!$A$6:$A$11,1))+1)-INDEX(Reference!$B$6:$B$11,MIN(5,MATCH(MAX(Reference!$A$6,MIN(Reference!$A$11,MIN($U174,240))),Reference!$A$6:$A$11,1))))/(INDEX(Reference!$A$6:$A$11,MIN(5,MATCH(MAX(Reference!$A$6,MIN(Reference!$A$11,MIN($U174,240))),Reference!$A$6:$A$11,1))+1)-INDEX(Reference!$A$6:$A$11,MIN(5,MATCH(MAX(Reference!$A$6,MIN(Reference!$A$11,MIN($U174,240))),Reference!$A$6:$A$11,1))))),0)+IF(7&lt;=$AL174,($AL174-7+3)*(INDEX(Reference!$B$6:$B$11,MIN(5,MATCH(MAX(Reference!$A$6,MIN(Reference!$A$11,MIN($U174,270))),Reference!$A$6:$A$11,1)))+(MAX(Reference!$A$6,MIN(Reference!$A$11,MIN($U174,270)))-INDEX(Reference!$A$6:$A$11,MIN(5,MATCH(MAX(Reference!$A$6,MIN(Reference!$A$11,MIN($U174,270))),Reference!$A$6:$A$11,1))))*(INDEX(Reference!$B$6:$B$11,MIN(5,MATCH(MAX(Reference!$A$6,MIN(Reference!$A$11,MIN($U174,270))),Reference!$A$6:$A$11,1))+1)-INDEX(Reference!$B$6:$B$11,MIN(5,MATCH(MAX(Reference!$A$6,MIN(Reference!$A$11,MIN($U174,270))),Reference!$A$6:$A$11,1))))/(INDEX(Reference!$A$6:$A$11,MIN(5,MATCH(MAX(Reference!$A$6,MIN(Reference!$A$11,MIN($U174,270))),Reference!$A$6:$A$11,1))+1)-INDEX(Reference!$A$6:$A$11,MIN(5,MATCH(MAX(Reference!$A$6,MIN(Reference!$A$11,MIN($U174,270))),Reference!$A$6:$A$11,1))))),0)+IF(8&lt;=$AL174,($AL174-8+3)*(INDEX(Reference!$B$6:$B$11,MIN(5,MATCH(MAX(Reference!$A$6,MIN(Reference!$A$11,MIN($U174,300))),Reference!$A$6:$A$11,1)))+(MAX(Reference!$A$6,MIN(Reference!$A$11,MIN($U174,300)))-INDEX(Reference!$A$6:$A$11,MIN(5,MATCH(MAX(Reference!$A$6,MIN(Reference!$A$11,MIN($U174,300))),Reference!$A$6:$A$11,1))))*(INDEX(Reference!$B$6:$B$11,MIN(5,MATCH(MAX(Reference!$A$6,MIN(Reference!$A$11,MIN($U174,300))),Reference!$A$6:$A$11,1))+1)-INDEX(Reference!$B$6:$B$11,MIN(5,MATCH(MAX(Reference!$A$6,MIN(Reference!$A$11,MIN($U174,300))),Reference!$A$6:$A$11,1))))/(INDEX(Reference!$A$6:$A$11,MIN(5,MATCH(MAX(Reference!$A$6,MIN(Reference!$A$11,MIN($U174,300))),Reference!$A$6:$A$11,1))+1)-INDEX(Reference!$A$6:$A$11,MIN(5,MATCH(MAX(Reference!$A$6,MIN(Reference!$A$11,MIN($U174,300))),Reference!$A$6:$A$11,1))))),0))/($AL174*($AL174+5)/2)),$AN174))</f>
        <v>0</v>
      </c>
      <c r="AN174" s="32">
        <f>IF($U174="",0,(INDEX(Reference!$B$6:$B$11,MIN(5,MATCH(MAX(Reference!$A$6,MIN(Reference!$A$11,$U174)),Reference!$A$6:$A$11,1)))+(MAX(Reference!$A$6,MIN(Reference!$A$11,$U174))-INDEX(Reference!$A$6:$A$11,MIN(5,MATCH(MAX(Reference!$A$6,MIN(Reference!$A$11,$U174)),Reference!$A$6:$A$11,1))))*(INDEX(Reference!$B$6:$B$11,MIN(5,MATCH(MAX(Reference!$A$6,MIN(Reference!$A$11,$U174)),Reference!$A$6:$A$11,1))+1)-INDEX(Reference!$B$6:$B$11,MIN(5,MATCH(MAX(Reference!$A$6,MIN(Reference!$A$11,$U174)),Reference!$A$6:$A$11,1))))/(INDEX(Reference!$A$6:$A$11,MIN(5,MATCH(MAX(Reference!$A$6,MIN(Reference!$A$11,$U174)),Reference!$A$6:$A$11,1))+1)-INDEX(Reference!$A$6:$A$11,MIN(5,MATCH(MAX(Reference!$A$6,MIN(Reference!$A$11,$U174)),Reference!$A$6:$A$11,1))))))</f>
        <v>0</v>
      </c>
      <c r="AO174" s="37"/>
      <c r="AP174" s="37"/>
      <c r="AQ174" s="37"/>
    </row>
    <row r="175" spans="1:43" x14ac:dyDescent="0.3">
      <c r="A175" s="48" t="str">
        <f t="shared" si="105"/>
        <v/>
      </c>
      <c r="B175" s="32" t="str">
        <f t="shared" si="106"/>
        <v/>
      </c>
      <c r="C175" s="32" t="str">
        <f t="shared" si="107"/>
        <v/>
      </c>
      <c r="D175" s="32" t="str">
        <f t="shared" si="108"/>
        <v/>
      </c>
      <c r="E175" s="32" t="str">
        <f t="shared" si="109"/>
        <v/>
      </c>
      <c r="F175" s="32" t="str">
        <f t="shared" si="110"/>
        <v/>
      </c>
      <c r="G175" s="47" t="str">
        <f t="shared" si="111"/>
        <v/>
      </c>
      <c r="H175" s="30" t="str">
        <f t="shared" si="112"/>
        <v/>
      </c>
      <c r="I175" s="46" t="str">
        <f>IF($A175="","",IF(AND($L175&lt;27,$K$12=0),"Building",IFERROR(((SUM($H$169:$H175)+$K$12*IF($L175&lt;6,SUMIFS('Throw Log'!$Q$5:$Q$300,'Throw Log'!$B$5:$B$300,$D$4,'Throw Log'!$A$5:$A$300,"&gt;="&amp;($D$6+$L175-6),'Throw Log'!$A$5:$A$300,"&lt;="&amp;($D$6-1)),0))/7)/((SUM($H$148:$H175)+$K$12*IF($L175&lt;27,SUMIFS('Throw Log'!$Q$5:$Q$300,'Throw Log'!$B$5:$B$300,$D$4,'Throw Log'!$A$5:$A$300,"&gt;="&amp;($D$6+$L175-27),'Throw Log'!$A$5:$A$300,"&lt;="&amp;($D$6-1)),0))/28),"")))</f>
        <v/>
      </c>
      <c r="J175" s="37"/>
      <c r="K175" s="37"/>
      <c r="L175" s="32">
        <v>132</v>
      </c>
      <c r="M175" s="32">
        <f t="shared" si="113"/>
        <v>19</v>
      </c>
      <c r="N175" s="32">
        <f t="shared" si="114"/>
        <v>6</v>
      </c>
      <c r="O175" s="32">
        <f t="shared" si="115"/>
        <v>1</v>
      </c>
      <c r="P175" s="32" t="str">
        <f>IF(OR($A175="",N($C175)&lt;=7),"",$G$6*$G$9^($M175-1)*IF(AND(MOD($M175,Reference!$B$99)=0,$M175&lt;=$G$5-2),Reference!$B$100,1))</f>
        <v/>
      </c>
      <c r="Q175" s="32" t="str">
        <f>IF($P175="","",IF(SUM($AK$169:$AK$175)=0,0,$P175*INDEX(Reference!$B$108:$B$114,$N175+1)/SUM($AK$169:$AK$175)))</f>
        <v/>
      </c>
      <c r="R175" s="32">
        <f t="shared" si="116"/>
        <v>120</v>
      </c>
      <c r="S175" s="32">
        <f t="shared" si="117"/>
        <v>105</v>
      </c>
      <c r="T175" s="32" t="str">
        <f>IF($A175="","",IF($C175=0,"Bullpen",IF(OR($C175=7,$C175=1,$C175=5),"Recovery/Easy Catch",IF($C175=6,"Compression/Pulldowns",IF(OR($C175=4,$C175=2),"Long Toss",IF($C175=3,"No Throw",IF($N175=2,"No Throw",IF($N175=6,IF($O175&lt;Reference!$B$104,"No Throw","Recovery/Easy Catch"),IF(OR($N175=0,$N175=4),"Recovery/Easy Catch",IF($N175=1,IF($R175&gt;75,"Long Toss","Recovery/Easy Catch"),IF($N175=3,IF($O175&lt;0.5,IF($S175&gt;75,"Long Toss","Recovery/Easy Catch"),"Compression/Pulldowns"),IF($S175&gt;75,"Long Toss","Recovery/Easy Catch"))))))))))))</f>
        <v/>
      </c>
      <c r="U175" s="32" t="str">
        <f t="shared" si="118"/>
        <v/>
      </c>
      <c r="V175" s="32" t="str">
        <f t="shared" si="119"/>
        <v/>
      </c>
      <c r="W175" s="32" t="str">
        <f t="shared" si="120"/>
        <v/>
      </c>
      <c r="X175" s="32">
        <f t="shared" si="121"/>
        <v>0</v>
      </c>
      <c r="Y175" s="32" t="str">
        <f t="shared" si="122"/>
        <v/>
      </c>
      <c r="Z175" s="32" t="str">
        <f t="shared" si="123"/>
        <v/>
      </c>
      <c r="AA175" s="32" t="str">
        <f t="shared" si="124"/>
        <v/>
      </c>
      <c r="AB175" s="32" t="str">
        <f>IF($A175="","",IF($T175="No Throw",0,IF($K175&lt;&gt;"",$K175,IF($AA175&lt;&gt;"",ROUND($AA175*$D$12*IF($C175=0,1,$G$10),0),MIN(IF($T175="Recovery/Easy Catch",Reference!$B$103,IF($T175="Long Toss",Reference!$B$106,Reference!$B$102)),MAX(Reference!$B$101,ROUND(MAX(0,$Q175-$AE175)/$AF175,0)))))))</f>
        <v/>
      </c>
      <c r="AC175" s="32">
        <f t="shared" si="125"/>
        <v>0</v>
      </c>
      <c r="AD175" s="32" t="b">
        <f t="shared" si="126"/>
        <v>1</v>
      </c>
      <c r="AE175" s="32">
        <f>IF($X175=0,0,$X175*(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175+$Z175)/2,0),Reference!$A$17:$B$20,2,TRUE()))</f>
        <v>0</v>
      </c>
      <c r="AF175" s="32">
        <f>IF(OR($A175="",$U175="",$T175="No Throw"),0,$AM175*VLOOKUP(MAX(($V175+$W175)/2,0),Reference!$A$17:$B$20,2,TRUE()))</f>
        <v>0</v>
      </c>
      <c r="AG175" s="32">
        <f>IF($AC175=0,0,$AC175*INDEX(Reference!$B$61:$B$62,MATCH("Bullpen",Reference!$A$61:$A$62,0))*VLOOKUP(MAX($D$5-($D$9+$E$9)/2,0),Reference!$A$17:$B$20,2,TRUE()))</f>
        <v>0</v>
      </c>
      <c r="AH175" s="32" t="e">
        <f t="shared" si="127"/>
        <v>#N/A</v>
      </c>
      <c r="AI175" s="32" t="e">
        <f>IF($A175="",NA(),Reference!$A$25)</f>
        <v>#N/A</v>
      </c>
      <c r="AJ175" s="32" t="e">
        <f t="shared" si="128"/>
        <v>#N/A</v>
      </c>
      <c r="AK175" s="32">
        <f>IF(OR($A175="",N($C175)&lt;=7,$T175="No Throw",$J175="x"),0,INDEX(Reference!$B$108:$B$114,$N175+1))</f>
        <v>0</v>
      </c>
      <c r="AL175" s="32">
        <f t="shared" si="129"/>
        <v>1</v>
      </c>
      <c r="AM175" s="32">
        <f>IF($U175="",0,IF($AL175&gt;1,((IF(1&lt;=$AL175,($AL175-1+3)*(INDEX(Reference!$B$6:$B$11,MIN(5,MATCH(MAX(Reference!$A$6,MIN(Reference!$A$11,MIN($U175,90))),Reference!$A$6:$A$11,1)))+(MAX(Reference!$A$6,MIN(Reference!$A$11,MIN($U175,90)))-INDEX(Reference!$A$6:$A$11,MIN(5,MATCH(MAX(Reference!$A$6,MIN(Reference!$A$11,MIN($U175,90))),Reference!$A$6:$A$11,1))))*(INDEX(Reference!$B$6:$B$11,MIN(5,MATCH(MAX(Reference!$A$6,MIN(Reference!$A$11,MIN($U175,90))),Reference!$A$6:$A$11,1))+1)-INDEX(Reference!$B$6:$B$11,MIN(5,MATCH(MAX(Reference!$A$6,MIN(Reference!$A$11,MIN($U175,90))),Reference!$A$6:$A$11,1))))/(INDEX(Reference!$A$6:$A$11,MIN(5,MATCH(MAX(Reference!$A$6,MIN(Reference!$A$11,MIN($U175,90))),Reference!$A$6:$A$11,1))+1)-INDEX(Reference!$A$6:$A$11,MIN(5,MATCH(MAX(Reference!$A$6,MIN(Reference!$A$11,MIN($U175,90))),Reference!$A$6:$A$11,1))))),0)+IF(2&lt;=$AL175,($AL175-2+3)*(INDEX(Reference!$B$6:$B$11,MIN(5,MATCH(MAX(Reference!$A$6,MIN(Reference!$A$11,MIN($U175,120))),Reference!$A$6:$A$11,1)))+(MAX(Reference!$A$6,MIN(Reference!$A$11,MIN($U175,120)))-INDEX(Reference!$A$6:$A$11,MIN(5,MATCH(MAX(Reference!$A$6,MIN(Reference!$A$11,MIN($U175,120))),Reference!$A$6:$A$11,1))))*(INDEX(Reference!$B$6:$B$11,MIN(5,MATCH(MAX(Reference!$A$6,MIN(Reference!$A$11,MIN($U175,120))),Reference!$A$6:$A$11,1))+1)-INDEX(Reference!$B$6:$B$11,MIN(5,MATCH(MAX(Reference!$A$6,MIN(Reference!$A$11,MIN($U175,120))),Reference!$A$6:$A$11,1))))/(INDEX(Reference!$A$6:$A$11,MIN(5,MATCH(MAX(Reference!$A$6,MIN(Reference!$A$11,MIN($U175,120))),Reference!$A$6:$A$11,1))+1)-INDEX(Reference!$A$6:$A$11,MIN(5,MATCH(MAX(Reference!$A$6,MIN(Reference!$A$11,MIN($U175,120))),Reference!$A$6:$A$11,1))))),0)+IF(3&lt;=$AL175,($AL175-3+3)*(INDEX(Reference!$B$6:$B$11,MIN(5,MATCH(MAX(Reference!$A$6,MIN(Reference!$A$11,MIN($U175,150))),Reference!$A$6:$A$11,1)))+(MAX(Reference!$A$6,MIN(Reference!$A$11,MIN($U175,150)))-INDEX(Reference!$A$6:$A$11,MIN(5,MATCH(MAX(Reference!$A$6,MIN(Reference!$A$11,MIN($U175,150))),Reference!$A$6:$A$11,1))))*(INDEX(Reference!$B$6:$B$11,MIN(5,MATCH(MAX(Reference!$A$6,MIN(Reference!$A$11,MIN($U175,150))),Reference!$A$6:$A$11,1))+1)-INDEX(Reference!$B$6:$B$11,MIN(5,MATCH(MAX(Reference!$A$6,MIN(Reference!$A$11,MIN($U175,150))),Reference!$A$6:$A$11,1))))/(INDEX(Reference!$A$6:$A$11,MIN(5,MATCH(MAX(Reference!$A$6,MIN(Reference!$A$11,MIN($U175,150))),Reference!$A$6:$A$11,1))+1)-INDEX(Reference!$A$6:$A$11,MIN(5,MATCH(MAX(Reference!$A$6,MIN(Reference!$A$11,MIN($U175,150))),Reference!$A$6:$A$11,1))))),0)+IF(4&lt;=$AL175,($AL175-4+3)*(INDEX(Reference!$B$6:$B$11,MIN(5,MATCH(MAX(Reference!$A$6,MIN(Reference!$A$11,MIN($U175,180))),Reference!$A$6:$A$11,1)))+(MAX(Reference!$A$6,MIN(Reference!$A$11,MIN($U175,180)))-INDEX(Reference!$A$6:$A$11,MIN(5,MATCH(MAX(Reference!$A$6,MIN(Reference!$A$11,MIN($U175,180))),Reference!$A$6:$A$11,1))))*(INDEX(Reference!$B$6:$B$11,MIN(5,MATCH(MAX(Reference!$A$6,MIN(Reference!$A$11,MIN($U175,180))),Reference!$A$6:$A$11,1))+1)-INDEX(Reference!$B$6:$B$11,MIN(5,MATCH(MAX(Reference!$A$6,MIN(Reference!$A$11,MIN($U175,180))),Reference!$A$6:$A$11,1))))/(INDEX(Reference!$A$6:$A$11,MIN(5,MATCH(MAX(Reference!$A$6,MIN(Reference!$A$11,MIN($U175,180))),Reference!$A$6:$A$11,1))+1)-INDEX(Reference!$A$6:$A$11,MIN(5,MATCH(MAX(Reference!$A$6,MIN(Reference!$A$11,MIN($U175,180))),Reference!$A$6:$A$11,1))))),0)+IF(5&lt;=$AL175,($AL175-5+3)*(INDEX(Reference!$B$6:$B$11,MIN(5,MATCH(MAX(Reference!$A$6,MIN(Reference!$A$11,MIN($U175,210))),Reference!$A$6:$A$11,1)))+(MAX(Reference!$A$6,MIN(Reference!$A$11,MIN($U175,210)))-INDEX(Reference!$A$6:$A$11,MIN(5,MATCH(MAX(Reference!$A$6,MIN(Reference!$A$11,MIN($U175,210))),Reference!$A$6:$A$11,1))))*(INDEX(Reference!$B$6:$B$11,MIN(5,MATCH(MAX(Reference!$A$6,MIN(Reference!$A$11,MIN($U175,210))),Reference!$A$6:$A$11,1))+1)-INDEX(Reference!$B$6:$B$11,MIN(5,MATCH(MAX(Reference!$A$6,MIN(Reference!$A$11,MIN($U175,210))),Reference!$A$6:$A$11,1))))/(INDEX(Reference!$A$6:$A$11,MIN(5,MATCH(MAX(Reference!$A$6,MIN(Reference!$A$11,MIN($U175,210))),Reference!$A$6:$A$11,1))+1)-INDEX(Reference!$A$6:$A$11,MIN(5,MATCH(MAX(Reference!$A$6,MIN(Reference!$A$11,MIN($U175,210))),Reference!$A$6:$A$11,1))))),0)+IF(6&lt;=$AL175,($AL175-6+3)*(INDEX(Reference!$B$6:$B$11,MIN(5,MATCH(MAX(Reference!$A$6,MIN(Reference!$A$11,MIN($U175,240))),Reference!$A$6:$A$11,1)))+(MAX(Reference!$A$6,MIN(Reference!$A$11,MIN($U175,240)))-INDEX(Reference!$A$6:$A$11,MIN(5,MATCH(MAX(Reference!$A$6,MIN(Reference!$A$11,MIN($U175,240))),Reference!$A$6:$A$11,1))))*(INDEX(Reference!$B$6:$B$11,MIN(5,MATCH(MAX(Reference!$A$6,MIN(Reference!$A$11,MIN($U175,240))),Reference!$A$6:$A$11,1))+1)-INDEX(Reference!$B$6:$B$11,MIN(5,MATCH(MAX(Reference!$A$6,MIN(Reference!$A$11,MIN($U175,240))),Reference!$A$6:$A$11,1))))/(INDEX(Reference!$A$6:$A$11,MIN(5,MATCH(MAX(Reference!$A$6,MIN(Reference!$A$11,MIN($U175,240))),Reference!$A$6:$A$11,1))+1)-INDEX(Reference!$A$6:$A$11,MIN(5,MATCH(MAX(Reference!$A$6,MIN(Reference!$A$11,MIN($U175,240))),Reference!$A$6:$A$11,1))))),0)+IF(7&lt;=$AL175,($AL175-7+3)*(INDEX(Reference!$B$6:$B$11,MIN(5,MATCH(MAX(Reference!$A$6,MIN(Reference!$A$11,MIN($U175,270))),Reference!$A$6:$A$11,1)))+(MAX(Reference!$A$6,MIN(Reference!$A$11,MIN($U175,270)))-INDEX(Reference!$A$6:$A$11,MIN(5,MATCH(MAX(Reference!$A$6,MIN(Reference!$A$11,MIN($U175,270))),Reference!$A$6:$A$11,1))))*(INDEX(Reference!$B$6:$B$11,MIN(5,MATCH(MAX(Reference!$A$6,MIN(Reference!$A$11,MIN($U175,270))),Reference!$A$6:$A$11,1))+1)-INDEX(Reference!$B$6:$B$11,MIN(5,MATCH(MAX(Reference!$A$6,MIN(Reference!$A$11,MIN($U175,270))),Reference!$A$6:$A$11,1))))/(INDEX(Reference!$A$6:$A$11,MIN(5,MATCH(MAX(Reference!$A$6,MIN(Reference!$A$11,MIN($U175,270))),Reference!$A$6:$A$11,1))+1)-INDEX(Reference!$A$6:$A$11,MIN(5,MATCH(MAX(Reference!$A$6,MIN(Reference!$A$11,MIN($U175,270))),Reference!$A$6:$A$11,1))))),0)+IF(8&lt;=$AL175,($AL175-8+3)*(INDEX(Reference!$B$6:$B$11,MIN(5,MATCH(MAX(Reference!$A$6,MIN(Reference!$A$11,MIN($U175,300))),Reference!$A$6:$A$11,1)))+(MAX(Reference!$A$6,MIN(Reference!$A$11,MIN($U175,300)))-INDEX(Reference!$A$6:$A$11,MIN(5,MATCH(MAX(Reference!$A$6,MIN(Reference!$A$11,MIN($U175,300))),Reference!$A$6:$A$11,1))))*(INDEX(Reference!$B$6:$B$11,MIN(5,MATCH(MAX(Reference!$A$6,MIN(Reference!$A$11,MIN($U175,300))),Reference!$A$6:$A$11,1))+1)-INDEX(Reference!$B$6:$B$11,MIN(5,MATCH(MAX(Reference!$A$6,MIN(Reference!$A$11,MIN($U175,300))),Reference!$A$6:$A$11,1))))/(INDEX(Reference!$A$6:$A$11,MIN(5,MATCH(MAX(Reference!$A$6,MIN(Reference!$A$11,MIN($U175,300))),Reference!$A$6:$A$11,1))+1)-INDEX(Reference!$A$6:$A$11,MIN(5,MATCH(MAX(Reference!$A$6,MIN(Reference!$A$11,MIN($U175,300))),Reference!$A$6:$A$11,1))))),0))/($AL175*($AL175+5)/2)),$AN175))</f>
        <v>0</v>
      </c>
      <c r="AN175" s="32">
        <f>IF($U175="",0,(INDEX(Reference!$B$6:$B$11,MIN(5,MATCH(MAX(Reference!$A$6,MIN(Reference!$A$11,$U175)),Reference!$A$6:$A$11,1)))+(MAX(Reference!$A$6,MIN(Reference!$A$11,$U175))-INDEX(Reference!$A$6:$A$11,MIN(5,MATCH(MAX(Reference!$A$6,MIN(Reference!$A$11,$U175)),Reference!$A$6:$A$11,1))))*(INDEX(Reference!$B$6:$B$11,MIN(5,MATCH(MAX(Reference!$A$6,MIN(Reference!$A$11,$U175)),Reference!$A$6:$A$11,1))+1)-INDEX(Reference!$B$6:$B$11,MIN(5,MATCH(MAX(Reference!$A$6,MIN(Reference!$A$11,$U175)),Reference!$A$6:$A$11,1))))/(INDEX(Reference!$A$6:$A$11,MIN(5,MATCH(MAX(Reference!$A$6,MIN(Reference!$A$11,$U175)),Reference!$A$6:$A$11,1))+1)-INDEX(Reference!$A$6:$A$11,MIN(5,MATCH(MAX(Reference!$A$6,MIN(Reference!$A$11,$U175)),Reference!$A$6:$A$11,1))))))</f>
        <v>0</v>
      </c>
      <c r="AO175" s="37"/>
      <c r="AP175" s="37"/>
      <c r="AQ175" s="37"/>
    </row>
    <row r="176" spans="1:43" x14ac:dyDescent="0.3">
      <c r="A176" s="48" t="str">
        <f t="shared" si="105"/>
        <v/>
      </c>
      <c r="B176" s="32" t="str">
        <f t="shared" si="106"/>
        <v/>
      </c>
      <c r="C176" s="32" t="str">
        <f t="shared" si="107"/>
        <v/>
      </c>
      <c r="D176" s="32" t="str">
        <f t="shared" si="108"/>
        <v/>
      </c>
      <c r="E176" s="32" t="str">
        <f t="shared" si="109"/>
        <v/>
      </c>
      <c r="F176" s="32" t="str">
        <f t="shared" si="110"/>
        <v/>
      </c>
      <c r="G176" s="47" t="str">
        <f t="shared" si="111"/>
        <v/>
      </c>
      <c r="H176" s="30" t="str">
        <f t="shared" si="112"/>
        <v/>
      </c>
      <c r="I176" s="46" t="str">
        <f>IF($A176="","",IF(AND($L176&lt;27,$K$12=0),"Building",IFERROR(((SUM($H$170:$H176)+$K$12*IF($L176&lt;6,SUMIFS('Throw Log'!$Q$5:$Q$300,'Throw Log'!$B$5:$B$300,$D$4,'Throw Log'!$A$5:$A$300,"&gt;="&amp;($D$6+$L176-6),'Throw Log'!$A$5:$A$300,"&lt;="&amp;($D$6-1)),0))/7)/((SUM($H$149:$H176)+$K$12*IF($L176&lt;27,SUMIFS('Throw Log'!$Q$5:$Q$300,'Throw Log'!$B$5:$B$300,$D$4,'Throw Log'!$A$5:$A$300,"&gt;="&amp;($D$6+$L176-27),'Throw Log'!$A$5:$A$300,"&lt;="&amp;($D$6-1)),0))/28),"")))</f>
        <v/>
      </c>
      <c r="J176" s="37"/>
      <c r="K176" s="37"/>
      <c r="L176" s="32">
        <v>133</v>
      </c>
      <c r="M176" s="32">
        <f t="shared" si="113"/>
        <v>20</v>
      </c>
      <c r="N176" s="32">
        <f t="shared" si="114"/>
        <v>0</v>
      </c>
      <c r="O176" s="32">
        <f t="shared" si="115"/>
        <v>1</v>
      </c>
      <c r="P176" s="32" t="str">
        <f>IF(OR($A176="",N($C176)&lt;=7),"",$G$6*$G$9^($M176-1)*IF(AND(MOD($M176,Reference!$B$99)=0,$M176&lt;=$G$5-2),Reference!$B$100,1))</f>
        <v/>
      </c>
      <c r="Q176" s="32" t="str">
        <f>IF($P176="","",IF(SUM($AK$176:$AK$182)=0,0,$P176*INDEX(Reference!$B$108:$B$114,$N176+1)/SUM($AK$176:$AK$182)))</f>
        <v/>
      </c>
      <c r="R176" s="32">
        <f t="shared" si="116"/>
        <v>120</v>
      </c>
      <c r="S176" s="32">
        <f t="shared" si="117"/>
        <v>105</v>
      </c>
      <c r="T176" s="32" t="str">
        <f>IF($A176="","",IF($C176=0,"Bullpen",IF(OR($C176=7,$C176=1,$C176=5),"Recovery/Easy Catch",IF($C176=6,"Compression/Pulldowns",IF(OR($C176=4,$C176=2),"Long Toss",IF($C176=3,"No Throw",IF($N176=2,"No Throw",IF($N176=6,IF($O176&lt;Reference!$B$104,"No Throw","Recovery/Easy Catch"),IF(OR($N176=0,$N176=4),"Recovery/Easy Catch",IF($N176=1,IF($R176&gt;75,"Long Toss","Recovery/Easy Catch"),IF($N176=3,IF($O176&lt;0.5,IF($S176&gt;75,"Long Toss","Recovery/Easy Catch"),"Compression/Pulldowns"),IF($S176&gt;75,"Long Toss","Recovery/Easy Catch"))))))))))))</f>
        <v/>
      </c>
      <c r="U176" s="32" t="str">
        <f t="shared" si="118"/>
        <v/>
      </c>
      <c r="V176" s="32" t="str">
        <f t="shared" si="119"/>
        <v/>
      </c>
      <c r="W176" s="32" t="str">
        <f t="shared" si="120"/>
        <v/>
      </c>
      <c r="X176" s="32">
        <f t="shared" si="121"/>
        <v>0</v>
      </c>
      <c r="Y176" s="32" t="str">
        <f t="shared" si="122"/>
        <v/>
      </c>
      <c r="Z176" s="32" t="str">
        <f t="shared" si="123"/>
        <v/>
      </c>
      <c r="AA176" s="32" t="str">
        <f t="shared" si="124"/>
        <v/>
      </c>
      <c r="AB176" s="32" t="str">
        <f>IF($A176="","",IF($T176="No Throw",0,IF($K176&lt;&gt;"",$K176,IF($AA176&lt;&gt;"",ROUND($AA176*$D$12*IF($C176=0,1,$G$10),0),MIN(IF($T176="Recovery/Easy Catch",Reference!$B$103,IF($T176="Long Toss",Reference!$B$106,Reference!$B$102)),MAX(Reference!$B$101,ROUND(MAX(0,$Q176-$AE176)/$AF176,0)))))))</f>
        <v/>
      </c>
      <c r="AC176" s="32">
        <f t="shared" si="125"/>
        <v>0</v>
      </c>
      <c r="AD176" s="32" t="b">
        <f t="shared" si="126"/>
        <v>1</v>
      </c>
      <c r="AE176" s="32">
        <f>IF($X176=0,0,$X176*(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176+$Z176)/2,0),Reference!$A$17:$B$20,2,TRUE()))</f>
        <v>0</v>
      </c>
      <c r="AF176" s="32">
        <f>IF(OR($A176="",$U176="",$T176="No Throw"),0,$AM176*VLOOKUP(MAX(($V176+$W176)/2,0),Reference!$A$17:$B$20,2,TRUE()))</f>
        <v>0</v>
      </c>
      <c r="AG176" s="32">
        <f>IF($AC176=0,0,$AC176*INDEX(Reference!$B$61:$B$62,MATCH("Bullpen",Reference!$A$61:$A$62,0))*VLOOKUP(MAX($D$5-($D$9+$E$9)/2,0),Reference!$A$17:$B$20,2,TRUE()))</f>
        <v>0</v>
      </c>
      <c r="AH176" s="32" t="e">
        <f t="shared" si="127"/>
        <v>#N/A</v>
      </c>
      <c r="AI176" s="32" t="e">
        <f>IF($A176="",NA(),Reference!$A$25)</f>
        <v>#N/A</v>
      </c>
      <c r="AJ176" s="32" t="e">
        <f t="shared" si="128"/>
        <v>#N/A</v>
      </c>
      <c r="AK176" s="32">
        <f>IF(OR($A176="",N($C176)&lt;=7,$T176="No Throw",$J176="x"),0,INDEX(Reference!$B$108:$B$114,$N176+1))</f>
        <v>0</v>
      </c>
      <c r="AL176" s="32">
        <f t="shared" si="129"/>
        <v>1</v>
      </c>
      <c r="AM176" s="32">
        <f>IF($U176="",0,IF($AL176&gt;1,((IF(1&lt;=$AL176,($AL176-1+3)*(INDEX(Reference!$B$6:$B$11,MIN(5,MATCH(MAX(Reference!$A$6,MIN(Reference!$A$11,MIN($U176,90))),Reference!$A$6:$A$11,1)))+(MAX(Reference!$A$6,MIN(Reference!$A$11,MIN($U176,90)))-INDEX(Reference!$A$6:$A$11,MIN(5,MATCH(MAX(Reference!$A$6,MIN(Reference!$A$11,MIN($U176,90))),Reference!$A$6:$A$11,1))))*(INDEX(Reference!$B$6:$B$11,MIN(5,MATCH(MAX(Reference!$A$6,MIN(Reference!$A$11,MIN($U176,90))),Reference!$A$6:$A$11,1))+1)-INDEX(Reference!$B$6:$B$11,MIN(5,MATCH(MAX(Reference!$A$6,MIN(Reference!$A$11,MIN($U176,90))),Reference!$A$6:$A$11,1))))/(INDEX(Reference!$A$6:$A$11,MIN(5,MATCH(MAX(Reference!$A$6,MIN(Reference!$A$11,MIN($U176,90))),Reference!$A$6:$A$11,1))+1)-INDEX(Reference!$A$6:$A$11,MIN(5,MATCH(MAX(Reference!$A$6,MIN(Reference!$A$11,MIN($U176,90))),Reference!$A$6:$A$11,1))))),0)+IF(2&lt;=$AL176,($AL176-2+3)*(INDEX(Reference!$B$6:$B$11,MIN(5,MATCH(MAX(Reference!$A$6,MIN(Reference!$A$11,MIN($U176,120))),Reference!$A$6:$A$11,1)))+(MAX(Reference!$A$6,MIN(Reference!$A$11,MIN($U176,120)))-INDEX(Reference!$A$6:$A$11,MIN(5,MATCH(MAX(Reference!$A$6,MIN(Reference!$A$11,MIN($U176,120))),Reference!$A$6:$A$11,1))))*(INDEX(Reference!$B$6:$B$11,MIN(5,MATCH(MAX(Reference!$A$6,MIN(Reference!$A$11,MIN($U176,120))),Reference!$A$6:$A$11,1))+1)-INDEX(Reference!$B$6:$B$11,MIN(5,MATCH(MAX(Reference!$A$6,MIN(Reference!$A$11,MIN($U176,120))),Reference!$A$6:$A$11,1))))/(INDEX(Reference!$A$6:$A$11,MIN(5,MATCH(MAX(Reference!$A$6,MIN(Reference!$A$11,MIN($U176,120))),Reference!$A$6:$A$11,1))+1)-INDEX(Reference!$A$6:$A$11,MIN(5,MATCH(MAX(Reference!$A$6,MIN(Reference!$A$11,MIN($U176,120))),Reference!$A$6:$A$11,1))))),0)+IF(3&lt;=$AL176,($AL176-3+3)*(INDEX(Reference!$B$6:$B$11,MIN(5,MATCH(MAX(Reference!$A$6,MIN(Reference!$A$11,MIN($U176,150))),Reference!$A$6:$A$11,1)))+(MAX(Reference!$A$6,MIN(Reference!$A$11,MIN($U176,150)))-INDEX(Reference!$A$6:$A$11,MIN(5,MATCH(MAX(Reference!$A$6,MIN(Reference!$A$11,MIN($U176,150))),Reference!$A$6:$A$11,1))))*(INDEX(Reference!$B$6:$B$11,MIN(5,MATCH(MAX(Reference!$A$6,MIN(Reference!$A$11,MIN($U176,150))),Reference!$A$6:$A$11,1))+1)-INDEX(Reference!$B$6:$B$11,MIN(5,MATCH(MAX(Reference!$A$6,MIN(Reference!$A$11,MIN($U176,150))),Reference!$A$6:$A$11,1))))/(INDEX(Reference!$A$6:$A$11,MIN(5,MATCH(MAX(Reference!$A$6,MIN(Reference!$A$11,MIN($U176,150))),Reference!$A$6:$A$11,1))+1)-INDEX(Reference!$A$6:$A$11,MIN(5,MATCH(MAX(Reference!$A$6,MIN(Reference!$A$11,MIN($U176,150))),Reference!$A$6:$A$11,1))))),0)+IF(4&lt;=$AL176,($AL176-4+3)*(INDEX(Reference!$B$6:$B$11,MIN(5,MATCH(MAX(Reference!$A$6,MIN(Reference!$A$11,MIN($U176,180))),Reference!$A$6:$A$11,1)))+(MAX(Reference!$A$6,MIN(Reference!$A$11,MIN($U176,180)))-INDEX(Reference!$A$6:$A$11,MIN(5,MATCH(MAX(Reference!$A$6,MIN(Reference!$A$11,MIN($U176,180))),Reference!$A$6:$A$11,1))))*(INDEX(Reference!$B$6:$B$11,MIN(5,MATCH(MAX(Reference!$A$6,MIN(Reference!$A$11,MIN($U176,180))),Reference!$A$6:$A$11,1))+1)-INDEX(Reference!$B$6:$B$11,MIN(5,MATCH(MAX(Reference!$A$6,MIN(Reference!$A$11,MIN($U176,180))),Reference!$A$6:$A$11,1))))/(INDEX(Reference!$A$6:$A$11,MIN(5,MATCH(MAX(Reference!$A$6,MIN(Reference!$A$11,MIN($U176,180))),Reference!$A$6:$A$11,1))+1)-INDEX(Reference!$A$6:$A$11,MIN(5,MATCH(MAX(Reference!$A$6,MIN(Reference!$A$11,MIN($U176,180))),Reference!$A$6:$A$11,1))))),0)+IF(5&lt;=$AL176,($AL176-5+3)*(INDEX(Reference!$B$6:$B$11,MIN(5,MATCH(MAX(Reference!$A$6,MIN(Reference!$A$11,MIN($U176,210))),Reference!$A$6:$A$11,1)))+(MAX(Reference!$A$6,MIN(Reference!$A$11,MIN($U176,210)))-INDEX(Reference!$A$6:$A$11,MIN(5,MATCH(MAX(Reference!$A$6,MIN(Reference!$A$11,MIN($U176,210))),Reference!$A$6:$A$11,1))))*(INDEX(Reference!$B$6:$B$11,MIN(5,MATCH(MAX(Reference!$A$6,MIN(Reference!$A$11,MIN($U176,210))),Reference!$A$6:$A$11,1))+1)-INDEX(Reference!$B$6:$B$11,MIN(5,MATCH(MAX(Reference!$A$6,MIN(Reference!$A$11,MIN($U176,210))),Reference!$A$6:$A$11,1))))/(INDEX(Reference!$A$6:$A$11,MIN(5,MATCH(MAX(Reference!$A$6,MIN(Reference!$A$11,MIN($U176,210))),Reference!$A$6:$A$11,1))+1)-INDEX(Reference!$A$6:$A$11,MIN(5,MATCH(MAX(Reference!$A$6,MIN(Reference!$A$11,MIN($U176,210))),Reference!$A$6:$A$11,1))))),0)+IF(6&lt;=$AL176,($AL176-6+3)*(INDEX(Reference!$B$6:$B$11,MIN(5,MATCH(MAX(Reference!$A$6,MIN(Reference!$A$11,MIN($U176,240))),Reference!$A$6:$A$11,1)))+(MAX(Reference!$A$6,MIN(Reference!$A$11,MIN($U176,240)))-INDEX(Reference!$A$6:$A$11,MIN(5,MATCH(MAX(Reference!$A$6,MIN(Reference!$A$11,MIN($U176,240))),Reference!$A$6:$A$11,1))))*(INDEX(Reference!$B$6:$B$11,MIN(5,MATCH(MAX(Reference!$A$6,MIN(Reference!$A$11,MIN($U176,240))),Reference!$A$6:$A$11,1))+1)-INDEX(Reference!$B$6:$B$11,MIN(5,MATCH(MAX(Reference!$A$6,MIN(Reference!$A$11,MIN($U176,240))),Reference!$A$6:$A$11,1))))/(INDEX(Reference!$A$6:$A$11,MIN(5,MATCH(MAX(Reference!$A$6,MIN(Reference!$A$11,MIN($U176,240))),Reference!$A$6:$A$11,1))+1)-INDEX(Reference!$A$6:$A$11,MIN(5,MATCH(MAX(Reference!$A$6,MIN(Reference!$A$11,MIN($U176,240))),Reference!$A$6:$A$11,1))))),0)+IF(7&lt;=$AL176,($AL176-7+3)*(INDEX(Reference!$B$6:$B$11,MIN(5,MATCH(MAX(Reference!$A$6,MIN(Reference!$A$11,MIN($U176,270))),Reference!$A$6:$A$11,1)))+(MAX(Reference!$A$6,MIN(Reference!$A$11,MIN($U176,270)))-INDEX(Reference!$A$6:$A$11,MIN(5,MATCH(MAX(Reference!$A$6,MIN(Reference!$A$11,MIN($U176,270))),Reference!$A$6:$A$11,1))))*(INDEX(Reference!$B$6:$B$11,MIN(5,MATCH(MAX(Reference!$A$6,MIN(Reference!$A$11,MIN($U176,270))),Reference!$A$6:$A$11,1))+1)-INDEX(Reference!$B$6:$B$11,MIN(5,MATCH(MAX(Reference!$A$6,MIN(Reference!$A$11,MIN($U176,270))),Reference!$A$6:$A$11,1))))/(INDEX(Reference!$A$6:$A$11,MIN(5,MATCH(MAX(Reference!$A$6,MIN(Reference!$A$11,MIN($U176,270))),Reference!$A$6:$A$11,1))+1)-INDEX(Reference!$A$6:$A$11,MIN(5,MATCH(MAX(Reference!$A$6,MIN(Reference!$A$11,MIN($U176,270))),Reference!$A$6:$A$11,1))))),0)+IF(8&lt;=$AL176,($AL176-8+3)*(INDEX(Reference!$B$6:$B$11,MIN(5,MATCH(MAX(Reference!$A$6,MIN(Reference!$A$11,MIN($U176,300))),Reference!$A$6:$A$11,1)))+(MAX(Reference!$A$6,MIN(Reference!$A$11,MIN($U176,300)))-INDEX(Reference!$A$6:$A$11,MIN(5,MATCH(MAX(Reference!$A$6,MIN(Reference!$A$11,MIN($U176,300))),Reference!$A$6:$A$11,1))))*(INDEX(Reference!$B$6:$B$11,MIN(5,MATCH(MAX(Reference!$A$6,MIN(Reference!$A$11,MIN($U176,300))),Reference!$A$6:$A$11,1))+1)-INDEX(Reference!$B$6:$B$11,MIN(5,MATCH(MAX(Reference!$A$6,MIN(Reference!$A$11,MIN($U176,300))),Reference!$A$6:$A$11,1))))/(INDEX(Reference!$A$6:$A$11,MIN(5,MATCH(MAX(Reference!$A$6,MIN(Reference!$A$11,MIN($U176,300))),Reference!$A$6:$A$11,1))+1)-INDEX(Reference!$A$6:$A$11,MIN(5,MATCH(MAX(Reference!$A$6,MIN(Reference!$A$11,MIN($U176,300))),Reference!$A$6:$A$11,1))))),0))/($AL176*($AL176+5)/2)),$AN176))</f>
        <v>0</v>
      </c>
      <c r="AN176" s="32">
        <f>IF($U176="",0,(INDEX(Reference!$B$6:$B$11,MIN(5,MATCH(MAX(Reference!$A$6,MIN(Reference!$A$11,$U176)),Reference!$A$6:$A$11,1)))+(MAX(Reference!$A$6,MIN(Reference!$A$11,$U176))-INDEX(Reference!$A$6:$A$11,MIN(5,MATCH(MAX(Reference!$A$6,MIN(Reference!$A$11,$U176)),Reference!$A$6:$A$11,1))))*(INDEX(Reference!$B$6:$B$11,MIN(5,MATCH(MAX(Reference!$A$6,MIN(Reference!$A$11,$U176)),Reference!$A$6:$A$11,1))+1)-INDEX(Reference!$B$6:$B$11,MIN(5,MATCH(MAX(Reference!$A$6,MIN(Reference!$A$11,$U176)),Reference!$A$6:$A$11,1))))/(INDEX(Reference!$A$6:$A$11,MIN(5,MATCH(MAX(Reference!$A$6,MIN(Reference!$A$11,$U176)),Reference!$A$6:$A$11,1))+1)-INDEX(Reference!$A$6:$A$11,MIN(5,MATCH(MAX(Reference!$A$6,MIN(Reference!$A$11,$U176)),Reference!$A$6:$A$11,1))))))</f>
        <v>0</v>
      </c>
      <c r="AO176" s="37"/>
      <c r="AP176" s="37"/>
      <c r="AQ176" s="37"/>
    </row>
    <row r="177" spans="1:43" x14ac:dyDescent="0.3">
      <c r="A177" s="48" t="str">
        <f t="shared" si="105"/>
        <v/>
      </c>
      <c r="B177" s="32" t="str">
        <f t="shared" si="106"/>
        <v/>
      </c>
      <c r="C177" s="32" t="str">
        <f t="shared" si="107"/>
        <v/>
      </c>
      <c r="D177" s="32" t="str">
        <f t="shared" si="108"/>
        <v/>
      </c>
      <c r="E177" s="32" t="str">
        <f t="shared" si="109"/>
        <v/>
      </c>
      <c r="F177" s="32" t="str">
        <f t="shared" si="110"/>
        <v/>
      </c>
      <c r="G177" s="47" t="str">
        <f t="shared" si="111"/>
        <v/>
      </c>
      <c r="H177" s="30" t="str">
        <f t="shared" si="112"/>
        <v/>
      </c>
      <c r="I177" s="46" t="str">
        <f>IF($A177="","",IF(AND($L177&lt;27,$K$12=0),"Building",IFERROR(((SUM($H$171:$H177)+$K$12*IF($L177&lt;6,SUMIFS('Throw Log'!$Q$5:$Q$300,'Throw Log'!$B$5:$B$300,$D$4,'Throw Log'!$A$5:$A$300,"&gt;="&amp;($D$6+$L177-6),'Throw Log'!$A$5:$A$300,"&lt;="&amp;($D$6-1)),0))/7)/((SUM($H$150:$H177)+$K$12*IF($L177&lt;27,SUMIFS('Throw Log'!$Q$5:$Q$300,'Throw Log'!$B$5:$B$300,$D$4,'Throw Log'!$A$5:$A$300,"&gt;="&amp;($D$6+$L177-27),'Throw Log'!$A$5:$A$300,"&lt;="&amp;($D$6-1)),0))/28),"")))</f>
        <v/>
      </c>
      <c r="J177" s="37"/>
      <c r="K177" s="37"/>
      <c r="L177" s="32">
        <v>134</v>
      </c>
      <c r="M177" s="32">
        <f t="shared" si="113"/>
        <v>20</v>
      </c>
      <c r="N177" s="32">
        <f t="shared" si="114"/>
        <v>1</v>
      </c>
      <c r="O177" s="32">
        <f t="shared" si="115"/>
        <v>1</v>
      </c>
      <c r="P177" s="32" t="str">
        <f>IF(OR($A177="",N($C177)&lt;=7),"",$G$6*$G$9^($M177-1)*IF(AND(MOD($M177,Reference!$B$99)=0,$M177&lt;=$G$5-2),Reference!$B$100,1))</f>
        <v/>
      </c>
      <c r="Q177" s="32" t="str">
        <f>IF($P177="","",IF(SUM($AK$176:$AK$182)=0,0,$P177*INDEX(Reference!$B$108:$B$114,$N177+1)/SUM($AK$176:$AK$182)))</f>
        <v/>
      </c>
      <c r="R177" s="32">
        <f t="shared" si="116"/>
        <v>120</v>
      </c>
      <c r="S177" s="32">
        <f t="shared" si="117"/>
        <v>105</v>
      </c>
      <c r="T177" s="32" t="str">
        <f>IF($A177="","",IF($C177=0,"Bullpen",IF(OR($C177=7,$C177=1,$C177=5),"Recovery/Easy Catch",IF($C177=6,"Compression/Pulldowns",IF(OR($C177=4,$C177=2),"Long Toss",IF($C177=3,"No Throw",IF($N177=2,"No Throw",IF($N177=6,IF($O177&lt;Reference!$B$104,"No Throw","Recovery/Easy Catch"),IF(OR($N177=0,$N177=4),"Recovery/Easy Catch",IF($N177=1,IF($R177&gt;75,"Long Toss","Recovery/Easy Catch"),IF($N177=3,IF($O177&lt;0.5,IF($S177&gt;75,"Long Toss","Recovery/Easy Catch"),"Compression/Pulldowns"),IF($S177&gt;75,"Long Toss","Recovery/Easy Catch"))))))))))))</f>
        <v/>
      </c>
      <c r="U177" s="32" t="str">
        <f t="shared" si="118"/>
        <v/>
      </c>
      <c r="V177" s="32" t="str">
        <f t="shared" si="119"/>
        <v/>
      </c>
      <c r="W177" s="32" t="str">
        <f t="shared" si="120"/>
        <v/>
      </c>
      <c r="X177" s="32">
        <f t="shared" si="121"/>
        <v>0</v>
      </c>
      <c r="Y177" s="32" t="str">
        <f t="shared" si="122"/>
        <v/>
      </c>
      <c r="Z177" s="32" t="str">
        <f t="shared" si="123"/>
        <v/>
      </c>
      <c r="AA177" s="32" t="str">
        <f t="shared" si="124"/>
        <v/>
      </c>
      <c r="AB177" s="32" t="str">
        <f>IF($A177="","",IF($T177="No Throw",0,IF($K177&lt;&gt;"",$K177,IF($AA177&lt;&gt;"",ROUND($AA177*$D$12*IF($C177=0,1,$G$10),0),MIN(IF($T177="Recovery/Easy Catch",Reference!$B$103,IF($T177="Long Toss",Reference!$B$106,Reference!$B$102)),MAX(Reference!$B$101,ROUND(MAX(0,$Q177-$AE177)/$AF177,0)))))))</f>
        <v/>
      </c>
      <c r="AC177" s="32">
        <f t="shared" si="125"/>
        <v>0</v>
      </c>
      <c r="AD177" s="32" t="b">
        <f t="shared" si="126"/>
        <v>1</v>
      </c>
      <c r="AE177" s="32">
        <f>IF($X177=0,0,$X177*(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177+$Z177)/2,0),Reference!$A$17:$B$20,2,TRUE()))</f>
        <v>0</v>
      </c>
      <c r="AF177" s="32">
        <f>IF(OR($A177="",$U177="",$T177="No Throw"),0,$AM177*VLOOKUP(MAX(($V177+$W177)/2,0),Reference!$A$17:$B$20,2,TRUE()))</f>
        <v>0</v>
      </c>
      <c r="AG177" s="32">
        <f>IF($AC177=0,0,$AC177*INDEX(Reference!$B$61:$B$62,MATCH("Bullpen",Reference!$A$61:$A$62,0))*VLOOKUP(MAX($D$5-($D$9+$E$9)/2,0),Reference!$A$17:$B$20,2,TRUE()))</f>
        <v>0</v>
      </c>
      <c r="AH177" s="32" t="e">
        <f t="shared" si="127"/>
        <v>#N/A</v>
      </c>
      <c r="AI177" s="32" t="e">
        <f>IF($A177="",NA(),Reference!$A$25)</f>
        <v>#N/A</v>
      </c>
      <c r="AJ177" s="32" t="e">
        <f t="shared" si="128"/>
        <v>#N/A</v>
      </c>
      <c r="AK177" s="32">
        <f>IF(OR($A177="",N($C177)&lt;=7,$T177="No Throw",$J177="x"),0,INDEX(Reference!$B$108:$B$114,$N177+1))</f>
        <v>0</v>
      </c>
      <c r="AL177" s="32">
        <f t="shared" si="129"/>
        <v>1</v>
      </c>
      <c r="AM177" s="32">
        <f>IF($U177="",0,IF($AL177&gt;1,((IF(1&lt;=$AL177,($AL177-1+3)*(INDEX(Reference!$B$6:$B$11,MIN(5,MATCH(MAX(Reference!$A$6,MIN(Reference!$A$11,MIN($U177,90))),Reference!$A$6:$A$11,1)))+(MAX(Reference!$A$6,MIN(Reference!$A$11,MIN($U177,90)))-INDEX(Reference!$A$6:$A$11,MIN(5,MATCH(MAX(Reference!$A$6,MIN(Reference!$A$11,MIN($U177,90))),Reference!$A$6:$A$11,1))))*(INDEX(Reference!$B$6:$B$11,MIN(5,MATCH(MAX(Reference!$A$6,MIN(Reference!$A$11,MIN($U177,90))),Reference!$A$6:$A$11,1))+1)-INDEX(Reference!$B$6:$B$11,MIN(5,MATCH(MAX(Reference!$A$6,MIN(Reference!$A$11,MIN($U177,90))),Reference!$A$6:$A$11,1))))/(INDEX(Reference!$A$6:$A$11,MIN(5,MATCH(MAX(Reference!$A$6,MIN(Reference!$A$11,MIN($U177,90))),Reference!$A$6:$A$11,1))+1)-INDEX(Reference!$A$6:$A$11,MIN(5,MATCH(MAX(Reference!$A$6,MIN(Reference!$A$11,MIN($U177,90))),Reference!$A$6:$A$11,1))))),0)+IF(2&lt;=$AL177,($AL177-2+3)*(INDEX(Reference!$B$6:$B$11,MIN(5,MATCH(MAX(Reference!$A$6,MIN(Reference!$A$11,MIN($U177,120))),Reference!$A$6:$A$11,1)))+(MAX(Reference!$A$6,MIN(Reference!$A$11,MIN($U177,120)))-INDEX(Reference!$A$6:$A$11,MIN(5,MATCH(MAX(Reference!$A$6,MIN(Reference!$A$11,MIN($U177,120))),Reference!$A$6:$A$11,1))))*(INDEX(Reference!$B$6:$B$11,MIN(5,MATCH(MAX(Reference!$A$6,MIN(Reference!$A$11,MIN($U177,120))),Reference!$A$6:$A$11,1))+1)-INDEX(Reference!$B$6:$B$11,MIN(5,MATCH(MAX(Reference!$A$6,MIN(Reference!$A$11,MIN($U177,120))),Reference!$A$6:$A$11,1))))/(INDEX(Reference!$A$6:$A$11,MIN(5,MATCH(MAX(Reference!$A$6,MIN(Reference!$A$11,MIN($U177,120))),Reference!$A$6:$A$11,1))+1)-INDEX(Reference!$A$6:$A$11,MIN(5,MATCH(MAX(Reference!$A$6,MIN(Reference!$A$11,MIN($U177,120))),Reference!$A$6:$A$11,1))))),0)+IF(3&lt;=$AL177,($AL177-3+3)*(INDEX(Reference!$B$6:$B$11,MIN(5,MATCH(MAX(Reference!$A$6,MIN(Reference!$A$11,MIN($U177,150))),Reference!$A$6:$A$11,1)))+(MAX(Reference!$A$6,MIN(Reference!$A$11,MIN($U177,150)))-INDEX(Reference!$A$6:$A$11,MIN(5,MATCH(MAX(Reference!$A$6,MIN(Reference!$A$11,MIN($U177,150))),Reference!$A$6:$A$11,1))))*(INDEX(Reference!$B$6:$B$11,MIN(5,MATCH(MAX(Reference!$A$6,MIN(Reference!$A$11,MIN($U177,150))),Reference!$A$6:$A$11,1))+1)-INDEX(Reference!$B$6:$B$11,MIN(5,MATCH(MAX(Reference!$A$6,MIN(Reference!$A$11,MIN($U177,150))),Reference!$A$6:$A$11,1))))/(INDEX(Reference!$A$6:$A$11,MIN(5,MATCH(MAX(Reference!$A$6,MIN(Reference!$A$11,MIN($U177,150))),Reference!$A$6:$A$11,1))+1)-INDEX(Reference!$A$6:$A$11,MIN(5,MATCH(MAX(Reference!$A$6,MIN(Reference!$A$11,MIN($U177,150))),Reference!$A$6:$A$11,1))))),0)+IF(4&lt;=$AL177,($AL177-4+3)*(INDEX(Reference!$B$6:$B$11,MIN(5,MATCH(MAX(Reference!$A$6,MIN(Reference!$A$11,MIN($U177,180))),Reference!$A$6:$A$11,1)))+(MAX(Reference!$A$6,MIN(Reference!$A$11,MIN($U177,180)))-INDEX(Reference!$A$6:$A$11,MIN(5,MATCH(MAX(Reference!$A$6,MIN(Reference!$A$11,MIN($U177,180))),Reference!$A$6:$A$11,1))))*(INDEX(Reference!$B$6:$B$11,MIN(5,MATCH(MAX(Reference!$A$6,MIN(Reference!$A$11,MIN($U177,180))),Reference!$A$6:$A$11,1))+1)-INDEX(Reference!$B$6:$B$11,MIN(5,MATCH(MAX(Reference!$A$6,MIN(Reference!$A$11,MIN($U177,180))),Reference!$A$6:$A$11,1))))/(INDEX(Reference!$A$6:$A$11,MIN(5,MATCH(MAX(Reference!$A$6,MIN(Reference!$A$11,MIN($U177,180))),Reference!$A$6:$A$11,1))+1)-INDEX(Reference!$A$6:$A$11,MIN(5,MATCH(MAX(Reference!$A$6,MIN(Reference!$A$11,MIN($U177,180))),Reference!$A$6:$A$11,1))))),0)+IF(5&lt;=$AL177,($AL177-5+3)*(INDEX(Reference!$B$6:$B$11,MIN(5,MATCH(MAX(Reference!$A$6,MIN(Reference!$A$11,MIN($U177,210))),Reference!$A$6:$A$11,1)))+(MAX(Reference!$A$6,MIN(Reference!$A$11,MIN($U177,210)))-INDEX(Reference!$A$6:$A$11,MIN(5,MATCH(MAX(Reference!$A$6,MIN(Reference!$A$11,MIN($U177,210))),Reference!$A$6:$A$11,1))))*(INDEX(Reference!$B$6:$B$11,MIN(5,MATCH(MAX(Reference!$A$6,MIN(Reference!$A$11,MIN($U177,210))),Reference!$A$6:$A$11,1))+1)-INDEX(Reference!$B$6:$B$11,MIN(5,MATCH(MAX(Reference!$A$6,MIN(Reference!$A$11,MIN($U177,210))),Reference!$A$6:$A$11,1))))/(INDEX(Reference!$A$6:$A$11,MIN(5,MATCH(MAX(Reference!$A$6,MIN(Reference!$A$11,MIN($U177,210))),Reference!$A$6:$A$11,1))+1)-INDEX(Reference!$A$6:$A$11,MIN(5,MATCH(MAX(Reference!$A$6,MIN(Reference!$A$11,MIN($U177,210))),Reference!$A$6:$A$11,1))))),0)+IF(6&lt;=$AL177,($AL177-6+3)*(INDEX(Reference!$B$6:$B$11,MIN(5,MATCH(MAX(Reference!$A$6,MIN(Reference!$A$11,MIN($U177,240))),Reference!$A$6:$A$11,1)))+(MAX(Reference!$A$6,MIN(Reference!$A$11,MIN($U177,240)))-INDEX(Reference!$A$6:$A$11,MIN(5,MATCH(MAX(Reference!$A$6,MIN(Reference!$A$11,MIN($U177,240))),Reference!$A$6:$A$11,1))))*(INDEX(Reference!$B$6:$B$11,MIN(5,MATCH(MAX(Reference!$A$6,MIN(Reference!$A$11,MIN($U177,240))),Reference!$A$6:$A$11,1))+1)-INDEX(Reference!$B$6:$B$11,MIN(5,MATCH(MAX(Reference!$A$6,MIN(Reference!$A$11,MIN($U177,240))),Reference!$A$6:$A$11,1))))/(INDEX(Reference!$A$6:$A$11,MIN(5,MATCH(MAX(Reference!$A$6,MIN(Reference!$A$11,MIN($U177,240))),Reference!$A$6:$A$11,1))+1)-INDEX(Reference!$A$6:$A$11,MIN(5,MATCH(MAX(Reference!$A$6,MIN(Reference!$A$11,MIN($U177,240))),Reference!$A$6:$A$11,1))))),0)+IF(7&lt;=$AL177,($AL177-7+3)*(INDEX(Reference!$B$6:$B$11,MIN(5,MATCH(MAX(Reference!$A$6,MIN(Reference!$A$11,MIN($U177,270))),Reference!$A$6:$A$11,1)))+(MAX(Reference!$A$6,MIN(Reference!$A$11,MIN($U177,270)))-INDEX(Reference!$A$6:$A$11,MIN(5,MATCH(MAX(Reference!$A$6,MIN(Reference!$A$11,MIN($U177,270))),Reference!$A$6:$A$11,1))))*(INDEX(Reference!$B$6:$B$11,MIN(5,MATCH(MAX(Reference!$A$6,MIN(Reference!$A$11,MIN($U177,270))),Reference!$A$6:$A$11,1))+1)-INDEX(Reference!$B$6:$B$11,MIN(5,MATCH(MAX(Reference!$A$6,MIN(Reference!$A$11,MIN($U177,270))),Reference!$A$6:$A$11,1))))/(INDEX(Reference!$A$6:$A$11,MIN(5,MATCH(MAX(Reference!$A$6,MIN(Reference!$A$11,MIN($U177,270))),Reference!$A$6:$A$11,1))+1)-INDEX(Reference!$A$6:$A$11,MIN(5,MATCH(MAX(Reference!$A$6,MIN(Reference!$A$11,MIN($U177,270))),Reference!$A$6:$A$11,1))))),0)+IF(8&lt;=$AL177,($AL177-8+3)*(INDEX(Reference!$B$6:$B$11,MIN(5,MATCH(MAX(Reference!$A$6,MIN(Reference!$A$11,MIN($U177,300))),Reference!$A$6:$A$11,1)))+(MAX(Reference!$A$6,MIN(Reference!$A$11,MIN($U177,300)))-INDEX(Reference!$A$6:$A$11,MIN(5,MATCH(MAX(Reference!$A$6,MIN(Reference!$A$11,MIN($U177,300))),Reference!$A$6:$A$11,1))))*(INDEX(Reference!$B$6:$B$11,MIN(5,MATCH(MAX(Reference!$A$6,MIN(Reference!$A$11,MIN($U177,300))),Reference!$A$6:$A$11,1))+1)-INDEX(Reference!$B$6:$B$11,MIN(5,MATCH(MAX(Reference!$A$6,MIN(Reference!$A$11,MIN($U177,300))),Reference!$A$6:$A$11,1))))/(INDEX(Reference!$A$6:$A$11,MIN(5,MATCH(MAX(Reference!$A$6,MIN(Reference!$A$11,MIN($U177,300))),Reference!$A$6:$A$11,1))+1)-INDEX(Reference!$A$6:$A$11,MIN(5,MATCH(MAX(Reference!$A$6,MIN(Reference!$A$11,MIN($U177,300))),Reference!$A$6:$A$11,1))))),0))/($AL177*($AL177+5)/2)),$AN177))</f>
        <v>0</v>
      </c>
      <c r="AN177" s="32">
        <f>IF($U177="",0,(INDEX(Reference!$B$6:$B$11,MIN(5,MATCH(MAX(Reference!$A$6,MIN(Reference!$A$11,$U177)),Reference!$A$6:$A$11,1)))+(MAX(Reference!$A$6,MIN(Reference!$A$11,$U177))-INDEX(Reference!$A$6:$A$11,MIN(5,MATCH(MAX(Reference!$A$6,MIN(Reference!$A$11,$U177)),Reference!$A$6:$A$11,1))))*(INDEX(Reference!$B$6:$B$11,MIN(5,MATCH(MAX(Reference!$A$6,MIN(Reference!$A$11,$U177)),Reference!$A$6:$A$11,1))+1)-INDEX(Reference!$B$6:$B$11,MIN(5,MATCH(MAX(Reference!$A$6,MIN(Reference!$A$11,$U177)),Reference!$A$6:$A$11,1))))/(INDEX(Reference!$A$6:$A$11,MIN(5,MATCH(MAX(Reference!$A$6,MIN(Reference!$A$11,$U177)),Reference!$A$6:$A$11,1))+1)-INDEX(Reference!$A$6:$A$11,MIN(5,MATCH(MAX(Reference!$A$6,MIN(Reference!$A$11,$U177)),Reference!$A$6:$A$11,1))))))</f>
        <v>0</v>
      </c>
      <c r="AO177" s="37"/>
      <c r="AP177" s="37"/>
      <c r="AQ177" s="37"/>
    </row>
    <row r="178" spans="1:43" x14ac:dyDescent="0.3">
      <c r="A178" s="48" t="str">
        <f t="shared" si="105"/>
        <v/>
      </c>
      <c r="B178" s="32" t="str">
        <f t="shared" si="106"/>
        <v/>
      </c>
      <c r="C178" s="32" t="str">
        <f t="shared" si="107"/>
        <v/>
      </c>
      <c r="D178" s="32" t="str">
        <f t="shared" si="108"/>
        <v/>
      </c>
      <c r="E178" s="32" t="str">
        <f t="shared" si="109"/>
        <v/>
      </c>
      <c r="F178" s="32" t="str">
        <f t="shared" si="110"/>
        <v/>
      </c>
      <c r="G178" s="47" t="str">
        <f t="shared" si="111"/>
        <v/>
      </c>
      <c r="H178" s="30" t="str">
        <f t="shared" si="112"/>
        <v/>
      </c>
      <c r="I178" s="46" t="str">
        <f>IF($A178="","",IF(AND($L178&lt;27,$K$12=0),"Building",IFERROR(((SUM($H$172:$H178)+$K$12*IF($L178&lt;6,SUMIFS('Throw Log'!$Q$5:$Q$300,'Throw Log'!$B$5:$B$300,$D$4,'Throw Log'!$A$5:$A$300,"&gt;="&amp;($D$6+$L178-6),'Throw Log'!$A$5:$A$300,"&lt;="&amp;($D$6-1)),0))/7)/((SUM($H$151:$H178)+$K$12*IF($L178&lt;27,SUMIFS('Throw Log'!$Q$5:$Q$300,'Throw Log'!$B$5:$B$300,$D$4,'Throw Log'!$A$5:$A$300,"&gt;="&amp;($D$6+$L178-27),'Throw Log'!$A$5:$A$300,"&lt;="&amp;($D$6-1)),0))/28),"")))</f>
        <v/>
      </c>
      <c r="J178" s="37"/>
      <c r="K178" s="37"/>
      <c r="L178" s="32">
        <v>135</v>
      </c>
      <c r="M178" s="32">
        <f t="shared" si="113"/>
        <v>20</v>
      </c>
      <c r="N178" s="32">
        <f t="shared" si="114"/>
        <v>2</v>
      </c>
      <c r="O178" s="32">
        <f t="shared" si="115"/>
        <v>1</v>
      </c>
      <c r="P178" s="32" t="str">
        <f>IF(OR($A178="",N($C178)&lt;=7),"",$G$6*$G$9^($M178-1)*IF(AND(MOD($M178,Reference!$B$99)=0,$M178&lt;=$G$5-2),Reference!$B$100,1))</f>
        <v/>
      </c>
      <c r="Q178" s="32" t="str">
        <f>IF($P178="","",IF(SUM($AK$176:$AK$182)=0,0,$P178*INDEX(Reference!$B$108:$B$114,$N178+1)/SUM($AK$176:$AK$182)))</f>
        <v/>
      </c>
      <c r="R178" s="32">
        <f t="shared" si="116"/>
        <v>120</v>
      </c>
      <c r="S178" s="32">
        <f t="shared" si="117"/>
        <v>105</v>
      </c>
      <c r="T178" s="32" t="str">
        <f>IF($A178="","",IF($C178=0,"Bullpen",IF(OR($C178=7,$C178=1,$C178=5),"Recovery/Easy Catch",IF($C178=6,"Compression/Pulldowns",IF(OR($C178=4,$C178=2),"Long Toss",IF($C178=3,"No Throw",IF($N178=2,"No Throw",IF($N178=6,IF($O178&lt;Reference!$B$104,"No Throw","Recovery/Easy Catch"),IF(OR($N178=0,$N178=4),"Recovery/Easy Catch",IF($N178=1,IF($R178&gt;75,"Long Toss","Recovery/Easy Catch"),IF($N178=3,IF($O178&lt;0.5,IF($S178&gt;75,"Long Toss","Recovery/Easy Catch"),"Compression/Pulldowns"),IF($S178&gt;75,"Long Toss","Recovery/Easy Catch"))))))))))))</f>
        <v/>
      </c>
      <c r="U178" s="32" t="str">
        <f t="shared" si="118"/>
        <v/>
      </c>
      <c r="V178" s="32" t="str">
        <f t="shared" si="119"/>
        <v/>
      </c>
      <c r="W178" s="32" t="str">
        <f t="shared" si="120"/>
        <v/>
      </c>
      <c r="X178" s="32">
        <f t="shared" si="121"/>
        <v>0</v>
      </c>
      <c r="Y178" s="32" t="str">
        <f t="shared" si="122"/>
        <v/>
      </c>
      <c r="Z178" s="32" t="str">
        <f t="shared" si="123"/>
        <v/>
      </c>
      <c r="AA178" s="32" t="str">
        <f t="shared" si="124"/>
        <v/>
      </c>
      <c r="AB178" s="32" t="str">
        <f>IF($A178="","",IF($T178="No Throw",0,IF($K178&lt;&gt;"",$K178,IF($AA178&lt;&gt;"",ROUND($AA178*$D$12*IF($C178=0,1,$G$10),0),MIN(IF($T178="Recovery/Easy Catch",Reference!$B$103,IF($T178="Long Toss",Reference!$B$106,Reference!$B$102)),MAX(Reference!$B$101,ROUND(MAX(0,$Q178-$AE178)/$AF178,0)))))))</f>
        <v/>
      </c>
      <c r="AC178" s="32">
        <f t="shared" si="125"/>
        <v>0</v>
      </c>
      <c r="AD178" s="32" t="b">
        <f t="shared" si="126"/>
        <v>1</v>
      </c>
      <c r="AE178" s="32">
        <f>IF($X178=0,0,$X178*(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178+$Z178)/2,0),Reference!$A$17:$B$20,2,TRUE()))</f>
        <v>0</v>
      </c>
      <c r="AF178" s="32">
        <f>IF(OR($A178="",$U178="",$T178="No Throw"),0,$AM178*VLOOKUP(MAX(($V178+$W178)/2,0),Reference!$A$17:$B$20,2,TRUE()))</f>
        <v>0</v>
      </c>
      <c r="AG178" s="32">
        <f>IF($AC178=0,0,$AC178*INDEX(Reference!$B$61:$B$62,MATCH("Bullpen",Reference!$A$61:$A$62,0))*VLOOKUP(MAX($D$5-($D$9+$E$9)/2,0),Reference!$A$17:$B$20,2,TRUE()))</f>
        <v>0</v>
      </c>
      <c r="AH178" s="32" t="e">
        <f t="shared" si="127"/>
        <v>#N/A</v>
      </c>
      <c r="AI178" s="32" t="e">
        <f>IF($A178="",NA(),Reference!$A$25)</f>
        <v>#N/A</v>
      </c>
      <c r="AJ178" s="32" t="e">
        <f t="shared" si="128"/>
        <v>#N/A</v>
      </c>
      <c r="AK178" s="32">
        <f>IF(OR($A178="",N($C178)&lt;=7,$T178="No Throw",$J178="x"),0,INDEX(Reference!$B$108:$B$114,$N178+1))</f>
        <v>0</v>
      </c>
      <c r="AL178" s="32">
        <f t="shared" si="129"/>
        <v>1</v>
      </c>
      <c r="AM178" s="32">
        <f>IF($U178="",0,IF($AL178&gt;1,((IF(1&lt;=$AL178,($AL178-1+3)*(INDEX(Reference!$B$6:$B$11,MIN(5,MATCH(MAX(Reference!$A$6,MIN(Reference!$A$11,MIN($U178,90))),Reference!$A$6:$A$11,1)))+(MAX(Reference!$A$6,MIN(Reference!$A$11,MIN($U178,90)))-INDEX(Reference!$A$6:$A$11,MIN(5,MATCH(MAX(Reference!$A$6,MIN(Reference!$A$11,MIN($U178,90))),Reference!$A$6:$A$11,1))))*(INDEX(Reference!$B$6:$B$11,MIN(5,MATCH(MAX(Reference!$A$6,MIN(Reference!$A$11,MIN($U178,90))),Reference!$A$6:$A$11,1))+1)-INDEX(Reference!$B$6:$B$11,MIN(5,MATCH(MAX(Reference!$A$6,MIN(Reference!$A$11,MIN($U178,90))),Reference!$A$6:$A$11,1))))/(INDEX(Reference!$A$6:$A$11,MIN(5,MATCH(MAX(Reference!$A$6,MIN(Reference!$A$11,MIN($U178,90))),Reference!$A$6:$A$11,1))+1)-INDEX(Reference!$A$6:$A$11,MIN(5,MATCH(MAX(Reference!$A$6,MIN(Reference!$A$11,MIN($U178,90))),Reference!$A$6:$A$11,1))))),0)+IF(2&lt;=$AL178,($AL178-2+3)*(INDEX(Reference!$B$6:$B$11,MIN(5,MATCH(MAX(Reference!$A$6,MIN(Reference!$A$11,MIN($U178,120))),Reference!$A$6:$A$11,1)))+(MAX(Reference!$A$6,MIN(Reference!$A$11,MIN($U178,120)))-INDEX(Reference!$A$6:$A$11,MIN(5,MATCH(MAX(Reference!$A$6,MIN(Reference!$A$11,MIN($U178,120))),Reference!$A$6:$A$11,1))))*(INDEX(Reference!$B$6:$B$11,MIN(5,MATCH(MAX(Reference!$A$6,MIN(Reference!$A$11,MIN($U178,120))),Reference!$A$6:$A$11,1))+1)-INDEX(Reference!$B$6:$B$11,MIN(5,MATCH(MAX(Reference!$A$6,MIN(Reference!$A$11,MIN($U178,120))),Reference!$A$6:$A$11,1))))/(INDEX(Reference!$A$6:$A$11,MIN(5,MATCH(MAX(Reference!$A$6,MIN(Reference!$A$11,MIN($U178,120))),Reference!$A$6:$A$11,1))+1)-INDEX(Reference!$A$6:$A$11,MIN(5,MATCH(MAX(Reference!$A$6,MIN(Reference!$A$11,MIN($U178,120))),Reference!$A$6:$A$11,1))))),0)+IF(3&lt;=$AL178,($AL178-3+3)*(INDEX(Reference!$B$6:$B$11,MIN(5,MATCH(MAX(Reference!$A$6,MIN(Reference!$A$11,MIN($U178,150))),Reference!$A$6:$A$11,1)))+(MAX(Reference!$A$6,MIN(Reference!$A$11,MIN($U178,150)))-INDEX(Reference!$A$6:$A$11,MIN(5,MATCH(MAX(Reference!$A$6,MIN(Reference!$A$11,MIN($U178,150))),Reference!$A$6:$A$11,1))))*(INDEX(Reference!$B$6:$B$11,MIN(5,MATCH(MAX(Reference!$A$6,MIN(Reference!$A$11,MIN($U178,150))),Reference!$A$6:$A$11,1))+1)-INDEX(Reference!$B$6:$B$11,MIN(5,MATCH(MAX(Reference!$A$6,MIN(Reference!$A$11,MIN($U178,150))),Reference!$A$6:$A$11,1))))/(INDEX(Reference!$A$6:$A$11,MIN(5,MATCH(MAX(Reference!$A$6,MIN(Reference!$A$11,MIN($U178,150))),Reference!$A$6:$A$11,1))+1)-INDEX(Reference!$A$6:$A$11,MIN(5,MATCH(MAX(Reference!$A$6,MIN(Reference!$A$11,MIN($U178,150))),Reference!$A$6:$A$11,1))))),0)+IF(4&lt;=$AL178,($AL178-4+3)*(INDEX(Reference!$B$6:$B$11,MIN(5,MATCH(MAX(Reference!$A$6,MIN(Reference!$A$11,MIN($U178,180))),Reference!$A$6:$A$11,1)))+(MAX(Reference!$A$6,MIN(Reference!$A$11,MIN($U178,180)))-INDEX(Reference!$A$6:$A$11,MIN(5,MATCH(MAX(Reference!$A$6,MIN(Reference!$A$11,MIN($U178,180))),Reference!$A$6:$A$11,1))))*(INDEX(Reference!$B$6:$B$11,MIN(5,MATCH(MAX(Reference!$A$6,MIN(Reference!$A$11,MIN($U178,180))),Reference!$A$6:$A$11,1))+1)-INDEX(Reference!$B$6:$B$11,MIN(5,MATCH(MAX(Reference!$A$6,MIN(Reference!$A$11,MIN($U178,180))),Reference!$A$6:$A$11,1))))/(INDEX(Reference!$A$6:$A$11,MIN(5,MATCH(MAX(Reference!$A$6,MIN(Reference!$A$11,MIN($U178,180))),Reference!$A$6:$A$11,1))+1)-INDEX(Reference!$A$6:$A$11,MIN(5,MATCH(MAX(Reference!$A$6,MIN(Reference!$A$11,MIN($U178,180))),Reference!$A$6:$A$11,1))))),0)+IF(5&lt;=$AL178,($AL178-5+3)*(INDEX(Reference!$B$6:$B$11,MIN(5,MATCH(MAX(Reference!$A$6,MIN(Reference!$A$11,MIN($U178,210))),Reference!$A$6:$A$11,1)))+(MAX(Reference!$A$6,MIN(Reference!$A$11,MIN($U178,210)))-INDEX(Reference!$A$6:$A$11,MIN(5,MATCH(MAX(Reference!$A$6,MIN(Reference!$A$11,MIN($U178,210))),Reference!$A$6:$A$11,1))))*(INDEX(Reference!$B$6:$B$11,MIN(5,MATCH(MAX(Reference!$A$6,MIN(Reference!$A$11,MIN($U178,210))),Reference!$A$6:$A$11,1))+1)-INDEX(Reference!$B$6:$B$11,MIN(5,MATCH(MAX(Reference!$A$6,MIN(Reference!$A$11,MIN($U178,210))),Reference!$A$6:$A$11,1))))/(INDEX(Reference!$A$6:$A$11,MIN(5,MATCH(MAX(Reference!$A$6,MIN(Reference!$A$11,MIN($U178,210))),Reference!$A$6:$A$11,1))+1)-INDEX(Reference!$A$6:$A$11,MIN(5,MATCH(MAX(Reference!$A$6,MIN(Reference!$A$11,MIN($U178,210))),Reference!$A$6:$A$11,1))))),0)+IF(6&lt;=$AL178,($AL178-6+3)*(INDEX(Reference!$B$6:$B$11,MIN(5,MATCH(MAX(Reference!$A$6,MIN(Reference!$A$11,MIN($U178,240))),Reference!$A$6:$A$11,1)))+(MAX(Reference!$A$6,MIN(Reference!$A$11,MIN($U178,240)))-INDEX(Reference!$A$6:$A$11,MIN(5,MATCH(MAX(Reference!$A$6,MIN(Reference!$A$11,MIN($U178,240))),Reference!$A$6:$A$11,1))))*(INDEX(Reference!$B$6:$B$11,MIN(5,MATCH(MAX(Reference!$A$6,MIN(Reference!$A$11,MIN($U178,240))),Reference!$A$6:$A$11,1))+1)-INDEX(Reference!$B$6:$B$11,MIN(5,MATCH(MAX(Reference!$A$6,MIN(Reference!$A$11,MIN($U178,240))),Reference!$A$6:$A$11,1))))/(INDEX(Reference!$A$6:$A$11,MIN(5,MATCH(MAX(Reference!$A$6,MIN(Reference!$A$11,MIN($U178,240))),Reference!$A$6:$A$11,1))+1)-INDEX(Reference!$A$6:$A$11,MIN(5,MATCH(MAX(Reference!$A$6,MIN(Reference!$A$11,MIN($U178,240))),Reference!$A$6:$A$11,1))))),0)+IF(7&lt;=$AL178,($AL178-7+3)*(INDEX(Reference!$B$6:$B$11,MIN(5,MATCH(MAX(Reference!$A$6,MIN(Reference!$A$11,MIN($U178,270))),Reference!$A$6:$A$11,1)))+(MAX(Reference!$A$6,MIN(Reference!$A$11,MIN($U178,270)))-INDEX(Reference!$A$6:$A$11,MIN(5,MATCH(MAX(Reference!$A$6,MIN(Reference!$A$11,MIN($U178,270))),Reference!$A$6:$A$11,1))))*(INDEX(Reference!$B$6:$B$11,MIN(5,MATCH(MAX(Reference!$A$6,MIN(Reference!$A$11,MIN($U178,270))),Reference!$A$6:$A$11,1))+1)-INDEX(Reference!$B$6:$B$11,MIN(5,MATCH(MAX(Reference!$A$6,MIN(Reference!$A$11,MIN($U178,270))),Reference!$A$6:$A$11,1))))/(INDEX(Reference!$A$6:$A$11,MIN(5,MATCH(MAX(Reference!$A$6,MIN(Reference!$A$11,MIN($U178,270))),Reference!$A$6:$A$11,1))+1)-INDEX(Reference!$A$6:$A$11,MIN(5,MATCH(MAX(Reference!$A$6,MIN(Reference!$A$11,MIN($U178,270))),Reference!$A$6:$A$11,1))))),0)+IF(8&lt;=$AL178,($AL178-8+3)*(INDEX(Reference!$B$6:$B$11,MIN(5,MATCH(MAX(Reference!$A$6,MIN(Reference!$A$11,MIN($U178,300))),Reference!$A$6:$A$11,1)))+(MAX(Reference!$A$6,MIN(Reference!$A$11,MIN($U178,300)))-INDEX(Reference!$A$6:$A$11,MIN(5,MATCH(MAX(Reference!$A$6,MIN(Reference!$A$11,MIN($U178,300))),Reference!$A$6:$A$11,1))))*(INDEX(Reference!$B$6:$B$11,MIN(5,MATCH(MAX(Reference!$A$6,MIN(Reference!$A$11,MIN($U178,300))),Reference!$A$6:$A$11,1))+1)-INDEX(Reference!$B$6:$B$11,MIN(5,MATCH(MAX(Reference!$A$6,MIN(Reference!$A$11,MIN($U178,300))),Reference!$A$6:$A$11,1))))/(INDEX(Reference!$A$6:$A$11,MIN(5,MATCH(MAX(Reference!$A$6,MIN(Reference!$A$11,MIN($U178,300))),Reference!$A$6:$A$11,1))+1)-INDEX(Reference!$A$6:$A$11,MIN(5,MATCH(MAX(Reference!$A$6,MIN(Reference!$A$11,MIN($U178,300))),Reference!$A$6:$A$11,1))))),0))/($AL178*($AL178+5)/2)),$AN178))</f>
        <v>0</v>
      </c>
      <c r="AN178" s="32">
        <f>IF($U178="",0,(INDEX(Reference!$B$6:$B$11,MIN(5,MATCH(MAX(Reference!$A$6,MIN(Reference!$A$11,$U178)),Reference!$A$6:$A$11,1)))+(MAX(Reference!$A$6,MIN(Reference!$A$11,$U178))-INDEX(Reference!$A$6:$A$11,MIN(5,MATCH(MAX(Reference!$A$6,MIN(Reference!$A$11,$U178)),Reference!$A$6:$A$11,1))))*(INDEX(Reference!$B$6:$B$11,MIN(5,MATCH(MAX(Reference!$A$6,MIN(Reference!$A$11,$U178)),Reference!$A$6:$A$11,1))+1)-INDEX(Reference!$B$6:$B$11,MIN(5,MATCH(MAX(Reference!$A$6,MIN(Reference!$A$11,$U178)),Reference!$A$6:$A$11,1))))/(INDEX(Reference!$A$6:$A$11,MIN(5,MATCH(MAX(Reference!$A$6,MIN(Reference!$A$11,$U178)),Reference!$A$6:$A$11,1))+1)-INDEX(Reference!$A$6:$A$11,MIN(5,MATCH(MAX(Reference!$A$6,MIN(Reference!$A$11,$U178)),Reference!$A$6:$A$11,1))))))</f>
        <v>0</v>
      </c>
      <c r="AO178" s="37"/>
      <c r="AP178" s="37"/>
      <c r="AQ178" s="37"/>
    </row>
    <row r="179" spans="1:43" x14ac:dyDescent="0.3">
      <c r="A179" s="48" t="str">
        <f t="shared" si="105"/>
        <v/>
      </c>
      <c r="B179" s="32" t="str">
        <f t="shared" si="106"/>
        <v/>
      </c>
      <c r="C179" s="32" t="str">
        <f t="shared" si="107"/>
        <v/>
      </c>
      <c r="D179" s="32" t="str">
        <f t="shared" si="108"/>
        <v/>
      </c>
      <c r="E179" s="32" t="str">
        <f t="shared" si="109"/>
        <v/>
      </c>
      <c r="F179" s="32" t="str">
        <f t="shared" si="110"/>
        <v/>
      </c>
      <c r="G179" s="47" t="str">
        <f t="shared" si="111"/>
        <v/>
      </c>
      <c r="H179" s="30" t="str">
        <f t="shared" si="112"/>
        <v/>
      </c>
      <c r="I179" s="46" t="str">
        <f>IF($A179="","",IF(AND($L179&lt;27,$K$12=0),"Building",IFERROR(((SUM($H$173:$H179)+$K$12*IF($L179&lt;6,SUMIFS('Throw Log'!$Q$5:$Q$300,'Throw Log'!$B$5:$B$300,$D$4,'Throw Log'!$A$5:$A$300,"&gt;="&amp;($D$6+$L179-6),'Throw Log'!$A$5:$A$300,"&lt;="&amp;($D$6-1)),0))/7)/((SUM($H$152:$H179)+$K$12*IF($L179&lt;27,SUMIFS('Throw Log'!$Q$5:$Q$300,'Throw Log'!$B$5:$B$300,$D$4,'Throw Log'!$A$5:$A$300,"&gt;="&amp;($D$6+$L179-27),'Throw Log'!$A$5:$A$300,"&lt;="&amp;($D$6-1)),0))/28),"")))</f>
        <v/>
      </c>
      <c r="J179" s="37"/>
      <c r="K179" s="37"/>
      <c r="L179" s="32">
        <v>136</v>
      </c>
      <c r="M179" s="32">
        <f t="shared" si="113"/>
        <v>20</v>
      </c>
      <c r="N179" s="32">
        <f t="shared" si="114"/>
        <v>3</v>
      </c>
      <c r="O179" s="32">
        <f t="shared" si="115"/>
        <v>1</v>
      </c>
      <c r="P179" s="32" t="str">
        <f>IF(OR($A179="",N($C179)&lt;=7),"",$G$6*$G$9^($M179-1)*IF(AND(MOD($M179,Reference!$B$99)=0,$M179&lt;=$G$5-2),Reference!$B$100,1))</f>
        <v/>
      </c>
      <c r="Q179" s="32" t="str">
        <f>IF($P179="","",IF(SUM($AK$176:$AK$182)=0,0,$P179*INDEX(Reference!$B$108:$B$114,$N179+1)/SUM($AK$176:$AK$182)))</f>
        <v/>
      </c>
      <c r="R179" s="32">
        <f t="shared" si="116"/>
        <v>120</v>
      </c>
      <c r="S179" s="32">
        <f t="shared" si="117"/>
        <v>105</v>
      </c>
      <c r="T179" s="32" t="str">
        <f>IF($A179="","",IF($C179=0,"Bullpen",IF(OR($C179=7,$C179=1,$C179=5),"Recovery/Easy Catch",IF($C179=6,"Compression/Pulldowns",IF(OR($C179=4,$C179=2),"Long Toss",IF($C179=3,"No Throw",IF($N179=2,"No Throw",IF($N179=6,IF($O179&lt;Reference!$B$104,"No Throw","Recovery/Easy Catch"),IF(OR($N179=0,$N179=4),"Recovery/Easy Catch",IF($N179=1,IF($R179&gt;75,"Long Toss","Recovery/Easy Catch"),IF($N179=3,IF($O179&lt;0.5,IF($S179&gt;75,"Long Toss","Recovery/Easy Catch"),"Compression/Pulldowns"),IF($S179&gt;75,"Long Toss","Recovery/Easy Catch"))))))))))))</f>
        <v/>
      </c>
      <c r="U179" s="32" t="str">
        <f t="shared" si="118"/>
        <v/>
      </c>
      <c r="V179" s="32" t="str">
        <f t="shared" si="119"/>
        <v/>
      </c>
      <c r="W179" s="32" t="str">
        <f t="shared" si="120"/>
        <v/>
      </c>
      <c r="X179" s="32">
        <f t="shared" si="121"/>
        <v>0</v>
      </c>
      <c r="Y179" s="32" t="str">
        <f t="shared" si="122"/>
        <v/>
      </c>
      <c r="Z179" s="32" t="str">
        <f t="shared" si="123"/>
        <v/>
      </c>
      <c r="AA179" s="32" t="str">
        <f t="shared" si="124"/>
        <v/>
      </c>
      <c r="AB179" s="32" t="str">
        <f>IF($A179="","",IF($T179="No Throw",0,IF($K179&lt;&gt;"",$K179,IF($AA179&lt;&gt;"",ROUND($AA179*$D$12*IF($C179=0,1,$G$10),0),MIN(IF($T179="Recovery/Easy Catch",Reference!$B$103,IF($T179="Long Toss",Reference!$B$106,Reference!$B$102)),MAX(Reference!$B$101,ROUND(MAX(0,$Q179-$AE179)/$AF179,0)))))))</f>
        <v/>
      </c>
      <c r="AC179" s="32">
        <f t="shared" si="125"/>
        <v>0</v>
      </c>
      <c r="AD179" s="32" t="b">
        <f t="shared" si="126"/>
        <v>1</v>
      </c>
      <c r="AE179" s="32">
        <f>IF($X179=0,0,$X179*(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179+$Z179)/2,0),Reference!$A$17:$B$20,2,TRUE()))</f>
        <v>0</v>
      </c>
      <c r="AF179" s="32">
        <f>IF(OR($A179="",$U179="",$T179="No Throw"),0,$AM179*VLOOKUP(MAX(($V179+$W179)/2,0),Reference!$A$17:$B$20,2,TRUE()))</f>
        <v>0</v>
      </c>
      <c r="AG179" s="32">
        <f>IF($AC179=0,0,$AC179*INDEX(Reference!$B$61:$B$62,MATCH("Bullpen",Reference!$A$61:$A$62,0))*VLOOKUP(MAX($D$5-($D$9+$E$9)/2,0),Reference!$A$17:$B$20,2,TRUE()))</f>
        <v>0</v>
      </c>
      <c r="AH179" s="32" t="e">
        <f t="shared" si="127"/>
        <v>#N/A</v>
      </c>
      <c r="AI179" s="32" t="e">
        <f>IF($A179="",NA(),Reference!$A$25)</f>
        <v>#N/A</v>
      </c>
      <c r="AJ179" s="32" t="e">
        <f t="shared" si="128"/>
        <v>#N/A</v>
      </c>
      <c r="AK179" s="32">
        <f>IF(OR($A179="",N($C179)&lt;=7,$T179="No Throw",$J179="x"),0,INDEX(Reference!$B$108:$B$114,$N179+1))</f>
        <v>0</v>
      </c>
      <c r="AL179" s="32">
        <f t="shared" si="129"/>
        <v>1</v>
      </c>
      <c r="AM179" s="32">
        <f>IF($U179="",0,IF($AL179&gt;1,((IF(1&lt;=$AL179,($AL179-1+3)*(INDEX(Reference!$B$6:$B$11,MIN(5,MATCH(MAX(Reference!$A$6,MIN(Reference!$A$11,MIN($U179,90))),Reference!$A$6:$A$11,1)))+(MAX(Reference!$A$6,MIN(Reference!$A$11,MIN($U179,90)))-INDEX(Reference!$A$6:$A$11,MIN(5,MATCH(MAX(Reference!$A$6,MIN(Reference!$A$11,MIN($U179,90))),Reference!$A$6:$A$11,1))))*(INDEX(Reference!$B$6:$B$11,MIN(5,MATCH(MAX(Reference!$A$6,MIN(Reference!$A$11,MIN($U179,90))),Reference!$A$6:$A$11,1))+1)-INDEX(Reference!$B$6:$B$11,MIN(5,MATCH(MAX(Reference!$A$6,MIN(Reference!$A$11,MIN($U179,90))),Reference!$A$6:$A$11,1))))/(INDEX(Reference!$A$6:$A$11,MIN(5,MATCH(MAX(Reference!$A$6,MIN(Reference!$A$11,MIN($U179,90))),Reference!$A$6:$A$11,1))+1)-INDEX(Reference!$A$6:$A$11,MIN(5,MATCH(MAX(Reference!$A$6,MIN(Reference!$A$11,MIN($U179,90))),Reference!$A$6:$A$11,1))))),0)+IF(2&lt;=$AL179,($AL179-2+3)*(INDEX(Reference!$B$6:$B$11,MIN(5,MATCH(MAX(Reference!$A$6,MIN(Reference!$A$11,MIN($U179,120))),Reference!$A$6:$A$11,1)))+(MAX(Reference!$A$6,MIN(Reference!$A$11,MIN($U179,120)))-INDEX(Reference!$A$6:$A$11,MIN(5,MATCH(MAX(Reference!$A$6,MIN(Reference!$A$11,MIN($U179,120))),Reference!$A$6:$A$11,1))))*(INDEX(Reference!$B$6:$B$11,MIN(5,MATCH(MAX(Reference!$A$6,MIN(Reference!$A$11,MIN($U179,120))),Reference!$A$6:$A$11,1))+1)-INDEX(Reference!$B$6:$B$11,MIN(5,MATCH(MAX(Reference!$A$6,MIN(Reference!$A$11,MIN($U179,120))),Reference!$A$6:$A$11,1))))/(INDEX(Reference!$A$6:$A$11,MIN(5,MATCH(MAX(Reference!$A$6,MIN(Reference!$A$11,MIN($U179,120))),Reference!$A$6:$A$11,1))+1)-INDEX(Reference!$A$6:$A$11,MIN(5,MATCH(MAX(Reference!$A$6,MIN(Reference!$A$11,MIN($U179,120))),Reference!$A$6:$A$11,1))))),0)+IF(3&lt;=$AL179,($AL179-3+3)*(INDEX(Reference!$B$6:$B$11,MIN(5,MATCH(MAX(Reference!$A$6,MIN(Reference!$A$11,MIN($U179,150))),Reference!$A$6:$A$11,1)))+(MAX(Reference!$A$6,MIN(Reference!$A$11,MIN($U179,150)))-INDEX(Reference!$A$6:$A$11,MIN(5,MATCH(MAX(Reference!$A$6,MIN(Reference!$A$11,MIN($U179,150))),Reference!$A$6:$A$11,1))))*(INDEX(Reference!$B$6:$B$11,MIN(5,MATCH(MAX(Reference!$A$6,MIN(Reference!$A$11,MIN($U179,150))),Reference!$A$6:$A$11,1))+1)-INDEX(Reference!$B$6:$B$11,MIN(5,MATCH(MAX(Reference!$A$6,MIN(Reference!$A$11,MIN($U179,150))),Reference!$A$6:$A$11,1))))/(INDEX(Reference!$A$6:$A$11,MIN(5,MATCH(MAX(Reference!$A$6,MIN(Reference!$A$11,MIN($U179,150))),Reference!$A$6:$A$11,1))+1)-INDEX(Reference!$A$6:$A$11,MIN(5,MATCH(MAX(Reference!$A$6,MIN(Reference!$A$11,MIN($U179,150))),Reference!$A$6:$A$11,1))))),0)+IF(4&lt;=$AL179,($AL179-4+3)*(INDEX(Reference!$B$6:$B$11,MIN(5,MATCH(MAX(Reference!$A$6,MIN(Reference!$A$11,MIN($U179,180))),Reference!$A$6:$A$11,1)))+(MAX(Reference!$A$6,MIN(Reference!$A$11,MIN($U179,180)))-INDEX(Reference!$A$6:$A$11,MIN(5,MATCH(MAX(Reference!$A$6,MIN(Reference!$A$11,MIN($U179,180))),Reference!$A$6:$A$11,1))))*(INDEX(Reference!$B$6:$B$11,MIN(5,MATCH(MAX(Reference!$A$6,MIN(Reference!$A$11,MIN($U179,180))),Reference!$A$6:$A$11,1))+1)-INDEX(Reference!$B$6:$B$11,MIN(5,MATCH(MAX(Reference!$A$6,MIN(Reference!$A$11,MIN($U179,180))),Reference!$A$6:$A$11,1))))/(INDEX(Reference!$A$6:$A$11,MIN(5,MATCH(MAX(Reference!$A$6,MIN(Reference!$A$11,MIN($U179,180))),Reference!$A$6:$A$11,1))+1)-INDEX(Reference!$A$6:$A$11,MIN(5,MATCH(MAX(Reference!$A$6,MIN(Reference!$A$11,MIN($U179,180))),Reference!$A$6:$A$11,1))))),0)+IF(5&lt;=$AL179,($AL179-5+3)*(INDEX(Reference!$B$6:$B$11,MIN(5,MATCH(MAX(Reference!$A$6,MIN(Reference!$A$11,MIN($U179,210))),Reference!$A$6:$A$11,1)))+(MAX(Reference!$A$6,MIN(Reference!$A$11,MIN($U179,210)))-INDEX(Reference!$A$6:$A$11,MIN(5,MATCH(MAX(Reference!$A$6,MIN(Reference!$A$11,MIN($U179,210))),Reference!$A$6:$A$11,1))))*(INDEX(Reference!$B$6:$B$11,MIN(5,MATCH(MAX(Reference!$A$6,MIN(Reference!$A$11,MIN($U179,210))),Reference!$A$6:$A$11,1))+1)-INDEX(Reference!$B$6:$B$11,MIN(5,MATCH(MAX(Reference!$A$6,MIN(Reference!$A$11,MIN($U179,210))),Reference!$A$6:$A$11,1))))/(INDEX(Reference!$A$6:$A$11,MIN(5,MATCH(MAX(Reference!$A$6,MIN(Reference!$A$11,MIN($U179,210))),Reference!$A$6:$A$11,1))+1)-INDEX(Reference!$A$6:$A$11,MIN(5,MATCH(MAX(Reference!$A$6,MIN(Reference!$A$11,MIN($U179,210))),Reference!$A$6:$A$11,1))))),0)+IF(6&lt;=$AL179,($AL179-6+3)*(INDEX(Reference!$B$6:$B$11,MIN(5,MATCH(MAX(Reference!$A$6,MIN(Reference!$A$11,MIN($U179,240))),Reference!$A$6:$A$11,1)))+(MAX(Reference!$A$6,MIN(Reference!$A$11,MIN($U179,240)))-INDEX(Reference!$A$6:$A$11,MIN(5,MATCH(MAX(Reference!$A$6,MIN(Reference!$A$11,MIN($U179,240))),Reference!$A$6:$A$11,1))))*(INDEX(Reference!$B$6:$B$11,MIN(5,MATCH(MAX(Reference!$A$6,MIN(Reference!$A$11,MIN($U179,240))),Reference!$A$6:$A$11,1))+1)-INDEX(Reference!$B$6:$B$11,MIN(5,MATCH(MAX(Reference!$A$6,MIN(Reference!$A$11,MIN($U179,240))),Reference!$A$6:$A$11,1))))/(INDEX(Reference!$A$6:$A$11,MIN(5,MATCH(MAX(Reference!$A$6,MIN(Reference!$A$11,MIN($U179,240))),Reference!$A$6:$A$11,1))+1)-INDEX(Reference!$A$6:$A$11,MIN(5,MATCH(MAX(Reference!$A$6,MIN(Reference!$A$11,MIN($U179,240))),Reference!$A$6:$A$11,1))))),0)+IF(7&lt;=$AL179,($AL179-7+3)*(INDEX(Reference!$B$6:$B$11,MIN(5,MATCH(MAX(Reference!$A$6,MIN(Reference!$A$11,MIN($U179,270))),Reference!$A$6:$A$11,1)))+(MAX(Reference!$A$6,MIN(Reference!$A$11,MIN($U179,270)))-INDEX(Reference!$A$6:$A$11,MIN(5,MATCH(MAX(Reference!$A$6,MIN(Reference!$A$11,MIN($U179,270))),Reference!$A$6:$A$11,1))))*(INDEX(Reference!$B$6:$B$11,MIN(5,MATCH(MAX(Reference!$A$6,MIN(Reference!$A$11,MIN($U179,270))),Reference!$A$6:$A$11,1))+1)-INDEX(Reference!$B$6:$B$11,MIN(5,MATCH(MAX(Reference!$A$6,MIN(Reference!$A$11,MIN($U179,270))),Reference!$A$6:$A$11,1))))/(INDEX(Reference!$A$6:$A$11,MIN(5,MATCH(MAX(Reference!$A$6,MIN(Reference!$A$11,MIN($U179,270))),Reference!$A$6:$A$11,1))+1)-INDEX(Reference!$A$6:$A$11,MIN(5,MATCH(MAX(Reference!$A$6,MIN(Reference!$A$11,MIN($U179,270))),Reference!$A$6:$A$11,1))))),0)+IF(8&lt;=$AL179,($AL179-8+3)*(INDEX(Reference!$B$6:$B$11,MIN(5,MATCH(MAX(Reference!$A$6,MIN(Reference!$A$11,MIN($U179,300))),Reference!$A$6:$A$11,1)))+(MAX(Reference!$A$6,MIN(Reference!$A$11,MIN($U179,300)))-INDEX(Reference!$A$6:$A$11,MIN(5,MATCH(MAX(Reference!$A$6,MIN(Reference!$A$11,MIN($U179,300))),Reference!$A$6:$A$11,1))))*(INDEX(Reference!$B$6:$B$11,MIN(5,MATCH(MAX(Reference!$A$6,MIN(Reference!$A$11,MIN($U179,300))),Reference!$A$6:$A$11,1))+1)-INDEX(Reference!$B$6:$B$11,MIN(5,MATCH(MAX(Reference!$A$6,MIN(Reference!$A$11,MIN($U179,300))),Reference!$A$6:$A$11,1))))/(INDEX(Reference!$A$6:$A$11,MIN(5,MATCH(MAX(Reference!$A$6,MIN(Reference!$A$11,MIN($U179,300))),Reference!$A$6:$A$11,1))+1)-INDEX(Reference!$A$6:$A$11,MIN(5,MATCH(MAX(Reference!$A$6,MIN(Reference!$A$11,MIN($U179,300))),Reference!$A$6:$A$11,1))))),0))/($AL179*($AL179+5)/2)),$AN179))</f>
        <v>0</v>
      </c>
      <c r="AN179" s="32">
        <f>IF($U179="",0,(INDEX(Reference!$B$6:$B$11,MIN(5,MATCH(MAX(Reference!$A$6,MIN(Reference!$A$11,$U179)),Reference!$A$6:$A$11,1)))+(MAX(Reference!$A$6,MIN(Reference!$A$11,$U179))-INDEX(Reference!$A$6:$A$11,MIN(5,MATCH(MAX(Reference!$A$6,MIN(Reference!$A$11,$U179)),Reference!$A$6:$A$11,1))))*(INDEX(Reference!$B$6:$B$11,MIN(5,MATCH(MAX(Reference!$A$6,MIN(Reference!$A$11,$U179)),Reference!$A$6:$A$11,1))+1)-INDEX(Reference!$B$6:$B$11,MIN(5,MATCH(MAX(Reference!$A$6,MIN(Reference!$A$11,$U179)),Reference!$A$6:$A$11,1))))/(INDEX(Reference!$A$6:$A$11,MIN(5,MATCH(MAX(Reference!$A$6,MIN(Reference!$A$11,$U179)),Reference!$A$6:$A$11,1))+1)-INDEX(Reference!$A$6:$A$11,MIN(5,MATCH(MAX(Reference!$A$6,MIN(Reference!$A$11,$U179)),Reference!$A$6:$A$11,1))))))</f>
        <v>0</v>
      </c>
      <c r="AO179" s="37"/>
      <c r="AP179" s="37"/>
      <c r="AQ179" s="37"/>
    </row>
    <row r="180" spans="1:43" x14ac:dyDescent="0.3">
      <c r="A180" s="48" t="str">
        <f t="shared" si="105"/>
        <v/>
      </c>
      <c r="B180" s="32" t="str">
        <f t="shared" si="106"/>
        <v/>
      </c>
      <c r="C180" s="32" t="str">
        <f t="shared" si="107"/>
        <v/>
      </c>
      <c r="D180" s="32" t="str">
        <f t="shared" si="108"/>
        <v/>
      </c>
      <c r="E180" s="32" t="str">
        <f t="shared" si="109"/>
        <v/>
      </c>
      <c r="F180" s="32" t="str">
        <f t="shared" si="110"/>
        <v/>
      </c>
      <c r="G180" s="47" t="str">
        <f t="shared" si="111"/>
        <v/>
      </c>
      <c r="H180" s="30" t="str">
        <f t="shared" si="112"/>
        <v/>
      </c>
      <c r="I180" s="46" t="str">
        <f>IF($A180="","",IF(AND($L180&lt;27,$K$12=0),"Building",IFERROR(((SUM($H$174:$H180)+$K$12*IF($L180&lt;6,SUMIFS('Throw Log'!$Q$5:$Q$300,'Throw Log'!$B$5:$B$300,$D$4,'Throw Log'!$A$5:$A$300,"&gt;="&amp;($D$6+$L180-6),'Throw Log'!$A$5:$A$300,"&lt;="&amp;($D$6-1)),0))/7)/((SUM($H$153:$H180)+$K$12*IF($L180&lt;27,SUMIFS('Throw Log'!$Q$5:$Q$300,'Throw Log'!$B$5:$B$300,$D$4,'Throw Log'!$A$5:$A$300,"&gt;="&amp;($D$6+$L180-27),'Throw Log'!$A$5:$A$300,"&lt;="&amp;($D$6-1)),0))/28),"")))</f>
        <v/>
      </c>
      <c r="J180" s="37"/>
      <c r="K180" s="37"/>
      <c r="L180" s="32">
        <v>137</v>
      </c>
      <c r="M180" s="32">
        <f t="shared" si="113"/>
        <v>20</v>
      </c>
      <c r="N180" s="32">
        <f t="shared" si="114"/>
        <v>4</v>
      </c>
      <c r="O180" s="32">
        <f t="shared" si="115"/>
        <v>1</v>
      </c>
      <c r="P180" s="32" t="str">
        <f>IF(OR($A180="",N($C180)&lt;=7),"",$G$6*$G$9^($M180-1)*IF(AND(MOD($M180,Reference!$B$99)=0,$M180&lt;=$G$5-2),Reference!$B$100,1))</f>
        <v/>
      </c>
      <c r="Q180" s="32" t="str">
        <f>IF($P180="","",IF(SUM($AK$176:$AK$182)=0,0,$P180*INDEX(Reference!$B$108:$B$114,$N180+1)/SUM($AK$176:$AK$182)))</f>
        <v/>
      </c>
      <c r="R180" s="32">
        <f t="shared" si="116"/>
        <v>120</v>
      </c>
      <c r="S180" s="32">
        <f t="shared" si="117"/>
        <v>105</v>
      </c>
      <c r="T180" s="32" t="str">
        <f>IF($A180="","",IF($C180=0,"Bullpen",IF(OR($C180=7,$C180=1,$C180=5),"Recovery/Easy Catch",IF($C180=6,"Compression/Pulldowns",IF(OR($C180=4,$C180=2),"Long Toss",IF($C180=3,"No Throw",IF($N180=2,"No Throw",IF($N180=6,IF($O180&lt;Reference!$B$104,"No Throw","Recovery/Easy Catch"),IF(OR($N180=0,$N180=4),"Recovery/Easy Catch",IF($N180=1,IF($R180&gt;75,"Long Toss","Recovery/Easy Catch"),IF($N180=3,IF($O180&lt;0.5,IF($S180&gt;75,"Long Toss","Recovery/Easy Catch"),"Compression/Pulldowns"),IF($S180&gt;75,"Long Toss","Recovery/Easy Catch"))))))))))))</f>
        <v/>
      </c>
      <c r="U180" s="32" t="str">
        <f t="shared" si="118"/>
        <v/>
      </c>
      <c r="V180" s="32" t="str">
        <f t="shared" si="119"/>
        <v/>
      </c>
      <c r="W180" s="32" t="str">
        <f t="shared" si="120"/>
        <v/>
      </c>
      <c r="X180" s="32">
        <f t="shared" si="121"/>
        <v>0</v>
      </c>
      <c r="Y180" s="32" t="str">
        <f t="shared" si="122"/>
        <v/>
      </c>
      <c r="Z180" s="32" t="str">
        <f t="shared" si="123"/>
        <v/>
      </c>
      <c r="AA180" s="32" t="str">
        <f t="shared" si="124"/>
        <v/>
      </c>
      <c r="AB180" s="32" t="str">
        <f>IF($A180="","",IF($T180="No Throw",0,IF($K180&lt;&gt;"",$K180,IF($AA180&lt;&gt;"",ROUND($AA180*$D$12*IF($C180=0,1,$G$10),0),MIN(IF($T180="Recovery/Easy Catch",Reference!$B$103,IF($T180="Long Toss",Reference!$B$106,Reference!$B$102)),MAX(Reference!$B$101,ROUND(MAX(0,$Q180-$AE180)/$AF180,0)))))))</f>
        <v/>
      </c>
      <c r="AC180" s="32">
        <f t="shared" si="125"/>
        <v>0</v>
      </c>
      <c r="AD180" s="32" t="b">
        <f t="shared" si="126"/>
        <v>1</v>
      </c>
      <c r="AE180" s="32">
        <f>IF($X180=0,0,$X180*(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180+$Z180)/2,0),Reference!$A$17:$B$20,2,TRUE()))</f>
        <v>0</v>
      </c>
      <c r="AF180" s="32">
        <f>IF(OR($A180="",$U180="",$T180="No Throw"),0,$AM180*VLOOKUP(MAX(($V180+$W180)/2,0),Reference!$A$17:$B$20,2,TRUE()))</f>
        <v>0</v>
      </c>
      <c r="AG180" s="32">
        <f>IF($AC180=0,0,$AC180*INDEX(Reference!$B$61:$B$62,MATCH("Bullpen",Reference!$A$61:$A$62,0))*VLOOKUP(MAX($D$5-($D$9+$E$9)/2,0),Reference!$A$17:$B$20,2,TRUE()))</f>
        <v>0</v>
      </c>
      <c r="AH180" s="32" t="e">
        <f t="shared" si="127"/>
        <v>#N/A</v>
      </c>
      <c r="AI180" s="32" t="e">
        <f>IF($A180="",NA(),Reference!$A$25)</f>
        <v>#N/A</v>
      </c>
      <c r="AJ180" s="32" t="e">
        <f t="shared" si="128"/>
        <v>#N/A</v>
      </c>
      <c r="AK180" s="32">
        <f>IF(OR($A180="",N($C180)&lt;=7,$T180="No Throw",$J180="x"),0,INDEX(Reference!$B$108:$B$114,$N180+1))</f>
        <v>0</v>
      </c>
      <c r="AL180" s="32">
        <f t="shared" si="129"/>
        <v>1</v>
      </c>
      <c r="AM180" s="32">
        <f>IF($U180="",0,IF($AL180&gt;1,((IF(1&lt;=$AL180,($AL180-1+3)*(INDEX(Reference!$B$6:$B$11,MIN(5,MATCH(MAX(Reference!$A$6,MIN(Reference!$A$11,MIN($U180,90))),Reference!$A$6:$A$11,1)))+(MAX(Reference!$A$6,MIN(Reference!$A$11,MIN($U180,90)))-INDEX(Reference!$A$6:$A$11,MIN(5,MATCH(MAX(Reference!$A$6,MIN(Reference!$A$11,MIN($U180,90))),Reference!$A$6:$A$11,1))))*(INDEX(Reference!$B$6:$B$11,MIN(5,MATCH(MAX(Reference!$A$6,MIN(Reference!$A$11,MIN($U180,90))),Reference!$A$6:$A$11,1))+1)-INDEX(Reference!$B$6:$B$11,MIN(5,MATCH(MAX(Reference!$A$6,MIN(Reference!$A$11,MIN($U180,90))),Reference!$A$6:$A$11,1))))/(INDEX(Reference!$A$6:$A$11,MIN(5,MATCH(MAX(Reference!$A$6,MIN(Reference!$A$11,MIN($U180,90))),Reference!$A$6:$A$11,1))+1)-INDEX(Reference!$A$6:$A$11,MIN(5,MATCH(MAX(Reference!$A$6,MIN(Reference!$A$11,MIN($U180,90))),Reference!$A$6:$A$11,1))))),0)+IF(2&lt;=$AL180,($AL180-2+3)*(INDEX(Reference!$B$6:$B$11,MIN(5,MATCH(MAX(Reference!$A$6,MIN(Reference!$A$11,MIN($U180,120))),Reference!$A$6:$A$11,1)))+(MAX(Reference!$A$6,MIN(Reference!$A$11,MIN($U180,120)))-INDEX(Reference!$A$6:$A$11,MIN(5,MATCH(MAX(Reference!$A$6,MIN(Reference!$A$11,MIN($U180,120))),Reference!$A$6:$A$11,1))))*(INDEX(Reference!$B$6:$B$11,MIN(5,MATCH(MAX(Reference!$A$6,MIN(Reference!$A$11,MIN($U180,120))),Reference!$A$6:$A$11,1))+1)-INDEX(Reference!$B$6:$B$11,MIN(5,MATCH(MAX(Reference!$A$6,MIN(Reference!$A$11,MIN($U180,120))),Reference!$A$6:$A$11,1))))/(INDEX(Reference!$A$6:$A$11,MIN(5,MATCH(MAX(Reference!$A$6,MIN(Reference!$A$11,MIN($U180,120))),Reference!$A$6:$A$11,1))+1)-INDEX(Reference!$A$6:$A$11,MIN(5,MATCH(MAX(Reference!$A$6,MIN(Reference!$A$11,MIN($U180,120))),Reference!$A$6:$A$11,1))))),0)+IF(3&lt;=$AL180,($AL180-3+3)*(INDEX(Reference!$B$6:$B$11,MIN(5,MATCH(MAX(Reference!$A$6,MIN(Reference!$A$11,MIN($U180,150))),Reference!$A$6:$A$11,1)))+(MAX(Reference!$A$6,MIN(Reference!$A$11,MIN($U180,150)))-INDEX(Reference!$A$6:$A$11,MIN(5,MATCH(MAX(Reference!$A$6,MIN(Reference!$A$11,MIN($U180,150))),Reference!$A$6:$A$11,1))))*(INDEX(Reference!$B$6:$B$11,MIN(5,MATCH(MAX(Reference!$A$6,MIN(Reference!$A$11,MIN($U180,150))),Reference!$A$6:$A$11,1))+1)-INDEX(Reference!$B$6:$B$11,MIN(5,MATCH(MAX(Reference!$A$6,MIN(Reference!$A$11,MIN($U180,150))),Reference!$A$6:$A$11,1))))/(INDEX(Reference!$A$6:$A$11,MIN(5,MATCH(MAX(Reference!$A$6,MIN(Reference!$A$11,MIN($U180,150))),Reference!$A$6:$A$11,1))+1)-INDEX(Reference!$A$6:$A$11,MIN(5,MATCH(MAX(Reference!$A$6,MIN(Reference!$A$11,MIN($U180,150))),Reference!$A$6:$A$11,1))))),0)+IF(4&lt;=$AL180,($AL180-4+3)*(INDEX(Reference!$B$6:$B$11,MIN(5,MATCH(MAX(Reference!$A$6,MIN(Reference!$A$11,MIN($U180,180))),Reference!$A$6:$A$11,1)))+(MAX(Reference!$A$6,MIN(Reference!$A$11,MIN($U180,180)))-INDEX(Reference!$A$6:$A$11,MIN(5,MATCH(MAX(Reference!$A$6,MIN(Reference!$A$11,MIN($U180,180))),Reference!$A$6:$A$11,1))))*(INDEX(Reference!$B$6:$B$11,MIN(5,MATCH(MAX(Reference!$A$6,MIN(Reference!$A$11,MIN($U180,180))),Reference!$A$6:$A$11,1))+1)-INDEX(Reference!$B$6:$B$11,MIN(5,MATCH(MAX(Reference!$A$6,MIN(Reference!$A$11,MIN($U180,180))),Reference!$A$6:$A$11,1))))/(INDEX(Reference!$A$6:$A$11,MIN(5,MATCH(MAX(Reference!$A$6,MIN(Reference!$A$11,MIN($U180,180))),Reference!$A$6:$A$11,1))+1)-INDEX(Reference!$A$6:$A$11,MIN(5,MATCH(MAX(Reference!$A$6,MIN(Reference!$A$11,MIN($U180,180))),Reference!$A$6:$A$11,1))))),0)+IF(5&lt;=$AL180,($AL180-5+3)*(INDEX(Reference!$B$6:$B$11,MIN(5,MATCH(MAX(Reference!$A$6,MIN(Reference!$A$11,MIN($U180,210))),Reference!$A$6:$A$11,1)))+(MAX(Reference!$A$6,MIN(Reference!$A$11,MIN($U180,210)))-INDEX(Reference!$A$6:$A$11,MIN(5,MATCH(MAX(Reference!$A$6,MIN(Reference!$A$11,MIN($U180,210))),Reference!$A$6:$A$11,1))))*(INDEX(Reference!$B$6:$B$11,MIN(5,MATCH(MAX(Reference!$A$6,MIN(Reference!$A$11,MIN($U180,210))),Reference!$A$6:$A$11,1))+1)-INDEX(Reference!$B$6:$B$11,MIN(5,MATCH(MAX(Reference!$A$6,MIN(Reference!$A$11,MIN($U180,210))),Reference!$A$6:$A$11,1))))/(INDEX(Reference!$A$6:$A$11,MIN(5,MATCH(MAX(Reference!$A$6,MIN(Reference!$A$11,MIN($U180,210))),Reference!$A$6:$A$11,1))+1)-INDEX(Reference!$A$6:$A$11,MIN(5,MATCH(MAX(Reference!$A$6,MIN(Reference!$A$11,MIN($U180,210))),Reference!$A$6:$A$11,1))))),0)+IF(6&lt;=$AL180,($AL180-6+3)*(INDEX(Reference!$B$6:$B$11,MIN(5,MATCH(MAX(Reference!$A$6,MIN(Reference!$A$11,MIN($U180,240))),Reference!$A$6:$A$11,1)))+(MAX(Reference!$A$6,MIN(Reference!$A$11,MIN($U180,240)))-INDEX(Reference!$A$6:$A$11,MIN(5,MATCH(MAX(Reference!$A$6,MIN(Reference!$A$11,MIN($U180,240))),Reference!$A$6:$A$11,1))))*(INDEX(Reference!$B$6:$B$11,MIN(5,MATCH(MAX(Reference!$A$6,MIN(Reference!$A$11,MIN($U180,240))),Reference!$A$6:$A$11,1))+1)-INDEX(Reference!$B$6:$B$11,MIN(5,MATCH(MAX(Reference!$A$6,MIN(Reference!$A$11,MIN($U180,240))),Reference!$A$6:$A$11,1))))/(INDEX(Reference!$A$6:$A$11,MIN(5,MATCH(MAX(Reference!$A$6,MIN(Reference!$A$11,MIN($U180,240))),Reference!$A$6:$A$11,1))+1)-INDEX(Reference!$A$6:$A$11,MIN(5,MATCH(MAX(Reference!$A$6,MIN(Reference!$A$11,MIN($U180,240))),Reference!$A$6:$A$11,1))))),0)+IF(7&lt;=$AL180,($AL180-7+3)*(INDEX(Reference!$B$6:$B$11,MIN(5,MATCH(MAX(Reference!$A$6,MIN(Reference!$A$11,MIN($U180,270))),Reference!$A$6:$A$11,1)))+(MAX(Reference!$A$6,MIN(Reference!$A$11,MIN($U180,270)))-INDEX(Reference!$A$6:$A$11,MIN(5,MATCH(MAX(Reference!$A$6,MIN(Reference!$A$11,MIN($U180,270))),Reference!$A$6:$A$11,1))))*(INDEX(Reference!$B$6:$B$11,MIN(5,MATCH(MAX(Reference!$A$6,MIN(Reference!$A$11,MIN($U180,270))),Reference!$A$6:$A$11,1))+1)-INDEX(Reference!$B$6:$B$11,MIN(5,MATCH(MAX(Reference!$A$6,MIN(Reference!$A$11,MIN($U180,270))),Reference!$A$6:$A$11,1))))/(INDEX(Reference!$A$6:$A$11,MIN(5,MATCH(MAX(Reference!$A$6,MIN(Reference!$A$11,MIN($U180,270))),Reference!$A$6:$A$11,1))+1)-INDEX(Reference!$A$6:$A$11,MIN(5,MATCH(MAX(Reference!$A$6,MIN(Reference!$A$11,MIN($U180,270))),Reference!$A$6:$A$11,1))))),0)+IF(8&lt;=$AL180,($AL180-8+3)*(INDEX(Reference!$B$6:$B$11,MIN(5,MATCH(MAX(Reference!$A$6,MIN(Reference!$A$11,MIN($U180,300))),Reference!$A$6:$A$11,1)))+(MAX(Reference!$A$6,MIN(Reference!$A$11,MIN($U180,300)))-INDEX(Reference!$A$6:$A$11,MIN(5,MATCH(MAX(Reference!$A$6,MIN(Reference!$A$11,MIN($U180,300))),Reference!$A$6:$A$11,1))))*(INDEX(Reference!$B$6:$B$11,MIN(5,MATCH(MAX(Reference!$A$6,MIN(Reference!$A$11,MIN($U180,300))),Reference!$A$6:$A$11,1))+1)-INDEX(Reference!$B$6:$B$11,MIN(5,MATCH(MAX(Reference!$A$6,MIN(Reference!$A$11,MIN($U180,300))),Reference!$A$6:$A$11,1))))/(INDEX(Reference!$A$6:$A$11,MIN(5,MATCH(MAX(Reference!$A$6,MIN(Reference!$A$11,MIN($U180,300))),Reference!$A$6:$A$11,1))+1)-INDEX(Reference!$A$6:$A$11,MIN(5,MATCH(MAX(Reference!$A$6,MIN(Reference!$A$11,MIN($U180,300))),Reference!$A$6:$A$11,1))))),0))/($AL180*($AL180+5)/2)),$AN180))</f>
        <v>0</v>
      </c>
      <c r="AN180" s="32">
        <f>IF($U180="",0,(INDEX(Reference!$B$6:$B$11,MIN(5,MATCH(MAX(Reference!$A$6,MIN(Reference!$A$11,$U180)),Reference!$A$6:$A$11,1)))+(MAX(Reference!$A$6,MIN(Reference!$A$11,$U180))-INDEX(Reference!$A$6:$A$11,MIN(5,MATCH(MAX(Reference!$A$6,MIN(Reference!$A$11,$U180)),Reference!$A$6:$A$11,1))))*(INDEX(Reference!$B$6:$B$11,MIN(5,MATCH(MAX(Reference!$A$6,MIN(Reference!$A$11,$U180)),Reference!$A$6:$A$11,1))+1)-INDEX(Reference!$B$6:$B$11,MIN(5,MATCH(MAX(Reference!$A$6,MIN(Reference!$A$11,$U180)),Reference!$A$6:$A$11,1))))/(INDEX(Reference!$A$6:$A$11,MIN(5,MATCH(MAX(Reference!$A$6,MIN(Reference!$A$11,$U180)),Reference!$A$6:$A$11,1))+1)-INDEX(Reference!$A$6:$A$11,MIN(5,MATCH(MAX(Reference!$A$6,MIN(Reference!$A$11,$U180)),Reference!$A$6:$A$11,1))))))</f>
        <v>0</v>
      </c>
      <c r="AO180" s="37"/>
      <c r="AP180" s="37"/>
      <c r="AQ180" s="37"/>
    </row>
    <row r="181" spans="1:43" x14ac:dyDescent="0.3">
      <c r="A181" s="48" t="str">
        <f t="shared" si="105"/>
        <v/>
      </c>
      <c r="B181" s="32" t="str">
        <f t="shared" si="106"/>
        <v/>
      </c>
      <c r="C181" s="32" t="str">
        <f t="shared" si="107"/>
        <v/>
      </c>
      <c r="D181" s="32" t="str">
        <f t="shared" si="108"/>
        <v/>
      </c>
      <c r="E181" s="32" t="str">
        <f t="shared" si="109"/>
        <v/>
      </c>
      <c r="F181" s="32" t="str">
        <f t="shared" si="110"/>
        <v/>
      </c>
      <c r="G181" s="47" t="str">
        <f t="shared" si="111"/>
        <v/>
      </c>
      <c r="H181" s="30" t="str">
        <f t="shared" si="112"/>
        <v/>
      </c>
      <c r="I181" s="46" t="str">
        <f>IF($A181="","",IF(AND($L181&lt;27,$K$12=0),"Building",IFERROR(((SUM($H$175:$H181)+$K$12*IF($L181&lt;6,SUMIFS('Throw Log'!$Q$5:$Q$300,'Throw Log'!$B$5:$B$300,$D$4,'Throw Log'!$A$5:$A$300,"&gt;="&amp;($D$6+$L181-6),'Throw Log'!$A$5:$A$300,"&lt;="&amp;($D$6-1)),0))/7)/((SUM($H$154:$H181)+$K$12*IF($L181&lt;27,SUMIFS('Throw Log'!$Q$5:$Q$300,'Throw Log'!$B$5:$B$300,$D$4,'Throw Log'!$A$5:$A$300,"&gt;="&amp;($D$6+$L181-27),'Throw Log'!$A$5:$A$300,"&lt;="&amp;($D$6-1)),0))/28),"")))</f>
        <v/>
      </c>
      <c r="J181" s="37"/>
      <c r="K181" s="37"/>
      <c r="L181" s="32">
        <v>138</v>
      </c>
      <c r="M181" s="32">
        <f t="shared" si="113"/>
        <v>20</v>
      </c>
      <c r="N181" s="32">
        <f t="shared" si="114"/>
        <v>5</v>
      </c>
      <c r="O181" s="32">
        <f t="shared" si="115"/>
        <v>1</v>
      </c>
      <c r="P181" s="32" t="str">
        <f>IF(OR($A181="",N($C181)&lt;=7),"",$G$6*$G$9^($M181-1)*IF(AND(MOD($M181,Reference!$B$99)=0,$M181&lt;=$G$5-2),Reference!$B$100,1))</f>
        <v/>
      </c>
      <c r="Q181" s="32" t="str">
        <f>IF($P181="","",IF(SUM($AK$176:$AK$182)=0,0,$P181*INDEX(Reference!$B$108:$B$114,$N181+1)/SUM($AK$176:$AK$182)))</f>
        <v/>
      </c>
      <c r="R181" s="32">
        <f t="shared" si="116"/>
        <v>120</v>
      </c>
      <c r="S181" s="32">
        <f t="shared" si="117"/>
        <v>105</v>
      </c>
      <c r="T181" s="32" t="str">
        <f>IF($A181="","",IF($C181=0,"Bullpen",IF(OR($C181=7,$C181=1,$C181=5),"Recovery/Easy Catch",IF($C181=6,"Compression/Pulldowns",IF(OR($C181=4,$C181=2),"Long Toss",IF($C181=3,"No Throw",IF($N181=2,"No Throw",IF($N181=6,IF($O181&lt;Reference!$B$104,"No Throw","Recovery/Easy Catch"),IF(OR($N181=0,$N181=4),"Recovery/Easy Catch",IF($N181=1,IF($R181&gt;75,"Long Toss","Recovery/Easy Catch"),IF($N181=3,IF($O181&lt;0.5,IF($S181&gt;75,"Long Toss","Recovery/Easy Catch"),"Compression/Pulldowns"),IF($S181&gt;75,"Long Toss","Recovery/Easy Catch"))))))))))))</f>
        <v/>
      </c>
      <c r="U181" s="32" t="str">
        <f t="shared" si="118"/>
        <v/>
      </c>
      <c r="V181" s="32" t="str">
        <f t="shared" si="119"/>
        <v/>
      </c>
      <c r="W181" s="32" t="str">
        <f t="shared" si="120"/>
        <v/>
      </c>
      <c r="X181" s="32">
        <f t="shared" si="121"/>
        <v>0</v>
      </c>
      <c r="Y181" s="32" t="str">
        <f t="shared" si="122"/>
        <v/>
      </c>
      <c r="Z181" s="32" t="str">
        <f t="shared" si="123"/>
        <v/>
      </c>
      <c r="AA181" s="32" t="str">
        <f t="shared" si="124"/>
        <v/>
      </c>
      <c r="AB181" s="32" t="str">
        <f>IF($A181="","",IF($T181="No Throw",0,IF($K181&lt;&gt;"",$K181,IF($AA181&lt;&gt;"",ROUND($AA181*$D$12*IF($C181=0,1,$G$10),0),MIN(IF($T181="Recovery/Easy Catch",Reference!$B$103,IF($T181="Long Toss",Reference!$B$106,Reference!$B$102)),MAX(Reference!$B$101,ROUND(MAX(0,$Q181-$AE181)/$AF181,0)))))))</f>
        <v/>
      </c>
      <c r="AC181" s="32">
        <f t="shared" si="125"/>
        <v>0</v>
      </c>
      <c r="AD181" s="32" t="b">
        <f t="shared" si="126"/>
        <v>1</v>
      </c>
      <c r="AE181" s="32">
        <f>IF($X181=0,0,$X181*(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181+$Z181)/2,0),Reference!$A$17:$B$20,2,TRUE()))</f>
        <v>0</v>
      </c>
      <c r="AF181" s="32">
        <f>IF(OR($A181="",$U181="",$T181="No Throw"),0,$AM181*VLOOKUP(MAX(($V181+$W181)/2,0),Reference!$A$17:$B$20,2,TRUE()))</f>
        <v>0</v>
      </c>
      <c r="AG181" s="32">
        <f>IF($AC181=0,0,$AC181*INDEX(Reference!$B$61:$B$62,MATCH("Bullpen",Reference!$A$61:$A$62,0))*VLOOKUP(MAX($D$5-($D$9+$E$9)/2,0),Reference!$A$17:$B$20,2,TRUE()))</f>
        <v>0</v>
      </c>
      <c r="AH181" s="32" t="e">
        <f t="shared" si="127"/>
        <v>#N/A</v>
      </c>
      <c r="AI181" s="32" t="e">
        <f>IF($A181="",NA(),Reference!$A$25)</f>
        <v>#N/A</v>
      </c>
      <c r="AJ181" s="32" t="e">
        <f t="shared" si="128"/>
        <v>#N/A</v>
      </c>
      <c r="AK181" s="32">
        <f>IF(OR($A181="",N($C181)&lt;=7,$T181="No Throw",$J181="x"),0,INDEX(Reference!$B$108:$B$114,$N181+1))</f>
        <v>0</v>
      </c>
      <c r="AL181" s="32">
        <f t="shared" si="129"/>
        <v>1</v>
      </c>
      <c r="AM181" s="32">
        <f>IF($U181="",0,IF($AL181&gt;1,((IF(1&lt;=$AL181,($AL181-1+3)*(INDEX(Reference!$B$6:$B$11,MIN(5,MATCH(MAX(Reference!$A$6,MIN(Reference!$A$11,MIN($U181,90))),Reference!$A$6:$A$11,1)))+(MAX(Reference!$A$6,MIN(Reference!$A$11,MIN($U181,90)))-INDEX(Reference!$A$6:$A$11,MIN(5,MATCH(MAX(Reference!$A$6,MIN(Reference!$A$11,MIN($U181,90))),Reference!$A$6:$A$11,1))))*(INDEX(Reference!$B$6:$B$11,MIN(5,MATCH(MAX(Reference!$A$6,MIN(Reference!$A$11,MIN($U181,90))),Reference!$A$6:$A$11,1))+1)-INDEX(Reference!$B$6:$B$11,MIN(5,MATCH(MAX(Reference!$A$6,MIN(Reference!$A$11,MIN($U181,90))),Reference!$A$6:$A$11,1))))/(INDEX(Reference!$A$6:$A$11,MIN(5,MATCH(MAX(Reference!$A$6,MIN(Reference!$A$11,MIN($U181,90))),Reference!$A$6:$A$11,1))+1)-INDEX(Reference!$A$6:$A$11,MIN(5,MATCH(MAX(Reference!$A$6,MIN(Reference!$A$11,MIN($U181,90))),Reference!$A$6:$A$11,1))))),0)+IF(2&lt;=$AL181,($AL181-2+3)*(INDEX(Reference!$B$6:$B$11,MIN(5,MATCH(MAX(Reference!$A$6,MIN(Reference!$A$11,MIN($U181,120))),Reference!$A$6:$A$11,1)))+(MAX(Reference!$A$6,MIN(Reference!$A$11,MIN($U181,120)))-INDEX(Reference!$A$6:$A$11,MIN(5,MATCH(MAX(Reference!$A$6,MIN(Reference!$A$11,MIN($U181,120))),Reference!$A$6:$A$11,1))))*(INDEX(Reference!$B$6:$B$11,MIN(5,MATCH(MAX(Reference!$A$6,MIN(Reference!$A$11,MIN($U181,120))),Reference!$A$6:$A$11,1))+1)-INDEX(Reference!$B$6:$B$11,MIN(5,MATCH(MAX(Reference!$A$6,MIN(Reference!$A$11,MIN($U181,120))),Reference!$A$6:$A$11,1))))/(INDEX(Reference!$A$6:$A$11,MIN(5,MATCH(MAX(Reference!$A$6,MIN(Reference!$A$11,MIN($U181,120))),Reference!$A$6:$A$11,1))+1)-INDEX(Reference!$A$6:$A$11,MIN(5,MATCH(MAX(Reference!$A$6,MIN(Reference!$A$11,MIN($U181,120))),Reference!$A$6:$A$11,1))))),0)+IF(3&lt;=$AL181,($AL181-3+3)*(INDEX(Reference!$B$6:$B$11,MIN(5,MATCH(MAX(Reference!$A$6,MIN(Reference!$A$11,MIN($U181,150))),Reference!$A$6:$A$11,1)))+(MAX(Reference!$A$6,MIN(Reference!$A$11,MIN($U181,150)))-INDEX(Reference!$A$6:$A$11,MIN(5,MATCH(MAX(Reference!$A$6,MIN(Reference!$A$11,MIN($U181,150))),Reference!$A$6:$A$11,1))))*(INDEX(Reference!$B$6:$B$11,MIN(5,MATCH(MAX(Reference!$A$6,MIN(Reference!$A$11,MIN($U181,150))),Reference!$A$6:$A$11,1))+1)-INDEX(Reference!$B$6:$B$11,MIN(5,MATCH(MAX(Reference!$A$6,MIN(Reference!$A$11,MIN($U181,150))),Reference!$A$6:$A$11,1))))/(INDEX(Reference!$A$6:$A$11,MIN(5,MATCH(MAX(Reference!$A$6,MIN(Reference!$A$11,MIN($U181,150))),Reference!$A$6:$A$11,1))+1)-INDEX(Reference!$A$6:$A$11,MIN(5,MATCH(MAX(Reference!$A$6,MIN(Reference!$A$11,MIN($U181,150))),Reference!$A$6:$A$11,1))))),0)+IF(4&lt;=$AL181,($AL181-4+3)*(INDEX(Reference!$B$6:$B$11,MIN(5,MATCH(MAX(Reference!$A$6,MIN(Reference!$A$11,MIN($U181,180))),Reference!$A$6:$A$11,1)))+(MAX(Reference!$A$6,MIN(Reference!$A$11,MIN($U181,180)))-INDEX(Reference!$A$6:$A$11,MIN(5,MATCH(MAX(Reference!$A$6,MIN(Reference!$A$11,MIN($U181,180))),Reference!$A$6:$A$11,1))))*(INDEX(Reference!$B$6:$B$11,MIN(5,MATCH(MAX(Reference!$A$6,MIN(Reference!$A$11,MIN($U181,180))),Reference!$A$6:$A$11,1))+1)-INDEX(Reference!$B$6:$B$11,MIN(5,MATCH(MAX(Reference!$A$6,MIN(Reference!$A$11,MIN($U181,180))),Reference!$A$6:$A$11,1))))/(INDEX(Reference!$A$6:$A$11,MIN(5,MATCH(MAX(Reference!$A$6,MIN(Reference!$A$11,MIN($U181,180))),Reference!$A$6:$A$11,1))+1)-INDEX(Reference!$A$6:$A$11,MIN(5,MATCH(MAX(Reference!$A$6,MIN(Reference!$A$11,MIN($U181,180))),Reference!$A$6:$A$11,1))))),0)+IF(5&lt;=$AL181,($AL181-5+3)*(INDEX(Reference!$B$6:$B$11,MIN(5,MATCH(MAX(Reference!$A$6,MIN(Reference!$A$11,MIN($U181,210))),Reference!$A$6:$A$11,1)))+(MAX(Reference!$A$6,MIN(Reference!$A$11,MIN($U181,210)))-INDEX(Reference!$A$6:$A$11,MIN(5,MATCH(MAX(Reference!$A$6,MIN(Reference!$A$11,MIN($U181,210))),Reference!$A$6:$A$11,1))))*(INDEX(Reference!$B$6:$B$11,MIN(5,MATCH(MAX(Reference!$A$6,MIN(Reference!$A$11,MIN($U181,210))),Reference!$A$6:$A$11,1))+1)-INDEX(Reference!$B$6:$B$11,MIN(5,MATCH(MAX(Reference!$A$6,MIN(Reference!$A$11,MIN($U181,210))),Reference!$A$6:$A$11,1))))/(INDEX(Reference!$A$6:$A$11,MIN(5,MATCH(MAX(Reference!$A$6,MIN(Reference!$A$11,MIN($U181,210))),Reference!$A$6:$A$11,1))+1)-INDEX(Reference!$A$6:$A$11,MIN(5,MATCH(MAX(Reference!$A$6,MIN(Reference!$A$11,MIN($U181,210))),Reference!$A$6:$A$11,1))))),0)+IF(6&lt;=$AL181,($AL181-6+3)*(INDEX(Reference!$B$6:$B$11,MIN(5,MATCH(MAX(Reference!$A$6,MIN(Reference!$A$11,MIN($U181,240))),Reference!$A$6:$A$11,1)))+(MAX(Reference!$A$6,MIN(Reference!$A$11,MIN($U181,240)))-INDEX(Reference!$A$6:$A$11,MIN(5,MATCH(MAX(Reference!$A$6,MIN(Reference!$A$11,MIN($U181,240))),Reference!$A$6:$A$11,1))))*(INDEX(Reference!$B$6:$B$11,MIN(5,MATCH(MAX(Reference!$A$6,MIN(Reference!$A$11,MIN($U181,240))),Reference!$A$6:$A$11,1))+1)-INDEX(Reference!$B$6:$B$11,MIN(5,MATCH(MAX(Reference!$A$6,MIN(Reference!$A$11,MIN($U181,240))),Reference!$A$6:$A$11,1))))/(INDEX(Reference!$A$6:$A$11,MIN(5,MATCH(MAX(Reference!$A$6,MIN(Reference!$A$11,MIN($U181,240))),Reference!$A$6:$A$11,1))+1)-INDEX(Reference!$A$6:$A$11,MIN(5,MATCH(MAX(Reference!$A$6,MIN(Reference!$A$11,MIN($U181,240))),Reference!$A$6:$A$11,1))))),0)+IF(7&lt;=$AL181,($AL181-7+3)*(INDEX(Reference!$B$6:$B$11,MIN(5,MATCH(MAX(Reference!$A$6,MIN(Reference!$A$11,MIN($U181,270))),Reference!$A$6:$A$11,1)))+(MAX(Reference!$A$6,MIN(Reference!$A$11,MIN($U181,270)))-INDEX(Reference!$A$6:$A$11,MIN(5,MATCH(MAX(Reference!$A$6,MIN(Reference!$A$11,MIN($U181,270))),Reference!$A$6:$A$11,1))))*(INDEX(Reference!$B$6:$B$11,MIN(5,MATCH(MAX(Reference!$A$6,MIN(Reference!$A$11,MIN($U181,270))),Reference!$A$6:$A$11,1))+1)-INDEX(Reference!$B$6:$B$11,MIN(5,MATCH(MAX(Reference!$A$6,MIN(Reference!$A$11,MIN($U181,270))),Reference!$A$6:$A$11,1))))/(INDEX(Reference!$A$6:$A$11,MIN(5,MATCH(MAX(Reference!$A$6,MIN(Reference!$A$11,MIN($U181,270))),Reference!$A$6:$A$11,1))+1)-INDEX(Reference!$A$6:$A$11,MIN(5,MATCH(MAX(Reference!$A$6,MIN(Reference!$A$11,MIN($U181,270))),Reference!$A$6:$A$11,1))))),0)+IF(8&lt;=$AL181,($AL181-8+3)*(INDEX(Reference!$B$6:$B$11,MIN(5,MATCH(MAX(Reference!$A$6,MIN(Reference!$A$11,MIN($U181,300))),Reference!$A$6:$A$11,1)))+(MAX(Reference!$A$6,MIN(Reference!$A$11,MIN($U181,300)))-INDEX(Reference!$A$6:$A$11,MIN(5,MATCH(MAX(Reference!$A$6,MIN(Reference!$A$11,MIN($U181,300))),Reference!$A$6:$A$11,1))))*(INDEX(Reference!$B$6:$B$11,MIN(5,MATCH(MAX(Reference!$A$6,MIN(Reference!$A$11,MIN($U181,300))),Reference!$A$6:$A$11,1))+1)-INDEX(Reference!$B$6:$B$11,MIN(5,MATCH(MAX(Reference!$A$6,MIN(Reference!$A$11,MIN($U181,300))),Reference!$A$6:$A$11,1))))/(INDEX(Reference!$A$6:$A$11,MIN(5,MATCH(MAX(Reference!$A$6,MIN(Reference!$A$11,MIN($U181,300))),Reference!$A$6:$A$11,1))+1)-INDEX(Reference!$A$6:$A$11,MIN(5,MATCH(MAX(Reference!$A$6,MIN(Reference!$A$11,MIN($U181,300))),Reference!$A$6:$A$11,1))))),0))/($AL181*($AL181+5)/2)),$AN181))</f>
        <v>0</v>
      </c>
      <c r="AN181" s="32">
        <f>IF($U181="",0,(INDEX(Reference!$B$6:$B$11,MIN(5,MATCH(MAX(Reference!$A$6,MIN(Reference!$A$11,$U181)),Reference!$A$6:$A$11,1)))+(MAX(Reference!$A$6,MIN(Reference!$A$11,$U181))-INDEX(Reference!$A$6:$A$11,MIN(5,MATCH(MAX(Reference!$A$6,MIN(Reference!$A$11,$U181)),Reference!$A$6:$A$11,1))))*(INDEX(Reference!$B$6:$B$11,MIN(5,MATCH(MAX(Reference!$A$6,MIN(Reference!$A$11,$U181)),Reference!$A$6:$A$11,1))+1)-INDEX(Reference!$B$6:$B$11,MIN(5,MATCH(MAX(Reference!$A$6,MIN(Reference!$A$11,$U181)),Reference!$A$6:$A$11,1))))/(INDEX(Reference!$A$6:$A$11,MIN(5,MATCH(MAX(Reference!$A$6,MIN(Reference!$A$11,$U181)),Reference!$A$6:$A$11,1))+1)-INDEX(Reference!$A$6:$A$11,MIN(5,MATCH(MAX(Reference!$A$6,MIN(Reference!$A$11,$U181)),Reference!$A$6:$A$11,1))))))</f>
        <v>0</v>
      </c>
      <c r="AO181" s="37"/>
      <c r="AP181" s="37"/>
      <c r="AQ181" s="37"/>
    </row>
    <row r="182" spans="1:43" x14ac:dyDescent="0.3">
      <c r="A182" s="48" t="str">
        <f t="shared" si="105"/>
        <v/>
      </c>
      <c r="B182" s="32" t="str">
        <f t="shared" si="106"/>
        <v/>
      </c>
      <c r="C182" s="32" t="str">
        <f t="shared" si="107"/>
        <v/>
      </c>
      <c r="D182" s="32" t="str">
        <f t="shared" si="108"/>
        <v/>
      </c>
      <c r="E182" s="32" t="str">
        <f t="shared" si="109"/>
        <v/>
      </c>
      <c r="F182" s="32" t="str">
        <f t="shared" si="110"/>
        <v/>
      </c>
      <c r="G182" s="47" t="str">
        <f t="shared" si="111"/>
        <v/>
      </c>
      <c r="H182" s="30" t="str">
        <f t="shared" si="112"/>
        <v/>
      </c>
      <c r="I182" s="46" t="str">
        <f>IF($A182="","",IF(AND($L182&lt;27,$K$12=0),"Building",IFERROR(((SUM($H$176:$H182)+$K$12*IF($L182&lt;6,SUMIFS('Throw Log'!$Q$5:$Q$300,'Throw Log'!$B$5:$B$300,$D$4,'Throw Log'!$A$5:$A$300,"&gt;="&amp;($D$6+$L182-6),'Throw Log'!$A$5:$A$300,"&lt;="&amp;($D$6-1)),0))/7)/((SUM($H$155:$H182)+$K$12*IF($L182&lt;27,SUMIFS('Throw Log'!$Q$5:$Q$300,'Throw Log'!$B$5:$B$300,$D$4,'Throw Log'!$A$5:$A$300,"&gt;="&amp;($D$6+$L182-27),'Throw Log'!$A$5:$A$300,"&lt;="&amp;($D$6-1)),0))/28),"")))</f>
        <v/>
      </c>
      <c r="J182" s="37"/>
      <c r="K182" s="37"/>
      <c r="L182" s="32">
        <v>139</v>
      </c>
      <c r="M182" s="32">
        <f t="shared" si="113"/>
        <v>20</v>
      </c>
      <c r="N182" s="32">
        <f t="shared" si="114"/>
        <v>6</v>
      </c>
      <c r="O182" s="32">
        <f t="shared" si="115"/>
        <v>1</v>
      </c>
      <c r="P182" s="32" t="str">
        <f>IF(OR($A182="",N($C182)&lt;=7),"",$G$6*$G$9^($M182-1)*IF(AND(MOD($M182,Reference!$B$99)=0,$M182&lt;=$G$5-2),Reference!$B$100,1))</f>
        <v/>
      </c>
      <c r="Q182" s="32" t="str">
        <f>IF($P182="","",IF(SUM($AK$176:$AK$182)=0,0,$P182*INDEX(Reference!$B$108:$B$114,$N182+1)/SUM($AK$176:$AK$182)))</f>
        <v/>
      </c>
      <c r="R182" s="32">
        <f t="shared" si="116"/>
        <v>120</v>
      </c>
      <c r="S182" s="32">
        <f t="shared" si="117"/>
        <v>105</v>
      </c>
      <c r="T182" s="32" t="str">
        <f>IF($A182="","",IF($C182=0,"Bullpen",IF(OR($C182=7,$C182=1,$C182=5),"Recovery/Easy Catch",IF($C182=6,"Compression/Pulldowns",IF(OR($C182=4,$C182=2),"Long Toss",IF($C182=3,"No Throw",IF($N182=2,"No Throw",IF($N182=6,IF($O182&lt;Reference!$B$104,"No Throw","Recovery/Easy Catch"),IF(OR($N182=0,$N182=4),"Recovery/Easy Catch",IF($N182=1,IF($R182&gt;75,"Long Toss","Recovery/Easy Catch"),IF($N182=3,IF($O182&lt;0.5,IF($S182&gt;75,"Long Toss","Recovery/Easy Catch"),"Compression/Pulldowns"),IF($S182&gt;75,"Long Toss","Recovery/Easy Catch"))))))))))))</f>
        <v/>
      </c>
      <c r="U182" s="32" t="str">
        <f t="shared" si="118"/>
        <v/>
      </c>
      <c r="V182" s="32" t="str">
        <f t="shared" si="119"/>
        <v/>
      </c>
      <c r="W182" s="32" t="str">
        <f t="shared" si="120"/>
        <v/>
      </c>
      <c r="X182" s="32">
        <f t="shared" si="121"/>
        <v>0</v>
      </c>
      <c r="Y182" s="32" t="str">
        <f t="shared" si="122"/>
        <v/>
      </c>
      <c r="Z182" s="32" t="str">
        <f t="shared" si="123"/>
        <v/>
      </c>
      <c r="AA182" s="32" t="str">
        <f t="shared" si="124"/>
        <v/>
      </c>
      <c r="AB182" s="32" t="str">
        <f>IF($A182="","",IF($T182="No Throw",0,IF($K182&lt;&gt;"",$K182,IF($AA182&lt;&gt;"",ROUND($AA182*$D$12*IF($C182=0,1,$G$10),0),MIN(IF($T182="Recovery/Easy Catch",Reference!$B$103,IF($T182="Long Toss",Reference!$B$106,Reference!$B$102)),MAX(Reference!$B$101,ROUND(MAX(0,$Q182-$AE182)/$AF182,0)))))))</f>
        <v/>
      </c>
      <c r="AC182" s="32">
        <f t="shared" si="125"/>
        <v>0</v>
      </c>
      <c r="AD182" s="32" t="b">
        <f t="shared" si="126"/>
        <v>1</v>
      </c>
      <c r="AE182" s="32">
        <f>IF($X182=0,0,$X182*(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182+$Z182)/2,0),Reference!$A$17:$B$20,2,TRUE()))</f>
        <v>0</v>
      </c>
      <c r="AF182" s="32">
        <f>IF(OR($A182="",$U182="",$T182="No Throw"),0,$AM182*VLOOKUP(MAX(($V182+$W182)/2,0),Reference!$A$17:$B$20,2,TRUE()))</f>
        <v>0</v>
      </c>
      <c r="AG182" s="32">
        <f>IF($AC182=0,0,$AC182*INDEX(Reference!$B$61:$B$62,MATCH("Bullpen",Reference!$A$61:$A$62,0))*VLOOKUP(MAX($D$5-($D$9+$E$9)/2,0),Reference!$A$17:$B$20,2,TRUE()))</f>
        <v>0</v>
      </c>
      <c r="AH182" s="32" t="e">
        <f t="shared" si="127"/>
        <v>#N/A</v>
      </c>
      <c r="AI182" s="32" t="e">
        <f>IF($A182="",NA(),Reference!$A$25)</f>
        <v>#N/A</v>
      </c>
      <c r="AJ182" s="32" t="e">
        <f t="shared" si="128"/>
        <v>#N/A</v>
      </c>
      <c r="AK182" s="32">
        <f>IF(OR($A182="",N($C182)&lt;=7,$T182="No Throw",$J182="x"),0,INDEX(Reference!$B$108:$B$114,$N182+1))</f>
        <v>0</v>
      </c>
      <c r="AL182" s="32">
        <f t="shared" si="129"/>
        <v>1</v>
      </c>
      <c r="AM182" s="32">
        <f>IF($U182="",0,IF($AL182&gt;1,((IF(1&lt;=$AL182,($AL182-1+3)*(INDEX(Reference!$B$6:$B$11,MIN(5,MATCH(MAX(Reference!$A$6,MIN(Reference!$A$11,MIN($U182,90))),Reference!$A$6:$A$11,1)))+(MAX(Reference!$A$6,MIN(Reference!$A$11,MIN($U182,90)))-INDEX(Reference!$A$6:$A$11,MIN(5,MATCH(MAX(Reference!$A$6,MIN(Reference!$A$11,MIN($U182,90))),Reference!$A$6:$A$11,1))))*(INDEX(Reference!$B$6:$B$11,MIN(5,MATCH(MAX(Reference!$A$6,MIN(Reference!$A$11,MIN($U182,90))),Reference!$A$6:$A$11,1))+1)-INDEX(Reference!$B$6:$B$11,MIN(5,MATCH(MAX(Reference!$A$6,MIN(Reference!$A$11,MIN($U182,90))),Reference!$A$6:$A$11,1))))/(INDEX(Reference!$A$6:$A$11,MIN(5,MATCH(MAX(Reference!$A$6,MIN(Reference!$A$11,MIN($U182,90))),Reference!$A$6:$A$11,1))+1)-INDEX(Reference!$A$6:$A$11,MIN(5,MATCH(MAX(Reference!$A$6,MIN(Reference!$A$11,MIN($U182,90))),Reference!$A$6:$A$11,1))))),0)+IF(2&lt;=$AL182,($AL182-2+3)*(INDEX(Reference!$B$6:$B$11,MIN(5,MATCH(MAX(Reference!$A$6,MIN(Reference!$A$11,MIN($U182,120))),Reference!$A$6:$A$11,1)))+(MAX(Reference!$A$6,MIN(Reference!$A$11,MIN($U182,120)))-INDEX(Reference!$A$6:$A$11,MIN(5,MATCH(MAX(Reference!$A$6,MIN(Reference!$A$11,MIN($U182,120))),Reference!$A$6:$A$11,1))))*(INDEX(Reference!$B$6:$B$11,MIN(5,MATCH(MAX(Reference!$A$6,MIN(Reference!$A$11,MIN($U182,120))),Reference!$A$6:$A$11,1))+1)-INDEX(Reference!$B$6:$B$11,MIN(5,MATCH(MAX(Reference!$A$6,MIN(Reference!$A$11,MIN($U182,120))),Reference!$A$6:$A$11,1))))/(INDEX(Reference!$A$6:$A$11,MIN(5,MATCH(MAX(Reference!$A$6,MIN(Reference!$A$11,MIN($U182,120))),Reference!$A$6:$A$11,1))+1)-INDEX(Reference!$A$6:$A$11,MIN(5,MATCH(MAX(Reference!$A$6,MIN(Reference!$A$11,MIN($U182,120))),Reference!$A$6:$A$11,1))))),0)+IF(3&lt;=$AL182,($AL182-3+3)*(INDEX(Reference!$B$6:$B$11,MIN(5,MATCH(MAX(Reference!$A$6,MIN(Reference!$A$11,MIN($U182,150))),Reference!$A$6:$A$11,1)))+(MAX(Reference!$A$6,MIN(Reference!$A$11,MIN($U182,150)))-INDEX(Reference!$A$6:$A$11,MIN(5,MATCH(MAX(Reference!$A$6,MIN(Reference!$A$11,MIN($U182,150))),Reference!$A$6:$A$11,1))))*(INDEX(Reference!$B$6:$B$11,MIN(5,MATCH(MAX(Reference!$A$6,MIN(Reference!$A$11,MIN($U182,150))),Reference!$A$6:$A$11,1))+1)-INDEX(Reference!$B$6:$B$11,MIN(5,MATCH(MAX(Reference!$A$6,MIN(Reference!$A$11,MIN($U182,150))),Reference!$A$6:$A$11,1))))/(INDEX(Reference!$A$6:$A$11,MIN(5,MATCH(MAX(Reference!$A$6,MIN(Reference!$A$11,MIN($U182,150))),Reference!$A$6:$A$11,1))+1)-INDEX(Reference!$A$6:$A$11,MIN(5,MATCH(MAX(Reference!$A$6,MIN(Reference!$A$11,MIN($U182,150))),Reference!$A$6:$A$11,1))))),0)+IF(4&lt;=$AL182,($AL182-4+3)*(INDEX(Reference!$B$6:$B$11,MIN(5,MATCH(MAX(Reference!$A$6,MIN(Reference!$A$11,MIN($U182,180))),Reference!$A$6:$A$11,1)))+(MAX(Reference!$A$6,MIN(Reference!$A$11,MIN($U182,180)))-INDEX(Reference!$A$6:$A$11,MIN(5,MATCH(MAX(Reference!$A$6,MIN(Reference!$A$11,MIN($U182,180))),Reference!$A$6:$A$11,1))))*(INDEX(Reference!$B$6:$B$11,MIN(5,MATCH(MAX(Reference!$A$6,MIN(Reference!$A$11,MIN($U182,180))),Reference!$A$6:$A$11,1))+1)-INDEX(Reference!$B$6:$B$11,MIN(5,MATCH(MAX(Reference!$A$6,MIN(Reference!$A$11,MIN($U182,180))),Reference!$A$6:$A$11,1))))/(INDEX(Reference!$A$6:$A$11,MIN(5,MATCH(MAX(Reference!$A$6,MIN(Reference!$A$11,MIN($U182,180))),Reference!$A$6:$A$11,1))+1)-INDEX(Reference!$A$6:$A$11,MIN(5,MATCH(MAX(Reference!$A$6,MIN(Reference!$A$11,MIN($U182,180))),Reference!$A$6:$A$11,1))))),0)+IF(5&lt;=$AL182,($AL182-5+3)*(INDEX(Reference!$B$6:$B$11,MIN(5,MATCH(MAX(Reference!$A$6,MIN(Reference!$A$11,MIN($U182,210))),Reference!$A$6:$A$11,1)))+(MAX(Reference!$A$6,MIN(Reference!$A$11,MIN($U182,210)))-INDEX(Reference!$A$6:$A$11,MIN(5,MATCH(MAX(Reference!$A$6,MIN(Reference!$A$11,MIN($U182,210))),Reference!$A$6:$A$11,1))))*(INDEX(Reference!$B$6:$B$11,MIN(5,MATCH(MAX(Reference!$A$6,MIN(Reference!$A$11,MIN($U182,210))),Reference!$A$6:$A$11,1))+1)-INDEX(Reference!$B$6:$B$11,MIN(5,MATCH(MAX(Reference!$A$6,MIN(Reference!$A$11,MIN($U182,210))),Reference!$A$6:$A$11,1))))/(INDEX(Reference!$A$6:$A$11,MIN(5,MATCH(MAX(Reference!$A$6,MIN(Reference!$A$11,MIN($U182,210))),Reference!$A$6:$A$11,1))+1)-INDEX(Reference!$A$6:$A$11,MIN(5,MATCH(MAX(Reference!$A$6,MIN(Reference!$A$11,MIN($U182,210))),Reference!$A$6:$A$11,1))))),0)+IF(6&lt;=$AL182,($AL182-6+3)*(INDEX(Reference!$B$6:$B$11,MIN(5,MATCH(MAX(Reference!$A$6,MIN(Reference!$A$11,MIN($U182,240))),Reference!$A$6:$A$11,1)))+(MAX(Reference!$A$6,MIN(Reference!$A$11,MIN($U182,240)))-INDEX(Reference!$A$6:$A$11,MIN(5,MATCH(MAX(Reference!$A$6,MIN(Reference!$A$11,MIN($U182,240))),Reference!$A$6:$A$11,1))))*(INDEX(Reference!$B$6:$B$11,MIN(5,MATCH(MAX(Reference!$A$6,MIN(Reference!$A$11,MIN($U182,240))),Reference!$A$6:$A$11,1))+1)-INDEX(Reference!$B$6:$B$11,MIN(5,MATCH(MAX(Reference!$A$6,MIN(Reference!$A$11,MIN($U182,240))),Reference!$A$6:$A$11,1))))/(INDEX(Reference!$A$6:$A$11,MIN(5,MATCH(MAX(Reference!$A$6,MIN(Reference!$A$11,MIN($U182,240))),Reference!$A$6:$A$11,1))+1)-INDEX(Reference!$A$6:$A$11,MIN(5,MATCH(MAX(Reference!$A$6,MIN(Reference!$A$11,MIN($U182,240))),Reference!$A$6:$A$11,1))))),0)+IF(7&lt;=$AL182,($AL182-7+3)*(INDEX(Reference!$B$6:$B$11,MIN(5,MATCH(MAX(Reference!$A$6,MIN(Reference!$A$11,MIN($U182,270))),Reference!$A$6:$A$11,1)))+(MAX(Reference!$A$6,MIN(Reference!$A$11,MIN($U182,270)))-INDEX(Reference!$A$6:$A$11,MIN(5,MATCH(MAX(Reference!$A$6,MIN(Reference!$A$11,MIN($U182,270))),Reference!$A$6:$A$11,1))))*(INDEX(Reference!$B$6:$B$11,MIN(5,MATCH(MAX(Reference!$A$6,MIN(Reference!$A$11,MIN($U182,270))),Reference!$A$6:$A$11,1))+1)-INDEX(Reference!$B$6:$B$11,MIN(5,MATCH(MAX(Reference!$A$6,MIN(Reference!$A$11,MIN($U182,270))),Reference!$A$6:$A$11,1))))/(INDEX(Reference!$A$6:$A$11,MIN(5,MATCH(MAX(Reference!$A$6,MIN(Reference!$A$11,MIN($U182,270))),Reference!$A$6:$A$11,1))+1)-INDEX(Reference!$A$6:$A$11,MIN(5,MATCH(MAX(Reference!$A$6,MIN(Reference!$A$11,MIN($U182,270))),Reference!$A$6:$A$11,1))))),0)+IF(8&lt;=$AL182,($AL182-8+3)*(INDEX(Reference!$B$6:$B$11,MIN(5,MATCH(MAX(Reference!$A$6,MIN(Reference!$A$11,MIN($U182,300))),Reference!$A$6:$A$11,1)))+(MAX(Reference!$A$6,MIN(Reference!$A$11,MIN($U182,300)))-INDEX(Reference!$A$6:$A$11,MIN(5,MATCH(MAX(Reference!$A$6,MIN(Reference!$A$11,MIN($U182,300))),Reference!$A$6:$A$11,1))))*(INDEX(Reference!$B$6:$B$11,MIN(5,MATCH(MAX(Reference!$A$6,MIN(Reference!$A$11,MIN($U182,300))),Reference!$A$6:$A$11,1))+1)-INDEX(Reference!$B$6:$B$11,MIN(5,MATCH(MAX(Reference!$A$6,MIN(Reference!$A$11,MIN($U182,300))),Reference!$A$6:$A$11,1))))/(INDEX(Reference!$A$6:$A$11,MIN(5,MATCH(MAX(Reference!$A$6,MIN(Reference!$A$11,MIN($U182,300))),Reference!$A$6:$A$11,1))+1)-INDEX(Reference!$A$6:$A$11,MIN(5,MATCH(MAX(Reference!$A$6,MIN(Reference!$A$11,MIN($U182,300))),Reference!$A$6:$A$11,1))))),0))/($AL182*($AL182+5)/2)),$AN182))</f>
        <v>0</v>
      </c>
      <c r="AN182" s="32">
        <f>IF($U182="",0,(INDEX(Reference!$B$6:$B$11,MIN(5,MATCH(MAX(Reference!$A$6,MIN(Reference!$A$11,$U182)),Reference!$A$6:$A$11,1)))+(MAX(Reference!$A$6,MIN(Reference!$A$11,$U182))-INDEX(Reference!$A$6:$A$11,MIN(5,MATCH(MAX(Reference!$A$6,MIN(Reference!$A$11,$U182)),Reference!$A$6:$A$11,1))))*(INDEX(Reference!$B$6:$B$11,MIN(5,MATCH(MAX(Reference!$A$6,MIN(Reference!$A$11,$U182)),Reference!$A$6:$A$11,1))+1)-INDEX(Reference!$B$6:$B$11,MIN(5,MATCH(MAX(Reference!$A$6,MIN(Reference!$A$11,$U182)),Reference!$A$6:$A$11,1))))/(INDEX(Reference!$A$6:$A$11,MIN(5,MATCH(MAX(Reference!$A$6,MIN(Reference!$A$11,$U182)),Reference!$A$6:$A$11,1))+1)-INDEX(Reference!$A$6:$A$11,MIN(5,MATCH(MAX(Reference!$A$6,MIN(Reference!$A$11,$U182)),Reference!$A$6:$A$11,1))))))</f>
        <v>0</v>
      </c>
      <c r="AO182" s="37"/>
      <c r="AP182" s="37"/>
      <c r="AQ182" s="37"/>
    </row>
    <row r="183" spans="1:43" x14ac:dyDescent="0.3">
      <c r="A183" s="48" t="str">
        <f t="shared" si="105"/>
        <v/>
      </c>
      <c r="B183" s="32" t="str">
        <f t="shared" si="106"/>
        <v/>
      </c>
      <c r="C183" s="32" t="str">
        <f t="shared" si="107"/>
        <v/>
      </c>
      <c r="D183" s="32" t="str">
        <f t="shared" si="108"/>
        <v/>
      </c>
      <c r="E183" s="32" t="str">
        <f t="shared" si="109"/>
        <v/>
      </c>
      <c r="F183" s="32" t="str">
        <f t="shared" si="110"/>
        <v/>
      </c>
      <c r="G183" s="47" t="str">
        <f t="shared" si="111"/>
        <v/>
      </c>
      <c r="H183" s="30" t="str">
        <f t="shared" si="112"/>
        <v/>
      </c>
      <c r="I183" s="46" t="str">
        <f>IF($A183="","",IF(AND($L183&lt;27,$K$12=0),"Building",IFERROR(((SUM($H$177:$H183)+$K$12*IF($L183&lt;6,SUMIFS('Throw Log'!$Q$5:$Q$300,'Throw Log'!$B$5:$B$300,$D$4,'Throw Log'!$A$5:$A$300,"&gt;="&amp;($D$6+$L183-6),'Throw Log'!$A$5:$A$300,"&lt;="&amp;($D$6-1)),0))/7)/((SUM($H$156:$H183)+$K$12*IF($L183&lt;27,SUMIFS('Throw Log'!$Q$5:$Q$300,'Throw Log'!$B$5:$B$300,$D$4,'Throw Log'!$A$5:$A$300,"&gt;="&amp;($D$6+$L183-27),'Throw Log'!$A$5:$A$300,"&lt;="&amp;($D$6-1)),0))/28),"")))</f>
        <v/>
      </c>
      <c r="J183" s="37"/>
      <c r="K183" s="37"/>
      <c r="L183" s="32">
        <v>140</v>
      </c>
      <c r="M183" s="32">
        <f t="shared" si="113"/>
        <v>21</v>
      </c>
      <c r="N183" s="32">
        <f t="shared" si="114"/>
        <v>0</v>
      </c>
      <c r="O183" s="32">
        <f t="shared" si="115"/>
        <v>1</v>
      </c>
      <c r="P183" s="32" t="str">
        <f>IF(OR($A183="",N($C183)&lt;=7),"",$G$6*$G$9^($M183-1)*IF(AND(MOD($M183,Reference!$B$99)=0,$M183&lt;=$G$5-2),Reference!$B$100,1))</f>
        <v/>
      </c>
      <c r="Q183" s="32" t="str">
        <f>IF($P183="","",IF(SUM($AK$183:$AK$189)=0,0,$P183*INDEX(Reference!$B$108:$B$114,$N183+1)/SUM($AK$183:$AK$189)))</f>
        <v/>
      </c>
      <c r="R183" s="32">
        <f t="shared" si="116"/>
        <v>120</v>
      </c>
      <c r="S183" s="32">
        <f t="shared" si="117"/>
        <v>105</v>
      </c>
      <c r="T183" s="32" t="str">
        <f>IF($A183="","",IF($C183=0,"Bullpen",IF(OR($C183=7,$C183=1,$C183=5),"Recovery/Easy Catch",IF($C183=6,"Compression/Pulldowns",IF(OR($C183=4,$C183=2),"Long Toss",IF($C183=3,"No Throw",IF($N183=2,"No Throw",IF($N183=6,IF($O183&lt;Reference!$B$104,"No Throw","Recovery/Easy Catch"),IF(OR($N183=0,$N183=4),"Recovery/Easy Catch",IF($N183=1,IF($R183&gt;75,"Long Toss","Recovery/Easy Catch"),IF($N183=3,IF($O183&lt;0.5,IF($S183&gt;75,"Long Toss","Recovery/Easy Catch"),"Compression/Pulldowns"),IF($S183&gt;75,"Long Toss","Recovery/Easy Catch"))))))))))))</f>
        <v/>
      </c>
      <c r="U183" s="32" t="str">
        <f t="shared" si="118"/>
        <v/>
      </c>
      <c r="V183" s="32" t="str">
        <f t="shared" si="119"/>
        <v/>
      </c>
      <c r="W183" s="32" t="str">
        <f t="shared" si="120"/>
        <v/>
      </c>
      <c r="X183" s="32">
        <f t="shared" si="121"/>
        <v>0</v>
      </c>
      <c r="Y183" s="32" t="str">
        <f t="shared" si="122"/>
        <v/>
      </c>
      <c r="Z183" s="32" t="str">
        <f t="shared" si="123"/>
        <v/>
      </c>
      <c r="AA183" s="32" t="str">
        <f t="shared" si="124"/>
        <v/>
      </c>
      <c r="AB183" s="32" t="str">
        <f>IF($A183="","",IF($T183="No Throw",0,IF($K183&lt;&gt;"",$K183,IF($AA183&lt;&gt;"",ROUND($AA183*$D$12*IF($C183=0,1,$G$10),0),MIN(IF($T183="Recovery/Easy Catch",Reference!$B$103,IF($T183="Long Toss",Reference!$B$106,Reference!$B$102)),MAX(Reference!$B$101,ROUND(MAX(0,$Q183-$AE183)/$AF183,0)))))))</f>
        <v/>
      </c>
      <c r="AC183" s="32">
        <f t="shared" si="125"/>
        <v>0</v>
      </c>
      <c r="AD183" s="32" t="b">
        <f t="shared" si="126"/>
        <v>1</v>
      </c>
      <c r="AE183" s="32">
        <f>IF($X183=0,0,$X183*(INDEX(Reference!$B$6:$B$11,MIN(5,MATCH(MAX(Reference!$A$6,MIN(Reference!$A$11,60)),Reference!$A$6:$A$11,1)))+(MAX(Reference!$A$6,MIN(Reference!$A$11,60))-INDEX(Reference!$A$6:$A$11,MIN(5,MATCH(MAX(Reference!$A$6,MIN(Reference!$A$11,60)),Reference!$A$6:$A$11,1))))*(INDEX(Reference!$B$6:$B$11,MIN(5,MATCH(MAX(Reference!$A$6,MIN(Reference!$A$11,60)),Reference!$A$6:$A$11,1))+1)-INDEX(Reference!$B$6:$B$11,MIN(5,MATCH(MAX(Reference!$A$6,MIN(Reference!$A$11,60)),Reference!$A$6:$A$11,1))))/(INDEX(Reference!$A$6:$A$11,MIN(5,MATCH(MAX(Reference!$A$6,MIN(Reference!$A$11,60)),Reference!$A$6:$A$11,1))+1)-INDEX(Reference!$A$6:$A$11,MIN(5,MATCH(MAX(Reference!$A$6,MIN(Reference!$A$11,60)),Reference!$A$6:$A$11,1)))))*VLOOKUP(MAX(($Y183+$Z183)/2,0),Reference!$A$17:$B$20,2,TRUE()))</f>
        <v>0</v>
      </c>
      <c r="AF183" s="32">
        <f>IF(OR($A183="",$U183="",$T183="No Throw"),0,$AM183*VLOOKUP(MAX(($V183+$W183)/2,0),Reference!$A$17:$B$20,2,TRUE()))</f>
        <v>0</v>
      </c>
      <c r="AG183" s="32">
        <f>IF($AC183=0,0,$AC183*INDEX(Reference!$B$61:$B$62,MATCH("Bullpen",Reference!$A$61:$A$62,0))*VLOOKUP(MAX($D$5-($D$9+$E$9)/2,0),Reference!$A$17:$B$20,2,TRUE()))</f>
        <v>0</v>
      </c>
      <c r="AH183" s="32" t="e">
        <f t="shared" si="127"/>
        <v>#N/A</v>
      </c>
      <c r="AI183" s="32" t="e">
        <f>IF($A183="",NA(),Reference!$A$25)</f>
        <v>#N/A</v>
      </c>
      <c r="AJ183" s="32" t="e">
        <f t="shared" si="128"/>
        <v>#N/A</v>
      </c>
      <c r="AK183" s="32">
        <f>IF(OR($A183="",N($C183)&lt;=7,$T183="No Throw",$J183="x"),0,INDEX(Reference!$B$108:$B$114,$N183+1))</f>
        <v>0</v>
      </c>
      <c r="AL183" s="32">
        <f t="shared" si="129"/>
        <v>1</v>
      </c>
      <c r="AM183" s="32">
        <f>IF($U183="",0,IF($AL183&gt;1,((IF(1&lt;=$AL183,($AL183-1+3)*(INDEX(Reference!$B$6:$B$11,MIN(5,MATCH(MAX(Reference!$A$6,MIN(Reference!$A$11,MIN($U183,90))),Reference!$A$6:$A$11,1)))+(MAX(Reference!$A$6,MIN(Reference!$A$11,MIN($U183,90)))-INDEX(Reference!$A$6:$A$11,MIN(5,MATCH(MAX(Reference!$A$6,MIN(Reference!$A$11,MIN($U183,90))),Reference!$A$6:$A$11,1))))*(INDEX(Reference!$B$6:$B$11,MIN(5,MATCH(MAX(Reference!$A$6,MIN(Reference!$A$11,MIN($U183,90))),Reference!$A$6:$A$11,1))+1)-INDEX(Reference!$B$6:$B$11,MIN(5,MATCH(MAX(Reference!$A$6,MIN(Reference!$A$11,MIN($U183,90))),Reference!$A$6:$A$11,1))))/(INDEX(Reference!$A$6:$A$11,MIN(5,MATCH(MAX(Reference!$A$6,MIN(Reference!$A$11,MIN($U183,90))),Reference!$A$6:$A$11,1))+1)-INDEX(Reference!$A$6:$A$11,MIN(5,MATCH(MAX(Reference!$A$6,MIN(Reference!$A$11,MIN($U183,90))),Reference!$A$6:$A$11,1))))),0)+IF(2&lt;=$AL183,($AL183-2+3)*(INDEX(Reference!$B$6:$B$11,MIN(5,MATCH(MAX(Reference!$A$6,MIN(Reference!$A$11,MIN($U183,120))),Reference!$A$6:$A$11,1)))+(MAX(Reference!$A$6,MIN(Reference!$A$11,MIN($U183,120)))-INDEX(Reference!$A$6:$A$11,MIN(5,MATCH(MAX(Reference!$A$6,MIN(Reference!$A$11,MIN($U183,120))),Reference!$A$6:$A$11,1))))*(INDEX(Reference!$B$6:$B$11,MIN(5,MATCH(MAX(Reference!$A$6,MIN(Reference!$A$11,MIN($U183,120))),Reference!$A$6:$A$11,1))+1)-INDEX(Reference!$B$6:$B$11,MIN(5,MATCH(MAX(Reference!$A$6,MIN(Reference!$A$11,MIN($U183,120))),Reference!$A$6:$A$11,1))))/(INDEX(Reference!$A$6:$A$11,MIN(5,MATCH(MAX(Reference!$A$6,MIN(Reference!$A$11,MIN($U183,120))),Reference!$A$6:$A$11,1))+1)-INDEX(Reference!$A$6:$A$11,MIN(5,MATCH(MAX(Reference!$A$6,MIN(Reference!$A$11,MIN($U183,120))),Reference!$A$6:$A$11,1))))),0)+IF(3&lt;=$AL183,($AL183-3+3)*(INDEX(Reference!$B$6:$B$11,MIN(5,MATCH(MAX(Reference!$A$6,MIN(Reference!$A$11,MIN($U183,150))),Reference!$A$6:$A$11,1)))+(MAX(Reference!$A$6,MIN(Reference!$A$11,MIN($U183,150)))-INDEX(Reference!$A$6:$A$11,MIN(5,MATCH(MAX(Reference!$A$6,MIN(Reference!$A$11,MIN($U183,150))),Reference!$A$6:$A$11,1))))*(INDEX(Reference!$B$6:$B$11,MIN(5,MATCH(MAX(Reference!$A$6,MIN(Reference!$A$11,MIN($U183,150))),Reference!$A$6:$A$11,1))+1)-INDEX(Reference!$B$6:$B$11,MIN(5,MATCH(MAX(Reference!$A$6,MIN(Reference!$A$11,MIN($U183,150))),Reference!$A$6:$A$11,1))))/(INDEX(Reference!$A$6:$A$11,MIN(5,MATCH(MAX(Reference!$A$6,MIN(Reference!$A$11,MIN($U183,150))),Reference!$A$6:$A$11,1))+1)-INDEX(Reference!$A$6:$A$11,MIN(5,MATCH(MAX(Reference!$A$6,MIN(Reference!$A$11,MIN($U183,150))),Reference!$A$6:$A$11,1))))),0)+IF(4&lt;=$AL183,($AL183-4+3)*(INDEX(Reference!$B$6:$B$11,MIN(5,MATCH(MAX(Reference!$A$6,MIN(Reference!$A$11,MIN($U183,180))),Reference!$A$6:$A$11,1)))+(MAX(Reference!$A$6,MIN(Reference!$A$11,MIN($U183,180)))-INDEX(Reference!$A$6:$A$11,MIN(5,MATCH(MAX(Reference!$A$6,MIN(Reference!$A$11,MIN($U183,180))),Reference!$A$6:$A$11,1))))*(INDEX(Reference!$B$6:$B$11,MIN(5,MATCH(MAX(Reference!$A$6,MIN(Reference!$A$11,MIN($U183,180))),Reference!$A$6:$A$11,1))+1)-INDEX(Reference!$B$6:$B$11,MIN(5,MATCH(MAX(Reference!$A$6,MIN(Reference!$A$11,MIN($U183,180))),Reference!$A$6:$A$11,1))))/(INDEX(Reference!$A$6:$A$11,MIN(5,MATCH(MAX(Reference!$A$6,MIN(Reference!$A$11,MIN($U183,180))),Reference!$A$6:$A$11,1))+1)-INDEX(Reference!$A$6:$A$11,MIN(5,MATCH(MAX(Reference!$A$6,MIN(Reference!$A$11,MIN($U183,180))),Reference!$A$6:$A$11,1))))),0)+IF(5&lt;=$AL183,($AL183-5+3)*(INDEX(Reference!$B$6:$B$11,MIN(5,MATCH(MAX(Reference!$A$6,MIN(Reference!$A$11,MIN($U183,210))),Reference!$A$6:$A$11,1)))+(MAX(Reference!$A$6,MIN(Reference!$A$11,MIN($U183,210)))-INDEX(Reference!$A$6:$A$11,MIN(5,MATCH(MAX(Reference!$A$6,MIN(Reference!$A$11,MIN($U183,210))),Reference!$A$6:$A$11,1))))*(INDEX(Reference!$B$6:$B$11,MIN(5,MATCH(MAX(Reference!$A$6,MIN(Reference!$A$11,MIN($U183,210))),Reference!$A$6:$A$11,1))+1)-INDEX(Reference!$B$6:$B$11,MIN(5,MATCH(MAX(Reference!$A$6,MIN(Reference!$A$11,MIN($U183,210))),Reference!$A$6:$A$11,1))))/(INDEX(Reference!$A$6:$A$11,MIN(5,MATCH(MAX(Reference!$A$6,MIN(Reference!$A$11,MIN($U183,210))),Reference!$A$6:$A$11,1))+1)-INDEX(Reference!$A$6:$A$11,MIN(5,MATCH(MAX(Reference!$A$6,MIN(Reference!$A$11,MIN($U183,210))),Reference!$A$6:$A$11,1))))),0)+IF(6&lt;=$AL183,($AL183-6+3)*(INDEX(Reference!$B$6:$B$11,MIN(5,MATCH(MAX(Reference!$A$6,MIN(Reference!$A$11,MIN($U183,240))),Reference!$A$6:$A$11,1)))+(MAX(Reference!$A$6,MIN(Reference!$A$11,MIN($U183,240)))-INDEX(Reference!$A$6:$A$11,MIN(5,MATCH(MAX(Reference!$A$6,MIN(Reference!$A$11,MIN($U183,240))),Reference!$A$6:$A$11,1))))*(INDEX(Reference!$B$6:$B$11,MIN(5,MATCH(MAX(Reference!$A$6,MIN(Reference!$A$11,MIN($U183,240))),Reference!$A$6:$A$11,1))+1)-INDEX(Reference!$B$6:$B$11,MIN(5,MATCH(MAX(Reference!$A$6,MIN(Reference!$A$11,MIN($U183,240))),Reference!$A$6:$A$11,1))))/(INDEX(Reference!$A$6:$A$11,MIN(5,MATCH(MAX(Reference!$A$6,MIN(Reference!$A$11,MIN($U183,240))),Reference!$A$6:$A$11,1))+1)-INDEX(Reference!$A$6:$A$11,MIN(5,MATCH(MAX(Reference!$A$6,MIN(Reference!$A$11,MIN($U183,240))),Reference!$A$6:$A$11,1))))),0)+IF(7&lt;=$AL183,($AL183-7+3)*(INDEX(Reference!$B$6:$B$11,MIN(5,MATCH(MAX(Reference!$A$6,MIN(Reference!$A$11,MIN($U183,270))),Reference!$A$6:$A$11,1)))+(MAX(Reference!$A$6,MIN(Reference!$A$11,MIN($U183,270)))-INDEX(Reference!$A$6:$A$11,MIN(5,MATCH(MAX(Reference!$A$6,MIN(Reference!$A$11,MIN($U183,270))),Reference!$A$6:$A$11,1))))*(INDEX(Reference!$B$6:$B$11,MIN(5,MATCH(MAX(Reference!$A$6,MIN(Reference!$A$11,MIN($U183,270))),Reference!$A$6:$A$11,1))+1)-INDEX(Reference!$B$6:$B$11,MIN(5,MATCH(MAX(Reference!$A$6,MIN(Reference!$A$11,MIN($U183,270))),Reference!$A$6:$A$11,1))))/(INDEX(Reference!$A$6:$A$11,MIN(5,MATCH(MAX(Reference!$A$6,MIN(Reference!$A$11,MIN($U183,270))),Reference!$A$6:$A$11,1))+1)-INDEX(Reference!$A$6:$A$11,MIN(5,MATCH(MAX(Reference!$A$6,MIN(Reference!$A$11,MIN($U183,270))),Reference!$A$6:$A$11,1))))),0)+IF(8&lt;=$AL183,($AL183-8+3)*(INDEX(Reference!$B$6:$B$11,MIN(5,MATCH(MAX(Reference!$A$6,MIN(Reference!$A$11,MIN($U183,300))),Reference!$A$6:$A$11,1)))+(MAX(Reference!$A$6,MIN(Reference!$A$11,MIN($U183,300)))-INDEX(Reference!$A$6:$A$11,MIN(5,MATCH(MAX(Reference!$A$6,MIN(Reference!$A$11,MIN($U183,300))),Reference!$A$6:$A$11,1))))*(INDEX(Reference!$B$6:$B$11,MIN(5,MATCH(MAX(Reference!$A$6,MIN(Reference!$A$11,MIN($U183,300))),Reference!$A$6:$A$11,1))+1)-INDEX(Reference!$B$6:$B$11,MIN(5,MATCH(MAX(Reference!$A$6,MIN(Reference!$A$11,MIN($U183,300))),Reference!$A$6:$A$11,1))))/(INDEX(Reference!$A$6:$A$11,MIN(5,MATCH(MAX(Reference!$A$6,MIN(Reference!$A$11,MIN($U183,300))),Reference!$A$6:$A$11,1))+1)-INDEX(Reference!$A$6:$A$11,MIN(5,MATCH(MAX(Reference!$A$6,MIN(Reference!$A$11,MIN($U183,300))),Reference!$A$6:$A$11,1))))),0))/($AL183*($AL183+5)/2)),$AN183))</f>
        <v>0</v>
      </c>
      <c r="AN183" s="32">
        <f>IF($U183="",0,(INDEX(Reference!$B$6:$B$11,MIN(5,MATCH(MAX(Reference!$A$6,MIN(Reference!$A$11,$U183)),Reference!$A$6:$A$11,1)))+(MAX(Reference!$A$6,MIN(Reference!$A$11,$U183))-INDEX(Reference!$A$6:$A$11,MIN(5,MATCH(MAX(Reference!$A$6,MIN(Reference!$A$11,$U183)),Reference!$A$6:$A$11,1))))*(INDEX(Reference!$B$6:$B$11,MIN(5,MATCH(MAX(Reference!$A$6,MIN(Reference!$A$11,$U183)),Reference!$A$6:$A$11,1))+1)-INDEX(Reference!$B$6:$B$11,MIN(5,MATCH(MAX(Reference!$A$6,MIN(Reference!$A$11,$U183)),Reference!$A$6:$A$11,1))))/(INDEX(Reference!$A$6:$A$11,MIN(5,MATCH(MAX(Reference!$A$6,MIN(Reference!$A$11,$U183)),Reference!$A$6:$A$11,1))+1)-INDEX(Reference!$A$6:$A$11,MIN(5,MATCH(MAX(Reference!$A$6,MIN(Reference!$A$11,$U183)),Reference!$A$6:$A$11,1))))))</f>
        <v>0</v>
      </c>
      <c r="AO183" s="37"/>
      <c r="AP183" s="37"/>
      <c r="AQ183" s="37"/>
    </row>
  </sheetData>
  <mergeCells count="24">
    <mergeCell ref="A16:G16"/>
    <mergeCell ref="A17:G17"/>
    <mergeCell ref="A11:C11"/>
    <mergeCell ref="I11:J11"/>
    <mergeCell ref="A12:C12"/>
    <mergeCell ref="I12:J12"/>
    <mergeCell ref="A14:G15"/>
    <mergeCell ref="A9:C9"/>
    <mergeCell ref="I9:J9"/>
    <mergeCell ref="A10:C10"/>
    <mergeCell ref="D10:E10"/>
    <mergeCell ref="I10:J10"/>
    <mergeCell ref="A6:C6"/>
    <mergeCell ref="I6:J6"/>
    <mergeCell ref="A7:C7"/>
    <mergeCell ref="I7:J7"/>
    <mergeCell ref="A8:C8"/>
    <mergeCell ref="I8:J8"/>
    <mergeCell ref="A1:G1"/>
    <mergeCell ref="A2:G2"/>
    <mergeCell ref="A4:C4"/>
    <mergeCell ref="I4:K4"/>
    <mergeCell ref="A5:C5"/>
    <mergeCell ref="I5:J5"/>
  </mergeCells>
  <conditionalFormatting sqref="A43:K183">
    <cfRule type="expression" dxfId="13" priority="2">
      <formula>$F43="No Throw"</formula>
    </cfRule>
    <cfRule type="expression" dxfId="12" priority="3">
      <formula>AND($A43&lt;&gt;"",$C43=0)</formula>
    </cfRule>
  </conditionalFormatting>
  <conditionalFormatting sqref="F19:F39">
    <cfRule type="expression" dxfId="11" priority="8">
      <formula>AND(ISNUMBER(F19),F19&lt;0.8)</formula>
    </cfRule>
    <cfRule type="expression" dxfId="10" priority="9">
      <formula>AND(ISNUMBER(F19),F19&gt;=0.8,F19&lt;=1.3)</formula>
    </cfRule>
    <cfRule type="expression" dxfId="9" priority="10">
      <formula>AND(ISNUMBER(F19),F19&gt;1.3,F19&lt;=1.5)</formula>
    </cfRule>
    <cfRule type="expression" dxfId="8" priority="11">
      <formula>AND(ISNUMBER(F19),F19&gt;1.5)</formula>
    </cfRule>
  </conditionalFormatting>
  <conditionalFormatting sqref="G12:G13">
    <cfRule type="expression" dxfId="7" priority="12">
      <formula>AND(ISNUMBER(G12),G12&lt;0.8)</formula>
    </cfRule>
    <cfRule type="expression" dxfId="6" priority="13">
      <formula>AND(ISNUMBER(G12),G12&gt;=0.8,G12&lt;=1.3)</formula>
    </cfRule>
    <cfRule type="expression" dxfId="5" priority="14">
      <formula>AND(ISNUMBER(G12),G12&gt;1.3,G12&lt;=1.5)</formula>
    </cfRule>
    <cfRule type="expression" dxfId="4" priority="15">
      <formula>AND(ISNUMBER(G12),G12&gt;1.5)</formula>
    </cfRule>
  </conditionalFormatting>
  <conditionalFormatting sqref="I43:I183">
    <cfRule type="expression" dxfId="3" priority="4">
      <formula>AND(ISNUMBER(I43),I43&lt;0.8)</formula>
    </cfRule>
    <cfRule type="expression" dxfId="2" priority="5">
      <formula>AND(ISNUMBER(I43),I43&gt;=0.8,I43&lt;=1.3)</formula>
    </cfRule>
    <cfRule type="expression" dxfId="1" priority="6">
      <formula>AND(ISNUMBER(I43),I43&gt;1.3,I43&lt;=1.5)</formula>
    </cfRule>
    <cfRule type="expression" dxfId="0" priority="7">
      <formula>AND(ISNUMBER(I43),I43&gt;1.5)</formula>
    </cfRule>
  </conditionalFormatting>
  <dataValidations count="3">
    <dataValidation type="decimal" allowBlank="1" showErrorMessage="1" error="Distance in feet (30–400)." sqref="AO43:AO183" xr:uid="{00000000-0002-0000-0A00-000000000000}">
      <formula1>30</formula1>
      <formula2>400</formula2>
    </dataValidation>
    <dataValidation type="decimal" allowBlank="1" showErrorMessage="1" error="Velo in mph (40–110)." sqref="AP43:AQ183" xr:uid="{00000000-0002-0000-0A00-000001000000}">
      <formula1>40</formula1>
      <formula2>110</formula2>
    </dataValidation>
    <dataValidation type="list" allowBlank="1" sqref="J43:J183" xr:uid="{00000000-0002-0000-0A00-000004000000}">
      <formula1>"(none),x"</formula1>
      <formula2>0</formula2>
    </dataValidation>
  </dataValidations>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2">
        <x14:dataValidation type="list" allowBlank="1" xr:uid="{00000000-0002-0000-0A00-000002000000}">
          <x14:formula1>
            <xm:f>Roster!$A$5:$A$40</xm:f>
          </x14:formula1>
          <x14:formula2>
            <xm:f>0</xm:f>
          </x14:formula2>
          <xm:sqref>D4</xm:sqref>
        </x14:dataValidation>
        <x14:dataValidation type="list" xr:uid="{00000000-0002-0000-0A00-000003000000}">
          <x14:formula1>
            <xm:f>Reference!$A$93:$A$96</xm:f>
          </x14:formula1>
          <x14:formula2>
            <xm:f>0</xm:f>
          </x14:formula2>
          <xm:sqref>D10</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Reference</vt:lpstr>
      <vt:lpstr>Roster</vt:lpstr>
      <vt:lpstr>Throw Log</vt:lpstr>
      <vt:lpstr>Dashboard</vt:lpstr>
      <vt:lpstr>Day Type Templates</vt:lpstr>
      <vt:lpstr>Next Outing Planner</vt:lpstr>
      <vt:lpstr>Build-Up Lewis</vt:lpstr>
      <vt:lpstr>Build-Up Doty</vt:lpstr>
      <vt:lpstr>Build-Up Dean</vt:lpstr>
      <vt:lpstr>Build-Up Arther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Rudy Darrow</cp:lastModifiedBy>
  <cp:revision>1</cp:revision>
  <dcterms:created xsi:type="dcterms:W3CDTF">2026-10-21T16:24:11Z</dcterms:created>
  <dcterms:modified xsi:type="dcterms:W3CDTF">2026-10-21T17:37:25Z</dcterms:modified>
  <dc:language>en-US</dc:language>
</cp:coreProperties>
</file>